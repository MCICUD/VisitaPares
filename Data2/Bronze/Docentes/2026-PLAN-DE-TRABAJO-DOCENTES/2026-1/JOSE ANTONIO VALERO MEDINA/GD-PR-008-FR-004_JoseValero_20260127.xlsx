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defaultThemeVersion="124226"/>
  <xr:revisionPtr revIDLastSave="0" documentId="13_ncr:1_{4FEE2553-4D3B-43D4-8BAF-79ED97241B80}" xr6:coauthVersionLast="47" xr6:coauthVersionMax="47" xr10:uidLastSave="{00000000-0000-0000-0000-000000000000}"/>
  <bookViews>
    <workbookView xWindow="-53550" yWindow="-4350" windowWidth="44775" windowHeight="14715" xr2:uid="{00000000-000D-0000-FFFF-FFFF00000000}"/>
  </bookViews>
  <sheets>
    <sheet name="Planta" sheetId="1" r:id="rId1"/>
    <sheet name="TCO" sheetId="2" r:id="rId2"/>
    <sheet name="MTO" sheetId="3" r:id="rId3"/>
  </sheets>
  <definedNames>
    <definedName name="_xlnm._FilterDatabase" localSheetId="2" hidden="1">MTO!$B$5:$AG$5</definedName>
    <definedName name="_xlnm._FilterDatabase" localSheetId="0" hidden="1">Planta!$B$6:$BL$175</definedName>
    <definedName name="_xlnm._FilterDatabase" localSheetId="1" hidden="1">TCO!$B$5:$AG$6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7" i="3" l="1"/>
  <c r="AG8" i="3"/>
  <c r="AG9" i="3"/>
  <c r="AG10" i="3"/>
  <c r="AG11" i="3"/>
  <c r="AG12" i="3"/>
  <c r="AG13" i="3"/>
  <c r="AG14" i="3"/>
  <c r="AG15" i="3"/>
  <c r="AG16" i="3"/>
  <c r="AG17" i="3"/>
  <c r="AG18" i="3"/>
  <c r="AG19" i="3"/>
  <c r="AG6" i="3"/>
  <c r="Y7" i="3"/>
  <c r="Y8" i="3"/>
  <c r="Y9" i="3"/>
  <c r="Y10" i="3"/>
  <c r="Y11" i="3"/>
  <c r="Y12" i="3"/>
  <c r="Y13" i="3"/>
  <c r="Y14" i="3"/>
  <c r="Y15" i="3"/>
  <c r="Y16" i="3"/>
  <c r="Y17" i="3"/>
  <c r="Y18" i="3"/>
  <c r="Y19" i="3"/>
  <c r="Y6" i="3"/>
  <c r="AG7" i="2"/>
  <c r="AG8" i="2"/>
  <c r="AG9" i="2"/>
  <c r="AG10" i="2"/>
  <c r="AG11" i="2"/>
  <c r="AG12" i="2"/>
  <c r="AG13" i="2"/>
  <c r="AG14" i="2"/>
  <c r="AG15" i="2"/>
  <c r="AG6" i="2"/>
  <c r="AF7" i="2"/>
  <c r="AF8" i="2"/>
  <c r="AF9" i="2"/>
  <c r="AF10" i="2"/>
  <c r="AF11" i="2"/>
  <c r="AF12" i="2"/>
  <c r="AF13" i="2"/>
  <c r="AF14" i="2"/>
  <c r="AF15" i="2"/>
  <c r="AF6" i="2"/>
  <c r="Y7" i="2"/>
  <c r="Y8" i="2"/>
  <c r="Y9" i="2"/>
  <c r="Y10" i="2"/>
  <c r="Y11" i="2"/>
  <c r="Y12" i="2"/>
  <c r="Y13" i="2"/>
  <c r="Y14" i="2"/>
  <c r="Y15" i="2"/>
  <c r="Y6" i="2"/>
  <c r="CY8" i="1"/>
  <c r="CY9" i="1"/>
  <c r="CY10" i="1"/>
  <c r="CY11" i="1"/>
  <c r="CY12" i="1"/>
  <c r="CY13" i="1"/>
  <c r="CY14" i="1"/>
  <c r="CY15" i="1"/>
  <c r="CY16" i="1"/>
  <c r="CY17" i="1"/>
  <c r="CY18" i="1"/>
  <c r="CY19" i="1"/>
  <c r="CY20" i="1"/>
  <c r="CY21" i="1"/>
  <c r="CY22" i="1"/>
  <c r="CY23" i="1"/>
  <c r="CY24" i="1"/>
  <c r="CY25" i="1"/>
  <c r="CY26" i="1"/>
  <c r="CY27" i="1"/>
  <c r="CY28" i="1"/>
  <c r="CY29" i="1"/>
  <c r="CY30" i="1"/>
  <c r="CY31" i="1"/>
  <c r="CY32" i="1"/>
  <c r="CY33" i="1"/>
  <c r="CY34" i="1"/>
  <c r="CY35" i="1"/>
  <c r="CY36" i="1"/>
  <c r="CY37" i="1"/>
  <c r="CY38" i="1"/>
  <c r="CY39" i="1"/>
  <c r="CY40" i="1"/>
  <c r="CY41" i="1"/>
  <c r="CY42" i="1"/>
  <c r="CY43" i="1"/>
  <c r="CY44" i="1"/>
  <c r="CY45" i="1"/>
  <c r="CY46" i="1"/>
  <c r="CY47" i="1"/>
  <c r="CY48" i="1"/>
  <c r="CY49" i="1"/>
  <c r="CY50" i="1"/>
  <c r="CY51" i="1"/>
  <c r="CY52" i="1"/>
  <c r="CY53" i="1"/>
  <c r="CY54" i="1"/>
  <c r="CY55" i="1"/>
  <c r="CY56" i="1"/>
  <c r="CY57" i="1"/>
  <c r="CY58" i="1"/>
  <c r="CY59" i="1"/>
  <c r="CY60" i="1"/>
  <c r="CY61" i="1"/>
  <c r="CY62" i="1"/>
  <c r="CY63" i="1"/>
  <c r="CY64" i="1"/>
  <c r="CY65" i="1"/>
  <c r="CY66" i="1"/>
  <c r="CY67" i="1"/>
  <c r="CY68" i="1"/>
  <c r="CY69" i="1"/>
  <c r="CY70" i="1"/>
  <c r="CY71" i="1"/>
  <c r="CY72" i="1"/>
  <c r="CY73" i="1"/>
  <c r="CY74" i="1"/>
  <c r="CY75" i="1"/>
  <c r="CY76" i="1"/>
  <c r="CY77" i="1"/>
  <c r="CY78" i="1"/>
  <c r="CY79" i="1"/>
  <c r="CY80" i="1"/>
  <c r="CY81" i="1"/>
  <c r="CY82" i="1"/>
  <c r="CY83" i="1"/>
  <c r="CY84" i="1"/>
  <c r="CY85" i="1"/>
  <c r="CY86" i="1"/>
  <c r="CY87" i="1"/>
  <c r="CY88" i="1"/>
  <c r="CY89" i="1"/>
  <c r="CY90" i="1"/>
  <c r="CY91" i="1"/>
  <c r="CY92" i="1"/>
  <c r="CY93" i="1"/>
  <c r="CY94" i="1"/>
  <c r="CY95" i="1"/>
  <c r="CY96" i="1"/>
  <c r="CY97" i="1"/>
  <c r="CY98" i="1"/>
  <c r="CY99" i="1"/>
  <c r="CY100" i="1"/>
  <c r="CY101" i="1"/>
  <c r="CY102" i="1"/>
  <c r="CY103" i="1"/>
  <c r="CY104" i="1"/>
  <c r="CY105" i="1"/>
  <c r="CY106" i="1"/>
  <c r="CY107" i="1"/>
  <c r="CY108" i="1"/>
  <c r="CY109" i="1"/>
  <c r="CY110" i="1"/>
  <c r="CY111" i="1"/>
  <c r="CY112" i="1"/>
  <c r="CY113" i="1"/>
  <c r="CY114" i="1"/>
  <c r="CY115" i="1"/>
  <c r="CY116" i="1"/>
  <c r="CY117" i="1"/>
  <c r="CY118" i="1"/>
  <c r="CY119" i="1"/>
  <c r="CY120" i="1"/>
  <c r="CY121" i="1"/>
  <c r="CY122" i="1"/>
  <c r="CY123" i="1"/>
  <c r="CY124" i="1"/>
  <c r="CY125" i="1"/>
  <c r="CY126" i="1"/>
  <c r="CY127" i="1"/>
  <c r="CY128" i="1"/>
  <c r="CY129" i="1"/>
  <c r="CY130" i="1"/>
  <c r="CY131" i="1"/>
  <c r="CY132" i="1"/>
  <c r="CY133" i="1"/>
  <c r="CY134" i="1"/>
  <c r="CY135" i="1"/>
  <c r="CY136" i="1"/>
  <c r="CY137" i="1"/>
  <c r="CY138" i="1"/>
  <c r="CY139" i="1"/>
  <c r="CY140" i="1"/>
  <c r="CY141" i="1"/>
  <c r="CY142" i="1"/>
  <c r="CY143" i="1"/>
  <c r="CY144" i="1"/>
  <c r="CY145" i="1"/>
  <c r="CY146" i="1"/>
  <c r="CY147" i="1"/>
  <c r="CY148" i="1"/>
  <c r="CY149" i="1"/>
  <c r="CY150" i="1"/>
  <c r="CY151" i="1"/>
  <c r="CY152" i="1"/>
  <c r="CY153" i="1"/>
  <c r="CY154" i="1"/>
  <c r="CY155" i="1"/>
  <c r="CY156" i="1"/>
  <c r="CY157" i="1"/>
  <c r="CY158" i="1"/>
  <c r="CY159" i="1"/>
  <c r="CY160" i="1"/>
  <c r="CY161" i="1"/>
  <c r="CY162" i="1"/>
  <c r="CY163" i="1"/>
  <c r="CY164" i="1"/>
  <c r="CY165" i="1"/>
  <c r="CY166" i="1"/>
  <c r="CY167" i="1"/>
  <c r="CY168" i="1"/>
  <c r="CY169" i="1"/>
  <c r="CY170" i="1"/>
  <c r="CY171" i="1"/>
  <c r="CY172" i="1"/>
  <c r="CY173" i="1"/>
  <c r="CY174" i="1"/>
  <c r="CY175" i="1"/>
  <c r="CY7" i="1"/>
  <c r="CX8" i="1"/>
  <c r="CX9" i="1"/>
  <c r="CX10" i="1"/>
  <c r="CX11" i="1"/>
  <c r="CX12" i="1"/>
  <c r="CX13" i="1"/>
  <c r="CX14" i="1"/>
  <c r="CX15" i="1"/>
  <c r="CX16" i="1"/>
  <c r="CX17" i="1"/>
  <c r="CX18" i="1"/>
  <c r="CX19" i="1"/>
  <c r="CX20" i="1"/>
  <c r="CX21" i="1"/>
  <c r="CX22" i="1"/>
  <c r="CX23" i="1"/>
  <c r="CX24" i="1"/>
  <c r="CX25" i="1"/>
  <c r="CX26" i="1"/>
  <c r="CX27" i="1"/>
  <c r="CX28" i="1"/>
  <c r="CX29" i="1"/>
  <c r="CX30" i="1"/>
  <c r="CX31" i="1"/>
  <c r="CX32" i="1"/>
  <c r="CX33" i="1"/>
  <c r="CX34" i="1"/>
  <c r="CX35" i="1"/>
  <c r="CX36" i="1"/>
  <c r="CX37" i="1"/>
  <c r="CX38" i="1"/>
  <c r="CX39" i="1"/>
  <c r="CX40" i="1"/>
  <c r="CX41" i="1"/>
  <c r="CX42" i="1"/>
  <c r="CX43" i="1"/>
  <c r="CX44" i="1"/>
  <c r="CX45" i="1"/>
  <c r="CX46" i="1"/>
  <c r="CX47" i="1"/>
  <c r="CX48" i="1"/>
  <c r="CX49" i="1"/>
  <c r="CX50" i="1"/>
  <c r="CX51" i="1"/>
  <c r="CX52" i="1"/>
  <c r="CX53" i="1"/>
  <c r="CX54" i="1"/>
  <c r="CX55" i="1"/>
  <c r="CX56" i="1"/>
  <c r="CX57" i="1"/>
  <c r="CX58" i="1"/>
  <c r="CX59" i="1"/>
  <c r="CX60" i="1"/>
  <c r="CX61" i="1"/>
  <c r="CX62" i="1"/>
  <c r="CX63" i="1"/>
  <c r="CX64" i="1"/>
  <c r="CX65" i="1"/>
  <c r="CX66" i="1"/>
  <c r="CX67" i="1"/>
  <c r="CX68" i="1"/>
  <c r="CX69" i="1"/>
  <c r="CX70" i="1"/>
  <c r="CX71" i="1"/>
  <c r="CX72" i="1"/>
  <c r="CX73" i="1"/>
  <c r="CX74" i="1"/>
  <c r="CX75" i="1"/>
  <c r="CX76" i="1"/>
  <c r="CX77" i="1"/>
  <c r="CX78" i="1"/>
  <c r="CX79" i="1"/>
  <c r="CX80" i="1"/>
  <c r="CX81" i="1"/>
  <c r="CX82" i="1"/>
  <c r="CX83" i="1"/>
  <c r="CX84" i="1"/>
  <c r="CX85" i="1"/>
  <c r="CX86" i="1"/>
  <c r="CX87" i="1"/>
  <c r="CX88" i="1"/>
  <c r="CX89" i="1"/>
  <c r="CX90" i="1"/>
  <c r="CX91" i="1"/>
  <c r="CX92" i="1"/>
  <c r="CX93" i="1"/>
  <c r="CX94" i="1"/>
  <c r="CX95" i="1"/>
  <c r="CX96" i="1"/>
  <c r="CX97" i="1"/>
  <c r="CX98" i="1"/>
  <c r="CX99" i="1"/>
  <c r="CX100" i="1"/>
  <c r="CX101" i="1"/>
  <c r="CX102" i="1"/>
  <c r="CX103" i="1"/>
  <c r="CX104" i="1"/>
  <c r="CX105" i="1"/>
  <c r="CX106" i="1"/>
  <c r="CX107" i="1"/>
  <c r="CX108" i="1"/>
  <c r="CX109" i="1"/>
  <c r="CX110" i="1"/>
  <c r="CX111" i="1"/>
  <c r="CX112" i="1"/>
  <c r="CX113" i="1"/>
  <c r="CX114" i="1"/>
  <c r="CX115" i="1"/>
  <c r="CX116" i="1"/>
  <c r="CX117" i="1"/>
  <c r="CX118" i="1"/>
  <c r="CX119" i="1"/>
  <c r="CX120" i="1"/>
  <c r="CX121" i="1"/>
  <c r="CX122" i="1"/>
  <c r="CX123" i="1"/>
  <c r="CX124" i="1"/>
  <c r="CX125" i="1"/>
  <c r="CX126" i="1"/>
  <c r="CX127" i="1"/>
  <c r="CX128" i="1"/>
  <c r="CX129" i="1"/>
  <c r="CX130" i="1"/>
  <c r="CX131" i="1"/>
  <c r="CX132" i="1"/>
  <c r="CX133" i="1"/>
  <c r="CX134" i="1"/>
  <c r="CX135" i="1"/>
  <c r="CX136" i="1"/>
  <c r="CX137" i="1"/>
  <c r="CX138" i="1"/>
  <c r="CX139" i="1"/>
  <c r="CX140" i="1"/>
  <c r="CX141" i="1"/>
  <c r="CX142" i="1"/>
  <c r="CX143" i="1"/>
  <c r="CX144" i="1"/>
  <c r="CX145" i="1"/>
  <c r="CX146" i="1"/>
  <c r="CX147" i="1"/>
  <c r="CX148" i="1"/>
  <c r="CX149" i="1"/>
  <c r="CX150" i="1"/>
  <c r="CX151" i="1"/>
  <c r="CX152" i="1"/>
  <c r="CX153" i="1"/>
  <c r="CX154" i="1"/>
  <c r="CX155" i="1"/>
  <c r="CX156" i="1"/>
  <c r="CX157" i="1"/>
  <c r="CX158" i="1"/>
  <c r="CX159" i="1"/>
  <c r="CX160" i="1"/>
  <c r="CX161" i="1"/>
  <c r="CX162" i="1"/>
  <c r="CX163" i="1"/>
  <c r="CX164" i="1"/>
  <c r="CX165" i="1"/>
  <c r="CX166" i="1"/>
  <c r="CX167" i="1"/>
  <c r="CX168" i="1"/>
  <c r="CX169" i="1"/>
  <c r="CX170" i="1"/>
  <c r="CX171" i="1"/>
  <c r="CX172" i="1"/>
  <c r="CX173" i="1"/>
  <c r="CX174" i="1"/>
  <c r="CX175" i="1"/>
  <c r="CX7" i="1"/>
  <c r="CW8" i="1"/>
  <c r="CW9" i="1"/>
  <c r="CW10" i="1"/>
  <c r="CW11" i="1"/>
  <c r="CW12" i="1"/>
  <c r="CW13" i="1"/>
  <c r="CW14" i="1"/>
  <c r="CW15" i="1"/>
  <c r="CW16" i="1"/>
  <c r="CW17" i="1"/>
  <c r="CW18" i="1"/>
  <c r="CW19" i="1"/>
  <c r="CW20" i="1"/>
  <c r="CW21" i="1"/>
  <c r="CW22" i="1"/>
  <c r="CW23" i="1"/>
  <c r="CW24" i="1"/>
  <c r="CW25" i="1"/>
  <c r="CW26" i="1"/>
  <c r="CW27" i="1"/>
  <c r="CW28" i="1"/>
  <c r="CW29" i="1"/>
  <c r="CW30" i="1"/>
  <c r="CW31" i="1"/>
  <c r="CW32" i="1"/>
  <c r="CW33" i="1"/>
  <c r="CW34" i="1"/>
  <c r="CW35" i="1"/>
  <c r="CW36" i="1"/>
  <c r="CW37" i="1"/>
  <c r="CW38" i="1"/>
  <c r="CW39" i="1"/>
  <c r="CW40" i="1"/>
  <c r="CW41" i="1"/>
  <c r="CW42" i="1"/>
  <c r="CW43" i="1"/>
  <c r="CW44" i="1"/>
  <c r="CW45" i="1"/>
  <c r="CW46" i="1"/>
  <c r="CW47" i="1"/>
  <c r="CW48" i="1"/>
  <c r="CW49" i="1"/>
  <c r="CW50" i="1"/>
  <c r="CW51" i="1"/>
  <c r="CW52" i="1"/>
  <c r="CW53" i="1"/>
  <c r="CW54" i="1"/>
  <c r="CW55" i="1"/>
  <c r="CW56" i="1"/>
  <c r="CW57" i="1"/>
  <c r="CW58" i="1"/>
  <c r="CW59" i="1"/>
  <c r="CW60" i="1"/>
  <c r="CW61" i="1"/>
  <c r="CW62" i="1"/>
  <c r="CW63" i="1"/>
  <c r="CW64" i="1"/>
  <c r="CW65" i="1"/>
  <c r="CW66" i="1"/>
  <c r="CW67" i="1"/>
  <c r="CW68" i="1"/>
  <c r="CW69" i="1"/>
  <c r="CW70" i="1"/>
  <c r="CW71" i="1"/>
  <c r="CW72" i="1"/>
  <c r="CW73" i="1"/>
  <c r="CW74" i="1"/>
  <c r="CW75" i="1"/>
  <c r="CW76" i="1"/>
  <c r="CW77" i="1"/>
  <c r="CW78" i="1"/>
  <c r="CW79" i="1"/>
  <c r="CW80" i="1"/>
  <c r="CW81" i="1"/>
  <c r="CW82" i="1"/>
  <c r="CW83" i="1"/>
  <c r="CW84" i="1"/>
  <c r="CW85" i="1"/>
  <c r="CW86" i="1"/>
  <c r="CW87" i="1"/>
  <c r="CW88" i="1"/>
  <c r="CW89" i="1"/>
  <c r="CW90" i="1"/>
  <c r="CW91" i="1"/>
  <c r="CW92" i="1"/>
  <c r="CW93" i="1"/>
  <c r="CW94" i="1"/>
  <c r="CW95" i="1"/>
  <c r="CW96" i="1"/>
  <c r="CW97" i="1"/>
  <c r="CW98" i="1"/>
  <c r="CW99" i="1"/>
  <c r="CW100" i="1"/>
  <c r="CW101" i="1"/>
  <c r="CW102" i="1"/>
  <c r="CW103" i="1"/>
  <c r="CW104" i="1"/>
  <c r="CW105" i="1"/>
  <c r="CW106" i="1"/>
  <c r="CW107" i="1"/>
  <c r="CW108" i="1"/>
  <c r="CW109" i="1"/>
  <c r="CW110" i="1"/>
  <c r="CW111" i="1"/>
  <c r="CW112" i="1"/>
  <c r="CW113" i="1"/>
  <c r="CW114" i="1"/>
  <c r="CW115" i="1"/>
  <c r="CW116" i="1"/>
  <c r="CW117" i="1"/>
  <c r="CW118" i="1"/>
  <c r="CW119" i="1"/>
  <c r="CW120" i="1"/>
  <c r="CW121" i="1"/>
  <c r="CW122" i="1"/>
  <c r="CW123" i="1"/>
  <c r="CW124" i="1"/>
  <c r="CW125" i="1"/>
  <c r="CW126" i="1"/>
  <c r="CW127" i="1"/>
  <c r="CW128" i="1"/>
  <c r="CW129" i="1"/>
  <c r="CW130" i="1"/>
  <c r="CW131" i="1"/>
  <c r="CW132" i="1"/>
  <c r="CW133" i="1"/>
  <c r="CW134" i="1"/>
  <c r="CW135" i="1"/>
  <c r="CW136" i="1"/>
  <c r="CW137" i="1"/>
  <c r="CW138" i="1"/>
  <c r="CW139" i="1"/>
  <c r="CW140" i="1"/>
  <c r="CW141" i="1"/>
  <c r="CW142" i="1"/>
  <c r="CW143" i="1"/>
  <c r="CW144" i="1"/>
  <c r="CW145" i="1"/>
  <c r="CW146" i="1"/>
  <c r="CW147" i="1"/>
  <c r="CW148" i="1"/>
  <c r="CW149" i="1"/>
  <c r="CW150" i="1"/>
  <c r="CW151" i="1"/>
  <c r="CW152" i="1"/>
  <c r="CW153" i="1"/>
  <c r="CW154" i="1"/>
  <c r="CW155" i="1"/>
  <c r="CW156" i="1"/>
  <c r="CW157" i="1"/>
  <c r="CW158" i="1"/>
  <c r="CW159" i="1"/>
  <c r="CW160" i="1"/>
  <c r="CW161" i="1"/>
  <c r="CW162" i="1"/>
  <c r="CW163" i="1"/>
  <c r="CW164" i="1"/>
  <c r="CW165" i="1"/>
  <c r="CW166" i="1"/>
  <c r="CW167" i="1"/>
  <c r="CW168" i="1"/>
  <c r="CW169" i="1"/>
  <c r="CW170" i="1"/>
  <c r="CW171" i="1"/>
  <c r="CW172" i="1"/>
  <c r="CW173" i="1"/>
  <c r="CW174" i="1"/>
  <c r="CW175" i="1"/>
  <c r="CW7" i="1"/>
  <c r="CV8" i="1"/>
  <c r="CV9" i="1"/>
  <c r="CV10" i="1"/>
  <c r="CV11" i="1"/>
  <c r="CV12" i="1"/>
  <c r="CV13" i="1"/>
  <c r="CV14" i="1"/>
  <c r="CV15" i="1"/>
  <c r="CV16" i="1"/>
  <c r="CV17" i="1"/>
  <c r="CV18" i="1"/>
  <c r="CV19" i="1"/>
  <c r="CV20" i="1"/>
  <c r="CV21" i="1"/>
  <c r="CV22" i="1"/>
  <c r="CV23" i="1"/>
  <c r="CV24" i="1"/>
  <c r="CV25" i="1"/>
  <c r="CV26" i="1"/>
  <c r="CV27" i="1"/>
  <c r="CV28" i="1"/>
  <c r="CV29" i="1"/>
  <c r="CV30" i="1"/>
  <c r="CV31" i="1"/>
  <c r="CV32" i="1"/>
  <c r="CV33" i="1"/>
  <c r="CV34" i="1"/>
  <c r="CV35" i="1"/>
  <c r="CV36" i="1"/>
  <c r="CV37" i="1"/>
  <c r="CV38" i="1"/>
  <c r="CV39" i="1"/>
  <c r="CV40" i="1"/>
  <c r="CV41" i="1"/>
  <c r="CV42" i="1"/>
  <c r="CV43" i="1"/>
  <c r="CV44" i="1"/>
  <c r="CV45" i="1"/>
  <c r="CV46" i="1"/>
  <c r="CV47" i="1"/>
  <c r="CV48" i="1"/>
  <c r="CV49" i="1"/>
  <c r="CV50" i="1"/>
  <c r="CV51" i="1"/>
  <c r="CV52" i="1"/>
  <c r="CV53" i="1"/>
  <c r="CV54" i="1"/>
  <c r="CV55" i="1"/>
  <c r="CV56" i="1"/>
  <c r="CV57" i="1"/>
  <c r="CV58" i="1"/>
  <c r="CV59" i="1"/>
  <c r="CV60" i="1"/>
  <c r="CV61" i="1"/>
  <c r="CV62" i="1"/>
  <c r="CV63" i="1"/>
  <c r="CV64" i="1"/>
  <c r="CV65" i="1"/>
  <c r="CV66" i="1"/>
  <c r="CV67" i="1"/>
  <c r="CV68" i="1"/>
  <c r="CV69" i="1"/>
  <c r="CV70" i="1"/>
  <c r="CV71" i="1"/>
  <c r="CV72" i="1"/>
  <c r="CV73" i="1"/>
  <c r="CV74" i="1"/>
  <c r="CV75" i="1"/>
  <c r="CV76" i="1"/>
  <c r="CV77" i="1"/>
  <c r="CV78" i="1"/>
  <c r="CV79" i="1"/>
  <c r="CV80" i="1"/>
  <c r="CV81" i="1"/>
  <c r="CV82" i="1"/>
  <c r="CV83" i="1"/>
  <c r="CV84" i="1"/>
  <c r="CV85" i="1"/>
  <c r="CV86" i="1"/>
  <c r="CV87" i="1"/>
  <c r="CV88" i="1"/>
  <c r="CV89" i="1"/>
  <c r="CV90" i="1"/>
  <c r="CV91" i="1"/>
  <c r="CV92" i="1"/>
  <c r="CV93" i="1"/>
  <c r="CV94" i="1"/>
  <c r="CV95" i="1"/>
  <c r="CV96" i="1"/>
  <c r="CV97" i="1"/>
  <c r="CV98" i="1"/>
  <c r="CV99" i="1"/>
  <c r="CV100" i="1"/>
  <c r="CV101" i="1"/>
  <c r="CV102" i="1"/>
  <c r="CV103" i="1"/>
  <c r="CV104" i="1"/>
  <c r="CV105" i="1"/>
  <c r="CV106" i="1"/>
  <c r="CV107" i="1"/>
  <c r="CV108" i="1"/>
  <c r="CV109" i="1"/>
  <c r="CV110" i="1"/>
  <c r="CV111" i="1"/>
  <c r="CV112" i="1"/>
  <c r="CV113" i="1"/>
  <c r="CV114" i="1"/>
  <c r="CV115" i="1"/>
  <c r="CV116" i="1"/>
  <c r="CV117" i="1"/>
  <c r="CV118" i="1"/>
  <c r="CV119" i="1"/>
  <c r="CV120" i="1"/>
  <c r="CV121" i="1"/>
  <c r="CV122" i="1"/>
  <c r="CV123" i="1"/>
  <c r="CV124" i="1"/>
  <c r="CV125" i="1"/>
  <c r="CV126" i="1"/>
  <c r="CV127" i="1"/>
  <c r="CV128" i="1"/>
  <c r="CV129" i="1"/>
  <c r="CV130" i="1"/>
  <c r="CV131" i="1"/>
  <c r="CV132" i="1"/>
  <c r="CV133" i="1"/>
  <c r="CV134" i="1"/>
  <c r="CV135" i="1"/>
  <c r="CV136" i="1"/>
  <c r="CV137" i="1"/>
  <c r="CV138" i="1"/>
  <c r="CV139" i="1"/>
  <c r="CV140" i="1"/>
  <c r="CV141" i="1"/>
  <c r="CV142" i="1"/>
  <c r="CV143" i="1"/>
  <c r="CV144" i="1"/>
  <c r="CV145" i="1"/>
  <c r="CV146" i="1"/>
  <c r="CV147" i="1"/>
  <c r="CV148" i="1"/>
  <c r="CV149" i="1"/>
  <c r="CV150" i="1"/>
  <c r="CV151" i="1"/>
  <c r="CV152" i="1"/>
  <c r="CV153" i="1"/>
  <c r="CV154" i="1"/>
  <c r="CV155" i="1"/>
  <c r="CV156" i="1"/>
  <c r="CV157" i="1"/>
  <c r="CV158" i="1"/>
  <c r="CV159" i="1"/>
  <c r="CV160" i="1"/>
  <c r="CV161" i="1"/>
  <c r="CV162" i="1"/>
  <c r="CV163" i="1"/>
  <c r="CV164" i="1"/>
  <c r="CV165" i="1"/>
  <c r="CV166" i="1"/>
  <c r="CV167" i="1"/>
  <c r="CV168" i="1"/>
  <c r="CV169" i="1"/>
  <c r="CV170" i="1"/>
  <c r="CV171" i="1"/>
  <c r="CV172" i="1"/>
  <c r="CV173" i="1"/>
  <c r="CV174" i="1"/>
  <c r="CV175" i="1"/>
  <c r="CV7" i="1"/>
  <c r="CU8" i="1"/>
  <c r="CU9" i="1"/>
  <c r="CU10" i="1"/>
  <c r="CU11" i="1"/>
  <c r="CU12" i="1"/>
  <c r="CU13" i="1"/>
  <c r="CU14" i="1"/>
  <c r="CU15" i="1"/>
  <c r="CU16" i="1"/>
  <c r="CU17" i="1"/>
  <c r="CU18" i="1"/>
  <c r="CU19" i="1"/>
  <c r="CU20" i="1"/>
  <c r="CU21" i="1"/>
  <c r="CU22" i="1"/>
  <c r="CU23" i="1"/>
  <c r="CU24" i="1"/>
  <c r="CU25" i="1"/>
  <c r="CU26" i="1"/>
  <c r="CU27" i="1"/>
  <c r="CU28" i="1"/>
  <c r="CU29" i="1"/>
  <c r="CU30" i="1"/>
  <c r="CU31" i="1"/>
  <c r="CU32" i="1"/>
  <c r="CU33" i="1"/>
  <c r="CU34" i="1"/>
  <c r="CU35" i="1"/>
  <c r="CU36" i="1"/>
  <c r="CU37" i="1"/>
  <c r="CU38" i="1"/>
  <c r="CU39" i="1"/>
  <c r="CU40" i="1"/>
  <c r="CU41" i="1"/>
  <c r="CU42" i="1"/>
  <c r="CU43" i="1"/>
  <c r="CU44" i="1"/>
  <c r="CU45" i="1"/>
  <c r="CU46" i="1"/>
  <c r="CU47" i="1"/>
  <c r="CU48" i="1"/>
  <c r="CU49" i="1"/>
  <c r="CU50" i="1"/>
  <c r="CU51" i="1"/>
  <c r="CU52" i="1"/>
  <c r="CU53" i="1"/>
  <c r="CU54" i="1"/>
  <c r="CU55" i="1"/>
  <c r="CU56" i="1"/>
  <c r="CU57" i="1"/>
  <c r="CU58" i="1"/>
  <c r="CU59" i="1"/>
  <c r="CU60" i="1"/>
  <c r="CU61" i="1"/>
  <c r="CU62" i="1"/>
  <c r="CU63" i="1"/>
  <c r="CU64" i="1"/>
  <c r="CU65" i="1"/>
  <c r="CU66" i="1"/>
  <c r="CU67" i="1"/>
  <c r="CU68" i="1"/>
  <c r="CU69" i="1"/>
  <c r="CU70" i="1"/>
  <c r="CU71" i="1"/>
  <c r="CU72" i="1"/>
  <c r="CU73" i="1"/>
  <c r="CU74" i="1"/>
  <c r="CU75" i="1"/>
  <c r="CU76" i="1"/>
  <c r="CU77" i="1"/>
  <c r="CU78" i="1"/>
  <c r="CU79" i="1"/>
  <c r="CU80" i="1"/>
  <c r="CU81" i="1"/>
  <c r="CU82" i="1"/>
  <c r="CU83" i="1"/>
  <c r="CU84" i="1"/>
  <c r="CU85" i="1"/>
  <c r="CU86" i="1"/>
  <c r="CU87" i="1"/>
  <c r="CU88" i="1"/>
  <c r="CU89" i="1"/>
  <c r="CU90" i="1"/>
  <c r="CU91" i="1"/>
  <c r="CU92" i="1"/>
  <c r="CU93" i="1"/>
  <c r="CU94" i="1"/>
  <c r="CU95" i="1"/>
  <c r="CU96" i="1"/>
  <c r="CU97" i="1"/>
  <c r="CU98" i="1"/>
  <c r="CU99" i="1"/>
  <c r="CU100" i="1"/>
  <c r="CU101" i="1"/>
  <c r="CU102" i="1"/>
  <c r="CU103" i="1"/>
  <c r="CU104" i="1"/>
  <c r="CU105" i="1"/>
  <c r="CU106" i="1"/>
  <c r="CU107" i="1"/>
  <c r="CU108" i="1"/>
  <c r="CU109" i="1"/>
  <c r="CU110" i="1"/>
  <c r="CU111" i="1"/>
  <c r="CU112" i="1"/>
  <c r="CU113" i="1"/>
  <c r="CU114" i="1"/>
  <c r="CU115" i="1"/>
  <c r="CU116" i="1"/>
  <c r="CU117" i="1"/>
  <c r="CU118" i="1"/>
  <c r="CU119" i="1"/>
  <c r="CU120" i="1"/>
  <c r="CU121" i="1"/>
  <c r="CU122" i="1"/>
  <c r="CU123" i="1"/>
  <c r="CU124" i="1"/>
  <c r="CU125" i="1"/>
  <c r="CU126" i="1"/>
  <c r="CU127" i="1"/>
  <c r="CU128" i="1"/>
  <c r="CU129" i="1"/>
  <c r="CU130" i="1"/>
  <c r="CU131" i="1"/>
  <c r="CU132" i="1"/>
  <c r="CU133" i="1"/>
  <c r="CU134" i="1"/>
  <c r="CU135" i="1"/>
  <c r="CU136" i="1"/>
  <c r="CU137" i="1"/>
  <c r="CU138" i="1"/>
  <c r="CU139" i="1"/>
  <c r="CU140" i="1"/>
  <c r="CU141" i="1"/>
  <c r="CU142" i="1"/>
  <c r="CU143" i="1"/>
  <c r="CU144" i="1"/>
  <c r="CU145" i="1"/>
  <c r="CU146" i="1"/>
  <c r="CU147" i="1"/>
  <c r="CU148" i="1"/>
  <c r="CU149" i="1"/>
  <c r="CU150" i="1"/>
  <c r="CU151" i="1"/>
  <c r="CU152" i="1"/>
  <c r="CU153" i="1"/>
  <c r="CU154" i="1"/>
  <c r="CU155" i="1"/>
  <c r="CU156" i="1"/>
  <c r="CU157" i="1"/>
  <c r="CU158" i="1"/>
  <c r="CU159" i="1"/>
  <c r="CU160" i="1"/>
  <c r="CU161" i="1"/>
  <c r="CU162" i="1"/>
  <c r="CU163" i="1"/>
  <c r="CU164" i="1"/>
  <c r="CU165" i="1"/>
  <c r="CU166" i="1"/>
  <c r="CU167" i="1"/>
  <c r="CU168" i="1"/>
  <c r="CU169" i="1"/>
  <c r="CU170" i="1"/>
  <c r="CU171" i="1"/>
  <c r="CU172" i="1"/>
  <c r="CU173" i="1"/>
  <c r="CU174" i="1"/>
  <c r="CU175" i="1"/>
  <c r="AY7" i="1"/>
  <c r="BD7" i="1" s="1"/>
  <c r="CU7" i="1" l="1"/>
  <c r="CT8" i="1"/>
  <c r="CT9" i="1"/>
  <c r="CT10" i="1"/>
  <c r="CT11" i="1"/>
  <c r="CT12" i="1"/>
  <c r="CT13" i="1"/>
  <c r="CT14" i="1"/>
  <c r="CT15" i="1"/>
  <c r="CT16" i="1"/>
  <c r="CT17" i="1"/>
  <c r="CT18" i="1"/>
  <c r="CT19" i="1"/>
  <c r="CT20" i="1"/>
  <c r="CT21" i="1"/>
  <c r="CT22" i="1"/>
  <c r="CT23" i="1"/>
  <c r="CT24" i="1"/>
  <c r="CT25" i="1"/>
  <c r="CT26" i="1"/>
  <c r="CT27" i="1"/>
  <c r="CT28" i="1"/>
  <c r="CT29" i="1"/>
  <c r="CT30" i="1"/>
  <c r="CT31" i="1"/>
  <c r="CT32" i="1"/>
  <c r="CT33" i="1"/>
  <c r="CT34" i="1"/>
  <c r="CT35" i="1"/>
  <c r="CT36" i="1"/>
  <c r="CT37" i="1"/>
  <c r="CT38" i="1"/>
  <c r="CT39" i="1"/>
  <c r="CT40" i="1"/>
  <c r="CT41" i="1"/>
  <c r="CT42" i="1"/>
  <c r="CT43" i="1"/>
  <c r="CT44" i="1"/>
  <c r="CT45" i="1"/>
  <c r="CT46" i="1"/>
  <c r="CT47" i="1"/>
  <c r="CT48" i="1"/>
  <c r="CT49" i="1"/>
  <c r="CT50" i="1"/>
  <c r="CT51" i="1"/>
  <c r="CT52" i="1"/>
  <c r="CT53" i="1"/>
  <c r="CT54" i="1"/>
  <c r="CT55" i="1"/>
  <c r="CT56" i="1"/>
  <c r="CT57" i="1"/>
  <c r="CT58" i="1"/>
  <c r="CT59" i="1"/>
  <c r="CT60" i="1"/>
  <c r="CT61" i="1"/>
  <c r="CT62" i="1"/>
  <c r="CT63" i="1"/>
  <c r="CT64" i="1"/>
  <c r="CT65" i="1"/>
  <c r="CT66" i="1"/>
  <c r="CT67" i="1"/>
  <c r="CT68" i="1"/>
  <c r="CT69" i="1"/>
  <c r="CT70" i="1"/>
  <c r="CT71" i="1"/>
  <c r="CT72" i="1"/>
  <c r="CT73" i="1"/>
  <c r="CT74" i="1"/>
  <c r="CT75" i="1"/>
  <c r="CT76" i="1"/>
  <c r="CT77" i="1"/>
  <c r="CT78" i="1"/>
  <c r="CT79" i="1"/>
  <c r="CT80" i="1"/>
  <c r="CT81" i="1"/>
  <c r="CT82" i="1"/>
  <c r="CT83" i="1"/>
  <c r="CT84" i="1"/>
  <c r="CT85" i="1"/>
  <c r="CT86" i="1"/>
  <c r="CT87" i="1"/>
  <c r="CT88" i="1"/>
  <c r="CT89" i="1"/>
  <c r="CT90" i="1"/>
  <c r="CT91" i="1"/>
  <c r="CT92" i="1"/>
  <c r="CT93" i="1"/>
  <c r="CT94" i="1"/>
  <c r="CT95" i="1"/>
  <c r="CT96" i="1"/>
  <c r="CT97" i="1"/>
  <c r="CT98" i="1"/>
  <c r="CT99" i="1"/>
  <c r="CT100" i="1"/>
  <c r="CT101" i="1"/>
  <c r="CT102" i="1"/>
  <c r="CT103" i="1"/>
  <c r="CT104" i="1"/>
  <c r="CT105" i="1"/>
  <c r="CT106" i="1"/>
  <c r="CT107" i="1"/>
  <c r="CT108" i="1"/>
  <c r="CT109" i="1"/>
  <c r="CT110" i="1"/>
  <c r="CT111" i="1"/>
  <c r="CT112" i="1"/>
  <c r="CT113" i="1"/>
  <c r="CT114" i="1"/>
  <c r="CT115" i="1"/>
  <c r="CT116" i="1"/>
  <c r="CT117" i="1"/>
  <c r="CT118" i="1"/>
  <c r="CT119" i="1"/>
  <c r="CT120" i="1"/>
  <c r="CT121" i="1"/>
  <c r="CT122" i="1"/>
  <c r="CT123" i="1"/>
  <c r="CT124" i="1"/>
  <c r="CT125" i="1"/>
  <c r="CT126" i="1"/>
  <c r="CT127" i="1"/>
  <c r="CT128" i="1"/>
  <c r="CT129" i="1"/>
  <c r="CT130" i="1"/>
  <c r="CT131" i="1"/>
  <c r="CT132" i="1"/>
  <c r="CT133" i="1"/>
  <c r="CT134" i="1"/>
  <c r="CT135" i="1"/>
  <c r="CT136" i="1"/>
  <c r="CT137" i="1"/>
  <c r="CT138" i="1"/>
  <c r="CT139" i="1"/>
  <c r="CT140" i="1"/>
  <c r="CT141" i="1"/>
  <c r="CT142" i="1"/>
  <c r="CT143" i="1"/>
  <c r="CT144" i="1"/>
  <c r="CT145" i="1"/>
  <c r="CT146" i="1"/>
  <c r="CT147" i="1"/>
  <c r="CT148" i="1"/>
  <c r="CT149" i="1"/>
  <c r="CT150" i="1"/>
  <c r="CT151" i="1"/>
  <c r="CT152" i="1"/>
  <c r="CT153" i="1"/>
  <c r="CT154" i="1"/>
  <c r="CT155" i="1"/>
  <c r="CT156" i="1"/>
  <c r="CT157" i="1"/>
  <c r="CT158" i="1"/>
  <c r="CT159" i="1"/>
  <c r="CT160" i="1"/>
  <c r="CT161" i="1"/>
  <c r="CT162" i="1"/>
  <c r="CT163" i="1"/>
  <c r="CT164" i="1"/>
  <c r="CT165" i="1"/>
  <c r="CT166" i="1"/>
  <c r="CT167" i="1"/>
  <c r="CT168" i="1"/>
  <c r="CT169" i="1"/>
  <c r="CT170" i="1"/>
  <c r="CT171" i="1"/>
  <c r="CT172" i="1"/>
  <c r="CT173" i="1"/>
  <c r="CT174" i="1"/>
  <c r="CT175" i="1"/>
  <c r="CT7" i="1"/>
  <c r="CS8" i="1"/>
  <c r="CS9" i="1"/>
  <c r="CS10" i="1"/>
  <c r="CS11" i="1"/>
  <c r="CS12" i="1"/>
  <c r="CS13" i="1"/>
  <c r="CS14" i="1"/>
  <c r="CS15" i="1"/>
  <c r="CS16" i="1"/>
  <c r="CS17" i="1"/>
  <c r="CS18" i="1"/>
  <c r="CS19" i="1"/>
  <c r="CS20" i="1"/>
  <c r="CS21" i="1"/>
  <c r="CS22" i="1"/>
  <c r="CS23" i="1"/>
  <c r="CS24" i="1"/>
  <c r="CS25" i="1"/>
  <c r="CS26" i="1"/>
  <c r="CS27" i="1"/>
  <c r="CS28" i="1"/>
  <c r="CS29" i="1"/>
  <c r="CS30" i="1"/>
  <c r="CS31" i="1"/>
  <c r="CS32" i="1"/>
  <c r="CS33" i="1"/>
  <c r="CS34" i="1"/>
  <c r="CS35" i="1"/>
  <c r="CS36" i="1"/>
  <c r="CS37" i="1"/>
  <c r="CS38" i="1"/>
  <c r="CS39" i="1"/>
  <c r="CS40" i="1"/>
  <c r="CS41" i="1"/>
  <c r="CS42" i="1"/>
  <c r="CS43" i="1"/>
  <c r="CS44" i="1"/>
  <c r="CS45" i="1"/>
  <c r="CS46" i="1"/>
  <c r="CS47" i="1"/>
  <c r="CS48" i="1"/>
  <c r="CS49" i="1"/>
  <c r="CS50" i="1"/>
  <c r="CS51" i="1"/>
  <c r="CS52" i="1"/>
  <c r="CS53" i="1"/>
  <c r="CS54" i="1"/>
  <c r="CS55" i="1"/>
  <c r="CS56" i="1"/>
  <c r="CS57" i="1"/>
  <c r="CS58" i="1"/>
  <c r="CS59" i="1"/>
  <c r="CS60" i="1"/>
  <c r="CS61" i="1"/>
  <c r="CS62" i="1"/>
  <c r="CS63" i="1"/>
  <c r="CS64" i="1"/>
  <c r="CS65" i="1"/>
  <c r="CS66" i="1"/>
  <c r="CS67" i="1"/>
  <c r="CS68" i="1"/>
  <c r="CS69" i="1"/>
  <c r="CS70" i="1"/>
  <c r="CS71" i="1"/>
  <c r="CS72" i="1"/>
  <c r="CS73" i="1"/>
  <c r="CS74" i="1"/>
  <c r="CS75" i="1"/>
  <c r="CS76" i="1"/>
  <c r="CS77" i="1"/>
  <c r="CS78" i="1"/>
  <c r="CS79" i="1"/>
  <c r="CS80" i="1"/>
  <c r="CS81" i="1"/>
  <c r="CS82" i="1"/>
  <c r="CS83" i="1"/>
  <c r="CS84" i="1"/>
  <c r="CS85" i="1"/>
  <c r="CS86" i="1"/>
  <c r="CS87" i="1"/>
  <c r="CS88" i="1"/>
  <c r="CS89" i="1"/>
  <c r="CS90" i="1"/>
  <c r="CS91" i="1"/>
  <c r="CS92" i="1"/>
  <c r="CS93" i="1"/>
  <c r="CS94" i="1"/>
  <c r="CS95" i="1"/>
  <c r="CS96" i="1"/>
  <c r="CS97" i="1"/>
  <c r="CS98" i="1"/>
  <c r="CS99" i="1"/>
  <c r="CS100" i="1"/>
  <c r="CS101" i="1"/>
  <c r="CS102" i="1"/>
  <c r="CS103" i="1"/>
  <c r="CS104" i="1"/>
  <c r="CS105" i="1"/>
  <c r="CS106" i="1"/>
  <c r="CS107" i="1"/>
  <c r="CS108" i="1"/>
  <c r="CS109" i="1"/>
  <c r="CS110" i="1"/>
  <c r="CS111" i="1"/>
  <c r="CS112" i="1"/>
  <c r="CS113" i="1"/>
  <c r="CS114" i="1"/>
  <c r="CS115" i="1"/>
  <c r="CS116" i="1"/>
  <c r="CS117" i="1"/>
  <c r="CS118" i="1"/>
  <c r="CS119" i="1"/>
  <c r="CS120" i="1"/>
  <c r="CS121" i="1"/>
  <c r="CS122" i="1"/>
  <c r="CS123" i="1"/>
  <c r="CS124" i="1"/>
  <c r="CS125" i="1"/>
  <c r="CS126" i="1"/>
  <c r="CS127" i="1"/>
  <c r="CS128" i="1"/>
  <c r="CS129" i="1"/>
  <c r="CS130" i="1"/>
  <c r="CS131" i="1"/>
  <c r="CS132" i="1"/>
  <c r="CS133" i="1"/>
  <c r="CS134" i="1"/>
  <c r="CS135" i="1"/>
  <c r="CS136" i="1"/>
  <c r="CS137" i="1"/>
  <c r="CS138" i="1"/>
  <c r="CS139" i="1"/>
  <c r="CS140" i="1"/>
  <c r="CS141" i="1"/>
  <c r="CS142" i="1"/>
  <c r="CS143" i="1"/>
  <c r="CS144" i="1"/>
  <c r="CS145" i="1"/>
  <c r="CS146" i="1"/>
  <c r="CS147" i="1"/>
  <c r="CS148" i="1"/>
  <c r="CS149" i="1"/>
  <c r="CS150" i="1"/>
  <c r="CS151" i="1"/>
  <c r="CS152" i="1"/>
  <c r="CS153" i="1"/>
  <c r="CS154" i="1"/>
  <c r="CS155" i="1"/>
  <c r="CS156" i="1"/>
  <c r="CS157" i="1"/>
  <c r="CS158" i="1"/>
  <c r="CS159" i="1"/>
  <c r="CS160" i="1"/>
  <c r="CS161" i="1"/>
  <c r="CS162" i="1"/>
  <c r="CS163" i="1"/>
  <c r="CS164" i="1"/>
  <c r="CS165" i="1"/>
  <c r="CS166" i="1"/>
  <c r="CS167" i="1"/>
  <c r="CS168" i="1"/>
  <c r="CS169" i="1"/>
  <c r="CS170" i="1"/>
  <c r="CS171" i="1"/>
  <c r="CS172" i="1"/>
  <c r="CS173" i="1"/>
  <c r="CS174" i="1"/>
  <c r="CS175" i="1"/>
  <c r="CS7" i="1"/>
  <c r="CR8" i="1"/>
  <c r="CR9" i="1"/>
  <c r="CR10" i="1"/>
  <c r="CR11" i="1"/>
  <c r="CR12" i="1"/>
  <c r="CR13" i="1"/>
  <c r="CR14" i="1"/>
  <c r="CR15" i="1"/>
  <c r="CR16" i="1"/>
  <c r="CR17" i="1"/>
  <c r="CR18" i="1"/>
  <c r="CR19" i="1"/>
  <c r="CR20" i="1"/>
  <c r="CR21" i="1"/>
  <c r="CR22" i="1"/>
  <c r="CR23" i="1"/>
  <c r="CR24" i="1"/>
  <c r="CR25" i="1"/>
  <c r="CR26" i="1"/>
  <c r="CR27" i="1"/>
  <c r="CR28" i="1"/>
  <c r="CR29" i="1"/>
  <c r="CR30" i="1"/>
  <c r="CR31" i="1"/>
  <c r="CR32" i="1"/>
  <c r="CR33" i="1"/>
  <c r="CR34" i="1"/>
  <c r="CR35" i="1"/>
  <c r="CR36" i="1"/>
  <c r="CR37" i="1"/>
  <c r="CR38" i="1"/>
  <c r="CR39" i="1"/>
  <c r="CR40" i="1"/>
  <c r="CR41" i="1"/>
  <c r="CR42" i="1"/>
  <c r="CR43" i="1"/>
  <c r="CR44" i="1"/>
  <c r="CR45" i="1"/>
  <c r="CR46" i="1"/>
  <c r="CR47" i="1"/>
  <c r="CR48" i="1"/>
  <c r="CR49" i="1"/>
  <c r="CR50" i="1"/>
  <c r="CR51" i="1"/>
  <c r="CR52" i="1"/>
  <c r="CR53" i="1"/>
  <c r="CR54" i="1"/>
  <c r="CR55" i="1"/>
  <c r="CR56" i="1"/>
  <c r="CR57" i="1"/>
  <c r="CR58" i="1"/>
  <c r="CR59" i="1"/>
  <c r="CR60" i="1"/>
  <c r="CR61" i="1"/>
  <c r="CR62" i="1"/>
  <c r="CR63" i="1"/>
  <c r="CR64" i="1"/>
  <c r="CR65" i="1"/>
  <c r="CR66" i="1"/>
  <c r="CR67" i="1"/>
  <c r="CR68" i="1"/>
  <c r="CR69" i="1"/>
  <c r="CR70" i="1"/>
  <c r="CR71" i="1"/>
  <c r="CR72" i="1"/>
  <c r="CR73" i="1"/>
  <c r="CR74" i="1"/>
  <c r="CR75" i="1"/>
  <c r="CR76" i="1"/>
  <c r="CR77" i="1"/>
  <c r="CR78" i="1"/>
  <c r="CR79" i="1"/>
  <c r="CR80" i="1"/>
  <c r="CR81" i="1"/>
  <c r="CR82" i="1"/>
  <c r="CR83" i="1"/>
  <c r="CR84" i="1"/>
  <c r="CR85" i="1"/>
  <c r="CR86" i="1"/>
  <c r="CR87" i="1"/>
  <c r="CR88" i="1"/>
  <c r="CR89" i="1"/>
  <c r="CR90" i="1"/>
  <c r="CR91" i="1"/>
  <c r="CR92" i="1"/>
  <c r="CR93" i="1"/>
  <c r="CR94" i="1"/>
  <c r="CR95" i="1"/>
  <c r="CR96" i="1"/>
  <c r="CR97" i="1"/>
  <c r="CR98" i="1"/>
  <c r="CR99" i="1"/>
  <c r="CR100" i="1"/>
  <c r="CR101" i="1"/>
  <c r="CR102" i="1"/>
  <c r="CR103" i="1"/>
  <c r="CR104" i="1"/>
  <c r="CR105" i="1"/>
  <c r="CR106" i="1"/>
  <c r="CR107" i="1"/>
  <c r="CR108" i="1"/>
  <c r="CR109" i="1"/>
  <c r="CR110" i="1"/>
  <c r="CR111" i="1"/>
  <c r="CR112" i="1"/>
  <c r="CR113" i="1"/>
  <c r="CR114" i="1"/>
  <c r="CR115" i="1"/>
  <c r="CR116" i="1"/>
  <c r="CR117" i="1"/>
  <c r="CR118" i="1"/>
  <c r="CR119" i="1"/>
  <c r="CR120" i="1"/>
  <c r="CR121" i="1"/>
  <c r="CR122" i="1"/>
  <c r="CR123" i="1"/>
  <c r="CR124" i="1"/>
  <c r="CR125" i="1"/>
  <c r="CR126" i="1"/>
  <c r="CR127" i="1"/>
  <c r="CR128" i="1"/>
  <c r="CR129" i="1"/>
  <c r="CR130" i="1"/>
  <c r="CR131" i="1"/>
  <c r="CR132" i="1"/>
  <c r="CR133" i="1"/>
  <c r="CR134" i="1"/>
  <c r="CR135" i="1"/>
  <c r="CR136" i="1"/>
  <c r="CR137" i="1"/>
  <c r="CR138" i="1"/>
  <c r="CR139" i="1"/>
  <c r="CR140" i="1"/>
  <c r="CR141" i="1"/>
  <c r="CR142" i="1"/>
  <c r="CR143" i="1"/>
  <c r="CR144" i="1"/>
  <c r="CR145" i="1"/>
  <c r="CR146" i="1"/>
  <c r="CR147" i="1"/>
  <c r="CR148" i="1"/>
  <c r="CR149" i="1"/>
  <c r="CR150" i="1"/>
  <c r="CR151" i="1"/>
  <c r="CR152" i="1"/>
  <c r="CR153" i="1"/>
  <c r="CR154" i="1"/>
  <c r="CR155" i="1"/>
  <c r="CR156" i="1"/>
  <c r="CR157" i="1"/>
  <c r="CR158" i="1"/>
  <c r="CR159" i="1"/>
  <c r="CR160" i="1"/>
  <c r="CR161" i="1"/>
  <c r="CR162" i="1"/>
  <c r="CR163" i="1"/>
  <c r="CR164" i="1"/>
  <c r="CR165" i="1"/>
  <c r="CR166" i="1"/>
  <c r="CR167" i="1"/>
  <c r="CR168" i="1"/>
  <c r="CR169" i="1"/>
  <c r="CR170" i="1"/>
  <c r="CR171" i="1"/>
  <c r="CR172" i="1"/>
  <c r="CR173" i="1"/>
  <c r="CR174" i="1"/>
  <c r="CR175" i="1"/>
  <c r="CR7" i="1"/>
  <c r="CQ8" i="1"/>
  <c r="CQ9" i="1"/>
  <c r="CQ10" i="1"/>
  <c r="CQ11" i="1"/>
  <c r="CQ12" i="1"/>
  <c r="CQ13" i="1"/>
  <c r="CQ14" i="1"/>
  <c r="CQ15" i="1"/>
  <c r="CQ16" i="1"/>
  <c r="CQ17" i="1"/>
  <c r="CQ18" i="1"/>
  <c r="CQ19" i="1"/>
  <c r="CQ20" i="1"/>
  <c r="CQ21" i="1"/>
  <c r="CQ22" i="1"/>
  <c r="CQ23" i="1"/>
  <c r="CQ24" i="1"/>
  <c r="CQ25" i="1"/>
  <c r="CQ26" i="1"/>
  <c r="CQ27" i="1"/>
  <c r="CQ28" i="1"/>
  <c r="CQ29" i="1"/>
  <c r="CQ30" i="1"/>
  <c r="CQ31" i="1"/>
  <c r="CQ32" i="1"/>
  <c r="CQ33" i="1"/>
  <c r="CQ34" i="1"/>
  <c r="CQ35" i="1"/>
  <c r="CQ36" i="1"/>
  <c r="CQ37" i="1"/>
  <c r="CQ38" i="1"/>
  <c r="CQ39" i="1"/>
  <c r="CQ40" i="1"/>
  <c r="CQ41" i="1"/>
  <c r="CQ42" i="1"/>
  <c r="CQ43" i="1"/>
  <c r="CQ44" i="1"/>
  <c r="CQ45" i="1"/>
  <c r="CQ46" i="1"/>
  <c r="CQ47" i="1"/>
  <c r="CQ48" i="1"/>
  <c r="CQ49" i="1"/>
  <c r="CQ50" i="1"/>
  <c r="CQ51" i="1"/>
  <c r="CQ52" i="1"/>
  <c r="CQ53" i="1"/>
  <c r="CQ54" i="1"/>
  <c r="CQ55" i="1"/>
  <c r="CQ56" i="1"/>
  <c r="CQ57" i="1"/>
  <c r="CQ58" i="1"/>
  <c r="CQ59" i="1"/>
  <c r="CQ60" i="1"/>
  <c r="CQ61" i="1"/>
  <c r="CQ62" i="1"/>
  <c r="CQ63" i="1"/>
  <c r="CQ64" i="1"/>
  <c r="CQ65" i="1"/>
  <c r="CQ66" i="1"/>
  <c r="CQ67" i="1"/>
  <c r="CQ68" i="1"/>
  <c r="CQ69" i="1"/>
  <c r="CQ70" i="1"/>
  <c r="CQ71" i="1"/>
  <c r="CQ72" i="1"/>
  <c r="CQ73" i="1"/>
  <c r="CQ74" i="1"/>
  <c r="CQ75" i="1"/>
  <c r="CQ76" i="1"/>
  <c r="CQ77" i="1"/>
  <c r="CQ78" i="1"/>
  <c r="CQ79" i="1"/>
  <c r="CQ80" i="1"/>
  <c r="CQ81" i="1"/>
  <c r="CQ82" i="1"/>
  <c r="CQ83" i="1"/>
  <c r="CQ84" i="1"/>
  <c r="CQ85" i="1"/>
  <c r="CQ86" i="1"/>
  <c r="CQ87" i="1"/>
  <c r="CQ88" i="1"/>
  <c r="CQ89" i="1"/>
  <c r="CQ90" i="1"/>
  <c r="CQ91" i="1"/>
  <c r="CQ92" i="1"/>
  <c r="CQ93" i="1"/>
  <c r="CQ94" i="1"/>
  <c r="CQ95" i="1"/>
  <c r="CQ96" i="1"/>
  <c r="CQ97" i="1"/>
  <c r="CQ98" i="1"/>
  <c r="CQ99" i="1"/>
  <c r="CQ100" i="1"/>
  <c r="CQ101" i="1"/>
  <c r="CQ102" i="1"/>
  <c r="CQ103" i="1"/>
  <c r="CQ104" i="1"/>
  <c r="CQ105" i="1"/>
  <c r="CQ106" i="1"/>
  <c r="CQ107" i="1"/>
  <c r="CQ108" i="1"/>
  <c r="CQ109" i="1"/>
  <c r="CQ110" i="1"/>
  <c r="CQ111" i="1"/>
  <c r="CQ112" i="1"/>
  <c r="CQ113" i="1"/>
  <c r="CQ114" i="1"/>
  <c r="CQ115" i="1"/>
  <c r="CQ116" i="1"/>
  <c r="CQ117" i="1"/>
  <c r="CQ118" i="1"/>
  <c r="CQ119" i="1"/>
  <c r="CQ120" i="1"/>
  <c r="CQ121" i="1"/>
  <c r="CQ122" i="1"/>
  <c r="CQ123" i="1"/>
  <c r="CQ124" i="1"/>
  <c r="CQ125" i="1"/>
  <c r="CQ126" i="1"/>
  <c r="CQ127" i="1"/>
  <c r="CQ128" i="1"/>
  <c r="CQ129" i="1"/>
  <c r="CQ130" i="1"/>
  <c r="CQ131" i="1"/>
  <c r="CQ132" i="1"/>
  <c r="CQ133" i="1"/>
  <c r="CQ134" i="1"/>
  <c r="CQ135" i="1"/>
  <c r="CQ136" i="1"/>
  <c r="CQ137" i="1"/>
  <c r="CQ138" i="1"/>
  <c r="CQ139" i="1"/>
  <c r="CQ140" i="1"/>
  <c r="CQ141" i="1"/>
  <c r="CQ142" i="1"/>
  <c r="CQ143" i="1"/>
  <c r="CQ144" i="1"/>
  <c r="CQ145" i="1"/>
  <c r="CQ146" i="1"/>
  <c r="CQ147" i="1"/>
  <c r="CQ148" i="1"/>
  <c r="CQ149" i="1"/>
  <c r="CQ150" i="1"/>
  <c r="CQ151" i="1"/>
  <c r="CQ152" i="1"/>
  <c r="CQ153" i="1"/>
  <c r="CQ154" i="1"/>
  <c r="CQ155" i="1"/>
  <c r="CQ156" i="1"/>
  <c r="CQ157" i="1"/>
  <c r="CQ158" i="1"/>
  <c r="CQ159" i="1"/>
  <c r="CQ160" i="1"/>
  <c r="CQ161" i="1"/>
  <c r="CQ162" i="1"/>
  <c r="CQ163" i="1"/>
  <c r="CQ164" i="1"/>
  <c r="CQ165" i="1"/>
  <c r="CQ166" i="1"/>
  <c r="CQ167" i="1"/>
  <c r="CQ168" i="1"/>
  <c r="CQ169" i="1"/>
  <c r="CQ170" i="1"/>
  <c r="CQ171" i="1"/>
  <c r="CQ172" i="1"/>
  <c r="CQ173" i="1"/>
  <c r="CQ174" i="1"/>
  <c r="CQ175" i="1"/>
  <c r="CQ7" i="1"/>
  <c r="CP8" i="1"/>
  <c r="CP9" i="1"/>
  <c r="CP10" i="1"/>
  <c r="CP11" i="1"/>
  <c r="CP12" i="1"/>
  <c r="CP13" i="1"/>
  <c r="CP14" i="1"/>
  <c r="CP15" i="1"/>
  <c r="CP16" i="1"/>
  <c r="CP17" i="1"/>
  <c r="CP18" i="1"/>
  <c r="CP19" i="1"/>
  <c r="CP20" i="1"/>
  <c r="CP21" i="1"/>
  <c r="CP22" i="1"/>
  <c r="CP23" i="1"/>
  <c r="CP24" i="1"/>
  <c r="CP25" i="1"/>
  <c r="CP26" i="1"/>
  <c r="CP27" i="1"/>
  <c r="CP28" i="1"/>
  <c r="CP29" i="1"/>
  <c r="CP30" i="1"/>
  <c r="CP31" i="1"/>
  <c r="CP32" i="1"/>
  <c r="CP33" i="1"/>
  <c r="CP34" i="1"/>
  <c r="CP35" i="1"/>
  <c r="CP36" i="1"/>
  <c r="CP37" i="1"/>
  <c r="CP38" i="1"/>
  <c r="CP39" i="1"/>
  <c r="CP40" i="1"/>
  <c r="CP41" i="1"/>
  <c r="CP42" i="1"/>
  <c r="CP43" i="1"/>
  <c r="CP44" i="1"/>
  <c r="CP45" i="1"/>
  <c r="CP46" i="1"/>
  <c r="CP47" i="1"/>
  <c r="CP48" i="1"/>
  <c r="CP49" i="1"/>
  <c r="CP50" i="1"/>
  <c r="CP51" i="1"/>
  <c r="CP52" i="1"/>
  <c r="CP53" i="1"/>
  <c r="CP54" i="1"/>
  <c r="CP55" i="1"/>
  <c r="CP56" i="1"/>
  <c r="CP57" i="1"/>
  <c r="CP58" i="1"/>
  <c r="CP59" i="1"/>
  <c r="CP60" i="1"/>
  <c r="CP61" i="1"/>
  <c r="CP62" i="1"/>
  <c r="CP63" i="1"/>
  <c r="CP64" i="1"/>
  <c r="CP65" i="1"/>
  <c r="CP66" i="1"/>
  <c r="CP67" i="1"/>
  <c r="CP68" i="1"/>
  <c r="CP69" i="1"/>
  <c r="CP70" i="1"/>
  <c r="CP71" i="1"/>
  <c r="CP72" i="1"/>
  <c r="CP73" i="1"/>
  <c r="CP74" i="1"/>
  <c r="CP75" i="1"/>
  <c r="CP76" i="1"/>
  <c r="CP77" i="1"/>
  <c r="CP78" i="1"/>
  <c r="CP79" i="1"/>
  <c r="CP80" i="1"/>
  <c r="CP81" i="1"/>
  <c r="CP82" i="1"/>
  <c r="CP83" i="1"/>
  <c r="CP84" i="1"/>
  <c r="CP85" i="1"/>
  <c r="CP86" i="1"/>
  <c r="CP87" i="1"/>
  <c r="CP88" i="1"/>
  <c r="CP89" i="1"/>
  <c r="CP90" i="1"/>
  <c r="CP91" i="1"/>
  <c r="CP92" i="1"/>
  <c r="CP93" i="1"/>
  <c r="CP94" i="1"/>
  <c r="CP95" i="1"/>
  <c r="CP96" i="1"/>
  <c r="CP97" i="1"/>
  <c r="CP98" i="1"/>
  <c r="CP99" i="1"/>
  <c r="CP100" i="1"/>
  <c r="CP101" i="1"/>
  <c r="CP102" i="1"/>
  <c r="CP103" i="1"/>
  <c r="CP104" i="1"/>
  <c r="CP105" i="1"/>
  <c r="CP106" i="1"/>
  <c r="CP107" i="1"/>
  <c r="CP108" i="1"/>
  <c r="CP109" i="1"/>
  <c r="CP110" i="1"/>
  <c r="CP111" i="1"/>
  <c r="CP112" i="1"/>
  <c r="CP113" i="1"/>
  <c r="CP114" i="1"/>
  <c r="CP115" i="1"/>
  <c r="CP116" i="1"/>
  <c r="CP117" i="1"/>
  <c r="CP118" i="1"/>
  <c r="CP119" i="1"/>
  <c r="CP120" i="1"/>
  <c r="CP121" i="1"/>
  <c r="CP122" i="1"/>
  <c r="CP123" i="1"/>
  <c r="CP124" i="1"/>
  <c r="CP125" i="1"/>
  <c r="CP126" i="1"/>
  <c r="CP127" i="1"/>
  <c r="CP128" i="1"/>
  <c r="CP129" i="1"/>
  <c r="CP130" i="1"/>
  <c r="CP131" i="1"/>
  <c r="CP132" i="1"/>
  <c r="CP133" i="1"/>
  <c r="CP134" i="1"/>
  <c r="CP135" i="1"/>
  <c r="CP136" i="1"/>
  <c r="CP137" i="1"/>
  <c r="CP138" i="1"/>
  <c r="CP139" i="1"/>
  <c r="CP140" i="1"/>
  <c r="CP141" i="1"/>
  <c r="CP142" i="1"/>
  <c r="CP143" i="1"/>
  <c r="CP144" i="1"/>
  <c r="CP145" i="1"/>
  <c r="CP146" i="1"/>
  <c r="CP147" i="1"/>
  <c r="CP148" i="1"/>
  <c r="CP149" i="1"/>
  <c r="CP150" i="1"/>
  <c r="CP151" i="1"/>
  <c r="CP152" i="1"/>
  <c r="CP153" i="1"/>
  <c r="CP154" i="1"/>
  <c r="CP155" i="1"/>
  <c r="CP156" i="1"/>
  <c r="CP157" i="1"/>
  <c r="CP158" i="1"/>
  <c r="CP159" i="1"/>
  <c r="CP160" i="1"/>
  <c r="CP161" i="1"/>
  <c r="CP162" i="1"/>
  <c r="CP163" i="1"/>
  <c r="CP164" i="1"/>
  <c r="CP165" i="1"/>
  <c r="CP166" i="1"/>
  <c r="CP167" i="1"/>
  <c r="CP168" i="1"/>
  <c r="CP169" i="1"/>
  <c r="CP170" i="1"/>
  <c r="CP171" i="1"/>
  <c r="CP172" i="1"/>
  <c r="CP173" i="1"/>
  <c r="CP174" i="1"/>
  <c r="CP175" i="1"/>
  <c r="CP7" i="1"/>
  <c r="CO8" i="1"/>
  <c r="CO9" i="1"/>
  <c r="CO10" i="1"/>
  <c r="CO11" i="1"/>
  <c r="CO12" i="1"/>
  <c r="CO13" i="1"/>
  <c r="CO14" i="1"/>
  <c r="CO15" i="1"/>
  <c r="CO16" i="1"/>
  <c r="CO17" i="1"/>
  <c r="CO18" i="1"/>
  <c r="CO19" i="1"/>
  <c r="CO20" i="1"/>
  <c r="CO21" i="1"/>
  <c r="CO22" i="1"/>
  <c r="CO23" i="1"/>
  <c r="CO24" i="1"/>
  <c r="CO25" i="1"/>
  <c r="CO26" i="1"/>
  <c r="CO27" i="1"/>
  <c r="CO28" i="1"/>
  <c r="CO29" i="1"/>
  <c r="CO30" i="1"/>
  <c r="CO31" i="1"/>
  <c r="CO32" i="1"/>
  <c r="CO33" i="1"/>
  <c r="CO34" i="1"/>
  <c r="CO35" i="1"/>
  <c r="CO36" i="1"/>
  <c r="CO37" i="1"/>
  <c r="CO38" i="1"/>
  <c r="CO39" i="1"/>
  <c r="CO40" i="1"/>
  <c r="CO41" i="1"/>
  <c r="CO42" i="1"/>
  <c r="CO43" i="1"/>
  <c r="CO44" i="1"/>
  <c r="CO45" i="1"/>
  <c r="CO46" i="1"/>
  <c r="CO47" i="1"/>
  <c r="CO48" i="1"/>
  <c r="CO49" i="1"/>
  <c r="CO50" i="1"/>
  <c r="CO51" i="1"/>
  <c r="CO52" i="1"/>
  <c r="CO53" i="1"/>
  <c r="CO54" i="1"/>
  <c r="CO55" i="1"/>
  <c r="CO56" i="1"/>
  <c r="CO57" i="1"/>
  <c r="CO58" i="1"/>
  <c r="CO59" i="1"/>
  <c r="CO60" i="1"/>
  <c r="CO61" i="1"/>
  <c r="CO62" i="1"/>
  <c r="CO63" i="1"/>
  <c r="CO64" i="1"/>
  <c r="CO65" i="1"/>
  <c r="CO66" i="1"/>
  <c r="CO67" i="1"/>
  <c r="CO68" i="1"/>
  <c r="CO69" i="1"/>
  <c r="CO70" i="1"/>
  <c r="CO71" i="1"/>
  <c r="CO72" i="1"/>
  <c r="CO73" i="1"/>
  <c r="CO74" i="1"/>
  <c r="CO75" i="1"/>
  <c r="CO76" i="1"/>
  <c r="CO77" i="1"/>
  <c r="CO78" i="1"/>
  <c r="CO79" i="1"/>
  <c r="CO80" i="1"/>
  <c r="CO81" i="1"/>
  <c r="CO82" i="1"/>
  <c r="CO83" i="1"/>
  <c r="CO84" i="1"/>
  <c r="CO85" i="1"/>
  <c r="CO86" i="1"/>
  <c r="CO87" i="1"/>
  <c r="CO88" i="1"/>
  <c r="CO89" i="1"/>
  <c r="CO90" i="1"/>
  <c r="CO91" i="1"/>
  <c r="CO92" i="1"/>
  <c r="CO93" i="1"/>
  <c r="CO94" i="1"/>
  <c r="CO95" i="1"/>
  <c r="CO96" i="1"/>
  <c r="CO97" i="1"/>
  <c r="CO98" i="1"/>
  <c r="CO99" i="1"/>
  <c r="CO100" i="1"/>
  <c r="CO101" i="1"/>
  <c r="CO102" i="1"/>
  <c r="CO103" i="1"/>
  <c r="CO104" i="1"/>
  <c r="CO105" i="1"/>
  <c r="CO106" i="1"/>
  <c r="CO107" i="1"/>
  <c r="CO108" i="1"/>
  <c r="CO109" i="1"/>
  <c r="CO110" i="1"/>
  <c r="CO111" i="1"/>
  <c r="CO112" i="1"/>
  <c r="CO113" i="1"/>
  <c r="CO114" i="1"/>
  <c r="CO115" i="1"/>
  <c r="CO116" i="1"/>
  <c r="CO117" i="1"/>
  <c r="CO118" i="1"/>
  <c r="CO119" i="1"/>
  <c r="CO120" i="1"/>
  <c r="CO121" i="1"/>
  <c r="CO122" i="1"/>
  <c r="CO123" i="1"/>
  <c r="CO124" i="1"/>
  <c r="CO125" i="1"/>
  <c r="CO126" i="1"/>
  <c r="CO127" i="1"/>
  <c r="CO128" i="1"/>
  <c r="CO129" i="1"/>
  <c r="CO130" i="1"/>
  <c r="CO131" i="1"/>
  <c r="CO132" i="1"/>
  <c r="CO133" i="1"/>
  <c r="CO134" i="1"/>
  <c r="CO135" i="1"/>
  <c r="CO136" i="1"/>
  <c r="CO137" i="1"/>
  <c r="CO138" i="1"/>
  <c r="CO139" i="1"/>
  <c r="CO140" i="1"/>
  <c r="CO141" i="1"/>
  <c r="CO142" i="1"/>
  <c r="CO143" i="1"/>
  <c r="CO144" i="1"/>
  <c r="CO145" i="1"/>
  <c r="CO146" i="1"/>
  <c r="CO147" i="1"/>
  <c r="CO148" i="1"/>
  <c r="CO149" i="1"/>
  <c r="CO150" i="1"/>
  <c r="CO151" i="1"/>
  <c r="CO152" i="1"/>
  <c r="CO153" i="1"/>
  <c r="CO154" i="1"/>
  <c r="CO155" i="1"/>
  <c r="CO156" i="1"/>
  <c r="CO157" i="1"/>
  <c r="CO158" i="1"/>
  <c r="CO159" i="1"/>
  <c r="CO160" i="1"/>
  <c r="CO161" i="1"/>
  <c r="CO162" i="1"/>
  <c r="CO163" i="1"/>
  <c r="CO164" i="1"/>
  <c r="CO165" i="1"/>
  <c r="CO166" i="1"/>
  <c r="CO167" i="1"/>
  <c r="CO168" i="1"/>
  <c r="CO169" i="1"/>
  <c r="CO170" i="1"/>
  <c r="CO171" i="1"/>
  <c r="CO172" i="1"/>
  <c r="CO173" i="1"/>
  <c r="CO174" i="1"/>
  <c r="CO175" i="1"/>
  <c r="CO7" i="1"/>
  <c r="CN8" i="1"/>
  <c r="CN9" i="1"/>
  <c r="CN10" i="1"/>
  <c r="CN11" i="1"/>
  <c r="CN12" i="1"/>
  <c r="CN13" i="1"/>
  <c r="CN14" i="1"/>
  <c r="CN15" i="1"/>
  <c r="CN16" i="1"/>
  <c r="CN17" i="1"/>
  <c r="CN18" i="1"/>
  <c r="CN19" i="1"/>
  <c r="CN20" i="1"/>
  <c r="CN21" i="1"/>
  <c r="CN22" i="1"/>
  <c r="CN23" i="1"/>
  <c r="CN24" i="1"/>
  <c r="CN25" i="1"/>
  <c r="CN26" i="1"/>
  <c r="CN27" i="1"/>
  <c r="CN28" i="1"/>
  <c r="CN29" i="1"/>
  <c r="CN30" i="1"/>
  <c r="CN31" i="1"/>
  <c r="CN32" i="1"/>
  <c r="CN33" i="1"/>
  <c r="CN34" i="1"/>
  <c r="CN35" i="1"/>
  <c r="CN36" i="1"/>
  <c r="CN37" i="1"/>
  <c r="CN38" i="1"/>
  <c r="CN39" i="1"/>
  <c r="CN40" i="1"/>
  <c r="CN41" i="1"/>
  <c r="CN42" i="1"/>
  <c r="CN43" i="1"/>
  <c r="CN44" i="1"/>
  <c r="CN45" i="1"/>
  <c r="CN46" i="1"/>
  <c r="CN47" i="1"/>
  <c r="CN48" i="1"/>
  <c r="CN49" i="1"/>
  <c r="CN50" i="1"/>
  <c r="CN51" i="1"/>
  <c r="CN52" i="1"/>
  <c r="CN53" i="1"/>
  <c r="CN54" i="1"/>
  <c r="CN55" i="1"/>
  <c r="CN56" i="1"/>
  <c r="CN57" i="1"/>
  <c r="CN58" i="1"/>
  <c r="CN59" i="1"/>
  <c r="CN60" i="1"/>
  <c r="CN61" i="1"/>
  <c r="CN62" i="1"/>
  <c r="CN63" i="1"/>
  <c r="CN64" i="1"/>
  <c r="CN65" i="1"/>
  <c r="CN66" i="1"/>
  <c r="CN67" i="1"/>
  <c r="CN68" i="1"/>
  <c r="CN69" i="1"/>
  <c r="CN70" i="1"/>
  <c r="CN71" i="1"/>
  <c r="CN72" i="1"/>
  <c r="CN73" i="1"/>
  <c r="CN74" i="1"/>
  <c r="CN75" i="1"/>
  <c r="CN76" i="1"/>
  <c r="CN77" i="1"/>
  <c r="CN78" i="1"/>
  <c r="CN79" i="1"/>
  <c r="CN80" i="1"/>
  <c r="CN81" i="1"/>
  <c r="CN82" i="1"/>
  <c r="CN83" i="1"/>
  <c r="CN84" i="1"/>
  <c r="CN85" i="1"/>
  <c r="CN86" i="1"/>
  <c r="CN87" i="1"/>
  <c r="CN88" i="1"/>
  <c r="CN89" i="1"/>
  <c r="CN90" i="1"/>
  <c r="CN91" i="1"/>
  <c r="CN92" i="1"/>
  <c r="CN93" i="1"/>
  <c r="CN94" i="1"/>
  <c r="CN95" i="1"/>
  <c r="CN96" i="1"/>
  <c r="CN97" i="1"/>
  <c r="CN98" i="1"/>
  <c r="CN99" i="1"/>
  <c r="CN100" i="1"/>
  <c r="CN101" i="1"/>
  <c r="CN102" i="1"/>
  <c r="CN103" i="1"/>
  <c r="CN104" i="1"/>
  <c r="CN105" i="1"/>
  <c r="CN106" i="1"/>
  <c r="CN107" i="1"/>
  <c r="CN108" i="1"/>
  <c r="CN109" i="1"/>
  <c r="CN110" i="1"/>
  <c r="CN111" i="1"/>
  <c r="CN112" i="1"/>
  <c r="CN113" i="1"/>
  <c r="CN114" i="1"/>
  <c r="CN115" i="1"/>
  <c r="CN116" i="1"/>
  <c r="CN117" i="1"/>
  <c r="CN118" i="1"/>
  <c r="CN119" i="1"/>
  <c r="CN120" i="1"/>
  <c r="CN121" i="1"/>
  <c r="CN122" i="1"/>
  <c r="CN123" i="1"/>
  <c r="CN124" i="1"/>
  <c r="CN125" i="1"/>
  <c r="CN126" i="1"/>
  <c r="CN127" i="1"/>
  <c r="CN128" i="1"/>
  <c r="CN129" i="1"/>
  <c r="CN130" i="1"/>
  <c r="CN131" i="1"/>
  <c r="CN132" i="1"/>
  <c r="CN133" i="1"/>
  <c r="CN134" i="1"/>
  <c r="CN135" i="1"/>
  <c r="CN136" i="1"/>
  <c r="CN137" i="1"/>
  <c r="CN138" i="1"/>
  <c r="CN139" i="1"/>
  <c r="CN140" i="1"/>
  <c r="CN141" i="1"/>
  <c r="CN142" i="1"/>
  <c r="CN143" i="1"/>
  <c r="CN144" i="1"/>
  <c r="CN145" i="1"/>
  <c r="CN146" i="1"/>
  <c r="CN147" i="1"/>
  <c r="CN148" i="1"/>
  <c r="CN149" i="1"/>
  <c r="CN150" i="1"/>
  <c r="CN151" i="1"/>
  <c r="CN152" i="1"/>
  <c r="CN153" i="1"/>
  <c r="CN154" i="1"/>
  <c r="CN155" i="1"/>
  <c r="CN156" i="1"/>
  <c r="CN157" i="1"/>
  <c r="CN158" i="1"/>
  <c r="CN159" i="1"/>
  <c r="CN160" i="1"/>
  <c r="CN161" i="1"/>
  <c r="CN162" i="1"/>
  <c r="CN163" i="1"/>
  <c r="CN164" i="1"/>
  <c r="CN165" i="1"/>
  <c r="CN166" i="1"/>
  <c r="CN167" i="1"/>
  <c r="CN168" i="1"/>
  <c r="CN169" i="1"/>
  <c r="CN170" i="1"/>
  <c r="CN171" i="1"/>
  <c r="CN172" i="1"/>
  <c r="CN173" i="1"/>
  <c r="CN174" i="1"/>
  <c r="CN175" i="1"/>
  <c r="CN7" i="1"/>
  <c r="CM8" i="1"/>
  <c r="CM9" i="1"/>
  <c r="CM10" i="1"/>
  <c r="CM11" i="1"/>
  <c r="CM12" i="1"/>
  <c r="CM13" i="1"/>
  <c r="CM14" i="1"/>
  <c r="CM15" i="1"/>
  <c r="CM16" i="1"/>
  <c r="CM17" i="1"/>
  <c r="CM18" i="1"/>
  <c r="CM19" i="1"/>
  <c r="CM20" i="1"/>
  <c r="CM21" i="1"/>
  <c r="CM22" i="1"/>
  <c r="CM23" i="1"/>
  <c r="CM24" i="1"/>
  <c r="CM25" i="1"/>
  <c r="CM26" i="1"/>
  <c r="CM27" i="1"/>
  <c r="CM28" i="1"/>
  <c r="CM29" i="1"/>
  <c r="CM30" i="1"/>
  <c r="CM31" i="1"/>
  <c r="CM32" i="1"/>
  <c r="CM33" i="1"/>
  <c r="CM34" i="1"/>
  <c r="CM35" i="1"/>
  <c r="CM36" i="1"/>
  <c r="CM37" i="1"/>
  <c r="CM38" i="1"/>
  <c r="CM39" i="1"/>
  <c r="CM40" i="1"/>
  <c r="CM41" i="1"/>
  <c r="CM42" i="1"/>
  <c r="CM43" i="1"/>
  <c r="CM44" i="1"/>
  <c r="CM45" i="1"/>
  <c r="CM46" i="1"/>
  <c r="CM47" i="1"/>
  <c r="CM48" i="1"/>
  <c r="CM49" i="1"/>
  <c r="CM50" i="1"/>
  <c r="CM51" i="1"/>
  <c r="CM52" i="1"/>
  <c r="CM53" i="1"/>
  <c r="CM54" i="1"/>
  <c r="CM55" i="1"/>
  <c r="CM56" i="1"/>
  <c r="CM57" i="1"/>
  <c r="CM58" i="1"/>
  <c r="CM59" i="1"/>
  <c r="CM60" i="1"/>
  <c r="CM61" i="1"/>
  <c r="CM62" i="1"/>
  <c r="CM63" i="1"/>
  <c r="CM64" i="1"/>
  <c r="CM65" i="1"/>
  <c r="CM66" i="1"/>
  <c r="CM67" i="1"/>
  <c r="CM68" i="1"/>
  <c r="CM69" i="1"/>
  <c r="CM70" i="1"/>
  <c r="CM71" i="1"/>
  <c r="CM72" i="1"/>
  <c r="CM73" i="1"/>
  <c r="CM74" i="1"/>
  <c r="CM75" i="1"/>
  <c r="CM76" i="1"/>
  <c r="CM77" i="1"/>
  <c r="CM78" i="1"/>
  <c r="CM79" i="1"/>
  <c r="CM80" i="1"/>
  <c r="CM81" i="1"/>
  <c r="CM82" i="1"/>
  <c r="CM83" i="1"/>
  <c r="CM84" i="1"/>
  <c r="CM85" i="1"/>
  <c r="CM86" i="1"/>
  <c r="CM87" i="1"/>
  <c r="CM88" i="1"/>
  <c r="CM89" i="1"/>
  <c r="CM90" i="1"/>
  <c r="CM91" i="1"/>
  <c r="CM92" i="1"/>
  <c r="CM93" i="1"/>
  <c r="CM94" i="1"/>
  <c r="CM95" i="1"/>
  <c r="CM96" i="1"/>
  <c r="CM97" i="1"/>
  <c r="CM98" i="1"/>
  <c r="CM99" i="1"/>
  <c r="CM100" i="1"/>
  <c r="CM101" i="1"/>
  <c r="CM102" i="1"/>
  <c r="CM103" i="1"/>
  <c r="CM104" i="1"/>
  <c r="CM105" i="1"/>
  <c r="CM106" i="1"/>
  <c r="CM107" i="1"/>
  <c r="CM108" i="1"/>
  <c r="CM109" i="1"/>
  <c r="CM110" i="1"/>
  <c r="CM111" i="1"/>
  <c r="CM112" i="1"/>
  <c r="CM113" i="1"/>
  <c r="CM114" i="1"/>
  <c r="CM115" i="1"/>
  <c r="CM116" i="1"/>
  <c r="CM117" i="1"/>
  <c r="CM118" i="1"/>
  <c r="CM119" i="1"/>
  <c r="CM120" i="1"/>
  <c r="CM121" i="1"/>
  <c r="CM122" i="1"/>
  <c r="CM123" i="1"/>
  <c r="CM124" i="1"/>
  <c r="CM125" i="1"/>
  <c r="CM126" i="1"/>
  <c r="CM127" i="1"/>
  <c r="CM128" i="1"/>
  <c r="CM129" i="1"/>
  <c r="CM130" i="1"/>
  <c r="CM131" i="1"/>
  <c r="CM132" i="1"/>
  <c r="CM133" i="1"/>
  <c r="CM134" i="1"/>
  <c r="CM135" i="1"/>
  <c r="CM136" i="1"/>
  <c r="CM137" i="1"/>
  <c r="CM138" i="1"/>
  <c r="CM139" i="1"/>
  <c r="CM140" i="1"/>
  <c r="CM141" i="1"/>
  <c r="CM142" i="1"/>
  <c r="CM143" i="1"/>
  <c r="CM144" i="1"/>
  <c r="CM145" i="1"/>
  <c r="CM146" i="1"/>
  <c r="CM147" i="1"/>
  <c r="CM148" i="1"/>
  <c r="CM149" i="1"/>
  <c r="CM150" i="1"/>
  <c r="CM151" i="1"/>
  <c r="CM152" i="1"/>
  <c r="CM153" i="1"/>
  <c r="CM154" i="1"/>
  <c r="CM155" i="1"/>
  <c r="CM156" i="1"/>
  <c r="CM157" i="1"/>
  <c r="CM158" i="1"/>
  <c r="CM159" i="1"/>
  <c r="CM160" i="1"/>
  <c r="CM161" i="1"/>
  <c r="CM162" i="1"/>
  <c r="CM163" i="1"/>
  <c r="CM164" i="1"/>
  <c r="CM165" i="1"/>
  <c r="CM166" i="1"/>
  <c r="CM167" i="1"/>
  <c r="CM168" i="1"/>
  <c r="CM169" i="1"/>
  <c r="CM170" i="1"/>
  <c r="CM171" i="1"/>
  <c r="CM172" i="1"/>
  <c r="CM173" i="1"/>
  <c r="CM174" i="1"/>
  <c r="CM175" i="1"/>
  <c r="CM7" i="1"/>
  <c r="CL8" i="1"/>
  <c r="CL9" i="1"/>
  <c r="CL10" i="1"/>
  <c r="CL11" i="1"/>
  <c r="CL12" i="1"/>
  <c r="CL13" i="1"/>
  <c r="CL14" i="1"/>
  <c r="CL15" i="1"/>
  <c r="CL16" i="1"/>
  <c r="CL17" i="1"/>
  <c r="CL18" i="1"/>
  <c r="CL19" i="1"/>
  <c r="CL20" i="1"/>
  <c r="CL21" i="1"/>
  <c r="CL22" i="1"/>
  <c r="CL23" i="1"/>
  <c r="CL24" i="1"/>
  <c r="CL25" i="1"/>
  <c r="CL26" i="1"/>
  <c r="CL27" i="1"/>
  <c r="CL28" i="1"/>
  <c r="CL29" i="1"/>
  <c r="CL30" i="1"/>
  <c r="CL31" i="1"/>
  <c r="CL32" i="1"/>
  <c r="CL33" i="1"/>
  <c r="CL34" i="1"/>
  <c r="CL35" i="1"/>
  <c r="CL36" i="1"/>
  <c r="CL37" i="1"/>
  <c r="CL38" i="1"/>
  <c r="CL39" i="1"/>
  <c r="CL40" i="1"/>
  <c r="CL41" i="1"/>
  <c r="CL42" i="1"/>
  <c r="CL43" i="1"/>
  <c r="CL44" i="1"/>
  <c r="CL45" i="1"/>
  <c r="CL46" i="1"/>
  <c r="CL47" i="1"/>
  <c r="CL48" i="1"/>
  <c r="CL49" i="1"/>
  <c r="CL50" i="1"/>
  <c r="CL51" i="1"/>
  <c r="CL52" i="1"/>
  <c r="CL53" i="1"/>
  <c r="CL54" i="1"/>
  <c r="CL55" i="1"/>
  <c r="CL56" i="1"/>
  <c r="CL57" i="1"/>
  <c r="CL58" i="1"/>
  <c r="CL59" i="1"/>
  <c r="CL60" i="1"/>
  <c r="CL61" i="1"/>
  <c r="CL62" i="1"/>
  <c r="CL63" i="1"/>
  <c r="CL64" i="1"/>
  <c r="CL65" i="1"/>
  <c r="CL66" i="1"/>
  <c r="CL67" i="1"/>
  <c r="CL68" i="1"/>
  <c r="CL69" i="1"/>
  <c r="CL70" i="1"/>
  <c r="CL71" i="1"/>
  <c r="CL72" i="1"/>
  <c r="CL73" i="1"/>
  <c r="CL74" i="1"/>
  <c r="CL75" i="1"/>
  <c r="CL76" i="1"/>
  <c r="CL77" i="1"/>
  <c r="CL78" i="1"/>
  <c r="CL79" i="1"/>
  <c r="CL80" i="1"/>
  <c r="CL81" i="1"/>
  <c r="CL82" i="1"/>
  <c r="CL83" i="1"/>
  <c r="CL84" i="1"/>
  <c r="CL85" i="1"/>
  <c r="CL86" i="1"/>
  <c r="CL87" i="1"/>
  <c r="CL88" i="1"/>
  <c r="CL89" i="1"/>
  <c r="CL90" i="1"/>
  <c r="CL91" i="1"/>
  <c r="CL92" i="1"/>
  <c r="CL93" i="1"/>
  <c r="CL94" i="1"/>
  <c r="CL95" i="1"/>
  <c r="CL96" i="1"/>
  <c r="CL97" i="1"/>
  <c r="CL98" i="1"/>
  <c r="CL99" i="1"/>
  <c r="CL100" i="1"/>
  <c r="CL101" i="1"/>
  <c r="CL102" i="1"/>
  <c r="CL103" i="1"/>
  <c r="CL104" i="1"/>
  <c r="CL105" i="1"/>
  <c r="CL106" i="1"/>
  <c r="CL107" i="1"/>
  <c r="CL108" i="1"/>
  <c r="CL109" i="1"/>
  <c r="CL110" i="1"/>
  <c r="CL111" i="1"/>
  <c r="CL112" i="1"/>
  <c r="CL113" i="1"/>
  <c r="CL114" i="1"/>
  <c r="CL115" i="1"/>
  <c r="CL116" i="1"/>
  <c r="CL117" i="1"/>
  <c r="CL118" i="1"/>
  <c r="CL119" i="1"/>
  <c r="CL120" i="1"/>
  <c r="CL121" i="1"/>
  <c r="CL122" i="1"/>
  <c r="CL123" i="1"/>
  <c r="CL124" i="1"/>
  <c r="CL125" i="1"/>
  <c r="CL126" i="1"/>
  <c r="CL127" i="1"/>
  <c r="CL128" i="1"/>
  <c r="CL129" i="1"/>
  <c r="CL130" i="1"/>
  <c r="CL131" i="1"/>
  <c r="CL132" i="1"/>
  <c r="CL133" i="1"/>
  <c r="CL134" i="1"/>
  <c r="CL135" i="1"/>
  <c r="CL136" i="1"/>
  <c r="CL137" i="1"/>
  <c r="CL138" i="1"/>
  <c r="CL139" i="1"/>
  <c r="CL140" i="1"/>
  <c r="CL141" i="1"/>
  <c r="CL142" i="1"/>
  <c r="CL143" i="1"/>
  <c r="CL144" i="1"/>
  <c r="CL145" i="1"/>
  <c r="CL146" i="1"/>
  <c r="CL147" i="1"/>
  <c r="CL148" i="1"/>
  <c r="CL149" i="1"/>
  <c r="CL150" i="1"/>
  <c r="CL151" i="1"/>
  <c r="CL152" i="1"/>
  <c r="CL153" i="1"/>
  <c r="CL154" i="1"/>
  <c r="CL155" i="1"/>
  <c r="CL156" i="1"/>
  <c r="CL157" i="1"/>
  <c r="CL158" i="1"/>
  <c r="CL159" i="1"/>
  <c r="CL160" i="1"/>
  <c r="CL161" i="1"/>
  <c r="CL162" i="1"/>
  <c r="CL163" i="1"/>
  <c r="CL164" i="1"/>
  <c r="CL165" i="1"/>
  <c r="CL166" i="1"/>
  <c r="CL167" i="1"/>
  <c r="CL168" i="1"/>
  <c r="CL169" i="1"/>
  <c r="CL170" i="1"/>
  <c r="CL171" i="1"/>
  <c r="CL172" i="1"/>
  <c r="CL173" i="1"/>
  <c r="CL174" i="1"/>
  <c r="CL175" i="1"/>
  <c r="CL7" i="1"/>
  <c r="CK8" i="1"/>
  <c r="CK9" i="1"/>
  <c r="CK10" i="1"/>
  <c r="CK11" i="1"/>
  <c r="CK12" i="1"/>
  <c r="CK13" i="1"/>
  <c r="CK14" i="1"/>
  <c r="CK15" i="1"/>
  <c r="CK16" i="1"/>
  <c r="CK17" i="1"/>
  <c r="CK18" i="1"/>
  <c r="CK19" i="1"/>
  <c r="CK20" i="1"/>
  <c r="CK21" i="1"/>
  <c r="CK22" i="1"/>
  <c r="CK23" i="1"/>
  <c r="CK24" i="1"/>
  <c r="CK25" i="1"/>
  <c r="CK26" i="1"/>
  <c r="CK27" i="1"/>
  <c r="CK28" i="1"/>
  <c r="CK29" i="1"/>
  <c r="CK30" i="1"/>
  <c r="CK31" i="1"/>
  <c r="CK32" i="1"/>
  <c r="CK33" i="1"/>
  <c r="CK34" i="1"/>
  <c r="CK35" i="1"/>
  <c r="CK36" i="1"/>
  <c r="CK37" i="1"/>
  <c r="CK38" i="1"/>
  <c r="CK39" i="1"/>
  <c r="CK40" i="1"/>
  <c r="CK41" i="1"/>
  <c r="CK42" i="1"/>
  <c r="CK43" i="1"/>
  <c r="CK44" i="1"/>
  <c r="CK45" i="1"/>
  <c r="CK46" i="1"/>
  <c r="CK47" i="1"/>
  <c r="CK48" i="1"/>
  <c r="CK49" i="1"/>
  <c r="CK50" i="1"/>
  <c r="CK51" i="1"/>
  <c r="CK52" i="1"/>
  <c r="CK53" i="1"/>
  <c r="CK54" i="1"/>
  <c r="CK55" i="1"/>
  <c r="CK56" i="1"/>
  <c r="CK57" i="1"/>
  <c r="CK58" i="1"/>
  <c r="CK59" i="1"/>
  <c r="CK60" i="1"/>
  <c r="CK61" i="1"/>
  <c r="CK62" i="1"/>
  <c r="CK63" i="1"/>
  <c r="CK64" i="1"/>
  <c r="CK65" i="1"/>
  <c r="CK66" i="1"/>
  <c r="CK67" i="1"/>
  <c r="CK68" i="1"/>
  <c r="CK69" i="1"/>
  <c r="CK70" i="1"/>
  <c r="CK71" i="1"/>
  <c r="CK72" i="1"/>
  <c r="CK73" i="1"/>
  <c r="CK74" i="1"/>
  <c r="CK75" i="1"/>
  <c r="CK76" i="1"/>
  <c r="CK77" i="1"/>
  <c r="CK78" i="1"/>
  <c r="CK79" i="1"/>
  <c r="CK80" i="1"/>
  <c r="CK81" i="1"/>
  <c r="CK82" i="1"/>
  <c r="CK83" i="1"/>
  <c r="CK84" i="1"/>
  <c r="CK85" i="1"/>
  <c r="CK86" i="1"/>
  <c r="CK87" i="1"/>
  <c r="CK88" i="1"/>
  <c r="CK89" i="1"/>
  <c r="CK90" i="1"/>
  <c r="CK91" i="1"/>
  <c r="CK92" i="1"/>
  <c r="CK93" i="1"/>
  <c r="CK94" i="1"/>
  <c r="CK95" i="1"/>
  <c r="CK96" i="1"/>
  <c r="CK97" i="1"/>
  <c r="CK98" i="1"/>
  <c r="CK99" i="1"/>
  <c r="CK100" i="1"/>
  <c r="CK101" i="1"/>
  <c r="CK102" i="1"/>
  <c r="CK103" i="1"/>
  <c r="CK104" i="1"/>
  <c r="CK105" i="1"/>
  <c r="CK106" i="1"/>
  <c r="CK107" i="1"/>
  <c r="CK108" i="1"/>
  <c r="CK109" i="1"/>
  <c r="CK110" i="1"/>
  <c r="CK111" i="1"/>
  <c r="CK112" i="1"/>
  <c r="CK113" i="1"/>
  <c r="CK114" i="1"/>
  <c r="CK115" i="1"/>
  <c r="CK116" i="1"/>
  <c r="CK117" i="1"/>
  <c r="CK118" i="1"/>
  <c r="CK119" i="1"/>
  <c r="CK120" i="1"/>
  <c r="CK121" i="1"/>
  <c r="CK122" i="1"/>
  <c r="CK123" i="1"/>
  <c r="CK124" i="1"/>
  <c r="CK125" i="1"/>
  <c r="CK126" i="1"/>
  <c r="CK127" i="1"/>
  <c r="CK128" i="1"/>
  <c r="CK129" i="1"/>
  <c r="CK130" i="1"/>
  <c r="CK131" i="1"/>
  <c r="CK132" i="1"/>
  <c r="CK133" i="1"/>
  <c r="CK134" i="1"/>
  <c r="CK135" i="1"/>
  <c r="CK136" i="1"/>
  <c r="CK137" i="1"/>
  <c r="CK138" i="1"/>
  <c r="CK139" i="1"/>
  <c r="CK140" i="1"/>
  <c r="CK141" i="1"/>
  <c r="CK142" i="1"/>
  <c r="CK143" i="1"/>
  <c r="CK144" i="1"/>
  <c r="CK145" i="1"/>
  <c r="CK146" i="1"/>
  <c r="CK147" i="1"/>
  <c r="CK148" i="1"/>
  <c r="CK149" i="1"/>
  <c r="CK150" i="1"/>
  <c r="CK151" i="1"/>
  <c r="CK152" i="1"/>
  <c r="CK153" i="1"/>
  <c r="CK154" i="1"/>
  <c r="CK155" i="1"/>
  <c r="CK156" i="1"/>
  <c r="CK157" i="1"/>
  <c r="CK158" i="1"/>
  <c r="CK159" i="1"/>
  <c r="CK160" i="1"/>
  <c r="CK161" i="1"/>
  <c r="CK162" i="1"/>
  <c r="CK163" i="1"/>
  <c r="CK164" i="1"/>
  <c r="CK165" i="1"/>
  <c r="CK166" i="1"/>
  <c r="CK167" i="1"/>
  <c r="CK168" i="1"/>
  <c r="CK169" i="1"/>
  <c r="CK170" i="1"/>
  <c r="CK171" i="1"/>
  <c r="CK172" i="1"/>
  <c r="CK173" i="1"/>
  <c r="CK174" i="1"/>
  <c r="CK175" i="1"/>
  <c r="CK7" i="1"/>
  <c r="CJ8" i="1"/>
  <c r="CJ9" i="1"/>
  <c r="CJ10" i="1"/>
  <c r="CJ11" i="1"/>
  <c r="CJ12" i="1"/>
  <c r="CJ13" i="1"/>
  <c r="CJ14" i="1"/>
  <c r="CJ15" i="1"/>
  <c r="CJ16" i="1"/>
  <c r="CJ17" i="1"/>
  <c r="CJ18" i="1"/>
  <c r="CJ19" i="1"/>
  <c r="CJ20" i="1"/>
  <c r="CJ21" i="1"/>
  <c r="CJ22" i="1"/>
  <c r="CJ23" i="1"/>
  <c r="CJ24" i="1"/>
  <c r="CJ25" i="1"/>
  <c r="CJ26" i="1"/>
  <c r="CJ27" i="1"/>
  <c r="CJ28" i="1"/>
  <c r="CJ29" i="1"/>
  <c r="CJ30" i="1"/>
  <c r="CJ31" i="1"/>
  <c r="CJ32" i="1"/>
  <c r="CJ33" i="1"/>
  <c r="CJ34" i="1"/>
  <c r="CJ35" i="1"/>
  <c r="CJ36" i="1"/>
  <c r="CJ37" i="1"/>
  <c r="CJ38" i="1"/>
  <c r="CJ39" i="1"/>
  <c r="CJ40" i="1"/>
  <c r="CJ41" i="1"/>
  <c r="CJ42" i="1"/>
  <c r="CJ43" i="1"/>
  <c r="CJ44" i="1"/>
  <c r="CJ45" i="1"/>
  <c r="CJ46" i="1"/>
  <c r="CJ47" i="1"/>
  <c r="CJ48" i="1"/>
  <c r="CJ49" i="1"/>
  <c r="CJ50" i="1"/>
  <c r="CJ51" i="1"/>
  <c r="CJ52" i="1"/>
  <c r="CJ53" i="1"/>
  <c r="CJ54" i="1"/>
  <c r="CJ55" i="1"/>
  <c r="CJ56" i="1"/>
  <c r="CJ57" i="1"/>
  <c r="CJ58" i="1"/>
  <c r="CJ59" i="1"/>
  <c r="CJ60" i="1"/>
  <c r="CJ61" i="1"/>
  <c r="CJ62" i="1"/>
  <c r="CJ63" i="1"/>
  <c r="CJ64" i="1"/>
  <c r="CJ65" i="1"/>
  <c r="CJ66" i="1"/>
  <c r="CJ67" i="1"/>
  <c r="CJ68" i="1"/>
  <c r="CJ69" i="1"/>
  <c r="CJ70" i="1"/>
  <c r="CJ71" i="1"/>
  <c r="CJ72" i="1"/>
  <c r="CJ73" i="1"/>
  <c r="CJ74" i="1"/>
  <c r="CJ75" i="1"/>
  <c r="CJ76" i="1"/>
  <c r="CJ77" i="1"/>
  <c r="CJ78" i="1"/>
  <c r="CJ79" i="1"/>
  <c r="CJ80" i="1"/>
  <c r="CJ81" i="1"/>
  <c r="CJ82" i="1"/>
  <c r="CJ83" i="1"/>
  <c r="CJ84" i="1"/>
  <c r="CJ85" i="1"/>
  <c r="CJ86" i="1"/>
  <c r="CJ87" i="1"/>
  <c r="CJ88" i="1"/>
  <c r="CJ89" i="1"/>
  <c r="CJ90" i="1"/>
  <c r="CJ91" i="1"/>
  <c r="CJ92" i="1"/>
  <c r="CJ93" i="1"/>
  <c r="CJ94" i="1"/>
  <c r="CJ95" i="1"/>
  <c r="CJ96" i="1"/>
  <c r="CJ97" i="1"/>
  <c r="CJ98" i="1"/>
  <c r="CJ99" i="1"/>
  <c r="CJ100" i="1"/>
  <c r="CJ101" i="1"/>
  <c r="CJ102" i="1"/>
  <c r="CJ103" i="1"/>
  <c r="CJ104" i="1"/>
  <c r="CJ105" i="1"/>
  <c r="CJ106" i="1"/>
  <c r="CJ107" i="1"/>
  <c r="CJ108" i="1"/>
  <c r="CJ109" i="1"/>
  <c r="CJ110" i="1"/>
  <c r="CJ111" i="1"/>
  <c r="CJ112" i="1"/>
  <c r="CJ113" i="1"/>
  <c r="CJ114" i="1"/>
  <c r="CJ115" i="1"/>
  <c r="CJ116" i="1"/>
  <c r="CJ117" i="1"/>
  <c r="CJ118" i="1"/>
  <c r="CJ119" i="1"/>
  <c r="CJ120" i="1"/>
  <c r="CJ121" i="1"/>
  <c r="CJ122" i="1"/>
  <c r="CJ123" i="1"/>
  <c r="CJ124" i="1"/>
  <c r="CJ125" i="1"/>
  <c r="CJ126" i="1"/>
  <c r="CJ127" i="1"/>
  <c r="CJ128" i="1"/>
  <c r="CJ129" i="1"/>
  <c r="CJ130" i="1"/>
  <c r="CJ131" i="1"/>
  <c r="CJ132" i="1"/>
  <c r="CJ133" i="1"/>
  <c r="CJ134" i="1"/>
  <c r="CJ135" i="1"/>
  <c r="CJ136" i="1"/>
  <c r="CJ137" i="1"/>
  <c r="CJ138" i="1"/>
  <c r="CJ139" i="1"/>
  <c r="CJ140" i="1"/>
  <c r="CJ141" i="1"/>
  <c r="CJ142" i="1"/>
  <c r="CJ143" i="1"/>
  <c r="CJ144" i="1"/>
  <c r="CJ145" i="1"/>
  <c r="CJ146" i="1"/>
  <c r="CJ147" i="1"/>
  <c r="CJ148" i="1"/>
  <c r="CJ149" i="1"/>
  <c r="CJ150" i="1"/>
  <c r="CJ151" i="1"/>
  <c r="CJ152" i="1"/>
  <c r="CJ153" i="1"/>
  <c r="CJ154" i="1"/>
  <c r="CJ155" i="1"/>
  <c r="CJ156" i="1"/>
  <c r="CJ157" i="1"/>
  <c r="CJ158" i="1"/>
  <c r="CJ159" i="1"/>
  <c r="CJ160" i="1"/>
  <c r="CJ161" i="1"/>
  <c r="CJ162" i="1"/>
  <c r="CJ163" i="1"/>
  <c r="CJ164" i="1"/>
  <c r="CJ165" i="1"/>
  <c r="CJ166" i="1"/>
  <c r="CJ167" i="1"/>
  <c r="CJ168" i="1"/>
  <c r="CJ169" i="1"/>
  <c r="CJ170" i="1"/>
  <c r="CJ171" i="1"/>
  <c r="CJ172" i="1"/>
  <c r="CJ173" i="1"/>
  <c r="CJ174" i="1"/>
  <c r="CJ175" i="1"/>
  <c r="CJ7" i="1"/>
  <c r="CI8" i="1"/>
  <c r="CI9" i="1"/>
  <c r="CI10" i="1"/>
  <c r="CI11" i="1"/>
  <c r="CI12" i="1"/>
  <c r="CI13" i="1"/>
  <c r="CI14" i="1"/>
  <c r="CI15" i="1"/>
  <c r="CI16" i="1"/>
  <c r="CI17" i="1"/>
  <c r="CI18" i="1"/>
  <c r="CI19" i="1"/>
  <c r="CI20" i="1"/>
  <c r="CI21" i="1"/>
  <c r="CI22" i="1"/>
  <c r="CI23" i="1"/>
  <c r="CI24" i="1"/>
  <c r="CI25" i="1"/>
  <c r="CI26" i="1"/>
  <c r="CI27" i="1"/>
  <c r="CI28" i="1"/>
  <c r="CI29" i="1"/>
  <c r="CI30" i="1"/>
  <c r="CI31" i="1"/>
  <c r="CI32" i="1"/>
  <c r="CI33" i="1"/>
  <c r="CI34" i="1"/>
  <c r="CI35" i="1"/>
  <c r="CI36" i="1"/>
  <c r="CI37" i="1"/>
  <c r="CI38" i="1"/>
  <c r="CI39" i="1"/>
  <c r="CI40" i="1"/>
  <c r="CI41" i="1"/>
  <c r="CI42" i="1"/>
  <c r="CI43" i="1"/>
  <c r="CI44" i="1"/>
  <c r="CI45" i="1"/>
  <c r="CI46" i="1"/>
  <c r="CI47" i="1"/>
  <c r="CI48" i="1"/>
  <c r="CI49" i="1"/>
  <c r="CI50" i="1"/>
  <c r="CI51" i="1"/>
  <c r="CI52" i="1"/>
  <c r="CI53" i="1"/>
  <c r="CI54" i="1"/>
  <c r="CI55" i="1"/>
  <c r="CI56" i="1"/>
  <c r="CI57" i="1"/>
  <c r="CI58" i="1"/>
  <c r="CI59" i="1"/>
  <c r="CI60" i="1"/>
  <c r="CI61" i="1"/>
  <c r="CI62" i="1"/>
  <c r="CI63" i="1"/>
  <c r="CI64" i="1"/>
  <c r="CI65" i="1"/>
  <c r="CI66" i="1"/>
  <c r="CI67" i="1"/>
  <c r="CI68" i="1"/>
  <c r="CI69" i="1"/>
  <c r="CI70" i="1"/>
  <c r="CI71" i="1"/>
  <c r="CI72" i="1"/>
  <c r="CI73" i="1"/>
  <c r="CI74" i="1"/>
  <c r="CI75" i="1"/>
  <c r="CI76" i="1"/>
  <c r="CI77" i="1"/>
  <c r="CI78" i="1"/>
  <c r="CI79" i="1"/>
  <c r="CI80" i="1"/>
  <c r="CI81" i="1"/>
  <c r="CI82" i="1"/>
  <c r="CI83" i="1"/>
  <c r="CI84" i="1"/>
  <c r="CI85" i="1"/>
  <c r="CI86" i="1"/>
  <c r="CI87" i="1"/>
  <c r="CI88" i="1"/>
  <c r="CI89" i="1"/>
  <c r="CI90" i="1"/>
  <c r="CI91" i="1"/>
  <c r="CI92" i="1"/>
  <c r="CI93" i="1"/>
  <c r="CI94" i="1"/>
  <c r="CI95" i="1"/>
  <c r="CI96" i="1"/>
  <c r="CI97" i="1"/>
  <c r="CI98" i="1"/>
  <c r="CI99" i="1"/>
  <c r="CI100" i="1"/>
  <c r="CI101" i="1"/>
  <c r="CI102" i="1"/>
  <c r="CI103" i="1"/>
  <c r="CI104" i="1"/>
  <c r="CI105" i="1"/>
  <c r="CI106" i="1"/>
  <c r="CI107" i="1"/>
  <c r="CI108" i="1"/>
  <c r="CI109" i="1"/>
  <c r="CI110" i="1"/>
  <c r="CI111" i="1"/>
  <c r="CI112" i="1"/>
  <c r="CI113" i="1"/>
  <c r="CI114" i="1"/>
  <c r="CI115" i="1"/>
  <c r="CI116" i="1"/>
  <c r="CI117" i="1"/>
  <c r="CI118" i="1"/>
  <c r="CI119" i="1"/>
  <c r="CI120" i="1"/>
  <c r="CI121" i="1"/>
  <c r="CI122" i="1"/>
  <c r="CI123" i="1"/>
  <c r="CI124" i="1"/>
  <c r="CI125" i="1"/>
  <c r="CI126" i="1"/>
  <c r="CI127" i="1"/>
  <c r="CI128" i="1"/>
  <c r="CI129" i="1"/>
  <c r="CI130" i="1"/>
  <c r="CI131" i="1"/>
  <c r="CI132" i="1"/>
  <c r="CI133" i="1"/>
  <c r="CI134" i="1"/>
  <c r="CI135" i="1"/>
  <c r="CI136" i="1"/>
  <c r="CI137" i="1"/>
  <c r="CI138" i="1"/>
  <c r="CI139" i="1"/>
  <c r="CI140" i="1"/>
  <c r="CI141" i="1"/>
  <c r="CI142" i="1"/>
  <c r="CI143" i="1"/>
  <c r="CI144" i="1"/>
  <c r="CI145" i="1"/>
  <c r="CI146" i="1"/>
  <c r="CI147" i="1"/>
  <c r="CI148" i="1"/>
  <c r="CI149" i="1"/>
  <c r="CI150" i="1"/>
  <c r="CI151" i="1"/>
  <c r="CI152" i="1"/>
  <c r="CI153" i="1"/>
  <c r="CI154" i="1"/>
  <c r="CI155" i="1"/>
  <c r="CI156" i="1"/>
  <c r="CI157" i="1"/>
  <c r="CI158" i="1"/>
  <c r="CI159" i="1"/>
  <c r="CI160" i="1"/>
  <c r="CI161" i="1"/>
  <c r="CI162" i="1"/>
  <c r="CI163" i="1"/>
  <c r="CI164" i="1"/>
  <c r="CI165" i="1"/>
  <c r="CI166" i="1"/>
  <c r="CI167" i="1"/>
  <c r="CI168" i="1"/>
  <c r="CI169" i="1"/>
  <c r="CI170" i="1"/>
  <c r="CI171" i="1"/>
  <c r="CI172" i="1"/>
  <c r="CI173" i="1"/>
  <c r="CI174" i="1"/>
  <c r="CI175" i="1"/>
  <c r="CI7" i="1"/>
  <c r="CH8" i="1"/>
  <c r="CH9" i="1"/>
  <c r="CH10" i="1"/>
  <c r="CH11" i="1"/>
  <c r="CH12" i="1"/>
  <c r="CH13" i="1"/>
  <c r="CH14" i="1"/>
  <c r="CH15" i="1"/>
  <c r="CH16" i="1"/>
  <c r="CH17" i="1"/>
  <c r="CH18" i="1"/>
  <c r="CH19" i="1"/>
  <c r="CH20" i="1"/>
  <c r="CH21" i="1"/>
  <c r="CH22" i="1"/>
  <c r="CH23" i="1"/>
  <c r="CH24" i="1"/>
  <c r="CH25" i="1"/>
  <c r="CH26" i="1"/>
  <c r="CH27" i="1"/>
  <c r="CH28" i="1"/>
  <c r="CH29" i="1"/>
  <c r="CH30" i="1"/>
  <c r="CH31" i="1"/>
  <c r="CH32" i="1"/>
  <c r="CH33" i="1"/>
  <c r="CH34" i="1"/>
  <c r="CH35" i="1"/>
  <c r="CH36" i="1"/>
  <c r="CH37" i="1"/>
  <c r="CH38" i="1"/>
  <c r="CH39" i="1"/>
  <c r="CH40" i="1"/>
  <c r="CH41" i="1"/>
  <c r="CH42" i="1"/>
  <c r="CH43" i="1"/>
  <c r="CH44" i="1"/>
  <c r="CH45" i="1"/>
  <c r="CH46" i="1"/>
  <c r="CH47" i="1"/>
  <c r="CH48" i="1"/>
  <c r="CH49" i="1"/>
  <c r="CH50" i="1"/>
  <c r="CH51" i="1"/>
  <c r="CH52" i="1"/>
  <c r="CH53" i="1"/>
  <c r="CH54" i="1"/>
  <c r="CH55" i="1"/>
  <c r="CH56" i="1"/>
  <c r="CH57" i="1"/>
  <c r="CH58" i="1"/>
  <c r="CH59" i="1"/>
  <c r="CH60" i="1"/>
  <c r="CH61" i="1"/>
  <c r="CH62" i="1"/>
  <c r="CH63" i="1"/>
  <c r="CH64" i="1"/>
  <c r="CH65" i="1"/>
  <c r="CH66" i="1"/>
  <c r="CH67" i="1"/>
  <c r="CH68" i="1"/>
  <c r="CH69" i="1"/>
  <c r="CH70" i="1"/>
  <c r="CH71" i="1"/>
  <c r="CH72" i="1"/>
  <c r="CH73" i="1"/>
  <c r="CH74" i="1"/>
  <c r="CH75" i="1"/>
  <c r="CH76" i="1"/>
  <c r="CH77" i="1"/>
  <c r="CH78" i="1"/>
  <c r="CH79" i="1"/>
  <c r="CH80" i="1"/>
  <c r="CH81" i="1"/>
  <c r="CH82" i="1"/>
  <c r="CH83" i="1"/>
  <c r="CH84" i="1"/>
  <c r="CH85" i="1"/>
  <c r="CH86" i="1"/>
  <c r="CH87" i="1"/>
  <c r="CH88" i="1"/>
  <c r="CH89" i="1"/>
  <c r="CH90" i="1"/>
  <c r="CH91" i="1"/>
  <c r="CH92" i="1"/>
  <c r="CH93" i="1"/>
  <c r="CH94" i="1"/>
  <c r="CH95" i="1"/>
  <c r="CH96" i="1"/>
  <c r="CH97" i="1"/>
  <c r="CH98" i="1"/>
  <c r="CH99" i="1"/>
  <c r="CH100" i="1"/>
  <c r="CH101" i="1"/>
  <c r="CH102" i="1"/>
  <c r="CH103" i="1"/>
  <c r="CH104" i="1"/>
  <c r="CH105" i="1"/>
  <c r="CH106" i="1"/>
  <c r="CH107" i="1"/>
  <c r="CH108" i="1"/>
  <c r="CH109" i="1"/>
  <c r="CH110" i="1"/>
  <c r="CH111" i="1"/>
  <c r="CH112" i="1"/>
  <c r="CH113" i="1"/>
  <c r="CH114" i="1"/>
  <c r="CH115" i="1"/>
  <c r="CH116" i="1"/>
  <c r="CH117" i="1"/>
  <c r="CH118" i="1"/>
  <c r="CH119" i="1"/>
  <c r="CH120" i="1"/>
  <c r="CH121" i="1"/>
  <c r="CH122" i="1"/>
  <c r="CH123" i="1"/>
  <c r="CH124" i="1"/>
  <c r="CH125" i="1"/>
  <c r="CH126" i="1"/>
  <c r="CH127" i="1"/>
  <c r="CH128" i="1"/>
  <c r="CH129" i="1"/>
  <c r="CH130" i="1"/>
  <c r="CH131" i="1"/>
  <c r="CH132" i="1"/>
  <c r="CH133" i="1"/>
  <c r="CH134" i="1"/>
  <c r="CH135" i="1"/>
  <c r="CH136" i="1"/>
  <c r="CH137" i="1"/>
  <c r="CH138" i="1"/>
  <c r="CH139" i="1"/>
  <c r="CH140" i="1"/>
  <c r="CH141" i="1"/>
  <c r="CH142" i="1"/>
  <c r="CH143" i="1"/>
  <c r="CH144" i="1"/>
  <c r="CH145" i="1"/>
  <c r="CH146" i="1"/>
  <c r="CH147" i="1"/>
  <c r="CH148" i="1"/>
  <c r="CH149" i="1"/>
  <c r="CH150" i="1"/>
  <c r="CH151" i="1"/>
  <c r="CH152" i="1"/>
  <c r="CH153" i="1"/>
  <c r="CH154" i="1"/>
  <c r="CH155" i="1"/>
  <c r="CH156" i="1"/>
  <c r="CH157" i="1"/>
  <c r="CH158" i="1"/>
  <c r="CH159" i="1"/>
  <c r="CH160" i="1"/>
  <c r="CH161" i="1"/>
  <c r="CH162" i="1"/>
  <c r="CH163" i="1"/>
  <c r="CH164" i="1"/>
  <c r="CH165" i="1"/>
  <c r="CH166" i="1"/>
  <c r="CH167" i="1"/>
  <c r="CH168" i="1"/>
  <c r="CH169" i="1"/>
  <c r="CH170" i="1"/>
  <c r="CH171" i="1"/>
  <c r="CH172" i="1"/>
  <c r="CH173" i="1"/>
  <c r="CH174" i="1"/>
  <c r="CH175" i="1"/>
  <c r="CH7" i="1"/>
  <c r="CG8" i="1"/>
  <c r="CG9" i="1"/>
  <c r="CG10" i="1"/>
  <c r="CG11" i="1"/>
  <c r="CG12" i="1"/>
  <c r="CG13" i="1"/>
  <c r="CG14" i="1"/>
  <c r="CG15" i="1"/>
  <c r="CG16" i="1"/>
  <c r="CG17" i="1"/>
  <c r="CG18" i="1"/>
  <c r="CG19" i="1"/>
  <c r="CG20" i="1"/>
  <c r="CG21" i="1"/>
  <c r="CG22" i="1"/>
  <c r="CG23" i="1"/>
  <c r="CG24" i="1"/>
  <c r="CG25" i="1"/>
  <c r="CG26" i="1"/>
  <c r="CG27" i="1"/>
  <c r="CG28" i="1"/>
  <c r="CG29" i="1"/>
  <c r="CG30" i="1"/>
  <c r="CG31" i="1"/>
  <c r="CG32" i="1"/>
  <c r="CG33" i="1"/>
  <c r="CG34" i="1"/>
  <c r="CG35" i="1"/>
  <c r="CG36" i="1"/>
  <c r="CG37" i="1"/>
  <c r="CG38" i="1"/>
  <c r="CG39" i="1"/>
  <c r="CG40" i="1"/>
  <c r="CG41" i="1"/>
  <c r="CG42" i="1"/>
  <c r="CG43" i="1"/>
  <c r="CG44" i="1"/>
  <c r="CG45" i="1"/>
  <c r="CG46" i="1"/>
  <c r="CG47" i="1"/>
  <c r="CG48" i="1"/>
  <c r="CG49" i="1"/>
  <c r="CG50" i="1"/>
  <c r="CG51" i="1"/>
  <c r="CG52" i="1"/>
  <c r="CG53" i="1"/>
  <c r="CG54" i="1"/>
  <c r="CG55" i="1"/>
  <c r="CG56" i="1"/>
  <c r="CG57" i="1"/>
  <c r="CG58" i="1"/>
  <c r="CG59" i="1"/>
  <c r="CG60" i="1"/>
  <c r="CG61" i="1"/>
  <c r="CG62" i="1"/>
  <c r="CG63" i="1"/>
  <c r="CG64" i="1"/>
  <c r="CG65" i="1"/>
  <c r="CG66" i="1"/>
  <c r="CG67" i="1"/>
  <c r="CG68" i="1"/>
  <c r="CG69" i="1"/>
  <c r="CG70" i="1"/>
  <c r="CG71" i="1"/>
  <c r="CG72" i="1"/>
  <c r="CG73" i="1"/>
  <c r="CG74" i="1"/>
  <c r="CG75" i="1"/>
  <c r="CG76" i="1"/>
  <c r="CG77" i="1"/>
  <c r="CG78" i="1"/>
  <c r="CG79" i="1"/>
  <c r="CG80" i="1"/>
  <c r="CG81" i="1"/>
  <c r="CG82" i="1"/>
  <c r="CG83" i="1"/>
  <c r="CG84" i="1"/>
  <c r="CG85" i="1"/>
  <c r="CG86" i="1"/>
  <c r="CG87" i="1"/>
  <c r="CG88" i="1"/>
  <c r="CG89" i="1"/>
  <c r="CG90" i="1"/>
  <c r="CG91" i="1"/>
  <c r="CG92" i="1"/>
  <c r="CG93" i="1"/>
  <c r="CG94" i="1"/>
  <c r="CG95" i="1"/>
  <c r="CG96" i="1"/>
  <c r="CG97" i="1"/>
  <c r="CG98" i="1"/>
  <c r="CG99" i="1"/>
  <c r="CG100" i="1"/>
  <c r="CG101" i="1"/>
  <c r="CG102" i="1"/>
  <c r="CG103" i="1"/>
  <c r="CG104" i="1"/>
  <c r="CG105" i="1"/>
  <c r="CG106" i="1"/>
  <c r="CG107" i="1"/>
  <c r="CG108" i="1"/>
  <c r="CG109" i="1"/>
  <c r="CG110" i="1"/>
  <c r="CG111" i="1"/>
  <c r="CG112" i="1"/>
  <c r="CG113" i="1"/>
  <c r="CG114" i="1"/>
  <c r="CG115" i="1"/>
  <c r="CG116" i="1"/>
  <c r="CG117" i="1"/>
  <c r="CG118" i="1"/>
  <c r="CG119" i="1"/>
  <c r="CG120" i="1"/>
  <c r="CG121" i="1"/>
  <c r="CG122" i="1"/>
  <c r="CG123" i="1"/>
  <c r="CG124" i="1"/>
  <c r="CG125" i="1"/>
  <c r="CG126" i="1"/>
  <c r="CG127" i="1"/>
  <c r="CG128" i="1"/>
  <c r="CG129" i="1"/>
  <c r="CG130" i="1"/>
  <c r="CG131" i="1"/>
  <c r="CG132" i="1"/>
  <c r="CG133" i="1"/>
  <c r="CG134" i="1"/>
  <c r="CG135" i="1"/>
  <c r="CG136" i="1"/>
  <c r="CG137" i="1"/>
  <c r="CG138" i="1"/>
  <c r="CG139" i="1"/>
  <c r="CG140" i="1"/>
  <c r="CG141" i="1"/>
  <c r="CG142" i="1"/>
  <c r="CG143" i="1"/>
  <c r="CG144" i="1"/>
  <c r="CG145" i="1"/>
  <c r="CG146" i="1"/>
  <c r="CG147" i="1"/>
  <c r="CG148" i="1"/>
  <c r="CG149" i="1"/>
  <c r="CG150" i="1"/>
  <c r="CG151" i="1"/>
  <c r="CG152" i="1"/>
  <c r="CG153" i="1"/>
  <c r="CG154" i="1"/>
  <c r="CG155" i="1"/>
  <c r="CG156" i="1"/>
  <c r="CG157" i="1"/>
  <c r="CG158" i="1"/>
  <c r="CG159" i="1"/>
  <c r="CG160" i="1"/>
  <c r="CG161" i="1"/>
  <c r="CG162" i="1"/>
  <c r="CG163" i="1"/>
  <c r="CG164" i="1"/>
  <c r="CG165" i="1"/>
  <c r="CG166" i="1"/>
  <c r="CG167" i="1"/>
  <c r="CG168" i="1"/>
  <c r="CG169" i="1"/>
  <c r="CG170" i="1"/>
  <c r="CG171" i="1"/>
  <c r="CG172" i="1"/>
  <c r="CG173" i="1"/>
  <c r="CG174" i="1"/>
  <c r="CG175" i="1"/>
  <c r="CG7" i="1"/>
  <c r="CF8" i="1"/>
  <c r="CF9" i="1"/>
  <c r="CF10" i="1"/>
  <c r="CF11" i="1"/>
  <c r="CF12" i="1"/>
  <c r="CF13" i="1"/>
  <c r="CF14" i="1"/>
  <c r="CF15" i="1"/>
  <c r="CF16" i="1"/>
  <c r="CF17" i="1"/>
  <c r="CF18" i="1"/>
  <c r="CF19" i="1"/>
  <c r="CF20" i="1"/>
  <c r="CF21" i="1"/>
  <c r="CF22" i="1"/>
  <c r="CF23" i="1"/>
  <c r="CF24" i="1"/>
  <c r="CF25" i="1"/>
  <c r="CF26" i="1"/>
  <c r="CF27" i="1"/>
  <c r="CF28" i="1"/>
  <c r="CF29" i="1"/>
  <c r="CF30" i="1"/>
  <c r="CF31" i="1"/>
  <c r="CF32" i="1"/>
  <c r="CF33" i="1"/>
  <c r="CF34" i="1"/>
  <c r="CF35" i="1"/>
  <c r="CF36" i="1"/>
  <c r="CF37" i="1"/>
  <c r="CF38" i="1"/>
  <c r="CF39" i="1"/>
  <c r="CF40" i="1"/>
  <c r="CF41" i="1"/>
  <c r="CF42" i="1"/>
  <c r="CF43" i="1"/>
  <c r="CF44" i="1"/>
  <c r="CF45" i="1"/>
  <c r="CF46" i="1"/>
  <c r="CF47" i="1"/>
  <c r="CF48" i="1"/>
  <c r="CF49" i="1"/>
  <c r="CF50" i="1"/>
  <c r="CF51" i="1"/>
  <c r="CF52" i="1"/>
  <c r="CF53" i="1"/>
  <c r="CF54" i="1"/>
  <c r="CF55" i="1"/>
  <c r="CF56" i="1"/>
  <c r="CF57" i="1"/>
  <c r="CF58" i="1"/>
  <c r="CF59" i="1"/>
  <c r="CF60" i="1"/>
  <c r="CF61" i="1"/>
  <c r="CF62" i="1"/>
  <c r="CF63" i="1"/>
  <c r="CF64" i="1"/>
  <c r="CF65" i="1"/>
  <c r="CF66" i="1"/>
  <c r="CF67" i="1"/>
  <c r="CF68" i="1"/>
  <c r="CF69" i="1"/>
  <c r="CF70" i="1"/>
  <c r="CF71" i="1"/>
  <c r="CF72" i="1"/>
  <c r="CF73" i="1"/>
  <c r="CF74" i="1"/>
  <c r="CF75" i="1"/>
  <c r="CF76" i="1"/>
  <c r="CF77" i="1"/>
  <c r="CF78" i="1"/>
  <c r="CF79" i="1"/>
  <c r="CF80" i="1"/>
  <c r="CF81" i="1"/>
  <c r="CF82" i="1"/>
  <c r="CF83" i="1"/>
  <c r="CF84" i="1"/>
  <c r="CF85" i="1"/>
  <c r="CF86" i="1"/>
  <c r="CF87" i="1"/>
  <c r="CF88" i="1"/>
  <c r="CF89" i="1"/>
  <c r="CF90" i="1"/>
  <c r="CF91" i="1"/>
  <c r="CF92" i="1"/>
  <c r="CF93" i="1"/>
  <c r="CF94" i="1"/>
  <c r="CF95" i="1"/>
  <c r="CF96" i="1"/>
  <c r="CF97" i="1"/>
  <c r="CF98" i="1"/>
  <c r="CF99" i="1"/>
  <c r="CF100" i="1"/>
  <c r="CF101" i="1"/>
  <c r="CF102" i="1"/>
  <c r="CF103" i="1"/>
  <c r="CF104" i="1"/>
  <c r="CF105" i="1"/>
  <c r="CF106" i="1"/>
  <c r="CF107" i="1"/>
  <c r="CF108" i="1"/>
  <c r="CF109" i="1"/>
  <c r="CF110" i="1"/>
  <c r="CF111" i="1"/>
  <c r="CF112" i="1"/>
  <c r="CF113" i="1"/>
  <c r="CF114" i="1"/>
  <c r="CF115" i="1"/>
  <c r="CF116" i="1"/>
  <c r="CF117" i="1"/>
  <c r="CF118" i="1"/>
  <c r="CF119" i="1"/>
  <c r="CF120" i="1"/>
  <c r="CF121" i="1"/>
  <c r="CF122" i="1"/>
  <c r="CF123" i="1"/>
  <c r="CF124" i="1"/>
  <c r="CF125" i="1"/>
  <c r="CF126" i="1"/>
  <c r="CF127" i="1"/>
  <c r="CF128" i="1"/>
  <c r="CF129" i="1"/>
  <c r="CF130" i="1"/>
  <c r="CF131" i="1"/>
  <c r="CF132" i="1"/>
  <c r="CF133" i="1"/>
  <c r="CF134" i="1"/>
  <c r="CF135" i="1"/>
  <c r="CF136" i="1"/>
  <c r="CF137" i="1"/>
  <c r="CF138" i="1"/>
  <c r="CF139" i="1"/>
  <c r="CF140" i="1"/>
  <c r="CF141" i="1"/>
  <c r="CF142" i="1"/>
  <c r="CF143" i="1"/>
  <c r="CF144" i="1"/>
  <c r="CF145" i="1"/>
  <c r="CF146" i="1"/>
  <c r="CF147" i="1"/>
  <c r="CF148" i="1"/>
  <c r="CF149" i="1"/>
  <c r="CF150" i="1"/>
  <c r="CF151" i="1"/>
  <c r="CF152" i="1"/>
  <c r="CF153" i="1"/>
  <c r="CF154" i="1"/>
  <c r="CF155" i="1"/>
  <c r="CF156" i="1"/>
  <c r="CF157" i="1"/>
  <c r="CF158" i="1"/>
  <c r="CF159" i="1"/>
  <c r="CF160" i="1"/>
  <c r="CF161" i="1"/>
  <c r="CF162" i="1"/>
  <c r="CF163" i="1"/>
  <c r="CF164" i="1"/>
  <c r="CF165" i="1"/>
  <c r="CF166" i="1"/>
  <c r="CF167" i="1"/>
  <c r="CF168" i="1"/>
  <c r="CF169" i="1"/>
  <c r="CF170" i="1"/>
  <c r="CF171" i="1"/>
  <c r="CF172" i="1"/>
  <c r="CF173" i="1"/>
  <c r="CF174" i="1"/>
  <c r="CF175" i="1"/>
  <c r="CF7" i="1"/>
  <c r="CE8" i="1"/>
  <c r="CE9" i="1"/>
  <c r="CE10" i="1"/>
  <c r="CE11" i="1"/>
  <c r="CE12" i="1"/>
  <c r="CE13" i="1"/>
  <c r="CE14" i="1"/>
  <c r="CE15" i="1"/>
  <c r="CE16" i="1"/>
  <c r="CE17" i="1"/>
  <c r="CE18" i="1"/>
  <c r="CE19" i="1"/>
  <c r="CE20" i="1"/>
  <c r="CE21" i="1"/>
  <c r="CE22" i="1"/>
  <c r="CE23" i="1"/>
  <c r="CE24" i="1"/>
  <c r="CE25" i="1"/>
  <c r="CE26" i="1"/>
  <c r="CE27" i="1"/>
  <c r="CE28" i="1"/>
  <c r="CE29" i="1"/>
  <c r="CE30" i="1"/>
  <c r="CE31" i="1"/>
  <c r="CE32" i="1"/>
  <c r="CE33" i="1"/>
  <c r="CE34" i="1"/>
  <c r="CE35" i="1"/>
  <c r="CE36" i="1"/>
  <c r="CE37" i="1"/>
  <c r="CE38" i="1"/>
  <c r="CE39" i="1"/>
  <c r="CE40" i="1"/>
  <c r="CE41" i="1"/>
  <c r="CE42" i="1"/>
  <c r="CE43" i="1"/>
  <c r="CE44" i="1"/>
  <c r="CE45" i="1"/>
  <c r="CE46" i="1"/>
  <c r="CE47" i="1"/>
  <c r="CE48" i="1"/>
  <c r="CE49" i="1"/>
  <c r="CE50" i="1"/>
  <c r="CE51" i="1"/>
  <c r="CE52" i="1"/>
  <c r="CE53" i="1"/>
  <c r="CE54" i="1"/>
  <c r="CE55" i="1"/>
  <c r="CE56" i="1"/>
  <c r="CE57" i="1"/>
  <c r="CE58" i="1"/>
  <c r="CE59" i="1"/>
  <c r="CE60" i="1"/>
  <c r="CE61" i="1"/>
  <c r="CE62" i="1"/>
  <c r="CE63" i="1"/>
  <c r="CE64" i="1"/>
  <c r="CE65" i="1"/>
  <c r="CE66" i="1"/>
  <c r="CE67" i="1"/>
  <c r="CE68" i="1"/>
  <c r="CE69" i="1"/>
  <c r="CE70" i="1"/>
  <c r="CE71" i="1"/>
  <c r="CE72" i="1"/>
  <c r="CE73" i="1"/>
  <c r="CE74" i="1"/>
  <c r="CE75" i="1"/>
  <c r="CE76" i="1"/>
  <c r="CE77" i="1"/>
  <c r="CE78" i="1"/>
  <c r="CE79" i="1"/>
  <c r="CE80" i="1"/>
  <c r="CE81" i="1"/>
  <c r="CE82" i="1"/>
  <c r="CE83" i="1"/>
  <c r="CE84" i="1"/>
  <c r="CE85" i="1"/>
  <c r="CE86" i="1"/>
  <c r="CE87" i="1"/>
  <c r="CE88" i="1"/>
  <c r="CE89" i="1"/>
  <c r="CE90" i="1"/>
  <c r="CE91" i="1"/>
  <c r="CE92" i="1"/>
  <c r="CE93" i="1"/>
  <c r="CE94" i="1"/>
  <c r="CE95" i="1"/>
  <c r="CE96" i="1"/>
  <c r="CE97" i="1"/>
  <c r="CE98" i="1"/>
  <c r="CE99" i="1"/>
  <c r="CE100" i="1"/>
  <c r="CE101" i="1"/>
  <c r="CE102" i="1"/>
  <c r="CE103" i="1"/>
  <c r="CE104" i="1"/>
  <c r="CE105" i="1"/>
  <c r="CE106" i="1"/>
  <c r="CE107" i="1"/>
  <c r="CE108" i="1"/>
  <c r="CE109" i="1"/>
  <c r="CE110" i="1"/>
  <c r="CE111" i="1"/>
  <c r="CE112" i="1"/>
  <c r="CE113" i="1"/>
  <c r="CE114" i="1"/>
  <c r="CE115" i="1"/>
  <c r="CE116" i="1"/>
  <c r="CE117" i="1"/>
  <c r="CE118" i="1"/>
  <c r="CE119" i="1"/>
  <c r="CE120" i="1"/>
  <c r="CE121" i="1"/>
  <c r="CE122" i="1"/>
  <c r="CE123" i="1"/>
  <c r="CE124" i="1"/>
  <c r="CE125" i="1"/>
  <c r="CE126" i="1"/>
  <c r="CE127" i="1"/>
  <c r="CE128" i="1"/>
  <c r="CE129" i="1"/>
  <c r="CE130" i="1"/>
  <c r="CE131" i="1"/>
  <c r="CE132" i="1"/>
  <c r="CE133" i="1"/>
  <c r="CE134" i="1"/>
  <c r="CE135" i="1"/>
  <c r="CE136" i="1"/>
  <c r="CE137" i="1"/>
  <c r="CE138" i="1"/>
  <c r="CE139" i="1"/>
  <c r="CE140" i="1"/>
  <c r="CE141" i="1"/>
  <c r="CE142" i="1"/>
  <c r="CE143" i="1"/>
  <c r="CE144" i="1"/>
  <c r="CE145" i="1"/>
  <c r="CE146" i="1"/>
  <c r="CE147" i="1"/>
  <c r="CE148" i="1"/>
  <c r="CE149" i="1"/>
  <c r="CE150" i="1"/>
  <c r="CE151" i="1"/>
  <c r="CE152" i="1"/>
  <c r="CE153" i="1"/>
  <c r="CE154" i="1"/>
  <c r="CE155" i="1"/>
  <c r="CE156" i="1"/>
  <c r="CE157" i="1"/>
  <c r="CE158" i="1"/>
  <c r="CE159" i="1"/>
  <c r="CE160" i="1"/>
  <c r="CE161" i="1"/>
  <c r="CE162" i="1"/>
  <c r="CE163" i="1"/>
  <c r="CE164" i="1"/>
  <c r="CE165" i="1"/>
  <c r="CE166" i="1"/>
  <c r="CE167" i="1"/>
  <c r="CE168" i="1"/>
  <c r="CE169" i="1"/>
  <c r="CE170" i="1"/>
  <c r="CE171" i="1"/>
  <c r="CE172" i="1"/>
  <c r="CE173" i="1"/>
  <c r="CE174" i="1"/>
  <c r="CE175" i="1"/>
  <c r="CE7" i="1"/>
  <c r="CD8" i="1"/>
  <c r="CD9" i="1"/>
  <c r="CD10" i="1"/>
  <c r="CD11" i="1"/>
  <c r="CD12" i="1"/>
  <c r="CD13" i="1"/>
  <c r="CD14" i="1"/>
  <c r="CD15" i="1"/>
  <c r="CD16" i="1"/>
  <c r="CD17" i="1"/>
  <c r="CD18" i="1"/>
  <c r="CD19" i="1"/>
  <c r="CD20" i="1"/>
  <c r="CD21" i="1"/>
  <c r="CD22" i="1"/>
  <c r="CD23" i="1"/>
  <c r="CD24" i="1"/>
  <c r="CD25" i="1"/>
  <c r="CD26" i="1"/>
  <c r="CD27" i="1"/>
  <c r="CD28" i="1"/>
  <c r="CD29" i="1"/>
  <c r="CD30" i="1"/>
  <c r="CD31" i="1"/>
  <c r="CD32" i="1"/>
  <c r="CD33" i="1"/>
  <c r="CD34" i="1"/>
  <c r="CD35" i="1"/>
  <c r="CD36" i="1"/>
  <c r="CD37" i="1"/>
  <c r="CD38" i="1"/>
  <c r="CD39" i="1"/>
  <c r="CD40" i="1"/>
  <c r="CD41" i="1"/>
  <c r="CD42" i="1"/>
  <c r="CD43" i="1"/>
  <c r="CD44" i="1"/>
  <c r="CD45" i="1"/>
  <c r="CD46" i="1"/>
  <c r="CD47" i="1"/>
  <c r="CD48" i="1"/>
  <c r="CD49" i="1"/>
  <c r="CD50" i="1"/>
  <c r="CD51" i="1"/>
  <c r="CD52" i="1"/>
  <c r="CD53" i="1"/>
  <c r="CD54" i="1"/>
  <c r="CD55" i="1"/>
  <c r="CD56" i="1"/>
  <c r="CD57" i="1"/>
  <c r="CD58" i="1"/>
  <c r="CD59" i="1"/>
  <c r="CD60" i="1"/>
  <c r="CD61" i="1"/>
  <c r="CD62" i="1"/>
  <c r="CD63" i="1"/>
  <c r="CD64" i="1"/>
  <c r="CD65" i="1"/>
  <c r="CD66" i="1"/>
  <c r="CD67" i="1"/>
  <c r="CD68" i="1"/>
  <c r="CD69" i="1"/>
  <c r="CD70" i="1"/>
  <c r="CD71" i="1"/>
  <c r="CD72" i="1"/>
  <c r="CD73" i="1"/>
  <c r="CD74" i="1"/>
  <c r="CD75" i="1"/>
  <c r="CD76" i="1"/>
  <c r="CD77" i="1"/>
  <c r="CD78" i="1"/>
  <c r="CD79" i="1"/>
  <c r="CD80" i="1"/>
  <c r="CD81" i="1"/>
  <c r="CD82" i="1"/>
  <c r="CD83" i="1"/>
  <c r="CD84" i="1"/>
  <c r="CD85" i="1"/>
  <c r="CD86" i="1"/>
  <c r="CD87" i="1"/>
  <c r="CD88" i="1"/>
  <c r="CD89" i="1"/>
  <c r="CD90" i="1"/>
  <c r="CD91" i="1"/>
  <c r="CD92" i="1"/>
  <c r="CD93" i="1"/>
  <c r="CD94" i="1"/>
  <c r="CD95" i="1"/>
  <c r="CD96" i="1"/>
  <c r="CD97" i="1"/>
  <c r="CD98" i="1"/>
  <c r="CD99" i="1"/>
  <c r="CD100" i="1"/>
  <c r="CD101" i="1"/>
  <c r="CD102" i="1"/>
  <c r="CD103" i="1"/>
  <c r="CD104" i="1"/>
  <c r="CD105" i="1"/>
  <c r="CD106" i="1"/>
  <c r="CD107" i="1"/>
  <c r="CD108" i="1"/>
  <c r="CD109" i="1"/>
  <c r="CD110" i="1"/>
  <c r="CD111" i="1"/>
  <c r="CD112" i="1"/>
  <c r="CD113" i="1"/>
  <c r="CD114" i="1"/>
  <c r="CD115" i="1"/>
  <c r="CD116" i="1"/>
  <c r="CD117" i="1"/>
  <c r="CD118" i="1"/>
  <c r="CD119" i="1"/>
  <c r="CD120" i="1"/>
  <c r="CD121" i="1"/>
  <c r="CD122" i="1"/>
  <c r="CD123" i="1"/>
  <c r="CD124" i="1"/>
  <c r="CD125" i="1"/>
  <c r="CD126" i="1"/>
  <c r="CD127" i="1"/>
  <c r="CD128" i="1"/>
  <c r="CD129" i="1"/>
  <c r="CD130" i="1"/>
  <c r="CD131" i="1"/>
  <c r="CD132" i="1"/>
  <c r="CD133" i="1"/>
  <c r="CD134" i="1"/>
  <c r="CD135" i="1"/>
  <c r="CD136" i="1"/>
  <c r="CD137" i="1"/>
  <c r="CD138" i="1"/>
  <c r="CD139" i="1"/>
  <c r="CD140" i="1"/>
  <c r="CD141" i="1"/>
  <c r="CD142" i="1"/>
  <c r="CD143" i="1"/>
  <c r="CD144" i="1"/>
  <c r="CD145" i="1"/>
  <c r="CD146" i="1"/>
  <c r="CD147" i="1"/>
  <c r="CD148" i="1"/>
  <c r="CD149" i="1"/>
  <c r="CD150" i="1"/>
  <c r="CD151" i="1"/>
  <c r="CD152" i="1"/>
  <c r="CD153" i="1"/>
  <c r="CD154" i="1"/>
  <c r="CD155" i="1"/>
  <c r="CD156" i="1"/>
  <c r="CD157" i="1"/>
  <c r="CD158" i="1"/>
  <c r="CD159" i="1"/>
  <c r="CD160" i="1"/>
  <c r="CD161" i="1"/>
  <c r="CD162" i="1"/>
  <c r="CD163" i="1"/>
  <c r="CD164" i="1"/>
  <c r="CD165" i="1"/>
  <c r="CD166" i="1"/>
  <c r="CD167" i="1"/>
  <c r="CD168" i="1"/>
  <c r="CD169" i="1"/>
  <c r="CD170" i="1"/>
  <c r="CD171" i="1"/>
  <c r="CD172" i="1"/>
  <c r="CD173" i="1"/>
  <c r="CD174" i="1"/>
  <c r="CD175" i="1"/>
  <c r="CD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C35" i="1"/>
  <c r="CC36" i="1"/>
  <c r="CC37" i="1"/>
  <c r="CC38" i="1"/>
  <c r="CC39" i="1"/>
  <c r="CC40" i="1"/>
  <c r="CC41" i="1"/>
  <c r="CC42" i="1"/>
  <c r="CC43" i="1"/>
  <c r="CC44" i="1"/>
  <c r="CC45" i="1"/>
  <c r="CC46" i="1"/>
  <c r="CC47" i="1"/>
  <c r="CC48" i="1"/>
  <c r="CC49" i="1"/>
  <c r="CC50" i="1"/>
  <c r="CC51" i="1"/>
  <c r="CC52" i="1"/>
  <c r="CC53" i="1"/>
  <c r="CC54" i="1"/>
  <c r="CC55" i="1"/>
  <c r="CC56" i="1"/>
  <c r="CC57" i="1"/>
  <c r="CC58" i="1"/>
  <c r="CC59" i="1"/>
  <c r="CC60" i="1"/>
  <c r="CC61" i="1"/>
  <c r="CC62" i="1"/>
  <c r="CC63" i="1"/>
  <c r="CC64" i="1"/>
  <c r="CC65" i="1"/>
  <c r="CC66" i="1"/>
  <c r="CC67" i="1"/>
  <c r="CC68" i="1"/>
  <c r="CC69" i="1"/>
  <c r="CC70" i="1"/>
  <c r="CC71" i="1"/>
  <c r="CC72" i="1"/>
  <c r="CC73" i="1"/>
  <c r="CC74" i="1"/>
  <c r="CC75" i="1"/>
  <c r="CC76" i="1"/>
  <c r="CC77" i="1"/>
  <c r="CC78" i="1"/>
  <c r="CC79" i="1"/>
  <c r="CC80" i="1"/>
  <c r="CC81" i="1"/>
  <c r="CC82" i="1"/>
  <c r="CC83" i="1"/>
  <c r="CC84" i="1"/>
  <c r="CC85" i="1"/>
  <c r="CC86" i="1"/>
  <c r="CC87" i="1"/>
  <c r="CC88" i="1"/>
  <c r="CC89" i="1"/>
  <c r="CC90" i="1"/>
  <c r="CC91" i="1"/>
  <c r="CC92" i="1"/>
  <c r="CC93" i="1"/>
  <c r="CC94" i="1"/>
  <c r="CC95" i="1"/>
  <c r="CC96" i="1"/>
  <c r="CC97" i="1"/>
  <c r="CC98" i="1"/>
  <c r="CC99" i="1"/>
  <c r="CC100" i="1"/>
  <c r="CC101" i="1"/>
  <c r="CC102" i="1"/>
  <c r="CC103" i="1"/>
  <c r="CC104" i="1"/>
  <c r="CC105" i="1"/>
  <c r="CC106" i="1"/>
  <c r="CC107" i="1"/>
  <c r="CC108" i="1"/>
  <c r="CC109" i="1"/>
  <c r="CC110" i="1"/>
  <c r="CC111" i="1"/>
  <c r="CC112" i="1"/>
  <c r="CC113" i="1"/>
  <c r="CC114" i="1"/>
  <c r="CC115" i="1"/>
  <c r="CC116" i="1"/>
  <c r="CC117" i="1"/>
  <c r="CC118" i="1"/>
  <c r="CC119" i="1"/>
  <c r="CC120" i="1"/>
  <c r="CC121" i="1"/>
  <c r="CC122" i="1"/>
  <c r="CC123" i="1"/>
  <c r="CC124" i="1"/>
  <c r="CC125" i="1"/>
  <c r="CC126" i="1"/>
  <c r="CC127" i="1"/>
  <c r="CC128" i="1"/>
  <c r="CC129" i="1"/>
  <c r="CC130" i="1"/>
  <c r="CC131" i="1"/>
  <c r="CC132" i="1"/>
  <c r="CC133" i="1"/>
  <c r="CC134" i="1"/>
  <c r="CC135" i="1"/>
  <c r="CC136" i="1"/>
  <c r="CC137" i="1"/>
  <c r="CC138" i="1"/>
  <c r="CC139" i="1"/>
  <c r="CC140" i="1"/>
  <c r="CC141" i="1"/>
  <c r="CC142" i="1"/>
  <c r="CC143" i="1"/>
  <c r="CC144" i="1"/>
  <c r="CC145" i="1"/>
  <c r="CC146" i="1"/>
  <c r="CC147" i="1"/>
  <c r="CC148" i="1"/>
  <c r="CC149" i="1"/>
  <c r="CC150" i="1"/>
  <c r="CC151" i="1"/>
  <c r="CC152" i="1"/>
  <c r="CC153" i="1"/>
  <c r="CC154" i="1"/>
  <c r="CC155" i="1"/>
  <c r="CC156" i="1"/>
  <c r="CC157" i="1"/>
  <c r="CC158" i="1"/>
  <c r="CC159" i="1"/>
  <c r="CC160" i="1"/>
  <c r="CC161" i="1"/>
  <c r="CC162" i="1"/>
  <c r="CC163" i="1"/>
  <c r="CC164" i="1"/>
  <c r="CC165" i="1"/>
  <c r="CC166" i="1"/>
  <c r="CC167" i="1"/>
  <c r="CC168" i="1"/>
  <c r="CC169" i="1"/>
  <c r="CC170" i="1"/>
  <c r="CC171" i="1"/>
  <c r="CC172" i="1"/>
  <c r="CC173" i="1"/>
  <c r="CC174" i="1"/>
  <c r="CC175" i="1"/>
  <c r="CC7" i="1"/>
  <c r="CB8" i="1"/>
  <c r="CB9" i="1"/>
  <c r="CB10" i="1"/>
  <c r="CB11" i="1"/>
  <c r="CB12" i="1"/>
  <c r="CB13" i="1"/>
  <c r="CB14" i="1"/>
  <c r="CB15" i="1"/>
  <c r="CB16" i="1"/>
  <c r="CB17" i="1"/>
  <c r="CB18" i="1"/>
  <c r="CB19" i="1"/>
  <c r="CB20" i="1"/>
  <c r="CB21" i="1"/>
  <c r="CB22" i="1"/>
  <c r="CB23" i="1"/>
  <c r="CB24" i="1"/>
  <c r="CB25" i="1"/>
  <c r="CB26" i="1"/>
  <c r="CB27" i="1"/>
  <c r="CB28" i="1"/>
  <c r="CB29" i="1"/>
  <c r="CB30" i="1"/>
  <c r="CB31" i="1"/>
  <c r="CB32" i="1"/>
  <c r="CB33" i="1"/>
  <c r="CB34" i="1"/>
  <c r="CB35" i="1"/>
  <c r="CB36" i="1"/>
  <c r="CB37" i="1"/>
  <c r="CB38" i="1"/>
  <c r="CB39" i="1"/>
  <c r="CB40" i="1"/>
  <c r="CB41" i="1"/>
  <c r="CB42" i="1"/>
  <c r="CB43" i="1"/>
  <c r="CB44" i="1"/>
  <c r="CB45" i="1"/>
  <c r="CB46" i="1"/>
  <c r="CB47" i="1"/>
  <c r="CB48" i="1"/>
  <c r="CB49" i="1"/>
  <c r="CB50" i="1"/>
  <c r="CB51" i="1"/>
  <c r="CB52" i="1"/>
  <c r="CB53" i="1"/>
  <c r="CB54" i="1"/>
  <c r="CB55" i="1"/>
  <c r="CB56" i="1"/>
  <c r="CB57" i="1"/>
  <c r="CB58" i="1"/>
  <c r="CB59" i="1"/>
  <c r="CB60" i="1"/>
  <c r="CB61" i="1"/>
  <c r="CB62" i="1"/>
  <c r="CB63" i="1"/>
  <c r="CB64" i="1"/>
  <c r="CB65" i="1"/>
  <c r="CB66" i="1"/>
  <c r="CB67" i="1"/>
  <c r="CB68" i="1"/>
  <c r="CB69" i="1"/>
  <c r="CB70" i="1"/>
  <c r="CB71" i="1"/>
  <c r="CB72" i="1"/>
  <c r="CB73" i="1"/>
  <c r="CB74" i="1"/>
  <c r="CB75" i="1"/>
  <c r="CB76" i="1"/>
  <c r="CB77" i="1"/>
  <c r="CB78" i="1"/>
  <c r="CB79" i="1"/>
  <c r="CB80" i="1"/>
  <c r="CB81" i="1"/>
  <c r="CB82" i="1"/>
  <c r="CB83" i="1"/>
  <c r="CB84" i="1"/>
  <c r="CB85" i="1"/>
  <c r="CB86" i="1"/>
  <c r="CB87" i="1"/>
  <c r="CB88" i="1"/>
  <c r="CB89" i="1"/>
  <c r="CB90" i="1"/>
  <c r="CB91" i="1"/>
  <c r="CB92" i="1"/>
  <c r="CB93" i="1"/>
  <c r="CB94" i="1"/>
  <c r="CB95" i="1"/>
  <c r="CB96" i="1"/>
  <c r="CB97" i="1"/>
  <c r="CB98" i="1"/>
  <c r="CB99" i="1"/>
  <c r="CB100" i="1"/>
  <c r="CB101" i="1"/>
  <c r="CB102" i="1"/>
  <c r="CB103" i="1"/>
  <c r="CB104" i="1"/>
  <c r="CB105" i="1"/>
  <c r="CB106" i="1"/>
  <c r="CB107" i="1"/>
  <c r="CB108" i="1"/>
  <c r="CB109" i="1"/>
  <c r="CB110" i="1"/>
  <c r="CB111" i="1"/>
  <c r="CB112" i="1"/>
  <c r="CB113" i="1"/>
  <c r="CB114" i="1"/>
  <c r="CB115" i="1"/>
  <c r="CB116" i="1"/>
  <c r="CB117" i="1"/>
  <c r="CB118" i="1"/>
  <c r="CB119" i="1"/>
  <c r="CB120" i="1"/>
  <c r="CB121" i="1"/>
  <c r="CB122" i="1"/>
  <c r="CB123" i="1"/>
  <c r="CB124" i="1"/>
  <c r="CB125" i="1"/>
  <c r="CB126" i="1"/>
  <c r="CB127" i="1"/>
  <c r="CB128" i="1"/>
  <c r="CB129" i="1"/>
  <c r="CB130" i="1"/>
  <c r="CB131" i="1"/>
  <c r="CB132" i="1"/>
  <c r="CB133" i="1"/>
  <c r="CB134" i="1"/>
  <c r="CB135" i="1"/>
  <c r="CB136" i="1"/>
  <c r="CB137" i="1"/>
  <c r="CB138" i="1"/>
  <c r="CB139" i="1"/>
  <c r="CB140" i="1"/>
  <c r="CB141" i="1"/>
  <c r="CB142" i="1"/>
  <c r="CB143" i="1"/>
  <c r="CB144" i="1"/>
  <c r="CB145" i="1"/>
  <c r="CB146" i="1"/>
  <c r="CB147" i="1"/>
  <c r="CB148" i="1"/>
  <c r="CB149" i="1"/>
  <c r="CB150" i="1"/>
  <c r="CB151" i="1"/>
  <c r="CB152" i="1"/>
  <c r="CB153" i="1"/>
  <c r="CB154" i="1"/>
  <c r="CB155" i="1"/>
  <c r="CB156" i="1"/>
  <c r="CB157" i="1"/>
  <c r="CB158" i="1"/>
  <c r="CB159" i="1"/>
  <c r="CB160" i="1"/>
  <c r="CB161" i="1"/>
  <c r="CB162" i="1"/>
  <c r="CB163" i="1"/>
  <c r="CB164" i="1"/>
  <c r="CB165" i="1"/>
  <c r="CB166" i="1"/>
  <c r="CB167" i="1"/>
  <c r="CB168" i="1"/>
  <c r="CB169" i="1"/>
  <c r="CB170" i="1"/>
  <c r="CB171" i="1"/>
  <c r="CB172" i="1"/>
  <c r="CB173" i="1"/>
  <c r="CB174" i="1"/>
  <c r="CB175" i="1"/>
  <c r="CB7" i="1"/>
  <c r="CA8" i="1"/>
  <c r="CA9" i="1"/>
  <c r="CA10" i="1"/>
  <c r="CA11" i="1"/>
  <c r="CA12" i="1"/>
  <c r="CA13" i="1"/>
  <c r="CA14" i="1"/>
  <c r="CA15" i="1"/>
  <c r="CA16" i="1"/>
  <c r="CA17" i="1"/>
  <c r="CA18" i="1"/>
  <c r="CA19" i="1"/>
  <c r="CA20" i="1"/>
  <c r="CA21" i="1"/>
  <c r="CA22" i="1"/>
  <c r="CA23" i="1"/>
  <c r="CA24" i="1"/>
  <c r="CA25" i="1"/>
  <c r="CA26" i="1"/>
  <c r="CA27" i="1"/>
  <c r="CA28" i="1"/>
  <c r="CA29" i="1"/>
  <c r="CA30" i="1"/>
  <c r="CA31" i="1"/>
  <c r="CA32" i="1"/>
  <c r="CA33" i="1"/>
  <c r="CA34" i="1"/>
  <c r="CA35" i="1"/>
  <c r="CA36" i="1"/>
  <c r="CA37" i="1"/>
  <c r="CA38" i="1"/>
  <c r="CA39" i="1"/>
  <c r="CA40" i="1"/>
  <c r="CA41" i="1"/>
  <c r="CA42" i="1"/>
  <c r="CA43" i="1"/>
  <c r="CA44" i="1"/>
  <c r="CA45" i="1"/>
  <c r="CA46" i="1"/>
  <c r="CA47" i="1"/>
  <c r="CA48" i="1"/>
  <c r="CA49" i="1"/>
  <c r="CA50" i="1"/>
  <c r="CA51" i="1"/>
  <c r="CA52" i="1"/>
  <c r="CA53" i="1"/>
  <c r="CA54" i="1"/>
  <c r="CA55" i="1"/>
  <c r="CA56" i="1"/>
  <c r="CA57" i="1"/>
  <c r="CA58" i="1"/>
  <c r="CA59" i="1"/>
  <c r="CA60" i="1"/>
  <c r="CA61" i="1"/>
  <c r="CA62" i="1"/>
  <c r="CA63" i="1"/>
  <c r="CA64" i="1"/>
  <c r="CA65" i="1"/>
  <c r="CA66" i="1"/>
  <c r="CA67" i="1"/>
  <c r="CA68" i="1"/>
  <c r="CA69" i="1"/>
  <c r="CA70" i="1"/>
  <c r="CA71" i="1"/>
  <c r="CA72" i="1"/>
  <c r="CA73" i="1"/>
  <c r="CA74" i="1"/>
  <c r="CA75" i="1"/>
  <c r="CA76" i="1"/>
  <c r="CA77" i="1"/>
  <c r="CA78" i="1"/>
  <c r="CA79" i="1"/>
  <c r="CA80" i="1"/>
  <c r="CA81" i="1"/>
  <c r="CA82" i="1"/>
  <c r="CA83" i="1"/>
  <c r="CA84" i="1"/>
  <c r="CA85" i="1"/>
  <c r="CA86" i="1"/>
  <c r="CA87" i="1"/>
  <c r="CA88" i="1"/>
  <c r="CA89" i="1"/>
  <c r="CA90" i="1"/>
  <c r="CA91" i="1"/>
  <c r="CA92" i="1"/>
  <c r="CA93" i="1"/>
  <c r="CA94" i="1"/>
  <c r="CA95" i="1"/>
  <c r="CA96" i="1"/>
  <c r="CA97" i="1"/>
  <c r="CA98" i="1"/>
  <c r="CA99" i="1"/>
  <c r="CA100" i="1"/>
  <c r="CA101" i="1"/>
  <c r="CA102" i="1"/>
  <c r="CA103" i="1"/>
  <c r="CA104" i="1"/>
  <c r="CA105" i="1"/>
  <c r="CA106" i="1"/>
  <c r="CA107" i="1"/>
  <c r="CA108" i="1"/>
  <c r="CA109" i="1"/>
  <c r="CA110" i="1"/>
  <c r="CA111" i="1"/>
  <c r="CA112" i="1"/>
  <c r="CA113" i="1"/>
  <c r="CA114" i="1"/>
  <c r="CA115" i="1"/>
  <c r="CA116" i="1"/>
  <c r="CA117" i="1"/>
  <c r="CA118" i="1"/>
  <c r="CA119" i="1"/>
  <c r="CA120" i="1"/>
  <c r="CA121" i="1"/>
  <c r="CA122" i="1"/>
  <c r="CA123" i="1"/>
  <c r="CA124" i="1"/>
  <c r="CA125" i="1"/>
  <c r="CA126" i="1"/>
  <c r="CA127" i="1"/>
  <c r="CA128" i="1"/>
  <c r="CA129" i="1"/>
  <c r="CA130" i="1"/>
  <c r="CA131" i="1"/>
  <c r="CA132" i="1"/>
  <c r="CA133" i="1"/>
  <c r="CA134" i="1"/>
  <c r="CA135" i="1"/>
  <c r="CA136" i="1"/>
  <c r="CA137" i="1"/>
  <c r="CA138" i="1"/>
  <c r="CA139" i="1"/>
  <c r="CA140" i="1"/>
  <c r="CA141" i="1"/>
  <c r="CA142" i="1"/>
  <c r="CA143" i="1"/>
  <c r="CA144" i="1"/>
  <c r="CA145" i="1"/>
  <c r="CA146" i="1"/>
  <c r="CA147" i="1"/>
  <c r="CA148" i="1"/>
  <c r="CA149" i="1"/>
  <c r="CA150" i="1"/>
  <c r="CA151" i="1"/>
  <c r="CA152" i="1"/>
  <c r="CA153" i="1"/>
  <c r="CA154" i="1"/>
  <c r="CA155" i="1"/>
  <c r="CA156" i="1"/>
  <c r="CA157" i="1"/>
  <c r="CA158" i="1"/>
  <c r="CA159" i="1"/>
  <c r="CA160" i="1"/>
  <c r="CA161" i="1"/>
  <c r="CA162" i="1"/>
  <c r="CA163" i="1"/>
  <c r="CA164" i="1"/>
  <c r="CA165" i="1"/>
  <c r="CA166" i="1"/>
  <c r="CA167" i="1"/>
  <c r="CA168" i="1"/>
  <c r="CA169" i="1"/>
  <c r="CA170" i="1"/>
  <c r="CA171" i="1"/>
  <c r="CA172" i="1"/>
  <c r="CA173" i="1"/>
  <c r="CA174" i="1"/>
  <c r="CA175" i="1"/>
  <c r="CA7" i="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50" i="1"/>
  <c r="BZ51" i="1"/>
  <c r="BZ52" i="1"/>
  <c r="BZ53" i="1"/>
  <c r="BZ54" i="1"/>
  <c r="BZ55" i="1"/>
  <c r="BZ56" i="1"/>
  <c r="BZ57" i="1"/>
  <c r="BZ58" i="1"/>
  <c r="BZ59" i="1"/>
  <c r="BZ60" i="1"/>
  <c r="BZ61" i="1"/>
  <c r="BZ62" i="1"/>
  <c r="BZ63" i="1"/>
  <c r="BZ64" i="1"/>
  <c r="BZ65" i="1"/>
  <c r="BZ66" i="1"/>
  <c r="BZ67" i="1"/>
  <c r="BZ68" i="1"/>
  <c r="BZ69" i="1"/>
  <c r="BZ70" i="1"/>
  <c r="BZ71" i="1"/>
  <c r="BZ72" i="1"/>
  <c r="BZ73" i="1"/>
  <c r="BZ74" i="1"/>
  <c r="BZ75" i="1"/>
  <c r="BZ76" i="1"/>
  <c r="BZ77" i="1"/>
  <c r="BZ78" i="1"/>
  <c r="BZ79" i="1"/>
  <c r="BZ80" i="1"/>
  <c r="BZ81" i="1"/>
  <c r="BZ82" i="1"/>
  <c r="BZ83" i="1"/>
  <c r="BZ84" i="1"/>
  <c r="BZ85" i="1"/>
  <c r="BZ86" i="1"/>
  <c r="BZ87" i="1"/>
  <c r="BZ88" i="1"/>
  <c r="BZ89" i="1"/>
  <c r="BZ90" i="1"/>
  <c r="BZ91" i="1"/>
  <c r="BZ92" i="1"/>
  <c r="BZ93" i="1"/>
  <c r="BZ94" i="1"/>
  <c r="BZ95" i="1"/>
  <c r="BZ96" i="1"/>
  <c r="BZ97" i="1"/>
  <c r="BZ98" i="1"/>
  <c r="BZ99" i="1"/>
  <c r="BZ100" i="1"/>
  <c r="BZ101" i="1"/>
  <c r="BZ102" i="1"/>
  <c r="BZ103" i="1"/>
  <c r="BZ104" i="1"/>
  <c r="BZ105" i="1"/>
  <c r="BZ106" i="1"/>
  <c r="BZ107" i="1"/>
  <c r="BZ108" i="1"/>
  <c r="BZ109" i="1"/>
  <c r="BZ110" i="1"/>
  <c r="BZ111" i="1"/>
  <c r="BZ112" i="1"/>
  <c r="BZ113" i="1"/>
  <c r="BZ114" i="1"/>
  <c r="BZ115" i="1"/>
  <c r="BZ116" i="1"/>
  <c r="BZ117" i="1"/>
  <c r="BZ118" i="1"/>
  <c r="BZ119" i="1"/>
  <c r="BZ120" i="1"/>
  <c r="BZ121" i="1"/>
  <c r="BZ122" i="1"/>
  <c r="BZ123" i="1"/>
  <c r="BZ124" i="1"/>
  <c r="BZ125" i="1"/>
  <c r="BZ126" i="1"/>
  <c r="BZ127" i="1"/>
  <c r="BZ128" i="1"/>
  <c r="BZ129" i="1"/>
  <c r="BZ130" i="1"/>
  <c r="BZ131" i="1"/>
  <c r="BZ132" i="1"/>
  <c r="BZ133" i="1"/>
  <c r="BZ134" i="1"/>
  <c r="BZ135" i="1"/>
  <c r="BZ136" i="1"/>
  <c r="BZ137" i="1"/>
  <c r="BZ138" i="1"/>
  <c r="BZ139" i="1"/>
  <c r="BZ140" i="1"/>
  <c r="BZ141" i="1"/>
  <c r="BZ142" i="1"/>
  <c r="BZ143" i="1"/>
  <c r="BZ144" i="1"/>
  <c r="BZ145" i="1"/>
  <c r="BZ146" i="1"/>
  <c r="BZ147" i="1"/>
  <c r="BZ148" i="1"/>
  <c r="BZ149" i="1"/>
  <c r="BZ150" i="1"/>
  <c r="BZ151" i="1"/>
  <c r="BZ152" i="1"/>
  <c r="BZ153" i="1"/>
  <c r="BZ154" i="1"/>
  <c r="BZ155" i="1"/>
  <c r="BZ156" i="1"/>
  <c r="BZ157" i="1"/>
  <c r="BZ158" i="1"/>
  <c r="BZ159" i="1"/>
  <c r="BZ160" i="1"/>
  <c r="BZ161" i="1"/>
  <c r="BZ162" i="1"/>
  <c r="BZ163" i="1"/>
  <c r="BZ164" i="1"/>
  <c r="BZ165" i="1"/>
  <c r="BZ166" i="1"/>
  <c r="BZ167" i="1"/>
  <c r="BZ168" i="1"/>
  <c r="BZ169" i="1"/>
  <c r="BZ170" i="1"/>
  <c r="BZ171" i="1"/>
  <c r="BZ172" i="1"/>
  <c r="BZ173" i="1"/>
  <c r="BZ174" i="1"/>
  <c r="BZ175" i="1"/>
  <c r="BZ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Y35" i="1"/>
  <c r="BY36" i="1"/>
  <c r="BY37" i="1"/>
  <c r="BY38" i="1"/>
  <c r="BY39" i="1"/>
  <c r="BY40" i="1"/>
  <c r="BY41" i="1"/>
  <c r="BY42" i="1"/>
  <c r="BY43" i="1"/>
  <c r="BY44" i="1"/>
  <c r="BY45" i="1"/>
  <c r="BY46" i="1"/>
  <c r="BY47" i="1"/>
  <c r="BY48" i="1"/>
  <c r="BY49" i="1"/>
  <c r="BY50" i="1"/>
  <c r="BY51" i="1"/>
  <c r="BY52" i="1"/>
  <c r="BY53" i="1"/>
  <c r="BY54" i="1"/>
  <c r="BY55" i="1"/>
  <c r="BY56" i="1"/>
  <c r="BY57" i="1"/>
  <c r="BY58" i="1"/>
  <c r="BY59" i="1"/>
  <c r="BY60" i="1"/>
  <c r="BY61" i="1"/>
  <c r="BY62" i="1"/>
  <c r="BY63" i="1"/>
  <c r="BY64" i="1"/>
  <c r="BY65" i="1"/>
  <c r="BY66" i="1"/>
  <c r="BY67" i="1"/>
  <c r="BY68" i="1"/>
  <c r="BY69" i="1"/>
  <c r="BY70" i="1"/>
  <c r="BY71" i="1"/>
  <c r="BY72" i="1"/>
  <c r="BY73" i="1"/>
  <c r="BY74" i="1"/>
  <c r="BY75" i="1"/>
  <c r="BY76" i="1"/>
  <c r="BY77" i="1"/>
  <c r="BY78" i="1"/>
  <c r="BY79" i="1"/>
  <c r="BY80" i="1"/>
  <c r="BY81" i="1"/>
  <c r="BY82" i="1"/>
  <c r="BY83" i="1"/>
  <c r="BY84" i="1"/>
  <c r="BY85" i="1"/>
  <c r="BY86" i="1"/>
  <c r="BY87" i="1"/>
  <c r="BY88" i="1"/>
  <c r="BY89" i="1"/>
  <c r="BY90" i="1"/>
  <c r="BY91" i="1"/>
  <c r="BY92" i="1"/>
  <c r="BY93" i="1"/>
  <c r="BY94" i="1"/>
  <c r="BY95" i="1"/>
  <c r="BY96" i="1"/>
  <c r="BY97" i="1"/>
  <c r="BY98" i="1"/>
  <c r="BY99" i="1"/>
  <c r="BY100" i="1"/>
  <c r="BY101" i="1"/>
  <c r="BY102" i="1"/>
  <c r="BY103" i="1"/>
  <c r="BY104" i="1"/>
  <c r="BY105" i="1"/>
  <c r="BY106" i="1"/>
  <c r="BY107" i="1"/>
  <c r="BY108" i="1"/>
  <c r="BY109" i="1"/>
  <c r="BY110" i="1"/>
  <c r="BY111" i="1"/>
  <c r="BY112" i="1"/>
  <c r="BY113" i="1"/>
  <c r="BY114" i="1"/>
  <c r="BY115" i="1"/>
  <c r="BY116" i="1"/>
  <c r="BY117" i="1"/>
  <c r="BY118" i="1"/>
  <c r="BY119" i="1"/>
  <c r="BY120" i="1"/>
  <c r="BY121" i="1"/>
  <c r="BY122" i="1"/>
  <c r="BY123" i="1"/>
  <c r="BY124" i="1"/>
  <c r="BY125" i="1"/>
  <c r="BY126" i="1"/>
  <c r="BY127" i="1"/>
  <c r="BY128" i="1"/>
  <c r="BY129" i="1"/>
  <c r="BY130" i="1"/>
  <c r="BY131" i="1"/>
  <c r="BY132" i="1"/>
  <c r="BY133" i="1"/>
  <c r="BY134" i="1"/>
  <c r="BY135" i="1"/>
  <c r="BY136" i="1"/>
  <c r="BY137" i="1"/>
  <c r="BY138" i="1"/>
  <c r="BY139" i="1"/>
  <c r="BY140" i="1"/>
  <c r="BY141" i="1"/>
  <c r="BY142" i="1"/>
  <c r="BY143" i="1"/>
  <c r="BY144" i="1"/>
  <c r="BY145" i="1"/>
  <c r="BY146" i="1"/>
  <c r="BY147" i="1"/>
  <c r="BY148" i="1"/>
  <c r="BY149" i="1"/>
  <c r="BY150" i="1"/>
  <c r="BY151" i="1"/>
  <c r="BY152" i="1"/>
  <c r="BY153" i="1"/>
  <c r="BY154" i="1"/>
  <c r="BY155" i="1"/>
  <c r="BY156" i="1"/>
  <c r="BY157" i="1"/>
  <c r="BY158" i="1"/>
  <c r="BY159" i="1"/>
  <c r="BY160" i="1"/>
  <c r="BY161" i="1"/>
  <c r="BY162" i="1"/>
  <c r="BY163" i="1"/>
  <c r="BY164" i="1"/>
  <c r="BY165" i="1"/>
  <c r="BY166" i="1"/>
  <c r="BY167" i="1"/>
  <c r="BY168" i="1"/>
  <c r="BY169" i="1"/>
  <c r="BY170" i="1"/>
  <c r="BY171" i="1"/>
  <c r="BY172" i="1"/>
  <c r="BY173" i="1"/>
  <c r="BY174" i="1"/>
  <c r="BY175" i="1"/>
  <c r="BY7" i="1"/>
  <c r="BX8" i="1"/>
  <c r="BX9" i="1"/>
  <c r="BX10" i="1"/>
  <c r="BX11" i="1"/>
  <c r="BX12" i="1"/>
  <c r="BX13" i="1"/>
  <c r="BX14" i="1"/>
  <c r="BX15" i="1"/>
  <c r="BX16" i="1"/>
  <c r="BX17" i="1"/>
  <c r="BX18" i="1"/>
  <c r="BX19" i="1"/>
  <c r="BX20" i="1"/>
  <c r="BX21" i="1"/>
  <c r="BX22" i="1"/>
  <c r="BX23" i="1"/>
  <c r="BX24" i="1"/>
  <c r="BX25" i="1"/>
  <c r="BX26" i="1"/>
  <c r="BX27" i="1"/>
  <c r="BX28" i="1"/>
  <c r="BX29" i="1"/>
  <c r="BX30" i="1"/>
  <c r="BX31" i="1"/>
  <c r="BX32" i="1"/>
  <c r="BX33" i="1"/>
  <c r="BX34" i="1"/>
  <c r="BX35" i="1"/>
  <c r="BX36" i="1"/>
  <c r="BX37" i="1"/>
  <c r="BX38" i="1"/>
  <c r="BX39" i="1"/>
  <c r="BX40" i="1"/>
  <c r="BX41" i="1"/>
  <c r="BX42" i="1"/>
  <c r="BX43" i="1"/>
  <c r="BX44" i="1"/>
  <c r="BX45" i="1"/>
  <c r="BX46" i="1"/>
  <c r="BX47" i="1"/>
  <c r="BX48" i="1"/>
  <c r="BX49" i="1"/>
  <c r="BX50" i="1"/>
  <c r="BX51" i="1"/>
  <c r="BX52" i="1"/>
  <c r="BX53" i="1"/>
  <c r="BX54" i="1"/>
  <c r="BX55" i="1"/>
  <c r="BX56" i="1"/>
  <c r="BX57" i="1"/>
  <c r="BX58" i="1"/>
  <c r="BX59" i="1"/>
  <c r="BX60" i="1"/>
  <c r="BX61" i="1"/>
  <c r="BX62" i="1"/>
  <c r="BX63" i="1"/>
  <c r="BX64" i="1"/>
  <c r="BX65" i="1"/>
  <c r="BX66" i="1"/>
  <c r="BX67" i="1"/>
  <c r="BX68" i="1"/>
  <c r="BX69" i="1"/>
  <c r="BX70" i="1"/>
  <c r="BX71" i="1"/>
  <c r="BX72" i="1"/>
  <c r="BX73" i="1"/>
  <c r="BX74" i="1"/>
  <c r="BX75" i="1"/>
  <c r="BX76" i="1"/>
  <c r="BX77" i="1"/>
  <c r="BX78" i="1"/>
  <c r="BX79" i="1"/>
  <c r="BX80" i="1"/>
  <c r="BX81" i="1"/>
  <c r="BX82" i="1"/>
  <c r="BX83" i="1"/>
  <c r="BX84" i="1"/>
  <c r="BX85" i="1"/>
  <c r="BX86" i="1"/>
  <c r="BX87" i="1"/>
  <c r="BX88" i="1"/>
  <c r="BX89" i="1"/>
  <c r="BX90" i="1"/>
  <c r="BX91" i="1"/>
  <c r="BX92" i="1"/>
  <c r="BX93" i="1"/>
  <c r="BX94" i="1"/>
  <c r="BX95" i="1"/>
  <c r="BX96" i="1"/>
  <c r="BX97" i="1"/>
  <c r="BX98" i="1"/>
  <c r="BX99" i="1"/>
  <c r="BX100" i="1"/>
  <c r="BX101" i="1"/>
  <c r="BX102" i="1"/>
  <c r="BX103" i="1"/>
  <c r="BX104" i="1"/>
  <c r="BX105" i="1"/>
  <c r="BX106" i="1"/>
  <c r="BX107" i="1"/>
  <c r="BX108" i="1"/>
  <c r="BX109" i="1"/>
  <c r="BX110" i="1"/>
  <c r="BX111" i="1"/>
  <c r="BX112" i="1"/>
  <c r="BX113" i="1"/>
  <c r="BX114" i="1"/>
  <c r="BX115" i="1"/>
  <c r="BX116" i="1"/>
  <c r="BX117" i="1"/>
  <c r="BX118" i="1"/>
  <c r="BX119" i="1"/>
  <c r="BX120" i="1"/>
  <c r="BX121" i="1"/>
  <c r="BX122" i="1"/>
  <c r="BX123" i="1"/>
  <c r="BX124" i="1"/>
  <c r="BX125" i="1"/>
  <c r="BX126" i="1"/>
  <c r="BX127" i="1"/>
  <c r="BX128" i="1"/>
  <c r="BX129" i="1"/>
  <c r="BX130" i="1"/>
  <c r="BX131" i="1"/>
  <c r="BX132" i="1"/>
  <c r="BX133" i="1"/>
  <c r="BX134" i="1"/>
  <c r="BX135" i="1"/>
  <c r="BX136" i="1"/>
  <c r="BX137" i="1"/>
  <c r="BX138" i="1"/>
  <c r="BX139" i="1"/>
  <c r="BX140" i="1"/>
  <c r="BX141" i="1"/>
  <c r="BX142" i="1"/>
  <c r="BX143" i="1"/>
  <c r="BX144" i="1"/>
  <c r="BX145" i="1"/>
  <c r="BX146" i="1"/>
  <c r="BX147" i="1"/>
  <c r="BX148" i="1"/>
  <c r="BX149" i="1"/>
  <c r="BX150" i="1"/>
  <c r="BX151" i="1"/>
  <c r="BX152" i="1"/>
  <c r="BX153" i="1"/>
  <c r="BX154" i="1"/>
  <c r="BX155" i="1"/>
  <c r="BX156" i="1"/>
  <c r="BX157" i="1"/>
  <c r="BX158" i="1"/>
  <c r="BX159" i="1"/>
  <c r="BX160" i="1"/>
  <c r="BX161" i="1"/>
  <c r="BX162" i="1"/>
  <c r="BX163" i="1"/>
  <c r="BX164" i="1"/>
  <c r="BX165" i="1"/>
  <c r="BX166" i="1"/>
  <c r="BX167" i="1"/>
  <c r="BX168" i="1"/>
  <c r="BX169" i="1"/>
  <c r="BX170" i="1"/>
  <c r="BX171" i="1"/>
  <c r="BX172" i="1"/>
  <c r="BX173" i="1"/>
  <c r="BX174" i="1"/>
  <c r="BX175" i="1"/>
  <c r="BX7" i="1"/>
  <c r="BW8" i="1"/>
  <c r="BW9" i="1"/>
  <c r="BW10" i="1"/>
  <c r="BW11" i="1"/>
  <c r="BW12" i="1"/>
  <c r="BW13" i="1"/>
  <c r="BW14" i="1"/>
  <c r="BW15" i="1"/>
  <c r="BW16" i="1"/>
  <c r="BW17" i="1"/>
  <c r="BW18" i="1"/>
  <c r="BW19" i="1"/>
  <c r="BW20" i="1"/>
  <c r="BW21" i="1"/>
  <c r="BW22" i="1"/>
  <c r="BW23" i="1"/>
  <c r="BW24" i="1"/>
  <c r="BW25" i="1"/>
  <c r="BW26" i="1"/>
  <c r="BW27" i="1"/>
  <c r="BW28" i="1"/>
  <c r="BW29" i="1"/>
  <c r="BW30" i="1"/>
  <c r="BW31" i="1"/>
  <c r="BW32" i="1"/>
  <c r="BW33" i="1"/>
  <c r="BW34" i="1"/>
  <c r="BW35" i="1"/>
  <c r="BW36" i="1"/>
  <c r="BW37" i="1"/>
  <c r="BW38" i="1"/>
  <c r="BW39" i="1"/>
  <c r="BW40" i="1"/>
  <c r="BW41" i="1"/>
  <c r="BW42" i="1"/>
  <c r="BW43" i="1"/>
  <c r="BW44" i="1"/>
  <c r="BW45" i="1"/>
  <c r="BW46" i="1"/>
  <c r="BW47" i="1"/>
  <c r="BW48" i="1"/>
  <c r="BW49" i="1"/>
  <c r="BW50" i="1"/>
  <c r="BW51" i="1"/>
  <c r="BW52" i="1"/>
  <c r="BW53" i="1"/>
  <c r="BW54" i="1"/>
  <c r="BW55" i="1"/>
  <c r="BW56" i="1"/>
  <c r="BW57" i="1"/>
  <c r="BW58" i="1"/>
  <c r="BW59" i="1"/>
  <c r="BW60" i="1"/>
  <c r="BW61" i="1"/>
  <c r="BW62" i="1"/>
  <c r="BW63" i="1"/>
  <c r="BW64" i="1"/>
  <c r="BW65" i="1"/>
  <c r="BW66" i="1"/>
  <c r="BW67" i="1"/>
  <c r="BW68" i="1"/>
  <c r="BW69" i="1"/>
  <c r="BW70" i="1"/>
  <c r="BW71" i="1"/>
  <c r="BW72" i="1"/>
  <c r="BW73" i="1"/>
  <c r="BW74" i="1"/>
  <c r="BW75" i="1"/>
  <c r="BW76" i="1"/>
  <c r="BW77" i="1"/>
  <c r="BW78" i="1"/>
  <c r="BW79" i="1"/>
  <c r="BW80" i="1"/>
  <c r="BW81" i="1"/>
  <c r="BW82" i="1"/>
  <c r="BW83" i="1"/>
  <c r="BW84" i="1"/>
  <c r="BW85" i="1"/>
  <c r="BW86" i="1"/>
  <c r="BW87" i="1"/>
  <c r="BW88" i="1"/>
  <c r="BW89" i="1"/>
  <c r="BW90" i="1"/>
  <c r="BW91" i="1"/>
  <c r="BW92" i="1"/>
  <c r="BW93" i="1"/>
  <c r="BW94" i="1"/>
  <c r="BW95" i="1"/>
  <c r="BW96" i="1"/>
  <c r="BW97" i="1"/>
  <c r="BW98" i="1"/>
  <c r="BW99" i="1"/>
  <c r="BW100" i="1"/>
  <c r="BW101" i="1"/>
  <c r="BW102" i="1"/>
  <c r="BW103" i="1"/>
  <c r="BW104" i="1"/>
  <c r="BW105" i="1"/>
  <c r="BW106" i="1"/>
  <c r="BW107" i="1"/>
  <c r="BW108" i="1"/>
  <c r="BW109" i="1"/>
  <c r="BW110" i="1"/>
  <c r="BW111" i="1"/>
  <c r="BW112" i="1"/>
  <c r="BW113" i="1"/>
  <c r="BW114" i="1"/>
  <c r="BW115" i="1"/>
  <c r="BW116" i="1"/>
  <c r="BW117" i="1"/>
  <c r="BW118" i="1"/>
  <c r="BW119" i="1"/>
  <c r="BW120" i="1"/>
  <c r="BW121" i="1"/>
  <c r="BW122" i="1"/>
  <c r="BW123" i="1"/>
  <c r="BW124" i="1"/>
  <c r="BW125" i="1"/>
  <c r="BW126" i="1"/>
  <c r="BW127" i="1"/>
  <c r="BW128" i="1"/>
  <c r="BW129" i="1"/>
  <c r="BW130" i="1"/>
  <c r="BW131" i="1"/>
  <c r="BW132" i="1"/>
  <c r="BW133" i="1"/>
  <c r="BW134" i="1"/>
  <c r="BW135" i="1"/>
  <c r="BW136" i="1"/>
  <c r="BW137" i="1"/>
  <c r="BW138" i="1"/>
  <c r="BW139" i="1"/>
  <c r="BW140" i="1"/>
  <c r="BW141" i="1"/>
  <c r="BW142" i="1"/>
  <c r="BW143" i="1"/>
  <c r="BW144" i="1"/>
  <c r="BW145" i="1"/>
  <c r="BW146" i="1"/>
  <c r="BW147" i="1"/>
  <c r="BW148" i="1"/>
  <c r="BW149" i="1"/>
  <c r="BW150" i="1"/>
  <c r="BW151" i="1"/>
  <c r="BW152" i="1"/>
  <c r="BW153" i="1"/>
  <c r="BW154" i="1"/>
  <c r="BW155" i="1"/>
  <c r="BW156" i="1"/>
  <c r="BW157" i="1"/>
  <c r="BW158" i="1"/>
  <c r="BW159" i="1"/>
  <c r="BW160" i="1"/>
  <c r="BW161" i="1"/>
  <c r="BW162" i="1"/>
  <c r="BW163" i="1"/>
  <c r="BW164" i="1"/>
  <c r="BW165" i="1"/>
  <c r="BW166" i="1"/>
  <c r="BW167" i="1"/>
  <c r="BW168" i="1"/>
  <c r="BW169" i="1"/>
  <c r="BW170" i="1"/>
  <c r="BW171" i="1"/>
  <c r="BW172" i="1"/>
  <c r="BW173" i="1"/>
  <c r="BW174" i="1"/>
  <c r="BW175" i="1"/>
  <c r="BW7" i="1"/>
  <c r="BV8" i="1"/>
  <c r="BV9" i="1"/>
  <c r="BV10" i="1"/>
  <c r="BV11" i="1"/>
  <c r="BV12" i="1"/>
  <c r="BV13" i="1"/>
  <c r="BV14" i="1"/>
  <c r="BV15" i="1"/>
  <c r="BV16" i="1"/>
  <c r="BV17" i="1"/>
  <c r="BV18" i="1"/>
  <c r="BV19" i="1"/>
  <c r="BV20" i="1"/>
  <c r="BV21" i="1"/>
  <c r="BV22" i="1"/>
  <c r="BV23" i="1"/>
  <c r="BV24" i="1"/>
  <c r="BV25" i="1"/>
  <c r="BV26" i="1"/>
  <c r="BV27" i="1"/>
  <c r="BV28" i="1"/>
  <c r="BV29" i="1"/>
  <c r="BV30" i="1"/>
  <c r="BV31" i="1"/>
  <c r="BV32" i="1"/>
  <c r="BV33" i="1"/>
  <c r="BV34" i="1"/>
  <c r="BV35" i="1"/>
  <c r="BV36" i="1"/>
  <c r="BV37" i="1"/>
  <c r="BV38" i="1"/>
  <c r="BV39" i="1"/>
  <c r="BV40" i="1"/>
  <c r="BV41" i="1"/>
  <c r="BV42" i="1"/>
  <c r="BV43" i="1"/>
  <c r="BV44" i="1"/>
  <c r="BV45" i="1"/>
  <c r="BV46" i="1"/>
  <c r="BV47" i="1"/>
  <c r="BV48" i="1"/>
  <c r="BV49" i="1"/>
  <c r="BV50" i="1"/>
  <c r="BV51" i="1"/>
  <c r="BV52" i="1"/>
  <c r="BV53" i="1"/>
  <c r="BV54" i="1"/>
  <c r="BV55" i="1"/>
  <c r="BV56" i="1"/>
  <c r="BV57" i="1"/>
  <c r="BV58" i="1"/>
  <c r="BV59" i="1"/>
  <c r="BV60" i="1"/>
  <c r="BV61" i="1"/>
  <c r="BV62" i="1"/>
  <c r="BV63" i="1"/>
  <c r="BV64" i="1"/>
  <c r="BV65" i="1"/>
  <c r="BV66" i="1"/>
  <c r="BV67" i="1"/>
  <c r="BV68" i="1"/>
  <c r="BV69" i="1"/>
  <c r="BV70" i="1"/>
  <c r="BV71" i="1"/>
  <c r="BV72" i="1"/>
  <c r="BV73" i="1"/>
  <c r="BV74" i="1"/>
  <c r="BV75" i="1"/>
  <c r="BV76" i="1"/>
  <c r="BV77" i="1"/>
  <c r="BV78" i="1"/>
  <c r="BV79" i="1"/>
  <c r="BV80" i="1"/>
  <c r="BV81" i="1"/>
  <c r="BV82" i="1"/>
  <c r="BV83" i="1"/>
  <c r="BV84" i="1"/>
  <c r="BV85" i="1"/>
  <c r="BV86" i="1"/>
  <c r="BV87" i="1"/>
  <c r="BV88" i="1"/>
  <c r="BV89" i="1"/>
  <c r="BV90" i="1"/>
  <c r="BV91" i="1"/>
  <c r="BV92" i="1"/>
  <c r="BV93" i="1"/>
  <c r="BV94" i="1"/>
  <c r="BV95" i="1"/>
  <c r="BV96" i="1"/>
  <c r="BV97" i="1"/>
  <c r="BV98" i="1"/>
  <c r="BV99" i="1"/>
  <c r="BV100" i="1"/>
  <c r="BV101" i="1"/>
  <c r="BV102" i="1"/>
  <c r="BV103" i="1"/>
  <c r="BV104" i="1"/>
  <c r="BV105" i="1"/>
  <c r="BV106" i="1"/>
  <c r="BV107" i="1"/>
  <c r="BV108" i="1"/>
  <c r="BV109" i="1"/>
  <c r="BV110" i="1"/>
  <c r="BV111" i="1"/>
  <c r="BV112" i="1"/>
  <c r="BV113" i="1"/>
  <c r="BV114" i="1"/>
  <c r="BV115" i="1"/>
  <c r="BV116" i="1"/>
  <c r="BV117" i="1"/>
  <c r="BV118" i="1"/>
  <c r="BV119" i="1"/>
  <c r="BV120" i="1"/>
  <c r="BV121" i="1"/>
  <c r="BV122" i="1"/>
  <c r="BV123" i="1"/>
  <c r="BV124" i="1"/>
  <c r="BV125" i="1"/>
  <c r="BV126" i="1"/>
  <c r="BV127" i="1"/>
  <c r="BV128" i="1"/>
  <c r="BV129" i="1"/>
  <c r="BV130" i="1"/>
  <c r="BV131" i="1"/>
  <c r="BV132" i="1"/>
  <c r="BV133" i="1"/>
  <c r="BV134" i="1"/>
  <c r="BV135" i="1"/>
  <c r="BV136" i="1"/>
  <c r="BV137" i="1"/>
  <c r="BV138" i="1"/>
  <c r="BV139" i="1"/>
  <c r="BV140" i="1"/>
  <c r="BV141" i="1"/>
  <c r="BV142" i="1"/>
  <c r="BV143" i="1"/>
  <c r="BV144" i="1"/>
  <c r="BV145" i="1"/>
  <c r="BV146" i="1"/>
  <c r="BV147" i="1"/>
  <c r="BV148" i="1"/>
  <c r="BV149" i="1"/>
  <c r="BV150" i="1"/>
  <c r="BV151" i="1"/>
  <c r="BV152" i="1"/>
  <c r="BV153" i="1"/>
  <c r="BV154" i="1"/>
  <c r="BV155" i="1"/>
  <c r="BV156" i="1"/>
  <c r="BV157" i="1"/>
  <c r="BV158" i="1"/>
  <c r="BV159" i="1"/>
  <c r="BV160" i="1"/>
  <c r="BV161" i="1"/>
  <c r="BV162" i="1"/>
  <c r="BV163" i="1"/>
  <c r="BV164" i="1"/>
  <c r="BV165" i="1"/>
  <c r="BV166" i="1"/>
  <c r="BV167" i="1"/>
  <c r="BV168" i="1"/>
  <c r="BV169" i="1"/>
  <c r="BV170" i="1"/>
  <c r="BV171" i="1"/>
  <c r="BV172" i="1"/>
  <c r="BV173" i="1"/>
  <c r="BV174" i="1"/>
  <c r="BV175" i="1"/>
  <c r="BV7" i="1"/>
  <c r="BU8" i="1"/>
  <c r="BU9" i="1"/>
  <c r="BU10" i="1"/>
  <c r="BU11" i="1"/>
  <c r="BU12" i="1"/>
  <c r="BU13" i="1"/>
  <c r="BU14" i="1"/>
  <c r="BU15" i="1"/>
  <c r="BU16" i="1"/>
  <c r="BU17" i="1"/>
  <c r="BU18" i="1"/>
  <c r="BU19" i="1"/>
  <c r="BU20" i="1"/>
  <c r="BU21" i="1"/>
  <c r="BU22" i="1"/>
  <c r="BU23" i="1"/>
  <c r="BU24" i="1"/>
  <c r="BU25" i="1"/>
  <c r="BU26" i="1"/>
  <c r="BU27" i="1"/>
  <c r="BU28" i="1"/>
  <c r="BU29" i="1"/>
  <c r="BU30" i="1"/>
  <c r="BU31" i="1"/>
  <c r="BU32" i="1"/>
  <c r="BU33" i="1"/>
  <c r="BU34" i="1"/>
  <c r="BU35" i="1"/>
  <c r="BU36" i="1"/>
  <c r="BU37" i="1"/>
  <c r="BU38" i="1"/>
  <c r="BU39" i="1"/>
  <c r="BU40" i="1"/>
  <c r="BU41" i="1"/>
  <c r="BU42" i="1"/>
  <c r="BU43" i="1"/>
  <c r="BU44" i="1"/>
  <c r="BU45" i="1"/>
  <c r="BU46" i="1"/>
  <c r="BU47" i="1"/>
  <c r="BU48" i="1"/>
  <c r="BU49" i="1"/>
  <c r="BU50" i="1"/>
  <c r="BU51" i="1"/>
  <c r="BU52" i="1"/>
  <c r="BU53" i="1"/>
  <c r="BU54" i="1"/>
  <c r="BU55" i="1"/>
  <c r="BU56" i="1"/>
  <c r="BU57" i="1"/>
  <c r="BU58" i="1"/>
  <c r="BU59" i="1"/>
  <c r="BU60" i="1"/>
  <c r="BU61" i="1"/>
  <c r="BU62" i="1"/>
  <c r="BU63" i="1"/>
  <c r="BU64" i="1"/>
  <c r="BU65" i="1"/>
  <c r="BU66" i="1"/>
  <c r="BU67" i="1"/>
  <c r="BU68" i="1"/>
  <c r="BU69" i="1"/>
  <c r="BU70" i="1"/>
  <c r="BU71" i="1"/>
  <c r="BU72" i="1"/>
  <c r="BU73" i="1"/>
  <c r="BU74" i="1"/>
  <c r="BU75" i="1"/>
  <c r="BU76" i="1"/>
  <c r="BU77" i="1"/>
  <c r="BU78" i="1"/>
  <c r="BU79" i="1"/>
  <c r="BU80" i="1"/>
  <c r="BU81" i="1"/>
  <c r="BU82" i="1"/>
  <c r="BU83" i="1"/>
  <c r="BU84" i="1"/>
  <c r="BU85" i="1"/>
  <c r="BU86" i="1"/>
  <c r="BU87" i="1"/>
  <c r="BU88" i="1"/>
  <c r="BU89" i="1"/>
  <c r="BU90" i="1"/>
  <c r="BU91" i="1"/>
  <c r="BU92" i="1"/>
  <c r="BU93" i="1"/>
  <c r="BU94" i="1"/>
  <c r="BU95" i="1"/>
  <c r="BU96" i="1"/>
  <c r="BU97" i="1"/>
  <c r="BU98" i="1"/>
  <c r="BU99" i="1"/>
  <c r="BU100" i="1"/>
  <c r="BU101" i="1"/>
  <c r="BU102" i="1"/>
  <c r="BU103" i="1"/>
  <c r="BU104" i="1"/>
  <c r="BU105" i="1"/>
  <c r="BU106" i="1"/>
  <c r="BU107" i="1"/>
  <c r="BU108" i="1"/>
  <c r="BU109" i="1"/>
  <c r="BU110" i="1"/>
  <c r="BU111" i="1"/>
  <c r="BU112" i="1"/>
  <c r="BU113" i="1"/>
  <c r="BU114" i="1"/>
  <c r="BU115" i="1"/>
  <c r="BU116" i="1"/>
  <c r="BU117" i="1"/>
  <c r="BU118" i="1"/>
  <c r="BU119" i="1"/>
  <c r="BU120" i="1"/>
  <c r="BU121" i="1"/>
  <c r="BU122" i="1"/>
  <c r="BU123" i="1"/>
  <c r="BU124" i="1"/>
  <c r="BU125" i="1"/>
  <c r="BU126" i="1"/>
  <c r="BU127" i="1"/>
  <c r="BU128" i="1"/>
  <c r="BU129" i="1"/>
  <c r="BU130" i="1"/>
  <c r="BU131" i="1"/>
  <c r="BU132" i="1"/>
  <c r="BU133" i="1"/>
  <c r="BU134" i="1"/>
  <c r="BU135" i="1"/>
  <c r="BU136" i="1"/>
  <c r="BU137" i="1"/>
  <c r="BU138" i="1"/>
  <c r="BU139" i="1"/>
  <c r="BU140" i="1"/>
  <c r="BU141" i="1"/>
  <c r="BU142" i="1"/>
  <c r="BU143" i="1"/>
  <c r="BU144" i="1"/>
  <c r="BU145" i="1"/>
  <c r="BU146" i="1"/>
  <c r="BU147" i="1"/>
  <c r="BU148" i="1"/>
  <c r="BU149" i="1"/>
  <c r="BU150" i="1"/>
  <c r="BU151" i="1"/>
  <c r="BU152" i="1"/>
  <c r="BU153" i="1"/>
  <c r="BU154" i="1"/>
  <c r="BU155" i="1"/>
  <c r="BU156" i="1"/>
  <c r="BU157" i="1"/>
  <c r="BU158" i="1"/>
  <c r="BU159" i="1"/>
  <c r="BU160" i="1"/>
  <c r="BU161" i="1"/>
  <c r="BU162" i="1"/>
  <c r="BU163" i="1"/>
  <c r="BU164" i="1"/>
  <c r="BU165" i="1"/>
  <c r="BU166" i="1"/>
  <c r="BU167" i="1"/>
  <c r="BU168" i="1"/>
  <c r="BU169" i="1"/>
  <c r="BU170" i="1"/>
  <c r="BU171" i="1"/>
  <c r="BU172" i="1"/>
  <c r="BU173" i="1"/>
  <c r="BU174" i="1"/>
  <c r="BU175" i="1"/>
  <c r="BU7" i="1"/>
  <c r="BT8" i="1"/>
  <c r="BT9" i="1"/>
  <c r="BT10" i="1"/>
  <c r="BT11" i="1"/>
  <c r="BT12" i="1"/>
  <c r="BT13" i="1"/>
  <c r="BT14" i="1"/>
  <c r="BT15" i="1"/>
  <c r="BT16" i="1"/>
  <c r="BT17" i="1"/>
  <c r="BT18" i="1"/>
  <c r="BT19" i="1"/>
  <c r="BT20" i="1"/>
  <c r="BT21" i="1"/>
  <c r="BT22" i="1"/>
  <c r="BT23" i="1"/>
  <c r="BT24" i="1"/>
  <c r="BT25" i="1"/>
  <c r="BT26" i="1"/>
  <c r="BT27" i="1"/>
  <c r="BT28" i="1"/>
  <c r="BT29" i="1"/>
  <c r="BT30" i="1"/>
  <c r="BT31" i="1"/>
  <c r="BT32" i="1"/>
  <c r="BT33" i="1"/>
  <c r="BT34" i="1"/>
  <c r="BT35" i="1"/>
  <c r="BT36" i="1"/>
  <c r="BT37" i="1"/>
  <c r="BT38" i="1"/>
  <c r="BT39" i="1"/>
  <c r="BT40" i="1"/>
  <c r="BT41" i="1"/>
  <c r="BT42" i="1"/>
  <c r="BT43" i="1"/>
  <c r="BT44" i="1"/>
  <c r="BT45" i="1"/>
  <c r="BT46" i="1"/>
  <c r="BT47" i="1"/>
  <c r="BT48" i="1"/>
  <c r="BT49" i="1"/>
  <c r="BT50" i="1"/>
  <c r="BT51" i="1"/>
  <c r="BT52" i="1"/>
  <c r="BT53" i="1"/>
  <c r="BT54" i="1"/>
  <c r="BT55" i="1"/>
  <c r="BT56" i="1"/>
  <c r="BT57" i="1"/>
  <c r="BT58" i="1"/>
  <c r="BT59" i="1"/>
  <c r="BT60" i="1"/>
  <c r="BT61" i="1"/>
  <c r="BT62" i="1"/>
  <c r="BT63" i="1"/>
  <c r="BT64" i="1"/>
  <c r="BT65" i="1"/>
  <c r="BT66" i="1"/>
  <c r="BT67" i="1"/>
  <c r="BT68" i="1"/>
  <c r="BT69" i="1"/>
  <c r="BT70" i="1"/>
  <c r="BT71" i="1"/>
  <c r="BT72" i="1"/>
  <c r="BT73" i="1"/>
  <c r="BT74" i="1"/>
  <c r="BT75" i="1"/>
  <c r="BT76" i="1"/>
  <c r="BT77" i="1"/>
  <c r="BT78" i="1"/>
  <c r="BT79" i="1"/>
  <c r="BT80" i="1"/>
  <c r="BT81" i="1"/>
  <c r="BT82" i="1"/>
  <c r="BT83" i="1"/>
  <c r="BT84" i="1"/>
  <c r="BT85" i="1"/>
  <c r="BT86" i="1"/>
  <c r="BT87" i="1"/>
  <c r="BT88" i="1"/>
  <c r="BT89" i="1"/>
  <c r="BT90" i="1"/>
  <c r="BT91" i="1"/>
  <c r="BT92" i="1"/>
  <c r="BT93" i="1"/>
  <c r="BT94" i="1"/>
  <c r="BT95" i="1"/>
  <c r="BT96" i="1"/>
  <c r="BT97" i="1"/>
  <c r="BT98" i="1"/>
  <c r="BT99" i="1"/>
  <c r="BT100" i="1"/>
  <c r="BT101" i="1"/>
  <c r="BT102" i="1"/>
  <c r="BT103" i="1"/>
  <c r="BT104" i="1"/>
  <c r="BT105" i="1"/>
  <c r="BT106" i="1"/>
  <c r="BT107" i="1"/>
  <c r="BT108" i="1"/>
  <c r="BT109" i="1"/>
  <c r="BT110" i="1"/>
  <c r="BT111" i="1"/>
  <c r="BT112" i="1"/>
  <c r="BT113" i="1"/>
  <c r="BT114" i="1"/>
  <c r="BT115" i="1"/>
  <c r="BT116" i="1"/>
  <c r="BT117" i="1"/>
  <c r="BT118" i="1"/>
  <c r="BT119" i="1"/>
  <c r="BT120" i="1"/>
  <c r="BT121" i="1"/>
  <c r="BT122" i="1"/>
  <c r="BT123" i="1"/>
  <c r="BT124" i="1"/>
  <c r="BT125" i="1"/>
  <c r="BT126" i="1"/>
  <c r="BT127" i="1"/>
  <c r="BT128" i="1"/>
  <c r="BT129" i="1"/>
  <c r="BT130" i="1"/>
  <c r="BT131" i="1"/>
  <c r="BT132" i="1"/>
  <c r="BT133" i="1"/>
  <c r="BT134" i="1"/>
  <c r="BT135" i="1"/>
  <c r="BT136" i="1"/>
  <c r="BT137" i="1"/>
  <c r="BT138" i="1"/>
  <c r="BT139" i="1"/>
  <c r="BT140" i="1"/>
  <c r="BT141" i="1"/>
  <c r="BT142" i="1"/>
  <c r="BT143" i="1"/>
  <c r="BT144" i="1"/>
  <c r="BT145" i="1"/>
  <c r="BT146" i="1"/>
  <c r="BT147" i="1"/>
  <c r="BT148" i="1"/>
  <c r="BT149" i="1"/>
  <c r="BT150" i="1"/>
  <c r="BT151" i="1"/>
  <c r="BT152" i="1"/>
  <c r="BT153" i="1"/>
  <c r="BT154" i="1"/>
  <c r="BT155" i="1"/>
  <c r="BT156" i="1"/>
  <c r="BT157" i="1"/>
  <c r="BT158" i="1"/>
  <c r="BT159" i="1"/>
  <c r="BT160" i="1"/>
  <c r="BT161" i="1"/>
  <c r="BT162" i="1"/>
  <c r="BT163" i="1"/>
  <c r="BT164" i="1"/>
  <c r="BT165" i="1"/>
  <c r="BT166" i="1"/>
  <c r="BT167" i="1"/>
  <c r="BT168" i="1"/>
  <c r="BT169" i="1"/>
  <c r="BT170" i="1"/>
  <c r="BT171" i="1"/>
  <c r="BT172" i="1"/>
  <c r="BT173" i="1"/>
  <c r="BT174" i="1"/>
  <c r="BT175" i="1"/>
  <c r="BT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44" i="1"/>
  <c r="BS45" i="1"/>
  <c r="BS46" i="1"/>
  <c r="BS47" i="1"/>
  <c r="BS48" i="1"/>
  <c r="BS49" i="1"/>
  <c r="BS50" i="1"/>
  <c r="BS51" i="1"/>
  <c r="BS52" i="1"/>
  <c r="BS53" i="1"/>
  <c r="BS54" i="1"/>
  <c r="BS55" i="1"/>
  <c r="BS56" i="1"/>
  <c r="BS57" i="1"/>
  <c r="BS58" i="1"/>
  <c r="BS59" i="1"/>
  <c r="BS60" i="1"/>
  <c r="BS61" i="1"/>
  <c r="BS62" i="1"/>
  <c r="BS63" i="1"/>
  <c r="BS64" i="1"/>
  <c r="BS65" i="1"/>
  <c r="BS66" i="1"/>
  <c r="BS67" i="1"/>
  <c r="BS68" i="1"/>
  <c r="BS69" i="1"/>
  <c r="BS70" i="1"/>
  <c r="BS71" i="1"/>
  <c r="BS72" i="1"/>
  <c r="BS73" i="1"/>
  <c r="BS74" i="1"/>
  <c r="BS75" i="1"/>
  <c r="BS76" i="1"/>
  <c r="BS77" i="1"/>
  <c r="BS78" i="1"/>
  <c r="BS79" i="1"/>
  <c r="BS80" i="1"/>
  <c r="BS81" i="1"/>
  <c r="BS82" i="1"/>
  <c r="BS83" i="1"/>
  <c r="BS84" i="1"/>
  <c r="BS85" i="1"/>
  <c r="BS86" i="1"/>
  <c r="BS87" i="1"/>
  <c r="BS88" i="1"/>
  <c r="BS89" i="1"/>
  <c r="BS90" i="1"/>
  <c r="BS91" i="1"/>
  <c r="BS92" i="1"/>
  <c r="BS93" i="1"/>
  <c r="BS94" i="1"/>
  <c r="BS95" i="1"/>
  <c r="BS96" i="1"/>
  <c r="BS97" i="1"/>
  <c r="BS98" i="1"/>
  <c r="BS99" i="1"/>
  <c r="BS100" i="1"/>
  <c r="BS101" i="1"/>
  <c r="BS102" i="1"/>
  <c r="BS103" i="1"/>
  <c r="BS104" i="1"/>
  <c r="BS105" i="1"/>
  <c r="BS106" i="1"/>
  <c r="BS107" i="1"/>
  <c r="BS108" i="1"/>
  <c r="BS109" i="1"/>
  <c r="BS110" i="1"/>
  <c r="BS111" i="1"/>
  <c r="BS112" i="1"/>
  <c r="BS113" i="1"/>
  <c r="BS114" i="1"/>
  <c r="BS115" i="1"/>
  <c r="BS116" i="1"/>
  <c r="BS117" i="1"/>
  <c r="BS118" i="1"/>
  <c r="BS119" i="1"/>
  <c r="BS120" i="1"/>
  <c r="BS121" i="1"/>
  <c r="BS122" i="1"/>
  <c r="BS123" i="1"/>
  <c r="BS124" i="1"/>
  <c r="BS125" i="1"/>
  <c r="BS126" i="1"/>
  <c r="BS127" i="1"/>
  <c r="BS128" i="1"/>
  <c r="BS129" i="1"/>
  <c r="BS130" i="1"/>
  <c r="BS131" i="1"/>
  <c r="BS132" i="1"/>
  <c r="BS133" i="1"/>
  <c r="BS134" i="1"/>
  <c r="BS135" i="1"/>
  <c r="BS136" i="1"/>
  <c r="BS137" i="1"/>
  <c r="BS138" i="1"/>
  <c r="BS139" i="1"/>
  <c r="BS140" i="1"/>
  <c r="BS141" i="1"/>
  <c r="BS142" i="1"/>
  <c r="BS143" i="1"/>
  <c r="BS144" i="1"/>
  <c r="BS145" i="1"/>
  <c r="BS146" i="1"/>
  <c r="BS147" i="1"/>
  <c r="BS148" i="1"/>
  <c r="BS149" i="1"/>
  <c r="BS150" i="1"/>
  <c r="BS151" i="1"/>
  <c r="BS152" i="1"/>
  <c r="BS153" i="1"/>
  <c r="BS154" i="1"/>
  <c r="BS155" i="1"/>
  <c r="BS156" i="1"/>
  <c r="BS157" i="1"/>
  <c r="BS158" i="1"/>
  <c r="BS159" i="1"/>
  <c r="BS160" i="1"/>
  <c r="BS161" i="1"/>
  <c r="BS162" i="1"/>
  <c r="BS163" i="1"/>
  <c r="BS164" i="1"/>
  <c r="BS165" i="1"/>
  <c r="BS166" i="1"/>
  <c r="BS167" i="1"/>
  <c r="BS168" i="1"/>
  <c r="BS169" i="1"/>
  <c r="BS170" i="1"/>
  <c r="BS171" i="1"/>
  <c r="BS172" i="1"/>
  <c r="BS173" i="1"/>
  <c r="BS174" i="1"/>
  <c r="BS175" i="1"/>
  <c r="BS7" i="1"/>
  <c r="BR8" i="1"/>
  <c r="BR9" i="1"/>
  <c r="BR10" i="1"/>
  <c r="BR11" i="1"/>
  <c r="BR12" i="1"/>
  <c r="BR13" i="1"/>
  <c r="BR14" i="1"/>
  <c r="BR15" i="1"/>
  <c r="BR16" i="1"/>
  <c r="BR17" i="1"/>
  <c r="BR18" i="1"/>
  <c r="BR19" i="1"/>
  <c r="BR20" i="1"/>
  <c r="BR21" i="1"/>
  <c r="BR22" i="1"/>
  <c r="BR23" i="1"/>
  <c r="BR24" i="1"/>
  <c r="BR25" i="1"/>
  <c r="BR26" i="1"/>
  <c r="BR27" i="1"/>
  <c r="BR28" i="1"/>
  <c r="BR29" i="1"/>
  <c r="BR30" i="1"/>
  <c r="BR31" i="1"/>
  <c r="BR32" i="1"/>
  <c r="BR33" i="1"/>
  <c r="BR34" i="1"/>
  <c r="BR35" i="1"/>
  <c r="BR36" i="1"/>
  <c r="BR37" i="1"/>
  <c r="BR38" i="1"/>
  <c r="BR39" i="1"/>
  <c r="BR40" i="1"/>
  <c r="BR41" i="1"/>
  <c r="BR42" i="1"/>
  <c r="BR43" i="1"/>
  <c r="BR44" i="1"/>
  <c r="BR45" i="1"/>
  <c r="BR46" i="1"/>
  <c r="BR47" i="1"/>
  <c r="BR48" i="1"/>
  <c r="BR49" i="1"/>
  <c r="BR50" i="1"/>
  <c r="BR51" i="1"/>
  <c r="BR52" i="1"/>
  <c r="BR53" i="1"/>
  <c r="BR54" i="1"/>
  <c r="BR55" i="1"/>
  <c r="BR56" i="1"/>
  <c r="BR57" i="1"/>
  <c r="BR58" i="1"/>
  <c r="BR59" i="1"/>
  <c r="BR60" i="1"/>
  <c r="BR61" i="1"/>
  <c r="BR62" i="1"/>
  <c r="BR63" i="1"/>
  <c r="BR64" i="1"/>
  <c r="BR65" i="1"/>
  <c r="BR66" i="1"/>
  <c r="BR67" i="1"/>
  <c r="BR68" i="1"/>
  <c r="BR69" i="1"/>
  <c r="BR70" i="1"/>
  <c r="BR71" i="1"/>
  <c r="BR72" i="1"/>
  <c r="BR73" i="1"/>
  <c r="BR74" i="1"/>
  <c r="BR75" i="1"/>
  <c r="BR76" i="1"/>
  <c r="BR77" i="1"/>
  <c r="BR78" i="1"/>
  <c r="BR79" i="1"/>
  <c r="BR80" i="1"/>
  <c r="BR81" i="1"/>
  <c r="BR82" i="1"/>
  <c r="BR83" i="1"/>
  <c r="BR84" i="1"/>
  <c r="BR85" i="1"/>
  <c r="BR86" i="1"/>
  <c r="BR87" i="1"/>
  <c r="BR88" i="1"/>
  <c r="BR89" i="1"/>
  <c r="BR90" i="1"/>
  <c r="BR91" i="1"/>
  <c r="BR92" i="1"/>
  <c r="BR93" i="1"/>
  <c r="BR94" i="1"/>
  <c r="BR95" i="1"/>
  <c r="BR96" i="1"/>
  <c r="BR97" i="1"/>
  <c r="BR98" i="1"/>
  <c r="BR99" i="1"/>
  <c r="BR100" i="1"/>
  <c r="BR101" i="1"/>
  <c r="BR102" i="1"/>
  <c r="BR103" i="1"/>
  <c r="BR104" i="1"/>
  <c r="BR105" i="1"/>
  <c r="BR106" i="1"/>
  <c r="BR107" i="1"/>
  <c r="BR108" i="1"/>
  <c r="BR109" i="1"/>
  <c r="BR110" i="1"/>
  <c r="BR111" i="1"/>
  <c r="BR112" i="1"/>
  <c r="BR113" i="1"/>
  <c r="BR114" i="1"/>
  <c r="BR115" i="1"/>
  <c r="BR116" i="1"/>
  <c r="BR117" i="1"/>
  <c r="BR118" i="1"/>
  <c r="BR119" i="1"/>
  <c r="BR120" i="1"/>
  <c r="BR121" i="1"/>
  <c r="BR122" i="1"/>
  <c r="BR123" i="1"/>
  <c r="BR124" i="1"/>
  <c r="BR125" i="1"/>
  <c r="BR126" i="1"/>
  <c r="BR127" i="1"/>
  <c r="BR128" i="1"/>
  <c r="BR129" i="1"/>
  <c r="BR130" i="1"/>
  <c r="BR131" i="1"/>
  <c r="BR132" i="1"/>
  <c r="BR133" i="1"/>
  <c r="BR134" i="1"/>
  <c r="BR135" i="1"/>
  <c r="BR136" i="1"/>
  <c r="BR137" i="1"/>
  <c r="BR138" i="1"/>
  <c r="BR139" i="1"/>
  <c r="BR140" i="1"/>
  <c r="BR141" i="1"/>
  <c r="BR142" i="1"/>
  <c r="BR143" i="1"/>
  <c r="BR144" i="1"/>
  <c r="BR145" i="1"/>
  <c r="BR146" i="1"/>
  <c r="BR147" i="1"/>
  <c r="BR148" i="1"/>
  <c r="BR149" i="1"/>
  <c r="BR150" i="1"/>
  <c r="BR151" i="1"/>
  <c r="BR152" i="1"/>
  <c r="BR153" i="1"/>
  <c r="BR154" i="1"/>
  <c r="BR155" i="1"/>
  <c r="BR156" i="1"/>
  <c r="BR157" i="1"/>
  <c r="BR158" i="1"/>
  <c r="BR159" i="1"/>
  <c r="BR160" i="1"/>
  <c r="BR161" i="1"/>
  <c r="BR162" i="1"/>
  <c r="BR163" i="1"/>
  <c r="BR164" i="1"/>
  <c r="BR165" i="1"/>
  <c r="BR166" i="1"/>
  <c r="BR167" i="1"/>
  <c r="BR168" i="1"/>
  <c r="BR169" i="1"/>
  <c r="BR170" i="1"/>
  <c r="BR171" i="1"/>
  <c r="BR172" i="1"/>
  <c r="BR173" i="1"/>
  <c r="BR174" i="1"/>
  <c r="BR175" i="1"/>
  <c r="BR7" i="1"/>
  <c r="BQ8" i="1"/>
  <c r="BQ9" i="1"/>
  <c r="BQ10" i="1"/>
  <c r="BQ11" i="1"/>
  <c r="BQ12" i="1"/>
  <c r="BQ13" i="1"/>
  <c r="BQ14" i="1"/>
  <c r="BQ15" i="1"/>
  <c r="BQ16" i="1"/>
  <c r="BQ17" i="1"/>
  <c r="BQ18" i="1"/>
  <c r="BQ19" i="1"/>
  <c r="BQ20" i="1"/>
  <c r="BQ21" i="1"/>
  <c r="BQ22" i="1"/>
  <c r="BQ23" i="1"/>
  <c r="BQ24" i="1"/>
  <c r="BQ25" i="1"/>
  <c r="BQ26" i="1"/>
  <c r="BQ27" i="1"/>
  <c r="BQ28" i="1"/>
  <c r="BQ29" i="1"/>
  <c r="BQ30" i="1"/>
  <c r="BQ31" i="1"/>
  <c r="BQ32" i="1"/>
  <c r="BQ33" i="1"/>
  <c r="BQ34" i="1"/>
  <c r="BQ35" i="1"/>
  <c r="BQ36" i="1"/>
  <c r="BQ37" i="1"/>
  <c r="BQ38" i="1"/>
  <c r="BQ39" i="1"/>
  <c r="BQ40" i="1"/>
  <c r="BQ41" i="1"/>
  <c r="BQ42" i="1"/>
  <c r="BQ43" i="1"/>
  <c r="BQ44" i="1"/>
  <c r="BQ45" i="1"/>
  <c r="BQ46" i="1"/>
  <c r="BQ47" i="1"/>
  <c r="BQ48" i="1"/>
  <c r="BQ49" i="1"/>
  <c r="BQ50" i="1"/>
  <c r="BQ51" i="1"/>
  <c r="BQ52" i="1"/>
  <c r="BQ53" i="1"/>
  <c r="BQ54" i="1"/>
  <c r="BQ55" i="1"/>
  <c r="BQ56" i="1"/>
  <c r="BQ57" i="1"/>
  <c r="BQ58" i="1"/>
  <c r="BQ59" i="1"/>
  <c r="BQ60" i="1"/>
  <c r="BQ61" i="1"/>
  <c r="BQ62" i="1"/>
  <c r="BQ63" i="1"/>
  <c r="BQ64" i="1"/>
  <c r="BQ65" i="1"/>
  <c r="BQ66" i="1"/>
  <c r="BQ67" i="1"/>
  <c r="BQ68" i="1"/>
  <c r="BQ69" i="1"/>
  <c r="BQ70" i="1"/>
  <c r="BQ71" i="1"/>
  <c r="BQ72" i="1"/>
  <c r="BQ73" i="1"/>
  <c r="BQ74" i="1"/>
  <c r="BQ75" i="1"/>
  <c r="BQ76" i="1"/>
  <c r="BQ77" i="1"/>
  <c r="BQ78" i="1"/>
  <c r="BQ79" i="1"/>
  <c r="BQ80" i="1"/>
  <c r="BQ81" i="1"/>
  <c r="BQ82" i="1"/>
  <c r="BQ83" i="1"/>
  <c r="BQ84" i="1"/>
  <c r="BQ85" i="1"/>
  <c r="BQ86" i="1"/>
  <c r="BQ87" i="1"/>
  <c r="BQ88" i="1"/>
  <c r="BQ89" i="1"/>
  <c r="BQ90" i="1"/>
  <c r="BQ91" i="1"/>
  <c r="BQ92" i="1"/>
  <c r="BQ93" i="1"/>
  <c r="BQ94" i="1"/>
  <c r="BQ95" i="1"/>
  <c r="BQ96" i="1"/>
  <c r="BQ97" i="1"/>
  <c r="BQ98" i="1"/>
  <c r="BQ99" i="1"/>
  <c r="BQ100" i="1"/>
  <c r="BQ101" i="1"/>
  <c r="BQ102" i="1"/>
  <c r="BQ103" i="1"/>
  <c r="BQ104" i="1"/>
  <c r="BQ105" i="1"/>
  <c r="BQ106" i="1"/>
  <c r="BQ107" i="1"/>
  <c r="BQ108" i="1"/>
  <c r="BQ109" i="1"/>
  <c r="BQ110" i="1"/>
  <c r="BQ111" i="1"/>
  <c r="BQ112" i="1"/>
  <c r="BQ113" i="1"/>
  <c r="BQ114" i="1"/>
  <c r="BQ115" i="1"/>
  <c r="BQ116" i="1"/>
  <c r="BQ117" i="1"/>
  <c r="BQ118" i="1"/>
  <c r="BQ119" i="1"/>
  <c r="BQ120" i="1"/>
  <c r="BQ121" i="1"/>
  <c r="BQ122" i="1"/>
  <c r="BQ123" i="1"/>
  <c r="BQ124" i="1"/>
  <c r="BQ125" i="1"/>
  <c r="BQ126" i="1"/>
  <c r="BQ127" i="1"/>
  <c r="BQ128" i="1"/>
  <c r="BQ129" i="1"/>
  <c r="BQ130" i="1"/>
  <c r="BQ131" i="1"/>
  <c r="BQ132" i="1"/>
  <c r="BQ133" i="1"/>
  <c r="BQ134" i="1"/>
  <c r="BQ135" i="1"/>
  <c r="BQ136" i="1"/>
  <c r="BQ137" i="1"/>
  <c r="BQ138" i="1"/>
  <c r="BQ139" i="1"/>
  <c r="BQ140" i="1"/>
  <c r="BQ141" i="1"/>
  <c r="BQ142" i="1"/>
  <c r="BQ143" i="1"/>
  <c r="BQ144" i="1"/>
  <c r="BQ145" i="1"/>
  <c r="BQ146" i="1"/>
  <c r="BQ147" i="1"/>
  <c r="BQ148" i="1"/>
  <c r="BQ149" i="1"/>
  <c r="BQ150" i="1"/>
  <c r="BQ151" i="1"/>
  <c r="BQ152" i="1"/>
  <c r="BQ153" i="1"/>
  <c r="BQ154" i="1"/>
  <c r="BQ155" i="1"/>
  <c r="BQ156" i="1"/>
  <c r="BQ157" i="1"/>
  <c r="BQ158" i="1"/>
  <c r="BQ159" i="1"/>
  <c r="BQ160" i="1"/>
  <c r="BQ161" i="1"/>
  <c r="BQ162" i="1"/>
  <c r="BQ163" i="1"/>
  <c r="BQ164" i="1"/>
  <c r="BQ165" i="1"/>
  <c r="BQ166" i="1"/>
  <c r="BQ167" i="1"/>
  <c r="BQ168" i="1"/>
  <c r="BQ169" i="1"/>
  <c r="BQ170" i="1"/>
  <c r="BQ171" i="1"/>
  <c r="BQ172" i="1"/>
  <c r="BQ173" i="1"/>
  <c r="BQ174" i="1"/>
  <c r="BQ175" i="1"/>
  <c r="BQ7" i="1"/>
  <c r="BO8" i="1"/>
  <c r="BO9" i="1"/>
  <c r="BO10" i="1"/>
  <c r="BO11" i="1"/>
  <c r="BO12" i="1"/>
  <c r="BO13" i="1"/>
  <c r="BO14" i="1"/>
  <c r="BO15" i="1"/>
  <c r="BO1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BO45" i="1"/>
  <c r="BO46" i="1"/>
  <c r="BO47" i="1"/>
  <c r="BO48" i="1"/>
  <c r="BO49" i="1"/>
  <c r="BO50" i="1"/>
  <c r="BO51" i="1"/>
  <c r="BO52" i="1"/>
  <c r="BO53" i="1"/>
  <c r="BO54" i="1"/>
  <c r="BO55" i="1"/>
  <c r="BO56" i="1"/>
  <c r="BO57" i="1"/>
  <c r="BO58" i="1"/>
  <c r="BO59" i="1"/>
  <c r="BO60" i="1"/>
  <c r="BO61" i="1"/>
  <c r="BO62" i="1"/>
  <c r="BO63" i="1"/>
  <c r="BO64" i="1"/>
  <c r="BO65" i="1"/>
  <c r="BO66" i="1"/>
  <c r="BO67" i="1"/>
  <c r="BO68" i="1"/>
  <c r="BO69" i="1"/>
  <c r="BO70" i="1"/>
  <c r="BO71" i="1"/>
  <c r="BO72" i="1"/>
  <c r="BO73" i="1"/>
  <c r="BO74" i="1"/>
  <c r="BO75" i="1"/>
  <c r="BO76" i="1"/>
  <c r="BO77" i="1"/>
  <c r="BO78" i="1"/>
  <c r="BO79" i="1"/>
  <c r="BO80" i="1"/>
  <c r="BO81" i="1"/>
  <c r="BO82" i="1"/>
  <c r="BO83" i="1"/>
  <c r="BO84" i="1"/>
  <c r="BO85" i="1"/>
  <c r="BO86" i="1"/>
  <c r="BO87" i="1"/>
  <c r="BO88" i="1"/>
  <c r="BO89" i="1"/>
  <c r="BO90" i="1"/>
  <c r="BO91" i="1"/>
  <c r="BO92" i="1"/>
  <c r="BO93" i="1"/>
  <c r="BO94" i="1"/>
  <c r="BO95" i="1"/>
  <c r="BO96" i="1"/>
  <c r="BO97" i="1"/>
  <c r="BO98" i="1"/>
  <c r="BO99" i="1"/>
  <c r="BO100" i="1"/>
  <c r="BO101" i="1"/>
  <c r="BO102" i="1"/>
  <c r="BO103" i="1"/>
  <c r="BO104" i="1"/>
  <c r="BO105" i="1"/>
  <c r="BO106" i="1"/>
  <c r="BO107" i="1"/>
  <c r="BO108" i="1"/>
  <c r="BO109" i="1"/>
  <c r="BO110" i="1"/>
  <c r="BO111" i="1"/>
  <c r="BO112" i="1"/>
  <c r="BO113" i="1"/>
  <c r="BO114" i="1"/>
  <c r="BO115" i="1"/>
  <c r="BO116" i="1"/>
  <c r="BO117" i="1"/>
  <c r="BO118" i="1"/>
  <c r="BO119" i="1"/>
  <c r="BO120" i="1"/>
  <c r="BO121" i="1"/>
  <c r="BO122" i="1"/>
  <c r="BO123" i="1"/>
  <c r="BO124" i="1"/>
  <c r="BO125" i="1"/>
  <c r="BO126" i="1"/>
  <c r="BO127" i="1"/>
  <c r="BO128" i="1"/>
  <c r="BO129" i="1"/>
  <c r="BO130" i="1"/>
  <c r="BO131" i="1"/>
  <c r="BO132" i="1"/>
  <c r="BO133" i="1"/>
  <c r="BO134" i="1"/>
  <c r="BO135" i="1"/>
  <c r="BO136" i="1"/>
  <c r="BO137" i="1"/>
  <c r="BO138" i="1"/>
  <c r="BO139" i="1"/>
  <c r="BO140" i="1"/>
  <c r="BO141" i="1"/>
  <c r="BO142" i="1"/>
  <c r="BO143" i="1"/>
  <c r="BO144" i="1"/>
  <c r="BO145" i="1"/>
  <c r="BO146" i="1"/>
  <c r="BO147" i="1"/>
  <c r="BO148" i="1"/>
  <c r="BO149" i="1"/>
  <c r="BO150" i="1"/>
  <c r="BO151" i="1"/>
  <c r="BO152" i="1"/>
  <c r="BO153" i="1"/>
  <c r="BO154" i="1"/>
  <c r="BO155" i="1"/>
  <c r="BO156" i="1"/>
  <c r="BO157" i="1"/>
  <c r="BO158" i="1"/>
  <c r="BO159" i="1"/>
  <c r="BO160" i="1"/>
  <c r="BO161" i="1"/>
  <c r="BO162" i="1"/>
  <c r="BO163" i="1"/>
  <c r="BO164" i="1"/>
  <c r="BO165" i="1"/>
  <c r="BO166" i="1"/>
  <c r="BO167" i="1"/>
  <c r="BO168" i="1"/>
  <c r="BO169" i="1"/>
  <c r="BO170" i="1"/>
  <c r="BO171" i="1"/>
  <c r="BO172" i="1"/>
  <c r="BO173" i="1"/>
  <c r="BO174" i="1"/>
  <c r="BO175" i="1"/>
  <c r="BO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6" i="1"/>
  <c r="BP157" i="1"/>
  <c r="BP158" i="1"/>
  <c r="BP159" i="1"/>
  <c r="BP160" i="1"/>
  <c r="BP161" i="1"/>
  <c r="BP162" i="1"/>
  <c r="BP163" i="1"/>
  <c r="BP164" i="1"/>
  <c r="BP165" i="1"/>
  <c r="BP166" i="1"/>
  <c r="BP167" i="1"/>
  <c r="BP168" i="1"/>
  <c r="BP169" i="1"/>
  <c r="BP170" i="1"/>
  <c r="BP171" i="1"/>
  <c r="BP172" i="1"/>
  <c r="BP173" i="1"/>
  <c r="BP174" i="1"/>
  <c r="BP175" i="1"/>
  <c r="BP7" i="1"/>
  <c r="BN8" i="1"/>
  <c r="BN9" i="1"/>
  <c r="BN10" i="1"/>
  <c r="BN11" i="1"/>
  <c r="BN12" i="1"/>
  <c r="BN13" i="1"/>
  <c r="BN14" i="1"/>
  <c r="BN15" i="1"/>
  <c r="BN16" i="1"/>
  <c r="BN17" i="1"/>
  <c r="BN18" i="1"/>
  <c r="BN19" i="1"/>
  <c r="BN20" i="1"/>
  <c r="BN21" i="1"/>
  <c r="BN22" i="1"/>
  <c r="BN23" i="1"/>
  <c r="BN24" i="1"/>
  <c r="BN25" i="1"/>
  <c r="BN26" i="1"/>
  <c r="BN27" i="1"/>
  <c r="BN28" i="1"/>
  <c r="BN29" i="1"/>
  <c r="BN30" i="1"/>
  <c r="BN31" i="1"/>
  <c r="BN32" i="1"/>
  <c r="BN33" i="1"/>
  <c r="BN34" i="1"/>
  <c r="BN35" i="1"/>
  <c r="BN36" i="1"/>
  <c r="BN37" i="1"/>
  <c r="BN38" i="1"/>
  <c r="BN39" i="1"/>
  <c r="BN40" i="1"/>
  <c r="BN41" i="1"/>
  <c r="BN42" i="1"/>
  <c r="BN43" i="1"/>
  <c r="BN44" i="1"/>
  <c r="BN45" i="1"/>
  <c r="BN46" i="1"/>
  <c r="BN47" i="1"/>
  <c r="BN48" i="1"/>
  <c r="BN49" i="1"/>
  <c r="BN50" i="1"/>
  <c r="BN51" i="1"/>
  <c r="BN52" i="1"/>
  <c r="BN53" i="1"/>
  <c r="BN54" i="1"/>
  <c r="BN55" i="1"/>
  <c r="BN56" i="1"/>
  <c r="BN57" i="1"/>
  <c r="BN58" i="1"/>
  <c r="BN59" i="1"/>
  <c r="BN60" i="1"/>
  <c r="BN61" i="1"/>
  <c r="BN62" i="1"/>
  <c r="BN63" i="1"/>
  <c r="BN64" i="1"/>
  <c r="BN65" i="1"/>
  <c r="BN66" i="1"/>
  <c r="BN67" i="1"/>
  <c r="BN68" i="1"/>
  <c r="BN69" i="1"/>
  <c r="BN70" i="1"/>
  <c r="BN71" i="1"/>
  <c r="BN72" i="1"/>
  <c r="BN73" i="1"/>
  <c r="BN74" i="1"/>
  <c r="BN75" i="1"/>
  <c r="BN76" i="1"/>
  <c r="BN77" i="1"/>
  <c r="BN78" i="1"/>
  <c r="BN79" i="1"/>
  <c r="BN80" i="1"/>
  <c r="BN81" i="1"/>
  <c r="BN82" i="1"/>
  <c r="BN83" i="1"/>
  <c r="BN84" i="1"/>
  <c r="BN85" i="1"/>
  <c r="BN86" i="1"/>
  <c r="BN87" i="1"/>
  <c r="BN88" i="1"/>
  <c r="BN89" i="1"/>
  <c r="BN90" i="1"/>
  <c r="BN91" i="1"/>
  <c r="BN92" i="1"/>
  <c r="BN93" i="1"/>
  <c r="BN94" i="1"/>
  <c r="BN95" i="1"/>
  <c r="BN96" i="1"/>
  <c r="BN97" i="1"/>
  <c r="BN98" i="1"/>
  <c r="BN99" i="1"/>
  <c r="BN100" i="1"/>
  <c r="BN101" i="1"/>
  <c r="BN102" i="1"/>
  <c r="BN103" i="1"/>
  <c r="BN104" i="1"/>
  <c r="BN105" i="1"/>
  <c r="BN106" i="1"/>
  <c r="BN107" i="1"/>
  <c r="BN108" i="1"/>
  <c r="BN109" i="1"/>
  <c r="BN110" i="1"/>
  <c r="BN111" i="1"/>
  <c r="BN112" i="1"/>
  <c r="BN113" i="1"/>
  <c r="BN114" i="1"/>
  <c r="BN115" i="1"/>
  <c r="BN116" i="1"/>
  <c r="BN117" i="1"/>
  <c r="BN118" i="1"/>
  <c r="BN119" i="1"/>
  <c r="BN120" i="1"/>
  <c r="BN121" i="1"/>
  <c r="BN122" i="1"/>
  <c r="BN123" i="1"/>
  <c r="BN124" i="1"/>
  <c r="BN125" i="1"/>
  <c r="BN126" i="1"/>
  <c r="BN127" i="1"/>
  <c r="BN128" i="1"/>
  <c r="BN129" i="1"/>
  <c r="BN130" i="1"/>
  <c r="BN131" i="1"/>
  <c r="BN132" i="1"/>
  <c r="BN133" i="1"/>
  <c r="BN134" i="1"/>
  <c r="BN135" i="1"/>
  <c r="BN136" i="1"/>
  <c r="BN137" i="1"/>
  <c r="BN138" i="1"/>
  <c r="BN139" i="1"/>
  <c r="BN140" i="1"/>
  <c r="BN141" i="1"/>
  <c r="BN142" i="1"/>
  <c r="BN143" i="1"/>
  <c r="BN144" i="1"/>
  <c r="BN145" i="1"/>
  <c r="BN146" i="1"/>
  <c r="BN147" i="1"/>
  <c r="BN148" i="1"/>
  <c r="BN149" i="1"/>
  <c r="BN150" i="1"/>
  <c r="BN151" i="1"/>
  <c r="BN152" i="1"/>
  <c r="BN153" i="1"/>
  <c r="BN154" i="1"/>
  <c r="BN155" i="1"/>
  <c r="BN156" i="1"/>
  <c r="BN157" i="1"/>
  <c r="BN158" i="1"/>
  <c r="BN159" i="1"/>
  <c r="BN160" i="1"/>
  <c r="BN161" i="1"/>
  <c r="BN162" i="1"/>
  <c r="BN163" i="1"/>
  <c r="BN164" i="1"/>
  <c r="BN165" i="1"/>
  <c r="BN166" i="1"/>
  <c r="BN167" i="1"/>
  <c r="BN168" i="1"/>
  <c r="BN169" i="1"/>
  <c r="BN170" i="1"/>
  <c r="BN171" i="1"/>
  <c r="BN172" i="1"/>
  <c r="BN173" i="1"/>
  <c r="BN174" i="1"/>
  <c r="BN175" i="1"/>
  <c r="BN7" i="1"/>
  <c r="BM8" i="1"/>
  <c r="BM9" i="1"/>
  <c r="BM10" i="1"/>
  <c r="BM11" i="1"/>
  <c r="BM12" i="1"/>
  <c r="BM13" i="1"/>
  <c r="BM14" i="1"/>
  <c r="BM15" i="1"/>
  <c r="BM16" i="1"/>
  <c r="BM17" i="1"/>
  <c r="BM18" i="1"/>
  <c r="BM19" i="1"/>
  <c r="BM20" i="1"/>
  <c r="BM21" i="1"/>
  <c r="BM22" i="1"/>
  <c r="BM23" i="1"/>
  <c r="BM24" i="1"/>
  <c r="BM25" i="1"/>
  <c r="BM26" i="1"/>
  <c r="BM27" i="1"/>
  <c r="BM28" i="1"/>
  <c r="BM29" i="1"/>
  <c r="BM30" i="1"/>
  <c r="BM31" i="1"/>
  <c r="BM32" i="1"/>
  <c r="BM33" i="1"/>
  <c r="BM34" i="1"/>
  <c r="BM35" i="1"/>
  <c r="BM36" i="1"/>
  <c r="BM37" i="1"/>
  <c r="BM38" i="1"/>
  <c r="BM39" i="1"/>
  <c r="BM40" i="1"/>
  <c r="BM41" i="1"/>
  <c r="BM42" i="1"/>
  <c r="BM43" i="1"/>
  <c r="BM44" i="1"/>
  <c r="BM45" i="1"/>
  <c r="BM46" i="1"/>
  <c r="BM47" i="1"/>
  <c r="BM48" i="1"/>
  <c r="BM49" i="1"/>
  <c r="BM50" i="1"/>
  <c r="BM51" i="1"/>
  <c r="BM52" i="1"/>
  <c r="BM53" i="1"/>
  <c r="BM54" i="1"/>
  <c r="BM55" i="1"/>
  <c r="BM56" i="1"/>
  <c r="BM57" i="1"/>
  <c r="BM58" i="1"/>
  <c r="BM59" i="1"/>
  <c r="BM60" i="1"/>
  <c r="BM61" i="1"/>
  <c r="BM62" i="1"/>
  <c r="BM63" i="1"/>
  <c r="BM64" i="1"/>
  <c r="BM65" i="1"/>
  <c r="BM66" i="1"/>
  <c r="BM67" i="1"/>
  <c r="BM68" i="1"/>
  <c r="BM69" i="1"/>
  <c r="BM70" i="1"/>
  <c r="BM71" i="1"/>
  <c r="BM72" i="1"/>
  <c r="BM73" i="1"/>
  <c r="BM74" i="1"/>
  <c r="BM75" i="1"/>
  <c r="BM76" i="1"/>
  <c r="BM77" i="1"/>
  <c r="BM78" i="1"/>
  <c r="BM79" i="1"/>
  <c r="BM80" i="1"/>
  <c r="BM81" i="1"/>
  <c r="BM82" i="1"/>
  <c r="BM83" i="1"/>
  <c r="BM84" i="1"/>
  <c r="BM85" i="1"/>
  <c r="BM86" i="1"/>
  <c r="BM87" i="1"/>
  <c r="BM88" i="1"/>
  <c r="BM89" i="1"/>
  <c r="BM90" i="1"/>
  <c r="BM91" i="1"/>
  <c r="BM92" i="1"/>
  <c r="BM93" i="1"/>
  <c r="BM94" i="1"/>
  <c r="BM95" i="1"/>
  <c r="BM96" i="1"/>
  <c r="BM97" i="1"/>
  <c r="BM98" i="1"/>
  <c r="BM99" i="1"/>
  <c r="BM100" i="1"/>
  <c r="BM101" i="1"/>
  <c r="BM102" i="1"/>
  <c r="BM103" i="1"/>
  <c r="BM104" i="1"/>
  <c r="BM105" i="1"/>
  <c r="BM106" i="1"/>
  <c r="BM107" i="1"/>
  <c r="BM108" i="1"/>
  <c r="BM109" i="1"/>
  <c r="BM110" i="1"/>
  <c r="BM111" i="1"/>
  <c r="BM112" i="1"/>
  <c r="BM113" i="1"/>
  <c r="BM114" i="1"/>
  <c r="BM115" i="1"/>
  <c r="BM116" i="1"/>
  <c r="BM117" i="1"/>
  <c r="BM118" i="1"/>
  <c r="BM119" i="1"/>
  <c r="BM120" i="1"/>
  <c r="BM121" i="1"/>
  <c r="BM122" i="1"/>
  <c r="BM123" i="1"/>
  <c r="BM124" i="1"/>
  <c r="BM125" i="1"/>
  <c r="BM126" i="1"/>
  <c r="BM127" i="1"/>
  <c r="BM128" i="1"/>
  <c r="BM129" i="1"/>
  <c r="BM130" i="1"/>
  <c r="BM131" i="1"/>
  <c r="BM132" i="1"/>
  <c r="BM133" i="1"/>
  <c r="BM134" i="1"/>
  <c r="BM135" i="1"/>
  <c r="BM136" i="1"/>
  <c r="BM137" i="1"/>
  <c r="BM138" i="1"/>
  <c r="BM139" i="1"/>
  <c r="BM140" i="1"/>
  <c r="BM141" i="1"/>
  <c r="BM142" i="1"/>
  <c r="BM143" i="1"/>
  <c r="BM144" i="1"/>
  <c r="BM145" i="1"/>
  <c r="BM146" i="1"/>
  <c r="BM147" i="1"/>
  <c r="BM148" i="1"/>
  <c r="BM149" i="1"/>
  <c r="BM150" i="1"/>
  <c r="BM151" i="1"/>
  <c r="BM152" i="1"/>
  <c r="BM153" i="1"/>
  <c r="BM154" i="1"/>
  <c r="BM155" i="1"/>
  <c r="BM156" i="1"/>
  <c r="BM157" i="1"/>
  <c r="BM158" i="1"/>
  <c r="BM159" i="1"/>
  <c r="BM160" i="1"/>
  <c r="BM161" i="1"/>
  <c r="BM162" i="1"/>
  <c r="BM163" i="1"/>
  <c r="BM164" i="1"/>
  <c r="BM165" i="1"/>
  <c r="BM166" i="1"/>
  <c r="BM167" i="1"/>
  <c r="BM168" i="1"/>
  <c r="BM169" i="1"/>
  <c r="BM170" i="1"/>
  <c r="BM171" i="1"/>
  <c r="BM172" i="1"/>
  <c r="BM173" i="1"/>
  <c r="BM174" i="1"/>
  <c r="BM175" i="1"/>
  <c r="BM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3" i="1"/>
  <c r="BL34"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L65" i="1"/>
  <c r="BL66" i="1"/>
  <c r="BL67" i="1"/>
  <c r="BL68" i="1"/>
  <c r="BL69" i="1"/>
  <c r="BL70" i="1"/>
  <c r="BL71" i="1"/>
  <c r="BL72" i="1"/>
  <c r="BL73" i="1"/>
  <c r="BL74" i="1"/>
  <c r="BL75" i="1"/>
  <c r="BL76" i="1"/>
  <c r="BL77" i="1"/>
  <c r="BL78" i="1"/>
  <c r="BL79" i="1"/>
  <c r="BL80" i="1"/>
  <c r="BL81" i="1"/>
  <c r="BL82" i="1"/>
  <c r="BL83" i="1"/>
  <c r="BL84" i="1"/>
  <c r="BL85" i="1"/>
  <c r="BL86"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4" i="1"/>
  <c r="BL125" i="1"/>
  <c r="BL126" i="1"/>
  <c r="BL127" i="1"/>
  <c r="BL128" i="1"/>
  <c r="BL129" i="1"/>
  <c r="BL130" i="1"/>
  <c r="BL131" i="1"/>
  <c r="BL132" i="1"/>
  <c r="BL133" i="1"/>
  <c r="BL134" i="1"/>
  <c r="BL135" i="1"/>
  <c r="BL136" i="1"/>
  <c r="BL137" i="1"/>
  <c r="BL138" i="1"/>
  <c r="BL139" i="1"/>
  <c r="BL140" i="1"/>
  <c r="BL141" i="1"/>
  <c r="BL142" i="1"/>
  <c r="BL143" i="1"/>
  <c r="BL144" i="1"/>
  <c r="BL145" i="1"/>
  <c r="BL146" i="1"/>
  <c r="BL147" i="1"/>
  <c r="BL148" i="1"/>
  <c r="BL149" i="1"/>
  <c r="BL150" i="1"/>
  <c r="BL151" i="1"/>
  <c r="BL152" i="1"/>
  <c r="BL153" i="1"/>
  <c r="BL154" i="1"/>
  <c r="BL155" i="1"/>
  <c r="BL156" i="1"/>
  <c r="BL157" i="1"/>
  <c r="BL158" i="1"/>
  <c r="BL159" i="1"/>
  <c r="BL160" i="1"/>
  <c r="BL161" i="1"/>
  <c r="BL162" i="1"/>
  <c r="BL163" i="1"/>
  <c r="BL164" i="1"/>
  <c r="BL165" i="1"/>
  <c r="BL166" i="1"/>
  <c r="BL167" i="1"/>
  <c r="BL168" i="1"/>
  <c r="BL169" i="1"/>
  <c r="BL170" i="1"/>
  <c r="BL171" i="1"/>
  <c r="BL172" i="1"/>
  <c r="BL173" i="1"/>
  <c r="BL174" i="1"/>
  <c r="BL175" i="1"/>
  <c r="BL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 r="BK60" i="1"/>
  <c r="BK61" i="1"/>
  <c r="BK62" i="1"/>
  <c r="BK63" i="1"/>
  <c r="BK64" i="1"/>
  <c r="BK65" i="1"/>
  <c r="BK66" i="1"/>
  <c r="BK67" i="1"/>
  <c r="BK68" i="1"/>
  <c r="BK69" i="1"/>
  <c r="BK70" i="1"/>
  <c r="BK71" i="1"/>
  <c r="BK72" i="1"/>
  <c r="BK73" i="1"/>
  <c r="BK74" i="1"/>
  <c r="BK75" i="1"/>
  <c r="BK76" i="1"/>
  <c r="BK77" i="1"/>
  <c r="BK78" i="1"/>
  <c r="BK79" i="1"/>
  <c r="BK80" i="1"/>
  <c r="BK81" i="1"/>
  <c r="BK82" i="1"/>
  <c r="BK83"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2" i="1"/>
  <c r="BK113" i="1"/>
  <c r="BK114" i="1"/>
  <c r="BK115" i="1"/>
  <c r="BK116" i="1"/>
  <c r="BK117" i="1"/>
  <c r="BK118" i="1"/>
  <c r="BK119" i="1"/>
  <c r="BK120" i="1"/>
  <c r="BK121" i="1"/>
  <c r="BK122" i="1"/>
  <c r="BK123" i="1"/>
  <c r="BK124" i="1"/>
  <c r="BK125" i="1"/>
  <c r="BK126" i="1"/>
  <c r="BK127" i="1"/>
  <c r="BK128" i="1"/>
  <c r="BK129" i="1"/>
  <c r="BK130" i="1"/>
  <c r="BK131" i="1"/>
  <c r="BK132" i="1"/>
  <c r="BK133" i="1"/>
  <c r="BK134" i="1"/>
  <c r="BK135" i="1"/>
  <c r="BK136" i="1"/>
  <c r="BK137" i="1"/>
  <c r="BK138" i="1"/>
  <c r="BK139" i="1"/>
  <c r="BK140" i="1"/>
  <c r="BK141" i="1"/>
  <c r="BK142" i="1"/>
  <c r="BK143" i="1"/>
  <c r="BK144" i="1"/>
  <c r="BK145" i="1"/>
  <c r="BK146" i="1"/>
  <c r="BK147" i="1"/>
  <c r="BK148" i="1"/>
  <c r="BK149" i="1"/>
  <c r="BK150" i="1"/>
  <c r="BK151" i="1"/>
  <c r="BK152" i="1"/>
  <c r="BK153" i="1"/>
  <c r="BK154" i="1"/>
  <c r="BK155" i="1"/>
  <c r="BK156" i="1"/>
  <c r="BK157" i="1"/>
  <c r="BK158" i="1"/>
  <c r="BK159" i="1"/>
  <c r="BK160" i="1"/>
  <c r="BK161" i="1"/>
  <c r="BK162" i="1"/>
  <c r="BK163" i="1"/>
  <c r="BK164" i="1"/>
  <c r="BK165" i="1"/>
  <c r="BK166" i="1"/>
  <c r="BK167" i="1"/>
  <c r="BK168" i="1"/>
  <c r="BK169" i="1"/>
  <c r="BK170" i="1"/>
  <c r="BK171" i="1"/>
  <c r="BK172" i="1"/>
  <c r="BK173" i="1"/>
  <c r="BK174" i="1"/>
  <c r="BK175" i="1"/>
  <c r="BK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J137" i="1"/>
  <c r="BJ138" i="1"/>
  <c r="BJ139" i="1"/>
  <c r="BJ140" i="1"/>
  <c r="BJ141" i="1"/>
  <c r="BJ142" i="1"/>
  <c r="BJ143" i="1"/>
  <c r="BJ144" i="1"/>
  <c r="BJ145" i="1"/>
  <c r="BJ146" i="1"/>
  <c r="BJ147" i="1"/>
  <c r="BJ148" i="1"/>
  <c r="BJ149" i="1"/>
  <c r="BJ150" i="1"/>
  <c r="BJ151" i="1"/>
  <c r="BJ152" i="1"/>
  <c r="BJ153" i="1"/>
  <c r="BJ154" i="1"/>
  <c r="BJ155" i="1"/>
  <c r="BJ156" i="1"/>
  <c r="BJ157" i="1"/>
  <c r="BJ158" i="1"/>
  <c r="BJ159" i="1"/>
  <c r="BJ160" i="1"/>
  <c r="BJ161" i="1"/>
  <c r="BJ162" i="1"/>
  <c r="BJ163" i="1"/>
  <c r="BJ164" i="1"/>
  <c r="BJ165" i="1"/>
  <c r="BJ166" i="1"/>
  <c r="BJ167" i="1"/>
  <c r="BJ168" i="1"/>
  <c r="BJ169" i="1"/>
  <c r="BJ170" i="1"/>
  <c r="BJ171" i="1"/>
  <c r="BJ172" i="1"/>
  <c r="BJ173" i="1"/>
  <c r="BJ174" i="1"/>
  <c r="BJ175" i="1"/>
  <c r="BJ7" i="1"/>
  <c r="BH8" i="1"/>
  <c r="BH9" i="1"/>
  <c r="BH10" i="1"/>
  <c r="BH11" i="1"/>
  <c r="BH12" i="1"/>
  <c r="BH13" i="1"/>
  <c r="BH14" i="1"/>
  <c r="BH15" i="1"/>
  <c r="BH16" i="1"/>
  <c r="BH17" i="1"/>
  <c r="BH18" i="1"/>
  <c r="BH19" i="1"/>
  <c r="BH20" i="1"/>
  <c r="BH21" i="1"/>
  <c r="BH22" i="1"/>
  <c r="BH23" i="1"/>
  <c r="BH24" i="1"/>
  <c r="BH25" i="1"/>
  <c r="BH26" i="1"/>
  <c r="BH27" i="1"/>
  <c r="BH28" i="1"/>
  <c r="BH29" i="1"/>
  <c r="BH30" i="1"/>
  <c r="BH31" i="1"/>
  <c r="BH32" i="1"/>
  <c r="BH33" i="1"/>
  <c r="BH34" i="1"/>
  <c r="BH35" i="1"/>
  <c r="BH36" i="1"/>
  <c r="BH37" i="1"/>
  <c r="BH38" i="1"/>
  <c r="BH39" i="1"/>
  <c r="BH40" i="1"/>
  <c r="BH41" i="1"/>
  <c r="BH42" i="1"/>
  <c r="BH43" i="1"/>
  <c r="BH44" i="1"/>
  <c r="BH45" i="1"/>
  <c r="BH46" i="1"/>
  <c r="BH47" i="1"/>
  <c r="BH48" i="1"/>
  <c r="BH49" i="1"/>
  <c r="BH50" i="1"/>
  <c r="BH51" i="1"/>
  <c r="BH52" i="1"/>
  <c r="BH53" i="1"/>
  <c r="BH54" i="1"/>
  <c r="BH55" i="1"/>
  <c r="BH56" i="1"/>
  <c r="BH57" i="1"/>
  <c r="BH58" i="1"/>
  <c r="BH59" i="1"/>
  <c r="BH60" i="1"/>
  <c r="BH61" i="1"/>
  <c r="BH62" i="1"/>
  <c r="BH63" i="1"/>
  <c r="BH64" i="1"/>
  <c r="BH65" i="1"/>
  <c r="BH66" i="1"/>
  <c r="BH67" i="1"/>
  <c r="BH68" i="1"/>
  <c r="BH69" i="1"/>
  <c r="BH70" i="1"/>
  <c r="BH71" i="1"/>
  <c r="BH72" i="1"/>
  <c r="BH73" i="1"/>
  <c r="BH74" i="1"/>
  <c r="BH75" i="1"/>
  <c r="BH76" i="1"/>
  <c r="BH77" i="1"/>
  <c r="BH78" i="1"/>
  <c r="BH79" i="1"/>
  <c r="BH80" i="1"/>
  <c r="BH81" i="1"/>
  <c r="BH82" i="1"/>
  <c r="BH83" i="1"/>
  <c r="BH84" i="1"/>
  <c r="BH85" i="1"/>
  <c r="BH86" i="1"/>
  <c r="BH87" i="1"/>
  <c r="BH88" i="1"/>
  <c r="BH89" i="1"/>
  <c r="BH90" i="1"/>
  <c r="BH91" i="1"/>
  <c r="BH92" i="1"/>
  <c r="BH93" i="1"/>
  <c r="BH94" i="1"/>
  <c r="BH95" i="1"/>
  <c r="BH96" i="1"/>
  <c r="BH97" i="1"/>
  <c r="BH98" i="1"/>
  <c r="BH99" i="1"/>
  <c r="BH100" i="1"/>
  <c r="BH101" i="1"/>
  <c r="BH102" i="1"/>
  <c r="BH103" i="1"/>
  <c r="BH104" i="1"/>
  <c r="BH105" i="1"/>
  <c r="BH106" i="1"/>
  <c r="BH107" i="1"/>
  <c r="BH108" i="1"/>
  <c r="BH109" i="1"/>
  <c r="BH110" i="1"/>
  <c r="BH111" i="1"/>
  <c r="BH112" i="1"/>
  <c r="BH113" i="1"/>
  <c r="BH114" i="1"/>
  <c r="BH115" i="1"/>
  <c r="BH116" i="1"/>
  <c r="BH117" i="1"/>
  <c r="BH118" i="1"/>
  <c r="BH119" i="1"/>
  <c r="BH120" i="1"/>
  <c r="BH121" i="1"/>
  <c r="BH122" i="1"/>
  <c r="BH123" i="1"/>
  <c r="BH124" i="1"/>
  <c r="BH125" i="1"/>
  <c r="BH126" i="1"/>
  <c r="BH127" i="1"/>
  <c r="BH128" i="1"/>
  <c r="BH129" i="1"/>
  <c r="BH130" i="1"/>
  <c r="BH131" i="1"/>
  <c r="BH132" i="1"/>
  <c r="BH133" i="1"/>
  <c r="BH134" i="1"/>
  <c r="BH135" i="1"/>
  <c r="BH136" i="1"/>
  <c r="BH137" i="1"/>
  <c r="BH138" i="1"/>
  <c r="BH139" i="1"/>
  <c r="BH140" i="1"/>
  <c r="BH141" i="1"/>
  <c r="BH142" i="1"/>
  <c r="BH143" i="1"/>
  <c r="BH144" i="1"/>
  <c r="BH145" i="1"/>
  <c r="BH146" i="1"/>
  <c r="BH147" i="1"/>
  <c r="BH148" i="1"/>
  <c r="BH149" i="1"/>
  <c r="BH150" i="1"/>
  <c r="BH151" i="1"/>
  <c r="BH152" i="1"/>
  <c r="BH153" i="1"/>
  <c r="BH154" i="1"/>
  <c r="BH155" i="1"/>
  <c r="BH156" i="1"/>
  <c r="BH157" i="1"/>
  <c r="BH158" i="1"/>
  <c r="BH159" i="1"/>
  <c r="BH160" i="1"/>
  <c r="BH161" i="1"/>
  <c r="BH162" i="1"/>
  <c r="BH163" i="1"/>
  <c r="BH164" i="1"/>
  <c r="BH165" i="1"/>
  <c r="BH166" i="1"/>
  <c r="BH167" i="1"/>
  <c r="BH168" i="1"/>
  <c r="BH169" i="1"/>
  <c r="BH170" i="1"/>
  <c r="BH171" i="1"/>
  <c r="BH172" i="1"/>
  <c r="BH173" i="1"/>
  <c r="BH174" i="1"/>
  <c r="BH175" i="1"/>
  <c r="BH7" i="1"/>
  <c r="BG7" i="1" l="1"/>
  <c r="BI7" i="1" l="1"/>
  <c r="BF7" i="1"/>
  <c r="BD8" i="1" l="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AC6" i="2"/>
  <c r="AC7" i="2"/>
  <c r="AC8" i="2"/>
  <c r="AC9" i="2"/>
  <c r="AC10" i="2"/>
  <c r="AC11" i="2"/>
  <c r="AC12" i="2"/>
  <c r="AC13" i="2"/>
  <c r="AC14" i="2"/>
  <c r="AC15" i="2"/>
  <c r="BF175" i="1" l="1"/>
  <c r="BG175" i="1"/>
  <c r="BI175" i="1"/>
  <c r="AF9" i="3" l="1"/>
  <c r="AF10" i="3"/>
  <c r="AF11" i="3"/>
  <c r="AF12" i="3"/>
  <c r="AF13" i="3"/>
  <c r="AF14" i="3"/>
  <c r="AF15" i="3"/>
  <c r="AF16" i="3"/>
  <c r="AF17" i="3"/>
  <c r="AF18" i="3"/>
  <c r="AF19" i="3"/>
  <c r="AC19" i="3"/>
  <c r="AE19" i="3" s="1"/>
  <c r="AE15" i="2"/>
  <c r="AC18" i="3"/>
  <c r="AE18" i="3" s="1"/>
  <c r="AE14" i="2"/>
  <c r="AC17" i="3"/>
  <c r="AE17" i="3" s="1"/>
  <c r="AE13" i="2"/>
  <c r="AE12" i="2"/>
  <c r="BG138" i="1"/>
  <c r="BI138" i="1"/>
  <c r="BG139" i="1"/>
  <c r="BI139" i="1"/>
  <c r="BG140" i="1"/>
  <c r="BI140" i="1"/>
  <c r="BG141" i="1"/>
  <c r="BI141" i="1"/>
  <c r="BG142" i="1"/>
  <c r="BI142" i="1"/>
  <c r="BG143" i="1"/>
  <c r="BI143" i="1"/>
  <c r="BG144" i="1"/>
  <c r="BI144" i="1"/>
  <c r="BG145" i="1"/>
  <c r="BI145" i="1"/>
  <c r="BG146" i="1"/>
  <c r="BI146" i="1"/>
  <c r="BG147" i="1"/>
  <c r="BI147" i="1"/>
  <c r="BG148" i="1"/>
  <c r="BI148" i="1"/>
  <c r="BG149" i="1"/>
  <c r="BI149" i="1"/>
  <c r="BG150" i="1"/>
  <c r="BI150" i="1"/>
  <c r="BG151" i="1"/>
  <c r="BI151" i="1"/>
  <c r="BG152" i="1"/>
  <c r="BI152" i="1"/>
  <c r="BG153" i="1"/>
  <c r="BI153" i="1"/>
  <c r="BG154" i="1"/>
  <c r="BI154" i="1"/>
  <c r="BG155" i="1"/>
  <c r="BI155" i="1"/>
  <c r="BG156" i="1"/>
  <c r="BI156" i="1"/>
  <c r="BG157" i="1"/>
  <c r="BI157" i="1"/>
  <c r="BG158" i="1"/>
  <c r="BI158" i="1"/>
  <c r="BG159" i="1"/>
  <c r="BI159" i="1"/>
  <c r="BG160" i="1"/>
  <c r="BI160" i="1"/>
  <c r="BG161" i="1"/>
  <c r="BI161" i="1"/>
  <c r="BG162" i="1"/>
  <c r="BI162" i="1"/>
  <c r="BG163" i="1"/>
  <c r="BI163" i="1"/>
  <c r="BG164" i="1"/>
  <c r="BI164" i="1"/>
  <c r="BG165" i="1"/>
  <c r="BI165" i="1"/>
  <c r="BG166" i="1"/>
  <c r="BI166" i="1"/>
  <c r="BG167" i="1"/>
  <c r="BI167" i="1"/>
  <c r="BG168" i="1"/>
  <c r="BI168" i="1"/>
  <c r="BG169" i="1"/>
  <c r="BI169" i="1"/>
  <c r="BG170" i="1"/>
  <c r="BI170" i="1"/>
  <c r="BG171" i="1"/>
  <c r="BI171" i="1"/>
  <c r="BG172" i="1"/>
  <c r="BI172" i="1"/>
  <c r="BG173" i="1"/>
  <c r="BI173" i="1"/>
  <c r="BG174" i="1"/>
  <c r="BI174" i="1"/>
  <c r="BF138" i="1"/>
  <c r="BF139" i="1"/>
  <c r="BF140" i="1"/>
  <c r="BF141" i="1"/>
  <c r="BF142" i="1"/>
  <c r="BF143" i="1"/>
  <c r="BF144" i="1"/>
  <c r="BF145" i="1"/>
  <c r="BF146" i="1"/>
  <c r="BF147" i="1"/>
  <c r="BF148" i="1"/>
  <c r="BF149" i="1"/>
  <c r="BF150" i="1"/>
  <c r="BF151" i="1"/>
  <c r="BF152" i="1"/>
  <c r="BF153" i="1"/>
  <c r="BF154" i="1"/>
  <c r="BF155" i="1"/>
  <c r="BF156" i="1"/>
  <c r="BF157" i="1"/>
  <c r="BF158" i="1"/>
  <c r="BF159" i="1"/>
  <c r="BF160" i="1"/>
  <c r="BF161" i="1"/>
  <c r="BF162" i="1"/>
  <c r="BF163" i="1"/>
  <c r="BF164" i="1"/>
  <c r="BF165" i="1"/>
  <c r="BF166" i="1"/>
  <c r="BF167" i="1"/>
  <c r="BF168" i="1"/>
  <c r="BF169" i="1"/>
  <c r="BF170" i="1"/>
  <c r="BF171" i="1"/>
  <c r="BF172" i="1"/>
  <c r="BF173" i="1"/>
  <c r="BF174" i="1"/>
  <c r="AF7" i="3" l="1"/>
  <c r="AF8" i="3"/>
  <c r="AE11" i="2"/>
  <c r="AC16" i="3"/>
  <c r="AE16" i="3" s="1"/>
  <c r="AC15" i="3"/>
  <c r="AE15" i="3" s="1"/>
  <c r="AC14" i="3"/>
  <c r="AE14" i="3" s="1"/>
  <c r="AE10" i="2"/>
  <c r="BG8" i="1"/>
  <c r="BI8" i="1"/>
  <c r="BG9" i="1"/>
  <c r="BI9" i="1"/>
  <c r="BG10" i="1"/>
  <c r="BI10" i="1"/>
  <c r="BG11" i="1"/>
  <c r="BI11" i="1"/>
  <c r="BG12" i="1"/>
  <c r="BI12" i="1"/>
  <c r="BG13" i="1"/>
  <c r="BI13" i="1"/>
  <c r="BG14" i="1"/>
  <c r="BI14" i="1"/>
  <c r="BG15" i="1"/>
  <c r="BI15" i="1"/>
  <c r="BG16" i="1"/>
  <c r="BI16" i="1"/>
  <c r="BG17" i="1"/>
  <c r="BI17" i="1"/>
  <c r="BG18" i="1"/>
  <c r="BI18" i="1"/>
  <c r="BG19" i="1"/>
  <c r="BI19" i="1"/>
  <c r="BG20" i="1"/>
  <c r="BI20" i="1"/>
  <c r="BG21" i="1"/>
  <c r="BI21" i="1"/>
  <c r="BG22" i="1"/>
  <c r="BI22" i="1"/>
  <c r="BG23" i="1"/>
  <c r="BI23" i="1"/>
  <c r="BG24" i="1"/>
  <c r="BI24" i="1"/>
  <c r="BG25" i="1"/>
  <c r="BI25" i="1"/>
  <c r="BG26" i="1"/>
  <c r="BI26" i="1"/>
  <c r="BG27" i="1"/>
  <c r="BI27" i="1"/>
  <c r="BG28" i="1"/>
  <c r="BI28" i="1"/>
  <c r="BG29" i="1"/>
  <c r="BI29" i="1"/>
  <c r="BG30" i="1"/>
  <c r="BI30" i="1"/>
  <c r="BG31" i="1"/>
  <c r="BI31" i="1"/>
  <c r="BG32" i="1"/>
  <c r="BI32" i="1"/>
  <c r="BG33" i="1"/>
  <c r="BI33" i="1"/>
  <c r="BG34" i="1"/>
  <c r="BI34" i="1"/>
  <c r="BG35" i="1"/>
  <c r="BI35" i="1"/>
  <c r="BG36" i="1"/>
  <c r="BI36" i="1"/>
  <c r="BG37" i="1"/>
  <c r="BI37" i="1"/>
  <c r="BG38" i="1"/>
  <c r="BI38" i="1"/>
  <c r="BG39" i="1"/>
  <c r="BI39" i="1"/>
  <c r="BG40" i="1"/>
  <c r="BI40" i="1"/>
  <c r="BG41" i="1"/>
  <c r="BI41" i="1"/>
  <c r="BG42" i="1"/>
  <c r="BI42" i="1"/>
  <c r="BG43" i="1"/>
  <c r="BI43" i="1"/>
  <c r="BG44" i="1"/>
  <c r="BI44" i="1"/>
  <c r="BG45" i="1"/>
  <c r="BI45" i="1"/>
  <c r="BG46" i="1"/>
  <c r="BI46" i="1"/>
  <c r="BG47" i="1"/>
  <c r="BI47" i="1"/>
  <c r="BG48" i="1"/>
  <c r="BI48" i="1"/>
  <c r="BG49" i="1"/>
  <c r="BI49" i="1"/>
  <c r="BG50" i="1"/>
  <c r="BI50" i="1"/>
  <c r="BG51" i="1"/>
  <c r="BI51" i="1"/>
  <c r="BG52" i="1"/>
  <c r="BI52" i="1"/>
  <c r="BG53" i="1"/>
  <c r="BI53" i="1"/>
  <c r="BG54" i="1"/>
  <c r="BI54" i="1"/>
  <c r="BG55" i="1"/>
  <c r="BI55" i="1"/>
  <c r="BG56" i="1"/>
  <c r="BI56" i="1"/>
  <c r="BG57" i="1"/>
  <c r="BI57" i="1"/>
  <c r="BG58" i="1"/>
  <c r="BI58" i="1"/>
  <c r="BG59" i="1"/>
  <c r="BI59" i="1"/>
  <c r="BG60" i="1"/>
  <c r="BI60" i="1"/>
  <c r="BG61" i="1"/>
  <c r="BI61" i="1"/>
  <c r="BG62" i="1"/>
  <c r="BI62" i="1"/>
  <c r="BG63" i="1"/>
  <c r="BI63" i="1"/>
  <c r="BG64" i="1"/>
  <c r="BI64" i="1"/>
  <c r="BG65" i="1"/>
  <c r="BI65" i="1"/>
  <c r="BG66" i="1"/>
  <c r="BI66" i="1"/>
  <c r="BG67" i="1"/>
  <c r="BI67" i="1"/>
  <c r="BG68" i="1"/>
  <c r="BI68" i="1"/>
  <c r="BG69" i="1"/>
  <c r="BI69" i="1"/>
  <c r="BG70" i="1"/>
  <c r="BI70" i="1"/>
  <c r="BG71" i="1"/>
  <c r="BI71" i="1"/>
  <c r="BG72" i="1"/>
  <c r="BI72" i="1"/>
  <c r="BG73" i="1"/>
  <c r="BI73" i="1"/>
  <c r="BG74" i="1"/>
  <c r="BI74" i="1"/>
  <c r="BG75" i="1"/>
  <c r="BI75" i="1"/>
  <c r="BG76" i="1"/>
  <c r="BI76" i="1"/>
  <c r="BG77" i="1"/>
  <c r="BI77" i="1"/>
  <c r="BG78" i="1"/>
  <c r="BI78" i="1"/>
  <c r="BG79" i="1"/>
  <c r="BI79" i="1"/>
  <c r="BG80" i="1"/>
  <c r="BI80" i="1"/>
  <c r="BG81" i="1"/>
  <c r="BI81" i="1"/>
  <c r="BG82" i="1"/>
  <c r="BI82" i="1"/>
  <c r="BG83" i="1"/>
  <c r="BI83" i="1"/>
  <c r="BG84" i="1"/>
  <c r="BI84" i="1"/>
  <c r="BG85" i="1"/>
  <c r="BI85" i="1"/>
  <c r="BG86" i="1"/>
  <c r="BI86" i="1"/>
  <c r="BG87" i="1"/>
  <c r="BI87" i="1"/>
  <c r="BG88" i="1"/>
  <c r="BI88" i="1"/>
  <c r="BG89" i="1"/>
  <c r="BI89" i="1"/>
  <c r="BG90" i="1"/>
  <c r="BI90" i="1"/>
  <c r="BG91" i="1"/>
  <c r="BI91" i="1"/>
  <c r="BG92" i="1"/>
  <c r="BI92" i="1"/>
  <c r="BG93" i="1"/>
  <c r="BI93" i="1"/>
  <c r="BG94" i="1"/>
  <c r="BI94" i="1"/>
  <c r="BG95" i="1"/>
  <c r="BI95" i="1"/>
  <c r="BG96" i="1"/>
  <c r="BI96" i="1"/>
  <c r="BG97" i="1"/>
  <c r="BI97" i="1"/>
  <c r="BG98" i="1"/>
  <c r="BI98" i="1"/>
  <c r="BG99" i="1"/>
  <c r="BI99" i="1"/>
  <c r="BG100" i="1"/>
  <c r="BI100" i="1"/>
  <c r="BG101" i="1"/>
  <c r="BI101" i="1"/>
  <c r="BG102" i="1"/>
  <c r="BI102" i="1"/>
  <c r="BG103" i="1"/>
  <c r="BI103" i="1"/>
  <c r="BG104" i="1"/>
  <c r="BI104" i="1"/>
  <c r="BG105" i="1"/>
  <c r="BI105" i="1"/>
  <c r="BG106" i="1"/>
  <c r="BI106" i="1"/>
  <c r="BG107" i="1"/>
  <c r="BI107" i="1"/>
  <c r="BG108" i="1"/>
  <c r="BI108" i="1"/>
  <c r="BG109" i="1"/>
  <c r="BI109" i="1"/>
  <c r="BG110" i="1"/>
  <c r="BI110" i="1"/>
  <c r="BG111" i="1"/>
  <c r="BI111" i="1"/>
  <c r="BG112" i="1"/>
  <c r="BI112" i="1"/>
  <c r="BG113" i="1"/>
  <c r="BI113" i="1"/>
  <c r="BG114" i="1"/>
  <c r="BI114" i="1"/>
  <c r="BG115" i="1"/>
  <c r="BI115" i="1"/>
  <c r="BG116" i="1"/>
  <c r="BI116" i="1"/>
  <c r="BG117" i="1"/>
  <c r="BI117" i="1"/>
  <c r="BG118" i="1"/>
  <c r="BI118" i="1"/>
  <c r="BG119" i="1"/>
  <c r="BI119" i="1"/>
  <c r="BG120" i="1"/>
  <c r="BI120" i="1"/>
  <c r="BG121" i="1"/>
  <c r="BI121" i="1"/>
  <c r="BG122" i="1"/>
  <c r="BI122" i="1"/>
  <c r="BG123" i="1"/>
  <c r="BI123" i="1"/>
  <c r="BG124" i="1"/>
  <c r="BI124" i="1"/>
  <c r="BG125" i="1"/>
  <c r="BI125" i="1"/>
  <c r="BG126" i="1"/>
  <c r="BI126" i="1"/>
  <c r="BG127" i="1"/>
  <c r="BI127" i="1"/>
  <c r="BG128" i="1"/>
  <c r="BI128" i="1"/>
  <c r="BG129" i="1"/>
  <c r="BI129" i="1"/>
  <c r="BG130" i="1"/>
  <c r="BI130" i="1"/>
  <c r="BG131" i="1"/>
  <c r="BI131" i="1"/>
  <c r="BG132" i="1"/>
  <c r="BI132" i="1"/>
  <c r="BG133" i="1"/>
  <c r="BI133" i="1"/>
  <c r="BG134" i="1"/>
  <c r="BI134" i="1"/>
  <c r="BG135" i="1"/>
  <c r="BI135" i="1"/>
  <c r="BG136" i="1"/>
  <c r="BI136" i="1"/>
  <c r="BG137" i="1"/>
  <c r="BI137" i="1"/>
  <c r="BF94" i="1"/>
  <c r="BF95" i="1"/>
  <c r="BF96" i="1"/>
  <c r="BF97" i="1"/>
  <c r="BF98" i="1"/>
  <c r="BF99" i="1"/>
  <c r="BF100" i="1"/>
  <c r="BF101" i="1"/>
  <c r="BF102" i="1"/>
  <c r="BF103" i="1"/>
  <c r="BF104" i="1"/>
  <c r="BF105" i="1"/>
  <c r="BF106" i="1"/>
  <c r="BF107" i="1"/>
  <c r="BF108" i="1"/>
  <c r="BF109" i="1"/>
  <c r="BF110" i="1"/>
  <c r="BF111" i="1"/>
  <c r="BF112" i="1"/>
  <c r="BF113" i="1"/>
  <c r="BF114" i="1"/>
  <c r="BF115" i="1"/>
  <c r="BF116" i="1"/>
  <c r="BF117" i="1"/>
  <c r="BF118" i="1"/>
  <c r="BF119" i="1"/>
  <c r="BF120" i="1"/>
  <c r="BF121" i="1"/>
  <c r="BF122" i="1"/>
  <c r="BF123" i="1"/>
  <c r="BF124" i="1"/>
  <c r="BF125" i="1"/>
  <c r="BF126" i="1"/>
  <c r="BF127" i="1"/>
  <c r="BF128" i="1"/>
  <c r="BF129" i="1"/>
  <c r="BF130" i="1"/>
  <c r="BF131" i="1"/>
  <c r="BF132" i="1"/>
  <c r="BF133" i="1"/>
  <c r="BF134" i="1"/>
  <c r="BF135" i="1"/>
  <c r="BF136" i="1"/>
  <c r="BF137" i="1"/>
  <c r="AF6" i="3" l="1"/>
  <c r="BF92" i="1"/>
  <c r="AE9" i="2"/>
  <c r="AC13" i="3"/>
  <c r="AE13" i="3" s="1"/>
  <c r="AC12" i="3"/>
  <c r="AE12" i="3" s="1"/>
  <c r="BF61" i="1"/>
  <c r="BF62" i="1"/>
  <c r="BF63" i="1"/>
  <c r="BF64" i="1"/>
  <c r="BF65" i="1"/>
  <c r="BF66" i="1"/>
  <c r="BF67" i="1"/>
  <c r="BF68" i="1"/>
  <c r="BF69" i="1"/>
  <c r="BF70" i="1"/>
  <c r="BF71" i="1"/>
  <c r="BF72" i="1"/>
  <c r="BF73" i="1"/>
  <c r="BF74" i="1"/>
  <c r="BF75" i="1"/>
  <c r="BF76" i="1"/>
  <c r="BF77" i="1"/>
  <c r="BF78" i="1"/>
  <c r="BF79" i="1"/>
  <c r="BF80" i="1"/>
  <c r="BF81" i="1"/>
  <c r="BF82" i="1"/>
  <c r="BF83" i="1"/>
  <c r="BF84" i="1"/>
  <c r="BF85" i="1"/>
  <c r="BF86" i="1"/>
  <c r="BF87" i="1"/>
  <c r="BF88" i="1"/>
  <c r="BF89" i="1"/>
  <c r="BF90" i="1"/>
  <c r="BF91" i="1"/>
  <c r="BF93" i="1"/>
  <c r="AE8" i="2" l="1"/>
  <c r="AC11" i="3"/>
  <c r="AE11" i="3" s="1"/>
  <c r="AC10" i="3"/>
  <c r="AE10" i="3" s="1"/>
  <c r="AE7" i="2"/>
  <c r="AC9" i="3"/>
  <c r="AE9" i="3" s="1"/>
  <c r="BF45" i="1"/>
  <c r="BF46" i="1"/>
  <c r="BF47" i="1"/>
  <c r="BF48" i="1"/>
  <c r="BF49" i="1"/>
  <c r="BF50" i="1"/>
  <c r="BF51" i="1"/>
  <c r="BF52" i="1"/>
  <c r="BF53" i="1"/>
  <c r="BF54" i="1"/>
  <c r="BF55" i="1"/>
  <c r="BF56" i="1"/>
  <c r="BF57" i="1"/>
  <c r="BF58" i="1"/>
  <c r="BF59" i="1"/>
  <c r="BF60" i="1"/>
  <c r="AC8" i="3" l="1"/>
  <c r="AE8" i="3" s="1"/>
  <c r="AC7" i="3"/>
  <c r="AE7" i="3" s="1"/>
  <c r="AC6" i="3"/>
  <c r="AE6" i="3" s="1"/>
  <c r="AE6" i="2"/>
  <c r="BF15" i="1"/>
  <c r="BF16" i="1"/>
  <c r="BF17" i="1"/>
  <c r="BF18" i="1"/>
  <c r="BF19" i="1"/>
  <c r="BF20" i="1"/>
  <c r="BF21" i="1"/>
  <c r="BF22" i="1"/>
  <c r="BF23" i="1"/>
  <c r="BF24" i="1"/>
  <c r="BF25" i="1"/>
  <c r="BF26" i="1"/>
  <c r="BF27" i="1"/>
  <c r="BF28" i="1"/>
  <c r="BF29" i="1"/>
  <c r="BF30" i="1"/>
  <c r="BF31" i="1"/>
  <c r="BF32" i="1"/>
  <c r="BF33" i="1"/>
  <c r="BF34" i="1"/>
  <c r="BF35" i="1"/>
  <c r="BF36" i="1"/>
  <c r="BF37" i="1"/>
  <c r="BF38" i="1"/>
  <c r="BF39" i="1"/>
  <c r="BF40" i="1"/>
  <c r="BF41" i="1"/>
  <c r="BF42" i="1"/>
  <c r="BF43" i="1"/>
  <c r="BF44" i="1"/>
  <c r="BF14" i="1" l="1"/>
  <c r="BF13" i="1"/>
  <c r="BF9" i="1"/>
  <c r="BF10" i="1"/>
  <c r="BF11" i="1"/>
  <c r="BF12" i="1"/>
  <c r="BF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tc={DB96E5C2-5F16-41B4-A9A1-BE48EC99A03D}</author>
  </authors>
  <commentList>
    <comment ref="BG7" authorId="0" shapeId="0" xr:uid="{DB96E5C2-5F16-41B4-A9A1-BE48EC99A03D}">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Consejo de Facultad de Ingeniería, en sesión del 02 de diciembre de 2025,acta No.044 de 2025, de conformidad con el Acuerdo No. 03 de 2022, decidió aprobar descarga académica durante elsemestre 2026-I al docente José Antonio Valero, por concepto de investigador principal del proyecto de investigación“Segmentación semántica de imágenes digitales de la superficie de la tierra con base en redes neuronalesconvolucionales como insumo para aplicaciones de catastro multipropósito“</t>
      </text>
    </comment>
  </commentList>
</comments>
</file>

<file path=xl/sharedStrings.xml><?xml version="1.0" encoding="utf-8"?>
<sst xmlns="http://schemas.openxmlformats.org/spreadsheetml/2006/main" count="188" uniqueCount="83">
  <si>
    <t>FORMATO DE CONTROL DEL CUMPLIMIENTO DE LA NORMATIVA VIGENTE DEL PLAN DE TRABAJO DOCENTE</t>
  </si>
  <si>
    <t>Código: GD-PR-008-FR-004</t>
  </si>
  <si>
    <t>Investigados principal</t>
  </si>
  <si>
    <t>Macroproceso: Gestión Académica</t>
  </si>
  <si>
    <t>Versión: 02</t>
  </si>
  <si>
    <t>Co-investigador</t>
  </si>
  <si>
    <t>Proceso: Gestión de Docencia</t>
  </si>
  <si>
    <t>Fecha de Aprobación: 22/12/2022</t>
  </si>
  <si>
    <t>Verificación del cumplimiento del Plan de Trabajo Docente respecto a la Normativa Vigente</t>
  </si>
  <si>
    <t>NOMBRE COMPLETO</t>
  </si>
  <si>
    <t>DOCUMENTO DE IDENTIDAD</t>
  </si>
  <si>
    <t>TIPO DE VINCULACIÓN</t>
  </si>
  <si>
    <t>PROYECTO CURRICULAR</t>
  </si>
  <si>
    <t>ASESORÍA, DIRECCIÓN Y CORRECCIÓN DE TRABAJOS DE GRADO</t>
  </si>
  <si>
    <t>ATENCIÓN A ESTUDIANTES</t>
  </si>
  <si>
    <t>COEDITOR DE REVISTAS INSTITUCIONALES INDEXADAS</t>
  </si>
  <si>
    <t>COMISIÓN DE ESTUDIOS SEMIPRESENCIAL</t>
  </si>
  <si>
    <t xml:space="preserve">CONSEJERÍA A ESTUDIANTES </t>
  </si>
  <si>
    <t>COORDINADOR DE FACULTAD 
(COMITÉS)</t>
  </si>
  <si>
    <t xml:space="preserve">COORDINADOR INSTITUCIONAL 
(COMITÉS)
</t>
  </si>
  <si>
    <t>COORDINADORES DE LABORATORIOS DE FACULTAD (Resolución de Rectoría)</t>
  </si>
  <si>
    <t>COORDINADORES DE PROYECTOS CURRICULARES DE ESPECIALIZACIÓN</t>
  </si>
  <si>
    <t>COORDINADORES DE PROYECTOS CURRICULARES DE MAESTRÍAS Y DOCTORADOS</t>
  </si>
  <si>
    <t>COORDINADORES DE PROYECTOS CURRICULARES DE PREGRADO</t>
  </si>
  <si>
    <t>COORDINADORES DE UNIDADES DE EXTENSIÓN DE LAS FACULTADES</t>
  </si>
  <si>
    <t>COORDINADORES DE UNIDADES DE INVESTIGACIÓN DE FACULTADES</t>
  </si>
  <si>
    <t>CORRECCIÓN DE TRABAJOS Y EVALUACIONES</t>
  </si>
  <si>
    <t xml:space="preserve">DIRECCIÓN DE CENTROS (CIDC, CERI, ACACIA) E INSTITUTOS (ILUD, IPAZUD, IDEXUD, 13+,IEIE) </t>
  </si>
  <si>
    <t>DIRECCIÓN DE GRUPOS CLASIFICADOS EN MINCIENCIAS</t>
  </si>
  <si>
    <t>DIRECCIÓN DE REVISTAS INDEXADAS</t>
  </si>
  <si>
    <t>DIRECCIÓN DE REVISTAS INSTITUCIONALIZADAS NO INDEXADAS</t>
  </si>
  <si>
    <t>DISEÑO Y DESARROLLO DE ENTORNOS VIRTUALES DE APRENDIZAJE (EVA)</t>
  </si>
  <si>
    <t>DISEÑO Y DESARROLLO DE RECURSOS EDUCATIVOS DIGITALES (RED)</t>
  </si>
  <si>
    <t>ESTUDIOS DOCTORALES SIN COMISIÓN DE ESTUDIOS</t>
  </si>
  <si>
    <t>ESTUDIOS DE MAESTRÍA SIN COMISIÓN DE ESTUDIOS</t>
  </si>
  <si>
    <t>JEFES DE DIVISIÓN Y DE OFICINA</t>
  </si>
  <si>
    <t>OTRA SEÑALADA POR EL COORDINADOR DE PROYECTO CURRICULAR (Capítulo 9 0 Artículo 48 0 Literal o.)</t>
  </si>
  <si>
    <t>OTRAS SEÑALADAS POR EL DECANO DE FACULTAD</t>
  </si>
  <si>
    <t>PARTICIPACIÓN A NOMBRE DE LA UNIVERSIDAD EN GRUPOS DE INVESTIGACIÓN NACIONAL O INTERNACIONAL</t>
  </si>
  <si>
    <t xml:space="preserve">PARTICIPACIÓN EN ACTIVIDADES CURRICULARES </t>
  </si>
  <si>
    <t>PARTICIPACIÓN EN ACTIVIDADES DE AUTOEVALUACIÓN Y ACREDITACIÓN DE CALIDAD</t>
  </si>
  <si>
    <t>PARTICIPACIÓN EN GRUPOS DE TRABAJO ACADÉMICO INSTITUCIONALIZADOS</t>
  </si>
  <si>
    <t>PARTICIPACIÓN EN GRUPOS RECONOCIDOS POR MINCIENCIAS</t>
  </si>
  <si>
    <t>PERMISO SINDICAL (HORAS LECTIVAS)</t>
  </si>
  <si>
    <t>PERMISO SINDICAL (HORAS NO LECTIVAS)</t>
  </si>
  <si>
    <t>PREPARACIÓN DE CLASE</t>
  </si>
  <si>
    <t>PRODUCTIVIDAD ACADÉMICA</t>
  </si>
  <si>
    <t>PROYECTOS DE INVESTIGACIÓN INSTITUCIONALES</t>
  </si>
  <si>
    <t>PROYECTOS DE EXTENSIÓN INSTITUCIONALES (SIN SAR)</t>
  </si>
  <si>
    <t>PROYECTOS DE COOPERACIÓN INTERINSTITUCIONALES Y COFINANCIADOS POR EL CERI</t>
  </si>
  <si>
    <t>RECTOR, VICERRECTORES, DECANOS</t>
  </si>
  <si>
    <t>COMITÉ DE PERSONAL DOCENTE Y ASIGNACIÓN DE PUNTAJE</t>
  </si>
  <si>
    <t>REPRESENTACIÓN PROFESORAL EN EL CONSEJO ACADÉMICO</t>
  </si>
  <si>
    <t>REPRESENTACIÓN PROFESORAL EN EL CONSEJO CURRICULAR</t>
  </si>
  <si>
    <t>REPRESENTACIÓN PROFESORAL EN EL CONSEJO DE FACULTAD</t>
  </si>
  <si>
    <t>REPRESENTACIÓN PROFESORAL EN EL CONSEJO SUPERIOR UNIVERSITARIO</t>
  </si>
  <si>
    <t>SEMINARIOS DE ACTUALIZACIÓN, CURSOS DE CAPACITACIÓN Y PROGRAMAS DE EDUCACIÓN CONTINUADA</t>
  </si>
  <si>
    <t>TUTORÍAS ACADÉMICAS</t>
  </si>
  <si>
    <t>Total general</t>
  </si>
  <si>
    <t>HORAS LECTIVAS</t>
  </si>
  <si>
    <t>NUMERO DE ASIGNATURAS</t>
  </si>
  <si>
    <t>NUMERO DE GRUPOS</t>
  </si>
  <si>
    <t>ASIGNATURAS Y GRUPOS ASIGNADOS</t>
  </si>
  <si>
    <t>TOTAL HORAS PLAN DE TRABAJO (Planta)</t>
  </si>
  <si>
    <t>OBSERVACIONES</t>
  </si>
  <si>
    <t>TOTAL HORAS PLANTA
(Estatuto Docente)</t>
  </si>
  <si>
    <t>HORAS LECTIVAS
(Estatuto Docente)</t>
  </si>
  <si>
    <t>PREPARACIÓN DE CLASE
(Estatuto Docente)</t>
  </si>
  <si>
    <t>ASESORÍA, DIRECCIÓN Y CORRECCIÓN DE TRABAJOS DE GRADO (Acuerdo 003 de 2022 Consejo Académico)</t>
  </si>
  <si>
    <t>ATENCIÓN A ESTUDIANTES (Acuerdo 003 de 2022 Consejo Académico)</t>
  </si>
  <si>
    <t>COEDITOR DE REVISTAS INSTITUCIONALES INDEXADAS (Acuerdo 003 de 2022 Consejo Académico)</t>
  </si>
  <si>
    <t>CONSEJERÍA A ESTUDIANTES (Acuerdo 003 de 2022 Consejo Académico)</t>
  </si>
  <si>
    <t>PERMISO SINDICAL (EN HORAS LECTIVAS)</t>
  </si>
  <si>
    <t>PERMISO SINDICAL (EN HORAS NO LECTIVAS)</t>
  </si>
  <si>
    <t>No ha presentado plan de trabajo</t>
  </si>
  <si>
    <t>CPM-GD-01-FR-2_1  Consolidado de Planes de Trabajo.</t>
  </si>
  <si>
    <t>Información del plan de trabajo Docente.</t>
  </si>
  <si>
    <t>TOTAL HORAS TCO
(Estatuto Docente)</t>
  </si>
  <si>
    <t>HORAS LECTIVAS
(Circular No. 003 de 2009 Vice Académica)</t>
  </si>
  <si>
    <t>CPM-GD-01-FR-2_2  Consolidado de Planes de Trabajo.</t>
  </si>
  <si>
    <t>José Antonio Valero Medina</t>
  </si>
  <si>
    <t>Planta</t>
  </si>
  <si>
    <t>Maestrìa en Ciencias de la Información y las comunicaciones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</si>
</sst>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font>
    <font>
      <sz val="11"/>
      <color rgb="FFFF0000"/>
      <name val="Calibri"/>
      <family val="2"/>
    </font>
    <font>
      <b/>
      <sz val="11"/>
      <color theme="1"/>
      <name val="Calibri"/>
      <family val="2"/>
      <scheme val="minor"/>
    </font>
    <font>
      <sz val="11"/>
      <color theme="0"/>
      <name val="Calibri"/>
      <family val="2"/>
      <scheme val="minor"/>
    </font>
    <font>
      <b/>
      <sz val="12"/>
      <color theme="1"/>
      <name val="Cambria"/>
      <family val="1"/>
      <scheme val="major"/>
    </font>
    <font>
      <b/>
      <sz val="14"/>
      <color theme="1"/>
      <name val="Cambria"/>
      <family val="1"/>
      <scheme val="major"/>
    </font>
    <font>
      <sz val="12"/>
      <color theme="1"/>
      <name val="Arial"/>
      <family val="2"/>
    </font>
    <font>
      <b/>
      <sz val="10"/>
      <color theme="1"/>
      <name val="Calibri"/>
      <family val="2"/>
      <scheme val="minor"/>
    </font>
    <font>
      <sz val="10"/>
      <color theme="1"/>
      <name val="Calibri"/>
      <family val="2"/>
      <scheme val="minor"/>
    </font>
    <font>
      <b/>
      <sz val="11"/>
      <name val="Calibri"/>
      <family val="2"/>
      <scheme val="minor"/>
    </font>
    <font>
      <sz val="9"/>
      <color indexed="81"/>
      <name val="Tahoma"/>
      <charset val="1"/>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2">
    <xf numFmtId="0" fontId="0" fillId="0" borderId="0" xfId="0"/>
    <xf numFmtId="0" fontId="0" fillId="0" borderId="0" xfId="0" applyAlignment="1">
      <alignment vertical="center"/>
    </xf>
    <xf numFmtId="0" fontId="0" fillId="0" borderId="1" xfId="0" applyBorder="1" applyAlignment="1">
      <alignment vertical="center"/>
    </xf>
    <xf numFmtId="3" fontId="0" fillId="2" borderId="1" xfId="0" applyNumberFormat="1" applyFill="1" applyBorder="1" applyAlignment="1">
      <alignment horizontal="center" vertical="center"/>
    </xf>
    <xf numFmtId="3" fontId="0" fillId="2" borderId="1" xfId="0" applyNumberFormat="1" applyFill="1" applyBorder="1" applyAlignment="1">
      <alignment horizontal="left" vertical="center"/>
    </xf>
    <xf numFmtId="0" fontId="1" fillId="2" borderId="1" xfId="0" applyFont="1" applyFill="1" applyBorder="1" applyAlignment="1">
      <alignment horizontal="center" vertical="center"/>
    </xf>
    <xf numFmtId="3" fontId="0" fillId="0" borderId="1" xfId="0" applyNumberFormat="1" applyBorder="1" applyAlignment="1">
      <alignment horizontal="center" vertical="center"/>
    </xf>
    <xf numFmtId="3" fontId="0" fillId="0" borderId="1" xfId="0" applyNumberFormat="1" applyBorder="1" applyAlignment="1">
      <alignment horizontal="left" vertical="center"/>
    </xf>
    <xf numFmtId="0" fontId="1" fillId="0" borderId="1" xfId="0" applyFont="1" applyBorder="1" applyAlignment="1">
      <alignment horizontal="center" vertical="center"/>
    </xf>
    <xf numFmtId="0" fontId="0" fillId="3" borderId="1" xfId="0" applyFill="1" applyBorder="1" applyAlignment="1">
      <alignment vertical="center"/>
    </xf>
    <xf numFmtId="0" fontId="2" fillId="0" borderId="1" xfId="0" applyFont="1" applyBorder="1" applyAlignment="1">
      <alignment horizontal="center" vertical="center"/>
    </xf>
    <xf numFmtId="0" fontId="3" fillId="0" borderId="1" xfId="0" applyFont="1" applyBorder="1" applyAlignment="1">
      <alignment vertical="center"/>
    </xf>
    <xf numFmtId="0" fontId="0" fillId="2" borderId="0" xfId="0" applyFill="1" applyAlignment="1">
      <alignment vertical="center"/>
    </xf>
    <xf numFmtId="0" fontId="4" fillId="2" borderId="0" xfId="0" applyFont="1" applyFill="1" applyAlignment="1">
      <alignment vertical="center"/>
    </xf>
    <xf numFmtId="0" fontId="9" fillId="2" borderId="1" xfId="0" applyFont="1" applyFill="1" applyBorder="1" applyAlignment="1">
      <alignment vertical="center" wrapText="1"/>
    </xf>
    <xf numFmtId="0" fontId="6" fillId="2" borderId="0" xfId="0" applyFont="1" applyFill="1" applyAlignment="1">
      <alignment vertical="center"/>
    </xf>
    <xf numFmtId="0" fontId="0" fillId="0" borderId="3" xfId="0" applyBorder="1" applyAlignment="1">
      <alignment vertical="center"/>
    </xf>
    <xf numFmtId="3" fontId="0" fillId="0" borderId="3" xfId="0" applyNumberFormat="1" applyBorder="1" applyAlignment="1">
      <alignment horizontal="center" vertical="center"/>
    </xf>
    <xf numFmtId="3" fontId="0" fillId="0" borderId="3" xfId="0" applyNumberFormat="1" applyBorder="1" applyAlignment="1">
      <alignment horizontal="left" vertical="center"/>
    </xf>
    <xf numFmtId="0" fontId="1" fillId="0" borderId="3" xfId="0" applyFont="1" applyBorder="1" applyAlignment="1">
      <alignment horizontal="center" vertical="center"/>
    </xf>
    <xf numFmtId="0" fontId="1" fillId="2" borderId="3" xfId="0" applyFont="1" applyFill="1" applyBorder="1" applyAlignment="1">
      <alignment horizontal="center" vertical="center"/>
    </xf>
    <xf numFmtId="0" fontId="5" fillId="2" borderId="7" xfId="0" applyFont="1" applyFill="1" applyBorder="1" applyAlignment="1">
      <alignment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3" fillId="2" borderId="0" xfId="0" applyFont="1" applyFill="1" applyAlignment="1">
      <alignment vertical="center"/>
    </xf>
    <xf numFmtId="3" fontId="0" fillId="2" borderId="3" xfId="0" applyNumberFormat="1" applyFill="1" applyBorder="1" applyAlignment="1">
      <alignment horizontal="center" vertical="center"/>
    </xf>
    <xf numFmtId="3" fontId="0" fillId="2" borderId="3" xfId="0" applyNumberFormat="1" applyFill="1" applyBorder="1" applyAlignment="1">
      <alignment horizontal="left" vertical="center"/>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6" fillId="2" borderId="0" xfId="0" applyFont="1" applyFill="1" applyAlignment="1">
      <alignment horizontal="left" vertical="center"/>
    </xf>
    <xf numFmtId="0" fontId="10" fillId="0" borderId="5" xfId="0" applyFont="1" applyBorder="1" applyAlignment="1">
      <alignment horizontal="center" vertical="center" wrapText="1"/>
    </xf>
    <xf numFmtId="0" fontId="10" fillId="0" borderId="4" xfId="0" applyFont="1" applyBorder="1" applyAlignment="1">
      <alignment horizontal="center" vertical="center"/>
    </xf>
    <xf numFmtId="0" fontId="10"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0" fillId="2" borderId="0" xfId="0" applyFill="1"/>
    <xf numFmtId="0" fontId="6" fillId="2" borderId="0" xfId="0" applyFont="1" applyFill="1" applyAlignment="1">
      <alignment horizontal="left" vertical="center"/>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3" xfId="0" applyFont="1" applyFill="1" applyBorder="1" applyAlignment="1">
      <alignment horizontal="center" vertical="center"/>
    </xf>
    <xf numFmtId="0" fontId="3" fillId="2" borderId="0" xfId="0" applyFont="1" applyFill="1" applyAlignment="1">
      <alignment horizontal="left" vertical="center"/>
    </xf>
    <xf numFmtId="0" fontId="0" fillId="2" borderId="0" xfId="0" applyFill="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404813</xdr:colOff>
      <xdr:row>1</xdr:row>
      <xdr:rowOff>59530</xdr:rowOff>
    </xdr:from>
    <xdr:to>
      <xdr:col>1</xdr:col>
      <xdr:colOff>1389063</xdr:colOff>
      <xdr:row>3</xdr:row>
      <xdr:rowOff>287290</xdr:rowOff>
    </xdr:to>
    <xdr:pic>
      <xdr:nvPicPr>
        <xdr:cNvPr id="6" name="Imagen 5">
          <a:extLst>
            <a:ext uri="{FF2B5EF4-FFF2-40B4-BE49-F238E27FC236}">
              <a16:creationId xmlns:a16="http://schemas.microsoft.com/office/drawing/2014/main" id="{74D31EB0-0345-4CED-92A5-00C76E51AF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938" y="297655"/>
          <a:ext cx="984250" cy="1001666"/>
        </a:xfrm>
        <a:prstGeom prst="rect">
          <a:avLst/>
        </a:prstGeom>
        <a:noFill/>
        <a:ln>
          <a:noFill/>
        </a:ln>
      </xdr:spPr>
    </xdr:pic>
    <xdr:clientData/>
  </xdr:twoCellAnchor>
  <xdr:twoCellAnchor editAs="oneCell">
    <xdr:from>
      <xdr:col>7</xdr:col>
      <xdr:colOff>550069</xdr:colOff>
      <xdr:row>1</xdr:row>
      <xdr:rowOff>238127</xdr:rowOff>
    </xdr:from>
    <xdr:to>
      <xdr:col>8</xdr:col>
      <xdr:colOff>1419511</xdr:colOff>
      <xdr:row>3</xdr:row>
      <xdr:rowOff>162720</xdr:rowOff>
    </xdr:to>
    <xdr:pic>
      <xdr:nvPicPr>
        <xdr:cNvPr id="7" name="Imagen 6">
          <a:extLst>
            <a:ext uri="{FF2B5EF4-FFF2-40B4-BE49-F238E27FC236}">
              <a16:creationId xmlns:a16="http://schemas.microsoft.com/office/drawing/2014/main" id="{F0054C42-18F8-472D-8F69-FB0622FF06C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9420225" y="476252"/>
          <a:ext cx="217913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G7" dT="2026-01-27T21:48:10.39" personId="{00000000-0000-0000-0000-000000000000}" id="{DB96E5C2-5F16-41B4-A9A1-BE48EC99A03D}">
    <text xml:space="preserve">
el Consejo de Facultad de Ingeniería, en sesión del 02 de diciembre de 2025,acta No.044 de 2025, de conformidad con el Acuerdo No. 03 de 2022, decidió aprobar descarga académica durante elsemestre 2026-I al docente José Antonio Valero, por concepto de investigador principal del proyecto de investigación“Segmentación semántica de imágenes digitales de la superficie de la tierra con base en redes neuronalesconvolucionales como insumo para aplicaciones de catastro multipropósito“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Y284165"/>
  <sheetViews>
    <sheetView tabSelected="1" topLeftCell="AR2" zoomScaleNormal="100" workbookViewId="0">
      <selection activeCell="BG12" sqref="BG12"/>
    </sheetView>
  </sheetViews>
  <sheetFormatPr baseColWidth="10" defaultColWidth="11.42578125" defaultRowHeight="15" x14ac:dyDescent="0.25"/>
  <cols>
    <col min="1" max="1" width="3.5703125" style="12" customWidth="1"/>
    <col min="2" max="2" width="27.140625" style="1" customWidth="1"/>
    <col min="3" max="3" width="18.28515625" style="1" customWidth="1"/>
    <col min="4" max="4" width="19.5703125" style="1" customWidth="1"/>
    <col min="5" max="5" width="54.85546875" style="1" bestFit="1" customWidth="1"/>
    <col min="6" max="6" width="15" style="1" bestFit="1" customWidth="1"/>
    <col min="7" max="7" width="23.5703125" style="1" customWidth="1"/>
    <col min="8" max="8" width="19.7109375" style="1" customWidth="1"/>
    <col min="9" max="9" width="29.140625" style="1" customWidth="1"/>
    <col min="10" max="10" width="18.5703125" style="1" customWidth="1"/>
    <col min="11" max="12" width="20.140625" style="1" customWidth="1"/>
    <col min="13" max="14" width="20" style="1" customWidth="1"/>
    <col min="15" max="15" width="20.7109375" style="1" customWidth="1"/>
    <col min="16" max="16" width="17" style="1" bestFit="1" customWidth="1"/>
    <col min="17" max="18" width="20.140625" style="1" customWidth="1"/>
    <col min="19" max="21" width="18.7109375" style="1" customWidth="1"/>
    <col min="22" max="25" width="19.7109375" style="1" customWidth="1"/>
    <col min="26" max="28" width="20.42578125" style="1" customWidth="1"/>
    <col min="29" max="30" width="24.5703125" style="1" customWidth="1"/>
    <col min="31" max="31" width="20.7109375" style="1" customWidth="1"/>
    <col min="32" max="33" width="19.42578125" style="1" customWidth="1"/>
    <col min="34" max="37" width="17.5703125" style="1" customWidth="1"/>
    <col min="38" max="43" width="22" style="1" customWidth="1"/>
    <col min="44" max="44" width="18.28515625" style="1" customWidth="1"/>
    <col min="45" max="46" width="22.42578125" style="1" customWidth="1"/>
    <col min="47" max="48" width="26.85546875" style="1" customWidth="1"/>
    <col min="49" max="49" width="18.42578125" style="1" customWidth="1"/>
    <col min="50" max="50" width="18.5703125" style="1" customWidth="1"/>
    <col min="51" max="51" width="10" style="1" customWidth="1"/>
    <col min="52" max="52" width="12.85546875" style="1" customWidth="1"/>
    <col min="53" max="53" width="18" style="1" customWidth="1"/>
    <col min="54" max="54" width="15.85546875" style="1" customWidth="1"/>
    <col min="55" max="55" width="16.140625" style="1" customWidth="1"/>
    <col min="56" max="56" width="12.140625" style="1" customWidth="1"/>
    <col min="57" max="57" width="30.85546875" style="1" bestFit="1" customWidth="1"/>
    <col min="58" max="58" width="12.42578125" style="1" bestFit="1" customWidth="1"/>
    <col min="59" max="59" width="23.7109375" style="1" bestFit="1" customWidth="1"/>
    <col min="60" max="60" width="19.28515625" style="1" customWidth="1"/>
    <col min="61" max="61" width="16.85546875" style="1" customWidth="1"/>
    <col min="62" max="62" width="15.5703125" style="1" customWidth="1"/>
    <col min="63" max="63" width="19.7109375" style="1" customWidth="1"/>
    <col min="64" max="64" width="20.28515625" style="1" customWidth="1"/>
    <col min="65" max="65" width="17" style="12" customWidth="1"/>
    <col min="66" max="66" width="18" style="12" customWidth="1"/>
    <col min="67" max="67" width="18.5703125" style="12" customWidth="1"/>
    <col min="68" max="68" width="18.42578125" style="12" customWidth="1"/>
    <col min="69" max="69" width="17.7109375" style="12" customWidth="1"/>
    <col min="70" max="70" width="18.28515625" style="12" customWidth="1"/>
    <col min="71" max="71" width="18" style="12" customWidth="1"/>
    <col min="72" max="72" width="17" style="12" customWidth="1"/>
    <col min="73" max="81" width="22.7109375" style="12" customWidth="1"/>
    <col min="82" max="91" width="21.5703125" style="12" customWidth="1"/>
    <col min="92" max="99" width="19.140625" style="12" customWidth="1"/>
    <col min="100" max="100" width="28.42578125" style="12" customWidth="1"/>
    <col min="101" max="101" width="15.85546875" style="12" customWidth="1"/>
    <col min="102" max="16384" width="11.42578125" style="12"/>
  </cols>
  <sheetData>
    <row r="1" spans="2:103" ht="18.75" customHeight="1" x14ac:dyDescent="0.25">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row>
    <row r="2" spans="2:103" ht="34.5" customHeight="1" x14ac:dyDescent="0.25">
      <c r="B2" s="42"/>
      <c r="C2" s="40" t="s">
        <v>0</v>
      </c>
      <c r="D2" s="41"/>
      <c r="E2" s="41"/>
      <c r="F2" s="41"/>
      <c r="G2" s="14" t="s">
        <v>1</v>
      </c>
      <c r="H2" s="44"/>
      <c r="I2" s="45"/>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3" t="s">
        <v>2</v>
      </c>
      <c r="AV2" s="13"/>
      <c r="AW2" s="12"/>
      <c r="AX2" s="12"/>
      <c r="AY2" s="12"/>
      <c r="AZ2" s="12"/>
      <c r="BA2" s="12"/>
      <c r="BB2" s="12"/>
      <c r="BC2" s="12"/>
      <c r="BD2" s="12"/>
      <c r="BE2" s="12"/>
      <c r="BF2" s="12"/>
      <c r="BG2" s="12"/>
      <c r="BH2" s="12"/>
      <c r="BI2" s="12"/>
      <c r="BJ2" s="12"/>
      <c r="BK2" s="12"/>
      <c r="BL2" s="12"/>
    </row>
    <row r="3" spans="2:103" ht="26.25" customHeight="1" x14ac:dyDescent="0.25">
      <c r="B3" s="42"/>
      <c r="C3" s="43" t="s">
        <v>3</v>
      </c>
      <c r="D3" s="43"/>
      <c r="E3" s="43"/>
      <c r="F3" s="43"/>
      <c r="G3" s="14" t="s">
        <v>4</v>
      </c>
      <c r="H3" s="46"/>
      <c r="I3" s="47"/>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3" t="s">
        <v>5</v>
      </c>
      <c r="AV3" s="13"/>
      <c r="AW3" s="12"/>
      <c r="AX3" s="12"/>
      <c r="AY3" s="12"/>
      <c r="AZ3" s="12"/>
      <c r="BA3" s="12"/>
      <c r="BB3" s="12"/>
      <c r="BC3" s="12"/>
      <c r="BD3" s="12"/>
      <c r="BE3" s="12"/>
      <c r="BF3" s="12"/>
      <c r="BG3" s="12"/>
      <c r="BH3" s="12"/>
      <c r="BI3" s="12"/>
      <c r="BJ3" s="12"/>
      <c r="BK3" s="12"/>
      <c r="BL3" s="12"/>
    </row>
    <row r="4" spans="2:103" ht="26.25" customHeight="1" thickBot="1" x14ac:dyDescent="0.3">
      <c r="B4" s="42"/>
      <c r="C4" s="43" t="s">
        <v>6</v>
      </c>
      <c r="D4" s="43"/>
      <c r="E4" s="43"/>
      <c r="F4" s="43"/>
      <c r="G4" s="14" t="s">
        <v>7</v>
      </c>
      <c r="H4" s="48"/>
      <c r="I4" s="49"/>
      <c r="K4" s="15"/>
      <c r="L4" s="15"/>
      <c r="M4" s="15"/>
      <c r="N4" s="15"/>
      <c r="O4" s="15"/>
      <c r="P4" s="15"/>
      <c r="Q4" s="15"/>
      <c r="R4" s="15"/>
      <c r="S4" s="15"/>
      <c r="T4" s="15"/>
      <c r="U4" s="15"/>
      <c r="V4" s="15"/>
      <c r="W4" s="15"/>
      <c r="X4" s="15"/>
      <c r="Y4" s="15"/>
      <c r="Z4" s="15"/>
      <c r="AA4" s="15"/>
      <c r="AB4" s="15"/>
      <c r="AC4" s="15"/>
      <c r="AD4" s="15"/>
      <c r="AE4" s="39"/>
      <c r="AF4" s="39"/>
      <c r="AG4" s="39"/>
      <c r="AH4" s="39"/>
      <c r="AI4" s="39"/>
      <c r="AJ4" s="39"/>
      <c r="AK4" s="39"/>
      <c r="AL4" s="39"/>
      <c r="AM4" s="39"/>
      <c r="AN4" s="39"/>
      <c r="AO4" s="39"/>
      <c r="AP4" s="39"/>
      <c r="AQ4" s="39"/>
      <c r="AR4" s="39"/>
      <c r="AS4" s="29"/>
      <c r="AT4" s="29"/>
      <c r="AU4" s="29"/>
      <c r="AV4" s="29"/>
      <c r="AW4" s="29"/>
      <c r="AX4" s="15"/>
      <c r="AY4" s="29"/>
      <c r="AZ4" s="29"/>
      <c r="BA4" s="39"/>
      <c r="BB4" s="39"/>
      <c r="BC4" s="39"/>
      <c r="BD4" s="39"/>
      <c r="BE4" s="39"/>
      <c r="BF4" s="21" t="s">
        <v>8</v>
      </c>
      <c r="BG4" s="21"/>
      <c r="BH4" s="21"/>
      <c r="BI4" s="21"/>
      <c r="BJ4" s="21"/>
      <c r="BK4" s="21"/>
      <c r="BL4" s="21"/>
    </row>
    <row r="5" spans="2:103" s="38" customFormat="1" ht="11.25" customHeight="1" thickBot="1" x14ac:dyDescent="0.3"/>
    <row r="6" spans="2:103" s="32" customFormat="1" ht="120.75" thickBot="1" x14ac:dyDescent="0.3">
      <c r="B6" s="31" t="s">
        <v>9</v>
      </c>
      <c r="C6" s="30" t="s">
        <v>10</v>
      </c>
      <c r="D6" s="30" t="s">
        <v>11</v>
      </c>
      <c r="E6" s="30" t="s">
        <v>12</v>
      </c>
      <c r="F6" s="30" t="s">
        <v>13</v>
      </c>
      <c r="G6" s="30" t="s">
        <v>14</v>
      </c>
      <c r="H6" s="30" t="s">
        <v>15</v>
      </c>
      <c r="I6" s="30" t="s">
        <v>16</v>
      </c>
      <c r="J6" s="30" t="s">
        <v>17</v>
      </c>
      <c r="K6" s="30" t="s">
        <v>18</v>
      </c>
      <c r="L6" s="30" t="s">
        <v>19</v>
      </c>
      <c r="M6" s="30" t="s">
        <v>20</v>
      </c>
      <c r="N6" s="30" t="s">
        <v>21</v>
      </c>
      <c r="O6" s="30" t="s">
        <v>22</v>
      </c>
      <c r="P6" s="30" t="s">
        <v>23</v>
      </c>
      <c r="Q6" s="30" t="s">
        <v>24</v>
      </c>
      <c r="R6" s="30" t="s">
        <v>25</v>
      </c>
      <c r="S6" s="30" t="s">
        <v>26</v>
      </c>
      <c r="T6" s="30" t="s">
        <v>27</v>
      </c>
      <c r="U6" s="30" t="s">
        <v>28</v>
      </c>
      <c r="V6" s="30" t="s">
        <v>29</v>
      </c>
      <c r="W6" s="30" t="s">
        <v>30</v>
      </c>
      <c r="X6" s="30" t="s">
        <v>31</v>
      </c>
      <c r="Y6" s="30" t="s">
        <v>32</v>
      </c>
      <c r="Z6" s="30" t="s">
        <v>33</v>
      </c>
      <c r="AA6" s="30" t="s">
        <v>34</v>
      </c>
      <c r="AB6" s="30" t="s">
        <v>35</v>
      </c>
      <c r="AC6" s="30" t="s">
        <v>36</v>
      </c>
      <c r="AD6" s="30" t="s">
        <v>37</v>
      </c>
      <c r="AE6" s="30" t="s">
        <v>38</v>
      </c>
      <c r="AF6" s="30" t="s">
        <v>39</v>
      </c>
      <c r="AG6" s="30" t="s">
        <v>40</v>
      </c>
      <c r="AH6" s="30" t="s">
        <v>41</v>
      </c>
      <c r="AI6" s="30" t="s">
        <v>42</v>
      </c>
      <c r="AJ6" s="30" t="s">
        <v>43</v>
      </c>
      <c r="AK6" s="30" t="s">
        <v>44</v>
      </c>
      <c r="AL6" s="30" t="s">
        <v>45</v>
      </c>
      <c r="AM6" s="30" t="s">
        <v>46</v>
      </c>
      <c r="AN6" s="30" t="s">
        <v>47</v>
      </c>
      <c r="AO6" s="30" t="s">
        <v>48</v>
      </c>
      <c r="AP6" s="30" t="s">
        <v>49</v>
      </c>
      <c r="AQ6" s="30" t="s">
        <v>50</v>
      </c>
      <c r="AR6" s="30" t="s">
        <v>51</v>
      </c>
      <c r="AS6" s="30" t="s">
        <v>52</v>
      </c>
      <c r="AT6" s="30" t="s">
        <v>53</v>
      </c>
      <c r="AU6" s="30" t="s">
        <v>54</v>
      </c>
      <c r="AV6" s="30" t="s">
        <v>55</v>
      </c>
      <c r="AW6" s="30" t="s">
        <v>56</v>
      </c>
      <c r="AX6" s="30" t="s">
        <v>57</v>
      </c>
      <c r="AY6" s="30" t="s">
        <v>58</v>
      </c>
      <c r="AZ6" s="30" t="s">
        <v>59</v>
      </c>
      <c r="BA6" s="30" t="s">
        <v>60</v>
      </c>
      <c r="BB6" s="30" t="s">
        <v>61</v>
      </c>
      <c r="BC6" s="30" t="s">
        <v>62</v>
      </c>
      <c r="BD6" s="30" t="s">
        <v>63</v>
      </c>
      <c r="BE6" s="30" t="s">
        <v>64</v>
      </c>
      <c r="BF6" s="30" t="s">
        <v>65</v>
      </c>
      <c r="BG6" s="30" t="s">
        <v>66</v>
      </c>
      <c r="BH6" s="30" t="s">
        <v>67</v>
      </c>
      <c r="BI6" s="30" t="s">
        <v>68</v>
      </c>
      <c r="BJ6" s="30" t="s">
        <v>69</v>
      </c>
      <c r="BK6" s="30" t="s">
        <v>70</v>
      </c>
      <c r="BL6" s="30" t="s">
        <v>71</v>
      </c>
      <c r="BM6" s="30" t="s">
        <v>20</v>
      </c>
      <c r="BN6" s="30" t="s">
        <v>21</v>
      </c>
      <c r="BO6" s="30" t="s">
        <v>22</v>
      </c>
      <c r="BP6" s="30" t="s">
        <v>23</v>
      </c>
      <c r="BQ6" s="30" t="s">
        <v>24</v>
      </c>
      <c r="BR6" s="30" t="s">
        <v>25</v>
      </c>
      <c r="BS6" s="30" t="s">
        <v>26</v>
      </c>
      <c r="BT6" s="30" t="s">
        <v>28</v>
      </c>
      <c r="BU6" s="30" t="s">
        <v>29</v>
      </c>
      <c r="BV6" s="30" t="s">
        <v>30</v>
      </c>
      <c r="BW6" s="30" t="s">
        <v>31</v>
      </c>
      <c r="BX6" s="30" t="s">
        <v>32</v>
      </c>
      <c r="BY6" s="30" t="s">
        <v>33</v>
      </c>
      <c r="BZ6" s="30" t="s">
        <v>34</v>
      </c>
      <c r="CA6" s="30" t="s">
        <v>36</v>
      </c>
      <c r="CB6" s="30" t="s">
        <v>37</v>
      </c>
      <c r="CC6" s="30" t="s">
        <v>38</v>
      </c>
      <c r="CD6" s="30" t="s">
        <v>39</v>
      </c>
      <c r="CE6" s="30" t="s">
        <v>40</v>
      </c>
      <c r="CF6" s="30" t="s">
        <v>41</v>
      </c>
      <c r="CG6" s="30" t="s">
        <v>42</v>
      </c>
      <c r="CH6" s="30" t="s">
        <v>72</v>
      </c>
      <c r="CI6" s="30" t="s">
        <v>73</v>
      </c>
      <c r="CJ6" s="30" t="s">
        <v>46</v>
      </c>
      <c r="CK6" s="30" t="s">
        <v>47</v>
      </c>
      <c r="CL6" s="30" t="s">
        <v>48</v>
      </c>
      <c r="CM6" s="30" t="s">
        <v>49</v>
      </c>
      <c r="CN6" s="30" t="s">
        <v>51</v>
      </c>
      <c r="CO6" s="30" t="s">
        <v>52</v>
      </c>
      <c r="CP6" s="30" t="s">
        <v>53</v>
      </c>
      <c r="CQ6" s="30" t="s">
        <v>54</v>
      </c>
      <c r="CR6" s="30" t="s">
        <v>55</v>
      </c>
      <c r="CS6" s="30" t="s">
        <v>56</v>
      </c>
      <c r="CT6" s="30" t="s">
        <v>57</v>
      </c>
      <c r="CU6" s="30" t="s">
        <v>50</v>
      </c>
      <c r="CV6" s="30" t="s">
        <v>27</v>
      </c>
      <c r="CW6" s="30" t="s">
        <v>35</v>
      </c>
      <c r="CX6" s="30" t="s">
        <v>18</v>
      </c>
      <c r="CY6" s="30" t="s">
        <v>19</v>
      </c>
    </row>
    <row r="7" spans="2:103" x14ac:dyDescent="0.25">
      <c r="B7" s="16" t="s">
        <v>80</v>
      </c>
      <c r="C7" s="17">
        <v>79390069</v>
      </c>
      <c r="D7" s="17" t="s">
        <v>81</v>
      </c>
      <c r="E7" s="18" t="s">
        <v>82</v>
      </c>
      <c r="F7" s="19">
        <v>2</v>
      </c>
      <c r="G7" s="19">
        <v>4</v>
      </c>
      <c r="H7" s="19"/>
      <c r="I7" s="19"/>
      <c r="J7" s="19"/>
      <c r="K7" s="19"/>
      <c r="L7" s="19"/>
      <c r="M7" s="19"/>
      <c r="N7" s="19"/>
      <c r="O7" s="19"/>
      <c r="P7" s="19"/>
      <c r="Q7" s="19"/>
      <c r="R7" s="19"/>
      <c r="S7" s="19">
        <v>3</v>
      </c>
      <c r="T7" s="19"/>
      <c r="U7" s="19"/>
      <c r="V7" s="19"/>
      <c r="W7" s="19"/>
      <c r="X7" s="19"/>
      <c r="Y7" s="19"/>
      <c r="Z7" s="19"/>
      <c r="AA7" s="19"/>
      <c r="AB7" s="19"/>
      <c r="AC7" s="19">
        <v>2</v>
      </c>
      <c r="AD7" s="19">
        <v>1</v>
      </c>
      <c r="AE7" s="19"/>
      <c r="AF7" s="19"/>
      <c r="AG7" s="19"/>
      <c r="AH7" s="19"/>
      <c r="AI7" s="19">
        <v>2</v>
      </c>
      <c r="AJ7" s="19"/>
      <c r="AK7" s="19"/>
      <c r="AL7" s="19">
        <v>4</v>
      </c>
      <c r="AM7" s="8"/>
      <c r="AN7" s="8">
        <v>14</v>
      </c>
      <c r="AO7" s="8"/>
      <c r="AP7" s="8"/>
      <c r="AQ7" s="8"/>
      <c r="AR7" s="8"/>
      <c r="AS7" s="8"/>
      <c r="AT7" s="8"/>
      <c r="AU7" s="8"/>
      <c r="AV7" s="8"/>
      <c r="AW7" s="8"/>
      <c r="AX7" s="19"/>
      <c r="AY7" s="19">
        <f>SUM(F7:AX7)</f>
        <v>32</v>
      </c>
      <c r="AZ7" s="20">
        <v>8</v>
      </c>
      <c r="BA7" s="20">
        <v>2</v>
      </c>
      <c r="BB7" s="20">
        <v>2</v>
      </c>
      <c r="BC7" s="20"/>
      <c r="BD7" s="20">
        <f>AY7+AZ7</f>
        <v>40</v>
      </c>
      <c r="BE7" s="16"/>
      <c r="BF7" s="16" t="str">
        <f t="shared" ref="BF7:BF38" si="0">IF(BD7=40,"Cumple",IF(BD7&gt;40,"Mas Horas","Menos Horas"))</f>
        <v>Cumple</v>
      </c>
      <c r="BG7" s="16" t="str">
        <f t="shared" ref="BG7:BG38" si="1">IF(BA7=1,IF(AZ7&gt;18,"Exceso Carga Lectiva",IF(AZ7&lt;16,"Carga Lectiva Insuficiente","Cumple")),IF(AZ7&gt;14,"Exceso Carga Lectiva",IF(AZ7&lt;12,"Carga Lectiva Insuficiente","Cumple")))</f>
        <v>Carga Lectiva Insuficiente</v>
      </c>
      <c r="BH7" s="16" t="str">
        <f t="shared" ref="BH7:BH38" si="2">IF(AL7&gt;(AZ7/2),"Exceso Horas","Cumple")</f>
        <v>Cumple</v>
      </c>
      <c r="BI7" s="16" t="str">
        <f t="shared" ref="BI7:BI38" si="3">IF(F7&gt;8,"Exceso Horas","Cumple")</f>
        <v>Cumple</v>
      </c>
      <c r="BJ7" s="16" t="str">
        <f t="shared" ref="BJ7:BJ38" si="4">IF(G7&gt;4,"Exceso Horas","Cumple")</f>
        <v>Cumple</v>
      </c>
      <c r="BK7" s="16" t="str">
        <f t="shared" ref="BK7:BK38" si="5">IF(H7=0,"N/A",IF(H7&gt;8,"Exceso Horas","Cumple"))</f>
        <v>N/A</v>
      </c>
      <c r="BL7" s="16" t="str">
        <f t="shared" ref="BL7:BL38" si="6">IF(J7=0,"N/A",IF(J7&gt;2,"Exceso Horas","Cumple"))</f>
        <v>N/A</v>
      </c>
      <c r="BM7" s="16" t="str">
        <f t="shared" ref="BM7:BM38" si="7">IF(M7=0,"N/A",IF(M7&gt;20,"Exceso Horas","Cumple"))</f>
        <v>N/A</v>
      </c>
      <c r="BN7" s="16" t="str">
        <f t="shared" ref="BN7:BN38" si="8">IF(N7=0,"N/A",IF(N7&gt;20,"Exceso Horas","Cumple"))</f>
        <v>N/A</v>
      </c>
      <c r="BO7" s="16" t="str">
        <f t="shared" ref="BO7:BO38" si="9">IF(O7=0,"N/A",IF(O7&gt;20,"Exceso Horas","Cumple"))</f>
        <v>N/A</v>
      </c>
      <c r="BP7" s="16" t="str">
        <f t="shared" ref="BP7:BP38" si="10">IF(P7=0,"N/A",IF(P7&gt;20,"Exceso Horas","Cumple"))</f>
        <v>N/A</v>
      </c>
      <c r="BQ7" s="16" t="str">
        <f t="shared" ref="BQ7:BQ38" si="11">IF(Q7=0,"N/A",IF(Q7&gt;20,"Exceso Horas","Cumple"))</f>
        <v>N/A</v>
      </c>
      <c r="BR7" s="16" t="str">
        <f t="shared" ref="BR7:BR38" si="12">IF(R7=0,"N/A",IF(R7&gt;20,"Exceso Horas","Cumple"))</f>
        <v>N/A</v>
      </c>
      <c r="BS7" s="16" t="str">
        <f t="shared" ref="BS7:BS38" si="13">IF(S7=0,"N/A",IF(S7&gt;8,"Exceso Horas","Cumple"))</f>
        <v>Cumple</v>
      </c>
      <c r="BT7" s="16" t="str">
        <f t="shared" ref="BT7:BT38" si="14">IF(U7=0,"N/A",IF(U7&gt;2,"Exceso Horas","Cumple"))</f>
        <v>N/A</v>
      </c>
      <c r="BU7" s="16" t="str">
        <f t="shared" ref="BU7:BU38" si="15">IF(V7=0,"N/A",IF(V7&gt;12,"Exceso Horas","Cumple"))</f>
        <v>N/A</v>
      </c>
      <c r="BV7" s="16" t="str">
        <f t="shared" ref="BV7:BV38" si="16">IF(W7=0,"N/A",IF(W7&gt;12,"Exceso Horas","Cumple"))</f>
        <v>N/A</v>
      </c>
      <c r="BW7" s="16" t="str">
        <f t="shared" ref="BW7:BW38" si="17">IF(X7=0,"N/A",IF(X7&gt;4,"Exceso Horas","Cumple"))</f>
        <v>N/A</v>
      </c>
      <c r="BX7" s="16" t="str">
        <f t="shared" ref="BX7:BX38" si="18">IF(Y7=0,"N/A",IF(Y7&gt;2,"Exceso Horas","Cumple"))</f>
        <v>N/A</v>
      </c>
      <c r="BY7" s="16" t="str">
        <f t="shared" ref="BY7:BY38" si="19">IF(Z7=0,"N/A",IF(Z7&gt;10,"Exceso Horas","Cumple"))</f>
        <v>N/A</v>
      </c>
      <c r="BZ7" s="16" t="str">
        <f t="shared" ref="BZ7:BZ38" si="20">IF(AA7=0,"N/A",IF(AA7&gt;8,"Exceso Horas","Cumple"))</f>
        <v>N/A</v>
      </c>
      <c r="CA7" s="16" t="str">
        <f t="shared" ref="CA7:CA38" si="21">IF(AC7=0,"N/A",IF(AC7&gt;4,"Exceso Horas","Cumple"))</f>
        <v>Cumple</v>
      </c>
      <c r="CB7" s="16" t="str">
        <f t="shared" ref="CB7:CB38" si="22">IF(AD7=0,"N/A",IF(AD7&gt;8,"Exceso Horas","Cumple"))</f>
        <v>Cumple</v>
      </c>
      <c r="CC7" s="16" t="str">
        <f t="shared" ref="CC7:CC38" si="23">IF(AE7=0,"N/A",IF(AE7&gt;2,"Exceso Horas","Cumple"))</f>
        <v>N/A</v>
      </c>
      <c r="CD7" s="16" t="str">
        <f t="shared" ref="CD7:CD38" si="24">IF(AF7=0,"N/A",IF(AF7&gt;2,"Exceso Horas","Cumple"))</f>
        <v>N/A</v>
      </c>
      <c r="CE7" s="16" t="str">
        <f t="shared" ref="CE7:CE38" si="25">IF(AG7=0,"N/A",IF(AG7&gt;2,"Exceso Horas","Cumple"))</f>
        <v>N/A</v>
      </c>
      <c r="CF7" s="16" t="str">
        <f t="shared" ref="CF7:CF38" si="26">IF(AH7=0,"N/A",IF(AH7&gt;2,"Exceso Horas","Cumple"))</f>
        <v>N/A</v>
      </c>
      <c r="CG7" s="16" t="str">
        <f t="shared" ref="CG7:CG38" si="27">IF(AI7=0,"N/A",IF(AI7&gt;2,"Exceso Horas","Cumple"))</f>
        <v>Cumple</v>
      </c>
      <c r="CH7" s="16" t="str">
        <f t="shared" ref="CH7:CH38" si="28">IF(AJ7=0,"N/A",IF(AJ7&gt;4,"Exceso Horas","Cumple"))</f>
        <v>N/A</v>
      </c>
      <c r="CI7" s="16" t="str">
        <f t="shared" ref="CI7:CI38" si="29">IF(AK7=0,"N/A",IF(AK7&gt;4,"Exceso Horas","Cumple"))</f>
        <v>N/A</v>
      </c>
      <c r="CJ7" s="16" t="str">
        <f t="shared" ref="CJ7:CJ38" si="30">IF(AM7=0,"N/A",IF(AM7&gt;4,"Exceso Horas","Cumple"))</f>
        <v>N/A</v>
      </c>
      <c r="CK7" s="16" t="str">
        <f t="shared" ref="CK7:CK38" si="31">IF(AN7=0,"N/A",IF(AN7&gt;14,"Exceso Horas","Cumple"))</f>
        <v>Cumple</v>
      </c>
      <c r="CL7" s="16" t="str">
        <f t="shared" ref="CL7:CL38" si="32">IF(AO7=0,"N/A",IF(A7&gt;10,"Exceso Horas","Cumple"))</f>
        <v>N/A</v>
      </c>
      <c r="CM7" s="16" t="str">
        <f t="shared" ref="CM7:CM38" si="33">IF(AP7=0,"N/A",IF(AP7&gt;6,"Exceso Horas","Cumple"))</f>
        <v>N/A</v>
      </c>
      <c r="CN7" s="16" t="str">
        <f t="shared" ref="CN7:CN38" si="34">IF(AR7=0,"N/A",IF(AR7&gt;4,"Exceso Horas","Cumple"))</f>
        <v>N/A</v>
      </c>
      <c r="CO7" s="16" t="str">
        <f t="shared" ref="CO7:CO38" si="35">IF(AS7=0,"N/A",IF(AS7&gt;8,"Exceso Horas","Cumple"))</f>
        <v>N/A</v>
      </c>
      <c r="CP7" s="16" t="str">
        <f t="shared" ref="CP7:CP38" si="36">IF(AT7=0,"N/A",IF(AT7&gt;4,"Exceso Horas","Cumple"))</f>
        <v>N/A</v>
      </c>
      <c r="CQ7" s="16" t="str">
        <f t="shared" ref="CQ7:CQ38" si="37">IF(AU7=0,"N/A",IF(AU7&gt;4,"Exceso Horas","Cumple"))</f>
        <v>N/A</v>
      </c>
      <c r="CR7" s="16" t="str">
        <f t="shared" ref="CR7:CR38" si="38">IF(AV7=0,"N/A",IF(AV7&gt;8,"Exceso Horas","Cumple"))</f>
        <v>N/A</v>
      </c>
      <c r="CS7" s="16" t="str">
        <f t="shared" ref="CS7:CS38" si="39">IF(AW7=0,"N/A",IF(AW7&gt;2,"Exceso Horas","Cumple"))</f>
        <v>N/A</v>
      </c>
      <c r="CT7" s="16" t="str">
        <f t="shared" ref="CT7:CT38" si="40">IF(AX7=0,"N/A",IF(AX7&gt;4,"Exceso Horas","Cumple"))</f>
        <v>N/A</v>
      </c>
      <c r="CU7" s="16" t="str">
        <f>IF(AD7=0,"N/A",IF(AY7&gt;40,"Exceso Horas","Cumple"))</f>
        <v>Cumple</v>
      </c>
      <c r="CV7" s="16" t="str">
        <f>IF(AE7=0,"N/A",IF(AZ7&gt;40,"Exceso Horas","Cumple"))</f>
        <v>N/A</v>
      </c>
      <c r="CW7" s="16" t="str">
        <f>IF(AF7=0,"N/A",IF(BA7&gt;40,"Exceso Horas","Cumple"))</f>
        <v>N/A</v>
      </c>
      <c r="CX7" s="16" t="str">
        <f>IF(AG7=0,"N/A",IF(K7&gt;40,"Exceso Horas","Cumple"))</f>
        <v>N/A</v>
      </c>
      <c r="CY7" s="16" t="str">
        <f>IF(AH7=0,"N/A",IF(L7&gt;40,"Exceso Horas","Cumple"))</f>
        <v>N/A</v>
      </c>
    </row>
    <row r="8" spans="2:103" x14ac:dyDescent="0.25">
      <c r="B8" s="2"/>
      <c r="C8" s="6"/>
      <c r="D8" s="6"/>
      <c r="E8" s="7"/>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5"/>
      <c r="BA8" s="5"/>
      <c r="BB8" s="5"/>
      <c r="BC8" s="5"/>
      <c r="BD8" s="5">
        <f t="shared" ref="BD8:BD38" si="41">AY8+AZ8</f>
        <v>0</v>
      </c>
      <c r="BE8" s="2"/>
      <c r="BF8" s="2" t="str">
        <f t="shared" si="0"/>
        <v>Menos Horas</v>
      </c>
      <c r="BG8" s="2" t="str">
        <f t="shared" si="1"/>
        <v>Carga Lectiva Insuficiente</v>
      </c>
      <c r="BH8" s="16" t="str">
        <f t="shared" si="2"/>
        <v>Cumple</v>
      </c>
      <c r="BI8" s="2" t="str">
        <f t="shared" si="3"/>
        <v>Cumple</v>
      </c>
      <c r="BJ8" s="16" t="str">
        <f t="shared" si="4"/>
        <v>Cumple</v>
      </c>
      <c r="BK8" s="16" t="str">
        <f t="shared" si="5"/>
        <v>N/A</v>
      </c>
      <c r="BL8" s="16" t="str">
        <f t="shared" si="6"/>
        <v>N/A</v>
      </c>
      <c r="BM8" s="16" t="str">
        <f t="shared" si="7"/>
        <v>N/A</v>
      </c>
      <c r="BN8" s="16" t="str">
        <f t="shared" si="8"/>
        <v>N/A</v>
      </c>
      <c r="BO8" s="16" t="str">
        <f t="shared" si="9"/>
        <v>N/A</v>
      </c>
      <c r="BP8" s="16" t="str">
        <f t="shared" si="10"/>
        <v>N/A</v>
      </c>
      <c r="BQ8" s="16" t="str">
        <f t="shared" si="11"/>
        <v>N/A</v>
      </c>
      <c r="BR8" s="16" t="str">
        <f t="shared" si="12"/>
        <v>N/A</v>
      </c>
      <c r="BS8" s="16" t="str">
        <f t="shared" si="13"/>
        <v>N/A</v>
      </c>
      <c r="BT8" s="16" t="str">
        <f t="shared" si="14"/>
        <v>N/A</v>
      </c>
      <c r="BU8" s="16" t="str">
        <f t="shared" si="15"/>
        <v>N/A</v>
      </c>
      <c r="BV8" s="16" t="str">
        <f t="shared" si="16"/>
        <v>N/A</v>
      </c>
      <c r="BW8" s="16" t="str">
        <f t="shared" si="17"/>
        <v>N/A</v>
      </c>
      <c r="BX8" s="16" t="str">
        <f t="shared" si="18"/>
        <v>N/A</v>
      </c>
      <c r="BY8" s="16" t="str">
        <f t="shared" si="19"/>
        <v>N/A</v>
      </c>
      <c r="BZ8" s="16" t="str">
        <f t="shared" si="20"/>
        <v>N/A</v>
      </c>
      <c r="CA8" s="16" t="str">
        <f t="shared" si="21"/>
        <v>N/A</v>
      </c>
      <c r="CB8" s="16" t="str">
        <f t="shared" si="22"/>
        <v>N/A</v>
      </c>
      <c r="CC8" s="16" t="str">
        <f t="shared" si="23"/>
        <v>N/A</v>
      </c>
      <c r="CD8" s="16" t="str">
        <f t="shared" si="24"/>
        <v>N/A</v>
      </c>
      <c r="CE8" s="16" t="str">
        <f t="shared" si="25"/>
        <v>N/A</v>
      </c>
      <c r="CF8" s="16" t="str">
        <f t="shared" si="26"/>
        <v>N/A</v>
      </c>
      <c r="CG8" s="16" t="str">
        <f t="shared" si="27"/>
        <v>N/A</v>
      </c>
      <c r="CH8" s="16" t="str">
        <f t="shared" si="28"/>
        <v>N/A</v>
      </c>
      <c r="CI8" s="16" t="str">
        <f t="shared" si="29"/>
        <v>N/A</v>
      </c>
      <c r="CJ8" s="16" t="str">
        <f t="shared" si="30"/>
        <v>N/A</v>
      </c>
      <c r="CK8" s="16" t="str">
        <f t="shared" si="31"/>
        <v>N/A</v>
      </c>
      <c r="CL8" s="16" t="str">
        <f t="shared" si="32"/>
        <v>N/A</v>
      </c>
      <c r="CM8" s="16" t="str">
        <f t="shared" si="33"/>
        <v>N/A</v>
      </c>
      <c r="CN8" s="16" t="str">
        <f t="shared" si="34"/>
        <v>N/A</v>
      </c>
      <c r="CO8" s="16" t="str">
        <f t="shared" si="35"/>
        <v>N/A</v>
      </c>
      <c r="CP8" s="16" t="str">
        <f t="shared" si="36"/>
        <v>N/A</v>
      </c>
      <c r="CQ8" s="16" t="str">
        <f t="shared" si="37"/>
        <v>N/A</v>
      </c>
      <c r="CR8" s="16" t="str">
        <f t="shared" si="38"/>
        <v>N/A</v>
      </c>
      <c r="CS8" s="16" t="str">
        <f t="shared" si="39"/>
        <v>N/A</v>
      </c>
      <c r="CT8" s="16" t="str">
        <f t="shared" si="40"/>
        <v>N/A</v>
      </c>
      <c r="CU8" s="16" t="str">
        <f t="shared" ref="CU8:CU71" si="42">IF(AD8=0,"N/A",IF(AY8&gt;40,"Exceso Horas","Cumple"))</f>
        <v>N/A</v>
      </c>
      <c r="CV8" s="16" t="str">
        <f t="shared" ref="CV8:CV71" si="43">IF(AE8=0,"N/A",IF(AZ8&gt;40,"Exceso Horas","Cumple"))</f>
        <v>N/A</v>
      </c>
      <c r="CW8" s="16" t="str">
        <f t="shared" ref="CW8:CW71" si="44">IF(AF8=0,"N/A",IF(BA8&gt;40,"Exceso Horas","Cumple"))</f>
        <v>N/A</v>
      </c>
      <c r="CX8" s="16" t="str">
        <f t="shared" ref="CX8:CX71" si="45">IF(AG8=0,"N/A",IF(K8&gt;40,"Exceso Horas","Cumple"))</f>
        <v>N/A</v>
      </c>
      <c r="CY8" s="16" t="str">
        <f t="shared" ref="CY8:CY71" si="46">IF(AH8=0,"N/A",IF(L8&gt;40,"Exceso Horas","Cumple"))</f>
        <v>N/A</v>
      </c>
    </row>
    <row r="9" spans="2:103" x14ac:dyDescent="0.25">
      <c r="B9" s="2"/>
      <c r="C9" s="6"/>
      <c r="D9" s="6"/>
      <c r="E9" s="7"/>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5"/>
      <c r="BA9" s="5"/>
      <c r="BB9" s="5"/>
      <c r="BC9" s="5"/>
      <c r="BD9" s="5">
        <f t="shared" si="41"/>
        <v>0</v>
      </c>
      <c r="BE9" s="2"/>
      <c r="BF9" s="2" t="str">
        <f t="shared" si="0"/>
        <v>Menos Horas</v>
      </c>
      <c r="BG9" s="2" t="str">
        <f t="shared" si="1"/>
        <v>Carga Lectiva Insuficiente</v>
      </c>
      <c r="BH9" s="16" t="str">
        <f t="shared" si="2"/>
        <v>Cumple</v>
      </c>
      <c r="BI9" s="2" t="str">
        <f t="shared" si="3"/>
        <v>Cumple</v>
      </c>
      <c r="BJ9" s="16" t="str">
        <f t="shared" si="4"/>
        <v>Cumple</v>
      </c>
      <c r="BK9" s="16" t="str">
        <f t="shared" si="5"/>
        <v>N/A</v>
      </c>
      <c r="BL9" s="16" t="str">
        <f t="shared" si="6"/>
        <v>N/A</v>
      </c>
      <c r="BM9" s="16" t="str">
        <f t="shared" si="7"/>
        <v>N/A</v>
      </c>
      <c r="BN9" s="16" t="str">
        <f t="shared" si="8"/>
        <v>N/A</v>
      </c>
      <c r="BO9" s="16" t="str">
        <f t="shared" si="9"/>
        <v>N/A</v>
      </c>
      <c r="BP9" s="16" t="str">
        <f t="shared" si="10"/>
        <v>N/A</v>
      </c>
      <c r="BQ9" s="16" t="str">
        <f t="shared" si="11"/>
        <v>N/A</v>
      </c>
      <c r="BR9" s="16" t="str">
        <f t="shared" si="12"/>
        <v>N/A</v>
      </c>
      <c r="BS9" s="16" t="str">
        <f t="shared" si="13"/>
        <v>N/A</v>
      </c>
      <c r="BT9" s="16" t="str">
        <f t="shared" si="14"/>
        <v>N/A</v>
      </c>
      <c r="BU9" s="16" t="str">
        <f t="shared" si="15"/>
        <v>N/A</v>
      </c>
      <c r="BV9" s="16" t="str">
        <f t="shared" si="16"/>
        <v>N/A</v>
      </c>
      <c r="BW9" s="16" t="str">
        <f t="shared" si="17"/>
        <v>N/A</v>
      </c>
      <c r="BX9" s="16" t="str">
        <f t="shared" si="18"/>
        <v>N/A</v>
      </c>
      <c r="BY9" s="16" t="str">
        <f t="shared" si="19"/>
        <v>N/A</v>
      </c>
      <c r="BZ9" s="16" t="str">
        <f t="shared" si="20"/>
        <v>N/A</v>
      </c>
      <c r="CA9" s="16" t="str">
        <f t="shared" si="21"/>
        <v>N/A</v>
      </c>
      <c r="CB9" s="16" t="str">
        <f t="shared" si="22"/>
        <v>N/A</v>
      </c>
      <c r="CC9" s="16" t="str">
        <f t="shared" si="23"/>
        <v>N/A</v>
      </c>
      <c r="CD9" s="16" t="str">
        <f t="shared" si="24"/>
        <v>N/A</v>
      </c>
      <c r="CE9" s="16" t="str">
        <f t="shared" si="25"/>
        <v>N/A</v>
      </c>
      <c r="CF9" s="16" t="str">
        <f t="shared" si="26"/>
        <v>N/A</v>
      </c>
      <c r="CG9" s="16" t="str">
        <f t="shared" si="27"/>
        <v>N/A</v>
      </c>
      <c r="CH9" s="16" t="str">
        <f t="shared" si="28"/>
        <v>N/A</v>
      </c>
      <c r="CI9" s="16" t="str">
        <f t="shared" si="29"/>
        <v>N/A</v>
      </c>
      <c r="CJ9" s="16" t="str">
        <f t="shared" si="30"/>
        <v>N/A</v>
      </c>
      <c r="CK9" s="16" t="str">
        <f t="shared" si="31"/>
        <v>N/A</v>
      </c>
      <c r="CL9" s="16" t="str">
        <f t="shared" si="32"/>
        <v>N/A</v>
      </c>
      <c r="CM9" s="16" t="str">
        <f t="shared" si="33"/>
        <v>N/A</v>
      </c>
      <c r="CN9" s="16" t="str">
        <f t="shared" si="34"/>
        <v>N/A</v>
      </c>
      <c r="CO9" s="16" t="str">
        <f t="shared" si="35"/>
        <v>N/A</v>
      </c>
      <c r="CP9" s="16" t="str">
        <f t="shared" si="36"/>
        <v>N/A</v>
      </c>
      <c r="CQ9" s="16" t="str">
        <f t="shared" si="37"/>
        <v>N/A</v>
      </c>
      <c r="CR9" s="16" t="str">
        <f t="shared" si="38"/>
        <v>N/A</v>
      </c>
      <c r="CS9" s="16" t="str">
        <f t="shared" si="39"/>
        <v>N/A</v>
      </c>
      <c r="CT9" s="16" t="str">
        <f t="shared" si="40"/>
        <v>N/A</v>
      </c>
      <c r="CU9" s="16" t="str">
        <f t="shared" si="42"/>
        <v>N/A</v>
      </c>
      <c r="CV9" s="16" t="str">
        <f t="shared" si="43"/>
        <v>N/A</v>
      </c>
      <c r="CW9" s="16" t="str">
        <f t="shared" si="44"/>
        <v>N/A</v>
      </c>
      <c r="CX9" s="16" t="str">
        <f t="shared" si="45"/>
        <v>N/A</v>
      </c>
      <c r="CY9" s="16" t="str">
        <f t="shared" si="46"/>
        <v>N/A</v>
      </c>
    </row>
    <row r="10" spans="2:103" x14ac:dyDescent="0.25">
      <c r="B10" s="2"/>
      <c r="C10" s="6"/>
      <c r="D10" s="6"/>
      <c r="E10" s="7"/>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5"/>
      <c r="BA10" s="5"/>
      <c r="BB10" s="5"/>
      <c r="BC10" s="5"/>
      <c r="BD10" s="5">
        <f t="shared" si="41"/>
        <v>0</v>
      </c>
      <c r="BE10" s="2"/>
      <c r="BF10" s="2" t="str">
        <f t="shared" si="0"/>
        <v>Menos Horas</v>
      </c>
      <c r="BG10" s="2" t="str">
        <f t="shared" si="1"/>
        <v>Carga Lectiva Insuficiente</v>
      </c>
      <c r="BH10" s="16" t="str">
        <f t="shared" si="2"/>
        <v>Cumple</v>
      </c>
      <c r="BI10" s="2" t="str">
        <f t="shared" si="3"/>
        <v>Cumple</v>
      </c>
      <c r="BJ10" s="16" t="str">
        <f t="shared" si="4"/>
        <v>Cumple</v>
      </c>
      <c r="BK10" s="16" t="str">
        <f t="shared" si="5"/>
        <v>N/A</v>
      </c>
      <c r="BL10" s="16" t="str">
        <f t="shared" si="6"/>
        <v>N/A</v>
      </c>
      <c r="BM10" s="16" t="str">
        <f t="shared" si="7"/>
        <v>N/A</v>
      </c>
      <c r="BN10" s="16" t="str">
        <f t="shared" si="8"/>
        <v>N/A</v>
      </c>
      <c r="BO10" s="16" t="str">
        <f t="shared" si="9"/>
        <v>N/A</v>
      </c>
      <c r="BP10" s="16" t="str">
        <f t="shared" si="10"/>
        <v>N/A</v>
      </c>
      <c r="BQ10" s="16" t="str">
        <f t="shared" si="11"/>
        <v>N/A</v>
      </c>
      <c r="BR10" s="16" t="str">
        <f t="shared" si="12"/>
        <v>N/A</v>
      </c>
      <c r="BS10" s="16" t="str">
        <f t="shared" si="13"/>
        <v>N/A</v>
      </c>
      <c r="BT10" s="16" t="str">
        <f t="shared" si="14"/>
        <v>N/A</v>
      </c>
      <c r="BU10" s="16" t="str">
        <f t="shared" si="15"/>
        <v>N/A</v>
      </c>
      <c r="BV10" s="16" t="str">
        <f t="shared" si="16"/>
        <v>N/A</v>
      </c>
      <c r="BW10" s="16" t="str">
        <f t="shared" si="17"/>
        <v>N/A</v>
      </c>
      <c r="BX10" s="16" t="str">
        <f t="shared" si="18"/>
        <v>N/A</v>
      </c>
      <c r="BY10" s="16" t="str">
        <f t="shared" si="19"/>
        <v>N/A</v>
      </c>
      <c r="BZ10" s="16" t="str">
        <f t="shared" si="20"/>
        <v>N/A</v>
      </c>
      <c r="CA10" s="16" t="str">
        <f t="shared" si="21"/>
        <v>N/A</v>
      </c>
      <c r="CB10" s="16" t="str">
        <f t="shared" si="22"/>
        <v>N/A</v>
      </c>
      <c r="CC10" s="16" t="str">
        <f t="shared" si="23"/>
        <v>N/A</v>
      </c>
      <c r="CD10" s="16" t="str">
        <f t="shared" si="24"/>
        <v>N/A</v>
      </c>
      <c r="CE10" s="16" t="str">
        <f t="shared" si="25"/>
        <v>N/A</v>
      </c>
      <c r="CF10" s="16" t="str">
        <f t="shared" si="26"/>
        <v>N/A</v>
      </c>
      <c r="CG10" s="16" t="str">
        <f t="shared" si="27"/>
        <v>N/A</v>
      </c>
      <c r="CH10" s="16" t="str">
        <f t="shared" si="28"/>
        <v>N/A</v>
      </c>
      <c r="CI10" s="16" t="str">
        <f t="shared" si="29"/>
        <v>N/A</v>
      </c>
      <c r="CJ10" s="16" t="str">
        <f t="shared" si="30"/>
        <v>N/A</v>
      </c>
      <c r="CK10" s="16" t="str">
        <f t="shared" si="31"/>
        <v>N/A</v>
      </c>
      <c r="CL10" s="16" t="str">
        <f t="shared" si="32"/>
        <v>N/A</v>
      </c>
      <c r="CM10" s="16" t="str">
        <f t="shared" si="33"/>
        <v>N/A</v>
      </c>
      <c r="CN10" s="16" t="str">
        <f t="shared" si="34"/>
        <v>N/A</v>
      </c>
      <c r="CO10" s="16" t="str">
        <f t="shared" si="35"/>
        <v>N/A</v>
      </c>
      <c r="CP10" s="16" t="str">
        <f t="shared" si="36"/>
        <v>N/A</v>
      </c>
      <c r="CQ10" s="16" t="str">
        <f t="shared" si="37"/>
        <v>N/A</v>
      </c>
      <c r="CR10" s="16" t="str">
        <f t="shared" si="38"/>
        <v>N/A</v>
      </c>
      <c r="CS10" s="16" t="str">
        <f t="shared" si="39"/>
        <v>N/A</v>
      </c>
      <c r="CT10" s="16" t="str">
        <f t="shared" si="40"/>
        <v>N/A</v>
      </c>
      <c r="CU10" s="16" t="str">
        <f t="shared" si="42"/>
        <v>N/A</v>
      </c>
      <c r="CV10" s="16" t="str">
        <f t="shared" si="43"/>
        <v>N/A</v>
      </c>
      <c r="CW10" s="16" t="str">
        <f t="shared" si="44"/>
        <v>N/A</v>
      </c>
      <c r="CX10" s="16" t="str">
        <f t="shared" si="45"/>
        <v>N/A</v>
      </c>
      <c r="CY10" s="16" t="str">
        <f t="shared" si="46"/>
        <v>N/A</v>
      </c>
    </row>
    <row r="11" spans="2:103" x14ac:dyDescent="0.25">
      <c r="B11" s="2"/>
      <c r="C11" s="6"/>
      <c r="D11" s="6"/>
      <c r="E11" s="7"/>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5"/>
      <c r="BA11" s="5"/>
      <c r="BB11" s="5"/>
      <c r="BC11" s="5"/>
      <c r="BD11" s="5">
        <f t="shared" si="41"/>
        <v>0</v>
      </c>
      <c r="BE11" s="2"/>
      <c r="BF11" s="2" t="str">
        <f t="shared" si="0"/>
        <v>Menos Horas</v>
      </c>
      <c r="BG11" s="2" t="str">
        <f t="shared" si="1"/>
        <v>Carga Lectiva Insuficiente</v>
      </c>
      <c r="BH11" s="16" t="str">
        <f t="shared" si="2"/>
        <v>Cumple</v>
      </c>
      <c r="BI11" s="2" t="str">
        <f t="shared" si="3"/>
        <v>Cumple</v>
      </c>
      <c r="BJ11" s="16" t="str">
        <f t="shared" si="4"/>
        <v>Cumple</v>
      </c>
      <c r="BK11" s="16" t="str">
        <f t="shared" si="5"/>
        <v>N/A</v>
      </c>
      <c r="BL11" s="16" t="str">
        <f t="shared" si="6"/>
        <v>N/A</v>
      </c>
      <c r="BM11" s="16" t="str">
        <f t="shared" si="7"/>
        <v>N/A</v>
      </c>
      <c r="BN11" s="16" t="str">
        <f t="shared" si="8"/>
        <v>N/A</v>
      </c>
      <c r="BO11" s="16" t="str">
        <f t="shared" si="9"/>
        <v>N/A</v>
      </c>
      <c r="BP11" s="16" t="str">
        <f t="shared" si="10"/>
        <v>N/A</v>
      </c>
      <c r="BQ11" s="16" t="str">
        <f t="shared" si="11"/>
        <v>N/A</v>
      </c>
      <c r="BR11" s="16" t="str">
        <f t="shared" si="12"/>
        <v>N/A</v>
      </c>
      <c r="BS11" s="16" t="str">
        <f t="shared" si="13"/>
        <v>N/A</v>
      </c>
      <c r="BT11" s="16" t="str">
        <f t="shared" si="14"/>
        <v>N/A</v>
      </c>
      <c r="BU11" s="16" t="str">
        <f t="shared" si="15"/>
        <v>N/A</v>
      </c>
      <c r="BV11" s="16" t="str">
        <f t="shared" si="16"/>
        <v>N/A</v>
      </c>
      <c r="BW11" s="16" t="str">
        <f t="shared" si="17"/>
        <v>N/A</v>
      </c>
      <c r="BX11" s="16" t="str">
        <f t="shared" si="18"/>
        <v>N/A</v>
      </c>
      <c r="BY11" s="16" t="str">
        <f t="shared" si="19"/>
        <v>N/A</v>
      </c>
      <c r="BZ11" s="16" t="str">
        <f t="shared" si="20"/>
        <v>N/A</v>
      </c>
      <c r="CA11" s="16" t="str">
        <f t="shared" si="21"/>
        <v>N/A</v>
      </c>
      <c r="CB11" s="16" t="str">
        <f t="shared" si="22"/>
        <v>N/A</v>
      </c>
      <c r="CC11" s="16" t="str">
        <f t="shared" si="23"/>
        <v>N/A</v>
      </c>
      <c r="CD11" s="16" t="str">
        <f t="shared" si="24"/>
        <v>N/A</v>
      </c>
      <c r="CE11" s="16" t="str">
        <f t="shared" si="25"/>
        <v>N/A</v>
      </c>
      <c r="CF11" s="16" t="str">
        <f t="shared" si="26"/>
        <v>N/A</v>
      </c>
      <c r="CG11" s="16" t="str">
        <f t="shared" si="27"/>
        <v>N/A</v>
      </c>
      <c r="CH11" s="16" t="str">
        <f t="shared" si="28"/>
        <v>N/A</v>
      </c>
      <c r="CI11" s="16" t="str">
        <f t="shared" si="29"/>
        <v>N/A</v>
      </c>
      <c r="CJ11" s="16" t="str">
        <f t="shared" si="30"/>
        <v>N/A</v>
      </c>
      <c r="CK11" s="16" t="str">
        <f t="shared" si="31"/>
        <v>N/A</v>
      </c>
      <c r="CL11" s="16" t="str">
        <f t="shared" si="32"/>
        <v>N/A</v>
      </c>
      <c r="CM11" s="16" t="str">
        <f t="shared" si="33"/>
        <v>N/A</v>
      </c>
      <c r="CN11" s="16" t="str">
        <f t="shared" si="34"/>
        <v>N/A</v>
      </c>
      <c r="CO11" s="16" t="str">
        <f t="shared" si="35"/>
        <v>N/A</v>
      </c>
      <c r="CP11" s="16" t="str">
        <f t="shared" si="36"/>
        <v>N/A</v>
      </c>
      <c r="CQ11" s="16" t="str">
        <f t="shared" si="37"/>
        <v>N/A</v>
      </c>
      <c r="CR11" s="16" t="str">
        <f t="shared" si="38"/>
        <v>N/A</v>
      </c>
      <c r="CS11" s="16" t="str">
        <f t="shared" si="39"/>
        <v>N/A</v>
      </c>
      <c r="CT11" s="16" t="str">
        <f t="shared" si="40"/>
        <v>N/A</v>
      </c>
      <c r="CU11" s="16" t="str">
        <f t="shared" si="42"/>
        <v>N/A</v>
      </c>
      <c r="CV11" s="16" t="str">
        <f t="shared" si="43"/>
        <v>N/A</v>
      </c>
      <c r="CW11" s="16" t="str">
        <f t="shared" si="44"/>
        <v>N/A</v>
      </c>
      <c r="CX11" s="16" t="str">
        <f t="shared" si="45"/>
        <v>N/A</v>
      </c>
      <c r="CY11" s="16" t="str">
        <f t="shared" si="46"/>
        <v>N/A</v>
      </c>
    </row>
    <row r="12" spans="2:103" x14ac:dyDescent="0.25">
      <c r="B12" s="2"/>
      <c r="C12" s="6"/>
      <c r="D12" s="6"/>
      <c r="E12" s="2"/>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5"/>
      <c r="BA12" s="5"/>
      <c r="BB12" s="5"/>
      <c r="BC12" s="5"/>
      <c r="BD12" s="5">
        <f t="shared" si="41"/>
        <v>0</v>
      </c>
      <c r="BE12" s="2"/>
      <c r="BF12" s="2" t="str">
        <f t="shared" si="0"/>
        <v>Menos Horas</v>
      </c>
      <c r="BG12" s="2" t="str">
        <f t="shared" si="1"/>
        <v>Carga Lectiva Insuficiente</v>
      </c>
      <c r="BH12" s="16" t="str">
        <f t="shared" si="2"/>
        <v>Cumple</v>
      </c>
      <c r="BI12" s="2" t="str">
        <f t="shared" si="3"/>
        <v>Cumple</v>
      </c>
      <c r="BJ12" s="16" t="str">
        <f t="shared" si="4"/>
        <v>Cumple</v>
      </c>
      <c r="BK12" s="16" t="str">
        <f t="shared" si="5"/>
        <v>N/A</v>
      </c>
      <c r="BL12" s="16" t="str">
        <f t="shared" si="6"/>
        <v>N/A</v>
      </c>
      <c r="BM12" s="16" t="str">
        <f t="shared" si="7"/>
        <v>N/A</v>
      </c>
      <c r="BN12" s="16" t="str">
        <f t="shared" si="8"/>
        <v>N/A</v>
      </c>
      <c r="BO12" s="16" t="str">
        <f t="shared" si="9"/>
        <v>N/A</v>
      </c>
      <c r="BP12" s="16" t="str">
        <f t="shared" si="10"/>
        <v>N/A</v>
      </c>
      <c r="BQ12" s="16" t="str">
        <f t="shared" si="11"/>
        <v>N/A</v>
      </c>
      <c r="BR12" s="16" t="str">
        <f t="shared" si="12"/>
        <v>N/A</v>
      </c>
      <c r="BS12" s="16" t="str">
        <f t="shared" si="13"/>
        <v>N/A</v>
      </c>
      <c r="BT12" s="16" t="str">
        <f t="shared" si="14"/>
        <v>N/A</v>
      </c>
      <c r="BU12" s="16" t="str">
        <f t="shared" si="15"/>
        <v>N/A</v>
      </c>
      <c r="BV12" s="16" t="str">
        <f t="shared" si="16"/>
        <v>N/A</v>
      </c>
      <c r="BW12" s="16" t="str">
        <f t="shared" si="17"/>
        <v>N/A</v>
      </c>
      <c r="BX12" s="16" t="str">
        <f t="shared" si="18"/>
        <v>N/A</v>
      </c>
      <c r="BY12" s="16" t="str">
        <f t="shared" si="19"/>
        <v>N/A</v>
      </c>
      <c r="BZ12" s="16" t="str">
        <f t="shared" si="20"/>
        <v>N/A</v>
      </c>
      <c r="CA12" s="16" t="str">
        <f t="shared" si="21"/>
        <v>N/A</v>
      </c>
      <c r="CB12" s="16" t="str">
        <f t="shared" si="22"/>
        <v>N/A</v>
      </c>
      <c r="CC12" s="16" t="str">
        <f t="shared" si="23"/>
        <v>N/A</v>
      </c>
      <c r="CD12" s="16" t="str">
        <f t="shared" si="24"/>
        <v>N/A</v>
      </c>
      <c r="CE12" s="16" t="str">
        <f t="shared" si="25"/>
        <v>N/A</v>
      </c>
      <c r="CF12" s="16" t="str">
        <f t="shared" si="26"/>
        <v>N/A</v>
      </c>
      <c r="CG12" s="16" t="str">
        <f t="shared" si="27"/>
        <v>N/A</v>
      </c>
      <c r="CH12" s="16" t="str">
        <f t="shared" si="28"/>
        <v>N/A</v>
      </c>
      <c r="CI12" s="16" t="str">
        <f t="shared" si="29"/>
        <v>N/A</v>
      </c>
      <c r="CJ12" s="16" t="str">
        <f t="shared" si="30"/>
        <v>N/A</v>
      </c>
      <c r="CK12" s="16" t="str">
        <f t="shared" si="31"/>
        <v>N/A</v>
      </c>
      <c r="CL12" s="16" t="str">
        <f t="shared" si="32"/>
        <v>N/A</v>
      </c>
      <c r="CM12" s="16" t="str">
        <f t="shared" si="33"/>
        <v>N/A</v>
      </c>
      <c r="CN12" s="16" t="str">
        <f t="shared" si="34"/>
        <v>N/A</v>
      </c>
      <c r="CO12" s="16" t="str">
        <f t="shared" si="35"/>
        <v>N/A</v>
      </c>
      <c r="CP12" s="16" t="str">
        <f t="shared" si="36"/>
        <v>N/A</v>
      </c>
      <c r="CQ12" s="16" t="str">
        <f t="shared" si="37"/>
        <v>N/A</v>
      </c>
      <c r="CR12" s="16" t="str">
        <f t="shared" si="38"/>
        <v>N/A</v>
      </c>
      <c r="CS12" s="16" t="str">
        <f t="shared" si="39"/>
        <v>N/A</v>
      </c>
      <c r="CT12" s="16" t="str">
        <f t="shared" si="40"/>
        <v>N/A</v>
      </c>
      <c r="CU12" s="16" t="str">
        <f t="shared" si="42"/>
        <v>N/A</v>
      </c>
      <c r="CV12" s="16" t="str">
        <f t="shared" si="43"/>
        <v>N/A</v>
      </c>
      <c r="CW12" s="16" t="str">
        <f t="shared" si="44"/>
        <v>N/A</v>
      </c>
      <c r="CX12" s="16" t="str">
        <f t="shared" si="45"/>
        <v>N/A</v>
      </c>
      <c r="CY12" s="16" t="str">
        <f t="shared" si="46"/>
        <v>N/A</v>
      </c>
    </row>
    <row r="13" spans="2:103" x14ac:dyDescent="0.25">
      <c r="B13" s="2"/>
      <c r="C13" s="6"/>
      <c r="D13" s="6"/>
      <c r="E13" s="2"/>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5"/>
      <c r="BA13" s="5"/>
      <c r="BB13" s="5"/>
      <c r="BC13" s="5"/>
      <c r="BD13" s="5">
        <f t="shared" si="41"/>
        <v>0</v>
      </c>
      <c r="BE13" s="2"/>
      <c r="BF13" s="2" t="str">
        <f t="shared" si="0"/>
        <v>Menos Horas</v>
      </c>
      <c r="BG13" s="2" t="str">
        <f t="shared" si="1"/>
        <v>Carga Lectiva Insuficiente</v>
      </c>
      <c r="BH13" s="16" t="str">
        <f t="shared" si="2"/>
        <v>Cumple</v>
      </c>
      <c r="BI13" s="2" t="str">
        <f t="shared" si="3"/>
        <v>Cumple</v>
      </c>
      <c r="BJ13" s="16" t="str">
        <f t="shared" si="4"/>
        <v>Cumple</v>
      </c>
      <c r="BK13" s="16" t="str">
        <f t="shared" si="5"/>
        <v>N/A</v>
      </c>
      <c r="BL13" s="16" t="str">
        <f t="shared" si="6"/>
        <v>N/A</v>
      </c>
      <c r="BM13" s="16" t="str">
        <f t="shared" si="7"/>
        <v>N/A</v>
      </c>
      <c r="BN13" s="16" t="str">
        <f t="shared" si="8"/>
        <v>N/A</v>
      </c>
      <c r="BO13" s="16" t="str">
        <f t="shared" si="9"/>
        <v>N/A</v>
      </c>
      <c r="BP13" s="16" t="str">
        <f t="shared" si="10"/>
        <v>N/A</v>
      </c>
      <c r="BQ13" s="16" t="str">
        <f t="shared" si="11"/>
        <v>N/A</v>
      </c>
      <c r="BR13" s="16" t="str">
        <f t="shared" si="12"/>
        <v>N/A</v>
      </c>
      <c r="BS13" s="16" t="str">
        <f t="shared" si="13"/>
        <v>N/A</v>
      </c>
      <c r="BT13" s="16" t="str">
        <f t="shared" si="14"/>
        <v>N/A</v>
      </c>
      <c r="BU13" s="16" t="str">
        <f t="shared" si="15"/>
        <v>N/A</v>
      </c>
      <c r="BV13" s="16" t="str">
        <f t="shared" si="16"/>
        <v>N/A</v>
      </c>
      <c r="BW13" s="16" t="str">
        <f t="shared" si="17"/>
        <v>N/A</v>
      </c>
      <c r="BX13" s="16" t="str">
        <f t="shared" si="18"/>
        <v>N/A</v>
      </c>
      <c r="BY13" s="16" t="str">
        <f t="shared" si="19"/>
        <v>N/A</v>
      </c>
      <c r="BZ13" s="16" t="str">
        <f t="shared" si="20"/>
        <v>N/A</v>
      </c>
      <c r="CA13" s="16" t="str">
        <f t="shared" si="21"/>
        <v>N/A</v>
      </c>
      <c r="CB13" s="16" t="str">
        <f t="shared" si="22"/>
        <v>N/A</v>
      </c>
      <c r="CC13" s="16" t="str">
        <f t="shared" si="23"/>
        <v>N/A</v>
      </c>
      <c r="CD13" s="16" t="str">
        <f t="shared" si="24"/>
        <v>N/A</v>
      </c>
      <c r="CE13" s="16" t="str">
        <f t="shared" si="25"/>
        <v>N/A</v>
      </c>
      <c r="CF13" s="16" t="str">
        <f t="shared" si="26"/>
        <v>N/A</v>
      </c>
      <c r="CG13" s="16" t="str">
        <f t="shared" si="27"/>
        <v>N/A</v>
      </c>
      <c r="CH13" s="16" t="str">
        <f t="shared" si="28"/>
        <v>N/A</v>
      </c>
      <c r="CI13" s="16" t="str">
        <f t="shared" si="29"/>
        <v>N/A</v>
      </c>
      <c r="CJ13" s="16" t="str">
        <f t="shared" si="30"/>
        <v>N/A</v>
      </c>
      <c r="CK13" s="16" t="str">
        <f t="shared" si="31"/>
        <v>N/A</v>
      </c>
      <c r="CL13" s="16" t="str">
        <f t="shared" si="32"/>
        <v>N/A</v>
      </c>
      <c r="CM13" s="16" t="str">
        <f t="shared" si="33"/>
        <v>N/A</v>
      </c>
      <c r="CN13" s="16" t="str">
        <f t="shared" si="34"/>
        <v>N/A</v>
      </c>
      <c r="CO13" s="16" t="str">
        <f t="shared" si="35"/>
        <v>N/A</v>
      </c>
      <c r="CP13" s="16" t="str">
        <f t="shared" si="36"/>
        <v>N/A</v>
      </c>
      <c r="CQ13" s="16" t="str">
        <f t="shared" si="37"/>
        <v>N/A</v>
      </c>
      <c r="CR13" s="16" t="str">
        <f t="shared" si="38"/>
        <v>N/A</v>
      </c>
      <c r="CS13" s="16" t="str">
        <f t="shared" si="39"/>
        <v>N/A</v>
      </c>
      <c r="CT13" s="16" t="str">
        <f t="shared" si="40"/>
        <v>N/A</v>
      </c>
      <c r="CU13" s="16" t="str">
        <f t="shared" si="42"/>
        <v>N/A</v>
      </c>
      <c r="CV13" s="16" t="str">
        <f t="shared" si="43"/>
        <v>N/A</v>
      </c>
      <c r="CW13" s="16" t="str">
        <f t="shared" si="44"/>
        <v>N/A</v>
      </c>
      <c r="CX13" s="16" t="str">
        <f t="shared" si="45"/>
        <v>N/A</v>
      </c>
      <c r="CY13" s="16" t="str">
        <f t="shared" si="46"/>
        <v>N/A</v>
      </c>
    </row>
    <row r="14" spans="2:103" x14ac:dyDescent="0.25">
      <c r="B14" s="2"/>
      <c r="C14" s="6"/>
      <c r="D14" s="6"/>
      <c r="E14" s="7"/>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5"/>
      <c r="BA14" s="5"/>
      <c r="BB14" s="5"/>
      <c r="BC14" s="5"/>
      <c r="BD14" s="5">
        <f t="shared" si="41"/>
        <v>0</v>
      </c>
      <c r="BE14" s="2"/>
      <c r="BF14" s="2" t="str">
        <f t="shared" si="0"/>
        <v>Menos Horas</v>
      </c>
      <c r="BG14" s="2" t="str">
        <f t="shared" si="1"/>
        <v>Carga Lectiva Insuficiente</v>
      </c>
      <c r="BH14" s="16" t="str">
        <f t="shared" si="2"/>
        <v>Cumple</v>
      </c>
      <c r="BI14" s="2" t="str">
        <f t="shared" si="3"/>
        <v>Cumple</v>
      </c>
      <c r="BJ14" s="16" t="str">
        <f t="shared" si="4"/>
        <v>Cumple</v>
      </c>
      <c r="BK14" s="16" t="str">
        <f t="shared" si="5"/>
        <v>N/A</v>
      </c>
      <c r="BL14" s="16" t="str">
        <f t="shared" si="6"/>
        <v>N/A</v>
      </c>
      <c r="BM14" s="16" t="str">
        <f t="shared" si="7"/>
        <v>N/A</v>
      </c>
      <c r="BN14" s="16" t="str">
        <f t="shared" si="8"/>
        <v>N/A</v>
      </c>
      <c r="BO14" s="16" t="str">
        <f t="shared" si="9"/>
        <v>N/A</v>
      </c>
      <c r="BP14" s="16" t="str">
        <f t="shared" si="10"/>
        <v>N/A</v>
      </c>
      <c r="BQ14" s="16" t="str">
        <f t="shared" si="11"/>
        <v>N/A</v>
      </c>
      <c r="BR14" s="16" t="str">
        <f t="shared" si="12"/>
        <v>N/A</v>
      </c>
      <c r="BS14" s="16" t="str">
        <f t="shared" si="13"/>
        <v>N/A</v>
      </c>
      <c r="BT14" s="16" t="str">
        <f t="shared" si="14"/>
        <v>N/A</v>
      </c>
      <c r="BU14" s="16" t="str">
        <f t="shared" si="15"/>
        <v>N/A</v>
      </c>
      <c r="BV14" s="16" t="str">
        <f t="shared" si="16"/>
        <v>N/A</v>
      </c>
      <c r="BW14" s="16" t="str">
        <f t="shared" si="17"/>
        <v>N/A</v>
      </c>
      <c r="BX14" s="16" t="str">
        <f t="shared" si="18"/>
        <v>N/A</v>
      </c>
      <c r="BY14" s="16" t="str">
        <f t="shared" si="19"/>
        <v>N/A</v>
      </c>
      <c r="BZ14" s="16" t="str">
        <f t="shared" si="20"/>
        <v>N/A</v>
      </c>
      <c r="CA14" s="16" t="str">
        <f t="shared" si="21"/>
        <v>N/A</v>
      </c>
      <c r="CB14" s="16" t="str">
        <f t="shared" si="22"/>
        <v>N/A</v>
      </c>
      <c r="CC14" s="16" t="str">
        <f t="shared" si="23"/>
        <v>N/A</v>
      </c>
      <c r="CD14" s="16" t="str">
        <f t="shared" si="24"/>
        <v>N/A</v>
      </c>
      <c r="CE14" s="16" t="str">
        <f t="shared" si="25"/>
        <v>N/A</v>
      </c>
      <c r="CF14" s="16" t="str">
        <f t="shared" si="26"/>
        <v>N/A</v>
      </c>
      <c r="CG14" s="16" t="str">
        <f t="shared" si="27"/>
        <v>N/A</v>
      </c>
      <c r="CH14" s="16" t="str">
        <f t="shared" si="28"/>
        <v>N/A</v>
      </c>
      <c r="CI14" s="16" t="str">
        <f t="shared" si="29"/>
        <v>N/A</v>
      </c>
      <c r="CJ14" s="16" t="str">
        <f t="shared" si="30"/>
        <v>N/A</v>
      </c>
      <c r="CK14" s="16" t="str">
        <f t="shared" si="31"/>
        <v>N/A</v>
      </c>
      <c r="CL14" s="16" t="str">
        <f t="shared" si="32"/>
        <v>N/A</v>
      </c>
      <c r="CM14" s="16" t="str">
        <f t="shared" si="33"/>
        <v>N/A</v>
      </c>
      <c r="CN14" s="16" t="str">
        <f t="shared" si="34"/>
        <v>N/A</v>
      </c>
      <c r="CO14" s="16" t="str">
        <f t="shared" si="35"/>
        <v>N/A</v>
      </c>
      <c r="CP14" s="16" t="str">
        <f t="shared" si="36"/>
        <v>N/A</v>
      </c>
      <c r="CQ14" s="16" t="str">
        <f t="shared" si="37"/>
        <v>N/A</v>
      </c>
      <c r="CR14" s="16" t="str">
        <f t="shared" si="38"/>
        <v>N/A</v>
      </c>
      <c r="CS14" s="16" t="str">
        <f t="shared" si="39"/>
        <v>N/A</v>
      </c>
      <c r="CT14" s="16" t="str">
        <f t="shared" si="40"/>
        <v>N/A</v>
      </c>
      <c r="CU14" s="16" t="str">
        <f t="shared" si="42"/>
        <v>N/A</v>
      </c>
      <c r="CV14" s="16" t="str">
        <f t="shared" si="43"/>
        <v>N/A</v>
      </c>
      <c r="CW14" s="16" t="str">
        <f t="shared" si="44"/>
        <v>N/A</v>
      </c>
      <c r="CX14" s="16" t="str">
        <f t="shared" si="45"/>
        <v>N/A</v>
      </c>
      <c r="CY14" s="16" t="str">
        <f t="shared" si="46"/>
        <v>N/A</v>
      </c>
    </row>
    <row r="15" spans="2:103" x14ac:dyDescent="0.25">
      <c r="B15" s="2"/>
      <c r="C15" s="6"/>
      <c r="D15" s="6"/>
      <c r="E15" s="7"/>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5"/>
      <c r="BA15" s="5"/>
      <c r="BB15" s="5"/>
      <c r="BC15" s="5"/>
      <c r="BD15" s="5">
        <f t="shared" si="41"/>
        <v>0</v>
      </c>
      <c r="BE15" s="2"/>
      <c r="BF15" s="2" t="str">
        <f t="shared" si="0"/>
        <v>Menos Horas</v>
      </c>
      <c r="BG15" s="2" t="str">
        <f t="shared" si="1"/>
        <v>Carga Lectiva Insuficiente</v>
      </c>
      <c r="BH15" s="16" t="str">
        <f t="shared" si="2"/>
        <v>Cumple</v>
      </c>
      <c r="BI15" s="2" t="str">
        <f t="shared" si="3"/>
        <v>Cumple</v>
      </c>
      <c r="BJ15" s="16" t="str">
        <f t="shared" si="4"/>
        <v>Cumple</v>
      </c>
      <c r="BK15" s="16" t="str">
        <f t="shared" si="5"/>
        <v>N/A</v>
      </c>
      <c r="BL15" s="16" t="str">
        <f t="shared" si="6"/>
        <v>N/A</v>
      </c>
      <c r="BM15" s="16" t="str">
        <f t="shared" si="7"/>
        <v>N/A</v>
      </c>
      <c r="BN15" s="16" t="str">
        <f t="shared" si="8"/>
        <v>N/A</v>
      </c>
      <c r="BO15" s="16" t="str">
        <f t="shared" si="9"/>
        <v>N/A</v>
      </c>
      <c r="BP15" s="16" t="str">
        <f t="shared" si="10"/>
        <v>N/A</v>
      </c>
      <c r="BQ15" s="16" t="str">
        <f t="shared" si="11"/>
        <v>N/A</v>
      </c>
      <c r="BR15" s="16" t="str">
        <f t="shared" si="12"/>
        <v>N/A</v>
      </c>
      <c r="BS15" s="16" t="str">
        <f t="shared" si="13"/>
        <v>N/A</v>
      </c>
      <c r="BT15" s="16" t="str">
        <f t="shared" si="14"/>
        <v>N/A</v>
      </c>
      <c r="BU15" s="16" t="str">
        <f t="shared" si="15"/>
        <v>N/A</v>
      </c>
      <c r="BV15" s="16" t="str">
        <f t="shared" si="16"/>
        <v>N/A</v>
      </c>
      <c r="BW15" s="16" t="str">
        <f t="shared" si="17"/>
        <v>N/A</v>
      </c>
      <c r="BX15" s="16" t="str">
        <f t="shared" si="18"/>
        <v>N/A</v>
      </c>
      <c r="BY15" s="16" t="str">
        <f t="shared" si="19"/>
        <v>N/A</v>
      </c>
      <c r="BZ15" s="16" t="str">
        <f t="shared" si="20"/>
        <v>N/A</v>
      </c>
      <c r="CA15" s="16" t="str">
        <f t="shared" si="21"/>
        <v>N/A</v>
      </c>
      <c r="CB15" s="16" t="str">
        <f t="shared" si="22"/>
        <v>N/A</v>
      </c>
      <c r="CC15" s="16" t="str">
        <f t="shared" si="23"/>
        <v>N/A</v>
      </c>
      <c r="CD15" s="16" t="str">
        <f t="shared" si="24"/>
        <v>N/A</v>
      </c>
      <c r="CE15" s="16" t="str">
        <f t="shared" si="25"/>
        <v>N/A</v>
      </c>
      <c r="CF15" s="16" t="str">
        <f t="shared" si="26"/>
        <v>N/A</v>
      </c>
      <c r="CG15" s="16" t="str">
        <f t="shared" si="27"/>
        <v>N/A</v>
      </c>
      <c r="CH15" s="16" t="str">
        <f t="shared" si="28"/>
        <v>N/A</v>
      </c>
      <c r="CI15" s="16" t="str">
        <f t="shared" si="29"/>
        <v>N/A</v>
      </c>
      <c r="CJ15" s="16" t="str">
        <f t="shared" si="30"/>
        <v>N/A</v>
      </c>
      <c r="CK15" s="16" t="str">
        <f t="shared" si="31"/>
        <v>N/A</v>
      </c>
      <c r="CL15" s="16" t="str">
        <f t="shared" si="32"/>
        <v>N/A</v>
      </c>
      <c r="CM15" s="16" t="str">
        <f t="shared" si="33"/>
        <v>N/A</v>
      </c>
      <c r="CN15" s="16" t="str">
        <f t="shared" si="34"/>
        <v>N/A</v>
      </c>
      <c r="CO15" s="16" t="str">
        <f t="shared" si="35"/>
        <v>N/A</v>
      </c>
      <c r="CP15" s="16" t="str">
        <f t="shared" si="36"/>
        <v>N/A</v>
      </c>
      <c r="CQ15" s="16" t="str">
        <f t="shared" si="37"/>
        <v>N/A</v>
      </c>
      <c r="CR15" s="16" t="str">
        <f t="shared" si="38"/>
        <v>N/A</v>
      </c>
      <c r="CS15" s="16" t="str">
        <f t="shared" si="39"/>
        <v>N/A</v>
      </c>
      <c r="CT15" s="16" t="str">
        <f t="shared" si="40"/>
        <v>N/A</v>
      </c>
      <c r="CU15" s="16" t="str">
        <f t="shared" si="42"/>
        <v>N/A</v>
      </c>
      <c r="CV15" s="16" t="str">
        <f t="shared" si="43"/>
        <v>N/A</v>
      </c>
      <c r="CW15" s="16" t="str">
        <f t="shared" si="44"/>
        <v>N/A</v>
      </c>
      <c r="CX15" s="16" t="str">
        <f t="shared" si="45"/>
        <v>N/A</v>
      </c>
      <c r="CY15" s="16" t="str">
        <f t="shared" si="46"/>
        <v>N/A</v>
      </c>
    </row>
    <row r="16" spans="2:103" x14ac:dyDescent="0.25">
      <c r="B16" s="2"/>
      <c r="C16" s="6"/>
      <c r="D16" s="6"/>
      <c r="E16" s="7"/>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5"/>
      <c r="BA16" s="5"/>
      <c r="BB16" s="5"/>
      <c r="BC16" s="5"/>
      <c r="BD16" s="5">
        <f t="shared" si="41"/>
        <v>0</v>
      </c>
      <c r="BE16" s="2"/>
      <c r="BF16" s="2" t="str">
        <f t="shared" si="0"/>
        <v>Menos Horas</v>
      </c>
      <c r="BG16" s="2" t="str">
        <f t="shared" si="1"/>
        <v>Carga Lectiva Insuficiente</v>
      </c>
      <c r="BH16" s="16" t="str">
        <f t="shared" si="2"/>
        <v>Cumple</v>
      </c>
      <c r="BI16" s="2" t="str">
        <f t="shared" si="3"/>
        <v>Cumple</v>
      </c>
      <c r="BJ16" s="16" t="str">
        <f t="shared" si="4"/>
        <v>Cumple</v>
      </c>
      <c r="BK16" s="16" t="str">
        <f t="shared" si="5"/>
        <v>N/A</v>
      </c>
      <c r="BL16" s="16" t="str">
        <f t="shared" si="6"/>
        <v>N/A</v>
      </c>
      <c r="BM16" s="16" t="str">
        <f t="shared" si="7"/>
        <v>N/A</v>
      </c>
      <c r="BN16" s="16" t="str">
        <f t="shared" si="8"/>
        <v>N/A</v>
      </c>
      <c r="BO16" s="16" t="str">
        <f t="shared" si="9"/>
        <v>N/A</v>
      </c>
      <c r="BP16" s="16" t="str">
        <f t="shared" si="10"/>
        <v>N/A</v>
      </c>
      <c r="BQ16" s="16" t="str">
        <f t="shared" si="11"/>
        <v>N/A</v>
      </c>
      <c r="BR16" s="16" t="str">
        <f t="shared" si="12"/>
        <v>N/A</v>
      </c>
      <c r="BS16" s="16" t="str">
        <f t="shared" si="13"/>
        <v>N/A</v>
      </c>
      <c r="BT16" s="16" t="str">
        <f t="shared" si="14"/>
        <v>N/A</v>
      </c>
      <c r="BU16" s="16" t="str">
        <f t="shared" si="15"/>
        <v>N/A</v>
      </c>
      <c r="BV16" s="16" t="str">
        <f t="shared" si="16"/>
        <v>N/A</v>
      </c>
      <c r="BW16" s="16" t="str">
        <f t="shared" si="17"/>
        <v>N/A</v>
      </c>
      <c r="BX16" s="16" t="str">
        <f t="shared" si="18"/>
        <v>N/A</v>
      </c>
      <c r="BY16" s="16" t="str">
        <f t="shared" si="19"/>
        <v>N/A</v>
      </c>
      <c r="BZ16" s="16" t="str">
        <f t="shared" si="20"/>
        <v>N/A</v>
      </c>
      <c r="CA16" s="16" t="str">
        <f t="shared" si="21"/>
        <v>N/A</v>
      </c>
      <c r="CB16" s="16" t="str">
        <f t="shared" si="22"/>
        <v>N/A</v>
      </c>
      <c r="CC16" s="16" t="str">
        <f t="shared" si="23"/>
        <v>N/A</v>
      </c>
      <c r="CD16" s="16" t="str">
        <f t="shared" si="24"/>
        <v>N/A</v>
      </c>
      <c r="CE16" s="16" t="str">
        <f t="shared" si="25"/>
        <v>N/A</v>
      </c>
      <c r="CF16" s="16" t="str">
        <f t="shared" si="26"/>
        <v>N/A</v>
      </c>
      <c r="CG16" s="16" t="str">
        <f t="shared" si="27"/>
        <v>N/A</v>
      </c>
      <c r="CH16" s="16" t="str">
        <f t="shared" si="28"/>
        <v>N/A</v>
      </c>
      <c r="CI16" s="16" t="str">
        <f t="shared" si="29"/>
        <v>N/A</v>
      </c>
      <c r="CJ16" s="16" t="str">
        <f t="shared" si="30"/>
        <v>N/A</v>
      </c>
      <c r="CK16" s="16" t="str">
        <f t="shared" si="31"/>
        <v>N/A</v>
      </c>
      <c r="CL16" s="16" t="str">
        <f t="shared" si="32"/>
        <v>N/A</v>
      </c>
      <c r="CM16" s="16" t="str">
        <f t="shared" si="33"/>
        <v>N/A</v>
      </c>
      <c r="CN16" s="16" t="str">
        <f t="shared" si="34"/>
        <v>N/A</v>
      </c>
      <c r="CO16" s="16" t="str">
        <f t="shared" si="35"/>
        <v>N/A</v>
      </c>
      <c r="CP16" s="16" t="str">
        <f t="shared" si="36"/>
        <v>N/A</v>
      </c>
      <c r="CQ16" s="16" t="str">
        <f t="shared" si="37"/>
        <v>N/A</v>
      </c>
      <c r="CR16" s="16" t="str">
        <f t="shared" si="38"/>
        <v>N/A</v>
      </c>
      <c r="CS16" s="16" t="str">
        <f t="shared" si="39"/>
        <v>N/A</v>
      </c>
      <c r="CT16" s="16" t="str">
        <f t="shared" si="40"/>
        <v>N/A</v>
      </c>
      <c r="CU16" s="16" t="str">
        <f t="shared" si="42"/>
        <v>N/A</v>
      </c>
      <c r="CV16" s="16" t="str">
        <f t="shared" si="43"/>
        <v>N/A</v>
      </c>
      <c r="CW16" s="16" t="str">
        <f t="shared" si="44"/>
        <v>N/A</v>
      </c>
      <c r="CX16" s="16" t="str">
        <f t="shared" si="45"/>
        <v>N/A</v>
      </c>
      <c r="CY16" s="16" t="str">
        <f t="shared" si="46"/>
        <v>N/A</v>
      </c>
    </row>
    <row r="17" spans="2:103" x14ac:dyDescent="0.25">
      <c r="B17" s="2"/>
      <c r="C17" s="6"/>
      <c r="D17" s="6"/>
      <c r="E17" s="7"/>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5"/>
      <c r="BA17" s="5"/>
      <c r="BB17" s="5"/>
      <c r="BC17" s="5"/>
      <c r="BD17" s="5">
        <f t="shared" si="41"/>
        <v>0</v>
      </c>
      <c r="BE17" s="2"/>
      <c r="BF17" s="2" t="str">
        <f t="shared" si="0"/>
        <v>Menos Horas</v>
      </c>
      <c r="BG17" s="2" t="str">
        <f t="shared" si="1"/>
        <v>Carga Lectiva Insuficiente</v>
      </c>
      <c r="BH17" s="16" t="str">
        <f t="shared" si="2"/>
        <v>Cumple</v>
      </c>
      <c r="BI17" s="2" t="str">
        <f t="shared" si="3"/>
        <v>Cumple</v>
      </c>
      <c r="BJ17" s="16" t="str">
        <f t="shared" si="4"/>
        <v>Cumple</v>
      </c>
      <c r="BK17" s="16" t="str">
        <f t="shared" si="5"/>
        <v>N/A</v>
      </c>
      <c r="BL17" s="16" t="str">
        <f t="shared" si="6"/>
        <v>N/A</v>
      </c>
      <c r="BM17" s="16" t="str">
        <f t="shared" si="7"/>
        <v>N/A</v>
      </c>
      <c r="BN17" s="16" t="str">
        <f t="shared" si="8"/>
        <v>N/A</v>
      </c>
      <c r="BO17" s="16" t="str">
        <f t="shared" si="9"/>
        <v>N/A</v>
      </c>
      <c r="BP17" s="16" t="str">
        <f t="shared" si="10"/>
        <v>N/A</v>
      </c>
      <c r="BQ17" s="16" t="str">
        <f t="shared" si="11"/>
        <v>N/A</v>
      </c>
      <c r="BR17" s="16" t="str">
        <f t="shared" si="12"/>
        <v>N/A</v>
      </c>
      <c r="BS17" s="16" t="str">
        <f t="shared" si="13"/>
        <v>N/A</v>
      </c>
      <c r="BT17" s="16" t="str">
        <f t="shared" si="14"/>
        <v>N/A</v>
      </c>
      <c r="BU17" s="16" t="str">
        <f t="shared" si="15"/>
        <v>N/A</v>
      </c>
      <c r="BV17" s="16" t="str">
        <f t="shared" si="16"/>
        <v>N/A</v>
      </c>
      <c r="BW17" s="16" t="str">
        <f t="shared" si="17"/>
        <v>N/A</v>
      </c>
      <c r="BX17" s="16" t="str">
        <f t="shared" si="18"/>
        <v>N/A</v>
      </c>
      <c r="BY17" s="16" t="str">
        <f t="shared" si="19"/>
        <v>N/A</v>
      </c>
      <c r="BZ17" s="16" t="str">
        <f t="shared" si="20"/>
        <v>N/A</v>
      </c>
      <c r="CA17" s="16" t="str">
        <f t="shared" si="21"/>
        <v>N/A</v>
      </c>
      <c r="CB17" s="16" t="str">
        <f t="shared" si="22"/>
        <v>N/A</v>
      </c>
      <c r="CC17" s="16" t="str">
        <f t="shared" si="23"/>
        <v>N/A</v>
      </c>
      <c r="CD17" s="16" t="str">
        <f t="shared" si="24"/>
        <v>N/A</v>
      </c>
      <c r="CE17" s="16" t="str">
        <f t="shared" si="25"/>
        <v>N/A</v>
      </c>
      <c r="CF17" s="16" t="str">
        <f t="shared" si="26"/>
        <v>N/A</v>
      </c>
      <c r="CG17" s="16" t="str">
        <f t="shared" si="27"/>
        <v>N/A</v>
      </c>
      <c r="CH17" s="16" t="str">
        <f t="shared" si="28"/>
        <v>N/A</v>
      </c>
      <c r="CI17" s="16" t="str">
        <f t="shared" si="29"/>
        <v>N/A</v>
      </c>
      <c r="CJ17" s="16" t="str">
        <f t="shared" si="30"/>
        <v>N/A</v>
      </c>
      <c r="CK17" s="16" t="str">
        <f t="shared" si="31"/>
        <v>N/A</v>
      </c>
      <c r="CL17" s="16" t="str">
        <f t="shared" si="32"/>
        <v>N/A</v>
      </c>
      <c r="CM17" s="16" t="str">
        <f t="shared" si="33"/>
        <v>N/A</v>
      </c>
      <c r="CN17" s="16" t="str">
        <f t="shared" si="34"/>
        <v>N/A</v>
      </c>
      <c r="CO17" s="16" t="str">
        <f t="shared" si="35"/>
        <v>N/A</v>
      </c>
      <c r="CP17" s="16" t="str">
        <f t="shared" si="36"/>
        <v>N/A</v>
      </c>
      <c r="CQ17" s="16" t="str">
        <f t="shared" si="37"/>
        <v>N/A</v>
      </c>
      <c r="CR17" s="16" t="str">
        <f t="shared" si="38"/>
        <v>N/A</v>
      </c>
      <c r="CS17" s="16" t="str">
        <f t="shared" si="39"/>
        <v>N/A</v>
      </c>
      <c r="CT17" s="16" t="str">
        <f t="shared" si="40"/>
        <v>N/A</v>
      </c>
      <c r="CU17" s="16" t="str">
        <f t="shared" si="42"/>
        <v>N/A</v>
      </c>
      <c r="CV17" s="16" t="str">
        <f t="shared" si="43"/>
        <v>N/A</v>
      </c>
      <c r="CW17" s="16" t="str">
        <f t="shared" si="44"/>
        <v>N/A</v>
      </c>
      <c r="CX17" s="16" t="str">
        <f t="shared" si="45"/>
        <v>N/A</v>
      </c>
      <c r="CY17" s="16" t="str">
        <f t="shared" si="46"/>
        <v>N/A</v>
      </c>
    </row>
    <row r="18" spans="2:103" x14ac:dyDescent="0.25">
      <c r="B18" s="2"/>
      <c r="C18" s="6"/>
      <c r="D18" s="6"/>
      <c r="E18" s="7"/>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5"/>
      <c r="BA18" s="5"/>
      <c r="BB18" s="5"/>
      <c r="BC18" s="5"/>
      <c r="BD18" s="5">
        <f t="shared" si="41"/>
        <v>0</v>
      </c>
      <c r="BE18" s="2"/>
      <c r="BF18" s="2" t="str">
        <f t="shared" si="0"/>
        <v>Menos Horas</v>
      </c>
      <c r="BG18" s="2" t="str">
        <f t="shared" si="1"/>
        <v>Carga Lectiva Insuficiente</v>
      </c>
      <c r="BH18" s="16" t="str">
        <f t="shared" si="2"/>
        <v>Cumple</v>
      </c>
      <c r="BI18" s="2" t="str">
        <f t="shared" si="3"/>
        <v>Cumple</v>
      </c>
      <c r="BJ18" s="16" t="str">
        <f t="shared" si="4"/>
        <v>Cumple</v>
      </c>
      <c r="BK18" s="16" t="str">
        <f t="shared" si="5"/>
        <v>N/A</v>
      </c>
      <c r="BL18" s="16" t="str">
        <f t="shared" si="6"/>
        <v>N/A</v>
      </c>
      <c r="BM18" s="16" t="str">
        <f t="shared" si="7"/>
        <v>N/A</v>
      </c>
      <c r="BN18" s="16" t="str">
        <f t="shared" si="8"/>
        <v>N/A</v>
      </c>
      <c r="BO18" s="16" t="str">
        <f t="shared" si="9"/>
        <v>N/A</v>
      </c>
      <c r="BP18" s="16" t="str">
        <f t="shared" si="10"/>
        <v>N/A</v>
      </c>
      <c r="BQ18" s="16" t="str">
        <f t="shared" si="11"/>
        <v>N/A</v>
      </c>
      <c r="BR18" s="16" t="str">
        <f t="shared" si="12"/>
        <v>N/A</v>
      </c>
      <c r="BS18" s="16" t="str">
        <f t="shared" si="13"/>
        <v>N/A</v>
      </c>
      <c r="BT18" s="16" t="str">
        <f t="shared" si="14"/>
        <v>N/A</v>
      </c>
      <c r="BU18" s="16" t="str">
        <f t="shared" si="15"/>
        <v>N/A</v>
      </c>
      <c r="BV18" s="16" t="str">
        <f t="shared" si="16"/>
        <v>N/A</v>
      </c>
      <c r="BW18" s="16" t="str">
        <f t="shared" si="17"/>
        <v>N/A</v>
      </c>
      <c r="BX18" s="16" t="str">
        <f t="shared" si="18"/>
        <v>N/A</v>
      </c>
      <c r="BY18" s="16" t="str">
        <f t="shared" si="19"/>
        <v>N/A</v>
      </c>
      <c r="BZ18" s="16" t="str">
        <f t="shared" si="20"/>
        <v>N/A</v>
      </c>
      <c r="CA18" s="16" t="str">
        <f t="shared" si="21"/>
        <v>N/A</v>
      </c>
      <c r="CB18" s="16" t="str">
        <f t="shared" si="22"/>
        <v>N/A</v>
      </c>
      <c r="CC18" s="16" t="str">
        <f t="shared" si="23"/>
        <v>N/A</v>
      </c>
      <c r="CD18" s="16" t="str">
        <f t="shared" si="24"/>
        <v>N/A</v>
      </c>
      <c r="CE18" s="16" t="str">
        <f t="shared" si="25"/>
        <v>N/A</v>
      </c>
      <c r="CF18" s="16" t="str">
        <f t="shared" si="26"/>
        <v>N/A</v>
      </c>
      <c r="CG18" s="16" t="str">
        <f t="shared" si="27"/>
        <v>N/A</v>
      </c>
      <c r="CH18" s="16" t="str">
        <f t="shared" si="28"/>
        <v>N/A</v>
      </c>
      <c r="CI18" s="16" t="str">
        <f t="shared" si="29"/>
        <v>N/A</v>
      </c>
      <c r="CJ18" s="16" t="str">
        <f t="shared" si="30"/>
        <v>N/A</v>
      </c>
      <c r="CK18" s="16" t="str">
        <f t="shared" si="31"/>
        <v>N/A</v>
      </c>
      <c r="CL18" s="16" t="str">
        <f t="shared" si="32"/>
        <v>N/A</v>
      </c>
      <c r="CM18" s="16" t="str">
        <f t="shared" si="33"/>
        <v>N/A</v>
      </c>
      <c r="CN18" s="16" t="str">
        <f t="shared" si="34"/>
        <v>N/A</v>
      </c>
      <c r="CO18" s="16" t="str">
        <f t="shared" si="35"/>
        <v>N/A</v>
      </c>
      <c r="CP18" s="16" t="str">
        <f t="shared" si="36"/>
        <v>N/A</v>
      </c>
      <c r="CQ18" s="16" t="str">
        <f t="shared" si="37"/>
        <v>N/A</v>
      </c>
      <c r="CR18" s="16" t="str">
        <f t="shared" si="38"/>
        <v>N/A</v>
      </c>
      <c r="CS18" s="16" t="str">
        <f t="shared" si="39"/>
        <v>N/A</v>
      </c>
      <c r="CT18" s="16" t="str">
        <f t="shared" si="40"/>
        <v>N/A</v>
      </c>
      <c r="CU18" s="16" t="str">
        <f t="shared" si="42"/>
        <v>N/A</v>
      </c>
      <c r="CV18" s="16" t="str">
        <f t="shared" si="43"/>
        <v>N/A</v>
      </c>
      <c r="CW18" s="16" t="str">
        <f t="shared" si="44"/>
        <v>N/A</v>
      </c>
      <c r="CX18" s="16" t="str">
        <f t="shared" si="45"/>
        <v>N/A</v>
      </c>
      <c r="CY18" s="16" t="str">
        <f t="shared" si="46"/>
        <v>N/A</v>
      </c>
    </row>
    <row r="19" spans="2:103" x14ac:dyDescent="0.25">
      <c r="B19" s="2"/>
      <c r="C19" s="6"/>
      <c r="D19" s="6"/>
      <c r="E19" s="7"/>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5"/>
      <c r="BA19" s="5"/>
      <c r="BB19" s="5"/>
      <c r="BC19" s="5"/>
      <c r="BD19" s="5">
        <f t="shared" si="41"/>
        <v>0</v>
      </c>
      <c r="BE19" s="2"/>
      <c r="BF19" s="2" t="str">
        <f t="shared" si="0"/>
        <v>Menos Horas</v>
      </c>
      <c r="BG19" s="2" t="str">
        <f t="shared" si="1"/>
        <v>Carga Lectiva Insuficiente</v>
      </c>
      <c r="BH19" s="16" t="str">
        <f t="shared" si="2"/>
        <v>Cumple</v>
      </c>
      <c r="BI19" s="2" t="str">
        <f t="shared" si="3"/>
        <v>Cumple</v>
      </c>
      <c r="BJ19" s="16" t="str">
        <f t="shared" si="4"/>
        <v>Cumple</v>
      </c>
      <c r="BK19" s="16" t="str">
        <f t="shared" si="5"/>
        <v>N/A</v>
      </c>
      <c r="BL19" s="16" t="str">
        <f t="shared" si="6"/>
        <v>N/A</v>
      </c>
      <c r="BM19" s="16" t="str">
        <f t="shared" si="7"/>
        <v>N/A</v>
      </c>
      <c r="BN19" s="16" t="str">
        <f t="shared" si="8"/>
        <v>N/A</v>
      </c>
      <c r="BO19" s="16" t="str">
        <f t="shared" si="9"/>
        <v>N/A</v>
      </c>
      <c r="BP19" s="16" t="str">
        <f t="shared" si="10"/>
        <v>N/A</v>
      </c>
      <c r="BQ19" s="16" t="str">
        <f t="shared" si="11"/>
        <v>N/A</v>
      </c>
      <c r="BR19" s="16" t="str">
        <f t="shared" si="12"/>
        <v>N/A</v>
      </c>
      <c r="BS19" s="16" t="str">
        <f t="shared" si="13"/>
        <v>N/A</v>
      </c>
      <c r="BT19" s="16" t="str">
        <f t="shared" si="14"/>
        <v>N/A</v>
      </c>
      <c r="BU19" s="16" t="str">
        <f t="shared" si="15"/>
        <v>N/A</v>
      </c>
      <c r="BV19" s="16" t="str">
        <f t="shared" si="16"/>
        <v>N/A</v>
      </c>
      <c r="BW19" s="16" t="str">
        <f t="shared" si="17"/>
        <v>N/A</v>
      </c>
      <c r="BX19" s="16" t="str">
        <f t="shared" si="18"/>
        <v>N/A</v>
      </c>
      <c r="BY19" s="16" t="str">
        <f t="shared" si="19"/>
        <v>N/A</v>
      </c>
      <c r="BZ19" s="16" t="str">
        <f t="shared" si="20"/>
        <v>N/A</v>
      </c>
      <c r="CA19" s="16" t="str">
        <f t="shared" si="21"/>
        <v>N/A</v>
      </c>
      <c r="CB19" s="16" t="str">
        <f t="shared" si="22"/>
        <v>N/A</v>
      </c>
      <c r="CC19" s="16" t="str">
        <f t="shared" si="23"/>
        <v>N/A</v>
      </c>
      <c r="CD19" s="16" t="str">
        <f t="shared" si="24"/>
        <v>N/A</v>
      </c>
      <c r="CE19" s="16" t="str">
        <f t="shared" si="25"/>
        <v>N/A</v>
      </c>
      <c r="CF19" s="16" t="str">
        <f t="shared" si="26"/>
        <v>N/A</v>
      </c>
      <c r="CG19" s="16" t="str">
        <f t="shared" si="27"/>
        <v>N/A</v>
      </c>
      <c r="CH19" s="16" t="str">
        <f t="shared" si="28"/>
        <v>N/A</v>
      </c>
      <c r="CI19" s="16" t="str">
        <f t="shared" si="29"/>
        <v>N/A</v>
      </c>
      <c r="CJ19" s="16" t="str">
        <f t="shared" si="30"/>
        <v>N/A</v>
      </c>
      <c r="CK19" s="16" t="str">
        <f t="shared" si="31"/>
        <v>N/A</v>
      </c>
      <c r="CL19" s="16" t="str">
        <f t="shared" si="32"/>
        <v>N/A</v>
      </c>
      <c r="CM19" s="16" t="str">
        <f t="shared" si="33"/>
        <v>N/A</v>
      </c>
      <c r="CN19" s="16" t="str">
        <f t="shared" si="34"/>
        <v>N/A</v>
      </c>
      <c r="CO19" s="16" t="str">
        <f t="shared" si="35"/>
        <v>N/A</v>
      </c>
      <c r="CP19" s="16" t="str">
        <f t="shared" si="36"/>
        <v>N/A</v>
      </c>
      <c r="CQ19" s="16" t="str">
        <f t="shared" si="37"/>
        <v>N/A</v>
      </c>
      <c r="CR19" s="16" t="str">
        <f t="shared" si="38"/>
        <v>N/A</v>
      </c>
      <c r="CS19" s="16" t="str">
        <f t="shared" si="39"/>
        <v>N/A</v>
      </c>
      <c r="CT19" s="16" t="str">
        <f t="shared" si="40"/>
        <v>N/A</v>
      </c>
      <c r="CU19" s="16" t="str">
        <f t="shared" si="42"/>
        <v>N/A</v>
      </c>
      <c r="CV19" s="16" t="str">
        <f t="shared" si="43"/>
        <v>N/A</v>
      </c>
      <c r="CW19" s="16" t="str">
        <f t="shared" si="44"/>
        <v>N/A</v>
      </c>
      <c r="CX19" s="16" t="str">
        <f t="shared" si="45"/>
        <v>N/A</v>
      </c>
      <c r="CY19" s="16" t="str">
        <f t="shared" si="46"/>
        <v>N/A</v>
      </c>
    </row>
    <row r="20" spans="2:103" x14ac:dyDescent="0.25">
      <c r="B20" s="2"/>
      <c r="C20" s="6"/>
      <c r="D20" s="6"/>
      <c r="E20" s="7"/>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5"/>
      <c r="BA20" s="5"/>
      <c r="BB20" s="5"/>
      <c r="BC20" s="5"/>
      <c r="BD20" s="5">
        <f t="shared" si="41"/>
        <v>0</v>
      </c>
      <c r="BE20" s="2"/>
      <c r="BF20" s="2" t="str">
        <f t="shared" si="0"/>
        <v>Menos Horas</v>
      </c>
      <c r="BG20" s="2" t="str">
        <f t="shared" si="1"/>
        <v>Carga Lectiva Insuficiente</v>
      </c>
      <c r="BH20" s="16" t="str">
        <f t="shared" si="2"/>
        <v>Cumple</v>
      </c>
      <c r="BI20" s="2" t="str">
        <f t="shared" si="3"/>
        <v>Cumple</v>
      </c>
      <c r="BJ20" s="16" t="str">
        <f t="shared" si="4"/>
        <v>Cumple</v>
      </c>
      <c r="BK20" s="16" t="str">
        <f t="shared" si="5"/>
        <v>N/A</v>
      </c>
      <c r="BL20" s="16" t="str">
        <f t="shared" si="6"/>
        <v>N/A</v>
      </c>
      <c r="BM20" s="16" t="str">
        <f t="shared" si="7"/>
        <v>N/A</v>
      </c>
      <c r="BN20" s="16" t="str">
        <f t="shared" si="8"/>
        <v>N/A</v>
      </c>
      <c r="BO20" s="16" t="str">
        <f t="shared" si="9"/>
        <v>N/A</v>
      </c>
      <c r="BP20" s="16" t="str">
        <f t="shared" si="10"/>
        <v>N/A</v>
      </c>
      <c r="BQ20" s="16" t="str">
        <f t="shared" si="11"/>
        <v>N/A</v>
      </c>
      <c r="BR20" s="16" t="str">
        <f t="shared" si="12"/>
        <v>N/A</v>
      </c>
      <c r="BS20" s="16" t="str">
        <f t="shared" si="13"/>
        <v>N/A</v>
      </c>
      <c r="BT20" s="16" t="str">
        <f t="shared" si="14"/>
        <v>N/A</v>
      </c>
      <c r="BU20" s="16" t="str">
        <f t="shared" si="15"/>
        <v>N/A</v>
      </c>
      <c r="BV20" s="16" t="str">
        <f t="shared" si="16"/>
        <v>N/A</v>
      </c>
      <c r="BW20" s="16" t="str">
        <f t="shared" si="17"/>
        <v>N/A</v>
      </c>
      <c r="BX20" s="16" t="str">
        <f t="shared" si="18"/>
        <v>N/A</v>
      </c>
      <c r="BY20" s="16" t="str">
        <f t="shared" si="19"/>
        <v>N/A</v>
      </c>
      <c r="BZ20" s="16" t="str">
        <f t="shared" si="20"/>
        <v>N/A</v>
      </c>
      <c r="CA20" s="16" t="str">
        <f t="shared" si="21"/>
        <v>N/A</v>
      </c>
      <c r="CB20" s="16" t="str">
        <f t="shared" si="22"/>
        <v>N/A</v>
      </c>
      <c r="CC20" s="16" t="str">
        <f t="shared" si="23"/>
        <v>N/A</v>
      </c>
      <c r="CD20" s="16" t="str">
        <f t="shared" si="24"/>
        <v>N/A</v>
      </c>
      <c r="CE20" s="16" t="str">
        <f t="shared" si="25"/>
        <v>N/A</v>
      </c>
      <c r="CF20" s="16" t="str">
        <f t="shared" si="26"/>
        <v>N/A</v>
      </c>
      <c r="CG20" s="16" t="str">
        <f t="shared" si="27"/>
        <v>N/A</v>
      </c>
      <c r="CH20" s="16" t="str">
        <f t="shared" si="28"/>
        <v>N/A</v>
      </c>
      <c r="CI20" s="16" t="str">
        <f t="shared" si="29"/>
        <v>N/A</v>
      </c>
      <c r="CJ20" s="16" t="str">
        <f t="shared" si="30"/>
        <v>N/A</v>
      </c>
      <c r="CK20" s="16" t="str">
        <f t="shared" si="31"/>
        <v>N/A</v>
      </c>
      <c r="CL20" s="16" t="str">
        <f t="shared" si="32"/>
        <v>N/A</v>
      </c>
      <c r="CM20" s="16" t="str">
        <f t="shared" si="33"/>
        <v>N/A</v>
      </c>
      <c r="CN20" s="16" t="str">
        <f t="shared" si="34"/>
        <v>N/A</v>
      </c>
      <c r="CO20" s="16" t="str">
        <f t="shared" si="35"/>
        <v>N/A</v>
      </c>
      <c r="CP20" s="16" t="str">
        <f t="shared" si="36"/>
        <v>N/A</v>
      </c>
      <c r="CQ20" s="16" t="str">
        <f t="shared" si="37"/>
        <v>N/A</v>
      </c>
      <c r="CR20" s="16" t="str">
        <f t="shared" si="38"/>
        <v>N/A</v>
      </c>
      <c r="CS20" s="16" t="str">
        <f t="shared" si="39"/>
        <v>N/A</v>
      </c>
      <c r="CT20" s="16" t="str">
        <f t="shared" si="40"/>
        <v>N/A</v>
      </c>
      <c r="CU20" s="16" t="str">
        <f t="shared" si="42"/>
        <v>N/A</v>
      </c>
      <c r="CV20" s="16" t="str">
        <f t="shared" si="43"/>
        <v>N/A</v>
      </c>
      <c r="CW20" s="16" t="str">
        <f t="shared" si="44"/>
        <v>N/A</v>
      </c>
      <c r="CX20" s="16" t="str">
        <f t="shared" si="45"/>
        <v>N/A</v>
      </c>
      <c r="CY20" s="16" t="str">
        <f t="shared" si="46"/>
        <v>N/A</v>
      </c>
    </row>
    <row r="21" spans="2:103" x14ac:dyDescent="0.25">
      <c r="B21" s="2"/>
      <c r="C21" s="6"/>
      <c r="D21" s="6"/>
      <c r="E21" s="7"/>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5"/>
      <c r="BA21" s="5"/>
      <c r="BB21" s="5"/>
      <c r="BC21" s="5"/>
      <c r="BD21" s="5">
        <f t="shared" si="41"/>
        <v>0</v>
      </c>
      <c r="BE21" s="2"/>
      <c r="BF21" s="2" t="str">
        <f t="shared" si="0"/>
        <v>Menos Horas</v>
      </c>
      <c r="BG21" s="2" t="str">
        <f t="shared" si="1"/>
        <v>Carga Lectiva Insuficiente</v>
      </c>
      <c r="BH21" s="16" t="str">
        <f t="shared" si="2"/>
        <v>Cumple</v>
      </c>
      <c r="BI21" s="2" t="str">
        <f t="shared" si="3"/>
        <v>Cumple</v>
      </c>
      <c r="BJ21" s="16" t="str">
        <f t="shared" si="4"/>
        <v>Cumple</v>
      </c>
      <c r="BK21" s="16" t="str">
        <f t="shared" si="5"/>
        <v>N/A</v>
      </c>
      <c r="BL21" s="16" t="str">
        <f t="shared" si="6"/>
        <v>N/A</v>
      </c>
      <c r="BM21" s="16" t="str">
        <f t="shared" si="7"/>
        <v>N/A</v>
      </c>
      <c r="BN21" s="16" t="str">
        <f t="shared" si="8"/>
        <v>N/A</v>
      </c>
      <c r="BO21" s="16" t="str">
        <f t="shared" si="9"/>
        <v>N/A</v>
      </c>
      <c r="BP21" s="16" t="str">
        <f t="shared" si="10"/>
        <v>N/A</v>
      </c>
      <c r="BQ21" s="16" t="str">
        <f t="shared" si="11"/>
        <v>N/A</v>
      </c>
      <c r="BR21" s="16" t="str">
        <f t="shared" si="12"/>
        <v>N/A</v>
      </c>
      <c r="BS21" s="16" t="str">
        <f t="shared" si="13"/>
        <v>N/A</v>
      </c>
      <c r="BT21" s="16" t="str">
        <f t="shared" si="14"/>
        <v>N/A</v>
      </c>
      <c r="BU21" s="16" t="str">
        <f t="shared" si="15"/>
        <v>N/A</v>
      </c>
      <c r="BV21" s="16" t="str">
        <f t="shared" si="16"/>
        <v>N/A</v>
      </c>
      <c r="BW21" s="16" t="str">
        <f t="shared" si="17"/>
        <v>N/A</v>
      </c>
      <c r="BX21" s="16" t="str">
        <f t="shared" si="18"/>
        <v>N/A</v>
      </c>
      <c r="BY21" s="16" t="str">
        <f t="shared" si="19"/>
        <v>N/A</v>
      </c>
      <c r="BZ21" s="16" t="str">
        <f t="shared" si="20"/>
        <v>N/A</v>
      </c>
      <c r="CA21" s="16" t="str">
        <f t="shared" si="21"/>
        <v>N/A</v>
      </c>
      <c r="CB21" s="16" t="str">
        <f t="shared" si="22"/>
        <v>N/A</v>
      </c>
      <c r="CC21" s="16" t="str">
        <f t="shared" si="23"/>
        <v>N/A</v>
      </c>
      <c r="CD21" s="16" t="str">
        <f t="shared" si="24"/>
        <v>N/A</v>
      </c>
      <c r="CE21" s="16" t="str">
        <f t="shared" si="25"/>
        <v>N/A</v>
      </c>
      <c r="CF21" s="16" t="str">
        <f t="shared" si="26"/>
        <v>N/A</v>
      </c>
      <c r="CG21" s="16" t="str">
        <f t="shared" si="27"/>
        <v>N/A</v>
      </c>
      <c r="CH21" s="16" t="str">
        <f t="shared" si="28"/>
        <v>N/A</v>
      </c>
      <c r="CI21" s="16" t="str">
        <f t="shared" si="29"/>
        <v>N/A</v>
      </c>
      <c r="CJ21" s="16" t="str">
        <f t="shared" si="30"/>
        <v>N/A</v>
      </c>
      <c r="CK21" s="16" t="str">
        <f t="shared" si="31"/>
        <v>N/A</v>
      </c>
      <c r="CL21" s="16" t="str">
        <f t="shared" si="32"/>
        <v>N/A</v>
      </c>
      <c r="CM21" s="16" t="str">
        <f t="shared" si="33"/>
        <v>N/A</v>
      </c>
      <c r="CN21" s="16" t="str">
        <f t="shared" si="34"/>
        <v>N/A</v>
      </c>
      <c r="CO21" s="16" t="str">
        <f t="shared" si="35"/>
        <v>N/A</v>
      </c>
      <c r="CP21" s="16" t="str">
        <f t="shared" si="36"/>
        <v>N/A</v>
      </c>
      <c r="CQ21" s="16" t="str">
        <f t="shared" si="37"/>
        <v>N/A</v>
      </c>
      <c r="CR21" s="16" t="str">
        <f t="shared" si="38"/>
        <v>N/A</v>
      </c>
      <c r="CS21" s="16" t="str">
        <f t="shared" si="39"/>
        <v>N/A</v>
      </c>
      <c r="CT21" s="16" t="str">
        <f t="shared" si="40"/>
        <v>N/A</v>
      </c>
      <c r="CU21" s="16" t="str">
        <f t="shared" si="42"/>
        <v>N/A</v>
      </c>
      <c r="CV21" s="16" t="str">
        <f t="shared" si="43"/>
        <v>N/A</v>
      </c>
      <c r="CW21" s="16" t="str">
        <f t="shared" si="44"/>
        <v>N/A</v>
      </c>
      <c r="CX21" s="16" t="str">
        <f t="shared" si="45"/>
        <v>N/A</v>
      </c>
      <c r="CY21" s="16" t="str">
        <f t="shared" si="46"/>
        <v>N/A</v>
      </c>
    </row>
    <row r="22" spans="2:103" x14ac:dyDescent="0.25">
      <c r="B22" s="2"/>
      <c r="C22" s="6"/>
      <c r="D22" s="6"/>
      <c r="E22" s="7"/>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10"/>
      <c r="AS22" s="8"/>
      <c r="AT22" s="8"/>
      <c r="AU22" s="8"/>
      <c r="AV22" s="8"/>
      <c r="AW22" s="8"/>
      <c r="AX22" s="8"/>
      <c r="AY22" s="8"/>
      <c r="AZ22" s="5"/>
      <c r="BA22" s="5"/>
      <c r="BB22" s="5"/>
      <c r="BC22" s="5"/>
      <c r="BD22" s="5">
        <f t="shared" si="41"/>
        <v>0</v>
      </c>
      <c r="BE22" s="2"/>
      <c r="BF22" s="2" t="str">
        <f t="shared" si="0"/>
        <v>Menos Horas</v>
      </c>
      <c r="BG22" s="2" t="str">
        <f t="shared" si="1"/>
        <v>Carga Lectiva Insuficiente</v>
      </c>
      <c r="BH22" s="16" t="str">
        <f t="shared" si="2"/>
        <v>Cumple</v>
      </c>
      <c r="BI22" s="2" t="str">
        <f t="shared" si="3"/>
        <v>Cumple</v>
      </c>
      <c r="BJ22" s="16" t="str">
        <f t="shared" si="4"/>
        <v>Cumple</v>
      </c>
      <c r="BK22" s="16" t="str">
        <f t="shared" si="5"/>
        <v>N/A</v>
      </c>
      <c r="BL22" s="16" t="str">
        <f t="shared" si="6"/>
        <v>N/A</v>
      </c>
      <c r="BM22" s="16" t="str">
        <f t="shared" si="7"/>
        <v>N/A</v>
      </c>
      <c r="BN22" s="16" t="str">
        <f t="shared" si="8"/>
        <v>N/A</v>
      </c>
      <c r="BO22" s="16" t="str">
        <f t="shared" si="9"/>
        <v>N/A</v>
      </c>
      <c r="BP22" s="16" t="str">
        <f t="shared" si="10"/>
        <v>N/A</v>
      </c>
      <c r="BQ22" s="16" t="str">
        <f t="shared" si="11"/>
        <v>N/A</v>
      </c>
      <c r="BR22" s="16" t="str">
        <f t="shared" si="12"/>
        <v>N/A</v>
      </c>
      <c r="BS22" s="16" t="str">
        <f t="shared" si="13"/>
        <v>N/A</v>
      </c>
      <c r="BT22" s="16" t="str">
        <f t="shared" si="14"/>
        <v>N/A</v>
      </c>
      <c r="BU22" s="16" t="str">
        <f t="shared" si="15"/>
        <v>N/A</v>
      </c>
      <c r="BV22" s="16" t="str">
        <f t="shared" si="16"/>
        <v>N/A</v>
      </c>
      <c r="BW22" s="16" t="str">
        <f t="shared" si="17"/>
        <v>N/A</v>
      </c>
      <c r="BX22" s="16" t="str">
        <f t="shared" si="18"/>
        <v>N/A</v>
      </c>
      <c r="BY22" s="16" t="str">
        <f t="shared" si="19"/>
        <v>N/A</v>
      </c>
      <c r="BZ22" s="16" t="str">
        <f t="shared" si="20"/>
        <v>N/A</v>
      </c>
      <c r="CA22" s="16" t="str">
        <f t="shared" si="21"/>
        <v>N/A</v>
      </c>
      <c r="CB22" s="16" t="str">
        <f t="shared" si="22"/>
        <v>N/A</v>
      </c>
      <c r="CC22" s="16" t="str">
        <f t="shared" si="23"/>
        <v>N/A</v>
      </c>
      <c r="CD22" s="16" t="str">
        <f t="shared" si="24"/>
        <v>N/A</v>
      </c>
      <c r="CE22" s="16" t="str">
        <f t="shared" si="25"/>
        <v>N/A</v>
      </c>
      <c r="CF22" s="16" t="str">
        <f t="shared" si="26"/>
        <v>N/A</v>
      </c>
      <c r="CG22" s="16" t="str">
        <f t="shared" si="27"/>
        <v>N/A</v>
      </c>
      <c r="CH22" s="16" t="str">
        <f t="shared" si="28"/>
        <v>N/A</v>
      </c>
      <c r="CI22" s="16" t="str">
        <f t="shared" si="29"/>
        <v>N/A</v>
      </c>
      <c r="CJ22" s="16" t="str">
        <f t="shared" si="30"/>
        <v>N/A</v>
      </c>
      <c r="CK22" s="16" t="str">
        <f t="shared" si="31"/>
        <v>N/A</v>
      </c>
      <c r="CL22" s="16" t="str">
        <f t="shared" si="32"/>
        <v>N/A</v>
      </c>
      <c r="CM22" s="16" t="str">
        <f t="shared" si="33"/>
        <v>N/A</v>
      </c>
      <c r="CN22" s="16" t="str">
        <f t="shared" si="34"/>
        <v>N/A</v>
      </c>
      <c r="CO22" s="16" t="str">
        <f t="shared" si="35"/>
        <v>N/A</v>
      </c>
      <c r="CP22" s="16" t="str">
        <f t="shared" si="36"/>
        <v>N/A</v>
      </c>
      <c r="CQ22" s="16" t="str">
        <f t="shared" si="37"/>
        <v>N/A</v>
      </c>
      <c r="CR22" s="16" t="str">
        <f t="shared" si="38"/>
        <v>N/A</v>
      </c>
      <c r="CS22" s="16" t="str">
        <f t="shared" si="39"/>
        <v>N/A</v>
      </c>
      <c r="CT22" s="16" t="str">
        <f t="shared" si="40"/>
        <v>N/A</v>
      </c>
      <c r="CU22" s="16" t="str">
        <f t="shared" si="42"/>
        <v>N/A</v>
      </c>
      <c r="CV22" s="16" t="str">
        <f t="shared" si="43"/>
        <v>N/A</v>
      </c>
      <c r="CW22" s="16" t="str">
        <f t="shared" si="44"/>
        <v>N/A</v>
      </c>
      <c r="CX22" s="16" t="str">
        <f t="shared" si="45"/>
        <v>N/A</v>
      </c>
      <c r="CY22" s="16" t="str">
        <f t="shared" si="46"/>
        <v>N/A</v>
      </c>
    </row>
    <row r="23" spans="2:103" x14ac:dyDescent="0.25">
      <c r="B23" s="2"/>
      <c r="C23" s="6"/>
      <c r="D23" s="6"/>
      <c r="E23" s="7"/>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5"/>
      <c r="BA23" s="5"/>
      <c r="BB23" s="5"/>
      <c r="BC23" s="5"/>
      <c r="BD23" s="5">
        <f t="shared" si="41"/>
        <v>0</v>
      </c>
      <c r="BE23" s="2"/>
      <c r="BF23" s="2" t="str">
        <f t="shared" si="0"/>
        <v>Menos Horas</v>
      </c>
      <c r="BG23" s="2" t="str">
        <f t="shared" si="1"/>
        <v>Carga Lectiva Insuficiente</v>
      </c>
      <c r="BH23" s="16" t="str">
        <f t="shared" si="2"/>
        <v>Cumple</v>
      </c>
      <c r="BI23" s="2" t="str">
        <f t="shared" si="3"/>
        <v>Cumple</v>
      </c>
      <c r="BJ23" s="16" t="str">
        <f t="shared" si="4"/>
        <v>Cumple</v>
      </c>
      <c r="BK23" s="16" t="str">
        <f t="shared" si="5"/>
        <v>N/A</v>
      </c>
      <c r="BL23" s="16" t="str">
        <f t="shared" si="6"/>
        <v>N/A</v>
      </c>
      <c r="BM23" s="16" t="str">
        <f t="shared" si="7"/>
        <v>N/A</v>
      </c>
      <c r="BN23" s="16" t="str">
        <f t="shared" si="8"/>
        <v>N/A</v>
      </c>
      <c r="BO23" s="16" t="str">
        <f t="shared" si="9"/>
        <v>N/A</v>
      </c>
      <c r="BP23" s="16" t="str">
        <f t="shared" si="10"/>
        <v>N/A</v>
      </c>
      <c r="BQ23" s="16" t="str">
        <f t="shared" si="11"/>
        <v>N/A</v>
      </c>
      <c r="BR23" s="16" t="str">
        <f t="shared" si="12"/>
        <v>N/A</v>
      </c>
      <c r="BS23" s="16" t="str">
        <f t="shared" si="13"/>
        <v>N/A</v>
      </c>
      <c r="BT23" s="16" t="str">
        <f t="shared" si="14"/>
        <v>N/A</v>
      </c>
      <c r="BU23" s="16" t="str">
        <f t="shared" si="15"/>
        <v>N/A</v>
      </c>
      <c r="BV23" s="16" t="str">
        <f t="shared" si="16"/>
        <v>N/A</v>
      </c>
      <c r="BW23" s="16" t="str">
        <f t="shared" si="17"/>
        <v>N/A</v>
      </c>
      <c r="BX23" s="16" t="str">
        <f t="shared" si="18"/>
        <v>N/A</v>
      </c>
      <c r="BY23" s="16" t="str">
        <f t="shared" si="19"/>
        <v>N/A</v>
      </c>
      <c r="BZ23" s="16" t="str">
        <f t="shared" si="20"/>
        <v>N/A</v>
      </c>
      <c r="CA23" s="16" t="str">
        <f t="shared" si="21"/>
        <v>N/A</v>
      </c>
      <c r="CB23" s="16" t="str">
        <f t="shared" si="22"/>
        <v>N/A</v>
      </c>
      <c r="CC23" s="16" t="str">
        <f t="shared" si="23"/>
        <v>N/A</v>
      </c>
      <c r="CD23" s="16" t="str">
        <f t="shared" si="24"/>
        <v>N/A</v>
      </c>
      <c r="CE23" s="16" t="str">
        <f t="shared" si="25"/>
        <v>N/A</v>
      </c>
      <c r="CF23" s="16" t="str">
        <f t="shared" si="26"/>
        <v>N/A</v>
      </c>
      <c r="CG23" s="16" t="str">
        <f t="shared" si="27"/>
        <v>N/A</v>
      </c>
      <c r="CH23" s="16" t="str">
        <f t="shared" si="28"/>
        <v>N/A</v>
      </c>
      <c r="CI23" s="16" t="str">
        <f t="shared" si="29"/>
        <v>N/A</v>
      </c>
      <c r="CJ23" s="16" t="str">
        <f t="shared" si="30"/>
        <v>N/A</v>
      </c>
      <c r="CK23" s="16" t="str">
        <f t="shared" si="31"/>
        <v>N/A</v>
      </c>
      <c r="CL23" s="16" t="str">
        <f t="shared" si="32"/>
        <v>N/A</v>
      </c>
      <c r="CM23" s="16" t="str">
        <f t="shared" si="33"/>
        <v>N/A</v>
      </c>
      <c r="CN23" s="16" t="str">
        <f t="shared" si="34"/>
        <v>N/A</v>
      </c>
      <c r="CO23" s="16" t="str">
        <f t="shared" si="35"/>
        <v>N/A</v>
      </c>
      <c r="CP23" s="16" t="str">
        <f t="shared" si="36"/>
        <v>N/A</v>
      </c>
      <c r="CQ23" s="16" t="str">
        <f t="shared" si="37"/>
        <v>N/A</v>
      </c>
      <c r="CR23" s="16" t="str">
        <f t="shared" si="38"/>
        <v>N/A</v>
      </c>
      <c r="CS23" s="16" t="str">
        <f t="shared" si="39"/>
        <v>N/A</v>
      </c>
      <c r="CT23" s="16" t="str">
        <f t="shared" si="40"/>
        <v>N/A</v>
      </c>
      <c r="CU23" s="16" t="str">
        <f t="shared" si="42"/>
        <v>N/A</v>
      </c>
      <c r="CV23" s="16" t="str">
        <f t="shared" si="43"/>
        <v>N/A</v>
      </c>
      <c r="CW23" s="16" t="str">
        <f t="shared" si="44"/>
        <v>N/A</v>
      </c>
      <c r="CX23" s="16" t="str">
        <f t="shared" si="45"/>
        <v>N/A</v>
      </c>
      <c r="CY23" s="16" t="str">
        <f t="shared" si="46"/>
        <v>N/A</v>
      </c>
    </row>
    <row r="24" spans="2:103" x14ac:dyDescent="0.25">
      <c r="B24" s="2"/>
      <c r="C24" s="6"/>
      <c r="D24" s="6"/>
      <c r="E24" s="7"/>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5"/>
      <c r="BA24" s="5"/>
      <c r="BB24" s="5"/>
      <c r="BC24" s="5"/>
      <c r="BD24" s="5">
        <f t="shared" si="41"/>
        <v>0</v>
      </c>
      <c r="BE24" s="2"/>
      <c r="BF24" s="2" t="str">
        <f t="shared" si="0"/>
        <v>Menos Horas</v>
      </c>
      <c r="BG24" s="2" t="str">
        <f t="shared" si="1"/>
        <v>Carga Lectiva Insuficiente</v>
      </c>
      <c r="BH24" s="16" t="str">
        <f t="shared" si="2"/>
        <v>Cumple</v>
      </c>
      <c r="BI24" s="2" t="str">
        <f t="shared" si="3"/>
        <v>Cumple</v>
      </c>
      <c r="BJ24" s="16" t="str">
        <f t="shared" si="4"/>
        <v>Cumple</v>
      </c>
      <c r="BK24" s="16" t="str">
        <f t="shared" si="5"/>
        <v>N/A</v>
      </c>
      <c r="BL24" s="16" t="str">
        <f t="shared" si="6"/>
        <v>N/A</v>
      </c>
      <c r="BM24" s="16" t="str">
        <f t="shared" si="7"/>
        <v>N/A</v>
      </c>
      <c r="BN24" s="16" t="str">
        <f t="shared" si="8"/>
        <v>N/A</v>
      </c>
      <c r="BO24" s="16" t="str">
        <f t="shared" si="9"/>
        <v>N/A</v>
      </c>
      <c r="BP24" s="16" t="str">
        <f t="shared" si="10"/>
        <v>N/A</v>
      </c>
      <c r="BQ24" s="16" t="str">
        <f t="shared" si="11"/>
        <v>N/A</v>
      </c>
      <c r="BR24" s="16" t="str">
        <f t="shared" si="12"/>
        <v>N/A</v>
      </c>
      <c r="BS24" s="16" t="str">
        <f t="shared" si="13"/>
        <v>N/A</v>
      </c>
      <c r="BT24" s="16" t="str">
        <f t="shared" si="14"/>
        <v>N/A</v>
      </c>
      <c r="BU24" s="16" t="str">
        <f t="shared" si="15"/>
        <v>N/A</v>
      </c>
      <c r="BV24" s="16" t="str">
        <f t="shared" si="16"/>
        <v>N/A</v>
      </c>
      <c r="BW24" s="16" t="str">
        <f t="shared" si="17"/>
        <v>N/A</v>
      </c>
      <c r="BX24" s="16" t="str">
        <f t="shared" si="18"/>
        <v>N/A</v>
      </c>
      <c r="BY24" s="16" t="str">
        <f t="shared" si="19"/>
        <v>N/A</v>
      </c>
      <c r="BZ24" s="16" t="str">
        <f t="shared" si="20"/>
        <v>N/A</v>
      </c>
      <c r="CA24" s="16" t="str">
        <f t="shared" si="21"/>
        <v>N/A</v>
      </c>
      <c r="CB24" s="16" t="str">
        <f t="shared" si="22"/>
        <v>N/A</v>
      </c>
      <c r="CC24" s="16" t="str">
        <f t="shared" si="23"/>
        <v>N/A</v>
      </c>
      <c r="CD24" s="16" t="str">
        <f t="shared" si="24"/>
        <v>N/A</v>
      </c>
      <c r="CE24" s="16" t="str">
        <f t="shared" si="25"/>
        <v>N/A</v>
      </c>
      <c r="CF24" s="16" t="str">
        <f t="shared" si="26"/>
        <v>N/A</v>
      </c>
      <c r="CG24" s="16" t="str">
        <f t="shared" si="27"/>
        <v>N/A</v>
      </c>
      <c r="CH24" s="16" t="str">
        <f t="shared" si="28"/>
        <v>N/A</v>
      </c>
      <c r="CI24" s="16" t="str">
        <f t="shared" si="29"/>
        <v>N/A</v>
      </c>
      <c r="CJ24" s="16" t="str">
        <f t="shared" si="30"/>
        <v>N/A</v>
      </c>
      <c r="CK24" s="16" t="str">
        <f t="shared" si="31"/>
        <v>N/A</v>
      </c>
      <c r="CL24" s="16" t="str">
        <f t="shared" si="32"/>
        <v>N/A</v>
      </c>
      <c r="CM24" s="16" t="str">
        <f t="shared" si="33"/>
        <v>N/A</v>
      </c>
      <c r="CN24" s="16" t="str">
        <f t="shared" si="34"/>
        <v>N/A</v>
      </c>
      <c r="CO24" s="16" t="str">
        <f t="shared" si="35"/>
        <v>N/A</v>
      </c>
      <c r="CP24" s="16" t="str">
        <f t="shared" si="36"/>
        <v>N/A</v>
      </c>
      <c r="CQ24" s="16" t="str">
        <f t="shared" si="37"/>
        <v>N/A</v>
      </c>
      <c r="CR24" s="16" t="str">
        <f t="shared" si="38"/>
        <v>N/A</v>
      </c>
      <c r="CS24" s="16" t="str">
        <f t="shared" si="39"/>
        <v>N/A</v>
      </c>
      <c r="CT24" s="16" t="str">
        <f t="shared" si="40"/>
        <v>N/A</v>
      </c>
      <c r="CU24" s="16" t="str">
        <f t="shared" si="42"/>
        <v>N/A</v>
      </c>
      <c r="CV24" s="16" t="str">
        <f t="shared" si="43"/>
        <v>N/A</v>
      </c>
      <c r="CW24" s="16" t="str">
        <f t="shared" si="44"/>
        <v>N/A</v>
      </c>
      <c r="CX24" s="16" t="str">
        <f t="shared" si="45"/>
        <v>N/A</v>
      </c>
      <c r="CY24" s="16" t="str">
        <f t="shared" si="46"/>
        <v>N/A</v>
      </c>
    </row>
    <row r="25" spans="2:103" x14ac:dyDescent="0.25">
      <c r="B25" s="2"/>
      <c r="C25" s="6"/>
      <c r="D25" s="6"/>
      <c r="E25" s="7"/>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5"/>
      <c r="BA25" s="5"/>
      <c r="BB25" s="5"/>
      <c r="BC25" s="5"/>
      <c r="BD25" s="5">
        <f t="shared" si="41"/>
        <v>0</v>
      </c>
      <c r="BE25" s="2"/>
      <c r="BF25" s="2" t="str">
        <f t="shared" si="0"/>
        <v>Menos Horas</v>
      </c>
      <c r="BG25" s="2" t="str">
        <f t="shared" si="1"/>
        <v>Carga Lectiva Insuficiente</v>
      </c>
      <c r="BH25" s="16" t="str">
        <f t="shared" si="2"/>
        <v>Cumple</v>
      </c>
      <c r="BI25" s="2" t="str">
        <f t="shared" si="3"/>
        <v>Cumple</v>
      </c>
      <c r="BJ25" s="16" t="str">
        <f t="shared" si="4"/>
        <v>Cumple</v>
      </c>
      <c r="BK25" s="16" t="str">
        <f t="shared" si="5"/>
        <v>N/A</v>
      </c>
      <c r="BL25" s="16" t="str">
        <f t="shared" si="6"/>
        <v>N/A</v>
      </c>
      <c r="BM25" s="16" t="str">
        <f t="shared" si="7"/>
        <v>N/A</v>
      </c>
      <c r="BN25" s="16" t="str">
        <f t="shared" si="8"/>
        <v>N/A</v>
      </c>
      <c r="BO25" s="16" t="str">
        <f t="shared" si="9"/>
        <v>N/A</v>
      </c>
      <c r="BP25" s="16" t="str">
        <f t="shared" si="10"/>
        <v>N/A</v>
      </c>
      <c r="BQ25" s="16" t="str">
        <f t="shared" si="11"/>
        <v>N/A</v>
      </c>
      <c r="BR25" s="16" t="str">
        <f t="shared" si="12"/>
        <v>N/A</v>
      </c>
      <c r="BS25" s="16" t="str">
        <f t="shared" si="13"/>
        <v>N/A</v>
      </c>
      <c r="BT25" s="16" t="str">
        <f t="shared" si="14"/>
        <v>N/A</v>
      </c>
      <c r="BU25" s="16" t="str">
        <f t="shared" si="15"/>
        <v>N/A</v>
      </c>
      <c r="BV25" s="16" t="str">
        <f t="shared" si="16"/>
        <v>N/A</v>
      </c>
      <c r="BW25" s="16" t="str">
        <f t="shared" si="17"/>
        <v>N/A</v>
      </c>
      <c r="BX25" s="16" t="str">
        <f t="shared" si="18"/>
        <v>N/A</v>
      </c>
      <c r="BY25" s="16" t="str">
        <f t="shared" si="19"/>
        <v>N/A</v>
      </c>
      <c r="BZ25" s="16" t="str">
        <f t="shared" si="20"/>
        <v>N/A</v>
      </c>
      <c r="CA25" s="16" t="str">
        <f t="shared" si="21"/>
        <v>N/A</v>
      </c>
      <c r="CB25" s="16" t="str">
        <f t="shared" si="22"/>
        <v>N/A</v>
      </c>
      <c r="CC25" s="16" t="str">
        <f t="shared" si="23"/>
        <v>N/A</v>
      </c>
      <c r="CD25" s="16" t="str">
        <f t="shared" si="24"/>
        <v>N/A</v>
      </c>
      <c r="CE25" s="16" t="str">
        <f t="shared" si="25"/>
        <v>N/A</v>
      </c>
      <c r="CF25" s="16" t="str">
        <f t="shared" si="26"/>
        <v>N/A</v>
      </c>
      <c r="CG25" s="16" t="str">
        <f t="shared" si="27"/>
        <v>N/A</v>
      </c>
      <c r="CH25" s="16" t="str">
        <f t="shared" si="28"/>
        <v>N/A</v>
      </c>
      <c r="CI25" s="16" t="str">
        <f t="shared" si="29"/>
        <v>N/A</v>
      </c>
      <c r="CJ25" s="16" t="str">
        <f t="shared" si="30"/>
        <v>N/A</v>
      </c>
      <c r="CK25" s="16" t="str">
        <f t="shared" si="31"/>
        <v>N/A</v>
      </c>
      <c r="CL25" s="16" t="str">
        <f t="shared" si="32"/>
        <v>N/A</v>
      </c>
      <c r="CM25" s="16" t="str">
        <f t="shared" si="33"/>
        <v>N/A</v>
      </c>
      <c r="CN25" s="16" t="str">
        <f t="shared" si="34"/>
        <v>N/A</v>
      </c>
      <c r="CO25" s="16" t="str">
        <f t="shared" si="35"/>
        <v>N/A</v>
      </c>
      <c r="CP25" s="16" t="str">
        <f t="shared" si="36"/>
        <v>N/A</v>
      </c>
      <c r="CQ25" s="16" t="str">
        <f t="shared" si="37"/>
        <v>N/A</v>
      </c>
      <c r="CR25" s="16" t="str">
        <f t="shared" si="38"/>
        <v>N/A</v>
      </c>
      <c r="CS25" s="16" t="str">
        <f t="shared" si="39"/>
        <v>N/A</v>
      </c>
      <c r="CT25" s="16" t="str">
        <f t="shared" si="40"/>
        <v>N/A</v>
      </c>
      <c r="CU25" s="16" t="str">
        <f t="shared" si="42"/>
        <v>N/A</v>
      </c>
      <c r="CV25" s="16" t="str">
        <f t="shared" si="43"/>
        <v>N/A</v>
      </c>
      <c r="CW25" s="16" t="str">
        <f t="shared" si="44"/>
        <v>N/A</v>
      </c>
      <c r="CX25" s="16" t="str">
        <f t="shared" si="45"/>
        <v>N/A</v>
      </c>
      <c r="CY25" s="16" t="str">
        <f t="shared" si="46"/>
        <v>N/A</v>
      </c>
    </row>
    <row r="26" spans="2:103" x14ac:dyDescent="0.25">
      <c r="B26" s="2"/>
      <c r="C26" s="6"/>
      <c r="D26" s="6"/>
      <c r="E26" s="7"/>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5"/>
      <c r="BA26" s="5"/>
      <c r="BB26" s="5"/>
      <c r="BC26" s="5"/>
      <c r="BD26" s="5">
        <f t="shared" si="41"/>
        <v>0</v>
      </c>
      <c r="BE26" s="2"/>
      <c r="BF26" s="2" t="str">
        <f t="shared" si="0"/>
        <v>Menos Horas</v>
      </c>
      <c r="BG26" s="2" t="str">
        <f t="shared" si="1"/>
        <v>Carga Lectiva Insuficiente</v>
      </c>
      <c r="BH26" s="16" t="str">
        <f t="shared" si="2"/>
        <v>Cumple</v>
      </c>
      <c r="BI26" s="2" t="str">
        <f t="shared" si="3"/>
        <v>Cumple</v>
      </c>
      <c r="BJ26" s="16" t="str">
        <f t="shared" si="4"/>
        <v>Cumple</v>
      </c>
      <c r="BK26" s="16" t="str">
        <f t="shared" si="5"/>
        <v>N/A</v>
      </c>
      <c r="BL26" s="16" t="str">
        <f t="shared" si="6"/>
        <v>N/A</v>
      </c>
      <c r="BM26" s="16" t="str">
        <f t="shared" si="7"/>
        <v>N/A</v>
      </c>
      <c r="BN26" s="16" t="str">
        <f t="shared" si="8"/>
        <v>N/A</v>
      </c>
      <c r="BO26" s="16" t="str">
        <f t="shared" si="9"/>
        <v>N/A</v>
      </c>
      <c r="BP26" s="16" t="str">
        <f t="shared" si="10"/>
        <v>N/A</v>
      </c>
      <c r="BQ26" s="16" t="str">
        <f t="shared" si="11"/>
        <v>N/A</v>
      </c>
      <c r="BR26" s="16" t="str">
        <f t="shared" si="12"/>
        <v>N/A</v>
      </c>
      <c r="BS26" s="16" t="str">
        <f t="shared" si="13"/>
        <v>N/A</v>
      </c>
      <c r="BT26" s="16" t="str">
        <f t="shared" si="14"/>
        <v>N/A</v>
      </c>
      <c r="BU26" s="16" t="str">
        <f t="shared" si="15"/>
        <v>N/A</v>
      </c>
      <c r="BV26" s="16" t="str">
        <f t="shared" si="16"/>
        <v>N/A</v>
      </c>
      <c r="BW26" s="16" t="str">
        <f t="shared" si="17"/>
        <v>N/A</v>
      </c>
      <c r="BX26" s="16" t="str">
        <f t="shared" si="18"/>
        <v>N/A</v>
      </c>
      <c r="BY26" s="16" t="str">
        <f t="shared" si="19"/>
        <v>N/A</v>
      </c>
      <c r="BZ26" s="16" t="str">
        <f t="shared" si="20"/>
        <v>N/A</v>
      </c>
      <c r="CA26" s="16" t="str">
        <f t="shared" si="21"/>
        <v>N/A</v>
      </c>
      <c r="CB26" s="16" t="str">
        <f t="shared" si="22"/>
        <v>N/A</v>
      </c>
      <c r="CC26" s="16" t="str">
        <f t="shared" si="23"/>
        <v>N/A</v>
      </c>
      <c r="CD26" s="16" t="str">
        <f t="shared" si="24"/>
        <v>N/A</v>
      </c>
      <c r="CE26" s="16" t="str">
        <f t="shared" si="25"/>
        <v>N/A</v>
      </c>
      <c r="CF26" s="16" t="str">
        <f t="shared" si="26"/>
        <v>N/A</v>
      </c>
      <c r="CG26" s="16" t="str">
        <f t="shared" si="27"/>
        <v>N/A</v>
      </c>
      <c r="CH26" s="16" t="str">
        <f t="shared" si="28"/>
        <v>N/A</v>
      </c>
      <c r="CI26" s="16" t="str">
        <f t="shared" si="29"/>
        <v>N/A</v>
      </c>
      <c r="CJ26" s="16" t="str">
        <f t="shared" si="30"/>
        <v>N/A</v>
      </c>
      <c r="CK26" s="16" t="str">
        <f t="shared" si="31"/>
        <v>N/A</v>
      </c>
      <c r="CL26" s="16" t="str">
        <f t="shared" si="32"/>
        <v>N/A</v>
      </c>
      <c r="CM26" s="16" t="str">
        <f t="shared" si="33"/>
        <v>N/A</v>
      </c>
      <c r="CN26" s="16" t="str">
        <f t="shared" si="34"/>
        <v>N/A</v>
      </c>
      <c r="CO26" s="16" t="str">
        <f t="shared" si="35"/>
        <v>N/A</v>
      </c>
      <c r="CP26" s="16" t="str">
        <f t="shared" si="36"/>
        <v>N/A</v>
      </c>
      <c r="CQ26" s="16" t="str">
        <f t="shared" si="37"/>
        <v>N/A</v>
      </c>
      <c r="CR26" s="16" t="str">
        <f t="shared" si="38"/>
        <v>N/A</v>
      </c>
      <c r="CS26" s="16" t="str">
        <f t="shared" si="39"/>
        <v>N/A</v>
      </c>
      <c r="CT26" s="16" t="str">
        <f t="shared" si="40"/>
        <v>N/A</v>
      </c>
      <c r="CU26" s="16" t="str">
        <f t="shared" si="42"/>
        <v>N/A</v>
      </c>
      <c r="CV26" s="16" t="str">
        <f t="shared" si="43"/>
        <v>N/A</v>
      </c>
      <c r="CW26" s="16" t="str">
        <f t="shared" si="44"/>
        <v>N/A</v>
      </c>
      <c r="CX26" s="16" t="str">
        <f t="shared" si="45"/>
        <v>N/A</v>
      </c>
      <c r="CY26" s="16" t="str">
        <f t="shared" si="46"/>
        <v>N/A</v>
      </c>
    </row>
    <row r="27" spans="2:103" x14ac:dyDescent="0.25">
      <c r="B27" s="2"/>
      <c r="C27" s="6"/>
      <c r="D27" s="6"/>
      <c r="E27" s="7"/>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5"/>
      <c r="BA27" s="5"/>
      <c r="BB27" s="5"/>
      <c r="BC27" s="5"/>
      <c r="BD27" s="5">
        <f t="shared" si="41"/>
        <v>0</v>
      </c>
      <c r="BE27" s="2"/>
      <c r="BF27" s="2" t="str">
        <f t="shared" si="0"/>
        <v>Menos Horas</v>
      </c>
      <c r="BG27" s="2" t="str">
        <f t="shared" si="1"/>
        <v>Carga Lectiva Insuficiente</v>
      </c>
      <c r="BH27" s="16" t="str">
        <f t="shared" si="2"/>
        <v>Cumple</v>
      </c>
      <c r="BI27" s="2" t="str">
        <f t="shared" si="3"/>
        <v>Cumple</v>
      </c>
      <c r="BJ27" s="16" t="str">
        <f t="shared" si="4"/>
        <v>Cumple</v>
      </c>
      <c r="BK27" s="16" t="str">
        <f t="shared" si="5"/>
        <v>N/A</v>
      </c>
      <c r="BL27" s="16" t="str">
        <f t="shared" si="6"/>
        <v>N/A</v>
      </c>
      <c r="BM27" s="16" t="str">
        <f t="shared" si="7"/>
        <v>N/A</v>
      </c>
      <c r="BN27" s="16" t="str">
        <f t="shared" si="8"/>
        <v>N/A</v>
      </c>
      <c r="BO27" s="16" t="str">
        <f t="shared" si="9"/>
        <v>N/A</v>
      </c>
      <c r="BP27" s="16" t="str">
        <f t="shared" si="10"/>
        <v>N/A</v>
      </c>
      <c r="BQ27" s="16" t="str">
        <f t="shared" si="11"/>
        <v>N/A</v>
      </c>
      <c r="BR27" s="16" t="str">
        <f t="shared" si="12"/>
        <v>N/A</v>
      </c>
      <c r="BS27" s="16" t="str">
        <f t="shared" si="13"/>
        <v>N/A</v>
      </c>
      <c r="BT27" s="16" t="str">
        <f t="shared" si="14"/>
        <v>N/A</v>
      </c>
      <c r="BU27" s="16" t="str">
        <f t="shared" si="15"/>
        <v>N/A</v>
      </c>
      <c r="BV27" s="16" t="str">
        <f t="shared" si="16"/>
        <v>N/A</v>
      </c>
      <c r="BW27" s="16" t="str">
        <f t="shared" si="17"/>
        <v>N/A</v>
      </c>
      <c r="BX27" s="16" t="str">
        <f t="shared" si="18"/>
        <v>N/A</v>
      </c>
      <c r="BY27" s="16" t="str">
        <f t="shared" si="19"/>
        <v>N/A</v>
      </c>
      <c r="BZ27" s="16" t="str">
        <f t="shared" si="20"/>
        <v>N/A</v>
      </c>
      <c r="CA27" s="16" t="str">
        <f t="shared" si="21"/>
        <v>N/A</v>
      </c>
      <c r="CB27" s="16" t="str">
        <f t="shared" si="22"/>
        <v>N/A</v>
      </c>
      <c r="CC27" s="16" t="str">
        <f t="shared" si="23"/>
        <v>N/A</v>
      </c>
      <c r="CD27" s="16" t="str">
        <f t="shared" si="24"/>
        <v>N/A</v>
      </c>
      <c r="CE27" s="16" t="str">
        <f t="shared" si="25"/>
        <v>N/A</v>
      </c>
      <c r="CF27" s="16" t="str">
        <f t="shared" si="26"/>
        <v>N/A</v>
      </c>
      <c r="CG27" s="16" t="str">
        <f t="shared" si="27"/>
        <v>N/A</v>
      </c>
      <c r="CH27" s="16" t="str">
        <f t="shared" si="28"/>
        <v>N/A</v>
      </c>
      <c r="CI27" s="16" t="str">
        <f t="shared" si="29"/>
        <v>N/A</v>
      </c>
      <c r="CJ27" s="16" t="str">
        <f t="shared" si="30"/>
        <v>N/A</v>
      </c>
      <c r="CK27" s="16" t="str">
        <f t="shared" si="31"/>
        <v>N/A</v>
      </c>
      <c r="CL27" s="16" t="str">
        <f t="shared" si="32"/>
        <v>N/A</v>
      </c>
      <c r="CM27" s="16" t="str">
        <f t="shared" si="33"/>
        <v>N/A</v>
      </c>
      <c r="CN27" s="16" t="str">
        <f t="shared" si="34"/>
        <v>N/A</v>
      </c>
      <c r="CO27" s="16" t="str">
        <f t="shared" si="35"/>
        <v>N/A</v>
      </c>
      <c r="CP27" s="16" t="str">
        <f t="shared" si="36"/>
        <v>N/A</v>
      </c>
      <c r="CQ27" s="16" t="str">
        <f t="shared" si="37"/>
        <v>N/A</v>
      </c>
      <c r="CR27" s="16" t="str">
        <f t="shared" si="38"/>
        <v>N/A</v>
      </c>
      <c r="CS27" s="16" t="str">
        <f t="shared" si="39"/>
        <v>N/A</v>
      </c>
      <c r="CT27" s="16" t="str">
        <f t="shared" si="40"/>
        <v>N/A</v>
      </c>
      <c r="CU27" s="16" t="str">
        <f t="shared" si="42"/>
        <v>N/A</v>
      </c>
      <c r="CV27" s="16" t="str">
        <f t="shared" si="43"/>
        <v>N/A</v>
      </c>
      <c r="CW27" s="16" t="str">
        <f t="shared" si="44"/>
        <v>N/A</v>
      </c>
      <c r="CX27" s="16" t="str">
        <f t="shared" si="45"/>
        <v>N/A</v>
      </c>
      <c r="CY27" s="16" t="str">
        <f t="shared" si="46"/>
        <v>N/A</v>
      </c>
    </row>
    <row r="28" spans="2:103" x14ac:dyDescent="0.25">
      <c r="B28" s="2"/>
      <c r="C28" s="6"/>
      <c r="D28" s="6"/>
      <c r="E28" s="7"/>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5"/>
      <c r="BA28" s="5"/>
      <c r="BB28" s="5"/>
      <c r="BC28" s="5"/>
      <c r="BD28" s="5">
        <f t="shared" si="41"/>
        <v>0</v>
      </c>
      <c r="BE28" s="2"/>
      <c r="BF28" s="2" t="str">
        <f t="shared" si="0"/>
        <v>Menos Horas</v>
      </c>
      <c r="BG28" s="2" t="str">
        <f t="shared" si="1"/>
        <v>Carga Lectiva Insuficiente</v>
      </c>
      <c r="BH28" s="16" t="str">
        <f t="shared" si="2"/>
        <v>Cumple</v>
      </c>
      <c r="BI28" s="2" t="str">
        <f t="shared" si="3"/>
        <v>Cumple</v>
      </c>
      <c r="BJ28" s="16" t="str">
        <f t="shared" si="4"/>
        <v>Cumple</v>
      </c>
      <c r="BK28" s="16" t="str">
        <f t="shared" si="5"/>
        <v>N/A</v>
      </c>
      <c r="BL28" s="16" t="str">
        <f t="shared" si="6"/>
        <v>N/A</v>
      </c>
      <c r="BM28" s="16" t="str">
        <f t="shared" si="7"/>
        <v>N/A</v>
      </c>
      <c r="BN28" s="16" t="str">
        <f t="shared" si="8"/>
        <v>N/A</v>
      </c>
      <c r="BO28" s="16" t="str">
        <f t="shared" si="9"/>
        <v>N/A</v>
      </c>
      <c r="BP28" s="16" t="str">
        <f t="shared" si="10"/>
        <v>N/A</v>
      </c>
      <c r="BQ28" s="16" t="str">
        <f t="shared" si="11"/>
        <v>N/A</v>
      </c>
      <c r="BR28" s="16" t="str">
        <f t="shared" si="12"/>
        <v>N/A</v>
      </c>
      <c r="BS28" s="16" t="str">
        <f t="shared" si="13"/>
        <v>N/A</v>
      </c>
      <c r="BT28" s="16" t="str">
        <f t="shared" si="14"/>
        <v>N/A</v>
      </c>
      <c r="BU28" s="16" t="str">
        <f t="shared" si="15"/>
        <v>N/A</v>
      </c>
      <c r="BV28" s="16" t="str">
        <f t="shared" si="16"/>
        <v>N/A</v>
      </c>
      <c r="BW28" s="16" t="str">
        <f t="shared" si="17"/>
        <v>N/A</v>
      </c>
      <c r="BX28" s="16" t="str">
        <f t="shared" si="18"/>
        <v>N/A</v>
      </c>
      <c r="BY28" s="16" t="str">
        <f t="shared" si="19"/>
        <v>N/A</v>
      </c>
      <c r="BZ28" s="16" t="str">
        <f t="shared" si="20"/>
        <v>N/A</v>
      </c>
      <c r="CA28" s="16" t="str">
        <f t="shared" si="21"/>
        <v>N/A</v>
      </c>
      <c r="CB28" s="16" t="str">
        <f t="shared" si="22"/>
        <v>N/A</v>
      </c>
      <c r="CC28" s="16" t="str">
        <f t="shared" si="23"/>
        <v>N/A</v>
      </c>
      <c r="CD28" s="16" t="str">
        <f t="shared" si="24"/>
        <v>N/A</v>
      </c>
      <c r="CE28" s="16" t="str">
        <f t="shared" si="25"/>
        <v>N/A</v>
      </c>
      <c r="CF28" s="16" t="str">
        <f t="shared" si="26"/>
        <v>N/A</v>
      </c>
      <c r="CG28" s="16" t="str">
        <f t="shared" si="27"/>
        <v>N/A</v>
      </c>
      <c r="CH28" s="16" t="str">
        <f t="shared" si="28"/>
        <v>N/A</v>
      </c>
      <c r="CI28" s="16" t="str">
        <f t="shared" si="29"/>
        <v>N/A</v>
      </c>
      <c r="CJ28" s="16" t="str">
        <f t="shared" si="30"/>
        <v>N/A</v>
      </c>
      <c r="CK28" s="16" t="str">
        <f t="shared" si="31"/>
        <v>N/A</v>
      </c>
      <c r="CL28" s="16" t="str">
        <f t="shared" si="32"/>
        <v>N/A</v>
      </c>
      <c r="CM28" s="16" t="str">
        <f t="shared" si="33"/>
        <v>N/A</v>
      </c>
      <c r="CN28" s="16" t="str">
        <f t="shared" si="34"/>
        <v>N/A</v>
      </c>
      <c r="CO28" s="16" t="str">
        <f t="shared" si="35"/>
        <v>N/A</v>
      </c>
      <c r="CP28" s="16" t="str">
        <f t="shared" si="36"/>
        <v>N/A</v>
      </c>
      <c r="CQ28" s="16" t="str">
        <f t="shared" si="37"/>
        <v>N/A</v>
      </c>
      <c r="CR28" s="16" t="str">
        <f t="shared" si="38"/>
        <v>N/A</v>
      </c>
      <c r="CS28" s="16" t="str">
        <f t="shared" si="39"/>
        <v>N/A</v>
      </c>
      <c r="CT28" s="16" t="str">
        <f t="shared" si="40"/>
        <v>N/A</v>
      </c>
      <c r="CU28" s="16" t="str">
        <f t="shared" si="42"/>
        <v>N/A</v>
      </c>
      <c r="CV28" s="16" t="str">
        <f t="shared" si="43"/>
        <v>N/A</v>
      </c>
      <c r="CW28" s="16" t="str">
        <f t="shared" si="44"/>
        <v>N/A</v>
      </c>
      <c r="CX28" s="16" t="str">
        <f t="shared" si="45"/>
        <v>N/A</v>
      </c>
      <c r="CY28" s="16" t="str">
        <f t="shared" si="46"/>
        <v>N/A</v>
      </c>
    </row>
    <row r="29" spans="2:103" x14ac:dyDescent="0.25">
      <c r="B29" s="2"/>
      <c r="C29" s="6"/>
      <c r="D29" s="6"/>
      <c r="E29" s="7"/>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5"/>
      <c r="BA29" s="5"/>
      <c r="BB29" s="5"/>
      <c r="BC29" s="5"/>
      <c r="BD29" s="5">
        <f t="shared" si="41"/>
        <v>0</v>
      </c>
      <c r="BE29" s="2"/>
      <c r="BF29" s="2" t="str">
        <f t="shared" si="0"/>
        <v>Menos Horas</v>
      </c>
      <c r="BG29" s="2" t="str">
        <f t="shared" si="1"/>
        <v>Carga Lectiva Insuficiente</v>
      </c>
      <c r="BH29" s="16" t="str">
        <f t="shared" si="2"/>
        <v>Cumple</v>
      </c>
      <c r="BI29" s="2" t="str">
        <f t="shared" si="3"/>
        <v>Cumple</v>
      </c>
      <c r="BJ29" s="16" t="str">
        <f t="shared" si="4"/>
        <v>Cumple</v>
      </c>
      <c r="BK29" s="16" t="str">
        <f t="shared" si="5"/>
        <v>N/A</v>
      </c>
      <c r="BL29" s="16" t="str">
        <f t="shared" si="6"/>
        <v>N/A</v>
      </c>
      <c r="BM29" s="16" t="str">
        <f t="shared" si="7"/>
        <v>N/A</v>
      </c>
      <c r="BN29" s="16" t="str">
        <f t="shared" si="8"/>
        <v>N/A</v>
      </c>
      <c r="BO29" s="16" t="str">
        <f t="shared" si="9"/>
        <v>N/A</v>
      </c>
      <c r="BP29" s="16" t="str">
        <f t="shared" si="10"/>
        <v>N/A</v>
      </c>
      <c r="BQ29" s="16" t="str">
        <f t="shared" si="11"/>
        <v>N/A</v>
      </c>
      <c r="BR29" s="16" t="str">
        <f t="shared" si="12"/>
        <v>N/A</v>
      </c>
      <c r="BS29" s="16" t="str">
        <f t="shared" si="13"/>
        <v>N/A</v>
      </c>
      <c r="BT29" s="16" t="str">
        <f t="shared" si="14"/>
        <v>N/A</v>
      </c>
      <c r="BU29" s="16" t="str">
        <f t="shared" si="15"/>
        <v>N/A</v>
      </c>
      <c r="BV29" s="16" t="str">
        <f t="shared" si="16"/>
        <v>N/A</v>
      </c>
      <c r="BW29" s="16" t="str">
        <f t="shared" si="17"/>
        <v>N/A</v>
      </c>
      <c r="BX29" s="16" t="str">
        <f t="shared" si="18"/>
        <v>N/A</v>
      </c>
      <c r="BY29" s="16" t="str">
        <f t="shared" si="19"/>
        <v>N/A</v>
      </c>
      <c r="BZ29" s="16" t="str">
        <f t="shared" si="20"/>
        <v>N/A</v>
      </c>
      <c r="CA29" s="16" t="str">
        <f t="shared" si="21"/>
        <v>N/A</v>
      </c>
      <c r="CB29" s="16" t="str">
        <f t="shared" si="22"/>
        <v>N/A</v>
      </c>
      <c r="CC29" s="16" t="str">
        <f t="shared" si="23"/>
        <v>N/A</v>
      </c>
      <c r="CD29" s="16" t="str">
        <f t="shared" si="24"/>
        <v>N/A</v>
      </c>
      <c r="CE29" s="16" t="str">
        <f t="shared" si="25"/>
        <v>N/A</v>
      </c>
      <c r="CF29" s="16" t="str">
        <f t="shared" si="26"/>
        <v>N/A</v>
      </c>
      <c r="CG29" s="16" t="str">
        <f t="shared" si="27"/>
        <v>N/A</v>
      </c>
      <c r="CH29" s="16" t="str">
        <f t="shared" si="28"/>
        <v>N/A</v>
      </c>
      <c r="CI29" s="16" t="str">
        <f t="shared" si="29"/>
        <v>N/A</v>
      </c>
      <c r="CJ29" s="16" t="str">
        <f t="shared" si="30"/>
        <v>N/A</v>
      </c>
      <c r="CK29" s="16" t="str">
        <f t="shared" si="31"/>
        <v>N/A</v>
      </c>
      <c r="CL29" s="16" t="str">
        <f t="shared" si="32"/>
        <v>N/A</v>
      </c>
      <c r="CM29" s="16" t="str">
        <f t="shared" si="33"/>
        <v>N/A</v>
      </c>
      <c r="CN29" s="16" t="str">
        <f t="shared" si="34"/>
        <v>N/A</v>
      </c>
      <c r="CO29" s="16" t="str">
        <f t="shared" si="35"/>
        <v>N/A</v>
      </c>
      <c r="CP29" s="16" t="str">
        <f t="shared" si="36"/>
        <v>N/A</v>
      </c>
      <c r="CQ29" s="16" t="str">
        <f t="shared" si="37"/>
        <v>N/A</v>
      </c>
      <c r="CR29" s="16" t="str">
        <f t="shared" si="38"/>
        <v>N/A</v>
      </c>
      <c r="CS29" s="16" t="str">
        <f t="shared" si="39"/>
        <v>N/A</v>
      </c>
      <c r="CT29" s="16" t="str">
        <f t="shared" si="40"/>
        <v>N/A</v>
      </c>
      <c r="CU29" s="16" t="str">
        <f t="shared" si="42"/>
        <v>N/A</v>
      </c>
      <c r="CV29" s="16" t="str">
        <f t="shared" si="43"/>
        <v>N/A</v>
      </c>
      <c r="CW29" s="16" t="str">
        <f t="shared" si="44"/>
        <v>N/A</v>
      </c>
      <c r="CX29" s="16" t="str">
        <f t="shared" si="45"/>
        <v>N/A</v>
      </c>
      <c r="CY29" s="16" t="str">
        <f t="shared" si="46"/>
        <v>N/A</v>
      </c>
    </row>
    <row r="30" spans="2:103" x14ac:dyDescent="0.25">
      <c r="B30" s="2"/>
      <c r="C30" s="6"/>
      <c r="D30" s="6"/>
      <c r="E30" s="7"/>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5"/>
      <c r="BA30" s="5"/>
      <c r="BB30" s="5"/>
      <c r="BC30" s="5"/>
      <c r="BD30" s="5">
        <f t="shared" si="41"/>
        <v>0</v>
      </c>
      <c r="BE30" s="2"/>
      <c r="BF30" s="2" t="str">
        <f t="shared" si="0"/>
        <v>Menos Horas</v>
      </c>
      <c r="BG30" s="2" t="str">
        <f t="shared" si="1"/>
        <v>Carga Lectiva Insuficiente</v>
      </c>
      <c r="BH30" s="16" t="str">
        <f t="shared" si="2"/>
        <v>Cumple</v>
      </c>
      <c r="BI30" s="2" t="str">
        <f t="shared" si="3"/>
        <v>Cumple</v>
      </c>
      <c r="BJ30" s="16" t="str">
        <f t="shared" si="4"/>
        <v>Cumple</v>
      </c>
      <c r="BK30" s="16" t="str">
        <f t="shared" si="5"/>
        <v>N/A</v>
      </c>
      <c r="BL30" s="16" t="str">
        <f t="shared" si="6"/>
        <v>N/A</v>
      </c>
      <c r="BM30" s="16" t="str">
        <f t="shared" si="7"/>
        <v>N/A</v>
      </c>
      <c r="BN30" s="16" t="str">
        <f t="shared" si="8"/>
        <v>N/A</v>
      </c>
      <c r="BO30" s="16" t="str">
        <f t="shared" si="9"/>
        <v>N/A</v>
      </c>
      <c r="BP30" s="16" t="str">
        <f t="shared" si="10"/>
        <v>N/A</v>
      </c>
      <c r="BQ30" s="16" t="str">
        <f t="shared" si="11"/>
        <v>N/A</v>
      </c>
      <c r="BR30" s="16" t="str">
        <f t="shared" si="12"/>
        <v>N/A</v>
      </c>
      <c r="BS30" s="16" t="str">
        <f t="shared" si="13"/>
        <v>N/A</v>
      </c>
      <c r="BT30" s="16" t="str">
        <f t="shared" si="14"/>
        <v>N/A</v>
      </c>
      <c r="BU30" s="16" t="str">
        <f t="shared" si="15"/>
        <v>N/A</v>
      </c>
      <c r="BV30" s="16" t="str">
        <f t="shared" si="16"/>
        <v>N/A</v>
      </c>
      <c r="BW30" s="16" t="str">
        <f t="shared" si="17"/>
        <v>N/A</v>
      </c>
      <c r="BX30" s="16" t="str">
        <f t="shared" si="18"/>
        <v>N/A</v>
      </c>
      <c r="BY30" s="16" t="str">
        <f t="shared" si="19"/>
        <v>N/A</v>
      </c>
      <c r="BZ30" s="16" t="str">
        <f t="shared" si="20"/>
        <v>N/A</v>
      </c>
      <c r="CA30" s="16" t="str">
        <f t="shared" si="21"/>
        <v>N/A</v>
      </c>
      <c r="CB30" s="16" t="str">
        <f t="shared" si="22"/>
        <v>N/A</v>
      </c>
      <c r="CC30" s="16" t="str">
        <f t="shared" si="23"/>
        <v>N/A</v>
      </c>
      <c r="CD30" s="16" t="str">
        <f t="shared" si="24"/>
        <v>N/A</v>
      </c>
      <c r="CE30" s="16" t="str">
        <f t="shared" si="25"/>
        <v>N/A</v>
      </c>
      <c r="CF30" s="16" t="str">
        <f t="shared" si="26"/>
        <v>N/A</v>
      </c>
      <c r="CG30" s="16" t="str">
        <f t="shared" si="27"/>
        <v>N/A</v>
      </c>
      <c r="CH30" s="16" t="str">
        <f t="shared" si="28"/>
        <v>N/A</v>
      </c>
      <c r="CI30" s="16" t="str">
        <f t="shared" si="29"/>
        <v>N/A</v>
      </c>
      <c r="CJ30" s="16" t="str">
        <f t="shared" si="30"/>
        <v>N/A</v>
      </c>
      <c r="CK30" s="16" t="str">
        <f t="shared" si="31"/>
        <v>N/A</v>
      </c>
      <c r="CL30" s="16" t="str">
        <f t="shared" si="32"/>
        <v>N/A</v>
      </c>
      <c r="CM30" s="16" t="str">
        <f t="shared" si="33"/>
        <v>N/A</v>
      </c>
      <c r="CN30" s="16" t="str">
        <f t="shared" si="34"/>
        <v>N/A</v>
      </c>
      <c r="CO30" s="16" t="str">
        <f t="shared" si="35"/>
        <v>N/A</v>
      </c>
      <c r="CP30" s="16" t="str">
        <f t="shared" si="36"/>
        <v>N/A</v>
      </c>
      <c r="CQ30" s="16" t="str">
        <f t="shared" si="37"/>
        <v>N/A</v>
      </c>
      <c r="CR30" s="16" t="str">
        <f t="shared" si="38"/>
        <v>N/A</v>
      </c>
      <c r="CS30" s="16" t="str">
        <f t="shared" si="39"/>
        <v>N/A</v>
      </c>
      <c r="CT30" s="16" t="str">
        <f t="shared" si="40"/>
        <v>N/A</v>
      </c>
      <c r="CU30" s="16" t="str">
        <f t="shared" si="42"/>
        <v>N/A</v>
      </c>
      <c r="CV30" s="16" t="str">
        <f t="shared" si="43"/>
        <v>N/A</v>
      </c>
      <c r="CW30" s="16" t="str">
        <f t="shared" si="44"/>
        <v>N/A</v>
      </c>
      <c r="CX30" s="16" t="str">
        <f t="shared" si="45"/>
        <v>N/A</v>
      </c>
      <c r="CY30" s="16" t="str">
        <f t="shared" si="46"/>
        <v>N/A</v>
      </c>
    </row>
    <row r="31" spans="2:103" x14ac:dyDescent="0.25">
      <c r="B31" s="2"/>
      <c r="C31" s="6"/>
      <c r="D31" s="6"/>
      <c r="E31" s="7"/>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5"/>
      <c r="BA31" s="5"/>
      <c r="BB31" s="5"/>
      <c r="BC31" s="5"/>
      <c r="BD31" s="5">
        <f t="shared" si="41"/>
        <v>0</v>
      </c>
      <c r="BE31" s="2"/>
      <c r="BF31" s="2" t="str">
        <f t="shared" si="0"/>
        <v>Menos Horas</v>
      </c>
      <c r="BG31" s="2" t="str">
        <f t="shared" si="1"/>
        <v>Carga Lectiva Insuficiente</v>
      </c>
      <c r="BH31" s="16" t="str">
        <f t="shared" si="2"/>
        <v>Cumple</v>
      </c>
      <c r="BI31" s="2" t="str">
        <f t="shared" si="3"/>
        <v>Cumple</v>
      </c>
      <c r="BJ31" s="16" t="str">
        <f t="shared" si="4"/>
        <v>Cumple</v>
      </c>
      <c r="BK31" s="16" t="str">
        <f t="shared" si="5"/>
        <v>N/A</v>
      </c>
      <c r="BL31" s="16" t="str">
        <f t="shared" si="6"/>
        <v>N/A</v>
      </c>
      <c r="BM31" s="16" t="str">
        <f t="shared" si="7"/>
        <v>N/A</v>
      </c>
      <c r="BN31" s="16" t="str">
        <f t="shared" si="8"/>
        <v>N/A</v>
      </c>
      <c r="BO31" s="16" t="str">
        <f t="shared" si="9"/>
        <v>N/A</v>
      </c>
      <c r="BP31" s="16" t="str">
        <f t="shared" si="10"/>
        <v>N/A</v>
      </c>
      <c r="BQ31" s="16" t="str">
        <f t="shared" si="11"/>
        <v>N/A</v>
      </c>
      <c r="BR31" s="16" t="str">
        <f t="shared" si="12"/>
        <v>N/A</v>
      </c>
      <c r="BS31" s="16" t="str">
        <f t="shared" si="13"/>
        <v>N/A</v>
      </c>
      <c r="BT31" s="16" t="str">
        <f t="shared" si="14"/>
        <v>N/A</v>
      </c>
      <c r="BU31" s="16" t="str">
        <f t="shared" si="15"/>
        <v>N/A</v>
      </c>
      <c r="BV31" s="16" t="str">
        <f t="shared" si="16"/>
        <v>N/A</v>
      </c>
      <c r="BW31" s="16" t="str">
        <f t="shared" si="17"/>
        <v>N/A</v>
      </c>
      <c r="BX31" s="16" t="str">
        <f t="shared" si="18"/>
        <v>N/A</v>
      </c>
      <c r="BY31" s="16" t="str">
        <f t="shared" si="19"/>
        <v>N/A</v>
      </c>
      <c r="BZ31" s="16" t="str">
        <f t="shared" si="20"/>
        <v>N/A</v>
      </c>
      <c r="CA31" s="16" t="str">
        <f t="shared" si="21"/>
        <v>N/A</v>
      </c>
      <c r="CB31" s="16" t="str">
        <f t="shared" si="22"/>
        <v>N/A</v>
      </c>
      <c r="CC31" s="16" t="str">
        <f t="shared" si="23"/>
        <v>N/A</v>
      </c>
      <c r="CD31" s="16" t="str">
        <f t="shared" si="24"/>
        <v>N/A</v>
      </c>
      <c r="CE31" s="16" t="str">
        <f t="shared" si="25"/>
        <v>N/A</v>
      </c>
      <c r="CF31" s="16" t="str">
        <f t="shared" si="26"/>
        <v>N/A</v>
      </c>
      <c r="CG31" s="16" t="str">
        <f t="shared" si="27"/>
        <v>N/A</v>
      </c>
      <c r="CH31" s="16" t="str">
        <f t="shared" si="28"/>
        <v>N/A</v>
      </c>
      <c r="CI31" s="16" t="str">
        <f t="shared" si="29"/>
        <v>N/A</v>
      </c>
      <c r="CJ31" s="16" t="str">
        <f t="shared" si="30"/>
        <v>N/A</v>
      </c>
      <c r="CK31" s="16" t="str">
        <f t="shared" si="31"/>
        <v>N/A</v>
      </c>
      <c r="CL31" s="16" t="str">
        <f t="shared" si="32"/>
        <v>N/A</v>
      </c>
      <c r="CM31" s="16" t="str">
        <f t="shared" si="33"/>
        <v>N/A</v>
      </c>
      <c r="CN31" s="16" t="str">
        <f t="shared" si="34"/>
        <v>N/A</v>
      </c>
      <c r="CO31" s="16" t="str">
        <f t="shared" si="35"/>
        <v>N/A</v>
      </c>
      <c r="CP31" s="16" t="str">
        <f t="shared" si="36"/>
        <v>N/A</v>
      </c>
      <c r="CQ31" s="16" t="str">
        <f t="shared" si="37"/>
        <v>N/A</v>
      </c>
      <c r="CR31" s="16" t="str">
        <f t="shared" si="38"/>
        <v>N/A</v>
      </c>
      <c r="CS31" s="16" t="str">
        <f t="shared" si="39"/>
        <v>N/A</v>
      </c>
      <c r="CT31" s="16" t="str">
        <f t="shared" si="40"/>
        <v>N/A</v>
      </c>
      <c r="CU31" s="16" t="str">
        <f t="shared" si="42"/>
        <v>N/A</v>
      </c>
      <c r="CV31" s="16" t="str">
        <f t="shared" si="43"/>
        <v>N/A</v>
      </c>
      <c r="CW31" s="16" t="str">
        <f t="shared" si="44"/>
        <v>N/A</v>
      </c>
      <c r="CX31" s="16" t="str">
        <f t="shared" si="45"/>
        <v>N/A</v>
      </c>
      <c r="CY31" s="16" t="str">
        <f t="shared" si="46"/>
        <v>N/A</v>
      </c>
    </row>
    <row r="32" spans="2:103" x14ac:dyDescent="0.25">
      <c r="B32" s="2"/>
      <c r="C32" s="6"/>
      <c r="D32" s="6"/>
      <c r="E32" s="7"/>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5"/>
      <c r="BA32" s="5"/>
      <c r="BB32" s="5"/>
      <c r="BC32" s="5"/>
      <c r="BD32" s="5">
        <f t="shared" si="41"/>
        <v>0</v>
      </c>
      <c r="BE32" s="2"/>
      <c r="BF32" s="2" t="str">
        <f t="shared" si="0"/>
        <v>Menos Horas</v>
      </c>
      <c r="BG32" s="2" t="str">
        <f t="shared" si="1"/>
        <v>Carga Lectiva Insuficiente</v>
      </c>
      <c r="BH32" s="16" t="str">
        <f t="shared" si="2"/>
        <v>Cumple</v>
      </c>
      <c r="BI32" s="2" t="str">
        <f t="shared" si="3"/>
        <v>Cumple</v>
      </c>
      <c r="BJ32" s="16" t="str">
        <f t="shared" si="4"/>
        <v>Cumple</v>
      </c>
      <c r="BK32" s="16" t="str">
        <f t="shared" si="5"/>
        <v>N/A</v>
      </c>
      <c r="BL32" s="16" t="str">
        <f t="shared" si="6"/>
        <v>N/A</v>
      </c>
      <c r="BM32" s="16" t="str">
        <f t="shared" si="7"/>
        <v>N/A</v>
      </c>
      <c r="BN32" s="16" t="str">
        <f t="shared" si="8"/>
        <v>N/A</v>
      </c>
      <c r="BO32" s="16" t="str">
        <f t="shared" si="9"/>
        <v>N/A</v>
      </c>
      <c r="BP32" s="16" t="str">
        <f t="shared" si="10"/>
        <v>N/A</v>
      </c>
      <c r="BQ32" s="16" t="str">
        <f t="shared" si="11"/>
        <v>N/A</v>
      </c>
      <c r="BR32" s="16" t="str">
        <f t="shared" si="12"/>
        <v>N/A</v>
      </c>
      <c r="BS32" s="16" t="str">
        <f t="shared" si="13"/>
        <v>N/A</v>
      </c>
      <c r="BT32" s="16" t="str">
        <f t="shared" si="14"/>
        <v>N/A</v>
      </c>
      <c r="BU32" s="16" t="str">
        <f t="shared" si="15"/>
        <v>N/A</v>
      </c>
      <c r="BV32" s="16" t="str">
        <f t="shared" si="16"/>
        <v>N/A</v>
      </c>
      <c r="BW32" s="16" t="str">
        <f t="shared" si="17"/>
        <v>N/A</v>
      </c>
      <c r="BX32" s="16" t="str">
        <f t="shared" si="18"/>
        <v>N/A</v>
      </c>
      <c r="BY32" s="16" t="str">
        <f t="shared" si="19"/>
        <v>N/A</v>
      </c>
      <c r="BZ32" s="16" t="str">
        <f t="shared" si="20"/>
        <v>N/A</v>
      </c>
      <c r="CA32" s="16" t="str">
        <f t="shared" si="21"/>
        <v>N/A</v>
      </c>
      <c r="CB32" s="16" t="str">
        <f t="shared" si="22"/>
        <v>N/A</v>
      </c>
      <c r="CC32" s="16" t="str">
        <f t="shared" si="23"/>
        <v>N/A</v>
      </c>
      <c r="CD32" s="16" t="str">
        <f t="shared" si="24"/>
        <v>N/A</v>
      </c>
      <c r="CE32" s="16" t="str">
        <f t="shared" si="25"/>
        <v>N/A</v>
      </c>
      <c r="CF32" s="16" t="str">
        <f t="shared" si="26"/>
        <v>N/A</v>
      </c>
      <c r="CG32" s="16" t="str">
        <f t="shared" si="27"/>
        <v>N/A</v>
      </c>
      <c r="CH32" s="16" t="str">
        <f t="shared" si="28"/>
        <v>N/A</v>
      </c>
      <c r="CI32" s="16" t="str">
        <f t="shared" si="29"/>
        <v>N/A</v>
      </c>
      <c r="CJ32" s="16" t="str">
        <f t="shared" si="30"/>
        <v>N/A</v>
      </c>
      <c r="CK32" s="16" t="str">
        <f t="shared" si="31"/>
        <v>N/A</v>
      </c>
      <c r="CL32" s="16" t="str">
        <f t="shared" si="32"/>
        <v>N/A</v>
      </c>
      <c r="CM32" s="16" t="str">
        <f t="shared" si="33"/>
        <v>N/A</v>
      </c>
      <c r="CN32" s="16" t="str">
        <f t="shared" si="34"/>
        <v>N/A</v>
      </c>
      <c r="CO32" s="16" t="str">
        <f t="shared" si="35"/>
        <v>N/A</v>
      </c>
      <c r="CP32" s="16" t="str">
        <f t="shared" si="36"/>
        <v>N/A</v>
      </c>
      <c r="CQ32" s="16" t="str">
        <f t="shared" si="37"/>
        <v>N/A</v>
      </c>
      <c r="CR32" s="16" t="str">
        <f t="shared" si="38"/>
        <v>N/A</v>
      </c>
      <c r="CS32" s="16" t="str">
        <f t="shared" si="39"/>
        <v>N/A</v>
      </c>
      <c r="CT32" s="16" t="str">
        <f t="shared" si="40"/>
        <v>N/A</v>
      </c>
      <c r="CU32" s="16" t="str">
        <f t="shared" si="42"/>
        <v>N/A</v>
      </c>
      <c r="CV32" s="16" t="str">
        <f t="shared" si="43"/>
        <v>N/A</v>
      </c>
      <c r="CW32" s="16" t="str">
        <f t="shared" si="44"/>
        <v>N/A</v>
      </c>
      <c r="CX32" s="16" t="str">
        <f t="shared" si="45"/>
        <v>N/A</v>
      </c>
      <c r="CY32" s="16" t="str">
        <f t="shared" si="46"/>
        <v>N/A</v>
      </c>
    </row>
    <row r="33" spans="2:103" x14ac:dyDescent="0.25">
      <c r="B33" s="2"/>
      <c r="C33" s="6"/>
      <c r="D33" s="6"/>
      <c r="E33" s="7"/>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5"/>
      <c r="BA33" s="5"/>
      <c r="BB33" s="5"/>
      <c r="BC33" s="5"/>
      <c r="BD33" s="5">
        <f t="shared" si="41"/>
        <v>0</v>
      </c>
      <c r="BE33" s="2"/>
      <c r="BF33" s="2" t="str">
        <f t="shared" si="0"/>
        <v>Menos Horas</v>
      </c>
      <c r="BG33" s="2" t="str">
        <f t="shared" si="1"/>
        <v>Carga Lectiva Insuficiente</v>
      </c>
      <c r="BH33" s="16" t="str">
        <f t="shared" si="2"/>
        <v>Cumple</v>
      </c>
      <c r="BI33" s="2" t="str">
        <f t="shared" si="3"/>
        <v>Cumple</v>
      </c>
      <c r="BJ33" s="16" t="str">
        <f t="shared" si="4"/>
        <v>Cumple</v>
      </c>
      <c r="BK33" s="16" t="str">
        <f t="shared" si="5"/>
        <v>N/A</v>
      </c>
      <c r="BL33" s="16" t="str">
        <f t="shared" si="6"/>
        <v>N/A</v>
      </c>
      <c r="BM33" s="16" t="str">
        <f t="shared" si="7"/>
        <v>N/A</v>
      </c>
      <c r="BN33" s="16" t="str">
        <f t="shared" si="8"/>
        <v>N/A</v>
      </c>
      <c r="BO33" s="16" t="str">
        <f t="shared" si="9"/>
        <v>N/A</v>
      </c>
      <c r="BP33" s="16" t="str">
        <f t="shared" si="10"/>
        <v>N/A</v>
      </c>
      <c r="BQ33" s="16" t="str">
        <f t="shared" si="11"/>
        <v>N/A</v>
      </c>
      <c r="BR33" s="16" t="str">
        <f t="shared" si="12"/>
        <v>N/A</v>
      </c>
      <c r="BS33" s="16" t="str">
        <f t="shared" si="13"/>
        <v>N/A</v>
      </c>
      <c r="BT33" s="16" t="str">
        <f t="shared" si="14"/>
        <v>N/A</v>
      </c>
      <c r="BU33" s="16" t="str">
        <f t="shared" si="15"/>
        <v>N/A</v>
      </c>
      <c r="BV33" s="16" t="str">
        <f t="shared" si="16"/>
        <v>N/A</v>
      </c>
      <c r="BW33" s="16" t="str">
        <f t="shared" si="17"/>
        <v>N/A</v>
      </c>
      <c r="BX33" s="16" t="str">
        <f t="shared" si="18"/>
        <v>N/A</v>
      </c>
      <c r="BY33" s="16" t="str">
        <f t="shared" si="19"/>
        <v>N/A</v>
      </c>
      <c r="BZ33" s="16" t="str">
        <f t="shared" si="20"/>
        <v>N/A</v>
      </c>
      <c r="CA33" s="16" t="str">
        <f t="shared" si="21"/>
        <v>N/A</v>
      </c>
      <c r="CB33" s="16" t="str">
        <f t="shared" si="22"/>
        <v>N/A</v>
      </c>
      <c r="CC33" s="16" t="str">
        <f t="shared" si="23"/>
        <v>N/A</v>
      </c>
      <c r="CD33" s="16" t="str">
        <f t="shared" si="24"/>
        <v>N/A</v>
      </c>
      <c r="CE33" s="16" t="str">
        <f t="shared" si="25"/>
        <v>N/A</v>
      </c>
      <c r="CF33" s="16" t="str">
        <f t="shared" si="26"/>
        <v>N/A</v>
      </c>
      <c r="CG33" s="16" t="str">
        <f t="shared" si="27"/>
        <v>N/A</v>
      </c>
      <c r="CH33" s="16" t="str">
        <f t="shared" si="28"/>
        <v>N/A</v>
      </c>
      <c r="CI33" s="16" t="str">
        <f t="shared" si="29"/>
        <v>N/A</v>
      </c>
      <c r="CJ33" s="16" t="str">
        <f t="shared" si="30"/>
        <v>N/A</v>
      </c>
      <c r="CK33" s="16" t="str">
        <f t="shared" si="31"/>
        <v>N/A</v>
      </c>
      <c r="CL33" s="16" t="str">
        <f t="shared" si="32"/>
        <v>N/A</v>
      </c>
      <c r="CM33" s="16" t="str">
        <f t="shared" si="33"/>
        <v>N/A</v>
      </c>
      <c r="CN33" s="16" t="str">
        <f t="shared" si="34"/>
        <v>N/A</v>
      </c>
      <c r="CO33" s="16" t="str">
        <f t="shared" si="35"/>
        <v>N/A</v>
      </c>
      <c r="CP33" s="16" t="str">
        <f t="shared" si="36"/>
        <v>N/A</v>
      </c>
      <c r="CQ33" s="16" t="str">
        <f t="shared" si="37"/>
        <v>N/A</v>
      </c>
      <c r="CR33" s="16" t="str">
        <f t="shared" si="38"/>
        <v>N/A</v>
      </c>
      <c r="CS33" s="16" t="str">
        <f t="shared" si="39"/>
        <v>N/A</v>
      </c>
      <c r="CT33" s="16" t="str">
        <f t="shared" si="40"/>
        <v>N/A</v>
      </c>
      <c r="CU33" s="16" t="str">
        <f t="shared" si="42"/>
        <v>N/A</v>
      </c>
      <c r="CV33" s="16" t="str">
        <f t="shared" si="43"/>
        <v>N/A</v>
      </c>
      <c r="CW33" s="16" t="str">
        <f t="shared" si="44"/>
        <v>N/A</v>
      </c>
      <c r="CX33" s="16" t="str">
        <f t="shared" si="45"/>
        <v>N/A</v>
      </c>
      <c r="CY33" s="16" t="str">
        <f t="shared" si="46"/>
        <v>N/A</v>
      </c>
    </row>
    <row r="34" spans="2:103" x14ac:dyDescent="0.25">
      <c r="B34" s="2"/>
      <c r="C34" s="6"/>
      <c r="D34" s="6"/>
      <c r="E34" s="7"/>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f t="shared" si="41"/>
        <v>0</v>
      </c>
      <c r="BE34" s="2"/>
      <c r="BF34" s="2" t="str">
        <f t="shared" si="0"/>
        <v>Menos Horas</v>
      </c>
      <c r="BG34" s="2" t="str">
        <f t="shared" si="1"/>
        <v>Carga Lectiva Insuficiente</v>
      </c>
      <c r="BH34" s="16" t="str">
        <f t="shared" si="2"/>
        <v>Cumple</v>
      </c>
      <c r="BI34" s="2" t="str">
        <f t="shared" si="3"/>
        <v>Cumple</v>
      </c>
      <c r="BJ34" s="16" t="str">
        <f t="shared" si="4"/>
        <v>Cumple</v>
      </c>
      <c r="BK34" s="16" t="str">
        <f t="shared" si="5"/>
        <v>N/A</v>
      </c>
      <c r="BL34" s="16" t="str">
        <f t="shared" si="6"/>
        <v>N/A</v>
      </c>
      <c r="BM34" s="16" t="str">
        <f t="shared" si="7"/>
        <v>N/A</v>
      </c>
      <c r="BN34" s="16" t="str">
        <f t="shared" si="8"/>
        <v>N/A</v>
      </c>
      <c r="BO34" s="16" t="str">
        <f t="shared" si="9"/>
        <v>N/A</v>
      </c>
      <c r="BP34" s="16" t="str">
        <f t="shared" si="10"/>
        <v>N/A</v>
      </c>
      <c r="BQ34" s="16" t="str">
        <f t="shared" si="11"/>
        <v>N/A</v>
      </c>
      <c r="BR34" s="16" t="str">
        <f t="shared" si="12"/>
        <v>N/A</v>
      </c>
      <c r="BS34" s="16" t="str">
        <f t="shared" si="13"/>
        <v>N/A</v>
      </c>
      <c r="BT34" s="16" t="str">
        <f t="shared" si="14"/>
        <v>N/A</v>
      </c>
      <c r="BU34" s="16" t="str">
        <f t="shared" si="15"/>
        <v>N/A</v>
      </c>
      <c r="BV34" s="16" t="str">
        <f t="shared" si="16"/>
        <v>N/A</v>
      </c>
      <c r="BW34" s="16" t="str">
        <f t="shared" si="17"/>
        <v>N/A</v>
      </c>
      <c r="BX34" s="16" t="str">
        <f t="shared" si="18"/>
        <v>N/A</v>
      </c>
      <c r="BY34" s="16" t="str">
        <f t="shared" si="19"/>
        <v>N/A</v>
      </c>
      <c r="BZ34" s="16" t="str">
        <f t="shared" si="20"/>
        <v>N/A</v>
      </c>
      <c r="CA34" s="16" t="str">
        <f t="shared" si="21"/>
        <v>N/A</v>
      </c>
      <c r="CB34" s="16" t="str">
        <f t="shared" si="22"/>
        <v>N/A</v>
      </c>
      <c r="CC34" s="16" t="str">
        <f t="shared" si="23"/>
        <v>N/A</v>
      </c>
      <c r="CD34" s="16" t="str">
        <f t="shared" si="24"/>
        <v>N/A</v>
      </c>
      <c r="CE34" s="16" t="str">
        <f t="shared" si="25"/>
        <v>N/A</v>
      </c>
      <c r="CF34" s="16" t="str">
        <f t="shared" si="26"/>
        <v>N/A</v>
      </c>
      <c r="CG34" s="16" t="str">
        <f t="shared" si="27"/>
        <v>N/A</v>
      </c>
      <c r="CH34" s="16" t="str">
        <f t="shared" si="28"/>
        <v>N/A</v>
      </c>
      <c r="CI34" s="16" t="str">
        <f t="shared" si="29"/>
        <v>N/A</v>
      </c>
      <c r="CJ34" s="16" t="str">
        <f t="shared" si="30"/>
        <v>N/A</v>
      </c>
      <c r="CK34" s="16" t="str">
        <f t="shared" si="31"/>
        <v>N/A</v>
      </c>
      <c r="CL34" s="16" t="str">
        <f t="shared" si="32"/>
        <v>N/A</v>
      </c>
      <c r="CM34" s="16" t="str">
        <f t="shared" si="33"/>
        <v>N/A</v>
      </c>
      <c r="CN34" s="16" t="str">
        <f t="shared" si="34"/>
        <v>N/A</v>
      </c>
      <c r="CO34" s="16" t="str">
        <f t="shared" si="35"/>
        <v>N/A</v>
      </c>
      <c r="CP34" s="16" t="str">
        <f t="shared" si="36"/>
        <v>N/A</v>
      </c>
      <c r="CQ34" s="16" t="str">
        <f t="shared" si="37"/>
        <v>N/A</v>
      </c>
      <c r="CR34" s="16" t="str">
        <f t="shared" si="38"/>
        <v>N/A</v>
      </c>
      <c r="CS34" s="16" t="str">
        <f t="shared" si="39"/>
        <v>N/A</v>
      </c>
      <c r="CT34" s="16" t="str">
        <f t="shared" si="40"/>
        <v>N/A</v>
      </c>
      <c r="CU34" s="16" t="str">
        <f t="shared" si="42"/>
        <v>N/A</v>
      </c>
      <c r="CV34" s="16" t="str">
        <f t="shared" si="43"/>
        <v>N/A</v>
      </c>
      <c r="CW34" s="16" t="str">
        <f t="shared" si="44"/>
        <v>N/A</v>
      </c>
      <c r="CX34" s="16" t="str">
        <f t="shared" si="45"/>
        <v>N/A</v>
      </c>
      <c r="CY34" s="16" t="str">
        <f t="shared" si="46"/>
        <v>N/A</v>
      </c>
    </row>
    <row r="35" spans="2:103" x14ac:dyDescent="0.25">
      <c r="B35" s="2"/>
      <c r="C35" s="6"/>
      <c r="D35" s="6"/>
      <c r="E35" s="7"/>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5"/>
      <c r="BA35" s="5"/>
      <c r="BB35" s="5"/>
      <c r="BC35" s="5"/>
      <c r="BD35" s="5">
        <f t="shared" si="41"/>
        <v>0</v>
      </c>
      <c r="BE35" s="2"/>
      <c r="BF35" s="2" t="str">
        <f t="shared" si="0"/>
        <v>Menos Horas</v>
      </c>
      <c r="BG35" s="2" t="str">
        <f t="shared" si="1"/>
        <v>Carga Lectiva Insuficiente</v>
      </c>
      <c r="BH35" s="16" t="str">
        <f t="shared" si="2"/>
        <v>Cumple</v>
      </c>
      <c r="BI35" s="2" t="str">
        <f t="shared" si="3"/>
        <v>Cumple</v>
      </c>
      <c r="BJ35" s="16" t="str">
        <f t="shared" si="4"/>
        <v>Cumple</v>
      </c>
      <c r="BK35" s="16" t="str">
        <f t="shared" si="5"/>
        <v>N/A</v>
      </c>
      <c r="BL35" s="16" t="str">
        <f t="shared" si="6"/>
        <v>N/A</v>
      </c>
      <c r="BM35" s="16" t="str">
        <f t="shared" si="7"/>
        <v>N/A</v>
      </c>
      <c r="BN35" s="16" t="str">
        <f t="shared" si="8"/>
        <v>N/A</v>
      </c>
      <c r="BO35" s="16" t="str">
        <f t="shared" si="9"/>
        <v>N/A</v>
      </c>
      <c r="BP35" s="16" t="str">
        <f t="shared" si="10"/>
        <v>N/A</v>
      </c>
      <c r="BQ35" s="16" t="str">
        <f t="shared" si="11"/>
        <v>N/A</v>
      </c>
      <c r="BR35" s="16" t="str">
        <f t="shared" si="12"/>
        <v>N/A</v>
      </c>
      <c r="BS35" s="16" t="str">
        <f t="shared" si="13"/>
        <v>N/A</v>
      </c>
      <c r="BT35" s="16" t="str">
        <f t="shared" si="14"/>
        <v>N/A</v>
      </c>
      <c r="BU35" s="16" t="str">
        <f t="shared" si="15"/>
        <v>N/A</v>
      </c>
      <c r="BV35" s="16" t="str">
        <f t="shared" si="16"/>
        <v>N/A</v>
      </c>
      <c r="BW35" s="16" t="str">
        <f t="shared" si="17"/>
        <v>N/A</v>
      </c>
      <c r="BX35" s="16" t="str">
        <f t="shared" si="18"/>
        <v>N/A</v>
      </c>
      <c r="BY35" s="16" t="str">
        <f t="shared" si="19"/>
        <v>N/A</v>
      </c>
      <c r="BZ35" s="16" t="str">
        <f t="shared" si="20"/>
        <v>N/A</v>
      </c>
      <c r="CA35" s="16" t="str">
        <f t="shared" si="21"/>
        <v>N/A</v>
      </c>
      <c r="CB35" s="16" t="str">
        <f t="shared" si="22"/>
        <v>N/A</v>
      </c>
      <c r="CC35" s="16" t="str">
        <f t="shared" si="23"/>
        <v>N/A</v>
      </c>
      <c r="CD35" s="16" t="str">
        <f t="shared" si="24"/>
        <v>N/A</v>
      </c>
      <c r="CE35" s="16" t="str">
        <f t="shared" si="25"/>
        <v>N/A</v>
      </c>
      <c r="CF35" s="16" t="str">
        <f t="shared" si="26"/>
        <v>N/A</v>
      </c>
      <c r="CG35" s="16" t="str">
        <f t="shared" si="27"/>
        <v>N/A</v>
      </c>
      <c r="CH35" s="16" t="str">
        <f t="shared" si="28"/>
        <v>N/A</v>
      </c>
      <c r="CI35" s="16" t="str">
        <f t="shared" si="29"/>
        <v>N/A</v>
      </c>
      <c r="CJ35" s="16" t="str">
        <f t="shared" si="30"/>
        <v>N/A</v>
      </c>
      <c r="CK35" s="16" t="str">
        <f t="shared" si="31"/>
        <v>N/A</v>
      </c>
      <c r="CL35" s="16" t="str">
        <f t="shared" si="32"/>
        <v>N/A</v>
      </c>
      <c r="CM35" s="16" t="str">
        <f t="shared" si="33"/>
        <v>N/A</v>
      </c>
      <c r="CN35" s="16" t="str">
        <f t="shared" si="34"/>
        <v>N/A</v>
      </c>
      <c r="CO35" s="16" t="str">
        <f t="shared" si="35"/>
        <v>N/A</v>
      </c>
      <c r="CP35" s="16" t="str">
        <f t="shared" si="36"/>
        <v>N/A</v>
      </c>
      <c r="CQ35" s="16" t="str">
        <f t="shared" si="37"/>
        <v>N/A</v>
      </c>
      <c r="CR35" s="16" t="str">
        <f t="shared" si="38"/>
        <v>N/A</v>
      </c>
      <c r="CS35" s="16" t="str">
        <f t="shared" si="39"/>
        <v>N/A</v>
      </c>
      <c r="CT35" s="16" t="str">
        <f t="shared" si="40"/>
        <v>N/A</v>
      </c>
      <c r="CU35" s="16" t="str">
        <f t="shared" si="42"/>
        <v>N/A</v>
      </c>
      <c r="CV35" s="16" t="str">
        <f t="shared" si="43"/>
        <v>N/A</v>
      </c>
      <c r="CW35" s="16" t="str">
        <f t="shared" si="44"/>
        <v>N/A</v>
      </c>
      <c r="CX35" s="16" t="str">
        <f t="shared" si="45"/>
        <v>N/A</v>
      </c>
      <c r="CY35" s="16" t="str">
        <f t="shared" si="46"/>
        <v>N/A</v>
      </c>
    </row>
    <row r="36" spans="2:103" x14ac:dyDescent="0.25">
      <c r="B36" s="2"/>
      <c r="C36" s="6"/>
      <c r="D36" s="6"/>
      <c r="E36" s="7"/>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5"/>
      <c r="BA36" s="5"/>
      <c r="BB36" s="5"/>
      <c r="BC36" s="5"/>
      <c r="BD36" s="5">
        <f t="shared" si="41"/>
        <v>0</v>
      </c>
      <c r="BE36" s="2"/>
      <c r="BF36" s="2" t="str">
        <f t="shared" si="0"/>
        <v>Menos Horas</v>
      </c>
      <c r="BG36" s="2" t="str">
        <f t="shared" si="1"/>
        <v>Carga Lectiva Insuficiente</v>
      </c>
      <c r="BH36" s="16" t="str">
        <f t="shared" si="2"/>
        <v>Cumple</v>
      </c>
      <c r="BI36" s="2" t="str">
        <f t="shared" si="3"/>
        <v>Cumple</v>
      </c>
      <c r="BJ36" s="16" t="str">
        <f t="shared" si="4"/>
        <v>Cumple</v>
      </c>
      <c r="BK36" s="16" t="str">
        <f t="shared" si="5"/>
        <v>N/A</v>
      </c>
      <c r="BL36" s="16" t="str">
        <f t="shared" si="6"/>
        <v>N/A</v>
      </c>
      <c r="BM36" s="16" t="str">
        <f t="shared" si="7"/>
        <v>N/A</v>
      </c>
      <c r="BN36" s="16" t="str">
        <f t="shared" si="8"/>
        <v>N/A</v>
      </c>
      <c r="BO36" s="16" t="str">
        <f t="shared" si="9"/>
        <v>N/A</v>
      </c>
      <c r="BP36" s="16" t="str">
        <f t="shared" si="10"/>
        <v>N/A</v>
      </c>
      <c r="BQ36" s="16" t="str">
        <f t="shared" si="11"/>
        <v>N/A</v>
      </c>
      <c r="BR36" s="16" t="str">
        <f t="shared" si="12"/>
        <v>N/A</v>
      </c>
      <c r="BS36" s="16" t="str">
        <f t="shared" si="13"/>
        <v>N/A</v>
      </c>
      <c r="BT36" s="16" t="str">
        <f t="shared" si="14"/>
        <v>N/A</v>
      </c>
      <c r="BU36" s="16" t="str">
        <f t="shared" si="15"/>
        <v>N/A</v>
      </c>
      <c r="BV36" s="16" t="str">
        <f t="shared" si="16"/>
        <v>N/A</v>
      </c>
      <c r="BW36" s="16" t="str">
        <f t="shared" si="17"/>
        <v>N/A</v>
      </c>
      <c r="BX36" s="16" t="str">
        <f t="shared" si="18"/>
        <v>N/A</v>
      </c>
      <c r="BY36" s="16" t="str">
        <f t="shared" si="19"/>
        <v>N/A</v>
      </c>
      <c r="BZ36" s="16" t="str">
        <f t="shared" si="20"/>
        <v>N/A</v>
      </c>
      <c r="CA36" s="16" t="str">
        <f t="shared" si="21"/>
        <v>N/A</v>
      </c>
      <c r="CB36" s="16" t="str">
        <f t="shared" si="22"/>
        <v>N/A</v>
      </c>
      <c r="CC36" s="16" t="str">
        <f t="shared" si="23"/>
        <v>N/A</v>
      </c>
      <c r="CD36" s="16" t="str">
        <f t="shared" si="24"/>
        <v>N/A</v>
      </c>
      <c r="CE36" s="16" t="str">
        <f t="shared" si="25"/>
        <v>N/A</v>
      </c>
      <c r="CF36" s="16" t="str">
        <f t="shared" si="26"/>
        <v>N/A</v>
      </c>
      <c r="CG36" s="16" t="str">
        <f t="shared" si="27"/>
        <v>N/A</v>
      </c>
      <c r="CH36" s="16" t="str">
        <f t="shared" si="28"/>
        <v>N/A</v>
      </c>
      <c r="CI36" s="16" t="str">
        <f t="shared" si="29"/>
        <v>N/A</v>
      </c>
      <c r="CJ36" s="16" t="str">
        <f t="shared" si="30"/>
        <v>N/A</v>
      </c>
      <c r="CK36" s="16" t="str">
        <f t="shared" si="31"/>
        <v>N/A</v>
      </c>
      <c r="CL36" s="16" t="str">
        <f t="shared" si="32"/>
        <v>N/A</v>
      </c>
      <c r="CM36" s="16" t="str">
        <f t="shared" si="33"/>
        <v>N/A</v>
      </c>
      <c r="CN36" s="16" t="str">
        <f t="shared" si="34"/>
        <v>N/A</v>
      </c>
      <c r="CO36" s="16" t="str">
        <f t="shared" si="35"/>
        <v>N/A</v>
      </c>
      <c r="CP36" s="16" t="str">
        <f t="shared" si="36"/>
        <v>N/A</v>
      </c>
      <c r="CQ36" s="16" t="str">
        <f t="shared" si="37"/>
        <v>N/A</v>
      </c>
      <c r="CR36" s="16" t="str">
        <f t="shared" si="38"/>
        <v>N/A</v>
      </c>
      <c r="CS36" s="16" t="str">
        <f t="shared" si="39"/>
        <v>N/A</v>
      </c>
      <c r="CT36" s="16" t="str">
        <f t="shared" si="40"/>
        <v>N/A</v>
      </c>
      <c r="CU36" s="16" t="str">
        <f t="shared" si="42"/>
        <v>N/A</v>
      </c>
      <c r="CV36" s="16" t="str">
        <f t="shared" si="43"/>
        <v>N/A</v>
      </c>
      <c r="CW36" s="16" t="str">
        <f t="shared" si="44"/>
        <v>N/A</v>
      </c>
      <c r="CX36" s="16" t="str">
        <f t="shared" si="45"/>
        <v>N/A</v>
      </c>
      <c r="CY36" s="16" t="str">
        <f t="shared" si="46"/>
        <v>N/A</v>
      </c>
    </row>
    <row r="37" spans="2:103" x14ac:dyDescent="0.25">
      <c r="B37" s="2"/>
      <c r="C37" s="6"/>
      <c r="D37" s="6"/>
      <c r="E37" s="7"/>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5"/>
      <c r="BA37" s="5"/>
      <c r="BB37" s="5"/>
      <c r="BC37" s="5"/>
      <c r="BD37" s="5">
        <f t="shared" si="41"/>
        <v>0</v>
      </c>
      <c r="BE37" s="2"/>
      <c r="BF37" s="2" t="str">
        <f t="shared" si="0"/>
        <v>Menos Horas</v>
      </c>
      <c r="BG37" s="2" t="str">
        <f t="shared" si="1"/>
        <v>Carga Lectiva Insuficiente</v>
      </c>
      <c r="BH37" s="16" t="str">
        <f t="shared" si="2"/>
        <v>Cumple</v>
      </c>
      <c r="BI37" s="2" t="str">
        <f t="shared" si="3"/>
        <v>Cumple</v>
      </c>
      <c r="BJ37" s="16" t="str">
        <f t="shared" si="4"/>
        <v>Cumple</v>
      </c>
      <c r="BK37" s="16" t="str">
        <f t="shared" si="5"/>
        <v>N/A</v>
      </c>
      <c r="BL37" s="16" t="str">
        <f t="shared" si="6"/>
        <v>N/A</v>
      </c>
      <c r="BM37" s="16" t="str">
        <f t="shared" si="7"/>
        <v>N/A</v>
      </c>
      <c r="BN37" s="16" t="str">
        <f t="shared" si="8"/>
        <v>N/A</v>
      </c>
      <c r="BO37" s="16" t="str">
        <f t="shared" si="9"/>
        <v>N/A</v>
      </c>
      <c r="BP37" s="16" t="str">
        <f t="shared" si="10"/>
        <v>N/A</v>
      </c>
      <c r="BQ37" s="16" t="str">
        <f t="shared" si="11"/>
        <v>N/A</v>
      </c>
      <c r="BR37" s="16" t="str">
        <f t="shared" si="12"/>
        <v>N/A</v>
      </c>
      <c r="BS37" s="16" t="str">
        <f t="shared" si="13"/>
        <v>N/A</v>
      </c>
      <c r="BT37" s="16" t="str">
        <f t="shared" si="14"/>
        <v>N/A</v>
      </c>
      <c r="BU37" s="16" t="str">
        <f t="shared" si="15"/>
        <v>N/A</v>
      </c>
      <c r="BV37" s="16" t="str">
        <f t="shared" si="16"/>
        <v>N/A</v>
      </c>
      <c r="BW37" s="16" t="str">
        <f t="shared" si="17"/>
        <v>N/A</v>
      </c>
      <c r="BX37" s="16" t="str">
        <f t="shared" si="18"/>
        <v>N/A</v>
      </c>
      <c r="BY37" s="16" t="str">
        <f t="shared" si="19"/>
        <v>N/A</v>
      </c>
      <c r="BZ37" s="16" t="str">
        <f t="shared" si="20"/>
        <v>N/A</v>
      </c>
      <c r="CA37" s="16" t="str">
        <f t="shared" si="21"/>
        <v>N/A</v>
      </c>
      <c r="CB37" s="16" t="str">
        <f t="shared" si="22"/>
        <v>N/A</v>
      </c>
      <c r="CC37" s="16" t="str">
        <f t="shared" si="23"/>
        <v>N/A</v>
      </c>
      <c r="CD37" s="16" t="str">
        <f t="shared" si="24"/>
        <v>N/A</v>
      </c>
      <c r="CE37" s="16" t="str">
        <f t="shared" si="25"/>
        <v>N/A</v>
      </c>
      <c r="CF37" s="16" t="str">
        <f t="shared" si="26"/>
        <v>N/A</v>
      </c>
      <c r="CG37" s="16" t="str">
        <f t="shared" si="27"/>
        <v>N/A</v>
      </c>
      <c r="CH37" s="16" t="str">
        <f t="shared" si="28"/>
        <v>N/A</v>
      </c>
      <c r="CI37" s="16" t="str">
        <f t="shared" si="29"/>
        <v>N/A</v>
      </c>
      <c r="CJ37" s="16" t="str">
        <f t="shared" si="30"/>
        <v>N/A</v>
      </c>
      <c r="CK37" s="16" t="str">
        <f t="shared" si="31"/>
        <v>N/A</v>
      </c>
      <c r="CL37" s="16" t="str">
        <f t="shared" si="32"/>
        <v>N/A</v>
      </c>
      <c r="CM37" s="16" t="str">
        <f t="shared" si="33"/>
        <v>N/A</v>
      </c>
      <c r="CN37" s="16" t="str">
        <f t="shared" si="34"/>
        <v>N/A</v>
      </c>
      <c r="CO37" s="16" t="str">
        <f t="shared" si="35"/>
        <v>N/A</v>
      </c>
      <c r="CP37" s="16" t="str">
        <f t="shared" si="36"/>
        <v>N/A</v>
      </c>
      <c r="CQ37" s="16" t="str">
        <f t="shared" si="37"/>
        <v>N/A</v>
      </c>
      <c r="CR37" s="16" t="str">
        <f t="shared" si="38"/>
        <v>N/A</v>
      </c>
      <c r="CS37" s="16" t="str">
        <f t="shared" si="39"/>
        <v>N/A</v>
      </c>
      <c r="CT37" s="16" t="str">
        <f t="shared" si="40"/>
        <v>N/A</v>
      </c>
      <c r="CU37" s="16" t="str">
        <f t="shared" si="42"/>
        <v>N/A</v>
      </c>
      <c r="CV37" s="16" t="str">
        <f t="shared" si="43"/>
        <v>N/A</v>
      </c>
      <c r="CW37" s="16" t="str">
        <f t="shared" si="44"/>
        <v>N/A</v>
      </c>
      <c r="CX37" s="16" t="str">
        <f t="shared" si="45"/>
        <v>N/A</v>
      </c>
      <c r="CY37" s="16" t="str">
        <f t="shared" si="46"/>
        <v>N/A</v>
      </c>
    </row>
    <row r="38" spans="2:103" x14ac:dyDescent="0.25">
      <c r="B38" s="2"/>
      <c r="C38" s="6"/>
      <c r="D38" s="6"/>
      <c r="E38" s="7"/>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5"/>
      <c r="BA38" s="5"/>
      <c r="BB38" s="5"/>
      <c r="BC38" s="5"/>
      <c r="BD38" s="5">
        <f t="shared" si="41"/>
        <v>0</v>
      </c>
      <c r="BE38" s="2"/>
      <c r="BF38" s="2" t="str">
        <f t="shared" si="0"/>
        <v>Menos Horas</v>
      </c>
      <c r="BG38" s="2" t="str">
        <f t="shared" si="1"/>
        <v>Carga Lectiva Insuficiente</v>
      </c>
      <c r="BH38" s="16" t="str">
        <f t="shared" si="2"/>
        <v>Cumple</v>
      </c>
      <c r="BI38" s="2" t="str">
        <f t="shared" si="3"/>
        <v>Cumple</v>
      </c>
      <c r="BJ38" s="16" t="str">
        <f t="shared" si="4"/>
        <v>Cumple</v>
      </c>
      <c r="BK38" s="16" t="str">
        <f t="shared" si="5"/>
        <v>N/A</v>
      </c>
      <c r="BL38" s="16" t="str">
        <f t="shared" si="6"/>
        <v>N/A</v>
      </c>
      <c r="BM38" s="16" t="str">
        <f t="shared" si="7"/>
        <v>N/A</v>
      </c>
      <c r="BN38" s="16" t="str">
        <f t="shared" si="8"/>
        <v>N/A</v>
      </c>
      <c r="BO38" s="16" t="str">
        <f t="shared" si="9"/>
        <v>N/A</v>
      </c>
      <c r="BP38" s="16" t="str">
        <f t="shared" si="10"/>
        <v>N/A</v>
      </c>
      <c r="BQ38" s="16" t="str">
        <f t="shared" si="11"/>
        <v>N/A</v>
      </c>
      <c r="BR38" s="16" t="str">
        <f t="shared" si="12"/>
        <v>N/A</v>
      </c>
      <c r="BS38" s="16" t="str">
        <f t="shared" si="13"/>
        <v>N/A</v>
      </c>
      <c r="BT38" s="16" t="str">
        <f t="shared" si="14"/>
        <v>N/A</v>
      </c>
      <c r="BU38" s="16" t="str">
        <f t="shared" si="15"/>
        <v>N/A</v>
      </c>
      <c r="BV38" s="16" t="str">
        <f t="shared" si="16"/>
        <v>N/A</v>
      </c>
      <c r="BW38" s="16" t="str">
        <f t="shared" si="17"/>
        <v>N/A</v>
      </c>
      <c r="BX38" s="16" t="str">
        <f t="shared" si="18"/>
        <v>N/A</v>
      </c>
      <c r="BY38" s="16" t="str">
        <f t="shared" si="19"/>
        <v>N/A</v>
      </c>
      <c r="BZ38" s="16" t="str">
        <f t="shared" si="20"/>
        <v>N/A</v>
      </c>
      <c r="CA38" s="16" t="str">
        <f t="shared" si="21"/>
        <v>N/A</v>
      </c>
      <c r="CB38" s="16" t="str">
        <f t="shared" si="22"/>
        <v>N/A</v>
      </c>
      <c r="CC38" s="16" t="str">
        <f t="shared" si="23"/>
        <v>N/A</v>
      </c>
      <c r="CD38" s="16" t="str">
        <f t="shared" si="24"/>
        <v>N/A</v>
      </c>
      <c r="CE38" s="16" t="str">
        <f t="shared" si="25"/>
        <v>N/A</v>
      </c>
      <c r="CF38" s="16" t="str">
        <f t="shared" si="26"/>
        <v>N/A</v>
      </c>
      <c r="CG38" s="16" t="str">
        <f t="shared" si="27"/>
        <v>N/A</v>
      </c>
      <c r="CH38" s="16" t="str">
        <f t="shared" si="28"/>
        <v>N/A</v>
      </c>
      <c r="CI38" s="16" t="str">
        <f t="shared" si="29"/>
        <v>N/A</v>
      </c>
      <c r="CJ38" s="16" t="str">
        <f t="shared" si="30"/>
        <v>N/A</v>
      </c>
      <c r="CK38" s="16" t="str">
        <f t="shared" si="31"/>
        <v>N/A</v>
      </c>
      <c r="CL38" s="16" t="str">
        <f t="shared" si="32"/>
        <v>N/A</v>
      </c>
      <c r="CM38" s="16" t="str">
        <f t="shared" si="33"/>
        <v>N/A</v>
      </c>
      <c r="CN38" s="16" t="str">
        <f t="shared" si="34"/>
        <v>N/A</v>
      </c>
      <c r="CO38" s="16" t="str">
        <f t="shared" si="35"/>
        <v>N/A</v>
      </c>
      <c r="CP38" s="16" t="str">
        <f t="shared" si="36"/>
        <v>N/A</v>
      </c>
      <c r="CQ38" s="16" t="str">
        <f t="shared" si="37"/>
        <v>N/A</v>
      </c>
      <c r="CR38" s="16" t="str">
        <f t="shared" si="38"/>
        <v>N/A</v>
      </c>
      <c r="CS38" s="16" t="str">
        <f t="shared" si="39"/>
        <v>N/A</v>
      </c>
      <c r="CT38" s="16" t="str">
        <f t="shared" si="40"/>
        <v>N/A</v>
      </c>
      <c r="CU38" s="16" t="str">
        <f t="shared" si="42"/>
        <v>N/A</v>
      </c>
      <c r="CV38" s="16" t="str">
        <f t="shared" si="43"/>
        <v>N/A</v>
      </c>
      <c r="CW38" s="16" t="str">
        <f t="shared" si="44"/>
        <v>N/A</v>
      </c>
      <c r="CX38" s="16" t="str">
        <f t="shared" si="45"/>
        <v>N/A</v>
      </c>
      <c r="CY38" s="16" t="str">
        <f t="shared" si="46"/>
        <v>N/A</v>
      </c>
    </row>
    <row r="39" spans="2:103" x14ac:dyDescent="0.25">
      <c r="B39" s="2"/>
      <c r="C39" s="6"/>
      <c r="D39" s="6"/>
      <c r="E39" s="7"/>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5"/>
      <c r="BA39" s="5"/>
      <c r="BB39" s="5"/>
      <c r="BC39" s="5"/>
      <c r="BD39" s="5">
        <f t="shared" ref="BD39:BD70" si="47">AY39+AZ39</f>
        <v>0</v>
      </c>
      <c r="BE39" s="2"/>
      <c r="BF39" s="2" t="str">
        <f t="shared" ref="BF39:BF70" si="48">IF(BD39=40,"Cumple",IF(BD39&gt;40,"Mas Horas","Menos Horas"))</f>
        <v>Menos Horas</v>
      </c>
      <c r="BG39" s="2" t="str">
        <f t="shared" ref="BG39:BG70" si="49">IF(BA39=1,IF(AZ39&gt;18,"Exceso Carga Lectiva",IF(AZ39&lt;16,"Carga Lectiva Insuficiente","Cumple")),IF(AZ39&gt;14,"Exceso Carga Lectiva",IF(AZ39&lt;12,"Carga Lectiva Insuficiente","Cumple")))</f>
        <v>Carga Lectiva Insuficiente</v>
      </c>
      <c r="BH39" s="16" t="str">
        <f t="shared" ref="BH39:BH70" si="50">IF(AL39&gt;(AZ39/2),"Exceso Horas","Cumple")</f>
        <v>Cumple</v>
      </c>
      <c r="BI39" s="2" t="str">
        <f t="shared" ref="BI39:BI70" si="51">IF(F39&gt;8,"Exceso Horas","Cumple")</f>
        <v>Cumple</v>
      </c>
      <c r="BJ39" s="16" t="str">
        <f t="shared" ref="BJ39:BJ70" si="52">IF(G39&gt;4,"Exceso Horas","Cumple")</f>
        <v>Cumple</v>
      </c>
      <c r="BK39" s="16" t="str">
        <f t="shared" ref="BK39:BK70" si="53">IF(H39=0,"N/A",IF(H39&gt;8,"Exceso Horas","Cumple"))</f>
        <v>N/A</v>
      </c>
      <c r="BL39" s="16" t="str">
        <f t="shared" ref="BL39:BL70" si="54">IF(J39=0,"N/A",IF(J39&gt;2,"Exceso Horas","Cumple"))</f>
        <v>N/A</v>
      </c>
      <c r="BM39" s="16" t="str">
        <f t="shared" ref="BM39:BM70" si="55">IF(M39=0,"N/A",IF(M39&gt;20,"Exceso Horas","Cumple"))</f>
        <v>N/A</v>
      </c>
      <c r="BN39" s="16" t="str">
        <f t="shared" ref="BN39:BN70" si="56">IF(N39=0,"N/A",IF(N39&gt;20,"Exceso Horas","Cumple"))</f>
        <v>N/A</v>
      </c>
      <c r="BO39" s="16" t="str">
        <f t="shared" ref="BO39:BO70" si="57">IF(O39=0,"N/A",IF(O39&gt;20,"Exceso Horas","Cumple"))</f>
        <v>N/A</v>
      </c>
      <c r="BP39" s="16" t="str">
        <f t="shared" ref="BP39:BP70" si="58">IF(P39=0,"N/A",IF(P39&gt;20,"Exceso Horas","Cumple"))</f>
        <v>N/A</v>
      </c>
      <c r="BQ39" s="16" t="str">
        <f t="shared" ref="BQ39:BQ70" si="59">IF(Q39=0,"N/A",IF(Q39&gt;20,"Exceso Horas","Cumple"))</f>
        <v>N/A</v>
      </c>
      <c r="BR39" s="16" t="str">
        <f t="shared" ref="BR39:BR70" si="60">IF(R39=0,"N/A",IF(R39&gt;20,"Exceso Horas","Cumple"))</f>
        <v>N/A</v>
      </c>
      <c r="BS39" s="16" t="str">
        <f t="shared" ref="BS39:BS70" si="61">IF(S39=0,"N/A",IF(S39&gt;8,"Exceso Horas","Cumple"))</f>
        <v>N/A</v>
      </c>
      <c r="BT39" s="16" t="str">
        <f t="shared" ref="BT39:BT70" si="62">IF(U39=0,"N/A",IF(U39&gt;2,"Exceso Horas","Cumple"))</f>
        <v>N/A</v>
      </c>
      <c r="BU39" s="16" t="str">
        <f t="shared" ref="BU39:BU70" si="63">IF(V39=0,"N/A",IF(V39&gt;12,"Exceso Horas","Cumple"))</f>
        <v>N/A</v>
      </c>
      <c r="BV39" s="16" t="str">
        <f t="shared" ref="BV39:BV70" si="64">IF(W39=0,"N/A",IF(W39&gt;12,"Exceso Horas","Cumple"))</f>
        <v>N/A</v>
      </c>
      <c r="BW39" s="16" t="str">
        <f t="shared" ref="BW39:BW70" si="65">IF(X39=0,"N/A",IF(X39&gt;4,"Exceso Horas","Cumple"))</f>
        <v>N/A</v>
      </c>
      <c r="BX39" s="16" t="str">
        <f t="shared" ref="BX39:BX70" si="66">IF(Y39=0,"N/A",IF(Y39&gt;2,"Exceso Horas","Cumple"))</f>
        <v>N/A</v>
      </c>
      <c r="BY39" s="16" t="str">
        <f t="shared" ref="BY39:BY70" si="67">IF(Z39=0,"N/A",IF(Z39&gt;10,"Exceso Horas","Cumple"))</f>
        <v>N/A</v>
      </c>
      <c r="BZ39" s="16" t="str">
        <f t="shared" ref="BZ39:BZ70" si="68">IF(AA39=0,"N/A",IF(AA39&gt;8,"Exceso Horas","Cumple"))</f>
        <v>N/A</v>
      </c>
      <c r="CA39" s="16" t="str">
        <f t="shared" ref="CA39:CA70" si="69">IF(AC39=0,"N/A",IF(AC39&gt;4,"Exceso Horas","Cumple"))</f>
        <v>N/A</v>
      </c>
      <c r="CB39" s="16" t="str">
        <f t="shared" ref="CB39:CB70" si="70">IF(AD39=0,"N/A",IF(AD39&gt;8,"Exceso Horas","Cumple"))</f>
        <v>N/A</v>
      </c>
      <c r="CC39" s="16" t="str">
        <f t="shared" ref="CC39:CC70" si="71">IF(AE39=0,"N/A",IF(AE39&gt;2,"Exceso Horas","Cumple"))</f>
        <v>N/A</v>
      </c>
      <c r="CD39" s="16" t="str">
        <f t="shared" ref="CD39:CD70" si="72">IF(AF39=0,"N/A",IF(AF39&gt;2,"Exceso Horas","Cumple"))</f>
        <v>N/A</v>
      </c>
      <c r="CE39" s="16" t="str">
        <f t="shared" ref="CE39:CE70" si="73">IF(AG39=0,"N/A",IF(AG39&gt;2,"Exceso Horas","Cumple"))</f>
        <v>N/A</v>
      </c>
      <c r="CF39" s="16" t="str">
        <f t="shared" ref="CF39:CF70" si="74">IF(AH39=0,"N/A",IF(AH39&gt;2,"Exceso Horas","Cumple"))</f>
        <v>N/A</v>
      </c>
      <c r="CG39" s="16" t="str">
        <f t="shared" ref="CG39:CG70" si="75">IF(AI39=0,"N/A",IF(AI39&gt;2,"Exceso Horas","Cumple"))</f>
        <v>N/A</v>
      </c>
      <c r="CH39" s="16" t="str">
        <f t="shared" ref="CH39:CH70" si="76">IF(AJ39=0,"N/A",IF(AJ39&gt;4,"Exceso Horas","Cumple"))</f>
        <v>N/A</v>
      </c>
      <c r="CI39" s="16" t="str">
        <f t="shared" ref="CI39:CI70" si="77">IF(AK39=0,"N/A",IF(AK39&gt;4,"Exceso Horas","Cumple"))</f>
        <v>N/A</v>
      </c>
      <c r="CJ39" s="16" t="str">
        <f t="shared" ref="CJ39:CJ70" si="78">IF(AM39=0,"N/A",IF(AM39&gt;4,"Exceso Horas","Cumple"))</f>
        <v>N/A</v>
      </c>
      <c r="CK39" s="16" t="str">
        <f t="shared" ref="CK39:CK70" si="79">IF(AN39=0,"N/A",IF(AN39&gt;14,"Exceso Horas","Cumple"))</f>
        <v>N/A</v>
      </c>
      <c r="CL39" s="16" t="str">
        <f t="shared" ref="CL39:CL70" si="80">IF(AO39=0,"N/A",IF(A39&gt;10,"Exceso Horas","Cumple"))</f>
        <v>N/A</v>
      </c>
      <c r="CM39" s="16" t="str">
        <f t="shared" ref="CM39:CM70" si="81">IF(AP39=0,"N/A",IF(AP39&gt;6,"Exceso Horas","Cumple"))</f>
        <v>N/A</v>
      </c>
      <c r="CN39" s="16" t="str">
        <f t="shared" ref="CN39:CN70" si="82">IF(AR39=0,"N/A",IF(AR39&gt;4,"Exceso Horas","Cumple"))</f>
        <v>N/A</v>
      </c>
      <c r="CO39" s="16" t="str">
        <f t="shared" ref="CO39:CO70" si="83">IF(AS39=0,"N/A",IF(AS39&gt;8,"Exceso Horas","Cumple"))</f>
        <v>N/A</v>
      </c>
      <c r="CP39" s="16" t="str">
        <f t="shared" ref="CP39:CP70" si="84">IF(AT39=0,"N/A",IF(AT39&gt;4,"Exceso Horas","Cumple"))</f>
        <v>N/A</v>
      </c>
      <c r="CQ39" s="16" t="str">
        <f t="shared" ref="CQ39:CQ70" si="85">IF(AU39=0,"N/A",IF(AU39&gt;4,"Exceso Horas","Cumple"))</f>
        <v>N/A</v>
      </c>
      <c r="CR39" s="16" t="str">
        <f t="shared" ref="CR39:CR70" si="86">IF(AV39=0,"N/A",IF(AV39&gt;8,"Exceso Horas","Cumple"))</f>
        <v>N/A</v>
      </c>
      <c r="CS39" s="16" t="str">
        <f t="shared" ref="CS39:CS70" si="87">IF(AW39=0,"N/A",IF(AW39&gt;2,"Exceso Horas","Cumple"))</f>
        <v>N/A</v>
      </c>
      <c r="CT39" s="16" t="str">
        <f t="shared" ref="CT39:CT70" si="88">IF(AX39=0,"N/A",IF(AX39&gt;4,"Exceso Horas","Cumple"))</f>
        <v>N/A</v>
      </c>
      <c r="CU39" s="16" t="str">
        <f t="shared" si="42"/>
        <v>N/A</v>
      </c>
      <c r="CV39" s="16" t="str">
        <f t="shared" si="43"/>
        <v>N/A</v>
      </c>
      <c r="CW39" s="16" t="str">
        <f t="shared" si="44"/>
        <v>N/A</v>
      </c>
      <c r="CX39" s="16" t="str">
        <f t="shared" si="45"/>
        <v>N/A</v>
      </c>
      <c r="CY39" s="16" t="str">
        <f t="shared" si="46"/>
        <v>N/A</v>
      </c>
    </row>
    <row r="40" spans="2:103" x14ac:dyDescent="0.25">
      <c r="B40" s="2"/>
      <c r="C40" s="6"/>
      <c r="D40" s="6"/>
      <c r="E40" s="7"/>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5"/>
      <c r="BA40" s="5"/>
      <c r="BB40" s="5"/>
      <c r="BC40" s="5"/>
      <c r="BD40" s="5">
        <f t="shared" si="47"/>
        <v>0</v>
      </c>
      <c r="BE40" s="2"/>
      <c r="BF40" s="2" t="str">
        <f t="shared" si="48"/>
        <v>Menos Horas</v>
      </c>
      <c r="BG40" s="2" t="str">
        <f t="shared" si="49"/>
        <v>Carga Lectiva Insuficiente</v>
      </c>
      <c r="BH40" s="16" t="str">
        <f t="shared" si="50"/>
        <v>Cumple</v>
      </c>
      <c r="BI40" s="2" t="str">
        <f t="shared" si="51"/>
        <v>Cumple</v>
      </c>
      <c r="BJ40" s="16" t="str">
        <f t="shared" si="52"/>
        <v>Cumple</v>
      </c>
      <c r="BK40" s="16" t="str">
        <f t="shared" si="53"/>
        <v>N/A</v>
      </c>
      <c r="BL40" s="16" t="str">
        <f t="shared" si="54"/>
        <v>N/A</v>
      </c>
      <c r="BM40" s="16" t="str">
        <f t="shared" si="55"/>
        <v>N/A</v>
      </c>
      <c r="BN40" s="16" t="str">
        <f t="shared" si="56"/>
        <v>N/A</v>
      </c>
      <c r="BO40" s="16" t="str">
        <f t="shared" si="57"/>
        <v>N/A</v>
      </c>
      <c r="BP40" s="16" t="str">
        <f t="shared" si="58"/>
        <v>N/A</v>
      </c>
      <c r="BQ40" s="16" t="str">
        <f t="shared" si="59"/>
        <v>N/A</v>
      </c>
      <c r="BR40" s="16" t="str">
        <f t="shared" si="60"/>
        <v>N/A</v>
      </c>
      <c r="BS40" s="16" t="str">
        <f t="shared" si="61"/>
        <v>N/A</v>
      </c>
      <c r="BT40" s="16" t="str">
        <f t="shared" si="62"/>
        <v>N/A</v>
      </c>
      <c r="BU40" s="16" t="str">
        <f t="shared" si="63"/>
        <v>N/A</v>
      </c>
      <c r="BV40" s="16" t="str">
        <f t="shared" si="64"/>
        <v>N/A</v>
      </c>
      <c r="BW40" s="16" t="str">
        <f t="shared" si="65"/>
        <v>N/A</v>
      </c>
      <c r="BX40" s="16" t="str">
        <f t="shared" si="66"/>
        <v>N/A</v>
      </c>
      <c r="BY40" s="16" t="str">
        <f t="shared" si="67"/>
        <v>N/A</v>
      </c>
      <c r="BZ40" s="16" t="str">
        <f t="shared" si="68"/>
        <v>N/A</v>
      </c>
      <c r="CA40" s="16" t="str">
        <f t="shared" si="69"/>
        <v>N/A</v>
      </c>
      <c r="CB40" s="16" t="str">
        <f t="shared" si="70"/>
        <v>N/A</v>
      </c>
      <c r="CC40" s="16" t="str">
        <f t="shared" si="71"/>
        <v>N/A</v>
      </c>
      <c r="CD40" s="16" t="str">
        <f t="shared" si="72"/>
        <v>N/A</v>
      </c>
      <c r="CE40" s="16" t="str">
        <f t="shared" si="73"/>
        <v>N/A</v>
      </c>
      <c r="CF40" s="16" t="str">
        <f t="shared" si="74"/>
        <v>N/A</v>
      </c>
      <c r="CG40" s="16" t="str">
        <f t="shared" si="75"/>
        <v>N/A</v>
      </c>
      <c r="CH40" s="16" t="str">
        <f t="shared" si="76"/>
        <v>N/A</v>
      </c>
      <c r="CI40" s="16" t="str">
        <f t="shared" si="77"/>
        <v>N/A</v>
      </c>
      <c r="CJ40" s="16" t="str">
        <f t="shared" si="78"/>
        <v>N/A</v>
      </c>
      <c r="CK40" s="16" t="str">
        <f t="shared" si="79"/>
        <v>N/A</v>
      </c>
      <c r="CL40" s="16" t="str">
        <f t="shared" si="80"/>
        <v>N/A</v>
      </c>
      <c r="CM40" s="16" t="str">
        <f t="shared" si="81"/>
        <v>N/A</v>
      </c>
      <c r="CN40" s="16" t="str">
        <f t="shared" si="82"/>
        <v>N/A</v>
      </c>
      <c r="CO40" s="16" t="str">
        <f t="shared" si="83"/>
        <v>N/A</v>
      </c>
      <c r="CP40" s="16" t="str">
        <f t="shared" si="84"/>
        <v>N/A</v>
      </c>
      <c r="CQ40" s="16" t="str">
        <f t="shared" si="85"/>
        <v>N/A</v>
      </c>
      <c r="CR40" s="16" t="str">
        <f t="shared" si="86"/>
        <v>N/A</v>
      </c>
      <c r="CS40" s="16" t="str">
        <f t="shared" si="87"/>
        <v>N/A</v>
      </c>
      <c r="CT40" s="16" t="str">
        <f t="shared" si="88"/>
        <v>N/A</v>
      </c>
      <c r="CU40" s="16" t="str">
        <f t="shared" si="42"/>
        <v>N/A</v>
      </c>
      <c r="CV40" s="16" t="str">
        <f t="shared" si="43"/>
        <v>N/A</v>
      </c>
      <c r="CW40" s="16" t="str">
        <f t="shared" si="44"/>
        <v>N/A</v>
      </c>
      <c r="CX40" s="16" t="str">
        <f t="shared" si="45"/>
        <v>N/A</v>
      </c>
      <c r="CY40" s="16" t="str">
        <f t="shared" si="46"/>
        <v>N/A</v>
      </c>
    </row>
    <row r="41" spans="2:103" x14ac:dyDescent="0.25">
      <c r="B41" s="2"/>
      <c r="C41" s="6"/>
      <c r="D41" s="6"/>
      <c r="E41" s="7"/>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5"/>
      <c r="BA41" s="5"/>
      <c r="BB41" s="5"/>
      <c r="BC41" s="5"/>
      <c r="BD41" s="5">
        <f t="shared" si="47"/>
        <v>0</v>
      </c>
      <c r="BE41" s="2"/>
      <c r="BF41" s="2" t="str">
        <f t="shared" si="48"/>
        <v>Menos Horas</v>
      </c>
      <c r="BG41" s="2" t="str">
        <f t="shared" si="49"/>
        <v>Carga Lectiva Insuficiente</v>
      </c>
      <c r="BH41" s="16" t="str">
        <f t="shared" si="50"/>
        <v>Cumple</v>
      </c>
      <c r="BI41" s="2" t="str">
        <f t="shared" si="51"/>
        <v>Cumple</v>
      </c>
      <c r="BJ41" s="16" t="str">
        <f t="shared" si="52"/>
        <v>Cumple</v>
      </c>
      <c r="BK41" s="16" t="str">
        <f t="shared" si="53"/>
        <v>N/A</v>
      </c>
      <c r="BL41" s="16" t="str">
        <f t="shared" si="54"/>
        <v>N/A</v>
      </c>
      <c r="BM41" s="16" t="str">
        <f t="shared" si="55"/>
        <v>N/A</v>
      </c>
      <c r="BN41" s="16" t="str">
        <f t="shared" si="56"/>
        <v>N/A</v>
      </c>
      <c r="BO41" s="16" t="str">
        <f t="shared" si="57"/>
        <v>N/A</v>
      </c>
      <c r="BP41" s="16" t="str">
        <f t="shared" si="58"/>
        <v>N/A</v>
      </c>
      <c r="BQ41" s="16" t="str">
        <f t="shared" si="59"/>
        <v>N/A</v>
      </c>
      <c r="BR41" s="16" t="str">
        <f t="shared" si="60"/>
        <v>N/A</v>
      </c>
      <c r="BS41" s="16" t="str">
        <f t="shared" si="61"/>
        <v>N/A</v>
      </c>
      <c r="BT41" s="16" t="str">
        <f t="shared" si="62"/>
        <v>N/A</v>
      </c>
      <c r="BU41" s="16" t="str">
        <f t="shared" si="63"/>
        <v>N/A</v>
      </c>
      <c r="BV41" s="16" t="str">
        <f t="shared" si="64"/>
        <v>N/A</v>
      </c>
      <c r="BW41" s="16" t="str">
        <f t="shared" si="65"/>
        <v>N/A</v>
      </c>
      <c r="BX41" s="16" t="str">
        <f t="shared" si="66"/>
        <v>N/A</v>
      </c>
      <c r="BY41" s="16" t="str">
        <f t="shared" si="67"/>
        <v>N/A</v>
      </c>
      <c r="BZ41" s="16" t="str">
        <f t="shared" si="68"/>
        <v>N/A</v>
      </c>
      <c r="CA41" s="16" t="str">
        <f t="shared" si="69"/>
        <v>N/A</v>
      </c>
      <c r="CB41" s="16" t="str">
        <f t="shared" si="70"/>
        <v>N/A</v>
      </c>
      <c r="CC41" s="16" t="str">
        <f t="shared" si="71"/>
        <v>N/A</v>
      </c>
      <c r="CD41" s="16" t="str">
        <f t="shared" si="72"/>
        <v>N/A</v>
      </c>
      <c r="CE41" s="16" t="str">
        <f t="shared" si="73"/>
        <v>N/A</v>
      </c>
      <c r="CF41" s="16" t="str">
        <f t="shared" si="74"/>
        <v>N/A</v>
      </c>
      <c r="CG41" s="16" t="str">
        <f t="shared" si="75"/>
        <v>N/A</v>
      </c>
      <c r="CH41" s="16" t="str">
        <f t="shared" si="76"/>
        <v>N/A</v>
      </c>
      <c r="CI41" s="16" t="str">
        <f t="shared" si="77"/>
        <v>N/A</v>
      </c>
      <c r="CJ41" s="16" t="str">
        <f t="shared" si="78"/>
        <v>N/A</v>
      </c>
      <c r="CK41" s="16" t="str">
        <f t="shared" si="79"/>
        <v>N/A</v>
      </c>
      <c r="CL41" s="16" t="str">
        <f t="shared" si="80"/>
        <v>N/A</v>
      </c>
      <c r="CM41" s="16" t="str">
        <f t="shared" si="81"/>
        <v>N/A</v>
      </c>
      <c r="CN41" s="16" t="str">
        <f t="shared" si="82"/>
        <v>N/A</v>
      </c>
      <c r="CO41" s="16" t="str">
        <f t="shared" si="83"/>
        <v>N/A</v>
      </c>
      <c r="CP41" s="16" t="str">
        <f t="shared" si="84"/>
        <v>N/A</v>
      </c>
      <c r="CQ41" s="16" t="str">
        <f t="shared" si="85"/>
        <v>N/A</v>
      </c>
      <c r="CR41" s="16" t="str">
        <f t="shared" si="86"/>
        <v>N/A</v>
      </c>
      <c r="CS41" s="16" t="str">
        <f t="shared" si="87"/>
        <v>N/A</v>
      </c>
      <c r="CT41" s="16" t="str">
        <f t="shared" si="88"/>
        <v>N/A</v>
      </c>
      <c r="CU41" s="16" t="str">
        <f t="shared" si="42"/>
        <v>N/A</v>
      </c>
      <c r="CV41" s="16" t="str">
        <f t="shared" si="43"/>
        <v>N/A</v>
      </c>
      <c r="CW41" s="16" t="str">
        <f t="shared" si="44"/>
        <v>N/A</v>
      </c>
      <c r="CX41" s="16" t="str">
        <f t="shared" si="45"/>
        <v>N/A</v>
      </c>
      <c r="CY41" s="16" t="str">
        <f t="shared" si="46"/>
        <v>N/A</v>
      </c>
    </row>
    <row r="42" spans="2:103" x14ac:dyDescent="0.25">
      <c r="B42" s="2"/>
      <c r="C42" s="6"/>
      <c r="D42" s="6"/>
      <c r="E42" s="7"/>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5"/>
      <c r="BA42" s="5"/>
      <c r="BB42" s="5"/>
      <c r="BC42" s="5"/>
      <c r="BD42" s="5">
        <f t="shared" si="47"/>
        <v>0</v>
      </c>
      <c r="BE42" s="2"/>
      <c r="BF42" s="2" t="str">
        <f t="shared" si="48"/>
        <v>Menos Horas</v>
      </c>
      <c r="BG42" s="2" t="str">
        <f t="shared" si="49"/>
        <v>Carga Lectiva Insuficiente</v>
      </c>
      <c r="BH42" s="16" t="str">
        <f t="shared" si="50"/>
        <v>Cumple</v>
      </c>
      <c r="BI42" s="2" t="str">
        <f t="shared" si="51"/>
        <v>Cumple</v>
      </c>
      <c r="BJ42" s="16" t="str">
        <f t="shared" si="52"/>
        <v>Cumple</v>
      </c>
      <c r="BK42" s="16" t="str">
        <f t="shared" si="53"/>
        <v>N/A</v>
      </c>
      <c r="BL42" s="16" t="str">
        <f t="shared" si="54"/>
        <v>N/A</v>
      </c>
      <c r="BM42" s="16" t="str">
        <f t="shared" si="55"/>
        <v>N/A</v>
      </c>
      <c r="BN42" s="16" t="str">
        <f t="shared" si="56"/>
        <v>N/A</v>
      </c>
      <c r="BO42" s="16" t="str">
        <f t="shared" si="57"/>
        <v>N/A</v>
      </c>
      <c r="BP42" s="16" t="str">
        <f t="shared" si="58"/>
        <v>N/A</v>
      </c>
      <c r="BQ42" s="16" t="str">
        <f t="shared" si="59"/>
        <v>N/A</v>
      </c>
      <c r="BR42" s="16" t="str">
        <f t="shared" si="60"/>
        <v>N/A</v>
      </c>
      <c r="BS42" s="16" t="str">
        <f t="shared" si="61"/>
        <v>N/A</v>
      </c>
      <c r="BT42" s="16" t="str">
        <f t="shared" si="62"/>
        <v>N/A</v>
      </c>
      <c r="BU42" s="16" t="str">
        <f t="shared" si="63"/>
        <v>N/A</v>
      </c>
      <c r="BV42" s="16" t="str">
        <f t="shared" si="64"/>
        <v>N/A</v>
      </c>
      <c r="BW42" s="16" t="str">
        <f t="shared" si="65"/>
        <v>N/A</v>
      </c>
      <c r="BX42" s="16" t="str">
        <f t="shared" si="66"/>
        <v>N/A</v>
      </c>
      <c r="BY42" s="16" t="str">
        <f t="shared" si="67"/>
        <v>N/A</v>
      </c>
      <c r="BZ42" s="16" t="str">
        <f t="shared" si="68"/>
        <v>N/A</v>
      </c>
      <c r="CA42" s="16" t="str">
        <f t="shared" si="69"/>
        <v>N/A</v>
      </c>
      <c r="CB42" s="16" t="str">
        <f t="shared" si="70"/>
        <v>N/A</v>
      </c>
      <c r="CC42" s="16" t="str">
        <f t="shared" si="71"/>
        <v>N/A</v>
      </c>
      <c r="CD42" s="16" t="str">
        <f t="shared" si="72"/>
        <v>N/A</v>
      </c>
      <c r="CE42" s="16" t="str">
        <f t="shared" si="73"/>
        <v>N/A</v>
      </c>
      <c r="CF42" s="16" t="str">
        <f t="shared" si="74"/>
        <v>N/A</v>
      </c>
      <c r="CG42" s="16" t="str">
        <f t="shared" si="75"/>
        <v>N/A</v>
      </c>
      <c r="CH42" s="16" t="str">
        <f t="shared" si="76"/>
        <v>N/A</v>
      </c>
      <c r="CI42" s="16" t="str">
        <f t="shared" si="77"/>
        <v>N/A</v>
      </c>
      <c r="CJ42" s="16" t="str">
        <f t="shared" si="78"/>
        <v>N/A</v>
      </c>
      <c r="CK42" s="16" t="str">
        <f t="shared" si="79"/>
        <v>N/A</v>
      </c>
      <c r="CL42" s="16" t="str">
        <f t="shared" si="80"/>
        <v>N/A</v>
      </c>
      <c r="CM42" s="16" t="str">
        <f t="shared" si="81"/>
        <v>N/A</v>
      </c>
      <c r="CN42" s="16" t="str">
        <f t="shared" si="82"/>
        <v>N/A</v>
      </c>
      <c r="CO42" s="16" t="str">
        <f t="shared" si="83"/>
        <v>N/A</v>
      </c>
      <c r="CP42" s="16" t="str">
        <f t="shared" si="84"/>
        <v>N/A</v>
      </c>
      <c r="CQ42" s="16" t="str">
        <f t="shared" si="85"/>
        <v>N/A</v>
      </c>
      <c r="CR42" s="16" t="str">
        <f t="shared" si="86"/>
        <v>N/A</v>
      </c>
      <c r="CS42" s="16" t="str">
        <f t="shared" si="87"/>
        <v>N/A</v>
      </c>
      <c r="CT42" s="16" t="str">
        <f t="shared" si="88"/>
        <v>N/A</v>
      </c>
      <c r="CU42" s="16" t="str">
        <f t="shared" si="42"/>
        <v>N/A</v>
      </c>
      <c r="CV42" s="16" t="str">
        <f t="shared" si="43"/>
        <v>N/A</v>
      </c>
      <c r="CW42" s="16" t="str">
        <f t="shared" si="44"/>
        <v>N/A</v>
      </c>
      <c r="CX42" s="16" t="str">
        <f t="shared" si="45"/>
        <v>N/A</v>
      </c>
      <c r="CY42" s="16" t="str">
        <f t="shared" si="46"/>
        <v>N/A</v>
      </c>
    </row>
    <row r="43" spans="2:103" x14ac:dyDescent="0.25">
      <c r="B43" s="2"/>
      <c r="C43" s="6"/>
      <c r="D43" s="6"/>
      <c r="E43" s="7"/>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5"/>
      <c r="BA43" s="5"/>
      <c r="BB43" s="5"/>
      <c r="BC43" s="5"/>
      <c r="BD43" s="5">
        <f t="shared" si="47"/>
        <v>0</v>
      </c>
      <c r="BE43" s="2"/>
      <c r="BF43" s="2" t="str">
        <f t="shared" si="48"/>
        <v>Menos Horas</v>
      </c>
      <c r="BG43" s="2" t="str">
        <f t="shared" si="49"/>
        <v>Carga Lectiva Insuficiente</v>
      </c>
      <c r="BH43" s="16" t="str">
        <f t="shared" si="50"/>
        <v>Cumple</v>
      </c>
      <c r="BI43" s="2" t="str">
        <f t="shared" si="51"/>
        <v>Cumple</v>
      </c>
      <c r="BJ43" s="16" t="str">
        <f t="shared" si="52"/>
        <v>Cumple</v>
      </c>
      <c r="BK43" s="16" t="str">
        <f t="shared" si="53"/>
        <v>N/A</v>
      </c>
      <c r="BL43" s="16" t="str">
        <f t="shared" si="54"/>
        <v>N/A</v>
      </c>
      <c r="BM43" s="16" t="str">
        <f t="shared" si="55"/>
        <v>N/A</v>
      </c>
      <c r="BN43" s="16" t="str">
        <f t="shared" si="56"/>
        <v>N/A</v>
      </c>
      <c r="BO43" s="16" t="str">
        <f t="shared" si="57"/>
        <v>N/A</v>
      </c>
      <c r="BP43" s="16" t="str">
        <f t="shared" si="58"/>
        <v>N/A</v>
      </c>
      <c r="BQ43" s="16" t="str">
        <f t="shared" si="59"/>
        <v>N/A</v>
      </c>
      <c r="BR43" s="16" t="str">
        <f t="shared" si="60"/>
        <v>N/A</v>
      </c>
      <c r="BS43" s="16" t="str">
        <f t="shared" si="61"/>
        <v>N/A</v>
      </c>
      <c r="BT43" s="16" t="str">
        <f t="shared" si="62"/>
        <v>N/A</v>
      </c>
      <c r="BU43" s="16" t="str">
        <f t="shared" si="63"/>
        <v>N/A</v>
      </c>
      <c r="BV43" s="16" t="str">
        <f t="shared" si="64"/>
        <v>N/A</v>
      </c>
      <c r="BW43" s="16" t="str">
        <f t="shared" si="65"/>
        <v>N/A</v>
      </c>
      <c r="BX43" s="16" t="str">
        <f t="shared" si="66"/>
        <v>N/A</v>
      </c>
      <c r="BY43" s="16" t="str">
        <f t="shared" si="67"/>
        <v>N/A</v>
      </c>
      <c r="BZ43" s="16" t="str">
        <f t="shared" si="68"/>
        <v>N/A</v>
      </c>
      <c r="CA43" s="16" t="str">
        <f t="shared" si="69"/>
        <v>N/A</v>
      </c>
      <c r="CB43" s="16" t="str">
        <f t="shared" si="70"/>
        <v>N/A</v>
      </c>
      <c r="CC43" s="16" t="str">
        <f t="shared" si="71"/>
        <v>N/A</v>
      </c>
      <c r="CD43" s="16" t="str">
        <f t="shared" si="72"/>
        <v>N/A</v>
      </c>
      <c r="CE43" s="16" t="str">
        <f t="shared" si="73"/>
        <v>N/A</v>
      </c>
      <c r="CF43" s="16" t="str">
        <f t="shared" si="74"/>
        <v>N/A</v>
      </c>
      <c r="CG43" s="16" t="str">
        <f t="shared" si="75"/>
        <v>N/A</v>
      </c>
      <c r="CH43" s="16" t="str">
        <f t="shared" si="76"/>
        <v>N/A</v>
      </c>
      <c r="CI43" s="16" t="str">
        <f t="shared" si="77"/>
        <v>N/A</v>
      </c>
      <c r="CJ43" s="16" t="str">
        <f t="shared" si="78"/>
        <v>N/A</v>
      </c>
      <c r="CK43" s="16" t="str">
        <f t="shared" si="79"/>
        <v>N/A</v>
      </c>
      <c r="CL43" s="16" t="str">
        <f t="shared" si="80"/>
        <v>N/A</v>
      </c>
      <c r="CM43" s="16" t="str">
        <f t="shared" si="81"/>
        <v>N/A</v>
      </c>
      <c r="CN43" s="16" t="str">
        <f t="shared" si="82"/>
        <v>N/A</v>
      </c>
      <c r="CO43" s="16" t="str">
        <f t="shared" si="83"/>
        <v>N/A</v>
      </c>
      <c r="CP43" s="16" t="str">
        <f t="shared" si="84"/>
        <v>N/A</v>
      </c>
      <c r="CQ43" s="16" t="str">
        <f t="shared" si="85"/>
        <v>N/A</v>
      </c>
      <c r="CR43" s="16" t="str">
        <f t="shared" si="86"/>
        <v>N/A</v>
      </c>
      <c r="CS43" s="16" t="str">
        <f t="shared" si="87"/>
        <v>N/A</v>
      </c>
      <c r="CT43" s="16" t="str">
        <f t="shared" si="88"/>
        <v>N/A</v>
      </c>
      <c r="CU43" s="16" t="str">
        <f t="shared" si="42"/>
        <v>N/A</v>
      </c>
      <c r="CV43" s="16" t="str">
        <f t="shared" si="43"/>
        <v>N/A</v>
      </c>
      <c r="CW43" s="16" t="str">
        <f t="shared" si="44"/>
        <v>N/A</v>
      </c>
      <c r="CX43" s="16" t="str">
        <f t="shared" si="45"/>
        <v>N/A</v>
      </c>
      <c r="CY43" s="16" t="str">
        <f t="shared" si="46"/>
        <v>N/A</v>
      </c>
    </row>
    <row r="44" spans="2:103" x14ac:dyDescent="0.25">
      <c r="B44" s="2"/>
      <c r="C44" s="6"/>
      <c r="D44" s="6"/>
      <c r="E44" s="7"/>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5"/>
      <c r="BA44" s="5"/>
      <c r="BB44" s="5"/>
      <c r="BC44" s="5"/>
      <c r="BD44" s="5">
        <f t="shared" si="47"/>
        <v>0</v>
      </c>
      <c r="BE44" s="2"/>
      <c r="BF44" s="2" t="str">
        <f t="shared" si="48"/>
        <v>Menos Horas</v>
      </c>
      <c r="BG44" s="2" t="str">
        <f t="shared" si="49"/>
        <v>Carga Lectiva Insuficiente</v>
      </c>
      <c r="BH44" s="16" t="str">
        <f t="shared" si="50"/>
        <v>Cumple</v>
      </c>
      <c r="BI44" s="2" t="str">
        <f t="shared" si="51"/>
        <v>Cumple</v>
      </c>
      <c r="BJ44" s="16" t="str">
        <f t="shared" si="52"/>
        <v>Cumple</v>
      </c>
      <c r="BK44" s="16" t="str">
        <f t="shared" si="53"/>
        <v>N/A</v>
      </c>
      <c r="BL44" s="16" t="str">
        <f t="shared" si="54"/>
        <v>N/A</v>
      </c>
      <c r="BM44" s="16" t="str">
        <f t="shared" si="55"/>
        <v>N/A</v>
      </c>
      <c r="BN44" s="16" t="str">
        <f t="shared" si="56"/>
        <v>N/A</v>
      </c>
      <c r="BO44" s="16" t="str">
        <f t="shared" si="57"/>
        <v>N/A</v>
      </c>
      <c r="BP44" s="16" t="str">
        <f t="shared" si="58"/>
        <v>N/A</v>
      </c>
      <c r="BQ44" s="16" t="str">
        <f t="shared" si="59"/>
        <v>N/A</v>
      </c>
      <c r="BR44" s="16" t="str">
        <f t="shared" si="60"/>
        <v>N/A</v>
      </c>
      <c r="BS44" s="16" t="str">
        <f t="shared" si="61"/>
        <v>N/A</v>
      </c>
      <c r="BT44" s="16" t="str">
        <f t="shared" si="62"/>
        <v>N/A</v>
      </c>
      <c r="BU44" s="16" t="str">
        <f t="shared" si="63"/>
        <v>N/A</v>
      </c>
      <c r="BV44" s="16" t="str">
        <f t="shared" si="64"/>
        <v>N/A</v>
      </c>
      <c r="BW44" s="16" t="str">
        <f t="shared" si="65"/>
        <v>N/A</v>
      </c>
      <c r="BX44" s="16" t="str">
        <f t="shared" si="66"/>
        <v>N/A</v>
      </c>
      <c r="BY44" s="16" t="str">
        <f t="shared" si="67"/>
        <v>N/A</v>
      </c>
      <c r="BZ44" s="16" t="str">
        <f t="shared" si="68"/>
        <v>N/A</v>
      </c>
      <c r="CA44" s="16" t="str">
        <f t="shared" si="69"/>
        <v>N/A</v>
      </c>
      <c r="CB44" s="16" t="str">
        <f t="shared" si="70"/>
        <v>N/A</v>
      </c>
      <c r="CC44" s="16" t="str">
        <f t="shared" si="71"/>
        <v>N/A</v>
      </c>
      <c r="CD44" s="16" t="str">
        <f t="shared" si="72"/>
        <v>N/A</v>
      </c>
      <c r="CE44" s="16" t="str">
        <f t="shared" si="73"/>
        <v>N/A</v>
      </c>
      <c r="CF44" s="16" t="str">
        <f t="shared" si="74"/>
        <v>N/A</v>
      </c>
      <c r="CG44" s="16" t="str">
        <f t="shared" si="75"/>
        <v>N/A</v>
      </c>
      <c r="CH44" s="16" t="str">
        <f t="shared" si="76"/>
        <v>N/A</v>
      </c>
      <c r="CI44" s="16" t="str">
        <f t="shared" si="77"/>
        <v>N/A</v>
      </c>
      <c r="CJ44" s="16" t="str">
        <f t="shared" si="78"/>
        <v>N/A</v>
      </c>
      <c r="CK44" s="16" t="str">
        <f t="shared" si="79"/>
        <v>N/A</v>
      </c>
      <c r="CL44" s="16" t="str">
        <f t="shared" si="80"/>
        <v>N/A</v>
      </c>
      <c r="CM44" s="16" t="str">
        <f t="shared" si="81"/>
        <v>N/A</v>
      </c>
      <c r="CN44" s="16" t="str">
        <f t="shared" si="82"/>
        <v>N/A</v>
      </c>
      <c r="CO44" s="16" t="str">
        <f t="shared" si="83"/>
        <v>N/A</v>
      </c>
      <c r="CP44" s="16" t="str">
        <f t="shared" si="84"/>
        <v>N/A</v>
      </c>
      <c r="CQ44" s="16" t="str">
        <f t="shared" si="85"/>
        <v>N/A</v>
      </c>
      <c r="CR44" s="16" t="str">
        <f t="shared" si="86"/>
        <v>N/A</v>
      </c>
      <c r="CS44" s="16" t="str">
        <f t="shared" si="87"/>
        <v>N/A</v>
      </c>
      <c r="CT44" s="16" t="str">
        <f t="shared" si="88"/>
        <v>N/A</v>
      </c>
      <c r="CU44" s="16" t="str">
        <f t="shared" si="42"/>
        <v>N/A</v>
      </c>
      <c r="CV44" s="16" t="str">
        <f t="shared" si="43"/>
        <v>N/A</v>
      </c>
      <c r="CW44" s="16" t="str">
        <f t="shared" si="44"/>
        <v>N/A</v>
      </c>
      <c r="CX44" s="16" t="str">
        <f t="shared" si="45"/>
        <v>N/A</v>
      </c>
      <c r="CY44" s="16" t="str">
        <f t="shared" si="46"/>
        <v>N/A</v>
      </c>
    </row>
    <row r="45" spans="2:103" x14ac:dyDescent="0.25">
      <c r="B45" s="2"/>
      <c r="C45" s="6"/>
      <c r="D45" s="6"/>
      <c r="E45" s="7"/>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5"/>
      <c r="BA45" s="5"/>
      <c r="BB45" s="5"/>
      <c r="BC45" s="5"/>
      <c r="BD45" s="5">
        <f t="shared" si="47"/>
        <v>0</v>
      </c>
      <c r="BE45" s="2"/>
      <c r="BF45" s="2" t="str">
        <f t="shared" si="48"/>
        <v>Menos Horas</v>
      </c>
      <c r="BG45" s="2" t="str">
        <f t="shared" si="49"/>
        <v>Carga Lectiva Insuficiente</v>
      </c>
      <c r="BH45" s="16" t="str">
        <f t="shared" si="50"/>
        <v>Cumple</v>
      </c>
      <c r="BI45" s="2" t="str">
        <f t="shared" si="51"/>
        <v>Cumple</v>
      </c>
      <c r="BJ45" s="16" t="str">
        <f t="shared" si="52"/>
        <v>Cumple</v>
      </c>
      <c r="BK45" s="16" t="str">
        <f t="shared" si="53"/>
        <v>N/A</v>
      </c>
      <c r="BL45" s="16" t="str">
        <f t="shared" si="54"/>
        <v>N/A</v>
      </c>
      <c r="BM45" s="16" t="str">
        <f t="shared" si="55"/>
        <v>N/A</v>
      </c>
      <c r="BN45" s="16" t="str">
        <f t="shared" si="56"/>
        <v>N/A</v>
      </c>
      <c r="BO45" s="16" t="str">
        <f t="shared" si="57"/>
        <v>N/A</v>
      </c>
      <c r="BP45" s="16" t="str">
        <f t="shared" si="58"/>
        <v>N/A</v>
      </c>
      <c r="BQ45" s="16" t="str">
        <f t="shared" si="59"/>
        <v>N/A</v>
      </c>
      <c r="BR45" s="16" t="str">
        <f t="shared" si="60"/>
        <v>N/A</v>
      </c>
      <c r="BS45" s="16" t="str">
        <f t="shared" si="61"/>
        <v>N/A</v>
      </c>
      <c r="BT45" s="16" t="str">
        <f t="shared" si="62"/>
        <v>N/A</v>
      </c>
      <c r="BU45" s="16" t="str">
        <f t="shared" si="63"/>
        <v>N/A</v>
      </c>
      <c r="BV45" s="16" t="str">
        <f t="shared" si="64"/>
        <v>N/A</v>
      </c>
      <c r="BW45" s="16" t="str">
        <f t="shared" si="65"/>
        <v>N/A</v>
      </c>
      <c r="BX45" s="16" t="str">
        <f t="shared" si="66"/>
        <v>N/A</v>
      </c>
      <c r="BY45" s="16" t="str">
        <f t="shared" si="67"/>
        <v>N/A</v>
      </c>
      <c r="BZ45" s="16" t="str">
        <f t="shared" si="68"/>
        <v>N/A</v>
      </c>
      <c r="CA45" s="16" t="str">
        <f t="shared" si="69"/>
        <v>N/A</v>
      </c>
      <c r="CB45" s="16" t="str">
        <f t="shared" si="70"/>
        <v>N/A</v>
      </c>
      <c r="CC45" s="16" t="str">
        <f t="shared" si="71"/>
        <v>N/A</v>
      </c>
      <c r="CD45" s="16" t="str">
        <f t="shared" si="72"/>
        <v>N/A</v>
      </c>
      <c r="CE45" s="16" t="str">
        <f t="shared" si="73"/>
        <v>N/A</v>
      </c>
      <c r="CF45" s="16" t="str">
        <f t="shared" si="74"/>
        <v>N/A</v>
      </c>
      <c r="CG45" s="16" t="str">
        <f t="shared" si="75"/>
        <v>N/A</v>
      </c>
      <c r="CH45" s="16" t="str">
        <f t="shared" si="76"/>
        <v>N/A</v>
      </c>
      <c r="CI45" s="16" t="str">
        <f t="shared" si="77"/>
        <v>N/A</v>
      </c>
      <c r="CJ45" s="16" t="str">
        <f t="shared" si="78"/>
        <v>N/A</v>
      </c>
      <c r="CK45" s="16" t="str">
        <f t="shared" si="79"/>
        <v>N/A</v>
      </c>
      <c r="CL45" s="16" t="str">
        <f t="shared" si="80"/>
        <v>N/A</v>
      </c>
      <c r="CM45" s="16" t="str">
        <f t="shared" si="81"/>
        <v>N/A</v>
      </c>
      <c r="CN45" s="16" t="str">
        <f t="shared" si="82"/>
        <v>N/A</v>
      </c>
      <c r="CO45" s="16" t="str">
        <f t="shared" si="83"/>
        <v>N/A</v>
      </c>
      <c r="CP45" s="16" t="str">
        <f t="shared" si="84"/>
        <v>N/A</v>
      </c>
      <c r="CQ45" s="16" t="str">
        <f t="shared" si="85"/>
        <v>N/A</v>
      </c>
      <c r="CR45" s="16" t="str">
        <f t="shared" si="86"/>
        <v>N/A</v>
      </c>
      <c r="CS45" s="16" t="str">
        <f t="shared" si="87"/>
        <v>N/A</v>
      </c>
      <c r="CT45" s="16" t="str">
        <f t="shared" si="88"/>
        <v>N/A</v>
      </c>
      <c r="CU45" s="16" t="str">
        <f t="shared" si="42"/>
        <v>N/A</v>
      </c>
      <c r="CV45" s="16" t="str">
        <f t="shared" si="43"/>
        <v>N/A</v>
      </c>
      <c r="CW45" s="16" t="str">
        <f t="shared" si="44"/>
        <v>N/A</v>
      </c>
      <c r="CX45" s="16" t="str">
        <f t="shared" si="45"/>
        <v>N/A</v>
      </c>
      <c r="CY45" s="16" t="str">
        <f t="shared" si="46"/>
        <v>N/A</v>
      </c>
    </row>
    <row r="46" spans="2:103" x14ac:dyDescent="0.25">
      <c r="B46" s="2"/>
      <c r="C46" s="6"/>
      <c r="D46" s="6"/>
      <c r="E46" s="7"/>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5"/>
      <c r="BA46" s="5"/>
      <c r="BB46" s="5"/>
      <c r="BC46" s="5"/>
      <c r="BD46" s="5">
        <f t="shared" si="47"/>
        <v>0</v>
      </c>
      <c r="BE46" s="2"/>
      <c r="BF46" s="2" t="str">
        <f t="shared" si="48"/>
        <v>Menos Horas</v>
      </c>
      <c r="BG46" s="2" t="str">
        <f t="shared" si="49"/>
        <v>Carga Lectiva Insuficiente</v>
      </c>
      <c r="BH46" s="16" t="str">
        <f t="shared" si="50"/>
        <v>Cumple</v>
      </c>
      <c r="BI46" s="2" t="str">
        <f t="shared" si="51"/>
        <v>Cumple</v>
      </c>
      <c r="BJ46" s="16" t="str">
        <f t="shared" si="52"/>
        <v>Cumple</v>
      </c>
      <c r="BK46" s="16" t="str">
        <f t="shared" si="53"/>
        <v>N/A</v>
      </c>
      <c r="BL46" s="16" t="str">
        <f t="shared" si="54"/>
        <v>N/A</v>
      </c>
      <c r="BM46" s="16" t="str">
        <f t="shared" si="55"/>
        <v>N/A</v>
      </c>
      <c r="BN46" s="16" t="str">
        <f t="shared" si="56"/>
        <v>N/A</v>
      </c>
      <c r="BO46" s="16" t="str">
        <f t="shared" si="57"/>
        <v>N/A</v>
      </c>
      <c r="BP46" s="16" t="str">
        <f t="shared" si="58"/>
        <v>N/A</v>
      </c>
      <c r="BQ46" s="16" t="str">
        <f t="shared" si="59"/>
        <v>N/A</v>
      </c>
      <c r="BR46" s="16" t="str">
        <f t="shared" si="60"/>
        <v>N/A</v>
      </c>
      <c r="BS46" s="16" t="str">
        <f t="shared" si="61"/>
        <v>N/A</v>
      </c>
      <c r="BT46" s="16" t="str">
        <f t="shared" si="62"/>
        <v>N/A</v>
      </c>
      <c r="BU46" s="16" t="str">
        <f t="shared" si="63"/>
        <v>N/A</v>
      </c>
      <c r="BV46" s="16" t="str">
        <f t="shared" si="64"/>
        <v>N/A</v>
      </c>
      <c r="BW46" s="16" t="str">
        <f t="shared" si="65"/>
        <v>N/A</v>
      </c>
      <c r="BX46" s="16" t="str">
        <f t="shared" si="66"/>
        <v>N/A</v>
      </c>
      <c r="BY46" s="16" t="str">
        <f t="shared" si="67"/>
        <v>N/A</v>
      </c>
      <c r="BZ46" s="16" t="str">
        <f t="shared" si="68"/>
        <v>N/A</v>
      </c>
      <c r="CA46" s="16" t="str">
        <f t="shared" si="69"/>
        <v>N/A</v>
      </c>
      <c r="CB46" s="16" t="str">
        <f t="shared" si="70"/>
        <v>N/A</v>
      </c>
      <c r="CC46" s="16" t="str">
        <f t="shared" si="71"/>
        <v>N/A</v>
      </c>
      <c r="CD46" s="16" t="str">
        <f t="shared" si="72"/>
        <v>N/A</v>
      </c>
      <c r="CE46" s="16" t="str">
        <f t="shared" si="73"/>
        <v>N/A</v>
      </c>
      <c r="CF46" s="16" t="str">
        <f t="shared" si="74"/>
        <v>N/A</v>
      </c>
      <c r="CG46" s="16" t="str">
        <f t="shared" si="75"/>
        <v>N/A</v>
      </c>
      <c r="CH46" s="16" t="str">
        <f t="shared" si="76"/>
        <v>N/A</v>
      </c>
      <c r="CI46" s="16" t="str">
        <f t="shared" si="77"/>
        <v>N/A</v>
      </c>
      <c r="CJ46" s="16" t="str">
        <f t="shared" si="78"/>
        <v>N/A</v>
      </c>
      <c r="CK46" s="16" t="str">
        <f t="shared" si="79"/>
        <v>N/A</v>
      </c>
      <c r="CL46" s="16" t="str">
        <f t="shared" si="80"/>
        <v>N/A</v>
      </c>
      <c r="CM46" s="16" t="str">
        <f t="shared" si="81"/>
        <v>N/A</v>
      </c>
      <c r="CN46" s="16" t="str">
        <f t="shared" si="82"/>
        <v>N/A</v>
      </c>
      <c r="CO46" s="16" t="str">
        <f t="shared" si="83"/>
        <v>N/A</v>
      </c>
      <c r="CP46" s="16" t="str">
        <f t="shared" si="84"/>
        <v>N/A</v>
      </c>
      <c r="CQ46" s="16" t="str">
        <f t="shared" si="85"/>
        <v>N/A</v>
      </c>
      <c r="CR46" s="16" t="str">
        <f t="shared" si="86"/>
        <v>N/A</v>
      </c>
      <c r="CS46" s="16" t="str">
        <f t="shared" si="87"/>
        <v>N/A</v>
      </c>
      <c r="CT46" s="16" t="str">
        <f t="shared" si="88"/>
        <v>N/A</v>
      </c>
      <c r="CU46" s="16" t="str">
        <f t="shared" si="42"/>
        <v>N/A</v>
      </c>
      <c r="CV46" s="16" t="str">
        <f t="shared" si="43"/>
        <v>N/A</v>
      </c>
      <c r="CW46" s="16" t="str">
        <f t="shared" si="44"/>
        <v>N/A</v>
      </c>
      <c r="CX46" s="16" t="str">
        <f t="shared" si="45"/>
        <v>N/A</v>
      </c>
      <c r="CY46" s="16" t="str">
        <f t="shared" si="46"/>
        <v>N/A</v>
      </c>
    </row>
    <row r="47" spans="2:103" x14ac:dyDescent="0.25">
      <c r="B47" s="2"/>
      <c r="C47" s="6"/>
      <c r="D47" s="6"/>
      <c r="E47" s="7"/>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5"/>
      <c r="BA47" s="5"/>
      <c r="BB47" s="5"/>
      <c r="BC47" s="5"/>
      <c r="BD47" s="5">
        <f t="shared" si="47"/>
        <v>0</v>
      </c>
      <c r="BE47" s="2"/>
      <c r="BF47" s="2" t="str">
        <f t="shared" si="48"/>
        <v>Menos Horas</v>
      </c>
      <c r="BG47" s="2" t="str">
        <f t="shared" si="49"/>
        <v>Carga Lectiva Insuficiente</v>
      </c>
      <c r="BH47" s="16" t="str">
        <f t="shared" si="50"/>
        <v>Cumple</v>
      </c>
      <c r="BI47" s="2" t="str">
        <f t="shared" si="51"/>
        <v>Cumple</v>
      </c>
      <c r="BJ47" s="16" t="str">
        <f t="shared" si="52"/>
        <v>Cumple</v>
      </c>
      <c r="BK47" s="16" t="str">
        <f t="shared" si="53"/>
        <v>N/A</v>
      </c>
      <c r="BL47" s="16" t="str">
        <f t="shared" si="54"/>
        <v>N/A</v>
      </c>
      <c r="BM47" s="16" t="str">
        <f t="shared" si="55"/>
        <v>N/A</v>
      </c>
      <c r="BN47" s="16" t="str">
        <f t="shared" si="56"/>
        <v>N/A</v>
      </c>
      <c r="BO47" s="16" t="str">
        <f t="shared" si="57"/>
        <v>N/A</v>
      </c>
      <c r="BP47" s="16" t="str">
        <f t="shared" si="58"/>
        <v>N/A</v>
      </c>
      <c r="BQ47" s="16" t="str">
        <f t="shared" si="59"/>
        <v>N/A</v>
      </c>
      <c r="BR47" s="16" t="str">
        <f t="shared" si="60"/>
        <v>N/A</v>
      </c>
      <c r="BS47" s="16" t="str">
        <f t="shared" si="61"/>
        <v>N/A</v>
      </c>
      <c r="BT47" s="16" t="str">
        <f t="shared" si="62"/>
        <v>N/A</v>
      </c>
      <c r="BU47" s="16" t="str">
        <f t="shared" si="63"/>
        <v>N/A</v>
      </c>
      <c r="BV47" s="16" t="str">
        <f t="shared" si="64"/>
        <v>N/A</v>
      </c>
      <c r="BW47" s="16" t="str">
        <f t="shared" si="65"/>
        <v>N/A</v>
      </c>
      <c r="BX47" s="16" t="str">
        <f t="shared" si="66"/>
        <v>N/A</v>
      </c>
      <c r="BY47" s="16" t="str">
        <f t="shared" si="67"/>
        <v>N/A</v>
      </c>
      <c r="BZ47" s="16" t="str">
        <f t="shared" si="68"/>
        <v>N/A</v>
      </c>
      <c r="CA47" s="16" t="str">
        <f t="shared" si="69"/>
        <v>N/A</v>
      </c>
      <c r="CB47" s="16" t="str">
        <f t="shared" si="70"/>
        <v>N/A</v>
      </c>
      <c r="CC47" s="16" t="str">
        <f t="shared" si="71"/>
        <v>N/A</v>
      </c>
      <c r="CD47" s="16" t="str">
        <f t="shared" si="72"/>
        <v>N/A</v>
      </c>
      <c r="CE47" s="16" t="str">
        <f t="shared" si="73"/>
        <v>N/A</v>
      </c>
      <c r="CF47" s="16" t="str">
        <f t="shared" si="74"/>
        <v>N/A</v>
      </c>
      <c r="CG47" s="16" t="str">
        <f t="shared" si="75"/>
        <v>N/A</v>
      </c>
      <c r="CH47" s="16" t="str">
        <f t="shared" si="76"/>
        <v>N/A</v>
      </c>
      <c r="CI47" s="16" t="str">
        <f t="shared" si="77"/>
        <v>N/A</v>
      </c>
      <c r="CJ47" s="16" t="str">
        <f t="shared" si="78"/>
        <v>N/A</v>
      </c>
      <c r="CK47" s="16" t="str">
        <f t="shared" si="79"/>
        <v>N/A</v>
      </c>
      <c r="CL47" s="16" t="str">
        <f t="shared" si="80"/>
        <v>N/A</v>
      </c>
      <c r="CM47" s="16" t="str">
        <f t="shared" si="81"/>
        <v>N/A</v>
      </c>
      <c r="CN47" s="16" t="str">
        <f t="shared" si="82"/>
        <v>N/A</v>
      </c>
      <c r="CO47" s="16" t="str">
        <f t="shared" si="83"/>
        <v>N/A</v>
      </c>
      <c r="CP47" s="16" t="str">
        <f t="shared" si="84"/>
        <v>N/A</v>
      </c>
      <c r="CQ47" s="16" t="str">
        <f t="shared" si="85"/>
        <v>N/A</v>
      </c>
      <c r="CR47" s="16" t="str">
        <f t="shared" si="86"/>
        <v>N/A</v>
      </c>
      <c r="CS47" s="16" t="str">
        <f t="shared" si="87"/>
        <v>N/A</v>
      </c>
      <c r="CT47" s="16" t="str">
        <f t="shared" si="88"/>
        <v>N/A</v>
      </c>
      <c r="CU47" s="16" t="str">
        <f t="shared" si="42"/>
        <v>N/A</v>
      </c>
      <c r="CV47" s="16" t="str">
        <f t="shared" si="43"/>
        <v>N/A</v>
      </c>
      <c r="CW47" s="16" t="str">
        <f t="shared" si="44"/>
        <v>N/A</v>
      </c>
      <c r="CX47" s="16" t="str">
        <f t="shared" si="45"/>
        <v>N/A</v>
      </c>
      <c r="CY47" s="16" t="str">
        <f t="shared" si="46"/>
        <v>N/A</v>
      </c>
    </row>
    <row r="48" spans="2:103" x14ac:dyDescent="0.25">
      <c r="B48" s="2"/>
      <c r="C48" s="6"/>
      <c r="D48" s="6"/>
      <c r="E48" s="7"/>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5"/>
      <c r="BA48" s="5"/>
      <c r="BB48" s="5"/>
      <c r="BC48" s="5"/>
      <c r="BD48" s="5">
        <f t="shared" si="47"/>
        <v>0</v>
      </c>
      <c r="BE48" s="2"/>
      <c r="BF48" s="2" t="str">
        <f t="shared" si="48"/>
        <v>Menos Horas</v>
      </c>
      <c r="BG48" s="2" t="str">
        <f t="shared" si="49"/>
        <v>Carga Lectiva Insuficiente</v>
      </c>
      <c r="BH48" s="16" t="str">
        <f t="shared" si="50"/>
        <v>Cumple</v>
      </c>
      <c r="BI48" s="2" t="str">
        <f t="shared" si="51"/>
        <v>Cumple</v>
      </c>
      <c r="BJ48" s="16" t="str">
        <f t="shared" si="52"/>
        <v>Cumple</v>
      </c>
      <c r="BK48" s="16" t="str">
        <f t="shared" si="53"/>
        <v>N/A</v>
      </c>
      <c r="BL48" s="16" t="str">
        <f t="shared" si="54"/>
        <v>N/A</v>
      </c>
      <c r="BM48" s="16" t="str">
        <f t="shared" si="55"/>
        <v>N/A</v>
      </c>
      <c r="BN48" s="16" t="str">
        <f t="shared" si="56"/>
        <v>N/A</v>
      </c>
      <c r="BO48" s="16" t="str">
        <f t="shared" si="57"/>
        <v>N/A</v>
      </c>
      <c r="BP48" s="16" t="str">
        <f t="shared" si="58"/>
        <v>N/A</v>
      </c>
      <c r="BQ48" s="16" t="str">
        <f t="shared" si="59"/>
        <v>N/A</v>
      </c>
      <c r="BR48" s="16" t="str">
        <f t="shared" si="60"/>
        <v>N/A</v>
      </c>
      <c r="BS48" s="16" t="str">
        <f t="shared" si="61"/>
        <v>N/A</v>
      </c>
      <c r="BT48" s="16" t="str">
        <f t="shared" si="62"/>
        <v>N/A</v>
      </c>
      <c r="BU48" s="16" t="str">
        <f t="shared" si="63"/>
        <v>N/A</v>
      </c>
      <c r="BV48" s="16" t="str">
        <f t="shared" si="64"/>
        <v>N/A</v>
      </c>
      <c r="BW48" s="16" t="str">
        <f t="shared" si="65"/>
        <v>N/A</v>
      </c>
      <c r="BX48" s="16" t="str">
        <f t="shared" si="66"/>
        <v>N/A</v>
      </c>
      <c r="BY48" s="16" t="str">
        <f t="shared" si="67"/>
        <v>N/A</v>
      </c>
      <c r="BZ48" s="16" t="str">
        <f t="shared" si="68"/>
        <v>N/A</v>
      </c>
      <c r="CA48" s="16" t="str">
        <f t="shared" si="69"/>
        <v>N/A</v>
      </c>
      <c r="CB48" s="16" t="str">
        <f t="shared" si="70"/>
        <v>N/A</v>
      </c>
      <c r="CC48" s="16" t="str">
        <f t="shared" si="71"/>
        <v>N/A</v>
      </c>
      <c r="CD48" s="16" t="str">
        <f t="shared" si="72"/>
        <v>N/A</v>
      </c>
      <c r="CE48" s="16" t="str">
        <f t="shared" si="73"/>
        <v>N/A</v>
      </c>
      <c r="CF48" s="16" t="str">
        <f t="shared" si="74"/>
        <v>N/A</v>
      </c>
      <c r="CG48" s="16" t="str">
        <f t="shared" si="75"/>
        <v>N/A</v>
      </c>
      <c r="CH48" s="16" t="str">
        <f t="shared" si="76"/>
        <v>N/A</v>
      </c>
      <c r="CI48" s="16" t="str">
        <f t="shared" si="77"/>
        <v>N/A</v>
      </c>
      <c r="CJ48" s="16" t="str">
        <f t="shared" si="78"/>
        <v>N/A</v>
      </c>
      <c r="CK48" s="16" t="str">
        <f t="shared" si="79"/>
        <v>N/A</v>
      </c>
      <c r="CL48" s="16" t="str">
        <f t="shared" si="80"/>
        <v>N/A</v>
      </c>
      <c r="CM48" s="16" t="str">
        <f t="shared" si="81"/>
        <v>N/A</v>
      </c>
      <c r="CN48" s="16" t="str">
        <f t="shared" si="82"/>
        <v>N/A</v>
      </c>
      <c r="CO48" s="16" t="str">
        <f t="shared" si="83"/>
        <v>N/A</v>
      </c>
      <c r="CP48" s="16" t="str">
        <f t="shared" si="84"/>
        <v>N/A</v>
      </c>
      <c r="CQ48" s="16" t="str">
        <f t="shared" si="85"/>
        <v>N/A</v>
      </c>
      <c r="CR48" s="16" t="str">
        <f t="shared" si="86"/>
        <v>N/A</v>
      </c>
      <c r="CS48" s="16" t="str">
        <f t="shared" si="87"/>
        <v>N/A</v>
      </c>
      <c r="CT48" s="16" t="str">
        <f t="shared" si="88"/>
        <v>N/A</v>
      </c>
      <c r="CU48" s="16" t="str">
        <f t="shared" si="42"/>
        <v>N/A</v>
      </c>
      <c r="CV48" s="16" t="str">
        <f t="shared" si="43"/>
        <v>N/A</v>
      </c>
      <c r="CW48" s="16" t="str">
        <f t="shared" si="44"/>
        <v>N/A</v>
      </c>
      <c r="CX48" s="16" t="str">
        <f t="shared" si="45"/>
        <v>N/A</v>
      </c>
      <c r="CY48" s="16" t="str">
        <f t="shared" si="46"/>
        <v>N/A</v>
      </c>
    </row>
    <row r="49" spans="2:103" x14ac:dyDescent="0.25">
      <c r="B49" s="2"/>
      <c r="C49" s="6"/>
      <c r="D49" s="6"/>
      <c r="E49" s="7"/>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5"/>
      <c r="BA49" s="5"/>
      <c r="BB49" s="5"/>
      <c r="BC49" s="5"/>
      <c r="BD49" s="5">
        <f t="shared" si="47"/>
        <v>0</v>
      </c>
      <c r="BE49" s="2"/>
      <c r="BF49" s="2" t="str">
        <f t="shared" si="48"/>
        <v>Menos Horas</v>
      </c>
      <c r="BG49" s="2" t="str">
        <f t="shared" si="49"/>
        <v>Carga Lectiva Insuficiente</v>
      </c>
      <c r="BH49" s="16" t="str">
        <f t="shared" si="50"/>
        <v>Cumple</v>
      </c>
      <c r="BI49" s="2" t="str">
        <f t="shared" si="51"/>
        <v>Cumple</v>
      </c>
      <c r="BJ49" s="16" t="str">
        <f t="shared" si="52"/>
        <v>Cumple</v>
      </c>
      <c r="BK49" s="16" t="str">
        <f t="shared" si="53"/>
        <v>N/A</v>
      </c>
      <c r="BL49" s="16" t="str">
        <f t="shared" si="54"/>
        <v>N/A</v>
      </c>
      <c r="BM49" s="16" t="str">
        <f t="shared" si="55"/>
        <v>N/A</v>
      </c>
      <c r="BN49" s="16" t="str">
        <f t="shared" si="56"/>
        <v>N/A</v>
      </c>
      <c r="BO49" s="16" t="str">
        <f t="shared" si="57"/>
        <v>N/A</v>
      </c>
      <c r="BP49" s="16" t="str">
        <f t="shared" si="58"/>
        <v>N/A</v>
      </c>
      <c r="BQ49" s="16" t="str">
        <f t="shared" si="59"/>
        <v>N/A</v>
      </c>
      <c r="BR49" s="16" t="str">
        <f t="shared" si="60"/>
        <v>N/A</v>
      </c>
      <c r="BS49" s="16" t="str">
        <f t="shared" si="61"/>
        <v>N/A</v>
      </c>
      <c r="BT49" s="16" t="str">
        <f t="shared" si="62"/>
        <v>N/A</v>
      </c>
      <c r="BU49" s="16" t="str">
        <f t="shared" si="63"/>
        <v>N/A</v>
      </c>
      <c r="BV49" s="16" t="str">
        <f t="shared" si="64"/>
        <v>N/A</v>
      </c>
      <c r="BW49" s="16" t="str">
        <f t="shared" si="65"/>
        <v>N/A</v>
      </c>
      <c r="BX49" s="16" t="str">
        <f t="shared" si="66"/>
        <v>N/A</v>
      </c>
      <c r="BY49" s="16" t="str">
        <f t="shared" si="67"/>
        <v>N/A</v>
      </c>
      <c r="BZ49" s="16" t="str">
        <f t="shared" si="68"/>
        <v>N/A</v>
      </c>
      <c r="CA49" s="16" t="str">
        <f t="shared" si="69"/>
        <v>N/A</v>
      </c>
      <c r="CB49" s="16" t="str">
        <f t="shared" si="70"/>
        <v>N/A</v>
      </c>
      <c r="CC49" s="16" t="str">
        <f t="shared" si="71"/>
        <v>N/A</v>
      </c>
      <c r="CD49" s="16" t="str">
        <f t="shared" si="72"/>
        <v>N/A</v>
      </c>
      <c r="CE49" s="16" t="str">
        <f t="shared" si="73"/>
        <v>N/A</v>
      </c>
      <c r="CF49" s="16" t="str">
        <f t="shared" si="74"/>
        <v>N/A</v>
      </c>
      <c r="CG49" s="16" t="str">
        <f t="shared" si="75"/>
        <v>N/A</v>
      </c>
      <c r="CH49" s="16" t="str">
        <f t="shared" si="76"/>
        <v>N/A</v>
      </c>
      <c r="CI49" s="16" t="str">
        <f t="shared" si="77"/>
        <v>N/A</v>
      </c>
      <c r="CJ49" s="16" t="str">
        <f t="shared" si="78"/>
        <v>N/A</v>
      </c>
      <c r="CK49" s="16" t="str">
        <f t="shared" si="79"/>
        <v>N/A</v>
      </c>
      <c r="CL49" s="16" t="str">
        <f t="shared" si="80"/>
        <v>N/A</v>
      </c>
      <c r="CM49" s="16" t="str">
        <f t="shared" si="81"/>
        <v>N/A</v>
      </c>
      <c r="CN49" s="16" t="str">
        <f t="shared" si="82"/>
        <v>N/A</v>
      </c>
      <c r="CO49" s="16" t="str">
        <f t="shared" si="83"/>
        <v>N/A</v>
      </c>
      <c r="CP49" s="16" t="str">
        <f t="shared" si="84"/>
        <v>N/A</v>
      </c>
      <c r="CQ49" s="16" t="str">
        <f t="shared" si="85"/>
        <v>N/A</v>
      </c>
      <c r="CR49" s="16" t="str">
        <f t="shared" si="86"/>
        <v>N/A</v>
      </c>
      <c r="CS49" s="16" t="str">
        <f t="shared" si="87"/>
        <v>N/A</v>
      </c>
      <c r="CT49" s="16" t="str">
        <f t="shared" si="88"/>
        <v>N/A</v>
      </c>
      <c r="CU49" s="16" t="str">
        <f t="shared" si="42"/>
        <v>N/A</v>
      </c>
      <c r="CV49" s="16" t="str">
        <f t="shared" si="43"/>
        <v>N/A</v>
      </c>
      <c r="CW49" s="16" t="str">
        <f t="shared" si="44"/>
        <v>N/A</v>
      </c>
      <c r="CX49" s="16" t="str">
        <f t="shared" si="45"/>
        <v>N/A</v>
      </c>
      <c r="CY49" s="16" t="str">
        <f t="shared" si="46"/>
        <v>N/A</v>
      </c>
    </row>
    <row r="50" spans="2:103" x14ac:dyDescent="0.25">
      <c r="B50" s="2"/>
      <c r="C50" s="6"/>
      <c r="D50" s="6"/>
      <c r="E50" s="7"/>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5"/>
      <c r="BA50" s="5"/>
      <c r="BB50" s="5"/>
      <c r="BC50" s="5"/>
      <c r="BD50" s="5">
        <f t="shared" si="47"/>
        <v>0</v>
      </c>
      <c r="BE50" s="2"/>
      <c r="BF50" s="2" t="str">
        <f t="shared" si="48"/>
        <v>Menos Horas</v>
      </c>
      <c r="BG50" s="2" t="str">
        <f t="shared" si="49"/>
        <v>Carga Lectiva Insuficiente</v>
      </c>
      <c r="BH50" s="16" t="str">
        <f t="shared" si="50"/>
        <v>Cumple</v>
      </c>
      <c r="BI50" s="2" t="str">
        <f t="shared" si="51"/>
        <v>Cumple</v>
      </c>
      <c r="BJ50" s="16" t="str">
        <f t="shared" si="52"/>
        <v>Cumple</v>
      </c>
      <c r="BK50" s="16" t="str">
        <f t="shared" si="53"/>
        <v>N/A</v>
      </c>
      <c r="BL50" s="16" t="str">
        <f t="shared" si="54"/>
        <v>N/A</v>
      </c>
      <c r="BM50" s="16" t="str">
        <f t="shared" si="55"/>
        <v>N/A</v>
      </c>
      <c r="BN50" s="16" t="str">
        <f t="shared" si="56"/>
        <v>N/A</v>
      </c>
      <c r="BO50" s="16" t="str">
        <f t="shared" si="57"/>
        <v>N/A</v>
      </c>
      <c r="BP50" s="16" t="str">
        <f t="shared" si="58"/>
        <v>N/A</v>
      </c>
      <c r="BQ50" s="16" t="str">
        <f t="shared" si="59"/>
        <v>N/A</v>
      </c>
      <c r="BR50" s="16" t="str">
        <f t="shared" si="60"/>
        <v>N/A</v>
      </c>
      <c r="BS50" s="16" t="str">
        <f t="shared" si="61"/>
        <v>N/A</v>
      </c>
      <c r="BT50" s="16" t="str">
        <f t="shared" si="62"/>
        <v>N/A</v>
      </c>
      <c r="BU50" s="16" t="str">
        <f t="shared" si="63"/>
        <v>N/A</v>
      </c>
      <c r="BV50" s="16" t="str">
        <f t="shared" si="64"/>
        <v>N/A</v>
      </c>
      <c r="BW50" s="16" t="str">
        <f t="shared" si="65"/>
        <v>N/A</v>
      </c>
      <c r="BX50" s="16" t="str">
        <f t="shared" si="66"/>
        <v>N/A</v>
      </c>
      <c r="BY50" s="16" t="str">
        <f t="shared" si="67"/>
        <v>N/A</v>
      </c>
      <c r="BZ50" s="16" t="str">
        <f t="shared" si="68"/>
        <v>N/A</v>
      </c>
      <c r="CA50" s="16" t="str">
        <f t="shared" si="69"/>
        <v>N/A</v>
      </c>
      <c r="CB50" s="16" t="str">
        <f t="shared" si="70"/>
        <v>N/A</v>
      </c>
      <c r="CC50" s="16" t="str">
        <f t="shared" si="71"/>
        <v>N/A</v>
      </c>
      <c r="CD50" s="16" t="str">
        <f t="shared" si="72"/>
        <v>N/A</v>
      </c>
      <c r="CE50" s="16" t="str">
        <f t="shared" si="73"/>
        <v>N/A</v>
      </c>
      <c r="CF50" s="16" t="str">
        <f t="shared" si="74"/>
        <v>N/A</v>
      </c>
      <c r="CG50" s="16" t="str">
        <f t="shared" si="75"/>
        <v>N/A</v>
      </c>
      <c r="CH50" s="16" t="str">
        <f t="shared" si="76"/>
        <v>N/A</v>
      </c>
      <c r="CI50" s="16" t="str">
        <f t="shared" si="77"/>
        <v>N/A</v>
      </c>
      <c r="CJ50" s="16" t="str">
        <f t="shared" si="78"/>
        <v>N/A</v>
      </c>
      <c r="CK50" s="16" t="str">
        <f t="shared" si="79"/>
        <v>N/A</v>
      </c>
      <c r="CL50" s="16" t="str">
        <f t="shared" si="80"/>
        <v>N/A</v>
      </c>
      <c r="CM50" s="16" t="str">
        <f t="shared" si="81"/>
        <v>N/A</v>
      </c>
      <c r="CN50" s="16" t="str">
        <f t="shared" si="82"/>
        <v>N/A</v>
      </c>
      <c r="CO50" s="16" t="str">
        <f t="shared" si="83"/>
        <v>N/A</v>
      </c>
      <c r="CP50" s="16" t="str">
        <f t="shared" si="84"/>
        <v>N/A</v>
      </c>
      <c r="CQ50" s="16" t="str">
        <f t="shared" si="85"/>
        <v>N/A</v>
      </c>
      <c r="CR50" s="16" t="str">
        <f t="shared" si="86"/>
        <v>N/A</v>
      </c>
      <c r="CS50" s="16" t="str">
        <f t="shared" si="87"/>
        <v>N/A</v>
      </c>
      <c r="CT50" s="16" t="str">
        <f t="shared" si="88"/>
        <v>N/A</v>
      </c>
      <c r="CU50" s="16" t="str">
        <f t="shared" si="42"/>
        <v>N/A</v>
      </c>
      <c r="CV50" s="16" t="str">
        <f t="shared" si="43"/>
        <v>N/A</v>
      </c>
      <c r="CW50" s="16" t="str">
        <f t="shared" si="44"/>
        <v>N/A</v>
      </c>
      <c r="CX50" s="16" t="str">
        <f t="shared" si="45"/>
        <v>N/A</v>
      </c>
      <c r="CY50" s="16" t="str">
        <f t="shared" si="46"/>
        <v>N/A</v>
      </c>
    </row>
    <row r="51" spans="2:103" x14ac:dyDescent="0.25">
      <c r="B51" s="2"/>
      <c r="C51" s="6"/>
      <c r="D51" s="6"/>
      <c r="E51" s="7"/>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5"/>
      <c r="BA51" s="5"/>
      <c r="BB51" s="5"/>
      <c r="BC51" s="5"/>
      <c r="BD51" s="5">
        <f t="shared" si="47"/>
        <v>0</v>
      </c>
      <c r="BE51" s="2"/>
      <c r="BF51" s="2" t="str">
        <f t="shared" si="48"/>
        <v>Menos Horas</v>
      </c>
      <c r="BG51" s="2" t="str">
        <f t="shared" si="49"/>
        <v>Carga Lectiva Insuficiente</v>
      </c>
      <c r="BH51" s="16" t="str">
        <f t="shared" si="50"/>
        <v>Cumple</v>
      </c>
      <c r="BI51" s="2" t="str">
        <f t="shared" si="51"/>
        <v>Cumple</v>
      </c>
      <c r="BJ51" s="16" t="str">
        <f t="shared" si="52"/>
        <v>Cumple</v>
      </c>
      <c r="BK51" s="16" t="str">
        <f t="shared" si="53"/>
        <v>N/A</v>
      </c>
      <c r="BL51" s="16" t="str">
        <f t="shared" si="54"/>
        <v>N/A</v>
      </c>
      <c r="BM51" s="16" t="str">
        <f t="shared" si="55"/>
        <v>N/A</v>
      </c>
      <c r="BN51" s="16" t="str">
        <f t="shared" si="56"/>
        <v>N/A</v>
      </c>
      <c r="BO51" s="16" t="str">
        <f t="shared" si="57"/>
        <v>N/A</v>
      </c>
      <c r="BP51" s="16" t="str">
        <f t="shared" si="58"/>
        <v>N/A</v>
      </c>
      <c r="BQ51" s="16" t="str">
        <f t="shared" si="59"/>
        <v>N/A</v>
      </c>
      <c r="BR51" s="16" t="str">
        <f t="shared" si="60"/>
        <v>N/A</v>
      </c>
      <c r="BS51" s="16" t="str">
        <f t="shared" si="61"/>
        <v>N/A</v>
      </c>
      <c r="BT51" s="16" t="str">
        <f t="shared" si="62"/>
        <v>N/A</v>
      </c>
      <c r="BU51" s="16" t="str">
        <f t="shared" si="63"/>
        <v>N/A</v>
      </c>
      <c r="BV51" s="16" t="str">
        <f t="shared" si="64"/>
        <v>N/A</v>
      </c>
      <c r="BW51" s="16" t="str">
        <f t="shared" si="65"/>
        <v>N/A</v>
      </c>
      <c r="BX51" s="16" t="str">
        <f t="shared" si="66"/>
        <v>N/A</v>
      </c>
      <c r="BY51" s="16" t="str">
        <f t="shared" si="67"/>
        <v>N/A</v>
      </c>
      <c r="BZ51" s="16" t="str">
        <f t="shared" si="68"/>
        <v>N/A</v>
      </c>
      <c r="CA51" s="16" t="str">
        <f t="shared" si="69"/>
        <v>N/A</v>
      </c>
      <c r="CB51" s="16" t="str">
        <f t="shared" si="70"/>
        <v>N/A</v>
      </c>
      <c r="CC51" s="16" t="str">
        <f t="shared" si="71"/>
        <v>N/A</v>
      </c>
      <c r="CD51" s="16" t="str">
        <f t="shared" si="72"/>
        <v>N/A</v>
      </c>
      <c r="CE51" s="16" t="str">
        <f t="shared" si="73"/>
        <v>N/A</v>
      </c>
      <c r="CF51" s="16" t="str">
        <f t="shared" si="74"/>
        <v>N/A</v>
      </c>
      <c r="CG51" s="16" t="str">
        <f t="shared" si="75"/>
        <v>N/A</v>
      </c>
      <c r="CH51" s="16" t="str">
        <f t="shared" si="76"/>
        <v>N/A</v>
      </c>
      <c r="CI51" s="16" t="str">
        <f t="shared" si="77"/>
        <v>N/A</v>
      </c>
      <c r="CJ51" s="16" t="str">
        <f t="shared" si="78"/>
        <v>N/A</v>
      </c>
      <c r="CK51" s="16" t="str">
        <f t="shared" si="79"/>
        <v>N/A</v>
      </c>
      <c r="CL51" s="16" t="str">
        <f t="shared" si="80"/>
        <v>N/A</v>
      </c>
      <c r="CM51" s="16" t="str">
        <f t="shared" si="81"/>
        <v>N/A</v>
      </c>
      <c r="CN51" s="16" t="str">
        <f t="shared" si="82"/>
        <v>N/A</v>
      </c>
      <c r="CO51" s="16" t="str">
        <f t="shared" si="83"/>
        <v>N/A</v>
      </c>
      <c r="CP51" s="16" t="str">
        <f t="shared" si="84"/>
        <v>N/A</v>
      </c>
      <c r="CQ51" s="16" t="str">
        <f t="shared" si="85"/>
        <v>N/A</v>
      </c>
      <c r="CR51" s="16" t="str">
        <f t="shared" si="86"/>
        <v>N/A</v>
      </c>
      <c r="CS51" s="16" t="str">
        <f t="shared" si="87"/>
        <v>N/A</v>
      </c>
      <c r="CT51" s="16" t="str">
        <f t="shared" si="88"/>
        <v>N/A</v>
      </c>
      <c r="CU51" s="16" t="str">
        <f t="shared" si="42"/>
        <v>N/A</v>
      </c>
      <c r="CV51" s="16" t="str">
        <f t="shared" si="43"/>
        <v>N/A</v>
      </c>
      <c r="CW51" s="16" t="str">
        <f t="shared" si="44"/>
        <v>N/A</v>
      </c>
      <c r="CX51" s="16" t="str">
        <f t="shared" si="45"/>
        <v>N/A</v>
      </c>
      <c r="CY51" s="16" t="str">
        <f t="shared" si="46"/>
        <v>N/A</v>
      </c>
    </row>
    <row r="52" spans="2:103" x14ac:dyDescent="0.25">
      <c r="B52" s="2"/>
      <c r="C52" s="6"/>
      <c r="D52" s="6"/>
      <c r="E52" s="7"/>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5"/>
      <c r="BA52" s="5"/>
      <c r="BB52" s="5"/>
      <c r="BC52" s="5"/>
      <c r="BD52" s="5">
        <f t="shared" si="47"/>
        <v>0</v>
      </c>
      <c r="BE52" s="2"/>
      <c r="BF52" s="2" t="str">
        <f t="shared" si="48"/>
        <v>Menos Horas</v>
      </c>
      <c r="BG52" s="2" t="str">
        <f t="shared" si="49"/>
        <v>Carga Lectiva Insuficiente</v>
      </c>
      <c r="BH52" s="16" t="str">
        <f t="shared" si="50"/>
        <v>Cumple</v>
      </c>
      <c r="BI52" s="2" t="str">
        <f t="shared" si="51"/>
        <v>Cumple</v>
      </c>
      <c r="BJ52" s="16" t="str">
        <f t="shared" si="52"/>
        <v>Cumple</v>
      </c>
      <c r="BK52" s="16" t="str">
        <f t="shared" si="53"/>
        <v>N/A</v>
      </c>
      <c r="BL52" s="16" t="str">
        <f t="shared" si="54"/>
        <v>N/A</v>
      </c>
      <c r="BM52" s="16" t="str">
        <f t="shared" si="55"/>
        <v>N/A</v>
      </c>
      <c r="BN52" s="16" t="str">
        <f t="shared" si="56"/>
        <v>N/A</v>
      </c>
      <c r="BO52" s="16" t="str">
        <f t="shared" si="57"/>
        <v>N/A</v>
      </c>
      <c r="BP52" s="16" t="str">
        <f t="shared" si="58"/>
        <v>N/A</v>
      </c>
      <c r="BQ52" s="16" t="str">
        <f t="shared" si="59"/>
        <v>N/A</v>
      </c>
      <c r="BR52" s="16" t="str">
        <f t="shared" si="60"/>
        <v>N/A</v>
      </c>
      <c r="BS52" s="16" t="str">
        <f t="shared" si="61"/>
        <v>N/A</v>
      </c>
      <c r="BT52" s="16" t="str">
        <f t="shared" si="62"/>
        <v>N/A</v>
      </c>
      <c r="BU52" s="16" t="str">
        <f t="shared" si="63"/>
        <v>N/A</v>
      </c>
      <c r="BV52" s="16" t="str">
        <f t="shared" si="64"/>
        <v>N/A</v>
      </c>
      <c r="BW52" s="16" t="str">
        <f t="shared" si="65"/>
        <v>N/A</v>
      </c>
      <c r="BX52" s="16" t="str">
        <f t="shared" si="66"/>
        <v>N/A</v>
      </c>
      <c r="BY52" s="16" t="str">
        <f t="shared" si="67"/>
        <v>N/A</v>
      </c>
      <c r="BZ52" s="16" t="str">
        <f t="shared" si="68"/>
        <v>N/A</v>
      </c>
      <c r="CA52" s="16" t="str">
        <f t="shared" si="69"/>
        <v>N/A</v>
      </c>
      <c r="CB52" s="16" t="str">
        <f t="shared" si="70"/>
        <v>N/A</v>
      </c>
      <c r="CC52" s="16" t="str">
        <f t="shared" si="71"/>
        <v>N/A</v>
      </c>
      <c r="CD52" s="16" t="str">
        <f t="shared" si="72"/>
        <v>N/A</v>
      </c>
      <c r="CE52" s="16" t="str">
        <f t="shared" si="73"/>
        <v>N/A</v>
      </c>
      <c r="CF52" s="16" t="str">
        <f t="shared" si="74"/>
        <v>N/A</v>
      </c>
      <c r="CG52" s="16" t="str">
        <f t="shared" si="75"/>
        <v>N/A</v>
      </c>
      <c r="CH52" s="16" t="str">
        <f t="shared" si="76"/>
        <v>N/A</v>
      </c>
      <c r="CI52" s="16" t="str">
        <f t="shared" si="77"/>
        <v>N/A</v>
      </c>
      <c r="CJ52" s="16" t="str">
        <f t="shared" si="78"/>
        <v>N/A</v>
      </c>
      <c r="CK52" s="16" t="str">
        <f t="shared" si="79"/>
        <v>N/A</v>
      </c>
      <c r="CL52" s="16" t="str">
        <f t="shared" si="80"/>
        <v>N/A</v>
      </c>
      <c r="CM52" s="16" t="str">
        <f t="shared" si="81"/>
        <v>N/A</v>
      </c>
      <c r="CN52" s="16" t="str">
        <f t="shared" si="82"/>
        <v>N/A</v>
      </c>
      <c r="CO52" s="16" t="str">
        <f t="shared" si="83"/>
        <v>N/A</v>
      </c>
      <c r="CP52" s="16" t="str">
        <f t="shared" si="84"/>
        <v>N/A</v>
      </c>
      <c r="CQ52" s="16" t="str">
        <f t="shared" si="85"/>
        <v>N/A</v>
      </c>
      <c r="CR52" s="16" t="str">
        <f t="shared" si="86"/>
        <v>N/A</v>
      </c>
      <c r="CS52" s="16" t="str">
        <f t="shared" si="87"/>
        <v>N/A</v>
      </c>
      <c r="CT52" s="16" t="str">
        <f t="shared" si="88"/>
        <v>N/A</v>
      </c>
      <c r="CU52" s="16" t="str">
        <f t="shared" si="42"/>
        <v>N/A</v>
      </c>
      <c r="CV52" s="16" t="str">
        <f t="shared" si="43"/>
        <v>N/A</v>
      </c>
      <c r="CW52" s="16" t="str">
        <f t="shared" si="44"/>
        <v>N/A</v>
      </c>
      <c r="CX52" s="16" t="str">
        <f t="shared" si="45"/>
        <v>N/A</v>
      </c>
      <c r="CY52" s="16" t="str">
        <f t="shared" si="46"/>
        <v>N/A</v>
      </c>
    </row>
    <row r="53" spans="2:103" x14ac:dyDescent="0.25">
      <c r="B53" s="2"/>
      <c r="C53" s="6"/>
      <c r="D53" s="6"/>
      <c r="E53" s="7"/>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5"/>
      <c r="BA53" s="5"/>
      <c r="BB53" s="5"/>
      <c r="BC53" s="5"/>
      <c r="BD53" s="5">
        <f t="shared" si="47"/>
        <v>0</v>
      </c>
      <c r="BE53" s="2"/>
      <c r="BF53" s="2" t="str">
        <f t="shared" si="48"/>
        <v>Menos Horas</v>
      </c>
      <c r="BG53" s="2" t="str">
        <f t="shared" si="49"/>
        <v>Carga Lectiva Insuficiente</v>
      </c>
      <c r="BH53" s="16" t="str">
        <f t="shared" si="50"/>
        <v>Cumple</v>
      </c>
      <c r="BI53" s="2" t="str">
        <f t="shared" si="51"/>
        <v>Cumple</v>
      </c>
      <c r="BJ53" s="16" t="str">
        <f t="shared" si="52"/>
        <v>Cumple</v>
      </c>
      <c r="BK53" s="16" t="str">
        <f t="shared" si="53"/>
        <v>N/A</v>
      </c>
      <c r="BL53" s="16" t="str">
        <f t="shared" si="54"/>
        <v>N/A</v>
      </c>
      <c r="BM53" s="16" t="str">
        <f t="shared" si="55"/>
        <v>N/A</v>
      </c>
      <c r="BN53" s="16" t="str">
        <f t="shared" si="56"/>
        <v>N/A</v>
      </c>
      <c r="BO53" s="16" t="str">
        <f t="shared" si="57"/>
        <v>N/A</v>
      </c>
      <c r="BP53" s="16" t="str">
        <f t="shared" si="58"/>
        <v>N/A</v>
      </c>
      <c r="BQ53" s="16" t="str">
        <f t="shared" si="59"/>
        <v>N/A</v>
      </c>
      <c r="BR53" s="16" t="str">
        <f t="shared" si="60"/>
        <v>N/A</v>
      </c>
      <c r="BS53" s="16" t="str">
        <f t="shared" si="61"/>
        <v>N/A</v>
      </c>
      <c r="BT53" s="16" t="str">
        <f t="shared" si="62"/>
        <v>N/A</v>
      </c>
      <c r="BU53" s="16" t="str">
        <f t="shared" si="63"/>
        <v>N/A</v>
      </c>
      <c r="BV53" s="16" t="str">
        <f t="shared" si="64"/>
        <v>N/A</v>
      </c>
      <c r="BW53" s="16" t="str">
        <f t="shared" si="65"/>
        <v>N/A</v>
      </c>
      <c r="BX53" s="16" t="str">
        <f t="shared" si="66"/>
        <v>N/A</v>
      </c>
      <c r="BY53" s="16" t="str">
        <f t="shared" si="67"/>
        <v>N/A</v>
      </c>
      <c r="BZ53" s="16" t="str">
        <f t="shared" si="68"/>
        <v>N/A</v>
      </c>
      <c r="CA53" s="16" t="str">
        <f t="shared" si="69"/>
        <v>N/A</v>
      </c>
      <c r="CB53" s="16" t="str">
        <f t="shared" si="70"/>
        <v>N/A</v>
      </c>
      <c r="CC53" s="16" t="str">
        <f t="shared" si="71"/>
        <v>N/A</v>
      </c>
      <c r="CD53" s="16" t="str">
        <f t="shared" si="72"/>
        <v>N/A</v>
      </c>
      <c r="CE53" s="16" t="str">
        <f t="shared" si="73"/>
        <v>N/A</v>
      </c>
      <c r="CF53" s="16" t="str">
        <f t="shared" si="74"/>
        <v>N/A</v>
      </c>
      <c r="CG53" s="16" t="str">
        <f t="shared" si="75"/>
        <v>N/A</v>
      </c>
      <c r="CH53" s="16" t="str">
        <f t="shared" si="76"/>
        <v>N/A</v>
      </c>
      <c r="CI53" s="16" t="str">
        <f t="shared" si="77"/>
        <v>N/A</v>
      </c>
      <c r="CJ53" s="16" t="str">
        <f t="shared" si="78"/>
        <v>N/A</v>
      </c>
      <c r="CK53" s="16" t="str">
        <f t="shared" si="79"/>
        <v>N/A</v>
      </c>
      <c r="CL53" s="16" t="str">
        <f t="shared" si="80"/>
        <v>N/A</v>
      </c>
      <c r="CM53" s="16" t="str">
        <f t="shared" si="81"/>
        <v>N/A</v>
      </c>
      <c r="CN53" s="16" t="str">
        <f t="shared" si="82"/>
        <v>N/A</v>
      </c>
      <c r="CO53" s="16" t="str">
        <f t="shared" si="83"/>
        <v>N/A</v>
      </c>
      <c r="CP53" s="16" t="str">
        <f t="shared" si="84"/>
        <v>N/A</v>
      </c>
      <c r="CQ53" s="16" t="str">
        <f t="shared" si="85"/>
        <v>N/A</v>
      </c>
      <c r="CR53" s="16" t="str">
        <f t="shared" si="86"/>
        <v>N/A</v>
      </c>
      <c r="CS53" s="16" t="str">
        <f t="shared" si="87"/>
        <v>N/A</v>
      </c>
      <c r="CT53" s="16" t="str">
        <f t="shared" si="88"/>
        <v>N/A</v>
      </c>
      <c r="CU53" s="16" t="str">
        <f t="shared" si="42"/>
        <v>N/A</v>
      </c>
      <c r="CV53" s="16" t="str">
        <f t="shared" si="43"/>
        <v>N/A</v>
      </c>
      <c r="CW53" s="16" t="str">
        <f t="shared" si="44"/>
        <v>N/A</v>
      </c>
      <c r="CX53" s="16" t="str">
        <f t="shared" si="45"/>
        <v>N/A</v>
      </c>
      <c r="CY53" s="16" t="str">
        <f t="shared" si="46"/>
        <v>N/A</v>
      </c>
    </row>
    <row r="54" spans="2:103" x14ac:dyDescent="0.25">
      <c r="B54" s="2"/>
      <c r="C54" s="6"/>
      <c r="D54" s="6"/>
      <c r="E54" s="7"/>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5"/>
      <c r="BA54" s="5"/>
      <c r="BB54" s="5"/>
      <c r="BC54" s="5"/>
      <c r="BD54" s="5">
        <f t="shared" si="47"/>
        <v>0</v>
      </c>
      <c r="BE54" s="2"/>
      <c r="BF54" s="2" t="str">
        <f t="shared" si="48"/>
        <v>Menos Horas</v>
      </c>
      <c r="BG54" s="2" t="str">
        <f t="shared" si="49"/>
        <v>Carga Lectiva Insuficiente</v>
      </c>
      <c r="BH54" s="16" t="str">
        <f t="shared" si="50"/>
        <v>Cumple</v>
      </c>
      <c r="BI54" s="2" t="str">
        <f t="shared" si="51"/>
        <v>Cumple</v>
      </c>
      <c r="BJ54" s="16" t="str">
        <f t="shared" si="52"/>
        <v>Cumple</v>
      </c>
      <c r="BK54" s="16" t="str">
        <f t="shared" si="53"/>
        <v>N/A</v>
      </c>
      <c r="BL54" s="16" t="str">
        <f t="shared" si="54"/>
        <v>N/A</v>
      </c>
      <c r="BM54" s="16" t="str">
        <f t="shared" si="55"/>
        <v>N/A</v>
      </c>
      <c r="BN54" s="16" t="str">
        <f t="shared" si="56"/>
        <v>N/A</v>
      </c>
      <c r="BO54" s="16" t="str">
        <f t="shared" si="57"/>
        <v>N/A</v>
      </c>
      <c r="BP54" s="16" t="str">
        <f t="shared" si="58"/>
        <v>N/A</v>
      </c>
      <c r="BQ54" s="16" t="str">
        <f t="shared" si="59"/>
        <v>N/A</v>
      </c>
      <c r="BR54" s="16" t="str">
        <f t="shared" si="60"/>
        <v>N/A</v>
      </c>
      <c r="BS54" s="16" t="str">
        <f t="shared" si="61"/>
        <v>N/A</v>
      </c>
      <c r="BT54" s="16" t="str">
        <f t="shared" si="62"/>
        <v>N/A</v>
      </c>
      <c r="BU54" s="16" t="str">
        <f t="shared" si="63"/>
        <v>N/A</v>
      </c>
      <c r="BV54" s="16" t="str">
        <f t="shared" si="64"/>
        <v>N/A</v>
      </c>
      <c r="BW54" s="16" t="str">
        <f t="shared" si="65"/>
        <v>N/A</v>
      </c>
      <c r="BX54" s="16" t="str">
        <f t="shared" si="66"/>
        <v>N/A</v>
      </c>
      <c r="BY54" s="16" t="str">
        <f t="shared" si="67"/>
        <v>N/A</v>
      </c>
      <c r="BZ54" s="16" t="str">
        <f t="shared" si="68"/>
        <v>N/A</v>
      </c>
      <c r="CA54" s="16" t="str">
        <f t="shared" si="69"/>
        <v>N/A</v>
      </c>
      <c r="CB54" s="16" t="str">
        <f t="shared" si="70"/>
        <v>N/A</v>
      </c>
      <c r="CC54" s="16" t="str">
        <f t="shared" si="71"/>
        <v>N/A</v>
      </c>
      <c r="CD54" s="16" t="str">
        <f t="shared" si="72"/>
        <v>N/A</v>
      </c>
      <c r="CE54" s="16" t="str">
        <f t="shared" si="73"/>
        <v>N/A</v>
      </c>
      <c r="CF54" s="16" t="str">
        <f t="shared" si="74"/>
        <v>N/A</v>
      </c>
      <c r="CG54" s="16" t="str">
        <f t="shared" si="75"/>
        <v>N/A</v>
      </c>
      <c r="CH54" s="16" t="str">
        <f t="shared" si="76"/>
        <v>N/A</v>
      </c>
      <c r="CI54" s="16" t="str">
        <f t="shared" si="77"/>
        <v>N/A</v>
      </c>
      <c r="CJ54" s="16" t="str">
        <f t="shared" si="78"/>
        <v>N/A</v>
      </c>
      <c r="CK54" s="16" t="str">
        <f t="shared" si="79"/>
        <v>N/A</v>
      </c>
      <c r="CL54" s="16" t="str">
        <f t="shared" si="80"/>
        <v>N/A</v>
      </c>
      <c r="CM54" s="16" t="str">
        <f t="shared" si="81"/>
        <v>N/A</v>
      </c>
      <c r="CN54" s="16" t="str">
        <f t="shared" si="82"/>
        <v>N/A</v>
      </c>
      <c r="CO54" s="16" t="str">
        <f t="shared" si="83"/>
        <v>N/A</v>
      </c>
      <c r="CP54" s="16" t="str">
        <f t="shared" si="84"/>
        <v>N/A</v>
      </c>
      <c r="CQ54" s="16" t="str">
        <f t="shared" si="85"/>
        <v>N/A</v>
      </c>
      <c r="CR54" s="16" t="str">
        <f t="shared" si="86"/>
        <v>N/A</v>
      </c>
      <c r="CS54" s="16" t="str">
        <f t="shared" si="87"/>
        <v>N/A</v>
      </c>
      <c r="CT54" s="16" t="str">
        <f t="shared" si="88"/>
        <v>N/A</v>
      </c>
      <c r="CU54" s="16" t="str">
        <f t="shared" si="42"/>
        <v>N/A</v>
      </c>
      <c r="CV54" s="16" t="str">
        <f t="shared" si="43"/>
        <v>N/A</v>
      </c>
      <c r="CW54" s="16" t="str">
        <f t="shared" si="44"/>
        <v>N/A</v>
      </c>
      <c r="CX54" s="16" t="str">
        <f t="shared" si="45"/>
        <v>N/A</v>
      </c>
      <c r="CY54" s="16" t="str">
        <f t="shared" si="46"/>
        <v>N/A</v>
      </c>
    </row>
    <row r="55" spans="2:103" x14ac:dyDescent="0.25">
      <c r="B55" s="2"/>
      <c r="C55" s="6"/>
      <c r="D55" s="6"/>
      <c r="E55" s="7"/>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5"/>
      <c r="BA55" s="5"/>
      <c r="BB55" s="5"/>
      <c r="BC55" s="5"/>
      <c r="BD55" s="5">
        <f t="shared" si="47"/>
        <v>0</v>
      </c>
      <c r="BE55" s="2"/>
      <c r="BF55" s="2" t="str">
        <f t="shared" si="48"/>
        <v>Menos Horas</v>
      </c>
      <c r="BG55" s="2" t="str">
        <f t="shared" si="49"/>
        <v>Carga Lectiva Insuficiente</v>
      </c>
      <c r="BH55" s="16" t="str">
        <f t="shared" si="50"/>
        <v>Cumple</v>
      </c>
      <c r="BI55" s="2" t="str">
        <f t="shared" si="51"/>
        <v>Cumple</v>
      </c>
      <c r="BJ55" s="16" t="str">
        <f t="shared" si="52"/>
        <v>Cumple</v>
      </c>
      <c r="BK55" s="16" t="str">
        <f t="shared" si="53"/>
        <v>N/A</v>
      </c>
      <c r="BL55" s="16" t="str">
        <f t="shared" si="54"/>
        <v>N/A</v>
      </c>
      <c r="BM55" s="16" t="str">
        <f t="shared" si="55"/>
        <v>N/A</v>
      </c>
      <c r="BN55" s="16" t="str">
        <f t="shared" si="56"/>
        <v>N/A</v>
      </c>
      <c r="BO55" s="16" t="str">
        <f t="shared" si="57"/>
        <v>N/A</v>
      </c>
      <c r="BP55" s="16" t="str">
        <f t="shared" si="58"/>
        <v>N/A</v>
      </c>
      <c r="BQ55" s="16" t="str">
        <f t="shared" si="59"/>
        <v>N/A</v>
      </c>
      <c r="BR55" s="16" t="str">
        <f t="shared" si="60"/>
        <v>N/A</v>
      </c>
      <c r="BS55" s="16" t="str">
        <f t="shared" si="61"/>
        <v>N/A</v>
      </c>
      <c r="BT55" s="16" t="str">
        <f t="shared" si="62"/>
        <v>N/A</v>
      </c>
      <c r="BU55" s="16" t="str">
        <f t="shared" si="63"/>
        <v>N/A</v>
      </c>
      <c r="BV55" s="16" t="str">
        <f t="shared" si="64"/>
        <v>N/A</v>
      </c>
      <c r="BW55" s="16" t="str">
        <f t="shared" si="65"/>
        <v>N/A</v>
      </c>
      <c r="BX55" s="16" t="str">
        <f t="shared" si="66"/>
        <v>N/A</v>
      </c>
      <c r="BY55" s="16" t="str">
        <f t="shared" si="67"/>
        <v>N/A</v>
      </c>
      <c r="BZ55" s="16" t="str">
        <f t="shared" si="68"/>
        <v>N/A</v>
      </c>
      <c r="CA55" s="16" t="str">
        <f t="shared" si="69"/>
        <v>N/A</v>
      </c>
      <c r="CB55" s="16" t="str">
        <f t="shared" si="70"/>
        <v>N/A</v>
      </c>
      <c r="CC55" s="16" t="str">
        <f t="shared" si="71"/>
        <v>N/A</v>
      </c>
      <c r="CD55" s="16" t="str">
        <f t="shared" si="72"/>
        <v>N/A</v>
      </c>
      <c r="CE55" s="16" t="str">
        <f t="shared" si="73"/>
        <v>N/A</v>
      </c>
      <c r="CF55" s="16" t="str">
        <f t="shared" si="74"/>
        <v>N/A</v>
      </c>
      <c r="CG55" s="16" t="str">
        <f t="shared" si="75"/>
        <v>N/A</v>
      </c>
      <c r="CH55" s="16" t="str">
        <f t="shared" si="76"/>
        <v>N/A</v>
      </c>
      <c r="CI55" s="16" t="str">
        <f t="shared" si="77"/>
        <v>N/A</v>
      </c>
      <c r="CJ55" s="16" t="str">
        <f t="shared" si="78"/>
        <v>N/A</v>
      </c>
      <c r="CK55" s="16" t="str">
        <f t="shared" si="79"/>
        <v>N/A</v>
      </c>
      <c r="CL55" s="16" t="str">
        <f t="shared" si="80"/>
        <v>N/A</v>
      </c>
      <c r="CM55" s="16" t="str">
        <f t="shared" si="81"/>
        <v>N/A</v>
      </c>
      <c r="CN55" s="16" t="str">
        <f t="shared" si="82"/>
        <v>N/A</v>
      </c>
      <c r="CO55" s="16" t="str">
        <f t="shared" si="83"/>
        <v>N/A</v>
      </c>
      <c r="CP55" s="16" t="str">
        <f t="shared" si="84"/>
        <v>N/A</v>
      </c>
      <c r="CQ55" s="16" t="str">
        <f t="shared" si="85"/>
        <v>N/A</v>
      </c>
      <c r="CR55" s="16" t="str">
        <f t="shared" si="86"/>
        <v>N/A</v>
      </c>
      <c r="CS55" s="16" t="str">
        <f t="shared" si="87"/>
        <v>N/A</v>
      </c>
      <c r="CT55" s="16" t="str">
        <f t="shared" si="88"/>
        <v>N/A</v>
      </c>
      <c r="CU55" s="16" t="str">
        <f t="shared" si="42"/>
        <v>N/A</v>
      </c>
      <c r="CV55" s="16" t="str">
        <f t="shared" si="43"/>
        <v>N/A</v>
      </c>
      <c r="CW55" s="16" t="str">
        <f t="shared" si="44"/>
        <v>N/A</v>
      </c>
      <c r="CX55" s="16" t="str">
        <f t="shared" si="45"/>
        <v>N/A</v>
      </c>
      <c r="CY55" s="16" t="str">
        <f t="shared" si="46"/>
        <v>N/A</v>
      </c>
    </row>
    <row r="56" spans="2:103" x14ac:dyDescent="0.25">
      <c r="B56" s="2"/>
      <c r="C56" s="6"/>
      <c r="D56" s="6"/>
      <c r="E56" s="7"/>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5"/>
      <c r="BA56" s="5"/>
      <c r="BB56" s="5"/>
      <c r="BC56" s="5"/>
      <c r="BD56" s="5">
        <f t="shared" si="47"/>
        <v>0</v>
      </c>
      <c r="BE56" s="2"/>
      <c r="BF56" s="2" t="str">
        <f t="shared" si="48"/>
        <v>Menos Horas</v>
      </c>
      <c r="BG56" s="2" t="str">
        <f t="shared" si="49"/>
        <v>Carga Lectiva Insuficiente</v>
      </c>
      <c r="BH56" s="16" t="str">
        <f t="shared" si="50"/>
        <v>Cumple</v>
      </c>
      <c r="BI56" s="2" t="str">
        <f t="shared" si="51"/>
        <v>Cumple</v>
      </c>
      <c r="BJ56" s="16" t="str">
        <f t="shared" si="52"/>
        <v>Cumple</v>
      </c>
      <c r="BK56" s="16" t="str">
        <f t="shared" si="53"/>
        <v>N/A</v>
      </c>
      <c r="BL56" s="16" t="str">
        <f t="shared" si="54"/>
        <v>N/A</v>
      </c>
      <c r="BM56" s="16" t="str">
        <f t="shared" si="55"/>
        <v>N/A</v>
      </c>
      <c r="BN56" s="16" t="str">
        <f t="shared" si="56"/>
        <v>N/A</v>
      </c>
      <c r="BO56" s="16" t="str">
        <f t="shared" si="57"/>
        <v>N/A</v>
      </c>
      <c r="BP56" s="16" t="str">
        <f t="shared" si="58"/>
        <v>N/A</v>
      </c>
      <c r="BQ56" s="16" t="str">
        <f t="shared" si="59"/>
        <v>N/A</v>
      </c>
      <c r="BR56" s="16" t="str">
        <f t="shared" si="60"/>
        <v>N/A</v>
      </c>
      <c r="BS56" s="16" t="str">
        <f t="shared" si="61"/>
        <v>N/A</v>
      </c>
      <c r="BT56" s="16" t="str">
        <f t="shared" si="62"/>
        <v>N/A</v>
      </c>
      <c r="BU56" s="16" t="str">
        <f t="shared" si="63"/>
        <v>N/A</v>
      </c>
      <c r="BV56" s="16" t="str">
        <f t="shared" si="64"/>
        <v>N/A</v>
      </c>
      <c r="BW56" s="16" t="str">
        <f t="shared" si="65"/>
        <v>N/A</v>
      </c>
      <c r="BX56" s="16" t="str">
        <f t="shared" si="66"/>
        <v>N/A</v>
      </c>
      <c r="BY56" s="16" t="str">
        <f t="shared" si="67"/>
        <v>N/A</v>
      </c>
      <c r="BZ56" s="16" t="str">
        <f t="shared" si="68"/>
        <v>N/A</v>
      </c>
      <c r="CA56" s="16" t="str">
        <f t="shared" si="69"/>
        <v>N/A</v>
      </c>
      <c r="CB56" s="16" t="str">
        <f t="shared" si="70"/>
        <v>N/A</v>
      </c>
      <c r="CC56" s="16" t="str">
        <f t="shared" si="71"/>
        <v>N/A</v>
      </c>
      <c r="CD56" s="16" t="str">
        <f t="shared" si="72"/>
        <v>N/A</v>
      </c>
      <c r="CE56" s="16" t="str">
        <f t="shared" si="73"/>
        <v>N/A</v>
      </c>
      <c r="CF56" s="16" t="str">
        <f t="shared" si="74"/>
        <v>N/A</v>
      </c>
      <c r="CG56" s="16" t="str">
        <f t="shared" si="75"/>
        <v>N/A</v>
      </c>
      <c r="CH56" s="16" t="str">
        <f t="shared" si="76"/>
        <v>N/A</v>
      </c>
      <c r="CI56" s="16" t="str">
        <f t="shared" si="77"/>
        <v>N/A</v>
      </c>
      <c r="CJ56" s="16" t="str">
        <f t="shared" si="78"/>
        <v>N/A</v>
      </c>
      <c r="CK56" s="16" t="str">
        <f t="shared" si="79"/>
        <v>N/A</v>
      </c>
      <c r="CL56" s="16" t="str">
        <f t="shared" si="80"/>
        <v>N/A</v>
      </c>
      <c r="CM56" s="16" t="str">
        <f t="shared" si="81"/>
        <v>N/A</v>
      </c>
      <c r="CN56" s="16" t="str">
        <f t="shared" si="82"/>
        <v>N/A</v>
      </c>
      <c r="CO56" s="16" t="str">
        <f t="shared" si="83"/>
        <v>N/A</v>
      </c>
      <c r="CP56" s="16" t="str">
        <f t="shared" si="84"/>
        <v>N/A</v>
      </c>
      <c r="CQ56" s="16" t="str">
        <f t="shared" si="85"/>
        <v>N/A</v>
      </c>
      <c r="CR56" s="16" t="str">
        <f t="shared" si="86"/>
        <v>N/A</v>
      </c>
      <c r="CS56" s="16" t="str">
        <f t="shared" si="87"/>
        <v>N/A</v>
      </c>
      <c r="CT56" s="16" t="str">
        <f t="shared" si="88"/>
        <v>N/A</v>
      </c>
      <c r="CU56" s="16" t="str">
        <f t="shared" si="42"/>
        <v>N/A</v>
      </c>
      <c r="CV56" s="16" t="str">
        <f t="shared" si="43"/>
        <v>N/A</v>
      </c>
      <c r="CW56" s="16" t="str">
        <f t="shared" si="44"/>
        <v>N/A</v>
      </c>
      <c r="CX56" s="16" t="str">
        <f t="shared" si="45"/>
        <v>N/A</v>
      </c>
      <c r="CY56" s="16" t="str">
        <f t="shared" si="46"/>
        <v>N/A</v>
      </c>
    </row>
    <row r="57" spans="2:103" x14ac:dyDescent="0.25">
      <c r="B57" s="2"/>
      <c r="C57" s="6"/>
      <c r="D57" s="6"/>
      <c r="E57" s="7"/>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5"/>
      <c r="BA57" s="5"/>
      <c r="BB57" s="5"/>
      <c r="BC57" s="5"/>
      <c r="BD57" s="5">
        <f t="shared" si="47"/>
        <v>0</v>
      </c>
      <c r="BE57" s="2"/>
      <c r="BF57" s="2" t="str">
        <f t="shared" si="48"/>
        <v>Menos Horas</v>
      </c>
      <c r="BG57" s="2" t="str">
        <f t="shared" si="49"/>
        <v>Carga Lectiva Insuficiente</v>
      </c>
      <c r="BH57" s="16" t="str">
        <f t="shared" si="50"/>
        <v>Cumple</v>
      </c>
      <c r="BI57" s="2" t="str">
        <f t="shared" si="51"/>
        <v>Cumple</v>
      </c>
      <c r="BJ57" s="16" t="str">
        <f t="shared" si="52"/>
        <v>Cumple</v>
      </c>
      <c r="BK57" s="16" t="str">
        <f t="shared" si="53"/>
        <v>N/A</v>
      </c>
      <c r="BL57" s="16" t="str">
        <f t="shared" si="54"/>
        <v>N/A</v>
      </c>
      <c r="BM57" s="16" t="str">
        <f t="shared" si="55"/>
        <v>N/A</v>
      </c>
      <c r="BN57" s="16" t="str">
        <f t="shared" si="56"/>
        <v>N/A</v>
      </c>
      <c r="BO57" s="16" t="str">
        <f t="shared" si="57"/>
        <v>N/A</v>
      </c>
      <c r="BP57" s="16" t="str">
        <f t="shared" si="58"/>
        <v>N/A</v>
      </c>
      <c r="BQ57" s="16" t="str">
        <f t="shared" si="59"/>
        <v>N/A</v>
      </c>
      <c r="BR57" s="16" t="str">
        <f t="shared" si="60"/>
        <v>N/A</v>
      </c>
      <c r="BS57" s="16" t="str">
        <f t="shared" si="61"/>
        <v>N/A</v>
      </c>
      <c r="BT57" s="16" t="str">
        <f t="shared" si="62"/>
        <v>N/A</v>
      </c>
      <c r="BU57" s="16" t="str">
        <f t="shared" si="63"/>
        <v>N/A</v>
      </c>
      <c r="BV57" s="16" t="str">
        <f t="shared" si="64"/>
        <v>N/A</v>
      </c>
      <c r="BW57" s="16" t="str">
        <f t="shared" si="65"/>
        <v>N/A</v>
      </c>
      <c r="BX57" s="16" t="str">
        <f t="shared" si="66"/>
        <v>N/A</v>
      </c>
      <c r="BY57" s="16" t="str">
        <f t="shared" si="67"/>
        <v>N/A</v>
      </c>
      <c r="BZ57" s="16" t="str">
        <f t="shared" si="68"/>
        <v>N/A</v>
      </c>
      <c r="CA57" s="16" t="str">
        <f t="shared" si="69"/>
        <v>N/A</v>
      </c>
      <c r="CB57" s="16" t="str">
        <f t="shared" si="70"/>
        <v>N/A</v>
      </c>
      <c r="CC57" s="16" t="str">
        <f t="shared" si="71"/>
        <v>N/A</v>
      </c>
      <c r="CD57" s="16" t="str">
        <f t="shared" si="72"/>
        <v>N/A</v>
      </c>
      <c r="CE57" s="16" t="str">
        <f t="shared" si="73"/>
        <v>N/A</v>
      </c>
      <c r="CF57" s="16" t="str">
        <f t="shared" si="74"/>
        <v>N/A</v>
      </c>
      <c r="CG57" s="16" t="str">
        <f t="shared" si="75"/>
        <v>N/A</v>
      </c>
      <c r="CH57" s="16" t="str">
        <f t="shared" si="76"/>
        <v>N/A</v>
      </c>
      <c r="CI57" s="16" t="str">
        <f t="shared" si="77"/>
        <v>N/A</v>
      </c>
      <c r="CJ57" s="16" t="str">
        <f t="shared" si="78"/>
        <v>N/A</v>
      </c>
      <c r="CK57" s="16" t="str">
        <f t="shared" si="79"/>
        <v>N/A</v>
      </c>
      <c r="CL57" s="16" t="str">
        <f t="shared" si="80"/>
        <v>N/A</v>
      </c>
      <c r="CM57" s="16" t="str">
        <f t="shared" si="81"/>
        <v>N/A</v>
      </c>
      <c r="CN57" s="16" t="str">
        <f t="shared" si="82"/>
        <v>N/A</v>
      </c>
      <c r="CO57" s="16" t="str">
        <f t="shared" si="83"/>
        <v>N/A</v>
      </c>
      <c r="CP57" s="16" t="str">
        <f t="shared" si="84"/>
        <v>N/A</v>
      </c>
      <c r="CQ57" s="16" t="str">
        <f t="shared" si="85"/>
        <v>N/A</v>
      </c>
      <c r="CR57" s="16" t="str">
        <f t="shared" si="86"/>
        <v>N/A</v>
      </c>
      <c r="CS57" s="16" t="str">
        <f t="shared" si="87"/>
        <v>N/A</v>
      </c>
      <c r="CT57" s="16" t="str">
        <f t="shared" si="88"/>
        <v>N/A</v>
      </c>
      <c r="CU57" s="16" t="str">
        <f t="shared" si="42"/>
        <v>N/A</v>
      </c>
      <c r="CV57" s="16" t="str">
        <f t="shared" si="43"/>
        <v>N/A</v>
      </c>
      <c r="CW57" s="16" t="str">
        <f t="shared" si="44"/>
        <v>N/A</v>
      </c>
      <c r="CX57" s="16" t="str">
        <f t="shared" si="45"/>
        <v>N/A</v>
      </c>
      <c r="CY57" s="16" t="str">
        <f t="shared" si="46"/>
        <v>N/A</v>
      </c>
    </row>
    <row r="58" spans="2:103" x14ac:dyDescent="0.25">
      <c r="B58" s="2"/>
      <c r="C58" s="6"/>
      <c r="D58" s="6"/>
      <c r="E58" s="7"/>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5"/>
      <c r="BA58" s="5"/>
      <c r="BB58" s="5"/>
      <c r="BC58" s="5"/>
      <c r="BD58" s="5">
        <f t="shared" si="47"/>
        <v>0</v>
      </c>
      <c r="BE58" s="2"/>
      <c r="BF58" s="2" t="str">
        <f t="shared" si="48"/>
        <v>Menos Horas</v>
      </c>
      <c r="BG58" s="2" t="str">
        <f t="shared" si="49"/>
        <v>Carga Lectiva Insuficiente</v>
      </c>
      <c r="BH58" s="16" t="str">
        <f t="shared" si="50"/>
        <v>Cumple</v>
      </c>
      <c r="BI58" s="2" t="str">
        <f t="shared" si="51"/>
        <v>Cumple</v>
      </c>
      <c r="BJ58" s="16" t="str">
        <f t="shared" si="52"/>
        <v>Cumple</v>
      </c>
      <c r="BK58" s="16" t="str">
        <f t="shared" si="53"/>
        <v>N/A</v>
      </c>
      <c r="BL58" s="16" t="str">
        <f t="shared" si="54"/>
        <v>N/A</v>
      </c>
      <c r="BM58" s="16" t="str">
        <f t="shared" si="55"/>
        <v>N/A</v>
      </c>
      <c r="BN58" s="16" t="str">
        <f t="shared" si="56"/>
        <v>N/A</v>
      </c>
      <c r="BO58" s="16" t="str">
        <f t="shared" si="57"/>
        <v>N/A</v>
      </c>
      <c r="BP58" s="16" t="str">
        <f t="shared" si="58"/>
        <v>N/A</v>
      </c>
      <c r="BQ58" s="16" t="str">
        <f t="shared" si="59"/>
        <v>N/A</v>
      </c>
      <c r="BR58" s="16" t="str">
        <f t="shared" si="60"/>
        <v>N/A</v>
      </c>
      <c r="BS58" s="16" t="str">
        <f t="shared" si="61"/>
        <v>N/A</v>
      </c>
      <c r="BT58" s="16" t="str">
        <f t="shared" si="62"/>
        <v>N/A</v>
      </c>
      <c r="BU58" s="16" t="str">
        <f t="shared" si="63"/>
        <v>N/A</v>
      </c>
      <c r="BV58" s="16" t="str">
        <f t="shared" si="64"/>
        <v>N/A</v>
      </c>
      <c r="BW58" s="16" t="str">
        <f t="shared" si="65"/>
        <v>N/A</v>
      </c>
      <c r="BX58" s="16" t="str">
        <f t="shared" si="66"/>
        <v>N/A</v>
      </c>
      <c r="BY58" s="16" t="str">
        <f t="shared" si="67"/>
        <v>N/A</v>
      </c>
      <c r="BZ58" s="16" t="str">
        <f t="shared" si="68"/>
        <v>N/A</v>
      </c>
      <c r="CA58" s="16" t="str">
        <f t="shared" si="69"/>
        <v>N/A</v>
      </c>
      <c r="CB58" s="16" t="str">
        <f t="shared" si="70"/>
        <v>N/A</v>
      </c>
      <c r="CC58" s="16" t="str">
        <f t="shared" si="71"/>
        <v>N/A</v>
      </c>
      <c r="CD58" s="16" t="str">
        <f t="shared" si="72"/>
        <v>N/A</v>
      </c>
      <c r="CE58" s="16" t="str">
        <f t="shared" si="73"/>
        <v>N/A</v>
      </c>
      <c r="CF58" s="16" t="str">
        <f t="shared" si="74"/>
        <v>N/A</v>
      </c>
      <c r="CG58" s="16" t="str">
        <f t="shared" si="75"/>
        <v>N/A</v>
      </c>
      <c r="CH58" s="16" t="str">
        <f t="shared" si="76"/>
        <v>N/A</v>
      </c>
      <c r="CI58" s="16" t="str">
        <f t="shared" si="77"/>
        <v>N/A</v>
      </c>
      <c r="CJ58" s="16" t="str">
        <f t="shared" si="78"/>
        <v>N/A</v>
      </c>
      <c r="CK58" s="16" t="str">
        <f t="shared" si="79"/>
        <v>N/A</v>
      </c>
      <c r="CL58" s="16" t="str">
        <f t="shared" si="80"/>
        <v>N/A</v>
      </c>
      <c r="CM58" s="16" t="str">
        <f t="shared" si="81"/>
        <v>N/A</v>
      </c>
      <c r="CN58" s="16" t="str">
        <f t="shared" si="82"/>
        <v>N/A</v>
      </c>
      <c r="CO58" s="16" t="str">
        <f t="shared" si="83"/>
        <v>N/A</v>
      </c>
      <c r="CP58" s="16" t="str">
        <f t="shared" si="84"/>
        <v>N/A</v>
      </c>
      <c r="CQ58" s="16" t="str">
        <f t="shared" si="85"/>
        <v>N/A</v>
      </c>
      <c r="CR58" s="16" t="str">
        <f t="shared" si="86"/>
        <v>N/A</v>
      </c>
      <c r="CS58" s="16" t="str">
        <f t="shared" si="87"/>
        <v>N/A</v>
      </c>
      <c r="CT58" s="16" t="str">
        <f t="shared" si="88"/>
        <v>N/A</v>
      </c>
      <c r="CU58" s="16" t="str">
        <f t="shared" si="42"/>
        <v>N/A</v>
      </c>
      <c r="CV58" s="16" t="str">
        <f t="shared" si="43"/>
        <v>N/A</v>
      </c>
      <c r="CW58" s="16" t="str">
        <f t="shared" si="44"/>
        <v>N/A</v>
      </c>
      <c r="CX58" s="16" t="str">
        <f t="shared" si="45"/>
        <v>N/A</v>
      </c>
      <c r="CY58" s="16" t="str">
        <f t="shared" si="46"/>
        <v>N/A</v>
      </c>
    </row>
    <row r="59" spans="2:103" x14ac:dyDescent="0.25">
      <c r="B59" s="2"/>
      <c r="C59" s="6"/>
      <c r="D59" s="6"/>
      <c r="E59" s="7"/>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5"/>
      <c r="BA59" s="5"/>
      <c r="BB59" s="5"/>
      <c r="BC59" s="5"/>
      <c r="BD59" s="5">
        <f t="shared" si="47"/>
        <v>0</v>
      </c>
      <c r="BE59" s="2"/>
      <c r="BF59" s="2" t="str">
        <f t="shared" si="48"/>
        <v>Menos Horas</v>
      </c>
      <c r="BG59" s="2" t="str">
        <f t="shared" si="49"/>
        <v>Carga Lectiva Insuficiente</v>
      </c>
      <c r="BH59" s="16" t="str">
        <f t="shared" si="50"/>
        <v>Cumple</v>
      </c>
      <c r="BI59" s="2" t="str">
        <f t="shared" si="51"/>
        <v>Cumple</v>
      </c>
      <c r="BJ59" s="16" t="str">
        <f t="shared" si="52"/>
        <v>Cumple</v>
      </c>
      <c r="BK59" s="16" t="str">
        <f t="shared" si="53"/>
        <v>N/A</v>
      </c>
      <c r="BL59" s="16" t="str">
        <f t="shared" si="54"/>
        <v>N/A</v>
      </c>
      <c r="BM59" s="16" t="str">
        <f t="shared" si="55"/>
        <v>N/A</v>
      </c>
      <c r="BN59" s="16" t="str">
        <f t="shared" si="56"/>
        <v>N/A</v>
      </c>
      <c r="BO59" s="16" t="str">
        <f t="shared" si="57"/>
        <v>N/A</v>
      </c>
      <c r="BP59" s="16" t="str">
        <f t="shared" si="58"/>
        <v>N/A</v>
      </c>
      <c r="BQ59" s="16" t="str">
        <f t="shared" si="59"/>
        <v>N/A</v>
      </c>
      <c r="BR59" s="16" t="str">
        <f t="shared" si="60"/>
        <v>N/A</v>
      </c>
      <c r="BS59" s="16" t="str">
        <f t="shared" si="61"/>
        <v>N/A</v>
      </c>
      <c r="BT59" s="16" t="str">
        <f t="shared" si="62"/>
        <v>N/A</v>
      </c>
      <c r="BU59" s="16" t="str">
        <f t="shared" si="63"/>
        <v>N/A</v>
      </c>
      <c r="BV59" s="16" t="str">
        <f t="shared" si="64"/>
        <v>N/A</v>
      </c>
      <c r="BW59" s="16" t="str">
        <f t="shared" si="65"/>
        <v>N/A</v>
      </c>
      <c r="BX59" s="16" t="str">
        <f t="shared" si="66"/>
        <v>N/A</v>
      </c>
      <c r="BY59" s="16" t="str">
        <f t="shared" si="67"/>
        <v>N/A</v>
      </c>
      <c r="BZ59" s="16" t="str">
        <f t="shared" si="68"/>
        <v>N/A</v>
      </c>
      <c r="CA59" s="16" t="str">
        <f t="shared" si="69"/>
        <v>N/A</v>
      </c>
      <c r="CB59" s="16" t="str">
        <f t="shared" si="70"/>
        <v>N/A</v>
      </c>
      <c r="CC59" s="16" t="str">
        <f t="shared" si="71"/>
        <v>N/A</v>
      </c>
      <c r="CD59" s="16" t="str">
        <f t="shared" si="72"/>
        <v>N/A</v>
      </c>
      <c r="CE59" s="16" t="str">
        <f t="shared" si="73"/>
        <v>N/A</v>
      </c>
      <c r="CF59" s="16" t="str">
        <f t="shared" si="74"/>
        <v>N/A</v>
      </c>
      <c r="CG59" s="16" t="str">
        <f t="shared" si="75"/>
        <v>N/A</v>
      </c>
      <c r="CH59" s="16" t="str">
        <f t="shared" si="76"/>
        <v>N/A</v>
      </c>
      <c r="CI59" s="16" t="str">
        <f t="shared" si="77"/>
        <v>N/A</v>
      </c>
      <c r="CJ59" s="16" t="str">
        <f t="shared" si="78"/>
        <v>N/A</v>
      </c>
      <c r="CK59" s="16" t="str">
        <f t="shared" si="79"/>
        <v>N/A</v>
      </c>
      <c r="CL59" s="16" t="str">
        <f t="shared" si="80"/>
        <v>N/A</v>
      </c>
      <c r="CM59" s="16" t="str">
        <f t="shared" si="81"/>
        <v>N/A</v>
      </c>
      <c r="CN59" s="16" t="str">
        <f t="shared" si="82"/>
        <v>N/A</v>
      </c>
      <c r="CO59" s="16" t="str">
        <f t="shared" si="83"/>
        <v>N/A</v>
      </c>
      <c r="CP59" s="16" t="str">
        <f t="shared" si="84"/>
        <v>N/A</v>
      </c>
      <c r="CQ59" s="16" t="str">
        <f t="shared" si="85"/>
        <v>N/A</v>
      </c>
      <c r="CR59" s="16" t="str">
        <f t="shared" si="86"/>
        <v>N/A</v>
      </c>
      <c r="CS59" s="16" t="str">
        <f t="shared" si="87"/>
        <v>N/A</v>
      </c>
      <c r="CT59" s="16" t="str">
        <f t="shared" si="88"/>
        <v>N/A</v>
      </c>
      <c r="CU59" s="16" t="str">
        <f t="shared" si="42"/>
        <v>N/A</v>
      </c>
      <c r="CV59" s="16" t="str">
        <f t="shared" si="43"/>
        <v>N/A</v>
      </c>
      <c r="CW59" s="16" t="str">
        <f t="shared" si="44"/>
        <v>N/A</v>
      </c>
      <c r="CX59" s="16" t="str">
        <f t="shared" si="45"/>
        <v>N/A</v>
      </c>
      <c r="CY59" s="16" t="str">
        <f t="shared" si="46"/>
        <v>N/A</v>
      </c>
    </row>
    <row r="60" spans="2:103" x14ac:dyDescent="0.25">
      <c r="B60" s="2"/>
      <c r="C60" s="6"/>
      <c r="D60" s="6"/>
      <c r="E60" s="7"/>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5"/>
      <c r="BA60" s="5"/>
      <c r="BB60" s="5"/>
      <c r="BC60" s="5"/>
      <c r="BD60" s="5">
        <f t="shared" si="47"/>
        <v>0</v>
      </c>
      <c r="BE60" s="2"/>
      <c r="BF60" s="2" t="str">
        <f t="shared" si="48"/>
        <v>Menos Horas</v>
      </c>
      <c r="BG60" s="2" t="str">
        <f t="shared" si="49"/>
        <v>Carga Lectiva Insuficiente</v>
      </c>
      <c r="BH60" s="16" t="str">
        <f t="shared" si="50"/>
        <v>Cumple</v>
      </c>
      <c r="BI60" s="2" t="str">
        <f t="shared" si="51"/>
        <v>Cumple</v>
      </c>
      <c r="BJ60" s="16" t="str">
        <f t="shared" si="52"/>
        <v>Cumple</v>
      </c>
      <c r="BK60" s="16" t="str">
        <f t="shared" si="53"/>
        <v>N/A</v>
      </c>
      <c r="BL60" s="16" t="str">
        <f t="shared" si="54"/>
        <v>N/A</v>
      </c>
      <c r="BM60" s="16" t="str">
        <f t="shared" si="55"/>
        <v>N/A</v>
      </c>
      <c r="BN60" s="16" t="str">
        <f t="shared" si="56"/>
        <v>N/A</v>
      </c>
      <c r="BO60" s="16" t="str">
        <f t="shared" si="57"/>
        <v>N/A</v>
      </c>
      <c r="BP60" s="16" t="str">
        <f t="shared" si="58"/>
        <v>N/A</v>
      </c>
      <c r="BQ60" s="16" t="str">
        <f t="shared" si="59"/>
        <v>N/A</v>
      </c>
      <c r="BR60" s="16" t="str">
        <f t="shared" si="60"/>
        <v>N/A</v>
      </c>
      <c r="BS60" s="16" t="str">
        <f t="shared" si="61"/>
        <v>N/A</v>
      </c>
      <c r="BT60" s="16" t="str">
        <f t="shared" si="62"/>
        <v>N/A</v>
      </c>
      <c r="BU60" s="16" t="str">
        <f t="shared" si="63"/>
        <v>N/A</v>
      </c>
      <c r="BV60" s="16" t="str">
        <f t="shared" si="64"/>
        <v>N/A</v>
      </c>
      <c r="BW60" s="16" t="str">
        <f t="shared" si="65"/>
        <v>N/A</v>
      </c>
      <c r="BX60" s="16" t="str">
        <f t="shared" si="66"/>
        <v>N/A</v>
      </c>
      <c r="BY60" s="16" t="str">
        <f t="shared" si="67"/>
        <v>N/A</v>
      </c>
      <c r="BZ60" s="16" t="str">
        <f t="shared" si="68"/>
        <v>N/A</v>
      </c>
      <c r="CA60" s="16" t="str">
        <f t="shared" si="69"/>
        <v>N/A</v>
      </c>
      <c r="CB60" s="16" t="str">
        <f t="shared" si="70"/>
        <v>N/A</v>
      </c>
      <c r="CC60" s="16" t="str">
        <f t="shared" si="71"/>
        <v>N/A</v>
      </c>
      <c r="CD60" s="16" t="str">
        <f t="shared" si="72"/>
        <v>N/A</v>
      </c>
      <c r="CE60" s="16" t="str">
        <f t="shared" si="73"/>
        <v>N/A</v>
      </c>
      <c r="CF60" s="16" t="str">
        <f t="shared" si="74"/>
        <v>N/A</v>
      </c>
      <c r="CG60" s="16" t="str">
        <f t="shared" si="75"/>
        <v>N/A</v>
      </c>
      <c r="CH60" s="16" t="str">
        <f t="shared" si="76"/>
        <v>N/A</v>
      </c>
      <c r="CI60" s="16" t="str">
        <f t="shared" si="77"/>
        <v>N/A</v>
      </c>
      <c r="CJ60" s="16" t="str">
        <f t="shared" si="78"/>
        <v>N/A</v>
      </c>
      <c r="CK60" s="16" t="str">
        <f t="shared" si="79"/>
        <v>N/A</v>
      </c>
      <c r="CL60" s="16" t="str">
        <f t="shared" si="80"/>
        <v>N/A</v>
      </c>
      <c r="CM60" s="16" t="str">
        <f t="shared" si="81"/>
        <v>N/A</v>
      </c>
      <c r="CN60" s="16" t="str">
        <f t="shared" si="82"/>
        <v>N/A</v>
      </c>
      <c r="CO60" s="16" t="str">
        <f t="shared" si="83"/>
        <v>N/A</v>
      </c>
      <c r="CP60" s="16" t="str">
        <f t="shared" si="84"/>
        <v>N/A</v>
      </c>
      <c r="CQ60" s="16" t="str">
        <f t="shared" si="85"/>
        <v>N/A</v>
      </c>
      <c r="CR60" s="16" t="str">
        <f t="shared" si="86"/>
        <v>N/A</v>
      </c>
      <c r="CS60" s="16" t="str">
        <f t="shared" si="87"/>
        <v>N/A</v>
      </c>
      <c r="CT60" s="16" t="str">
        <f t="shared" si="88"/>
        <v>N/A</v>
      </c>
      <c r="CU60" s="16" t="str">
        <f t="shared" si="42"/>
        <v>N/A</v>
      </c>
      <c r="CV60" s="16" t="str">
        <f t="shared" si="43"/>
        <v>N/A</v>
      </c>
      <c r="CW60" s="16" t="str">
        <f t="shared" si="44"/>
        <v>N/A</v>
      </c>
      <c r="CX60" s="16" t="str">
        <f t="shared" si="45"/>
        <v>N/A</v>
      </c>
      <c r="CY60" s="16" t="str">
        <f t="shared" si="46"/>
        <v>N/A</v>
      </c>
    </row>
    <row r="61" spans="2:103" x14ac:dyDescent="0.25">
      <c r="B61" s="2"/>
      <c r="C61" s="6"/>
      <c r="D61" s="6"/>
      <c r="E61" s="7"/>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5"/>
      <c r="BA61" s="5"/>
      <c r="BB61" s="5"/>
      <c r="BC61" s="5"/>
      <c r="BD61" s="5">
        <f t="shared" si="47"/>
        <v>0</v>
      </c>
      <c r="BE61" s="2"/>
      <c r="BF61" s="2" t="str">
        <f t="shared" si="48"/>
        <v>Menos Horas</v>
      </c>
      <c r="BG61" s="2" t="str">
        <f t="shared" si="49"/>
        <v>Carga Lectiva Insuficiente</v>
      </c>
      <c r="BH61" s="16" t="str">
        <f t="shared" si="50"/>
        <v>Cumple</v>
      </c>
      <c r="BI61" s="2" t="str">
        <f t="shared" si="51"/>
        <v>Cumple</v>
      </c>
      <c r="BJ61" s="16" t="str">
        <f t="shared" si="52"/>
        <v>Cumple</v>
      </c>
      <c r="BK61" s="16" t="str">
        <f t="shared" si="53"/>
        <v>N/A</v>
      </c>
      <c r="BL61" s="16" t="str">
        <f t="shared" si="54"/>
        <v>N/A</v>
      </c>
      <c r="BM61" s="16" t="str">
        <f t="shared" si="55"/>
        <v>N/A</v>
      </c>
      <c r="BN61" s="16" t="str">
        <f t="shared" si="56"/>
        <v>N/A</v>
      </c>
      <c r="BO61" s="16" t="str">
        <f t="shared" si="57"/>
        <v>N/A</v>
      </c>
      <c r="BP61" s="16" t="str">
        <f t="shared" si="58"/>
        <v>N/A</v>
      </c>
      <c r="BQ61" s="16" t="str">
        <f t="shared" si="59"/>
        <v>N/A</v>
      </c>
      <c r="BR61" s="16" t="str">
        <f t="shared" si="60"/>
        <v>N/A</v>
      </c>
      <c r="BS61" s="16" t="str">
        <f t="shared" si="61"/>
        <v>N/A</v>
      </c>
      <c r="BT61" s="16" t="str">
        <f t="shared" si="62"/>
        <v>N/A</v>
      </c>
      <c r="BU61" s="16" t="str">
        <f t="shared" si="63"/>
        <v>N/A</v>
      </c>
      <c r="BV61" s="16" t="str">
        <f t="shared" si="64"/>
        <v>N/A</v>
      </c>
      <c r="BW61" s="16" t="str">
        <f t="shared" si="65"/>
        <v>N/A</v>
      </c>
      <c r="BX61" s="16" t="str">
        <f t="shared" si="66"/>
        <v>N/A</v>
      </c>
      <c r="BY61" s="16" t="str">
        <f t="shared" si="67"/>
        <v>N/A</v>
      </c>
      <c r="BZ61" s="16" t="str">
        <f t="shared" si="68"/>
        <v>N/A</v>
      </c>
      <c r="CA61" s="16" t="str">
        <f t="shared" si="69"/>
        <v>N/A</v>
      </c>
      <c r="CB61" s="16" t="str">
        <f t="shared" si="70"/>
        <v>N/A</v>
      </c>
      <c r="CC61" s="16" t="str">
        <f t="shared" si="71"/>
        <v>N/A</v>
      </c>
      <c r="CD61" s="16" t="str">
        <f t="shared" si="72"/>
        <v>N/A</v>
      </c>
      <c r="CE61" s="16" t="str">
        <f t="shared" si="73"/>
        <v>N/A</v>
      </c>
      <c r="CF61" s="16" t="str">
        <f t="shared" si="74"/>
        <v>N/A</v>
      </c>
      <c r="CG61" s="16" t="str">
        <f t="shared" si="75"/>
        <v>N/A</v>
      </c>
      <c r="CH61" s="16" t="str">
        <f t="shared" si="76"/>
        <v>N/A</v>
      </c>
      <c r="CI61" s="16" t="str">
        <f t="shared" si="77"/>
        <v>N/A</v>
      </c>
      <c r="CJ61" s="16" t="str">
        <f t="shared" si="78"/>
        <v>N/A</v>
      </c>
      <c r="CK61" s="16" t="str">
        <f t="shared" si="79"/>
        <v>N/A</v>
      </c>
      <c r="CL61" s="16" t="str">
        <f t="shared" si="80"/>
        <v>N/A</v>
      </c>
      <c r="CM61" s="16" t="str">
        <f t="shared" si="81"/>
        <v>N/A</v>
      </c>
      <c r="CN61" s="16" t="str">
        <f t="shared" si="82"/>
        <v>N/A</v>
      </c>
      <c r="CO61" s="16" t="str">
        <f t="shared" si="83"/>
        <v>N/A</v>
      </c>
      <c r="CP61" s="16" t="str">
        <f t="shared" si="84"/>
        <v>N/A</v>
      </c>
      <c r="CQ61" s="16" t="str">
        <f t="shared" si="85"/>
        <v>N/A</v>
      </c>
      <c r="CR61" s="16" t="str">
        <f t="shared" si="86"/>
        <v>N/A</v>
      </c>
      <c r="CS61" s="16" t="str">
        <f t="shared" si="87"/>
        <v>N/A</v>
      </c>
      <c r="CT61" s="16" t="str">
        <f t="shared" si="88"/>
        <v>N/A</v>
      </c>
      <c r="CU61" s="16" t="str">
        <f t="shared" si="42"/>
        <v>N/A</v>
      </c>
      <c r="CV61" s="16" t="str">
        <f t="shared" si="43"/>
        <v>N/A</v>
      </c>
      <c r="CW61" s="16" t="str">
        <f t="shared" si="44"/>
        <v>N/A</v>
      </c>
      <c r="CX61" s="16" t="str">
        <f t="shared" si="45"/>
        <v>N/A</v>
      </c>
      <c r="CY61" s="16" t="str">
        <f t="shared" si="46"/>
        <v>N/A</v>
      </c>
    </row>
    <row r="62" spans="2:103" x14ac:dyDescent="0.25">
      <c r="B62" s="2"/>
      <c r="C62" s="6"/>
      <c r="D62" s="6"/>
      <c r="E62" s="7"/>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5"/>
      <c r="BA62" s="5"/>
      <c r="BB62" s="5"/>
      <c r="BC62" s="5"/>
      <c r="BD62" s="5">
        <f t="shared" si="47"/>
        <v>0</v>
      </c>
      <c r="BE62" s="2"/>
      <c r="BF62" s="2" t="str">
        <f t="shared" si="48"/>
        <v>Menos Horas</v>
      </c>
      <c r="BG62" s="2" t="str">
        <f t="shared" si="49"/>
        <v>Carga Lectiva Insuficiente</v>
      </c>
      <c r="BH62" s="16" t="str">
        <f t="shared" si="50"/>
        <v>Cumple</v>
      </c>
      <c r="BI62" s="2" t="str">
        <f t="shared" si="51"/>
        <v>Cumple</v>
      </c>
      <c r="BJ62" s="16" t="str">
        <f t="shared" si="52"/>
        <v>Cumple</v>
      </c>
      <c r="BK62" s="16" t="str">
        <f t="shared" si="53"/>
        <v>N/A</v>
      </c>
      <c r="BL62" s="16" t="str">
        <f t="shared" si="54"/>
        <v>N/A</v>
      </c>
      <c r="BM62" s="16" t="str">
        <f t="shared" si="55"/>
        <v>N/A</v>
      </c>
      <c r="BN62" s="16" t="str">
        <f t="shared" si="56"/>
        <v>N/A</v>
      </c>
      <c r="BO62" s="16" t="str">
        <f t="shared" si="57"/>
        <v>N/A</v>
      </c>
      <c r="BP62" s="16" t="str">
        <f t="shared" si="58"/>
        <v>N/A</v>
      </c>
      <c r="BQ62" s="16" t="str">
        <f t="shared" si="59"/>
        <v>N/A</v>
      </c>
      <c r="BR62" s="16" t="str">
        <f t="shared" si="60"/>
        <v>N/A</v>
      </c>
      <c r="BS62" s="16" t="str">
        <f t="shared" si="61"/>
        <v>N/A</v>
      </c>
      <c r="BT62" s="16" t="str">
        <f t="shared" si="62"/>
        <v>N/A</v>
      </c>
      <c r="BU62" s="16" t="str">
        <f t="shared" si="63"/>
        <v>N/A</v>
      </c>
      <c r="BV62" s="16" t="str">
        <f t="shared" si="64"/>
        <v>N/A</v>
      </c>
      <c r="BW62" s="16" t="str">
        <f t="shared" si="65"/>
        <v>N/A</v>
      </c>
      <c r="BX62" s="16" t="str">
        <f t="shared" si="66"/>
        <v>N/A</v>
      </c>
      <c r="BY62" s="16" t="str">
        <f t="shared" si="67"/>
        <v>N/A</v>
      </c>
      <c r="BZ62" s="16" t="str">
        <f t="shared" si="68"/>
        <v>N/A</v>
      </c>
      <c r="CA62" s="16" t="str">
        <f t="shared" si="69"/>
        <v>N/A</v>
      </c>
      <c r="CB62" s="16" t="str">
        <f t="shared" si="70"/>
        <v>N/A</v>
      </c>
      <c r="CC62" s="16" t="str">
        <f t="shared" si="71"/>
        <v>N/A</v>
      </c>
      <c r="CD62" s="16" t="str">
        <f t="shared" si="72"/>
        <v>N/A</v>
      </c>
      <c r="CE62" s="16" t="str">
        <f t="shared" si="73"/>
        <v>N/A</v>
      </c>
      <c r="CF62" s="16" t="str">
        <f t="shared" si="74"/>
        <v>N/A</v>
      </c>
      <c r="CG62" s="16" t="str">
        <f t="shared" si="75"/>
        <v>N/A</v>
      </c>
      <c r="CH62" s="16" t="str">
        <f t="shared" si="76"/>
        <v>N/A</v>
      </c>
      <c r="CI62" s="16" t="str">
        <f t="shared" si="77"/>
        <v>N/A</v>
      </c>
      <c r="CJ62" s="16" t="str">
        <f t="shared" si="78"/>
        <v>N/A</v>
      </c>
      <c r="CK62" s="16" t="str">
        <f t="shared" si="79"/>
        <v>N/A</v>
      </c>
      <c r="CL62" s="16" t="str">
        <f t="shared" si="80"/>
        <v>N/A</v>
      </c>
      <c r="CM62" s="16" t="str">
        <f t="shared" si="81"/>
        <v>N/A</v>
      </c>
      <c r="CN62" s="16" t="str">
        <f t="shared" si="82"/>
        <v>N/A</v>
      </c>
      <c r="CO62" s="16" t="str">
        <f t="shared" si="83"/>
        <v>N/A</v>
      </c>
      <c r="CP62" s="16" t="str">
        <f t="shared" si="84"/>
        <v>N/A</v>
      </c>
      <c r="CQ62" s="16" t="str">
        <f t="shared" si="85"/>
        <v>N/A</v>
      </c>
      <c r="CR62" s="16" t="str">
        <f t="shared" si="86"/>
        <v>N/A</v>
      </c>
      <c r="CS62" s="16" t="str">
        <f t="shared" si="87"/>
        <v>N/A</v>
      </c>
      <c r="CT62" s="16" t="str">
        <f t="shared" si="88"/>
        <v>N/A</v>
      </c>
      <c r="CU62" s="16" t="str">
        <f t="shared" si="42"/>
        <v>N/A</v>
      </c>
      <c r="CV62" s="16" t="str">
        <f t="shared" si="43"/>
        <v>N/A</v>
      </c>
      <c r="CW62" s="16" t="str">
        <f t="shared" si="44"/>
        <v>N/A</v>
      </c>
      <c r="CX62" s="16" t="str">
        <f t="shared" si="45"/>
        <v>N/A</v>
      </c>
      <c r="CY62" s="16" t="str">
        <f t="shared" si="46"/>
        <v>N/A</v>
      </c>
    </row>
    <row r="63" spans="2:103" x14ac:dyDescent="0.25">
      <c r="B63" s="2"/>
      <c r="C63" s="6"/>
      <c r="D63" s="6"/>
      <c r="E63" s="7"/>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5"/>
      <c r="BA63" s="5"/>
      <c r="BB63" s="5"/>
      <c r="BC63" s="5"/>
      <c r="BD63" s="5">
        <f t="shared" si="47"/>
        <v>0</v>
      </c>
      <c r="BE63" s="2"/>
      <c r="BF63" s="2" t="str">
        <f t="shared" si="48"/>
        <v>Menos Horas</v>
      </c>
      <c r="BG63" s="2" t="str">
        <f t="shared" si="49"/>
        <v>Carga Lectiva Insuficiente</v>
      </c>
      <c r="BH63" s="16" t="str">
        <f t="shared" si="50"/>
        <v>Cumple</v>
      </c>
      <c r="BI63" s="2" t="str">
        <f t="shared" si="51"/>
        <v>Cumple</v>
      </c>
      <c r="BJ63" s="16" t="str">
        <f t="shared" si="52"/>
        <v>Cumple</v>
      </c>
      <c r="BK63" s="16" t="str">
        <f t="shared" si="53"/>
        <v>N/A</v>
      </c>
      <c r="BL63" s="16" t="str">
        <f t="shared" si="54"/>
        <v>N/A</v>
      </c>
      <c r="BM63" s="16" t="str">
        <f t="shared" si="55"/>
        <v>N/A</v>
      </c>
      <c r="BN63" s="16" t="str">
        <f t="shared" si="56"/>
        <v>N/A</v>
      </c>
      <c r="BO63" s="16" t="str">
        <f t="shared" si="57"/>
        <v>N/A</v>
      </c>
      <c r="BP63" s="16" t="str">
        <f t="shared" si="58"/>
        <v>N/A</v>
      </c>
      <c r="BQ63" s="16" t="str">
        <f t="shared" si="59"/>
        <v>N/A</v>
      </c>
      <c r="BR63" s="16" t="str">
        <f t="shared" si="60"/>
        <v>N/A</v>
      </c>
      <c r="BS63" s="16" t="str">
        <f t="shared" si="61"/>
        <v>N/A</v>
      </c>
      <c r="BT63" s="16" t="str">
        <f t="shared" si="62"/>
        <v>N/A</v>
      </c>
      <c r="BU63" s="16" t="str">
        <f t="shared" si="63"/>
        <v>N/A</v>
      </c>
      <c r="BV63" s="16" t="str">
        <f t="shared" si="64"/>
        <v>N/A</v>
      </c>
      <c r="BW63" s="16" t="str">
        <f t="shared" si="65"/>
        <v>N/A</v>
      </c>
      <c r="BX63" s="16" t="str">
        <f t="shared" si="66"/>
        <v>N/A</v>
      </c>
      <c r="BY63" s="16" t="str">
        <f t="shared" si="67"/>
        <v>N/A</v>
      </c>
      <c r="BZ63" s="16" t="str">
        <f t="shared" si="68"/>
        <v>N/A</v>
      </c>
      <c r="CA63" s="16" t="str">
        <f t="shared" si="69"/>
        <v>N/A</v>
      </c>
      <c r="CB63" s="16" t="str">
        <f t="shared" si="70"/>
        <v>N/A</v>
      </c>
      <c r="CC63" s="16" t="str">
        <f t="shared" si="71"/>
        <v>N/A</v>
      </c>
      <c r="CD63" s="16" t="str">
        <f t="shared" si="72"/>
        <v>N/A</v>
      </c>
      <c r="CE63" s="16" t="str">
        <f t="shared" si="73"/>
        <v>N/A</v>
      </c>
      <c r="CF63" s="16" t="str">
        <f t="shared" si="74"/>
        <v>N/A</v>
      </c>
      <c r="CG63" s="16" t="str">
        <f t="shared" si="75"/>
        <v>N/A</v>
      </c>
      <c r="CH63" s="16" t="str">
        <f t="shared" si="76"/>
        <v>N/A</v>
      </c>
      <c r="CI63" s="16" t="str">
        <f t="shared" si="77"/>
        <v>N/A</v>
      </c>
      <c r="CJ63" s="16" t="str">
        <f t="shared" si="78"/>
        <v>N/A</v>
      </c>
      <c r="CK63" s="16" t="str">
        <f t="shared" si="79"/>
        <v>N/A</v>
      </c>
      <c r="CL63" s="16" t="str">
        <f t="shared" si="80"/>
        <v>N/A</v>
      </c>
      <c r="CM63" s="16" t="str">
        <f t="shared" si="81"/>
        <v>N/A</v>
      </c>
      <c r="CN63" s="16" t="str">
        <f t="shared" si="82"/>
        <v>N/A</v>
      </c>
      <c r="CO63" s="16" t="str">
        <f t="shared" si="83"/>
        <v>N/A</v>
      </c>
      <c r="CP63" s="16" t="str">
        <f t="shared" si="84"/>
        <v>N/A</v>
      </c>
      <c r="CQ63" s="16" t="str">
        <f t="shared" si="85"/>
        <v>N/A</v>
      </c>
      <c r="CR63" s="16" t="str">
        <f t="shared" si="86"/>
        <v>N/A</v>
      </c>
      <c r="CS63" s="16" t="str">
        <f t="shared" si="87"/>
        <v>N/A</v>
      </c>
      <c r="CT63" s="16" t="str">
        <f t="shared" si="88"/>
        <v>N/A</v>
      </c>
      <c r="CU63" s="16" t="str">
        <f t="shared" si="42"/>
        <v>N/A</v>
      </c>
      <c r="CV63" s="16" t="str">
        <f t="shared" si="43"/>
        <v>N/A</v>
      </c>
      <c r="CW63" s="16" t="str">
        <f t="shared" si="44"/>
        <v>N/A</v>
      </c>
      <c r="CX63" s="16" t="str">
        <f t="shared" si="45"/>
        <v>N/A</v>
      </c>
      <c r="CY63" s="16" t="str">
        <f t="shared" si="46"/>
        <v>N/A</v>
      </c>
    </row>
    <row r="64" spans="2:103" x14ac:dyDescent="0.25">
      <c r="B64" s="2"/>
      <c r="C64" s="6"/>
      <c r="D64" s="6"/>
      <c r="E64" s="7"/>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5"/>
      <c r="BA64" s="5"/>
      <c r="BB64" s="5"/>
      <c r="BC64" s="5"/>
      <c r="BD64" s="5">
        <f t="shared" si="47"/>
        <v>0</v>
      </c>
      <c r="BE64" s="2"/>
      <c r="BF64" s="2" t="str">
        <f t="shared" si="48"/>
        <v>Menos Horas</v>
      </c>
      <c r="BG64" s="2" t="str">
        <f t="shared" si="49"/>
        <v>Carga Lectiva Insuficiente</v>
      </c>
      <c r="BH64" s="16" t="str">
        <f t="shared" si="50"/>
        <v>Cumple</v>
      </c>
      <c r="BI64" s="2" t="str">
        <f t="shared" si="51"/>
        <v>Cumple</v>
      </c>
      <c r="BJ64" s="16" t="str">
        <f t="shared" si="52"/>
        <v>Cumple</v>
      </c>
      <c r="BK64" s="16" t="str">
        <f t="shared" si="53"/>
        <v>N/A</v>
      </c>
      <c r="BL64" s="16" t="str">
        <f t="shared" si="54"/>
        <v>N/A</v>
      </c>
      <c r="BM64" s="16" t="str">
        <f t="shared" si="55"/>
        <v>N/A</v>
      </c>
      <c r="BN64" s="16" t="str">
        <f t="shared" si="56"/>
        <v>N/A</v>
      </c>
      <c r="BO64" s="16" t="str">
        <f t="shared" si="57"/>
        <v>N/A</v>
      </c>
      <c r="BP64" s="16" t="str">
        <f t="shared" si="58"/>
        <v>N/A</v>
      </c>
      <c r="BQ64" s="16" t="str">
        <f t="shared" si="59"/>
        <v>N/A</v>
      </c>
      <c r="BR64" s="16" t="str">
        <f t="shared" si="60"/>
        <v>N/A</v>
      </c>
      <c r="BS64" s="16" t="str">
        <f t="shared" si="61"/>
        <v>N/A</v>
      </c>
      <c r="BT64" s="16" t="str">
        <f t="shared" si="62"/>
        <v>N/A</v>
      </c>
      <c r="BU64" s="16" t="str">
        <f t="shared" si="63"/>
        <v>N/A</v>
      </c>
      <c r="BV64" s="16" t="str">
        <f t="shared" si="64"/>
        <v>N/A</v>
      </c>
      <c r="BW64" s="16" t="str">
        <f t="shared" si="65"/>
        <v>N/A</v>
      </c>
      <c r="BX64" s="16" t="str">
        <f t="shared" si="66"/>
        <v>N/A</v>
      </c>
      <c r="BY64" s="16" t="str">
        <f t="shared" si="67"/>
        <v>N/A</v>
      </c>
      <c r="BZ64" s="16" t="str">
        <f t="shared" si="68"/>
        <v>N/A</v>
      </c>
      <c r="CA64" s="16" t="str">
        <f t="shared" si="69"/>
        <v>N/A</v>
      </c>
      <c r="CB64" s="16" t="str">
        <f t="shared" si="70"/>
        <v>N/A</v>
      </c>
      <c r="CC64" s="16" t="str">
        <f t="shared" si="71"/>
        <v>N/A</v>
      </c>
      <c r="CD64" s="16" t="str">
        <f t="shared" si="72"/>
        <v>N/A</v>
      </c>
      <c r="CE64" s="16" t="str">
        <f t="shared" si="73"/>
        <v>N/A</v>
      </c>
      <c r="CF64" s="16" t="str">
        <f t="shared" si="74"/>
        <v>N/A</v>
      </c>
      <c r="CG64" s="16" t="str">
        <f t="shared" si="75"/>
        <v>N/A</v>
      </c>
      <c r="CH64" s="16" t="str">
        <f t="shared" si="76"/>
        <v>N/A</v>
      </c>
      <c r="CI64" s="16" t="str">
        <f t="shared" si="77"/>
        <v>N/A</v>
      </c>
      <c r="CJ64" s="16" t="str">
        <f t="shared" si="78"/>
        <v>N/A</v>
      </c>
      <c r="CK64" s="16" t="str">
        <f t="shared" si="79"/>
        <v>N/A</v>
      </c>
      <c r="CL64" s="16" t="str">
        <f t="shared" si="80"/>
        <v>N/A</v>
      </c>
      <c r="CM64" s="16" t="str">
        <f t="shared" si="81"/>
        <v>N/A</v>
      </c>
      <c r="CN64" s="16" t="str">
        <f t="shared" si="82"/>
        <v>N/A</v>
      </c>
      <c r="CO64" s="16" t="str">
        <f t="shared" si="83"/>
        <v>N/A</v>
      </c>
      <c r="CP64" s="16" t="str">
        <f t="shared" si="84"/>
        <v>N/A</v>
      </c>
      <c r="CQ64" s="16" t="str">
        <f t="shared" si="85"/>
        <v>N/A</v>
      </c>
      <c r="CR64" s="16" t="str">
        <f t="shared" si="86"/>
        <v>N/A</v>
      </c>
      <c r="CS64" s="16" t="str">
        <f t="shared" si="87"/>
        <v>N/A</v>
      </c>
      <c r="CT64" s="16" t="str">
        <f t="shared" si="88"/>
        <v>N/A</v>
      </c>
      <c r="CU64" s="16" t="str">
        <f t="shared" si="42"/>
        <v>N/A</v>
      </c>
      <c r="CV64" s="16" t="str">
        <f t="shared" si="43"/>
        <v>N/A</v>
      </c>
      <c r="CW64" s="16" t="str">
        <f t="shared" si="44"/>
        <v>N/A</v>
      </c>
      <c r="CX64" s="16" t="str">
        <f t="shared" si="45"/>
        <v>N/A</v>
      </c>
      <c r="CY64" s="16" t="str">
        <f t="shared" si="46"/>
        <v>N/A</v>
      </c>
    </row>
    <row r="65" spans="2:103" x14ac:dyDescent="0.25">
      <c r="B65" s="2"/>
      <c r="C65" s="6"/>
      <c r="D65" s="6"/>
      <c r="E65" s="7"/>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5"/>
      <c r="BA65" s="5"/>
      <c r="BB65" s="5"/>
      <c r="BC65" s="5"/>
      <c r="BD65" s="5">
        <f t="shared" si="47"/>
        <v>0</v>
      </c>
      <c r="BE65" s="2"/>
      <c r="BF65" s="2" t="str">
        <f t="shared" si="48"/>
        <v>Menos Horas</v>
      </c>
      <c r="BG65" s="2" t="str">
        <f t="shared" si="49"/>
        <v>Carga Lectiva Insuficiente</v>
      </c>
      <c r="BH65" s="16" t="str">
        <f t="shared" si="50"/>
        <v>Cumple</v>
      </c>
      <c r="BI65" s="2" t="str">
        <f t="shared" si="51"/>
        <v>Cumple</v>
      </c>
      <c r="BJ65" s="16" t="str">
        <f t="shared" si="52"/>
        <v>Cumple</v>
      </c>
      <c r="BK65" s="16" t="str">
        <f t="shared" si="53"/>
        <v>N/A</v>
      </c>
      <c r="BL65" s="16" t="str">
        <f t="shared" si="54"/>
        <v>N/A</v>
      </c>
      <c r="BM65" s="16" t="str">
        <f t="shared" si="55"/>
        <v>N/A</v>
      </c>
      <c r="BN65" s="16" t="str">
        <f t="shared" si="56"/>
        <v>N/A</v>
      </c>
      <c r="BO65" s="16" t="str">
        <f t="shared" si="57"/>
        <v>N/A</v>
      </c>
      <c r="BP65" s="16" t="str">
        <f t="shared" si="58"/>
        <v>N/A</v>
      </c>
      <c r="BQ65" s="16" t="str">
        <f t="shared" si="59"/>
        <v>N/A</v>
      </c>
      <c r="BR65" s="16" t="str">
        <f t="shared" si="60"/>
        <v>N/A</v>
      </c>
      <c r="BS65" s="16" t="str">
        <f t="shared" si="61"/>
        <v>N/A</v>
      </c>
      <c r="BT65" s="16" t="str">
        <f t="shared" si="62"/>
        <v>N/A</v>
      </c>
      <c r="BU65" s="16" t="str">
        <f t="shared" si="63"/>
        <v>N/A</v>
      </c>
      <c r="BV65" s="16" t="str">
        <f t="shared" si="64"/>
        <v>N/A</v>
      </c>
      <c r="BW65" s="16" t="str">
        <f t="shared" si="65"/>
        <v>N/A</v>
      </c>
      <c r="BX65" s="16" t="str">
        <f t="shared" si="66"/>
        <v>N/A</v>
      </c>
      <c r="BY65" s="16" t="str">
        <f t="shared" si="67"/>
        <v>N/A</v>
      </c>
      <c r="BZ65" s="16" t="str">
        <f t="shared" si="68"/>
        <v>N/A</v>
      </c>
      <c r="CA65" s="16" t="str">
        <f t="shared" si="69"/>
        <v>N/A</v>
      </c>
      <c r="CB65" s="16" t="str">
        <f t="shared" si="70"/>
        <v>N/A</v>
      </c>
      <c r="CC65" s="16" t="str">
        <f t="shared" si="71"/>
        <v>N/A</v>
      </c>
      <c r="CD65" s="16" t="str">
        <f t="shared" si="72"/>
        <v>N/A</v>
      </c>
      <c r="CE65" s="16" t="str">
        <f t="shared" si="73"/>
        <v>N/A</v>
      </c>
      <c r="CF65" s="16" t="str">
        <f t="shared" si="74"/>
        <v>N/A</v>
      </c>
      <c r="CG65" s="16" t="str">
        <f t="shared" si="75"/>
        <v>N/A</v>
      </c>
      <c r="CH65" s="16" t="str">
        <f t="shared" si="76"/>
        <v>N/A</v>
      </c>
      <c r="CI65" s="16" t="str">
        <f t="shared" si="77"/>
        <v>N/A</v>
      </c>
      <c r="CJ65" s="16" t="str">
        <f t="shared" si="78"/>
        <v>N/A</v>
      </c>
      <c r="CK65" s="16" t="str">
        <f t="shared" si="79"/>
        <v>N/A</v>
      </c>
      <c r="CL65" s="16" t="str">
        <f t="shared" si="80"/>
        <v>N/A</v>
      </c>
      <c r="CM65" s="16" t="str">
        <f t="shared" si="81"/>
        <v>N/A</v>
      </c>
      <c r="CN65" s="16" t="str">
        <f t="shared" si="82"/>
        <v>N/A</v>
      </c>
      <c r="CO65" s="16" t="str">
        <f t="shared" si="83"/>
        <v>N/A</v>
      </c>
      <c r="CP65" s="16" t="str">
        <f t="shared" si="84"/>
        <v>N/A</v>
      </c>
      <c r="CQ65" s="16" t="str">
        <f t="shared" si="85"/>
        <v>N/A</v>
      </c>
      <c r="CR65" s="16" t="str">
        <f t="shared" si="86"/>
        <v>N/A</v>
      </c>
      <c r="CS65" s="16" t="str">
        <f t="shared" si="87"/>
        <v>N/A</v>
      </c>
      <c r="CT65" s="16" t="str">
        <f t="shared" si="88"/>
        <v>N/A</v>
      </c>
      <c r="CU65" s="16" t="str">
        <f t="shared" si="42"/>
        <v>N/A</v>
      </c>
      <c r="CV65" s="16" t="str">
        <f t="shared" si="43"/>
        <v>N/A</v>
      </c>
      <c r="CW65" s="16" t="str">
        <f t="shared" si="44"/>
        <v>N/A</v>
      </c>
      <c r="CX65" s="16" t="str">
        <f t="shared" si="45"/>
        <v>N/A</v>
      </c>
      <c r="CY65" s="16" t="str">
        <f t="shared" si="46"/>
        <v>N/A</v>
      </c>
    </row>
    <row r="66" spans="2:103" x14ac:dyDescent="0.25">
      <c r="B66" s="2"/>
      <c r="C66" s="6"/>
      <c r="D66" s="6"/>
      <c r="E66" s="7"/>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5"/>
      <c r="BA66" s="5"/>
      <c r="BB66" s="5"/>
      <c r="BC66" s="5"/>
      <c r="BD66" s="5">
        <f t="shared" si="47"/>
        <v>0</v>
      </c>
      <c r="BE66" s="2"/>
      <c r="BF66" s="2" t="str">
        <f t="shared" si="48"/>
        <v>Menos Horas</v>
      </c>
      <c r="BG66" s="2" t="str">
        <f t="shared" si="49"/>
        <v>Carga Lectiva Insuficiente</v>
      </c>
      <c r="BH66" s="16" t="str">
        <f t="shared" si="50"/>
        <v>Cumple</v>
      </c>
      <c r="BI66" s="2" t="str">
        <f t="shared" si="51"/>
        <v>Cumple</v>
      </c>
      <c r="BJ66" s="16" t="str">
        <f t="shared" si="52"/>
        <v>Cumple</v>
      </c>
      <c r="BK66" s="16" t="str">
        <f t="shared" si="53"/>
        <v>N/A</v>
      </c>
      <c r="BL66" s="16" t="str">
        <f t="shared" si="54"/>
        <v>N/A</v>
      </c>
      <c r="BM66" s="16" t="str">
        <f t="shared" si="55"/>
        <v>N/A</v>
      </c>
      <c r="BN66" s="16" t="str">
        <f t="shared" si="56"/>
        <v>N/A</v>
      </c>
      <c r="BO66" s="16" t="str">
        <f t="shared" si="57"/>
        <v>N/A</v>
      </c>
      <c r="BP66" s="16" t="str">
        <f t="shared" si="58"/>
        <v>N/A</v>
      </c>
      <c r="BQ66" s="16" t="str">
        <f t="shared" si="59"/>
        <v>N/A</v>
      </c>
      <c r="BR66" s="16" t="str">
        <f t="shared" si="60"/>
        <v>N/A</v>
      </c>
      <c r="BS66" s="16" t="str">
        <f t="shared" si="61"/>
        <v>N/A</v>
      </c>
      <c r="BT66" s="16" t="str">
        <f t="shared" si="62"/>
        <v>N/A</v>
      </c>
      <c r="BU66" s="16" t="str">
        <f t="shared" si="63"/>
        <v>N/A</v>
      </c>
      <c r="BV66" s="16" t="str">
        <f t="shared" si="64"/>
        <v>N/A</v>
      </c>
      <c r="BW66" s="16" t="str">
        <f t="shared" si="65"/>
        <v>N/A</v>
      </c>
      <c r="BX66" s="16" t="str">
        <f t="shared" si="66"/>
        <v>N/A</v>
      </c>
      <c r="BY66" s="16" t="str">
        <f t="shared" si="67"/>
        <v>N/A</v>
      </c>
      <c r="BZ66" s="16" t="str">
        <f t="shared" si="68"/>
        <v>N/A</v>
      </c>
      <c r="CA66" s="16" t="str">
        <f t="shared" si="69"/>
        <v>N/A</v>
      </c>
      <c r="CB66" s="16" t="str">
        <f t="shared" si="70"/>
        <v>N/A</v>
      </c>
      <c r="CC66" s="16" t="str">
        <f t="shared" si="71"/>
        <v>N/A</v>
      </c>
      <c r="CD66" s="16" t="str">
        <f t="shared" si="72"/>
        <v>N/A</v>
      </c>
      <c r="CE66" s="16" t="str">
        <f t="shared" si="73"/>
        <v>N/A</v>
      </c>
      <c r="CF66" s="16" t="str">
        <f t="shared" si="74"/>
        <v>N/A</v>
      </c>
      <c r="CG66" s="16" t="str">
        <f t="shared" si="75"/>
        <v>N/A</v>
      </c>
      <c r="CH66" s="16" t="str">
        <f t="shared" si="76"/>
        <v>N/A</v>
      </c>
      <c r="CI66" s="16" t="str">
        <f t="shared" si="77"/>
        <v>N/A</v>
      </c>
      <c r="CJ66" s="16" t="str">
        <f t="shared" si="78"/>
        <v>N/A</v>
      </c>
      <c r="CK66" s="16" t="str">
        <f t="shared" si="79"/>
        <v>N/A</v>
      </c>
      <c r="CL66" s="16" t="str">
        <f t="shared" si="80"/>
        <v>N/A</v>
      </c>
      <c r="CM66" s="16" t="str">
        <f t="shared" si="81"/>
        <v>N/A</v>
      </c>
      <c r="CN66" s="16" t="str">
        <f t="shared" si="82"/>
        <v>N/A</v>
      </c>
      <c r="CO66" s="16" t="str">
        <f t="shared" si="83"/>
        <v>N/A</v>
      </c>
      <c r="CP66" s="16" t="str">
        <f t="shared" si="84"/>
        <v>N/A</v>
      </c>
      <c r="CQ66" s="16" t="str">
        <f t="shared" si="85"/>
        <v>N/A</v>
      </c>
      <c r="CR66" s="16" t="str">
        <f t="shared" si="86"/>
        <v>N/A</v>
      </c>
      <c r="CS66" s="16" t="str">
        <f t="shared" si="87"/>
        <v>N/A</v>
      </c>
      <c r="CT66" s="16" t="str">
        <f t="shared" si="88"/>
        <v>N/A</v>
      </c>
      <c r="CU66" s="16" t="str">
        <f t="shared" si="42"/>
        <v>N/A</v>
      </c>
      <c r="CV66" s="16" t="str">
        <f t="shared" si="43"/>
        <v>N/A</v>
      </c>
      <c r="CW66" s="16" t="str">
        <f t="shared" si="44"/>
        <v>N/A</v>
      </c>
      <c r="CX66" s="16" t="str">
        <f t="shared" si="45"/>
        <v>N/A</v>
      </c>
      <c r="CY66" s="16" t="str">
        <f t="shared" si="46"/>
        <v>N/A</v>
      </c>
    </row>
    <row r="67" spans="2:103" x14ac:dyDescent="0.25">
      <c r="B67" s="2"/>
      <c r="C67" s="6"/>
      <c r="D67" s="6"/>
      <c r="E67" s="7"/>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5"/>
      <c r="BA67" s="5"/>
      <c r="BB67" s="5"/>
      <c r="BC67" s="5"/>
      <c r="BD67" s="5">
        <f t="shared" si="47"/>
        <v>0</v>
      </c>
      <c r="BE67" s="2"/>
      <c r="BF67" s="2" t="str">
        <f t="shared" si="48"/>
        <v>Menos Horas</v>
      </c>
      <c r="BG67" s="2" t="str">
        <f t="shared" si="49"/>
        <v>Carga Lectiva Insuficiente</v>
      </c>
      <c r="BH67" s="16" t="str">
        <f t="shared" si="50"/>
        <v>Cumple</v>
      </c>
      <c r="BI67" s="2" t="str">
        <f t="shared" si="51"/>
        <v>Cumple</v>
      </c>
      <c r="BJ67" s="16" t="str">
        <f t="shared" si="52"/>
        <v>Cumple</v>
      </c>
      <c r="BK67" s="16" t="str">
        <f t="shared" si="53"/>
        <v>N/A</v>
      </c>
      <c r="BL67" s="16" t="str">
        <f t="shared" si="54"/>
        <v>N/A</v>
      </c>
      <c r="BM67" s="16" t="str">
        <f t="shared" si="55"/>
        <v>N/A</v>
      </c>
      <c r="BN67" s="16" t="str">
        <f t="shared" si="56"/>
        <v>N/A</v>
      </c>
      <c r="BO67" s="16" t="str">
        <f t="shared" si="57"/>
        <v>N/A</v>
      </c>
      <c r="BP67" s="16" t="str">
        <f t="shared" si="58"/>
        <v>N/A</v>
      </c>
      <c r="BQ67" s="16" t="str">
        <f t="shared" si="59"/>
        <v>N/A</v>
      </c>
      <c r="BR67" s="16" t="str">
        <f t="shared" si="60"/>
        <v>N/A</v>
      </c>
      <c r="BS67" s="16" t="str">
        <f t="shared" si="61"/>
        <v>N/A</v>
      </c>
      <c r="BT67" s="16" t="str">
        <f t="shared" si="62"/>
        <v>N/A</v>
      </c>
      <c r="BU67" s="16" t="str">
        <f t="shared" si="63"/>
        <v>N/A</v>
      </c>
      <c r="BV67" s="16" t="str">
        <f t="shared" si="64"/>
        <v>N/A</v>
      </c>
      <c r="BW67" s="16" t="str">
        <f t="shared" si="65"/>
        <v>N/A</v>
      </c>
      <c r="BX67" s="16" t="str">
        <f t="shared" si="66"/>
        <v>N/A</v>
      </c>
      <c r="BY67" s="16" t="str">
        <f t="shared" si="67"/>
        <v>N/A</v>
      </c>
      <c r="BZ67" s="16" t="str">
        <f t="shared" si="68"/>
        <v>N/A</v>
      </c>
      <c r="CA67" s="16" t="str">
        <f t="shared" si="69"/>
        <v>N/A</v>
      </c>
      <c r="CB67" s="16" t="str">
        <f t="shared" si="70"/>
        <v>N/A</v>
      </c>
      <c r="CC67" s="16" t="str">
        <f t="shared" si="71"/>
        <v>N/A</v>
      </c>
      <c r="CD67" s="16" t="str">
        <f t="shared" si="72"/>
        <v>N/A</v>
      </c>
      <c r="CE67" s="16" t="str">
        <f t="shared" si="73"/>
        <v>N/A</v>
      </c>
      <c r="CF67" s="16" t="str">
        <f t="shared" si="74"/>
        <v>N/A</v>
      </c>
      <c r="CG67" s="16" t="str">
        <f t="shared" si="75"/>
        <v>N/A</v>
      </c>
      <c r="CH67" s="16" t="str">
        <f t="shared" si="76"/>
        <v>N/A</v>
      </c>
      <c r="CI67" s="16" t="str">
        <f t="shared" si="77"/>
        <v>N/A</v>
      </c>
      <c r="CJ67" s="16" t="str">
        <f t="shared" si="78"/>
        <v>N/A</v>
      </c>
      <c r="CK67" s="16" t="str">
        <f t="shared" si="79"/>
        <v>N/A</v>
      </c>
      <c r="CL67" s="16" t="str">
        <f t="shared" si="80"/>
        <v>N/A</v>
      </c>
      <c r="CM67" s="16" t="str">
        <f t="shared" si="81"/>
        <v>N/A</v>
      </c>
      <c r="CN67" s="16" t="str">
        <f t="shared" si="82"/>
        <v>N/A</v>
      </c>
      <c r="CO67" s="16" t="str">
        <f t="shared" si="83"/>
        <v>N/A</v>
      </c>
      <c r="CP67" s="16" t="str">
        <f t="shared" si="84"/>
        <v>N/A</v>
      </c>
      <c r="CQ67" s="16" t="str">
        <f t="shared" si="85"/>
        <v>N/A</v>
      </c>
      <c r="CR67" s="16" t="str">
        <f t="shared" si="86"/>
        <v>N/A</v>
      </c>
      <c r="CS67" s="16" t="str">
        <f t="shared" si="87"/>
        <v>N/A</v>
      </c>
      <c r="CT67" s="16" t="str">
        <f t="shared" si="88"/>
        <v>N/A</v>
      </c>
      <c r="CU67" s="16" t="str">
        <f t="shared" si="42"/>
        <v>N/A</v>
      </c>
      <c r="CV67" s="16" t="str">
        <f t="shared" si="43"/>
        <v>N/A</v>
      </c>
      <c r="CW67" s="16" t="str">
        <f t="shared" si="44"/>
        <v>N/A</v>
      </c>
      <c r="CX67" s="16" t="str">
        <f t="shared" si="45"/>
        <v>N/A</v>
      </c>
      <c r="CY67" s="16" t="str">
        <f t="shared" si="46"/>
        <v>N/A</v>
      </c>
    </row>
    <row r="68" spans="2:103" x14ac:dyDescent="0.25">
      <c r="B68" s="2"/>
      <c r="C68" s="6"/>
      <c r="D68" s="6"/>
      <c r="E68" s="7"/>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5"/>
      <c r="BA68" s="5"/>
      <c r="BB68" s="5"/>
      <c r="BC68" s="5"/>
      <c r="BD68" s="5">
        <f t="shared" si="47"/>
        <v>0</v>
      </c>
      <c r="BE68" s="2"/>
      <c r="BF68" s="2" t="str">
        <f t="shared" si="48"/>
        <v>Menos Horas</v>
      </c>
      <c r="BG68" s="2" t="str">
        <f t="shared" si="49"/>
        <v>Carga Lectiva Insuficiente</v>
      </c>
      <c r="BH68" s="16" t="str">
        <f t="shared" si="50"/>
        <v>Cumple</v>
      </c>
      <c r="BI68" s="2" t="str">
        <f t="shared" si="51"/>
        <v>Cumple</v>
      </c>
      <c r="BJ68" s="16" t="str">
        <f t="shared" si="52"/>
        <v>Cumple</v>
      </c>
      <c r="BK68" s="16" t="str">
        <f t="shared" si="53"/>
        <v>N/A</v>
      </c>
      <c r="BL68" s="16" t="str">
        <f t="shared" si="54"/>
        <v>N/A</v>
      </c>
      <c r="BM68" s="16" t="str">
        <f t="shared" si="55"/>
        <v>N/A</v>
      </c>
      <c r="BN68" s="16" t="str">
        <f t="shared" si="56"/>
        <v>N/A</v>
      </c>
      <c r="BO68" s="16" t="str">
        <f t="shared" si="57"/>
        <v>N/A</v>
      </c>
      <c r="BP68" s="16" t="str">
        <f t="shared" si="58"/>
        <v>N/A</v>
      </c>
      <c r="BQ68" s="16" t="str">
        <f t="shared" si="59"/>
        <v>N/A</v>
      </c>
      <c r="BR68" s="16" t="str">
        <f t="shared" si="60"/>
        <v>N/A</v>
      </c>
      <c r="BS68" s="16" t="str">
        <f t="shared" si="61"/>
        <v>N/A</v>
      </c>
      <c r="BT68" s="16" t="str">
        <f t="shared" si="62"/>
        <v>N/A</v>
      </c>
      <c r="BU68" s="16" t="str">
        <f t="shared" si="63"/>
        <v>N/A</v>
      </c>
      <c r="BV68" s="16" t="str">
        <f t="shared" si="64"/>
        <v>N/A</v>
      </c>
      <c r="BW68" s="16" t="str">
        <f t="shared" si="65"/>
        <v>N/A</v>
      </c>
      <c r="BX68" s="16" t="str">
        <f t="shared" si="66"/>
        <v>N/A</v>
      </c>
      <c r="BY68" s="16" t="str">
        <f t="shared" si="67"/>
        <v>N/A</v>
      </c>
      <c r="BZ68" s="16" t="str">
        <f t="shared" si="68"/>
        <v>N/A</v>
      </c>
      <c r="CA68" s="16" t="str">
        <f t="shared" si="69"/>
        <v>N/A</v>
      </c>
      <c r="CB68" s="16" t="str">
        <f t="shared" si="70"/>
        <v>N/A</v>
      </c>
      <c r="CC68" s="16" t="str">
        <f t="shared" si="71"/>
        <v>N/A</v>
      </c>
      <c r="CD68" s="16" t="str">
        <f t="shared" si="72"/>
        <v>N/A</v>
      </c>
      <c r="CE68" s="16" t="str">
        <f t="shared" si="73"/>
        <v>N/A</v>
      </c>
      <c r="CF68" s="16" t="str">
        <f t="shared" si="74"/>
        <v>N/A</v>
      </c>
      <c r="CG68" s="16" t="str">
        <f t="shared" si="75"/>
        <v>N/A</v>
      </c>
      <c r="CH68" s="16" t="str">
        <f t="shared" si="76"/>
        <v>N/A</v>
      </c>
      <c r="CI68" s="16" t="str">
        <f t="shared" si="77"/>
        <v>N/A</v>
      </c>
      <c r="CJ68" s="16" t="str">
        <f t="shared" si="78"/>
        <v>N/A</v>
      </c>
      <c r="CK68" s="16" t="str">
        <f t="shared" si="79"/>
        <v>N/A</v>
      </c>
      <c r="CL68" s="16" t="str">
        <f t="shared" si="80"/>
        <v>N/A</v>
      </c>
      <c r="CM68" s="16" t="str">
        <f t="shared" si="81"/>
        <v>N/A</v>
      </c>
      <c r="CN68" s="16" t="str">
        <f t="shared" si="82"/>
        <v>N/A</v>
      </c>
      <c r="CO68" s="16" t="str">
        <f t="shared" si="83"/>
        <v>N/A</v>
      </c>
      <c r="CP68" s="16" t="str">
        <f t="shared" si="84"/>
        <v>N/A</v>
      </c>
      <c r="CQ68" s="16" t="str">
        <f t="shared" si="85"/>
        <v>N/A</v>
      </c>
      <c r="CR68" s="16" t="str">
        <f t="shared" si="86"/>
        <v>N/A</v>
      </c>
      <c r="CS68" s="16" t="str">
        <f t="shared" si="87"/>
        <v>N/A</v>
      </c>
      <c r="CT68" s="16" t="str">
        <f t="shared" si="88"/>
        <v>N/A</v>
      </c>
      <c r="CU68" s="16" t="str">
        <f t="shared" si="42"/>
        <v>N/A</v>
      </c>
      <c r="CV68" s="16" t="str">
        <f t="shared" si="43"/>
        <v>N/A</v>
      </c>
      <c r="CW68" s="16" t="str">
        <f t="shared" si="44"/>
        <v>N/A</v>
      </c>
      <c r="CX68" s="16" t="str">
        <f t="shared" si="45"/>
        <v>N/A</v>
      </c>
      <c r="CY68" s="16" t="str">
        <f t="shared" si="46"/>
        <v>N/A</v>
      </c>
    </row>
    <row r="69" spans="2:103" x14ac:dyDescent="0.25">
      <c r="B69" s="2"/>
      <c r="C69" s="6"/>
      <c r="D69" s="6"/>
      <c r="E69" s="7"/>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5"/>
      <c r="BA69" s="5"/>
      <c r="BB69" s="5"/>
      <c r="BC69" s="5"/>
      <c r="BD69" s="5">
        <f t="shared" si="47"/>
        <v>0</v>
      </c>
      <c r="BE69" s="2"/>
      <c r="BF69" s="2" t="str">
        <f t="shared" si="48"/>
        <v>Menos Horas</v>
      </c>
      <c r="BG69" s="2" t="str">
        <f t="shared" si="49"/>
        <v>Carga Lectiva Insuficiente</v>
      </c>
      <c r="BH69" s="16" t="str">
        <f t="shared" si="50"/>
        <v>Cumple</v>
      </c>
      <c r="BI69" s="2" t="str">
        <f t="shared" si="51"/>
        <v>Cumple</v>
      </c>
      <c r="BJ69" s="16" t="str">
        <f t="shared" si="52"/>
        <v>Cumple</v>
      </c>
      <c r="BK69" s="16" t="str">
        <f t="shared" si="53"/>
        <v>N/A</v>
      </c>
      <c r="BL69" s="16" t="str">
        <f t="shared" si="54"/>
        <v>N/A</v>
      </c>
      <c r="BM69" s="16" t="str">
        <f t="shared" si="55"/>
        <v>N/A</v>
      </c>
      <c r="BN69" s="16" t="str">
        <f t="shared" si="56"/>
        <v>N/A</v>
      </c>
      <c r="BO69" s="16" t="str">
        <f t="shared" si="57"/>
        <v>N/A</v>
      </c>
      <c r="BP69" s="16" t="str">
        <f t="shared" si="58"/>
        <v>N/A</v>
      </c>
      <c r="BQ69" s="16" t="str">
        <f t="shared" si="59"/>
        <v>N/A</v>
      </c>
      <c r="BR69" s="16" t="str">
        <f t="shared" si="60"/>
        <v>N/A</v>
      </c>
      <c r="BS69" s="16" t="str">
        <f t="shared" si="61"/>
        <v>N/A</v>
      </c>
      <c r="BT69" s="16" t="str">
        <f t="shared" si="62"/>
        <v>N/A</v>
      </c>
      <c r="BU69" s="16" t="str">
        <f t="shared" si="63"/>
        <v>N/A</v>
      </c>
      <c r="BV69" s="16" t="str">
        <f t="shared" si="64"/>
        <v>N/A</v>
      </c>
      <c r="BW69" s="16" t="str">
        <f t="shared" si="65"/>
        <v>N/A</v>
      </c>
      <c r="BX69" s="16" t="str">
        <f t="shared" si="66"/>
        <v>N/A</v>
      </c>
      <c r="BY69" s="16" t="str">
        <f t="shared" si="67"/>
        <v>N/A</v>
      </c>
      <c r="BZ69" s="16" t="str">
        <f t="shared" si="68"/>
        <v>N/A</v>
      </c>
      <c r="CA69" s="16" t="str">
        <f t="shared" si="69"/>
        <v>N/A</v>
      </c>
      <c r="CB69" s="16" t="str">
        <f t="shared" si="70"/>
        <v>N/A</v>
      </c>
      <c r="CC69" s="16" t="str">
        <f t="shared" si="71"/>
        <v>N/A</v>
      </c>
      <c r="CD69" s="16" t="str">
        <f t="shared" si="72"/>
        <v>N/A</v>
      </c>
      <c r="CE69" s="16" t="str">
        <f t="shared" si="73"/>
        <v>N/A</v>
      </c>
      <c r="CF69" s="16" t="str">
        <f t="shared" si="74"/>
        <v>N/A</v>
      </c>
      <c r="CG69" s="16" t="str">
        <f t="shared" si="75"/>
        <v>N/A</v>
      </c>
      <c r="CH69" s="16" t="str">
        <f t="shared" si="76"/>
        <v>N/A</v>
      </c>
      <c r="CI69" s="16" t="str">
        <f t="shared" si="77"/>
        <v>N/A</v>
      </c>
      <c r="CJ69" s="16" t="str">
        <f t="shared" si="78"/>
        <v>N/A</v>
      </c>
      <c r="CK69" s="16" t="str">
        <f t="shared" si="79"/>
        <v>N/A</v>
      </c>
      <c r="CL69" s="16" t="str">
        <f t="shared" si="80"/>
        <v>N/A</v>
      </c>
      <c r="CM69" s="16" t="str">
        <f t="shared" si="81"/>
        <v>N/A</v>
      </c>
      <c r="CN69" s="16" t="str">
        <f t="shared" si="82"/>
        <v>N/A</v>
      </c>
      <c r="CO69" s="16" t="str">
        <f t="shared" si="83"/>
        <v>N/A</v>
      </c>
      <c r="CP69" s="16" t="str">
        <f t="shared" si="84"/>
        <v>N/A</v>
      </c>
      <c r="CQ69" s="16" t="str">
        <f t="shared" si="85"/>
        <v>N/A</v>
      </c>
      <c r="CR69" s="16" t="str">
        <f t="shared" si="86"/>
        <v>N/A</v>
      </c>
      <c r="CS69" s="16" t="str">
        <f t="shared" si="87"/>
        <v>N/A</v>
      </c>
      <c r="CT69" s="16" t="str">
        <f t="shared" si="88"/>
        <v>N/A</v>
      </c>
      <c r="CU69" s="16" t="str">
        <f t="shared" si="42"/>
        <v>N/A</v>
      </c>
      <c r="CV69" s="16" t="str">
        <f t="shared" si="43"/>
        <v>N/A</v>
      </c>
      <c r="CW69" s="16" t="str">
        <f t="shared" si="44"/>
        <v>N/A</v>
      </c>
      <c r="CX69" s="16" t="str">
        <f t="shared" si="45"/>
        <v>N/A</v>
      </c>
      <c r="CY69" s="16" t="str">
        <f t="shared" si="46"/>
        <v>N/A</v>
      </c>
    </row>
    <row r="70" spans="2:103" x14ac:dyDescent="0.25">
      <c r="B70" s="2"/>
      <c r="C70" s="6"/>
      <c r="D70" s="6"/>
      <c r="E70" s="7"/>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5"/>
      <c r="BA70" s="5"/>
      <c r="BB70" s="5"/>
      <c r="BC70" s="5"/>
      <c r="BD70" s="5">
        <f t="shared" si="47"/>
        <v>0</v>
      </c>
      <c r="BE70" s="2"/>
      <c r="BF70" s="2" t="str">
        <f t="shared" si="48"/>
        <v>Menos Horas</v>
      </c>
      <c r="BG70" s="2" t="str">
        <f t="shared" si="49"/>
        <v>Carga Lectiva Insuficiente</v>
      </c>
      <c r="BH70" s="16" t="str">
        <f t="shared" si="50"/>
        <v>Cumple</v>
      </c>
      <c r="BI70" s="2" t="str">
        <f t="shared" si="51"/>
        <v>Cumple</v>
      </c>
      <c r="BJ70" s="16" t="str">
        <f t="shared" si="52"/>
        <v>Cumple</v>
      </c>
      <c r="BK70" s="16" t="str">
        <f t="shared" si="53"/>
        <v>N/A</v>
      </c>
      <c r="BL70" s="16" t="str">
        <f t="shared" si="54"/>
        <v>N/A</v>
      </c>
      <c r="BM70" s="16" t="str">
        <f t="shared" si="55"/>
        <v>N/A</v>
      </c>
      <c r="BN70" s="16" t="str">
        <f t="shared" si="56"/>
        <v>N/A</v>
      </c>
      <c r="BO70" s="16" t="str">
        <f t="shared" si="57"/>
        <v>N/A</v>
      </c>
      <c r="BP70" s="16" t="str">
        <f t="shared" si="58"/>
        <v>N/A</v>
      </c>
      <c r="BQ70" s="16" t="str">
        <f t="shared" si="59"/>
        <v>N/A</v>
      </c>
      <c r="BR70" s="16" t="str">
        <f t="shared" si="60"/>
        <v>N/A</v>
      </c>
      <c r="BS70" s="16" t="str">
        <f t="shared" si="61"/>
        <v>N/A</v>
      </c>
      <c r="BT70" s="16" t="str">
        <f t="shared" si="62"/>
        <v>N/A</v>
      </c>
      <c r="BU70" s="16" t="str">
        <f t="shared" si="63"/>
        <v>N/A</v>
      </c>
      <c r="BV70" s="16" t="str">
        <f t="shared" si="64"/>
        <v>N/A</v>
      </c>
      <c r="BW70" s="16" t="str">
        <f t="shared" si="65"/>
        <v>N/A</v>
      </c>
      <c r="BX70" s="16" t="str">
        <f t="shared" si="66"/>
        <v>N/A</v>
      </c>
      <c r="BY70" s="16" t="str">
        <f t="shared" si="67"/>
        <v>N/A</v>
      </c>
      <c r="BZ70" s="16" t="str">
        <f t="shared" si="68"/>
        <v>N/A</v>
      </c>
      <c r="CA70" s="16" t="str">
        <f t="shared" si="69"/>
        <v>N/A</v>
      </c>
      <c r="CB70" s="16" t="str">
        <f t="shared" si="70"/>
        <v>N/A</v>
      </c>
      <c r="CC70" s="16" t="str">
        <f t="shared" si="71"/>
        <v>N/A</v>
      </c>
      <c r="CD70" s="16" t="str">
        <f t="shared" si="72"/>
        <v>N/A</v>
      </c>
      <c r="CE70" s="16" t="str">
        <f t="shared" si="73"/>
        <v>N/A</v>
      </c>
      <c r="CF70" s="16" t="str">
        <f t="shared" si="74"/>
        <v>N/A</v>
      </c>
      <c r="CG70" s="16" t="str">
        <f t="shared" si="75"/>
        <v>N/A</v>
      </c>
      <c r="CH70" s="16" t="str">
        <f t="shared" si="76"/>
        <v>N/A</v>
      </c>
      <c r="CI70" s="16" t="str">
        <f t="shared" si="77"/>
        <v>N/A</v>
      </c>
      <c r="CJ70" s="16" t="str">
        <f t="shared" si="78"/>
        <v>N/A</v>
      </c>
      <c r="CK70" s="16" t="str">
        <f t="shared" si="79"/>
        <v>N/A</v>
      </c>
      <c r="CL70" s="16" t="str">
        <f t="shared" si="80"/>
        <v>N/A</v>
      </c>
      <c r="CM70" s="16" t="str">
        <f t="shared" si="81"/>
        <v>N/A</v>
      </c>
      <c r="CN70" s="16" t="str">
        <f t="shared" si="82"/>
        <v>N/A</v>
      </c>
      <c r="CO70" s="16" t="str">
        <f t="shared" si="83"/>
        <v>N/A</v>
      </c>
      <c r="CP70" s="16" t="str">
        <f t="shared" si="84"/>
        <v>N/A</v>
      </c>
      <c r="CQ70" s="16" t="str">
        <f t="shared" si="85"/>
        <v>N/A</v>
      </c>
      <c r="CR70" s="16" t="str">
        <f t="shared" si="86"/>
        <v>N/A</v>
      </c>
      <c r="CS70" s="16" t="str">
        <f t="shared" si="87"/>
        <v>N/A</v>
      </c>
      <c r="CT70" s="16" t="str">
        <f t="shared" si="88"/>
        <v>N/A</v>
      </c>
      <c r="CU70" s="16" t="str">
        <f t="shared" si="42"/>
        <v>N/A</v>
      </c>
      <c r="CV70" s="16" t="str">
        <f t="shared" si="43"/>
        <v>N/A</v>
      </c>
      <c r="CW70" s="16" t="str">
        <f t="shared" si="44"/>
        <v>N/A</v>
      </c>
      <c r="CX70" s="16" t="str">
        <f t="shared" si="45"/>
        <v>N/A</v>
      </c>
      <c r="CY70" s="16" t="str">
        <f t="shared" si="46"/>
        <v>N/A</v>
      </c>
    </row>
    <row r="71" spans="2:103" x14ac:dyDescent="0.25">
      <c r="B71" s="2"/>
      <c r="C71" s="6"/>
      <c r="D71" s="6"/>
      <c r="E71" s="7"/>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5"/>
      <c r="BA71" s="5"/>
      <c r="BB71" s="5"/>
      <c r="BC71" s="5"/>
      <c r="BD71" s="5">
        <f t="shared" ref="BD71:BD102" si="89">AY71+AZ71</f>
        <v>0</v>
      </c>
      <c r="BE71" s="2"/>
      <c r="BF71" s="2" t="str">
        <f t="shared" ref="BF71:BF102" si="90">IF(BD71=40,"Cumple",IF(BD71&gt;40,"Mas Horas","Menos Horas"))</f>
        <v>Menos Horas</v>
      </c>
      <c r="BG71" s="2" t="str">
        <f t="shared" ref="BG71:BG102" si="91">IF(BA71=1,IF(AZ71&gt;18,"Exceso Carga Lectiva",IF(AZ71&lt;16,"Carga Lectiva Insuficiente","Cumple")),IF(AZ71&gt;14,"Exceso Carga Lectiva",IF(AZ71&lt;12,"Carga Lectiva Insuficiente","Cumple")))</f>
        <v>Carga Lectiva Insuficiente</v>
      </c>
      <c r="BH71" s="16" t="str">
        <f t="shared" ref="BH71:BH102" si="92">IF(AL71&gt;(AZ71/2),"Exceso Horas","Cumple")</f>
        <v>Cumple</v>
      </c>
      <c r="BI71" s="2" t="str">
        <f t="shared" ref="BI71:BI102" si="93">IF(F71&gt;8,"Exceso Horas","Cumple")</f>
        <v>Cumple</v>
      </c>
      <c r="BJ71" s="16" t="str">
        <f t="shared" ref="BJ71:BJ102" si="94">IF(G71&gt;4,"Exceso Horas","Cumple")</f>
        <v>Cumple</v>
      </c>
      <c r="BK71" s="16" t="str">
        <f t="shared" ref="BK71:BK102" si="95">IF(H71=0,"N/A",IF(H71&gt;8,"Exceso Horas","Cumple"))</f>
        <v>N/A</v>
      </c>
      <c r="BL71" s="16" t="str">
        <f t="shared" ref="BL71:BL102" si="96">IF(J71=0,"N/A",IF(J71&gt;2,"Exceso Horas","Cumple"))</f>
        <v>N/A</v>
      </c>
      <c r="BM71" s="16" t="str">
        <f t="shared" ref="BM71:BM102" si="97">IF(M71=0,"N/A",IF(M71&gt;20,"Exceso Horas","Cumple"))</f>
        <v>N/A</v>
      </c>
      <c r="BN71" s="16" t="str">
        <f t="shared" ref="BN71:BN102" si="98">IF(N71=0,"N/A",IF(N71&gt;20,"Exceso Horas","Cumple"))</f>
        <v>N/A</v>
      </c>
      <c r="BO71" s="16" t="str">
        <f t="shared" ref="BO71:BO102" si="99">IF(O71=0,"N/A",IF(O71&gt;20,"Exceso Horas","Cumple"))</f>
        <v>N/A</v>
      </c>
      <c r="BP71" s="16" t="str">
        <f t="shared" ref="BP71:BP102" si="100">IF(P71=0,"N/A",IF(P71&gt;20,"Exceso Horas","Cumple"))</f>
        <v>N/A</v>
      </c>
      <c r="BQ71" s="16" t="str">
        <f t="shared" ref="BQ71:BQ102" si="101">IF(Q71=0,"N/A",IF(Q71&gt;20,"Exceso Horas","Cumple"))</f>
        <v>N/A</v>
      </c>
      <c r="BR71" s="16" t="str">
        <f t="shared" ref="BR71:BR102" si="102">IF(R71=0,"N/A",IF(R71&gt;20,"Exceso Horas","Cumple"))</f>
        <v>N/A</v>
      </c>
      <c r="BS71" s="16" t="str">
        <f t="shared" ref="BS71:BS102" si="103">IF(S71=0,"N/A",IF(S71&gt;8,"Exceso Horas","Cumple"))</f>
        <v>N/A</v>
      </c>
      <c r="BT71" s="16" t="str">
        <f t="shared" ref="BT71:BT102" si="104">IF(U71=0,"N/A",IF(U71&gt;2,"Exceso Horas","Cumple"))</f>
        <v>N/A</v>
      </c>
      <c r="BU71" s="16" t="str">
        <f t="shared" ref="BU71:BU102" si="105">IF(V71=0,"N/A",IF(V71&gt;12,"Exceso Horas","Cumple"))</f>
        <v>N/A</v>
      </c>
      <c r="BV71" s="16" t="str">
        <f t="shared" ref="BV71:BV102" si="106">IF(W71=0,"N/A",IF(W71&gt;12,"Exceso Horas","Cumple"))</f>
        <v>N/A</v>
      </c>
      <c r="BW71" s="16" t="str">
        <f t="shared" ref="BW71:BW102" si="107">IF(X71=0,"N/A",IF(X71&gt;4,"Exceso Horas","Cumple"))</f>
        <v>N/A</v>
      </c>
      <c r="BX71" s="16" t="str">
        <f t="shared" ref="BX71:BX102" si="108">IF(Y71=0,"N/A",IF(Y71&gt;2,"Exceso Horas","Cumple"))</f>
        <v>N/A</v>
      </c>
      <c r="BY71" s="16" t="str">
        <f t="shared" ref="BY71:BY102" si="109">IF(Z71=0,"N/A",IF(Z71&gt;10,"Exceso Horas","Cumple"))</f>
        <v>N/A</v>
      </c>
      <c r="BZ71" s="16" t="str">
        <f t="shared" ref="BZ71:BZ102" si="110">IF(AA71=0,"N/A",IF(AA71&gt;8,"Exceso Horas","Cumple"))</f>
        <v>N/A</v>
      </c>
      <c r="CA71" s="16" t="str">
        <f t="shared" ref="CA71:CA102" si="111">IF(AC71=0,"N/A",IF(AC71&gt;4,"Exceso Horas","Cumple"))</f>
        <v>N/A</v>
      </c>
      <c r="CB71" s="16" t="str">
        <f t="shared" ref="CB71:CB102" si="112">IF(AD71=0,"N/A",IF(AD71&gt;8,"Exceso Horas","Cumple"))</f>
        <v>N/A</v>
      </c>
      <c r="CC71" s="16" t="str">
        <f t="shared" ref="CC71:CC102" si="113">IF(AE71=0,"N/A",IF(AE71&gt;2,"Exceso Horas","Cumple"))</f>
        <v>N/A</v>
      </c>
      <c r="CD71" s="16" t="str">
        <f t="shared" ref="CD71:CD102" si="114">IF(AF71=0,"N/A",IF(AF71&gt;2,"Exceso Horas","Cumple"))</f>
        <v>N/A</v>
      </c>
      <c r="CE71" s="16" t="str">
        <f t="shared" ref="CE71:CE102" si="115">IF(AG71=0,"N/A",IF(AG71&gt;2,"Exceso Horas","Cumple"))</f>
        <v>N/A</v>
      </c>
      <c r="CF71" s="16" t="str">
        <f t="shared" ref="CF71:CF102" si="116">IF(AH71=0,"N/A",IF(AH71&gt;2,"Exceso Horas","Cumple"))</f>
        <v>N/A</v>
      </c>
      <c r="CG71" s="16" t="str">
        <f t="shared" ref="CG71:CG102" si="117">IF(AI71=0,"N/A",IF(AI71&gt;2,"Exceso Horas","Cumple"))</f>
        <v>N/A</v>
      </c>
      <c r="CH71" s="16" t="str">
        <f t="shared" ref="CH71:CH102" si="118">IF(AJ71=0,"N/A",IF(AJ71&gt;4,"Exceso Horas","Cumple"))</f>
        <v>N/A</v>
      </c>
      <c r="CI71" s="16" t="str">
        <f t="shared" ref="CI71:CI102" si="119">IF(AK71=0,"N/A",IF(AK71&gt;4,"Exceso Horas","Cumple"))</f>
        <v>N/A</v>
      </c>
      <c r="CJ71" s="16" t="str">
        <f t="shared" ref="CJ71:CJ102" si="120">IF(AM71=0,"N/A",IF(AM71&gt;4,"Exceso Horas","Cumple"))</f>
        <v>N/A</v>
      </c>
      <c r="CK71" s="16" t="str">
        <f t="shared" ref="CK71:CK102" si="121">IF(AN71=0,"N/A",IF(AN71&gt;14,"Exceso Horas","Cumple"))</f>
        <v>N/A</v>
      </c>
      <c r="CL71" s="16" t="str">
        <f t="shared" ref="CL71:CL102" si="122">IF(AO71=0,"N/A",IF(A71&gt;10,"Exceso Horas","Cumple"))</f>
        <v>N/A</v>
      </c>
      <c r="CM71" s="16" t="str">
        <f t="shared" ref="CM71:CM102" si="123">IF(AP71=0,"N/A",IF(AP71&gt;6,"Exceso Horas","Cumple"))</f>
        <v>N/A</v>
      </c>
      <c r="CN71" s="16" t="str">
        <f t="shared" ref="CN71:CN102" si="124">IF(AR71=0,"N/A",IF(AR71&gt;4,"Exceso Horas","Cumple"))</f>
        <v>N/A</v>
      </c>
      <c r="CO71" s="16" t="str">
        <f t="shared" ref="CO71:CO102" si="125">IF(AS71=0,"N/A",IF(AS71&gt;8,"Exceso Horas","Cumple"))</f>
        <v>N/A</v>
      </c>
      <c r="CP71" s="16" t="str">
        <f t="shared" ref="CP71:CP102" si="126">IF(AT71=0,"N/A",IF(AT71&gt;4,"Exceso Horas","Cumple"))</f>
        <v>N/A</v>
      </c>
      <c r="CQ71" s="16" t="str">
        <f t="shared" ref="CQ71:CQ102" si="127">IF(AU71=0,"N/A",IF(AU71&gt;4,"Exceso Horas","Cumple"))</f>
        <v>N/A</v>
      </c>
      <c r="CR71" s="16" t="str">
        <f t="shared" ref="CR71:CR102" si="128">IF(AV71=0,"N/A",IF(AV71&gt;8,"Exceso Horas","Cumple"))</f>
        <v>N/A</v>
      </c>
      <c r="CS71" s="16" t="str">
        <f t="shared" ref="CS71:CS102" si="129">IF(AW71=0,"N/A",IF(AW71&gt;2,"Exceso Horas","Cumple"))</f>
        <v>N/A</v>
      </c>
      <c r="CT71" s="16" t="str">
        <f t="shared" ref="CT71:CT102" si="130">IF(AX71=0,"N/A",IF(AX71&gt;4,"Exceso Horas","Cumple"))</f>
        <v>N/A</v>
      </c>
      <c r="CU71" s="16" t="str">
        <f t="shared" si="42"/>
        <v>N/A</v>
      </c>
      <c r="CV71" s="16" t="str">
        <f t="shared" si="43"/>
        <v>N/A</v>
      </c>
      <c r="CW71" s="16" t="str">
        <f t="shared" si="44"/>
        <v>N/A</v>
      </c>
      <c r="CX71" s="16" t="str">
        <f t="shared" si="45"/>
        <v>N/A</v>
      </c>
      <c r="CY71" s="16" t="str">
        <f t="shared" si="46"/>
        <v>N/A</v>
      </c>
    </row>
    <row r="72" spans="2:103" x14ac:dyDescent="0.25">
      <c r="B72" s="2"/>
      <c r="C72" s="6"/>
      <c r="D72" s="6"/>
      <c r="E72" s="7"/>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5"/>
      <c r="BA72" s="5"/>
      <c r="BB72" s="5"/>
      <c r="BC72" s="5"/>
      <c r="BD72" s="5">
        <f t="shared" si="89"/>
        <v>0</v>
      </c>
      <c r="BE72" s="2"/>
      <c r="BF72" s="2" t="str">
        <f t="shared" si="90"/>
        <v>Menos Horas</v>
      </c>
      <c r="BG72" s="2" t="str">
        <f t="shared" si="91"/>
        <v>Carga Lectiva Insuficiente</v>
      </c>
      <c r="BH72" s="16" t="str">
        <f t="shared" si="92"/>
        <v>Cumple</v>
      </c>
      <c r="BI72" s="2" t="str">
        <f t="shared" si="93"/>
        <v>Cumple</v>
      </c>
      <c r="BJ72" s="16" t="str">
        <f t="shared" si="94"/>
        <v>Cumple</v>
      </c>
      <c r="BK72" s="16" t="str">
        <f t="shared" si="95"/>
        <v>N/A</v>
      </c>
      <c r="BL72" s="16" t="str">
        <f t="shared" si="96"/>
        <v>N/A</v>
      </c>
      <c r="BM72" s="16" t="str">
        <f t="shared" si="97"/>
        <v>N/A</v>
      </c>
      <c r="BN72" s="16" t="str">
        <f t="shared" si="98"/>
        <v>N/A</v>
      </c>
      <c r="BO72" s="16" t="str">
        <f t="shared" si="99"/>
        <v>N/A</v>
      </c>
      <c r="BP72" s="16" t="str">
        <f t="shared" si="100"/>
        <v>N/A</v>
      </c>
      <c r="BQ72" s="16" t="str">
        <f t="shared" si="101"/>
        <v>N/A</v>
      </c>
      <c r="BR72" s="16" t="str">
        <f t="shared" si="102"/>
        <v>N/A</v>
      </c>
      <c r="BS72" s="16" t="str">
        <f t="shared" si="103"/>
        <v>N/A</v>
      </c>
      <c r="BT72" s="16" t="str">
        <f t="shared" si="104"/>
        <v>N/A</v>
      </c>
      <c r="BU72" s="16" t="str">
        <f t="shared" si="105"/>
        <v>N/A</v>
      </c>
      <c r="BV72" s="16" t="str">
        <f t="shared" si="106"/>
        <v>N/A</v>
      </c>
      <c r="BW72" s="16" t="str">
        <f t="shared" si="107"/>
        <v>N/A</v>
      </c>
      <c r="BX72" s="16" t="str">
        <f t="shared" si="108"/>
        <v>N/A</v>
      </c>
      <c r="BY72" s="16" t="str">
        <f t="shared" si="109"/>
        <v>N/A</v>
      </c>
      <c r="BZ72" s="16" t="str">
        <f t="shared" si="110"/>
        <v>N/A</v>
      </c>
      <c r="CA72" s="16" t="str">
        <f t="shared" si="111"/>
        <v>N/A</v>
      </c>
      <c r="CB72" s="16" t="str">
        <f t="shared" si="112"/>
        <v>N/A</v>
      </c>
      <c r="CC72" s="16" t="str">
        <f t="shared" si="113"/>
        <v>N/A</v>
      </c>
      <c r="CD72" s="16" t="str">
        <f t="shared" si="114"/>
        <v>N/A</v>
      </c>
      <c r="CE72" s="16" t="str">
        <f t="shared" si="115"/>
        <v>N/A</v>
      </c>
      <c r="CF72" s="16" t="str">
        <f t="shared" si="116"/>
        <v>N/A</v>
      </c>
      <c r="CG72" s="16" t="str">
        <f t="shared" si="117"/>
        <v>N/A</v>
      </c>
      <c r="CH72" s="16" t="str">
        <f t="shared" si="118"/>
        <v>N/A</v>
      </c>
      <c r="CI72" s="16" t="str">
        <f t="shared" si="119"/>
        <v>N/A</v>
      </c>
      <c r="CJ72" s="16" t="str">
        <f t="shared" si="120"/>
        <v>N/A</v>
      </c>
      <c r="CK72" s="16" t="str">
        <f t="shared" si="121"/>
        <v>N/A</v>
      </c>
      <c r="CL72" s="16" t="str">
        <f t="shared" si="122"/>
        <v>N/A</v>
      </c>
      <c r="CM72" s="16" t="str">
        <f t="shared" si="123"/>
        <v>N/A</v>
      </c>
      <c r="CN72" s="16" t="str">
        <f t="shared" si="124"/>
        <v>N/A</v>
      </c>
      <c r="CO72" s="16" t="str">
        <f t="shared" si="125"/>
        <v>N/A</v>
      </c>
      <c r="CP72" s="16" t="str">
        <f t="shared" si="126"/>
        <v>N/A</v>
      </c>
      <c r="CQ72" s="16" t="str">
        <f t="shared" si="127"/>
        <v>N/A</v>
      </c>
      <c r="CR72" s="16" t="str">
        <f t="shared" si="128"/>
        <v>N/A</v>
      </c>
      <c r="CS72" s="16" t="str">
        <f t="shared" si="129"/>
        <v>N/A</v>
      </c>
      <c r="CT72" s="16" t="str">
        <f t="shared" si="130"/>
        <v>N/A</v>
      </c>
      <c r="CU72" s="16" t="str">
        <f t="shared" ref="CU72:CU135" si="131">IF(AD72=0,"N/A",IF(AY72&gt;40,"Exceso Horas","Cumple"))</f>
        <v>N/A</v>
      </c>
      <c r="CV72" s="16" t="str">
        <f t="shared" ref="CV72:CV135" si="132">IF(AE72=0,"N/A",IF(AZ72&gt;40,"Exceso Horas","Cumple"))</f>
        <v>N/A</v>
      </c>
      <c r="CW72" s="16" t="str">
        <f t="shared" ref="CW72:CW135" si="133">IF(AF72=0,"N/A",IF(BA72&gt;40,"Exceso Horas","Cumple"))</f>
        <v>N/A</v>
      </c>
      <c r="CX72" s="16" t="str">
        <f t="shared" ref="CX72:CX135" si="134">IF(AG72=0,"N/A",IF(K72&gt;40,"Exceso Horas","Cumple"))</f>
        <v>N/A</v>
      </c>
      <c r="CY72" s="16" t="str">
        <f t="shared" ref="CY72:CY135" si="135">IF(AH72=0,"N/A",IF(L72&gt;40,"Exceso Horas","Cumple"))</f>
        <v>N/A</v>
      </c>
    </row>
    <row r="73" spans="2:103" x14ac:dyDescent="0.25">
      <c r="B73" s="2"/>
      <c r="C73" s="6"/>
      <c r="D73" s="6"/>
      <c r="E73" s="7"/>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5"/>
      <c r="BA73" s="5"/>
      <c r="BB73" s="5"/>
      <c r="BC73" s="5"/>
      <c r="BD73" s="5">
        <f t="shared" si="89"/>
        <v>0</v>
      </c>
      <c r="BE73" s="2"/>
      <c r="BF73" s="2" t="str">
        <f t="shared" si="90"/>
        <v>Menos Horas</v>
      </c>
      <c r="BG73" s="2" t="str">
        <f t="shared" si="91"/>
        <v>Carga Lectiva Insuficiente</v>
      </c>
      <c r="BH73" s="16" t="str">
        <f t="shared" si="92"/>
        <v>Cumple</v>
      </c>
      <c r="BI73" s="2" t="str">
        <f t="shared" si="93"/>
        <v>Cumple</v>
      </c>
      <c r="BJ73" s="16" t="str">
        <f t="shared" si="94"/>
        <v>Cumple</v>
      </c>
      <c r="BK73" s="16" t="str">
        <f t="shared" si="95"/>
        <v>N/A</v>
      </c>
      <c r="BL73" s="16" t="str">
        <f t="shared" si="96"/>
        <v>N/A</v>
      </c>
      <c r="BM73" s="16" t="str">
        <f t="shared" si="97"/>
        <v>N/A</v>
      </c>
      <c r="BN73" s="16" t="str">
        <f t="shared" si="98"/>
        <v>N/A</v>
      </c>
      <c r="BO73" s="16" t="str">
        <f t="shared" si="99"/>
        <v>N/A</v>
      </c>
      <c r="BP73" s="16" t="str">
        <f t="shared" si="100"/>
        <v>N/A</v>
      </c>
      <c r="BQ73" s="16" t="str">
        <f t="shared" si="101"/>
        <v>N/A</v>
      </c>
      <c r="BR73" s="16" t="str">
        <f t="shared" si="102"/>
        <v>N/A</v>
      </c>
      <c r="BS73" s="16" t="str">
        <f t="shared" si="103"/>
        <v>N/A</v>
      </c>
      <c r="BT73" s="16" t="str">
        <f t="shared" si="104"/>
        <v>N/A</v>
      </c>
      <c r="BU73" s="16" t="str">
        <f t="shared" si="105"/>
        <v>N/A</v>
      </c>
      <c r="BV73" s="16" t="str">
        <f t="shared" si="106"/>
        <v>N/A</v>
      </c>
      <c r="BW73" s="16" t="str">
        <f t="shared" si="107"/>
        <v>N/A</v>
      </c>
      <c r="BX73" s="16" t="str">
        <f t="shared" si="108"/>
        <v>N/A</v>
      </c>
      <c r="BY73" s="16" t="str">
        <f t="shared" si="109"/>
        <v>N/A</v>
      </c>
      <c r="BZ73" s="16" t="str">
        <f t="shared" si="110"/>
        <v>N/A</v>
      </c>
      <c r="CA73" s="16" t="str">
        <f t="shared" si="111"/>
        <v>N/A</v>
      </c>
      <c r="CB73" s="16" t="str">
        <f t="shared" si="112"/>
        <v>N/A</v>
      </c>
      <c r="CC73" s="16" t="str">
        <f t="shared" si="113"/>
        <v>N/A</v>
      </c>
      <c r="CD73" s="16" t="str">
        <f t="shared" si="114"/>
        <v>N/A</v>
      </c>
      <c r="CE73" s="16" t="str">
        <f t="shared" si="115"/>
        <v>N/A</v>
      </c>
      <c r="CF73" s="16" t="str">
        <f t="shared" si="116"/>
        <v>N/A</v>
      </c>
      <c r="CG73" s="16" t="str">
        <f t="shared" si="117"/>
        <v>N/A</v>
      </c>
      <c r="CH73" s="16" t="str">
        <f t="shared" si="118"/>
        <v>N/A</v>
      </c>
      <c r="CI73" s="16" t="str">
        <f t="shared" si="119"/>
        <v>N/A</v>
      </c>
      <c r="CJ73" s="16" t="str">
        <f t="shared" si="120"/>
        <v>N/A</v>
      </c>
      <c r="CK73" s="16" t="str">
        <f t="shared" si="121"/>
        <v>N/A</v>
      </c>
      <c r="CL73" s="16" t="str">
        <f t="shared" si="122"/>
        <v>N/A</v>
      </c>
      <c r="CM73" s="16" t="str">
        <f t="shared" si="123"/>
        <v>N/A</v>
      </c>
      <c r="CN73" s="16" t="str">
        <f t="shared" si="124"/>
        <v>N/A</v>
      </c>
      <c r="CO73" s="16" t="str">
        <f t="shared" si="125"/>
        <v>N/A</v>
      </c>
      <c r="CP73" s="16" t="str">
        <f t="shared" si="126"/>
        <v>N/A</v>
      </c>
      <c r="CQ73" s="16" t="str">
        <f t="shared" si="127"/>
        <v>N/A</v>
      </c>
      <c r="CR73" s="16" t="str">
        <f t="shared" si="128"/>
        <v>N/A</v>
      </c>
      <c r="CS73" s="16" t="str">
        <f t="shared" si="129"/>
        <v>N/A</v>
      </c>
      <c r="CT73" s="16" t="str">
        <f t="shared" si="130"/>
        <v>N/A</v>
      </c>
      <c r="CU73" s="16" t="str">
        <f t="shared" si="131"/>
        <v>N/A</v>
      </c>
      <c r="CV73" s="16" t="str">
        <f t="shared" si="132"/>
        <v>N/A</v>
      </c>
      <c r="CW73" s="16" t="str">
        <f t="shared" si="133"/>
        <v>N/A</v>
      </c>
      <c r="CX73" s="16" t="str">
        <f t="shared" si="134"/>
        <v>N/A</v>
      </c>
      <c r="CY73" s="16" t="str">
        <f t="shared" si="135"/>
        <v>N/A</v>
      </c>
    </row>
    <row r="74" spans="2:103" x14ac:dyDescent="0.25">
      <c r="B74" s="2"/>
      <c r="C74" s="6"/>
      <c r="D74" s="6"/>
      <c r="E74" s="7"/>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5"/>
      <c r="BA74" s="5"/>
      <c r="BB74" s="5"/>
      <c r="BC74" s="5"/>
      <c r="BD74" s="5">
        <f t="shared" si="89"/>
        <v>0</v>
      </c>
      <c r="BE74" s="2"/>
      <c r="BF74" s="2" t="str">
        <f t="shared" si="90"/>
        <v>Menos Horas</v>
      </c>
      <c r="BG74" s="2" t="str">
        <f t="shared" si="91"/>
        <v>Carga Lectiva Insuficiente</v>
      </c>
      <c r="BH74" s="16" t="str">
        <f t="shared" si="92"/>
        <v>Cumple</v>
      </c>
      <c r="BI74" s="2" t="str">
        <f t="shared" si="93"/>
        <v>Cumple</v>
      </c>
      <c r="BJ74" s="16" t="str">
        <f t="shared" si="94"/>
        <v>Cumple</v>
      </c>
      <c r="BK74" s="16" t="str">
        <f t="shared" si="95"/>
        <v>N/A</v>
      </c>
      <c r="BL74" s="16" t="str">
        <f t="shared" si="96"/>
        <v>N/A</v>
      </c>
      <c r="BM74" s="16" t="str">
        <f t="shared" si="97"/>
        <v>N/A</v>
      </c>
      <c r="BN74" s="16" t="str">
        <f t="shared" si="98"/>
        <v>N/A</v>
      </c>
      <c r="BO74" s="16" t="str">
        <f t="shared" si="99"/>
        <v>N/A</v>
      </c>
      <c r="BP74" s="16" t="str">
        <f t="shared" si="100"/>
        <v>N/A</v>
      </c>
      <c r="BQ74" s="16" t="str">
        <f t="shared" si="101"/>
        <v>N/A</v>
      </c>
      <c r="BR74" s="16" t="str">
        <f t="shared" si="102"/>
        <v>N/A</v>
      </c>
      <c r="BS74" s="16" t="str">
        <f t="shared" si="103"/>
        <v>N/A</v>
      </c>
      <c r="BT74" s="16" t="str">
        <f t="shared" si="104"/>
        <v>N/A</v>
      </c>
      <c r="BU74" s="16" t="str">
        <f t="shared" si="105"/>
        <v>N/A</v>
      </c>
      <c r="BV74" s="16" t="str">
        <f t="shared" si="106"/>
        <v>N/A</v>
      </c>
      <c r="BW74" s="16" t="str">
        <f t="shared" si="107"/>
        <v>N/A</v>
      </c>
      <c r="BX74" s="16" t="str">
        <f t="shared" si="108"/>
        <v>N/A</v>
      </c>
      <c r="BY74" s="16" t="str">
        <f t="shared" si="109"/>
        <v>N/A</v>
      </c>
      <c r="BZ74" s="16" t="str">
        <f t="shared" si="110"/>
        <v>N/A</v>
      </c>
      <c r="CA74" s="16" t="str">
        <f t="shared" si="111"/>
        <v>N/A</v>
      </c>
      <c r="CB74" s="16" t="str">
        <f t="shared" si="112"/>
        <v>N/A</v>
      </c>
      <c r="CC74" s="16" t="str">
        <f t="shared" si="113"/>
        <v>N/A</v>
      </c>
      <c r="CD74" s="16" t="str">
        <f t="shared" si="114"/>
        <v>N/A</v>
      </c>
      <c r="CE74" s="16" t="str">
        <f t="shared" si="115"/>
        <v>N/A</v>
      </c>
      <c r="CF74" s="16" t="str">
        <f t="shared" si="116"/>
        <v>N/A</v>
      </c>
      <c r="CG74" s="16" t="str">
        <f t="shared" si="117"/>
        <v>N/A</v>
      </c>
      <c r="CH74" s="16" t="str">
        <f t="shared" si="118"/>
        <v>N/A</v>
      </c>
      <c r="CI74" s="16" t="str">
        <f t="shared" si="119"/>
        <v>N/A</v>
      </c>
      <c r="CJ74" s="16" t="str">
        <f t="shared" si="120"/>
        <v>N/A</v>
      </c>
      <c r="CK74" s="16" t="str">
        <f t="shared" si="121"/>
        <v>N/A</v>
      </c>
      <c r="CL74" s="16" t="str">
        <f t="shared" si="122"/>
        <v>N/A</v>
      </c>
      <c r="CM74" s="16" t="str">
        <f t="shared" si="123"/>
        <v>N/A</v>
      </c>
      <c r="CN74" s="16" t="str">
        <f t="shared" si="124"/>
        <v>N/A</v>
      </c>
      <c r="CO74" s="16" t="str">
        <f t="shared" si="125"/>
        <v>N/A</v>
      </c>
      <c r="CP74" s="16" t="str">
        <f t="shared" si="126"/>
        <v>N/A</v>
      </c>
      <c r="CQ74" s="16" t="str">
        <f t="shared" si="127"/>
        <v>N/A</v>
      </c>
      <c r="CR74" s="16" t="str">
        <f t="shared" si="128"/>
        <v>N/A</v>
      </c>
      <c r="CS74" s="16" t="str">
        <f t="shared" si="129"/>
        <v>N/A</v>
      </c>
      <c r="CT74" s="16" t="str">
        <f t="shared" si="130"/>
        <v>N/A</v>
      </c>
      <c r="CU74" s="16" t="str">
        <f t="shared" si="131"/>
        <v>N/A</v>
      </c>
      <c r="CV74" s="16" t="str">
        <f t="shared" si="132"/>
        <v>N/A</v>
      </c>
      <c r="CW74" s="16" t="str">
        <f t="shared" si="133"/>
        <v>N/A</v>
      </c>
      <c r="CX74" s="16" t="str">
        <f t="shared" si="134"/>
        <v>N/A</v>
      </c>
      <c r="CY74" s="16" t="str">
        <f t="shared" si="135"/>
        <v>N/A</v>
      </c>
    </row>
    <row r="75" spans="2:103" x14ac:dyDescent="0.25">
      <c r="B75" s="2"/>
      <c r="C75" s="6"/>
      <c r="D75" s="6"/>
      <c r="E75" s="7"/>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5"/>
      <c r="BA75" s="5"/>
      <c r="BB75" s="5"/>
      <c r="BC75" s="5"/>
      <c r="BD75" s="5">
        <f t="shared" si="89"/>
        <v>0</v>
      </c>
      <c r="BE75" s="2"/>
      <c r="BF75" s="2" t="str">
        <f t="shared" si="90"/>
        <v>Menos Horas</v>
      </c>
      <c r="BG75" s="2" t="str">
        <f t="shared" si="91"/>
        <v>Carga Lectiva Insuficiente</v>
      </c>
      <c r="BH75" s="16" t="str">
        <f t="shared" si="92"/>
        <v>Cumple</v>
      </c>
      <c r="BI75" s="2" t="str">
        <f t="shared" si="93"/>
        <v>Cumple</v>
      </c>
      <c r="BJ75" s="16" t="str">
        <f t="shared" si="94"/>
        <v>Cumple</v>
      </c>
      <c r="BK75" s="16" t="str">
        <f t="shared" si="95"/>
        <v>N/A</v>
      </c>
      <c r="BL75" s="16" t="str">
        <f t="shared" si="96"/>
        <v>N/A</v>
      </c>
      <c r="BM75" s="16" t="str">
        <f t="shared" si="97"/>
        <v>N/A</v>
      </c>
      <c r="BN75" s="16" t="str">
        <f t="shared" si="98"/>
        <v>N/A</v>
      </c>
      <c r="BO75" s="16" t="str">
        <f t="shared" si="99"/>
        <v>N/A</v>
      </c>
      <c r="BP75" s="16" t="str">
        <f t="shared" si="100"/>
        <v>N/A</v>
      </c>
      <c r="BQ75" s="16" t="str">
        <f t="shared" si="101"/>
        <v>N/A</v>
      </c>
      <c r="BR75" s="16" t="str">
        <f t="shared" si="102"/>
        <v>N/A</v>
      </c>
      <c r="BS75" s="16" t="str">
        <f t="shared" si="103"/>
        <v>N/A</v>
      </c>
      <c r="BT75" s="16" t="str">
        <f t="shared" si="104"/>
        <v>N/A</v>
      </c>
      <c r="BU75" s="16" t="str">
        <f t="shared" si="105"/>
        <v>N/A</v>
      </c>
      <c r="BV75" s="16" t="str">
        <f t="shared" si="106"/>
        <v>N/A</v>
      </c>
      <c r="BW75" s="16" t="str">
        <f t="shared" si="107"/>
        <v>N/A</v>
      </c>
      <c r="BX75" s="16" t="str">
        <f t="shared" si="108"/>
        <v>N/A</v>
      </c>
      <c r="BY75" s="16" t="str">
        <f t="shared" si="109"/>
        <v>N/A</v>
      </c>
      <c r="BZ75" s="16" t="str">
        <f t="shared" si="110"/>
        <v>N/A</v>
      </c>
      <c r="CA75" s="16" t="str">
        <f t="shared" si="111"/>
        <v>N/A</v>
      </c>
      <c r="CB75" s="16" t="str">
        <f t="shared" si="112"/>
        <v>N/A</v>
      </c>
      <c r="CC75" s="16" t="str">
        <f t="shared" si="113"/>
        <v>N/A</v>
      </c>
      <c r="CD75" s="16" t="str">
        <f t="shared" si="114"/>
        <v>N/A</v>
      </c>
      <c r="CE75" s="16" t="str">
        <f t="shared" si="115"/>
        <v>N/A</v>
      </c>
      <c r="CF75" s="16" t="str">
        <f t="shared" si="116"/>
        <v>N/A</v>
      </c>
      <c r="CG75" s="16" t="str">
        <f t="shared" si="117"/>
        <v>N/A</v>
      </c>
      <c r="CH75" s="16" t="str">
        <f t="shared" si="118"/>
        <v>N/A</v>
      </c>
      <c r="CI75" s="16" t="str">
        <f t="shared" si="119"/>
        <v>N/A</v>
      </c>
      <c r="CJ75" s="16" t="str">
        <f t="shared" si="120"/>
        <v>N/A</v>
      </c>
      <c r="CK75" s="16" t="str">
        <f t="shared" si="121"/>
        <v>N/A</v>
      </c>
      <c r="CL75" s="16" t="str">
        <f t="shared" si="122"/>
        <v>N/A</v>
      </c>
      <c r="CM75" s="16" t="str">
        <f t="shared" si="123"/>
        <v>N/A</v>
      </c>
      <c r="CN75" s="16" t="str">
        <f t="shared" si="124"/>
        <v>N/A</v>
      </c>
      <c r="CO75" s="16" t="str">
        <f t="shared" si="125"/>
        <v>N/A</v>
      </c>
      <c r="CP75" s="16" t="str">
        <f t="shared" si="126"/>
        <v>N/A</v>
      </c>
      <c r="CQ75" s="16" t="str">
        <f t="shared" si="127"/>
        <v>N/A</v>
      </c>
      <c r="CR75" s="16" t="str">
        <f t="shared" si="128"/>
        <v>N/A</v>
      </c>
      <c r="CS75" s="16" t="str">
        <f t="shared" si="129"/>
        <v>N/A</v>
      </c>
      <c r="CT75" s="16" t="str">
        <f t="shared" si="130"/>
        <v>N/A</v>
      </c>
      <c r="CU75" s="16" t="str">
        <f t="shared" si="131"/>
        <v>N/A</v>
      </c>
      <c r="CV75" s="16" t="str">
        <f t="shared" si="132"/>
        <v>N/A</v>
      </c>
      <c r="CW75" s="16" t="str">
        <f t="shared" si="133"/>
        <v>N/A</v>
      </c>
      <c r="CX75" s="16" t="str">
        <f t="shared" si="134"/>
        <v>N/A</v>
      </c>
      <c r="CY75" s="16" t="str">
        <f t="shared" si="135"/>
        <v>N/A</v>
      </c>
    </row>
    <row r="76" spans="2:103" x14ac:dyDescent="0.25">
      <c r="B76" s="2"/>
      <c r="C76" s="6"/>
      <c r="D76" s="6"/>
      <c r="E76" s="7"/>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5"/>
      <c r="BA76" s="5"/>
      <c r="BB76" s="5"/>
      <c r="BC76" s="5"/>
      <c r="BD76" s="5">
        <f t="shared" si="89"/>
        <v>0</v>
      </c>
      <c r="BE76" s="2"/>
      <c r="BF76" s="2" t="str">
        <f t="shared" si="90"/>
        <v>Menos Horas</v>
      </c>
      <c r="BG76" s="2" t="str">
        <f t="shared" si="91"/>
        <v>Carga Lectiva Insuficiente</v>
      </c>
      <c r="BH76" s="16" t="str">
        <f t="shared" si="92"/>
        <v>Cumple</v>
      </c>
      <c r="BI76" s="2" t="str">
        <f t="shared" si="93"/>
        <v>Cumple</v>
      </c>
      <c r="BJ76" s="16" t="str">
        <f t="shared" si="94"/>
        <v>Cumple</v>
      </c>
      <c r="BK76" s="16" t="str">
        <f t="shared" si="95"/>
        <v>N/A</v>
      </c>
      <c r="BL76" s="16" t="str">
        <f t="shared" si="96"/>
        <v>N/A</v>
      </c>
      <c r="BM76" s="16" t="str">
        <f t="shared" si="97"/>
        <v>N/A</v>
      </c>
      <c r="BN76" s="16" t="str">
        <f t="shared" si="98"/>
        <v>N/A</v>
      </c>
      <c r="BO76" s="16" t="str">
        <f t="shared" si="99"/>
        <v>N/A</v>
      </c>
      <c r="BP76" s="16" t="str">
        <f t="shared" si="100"/>
        <v>N/A</v>
      </c>
      <c r="BQ76" s="16" t="str">
        <f t="shared" si="101"/>
        <v>N/A</v>
      </c>
      <c r="BR76" s="16" t="str">
        <f t="shared" si="102"/>
        <v>N/A</v>
      </c>
      <c r="BS76" s="16" t="str">
        <f t="shared" si="103"/>
        <v>N/A</v>
      </c>
      <c r="BT76" s="16" t="str">
        <f t="shared" si="104"/>
        <v>N/A</v>
      </c>
      <c r="BU76" s="16" t="str">
        <f t="shared" si="105"/>
        <v>N/A</v>
      </c>
      <c r="BV76" s="16" t="str">
        <f t="shared" si="106"/>
        <v>N/A</v>
      </c>
      <c r="BW76" s="16" t="str">
        <f t="shared" si="107"/>
        <v>N/A</v>
      </c>
      <c r="BX76" s="16" t="str">
        <f t="shared" si="108"/>
        <v>N/A</v>
      </c>
      <c r="BY76" s="16" t="str">
        <f t="shared" si="109"/>
        <v>N/A</v>
      </c>
      <c r="BZ76" s="16" t="str">
        <f t="shared" si="110"/>
        <v>N/A</v>
      </c>
      <c r="CA76" s="16" t="str">
        <f t="shared" si="111"/>
        <v>N/A</v>
      </c>
      <c r="CB76" s="16" t="str">
        <f t="shared" si="112"/>
        <v>N/A</v>
      </c>
      <c r="CC76" s="16" t="str">
        <f t="shared" si="113"/>
        <v>N/A</v>
      </c>
      <c r="CD76" s="16" t="str">
        <f t="shared" si="114"/>
        <v>N/A</v>
      </c>
      <c r="CE76" s="16" t="str">
        <f t="shared" si="115"/>
        <v>N/A</v>
      </c>
      <c r="CF76" s="16" t="str">
        <f t="shared" si="116"/>
        <v>N/A</v>
      </c>
      <c r="CG76" s="16" t="str">
        <f t="shared" si="117"/>
        <v>N/A</v>
      </c>
      <c r="CH76" s="16" t="str">
        <f t="shared" si="118"/>
        <v>N/A</v>
      </c>
      <c r="CI76" s="16" t="str">
        <f t="shared" si="119"/>
        <v>N/A</v>
      </c>
      <c r="CJ76" s="16" t="str">
        <f t="shared" si="120"/>
        <v>N/A</v>
      </c>
      <c r="CK76" s="16" t="str">
        <f t="shared" si="121"/>
        <v>N/A</v>
      </c>
      <c r="CL76" s="16" t="str">
        <f t="shared" si="122"/>
        <v>N/A</v>
      </c>
      <c r="CM76" s="16" t="str">
        <f t="shared" si="123"/>
        <v>N/A</v>
      </c>
      <c r="CN76" s="16" t="str">
        <f t="shared" si="124"/>
        <v>N/A</v>
      </c>
      <c r="CO76" s="16" t="str">
        <f t="shared" si="125"/>
        <v>N/A</v>
      </c>
      <c r="CP76" s="16" t="str">
        <f t="shared" si="126"/>
        <v>N/A</v>
      </c>
      <c r="CQ76" s="16" t="str">
        <f t="shared" si="127"/>
        <v>N/A</v>
      </c>
      <c r="CR76" s="16" t="str">
        <f t="shared" si="128"/>
        <v>N/A</v>
      </c>
      <c r="CS76" s="16" t="str">
        <f t="shared" si="129"/>
        <v>N/A</v>
      </c>
      <c r="CT76" s="16" t="str">
        <f t="shared" si="130"/>
        <v>N/A</v>
      </c>
      <c r="CU76" s="16" t="str">
        <f t="shared" si="131"/>
        <v>N/A</v>
      </c>
      <c r="CV76" s="16" t="str">
        <f t="shared" si="132"/>
        <v>N/A</v>
      </c>
      <c r="CW76" s="16" t="str">
        <f t="shared" si="133"/>
        <v>N/A</v>
      </c>
      <c r="CX76" s="16" t="str">
        <f t="shared" si="134"/>
        <v>N/A</v>
      </c>
      <c r="CY76" s="16" t="str">
        <f t="shared" si="135"/>
        <v>N/A</v>
      </c>
    </row>
    <row r="77" spans="2:103" x14ac:dyDescent="0.25">
      <c r="B77" s="2"/>
      <c r="C77" s="6"/>
      <c r="D77" s="6"/>
      <c r="E77" s="7"/>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5"/>
      <c r="BA77" s="5"/>
      <c r="BB77" s="5"/>
      <c r="BC77" s="5"/>
      <c r="BD77" s="5">
        <f t="shared" si="89"/>
        <v>0</v>
      </c>
      <c r="BE77" s="2"/>
      <c r="BF77" s="2" t="str">
        <f t="shared" si="90"/>
        <v>Menos Horas</v>
      </c>
      <c r="BG77" s="2" t="str">
        <f t="shared" si="91"/>
        <v>Carga Lectiva Insuficiente</v>
      </c>
      <c r="BH77" s="16" t="str">
        <f t="shared" si="92"/>
        <v>Cumple</v>
      </c>
      <c r="BI77" s="2" t="str">
        <f t="shared" si="93"/>
        <v>Cumple</v>
      </c>
      <c r="BJ77" s="16" t="str">
        <f t="shared" si="94"/>
        <v>Cumple</v>
      </c>
      <c r="BK77" s="16" t="str">
        <f t="shared" si="95"/>
        <v>N/A</v>
      </c>
      <c r="BL77" s="16" t="str">
        <f t="shared" si="96"/>
        <v>N/A</v>
      </c>
      <c r="BM77" s="16" t="str">
        <f t="shared" si="97"/>
        <v>N/A</v>
      </c>
      <c r="BN77" s="16" t="str">
        <f t="shared" si="98"/>
        <v>N/A</v>
      </c>
      <c r="BO77" s="16" t="str">
        <f t="shared" si="99"/>
        <v>N/A</v>
      </c>
      <c r="BP77" s="16" t="str">
        <f t="shared" si="100"/>
        <v>N/A</v>
      </c>
      <c r="BQ77" s="16" t="str">
        <f t="shared" si="101"/>
        <v>N/A</v>
      </c>
      <c r="BR77" s="16" t="str">
        <f t="shared" si="102"/>
        <v>N/A</v>
      </c>
      <c r="BS77" s="16" t="str">
        <f t="shared" si="103"/>
        <v>N/A</v>
      </c>
      <c r="BT77" s="16" t="str">
        <f t="shared" si="104"/>
        <v>N/A</v>
      </c>
      <c r="BU77" s="16" t="str">
        <f t="shared" si="105"/>
        <v>N/A</v>
      </c>
      <c r="BV77" s="16" t="str">
        <f t="shared" si="106"/>
        <v>N/A</v>
      </c>
      <c r="BW77" s="16" t="str">
        <f t="shared" si="107"/>
        <v>N/A</v>
      </c>
      <c r="BX77" s="16" t="str">
        <f t="shared" si="108"/>
        <v>N/A</v>
      </c>
      <c r="BY77" s="16" t="str">
        <f t="shared" si="109"/>
        <v>N/A</v>
      </c>
      <c r="BZ77" s="16" t="str">
        <f t="shared" si="110"/>
        <v>N/A</v>
      </c>
      <c r="CA77" s="16" t="str">
        <f t="shared" si="111"/>
        <v>N/A</v>
      </c>
      <c r="CB77" s="16" t="str">
        <f t="shared" si="112"/>
        <v>N/A</v>
      </c>
      <c r="CC77" s="16" t="str">
        <f t="shared" si="113"/>
        <v>N/A</v>
      </c>
      <c r="CD77" s="16" t="str">
        <f t="shared" si="114"/>
        <v>N/A</v>
      </c>
      <c r="CE77" s="16" t="str">
        <f t="shared" si="115"/>
        <v>N/A</v>
      </c>
      <c r="CF77" s="16" t="str">
        <f t="shared" si="116"/>
        <v>N/A</v>
      </c>
      <c r="CG77" s="16" t="str">
        <f t="shared" si="117"/>
        <v>N/A</v>
      </c>
      <c r="CH77" s="16" t="str">
        <f t="shared" si="118"/>
        <v>N/A</v>
      </c>
      <c r="CI77" s="16" t="str">
        <f t="shared" si="119"/>
        <v>N/A</v>
      </c>
      <c r="CJ77" s="16" t="str">
        <f t="shared" si="120"/>
        <v>N/A</v>
      </c>
      <c r="CK77" s="16" t="str">
        <f t="shared" si="121"/>
        <v>N/A</v>
      </c>
      <c r="CL77" s="16" t="str">
        <f t="shared" si="122"/>
        <v>N/A</v>
      </c>
      <c r="CM77" s="16" t="str">
        <f t="shared" si="123"/>
        <v>N/A</v>
      </c>
      <c r="CN77" s="16" t="str">
        <f t="shared" si="124"/>
        <v>N/A</v>
      </c>
      <c r="CO77" s="16" t="str">
        <f t="shared" si="125"/>
        <v>N/A</v>
      </c>
      <c r="CP77" s="16" t="str">
        <f t="shared" si="126"/>
        <v>N/A</v>
      </c>
      <c r="CQ77" s="16" t="str">
        <f t="shared" si="127"/>
        <v>N/A</v>
      </c>
      <c r="CR77" s="16" t="str">
        <f t="shared" si="128"/>
        <v>N/A</v>
      </c>
      <c r="CS77" s="16" t="str">
        <f t="shared" si="129"/>
        <v>N/A</v>
      </c>
      <c r="CT77" s="16" t="str">
        <f t="shared" si="130"/>
        <v>N/A</v>
      </c>
      <c r="CU77" s="16" t="str">
        <f t="shared" si="131"/>
        <v>N/A</v>
      </c>
      <c r="CV77" s="16" t="str">
        <f t="shared" si="132"/>
        <v>N/A</v>
      </c>
      <c r="CW77" s="16" t="str">
        <f t="shared" si="133"/>
        <v>N/A</v>
      </c>
      <c r="CX77" s="16" t="str">
        <f t="shared" si="134"/>
        <v>N/A</v>
      </c>
      <c r="CY77" s="16" t="str">
        <f t="shared" si="135"/>
        <v>N/A</v>
      </c>
    </row>
    <row r="78" spans="2:103" x14ac:dyDescent="0.25">
      <c r="B78" s="2"/>
      <c r="C78" s="6"/>
      <c r="D78" s="6"/>
      <c r="E78" s="7"/>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5"/>
      <c r="BA78" s="5"/>
      <c r="BB78" s="5"/>
      <c r="BC78" s="5"/>
      <c r="BD78" s="5">
        <f t="shared" si="89"/>
        <v>0</v>
      </c>
      <c r="BE78" s="2"/>
      <c r="BF78" s="2" t="str">
        <f t="shared" si="90"/>
        <v>Menos Horas</v>
      </c>
      <c r="BG78" s="2" t="str">
        <f t="shared" si="91"/>
        <v>Carga Lectiva Insuficiente</v>
      </c>
      <c r="BH78" s="16" t="str">
        <f t="shared" si="92"/>
        <v>Cumple</v>
      </c>
      <c r="BI78" s="2" t="str">
        <f t="shared" si="93"/>
        <v>Cumple</v>
      </c>
      <c r="BJ78" s="16" t="str">
        <f t="shared" si="94"/>
        <v>Cumple</v>
      </c>
      <c r="BK78" s="16" t="str">
        <f t="shared" si="95"/>
        <v>N/A</v>
      </c>
      <c r="BL78" s="16" t="str">
        <f t="shared" si="96"/>
        <v>N/A</v>
      </c>
      <c r="BM78" s="16" t="str">
        <f t="shared" si="97"/>
        <v>N/A</v>
      </c>
      <c r="BN78" s="16" t="str">
        <f t="shared" si="98"/>
        <v>N/A</v>
      </c>
      <c r="BO78" s="16" t="str">
        <f t="shared" si="99"/>
        <v>N/A</v>
      </c>
      <c r="BP78" s="16" t="str">
        <f t="shared" si="100"/>
        <v>N/A</v>
      </c>
      <c r="BQ78" s="16" t="str">
        <f t="shared" si="101"/>
        <v>N/A</v>
      </c>
      <c r="BR78" s="16" t="str">
        <f t="shared" si="102"/>
        <v>N/A</v>
      </c>
      <c r="BS78" s="16" t="str">
        <f t="shared" si="103"/>
        <v>N/A</v>
      </c>
      <c r="BT78" s="16" t="str">
        <f t="shared" si="104"/>
        <v>N/A</v>
      </c>
      <c r="BU78" s="16" t="str">
        <f t="shared" si="105"/>
        <v>N/A</v>
      </c>
      <c r="BV78" s="16" t="str">
        <f t="shared" si="106"/>
        <v>N/A</v>
      </c>
      <c r="BW78" s="16" t="str">
        <f t="shared" si="107"/>
        <v>N/A</v>
      </c>
      <c r="BX78" s="16" t="str">
        <f t="shared" si="108"/>
        <v>N/A</v>
      </c>
      <c r="BY78" s="16" t="str">
        <f t="shared" si="109"/>
        <v>N/A</v>
      </c>
      <c r="BZ78" s="16" t="str">
        <f t="shared" si="110"/>
        <v>N/A</v>
      </c>
      <c r="CA78" s="16" t="str">
        <f t="shared" si="111"/>
        <v>N/A</v>
      </c>
      <c r="CB78" s="16" t="str">
        <f t="shared" si="112"/>
        <v>N/A</v>
      </c>
      <c r="CC78" s="16" t="str">
        <f t="shared" si="113"/>
        <v>N/A</v>
      </c>
      <c r="CD78" s="16" t="str">
        <f t="shared" si="114"/>
        <v>N/A</v>
      </c>
      <c r="CE78" s="16" t="str">
        <f t="shared" si="115"/>
        <v>N/A</v>
      </c>
      <c r="CF78" s="16" t="str">
        <f t="shared" si="116"/>
        <v>N/A</v>
      </c>
      <c r="CG78" s="16" t="str">
        <f t="shared" si="117"/>
        <v>N/A</v>
      </c>
      <c r="CH78" s="16" t="str">
        <f t="shared" si="118"/>
        <v>N/A</v>
      </c>
      <c r="CI78" s="16" t="str">
        <f t="shared" si="119"/>
        <v>N/A</v>
      </c>
      <c r="CJ78" s="16" t="str">
        <f t="shared" si="120"/>
        <v>N/A</v>
      </c>
      <c r="CK78" s="16" t="str">
        <f t="shared" si="121"/>
        <v>N/A</v>
      </c>
      <c r="CL78" s="16" t="str">
        <f t="shared" si="122"/>
        <v>N/A</v>
      </c>
      <c r="CM78" s="16" t="str">
        <f t="shared" si="123"/>
        <v>N/A</v>
      </c>
      <c r="CN78" s="16" t="str">
        <f t="shared" si="124"/>
        <v>N/A</v>
      </c>
      <c r="CO78" s="16" t="str">
        <f t="shared" si="125"/>
        <v>N/A</v>
      </c>
      <c r="CP78" s="16" t="str">
        <f t="shared" si="126"/>
        <v>N/A</v>
      </c>
      <c r="CQ78" s="16" t="str">
        <f t="shared" si="127"/>
        <v>N/A</v>
      </c>
      <c r="CR78" s="16" t="str">
        <f t="shared" si="128"/>
        <v>N/A</v>
      </c>
      <c r="CS78" s="16" t="str">
        <f t="shared" si="129"/>
        <v>N/A</v>
      </c>
      <c r="CT78" s="16" t="str">
        <f t="shared" si="130"/>
        <v>N/A</v>
      </c>
      <c r="CU78" s="16" t="str">
        <f t="shared" si="131"/>
        <v>N/A</v>
      </c>
      <c r="CV78" s="16" t="str">
        <f t="shared" si="132"/>
        <v>N/A</v>
      </c>
      <c r="CW78" s="16" t="str">
        <f t="shared" si="133"/>
        <v>N/A</v>
      </c>
      <c r="CX78" s="16" t="str">
        <f t="shared" si="134"/>
        <v>N/A</v>
      </c>
      <c r="CY78" s="16" t="str">
        <f t="shared" si="135"/>
        <v>N/A</v>
      </c>
    </row>
    <row r="79" spans="2:103" x14ac:dyDescent="0.25">
      <c r="B79" s="2"/>
      <c r="C79" s="6"/>
      <c r="D79" s="6"/>
      <c r="E79" s="7"/>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5"/>
      <c r="BA79" s="5"/>
      <c r="BB79" s="5"/>
      <c r="BC79" s="5"/>
      <c r="BD79" s="5">
        <f t="shared" si="89"/>
        <v>0</v>
      </c>
      <c r="BE79" s="2"/>
      <c r="BF79" s="2" t="str">
        <f t="shared" si="90"/>
        <v>Menos Horas</v>
      </c>
      <c r="BG79" s="2" t="str">
        <f t="shared" si="91"/>
        <v>Carga Lectiva Insuficiente</v>
      </c>
      <c r="BH79" s="16" t="str">
        <f t="shared" si="92"/>
        <v>Cumple</v>
      </c>
      <c r="BI79" s="2" t="str">
        <f t="shared" si="93"/>
        <v>Cumple</v>
      </c>
      <c r="BJ79" s="16" t="str">
        <f t="shared" si="94"/>
        <v>Cumple</v>
      </c>
      <c r="BK79" s="16" t="str">
        <f t="shared" si="95"/>
        <v>N/A</v>
      </c>
      <c r="BL79" s="16" t="str">
        <f t="shared" si="96"/>
        <v>N/A</v>
      </c>
      <c r="BM79" s="16" t="str">
        <f t="shared" si="97"/>
        <v>N/A</v>
      </c>
      <c r="BN79" s="16" t="str">
        <f t="shared" si="98"/>
        <v>N/A</v>
      </c>
      <c r="BO79" s="16" t="str">
        <f t="shared" si="99"/>
        <v>N/A</v>
      </c>
      <c r="BP79" s="16" t="str">
        <f t="shared" si="100"/>
        <v>N/A</v>
      </c>
      <c r="BQ79" s="16" t="str">
        <f t="shared" si="101"/>
        <v>N/A</v>
      </c>
      <c r="BR79" s="16" t="str">
        <f t="shared" si="102"/>
        <v>N/A</v>
      </c>
      <c r="BS79" s="16" t="str">
        <f t="shared" si="103"/>
        <v>N/A</v>
      </c>
      <c r="BT79" s="16" t="str">
        <f t="shared" si="104"/>
        <v>N/A</v>
      </c>
      <c r="BU79" s="16" t="str">
        <f t="shared" si="105"/>
        <v>N/A</v>
      </c>
      <c r="BV79" s="16" t="str">
        <f t="shared" si="106"/>
        <v>N/A</v>
      </c>
      <c r="BW79" s="16" t="str">
        <f t="shared" si="107"/>
        <v>N/A</v>
      </c>
      <c r="BX79" s="16" t="str">
        <f t="shared" si="108"/>
        <v>N/A</v>
      </c>
      <c r="BY79" s="16" t="str">
        <f t="shared" si="109"/>
        <v>N/A</v>
      </c>
      <c r="BZ79" s="16" t="str">
        <f t="shared" si="110"/>
        <v>N/A</v>
      </c>
      <c r="CA79" s="16" t="str">
        <f t="shared" si="111"/>
        <v>N/A</v>
      </c>
      <c r="CB79" s="16" t="str">
        <f t="shared" si="112"/>
        <v>N/A</v>
      </c>
      <c r="CC79" s="16" t="str">
        <f t="shared" si="113"/>
        <v>N/A</v>
      </c>
      <c r="CD79" s="16" t="str">
        <f t="shared" si="114"/>
        <v>N/A</v>
      </c>
      <c r="CE79" s="16" t="str">
        <f t="shared" si="115"/>
        <v>N/A</v>
      </c>
      <c r="CF79" s="16" t="str">
        <f t="shared" si="116"/>
        <v>N/A</v>
      </c>
      <c r="CG79" s="16" t="str">
        <f t="shared" si="117"/>
        <v>N/A</v>
      </c>
      <c r="CH79" s="16" t="str">
        <f t="shared" si="118"/>
        <v>N/A</v>
      </c>
      <c r="CI79" s="16" t="str">
        <f t="shared" si="119"/>
        <v>N/A</v>
      </c>
      <c r="CJ79" s="16" t="str">
        <f t="shared" si="120"/>
        <v>N/A</v>
      </c>
      <c r="CK79" s="16" t="str">
        <f t="shared" si="121"/>
        <v>N/A</v>
      </c>
      <c r="CL79" s="16" t="str">
        <f t="shared" si="122"/>
        <v>N/A</v>
      </c>
      <c r="CM79" s="16" t="str">
        <f t="shared" si="123"/>
        <v>N/A</v>
      </c>
      <c r="CN79" s="16" t="str">
        <f t="shared" si="124"/>
        <v>N/A</v>
      </c>
      <c r="CO79" s="16" t="str">
        <f t="shared" si="125"/>
        <v>N/A</v>
      </c>
      <c r="CP79" s="16" t="str">
        <f t="shared" si="126"/>
        <v>N/A</v>
      </c>
      <c r="CQ79" s="16" t="str">
        <f t="shared" si="127"/>
        <v>N/A</v>
      </c>
      <c r="CR79" s="16" t="str">
        <f t="shared" si="128"/>
        <v>N/A</v>
      </c>
      <c r="CS79" s="16" t="str">
        <f t="shared" si="129"/>
        <v>N/A</v>
      </c>
      <c r="CT79" s="16" t="str">
        <f t="shared" si="130"/>
        <v>N/A</v>
      </c>
      <c r="CU79" s="16" t="str">
        <f t="shared" si="131"/>
        <v>N/A</v>
      </c>
      <c r="CV79" s="16" t="str">
        <f t="shared" si="132"/>
        <v>N/A</v>
      </c>
      <c r="CW79" s="16" t="str">
        <f t="shared" si="133"/>
        <v>N/A</v>
      </c>
      <c r="CX79" s="16" t="str">
        <f t="shared" si="134"/>
        <v>N/A</v>
      </c>
      <c r="CY79" s="16" t="str">
        <f t="shared" si="135"/>
        <v>N/A</v>
      </c>
    </row>
    <row r="80" spans="2:103" x14ac:dyDescent="0.25">
      <c r="B80" s="2"/>
      <c r="C80" s="6"/>
      <c r="D80" s="6"/>
      <c r="E80" s="7"/>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5"/>
      <c r="BA80" s="5"/>
      <c r="BB80" s="5"/>
      <c r="BC80" s="5"/>
      <c r="BD80" s="5">
        <f t="shared" si="89"/>
        <v>0</v>
      </c>
      <c r="BE80" s="2"/>
      <c r="BF80" s="2" t="str">
        <f t="shared" si="90"/>
        <v>Menos Horas</v>
      </c>
      <c r="BG80" s="2" t="str">
        <f t="shared" si="91"/>
        <v>Carga Lectiva Insuficiente</v>
      </c>
      <c r="BH80" s="16" t="str">
        <f t="shared" si="92"/>
        <v>Cumple</v>
      </c>
      <c r="BI80" s="2" t="str">
        <f t="shared" si="93"/>
        <v>Cumple</v>
      </c>
      <c r="BJ80" s="16" t="str">
        <f t="shared" si="94"/>
        <v>Cumple</v>
      </c>
      <c r="BK80" s="16" t="str">
        <f t="shared" si="95"/>
        <v>N/A</v>
      </c>
      <c r="BL80" s="16" t="str">
        <f t="shared" si="96"/>
        <v>N/A</v>
      </c>
      <c r="BM80" s="16" t="str">
        <f t="shared" si="97"/>
        <v>N/A</v>
      </c>
      <c r="BN80" s="16" t="str">
        <f t="shared" si="98"/>
        <v>N/A</v>
      </c>
      <c r="BO80" s="16" t="str">
        <f t="shared" si="99"/>
        <v>N/A</v>
      </c>
      <c r="BP80" s="16" t="str">
        <f t="shared" si="100"/>
        <v>N/A</v>
      </c>
      <c r="BQ80" s="16" t="str">
        <f t="shared" si="101"/>
        <v>N/A</v>
      </c>
      <c r="BR80" s="16" t="str">
        <f t="shared" si="102"/>
        <v>N/A</v>
      </c>
      <c r="BS80" s="16" t="str">
        <f t="shared" si="103"/>
        <v>N/A</v>
      </c>
      <c r="BT80" s="16" t="str">
        <f t="shared" si="104"/>
        <v>N/A</v>
      </c>
      <c r="BU80" s="16" t="str">
        <f t="shared" si="105"/>
        <v>N/A</v>
      </c>
      <c r="BV80" s="16" t="str">
        <f t="shared" si="106"/>
        <v>N/A</v>
      </c>
      <c r="BW80" s="16" t="str">
        <f t="shared" si="107"/>
        <v>N/A</v>
      </c>
      <c r="BX80" s="16" t="str">
        <f t="shared" si="108"/>
        <v>N/A</v>
      </c>
      <c r="BY80" s="16" t="str">
        <f t="shared" si="109"/>
        <v>N/A</v>
      </c>
      <c r="BZ80" s="16" t="str">
        <f t="shared" si="110"/>
        <v>N/A</v>
      </c>
      <c r="CA80" s="16" t="str">
        <f t="shared" si="111"/>
        <v>N/A</v>
      </c>
      <c r="CB80" s="16" t="str">
        <f t="shared" si="112"/>
        <v>N/A</v>
      </c>
      <c r="CC80" s="16" t="str">
        <f t="shared" si="113"/>
        <v>N/A</v>
      </c>
      <c r="CD80" s="16" t="str">
        <f t="shared" si="114"/>
        <v>N/A</v>
      </c>
      <c r="CE80" s="16" t="str">
        <f t="shared" si="115"/>
        <v>N/A</v>
      </c>
      <c r="CF80" s="16" t="str">
        <f t="shared" si="116"/>
        <v>N/A</v>
      </c>
      <c r="CG80" s="16" t="str">
        <f t="shared" si="117"/>
        <v>N/A</v>
      </c>
      <c r="CH80" s="16" t="str">
        <f t="shared" si="118"/>
        <v>N/A</v>
      </c>
      <c r="CI80" s="16" t="str">
        <f t="shared" si="119"/>
        <v>N/A</v>
      </c>
      <c r="CJ80" s="16" t="str">
        <f t="shared" si="120"/>
        <v>N/A</v>
      </c>
      <c r="CK80" s="16" t="str">
        <f t="shared" si="121"/>
        <v>N/A</v>
      </c>
      <c r="CL80" s="16" t="str">
        <f t="shared" si="122"/>
        <v>N/A</v>
      </c>
      <c r="CM80" s="16" t="str">
        <f t="shared" si="123"/>
        <v>N/A</v>
      </c>
      <c r="CN80" s="16" t="str">
        <f t="shared" si="124"/>
        <v>N/A</v>
      </c>
      <c r="CO80" s="16" t="str">
        <f t="shared" si="125"/>
        <v>N/A</v>
      </c>
      <c r="CP80" s="16" t="str">
        <f t="shared" si="126"/>
        <v>N/A</v>
      </c>
      <c r="CQ80" s="16" t="str">
        <f t="shared" si="127"/>
        <v>N/A</v>
      </c>
      <c r="CR80" s="16" t="str">
        <f t="shared" si="128"/>
        <v>N/A</v>
      </c>
      <c r="CS80" s="16" t="str">
        <f t="shared" si="129"/>
        <v>N/A</v>
      </c>
      <c r="CT80" s="16" t="str">
        <f t="shared" si="130"/>
        <v>N/A</v>
      </c>
      <c r="CU80" s="16" t="str">
        <f t="shared" si="131"/>
        <v>N/A</v>
      </c>
      <c r="CV80" s="16" t="str">
        <f t="shared" si="132"/>
        <v>N/A</v>
      </c>
      <c r="CW80" s="16" t="str">
        <f t="shared" si="133"/>
        <v>N/A</v>
      </c>
      <c r="CX80" s="16" t="str">
        <f t="shared" si="134"/>
        <v>N/A</v>
      </c>
      <c r="CY80" s="16" t="str">
        <f t="shared" si="135"/>
        <v>N/A</v>
      </c>
    </row>
    <row r="81" spans="2:103" x14ac:dyDescent="0.25">
      <c r="B81" s="2"/>
      <c r="C81" s="6"/>
      <c r="D81" s="6"/>
      <c r="E81" s="7"/>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5"/>
      <c r="BA81" s="5"/>
      <c r="BB81" s="5"/>
      <c r="BC81" s="5"/>
      <c r="BD81" s="5">
        <f t="shared" si="89"/>
        <v>0</v>
      </c>
      <c r="BE81" s="2"/>
      <c r="BF81" s="2" t="str">
        <f t="shared" si="90"/>
        <v>Menos Horas</v>
      </c>
      <c r="BG81" s="2" t="str">
        <f t="shared" si="91"/>
        <v>Carga Lectiva Insuficiente</v>
      </c>
      <c r="BH81" s="16" t="str">
        <f t="shared" si="92"/>
        <v>Cumple</v>
      </c>
      <c r="BI81" s="2" t="str">
        <f t="shared" si="93"/>
        <v>Cumple</v>
      </c>
      <c r="BJ81" s="16" t="str">
        <f t="shared" si="94"/>
        <v>Cumple</v>
      </c>
      <c r="BK81" s="16" t="str">
        <f t="shared" si="95"/>
        <v>N/A</v>
      </c>
      <c r="BL81" s="16" t="str">
        <f t="shared" si="96"/>
        <v>N/A</v>
      </c>
      <c r="BM81" s="16" t="str">
        <f t="shared" si="97"/>
        <v>N/A</v>
      </c>
      <c r="BN81" s="16" t="str">
        <f t="shared" si="98"/>
        <v>N/A</v>
      </c>
      <c r="BO81" s="16" t="str">
        <f t="shared" si="99"/>
        <v>N/A</v>
      </c>
      <c r="BP81" s="16" t="str">
        <f t="shared" si="100"/>
        <v>N/A</v>
      </c>
      <c r="BQ81" s="16" t="str">
        <f t="shared" si="101"/>
        <v>N/A</v>
      </c>
      <c r="BR81" s="16" t="str">
        <f t="shared" si="102"/>
        <v>N/A</v>
      </c>
      <c r="BS81" s="16" t="str">
        <f t="shared" si="103"/>
        <v>N/A</v>
      </c>
      <c r="BT81" s="16" t="str">
        <f t="shared" si="104"/>
        <v>N/A</v>
      </c>
      <c r="BU81" s="16" t="str">
        <f t="shared" si="105"/>
        <v>N/A</v>
      </c>
      <c r="BV81" s="16" t="str">
        <f t="shared" si="106"/>
        <v>N/A</v>
      </c>
      <c r="BW81" s="16" t="str">
        <f t="shared" si="107"/>
        <v>N/A</v>
      </c>
      <c r="BX81" s="16" t="str">
        <f t="shared" si="108"/>
        <v>N/A</v>
      </c>
      <c r="BY81" s="16" t="str">
        <f t="shared" si="109"/>
        <v>N/A</v>
      </c>
      <c r="BZ81" s="16" t="str">
        <f t="shared" si="110"/>
        <v>N/A</v>
      </c>
      <c r="CA81" s="16" t="str">
        <f t="shared" si="111"/>
        <v>N/A</v>
      </c>
      <c r="CB81" s="16" t="str">
        <f t="shared" si="112"/>
        <v>N/A</v>
      </c>
      <c r="CC81" s="16" t="str">
        <f t="shared" si="113"/>
        <v>N/A</v>
      </c>
      <c r="CD81" s="16" t="str">
        <f t="shared" si="114"/>
        <v>N/A</v>
      </c>
      <c r="CE81" s="16" t="str">
        <f t="shared" si="115"/>
        <v>N/A</v>
      </c>
      <c r="CF81" s="16" t="str">
        <f t="shared" si="116"/>
        <v>N/A</v>
      </c>
      <c r="CG81" s="16" t="str">
        <f t="shared" si="117"/>
        <v>N/A</v>
      </c>
      <c r="CH81" s="16" t="str">
        <f t="shared" si="118"/>
        <v>N/A</v>
      </c>
      <c r="CI81" s="16" t="str">
        <f t="shared" si="119"/>
        <v>N/A</v>
      </c>
      <c r="CJ81" s="16" t="str">
        <f t="shared" si="120"/>
        <v>N/A</v>
      </c>
      <c r="CK81" s="16" t="str">
        <f t="shared" si="121"/>
        <v>N/A</v>
      </c>
      <c r="CL81" s="16" t="str">
        <f t="shared" si="122"/>
        <v>N/A</v>
      </c>
      <c r="CM81" s="16" t="str">
        <f t="shared" si="123"/>
        <v>N/A</v>
      </c>
      <c r="CN81" s="16" t="str">
        <f t="shared" si="124"/>
        <v>N/A</v>
      </c>
      <c r="CO81" s="16" t="str">
        <f t="shared" si="125"/>
        <v>N/A</v>
      </c>
      <c r="CP81" s="16" t="str">
        <f t="shared" si="126"/>
        <v>N/A</v>
      </c>
      <c r="CQ81" s="16" t="str">
        <f t="shared" si="127"/>
        <v>N/A</v>
      </c>
      <c r="CR81" s="16" t="str">
        <f t="shared" si="128"/>
        <v>N/A</v>
      </c>
      <c r="CS81" s="16" t="str">
        <f t="shared" si="129"/>
        <v>N/A</v>
      </c>
      <c r="CT81" s="16" t="str">
        <f t="shared" si="130"/>
        <v>N/A</v>
      </c>
      <c r="CU81" s="16" t="str">
        <f t="shared" si="131"/>
        <v>N/A</v>
      </c>
      <c r="CV81" s="16" t="str">
        <f t="shared" si="132"/>
        <v>N/A</v>
      </c>
      <c r="CW81" s="16" t="str">
        <f t="shared" si="133"/>
        <v>N/A</v>
      </c>
      <c r="CX81" s="16" t="str">
        <f t="shared" si="134"/>
        <v>N/A</v>
      </c>
      <c r="CY81" s="16" t="str">
        <f t="shared" si="135"/>
        <v>N/A</v>
      </c>
    </row>
    <row r="82" spans="2:103" x14ac:dyDescent="0.25">
      <c r="B82" s="2"/>
      <c r="C82" s="6"/>
      <c r="D82" s="6"/>
      <c r="E82" s="7"/>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5"/>
      <c r="BA82" s="5"/>
      <c r="BB82" s="5"/>
      <c r="BC82" s="5"/>
      <c r="BD82" s="5">
        <f t="shared" si="89"/>
        <v>0</v>
      </c>
      <c r="BE82" s="2"/>
      <c r="BF82" s="2" t="str">
        <f t="shared" si="90"/>
        <v>Menos Horas</v>
      </c>
      <c r="BG82" s="2" t="str">
        <f t="shared" si="91"/>
        <v>Carga Lectiva Insuficiente</v>
      </c>
      <c r="BH82" s="16" t="str">
        <f t="shared" si="92"/>
        <v>Cumple</v>
      </c>
      <c r="BI82" s="2" t="str">
        <f t="shared" si="93"/>
        <v>Cumple</v>
      </c>
      <c r="BJ82" s="16" t="str">
        <f t="shared" si="94"/>
        <v>Cumple</v>
      </c>
      <c r="BK82" s="16" t="str">
        <f t="shared" si="95"/>
        <v>N/A</v>
      </c>
      <c r="BL82" s="16" t="str">
        <f t="shared" si="96"/>
        <v>N/A</v>
      </c>
      <c r="BM82" s="16" t="str">
        <f t="shared" si="97"/>
        <v>N/A</v>
      </c>
      <c r="BN82" s="16" t="str">
        <f t="shared" si="98"/>
        <v>N/A</v>
      </c>
      <c r="BO82" s="16" t="str">
        <f t="shared" si="99"/>
        <v>N/A</v>
      </c>
      <c r="BP82" s="16" t="str">
        <f t="shared" si="100"/>
        <v>N/A</v>
      </c>
      <c r="BQ82" s="16" t="str">
        <f t="shared" si="101"/>
        <v>N/A</v>
      </c>
      <c r="BR82" s="16" t="str">
        <f t="shared" si="102"/>
        <v>N/A</v>
      </c>
      <c r="BS82" s="16" t="str">
        <f t="shared" si="103"/>
        <v>N/A</v>
      </c>
      <c r="BT82" s="16" t="str">
        <f t="shared" si="104"/>
        <v>N/A</v>
      </c>
      <c r="BU82" s="16" t="str">
        <f t="shared" si="105"/>
        <v>N/A</v>
      </c>
      <c r="BV82" s="16" t="str">
        <f t="shared" si="106"/>
        <v>N/A</v>
      </c>
      <c r="BW82" s="16" t="str">
        <f t="shared" si="107"/>
        <v>N/A</v>
      </c>
      <c r="BX82" s="16" t="str">
        <f t="shared" si="108"/>
        <v>N/A</v>
      </c>
      <c r="BY82" s="16" t="str">
        <f t="shared" si="109"/>
        <v>N/A</v>
      </c>
      <c r="BZ82" s="16" t="str">
        <f t="shared" si="110"/>
        <v>N/A</v>
      </c>
      <c r="CA82" s="16" t="str">
        <f t="shared" si="111"/>
        <v>N/A</v>
      </c>
      <c r="CB82" s="16" t="str">
        <f t="shared" si="112"/>
        <v>N/A</v>
      </c>
      <c r="CC82" s="16" t="str">
        <f t="shared" si="113"/>
        <v>N/A</v>
      </c>
      <c r="CD82" s="16" t="str">
        <f t="shared" si="114"/>
        <v>N/A</v>
      </c>
      <c r="CE82" s="16" t="str">
        <f t="shared" si="115"/>
        <v>N/A</v>
      </c>
      <c r="CF82" s="16" t="str">
        <f t="shared" si="116"/>
        <v>N/A</v>
      </c>
      <c r="CG82" s="16" t="str">
        <f t="shared" si="117"/>
        <v>N/A</v>
      </c>
      <c r="CH82" s="16" t="str">
        <f t="shared" si="118"/>
        <v>N/A</v>
      </c>
      <c r="CI82" s="16" t="str">
        <f t="shared" si="119"/>
        <v>N/A</v>
      </c>
      <c r="CJ82" s="16" t="str">
        <f t="shared" si="120"/>
        <v>N/A</v>
      </c>
      <c r="CK82" s="16" t="str">
        <f t="shared" si="121"/>
        <v>N/A</v>
      </c>
      <c r="CL82" s="16" t="str">
        <f t="shared" si="122"/>
        <v>N/A</v>
      </c>
      <c r="CM82" s="16" t="str">
        <f t="shared" si="123"/>
        <v>N/A</v>
      </c>
      <c r="CN82" s="16" t="str">
        <f t="shared" si="124"/>
        <v>N/A</v>
      </c>
      <c r="CO82" s="16" t="str">
        <f t="shared" si="125"/>
        <v>N/A</v>
      </c>
      <c r="CP82" s="16" t="str">
        <f t="shared" si="126"/>
        <v>N/A</v>
      </c>
      <c r="CQ82" s="16" t="str">
        <f t="shared" si="127"/>
        <v>N/A</v>
      </c>
      <c r="CR82" s="16" t="str">
        <f t="shared" si="128"/>
        <v>N/A</v>
      </c>
      <c r="CS82" s="16" t="str">
        <f t="shared" si="129"/>
        <v>N/A</v>
      </c>
      <c r="CT82" s="16" t="str">
        <f t="shared" si="130"/>
        <v>N/A</v>
      </c>
      <c r="CU82" s="16" t="str">
        <f t="shared" si="131"/>
        <v>N/A</v>
      </c>
      <c r="CV82" s="16" t="str">
        <f t="shared" si="132"/>
        <v>N/A</v>
      </c>
      <c r="CW82" s="16" t="str">
        <f t="shared" si="133"/>
        <v>N/A</v>
      </c>
      <c r="CX82" s="16" t="str">
        <f t="shared" si="134"/>
        <v>N/A</v>
      </c>
      <c r="CY82" s="16" t="str">
        <f t="shared" si="135"/>
        <v>N/A</v>
      </c>
    </row>
    <row r="83" spans="2:103" x14ac:dyDescent="0.25">
      <c r="B83" s="2"/>
      <c r="C83" s="6"/>
      <c r="D83" s="6"/>
      <c r="E83" s="7"/>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5"/>
      <c r="BA83" s="5"/>
      <c r="BB83" s="5"/>
      <c r="BC83" s="5"/>
      <c r="BD83" s="5">
        <f t="shared" si="89"/>
        <v>0</v>
      </c>
      <c r="BE83" s="2"/>
      <c r="BF83" s="2" t="str">
        <f t="shared" si="90"/>
        <v>Menos Horas</v>
      </c>
      <c r="BG83" s="2" t="str">
        <f t="shared" si="91"/>
        <v>Carga Lectiva Insuficiente</v>
      </c>
      <c r="BH83" s="16" t="str">
        <f t="shared" si="92"/>
        <v>Cumple</v>
      </c>
      <c r="BI83" s="2" t="str">
        <f t="shared" si="93"/>
        <v>Cumple</v>
      </c>
      <c r="BJ83" s="16" t="str">
        <f t="shared" si="94"/>
        <v>Cumple</v>
      </c>
      <c r="BK83" s="16" t="str">
        <f t="shared" si="95"/>
        <v>N/A</v>
      </c>
      <c r="BL83" s="16" t="str">
        <f t="shared" si="96"/>
        <v>N/A</v>
      </c>
      <c r="BM83" s="16" t="str">
        <f t="shared" si="97"/>
        <v>N/A</v>
      </c>
      <c r="BN83" s="16" t="str">
        <f t="shared" si="98"/>
        <v>N/A</v>
      </c>
      <c r="BO83" s="16" t="str">
        <f t="shared" si="99"/>
        <v>N/A</v>
      </c>
      <c r="BP83" s="16" t="str">
        <f t="shared" si="100"/>
        <v>N/A</v>
      </c>
      <c r="BQ83" s="16" t="str">
        <f t="shared" si="101"/>
        <v>N/A</v>
      </c>
      <c r="BR83" s="16" t="str">
        <f t="shared" si="102"/>
        <v>N/A</v>
      </c>
      <c r="BS83" s="16" t="str">
        <f t="shared" si="103"/>
        <v>N/A</v>
      </c>
      <c r="BT83" s="16" t="str">
        <f t="shared" si="104"/>
        <v>N/A</v>
      </c>
      <c r="BU83" s="16" t="str">
        <f t="shared" si="105"/>
        <v>N/A</v>
      </c>
      <c r="BV83" s="16" t="str">
        <f t="shared" si="106"/>
        <v>N/A</v>
      </c>
      <c r="BW83" s="16" t="str">
        <f t="shared" si="107"/>
        <v>N/A</v>
      </c>
      <c r="BX83" s="16" t="str">
        <f t="shared" si="108"/>
        <v>N/A</v>
      </c>
      <c r="BY83" s="16" t="str">
        <f t="shared" si="109"/>
        <v>N/A</v>
      </c>
      <c r="BZ83" s="16" t="str">
        <f t="shared" si="110"/>
        <v>N/A</v>
      </c>
      <c r="CA83" s="16" t="str">
        <f t="shared" si="111"/>
        <v>N/A</v>
      </c>
      <c r="CB83" s="16" t="str">
        <f t="shared" si="112"/>
        <v>N/A</v>
      </c>
      <c r="CC83" s="16" t="str">
        <f t="shared" si="113"/>
        <v>N/A</v>
      </c>
      <c r="CD83" s="16" t="str">
        <f t="shared" si="114"/>
        <v>N/A</v>
      </c>
      <c r="CE83" s="16" t="str">
        <f t="shared" si="115"/>
        <v>N/A</v>
      </c>
      <c r="CF83" s="16" t="str">
        <f t="shared" si="116"/>
        <v>N/A</v>
      </c>
      <c r="CG83" s="16" t="str">
        <f t="shared" si="117"/>
        <v>N/A</v>
      </c>
      <c r="CH83" s="16" t="str">
        <f t="shared" si="118"/>
        <v>N/A</v>
      </c>
      <c r="CI83" s="16" t="str">
        <f t="shared" si="119"/>
        <v>N/A</v>
      </c>
      <c r="CJ83" s="16" t="str">
        <f t="shared" si="120"/>
        <v>N/A</v>
      </c>
      <c r="CK83" s="16" t="str">
        <f t="shared" si="121"/>
        <v>N/A</v>
      </c>
      <c r="CL83" s="16" t="str">
        <f t="shared" si="122"/>
        <v>N/A</v>
      </c>
      <c r="CM83" s="16" t="str">
        <f t="shared" si="123"/>
        <v>N/A</v>
      </c>
      <c r="CN83" s="16" t="str">
        <f t="shared" si="124"/>
        <v>N/A</v>
      </c>
      <c r="CO83" s="16" t="str">
        <f t="shared" si="125"/>
        <v>N/A</v>
      </c>
      <c r="CP83" s="16" t="str">
        <f t="shared" si="126"/>
        <v>N/A</v>
      </c>
      <c r="CQ83" s="16" t="str">
        <f t="shared" si="127"/>
        <v>N/A</v>
      </c>
      <c r="CR83" s="16" t="str">
        <f t="shared" si="128"/>
        <v>N/A</v>
      </c>
      <c r="CS83" s="16" t="str">
        <f t="shared" si="129"/>
        <v>N/A</v>
      </c>
      <c r="CT83" s="16" t="str">
        <f t="shared" si="130"/>
        <v>N/A</v>
      </c>
      <c r="CU83" s="16" t="str">
        <f t="shared" si="131"/>
        <v>N/A</v>
      </c>
      <c r="CV83" s="16" t="str">
        <f t="shared" si="132"/>
        <v>N/A</v>
      </c>
      <c r="CW83" s="16" t="str">
        <f t="shared" si="133"/>
        <v>N/A</v>
      </c>
      <c r="CX83" s="16" t="str">
        <f t="shared" si="134"/>
        <v>N/A</v>
      </c>
      <c r="CY83" s="16" t="str">
        <f t="shared" si="135"/>
        <v>N/A</v>
      </c>
    </row>
    <row r="84" spans="2:103" x14ac:dyDescent="0.25">
      <c r="B84" s="2"/>
      <c r="C84" s="6"/>
      <c r="D84" s="6"/>
      <c r="E84" s="7"/>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5"/>
      <c r="BA84" s="5"/>
      <c r="BB84" s="5"/>
      <c r="BC84" s="5"/>
      <c r="BD84" s="5">
        <f t="shared" si="89"/>
        <v>0</v>
      </c>
      <c r="BE84" s="2"/>
      <c r="BF84" s="2" t="str">
        <f t="shared" si="90"/>
        <v>Menos Horas</v>
      </c>
      <c r="BG84" s="2" t="str">
        <f t="shared" si="91"/>
        <v>Carga Lectiva Insuficiente</v>
      </c>
      <c r="BH84" s="16" t="str">
        <f t="shared" si="92"/>
        <v>Cumple</v>
      </c>
      <c r="BI84" s="2" t="str">
        <f t="shared" si="93"/>
        <v>Cumple</v>
      </c>
      <c r="BJ84" s="16" t="str">
        <f t="shared" si="94"/>
        <v>Cumple</v>
      </c>
      <c r="BK84" s="16" t="str">
        <f t="shared" si="95"/>
        <v>N/A</v>
      </c>
      <c r="BL84" s="16" t="str">
        <f t="shared" si="96"/>
        <v>N/A</v>
      </c>
      <c r="BM84" s="16" t="str">
        <f t="shared" si="97"/>
        <v>N/A</v>
      </c>
      <c r="BN84" s="16" t="str">
        <f t="shared" si="98"/>
        <v>N/A</v>
      </c>
      <c r="BO84" s="16" t="str">
        <f t="shared" si="99"/>
        <v>N/A</v>
      </c>
      <c r="BP84" s="16" t="str">
        <f t="shared" si="100"/>
        <v>N/A</v>
      </c>
      <c r="BQ84" s="16" t="str">
        <f t="shared" si="101"/>
        <v>N/A</v>
      </c>
      <c r="BR84" s="16" t="str">
        <f t="shared" si="102"/>
        <v>N/A</v>
      </c>
      <c r="BS84" s="16" t="str">
        <f t="shared" si="103"/>
        <v>N/A</v>
      </c>
      <c r="BT84" s="16" t="str">
        <f t="shared" si="104"/>
        <v>N/A</v>
      </c>
      <c r="BU84" s="16" t="str">
        <f t="shared" si="105"/>
        <v>N/A</v>
      </c>
      <c r="BV84" s="16" t="str">
        <f t="shared" si="106"/>
        <v>N/A</v>
      </c>
      <c r="BW84" s="16" t="str">
        <f t="shared" si="107"/>
        <v>N/A</v>
      </c>
      <c r="BX84" s="16" t="str">
        <f t="shared" si="108"/>
        <v>N/A</v>
      </c>
      <c r="BY84" s="16" t="str">
        <f t="shared" si="109"/>
        <v>N/A</v>
      </c>
      <c r="BZ84" s="16" t="str">
        <f t="shared" si="110"/>
        <v>N/A</v>
      </c>
      <c r="CA84" s="16" t="str">
        <f t="shared" si="111"/>
        <v>N/A</v>
      </c>
      <c r="CB84" s="16" t="str">
        <f t="shared" si="112"/>
        <v>N/A</v>
      </c>
      <c r="CC84" s="16" t="str">
        <f t="shared" si="113"/>
        <v>N/A</v>
      </c>
      <c r="CD84" s="16" t="str">
        <f t="shared" si="114"/>
        <v>N/A</v>
      </c>
      <c r="CE84" s="16" t="str">
        <f t="shared" si="115"/>
        <v>N/A</v>
      </c>
      <c r="CF84" s="16" t="str">
        <f t="shared" si="116"/>
        <v>N/A</v>
      </c>
      <c r="CG84" s="16" t="str">
        <f t="shared" si="117"/>
        <v>N/A</v>
      </c>
      <c r="CH84" s="16" t="str">
        <f t="shared" si="118"/>
        <v>N/A</v>
      </c>
      <c r="CI84" s="16" t="str">
        <f t="shared" si="119"/>
        <v>N/A</v>
      </c>
      <c r="CJ84" s="16" t="str">
        <f t="shared" si="120"/>
        <v>N/A</v>
      </c>
      <c r="CK84" s="16" t="str">
        <f t="shared" si="121"/>
        <v>N/A</v>
      </c>
      <c r="CL84" s="16" t="str">
        <f t="shared" si="122"/>
        <v>N/A</v>
      </c>
      <c r="CM84" s="16" t="str">
        <f t="shared" si="123"/>
        <v>N/A</v>
      </c>
      <c r="CN84" s="16" t="str">
        <f t="shared" si="124"/>
        <v>N/A</v>
      </c>
      <c r="CO84" s="16" t="str">
        <f t="shared" si="125"/>
        <v>N/A</v>
      </c>
      <c r="CP84" s="16" t="str">
        <f t="shared" si="126"/>
        <v>N/A</v>
      </c>
      <c r="CQ84" s="16" t="str">
        <f t="shared" si="127"/>
        <v>N/A</v>
      </c>
      <c r="CR84" s="16" t="str">
        <f t="shared" si="128"/>
        <v>N/A</v>
      </c>
      <c r="CS84" s="16" t="str">
        <f t="shared" si="129"/>
        <v>N/A</v>
      </c>
      <c r="CT84" s="16" t="str">
        <f t="shared" si="130"/>
        <v>N/A</v>
      </c>
      <c r="CU84" s="16" t="str">
        <f t="shared" si="131"/>
        <v>N/A</v>
      </c>
      <c r="CV84" s="16" t="str">
        <f t="shared" si="132"/>
        <v>N/A</v>
      </c>
      <c r="CW84" s="16" t="str">
        <f t="shared" si="133"/>
        <v>N/A</v>
      </c>
      <c r="CX84" s="16" t="str">
        <f t="shared" si="134"/>
        <v>N/A</v>
      </c>
      <c r="CY84" s="16" t="str">
        <f t="shared" si="135"/>
        <v>N/A</v>
      </c>
    </row>
    <row r="85" spans="2:103" x14ac:dyDescent="0.25">
      <c r="B85" s="2"/>
      <c r="C85" s="6"/>
      <c r="D85" s="6"/>
      <c r="E85" s="7"/>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5"/>
      <c r="BA85" s="5"/>
      <c r="BB85" s="5"/>
      <c r="BC85" s="5"/>
      <c r="BD85" s="5">
        <f t="shared" si="89"/>
        <v>0</v>
      </c>
      <c r="BE85" s="2"/>
      <c r="BF85" s="2" t="str">
        <f t="shared" si="90"/>
        <v>Menos Horas</v>
      </c>
      <c r="BG85" s="2" t="str">
        <f t="shared" si="91"/>
        <v>Carga Lectiva Insuficiente</v>
      </c>
      <c r="BH85" s="16" t="str">
        <f t="shared" si="92"/>
        <v>Cumple</v>
      </c>
      <c r="BI85" s="2" t="str">
        <f t="shared" si="93"/>
        <v>Cumple</v>
      </c>
      <c r="BJ85" s="16" t="str">
        <f t="shared" si="94"/>
        <v>Cumple</v>
      </c>
      <c r="BK85" s="16" t="str">
        <f t="shared" si="95"/>
        <v>N/A</v>
      </c>
      <c r="BL85" s="16" t="str">
        <f t="shared" si="96"/>
        <v>N/A</v>
      </c>
      <c r="BM85" s="16" t="str">
        <f t="shared" si="97"/>
        <v>N/A</v>
      </c>
      <c r="BN85" s="16" t="str">
        <f t="shared" si="98"/>
        <v>N/A</v>
      </c>
      <c r="BO85" s="16" t="str">
        <f t="shared" si="99"/>
        <v>N/A</v>
      </c>
      <c r="BP85" s="16" t="str">
        <f t="shared" si="100"/>
        <v>N/A</v>
      </c>
      <c r="BQ85" s="16" t="str">
        <f t="shared" si="101"/>
        <v>N/A</v>
      </c>
      <c r="BR85" s="16" t="str">
        <f t="shared" si="102"/>
        <v>N/A</v>
      </c>
      <c r="BS85" s="16" t="str">
        <f t="shared" si="103"/>
        <v>N/A</v>
      </c>
      <c r="BT85" s="16" t="str">
        <f t="shared" si="104"/>
        <v>N/A</v>
      </c>
      <c r="BU85" s="16" t="str">
        <f t="shared" si="105"/>
        <v>N/A</v>
      </c>
      <c r="BV85" s="16" t="str">
        <f t="shared" si="106"/>
        <v>N/A</v>
      </c>
      <c r="BW85" s="16" t="str">
        <f t="shared" si="107"/>
        <v>N/A</v>
      </c>
      <c r="BX85" s="16" t="str">
        <f t="shared" si="108"/>
        <v>N/A</v>
      </c>
      <c r="BY85" s="16" t="str">
        <f t="shared" si="109"/>
        <v>N/A</v>
      </c>
      <c r="BZ85" s="16" t="str">
        <f t="shared" si="110"/>
        <v>N/A</v>
      </c>
      <c r="CA85" s="16" t="str">
        <f t="shared" si="111"/>
        <v>N/A</v>
      </c>
      <c r="CB85" s="16" t="str">
        <f t="shared" si="112"/>
        <v>N/A</v>
      </c>
      <c r="CC85" s="16" t="str">
        <f t="shared" si="113"/>
        <v>N/A</v>
      </c>
      <c r="CD85" s="16" t="str">
        <f t="shared" si="114"/>
        <v>N/A</v>
      </c>
      <c r="CE85" s="16" t="str">
        <f t="shared" si="115"/>
        <v>N/A</v>
      </c>
      <c r="CF85" s="16" t="str">
        <f t="shared" si="116"/>
        <v>N/A</v>
      </c>
      <c r="CG85" s="16" t="str">
        <f t="shared" si="117"/>
        <v>N/A</v>
      </c>
      <c r="CH85" s="16" t="str">
        <f t="shared" si="118"/>
        <v>N/A</v>
      </c>
      <c r="CI85" s="16" t="str">
        <f t="shared" si="119"/>
        <v>N/A</v>
      </c>
      <c r="CJ85" s="16" t="str">
        <f t="shared" si="120"/>
        <v>N/A</v>
      </c>
      <c r="CK85" s="16" t="str">
        <f t="shared" si="121"/>
        <v>N/A</v>
      </c>
      <c r="CL85" s="16" t="str">
        <f t="shared" si="122"/>
        <v>N/A</v>
      </c>
      <c r="CM85" s="16" t="str">
        <f t="shared" si="123"/>
        <v>N/A</v>
      </c>
      <c r="CN85" s="16" t="str">
        <f t="shared" si="124"/>
        <v>N/A</v>
      </c>
      <c r="CO85" s="16" t="str">
        <f t="shared" si="125"/>
        <v>N/A</v>
      </c>
      <c r="CP85" s="16" t="str">
        <f t="shared" si="126"/>
        <v>N/A</v>
      </c>
      <c r="CQ85" s="16" t="str">
        <f t="shared" si="127"/>
        <v>N/A</v>
      </c>
      <c r="CR85" s="16" t="str">
        <f t="shared" si="128"/>
        <v>N/A</v>
      </c>
      <c r="CS85" s="16" t="str">
        <f t="shared" si="129"/>
        <v>N/A</v>
      </c>
      <c r="CT85" s="16" t="str">
        <f t="shared" si="130"/>
        <v>N/A</v>
      </c>
      <c r="CU85" s="16" t="str">
        <f t="shared" si="131"/>
        <v>N/A</v>
      </c>
      <c r="CV85" s="16" t="str">
        <f t="shared" si="132"/>
        <v>N/A</v>
      </c>
      <c r="CW85" s="16" t="str">
        <f t="shared" si="133"/>
        <v>N/A</v>
      </c>
      <c r="CX85" s="16" t="str">
        <f t="shared" si="134"/>
        <v>N/A</v>
      </c>
      <c r="CY85" s="16" t="str">
        <f t="shared" si="135"/>
        <v>N/A</v>
      </c>
    </row>
    <row r="86" spans="2:103" x14ac:dyDescent="0.25">
      <c r="B86" s="2"/>
      <c r="C86" s="6"/>
      <c r="D86" s="6"/>
      <c r="E86" s="7"/>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5"/>
      <c r="BA86" s="5"/>
      <c r="BB86" s="5"/>
      <c r="BC86" s="5"/>
      <c r="BD86" s="5">
        <f t="shared" si="89"/>
        <v>0</v>
      </c>
      <c r="BE86" s="2"/>
      <c r="BF86" s="2" t="str">
        <f t="shared" si="90"/>
        <v>Menos Horas</v>
      </c>
      <c r="BG86" s="2" t="str">
        <f t="shared" si="91"/>
        <v>Carga Lectiva Insuficiente</v>
      </c>
      <c r="BH86" s="16" t="str">
        <f t="shared" si="92"/>
        <v>Cumple</v>
      </c>
      <c r="BI86" s="2" t="str">
        <f t="shared" si="93"/>
        <v>Cumple</v>
      </c>
      <c r="BJ86" s="16" t="str">
        <f t="shared" si="94"/>
        <v>Cumple</v>
      </c>
      <c r="BK86" s="16" t="str">
        <f t="shared" si="95"/>
        <v>N/A</v>
      </c>
      <c r="BL86" s="16" t="str">
        <f t="shared" si="96"/>
        <v>N/A</v>
      </c>
      <c r="BM86" s="16" t="str">
        <f t="shared" si="97"/>
        <v>N/A</v>
      </c>
      <c r="BN86" s="16" t="str">
        <f t="shared" si="98"/>
        <v>N/A</v>
      </c>
      <c r="BO86" s="16" t="str">
        <f t="shared" si="99"/>
        <v>N/A</v>
      </c>
      <c r="BP86" s="16" t="str">
        <f t="shared" si="100"/>
        <v>N/A</v>
      </c>
      <c r="BQ86" s="16" t="str">
        <f t="shared" si="101"/>
        <v>N/A</v>
      </c>
      <c r="BR86" s="16" t="str">
        <f t="shared" si="102"/>
        <v>N/A</v>
      </c>
      <c r="BS86" s="16" t="str">
        <f t="shared" si="103"/>
        <v>N/A</v>
      </c>
      <c r="BT86" s="16" t="str">
        <f t="shared" si="104"/>
        <v>N/A</v>
      </c>
      <c r="BU86" s="16" t="str">
        <f t="shared" si="105"/>
        <v>N/A</v>
      </c>
      <c r="BV86" s="16" t="str">
        <f t="shared" si="106"/>
        <v>N/A</v>
      </c>
      <c r="BW86" s="16" t="str">
        <f t="shared" si="107"/>
        <v>N/A</v>
      </c>
      <c r="BX86" s="16" t="str">
        <f t="shared" si="108"/>
        <v>N/A</v>
      </c>
      <c r="BY86" s="16" t="str">
        <f t="shared" si="109"/>
        <v>N/A</v>
      </c>
      <c r="BZ86" s="16" t="str">
        <f t="shared" si="110"/>
        <v>N/A</v>
      </c>
      <c r="CA86" s="16" t="str">
        <f t="shared" si="111"/>
        <v>N/A</v>
      </c>
      <c r="CB86" s="16" t="str">
        <f t="shared" si="112"/>
        <v>N/A</v>
      </c>
      <c r="CC86" s="16" t="str">
        <f t="shared" si="113"/>
        <v>N/A</v>
      </c>
      <c r="CD86" s="16" t="str">
        <f t="shared" si="114"/>
        <v>N/A</v>
      </c>
      <c r="CE86" s="16" t="str">
        <f t="shared" si="115"/>
        <v>N/A</v>
      </c>
      <c r="CF86" s="16" t="str">
        <f t="shared" si="116"/>
        <v>N/A</v>
      </c>
      <c r="CG86" s="16" t="str">
        <f t="shared" si="117"/>
        <v>N/A</v>
      </c>
      <c r="CH86" s="16" t="str">
        <f t="shared" si="118"/>
        <v>N/A</v>
      </c>
      <c r="CI86" s="16" t="str">
        <f t="shared" si="119"/>
        <v>N/A</v>
      </c>
      <c r="CJ86" s="16" t="str">
        <f t="shared" si="120"/>
        <v>N/A</v>
      </c>
      <c r="CK86" s="16" t="str">
        <f t="shared" si="121"/>
        <v>N/A</v>
      </c>
      <c r="CL86" s="16" t="str">
        <f t="shared" si="122"/>
        <v>N/A</v>
      </c>
      <c r="CM86" s="16" t="str">
        <f t="shared" si="123"/>
        <v>N/A</v>
      </c>
      <c r="CN86" s="16" t="str">
        <f t="shared" si="124"/>
        <v>N/A</v>
      </c>
      <c r="CO86" s="16" t="str">
        <f t="shared" si="125"/>
        <v>N/A</v>
      </c>
      <c r="CP86" s="16" t="str">
        <f t="shared" si="126"/>
        <v>N/A</v>
      </c>
      <c r="CQ86" s="16" t="str">
        <f t="shared" si="127"/>
        <v>N/A</v>
      </c>
      <c r="CR86" s="16" t="str">
        <f t="shared" si="128"/>
        <v>N/A</v>
      </c>
      <c r="CS86" s="16" t="str">
        <f t="shared" si="129"/>
        <v>N/A</v>
      </c>
      <c r="CT86" s="16" t="str">
        <f t="shared" si="130"/>
        <v>N/A</v>
      </c>
      <c r="CU86" s="16" t="str">
        <f t="shared" si="131"/>
        <v>N/A</v>
      </c>
      <c r="CV86" s="16" t="str">
        <f t="shared" si="132"/>
        <v>N/A</v>
      </c>
      <c r="CW86" s="16" t="str">
        <f t="shared" si="133"/>
        <v>N/A</v>
      </c>
      <c r="CX86" s="16" t="str">
        <f t="shared" si="134"/>
        <v>N/A</v>
      </c>
      <c r="CY86" s="16" t="str">
        <f t="shared" si="135"/>
        <v>N/A</v>
      </c>
    </row>
    <row r="87" spans="2:103" x14ac:dyDescent="0.25">
      <c r="B87" s="2"/>
      <c r="C87" s="6"/>
      <c r="D87" s="6"/>
      <c r="E87" s="7"/>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5"/>
      <c r="BA87" s="5"/>
      <c r="BB87" s="5"/>
      <c r="BC87" s="5"/>
      <c r="BD87" s="5">
        <f t="shared" si="89"/>
        <v>0</v>
      </c>
      <c r="BE87" s="2"/>
      <c r="BF87" s="2" t="str">
        <f t="shared" si="90"/>
        <v>Menos Horas</v>
      </c>
      <c r="BG87" s="2" t="str">
        <f t="shared" si="91"/>
        <v>Carga Lectiva Insuficiente</v>
      </c>
      <c r="BH87" s="16" t="str">
        <f t="shared" si="92"/>
        <v>Cumple</v>
      </c>
      <c r="BI87" s="2" t="str">
        <f t="shared" si="93"/>
        <v>Cumple</v>
      </c>
      <c r="BJ87" s="16" t="str">
        <f t="shared" si="94"/>
        <v>Cumple</v>
      </c>
      <c r="BK87" s="16" t="str">
        <f t="shared" si="95"/>
        <v>N/A</v>
      </c>
      <c r="BL87" s="16" t="str">
        <f t="shared" si="96"/>
        <v>N/A</v>
      </c>
      <c r="BM87" s="16" t="str">
        <f t="shared" si="97"/>
        <v>N/A</v>
      </c>
      <c r="BN87" s="16" t="str">
        <f t="shared" si="98"/>
        <v>N/A</v>
      </c>
      <c r="BO87" s="16" t="str">
        <f t="shared" si="99"/>
        <v>N/A</v>
      </c>
      <c r="BP87" s="16" t="str">
        <f t="shared" si="100"/>
        <v>N/A</v>
      </c>
      <c r="BQ87" s="16" t="str">
        <f t="shared" si="101"/>
        <v>N/A</v>
      </c>
      <c r="BR87" s="16" t="str">
        <f t="shared" si="102"/>
        <v>N/A</v>
      </c>
      <c r="BS87" s="16" t="str">
        <f t="shared" si="103"/>
        <v>N/A</v>
      </c>
      <c r="BT87" s="16" t="str">
        <f t="shared" si="104"/>
        <v>N/A</v>
      </c>
      <c r="BU87" s="16" t="str">
        <f t="shared" si="105"/>
        <v>N/A</v>
      </c>
      <c r="BV87" s="16" t="str">
        <f t="shared" si="106"/>
        <v>N/A</v>
      </c>
      <c r="BW87" s="16" t="str">
        <f t="shared" si="107"/>
        <v>N/A</v>
      </c>
      <c r="BX87" s="16" t="str">
        <f t="shared" si="108"/>
        <v>N/A</v>
      </c>
      <c r="BY87" s="16" t="str">
        <f t="shared" si="109"/>
        <v>N/A</v>
      </c>
      <c r="BZ87" s="16" t="str">
        <f t="shared" si="110"/>
        <v>N/A</v>
      </c>
      <c r="CA87" s="16" t="str">
        <f t="shared" si="111"/>
        <v>N/A</v>
      </c>
      <c r="CB87" s="16" t="str">
        <f t="shared" si="112"/>
        <v>N/A</v>
      </c>
      <c r="CC87" s="16" t="str">
        <f t="shared" si="113"/>
        <v>N/A</v>
      </c>
      <c r="CD87" s="16" t="str">
        <f t="shared" si="114"/>
        <v>N/A</v>
      </c>
      <c r="CE87" s="16" t="str">
        <f t="shared" si="115"/>
        <v>N/A</v>
      </c>
      <c r="CF87" s="16" t="str">
        <f t="shared" si="116"/>
        <v>N/A</v>
      </c>
      <c r="CG87" s="16" t="str">
        <f t="shared" si="117"/>
        <v>N/A</v>
      </c>
      <c r="CH87" s="16" t="str">
        <f t="shared" si="118"/>
        <v>N/A</v>
      </c>
      <c r="CI87" s="16" t="str">
        <f t="shared" si="119"/>
        <v>N/A</v>
      </c>
      <c r="CJ87" s="16" t="str">
        <f t="shared" si="120"/>
        <v>N/A</v>
      </c>
      <c r="CK87" s="16" t="str">
        <f t="shared" si="121"/>
        <v>N/A</v>
      </c>
      <c r="CL87" s="16" t="str">
        <f t="shared" si="122"/>
        <v>N/A</v>
      </c>
      <c r="CM87" s="16" t="str">
        <f t="shared" si="123"/>
        <v>N/A</v>
      </c>
      <c r="CN87" s="16" t="str">
        <f t="shared" si="124"/>
        <v>N/A</v>
      </c>
      <c r="CO87" s="16" t="str">
        <f t="shared" si="125"/>
        <v>N/A</v>
      </c>
      <c r="CP87" s="16" t="str">
        <f t="shared" si="126"/>
        <v>N/A</v>
      </c>
      <c r="CQ87" s="16" t="str">
        <f t="shared" si="127"/>
        <v>N/A</v>
      </c>
      <c r="CR87" s="16" t="str">
        <f t="shared" si="128"/>
        <v>N/A</v>
      </c>
      <c r="CS87" s="16" t="str">
        <f t="shared" si="129"/>
        <v>N/A</v>
      </c>
      <c r="CT87" s="16" t="str">
        <f t="shared" si="130"/>
        <v>N/A</v>
      </c>
      <c r="CU87" s="16" t="str">
        <f t="shared" si="131"/>
        <v>N/A</v>
      </c>
      <c r="CV87" s="16" t="str">
        <f t="shared" si="132"/>
        <v>N/A</v>
      </c>
      <c r="CW87" s="16" t="str">
        <f t="shared" si="133"/>
        <v>N/A</v>
      </c>
      <c r="CX87" s="16" t="str">
        <f t="shared" si="134"/>
        <v>N/A</v>
      </c>
      <c r="CY87" s="16" t="str">
        <f t="shared" si="135"/>
        <v>N/A</v>
      </c>
    </row>
    <row r="88" spans="2:103" x14ac:dyDescent="0.25">
      <c r="B88" s="2"/>
      <c r="C88" s="6"/>
      <c r="D88" s="6"/>
      <c r="E88" s="7"/>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5"/>
      <c r="BA88" s="5"/>
      <c r="BB88" s="5"/>
      <c r="BC88" s="5"/>
      <c r="BD88" s="5">
        <f t="shared" si="89"/>
        <v>0</v>
      </c>
      <c r="BE88" s="2"/>
      <c r="BF88" s="2" t="str">
        <f t="shared" si="90"/>
        <v>Menos Horas</v>
      </c>
      <c r="BG88" s="2" t="str">
        <f t="shared" si="91"/>
        <v>Carga Lectiva Insuficiente</v>
      </c>
      <c r="BH88" s="16" t="str">
        <f t="shared" si="92"/>
        <v>Cumple</v>
      </c>
      <c r="BI88" s="2" t="str">
        <f t="shared" si="93"/>
        <v>Cumple</v>
      </c>
      <c r="BJ88" s="16" t="str">
        <f t="shared" si="94"/>
        <v>Cumple</v>
      </c>
      <c r="BK88" s="16" t="str">
        <f t="shared" si="95"/>
        <v>N/A</v>
      </c>
      <c r="BL88" s="16" t="str">
        <f t="shared" si="96"/>
        <v>N/A</v>
      </c>
      <c r="BM88" s="16" t="str">
        <f t="shared" si="97"/>
        <v>N/A</v>
      </c>
      <c r="BN88" s="16" t="str">
        <f t="shared" si="98"/>
        <v>N/A</v>
      </c>
      <c r="BO88" s="16" t="str">
        <f t="shared" si="99"/>
        <v>N/A</v>
      </c>
      <c r="BP88" s="16" t="str">
        <f t="shared" si="100"/>
        <v>N/A</v>
      </c>
      <c r="BQ88" s="16" t="str">
        <f t="shared" si="101"/>
        <v>N/A</v>
      </c>
      <c r="BR88" s="16" t="str">
        <f t="shared" si="102"/>
        <v>N/A</v>
      </c>
      <c r="BS88" s="16" t="str">
        <f t="shared" si="103"/>
        <v>N/A</v>
      </c>
      <c r="BT88" s="16" t="str">
        <f t="shared" si="104"/>
        <v>N/A</v>
      </c>
      <c r="BU88" s="16" t="str">
        <f t="shared" si="105"/>
        <v>N/A</v>
      </c>
      <c r="BV88" s="16" t="str">
        <f t="shared" si="106"/>
        <v>N/A</v>
      </c>
      <c r="BW88" s="16" t="str">
        <f t="shared" si="107"/>
        <v>N/A</v>
      </c>
      <c r="BX88" s="16" t="str">
        <f t="shared" si="108"/>
        <v>N/A</v>
      </c>
      <c r="BY88" s="16" t="str">
        <f t="shared" si="109"/>
        <v>N/A</v>
      </c>
      <c r="BZ88" s="16" t="str">
        <f t="shared" si="110"/>
        <v>N/A</v>
      </c>
      <c r="CA88" s="16" t="str">
        <f t="shared" si="111"/>
        <v>N/A</v>
      </c>
      <c r="CB88" s="16" t="str">
        <f t="shared" si="112"/>
        <v>N/A</v>
      </c>
      <c r="CC88" s="16" t="str">
        <f t="shared" si="113"/>
        <v>N/A</v>
      </c>
      <c r="CD88" s="16" t="str">
        <f t="shared" si="114"/>
        <v>N/A</v>
      </c>
      <c r="CE88" s="16" t="str">
        <f t="shared" si="115"/>
        <v>N/A</v>
      </c>
      <c r="CF88" s="16" t="str">
        <f t="shared" si="116"/>
        <v>N/A</v>
      </c>
      <c r="CG88" s="16" t="str">
        <f t="shared" si="117"/>
        <v>N/A</v>
      </c>
      <c r="CH88" s="16" t="str">
        <f t="shared" si="118"/>
        <v>N/A</v>
      </c>
      <c r="CI88" s="16" t="str">
        <f t="shared" si="119"/>
        <v>N/A</v>
      </c>
      <c r="CJ88" s="16" t="str">
        <f t="shared" si="120"/>
        <v>N/A</v>
      </c>
      <c r="CK88" s="16" t="str">
        <f t="shared" si="121"/>
        <v>N/A</v>
      </c>
      <c r="CL88" s="16" t="str">
        <f t="shared" si="122"/>
        <v>N/A</v>
      </c>
      <c r="CM88" s="16" t="str">
        <f t="shared" si="123"/>
        <v>N/A</v>
      </c>
      <c r="CN88" s="16" t="str">
        <f t="shared" si="124"/>
        <v>N/A</v>
      </c>
      <c r="CO88" s="16" t="str">
        <f t="shared" si="125"/>
        <v>N/A</v>
      </c>
      <c r="CP88" s="16" t="str">
        <f t="shared" si="126"/>
        <v>N/A</v>
      </c>
      <c r="CQ88" s="16" t="str">
        <f t="shared" si="127"/>
        <v>N/A</v>
      </c>
      <c r="CR88" s="16" t="str">
        <f t="shared" si="128"/>
        <v>N/A</v>
      </c>
      <c r="CS88" s="16" t="str">
        <f t="shared" si="129"/>
        <v>N/A</v>
      </c>
      <c r="CT88" s="16" t="str">
        <f t="shared" si="130"/>
        <v>N/A</v>
      </c>
      <c r="CU88" s="16" t="str">
        <f t="shared" si="131"/>
        <v>N/A</v>
      </c>
      <c r="CV88" s="16" t="str">
        <f t="shared" si="132"/>
        <v>N/A</v>
      </c>
      <c r="CW88" s="16" t="str">
        <f t="shared" si="133"/>
        <v>N/A</v>
      </c>
      <c r="CX88" s="16" t="str">
        <f t="shared" si="134"/>
        <v>N/A</v>
      </c>
      <c r="CY88" s="16" t="str">
        <f t="shared" si="135"/>
        <v>N/A</v>
      </c>
    </row>
    <row r="89" spans="2:103" x14ac:dyDescent="0.25">
      <c r="B89" s="2"/>
      <c r="C89" s="6"/>
      <c r="D89" s="6"/>
      <c r="E89" s="7"/>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5"/>
      <c r="BA89" s="5"/>
      <c r="BB89" s="5"/>
      <c r="BC89" s="5"/>
      <c r="BD89" s="5">
        <f t="shared" si="89"/>
        <v>0</v>
      </c>
      <c r="BE89" s="2"/>
      <c r="BF89" s="2" t="str">
        <f t="shared" si="90"/>
        <v>Menos Horas</v>
      </c>
      <c r="BG89" s="2" t="str">
        <f t="shared" si="91"/>
        <v>Carga Lectiva Insuficiente</v>
      </c>
      <c r="BH89" s="16" t="str">
        <f t="shared" si="92"/>
        <v>Cumple</v>
      </c>
      <c r="BI89" s="2" t="str">
        <f t="shared" si="93"/>
        <v>Cumple</v>
      </c>
      <c r="BJ89" s="16" t="str">
        <f t="shared" si="94"/>
        <v>Cumple</v>
      </c>
      <c r="BK89" s="16" t="str">
        <f t="shared" si="95"/>
        <v>N/A</v>
      </c>
      <c r="BL89" s="16" t="str">
        <f t="shared" si="96"/>
        <v>N/A</v>
      </c>
      <c r="BM89" s="16" t="str">
        <f t="shared" si="97"/>
        <v>N/A</v>
      </c>
      <c r="BN89" s="16" t="str">
        <f t="shared" si="98"/>
        <v>N/A</v>
      </c>
      <c r="BO89" s="16" t="str">
        <f t="shared" si="99"/>
        <v>N/A</v>
      </c>
      <c r="BP89" s="16" t="str">
        <f t="shared" si="100"/>
        <v>N/A</v>
      </c>
      <c r="BQ89" s="16" t="str">
        <f t="shared" si="101"/>
        <v>N/A</v>
      </c>
      <c r="BR89" s="16" t="str">
        <f t="shared" si="102"/>
        <v>N/A</v>
      </c>
      <c r="BS89" s="16" t="str">
        <f t="shared" si="103"/>
        <v>N/A</v>
      </c>
      <c r="BT89" s="16" t="str">
        <f t="shared" si="104"/>
        <v>N/A</v>
      </c>
      <c r="BU89" s="16" t="str">
        <f t="shared" si="105"/>
        <v>N/A</v>
      </c>
      <c r="BV89" s="16" t="str">
        <f t="shared" si="106"/>
        <v>N/A</v>
      </c>
      <c r="BW89" s="16" t="str">
        <f t="shared" si="107"/>
        <v>N/A</v>
      </c>
      <c r="BX89" s="16" t="str">
        <f t="shared" si="108"/>
        <v>N/A</v>
      </c>
      <c r="BY89" s="16" t="str">
        <f t="shared" si="109"/>
        <v>N/A</v>
      </c>
      <c r="BZ89" s="16" t="str">
        <f t="shared" si="110"/>
        <v>N/A</v>
      </c>
      <c r="CA89" s="16" t="str">
        <f t="shared" si="111"/>
        <v>N/A</v>
      </c>
      <c r="CB89" s="16" t="str">
        <f t="shared" si="112"/>
        <v>N/A</v>
      </c>
      <c r="CC89" s="16" t="str">
        <f t="shared" si="113"/>
        <v>N/A</v>
      </c>
      <c r="CD89" s="16" t="str">
        <f t="shared" si="114"/>
        <v>N/A</v>
      </c>
      <c r="CE89" s="16" t="str">
        <f t="shared" si="115"/>
        <v>N/A</v>
      </c>
      <c r="CF89" s="16" t="str">
        <f t="shared" si="116"/>
        <v>N/A</v>
      </c>
      <c r="CG89" s="16" t="str">
        <f t="shared" si="117"/>
        <v>N/A</v>
      </c>
      <c r="CH89" s="16" t="str">
        <f t="shared" si="118"/>
        <v>N/A</v>
      </c>
      <c r="CI89" s="16" t="str">
        <f t="shared" si="119"/>
        <v>N/A</v>
      </c>
      <c r="CJ89" s="16" t="str">
        <f t="shared" si="120"/>
        <v>N/A</v>
      </c>
      <c r="CK89" s="16" t="str">
        <f t="shared" si="121"/>
        <v>N/A</v>
      </c>
      <c r="CL89" s="16" t="str">
        <f t="shared" si="122"/>
        <v>N/A</v>
      </c>
      <c r="CM89" s="16" t="str">
        <f t="shared" si="123"/>
        <v>N/A</v>
      </c>
      <c r="CN89" s="16" t="str">
        <f t="shared" si="124"/>
        <v>N/A</v>
      </c>
      <c r="CO89" s="16" t="str">
        <f t="shared" si="125"/>
        <v>N/A</v>
      </c>
      <c r="CP89" s="16" t="str">
        <f t="shared" si="126"/>
        <v>N/A</v>
      </c>
      <c r="CQ89" s="16" t="str">
        <f t="shared" si="127"/>
        <v>N/A</v>
      </c>
      <c r="CR89" s="16" t="str">
        <f t="shared" si="128"/>
        <v>N/A</v>
      </c>
      <c r="CS89" s="16" t="str">
        <f t="shared" si="129"/>
        <v>N/A</v>
      </c>
      <c r="CT89" s="16" t="str">
        <f t="shared" si="130"/>
        <v>N/A</v>
      </c>
      <c r="CU89" s="16" t="str">
        <f t="shared" si="131"/>
        <v>N/A</v>
      </c>
      <c r="CV89" s="16" t="str">
        <f t="shared" si="132"/>
        <v>N/A</v>
      </c>
      <c r="CW89" s="16" t="str">
        <f t="shared" si="133"/>
        <v>N/A</v>
      </c>
      <c r="CX89" s="16" t="str">
        <f t="shared" si="134"/>
        <v>N/A</v>
      </c>
      <c r="CY89" s="16" t="str">
        <f t="shared" si="135"/>
        <v>N/A</v>
      </c>
    </row>
    <row r="90" spans="2:103" x14ac:dyDescent="0.25">
      <c r="B90" s="2"/>
      <c r="C90" s="6"/>
      <c r="D90" s="6"/>
      <c r="E90" s="7"/>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5"/>
      <c r="BA90" s="5"/>
      <c r="BB90" s="5"/>
      <c r="BC90" s="5"/>
      <c r="BD90" s="5">
        <f t="shared" si="89"/>
        <v>0</v>
      </c>
      <c r="BE90" s="2"/>
      <c r="BF90" s="2" t="str">
        <f t="shared" si="90"/>
        <v>Menos Horas</v>
      </c>
      <c r="BG90" s="2" t="str">
        <f t="shared" si="91"/>
        <v>Carga Lectiva Insuficiente</v>
      </c>
      <c r="BH90" s="16" t="str">
        <f t="shared" si="92"/>
        <v>Cumple</v>
      </c>
      <c r="BI90" s="2" t="str">
        <f t="shared" si="93"/>
        <v>Cumple</v>
      </c>
      <c r="BJ90" s="16" t="str">
        <f t="shared" si="94"/>
        <v>Cumple</v>
      </c>
      <c r="BK90" s="16" t="str">
        <f t="shared" si="95"/>
        <v>N/A</v>
      </c>
      <c r="BL90" s="16" t="str">
        <f t="shared" si="96"/>
        <v>N/A</v>
      </c>
      <c r="BM90" s="16" t="str">
        <f t="shared" si="97"/>
        <v>N/A</v>
      </c>
      <c r="BN90" s="16" t="str">
        <f t="shared" si="98"/>
        <v>N/A</v>
      </c>
      <c r="BO90" s="16" t="str">
        <f t="shared" si="99"/>
        <v>N/A</v>
      </c>
      <c r="BP90" s="16" t="str">
        <f t="shared" si="100"/>
        <v>N/A</v>
      </c>
      <c r="BQ90" s="16" t="str">
        <f t="shared" si="101"/>
        <v>N/A</v>
      </c>
      <c r="BR90" s="16" t="str">
        <f t="shared" si="102"/>
        <v>N/A</v>
      </c>
      <c r="BS90" s="16" t="str">
        <f t="shared" si="103"/>
        <v>N/A</v>
      </c>
      <c r="BT90" s="16" t="str">
        <f t="shared" si="104"/>
        <v>N/A</v>
      </c>
      <c r="BU90" s="16" t="str">
        <f t="shared" si="105"/>
        <v>N/A</v>
      </c>
      <c r="BV90" s="16" t="str">
        <f t="shared" si="106"/>
        <v>N/A</v>
      </c>
      <c r="BW90" s="16" t="str">
        <f t="shared" si="107"/>
        <v>N/A</v>
      </c>
      <c r="BX90" s="16" t="str">
        <f t="shared" si="108"/>
        <v>N/A</v>
      </c>
      <c r="BY90" s="16" t="str">
        <f t="shared" si="109"/>
        <v>N/A</v>
      </c>
      <c r="BZ90" s="16" t="str">
        <f t="shared" si="110"/>
        <v>N/A</v>
      </c>
      <c r="CA90" s="16" t="str">
        <f t="shared" si="111"/>
        <v>N/A</v>
      </c>
      <c r="CB90" s="16" t="str">
        <f t="shared" si="112"/>
        <v>N/A</v>
      </c>
      <c r="CC90" s="16" t="str">
        <f t="shared" si="113"/>
        <v>N/A</v>
      </c>
      <c r="CD90" s="16" t="str">
        <f t="shared" si="114"/>
        <v>N/A</v>
      </c>
      <c r="CE90" s="16" t="str">
        <f t="shared" si="115"/>
        <v>N/A</v>
      </c>
      <c r="CF90" s="16" t="str">
        <f t="shared" si="116"/>
        <v>N/A</v>
      </c>
      <c r="CG90" s="16" t="str">
        <f t="shared" si="117"/>
        <v>N/A</v>
      </c>
      <c r="CH90" s="16" t="str">
        <f t="shared" si="118"/>
        <v>N/A</v>
      </c>
      <c r="CI90" s="16" t="str">
        <f t="shared" si="119"/>
        <v>N/A</v>
      </c>
      <c r="CJ90" s="16" t="str">
        <f t="shared" si="120"/>
        <v>N/A</v>
      </c>
      <c r="CK90" s="16" t="str">
        <f t="shared" si="121"/>
        <v>N/A</v>
      </c>
      <c r="CL90" s="16" t="str">
        <f t="shared" si="122"/>
        <v>N/A</v>
      </c>
      <c r="CM90" s="16" t="str">
        <f t="shared" si="123"/>
        <v>N/A</v>
      </c>
      <c r="CN90" s="16" t="str">
        <f t="shared" si="124"/>
        <v>N/A</v>
      </c>
      <c r="CO90" s="16" t="str">
        <f t="shared" si="125"/>
        <v>N/A</v>
      </c>
      <c r="CP90" s="16" t="str">
        <f t="shared" si="126"/>
        <v>N/A</v>
      </c>
      <c r="CQ90" s="16" t="str">
        <f t="shared" si="127"/>
        <v>N/A</v>
      </c>
      <c r="CR90" s="16" t="str">
        <f t="shared" si="128"/>
        <v>N/A</v>
      </c>
      <c r="CS90" s="16" t="str">
        <f t="shared" si="129"/>
        <v>N/A</v>
      </c>
      <c r="CT90" s="16" t="str">
        <f t="shared" si="130"/>
        <v>N/A</v>
      </c>
      <c r="CU90" s="16" t="str">
        <f t="shared" si="131"/>
        <v>N/A</v>
      </c>
      <c r="CV90" s="16" t="str">
        <f t="shared" si="132"/>
        <v>N/A</v>
      </c>
      <c r="CW90" s="16" t="str">
        <f t="shared" si="133"/>
        <v>N/A</v>
      </c>
      <c r="CX90" s="16" t="str">
        <f t="shared" si="134"/>
        <v>N/A</v>
      </c>
      <c r="CY90" s="16" t="str">
        <f t="shared" si="135"/>
        <v>N/A</v>
      </c>
    </row>
    <row r="91" spans="2:103" x14ac:dyDescent="0.25">
      <c r="B91" s="2"/>
      <c r="C91" s="6"/>
      <c r="D91" s="6"/>
      <c r="E91" s="7"/>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5"/>
      <c r="BA91" s="5"/>
      <c r="BB91" s="5"/>
      <c r="BC91" s="5"/>
      <c r="BD91" s="5">
        <f t="shared" si="89"/>
        <v>0</v>
      </c>
      <c r="BE91" s="2"/>
      <c r="BF91" s="2" t="str">
        <f t="shared" si="90"/>
        <v>Menos Horas</v>
      </c>
      <c r="BG91" s="2" t="str">
        <f t="shared" si="91"/>
        <v>Carga Lectiva Insuficiente</v>
      </c>
      <c r="BH91" s="16" t="str">
        <f t="shared" si="92"/>
        <v>Cumple</v>
      </c>
      <c r="BI91" s="2" t="str">
        <f t="shared" si="93"/>
        <v>Cumple</v>
      </c>
      <c r="BJ91" s="16" t="str">
        <f t="shared" si="94"/>
        <v>Cumple</v>
      </c>
      <c r="BK91" s="16" t="str">
        <f t="shared" si="95"/>
        <v>N/A</v>
      </c>
      <c r="BL91" s="16" t="str">
        <f t="shared" si="96"/>
        <v>N/A</v>
      </c>
      <c r="BM91" s="16" t="str">
        <f t="shared" si="97"/>
        <v>N/A</v>
      </c>
      <c r="BN91" s="16" t="str">
        <f t="shared" si="98"/>
        <v>N/A</v>
      </c>
      <c r="BO91" s="16" t="str">
        <f t="shared" si="99"/>
        <v>N/A</v>
      </c>
      <c r="BP91" s="16" t="str">
        <f t="shared" si="100"/>
        <v>N/A</v>
      </c>
      <c r="BQ91" s="16" t="str">
        <f t="shared" si="101"/>
        <v>N/A</v>
      </c>
      <c r="BR91" s="16" t="str">
        <f t="shared" si="102"/>
        <v>N/A</v>
      </c>
      <c r="BS91" s="16" t="str">
        <f t="shared" si="103"/>
        <v>N/A</v>
      </c>
      <c r="BT91" s="16" t="str">
        <f t="shared" si="104"/>
        <v>N/A</v>
      </c>
      <c r="BU91" s="16" t="str">
        <f t="shared" si="105"/>
        <v>N/A</v>
      </c>
      <c r="BV91" s="16" t="str">
        <f t="shared" si="106"/>
        <v>N/A</v>
      </c>
      <c r="BW91" s="16" t="str">
        <f t="shared" si="107"/>
        <v>N/A</v>
      </c>
      <c r="BX91" s="16" t="str">
        <f t="shared" si="108"/>
        <v>N/A</v>
      </c>
      <c r="BY91" s="16" t="str">
        <f t="shared" si="109"/>
        <v>N/A</v>
      </c>
      <c r="BZ91" s="16" t="str">
        <f t="shared" si="110"/>
        <v>N/A</v>
      </c>
      <c r="CA91" s="16" t="str">
        <f t="shared" si="111"/>
        <v>N/A</v>
      </c>
      <c r="CB91" s="16" t="str">
        <f t="shared" si="112"/>
        <v>N/A</v>
      </c>
      <c r="CC91" s="16" t="str">
        <f t="shared" si="113"/>
        <v>N/A</v>
      </c>
      <c r="CD91" s="16" t="str">
        <f t="shared" si="114"/>
        <v>N/A</v>
      </c>
      <c r="CE91" s="16" t="str">
        <f t="shared" si="115"/>
        <v>N/A</v>
      </c>
      <c r="CF91" s="16" t="str">
        <f t="shared" si="116"/>
        <v>N/A</v>
      </c>
      <c r="CG91" s="16" t="str">
        <f t="shared" si="117"/>
        <v>N/A</v>
      </c>
      <c r="CH91" s="16" t="str">
        <f t="shared" si="118"/>
        <v>N/A</v>
      </c>
      <c r="CI91" s="16" t="str">
        <f t="shared" si="119"/>
        <v>N/A</v>
      </c>
      <c r="CJ91" s="16" t="str">
        <f t="shared" si="120"/>
        <v>N/A</v>
      </c>
      <c r="CK91" s="16" t="str">
        <f t="shared" si="121"/>
        <v>N/A</v>
      </c>
      <c r="CL91" s="16" t="str">
        <f t="shared" si="122"/>
        <v>N/A</v>
      </c>
      <c r="CM91" s="16" t="str">
        <f t="shared" si="123"/>
        <v>N/A</v>
      </c>
      <c r="CN91" s="16" t="str">
        <f t="shared" si="124"/>
        <v>N/A</v>
      </c>
      <c r="CO91" s="16" t="str">
        <f t="shared" si="125"/>
        <v>N/A</v>
      </c>
      <c r="CP91" s="16" t="str">
        <f t="shared" si="126"/>
        <v>N/A</v>
      </c>
      <c r="CQ91" s="16" t="str">
        <f t="shared" si="127"/>
        <v>N/A</v>
      </c>
      <c r="CR91" s="16" t="str">
        <f t="shared" si="128"/>
        <v>N/A</v>
      </c>
      <c r="CS91" s="16" t="str">
        <f t="shared" si="129"/>
        <v>N/A</v>
      </c>
      <c r="CT91" s="16" t="str">
        <f t="shared" si="130"/>
        <v>N/A</v>
      </c>
      <c r="CU91" s="16" t="str">
        <f t="shared" si="131"/>
        <v>N/A</v>
      </c>
      <c r="CV91" s="16" t="str">
        <f t="shared" si="132"/>
        <v>N/A</v>
      </c>
      <c r="CW91" s="16" t="str">
        <f t="shared" si="133"/>
        <v>N/A</v>
      </c>
      <c r="CX91" s="16" t="str">
        <f t="shared" si="134"/>
        <v>N/A</v>
      </c>
      <c r="CY91" s="16" t="str">
        <f t="shared" si="135"/>
        <v>N/A</v>
      </c>
    </row>
    <row r="92" spans="2:103" x14ac:dyDescent="0.25">
      <c r="B92" s="2"/>
      <c r="C92" s="6"/>
      <c r="D92" s="6"/>
      <c r="E92" s="7"/>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5"/>
      <c r="BA92" s="5"/>
      <c r="BB92" s="5"/>
      <c r="BC92" s="5"/>
      <c r="BD92" s="5">
        <f t="shared" si="89"/>
        <v>0</v>
      </c>
      <c r="BE92" s="2"/>
      <c r="BF92" s="2" t="str">
        <f t="shared" si="90"/>
        <v>Menos Horas</v>
      </c>
      <c r="BG92" s="2" t="str">
        <f t="shared" si="91"/>
        <v>Carga Lectiva Insuficiente</v>
      </c>
      <c r="BH92" s="16" t="str">
        <f t="shared" si="92"/>
        <v>Cumple</v>
      </c>
      <c r="BI92" s="2" t="str">
        <f t="shared" si="93"/>
        <v>Cumple</v>
      </c>
      <c r="BJ92" s="16" t="str">
        <f t="shared" si="94"/>
        <v>Cumple</v>
      </c>
      <c r="BK92" s="16" t="str">
        <f t="shared" si="95"/>
        <v>N/A</v>
      </c>
      <c r="BL92" s="16" t="str">
        <f t="shared" si="96"/>
        <v>N/A</v>
      </c>
      <c r="BM92" s="16" t="str">
        <f t="shared" si="97"/>
        <v>N/A</v>
      </c>
      <c r="BN92" s="16" t="str">
        <f t="shared" si="98"/>
        <v>N/A</v>
      </c>
      <c r="BO92" s="16" t="str">
        <f t="shared" si="99"/>
        <v>N/A</v>
      </c>
      <c r="BP92" s="16" t="str">
        <f t="shared" si="100"/>
        <v>N/A</v>
      </c>
      <c r="BQ92" s="16" t="str">
        <f t="shared" si="101"/>
        <v>N/A</v>
      </c>
      <c r="BR92" s="16" t="str">
        <f t="shared" si="102"/>
        <v>N/A</v>
      </c>
      <c r="BS92" s="16" t="str">
        <f t="shared" si="103"/>
        <v>N/A</v>
      </c>
      <c r="BT92" s="16" t="str">
        <f t="shared" si="104"/>
        <v>N/A</v>
      </c>
      <c r="BU92" s="16" t="str">
        <f t="shared" si="105"/>
        <v>N/A</v>
      </c>
      <c r="BV92" s="16" t="str">
        <f t="shared" si="106"/>
        <v>N/A</v>
      </c>
      <c r="BW92" s="16" t="str">
        <f t="shared" si="107"/>
        <v>N/A</v>
      </c>
      <c r="BX92" s="16" t="str">
        <f t="shared" si="108"/>
        <v>N/A</v>
      </c>
      <c r="BY92" s="16" t="str">
        <f t="shared" si="109"/>
        <v>N/A</v>
      </c>
      <c r="BZ92" s="16" t="str">
        <f t="shared" si="110"/>
        <v>N/A</v>
      </c>
      <c r="CA92" s="16" t="str">
        <f t="shared" si="111"/>
        <v>N/A</v>
      </c>
      <c r="CB92" s="16" t="str">
        <f t="shared" si="112"/>
        <v>N/A</v>
      </c>
      <c r="CC92" s="16" t="str">
        <f t="shared" si="113"/>
        <v>N/A</v>
      </c>
      <c r="CD92" s="16" t="str">
        <f t="shared" si="114"/>
        <v>N/A</v>
      </c>
      <c r="CE92" s="16" t="str">
        <f t="shared" si="115"/>
        <v>N/A</v>
      </c>
      <c r="CF92" s="16" t="str">
        <f t="shared" si="116"/>
        <v>N/A</v>
      </c>
      <c r="CG92" s="16" t="str">
        <f t="shared" si="117"/>
        <v>N/A</v>
      </c>
      <c r="CH92" s="16" t="str">
        <f t="shared" si="118"/>
        <v>N/A</v>
      </c>
      <c r="CI92" s="16" t="str">
        <f t="shared" si="119"/>
        <v>N/A</v>
      </c>
      <c r="CJ92" s="16" t="str">
        <f t="shared" si="120"/>
        <v>N/A</v>
      </c>
      <c r="CK92" s="16" t="str">
        <f t="shared" si="121"/>
        <v>N/A</v>
      </c>
      <c r="CL92" s="16" t="str">
        <f t="shared" si="122"/>
        <v>N/A</v>
      </c>
      <c r="CM92" s="16" t="str">
        <f t="shared" si="123"/>
        <v>N/A</v>
      </c>
      <c r="CN92" s="16" t="str">
        <f t="shared" si="124"/>
        <v>N/A</v>
      </c>
      <c r="CO92" s="16" t="str">
        <f t="shared" si="125"/>
        <v>N/A</v>
      </c>
      <c r="CP92" s="16" t="str">
        <f t="shared" si="126"/>
        <v>N/A</v>
      </c>
      <c r="CQ92" s="16" t="str">
        <f t="shared" si="127"/>
        <v>N/A</v>
      </c>
      <c r="CR92" s="16" t="str">
        <f t="shared" si="128"/>
        <v>N/A</v>
      </c>
      <c r="CS92" s="16" t="str">
        <f t="shared" si="129"/>
        <v>N/A</v>
      </c>
      <c r="CT92" s="16" t="str">
        <f t="shared" si="130"/>
        <v>N/A</v>
      </c>
      <c r="CU92" s="16" t="str">
        <f t="shared" si="131"/>
        <v>N/A</v>
      </c>
      <c r="CV92" s="16" t="str">
        <f t="shared" si="132"/>
        <v>N/A</v>
      </c>
      <c r="CW92" s="16" t="str">
        <f t="shared" si="133"/>
        <v>N/A</v>
      </c>
      <c r="CX92" s="16" t="str">
        <f t="shared" si="134"/>
        <v>N/A</v>
      </c>
      <c r="CY92" s="16" t="str">
        <f t="shared" si="135"/>
        <v>N/A</v>
      </c>
    </row>
    <row r="93" spans="2:103" x14ac:dyDescent="0.25">
      <c r="B93" s="2"/>
      <c r="C93" s="6"/>
      <c r="D93" s="6"/>
      <c r="E93" s="7"/>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5"/>
      <c r="BA93" s="5"/>
      <c r="BB93" s="5"/>
      <c r="BC93" s="5"/>
      <c r="BD93" s="5">
        <f t="shared" si="89"/>
        <v>0</v>
      </c>
      <c r="BE93" s="2"/>
      <c r="BF93" s="2" t="str">
        <f t="shared" si="90"/>
        <v>Menos Horas</v>
      </c>
      <c r="BG93" s="2" t="str">
        <f t="shared" si="91"/>
        <v>Carga Lectiva Insuficiente</v>
      </c>
      <c r="BH93" s="16" t="str">
        <f t="shared" si="92"/>
        <v>Cumple</v>
      </c>
      <c r="BI93" s="2" t="str">
        <f t="shared" si="93"/>
        <v>Cumple</v>
      </c>
      <c r="BJ93" s="16" t="str">
        <f t="shared" si="94"/>
        <v>Cumple</v>
      </c>
      <c r="BK93" s="16" t="str">
        <f t="shared" si="95"/>
        <v>N/A</v>
      </c>
      <c r="BL93" s="16" t="str">
        <f t="shared" si="96"/>
        <v>N/A</v>
      </c>
      <c r="BM93" s="16" t="str">
        <f t="shared" si="97"/>
        <v>N/A</v>
      </c>
      <c r="BN93" s="16" t="str">
        <f t="shared" si="98"/>
        <v>N/A</v>
      </c>
      <c r="BO93" s="16" t="str">
        <f t="shared" si="99"/>
        <v>N/A</v>
      </c>
      <c r="BP93" s="16" t="str">
        <f t="shared" si="100"/>
        <v>N/A</v>
      </c>
      <c r="BQ93" s="16" t="str">
        <f t="shared" si="101"/>
        <v>N/A</v>
      </c>
      <c r="BR93" s="16" t="str">
        <f t="shared" si="102"/>
        <v>N/A</v>
      </c>
      <c r="BS93" s="16" t="str">
        <f t="shared" si="103"/>
        <v>N/A</v>
      </c>
      <c r="BT93" s="16" t="str">
        <f t="shared" si="104"/>
        <v>N/A</v>
      </c>
      <c r="BU93" s="16" t="str">
        <f t="shared" si="105"/>
        <v>N/A</v>
      </c>
      <c r="BV93" s="16" t="str">
        <f t="shared" si="106"/>
        <v>N/A</v>
      </c>
      <c r="BW93" s="16" t="str">
        <f t="shared" si="107"/>
        <v>N/A</v>
      </c>
      <c r="BX93" s="16" t="str">
        <f t="shared" si="108"/>
        <v>N/A</v>
      </c>
      <c r="BY93" s="16" t="str">
        <f t="shared" si="109"/>
        <v>N/A</v>
      </c>
      <c r="BZ93" s="16" t="str">
        <f t="shared" si="110"/>
        <v>N/A</v>
      </c>
      <c r="CA93" s="16" t="str">
        <f t="shared" si="111"/>
        <v>N/A</v>
      </c>
      <c r="CB93" s="16" t="str">
        <f t="shared" si="112"/>
        <v>N/A</v>
      </c>
      <c r="CC93" s="16" t="str">
        <f t="shared" si="113"/>
        <v>N/A</v>
      </c>
      <c r="CD93" s="16" t="str">
        <f t="shared" si="114"/>
        <v>N/A</v>
      </c>
      <c r="CE93" s="16" t="str">
        <f t="shared" si="115"/>
        <v>N/A</v>
      </c>
      <c r="CF93" s="16" t="str">
        <f t="shared" si="116"/>
        <v>N/A</v>
      </c>
      <c r="CG93" s="16" t="str">
        <f t="shared" si="117"/>
        <v>N/A</v>
      </c>
      <c r="CH93" s="16" t="str">
        <f t="shared" si="118"/>
        <v>N/A</v>
      </c>
      <c r="CI93" s="16" t="str">
        <f t="shared" si="119"/>
        <v>N/A</v>
      </c>
      <c r="CJ93" s="16" t="str">
        <f t="shared" si="120"/>
        <v>N/A</v>
      </c>
      <c r="CK93" s="16" t="str">
        <f t="shared" si="121"/>
        <v>N/A</v>
      </c>
      <c r="CL93" s="16" t="str">
        <f t="shared" si="122"/>
        <v>N/A</v>
      </c>
      <c r="CM93" s="16" t="str">
        <f t="shared" si="123"/>
        <v>N/A</v>
      </c>
      <c r="CN93" s="16" t="str">
        <f t="shared" si="124"/>
        <v>N/A</v>
      </c>
      <c r="CO93" s="16" t="str">
        <f t="shared" si="125"/>
        <v>N/A</v>
      </c>
      <c r="CP93" s="16" t="str">
        <f t="shared" si="126"/>
        <v>N/A</v>
      </c>
      <c r="CQ93" s="16" t="str">
        <f t="shared" si="127"/>
        <v>N/A</v>
      </c>
      <c r="CR93" s="16" t="str">
        <f t="shared" si="128"/>
        <v>N/A</v>
      </c>
      <c r="CS93" s="16" t="str">
        <f t="shared" si="129"/>
        <v>N/A</v>
      </c>
      <c r="CT93" s="16" t="str">
        <f t="shared" si="130"/>
        <v>N/A</v>
      </c>
      <c r="CU93" s="16" t="str">
        <f t="shared" si="131"/>
        <v>N/A</v>
      </c>
      <c r="CV93" s="16" t="str">
        <f t="shared" si="132"/>
        <v>N/A</v>
      </c>
      <c r="CW93" s="16" t="str">
        <f t="shared" si="133"/>
        <v>N/A</v>
      </c>
      <c r="CX93" s="16" t="str">
        <f t="shared" si="134"/>
        <v>N/A</v>
      </c>
      <c r="CY93" s="16" t="str">
        <f t="shared" si="135"/>
        <v>N/A</v>
      </c>
    </row>
    <row r="94" spans="2:103" x14ac:dyDescent="0.25">
      <c r="B94" s="2"/>
      <c r="C94" s="6"/>
      <c r="D94" s="6"/>
      <c r="E94" s="7"/>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5"/>
      <c r="BA94" s="5"/>
      <c r="BB94" s="5"/>
      <c r="BC94" s="5"/>
      <c r="BD94" s="5">
        <f t="shared" si="89"/>
        <v>0</v>
      </c>
      <c r="BE94" s="2"/>
      <c r="BF94" s="2" t="str">
        <f t="shared" si="90"/>
        <v>Menos Horas</v>
      </c>
      <c r="BG94" s="2" t="str">
        <f t="shared" si="91"/>
        <v>Carga Lectiva Insuficiente</v>
      </c>
      <c r="BH94" s="16" t="str">
        <f t="shared" si="92"/>
        <v>Cumple</v>
      </c>
      <c r="BI94" s="2" t="str">
        <f t="shared" si="93"/>
        <v>Cumple</v>
      </c>
      <c r="BJ94" s="16" t="str">
        <f t="shared" si="94"/>
        <v>Cumple</v>
      </c>
      <c r="BK94" s="16" t="str">
        <f t="shared" si="95"/>
        <v>N/A</v>
      </c>
      <c r="BL94" s="16" t="str">
        <f t="shared" si="96"/>
        <v>N/A</v>
      </c>
      <c r="BM94" s="16" t="str">
        <f t="shared" si="97"/>
        <v>N/A</v>
      </c>
      <c r="BN94" s="16" t="str">
        <f t="shared" si="98"/>
        <v>N/A</v>
      </c>
      <c r="BO94" s="16" t="str">
        <f t="shared" si="99"/>
        <v>N/A</v>
      </c>
      <c r="BP94" s="16" t="str">
        <f t="shared" si="100"/>
        <v>N/A</v>
      </c>
      <c r="BQ94" s="16" t="str">
        <f t="shared" si="101"/>
        <v>N/A</v>
      </c>
      <c r="BR94" s="16" t="str">
        <f t="shared" si="102"/>
        <v>N/A</v>
      </c>
      <c r="BS94" s="16" t="str">
        <f t="shared" si="103"/>
        <v>N/A</v>
      </c>
      <c r="BT94" s="16" t="str">
        <f t="shared" si="104"/>
        <v>N/A</v>
      </c>
      <c r="BU94" s="16" t="str">
        <f t="shared" si="105"/>
        <v>N/A</v>
      </c>
      <c r="BV94" s="16" t="str">
        <f t="shared" si="106"/>
        <v>N/A</v>
      </c>
      <c r="BW94" s="16" t="str">
        <f t="shared" si="107"/>
        <v>N/A</v>
      </c>
      <c r="BX94" s="16" t="str">
        <f t="shared" si="108"/>
        <v>N/A</v>
      </c>
      <c r="BY94" s="16" t="str">
        <f t="shared" si="109"/>
        <v>N/A</v>
      </c>
      <c r="BZ94" s="16" t="str">
        <f t="shared" si="110"/>
        <v>N/A</v>
      </c>
      <c r="CA94" s="16" t="str">
        <f t="shared" si="111"/>
        <v>N/A</v>
      </c>
      <c r="CB94" s="16" t="str">
        <f t="shared" si="112"/>
        <v>N/A</v>
      </c>
      <c r="CC94" s="16" t="str">
        <f t="shared" si="113"/>
        <v>N/A</v>
      </c>
      <c r="CD94" s="16" t="str">
        <f t="shared" si="114"/>
        <v>N/A</v>
      </c>
      <c r="CE94" s="16" t="str">
        <f t="shared" si="115"/>
        <v>N/A</v>
      </c>
      <c r="CF94" s="16" t="str">
        <f t="shared" si="116"/>
        <v>N/A</v>
      </c>
      <c r="CG94" s="16" t="str">
        <f t="shared" si="117"/>
        <v>N/A</v>
      </c>
      <c r="CH94" s="16" t="str">
        <f t="shared" si="118"/>
        <v>N/A</v>
      </c>
      <c r="CI94" s="16" t="str">
        <f t="shared" si="119"/>
        <v>N/A</v>
      </c>
      <c r="CJ94" s="16" t="str">
        <f t="shared" si="120"/>
        <v>N/A</v>
      </c>
      <c r="CK94" s="16" t="str">
        <f t="shared" si="121"/>
        <v>N/A</v>
      </c>
      <c r="CL94" s="16" t="str">
        <f t="shared" si="122"/>
        <v>N/A</v>
      </c>
      <c r="CM94" s="16" t="str">
        <f t="shared" si="123"/>
        <v>N/A</v>
      </c>
      <c r="CN94" s="16" t="str">
        <f t="shared" si="124"/>
        <v>N/A</v>
      </c>
      <c r="CO94" s="16" t="str">
        <f t="shared" si="125"/>
        <v>N/A</v>
      </c>
      <c r="CP94" s="16" t="str">
        <f t="shared" si="126"/>
        <v>N/A</v>
      </c>
      <c r="CQ94" s="16" t="str">
        <f t="shared" si="127"/>
        <v>N/A</v>
      </c>
      <c r="CR94" s="16" t="str">
        <f t="shared" si="128"/>
        <v>N/A</v>
      </c>
      <c r="CS94" s="16" t="str">
        <f t="shared" si="129"/>
        <v>N/A</v>
      </c>
      <c r="CT94" s="16" t="str">
        <f t="shared" si="130"/>
        <v>N/A</v>
      </c>
      <c r="CU94" s="16" t="str">
        <f t="shared" si="131"/>
        <v>N/A</v>
      </c>
      <c r="CV94" s="16" t="str">
        <f t="shared" si="132"/>
        <v>N/A</v>
      </c>
      <c r="CW94" s="16" t="str">
        <f t="shared" si="133"/>
        <v>N/A</v>
      </c>
      <c r="CX94" s="16" t="str">
        <f t="shared" si="134"/>
        <v>N/A</v>
      </c>
      <c r="CY94" s="16" t="str">
        <f t="shared" si="135"/>
        <v>N/A</v>
      </c>
    </row>
    <row r="95" spans="2:103" x14ac:dyDescent="0.25">
      <c r="B95" s="2"/>
      <c r="C95" s="6"/>
      <c r="D95" s="6"/>
      <c r="E95" s="7"/>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5"/>
      <c r="BA95" s="5"/>
      <c r="BB95" s="5"/>
      <c r="BC95" s="5"/>
      <c r="BD95" s="5">
        <f t="shared" si="89"/>
        <v>0</v>
      </c>
      <c r="BE95" s="2"/>
      <c r="BF95" s="2" t="str">
        <f t="shared" si="90"/>
        <v>Menos Horas</v>
      </c>
      <c r="BG95" s="2" t="str">
        <f t="shared" si="91"/>
        <v>Carga Lectiva Insuficiente</v>
      </c>
      <c r="BH95" s="16" t="str">
        <f t="shared" si="92"/>
        <v>Cumple</v>
      </c>
      <c r="BI95" s="2" t="str">
        <f t="shared" si="93"/>
        <v>Cumple</v>
      </c>
      <c r="BJ95" s="16" t="str">
        <f t="shared" si="94"/>
        <v>Cumple</v>
      </c>
      <c r="BK95" s="16" t="str">
        <f t="shared" si="95"/>
        <v>N/A</v>
      </c>
      <c r="BL95" s="16" t="str">
        <f t="shared" si="96"/>
        <v>N/A</v>
      </c>
      <c r="BM95" s="16" t="str">
        <f t="shared" si="97"/>
        <v>N/A</v>
      </c>
      <c r="BN95" s="16" t="str">
        <f t="shared" si="98"/>
        <v>N/A</v>
      </c>
      <c r="BO95" s="16" t="str">
        <f t="shared" si="99"/>
        <v>N/A</v>
      </c>
      <c r="BP95" s="16" t="str">
        <f t="shared" si="100"/>
        <v>N/A</v>
      </c>
      <c r="BQ95" s="16" t="str">
        <f t="shared" si="101"/>
        <v>N/A</v>
      </c>
      <c r="BR95" s="16" t="str">
        <f t="shared" si="102"/>
        <v>N/A</v>
      </c>
      <c r="BS95" s="16" t="str">
        <f t="shared" si="103"/>
        <v>N/A</v>
      </c>
      <c r="BT95" s="16" t="str">
        <f t="shared" si="104"/>
        <v>N/A</v>
      </c>
      <c r="BU95" s="16" t="str">
        <f t="shared" si="105"/>
        <v>N/A</v>
      </c>
      <c r="BV95" s="16" t="str">
        <f t="shared" si="106"/>
        <v>N/A</v>
      </c>
      <c r="BW95" s="16" t="str">
        <f t="shared" si="107"/>
        <v>N/A</v>
      </c>
      <c r="BX95" s="16" t="str">
        <f t="shared" si="108"/>
        <v>N/A</v>
      </c>
      <c r="BY95" s="16" t="str">
        <f t="shared" si="109"/>
        <v>N/A</v>
      </c>
      <c r="BZ95" s="16" t="str">
        <f t="shared" si="110"/>
        <v>N/A</v>
      </c>
      <c r="CA95" s="16" t="str">
        <f t="shared" si="111"/>
        <v>N/A</v>
      </c>
      <c r="CB95" s="16" t="str">
        <f t="shared" si="112"/>
        <v>N/A</v>
      </c>
      <c r="CC95" s="16" t="str">
        <f t="shared" si="113"/>
        <v>N/A</v>
      </c>
      <c r="CD95" s="16" t="str">
        <f t="shared" si="114"/>
        <v>N/A</v>
      </c>
      <c r="CE95" s="16" t="str">
        <f t="shared" si="115"/>
        <v>N/A</v>
      </c>
      <c r="CF95" s="16" t="str">
        <f t="shared" si="116"/>
        <v>N/A</v>
      </c>
      <c r="CG95" s="16" t="str">
        <f t="shared" si="117"/>
        <v>N/A</v>
      </c>
      <c r="CH95" s="16" t="str">
        <f t="shared" si="118"/>
        <v>N/A</v>
      </c>
      <c r="CI95" s="16" t="str">
        <f t="shared" si="119"/>
        <v>N/A</v>
      </c>
      <c r="CJ95" s="16" t="str">
        <f t="shared" si="120"/>
        <v>N/A</v>
      </c>
      <c r="CK95" s="16" t="str">
        <f t="shared" si="121"/>
        <v>N/A</v>
      </c>
      <c r="CL95" s="16" t="str">
        <f t="shared" si="122"/>
        <v>N/A</v>
      </c>
      <c r="CM95" s="16" t="str">
        <f t="shared" si="123"/>
        <v>N/A</v>
      </c>
      <c r="CN95" s="16" t="str">
        <f t="shared" si="124"/>
        <v>N/A</v>
      </c>
      <c r="CO95" s="16" t="str">
        <f t="shared" si="125"/>
        <v>N/A</v>
      </c>
      <c r="CP95" s="16" t="str">
        <f t="shared" si="126"/>
        <v>N/A</v>
      </c>
      <c r="CQ95" s="16" t="str">
        <f t="shared" si="127"/>
        <v>N/A</v>
      </c>
      <c r="CR95" s="16" t="str">
        <f t="shared" si="128"/>
        <v>N/A</v>
      </c>
      <c r="CS95" s="16" t="str">
        <f t="shared" si="129"/>
        <v>N/A</v>
      </c>
      <c r="CT95" s="16" t="str">
        <f t="shared" si="130"/>
        <v>N/A</v>
      </c>
      <c r="CU95" s="16" t="str">
        <f t="shared" si="131"/>
        <v>N/A</v>
      </c>
      <c r="CV95" s="16" t="str">
        <f t="shared" si="132"/>
        <v>N/A</v>
      </c>
      <c r="CW95" s="16" t="str">
        <f t="shared" si="133"/>
        <v>N/A</v>
      </c>
      <c r="CX95" s="16" t="str">
        <f t="shared" si="134"/>
        <v>N/A</v>
      </c>
      <c r="CY95" s="16" t="str">
        <f t="shared" si="135"/>
        <v>N/A</v>
      </c>
    </row>
    <row r="96" spans="2:103" x14ac:dyDescent="0.25">
      <c r="B96" s="2"/>
      <c r="C96" s="6"/>
      <c r="D96" s="6"/>
      <c r="E96" s="7"/>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5"/>
      <c r="BA96" s="5"/>
      <c r="BB96" s="5"/>
      <c r="BC96" s="5"/>
      <c r="BD96" s="5">
        <f t="shared" si="89"/>
        <v>0</v>
      </c>
      <c r="BE96" s="2"/>
      <c r="BF96" s="2" t="str">
        <f t="shared" si="90"/>
        <v>Menos Horas</v>
      </c>
      <c r="BG96" s="2" t="str">
        <f t="shared" si="91"/>
        <v>Carga Lectiva Insuficiente</v>
      </c>
      <c r="BH96" s="16" t="str">
        <f t="shared" si="92"/>
        <v>Cumple</v>
      </c>
      <c r="BI96" s="2" t="str">
        <f t="shared" si="93"/>
        <v>Cumple</v>
      </c>
      <c r="BJ96" s="16" t="str">
        <f t="shared" si="94"/>
        <v>Cumple</v>
      </c>
      <c r="BK96" s="16" t="str">
        <f t="shared" si="95"/>
        <v>N/A</v>
      </c>
      <c r="BL96" s="16" t="str">
        <f t="shared" si="96"/>
        <v>N/A</v>
      </c>
      <c r="BM96" s="16" t="str">
        <f t="shared" si="97"/>
        <v>N/A</v>
      </c>
      <c r="BN96" s="16" t="str">
        <f t="shared" si="98"/>
        <v>N/A</v>
      </c>
      <c r="BO96" s="16" t="str">
        <f t="shared" si="99"/>
        <v>N/A</v>
      </c>
      <c r="BP96" s="16" t="str">
        <f t="shared" si="100"/>
        <v>N/A</v>
      </c>
      <c r="BQ96" s="16" t="str">
        <f t="shared" si="101"/>
        <v>N/A</v>
      </c>
      <c r="BR96" s="16" t="str">
        <f t="shared" si="102"/>
        <v>N/A</v>
      </c>
      <c r="BS96" s="16" t="str">
        <f t="shared" si="103"/>
        <v>N/A</v>
      </c>
      <c r="BT96" s="16" t="str">
        <f t="shared" si="104"/>
        <v>N/A</v>
      </c>
      <c r="BU96" s="16" t="str">
        <f t="shared" si="105"/>
        <v>N/A</v>
      </c>
      <c r="BV96" s="16" t="str">
        <f t="shared" si="106"/>
        <v>N/A</v>
      </c>
      <c r="BW96" s="16" t="str">
        <f t="shared" si="107"/>
        <v>N/A</v>
      </c>
      <c r="BX96" s="16" t="str">
        <f t="shared" si="108"/>
        <v>N/A</v>
      </c>
      <c r="BY96" s="16" t="str">
        <f t="shared" si="109"/>
        <v>N/A</v>
      </c>
      <c r="BZ96" s="16" t="str">
        <f t="shared" si="110"/>
        <v>N/A</v>
      </c>
      <c r="CA96" s="16" t="str">
        <f t="shared" si="111"/>
        <v>N/A</v>
      </c>
      <c r="CB96" s="16" t="str">
        <f t="shared" si="112"/>
        <v>N/A</v>
      </c>
      <c r="CC96" s="16" t="str">
        <f t="shared" si="113"/>
        <v>N/A</v>
      </c>
      <c r="CD96" s="16" t="str">
        <f t="shared" si="114"/>
        <v>N/A</v>
      </c>
      <c r="CE96" s="16" t="str">
        <f t="shared" si="115"/>
        <v>N/A</v>
      </c>
      <c r="CF96" s="16" t="str">
        <f t="shared" si="116"/>
        <v>N/A</v>
      </c>
      <c r="CG96" s="16" t="str">
        <f t="shared" si="117"/>
        <v>N/A</v>
      </c>
      <c r="CH96" s="16" t="str">
        <f t="shared" si="118"/>
        <v>N/A</v>
      </c>
      <c r="CI96" s="16" t="str">
        <f t="shared" si="119"/>
        <v>N/A</v>
      </c>
      <c r="CJ96" s="16" t="str">
        <f t="shared" si="120"/>
        <v>N/A</v>
      </c>
      <c r="CK96" s="16" t="str">
        <f t="shared" si="121"/>
        <v>N/A</v>
      </c>
      <c r="CL96" s="16" t="str">
        <f t="shared" si="122"/>
        <v>N/A</v>
      </c>
      <c r="CM96" s="16" t="str">
        <f t="shared" si="123"/>
        <v>N/A</v>
      </c>
      <c r="CN96" s="16" t="str">
        <f t="shared" si="124"/>
        <v>N/A</v>
      </c>
      <c r="CO96" s="16" t="str">
        <f t="shared" si="125"/>
        <v>N/A</v>
      </c>
      <c r="CP96" s="16" t="str">
        <f t="shared" si="126"/>
        <v>N/A</v>
      </c>
      <c r="CQ96" s="16" t="str">
        <f t="shared" si="127"/>
        <v>N/A</v>
      </c>
      <c r="CR96" s="16" t="str">
        <f t="shared" si="128"/>
        <v>N/A</v>
      </c>
      <c r="CS96" s="16" t="str">
        <f t="shared" si="129"/>
        <v>N/A</v>
      </c>
      <c r="CT96" s="16" t="str">
        <f t="shared" si="130"/>
        <v>N/A</v>
      </c>
      <c r="CU96" s="16" t="str">
        <f t="shared" si="131"/>
        <v>N/A</v>
      </c>
      <c r="CV96" s="16" t="str">
        <f t="shared" si="132"/>
        <v>N/A</v>
      </c>
      <c r="CW96" s="16" t="str">
        <f t="shared" si="133"/>
        <v>N/A</v>
      </c>
      <c r="CX96" s="16" t="str">
        <f t="shared" si="134"/>
        <v>N/A</v>
      </c>
      <c r="CY96" s="16" t="str">
        <f t="shared" si="135"/>
        <v>N/A</v>
      </c>
    </row>
    <row r="97" spans="2:103" x14ac:dyDescent="0.25">
      <c r="B97" s="2"/>
      <c r="C97" s="6"/>
      <c r="D97" s="6"/>
      <c r="E97" s="7"/>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5"/>
      <c r="BA97" s="5"/>
      <c r="BB97" s="5"/>
      <c r="BC97" s="5"/>
      <c r="BD97" s="5">
        <f t="shared" si="89"/>
        <v>0</v>
      </c>
      <c r="BE97" s="2"/>
      <c r="BF97" s="2" t="str">
        <f t="shared" si="90"/>
        <v>Menos Horas</v>
      </c>
      <c r="BG97" s="2" t="str">
        <f t="shared" si="91"/>
        <v>Carga Lectiva Insuficiente</v>
      </c>
      <c r="BH97" s="16" t="str">
        <f t="shared" si="92"/>
        <v>Cumple</v>
      </c>
      <c r="BI97" s="2" t="str">
        <f t="shared" si="93"/>
        <v>Cumple</v>
      </c>
      <c r="BJ97" s="16" t="str">
        <f t="shared" si="94"/>
        <v>Cumple</v>
      </c>
      <c r="BK97" s="16" t="str">
        <f t="shared" si="95"/>
        <v>N/A</v>
      </c>
      <c r="BL97" s="16" t="str">
        <f t="shared" si="96"/>
        <v>N/A</v>
      </c>
      <c r="BM97" s="16" t="str">
        <f t="shared" si="97"/>
        <v>N/A</v>
      </c>
      <c r="BN97" s="16" t="str">
        <f t="shared" si="98"/>
        <v>N/A</v>
      </c>
      <c r="BO97" s="16" t="str">
        <f t="shared" si="99"/>
        <v>N/A</v>
      </c>
      <c r="BP97" s="16" t="str">
        <f t="shared" si="100"/>
        <v>N/A</v>
      </c>
      <c r="BQ97" s="16" t="str">
        <f t="shared" si="101"/>
        <v>N/A</v>
      </c>
      <c r="BR97" s="16" t="str">
        <f t="shared" si="102"/>
        <v>N/A</v>
      </c>
      <c r="BS97" s="16" t="str">
        <f t="shared" si="103"/>
        <v>N/A</v>
      </c>
      <c r="BT97" s="16" t="str">
        <f t="shared" si="104"/>
        <v>N/A</v>
      </c>
      <c r="BU97" s="16" t="str">
        <f t="shared" si="105"/>
        <v>N/A</v>
      </c>
      <c r="BV97" s="16" t="str">
        <f t="shared" si="106"/>
        <v>N/A</v>
      </c>
      <c r="BW97" s="16" t="str">
        <f t="shared" si="107"/>
        <v>N/A</v>
      </c>
      <c r="BX97" s="16" t="str">
        <f t="shared" si="108"/>
        <v>N/A</v>
      </c>
      <c r="BY97" s="16" t="str">
        <f t="shared" si="109"/>
        <v>N/A</v>
      </c>
      <c r="BZ97" s="16" t="str">
        <f t="shared" si="110"/>
        <v>N/A</v>
      </c>
      <c r="CA97" s="16" t="str">
        <f t="shared" si="111"/>
        <v>N/A</v>
      </c>
      <c r="CB97" s="16" t="str">
        <f t="shared" si="112"/>
        <v>N/A</v>
      </c>
      <c r="CC97" s="16" t="str">
        <f t="shared" si="113"/>
        <v>N/A</v>
      </c>
      <c r="CD97" s="16" t="str">
        <f t="shared" si="114"/>
        <v>N/A</v>
      </c>
      <c r="CE97" s="16" t="str">
        <f t="shared" si="115"/>
        <v>N/A</v>
      </c>
      <c r="CF97" s="16" t="str">
        <f t="shared" si="116"/>
        <v>N/A</v>
      </c>
      <c r="CG97" s="16" t="str">
        <f t="shared" si="117"/>
        <v>N/A</v>
      </c>
      <c r="CH97" s="16" t="str">
        <f t="shared" si="118"/>
        <v>N/A</v>
      </c>
      <c r="CI97" s="16" t="str">
        <f t="shared" si="119"/>
        <v>N/A</v>
      </c>
      <c r="CJ97" s="16" t="str">
        <f t="shared" si="120"/>
        <v>N/A</v>
      </c>
      <c r="CK97" s="16" t="str">
        <f t="shared" si="121"/>
        <v>N/A</v>
      </c>
      <c r="CL97" s="16" t="str">
        <f t="shared" si="122"/>
        <v>N/A</v>
      </c>
      <c r="CM97" s="16" t="str">
        <f t="shared" si="123"/>
        <v>N/A</v>
      </c>
      <c r="CN97" s="16" t="str">
        <f t="shared" si="124"/>
        <v>N/A</v>
      </c>
      <c r="CO97" s="16" t="str">
        <f t="shared" si="125"/>
        <v>N/A</v>
      </c>
      <c r="CP97" s="16" t="str">
        <f t="shared" si="126"/>
        <v>N/A</v>
      </c>
      <c r="CQ97" s="16" t="str">
        <f t="shared" si="127"/>
        <v>N/A</v>
      </c>
      <c r="CR97" s="16" t="str">
        <f t="shared" si="128"/>
        <v>N/A</v>
      </c>
      <c r="CS97" s="16" t="str">
        <f t="shared" si="129"/>
        <v>N/A</v>
      </c>
      <c r="CT97" s="16" t="str">
        <f t="shared" si="130"/>
        <v>N/A</v>
      </c>
      <c r="CU97" s="16" t="str">
        <f t="shared" si="131"/>
        <v>N/A</v>
      </c>
      <c r="CV97" s="16" t="str">
        <f t="shared" si="132"/>
        <v>N/A</v>
      </c>
      <c r="CW97" s="16" t="str">
        <f t="shared" si="133"/>
        <v>N/A</v>
      </c>
      <c r="CX97" s="16" t="str">
        <f t="shared" si="134"/>
        <v>N/A</v>
      </c>
      <c r="CY97" s="16" t="str">
        <f t="shared" si="135"/>
        <v>N/A</v>
      </c>
    </row>
    <row r="98" spans="2:103" x14ac:dyDescent="0.25">
      <c r="B98" s="2"/>
      <c r="C98" s="6"/>
      <c r="D98" s="6"/>
      <c r="E98" s="7"/>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5"/>
      <c r="BA98" s="5"/>
      <c r="BB98" s="5"/>
      <c r="BC98" s="5"/>
      <c r="BD98" s="5">
        <f t="shared" si="89"/>
        <v>0</v>
      </c>
      <c r="BE98" s="2"/>
      <c r="BF98" s="2" t="str">
        <f t="shared" si="90"/>
        <v>Menos Horas</v>
      </c>
      <c r="BG98" s="2" t="str">
        <f t="shared" si="91"/>
        <v>Carga Lectiva Insuficiente</v>
      </c>
      <c r="BH98" s="16" t="str">
        <f t="shared" si="92"/>
        <v>Cumple</v>
      </c>
      <c r="BI98" s="2" t="str">
        <f t="shared" si="93"/>
        <v>Cumple</v>
      </c>
      <c r="BJ98" s="16" t="str">
        <f t="shared" si="94"/>
        <v>Cumple</v>
      </c>
      <c r="BK98" s="16" t="str">
        <f t="shared" si="95"/>
        <v>N/A</v>
      </c>
      <c r="BL98" s="16" t="str">
        <f t="shared" si="96"/>
        <v>N/A</v>
      </c>
      <c r="BM98" s="16" t="str">
        <f t="shared" si="97"/>
        <v>N/A</v>
      </c>
      <c r="BN98" s="16" t="str">
        <f t="shared" si="98"/>
        <v>N/A</v>
      </c>
      <c r="BO98" s="16" t="str">
        <f t="shared" si="99"/>
        <v>N/A</v>
      </c>
      <c r="BP98" s="16" t="str">
        <f t="shared" si="100"/>
        <v>N/A</v>
      </c>
      <c r="BQ98" s="16" t="str">
        <f t="shared" si="101"/>
        <v>N/A</v>
      </c>
      <c r="BR98" s="16" t="str">
        <f t="shared" si="102"/>
        <v>N/A</v>
      </c>
      <c r="BS98" s="16" t="str">
        <f t="shared" si="103"/>
        <v>N/A</v>
      </c>
      <c r="BT98" s="16" t="str">
        <f t="shared" si="104"/>
        <v>N/A</v>
      </c>
      <c r="BU98" s="16" t="str">
        <f t="shared" si="105"/>
        <v>N/A</v>
      </c>
      <c r="BV98" s="16" t="str">
        <f t="shared" si="106"/>
        <v>N/A</v>
      </c>
      <c r="BW98" s="16" t="str">
        <f t="shared" si="107"/>
        <v>N/A</v>
      </c>
      <c r="BX98" s="16" t="str">
        <f t="shared" si="108"/>
        <v>N/A</v>
      </c>
      <c r="BY98" s="16" t="str">
        <f t="shared" si="109"/>
        <v>N/A</v>
      </c>
      <c r="BZ98" s="16" t="str">
        <f t="shared" si="110"/>
        <v>N/A</v>
      </c>
      <c r="CA98" s="16" t="str">
        <f t="shared" si="111"/>
        <v>N/A</v>
      </c>
      <c r="CB98" s="16" t="str">
        <f t="shared" si="112"/>
        <v>N/A</v>
      </c>
      <c r="CC98" s="16" t="str">
        <f t="shared" si="113"/>
        <v>N/A</v>
      </c>
      <c r="CD98" s="16" t="str">
        <f t="shared" si="114"/>
        <v>N/A</v>
      </c>
      <c r="CE98" s="16" t="str">
        <f t="shared" si="115"/>
        <v>N/A</v>
      </c>
      <c r="CF98" s="16" t="str">
        <f t="shared" si="116"/>
        <v>N/A</v>
      </c>
      <c r="CG98" s="16" t="str">
        <f t="shared" si="117"/>
        <v>N/A</v>
      </c>
      <c r="CH98" s="16" t="str">
        <f t="shared" si="118"/>
        <v>N/A</v>
      </c>
      <c r="CI98" s="16" t="str">
        <f t="shared" si="119"/>
        <v>N/A</v>
      </c>
      <c r="CJ98" s="16" t="str">
        <f t="shared" si="120"/>
        <v>N/A</v>
      </c>
      <c r="CK98" s="16" t="str">
        <f t="shared" si="121"/>
        <v>N/A</v>
      </c>
      <c r="CL98" s="16" t="str">
        <f t="shared" si="122"/>
        <v>N/A</v>
      </c>
      <c r="CM98" s="16" t="str">
        <f t="shared" si="123"/>
        <v>N/A</v>
      </c>
      <c r="CN98" s="16" t="str">
        <f t="shared" si="124"/>
        <v>N/A</v>
      </c>
      <c r="CO98" s="16" t="str">
        <f t="shared" si="125"/>
        <v>N/A</v>
      </c>
      <c r="CP98" s="16" t="str">
        <f t="shared" si="126"/>
        <v>N/A</v>
      </c>
      <c r="CQ98" s="16" t="str">
        <f t="shared" si="127"/>
        <v>N/A</v>
      </c>
      <c r="CR98" s="16" t="str">
        <f t="shared" si="128"/>
        <v>N/A</v>
      </c>
      <c r="CS98" s="16" t="str">
        <f t="shared" si="129"/>
        <v>N/A</v>
      </c>
      <c r="CT98" s="16" t="str">
        <f t="shared" si="130"/>
        <v>N/A</v>
      </c>
      <c r="CU98" s="16" t="str">
        <f t="shared" si="131"/>
        <v>N/A</v>
      </c>
      <c r="CV98" s="16" t="str">
        <f t="shared" si="132"/>
        <v>N/A</v>
      </c>
      <c r="CW98" s="16" t="str">
        <f t="shared" si="133"/>
        <v>N/A</v>
      </c>
      <c r="CX98" s="16" t="str">
        <f t="shared" si="134"/>
        <v>N/A</v>
      </c>
      <c r="CY98" s="16" t="str">
        <f t="shared" si="135"/>
        <v>N/A</v>
      </c>
    </row>
    <row r="99" spans="2:103" x14ac:dyDescent="0.25">
      <c r="B99" s="2"/>
      <c r="C99" s="6"/>
      <c r="D99" s="6"/>
      <c r="E99" s="7"/>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5"/>
      <c r="BA99" s="5"/>
      <c r="BB99" s="5"/>
      <c r="BC99" s="5"/>
      <c r="BD99" s="5">
        <f t="shared" si="89"/>
        <v>0</v>
      </c>
      <c r="BE99" s="2"/>
      <c r="BF99" s="2" t="str">
        <f t="shared" si="90"/>
        <v>Menos Horas</v>
      </c>
      <c r="BG99" s="2" t="str">
        <f t="shared" si="91"/>
        <v>Carga Lectiva Insuficiente</v>
      </c>
      <c r="BH99" s="16" t="str">
        <f t="shared" si="92"/>
        <v>Cumple</v>
      </c>
      <c r="BI99" s="2" t="str">
        <f t="shared" si="93"/>
        <v>Cumple</v>
      </c>
      <c r="BJ99" s="16" t="str">
        <f t="shared" si="94"/>
        <v>Cumple</v>
      </c>
      <c r="BK99" s="16" t="str">
        <f t="shared" si="95"/>
        <v>N/A</v>
      </c>
      <c r="BL99" s="16" t="str">
        <f t="shared" si="96"/>
        <v>N/A</v>
      </c>
      <c r="BM99" s="16" t="str">
        <f t="shared" si="97"/>
        <v>N/A</v>
      </c>
      <c r="BN99" s="16" t="str">
        <f t="shared" si="98"/>
        <v>N/A</v>
      </c>
      <c r="BO99" s="16" t="str">
        <f t="shared" si="99"/>
        <v>N/A</v>
      </c>
      <c r="BP99" s="16" t="str">
        <f t="shared" si="100"/>
        <v>N/A</v>
      </c>
      <c r="BQ99" s="16" t="str">
        <f t="shared" si="101"/>
        <v>N/A</v>
      </c>
      <c r="BR99" s="16" t="str">
        <f t="shared" si="102"/>
        <v>N/A</v>
      </c>
      <c r="BS99" s="16" t="str">
        <f t="shared" si="103"/>
        <v>N/A</v>
      </c>
      <c r="BT99" s="16" t="str">
        <f t="shared" si="104"/>
        <v>N/A</v>
      </c>
      <c r="BU99" s="16" t="str">
        <f t="shared" si="105"/>
        <v>N/A</v>
      </c>
      <c r="BV99" s="16" t="str">
        <f t="shared" si="106"/>
        <v>N/A</v>
      </c>
      <c r="BW99" s="16" t="str">
        <f t="shared" si="107"/>
        <v>N/A</v>
      </c>
      <c r="BX99" s="16" t="str">
        <f t="shared" si="108"/>
        <v>N/A</v>
      </c>
      <c r="BY99" s="16" t="str">
        <f t="shared" si="109"/>
        <v>N/A</v>
      </c>
      <c r="BZ99" s="16" t="str">
        <f t="shared" si="110"/>
        <v>N/A</v>
      </c>
      <c r="CA99" s="16" t="str">
        <f t="shared" si="111"/>
        <v>N/A</v>
      </c>
      <c r="CB99" s="16" t="str">
        <f t="shared" si="112"/>
        <v>N/A</v>
      </c>
      <c r="CC99" s="16" t="str">
        <f t="shared" si="113"/>
        <v>N/A</v>
      </c>
      <c r="CD99" s="16" t="str">
        <f t="shared" si="114"/>
        <v>N/A</v>
      </c>
      <c r="CE99" s="16" t="str">
        <f t="shared" si="115"/>
        <v>N/A</v>
      </c>
      <c r="CF99" s="16" t="str">
        <f t="shared" si="116"/>
        <v>N/A</v>
      </c>
      <c r="CG99" s="16" t="str">
        <f t="shared" si="117"/>
        <v>N/A</v>
      </c>
      <c r="CH99" s="16" t="str">
        <f t="shared" si="118"/>
        <v>N/A</v>
      </c>
      <c r="CI99" s="16" t="str">
        <f t="shared" si="119"/>
        <v>N/A</v>
      </c>
      <c r="CJ99" s="16" t="str">
        <f t="shared" si="120"/>
        <v>N/A</v>
      </c>
      <c r="CK99" s="16" t="str">
        <f t="shared" si="121"/>
        <v>N/A</v>
      </c>
      <c r="CL99" s="16" t="str">
        <f t="shared" si="122"/>
        <v>N/A</v>
      </c>
      <c r="CM99" s="16" t="str">
        <f t="shared" si="123"/>
        <v>N/A</v>
      </c>
      <c r="CN99" s="16" t="str">
        <f t="shared" si="124"/>
        <v>N/A</v>
      </c>
      <c r="CO99" s="16" t="str">
        <f t="shared" si="125"/>
        <v>N/A</v>
      </c>
      <c r="CP99" s="16" t="str">
        <f t="shared" si="126"/>
        <v>N/A</v>
      </c>
      <c r="CQ99" s="16" t="str">
        <f t="shared" si="127"/>
        <v>N/A</v>
      </c>
      <c r="CR99" s="16" t="str">
        <f t="shared" si="128"/>
        <v>N/A</v>
      </c>
      <c r="CS99" s="16" t="str">
        <f t="shared" si="129"/>
        <v>N/A</v>
      </c>
      <c r="CT99" s="16" t="str">
        <f t="shared" si="130"/>
        <v>N/A</v>
      </c>
      <c r="CU99" s="16" t="str">
        <f t="shared" si="131"/>
        <v>N/A</v>
      </c>
      <c r="CV99" s="16" t="str">
        <f t="shared" si="132"/>
        <v>N/A</v>
      </c>
      <c r="CW99" s="16" t="str">
        <f t="shared" si="133"/>
        <v>N/A</v>
      </c>
      <c r="CX99" s="16" t="str">
        <f t="shared" si="134"/>
        <v>N/A</v>
      </c>
      <c r="CY99" s="16" t="str">
        <f t="shared" si="135"/>
        <v>N/A</v>
      </c>
    </row>
    <row r="100" spans="2:103" x14ac:dyDescent="0.25">
      <c r="B100" s="2"/>
      <c r="C100" s="6"/>
      <c r="D100" s="6"/>
      <c r="E100" s="7"/>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5"/>
      <c r="BA100" s="5"/>
      <c r="BB100" s="5"/>
      <c r="BC100" s="5"/>
      <c r="BD100" s="5">
        <f t="shared" si="89"/>
        <v>0</v>
      </c>
      <c r="BE100" s="2"/>
      <c r="BF100" s="2" t="str">
        <f t="shared" si="90"/>
        <v>Menos Horas</v>
      </c>
      <c r="BG100" s="2" t="str">
        <f t="shared" si="91"/>
        <v>Carga Lectiva Insuficiente</v>
      </c>
      <c r="BH100" s="16" t="str">
        <f t="shared" si="92"/>
        <v>Cumple</v>
      </c>
      <c r="BI100" s="2" t="str">
        <f t="shared" si="93"/>
        <v>Cumple</v>
      </c>
      <c r="BJ100" s="16" t="str">
        <f t="shared" si="94"/>
        <v>Cumple</v>
      </c>
      <c r="BK100" s="16" t="str">
        <f t="shared" si="95"/>
        <v>N/A</v>
      </c>
      <c r="BL100" s="16" t="str">
        <f t="shared" si="96"/>
        <v>N/A</v>
      </c>
      <c r="BM100" s="16" t="str">
        <f t="shared" si="97"/>
        <v>N/A</v>
      </c>
      <c r="BN100" s="16" t="str">
        <f t="shared" si="98"/>
        <v>N/A</v>
      </c>
      <c r="BO100" s="16" t="str">
        <f t="shared" si="99"/>
        <v>N/A</v>
      </c>
      <c r="BP100" s="16" t="str">
        <f t="shared" si="100"/>
        <v>N/A</v>
      </c>
      <c r="BQ100" s="16" t="str">
        <f t="shared" si="101"/>
        <v>N/A</v>
      </c>
      <c r="BR100" s="16" t="str">
        <f t="shared" si="102"/>
        <v>N/A</v>
      </c>
      <c r="BS100" s="16" t="str">
        <f t="shared" si="103"/>
        <v>N/A</v>
      </c>
      <c r="BT100" s="16" t="str">
        <f t="shared" si="104"/>
        <v>N/A</v>
      </c>
      <c r="BU100" s="16" t="str">
        <f t="shared" si="105"/>
        <v>N/A</v>
      </c>
      <c r="BV100" s="16" t="str">
        <f t="shared" si="106"/>
        <v>N/A</v>
      </c>
      <c r="BW100" s="16" t="str">
        <f t="shared" si="107"/>
        <v>N/A</v>
      </c>
      <c r="BX100" s="16" t="str">
        <f t="shared" si="108"/>
        <v>N/A</v>
      </c>
      <c r="BY100" s="16" t="str">
        <f t="shared" si="109"/>
        <v>N/A</v>
      </c>
      <c r="BZ100" s="16" t="str">
        <f t="shared" si="110"/>
        <v>N/A</v>
      </c>
      <c r="CA100" s="16" t="str">
        <f t="shared" si="111"/>
        <v>N/A</v>
      </c>
      <c r="CB100" s="16" t="str">
        <f t="shared" si="112"/>
        <v>N/A</v>
      </c>
      <c r="CC100" s="16" t="str">
        <f t="shared" si="113"/>
        <v>N/A</v>
      </c>
      <c r="CD100" s="16" t="str">
        <f t="shared" si="114"/>
        <v>N/A</v>
      </c>
      <c r="CE100" s="16" t="str">
        <f t="shared" si="115"/>
        <v>N/A</v>
      </c>
      <c r="CF100" s="16" t="str">
        <f t="shared" si="116"/>
        <v>N/A</v>
      </c>
      <c r="CG100" s="16" t="str">
        <f t="shared" si="117"/>
        <v>N/A</v>
      </c>
      <c r="CH100" s="16" t="str">
        <f t="shared" si="118"/>
        <v>N/A</v>
      </c>
      <c r="CI100" s="16" t="str">
        <f t="shared" si="119"/>
        <v>N/A</v>
      </c>
      <c r="CJ100" s="16" t="str">
        <f t="shared" si="120"/>
        <v>N/A</v>
      </c>
      <c r="CK100" s="16" t="str">
        <f t="shared" si="121"/>
        <v>N/A</v>
      </c>
      <c r="CL100" s="16" t="str">
        <f t="shared" si="122"/>
        <v>N/A</v>
      </c>
      <c r="CM100" s="16" t="str">
        <f t="shared" si="123"/>
        <v>N/A</v>
      </c>
      <c r="CN100" s="16" t="str">
        <f t="shared" si="124"/>
        <v>N/A</v>
      </c>
      <c r="CO100" s="16" t="str">
        <f t="shared" si="125"/>
        <v>N/A</v>
      </c>
      <c r="CP100" s="16" t="str">
        <f t="shared" si="126"/>
        <v>N/A</v>
      </c>
      <c r="CQ100" s="16" t="str">
        <f t="shared" si="127"/>
        <v>N/A</v>
      </c>
      <c r="CR100" s="16" t="str">
        <f t="shared" si="128"/>
        <v>N/A</v>
      </c>
      <c r="CS100" s="16" t="str">
        <f t="shared" si="129"/>
        <v>N/A</v>
      </c>
      <c r="CT100" s="16" t="str">
        <f t="shared" si="130"/>
        <v>N/A</v>
      </c>
      <c r="CU100" s="16" t="str">
        <f t="shared" si="131"/>
        <v>N/A</v>
      </c>
      <c r="CV100" s="16" t="str">
        <f t="shared" si="132"/>
        <v>N/A</v>
      </c>
      <c r="CW100" s="16" t="str">
        <f t="shared" si="133"/>
        <v>N/A</v>
      </c>
      <c r="CX100" s="16" t="str">
        <f t="shared" si="134"/>
        <v>N/A</v>
      </c>
      <c r="CY100" s="16" t="str">
        <f t="shared" si="135"/>
        <v>N/A</v>
      </c>
    </row>
    <row r="101" spans="2:103" x14ac:dyDescent="0.25">
      <c r="B101" s="2"/>
      <c r="C101" s="6"/>
      <c r="D101" s="6"/>
      <c r="E101" s="7"/>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5"/>
      <c r="BA101" s="5"/>
      <c r="BB101" s="5"/>
      <c r="BC101" s="5"/>
      <c r="BD101" s="5">
        <f t="shared" si="89"/>
        <v>0</v>
      </c>
      <c r="BE101" s="2"/>
      <c r="BF101" s="2" t="str">
        <f t="shared" si="90"/>
        <v>Menos Horas</v>
      </c>
      <c r="BG101" s="2" t="str">
        <f t="shared" si="91"/>
        <v>Carga Lectiva Insuficiente</v>
      </c>
      <c r="BH101" s="16" t="str">
        <f t="shared" si="92"/>
        <v>Cumple</v>
      </c>
      <c r="BI101" s="2" t="str">
        <f t="shared" si="93"/>
        <v>Cumple</v>
      </c>
      <c r="BJ101" s="16" t="str">
        <f t="shared" si="94"/>
        <v>Cumple</v>
      </c>
      <c r="BK101" s="16" t="str">
        <f t="shared" si="95"/>
        <v>N/A</v>
      </c>
      <c r="BL101" s="16" t="str">
        <f t="shared" si="96"/>
        <v>N/A</v>
      </c>
      <c r="BM101" s="16" t="str">
        <f t="shared" si="97"/>
        <v>N/A</v>
      </c>
      <c r="BN101" s="16" t="str">
        <f t="shared" si="98"/>
        <v>N/A</v>
      </c>
      <c r="BO101" s="16" t="str">
        <f t="shared" si="99"/>
        <v>N/A</v>
      </c>
      <c r="BP101" s="16" t="str">
        <f t="shared" si="100"/>
        <v>N/A</v>
      </c>
      <c r="BQ101" s="16" t="str">
        <f t="shared" si="101"/>
        <v>N/A</v>
      </c>
      <c r="BR101" s="16" t="str">
        <f t="shared" si="102"/>
        <v>N/A</v>
      </c>
      <c r="BS101" s="16" t="str">
        <f t="shared" si="103"/>
        <v>N/A</v>
      </c>
      <c r="BT101" s="16" t="str">
        <f t="shared" si="104"/>
        <v>N/A</v>
      </c>
      <c r="BU101" s="16" t="str">
        <f t="shared" si="105"/>
        <v>N/A</v>
      </c>
      <c r="BV101" s="16" t="str">
        <f t="shared" si="106"/>
        <v>N/A</v>
      </c>
      <c r="BW101" s="16" t="str">
        <f t="shared" si="107"/>
        <v>N/A</v>
      </c>
      <c r="BX101" s="16" t="str">
        <f t="shared" si="108"/>
        <v>N/A</v>
      </c>
      <c r="BY101" s="16" t="str">
        <f t="shared" si="109"/>
        <v>N/A</v>
      </c>
      <c r="BZ101" s="16" t="str">
        <f t="shared" si="110"/>
        <v>N/A</v>
      </c>
      <c r="CA101" s="16" t="str">
        <f t="shared" si="111"/>
        <v>N/A</v>
      </c>
      <c r="CB101" s="16" t="str">
        <f t="shared" si="112"/>
        <v>N/A</v>
      </c>
      <c r="CC101" s="16" t="str">
        <f t="shared" si="113"/>
        <v>N/A</v>
      </c>
      <c r="CD101" s="16" t="str">
        <f t="shared" si="114"/>
        <v>N/A</v>
      </c>
      <c r="CE101" s="16" t="str">
        <f t="shared" si="115"/>
        <v>N/A</v>
      </c>
      <c r="CF101" s="16" t="str">
        <f t="shared" si="116"/>
        <v>N/A</v>
      </c>
      <c r="CG101" s="16" t="str">
        <f t="shared" si="117"/>
        <v>N/A</v>
      </c>
      <c r="CH101" s="16" t="str">
        <f t="shared" si="118"/>
        <v>N/A</v>
      </c>
      <c r="CI101" s="16" t="str">
        <f t="shared" si="119"/>
        <v>N/A</v>
      </c>
      <c r="CJ101" s="16" t="str">
        <f t="shared" si="120"/>
        <v>N/A</v>
      </c>
      <c r="CK101" s="16" t="str">
        <f t="shared" si="121"/>
        <v>N/A</v>
      </c>
      <c r="CL101" s="16" t="str">
        <f t="shared" si="122"/>
        <v>N/A</v>
      </c>
      <c r="CM101" s="16" t="str">
        <f t="shared" si="123"/>
        <v>N/A</v>
      </c>
      <c r="CN101" s="16" t="str">
        <f t="shared" si="124"/>
        <v>N/A</v>
      </c>
      <c r="CO101" s="16" t="str">
        <f t="shared" si="125"/>
        <v>N/A</v>
      </c>
      <c r="CP101" s="16" t="str">
        <f t="shared" si="126"/>
        <v>N/A</v>
      </c>
      <c r="CQ101" s="16" t="str">
        <f t="shared" si="127"/>
        <v>N/A</v>
      </c>
      <c r="CR101" s="16" t="str">
        <f t="shared" si="128"/>
        <v>N/A</v>
      </c>
      <c r="CS101" s="16" t="str">
        <f t="shared" si="129"/>
        <v>N/A</v>
      </c>
      <c r="CT101" s="16" t="str">
        <f t="shared" si="130"/>
        <v>N/A</v>
      </c>
      <c r="CU101" s="16" t="str">
        <f t="shared" si="131"/>
        <v>N/A</v>
      </c>
      <c r="CV101" s="16" t="str">
        <f t="shared" si="132"/>
        <v>N/A</v>
      </c>
      <c r="CW101" s="16" t="str">
        <f t="shared" si="133"/>
        <v>N/A</v>
      </c>
      <c r="CX101" s="16" t="str">
        <f t="shared" si="134"/>
        <v>N/A</v>
      </c>
      <c r="CY101" s="16" t="str">
        <f t="shared" si="135"/>
        <v>N/A</v>
      </c>
    </row>
    <row r="102" spans="2:103" x14ac:dyDescent="0.25">
      <c r="B102" s="2"/>
      <c r="C102" s="6"/>
      <c r="D102" s="6"/>
      <c r="E102" s="7"/>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5"/>
      <c r="BA102" s="5"/>
      <c r="BB102" s="5"/>
      <c r="BC102" s="5"/>
      <c r="BD102" s="5">
        <f t="shared" si="89"/>
        <v>0</v>
      </c>
      <c r="BE102" s="2"/>
      <c r="BF102" s="2" t="str">
        <f t="shared" si="90"/>
        <v>Menos Horas</v>
      </c>
      <c r="BG102" s="2" t="str">
        <f t="shared" si="91"/>
        <v>Carga Lectiva Insuficiente</v>
      </c>
      <c r="BH102" s="16" t="str">
        <f t="shared" si="92"/>
        <v>Cumple</v>
      </c>
      <c r="BI102" s="2" t="str">
        <f t="shared" si="93"/>
        <v>Cumple</v>
      </c>
      <c r="BJ102" s="16" t="str">
        <f t="shared" si="94"/>
        <v>Cumple</v>
      </c>
      <c r="BK102" s="16" t="str">
        <f t="shared" si="95"/>
        <v>N/A</v>
      </c>
      <c r="BL102" s="16" t="str">
        <f t="shared" si="96"/>
        <v>N/A</v>
      </c>
      <c r="BM102" s="16" t="str">
        <f t="shared" si="97"/>
        <v>N/A</v>
      </c>
      <c r="BN102" s="16" t="str">
        <f t="shared" si="98"/>
        <v>N/A</v>
      </c>
      <c r="BO102" s="16" t="str">
        <f t="shared" si="99"/>
        <v>N/A</v>
      </c>
      <c r="BP102" s="16" t="str">
        <f t="shared" si="100"/>
        <v>N/A</v>
      </c>
      <c r="BQ102" s="16" t="str">
        <f t="shared" si="101"/>
        <v>N/A</v>
      </c>
      <c r="BR102" s="16" t="str">
        <f t="shared" si="102"/>
        <v>N/A</v>
      </c>
      <c r="BS102" s="16" t="str">
        <f t="shared" si="103"/>
        <v>N/A</v>
      </c>
      <c r="BT102" s="16" t="str">
        <f t="shared" si="104"/>
        <v>N/A</v>
      </c>
      <c r="BU102" s="16" t="str">
        <f t="shared" si="105"/>
        <v>N/A</v>
      </c>
      <c r="BV102" s="16" t="str">
        <f t="shared" si="106"/>
        <v>N/A</v>
      </c>
      <c r="BW102" s="16" t="str">
        <f t="shared" si="107"/>
        <v>N/A</v>
      </c>
      <c r="BX102" s="16" t="str">
        <f t="shared" si="108"/>
        <v>N/A</v>
      </c>
      <c r="BY102" s="16" t="str">
        <f t="shared" si="109"/>
        <v>N/A</v>
      </c>
      <c r="BZ102" s="16" t="str">
        <f t="shared" si="110"/>
        <v>N/A</v>
      </c>
      <c r="CA102" s="16" t="str">
        <f t="shared" si="111"/>
        <v>N/A</v>
      </c>
      <c r="CB102" s="16" t="str">
        <f t="shared" si="112"/>
        <v>N/A</v>
      </c>
      <c r="CC102" s="16" t="str">
        <f t="shared" si="113"/>
        <v>N/A</v>
      </c>
      <c r="CD102" s="16" t="str">
        <f t="shared" si="114"/>
        <v>N/A</v>
      </c>
      <c r="CE102" s="16" t="str">
        <f t="shared" si="115"/>
        <v>N/A</v>
      </c>
      <c r="CF102" s="16" t="str">
        <f t="shared" si="116"/>
        <v>N/A</v>
      </c>
      <c r="CG102" s="16" t="str">
        <f t="shared" si="117"/>
        <v>N/A</v>
      </c>
      <c r="CH102" s="16" t="str">
        <f t="shared" si="118"/>
        <v>N/A</v>
      </c>
      <c r="CI102" s="16" t="str">
        <f t="shared" si="119"/>
        <v>N/A</v>
      </c>
      <c r="CJ102" s="16" t="str">
        <f t="shared" si="120"/>
        <v>N/A</v>
      </c>
      <c r="CK102" s="16" t="str">
        <f t="shared" si="121"/>
        <v>N/A</v>
      </c>
      <c r="CL102" s="16" t="str">
        <f t="shared" si="122"/>
        <v>N/A</v>
      </c>
      <c r="CM102" s="16" t="str">
        <f t="shared" si="123"/>
        <v>N/A</v>
      </c>
      <c r="CN102" s="16" t="str">
        <f t="shared" si="124"/>
        <v>N/A</v>
      </c>
      <c r="CO102" s="16" t="str">
        <f t="shared" si="125"/>
        <v>N/A</v>
      </c>
      <c r="CP102" s="16" t="str">
        <f t="shared" si="126"/>
        <v>N/A</v>
      </c>
      <c r="CQ102" s="16" t="str">
        <f t="shared" si="127"/>
        <v>N/A</v>
      </c>
      <c r="CR102" s="16" t="str">
        <f t="shared" si="128"/>
        <v>N/A</v>
      </c>
      <c r="CS102" s="16" t="str">
        <f t="shared" si="129"/>
        <v>N/A</v>
      </c>
      <c r="CT102" s="16" t="str">
        <f t="shared" si="130"/>
        <v>N/A</v>
      </c>
      <c r="CU102" s="16" t="str">
        <f t="shared" si="131"/>
        <v>N/A</v>
      </c>
      <c r="CV102" s="16" t="str">
        <f t="shared" si="132"/>
        <v>N/A</v>
      </c>
      <c r="CW102" s="16" t="str">
        <f t="shared" si="133"/>
        <v>N/A</v>
      </c>
      <c r="CX102" s="16" t="str">
        <f t="shared" si="134"/>
        <v>N/A</v>
      </c>
      <c r="CY102" s="16" t="str">
        <f t="shared" si="135"/>
        <v>N/A</v>
      </c>
    </row>
    <row r="103" spans="2:103" x14ac:dyDescent="0.25">
      <c r="B103" s="2"/>
      <c r="C103" s="6"/>
      <c r="D103" s="6"/>
      <c r="E103" s="7"/>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5"/>
      <c r="BA103" s="5"/>
      <c r="BB103" s="5"/>
      <c r="BC103" s="5"/>
      <c r="BD103" s="5">
        <f t="shared" ref="BD103:BD134" si="136">AY103+AZ103</f>
        <v>0</v>
      </c>
      <c r="BE103" s="2"/>
      <c r="BF103" s="2" t="str">
        <f t="shared" ref="BF103:BF134" si="137">IF(BD103=40,"Cumple",IF(BD103&gt;40,"Mas Horas","Menos Horas"))</f>
        <v>Menos Horas</v>
      </c>
      <c r="BG103" s="2" t="str">
        <f t="shared" ref="BG103:BG134" si="138">IF(BA103=1,IF(AZ103&gt;18,"Exceso Carga Lectiva",IF(AZ103&lt;16,"Carga Lectiva Insuficiente","Cumple")),IF(AZ103&gt;14,"Exceso Carga Lectiva",IF(AZ103&lt;12,"Carga Lectiva Insuficiente","Cumple")))</f>
        <v>Carga Lectiva Insuficiente</v>
      </c>
      <c r="BH103" s="16" t="str">
        <f t="shared" ref="BH103:BH134" si="139">IF(AL103&gt;(AZ103/2),"Exceso Horas","Cumple")</f>
        <v>Cumple</v>
      </c>
      <c r="BI103" s="2" t="str">
        <f t="shared" ref="BI103:BI134" si="140">IF(F103&gt;8,"Exceso Horas","Cumple")</f>
        <v>Cumple</v>
      </c>
      <c r="BJ103" s="16" t="str">
        <f t="shared" ref="BJ103:BJ134" si="141">IF(G103&gt;4,"Exceso Horas","Cumple")</f>
        <v>Cumple</v>
      </c>
      <c r="BK103" s="16" t="str">
        <f t="shared" ref="BK103:BK134" si="142">IF(H103=0,"N/A",IF(H103&gt;8,"Exceso Horas","Cumple"))</f>
        <v>N/A</v>
      </c>
      <c r="BL103" s="16" t="str">
        <f t="shared" ref="BL103:BL134" si="143">IF(J103=0,"N/A",IF(J103&gt;2,"Exceso Horas","Cumple"))</f>
        <v>N/A</v>
      </c>
      <c r="BM103" s="16" t="str">
        <f t="shared" ref="BM103:BM134" si="144">IF(M103=0,"N/A",IF(M103&gt;20,"Exceso Horas","Cumple"))</f>
        <v>N/A</v>
      </c>
      <c r="BN103" s="16" t="str">
        <f t="shared" ref="BN103:BN134" si="145">IF(N103=0,"N/A",IF(N103&gt;20,"Exceso Horas","Cumple"))</f>
        <v>N/A</v>
      </c>
      <c r="BO103" s="16" t="str">
        <f t="shared" ref="BO103:BO134" si="146">IF(O103=0,"N/A",IF(O103&gt;20,"Exceso Horas","Cumple"))</f>
        <v>N/A</v>
      </c>
      <c r="BP103" s="16" t="str">
        <f t="shared" ref="BP103:BP134" si="147">IF(P103=0,"N/A",IF(P103&gt;20,"Exceso Horas","Cumple"))</f>
        <v>N/A</v>
      </c>
      <c r="BQ103" s="16" t="str">
        <f t="shared" ref="BQ103:BQ134" si="148">IF(Q103=0,"N/A",IF(Q103&gt;20,"Exceso Horas","Cumple"))</f>
        <v>N/A</v>
      </c>
      <c r="BR103" s="16" t="str">
        <f t="shared" ref="BR103:BR134" si="149">IF(R103=0,"N/A",IF(R103&gt;20,"Exceso Horas","Cumple"))</f>
        <v>N/A</v>
      </c>
      <c r="BS103" s="16" t="str">
        <f t="shared" ref="BS103:BS134" si="150">IF(S103=0,"N/A",IF(S103&gt;8,"Exceso Horas","Cumple"))</f>
        <v>N/A</v>
      </c>
      <c r="BT103" s="16" t="str">
        <f t="shared" ref="BT103:BT134" si="151">IF(U103=0,"N/A",IF(U103&gt;2,"Exceso Horas","Cumple"))</f>
        <v>N/A</v>
      </c>
      <c r="BU103" s="16" t="str">
        <f t="shared" ref="BU103:BU134" si="152">IF(V103=0,"N/A",IF(V103&gt;12,"Exceso Horas","Cumple"))</f>
        <v>N/A</v>
      </c>
      <c r="BV103" s="16" t="str">
        <f t="shared" ref="BV103:BV134" si="153">IF(W103=0,"N/A",IF(W103&gt;12,"Exceso Horas","Cumple"))</f>
        <v>N/A</v>
      </c>
      <c r="BW103" s="16" t="str">
        <f t="shared" ref="BW103:BW134" si="154">IF(X103=0,"N/A",IF(X103&gt;4,"Exceso Horas","Cumple"))</f>
        <v>N/A</v>
      </c>
      <c r="BX103" s="16" t="str">
        <f t="shared" ref="BX103:BX134" si="155">IF(Y103=0,"N/A",IF(Y103&gt;2,"Exceso Horas","Cumple"))</f>
        <v>N/A</v>
      </c>
      <c r="BY103" s="16" t="str">
        <f t="shared" ref="BY103:BY134" si="156">IF(Z103=0,"N/A",IF(Z103&gt;10,"Exceso Horas","Cumple"))</f>
        <v>N/A</v>
      </c>
      <c r="BZ103" s="16" t="str">
        <f t="shared" ref="BZ103:BZ134" si="157">IF(AA103=0,"N/A",IF(AA103&gt;8,"Exceso Horas","Cumple"))</f>
        <v>N/A</v>
      </c>
      <c r="CA103" s="16" t="str">
        <f t="shared" ref="CA103:CA134" si="158">IF(AC103=0,"N/A",IF(AC103&gt;4,"Exceso Horas","Cumple"))</f>
        <v>N/A</v>
      </c>
      <c r="CB103" s="16" t="str">
        <f t="shared" ref="CB103:CB134" si="159">IF(AD103=0,"N/A",IF(AD103&gt;8,"Exceso Horas","Cumple"))</f>
        <v>N/A</v>
      </c>
      <c r="CC103" s="16" t="str">
        <f t="shared" ref="CC103:CC134" si="160">IF(AE103=0,"N/A",IF(AE103&gt;2,"Exceso Horas","Cumple"))</f>
        <v>N/A</v>
      </c>
      <c r="CD103" s="16" t="str">
        <f t="shared" ref="CD103:CD134" si="161">IF(AF103=0,"N/A",IF(AF103&gt;2,"Exceso Horas","Cumple"))</f>
        <v>N/A</v>
      </c>
      <c r="CE103" s="16" t="str">
        <f t="shared" ref="CE103:CE134" si="162">IF(AG103=0,"N/A",IF(AG103&gt;2,"Exceso Horas","Cumple"))</f>
        <v>N/A</v>
      </c>
      <c r="CF103" s="16" t="str">
        <f t="shared" ref="CF103:CF134" si="163">IF(AH103=0,"N/A",IF(AH103&gt;2,"Exceso Horas","Cumple"))</f>
        <v>N/A</v>
      </c>
      <c r="CG103" s="16" t="str">
        <f t="shared" ref="CG103:CG134" si="164">IF(AI103=0,"N/A",IF(AI103&gt;2,"Exceso Horas","Cumple"))</f>
        <v>N/A</v>
      </c>
      <c r="CH103" s="16" t="str">
        <f t="shared" ref="CH103:CH134" si="165">IF(AJ103=0,"N/A",IF(AJ103&gt;4,"Exceso Horas","Cumple"))</f>
        <v>N/A</v>
      </c>
      <c r="CI103" s="16" t="str">
        <f t="shared" ref="CI103:CI134" si="166">IF(AK103=0,"N/A",IF(AK103&gt;4,"Exceso Horas","Cumple"))</f>
        <v>N/A</v>
      </c>
      <c r="CJ103" s="16" t="str">
        <f t="shared" ref="CJ103:CJ134" si="167">IF(AM103=0,"N/A",IF(AM103&gt;4,"Exceso Horas","Cumple"))</f>
        <v>N/A</v>
      </c>
      <c r="CK103" s="16" t="str">
        <f t="shared" ref="CK103:CK134" si="168">IF(AN103=0,"N/A",IF(AN103&gt;14,"Exceso Horas","Cumple"))</f>
        <v>N/A</v>
      </c>
      <c r="CL103" s="16" t="str">
        <f t="shared" ref="CL103:CL134" si="169">IF(AO103=0,"N/A",IF(A103&gt;10,"Exceso Horas","Cumple"))</f>
        <v>N/A</v>
      </c>
      <c r="CM103" s="16" t="str">
        <f t="shared" ref="CM103:CM134" si="170">IF(AP103=0,"N/A",IF(AP103&gt;6,"Exceso Horas","Cumple"))</f>
        <v>N/A</v>
      </c>
      <c r="CN103" s="16" t="str">
        <f t="shared" ref="CN103:CN134" si="171">IF(AR103=0,"N/A",IF(AR103&gt;4,"Exceso Horas","Cumple"))</f>
        <v>N/A</v>
      </c>
      <c r="CO103" s="16" t="str">
        <f t="shared" ref="CO103:CO134" si="172">IF(AS103=0,"N/A",IF(AS103&gt;8,"Exceso Horas","Cumple"))</f>
        <v>N/A</v>
      </c>
      <c r="CP103" s="16" t="str">
        <f t="shared" ref="CP103:CP134" si="173">IF(AT103=0,"N/A",IF(AT103&gt;4,"Exceso Horas","Cumple"))</f>
        <v>N/A</v>
      </c>
      <c r="CQ103" s="16" t="str">
        <f t="shared" ref="CQ103:CQ134" si="174">IF(AU103=0,"N/A",IF(AU103&gt;4,"Exceso Horas","Cumple"))</f>
        <v>N/A</v>
      </c>
      <c r="CR103" s="16" t="str">
        <f t="shared" ref="CR103:CR134" si="175">IF(AV103=0,"N/A",IF(AV103&gt;8,"Exceso Horas","Cumple"))</f>
        <v>N/A</v>
      </c>
      <c r="CS103" s="16" t="str">
        <f t="shared" ref="CS103:CS134" si="176">IF(AW103=0,"N/A",IF(AW103&gt;2,"Exceso Horas","Cumple"))</f>
        <v>N/A</v>
      </c>
      <c r="CT103" s="16" t="str">
        <f t="shared" ref="CT103:CT134" si="177">IF(AX103=0,"N/A",IF(AX103&gt;4,"Exceso Horas","Cumple"))</f>
        <v>N/A</v>
      </c>
      <c r="CU103" s="16" t="str">
        <f t="shared" si="131"/>
        <v>N/A</v>
      </c>
      <c r="CV103" s="16" t="str">
        <f t="shared" si="132"/>
        <v>N/A</v>
      </c>
      <c r="CW103" s="16" t="str">
        <f t="shared" si="133"/>
        <v>N/A</v>
      </c>
      <c r="CX103" s="16" t="str">
        <f t="shared" si="134"/>
        <v>N/A</v>
      </c>
      <c r="CY103" s="16" t="str">
        <f t="shared" si="135"/>
        <v>N/A</v>
      </c>
    </row>
    <row r="104" spans="2:103" x14ac:dyDescent="0.25">
      <c r="B104" s="2"/>
      <c r="C104" s="6"/>
      <c r="D104" s="6"/>
      <c r="E104" s="7"/>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5"/>
      <c r="BA104" s="5"/>
      <c r="BB104" s="5"/>
      <c r="BC104" s="5"/>
      <c r="BD104" s="5">
        <f t="shared" si="136"/>
        <v>0</v>
      </c>
      <c r="BE104" s="2"/>
      <c r="BF104" s="2" t="str">
        <f t="shared" si="137"/>
        <v>Menos Horas</v>
      </c>
      <c r="BG104" s="2" t="str">
        <f t="shared" si="138"/>
        <v>Carga Lectiva Insuficiente</v>
      </c>
      <c r="BH104" s="16" t="str">
        <f t="shared" si="139"/>
        <v>Cumple</v>
      </c>
      <c r="BI104" s="2" t="str">
        <f t="shared" si="140"/>
        <v>Cumple</v>
      </c>
      <c r="BJ104" s="16" t="str">
        <f t="shared" si="141"/>
        <v>Cumple</v>
      </c>
      <c r="BK104" s="16" t="str">
        <f t="shared" si="142"/>
        <v>N/A</v>
      </c>
      <c r="BL104" s="16" t="str">
        <f t="shared" si="143"/>
        <v>N/A</v>
      </c>
      <c r="BM104" s="16" t="str">
        <f t="shared" si="144"/>
        <v>N/A</v>
      </c>
      <c r="BN104" s="16" t="str">
        <f t="shared" si="145"/>
        <v>N/A</v>
      </c>
      <c r="BO104" s="16" t="str">
        <f t="shared" si="146"/>
        <v>N/A</v>
      </c>
      <c r="BP104" s="16" t="str">
        <f t="shared" si="147"/>
        <v>N/A</v>
      </c>
      <c r="BQ104" s="16" t="str">
        <f t="shared" si="148"/>
        <v>N/A</v>
      </c>
      <c r="BR104" s="16" t="str">
        <f t="shared" si="149"/>
        <v>N/A</v>
      </c>
      <c r="BS104" s="16" t="str">
        <f t="shared" si="150"/>
        <v>N/A</v>
      </c>
      <c r="BT104" s="16" t="str">
        <f t="shared" si="151"/>
        <v>N/A</v>
      </c>
      <c r="BU104" s="16" t="str">
        <f t="shared" si="152"/>
        <v>N/A</v>
      </c>
      <c r="BV104" s="16" t="str">
        <f t="shared" si="153"/>
        <v>N/A</v>
      </c>
      <c r="BW104" s="16" t="str">
        <f t="shared" si="154"/>
        <v>N/A</v>
      </c>
      <c r="BX104" s="16" t="str">
        <f t="shared" si="155"/>
        <v>N/A</v>
      </c>
      <c r="BY104" s="16" t="str">
        <f t="shared" si="156"/>
        <v>N/A</v>
      </c>
      <c r="BZ104" s="16" t="str">
        <f t="shared" si="157"/>
        <v>N/A</v>
      </c>
      <c r="CA104" s="16" t="str">
        <f t="shared" si="158"/>
        <v>N/A</v>
      </c>
      <c r="CB104" s="16" t="str">
        <f t="shared" si="159"/>
        <v>N/A</v>
      </c>
      <c r="CC104" s="16" t="str">
        <f t="shared" si="160"/>
        <v>N/A</v>
      </c>
      <c r="CD104" s="16" t="str">
        <f t="shared" si="161"/>
        <v>N/A</v>
      </c>
      <c r="CE104" s="16" t="str">
        <f t="shared" si="162"/>
        <v>N/A</v>
      </c>
      <c r="CF104" s="16" t="str">
        <f t="shared" si="163"/>
        <v>N/A</v>
      </c>
      <c r="CG104" s="16" t="str">
        <f t="shared" si="164"/>
        <v>N/A</v>
      </c>
      <c r="CH104" s="16" t="str">
        <f t="shared" si="165"/>
        <v>N/A</v>
      </c>
      <c r="CI104" s="16" t="str">
        <f t="shared" si="166"/>
        <v>N/A</v>
      </c>
      <c r="CJ104" s="16" t="str">
        <f t="shared" si="167"/>
        <v>N/A</v>
      </c>
      <c r="CK104" s="16" t="str">
        <f t="shared" si="168"/>
        <v>N/A</v>
      </c>
      <c r="CL104" s="16" t="str">
        <f t="shared" si="169"/>
        <v>N/A</v>
      </c>
      <c r="CM104" s="16" t="str">
        <f t="shared" si="170"/>
        <v>N/A</v>
      </c>
      <c r="CN104" s="16" t="str">
        <f t="shared" si="171"/>
        <v>N/A</v>
      </c>
      <c r="CO104" s="16" t="str">
        <f t="shared" si="172"/>
        <v>N/A</v>
      </c>
      <c r="CP104" s="16" t="str">
        <f t="shared" si="173"/>
        <v>N/A</v>
      </c>
      <c r="CQ104" s="16" t="str">
        <f t="shared" si="174"/>
        <v>N/A</v>
      </c>
      <c r="CR104" s="16" t="str">
        <f t="shared" si="175"/>
        <v>N/A</v>
      </c>
      <c r="CS104" s="16" t="str">
        <f t="shared" si="176"/>
        <v>N/A</v>
      </c>
      <c r="CT104" s="16" t="str">
        <f t="shared" si="177"/>
        <v>N/A</v>
      </c>
      <c r="CU104" s="16" t="str">
        <f t="shared" si="131"/>
        <v>N/A</v>
      </c>
      <c r="CV104" s="16" t="str">
        <f t="shared" si="132"/>
        <v>N/A</v>
      </c>
      <c r="CW104" s="16" t="str">
        <f t="shared" si="133"/>
        <v>N/A</v>
      </c>
      <c r="CX104" s="16" t="str">
        <f t="shared" si="134"/>
        <v>N/A</v>
      </c>
      <c r="CY104" s="16" t="str">
        <f t="shared" si="135"/>
        <v>N/A</v>
      </c>
    </row>
    <row r="105" spans="2:103" x14ac:dyDescent="0.25">
      <c r="B105" s="2"/>
      <c r="C105" s="6"/>
      <c r="D105" s="6"/>
      <c r="E105" s="7"/>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5"/>
      <c r="BA105" s="5"/>
      <c r="BB105" s="5"/>
      <c r="BC105" s="5"/>
      <c r="BD105" s="5">
        <f t="shared" si="136"/>
        <v>0</v>
      </c>
      <c r="BE105" s="2"/>
      <c r="BF105" s="2" t="str">
        <f t="shared" si="137"/>
        <v>Menos Horas</v>
      </c>
      <c r="BG105" s="2" t="str">
        <f t="shared" si="138"/>
        <v>Carga Lectiva Insuficiente</v>
      </c>
      <c r="BH105" s="16" t="str">
        <f t="shared" si="139"/>
        <v>Cumple</v>
      </c>
      <c r="BI105" s="2" t="str">
        <f t="shared" si="140"/>
        <v>Cumple</v>
      </c>
      <c r="BJ105" s="16" t="str">
        <f t="shared" si="141"/>
        <v>Cumple</v>
      </c>
      <c r="BK105" s="16" t="str">
        <f t="shared" si="142"/>
        <v>N/A</v>
      </c>
      <c r="BL105" s="16" t="str">
        <f t="shared" si="143"/>
        <v>N/A</v>
      </c>
      <c r="BM105" s="16" t="str">
        <f t="shared" si="144"/>
        <v>N/A</v>
      </c>
      <c r="BN105" s="16" t="str">
        <f t="shared" si="145"/>
        <v>N/A</v>
      </c>
      <c r="BO105" s="16" t="str">
        <f t="shared" si="146"/>
        <v>N/A</v>
      </c>
      <c r="BP105" s="16" t="str">
        <f t="shared" si="147"/>
        <v>N/A</v>
      </c>
      <c r="BQ105" s="16" t="str">
        <f t="shared" si="148"/>
        <v>N/A</v>
      </c>
      <c r="BR105" s="16" t="str">
        <f t="shared" si="149"/>
        <v>N/A</v>
      </c>
      <c r="BS105" s="16" t="str">
        <f t="shared" si="150"/>
        <v>N/A</v>
      </c>
      <c r="BT105" s="16" t="str">
        <f t="shared" si="151"/>
        <v>N/A</v>
      </c>
      <c r="BU105" s="16" t="str">
        <f t="shared" si="152"/>
        <v>N/A</v>
      </c>
      <c r="BV105" s="16" t="str">
        <f t="shared" si="153"/>
        <v>N/A</v>
      </c>
      <c r="BW105" s="16" t="str">
        <f t="shared" si="154"/>
        <v>N/A</v>
      </c>
      <c r="BX105" s="16" t="str">
        <f t="shared" si="155"/>
        <v>N/A</v>
      </c>
      <c r="BY105" s="16" t="str">
        <f t="shared" si="156"/>
        <v>N/A</v>
      </c>
      <c r="BZ105" s="16" t="str">
        <f t="shared" si="157"/>
        <v>N/A</v>
      </c>
      <c r="CA105" s="16" t="str">
        <f t="shared" si="158"/>
        <v>N/A</v>
      </c>
      <c r="CB105" s="16" t="str">
        <f t="shared" si="159"/>
        <v>N/A</v>
      </c>
      <c r="CC105" s="16" t="str">
        <f t="shared" si="160"/>
        <v>N/A</v>
      </c>
      <c r="CD105" s="16" t="str">
        <f t="shared" si="161"/>
        <v>N/A</v>
      </c>
      <c r="CE105" s="16" t="str">
        <f t="shared" si="162"/>
        <v>N/A</v>
      </c>
      <c r="CF105" s="16" t="str">
        <f t="shared" si="163"/>
        <v>N/A</v>
      </c>
      <c r="CG105" s="16" t="str">
        <f t="shared" si="164"/>
        <v>N/A</v>
      </c>
      <c r="CH105" s="16" t="str">
        <f t="shared" si="165"/>
        <v>N/A</v>
      </c>
      <c r="CI105" s="16" t="str">
        <f t="shared" si="166"/>
        <v>N/A</v>
      </c>
      <c r="CJ105" s="16" t="str">
        <f t="shared" si="167"/>
        <v>N/A</v>
      </c>
      <c r="CK105" s="16" t="str">
        <f t="shared" si="168"/>
        <v>N/A</v>
      </c>
      <c r="CL105" s="16" t="str">
        <f t="shared" si="169"/>
        <v>N/A</v>
      </c>
      <c r="CM105" s="16" t="str">
        <f t="shared" si="170"/>
        <v>N/A</v>
      </c>
      <c r="CN105" s="16" t="str">
        <f t="shared" si="171"/>
        <v>N/A</v>
      </c>
      <c r="CO105" s="16" t="str">
        <f t="shared" si="172"/>
        <v>N/A</v>
      </c>
      <c r="CP105" s="16" t="str">
        <f t="shared" si="173"/>
        <v>N/A</v>
      </c>
      <c r="CQ105" s="16" t="str">
        <f t="shared" si="174"/>
        <v>N/A</v>
      </c>
      <c r="CR105" s="16" t="str">
        <f t="shared" si="175"/>
        <v>N/A</v>
      </c>
      <c r="CS105" s="16" t="str">
        <f t="shared" si="176"/>
        <v>N/A</v>
      </c>
      <c r="CT105" s="16" t="str">
        <f t="shared" si="177"/>
        <v>N/A</v>
      </c>
      <c r="CU105" s="16" t="str">
        <f t="shared" si="131"/>
        <v>N/A</v>
      </c>
      <c r="CV105" s="16" t="str">
        <f t="shared" si="132"/>
        <v>N/A</v>
      </c>
      <c r="CW105" s="16" t="str">
        <f t="shared" si="133"/>
        <v>N/A</v>
      </c>
      <c r="CX105" s="16" t="str">
        <f t="shared" si="134"/>
        <v>N/A</v>
      </c>
      <c r="CY105" s="16" t="str">
        <f t="shared" si="135"/>
        <v>N/A</v>
      </c>
    </row>
    <row r="106" spans="2:103" x14ac:dyDescent="0.25">
      <c r="B106" s="2"/>
      <c r="C106" s="6"/>
      <c r="D106" s="6"/>
      <c r="E106" s="7"/>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5"/>
      <c r="BA106" s="5"/>
      <c r="BB106" s="5"/>
      <c r="BC106" s="5"/>
      <c r="BD106" s="5">
        <f t="shared" si="136"/>
        <v>0</v>
      </c>
      <c r="BE106" s="2"/>
      <c r="BF106" s="2" t="str">
        <f t="shared" si="137"/>
        <v>Menos Horas</v>
      </c>
      <c r="BG106" s="2" t="str">
        <f t="shared" si="138"/>
        <v>Carga Lectiva Insuficiente</v>
      </c>
      <c r="BH106" s="16" t="str">
        <f t="shared" si="139"/>
        <v>Cumple</v>
      </c>
      <c r="BI106" s="2" t="str">
        <f t="shared" si="140"/>
        <v>Cumple</v>
      </c>
      <c r="BJ106" s="16" t="str">
        <f t="shared" si="141"/>
        <v>Cumple</v>
      </c>
      <c r="BK106" s="16" t="str">
        <f t="shared" si="142"/>
        <v>N/A</v>
      </c>
      <c r="BL106" s="16" t="str">
        <f t="shared" si="143"/>
        <v>N/A</v>
      </c>
      <c r="BM106" s="16" t="str">
        <f t="shared" si="144"/>
        <v>N/A</v>
      </c>
      <c r="BN106" s="16" t="str">
        <f t="shared" si="145"/>
        <v>N/A</v>
      </c>
      <c r="BO106" s="16" t="str">
        <f t="shared" si="146"/>
        <v>N/A</v>
      </c>
      <c r="BP106" s="16" t="str">
        <f t="shared" si="147"/>
        <v>N/A</v>
      </c>
      <c r="BQ106" s="16" t="str">
        <f t="shared" si="148"/>
        <v>N/A</v>
      </c>
      <c r="BR106" s="16" t="str">
        <f t="shared" si="149"/>
        <v>N/A</v>
      </c>
      <c r="BS106" s="16" t="str">
        <f t="shared" si="150"/>
        <v>N/A</v>
      </c>
      <c r="BT106" s="16" t="str">
        <f t="shared" si="151"/>
        <v>N/A</v>
      </c>
      <c r="BU106" s="16" t="str">
        <f t="shared" si="152"/>
        <v>N/A</v>
      </c>
      <c r="BV106" s="16" t="str">
        <f t="shared" si="153"/>
        <v>N/A</v>
      </c>
      <c r="BW106" s="16" t="str">
        <f t="shared" si="154"/>
        <v>N/A</v>
      </c>
      <c r="BX106" s="16" t="str">
        <f t="shared" si="155"/>
        <v>N/A</v>
      </c>
      <c r="BY106" s="16" t="str">
        <f t="shared" si="156"/>
        <v>N/A</v>
      </c>
      <c r="BZ106" s="16" t="str">
        <f t="shared" si="157"/>
        <v>N/A</v>
      </c>
      <c r="CA106" s="16" t="str">
        <f t="shared" si="158"/>
        <v>N/A</v>
      </c>
      <c r="CB106" s="16" t="str">
        <f t="shared" si="159"/>
        <v>N/A</v>
      </c>
      <c r="CC106" s="16" t="str">
        <f t="shared" si="160"/>
        <v>N/A</v>
      </c>
      <c r="CD106" s="16" t="str">
        <f t="shared" si="161"/>
        <v>N/A</v>
      </c>
      <c r="CE106" s="16" t="str">
        <f t="shared" si="162"/>
        <v>N/A</v>
      </c>
      <c r="CF106" s="16" t="str">
        <f t="shared" si="163"/>
        <v>N/A</v>
      </c>
      <c r="CG106" s="16" t="str">
        <f t="shared" si="164"/>
        <v>N/A</v>
      </c>
      <c r="CH106" s="16" t="str">
        <f t="shared" si="165"/>
        <v>N/A</v>
      </c>
      <c r="CI106" s="16" t="str">
        <f t="shared" si="166"/>
        <v>N/A</v>
      </c>
      <c r="CJ106" s="16" t="str">
        <f t="shared" si="167"/>
        <v>N/A</v>
      </c>
      <c r="CK106" s="16" t="str">
        <f t="shared" si="168"/>
        <v>N/A</v>
      </c>
      <c r="CL106" s="16" t="str">
        <f t="shared" si="169"/>
        <v>N/A</v>
      </c>
      <c r="CM106" s="16" t="str">
        <f t="shared" si="170"/>
        <v>N/A</v>
      </c>
      <c r="CN106" s="16" t="str">
        <f t="shared" si="171"/>
        <v>N/A</v>
      </c>
      <c r="CO106" s="16" t="str">
        <f t="shared" si="172"/>
        <v>N/A</v>
      </c>
      <c r="CP106" s="16" t="str">
        <f t="shared" si="173"/>
        <v>N/A</v>
      </c>
      <c r="CQ106" s="16" t="str">
        <f t="shared" si="174"/>
        <v>N/A</v>
      </c>
      <c r="CR106" s="16" t="str">
        <f t="shared" si="175"/>
        <v>N/A</v>
      </c>
      <c r="CS106" s="16" t="str">
        <f t="shared" si="176"/>
        <v>N/A</v>
      </c>
      <c r="CT106" s="16" t="str">
        <f t="shared" si="177"/>
        <v>N/A</v>
      </c>
      <c r="CU106" s="16" t="str">
        <f t="shared" si="131"/>
        <v>N/A</v>
      </c>
      <c r="CV106" s="16" t="str">
        <f t="shared" si="132"/>
        <v>N/A</v>
      </c>
      <c r="CW106" s="16" t="str">
        <f t="shared" si="133"/>
        <v>N/A</v>
      </c>
      <c r="CX106" s="16" t="str">
        <f t="shared" si="134"/>
        <v>N/A</v>
      </c>
      <c r="CY106" s="16" t="str">
        <f t="shared" si="135"/>
        <v>N/A</v>
      </c>
    </row>
    <row r="107" spans="2:103" x14ac:dyDescent="0.25">
      <c r="B107" s="2"/>
      <c r="C107" s="6"/>
      <c r="D107" s="6"/>
      <c r="E107" s="7"/>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5"/>
      <c r="BA107" s="5"/>
      <c r="BB107" s="5"/>
      <c r="BC107" s="5"/>
      <c r="BD107" s="5">
        <f t="shared" si="136"/>
        <v>0</v>
      </c>
      <c r="BE107" s="2"/>
      <c r="BF107" s="2" t="str">
        <f t="shared" si="137"/>
        <v>Menos Horas</v>
      </c>
      <c r="BG107" s="2" t="str">
        <f t="shared" si="138"/>
        <v>Carga Lectiva Insuficiente</v>
      </c>
      <c r="BH107" s="16" t="str">
        <f t="shared" si="139"/>
        <v>Cumple</v>
      </c>
      <c r="BI107" s="2" t="str">
        <f t="shared" si="140"/>
        <v>Cumple</v>
      </c>
      <c r="BJ107" s="16" t="str">
        <f t="shared" si="141"/>
        <v>Cumple</v>
      </c>
      <c r="BK107" s="16" t="str">
        <f t="shared" si="142"/>
        <v>N/A</v>
      </c>
      <c r="BL107" s="16" t="str">
        <f t="shared" si="143"/>
        <v>N/A</v>
      </c>
      <c r="BM107" s="16" t="str">
        <f t="shared" si="144"/>
        <v>N/A</v>
      </c>
      <c r="BN107" s="16" t="str">
        <f t="shared" si="145"/>
        <v>N/A</v>
      </c>
      <c r="BO107" s="16" t="str">
        <f t="shared" si="146"/>
        <v>N/A</v>
      </c>
      <c r="BP107" s="16" t="str">
        <f t="shared" si="147"/>
        <v>N/A</v>
      </c>
      <c r="BQ107" s="16" t="str">
        <f t="shared" si="148"/>
        <v>N/A</v>
      </c>
      <c r="BR107" s="16" t="str">
        <f t="shared" si="149"/>
        <v>N/A</v>
      </c>
      <c r="BS107" s="16" t="str">
        <f t="shared" si="150"/>
        <v>N/A</v>
      </c>
      <c r="BT107" s="16" t="str">
        <f t="shared" si="151"/>
        <v>N/A</v>
      </c>
      <c r="BU107" s="16" t="str">
        <f t="shared" si="152"/>
        <v>N/A</v>
      </c>
      <c r="BV107" s="16" t="str">
        <f t="shared" si="153"/>
        <v>N/A</v>
      </c>
      <c r="BW107" s="16" t="str">
        <f t="shared" si="154"/>
        <v>N/A</v>
      </c>
      <c r="BX107" s="16" t="str">
        <f t="shared" si="155"/>
        <v>N/A</v>
      </c>
      <c r="BY107" s="16" t="str">
        <f t="shared" si="156"/>
        <v>N/A</v>
      </c>
      <c r="BZ107" s="16" t="str">
        <f t="shared" si="157"/>
        <v>N/A</v>
      </c>
      <c r="CA107" s="16" t="str">
        <f t="shared" si="158"/>
        <v>N/A</v>
      </c>
      <c r="CB107" s="16" t="str">
        <f t="shared" si="159"/>
        <v>N/A</v>
      </c>
      <c r="CC107" s="16" t="str">
        <f t="shared" si="160"/>
        <v>N/A</v>
      </c>
      <c r="CD107" s="16" t="str">
        <f t="shared" si="161"/>
        <v>N/A</v>
      </c>
      <c r="CE107" s="16" t="str">
        <f t="shared" si="162"/>
        <v>N/A</v>
      </c>
      <c r="CF107" s="16" t="str">
        <f t="shared" si="163"/>
        <v>N/A</v>
      </c>
      <c r="CG107" s="16" t="str">
        <f t="shared" si="164"/>
        <v>N/A</v>
      </c>
      <c r="CH107" s="16" t="str">
        <f t="shared" si="165"/>
        <v>N/A</v>
      </c>
      <c r="CI107" s="16" t="str">
        <f t="shared" si="166"/>
        <v>N/A</v>
      </c>
      <c r="CJ107" s="16" t="str">
        <f t="shared" si="167"/>
        <v>N/A</v>
      </c>
      <c r="CK107" s="16" t="str">
        <f t="shared" si="168"/>
        <v>N/A</v>
      </c>
      <c r="CL107" s="16" t="str">
        <f t="shared" si="169"/>
        <v>N/A</v>
      </c>
      <c r="CM107" s="16" t="str">
        <f t="shared" si="170"/>
        <v>N/A</v>
      </c>
      <c r="CN107" s="16" t="str">
        <f t="shared" si="171"/>
        <v>N/A</v>
      </c>
      <c r="CO107" s="16" t="str">
        <f t="shared" si="172"/>
        <v>N/A</v>
      </c>
      <c r="CP107" s="16" t="str">
        <f t="shared" si="173"/>
        <v>N/A</v>
      </c>
      <c r="CQ107" s="16" t="str">
        <f t="shared" si="174"/>
        <v>N/A</v>
      </c>
      <c r="CR107" s="16" t="str">
        <f t="shared" si="175"/>
        <v>N/A</v>
      </c>
      <c r="CS107" s="16" t="str">
        <f t="shared" si="176"/>
        <v>N/A</v>
      </c>
      <c r="CT107" s="16" t="str">
        <f t="shared" si="177"/>
        <v>N/A</v>
      </c>
      <c r="CU107" s="16" t="str">
        <f t="shared" si="131"/>
        <v>N/A</v>
      </c>
      <c r="CV107" s="16" t="str">
        <f t="shared" si="132"/>
        <v>N/A</v>
      </c>
      <c r="CW107" s="16" t="str">
        <f t="shared" si="133"/>
        <v>N/A</v>
      </c>
      <c r="CX107" s="16" t="str">
        <f t="shared" si="134"/>
        <v>N/A</v>
      </c>
      <c r="CY107" s="16" t="str">
        <f t="shared" si="135"/>
        <v>N/A</v>
      </c>
    </row>
    <row r="108" spans="2:103" x14ac:dyDescent="0.25">
      <c r="B108" s="2"/>
      <c r="C108" s="6"/>
      <c r="D108" s="6"/>
      <c r="E108" s="7"/>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5"/>
      <c r="BA108" s="5"/>
      <c r="BB108" s="5"/>
      <c r="BC108" s="5"/>
      <c r="BD108" s="5">
        <f t="shared" si="136"/>
        <v>0</v>
      </c>
      <c r="BE108" s="2"/>
      <c r="BF108" s="2" t="str">
        <f t="shared" si="137"/>
        <v>Menos Horas</v>
      </c>
      <c r="BG108" s="2" t="str">
        <f t="shared" si="138"/>
        <v>Carga Lectiva Insuficiente</v>
      </c>
      <c r="BH108" s="16" t="str">
        <f t="shared" si="139"/>
        <v>Cumple</v>
      </c>
      <c r="BI108" s="2" t="str">
        <f t="shared" si="140"/>
        <v>Cumple</v>
      </c>
      <c r="BJ108" s="16" t="str">
        <f t="shared" si="141"/>
        <v>Cumple</v>
      </c>
      <c r="BK108" s="16" t="str">
        <f t="shared" si="142"/>
        <v>N/A</v>
      </c>
      <c r="BL108" s="16" t="str">
        <f t="shared" si="143"/>
        <v>N/A</v>
      </c>
      <c r="BM108" s="16" t="str">
        <f t="shared" si="144"/>
        <v>N/A</v>
      </c>
      <c r="BN108" s="16" t="str">
        <f t="shared" si="145"/>
        <v>N/A</v>
      </c>
      <c r="BO108" s="16" t="str">
        <f t="shared" si="146"/>
        <v>N/A</v>
      </c>
      <c r="BP108" s="16" t="str">
        <f t="shared" si="147"/>
        <v>N/A</v>
      </c>
      <c r="BQ108" s="16" t="str">
        <f t="shared" si="148"/>
        <v>N/A</v>
      </c>
      <c r="BR108" s="16" t="str">
        <f t="shared" si="149"/>
        <v>N/A</v>
      </c>
      <c r="BS108" s="16" t="str">
        <f t="shared" si="150"/>
        <v>N/A</v>
      </c>
      <c r="BT108" s="16" t="str">
        <f t="shared" si="151"/>
        <v>N/A</v>
      </c>
      <c r="BU108" s="16" t="str">
        <f t="shared" si="152"/>
        <v>N/A</v>
      </c>
      <c r="BV108" s="16" t="str">
        <f t="shared" si="153"/>
        <v>N/A</v>
      </c>
      <c r="BW108" s="16" t="str">
        <f t="shared" si="154"/>
        <v>N/A</v>
      </c>
      <c r="BX108" s="16" t="str">
        <f t="shared" si="155"/>
        <v>N/A</v>
      </c>
      <c r="BY108" s="16" t="str">
        <f t="shared" si="156"/>
        <v>N/A</v>
      </c>
      <c r="BZ108" s="16" t="str">
        <f t="shared" si="157"/>
        <v>N/A</v>
      </c>
      <c r="CA108" s="16" t="str">
        <f t="shared" si="158"/>
        <v>N/A</v>
      </c>
      <c r="CB108" s="16" t="str">
        <f t="shared" si="159"/>
        <v>N/A</v>
      </c>
      <c r="CC108" s="16" t="str">
        <f t="shared" si="160"/>
        <v>N/A</v>
      </c>
      <c r="CD108" s="16" t="str">
        <f t="shared" si="161"/>
        <v>N/A</v>
      </c>
      <c r="CE108" s="16" t="str">
        <f t="shared" si="162"/>
        <v>N/A</v>
      </c>
      <c r="CF108" s="16" t="str">
        <f t="shared" si="163"/>
        <v>N/A</v>
      </c>
      <c r="CG108" s="16" t="str">
        <f t="shared" si="164"/>
        <v>N/A</v>
      </c>
      <c r="CH108" s="16" t="str">
        <f t="shared" si="165"/>
        <v>N/A</v>
      </c>
      <c r="CI108" s="16" t="str">
        <f t="shared" si="166"/>
        <v>N/A</v>
      </c>
      <c r="CJ108" s="16" t="str">
        <f t="shared" si="167"/>
        <v>N/A</v>
      </c>
      <c r="CK108" s="16" t="str">
        <f t="shared" si="168"/>
        <v>N/A</v>
      </c>
      <c r="CL108" s="16" t="str">
        <f t="shared" si="169"/>
        <v>N/A</v>
      </c>
      <c r="CM108" s="16" t="str">
        <f t="shared" si="170"/>
        <v>N/A</v>
      </c>
      <c r="CN108" s="16" t="str">
        <f t="shared" si="171"/>
        <v>N/A</v>
      </c>
      <c r="CO108" s="16" t="str">
        <f t="shared" si="172"/>
        <v>N/A</v>
      </c>
      <c r="CP108" s="16" t="str">
        <f t="shared" si="173"/>
        <v>N/A</v>
      </c>
      <c r="CQ108" s="16" t="str">
        <f t="shared" si="174"/>
        <v>N/A</v>
      </c>
      <c r="CR108" s="16" t="str">
        <f t="shared" si="175"/>
        <v>N/A</v>
      </c>
      <c r="CS108" s="16" t="str">
        <f t="shared" si="176"/>
        <v>N/A</v>
      </c>
      <c r="CT108" s="16" t="str">
        <f t="shared" si="177"/>
        <v>N/A</v>
      </c>
      <c r="CU108" s="16" t="str">
        <f t="shared" si="131"/>
        <v>N/A</v>
      </c>
      <c r="CV108" s="16" t="str">
        <f t="shared" si="132"/>
        <v>N/A</v>
      </c>
      <c r="CW108" s="16" t="str">
        <f t="shared" si="133"/>
        <v>N/A</v>
      </c>
      <c r="CX108" s="16" t="str">
        <f t="shared" si="134"/>
        <v>N/A</v>
      </c>
      <c r="CY108" s="16" t="str">
        <f t="shared" si="135"/>
        <v>N/A</v>
      </c>
    </row>
    <row r="109" spans="2:103" x14ac:dyDescent="0.25">
      <c r="B109" s="2"/>
      <c r="C109" s="6"/>
      <c r="D109" s="6"/>
      <c r="E109" s="7"/>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5"/>
      <c r="BA109" s="5"/>
      <c r="BB109" s="5"/>
      <c r="BC109" s="5"/>
      <c r="BD109" s="5">
        <f t="shared" si="136"/>
        <v>0</v>
      </c>
      <c r="BE109" s="2"/>
      <c r="BF109" s="2" t="str">
        <f t="shared" si="137"/>
        <v>Menos Horas</v>
      </c>
      <c r="BG109" s="2" t="str">
        <f t="shared" si="138"/>
        <v>Carga Lectiva Insuficiente</v>
      </c>
      <c r="BH109" s="16" t="str">
        <f t="shared" si="139"/>
        <v>Cumple</v>
      </c>
      <c r="BI109" s="2" t="str">
        <f t="shared" si="140"/>
        <v>Cumple</v>
      </c>
      <c r="BJ109" s="16" t="str">
        <f t="shared" si="141"/>
        <v>Cumple</v>
      </c>
      <c r="BK109" s="16" t="str">
        <f t="shared" si="142"/>
        <v>N/A</v>
      </c>
      <c r="BL109" s="16" t="str">
        <f t="shared" si="143"/>
        <v>N/A</v>
      </c>
      <c r="BM109" s="16" t="str">
        <f t="shared" si="144"/>
        <v>N/A</v>
      </c>
      <c r="BN109" s="16" t="str">
        <f t="shared" si="145"/>
        <v>N/A</v>
      </c>
      <c r="BO109" s="16" t="str">
        <f t="shared" si="146"/>
        <v>N/A</v>
      </c>
      <c r="BP109" s="16" t="str">
        <f t="shared" si="147"/>
        <v>N/A</v>
      </c>
      <c r="BQ109" s="16" t="str">
        <f t="shared" si="148"/>
        <v>N/A</v>
      </c>
      <c r="BR109" s="16" t="str">
        <f t="shared" si="149"/>
        <v>N/A</v>
      </c>
      <c r="BS109" s="16" t="str">
        <f t="shared" si="150"/>
        <v>N/A</v>
      </c>
      <c r="BT109" s="16" t="str">
        <f t="shared" si="151"/>
        <v>N/A</v>
      </c>
      <c r="BU109" s="16" t="str">
        <f t="shared" si="152"/>
        <v>N/A</v>
      </c>
      <c r="BV109" s="16" t="str">
        <f t="shared" si="153"/>
        <v>N/A</v>
      </c>
      <c r="BW109" s="16" t="str">
        <f t="shared" si="154"/>
        <v>N/A</v>
      </c>
      <c r="BX109" s="16" t="str">
        <f t="shared" si="155"/>
        <v>N/A</v>
      </c>
      <c r="BY109" s="16" t="str">
        <f t="shared" si="156"/>
        <v>N/A</v>
      </c>
      <c r="BZ109" s="16" t="str">
        <f t="shared" si="157"/>
        <v>N/A</v>
      </c>
      <c r="CA109" s="16" t="str">
        <f t="shared" si="158"/>
        <v>N/A</v>
      </c>
      <c r="CB109" s="16" t="str">
        <f t="shared" si="159"/>
        <v>N/A</v>
      </c>
      <c r="CC109" s="16" t="str">
        <f t="shared" si="160"/>
        <v>N/A</v>
      </c>
      <c r="CD109" s="16" t="str">
        <f t="shared" si="161"/>
        <v>N/A</v>
      </c>
      <c r="CE109" s="16" t="str">
        <f t="shared" si="162"/>
        <v>N/A</v>
      </c>
      <c r="CF109" s="16" t="str">
        <f t="shared" si="163"/>
        <v>N/A</v>
      </c>
      <c r="CG109" s="16" t="str">
        <f t="shared" si="164"/>
        <v>N/A</v>
      </c>
      <c r="CH109" s="16" t="str">
        <f t="shared" si="165"/>
        <v>N/A</v>
      </c>
      <c r="CI109" s="16" t="str">
        <f t="shared" si="166"/>
        <v>N/A</v>
      </c>
      <c r="CJ109" s="16" t="str">
        <f t="shared" si="167"/>
        <v>N/A</v>
      </c>
      <c r="CK109" s="16" t="str">
        <f t="shared" si="168"/>
        <v>N/A</v>
      </c>
      <c r="CL109" s="16" t="str">
        <f t="shared" si="169"/>
        <v>N/A</v>
      </c>
      <c r="CM109" s="16" t="str">
        <f t="shared" si="170"/>
        <v>N/A</v>
      </c>
      <c r="CN109" s="16" t="str">
        <f t="shared" si="171"/>
        <v>N/A</v>
      </c>
      <c r="CO109" s="16" t="str">
        <f t="shared" si="172"/>
        <v>N/A</v>
      </c>
      <c r="CP109" s="16" t="str">
        <f t="shared" si="173"/>
        <v>N/A</v>
      </c>
      <c r="CQ109" s="16" t="str">
        <f t="shared" si="174"/>
        <v>N/A</v>
      </c>
      <c r="CR109" s="16" t="str">
        <f t="shared" si="175"/>
        <v>N/A</v>
      </c>
      <c r="CS109" s="16" t="str">
        <f t="shared" si="176"/>
        <v>N/A</v>
      </c>
      <c r="CT109" s="16" t="str">
        <f t="shared" si="177"/>
        <v>N/A</v>
      </c>
      <c r="CU109" s="16" t="str">
        <f t="shared" si="131"/>
        <v>N/A</v>
      </c>
      <c r="CV109" s="16" t="str">
        <f t="shared" si="132"/>
        <v>N/A</v>
      </c>
      <c r="CW109" s="16" t="str">
        <f t="shared" si="133"/>
        <v>N/A</v>
      </c>
      <c r="CX109" s="16" t="str">
        <f t="shared" si="134"/>
        <v>N/A</v>
      </c>
      <c r="CY109" s="16" t="str">
        <f t="shared" si="135"/>
        <v>N/A</v>
      </c>
    </row>
    <row r="110" spans="2:103" x14ac:dyDescent="0.25">
      <c r="B110" s="2"/>
      <c r="C110" s="6"/>
      <c r="D110" s="6"/>
      <c r="E110" s="7"/>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5"/>
      <c r="BA110" s="5"/>
      <c r="BB110" s="5"/>
      <c r="BC110" s="5"/>
      <c r="BD110" s="5">
        <f t="shared" si="136"/>
        <v>0</v>
      </c>
      <c r="BE110" s="2"/>
      <c r="BF110" s="2" t="str">
        <f t="shared" si="137"/>
        <v>Menos Horas</v>
      </c>
      <c r="BG110" s="2" t="str">
        <f t="shared" si="138"/>
        <v>Carga Lectiva Insuficiente</v>
      </c>
      <c r="BH110" s="16" t="str">
        <f t="shared" si="139"/>
        <v>Cumple</v>
      </c>
      <c r="BI110" s="2" t="str">
        <f t="shared" si="140"/>
        <v>Cumple</v>
      </c>
      <c r="BJ110" s="16" t="str">
        <f t="shared" si="141"/>
        <v>Cumple</v>
      </c>
      <c r="BK110" s="16" t="str">
        <f t="shared" si="142"/>
        <v>N/A</v>
      </c>
      <c r="BL110" s="16" t="str">
        <f t="shared" si="143"/>
        <v>N/A</v>
      </c>
      <c r="BM110" s="16" t="str">
        <f t="shared" si="144"/>
        <v>N/A</v>
      </c>
      <c r="BN110" s="16" t="str">
        <f t="shared" si="145"/>
        <v>N/A</v>
      </c>
      <c r="BO110" s="16" t="str">
        <f t="shared" si="146"/>
        <v>N/A</v>
      </c>
      <c r="BP110" s="16" t="str">
        <f t="shared" si="147"/>
        <v>N/A</v>
      </c>
      <c r="BQ110" s="16" t="str">
        <f t="shared" si="148"/>
        <v>N/A</v>
      </c>
      <c r="BR110" s="16" t="str">
        <f t="shared" si="149"/>
        <v>N/A</v>
      </c>
      <c r="BS110" s="16" t="str">
        <f t="shared" si="150"/>
        <v>N/A</v>
      </c>
      <c r="BT110" s="16" t="str">
        <f t="shared" si="151"/>
        <v>N/A</v>
      </c>
      <c r="BU110" s="16" t="str">
        <f t="shared" si="152"/>
        <v>N/A</v>
      </c>
      <c r="BV110" s="16" t="str">
        <f t="shared" si="153"/>
        <v>N/A</v>
      </c>
      <c r="BW110" s="16" t="str">
        <f t="shared" si="154"/>
        <v>N/A</v>
      </c>
      <c r="BX110" s="16" t="str">
        <f t="shared" si="155"/>
        <v>N/A</v>
      </c>
      <c r="BY110" s="16" t="str">
        <f t="shared" si="156"/>
        <v>N/A</v>
      </c>
      <c r="BZ110" s="16" t="str">
        <f t="shared" si="157"/>
        <v>N/A</v>
      </c>
      <c r="CA110" s="16" t="str">
        <f t="shared" si="158"/>
        <v>N/A</v>
      </c>
      <c r="CB110" s="16" t="str">
        <f t="shared" si="159"/>
        <v>N/A</v>
      </c>
      <c r="CC110" s="16" t="str">
        <f t="shared" si="160"/>
        <v>N/A</v>
      </c>
      <c r="CD110" s="16" t="str">
        <f t="shared" si="161"/>
        <v>N/A</v>
      </c>
      <c r="CE110" s="16" t="str">
        <f t="shared" si="162"/>
        <v>N/A</v>
      </c>
      <c r="CF110" s="16" t="str">
        <f t="shared" si="163"/>
        <v>N/A</v>
      </c>
      <c r="CG110" s="16" t="str">
        <f t="shared" si="164"/>
        <v>N/A</v>
      </c>
      <c r="CH110" s="16" t="str">
        <f t="shared" si="165"/>
        <v>N/A</v>
      </c>
      <c r="CI110" s="16" t="str">
        <f t="shared" si="166"/>
        <v>N/A</v>
      </c>
      <c r="CJ110" s="16" t="str">
        <f t="shared" si="167"/>
        <v>N/A</v>
      </c>
      <c r="CK110" s="16" t="str">
        <f t="shared" si="168"/>
        <v>N/A</v>
      </c>
      <c r="CL110" s="16" t="str">
        <f t="shared" si="169"/>
        <v>N/A</v>
      </c>
      <c r="CM110" s="16" t="str">
        <f t="shared" si="170"/>
        <v>N/A</v>
      </c>
      <c r="CN110" s="16" t="str">
        <f t="shared" si="171"/>
        <v>N/A</v>
      </c>
      <c r="CO110" s="16" t="str">
        <f t="shared" si="172"/>
        <v>N/A</v>
      </c>
      <c r="CP110" s="16" t="str">
        <f t="shared" si="173"/>
        <v>N/A</v>
      </c>
      <c r="CQ110" s="16" t="str">
        <f t="shared" si="174"/>
        <v>N/A</v>
      </c>
      <c r="CR110" s="16" t="str">
        <f t="shared" si="175"/>
        <v>N/A</v>
      </c>
      <c r="CS110" s="16" t="str">
        <f t="shared" si="176"/>
        <v>N/A</v>
      </c>
      <c r="CT110" s="16" t="str">
        <f t="shared" si="177"/>
        <v>N/A</v>
      </c>
      <c r="CU110" s="16" t="str">
        <f t="shared" si="131"/>
        <v>N/A</v>
      </c>
      <c r="CV110" s="16" t="str">
        <f t="shared" si="132"/>
        <v>N/A</v>
      </c>
      <c r="CW110" s="16" t="str">
        <f t="shared" si="133"/>
        <v>N/A</v>
      </c>
      <c r="CX110" s="16" t="str">
        <f t="shared" si="134"/>
        <v>N/A</v>
      </c>
      <c r="CY110" s="16" t="str">
        <f t="shared" si="135"/>
        <v>N/A</v>
      </c>
    </row>
    <row r="111" spans="2:103" x14ac:dyDescent="0.25">
      <c r="B111" s="2"/>
      <c r="C111" s="6"/>
      <c r="D111" s="6"/>
      <c r="E111" s="7"/>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5"/>
      <c r="BA111" s="5"/>
      <c r="BB111" s="5"/>
      <c r="BC111" s="5"/>
      <c r="BD111" s="5">
        <f t="shared" si="136"/>
        <v>0</v>
      </c>
      <c r="BE111" s="2"/>
      <c r="BF111" s="2" t="str">
        <f t="shared" si="137"/>
        <v>Menos Horas</v>
      </c>
      <c r="BG111" s="2" t="str">
        <f t="shared" si="138"/>
        <v>Carga Lectiva Insuficiente</v>
      </c>
      <c r="BH111" s="16" t="str">
        <f t="shared" si="139"/>
        <v>Cumple</v>
      </c>
      <c r="BI111" s="2" t="str">
        <f t="shared" si="140"/>
        <v>Cumple</v>
      </c>
      <c r="BJ111" s="16" t="str">
        <f t="shared" si="141"/>
        <v>Cumple</v>
      </c>
      <c r="BK111" s="16" t="str">
        <f t="shared" si="142"/>
        <v>N/A</v>
      </c>
      <c r="BL111" s="16" t="str">
        <f t="shared" si="143"/>
        <v>N/A</v>
      </c>
      <c r="BM111" s="16" t="str">
        <f t="shared" si="144"/>
        <v>N/A</v>
      </c>
      <c r="BN111" s="16" t="str">
        <f t="shared" si="145"/>
        <v>N/A</v>
      </c>
      <c r="BO111" s="16" t="str">
        <f t="shared" si="146"/>
        <v>N/A</v>
      </c>
      <c r="BP111" s="16" t="str">
        <f t="shared" si="147"/>
        <v>N/A</v>
      </c>
      <c r="BQ111" s="16" t="str">
        <f t="shared" si="148"/>
        <v>N/A</v>
      </c>
      <c r="BR111" s="16" t="str">
        <f t="shared" si="149"/>
        <v>N/A</v>
      </c>
      <c r="BS111" s="16" t="str">
        <f t="shared" si="150"/>
        <v>N/A</v>
      </c>
      <c r="BT111" s="16" t="str">
        <f t="shared" si="151"/>
        <v>N/A</v>
      </c>
      <c r="BU111" s="16" t="str">
        <f t="shared" si="152"/>
        <v>N/A</v>
      </c>
      <c r="BV111" s="16" t="str">
        <f t="shared" si="153"/>
        <v>N/A</v>
      </c>
      <c r="BW111" s="16" t="str">
        <f t="shared" si="154"/>
        <v>N/A</v>
      </c>
      <c r="BX111" s="16" t="str">
        <f t="shared" si="155"/>
        <v>N/A</v>
      </c>
      <c r="BY111" s="16" t="str">
        <f t="shared" si="156"/>
        <v>N/A</v>
      </c>
      <c r="BZ111" s="16" t="str">
        <f t="shared" si="157"/>
        <v>N/A</v>
      </c>
      <c r="CA111" s="16" t="str">
        <f t="shared" si="158"/>
        <v>N/A</v>
      </c>
      <c r="CB111" s="16" t="str">
        <f t="shared" si="159"/>
        <v>N/A</v>
      </c>
      <c r="CC111" s="16" t="str">
        <f t="shared" si="160"/>
        <v>N/A</v>
      </c>
      <c r="CD111" s="16" t="str">
        <f t="shared" si="161"/>
        <v>N/A</v>
      </c>
      <c r="CE111" s="16" t="str">
        <f t="shared" si="162"/>
        <v>N/A</v>
      </c>
      <c r="CF111" s="16" t="str">
        <f t="shared" si="163"/>
        <v>N/A</v>
      </c>
      <c r="CG111" s="16" t="str">
        <f t="shared" si="164"/>
        <v>N/A</v>
      </c>
      <c r="CH111" s="16" t="str">
        <f t="shared" si="165"/>
        <v>N/A</v>
      </c>
      <c r="CI111" s="16" t="str">
        <f t="shared" si="166"/>
        <v>N/A</v>
      </c>
      <c r="CJ111" s="16" t="str">
        <f t="shared" si="167"/>
        <v>N/A</v>
      </c>
      <c r="CK111" s="16" t="str">
        <f t="shared" si="168"/>
        <v>N/A</v>
      </c>
      <c r="CL111" s="16" t="str">
        <f t="shared" si="169"/>
        <v>N/A</v>
      </c>
      <c r="CM111" s="16" t="str">
        <f t="shared" si="170"/>
        <v>N/A</v>
      </c>
      <c r="CN111" s="16" t="str">
        <f t="shared" si="171"/>
        <v>N/A</v>
      </c>
      <c r="CO111" s="16" t="str">
        <f t="shared" si="172"/>
        <v>N/A</v>
      </c>
      <c r="CP111" s="16" t="str">
        <f t="shared" si="173"/>
        <v>N/A</v>
      </c>
      <c r="CQ111" s="16" t="str">
        <f t="shared" si="174"/>
        <v>N/A</v>
      </c>
      <c r="CR111" s="16" t="str">
        <f t="shared" si="175"/>
        <v>N/A</v>
      </c>
      <c r="CS111" s="16" t="str">
        <f t="shared" si="176"/>
        <v>N/A</v>
      </c>
      <c r="CT111" s="16" t="str">
        <f t="shared" si="177"/>
        <v>N/A</v>
      </c>
      <c r="CU111" s="16" t="str">
        <f t="shared" si="131"/>
        <v>N/A</v>
      </c>
      <c r="CV111" s="16" t="str">
        <f t="shared" si="132"/>
        <v>N/A</v>
      </c>
      <c r="CW111" s="16" t="str">
        <f t="shared" si="133"/>
        <v>N/A</v>
      </c>
      <c r="CX111" s="16" t="str">
        <f t="shared" si="134"/>
        <v>N/A</v>
      </c>
      <c r="CY111" s="16" t="str">
        <f t="shared" si="135"/>
        <v>N/A</v>
      </c>
    </row>
    <row r="112" spans="2:103" x14ac:dyDescent="0.25">
      <c r="B112" s="2"/>
      <c r="C112" s="6"/>
      <c r="D112" s="6"/>
      <c r="E112" s="7"/>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5"/>
      <c r="BA112" s="5"/>
      <c r="BB112" s="5"/>
      <c r="BC112" s="5"/>
      <c r="BD112" s="5">
        <f t="shared" si="136"/>
        <v>0</v>
      </c>
      <c r="BE112" s="2"/>
      <c r="BF112" s="2" t="str">
        <f t="shared" si="137"/>
        <v>Menos Horas</v>
      </c>
      <c r="BG112" s="2" t="str">
        <f t="shared" si="138"/>
        <v>Carga Lectiva Insuficiente</v>
      </c>
      <c r="BH112" s="16" t="str">
        <f t="shared" si="139"/>
        <v>Cumple</v>
      </c>
      <c r="BI112" s="2" t="str">
        <f t="shared" si="140"/>
        <v>Cumple</v>
      </c>
      <c r="BJ112" s="16" t="str">
        <f t="shared" si="141"/>
        <v>Cumple</v>
      </c>
      <c r="BK112" s="16" t="str">
        <f t="shared" si="142"/>
        <v>N/A</v>
      </c>
      <c r="BL112" s="16" t="str">
        <f t="shared" si="143"/>
        <v>N/A</v>
      </c>
      <c r="BM112" s="16" t="str">
        <f t="shared" si="144"/>
        <v>N/A</v>
      </c>
      <c r="BN112" s="16" t="str">
        <f t="shared" si="145"/>
        <v>N/A</v>
      </c>
      <c r="BO112" s="16" t="str">
        <f t="shared" si="146"/>
        <v>N/A</v>
      </c>
      <c r="BP112" s="16" t="str">
        <f t="shared" si="147"/>
        <v>N/A</v>
      </c>
      <c r="BQ112" s="16" t="str">
        <f t="shared" si="148"/>
        <v>N/A</v>
      </c>
      <c r="BR112" s="16" t="str">
        <f t="shared" si="149"/>
        <v>N/A</v>
      </c>
      <c r="BS112" s="16" t="str">
        <f t="shared" si="150"/>
        <v>N/A</v>
      </c>
      <c r="BT112" s="16" t="str">
        <f t="shared" si="151"/>
        <v>N/A</v>
      </c>
      <c r="BU112" s="16" t="str">
        <f t="shared" si="152"/>
        <v>N/A</v>
      </c>
      <c r="BV112" s="16" t="str">
        <f t="shared" si="153"/>
        <v>N/A</v>
      </c>
      <c r="BW112" s="16" t="str">
        <f t="shared" si="154"/>
        <v>N/A</v>
      </c>
      <c r="BX112" s="16" t="str">
        <f t="shared" si="155"/>
        <v>N/A</v>
      </c>
      <c r="BY112" s="16" t="str">
        <f t="shared" si="156"/>
        <v>N/A</v>
      </c>
      <c r="BZ112" s="16" t="str">
        <f t="shared" si="157"/>
        <v>N/A</v>
      </c>
      <c r="CA112" s="16" t="str">
        <f t="shared" si="158"/>
        <v>N/A</v>
      </c>
      <c r="CB112" s="16" t="str">
        <f t="shared" si="159"/>
        <v>N/A</v>
      </c>
      <c r="CC112" s="16" t="str">
        <f t="shared" si="160"/>
        <v>N/A</v>
      </c>
      <c r="CD112" s="16" t="str">
        <f t="shared" si="161"/>
        <v>N/A</v>
      </c>
      <c r="CE112" s="16" t="str">
        <f t="shared" si="162"/>
        <v>N/A</v>
      </c>
      <c r="CF112" s="16" t="str">
        <f t="shared" si="163"/>
        <v>N/A</v>
      </c>
      <c r="CG112" s="16" t="str">
        <f t="shared" si="164"/>
        <v>N/A</v>
      </c>
      <c r="CH112" s="16" t="str">
        <f t="shared" si="165"/>
        <v>N/A</v>
      </c>
      <c r="CI112" s="16" t="str">
        <f t="shared" si="166"/>
        <v>N/A</v>
      </c>
      <c r="CJ112" s="16" t="str">
        <f t="shared" si="167"/>
        <v>N/A</v>
      </c>
      <c r="CK112" s="16" t="str">
        <f t="shared" si="168"/>
        <v>N/A</v>
      </c>
      <c r="CL112" s="16" t="str">
        <f t="shared" si="169"/>
        <v>N/A</v>
      </c>
      <c r="CM112" s="16" t="str">
        <f t="shared" si="170"/>
        <v>N/A</v>
      </c>
      <c r="CN112" s="16" t="str">
        <f t="shared" si="171"/>
        <v>N/A</v>
      </c>
      <c r="CO112" s="16" t="str">
        <f t="shared" si="172"/>
        <v>N/A</v>
      </c>
      <c r="CP112" s="16" t="str">
        <f t="shared" si="173"/>
        <v>N/A</v>
      </c>
      <c r="CQ112" s="16" t="str">
        <f t="shared" si="174"/>
        <v>N/A</v>
      </c>
      <c r="CR112" s="16" t="str">
        <f t="shared" si="175"/>
        <v>N/A</v>
      </c>
      <c r="CS112" s="16" t="str">
        <f t="shared" si="176"/>
        <v>N/A</v>
      </c>
      <c r="CT112" s="16" t="str">
        <f t="shared" si="177"/>
        <v>N/A</v>
      </c>
      <c r="CU112" s="16" t="str">
        <f t="shared" si="131"/>
        <v>N/A</v>
      </c>
      <c r="CV112" s="16" t="str">
        <f t="shared" si="132"/>
        <v>N/A</v>
      </c>
      <c r="CW112" s="16" t="str">
        <f t="shared" si="133"/>
        <v>N/A</v>
      </c>
      <c r="CX112" s="16" t="str">
        <f t="shared" si="134"/>
        <v>N/A</v>
      </c>
      <c r="CY112" s="16" t="str">
        <f t="shared" si="135"/>
        <v>N/A</v>
      </c>
    </row>
    <row r="113" spans="2:103" x14ac:dyDescent="0.25">
      <c r="B113" s="2"/>
      <c r="C113" s="6"/>
      <c r="D113" s="6"/>
      <c r="E113" s="7"/>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5"/>
      <c r="BA113" s="5"/>
      <c r="BB113" s="5"/>
      <c r="BC113" s="5"/>
      <c r="BD113" s="5">
        <f t="shared" si="136"/>
        <v>0</v>
      </c>
      <c r="BE113" s="2"/>
      <c r="BF113" s="2" t="str">
        <f t="shared" si="137"/>
        <v>Menos Horas</v>
      </c>
      <c r="BG113" s="2" t="str">
        <f t="shared" si="138"/>
        <v>Carga Lectiva Insuficiente</v>
      </c>
      <c r="BH113" s="16" t="str">
        <f t="shared" si="139"/>
        <v>Cumple</v>
      </c>
      <c r="BI113" s="2" t="str">
        <f t="shared" si="140"/>
        <v>Cumple</v>
      </c>
      <c r="BJ113" s="16" t="str">
        <f t="shared" si="141"/>
        <v>Cumple</v>
      </c>
      <c r="BK113" s="16" t="str">
        <f t="shared" si="142"/>
        <v>N/A</v>
      </c>
      <c r="BL113" s="16" t="str">
        <f t="shared" si="143"/>
        <v>N/A</v>
      </c>
      <c r="BM113" s="16" t="str">
        <f t="shared" si="144"/>
        <v>N/A</v>
      </c>
      <c r="BN113" s="16" t="str">
        <f t="shared" si="145"/>
        <v>N/A</v>
      </c>
      <c r="BO113" s="16" t="str">
        <f t="shared" si="146"/>
        <v>N/A</v>
      </c>
      <c r="BP113" s="16" t="str">
        <f t="shared" si="147"/>
        <v>N/A</v>
      </c>
      <c r="BQ113" s="16" t="str">
        <f t="shared" si="148"/>
        <v>N/A</v>
      </c>
      <c r="BR113" s="16" t="str">
        <f t="shared" si="149"/>
        <v>N/A</v>
      </c>
      <c r="BS113" s="16" t="str">
        <f t="shared" si="150"/>
        <v>N/A</v>
      </c>
      <c r="BT113" s="16" t="str">
        <f t="shared" si="151"/>
        <v>N/A</v>
      </c>
      <c r="BU113" s="16" t="str">
        <f t="shared" si="152"/>
        <v>N/A</v>
      </c>
      <c r="BV113" s="16" t="str">
        <f t="shared" si="153"/>
        <v>N/A</v>
      </c>
      <c r="BW113" s="16" t="str">
        <f t="shared" si="154"/>
        <v>N/A</v>
      </c>
      <c r="BX113" s="16" t="str">
        <f t="shared" si="155"/>
        <v>N/A</v>
      </c>
      <c r="BY113" s="16" t="str">
        <f t="shared" si="156"/>
        <v>N/A</v>
      </c>
      <c r="BZ113" s="16" t="str">
        <f t="shared" si="157"/>
        <v>N/A</v>
      </c>
      <c r="CA113" s="16" t="str">
        <f t="shared" si="158"/>
        <v>N/A</v>
      </c>
      <c r="CB113" s="16" t="str">
        <f t="shared" si="159"/>
        <v>N/A</v>
      </c>
      <c r="CC113" s="16" t="str">
        <f t="shared" si="160"/>
        <v>N/A</v>
      </c>
      <c r="CD113" s="16" t="str">
        <f t="shared" si="161"/>
        <v>N/A</v>
      </c>
      <c r="CE113" s="16" t="str">
        <f t="shared" si="162"/>
        <v>N/A</v>
      </c>
      <c r="CF113" s="16" t="str">
        <f t="shared" si="163"/>
        <v>N/A</v>
      </c>
      <c r="CG113" s="16" t="str">
        <f t="shared" si="164"/>
        <v>N/A</v>
      </c>
      <c r="CH113" s="16" t="str">
        <f t="shared" si="165"/>
        <v>N/A</v>
      </c>
      <c r="CI113" s="16" t="str">
        <f t="shared" si="166"/>
        <v>N/A</v>
      </c>
      <c r="CJ113" s="16" t="str">
        <f t="shared" si="167"/>
        <v>N/A</v>
      </c>
      <c r="CK113" s="16" t="str">
        <f t="shared" si="168"/>
        <v>N/A</v>
      </c>
      <c r="CL113" s="16" t="str">
        <f t="shared" si="169"/>
        <v>N/A</v>
      </c>
      <c r="CM113" s="16" t="str">
        <f t="shared" si="170"/>
        <v>N/A</v>
      </c>
      <c r="CN113" s="16" t="str">
        <f t="shared" si="171"/>
        <v>N/A</v>
      </c>
      <c r="CO113" s="16" t="str">
        <f t="shared" si="172"/>
        <v>N/A</v>
      </c>
      <c r="CP113" s="16" t="str">
        <f t="shared" si="173"/>
        <v>N/A</v>
      </c>
      <c r="CQ113" s="16" t="str">
        <f t="shared" si="174"/>
        <v>N/A</v>
      </c>
      <c r="CR113" s="16" t="str">
        <f t="shared" si="175"/>
        <v>N/A</v>
      </c>
      <c r="CS113" s="16" t="str">
        <f t="shared" si="176"/>
        <v>N/A</v>
      </c>
      <c r="CT113" s="16" t="str">
        <f t="shared" si="177"/>
        <v>N/A</v>
      </c>
      <c r="CU113" s="16" t="str">
        <f t="shared" si="131"/>
        <v>N/A</v>
      </c>
      <c r="CV113" s="16" t="str">
        <f t="shared" si="132"/>
        <v>N/A</v>
      </c>
      <c r="CW113" s="16" t="str">
        <f t="shared" si="133"/>
        <v>N/A</v>
      </c>
      <c r="CX113" s="16" t="str">
        <f t="shared" si="134"/>
        <v>N/A</v>
      </c>
      <c r="CY113" s="16" t="str">
        <f t="shared" si="135"/>
        <v>N/A</v>
      </c>
    </row>
    <row r="114" spans="2:103" x14ac:dyDescent="0.25">
      <c r="B114" s="2"/>
      <c r="C114" s="6"/>
      <c r="D114" s="6"/>
      <c r="E114" s="7"/>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5"/>
      <c r="BA114" s="5"/>
      <c r="BB114" s="5"/>
      <c r="BC114" s="5"/>
      <c r="BD114" s="5">
        <f t="shared" si="136"/>
        <v>0</v>
      </c>
      <c r="BE114" s="2"/>
      <c r="BF114" s="2" t="str">
        <f t="shared" si="137"/>
        <v>Menos Horas</v>
      </c>
      <c r="BG114" s="2" t="str">
        <f t="shared" si="138"/>
        <v>Carga Lectiva Insuficiente</v>
      </c>
      <c r="BH114" s="16" t="str">
        <f t="shared" si="139"/>
        <v>Cumple</v>
      </c>
      <c r="BI114" s="2" t="str">
        <f t="shared" si="140"/>
        <v>Cumple</v>
      </c>
      <c r="BJ114" s="16" t="str">
        <f t="shared" si="141"/>
        <v>Cumple</v>
      </c>
      <c r="BK114" s="16" t="str">
        <f t="shared" si="142"/>
        <v>N/A</v>
      </c>
      <c r="BL114" s="16" t="str">
        <f t="shared" si="143"/>
        <v>N/A</v>
      </c>
      <c r="BM114" s="16" t="str">
        <f t="shared" si="144"/>
        <v>N/A</v>
      </c>
      <c r="BN114" s="16" t="str">
        <f t="shared" si="145"/>
        <v>N/A</v>
      </c>
      <c r="BO114" s="16" t="str">
        <f t="shared" si="146"/>
        <v>N/A</v>
      </c>
      <c r="BP114" s="16" t="str">
        <f t="shared" si="147"/>
        <v>N/A</v>
      </c>
      <c r="BQ114" s="16" t="str">
        <f t="shared" si="148"/>
        <v>N/A</v>
      </c>
      <c r="BR114" s="16" t="str">
        <f t="shared" si="149"/>
        <v>N/A</v>
      </c>
      <c r="BS114" s="16" t="str">
        <f t="shared" si="150"/>
        <v>N/A</v>
      </c>
      <c r="BT114" s="16" t="str">
        <f t="shared" si="151"/>
        <v>N/A</v>
      </c>
      <c r="BU114" s="16" t="str">
        <f t="shared" si="152"/>
        <v>N/A</v>
      </c>
      <c r="BV114" s="16" t="str">
        <f t="shared" si="153"/>
        <v>N/A</v>
      </c>
      <c r="BW114" s="16" t="str">
        <f t="shared" si="154"/>
        <v>N/A</v>
      </c>
      <c r="BX114" s="16" t="str">
        <f t="shared" si="155"/>
        <v>N/A</v>
      </c>
      <c r="BY114" s="16" t="str">
        <f t="shared" si="156"/>
        <v>N/A</v>
      </c>
      <c r="BZ114" s="16" t="str">
        <f t="shared" si="157"/>
        <v>N/A</v>
      </c>
      <c r="CA114" s="16" t="str">
        <f t="shared" si="158"/>
        <v>N/A</v>
      </c>
      <c r="CB114" s="16" t="str">
        <f t="shared" si="159"/>
        <v>N/A</v>
      </c>
      <c r="CC114" s="16" t="str">
        <f t="shared" si="160"/>
        <v>N/A</v>
      </c>
      <c r="CD114" s="16" t="str">
        <f t="shared" si="161"/>
        <v>N/A</v>
      </c>
      <c r="CE114" s="16" t="str">
        <f t="shared" si="162"/>
        <v>N/A</v>
      </c>
      <c r="CF114" s="16" t="str">
        <f t="shared" si="163"/>
        <v>N/A</v>
      </c>
      <c r="CG114" s="16" t="str">
        <f t="shared" si="164"/>
        <v>N/A</v>
      </c>
      <c r="CH114" s="16" t="str">
        <f t="shared" si="165"/>
        <v>N/A</v>
      </c>
      <c r="CI114" s="16" t="str">
        <f t="shared" si="166"/>
        <v>N/A</v>
      </c>
      <c r="CJ114" s="16" t="str">
        <f t="shared" si="167"/>
        <v>N/A</v>
      </c>
      <c r="CK114" s="16" t="str">
        <f t="shared" si="168"/>
        <v>N/A</v>
      </c>
      <c r="CL114" s="16" t="str">
        <f t="shared" si="169"/>
        <v>N/A</v>
      </c>
      <c r="CM114" s="16" t="str">
        <f t="shared" si="170"/>
        <v>N/A</v>
      </c>
      <c r="CN114" s="16" t="str">
        <f t="shared" si="171"/>
        <v>N/A</v>
      </c>
      <c r="CO114" s="16" t="str">
        <f t="shared" si="172"/>
        <v>N/A</v>
      </c>
      <c r="CP114" s="16" t="str">
        <f t="shared" si="173"/>
        <v>N/A</v>
      </c>
      <c r="CQ114" s="16" t="str">
        <f t="shared" si="174"/>
        <v>N/A</v>
      </c>
      <c r="CR114" s="16" t="str">
        <f t="shared" si="175"/>
        <v>N/A</v>
      </c>
      <c r="CS114" s="16" t="str">
        <f t="shared" si="176"/>
        <v>N/A</v>
      </c>
      <c r="CT114" s="16" t="str">
        <f t="shared" si="177"/>
        <v>N/A</v>
      </c>
      <c r="CU114" s="16" t="str">
        <f t="shared" si="131"/>
        <v>N/A</v>
      </c>
      <c r="CV114" s="16" t="str">
        <f t="shared" si="132"/>
        <v>N/A</v>
      </c>
      <c r="CW114" s="16" t="str">
        <f t="shared" si="133"/>
        <v>N/A</v>
      </c>
      <c r="CX114" s="16" t="str">
        <f t="shared" si="134"/>
        <v>N/A</v>
      </c>
      <c r="CY114" s="16" t="str">
        <f t="shared" si="135"/>
        <v>N/A</v>
      </c>
    </row>
    <row r="115" spans="2:103" x14ac:dyDescent="0.25">
      <c r="B115" s="2"/>
      <c r="C115" s="6"/>
      <c r="D115" s="6"/>
      <c r="E115" s="7"/>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5"/>
      <c r="BA115" s="5"/>
      <c r="BB115" s="5"/>
      <c r="BC115" s="5"/>
      <c r="BD115" s="5">
        <f t="shared" si="136"/>
        <v>0</v>
      </c>
      <c r="BE115" s="2"/>
      <c r="BF115" s="2" t="str">
        <f t="shared" si="137"/>
        <v>Menos Horas</v>
      </c>
      <c r="BG115" s="2" t="str">
        <f t="shared" si="138"/>
        <v>Carga Lectiva Insuficiente</v>
      </c>
      <c r="BH115" s="16" t="str">
        <f t="shared" si="139"/>
        <v>Cumple</v>
      </c>
      <c r="BI115" s="2" t="str">
        <f t="shared" si="140"/>
        <v>Cumple</v>
      </c>
      <c r="BJ115" s="16" t="str">
        <f t="shared" si="141"/>
        <v>Cumple</v>
      </c>
      <c r="BK115" s="16" t="str">
        <f t="shared" si="142"/>
        <v>N/A</v>
      </c>
      <c r="BL115" s="16" t="str">
        <f t="shared" si="143"/>
        <v>N/A</v>
      </c>
      <c r="BM115" s="16" t="str">
        <f t="shared" si="144"/>
        <v>N/A</v>
      </c>
      <c r="BN115" s="16" t="str">
        <f t="shared" si="145"/>
        <v>N/A</v>
      </c>
      <c r="BO115" s="16" t="str">
        <f t="shared" si="146"/>
        <v>N/A</v>
      </c>
      <c r="BP115" s="16" t="str">
        <f t="shared" si="147"/>
        <v>N/A</v>
      </c>
      <c r="BQ115" s="16" t="str">
        <f t="shared" si="148"/>
        <v>N/A</v>
      </c>
      <c r="BR115" s="16" t="str">
        <f t="shared" si="149"/>
        <v>N/A</v>
      </c>
      <c r="BS115" s="16" t="str">
        <f t="shared" si="150"/>
        <v>N/A</v>
      </c>
      <c r="BT115" s="16" t="str">
        <f t="shared" si="151"/>
        <v>N/A</v>
      </c>
      <c r="BU115" s="16" t="str">
        <f t="shared" si="152"/>
        <v>N/A</v>
      </c>
      <c r="BV115" s="16" t="str">
        <f t="shared" si="153"/>
        <v>N/A</v>
      </c>
      <c r="BW115" s="16" t="str">
        <f t="shared" si="154"/>
        <v>N/A</v>
      </c>
      <c r="BX115" s="16" t="str">
        <f t="shared" si="155"/>
        <v>N/A</v>
      </c>
      <c r="BY115" s="16" t="str">
        <f t="shared" si="156"/>
        <v>N/A</v>
      </c>
      <c r="BZ115" s="16" t="str">
        <f t="shared" si="157"/>
        <v>N/A</v>
      </c>
      <c r="CA115" s="16" t="str">
        <f t="shared" si="158"/>
        <v>N/A</v>
      </c>
      <c r="CB115" s="16" t="str">
        <f t="shared" si="159"/>
        <v>N/A</v>
      </c>
      <c r="CC115" s="16" t="str">
        <f t="shared" si="160"/>
        <v>N/A</v>
      </c>
      <c r="CD115" s="16" t="str">
        <f t="shared" si="161"/>
        <v>N/A</v>
      </c>
      <c r="CE115" s="16" t="str">
        <f t="shared" si="162"/>
        <v>N/A</v>
      </c>
      <c r="CF115" s="16" t="str">
        <f t="shared" si="163"/>
        <v>N/A</v>
      </c>
      <c r="CG115" s="16" t="str">
        <f t="shared" si="164"/>
        <v>N/A</v>
      </c>
      <c r="CH115" s="16" t="str">
        <f t="shared" si="165"/>
        <v>N/A</v>
      </c>
      <c r="CI115" s="16" t="str">
        <f t="shared" si="166"/>
        <v>N/A</v>
      </c>
      <c r="CJ115" s="16" t="str">
        <f t="shared" si="167"/>
        <v>N/A</v>
      </c>
      <c r="CK115" s="16" t="str">
        <f t="shared" si="168"/>
        <v>N/A</v>
      </c>
      <c r="CL115" s="16" t="str">
        <f t="shared" si="169"/>
        <v>N/A</v>
      </c>
      <c r="CM115" s="16" t="str">
        <f t="shared" si="170"/>
        <v>N/A</v>
      </c>
      <c r="CN115" s="16" t="str">
        <f t="shared" si="171"/>
        <v>N/A</v>
      </c>
      <c r="CO115" s="16" t="str">
        <f t="shared" si="172"/>
        <v>N/A</v>
      </c>
      <c r="CP115" s="16" t="str">
        <f t="shared" si="173"/>
        <v>N/A</v>
      </c>
      <c r="CQ115" s="16" t="str">
        <f t="shared" si="174"/>
        <v>N/A</v>
      </c>
      <c r="CR115" s="16" t="str">
        <f t="shared" si="175"/>
        <v>N/A</v>
      </c>
      <c r="CS115" s="16" t="str">
        <f t="shared" si="176"/>
        <v>N/A</v>
      </c>
      <c r="CT115" s="16" t="str">
        <f t="shared" si="177"/>
        <v>N/A</v>
      </c>
      <c r="CU115" s="16" t="str">
        <f t="shared" si="131"/>
        <v>N/A</v>
      </c>
      <c r="CV115" s="16" t="str">
        <f t="shared" si="132"/>
        <v>N/A</v>
      </c>
      <c r="CW115" s="16" t="str">
        <f t="shared" si="133"/>
        <v>N/A</v>
      </c>
      <c r="CX115" s="16" t="str">
        <f t="shared" si="134"/>
        <v>N/A</v>
      </c>
      <c r="CY115" s="16" t="str">
        <f t="shared" si="135"/>
        <v>N/A</v>
      </c>
    </row>
    <row r="116" spans="2:103" x14ac:dyDescent="0.25">
      <c r="B116" s="2"/>
      <c r="C116" s="6"/>
      <c r="D116" s="6"/>
      <c r="E116" s="7"/>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5"/>
      <c r="BA116" s="5"/>
      <c r="BB116" s="5"/>
      <c r="BC116" s="5"/>
      <c r="BD116" s="5">
        <f t="shared" si="136"/>
        <v>0</v>
      </c>
      <c r="BE116" s="2"/>
      <c r="BF116" s="2" t="str">
        <f t="shared" si="137"/>
        <v>Menos Horas</v>
      </c>
      <c r="BG116" s="2" t="str">
        <f t="shared" si="138"/>
        <v>Carga Lectiva Insuficiente</v>
      </c>
      <c r="BH116" s="16" t="str">
        <f t="shared" si="139"/>
        <v>Cumple</v>
      </c>
      <c r="BI116" s="2" t="str">
        <f t="shared" si="140"/>
        <v>Cumple</v>
      </c>
      <c r="BJ116" s="16" t="str">
        <f t="shared" si="141"/>
        <v>Cumple</v>
      </c>
      <c r="BK116" s="16" t="str">
        <f t="shared" si="142"/>
        <v>N/A</v>
      </c>
      <c r="BL116" s="16" t="str">
        <f t="shared" si="143"/>
        <v>N/A</v>
      </c>
      <c r="BM116" s="16" t="str">
        <f t="shared" si="144"/>
        <v>N/A</v>
      </c>
      <c r="BN116" s="16" t="str">
        <f t="shared" si="145"/>
        <v>N/A</v>
      </c>
      <c r="BO116" s="16" t="str">
        <f t="shared" si="146"/>
        <v>N/A</v>
      </c>
      <c r="BP116" s="16" t="str">
        <f t="shared" si="147"/>
        <v>N/A</v>
      </c>
      <c r="BQ116" s="16" t="str">
        <f t="shared" si="148"/>
        <v>N/A</v>
      </c>
      <c r="BR116" s="16" t="str">
        <f t="shared" si="149"/>
        <v>N/A</v>
      </c>
      <c r="BS116" s="16" t="str">
        <f t="shared" si="150"/>
        <v>N/A</v>
      </c>
      <c r="BT116" s="16" t="str">
        <f t="shared" si="151"/>
        <v>N/A</v>
      </c>
      <c r="BU116" s="16" t="str">
        <f t="shared" si="152"/>
        <v>N/A</v>
      </c>
      <c r="BV116" s="16" t="str">
        <f t="shared" si="153"/>
        <v>N/A</v>
      </c>
      <c r="BW116" s="16" t="str">
        <f t="shared" si="154"/>
        <v>N/A</v>
      </c>
      <c r="BX116" s="16" t="str">
        <f t="shared" si="155"/>
        <v>N/A</v>
      </c>
      <c r="BY116" s="16" t="str">
        <f t="shared" si="156"/>
        <v>N/A</v>
      </c>
      <c r="BZ116" s="16" t="str">
        <f t="shared" si="157"/>
        <v>N/A</v>
      </c>
      <c r="CA116" s="16" t="str">
        <f t="shared" si="158"/>
        <v>N/A</v>
      </c>
      <c r="CB116" s="16" t="str">
        <f t="shared" si="159"/>
        <v>N/A</v>
      </c>
      <c r="CC116" s="16" t="str">
        <f t="shared" si="160"/>
        <v>N/A</v>
      </c>
      <c r="CD116" s="16" t="str">
        <f t="shared" si="161"/>
        <v>N/A</v>
      </c>
      <c r="CE116" s="16" t="str">
        <f t="shared" si="162"/>
        <v>N/A</v>
      </c>
      <c r="CF116" s="16" t="str">
        <f t="shared" si="163"/>
        <v>N/A</v>
      </c>
      <c r="CG116" s="16" t="str">
        <f t="shared" si="164"/>
        <v>N/A</v>
      </c>
      <c r="CH116" s="16" t="str">
        <f t="shared" si="165"/>
        <v>N/A</v>
      </c>
      <c r="CI116" s="16" t="str">
        <f t="shared" si="166"/>
        <v>N/A</v>
      </c>
      <c r="CJ116" s="16" t="str">
        <f t="shared" si="167"/>
        <v>N/A</v>
      </c>
      <c r="CK116" s="16" t="str">
        <f t="shared" si="168"/>
        <v>N/A</v>
      </c>
      <c r="CL116" s="16" t="str">
        <f t="shared" si="169"/>
        <v>N/A</v>
      </c>
      <c r="CM116" s="16" t="str">
        <f t="shared" si="170"/>
        <v>N/A</v>
      </c>
      <c r="CN116" s="16" t="str">
        <f t="shared" si="171"/>
        <v>N/A</v>
      </c>
      <c r="CO116" s="16" t="str">
        <f t="shared" si="172"/>
        <v>N/A</v>
      </c>
      <c r="CP116" s="16" t="str">
        <f t="shared" si="173"/>
        <v>N/A</v>
      </c>
      <c r="CQ116" s="16" t="str">
        <f t="shared" si="174"/>
        <v>N/A</v>
      </c>
      <c r="CR116" s="16" t="str">
        <f t="shared" si="175"/>
        <v>N/A</v>
      </c>
      <c r="CS116" s="16" t="str">
        <f t="shared" si="176"/>
        <v>N/A</v>
      </c>
      <c r="CT116" s="16" t="str">
        <f t="shared" si="177"/>
        <v>N/A</v>
      </c>
      <c r="CU116" s="16" t="str">
        <f t="shared" si="131"/>
        <v>N/A</v>
      </c>
      <c r="CV116" s="16" t="str">
        <f t="shared" si="132"/>
        <v>N/A</v>
      </c>
      <c r="CW116" s="16" t="str">
        <f t="shared" si="133"/>
        <v>N/A</v>
      </c>
      <c r="CX116" s="16" t="str">
        <f t="shared" si="134"/>
        <v>N/A</v>
      </c>
      <c r="CY116" s="16" t="str">
        <f t="shared" si="135"/>
        <v>N/A</v>
      </c>
    </row>
    <row r="117" spans="2:103" x14ac:dyDescent="0.25">
      <c r="B117" s="2"/>
      <c r="C117" s="6"/>
      <c r="D117" s="6"/>
      <c r="E117" s="7"/>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5"/>
      <c r="BA117" s="5"/>
      <c r="BB117" s="5"/>
      <c r="BC117" s="5"/>
      <c r="BD117" s="5">
        <f t="shared" si="136"/>
        <v>0</v>
      </c>
      <c r="BE117" s="2"/>
      <c r="BF117" s="2" t="str">
        <f t="shared" si="137"/>
        <v>Menos Horas</v>
      </c>
      <c r="BG117" s="2" t="str">
        <f t="shared" si="138"/>
        <v>Carga Lectiva Insuficiente</v>
      </c>
      <c r="BH117" s="16" t="str">
        <f t="shared" si="139"/>
        <v>Cumple</v>
      </c>
      <c r="BI117" s="2" t="str">
        <f t="shared" si="140"/>
        <v>Cumple</v>
      </c>
      <c r="BJ117" s="16" t="str">
        <f t="shared" si="141"/>
        <v>Cumple</v>
      </c>
      <c r="BK117" s="16" t="str">
        <f t="shared" si="142"/>
        <v>N/A</v>
      </c>
      <c r="BL117" s="16" t="str">
        <f t="shared" si="143"/>
        <v>N/A</v>
      </c>
      <c r="BM117" s="16" t="str">
        <f t="shared" si="144"/>
        <v>N/A</v>
      </c>
      <c r="BN117" s="16" t="str">
        <f t="shared" si="145"/>
        <v>N/A</v>
      </c>
      <c r="BO117" s="16" t="str">
        <f t="shared" si="146"/>
        <v>N/A</v>
      </c>
      <c r="BP117" s="16" t="str">
        <f t="shared" si="147"/>
        <v>N/A</v>
      </c>
      <c r="BQ117" s="16" t="str">
        <f t="shared" si="148"/>
        <v>N/A</v>
      </c>
      <c r="BR117" s="16" t="str">
        <f t="shared" si="149"/>
        <v>N/A</v>
      </c>
      <c r="BS117" s="16" t="str">
        <f t="shared" si="150"/>
        <v>N/A</v>
      </c>
      <c r="BT117" s="16" t="str">
        <f t="shared" si="151"/>
        <v>N/A</v>
      </c>
      <c r="BU117" s="16" t="str">
        <f t="shared" si="152"/>
        <v>N/A</v>
      </c>
      <c r="BV117" s="16" t="str">
        <f t="shared" si="153"/>
        <v>N/A</v>
      </c>
      <c r="BW117" s="16" t="str">
        <f t="shared" si="154"/>
        <v>N/A</v>
      </c>
      <c r="BX117" s="16" t="str">
        <f t="shared" si="155"/>
        <v>N/A</v>
      </c>
      <c r="BY117" s="16" t="str">
        <f t="shared" si="156"/>
        <v>N/A</v>
      </c>
      <c r="BZ117" s="16" t="str">
        <f t="shared" si="157"/>
        <v>N/A</v>
      </c>
      <c r="CA117" s="16" t="str">
        <f t="shared" si="158"/>
        <v>N/A</v>
      </c>
      <c r="CB117" s="16" t="str">
        <f t="shared" si="159"/>
        <v>N/A</v>
      </c>
      <c r="CC117" s="16" t="str">
        <f t="shared" si="160"/>
        <v>N/A</v>
      </c>
      <c r="CD117" s="16" t="str">
        <f t="shared" si="161"/>
        <v>N/A</v>
      </c>
      <c r="CE117" s="16" t="str">
        <f t="shared" si="162"/>
        <v>N/A</v>
      </c>
      <c r="CF117" s="16" t="str">
        <f t="shared" si="163"/>
        <v>N/A</v>
      </c>
      <c r="CG117" s="16" t="str">
        <f t="shared" si="164"/>
        <v>N/A</v>
      </c>
      <c r="CH117" s="16" t="str">
        <f t="shared" si="165"/>
        <v>N/A</v>
      </c>
      <c r="CI117" s="16" t="str">
        <f t="shared" si="166"/>
        <v>N/A</v>
      </c>
      <c r="CJ117" s="16" t="str">
        <f t="shared" si="167"/>
        <v>N/A</v>
      </c>
      <c r="CK117" s="16" t="str">
        <f t="shared" si="168"/>
        <v>N/A</v>
      </c>
      <c r="CL117" s="16" t="str">
        <f t="shared" si="169"/>
        <v>N/A</v>
      </c>
      <c r="CM117" s="16" t="str">
        <f t="shared" si="170"/>
        <v>N/A</v>
      </c>
      <c r="CN117" s="16" t="str">
        <f t="shared" si="171"/>
        <v>N/A</v>
      </c>
      <c r="CO117" s="16" t="str">
        <f t="shared" si="172"/>
        <v>N/A</v>
      </c>
      <c r="CP117" s="16" t="str">
        <f t="shared" si="173"/>
        <v>N/A</v>
      </c>
      <c r="CQ117" s="16" t="str">
        <f t="shared" si="174"/>
        <v>N/A</v>
      </c>
      <c r="CR117" s="16" t="str">
        <f t="shared" si="175"/>
        <v>N/A</v>
      </c>
      <c r="CS117" s="16" t="str">
        <f t="shared" si="176"/>
        <v>N/A</v>
      </c>
      <c r="CT117" s="16" t="str">
        <f t="shared" si="177"/>
        <v>N/A</v>
      </c>
      <c r="CU117" s="16" t="str">
        <f t="shared" si="131"/>
        <v>N/A</v>
      </c>
      <c r="CV117" s="16" t="str">
        <f t="shared" si="132"/>
        <v>N/A</v>
      </c>
      <c r="CW117" s="16" t="str">
        <f t="shared" si="133"/>
        <v>N/A</v>
      </c>
      <c r="CX117" s="16" t="str">
        <f t="shared" si="134"/>
        <v>N/A</v>
      </c>
      <c r="CY117" s="16" t="str">
        <f t="shared" si="135"/>
        <v>N/A</v>
      </c>
    </row>
    <row r="118" spans="2:103" x14ac:dyDescent="0.25">
      <c r="B118" s="2"/>
      <c r="C118" s="6"/>
      <c r="D118" s="6"/>
      <c r="E118" s="7"/>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5"/>
      <c r="BA118" s="5"/>
      <c r="BB118" s="5"/>
      <c r="BC118" s="5"/>
      <c r="BD118" s="5">
        <f t="shared" si="136"/>
        <v>0</v>
      </c>
      <c r="BE118" s="2"/>
      <c r="BF118" s="2" t="str">
        <f t="shared" si="137"/>
        <v>Menos Horas</v>
      </c>
      <c r="BG118" s="2" t="str">
        <f t="shared" si="138"/>
        <v>Carga Lectiva Insuficiente</v>
      </c>
      <c r="BH118" s="16" t="str">
        <f t="shared" si="139"/>
        <v>Cumple</v>
      </c>
      <c r="BI118" s="2" t="str">
        <f t="shared" si="140"/>
        <v>Cumple</v>
      </c>
      <c r="BJ118" s="16" t="str">
        <f t="shared" si="141"/>
        <v>Cumple</v>
      </c>
      <c r="BK118" s="16" t="str">
        <f t="shared" si="142"/>
        <v>N/A</v>
      </c>
      <c r="BL118" s="16" t="str">
        <f t="shared" si="143"/>
        <v>N/A</v>
      </c>
      <c r="BM118" s="16" t="str">
        <f t="shared" si="144"/>
        <v>N/A</v>
      </c>
      <c r="BN118" s="16" t="str">
        <f t="shared" si="145"/>
        <v>N/A</v>
      </c>
      <c r="BO118" s="16" t="str">
        <f t="shared" si="146"/>
        <v>N/A</v>
      </c>
      <c r="BP118" s="16" t="str">
        <f t="shared" si="147"/>
        <v>N/A</v>
      </c>
      <c r="BQ118" s="16" t="str">
        <f t="shared" si="148"/>
        <v>N/A</v>
      </c>
      <c r="BR118" s="16" t="str">
        <f t="shared" si="149"/>
        <v>N/A</v>
      </c>
      <c r="BS118" s="16" t="str">
        <f t="shared" si="150"/>
        <v>N/A</v>
      </c>
      <c r="BT118" s="16" t="str">
        <f t="shared" si="151"/>
        <v>N/A</v>
      </c>
      <c r="BU118" s="16" t="str">
        <f t="shared" si="152"/>
        <v>N/A</v>
      </c>
      <c r="BV118" s="16" t="str">
        <f t="shared" si="153"/>
        <v>N/A</v>
      </c>
      <c r="BW118" s="16" t="str">
        <f t="shared" si="154"/>
        <v>N/A</v>
      </c>
      <c r="BX118" s="16" t="str">
        <f t="shared" si="155"/>
        <v>N/A</v>
      </c>
      <c r="BY118" s="16" t="str">
        <f t="shared" si="156"/>
        <v>N/A</v>
      </c>
      <c r="BZ118" s="16" t="str">
        <f t="shared" si="157"/>
        <v>N/A</v>
      </c>
      <c r="CA118" s="16" t="str">
        <f t="shared" si="158"/>
        <v>N/A</v>
      </c>
      <c r="CB118" s="16" t="str">
        <f t="shared" si="159"/>
        <v>N/A</v>
      </c>
      <c r="CC118" s="16" t="str">
        <f t="shared" si="160"/>
        <v>N/A</v>
      </c>
      <c r="CD118" s="16" t="str">
        <f t="shared" si="161"/>
        <v>N/A</v>
      </c>
      <c r="CE118" s="16" t="str">
        <f t="shared" si="162"/>
        <v>N/A</v>
      </c>
      <c r="CF118" s="16" t="str">
        <f t="shared" si="163"/>
        <v>N/A</v>
      </c>
      <c r="CG118" s="16" t="str">
        <f t="shared" si="164"/>
        <v>N/A</v>
      </c>
      <c r="CH118" s="16" t="str">
        <f t="shared" si="165"/>
        <v>N/A</v>
      </c>
      <c r="CI118" s="16" t="str">
        <f t="shared" si="166"/>
        <v>N/A</v>
      </c>
      <c r="CJ118" s="16" t="str">
        <f t="shared" si="167"/>
        <v>N/A</v>
      </c>
      <c r="CK118" s="16" t="str">
        <f t="shared" si="168"/>
        <v>N/A</v>
      </c>
      <c r="CL118" s="16" t="str">
        <f t="shared" si="169"/>
        <v>N/A</v>
      </c>
      <c r="CM118" s="16" t="str">
        <f t="shared" si="170"/>
        <v>N/A</v>
      </c>
      <c r="CN118" s="16" t="str">
        <f t="shared" si="171"/>
        <v>N/A</v>
      </c>
      <c r="CO118" s="16" t="str">
        <f t="shared" si="172"/>
        <v>N/A</v>
      </c>
      <c r="CP118" s="16" t="str">
        <f t="shared" si="173"/>
        <v>N/A</v>
      </c>
      <c r="CQ118" s="16" t="str">
        <f t="shared" si="174"/>
        <v>N/A</v>
      </c>
      <c r="CR118" s="16" t="str">
        <f t="shared" si="175"/>
        <v>N/A</v>
      </c>
      <c r="CS118" s="16" t="str">
        <f t="shared" si="176"/>
        <v>N/A</v>
      </c>
      <c r="CT118" s="16" t="str">
        <f t="shared" si="177"/>
        <v>N/A</v>
      </c>
      <c r="CU118" s="16" t="str">
        <f t="shared" si="131"/>
        <v>N/A</v>
      </c>
      <c r="CV118" s="16" t="str">
        <f t="shared" si="132"/>
        <v>N/A</v>
      </c>
      <c r="CW118" s="16" t="str">
        <f t="shared" si="133"/>
        <v>N/A</v>
      </c>
      <c r="CX118" s="16" t="str">
        <f t="shared" si="134"/>
        <v>N/A</v>
      </c>
      <c r="CY118" s="16" t="str">
        <f t="shared" si="135"/>
        <v>N/A</v>
      </c>
    </row>
    <row r="119" spans="2:103" x14ac:dyDescent="0.25">
      <c r="B119" s="2"/>
      <c r="C119" s="6"/>
      <c r="D119" s="6"/>
      <c r="E119" s="7"/>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5"/>
      <c r="BA119" s="5"/>
      <c r="BB119" s="5"/>
      <c r="BC119" s="5"/>
      <c r="BD119" s="5">
        <f t="shared" si="136"/>
        <v>0</v>
      </c>
      <c r="BE119" s="2"/>
      <c r="BF119" s="2" t="str">
        <f t="shared" si="137"/>
        <v>Menos Horas</v>
      </c>
      <c r="BG119" s="2" t="str">
        <f t="shared" si="138"/>
        <v>Carga Lectiva Insuficiente</v>
      </c>
      <c r="BH119" s="16" t="str">
        <f t="shared" si="139"/>
        <v>Cumple</v>
      </c>
      <c r="BI119" s="2" t="str">
        <f t="shared" si="140"/>
        <v>Cumple</v>
      </c>
      <c r="BJ119" s="16" t="str">
        <f t="shared" si="141"/>
        <v>Cumple</v>
      </c>
      <c r="BK119" s="16" t="str">
        <f t="shared" si="142"/>
        <v>N/A</v>
      </c>
      <c r="BL119" s="16" t="str">
        <f t="shared" si="143"/>
        <v>N/A</v>
      </c>
      <c r="BM119" s="16" t="str">
        <f t="shared" si="144"/>
        <v>N/A</v>
      </c>
      <c r="BN119" s="16" t="str">
        <f t="shared" si="145"/>
        <v>N/A</v>
      </c>
      <c r="BO119" s="16" t="str">
        <f t="shared" si="146"/>
        <v>N/A</v>
      </c>
      <c r="BP119" s="16" t="str">
        <f t="shared" si="147"/>
        <v>N/A</v>
      </c>
      <c r="BQ119" s="16" t="str">
        <f t="shared" si="148"/>
        <v>N/A</v>
      </c>
      <c r="BR119" s="16" t="str">
        <f t="shared" si="149"/>
        <v>N/A</v>
      </c>
      <c r="BS119" s="16" t="str">
        <f t="shared" si="150"/>
        <v>N/A</v>
      </c>
      <c r="BT119" s="16" t="str">
        <f t="shared" si="151"/>
        <v>N/A</v>
      </c>
      <c r="BU119" s="16" t="str">
        <f t="shared" si="152"/>
        <v>N/A</v>
      </c>
      <c r="BV119" s="16" t="str">
        <f t="shared" si="153"/>
        <v>N/A</v>
      </c>
      <c r="BW119" s="16" t="str">
        <f t="shared" si="154"/>
        <v>N/A</v>
      </c>
      <c r="BX119" s="16" t="str">
        <f t="shared" si="155"/>
        <v>N/A</v>
      </c>
      <c r="BY119" s="16" t="str">
        <f t="shared" si="156"/>
        <v>N/A</v>
      </c>
      <c r="BZ119" s="16" t="str">
        <f t="shared" si="157"/>
        <v>N/A</v>
      </c>
      <c r="CA119" s="16" t="str">
        <f t="shared" si="158"/>
        <v>N/A</v>
      </c>
      <c r="CB119" s="16" t="str">
        <f t="shared" si="159"/>
        <v>N/A</v>
      </c>
      <c r="CC119" s="16" t="str">
        <f t="shared" si="160"/>
        <v>N/A</v>
      </c>
      <c r="CD119" s="16" t="str">
        <f t="shared" si="161"/>
        <v>N/A</v>
      </c>
      <c r="CE119" s="16" t="str">
        <f t="shared" si="162"/>
        <v>N/A</v>
      </c>
      <c r="CF119" s="16" t="str">
        <f t="shared" si="163"/>
        <v>N/A</v>
      </c>
      <c r="CG119" s="16" t="str">
        <f t="shared" si="164"/>
        <v>N/A</v>
      </c>
      <c r="CH119" s="16" t="str">
        <f t="shared" si="165"/>
        <v>N/A</v>
      </c>
      <c r="CI119" s="16" t="str">
        <f t="shared" si="166"/>
        <v>N/A</v>
      </c>
      <c r="CJ119" s="16" t="str">
        <f t="shared" si="167"/>
        <v>N/A</v>
      </c>
      <c r="CK119" s="16" t="str">
        <f t="shared" si="168"/>
        <v>N/A</v>
      </c>
      <c r="CL119" s="16" t="str">
        <f t="shared" si="169"/>
        <v>N/A</v>
      </c>
      <c r="CM119" s="16" t="str">
        <f t="shared" si="170"/>
        <v>N/A</v>
      </c>
      <c r="CN119" s="16" t="str">
        <f t="shared" si="171"/>
        <v>N/A</v>
      </c>
      <c r="CO119" s="16" t="str">
        <f t="shared" si="172"/>
        <v>N/A</v>
      </c>
      <c r="CP119" s="16" t="str">
        <f t="shared" si="173"/>
        <v>N/A</v>
      </c>
      <c r="CQ119" s="16" t="str">
        <f t="shared" si="174"/>
        <v>N/A</v>
      </c>
      <c r="CR119" s="16" t="str">
        <f t="shared" si="175"/>
        <v>N/A</v>
      </c>
      <c r="CS119" s="16" t="str">
        <f t="shared" si="176"/>
        <v>N/A</v>
      </c>
      <c r="CT119" s="16" t="str">
        <f t="shared" si="177"/>
        <v>N/A</v>
      </c>
      <c r="CU119" s="16" t="str">
        <f t="shared" si="131"/>
        <v>N/A</v>
      </c>
      <c r="CV119" s="16" t="str">
        <f t="shared" si="132"/>
        <v>N/A</v>
      </c>
      <c r="CW119" s="16" t="str">
        <f t="shared" si="133"/>
        <v>N/A</v>
      </c>
      <c r="CX119" s="16" t="str">
        <f t="shared" si="134"/>
        <v>N/A</v>
      </c>
      <c r="CY119" s="16" t="str">
        <f t="shared" si="135"/>
        <v>N/A</v>
      </c>
    </row>
    <row r="120" spans="2:103" x14ac:dyDescent="0.25">
      <c r="B120" s="2"/>
      <c r="C120" s="6"/>
      <c r="D120" s="6"/>
      <c r="E120" s="7"/>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5"/>
      <c r="BA120" s="5"/>
      <c r="BB120" s="5"/>
      <c r="BC120" s="5"/>
      <c r="BD120" s="5">
        <f t="shared" si="136"/>
        <v>0</v>
      </c>
      <c r="BE120" s="2"/>
      <c r="BF120" s="2" t="str">
        <f t="shared" si="137"/>
        <v>Menos Horas</v>
      </c>
      <c r="BG120" s="2" t="str">
        <f t="shared" si="138"/>
        <v>Carga Lectiva Insuficiente</v>
      </c>
      <c r="BH120" s="16" t="str">
        <f t="shared" si="139"/>
        <v>Cumple</v>
      </c>
      <c r="BI120" s="2" t="str">
        <f t="shared" si="140"/>
        <v>Cumple</v>
      </c>
      <c r="BJ120" s="16" t="str">
        <f t="shared" si="141"/>
        <v>Cumple</v>
      </c>
      <c r="BK120" s="16" t="str">
        <f t="shared" si="142"/>
        <v>N/A</v>
      </c>
      <c r="BL120" s="16" t="str">
        <f t="shared" si="143"/>
        <v>N/A</v>
      </c>
      <c r="BM120" s="16" t="str">
        <f t="shared" si="144"/>
        <v>N/A</v>
      </c>
      <c r="BN120" s="16" t="str">
        <f t="shared" si="145"/>
        <v>N/A</v>
      </c>
      <c r="BO120" s="16" t="str">
        <f t="shared" si="146"/>
        <v>N/A</v>
      </c>
      <c r="BP120" s="16" t="str">
        <f t="shared" si="147"/>
        <v>N/A</v>
      </c>
      <c r="BQ120" s="16" t="str">
        <f t="shared" si="148"/>
        <v>N/A</v>
      </c>
      <c r="BR120" s="16" t="str">
        <f t="shared" si="149"/>
        <v>N/A</v>
      </c>
      <c r="BS120" s="16" t="str">
        <f t="shared" si="150"/>
        <v>N/A</v>
      </c>
      <c r="BT120" s="16" t="str">
        <f t="shared" si="151"/>
        <v>N/A</v>
      </c>
      <c r="BU120" s="16" t="str">
        <f t="shared" si="152"/>
        <v>N/A</v>
      </c>
      <c r="BV120" s="16" t="str">
        <f t="shared" si="153"/>
        <v>N/A</v>
      </c>
      <c r="BW120" s="16" t="str">
        <f t="shared" si="154"/>
        <v>N/A</v>
      </c>
      <c r="BX120" s="16" t="str">
        <f t="shared" si="155"/>
        <v>N/A</v>
      </c>
      <c r="BY120" s="16" t="str">
        <f t="shared" si="156"/>
        <v>N/A</v>
      </c>
      <c r="BZ120" s="16" t="str">
        <f t="shared" si="157"/>
        <v>N/A</v>
      </c>
      <c r="CA120" s="16" t="str">
        <f t="shared" si="158"/>
        <v>N/A</v>
      </c>
      <c r="CB120" s="16" t="str">
        <f t="shared" si="159"/>
        <v>N/A</v>
      </c>
      <c r="CC120" s="16" t="str">
        <f t="shared" si="160"/>
        <v>N/A</v>
      </c>
      <c r="CD120" s="16" t="str">
        <f t="shared" si="161"/>
        <v>N/A</v>
      </c>
      <c r="CE120" s="16" t="str">
        <f t="shared" si="162"/>
        <v>N/A</v>
      </c>
      <c r="CF120" s="16" t="str">
        <f t="shared" si="163"/>
        <v>N/A</v>
      </c>
      <c r="CG120" s="16" t="str">
        <f t="shared" si="164"/>
        <v>N/A</v>
      </c>
      <c r="CH120" s="16" t="str">
        <f t="shared" si="165"/>
        <v>N/A</v>
      </c>
      <c r="CI120" s="16" t="str">
        <f t="shared" si="166"/>
        <v>N/A</v>
      </c>
      <c r="CJ120" s="16" t="str">
        <f t="shared" si="167"/>
        <v>N/A</v>
      </c>
      <c r="CK120" s="16" t="str">
        <f t="shared" si="168"/>
        <v>N/A</v>
      </c>
      <c r="CL120" s="16" t="str">
        <f t="shared" si="169"/>
        <v>N/A</v>
      </c>
      <c r="CM120" s="16" t="str">
        <f t="shared" si="170"/>
        <v>N/A</v>
      </c>
      <c r="CN120" s="16" t="str">
        <f t="shared" si="171"/>
        <v>N/A</v>
      </c>
      <c r="CO120" s="16" t="str">
        <f t="shared" si="172"/>
        <v>N/A</v>
      </c>
      <c r="CP120" s="16" t="str">
        <f t="shared" si="173"/>
        <v>N/A</v>
      </c>
      <c r="CQ120" s="16" t="str">
        <f t="shared" si="174"/>
        <v>N/A</v>
      </c>
      <c r="CR120" s="16" t="str">
        <f t="shared" si="175"/>
        <v>N/A</v>
      </c>
      <c r="CS120" s="16" t="str">
        <f t="shared" si="176"/>
        <v>N/A</v>
      </c>
      <c r="CT120" s="16" t="str">
        <f t="shared" si="177"/>
        <v>N/A</v>
      </c>
      <c r="CU120" s="16" t="str">
        <f t="shared" si="131"/>
        <v>N/A</v>
      </c>
      <c r="CV120" s="16" t="str">
        <f t="shared" si="132"/>
        <v>N/A</v>
      </c>
      <c r="CW120" s="16" t="str">
        <f t="shared" si="133"/>
        <v>N/A</v>
      </c>
      <c r="CX120" s="16" t="str">
        <f t="shared" si="134"/>
        <v>N/A</v>
      </c>
      <c r="CY120" s="16" t="str">
        <f t="shared" si="135"/>
        <v>N/A</v>
      </c>
    </row>
    <row r="121" spans="2:103" x14ac:dyDescent="0.25">
      <c r="B121" s="2"/>
      <c r="C121" s="6"/>
      <c r="D121" s="6"/>
      <c r="E121" s="7"/>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5"/>
      <c r="BA121" s="5"/>
      <c r="BB121" s="5"/>
      <c r="BC121" s="5"/>
      <c r="BD121" s="5">
        <f t="shared" si="136"/>
        <v>0</v>
      </c>
      <c r="BE121" s="2"/>
      <c r="BF121" s="2" t="str">
        <f t="shared" si="137"/>
        <v>Menos Horas</v>
      </c>
      <c r="BG121" s="2" t="str">
        <f t="shared" si="138"/>
        <v>Carga Lectiva Insuficiente</v>
      </c>
      <c r="BH121" s="16" t="str">
        <f t="shared" si="139"/>
        <v>Cumple</v>
      </c>
      <c r="BI121" s="2" t="str">
        <f t="shared" si="140"/>
        <v>Cumple</v>
      </c>
      <c r="BJ121" s="16" t="str">
        <f t="shared" si="141"/>
        <v>Cumple</v>
      </c>
      <c r="BK121" s="16" t="str">
        <f t="shared" si="142"/>
        <v>N/A</v>
      </c>
      <c r="BL121" s="16" t="str">
        <f t="shared" si="143"/>
        <v>N/A</v>
      </c>
      <c r="BM121" s="16" t="str">
        <f t="shared" si="144"/>
        <v>N/A</v>
      </c>
      <c r="BN121" s="16" t="str">
        <f t="shared" si="145"/>
        <v>N/A</v>
      </c>
      <c r="BO121" s="16" t="str">
        <f t="shared" si="146"/>
        <v>N/A</v>
      </c>
      <c r="BP121" s="16" t="str">
        <f t="shared" si="147"/>
        <v>N/A</v>
      </c>
      <c r="BQ121" s="16" t="str">
        <f t="shared" si="148"/>
        <v>N/A</v>
      </c>
      <c r="BR121" s="16" t="str">
        <f t="shared" si="149"/>
        <v>N/A</v>
      </c>
      <c r="BS121" s="16" t="str">
        <f t="shared" si="150"/>
        <v>N/A</v>
      </c>
      <c r="BT121" s="16" t="str">
        <f t="shared" si="151"/>
        <v>N/A</v>
      </c>
      <c r="BU121" s="16" t="str">
        <f t="shared" si="152"/>
        <v>N/A</v>
      </c>
      <c r="BV121" s="16" t="str">
        <f t="shared" si="153"/>
        <v>N/A</v>
      </c>
      <c r="BW121" s="16" t="str">
        <f t="shared" si="154"/>
        <v>N/A</v>
      </c>
      <c r="BX121" s="16" t="str">
        <f t="shared" si="155"/>
        <v>N/A</v>
      </c>
      <c r="BY121" s="16" t="str">
        <f t="shared" si="156"/>
        <v>N/A</v>
      </c>
      <c r="BZ121" s="16" t="str">
        <f t="shared" si="157"/>
        <v>N/A</v>
      </c>
      <c r="CA121" s="16" t="str">
        <f t="shared" si="158"/>
        <v>N/A</v>
      </c>
      <c r="CB121" s="16" t="str">
        <f t="shared" si="159"/>
        <v>N/A</v>
      </c>
      <c r="CC121" s="16" t="str">
        <f t="shared" si="160"/>
        <v>N/A</v>
      </c>
      <c r="CD121" s="16" t="str">
        <f t="shared" si="161"/>
        <v>N/A</v>
      </c>
      <c r="CE121" s="16" t="str">
        <f t="shared" si="162"/>
        <v>N/A</v>
      </c>
      <c r="CF121" s="16" t="str">
        <f t="shared" si="163"/>
        <v>N/A</v>
      </c>
      <c r="CG121" s="16" t="str">
        <f t="shared" si="164"/>
        <v>N/A</v>
      </c>
      <c r="CH121" s="16" t="str">
        <f t="shared" si="165"/>
        <v>N/A</v>
      </c>
      <c r="CI121" s="16" t="str">
        <f t="shared" si="166"/>
        <v>N/A</v>
      </c>
      <c r="CJ121" s="16" t="str">
        <f t="shared" si="167"/>
        <v>N/A</v>
      </c>
      <c r="CK121" s="16" t="str">
        <f t="shared" si="168"/>
        <v>N/A</v>
      </c>
      <c r="CL121" s="16" t="str">
        <f t="shared" si="169"/>
        <v>N/A</v>
      </c>
      <c r="CM121" s="16" t="str">
        <f t="shared" si="170"/>
        <v>N/A</v>
      </c>
      <c r="CN121" s="16" t="str">
        <f t="shared" si="171"/>
        <v>N/A</v>
      </c>
      <c r="CO121" s="16" t="str">
        <f t="shared" si="172"/>
        <v>N/A</v>
      </c>
      <c r="CP121" s="16" t="str">
        <f t="shared" si="173"/>
        <v>N/A</v>
      </c>
      <c r="CQ121" s="16" t="str">
        <f t="shared" si="174"/>
        <v>N/A</v>
      </c>
      <c r="CR121" s="16" t="str">
        <f t="shared" si="175"/>
        <v>N/A</v>
      </c>
      <c r="CS121" s="16" t="str">
        <f t="shared" si="176"/>
        <v>N/A</v>
      </c>
      <c r="CT121" s="16" t="str">
        <f t="shared" si="177"/>
        <v>N/A</v>
      </c>
      <c r="CU121" s="16" t="str">
        <f t="shared" si="131"/>
        <v>N/A</v>
      </c>
      <c r="CV121" s="16" t="str">
        <f t="shared" si="132"/>
        <v>N/A</v>
      </c>
      <c r="CW121" s="16" t="str">
        <f t="shared" si="133"/>
        <v>N/A</v>
      </c>
      <c r="CX121" s="16" t="str">
        <f t="shared" si="134"/>
        <v>N/A</v>
      </c>
      <c r="CY121" s="16" t="str">
        <f t="shared" si="135"/>
        <v>N/A</v>
      </c>
    </row>
    <row r="122" spans="2:103" x14ac:dyDescent="0.25">
      <c r="B122" s="2"/>
      <c r="C122" s="6"/>
      <c r="D122" s="6"/>
      <c r="E122" s="7"/>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5"/>
      <c r="BA122" s="5"/>
      <c r="BB122" s="5"/>
      <c r="BC122" s="5"/>
      <c r="BD122" s="5">
        <f t="shared" si="136"/>
        <v>0</v>
      </c>
      <c r="BE122" s="2"/>
      <c r="BF122" s="2" t="str">
        <f t="shared" si="137"/>
        <v>Menos Horas</v>
      </c>
      <c r="BG122" s="2" t="str">
        <f t="shared" si="138"/>
        <v>Carga Lectiva Insuficiente</v>
      </c>
      <c r="BH122" s="16" t="str">
        <f t="shared" si="139"/>
        <v>Cumple</v>
      </c>
      <c r="BI122" s="2" t="str">
        <f t="shared" si="140"/>
        <v>Cumple</v>
      </c>
      <c r="BJ122" s="16" t="str">
        <f t="shared" si="141"/>
        <v>Cumple</v>
      </c>
      <c r="BK122" s="16" t="str">
        <f t="shared" si="142"/>
        <v>N/A</v>
      </c>
      <c r="BL122" s="16" t="str">
        <f t="shared" si="143"/>
        <v>N/A</v>
      </c>
      <c r="BM122" s="16" t="str">
        <f t="shared" si="144"/>
        <v>N/A</v>
      </c>
      <c r="BN122" s="16" t="str">
        <f t="shared" si="145"/>
        <v>N/A</v>
      </c>
      <c r="BO122" s="16" t="str">
        <f t="shared" si="146"/>
        <v>N/A</v>
      </c>
      <c r="BP122" s="16" t="str">
        <f t="shared" si="147"/>
        <v>N/A</v>
      </c>
      <c r="BQ122" s="16" t="str">
        <f t="shared" si="148"/>
        <v>N/A</v>
      </c>
      <c r="BR122" s="16" t="str">
        <f t="shared" si="149"/>
        <v>N/A</v>
      </c>
      <c r="BS122" s="16" t="str">
        <f t="shared" si="150"/>
        <v>N/A</v>
      </c>
      <c r="BT122" s="16" t="str">
        <f t="shared" si="151"/>
        <v>N/A</v>
      </c>
      <c r="BU122" s="16" t="str">
        <f t="shared" si="152"/>
        <v>N/A</v>
      </c>
      <c r="BV122" s="16" t="str">
        <f t="shared" si="153"/>
        <v>N/A</v>
      </c>
      <c r="BW122" s="16" t="str">
        <f t="shared" si="154"/>
        <v>N/A</v>
      </c>
      <c r="BX122" s="16" t="str">
        <f t="shared" si="155"/>
        <v>N/A</v>
      </c>
      <c r="BY122" s="16" t="str">
        <f t="shared" si="156"/>
        <v>N/A</v>
      </c>
      <c r="BZ122" s="16" t="str">
        <f t="shared" si="157"/>
        <v>N/A</v>
      </c>
      <c r="CA122" s="16" t="str">
        <f t="shared" si="158"/>
        <v>N/A</v>
      </c>
      <c r="CB122" s="16" t="str">
        <f t="shared" si="159"/>
        <v>N/A</v>
      </c>
      <c r="CC122" s="16" t="str">
        <f t="shared" si="160"/>
        <v>N/A</v>
      </c>
      <c r="CD122" s="16" t="str">
        <f t="shared" si="161"/>
        <v>N/A</v>
      </c>
      <c r="CE122" s="16" t="str">
        <f t="shared" si="162"/>
        <v>N/A</v>
      </c>
      <c r="CF122" s="16" t="str">
        <f t="shared" si="163"/>
        <v>N/A</v>
      </c>
      <c r="CG122" s="16" t="str">
        <f t="shared" si="164"/>
        <v>N/A</v>
      </c>
      <c r="CH122" s="16" t="str">
        <f t="shared" si="165"/>
        <v>N/A</v>
      </c>
      <c r="CI122" s="16" t="str">
        <f t="shared" si="166"/>
        <v>N/A</v>
      </c>
      <c r="CJ122" s="16" t="str">
        <f t="shared" si="167"/>
        <v>N/A</v>
      </c>
      <c r="CK122" s="16" t="str">
        <f t="shared" si="168"/>
        <v>N/A</v>
      </c>
      <c r="CL122" s="16" t="str">
        <f t="shared" si="169"/>
        <v>N/A</v>
      </c>
      <c r="CM122" s="16" t="str">
        <f t="shared" si="170"/>
        <v>N/A</v>
      </c>
      <c r="CN122" s="16" t="str">
        <f t="shared" si="171"/>
        <v>N/A</v>
      </c>
      <c r="CO122" s="16" t="str">
        <f t="shared" si="172"/>
        <v>N/A</v>
      </c>
      <c r="CP122" s="16" t="str">
        <f t="shared" si="173"/>
        <v>N/A</v>
      </c>
      <c r="CQ122" s="16" t="str">
        <f t="shared" si="174"/>
        <v>N/A</v>
      </c>
      <c r="CR122" s="16" t="str">
        <f t="shared" si="175"/>
        <v>N/A</v>
      </c>
      <c r="CS122" s="16" t="str">
        <f t="shared" si="176"/>
        <v>N/A</v>
      </c>
      <c r="CT122" s="16" t="str">
        <f t="shared" si="177"/>
        <v>N/A</v>
      </c>
      <c r="CU122" s="16" t="str">
        <f t="shared" si="131"/>
        <v>N/A</v>
      </c>
      <c r="CV122" s="16" t="str">
        <f t="shared" si="132"/>
        <v>N/A</v>
      </c>
      <c r="CW122" s="16" t="str">
        <f t="shared" si="133"/>
        <v>N/A</v>
      </c>
      <c r="CX122" s="16" t="str">
        <f t="shared" si="134"/>
        <v>N/A</v>
      </c>
      <c r="CY122" s="16" t="str">
        <f t="shared" si="135"/>
        <v>N/A</v>
      </c>
    </row>
    <row r="123" spans="2:103" x14ac:dyDescent="0.25">
      <c r="B123" s="2"/>
      <c r="C123" s="6"/>
      <c r="D123" s="6"/>
      <c r="E123" s="7"/>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5"/>
      <c r="BA123" s="5"/>
      <c r="BB123" s="5"/>
      <c r="BC123" s="5"/>
      <c r="BD123" s="5">
        <f t="shared" si="136"/>
        <v>0</v>
      </c>
      <c r="BE123" s="2"/>
      <c r="BF123" s="2" t="str">
        <f t="shared" si="137"/>
        <v>Menos Horas</v>
      </c>
      <c r="BG123" s="2" t="str">
        <f t="shared" si="138"/>
        <v>Carga Lectiva Insuficiente</v>
      </c>
      <c r="BH123" s="16" t="str">
        <f t="shared" si="139"/>
        <v>Cumple</v>
      </c>
      <c r="BI123" s="2" t="str">
        <f t="shared" si="140"/>
        <v>Cumple</v>
      </c>
      <c r="BJ123" s="16" t="str">
        <f t="shared" si="141"/>
        <v>Cumple</v>
      </c>
      <c r="BK123" s="16" t="str">
        <f t="shared" si="142"/>
        <v>N/A</v>
      </c>
      <c r="BL123" s="16" t="str">
        <f t="shared" si="143"/>
        <v>N/A</v>
      </c>
      <c r="BM123" s="16" t="str">
        <f t="shared" si="144"/>
        <v>N/A</v>
      </c>
      <c r="BN123" s="16" t="str">
        <f t="shared" si="145"/>
        <v>N/A</v>
      </c>
      <c r="BO123" s="16" t="str">
        <f t="shared" si="146"/>
        <v>N/A</v>
      </c>
      <c r="BP123" s="16" t="str">
        <f t="shared" si="147"/>
        <v>N/A</v>
      </c>
      <c r="BQ123" s="16" t="str">
        <f t="shared" si="148"/>
        <v>N/A</v>
      </c>
      <c r="BR123" s="16" t="str">
        <f t="shared" si="149"/>
        <v>N/A</v>
      </c>
      <c r="BS123" s="16" t="str">
        <f t="shared" si="150"/>
        <v>N/A</v>
      </c>
      <c r="BT123" s="16" t="str">
        <f t="shared" si="151"/>
        <v>N/A</v>
      </c>
      <c r="BU123" s="16" t="str">
        <f t="shared" si="152"/>
        <v>N/A</v>
      </c>
      <c r="BV123" s="16" t="str">
        <f t="shared" si="153"/>
        <v>N/A</v>
      </c>
      <c r="BW123" s="16" t="str">
        <f t="shared" si="154"/>
        <v>N/A</v>
      </c>
      <c r="BX123" s="16" t="str">
        <f t="shared" si="155"/>
        <v>N/A</v>
      </c>
      <c r="BY123" s="16" t="str">
        <f t="shared" si="156"/>
        <v>N/A</v>
      </c>
      <c r="BZ123" s="16" t="str">
        <f t="shared" si="157"/>
        <v>N/A</v>
      </c>
      <c r="CA123" s="16" t="str">
        <f t="shared" si="158"/>
        <v>N/A</v>
      </c>
      <c r="CB123" s="16" t="str">
        <f t="shared" si="159"/>
        <v>N/A</v>
      </c>
      <c r="CC123" s="16" t="str">
        <f t="shared" si="160"/>
        <v>N/A</v>
      </c>
      <c r="CD123" s="16" t="str">
        <f t="shared" si="161"/>
        <v>N/A</v>
      </c>
      <c r="CE123" s="16" t="str">
        <f t="shared" si="162"/>
        <v>N/A</v>
      </c>
      <c r="CF123" s="16" t="str">
        <f t="shared" si="163"/>
        <v>N/A</v>
      </c>
      <c r="CG123" s="16" t="str">
        <f t="shared" si="164"/>
        <v>N/A</v>
      </c>
      <c r="CH123" s="16" t="str">
        <f t="shared" si="165"/>
        <v>N/A</v>
      </c>
      <c r="CI123" s="16" t="str">
        <f t="shared" si="166"/>
        <v>N/A</v>
      </c>
      <c r="CJ123" s="16" t="str">
        <f t="shared" si="167"/>
        <v>N/A</v>
      </c>
      <c r="CK123" s="16" t="str">
        <f t="shared" si="168"/>
        <v>N/A</v>
      </c>
      <c r="CL123" s="16" t="str">
        <f t="shared" si="169"/>
        <v>N/A</v>
      </c>
      <c r="CM123" s="16" t="str">
        <f t="shared" si="170"/>
        <v>N/A</v>
      </c>
      <c r="CN123" s="16" t="str">
        <f t="shared" si="171"/>
        <v>N/A</v>
      </c>
      <c r="CO123" s="16" t="str">
        <f t="shared" si="172"/>
        <v>N/A</v>
      </c>
      <c r="CP123" s="16" t="str">
        <f t="shared" si="173"/>
        <v>N/A</v>
      </c>
      <c r="CQ123" s="16" t="str">
        <f t="shared" si="174"/>
        <v>N/A</v>
      </c>
      <c r="CR123" s="16" t="str">
        <f t="shared" si="175"/>
        <v>N/A</v>
      </c>
      <c r="CS123" s="16" t="str">
        <f t="shared" si="176"/>
        <v>N/A</v>
      </c>
      <c r="CT123" s="16" t="str">
        <f t="shared" si="177"/>
        <v>N/A</v>
      </c>
      <c r="CU123" s="16" t="str">
        <f t="shared" si="131"/>
        <v>N/A</v>
      </c>
      <c r="CV123" s="16" t="str">
        <f t="shared" si="132"/>
        <v>N/A</v>
      </c>
      <c r="CW123" s="16" t="str">
        <f t="shared" si="133"/>
        <v>N/A</v>
      </c>
      <c r="CX123" s="16" t="str">
        <f t="shared" si="134"/>
        <v>N/A</v>
      </c>
      <c r="CY123" s="16" t="str">
        <f t="shared" si="135"/>
        <v>N/A</v>
      </c>
    </row>
    <row r="124" spans="2:103" x14ac:dyDescent="0.25">
      <c r="B124" s="2"/>
      <c r="C124" s="6"/>
      <c r="D124" s="6"/>
      <c r="E124" s="7"/>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5"/>
      <c r="BA124" s="5"/>
      <c r="BB124" s="5"/>
      <c r="BC124" s="5"/>
      <c r="BD124" s="5">
        <f t="shared" si="136"/>
        <v>0</v>
      </c>
      <c r="BE124" s="2"/>
      <c r="BF124" s="2" t="str">
        <f t="shared" si="137"/>
        <v>Menos Horas</v>
      </c>
      <c r="BG124" s="2" t="str">
        <f t="shared" si="138"/>
        <v>Carga Lectiva Insuficiente</v>
      </c>
      <c r="BH124" s="16" t="str">
        <f t="shared" si="139"/>
        <v>Cumple</v>
      </c>
      <c r="BI124" s="2" t="str">
        <f t="shared" si="140"/>
        <v>Cumple</v>
      </c>
      <c r="BJ124" s="16" t="str">
        <f t="shared" si="141"/>
        <v>Cumple</v>
      </c>
      <c r="BK124" s="16" t="str">
        <f t="shared" si="142"/>
        <v>N/A</v>
      </c>
      <c r="BL124" s="16" t="str">
        <f t="shared" si="143"/>
        <v>N/A</v>
      </c>
      <c r="BM124" s="16" t="str">
        <f t="shared" si="144"/>
        <v>N/A</v>
      </c>
      <c r="BN124" s="16" t="str">
        <f t="shared" si="145"/>
        <v>N/A</v>
      </c>
      <c r="BO124" s="16" t="str">
        <f t="shared" si="146"/>
        <v>N/A</v>
      </c>
      <c r="BP124" s="16" t="str">
        <f t="shared" si="147"/>
        <v>N/A</v>
      </c>
      <c r="BQ124" s="16" t="str">
        <f t="shared" si="148"/>
        <v>N/A</v>
      </c>
      <c r="BR124" s="16" t="str">
        <f t="shared" si="149"/>
        <v>N/A</v>
      </c>
      <c r="BS124" s="16" t="str">
        <f t="shared" si="150"/>
        <v>N/A</v>
      </c>
      <c r="BT124" s="16" t="str">
        <f t="shared" si="151"/>
        <v>N/A</v>
      </c>
      <c r="BU124" s="16" t="str">
        <f t="shared" si="152"/>
        <v>N/A</v>
      </c>
      <c r="BV124" s="16" t="str">
        <f t="shared" si="153"/>
        <v>N/A</v>
      </c>
      <c r="BW124" s="16" t="str">
        <f t="shared" si="154"/>
        <v>N/A</v>
      </c>
      <c r="BX124" s="16" t="str">
        <f t="shared" si="155"/>
        <v>N/A</v>
      </c>
      <c r="BY124" s="16" t="str">
        <f t="shared" si="156"/>
        <v>N/A</v>
      </c>
      <c r="BZ124" s="16" t="str">
        <f t="shared" si="157"/>
        <v>N/A</v>
      </c>
      <c r="CA124" s="16" t="str">
        <f t="shared" si="158"/>
        <v>N/A</v>
      </c>
      <c r="CB124" s="16" t="str">
        <f t="shared" si="159"/>
        <v>N/A</v>
      </c>
      <c r="CC124" s="16" t="str">
        <f t="shared" si="160"/>
        <v>N/A</v>
      </c>
      <c r="CD124" s="16" t="str">
        <f t="shared" si="161"/>
        <v>N/A</v>
      </c>
      <c r="CE124" s="16" t="str">
        <f t="shared" si="162"/>
        <v>N/A</v>
      </c>
      <c r="CF124" s="16" t="str">
        <f t="shared" si="163"/>
        <v>N/A</v>
      </c>
      <c r="CG124" s="16" t="str">
        <f t="shared" si="164"/>
        <v>N/A</v>
      </c>
      <c r="CH124" s="16" t="str">
        <f t="shared" si="165"/>
        <v>N/A</v>
      </c>
      <c r="CI124" s="16" t="str">
        <f t="shared" si="166"/>
        <v>N/A</v>
      </c>
      <c r="CJ124" s="16" t="str">
        <f t="shared" si="167"/>
        <v>N/A</v>
      </c>
      <c r="CK124" s="16" t="str">
        <f t="shared" si="168"/>
        <v>N/A</v>
      </c>
      <c r="CL124" s="16" t="str">
        <f t="shared" si="169"/>
        <v>N/A</v>
      </c>
      <c r="CM124" s="16" t="str">
        <f t="shared" si="170"/>
        <v>N/A</v>
      </c>
      <c r="CN124" s="16" t="str">
        <f t="shared" si="171"/>
        <v>N/A</v>
      </c>
      <c r="CO124" s="16" t="str">
        <f t="shared" si="172"/>
        <v>N/A</v>
      </c>
      <c r="CP124" s="16" t="str">
        <f t="shared" si="173"/>
        <v>N/A</v>
      </c>
      <c r="CQ124" s="16" t="str">
        <f t="shared" si="174"/>
        <v>N/A</v>
      </c>
      <c r="CR124" s="16" t="str">
        <f t="shared" si="175"/>
        <v>N/A</v>
      </c>
      <c r="CS124" s="16" t="str">
        <f t="shared" si="176"/>
        <v>N/A</v>
      </c>
      <c r="CT124" s="16" t="str">
        <f t="shared" si="177"/>
        <v>N/A</v>
      </c>
      <c r="CU124" s="16" t="str">
        <f t="shared" si="131"/>
        <v>N/A</v>
      </c>
      <c r="CV124" s="16" t="str">
        <f t="shared" si="132"/>
        <v>N/A</v>
      </c>
      <c r="CW124" s="16" t="str">
        <f t="shared" si="133"/>
        <v>N/A</v>
      </c>
      <c r="CX124" s="16" t="str">
        <f t="shared" si="134"/>
        <v>N/A</v>
      </c>
      <c r="CY124" s="16" t="str">
        <f t="shared" si="135"/>
        <v>N/A</v>
      </c>
    </row>
    <row r="125" spans="2:103" x14ac:dyDescent="0.25">
      <c r="B125" s="2"/>
      <c r="C125" s="6"/>
      <c r="D125" s="6"/>
      <c r="E125" s="7"/>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5"/>
      <c r="BA125" s="5"/>
      <c r="BB125" s="5"/>
      <c r="BC125" s="5"/>
      <c r="BD125" s="5">
        <f t="shared" si="136"/>
        <v>0</v>
      </c>
      <c r="BE125" s="2"/>
      <c r="BF125" s="2" t="str">
        <f t="shared" si="137"/>
        <v>Menos Horas</v>
      </c>
      <c r="BG125" s="2" t="str">
        <f t="shared" si="138"/>
        <v>Carga Lectiva Insuficiente</v>
      </c>
      <c r="BH125" s="16" t="str">
        <f t="shared" si="139"/>
        <v>Cumple</v>
      </c>
      <c r="BI125" s="2" t="str">
        <f t="shared" si="140"/>
        <v>Cumple</v>
      </c>
      <c r="BJ125" s="16" t="str">
        <f t="shared" si="141"/>
        <v>Cumple</v>
      </c>
      <c r="BK125" s="16" t="str">
        <f t="shared" si="142"/>
        <v>N/A</v>
      </c>
      <c r="BL125" s="16" t="str">
        <f t="shared" si="143"/>
        <v>N/A</v>
      </c>
      <c r="BM125" s="16" t="str">
        <f t="shared" si="144"/>
        <v>N/A</v>
      </c>
      <c r="BN125" s="16" t="str">
        <f t="shared" si="145"/>
        <v>N/A</v>
      </c>
      <c r="BO125" s="16" t="str">
        <f t="shared" si="146"/>
        <v>N/A</v>
      </c>
      <c r="BP125" s="16" t="str">
        <f t="shared" si="147"/>
        <v>N/A</v>
      </c>
      <c r="BQ125" s="16" t="str">
        <f t="shared" si="148"/>
        <v>N/A</v>
      </c>
      <c r="BR125" s="16" t="str">
        <f t="shared" si="149"/>
        <v>N/A</v>
      </c>
      <c r="BS125" s="16" t="str">
        <f t="shared" si="150"/>
        <v>N/A</v>
      </c>
      <c r="BT125" s="16" t="str">
        <f t="shared" si="151"/>
        <v>N/A</v>
      </c>
      <c r="BU125" s="16" t="str">
        <f t="shared" si="152"/>
        <v>N/A</v>
      </c>
      <c r="BV125" s="16" t="str">
        <f t="shared" si="153"/>
        <v>N/A</v>
      </c>
      <c r="BW125" s="16" t="str">
        <f t="shared" si="154"/>
        <v>N/A</v>
      </c>
      <c r="BX125" s="16" t="str">
        <f t="shared" si="155"/>
        <v>N/A</v>
      </c>
      <c r="BY125" s="16" t="str">
        <f t="shared" si="156"/>
        <v>N/A</v>
      </c>
      <c r="BZ125" s="16" t="str">
        <f t="shared" si="157"/>
        <v>N/A</v>
      </c>
      <c r="CA125" s="16" t="str">
        <f t="shared" si="158"/>
        <v>N/A</v>
      </c>
      <c r="CB125" s="16" t="str">
        <f t="shared" si="159"/>
        <v>N/A</v>
      </c>
      <c r="CC125" s="16" t="str">
        <f t="shared" si="160"/>
        <v>N/A</v>
      </c>
      <c r="CD125" s="16" t="str">
        <f t="shared" si="161"/>
        <v>N/A</v>
      </c>
      <c r="CE125" s="16" t="str">
        <f t="shared" si="162"/>
        <v>N/A</v>
      </c>
      <c r="CF125" s="16" t="str">
        <f t="shared" si="163"/>
        <v>N/A</v>
      </c>
      <c r="CG125" s="16" t="str">
        <f t="shared" si="164"/>
        <v>N/A</v>
      </c>
      <c r="CH125" s="16" t="str">
        <f t="shared" si="165"/>
        <v>N/A</v>
      </c>
      <c r="CI125" s="16" t="str">
        <f t="shared" si="166"/>
        <v>N/A</v>
      </c>
      <c r="CJ125" s="16" t="str">
        <f t="shared" si="167"/>
        <v>N/A</v>
      </c>
      <c r="CK125" s="16" t="str">
        <f t="shared" si="168"/>
        <v>N/A</v>
      </c>
      <c r="CL125" s="16" t="str">
        <f t="shared" si="169"/>
        <v>N/A</v>
      </c>
      <c r="CM125" s="16" t="str">
        <f t="shared" si="170"/>
        <v>N/A</v>
      </c>
      <c r="CN125" s="16" t="str">
        <f t="shared" si="171"/>
        <v>N/A</v>
      </c>
      <c r="CO125" s="16" t="str">
        <f t="shared" si="172"/>
        <v>N/A</v>
      </c>
      <c r="CP125" s="16" t="str">
        <f t="shared" si="173"/>
        <v>N/A</v>
      </c>
      <c r="CQ125" s="16" t="str">
        <f t="shared" si="174"/>
        <v>N/A</v>
      </c>
      <c r="CR125" s="16" t="str">
        <f t="shared" si="175"/>
        <v>N/A</v>
      </c>
      <c r="CS125" s="16" t="str">
        <f t="shared" si="176"/>
        <v>N/A</v>
      </c>
      <c r="CT125" s="16" t="str">
        <f t="shared" si="177"/>
        <v>N/A</v>
      </c>
      <c r="CU125" s="16" t="str">
        <f t="shared" si="131"/>
        <v>N/A</v>
      </c>
      <c r="CV125" s="16" t="str">
        <f t="shared" si="132"/>
        <v>N/A</v>
      </c>
      <c r="CW125" s="16" t="str">
        <f t="shared" si="133"/>
        <v>N/A</v>
      </c>
      <c r="CX125" s="16" t="str">
        <f t="shared" si="134"/>
        <v>N/A</v>
      </c>
      <c r="CY125" s="16" t="str">
        <f t="shared" si="135"/>
        <v>N/A</v>
      </c>
    </row>
    <row r="126" spans="2:103" x14ac:dyDescent="0.25">
      <c r="B126" s="2"/>
      <c r="C126" s="6"/>
      <c r="D126" s="6"/>
      <c r="E126" s="7"/>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5"/>
      <c r="BA126" s="5"/>
      <c r="BB126" s="5"/>
      <c r="BC126" s="5"/>
      <c r="BD126" s="5">
        <f t="shared" si="136"/>
        <v>0</v>
      </c>
      <c r="BE126" s="2"/>
      <c r="BF126" s="2" t="str">
        <f t="shared" si="137"/>
        <v>Menos Horas</v>
      </c>
      <c r="BG126" s="2" t="str">
        <f t="shared" si="138"/>
        <v>Carga Lectiva Insuficiente</v>
      </c>
      <c r="BH126" s="16" t="str">
        <f t="shared" si="139"/>
        <v>Cumple</v>
      </c>
      <c r="BI126" s="2" t="str">
        <f t="shared" si="140"/>
        <v>Cumple</v>
      </c>
      <c r="BJ126" s="16" t="str">
        <f t="shared" si="141"/>
        <v>Cumple</v>
      </c>
      <c r="BK126" s="16" t="str">
        <f t="shared" si="142"/>
        <v>N/A</v>
      </c>
      <c r="BL126" s="16" t="str">
        <f t="shared" si="143"/>
        <v>N/A</v>
      </c>
      <c r="BM126" s="16" t="str">
        <f t="shared" si="144"/>
        <v>N/A</v>
      </c>
      <c r="BN126" s="16" t="str">
        <f t="shared" si="145"/>
        <v>N/A</v>
      </c>
      <c r="BO126" s="16" t="str">
        <f t="shared" si="146"/>
        <v>N/A</v>
      </c>
      <c r="BP126" s="16" t="str">
        <f t="shared" si="147"/>
        <v>N/A</v>
      </c>
      <c r="BQ126" s="16" t="str">
        <f t="shared" si="148"/>
        <v>N/A</v>
      </c>
      <c r="BR126" s="16" t="str">
        <f t="shared" si="149"/>
        <v>N/A</v>
      </c>
      <c r="BS126" s="16" t="str">
        <f t="shared" si="150"/>
        <v>N/A</v>
      </c>
      <c r="BT126" s="16" t="str">
        <f t="shared" si="151"/>
        <v>N/A</v>
      </c>
      <c r="BU126" s="16" t="str">
        <f t="shared" si="152"/>
        <v>N/A</v>
      </c>
      <c r="BV126" s="16" t="str">
        <f t="shared" si="153"/>
        <v>N/A</v>
      </c>
      <c r="BW126" s="16" t="str">
        <f t="shared" si="154"/>
        <v>N/A</v>
      </c>
      <c r="BX126" s="16" t="str">
        <f t="shared" si="155"/>
        <v>N/A</v>
      </c>
      <c r="BY126" s="16" t="str">
        <f t="shared" si="156"/>
        <v>N/A</v>
      </c>
      <c r="BZ126" s="16" t="str">
        <f t="shared" si="157"/>
        <v>N/A</v>
      </c>
      <c r="CA126" s="16" t="str">
        <f t="shared" si="158"/>
        <v>N/A</v>
      </c>
      <c r="CB126" s="16" t="str">
        <f t="shared" si="159"/>
        <v>N/A</v>
      </c>
      <c r="CC126" s="16" t="str">
        <f t="shared" si="160"/>
        <v>N/A</v>
      </c>
      <c r="CD126" s="16" t="str">
        <f t="shared" si="161"/>
        <v>N/A</v>
      </c>
      <c r="CE126" s="16" t="str">
        <f t="shared" si="162"/>
        <v>N/A</v>
      </c>
      <c r="CF126" s="16" t="str">
        <f t="shared" si="163"/>
        <v>N/A</v>
      </c>
      <c r="CG126" s="16" t="str">
        <f t="shared" si="164"/>
        <v>N/A</v>
      </c>
      <c r="CH126" s="16" t="str">
        <f t="shared" si="165"/>
        <v>N/A</v>
      </c>
      <c r="CI126" s="16" t="str">
        <f t="shared" si="166"/>
        <v>N/A</v>
      </c>
      <c r="CJ126" s="16" t="str">
        <f t="shared" si="167"/>
        <v>N/A</v>
      </c>
      <c r="CK126" s="16" t="str">
        <f t="shared" si="168"/>
        <v>N/A</v>
      </c>
      <c r="CL126" s="16" t="str">
        <f t="shared" si="169"/>
        <v>N/A</v>
      </c>
      <c r="CM126" s="16" t="str">
        <f t="shared" si="170"/>
        <v>N/A</v>
      </c>
      <c r="CN126" s="16" t="str">
        <f t="shared" si="171"/>
        <v>N/A</v>
      </c>
      <c r="CO126" s="16" t="str">
        <f t="shared" si="172"/>
        <v>N/A</v>
      </c>
      <c r="CP126" s="16" t="str">
        <f t="shared" si="173"/>
        <v>N/A</v>
      </c>
      <c r="CQ126" s="16" t="str">
        <f t="shared" si="174"/>
        <v>N/A</v>
      </c>
      <c r="CR126" s="16" t="str">
        <f t="shared" si="175"/>
        <v>N/A</v>
      </c>
      <c r="CS126" s="16" t="str">
        <f t="shared" si="176"/>
        <v>N/A</v>
      </c>
      <c r="CT126" s="16" t="str">
        <f t="shared" si="177"/>
        <v>N/A</v>
      </c>
      <c r="CU126" s="16" t="str">
        <f t="shared" si="131"/>
        <v>N/A</v>
      </c>
      <c r="CV126" s="16" t="str">
        <f t="shared" si="132"/>
        <v>N/A</v>
      </c>
      <c r="CW126" s="16" t="str">
        <f t="shared" si="133"/>
        <v>N/A</v>
      </c>
      <c r="CX126" s="16" t="str">
        <f t="shared" si="134"/>
        <v>N/A</v>
      </c>
      <c r="CY126" s="16" t="str">
        <f t="shared" si="135"/>
        <v>N/A</v>
      </c>
    </row>
    <row r="127" spans="2:103" x14ac:dyDescent="0.25">
      <c r="B127" s="2"/>
      <c r="C127" s="6"/>
      <c r="D127" s="6"/>
      <c r="E127" s="7"/>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5"/>
      <c r="BA127" s="5"/>
      <c r="BB127" s="5"/>
      <c r="BC127" s="5"/>
      <c r="BD127" s="5">
        <f t="shared" si="136"/>
        <v>0</v>
      </c>
      <c r="BE127" s="2"/>
      <c r="BF127" s="2" t="str">
        <f t="shared" si="137"/>
        <v>Menos Horas</v>
      </c>
      <c r="BG127" s="2" t="str">
        <f t="shared" si="138"/>
        <v>Carga Lectiva Insuficiente</v>
      </c>
      <c r="BH127" s="16" t="str">
        <f t="shared" si="139"/>
        <v>Cumple</v>
      </c>
      <c r="BI127" s="2" t="str">
        <f t="shared" si="140"/>
        <v>Cumple</v>
      </c>
      <c r="BJ127" s="16" t="str">
        <f t="shared" si="141"/>
        <v>Cumple</v>
      </c>
      <c r="BK127" s="16" t="str">
        <f t="shared" si="142"/>
        <v>N/A</v>
      </c>
      <c r="BL127" s="16" t="str">
        <f t="shared" si="143"/>
        <v>N/A</v>
      </c>
      <c r="BM127" s="16" t="str">
        <f t="shared" si="144"/>
        <v>N/A</v>
      </c>
      <c r="BN127" s="16" t="str">
        <f t="shared" si="145"/>
        <v>N/A</v>
      </c>
      <c r="BO127" s="16" t="str">
        <f t="shared" si="146"/>
        <v>N/A</v>
      </c>
      <c r="BP127" s="16" t="str">
        <f t="shared" si="147"/>
        <v>N/A</v>
      </c>
      <c r="BQ127" s="16" t="str">
        <f t="shared" si="148"/>
        <v>N/A</v>
      </c>
      <c r="BR127" s="16" t="str">
        <f t="shared" si="149"/>
        <v>N/A</v>
      </c>
      <c r="BS127" s="16" t="str">
        <f t="shared" si="150"/>
        <v>N/A</v>
      </c>
      <c r="BT127" s="16" t="str">
        <f t="shared" si="151"/>
        <v>N/A</v>
      </c>
      <c r="BU127" s="16" t="str">
        <f t="shared" si="152"/>
        <v>N/A</v>
      </c>
      <c r="BV127" s="16" t="str">
        <f t="shared" si="153"/>
        <v>N/A</v>
      </c>
      <c r="BW127" s="16" t="str">
        <f t="shared" si="154"/>
        <v>N/A</v>
      </c>
      <c r="BX127" s="16" t="str">
        <f t="shared" si="155"/>
        <v>N/A</v>
      </c>
      <c r="BY127" s="16" t="str">
        <f t="shared" si="156"/>
        <v>N/A</v>
      </c>
      <c r="BZ127" s="16" t="str">
        <f t="shared" si="157"/>
        <v>N/A</v>
      </c>
      <c r="CA127" s="16" t="str">
        <f t="shared" si="158"/>
        <v>N/A</v>
      </c>
      <c r="CB127" s="16" t="str">
        <f t="shared" si="159"/>
        <v>N/A</v>
      </c>
      <c r="CC127" s="16" t="str">
        <f t="shared" si="160"/>
        <v>N/A</v>
      </c>
      <c r="CD127" s="16" t="str">
        <f t="shared" si="161"/>
        <v>N/A</v>
      </c>
      <c r="CE127" s="16" t="str">
        <f t="shared" si="162"/>
        <v>N/A</v>
      </c>
      <c r="CF127" s="16" t="str">
        <f t="shared" si="163"/>
        <v>N/A</v>
      </c>
      <c r="CG127" s="16" t="str">
        <f t="shared" si="164"/>
        <v>N/A</v>
      </c>
      <c r="CH127" s="16" t="str">
        <f t="shared" si="165"/>
        <v>N/A</v>
      </c>
      <c r="CI127" s="16" t="str">
        <f t="shared" si="166"/>
        <v>N/A</v>
      </c>
      <c r="CJ127" s="16" t="str">
        <f t="shared" si="167"/>
        <v>N/A</v>
      </c>
      <c r="CK127" s="16" t="str">
        <f t="shared" si="168"/>
        <v>N/A</v>
      </c>
      <c r="CL127" s="16" t="str">
        <f t="shared" si="169"/>
        <v>N/A</v>
      </c>
      <c r="CM127" s="16" t="str">
        <f t="shared" si="170"/>
        <v>N/A</v>
      </c>
      <c r="CN127" s="16" t="str">
        <f t="shared" si="171"/>
        <v>N/A</v>
      </c>
      <c r="CO127" s="16" t="str">
        <f t="shared" si="172"/>
        <v>N/A</v>
      </c>
      <c r="CP127" s="16" t="str">
        <f t="shared" si="173"/>
        <v>N/A</v>
      </c>
      <c r="CQ127" s="16" t="str">
        <f t="shared" si="174"/>
        <v>N/A</v>
      </c>
      <c r="CR127" s="16" t="str">
        <f t="shared" si="175"/>
        <v>N/A</v>
      </c>
      <c r="CS127" s="16" t="str">
        <f t="shared" si="176"/>
        <v>N/A</v>
      </c>
      <c r="CT127" s="16" t="str">
        <f t="shared" si="177"/>
        <v>N/A</v>
      </c>
      <c r="CU127" s="16" t="str">
        <f t="shared" si="131"/>
        <v>N/A</v>
      </c>
      <c r="CV127" s="16" t="str">
        <f t="shared" si="132"/>
        <v>N/A</v>
      </c>
      <c r="CW127" s="16" t="str">
        <f t="shared" si="133"/>
        <v>N/A</v>
      </c>
      <c r="CX127" s="16" t="str">
        <f t="shared" si="134"/>
        <v>N/A</v>
      </c>
      <c r="CY127" s="16" t="str">
        <f t="shared" si="135"/>
        <v>N/A</v>
      </c>
    </row>
    <row r="128" spans="2:103" x14ac:dyDescent="0.25">
      <c r="B128" s="2"/>
      <c r="C128" s="6"/>
      <c r="D128" s="6"/>
      <c r="E128" s="7"/>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5"/>
      <c r="BA128" s="5"/>
      <c r="BB128" s="5"/>
      <c r="BC128" s="5"/>
      <c r="BD128" s="5">
        <f t="shared" si="136"/>
        <v>0</v>
      </c>
      <c r="BE128" s="2"/>
      <c r="BF128" s="2" t="str">
        <f t="shared" si="137"/>
        <v>Menos Horas</v>
      </c>
      <c r="BG128" s="2" t="str">
        <f t="shared" si="138"/>
        <v>Carga Lectiva Insuficiente</v>
      </c>
      <c r="BH128" s="16" t="str">
        <f t="shared" si="139"/>
        <v>Cumple</v>
      </c>
      <c r="BI128" s="2" t="str">
        <f t="shared" si="140"/>
        <v>Cumple</v>
      </c>
      <c r="BJ128" s="16" t="str">
        <f t="shared" si="141"/>
        <v>Cumple</v>
      </c>
      <c r="BK128" s="16" t="str">
        <f t="shared" si="142"/>
        <v>N/A</v>
      </c>
      <c r="BL128" s="16" t="str">
        <f t="shared" si="143"/>
        <v>N/A</v>
      </c>
      <c r="BM128" s="16" t="str">
        <f t="shared" si="144"/>
        <v>N/A</v>
      </c>
      <c r="BN128" s="16" t="str">
        <f t="shared" si="145"/>
        <v>N/A</v>
      </c>
      <c r="BO128" s="16" t="str">
        <f t="shared" si="146"/>
        <v>N/A</v>
      </c>
      <c r="BP128" s="16" t="str">
        <f t="shared" si="147"/>
        <v>N/A</v>
      </c>
      <c r="BQ128" s="16" t="str">
        <f t="shared" si="148"/>
        <v>N/A</v>
      </c>
      <c r="BR128" s="16" t="str">
        <f t="shared" si="149"/>
        <v>N/A</v>
      </c>
      <c r="BS128" s="16" t="str">
        <f t="shared" si="150"/>
        <v>N/A</v>
      </c>
      <c r="BT128" s="16" t="str">
        <f t="shared" si="151"/>
        <v>N/A</v>
      </c>
      <c r="BU128" s="16" t="str">
        <f t="shared" si="152"/>
        <v>N/A</v>
      </c>
      <c r="BV128" s="16" t="str">
        <f t="shared" si="153"/>
        <v>N/A</v>
      </c>
      <c r="BW128" s="16" t="str">
        <f t="shared" si="154"/>
        <v>N/A</v>
      </c>
      <c r="BX128" s="16" t="str">
        <f t="shared" si="155"/>
        <v>N/A</v>
      </c>
      <c r="BY128" s="16" t="str">
        <f t="shared" si="156"/>
        <v>N/A</v>
      </c>
      <c r="BZ128" s="16" t="str">
        <f t="shared" si="157"/>
        <v>N/A</v>
      </c>
      <c r="CA128" s="16" t="str">
        <f t="shared" si="158"/>
        <v>N/A</v>
      </c>
      <c r="CB128" s="16" t="str">
        <f t="shared" si="159"/>
        <v>N/A</v>
      </c>
      <c r="CC128" s="16" t="str">
        <f t="shared" si="160"/>
        <v>N/A</v>
      </c>
      <c r="CD128" s="16" t="str">
        <f t="shared" si="161"/>
        <v>N/A</v>
      </c>
      <c r="CE128" s="16" t="str">
        <f t="shared" si="162"/>
        <v>N/A</v>
      </c>
      <c r="CF128" s="16" t="str">
        <f t="shared" si="163"/>
        <v>N/A</v>
      </c>
      <c r="CG128" s="16" t="str">
        <f t="shared" si="164"/>
        <v>N/A</v>
      </c>
      <c r="CH128" s="16" t="str">
        <f t="shared" si="165"/>
        <v>N/A</v>
      </c>
      <c r="CI128" s="16" t="str">
        <f t="shared" si="166"/>
        <v>N/A</v>
      </c>
      <c r="CJ128" s="16" t="str">
        <f t="shared" si="167"/>
        <v>N/A</v>
      </c>
      <c r="CK128" s="16" t="str">
        <f t="shared" si="168"/>
        <v>N/A</v>
      </c>
      <c r="CL128" s="16" t="str">
        <f t="shared" si="169"/>
        <v>N/A</v>
      </c>
      <c r="CM128" s="16" t="str">
        <f t="shared" si="170"/>
        <v>N/A</v>
      </c>
      <c r="CN128" s="16" t="str">
        <f t="shared" si="171"/>
        <v>N/A</v>
      </c>
      <c r="CO128" s="16" t="str">
        <f t="shared" si="172"/>
        <v>N/A</v>
      </c>
      <c r="CP128" s="16" t="str">
        <f t="shared" si="173"/>
        <v>N/A</v>
      </c>
      <c r="CQ128" s="16" t="str">
        <f t="shared" si="174"/>
        <v>N/A</v>
      </c>
      <c r="CR128" s="16" t="str">
        <f t="shared" si="175"/>
        <v>N/A</v>
      </c>
      <c r="CS128" s="16" t="str">
        <f t="shared" si="176"/>
        <v>N/A</v>
      </c>
      <c r="CT128" s="16" t="str">
        <f t="shared" si="177"/>
        <v>N/A</v>
      </c>
      <c r="CU128" s="16" t="str">
        <f t="shared" si="131"/>
        <v>N/A</v>
      </c>
      <c r="CV128" s="16" t="str">
        <f t="shared" si="132"/>
        <v>N/A</v>
      </c>
      <c r="CW128" s="16" t="str">
        <f t="shared" si="133"/>
        <v>N/A</v>
      </c>
      <c r="CX128" s="16" t="str">
        <f t="shared" si="134"/>
        <v>N/A</v>
      </c>
      <c r="CY128" s="16" t="str">
        <f t="shared" si="135"/>
        <v>N/A</v>
      </c>
    </row>
    <row r="129" spans="2:103" x14ac:dyDescent="0.25">
      <c r="B129" s="2"/>
      <c r="C129" s="6"/>
      <c r="D129" s="6"/>
      <c r="E129" s="7"/>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5"/>
      <c r="BA129" s="5"/>
      <c r="BB129" s="5"/>
      <c r="BC129" s="5"/>
      <c r="BD129" s="5">
        <f t="shared" si="136"/>
        <v>0</v>
      </c>
      <c r="BE129" s="2"/>
      <c r="BF129" s="2" t="str">
        <f t="shared" si="137"/>
        <v>Menos Horas</v>
      </c>
      <c r="BG129" s="2" t="str">
        <f t="shared" si="138"/>
        <v>Carga Lectiva Insuficiente</v>
      </c>
      <c r="BH129" s="16" t="str">
        <f t="shared" si="139"/>
        <v>Cumple</v>
      </c>
      <c r="BI129" s="2" t="str">
        <f t="shared" si="140"/>
        <v>Cumple</v>
      </c>
      <c r="BJ129" s="16" t="str">
        <f t="shared" si="141"/>
        <v>Cumple</v>
      </c>
      <c r="BK129" s="16" t="str">
        <f t="shared" si="142"/>
        <v>N/A</v>
      </c>
      <c r="BL129" s="16" t="str">
        <f t="shared" si="143"/>
        <v>N/A</v>
      </c>
      <c r="BM129" s="16" t="str">
        <f t="shared" si="144"/>
        <v>N/A</v>
      </c>
      <c r="BN129" s="16" t="str">
        <f t="shared" si="145"/>
        <v>N/A</v>
      </c>
      <c r="BO129" s="16" t="str">
        <f t="shared" si="146"/>
        <v>N/A</v>
      </c>
      <c r="BP129" s="16" t="str">
        <f t="shared" si="147"/>
        <v>N/A</v>
      </c>
      <c r="BQ129" s="16" t="str">
        <f t="shared" si="148"/>
        <v>N/A</v>
      </c>
      <c r="BR129" s="16" t="str">
        <f t="shared" si="149"/>
        <v>N/A</v>
      </c>
      <c r="BS129" s="16" t="str">
        <f t="shared" si="150"/>
        <v>N/A</v>
      </c>
      <c r="BT129" s="16" t="str">
        <f t="shared" si="151"/>
        <v>N/A</v>
      </c>
      <c r="BU129" s="16" t="str">
        <f t="shared" si="152"/>
        <v>N/A</v>
      </c>
      <c r="BV129" s="16" t="str">
        <f t="shared" si="153"/>
        <v>N/A</v>
      </c>
      <c r="BW129" s="16" t="str">
        <f t="shared" si="154"/>
        <v>N/A</v>
      </c>
      <c r="BX129" s="16" t="str">
        <f t="shared" si="155"/>
        <v>N/A</v>
      </c>
      <c r="BY129" s="16" t="str">
        <f t="shared" si="156"/>
        <v>N/A</v>
      </c>
      <c r="BZ129" s="16" t="str">
        <f t="shared" si="157"/>
        <v>N/A</v>
      </c>
      <c r="CA129" s="16" t="str">
        <f t="shared" si="158"/>
        <v>N/A</v>
      </c>
      <c r="CB129" s="16" t="str">
        <f t="shared" si="159"/>
        <v>N/A</v>
      </c>
      <c r="CC129" s="16" t="str">
        <f t="shared" si="160"/>
        <v>N/A</v>
      </c>
      <c r="CD129" s="16" t="str">
        <f t="shared" si="161"/>
        <v>N/A</v>
      </c>
      <c r="CE129" s="16" t="str">
        <f t="shared" si="162"/>
        <v>N/A</v>
      </c>
      <c r="CF129" s="16" t="str">
        <f t="shared" si="163"/>
        <v>N/A</v>
      </c>
      <c r="CG129" s="16" t="str">
        <f t="shared" si="164"/>
        <v>N/A</v>
      </c>
      <c r="CH129" s="16" t="str">
        <f t="shared" si="165"/>
        <v>N/A</v>
      </c>
      <c r="CI129" s="16" t="str">
        <f t="shared" si="166"/>
        <v>N/A</v>
      </c>
      <c r="CJ129" s="16" t="str">
        <f t="shared" si="167"/>
        <v>N/A</v>
      </c>
      <c r="CK129" s="16" t="str">
        <f t="shared" si="168"/>
        <v>N/A</v>
      </c>
      <c r="CL129" s="16" t="str">
        <f t="shared" si="169"/>
        <v>N/A</v>
      </c>
      <c r="CM129" s="16" t="str">
        <f t="shared" si="170"/>
        <v>N/A</v>
      </c>
      <c r="CN129" s="16" t="str">
        <f t="shared" si="171"/>
        <v>N/A</v>
      </c>
      <c r="CO129" s="16" t="str">
        <f t="shared" si="172"/>
        <v>N/A</v>
      </c>
      <c r="CP129" s="16" t="str">
        <f t="shared" si="173"/>
        <v>N/A</v>
      </c>
      <c r="CQ129" s="16" t="str">
        <f t="shared" si="174"/>
        <v>N/A</v>
      </c>
      <c r="CR129" s="16" t="str">
        <f t="shared" si="175"/>
        <v>N/A</v>
      </c>
      <c r="CS129" s="16" t="str">
        <f t="shared" si="176"/>
        <v>N/A</v>
      </c>
      <c r="CT129" s="16" t="str">
        <f t="shared" si="177"/>
        <v>N/A</v>
      </c>
      <c r="CU129" s="16" t="str">
        <f t="shared" si="131"/>
        <v>N/A</v>
      </c>
      <c r="CV129" s="16" t="str">
        <f t="shared" si="132"/>
        <v>N/A</v>
      </c>
      <c r="CW129" s="16" t="str">
        <f t="shared" si="133"/>
        <v>N/A</v>
      </c>
      <c r="CX129" s="16" t="str">
        <f t="shared" si="134"/>
        <v>N/A</v>
      </c>
      <c r="CY129" s="16" t="str">
        <f t="shared" si="135"/>
        <v>N/A</v>
      </c>
    </row>
    <row r="130" spans="2:103" x14ac:dyDescent="0.25">
      <c r="B130" s="2"/>
      <c r="C130" s="6"/>
      <c r="D130" s="6"/>
      <c r="E130" s="7"/>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5"/>
      <c r="BA130" s="5"/>
      <c r="BB130" s="5"/>
      <c r="BC130" s="5"/>
      <c r="BD130" s="5">
        <f t="shared" si="136"/>
        <v>0</v>
      </c>
      <c r="BE130" s="2"/>
      <c r="BF130" s="2" t="str">
        <f t="shared" si="137"/>
        <v>Menos Horas</v>
      </c>
      <c r="BG130" s="2" t="str">
        <f t="shared" si="138"/>
        <v>Carga Lectiva Insuficiente</v>
      </c>
      <c r="BH130" s="16" t="str">
        <f t="shared" si="139"/>
        <v>Cumple</v>
      </c>
      <c r="BI130" s="2" t="str">
        <f t="shared" si="140"/>
        <v>Cumple</v>
      </c>
      <c r="BJ130" s="16" t="str">
        <f t="shared" si="141"/>
        <v>Cumple</v>
      </c>
      <c r="BK130" s="16" t="str">
        <f t="shared" si="142"/>
        <v>N/A</v>
      </c>
      <c r="BL130" s="16" t="str">
        <f t="shared" si="143"/>
        <v>N/A</v>
      </c>
      <c r="BM130" s="16" t="str">
        <f t="shared" si="144"/>
        <v>N/A</v>
      </c>
      <c r="BN130" s="16" t="str">
        <f t="shared" si="145"/>
        <v>N/A</v>
      </c>
      <c r="BO130" s="16" t="str">
        <f t="shared" si="146"/>
        <v>N/A</v>
      </c>
      <c r="BP130" s="16" t="str">
        <f t="shared" si="147"/>
        <v>N/A</v>
      </c>
      <c r="BQ130" s="16" t="str">
        <f t="shared" si="148"/>
        <v>N/A</v>
      </c>
      <c r="BR130" s="16" t="str">
        <f t="shared" si="149"/>
        <v>N/A</v>
      </c>
      <c r="BS130" s="16" t="str">
        <f t="shared" si="150"/>
        <v>N/A</v>
      </c>
      <c r="BT130" s="16" t="str">
        <f t="shared" si="151"/>
        <v>N/A</v>
      </c>
      <c r="BU130" s="16" t="str">
        <f t="shared" si="152"/>
        <v>N/A</v>
      </c>
      <c r="BV130" s="16" t="str">
        <f t="shared" si="153"/>
        <v>N/A</v>
      </c>
      <c r="BW130" s="16" t="str">
        <f t="shared" si="154"/>
        <v>N/A</v>
      </c>
      <c r="BX130" s="16" t="str">
        <f t="shared" si="155"/>
        <v>N/A</v>
      </c>
      <c r="BY130" s="16" t="str">
        <f t="shared" si="156"/>
        <v>N/A</v>
      </c>
      <c r="BZ130" s="16" t="str">
        <f t="shared" si="157"/>
        <v>N/A</v>
      </c>
      <c r="CA130" s="16" t="str">
        <f t="shared" si="158"/>
        <v>N/A</v>
      </c>
      <c r="CB130" s="16" t="str">
        <f t="shared" si="159"/>
        <v>N/A</v>
      </c>
      <c r="CC130" s="16" t="str">
        <f t="shared" si="160"/>
        <v>N/A</v>
      </c>
      <c r="CD130" s="16" t="str">
        <f t="shared" si="161"/>
        <v>N/A</v>
      </c>
      <c r="CE130" s="16" t="str">
        <f t="shared" si="162"/>
        <v>N/A</v>
      </c>
      <c r="CF130" s="16" t="str">
        <f t="shared" si="163"/>
        <v>N/A</v>
      </c>
      <c r="CG130" s="16" t="str">
        <f t="shared" si="164"/>
        <v>N/A</v>
      </c>
      <c r="CH130" s="16" t="str">
        <f t="shared" si="165"/>
        <v>N/A</v>
      </c>
      <c r="CI130" s="16" t="str">
        <f t="shared" si="166"/>
        <v>N/A</v>
      </c>
      <c r="CJ130" s="16" t="str">
        <f t="shared" si="167"/>
        <v>N/A</v>
      </c>
      <c r="CK130" s="16" t="str">
        <f t="shared" si="168"/>
        <v>N/A</v>
      </c>
      <c r="CL130" s="16" t="str">
        <f t="shared" si="169"/>
        <v>N/A</v>
      </c>
      <c r="CM130" s="16" t="str">
        <f t="shared" si="170"/>
        <v>N/A</v>
      </c>
      <c r="CN130" s="16" t="str">
        <f t="shared" si="171"/>
        <v>N/A</v>
      </c>
      <c r="CO130" s="16" t="str">
        <f t="shared" si="172"/>
        <v>N/A</v>
      </c>
      <c r="CP130" s="16" t="str">
        <f t="shared" si="173"/>
        <v>N/A</v>
      </c>
      <c r="CQ130" s="16" t="str">
        <f t="shared" si="174"/>
        <v>N/A</v>
      </c>
      <c r="CR130" s="16" t="str">
        <f t="shared" si="175"/>
        <v>N/A</v>
      </c>
      <c r="CS130" s="16" t="str">
        <f t="shared" si="176"/>
        <v>N/A</v>
      </c>
      <c r="CT130" s="16" t="str">
        <f t="shared" si="177"/>
        <v>N/A</v>
      </c>
      <c r="CU130" s="16" t="str">
        <f t="shared" si="131"/>
        <v>N/A</v>
      </c>
      <c r="CV130" s="16" t="str">
        <f t="shared" si="132"/>
        <v>N/A</v>
      </c>
      <c r="CW130" s="16" t="str">
        <f t="shared" si="133"/>
        <v>N/A</v>
      </c>
      <c r="CX130" s="16" t="str">
        <f t="shared" si="134"/>
        <v>N/A</v>
      </c>
      <c r="CY130" s="16" t="str">
        <f t="shared" si="135"/>
        <v>N/A</v>
      </c>
    </row>
    <row r="131" spans="2:103" x14ac:dyDescent="0.25">
      <c r="B131" s="2"/>
      <c r="C131" s="6"/>
      <c r="D131" s="6"/>
      <c r="E131" s="7"/>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5"/>
      <c r="BA131" s="5"/>
      <c r="BB131" s="5"/>
      <c r="BC131" s="5"/>
      <c r="BD131" s="5">
        <f t="shared" si="136"/>
        <v>0</v>
      </c>
      <c r="BE131" s="2"/>
      <c r="BF131" s="2" t="str">
        <f t="shared" si="137"/>
        <v>Menos Horas</v>
      </c>
      <c r="BG131" s="2" t="str">
        <f t="shared" si="138"/>
        <v>Carga Lectiva Insuficiente</v>
      </c>
      <c r="BH131" s="16" t="str">
        <f t="shared" si="139"/>
        <v>Cumple</v>
      </c>
      <c r="BI131" s="2" t="str">
        <f t="shared" si="140"/>
        <v>Cumple</v>
      </c>
      <c r="BJ131" s="16" t="str">
        <f t="shared" si="141"/>
        <v>Cumple</v>
      </c>
      <c r="BK131" s="16" t="str">
        <f t="shared" si="142"/>
        <v>N/A</v>
      </c>
      <c r="BL131" s="16" t="str">
        <f t="shared" si="143"/>
        <v>N/A</v>
      </c>
      <c r="BM131" s="16" t="str">
        <f t="shared" si="144"/>
        <v>N/A</v>
      </c>
      <c r="BN131" s="16" t="str">
        <f t="shared" si="145"/>
        <v>N/A</v>
      </c>
      <c r="BO131" s="16" t="str">
        <f t="shared" si="146"/>
        <v>N/A</v>
      </c>
      <c r="BP131" s="16" t="str">
        <f t="shared" si="147"/>
        <v>N/A</v>
      </c>
      <c r="BQ131" s="16" t="str">
        <f t="shared" si="148"/>
        <v>N/A</v>
      </c>
      <c r="BR131" s="16" t="str">
        <f t="shared" si="149"/>
        <v>N/A</v>
      </c>
      <c r="BS131" s="16" t="str">
        <f t="shared" si="150"/>
        <v>N/A</v>
      </c>
      <c r="BT131" s="16" t="str">
        <f t="shared" si="151"/>
        <v>N/A</v>
      </c>
      <c r="BU131" s="16" t="str">
        <f t="shared" si="152"/>
        <v>N/A</v>
      </c>
      <c r="BV131" s="16" t="str">
        <f t="shared" si="153"/>
        <v>N/A</v>
      </c>
      <c r="BW131" s="16" t="str">
        <f t="shared" si="154"/>
        <v>N/A</v>
      </c>
      <c r="BX131" s="16" t="str">
        <f t="shared" si="155"/>
        <v>N/A</v>
      </c>
      <c r="BY131" s="16" t="str">
        <f t="shared" si="156"/>
        <v>N/A</v>
      </c>
      <c r="BZ131" s="16" t="str">
        <f t="shared" si="157"/>
        <v>N/A</v>
      </c>
      <c r="CA131" s="16" t="str">
        <f t="shared" si="158"/>
        <v>N/A</v>
      </c>
      <c r="CB131" s="16" t="str">
        <f t="shared" si="159"/>
        <v>N/A</v>
      </c>
      <c r="CC131" s="16" t="str">
        <f t="shared" si="160"/>
        <v>N/A</v>
      </c>
      <c r="CD131" s="16" t="str">
        <f t="shared" si="161"/>
        <v>N/A</v>
      </c>
      <c r="CE131" s="16" t="str">
        <f t="shared" si="162"/>
        <v>N/A</v>
      </c>
      <c r="CF131" s="16" t="str">
        <f t="shared" si="163"/>
        <v>N/A</v>
      </c>
      <c r="CG131" s="16" t="str">
        <f t="shared" si="164"/>
        <v>N/A</v>
      </c>
      <c r="CH131" s="16" t="str">
        <f t="shared" si="165"/>
        <v>N/A</v>
      </c>
      <c r="CI131" s="16" t="str">
        <f t="shared" si="166"/>
        <v>N/A</v>
      </c>
      <c r="CJ131" s="16" t="str">
        <f t="shared" si="167"/>
        <v>N/A</v>
      </c>
      <c r="CK131" s="16" t="str">
        <f t="shared" si="168"/>
        <v>N/A</v>
      </c>
      <c r="CL131" s="16" t="str">
        <f t="shared" si="169"/>
        <v>N/A</v>
      </c>
      <c r="CM131" s="16" t="str">
        <f t="shared" si="170"/>
        <v>N/A</v>
      </c>
      <c r="CN131" s="16" t="str">
        <f t="shared" si="171"/>
        <v>N/A</v>
      </c>
      <c r="CO131" s="16" t="str">
        <f t="shared" si="172"/>
        <v>N/A</v>
      </c>
      <c r="CP131" s="16" t="str">
        <f t="shared" si="173"/>
        <v>N/A</v>
      </c>
      <c r="CQ131" s="16" t="str">
        <f t="shared" si="174"/>
        <v>N/A</v>
      </c>
      <c r="CR131" s="16" t="str">
        <f t="shared" si="175"/>
        <v>N/A</v>
      </c>
      <c r="CS131" s="16" t="str">
        <f t="shared" si="176"/>
        <v>N/A</v>
      </c>
      <c r="CT131" s="16" t="str">
        <f t="shared" si="177"/>
        <v>N/A</v>
      </c>
      <c r="CU131" s="16" t="str">
        <f t="shared" si="131"/>
        <v>N/A</v>
      </c>
      <c r="CV131" s="16" t="str">
        <f t="shared" si="132"/>
        <v>N/A</v>
      </c>
      <c r="CW131" s="16" t="str">
        <f t="shared" si="133"/>
        <v>N/A</v>
      </c>
      <c r="CX131" s="16" t="str">
        <f t="shared" si="134"/>
        <v>N/A</v>
      </c>
      <c r="CY131" s="16" t="str">
        <f t="shared" si="135"/>
        <v>N/A</v>
      </c>
    </row>
    <row r="132" spans="2:103" x14ac:dyDescent="0.25">
      <c r="B132" s="2"/>
      <c r="C132" s="6"/>
      <c r="D132" s="6"/>
      <c r="E132" s="7"/>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5"/>
      <c r="BA132" s="5"/>
      <c r="BB132" s="5"/>
      <c r="BC132" s="5"/>
      <c r="BD132" s="5">
        <f t="shared" si="136"/>
        <v>0</v>
      </c>
      <c r="BE132" s="2"/>
      <c r="BF132" s="2" t="str">
        <f t="shared" si="137"/>
        <v>Menos Horas</v>
      </c>
      <c r="BG132" s="2" t="str">
        <f t="shared" si="138"/>
        <v>Carga Lectiva Insuficiente</v>
      </c>
      <c r="BH132" s="16" t="str">
        <f t="shared" si="139"/>
        <v>Cumple</v>
      </c>
      <c r="BI132" s="2" t="str">
        <f t="shared" si="140"/>
        <v>Cumple</v>
      </c>
      <c r="BJ132" s="16" t="str">
        <f t="shared" si="141"/>
        <v>Cumple</v>
      </c>
      <c r="BK132" s="16" t="str">
        <f t="shared" si="142"/>
        <v>N/A</v>
      </c>
      <c r="BL132" s="16" t="str">
        <f t="shared" si="143"/>
        <v>N/A</v>
      </c>
      <c r="BM132" s="16" t="str">
        <f t="shared" si="144"/>
        <v>N/A</v>
      </c>
      <c r="BN132" s="16" t="str">
        <f t="shared" si="145"/>
        <v>N/A</v>
      </c>
      <c r="BO132" s="16" t="str">
        <f t="shared" si="146"/>
        <v>N/A</v>
      </c>
      <c r="BP132" s="16" t="str">
        <f t="shared" si="147"/>
        <v>N/A</v>
      </c>
      <c r="BQ132" s="16" t="str">
        <f t="shared" si="148"/>
        <v>N/A</v>
      </c>
      <c r="BR132" s="16" t="str">
        <f t="shared" si="149"/>
        <v>N/A</v>
      </c>
      <c r="BS132" s="16" t="str">
        <f t="shared" si="150"/>
        <v>N/A</v>
      </c>
      <c r="BT132" s="16" t="str">
        <f t="shared" si="151"/>
        <v>N/A</v>
      </c>
      <c r="BU132" s="16" t="str">
        <f t="shared" si="152"/>
        <v>N/A</v>
      </c>
      <c r="BV132" s="16" t="str">
        <f t="shared" si="153"/>
        <v>N/A</v>
      </c>
      <c r="BW132" s="16" t="str">
        <f t="shared" si="154"/>
        <v>N/A</v>
      </c>
      <c r="BX132" s="16" t="str">
        <f t="shared" si="155"/>
        <v>N/A</v>
      </c>
      <c r="BY132" s="16" t="str">
        <f t="shared" si="156"/>
        <v>N/A</v>
      </c>
      <c r="BZ132" s="16" t="str">
        <f t="shared" si="157"/>
        <v>N/A</v>
      </c>
      <c r="CA132" s="16" t="str">
        <f t="shared" si="158"/>
        <v>N/A</v>
      </c>
      <c r="CB132" s="16" t="str">
        <f t="shared" si="159"/>
        <v>N/A</v>
      </c>
      <c r="CC132" s="16" t="str">
        <f t="shared" si="160"/>
        <v>N/A</v>
      </c>
      <c r="CD132" s="16" t="str">
        <f t="shared" si="161"/>
        <v>N/A</v>
      </c>
      <c r="CE132" s="16" t="str">
        <f t="shared" si="162"/>
        <v>N/A</v>
      </c>
      <c r="CF132" s="16" t="str">
        <f t="shared" si="163"/>
        <v>N/A</v>
      </c>
      <c r="CG132" s="16" t="str">
        <f t="shared" si="164"/>
        <v>N/A</v>
      </c>
      <c r="CH132" s="16" t="str">
        <f t="shared" si="165"/>
        <v>N/A</v>
      </c>
      <c r="CI132" s="16" t="str">
        <f t="shared" si="166"/>
        <v>N/A</v>
      </c>
      <c r="CJ132" s="16" t="str">
        <f t="shared" si="167"/>
        <v>N/A</v>
      </c>
      <c r="CK132" s="16" t="str">
        <f t="shared" si="168"/>
        <v>N/A</v>
      </c>
      <c r="CL132" s="16" t="str">
        <f t="shared" si="169"/>
        <v>N/A</v>
      </c>
      <c r="CM132" s="16" t="str">
        <f t="shared" si="170"/>
        <v>N/A</v>
      </c>
      <c r="CN132" s="16" t="str">
        <f t="shared" si="171"/>
        <v>N/A</v>
      </c>
      <c r="CO132" s="16" t="str">
        <f t="shared" si="172"/>
        <v>N/A</v>
      </c>
      <c r="CP132" s="16" t="str">
        <f t="shared" si="173"/>
        <v>N/A</v>
      </c>
      <c r="CQ132" s="16" t="str">
        <f t="shared" si="174"/>
        <v>N/A</v>
      </c>
      <c r="CR132" s="16" t="str">
        <f t="shared" si="175"/>
        <v>N/A</v>
      </c>
      <c r="CS132" s="16" t="str">
        <f t="shared" si="176"/>
        <v>N/A</v>
      </c>
      <c r="CT132" s="16" t="str">
        <f t="shared" si="177"/>
        <v>N/A</v>
      </c>
      <c r="CU132" s="16" t="str">
        <f t="shared" si="131"/>
        <v>N/A</v>
      </c>
      <c r="CV132" s="16" t="str">
        <f t="shared" si="132"/>
        <v>N/A</v>
      </c>
      <c r="CW132" s="16" t="str">
        <f t="shared" si="133"/>
        <v>N/A</v>
      </c>
      <c r="CX132" s="16" t="str">
        <f t="shared" si="134"/>
        <v>N/A</v>
      </c>
      <c r="CY132" s="16" t="str">
        <f t="shared" si="135"/>
        <v>N/A</v>
      </c>
    </row>
    <row r="133" spans="2:103" x14ac:dyDescent="0.25">
      <c r="B133" s="2"/>
      <c r="C133" s="6"/>
      <c r="D133" s="6"/>
      <c r="E133" s="7"/>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5"/>
      <c r="BA133" s="5"/>
      <c r="BB133" s="5"/>
      <c r="BC133" s="5"/>
      <c r="BD133" s="5">
        <f t="shared" si="136"/>
        <v>0</v>
      </c>
      <c r="BE133" s="2"/>
      <c r="BF133" s="2" t="str">
        <f t="shared" si="137"/>
        <v>Menos Horas</v>
      </c>
      <c r="BG133" s="2" t="str">
        <f t="shared" si="138"/>
        <v>Carga Lectiva Insuficiente</v>
      </c>
      <c r="BH133" s="16" t="str">
        <f t="shared" si="139"/>
        <v>Cumple</v>
      </c>
      <c r="BI133" s="2" t="str">
        <f t="shared" si="140"/>
        <v>Cumple</v>
      </c>
      <c r="BJ133" s="16" t="str">
        <f t="shared" si="141"/>
        <v>Cumple</v>
      </c>
      <c r="BK133" s="16" t="str">
        <f t="shared" si="142"/>
        <v>N/A</v>
      </c>
      <c r="BL133" s="16" t="str">
        <f t="shared" si="143"/>
        <v>N/A</v>
      </c>
      <c r="BM133" s="16" t="str">
        <f t="shared" si="144"/>
        <v>N/A</v>
      </c>
      <c r="BN133" s="16" t="str">
        <f t="shared" si="145"/>
        <v>N/A</v>
      </c>
      <c r="BO133" s="16" t="str">
        <f t="shared" si="146"/>
        <v>N/A</v>
      </c>
      <c r="BP133" s="16" t="str">
        <f t="shared" si="147"/>
        <v>N/A</v>
      </c>
      <c r="BQ133" s="16" t="str">
        <f t="shared" si="148"/>
        <v>N/A</v>
      </c>
      <c r="BR133" s="16" t="str">
        <f t="shared" si="149"/>
        <v>N/A</v>
      </c>
      <c r="BS133" s="16" t="str">
        <f t="shared" si="150"/>
        <v>N/A</v>
      </c>
      <c r="BT133" s="16" t="str">
        <f t="shared" si="151"/>
        <v>N/A</v>
      </c>
      <c r="BU133" s="16" t="str">
        <f t="shared" si="152"/>
        <v>N/A</v>
      </c>
      <c r="BV133" s="16" t="str">
        <f t="shared" si="153"/>
        <v>N/A</v>
      </c>
      <c r="BW133" s="16" t="str">
        <f t="shared" si="154"/>
        <v>N/A</v>
      </c>
      <c r="BX133" s="16" t="str">
        <f t="shared" si="155"/>
        <v>N/A</v>
      </c>
      <c r="BY133" s="16" t="str">
        <f t="shared" si="156"/>
        <v>N/A</v>
      </c>
      <c r="BZ133" s="16" t="str">
        <f t="shared" si="157"/>
        <v>N/A</v>
      </c>
      <c r="CA133" s="16" t="str">
        <f t="shared" si="158"/>
        <v>N/A</v>
      </c>
      <c r="CB133" s="16" t="str">
        <f t="shared" si="159"/>
        <v>N/A</v>
      </c>
      <c r="CC133" s="16" t="str">
        <f t="shared" si="160"/>
        <v>N/A</v>
      </c>
      <c r="CD133" s="16" t="str">
        <f t="shared" si="161"/>
        <v>N/A</v>
      </c>
      <c r="CE133" s="16" t="str">
        <f t="shared" si="162"/>
        <v>N/A</v>
      </c>
      <c r="CF133" s="16" t="str">
        <f t="shared" si="163"/>
        <v>N/A</v>
      </c>
      <c r="CG133" s="16" t="str">
        <f t="shared" si="164"/>
        <v>N/A</v>
      </c>
      <c r="CH133" s="16" t="str">
        <f t="shared" si="165"/>
        <v>N/A</v>
      </c>
      <c r="CI133" s="16" t="str">
        <f t="shared" si="166"/>
        <v>N/A</v>
      </c>
      <c r="CJ133" s="16" t="str">
        <f t="shared" si="167"/>
        <v>N/A</v>
      </c>
      <c r="CK133" s="16" t="str">
        <f t="shared" si="168"/>
        <v>N/A</v>
      </c>
      <c r="CL133" s="16" t="str">
        <f t="shared" si="169"/>
        <v>N/A</v>
      </c>
      <c r="CM133" s="16" t="str">
        <f t="shared" si="170"/>
        <v>N/A</v>
      </c>
      <c r="CN133" s="16" t="str">
        <f t="shared" si="171"/>
        <v>N/A</v>
      </c>
      <c r="CO133" s="16" t="str">
        <f t="shared" si="172"/>
        <v>N/A</v>
      </c>
      <c r="CP133" s="16" t="str">
        <f t="shared" si="173"/>
        <v>N/A</v>
      </c>
      <c r="CQ133" s="16" t="str">
        <f t="shared" si="174"/>
        <v>N/A</v>
      </c>
      <c r="CR133" s="16" t="str">
        <f t="shared" si="175"/>
        <v>N/A</v>
      </c>
      <c r="CS133" s="16" t="str">
        <f t="shared" si="176"/>
        <v>N/A</v>
      </c>
      <c r="CT133" s="16" t="str">
        <f t="shared" si="177"/>
        <v>N/A</v>
      </c>
      <c r="CU133" s="16" t="str">
        <f t="shared" si="131"/>
        <v>N/A</v>
      </c>
      <c r="CV133" s="16" t="str">
        <f t="shared" si="132"/>
        <v>N/A</v>
      </c>
      <c r="CW133" s="16" t="str">
        <f t="shared" si="133"/>
        <v>N/A</v>
      </c>
      <c r="CX133" s="16" t="str">
        <f t="shared" si="134"/>
        <v>N/A</v>
      </c>
      <c r="CY133" s="16" t="str">
        <f t="shared" si="135"/>
        <v>N/A</v>
      </c>
    </row>
    <row r="134" spans="2:103" x14ac:dyDescent="0.25">
      <c r="B134" s="2"/>
      <c r="C134" s="6"/>
      <c r="D134" s="6"/>
      <c r="E134" s="7"/>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5"/>
      <c r="BA134" s="5"/>
      <c r="BB134" s="5"/>
      <c r="BC134" s="5"/>
      <c r="BD134" s="5">
        <f t="shared" si="136"/>
        <v>0</v>
      </c>
      <c r="BE134" s="2"/>
      <c r="BF134" s="2" t="str">
        <f t="shared" si="137"/>
        <v>Menos Horas</v>
      </c>
      <c r="BG134" s="2" t="str">
        <f t="shared" si="138"/>
        <v>Carga Lectiva Insuficiente</v>
      </c>
      <c r="BH134" s="16" t="str">
        <f t="shared" si="139"/>
        <v>Cumple</v>
      </c>
      <c r="BI134" s="2" t="str">
        <f t="shared" si="140"/>
        <v>Cumple</v>
      </c>
      <c r="BJ134" s="16" t="str">
        <f t="shared" si="141"/>
        <v>Cumple</v>
      </c>
      <c r="BK134" s="16" t="str">
        <f t="shared" si="142"/>
        <v>N/A</v>
      </c>
      <c r="BL134" s="16" t="str">
        <f t="shared" si="143"/>
        <v>N/A</v>
      </c>
      <c r="BM134" s="16" t="str">
        <f t="shared" si="144"/>
        <v>N/A</v>
      </c>
      <c r="BN134" s="16" t="str">
        <f t="shared" si="145"/>
        <v>N/A</v>
      </c>
      <c r="BO134" s="16" t="str">
        <f t="shared" si="146"/>
        <v>N/A</v>
      </c>
      <c r="BP134" s="16" t="str">
        <f t="shared" si="147"/>
        <v>N/A</v>
      </c>
      <c r="BQ134" s="16" t="str">
        <f t="shared" si="148"/>
        <v>N/A</v>
      </c>
      <c r="BR134" s="16" t="str">
        <f t="shared" si="149"/>
        <v>N/A</v>
      </c>
      <c r="BS134" s="16" t="str">
        <f t="shared" si="150"/>
        <v>N/A</v>
      </c>
      <c r="BT134" s="16" t="str">
        <f t="shared" si="151"/>
        <v>N/A</v>
      </c>
      <c r="BU134" s="16" t="str">
        <f t="shared" si="152"/>
        <v>N/A</v>
      </c>
      <c r="BV134" s="16" t="str">
        <f t="shared" si="153"/>
        <v>N/A</v>
      </c>
      <c r="BW134" s="16" t="str">
        <f t="shared" si="154"/>
        <v>N/A</v>
      </c>
      <c r="BX134" s="16" t="str">
        <f t="shared" si="155"/>
        <v>N/A</v>
      </c>
      <c r="BY134" s="16" t="str">
        <f t="shared" si="156"/>
        <v>N/A</v>
      </c>
      <c r="BZ134" s="16" t="str">
        <f t="shared" si="157"/>
        <v>N/A</v>
      </c>
      <c r="CA134" s="16" t="str">
        <f t="shared" si="158"/>
        <v>N/A</v>
      </c>
      <c r="CB134" s="16" t="str">
        <f t="shared" si="159"/>
        <v>N/A</v>
      </c>
      <c r="CC134" s="16" t="str">
        <f t="shared" si="160"/>
        <v>N/A</v>
      </c>
      <c r="CD134" s="16" t="str">
        <f t="shared" si="161"/>
        <v>N/A</v>
      </c>
      <c r="CE134" s="16" t="str">
        <f t="shared" si="162"/>
        <v>N/A</v>
      </c>
      <c r="CF134" s="16" t="str">
        <f t="shared" si="163"/>
        <v>N/A</v>
      </c>
      <c r="CG134" s="16" t="str">
        <f t="shared" si="164"/>
        <v>N/A</v>
      </c>
      <c r="CH134" s="16" t="str">
        <f t="shared" si="165"/>
        <v>N/A</v>
      </c>
      <c r="CI134" s="16" t="str">
        <f t="shared" si="166"/>
        <v>N/A</v>
      </c>
      <c r="CJ134" s="16" t="str">
        <f t="shared" si="167"/>
        <v>N/A</v>
      </c>
      <c r="CK134" s="16" t="str">
        <f t="shared" si="168"/>
        <v>N/A</v>
      </c>
      <c r="CL134" s="16" t="str">
        <f t="shared" si="169"/>
        <v>N/A</v>
      </c>
      <c r="CM134" s="16" t="str">
        <f t="shared" si="170"/>
        <v>N/A</v>
      </c>
      <c r="CN134" s="16" t="str">
        <f t="shared" si="171"/>
        <v>N/A</v>
      </c>
      <c r="CO134" s="16" t="str">
        <f t="shared" si="172"/>
        <v>N/A</v>
      </c>
      <c r="CP134" s="16" t="str">
        <f t="shared" si="173"/>
        <v>N/A</v>
      </c>
      <c r="CQ134" s="16" t="str">
        <f t="shared" si="174"/>
        <v>N/A</v>
      </c>
      <c r="CR134" s="16" t="str">
        <f t="shared" si="175"/>
        <v>N/A</v>
      </c>
      <c r="CS134" s="16" t="str">
        <f t="shared" si="176"/>
        <v>N/A</v>
      </c>
      <c r="CT134" s="16" t="str">
        <f t="shared" si="177"/>
        <v>N/A</v>
      </c>
      <c r="CU134" s="16" t="str">
        <f t="shared" si="131"/>
        <v>N/A</v>
      </c>
      <c r="CV134" s="16" t="str">
        <f t="shared" si="132"/>
        <v>N/A</v>
      </c>
      <c r="CW134" s="16" t="str">
        <f t="shared" si="133"/>
        <v>N/A</v>
      </c>
      <c r="CX134" s="16" t="str">
        <f t="shared" si="134"/>
        <v>N/A</v>
      </c>
      <c r="CY134" s="16" t="str">
        <f t="shared" si="135"/>
        <v>N/A</v>
      </c>
    </row>
    <row r="135" spans="2:103" x14ac:dyDescent="0.25">
      <c r="B135" s="2"/>
      <c r="C135" s="6"/>
      <c r="D135" s="6"/>
      <c r="E135" s="7"/>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5"/>
      <c r="BA135" s="5"/>
      <c r="BB135" s="5"/>
      <c r="BC135" s="5"/>
      <c r="BD135" s="5">
        <f t="shared" ref="BD135:BD166" si="178">AY135+AZ135</f>
        <v>0</v>
      </c>
      <c r="BE135" s="2"/>
      <c r="BF135" s="2" t="str">
        <f t="shared" ref="BF135:BF166" si="179">IF(BD135=40,"Cumple",IF(BD135&gt;40,"Mas Horas","Menos Horas"))</f>
        <v>Menos Horas</v>
      </c>
      <c r="BG135" s="2" t="str">
        <f t="shared" ref="BG135:BG166" si="180">IF(BA135=1,IF(AZ135&gt;18,"Exceso Carga Lectiva",IF(AZ135&lt;16,"Carga Lectiva Insuficiente","Cumple")),IF(AZ135&gt;14,"Exceso Carga Lectiva",IF(AZ135&lt;12,"Carga Lectiva Insuficiente","Cumple")))</f>
        <v>Carga Lectiva Insuficiente</v>
      </c>
      <c r="BH135" s="16" t="str">
        <f t="shared" ref="BH135:BH166" si="181">IF(AL135&gt;(AZ135/2),"Exceso Horas","Cumple")</f>
        <v>Cumple</v>
      </c>
      <c r="BI135" s="2" t="str">
        <f t="shared" ref="BI135:BI166" si="182">IF(F135&gt;8,"Exceso Horas","Cumple")</f>
        <v>Cumple</v>
      </c>
      <c r="BJ135" s="16" t="str">
        <f t="shared" ref="BJ135:BJ166" si="183">IF(G135&gt;4,"Exceso Horas","Cumple")</f>
        <v>Cumple</v>
      </c>
      <c r="BK135" s="16" t="str">
        <f t="shared" ref="BK135:BK166" si="184">IF(H135=0,"N/A",IF(H135&gt;8,"Exceso Horas","Cumple"))</f>
        <v>N/A</v>
      </c>
      <c r="BL135" s="16" t="str">
        <f t="shared" ref="BL135:BL166" si="185">IF(J135=0,"N/A",IF(J135&gt;2,"Exceso Horas","Cumple"))</f>
        <v>N/A</v>
      </c>
      <c r="BM135" s="16" t="str">
        <f t="shared" ref="BM135:BM166" si="186">IF(M135=0,"N/A",IF(M135&gt;20,"Exceso Horas","Cumple"))</f>
        <v>N/A</v>
      </c>
      <c r="BN135" s="16" t="str">
        <f t="shared" ref="BN135:BN166" si="187">IF(N135=0,"N/A",IF(N135&gt;20,"Exceso Horas","Cumple"))</f>
        <v>N/A</v>
      </c>
      <c r="BO135" s="16" t="str">
        <f t="shared" ref="BO135:BO166" si="188">IF(O135=0,"N/A",IF(O135&gt;20,"Exceso Horas","Cumple"))</f>
        <v>N/A</v>
      </c>
      <c r="BP135" s="16" t="str">
        <f t="shared" ref="BP135:BP166" si="189">IF(P135=0,"N/A",IF(P135&gt;20,"Exceso Horas","Cumple"))</f>
        <v>N/A</v>
      </c>
      <c r="BQ135" s="16" t="str">
        <f t="shared" ref="BQ135:BQ166" si="190">IF(Q135=0,"N/A",IF(Q135&gt;20,"Exceso Horas","Cumple"))</f>
        <v>N/A</v>
      </c>
      <c r="BR135" s="16" t="str">
        <f t="shared" ref="BR135:BR166" si="191">IF(R135=0,"N/A",IF(R135&gt;20,"Exceso Horas","Cumple"))</f>
        <v>N/A</v>
      </c>
      <c r="BS135" s="16" t="str">
        <f t="shared" ref="BS135:BS166" si="192">IF(S135=0,"N/A",IF(S135&gt;8,"Exceso Horas","Cumple"))</f>
        <v>N/A</v>
      </c>
      <c r="BT135" s="16" t="str">
        <f t="shared" ref="BT135:BT166" si="193">IF(U135=0,"N/A",IF(U135&gt;2,"Exceso Horas","Cumple"))</f>
        <v>N/A</v>
      </c>
      <c r="BU135" s="16" t="str">
        <f t="shared" ref="BU135:BU166" si="194">IF(V135=0,"N/A",IF(V135&gt;12,"Exceso Horas","Cumple"))</f>
        <v>N/A</v>
      </c>
      <c r="BV135" s="16" t="str">
        <f t="shared" ref="BV135:BV166" si="195">IF(W135=0,"N/A",IF(W135&gt;12,"Exceso Horas","Cumple"))</f>
        <v>N/A</v>
      </c>
      <c r="BW135" s="16" t="str">
        <f t="shared" ref="BW135:BW166" si="196">IF(X135=0,"N/A",IF(X135&gt;4,"Exceso Horas","Cumple"))</f>
        <v>N/A</v>
      </c>
      <c r="BX135" s="16" t="str">
        <f t="shared" ref="BX135:BX166" si="197">IF(Y135=0,"N/A",IF(Y135&gt;2,"Exceso Horas","Cumple"))</f>
        <v>N/A</v>
      </c>
      <c r="BY135" s="16" t="str">
        <f t="shared" ref="BY135:BY166" si="198">IF(Z135=0,"N/A",IF(Z135&gt;10,"Exceso Horas","Cumple"))</f>
        <v>N/A</v>
      </c>
      <c r="BZ135" s="16" t="str">
        <f t="shared" ref="BZ135:BZ166" si="199">IF(AA135=0,"N/A",IF(AA135&gt;8,"Exceso Horas","Cumple"))</f>
        <v>N/A</v>
      </c>
      <c r="CA135" s="16" t="str">
        <f t="shared" ref="CA135:CA166" si="200">IF(AC135=0,"N/A",IF(AC135&gt;4,"Exceso Horas","Cumple"))</f>
        <v>N/A</v>
      </c>
      <c r="CB135" s="16" t="str">
        <f t="shared" ref="CB135:CB166" si="201">IF(AD135=0,"N/A",IF(AD135&gt;8,"Exceso Horas","Cumple"))</f>
        <v>N/A</v>
      </c>
      <c r="CC135" s="16" t="str">
        <f t="shared" ref="CC135:CC166" si="202">IF(AE135=0,"N/A",IF(AE135&gt;2,"Exceso Horas","Cumple"))</f>
        <v>N/A</v>
      </c>
      <c r="CD135" s="16" t="str">
        <f t="shared" ref="CD135:CD166" si="203">IF(AF135=0,"N/A",IF(AF135&gt;2,"Exceso Horas","Cumple"))</f>
        <v>N/A</v>
      </c>
      <c r="CE135" s="16" t="str">
        <f t="shared" ref="CE135:CE166" si="204">IF(AG135=0,"N/A",IF(AG135&gt;2,"Exceso Horas","Cumple"))</f>
        <v>N/A</v>
      </c>
      <c r="CF135" s="16" t="str">
        <f t="shared" ref="CF135:CF166" si="205">IF(AH135=0,"N/A",IF(AH135&gt;2,"Exceso Horas","Cumple"))</f>
        <v>N/A</v>
      </c>
      <c r="CG135" s="16" t="str">
        <f t="shared" ref="CG135:CG166" si="206">IF(AI135=0,"N/A",IF(AI135&gt;2,"Exceso Horas","Cumple"))</f>
        <v>N/A</v>
      </c>
      <c r="CH135" s="16" t="str">
        <f t="shared" ref="CH135:CH166" si="207">IF(AJ135=0,"N/A",IF(AJ135&gt;4,"Exceso Horas","Cumple"))</f>
        <v>N/A</v>
      </c>
      <c r="CI135" s="16" t="str">
        <f t="shared" ref="CI135:CI166" si="208">IF(AK135=0,"N/A",IF(AK135&gt;4,"Exceso Horas","Cumple"))</f>
        <v>N/A</v>
      </c>
      <c r="CJ135" s="16" t="str">
        <f t="shared" ref="CJ135:CJ166" si="209">IF(AM135=0,"N/A",IF(AM135&gt;4,"Exceso Horas","Cumple"))</f>
        <v>N/A</v>
      </c>
      <c r="CK135" s="16" t="str">
        <f t="shared" ref="CK135:CK166" si="210">IF(AN135=0,"N/A",IF(AN135&gt;14,"Exceso Horas","Cumple"))</f>
        <v>N/A</v>
      </c>
      <c r="CL135" s="16" t="str">
        <f t="shared" ref="CL135:CL166" si="211">IF(AO135=0,"N/A",IF(A135&gt;10,"Exceso Horas","Cumple"))</f>
        <v>N/A</v>
      </c>
      <c r="CM135" s="16" t="str">
        <f t="shared" ref="CM135:CM166" si="212">IF(AP135=0,"N/A",IF(AP135&gt;6,"Exceso Horas","Cumple"))</f>
        <v>N/A</v>
      </c>
      <c r="CN135" s="16" t="str">
        <f t="shared" ref="CN135:CN166" si="213">IF(AR135=0,"N/A",IF(AR135&gt;4,"Exceso Horas","Cumple"))</f>
        <v>N/A</v>
      </c>
      <c r="CO135" s="16" t="str">
        <f t="shared" ref="CO135:CO166" si="214">IF(AS135=0,"N/A",IF(AS135&gt;8,"Exceso Horas","Cumple"))</f>
        <v>N/A</v>
      </c>
      <c r="CP135" s="16" t="str">
        <f t="shared" ref="CP135:CP166" si="215">IF(AT135=0,"N/A",IF(AT135&gt;4,"Exceso Horas","Cumple"))</f>
        <v>N/A</v>
      </c>
      <c r="CQ135" s="16" t="str">
        <f t="shared" ref="CQ135:CQ166" si="216">IF(AU135=0,"N/A",IF(AU135&gt;4,"Exceso Horas","Cumple"))</f>
        <v>N/A</v>
      </c>
      <c r="CR135" s="16" t="str">
        <f t="shared" ref="CR135:CR166" si="217">IF(AV135=0,"N/A",IF(AV135&gt;8,"Exceso Horas","Cumple"))</f>
        <v>N/A</v>
      </c>
      <c r="CS135" s="16" t="str">
        <f t="shared" ref="CS135:CS166" si="218">IF(AW135=0,"N/A",IF(AW135&gt;2,"Exceso Horas","Cumple"))</f>
        <v>N/A</v>
      </c>
      <c r="CT135" s="16" t="str">
        <f t="shared" ref="CT135:CT166" si="219">IF(AX135=0,"N/A",IF(AX135&gt;4,"Exceso Horas","Cumple"))</f>
        <v>N/A</v>
      </c>
      <c r="CU135" s="16" t="str">
        <f t="shared" si="131"/>
        <v>N/A</v>
      </c>
      <c r="CV135" s="16" t="str">
        <f t="shared" si="132"/>
        <v>N/A</v>
      </c>
      <c r="CW135" s="16" t="str">
        <f t="shared" si="133"/>
        <v>N/A</v>
      </c>
      <c r="CX135" s="16" t="str">
        <f t="shared" si="134"/>
        <v>N/A</v>
      </c>
      <c r="CY135" s="16" t="str">
        <f t="shared" si="135"/>
        <v>N/A</v>
      </c>
    </row>
    <row r="136" spans="2:103" x14ac:dyDescent="0.25">
      <c r="B136" s="2"/>
      <c r="C136" s="6"/>
      <c r="D136" s="6"/>
      <c r="E136" s="7"/>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5"/>
      <c r="BA136" s="5"/>
      <c r="BB136" s="5"/>
      <c r="BC136" s="5"/>
      <c r="BD136" s="5">
        <f t="shared" si="178"/>
        <v>0</v>
      </c>
      <c r="BE136" s="2"/>
      <c r="BF136" s="2" t="str">
        <f t="shared" si="179"/>
        <v>Menos Horas</v>
      </c>
      <c r="BG136" s="2" t="str">
        <f t="shared" si="180"/>
        <v>Carga Lectiva Insuficiente</v>
      </c>
      <c r="BH136" s="16" t="str">
        <f t="shared" si="181"/>
        <v>Cumple</v>
      </c>
      <c r="BI136" s="2" t="str">
        <f t="shared" si="182"/>
        <v>Cumple</v>
      </c>
      <c r="BJ136" s="16" t="str">
        <f t="shared" si="183"/>
        <v>Cumple</v>
      </c>
      <c r="BK136" s="16" t="str">
        <f t="shared" si="184"/>
        <v>N/A</v>
      </c>
      <c r="BL136" s="16" t="str">
        <f t="shared" si="185"/>
        <v>N/A</v>
      </c>
      <c r="BM136" s="16" t="str">
        <f t="shared" si="186"/>
        <v>N/A</v>
      </c>
      <c r="BN136" s="16" t="str">
        <f t="shared" si="187"/>
        <v>N/A</v>
      </c>
      <c r="BO136" s="16" t="str">
        <f t="shared" si="188"/>
        <v>N/A</v>
      </c>
      <c r="BP136" s="16" t="str">
        <f t="shared" si="189"/>
        <v>N/A</v>
      </c>
      <c r="BQ136" s="16" t="str">
        <f t="shared" si="190"/>
        <v>N/A</v>
      </c>
      <c r="BR136" s="16" t="str">
        <f t="shared" si="191"/>
        <v>N/A</v>
      </c>
      <c r="BS136" s="16" t="str">
        <f t="shared" si="192"/>
        <v>N/A</v>
      </c>
      <c r="BT136" s="16" t="str">
        <f t="shared" si="193"/>
        <v>N/A</v>
      </c>
      <c r="BU136" s="16" t="str">
        <f t="shared" si="194"/>
        <v>N/A</v>
      </c>
      <c r="BV136" s="16" t="str">
        <f t="shared" si="195"/>
        <v>N/A</v>
      </c>
      <c r="BW136" s="16" t="str">
        <f t="shared" si="196"/>
        <v>N/A</v>
      </c>
      <c r="BX136" s="16" t="str">
        <f t="shared" si="197"/>
        <v>N/A</v>
      </c>
      <c r="BY136" s="16" t="str">
        <f t="shared" si="198"/>
        <v>N/A</v>
      </c>
      <c r="BZ136" s="16" t="str">
        <f t="shared" si="199"/>
        <v>N/A</v>
      </c>
      <c r="CA136" s="16" t="str">
        <f t="shared" si="200"/>
        <v>N/A</v>
      </c>
      <c r="CB136" s="16" t="str">
        <f t="shared" si="201"/>
        <v>N/A</v>
      </c>
      <c r="CC136" s="16" t="str">
        <f t="shared" si="202"/>
        <v>N/A</v>
      </c>
      <c r="CD136" s="16" t="str">
        <f t="shared" si="203"/>
        <v>N/A</v>
      </c>
      <c r="CE136" s="16" t="str">
        <f t="shared" si="204"/>
        <v>N/A</v>
      </c>
      <c r="CF136" s="16" t="str">
        <f t="shared" si="205"/>
        <v>N/A</v>
      </c>
      <c r="CG136" s="16" t="str">
        <f t="shared" si="206"/>
        <v>N/A</v>
      </c>
      <c r="CH136" s="16" t="str">
        <f t="shared" si="207"/>
        <v>N/A</v>
      </c>
      <c r="CI136" s="16" t="str">
        <f t="shared" si="208"/>
        <v>N/A</v>
      </c>
      <c r="CJ136" s="16" t="str">
        <f t="shared" si="209"/>
        <v>N/A</v>
      </c>
      <c r="CK136" s="16" t="str">
        <f t="shared" si="210"/>
        <v>N/A</v>
      </c>
      <c r="CL136" s="16" t="str">
        <f t="shared" si="211"/>
        <v>N/A</v>
      </c>
      <c r="CM136" s="16" t="str">
        <f t="shared" si="212"/>
        <v>N/A</v>
      </c>
      <c r="CN136" s="16" t="str">
        <f t="shared" si="213"/>
        <v>N/A</v>
      </c>
      <c r="CO136" s="16" t="str">
        <f t="shared" si="214"/>
        <v>N/A</v>
      </c>
      <c r="CP136" s="16" t="str">
        <f t="shared" si="215"/>
        <v>N/A</v>
      </c>
      <c r="CQ136" s="16" t="str">
        <f t="shared" si="216"/>
        <v>N/A</v>
      </c>
      <c r="CR136" s="16" t="str">
        <f t="shared" si="217"/>
        <v>N/A</v>
      </c>
      <c r="CS136" s="16" t="str">
        <f t="shared" si="218"/>
        <v>N/A</v>
      </c>
      <c r="CT136" s="16" t="str">
        <f t="shared" si="219"/>
        <v>N/A</v>
      </c>
      <c r="CU136" s="16" t="str">
        <f t="shared" ref="CU136:CU175" si="220">IF(AD136=0,"N/A",IF(AY136&gt;40,"Exceso Horas","Cumple"))</f>
        <v>N/A</v>
      </c>
      <c r="CV136" s="16" t="str">
        <f t="shared" ref="CV136:CV175" si="221">IF(AE136=0,"N/A",IF(AZ136&gt;40,"Exceso Horas","Cumple"))</f>
        <v>N/A</v>
      </c>
      <c r="CW136" s="16" t="str">
        <f t="shared" ref="CW136:CW175" si="222">IF(AF136=0,"N/A",IF(BA136&gt;40,"Exceso Horas","Cumple"))</f>
        <v>N/A</v>
      </c>
      <c r="CX136" s="16" t="str">
        <f t="shared" ref="CX136:CX175" si="223">IF(AG136=0,"N/A",IF(K136&gt;40,"Exceso Horas","Cumple"))</f>
        <v>N/A</v>
      </c>
      <c r="CY136" s="16" t="str">
        <f t="shared" ref="CY136:CY175" si="224">IF(AH136=0,"N/A",IF(L136&gt;40,"Exceso Horas","Cumple"))</f>
        <v>N/A</v>
      </c>
    </row>
    <row r="137" spans="2:103" x14ac:dyDescent="0.25">
      <c r="B137" s="2"/>
      <c r="C137" s="6"/>
      <c r="D137" s="6"/>
      <c r="E137" s="7"/>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5"/>
      <c r="BA137" s="5"/>
      <c r="BB137" s="5"/>
      <c r="BC137" s="5"/>
      <c r="BD137" s="5">
        <f t="shared" si="178"/>
        <v>0</v>
      </c>
      <c r="BE137" s="2"/>
      <c r="BF137" s="2" t="str">
        <f t="shared" si="179"/>
        <v>Menos Horas</v>
      </c>
      <c r="BG137" s="2" t="str">
        <f t="shared" si="180"/>
        <v>Carga Lectiva Insuficiente</v>
      </c>
      <c r="BH137" s="16" t="str">
        <f t="shared" si="181"/>
        <v>Cumple</v>
      </c>
      <c r="BI137" s="2" t="str">
        <f t="shared" si="182"/>
        <v>Cumple</v>
      </c>
      <c r="BJ137" s="16" t="str">
        <f t="shared" si="183"/>
        <v>Cumple</v>
      </c>
      <c r="BK137" s="16" t="str">
        <f t="shared" si="184"/>
        <v>N/A</v>
      </c>
      <c r="BL137" s="16" t="str">
        <f t="shared" si="185"/>
        <v>N/A</v>
      </c>
      <c r="BM137" s="16" t="str">
        <f t="shared" si="186"/>
        <v>N/A</v>
      </c>
      <c r="BN137" s="16" t="str">
        <f t="shared" si="187"/>
        <v>N/A</v>
      </c>
      <c r="BO137" s="16" t="str">
        <f t="shared" si="188"/>
        <v>N/A</v>
      </c>
      <c r="BP137" s="16" t="str">
        <f t="shared" si="189"/>
        <v>N/A</v>
      </c>
      <c r="BQ137" s="16" t="str">
        <f t="shared" si="190"/>
        <v>N/A</v>
      </c>
      <c r="BR137" s="16" t="str">
        <f t="shared" si="191"/>
        <v>N/A</v>
      </c>
      <c r="BS137" s="16" t="str">
        <f t="shared" si="192"/>
        <v>N/A</v>
      </c>
      <c r="BT137" s="16" t="str">
        <f t="shared" si="193"/>
        <v>N/A</v>
      </c>
      <c r="BU137" s="16" t="str">
        <f t="shared" si="194"/>
        <v>N/A</v>
      </c>
      <c r="BV137" s="16" t="str">
        <f t="shared" si="195"/>
        <v>N/A</v>
      </c>
      <c r="BW137" s="16" t="str">
        <f t="shared" si="196"/>
        <v>N/A</v>
      </c>
      <c r="BX137" s="16" t="str">
        <f t="shared" si="197"/>
        <v>N/A</v>
      </c>
      <c r="BY137" s="16" t="str">
        <f t="shared" si="198"/>
        <v>N/A</v>
      </c>
      <c r="BZ137" s="16" t="str">
        <f t="shared" si="199"/>
        <v>N/A</v>
      </c>
      <c r="CA137" s="16" t="str">
        <f t="shared" si="200"/>
        <v>N/A</v>
      </c>
      <c r="CB137" s="16" t="str">
        <f t="shared" si="201"/>
        <v>N/A</v>
      </c>
      <c r="CC137" s="16" t="str">
        <f t="shared" si="202"/>
        <v>N/A</v>
      </c>
      <c r="CD137" s="16" t="str">
        <f t="shared" si="203"/>
        <v>N/A</v>
      </c>
      <c r="CE137" s="16" t="str">
        <f t="shared" si="204"/>
        <v>N/A</v>
      </c>
      <c r="CF137" s="16" t="str">
        <f t="shared" si="205"/>
        <v>N/A</v>
      </c>
      <c r="CG137" s="16" t="str">
        <f t="shared" si="206"/>
        <v>N/A</v>
      </c>
      <c r="CH137" s="16" t="str">
        <f t="shared" si="207"/>
        <v>N/A</v>
      </c>
      <c r="CI137" s="16" t="str">
        <f t="shared" si="208"/>
        <v>N/A</v>
      </c>
      <c r="CJ137" s="16" t="str">
        <f t="shared" si="209"/>
        <v>N/A</v>
      </c>
      <c r="CK137" s="16" t="str">
        <f t="shared" si="210"/>
        <v>N/A</v>
      </c>
      <c r="CL137" s="16" t="str">
        <f t="shared" si="211"/>
        <v>N/A</v>
      </c>
      <c r="CM137" s="16" t="str">
        <f t="shared" si="212"/>
        <v>N/A</v>
      </c>
      <c r="CN137" s="16" t="str">
        <f t="shared" si="213"/>
        <v>N/A</v>
      </c>
      <c r="CO137" s="16" t="str">
        <f t="shared" si="214"/>
        <v>N/A</v>
      </c>
      <c r="CP137" s="16" t="str">
        <f t="shared" si="215"/>
        <v>N/A</v>
      </c>
      <c r="CQ137" s="16" t="str">
        <f t="shared" si="216"/>
        <v>N/A</v>
      </c>
      <c r="CR137" s="16" t="str">
        <f t="shared" si="217"/>
        <v>N/A</v>
      </c>
      <c r="CS137" s="16" t="str">
        <f t="shared" si="218"/>
        <v>N/A</v>
      </c>
      <c r="CT137" s="16" t="str">
        <f t="shared" si="219"/>
        <v>N/A</v>
      </c>
      <c r="CU137" s="16" t="str">
        <f t="shared" si="220"/>
        <v>N/A</v>
      </c>
      <c r="CV137" s="16" t="str">
        <f t="shared" si="221"/>
        <v>N/A</v>
      </c>
      <c r="CW137" s="16" t="str">
        <f t="shared" si="222"/>
        <v>N/A</v>
      </c>
      <c r="CX137" s="16" t="str">
        <f t="shared" si="223"/>
        <v>N/A</v>
      </c>
      <c r="CY137" s="16" t="str">
        <f t="shared" si="224"/>
        <v>N/A</v>
      </c>
    </row>
    <row r="138" spans="2:103" x14ac:dyDescent="0.25">
      <c r="B138" s="2"/>
      <c r="C138" s="6"/>
      <c r="D138" s="6"/>
      <c r="E138" s="7"/>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5"/>
      <c r="BA138" s="5"/>
      <c r="BB138" s="5"/>
      <c r="BC138" s="5"/>
      <c r="BD138" s="5">
        <f t="shared" si="178"/>
        <v>0</v>
      </c>
      <c r="BE138" s="2"/>
      <c r="BF138" s="2" t="str">
        <f t="shared" si="179"/>
        <v>Menos Horas</v>
      </c>
      <c r="BG138" s="2" t="str">
        <f t="shared" si="180"/>
        <v>Carga Lectiva Insuficiente</v>
      </c>
      <c r="BH138" s="16" t="str">
        <f t="shared" si="181"/>
        <v>Cumple</v>
      </c>
      <c r="BI138" s="2" t="str">
        <f t="shared" si="182"/>
        <v>Cumple</v>
      </c>
      <c r="BJ138" s="16" t="str">
        <f t="shared" si="183"/>
        <v>Cumple</v>
      </c>
      <c r="BK138" s="16" t="str">
        <f t="shared" si="184"/>
        <v>N/A</v>
      </c>
      <c r="BL138" s="16" t="str">
        <f t="shared" si="185"/>
        <v>N/A</v>
      </c>
      <c r="BM138" s="16" t="str">
        <f t="shared" si="186"/>
        <v>N/A</v>
      </c>
      <c r="BN138" s="16" t="str">
        <f t="shared" si="187"/>
        <v>N/A</v>
      </c>
      <c r="BO138" s="16" t="str">
        <f t="shared" si="188"/>
        <v>N/A</v>
      </c>
      <c r="BP138" s="16" t="str">
        <f t="shared" si="189"/>
        <v>N/A</v>
      </c>
      <c r="BQ138" s="16" t="str">
        <f t="shared" si="190"/>
        <v>N/A</v>
      </c>
      <c r="BR138" s="16" t="str">
        <f t="shared" si="191"/>
        <v>N/A</v>
      </c>
      <c r="BS138" s="16" t="str">
        <f t="shared" si="192"/>
        <v>N/A</v>
      </c>
      <c r="BT138" s="16" t="str">
        <f t="shared" si="193"/>
        <v>N/A</v>
      </c>
      <c r="BU138" s="16" t="str">
        <f t="shared" si="194"/>
        <v>N/A</v>
      </c>
      <c r="BV138" s="16" t="str">
        <f t="shared" si="195"/>
        <v>N/A</v>
      </c>
      <c r="BW138" s="16" t="str">
        <f t="shared" si="196"/>
        <v>N/A</v>
      </c>
      <c r="BX138" s="16" t="str">
        <f t="shared" si="197"/>
        <v>N/A</v>
      </c>
      <c r="BY138" s="16" t="str">
        <f t="shared" si="198"/>
        <v>N/A</v>
      </c>
      <c r="BZ138" s="16" t="str">
        <f t="shared" si="199"/>
        <v>N/A</v>
      </c>
      <c r="CA138" s="16" t="str">
        <f t="shared" si="200"/>
        <v>N/A</v>
      </c>
      <c r="CB138" s="16" t="str">
        <f t="shared" si="201"/>
        <v>N/A</v>
      </c>
      <c r="CC138" s="16" t="str">
        <f t="shared" si="202"/>
        <v>N/A</v>
      </c>
      <c r="CD138" s="16" t="str">
        <f t="shared" si="203"/>
        <v>N/A</v>
      </c>
      <c r="CE138" s="16" t="str">
        <f t="shared" si="204"/>
        <v>N/A</v>
      </c>
      <c r="CF138" s="16" t="str">
        <f t="shared" si="205"/>
        <v>N/A</v>
      </c>
      <c r="CG138" s="16" t="str">
        <f t="shared" si="206"/>
        <v>N/A</v>
      </c>
      <c r="CH138" s="16" t="str">
        <f t="shared" si="207"/>
        <v>N/A</v>
      </c>
      <c r="CI138" s="16" t="str">
        <f t="shared" si="208"/>
        <v>N/A</v>
      </c>
      <c r="CJ138" s="16" t="str">
        <f t="shared" si="209"/>
        <v>N/A</v>
      </c>
      <c r="CK138" s="16" t="str">
        <f t="shared" si="210"/>
        <v>N/A</v>
      </c>
      <c r="CL138" s="16" t="str">
        <f t="shared" si="211"/>
        <v>N/A</v>
      </c>
      <c r="CM138" s="16" t="str">
        <f t="shared" si="212"/>
        <v>N/A</v>
      </c>
      <c r="CN138" s="16" t="str">
        <f t="shared" si="213"/>
        <v>N/A</v>
      </c>
      <c r="CO138" s="16" t="str">
        <f t="shared" si="214"/>
        <v>N/A</v>
      </c>
      <c r="CP138" s="16" t="str">
        <f t="shared" si="215"/>
        <v>N/A</v>
      </c>
      <c r="CQ138" s="16" t="str">
        <f t="shared" si="216"/>
        <v>N/A</v>
      </c>
      <c r="CR138" s="16" t="str">
        <f t="shared" si="217"/>
        <v>N/A</v>
      </c>
      <c r="CS138" s="16" t="str">
        <f t="shared" si="218"/>
        <v>N/A</v>
      </c>
      <c r="CT138" s="16" t="str">
        <f t="shared" si="219"/>
        <v>N/A</v>
      </c>
      <c r="CU138" s="16" t="str">
        <f t="shared" si="220"/>
        <v>N/A</v>
      </c>
      <c r="CV138" s="16" t="str">
        <f t="shared" si="221"/>
        <v>N/A</v>
      </c>
      <c r="CW138" s="16" t="str">
        <f t="shared" si="222"/>
        <v>N/A</v>
      </c>
      <c r="CX138" s="16" t="str">
        <f t="shared" si="223"/>
        <v>N/A</v>
      </c>
      <c r="CY138" s="16" t="str">
        <f t="shared" si="224"/>
        <v>N/A</v>
      </c>
    </row>
    <row r="139" spans="2:103" x14ac:dyDescent="0.25">
      <c r="B139" s="2"/>
      <c r="C139" s="6"/>
      <c r="D139" s="6"/>
      <c r="E139" s="7"/>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5"/>
      <c r="BA139" s="5"/>
      <c r="BB139" s="5"/>
      <c r="BC139" s="5"/>
      <c r="BD139" s="5">
        <f t="shared" si="178"/>
        <v>0</v>
      </c>
      <c r="BE139" s="2"/>
      <c r="BF139" s="2" t="str">
        <f t="shared" si="179"/>
        <v>Menos Horas</v>
      </c>
      <c r="BG139" s="2" t="str">
        <f t="shared" si="180"/>
        <v>Carga Lectiva Insuficiente</v>
      </c>
      <c r="BH139" s="16" t="str">
        <f t="shared" si="181"/>
        <v>Cumple</v>
      </c>
      <c r="BI139" s="2" t="str">
        <f t="shared" si="182"/>
        <v>Cumple</v>
      </c>
      <c r="BJ139" s="16" t="str">
        <f t="shared" si="183"/>
        <v>Cumple</v>
      </c>
      <c r="BK139" s="16" t="str">
        <f t="shared" si="184"/>
        <v>N/A</v>
      </c>
      <c r="BL139" s="16" t="str">
        <f t="shared" si="185"/>
        <v>N/A</v>
      </c>
      <c r="BM139" s="16" t="str">
        <f t="shared" si="186"/>
        <v>N/A</v>
      </c>
      <c r="BN139" s="16" t="str">
        <f t="shared" si="187"/>
        <v>N/A</v>
      </c>
      <c r="BO139" s="16" t="str">
        <f t="shared" si="188"/>
        <v>N/A</v>
      </c>
      <c r="BP139" s="16" t="str">
        <f t="shared" si="189"/>
        <v>N/A</v>
      </c>
      <c r="BQ139" s="16" t="str">
        <f t="shared" si="190"/>
        <v>N/A</v>
      </c>
      <c r="BR139" s="16" t="str">
        <f t="shared" si="191"/>
        <v>N/A</v>
      </c>
      <c r="BS139" s="16" t="str">
        <f t="shared" si="192"/>
        <v>N/A</v>
      </c>
      <c r="BT139" s="16" t="str">
        <f t="shared" si="193"/>
        <v>N/A</v>
      </c>
      <c r="BU139" s="16" t="str">
        <f t="shared" si="194"/>
        <v>N/A</v>
      </c>
      <c r="BV139" s="16" t="str">
        <f t="shared" si="195"/>
        <v>N/A</v>
      </c>
      <c r="BW139" s="16" t="str">
        <f t="shared" si="196"/>
        <v>N/A</v>
      </c>
      <c r="BX139" s="16" t="str">
        <f t="shared" si="197"/>
        <v>N/A</v>
      </c>
      <c r="BY139" s="16" t="str">
        <f t="shared" si="198"/>
        <v>N/A</v>
      </c>
      <c r="BZ139" s="16" t="str">
        <f t="shared" si="199"/>
        <v>N/A</v>
      </c>
      <c r="CA139" s="16" t="str">
        <f t="shared" si="200"/>
        <v>N/A</v>
      </c>
      <c r="CB139" s="16" t="str">
        <f t="shared" si="201"/>
        <v>N/A</v>
      </c>
      <c r="CC139" s="16" t="str">
        <f t="shared" si="202"/>
        <v>N/A</v>
      </c>
      <c r="CD139" s="16" t="str">
        <f t="shared" si="203"/>
        <v>N/A</v>
      </c>
      <c r="CE139" s="16" t="str">
        <f t="shared" si="204"/>
        <v>N/A</v>
      </c>
      <c r="CF139" s="16" t="str">
        <f t="shared" si="205"/>
        <v>N/A</v>
      </c>
      <c r="CG139" s="16" t="str">
        <f t="shared" si="206"/>
        <v>N/A</v>
      </c>
      <c r="CH139" s="16" t="str">
        <f t="shared" si="207"/>
        <v>N/A</v>
      </c>
      <c r="CI139" s="16" t="str">
        <f t="shared" si="208"/>
        <v>N/A</v>
      </c>
      <c r="CJ139" s="16" t="str">
        <f t="shared" si="209"/>
        <v>N/A</v>
      </c>
      <c r="CK139" s="16" t="str">
        <f t="shared" si="210"/>
        <v>N/A</v>
      </c>
      <c r="CL139" s="16" t="str">
        <f t="shared" si="211"/>
        <v>N/A</v>
      </c>
      <c r="CM139" s="16" t="str">
        <f t="shared" si="212"/>
        <v>N/A</v>
      </c>
      <c r="CN139" s="16" t="str">
        <f t="shared" si="213"/>
        <v>N/A</v>
      </c>
      <c r="CO139" s="16" t="str">
        <f t="shared" si="214"/>
        <v>N/A</v>
      </c>
      <c r="CP139" s="16" t="str">
        <f t="shared" si="215"/>
        <v>N/A</v>
      </c>
      <c r="CQ139" s="16" t="str">
        <f t="shared" si="216"/>
        <v>N/A</v>
      </c>
      <c r="CR139" s="16" t="str">
        <f t="shared" si="217"/>
        <v>N/A</v>
      </c>
      <c r="CS139" s="16" t="str">
        <f t="shared" si="218"/>
        <v>N/A</v>
      </c>
      <c r="CT139" s="16" t="str">
        <f t="shared" si="219"/>
        <v>N/A</v>
      </c>
      <c r="CU139" s="16" t="str">
        <f t="shared" si="220"/>
        <v>N/A</v>
      </c>
      <c r="CV139" s="16" t="str">
        <f t="shared" si="221"/>
        <v>N/A</v>
      </c>
      <c r="CW139" s="16" t="str">
        <f t="shared" si="222"/>
        <v>N/A</v>
      </c>
      <c r="CX139" s="16" t="str">
        <f t="shared" si="223"/>
        <v>N/A</v>
      </c>
      <c r="CY139" s="16" t="str">
        <f t="shared" si="224"/>
        <v>N/A</v>
      </c>
    </row>
    <row r="140" spans="2:103" x14ac:dyDescent="0.25">
      <c r="B140" s="2"/>
      <c r="C140" s="6"/>
      <c r="D140" s="6"/>
      <c r="E140" s="7"/>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5"/>
      <c r="BA140" s="5"/>
      <c r="BB140" s="5"/>
      <c r="BC140" s="5"/>
      <c r="BD140" s="5">
        <f t="shared" si="178"/>
        <v>0</v>
      </c>
      <c r="BE140" s="2"/>
      <c r="BF140" s="2" t="str">
        <f t="shared" si="179"/>
        <v>Menos Horas</v>
      </c>
      <c r="BG140" s="2" t="str">
        <f t="shared" si="180"/>
        <v>Carga Lectiva Insuficiente</v>
      </c>
      <c r="BH140" s="16" t="str">
        <f t="shared" si="181"/>
        <v>Cumple</v>
      </c>
      <c r="BI140" s="2" t="str">
        <f t="shared" si="182"/>
        <v>Cumple</v>
      </c>
      <c r="BJ140" s="16" t="str">
        <f t="shared" si="183"/>
        <v>Cumple</v>
      </c>
      <c r="BK140" s="16" t="str">
        <f t="shared" si="184"/>
        <v>N/A</v>
      </c>
      <c r="BL140" s="16" t="str">
        <f t="shared" si="185"/>
        <v>N/A</v>
      </c>
      <c r="BM140" s="16" t="str">
        <f t="shared" si="186"/>
        <v>N/A</v>
      </c>
      <c r="BN140" s="16" t="str">
        <f t="shared" si="187"/>
        <v>N/A</v>
      </c>
      <c r="BO140" s="16" t="str">
        <f t="shared" si="188"/>
        <v>N/A</v>
      </c>
      <c r="BP140" s="16" t="str">
        <f t="shared" si="189"/>
        <v>N/A</v>
      </c>
      <c r="BQ140" s="16" t="str">
        <f t="shared" si="190"/>
        <v>N/A</v>
      </c>
      <c r="BR140" s="16" t="str">
        <f t="shared" si="191"/>
        <v>N/A</v>
      </c>
      <c r="BS140" s="16" t="str">
        <f t="shared" si="192"/>
        <v>N/A</v>
      </c>
      <c r="BT140" s="16" t="str">
        <f t="shared" si="193"/>
        <v>N/A</v>
      </c>
      <c r="BU140" s="16" t="str">
        <f t="shared" si="194"/>
        <v>N/A</v>
      </c>
      <c r="BV140" s="16" t="str">
        <f t="shared" si="195"/>
        <v>N/A</v>
      </c>
      <c r="BW140" s="16" t="str">
        <f t="shared" si="196"/>
        <v>N/A</v>
      </c>
      <c r="BX140" s="16" t="str">
        <f t="shared" si="197"/>
        <v>N/A</v>
      </c>
      <c r="BY140" s="16" t="str">
        <f t="shared" si="198"/>
        <v>N/A</v>
      </c>
      <c r="BZ140" s="16" t="str">
        <f t="shared" si="199"/>
        <v>N/A</v>
      </c>
      <c r="CA140" s="16" t="str">
        <f t="shared" si="200"/>
        <v>N/A</v>
      </c>
      <c r="CB140" s="16" t="str">
        <f t="shared" si="201"/>
        <v>N/A</v>
      </c>
      <c r="CC140" s="16" t="str">
        <f t="shared" si="202"/>
        <v>N/A</v>
      </c>
      <c r="CD140" s="16" t="str">
        <f t="shared" si="203"/>
        <v>N/A</v>
      </c>
      <c r="CE140" s="16" t="str">
        <f t="shared" si="204"/>
        <v>N/A</v>
      </c>
      <c r="CF140" s="16" t="str">
        <f t="shared" si="205"/>
        <v>N/A</v>
      </c>
      <c r="CG140" s="16" t="str">
        <f t="shared" si="206"/>
        <v>N/A</v>
      </c>
      <c r="CH140" s="16" t="str">
        <f t="shared" si="207"/>
        <v>N/A</v>
      </c>
      <c r="CI140" s="16" t="str">
        <f t="shared" si="208"/>
        <v>N/A</v>
      </c>
      <c r="CJ140" s="16" t="str">
        <f t="shared" si="209"/>
        <v>N/A</v>
      </c>
      <c r="CK140" s="16" t="str">
        <f t="shared" si="210"/>
        <v>N/A</v>
      </c>
      <c r="CL140" s="16" t="str">
        <f t="shared" si="211"/>
        <v>N/A</v>
      </c>
      <c r="CM140" s="16" t="str">
        <f t="shared" si="212"/>
        <v>N/A</v>
      </c>
      <c r="CN140" s="16" t="str">
        <f t="shared" si="213"/>
        <v>N/A</v>
      </c>
      <c r="CO140" s="16" t="str">
        <f t="shared" si="214"/>
        <v>N/A</v>
      </c>
      <c r="CP140" s="16" t="str">
        <f t="shared" si="215"/>
        <v>N/A</v>
      </c>
      <c r="CQ140" s="16" t="str">
        <f t="shared" si="216"/>
        <v>N/A</v>
      </c>
      <c r="CR140" s="16" t="str">
        <f t="shared" si="217"/>
        <v>N/A</v>
      </c>
      <c r="CS140" s="16" t="str">
        <f t="shared" si="218"/>
        <v>N/A</v>
      </c>
      <c r="CT140" s="16" t="str">
        <f t="shared" si="219"/>
        <v>N/A</v>
      </c>
      <c r="CU140" s="16" t="str">
        <f t="shared" si="220"/>
        <v>N/A</v>
      </c>
      <c r="CV140" s="16" t="str">
        <f t="shared" si="221"/>
        <v>N/A</v>
      </c>
      <c r="CW140" s="16" t="str">
        <f t="shared" si="222"/>
        <v>N/A</v>
      </c>
      <c r="CX140" s="16" t="str">
        <f t="shared" si="223"/>
        <v>N/A</v>
      </c>
      <c r="CY140" s="16" t="str">
        <f t="shared" si="224"/>
        <v>N/A</v>
      </c>
    </row>
    <row r="141" spans="2:103" x14ac:dyDescent="0.25">
      <c r="B141" s="2"/>
      <c r="C141" s="6"/>
      <c r="D141" s="6"/>
      <c r="E141" s="7"/>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5"/>
      <c r="BA141" s="5"/>
      <c r="BB141" s="5"/>
      <c r="BC141" s="5"/>
      <c r="BD141" s="5">
        <f t="shared" si="178"/>
        <v>0</v>
      </c>
      <c r="BE141" s="2"/>
      <c r="BF141" s="2" t="str">
        <f t="shared" si="179"/>
        <v>Menos Horas</v>
      </c>
      <c r="BG141" s="2" t="str">
        <f t="shared" si="180"/>
        <v>Carga Lectiva Insuficiente</v>
      </c>
      <c r="BH141" s="16" t="str">
        <f t="shared" si="181"/>
        <v>Cumple</v>
      </c>
      <c r="BI141" s="2" t="str">
        <f t="shared" si="182"/>
        <v>Cumple</v>
      </c>
      <c r="BJ141" s="16" t="str">
        <f t="shared" si="183"/>
        <v>Cumple</v>
      </c>
      <c r="BK141" s="16" t="str">
        <f t="shared" si="184"/>
        <v>N/A</v>
      </c>
      <c r="BL141" s="16" t="str">
        <f t="shared" si="185"/>
        <v>N/A</v>
      </c>
      <c r="BM141" s="16" t="str">
        <f t="shared" si="186"/>
        <v>N/A</v>
      </c>
      <c r="BN141" s="16" t="str">
        <f t="shared" si="187"/>
        <v>N/A</v>
      </c>
      <c r="BO141" s="16" t="str">
        <f t="shared" si="188"/>
        <v>N/A</v>
      </c>
      <c r="BP141" s="16" t="str">
        <f t="shared" si="189"/>
        <v>N/A</v>
      </c>
      <c r="BQ141" s="16" t="str">
        <f t="shared" si="190"/>
        <v>N/A</v>
      </c>
      <c r="BR141" s="16" t="str">
        <f t="shared" si="191"/>
        <v>N/A</v>
      </c>
      <c r="BS141" s="16" t="str">
        <f t="shared" si="192"/>
        <v>N/A</v>
      </c>
      <c r="BT141" s="16" t="str">
        <f t="shared" si="193"/>
        <v>N/A</v>
      </c>
      <c r="BU141" s="16" t="str">
        <f t="shared" si="194"/>
        <v>N/A</v>
      </c>
      <c r="BV141" s="16" t="str">
        <f t="shared" si="195"/>
        <v>N/A</v>
      </c>
      <c r="BW141" s="16" t="str">
        <f t="shared" si="196"/>
        <v>N/A</v>
      </c>
      <c r="BX141" s="16" t="str">
        <f t="shared" si="197"/>
        <v>N/A</v>
      </c>
      <c r="BY141" s="16" t="str">
        <f t="shared" si="198"/>
        <v>N/A</v>
      </c>
      <c r="BZ141" s="16" t="str">
        <f t="shared" si="199"/>
        <v>N/A</v>
      </c>
      <c r="CA141" s="16" t="str">
        <f t="shared" si="200"/>
        <v>N/A</v>
      </c>
      <c r="CB141" s="16" t="str">
        <f t="shared" si="201"/>
        <v>N/A</v>
      </c>
      <c r="CC141" s="16" t="str">
        <f t="shared" si="202"/>
        <v>N/A</v>
      </c>
      <c r="CD141" s="16" t="str">
        <f t="shared" si="203"/>
        <v>N/A</v>
      </c>
      <c r="CE141" s="16" t="str">
        <f t="shared" si="204"/>
        <v>N/A</v>
      </c>
      <c r="CF141" s="16" t="str">
        <f t="shared" si="205"/>
        <v>N/A</v>
      </c>
      <c r="CG141" s="16" t="str">
        <f t="shared" si="206"/>
        <v>N/A</v>
      </c>
      <c r="CH141" s="16" t="str">
        <f t="shared" si="207"/>
        <v>N/A</v>
      </c>
      <c r="CI141" s="16" t="str">
        <f t="shared" si="208"/>
        <v>N/A</v>
      </c>
      <c r="CJ141" s="16" t="str">
        <f t="shared" si="209"/>
        <v>N/A</v>
      </c>
      <c r="CK141" s="16" t="str">
        <f t="shared" si="210"/>
        <v>N/A</v>
      </c>
      <c r="CL141" s="16" t="str">
        <f t="shared" si="211"/>
        <v>N/A</v>
      </c>
      <c r="CM141" s="16" t="str">
        <f t="shared" si="212"/>
        <v>N/A</v>
      </c>
      <c r="CN141" s="16" t="str">
        <f t="shared" si="213"/>
        <v>N/A</v>
      </c>
      <c r="CO141" s="16" t="str">
        <f t="shared" si="214"/>
        <v>N/A</v>
      </c>
      <c r="CP141" s="16" t="str">
        <f t="shared" si="215"/>
        <v>N/A</v>
      </c>
      <c r="CQ141" s="16" t="str">
        <f t="shared" si="216"/>
        <v>N/A</v>
      </c>
      <c r="CR141" s="16" t="str">
        <f t="shared" si="217"/>
        <v>N/A</v>
      </c>
      <c r="CS141" s="16" t="str">
        <f t="shared" si="218"/>
        <v>N/A</v>
      </c>
      <c r="CT141" s="16" t="str">
        <f t="shared" si="219"/>
        <v>N/A</v>
      </c>
      <c r="CU141" s="16" t="str">
        <f t="shared" si="220"/>
        <v>N/A</v>
      </c>
      <c r="CV141" s="16" t="str">
        <f t="shared" si="221"/>
        <v>N/A</v>
      </c>
      <c r="CW141" s="16" t="str">
        <f t="shared" si="222"/>
        <v>N/A</v>
      </c>
      <c r="CX141" s="16" t="str">
        <f t="shared" si="223"/>
        <v>N/A</v>
      </c>
      <c r="CY141" s="16" t="str">
        <f t="shared" si="224"/>
        <v>N/A</v>
      </c>
    </row>
    <row r="142" spans="2:103" x14ac:dyDescent="0.25">
      <c r="B142" s="2"/>
      <c r="C142" s="6"/>
      <c r="D142" s="6"/>
      <c r="E142" s="7"/>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5"/>
      <c r="BA142" s="5"/>
      <c r="BB142" s="5"/>
      <c r="BC142" s="5"/>
      <c r="BD142" s="5">
        <f t="shared" si="178"/>
        <v>0</v>
      </c>
      <c r="BE142" s="2"/>
      <c r="BF142" s="2" t="str">
        <f t="shared" si="179"/>
        <v>Menos Horas</v>
      </c>
      <c r="BG142" s="2" t="str">
        <f t="shared" si="180"/>
        <v>Carga Lectiva Insuficiente</v>
      </c>
      <c r="BH142" s="16" t="str">
        <f t="shared" si="181"/>
        <v>Cumple</v>
      </c>
      <c r="BI142" s="2" t="str">
        <f t="shared" si="182"/>
        <v>Cumple</v>
      </c>
      <c r="BJ142" s="16" t="str">
        <f t="shared" si="183"/>
        <v>Cumple</v>
      </c>
      <c r="BK142" s="16" t="str">
        <f t="shared" si="184"/>
        <v>N/A</v>
      </c>
      <c r="BL142" s="16" t="str">
        <f t="shared" si="185"/>
        <v>N/A</v>
      </c>
      <c r="BM142" s="16" t="str">
        <f t="shared" si="186"/>
        <v>N/A</v>
      </c>
      <c r="BN142" s="16" t="str">
        <f t="shared" si="187"/>
        <v>N/A</v>
      </c>
      <c r="BO142" s="16" t="str">
        <f t="shared" si="188"/>
        <v>N/A</v>
      </c>
      <c r="BP142" s="16" t="str">
        <f t="shared" si="189"/>
        <v>N/A</v>
      </c>
      <c r="BQ142" s="16" t="str">
        <f t="shared" si="190"/>
        <v>N/A</v>
      </c>
      <c r="BR142" s="16" t="str">
        <f t="shared" si="191"/>
        <v>N/A</v>
      </c>
      <c r="BS142" s="16" t="str">
        <f t="shared" si="192"/>
        <v>N/A</v>
      </c>
      <c r="BT142" s="16" t="str">
        <f t="shared" si="193"/>
        <v>N/A</v>
      </c>
      <c r="BU142" s="16" t="str">
        <f t="shared" si="194"/>
        <v>N/A</v>
      </c>
      <c r="BV142" s="16" t="str">
        <f t="shared" si="195"/>
        <v>N/A</v>
      </c>
      <c r="BW142" s="16" t="str">
        <f t="shared" si="196"/>
        <v>N/A</v>
      </c>
      <c r="BX142" s="16" t="str">
        <f t="shared" si="197"/>
        <v>N/A</v>
      </c>
      <c r="BY142" s="16" t="str">
        <f t="shared" si="198"/>
        <v>N/A</v>
      </c>
      <c r="BZ142" s="16" t="str">
        <f t="shared" si="199"/>
        <v>N/A</v>
      </c>
      <c r="CA142" s="16" t="str">
        <f t="shared" si="200"/>
        <v>N/A</v>
      </c>
      <c r="CB142" s="16" t="str">
        <f t="shared" si="201"/>
        <v>N/A</v>
      </c>
      <c r="CC142" s="16" t="str">
        <f t="shared" si="202"/>
        <v>N/A</v>
      </c>
      <c r="CD142" s="16" t="str">
        <f t="shared" si="203"/>
        <v>N/A</v>
      </c>
      <c r="CE142" s="16" t="str">
        <f t="shared" si="204"/>
        <v>N/A</v>
      </c>
      <c r="CF142" s="16" t="str">
        <f t="shared" si="205"/>
        <v>N/A</v>
      </c>
      <c r="CG142" s="16" t="str">
        <f t="shared" si="206"/>
        <v>N/A</v>
      </c>
      <c r="CH142" s="16" t="str">
        <f t="shared" si="207"/>
        <v>N/A</v>
      </c>
      <c r="CI142" s="16" t="str">
        <f t="shared" si="208"/>
        <v>N/A</v>
      </c>
      <c r="CJ142" s="16" t="str">
        <f t="shared" si="209"/>
        <v>N/A</v>
      </c>
      <c r="CK142" s="16" t="str">
        <f t="shared" si="210"/>
        <v>N/A</v>
      </c>
      <c r="CL142" s="16" t="str">
        <f t="shared" si="211"/>
        <v>N/A</v>
      </c>
      <c r="CM142" s="16" t="str">
        <f t="shared" si="212"/>
        <v>N/A</v>
      </c>
      <c r="CN142" s="16" t="str">
        <f t="shared" si="213"/>
        <v>N/A</v>
      </c>
      <c r="CO142" s="16" t="str">
        <f t="shared" si="214"/>
        <v>N/A</v>
      </c>
      <c r="CP142" s="16" t="str">
        <f t="shared" si="215"/>
        <v>N/A</v>
      </c>
      <c r="CQ142" s="16" t="str">
        <f t="shared" si="216"/>
        <v>N/A</v>
      </c>
      <c r="CR142" s="16" t="str">
        <f t="shared" si="217"/>
        <v>N/A</v>
      </c>
      <c r="CS142" s="16" t="str">
        <f t="shared" si="218"/>
        <v>N/A</v>
      </c>
      <c r="CT142" s="16" t="str">
        <f t="shared" si="219"/>
        <v>N/A</v>
      </c>
      <c r="CU142" s="16" t="str">
        <f t="shared" si="220"/>
        <v>N/A</v>
      </c>
      <c r="CV142" s="16" t="str">
        <f t="shared" si="221"/>
        <v>N/A</v>
      </c>
      <c r="CW142" s="16" t="str">
        <f t="shared" si="222"/>
        <v>N/A</v>
      </c>
      <c r="CX142" s="16" t="str">
        <f t="shared" si="223"/>
        <v>N/A</v>
      </c>
      <c r="CY142" s="16" t="str">
        <f t="shared" si="224"/>
        <v>N/A</v>
      </c>
    </row>
    <row r="143" spans="2:103" x14ac:dyDescent="0.25">
      <c r="B143" s="2"/>
      <c r="C143" s="6"/>
      <c r="D143" s="6"/>
      <c r="E143" s="7"/>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5"/>
      <c r="BA143" s="5"/>
      <c r="BB143" s="5"/>
      <c r="BC143" s="5"/>
      <c r="BD143" s="5">
        <f t="shared" si="178"/>
        <v>0</v>
      </c>
      <c r="BE143" s="2"/>
      <c r="BF143" s="2" t="str">
        <f t="shared" si="179"/>
        <v>Menos Horas</v>
      </c>
      <c r="BG143" s="2" t="str">
        <f t="shared" si="180"/>
        <v>Carga Lectiva Insuficiente</v>
      </c>
      <c r="BH143" s="16" t="str">
        <f t="shared" si="181"/>
        <v>Cumple</v>
      </c>
      <c r="BI143" s="2" t="str">
        <f t="shared" si="182"/>
        <v>Cumple</v>
      </c>
      <c r="BJ143" s="16" t="str">
        <f t="shared" si="183"/>
        <v>Cumple</v>
      </c>
      <c r="BK143" s="16" t="str">
        <f t="shared" si="184"/>
        <v>N/A</v>
      </c>
      <c r="BL143" s="16" t="str">
        <f t="shared" si="185"/>
        <v>N/A</v>
      </c>
      <c r="BM143" s="16" t="str">
        <f t="shared" si="186"/>
        <v>N/A</v>
      </c>
      <c r="BN143" s="16" t="str">
        <f t="shared" si="187"/>
        <v>N/A</v>
      </c>
      <c r="BO143" s="16" t="str">
        <f t="shared" si="188"/>
        <v>N/A</v>
      </c>
      <c r="BP143" s="16" t="str">
        <f t="shared" si="189"/>
        <v>N/A</v>
      </c>
      <c r="BQ143" s="16" t="str">
        <f t="shared" si="190"/>
        <v>N/A</v>
      </c>
      <c r="BR143" s="16" t="str">
        <f t="shared" si="191"/>
        <v>N/A</v>
      </c>
      <c r="BS143" s="16" t="str">
        <f t="shared" si="192"/>
        <v>N/A</v>
      </c>
      <c r="BT143" s="16" t="str">
        <f t="shared" si="193"/>
        <v>N/A</v>
      </c>
      <c r="BU143" s="16" t="str">
        <f t="shared" si="194"/>
        <v>N/A</v>
      </c>
      <c r="BV143" s="16" t="str">
        <f t="shared" si="195"/>
        <v>N/A</v>
      </c>
      <c r="BW143" s="16" t="str">
        <f t="shared" si="196"/>
        <v>N/A</v>
      </c>
      <c r="BX143" s="16" t="str">
        <f t="shared" si="197"/>
        <v>N/A</v>
      </c>
      <c r="BY143" s="16" t="str">
        <f t="shared" si="198"/>
        <v>N/A</v>
      </c>
      <c r="BZ143" s="16" t="str">
        <f t="shared" si="199"/>
        <v>N/A</v>
      </c>
      <c r="CA143" s="16" t="str">
        <f t="shared" si="200"/>
        <v>N/A</v>
      </c>
      <c r="CB143" s="16" t="str">
        <f t="shared" si="201"/>
        <v>N/A</v>
      </c>
      <c r="CC143" s="16" t="str">
        <f t="shared" si="202"/>
        <v>N/A</v>
      </c>
      <c r="CD143" s="16" t="str">
        <f t="shared" si="203"/>
        <v>N/A</v>
      </c>
      <c r="CE143" s="16" t="str">
        <f t="shared" si="204"/>
        <v>N/A</v>
      </c>
      <c r="CF143" s="16" t="str">
        <f t="shared" si="205"/>
        <v>N/A</v>
      </c>
      <c r="CG143" s="16" t="str">
        <f t="shared" si="206"/>
        <v>N/A</v>
      </c>
      <c r="CH143" s="16" t="str">
        <f t="shared" si="207"/>
        <v>N/A</v>
      </c>
      <c r="CI143" s="16" t="str">
        <f t="shared" si="208"/>
        <v>N/A</v>
      </c>
      <c r="CJ143" s="16" t="str">
        <f t="shared" si="209"/>
        <v>N/A</v>
      </c>
      <c r="CK143" s="16" t="str">
        <f t="shared" si="210"/>
        <v>N/A</v>
      </c>
      <c r="CL143" s="16" t="str">
        <f t="shared" si="211"/>
        <v>N/A</v>
      </c>
      <c r="CM143" s="16" t="str">
        <f t="shared" si="212"/>
        <v>N/A</v>
      </c>
      <c r="CN143" s="16" t="str">
        <f t="shared" si="213"/>
        <v>N/A</v>
      </c>
      <c r="CO143" s="16" t="str">
        <f t="shared" si="214"/>
        <v>N/A</v>
      </c>
      <c r="CP143" s="16" t="str">
        <f t="shared" si="215"/>
        <v>N/A</v>
      </c>
      <c r="CQ143" s="16" t="str">
        <f t="shared" si="216"/>
        <v>N/A</v>
      </c>
      <c r="CR143" s="16" t="str">
        <f t="shared" si="217"/>
        <v>N/A</v>
      </c>
      <c r="CS143" s="16" t="str">
        <f t="shared" si="218"/>
        <v>N/A</v>
      </c>
      <c r="CT143" s="16" t="str">
        <f t="shared" si="219"/>
        <v>N/A</v>
      </c>
      <c r="CU143" s="16" t="str">
        <f t="shared" si="220"/>
        <v>N/A</v>
      </c>
      <c r="CV143" s="16" t="str">
        <f t="shared" si="221"/>
        <v>N/A</v>
      </c>
      <c r="CW143" s="16" t="str">
        <f t="shared" si="222"/>
        <v>N/A</v>
      </c>
      <c r="CX143" s="16" t="str">
        <f t="shared" si="223"/>
        <v>N/A</v>
      </c>
      <c r="CY143" s="16" t="str">
        <f t="shared" si="224"/>
        <v>N/A</v>
      </c>
    </row>
    <row r="144" spans="2:103" x14ac:dyDescent="0.25">
      <c r="B144" s="2"/>
      <c r="C144" s="6"/>
      <c r="D144" s="6"/>
      <c r="E144" s="7"/>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5"/>
      <c r="BA144" s="5"/>
      <c r="BB144" s="5"/>
      <c r="BC144" s="5"/>
      <c r="BD144" s="5">
        <f t="shared" si="178"/>
        <v>0</v>
      </c>
      <c r="BE144" s="2"/>
      <c r="BF144" s="2" t="str">
        <f t="shared" si="179"/>
        <v>Menos Horas</v>
      </c>
      <c r="BG144" s="2" t="str">
        <f t="shared" si="180"/>
        <v>Carga Lectiva Insuficiente</v>
      </c>
      <c r="BH144" s="16" t="str">
        <f t="shared" si="181"/>
        <v>Cumple</v>
      </c>
      <c r="BI144" s="2" t="str">
        <f t="shared" si="182"/>
        <v>Cumple</v>
      </c>
      <c r="BJ144" s="16" t="str">
        <f t="shared" si="183"/>
        <v>Cumple</v>
      </c>
      <c r="BK144" s="16" t="str">
        <f t="shared" si="184"/>
        <v>N/A</v>
      </c>
      <c r="BL144" s="16" t="str">
        <f t="shared" si="185"/>
        <v>N/A</v>
      </c>
      <c r="BM144" s="16" t="str">
        <f t="shared" si="186"/>
        <v>N/A</v>
      </c>
      <c r="BN144" s="16" t="str">
        <f t="shared" si="187"/>
        <v>N/A</v>
      </c>
      <c r="BO144" s="16" t="str">
        <f t="shared" si="188"/>
        <v>N/A</v>
      </c>
      <c r="BP144" s="16" t="str">
        <f t="shared" si="189"/>
        <v>N/A</v>
      </c>
      <c r="BQ144" s="16" t="str">
        <f t="shared" si="190"/>
        <v>N/A</v>
      </c>
      <c r="BR144" s="16" t="str">
        <f t="shared" si="191"/>
        <v>N/A</v>
      </c>
      <c r="BS144" s="16" t="str">
        <f t="shared" si="192"/>
        <v>N/A</v>
      </c>
      <c r="BT144" s="16" t="str">
        <f t="shared" si="193"/>
        <v>N/A</v>
      </c>
      <c r="BU144" s="16" t="str">
        <f t="shared" si="194"/>
        <v>N/A</v>
      </c>
      <c r="BV144" s="16" t="str">
        <f t="shared" si="195"/>
        <v>N/A</v>
      </c>
      <c r="BW144" s="16" t="str">
        <f t="shared" si="196"/>
        <v>N/A</v>
      </c>
      <c r="BX144" s="16" t="str">
        <f t="shared" si="197"/>
        <v>N/A</v>
      </c>
      <c r="BY144" s="16" t="str">
        <f t="shared" si="198"/>
        <v>N/A</v>
      </c>
      <c r="BZ144" s="16" t="str">
        <f t="shared" si="199"/>
        <v>N/A</v>
      </c>
      <c r="CA144" s="16" t="str">
        <f t="shared" si="200"/>
        <v>N/A</v>
      </c>
      <c r="CB144" s="16" t="str">
        <f t="shared" si="201"/>
        <v>N/A</v>
      </c>
      <c r="CC144" s="16" t="str">
        <f t="shared" si="202"/>
        <v>N/A</v>
      </c>
      <c r="CD144" s="16" t="str">
        <f t="shared" si="203"/>
        <v>N/A</v>
      </c>
      <c r="CE144" s="16" t="str">
        <f t="shared" si="204"/>
        <v>N/A</v>
      </c>
      <c r="CF144" s="16" t="str">
        <f t="shared" si="205"/>
        <v>N/A</v>
      </c>
      <c r="CG144" s="16" t="str">
        <f t="shared" si="206"/>
        <v>N/A</v>
      </c>
      <c r="CH144" s="16" t="str">
        <f t="shared" si="207"/>
        <v>N/A</v>
      </c>
      <c r="CI144" s="16" t="str">
        <f t="shared" si="208"/>
        <v>N/A</v>
      </c>
      <c r="CJ144" s="16" t="str">
        <f t="shared" si="209"/>
        <v>N/A</v>
      </c>
      <c r="CK144" s="16" t="str">
        <f t="shared" si="210"/>
        <v>N/A</v>
      </c>
      <c r="CL144" s="16" t="str">
        <f t="shared" si="211"/>
        <v>N/A</v>
      </c>
      <c r="CM144" s="16" t="str">
        <f t="shared" si="212"/>
        <v>N/A</v>
      </c>
      <c r="CN144" s="16" t="str">
        <f t="shared" si="213"/>
        <v>N/A</v>
      </c>
      <c r="CO144" s="16" t="str">
        <f t="shared" si="214"/>
        <v>N/A</v>
      </c>
      <c r="CP144" s="16" t="str">
        <f t="shared" si="215"/>
        <v>N/A</v>
      </c>
      <c r="CQ144" s="16" t="str">
        <f t="shared" si="216"/>
        <v>N/A</v>
      </c>
      <c r="CR144" s="16" t="str">
        <f t="shared" si="217"/>
        <v>N/A</v>
      </c>
      <c r="CS144" s="16" t="str">
        <f t="shared" si="218"/>
        <v>N/A</v>
      </c>
      <c r="CT144" s="16" t="str">
        <f t="shared" si="219"/>
        <v>N/A</v>
      </c>
      <c r="CU144" s="16" t="str">
        <f t="shared" si="220"/>
        <v>N/A</v>
      </c>
      <c r="CV144" s="16" t="str">
        <f t="shared" si="221"/>
        <v>N/A</v>
      </c>
      <c r="CW144" s="16" t="str">
        <f t="shared" si="222"/>
        <v>N/A</v>
      </c>
      <c r="CX144" s="16" t="str">
        <f t="shared" si="223"/>
        <v>N/A</v>
      </c>
      <c r="CY144" s="16" t="str">
        <f t="shared" si="224"/>
        <v>N/A</v>
      </c>
    </row>
    <row r="145" spans="2:103" x14ac:dyDescent="0.25">
      <c r="B145" s="2"/>
      <c r="C145" s="6"/>
      <c r="D145" s="6"/>
      <c r="E145" s="7"/>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5"/>
      <c r="BA145" s="5"/>
      <c r="BB145" s="5"/>
      <c r="BC145" s="5"/>
      <c r="BD145" s="5">
        <f t="shared" si="178"/>
        <v>0</v>
      </c>
      <c r="BE145" s="2"/>
      <c r="BF145" s="2" t="str">
        <f t="shared" si="179"/>
        <v>Menos Horas</v>
      </c>
      <c r="BG145" s="2" t="str">
        <f t="shared" si="180"/>
        <v>Carga Lectiva Insuficiente</v>
      </c>
      <c r="BH145" s="16" t="str">
        <f t="shared" si="181"/>
        <v>Cumple</v>
      </c>
      <c r="BI145" s="2" t="str">
        <f t="shared" si="182"/>
        <v>Cumple</v>
      </c>
      <c r="BJ145" s="16" t="str">
        <f t="shared" si="183"/>
        <v>Cumple</v>
      </c>
      <c r="BK145" s="16" t="str">
        <f t="shared" si="184"/>
        <v>N/A</v>
      </c>
      <c r="BL145" s="16" t="str">
        <f t="shared" si="185"/>
        <v>N/A</v>
      </c>
      <c r="BM145" s="16" t="str">
        <f t="shared" si="186"/>
        <v>N/A</v>
      </c>
      <c r="BN145" s="16" t="str">
        <f t="shared" si="187"/>
        <v>N/A</v>
      </c>
      <c r="BO145" s="16" t="str">
        <f t="shared" si="188"/>
        <v>N/A</v>
      </c>
      <c r="BP145" s="16" t="str">
        <f t="shared" si="189"/>
        <v>N/A</v>
      </c>
      <c r="BQ145" s="16" t="str">
        <f t="shared" si="190"/>
        <v>N/A</v>
      </c>
      <c r="BR145" s="16" t="str">
        <f t="shared" si="191"/>
        <v>N/A</v>
      </c>
      <c r="BS145" s="16" t="str">
        <f t="shared" si="192"/>
        <v>N/A</v>
      </c>
      <c r="BT145" s="16" t="str">
        <f t="shared" si="193"/>
        <v>N/A</v>
      </c>
      <c r="BU145" s="16" t="str">
        <f t="shared" si="194"/>
        <v>N/A</v>
      </c>
      <c r="BV145" s="16" t="str">
        <f t="shared" si="195"/>
        <v>N/A</v>
      </c>
      <c r="BW145" s="16" t="str">
        <f t="shared" si="196"/>
        <v>N/A</v>
      </c>
      <c r="BX145" s="16" t="str">
        <f t="shared" si="197"/>
        <v>N/A</v>
      </c>
      <c r="BY145" s="16" t="str">
        <f t="shared" si="198"/>
        <v>N/A</v>
      </c>
      <c r="BZ145" s="16" t="str">
        <f t="shared" si="199"/>
        <v>N/A</v>
      </c>
      <c r="CA145" s="16" t="str">
        <f t="shared" si="200"/>
        <v>N/A</v>
      </c>
      <c r="CB145" s="16" t="str">
        <f t="shared" si="201"/>
        <v>N/A</v>
      </c>
      <c r="CC145" s="16" t="str">
        <f t="shared" si="202"/>
        <v>N/A</v>
      </c>
      <c r="CD145" s="16" t="str">
        <f t="shared" si="203"/>
        <v>N/A</v>
      </c>
      <c r="CE145" s="16" t="str">
        <f t="shared" si="204"/>
        <v>N/A</v>
      </c>
      <c r="CF145" s="16" t="str">
        <f t="shared" si="205"/>
        <v>N/A</v>
      </c>
      <c r="CG145" s="16" t="str">
        <f t="shared" si="206"/>
        <v>N/A</v>
      </c>
      <c r="CH145" s="16" t="str">
        <f t="shared" si="207"/>
        <v>N/A</v>
      </c>
      <c r="CI145" s="16" t="str">
        <f t="shared" si="208"/>
        <v>N/A</v>
      </c>
      <c r="CJ145" s="16" t="str">
        <f t="shared" si="209"/>
        <v>N/A</v>
      </c>
      <c r="CK145" s="16" t="str">
        <f t="shared" si="210"/>
        <v>N/A</v>
      </c>
      <c r="CL145" s="16" t="str">
        <f t="shared" si="211"/>
        <v>N/A</v>
      </c>
      <c r="CM145" s="16" t="str">
        <f t="shared" si="212"/>
        <v>N/A</v>
      </c>
      <c r="CN145" s="16" t="str">
        <f t="shared" si="213"/>
        <v>N/A</v>
      </c>
      <c r="CO145" s="16" t="str">
        <f t="shared" si="214"/>
        <v>N/A</v>
      </c>
      <c r="CP145" s="16" t="str">
        <f t="shared" si="215"/>
        <v>N/A</v>
      </c>
      <c r="CQ145" s="16" t="str">
        <f t="shared" si="216"/>
        <v>N/A</v>
      </c>
      <c r="CR145" s="16" t="str">
        <f t="shared" si="217"/>
        <v>N/A</v>
      </c>
      <c r="CS145" s="16" t="str">
        <f t="shared" si="218"/>
        <v>N/A</v>
      </c>
      <c r="CT145" s="16" t="str">
        <f t="shared" si="219"/>
        <v>N/A</v>
      </c>
      <c r="CU145" s="16" t="str">
        <f t="shared" si="220"/>
        <v>N/A</v>
      </c>
      <c r="CV145" s="16" t="str">
        <f t="shared" si="221"/>
        <v>N/A</v>
      </c>
      <c r="CW145" s="16" t="str">
        <f t="shared" si="222"/>
        <v>N/A</v>
      </c>
      <c r="CX145" s="16" t="str">
        <f t="shared" si="223"/>
        <v>N/A</v>
      </c>
      <c r="CY145" s="16" t="str">
        <f t="shared" si="224"/>
        <v>N/A</v>
      </c>
    </row>
    <row r="146" spans="2:103" x14ac:dyDescent="0.25">
      <c r="B146" s="2"/>
      <c r="C146" s="6"/>
      <c r="D146" s="6"/>
      <c r="E146" s="7"/>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5"/>
      <c r="BA146" s="5"/>
      <c r="BB146" s="5"/>
      <c r="BC146" s="5"/>
      <c r="BD146" s="5">
        <f t="shared" si="178"/>
        <v>0</v>
      </c>
      <c r="BE146" s="2"/>
      <c r="BF146" s="2" t="str">
        <f t="shared" si="179"/>
        <v>Menos Horas</v>
      </c>
      <c r="BG146" s="2" t="str">
        <f t="shared" si="180"/>
        <v>Carga Lectiva Insuficiente</v>
      </c>
      <c r="BH146" s="16" t="str">
        <f t="shared" si="181"/>
        <v>Cumple</v>
      </c>
      <c r="BI146" s="2" t="str">
        <f t="shared" si="182"/>
        <v>Cumple</v>
      </c>
      <c r="BJ146" s="16" t="str">
        <f t="shared" si="183"/>
        <v>Cumple</v>
      </c>
      <c r="BK146" s="16" t="str">
        <f t="shared" si="184"/>
        <v>N/A</v>
      </c>
      <c r="BL146" s="16" t="str">
        <f t="shared" si="185"/>
        <v>N/A</v>
      </c>
      <c r="BM146" s="16" t="str">
        <f t="shared" si="186"/>
        <v>N/A</v>
      </c>
      <c r="BN146" s="16" t="str">
        <f t="shared" si="187"/>
        <v>N/A</v>
      </c>
      <c r="BO146" s="16" t="str">
        <f t="shared" si="188"/>
        <v>N/A</v>
      </c>
      <c r="BP146" s="16" t="str">
        <f t="shared" si="189"/>
        <v>N/A</v>
      </c>
      <c r="BQ146" s="16" t="str">
        <f t="shared" si="190"/>
        <v>N/A</v>
      </c>
      <c r="BR146" s="16" t="str">
        <f t="shared" si="191"/>
        <v>N/A</v>
      </c>
      <c r="BS146" s="16" t="str">
        <f t="shared" si="192"/>
        <v>N/A</v>
      </c>
      <c r="BT146" s="16" t="str">
        <f t="shared" si="193"/>
        <v>N/A</v>
      </c>
      <c r="BU146" s="16" t="str">
        <f t="shared" si="194"/>
        <v>N/A</v>
      </c>
      <c r="BV146" s="16" t="str">
        <f t="shared" si="195"/>
        <v>N/A</v>
      </c>
      <c r="BW146" s="16" t="str">
        <f t="shared" si="196"/>
        <v>N/A</v>
      </c>
      <c r="BX146" s="16" t="str">
        <f t="shared" si="197"/>
        <v>N/A</v>
      </c>
      <c r="BY146" s="16" t="str">
        <f t="shared" si="198"/>
        <v>N/A</v>
      </c>
      <c r="BZ146" s="16" t="str">
        <f t="shared" si="199"/>
        <v>N/A</v>
      </c>
      <c r="CA146" s="16" t="str">
        <f t="shared" si="200"/>
        <v>N/A</v>
      </c>
      <c r="CB146" s="16" t="str">
        <f t="shared" si="201"/>
        <v>N/A</v>
      </c>
      <c r="CC146" s="16" t="str">
        <f t="shared" si="202"/>
        <v>N/A</v>
      </c>
      <c r="CD146" s="16" t="str">
        <f t="shared" si="203"/>
        <v>N/A</v>
      </c>
      <c r="CE146" s="16" t="str">
        <f t="shared" si="204"/>
        <v>N/A</v>
      </c>
      <c r="CF146" s="16" t="str">
        <f t="shared" si="205"/>
        <v>N/A</v>
      </c>
      <c r="CG146" s="16" t="str">
        <f t="shared" si="206"/>
        <v>N/A</v>
      </c>
      <c r="CH146" s="16" t="str">
        <f t="shared" si="207"/>
        <v>N/A</v>
      </c>
      <c r="CI146" s="16" t="str">
        <f t="shared" si="208"/>
        <v>N/A</v>
      </c>
      <c r="CJ146" s="16" t="str">
        <f t="shared" si="209"/>
        <v>N/A</v>
      </c>
      <c r="CK146" s="16" t="str">
        <f t="shared" si="210"/>
        <v>N/A</v>
      </c>
      <c r="CL146" s="16" t="str">
        <f t="shared" si="211"/>
        <v>N/A</v>
      </c>
      <c r="CM146" s="16" t="str">
        <f t="shared" si="212"/>
        <v>N/A</v>
      </c>
      <c r="CN146" s="16" t="str">
        <f t="shared" si="213"/>
        <v>N/A</v>
      </c>
      <c r="CO146" s="16" t="str">
        <f t="shared" si="214"/>
        <v>N/A</v>
      </c>
      <c r="CP146" s="16" t="str">
        <f t="shared" si="215"/>
        <v>N/A</v>
      </c>
      <c r="CQ146" s="16" t="str">
        <f t="shared" si="216"/>
        <v>N/A</v>
      </c>
      <c r="CR146" s="16" t="str">
        <f t="shared" si="217"/>
        <v>N/A</v>
      </c>
      <c r="CS146" s="16" t="str">
        <f t="shared" si="218"/>
        <v>N/A</v>
      </c>
      <c r="CT146" s="16" t="str">
        <f t="shared" si="219"/>
        <v>N/A</v>
      </c>
      <c r="CU146" s="16" t="str">
        <f t="shared" si="220"/>
        <v>N/A</v>
      </c>
      <c r="CV146" s="16" t="str">
        <f t="shared" si="221"/>
        <v>N/A</v>
      </c>
      <c r="CW146" s="16" t="str">
        <f t="shared" si="222"/>
        <v>N/A</v>
      </c>
      <c r="CX146" s="16" t="str">
        <f t="shared" si="223"/>
        <v>N/A</v>
      </c>
      <c r="CY146" s="16" t="str">
        <f t="shared" si="224"/>
        <v>N/A</v>
      </c>
    </row>
    <row r="147" spans="2:103" x14ac:dyDescent="0.25">
      <c r="B147" s="2"/>
      <c r="C147" s="6"/>
      <c r="D147" s="6"/>
      <c r="E147" s="7"/>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5"/>
      <c r="BA147" s="5"/>
      <c r="BB147" s="5"/>
      <c r="BC147" s="5"/>
      <c r="BD147" s="5">
        <f t="shared" si="178"/>
        <v>0</v>
      </c>
      <c r="BE147" s="2"/>
      <c r="BF147" s="2" t="str">
        <f t="shared" si="179"/>
        <v>Menos Horas</v>
      </c>
      <c r="BG147" s="2" t="str">
        <f t="shared" si="180"/>
        <v>Carga Lectiva Insuficiente</v>
      </c>
      <c r="BH147" s="16" t="str">
        <f t="shared" si="181"/>
        <v>Cumple</v>
      </c>
      <c r="BI147" s="2" t="str">
        <f t="shared" si="182"/>
        <v>Cumple</v>
      </c>
      <c r="BJ147" s="16" t="str">
        <f t="shared" si="183"/>
        <v>Cumple</v>
      </c>
      <c r="BK147" s="16" t="str">
        <f t="shared" si="184"/>
        <v>N/A</v>
      </c>
      <c r="BL147" s="16" t="str">
        <f t="shared" si="185"/>
        <v>N/A</v>
      </c>
      <c r="BM147" s="16" t="str">
        <f t="shared" si="186"/>
        <v>N/A</v>
      </c>
      <c r="BN147" s="16" t="str">
        <f t="shared" si="187"/>
        <v>N/A</v>
      </c>
      <c r="BO147" s="16" t="str">
        <f t="shared" si="188"/>
        <v>N/A</v>
      </c>
      <c r="BP147" s="16" t="str">
        <f t="shared" si="189"/>
        <v>N/A</v>
      </c>
      <c r="BQ147" s="16" t="str">
        <f t="shared" si="190"/>
        <v>N/A</v>
      </c>
      <c r="BR147" s="16" t="str">
        <f t="shared" si="191"/>
        <v>N/A</v>
      </c>
      <c r="BS147" s="16" t="str">
        <f t="shared" si="192"/>
        <v>N/A</v>
      </c>
      <c r="BT147" s="16" t="str">
        <f t="shared" si="193"/>
        <v>N/A</v>
      </c>
      <c r="BU147" s="16" t="str">
        <f t="shared" si="194"/>
        <v>N/A</v>
      </c>
      <c r="BV147" s="16" t="str">
        <f t="shared" si="195"/>
        <v>N/A</v>
      </c>
      <c r="BW147" s="16" t="str">
        <f t="shared" si="196"/>
        <v>N/A</v>
      </c>
      <c r="BX147" s="16" t="str">
        <f t="shared" si="197"/>
        <v>N/A</v>
      </c>
      <c r="BY147" s="16" t="str">
        <f t="shared" si="198"/>
        <v>N/A</v>
      </c>
      <c r="BZ147" s="16" t="str">
        <f t="shared" si="199"/>
        <v>N/A</v>
      </c>
      <c r="CA147" s="16" t="str">
        <f t="shared" si="200"/>
        <v>N/A</v>
      </c>
      <c r="CB147" s="16" t="str">
        <f t="shared" si="201"/>
        <v>N/A</v>
      </c>
      <c r="CC147" s="16" t="str">
        <f t="shared" si="202"/>
        <v>N/A</v>
      </c>
      <c r="CD147" s="16" t="str">
        <f t="shared" si="203"/>
        <v>N/A</v>
      </c>
      <c r="CE147" s="16" t="str">
        <f t="shared" si="204"/>
        <v>N/A</v>
      </c>
      <c r="CF147" s="16" t="str">
        <f t="shared" si="205"/>
        <v>N/A</v>
      </c>
      <c r="CG147" s="16" t="str">
        <f t="shared" si="206"/>
        <v>N/A</v>
      </c>
      <c r="CH147" s="16" t="str">
        <f t="shared" si="207"/>
        <v>N/A</v>
      </c>
      <c r="CI147" s="16" t="str">
        <f t="shared" si="208"/>
        <v>N/A</v>
      </c>
      <c r="CJ147" s="16" t="str">
        <f t="shared" si="209"/>
        <v>N/A</v>
      </c>
      <c r="CK147" s="16" t="str">
        <f t="shared" si="210"/>
        <v>N/A</v>
      </c>
      <c r="CL147" s="16" t="str">
        <f t="shared" si="211"/>
        <v>N/A</v>
      </c>
      <c r="CM147" s="16" t="str">
        <f t="shared" si="212"/>
        <v>N/A</v>
      </c>
      <c r="CN147" s="16" t="str">
        <f t="shared" si="213"/>
        <v>N/A</v>
      </c>
      <c r="CO147" s="16" t="str">
        <f t="shared" si="214"/>
        <v>N/A</v>
      </c>
      <c r="CP147" s="16" t="str">
        <f t="shared" si="215"/>
        <v>N/A</v>
      </c>
      <c r="CQ147" s="16" t="str">
        <f t="shared" si="216"/>
        <v>N/A</v>
      </c>
      <c r="CR147" s="16" t="str">
        <f t="shared" si="217"/>
        <v>N/A</v>
      </c>
      <c r="CS147" s="16" t="str">
        <f t="shared" si="218"/>
        <v>N/A</v>
      </c>
      <c r="CT147" s="16" t="str">
        <f t="shared" si="219"/>
        <v>N/A</v>
      </c>
      <c r="CU147" s="16" t="str">
        <f t="shared" si="220"/>
        <v>N/A</v>
      </c>
      <c r="CV147" s="16" t="str">
        <f t="shared" si="221"/>
        <v>N/A</v>
      </c>
      <c r="CW147" s="16" t="str">
        <f t="shared" si="222"/>
        <v>N/A</v>
      </c>
      <c r="CX147" s="16" t="str">
        <f t="shared" si="223"/>
        <v>N/A</v>
      </c>
      <c r="CY147" s="16" t="str">
        <f t="shared" si="224"/>
        <v>N/A</v>
      </c>
    </row>
    <row r="148" spans="2:103" x14ac:dyDescent="0.25">
      <c r="B148" s="2"/>
      <c r="C148" s="6"/>
      <c r="D148" s="6"/>
      <c r="E148" s="7"/>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5"/>
      <c r="BA148" s="5"/>
      <c r="BB148" s="5"/>
      <c r="BC148" s="5"/>
      <c r="BD148" s="5">
        <f t="shared" si="178"/>
        <v>0</v>
      </c>
      <c r="BE148" s="2"/>
      <c r="BF148" s="2" t="str">
        <f t="shared" si="179"/>
        <v>Menos Horas</v>
      </c>
      <c r="BG148" s="2" t="str">
        <f t="shared" si="180"/>
        <v>Carga Lectiva Insuficiente</v>
      </c>
      <c r="BH148" s="16" t="str">
        <f t="shared" si="181"/>
        <v>Cumple</v>
      </c>
      <c r="BI148" s="2" t="str">
        <f t="shared" si="182"/>
        <v>Cumple</v>
      </c>
      <c r="BJ148" s="16" t="str">
        <f t="shared" si="183"/>
        <v>Cumple</v>
      </c>
      <c r="BK148" s="16" t="str">
        <f t="shared" si="184"/>
        <v>N/A</v>
      </c>
      <c r="BL148" s="16" t="str">
        <f t="shared" si="185"/>
        <v>N/A</v>
      </c>
      <c r="BM148" s="16" t="str">
        <f t="shared" si="186"/>
        <v>N/A</v>
      </c>
      <c r="BN148" s="16" t="str">
        <f t="shared" si="187"/>
        <v>N/A</v>
      </c>
      <c r="BO148" s="16" t="str">
        <f t="shared" si="188"/>
        <v>N/A</v>
      </c>
      <c r="BP148" s="16" t="str">
        <f t="shared" si="189"/>
        <v>N/A</v>
      </c>
      <c r="BQ148" s="16" t="str">
        <f t="shared" si="190"/>
        <v>N/A</v>
      </c>
      <c r="BR148" s="16" t="str">
        <f t="shared" si="191"/>
        <v>N/A</v>
      </c>
      <c r="BS148" s="16" t="str">
        <f t="shared" si="192"/>
        <v>N/A</v>
      </c>
      <c r="BT148" s="16" t="str">
        <f t="shared" si="193"/>
        <v>N/A</v>
      </c>
      <c r="BU148" s="16" t="str">
        <f t="shared" si="194"/>
        <v>N/A</v>
      </c>
      <c r="BV148" s="16" t="str">
        <f t="shared" si="195"/>
        <v>N/A</v>
      </c>
      <c r="BW148" s="16" t="str">
        <f t="shared" si="196"/>
        <v>N/A</v>
      </c>
      <c r="BX148" s="16" t="str">
        <f t="shared" si="197"/>
        <v>N/A</v>
      </c>
      <c r="BY148" s="16" t="str">
        <f t="shared" si="198"/>
        <v>N/A</v>
      </c>
      <c r="BZ148" s="16" t="str">
        <f t="shared" si="199"/>
        <v>N/A</v>
      </c>
      <c r="CA148" s="16" t="str">
        <f t="shared" si="200"/>
        <v>N/A</v>
      </c>
      <c r="CB148" s="16" t="str">
        <f t="shared" si="201"/>
        <v>N/A</v>
      </c>
      <c r="CC148" s="16" t="str">
        <f t="shared" si="202"/>
        <v>N/A</v>
      </c>
      <c r="CD148" s="16" t="str">
        <f t="shared" si="203"/>
        <v>N/A</v>
      </c>
      <c r="CE148" s="16" t="str">
        <f t="shared" si="204"/>
        <v>N/A</v>
      </c>
      <c r="CF148" s="16" t="str">
        <f t="shared" si="205"/>
        <v>N/A</v>
      </c>
      <c r="CG148" s="16" t="str">
        <f t="shared" si="206"/>
        <v>N/A</v>
      </c>
      <c r="CH148" s="16" t="str">
        <f t="shared" si="207"/>
        <v>N/A</v>
      </c>
      <c r="CI148" s="16" t="str">
        <f t="shared" si="208"/>
        <v>N/A</v>
      </c>
      <c r="CJ148" s="16" t="str">
        <f t="shared" si="209"/>
        <v>N/A</v>
      </c>
      <c r="CK148" s="16" t="str">
        <f t="shared" si="210"/>
        <v>N/A</v>
      </c>
      <c r="CL148" s="16" t="str">
        <f t="shared" si="211"/>
        <v>N/A</v>
      </c>
      <c r="CM148" s="16" t="str">
        <f t="shared" si="212"/>
        <v>N/A</v>
      </c>
      <c r="CN148" s="16" t="str">
        <f t="shared" si="213"/>
        <v>N/A</v>
      </c>
      <c r="CO148" s="16" t="str">
        <f t="shared" si="214"/>
        <v>N/A</v>
      </c>
      <c r="CP148" s="16" t="str">
        <f t="shared" si="215"/>
        <v>N/A</v>
      </c>
      <c r="CQ148" s="16" t="str">
        <f t="shared" si="216"/>
        <v>N/A</v>
      </c>
      <c r="CR148" s="16" t="str">
        <f t="shared" si="217"/>
        <v>N/A</v>
      </c>
      <c r="CS148" s="16" t="str">
        <f t="shared" si="218"/>
        <v>N/A</v>
      </c>
      <c r="CT148" s="16" t="str">
        <f t="shared" si="219"/>
        <v>N/A</v>
      </c>
      <c r="CU148" s="16" t="str">
        <f t="shared" si="220"/>
        <v>N/A</v>
      </c>
      <c r="CV148" s="16" t="str">
        <f t="shared" si="221"/>
        <v>N/A</v>
      </c>
      <c r="CW148" s="16" t="str">
        <f t="shared" si="222"/>
        <v>N/A</v>
      </c>
      <c r="CX148" s="16" t="str">
        <f t="shared" si="223"/>
        <v>N/A</v>
      </c>
      <c r="CY148" s="16" t="str">
        <f t="shared" si="224"/>
        <v>N/A</v>
      </c>
    </row>
    <row r="149" spans="2:103" x14ac:dyDescent="0.25">
      <c r="B149" s="2"/>
      <c r="C149" s="6"/>
      <c r="D149" s="6"/>
      <c r="E149" s="7"/>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5"/>
      <c r="BA149" s="5"/>
      <c r="BB149" s="5"/>
      <c r="BC149" s="5"/>
      <c r="BD149" s="5">
        <f t="shared" si="178"/>
        <v>0</v>
      </c>
      <c r="BE149" s="2"/>
      <c r="BF149" s="2" t="str">
        <f t="shared" si="179"/>
        <v>Menos Horas</v>
      </c>
      <c r="BG149" s="2" t="str">
        <f t="shared" si="180"/>
        <v>Carga Lectiva Insuficiente</v>
      </c>
      <c r="BH149" s="16" t="str">
        <f t="shared" si="181"/>
        <v>Cumple</v>
      </c>
      <c r="BI149" s="2" t="str">
        <f t="shared" si="182"/>
        <v>Cumple</v>
      </c>
      <c r="BJ149" s="16" t="str">
        <f t="shared" si="183"/>
        <v>Cumple</v>
      </c>
      <c r="BK149" s="16" t="str">
        <f t="shared" si="184"/>
        <v>N/A</v>
      </c>
      <c r="BL149" s="16" t="str">
        <f t="shared" si="185"/>
        <v>N/A</v>
      </c>
      <c r="BM149" s="16" t="str">
        <f t="shared" si="186"/>
        <v>N/A</v>
      </c>
      <c r="BN149" s="16" t="str">
        <f t="shared" si="187"/>
        <v>N/A</v>
      </c>
      <c r="BO149" s="16" t="str">
        <f t="shared" si="188"/>
        <v>N/A</v>
      </c>
      <c r="BP149" s="16" t="str">
        <f t="shared" si="189"/>
        <v>N/A</v>
      </c>
      <c r="BQ149" s="16" t="str">
        <f t="shared" si="190"/>
        <v>N/A</v>
      </c>
      <c r="BR149" s="16" t="str">
        <f t="shared" si="191"/>
        <v>N/A</v>
      </c>
      <c r="BS149" s="16" t="str">
        <f t="shared" si="192"/>
        <v>N/A</v>
      </c>
      <c r="BT149" s="16" t="str">
        <f t="shared" si="193"/>
        <v>N/A</v>
      </c>
      <c r="BU149" s="16" t="str">
        <f t="shared" si="194"/>
        <v>N/A</v>
      </c>
      <c r="BV149" s="16" t="str">
        <f t="shared" si="195"/>
        <v>N/A</v>
      </c>
      <c r="BW149" s="16" t="str">
        <f t="shared" si="196"/>
        <v>N/A</v>
      </c>
      <c r="BX149" s="16" t="str">
        <f t="shared" si="197"/>
        <v>N/A</v>
      </c>
      <c r="BY149" s="16" t="str">
        <f t="shared" si="198"/>
        <v>N/A</v>
      </c>
      <c r="BZ149" s="16" t="str">
        <f t="shared" si="199"/>
        <v>N/A</v>
      </c>
      <c r="CA149" s="16" t="str">
        <f t="shared" si="200"/>
        <v>N/A</v>
      </c>
      <c r="CB149" s="16" t="str">
        <f t="shared" si="201"/>
        <v>N/A</v>
      </c>
      <c r="CC149" s="16" t="str">
        <f t="shared" si="202"/>
        <v>N/A</v>
      </c>
      <c r="CD149" s="16" t="str">
        <f t="shared" si="203"/>
        <v>N/A</v>
      </c>
      <c r="CE149" s="16" t="str">
        <f t="shared" si="204"/>
        <v>N/A</v>
      </c>
      <c r="CF149" s="16" t="str">
        <f t="shared" si="205"/>
        <v>N/A</v>
      </c>
      <c r="CG149" s="16" t="str">
        <f t="shared" si="206"/>
        <v>N/A</v>
      </c>
      <c r="CH149" s="16" t="str">
        <f t="shared" si="207"/>
        <v>N/A</v>
      </c>
      <c r="CI149" s="16" t="str">
        <f t="shared" si="208"/>
        <v>N/A</v>
      </c>
      <c r="CJ149" s="16" t="str">
        <f t="shared" si="209"/>
        <v>N/A</v>
      </c>
      <c r="CK149" s="16" t="str">
        <f t="shared" si="210"/>
        <v>N/A</v>
      </c>
      <c r="CL149" s="16" t="str">
        <f t="shared" si="211"/>
        <v>N/A</v>
      </c>
      <c r="CM149" s="16" t="str">
        <f t="shared" si="212"/>
        <v>N/A</v>
      </c>
      <c r="CN149" s="16" t="str">
        <f t="shared" si="213"/>
        <v>N/A</v>
      </c>
      <c r="CO149" s="16" t="str">
        <f t="shared" si="214"/>
        <v>N/A</v>
      </c>
      <c r="CP149" s="16" t="str">
        <f t="shared" si="215"/>
        <v>N/A</v>
      </c>
      <c r="CQ149" s="16" t="str">
        <f t="shared" si="216"/>
        <v>N/A</v>
      </c>
      <c r="CR149" s="16" t="str">
        <f t="shared" si="217"/>
        <v>N/A</v>
      </c>
      <c r="CS149" s="16" t="str">
        <f t="shared" si="218"/>
        <v>N/A</v>
      </c>
      <c r="CT149" s="16" t="str">
        <f t="shared" si="219"/>
        <v>N/A</v>
      </c>
      <c r="CU149" s="16" t="str">
        <f t="shared" si="220"/>
        <v>N/A</v>
      </c>
      <c r="CV149" s="16" t="str">
        <f t="shared" si="221"/>
        <v>N/A</v>
      </c>
      <c r="CW149" s="16" t="str">
        <f t="shared" si="222"/>
        <v>N/A</v>
      </c>
      <c r="CX149" s="16" t="str">
        <f t="shared" si="223"/>
        <v>N/A</v>
      </c>
      <c r="CY149" s="16" t="str">
        <f t="shared" si="224"/>
        <v>N/A</v>
      </c>
    </row>
    <row r="150" spans="2:103" x14ac:dyDescent="0.25">
      <c r="B150" s="2"/>
      <c r="C150" s="6"/>
      <c r="D150" s="6"/>
      <c r="E150" s="7"/>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5"/>
      <c r="BA150" s="5"/>
      <c r="BB150" s="5"/>
      <c r="BC150" s="5"/>
      <c r="BD150" s="5">
        <f t="shared" si="178"/>
        <v>0</v>
      </c>
      <c r="BE150" s="2"/>
      <c r="BF150" s="2" t="str">
        <f t="shared" si="179"/>
        <v>Menos Horas</v>
      </c>
      <c r="BG150" s="2" t="str">
        <f t="shared" si="180"/>
        <v>Carga Lectiva Insuficiente</v>
      </c>
      <c r="BH150" s="16" t="str">
        <f t="shared" si="181"/>
        <v>Cumple</v>
      </c>
      <c r="BI150" s="2" t="str">
        <f t="shared" si="182"/>
        <v>Cumple</v>
      </c>
      <c r="BJ150" s="16" t="str">
        <f t="shared" si="183"/>
        <v>Cumple</v>
      </c>
      <c r="BK150" s="16" t="str">
        <f t="shared" si="184"/>
        <v>N/A</v>
      </c>
      <c r="BL150" s="16" t="str">
        <f t="shared" si="185"/>
        <v>N/A</v>
      </c>
      <c r="BM150" s="16" t="str">
        <f t="shared" si="186"/>
        <v>N/A</v>
      </c>
      <c r="BN150" s="16" t="str">
        <f t="shared" si="187"/>
        <v>N/A</v>
      </c>
      <c r="BO150" s="16" t="str">
        <f t="shared" si="188"/>
        <v>N/A</v>
      </c>
      <c r="BP150" s="16" t="str">
        <f t="shared" si="189"/>
        <v>N/A</v>
      </c>
      <c r="BQ150" s="16" t="str">
        <f t="shared" si="190"/>
        <v>N/A</v>
      </c>
      <c r="BR150" s="16" t="str">
        <f t="shared" si="191"/>
        <v>N/A</v>
      </c>
      <c r="BS150" s="16" t="str">
        <f t="shared" si="192"/>
        <v>N/A</v>
      </c>
      <c r="BT150" s="16" t="str">
        <f t="shared" si="193"/>
        <v>N/A</v>
      </c>
      <c r="BU150" s="16" t="str">
        <f t="shared" si="194"/>
        <v>N/A</v>
      </c>
      <c r="BV150" s="16" t="str">
        <f t="shared" si="195"/>
        <v>N/A</v>
      </c>
      <c r="BW150" s="16" t="str">
        <f t="shared" si="196"/>
        <v>N/A</v>
      </c>
      <c r="BX150" s="16" t="str">
        <f t="shared" si="197"/>
        <v>N/A</v>
      </c>
      <c r="BY150" s="16" t="str">
        <f t="shared" si="198"/>
        <v>N/A</v>
      </c>
      <c r="BZ150" s="16" t="str">
        <f t="shared" si="199"/>
        <v>N/A</v>
      </c>
      <c r="CA150" s="16" t="str">
        <f t="shared" si="200"/>
        <v>N/A</v>
      </c>
      <c r="CB150" s="16" t="str">
        <f t="shared" si="201"/>
        <v>N/A</v>
      </c>
      <c r="CC150" s="16" t="str">
        <f t="shared" si="202"/>
        <v>N/A</v>
      </c>
      <c r="CD150" s="16" t="str">
        <f t="shared" si="203"/>
        <v>N/A</v>
      </c>
      <c r="CE150" s="16" t="str">
        <f t="shared" si="204"/>
        <v>N/A</v>
      </c>
      <c r="CF150" s="16" t="str">
        <f t="shared" si="205"/>
        <v>N/A</v>
      </c>
      <c r="CG150" s="16" t="str">
        <f t="shared" si="206"/>
        <v>N/A</v>
      </c>
      <c r="CH150" s="16" t="str">
        <f t="shared" si="207"/>
        <v>N/A</v>
      </c>
      <c r="CI150" s="16" t="str">
        <f t="shared" si="208"/>
        <v>N/A</v>
      </c>
      <c r="CJ150" s="16" t="str">
        <f t="shared" si="209"/>
        <v>N/A</v>
      </c>
      <c r="CK150" s="16" t="str">
        <f t="shared" si="210"/>
        <v>N/A</v>
      </c>
      <c r="CL150" s="16" t="str">
        <f t="shared" si="211"/>
        <v>N/A</v>
      </c>
      <c r="CM150" s="16" t="str">
        <f t="shared" si="212"/>
        <v>N/A</v>
      </c>
      <c r="CN150" s="16" t="str">
        <f t="shared" si="213"/>
        <v>N/A</v>
      </c>
      <c r="CO150" s="16" t="str">
        <f t="shared" si="214"/>
        <v>N/A</v>
      </c>
      <c r="CP150" s="16" t="str">
        <f t="shared" si="215"/>
        <v>N/A</v>
      </c>
      <c r="CQ150" s="16" t="str">
        <f t="shared" si="216"/>
        <v>N/A</v>
      </c>
      <c r="CR150" s="16" t="str">
        <f t="shared" si="217"/>
        <v>N/A</v>
      </c>
      <c r="CS150" s="16" t="str">
        <f t="shared" si="218"/>
        <v>N/A</v>
      </c>
      <c r="CT150" s="16" t="str">
        <f t="shared" si="219"/>
        <v>N/A</v>
      </c>
      <c r="CU150" s="16" t="str">
        <f t="shared" si="220"/>
        <v>N/A</v>
      </c>
      <c r="CV150" s="16" t="str">
        <f t="shared" si="221"/>
        <v>N/A</v>
      </c>
      <c r="CW150" s="16" t="str">
        <f t="shared" si="222"/>
        <v>N/A</v>
      </c>
      <c r="CX150" s="16" t="str">
        <f t="shared" si="223"/>
        <v>N/A</v>
      </c>
      <c r="CY150" s="16" t="str">
        <f t="shared" si="224"/>
        <v>N/A</v>
      </c>
    </row>
    <row r="151" spans="2:103" x14ac:dyDescent="0.25">
      <c r="B151" s="2"/>
      <c r="C151" s="6"/>
      <c r="D151" s="6"/>
      <c r="E151" s="7"/>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5"/>
      <c r="BA151" s="5"/>
      <c r="BB151" s="5"/>
      <c r="BC151" s="5"/>
      <c r="BD151" s="5">
        <f t="shared" si="178"/>
        <v>0</v>
      </c>
      <c r="BE151" s="2"/>
      <c r="BF151" s="2" t="str">
        <f t="shared" si="179"/>
        <v>Menos Horas</v>
      </c>
      <c r="BG151" s="2" t="str">
        <f t="shared" si="180"/>
        <v>Carga Lectiva Insuficiente</v>
      </c>
      <c r="BH151" s="16" t="str">
        <f t="shared" si="181"/>
        <v>Cumple</v>
      </c>
      <c r="BI151" s="2" t="str">
        <f t="shared" si="182"/>
        <v>Cumple</v>
      </c>
      <c r="BJ151" s="16" t="str">
        <f t="shared" si="183"/>
        <v>Cumple</v>
      </c>
      <c r="BK151" s="16" t="str">
        <f t="shared" si="184"/>
        <v>N/A</v>
      </c>
      <c r="BL151" s="16" t="str">
        <f t="shared" si="185"/>
        <v>N/A</v>
      </c>
      <c r="BM151" s="16" t="str">
        <f t="shared" si="186"/>
        <v>N/A</v>
      </c>
      <c r="BN151" s="16" t="str">
        <f t="shared" si="187"/>
        <v>N/A</v>
      </c>
      <c r="BO151" s="16" t="str">
        <f t="shared" si="188"/>
        <v>N/A</v>
      </c>
      <c r="BP151" s="16" t="str">
        <f t="shared" si="189"/>
        <v>N/A</v>
      </c>
      <c r="BQ151" s="16" t="str">
        <f t="shared" si="190"/>
        <v>N/A</v>
      </c>
      <c r="BR151" s="16" t="str">
        <f t="shared" si="191"/>
        <v>N/A</v>
      </c>
      <c r="BS151" s="16" t="str">
        <f t="shared" si="192"/>
        <v>N/A</v>
      </c>
      <c r="BT151" s="16" t="str">
        <f t="shared" si="193"/>
        <v>N/A</v>
      </c>
      <c r="BU151" s="16" t="str">
        <f t="shared" si="194"/>
        <v>N/A</v>
      </c>
      <c r="BV151" s="16" t="str">
        <f t="shared" si="195"/>
        <v>N/A</v>
      </c>
      <c r="BW151" s="16" t="str">
        <f t="shared" si="196"/>
        <v>N/A</v>
      </c>
      <c r="BX151" s="16" t="str">
        <f t="shared" si="197"/>
        <v>N/A</v>
      </c>
      <c r="BY151" s="16" t="str">
        <f t="shared" si="198"/>
        <v>N/A</v>
      </c>
      <c r="BZ151" s="16" t="str">
        <f t="shared" si="199"/>
        <v>N/A</v>
      </c>
      <c r="CA151" s="16" t="str">
        <f t="shared" si="200"/>
        <v>N/A</v>
      </c>
      <c r="CB151" s="16" t="str">
        <f t="shared" si="201"/>
        <v>N/A</v>
      </c>
      <c r="CC151" s="16" t="str">
        <f t="shared" si="202"/>
        <v>N/A</v>
      </c>
      <c r="CD151" s="16" t="str">
        <f t="shared" si="203"/>
        <v>N/A</v>
      </c>
      <c r="CE151" s="16" t="str">
        <f t="shared" si="204"/>
        <v>N/A</v>
      </c>
      <c r="CF151" s="16" t="str">
        <f t="shared" si="205"/>
        <v>N/A</v>
      </c>
      <c r="CG151" s="16" t="str">
        <f t="shared" si="206"/>
        <v>N/A</v>
      </c>
      <c r="CH151" s="16" t="str">
        <f t="shared" si="207"/>
        <v>N/A</v>
      </c>
      <c r="CI151" s="16" t="str">
        <f t="shared" si="208"/>
        <v>N/A</v>
      </c>
      <c r="CJ151" s="16" t="str">
        <f t="shared" si="209"/>
        <v>N/A</v>
      </c>
      <c r="CK151" s="16" t="str">
        <f t="shared" si="210"/>
        <v>N/A</v>
      </c>
      <c r="CL151" s="16" t="str">
        <f t="shared" si="211"/>
        <v>N/A</v>
      </c>
      <c r="CM151" s="16" t="str">
        <f t="shared" si="212"/>
        <v>N/A</v>
      </c>
      <c r="CN151" s="16" t="str">
        <f t="shared" si="213"/>
        <v>N/A</v>
      </c>
      <c r="CO151" s="16" t="str">
        <f t="shared" si="214"/>
        <v>N/A</v>
      </c>
      <c r="CP151" s="16" t="str">
        <f t="shared" si="215"/>
        <v>N/A</v>
      </c>
      <c r="CQ151" s="16" t="str">
        <f t="shared" si="216"/>
        <v>N/A</v>
      </c>
      <c r="CR151" s="16" t="str">
        <f t="shared" si="217"/>
        <v>N/A</v>
      </c>
      <c r="CS151" s="16" t="str">
        <f t="shared" si="218"/>
        <v>N/A</v>
      </c>
      <c r="CT151" s="16" t="str">
        <f t="shared" si="219"/>
        <v>N/A</v>
      </c>
      <c r="CU151" s="16" t="str">
        <f t="shared" si="220"/>
        <v>N/A</v>
      </c>
      <c r="CV151" s="16" t="str">
        <f t="shared" si="221"/>
        <v>N/A</v>
      </c>
      <c r="CW151" s="16" t="str">
        <f t="shared" si="222"/>
        <v>N/A</v>
      </c>
      <c r="CX151" s="16" t="str">
        <f t="shared" si="223"/>
        <v>N/A</v>
      </c>
      <c r="CY151" s="16" t="str">
        <f t="shared" si="224"/>
        <v>N/A</v>
      </c>
    </row>
    <row r="152" spans="2:103" x14ac:dyDescent="0.25">
      <c r="B152" s="2"/>
      <c r="C152" s="6"/>
      <c r="D152" s="6"/>
      <c r="E152" s="7"/>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5"/>
      <c r="BA152" s="5"/>
      <c r="BB152" s="5"/>
      <c r="BC152" s="5"/>
      <c r="BD152" s="5">
        <f t="shared" si="178"/>
        <v>0</v>
      </c>
      <c r="BE152" s="2"/>
      <c r="BF152" s="2" t="str">
        <f t="shared" si="179"/>
        <v>Menos Horas</v>
      </c>
      <c r="BG152" s="2" t="str">
        <f t="shared" si="180"/>
        <v>Carga Lectiva Insuficiente</v>
      </c>
      <c r="BH152" s="16" t="str">
        <f t="shared" si="181"/>
        <v>Cumple</v>
      </c>
      <c r="BI152" s="2" t="str">
        <f t="shared" si="182"/>
        <v>Cumple</v>
      </c>
      <c r="BJ152" s="16" t="str">
        <f t="shared" si="183"/>
        <v>Cumple</v>
      </c>
      <c r="BK152" s="16" t="str">
        <f t="shared" si="184"/>
        <v>N/A</v>
      </c>
      <c r="BL152" s="16" t="str">
        <f t="shared" si="185"/>
        <v>N/A</v>
      </c>
      <c r="BM152" s="16" t="str">
        <f t="shared" si="186"/>
        <v>N/A</v>
      </c>
      <c r="BN152" s="16" t="str">
        <f t="shared" si="187"/>
        <v>N/A</v>
      </c>
      <c r="BO152" s="16" t="str">
        <f t="shared" si="188"/>
        <v>N/A</v>
      </c>
      <c r="BP152" s="16" t="str">
        <f t="shared" si="189"/>
        <v>N/A</v>
      </c>
      <c r="BQ152" s="16" t="str">
        <f t="shared" si="190"/>
        <v>N/A</v>
      </c>
      <c r="BR152" s="16" t="str">
        <f t="shared" si="191"/>
        <v>N/A</v>
      </c>
      <c r="BS152" s="16" t="str">
        <f t="shared" si="192"/>
        <v>N/A</v>
      </c>
      <c r="BT152" s="16" t="str">
        <f t="shared" si="193"/>
        <v>N/A</v>
      </c>
      <c r="BU152" s="16" t="str">
        <f t="shared" si="194"/>
        <v>N/A</v>
      </c>
      <c r="BV152" s="16" t="str">
        <f t="shared" si="195"/>
        <v>N/A</v>
      </c>
      <c r="BW152" s="16" t="str">
        <f t="shared" si="196"/>
        <v>N/A</v>
      </c>
      <c r="BX152" s="16" t="str">
        <f t="shared" si="197"/>
        <v>N/A</v>
      </c>
      <c r="BY152" s="16" t="str">
        <f t="shared" si="198"/>
        <v>N/A</v>
      </c>
      <c r="BZ152" s="16" t="str">
        <f t="shared" si="199"/>
        <v>N/A</v>
      </c>
      <c r="CA152" s="16" t="str">
        <f t="shared" si="200"/>
        <v>N/A</v>
      </c>
      <c r="CB152" s="16" t="str">
        <f t="shared" si="201"/>
        <v>N/A</v>
      </c>
      <c r="CC152" s="16" t="str">
        <f t="shared" si="202"/>
        <v>N/A</v>
      </c>
      <c r="CD152" s="16" t="str">
        <f t="shared" si="203"/>
        <v>N/A</v>
      </c>
      <c r="CE152" s="16" t="str">
        <f t="shared" si="204"/>
        <v>N/A</v>
      </c>
      <c r="CF152" s="16" t="str">
        <f t="shared" si="205"/>
        <v>N/A</v>
      </c>
      <c r="CG152" s="16" t="str">
        <f t="shared" si="206"/>
        <v>N/A</v>
      </c>
      <c r="CH152" s="16" t="str">
        <f t="shared" si="207"/>
        <v>N/A</v>
      </c>
      <c r="CI152" s="16" t="str">
        <f t="shared" si="208"/>
        <v>N/A</v>
      </c>
      <c r="CJ152" s="16" t="str">
        <f t="shared" si="209"/>
        <v>N/A</v>
      </c>
      <c r="CK152" s="16" t="str">
        <f t="shared" si="210"/>
        <v>N/A</v>
      </c>
      <c r="CL152" s="16" t="str">
        <f t="shared" si="211"/>
        <v>N/A</v>
      </c>
      <c r="CM152" s="16" t="str">
        <f t="shared" si="212"/>
        <v>N/A</v>
      </c>
      <c r="CN152" s="16" t="str">
        <f t="shared" si="213"/>
        <v>N/A</v>
      </c>
      <c r="CO152" s="16" t="str">
        <f t="shared" si="214"/>
        <v>N/A</v>
      </c>
      <c r="CP152" s="16" t="str">
        <f t="shared" si="215"/>
        <v>N/A</v>
      </c>
      <c r="CQ152" s="16" t="str">
        <f t="shared" si="216"/>
        <v>N/A</v>
      </c>
      <c r="CR152" s="16" t="str">
        <f t="shared" si="217"/>
        <v>N/A</v>
      </c>
      <c r="CS152" s="16" t="str">
        <f t="shared" si="218"/>
        <v>N/A</v>
      </c>
      <c r="CT152" s="16" t="str">
        <f t="shared" si="219"/>
        <v>N/A</v>
      </c>
      <c r="CU152" s="16" t="str">
        <f t="shared" si="220"/>
        <v>N/A</v>
      </c>
      <c r="CV152" s="16" t="str">
        <f t="shared" si="221"/>
        <v>N/A</v>
      </c>
      <c r="CW152" s="16" t="str">
        <f t="shared" si="222"/>
        <v>N/A</v>
      </c>
      <c r="CX152" s="16" t="str">
        <f t="shared" si="223"/>
        <v>N/A</v>
      </c>
      <c r="CY152" s="16" t="str">
        <f t="shared" si="224"/>
        <v>N/A</v>
      </c>
    </row>
    <row r="153" spans="2:103" x14ac:dyDescent="0.25">
      <c r="B153" s="2"/>
      <c r="C153" s="6"/>
      <c r="D153" s="6"/>
      <c r="E153" s="7"/>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5"/>
      <c r="BA153" s="5"/>
      <c r="BB153" s="5"/>
      <c r="BC153" s="5"/>
      <c r="BD153" s="5">
        <f t="shared" si="178"/>
        <v>0</v>
      </c>
      <c r="BE153" s="9" t="s">
        <v>74</v>
      </c>
      <c r="BF153" s="2" t="str">
        <f t="shared" si="179"/>
        <v>Menos Horas</v>
      </c>
      <c r="BG153" s="2" t="str">
        <f t="shared" si="180"/>
        <v>Carga Lectiva Insuficiente</v>
      </c>
      <c r="BH153" s="16" t="str">
        <f t="shared" si="181"/>
        <v>Cumple</v>
      </c>
      <c r="BI153" s="2" t="str">
        <f t="shared" si="182"/>
        <v>Cumple</v>
      </c>
      <c r="BJ153" s="16" t="str">
        <f t="shared" si="183"/>
        <v>Cumple</v>
      </c>
      <c r="BK153" s="16" t="str">
        <f t="shared" si="184"/>
        <v>N/A</v>
      </c>
      <c r="BL153" s="16" t="str">
        <f t="shared" si="185"/>
        <v>N/A</v>
      </c>
      <c r="BM153" s="16" t="str">
        <f t="shared" si="186"/>
        <v>N/A</v>
      </c>
      <c r="BN153" s="16" t="str">
        <f t="shared" si="187"/>
        <v>N/A</v>
      </c>
      <c r="BO153" s="16" t="str">
        <f t="shared" si="188"/>
        <v>N/A</v>
      </c>
      <c r="BP153" s="16" t="str">
        <f t="shared" si="189"/>
        <v>N/A</v>
      </c>
      <c r="BQ153" s="16" t="str">
        <f t="shared" si="190"/>
        <v>N/A</v>
      </c>
      <c r="BR153" s="16" t="str">
        <f t="shared" si="191"/>
        <v>N/A</v>
      </c>
      <c r="BS153" s="16" t="str">
        <f t="shared" si="192"/>
        <v>N/A</v>
      </c>
      <c r="BT153" s="16" t="str">
        <f t="shared" si="193"/>
        <v>N/A</v>
      </c>
      <c r="BU153" s="16" t="str">
        <f t="shared" si="194"/>
        <v>N/A</v>
      </c>
      <c r="BV153" s="16" t="str">
        <f t="shared" si="195"/>
        <v>N/A</v>
      </c>
      <c r="BW153" s="16" t="str">
        <f t="shared" si="196"/>
        <v>N/A</v>
      </c>
      <c r="BX153" s="16" t="str">
        <f t="shared" si="197"/>
        <v>N/A</v>
      </c>
      <c r="BY153" s="16" t="str">
        <f t="shared" si="198"/>
        <v>N/A</v>
      </c>
      <c r="BZ153" s="16" t="str">
        <f t="shared" si="199"/>
        <v>N/A</v>
      </c>
      <c r="CA153" s="16" t="str">
        <f t="shared" si="200"/>
        <v>N/A</v>
      </c>
      <c r="CB153" s="16" t="str">
        <f t="shared" si="201"/>
        <v>N/A</v>
      </c>
      <c r="CC153" s="16" t="str">
        <f t="shared" si="202"/>
        <v>N/A</v>
      </c>
      <c r="CD153" s="16" t="str">
        <f t="shared" si="203"/>
        <v>N/A</v>
      </c>
      <c r="CE153" s="16" t="str">
        <f t="shared" si="204"/>
        <v>N/A</v>
      </c>
      <c r="CF153" s="16" t="str">
        <f t="shared" si="205"/>
        <v>N/A</v>
      </c>
      <c r="CG153" s="16" t="str">
        <f t="shared" si="206"/>
        <v>N/A</v>
      </c>
      <c r="CH153" s="16" t="str">
        <f t="shared" si="207"/>
        <v>N/A</v>
      </c>
      <c r="CI153" s="16" t="str">
        <f t="shared" si="208"/>
        <v>N/A</v>
      </c>
      <c r="CJ153" s="16" t="str">
        <f t="shared" si="209"/>
        <v>N/A</v>
      </c>
      <c r="CK153" s="16" t="str">
        <f t="shared" si="210"/>
        <v>N/A</v>
      </c>
      <c r="CL153" s="16" t="str">
        <f t="shared" si="211"/>
        <v>N/A</v>
      </c>
      <c r="CM153" s="16" t="str">
        <f t="shared" si="212"/>
        <v>N/A</v>
      </c>
      <c r="CN153" s="16" t="str">
        <f t="shared" si="213"/>
        <v>N/A</v>
      </c>
      <c r="CO153" s="16" t="str">
        <f t="shared" si="214"/>
        <v>N/A</v>
      </c>
      <c r="CP153" s="16" t="str">
        <f t="shared" si="215"/>
        <v>N/A</v>
      </c>
      <c r="CQ153" s="16" t="str">
        <f t="shared" si="216"/>
        <v>N/A</v>
      </c>
      <c r="CR153" s="16" t="str">
        <f t="shared" si="217"/>
        <v>N/A</v>
      </c>
      <c r="CS153" s="16" t="str">
        <f t="shared" si="218"/>
        <v>N/A</v>
      </c>
      <c r="CT153" s="16" t="str">
        <f t="shared" si="219"/>
        <v>N/A</v>
      </c>
      <c r="CU153" s="16" t="str">
        <f t="shared" si="220"/>
        <v>N/A</v>
      </c>
      <c r="CV153" s="16" t="str">
        <f t="shared" si="221"/>
        <v>N/A</v>
      </c>
      <c r="CW153" s="16" t="str">
        <f t="shared" si="222"/>
        <v>N/A</v>
      </c>
      <c r="CX153" s="16" t="str">
        <f t="shared" si="223"/>
        <v>N/A</v>
      </c>
      <c r="CY153" s="16" t="str">
        <f t="shared" si="224"/>
        <v>N/A</v>
      </c>
    </row>
    <row r="154" spans="2:103" x14ac:dyDescent="0.25">
      <c r="B154" s="2"/>
      <c r="C154" s="6"/>
      <c r="D154" s="6"/>
      <c r="E154" s="7"/>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5"/>
      <c r="BA154" s="5"/>
      <c r="BB154" s="5"/>
      <c r="BC154" s="5"/>
      <c r="BD154" s="5">
        <f t="shared" si="178"/>
        <v>0</v>
      </c>
      <c r="BE154" s="2"/>
      <c r="BF154" s="2" t="str">
        <f t="shared" si="179"/>
        <v>Menos Horas</v>
      </c>
      <c r="BG154" s="2" t="str">
        <f t="shared" si="180"/>
        <v>Carga Lectiva Insuficiente</v>
      </c>
      <c r="BH154" s="16" t="str">
        <f t="shared" si="181"/>
        <v>Cumple</v>
      </c>
      <c r="BI154" s="2" t="str">
        <f t="shared" si="182"/>
        <v>Cumple</v>
      </c>
      <c r="BJ154" s="16" t="str">
        <f t="shared" si="183"/>
        <v>Cumple</v>
      </c>
      <c r="BK154" s="16" t="str">
        <f t="shared" si="184"/>
        <v>N/A</v>
      </c>
      <c r="BL154" s="16" t="str">
        <f t="shared" si="185"/>
        <v>N/A</v>
      </c>
      <c r="BM154" s="16" t="str">
        <f t="shared" si="186"/>
        <v>N/A</v>
      </c>
      <c r="BN154" s="16" t="str">
        <f t="shared" si="187"/>
        <v>N/A</v>
      </c>
      <c r="BO154" s="16" t="str">
        <f t="shared" si="188"/>
        <v>N/A</v>
      </c>
      <c r="BP154" s="16" t="str">
        <f t="shared" si="189"/>
        <v>N/A</v>
      </c>
      <c r="BQ154" s="16" t="str">
        <f t="shared" si="190"/>
        <v>N/A</v>
      </c>
      <c r="BR154" s="16" t="str">
        <f t="shared" si="191"/>
        <v>N/A</v>
      </c>
      <c r="BS154" s="16" t="str">
        <f t="shared" si="192"/>
        <v>N/A</v>
      </c>
      <c r="BT154" s="16" t="str">
        <f t="shared" si="193"/>
        <v>N/A</v>
      </c>
      <c r="BU154" s="16" t="str">
        <f t="shared" si="194"/>
        <v>N/A</v>
      </c>
      <c r="BV154" s="16" t="str">
        <f t="shared" si="195"/>
        <v>N/A</v>
      </c>
      <c r="BW154" s="16" t="str">
        <f t="shared" si="196"/>
        <v>N/A</v>
      </c>
      <c r="BX154" s="16" t="str">
        <f t="shared" si="197"/>
        <v>N/A</v>
      </c>
      <c r="BY154" s="16" t="str">
        <f t="shared" si="198"/>
        <v>N/A</v>
      </c>
      <c r="BZ154" s="16" t="str">
        <f t="shared" si="199"/>
        <v>N/A</v>
      </c>
      <c r="CA154" s="16" t="str">
        <f t="shared" si="200"/>
        <v>N/A</v>
      </c>
      <c r="CB154" s="16" t="str">
        <f t="shared" si="201"/>
        <v>N/A</v>
      </c>
      <c r="CC154" s="16" t="str">
        <f t="shared" si="202"/>
        <v>N/A</v>
      </c>
      <c r="CD154" s="16" t="str">
        <f t="shared" si="203"/>
        <v>N/A</v>
      </c>
      <c r="CE154" s="16" t="str">
        <f t="shared" si="204"/>
        <v>N/A</v>
      </c>
      <c r="CF154" s="16" t="str">
        <f t="shared" si="205"/>
        <v>N/A</v>
      </c>
      <c r="CG154" s="16" t="str">
        <f t="shared" si="206"/>
        <v>N/A</v>
      </c>
      <c r="CH154" s="16" t="str">
        <f t="shared" si="207"/>
        <v>N/A</v>
      </c>
      <c r="CI154" s="16" t="str">
        <f t="shared" si="208"/>
        <v>N/A</v>
      </c>
      <c r="CJ154" s="16" t="str">
        <f t="shared" si="209"/>
        <v>N/A</v>
      </c>
      <c r="CK154" s="16" t="str">
        <f t="shared" si="210"/>
        <v>N/A</v>
      </c>
      <c r="CL154" s="16" t="str">
        <f t="shared" si="211"/>
        <v>N/A</v>
      </c>
      <c r="CM154" s="16" t="str">
        <f t="shared" si="212"/>
        <v>N/A</v>
      </c>
      <c r="CN154" s="16" t="str">
        <f t="shared" si="213"/>
        <v>N/A</v>
      </c>
      <c r="CO154" s="16" t="str">
        <f t="shared" si="214"/>
        <v>N/A</v>
      </c>
      <c r="CP154" s="16" t="str">
        <f t="shared" si="215"/>
        <v>N/A</v>
      </c>
      <c r="CQ154" s="16" t="str">
        <f t="shared" si="216"/>
        <v>N/A</v>
      </c>
      <c r="CR154" s="16" t="str">
        <f t="shared" si="217"/>
        <v>N/A</v>
      </c>
      <c r="CS154" s="16" t="str">
        <f t="shared" si="218"/>
        <v>N/A</v>
      </c>
      <c r="CT154" s="16" t="str">
        <f t="shared" si="219"/>
        <v>N/A</v>
      </c>
      <c r="CU154" s="16" t="str">
        <f t="shared" si="220"/>
        <v>N/A</v>
      </c>
      <c r="CV154" s="16" t="str">
        <f t="shared" si="221"/>
        <v>N/A</v>
      </c>
      <c r="CW154" s="16" t="str">
        <f t="shared" si="222"/>
        <v>N/A</v>
      </c>
      <c r="CX154" s="16" t="str">
        <f t="shared" si="223"/>
        <v>N/A</v>
      </c>
      <c r="CY154" s="16" t="str">
        <f t="shared" si="224"/>
        <v>N/A</v>
      </c>
    </row>
    <row r="155" spans="2:103" x14ac:dyDescent="0.25">
      <c r="B155" s="2"/>
      <c r="C155" s="6"/>
      <c r="D155" s="6"/>
      <c r="E155" s="7"/>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5"/>
      <c r="BA155" s="5"/>
      <c r="BB155" s="5"/>
      <c r="BC155" s="5"/>
      <c r="BD155" s="5">
        <f t="shared" si="178"/>
        <v>0</v>
      </c>
      <c r="BE155" s="2"/>
      <c r="BF155" s="2" t="str">
        <f t="shared" si="179"/>
        <v>Menos Horas</v>
      </c>
      <c r="BG155" s="2" t="str">
        <f t="shared" si="180"/>
        <v>Carga Lectiva Insuficiente</v>
      </c>
      <c r="BH155" s="16" t="str">
        <f t="shared" si="181"/>
        <v>Cumple</v>
      </c>
      <c r="BI155" s="2" t="str">
        <f t="shared" si="182"/>
        <v>Cumple</v>
      </c>
      <c r="BJ155" s="16" t="str">
        <f t="shared" si="183"/>
        <v>Cumple</v>
      </c>
      <c r="BK155" s="16" t="str">
        <f t="shared" si="184"/>
        <v>N/A</v>
      </c>
      <c r="BL155" s="16" t="str">
        <f t="shared" si="185"/>
        <v>N/A</v>
      </c>
      <c r="BM155" s="16" t="str">
        <f t="shared" si="186"/>
        <v>N/A</v>
      </c>
      <c r="BN155" s="16" t="str">
        <f t="shared" si="187"/>
        <v>N/A</v>
      </c>
      <c r="BO155" s="16" t="str">
        <f t="shared" si="188"/>
        <v>N/A</v>
      </c>
      <c r="BP155" s="16" t="str">
        <f t="shared" si="189"/>
        <v>N/A</v>
      </c>
      <c r="BQ155" s="16" t="str">
        <f t="shared" si="190"/>
        <v>N/A</v>
      </c>
      <c r="BR155" s="16" t="str">
        <f t="shared" si="191"/>
        <v>N/A</v>
      </c>
      <c r="BS155" s="16" t="str">
        <f t="shared" si="192"/>
        <v>N/A</v>
      </c>
      <c r="BT155" s="16" t="str">
        <f t="shared" si="193"/>
        <v>N/A</v>
      </c>
      <c r="BU155" s="16" t="str">
        <f t="shared" si="194"/>
        <v>N/A</v>
      </c>
      <c r="BV155" s="16" t="str">
        <f t="shared" si="195"/>
        <v>N/A</v>
      </c>
      <c r="BW155" s="16" t="str">
        <f t="shared" si="196"/>
        <v>N/A</v>
      </c>
      <c r="BX155" s="16" t="str">
        <f t="shared" si="197"/>
        <v>N/A</v>
      </c>
      <c r="BY155" s="16" t="str">
        <f t="shared" si="198"/>
        <v>N/A</v>
      </c>
      <c r="BZ155" s="16" t="str">
        <f t="shared" si="199"/>
        <v>N/A</v>
      </c>
      <c r="CA155" s="16" t="str">
        <f t="shared" si="200"/>
        <v>N/A</v>
      </c>
      <c r="CB155" s="16" t="str">
        <f t="shared" si="201"/>
        <v>N/A</v>
      </c>
      <c r="CC155" s="16" t="str">
        <f t="shared" si="202"/>
        <v>N/A</v>
      </c>
      <c r="CD155" s="16" t="str">
        <f t="shared" si="203"/>
        <v>N/A</v>
      </c>
      <c r="CE155" s="16" t="str">
        <f t="shared" si="204"/>
        <v>N/A</v>
      </c>
      <c r="CF155" s="16" t="str">
        <f t="shared" si="205"/>
        <v>N/A</v>
      </c>
      <c r="CG155" s="16" t="str">
        <f t="shared" si="206"/>
        <v>N/A</v>
      </c>
      <c r="CH155" s="16" t="str">
        <f t="shared" si="207"/>
        <v>N/A</v>
      </c>
      <c r="CI155" s="16" t="str">
        <f t="shared" si="208"/>
        <v>N/A</v>
      </c>
      <c r="CJ155" s="16" t="str">
        <f t="shared" si="209"/>
        <v>N/A</v>
      </c>
      <c r="CK155" s="16" t="str">
        <f t="shared" si="210"/>
        <v>N/A</v>
      </c>
      <c r="CL155" s="16" t="str">
        <f t="shared" si="211"/>
        <v>N/A</v>
      </c>
      <c r="CM155" s="16" t="str">
        <f t="shared" si="212"/>
        <v>N/A</v>
      </c>
      <c r="CN155" s="16" t="str">
        <f t="shared" si="213"/>
        <v>N/A</v>
      </c>
      <c r="CO155" s="16" t="str">
        <f t="shared" si="214"/>
        <v>N/A</v>
      </c>
      <c r="CP155" s="16" t="str">
        <f t="shared" si="215"/>
        <v>N/A</v>
      </c>
      <c r="CQ155" s="16" t="str">
        <f t="shared" si="216"/>
        <v>N/A</v>
      </c>
      <c r="CR155" s="16" t="str">
        <f t="shared" si="217"/>
        <v>N/A</v>
      </c>
      <c r="CS155" s="16" t="str">
        <f t="shared" si="218"/>
        <v>N/A</v>
      </c>
      <c r="CT155" s="16" t="str">
        <f t="shared" si="219"/>
        <v>N/A</v>
      </c>
      <c r="CU155" s="16" t="str">
        <f t="shared" si="220"/>
        <v>N/A</v>
      </c>
      <c r="CV155" s="16" t="str">
        <f t="shared" si="221"/>
        <v>N/A</v>
      </c>
      <c r="CW155" s="16" t="str">
        <f t="shared" si="222"/>
        <v>N/A</v>
      </c>
      <c r="CX155" s="16" t="str">
        <f t="shared" si="223"/>
        <v>N/A</v>
      </c>
      <c r="CY155" s="16" t="str">
        <f t="shared" si="224"/>
        <v>N/A</v>
      </c>
    </row>
    <row r="156" spans="2:103" x14ac:dyDescent="0.25">
      <c r="B156" s="2"/>
      <c r="C156" s="6"/>
      <c r="D156" s="6"/>
      <c r="E156" s="7"/>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5"/>
      <c r="BA156" s="5"/>
      <c r="BB156" s="5"/>
      <c r="BC156" s="5"/>
      <c r="BD156" s="5">
        <f t="shared" si="178"/>
        <v>0</v>
      </c>
      <c r="BE156" s="9" t="s">
        <v>74</v>
      </c>
      <c r="BF156" s="2" t="str">
        <f t="shared" si="179"/>
        <v>Menos Horas</v>
      </c>
      <c r="BG156" s="2" t="str">
        <f t="shared" si="180"/>
        <v>Carga Lectiva Insuficiente</v>
      </c>
      <c r="BH156" s="16" t="str">
        <f t="shared" si="181"/>
        <v>Cumple</v>
      </c>
      <c r="BI156" s="2" t="str">
        <f t="shared" si="182"/>
        <v>Cumple</v>
      </c>
      <c r="BJ156" s="16" t="str">
        <f t="shared" si="183"/>
        <v>Cumple</v>
      </c>
      <c r="BK156" s="16" t="str">
        <f t="shared" si="184"/>
        <v>N/A</v>
      </c>
      <c r="BL156" s="16" t="str">
        <f t="shared" si="185"/>
        <v>N/A</v>
      </c>
      <c r="BM156" s="16" t="str">
        <f t="shared" si="186"/>
        <v>N/A</v>
      </c>
      <c r="BN156" s="16" t="str">
        <f t="shared" si="187"/>
        <v>N/A</v>
      </c>
      <c r="BO156" s="16" t="str">
        <f t="shared" si="188"/>
        <v>N/A</v>
      </c>
      <c r="BP156" s="16" t="str">
        <f t="shared" si="189"/>
        <v>N/A</v>
      </c>
      <c r="BQ156" s="16" t="str">
        <f t="shared" si="190"/>
        <v>N/A</v>
      </c>
      <c r="BR156" s="16" t="str">
        <f t="shared" si="191"/>
        <v>N/A</v>
      </c>
      <c r="BS156" s="16" t="str">
        <f t="shared" si="192"/>
        <v>N/A</v>
      </c>
      <c r="BT156" s="16" t="str">
        <f t="shared" si="193"/>
        <v>N/A</v>
      </c>
      <c r="BU156" s="16" t="str">
        <f t="shared" si="194"/>
        <v>N/A</v>
      </c>
      <c r="BV156" s="16" t="str">
        <f t="shared" si="195"/>
        <v>N/A</v>
      </c>
      <c r="BW156" s="16" t="str">
        <f t="shared" si="196"/>
        <v>N/A</v>
      </c>
      <c r="BX156" s="16" t="str">
        <f t="shared" si="197"/>
        <v>N/A</v>
      </c>
      <c r="BY156" s="16" t="str">
        <f t="shared" si="198"/>
        <v>N/A</v>
      </c>
      <c r="BZ156" s="16" t="str">
        <f t="shared" si="199"/>
        <v>N/A</v>
      </c>
      <c r="CA156" s="16" t="str">
        <f t="shared" si="200"/>
        <v>N/A</v>
      </c>
      <c r="CB156" s="16" t="str">
        <f t="shared" si="201"/>
        <v>N/A</v>
      </c>
      <c r="CC156" s="16" t="str">
        <f t="shared" si="202"/>
        <v>N/A</v>
      </c>
      <c r="CD156" s="16" t="str">
        <f t="shared" si="203"/>
        <v>N/A</v>
      </c>
      <c r="CE156" s="16" t="str">
        <f t="shared" si="204"/>
        <v>N/A</v>
      </c>
      <c r="CF156" s="16" t="str">
        <f t="shared" si="205"/>
        <v>N/A</v>
      </c>
      <c r="CG156" s="16" t="str">
        <f t="shared" si="206"/>
        <v>N/A</v>
      </c>
      <c r="CH156" s="16" t="str">
        <f t="shared" si="207"/>
        <v>N/A</v>
      </c>
      <c r="CI156" s="16" t="str">
        <f t="shared" si="208"/>
        <v>N/A</v>
      </c>
      <c r="CJ156" s="16" t="str">
        <f t="shared" si="209"/>
        <v>N/A</v>
      </c>
      <c r="CK156" s="16" t="str">
        <f t="shared" si="210"/>
        <v>N/A</v>
      </c>
      <c r="CL156" s="16" t="str">
        <f t="shared" si="211"/>
        <v>N/A</v>
      </c>
      <c r="CM156" s="16" t="str">
        <f t="shared" si="212"/>
        <v>N/A</v>
      </c>
      <c r="CN156" s="16" t="str">
        <f t="shared" si="213"/>
        <v>N/A</v>
      </c>
      <c r="CO156" s="16" t="str">
        <f t="shared" si="214"/>
        <v>N/A</v>
      </c>
      <c r="CP156" s="16" t="str">
        <f t="shared" si="215"/>
        <v>N/A</v>
      </c>
      <c r="CQ156" s="16" t="str">
        <f t="shared" si="216"/>
        <v>N/A</v>
      </c>
      <c r="CR156" s="16" t="str">
        <f t="shared" si="217"/>
        <v>N/A</v>
      </c>
      <c r="CS156" s="16" t="str">
        <f t="shared" si="218"/>
        <v>N/A</v>
      </c>
      <c r="CT156" s="16" t="str">
        <f t="shared" si="219"/>
        <v>N/A</v>
      </c>
      <c r="CU156" s="16" t="str">
        <f t="shared" si="220"/>
        <v>N/A</v>
      </c>
      <c r="CV156" s="16" t="str">
        <f t="shared" si="221"/>
        <v>N/A</v>
      </c>
      <c r="CW156" s="16" t="str">
        <f t="shared" si="222"/>
        <v>N/A</v>
      </c>
      <c r="CX156" s="16" t="str">
        <f t="shared" si="223"/>
        <v>N/A</v>
      </c>
      <c r="CY156" s="16" t="str">
        <f t="shared" si="224"/>
        <v>N/A</v>
      </c>
    </row>
    <row r="157" spans="2:103" x14ac:dyDescent="0.25">
      <c r="B157" s="2"/>
      <c r="C157" s="6"/>
      <c r="D157" s="6"/>
      <c r="E157" s="7"/>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5"/>
      <c r="BA157" s="5"/>
      <c r="BB157" s="5"/>
      <c r="BC157" s="5"/>
      <c r="BD157" s="5">
        <f t="shared" si="178"/>
        <v>0</v>
      </c>
      <c r="BE157" s="2"/>
      <c r="BF157" s="2" t="str">
        <f t="shared" si="179"/>
        <v>Menos Horas</v>
      </c>
      <c r="BG157" s="2" t="str">
        <f t="shared" si="180"/>
        <v>Carga Lectiva Insuficiente</v>
      </c>
      <c r="BH157" s="16" t="str">
        <f t="shared" si="181"/>
        <v>Cumple</v>
      </c>
      <c r="BI157" s="2" t="str">
        <f t="shared" si="182"/>
        <v>Cumple</v>
      </c>
      <c r="BJ157" s="16" t="str">
        <f t="shared" si="183"/>
        <v>Cumple</v>
      </c>
      <c r="BK157" s="16" t="str">
        <f t="shared" si="184"/>
        <v>N/A</v>
      </c>
      <c r="BL157" s="16" t="str">
        <f t="shared" si="185"/>
        <v>N/A</v>
      </c>
      <c r="BM157" s="16" t="str">
        <f t="shared" si="186"/>
        <v>N/A</v>
      </c>
      <c r="BN157" s="16" t="str">
        <f t="shared" si="187"/>
        <v>N/A</v>
      </c>
      <c r="BO157" s="16" t="str">
        <f t="shared" si="188"/>
        <v>N/A</v>
      </c>
      <c r="BP157" s="16" t="str">
        <f t="shared" si="189"/>
        <v>N/A</v>
      </c>
      <c r="BQ157" s="16" t="str">
        <f t="shared" si="190"/>
        <v>N/A</v>
      </c>
      <c r="BR157" s="16" t="str">
        <f t="shared" si="191"/>
        <v>N/A</v>
      </c>
      <c r="BS157" s="16" t="str">
        <f t="shared" si="192"/>
        <v>N/A</v>
      </c>
      <c r="BT157" s="16" t="str">
        <f t="shared" si="193"/>
        <v>N/A</v>
      </c>
      <c r="BU157" s="16" t="str">
        <f t="shared" si="194"/>
        <v>N/A</v>
      </c>
      <c r="BV157" s="16" t="str">
        <f t="shared" si="195"/>
        <v>N/A</v>
      </c>
      <c r="BW157" s="16" t="str">
        <f t="shared" si="196"/>
        <v>N/A</v>
      </c>
      <c r="BX157" s="16" t="str">
        <f t="shared" si="197"/>
        <v>N/A</v>
      </c>
      <c r="BY157" s="16" t="str">
        <f t="shared" si="198"/>
        <v>N/A</v>
      </c>
      <c r="BZ157" s="16" t="str">
        <f t="shared" si="199"/>
        <v>N/A</v>
      </c>
      <c r="CA157" s="16" t="str">
        <f t="shared" si="200"/>
        <v>N/A</v>
      </c>
      <c r="CB157" s="16" t="str">
        <f t="shared" si="201"/>
        <v>N/A</v>
      </c>
      <c r="CC157" s="16" t="str">
        <f t="shared" si="202"/>
        <v>N/A</v>
      </c>
      <c r="CD157" s="16" t="str">
        <f t="shared" si="203"/>
        <v>N/A</v>
      </c>
      <c r="CE157" s="16" t="str">
        <f t="shared" si="204"/>
        <v>N/A</v>
      </c>
      <c r="CF157" s="16" t="str">
        <f t="shared" si="205"/>
        <v>N/A</v>
      </c>
      <c r="CG157" s="16" t="str">
        <f t="shared" si="206"/>
        <v>N/A</v>
      </c>
      <c r="CH157" s="16" t="str">
        <f t="shared" si="207"/>
        <v>N/A</v>
      </c>
      <c r="CI157" s="16" t="str">
        <f t="shared" si="208"/>
        <v>N/A</v>
      </c>
      <c r="CJ157" s="16" t="str">
        <f t="shared" si="209"/>
        <v>N/A</v>
      </c>
      <c r="CK157" s="16" t="str">
        <f t="shared" si="210"/>
        <v>N/A</v>
      </c>
      <c r="CL157" s="16" t="str">
        <f t="shared" si="211"/>
        <v>N/A</v>
      </c>
      <c r="CM157" s="16" t="str">
        <f t="shared" si="212"/>
        <v>N/A</v>
      </c>
      <c r="CN157" s="16" t="str">
        <f t="shared" si="213"/>
        <v>N/A</v>
      </c>
      <c r="CO157" s="16" t="str">
        <f t="shared" si="214"/>
        <v>N/A</v>
      </c>
      <c r="CP157" s="16" t="str">
        <f t="shared" si="215"/>
        <v>N/A</v>
      </c>
      <c r="CQ157" s="16" t="str">
        <f t="shared" si="216"/>
        <v>N/A</v>
      </c>
      <c r="CR157" s="16" t="str">
        <f t="shared" si="217"/>
        <v>N/A</v>
      </c>
      <c r="CS157" s="16" t="str">
        <f t="shared" si="218"/>
        <v>N/A</v>
      </c>
      <c r="CT157" s="16" t="str">
        <f t="shared" si="219"/>
        <v>N/A</v>
      </c>
      <c r="CU157" s="16" t="str">
        <f t="shared" si="220"/>
        <v>N/A</v>
      </c>
      <c r="CV157" s="16" t="str">
        <f t="shared" si="221"/>
        <v>N/A</v>
      </c>
      <c r="CW157" s="16" t="str">
        <f t="shared" si="222"/>
        <v>N/A</v>
      </c>
      <c r="CX157" s="16" t="str">
        <f t="shared" si="223"/>
        <v>N/A</v>
      </c>
      <c r="CY157" s="16" t="str">
        <f t="shared" si="224"/>
        <v>N/A</v>
      </c>
    </row>
    <row r="158" spans="2:103" x14ac:dyDescent="0.25">
      <c r="B158" s="2"/>
      <c r="C158" s="6"/>
      <c r="D158" s="6"/>
      <c r="E158" s="7"/>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5"/>
      <c r="BA158" s="5"/>
      <c r="BB158" s="5"/>
      <c r="BC158" s="5"/>
      <c r="BD158" s="5">
        <f t="shared" si="178"/>
        <v>0</v>
      </c>
      <c r="BE158" s="2"/>
      <c r="BF158" s="2" t="str">
        <f t="shared" si="179"/>
        <v>Menos Horas</v>
      </c>
      <c r="BG158" s="2" t="str">
        <f t="shared" si="180"/>
        <v>Carga Lectiva Insuficiente</v>
      </c>
      <c r="BH158" s="16" t="str">
        <f t="shared" si="181"/>
        <v>Cumple</v>
      </c>
      <c r="BI158" s="2" t="str">
        <f t="shared" si="182"/>
        <v>Cumple</v>
      </c>
      <c r="BJ158" s="16" t="str">
        <f t="shared" si="183"/>
        <v>Cumple</v>
      </c>
      <c r="BK158" s="16" t="str">
        <f t="shared" si="184"/>
        <v>N/A</v>
      </c>
      <c r="BL158" s="16" t="str">
        <f t="shared" si="185"/>
        <v>N/A</v>
      </c>
      <c r="BM158" s="16" t="str">
        <f t="shared" si="186"/>
        <v>N/A</v>
      </c>
      <c r="BN158" s="16" t="str">
        <f t="shared" si="187"/>
        <v>N/A</v>
      </c>
      <c r="BO158" s="16" t="str">
        <f t="shared" si="188"/>
        <v>N/A</v>
      </c>
      <c r="BP158" s="16" t="str">
        <f t="shared" si="189"/>
        <v>N/A</v>
      </c>
      <c r="BQ158" s="16" t="str">
        <f t="shared" si="190"/>
        <v>N/A</v>
      </c>
      <c r="BR158" s="16" t="str">
        <f t="shared" si="191"/>
        <v>N/A</v>
      </c>
      <c r="BS158" s="16" t="str">
        <f t="shared" si="192"/>
        <v>N/A</v>
      </c>
      <c r="BT158" s="16" t="str">
        <f t="shared" si="193"/>
        <v>N/A</v>
      </c>
      <c r="BU158" s="16" t="str">
        <f t="shared" si="194"/>
        <v>N/A</v>
      </c>
      <c r="BV158" s="16" t="str">
        <f t="shared" si="195"/>
        <v>N/A</v>
      </c>
      <c r="BW158" s="16" t="str">
        <f t="shared" si="196"/>
        <v>N/A</v>
      </c>
      <c r="BX158" s="16" t="str">
        <f t="shared" si="197"/>
        <v>N/A</v>
      </c>
      <c r="BY158" s="16" t="str">
        <f t="shared" si="198"/>
        <v>N/A</v>
      </c>
      <c r="BZ158" s="16" t="str">
        <f t="shared" si="199"/>
        <v>N/A</v>
      </c>
      <c r="CA158" s="16" t="str">
        <f t="shared" si="200"/>
        <v>N/A</v>
      </c>
      <c r="CB158" s="16" t="str">
        <f t="shared" si="201"/>
        <v>N/A</v>
      </c>
      <c r="CC158" s="16" t="str">
        <f t="shared" si="202"/>
        <v>N/A</v>
      </c>
      <c r="CD158" s="16" t="str">
        <f t="shared" si="203"/>
        <v>N/A</v>
      </c>
      <c r="CE158" s="16" t="str">
        <f t="shared" si="204"/>
        <v>N/A</v>
      </c>
      <c r="CF158" s="16" t="str">
        <f t="shared" si="205"/>
        <v>N/A</v>
      </c>
      <c r="CG158" s="16" t="str">
        <f t="shared" si="206"/>
        <v>N/A</v>
      </c>
      <c r="CH158" s="16" t="str">
        <f t="shared" si="207"/>
        <v>N/A</v>
      </c>
      <c r="CI158" s="16" t="str">
        <f t="shared" si="208"/>
        <v>N/A</v>
      </c>
      <c r="CJ158" s="16" t="str">
        <f t="shared" si="209"/>
        <v>N/A</v>
      </c>
      <c r="CK158" s="16" t="str">
        <f t="shared" si="210"/>
        <v>N/A</v>
      </c>
      <c r="CL158" s="16" t="str">
        <f t="shared" si="211"/>
        <v>N/A</v>
      </c>
      <c r="CM158" s="16" t="str">
        <f t="shared" si="212"/>
        <v>N/A</v>
      </c>
      <c r="CN158" s="16" t="str">
        <f t="shared" si="213"/>
        <v>N/A</v>
      </c>
      <c r="CO158" s="16" t="str">
        <f t="shared" si="214"/>
        <v>N/A</v>
      </c>
      <c r="CP158" s="16" t="str">
        <f t="shared" si="215"/>
        <v>N/A</v>
      </c>
      <c r="CQ158" s="16" t="str">
        <f t="shared" si="216"/>
        <v>N/A</v>
      </c>
      <c r="CR158" s="16" t="str">
        <f t="shared" si="217"/>
        <v>N/A</v>
      </c>
      <c r="CS158" s="16" t="str">
        <f t="shared" si="218"/>
        <v>N/A</v>
      </c>
      <c r="CT158" s="16" t="str">
        <f t="shared" si="219"/>
        <v>N/A</v>
      </c>
      <c r="CU158" s="16" t="str">
        <f t="shared" si="220"/>
        <v>N/A</v>
      </c>
      <c r="CV158" s="16" t="str">
        <f t="shared" si="221"/>
        <v>N/A</v>
      </c>
      <c r="CW158" s="16" t="str">
        <f t="shared" si="222"/>
        <v>N/A</v>
      </c>
      <c r="CX158" s="16" t="str">
        <f t="shared" si="223"/>
        <v>N/A</v>
      </c>
      <c r="CY158" s="16" t="str">
        <f t="shared" si="224"/>
        <v>N/A</v>
      </c>
    </row>
    <row r="159" spans="2:103" x14ac:dyDescent="0.25">
      <c r="B159" s="2"/>
      <c r="C159" s="6"/>
      <c r="D159" s="6"/>
      <c r="E159" s="7"/>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5"/>
      <c r="BA159" s="5"/>
      <c r="BB159" s="5"/>
      <c r="BC159" s="5"/>
      <c r="BD159" s="5">
        <f t="shared" si="178"/>
        <v>0</v>
      </c>
      <c r="BE159" s="2"/>
      <c r="BF159" s="2" t="str">
        <f t="shared" si="179"/>
        <v>Menos Horas</v>
      </c>
      <c r="BG159" s="2" t="str">
        <f t="shared" si="180"/>
        <v>Carga Lectiva Insuficiente</v>
      </c>
      <c r="BH159" s="16" t="str">
        <f t="shared" si="181"/>
        <v>Cumple</v>
      </c>
      <c r="BI159" s="2" t="str">
        <f t="shared" si="182"/>
        <v>Cumple</v>
      </c>
      <c r="BJ159" s="16" t="str">
        <f t="shared" si="183"/>
        <v>Cumple</v>
      </c>
      <c r="BK159" s="16" t="str">
        <f t="shared" si="184"/>
        <v>N/A</v>
      </c>
      <c r="BL159" s="16" t="str">
        <f t="shared" si="185"/>
        <v>N/A</v>
      </c>
      <c r="BM159" s="16" t="str">
        <f t="shared" si="186"/>
        <v>N/A</v>
      </c>
      <c r="BN159" s="16" t="str">
        <f t="shared" si="187"/>
        <v>N/A</v>
      </c>
      <c r="BO159" s="16" t="str">
        <f t="shared" si="188"/>
        <v>N/A</v>
      </c>
      <c r="BP159" s="16" t="str">
        <f t="shared" si="189"/>
        <v>N/A</v>
      </c>
      <c r="BQ159" s="16" t="str">
        <f t="shared" si="190"/>
        <v>N/A</v>
      </c>
      <c r="BR159" s="16" t="str">
        <f t="shared" si="191"/>
        <v>N/A</v>
      </c>
      <c r="BS159" s="16" t="str">
        <f t="shared" si="192"/>
        <v>N/A</v>
      </c>
      <c r="BT159" s="16" t="str">
        <f t="shared" si="193"/>
        <v>N/A</v>
      </c>
      <c r="BU159" s="16" t="str">
        <f t="shared" si="194"/>
        <v>N/A</v>
      </c>
      <c r="BV159" s="16" t="str">
        <f t="shared" si="195"/>
        <v>N/A</v>
      </c>
      <c r="BW159" s="16" t="str">
        <f t="shared" si="196"/>
        <v>N/A</v>
      </c>
      <c r="BX159" s="16" t="str">
        <f t="shared" si="197"/>
        <v>N/A</v>
      </c>
      <c r="BY159" s="16" t="str">
        <f t="shared" si="198"/>
        <v>N/A</v>
      </c>
      <c r="BZ159" s="16" t="str">
        <f t="shared" si="199"/>
        <v>N/A</v>
      </c>
      <c r="CA159" s="16" t="str">
        <f t="shared" si="200"/>
        <v>N/A</v>
      </c>
      <c r="CB159" s="16" t="str">
        <f t="shared" si="201"/>
        <v>N/A</v>
      </c>
      <c r="CC159" s="16" t="str">
        <f t="shared" si="202"/>
        <v>N/A</v>
      </c>
      <c r="CD159" s="16" t="str">
        <f t="shared" si="203"/>
        <v>N/A</v>
      </c>
      <c r="CE159" s="16" t="str">
        <f t="shared" si="204"/>
        <v>N/A</v>
      </c>
      <c r="CF159" s="16" t="str">
        <f t="shared" si="205"/>
        <v>N/A</v>
      </c>
      <c r="CG159" s="16" t="str">
        <f t="shared" si="206"/>
        <v>N/A</v>
      </c>
      <c r="CH159" s="16" t="str">
        <f t="shared" si="207"/>
        <v>N/A</v>
      </c>
      <c r="CI159" s="16" t="str">
        <f t="shared" si="208"/>
        <v>N/A</v>
      </c>
      <c r="CJ159" s="16" t="str">
        <f t="shared" si="209"/>
        <v>N/A</v>
      </c>
      <c r="CK159" s="16" t="str">
        <f t="shared" si="210"/>
        <v>N/A</v>
      </c>
      <c r="CL159" s="16" t="str">
        <f t="shared" si="211"/>
        <v>N/A</v>
      </c>
      <c r="CM159" s="16" t="str">
        <f t="shared" si="212"/>
        <v>N/A</v>
      </c>
      <c r="CN159" s="16" t="str">
        <f t="shared" si="213"/>
        <v>N/A</v>
      </c>
      <c r="CO159" s="16" t="str">
        <f t="shared" si="214"/>
        <v>N/A</v>
      </c>
      <c r="CP159" s="16" t="str">
        <f t="shared" si="215"/>
        <v>N/A</v>
      </c>
      <c r="CQ159" s="16" t="str">
        <f t="shared" si="216"/>
        <v>N/A</v>
      </c>
      <c r="CR159" s="16" t="str">
        <f t="shared" si="217"/>
        <v>N/A</v>
      </c>
      <c r="CS159" s="16" t="str">
        <f t="shared" si="218"/>
        <v>N/A</v>
      </c>
      <c r="CT159" s="16" t="str">
        <f t="shared" si="219"/>
        <v>N/A</v>
      </c>
      <c r="CU159" s="16" t="str">
        <f t="shared" si="220"/>
        <v>N/A</v>
      </c>
      <c r="CV159" s="16" t="str">
        <f t="shared" si="221"/>
        <v>N/A</v>
      </c>
      <c r="CW159" s="16" t="str">
        <f t="shared" si="222"/>
        <v>N/A</v>
      </c>
      <c r="CX159" s="16" t="str">
        <f t="shared" si="223"/>
        <v>N/A</v>
      </c>
      <c r="CY159" s="16" t="str">
        <f t="shared" si="224"/>
        <v>N/A</v>
      </c>
    </row>
    <row r="160" spans="2:103" x14ac:dyDescent="0.25">
      <c r="B160" s="2"/>
      <c r="C160" s="6"/>
      <c r="D160" s="6"/>
      <c r="E160" s="7"/>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5"/>
      <c r="BA160" s="5"/>
      <c r="BB160" s="5"/>
      <c r="BC160" s="5"/>
      <c r="BD160" s="5">
        <f t="shared" si="178"/>
        <v>0</v>
      </c>
      <c r="BE160" s="2"/>
      <c r="BF160" s="2" t="str">
        <f t="shared" si="179"/>
        <v>Menos Horas</v>
      </c>
      <c r="BG160" s="2" t="str">
        <f t="shared" si="180"/>
        <v>Carga Lectiva Insuficiente</v>
      </c>
      <c r="BH160" s="16" t="str">
        <f t="shared" si="181"/>
        <v>Cumple</v>
      </c>
      <c r="BI160" s="2" t="str">
        <f t="shared" si="182"/>
        <v>Cumple</v>
      </c>
      <c r="BJ160" s="16" t="str">
        <f t="shared" si="183"/>
        <v>Cumple</v>
      </c>
      <c r="BK160" s="16" t="str">
        <f t="shared" si="184"/>
        <v>N/A</v>
      </c>
      <c r="BL160" s="16" t="str">
        <f t="shared" si="185"/>
        <v>N/A</v>
      </c>
      <c r="BM160" s="16" t="str">
        <f t="shared" si="186"/>
        <v>N/A</v>
      </c>
      <c r="BN160" s="16" t="str">
        <f t="shared" si="187"/>
        <v>N/A</v>
      </c>
      <c r="BO160" s="16" t="str">
        <f t="shared" si="188"/>
        <v>N/A</v>
      </c>
      <c r="BP160" s="16" t="str">
        <f t="shared" si="189"/>
        <v>N/A</v>
      </c>
      <c r="BQ160" s="16" t="str">
        <f t="shared" si="190"/>
        <v>N/A</v>
      </c>
      <c r="BR160" s="16" t="str">
        <f t="shared" si="191"/>
        <v>N/A</v>
      </c>
      <c r="BS160" s="16" t="str">
        <f t="shared" si="192"/>
        <v>N/A</v>
      </c>
      <c r="BT160" s="16" t="str">
        <f t="shared" si="193"/>
        <v>N/A</v>
      </c>
      <c r="BU160" s="16" t="str">
        <f t="shared" si="194"/>
        <v>N/A</v>
      </c>
      <c r="BV160" s="16" t="str">
        <f t="shared" si="195"/>
        <v>N/A</v>
      </c>
      <c r="BW160" s="16" t="str">
        <f t="shared" si="196"/>
        <v>N/A</v>
      </c>
      <c r="BX160" s="16" t="str">
        <f t="shared" si="197"/>
        <v>N/A</v>
      </c>
      <c r="BY160" s="16" t="str">
        <f t="shared" si="198"/>
        <v>N/A</v>
      </c>
      <c r="BZ160" s="16" t="str">
        <f t="shared" si="199"/>
        <v>N/A</v>
      </c>
      <c r="CA160" s="16" t="str">
        <f t="shared" si="200"/>
        <v>N/A</v>
      </c>
      <c r="CB160" s="16" t="str">
        <f t="shared" si="201"/>
        <v>N/A</v>
      </c>
      <c r="CC160" s="16" t="str">
        <f t="shared" si="202"/>
        <v>N/A</v>
      </c>
      <c r="CD160" s="16" t="str">
        <f t="shared" si="203"/>
        <v>N/A</v>
      </c>
      <c r="CE160" s="16" t="str">
        <f t="shared" si="204"/>
        <v>N/A</v>
      </c>
      <c r="CF160" s="16" t="str">
        <f t="shared" si="205"/>
        <v>N/A</v>
      </c>
      <c r="CG160" s="16" t="str">
        <f t="shared" si="206"/>
        <v>N/A</v>
      </c>
      <c r="CH160" s="16" t="str">
        <f t="shared" si="207"/>
        <v>N/A</v>
      </c>
      <c r="CI160" s="16" t="str">
        <f t="shared" si="208"/>
        <v>N/A</v>
      </c>
      <c r="CJ160" s="16" t="str">
        <f t="shared" si="209"/>
        <v>N/A</v>
      </c>
      <c r="CK160" s="16" t="str">
        <f t="shared" si="210"/>
        <v>N/A</v>
      </c>
      <c r="CL160" s="16" t="str">
        <f t="shared" si="211"/>
        <v>N/A</v>
      </c>
      <c r="CM160" s="16" t="str">
        <f t="shared" si="212"/>
        <v>N/A</v>
      </c>
      <c r="CN160" s="16" t="str">
        <f t="shared" si="213"/>
        <v>N/A</v>
      </c>
      <c r="CO160" s="16" t="str">
        <f t="shared" si="214"/>
        <v>N/A</v>
      </c>
      <c r="CP160" s="16" t="str">
        <f t="shared" si="215"/>
        <v>N/A</v>
      </c>
      <c r="CQ160" s="16" t="str">
        <f t="shared" si="216"/>
        <v>N/A</v>
      </c>
      <c r="CR160" s="16" t="str">
        <f t="shared" si="217"/>
        <v>N/A</v>
      </c>
      <c r="CS160" s="16" t="str">
        <f t="shared" si="218"/>
        <v>N/A</v>
      </c>
      <c r="CT160" s="16" t="str">
        <f t="shared" si="219"/>
        <v>N/A</v>
      </c>
      <c r="CU160" s="16" t="str">
        <f t="shared" si="220"/>
        <v>N/A</v>
      </c>
      <c r="CV160" s="16" t="str">
        <f t="shared" si="221"/>
        <v>N/A</v>
      </c>
      <c r="CW160" s="16" t="str">
        <f t="shared" si="222"/>
        <v>N/A</v>
      </c>
      <c r="CX160" s="16" t="str">
        <f t="shared" si="223"/>
        <v>N/A</v>
      </c>
      <c r="CY160" s="16" t="str">
        <f t="shared" si="224"/>
        <v>N/A</v>
      </c>
    </row>
    <row r="161" spans="2:103" x14ac:dyDescent="0.25">
      <c r="B161" s="2"/>
      <c r="C161" s="6"/>
      <c r="D161" s="6"/>
      <c r="E161" s="7"/>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5"/>
      <c r="BA161" s="5"/>
      <c r="BB161" s="5"/>
      <c r="BC161" s="5"/>
      <c r="BD161" s="5">
        <f t="shared" si="178"/>
        <v>0</v>
      </c>
      <c r="BE161" s="2"/>
      <c r="BF161" s="2" t="str">
        <f t="shared" si="179"/>
        <v>Menos Horas</v>
      </c>
      <c r="BG161" s="2" t="str">
        <f t="shared" si="180"/>
        <v>Carga Lectiva Insuficiente</v>
      </c>
      <c r="BH161" s="16" t="str">
        <f t="shared" si="181"/>
        <v>Cumple</v>
      </c>
      <c r="BI161" s="2" t="str">
        <f t="shared" si="182"/>
        <v>Cumple</v>
      </c>
      <c r="BJ161" s="16" t="str">
        <f t="shared" si="183"/>
        <v>Cumple</v>
      </c>
      <c r="BK161" s="16" t="str">
        <f t="shared" si="184"/>
        <v>N/A</v>
      </c>
      <c r="BL161" s="16" t="str">
        <f t="shared" si="185"/>
        <v>N/A</v>
      </c>
      <c r="BM161" s="16" t="str">
        <f t="shared" si="186"/>
        <v>N/A</v>
      </c>
      <c r="BN161" s="16" t="str">
        <f t="shared" si="187"/>
        <v>N/A</v>
      </c>
      <c r="BO161" s="16" t="str">
        <f t="shared" si="188"/>
        <v>N/A</v>
      </c>
      <c r="BP161" s="16" t="str">
        <f t="shared" si="189"/>
        <v>N/A</v>
      </c>
      <c r="BQ161" s="16" t="str">
        <f t="shared" si="190"/>
        <v>N/A</v>
      </c>
      <c r="BR161" s="16" t="str">
        <f t="shared" si="191"/>
        <v>N/A</v>
      </c>
      <c r="BS161" s="16" t="str">
        <f t="shared" si="192"/>
        <v>N/A</v>
      </c>
      <c r="BT161" s="16" t="str">
        <f t="shared" si="193"/>
        <v>N/A</v>
      </c>
      <c r="BU161" s="16" t="str">
        <f t="shared" si="194"/>
        <v>N/A</v>
      </c>
      <c r="BV161" s="16" t="str">
        <f t="shared" si="195"/>
        <v>N/A</v>
      </c>
      <c r="BW161" s="16" t="str">
        <f t="shared" si="196"/>
        <v>N/A</v>
      </c>
      <c r="BX161" s="16" t="str">
        <f t="shared" si="197"/>
        <v>N/A</v>
      </c>
      <c r="BY161" s="16" t="str">
        <f t="shared" si="198"/>
        <v>N/A</v>
      </c>
      <c r="BZ161" s="16" t="str">
        <f t="shared" si="199"/>
        <v>N/A</v>
      </c>
      <c r="CA161" s="16" t="str">
        <f t="shared" si="200"/>
        <v>N/A</v>
      </c>
      <c r="CB161" s="16" t="str">
        <f t="shared" si="201"/>
        <v>N/A</v>
      </c>
      <c r="CC161" s="16" t="str">
        <f t="shared" si="202"/>
        <v>N/A</v>
      </c>
      <c r="CD161" s="16" t="str">
        <f t="shared" si="203"/>
        <v>N/A</v>
      </c>
      <c r="CE161" s="16" t="str">
        <f t="shared" si="204"/>
        <v>N/A</v>
      </c>
      <c r="CF161" s="16" t="str">
        <f t="shared" si="205"/>
        <v>N/A</v>
      </c>
      <c r="CG161" s="16" t="str">
        <f t="shared" si="206"/>
        <v>N/A</v>
      </c>
      <c r="CH161" s="16" t="str">
        <f t="shared" si="207"/>
        <v>N/A</v>
      </c>
      <c r="CI161" s="16" t="str">
        <f t="shared" si="208"/>
        <v>N/A</v>
      </c>
      <c r="CJ161" s="16" t="str">
        <f t="shared" si="209"/>
        <v>N/A</v>
      </c>
      <c r="CK161" s="16" t="str">
        <f t="shared" si="210"/>
        <v>N/A</v>
      </c>
      <c r="CL161" s="16" t="str">
        <f t="shared" si="211"/>
        <v>N/A</v>
      </c>
      <c r="CM161" s="16" t="str">
        <f t="shared" si="212"/>
        <v>N/A</v>
      </c>
      <c r="CN161" s="16" t="str">
        <f t="shared" si="213"/>
        <v>N/A</v>
      </c>
      <c r="CO161" s="16" t="str">
        <f t="shared" si="214"/>
        <v>N/A</v>
      </c>
      <c r="CP161" s="16" t="str">
        <f t="shared" si="215"/>
        <v>N/A</v>
      </c>
      <c r="CQ161" s="16" t="str">
        <f t="shared" si="216"/>
        <v>N/A</v>
      </c>
      <c r="CR161" s="16" t="str">
        <f t="shared" si="217"/>
        <v>N/A</v>
      </c>
      <c r="CS161" s="16" t="str">
        <f t="shared" si="218"/>
        <v>N/A</v>
      </c>
      <c r="CT161" s="16" t="str">
        <f t="shared" si="219"/>
        <v>N/A</v>
      </c>
      <c r="CU161" s="16" t="str">
        <f t="shared" si="220"/>
        <v>N/A</v>
      </c>
      <c r="CV161" s="16" t="str">
        <f t="shared" si="221"/>
        <v>N/A</v>
      </c>
      <c r="CW161" s="16" t="str">
        <f t="shared" si="222"/>
        <v>N/A</v>
      </c>
      <c r="CX161" s="16" t="str">
        <f t="shared" si="223"/>
        <v>N/A</v>
      </c>
      <c r="CY161" s="16" t="str">
        <f t="shared" si="224"/>
        <v>N/A</v>
      </c>
    </row>
    <row r="162" spans="2:103" x14ac:dyDescent="0.25">
      <c r="B162" s="2"/>
      <c r="C162" s="6"/>
      <c r="D162" s="6"/>
      <c r="E162" s="7"/>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5"/>
      <c r="BA162" s="5"/>
      <c r="BB162" s="5"/>
      <c r="BC162" s="5"/>
      <c r="BD162" s="5">
        <f t="shared" si="178"/>
        <v>0</v>
      </c>
      <c r="BE162" s="2"/>
      <c r="BF162" s="2" t="str">
        <f t="shared" si="179"/>
        <v>Menos Horas</v>
      </c>
      <c r="BG162" s="2" t="str">
        <f t="shared" si="180"/>
        <v>Carga Lectiva Insuficiente</v>
      </c>
      <c r="BH162" s="16" t="str">
        <f t="shared" si="181"/>
        <v>Cumple</v>
      </c>
      <c r="BI162" s="2" t="str">
        <f t="shared" si="182"/>
        <v>Cumple</v>
      </c>
      <c r="BJ162" s="16" t="str">
        <f t="shared" si="183"/>
        <v>Cumple</v>
      </c>
      <c r="BK162" s="16" t="str">
        <f t="shared" si="184"/>
        <v>N/A</v>
      </c>
      <c r="BL162" s="16" t="str">
        <f t="shared" si="185"/>
        <v>N/A</v>
      </c>
      <c r="BM162" s="16" t="str">
        <f t="shared" si="186"/>
        <v>N/A</v>
      </c>
      <c r="BN162" s="16" t="str">
        <f t="shared" si="187"/>
        <v>N/A</v>
      </c>
      <c r="BO162" s="16" t="str">
        <f t="shared" si="188"/>
        <v>N/A</v>
      </c>
      <c r="BP162" s="16" t="str">
        <f t="shared" si="189"/>
        <v>N/A</v>
      </c>
      <c r="BQ162" s="16" t="str">
        <f t="shared" si="190"/>
        <v>N/A</v>
      </c>
      <c r="BR162" s="16" t="str">
        <f t="shared" si="191"/>
        <v>N/A</v>
      </c>
      <c r="BS162" s="16" t="str">
        <f t="shared" si="192"/>
        <v>N/A</v>
      </c>
      <c r="BT162" s="16" t="str">
        <f t="shared" si="193"/>
        <v>N/A</v>
      </c>
      <c r="BU162" s="16" t="str">
        <f t="shared" si="194"/>
        <v>N/A</v>
      </c>
      <c r="BV162" s="16" t="str">
        <f t="shared" si="195"/>
        <v>N/A</v>
      </c>
      <c r="BW162" s="16" t="str">
        <f t="shared" si="196"/>
        <v>N/A</v>
      </c>
      <c r="BX162" s="16" t="str">
        <f t="shared" si="197"/>
        <v>N/A</v>
      </c>
      <c r="BY162" s="16" t="str">
        <f t="shared" si="198"/>
        <v>N/A</v>
      </c>
      <c r="BZ162" s="16" t="str">
        <f t="shared" si="199"/>
        <v>N/A</v>
      </c>
      <c r="CA162" s="16" t="str">
        <f t="shared" si="200"/>
        <v>N/A</v>
      </c>
      <c r="CB162" s="16" t="str">
        <f t="shared" si="201"/>
        <v>N/A</v>
      </c>
      <c r="CC162" s="16" t="str">
        <f t="shared" si="202"/>
        <v>N/A</v>
      </c>
      <c r="CD162" s="16" t="str">
        <f t="shared" si="203"/>
        <v>N/A</v>
      </c>
      <c r="CE162" s="16" t="str">
        <f t="shared" si="204"/>
        <v>N/A</v>
      </c>
      <c r="CF162" s="16" t="str">
        <f t="shared" si="205"/>
        <v>N/A</v>
      </c>
      <c r="CG162" s="16" t="str">
        <f t="shared" si="206"/>
        <v>N/A</v>
      </c>
      <c r="CH162" s="16" t="str">
        <f t="shared" si="207"/>
        <v>N/A</v>
      </c>
      <c r="CI162" s="16" t="str">
        <f t="shared" si="208"/>
        <v>N/A</v>
      </c>
      <c r="CJ162" s="16" t="str">
        <f t="shared" si="209"/>
        <v>N/A</v>
      </c>
      <c r="CK162" s="16" t="str">
        <f t="shared" si="210"/>
        <v>N/A</v>
      </c>
      <c r="CL162" s="16" t="str">
        <f t="shared" si="211"/>
        <v>N/A</v>
      </c>
      <c r="CM162" s="16" t="str">
        <f t="shared" si="212"/>
        <v>N/A</v>
      </c>
      <c r="CN162" s="16" t="str">
        <f t="shared" si="213"/>
        <v>N/A</v>
      </c>
      <c r="CO162" s="16" t="str">
        <f t="shared" si="214"/>
        <v>N/A</v>
      </c>
      <c r="CP162" s="16" t="str">
        <f t="shared" si="215"/>
        <v>N/A</v>
      </c>
      <c r="CQ162" s="16" t="str">
        <f t="shared" si="216"/>
        <v>N/A</v>
      </c>
      <c r="CR162" s="16" t="str">
        <f t="shared" si="217"/>
        <v>N/A</v>
      </c>
      <c r="CS162" s="16" t="str">
        <f t="shared" si="218"/>
        <v>N/A</v>
      </c>
      <c r="CT162" s="16" t="str">
        <f t="shared" si="219"/>
        <v>N/A</v>
      </c>
      <c r="CU162" s="16" t="str">
        <f t="shared" si="220"/>
        <v>N/A</v>
      </c>
      <c r="CV162" s="16" t="str">
        <f t="shared" si="221"/>
        <v>N/A</v>
      </c>
      <c r="CW162" s="16" t="str">
        <f t="shared" si="222"/>
        <v>N/A</v>
      </c>
      <c r="CX162" s="16" t="str">
        <f t="shared" si="223"/>
        <v>N/A</v>
      </c>
      <c r="CY162" s="16" t="str">
        <f t="shared" si="224"/>
        <v>N/A</v>
      </c>
    </row>
    <row r="163" spans="2:103" x14ac:dyDescent="0.25">
      <c r="B163" s="11"/>
      <c r="C163" s="6"/>
      <c r="D163" s="6"/>
      <c r="E163" s="7"/>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5"/>
      <c r="BA163" s="5"/>
      <c r="BB163" s="5"/>
      <c r="BC163" s="5"/>
      <c r="BD163" s="5">
        <f t="shared" si="178"/>
        <v>0</v>
      </c>
      <c r="BE163" s="2"/>
      <c r="BF163" s="2" t="str">
        <f t="shared" si="179"/>
        <v>Menos Horas</v>
      </c>
      <c r="BG163" s="2" t="str">
        <f t="shared" si="180"/>
        <v>Carga Lectiva Insuficiente</v>
      </c>
      <c r="BH163" s="16" t="str">
        <f t="shared" si="181"/>
        <v>Cumple</v>
      </c>
      <c r="BI163" s="2" t="str">
        <f t="shared" si="182"/>
        <v>Cumple</v>
      </c>
      <c r="BJ163" s="16" t="str">
        <f t="shared" si="183"/>
        <v>Cumple</v>
      </c>
      <c r="BK163" s="16" t="str">
        <f t="shared" si="184"/>
        <v>N/A</v>
      </c>
      <c r="BL163" s="16" t="str">
        <f t="shared" si="185"/>
        <v>N/A</v>
      </c>
      <c r="BM163" s="16" t="str">
        <f t="shared" si="186"/>
        <v>N/A</v>
      </c>
      <c r="BN163" s="16" t="str">
        <f t="shared" si="187"/>
        <v>N/A</v>
      </c>
      <c r="BO163" s="16" t="str">
        <f t="shared" si="188"/>
        <v>N/A</v>
      </c>
      <c r="BP163" s="16" t="str">
        <f t="shared" si="189"/>
        <v>N/A</v>
      </c>
      <c r="BQ163" s="16" t="str">
        <f t="shared" si="190"/>
        <v>N/A</v>
      </c>
      <c r="BR163" s="16" t="str">
        <f t="shared" si="191"/>
        <v>N/A</v>
      </c>
      <c r="BS163" s="16" t="str">
        <f t="shared" si="192"/>
        <v>N/A</v>
      </c>
      <c r="BT163" s="16" t="str">
        <f t="shared" si="193"/>
        <v>N/A</v>
      </c>
      <c r="BU163" s="16" t="str">
        <f t="shared" si="194"/>
        <v>N/A</v>
      </c>
      <c r="BV163" s="16" t="str">
        <f t="shared" si="195"/>
        <v>N/A</v>
      </c>
      <c r="BW163" s="16" t="str">
        <f t="shared" si="196"/>
        <v>N/A</v>
      </c>
      <c r="BX163" s="16" t="str">
        <f t="shared" si="197"/>
        <v>N/A</v>
      </c>
      <c r="BY163" s="16" t="str">
        <f t="shared" si="198"/>
        <v>N/A</v>
      </c>
      <c r="BZ163" s="16" t="str">
        <f t="shared" si="199"/>
        <v>N/A</v>
      </c>
      <c r="CA163" s="16" t="str">
        <f t="shared" si="200"/>
        <v>N/A</v>
      </c>
      <c r="CB163" s="16" t="str">
        <f t="shared" si="201"/>
        <v>N/A</v>
      </c>
      <c r="CC163" s="16" t="str">
        <f t="shared" si="202"/>
        <v>N/A</v>
      </c>
      <c r="CD163" s="16" t="str">
        <f t="shared" si="203"/>
        <v>N/A</v>
      </c>
      <c r="CE163" s="16" t="str">
        <f t="shared" si="204"/>
        <v>N/A</v>
      </c>
      <c r="CF163" s="16" t="str">
        <f t="shared" si="205"/>
        <v>N/A</v>
      </c>
      <c r="CG163" s="16" t="str">
        <f t="shared" si="206"/>
        <v>N/A</v>
      </c>
      <c r="CH163" s="16" t="str">
        <f t="shared" si="207"/>
        <v>N/A</v>
      </c>
      <c r="CI163" s="16" t="str">
        <f t="shared" si="208"/>
        <v>N/A</v>
      </c>
      <c r="CJ163" s="16" t="str">
        <f t="shared" si="209"/>
        <v>N/A</v>
      </c>
      <c r="CK163" s="16" t="str">
        <f t="shared" si="210"/>
        <v>N/A</v>
      </c>
      <c r="CL163" s="16" t="str">
        <f t="shared" si="211"/>
        <v>N/A</v>
      </c>
      <c r="CM163" s="16" t="str">
        <f t="shared" si="212"/>
        <v>N/A</v>
      </c>
      <c r="CN163" s="16" t="str">
        <f t="shared" si="213"/>
        <v>N/A</v>
      </c>
      <c r="CO163" s="16" t="str">
        <f t="shared" si="214"/>
        <v>N/A</v>
      </c>
      <c r="CP163" s="16" t="str">
        <f t="shared" si="215"/>
        <v>N/A</v>
      </c>
      <c r="CQ163" s="16" t="str">
        <f t="shared" si="216"/>
        <v>N/A</v>
      </c>
      <c r="CR163" s="16" t="str">
        <f t="shared" si="217"/>
        <v>N/A</v>
      </c>
      <c r="CS163" s="16" t="str">
        <f t="shared" si="218"/>
        <v>N/A</v>
      </c>
      <c r="CT163" s="16" t="str">
        <f t="shared" si="219"/>
        <v>N/A</v>
      </c>
      <c r="CU163" s="16" t="str">
        <f t="shared" si="220"/>
        <v>N/A</v>
      </c>
      <c r="CV163" s="16" t="str">
        <f t="shared" si="221"/>
        <v>N/A</v>
      </c>
      <c r="CW163" s="16" t="str">
        <f t="shared" si="222"/>
        <v>N/A</v>
      </c>
      <c r="CX163" s="16" t="str">
        <f t="shared" si="223"/>
        <v>N/A</v>
      </c>
      <c r="CY163" s="16" t="str">
        <f t="shared" si="224"/>
        <v>N/A</v>
      </c>
    </row>
    <row r="164" spans="2:103" x14ac:dyDescent="0.25">
      <c r="B164" s="11"/>
      <c r="C164" s="6"/>
      <c r="D164" s="6"/>
      <c r="E164" s="7"/>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5"/>
      <c r="BA164" s="5"/>
      <c r="BB164" s="5"/>
      <c r="BC164" s="5"/>
      <c r="BD164" s="5">
        <f t="shared" si="178"/>
        <v>0</v>
      </c>
      <c r="BE164" s="2"/>
      <c r="BF164" s="2" t="str">
        <f t="shared" si="179"/>
        <v>Menos Horas</v>
      </c>
      <c r="BG164" s="2" t="str">
        <f t="shared" si="180"/>
        <v>Carga Lectiva Insuficiente</v>
      </c>
      <c r="BH164" s="16" t="str">
        <f t="shared" si="181"/>
        <v>Cumple</v>
      </c>
      <c r="BI164" s="2" t="str">
        <f t="shared" si="182"/>
        <v>Cumple</v>
      </c>
      <c r="BJ164" s="16" t="str">
        <f t="shared" si="183"/>
        <v>Cumple</v>
      </c>
      <c r="BK164" s="16" t="str">
        <f t="shared" si="184"/>
        <v>N/A</v>
      </c>
      <c r="BL164" s="16" t="str">
        <f t="shared" si="185"/>
        <v>N/A</v>
      </c>
      <c r="BM164" s="16" t="str">
        <f t="shared" si="186"/>
        <v>N/A</v>
      </c>
      <c r="BN164" s="16" t="str">
        <f t="shared" si="187"/>
        <v>N/A</v>
      </c>
      <c r="BO164" s="16" t="str">
        <f t="shared" si="188"/>
        <v>N/A</v>
      </c>
      <c r="BP164" s="16" t="str">
        <f t="shared" si="189"/>
        <v>N/A</v>
      </c>
      <c r="BQ164" s="16" t="str">
        <f t="shared" si="190"/>
        <v>N/A</v>
      </c>
      <c r="BR164" s="16" t="str">
        <f t="shared" si="191"/>
        <v>N/A</v>
      </c>
      <c r="BS164" s="16" t="str">
        <f t="shared" si="192"/>
        <v>N/A</v>
      </c>
      <c r="BT164" s="16" t="str">
        <f t="shared" si="193"/>
        <v>N/A</v>
      </c>
      <c r="BU164" s="16" t="str">
        <f t="shared" si="194"/>
        <v>N/A</v>
      </c>
      <c r="BV164" s="16" t="str">
        <f t="shared" si="195"/>
        <v>N/A</v>
      </c>
      <c r="BW164" s="16" t="str">
        <f t="shared" si="196"/>
        <v>N/A</v>
      </c>
      <c r="BX164" s="16" t="str">
        <f t="shared" si="197"/>
        <v>N/A</v>
      </c>
      <c r="BY164" s="16" t="str">
        <f t="shared" si="198"/>
        <v>N/A</v>
      </c>
      <c r="BZ164" s="16" t="str">
        <f t="shared" si="199"/>
        <v>N/A</v>
      </c>
      <c r="CA164" s="16" t="str">
        <f t="shared" si="200"/>
        <v>N/A</v>
      </c>
      <c r="CB164" s="16" t="str">
        <f t="shared" si="201"/>
        <v>N/A</v>
      </c>
      <c r="CC164" s="16" t="str">
        <f t="shared" si="202"/>
        <v>N/A</v>
      </c>
      <c r="CD164" s="16" t="str">
        <f t="shared" si="203"/>
        <v>N/A</v>
      </c>
      <c r="CE164" s="16" t="str">
        <f t="shared" si="204"/>
        <v>N/A</v>
      </c>
      <c r="CF164" s="16" t="str">
        <f t="shared" si="205"/>
        <v>N/A</v>
      </c>
      <c r="CG164" s="16" t="str">
        <f t="shared" si="206"/>
        <v>N/A</v>
      </c>
      <c r="CH164" s="16" t="str">
        <f t="shared" si="207"/>
        <v>N/A</v>
      </c>
      <c r="CI164" s="16" t="str">
        <f t="shared" si="208"/>
        <v>N/A</v>
      </c>
      <c r="CJ164" s="16" t="str">
        <f t="shared" si="209"/>
        <v>N/A</v>
      </c>
      <c r="CK164" s="16" t="str">
        <f t="shared" si="210"/>
        <v>N/A</v>
      </c>
      <c r="CL164" s="16" t="str">
        <f t="shared" si="211"/>
        <v>N/A</v>
      </c>
      <c r="CM164" s="16" t="str">
        <f t="shared" si="212"/>
        <v>N/A</v>
      </c>
      <c r="CN164" s="16" t="str">
        <f t="shared" si="213"/>
        <v>N/A</v>
      </c>
      <c r="CO164" s="16" t="str">
        <f t="shared" si="214"/>
        <v>N/A</v>
      </c>
      <c r="CP164" s="16" t="str">
        <f t="shared" si="215"/>
        <v>N/A</v>
      </c>
      <c r="CQ164" s="16" t="str">
        <f t="shared" si="216"/>
        <v>N/A</v>
      </c>
      <c r="CR164" s="16" t="str">
        <f t="shared" si="217"/>
        <v>N/A</v>
      </c>
      <c r="CS164" s="16" t="str">
        <f t="shared" si="218"/>
        <v>N/A</v>
      </c>
      <c r="CT164" s="16" t="str">
        <f t="shared" si="219"/>
        <v>N/A</v>
      </c>
      <c r="CU164" s="16" t="str">
        <f t="shared" si="220"/>
        <v>N/A</v>
      </c>
      <c r="CV164" s="16" t="str">
        <f t="shared" si="221"/>
        <v>N/A</v>
      </c>
      <c r="CW164" s="16" t="str">
        <f t="shared" si="222"/>
        <v>N/A</v>
      </c>
      <c r="CX164" s="16" t="str">
        <f t="shared" si="223"/>
        <v>N/A</v>
      </c>
      <c r="CY164" s="16" t="str">
        <f t="shared" si="224"/>
        <v>N/A</v>
      </c>
    </row>
    <row r="165" spans="2:103" x14ac:dyDescent="0.25">
      <c r="B165" s="2"/>
      <c r="C165" s="6"/>
      <c r="D165" s="6"/>
      <c r="E165" s="7"/>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5"/>
      <c r="BA165" s="5"/>
      <c r="BB165" s="5"/>
      <c r="BC165" s="5"/>
      <c r="BD165" s="5">
        <f t="shared" si="178"/>
        <v>0</v>
      </c>
      <c r="BE165" s="2"/>
      <c r="BF165" s="2" t="str">
        <f t="shared" si="179"/>
        <v>Menos Horas</v>
      </c>
      <c r="BG165" s="2" t="str">
        <f t="shared" si="180"/>
        <v>Carga Lectiva Insuficiente</v>
      </c>
      <c r="BH165" s="16" t="str">
        <f t="shared" si="181"/>
        <v>Cumple</v>
      </c>
      <c r="BI165" s="2" t="str">
        <f t="shared" si="182"/>
        <v>Cumple</v>
      </c>
      <c r="BJ165" s="16" t="str">
        <f t="shared" si="183"/>
        <v>Cumple</v>
      </c>
      <c r="BK165" s="16" t="str">
        <f t="shared" si="184"/>
        <v>N/A</v>
      </c>
      <c r="BL165" s="16" t="str">
        <f t="shared" si="185"/>
        <v>N/A</v>
      </c>
      <c r="BM165" s="16" t="str">
        <f t="shared" si="186"/>
        <v>N/A</v>
      </c>
      <c r="BN165" s="16" t="str">
        <f t="shared" si="187"/>
        <v>N/A</v>
      </c>
      <c r="BO165" s="16" t="str">
        <f t="shared" si="188"/>
        <v>N/A</v>
      </c>
      <c r="BP165" s="16" t="str">
        <f t="shared" si="189"/>
        <v>N/A</v>
      </c>
      <c r="BQ165" s="16" t="str">
        <f t="shared" si="190"/>
        <v>N/A</v>
      </c>
      <c r="BR165" s="16" t="str">
        <f t="shared" si="191"/>
        <v>N/A</v>
      </c>
      <c r="BS165" s="16" t="str">
        <f t="shared" si="192"/>
        <v>N/A</v>
      </c>
      <c r="BT165" s="16" t="str">
        <f t="shared" si="193"/>
        <v>N/A</v>
      </c>
      <c r="BU165" s="16" t="str">
        <f t="shared" si="194"/>
        <v>N/A</v>
      </c>
      <c r="BV165" s="16" t="str">
        <f t="shared" si="195"/>
        <v>N/A</v>
      </c>
      <c r="BW165" s="16" t="str">
        <f t="shared" si="196"/>
        <v>N/A</v>
      </c>
      <c r="BX165" s="16" t="str">
        <f t="shared" si="197"/>
        <v>N/A</v>
      </c>
      <c r="BY165" s="16" t="str">
        <f t="shared" si="198"/>
        <v>N/A</v>
      </c>
      <c r="BZ165" s="16" t="str">
        <f t="shared" si="199"/>
        <v>N/A</v>
      </c>
      <c r="CA165" s="16" t="str">
        <f t="shared" si="200"/>
        <v>N/A</v>
      </c>
      <c r="CB165" s="16" t="str">
        <f t="shared" si="201"/>
        <v>N/A</v>
      </c>
      <c r="CC165" s="16" t="str">
        <f t="shared" si="202"/>
        <v>N/A</v>
      </c>
      <c r="CD165" s="16" t="str">
        <f t="shared" si="203"/>
        <v>N/A</v>
      </c>
      <c r="CE165" s="16" t="str">
        <f t="shared" si="204"/>
        <v>N/A</v>
      </c>
      <c r="CF165" s="16" t="str">
        <f t="shared" si="205"/>
        <v>N/A</v>
      </c>
      <c r="CG165" s="16" t="str">
        <f t="shared" si="206"/>
        <v>N/A</v>
      </c>
      <c r="CH165" s="16" t="str">
        <f t="shared" si="207"/>
        <v>N/A</v>
      </c>
      <c r="CI165" s="16" t="str">
        <f t="shared" si="208"/>
        <v>N/A</v>
      </c>
      <c r="CJ165" s="16" t="str">
        <f t="shared" si="209"/>
        <v>N/A</v>
      </c>
      <c r="CK165" s="16" t="str">
        <f t="shared" si="210"/>
        <v>N/A</v>
      </c>
      <c r="CL165" s="16" t="str">
        <f t="shared" si="211"/>
        <v>N/A</v>
      </c>
      <c r="CM165" s="16" t="str">
        <f t="shared" si="212"/>
        <v>N/A</v>
      </c>
      <c r="CN165" s="16" t="str">
        <f t="shared" si="213"/>
        <v>N/A</v>
      </c>
      <c r="CO165" s="16" t="str">
        <f t="shared" si="214"/>
        <v>N/A</v>
      </c>
      <c r="CP165" s="16" t="str">
        <f t="shared" si="215"/>
        <v>N/A</v>
      </c>
      <c r="CQ165" s="16" t="str">
        <f t="shared" si="216"/>
        <v>N/A</v>
      </c>
      <c r="CR165" s="16" t="str">
        <f t="shared" si="217"/>
        <v>N/A</v>
      </c>
      <c r="CS165" s="16" t="str">
        <f t="shared" si="218"/>
        <v>N/A</v>
      </c>
      <c r="CT165" s="16" t="str">
        <f t="shared" si="219"/>
        <v>N/A</v>
      </c>
      <c r="CU165" s="16" t="str">
        <f t="shared" si="220"/>
        <v>N/A</v>
      </c>
      <c r="CV165" s="16" t="str">
        <f t="shared" si="221"/>
        <v>N/A</v>
      </c>
      <c r="CW165" s="16" t="str">
        <f t="shared" si="222"/>
        <v>N/A</v>
      </c>
      <c r="CX165" s="16" t="str">
        <f t="shared" si="223"/>
        <v>N/A</v>
      </c>
      <c r="CY165" s="16" t="str">
        <f t="shared" si="224"/>
        <v>N/A</v>
      </c>
    </row>
    <row r="166" spans="2:103" x14ac:dyDescent="0.25">
      <c r="B166" s="2"/>
      <c r="C166" s="6"/>
      <c r="D166" s="6"/>
      <c r="E166" s="7"/>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5"/>
      <c r="BA166" s="5"/>
      <c r="BB166" s="5"/>
      <c r="BC166" s="5"/>
      <c r="BD166" s="5">
        <f t="shared" si="178"/>
        <v>0</v>
      </c>
      <c r="BE166" s="2"/>
      <c r="BF166" s="2" t="str">
        <f t="shared" si="179"/>
        <v>Menos Horas</v>
      </c>
      <c r="BG166" s="2" t="str">
        <f t="shared" si="180"/>
        <v>Carga Lectiva Insuficiente</v>
      </c>
      <c r="BH166" s="16" t="str">
        <f t="shared" si="181"/>
        <v>Cumple</v>
      </c>
      <c r="BI166" s="2" t="str">
        <f t="shared" si="182"/>
        <v>Cumple</v>
      </c>
      <c r="BJ166" s="16" t="str">
        <f t="shared" si="183"/>
        <v>Cumple</v>
      </c>
      <c r="BK166" s="16" t="str">
        <f t="shared" si="184"/>
        <v>N/A</v>
      </c>
      <c r="BL166" s="16" t="str">
        <f t="shared" si="185"/>
        <v>N/A</v>
      </c>
      <c r="BM166" s="16" t="str">
        <f t="shared" si="186"/>
        <v>N/A</v>
      </c>
      <c r="BN166" s="16" t="str">
        <f t="shared" si="187"/>
        <v>N/A</v>
      </c>
      <c r="BO166" s="16" t="str">
        <f t="shared" si="188"/>
        <v>N/A</v>
      </c>
      <c r="BP166" s="16" t="str">
        <f t="shared" si="189"/>
        <v>N/A</v>
      </c>
      <c r="BQ166" s="16" t="str">
        <f t="shared" si="190"/>
        <v>N/A</v>
      </c>
      <c r="BR166" s="16" t="str">
        <f t="shared" si="191"/>
        <v>N/A</v>
      </c>
      <c r="BS166" s="16" t="str">
        <f t="shared" si="192"/>
        <v>N/A</v>
      </c>
      <c r="BT166" s="16" t="str">
        <f t="shared" si="193"/>
        <v>N/A</v>
      </c>
      <c r="BU166" s="16" t="str">
        <f t="shared" si="194"/>
        <v>N/A</v>
      </c>
      <c r="BV166" s="16" t="str">
        <f t="shared" si="195"/>
        <v>N/A</v>
      </c>
      <c r="BW166" s="16" t="str">
        <f t="shared" si="196"/>
        <v>N/A</v>
      </c>
      <c r="BX166" s="16" t="str">
        <f t="shared" si="197"/>
        <v>N/A</v>
      </c>
      <c r="BY166" s="16" t="str">
        <f t="shared" si="198"/>
        <v>N/A</v>
      </c>
      <c r="BZ166" s="16" t="str">
        <f t="shared" si="199"/>
        <v>N/A</v>
      </c>
      <c r="CA166" s="16" t="str">
        <f t="shared" si="200"/>
        <v>N/A</v>
      </c>
      <c r="CB166" s="16" t="str">
        <f t="shared" si="201"/>
        <v>N/A</v>
      </c>
      <c r="CC166" s="16" t="str">
        <f t="shared" si="202"/>
        <v>N/A</v>
      </c>
      <c r="CD166" s="16" t="str">
        <f t="shared" si="203"/>
        <v>N/A</v>
      </c>
      <c r="CE166" s="16" t="str">
        <f t="shared" si="204"/>
        <v>N/A</v>
      </c>
      <c r="CF166" s="16" t="str">
        <f t="shared" si="205"/>
        <v>N/A</v>
      </c>
      <c r="CG166" s="16" t="str">
        <f t="shared" si="206"/>
        <v>N/A</v>
      </c>
      <c r="CH166" s="16" t="str">
        <f t="shared" si="207"/>
        <v>N/A</v>
      </c>
      <c r="CI166" s="16" t="str">
        <f t="shared" si="208"/>
        <v>N/A</v>
      </c>
      <c r="CJ166" s="16" t="str">
        <f t="shared" si="209"/>
        <v>N/A</v>
      </c>
      <c r="CK166" s="16" t="str">
        <f t="shared" si="210"/>
        <v>N/A</v>
      </c>
      <c r="CL166" s="16" t="str">
        <f t="shared" si="211"/>
        <v>N/A</v>
      </c>
      <c r="CM166" s="16" t="str">
        <f t="shared" si="212"/>
        <v>N/A</v>
      </c>
      <c r="CN166" s="16" t="str">
        <f t="shared" si="213"/>
        <v>N/A</v>
      </c>
      <c r="CO166" s="16" t="str">
        <f t="shared" si="214"/>
        <v>N/A</v>
      </c>
      <c r="CP166" s="16" t="str">
        <f t="shared" si="215"/>
        <v>N/A</v>
      </c>
      <c r="CQ166" s="16" t="str">
        <f t="shared" si="216"/>
        <v>N/A</v>
      </c>
      <c r="CR166" s="16" t="str">
        <f t="shared" si="217"/>
        <v>N/A</v>
      </c>
      <c r="CS166" s="16" t="str">
        <f t="shared" si="218"/>
        <v>N/A</v>
      </c>
      <c r="CT166" s="16" t="str">
        <f t="shared" si="219"/>
        <v>N/A</v>
      </c>
      <c r="CU166" s="16" t="str">
        <f t="shared" si="220"/>
        <v>N/A</v>
      </c>
      <c r="CV166" s="16" t="str">
        <f t="shared" si="221"/>
        <v>N/A</v>
      </c>
      <c r="CW166" s="16" t="str">
        <f t="shared" si="222"/>
        <v>N/A</v>
      </c>
      <c r="CX166" s="16" t="str">
        <f t="shared" si="223"/>
        <v>N/A</v>
      </c>
      <c r="CY166" s="16" t="str">
        <f t="shared" si="224"/>
        <v>N/A</v>
      </c>
    </row>
    <row r="167" spans="2:103" x14ac:dyDescent="0.25">
      <c r="B167" s="2"/>
      <c r="C167" s="6"/>
      <c r="D167" s="6"/>
      <c r="E167" s="7"/>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5"/>
      <c r="BA167" s="5"/>
      <c r="BB167" s="5"/>
      <c r="BC167" s="5"/>
      <c r="BD167" s="5">
        <f t="shared" ref="BD167:BD175" si="225">AY167+AZ167</f>
        <v>0</v>
      </c>
      <c r="BE167" s="9" t="s">
        <v>74</v>
      </c>
      <c r="BF167" s="2" t="str">
        <f t="shared" ref="BF167:BF175" si="226">IF(BD167=40,"Cumple",IF(BD167&gt;40,"Mas Horas","Menos Horas"))</f>
        <v>Menos Horas</v>
      </c>
      <c r="BG167" s="2" t="str">
        <f t="shared" ref="BG167:BG175" si="227">IF(BA167=1,IF(AZ167&gt;18,"Exceso Carga Lectiva",IF(AZ167&lt;16,"Carga Lectiva Insuficiente","Cumple")),IF(AZ167&gt;14,"Exceso Carga Lectiva",IF(AZ167&lt;12,"Carga Lectiva Insuficiente","Cumple")))</f>
        <v>Carga Lectiva Insuficiente</v>
      </c>
      <c r="BH167" s="16" t="str">
        <f t="shared" ref="BH167:BH175" si="228">IF(AL167&gt;(AZ167/2),"Exceso Horas","Cumple")</f>
        <v>Cumple</v>
      </c>
      <c r="BI167" s="2" t="str">
        <f t="shared" ref="BI167:BI175" si="229">IF(F167&gt;8,"Exceso Horas","Cumple")</f>
        <v>Cumple</v>
      </c>
      <c r="BJ167" s="16" t="str">
        <f t="shared" ref="BJ167:BJ175" si="230">IF(G167&gt;4,"Exceso Horas","Cumple")</f>
        <v>Cumple</v>
      </c>
      <c r="BK167" s="16" t="str">
        <f t="shared" ref="BK167:BK175" si="231">IF(H167=0,"N/A",IF(H167&gt;8,"Exceso Horas","Cumple"))</f>
        <v>N/A</v>
      </c>
      <c r="BL167" s="16" t="str">
        <f t="shared" ref="BL167:BL175" si="232">IF(J167=0,"N/A",IF(J167&gt;2,"Exceso Horas","Cumple"))</f>
        <v>N/A</v>
      </c>
      <c r="BM167" s="16" t="str">
        <f t="shared" ref="BM167:BM175" si="233">IF(M167=0,"N/A",IF(M167&gt;20,"Exceso Horas","Cumple"))</f>
        <v>N/A</v>
      </c>
      <c r="BN167" s="16" t="str">
        <f t="shared" ref="BN167:BN175" si="234">IF(N167=0,"N/A",IF(N167&gt;20,"Exceso Horas","Cumple"))</f>
        <v>N/A</v>
      </c>
      <c r="BO167" s="16" t="str">
        <f t="shared" ref="BO167:BO175" si="235">IF(O167=0,"N/A",IF(O167&gt;20,"Exceso Horas","Cumple"))</f>
        <v>N/A</v>
      </c>
      <c r="BP167" s="16" t="str">
        <f t="shared" ref="BP167:BP175" si="236">IF(P167=0,"N/A",IF(P167&gt;20,"Exceso Horas","Cumple"))</f>
        <v>N/A</v>
      </c>
      <c r="BQ167" s="16" t="str">
        <f t="shared" ref="BQ167:BQ175" si="237">IF(Q167=0,"N/A",IF(Q167&gt;20,"Exceso Horas","Cumple"))</f>
        <v>N/A</v>
      </c>
      <c r="BR167" s="16" t="str">
        <f t="shared" ref="BR167:BR175" si="238">IF(R167=0,"N/A",IF(R167&gt;20,"Exceso Horas","Cumple"))</f>
        <v>N/A</v>
      </c>
      <c r="BS167" s="16" t="str">
        <f t="shared" ref="BS167:BS175" si="239">IF(S167=0,"N/A",IF(S167&gt;8,"Exceso Horas","Cumple"))</f>
        <v>N/A</v>
      </c>
      <c r="BT167" s="16" t="str">
        <f t="shared" ref="BT167:BT175" si="240">IF(U167=0,"N/A",IF(U167&gt;2,"Exceso Horas","Cumple"))</f>
        <v>N/A</v>
      </c>
      <c r="BU167" s="16" t="str">
        <f t="shared" ref="BU167:BU175" si="241">IF(V167=0,"N/A",IF(V167&gt;12,"Exceso Horas","Cumple"))</f>
        <v>N/A</v>
      </c>
      <c r="BV167" s="16" t="str">
        <f t="shared" ref="BV167:BV175" si="242">IF(W167=0,"N/A",IF(W167&gt;12,"Exceso Horas","Cumple"))</f>
        <v>N/A</v>
      </c>
      <c r="BW167" s="16" t="str">
        <f t="shared" ref="BW167:BW175" si="243">IF(X167=0,"N/A",IF(X167&gt;4,"Exceso Horas","Cumple"))</f>
        <v>N/A</v>
      </c>
      <c r="BX167" s="16" t="str">
        <f t="shared" ref="BX167:BX175" si="244">IF(Y167=0,"N/A",IF(Y167&gt;2,"Exceso Horas","Cumple"))</f>
        <v>N/A</v>
      </c>
      <c r="BY167" s="16" t="str">
        <f t="shared" ref="BY167:BY175" si="245">IF(Z167=0,"N/A",IF(Z167&gt;10,"Exceso Horas","Cumple"))</f>
        <v>N/A</v>
      </c>
      <c r="BZ167" s="16" t="str">
        <f t="shared" ref="BZ167:BZ175" si="246">IF(AA167=0,"N/A",IF(AA167&gt;8,"Exceso Horas","Cumple"))</f>
        <v>N/A</v>
      </c>
      <c r="CA167" s="16" t="str">
        <f t="shared" ref="CA167:CA175" si="247">IF(AC167=0,"N/A",IF(AC167&gt;4,"Exceso Horas","Cumple"))</f>
        <v>N/A</v>
      </c>
      <c r="CB167" s="16" t="str">
        <f t="shared" ref="CB167:CB175" si="248">IF(AD167=0,"N/A",IF(AD167&gt;8,"Exceso Horas","Cumple"))</f>
        <v>N/A</v>
      </c>
      <c r="CC167" s="16" t="str">
        <f t="shared" ref="CC167:CC175" si="249">IF(AE167=0,"N/A",IF(AE167&gt;2,"Exceso Horas","Cumple"))</f>
        <v>N/A</v>
      </c>
      <c r="CD167" s="16" t="str">
        <f t="shared" ref="CD167:CD175" si="250">IF(AF167=0,"N/A",IF(AF167&gt;2,"Exceso Horas","Cumple"))</f>
        <v>N/A</v>
      </c>
      <c r="CE167" s="16" t="str">
        <f t="shared" ref="CE167:CE175" si="251">IF(AG167=0,"N/A",IF(AG167&gt;2,"Exceso Horas","Cumple"))</f>
        <v>N/A</v>
      </c>
      <c r="CF167" s="16" t="str">
        <f t="shared" ref="CF167:CF175" si="252">IF(AH167=0,"N/A",IF(AH167&gt;2,"Exceso Horas","Cumple"))</f>
        <v>N/A</v>
      </c>
      <c r="CG167" s="16" t="str">
        <f t="shared" ref="CG167:CG175" si="253">IF(AI167=0,"N/A",IF(AI167&gt;2,"Exceso Horas","Cumple"))</f>
        <v>N/A</v>
      </c>
      <c r="CH167" s="16" t="str">
        <f t="shared" ref="CH167:CH175" si="254">IF(AJ167=0,"N/A",IF(AJ167&gt;4,"Exceso Horas","Cumple"))</f>
        <v>N/A</v>
      </c>
      <c r="CI167" s="16" t="str">
        <f t="shared" ref="CI167:CI175" si="255">IF(AK167=0,"N/A",IF(AK167&gt;4,"Exceso Horas","Cumple"))</f>
        <v>N/A</v>
      </c>
      <c r="CJ167" s="16" t="str">
        <f t="shared" ref="CJ167:CJ175" si="256">IF(AM167=0,"N/A",IF(AM167&gt;4,"Exceso Horas","Cumple"))</f>
        <v>N/A</v>
      </c>
      <c r="CK167" s="16" t="str">
        <f t="shared" ref="CK167:CK175" si="257">IF(AN167=0,"N/A",IF(AN167&gt;14,"Exceso Horas","Cumple"))</f>
        <v>N/A</v>
      </c>
      <c r="CL167" s="16" t="str">
        <f t="shared" ref="CL167:CL175" si="258">IF(AO167=0,"N/A",IF(A167&gt;10,"Exceso Horas","Cumple"))</f>
        <v>N/A</v>
      </c>
      <c r="CM167" s="16" t="str">
        <f t="shared" ref="CM167:CM175" si="259">IF(AP167=0,"N/A",IF(AP167&gt;6,"Exceso Horas","Cumple"))</f>
        <v>N/A</v>
      </c>
      <c r="CN167" s="16" t="str">
        <f t="shared" ref="CN167:CN175" si="260">IF(AR167=0,"N/A",IF(AR167&gt;4,"Exceso Horas","Cumple"))</f>
        <v>N/A</v>
      </c>
      <c r="CO167" s="16" t="str">
        <f t="shared" ref="CO167:CO175" si="261">IF(AS167=0,"N/A",IF(AS167&gt;8,"Exceso Horas","Cumple"))</f>
        <v>N/A</v>
      </c>
      <c r="CP167" s="16" t="str">
        <f t="shared" ref="CP167:CP175" si="262">IF(AT167=0,"N/A",IF(AT167&gt;4,"Exceso Horas","Cumple"))</f>
        <v>N/A</v>
      </c>
      <c r="CQ167" s="16" t="str">
        <f t="shared" ref="CQ167:CQ175" si="263">IF(AU167=0,"N/A",IF(AU167&gt;4,"Exceso Horas","Cumple"))</f>
        <v>N/A</v>
      </c>
      <c r="CR167" s="16" t="str">
        <f t="shared" ref="CR167:CR175" si="264">IF(AV167=0,"N/A",IF(AV167&gt;8,"Exceso Horas","Cumple"))</f>
        <v>N/A</v>
      </c>
      <c r="CS167" s="16" t="str">
        <f t="shared" ref="CS167:CS175" si="265">IF(AW167=0,"N/A",IF(AW167&gt;2,"Exceso Horas","Cumple"))</f>
        <v>N/A</v>
      </c>
      <c r="CT167" s="16" t="str">
        <f t="shared" ref="CT167:CT175" si="266">IF(AX167=0,"N/A",IF(AX167&gt;4,"Exceso Horas","Cumple"))</f>
        <v>N/A</v>
      </c>
      <c r="CU167" s="16" t="str">
        <f t="shared" si="220"/>
        <v>N/A</v>
      </c>
      <c r="CV167" s="16" t="str">
        <f t="shared" si="221"/>
        <v>N/A</v>
      </c>
      <c r="CW167" s="16" t="str">
        <f t="shared" si="222"/>
        <v>N/A</v>
      </c>
      <c r="CX167" s="16" t="str">
        <f t="shared" si="223"/>
        <v>N/A</v>
      </c>
      <c r="CY167" s="16" t="str">
        <f t="shared" si="224"/>
        <v>N/A</v>
      </c>
    </row>
    <row r="168" spans="2:103" x14ac:dyDescent="0.25">
      <c r="B168" s="2"/>
      <c r="C168" s="6"/>
      <c r="D168" s="6"/>
      <c r="E168" s="7"/>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5"/>
      <c r="BA168" s="5"/>
      <c r="BB168" s="5"/>
      <c r="BC168" s="5"/>
      <c r="BD168" s="5">
        <f t="shared" si="225"/>
        <v>0</v>
      </c>
      <c r="BE168" s="2"/>
      <c r="BF168" s="2" t="str">
        <f t="shared" si="226"/>
        <v>Menos Horas</v>
      </c>
      <c r="BG168" s="2" t="str">
        <f t="shared" si="227"/>
        <v>Carga Lectiva Insuficiente</v>
      </c>
      <c r="BH168" s="16" t="str">
        <f t="shared" si="228"/>
        <v>Cumple</v>
      </c>
      <c r="BI168" s="2" t="str">
        <f t="shared" si="229"/>
        <v>Cumple</v>
      </c>
      <c r="BJ168" s="16" t="str">
        <f t="shared" si="230"/>
        <v>Cumple</v>
      </c>
      <c r="BK168" s="16" t="str">
        <f t="shared" si="231"/>
        <v>N/A</v>
      </c>
      <c r="BL168" s="16" t="str">
        <f t="shared" si="232"/>
        <v>N/A</v>
      </c>
      <c r="BM168" s="16" t="str">
        <f t="shared" si="233"/>
        <v>N/A</v>
      </c>
      <c r="BN168" s="16" t="str">
        <f t="shared" si="234"/>
        <v>N/A</v>
      </c>
      <c r="BO168" s="16" t="str">
        <f t="shared" si="235"/>
        <v>N/A</v>
      </c>
      <c r="BP168" s="16" t="str">
        <f t="shared" si="236"/>
        <v>N/A</v>
      </c>
      <c r="BQ168" s="16" t="str">
        <f t="shared" si="237"/>
        <v>N/A</v>
      </c>
      <c r="BR168" s="16" t="str">
        <f t="shared" si="238"/>
        <v>N/A</v>
      </c>
      <c r="BS168" s="16" t="str">
        <f t="shared" si="239"/>
        <v>N/A</v>
      </c>
      <c r="BT168" s="16" t="str">
        <f t="shared" si="240"/>
        <v>N/A</v>
      </c>
      <c r="BU168" s="16" t="str">
        <f t="shared" si="241"/>
        <v>N/A</v>
      </c>
      <c r="BV168" s="16" t="str">
        <f t="shared" si="242"/>
        <v>N/A</v>
      </c>
      <c r="BW168" s="16" t="str">
        <f t="shared" si="243"/>
        <v>N/A</v>
      </c>
      <c r="BX168" s="16" t="str">
        <f t="shared" si="244"/>
        <v>N/A</v>
      </c>
      <c r="BY168" s="16" t="str">
        <f t="shared" si="245"/>
        <v>N/A</v>
      </c>
      <c r="BZ168" s="16" t="str">
        <f t="shared" si="246"/>
        <v>N/A</v>
      </c>
      <c r="CA168" s="16" t="str">
        <f t="shared" si="247"/>
        <v>N/A</v>
      </c>
      <c r="CB168" s="16" t="str">
        <f t="shared" si="248"/>
        <v>N/A</v>
      </c>
      <c r="CC168" s="16" t="str">
        <f t="shared" si="249"/>
        <v>N/A</v>
      </c>
      <c r="CD168" s="16" t="str">
        <f t="shared" si="250"/>
        <v>N/A</v>
      </c>
      <c r="CE168" s="16" t="str">
        <f t="shared" si="251"/>
        <v>N/A</v>
      </c>
      <c r="CF168" s="16" t="str">
        <f t="shared" si="252"/>
        <v>N/A</v>
      </c>
      <c r="CG168" s="16" t="str">
        <f t="shared" si="253"/>
        <v>N/A</v>
      </c>
      <c r="CH168" s="16" t="str">
        <f t="shared" si="254"/>
        <v>N/A</v>
      </c>
      <c r="CI168" s="16" t="str">
        <f t="shared" si="255"/>
        <v>N/A</v>
      </c>
      <c r="CJ168" s="16" t="str">
        <f t="shared" si="256"/>
        <v>N/A</v>
      </c>
      <c r="CK168" s="16" t="str">
        <f t="shared" si="257"/>
        <v>N/A</v>
      </c>
      <c r="CL168" s="16" t="str">
        <f t="shared" si="258"/>
        <v>N/A</v>
      </c>
      <c r="CM168" s="16" t="str">
        <f t="shared" si="259"/>
        <v>N/A</v>
      </c>
      <c r="CN168" s="16" t="str">
        <f t="shared" si="260"/>
        <v>N/A</v>
      </c>
      <c r="CO168" s="16" t="str">
        <f t="shared" si="261"/>
        <v>N/A</v>
      </c>
      <c r="CP168" s="16" t="str">
        <f t="shared" si="262"/>
        <v>N/A</v>
      </c>
      <c r="CQ168" s="16" t="str">
        <f t="shared" si="263"/>
        <v>N/A</v>
      </c>
      <c r="CR168" s="16" t="str">
        <f t="shared" si="264"/>
        <v>N/A</v>
      </c>
      <c r="CS168" s="16" t="str">
        <f t="shared" si="265"/>
        <v>N/A</v>
      </c>
      <c r="CT168" s="16" t="str">
        <f t="shared" si="266"/>
        <v>N/A</v>
      </c>
      <c r="CU168" s="16" t="str">
        <f t="shared" si="220"/>
        <v>N/A</v>
      </c>
      <c r="CV168" s="16" t="str">
        <f t="shared" si="221"/>
        <v>N/A</v>
      </c>
      <c r="CW168" s="16" t="str">
        <f t="shared" si="222"/>
        <v>N/A</v>
      </c>
      <c r="CX168" s="16" t="str">
        <f t="shared" si="223"/>
        <v>N/A</v>
      </c>
      <c r="CY168" s="16" t="str">
        <f t="shared" si="224"/>
        <v>N/A</v>
      </c>
    </row>
    <row r="169" spans="2:103" x14ac:dyDescent="0.25">
      <c r="B169" s="2"/>
      <c r="C169" s="6"/>
      <c r="D169" s="6"/>
      <c r="E169" s="7"/>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5"/>
      <c r="BA169" s="5"/>
      <c r="BB169" s="5"/>
      <c r="BC169" s="5"/>
      <c r="BD169" s="5">
        <f t="shared" si="225"/>
        <v>0</v>
      </c>
      <c r="BE169" s="2"/>
      <c r="BF169" s="2" t="str">
        <f t="shared" si="226"/>
        <v>Menos Horas</v>
      </c>
      <c r="BG169" s="2" t="str">
        <f t="shared" si="227"/>
        <v>Carga Lectiva Insuficiente</v>
      </c>
      <c r="BH169" s="16" t="str">
        <f t="shared" si="228"/>
        <v>Cumple</v>
      </c>
      <c r="BI169" s="2" t="str">
        <f t="shared" si="229"/>
        <v>Cumple</v>
      </c>
      <c r="BJ169" s="16" t="str">
        <f t="shared" si="230"/>
        <v>Cumple</v>
      </c>
      <c r="BK169" s="16" t="str">
        <f t="shared" si="231"/>
        <v>N/A</v>
      </c>
      <c r="BL169" s="16" t="str">
        <f t="shared" si="232"/>
        <v>N/A</v>
      </c>
      <c r="BM169" s="16" t="str">
        <f t="shared" si="233"/>
        <v>N/A</v>
      </c>
      <c r="BN169" s="16" t="str">
        <f t="shared" si="234"/>
        <v>N/A</v>
      </c>
      <c r="BO169" s="16" t="str">
        <f t="shared" si="235"/>
        <v>N/A</v>
      </c>
      <c r="BP169" s="16" t="str">
        <f t="shared" si="236"/>
        <v>N/A</v>
      </c>
      <c r="BQ169" s="16" t="str">
        <f t="shared" si="237"/>
        <v>N/A</v>
      </c>
      <c r="BR169" s="16" t="str">
        <f t="shared" si="238"/>
        <v>N/A</v>
      </c>
      <c r="BS169" s="16" t="str">
        <f t="shared" si="239"/>
        <v>N/A</v>
      </c>
      <c r="BT169" s="16" t="str">
        <f t="shared" si="240"/>
        <v>N/A</v>
      </c>
      <c r="BU169" s="16" t="str">
        <f t="shared" si="241"/>
        <v>N/A</v>
      </c>
      <c r="BV169" s="16" t="str">
        <f t="shared" si="242"/>
        <v>N/A</v>
      </c>
      <c r="BW169" s="16" t="str">
        <f t="shared" si="243"/>
        <v>N/A</v>
      </c>
      <c r="BX169" s="16" t="str">
        <f t="shared" si="244"/>
        <v>N/A</v>
      </c>
      <c r="BY169" s="16" t="str">
        <f t="shared" si="245"/>
        <v>N/A</v>
      </c>
      <c r="BZ169" s="16" t="str">
        <f t="shared" si="246"/>
        <v>N/A</v>
      </c>
      <c r="CA169" s="16" t="str">
        <f t="shared" si="247"/>
        <v>N/A</v>
      </c>
      <c r="CB169" s="16" t="str">
        <f t="shared" si="248"/>
        <v>N/A</v>
      </c>
      <c r="CC169" s="16" t="str">
        <f t="shared" si="249"/>
        <v>N/A</v>
      </c>
      <c r="CD169" s="16" t="str">
        <f t="shared" si="250"/>
        <v>N/A</v>
      </c>
      <c r="CE169" s="16" t="str">
        <f t="shared" si="251"/>
        <v>N/A</v>
      </c>
      <c r="CF169" s="16" t="str">
        <f t="shared" si="252"/>
        <v>N/A</v>
      </c>
      <c r="CG169" s="16" t="str">
        <f t="shared" si="253"/>
        <v>N/A</v>
      </c>
      <c r="CH169" s="16" t="str">
        <f t="shared" si="254"/>
        <v>N/A</v>
      </c>
      <c r="CI169" s="16" t="str">
        <f t="shared" si="255"/>
        <v>N/A</v>
      </c>
      <c r="CJ169" s="16" t="str">
        <f t="shared" si="256"/>
        <v>N/A</v>
      </c>
      <c r="CK169" s="16" t="str">
        <f t="shared" si="257"/>
        <v>N/A</v>
      </c>
      <c r="CL169" s="16" t="str">
        <f t="shared" si="258"/>
        <v>N/A</v>
      </c>
      <c r="CM169" s="16" t="str">
        <f t="shared" si="259"/>
        <v>N/A</v>
      </c>
      <c r="CN169" s="16" t="str">
        <f t="shared" si="260"/>
        <v>N/A</v>
      </c>
      <c r="CO169" s="16" t="str">
        <f t="shared" si="261"/>
        <v>N/A</v>
      </c>
      <c r="CP169" s="16" t="str">
        <f t="shared" si="262"/>
        <v>N/A</v>
      </c>
      <c r="CQ169" s="16" t="str">
        <f t="shared" si="263"/>
        <v>N/A</v>
      </c>
      <c r="CR169" s="16" t="str">
        <f t="shared" si="264"/>
        <v>N/A</v>
      </c>
      <c r="CS169" s="16" t="str">
        <f t="shared" si="265"/>
        <v>N/A</v>
      </c>
      <c r="CT169" s="16" t="str">
        <f t="shared" si="266"/>
        <v>N/A</v>
      </c>
      <c r="CU169" s="16" t="str">
        <f t="shared" si="220"/>
        <v>N/A</v>
      </c>
      <c r="CV169" s="16" t="str">
        <f t="shared" si="221"/>
        <v>N/A</v>
      </c>
      <c r="CW169" s="16" t="str">
        <f t="shared" si="222"/>
        <v>N/A</v>
      </c>
      <c r="CX169" s="16" t="str">
        <f t="shared" si="223"/>
        <v>N/A</v>
      </c>
      <c r="CY169" s="16" t="str">
        <f t="shared" si="224"/>
        <v>N/A</v>
      </c>
    </row>
    <row r="170" spans="2:103" x14ac:dyDescent="0.25">
      <c r="B170" s="2"/>
      <c r="C170" s="6"/>
      <c r="D170" s="6"/>
      <c r="E170" s="7"/>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5"/>
      <c r="BA170" s="5"/>
      <c r="BB170" s="5"/>
      <c r="BC170" s="5"/>
      <c r="BD170" s="5">
        <f t="shared" si="225"/>
        <v>0</v>
      </c>
      <c r="BE170" s="2"/>
      <c r="BF170" s="2" t="str">
        <f t="shared" si="226"/>
        <v>Menos Horas</v>
      </c>
      <c r="BG170" s="2" t="str">
        <f t="shared" si="227"/>
        <v>Carga Lectiva Insuficiente</v>
      </c>
      <c r="BH170" s="16" t="str">
        <f t="shared" si="228"/>
        <v>Cumple</v>
      </c>
      <c r="BI170" s="2" t="str">
        <f t="shared" si="229"/>
        <v>Cumple</v>
      </c>
      <c r="BJ170" s="16" t="str">
        <f t="shared" si="230"/>
        <v>Cumple</v>
      </c>
      <c r="BK170" s="16" t="str">
        <f t="shared" si="231"/>
        <v>N/A</v>
      </c>
      <c r="BL170" s="16" t="str">
        <f t="shared" si="232"/>
        <v>N/A</v>
      </c>
      <c r="BM170" s="16" t="str">
        <f t="shared" si="233"/>
        <v>N/A</v>
      </c>
      <c r="BN170" s="16" t="str">
        <f t="shared" si="234"/>
        <v>N/A</v>
      </c>
      <c r="BO170" s="16" t="str">
        <f t="shared" si="235"/>
        <v>N/A</v>
      </c>
      <c r="BP170" s="16" t="str">
        <f t="shared" si="236"/>
        <v>N/A</v>
      </c>
      <c r="BQ170" s="16" t="str">
        <f t="shared" si="237"/>
        <v>N/A</v>
      </c>
      <c r="BR170" s="16" t="str">
        <f t="shared" si="238"/>
        <v>N/A</v>
      </c>
      <c r="BS170" s="16" t="str">
        <f t="shared" si="239"/>
        <v>N/A</v>
      </c>
      <c r="BT170" s="16" t="str">
        <f t="shared" si="240"/>
        <v>N/A</v>
      </c>
      <c r="BU170" s="16" t="str">
        <f t="shared" si="241"/>
        <v>N/A</v>
      </c>
      <c r="BV170" s="16" t="str">
        <f t="shared" si="242"/>
        <v>N/A</v>
      </c>
      <c r="BW170" s="16" t="str">
        <f t="shared" si="243"/>
        <v>N/A</v>
      </c>
      <c r="BX170" s="16" t="str">
        <f t="shared" si="244"/>
        <v>N/A</v>
      </c>
      <c r="BY170" s="16" t="str">
        <f t="shared" si="245"/>
        <v>N/A</v>
      </c>
      <c r="BZ170" s="16" t="str">
        <f t="shared" si="246"/>
        <v>N/A</v>
      </c>
      <c r="CA170" s="16" t="str">
        <f t="shared" si="247"/>
        <v>N/A</v>
      </c>
      <c r="CB170" s="16" t="str">
        <f t="shared" si="248"/>
        <v>N/A</v>
      </c>
      <c r="CC170" s="16" t="str">
        <f t="shared" si="249"/>
        <v>N/A</v>
      </c>
      <c r="CD170" s="16" t="str">
        <f t="shared" si="250"/>
        <v>N/A</v>
      </c>
      <c r="CE170" s="16" t="str">
        <f t="shared" si="251"/>
        <v>N/A</v>
      </c>
      <c r="CF170" s="16" t="str">
        <f t="shared" si="252"/>
        <v>N/A</v>
      </c>
      <c r="CG170" s="16" t="str">
        <f t="shared" si="253"/>
        <v>N/A</v>
      </c>
      <c r="CH170" s="16" t="str">
        <f t="shared" si="254"/>
        <v>N/A</v>
      </c>
      <c r="CI170" s="16" t="str">
        <f t="shared" si="255"/>
        <v>N/A</v>
      </c>
      <c r="CJ170" s="16" t="str">
        <f t="shared" si="256"/>
        <v>N/A</v>
      </c>
      <c r="CK170" s="16" t="str">
        <f t="shared" si="257"/>
        <v>N/A</v>
      </c>
      <c r="CL170" s="16" t="str">
        <f t="shared" si="258"/>
        <v>N/A</v>
      </c>
      <c r="CM170" s="16" t="str">
        <f t="shared" si="259"/>
        <v>N/A</v>
      </c>
      <c r="CN170" s="16" t="str">
        <f t="shared" si="260"/>
        <v>N/A</v>
      </c>
      <c r="CO170" s="16" t="str">
        <f t="shared" si="261"/>
        <v>N/A</v>
      </c>
      <c r="CP170" s="16" t="str">
        <f t="shared" si="262"/>
        <v>N/A</v>
      </c>
      <c r="CQ170" s="16" t="str">
        <f t="shared" si="263"/>
        <v>N/A</v>
      </c>
      <c r="CR170" s="16" t="str">
        <f t="shared" si="264"/>
        <v>N/A</v>
      </c>
      <c r="CS170" s="16" t="str">
        <f t="shared" si="265"/>
        <v>N/A</v>
      </c>
      <c r="CT170" s="16" t="str">
        <f t="shared" si="266"/>
        <v>N/A</v>
      </c>
      <c r="CU170" s="16" t="str">
        <f t="shared" si="220"/>
        <v>N/A</v>
      </c>
      <c r="CV170" s="16" t="str">
        <f t="shared" si="221"/>
        <v>N/A</v>
      </c>
      <c r="CW170" s="16" t="str">
        <f t="shared" si="222"/>
        <v>N/A</v>
      </c>
      <c r="CX170" s="16" t="str">
        <f t="shared" si="223"/>
        <v>N/A</v>
      </c>
      <c r="CY170" s="16" t="str">
        <f t="shared" si="224"/>
        <v>N/A</v>
      </c>
    </row>
    <row r="171" spans="2:103" x14ac:dyDescent="0.25">
      <c r="B171" s="2"/>
      <c r="C171" s="6"/>
      <c r="D171" s="6"/>
      <c r="E171" s="7"/>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5"/>
      <c r="BA171" s="5"/>
      <c r="BB171" s="5"/>
      <c r="BC171" s="5"/>
      <c r="BD171" s="5">
        <f t="shared" si="225"/>
        <v>0</v>
      </c>
      <c r="BE171" s="2"/>
      <c r="BF171" s="2" t="str">
        <f t="shared" si="226"/>
        <v>Menos Horas</v>
      </c>
      <c r="BG171" s="2" t="str">
        <f t="shared" si="227"/>
        <v>Carga Lectiva Insuficiente</v>
      </c>
      <c r="BH171" s="16" t="str">
        <f t="shared" si="228"/>
        <v>Cumple</v>
      </c>
      <c r="BI171" s="2" t="str">
        <f t="shared" si="229"/>
        <v>Cumple</v>
      </c>
      <c r="BJ171" s="16" t="str">
        <f t="shared" si="230"/>
        <v>Cumple</v>
      </c>
      <c r="BK171" s="16" t="str">
        <f t="shared" si="231"/>
        <v>N/A</v>
      </c>
      <c r="BL171" s="16" t="str">
        <f t="shared" si="232"/>
        <v>N/A</v>
      </c>
      <c r="BM171" s="16" t="str">
        <f t="shared" si="233"/>
        <v>N/A</v>
      </c>
      <c r="BN171" s="16" t="str">
        <f t="shared" si="234"/>
        <v>N/A</v>
      </c>
      <c r="BO171" s="16" t="str">
        <f t="shared" si="235"/>
        <v>N/A</v>
      </c>
      <c r="BP171" s="16" t="str">
        <f t="shared" si="236"/>
        <v>N/A</v>
      </c>
      <c r="BQ171" s="16" t="str">
        <f t="shared" si="237"/>
        <v>N/A</v>
      </c>
      <c r="BR171" s="16" t="str">
        <f t="shared" si="238"/>
        <v>N/A</v>
      </c>
      <c r="BS171" s="16" t="str">
        <f t="shared" si="239"/>
        <v>N/A</v>
      </c>
      <c r="BT171" s="16" t="str">
        <f t="shared" si="240"/>
        <v>N/A</v>
      </c>
      <c r="BU171" s="16" t="str">
        <f t="shared" si="241"/>
        <v>N/A</v>
      </c>
      <c r="BV171" s="16" t="str">
        <f t="shared" si="242"/>
        <v>N/A</v>
      </c>
      <c r="BW171" s="16" t="str">
        <f t="shared" si="243"/>
        <v>N/A</v>
      </c>
      <c r="BX171" s="16" t="str">
        <f t="shared" si="244"/>
        <v>N/A</v>
      </c>
      <c r="BY171" s="16" t="str">
        <f t="shared" si="245"/>
        <v>N/A</v>
      </c>
      <c r="BZ171" s="16" t="str">
        <f t="shared" si="246"/>
        <v>N/A</v>
      </c>
      <c r="CA171" s="16" t="str">
        <f t="shared" si="247"/>
        <v>N/A</v>
      </c>
      <c r="CB171" s="16" t="str">
        <f t="shared" si="248"/>
        <v>N/A</v>
      </c>
      <c r="CC171" s="16" t="str">
        <f t="shared" si="249"/>
        <v>N/A</v>
      </c>
      <c r="CD171" s="16" t="str">
        <f t="shared" si="250"/>
        <v>N/A</v>
      </c>
      <c r="CE171" s="16" t="str">
        <f t="shared" si="251"/>
        <v>N/A</v>
      </c>
      <c r="CF171" s="16" t="str">
        <f t="shared" si="252"/>
        <v>N/A</v>
      </c>
      <c r="CG171" s="16" t="str">
        <f t="shared" si="253"/>
        <v>N/A</v>
      </c>
      <c r="CH171" s="16" t="str">
        <f t="shared" si="254"/>
        <v>N/A</v>
      </c>
      <c r="CI171" s="16" t="str">
        <f t="shared" si="255"/>
        <v>N/A</v>
      </c>
      <c r="CJ171" s="16" t="str">
        <f t="shared" si="256"/>
        <v>N/A</v>
      </c>
      <c r="CK171" s="16" t="str">
        <f t="shared" si="257"/>
        <v>N/A</v>
      </c>
      <c r="CL171" s="16" t="str">
        <f t="shared" si="258"/>
        <v>N/A</v>
      </c>
      <c r="CM171" s="16" t="str">
        <f t="shared" si="259"/>
        <v>N/A</v>
      </c>
      <c r="CN171" s="16" t="str">
        <f t="shared" si="260"/>
        <v>N/A</v>
      </c>
      <c r="CO171" s="16" t="str">
        <f t="shared" si="261"/>
        <v>N/A</v>
      </c>
      <c r="CP171" s="16" t="str">
        <f t="shared" si="262"/>
        <v>N/A</v>
      </c>
      <c r="CQ171" s="16" t="str">
        <f t="shared" si="263"/>
        <v>N/A</v>
      </c>
      <c r="CR171" s="16" t="str">
        <f t="shared" si="264"/>
        <v>N/A</v>
      </c>
      <c r="CS171" s="16" t="str">
        <f t="shared" si="265"/>
        <v>N/A</v>
      </c>
      <c r="CT171" s="16" t="str">
        <f t="shared" si="266"/>
        <v>N/A</v>
      </c>
      <c r="CU171" s="16" t="str">
        <f t="shared" si="220"/>
        <v>N/A</v>
      </c>
      <c r="CV171" s="16" t="str">
        <f t="shared" si="221"/>
        <v>N/A</v>
      </c>
      <c r="CW171" s="16" t="str">
        <f t="shared" si="222"/>
        <v>N/A</v>
      </c>
      <c r="CX171" s="16" t="str">
        <f t="shared" si="223"/>
        <v>N/A</v>
      </c>
      <c r="CY171" s="16" t="str">
        <f t="shared" si="224"/>
        <v>N/A</v>
      </c>
    </row>
    <row r="172" spans="2:103" x14ac:dyDescent="0.25">
      <c r="B172" s="2"/>
      <c r="C172" s="6"/>
      <c r="D172" s="6"/>
      <c r="E172" s="7"/>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5"/>
      <c r="BA172" s="5"/>
      <c r="BB172" s="5"/>
      <c r="BC172" s="5"/>
      <c r="BD172" s="5">
        <f t="shared" si="225"/>
        <v>0</v>
      </c>
      <c r="BE172" s="2"/>
      <c r="BF172" s="2" t="str">
        <f t="shared" si="226"/>
        <v>Menos Horas</v>
      </c>
      <c r="BG172" s="2" t="str">
        <f t="shared" si="227"/>
        <v>Carga Lectiva Insuficiente</v>
      </c>
      <c r="BH172" s="16" t="str">
        <f t="shared" si="228"/>
        <v>Cumple</v>
      </c>
      <c r="BI172" s="2" t="str">
        <f t="shared" si="229"/>
        <v>Cumple</v>
      </c>
      <c r="BJ172" s="16" t="str">
        <f t="shared" si="230"/>
        <v>Cumple</v>
      </c>
      <c r="BK172" s="16" t="str">
        <f t="shared" si="231"/>
        <v>N/A</v>
      </c>
      <c r="BL172" s="16" t="str">
        <f t="shared" si="232"/>
        <v>N/A</v>
      </c>
      <c r="BM172" s="16" t="str">
        <f t="shared" si="233"/>
        <v>N/A</v>
      </c>
      <c r="BN172" s="16" t="str">
        <f t="shared" si="234"/>
        <v>N/A</v>
      </c>
      <c r="BO172" s="16" t="str">
        <f t="shared" si="235"/>
        <v>N/A</v>
      </c>
      <c r="BP172" s="16" t="str">
        <f t="shared" si="236"/>
        <v>N/A</v>
      </c>
      <c r="BQ172" s="16" t="str">
        <f t="shared" si="237"/>
        <v>N/A</v>
      </c>
      <c r="BR172" s="16" t="str">
        <f t="shared" si="238"/>
        <v>N/A</v>
      </c>
      <c r="BS172" s="16" t="str">
        <f t="shared" si="239"/>
        <v>N/A</v>
      </c>
      <c r="BT172" s="16" t="str">
        <f t="shared" si="240"/>
        <v>N/A</v>
      </c>
      <c r="BU172" s="16" t="str">
        <f t="shared" si="241"/>
        <v>N/A</v>
      </c>
      <c r="BV172" s="16" t="str">
        <f t="shared" si="242"/>
        <v>N/A</v>
      </c>
      <c r="BW172" s="16" t="str">
        <f t="shared" si="243"/>
        <v>N/A</v>
      </c>
      <c r="BX172" s="16" t="str">
        <f t="shared" si="244"/>
        <v>N/A</v>
      </c>
      <c r="BY172" s="16" t="str">
        <f t="shared" si="245"/>
        <v>N/A</v>
      </c>
      <c r="BZ172" s="16" t="str">
        <f t="shared" si="246"/>
        <v>N/A</v>
      </c>
      <c r="CA172" s="16" t="str">
        <f t="shared" si="247"/>
        <v>N/A</v>
      </c>
      <c r="CB172" s="16" t="str">
        <f t="shared" si="248"/>
        <v>N/A</v>
      </c>
      <c r="CC172" s="16" t="str">
        <f t="shared" si="249"/>
        <v>N/A</v>
      </c>
      <c r="CD172" s="16" t="str">
        <f t="shared" si="250"/>
        <v>N/A</v>
      </c>
      <c r="CE172" s="16" t="str">
        <f t="shared" si="251"/>
        <v>N/A</v>
      </c>
      <c r="CF172" s="16" t="str">
        <f t="shared" si="252"/>
        <v>N/A</v>
      </c>
      <c r="CG172" s="16" t="str">
        <f t="shared" si="253"/>
        <v>N/A</v>
      </c>
      <c r="CH172" s="16" t="str">
        <f t="shared" si="254"/>
        <v>N/A</v>
      </c>
      <c r="CI172" s="16" t="str">
        <f t="shared" si="255"/>
        <v>N/A</v>
      </c>
      <c r="CJ172" s="16" t="str">
        <f t="shared" si="256"/>
        <v>N/A</v>
      </c>
      <c r="CK172" s="16" t="str">
        <f t="shared" si="257"/>
        <v>N/A</v>
      </c>
      <c r="CL172" s="16" t="str">
        <f t="shared" si="258"/>
        <v>N/A</v>
      </c>
      <c r="CM172" s="16" t="str">
        <f t="shared" si="259"/>
        <v>N/A</v>
      </c>
      <c r="CN172" s="16" t="str">
        <f t="shared" si="260"/>
        <v>N/A</v>
      </c>
      <c r="CO172" s="16" t="str">
        <f t="shared" si="261"/>
        <v>N/A</v>
      </c>
      <c r="CP172" s="16" t="str">
        <f t="shared" si="262"/>
        <v>N/A</v>
      </c>
      <c r="CQ172" s="16" t="str">
        <f t="shared" si="263"/>
        <v>N/A</v>
      </c>
      <c r="CR172" s="16" t="str">
        <f t="shared" si="264"/>
        <v>N/A</v>
      </c>
      <c r="CS172" s="16" t="str">
        <f t="shared" si="265"/>
        <v>N/A</v>
      </c>
      <c r="CT172" s="16" t="str">
        <f t="shared" si="266"/>
        <v>N/A</v>
      </c>
      <c r="CU172" s="16" t="str">
        <f t="shared" si="220"/>
        <v>N/A</v>
      </c>
      <c r="CV172" s="16" t="str">
        <f t="shared" si="221"/>
        <v>N/A</v>
      </c>
      <c r="CW172" s="16" t="str">
        <f t="shared" si="222"/>
        <v>N/A</v>
      </c>
      <c r="CX172" s="16" t="str">
        <f t="shared" si="223"/>
        <v>N/A</v>
      </c>
      <c r="CY172" s="16" t="str">
        <f t="shared" si="224"/>
        <v>N/A</v>
      </c>
    </row>
    <row r="173" spans="2:103" x14ac:dyDescent="0.25">
      <c r="B173" s="2"/>
      <c r="C173" s="6"/>
      <c r="D173" s="6"/>
      <c r="E173" s="7"/>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5"/>
      <c r="BA173" s="5"/>
      <c r="BB173" s="5"/>
      <c r="BC173" s="5"/>
      <c r="BD173" s="5">
        <f t="shared" si="225"/>
        <v>0</v>
      </c>
      <c r="BE173" s="9" t="s">
        <v>74</v>
      </c>
      <c r="BF173" s="2" t="str">
        <f t="shared" si="226"/>
        <v>Menos Horas</v>
      </c>
      <c r="BG173" s="2" t="str">
        <f t="shared" si="227"/>
        <v>Carga Lectiva Insuficiente</v>
      </c>
      <c r="BH173" s="16" t="str">
        <f t="shared" si="228"/>
        <v>Cumple</v>
      </c>
      <c r="BI173" s="2" t="str">
        <f t="shared" si="229"/>
        <v>Cumple</v>
      </c>
      <c r="BJ173" s="16" t="str">
        <f t="shared" si="230"/>
        <v>Cumple</v>
      </c>
      <c r="BK173" s="16" t="str">
        <f t="shared" si="231"/>
        <v>N/A</v>
      </c>
      <c r="BL173" s="16" t="str">
        <f t="shared" si="232"/>
        <v>N/A</v>
      </c>
      <c r="BM173" s="16" t="str">
        <f t="shared" si="233"/>
        <v>N/A</v>
      </c>
      <c r="BN173" s="16" t="str">
        <f t="shared" si="234"/>
        <v>N/A</v>
      </c>
      <c r="BO173" s="16" t="str">
        <f t="shared" si="235"/>
        <v>N/A</v>
      </c>
      <c r="BP173" s="16" t="str">
        <f t="shared" si="236"/>
        <v>N/A</v>
      </c>
      <c r="BQ173" s="16" t="str">
        <f t="shared" si="237"/>
        <v>N/A</v>
      </c>
      <c r="BR173" s="16" t="str">
        <f t="shared" si="238"/>
        <v>N/A</v>
      </c>
      <c r="BS173" s="16" t="str">
        <f t="shared" si="239"/>
        <v>N/A</v>
      </c>
      <c r="BT173" s="16" t="str">
        <f t="shared" si="240"/>
        <v>N/A</v>
      </c>
      <c r="BU173" s="16" t="str">
        <f t="shared" si="241"/>
        <v>N/A</v>
      </c>
      <c r="BV173" s="16" t="str">
        <f t="shared" si="242"/>
        <v>N/A</v>
      </c>
      <c r="BW173" s="16" t="str">
        <f t="shared" si="243"/>
        <v>N/A</v>
      </c>
      <c r="BX173" s="16" t="str">
        <f t="shared" si="244"/>
        <v>N/A</v>
      </c>
      <c r="BY173" s="16" t="str">
        <f t="shared" si="245"/>
        <v>N/A</v>
      </c>
      <c r="BZ173" s="16" t="str">
        <f t="shared" si="246"/>
        <v>N/A</v>
      </c>
      <c r="CA173" s="16" t="str">
        <f t="shared" si="247"/>
        <v>N/A</v>
      </c>
      <c r="CB173" s="16" t="str">
        <f t="shared" si="248"/>
        <v>N/A</v>
      </c>
      <c r="CC173" s="16" t="str">
        <f t="shared" si="249"/>
        <v>N/A</v>
      </c>
      <c r="CD173" s="16" t="str">
        <f t="shared" si="250"/>
        <v>N/A</v>
      </c>
      <c r="CE173" s="16" t="str">
        <f t="shared" si="251"/>
        <v>N/A</v>
      </c>
      <c r="CF173" s="16" t="str">
        <f t="shared" si="252"/>
        <v>N/A</v>
      </c>
      <c r="CG173" s="16" t="str">
        <f t="shared" si="253"/>
        <v>N/A</v>
      </c>
      <c r="CH173" s="16" t="str">
        <f t="shared" si="254"/>
        <v>N/A</v>
      </c>
      <c r="CI173" s="16" t="str">
        <f t="shared" si="255"/>
        <v>N/A</v>
      </c>
      <c r="CJ173" s="16" t="str">
        <f t="shared" si="256"/>
        <v>N/A</v>
      </c>
      <c r="CK173" s="16" t="str">
        <f t="shared" si="257"/>
        <v>N/A</v>
      </c>
      <c r="CL173" s="16" t="str">
        <f t="shared" si="258"/>
        <v>N/A</v>
      </c>
      <c r="CM173" s="16" t="str">
        <f t="shared" si="259"/>
        <v>N/A</v>
      </c>
      <c r="CN173" s="16" t="str">
        <f t="shared" si="260"/>
        <v>N/A</v>
      </c>
      <c r="CO173" s="16" t="str">
        <f t="shared" si="261"/>
        <v>N/A</v>
      </c>
      <c r="CP173" s="16" t="str">
        <f t="shared" si="262"/>
        <v>N/A</v>
      </c>
      <c r="CQ173" s="16" t="str">
        <f t="shared" si="263"/>
        <v>N/A</v>
      </c>
      <c r="CR173" s="16" t="str">
        <f t="shared" si="264"/>
        <v>N/A</v>
      </c>
      <c r="CS173" s="16" t="str">
        <f t="shared" si="265"/>
        <v>N/A</v>
      </c>
      <c r="CT173" s="16" t="str">
        <f t="shared" si="266"/>
        <v>N/A</v>
      </c>
      <c r="CU173" s="16" t="str">
        <f t="shared" si="220"/>
        <v>N/A</v>
      </c>
      <c r="CV173" s="16" t="str">
        <f t="shared" si="221"/>
        <v>N/A</v>
      </c>
      <c r="CW173" s="16" t="str">
        <f t="shared" si="222"/>
        <v>N/A</v>
      </c>
      <c r="CX173" s="16" t="str">
        <f t="shared" si="223"/>
        <v>N/A</v>
      </c>
      <c r="CY173" s="16" t="str">
        <f t="shared" si="224"/>
        <v>N/A</v>
      </c>
    </row>
    <row r="174" spans="2:103" x14ac:dyDescent="0.25">
      <c r="B174" s="2"/>
      <c r="C174" s="6"/>
      <c r="D174" s="6"/>
      <c r="E174" s="7"/>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5"/>
      <c r="BA174" s="5"/>
      <c r="BB174" s="5"/>
      <c r="BC174" s="5"/>
      <c r="BD174" s="5">
        <f t="shared" si="225"/>
        <v>0</v>
      </c>
      <c r="BE174" s="2"/>
      <c r="BF174" s="2" t="str">
        <f t="shared" si="226"/>
        <v>Menos Horas</v>
      </c>
      <c r="BG174" s="2" t="str">
        <f t="shared" si="227"/>
        <v>Carga Lectiva Insuficiente</v>
      </c>
      <c r="BH174" s="16" t="str">
        <f t="shared" si="228"/>
        <v>Cumple</v>
      </c>
      <c r="BI174" s="2" t="str">
        <f t="shared" si="229"/>
        <v>Cumple</v>
      </c>
      <c r="BJ174" s="16" t="str">
        <f t="shared" si="230"/>
        <v>Cumple</v>
      </c>
      <c r="BK174" s="16" t="str">
        <f t="shared" si="231"/>
        <v>N/A</v>
      </c>
      <c r="BL174" s="16" t="str">
        <f t="shared" si="232"/>
        <v>N/A</v>
      </c>
      <c r="BM174" s="16" t="str">
        <f t="shared" si="233"/>
        <v>N/A</v>
      </c>
      <c r="BN174" s="16" t="str">
        <f t="shared" si="234"/>
        <v>N/A</v>
      </c>
      <c r="BO174" s="16" t="str">
        <f t="shared" si="235"/>
        <v>N/A</v>
      </c>
      <c r="BP174" s="16" t="str">
        <f t="shared" si="236"/>
        <v>N/A</v>
      </c>
      <c r="BQ174" s="16" t="str">
        <f t="shared" si="237"/>
        <v>N/A</v>
      </c>
      <c r="BR174" s="16" t="str">
        <f t="shared" si="238"/>
        <v>N/A</v>
      </c>
      <c r="BS174" s="16" t="str">
        <f t="shared" si="239"/>
        <v>N/A</v>
      </c>
      <c r="BT174" s="16" t="str">
        <f t="shared" si="240"/>
        <v>N/A</v>
      </c>
      <c r="BU174" s="16" t="str">
        <f t="shared" si="241"/>
        <v>N/A</v>
      </c>
      <c r="BV174" s="16" t="str">
        <f t="shared" si="242"/>
        <v>N/A</v>
      </c>
      <c r="BW174" s="16" t="str">
        <f t="shared" si="243"/>
        <v>N/A</v>
      </c>
      <c r="BX174" s="16" t="str">
        <f t="shared" si="244"/>
        <v>N/A</v>
      </c>
      <c r="BY174" s="16" t="str">
        <f t="shared" si="245"/>
        <v>N/A</v>
      </c>
      <c r="BZ174" s="16" t="str">
        <f t="shared" si="246"/>
        <v>N/A</v>
      </c>
      <c r="CA174" s="16" t="str">
        <f t="shared" si="247"/>
        <v>N/A</v>
      </c>
      <c r="CB174" s="16" t="str">
        <f t="shared" si="248"/>
        <v>N/A</v>
      </c>
      <c r="CC174" s="16" t="str">
        <f t="shared" si="249"/>
        <v>N/A</v>
      </c>
      <c r="CD174" s="16" t="str">
        <f t="shared" si="250"/>
        <v>N/A</v>
      </c>
      <c r="CE174" s="16" t="str">
        <f t="shared" si="251"/>
        <v>N/A</v>
      </c>
      <c r="CF174" s="16" t="str">
        <f t="shared" si="252"/>
        <v>N/A</v>
      </c>
      <c r="CG174" s="16" t="str">
        <f t="shared" si="253"/>
        <v>N/A</v>
      </c>
      <c r="CH174" s="16" t="str">
        <f t="shared" si="254"/>
        <v>N/A</v>
      </c>
      <c r="CI174" s="16" t="str">
        <f t="shared" si="255"/>
        <v>N/A</v>
      </c>
      <c r="CJ174" s="16" t="str">
        <f t="shared" si="256"/>
        <v>N/A</v>
      </c>
      <c r="CK174" s="16" t="str">
        <f t="shared" si="257"/>
        <v>N/A</v>
      </c>
      <c r="CL174" s="16" t="str">
        <f t="shared" si="258"/>
        <v>N/A</v>
      </c>
      <c r="CM174" s="16" t="str">
        <f t="shared" si="259"/>
        <v>N/A</v>
      </c>
      <c r="CN174" s="16" t="str">
        <f t="shared" si="260"/>
        <v>N/A</v>
      </c>
      <c r="CO174" s="16" t="str">
        <f t="shared" si="261"/>
        <v>N/A</v>
      </c>
      <c r="CP174" s="16" t="str">
        <f t="shared" si="262"/>
        <v>N/A</v>
      </c>
      <c r="CQ174" s="16" t="str">
        <f t="shared" si="263"/>
        <v>N/A</v>
      </c>
      <c r="CR174" s="16" t="str">
        <f t="shared" si="264"/>
        <v>N/A</v>
      </c>
      <c r="CS174" s="16" t="str">
        <f t="shared" si="265"/>
        <v>N/A</v>
      </c>
      <c r="CT174" s="16" t="str">
        <f t="shared" si="266"/>
        <v>N/A</v>
      </c>
      <c r="CU174" s="16" t="str">
        <f t="shared" si="220"/>
        <v>N/A</v>
      </c>
      <c r="CV174" s="16" t="str">
        <f t="shared" si="221"/>
        <v>N/A</v>
      </c>
      <c r="CW174" s="16" t="str">
        <f t="shared" si="222"/>
        <v>N/A</v>
      </c>
      <c r="CX174" s="16" t="str">
        <f t="shared" si="223"/>
        <v>N/A</v>
      </c>
      <c r="CY174" s="16" t="str">
        <f t="shared" si="224"/>
        <v>N/A</v>
      </c>
    </row>
    <row r="175" spans="2:103" x14ac:dyDescent="0.25">
      <c r="B175" s="2"/>
      <c r="C175" s="6"/>
      <c r="D175" s="6"/>
      <c r="E175" s="7"/>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5"/>
      <c r="BA175" s="5"/>
      <c r="BB175" s="5"/>
      <c r="BC175" s="5"/>
      <c r="BD175" s="5">
        <f t="shared" si="225"/>
        <v>0</v>
      </c>
      <c r="BE175" s="2"/>
      <c r="BF175" s="2" t="str">
        <f t="shared" si="226"/>
        <v>Menos Horas</v>
      </c>
      <c r="BG175" s="2" t="str">
        <f t="shared" si="227"/>
        <v>Carga Lectiva Insuficiente</v>
      </c>
      <c r="BH175" s="16" t="str">
        <f t="shared" si="228"/>
        <v>Cumple</v>
      </c>
      <c r="BI175" s="2" t="str">
        <f t="shared" si="229"/>
        <v>Cumple</v>
      </c>
      <c r="BJ175" s="16" t="str">
        <f t="shared" si="230"/>
        <v>Cumple</v>
      </c>
      <c r="BK175" s="16" t="str">
        <f t="shared" si="231"/>
        <v>N/A</v>
      </c>
      <c r="BL175" s="16" t="str">
        <f t="shared" si="232"/>
        <v>N/A</v>
      </c>
      <c r="BM175" s="16" t="str">
        <f t="shared" si="233"/>
        <v>N/A</v>
      </c>
      <c r="BN175" s="16" t="str">
        <f t="shared" si="234"/>
        <v>N/A</v>
      </c>
      <c r="BO175" s="16" t="str">
        <f t="shared" si="235"/>
        <v>N/A</v>
      </c>
      <c r="BP175" s="16" t="str">
        <f t="shared" si="236"/>
        <v>N/A</v>
      </c>
      <c r="BQ175" s="16" t="str">
        <f t="shared" si="237"/>
        <v>N/A</v>
      </c>
      <c r="BR175" s="16" t="str">
        <f t="shared" si="238"/>
        <v>N/A</v>
      </c>
      <c r="BS175" s="16" t="str">
        <f t="shared" si="239"/>
        <v>N/A</v>
      </c>
      <c r="BT175" s="16" t="str">
        <f t="shared" si="240"/>
        <v>N/A</v>
      </c>
      <c r="BU175" s="16" t="str">
        <f t="shared" si="241"/>
        <v>N/A</v>
      </c>
      <c r="BV175" s="16" t="str">
        <f t="shared" si="242"/>
        <v>N/A</v>
      </c>
      <c r="BW175" s="16" t="str">
        <f t="shared" si="243"/>
        <v>N/A</v>
      </c>
      <c r="BX175" s="16" t="str">
        <f t="shared" si="244"/>
        <v>N/A</v>
      </c>
      <c r="BY175" s="16" t="str">
        <f t="shared" si="245"/>
        <v>N/A</v>
      </c>
      <c r="BZ175" s="16" t="str">
        <f t="shared" si="246"/>
        <v>N/A</v>
      </c>
      <c r="CA175" s="16" t="str">
        <f t="shared" si="247"/>
        <v>N/A</v>
      </c>
      <c r="CB175" s="16" t="str">
        <f t="shared" si="248"/>
        <v>N/A</v>
      </c>
      <c r="CC175" s="16" t="str">
        <f t="shared" si="249"/>
        <v>N/A</v>
      </c>
      <c r="CD175" s="16" t="str">
        <f t="shared" si="250"/>
        <v>N/A</v>
      </c>
      <c r="CE175" s="16" t="str">
        <f t="shared" si="251"/>
        <v>N/A</v>
      </c>
      <c r="CF175" s="16" t="str">
        <f t="shared" si="252"/>
        <v>N/A</v>
      </c>
      <c r="CG175" s="16" t="str">
        <f t="shared" si="253"/>
        <v>N/A</v>
      </c>
      <c r="CH175" s="16" t="str">
        <f t="shared" si="254"/>
        <v>N/A</v>
      </c>
      <c r="CI175" s="16" t="str">
        <f t="shared" si="255"/>
        <v>N/A</v>
      </c>
      <c r="CJ175" s="16" t="str">
        <f t="shared" si="256"/>
        <v>N/A</v>
      </c>
      <c r="CK175" s="16" t="str">
        <f t="shared" si="257"/>
        <v>N/A</v>
      </c>
      <c r="CL175" s="16" t="str">
        <f t="shared" si="258"/>
        <v>N/A</v>
      </c>
      <c r="CM175" s="16" t="str">
        <f t="shared" si="259"/>
        <v>N/A</v>
      </c>
      <c r="CN175" s="16" t="str">
        <f t="shared" si="260"/>
        <v>N/A</v>
      </c>
      <c r="CO175" s="16" t="str">
        <f t="shared" si="261"/>
        <v>N/A</v>
      </c>
      <c r="CP175" s="16" t="str">
        <f t="shared" si="262"/>
        <v>N/A</v>
      </c>
      <c r="CQ175" s="16" t="str">
        <f t="shared" si="263"/>
        <v>N/A</v>
      </c>
      <c r="CR175" s="16" t="str">
        <f t="shared" si="264"/>
        <v>N/A</v>
      </c>
      <c r="CS175" s="16" t="str">
        <f t="shared" si="265"/>
        <v>N/A</v>
      </c>
      <c r="CT175" s="16" t="str">
        <f t="shared" si="266"/>
        <v>N/A</v>
      </c>
      <c r="CU175" s="16" t="str">
        <f t="shared" si="220"/>
        <v>N/A</v>
      </c>
      <c r="CV175" s="16" t="str">
        <f t="shared" si="221"/>
        <v>N/A</v>
      </c>
      <c r="CW175" s="16" t="str">
        <f t="shared" si="222"/>
        <v>N/A</v>
      </c>
      <c r="CX175" s="16" t="str">
        <f t="shared" si="223"/>
        <v>N/A</v>
      </c>
      <c r="CY175" s="16" t="str">
        <f t="shared" si="224"/>
        <v>N/A</v>
      </c>
    </row>
    <row r="176" spans="2:103" x14ac:dyDescent="0.2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row>
    <row r="177" s="12" customFormat="1" x14ac:dyDescent="0.25"/>
    <row r="178" s="12" customFormat="1" x14ac:dyDescent="0.25"/>
    <row r="179" s="12" customFormat="1" x14ac:dyDescent="0.25"/>
    <row r="180" s="12" customFormat="1" x14ac:dyDescent="0.25"/>
    <row r="181" s="12" customFormat="1" x14ac:dyDescent="0.25"/>
    <row r="182" s="12" customFormat="1" x14ac:dyDescent="0.25"/>
    <row r="183" s="12" customFormat="1" x14ac:dyDescent="0.25"/>
    <row r="184" s="12" customFormat="1" x14ac:dyDescent="0.25"/>
    <row r="185" s="12" customFormat="1" x14ac:dyDescent="0.25"/>
    <row r="186" s="12" customFormat="1" x14ac:dyDescent="0.25"/>
    <row r="187" s="12" customFormat="1" x14ac:dyDescent="0.25"/>
    <row r="188" s="12" customFormat="1" x14ac:dyDescent="0.25"/>
    <row r="189" s="12" customFormat="1" x14ac:dyDescent="0.25"/>
    <row r="190" s="12" customFormat="1" x14ac:dyDescent="0.25"/>
    <row r="191" s="12" customFormat="1" x14ac:dyDescent="0.25"/>
    <row r="192" s="12" customFormat="1" x14ac:dyDescent="0.25"/>
    <row r="193" s="12" customFormat="1" x14ac:dyDescent="0.25"/>
    <row r="194" s="12" customFormat="1" x14ac:dyDescent="0.25"/>
    <row r="195" s="12" customFormat="1" x14ac:dyDescent="0.25"/>
    <row r="196" s="12" customFormat="1" x14ac:dyDescent="0.25"/>
    <row r="197" s="12" customFormat="1" x14ac:dyDescent="0.25"/>
    <row r="198" s="12" customFormat="1" x14ac:dyDescent="0.25"/>
    <row r="199" s="12" customFormat="1" x14ac:dyDescent="0.25"/>
    <row r="200" s="12" customFormat="1" x14ac:dyDescent="0.25"/>
    <row r="201" s="12" customFormat="1" x14ac:dyDescent="0.25"/>
    <row r="202" s="12" customFormat="1" x14ac:dyDescent="0.25"/>
    <row r="203" s="12" customFormat="1" x14ac:dyDescent="0.25"/>
    <row r="204" s="12" customFormat="1" x14ac:dyDescent="0.25"/>
    <row r="205" s="12" customFormat="1" x14ac:dyDescent="0.25"/>
    <row r="206" s="12" customFormat="1" x14ac:dyDescent="0.25"/>
    <row r="207" s="12" customFormat="1" x14ac:dyDescent="0.25"/>
    <row r="208" s="12" customFormat="1" x14ac:dyDescent="0.25"/>
    <row r="209" s="12" customFormat="1" x14ac:dyDescent="0.25"/>
    <row r="210" s="12" customFormat="1" x14ac:dyDescent="0.25"/>
    <row r="211" s="12" customFormat="1" x14ac:dyDescent="0.25"/>
    <row r="212" s="12" customFormat="1" x14ac:dyDescent="0.25"/>
    <row r="213" s="12" customFormat="1" x14ac:dyDescent="0.25"/>
    <row r="214" s="12" customFormat="1" x14ac:dyDescent="0.25"/>
    <row r="215" s="12" customFormat="1" x14ac:dyDescent="0.25"/>
    <row r="216" s="12" customFormat="1" x14ac:dyDescent="0.25"/>
    <row r="217" s="12" customFormat="1" x14ac:dyDescent="0.25"/>
    <row r="218" s="12" customFormat="1" x14ac:dyDescent="0.25"/>
    <row r="219" s="12" customFormat="1" x14ac:dyDescent="0.25"/>
    <row r="220" s="12" customFormat="1" x14ac:dyDescent="0.25"/>
    <row r="221" s="12" customFormat="1" x14ac:dyDescent="0.25"/>
    <row r="222" s="12" customFormat="1" x14ac:dyDescent="0.25"/>
    <row r="223" s="12" customFormat="1" x14ac:dyDescent="0.25"/>
    <row r="224" s="12" customFormat="1" x14ac:dyDescent="0.25"/>
    <row r="225" s="12" customFormat="1" x14ac:dyDescent="0.25"/>
    <row r="226" s="12" customFormat="1" x14ac:dyDescent="0.25"/>
    <row r="227" s="12" customFormat="1" x14ac:dyDescent="0.25"/>
    <row r="228" s="12" customFormat="1" x14ac:dyDescent="0.25"/>
    <row r="229" s="12" customFormat="1" x14ac:dyDescent="0.25"/>
    <row r="230" s="12" customFormat="1" x14ac:dyDescent="0.25"/>
    <row r="231" s="12" customFormat="1" x14ac:dyDescent="0.25"/>
    <row r="232" s="12" customFormat="1" x14ac:dyDescent="0.25"/>
    <row r="233" s="12" customFormat="1" x14ac:dyDescent="0.25"/>
    <row r="234" s="12" customFormat="1" x14ac:dyDescent="0.25"/>
    <row r="235" s="12" customFormat="1" x14ac:dyDescent="0.25"/>
    <row r="236" s="12" customFormat="1" x14ac:dyDescent="0.25"/>
    <row r="237" s="12" customFormat="1" x14ac:dyDescent="0.25"/>
    <row r="238" s="12" customFormat="1" x14ac:dyDescent="0.25"/>
    <row r="239" s="12" customFormat="1" x14ac:dyDescent="0.25"/>
    <row r="240" s="12" customFormat="1" x14ac:dyDescent="0.25"/>
    <row r="241" s="12" customFormat="1" x14ac:dyDescent="0.25"/>
    <row r="242" s="12" customFormat="1" x14ac:dyDescent="0.25"/>
    <row r="243" s="12" customFormat="1" x14ac:dyDescent="0.25"/>
    <row r="244" s="12" customFormat="1" x14ac:dyDescent="0.25"/>
    <row r="245" s="12" customFormat="1" x14ac:dyDescent="0.25"/>
    <row r="246" s="12" customFormat="1" x14ac:dyDescent="0.25"/>
    <row r="247" s="12" customFormat="1" x14ac:dyDescent="0.25"/>
    <row r="248" s="12" customFormat="1" x14ac:dyDescent="0.25"/>
    <row r="249" s="12" customFormat="1" x14ac:dyDescent="0.25"/>
    <row r="250" s="12" customFormat="1" x14ac:dyDescent="0.25"/>
    <row r="251" s="12" customFormat="1" x14ac:dyDescent="0.25"/>
    <row r="252" s="12" customFormat="1" x14ac:dyDescent="0.25"/>
    <row r="253" s="12" customFormat="1" x14ac:dyDescent="0.25"/>
    <row r="254" s="12" customFormat="1" x14ac:dyDescent="0.25"/>
    <row r="255" s="12" customFormat="1" x14ac:dyDescent="0.25"/>
    <row r="256" s="12" customFormat="1" x14ac:dyDescent="0.25"/>
    <row r="257" s="12" customFormat="1" x14ac:dyDescent="0.25"/>
    <row r="258" s="12" customFormat="1" x14ac:dyDescent="0.25"/>
    <row r="259" s="12" customFormat="1" x14ac:dyDescent="0.25"/>
    <row r="260" s="12" customFormat="1" x14ac:dyDescent="0.25"/>
    <row r="261" s="12" customFormat="1" x14ac:dyDescent="0.25"/>
    <row r="262" s="12" customFormat="1" x14ac:dyDescent="0.25"/>
    <row r="263" s="12" customFormat="1" x14ac:dyDescent="0.25"/>
    <row r="264" s="12" customFormat="1" x14ac:dyDescent="0.25"/>
    <row r="265" s="12" customFormat="1" x14ac:dyDescent="0.25"/>
    <row r="266" s="12" customFormat="1" x14ac:dyDescent="0.25"/>
    <row r="267" s="12" customFormat="1" x14ac:dyDescent="0.25"/>
    <row r="268" s="12" customFormat="1" x14ac:dyDescent="0.25"/>
    <row r="269" s="12" customFormat="1" x14ac:dyDescent="0.25"/>
    <row r="270" s="12" customFormat="1" x14ac:dyDescent="0.25"/>
    <row r="271" s="12" customFormat="1" x14ac:dyDescent="0.25"/>
    <row r="272" s="12" customFormat="1" x14ac:dyDescent="0.25"/>
    <row r="273" s="12" customFormat="1" x14ac:dyDescent="0.25"/>
    <row r="274" s="12" customFormat="1" x14ac:dyDescent="0.25"/>
    <row r="275" s="12" customFormat="1" x14ac:dyDescent="0.25"/>
    <row r="276" s="12" customFormat="1" x14ac:dyDescent="0.25"/>
    <row r="277" s="12" customFormat="1" x14ac:dyDescent="0.25"/>
    <row r="278" s="12" customFormat="1" x14ac:dyDescent="0.25"/>
    <row r="279" s="12" customFormat="1" x14ac:dyDescent="0.25"/>
    <row r="280" s="12" customFormat="1" x14ac:dyDescent="0.25"/>
    <row r="281" s="12" customFormat="1" x14ac:dyDescent="0.25"/>
    <row r="282" s="12" customFormat="1" x14ac:dyDescent="0.25"/>
    <row r="283" s="12" customFormat="1" x14ac:dyDescent="0.25"/>
    <row r="284" s="12" customFormat="1" x14ac:dyDescent="0.25"/>
    <row r="285" s="12" customFormat="1" x14ac:dyDescent="0.25"/>
    <row r="286" s="12" customFormat="1" x14ac:dyDescent="0.25"/>
    <row r="287" s="12" customFormat="1" x14ac:dyDescent="0.25"/>
    <row r="288" s="12" customFormat="1" x14ac:dyDescent="0.25"/>
    <row r="289" s="12" customFormat="1" x14ac:dyDescent="0.25"/>
    <row r="290" s="12" customFormat="1" x14ac:dyDescent="0.25"/>
    <row r="291" s="12" customFormat="1" x14ac:dyDescent="0.25"/>
    <row r="292" s="12" customFormat="1" x14ac:dyDescent="0.25"/>
    <row r="293" s="12" customFormat="1" x14ac:dyDescent="0.25"/>
    <row r="294" s="12" customFormat="1" x14ac:dyDescent="0.25"/>
    <row r="295" s="12" customFormat="1" x14ac:dyDescent="0.25"/>
    <row r="296" s="12" customFormat="1" x14ac:dyDescent="0.25"/>
    <row r="297" s="12" customFormat="1" x14ac:dyDescent="0.25"/>
    <row r="298" s="12" customFormat="1" x14ac:dyDescent="0.25"/>
    <row r="299" s="12" customFormat="1" x14ac:dyDescent="0.25"/>
    <row r="300" s="12" customFormat="1" x14ac:dyDescent="0.25"/>
    <row r="301" s="12" customFormat="1" x14ac:dyDescent="0.25"/>
    <row r="302" s="12" customFormat="1" x14ac:dyDescent="0.25"/>
    <row r="303" s="12" customFormat="1" x14ac:dyDescent="0.25"/>
    <row r="304" s="12" customFormat="1" x14ac:dyDescent="0.25"/>
    <row r="305" s="12" customFormat="1" x14ac:dyDescent="0.25"/>
    <row r="306" s="12" customFormat="1" x14ac:dyDescent="0.25"/>
    <row r="307" s="12" customFormat="1" x14ac:dyDescent="0.25"/>
    <row r="308" s="12" customFormat="1" x14ac:dyDescent="0.25"/>
    <row r="309" s="12" customFormat="1" x14ac:dyDescent="0.25"/>
    <row r="310" s="12" customFormat="1" x14ac:dyDescent="0.25"/>
    <row r="311" s="12" customFormat="1" x14ac:dyDescent="0.25"/>
    <row r="312" s="12" customFormat="1" x14ac:dyDescent="0.25"/>
    <row r="313" s="12" customFormat="1" x14ac:dyDescent="0.25"/>
    <row r="314" s="12" customFormat="1" x14ac:dyDescent="0.25"/>
    <row r="315" s="12" customFormat="1" x14ac:dyDescent="0.25"/>
    <row r="316" s="12" customFormat="1" x14ac:dyDescent="0.25"/>
    <row r="317" s="12" customFormat="1" x14ac:dyDescent="0.25"/>
    <row r="318" s="12" customFormat="1" x14ac:dyDescent="0.25"/>
    <row r="319" s="12" customFormat="1" x14ac:dyDescent="0.25"/>
    <row r="320" s="12" customFormat="1" x14ac:dyDescent="0.25"/>
    <row r="321" s="12" customFormat="1" x14ac:dyDescent="0.25"/>
    <row r="322" s="12" customFormat="1" x14ac:dyDescent="0.25"/>
    <row r="323" s="12" customFormat="1" x14ac:dyDescent="0.25"/>
    <row r="324" s="12" customFormat="1" x14ac:dyDescent="0.25"/>
    <row r="325" s="12" customFormat="1" x14ac:dyDescent="0.25"/>
    <row r="326" s="12" customFormat="1" x14ac:dyDescent="0.25"/>
    <row r="327" s="12" customFormat="1" x14ac:dyDescent="0.25"/>
    <row r="328" s="12" customFormat="1" x14ac:dyDescent="0.25"/>
    <row r="329" s="12" customFormat="1" x14ac:dyDescent="0.25"/>
    <row r="330" s="12" customFormat="1" x14ac:dyDescent="0.25"/>
    <row r="331" s="12" customFormat="1" x14ac:dyDescent="0.25"/>
    <row r="332" s="12" customFormat="1" x14ac:dyDescent="0.25"/>
    <row r="333" s="12" customFormat="1" x14ac:dyDescent="0.25"/>
    <row r="334" s="12" customFormat="1" x14ac:dyDescent="0.25"/>
    <row r="335" s="12" customFormat="1" x14ac:dyDescent="0.25"/>
    <row r="336" s="12" customFormat="1" x14ac:dyDescent="0.25"/>
    <row r="337" s="12" customFormat="1" x14ac:dyDescent="0.25"/>
    <row r="338" s="12" customFormat="1" x14ac:dyDescent="0.25"/>
    <row r="339" s="12" customFormat="1" x14ac:dyDescent="0.25"/>
    <row r="340" s="12" customFormat="1" x14ac:dyDescent="0.25"/>
    <row r="341" s="12" customFormat="1" x14ac:dyDescent="0.25"/>
    <row r="342" s="12" customFormat="1" x14ac:dyDescent="0.25"/>
    <row r="343" s="12" customFormat="1" x14ac:dyDescent="0.25"/>
    <row r="344" s="12" customFormat="1" x14ac:dyDescent="0.25"/>
    <row r="345" s="12" customFormat="1" x14ac:dyDescent="0.25"/>
    <row r="346" s="12" customFormat="1" x14ac:dyDescent="0.25"/>
    <row r="347" s="12" customFormat="1" x14ac:dyDescent="0.25"/>
    <row r="348" s="12" customFormat="1" x14ac:dyDescent="0.25"/>
    <row r="349" s="12" customFormat="1" x14ac:dyDescent="0.25"/>
    <row r="350" s="12" customFormat="1" x14ac:dyDescent="0.25"/>
    <row r="351" s="12" customFormat="1" x14ac:dyDescent="0.25"/>
    <row r="352" s="12" customFormat="1" x14ac:dyDescent="0.25"/>
    <row r="353" s="12" customFormat="1" x14ac:dyDescent="0.25"/>
    <row r="354" s="12" customFormat="1" x14ac:dyDescent="0.25"/>
    <row r="355" s="12" customFormat="1" x14ac:dyDescent="0.25"/>
    <row r="356" s="12" customFormat="1" x14ac:dyDescent="0.25"/>
    <row r="357" s="12" customFormat="1" x14ac:dyDescent="0.25"/>
    <row r="358" s="12" customFormat="1" x14ac:dyDescent="0.25"/>
    <row r="359" s="12" customFormat="1" x14ac:dyDescent="0.25"/>
    <row r="360" s="12" customFormat="1" x14ac:dyDescent="0.25"/>
    <row r="361" s="12" customFormat="1" x14ac:dyDescent="0.25"/>
    <row r="362" s="12" customFormat="1" x14ac:dyDescent="0.25"/>
    <row r="363" s="12" customFormat="1" x14ac:dyDescent="0.25"/>
    <row r="364" s="12" customFormat="1" x14ac:dyDescent="0.25"/>
    <row r="365" s="12" customFormat="1" x14ac:dyDescent="0.25"/>
    <row r="366" s="12" customFormat="1" x14ac:dyDescent="0.25"/>
    <row r="367" s="12" customFormat="1" x14ac:dyDescent="0.25"/>
    <row r="368" s="12" customFormat="1" x14ac:dyDescent="0.25"/>
    <row r="369" s="12" customFormat="1" x14ac:dyDescent="0.25"/>
    <row r="370" s="12" customFormat="1" x14ac:dyDescent="0.25"/>
    <row r="371" s="12" customFormat="1" x14ac:dyDescent="0.25"/>
    <row r="372" s="12" customFormat="1" x14ac:dyDescent="0.25"/>
    <row r="373" s="12" customFormat="1" x14ac:dyDescent="0.25"/>
    <row r="374" s="12" customFormat="1" x14ac:dyDescent="0.25"/>
    <row r="375" s="12" customFormat="1" x14ac:dyDescent="0.25"/>
    <row r="376" s="12" customFormat="1" x14ac:dyDescent="0.25"/>
    <row r="377" s="12" customFormat="1" x14ac:dyDescent="0.25"/>
    <row r="378" s="12" customFormat="1" x14ac:dyDescent="0.25"/>
    <row r="379" s="12" customFormat="1" x14ac:dyDescent="0.25"/>
    <row r="380" s="12" customFormat="1" x14ac:dyDescent="0.25"/>
    <row r="381" s="12" customFormat="1" x14ac:dyDescent="0.25"/>
    <row r="382" s="12" customFormat="1" x14ac:dyDescent="0.25"/>
    <row r="383" s="12" customFormat="1" x14ac:dyDescent="0.25"/>
    <row r="384" s="12" customFormat="1" x14ac:dyDescent="0.25"/>
    <row r="385" s="12" customFormat="1" x14ac:dyDescent="0.25"/>
    <row r="386" s="12" customFormat="1" x14ac:dyDescent="0.25"/>
    <row r="387" s="12" customFormat="1" x14ac:dyDescent="0.25"/>
    <row r="388" s="12" customFormat="1" x14ac:dyDescent="0.25"/>
    <row r="389" s="12" customFormat="1" x14ac:dyDescent="0.25"/>
    <row r="390" s="12" customFormat="1" x14ac:dyDescent="0.25"/>
    <row r="391" s="12" customFormat="1" x14ac:dyDescent="0.25"/>
    <row r="392" s="12" customFormat="1" x14ac:dyDescent="0.25"/>
    <row r="393" s="12" customFormat="1" x14ac:dyDescent="0.25"/>
    <row r="394" s="12" customFormat="1" x14ac:dyDescent="0.25"/>
    <row r="395" s="12" customFormat="1" x14ac:dyDescent="0.25"/>
    <row r="396" s="12" customFormat="1" x14ac:dyDescent="0.25"/>
    <row r="397" s="12" customFormat="1" x14ac:dyDescent="0.25"/>
    <row r="398" s="12" customFormat="1" x14ac:dyDescent="0.25"/>
    <row r="399" s="12" customFormat="1" x14ac:dyDescent="0.25"/>
    <row r="400" s="12" customFormat="1" x14ac:dyDescent="0.25"/>
    <row r="401" s="12" customFormat="1" x14ac:dyDescent="0.25"/>
    <row r="402" s="12" customFormat="1" x14ac:dyDescent="0.25"/>
    <row r="403" s="12" customFormat="1" x14ac:dyDescent="0.25"/>
    <row r="404" s="12" customFormat="1" x14ac:dyDescent="0.25"/>
    <row r="405" s="12" customFormat="1" x14ac:dyDescent="0.25"/>
    <row r="406" s="12" customFormat="1" x14ac:dyDescent="0.25"/>
    <row r="407" s="12" customFormat="1" x14ac:dyDescent="0.25"/>
    <row r="408" s="12" customFormat="1" x14ac:dyDescent="0.25"/>
    <row r="409" s="12" customFormat="1" x14ac:dyDescent="0.25"/>
    <row r="410" s="12" customFormat="1" x14ac:dyDescent="0.25"/>
    <row r="411" s="12" customFormat="1" x14ac:dyDescent="0.25"/>
    <row r="412" s="12" customFormat="1" x14ac:dyDescent="0.25"/>
    <row r="413" s="12" customFormat="1" x14ac:dyDescent="0.25"/>
    <row r="414" s="12" customFormat="1" x14ac:dyDescent="0.25"/>
    <row r="415" s="12" customFormat="1" x14ac:dyDescent="0.25"/>
    <row r="416" s="12" customFormat="1" x14ac:dyDescent="0.25"/>
    <row r="417" s="12" customFormat="1" x14ac:dyDescent="0.25"/>
    <row r="418" s="12" customFormat="1" x14ac:dyDescent="0.25"/>
    <row r="419" s="12" customFormat="1" x14ac:dyDescent="0.25"/>
    <row r="420" s="12" customFormat="1" x14ac:dyDescent="0.25"/>
    <row r="421" s="12" customFormat="1" x14ac:dyDescent="0.25"/>
    <row r="422" s="12" customFormat="1" x14ac:dyDescent="0.25"/>
    <row r="423" s="12" customFormat="1" x14ac:dyDescent="0.25"/>
    <row r="424" s="12" customFormat="1" x14ac:dyDescent="0.25"/>
    <row r="425" s="12" customFormat="1" x14ac:dyDescent="0.25"/>
    <row r="426" s="12" customFormat="1" x14ac:dyDescent="0.25"/>
    <row r="427" s="12" customFormat="1" x14ac:dyDescent="0.25"/>
    <row r="428" s="12" customFormat="1" x14ac:dyDescent="0.25"/>
    <row r="429" s="12" customFormat="1" x14ac:dyDescent="0.25"/>
    <row r="430" s="12" customFormat="1" x14ac:dyDescent="0.25"/>
    <row r="431" s="12" customFormat="1" x14ac:dyDescent="0.25"/>
    <row r="432" s="12" customFormat="1" x14ac:dyDescent="0.25"/>
    <row r="433" s="12" customFormat="1" x14ac:dyDescent="0.25"/>
    <row r="434" s="12" customFormat="1" x14ac:dyDescent="0.25"/>
    <row r="435" s="12" customFormat="1" x14ac:dyDescent="0.25"/>
    <row r="436" s="12" customFormat="1" x14ac:dyDescent="0.25"/>
    <row r="437" s="12" customFormat="1" x14ac:dyDescent="0.25"/>
    <row r="438" s="12" customFormat="1" x14ac:dyDescent="0.25"/>
    <row r="439" s="12" customFormat="1" x14ac:dyDescent="0.25"/>
    <row r="440" s="12" customFormat="1" x14ac:dyDescent="0.25"/>
    <row r="441" s="12" customFormat="1" x14ac:dyDescent="0.25"/>
    <row r="442" s="12" customFormat="1" x14ac:dyDescent="0.25"/>
    <row r="443" s="12" customFormat="1" x14ac:dyDescent="0.25"/>
    <row r="444" s="12" customFormat="1" x14ac:dyDescent="0.25"/>
    <row r="445" s="12" customFormat="1" x14ac:dyDescent="0.25"/>
    <row r="446" s="12" customFormat="1" x14ac:dyDescent="0.25"/>
    <row r="447" s="12" customFormat="1" x14ac:dyDescent="0.25"/>
    <row r="448" s="12" customFormat="1" x14ac:dyDescent="0.25"/>
    <row r="449" s="12" customFormat="1" x14ac:dyDescent="0.25"/>
    <row r="450" s="12" customFormat="1" x14ac:dyDescent="0.25"/>
    <row r="451" s="12" customFormat="1" x14ac:dyDescent="0.25"/>
    <row r="452" s="12" customFormat="1" x14ac:dyDescent="0.25"/>
    <row r="453" s="12" customFormat="1" x14ac:dyDescent="0.25"/>
    <row r="454" s="12" customFormat="1" x14ac:dyDescent="0.25"/>
    <row r="455" s="12" customFormat="1" x14ac:dyDescent="0.25"/>
    <row r="456" s="12" customFormat="1" x14ac:dyDescent="0.25"/>
    <row r="457" s="12" customFormat="1" x14ac:dyDescent="0.25"/>
    <row r="458" s="12" customFormat="1" x14ac:dyDescent="0.25"/>
    <row r="459" s="12" customFormat="1" x14ac:dyDescent="0.25"/>
    <row r="460" s="12" customFormat="1" x14ac:dyDescent="0.25"/>
    <row r="461" s="12" customFormat="1" x14ac:dyDescent="0.25"/>
    <row r="462" s="12" customFormat="1" x14ac:dyDescent="0.25"/>
    <row r="463" s="12" customFormat="1" x14ac:dyDescent="0.25"/>
    <row r="464" s="12" customFormat="1" x14ac:dyDescent="0.25"/>
    <row r="465" s="12" customFormat="1" x14ac:dyDescent="0.25"/>
    <row r="466" s="12" customFormat="1" x14ac:dyDescent="0.25"/>
    <row r="467" s="12" customFormat="1" x14ac:dyDescent="0.25"/>
    <row r="468" s="12" customFormat="1" x14ac:dyDescent="0.25"/>
    <row r="469" s="12" customFormat="1" x14ac:dyDescent="0.25"/>
    <row r="470" s="12" customFormat="1" x14ac:dyDescent="0.25"/>
    <row r="471" s="12" customFormat="1" x14ac:dyDescent="0.25"/>
    <row r="472" s="12" customFormat="1" x14ac:dyDescent="0.25"/>
    <row r="473" s="12" customFormat="1" x14ac:dyDescent="0.25"/>
    <row r="474" s="12" customFormat="1" x14ac:dyDescent="0.25"/>
    <row r="475" s="12" customFormat="1" x14ac:dyDescent="0.25"/>
    <row r="476" s="12" customFormat="1" x14ac:dyDescent="0.25"/>
    <row r="477" s="12" customFormat="1" x14ac:dyDescent="0.25"/>
    <row r="478" s="12" customFormat="1" x14ac:dyDescent="0.25"/>
    <row r="479" s="12" customFormat="1" x14ac:dyDescent="0.25"/>
    <row r="480" s="12" customFormat="1" x14ac:dyDescent="0.25"/>
    <row r="481" s="12" customFormat="1" x14ac:dyDescent="0.25"/>
    <row r="482" s="12" customFormat="1" x14ac:dyDescent="0.25"/>
    <row r="483" s="12" customFormat="1" x14ac:dyDescent="0.25"/>
    <row r="484" s="12" customFormat="1" x14ac:dyDescent="0.25"/>
    <row r="485" s="12" customFormat="1" x14ac:dyDescent="0.25"/>
    <row r="486" s="12" customFormat="1" x14ac:dyDescent="0.25"/>
    <row r="487" s="12" customFormat="1" x14ac:dyDescent="0.25"/>
    <row r="488" s="12" customFormat="1" x14ac:dyDescent="0.25"/>
    <row r="489" s="12" customFormat="1" x14ac:dyDescent="0.25"/>
    <row r="490" s="12" customFormat="1" x14ac:dyDescent="0.25"/>
    <row r="491" s="12" customFormat="1" x14ac:dyDescent="0.25"/>
    <row r="492" s="12" customFormat="1" x14ac:dyDescent="0.25"/>
    <row r="493" s="12" customFormat="1" x14ac:dyDescent="0.25"/>
    <row r="494" s="12" customFormat="1" x14ac:dyDescent="0.25"/>
    <row r="495" s="12" customFormat="1" x14ac:dyDescent="0.25"/>
    <row r="496" s="12" customFormat="1" x14ac:dyDescent="0.25"/>
    <row r="497" s="12" customFormat="1" x14ac:dyDescent="0.25"/>
    <row r="498" s="12" customFormat="1" x14ac:dyDescent="0.25"/>
    <row r="499" s="12" customFormat="1" x14ac:dyDescent="0.25"/>
    <row r="500" s="12" customFormat="1" x14ac:dyDescent="0.25"/>
    <row r="501" s="12" customFormat="1" x14ac:dyDescent="0.25"/>
    <row r="502" s="12" customFormat="1" x14ac:dyDescent="0.25"/>
    <row r="503" s="12" customFormat="1" x14ac:dyDescent="0.25"/>
    <row r="504" s="12" customFormat="1" x14ac:dyDescent="0.25"/>
    <row r="505" s="12" customFormat="1" x14ac:dyDescent="0.25"/>
    <row r="506" s="12" customFormat="1" x14ac:dyDescent="0.25"/>
    <row r="507" s="12" customFormat="1" x14ac:dyDescent="0.25"/>
    <row r="508" s="12" customFormat="1" x14ac:dyDescent="0.25"/>
    <row r="509" s="12" customFormat="1" x14ac:dyDescent="0.25"/>
    <row r="510" s="12" customFormat="1" x14ac:dyDescent="0.25"/>
    <row r="511" s="12" customFormat="1" x14ac:dyDescent="0.25"/>
    <row r="512" s="12" customFormat="1" x14ac:dyDescent="0.25"/>
    <row r="513" s="12" customFormat="1" x14ac:dyDescent="0.25"/>
    <row r="514" s="12" customFormat="1" x14ac:dyDescent="0.25"/>
    <row r="515" s="12" customFormat="1" x14ac:dyDescent="0.25"/>
    <row r="516" s="12" customFormat="1" x14ac:dyDescent="0.25"/>
    <row r="517" s="12" customFormat="1" x14ac:dyDescent="0.25"/>
    <row r="518" s="12" customFormat="1" x14ac:dyDescent="0.25"/>
    <row r="519" s="12" customFormat="1" x14ac:dyDescent="0.25"/>
    <row r="520" s="12" customFormat="1" x14ac:dyDescent="0.25"/>
    <row r="521" s="12" customFormat="1" x14ac:dyDescent="0.25"/>
    <row r="522" s="12" customFormat="1" x14ac:dyDescent="0.25"/>
    <row r="523" s="12" customFormat="1" x14ac:dyDescent="0.25"/>
    <row r="524" s="12" customFormat="1" x14ac:dyDescent="0.25"/>
    <row r="525" s="12" customFormat="1" x14ac:dyDescent="0.25"/>
    <row r="526" s="12" customFormat="1" x14ac:dyDescent="0.25"/>
    <row r="527" s="12" customFormat="1" x14ac:dyDescent="0.25"/>
    <row r="528" s="12" customFormat="1" x14ac:dyDescent="0.25"/>
    <row r="529" s="12" customFormat="1" x14ac:dyDescent="0.25"/>
    <row r="530" s="12" customFormat="1" x14ac:dyDescent="0.25"/>
    <row r="531" s="12" customFormat="1" x14ac:dyDescent="0.25"/>
    <row r="532" s="12" customFormat="1" x14ac:dyDescent="0.25"/>
    <row r="533" s="12" customFormat="1" x14ac:dyDescent="0.25"/>
    <row r="534" s="12" customFormat="1" x14ac:dyDescent="0.25"/>
    <row r="535" s="12" customFormat="1" x14ac:dyDescent="0.25"/>
    <row r="536" s="12" customFormat="1" x14ac:dyDescent="0.25"/>
    <row r="537" s="12" customFormat="1" x14ac:dyDescent="0.25"/>
    <row r="538" s="12" customFormat="1" x14ac:dyDescent="0.25"/>
    <row r="539" s="12" customFormat="1" x14ac:dyDescent="0.25"/>
    <row r="540" s="12" customFormat="1" x14ac:dyDescent="0.25"/>
    <row r="541" s="12" customFormat="1" x14ac:dyDescent="0.25"/>
    <row r="542" s="12" customFormat="1" x14ac:dyDescent="0.25"/>
    <row r="543" s="12" customFormat="1" x14ac:dyDescent="0.25"/>
    <row r="544" s="12" customFormat="1" x14ac:dyDescent="0.25"/>
    <row r="545" s="12" customFormat="1" x14ac:dyDescent="0.25"/>
    <row r="546" s="12" customFormat="1" x14ac:dyDescent="0.25"/>
    <row r="547" s="12" customFormat="1" x14ac:dyDescent="0.25"/>
    <row r="548" s="12" customFormat="1" x14ac:dyDescent="0.25"/>
    <row r="549" s="12" customFormat="1" x14ac:dyDescent="0.25"/>
    <row r="550" s="12" customFormat="1" x14ac:dyDescent="0.25"/>
    <row r="551" s="12" customFormat="1" x14ac:dyDescent="0.25"/>
    <row r="552" s="12" customFormat="1" x14ac:dyDescent="0.25"/>
    <row r="553" s="12" customFormat="1" x14ac:dyDescent="0.25"/>
    <row r="554" s="12" customFormat="1" x14ac:dyDescent="0.25"/>
    <row r="555" s="12" customFormat="1" x14ac:dyDescent="0.25"/>
    <row r="556" s="12" customFormat="1" x14ac:dyDescent="0.25"/>
    <row r="557" s="12" customFormat="1" x14ac:dyDescent="0.25"/>
    <row r="558" s="12" customFormat="1" x14ac:dyDescent="0.25"/>
    <row r="559" s="12" customFormat="1" x14ac:dyDescent="0.25"/>
    <row r="560" s="12" customFormat="1" x14ac:dyDescent="0.25"/>
    <row r="561" s="12" customFormat="1" x14ac:dyDescent="0.25"/>
    <row r="562" s="12" customFormat="1" x14ac:dyDescent="0.25"/>
    <row r="563" s="12" customFormat="1" x14ac:dyDescent="0.25"/>
    <row r="564" s="12" customFormat="1" x14ac:dyDescent="0.25"/>
    <row r="565" s="12" customFormat="1" x14ac:dyDescent="0.25"/>
    <row r="566" s="12" customFormat="1" x14ac:dyDescent="0.25"/>
    <row r="567" s="12" customFormat="1" x14ac:dyDescent="0.25"/>
    <row r="568" s="12" customFormat="1" x14ac:dyDescent="0.25"/>
    <row r="569" s="12" customFormat="1" x14ac:dyDescent="0.25"/>
    <row r="570" s="12" customFormat="1" x14ac:dyDescent="0.25"/>
    <row r="571" s="12" customFormat="1" x14ac:dyDescent="0.25"/>
    <row r="572" s="12" customFormat="1" x14ac:dyDescent="0.25"/>
    <row r="573" s="12" customFormat="1" x14ac:dyDescent="0.25"/>
    <row r="574" s="12" customFormat="1" x14ac:dyDescent="0.25"/>
    <row r="575" s="12" customFormat="1" x14ac:dyDescent="0.25"/>
    <row r="576" s="12" customFormat="1" x14ac:dyDescent="0.25"/>
    <row r="577" s="12" customFormat="1" x14ac:dyDescent="0.25"/>
    <row r="578" s="12" customFormat="1" x14ac:dyDescent="0.25"/>
    <row r="579" s="12" customFormat="1" x14ac:dyDescent="0.25"/>
    <row r="580" s="12" customFormat="1" x14ac:dyDescent="0.25"/>
    <row r="581" s="12" customFormat="1" x14ac:dyDescent="0.25"/>
    <row r="582" s="12" customFormat="1" x14ac:dyDescent="0.25"/>
    <row r="583" s="12" customFormat="1" x14ac:dyDescent="0.25"/>
    <row r="584" s="12" customFormat="1" x14ac:dyDescent="0.25"/>
    <row r="585" s="12" customFormat="1" x14ac:dyDescent="0.25"/>
    <row r="586" s="12" customFormat="1" x14ac:dyDescent="0.25"/>
    <row r="587" s="12" customFormat="1" x14ac:dyDescent="0.25"/>
    <row r="588" s="12" customFormat="1" x14ac:dyDescent="0.25"/>
    <row r="589" s="12" customFormat="1" x14ac:dyDescent="0.25"/>
    <row r="590" s="12" customFormat="1" x14ac:dyDescent="0.25"/>
    <row r="591" s="12" customFormat="1" x14ac:dyDescent="0.25"/>
    <row r="592" s="12" customFormat="1" x14ac:dyDescent="0.25"/>
    <row r="593" s="12" customFormat="1" x14ac:dyDescent="0.25"/>
    <row r="594" s="12" customFormat="1" x14ac:dyDescent="0.25"/>
    <row r="595" s="12" customFormat="1" x14ac:dyDescent="0.25"/>
    <row r="596" s="12" customFormat="1" x14ac:dyDescent="0.25"/>
    <row r="597" s="12" customFormat="1" x14ac:dyDescent="0.25"/>
    <row r="598" s="12" customFormat="1" x14ac:dyDescent="0.25"/>
    <row r="599" s="12" customFormat="1" x14ac:dyDescent="0.25"/>
    <row r="600" s="12" customFormat="1" x14ac:dyDescent="0.25"/>
    <row r="601" s="12" customFormat="1" x14ac:dyDescent="0.25"/>
    <row r="602" s="12" customFormat="1" x14ac:dyDescent="0.25"/>
    <row r="603" s="12" customFormat="1" x14ac:dyDescent="0.25"/>
    <row r="604" s="12" customFormat="1" x14ac:dyDescent="0.25"/>
    <row r="605" s="12" customFormat="1" x14ac:dyDescent="0.25"/>
    <row r="606" s="12" customFormat="1" x14ac:dyDescent="0.25"/>
    <row r="607" s="12" customFormat="1" x14ac:dyDescent="0.25"/>
    <row r="608" s="12" customFormat="1" x14ac:dyDescent="0.25"/>
    <row r="609" s="12" customFormat="1" x14ac:dyDescent="0.25"/>
    <row r="610" s="12" customFormat="1" x14ac:dyDescent="0.25"/>
    <row r="611" s="12" customFormat="1" x14ac:dyDescent="0.25"/>
    <row r="612" s="12" customFormat="1" x14ac:dyDescent="0.25"/>
    <row r="613" s="12" customFormat="1" x14ac:dyDescent="0.25"/>
    <row r="614" s="12" customFormat="1" x14ac:dyDescent="0.25"/>
    <row r="615" s="12" customFormat="1" x14ac:dyDescent="0.25"/>
    <row r="616" s="12" customFormat="1" x14ac:dyDescent="0.25"/>
    <row r="617" s="12" customFormat="1" x14ac:dyDescent="0.25"/>
    <row r="618" s="12" customFormat="1" x14ac:dyDescent="0.25"/>
    <row r="619" s="12" customFormat="1" x14ac:dyDescent="0.25"/>
    <row r="620" s="12" customFormat="1" x14ac:dyDescent="0.25"/>
    <row r="621" s="12" customFormat="1" x14ac:dyDescent="0.25"/>
    <row r="622" s="12" customFormat="1" x14ac:dyDescent="0.25"/>
    <row r="623" s="12" customFormat="1" x14ac:dyDescent="0.25"/>
    <row r="624" s="12" customFormat="1" x14ac:dyDescent="0.25"/>
    <row r="625" s="12" customFormat="1" x14ac:dyDescent="0.25"/>
    <row r="626" s="12" customFormat="1" x14ac:dyDescent="0.25"/>
    <row r="627" s="12" customFormat="1" x14ac:dyDescent="0.25"/>
    <row r="628" s="12" customFormat="1" x14ac:dyDescent="0.25"/>
    <row r="629" s="12" customFormat="1" x14ac:dyDescent="0.25"/>
    <row r="630" s="12" customFormat="1" x14ac:dyDescent="0.25"/>
    <row r="631" s="12" customFormat="1" x14ac:dyDescent="0.25"/>
    <row r="632" s="12" customFormat="1" x14ac:dyDescent="0.25"/>
    <row r="633" s="12" customFormat="1" x14ac:dyDescent="0.25"/>
    <row r="634" s="12" customFormat="1" x14ac:dyDescent="0.25"/>
    <row r="635" s="12" customFormat="1" x14ac:dyDescent="0.25"/>
    <row r="636" s="12" customFormat="1" x14ac:dyDescent="0.25"/>
    <row r="637" s="12" customFormat="1" x14ac:dyDescent="0.25"/>
    <row r="638" s="12" customFormat="1" x14ac:dyDescent="0.25"/>
    <row r="639" s="12" customFormat="1" x14ac:dyDescent="0.25"/>
    <row r="640" s="12" customFormat="1" x14ac:dyDescent="0.25"/>
    <row r="641" s="12" customFormat="1" x14ac:dyDescent="0.25"/>
    <row r="642" s="12" customFormat="1" x14ac:dyDescent="0.25"/>
    <row r="643" s="12" customFormat="1" x14ac:dyDescent="0.25"/>
    <row r="644" s="12" customFormat="1" x14ac:dyDescent="0.25"/>
    <row r="645" s="12" customFormat="1" x14ac:dyDescent="0.25"/>
    <row r="646" s="12" customFormat="1" x14ac:dyDescent="0.25"/>
    <row r="647" s="12" customFormat="1" x14ac:dyDescent="0.25"/>
    <row r="648" s="12" customFormat="1" x14ac:dyDescent="0.25"/>
    <row r="649" s="12" customFormat="1" x14ac:dyDescent="0.25"/>
    <row r="650" s="12" customFormat="1" x14ac:dyDescent="0.25"/>
    <row r="651" s="12" customFormat="1" x14ac:dyDescent="0.25"/>
    <row r="652" s="12" customFormat="1" x14ac:dyDescent="0.25"/>
    <row r="653" s="12" customFormat="1" x14ac:dyDescent="0.25"/>
    <row r="654" s="12" customFormat="1" x14ac:dyDescent="0.25"/>
    <row r="655" s="12" customFormat="1" x14ac:dyDescent="0.25"/>
    <row r="656" s="12" customFormat="1" x14ac:dyDescent="0.25"/>
    <row r="657" s="12" customFormat="1" x14ac:dyDescent="0.25"/>
    <row r="658" s="12" customFormat="1" x14ac:dyDescent="0.25"/>
    <row r="659" s="12" customFormat="1" x14ac:dyDescent="0.25"/>
    <row r="660" s="12" customFormat="1" x14ac:dyDescent="0.25"/>
    <row r="661" s="12" customFormat="1" x14ac:dyDescent="0.25"/>
    <row r="662" s="12" customFormat="1" x14ac:dyDescent="0.25"/>
    <row r="663" s="12" customFormat="1" x14ac:dyDescent="0.25"/>
    <row r="664" s="12" customFormat="1" x14ac:dyDescent="0.25"/>
    <row r="665" s="12" customFormat="1" x14ac:dyDescent="0.25"/>
    <row r="666" s="12" customFormat="1" x14ac:dyDescent="0.25"/>
    <row r="667" s="12" customFormat="1" x14ac:dyDescent="0.25"/>
    <row r="668" s="12" customFormat="1" x14ac:dyDescent="0.25"/>
    <row r="669" s="12" customFormat="1" x14ac:dyDescent="0.25"/>
    <row r="670" s="12" customFormat="1" x14ac:dyDescent="0.25"/>
    <row r="671" s="12" customFormat="1" x14ac:dyDescent="0.25"/>
    <row r="672" s="12" customFormat="1" x14ac:dyDescent="0.25"/>
    <row r="673" s="12" customFormat="1" x14ac:dyDescent="0.25"/>
    <row r="674" s="12" customFormat="1" x14ac:dyDescent="0.25"/>
    <row r="675" s="12" customFormat="1" x14ac:dyDescent="0.25"/>
    <row r="676" s="12" customFormat="1" x14ac:dyDescent="0.25"/>
    <row r="677" s="12" customFormat="1" x14ac:dyDescent="0.25"/>
    <row r="678" s="12" customFormat="1" x14ac:dyDescent="0.25"/>
    <row r="679" s="12" customFormat="1" x14ac:dyDescent="0.25"/>
    <row r="680" s="12" customFormat="1" x14ac:dyDescent="0.25"/>
    <row r="681" s="12" customFormat="1" x14ac:dyDescent="0.25"/>
    <row r="682" s="12" customFormat="1" x14ac:dyDescent="0.25"/>
    <row r="683" s="12" customFormat="1" x14ac:dyDescent="0.25"/>
    <row r="684" s="12" customFormat="1" x14ac:dyDescent="0.25"/>
    <row r="685" s="12" customFormat="1" x14ac:dyDescent="0.25"/>
    <row r="686" s="12" customFormat="1" x14ac:dyDescent="0.25"/>
    <row r="687" s="12" customFormat="1" x14ac:dyDescent="0.25"/>
    <row r="688" s="12" customFormat="1" x14ac:dyDescent="0.25"/>
    <row r="689" s="12" customFormat="1" x14ac:dyDescent="0.25"/>
    <row r="690" s="12" customFormat="1" x14ac:dyDescent="0.25"/>
    <row r="691" s="12" customFormat="1" x14ac:dyDescent="0.25"/>
    <row r="692" s="12" customFormat="1" x14ac:dyDescent="0.25"/>
    <row r="693" s="12" customFormat="1" x14ac:dyDescent="0.25"/>
    <row r="694" s="12" customFormat="1" x14ac:dyDescent="0.25"/>
    <row r="695" s="12" customFormat="1" x14ac:dyDescent="0.25"/>
    <row r="696" s="12" customFormat="1" x14ac:dyDescent="0.25"/>
    <row r="697" s="12" customFormat="1" x14ac:dyDescent="0.25"/>
    <row r="698" s="12" customFormat="1" x14ac:dyDescent="0.25"/>
    <row r="699" s="12" customFormat="1" x14ac:dyDescent="0.25"/>
    <row r="700" s="12" customFormat="1" x14ac:dyDescent="0.25"/>
    <row r="701" s="12" customFormat="1" x14ac:dyDescent="0.25"/>
    <row r="702" s="12" customFormat="1" x14ac:dyDescent="0.25"/>
    <row r="703" s="12" customFormat="1" x14ac:dyDescent="0.25"/>
    <row r="704" s="12" customFormat="1" x14ac:dyDescent="0.25"/>
    <row r="705" s="12" customFormat="1" x14ac:dyDescent="0.25"/>
    <row r="706" s="12" customFormat="1" x14ac:dyDescent="0.25"/>
    <row r="707" s="12" customFormat="1" x14ac:dyDescent="0.25"/>
    <row r="708" s="12" customFormat="1" x14ac:dyDescent="0.25"/>
    <row r="709" s="12" customFormat="1" x14ac:dyDescent="0.25"/>
    <row r="710" s="12" customFormat="1" x14ac:dyDescent="0.25"/>
    <row r="711" s="12" customFormat="1" x14ac:dyDescent="0.25"/>
    <row r="712" s="12" customFormat="1" x14ac:dyDescent="0.25"/>
    <row r="713" s="12" customFormat="1" x14ac:dyDescent="0.25"/>
    <row r="714" s="12" customFormat="1" x14ac:dyDescent="0.25"/>
    <row r="715" s="12" customFormat="1" x14ac:dyDescent="0.25"/>
    <row r="716" s="12" customFormat="1" x14ac:dyDescent="0.25"/>
    <row r="717" s="12" customFormat="1" x14ac:dyDescent="0.25"/>
    <row r="718" s="12" customFormat="1" x14ac:dyDescent="0.25"/>
    <row r="719" s="12" customFormat="1" x14ac:dyDescent="0.25"/>
    <row r="720" s="12" customFormat="1" x14ac:dyDescent="0.25"/>
    <row r="721" s="12" customFormat="1" x14ac:dyDescent="0.25"/>
    <row r="722" s="12" customFormat="1" x14ac:dyDescent="0.25"/>
    <row r="723" s="12" customFormat="1" x14ac:dyDescent="0.25"/>
    <row r="724" s="12" customFormat="1" x14ac:dyDescent="0.25"/>
    <row r="725" s="12" customFormat="1" x14ac:dyDescent="0.25"/>
    <row r="726" s="12" customFormat="1" x14ac:dyDescent="0.25"/>
    <row r="727" s="12" customFormat="1" x14ac:dyDescent="0.25"/>
    <row r="728" s="12" customFormat="1" x14ac:dyDescent="0.25"/>
    <row r="729" s="12" customFormat="1" x14ac:dyDescent="0.25"/>
    <row r="730" s="12" customFormat="1" x14ac:dyDescent="0.25"/>
    <row r="731" s="12" customFormat="1" x14ac:dyDescent="0.25"/>
    <row r="732" s="12" customFormat="1" x14ac:dyDescent="0.25"/>
    <row r="733" s="12" customFormat="1" x14ac:dyDescent="0.25"/>
    <row r="734" s="12" customFormat="1" x14ac:dyDescent="0.25"/>
    <row r="735" s="12" customFormat="1" x14ac:dyDescent="0.25"/>
    <row r="736" s="12" customFormat="1" x14ac:dyDescent="0.25"/>
    <row r="737" s="12" customFormat="1" x14ac:dyDescent="0.25"/>
    <row r="738" s="12" customFormat="1" x14ac:dyDescent="0.25"/>
    <row r="739" s="12" customFormat="1" x14ac:dyDescent="0.25"/>
    <row r="740" s="12" customFormat="1" x14ac:dyDescent="0.25"/>
    <row r="741" s="12" customFormat="1" x14ac:dyDescent="0.25"/>
    <row r="742" s="12" customFormat="1" x14ac:dyDescent="0.25"/>
    <row r="743" s="12" customFormat="1" x14ac:dyDescent="0.25"/>
    <row r="744" s="12" customFormat="1" x14ac:dyDescent="0.25"/>
    <row r="745" s="12" customFormat="1" x14ac:dyDescent="0.25"/>
    <row r="746" s="12" customFormat="1" x14ac:dyDescent="0.25"/>
    <row r="747" s="12" customFormat="1" x14ac:dyDescent="0.25"/>
    <row r="748" s="12" customFormat="1" x14ac:dyDescent="0.25"/>
    <row r="749" s="12" customFormat="1" x14ac:dyDescent="0.25"/>
    <row r="750" s="12" customFormat="1" x14ac:dyDescent="0.25"/>
    <row r="751" s="12" customFormat="1" x14ac:dyDescent="0.25"/>
    <row r="752" s="12" customFormat="1" x14ac:dyDescent="0.25"/>
    <row r="753" s="12" customFormat="1" x14ac:dyDescent="0.25"/>
    <row r="754" s="12" customFormat="1" x14ac:dyDescent="0.25"/>
    <row r="755" s="12" customFormat="1" x14ac:dyDescent="0.25"/>
    <row r="756" s="12" customFormat="1" x14ac:dyDescent="0.25"/>
    <row r="757" s="12" customFormat="1" x14ac:dyDescent="0.25"/>
    <row r="758" s="12" customFormat="1" x14ac:dyDescent="0.25"/>
    <row r="759" s="12" customFormat="1" x14ac:dyDescent="0.25"/>
    <row r="760" s="12" customFormat="1" x14ac:dyDescent="0.25"/>
    <row r="761" s="12" customFormat="1" x14ac:dyDescent="0.25"/>
    <row r="762" s="12" customFormat="1" x14ac:dyDescent="0.25"/>
    <row r="763" s="12" customFormat="1" x14ac:dyDescent="0.25"/>
    <row r="764" s="12" customFormat="1" x14ac:dyDescent="0.25"/>
    <row r="765" s="12" customFormat="1" x14ac:dyDescent="0.25"/>
    <row r="766" s="12" customFormat="1" x14ac:dyDescent="0.25"/>
    <row r="767" s="12" customFormat="1" x14ac:dyDescent="0.25"/>
    <row r="768" s="12" customFormat="1" x14ac:dyDescent="0.25"/>
    <row r="769" s="12" customFormat="1" x14ac:dyDescent="0.25"/>
    <row r="770" s="12" customFormat="1" x14ac:dyDescent="0.25"/>
    <row r="771" s="12" customFormat="1" x14ac:dyDescent="0.25"/>
    <row r="772" s="12" customFormat="1" x14ac:dyDescent="0.25"/>
    <row r="773" s="12" customFormat="1" x14ac:dyDescent="0.25"/>
    <row r="774" s="12" customFormat="1" x14ac:dyDescent="0.25"/>
    <row r="775" s="12" customFormat="1" x14ac:dyDescent="0.25"/>
    <row r="776" s="12" customFormat="1" x14ac:dyDescent="0.25"/>
    <row r="777" s="12" customFormat="1" x14ac:dyDescent="0.25"/>
    <row r="778" s="12" customFormat="1" x14ac:dyDescent="0.25"/>
    <row r="779" s="12" customFormat="1" x14ac:dyDescent="0.25"/>
    <row r="780" s="12" customFormat="1" x14ac:dyDescent="0.25"/>
    <row r="781" s="12" customFormat="1" x14ac:dyDescent="0.25"/>
    <row r="782" s="12" customFormat="1" x14ac:dyDescent="0.25"/>
    <row r="783" s="12" customFormat="1" x14ac:dyDescent="0.25"/>
    <row r="784" s="12" customFormat="1" x14ac:dyDescent="0.25"/>
    <row r="785" s="12" customFormat="1" x14ac:dyDescent="0.25"/>
    <row r="786" s="12" customFormat="1" x14ac:dyDescent="0.25"/>
    <row r="787" s="12" customFormat="1" x14ac:dyDescent="0.25"/>
    <row r="788" s="12" customFormat="1" x14ac:dyDescent="0.25"/>
    <row r="789" s="12" customFormat="1" x14ac:dyDescent="0.25"/>
    <row r="790" s="12" customFormat="1" x14ac:dyDescent="0.25"/>
    <row r="791" s="12" customFormat="1" x14ac:dyDescent="0.25"/>
    <row r="792" s="12" customFormat="1" x14ac:dyDescent="0.25"/>
    <row r="793" s="12" customFormat="1" x14ac:dyDescent="0.25"/>
    <row r="794" s="12" customFormat="1" x14ac:dyDescent="0.25"/>
    <row r="795" s="12" customFormat="1" x14ac:dyDescent="0.25"/>
    <row r="796" s="12" customFormat="1" x14ac:dyDescent="0.25"/>
    <row r="797" s="12" customFormat="1" x14ac:dyDescent="0.25"/>
    <row r="798" s="12" customFormat="1" x14ac:dyDescent="0.25"/>
    <row r="799" s="12" customFormat="1" x14ac:dyDescent="0.25"/>
    <row r="800" s="12" customFormat="1" x14ac:dyDescent="0.25"/>
    <row r="801" s="12" customFormat="1" x14ac:dyDescent="0.25"/>
    <row r="802" s="12" customFormat="1" x14ac:dyDescent="0.25"/>
    <row r="803" s="12" customFormat="1" x14ac:dyDescent="0.25"/>
    <row r="804" s="12" customFormat="1" x14ac:dyDescent="0.25"/>
    <row r="805" s="12" customFormat="1" x14ac:dyDescent="0.25"/>
    <row r="806" s="12" customFormat="1" x14ac:dyDescent="0.25"/>
    <row r="807" s="12" customFormat="1" x14ac:dyDescent="0.25"/>
    <row r="808" s="12" customFormat="1" x14ac:dyDescent="0.25"/>
    <row r="809" s="12" customFormat="1" x14ac:dyDescent="0.25"/>
    <row r="810" s="12" customFormat="1" x14ac:dyDescent="0.25"/>
    <row r="811" s="12" customFormat="1" x14ac:dyDescent="0.25"/>
    <row r="812" s="12" customFormat="1" x14ac:dyDescent="0.25"/>
    <row r="813" s="12" customFormat="1" x14ac:dyDescent="0.25"/>
    <row r="814" s="12" customFormat="1" x14ac:dyDescent="0.25"/>
    <row r="815" s="12" customFormat="1" x14ac:dyDescent="0.25"/>
    <row r="816" s="12" customFormat="1" x14ac:dyDescent="0.25"/>
    <row r="817" s="12" customFormat="1" x14ac:dyDescent="0.25"/>
    <row r="818" s="12" customFormat="1" x14ac:dyDescent="0.25"/>
    <row r="819" s="12" customFormat="1" x14ac:dyDescent="0.25"/>
    <row r="820" s="12" customFormat="1" x14ac:dyDescent="0.25"/>
    <row r="821" s="12" customFormat="1" x14ac:dyDescent="0.25"/>
    <row r="822" s="12" customFormat="1" x14ac:dyDescent="0.25"/>
    <row r="823" s="12" customFormat="1" x14ac:dyDescent="0.25"/>
    <row r="824" s="12" customFormat="1" x14ac:dyDescent="0.25"/>
    <row r="825" s="12" customFormat="1" x14ac:dyDescent="0.25"/>
    <row r="826" s="12" customFormat="1" x14ac:dyDescent="0.25"/>
    <row r="827" s="12" customFormat="1" x14ac:dyDescent="0.25"/>
    <row r="828" s="12" customFormat="1" x14ac:dyDescent="0.25"/>
    <row r="829" s="12" customFormat="1" x14ac:dyDescent="0.25"/>
    <row r="830" s="12" customFormat="1" x14ac:dyDescent="0.25"/>
    <row r="831" s="12" customFormat="1" x14ac:dyDescent="0.25"/>
    <row r="832" s="12" customFormat="1" x14ac:dyDescent="0.25"/>
    <row r="833" s="12" customFormat="1" x14ac:dyDescent="0.25"/>
    <row r="834" s="12" customFormat="1" x14ac:dyDescent="0.25"/>
    <row r="835" s="12" customFormat="1" x14ac:dyDescent="0.25"/>
    <row r="836" s="12" customFormat="1" x14ac:dyDescent="0.25"/>
    <row r="837" s="12" customFormat="1" x14ac:dyDescent="0.25"/>
    <row r="838" s="12" customFormat="1" x14ac:dyDescent="0.25"/>
    <row r="839" s="12" customFormat="1" x14ac:dyDescent="0.25"/>
    <row r="840" s="12" customFormat="1" x14ac:dyDescent="0.25"/>
    <row r="841" s="12" customFormat="1" x14ac:dyDescent="0.25"/>
    <row r="842" s="12" customFormat="1" x14ac:dyDescent="0.25"/>
    <row r="843" s="12" customFormat="1" x14ac:dyDescent="0.25"/>
    <row r="844" s="12" customFormat="1" x14ac:dyDescent="0.25"/>
    <row r="845" s="12" customFormat="1" x14ac:dyDescent="0.25"/>
    <row r="846" s="12" customFormat="1" x14ac:dyDescent="0.25"/>
    <row r="847" s="12" customFormat="1" x14ac:dyDescent="0.25"/>
    <row r="848" s="12" customFormat="1" x14ac:dyDescent="0.25"/>
    <row r="849" s="12" customFormat="1" x14ac:dyDescent="0.25"/>
    <row r="850" s="12" customFormat="1" x14ac:dyDescent="0.25"/>
    <row r="851" s="12" customFormat="1" x14ac:dyDescent="0.25"/>
    <row r="852" s="12" customFormat="1" x14ac:dyDescent="0.25"/>
    <row r="853" s="12" customFormat="1" x14ac:dyDescent="0.25"/>
    <row r="854" s="12" customFormat="1" x14ac:dyDescent="0.25"/>
    <row r="855" s="12" customFormat="1" x14ac:dyDescent="0.25"/>
    <row r="856" s="12" customFormat="1" x14ac:dyDescent="0.25"/>
    <row r="857" s="12" customFormat="1" x14ac:dyDescent="0.25"/>
    <row r="858" s="12" customFormat="1" x14ac:dyDescent="0.25"/>
    <row r="859" s="12" customFormat="1" x14ac:dyDescent="0.25"/>
    <row r="860" s="12" customFormat="1" x14ac:dyDescent="0.25"/>
    <row r="861" s="12" customFormat="1" x14ac:dyDescent="0.25"/>
    <row r="862" s="12" customFormat="1" x14ac:dyDescent="0.25"/>
    <row r="863" s="12" customFormat="1" x14ac:dyDescent="0.25"/>
    <row r="864" s="12" customFormat="1" x14ac:dyDescent="0.25"/>
    <row r="865" s="12" customFormat="1" x14ac:dyDescent="0.25"/>
    <row r="866" s="12" customFormat="1" x14ac:dyDescent="0.25"/>
    <row r="867" s="12" customFormat="1" x14ac:dyDescent="0.25"/>
    <row r="868" s="12" customFormat="1" x14ac:dyDescent="0.25"/>
    <row r="869" s="12" customFormat="1" x14ac:dyDescent="0.25"/>
    <row r="870" s="12" customFormat="1" x14ac:dyDescent="0.25"/>
    <row r="871" s="12" customFormat="1" x14ac:dyDescent="0.25"/>
    <row r="872" s="12" customFormat="1" x14ac:dyDescent="0.25"/>
    <row r="873" s="12" customFormat="1" x14ac:dyDescent="0.25"/>
    <row r="874" s="12" customFormat="1" x14ac:dyDescent="0.25"/>
    <row r="875" s="12" customFormat="1" x14ac:dyDescent="0.25"/>
    <row r="876" s="12" customFormat="1" x14ac:dyDescent="0.25"/>
    <row r="877" s="12" customFormat="1" x14ac:dyDescent="0.25"/>
    <row r="878" s="12" customFormat="1" x14ac:dyDescent="0.25"/>
    <row r="879" s="12" customFormat="1" x14ac:dyDescent="0.25"/>
    <row r="880" s="12" customFormat="1" x14ac:dyDescent="0.25"/>
    <row r="881" s="12" customFormat="1" x14ac:dyDescent="0.25"/>
    <row r="882" s="12" customFormat="1" x14ac:dyDescent="0.25"/>
    <row r="883" s="12" customFormat="1" x14ac:dyDescent="0.25"/>
    <row r="884" s="12" customFormat="1" x14ac:dyDescent="0.25"/>
    <row r="885" s="12" customFormat="1" x14ac:dyDescent="0.25"/>
    <row r="886" s="12" customFormat="1" x14ac:dyDescent="0.25"/>
    <row r="887" s="12" customFormat="1" x14ac:dyDescent="0.25"/>
    <row r="888" s="12" customFormat="1" x14ac:dyDescent="0.25"/>
    <row r="889" s="12" customFormat="1" x14ac:dyDescent="0.25"/>
    <row r="890" s="12" customFormat="1" x14ac:dyDescent="0.25"/>
    <row r="891" s="12" customFormat="1" x14ac:dyDescent="0.25"/>
    <row r="892" s="12" customFormat="1" x14ac:dyDescent="0.25"/>
    <row r="893" s="12" customFormat="1" x14ac:dyDescent="0.25"/>
    <row r="894" s="12" customFormat="1" x14ac:dyDescent="0.25"/>
    <row r="895" s="12" customFormat="1" x14ac:dyDescent="0.25"/>
    <row r="896" s="12" customFormat="1" x14ac:dyDescent="0.25"/>
    <row r="897" s="12" customFormat="1" x14ac:dyDescent="0.25"/>
    <row r="898" s="12" customFormat="1" x14ac:dyDescent="0.25"/>
    <row r="899" s="12" customFormat="1" x14ac:dyDescent="0.25"/>
    <row r="900" s="12" customFormat="1" x14ac:dyDescent="0.25"/>
    <row r="901" s="12" customFormat="1" x14ac:dyDescent="0.25"/>
    <row r="902" s="12" customFormat="1" x14ac:dyDescent="0.25"/>
    <row r="903" s="12" customFormat="1" x14ac:dyDescent="0.25"/>
    <row r="904" s="12" customFormat="1" x14ac:dyDescent="0.25"/>
    <row r="905" s="12" customFormat="1" x14ac:dyDescent="0.25"/>
    <row r="906" s="12" customFormat="1" x14ac:dyDescent="0.25"/>
    <row r="907" s="12" customFormat="1" x14ac:dyDescent="0.25"/>
    <row r="908" s="12" customFormat="1" x14ac:dyDescent="0.25"/>
    <row r="909" s="12" customFormat="1" x14ac:dyDescent="0.25"/>
    <row r="910" s="12" customFormat="1" x14ac:dyDescent="0.25"/>
    <row r="911" s="12" customFormat="1" x14ac:dyDescent="0.25"/>
    <row r="912" s="12" customFormat="1" x14ac:dyDescent="0.25"/>
    <row r="913" s="12" customFormat="1" x14ac:dyDescent="0.25"/>
    <row r="914" s="12" customFormat="1" x14ac:dyDescent="0.25"/>
    <row r="915" s="12" customFormat="1" x14ac:dyDescent="0.25"/>
    <row r="916" s="12" customFormat="1" x14ac:dyDescent="0.25"/>
    <row r="917" s="12" customFormat="1" x14ac:dyDescent="0.25"/>
    <row r="918" s="12" customFormat="1" x14ac:dyDescent="0.25"/>
    <row r="919" s="12" customFormat="1" x14ac:dyDescent="0.25"/>
    <row r="920" s="12" customFormat="1" x14ac:dyDescent="0.25"/>
    <row r="921" s="12" customFormat="1" x14ac:dyDescent="0.25"/>
    <row r="922" s="12" customFormat="1" x14ac:dyDescent="0.25"/>
    <row r="923" s="12" customFormat="1" x14ac:dyDescent="0.25"/>
    <row r="924" s="12" customFormat="1" x14ac:dyDescent="0.25"/>
    <row r="925" s="12" customFormat="1" x14ac:dyDescent="0.25"/>
    <row r="926" s="12" customFormat="1" x14ac:dyDescent="0.25"/>
    <row r="927" s="12" customFormat="1" x14ac:dyDescent="0.25"/>
    <row r="928" s="12" customFormat="1" x14ac:dyDescent="0.25"/>
    <row r="929" s="12" customFormat="1" x14ac:dyDescent="0.25"/>
    <row r="930" s="12" customFormat="1" x14ac:dyDescent="0.25"/>
    <row r="931" s="12" customFormat="1" x14ac:dyDescent="0.25"/>
    <row r="932" s="12" customFormat="1" x14ac:dyDescent="0.25"/>
    <row r="933" s="12" customFormat="1" x14ac:dyDescent="0.25"/>
    <row r="934" s="12" customFormat="1" x14ac:dyDescent="0.25"/>
    <row r="935" s="12" customFormat="1" x14ac:dyDescent="0.25"/>
    <row r="936" s="12" customFormat="1" x14ac:dyDescent="0.25"/>
    <row r="937" s="12" customFormat="1" x14ac:dyDescent="0.25"/>
    <row r="938" s="12" customFormat="1" x14ac:dyDescent="0.25"/>
    <row r="939" s="12" customFormat="1" x14ac:dyDescent="0.25"/>
    <row r="940" s="12" customFormat="1" x14ac:dyDescent="0.25"/>
    <row r="941" s="12" customFormat="1" x14ac:dyDescent="0.25"/>
    <row r="942" s="12" customFormat="1" x14ac:dyDescent="0.25"/>
    <row r="943" s="12" customFormat="1" x14ac:dyDescent="0.25"/>
    <row r="944" s="12" customFormat="1" x14ac:dyDescent="0.25"/>
    <row r="945" s="12" customFormat="1" x14ac:dyDescent="0.25"/>
    <row r="946" s="12" customFormat="1" x14ac:dyDescent="0.25"/>
    <row r="947" s="12" customFormat="1" x14ac:dyDescent="0.25"/>
    <row r="948" s="12" customFormat="1" x14ac:dyDescent="0.25"/>
    <row r="949" s="12" customFormat="1" x14ac:dyDescent="0.25"/>
    <row r="950" s="12" customFormat="1" x14ac:dyDescent="0.25"/>
    <row r="951" s="12" customFormat="1" x14ac:dyDescent="0.25"/>
    <row r="952" s="12" customFormat="1" x14ac:dyDescent="0.25"/>
    <row r="953" s="12" customFormat="1" x14ac:dyDescent="0.25"/>
    <row r="954" s="12" customFormat="1" x14ac:dyDescent="0.25"/>
    <row r="955" s="12" customFormat="1" x14ac:dyDescent="0.25"/>
    <row r="956" s="12" customFormat="1" x14ac:dyDescent="0.25"/>
    <row r="957" s="12" customFormat="1" x14ac:dyDescent="0.25"/>
    <row r="958" s="12" customFormat="1" x14ac:dyDescent="0.25"/>
    <row r="959" s="12" customFormat="1" x14ac:dyDescent="0.25"/>
    <row r="960" s="12" customFormat="1" x14ac:dyDescent="0.25"/>
    <row r="961" s="12" customFormat="1" x14ac:dyDescent="0.25"/>
    <row r="962" s="12" customFormat="1" x14ac:dyDescent="0.25"/>
    <row r="963" s="12" customFormat="1" x14ac:dyDescent="0.25"/>
    <row r="964" s="12" customFormat="1" x14ac:dyDescent="0.25"/>
    <row r="965" s="12" customFormat="1" x14ac:dyDescent="0.25"/>
    <row r="966" s="12" customFormat="1" x14ac:dyDescent="0.25"/>
    <row r="967" s="12" customFormat="1" x14ac:dyDescent="0.25"/>
    <row r="968" s="12" customFormat="1" x14ac:dyDescent="0.25"/>
    <row r="969" s="12" customFormat="1" x14ac:dyDescent="0.25"/>
    <row r="970" s="12" customFormat="1" x14ac:dyDescent="0.25"/>
    <row r="971" s="12" customFormat="1" x14ac:dyDescent="0.25"/>
    <row r="972" s="12" customFormat="1" x14ac:dyDescent="0.25"/>
    <row r="973" s="12" customFormat="1" x14ac:dyDescent="0.25"/>
    <row r="974" s="12" customFormat="1" x14ac:dyDescent="0.25"/>
    <row r="975" s="12" customFormat="1" x14ac:dyDescent="0.25"/>
    <row r="976" s="12" customFormat="1" x14ac:dyDescent="0.25"/>
    <row r="977" s="12" customFormat="1" x14ac:dyDescent="0.25"/>
    <row r="978" s="12" customFormat="1" x14ac:dyDescent="0.25"/>
    <row r="979" s="12" customFormat="1" x14ac:dyDescent="0.25"/>
    <row r="980" s="12" customFormat="1" x14ac:dyDescent="0.25"/>
    <row r="981" s="12" customFormat="1" x14ac:dyDescent="0.25"/>
    <row r="982" s="12" customFormat="1" x14ac:dyDescent="0.25"/>
    <row r="983" s="12" customFormat="1" x14ac:dyDescent="0.25"/>
    <row r="984" s="12" customFormat="1" x14ac:dyDescent="0.25"/>
    <row r="985" s="12" customFormat="1" x14ac:dyDescent="0.25"/>
    <row r="986" s="12" customFormat="1" x14ac:dyDescent="0.25"/>
    <row r="987" s="12" customFormat="1" x14ac:dyDescent="0.25"/>
    <row r="988" s="12" customFormat="1" x14ac:dyDescent="0.25"/>
    <row r="989" s="12" customFormat="1" x14ac:dyDescent="0.25"/>
    <row r="990" s="12" customFormat="1" x14ac:dyDescent="0.25"/>
    <row r="991" s="12" customFormat="1" x14ac:dyDescent="0.25"/>
    <row r="992" s="12" customFormat="1" x14ac:dyDescent="0.25"/>
    <row r="993" s="12" customFormat="1" x14ac:dyDescent="0.25"/>
    <row r="994" s="12" customFormat="1" x14ac:dyDescent="0.25"/>
    <row r="995" s="12" customFormat="1" x14ac:dyDescent="0.25"/>
    <row r="996" s="12" customFormat="1" x14ac:dyDescent="0.25"/>
    <row r="997" s="12" customFormat="1" x14ac:dyDescent="0.25"/>
    <row r="998" s="12" customFormat="1" x14ac:dyDescent="0.25"/>
    <row r="999" s="12" customFormat="1" x14ac:dyDescent="0.25"/>
    <row r="1000" s="12" customFormat="1" x14ac:dyDescent="0.25"/>
    <row r="1001" s="12" customFormat="1" x14ac:dyDescent="0.25"/>
    <row r="1002" s="12" customFormat="1" x14ac:dyDescent="0.25"/>
    <row r="1003" s="12" customFormat="1" x14ac:dyDescent="0.25"/>
    <row r="1004" s="12" customFormat="1" x14ac:dyDescent="0.25"/>
    <row r="1005" s="12" customFormat="1" x14ac:dyDescent="0.25"/>
    <row r="1006" s="12" customFormat="1" x14ac:dyDescent="0.25"/>
    <row r="1007" s="12" customFormat="1" x14ac:dyDescent="0.25"/>
    <row r="1008" s="12" customFormat="1" x14ac:dyDescent="0.25"/>
    <row r="1009" s="12" customFormat="1" x14ac:dyDescent="0.25"/>
    <row r="1010" s="12" customFormat="1" x14ac:dyDescent="0.25"/>
    <row r="1011" s="12" customFormat="1" x14ac:dyDescent="0.25"/>
    <row r="1012" s="12" customFormat="1" x14ac:dyDescent="0.25"/>
    <row r="1013" s="12" customFormat="1" x14ac:dyDescent="0.25"/>
    <row r="1014" s="12" customFormat="1" x14ac:dyDescent="0.25"/>
    <row r="1015" s="12" customFormat="1" x14ac:dyDescent="0.25"/>
    <row r="1016" s="12" customFormat="1" x14ac:dyDescent="0.25"/>
    <row r="1017" s="12" customFormat="1" x14ac:dyDescent="0.25"/>
    <row r="1018" s="12" customFormat="1" x14ac:dyDescent="0.25"/>
    <row r="1019" s="12" customFormat="1" x14ac:dyDescent="0.25"/>
    <row r="1020" s="12" customFormat="1" x14ac:dyDescent="0.25"/>
    <row r="1021" s="12" customFormat="1" x14ac:dyDescent="0.25"/>
    <row r="1022" s="12" customFormat="1" x14ac:dyDescent="0.25"/>
    <row r="1023" s="12" customFormat="1" x14ac:dyDescent="0.25"/>
    <row r="1024" s="12" customFormat="1" x14ac:dyDescent="0.25"/>
    <row r="1025" s="12" customFormat="1" x14ac:dyDescent="0.25"/>
    <row r="1026" s="12" customFormat="1" x14ac:dyDescent="0.25"/>
    <row r="1027" s="12" customFormat="1" x14ac:dyDescent="0.25"/>
    <row r="1028" s="12" customFormat="1" x14ac:dyDescent="0.25"/>
    <row r="1029" s="12" customFormat="1" x14ac:dyDescent="0.25"/>
    <row r="1030" s="12" customFormat="1" x14ac:dyDescent="0.25"/>
    <row r="1031" s="12" customFormat="1" x14ac:dyDescent="0.25"/>
    <row r="1032" s="12" customFormat="1" x14ac:dyDescent="0.25"/>
    <row r="1033" s="12" customFormat="1" x14ac:dyDescent="0.25"/>
    <row r="1034" s="12" customFormat="1" x14ac:dyDescent="0.25"/>
    <row r="1035" s="12" customFormat="1" x14ac:dyDescent="0.25"/>
    <row r="1036" s="12" customFormat="1" x14ac:dyDescent="0.25"/>
    <row r="1037" s="12" customFormat="1" x14ac:dyDescent="0.25"/>
    <row r="1038" s="12" customFormat="1" x14ac:dyDescent="0.25"/>
    <row r="1039" s="12" customFormat="1" x14ac:dyDescent="0.25"/>
    <row r="1040" s="12" customFormat="1" x14ac:dyDescent="0.25"/>
    <row r="1041" s="12" customFormat="1" x14ac:dyDescent="0.25"/>
    <row r="1042" s="12" customFormat="1" x14ac:dyDescent="0.25"/>
    <row r="1043" s="12" customFormat="1" x14ac:dyDescent="0.25"/>
    <row r="1044" s="12" customFormat="1" x14ac:dyDescent="0.25"/>
    <row r="1045" s="12" customFormat="1" x14ac:dyDescent="0.25"/>
    <row r="1046" s="12" customFormat="1" x14ac:dyDescent="0.25"/>
    <row r="1047" s="12" customFormat="1" x14ac:dyDescent="0.25"/>
    <row r="1048" s="12" customFormat="1" x14ac:dyDescent="0.25"/>
    <row r="1049" s="12" customFormat="1" x14ac:dyDescent="0.25"/>
    <row r="1050" s="12" customFormat="1" x14ac:dyDescent="0.25"/>
    <row r="1051" s="12" customFormat="1" x14ac:dyDescent="0.25"/>
    <row r="1052" s="12" customFormat="1" x14ac:dyDescent="0.25"/>
    <row r="1053" s="12" customFormat="1" x14ac:dyDescent="0.25"/>
    <row r="1054" s="12" customFormat="1" x14ac:dyDescent="0.25"/>
    <row r="1055" s="12" customFormat="1" x14ac:dyDescent="0.25"/>
    <row r="1056" s="12" customFormat="1" x14ac:dyDescent="0.25"/>
    <row r="1057" s="12" customFormat="1" x14ac:dyDescent="0.25"/>
    <row r="1058" s="12" customFormat="1" x14ac:dyDescent="0.25"/>
    <row r="1059" s="12" customFormat="1" x14ac:dyDescent="0.25"/>
    <row r="1060" s="12" customFormat="1" x14ac:dyDescent="0.25"/>
    <row r="1061" s="12" customFormat="1" x14ac:dyDescent="0.25"/>
    <row r="1062" s="12" customFormat="1" x14ac:dyDescent="0.25"/>
    <row r="1063" s="12" customFormat="1" x14ac:dyDescent="0.25"/>
    <row r="1064" s="12" customFormat="1" x14ac:dyDescent="0.25"/>
    <row r="1065" s="12" customFormat="1" x14ac:dyDescent="0.25"/>
    <row r="1066" s="12" customFormat="1" x14ac:dyDescent="0.25"/>
    <row r="1067" s="12" customFormat="1" x14ac:dyDescent="0.25"/>
    <row r="1068" s="12" customFormat="1" x14ac:dyDescent="0.25"/>
    <row r="1069" s="12" customFormat="1" x14ac:dyDescent="0.25"/>
    <row r="1070" s="12" customFormat="1" x14ac:dyDescent="0.25"/>
    <row r="1071" s="12" customFormat="1" x14ac:dyDescent="0.25"/>
    <row r="1072" s="12" customFormat="1" x14ac:dyDescent="0.25"/>
    <row r="1073" s="12" customFormat="1" x14ac:dyDescent="0.25"/>
    <row r="1074" s="12" customFormat="1" x14ac:dyDescent="0.25"/>
    <row r="1075" s="12" customFormat="1" x14ac:dyDescent="0.25"/>
    <row r="1076" s="12" customFormat="1" x14ac:dyDescent="0.25"/>
    <row r="1077" s="12" customFormat="1" x14ac:dyDescent="0.25"/>
    <row r="1078" s="12" customFormat="1" x14ac:dyDescent="0.25"/>
    <row r="1079" s="12" customFormat="1" x14ac:dyDescent="0.25"/>
    <row r="1080" s="12" customFormat="1" x14ac:dyDescent="0.25"/>
    <row r="1081" s="12" customFormat="1" x14ac:dyDescent="0.25"/>
    <row r="1082" s="12" customFormat="1" x14ac:dyDescent="0.25"/>
    <row r="1083" s="12" customFormat="1" x14ac:dyDescent="0.25"/>
    <row r="1084" s="12" customFormat="1" x14ac:dyDescent="0.25"/>
    <row r="1085" s="12" customFormat="1" x14ac:dyDescent="0.25"/>
    <row r="1086" s="12" customFormat="1" x14ac:dyDescent="0.25"/>
    <row r="1087" s="12" customFormat="1" x14ac:dyDescent="0.25"/>
    <row r="1088" s="12" customFormat="1" x14ac:dyDescent="0.25"/>
    <row r="1089" s="12" customFormat="1" x14ac:dyDescent="0.25"/>
    <row r="1090" s="12" customFormat="1" x14ac:dyDescent="0.25"/>
    <row r="1091" s="12" customFormat="1" x14ac:dyDescent="0.25"/>
    <row r="1092" s="12" customFormat="1" x14ac:dyDescent="0.25"/>
    <row r="1093" s="12" customFormat="1" x14ac:dyDescent="0.25"/>
    <row r="1094" s="12" customFormat="1" x14ac:dyDescent="0.25"/>
    <row r="1095" s="12" customFormat="1" x14ac:dyDescent="0.25"/>
    <row r="1096" s="12" customFormat="1" x14ac:dyDescent="0.25"/>
    <row r="1097" s="12" customFormat="1" x14ac:dyDescent="0.25"/>
    <row r="1098" s="12" customFormat="1" x14ac:dyDescent="0.25"/>
    <row r="1099" s="12" customFormat="1" x14ac:dyDescent="0.25"/>
    <row r="1100" s="12" customFormat="1" x14ac:dyDescent="0.25"/>
    <row r="1101" s="12" customFormat="1" x14ac:dyDescent="0.25"/>
    <row r="1102" s="12" customFormat="1" x14ac:dyDescent="0.25"/>
    <row r="1103" s="12" customFormat="1" x14ac:dyDescent="0.25"/>
    <row r="1104" s="12" customFormat="1" x14ac:dyDescent="0.25"/>
    <row r="1105" s="12" customFormat="1" x14ac:dyDescent="0.25"/>
    <row r="1106" s="12" customFormat="1" x14ac:dyDescent="0.25"/>
    <row r="1107" s="12" customFormat="1" x14ac:dyDescent="0.25"/>
    <row r="1108" s="12" customFormat="1" x14ac:dyDescent="0.25"/>
    <row r="1109" s="12" customFormat="1" x14ac:dyDescent="0.25"/>
    <row r="1110" s="12" customFormat="1" x14ac:dyDescent="0.25"/>
    <row r="1111" s="12" customFormat="1" x14ac:dyDescent="0.25"/>
    <row r="1112" s="12" customFormat="1" x14ac:dyDescent="0.25"/>
    <row r="1113" s="12" customFormat="1" x14ac:dyDescent="0.25"/>
    <row r="1114" s="12" customFormat="1" x14ac:dyDescent="0.25"/>
    <row r="1115" s="12" customFormat="1" x14ac:dyDescent="0.25"/>
    <row r="1116" s="12" customFormat="1" x14ac:dyDescent="0.25"/>
    <row r="1117" s="12" customFormat="1" x14ac:dyDescent="0.25"/>
    <row r="1118" s="12" customFormat="1" x14ac:dyDescent="0.25"/>
    <row r="1119" s="12" customFormat="1" x14ac:dyDescent="0.25"/>
    <row r="1120" s="12" customFormat="1" x14ac:dyDescent="0.25"/>
    <row r="1121" s="12" customFormat="1" x14ac:dyDescent="0.25"/>
    <row r="1122" s="12" customFormat="1" x14ac:dyDescent="0.25"/>
    <row r="1123" s="12" customFormat="1" x14ac:dyDescent="0.25"/>
    <row r="1124" s="12" customFormat="1" x14ac:dyDescent="0.25"/>
    <row r="1125" s="12" customFormat="1" x14ac:dyDescent="0.25"/>
    <row r="1126" s="12" customFormat="1" x14ac:dyDescent="0.25"/>
    <row r="1127" s="12" customFormat="1" x14ac:dyDescent="0.25"/>
    <row r="1128" s="12" customFormat="1" x14ac:dyDescent="0.25"/>
    <row r="1129" s="12" customFormat="1" x14ac:dyDescent="0.25"/>
    <row r="1130" s="12" customFormat="1" x14ac:dyDescent="0.25"/>
    <row r="1131" s="12" customFormat="1" x14ac:dyDescent="0.25"/>
    <row r="1132" s="12" customFormat="1" x14ac:dyDescent="0.25"/>
    <row r="1133" s="12" customFormat="1" x14ac:dyDescent="0.25"/>
    <row r="1134" s="12" customFormat="1" x14ac:dyDescent="0.25"/>
    <row r="1135" s="12" customFormat="1" x14ac:dyDescent="0.25"/>
    <row r="1136" s="12" customFormat="1" x14ac:dyDescent="0.25"/>
    <row r="1137" s="12" customFormat="1" x14ac:dyDescent="0.25"/>
    <row r="1138" s="12" customFormat="1" x14ac:dyDescent="0.25"/>
    <row r="1139" s="12" customFormat="1" x14ac:dyDescent="0.25"/>
    <row r="1140" s="12" customFormat="1" x14ac:dyDescent="0.25"/>
    <row r="1141" s="12" customFormat="1" x14ac:dyDescent="0.25"/>
    <row r="1142" s="12" customFormat="1" x14ac:dyDescent="0.25"/>
    <row r="1143" s="12" customFormat="1" x14ac:dyDescent="0.25"/>
    <row r="1144" s="12" customFormat="1" x14ac:dyDescent="0.25"/>
    <row r="1145" s="12" customFormat="1" x14ac:dyDescent="0.25"/>
    <row r="1146" s="12" customFormat="1" x14ac:dyDescent="0.25"/>
    <row r="1147" s="12" customFormat="1" x14ac:dyDescent="0.25"/>
    <row r="1148" s="12" customFormat="1" x14ac:dyDescent="0.25"/>
    <row r="1149" s="12" customFormat="1" x14ac:dyDescent="0.25"/>
    <row r="1150" s="12" customFormat="1" x14ac:dyDescent="0.25"/>
    <row r="1151" s="12" customFormat="1" x14ac:dyDescent="0.25"/>
    <row r="1152" s="12" customFormat="1" x14ac:dyDescent="0.25"/>
    <row r="1153" s="12" customFormat="1" x14ac:dyDescent="0.25"/>
    <row r="1154" s="12" customFormat="1" x14ac:dyDescent="0.25"/>
    <row r="1155" s="12" customFormat="1" x14ac:dyDescent="0.25"/>
    <row r="1156" s="12" customFormat="1" x14ac:dyDescent="0.25"/>
    <row r="1157" s="12" customFormat="1" x14ac:dyDescent="0.25"/>
    <row r="1158" s="12" customFormat="1" x14ac:dyDescent="0.25"/>
    <row r="1159" s="12" customFormat="1" x14ac:dyDescent="0.25"/>
    <row r="1160" s="12" customFormat="1" x14ac:dyDescent="0.25"/>
    <row r="1161" s="12" customFormat="1" x14ac:dyDescent="0.25"/>
    <row r="1162" s="12" customFormat="1" x14ac:dyDescent="0.25"/>
    <row r="1163" s="12" customFormat="1" x14ac:dyDescent="0.25"/>
    <row r="1164" s="12" customFormat="1" x14ac:dyDescent="0.25"/>
    <row r="1165" s="12" customFormat="1" x14ac:dyDescent="0.25"/>
    <row r="1166" s="12" customFormat="1" x14ac:dyDescent="0.25"/>
    <row r="1167" s="12" customFormat="1" x14ac:dyDescent="0.25"/>
    <row r="1168" s="12" customFormat="1" x14ac:dyDescent="0.25"/>
    <row r="1169" s="12" customFormat="1" x14ac:dyDescent="0.25"/>
    <row r="1170" s="12" customFormat="1" x14ac:dyDescent="0.25"/>
    <row r="1171" s="12" customFormat="1" x14ac:dyDescent="0.25"/>
    <row r="1172" s="12" customFormat="1" x14ac:dyDescent="0.25"/>
    <row r="1173" s="12" customFormat="1" x14ac:dyDescent="0.25"/>
    <row r="1174" s="12" customFormat="1" x14ac:dyDescent="0.25"/>
    <row r="1175" s="12" customFormat="1" x14ac:dyDescent="0.25"/>
    <row r="1176" s="12" customFormat="1" x14ac:dyDescent="0.25"/>
    <row r="1177" s="12" customFormat="1" x14ac:dyDescent="0.25"/>
    <row r="1178" s="12" customFormat="1" x14ac:dyDescent="0.25"/>
    <row r="1179" s="12" customFormat="1" x14ac:dyDescent="0.25"/>
    <row r="1180" s="12" customFormat="1" x14ac:dyDescent="0.25"/>
    <row r="1181" s="12" customFormat="1" x14ac:dyDescent="0.25"/>
    <row r="1182" s="12" customFormat="1" x14ac:dyDescent="0.25"/>
    <row r="1183" s="12" customFormat="1" x14ac:dyDescent="0.25"/>
    <row r="1184" s="12" customFormat="1" x14ac:dyDescent="0.25"/>
    <row r="1185" s="12" customFormat="1" x14ac:dyDescent="0.25"/>
    <row r="1186" s="12" customFormat="1" x14ac:dyDescent="0.25"/>
    <row r="1187" s="12" customFormat="1" x14ac:dyDescent="0.25"/>
    <row r="1188" s="12" customFormat="1" x14ac:dyDescent="0.25"/>
    <row r="1189" s="12" customFormat="1" x14ac:dyDescent="0.25"/>
    <row r="1190" s="12" customFormat="1" x14ac:dyDescent="0.25"/>
    <row r="1191" s="12" customFormat="1" x14ac:dyDescent="0.25"/>
    <row r="1192" s="12" customFormat="1" x14ac:dyDescent="0.25"/>
    <row r="1193" s="12" customFormat="1" x14ac:dyDescent="0.25"/>
    <row r="1194" s="12" customFormat="1" x14ac:dyDescent="0.25"/>
    <row r="1195" s="12" customFormat="1" x14ac:dyDescent="0.25"/>
    <row r="1196" s="12" customFormat="1" x14ac:dyDescent="0.25"/>
    <row r="1197" s="12" customFormat="1" x14ac:dyDescent="0.25"/>
    <row r="1198" s="12" customFormat="1" x14ac:dyDescent="0.25"/>
    <row r="1199" s="12" customFormat="1" x14ac:dyDescent="0.25"/>
    <row r="1200" s="12" customFormat="1" x14ac:dyDescent="0.25"/>
    <row r="1201" s="12" customFormat="1" x14ac:dyDescent="0.25"/>
    <row r="1202" s="12" customFormat="1" x14ac:dyDescent="0.25"/>
    <row r="1203" s="12" customFormat="1" x14ac:dyDescent="0.25"/>
    <row r="1204" s="12" customFormat="1" x14ac:dyDescent="0.25"/>
    <row r="1205" s="12" customFormat="1" x14ac:dyDescent="0.25"/>
    <row r="1206" s="12" customFormat="1" x14ac:dyDescent="0.25"/>
    <row r="1207" s="12" customFormat="1" x14ac:dyDescent="0.25"/>
    <row r="1208" s="12" customFormat="1" x14ac:dyDescent="0.25"/>
    <row r="1209" s="12" customFormat="1" x14ac:dyDescent="0.25"/>
    <row r="1210" s="12" customFormat="1" x14ac:dyDescent="0.25"/>
    <row r="1211" s="12" customFormat="1" x14ac:dyDescent="0.25"/>
    <row r="1212" s="12" customFormat="1" x14ac:dyDescent="0.25"/>
    <row r="1213" s="12" customFormat="1" x14ac:dyDescent="0.25"/>
    <row r="1214" s="12" customFormat="1" x14ac:dyDescent="0.25"/>
    <row r="1215" s="12" customFormat="1" x14ac:dyDescent="0.25"/>
    <row r="1216" s="12" customFormat="1" x14ac:dyDescent="0.25"/>
    <row r="1217" s="12" customFormat="1" x14ac:dyDescent="0.25"/>
    <row r="1218" s="12" customFormat="1" x14ac:dyDescent="0.25"/>
    <row r="1219" s="12" customFormat="1" x14ac:dyDescent="0.25"/>
    <row r="1220" s="12" customFormat="1" x14ac:dyDescent="0.25"/>
    <row r="1221" s="12" customFormat="1" x14ac:dyDescent="0.25"/>
    <row r="1222" s="12" customFormat="1" x14ac:dyDescent="0.25"/>
    <row r="1223" s="12" customFormat="1" x14ac:dyDescent="0.25"/>
    <row r="1224" s="12" customFormat="1" x14ac:dyDescent="0.25"/>
    <row r="1225" s="12" customFormat="1" x14ac:dyDescent="0.25"/>
    <row r="1226" s="12" customFormat="1" x14ac:dyDescent="0.25"/>
    <row r="1227" s="12" customFormat="1" x14ac:dyDescent="0.25"/>
    <row r="1228" s="12" customFormat="1" x14ac:dyDescent="0.25"/>
    <row r="1229" s="12" customFormat="1" x14ac:dyDescent="0.25"/>
    <row r="1230" s="12" customFormat="1" x14ac:dyDescent="0.25"/>
    <row r="1231" s="12" customFormat="1" x14ac:dyDescent="0.25"/>
    <row r="1232" s="12" customFormat="1" x14ac:dyDescent="0.25"/>
    <row r="1233" s="12" customFormat="1" x14ac:dyDescent="0.25"/>
    <row r="1234" s="12" customFormat="1" x14ac:dyDescent="0.25"/>
    <row r="1235" s="12" customFormat="1" x14ac:dyDescent="0.25"/>
    <row r="1236" s="12" customFormat="1" x14ac:dyDescent="0.25"/>
    <row r="1237" s="12" customFormat="1" x14ac:dyDescent="0.25"/>
    <row r="1238" s="12" customFormat="1" x14ac:dyDescent="0.25"/>
    <row r="1239" s="12" customFormat="1" x14ac:dyDescent="0.25"/>
    <row r="1240" s="12" customFormat="1" x14ac:dyDescent="0.25"/>
    <row r="1241" s="12" customFormat="1" x14ac:dyDescent="0.25"/>
    <row r="1242" s="12" customFormat="1" x14ac:dyDescent="0.25"/>
    <row r="1243" s="12" customFormat="1" x14ac:dyDescent="0.25"/>
    <row r="1244" s="12" customFormat="1" x14ac:dyDescent="0.25"/>
    <row r="1245" s="12" customFormat="1" x14ac:dyDescent="0.25"/>
    <row r="1246" s="12" customFormat="1" x14ac:dyDescent="0.25"/>
    <row r="1247" s="12" customFormat="1" x14ac:dyDescent="0.25"/>
    <row r="1248" s="12" customFormat="1" x14ac:dyDescent="0.25"/>
    <row r="1249" s="12" customFormat="1" x14ac:dyDescent="0.25"/>
    <row r="1250" s="12" customFormat="1" x14ac:dyDescent="0.25"/>
    <row r="1251" s="12" customFormat="1" x14ac:dyDescent="0.25"/>
    <row r="1252" s="12" customFormat="1" x14ac:dyDescent="0.25"/>
    <row r="1253" s="12" customFormat="1" x14ac:dyDescent="0.25"/>
    <row r="1254" s="12" customFormat="1" x14ac:dyDescent="0.25"/>
    <row r="1255" s="12" customFormat="1" x14ac:dyDescent="0.25"/>
    <row r="1256" s="12" customFormat="1" x14ac:dyDescent="0.25"/>
    <row r="1257" s="12" customFormat="1" x14ac:dyDescent="0.25"/>
    <row r="1258" s="12" customFormat="1" x14ac:dyDescent="0.25"/>
    <row r="1259" s="12" customFormat="1" x14ac:dyDescent="0.25"/>
    <row r="1260" s="12" customFormat="1" x14ac:dyDescent="0.25"/>
    <row r="1261" s="12" customFormat="1" x14ac:dyDescent="0.25"/>
    <row r="1262" s="12" customFormat="1" x14ac:dyDescent="0.25"/>
    <row r="1263" s="12" customFormat="1" x14ac:dyDescent="0.25"/>
    <row r="1264" s="12" customFormat="1" x14ac:dyDescent="0.25"/>
    <row r="1265" s="12" customFormat="1" x14ac:dyDescent="0.25"/>
    <row r="1266" s="12" customFormat="1" x14ac:dyDescent="0.25"/>
    <row r="1267" s="12" customFormat="1" x14ac:dyDescent="0.25"/>
    <row r="1268" s="12" customFormat="1" x14ac:dyDescent="0.25"/>
    <row r="1269" s="12" customFormat="1" x14ac:dyDescent="0.25"/>
    <row r="1270" s="12" customFormat="1" x14ac:dyDescent="0.25"/>
    <row r="1271" s="12" customFormat="1" x14ac:dyDescent="0.25"/>
    <row r="1272" s="12" customFormat="1" x14ac:dyDescent="0.25"/>
    <row r="1273" s="12" customFormat="1" x14ac:dyDescent="0.25"/>
    <row r="1274" s="12" customFormat="1" x14ac:dyDescent="0.25"/>
    <row r="1275" s="12" customFormat="1" x14ac:dyDescent="0.25"/>
    <row r="1276" s="12" customFormat="1" x14ac:dyDescent="0.25"/>
    <row r="1277" s="12" customFormat="1" x14ac:dyDescent="0.25"/>
    <row r="1278" s="12" customFormat="1" x14ac:dyDescent="0.25"/>
    <row r="1279" s="12" customFormat="1" x14ac:dyDescent="0.25"/>
    <row r="1280" s="12" customFormat="1" x14ac:dyDescent="0.25"/>
    <row r="1281" s="12" customFormat="1" x14ac:dyDescent="0.25"/>
    <row r="1282" s="12" customFormat="1" x14ac:dyDescent="0.25"/>
    <row r="1283" s="12" customFormat="1" x14ac:dyDescent="0.25"/>
    <row r="1284" s="12" customFormat="1" x14ac:dyDescent="0.25"/>
    <row r="1285" s="12" customFormat="1" x14ac:dyDescent="0.25"/>
    <row r="1286" s="12" customFormat="1" x14ac:dyDescent="0.25"/>
    <row r="1287" s="12" customFormat="1" x14ac:dyDescent="0.25"/>
    <row r="1288" s="12" customFormat="1" x14ac:dyDescent="0.25"/>
    <row r="1289" s="12" customFormat="1" x14ac:dyDescent="0.25"/>
    <row r="1290" s="12" customFormat="1" x14ac:dyDescent="0.25"/>
    <row r="1291" s="12" customFormat="1" x14ac:dyDescent="0.25"/>
    <row r="1292" s="12" customFormat="1" x14ac:dyDescent="0.25"/>
    <row r="1293" s="12" customFormat="1" x14ac:dyDescent="0.25"/>
    <row r="1294" s="12" customFormat="1" x14ac:dyDescent="0.25"/>
    <row r="1295" s="12" customFormat="1" x14ac:dyDescent="0.25"/>
    <row r="1296" s="12" customFormat="1" x14ac:dyDescent="0.25"/>
    <row r="1297" s="12" customFormat="1" x14ac:dyDescent="0.25"/>
    <row r="1298" s="12" customFormat="1" x14ac:dyDescent="0.25"/>
    <row r="1299" s="12" customFormat="1" x14ac:dyDescent="0.25"/>
    <row r="1300" s="12" customFormat="1" x14ac:dyDescent="0.25"/>
    <row r="1301" s="12" customFormat="1" x14ac:dyDescent="0.25"/>
    <row r="1302" s="12" customFormat="1" x14ac:dyDescent="0.25"/>
    <row r="1303" s="12" customFormat="1" x14ac:dyDescent="0.25"/>
    <row r="1304" s="12" customFormat="1" x14ac:dyDescent="0.25"/>
    <row r="1305" s="12" customFormat="1" x14ac:dyDescent="0.25"/>
    <row r="1306" s="12" customFormat="1" x14ac:dyDescent="0.25"/>
    <row r="1307" s="12" customFormat="1" x14ac:dyDescent="0.25"/>
    <row r="1308" s="12" customFormat="1" x14ac:dyDescent="0.25"/>
    <row r="1309" s="12" customFormat="1" x14ac:dyDescent="0.25"/>
    <row r="1310" s="12" customFormat="1" x14ac:dyDescent="0.25"/>
    <row r="1311" s="12" customFormat="1" x14ac:dyDescent="0.25"/>
    <row r="1312" s="12" customFormat="1" x14ac:dyDescent="0.25"/>
    <row r="1313" s="12" customFormat="1" x14ac:dyDescent="0.25"/>
    <row r="1314" s="12" customFormat="1" x14ac:dyDescent="0.25"/>
    <row r="1315" s="12" customFormat="1" x14ac:dyDescent="0.25"/>
    <row r="1316" s="12" customFormat="1" x14ac:dyDescent="0.25"/>
    <row r="1317" s="12" customFormat="1" x14ac:dyDescent="0.25"/>
    <row r="1318" s="12" customFormat="1" x14ac:dyDescent="0.25"/>
    <row r="1319" s="12" customFormat="1" x14ac:dyDescent="0.25"/>
    <row r="1320" s="12" customFormat="1" x14ac:dyDescent="0.25"/>
    <row r="1321" s="12" customFormat="1" x14ac:dyDescent="0.25"/>
    <row r="1322" s="12" customFormat="1" x14ac:dyDescent="0.25"/>
    <row r="1323" s="12" customFormat="1" x14ac:dyDescent="0.25"/>
    <row r="1324" s="12" customFormat="1" x14ac:dyDescent="0.25"/>
    <row r="1325" s="12" customFormat="1" x14ac:dyDescent="0.25"/>
    <row r="1326" s="12" customFormat="1" x14ac:dyDescent="0.25"/>
    <row r="1327" s="12" customFormat="1" x14ac:dyDescent="0.25"/>
    <row r="1328" s="12" customFormat="1" x14ac:dyDescent="0.25"/>
    <row r="1329" s="12" customFormat="1" x14ac:dyDescent="0.25"/>
    <row r="1330" s="12" customFormat="1" x14ac:dyDescent="0.25"/>
    <row r="1331" s="12" customFormat="1" x14ac:dyDescent="0.25"/>
    <row r="1332" s="12" customFormat="1" x14ac:dyDescent="0.25"/>
    <row r="1333" s="12" customFormat="1" x14ac:dyDescent="0.25"/>
    <row r="1334" s="12" customFormat="1" x14ac:dyDescent="0.25"/>
    <row r="1335" s="12" customFormat="1" x14ac:dyDescent="0.25"/>
    <row r="1336" s="12" customFormat="1" x14ac:dyDescent="0.25"/>
    <row r="1337" s="12" customFormat="1" x14ac:dyDescent="0.25"/>
    <row r="1338" s="12" customFormat="1" x14ac:dyDescent="0.25"/>
    <row r="1339" s="12" customFormat="1" x14ac:dyDescent="0.25"/>
    <row r="1340" s="12" customFormat="1" x14ac:dyDescent="0.25"/>
    <row r="1341" s="12" customFormat="1" x14ac:dyDescent="0.25"/>
    <row r="1342" s="12" customFormat="1" x14ac:dyDescent="0.25"/>
    <row r="1343" s="12" customFormat="1" x14ac:dyDescent="0.25"/>
    <row r="1344" s="12" customFormat="1" x14ac:dyDescent="0.25"/>
    <row r="1345" s="12" customFormat="1" x14ac:dyDescent="0.25"/>
    <row r="1346" s="12" customFormat="1" x14ac:dyDescent="0.25"/>
    <row r="1347" s="12" customFormat="1" x14ac:dyDescent="0.25"/>
    <row r="1348" s="12" customFormat="1" x14ac:dyDescent="0.25"/>
    <row r="1349" s="12" customFormat="1" x14ac:dyDescent="0.25"/>
    <row r="1350" s="12" customFormat="1" x14ac:dyDescent="0.25"/>
    <row r="1351" s="12" customFormat="1" x14ac:dyDescent="0.25"/>
    <row r="1352" s="12" customFormat="1" x14ac:dyDescent="0.25"/>
    <row r="1353" s="12" customFormat="1" x14ac:dyDescent="0.25"/>
    <row r="1354" s="12" customFormat="1" x14ac:dyDescent="0.25"/>
    <row r="1355" s="12" customFormat="1" x14ac:dyDescent="0.25"/>
    <row r="1356" s="12" customFormat="1" x14ac:dyDescent="0.25"/>
    <row r="1357" s="12" customFormat="1" x14ac:dyDescent="0.25"/>
    <row r="1358" s="12" customFormat="1" x14ac:dyDescent="0.25"/>
    <row r="1359" s="12" customFormat="1" x14ac:dyDescent="0.25"/>
    <row r="1360" s="12" customFormat="1" x14ac:dyDescent="0.25"/>
    <row r="1361" s="12" customFormat="1" x14ac:dyDescent="0.25"/>
    <row r="1362" s="12" customFormat="1" x14ac:dyDescent="0.25"/>
    <row r="1363" s="12" customFormat="1" x14ac:dyDescent="0.25"/>
    <row r="1364" s="12" customFormat="1" x14ac:dyDescent="0.25"/>
    <row r="1365" s="12" customFormat="1" x14ac:dyDescent="0.25"/>
    <row r="1366" s="12" customFormat="1" x14ac:dyDescent="0.25"/>
    <row r="1367" s="12" customFormat="1" x14ac:dyDescent="0.25"/>
    <row r="1368" s="12" customFormat="1" x14ac:dyDescent="0.25"/>
    <row r="1369" s="12" customFormat="1" x14ac:dyDescent="0.25"/>
    <row r="1370" s="12" customFormat="1" x14ac:dyDescent="0.25"/>
    <row r="1371" s="12" customFormat="1" x14ac:dyDescent="0.25"/>
    <row r="1372" s="12" customFormat="1" x14ac:dyDescent="0.25"/>
    <row r="1373" s="12" customFormat="1" x14ac:dyDescent="0.25"/>
    <row r="1374" s="12" customFormat="1" x14ac:dyDescent="0.25"/>
    <row r="1375" s="12" customFormat="1" x14ac:dyDescent="0.25"/>
    <row r="1376" s="12" customFormat="1" x14ac:dyDescent="0.25"/>
    <row r="1377" s="12" customFormat="1" x14ac:dyDescent="0.25"/>
    <row r="1378" s="12" customFormat="1" x14ac:dyDescent="0.25"/>
    <row r="1379" s="12" customFormat="1" x14ac:dyDescent="0.25"/>
    <row r="1380" s="12" customFormat="1" x14ac:dyDescent="0.25"/>
    <row r="1381" s="12" customFormat="1" x14ac:dyDescent="0.25"/>
    <row r="1382" s="12" customFormat="1" x14ac:dyDescent="0.25"/>
    <row r="1383" s="12" customFormat="1" x14ac:dyDescent="0.25"/>
    <row r="1384" s="12" customFormat="1" x14ac:dyDescent="0.25"/>
    <row r="1385" s="12" customFormat="1" x14ac:dyDescent="0.25"/>
    <row r="1386" s="12" customFormat="1" x14ac:dyDescent="0.25"/>
    <row r="1387" s="12" customFormat="1" x14ac:dyDescent="0.25"/>
    <row r="1388" s="12" customFormat="1" x14ac:dyDescent="0.25"/>
    <row r="1389" s="12" customFormat="1" x14ac:dyDescent="0.25"/>
    <row r="1390" s="12" customFormat="1" x14ac:dyDescent="0.25"/>
    <row r="1391" s="12" customFormat="1" x14ac:dyDescent="0.25"/>
    <row r="1392" s="12" customFormat="1" x14ac:dyDescent="0.25"/>
    <row r="1393" s="12" customFormat="1" x14ac:dyDescent="0.25"/>
    <row r="1394" s="12" customFormat="1" x14ac:dyDescent="0.25"/>
    <row r="1395" s="12" customFormat="1" x14ac:dyDescent="0.25"/>
    <row r="1396" s="12" customFormat="1" x14ac:dyDescent="0.25"/>
    <row r="1397" s="12" customFormat="1" x14ac:dyDescent="0.25"/>
    <row r="1398" s="12" customFormat="1" x14ac:dyDescent="0.25"/>
    <row r="1399" s="12" customFormat="1" x14ac:dyDescent="0.25"/>
    <row r="1400" s="12" customFormat="1" x14ac:dyDescent="0.25"/>
    <row r="1401" s="12" customFormat="1" x14ac:dyDescent="0.25"/>
    <row r="1402" s="12" customFormat="1" x14ac:dyDescent="0.25"/>
    <row r="1403" s="12" customFormat="1" x14ac:dyDescent="0.25"/>
    <row r="1404" s="12" customFormat="1" x14ac:dyDescent="0.25"/>
    <row r="1405" s="12" customFormat="1" x14ac:dyDescent="0.25"/>
    <row r="1406" s="12" customFormat="1" x14ac:dyDescent="0.25"/>
    <row r="1407" s="12" customFormat="1" x14ac:dyDescent="0.25"/>
    <row r="1408" s="12" customFormat="1" x14ac:dyDescent="0.25"/>
    <row r="1409" s="12" customFormat="1" x14ac:dyDescent="0.25"/>
    <row r="1410" s="12" customFormat="1" x14ac:dyDescent="0.25"/>
    <row r="1411" s="12" customFormat="1" x14ac:dyDescent="0.25"/>
    <row r="1412" s="12" customFormat="1" x14ac:dyDescent="0.25"/>
    <row r="1413" s="12" customFormat="1" x14ac:dyDescent="0.25"/>
    <row r="1414" s="12" customFormat="1" x14ac:dyDescent="0.25"/>
    <row r="1415" s="12" customFormat="1" x14ac:dyDescent="0.25"/>
    <row r="1416" s="12" customFormat="1" x14ac:dyDescent="0.25"/>
    <row r="1417" s="12" customFormat="1" x14ac:dyDescent="0.25"/>
    <row r="1418" s="12" customFormat="1" x14ac:dyDescent="0.25"/>
    <row r="1419" s="12" customFormat="1" x14ac:dyDescent="0.25"/>
    <row r="1420" s="12" customFormat="1" x14ac:dyDescent="0.25"/>
    <row r="1421" s="12" customFormat="1" x14ac:dyDescent="0.25"/>
    <row r="1422" s="12" customFormat="1" x14ac:dyDescent="0.25"/>
    <row r="1423" s="12" customFormat="1" x14ac:dyDescent="0.25"/>
    <row r="1424" s="12" customFormat="1" x14ac:dyDescent="0.25"/>
    <row r="1425" s="12" customFormat="1" x14ac:dyDescent="0.25"/>
    <row r="1426" s="12" customFormat="1" x14ac:dyDescent="0.25"/>
    <row r="1427" s="12" customFormat="1" x14ac:dyDescent="0.25"/>
    <row r="1428" s="12" customFormat="1" x14ac:dyDescent="0.25"/>
    <row r="1429" s="12" customFormat="1" x14ac:dyDescent="0.25"/>
    <row r="1430" s="12" customFormat="1" x14ac:dyDescent="0.25"/>
    <row r="1431" s="12" customFormat="1" x14ac:dyDescent="0.25"/>
    <row r="1432" s="12" customFormat="1" x14ac:dyDescent="0.25"/>
    <row r="1433" s="12" customFormat="1" x14ac:dyDescent="0.25"/>
    <row r="1434" s="12" customFormat="1" x14ac:dyDescent="0.25"/>
    <row r="1435" s="12" customFormat="1" x14ac:dyDescent="0.25"/>
    <row r="1436" s="12" customFormat="1" x14ac:dyDescent="0.25"/>
    <row r="1437" s="12" customFormat="1" x14ac:dyDescent="0.25"/>
    <row r="1438" s="12" customFormat="1" x14ac:dyDescent="0.25"/>
    <row r="1439" s="12" customFormat="1" x14ac:dyDescent="0.25"/>
    <row r="1440" s="12" customFormat="1" x14ac:dyDescent="0.25"/>
    <row r="1441" s="12" customFormat="1" x14ac:dyDescent="0.25"/>
    <row r="1442" s="12" customFormat="1" x14ac:dyDescent="0.25"/>
    <row r="1443" s="12" customFormat="1" x14ac:dyDescent="0.25"/>
    <row r="1444" s="12" customFormat="1" x14ac:dyDescent="0.25"/>
    <row r="1445" s="12" customFormat="1" x14ac:dyDescent="0.25"/>
    <row r="1446" s="12" customFormat="1" x14ac:dyDescent="0.25"/>
    <row r="1447" s="12" customFormat="1" x14ac:dyDescent="0.25"/>
    <row r="1448" s="12" customFormat="1" x14ac:dyDescent="0.25"/>
    <row r="1449" s="12" customFormat="1" x14ac:dyDescent="0.25"/>
    <row r="1450" s="12" customFormat="1" x14ac:dyDescent="0.25"/>
    <row r="1451" s="12" customFormat="1" x14ac:dyDescent="0.25"/>
    <row r="1452" s="12" customFormat="1" x14ac:dyDescent="0.25"/>
    <row r="1453" s="12" customFormat="1" x14ac:dyDescent="0.25"/>
    <row r="1454" s="12" customFormat="1" x14ac:dyDescent="0.25"/>
    <row r="1455" s="12" customFormat="1" x14ac:dyDescent="0.25"/>
    <row r="1456" s="12" customFormat="1" x14ac:dyDescent="0.25"/>
    <row r="1457" s="12" customFormat="1" x14ac:dyDescent="0.25"/>
    <row r="1458" s="12" customFormat="1" x14ac:dyDescent="0.25"/>
    <row r="1459" s="12" customFormat="1" x14ac:dyDescent="0.25"/>
    <row r="1460" s="12" customFormat="1" x14ac:dyDescent="0.25"/>
    <row r="1461" s="12" customFormat="1" x14ac:dyDescent="0.25"/>
    <row r="1462" s="12" customFormat="1" x14ac:dyDescent="0.25"/>
    <row r="1463" s="12" customFormat="1" x14ac:dyDescent="0.25"/>
    <row r="1464" s="12" customFormat="1" x14ac:dyDescent="0.25"/>
    <row r="1465" s="12" customFormat="1" x14ac:dyDescent="0.25"/>
    <row r="1466" s="12" customFormat="1" x14ac:dyDescent="0.25"/>
    <row r="1467" s="12" customFormat="1" x14ac:dyDescent="0.25"/>
    <row r="1468" s="12" customFormat="1" x14ac:dyDescent="0.25"/>
    <row r="1469" s="12" customFormat="1" x14ac:dyDescent="0.25"/>
    <row r="1470" s="12" customFormat="1" x14ac:dyDescent="0.25"/>
    <row r="1471" s="12" customFormat="1" x14ac:dyDescent="0.25"/>
    <row r="1472" s="12" customFormat="1" x14ac:dyDescent="0.25"/>
    <row r="1473" s="12" customFormat="1" x14ac:dyDescent="0.25"/>
    <row r="1474" s="12" customFormat="1" x14ac:dyDescent="0.25"/>
    <row r="1475" s="12" customFormat="1" x14ac:dyDescent="0.25"/>
    <row r="1476" s="12" customFormat="1" x14ac:dyDescent="0.25"/>
    <row r="1477" s="12" customFormat="1" x14ac:dyDescent="0.25"/>
    <row r="1478" s="12" customFormat="1" x14ac:dyDescent="0.25"/>
    <row r="1479" s="12" customFormat="1" x14ac:dyDescent="0.25"/>
    <row r="1480" s="12" customFormat="1" x14ac:dyDescent="0.25"/>
    <row r="1481" s="12" customFormat="1" x14ac:dyDescent="0.25"/>
    <row r="1482" s="12" customFormat="1" x14ac:dyDescent="0.25"/>
    <row r="1483" s="12" customFormat="1" x14ac:dyDescent="0.25"/>
    <row r="1484" s="12" customFormat="1" x14ac:dyDescent="0.25"/>
    <row r="1485" s="12" customFormat="1" x14ac:dyDescent="0.25"/>
    <row r="1486" s="12" customFormat="1" x14ac:dyDescent="0.25"/>
    <row r="1487" s="12" customFormat="1" x14ac:dyDescent="0.25"/>
    <row r="1488" s="12" customFormat="1" x14ac:dyDescent="0.25"/>
    <row r="1489" s="12" customFormat="1" x14ac:dyDescent="0.25"/>
    <row r="1490" s="12" customFormat="1" x14ac:dyDescent="0.25"/>
    <row r="1491" s="12" customFormat="1" x14ac:dyDescent="0.25"/>
    <row r="1492" s="12" customFormat="1" x14ac:dyDescent="0.25"/>
    <row r="1493" s="12" customFormat="1" x14ac:dyDescent="0.25"/>
    <row r="1494" s="12" customFormat="1" x14ac:dyDescent="0.25"/>
    <row r="1495" s="12" customFormat="1" x14ac:dyDescent="0.25"/>
    <row r="1496" s="12" customFormat="1" x14ac:dyDescent="0.25"/>
    <row r="1497" s="12" customFormat="1" x14ac:dyDescent="0.25"/>
    <row r="1498" s="12" customFormat="1" x14ac:dyDescent="0.25"/>
    <row r="1499" s="12" customFormat="1" x14ac:dyDescent="0.25"/>
    <row r="1500" s="12" customFormat="1" x14ac:dyDescent="0.25"/>
    <row r="1501" s="12" customFormat="1" x14ac:dyDescent="0.25"/>
    <row r="1502" s="12" customFormat="1" x14ac:dyDescent="0.25"/>
    <row r="1503" s="12" customFormat="1" x14ac:dyDescent="0.25"/>
    <row r="1504" s="12" customFormat="1" x14ac:dyDescent="0.25"/>
    <row r="1505" s="12" customFormat="1" x14ac:dyDescent="0.25"/>
    <row r="1506" s="12" customFormat="1" x14ac:dyDescent="0.25"/>
    <row r="1507" s="12" customFormat="1" x14ac:dyDescent="0.25"/>
    <row r="1508" s="12" customFormat="1" x14ac:dyDescent="0.25"/>
    <row r="1509" s="12" customFormat="1" x14ac:dyDescent="0.25"/>
    <row r="1510" s="12" customFormat="1" x14ac:dyDescent="0.25"/>
    <row r="1511" s="12" customFormat="1" x14ac:dyDescent="0.25"/>
    <row r="1512" s="12" customFormat="1" x14ac:dyDescent="0.25"/>
    <row r="1513" s="12" customFormat="1" x14ac:dyDescent="0.25"/>
    <row r="1514" s="12" customFormat="1" x14ac:dyDescent="0.25"/>
    <row r="1515" s="12" customFormat="1" x14ac:dyDescent="0.25"/>
    <row r="1516" s="12" customFormat="1" x14ac:dyDescent="0.25"/>
    <row r="1517" s="12" customFormat="1" x14ac:dyDescent="0.25"/>
    <row r="1518" s="12" customFormat="1" x14ac:dyDescent="0.25"/>
    <row r="1519" s="12" customFormat="1" x14ac:dyDescent="0.25"/>
    <row r="1520" s="12" customFormat="1" x14ac:dyDescent="0.25"/>
    <row r="1521" s="12" customFormat="1" x14ac:dyDescent="0.25"/>
    <row r="1522" s="12" customFormat="1" x14ac:dyDescent="0.25"/>
    <row r="1523" s="12" customFormat="1" x14ac:dyDescent="0.25"/>
    <row r="1524" s="12" customFormat="1" x14ac:dyDescent="0.25"/>
    <row r="1525" s="12" customFormat="1" x14ac:dyDescent="0.25"/>
    <row r="1526" s="12" customFormat="1" x14ac:dyDescent="0.25"/>
    <row r="1527" s="12" customFormat="1" x14ac:dyDescent="0.25"/>
    <row r="1528" s="12" customFormat="1" x14ac:dyDescent="0.25"/>
    <row r="1529" s="12" customFormat="1" x14ac:dyDescent="0.25"/>
    <row r="1530" s="12" customFormat="1" x14ac:dyDescent="0.25"/>
    <row r="1531" s="12" customFormat="1" x14ac:dyDescent="0.25"/>
    <row r="1532" s="12" customFormat="1" x14ac:dyDescent="0.25"/>
    <row r="1533" s="12" customFormat="1" x14ac:dyDescent="0.25"/>
    <row r="1534" s="12" customFormat="1" x14ac:dyDescent="0.25"/>
    <row r="1535" s="12" customFormat="1" x14ac:dyDescent="0.25"/>
    <row r="1536" s="12" customFormat="1" x14ac:dyDescent="0.25"/>
    <row r="1537" s="12" customFormat="1" x14ac:dyDescent="0.25"/>
    <row r="1538" s="12" customFormat="1" x14ac:dyDescent="0.25"/>
    <row r="1539" s="12" customFormat="1" x14ac:dyDescent="0.25"/>
    <row r="1540" s="12" customFormat="1" x14ac:dyDescent="0.25"/>
    <row r="1541" s="12" customFormat="1" x14ac:dyDescent="0.25"/>
    <row r="1542" s="12" customFormat="1" x14ac:dyDescent="0.25"/>
    <row r="1543" s="12" customFormat="1" x14ac:dyDescent="0.25"/>
    <row r="1544" s="12" customFormat="1" x14ac:dyDescent="0.25"/>
    <row r="1545" s="12" customFormat="1" x14ac:dyDescent="0.25"/>
    <row r="1546" s="12" customFormat="1" x14ac:dyDescent="0.25"/>
    <row r="1547" s="12" customFormat="1" x14ac:dyDescent="0.25"/>
    <row r="1548" s="12" customFormat="1" x14ac:dyDescent="0.25"/>
    <row r="1549" s="12" customFormat="1" x14ac:dyDescent="0.25"/>
    <row r="1550" s="12" customFormat="1" x14ac:dyDescent="0.25"/>
    <row r="1551" s="12" customFormat="1" x14ac:dyDescent="0.25"/>
    <row r="1552" s="12" customFormat="1" x14ac:dyDescent="0.25"/>
    <row r="1553" s="12" customFormat="1" x14ac:dyDescent="0.25"/>
    <row r="1554" s="12" customFormat="1" x14ac:dyDescent="0.25"/>
    <row r="1555" s="12" customFormat="1" x14ac:dyDescent="0.25"/>
    <row r="1556" s="12" customFormat="1" x14ac:dyDescent="0.25"/>
    <row r="1557" s="12" customFormat="1" x14ac:dyDescent="0.25"/>
    <row r="1558" s="12" customFormat="1" x14ac:dyDescent="0.25"/>
    <row r="1559" s="12" customFormat="1" x14ac:dyDescent="0.25"/>
    <row r="1560" s="12" customFormat="1" x14ac:dyDescent="0.25"/>
    <row r="1561" s="12" customFormat="1" x14ac:dyDescent="0.25"/>
    <row r="1562" s="12" customFormat="1" x14ac:dyDescent="0.25"/>
    <row r="1563" s="12" customFormat="1" x14ac:dyDescent="0.25"/>
    <row r="1564" s="12" customFormat="1" x14ac:dyDescent="0.25"/>
    <row r="1565" s="12" customFormat="1" x14ac:dyDescent="0.25"/>
    <row r="1566" s="12" customFormat="1" x14ac:dyDescent="0.25"/>
    <row r="1567" s="12" customFormat="1" x14ac:dyDescent="0.25"/>
    <row r="1568" s="12" customFormat="1" x14ac:dyDescent="0.25"/>
    <row r="1569" s="12" customFormat="1" x14ac:dyDescent="0.25"/>
    <row r="1570" s="12" customFormat="1" x14ac:dyDescent="0.25"/>
    <row r="1571" s="12" customFormat="1" x14ac:dyDescent="0.25"/>
    <row r="1572" s="12" customFormat="1" x14ac:dyDescent="0.25"/>
    <row r="1573" s="12" customFormat="1" x14ac:dyDescent="0.25"/>
    <row r="1574" s="12" customFormat="1" x14ac:dyDescent="0.25"/>
    <row r="1575" s="12" customFormat="1" x14ac:dyDescent="0.25"/>
    <row r="1576" s="12" customFormat="1" x14ac:dyDescent="0.25"/>
    <row r="1577" s="12" customFormat="1" x14ac:dyDescent="0.25"/>
    <row r="1578" s="12" customFormat="1" x14ac:dyDescent="0.25"/>
    <row r="1579" s="12" customFormat="1" x14ac:dyDescent="0.25"/>
    <row r="1580" s="12" customFormat="1" x14ac:dyDescent="0.25"/>
    <row r="1581" s="12" customFormat="1" x14ac:dyDescent="0.25"/>
    <row r="1582" s="12" customFormat="1" x14ac:dyDescent="0.25"/>
    <row r="1583" s="12" customFormat="1" x14ac:dyDescent="0.25"/>
    <row r="1584" s="12" customFormat="1" x14ac:dyDescent="0.25"/>
    <row r="1585" s="12" customFormat="1" x14ac:dyDescent="0.25"/>
    <row r="1586" s="12" customFormat="1" x14ac:dyDescent="0.25"/>
    <row r="1587" s="12" customFormat="1" x14ac:dyDescent="0.25"/>
    <row r="1588" s="12" customFormat="1" x14ac:dyDescent="0.25"/>
    <row r="1589" s="12" customFormat="1" x14ac:dyDescent="0.25"/>
    <row r="1590" s="12" customFormat="1" x14ac:dyDescent="0.25"/>
    <row r="1591" s="12" customFormat="1" x14ac:dyDescent="0.25"/>
    <row r="1592" s="12" customFormat="1" x14ac:dyDescent="0.25"/>
    <row r="1593" s="12" customFormat="1" x14ac:dyDescent="0.25"/>
    <row r="1594" s="12" customFormat="1" x14ac:dyDescent="0.25"/>
    <row r="1595" s="12" customFormat="1" x14ac:dyDescent="0.25"/>
    <row r="1596" s="12" customFormat="1" x14ac:dyDescent="0.25"/>
    <row r="1597" s="12" customFormat="1" x14ac:dyDescent="0.25"/>
    <row r="1598" s="12" customFormat="1" x14ac:dyDescent="0.25"/>
    <row r="1599" s="12" customFormat="1" x14ac:dyDescent="0.25"/>
    <row r="1600" s="12" customFormat="1" x14ac:dyDescent="0.25"/>
    <row r="1601" s="12" customFormat="1" x14ac:dyDescent="0.25"/>
    <row r="1602" s="12" customFormat="1" x14ac:dyDescent="0.25"/>
    <row r="1603" s="12" customFormat="1" x14ac:dyDescent="0.25"/>
    <row r="1604" s="12" customFormat="1" x14ac:dyDescent="0.25"/>
    <row r="1605" s="12" customFormat="1" x14ac:dyDescent="0.25"/>
    <row r="1606" s="12" customFormat="1" x14ac:dyDescent="0.25"/>
    <row r="1607" s="12" customFormat="1" x14ac:dyDescent="0.25"/>
    <row r="1608" s="12" customFormat="1" x14ac:dyDescent="0.25"/>
    <row r="1609" s="12" customFormat="1" x14ac:dyDescent="0.25"/>
    <row r="1610" s="12" customFormat="1" x14ac:dyDescent="0.25"/>
    <row r="1611" s="12" customFormat="1" x14ac:dyDescent="0.25"/>
    <row r="1612" s="12" customFormat="1" x14ac:dyDescent="0.25"/>
    <row r="1613" s="12" customFormat="1" x14ac:dyDescent="0.25"/>
    <row r="1614" s="12" customFormat="1" x14ac:dyDescent="0.25"/>
    <row r="1615" s="12" customFormat="1" x14ac:dyDescent="0.25"/>
    <row r="1616" s="12" customFormat="1" x14ac:dyDescent="0.25"/>
    <row r="1617" s="12" customFormat="1" x14ac:dyDescent="0.25"/>
    <row r="1618" s="12" customFormat="1" x14ac:dyDescent="0.25"/>
    <row r="1619" s="12" customFormat="1" x14ac:dyDescent="0.25"/>
    <row r="1620" s="12" customFormat="1" x14ac:dyDescent="0.25"/>
    <row r="1621" s="12" customFormat="1" x14ac:dyDescent="0.25"/>
    <row r="1622" s="12" customFormat="1" x14ac:dyDescent="0.25"/>
    <row r="1623" s="12" customFormat="1" x14ac:dyDescent="0.25"/>
    <row r="1624" s="12" customFormat="1" x14ac:dyDescent="0.25"/>
    <row r="1625" s="12" customFormat="1" x14ac:dyDescent="0.25"/>
    <row r="1626" s="12" customFormat="1" x14ac:dyDescent="0.25"/>
    <row r="1627" s="12" customFormat="1" x14ac:dyDescent="0.25"/>
    <row r="1628" s="12" customFormat="1" x14ac:dyDescent="0.25"/>
    <row r="1629" s="12" customFormat="1" x14ac:dyDescent="0.25"/>
    <row r="1630" s="12" customFormat="1" x14ac:dyDescent="0.25"/>
    <row r="1631" s="12" customFormat="1" x14ac:dyDescent="0.25"/>
    <row r="1632" s="12" customFormat="1" x14ac:dyDescent="0.25"/>
    <row r="1633" s="12" customFormat="1" x14ac:dyDescent="0.25"/>
    <row r="1634" s="12" customFormat="1" x14ac:dyDescent="0.25"/>
    <row r="1635" s="12" customFormat="1" x14ac:dyDescent="0.25"/>
    <row r="1636" s="12" customFormat="1" x14ac:dyDescent="0.25"/>
    <row r="1637" s="12" customFormat="1" x14ac:dyDescent="0.25"/>
    <row r="1638" s="12" customFormat="1" x14ac:dyDescent="0.25"/>
    <row r="1639" s="12" customFormat="1" x14ac:dyDescent="0.25"/>
    <row r="1640" s="12" customFormat="1" x14ac:dyDescent="0.25"/>
    <row r="1641" s="12" customFormat="1" x14ac:dyDescent="0.25"/>
    <row r="1642" s="12" customFormat="1" x14ac:dyDescent="0.25"/>
    <row r="1643" s="12" customFormat="1" x14ac:dyDescent="0.25"/>
    <row r="1644" s="12" customFormat="1" x14ac:dyDescent="0.25"/>
    <row r="1645" s="12" customFormat="1" x14ac:dyDescent="0.25"/>
    <row r="1646" s="12" customFormat="1" x14ac:dyDescent="0.25"/>
    <row r="1647" s="12" customFormat="1" x14ac:dyDescent="0.25"/>
    <row r="1648" s="12" customFormat="1" x14ac:dyDescent="0.25"/>
    <row r="1649" s="12" customFormat="1" x14ac:dyDescent="0.25"/>
    <row r="1650" s="12" customFormat="1" x14ac:dyDescent="0.25"/>
    <row r="1651" s="12" customFormat="1" x14ac:dyDescent="0.25"/>
    <row r="1652" s="12" customFormat="1" x14ac:dyDescent="0.25"/>
    <row r="1653" s="12" customFormat="1" x14ac:dyDescent="0.25"/>
    <row r="1654" s="12" customFormat="1" x14ac:dyDescent="0.25"/>
    <row r="1655" s="12" customFormat="1" x14ac:dyDescent="0.25"/>
    <row r="1656" s="12" customFormat="1" x14ac:dyDescent="0.25"/>
    <row r="1657" s="12" customFormat="1" x14ac:dyDescent="0.25"/>
    <row r="1658" s="12" customFormat="1" x14ac:dyDescent="0.25"/>
    <row r="1659" s="12" customFormat="1" x14ac:dyDescent="0.25"/>
    <row r="1660" s="12" customFormat="1" x14ac:dyDescent="0.25"/>
    <row r="1661" s="12" customFormat="1" x14ac:dyDescent="0.25"/>
    <row r="1662" s="12" customFormat="1" x14ac:dyDescent="0.25"/>
    <row r="1663" s="12" customFormat="1" x14ac:dyDescent="0.25"/>
    <row r="1664" s="12" customFormat="1" x14ac:dyDescent="0.25"/>
    <row r="1665" s="12" customFormat="1" x14ac:dyDescent="0.25"/>
    <row r="1666" s="12" customFormat="1" x14ac:dyDescent="0.25"/>
    <row r="1667" s="12" customFormat="1" x14ac:dyDescent="0.25"/>
    <row r="1668" s="12" customFormat="1" x14ac:dyDescent="0.25"/>
    <row r="1669" s="12" customFormat="1" x14ac:dyDescent="0.25"/>
    <row r="1670" s="12" customFormat="1" x14ac:dyDescent="0.25"/>
    <row r="1671" s="12" customFormat="1" x14ac:dyDescent="0.25"/>
    <row r="1672" s="12" customFormat="1" x14ac:dyDescent="0.25"/>
    <row r="1673" s="12" customFormat="1" x14ac:dyDescent="0.25"/>
    <row r="1674" s="12" customFormat="1" x14ac:dyDescent="0.25"/>
    <row r="1675" s="12" customFormat="1" x14ac:dyDescent="0.25"/>
    <row r="1676" s="12" customFormat="1" x14ac:dyDescent="0.25"/>
    <row r="1677" s="12" customFormat="1" x14ac:dyDescent="0.25"/>
    <row r="1678" s="12" customFormat="1" x14ac:dyDescent="0.25"/>
    <row r="1679" s="12" customFormat="1" x14ac:dyDescent="0.25"/>
    <row r="1680" s="12" customFormat="1" x14ac:dyDescent="0.25"/>
    <row r="1681" s="12" customFormat="1" x14ac:dyDescent="0.25"/>
    <row r="1682" s="12" customFormat="1" x14ac:dyDescent="0.25"/>
    <row r="1683" s="12" customFormat="1" x14ac:dyDescent="0.25"/>
    <row r="1684" s="12" customFormat="1" x14ac:dyDescent="0.25"/>
    <row r="1685" s="12" customFormat="1" x14ac:dyDescent="0.25"/>
    <row r="1686" s="12" customFormat="1" x14ac:dyDescent="0.25"/>
    <row r="1687" s="12" customFormat="1" x14ac:dyDescent="0.25"/>
    <row r="1688" s="12" customFormat="1" x14ac:dyDescent="0.25"/>
    <row r="1689" s="12" customFormat="1" x14ac:dyDescent="0.25"/>
    <row r="1690" s="12" customFormat="1" x14ac:dyDescent="0.25"/>
    <row r="1691" s="12" customFormat="1" x14ac:dyDescent="0.25"/>
    <row r="1692" s="12" customFormat="1" x14ac:dyDescent="0.25"/>
    <row r="1693" s="12" customFormat="1" x14ac:dyDescent="0.25"/>
    <row r="1694" s="12" customFormat="1" x14ac:dyDescent="0.25"/>
    <row r="1695" s="12" customFormat="1" x14ac:dyDescent="0.25"/>
    <row r="1696" s="12" customFormat="1" x14ac:dyDescent="0.25"/>
    <row r="1697" s="12" customFormat="1" x14ac:dyDescent="0.25"/>
    <row r="1698" s="12" customFormat="1" x14ac:dyDescent="0.25"/>
    <row r="1699" s="12" customFormat="1" x14ac:dyDescent="0.25"/>
    <row r="1700" s="12" customFormat="1" x14ac:dyDescent="0.25"/>
    <row r="1701" s="12" customFormat="1" x14ac:dyDescent="0.25"/>
    <row r="1702" s="12" customFormat="1" x14ac:dyDescent="0.25"/>
    <row r="1703" s="12" customFormat="1" x14ac:dyDescent="0.25"/>
    <row r="1704" s="12" customFormat="1" x14ac:dyDescent="0.25"/>
    <row r="1705" s="12" customFormat="1" x14ac:dyDescent="0.25"/>
    <row r="1706" s="12" customFormat="1" x14ac:dyDescent="0.25"/>
    <row r="1707" s="12" customFormat="1" x14ac:dyDescent="0.25"/>
    <row r="1708" s="12" customFormat="1" x14ac:dyDescent="0.25"/>
    <row r="1709" s="12" customFormat="1" x14ac:dyDescent="0.25"/>
    <row r="1710" s="12" customFormat="1" x14ac:dyDescent="0.25"/>
    <row r="1711" s="12" customFormat="1" x14ac:dyDescent="0.25"/>
    <row r="1712" s="12" customFormat="1" x14ac:dyDescent="0.25"/>
    <row r="1713" s="12" customFormat="1" x14ac:dyDescent="0.25"/>
    <row r="1714" s="12" customFormat="1" x14ac:dyDescent="0.25"/>
    <row r="1715" s="12" customFormat="1" x14ac:dyDescent="0.25"/>
    <row r="1716" s="12" customFormat="1" x14ac:dyDescent="0.25"/>
    <row r="1717" s="12" customFormat="1" x14ac:dyDescent="0.25"/>
    <row r="1718" s="12" customFormat="1" x14ac:dyDescent="0.25"/>
    <row r="1719" s="12" customFormat="1" x14ac:dyDescent="0.25"/>
    <row r="1720" s="12" customFormat="1" x14ac:dyDescent="0.25"/>
    <row r="1721" s="12" customFormat="1" x14ac:dyDescent="0.25"/>
    <row r="1722" s="12" customFormat="1" x14ac:dyDescent="0.25"/>
    <row r="1723" s="12" customFormat="1" x14ac:dyDescent="0.25"/>
    <row r="1724" s="12" customFormat="1" x14ac:dyDescent="0.25"/>
    <row r="1725" s="12" customFormat="1" x14ac:dyDescent="0.25"/>
    <row r="1726" s="12" customFormat="1" x14ac:dyDescent="0.25"/>
    <row r="1727" s="12" customFormat="1" x14ac:dyDescent="0.25"/>
    <row r="1728" s="12" customFormat="1" x14ac:dyDescent="0.25"/>
    <row r="1729" s="12" customFormat="1" x14ac:dyDescent="0.25"/>
    <row r="1730" s="12" customFormat="1" x14ac:dyDescent="0.25"/>
    <row r="1731" s="12" customFormat="1" x14ac:dyDescent="0.25"/>
    <row r="1732" s="12" customFormat="1" x14ac:dyDescent="0.25"/>
    <row r="1733" s="12" customFormat="1" x14ac:dyDescent="0.25"/>
    <row r="1734" s="12" customFormat="1" x14ac:dyDescent="0.25"/>
    <row r="1735" s="12" customFormat="1" x14ac:dyDescent="0.25"/>
    <row r="1736" s="12" customFormat="1" x14ac:dyDescent="0.25"/>
    <row r="1737" s="12" customFormat="1" x14ac:dyDescent="0.25"/>
    <row r="1738" s="12" customFormat="1" x14ac:dyDescent="0.25"/>
    <row r="1739" s="12" customFormat="1" x14ac:dyDescent="0.25"/>
    <row r="1740" s="12" customFormat="1" x14ac:dyDescent="0.25"/>
    <row r="1741" s="12" customFormat="1" x14ac:dyDescent="0.25"/>
    <row r="1742" s="12" customFormat="1" x14ac:dyDescent="0.25"/>
    <row r="1743" s="12" customFormat="1" x14ac:dyDescent="0.25"/>
    <row r="1744" s="12" customFormat="1" x14ac:dyDescent="0.25"/>
    <row r="1745" s="12" customFormat="1" x14ac:dyDescent="0.25"/>
    <row r="1746" s="12" customFormat="1" x14ac:dyDescent="0.25"/>
    <row r="1747" s="12" customFormat="1" x14ac:dyDescent="0.25"/>
    <row r="1748" s="12" customFormat="1" x14ac:dyDescent="0.25"/>
    <row r="1749" s="12" customFormat="1" x14ac:dyDescent="0.25"/>
    <row r="1750" s="12" customFormat="1" x14ac:dyDescent="0.25"/>
    <row r="1751" s="12" customFormat="1" x14ac:dyDescent="0.25"/>
    <row r="1752" s="12" customFormat="1" x14ac:dyDescent="0.25"/>
    <row r="1753" s="12" customFormat="1" x14ac:dyDescent="0.25"/>
    <row r="1754" s="12" customFormat="1" x14ac:dyDescent="0.25"/>
    <row r="1755" s="12" customFormat="1" x14ac:dyDescent="0.25"/>
    <row r="1756" s="12" customFormat="1" x14ac:dyDescent="0.25"/>
    <row r="1757" s="12" customFormat="1" x14ac:dyDescent="0.25"/>
    <row r="1758" s="12" customFormat="1" x14ac:dyDescent="0.25"/>
    <row r="1759" s="12" customFormat="1" x14ac:dyDescent="0.25"/>
    <row r="1760" s="12" customFormat="1" x14ac:dyDescent="0.25"/>
    <row r="1761" s="12" customFormat="1" x14ac:dyDescent="0.25"/>
    <row r="1762" s="12" customFormat="1" x14ac:dyDescent="0.25"/>
    <row r="1763" s="12" customFormat="1" x14ac:dyDescent="0.25"/>
    <row r="1764" s="12" customFormat="1" x14ac:dyDescent="0.25"/>
    <row r="1765" s="12" customFormat="1" x14ac:dyDescent="0.25"/>
    <row r="1766" s="12" customFormat="1" x14ac:dyDescent="0.25"/>
    <row r="1767" s="12" customFormat="1" x14ac:dyDescent="0.25"/>
    <row r="1768" s="12" customFormat="1" x14ac:dyDescent="0.25"/>
    <row r="1769" s="12" customFormat="1" x14ac:dyDescent="0.25"/>
    <row r="1770" s="12" customFormat="1" x14ac:dyDescent="0.25"/>
    <row r="1771" s="12" customFormat="1" x14ac:dyDescent="0.25"/>
    <row r="1772" s="12" customFormat="1" x14ac:dyDescent="0.25"/>
    <row r="1773" s="12" customFormat="1" x14ac:dyDescent="0.25"/>
    <row r="1774" s="12" customFormat="1" x14ac:dyDescent="0.25"/>
    <row r="1775" s="12" customFormat="1" x14ac:dyDescent="0.25"/>
    <row r="1776" s="12" customFormat="1" x14ac:dyDescent="0.25"/>
    <row r="1777" s="12" customFormat="1" x14ac:dyDescent="0.25"/>
    <row r="1778" s="12" customFormat="1" x14ac:dyDescent="0.25"/>
    <row r="1779" s="12" customFormat="1" x14ac:dyDescent="0.25"/>
    <row r="1780" s="12" customFormat="1" x14ac:dyDescent="0.25"/>
    <row r="1781" s="12" customFormat="1" x14ac:dyDescent="0.25"/>
    <row r="1782" s="12" customFormat="1" x14ac:dyDescent="0.25"/>
    <row r="1783" s="12" customFormat="1" x14ac:dyDescent="0.25"/>
    <row r="1784" s="12" customFormat="1" x14ac:dyDescent="0.25"/>
    <row r="1785" s="12" customFormat="1" x14ac:dyDescent="0.25"/>
    <row r="1786" s="12" customFormat="1" x14ac:dyDescent="0.25"/>
    <row r="1787" s="12" customFormat="1" x14ac:dyDescent="0.25"/>
    <row r="1788" s="12" customFormat="1" x14ac:dyDescent="0.25"/>
    <row r="1789" s="12" customFormat="1" x14ac:dyDescent="0.25"/>
    <row r="1790" s="12" customFormat="1" x14ac:dyDescent="0.25"/>
    <row r="1791" s="12" customFormat="1" x14ac:dyDescent="0.25"/>
    <row r="1792" s="12" customFormat="1" x14ac:dyDescent="0.25"/>
    <row r="1793" s="12" customFormat="1" x14ac:dyDescent="0.25"/>
    <row r="1794" s="12" customFormat="1" x14ac:dyDescent="0.25"/>
    <row r="1795" s="12" customFormat="1" x14ac:dyDescent="0.25"/>
    <row r="1796" s="12" customFormat="1" x14ac:dyDescent="0.25"/>
    <row r="1797" s="12" customFormat="1" x14ac:dyDescent="0.25"/>
    <row r="1798" s="12" customFormat="1" x14ac:dyDescent="0.25"/>
    <row r="1799" s="12" customFormat="1" x14ac:dyDescent="0.25"/>
    <row r="1800" s="12" customFormat="1" x14ac:dyDescent="0.25"/>
    <row r="1801" s="12" customFormat="1" x14ac:dyDescent="0.25"/>
    <row r="1802" s="12" customFormat="1" x14ac:dyDescent="0.25"/>
    <row r="1803" s="12" customFormat="1" x14ac:dyDescent="0.25"/>
    <row r="1804" s="12" customFormat="1" x14ac:dyDescent="0.25"/>
    <row r="1805" s="12" customFormat="1" x14ac:dyDescent="0.25"/>
    <row r="1806" s="12" customFormat="1" x14ac:dyDescent="0.25"/>
    <row r="1807" s="12" customFormat="1" x14ac:dyDescent="0.25"/>
    <row r="1808" s="12" customFormat="1" x14ac:dyDescent="0.25"/>
    <row r="1809" s="12" customFormat="1" x14ac:dyDescent="0.25"/>
    <row r="1810" s="12" customFormat="1" x14ac:dyDescent="0.25"/>
    <row r="1811" s="12" customFormat="1" x14ac:dyDescent="0.25"/>
    <row r="1812" s="12" customFormat="1" x14ac:dyDescent="0.25"/>
    <row r="1813" s="12" customFormat="1" x14ac:dyDescent="0.25"/>
    <row r="1814" s="12" customFormat="1" x14ac:dyDescent="0.25"/>
    <row r="1815" s="12" customFormat="1" x14ac:dyDescent="0.25"/>
    <row r="1816" s="12" customFormat="1" x14ac:dyDescent="0.25"/>
    <row r="1817" s="12" customFormat="1" x14ac:dyDescent="0.25"/>
    <row r="1818" s="12" customFormat="1" x14ac:dyDescent="0.25"/>
    <row r="1819" s="12" customFormat="1" x14ac:dyDescent="0.25"/>
    <row r="1820" s="12" customFormat="1" x14ac:dyDescent="0.25"/>
    <row r="1821" s="12" customFormat="1" x14ac:dyDescent="0.25"/>
    <row r="1822" s="12" customFormat="1" x14ac:dyDescent="0.25"/>
    <row r="1823" s="12" customFormat="1" x14ac:dyDescent="0.25"/>
    <row r="1824" s="12" customFormat="1" x14ac:dyDescent="0.25"/>
    <row r="1825" s="12" customFormat="1" x14ac:dyDescent="0.25"/>
    <row r="1826" s="12" customFormat="1" x14ac:dyDescent="0.25"/>
    <row r="1827" s="12" customFormat="1" x14ac:dyDescent="0.25"/>
    <row r="1828" s="12" customFormat="1" x14ac:dyDescent="0.25"/>
    <row r="1829" s="12" customFormat="1" x14ac:dyDescent="0.25"/>
    <row r="1830" s="12" customFormat="1" x14ac:dyDescent="0.25"/>
    <row r="1831" s="12" customFormat="1" x14ac:dyDescent="0.25"/>
    <row r="1832" s="12" customFormat="1" x14ac:dyDescent="0.25"/>
    <row r="1833" s="12" customFormat="1" x14ac:dyDescent="0.25"/>
    <row r="1834" s="12" customFormat="1" x14ac:dyDescent="0.25"/>
    <row r="1835" s="12" customFormat="1" x14ac:dyDescent="0.25"/>
    <row r="1836" s="12" customFormat="1" x14ac:dyDescent="0.25"/>
    <row r="1837" s="12" customFormat="1" x14ac:dyDescent="0.25"/>
    <row r="1838" s="12" customFormat="1" x14ac:dyDescent="0.25"/>
    <row r="1839" s="12" customFormat="1" x14ac:dyDescent="0.25"/>
    <row r="1840" s="12" customFormat="1" x14ac:dyDescent="0.25"/>
    <row r="1841" s="12" customFormat="1" x14ac:dyDescent="0.25"/>
    <row r="1842" s="12" customFormat="1" x14ac:dyDescent="0.25"/>
    <row r="1843" s="12" customFormat="1" x14ac:dyDescent="0.25"/>
    <row r="1844" s="12" customFormat="1" x14ac:dyDescent="0.25"/>
    <row r="1845" s="12" customFormat="1" x14ac:dyDescent="0.25"/>
    <row r="1846" s="12" customFormat="1" x14ac:dyDescent="0.25"/>
    <row r="1847" s="12" customFormat="1" x14ac:dyDescent="0.25"/>
    <row r="1848" s="12" customFormat="1" x14ac:dyDescent="0.25"/>
    <row r="1849" s="12" customFormat="1" x14ac:dyDescent="0.25"/>
    <row r="1850" s="12" customFormat="1" x14ac:dyDescent="0.25"/>
    <row r="1851" s="12" customFormat="1" x14ac:dyDescent="0.25"/>
    <row r="1852" s="12" customFormat="1" x14ac:dyDescent="0.25"/>
    <row r="1853" s="12" customFormat="1" x14ac:dyDescent="0.25"/>
    <row r="1854" s="12" customFormat="1" x14ac:dyDescent="0.25"/>
    <row r="1855" s="12" customFormat="1" x14ac:dyDescent="0.25"/>
    <row r="1856" s="12" customFormat="1" x14ac:dyDescent="0.25"/>
    <row r="1857" s="12" customFormat="1" x14ac:dyDescent="0.25"/>
    <row r="1858" s="12" customFormat="1" x14ac:dyDescent="0.25"/>
    <row r="1859" s="12" customFormat="1" x14ac:dyDescent="0.25"/>
    <row r="1860" s="12" customFormat="1" x14ac:dyDescent="0.25"/>
    <row r="1861" s="12" customFormat="1" x14ac:dyDescent="0.25"/>
    <row r="1862" s="12" customFormat="1" x14ac:dyDescent="0.25"/>
    <row r="1863" s="12" customFormat="1" x14ac:dyDescent="0.25"/>
    <row r="1864" s="12" customFormat="1" x14ac:dyDescent="0.25"/>
    <row r="1865" s="12" customFormat="1" x14ac:dyDescent="0.25"/>
    <row r="1866" s="12" customFormat="1" x14ac:dyDescent="0.25"/>
    <row r="1867" s="12" customFormat="1" x14ac:dyDescent="0.25"/>
    <row r="1868" s="12" customFormat="1" x14ac:dyDescent="0.25"/>
    <row r="1869" s="12" customFormat="1" x14ac:dyDescent="0.25"/>
    <row r="1870" s="12" customFormat="1" x14ac:dyDescent="0.25"/>
    <row r="1871" s="12" customFormat="1" x14ac:dyDescent="0.25"/>
    <row r="1872" s="12" customFormat="1" x14ac:dyDescent="0.25"/>
    <row r="1873" s="12" customFormat="1" x14ac:dyDescent="0.25"/>
    <row r="1874" s="12" customFormat="1" x14ac:dyDescent="0.25"/>
    <row r="1875" s="12" customFormat="1" x14ac:dyDescent="0.25"/>
    <row r="1876" s="12" customFormat="1" x14ac:dyDescent="0.25"/>
    <row r="1877" s="12" customFormat="1" x14ac:dyDescent="0.25"/>
    <row r="1878" s="12" customFormat="1" x14ac:dyDescent="0.25"/>
    <row r="1879" s="12" customFormat="1" x14ac:dyDescent="0.25"/>
    <row r="1880" s="12" customFormat="1" x14ac:dyDescent="0.25"/>
    <row r="1881" s="12" customFormat="1" x14ac:dyDescent="0.25"/>
    <row r="1882" s="12" customFormat="1" x14ac:dyDescent="0.25"/>
    <row r="1883" s="12" customFormat="1" x14ac:dyDescent="0.25"/>
    <row r="1884" s="12" customFormat="1" x14ac:dyDescent="0.25"/>
    <row r="1885" s="12" customFormat="1" x14ac:dyDescent="0.25"/>
    <row r="1886" s="12" customFormat="1" x14ac:dyDescent="0.25"/>
    <row r="1887" s="12" customFormat="1" x14ac:dyDescent="0.25"/>
    <row r="1888" s="12" customFormat="1" x14ac:dyDescent="0.25"/>
    <row r="1889" s="12" customFormat="1" x14ac:dyDescent="0.25"/>
    <row r="1890" s="12" customFormat="1" x14ac:dyDescent="0.25"/>
    <row r="1891" s="12" customFormat="1" x14ac:dyDescent="0.25"/>
    <row r="1892" s="12" customFormat="1" x14ac:dyDescent="0.25"/>
    <row r="1893" s="12" customFormat="1" x14ac:dyDescent="0.25"/>
    <row r="1894" s="12" customFormat="1" x14ac:dyDescent="0.25"/>
    <row r="1895" s="12" customFormat="1" x14ac:dyDescent="0.25"/>
    <row r="1896" s="12" customFormat="1" x14ac:dyDescent="0.25"/>
    <row r="1897" s="12" customFormat="1" x14ac:dyDescent="0.25"/>
    <row r="1898" s="12" customFormat="1" x14ac:dyDescent="0.25"/>
    <row r="1899" s="12" customFormat="1" x14ac:dyDescent="0.25"/>
    <row r="1900" s="12" customFormat="1" x14ac:dyDescent="0.25"/>
    <row r="1901" s="12" customFormat="1" x14ac:dyDescent="0.25"/>
    <row r="1902" s="12" customFormat="1" x14ac:dyDescent="0.25"/>
    <row r="1903" s="12" customFormat="1" x14ac:dyDescent="0.25"/>
    <row r="1904" s="12" customFormat="1" x14ac:dyDescent="0.25"/>
    <row r="1905" s="12" customFormat="1" x14ac:dyDescent="0.25"/>
    <row r="1906" s="12" customFormat="1" x14ac:dyDescent="0.25"/>
    <row r="1907" s="12" customFormat="1" x14ac:dyDescent="0.25"/>
    <row r="1908" s="12" customFormat="1" x14ac:dyDescent="0.25"/>
    <row r="1909" s="12" customFormat="1" x14ac:dyDescent="0.25"/>
    <row r="1910" s="12" customFormat="1" x14ac:dyDescent="0.25"/>
    <row r="1911" s="12" customFormat="1" x14ac:dyDescent="0.25"/>
    <row r="1912" s="12" customFormat="1" x14ac:dyDescent="0.25"/>
    <row r="1913" s="12" customFormat="1" x14ac:dyDescent="0.25"/>
    <row r="1914" s="12" customFormat="1" x14ac:dyDescent="0.25"/>
    <row r="1915" s="12" customFormat="1" x14ac:dyDescent="0.25"/>
    <row r="1916" s="12" customFormat="1" x14ac:dyDescent="0.25"/>
    <row r="1917" s="12" customFormat="1" x14ac:dyDescent="0.25"/>
    <row r="1918" s="12" customFormat="1" x14ac:dyDescent="0.25"/>
    <row r="1919" s="12" customFormat="1" x14ac:dyDescent="0.25"/>
    <row r="1920" s="12" customFormat="1" x14ac:dyDescent="0.25"/>
    <row r="1921" s="12" customFormat="1" x14ac:dyDescent="0.25"/>
    <row r="1922" s="12" customFormat="1" x14ac:dyDescent="0.25"/>
    <row r="1923" s="12" customFormat="1" x14ac:dyDescent="0.25"/>
    <row r="1924" s="12" customFormat="1" x14ac:dyDescent="0.25"/>
    <row r="1925" s="12" customFormat="1" x14ac:dyDescent="0.25"/>
    <row r="1926" s="12" customFormat="1" x14ac:dyDescent="0.25"/>
    <row r="1927" s="12" customFormat="1" x14ac:dyDescent="0.25"/>
    <row r="1928" s="12" customFormat="1" x14ac:dyDescent="0.25"/>
    <row r="1929" s="12" customFormat="1" x14ac:dyDescent="0.25"/>
    <row r="1930" s="12" customFormat="1" x14ac:dyDescent="0.25"/>
    <row r="1931" s="12" customFormat="1" x14ac:dyDescent="0.25"/>
    <row r="1932" s="12" customFormat="1" x14ac:dyDescent="0.25"/>
    <row r="1933" s="12" customFormat="1" x14ac:dyDescent="0.25"/>
    <row r="1934" s="12" customFormat="1" x14ac:dyDescent="0.25"/>
    <row r="1935" s="12" customFormat="1" x14ac:dyDescent="0.25"/>
    <row r="1936" s="12" customFormat="1" x14ac:dyDescent="0.25"/>
    <row r="1937" s="12" customFormat="1" x14ac:dyDescent="0.25"/>
    <row r="1938" s="12" customFormat="1" x14ac:dyDescent="0.25"/>
    <row r="1939" s="12" customFormat="1" x14ac:dyDescent="0.25"/>
    <row r="1940" s="12" customFormat="1" x14ac:dyDescent="0.25"/>
    <row r="1941" s="12" customFormat="1" x14ac:dyDescent="0.25"/>
    <row r="1942" s="12" customFormat="1" x14ac:dyDescent="0.25"/>
    <row r="1943" s="12" customFormat="1" x14ac:dyDescent="0.25"/>
    <row r="1944" s="12" customFormat="1" x14ac:dyDescent="0.25"/>
    <row r="1945" s="12" customFormat="1" x14ac:dyDescent="0.25"/>
    <row r="1946" s="12" customFormat="1" x14ac:dyDescent="0.25"/>
    <row r="1947" s="12" customFormat="1" x14ac:dyDescent="0.25"/>
    <row r="1948" s="12" customFormat="1" x14ac:dyDescent="0.25"/>
    <row r="1949" s="12" customFormat="1" x14ac:dyDescent="0.25"/>
    <row r="1950" s="12" customFormat="1" x14ac:dyDescent="0.25"/>
    <row r="1951" s="12" customFormat="1" x14ac:dyDescent="0.25"/>
    <row r="1952" s="12" customFormat="1" x14ac:dyDescent="0.25"/>
    <row r="1953" s="12" customFormat="1" x14ac:dyDescent="0.25"/>
    <row r="1954" s="12" customFormat="1" x14ac:dyDescent="0.25"/>
    <row r="1955" s="12" customFormat="1" x14ac:dyDescent="0.25"/>
    <row r="1956" s="12" customFormat="1" x14ac:dyDescent="0.25"/>
    <row r="1957" s="12" customFormat="1" x14ac:dyDescent="0.25"/>
    <row r="1958" s="12" customFormat="1" x14ac:dyDescent="0.25"/>
    <row r="1959" s="12" customFormat="1" x14ac:dyDescent="0.25"/>
    <row r="1960" s="12" customFormat="1" x14ac:dyDescent="0.25"/>
    <row r="1961" s="12" customFormat="1" x14ac:dyDescent="0.25"/>
    <row r="1962" s="12" customFormat="1" x14ac:dyDescent="0.25"/>
    <row r="1963" s="12" customFormat="1" x14ac:dyDescent="0.25"/>
    <row r="1964" s="12" customFormat="1" x14ac:dyDescent="0.25"/>
    <row r="1965" s="12" customFormat="1" x14ac:dyDescent="0.25"/>
    <row r="1966" s="12" customFormat="1" x14ac:dyDescent="0.25"/>
    <row r="1967" s="12" customFormat="1" x14ac:dyDescent="0.25"/>
    <row r="1968" s="12" customFormat="1" x14ac:dyDescent="0.25"/>
    <row r="1969" s="12" customFormat="1" x14ac:dyDescent="0.25"/>
    <row r="1970" s="12" customFormat="1" x14ac:dyDescent="0.25"/>
    <row r="1971" s="12" customFormat="1" x14ac:dyDescent="0.25"/>
    <row r="1972" s="12" customFormat="1" x14ac:dyDescent="0.25"/>
    <row r="1973" s="12" customFormat="1" x14ac:dyDescent="0.25"/>
    <row r="1974" s="12" customFormat="1" x14ac:dyDescent="0.25"/>
    <row r="1975" s="12" customFormat="1" x14ac:dyDescent="0.25"/>
    <row r="1976" s="12" customFormat="1" x14ac:dyDescent="0.25"/>
    <row r="1977" s="12" customFormat="1" x14ac:dyDescent="0.25"/>
    <row r="1978" s="12" customFormat="1" x14ac:dyDescent="0.25"/>
    <row r="1979" s="12" customFormat="1" x14ac:dyDescent="0.25"/>
    <row r="1980" s="12" customFormat="1" x14ac:dyDescent="0.25"/>
    <row r="1981" s="12" customFormat="1" x14ac:dyDescent="0.25"/>
    <row r="1982" s="12" customFormat="1" x14ac:dyDescent="0.25"/>
    <row r="1983" s="12" customFormat="1" x14ac:dyDescent="0.25"/>
    <row r="1984" s="12" customFormat="1" x14ac:dyDescent="0.25"/>
    <row r="1985" s="12" customFormat="1" x14ac:dyDescent="0.25"/>
    <row r="1986" s="12" customFormat="1" x14ac:dyDescent="0.25"/>
    <row r="1987" s="12" customFormat="1" x14ac:dyDescent="0.25"/>
    <row r="1988" s="12" customFormat="1" x14ac:dyDescent="0.25"/>
    <row r="1989" s="12" customFormat="1" x14ac:dyDescent="0.25"/>
    <row r="1990" s="12" customFormat="1" x14ac:dyDescent="0.25"/>
    <row r="1991" s="12" customFormat="1" x14ac:dyDescent="0.25"/>
    <row r="1992" s="12" customFormat="1" x14ac:dyDescent="0.25"/>
    <row r="1993" s="12" customFormat="1" x14ac:dyDescent="0.25"/>
    <row r="1994" s="12" customFormat="1" x14ac:dyDescent="0.25"/>
    <row r="1995" s="12" customFormat="1" x14ac:dyDescent="0.25"/>
    <row r="1996" s="12" customFormat="1" x14ac:dyDescent="0.25"/>
    <row r="1997" s="12" customFormat="1" x14ac:dyDescent="0.25"/>
    <row r="1998" s="12" customFormat="1" x14ac:dyDescent="0.25"/>
    <row r="1999" s="12" customFormat="1" x14ac:dyDescent="0.25"/>
    <row r="2000" s="12" customFormat="1" x14ac:dyDescent="0.25"/>
    <row r="2001" s="12" customFormat="1" x14ac:dyDescent="0.25"/>
    <row r="2002" s="12" customFormat="1" x14ac:dyDescent="0.25"/>
    <row r="2003" s="12" customFormat="1" x14ac:dyDescent="0.25"/>
    <row r="2004" s="12" customFormat="1" x14ac:dyDescent="0.25"/>
    <row r="2005" s="12" customFormat="1" x14ac:dyDescent="0.25"/>
    <row r="2006" s="12" customFormat="1" x14ac:dyDescent="0.25"/>
    <row r="2007" s="12" customFormat="1" x14ac:dyDescent="0.25"/>
    <row r="2008" s="12" customFormat="1" x14ac:dyDescent="0.25"/>
    <row r="2009" s="12" customFormat="1" x14ac:dyDescent="0.25"/>
    <row r="2010" s="12" customFormat="1" x14ac:dyDescent="0.25"/>
    <row r="2011" s="12" customFormat="1" x14ac:dyDescent="0.25"/>
    <row r="2012" s="12" customFormat="1" x14ac:dyDescent="0.25"/>
    <row r="2013" s="12" customFormat="1" x14ac:dyDescent="0.25"/>
    <row r="2014" s="12" customFormat="1" x14ac:dyDescent="0.25"/>
    <row r="2015" s="12" customFormat="1" x14ac:dyDescent="0.25"/>
    <row r="2016" s="12" customFormat="1" x14ac:dyDescent="0.25"/>
    <row r="2017" s="12" customFormat="1" x14ac:dyDescent="0.25"/>
    <row r="2018" s="12" customFormat="1" x14ac:dyDescent="0.25"/>
    <row r="2019" s="12" customFormat="1" x14ac:dyDescent="0.25"/>
    <row r="2020" s="12" customFormat="1" x14ac:dyDescent="0.25"/>
    <row r="2021" s="12" customFormat="1" x14ac:dyDescent="0.25"/>
    <row r="2022" s="12" customFormat="1" x14ac:dyDescent="0.25"/>
    <row r="2023" s="12" customFormat="1" x14ac:dyDescent="0.25"/>
    <row r="2024" s="12" customFormat="1" x14ac:dyDescent="0.25"/>
    <row r="2025" s="12" customFormat="1" x14ac:dyDescent="0.25"/>
    <row r="2026" s="12" customFormat="1" x14ac:dyDescent="0.25"/>
    <row r="2027" s="12" customFormat="1" x14ac:dyDescent="0.25"/>
    <row r="2028" s="12" customFormat="1" x14ac:dyDescent="0.25"/>
    <row r="2029" s="12" customFormat="1" x14ac:dyDescent="0.25"/>
    <row r="2030" s="12" customFormat="1" x14ac:dyDescent="0.25"/>
    <row r="2031" s="12" customFormat="1" x14ac:dyDescent="0.25"/>
    <row r="2032" s="12" customFormat="1" x14ac:dyDescent="0.25"/>
    <row r="2033" s="12" customFormat="1" x14ac:dyDescent="0.25"/>
    <row r="2034" s="12" customFormat="1" x14ac:dyDescent="0.25"/>
    <row r="2035" s="12" customFormat="1" x14ac:dyDescent="0.25"/>
    <row r="2036" s="12" customFormat="1" x14ac:dyDescent="0.25"/>
    <row r="2037" s="12" customFormat="1" x14ac:dyDescent="0.25"/>
    <row r="2038" s="12" customFormat="1" x14ac:dyDescent="0.25"/>
    <row r="2039" s="12" customFormat="1" x14ac:dyDescent="0.25"/>
    <row r="2040" s="12" customFormat="1" x14ac:dyDescent="0.25"/>
    <row r="2041" s="12" customFormat="1" x14ac:dyDescent="0.25"/>
    <row r="2042" s="12" customFormat="1" x14ac:dyDescent="0.25"/>
    <row r="2043" s="12" customFormat="1" x14ac:dyDescent="0.25"/>
    <row r="2044" s="12" customFormat="1" x14ac:dyDescent="0.25"/>
    <row r="2045" s="12" customFormat="1" x14ac:dyDescent="0.25"/>
    <row r="2046" s="12" customFormat="1" x14ac:dyDescent="0.25"/>
    <row r="2047" s="12" customFormat="1" x14ac:dyDescent="0.25"/>
    <row r="2048" s="12" customFormat="1" x14ac:dyDescent="0.25"/>
    <row r="2049" s="12" customFormat="1" x14ac:dyDescent="0.25"/>
    <row r="2050" s="12" customFormat="1" x14ac:dyDescent="0.25"/>
    <row r="2051" s="12" customFormat="1" x14ac:dyDescent="0.25"/>
    <row r="2052" s="12" customFormat="1" x14ac:dyDescent="0.25"/>
    <row r="2053" s="12" customFormat="1" x14ac:dyDescent="0.25"/>
    <row r="2054" s="12" customFormat="1" x14ac:dyDescent="0.25"/>
    <row r="2055" s="12" customFormat="1" x14ac:dyDescent="0.25"/>
    <row r="2056" s="12" customFormat="1" x14ac:dyDescent="0.25"/>
    <row r="2057" s="12" customFormat="1" x14ac:dyDescent="0.25"/>
    <row r="2058" s="12" customFormat="1" x14ac:dyDescent="0.25"/>
    <row r="2059" s="12" customFormat="1" x14ac:dyDescent="0.25"/>
    <row r="2060" s="12" customFormat="1" x14ac:dyDescent="0.25"/>
    <row r="2061" s="12" customFormat="1" x14ac:dyDescent="0.25"/>
    <row r="2062" s="12" customFormat="1" x14ac:dyDescent="0.25"/>
    <row r="2063" s="12" customFormat="1" x14ac:dyDescent="0.25"/>
    <row r="2064" s="12" customFormat="1" x14ac:dyDescent="0.25"/>
    <row r="2065" s="12" customFormat="1" x14ac:dyDescent="0.25"/>
    <row r="2066" s="12" customFormat="1" x14ac:dyDescent="0.25"/>
    <row r="2067" s="12" customFormat="1" x14ac:dyDescent="0.25"/>
    <row r="2068" s="12" customFormat="1" x14ac:dyDescent="0.25"/>
    <row r="2069" s="12" customFormat="1" x14ac:dyDescent="0.25"/>
    <row r="2070" s="12" customFormat="1" x14ac:dyDescent="0.25"/>
    <row r="2071" s="12" customFormat="1" x14ac:dyDescent="0.25"/>
    <row r="2072" s="12" customFormat="1" x14ac:dyDescent="0.25"/>
    <row r="2073" s="12" customFormat="1" x14ac:dyDescent="0.25"/>
    <row r="2074" s="12" customFormat="1" x14ac:dyDescent="0.25"/>
    <row r="2075" s="12" customFormat="1" x14ac:dyDescent="0.25"/>
    <row r="2076" s="12" customFormat="1" x14ac:dyDescent="0.25"/>
    <row r="2077" s="12" customFormat="1" x14ac:dyDescent="0.25"/>
    <row r="2078" s="12" customFormat="1" x14ac:dyDescent="0.25"/>
    <row r="2079" s="12" customFormat="1" x14ac:dyDescent="0.25"/>
    <row r="2080" s="12" customFormat="1" x14ac:dyDescent="0.25"/>
    <row r="2081" s="12" customFormat="1" x14ac:dyDescent="0.25"/>
    <row r="2082" s="12" customFormat="1" x14ac:dyDescent="0.25"/>
    <row r="2083" s="12" customFormat="1" x14ac:dyDescent="0.25"/>
    <row r="2084" s="12" customFormat="1" x14ac:dyDescent="0.25"/>
    <row r="2085" s="12" customFormat="1" x14ac:dyDescent="0.25"/>
    <row r="2086" s="12" customFormat="1" x14ac:dyDescent="0.25"/>
    <row r="2087" s="12" customFormat="1" x14ac:dyDescent="0.25"/>
    <row r="2088" s="12" customFormat="1" x14ac:dyDescent="0.25"/>
    <row r="2089" s="12" customFormat="1" x14ac:dyDescent="0.25"/>
    <row r="2090" s="12" customFormat="1" x14ac:dyDescent="0.25"/>
    <row r="2091" s="12" customFormat="1" x14ac:dyDescent="0.25"/>
    <row r="2092" s="12" customFormat="1" x14ac:dyDescent="0.25"/>
    <row r="2093" s="12" customFormat="1" x14ac:dyDescent="0.25"/>
    <row r="2094" s="12" customFormat="1" x14ac:dyDescent="0.25"/>
    <row r="2095" s="12" customFormat="1" x14ac:dyDescent="0.25"/>
    <row r="2096" s="12" customFormat="1" x14ac:dyDescent="0.25"/>
    <row r="2097" s="12" customFormat="1" x14ac:dyDescent="0.25"/>
    <row r="2098" s="12" customFormat="1" x14ac:dyDescent="0.25"/>
    <row r="2099" s="12" customFormat="1" x14ac:dyDescent="0.25"/>
    <row r="2100" s="12" customFormat="1" x14ac:dyDescent="0.25"/>
    <row r="2101" s="12" customFormat="1" x14ac:dyDescent="0.25"/>
    <row r="2102" s="12" customFormat="1" x14ac:dyDescent="0.25"/>
    <row r="2103" s="12" customFormat="1" x14ac:dyDescent="0.25"/>
    <row r="2104" s="12" customFormat="1" x14ac:dyDescent="0.25"/>
    <row r="2105" s="12" customFormat="1" x14ac:dyDescent="0.25"/>
    <row r="2106" s="12" customFormat="1" x14ac:dyDescent="0.25"/>
    <row r="2107" s="12" customFormat="1" x14ac:dyDescent="0.25"/>
    <row r="2108" s="12" customFormat="1" x14ac:dyDescent="0.25"/>
    <row r="2109" s="12" customFormat="1" x14ac:dyDescent="0.25"/>
    <row r="2110" s="12" customFormat="1" x14ac:dyDescent="0.25"/>
    <row r="2111" s="12" customFormat="1" x14ac:dyDescent="0.25"/>
    <row r="2112" s="12" customFormat="1" x14ac:dyDescent="0.25"/>
    <row r="2113" s="12" customFormat="1" x14ac:dyDescent="0.25"/>
    <row r="2114" s="12" customFormat="1" x14ac:dyDescent="0.25"/>
    <row r="2115" s="12" customFormat="1" x14ac:dyDescent="0.25"/>
    <row r="2116" s="12" customFormat="1" x14ac:dyDescent="0.25"/>
    <row r="2117" s="12" customFormat="1" x14ac:dyDescent="0.25"/>
    <row r="2118" s="12" customFormat="1" x14ac:dyDescent="0.25"/>
    <row r="2119" s="12" customFormat="1" x14ac:dyDescent="0.25"/>
    <row r="2120" s="12" customFormat="1" x14ac:dyDescent="0.25"/>
    <row r="2121" s="12" customFormat="1" x14ac:dyDescent="0.25"/>
    <row r="2122" s="12" customFormat="1" x14ac:dyDescent="0.25"/>
    <row r="2123" s="12" customFormat="1" x14ac:dyDescent="0.25"/>
    <row r="2124" s="12" customFormat="1" x14ac:dyDescent="0.25"/>
    <row r="2125" s="12" customFormat="1" x14ac:dyDescent="0.25"/>
    <row r="2126" s="12" customFormat="1" x14ac:dyDescent="0.25"/>
    <row r="2127" s="12" customFormat="1" x14ac:dyDescent="0.25"/>
    <row r="2128" s="12" customFormat="1" x14ac:dyDescent="0.25"/>
    <row r="2129" s="12" customFormat="1" x14ac:dyDescent="0.25"/>
    <row r="2130" s="12" customFormat="1" x14ac:dyDescent="0.25"/>
    <row r="2131" s="12" customFormat="1" x14ac:dyDescent="0.25"/>
    <row r="2132" s="12" customFormat="1" x14ac:dyDescent="0.25"/>
    <row r="2133" s="12" customFormat="1" x14ac:dyDescent="0.25"/>
    <row r="2134" s="12" customFormat="1" x14ac:dyDescent="0.25"/>
    <row r="2135" s="12" customFormat="1" x14ac:dyDescent="0.25"/>
    <row r="2136" s="12" customFormat="1" x14ac:dyDescent="0.25"/>
    <row r="2137" s="12" customFormat="1" x14ac:dyDescent="0.25"/>
    <row r="2138" s="12" customFormat="1" x14ac:dyDescent="0.25"/>
    <row r="2139" s="12" customFormat="1" x14ac:dyDescent="0.25"/>
    <row r="2140" s="12" customFormat="1" x14ac:dyDescent="0.25"/>
    <row r="2141" s="12" customFormat="1" x14ac:dyDescent="0.25"/>
    <row r="2142" s="12" customFormat="1" x14ac:dyDescent="0.25"/>
    <row r="2143" s="12" customFormat="1" x14ac:dyDescent="0.25"/>
    <row r="2144" s="12" customFormat="1" x14ac:dyDescent="0.25"/>
    <row r="2145" s="12" customFormat="1" x14ac:dyDescent="0.25"/>
    <row r="2146" s="12" customFormat="1" x14ac:dyDescent="0.25"/>
    <row r="2147" s="12" customFormat="1" x14ac:dyDescent="0.25"/>
    <row r="2148" s="12" customFormat="1" x14ac:dyDescent="0.25"/>
    <row r="2149" s="12" customFormat="1" x14ac:dyDescent="0.25"/>
    <row r="2150" s="12" customFormat="1" x14ac:dyDescent="0.25"/>
    <row r="2151" s="12" customFormat="1" x14ac:dyDescent="0.25"/>
    <row r="2152" s="12" customFormat="1" x14ac:dyDescent="0.25"/>
    <row r="2153" s="12" customFormat="1" x14ac:dyDescent="0.25"/>
    <row r="2154" s="12" customFormat="1" x14ac:dyDescent="0.25"/>
    <row r="2155" s="12" customFormat="1" x14ac:dyDescent="0.25"/>
    <row r="2156" s="12" customFormat="1" x14ac:dyDescent="0.25"/>
    <row r="2157" s="12" customFormat="1" x14ac:dyDescent="0.25"/>
    <row r="2158" s="12" customFormat="1" x14ac:dyDescent="0.25"/>
    <row r="2159" s="12" customFormat="1" x14ac:dyDescent="0.25"/>
    <row r="2160" s="12" customFormat="1" x14ac:dyDescent="0.25"/>
    <row r="2161" s="12" customFormat="1" x14ac:dyDescent="0.25"/>
    <row r="2162" s="12" customFormat="1" x14ac:dyDescent="0.25"/>
    <row r="2163" s="12" customFormat="1" x14ac:dyDescent="0.25"/>
    <row r="2164" s="12" customFormat="1" x14ac:dyDescent="0.25"/>
    <row r="2165" s="12" customFormat="1" x14ac:dyDescent="0.25"/>
    <row r="2166" s="12" customFormat="1" x14ac:dyDescent="0.25"/>
    <row r="2167" s="12" customFormat="1" x14ac:dyDescent="0.25"/>
    <row r="2168" s="12" customFormat="1" x14ac:dyDescent="0.25"/>
    <row r="2169" s="12" customFormat="1" x14ac:dyDescent="0.25"/>
    <row r="2170" s="12" customFormat="1" x14ac:dyDescent="0.25"/>
    <row r="2171" s="12" customFormat="1" x14ac:dyDescent="0.25"/>
    <row r="2172" s="12" customFormat="1" x14ac:dyDescent="0.25"/>
    <row r="2173" s="12" customFormat="1" x14ac:dyDescent="0.25"/>
    <row r="2174" s="12" customFormat="1" x14ac:dyDescent="0.25"/>
    <row r="2175" s="12" customFormat="1" x14ac:dyDescent="0.25"/>
    <row r="2176" s="12" customFormat="1" x14ac:dyDescent="0.25"/>
    <row r="2177" s="12" customFormat="1" x14ac:dyDescent="0.25"/>
    <row r="2178" s="12" customFormat="1" x14ac:dyDescent="0.25"/>
    <row r="2179" s="12" customFormat="1" x14ac:dyDescent="0.25"/>
    <row r="2180" s="12" customFormat="1" x14ac:dyDescent="0.25"/>
    <row r="2181" s="12" customFormat="1" x14ac:dyDescent="0.25"/>
    <row r="2182" s="12" customFormat="1" x14ac:dyDescent="0.25"/>
    <row r="2183" s="12" customFormat="1" x14ac:dyDescent="0.25"/>
    <row r="2184" s="12" customFormat="1" x14ac:dyDescent="0.25"/>
    <row r="2185" s="12" customFormat="1" x14ac:dyDescent="0.25"/>
    <row r="2186" s="12" customFormat="1" x14ac:dyDescent="0.25"/>
    <row r="2187" s="12" customFormat="1" x14ac:dyDescent="0.25"/>
    <row r="2188" s="12" customFormat="1" x14ac:dyDescent="0.25"/>
    <row r="2189" s="12" customFormat="1" x14ac:dyDescent="0.25"/>
    <row r="2190" s="12" customFormat="1" x14ac:dyDescent="0.25"/>
    <row r="2191" s="12" customFormat="1" x14ac:dyDescent="0.25"/>
    <row r="2192" s="12" customFormat="1" x14ac:dyDescent="0.25"/>
    <row r="2193" s="12" customFormat="1" x14ac:dyDescent="0.25"/>
    <row r="2194" s="12" customFormat="1" x14ac:dyDescent="0.25"/>
    <row r="2195" s="12" customFormat="1" x14ac:dyDescent="0.25"/>
    <row r="2196" s="12" customFormat="1" x14ac:dyDescent="0.25"/>
    <row r="2197" s="12" customFormat="1" x14ac:dyDescent="0.25"/>
    <row r="2198" s="12" customFormat="1" x14ac:dyDescent="0.25"/>
    <row r="2199" s="12" customFormat="1" x14ac:dyDescent="0.25"/>
    <row r="2200" s="12" customFormat="1" x14ac:dyDescent="0.25"/>
    <row r="2201" s="12" customFormat="1" x14ac:dyDescent="0.25"/>
    <row r="2202" s="12" customFormat="1" x14ac:dyDescent="0.25"/>
    <row r="2203" s="12" customFormat="1" x14ac:dyDescent="0.25"/>
    <row r="2204" s="12" customFormat="1" x14ac:dyDescent="0.25"/>
    <row r="2205" s="12" customFormat="1" x14ac:dyDescent="0.25"/>
    <row r="2206" s="12" customFormat="1" x14ac:dyDescent="0.25"/>
    <row r="2207" s="12" customFormat="1" x14ac:dyDescent="0.25"/>
    <row r="2208" s="12" customFormat="1" x14ac:dyDescent="0.25"/>
    <row r="2209" s="12" customFormat="1" x14ac:dyDescent="0.25"/>
    <row r="2210" s="12" customFormat="1" x14ac:dyDescent="0.25"/>
    <row r="2211" s="12" customFormat="1" x14ac:dyDescent="0.25"/>
    <row r="2212" s="12" customFormat="1" x14ac:dyDescent="0.25"/>
    <row r="2213" s="12" customFormat="1" x14ac:dyDescent="0.25"/>
    <row r="2214" s="12" customFormat="1" x14ac:dyDescent="0.25"/>
    <row r="2215" s="12" customFormat="1" x14ac:dyDescent="0.25"/>
    <row r="2216" s="12" customFormat="1" x14ac:dyDescent="0.25"/>
    <row r="2217" s="12" customFormat="1" x14ac:dyDescent="0.25"/>
    <row r="2218" s="12" customFormat="1" x14ac:dyDescent="0.25"/>
    <row r="2219" s="12" customFormat="1" x14ac:dyDescent="0.25"/>
    <row r="2220" s="12" customFormat="1" x14ac:dyDescent="0.25"/>
    <row r="2221" s="12" customFormat="1" x14ac:dyDescent="0.25"/>
    <row r="2222" s="12" customFormat="1" x14ac:dyDescent="0.25"/>
    <row r="2223" s="12" customFormat="1" x14ac:dyDescent="0.25"/>
    <row r="2224" s="12" customFormat="1" x14ac:dyDescent="0.25"/>
    <row r="2225" s="12" customFormat="1" x14ac:dyDescent="0.25"/>
    <row r="2226" s="12" customFormat="1" x14ac:dyDescent="0.25"/>
    <row r="2227" s="12" customFormat="1" x14ac:dyDescent="0.25"/>
    <row r="2228" s="12" customFormat="1" x14ac:dyDescent="0.25"/>
    <row r="2229" s="12" customFormat="1" x14ac:dyDescent="0.25"/>
    <row r="2230" s="12" customFormat="1" x14ac:dyDescent="0.25"/>
    <row r="2231" s="12" customFormat="1" x14ac:dyDescent="0.25"/>
    <row r="2232" s="12" customFormat="1" x14ac:dyDescent="0.25"/>
    <row r="2233" s="12" customFormat="1" x14ac:dyDescent="0.25"/>
    <row r="2234" s="12" customFormat="1" x14ac:dyDescent="0.25"/>
    <row r="2235" s="12" customFormat="1" x14ac:dyDescent="0.25"/>
    <row r="2236" s="12" customFormat="1" x14ac:dyDescent="0.25"/>
    <row r="2237" s="12" customFormat="1" x14ac:dyDescent="0.25"/>
    <row r="2238" s="12" customFormat="1" x14ac:dyDescent="0.25"/>
    <row r="2239" s="12" customFormat="1" x14ac:dyDescent="0.25"/>
    <row r="2240" s="12" customFormat="1" x14ac:dyDescent="0.25"/>
    <row r="2241" s="12" customFormat="1" x14ac:dyDescent="0.25"/>
    <row r="2242" s="12" customFormat="1" x14ac:dyDescent="0.25"/>
    <row r="2243" s="12" customFormat="1" x14ac:dyDescent="0.25"/>
    <row r="2244" s="12" customFormat="1" x14ac:dyDescent="0.25"/>
    <row r="2245" s="12" customFormat="1" x14ac:dyDescent="0.25"/>
    <row r="2246" s="12" customFormat="1" x14ac:dyDescent="0.25"/>
    <row r="2247" s="12" customFormat="1" x14ac:dyDescent="0.25"/>
    <row r="2248" s="12" customFormat="1" x14ac:dyDescent="0.25"/>
    <row r="2249" s="12" customFormat="1" x14ac:dyDescent="0.25"/>
    <row r="2250" s="12" customFormat="1" x14ac:dyDescent="0.25"/>
    <row r="2251" s="12" customFormat="1" x14ac:dyDescent="0.25"/>
    <row r="2252" s="12" customFormat="1" x14ac:dyDescent="0.25"/>
    <row r="2253" s="12" customFormat="1" x14ac:dyDescent="0.25"/>
    <row r="2254" s="12" customFormat="1" x14ac:dyDescent="0.25"/>
    <row r="2255" s="12" customFormat="1" x14ac:dyDescent="0.25"/>
    <row r="2256" s="12" customFormat="1" x14ac:dyDescent="0.25"/>
    <row r="2257" s="12" customFormat="1" x14ac:dyDescent="0.25"/>
    <row r="2258" s="12" customFormat="1" x14ac:dyDescent="0.25"/>
    <row r="2259" s="12" customFormat="1" x14ac:dyDescent="0.25"/>
    <row r="2260" s="12" customFormat="1" x14ac:dyDescent="0.25"/>
    <row r="2261" s="12" customFormat="1" x14ac:dyDescent="0.25"/>
    <row r="2262" s="12" customFormat="1" x14ac:dyDescent="0.25"/>
    <row r="2263" s="12" customFormat="1" x14ac:dyDescent="0.25"/>
    <row r="2264" s="12" customFormat="1" x14ac:dyDescent="0.25"/>
    <row r="2265" s="12" customFormat="1" x14ac:dyDescent="0.25"/>
    <row r="2266" s="12" customFormat="1" x14ac:dyDescent="0.25"/>
    <row r="2267" s="12" customFormat="1" x14ac:dyDescent="0.25"/>
    <row r="2268" s="12" customFormat="1" x14ac:dyDescent="0.25"/>
    <row r="2269" s="12" customFormat="1" x14ac:dyDescent="0.25"/>
    <row r="2270" s="12" customFormat="1" x14ac:dyDescent="0.25"/>
    <row r="2271" s="12" customFormat="1" x14ac:dyDescent="0.25"/>
    <row r="2272" s="12" customFormat="1" x14ac:dyDescent="0.25"/>
    <row r="2273" s="12" customFormat="1" x14ac:dyDescent="0.25"/>
    <row r="2274" s="12" customFormat="1" x14ac:dyDescent="0.25"/>
    <row r="2275" s="12" customFormat="1" x14ac:dyDescent="0.25"/>
    <row r="2276" s="12" customFormat="1" x14ac:dyDescent="0.25"/>
    <row r="2277" s="12" customFormat="1" x14ac:dyDescent="0.25"/>
    <row r="2278" s="12" customFormat="1" x14ac:dyDescent="0.25"/>
    <row r="2279" s="12" customFormat="1" x14ac:dyDescent="0.25"/>
    <row r="2280" s="12" customFormat="1" x14ac:dyDescent="0.25"/>
    <row r="2281" s="12" customFormat="1" x14ac:dyDescent="0.25"/>
    <row r="2282" s="12" customFormat="1" x14ac:dyDescent="0.25"/>
    <row r="2283" s="12" customFormat="1" x14ac:dyDescent="0.25"/>
    <row r="2284" s="12" customFormat="1" x14ac:dyDescent="0.25"/>
    <row r="2285" s="12" customFormat="1" x14ac:dyDescent="0.25"/>
    <row r="2286" s="12" customFormat="1" x14ac:dyDescent="0.25"/>
    <row r="2287" s="12" customFormat="1" x14ac:dyDescent="0.25"/>
    <row r="2288" s="12" customFormat="1" x14ac:dyDescent="0.25"/>
    <row r="2289" s="12" customFormat="1" x14ac:dyDescent="0.25"/>
    <row r="2290" s="12" customFormat="1" x14ac:dyDescent="0.25"/>
    <row r="2291" s="12" customFormat="1" x14ac:dyDescent="0.25"/>
    <row r="2292" s="12" customFormat="1" x14ac:dyDescent="0.25"/>
    <row r="2293" s="12" customFormat="1" x14ac:dyDescent="0.25"/>
    <row r="2294" s="12" customFormat="1" x14ac:dyDescent="0.25"/>
    <row r="2295" s="12" customFormat="1" x14ac:dyDescent="0.25"/>
    <row r="2296" s="12" customFormat="1" x14ac:dyDescent="0.25"/>
    <row r="2297" s="12" customFormat="1" x14ac:dyDescent="0.25"/>
    <row r="2298" s="12" customFormat="1" x14ac:dyDescent="0.25"/>
    <row r="2299" s="12" customFormat="1" x14ac:dyDescent="0.25"/>
    <row r="2300" s="12" customFormat="1" x14ac:dyDescent="0.25"/>
    <row r="2301" s="12" customFormat="1" x14ac:dyDescent="0.25"/>
    <row r="2302" s="12" customFormat="1" x14ac:dyDescent="0.25"/>
    <row r="2303" s="12" customFormat="1" x14ac:dyDescent="0.25"/>
    <row r="2304" s="12" customFormat="1" x14ac:dyDescent="0.25"/>
    <row r="2305" s="12" customFormat="1" x14ac:dyDescent="0.25"/>
    <row r="2306" s="12" customFormat="1" x14ac:dyDescent="0.25"/>
    <row r="2307" s="12" customFormat="1" x14ac:dyDescent="0.25"/>
    <row r="2308" s="12" customFormat="1" x14ac:dyDescent="0.25"/>
    <row r="2309" s="12" customFormat="1" x14ac:dyDescent="0.25"/>
    <row r="2310" s="12" customFormat="1" x14ac:dyDescent="0.25"/>
    <row r="2311" s="12" customFormat="1" x14ac:dyDescent="0.25"/>
    <row r="2312" s="12" customFormat="1" x14ac:dyDescent="0.25"/>
    <row r="2313" s="12" customFormat="1" x14ac:dyDescent="0.25"/>
    <row r="2314" s="12" customFormat="1" x14ac:dyDescent="0.25"/>
    <row r="2315" s="12" customFormat="1" x14ac:dyDescent="0.25"/>
    <row r="2316" s="12" customFormat="1" x14ac:dyDescent="0.25"/>
    <row r="2317" s="12" customFormat="1" x14ac:dyDescent="0.25"/>
    <row r="2318" s="12" customFormat="1" x14ac:dyDescent="0.25"/>
    <row r="2319" s="12" customFormat="1" x14ac:dyDescent="0.25"/>
    <row r="2320" s="12" customFormat="1" x14ac:dyDescent="0.25"/>
    <row r="2321" s="12" customFormat="1" x14ac:dyDescent="0.25"/>
    <row r="2322" s="12" customFormat="1" x14ac:dyDescent="0.25"/>
    <row r="2323" s="12" customFormat="1" x14ac:dyDescent="0.25"/>
    <row r="2324" s="12" customFormat="1" x14ac:dyDescent="0.25"/>
    <row r="2325" s="12" customFormat="1" x14ac:dyDescent="0.25"/>
    <row r="2326" s="12" customFormat="1" x14ac:dyDescent="0.25"/>
    <row r="2327" s="12" customFormat="1" x14ac:dyDescent="0.25"/>
    <row r="2328" s="12" customFormat="1" x14ac:dyDescent="0.25"/>
    <row r="2329" s="12" customFormat="1" x14ac:dyDescent="0.25"/>
    <row r="2330" s="12" customFormat="1" x14ac:dyDescent="0.25"/>
    <row r="2331" s="12" customFormat="1" x14ac:dyDescent="0.25"/>
    <row r="2332" s="12" customFormat="1" x14ac:dyDescent="0.25"/>
    <row r="2333" s="12" customFormat="1" x14ac:dyDescent="0.25"/>
    <row r="2334" s="12" customFormat="1" x14ac:dyDescent="0.25"/>
    <row r="2335" s="12" customFormat="1" x14ac:dyDescent="0.25"/>
    <row r="2336" s="12" customFormat="1" x14ac:dyDescent="0.25"/>
    <row r="2337" s="12" customFormat="1" x14ac:dyDescent="0.25"/>
    <row r="2338" s="12" customFormat="1" x14ac:dyDescent="0.25"/>
    <row r="2339" s="12" customFormat="1" x14ac:dyDescent="0.25"/>
    <row r="2340" s="12" customFormat="1" x14ac:dyDescent="0.25"/>
    <row r="2341" s="12" customFormat="1" x14ac:dyDescent="0.25"/>
    <row r="2342" s="12" customFormat="1" x14ac:dyDescent="0.25"/>
    <row r="2343" s="12" customFormat="1" x14ac:dyDescent="0.25"/>
    <row r="2344" s="12" customFormat="1" x14ac:dyDescent="0.25"/>
    <row r="2345" s="12" customFormat="1" x14ac:dyDescent="0.25"/>
    <row r="2346" s="12" customFormat="1" x14ac:dyDescent="0.25"/>
    <row r="2347" s="12" customFormat="1" x14ac:dyDescent="0.25"/>
    <row r="2348" s="12" customFormat="1" x14ac:dyDescent="0.25"/>
    <row r="2349" s="12" customFormat="1" x14ac:dyDescent="0.25"/>
    <row r="2350" s="12" customFormat="1" x14ac:dyDescent="0.25"/>
    <row r="2351" s="12" customFormat="1" x14ac:dyDescent="0.25"/>
    <row r="2352" s="12" customFormat="1" x14ac:dyDescent="0.25"/>
    <row r="2353" s="12" customFormat="1" x14ac:dyDescent="0.25"/>
    <row r="2354" s="12" customFormat="1" x14ac:dyDescent="0.25"/>
    <row r="2355" s="12" customFormat="1" x14ac:dyDescent="0.25"/>
    <row r="2356" s="12" customFormat="1" x14ac:dyDescent="0.25"/>
    <row r="2357" s="12" customFormat="1" x14ac:dyDescent="0.25"/>
    <row r="2358" s="12" customFormat="1" x14ac:dyDescent="0.25"/>
    <row r="2359" s="12" customFormat="1" x14ac:dyDescent="0.25"/>
    <row r="2360" s="12" customFormat="1" x14ac:dyDescent="0.25"/>
    <row r="2361" s="12" customFormat="1" x14ac:dyDescent="0.25"/>
    <row r="2362" s="12" customFormat="1" x14ac:dyDescent="0.25"/>
    <row r="2363" s="12" customFormat="1" x14ac:dyDescent="0.25"/>
    <row r="2364" s="12" customFormat="1" x14ac:dyDescent="0.25"/>
    <row r="2365" s="12" customFormat="1" x14ac:dyDescent="0.25"/>
    <row r="2366" s="12" customFormat="1" x14ac:dyDescent="0.25"/>
    <row r="2367" s="12" customFormat="1" x14ac:dyDescent="0.25"/>
    <row r="2368" s="12" customFormat="1" x14ac:dyDescent="0.25"/>
    <row r="2369" s="12" customFormat="1" x14ac:dyDescent="0.25"/>
    <row r="2370" s="12" customFormat="1" x14ac:dyDescent="0.25"/>
    <row r="2371" s="12" customFormat="1" x14ac:dyDescent="0.25"/>
    <row r="2372" s="12" customFormat="1" x14ac:dyDescent="0.25"/>
    <row r="2373" s="12" customFormat="1" x14ac:dyDescent="0.25"/>
    <row r="2374" s="12" customFormat="1" x14ac:dyDescent="0.25"/>
    <row r="2375" s="12" customFormat="1" x14ac:dyDescent="0.25"/>
    <row r="2376" s="12" customFormat="1" x14ac:dyDescent="0.25"/>
    <row r="2377" s="12" customFormat="1" x14ac:dyDescent="0.25"/>
    <row r="2378" s="12" customFormat="1" x14ac:dyDescent="0.25"/>
    <row r="2379" s="12" customFormat="1" x14ac:dyDescent="0.25"/>
    <row r="2380" s="12" customFormat="1" x14ac:dyDescent="0.25"/>
    <row r="2381" s="12" customFormat="1" x14ac:dyDescent="0.25"/>
    <row r="2382" s="12" customFormat="1" x14ac:dyDescent="0.25"/>
    <row r="2383" s="12" customFormat="1" x14ac:dyDescent="0.25"/>
    <row r="2384" s="12" customFormat="1" x14ac:dyDescent="0.25"/>
    <row r="2385" s="12" customFormat="1" x14ac:dyDescent="0.25"/>
    <row r="2386" s="12" customFormat="1" x14ac:dyDescent="0.25"/>
    <row r="2387" s="12" customFormat="1" x14ac:dyDescent="0.25"/>
    <row r="2388" s="12" customFormat="1" x14ac:dyDescent="0.25"/>
    <row r="2389" s="12" customFormat="1" x14ac:dyDescent="0.25"/>
    <row r="2390" s="12" customFormat="1" x14ac:dyDescent="0.25"/>
    <row r="2391" s="12" customFormat="1" x14ac:dyDescent="0.25"/>
    <row r="2392" s="12" customFormat="1" x14ac:dyDescent="0.25"/>
    <row r="2393" s="12" customFormat="1" x14ac:dyDescent="0.25"/>
    <row r="2394" s="12" customFormat="1" x14ac:dyDescent="0.25"/>
    <row r="2395" s="12" customFormat="1" x14ac:dyDescent="0.25"/>
    <row r="2396" s="12" customFormat="1" x14ac:dyDescent="0.25"/>
    <row r="2397" s="12" customFormat="1" x14ac:dyDescent="0.25"/>
    <row r="2398" s="12" customFormat="1" x14ac:dyDescent="0.25"/>
    <row r="2399" s="12" customFormat="1" x14ac:dyDescent="0.25"/>
    <row r="2400" s="12" customFormat="1" x14ac:dyDescent="0.25"/>
    <row r="2401" s="12" customFormat="1" x14ac:dyDescent="0.25"/>
    <row r="2402" s="12" customFormat="1" x14ac:dyDescent="0.25"/>
    <row r="2403" s="12" customFormat="1" x14ac:dyDescent="0.25"/>
    <row r="2404" s="12" customFormat="1" x14ac:dyDescent="0.25"/>
    <row r="2405" s="12" customFormat="1" x14ac:dyDescent="0.25"/>
    <row r="2406" s="12" customFormat="1" x14ac:dyDescent="0.25"/>
    <row r="2407" s="12" customFormat="1" x14ac:dyDescent="0.25"/>
    <row r="2408" s="12" customFormat="1" x14ac:dyDescent="0.25"/>
    <row r="2409" s="12" customFormat="1" x14ac:dyDescent="0.25"/>
    <row r="2410" s="12" customFormat="1" x14ac:dyDescent="0.25"/>
    <row r="2411" s="12" customFormat="1" x14ac:dyDescent="0.25"/>
    <row r="2412" s="12" customFormat="1" x14ac:dyDescent="0.25"/>
    <row r="2413" s="12" customFormat="1" x14ac:dyDescent="0.25"/>
    <row r="2414" s="12" customFormat="1" x14ac:dyDescent="0.25"/>
    <row r="2415" s="12" customFormat="1" x14ac:dyDescent="0.25"/>
    <row r="2416" s="12" customFormat="1" x14ac:dyDescent="0.25"/>
    <row r="2417" s="12" customFormat="1" x14ac:dyDescent="0.25"/>
    <row r="2418" s="12" customFormat="1" x14ac:dyDescent="0.25"/>
    <row r="2419" s="12" customFormat="1" x14ac:dyDescent="0.25"/>
    <row r="2420" s="12" customFormat="1" x14ac:dyDescent="0.25"/>
    <row r="2421" s="12" customFormat="1" x14ac:dyDescent="0.25"/>
    <row r="2422" s="12" customFormat="1" x14ac:dyDescent="0.25"/>
    <row r="2423" s="12" customFormat="1" x14ac:dyDescent="0.25"/>
    <row r="2424" s="12" customFormat="1" x14ac:dyDescent="0.25"/>
    <row r="2425" s="12" customFormat="1" x14ac:dyDescent="0.25"/>
    <row r="2426" s="12" customFormat="1" x14ac:dyDescent="0.25"/>
    <row r="2427" s="12" customFormat="1" x14ac:dyDescent="0.25"/>
    <row r="2428" s="12" customFormat="1" x14ac:dyDescent="0.25"/>
    <row r="2429" s="12" customFormat="1" x14ac:dyDescent="0.25"/>
    <row r="2430" s="12" customFormat="1" x14ac:dyDescent="0.25"/>
    <row r="2431" s="12" customFormat="1" x14ac:dyDescent="0.25"/>
    <row r="2432" s="12" customFormat="1" x14ac:dyDescent="0.25"/>
    <row r="2433" s="12" customFormat="1" x14ac:dyDescent="0.25"/>
    <row r="2434" s="12" customFormat="1" x14ac:dyDescent="0.25"/>
    <row r="2435" s="12" customFormat="1" x14ac:dyDescent="0.25"/>
    <row r="2436" s="12" customFormat="1" x14ac:dyDescent="0.25"/>
    <row r="2437" s="12" customFormat="1" x14ac:dyDescent="0.25"/>
    <row r="2438" s="12" customFormat="1" x14ac:dyDescent="0.25"/>
    <row r="2439" s="12" customFormat="1" x14ac:dyDescent="0.25"/>
    <row r="2440" s="12" customFormat="1" x14ac:dyDescent="0.25"/>
    <row r="2441" s="12" customFormat="1" x14ac:dyDescent="0.25"/>
    <row r="2442" s="12" customFormat="1" x14ac:dyDescent="0.25"/>
    <row r="2443" s="12" customFormat="1" x14ac:dyDescent="0.25"/>
    <row r="2444" s="12" customFormat="1" x14ac:dyDescent="0.25"/>
    <row r="2445" s="12" customFormat="1" x14ac:dyDescent="0.25"/>
    <row r="2446" s="12" customFormat="1" x14ac:dyDescent="0.25"/>
    <row r="2447" s="12" customFormat="1" x14ac:dyDescent="0.25"/>
    <row r="2448" s="12" customFormat="1" x14ac:dyDescent="0.25"/>
    <row r="2449" s="12" customFormat="1" x14ac:dyDescent="0.25"/>
    <row r="2450" s="12" customFormat="1" x14ac:dyDescent="0.25"/>
    <row r="2451" s="12" customFormat="1" x14ac:dyDescent="0.25"/>
    <row r="2452" s="12" customFormat="1" x14ac:dyDescent="0.25"/>
    <row r="2453" s="12" customFormat="1" x14ac:dyDescent="0.25"/>
    <row r="2454" s="12" customFormat="1" x14ac:dyDescent="0.25"/>
    <row r="2455" s="12" customFormat="1" x14ac:dyDescent="0.25"/>
    <row r="2456" s="12" customFormat="1" x14ac:dyDescent="0.25"/>
    <row r="2457" s="12" customFormat="1" x14ac:dyDescent="0.25"/>
    <row r="2458" s="12" customFormat="1" x14ac:dyDescent="0.25"/>
    <row r="2459" s="12" customFormat="1" x14ac:dyDescent="0.25"/>
    <row r="2460" s="12" customFormat="1" x14ac:dyDescent="0.25"/>
    <row r="2461" s="12" customFormat="1" x14ac:dyDescent="0.25"/>
    <row r="2462" s="12" customFormat="1" x14ac:dyDescent="0.25"/>
    <row r="2463" s="12" customFormat="1" x14ac:dyDescent="0.25"/>
    <row r="2464" s="12" customFormat="1" x14ac:dyDescent="0.25"/>
    <row r="2465" s="12" customFormat="1" x14ac:dyDescent="0.25"/>
    <row r="2466" s="12" customFormat="1" x14ac:dyDescent="0.25"/>
    <row r="2467" s="12" customFormat="1" x14ac:dyDescent="0.25"/>
    <row r="2468" s="12" customFormat="1" x14ac:dyDescent="0.25"/>
    <row r="2469" s="12" customFormat="1" x14ac:dyDescent="0.25"/>
    <row r="2470" s="12" customFormat="1" x14ac:dyDescent="0.25"/>
    <row r="2471" s="12" customFormat="1" x14ac:dyDescent="0.25"/>
    <row r="2472" s="12" customFormat="1" x14ac:dyDescent="0.25"/>
    <row r="2473" s="12" customFormat="1" x14ac:dyDescent="0.25"/>
    <row r="2474" s="12" customFormat="1" x14ac:dyDescent="0.25"/>
    <row r="2475" s="12" customFormat="1" x14ac:dyDescent="0.25"/>
    <row r="2476" s="12" customFormat="1" x14ac:dyDescent="0.25"/>
    <row r="2477" s="12" customFormat="1" x14ac:dyDescent="0.25"/>
    <row r="2478" s="12" customFormat="1" x14ac:dyDescent="0.25"/>
    <row r="2479" s="12" customFormat="1" x14ac:dyDescent="0.25"/>
    <row r="2480" s="12" customFormat="1" x14ac:dyDescent="0.25"/>
    <row r="2481" s="12" customFormat="1" x14ac:dyDescent="0.25"/>
    <row r="2482" s="12" customFormat="1" x14ac:dyDescent="0.25"/>
    <row r="2483" s="12" customFormat="1" x14ac:dyDescent="0.25"/>
    <row r="2484" s="12" customFormat="1" x14ac:dyDescent="0.25"/>
    <row r="2485" s="12" customFormat="1" x14ac:dyDescent="0.25"/>
    <row r="2486" s="12" customFormat="1" x14ac:dyDescent="0.25"/>
    <row r="2487" s="12" customFormat="1" x14ac:dyDescent="0.25"/>
    <row r="2488" s="12" customFormat="1" x14ac:dyDescent="0.25"/>
    <row r="2489" s="12" customFormat="1" x14ac:dyDescent="0.25"/>
    <row r="2490" s="12" customFormat="1" x14ac:dyDescent="0.25"/>
    <row r="2491" s="12" customFormat="1" x14ac:dyDescent="0.25"/>
    <row r="2492" s="12" customFormat="1" x14ac:dyDescent="0.25"/>
    <row r="2493" s="12" customFormat="1" x14ac:dyDescent="0.25"/>
    <row r="2494" s="12" customFormat="1" x14ac:dyDescent="0.25"/>
    <row r="2495" s="12" customFormat="1" x14ac:dyDescent="0.25"/>
    <row r="2496" s="12" customFormat="1" x14ac:dyDescent="0.25"/>
    <row r="2497" s="12" customFormat="1" x14ac:dyDescent="0.25"/>
    <row r="2498" s="12" customFormat="1" x14ac:dyDescent="0.25"/>
    <row r="2499" s="12" customFormat="1" x14ac:dyDescent="0.25"/>
    <row r="2500" s="12" customFormat="1" x14ac:dyDescent="0.25"/>
    <row r="2501" s="12" customFormat="1" x14ac:dyDescent="0.25"/>
    <row r="2502" s="12" customFormat="1" x14ac:dyDescent="0.25"/>
    <row r="2503" s="12" customFormat="1" x14ac:dyDescent="0.25"/>
    <row r="2504" s="12" customFormat="1" x14ac:dyDescent="0.25"/>
    <row r="2505" s="12" customFormat="1" x14ac:dyDescent="0.25"/>
    <row r="2506" s="12" customFormat="1" x14ac:dyDescent="0.25"/>
    <row r="2507" s="12" customFormat="1" x14ac:dyDescent="0.25"/>
    <row r="2508" s="12" customFormat="1" x14ac:dyDescent="0.25"/>
    <row r="2509" s="12" customFormat="1" x14ac:dyDescent="0.25"/>
    <row r="2510" s="12" customFormat="1" x14ac:dyDescent="0.25"/>
    <row r="2511" s="12" customFormat="1" x14ac:dyDescent="0.25"/>
    <row r="2512" s="12" customFormat="1" x14ac:dyDescent="0.25"/>
    <row r="2513" s="12" customFormat="1" x14ac:dyDescent="0.25"/>
    <row r="2514" s="12" customFormat="1" x14ac:dyDescent="0.25"/>
    <row r="2515" s="12" customFormat="1" x14ac:dyDescent="0.25"/>
    <row r="2516" s="12" customFormat="1" x14ac:dyDescent="0.25"/>
    <row r="2517" s="12" customFormat="1" x14ac:dyDescent="0.25"/>
    <row r="2518" s="12" customFormat="1" x14ac:dyDescent="0.25"/>
    <row r="2519" s="12" customFormat="1" x14ac:dyDescent="0.25"/>
    <row r="2520" s="12" customFormat="1" x14ac:dyDescent="0.25"/>
    <row r="2521" s="12" customFormat="1" x14ac:dyDescent="0.25"/>
    <row r="2522" s="12" customFormat="1" x14ac:dyDescent="0.25"/>
    <row r="2523" s="12" customFormat="1" x14ac:dyDescent="0.25"/>
    <row r="2524" s="12" customFormat="1" x14ac:dyDescent="0.25"/>
    <row r="2525" s="12" customFormat="1" x14ac:dyDescent="0.25"/>
    <row r="2526" s="12" customFormat="1" x14ac:dyDescent="0.25"/>
    <row r="2527" s="12" customFormat="1" x14ac:dyDescent="0.25"/>
    <row r="2528" s="12" customFormat="1" x14ac:dyDescent="0.25"/>
    <row r="2529" s="12" customFormat="1" x14ac:dyDescent="0.25"/>
    <row r="2530" s="12" customFormat="1" x14ac:dyDescent="0.25"/>
    <row r="2531" s="12" customFormat="1" x14ac:dyDescent="0.25"/>
    <row r="2532" s="12" customFormat="1" x14ac:dyDescent="0.25"/>
    <row r="2533" s="12" customFormat="1" x14ac:dyDescent="0.25"/>
    <row r="2534" s="12" customFormat="1" x14ac:dyDescent="0.25"/>
    <row r="2535" s="12" customFormat="1" x14ac:dyDescent="0.25"/>
    <row r="2536" s="12" customFormat="1" x14ac:dyDescent="0.25"/>
    <row r="2537" s="12" customFormat="1" x14ac:dyDescent="0.25"/>
    <row r="2538" s="12" customFormat="1" x14ac:dyDescent="0.25"/>
    <row r="2539" s="12" customFormat="1" x14ac:dyDescent="0.25"/>
    <row r="2540" s="12" customFormat="1" x14ac:dyDescent="0.25"/>
    <row r="2541" s="12" customFormat="1" x14ac:dyDescent="0.25"/>
    <row r="2542" s="12" customFormat="1" x14ac:dyDescent="0.25"/>
    <row r="2543" s="12" customFormat="1" x14ac:dyDescent="0.25"/>
    <row r="2544" s="12" customFormat="1" x14ac:dyDescent="0.25"/>
    <row r="2545" s="12" customFormat="1" x14ac:dyDescent="0.25"/>
    <row r="2546" s="12" customFormat="1" x14ac:dyDescent="0.25"/>
    <row r="2547" s="12" customFormat="1" x14ac:dyDescent="0.25"/>
    <row r="2548" s="12" customFormat="1" x14ac:dyDescent="0.25"/>
    <row r="2549" s="12" customFormat="1" x14ac:dyDescent="0.25"/>
    <row r="2550" s="12" customFormat="1" x14ac:dyDescent="0.25"/>
    <row r="2551" s="12" customFormat="1" x14ac:dyDescent="0.25"/>
    <row r="2552" s="12" customFormat="1" x14ac:dyDescent="0.25"/>
    <row r="2553" s="12" customFormat="1" x14ac:dyDescent="0.25"/>
    <row r="2554" s="12" customFormat="1" x14ac:dyDescent="0.25"/>
    <row r="2555" s="12" customFormat="1" x14ac:dyDescent="0.25"/>
    <row r="2556" s="12" customFormat="1" x14ac:dyDescent="0.25"/>
    <row r="2557" s="12" customFormat="1" x14ac:dyDescent="0.25"/>
    <row r="2558" s="12" customFormat="1" x14ac:dyDescent="0.25"/>
    <row r="2559" s="12" customFormat="1" x14ac:dyDescent="0.25"/>
    <row r="2560" s="12" customFormat="1" x14ac:dyDescent="0.25"/>
    <row r="2561" s="12" customFormat="1" x14ac:dyDescent="0.25"/>
    <row r="2562" s="12" customFormat="1" x14ac:dyDescent="0.25"/>
    <row r="2563" s="12" customFormat="1" x14ac:dyDescent="0.25"/>
    <row r="2564" s="12" customFormat="1" x14ac:dyDescent="0.25"/>
    <row r="2565" s="12" customFormat="1" x14ac:dyDescent="0.25"/>
    <row r="2566" s="12" customFormat="1" x14ac:dyDescent="0.25"/>
    <row r="2567" s="12" customFormat="1" x14ac:dyDescent="0.25"/>
    <row r="2568" s="12" customFormat="1" x14ac:dyDescent="0.25"/>
    <row r="2569" s="12" customFormat="1" x14ac:dyDescent="0.25"/>
    <row r="2570" s="12" customFormat="1" x14ac:dyDescent="0.25"/>
    <row r="2571" s="12" customFormat="1" x14ac:dyDescent="0.25"/>
    <row r="2572" s="12" customFormat="1" x14ac:dyDescent="0.25"/>
    <row r="2573" s="12" customFormat="1" x14ac:dyDescent="0.25"/>
    <row r="2574" s="12" customFormat="1" x14ac:dyDescent="0.25"/>
    <row r="2575" s="12" customFormat="1" x14ac:dyDescent="0.25"/>
    <row r="2576" s="12" customFormat="1" x14ac:dyDescent="0.25"/>
    <row r="2577" s="12" customFormat="1" x14ac:dyDescent="0.25"/>
    <row r="2578" s="12" customFormat="1" x14ac:dyDescent="0.25"/>
    <row r="2579" s="12" customFormat="1" x14ac:dyDescent="0.25"/>
    <row r="2580" s="12" customFormat="1" x14ac:dyDescent="0.25"/>
    <row r="2581" s="12" customFormat="1" x14ac:dyDescent="0.25"/>
    <row r="2582" s="12" customFormat="1" x14ac:dyDescent="0.25"/>
    <row r="2583" s="12" customFormat="1" x14ac:dyDescent="0.25"/>
    <row r="2584" s="12" customFormat="1" x14ac:dyDescent="0.25"/>
    <row r="2585" s="12" customFormat="1" x14ac:dyDescent="0.25"/>
    <row r="2586" s="12" customFormat="1" x14ac:dyDescent="0.25"/>
    <row r="2587" s="12" customFormat="1" x14ac:dyDescent="0.25"/>
    <row r="2588" s="12" customFormat="1" x14ac:dyDescent="0.25"/>
    <row r="2589" s="12" customFormat="1" x14ac:dyDescent="0.25"/>
    <row r="2590" s="12" customFormat="1" x14ac:dyDescent="0.25"/>
    <row r="2591" s="12" customFormat="1" x14ac:dyDescent="0.25"/>
    <row r="2592" s="12" customFormat="1" x14ac:dyDescent="0.25"/>
    <row r="2593" s="12" customFormat="1" x14ac:dyDescent="0.25"/>
    <row r="2594" s="12" customFormat="1" x14ac:dyDescent="0.25"/>
    <row r="2595" s="12" customFormat="1" x14ac:dyDescent="0.25"/>
    <row r="2596" s="12" customFormat="1" x14ac:dyDescent="0.25"/>
    <row r="2597" s="12" customFormat="1" x14ac:dyDescent="0.25"/>
    <row r="2598" s="12" customFormat="1" x14ac:dyDescent="0.25"/>
    <row r="2599" s="12" customFormat="1" x14ac:dyDescent="0.25"/>
    <row r="2600" s="12" customFormat="1" x14ac:dyDescent="0.25"/>
    <row r="2601" s="12" customFormat="1" x14ac:dyDescent="0.25"/>
    <row r="2602" s="12" customFormat="1" x14ac:dyDescent="0.25"/>
    <row r="2603" s="12" customFormat="1" x14ac:dyDescent="0.25"/>
    <row r="2604" s="12" customFormat="1" x14ac:dyDescent="0.25"/>
    <row r="2605" s="12" customFormat="1" x14ac:dyDescent="0.25"/>
    <row r="2606" s="12" customFormat="1" x14ac:dyDescent="0.25"/>
    <row r="2607" s="12" customFormat="1" x14ac:dyDescent="0.25"/>
    <row r="2608" s="12" customFormat="1" x14ac:dyDescent="0.25"/>
    <row r="2609" s="12" customFormat="1" x14ac:dyDescent="0.25"/>
    <row r="2610" s="12" customFormat="1" x14ac:dyDescent="0.25"/>
    <row r="2611" s="12" customFormat="1" x14ac:dyDescent="0.25"/>
    <row r="2612" s="12" customFormat="1" x14ac:dyDescent="0.25"/>
    <row r="2613" s="12" customFormat="1" x14ac:dyDescent="0.25"/>
    <row r="2614" s="12" customFormat="1" x14ac:dyDescent="0.25"/>
    <row r="2615" s="12" customFormat="1" x14ac:dyDescent="0.25"/>
    <row r="2616" s="12" customFormat="1" x14ac:dyDescent="0.25"/>
    <row r="2617" s="12" customFormat="1" x14ac:dyDescent="0.25"/>
    <row r="2618" s="12" customFormat="1" x14ac:dyDescent="0.25"/>
    <row r="2619" s="12" customFormat="1" x14ac:dyDescent="0.25"/>
    <row r="2620" s="12" customFormat="1" x14ac:dyDescent="0.25"/>
    <row r="2621" s="12" customFormat="1" x14ac:dyDescent="0.25"/>
    <row r="2622" s="12" customFormat="1" x14ac:dyDescent="0.25"/>
    <row r="2623" s="12" customFormat="1" x14ac:dyDescent="0.25"/>
    <row r="2624" s="12" customFormat="1" x14ac:dyDescent="0.25"/>
    <row r="2625" s="12" customFormat="1" x14ac:dyDescent="0.25"/>
    <row r="2626" s="12" customFormat="1" x14ac:dyDescent="0.25"/>
    <row r="2627" s="12" customFormat="1" x14ac:dyDescent="0.25"/>
    <row r="2628" s="12" customFormat="1" x14ac:dyDescent="0.25"/>
    <row r="2629" s="12" customFormat="1" x14ac:dyDescent="0.25"/>
    <row r="2630" s="12" customFormat="1" x14ac:dyDescent="0.25"/>
    <row r="2631" s="12" customFormat="1" x14ac:dyDescent="0.25"/>
    <row r="2632" s="12" customFormat="1" x14ac:dyDescent="0.25"/>
    <row r="2633" s="12" customFormat="1" x14ac:dyDescent="0.25"/>
    <row r="2634" s="12" customFormat="1" x14ac:dyDescent="0.25"/>
    <row r="2635" s="12" customFormat="1" x14ac:dyDescent="0.25"/>
    <row r="2636" s="12" customFormat="1" x14ac:dyDescent="0.25"/>
    <row r="2637" s="12" customFormat="1" x14ac:dyDescent="0.25"/>
    <row r="2638" s="12" customFormat="1" x14ac:dyDescent="0.25"/>
    <row r="2639" s="12" customFormat="1" x14ac:dyDescent="0.25"/>
    <row r="2640" s="12" customFormat="1" x14ac:dyDescent="0.25"/>
    <row r="2641" s="12" customFormat="1" x14ac:dyDescent="0.25"/>
    <row r="2642" s="12" customFormat="1" x14ac:dyDescent="0.25"/>
    <row r="2643" s="12" customFormat="1" x14ac:dyDescent="0.25"/>
    <row r="2644" s="12" customFormat="1" x14ac:dyDescent="0.25"/>
    <row r="2645" s="12" customFormat="1" x14ac:dyDescent="0.25"/>
    <row r="2646" s="12" customFormat="1" x14ac:dyDescent="0.25"/>
    <row r="2647" s="12" customFormat="1" x14ac:dyDescent="0.25"/>
    <row r="2648" s="12" customFormat="1" x14ac:dyDescent="0.25"/>
    <row r="2649" s="12" customFormat="1" x14ac:dyDescent="0.25"/>
    <row r="2650" s="12" customFormat="1" x14ac:dyDescent="0.25"/>
    <row r="2651" s="12" customFormat="1" x14ac:dyDescent="0.25"/>
    <row r="2652" s="12" customFormat="1" x14ac:dyDescent="0.25"/>
    <row r="2653" s="12" customFormat="1" x14ac:dyDescent="0.25"/>
    <row r="2654" s="12" customFormat="1" x14ac:dyDescent="0.25"/>
    <row r="2655" s="12" customFormat="1" x14ac:dyDescent="0.25"/>
    <row r="2656" s="12" customFormat="1" x14ac:dyDescent="0.25"/>
    <row r="2657" s="12" customFormat="1" x14ac:dyDescent="0.25"/>
    <row r="2658" s="12" customFormat="1" x14ac:dyDescent="0.25"/>
    <row r="2659" s="12" customFormat="1" x14ac:dyDescent="0.25"/>
    <row r="2660" s="12" customFormat="1" x14ac:dyDescent="0.25"/>
    <row r="2661" s="12" customFormat="1" x14ac:dyDescent="0.25"/>
    <row r="2662" s="12" customFormat="1" x14ac:dyDescent="0.25"/>
    <row r="2663" s="12" customFormat="1" x14ac:dyDescent="0.25"/>
    <row r="2664" s="12" customFormat="1" x14ac:dyDescent="0.25"/>
    <row r="2665" s="12" customFormat="1" x14ac:dyDescent="0.25"/>
    <row r="2666" s="12" customFormat="1" x14ac:dyDescent="0.25"/>
    <row r="2667" s="12" customFormat="1" x14ac:dyDescent="0.25"/>
    <row r="2668" s="12" customFormat="1" x14ac:dyDescent="0.25"/>
    <row r="2669" s="12" customFormat="1" x14ac:dyDescent="0.25"/>
    <row r="2670" s="12" customFormat="1" x14ac:dyDescent="0.25"/>
    <row r="2671" s="12" customFormat="1" x14ac:dyDescent="0.25"/>
    <row r="2672" s="12" customFormat="1" x14ac:dyDescent="0.25"/>
    <row r="2673" s="12" customFormat="1" x14ac:dyDescent="0.25"/>
    <row r="2674" s="12" customFormat="1" x14ac:dyDescent="0.25"/>
    <row r="2675" s="12" customFormat="1" x14ac:dyDescent="0.25"/>
    <row r="2676" s="12" customFormat="1" x14ac:dyDescent="0.25"/>
    <row r="2677" s="12" customFormat="1" x14ac:dyDescent="0.25"/>
    <row r="2678" s="12" customFormat="1" x14ac:dyDescent="0.25"/>
    <row r="2679" s="12" customFormat="1" x14ac:dyDescent="0.25"/>
    <row r="2680" s="12" customFormat="1" x14ac:dyDescent="0.25"/>
    <row r="2681" s="12" customFormat="1" x14ac:dyDescent="0.25"/>
    <row r="2682" s="12" customFormat="1" x14ac:dyDescent="0.25"/>
    <row r="2683" s="12" customFormat="1" x14ac:dyDescent="0.25"/>
    <row r="2684" s="12" customFormat="1" x14ac:dyDescent="0.25"/>
    <row r="2685" s="12" customFormat="1" x14ac:dyDescent="0.25"/>
    <row r="2686" s="12" customFormat="1" x14ac:dyDescent="0.25"/>
    <row r="2687" s="12" customFormat="1" x14ac:dyDescent="0.25"/>
    <row r="2688" s="12" customFormat="1" x14ac:dyDescent="0.25"/>
    <row r="2689" s="12" customFormat="1" x14ac:dyDescent="0.25"/>
    <row r="2690" s="12" customFormat="1" x14ac:dyDescent="0.25"/>
    <row r="2691" s="12" customFormat="1" x14ac:dyDescent="0.25"/>
    <row r="2692" s="12" customFormat="1" x14ac:dyDescent="0.25"/>
    <row r="2693" s="12" customFormat="1" x14ac:dyDescent="0.25"/>
    <row r="2694" s="12" customFormat="1" x14ac:dyDescent="0.25"/>
    <row r="2695" s="12" customFormat="1" x14ac:dyDescent="0.25"/>
    <row r="2696" s="12" customFormat="1" x14ac:dyDescent="0.25"/>
    <row r="2697" s="12" customFormat="1" x14ac:dyDescent="0.25"/>
    <row r="2698" s="12" customFormat="1" x14ac:dyDescent="0.25"/>
    <row r="2699" s="12" customFormat="1" x14ac:dyDescent="0.25"/>
    <row r="2700" s="12" customFormat="1" x14ac:dyDescent="0.25"/>
    <row r="2701" s="12" customFormat="1" x14ac:dyDescent="0.25"/>
    <row r="2702" s="12" customFormat="1" x14ac:dyDescent="0.25"/>
    <row r="2703" s="12" customFormat="1" x14ac:dyDescent="0.25"/>
    <row r="2704" s="12" customFormat="1" x14ac:dyDescent="0.25"/>
    <row r="2705" s="12" customFormat="1" x14ac:dyDescent="0.25"/>
    <row r="2706" s="12" customFormat="1" x14ac:dyDescent="0.25"/>
    <row r="2707" s="12" customFormat="1" x14ac:dyDescent="0.25"/>
    <row r="2708" s="12" customFormat="1" x14ac:dyDescent="0.25"/>
    <row r="2709" s="12" customFormat="1" x14ac:dyDescent="0.25"/>
    <row r="2710" s="12" customFormat="1" x14ac:dyDescent="0.25"/>
    <row r="2711" s="12" customFormat="1" x14ac:dyDescent="0.25"/>
    <row r="2712" s="12" customFormat="1" x14ac:dyDescent="0.25"/>
    <row r="2713" s="12" customFormat="1" x14ac:dyDescent="0.25"/>
    <row r="2714" s="12" customFormat="1" x14ac:dyDescent="0.25"/>
    <row r="2715" s="12" customFormat="1" x14ac:dyDescent="0.25"/>
    <row r="2716" s="12" customFormat="1" x14ac:dyDescent="0.25"/>
    <row r="2717" s="12" customFormat="1" x14ac:dyDescent="0.25"/>
    <row r="2718" s="12" customFormat="1" x14ac:dyDescent="0.25"/>
    <row r="2719" s="12" customFormat="1" x14ac:dyDescent="0.25"/>
    <row r="2720" s="12" customFormat="1" x14ac:dyDescent="0.25"/>
    <row r="2721" s="12" customFormat="1" x14ac:dyDescent="0.25"/>
    <row r="2722" s="12" customFormat="1" x14ac:dyDescent="0.25"/>
    <row r="2723" s="12" customFormat="1" x14ac:dyDescent="0.25"/>
    <row r="2724" s="12" customFormat="1" x14ac:dyDescent="0.25"/>
    <row r="2725" s="12" customFormat="1" x14ac:dyDescent="0.25"/>
    <row r="2726" s="12" customFormat="1" x14ac:dyDescent="0.25"/>
    <row r="2727" s="12" customFormat="1" x14ac:dyDescent="0.25"/>
    <row r="2728" s="12" customFormat="1" x14ac:dyDescent="0.25"/>
    <row r="2729" s="12" customFormat="1" x14ac:dyDescent="0.25"/>
    <row r="2730" s="12" customFormat="1" x14ac:dyDescent="0.25"/>
    <row r="2731" s="12" customFormat="1" x14ac:dyDescent="0.25"/>
    <row r="2732" s="12" customFormat="1" x14ac:dyDescent="0.25"/>
    <row r="2733" s="12" customFormat="1" x14ac:dyDescent="0.25"/>
    <row r="2734" s="12" customFormat="1" x14ac:dyDescent="0.25"/>
    <row r="2735" s="12" customFormat="1" x14ac:dyDescent="0.25"/>
    <row r="2736" s="12" customFormat="1" x14ac:dyDescent="0.25"/>
    <row r="2737" s="12" customFormat="1" x14ac:dyDescent="0.25"/>
    <row r="2738" s="12" customFormat="1" x14ac:dyDescent="0.25"/>
    <row r="2739" s="12" customFormat="1" x14ac:dyDescent="0.25"/>
    <row r="2740" s="12" customFormat="1" x14ac:dyDescent="0.25"/>
    <row r="2741" s="12" customFormat="1" x14ac:dyDescent="0.25"/>
    <row r="2742" s="12" customFormat="1" x14ac:dyDescent="0.25"/>
    <row r="2743" s="12" customFormat="1" x14ac:dyDescent="0.25"/>
    <row r="2744" s="12" customFormat="1" x14ac:dyDescent="0.25"/>
    <row r="2745" s="12" customFormat="1" x14ac:dyDescent="0.25"/>
    <row r="2746" s="12" customFormat="1" x14ac:dyDescent="0.25"/>
    <row r="2747" s="12" customFormat="1" x14ac:dyDescent="0.25"/>
    <row r="2748" s="12" customFormat="1" x14ac:dyDescent="0.25"/>
    <row r="2749" s="12" customFormat="1" x14ac:dyDescent="0.25"/>
    <row r="2750" s="12" customFormat="1" x14ac:dyDescent="0.25"/>
    <row r="2751" s="12" customFormat="1" x14ac:dyDescent="0.25"/>
    <row r="2752" s="12" customFormat="1" x14ac:dyDescent="0.25"/>
    <row r="2753" s="12" customFormat="1" x14ac:dyDescent="0.25"/>
    <row r="2754" s="12" customFormat="1" x14ac:dyDescent="0.25"/>
    <row r="2755" s="12" customFormat="1" x14ac:dyDescent="0.25"/>
    <row r="2756" s="12" customFormat="1" x14ac:dyDescent="0.25"/>
    <row r="2757" s="12" customFormat="1" x14ac:dyDescent="0.25"/>
    <row r="2758" s="12" customFormat="1" x14ac:dyDescent="0.25"/>
    <row r="2759" s="12" customFormat="1" x14ac:dyDescent="0.25"/>
    <row r="2760" s="12" customFormat="1" x14ac:dyDescent="0.25"/>
    <row r="2761" s="12" customFormat="1" x14ac:dyDescent="0.25"/>
    <row r="2762" s="12" customFormat="1" x14ac:dyDescent="0.25"/>
    <row r="2763" s="12" customFormat="1" x14ac:dyDescent="0.25"/>
    <row r="2764" s="12" customFormat="1" x14ac:dyDescent="0.25"/>
    <row r="2765" s="12" customFormat="1" x14ac:dyDescent="0.25"/>
    <row r="2766" s="12" customFormat="1" x14ac:dyDescent="0.25"/>
    <row r="2767" s="12" customFormat="1" x14ac:dyDescent="0.25"/>
    <row r="2768" s="12" customFormat="1" x14ac:dyDescent="0.25"/>
    <row r="2769" s="12" customFormat="1" x14ac:dyDescent="0.25"/>
    <row r="2770" s="12" customFormat="1" x14ac:dyDescent="0.25"/>
    <row r="2771" s="12" customFormat="1" x14ac:dyDescent="0.25"/>
    <row r="2772" s="12" customFormat="1" x14ac:dyDescent="0.25"/>
    <row r="2773" s="12" customFormat="1" x14ac:dyDescent="0.25"/>
    <row r="2774" s="12" customFormat="1" x14ac:dyDescent="0.25"/>
    <row r="2775" s="12" customFormat="1" x14ac:dyDescent="0.25"/>
    <row r="2776" s="12" customFormat="1" x14ac:dyDescent="0.25"/>
    <row r="2777" s="12" customFormat="1" x14ac:dyDescent="0.25"/>
    <row r="2778" s="12" customFormat="1" x14ac:dyDescent="0.25"/>
    <row r="2779" s="12" customFormat="1" x14ac:dyDescent="0.25"/>
    <row r="2780" s="12" customFormat="1" x14ac:dyDescent="0.25"/>
    <row r="2781" s="12" customFormat="1" x14ac:dyDescent="0.25"/>
    <row r="2782" s="12" customFormat="1" x14ac:dyDescent="0.25"/>
    <row r="2783" s="12" customFormat="1" x14ac:dyDescent="0.25"/>
    <row r="2784" s="12" customFormat="1" x14ac:dyDescent="0.25"/>
    <row r="2785" s="12" customFormat="1" x14ac:dyDescent="0.25"/>
    <row r="2786" s="12" customFormat="1" x14ac:dyDescent="0.25"/>
    <row r="2787" s="12" customFormat="1" x14ac:dyDescent="0.25"/>
    <row r="2788" s="12" customFormat="1" x14ac:dyDescent="0.25"/>
    <row r="2789" s="12" customFormat="1" x14ac:dyDescent="0.25"/>
    <row r="2790" s="12" customFormat="1" x14ac:dyDescent="0.25"/>
    <row r="2791" s="12" customFormat="1" x14ac:dyDescent="0.25"/>
    <row r="2792" s="12" customFormat="1" x14ac:dyDescent="0.25"/>
    <row r="2793" s="12" customFormat="1" x14ac:dyDescent="0.25"/>
    <row r="2794" s="12" customFormat="1" x14ac:dyDescent="0.25"/>
    <row r="2795" s="12" customFormat="1" x14ac:dyDescent="0.25"/>
    <row r="2796" s="12" customFormat="1" x14ac:dyDescent="0.25"/>
    <row r="2797" s="12" customFormat="1" x14ac:dyDescent="0.25"/>
    <row r="2798" s="12" customFormat="1" x14ac:dyDescent="0.25"/>
    <row r="2799" s="12" customFormat="1" x14ac:dyDescent="0.25"/>
    <row r="2800" s="12" customFormat="1" x14ac:dyDescent="0.25"/>
    <row r="2801" s="12" customFormat="1" x14ac:dyDescent="0.25"/>
    <row r="2802" s="12" customFormat="1" x14ac:dyDescent="0.25"/>
    <row r="2803" s="12" customFormat="1" x14ac:dyDescent="0.25"/>
    <row r="2804" s="12" customFormat="1" x14ac:dyDescent="0.25"/>
    <row r="2805" s="12" customFormat="1" x14ac:dyDescent="0.25"/>
    <row r="2806" s="12" customFormat="1" x14ac:dyDescent="0.25"/>
    <row r="2807" s="12" customFormat="1" x14ac:dyDescent="0.25"/>
    <row r="2808" s="12" customFormat="1" x14ac:dyDescent="0.25"/>
    <row r="2809" s="12" customFormat="1" x14ac:dyDescent="0.25"/>
    <row r="2810" s="12" customFormat="1" x14ac:dyDescent="0.25"/>
    <row r="2811" s="12" customFormat="1" x14ac:dyDescent="0.25"/>
    <row r="2812" s="12" customFormat="1" x14ac:dyDescent="0.25"/>
    <row r="2813" s="12" customFormat="1" x14ac:dyDescent="0.25"/>
    <row r="2814" s="12" customFormat="1" x14ac:dyDescent="0.25"/>
    <row r="2815" s="12" customFormat="1" x14ac:dyDescent="0.25"/>
    <row r="2816" s="12" customFormat="1" x14ac:dyDescent="0.25"/>
    <row r="2817" s="12" customFormat="1" x14ac:dyDescent="0.25"/>
    <row r="2818" s="12" customFormat="1" x14ac:dyDescent="0.25"/>
    <row r="2819" s="12" customFormat="1" x14ac:dyDescent="0.25"/>
    <row r="2820" s="12" customFormat="1" x14ac:dyDescent="0.25"/>
    <row r="2821" s="12" customFormat="1" x14ac:dyDescent="0.25"/>
    <row r="2822" s="12" customFormat="1" x14ac:dyDescent="0.25"/>
    <row r="2823" s="12" customFormat="1" x14ac:dyDescent="0.25"/>
    <row r="2824" s="12" customFormat="1" x14ac:dyDescent="0.25"/>
    <row r="2825" s="12" customFormat="1" x14ac:dyDescent="0.25"/>
    <row r="2826" s="12" customFormat="1" x14ac:dyDescent="0.25"/>
    <row r="2827" s="12" customFormat="1" x14ac:dyDescent="0.25"/>
    <row r="2828" s="12" customFormat="1" x14ac:dyDescent="0.25"/>
    <row r="2829" s="12" customFormat="1" x14ac:dyDescent="0.25"/>
    <row r="2830" s="12" customFormat="1" x14ac:dyDescent="0.25"/>
    <row r="2831" s="12" customFormat="1" x14ac:dyDescent="0.25"/>
    <row r="2832" s="12" customFormat="1" x14ac:dyDescent="0.25"/>
    <row r="2833" s="12" customFormat="1" x14ac:dyDescent="0.25"/>
    <row r="2834" s="12" customFormat="1" x14ac:dyDescent="0.25"/>
    <row r="2835" s="12" customFormat="1" x14ac:dyDescent="0.25"/>
    <row r="2836" s="12" customFormat="1" x14ac:dyDescent="0.25"/>
    <row r="2837" s="12" customFormat="1" x14ac:dyDescent="0.25"/>
    <row r="2838" s="12" customFormat="1" x14ac:dyDescent="0.25"/>
    <row r="2839" s="12" customFormat="1" x14ac:dyDescent="0.25"/>
    <row r="2840" s="12" customFormat="1" x14ac:dyDescent="0.25"/>
    <row r="2841" s="12" customFormat="1" x14ac:dyDescent="0.25"/>
    <row r="2842" s="12" customFormat="1" x14ac:dyDescent="0.25"/>
    <row r="2843" s="12" customFormat="1" x14ac:dyDescent="0.25"/>
    <row r="2844" s="12" customFormat="1" x14ac:dyDescent="0.25"/>
    <row r="2845" s="12" customFormat="1" x14ac:dyDescent="0.25"/>
    <row r="2846" s="12" customFormat="1" x14ac:dyDescent="0.25"/>
    <row r="2847" s="12" customFormat="1" x14ac:dyDescent="0.25"/>
    <row r="2848" s="12" customFormat="1" x14ac:dyDescent="0.25"/>
    <row r="2849" s="12" customFormat="1" x14ac:dyDescent="0.25"/>
    <row r="2850" s="12" customFormat="1" x14ac:dyDescent="0.25"/>
    <row r="2851" s="12" customFormat="1" x14ac:dyDescent="0.25"/>
    <row r="2852" s="12" customFormat="1" x14ac:dyDescent="0.25"/>
    <row r="2853" s="12" customFormat="1" x14ac:dyDescent="0.25"/>
    <row r="2854" s="12" customFormat="1" x14ac:dyDescent="0.25"/>
    <row r="2855" s="12" customFormat="1" x14ac:dyDescent="0.25"/>
    <row r="2856" s="12" customFormat="1" x14ac:dyDescent="0.25"/>
    <row r="2857" s="12" customFormat="1" x14ac:dyDescent="0.25"/>
    <row r="2858" s="12" customFormat="1" x14ac:dyDescent="0.25"/>
    <row r="2859" s="12" customFormat="1" x14ac:dyDescent="0.25"/>
    <row r="2860" s="12" customFormat="1" x14ac:dyDescent="0.25"/>
    <row r="2861" s="12" customFormat="1" x14ac:dyDescent="0.25"/>
    <row r="2862" s="12" customFormat="1" x14ac:dyDescent="0.25"/>
    <row r="2863" s="12" customFormat="1" x14ac:dyDescent="0.25"/>
    <row r="2864" s="12" customFormat="1" x14ac:dyDescent="0.25"/>
    <row r="2865" s="12" customFormat="1" x14ac:dyDescent="0.25"/>
    <row r="2866" s="12" customFormat="1" x14ac:dyDescent="0.25"/>
    <row r="2867" s="12" customFormat="1" x14ac:dyDescent="0.25"/>
    <row r="2868" s="12" customFormat="1" x14ac:dyDescent="0.25"/>
    <row r="2869" s="12" customFormat="1" x14ac:dyDescent="0.25"/>
    <row r="2870" s="12" customFormat="1" x14ac:dyDescent="0.25"/>
    <row r="2871" s="12" customFormat="1" x14ac:dyDescent="0.25"/>
    <row r="2872" s="12" customFormat="1" x14ac:dyDescent="0.25"/>
    <row r="2873" s="12" customFormat="1" x14ac:dyDescent="0.25"/>
    <row r="2874" s="12" customFormat="1" x14ac:dyDescent="0.25"/>
    <row r="2875" s="12" customFormat="1" x14ac:dyDescent="0.25"/>
    <row r="2876" s="12" customFormat="1" x14ac:dyDescent="0.25"/>
    <row r="2877" s="12" customFormat="1" x14ac:dyDescent="0.25"/>
    <row r="2878" s="12" customFormat="1" x14ac:dyDescent="0.25"/>
    <row r="2879" s="12" customFormat="1" x14ac:dyDescent="0.25"/>
    <row r="2880" s="12" customFormat="1" x14ac:dyDescent="0.25"/>
    <row r="2881" s="12" customFormat="1" x14ac:dyDescent="0.25"/>
    <row r="2882" s="12" customFormat="1" x14ac:dyDescent="0.25"/>
    <row r="2883" s="12" customFormat="1" x14ac:dyDescent="0.25"/>
    <row r="2884" s="12" customFormat="1" x14ac:dyDescent="0.25"/>
    <row r="2885" s="12" customFormat="1" x14ac:dyDescent="0.25"/>
    <row r="2886" s="12" customFormat="1" x14ac:dyDescent="0.25"/>
    <row r="2887" s="12" customFormat="1" x14ac:dyDescent="0.25"/>
    <row r="2888" s="12" customFormat="1" x14ac:dyDescent="0.25"/>
    <row r="2889" s="12" customFormat="1" x14ac:dyDescent="0.25"/>
    <row r="2890" s="12" customFormat="1" x14ac:dyDescent="0.25"/>
    <row r="2891" s="12" customFormat="1" x14ac:dyDescent="0.25"/>
    <row r="2892" s="12" customFormat="1" x14ac:dyDescent="0.25"/>
    <row r="2893" s="12" customFormat="1" x14ac:dyDescent="0.25"/>
    <row r="2894" s="12" customFormat="1" x14ac:dyDescent="0.25"/>
    <row r="2895" s="12" customFormat="1" x14ac:dyDescent="0.25"/>
    <row r="2896" s="12" customFormat="1" x14ac:dyDescent="0.25"/>
    <row r="2897" s="12" customFormat="1" x14ac:dyDescent="0.25"/>
    <row r="2898" s="12" customFormat="1" x14ac:dyDescent="0.25"/>
    <row r="2899" s="12" customFormat="1" x14ac:dyDescent="0.25"/>
    <row r="2900" s="12" customFormat="1" x14ac:dyDescent="0.25"/>
    <row r="2901" s="12" customFormat="1" x14ac:dyDescent="0.25"/>
    <row r="2902" s="12" customFormat="1" x14ac:dyDescent="0.25"/>
    <row r="2903" s="12" customFormat="1" x14ac:dyDescent="0.25"/>
    <row r="2904" s="12" customFormat="1" x14ac:dyDescent="0.25"/>
    <row r="2905" s="12" customFormat="1" x14ac:dyDescent="0.25"/>
    <row r="2906" s="12" customFormat="1" x14ac:dyDescent="0.25"/>
    <row r="2907" s="12" customFormat="1" x14ac:dyDescent="0.25"/>
    <row r="2908" s="12" customFormat="1" x14ac:dyDescent="0.25"/>
    <row r="2909" s="12" customFormat="1" x14ac:dyDescent="0.25"/>
    <row r="2910" s="12" customFormat="1" x14ac:dyDescent="0.25"/>
    <row r="2911" s="12" customFormat="1" x14ac:dyDescent="0.25"/>
    <row r="2912" s="12" customFormat="1" x14ac:dyDescent="0.25"/>
    <row r="2913" s="12" customFormat="1" x14ac:dyDescent="0.25"/>
    <row r="2914" s="12" customFormat="1" x14ac:dyDescent="0.25"/>
    <row r="2915" s="12" customFormat="1" x14ac:dyDescent="0.25"/>
    <row r="2916" s="12" customFormat="1" x14ac:dyDescent="0.25"/>
    <row r="2917" s="12" customFormat="1" x14ac:dyDescent="0.25"/>
    <row r="2918" s="12" customFormat="1" x14ac:dyDescent="0.25"/>
    <row r="2919" s="12" customFormat="1" x14ac:dyDescent="0.25"/>
    <row r="2920" s="12" customFormat="1" x14ac:dyDescent="0.25"/>
    <row r="2921" s="12" customFormat="1" x14ac:dyDescent="0.25"/>
    <row r="2922" s="12" customFormat="1" x14ac:dyDescent="0.25"/>
    <row r="2923" s="12" customFormat="1" x14ac:dyDescent="0.25"/>
    <row r="2924" s="12" customFormat="1" x14ac:dyDescent="0.25"/>
    <row r="2925" s="12" customFormat="1" x14ac:dyDescent="0.25"/>
    <row r="2926" s="12" customFormat="1" x14ac:dyDescent="0.25"/>
    <row r="2927" s="12" customFormat="1" x14ac:dyDescent="0.25"/>
    <row r="2928" s="12" customFormat="1" x14ac:dyDescent="0.25"/>
    <row r="2929" s="12" customFormat="1" x14ac:dyDescent="0.25"/>
    <row r="2930" s="12" customFormat="1" x14ac:dyDescent="0.25"/>
    <row r="2931" s="12" customFormat="1" x14ac:dyDescent="0.25"/>
    <row r="2932" s="12" customFormat="1" x14ac:dyDescent="0.25"/>
    <row r="2933" s="12" customFormat="1" x14ac:dyDescent="0.25"/>
    <row r="2934" s="12" customFormat="1" x14ac:dyDescent="0.25"/>
    <row r="2935" s="12" customFormat="1" x14ac:dyDescent="0.25"/>
    <row r="2936" s="12" customFormat="1" x14ac:dyDescent="0.25"/>
    <row r="2937" s="12" customFormat="1" x14ac:dyDescent="0.25"/>
    <row r="2938" s="12" customFormat="1" x14ac:dyDescent="0.25"/>
    <row r="2939" s="12" customFormat="1" x14ac:dyDescent="0.25"/>
    <row r="2940" s="12" customFormat="1" x14ac:dyDescent="0.25"/>
    <row r="2941" s="12" customFormat="1" x14ac:dyDescent="0.25"/>
    <row r="2942" s="12" customFormat="1" x14ac:dyDescent="0.25"/>
    <row r="2943" s="12" customFormat="1" x14ac:dyDescent="0.25"/>
    <row r="2944" s="12" customFormat="1" x14ac:dyDescent="0.25"/>
    <row r="2945" s="12" customFormat="1" x14ac:dyDescent="0.25"/>
    <row r="2946" s="12" customFormat="1" x14ac:dyDescent="0.25"/>
    <row r="2947" s="12" customFormat="1" x14ac:dyDescent="0.25"/>
    <row r="2948" s="12" customFormat="1" x14ac:dyDescent="0.25"/>
    <row r="2949" s="12" customFormat="1" x14ac:dyDescent="0.25"/>
    <row r="2950" s="12" customFormat="1" x14ac:dyDescent="0.25"/>
    <row r="2951" s="12" customFormat="1" x14ac:dyDescent="0.25"/>
    <row r="2952" s="12" customFormat="1" x14ac:dyDescent="0.25"/>
    <row r="2953" s="12" customFormat="1" x14ac:dyDescent="0.25"/>
    <row r="2954" s="12" customFormat="1" x14ac:dyDescent="0.25"/>
    <row r="2955" s="12" customFormat="1" x14ac:dyDescent="0.25"/>
    <row r="2956" s="12" customFormat="1" x14ac:dyDescent="0.25"/>
    <row r="2957" s="12" customFormat="1" x14ac:dyDescent="0.25"/>
    <row r="2958" s="12" customFormat="1" x14ac:dyDescent="0.25"/>
    <row r="2959" s="12" customFormat="1" x14ac:dyDescent="0.25"/>
    <row r="2960" s="12" customFormat="1" x14ac:dyDescent="0.25"/>
    <row r="2961" s="12" customFormat="1" x14ac:dyDescent="0.25"/>
    <row r="2962" s="12" customFormat="1" x14ac:dyDescent="0.25"/>
    <row r="2963" s="12" customFormat="1" x14ac:dyDescent="0.25"/>
    <row r="2964" s="12" customFormat="1" x14ac:dyDescent="0.25"/>
    <row r="2965" s="12" customFormat="1" x14ac:dyDescent="0.25"/>
    <row r="2966" s="12" customFormat="1" x14ac:dyDescent="0.25"/>
    <row r="2967" s="12" customFormat="1" x14ac:dyDescent="0.25"/>
    <row r="2968" s="12" customFormat="1" x14ac:dyDescent="0.25"/>
    <row r="2969" s="12" customFormat="1" x14ac:dyDescent="0.25"/>
    <row r="2970" s="12" customFormat="1" x14ac:dyDescent="0.25"/>
    <row r="2971" s="12" customFormat="1" x14ac:dyDescent="0.25"/>
    <row r="2972" s="12" customFormat="1" x14ac:dyDescent="0.25"/>
    <row r="2973" s="12" customFormat="1" x14ac:dyDescent="0.25"/>
    <row r="2974" s="12" customFormat="1" x14ac:dyDescent="0.25"/>
    <row r="2975" s="12" customFormat="1" x14ac:dyDescent="0.25"/>
    <row r="2976" s="12" customFormat="1" x14ac:dyDescent="0.25"/>
    <row r="2977" s="12" customFormat="1" x14ac:dyDescent="0.25"/>
    <row r="2978" s="12" customFormat="1" x14ac:dyDescent="0.25"/>
    <row r="2979" s="12" customFormat="1" x14ac:dyDescent="0.25"/>
    <row r="2980" s="12" customFormat="1" x14ac:dyDescent="0.25"/>
    <row r="2981" s="12" customFormat="1" x14ac:dyDescent="0.25"/>
    <row r="2982" s="12" customFormat="1" x14ac:dyDescent="0.25"/>
    <row r="2983" s="12" customFormat="1" x14ac:dyDescent="0.25"/>
    <row r="2984" s="12" customFormat="1" x14ac:dyDescent="0.25"/>
    <row r="2985" s="12" customFormat="1" x14ac:dyDescent="0.25"/>
    <row r="2986" s="12" customFormat="1" x14ac:dyDescent="0.25"/>
    <row r="2987" s="12" customFormat="1" x14ac:dyDescent="0.25"/>
    <row r="2988" s="12" customFormat="1" x14ac:dyDescent="0.25"/>
    <row r="2989" s="12" customFormat="1" x14ac:dyDescent="0.25"/>
    <row r="2990" s="12" customFormat="1" x14ac:dyDescent="0.25"/>
    <row r="2991" s="12" customFormat="1" x14ac:dyDescent="0.25"/>
    <row r="2992" s="12" customFormat="1" x14ac:dyDescent="0.25"/>
    <row r="2993" s="12" customFormat="1" x14ac:dyDescent="0.25"/>
    <row r="2994" s="12" customFormat="1" x14ac:dyDescent="0.25"/>
    <row r="2995" s="12" customFormat="1" x14ac:dyDescent="0.25"/>
    <row r="2996" s="12" customFormat="1" x14ac:dyDescent="0.25"/>
    <row r="2997" s="12" customFormat="1" x14ac:dyDescent="0.25"/>
    <row r="2998" s="12" customFormat="1" x14ac:dyDescent="0.25"/>
    <row r="2999" s="12" customFormat="1" x14ac:dyDescent="0.25"/>
    <row r="3000" s="12" customFormat="1" x14ac:dyDescent="0.25"/>
    <row r="3001" s="12" customFormat="1" x14ac:dyDescent="0.25"/>
    <row r="3002" s="12" customFormat="1" x14ac:dyDescent="0.25"/>
    <row r="3003" s="12" customFormat="1" x14ac:dyDescent="0.25"/>
    <row r="3004" s="12" customFormat="1" x14ac:dyDescent="0.25"/>
    <row r="3005" s="12" customFormat="1" x14ac:dyDescent="0.25"/>
    <row r="3006" s="12" customFormat="1" x14ac:dyDescent="0.25"/>
    <row r="3007" s="12" customFormat="1" x14ac:dyDescent="0.25"/>
    <row r="3008" s="12" customFormat="1" x14ac:dyDescent="0.25"/>
    <row r="3009" s="12" customFormat="1" x14ac:dyDescent="0.25"/>
    <row r="3010" s="12" customFormat="1" x14ac:dyDescent="0.25"/>
    <row r="3011" s="12" customFormat="1" x14ac:dyDescent="0.25"/>
    <row r="3012" s="12" customFormat="1" x14ac:dyDescent="0.25"/>
    <row r="3013" s="12" customFormat="1" x14ac:dyDescent="0.25"/>
    <row r="3014" s="12" customFormat="1" x14ac:dyDescent="0.25"/>
    <row r="3015" s="12" customFormat="1" x14ac:dyDescent="0.25"/>
    <row r="3016" s="12" customFormat="1" x14ac:dyDescent="0.25"/>
    <row r="3017" s="12" customFormat="1" x14ac:dyDescent="0.25"/>
    <row r="3018" s="12" customFormat="1" x14ac:dyDescent="0.25"/>
    <row r="3019" s="12" customFormat="1" x14ac:dyDescent="0.25"/>
    <row r="3020" s="12" customFormat="1" x14ac:dyDescent="0.25"/>
    <row r="3021" s="12" customFormat="1" x14ac:dyDescent="0.25"/>
    <row r="3022" s="12" customFormat="1" x14ac:dyDescent="0.25"/>
    <row r="3023" s="12" customFormat="1" x14ac:dyDescent="0.25"/>
    <row r="3024" s="12" customFormat="1" x14ac:dyDescent="0.25"/>
    <row r="3025" s="12" customFormat="1" x14ac:dyDescent="0.25"/>
    <row r="3026" s="12" customFormat="1" x14ac:dyDescent="0.25"/>
    <row r="3027" s="12" customFormat="1" x14ac:dyDescent="0.25"/>
    <row r="3028" s="12" customFormat="1" x14ac:dyDescent="0.25"/>
    <row r="3029" s="12" customFormat="1" x14ac:dyDescent="0.25"/>
    <row r="3030" s="12" customFormat="1" x14ac:dyDescent="0.25"/>
    <row r="3031" s="12" customFormat="1" x14ac:dyDescent="0.25"/>
    <row r="3032" s="12" customFormat="1" x14ac:dyDescent="0.25"/>
    <row r="3033" s="12" customFormat="1" x14ac:dyDescent="0.25"/>
    <row r="3034" s="12" customFormat="1" x14ac:dyDescent="0.25"/>
    <row r="3035" s="12" customFormat="1" x14ac:dyDescent="0.25"/>
    <row r="3036" s="12" customFormat="1" x14ac:dyDescent="0.25"/>
    <row r="3037" s="12" customFormat="1" x14ac:dyDescent="0.25"/>
    <row r="3038" s="12" customFormat="1" x14ac:dyDescent="0.25"/>
    <row r="3039" s="12" customFormat="1" x14ac:dyDescent="0.25"/>
    <row r="3040" s="12" customFormat="1" x14ac:dyDescent="0.25"/>
    <row r="3041" s="12" customFormat="1" x14ac:dyDescent="0.25"/>
    <row r="3042" s="12" customFormat="1" x14ac:dyDescent="0.25"/>
    <row r="3043" s="12" customFormat="1" x14ac:dyDescent="0.25"/>
    <row r="3044" s="12" customFormat="1" x14ac:dyDescent="0.25"/>
    <row r="3045" s="12" customFormat="1" x14ac:dyDescent="0.25"/>
    <row r="3046" s="12" customFormat="1" x14ac:dyDescent="0.25"/>
    <row r="3047" s="12" customFormat="1" x14ac:dyDescent="0.25"/>
    <row r="3048" s="12" customFormat="1" x14ac:dyDescent="0.25"/>
    <row r="3049" s="12" customFormat="1" x14ac:dyDescent="0.25"/>
    <row r="3050" s="12" customFormat="1" x14ac:dyDescent="0.25"/>
    <row r="3051" s="12" customFormat="1" x14ac:dyDescent="0.25"/>
    <row r="3052" s="12" customFormat="1" x14ac:dyDescent="0.25"/>
    <row r="3053" s="12" customFormat="1" x14ac:dyDescent="0.25"/>
    <row r="3054" s="12" customFormat="1" x14ac:dyDescent="0.25"/>
    <row r="3055" s="12" customFormat="1" x14ac:dyDescent="0.25"/>
    <row r="3056" s="12" customFormat="1" x14ac:dyDescent="0.25"/>
    <row r="3057" s="12" customFormat="1" x14ac:dyDescent="0.25"/>
    <row r="3058" s="12" customFormat="1" x14ac:dyDescent="0.25"/>
    <row r="3059" s="12" customFormat="1" x14ac:dyDescent="0.25"/>
    <row r="3060" s="12" customFormat="1" x14ac:dyDescent="0.25"/>
    <row r="3061" s="12" customFormat="1" x14ac:dyDescent="0.25"/>
    <row r="3062" s="12" customFormat="1" x14ac:dyDescent="0.25"/>
    <row r="3063" s="12" customFormat="1" x14ac:dyDescent="0.25"/>
    <row r="3064" s="12" customFormat="1" x14ac:dyDescent="0.25"/>
    <row r="3065" s="12" customFormat="1" x14ac:dyDescent="0.25"/>
    <row r="3066" s="12" customFormat="1" x14ac:dyDescent="0.25"/>
    <row r="3067" s="12" customFormat="1" x14ac:dyDescent="0.25"/>
    <row r="3068" s="12" customFormat="1" x14ac:dyDescent="0.25"/>
    <row r="3069" s="12" customFormat="1" x14ac:dyDescent="0.25"/>
    <row r="3070" s="12" customFormat="1" x14ac:dyDescent="0.25"/>
    <row r="3071" s="12" customFormat="1" x14ac:dyDescent="0.25"/>
    <row r="3072" s="12" customFormat="1" x14ac:dyDescent="0.25"/>
    <row r="3073" s="12" customFormat="1" x14ac:dyDescent="0.25"/>
    <row r="3074" s="12" customFormat="1" x14ac:dyDescent="0.25"/>
    <row r="3075" s="12" customFormat="1" x14ac:dyDescent="0.25"/>
    <row r="3076" s="12" customFormat="1" x14ac:dyDescent="0.25"/>
    <row r="3077" s="12" customFormat="1" x14ac:dyDescent="0.25"/>
    <row r="3078" s="12" customFormat="1" x14ac:dyDescent="0.25"/>
    <row r="3079" s="12" customFormat="1" x14ac:dyDescent="0.25"/>
    <row r="3080" s="12" customFormat="1" x14ac:dyDescent="0.25"/>
    <row r="3081" s="12" customFormat="1" x14ac:dyDescent="0.25"/>
    <row r="3082" s="12" customFormat="1" x14ac:dyDescent="0.25"/>
    <row r="3083" s="12" customFormat="1" x14ac:dyDescent="0.25"/>
    <row r="3084" s="12" customFormat="1" x14ac:dyDescent="0.25"/>
    <row r="3085" s="12" customFormat="1" x14ac:dyDescent="0.25"/>
    <row r="3086" s="12" customFormat="1" x14ac:dyDescent="0.25"/>
    <row r="3087" s="12" customFormat="1" x14ac:dyDescent="0.25"/>
    <row r="3088" s="12" customFormat="1" x14ac:dyDescent="0.25"/>
    <row r="3089" s="12" customFormat="1" x14ac:dyDescent="0.25"/>
    <row r="3090" s="12" customFormat="1" x14ac:dyDescent="0.25"/>
    <row r="3091" s="12" customFormat="1" x14ac:dyDescent="0.25"/>
    <row r="3092" s="12" customFormat="1" x14ac:dyDescent="0.25"/>
    <row r="3093" s="12" customFormat="1" x14ac:dyDescent="0.25"/>
    <row r="3094" s="12" customFormat="1" x14ac:dyDescent="0.25"/>
    <row r="3095" s="12" customFormat="1" x14ac:dyDescent="0.25"/>
    <row r="3096" s="12" customFormat="1" x14ac:dyDescent="0.25"/>
    <row r="3097" s="12" customFormat="1" x14ac:dyDescent="0.25"/>
    <row r="3098" s="12" customFormat="1" x14ac:dyDescent="0.25"/>
    <row r="3099" s="12" customFormat="1" x14ac:dyDescent="0.25"/>
    <row r="3100" s="12" customFormat="1" x14ac:dyDescent="0.25"/>
    <row r="3101" s="12" customFormat="1" x14ac:dyDescent="0.25"/>
    <row r="3102" s="12" customFormat="1" x14ac:dyDescent="0.25"/>
    <row r="3103" s="12" customFormat="1" x14ac:dyDescent="0.25"/>
    <row r="3104" s="12" customFormat="1" x14ac:dyDescent="0.25"/>
    <row r="3105" s="12" customFormat="1" x14ac:dyDescent="0.25"/>
    <row r="3106" s="12" customFormat="1" x14ac:dyDescent="0.25"/>
    <row r="3107" s="12" customFormat="1" x14ac:dyDescent="0.25"/>
    <row r="3108" s="12" customFormat="1" x14ac:dyDescent="0.25"/>
    <row r="3109" s="12" customFormat="1" x14ac:dyDescent="0.25"/>
    <row r="3110" s="12" customFormat="1" x14ac:dyDescent="0.25"/>
    <row r="3111" s="12" customFormat="1" x14ac:dyDescent="0.25"/>
    <row r="3112" s="12" customFormat="1" x14ac:dyDescent="0.25"/>
    <row r="3113" s="12" customFormat="1" x14ac:dyDescent="0.25"/>
    <row r="3114" s="12" customFormat="1" x14ac:dyDescent="0.25"/>
    <row r="3115" s="12" customFormat="1" x14ac:dyDescent="0.25"/>
    <row r="3116" s="12" customFormat="1" x14ac:dyDescent="0.25"/>
    <row r="3117" s="12" customFormat="1" x14ac:dyDescent="0.25"/>
    <row r="3118" s="12" customFormat="1" x14ac:dyDescent="0.25"/>
    <row r="3119" s="12" customFormat="1" x14ac:dyDescent="0.25"/>
    <row r="3120" s="12" customFormat="1" x14ac:dyDescent="0.25"/>
    <row r="3121" s="12" customFormat="1" x14ac:dyDescent="0.25"/>
    <row r="3122" s="12" customFormat="1" x14ac:dyDescent="0.25"/>
    <row r="3123" s="12" customFormat="1" x14ac:dyDescent="0.25"/>
    <row r="3124" s="12" customFormat="1" x14ac:dyDescent="0.25"/>
    <row r="3125" s="12" customFormat="1" x14ac:dyDescent="0.25"/>
    <row r="3126" s="12" customFormat="1" x14ac:dyDescent="0.25"/>
    <row r="3127" s="12" customFormat="1" x14ac:dyDescent="0.25"/>
    <row r="3128" s="12" customFormat="1" x14ac:dyDescent="0.25"/>
    <row r="3129" s="12" customFormat="1" x14ac:dyDescent="0.25"/>
    <row r="3130" s="12" customFormat="1" x14ac:dyDescent="0.25"/>
    <row r="3131" s="12" customFormat="1" x14ac:dyDescent="0.25"/>
    <row r="3132" s="12" customFormat="1" x14ac:dyDescent="0.25"/>
    <row r="3133" s="12" customFormat="1" x14ac:dyDescent="0.25"/>
    <row r="3134" s="12" customFormat="1" x14ac:dyDescent="0.25"/>
    <row r="3135" s="12" customFormat="1" x14ac:dyDescent="0.25"/>
    <row r="3136" s="12" customFormat="1" x14ac:dyDescent="0.25"/>
    <row r="3137" s="12" customFormat="1" x14ac:dyDescent="0.25"/>
    <row r="3138" s="12" customFormat="1" x14ac:dyDescent="0.25"/>
    <row r="3139" s="12" customFormat="1" x14ac:dyDescent="0.25"/>
    <row r="3140" s="12" customFormat="1" x14ac:dyDescent="0.25"/>
    <row r="3141" s="12" customFormat="1" x14ac:dyDescent="0.25"/>
    <row r="3142" s="12" customFormat="1" x14ac:dyDescent="0.25"/>
    <row r="3143" s="12" customFormat="1" x14ac:dyDescent="0.25"/>
    <row r="3144" s="12" customFormat="1" x14ac:dyDescent="0.25"/>
    <row r="3145" s="12" customFormat="1" x14ac:dyDescent="0.25"/>
    <row r="3146" s="12" customFormat="1" x14ac:dyDescent="0.25"/>
    <row r="3147" s="12" customFormat="1" x14ac:dyDescent="0.25"/>
    <row r="3148" s="12" customFormat="1" x14ac:dyDescent="0.25"/>
    <row r="3149" s="12" customFormat="1" x14ac:dyDescent="0.25"/>
    <row r="3150" s="12" customFormat="1" x14ac:dyDescent="0.25"/>
    <row r="3151" s="12" customFormat="1" x14ac:dyDescent="0.25"/>
    <row r="3152" s="12" customFormat="1" x14ac:dyDescent="0.25"/>
    <row r="3153" s="12" customFormat="1" x14ac:dyDescent="0.25"/>
    <row r="3154" s="12" customFormat="1" x14ac:dyDescent="0.25"/>
    <row r="3155" s="12" customFormat="1" x14ac:dyDescent="0.25"/>
    <row r="3156" s="12" customFormat="1" x14ac:dyDescent="0.25"/>
    <row r="3157" s="12" customFormat="1" x14ac:dyDescent="0.25"/>
    <row r="3158" s="12" customFormat="1" x14ac:dyDescent="0.25"/>
    <row r="3159" s="12" customFormat="1" x14ac:dyDescent="0.25"/>
    <row r="3160" s="12" customFormat="1" x14ac:dyDescent="0.25"/>
    <row r="3161" s="12" customFormat="1" x14ac:dyDescent="0.25"/>
    <row r="3162" s="12" customFormat="1" x14ac:dyDescent="0.25"/>
    <row r="3163" s="12" customFormat="1" x14ac:dyDescent="0.25"/>
    <row r="3164" s="12" customFormat="1" x14ac:dyDescent="0.25"/>
    <row r="3165" s="12" customFormat="1" x14ac:dyDescent="0.25"/>
    <row r="3166" s="12" customFormat="1" x14ac:dyDescent="0.25"/>
    <row r="3167" s="12" customFormat="1" x14ac:dyDescent="0.25"/>
    <row r="3168" s="12" customFormat="1" x14ac:dyDescent="0.25"/>
    <row r="3169" s="12" customFormat="1" x14ac:dyDescent="0.25"/>
    <row r="3170" s="12" customFormat="1" x14ac:dyDescent="0.25"/>
    <row r="3171" s="12" customFormat="1" x14ac:dyDescent="0.25"/>
    <row r="3172" s="12" customFormat="1" x14ac:dyDescent="0.25"/>
    <row r="3173" s="12" customFormat="1" x14ac:dyDescent="0.25"/>
    <row r="3174" s="12" customFormat="1" x14ac:dyDescent="0.25"/>
    <row r="3175" s="12" customFormat="1" x14ac:dyDescent="0.25"/>
    <row r="3176" s="12" customFormat="1" x14ac:dyDescent="0.25"/>
    <row r="3177" s="12" customFormat="1" x14ac:dyDescent="0.25"/>
    <row r="3178" s="12" customFormat="1" x14ac:dyDescent="0.25"/>
    <row r="3179" s="12" customFormat="1" x14ac:dyDescent="0.25"/>
    <row r="3180" s="12" customFormat="1" x14ac:dyDescent="0.25"/>
    <row r="3181" s="12" customFormat="1" x14ac:dyDescent="0.25"/>
    <row r="3182" s="12" customFormat="1" x14ac:dyDescent="0.25"/>
    <row r="3183" s="12" customFormat="1" x14ac:dyDescent="0.25"/>
    <row r="3184" s="12" customFormat="1" x14ac:dyDescent="0.25"/>
    <row r="3185" s="12" customFormat="1" x14ac:dyDescent="0.25"/>
    <row r="3186" s="12" customFormat="1" x14ac:dyDescent="0.25"/>
    <row r="3187" s="12" customFormat="1" x14ac:dyDescent="0.25"/>
    <row r="3188" s="12" customFormat="1" x14ac:dyDescent="0.25"/>
    <row r="3189" s="12" customFormat="1" x14ac:dyDescent="0.25"/>
    <row r="3190" s="12" customFormat="1" x14ac:dyDescent="0.25"/>
    <row r="3191" s="12" customFormat="1" x14ac:dyDescent="0.25"/>
    <row r="3192" s="12" customFormat="1" x14ac:dyDescent="0.25"/>
    <row r="3193" s="12" customFormat="1" x14ac:dyDescent="0.25"/>
    <row r="3194" s="12" customFormat="1" x14ac:dyDescent="0.25"/>
    <row r="3195" s="12" customFormat="1" x14ac:dyDescent="0.25"/>
    <row r="3196" s="12" customFormat="1" x14ac:dyDescent="0.25"/>
    <row r="3197" s="12" customFormat="1" x14ac:dyDescent="0.25"/>
    <row r="3198" s="12" customFormat="1" x14ac:dyDescent="0.25"/>
    <row r="3199" s="12" customFormat="1" x14ac:dyDescent="0.25"/>
    <row r="3200" s="12" customFormat="1" x14ac:dyDescent="0.25"/>
    <row r="3201" s="12" customFormat="1" x14ac:dyDescent="0.25"/>
    <row r="3202" s="12" customFormat="1" x14ac:dyDescent="0.25"/>
    <row r="3203" s="12" customFormat="1" x14ac:dyDescent="0.25"/>
    <row r="3204" s="12" customFormat="1" x14ac:dyDescent="0.25"/>
    <row r="3205" s="12" customFormat="1" x14ac:dyDescent="0.25"/>
    <row r="3206" s="12" customFormat="1" x14ac:dyDescent="0.25"/>
    <row r="3207" s="12" customFormat="1" x14ac:dyDescent="0.25"/>
    <row r="3208" s="12" customFormat="1" x14ac:dyDescent="0.25"/>
    <row r="3209" s="12" customFormat="1" x14ac:dyDescent="0.25"/>
    <row r="3210" s="12" customFormat="1" x14ac:dyDescent="0.25"/>
    <row r="3211" s="12" customFormat="1" x14ac:dyDescent="0.25"/>
    <row r="3212" s="12" customFormat="1" x14ac:dyDescent="0.25"/>
    <row r="3213" s="12" customFormat="1" x14ac:dyDescent="0.25"/>
    <row r="3214" s="12" customFormat="1" x14ac:dyDescent="0.25"/>
    <row r="3215" s="12" customFormat="1" x14ac:dyDescent="0.25"/>
    <row r="3216" s="12" customFormat="1" x14ac:dyDescent="0.25"/>
    <row r="3217" s="12" customFormat="1" x14ac:dyDescent="0.25"/>
    <row r="3218" s="12" customFormat="1" x14ac:dyDescent="0.25"/>
    <row r="3219" s="12" customFormat="1" x14ac:dyDescent="0.25"/>
    <row r="3220" s="12" customFormat="1" x14ac:dyDescent="0.25"/>
    <row r="3221" s="12" customFormat="1" x14ac:dyDescent="0.25"/>
    <row r="3222" s="12" customFormat="1" x14ac:dyDescent="0.25"/>
    <row r="3223" s="12" customFormat="1" x14ac:dyDescent="0.25"/>
    <row r="3224" s="12" customFormat="1" x14ac:dyDescent="0.25"/>
    <row r="3225" s="12" customFormat="1" x14ac:dyDescent="0.25"/>
    <row r="3226" s="12" customFormat="1" x14ac:dyDescent="0.25"/>
    <row r="3227" s="12" customFormat="1" x14ac:dyDescent="0.25"/>
    <row r="3228" s="12" customFormat="1" x14ac:dyDescent="0.25"/>
    <row r="3229" s="12" customFormat="1" x14ac:dyDescent="0.25"/>
    <row r="3230" s="12" customFormat="1" x14ac:dyDescent="0.25"/>
    <row r="3231" s="12" customFormat="1" x14ac:dyDescent="0.25"/>
    <row r="3232" s="12" customFormat="1" x14ac:dyDescent="0.25"/>
    <row r="3233" s="12" customFormat="1" x14ac:dyDescent="0.25"/>
    <row r="3234" s="12" customFormat="1" x14ac:dyDescent="0.25"/>
    <row r="3235" s="12" customFormat="1" x14ac:dyDescent="0.25"/>
    <row r="3236" s="12" customFormat="1" x14ac:dyDescent="0.25"/>
    <row r="3237" s="12" customFormat="1" x14ac:dyDescent="0.25"/>
    <row r="3238" s="12" customFormat="1" x14ac:dyDescent="0.25"/>
    <row r="3239" s="12" customFormat="1" x14ac:dyDescent="0.25"/>
    <row r="3240" s="12" customFormat="1" x14ac:dyDescent="0.25"/>
    <row r="3241" s="12" customFormat="1" x14ac:dyDescent="0.25"/>
    <row r="3242" s="12" customFormat="1" x14ac:dyDescent="0.25"/>
    <row r="3243" s="12" customFormat="1" x14ac:dyDescent="0.25"/>
    <row r="3244" s="12" customFormat="1" x14ac:dyDescent="0.25"/>
    <row r="3245" s="12" customFormat="1" x14ac:dyDescent="0.25"/>
    <row r="3246" s="12" customFormat="1" x14ac:dyDescent="0.25"/>
    <row r="3247" s="12" customFormat="1" x14ac:dyDescent="0.25"/>
    <row r="3248" s="12" customFormat="1" x14ac:dyDescent="0.25"/>
    <row r="3249" s="12" customFormat="1" x14ac:dyDescent="0.25"/>
    <row r="3250" s="12" customFormat="1" x14ac:dyDescent="0.25"/>
    <row r="3251" s="12" customFormat="1" x14ac:dyDescent="0.25"/>
    <row r="3252" s="12" customFormat="1" x14ac:dyDescent="0.25"/>
    <row r="3253" s="12" customFormat="1" x14ac:dyDescent="0.25"/>
    <row r="3254" s="12" customFormat="1" x14ac:dyDescent="0.25"/>
    <row r="3255" s="12" customFormat="1" x14ac:dyDescent="0.25"/>
    <row r="3256" s="12" customFormat="1" x14ac:dyDescent="0.25"/>
    <row r="3257" s="12" customFormat="1" x14ac:dyDescent="0.25"/>
    <row r="3258" s="12" customFormat="1" x14ac:dyDescent="0.25"/>
    <row r="3259" s="12" customFormat="1" x14ac:dyDescent="0.25"/>
    <row r="3260" s="12" customFormat="1" x14ac:dyDescent="0.25"/>
    <row r="3261" s="12" customFormat="1" x14ac:dyDescent="0.25"/>
    <row r="3262" s="12" customFormat="1" x14ac:dyDescent="0.25"/>
    <row r="3263" s="12" customFormat="1" x14ac:dyDescent="0.25"/>
    <row r="3264" s="12" customFormat="1" x14ac:dyDescent="0.25"/>
    <row r="3265" s="12" customFormat="1" x14ac:dyDescent="0.25"/>
    <row r="3266" s="12" customFormat="1" x14ac:dyDescent="0.25"/>
    <row r="3267" s="12" customFormat="1" x14ac:dyDescent="0.25"/>
    <row r="3268" s="12" customFormat="1" x14ac:dyDescent="0.25"/>
    <row r="3269" s="12" customFormat="1" x14ac:dyDescent="0.25"/>
    <row r="3270" s="12" customFormat="1" x14ac:dyDescent="0.25"/>
    <row r="3271" s="12" customFormat="1" x14ac:dyDescent="0.25"/>
    <row r="3272" s="12" customFormat="1" x14ac:dyDescent="0.25"/>
    <row r="3273" s="12" customFormat="1" x14ac:dyDescent="0.25"/>
    <row r="3274" s="12" customFormat="1" x14ac:dyDescent="0.25"/>
    <row r="3275" s="12" customFormat="1" x14ac:dyDescent="0.25"/>
    <row r="3276" s="12" customFormat="1" x14ac:dyDescent="0.25"/>
    <row r="3277" s="12" customFormat="1" x14ac:dyDescent="0.25"/>
    <row r="3278" s="12" customFormat="1" x14ac:dyDescent="0.25"/>
    <row r="3279" s="12" customFormat="1" x14ac:dyDescent="0.25"/>
    <row r="3280" s="12" customFormat="1" x14ac:dyDescent="0.25"/>
    <row r="3281" s="12" customFormat="1" x14ac:dyDescent="0.25"/>
    <row r="3282" s="12" customFormat="1" x14ac:dyDescent="0.25"/>
    <row r="3283" s="12" customFormat="1" x14ac:dyDescent="0.25"/>
    <row r="3284" s="12" customFormat="1" x14ac:dyDescent="0.25"/>
    <row r="3285" s="12" customFormat="1" x14ac:dyDescent="0.25"/>
    <row r="3286" s="12" customFormat="1" x14ac:dyDescent="0.25"/>
    <row r="3287" s="12" customFormat="1" x14ac:dyDescent="0.25"/>
    <row r="3288" s="12" customFormat="1" x14ac:dyDescent="0.25"/>
    <row r="3289" s="12" customFormat="1" x14ac:dyDescent="0.25"/>
    <row r="3290" s="12" customFormat="1" x14ac:dyDescent="0.25"/>
    <row r="3291" s="12" customFormat="1" x14ac:dyDescent="0.25"/>
    <row r="3292" s="12" customFormat="1" x14ac:dyDescent="0.25"/>
    <row r="3293" s="12" customFormat="1" x14ac:dyDescent="0.25"/>
    <row r="3294" s="12" customFormat="1" x14ac:dyDescent="0.25"/>
    <row r="3295" s="12" customFormat="1" x14ac:dyDescent="0.25"/>
    <row r="3296" s="12" customFormat="1" x14ac:dyDescent="0.25"/>
    <row r="3297" s="12" customFormat="1" x14ac:dyDescent="0.25"/>
    <row r="3298" s="12" customFormat="1" x14ac:dyDescent="0.25"/>
    <row r="3299" s="12" customFormat="1" x14ac:dyDescent="0.25"/>
    <row r="3300" s="12" customFormat="1" x14ac:dyDescent="0.25"/>
    <row r="3301" s="12" customFormat="1" x14ac:dyDescent="0.25"/>
    <row r="3302" s="12" customFormat="1" x14ac:dyDescent="0.25"/>
    <row r="3303" s="12" customFormat="1" x14ac:dyDescent="0.25"/>
    <row r="3304" s="12" customFormat="1" x14ac:dyDescent="0.25"/>
    <row r="3305" s="12" customFormat="1" x14ac:dyDescent="0.25"/>
    <row r="3306" s="12" customFormat="1" x14ac:dyDescent="0.25"/>
    <row r="3307" s="12" customFormat="1" x14ac:dyDescent="0.25"/>
    <row r="3308" s="12" customFormat="1" x14ac:dyDescent="0.25"/>
    <row r="3309" s="12" customFormat="1" x14ac:dyDescent="0.25"/>
    <row r="3310" s="12" customFormat="1" x14ac:dyDescent="0.25"/>
    <row r="3311" s="12" customFormat="1" x14ac:dyDescent="0.25"/>
    <row r="3312" s="12" customFormat="1" x14ac:dyDescent="0.25"/>
    <row r="3313" s="12" customFormat="1" x14ac:dyDescent="0.25"/>
    <row r="3314" s="12" customFormat="1" x14ac:dyDescent="0.25"/>
    <row r="3315" s="12" customFormat="1" x14ac:dyDescent="0.25"/>
    <row r="3316" s="12" customFormat="1" x14ac:dyDescent="0.25"/>
    <row r="3317" s="12" customFormat="1" x14ac:dyDescent="0.25"/>
    <row r="3318" s="12" customFormat="1" x14ac:dyDescent="0.25"/>
    <row r="3319" s="12" customFormat="1" x14ac:dyDescent="0.25"/>
    <row r="3320" s="12" customFormat="1" x14ac:dyDescent="0.25"/>
    <row r="3321" s="12" customFormat="1" x14ac:dyDescent="0.25"/>
    <row r="3322" s="12" customFormat="1" x14ac:dyDescent="0.25"/>
    <row r="3323" s="12" customFormat="1" x14ac:dyDescent="0.25"/>
    <row r="3324" s="12" customFormat="1" x14ac:dyDescent="0.25"/>
    <row r="3325" s="12" customFormat="1" x14ac:dyDescent="0.25"/>
    <row r="3326" s="12" customFormat="1" x14ac:dyDescent="0.25"/>
    <row r="3327" s="12" customFormat="1" x14ac:dyDescent="0.25"/>
    <row r="3328" s="12" customFormat="1" x14ac:dyDescent="0.25"/>
    <row r="3329" s="12" customFormat="1" x14ac:dyDescent="0.25"/>
    <row r="3330" s="12" customFormat="1" x14ac:dyDescent="0.25"/>
    <row r="3331" s="12" customFormat="1" x14ac:dyDescent="0.25"/>
    <row r="3332" s="12" customFormat="1" x14ac:dyDescent="0.25"/>
    <row r="3333" s="12" customFormat="1" x14ac:dyDescent="0.25"/>
    <row r="3334" s="12" customFormat="1" x14ac:dyDescent="0.25"/>
    <row r="3335" s="12" customFormat="1" x14ac:dyDescent="0.25"/>
    <row r="3336" s="12" customFormat="1" x14ac:dyDescent="0.25"/>
    <row r="3337" s="12" customFormat="1" x14ac:dyDescent="0.25"/>
    <row r="3338" s="12" customFormat="1" x14ac:dyDescent="0.25"/>
    <row r="3339" s="12" customFormat="1" x14ac:dyDescent="0.25"/>
    <row r="3340" s="12" customFormat="1" x14ac:dyDescent="0.25"/>
    <row r="3341" s="12" customFormat="1" x14ac:dyDescent="0.25"/>
    <row r="3342" s="12" customFormat="1" x14ac:dyDescent="0.25"/>
    <row r="3343" s="12" customFormat="1" x14ac:dyDescent="0.25"/>
    <row r="3344" s="12" customFormat="1" x14ac:dyDescent="0.25"/>
    <row r="3345" s="12" customFormat="1" x14ac:dyDescent="0.25"/>
    <row r="3346" s="12" customFormat="1" x14ac:dyDescent="0.25"/>
    <row r="3347" s="12" customFormat="1" x14ac:dyDescent="0.25"/>
    <row r="3348" s="12" customFormat="1" x14ac:dyDescent="0.25"/>
    <row r="3349" s="12" customFormat="1" x14ac:dyDescent="0.25"/>
    <row r="3350" s="12" customFormat="1" x14ac:dyDescent="0.25"/>
    <row r="3351" s="12" customFormat="1" x14ac:dyDescent="0.25"/>
    <row r="3352" s="12" customFormat="1" x14ac:dyDescent="0.25"/>
    <row r="3353" s="12" customFormat="1" x14ac:dyDescent="0.25"/>
    <row r="3354" s="12" customFormat="1" x14ac:dyDescent="0.25"/>
    <row r="3355" s="12" customFormat="1" x14ac:dyDescent="0.25"/>
    <row r="3356" s="12" customFormat="1" x14ac:dyDescent="0.25"/>
    <row r="3357" s="12" customFormat="1" x14ac:dyDescent="0.25"/>
    <row r="3358" s="12" customFormat="1" x14ac:dyDescent="0.25"/>
    <row r="3359" s="12" customFormat="1" x14ac:dyDescent="0.25"/>
    <row r="3360" s="12" customFormat="1" x14ac:dyDescent="0.25"/>
    <row r="3361" s="12" customFormat="1" x14ac:dyDescent="0.25"/>
    <row r="3362" s="12" customFormat="1" x14ac:dyDescent="0.25"/>
    <row r="3363" s="12" customFormat="1" x14ac:dyDescent="0.25"/>
    <row r="3364" s="12" customFormat="1" x14ac:dyDescent="0.25"/>
    <row r="3365" s="12" customFormat="1" x14ac:dyDescent="0.25"/>
    <row r="3366" s="12" customFormat="1" x14ac:dyDescent="0.25"/>
    <row r="3367" s="12" customFormat="1" x14ac:dyDescent="0.25"/>
    <row r="3368" s="12" customFormat="1" x14ac:dyDescent="0.25"/>
    <row r="3369" s="12" customFormat="1" x14ac:dyDescent="0.25"/>
    <row r="3370" s="12" customFormat="1" x14ac:dyDescent="0.25"/>
    <row r="3371" s="12" customFormat="1" x14ac:dyDescent="0.25"/>
    <row r="3372" s="12" customFormat="1" x14ac:dyDescent="0.25"/>
    <row r="3373" s="12" customFormat="1" x14ac:dyDescent="0.25"/>
    <row r="3374" s="12" customFormat="1" x14ac:dyDescent="0.25"/>
    <row r="3375" s="12" customFormat="1" x14ac:dyDescent="0.25"/>
    <row r="3376" s="12" customFormat="1" x14ac:dyDescent="0.25"/>
    <row r="3377" s="12" customFormat="1" x14ac:dyDescent="0.25"/>
    <row r="3378" s="12" customFormat="1" x14ac:dyDescent="0.25"/>
    <row r="3379" s="12" customFormat="1" x14ac:dyDescent="0.25"/>
    <row r="3380" s="12" customFormat="1" x14ac:dyDescent="0.25"/>
    <row r="3381" s="12" customFormat="1" x14ac:dyDescent="0.25"/>
    <row r="3382" s="12" customFormat="1" x14ac:dyDescent="0.25"/>
    <row r="3383" s="12" customFormat="1" x14ac:dyDescent="0.25"/>
    <row r="3384" s="12" customFormat="1" x14ac:dyDescent="0.25"/>
    <row r="3385" s="12" customFormat="1" x14ac:dyDescent="0.25"/>
    <row r="3386" s="12" customFormat="1" x14ac:dyDescent="0.25"/>
    <row r="3387" s="12" customFormat="1" x14ac:dyDescent="0.25"/>
    <row r="3388" s="12" customFormat="1" x14ac:dyDescent="0.25"/>
    <row r="3389" s="12" customFormat="1" x14ac:dyDescent="0.25"/>
    <row r="3390" s="12" customFormat="1" x14ac:dyDescent="0.25"/>
    <row r="3391" s="12" customFormat="1" x14ac:dyDescent="0.25"/>
    <row r="3392" s="12" customFormat="1" x14ac:dyDescent="0.25"/>
    <row r="3393" s="12" customFormat="1" x14ac:dyDescent="0.25"/>
    <row r="3394" s="12" customFormat="1" x14ac:dyDescent="0.25"/>
    <row r="3395" s="12" customFormat="1" x14ac:dyDescent="0.25"/>
    <row r="3396" s="12" customFormat="1" x14ac:dyDescent="0.25"/>
    <row r="3397" s="12" customFormat="1" x14ac:dyDescent="0.25"/>
    <row r="3398" s="12" customFormat="1" x14ac:dyDescent="0.25"/>
    <row r="3399" s="12" customFormat="1" x14ac:dyDescent="0.25"/>
    <row r="3400" s="12" customFormat="1" x14ac:dyDescent="0.25"/>
    <row r="3401" s="12" customFormat="1" x14ac:dyDescent="0.25"/>
    <row r="3402" s="12" customFormat="1" x14ac:dyDescent="0.25"/>
    <row r="3403" s="12" customFormat="1" x14ac:dyDescent="0.25"/>
    <row r="3404" s="12" customFormat="1" x14ac:dyDescent="0.25"/>
    <row r="3405" s="12" customFormat="1" x14ac:dyDescent="0.25"/>
    <row r="3406" s="12" customFormat="1" x14ac:dyDescent="0.25"/>
    <row r="3407" s="12" customFormat="1" x14ac:dyDescent="0.25"/>
    <row r="3408" s="12" customFormat="1" x14ac:dyDescent="0.25"/>
    <row r="3409" s="12" customFormat="1" x14ac:dyDescent="0.25"/>
    <row r="3410" s="12" customFormat="1" x14ac:dyDescent="0.25"/>
    <row r="3411" s="12" customFormat="1" x14ac:dyDescent="0.25"/>
    <row r="3412" s="12" customFormat="1" x14ac:dyDescent="0.25"/>
    <row r="3413" s="12" customFormat="1" x14ac:dyDescent="0.25"/>
    <row r="3414" s="12" customFormat="1" x14ac:dyDescent="0.25"/>
    <row r="3415" s="12" customFormat="1" x14ac:dyDescent="0.25"/>
    <row r="3416" s="12" customFormat="1" x14ac:dyDescent="0.25"/>
    <row r="3417" s="12" customFormat="1" x14ac:dyDescent="0.25"/>
    <row r="3418" s="12" customFormat="1" x14ac:dyDescent="0.25"/>
    <row r="3419" s="12" customFormat="1" x14ac:dyDescent="0.25"/>
    <row r="3420" s="12" customFormat="1" x14ac:dyDescent="0.25"/>
    <row r="3421" s="12" customFormat="1" x14ac:dyDescent="0.25"/>
    <row r="3422" s="12" customFormat="1" x14ac:dyDescent="0.25"/>
    <row r="3423" s="12" customFormat="1" x14ac:dyDescent="0.25"/>
    <row r="3424" s="12" customFormat="1" x14ac:dyDescent="0.25"/>
    <row r="3425" s="12" customFormat="1" x14ac:dyDescent="0.25"/>
    <row r="3426" s="12" customFormat="1" x14ac:dyDescent="0.25"/>
    <row r="3427" s="12" customFormat="1" x14ac:dyDescent="0.25"/>
    <row r="3428" s="12" customFormat="1" x14ac:dyDescent="0.25"/>
    <row r="3429" s="12" customFormat="1" x14ac:dyDescent="0.25"/>
    <row r="3430" s="12" customFormat="1" x14ac:dyDescent="0.25"/>
    <row r="3431" s="12" customFormat="1" x14ac:dyDescent="0.25"/>
    <row r="3432" s="12" customFormat="1" x14ac:dyDescent="0.25"/>
    <row r="3433" s="12" customFormat="1" x14ac:dyDescent="0.25"/>
    <row r="3434" s="12" customFormat="1" x14ac:dyDescent="0.25"/>
    <row r="3435" s="12" customFormat="1" x14ac:dyDescent="0.25"/>
    <row r="3436" s="12" customFormat="1" x14ac:dyDescent="0.25"/>
    <row r="3437" s="12" customFormat="1" x14ac:dyDescent="0.25"/>
    <row r="3438" s="12" customFormat="1" x14ac:dyDescent="0.25"/>
    <row r="3439" s="12" customFormat="1" x14ac:dyDescent="0.25"/>
    <row r="3440" s="12" customFormat="1" x14ac:dyDescent="0.25"/>
    <row r="3441" s="12" customFormat="1" x14ac:dyDescent="0.25"/>
    <row r="3442" s="12" customFormat="1" x14ac:dyDescent="0.25"/>
    <row r="3443" s="12" customFormat="1" x14ac:dyDescent="0.25"/>
    <row r="3444" s="12" customFormat="1" x14ac:dyDescent="0.25"/>
    <row r="3445" s="12" customFormat="1" x14ac:dyDescent="0.25"/>
    <row r="3446" s="12" customFormat="1" x14ac:dyDescent="0.25"/>
    <row r="3447" s="12" customFormat="1" x14ac:dyDescent="0.25"/>
    <row r="3448" s="12" customFormat="1" x14ac:dyDescent="0.25"/>
    <row r="3449" s="12" customFormat="1" x14ac:dyDescent="0.25"/>
    <row r="3450" s="12" customFormat="1" x14ac:dyDescent="0.25"/>
    <row r="3451" s="12" customFormat="1" x14ac:dyDescent="0.25"/>
    <row r="3452" s="12" customFormat="1" x14ac:dyDescent="0.25"/>
    <row r="3453" s="12" customFormat="1" x14ac:dyDescent="0.25"/>
    <row r="3454" s="12" customFormat="1" x14ac:dyDescent="0.25"/>
    <row r="3455" s="12" customFormat="1" x14ac:dyDescent="0.25"/>
    <row r="3456" s="12" customFormat="1" x14ac:dyDescent="0.25"/>
    <row r="3457" s="12" customFormat="1" x14ac:dyDescent="0.25"/>
    <row r="3458" s="12" customFormat="1" x14ac:dyDescent="0.25"/>
    <row r="3459" s="12" customFormat="1" x14ac:dyDescent="0.25"/>
    <row r="3460" s="12" customFormat="1" x14ac:dyDescent="0.25"/>
    <row r="3461" s="12" customFormat="1" x14ac:dyDescent="0.25"/>
    <row r="3462" s="12" customFormat="1" x14ac:dyDescent="0.25"/>
    <row r="3463" s="12" customFormat="1" x14ac:dyDescent="0.25"/>
    <row r="3464" s="12" customFormat="1" x14ac:dyDescent="0.25"/>
    <row r="3465" s="12" customFormat="1" x14ac:dyDescent="0.25"/>
    <row r="3466" s="12" customFormat="1" x14ac:dyDescent="0.25"/>
    <row r="3467" s="12" customFormat="1" x14ac:dyDescent="0.25"/>
    <row r="3468" s="12" customFormat="1" x14ac:dyDescent="0.25"/>
    <row r="3469" s="12" customFormat="1" x14ac:dyDescent="0.25"/>
    <row r="3470" s="12" customFormat="1" x14ac:dyDescent="0.25"/>
    <row r="3471" s="12" customFormat="1" x14ac:dyDescent="0.25"/>
    <row r="3472" s="12" customFormat="1" x14ac:dyDescent="0.25"/>
    <row r="3473" s="12" customFormat="1" x14ac:dyDescent="0.25"/>
    <row r="3474" s="12" customFormat="1" x14ac:dyDescent="0.25"/>
    <row r="3475" s="12" customFormat="1" x14ac:dyDescent="0.25"/>
    <row r="3476" s="12" customFormat="1" x14ac:dyDescent="0.25"/>
    <row r="3477" s="12" customFormat="1" x14ac:dyDescent="0.25"/>
    <row r="3478" s="12" customFormat="1" x14ac:dyDescent="0.25"/>
    <row r="3479" s="12" customFormat="1" x14ac:dyDescent="0.25"/>
    <row r="3480" s="12" customFormat="1" x14ac:dyDescent="0.25"/>
    <row r="3481" s="12" customFormat="1" x14ac:dyDescent="0.25"/>
    <row r="3482" s="12" customFormat="1" x14ac:dyDescent="0.25"/>
    <row r="3483" s="12" customFormat="1" x14ac:dyDescent="0.25"/>
    <row r="3484" s="12" customFormat="1" x14ac:dyDescent="0.25"/>
    <row r="3485" s="12" customFormat="1" x14ac:dyDescent="0.25"/>
    <row r="3486" s="12" customFormat="1" x14ac:dyDescent="0.25"/>
    <row r="3487" s="12" customFormat="1" x14ac:dyDescent="0.25"/>
    <row r="3488" s="12" customFormat="1" x14ac:dyDescent="0.25"/>
    <row r="3489" s="12" customFormat="1" x14ac:dyDescent="0.25"/>
    <row r="3490" s="12" customFormat="1" x14ac:dyDescent="0.25"/>
    <row r="3491" s="12" customFormat="1" x14ac:dyDescent="0.25"/>
    <row r="3492" s="12" customFormat="1" x14ac:dyDescent="0.25"/>
    <row r="3493" s="12" customFormat="1" x14ac:dyDescent="0.25"/>
    <row r="3494" s="12" customFormat="1" x14ac:dyDescent="0.25"/>
    <row r="3495" s="12" customFormat="1" x14ac:dyDescent="0.25"/>
    <row r="3496" s="12" customFormat="1" x14ac:dyDescent="0.25"/>
    <row r="3497" s="12" customFormat="1" x14ac:dyDescent="0.25"/>
    <row r="3498" s="12" customFormat="1" x14ac:dyDescent="0.25"/>
    <row r="3499" s="12" customFormat="1" x14ac:dyDescent="0.25"/>
    <row r="3500" s="12" customFormat="1" x14ac:dyDescent="0.25"/>
    <row r="3501" s="12" customFormat="1" x14ac:dyDescent="0.25"/>
    <row r="3502" s="12" customFormat="1" x14ac:dyDescent="0.25"/>
    <row r="3503" s="12" customFormat="1" x14ac:dyDescent="0.25"/>
    <row r="3504" s="12" customFormat="1" x14ac:dyDescent="0.25"/>
    <row r="3505" s="12" customFormat="1" x14ac:dyDescent="0.25"/>
    <row r="3506" s="12" customFormat="1" x14ac:dyDescent="0.25"/>
    <row r="3507" s="12" customFormat="1" x14ac:dyDescent="0.25"/>
    <row r="3508" s="12" customFormat="1" x14ac:dyDescent="0.25"/>
    <row r="3509" s="12" customFormat="1" x14ac:dyDescent="0.25"/>
    <row r="3510" s="12" customFormat="1" x14ac:dyDescent="0.25"/>
    <row r="3511" s="12" customFormat="1" x14ac:dyDescent="0.25"/>
    <row r="3512" s="12" customFormat="1" x14ac:dyDescent="0.25"/>
    <row r="3513" s="12" customFormat="1" x14ac:dyDescent="0.25"/>
    <row r="3514" s="12" customFormat="1" x14ac:dyDescent="0.25"/>
    <row r="3515" s="12" customFormat="1" x14ac:dyDescent="0.25"/>
    <row r="3516" s="12" customFormat="1" x14ac:dyDescent="0.25"/>
    <row r="3517" s="12" customFormat="1" x14ac:dyDescent="0.25"/>
    <row r="3518" s="12" customFormat="1" x14ac:dyDescent="0.25"/>
    <row r="3519" s="12" customFormat="1" x14ac:dyDescent="0.25"/>
    <row r="3520" s="12" customFormat="1" x14ac:dyDescent="0.25"/>
    <row r="3521" s="12" customFormat="1" x14ac:dyDescent="0.25"/>
    <row r="3522" s="12" customFormat="1" x14ac:dyDescent="0.25"/>
    <row r="3523" s="12" customFormat="1" x14ac:dyDescent="0.25"/>
    <row r="3524" s="12" customFormat="1" x14ac:dyDescent="0.25"/>
    <row r="3525" s="12" customFormat="1" x14ac:dyDescent="0.25"/>
    <row r="3526" s="12" customFormat="1" x14ac:dyDescent="0.25"/>
    <row r="3527" s="12" customFormat="1" x14ac:dyDescent="0.25"/>
    <row r="3528" s="12" customFormat="1" x14ac:dyDescent="0.25"/>
    <row r="3529" s="12" customFormat="1" x14ac:dyDescent="0.25"/>
    <row r="3530" s="12" customFormat="1" x14ac:dyDescent="0.25"/>
    <row r="3531" s="12" customFormat="1" x14ac:dyDescent="0.25"/>
    <row r="3532" s="12" customFormat="1" x14ac:dyDescent="0.25"/>
    <row r="3533" s="12" customFormat="1" x14ac:dyDescent="0.25"/>
    <row r="3534" s="12" customFormat="1" x14ac:dyDescent="0.25"/>
    <row r="3535" s="12" customFormat="1" x14ac:dyDescent="0.25"/>
    <row r="3536" s="12" customFormat="1" x14ac:dyDescent="0.25"/>
    <row r="3537" s="12" customFormat="1" x14ac:dyDescent="0.25"/>
    <row r="3538" s="12" customFormat="1" x14ac:dyDescent="0.25"/>
    <row r="3539" s="12" customFormat="1" x14ac:dyDescent="0.25"/>
    <row r="3540" s="12" customFormat="1" x14ac:dyDescent="0.25"/>
    <row r="3541" s="12" customFormat="1" x14ac:dyDescent="0.25"/>
    <row r="3542" s="12" customFormat="1" x14ac:dyDescent="0.25"/>
    <row r="3543" s="12" customFormat="1" x14ac:dyDescent="0.25"/>
    <row r="3544" s="12" customFormat="1" x14ac:dyDescent="0.25"/>
    <row r="3545" s="12" customFormat="1" x14ac:dyDescent="0.25"/>
    <row r="3546" s="12" customFormat="1" x14ac:dyDescent="0.25"/>
    <row r="3547" s="12" customFormat="1" x14ac:dyDescent="0.25"/>
    <row r="3548" s="12" customFormat="1" x14ac:dyDescent="0.25"/>
    <row r="3549" s="12" customFormat="1" x14ac:dyDescent="0.25"/>
    <row r="3550" s="12" customFormat="1" x14ac:dyDescent="0.25"/>
    <row r="3551" s="12" customFormat="1" x14ac:dyDescent="0.25"/>
    <row r="3552" s="12" customFormat="1" x14ac:dyDescent="0.25"/>
    <row r="3553" s="12" customFormat="1" x14ac:dyDescent="0.25"/>
    <row r="3554" s="12" customFormat="1" x14ac:dyDescent="0.25"/>
    <row r="3555" s="12" customFormat="1" x14ac:dyDescent="0.25"/>
    <row r="3556" s="12" customFormat="1" x14ac:dyDescent="0.25"/>
    <row r="3557" s="12" customFormat="1" x14ac:dyDescent="0.25"/>
    <row r="3558" s="12" customFormat="1" x14ac:dyDescent="0.25"/>
    <row r="3559" s="12" customFormat="1" x14ac:dyDescent="0.25"/>
    <row r="3560" s="12" customFormat="1" x14ac:dyDescent="0.25"/>
    <row r="3561" s="12" customFormat="1" x14ac:dyDescent="0.25"/>
    <row r="3562" s="12" customFormat="1" x14ac:dyDescent="0.25"/>
    <row r="3563" s="12" customFormat="1" x14ac:dyDescent="0.25"/>
    <row r="3564" s="12" customFormat="1" x14ac:dyDescent="0.25"/>
    <row r="3565" s="12" customFormat="1" x14ac:dyDescent="0.25"/>
    <row r="3566" s="12" customFormat="1" x14ac:dyDescent="0.25"/>
    <row r="3567" s="12" customFormat="1" x14ac:dyDescent="0.25"/>
    <row r="3568" s="12" customFormat="1" x14ac:dyDescent="0.25"/>
    <row r="3569" s="12" customFormat="1" x14ac:dyDescent="0.25"/>
    <row r="3570" s="12" customFormat="1" x14ac:dyDescent="0.25"/>
    <row r="3571" s="12" customFormat="1" x14ac:dyDescent="0.25"/>
    <row r="3572" s="12" customFormat="1" x14ac:dyDescent="0.25"/>
    <row r="3573" s="12" customFormat="1" x14ac:dyDescent="0.25"/>
    <row r="3574" s="12" customFormat="1" x14ac:dyDescent="0.25"/>
    <row r="3575" s="12" customFormat="1" x14ac:dyDescent="0.25"/>
    <row r="3576" s="12" customFormat="1" x14ac:dyDescent="0.25"/>
    <row r="3577" s="12" customFormat="1" x14ac:dyDescent="0.25"/>
    <row r="3578" s="12" customFormat="1" x14ac:dyDescent="0.25"/>
    <row r="3579" s="12" customFormat="1" x14ac:dyDescent="0.25"/>
    <row r="3580" s="12" customFormat="1" x14ac:dyDescent="0.25"/>
    <row r="3581" s="12" customFormat="1" x14ac:dyDescent="0.25"/>
    <row r="3582" s="12" customFormat="1" x14ac:dyDescent="0.25"/>
    <row r="3583" s="12" customFormat="1" x14ac:dyDescent="0.25"/>
    <row r="3584" s="12" customFormat="1" x14ac:dyDescent="0.25"/>
    <row r="3585" s="12" customFormat="1" x14ac:dyDescent="0.25"/>
    <row r="3586" s="12" customFormat="1" x14ac:dyDescent="0.25"/>
    <row r="3587" s="12" customFormat="1" x14ac:dyDescent="0.25"/>
    <row r="3588" s="12" customFormat="1" x14ac:dyDescent="0.25"/>
    <row r="3589" s="12" customFormat="1" x14ac:dyDescent="0.25"/>
    <row r="3590" s="12" customFormat="1" x14ac:dyDescent="0.25"/>
    <row r="3591" s="12" customFormat="1" x14ac:dyDescent="0.25"/>
    <row r="3592" s="12" customFormat="1" x14ac:dyDescent="0.25"/>
    <row r="3593" s="12" customFormat="1" x14ac:dyDescent="0.25"/>
    <row r="3594" s="12" customFormat="1" x14ac:dyDescent="0.25"/>
    <row r="3595" s="12" customFormat="1" x14ac:dyDescent="0.25"/>
    <row r="3596" s="12" customFormat="1" x14ac:dyDescent="0.25"/>
    <row r="3597" s="12" customFormat="1" x14ac:dyDescent="0.25"/>
    <row r="3598" s="12" customFormat="1" x14ac:dyDescent="0.25"/>
    <row r="3599" s="12" customFormat="1" x14ac:dyDescent="0.25"/>
    <row r="3600" s="12" customFormat="1" x14ac:dyDescent="0.25"/>
    <row r="3601" s="12" customFormat="1" x14ac:dyDescent="0.25"/>
    <row r="3602" s="12" customFormat="1" x14ac:dyDescent="0.25"/>
    <row r="3603" s="12" customFormat="1" x14ac:dyDescent="0.25"/>
    <row r="3604" s="12" customFormat="1" x14ac:dyDescent="0.25"/>
    <row r="3605" s="12" customFormat="1" x14ac:dyDescent="0.25"/>
    <row r="3606" s="12" customFormat="1" x14ac:dyDescent="0.25"/>
    <row r="3607" s="12" customFormat="1" x14ac:dyDescent="0.25"/>
    <row r="3608" s="12" customFormat="1" x14ac:dyDescent="0.25"/>
    <row r="3609" s="12" customFormat="1" x14ac:dyDescent="0.25"/>
    <row r="3610" s="12" customFormat="1" x14ac:dyDescent="0.25"/>
    <row r="3611" s="12" customFormat="1" x14ac:dyDescent="0.25"/>
    <row r="3612" s="12" customFormat="1" x14ac:dyDescent="0.25"/>
    <row r="3613" s="12" customFormat="1" x14ac:dyDescent="0.25"/>
    <row r="3614" s="12" customFormat="1" x14ac:dyDescent="0.25"/>
    <row r="3615" s="12" customFormat="1" x14ac:dyDescent="0.25"/>
    <row r="3616" s="12" customFormat="1" x14ac:dyDescent="0.25"/>
    <row r="3617" s="12" customFormat="1" x14ac:dyDescent="0.25"/>
    <row r="3618" s="12" customFormat="1" x14ac:dyDescent="0.25"/>
    <row r="3619" s="12" customFormat="1" x14ac:dyDescent="0.25"/>
    <row r="3620" s="12" customFormat="1" x14ac:dyDescent="0.25"/>
    <row r="3621" s="12" customFormat="1" x14ac:dyDescent="0.25"/>
    <row r="3622" s="12" customFormat="1" x14ac:dyDescent="0.25"/>
    <row r="3623" s="12" customFormat="1" x14ac:dyDescent="0.25"/>
    <row r="3624" s="12" customFormat="1" x14ac:dyDescent="0.25"/>
    <row r="3625" s="12" customFormat="1" x14ac:dyDescent="0.25"/>
    <row r="3626" s="12" customFormat="1" x14ac:dyDescent="0.25"/>
    <row r="3627" s="12" customFormat="1" x14ac:dyDescent="0.25"/>
    <row r="3628" s="12" customFormat="1" x14ac:dyDescent="0.25"/>
    <row r="3629" s="12" customFormat="1" x14ac:dyDescent="0.25"/>
    <row r="3630" s="12" customFormat="1" x14ac:dyDescent="0.25"/>
    <row r="3631" s="12" customFormat="1" x14ac:dyDescent="0.25"/>
    <row r="3632" s="12" customFormat="1" x14ac:dyDescent="0.25"/>
    <row r="3633" s="12" customFormat="1" x14ac:dyDescent="0.25"/>
    <row r="3634" s="12" customFormat="1" x14ac:dyDescent="0.25"/>
    <row r="3635" s="12" customFormat="1" x14ac:dyDescent="0.25"/>
    <row r="3636" s="12" customFormat="1" x14ac:dyDescent="0.25"/>
    <row r="3637" s="12" customFormat="1" x14ac:dyDescent="0.25"/>
    <row r="3638" s="12" customFormat="1" x14ac:dyDescent="0.25"/>
    <row r="3639" s="12" customFormat="1" x14ac:dyDescent="0.25"/>
    <row r="3640" s="12" customFormat="1" x14ac:dyDescent="0.25"/>
    <row r="3641" s="12" customFormat="1" x14ac:dyDescent="0.25"/>
    <row r="3642" s="12" customFormat="1" x14ac:dyDescent="0.25"/>
    <row r="3643" s="12" customFormat="1" x14ac:dyDescent="0.25"/>
    <row r="3644" s="12" customFormat="1" x14ac:dyDescent="0.25"/>
    <row r="3645" s="12" customFormat="1" x14ac:dyDescent="0.25"/>
    <row r="3646" s="12" customFormat="1" x14ac:dyDescent="0.25"/>
    <row r="3647" s="12" customFormat="1" x14ac:dyDescent="0.25"/>
    <row r="3648" s="12" customFormat="1" x14ac:dyDescent="0.25"/>
    <row r="3649" s="12" customFormat="1" x14ac:dyDescent="0.25"/>
    <row r="3650" s="12" customFormat="1" x14ac:dyDescent="0.25"/>
    <row r="3651" s="12" customFormat="1" x14ac:dyDescent="0.25"/>
    <row r="3652" s="12" customFormat="1" x14ac:dyDescent="0.25"/>
    <row r="3653" s="12" customFormat="1" x14ac:dyDescent="0.25"/>
    <row r="3654" s="12" customFormat="1" x14ac:dyDescent="0.25"/>
    <row r="3655" s="12" customFormat="1" x14ac:dyDescent="0.25"/>
    <row r="3656" s="12" customFormat="1" x14ac:dyDescent="0.25"/>
    <row r="3657" s="12" customFormat="1" x14ac:dyDescent="0.25"/>
    <row r="3658" s="12" customFormat="1" x14ac:dyDescent="0.25"/>
    <row r="3659" s="12" customFormat="1" x14ac:dyDescent="0.25"/>
    <row r="3660" s="12" customFormat="1" x14ac:dyDescent="0.25"/>
    <row r="3661" s="12" customFormat="1" x14ac:dyDescent="0.25"/>
    <row r="3662" s="12" customFormat="1" x14ac:dyDescent="0.25"/>
    <row r="3663" s="12" customFormat="1" x14ac:dyDescent="0.25"/>
    <row r="3664" s="12" customFormat="1" x14ac:dyDescent="0.25"/>
    <row r="3665" s="12" customFormat="1" x14ac:dyDescent="0.25"/>
    <row r="3666" s="12" customFormat="1" x14ac:dyDescent="0.25"/>
    <row r="3667" s="12" customFormat="1" x14ac:dyDescent="0.25"/>
    <row r="3668" s="12" customFormat="1" x14ac:dyDescent="0.25"/>
    <row r="3669" s="12" customFormat="1" x14ac:dyDescent="0.25"/>
    <row r="3670" s="12" customFormat="1" x14ac:dyDescent="0.25"/>
    <row r="3671" s="12" customFormat="1" x14ac:dyDescent="0.25"/>
    <row r="3672" s="12" customFormat="1" x14ac:dyDescent="0.25"/>
    <row r="3673" s="12" customFormat="1" x14ac:dyDescent="0.25"/>
    <row r="3674" s="12" customFormat="1" x14ac:dyDescent="0.25"/>
    <row r="3675" s="12" customFormat="1" x14ac:dyDescent="0.25"/>
    <row r="3676" s="12" customFormat="1" x14ac:dyDescent="0.25"/>
    <row r="3677" s="12" customFormat="1" x14ac:dyDescent="0.25"/>
    <row r="3678" s="12" customFormat="1" x14ac:dyDescent="0.25"/>
    <row r="3679" s="12" customFormat="1" x14ac:dyDescent="0.25"/>
    <row r="3680" s="12" customFormat="1" x14ac:dyDescent="0.25"/>
    <row r="3681" s="12" customFormat="1" x14ac:dyDescent="0.25"/>
    <row r="3682" s="12" customFormat="1" x14ac:dyDescent="0.25"/>
    <row r="3683" s="12" customFormat="1" x14ac:dyDescent="0.25"/>
    <row r="3684" s="12" customFormat="1" x14ac:dyDescent="0.25"/>
    <row r="3685" s="12" customFormat="1" x14ac:dyDescent="0.25"/>
    <row r="3686" s="12" customFormat="1" x14ac:dyDescent="0.25"/>
    <row r="3687" s="12" customFormat="1" x14ac:dyDescent="0.25"/>
    <row r="3688" s="12" customFormat="1" x14ac:dyDescent="0.25"/>
    <row r="3689" s="12" customFormat="1" x14ac:dyDescent="0.25"/>
    <row r="3690" s="12" customFormat="1" x14ac:dyDescent="0.25"/>
    <row r="3691" s="12" customFormat="1" x14ac:dyDescent="0.25"/>
    <row r="3692" s="12" customFormat="1" x14ac:dyDescent="0.25"/>
    <row r="3693" s="12" customFormat="1" x14ac:dyDescent="0.25"/>
    <row r="3694" s="12" customFormat="1" x14ac:dyDescent="0.25"/>
    <row r="3695" s="12" customFormat="1" x14ac:dyDescent="0.25"/>
    <row r="3696" s="12" customFormat="1" x14ac:dyDescent="0.25"/>
    <row r="3697" s="12" customFormat="1" x14ac:dyDescent="0.25"/>
    <row r="3698" s="12" customFormat="1" x14ac:dyDescent="0.25"/>
    <row r="3699" s="12" customFormat="1" x14ac:dyDescent="0.25"/>
    <row r="3700" s="12" customFormat="1" x14ac:dyDescent="0.25"/>
    <row r="3701" s="12" customFormat="1" x14ac:dyDescent="0.25"/>
    <row r="3702" s="12" customFormat="1" x14ac:dyDescent="0.25"/>
    <row r="3703" s="12" customFormat="1" x14ac:dyDescent="0.25"/>
    <row r="3704" s="12" customFormat="1" x14ac:dyDescent="0.25"/>
    <row r="3705" s="12" customFormat="1" x14ac:dyDescent="0.25"/>
    <row r="3706" s="12" customFormat="1" x14ac:dyDescent="0.25"/>
    <row r="3707" s="12" customFormat="1" x14ac:dyDescent="0.25"/>
    <row r="3708" s="12" customFormat="1" x14ac:dyDescent="0.25"/>
    <row r="3709" s="12" customFormat="1" x14ac:dyDescent="0.25"/>
    <row r="3710" s="12" customFormat="1" x14ac:dyDescent="0.25"/>
    <row r="3711" s="12" customFormat="1" x14ac:dyDescent="0.25"/>
    <row r="3712" s="12" customFormat="1" x14ac:dyDescent="0.25"/>
    <row r="3713" s="12" customFormat="1" x14ac:dyDescent="0.25"/>
    <row r="3714" s="12" customFormat="1" x14ac:dyDescent="0.25"/>
    <row r="3715" s="12" customFormat="1" x14ac:dyDescent="0.25"/>
    <row r="3716" s="12" customFormat="1" x14ac:dyDescent="0.25"/>
    <row r="3717" s="12" customFormat="1" x14ac:dyDescent="0.25"/>
    <row r="3718" s="12" customFormat="1" x14ac:dyDescent="0.25"/>
    <row r="3719" s="12" customFormat="1" x14ac:dyDescent="0.25"/>
    <row r="3720" s="12" customFormat="1" x14ac:dyDescent="0.25"/>
    <row r="3721" s="12" customFormat="1" x14ac:dyDescent="0.25"/>
    <row r="3722" s="12" customFormat="1" x14ac:dyDescent="0.25"/>
    <row r="3723" s="12" customFormat="1" x14ac:dyDescent="0.25"/>
    <row r="3724" s="12" customFormat="1" x14ac:dyDescent="0.25"/>
    <row r="3725" s="12" customFormat="1" x14ac:dyDescent="0.25"/>
    <row r="3726" s="12" customFormat="1" x14ac:dyDescent="0.25"/>
    <row r="3727" s="12" customFormat="1" x14ac:dyDescent="0.25"/>
    <row r="3728" s="12" customFormat="1" x14ac:dyDescent="0.25"/>
    <row r="3729" s="12" customFormat="1" x14ac:dyDescent="0.25"/>
    <row r="3730" s="12" customFormat="1" x14ac:dyDescent="0.25"/>
    <row r="3731" s="12" customFormat="1" x14ac:dyDescent="0.25"/>
    <row r="3732" s="12" customFormat="1" x14ac:dyDescent="0.25"/>
    <row r="3733" s="12" customFormat="1" x14ac:dyDescent="0.25"/>
    <row r="3734" s="12" customFormat="1" x14ac:dyDescent="0.25"/>
    <row r="3735" s="12" customFormat="1" x14ac:dyDescent="0.25"/>
    <row r="3736" s="12" customFormat="1" x14ac:dyDescent="0.25"/>
    <row r="3737" s="12" customFormat="1" x14ac:dyDescent="0.25"/>
    <row r="3738" s="12" customFormat="1" x14ac:dyDescent="0.25"/>
    <row r="3739" s="12" customFormat="1" x14ac:dyDescent="0.25"/>
    <row r="3740" s="12" customFormat="1" x14ac:dyDescent="0.25"/>
    <row r="3741" s="12" customFormat="1" x14ac:dyDescent="0.25"/>
    <row r="3742" s="12" customFormat="1" x14ac:dyDescent="0.25"/>
    <row r="3743" s="12" customFormat="1" x14ac:dyDescent="0.25"/>
    <row r="3744" s="12" customFormat="1" x14ac:dyDescent="0.25"/>
    <row r="3745" s="12" customFormat="1" x14ac:dyDescent="0.25"/>
    <row r="3746" s="12" customFormat="1" x14ac:dyDescent="0.25"/>
    <row r="3747" s="12" customFormat="1" x14ac:dyDescent="0.25"/>
    <row r="3748" s="12" customFormat="1" x14ac:dyDescent="0.25"/>
    <row r="3749" s="12" customFormat="1" x14ac:dyDescent="0.25"/>
    <row r="3750" s="12" customFormat="1" x14ac:dyDescent="0.25"/>
    <row r="3751" s="12" customFormat="1" x14ac:dyDescent="0.25"/>
    <row r="3752" s="12" customFormat="1" x14ac:dyDescent="0.25"/>
    <row r="3753" s="12" customFormat="1" x14ac:dyDescent="0.25"/>
    <row r="3754" s="12" customFormat="1" x14ac:dyDescent="0.25"/>
    <row r="3755" s="12" customFormat="1" x14ac:dyDescent="0.25"/>
    <row r="3756" s="12" customFormat="1" x14ac:dyDescent="0.25"/>
    <row r="3757" s="12" customFormat="1" x14ac:dyDescent="0.25"/>
    <row r="3758" s="12" customFormat="1" x14ac:dyDescent="0.25"/>
    <row r="3759" s="12" customFormat="1" x14ac:dyDescent="0.25"/>
    <row r="3760" s="12" customFormat="1" x14ac:dyDescent="0.25"/>
    <row r="3761" s="12" customFormat="1" x14ac:dyDescent="0.25"/>
    <row r="3762" s="12" customFormat="1" x14ac:dyDescent="0.25"/>
    <row r="3763" s="12" customFormat="1" x14ac:dyDescent="0.25"/>
    <row r="3764" s="12" customFormat="1" x14ac:dyDescent="0.25"/>
    <row r="3765" s="12" customFormat="1" x14ac:dyDescent="0.25"/>
    <row r="3766" s="12" customFormat="1" x14ac:dyDescent="0.25"/>
    <row r="3767" s="12" customFormat="1" x14ac:dyDescent="0.25"/>
    <row r="3768" s="12" customFormat="1" x14ac:dyDescent="0.25"/>
    <row r="3769" s="12" customFormat="1" x14ac:dyDescent="0.25"/>
    <row r="3770" s="12" customFormat="1" x14ac:dyDescent="0.25"/>
    <row r="3771" s="12" customFormat="1" x14ac:dyDescent="0.25"/>
    <row r="3772" s="12" customFormat="1" x14ac:dyDescent="0.25"/>
    <row r="3773" s="12" customFormat="1" x14ac:dyDescent="0.25"/>
    <row r="3774" s="12" customFormat="1" x14ac:dyDescent="0.25"/>
    <row r="3775" s="12" customFormat="1" x14ac:dyDescent="0.25"/>
    <row r="3776" s="12" customFormat="1" x14ac:dyDescent="0.25"/>
    <row r="3777" s="12" customFormat="1" x14ac:dyDescent="0.25"/>
    <row r="3778" s="12" customFormat="1" x14ac:dyDescent="0.25"/>
    <row r="3779" s="12" customFormat="1" x14ac:dyDescent="0.25"/>
    <row r="3780" s="12" customFormat="1" x14ac:dyDescent="0.25"/>
    <row r="3781" s="12" customFormat="1" x14ac:dyDescent="0.25"/>
    <row r="3782" s="12" customFormat="1" x14ac:dyDescent="0.25"/>
    <row r="3783" s="12" customFormat="1" x14ac:dyDescent="0.25"/>
    <row r="3784" s="12" customFormat="1" x14ac:dyDescent="0.25"/>
    <row r="3785" s="12" customFormat="1" x14ac:dyDescent="0.25"/>
    <row r="3786" s="12" customFormat="1" x14ac:dyDescent="0.25"/>
    <row r="3787" s="12" customFormat="1" x14ac:dyDescent="0.25"/>
    <row r="3788" s="12" customFormat="1" x14ac:dyDescent="0.25"/>
    <row r="3789" s="12" customFormat="1" x14ac:dyDescent="0.25"/>
    <row r="3790" s="12" customFormat="1" x14ac:dyDescent="0.25"/>
    <row r="3791" s="12" customFormat="1" x14ac:dyDescent="0.25"/>
    <row r="3792" s="12" customFormat="1" x14ac:dyDescent="0.25"/>
    <row r="3793" s="12" customFormat="1" x14ac:dyDescent="0.25"/>
    <row r="3794" s="12" customFormat="1" x14ac:dyDescent="0.25"/>
    <row r="3795" s="12" customFormat="1" x14ac:dyDescent="0.25"/>
    <row r="3796" s="12" customFormat="1" x14ac:dyDescent="0.25"/>
    <row r="3797" s="12" customFormat="1" x14ac:dyDescent="0.25"/>
    <row r="3798" s="12" customFormat="1" x14ac:dyDescent="0.25"/>
    <row r="3799" s="12" customFormat="1" x14ac:dyDescent="0.25"/>
    <row r="3800" s="12" customFormat="1" x14ac:dyDescent="0.25"/>
    <row r="3801" s="12" customFormat="1" x14ac:dyDescent="0.25"/>
    <row r="3802" s="12" customFormat="1" x14ac:dyDescent="0.25"/>
    <row r="3803" s="12" customFormat="1" x14ac:dyDescent="0.25"/>
    <row r="3804" s="12" customFormat="1" x14ac:dyDescent="0.25"/>
    <row r="3805" s="12" customFormat="1" x14ac:dyDescent="0.25"/>
    <row r="3806" s="12" customFormat="1" x14ac:dyDescent="0.25"/>
    <row r="3807" s="12" customFormat="1" x14ac:dyDescent="0.25"/>
    <row r="3808" s="12" customFormat="1" x14ac:dyDescent="0.25"/>
    <row r="3809" s="12" customFormat="1" x14ac:dyDescent="0.25"/>
    <row r="3810" s="12" customFormat="1" x14ac:dyDescent="0.25"/>
    <row r="3811" s="12" customFormat="1" x14ac:dyDescent="0.25"/>
    <row r="3812" s="12" customFormat="1" x14ac:dyDescent="0.25"/>
    <row r="3813" s="12" customFormat="1" x14ac:dyDescent="0.25"/>
    <row r="3814" s="12" customFormat="1" x14ac:dyDescent="0.25"/>
    <row r="3815" s="12" customFormat="1" x14ac:dyDescent="0.25"/>
    <row r="3816" s="12" customFormat="1" x14ac:dyDescent="0.25"/>
    <row r="3817" s="12" customFormat="1" x14ac:dyDescent="0.25"/>
    <row r="3818" s="12" customFormat="1" x14ac:dyDescent="0.25"/>
    <row r="3819" s="12" customFormat="1" x14ac:dyDescent="0.25"/>
    <row r="3820" s="12" customFormat="1" x14ac:dyDescent="0.25"/>
    <row r="3821" s="12" customFormat="1" x14ac:dyDescent="0.25"/>
    <row r="3822" s="12" customFormat="1" x14ac:dyDescent="0.25"/>
    <row r="3823" s="12" customFormat="1" x14ac:dyDescent="0.25"/>
    <row r="3824" s="12" customFormat="1" x14ac:dyDescent="0.25"/>
    <row r="3825" s="12" customFormat="1" x14ac:dyDescent="0.25"/>
    <row r="3826" s="12" customFormat="1" x14ac:dyDescent="0.25"/>
    <row r="3827" s="12" customFormat="1" x14ac:dyDescent="0.25"/>
    <row r="3828" s="12" customFormat="1" x14ac:dyDescent="0.25"/>
    <row r="3829" s="12" customFormat="1" x14ac:dyDescent="0.25"/>
    <row r="3830" s="12" customFormat="1" x14ac:dyDescent="0.25"/>
    <row r="3831" s="12" customFormat="1" x14ac:dyDescent="0.25"/>
    <row r="3832" s="12" customFormat="1" x14ac:dyDescent="0.25"/>
    <row r="3833" s="12" customFormat="1" x14ac:dyDescent="0.25"/>
    <row r="3834" s="12" customFormat="1" x14ac:dyDescent="0.25"/>
    <row r="3835" s="12" customFormat="1" x14ac:dyDescent="0.25"/>
    <row r="3836" s="12" customFormat="1" x14ac:dyDescent="0.25"/>
    <row r="3837" s="12" customFormat="1" x14ac:dyDescent="0.25"/>
    <row r="3838" s="12" customFormat="1" x14ac:dyDescent="0.25"/>
    <row r="3839" s="12" customFormat="1" x14ac:dyDescent="0.25"/>
    <row r="3840" s="12" customFormat="1" x14ac:dyDescent="0.25"/>
    <row r="3841" s="12" customFormat="1" x14ac:dyDescent="0.25"/>
    <row r="3842" s="12" customFormat="1" x14ac:dyDescent="0.25"/>
    <row r="3843" s="12" customFormat="1" x14ac:dyDescent="0.25"/>
    <row r="3844" s="12" customFormat="1" x14ac:dyDescent="0.25"/>
    <row r="3845" s="12" customFormat="1" x14ac:dyDescent="0.25"/>
    <row r="3846" s="12" customFormat="1" x14ac:dyDescent="0.25"/>
    <row r="3847" s="12" customFormat="1" x14ac:dyDescent="0.25"/>
    <row r="3848" s="12" customFormat="1" x14ac:dyDescent="0.25"/>
    <row r="3849" s="12" customFormat="1" x14ac:dyDescent="0.25"/>
    <row r="3850" s="12" customFormat="1" x14ac:dyDescent="0.25"/>
    <row r="3851" s="12" customFormat="1" x14ac:dyDescent="0.25"/>
    <row r="3852" s="12" customFormat="1" x14ac:dyDescent="0.25"/>
    <row r="3853" s="12" customFormat="1" x14ac:dyDescent="0.25"/>
    <row r="3854" s="12" customFormat="1" x14ac:dyDescent="0.25"/>
    <row r="3855" s="12" customFormat="1" x14ac:dyDescent="0.25"/>
    <row r="3856" s="12" customFormat="1" x14ac:dyDescent="0.25"/>
    <row r="3857" s="12" customFormat="1" x14ac:dyDescent="0.25"/>
    <row r="3858" s="12" customFormat="1" x14ac:dyDescent="0.25"/>
    <row r="3859" s="12" customFormat="1" x14ac:dyDescent="0.25"/>
    <row r="3860" s="12" customFormat="1" x14ac:dyDescent="0.25"/>
    <row r="3861" s="12" customFormat="1" x14ac:dyDescent="0.25"/>
    <row r="3862" s="12" customFormat="1" x14ac:dyDescent="0.25"/>
    <row r="3863" s="12" customFormat="1" x14ac:dyDescent="0.25"/>
    <row r="3864" s="12" customFormat="1" x14ac:dyDescent="0.25"/>
    <row r="3865" s="12" customFormat="1" x14ac:dyDescent="0.25"/>
    <row r="3866" s="12" customFormat="1" x14ac:dyDescent="0.25"/>
    <row r="3867" s="12" customFormat="1" x14ac:dyDescent="0.25"/>
    <row r="3868" s="12" customFormat="1" x14ac:dyDescent="0.25"/>
    <row r="3869" s="12" customFormat="1" x14ac:dyDescent="0.25"/>
    <row r="3870" s="12" customFormat="1" x14ac:dyDescent="0.25"/>
    <row r="3871" s="12" customFormat="1" x14ac:dyDescent="0.25"/>
    <row r="3872" s="12" customFormat="1" x14ac:dyDescent="0.25"/>
    <row r="3873" s="12" customFormat="1" x14ac:dyDescent="0.25"/>
    <row r="3874" s="12" customFormat="1" x14ac:dyDescent="0.25"/>
    <row r="3875" s="12" customFormat="1" x14ac:dyDescent="0.25"/>
    <row r="3876" s="12" customFormat="1" x14ac:dyDescent="0.25"/>
    <row r="3877" s="12" customFormat="1" x14ac:dyDescent="0.25"/>
    <row r="3878" s="12" customFormat="1" x14ac:dyDescent="0.25"/>
    <row r="3879" s="12" customFormat="1" x14ac:dyDescent="0.25"/>
    <row r="3880" s="12" customFormat="1" x14ac:dyDescent="0.25"/>
    <row r="3881" s="12" customFormat="1" x14ac:dyDescent="0.25"/>
    <row r="3882" s="12" customFormat="1" x14ac:dyDescent="0.25"/>
    <row r="3883" s="12" customFormat="1" x14ac:dyDescent="0.25"/>
    <row r="3884" s="12" customFormat="1" x14ac:dyDescent="0.25"/>
    <row r="3885" s="12" customFormat="1" x14ac:dyDescent="0.25"/>
    <row r="3886" s="12" customFormat="1" x14ac:dyDescent="0.25"/>
    <row r="3887" s="12" customFormat="1" x14ac:dyDescent="0.25"/>
    <row r="3888" s="12" customFormat="1" x14ac:dyDescent="0.25"/>
    <row r="3889" s="12" customFormat="1" x14ac:dyDescent="0.25"/>
    <row r="3890" s="12" customFormat="1" x14ac:dyDescent="0.25"/>
    <row r="3891" s="12" customFormat="1" x14ac:dyDescent="0.25"/>
    <row r="3892" s="12" customFormat="1" x14ac:dyDescent="0.25"/>
    <row r="3893" s="12" customFormat="1" x14ac:dyDescent="0.25"/>
    <row r="3894" s="12" customFormat="1" x14ac:dyDescent="0.25"/>
    <row r="3895" s="12" customFormat="1" x14ac:dyDescent="0.25"/>
    <row r="3896" s="12" customFormat="1" x14ac:dyDescent="0.25"/>
    <row r="3897" s="12" customFormat="1" x14ac:dyDescent="0.25"/>
    <row r="3898" s="12" customFormat="1" x14ac:dyDescent="0.25"/>
    <row r="3899" s="12" customFormat="1" x14ac:dyDescent="0.25"/>
    <row r="3900" s="12" customFormat="1" x14ac:dyDescent="0.25"/>
    <row r="3901" s="12" customFormat="1" x14ac:dyDescent="0.25"/>
    <row r="3902" s="12" customFormat="1" x14ac:dyDescent="0.25"/>
    <row r="3903" s="12" customFormat="1" x14ac:dyDescent="0.25"/>
    <row r="3904" s="12" customFormat="1" x14ac:dyDescent="0.25"/>
    <row r="3905" s="12" customFormat="1" x14ac:dyDescent="0.25"/>
    <row r="3906" s="12" customFormat="1" x14ac:dyDescent="0.25"/>
    <row r="3907" s="12" customFormat="1" x14ac:dyDescent="0.25"/>
    <row r="3908" s="12" customFormat="1" x14ac:dyDescent="0.25"/>
    <row r="3909" s="12" customFormat="1" x14ac:dyDescent="0.25"/>
    <row r="3910" s="12" customFormat="1" x14ac:dyDescent="0.25"/>
    <row r="3911" s="12" customFormat="1" x14ac:dyDescent="0.25"/>
    <row r="3912" s="12" customFormat="1" x14ac:dyDescent="0.25"/>
    <row r="3913" s="12" customFormat="1" x14ac:dyDescent="0.25"/>
    <row r="3914" s="12" customFormat="1" x14ac:dyDescent="0.25"/>
    <row r="3915" s="12" customFormat="1" x14ac:dyDescent="0.25"/>
    <row r="3916" s="12" customFormat="1" x14ac:dyDescent="0.25"/>
    <row r="3917" s="12" customFormat="1" x14ac:dyDescent="0.25"/>
    <row r="3918" s="12" customFormat="1" x14ac:dyDescent="0.25"/>
    <row r="3919" s="12" customFormat="1" x14ac:dyDescent="0.25"/>
    <row r="3920" s="12" customFormat="1" x14ac:dyDescent="0.25"/>
    <row r="3921" s="12" customFormat="1" x14ac:dyDescent="0.25"/>
    <row r="3922" s="12" customFormat="1" x14ac:dyDescent="0.25"/>
    <row r="3923" s="12" customFormat="1" x14ac:dyDescent="0.25"/>
    <row r="3924" s="12" customFormat="1" x14ac:dyDescent="0.25"/>
    <row r="3925" s="12" customFormat="1" x14ac:dyDescent="0.25"/>
    <row r="3926" s="12" customFormat="1" x14ac:dyDescent="0.25"/>
    <row r="3927" s="12" customFormat="1" x14ac:dyDescent="0.25"/>
    <row r="3928" s="12" customFormat="1" x14ac:dyDescent="0.25"/>
    <row r="3929" s="12" customFormat="1" x14ac:dyDescent="0.25"/>
    <row r="3930" s="12" customFormat="1" x14ac:dyDescent="0.25"/>
    <row r="3931" s="12" customFormat="1" x14ac:dyDescent="0.25"/>
    <row r="3932" s="12" customFormat="1" x14ac:dyDescent="0.25"/>
    <row r="3933" s="12" customFormat="1" x14ac:dyDescent="0.25"/>
    <row r="3934" s="12" customFormat="1" x14ac:dyDescent="0.25"/>
    <row r="3935" s="12" customFormat="1" x14ac:dyDescent="0.25"/>
    <row r="3936" s="12" customFormat="1" x14ac:dyDescent="0.25"/>
    <row r="3937" s="12" customFormat="1" x14ac:dyDescent="0.25"/>
    <row r="3938" s="12" customFormat="1" x14ac:dyDescent="0.25"/>
    <row r="3939" s="12" customFormat="1" x14ac:dyDescent="0.25"/>
    <row r="3940" s="12" customFormat="1" x14ac:dyDescent="0.25"/>
    <row r="3941" s="12" customFormat="1" x14ac:dyDescent="0.25"/>
    <row r="3942" s="12" customFormat="1" x14ac:dyDescent="0.25"/>
    <row r="3943" s="12" customFormat="1" x14ac:dyDescent="0.25"/>
    <row r="3944" s="12" customFormat="1" x14ac:dyDescent="0.25"/>
    <row r="3945" s="12" customFormat="1" x14ac:dyDescent="0.25"/>
    <row r="3946" s="12" customFormat="1" x14ac:dyDescent="0.25"/>
    <row r="3947" s="12" customFormat="1" x14ac:dyDescent="0.25"/>
    <row r="3948" s="12" customFormat="1" x14ac:dyDescent="0.25"/>
    <row r="3949" s="12" customFormat="1" x14ac:dyDescent="0.25"/>
    <row r="3950" s="12" customFormat="1" x14ac:dyDescent="0.25"/>
    <row r="3951" s="12" customFormat="1" x14ac:dyDescent="0.25"/>
    <row r="3952" s="12" customFormat="1" x14ac:dyDescent="0.25"/>
    <row r="3953" s="12" customFormat="1" x14ac:dyDescent="0.25"/>
    <row r="3954" s="12" customFormat="1" x14ac:dyDescent="0.25"/>
    <row r="3955" s="12" customFormat="1" x14ac:dyDescent="0.25"/>
    <row r="3956" s="12" customFormat="1" x14ac:dyDescent="0.25"/>
    <row r="3957" s="12" customFormat="1" x14ac:dyDescent="0.25"/>
    <row r="3958" s="12" customFormat="1" x14ac:dyDescent="0.25"/>
    <row r="3959" s="12" customFormat="1" x14ac:dyDescent="0.25"/>
    <row r="3960" s="12" customFormat="1" x14ac:dyDescent="0.25"/>
    <row r="3961" s="12" customFormat="1" x14ac:dyDescent="0.25"/>
    <row r="3962" s="12" customFormat="1" x14ac:dyDescent="0.25"/>
    <row r="3963" s="12" customFormat="1" x14ac:dyDescent="0.25"/>
    <row r="3964" s="12" customFormat="1" x14ac:dyDescent="0.25"/>
    <row r="3965" s="12" customFormat="1" x14ac:dyDescent="0.25"/>
    <row r="3966" s="12" customFormat="1" x14ac:dyDescent="0.25"/>
    <row r="3967" s="12" customFormat="1" x14ac:dyDescent="0.25"/>
    <row r="3968" s="12" customFormat="1" x14ac:dyDescent="0.25"/>
    <row r="3969" s="12" customFormat="1" x14ac:dyDescent="0.25"/>
    <row r="3970" s="12" customFormat="1" x14ac:dyDescent="0.25"/>
    <row r="3971" s="12" customFormat="1" x14ac:dyDescent="0.25"/>
    <row r="3972" s="12" customFormat="1" x14ac:dyDescent="0.25"/>
    <row r="3973" s="12" customFormat="1" x14ac:dyDescent="0.25"/>
    <row r="3974" s="12" customFormat="1" x14ac:dyDescent="0.25"/>
    <row r="3975" s="12" customFormat="1" x14ac:dyDescent="0.25"/>
    <row r="3976" s="12" customFormat="1" x14ac:dyDescent="0.25"/>
    <row r="3977" s="12" customFormat="1" x14ac:dyDescent="0.25"/>
    <row r="3978" s="12" customFormat="1" x14ac:dyDescent="0.25"/>
    <row r="3979" s="12" customFormat="1" x14ac:dyDescent="0.25"/>
    <row r="3980" s="12" customFormat="1" x14ac:dyDescent="0.25"/>
    <row r="3981" s="12" customFormat="1" x14ac:dyDescent="0.25"/>
    <row r="3982" s="12" customFormat="1" x14ac:dyDescent="0.25"/>
    <row r="3983" s="12" customFormat="1" x14ac:dyDescent="0.25"/>
    <row r="3984" s="12" customFormat="1" x14ac:dyDescent="0.25"/>
    <row r="3985" s="12" customFormat="1" x14ac:dyDescent="0.25"/>
    <row r="3986" s="12" customFormat="1" x14ac:dyDescent="0.25"/>
    <row r="3987" s="12" customFormat="1" x14ac:dyDescent="0.25"/>
    <row r="3988" s="12" customFormat="1" x14ac:dyDescent="0.25"/>
    <row r="3989" s="12" customFormat="1" x14ac:dyDescent="0.25"/>
    <row r="3990" s="12" customFormat="1" x14ac:dyDescent="0.25"/>
    <row r="3991" s="12" customFormat="1" x14ac:dyDescent="0.25"/>
    <row r="3992" s="12" customFormat="1" x14ac:dyDescent="0.25"/>
    <row r="3993" s="12" customFormat="1" x14ac:dyDescent="0.25"/>
    <row r="3994" s="12" customFormat="1" x14ac:dyDescent="0.25"/>
    <row r="3995" s="12" customFormat="1" x14ac:dyDescent="0.25"/>
    <row r="3996" s="12" customFormat="1" x14ac:dyDescent="0.25"/>
    <row r="3997" s="12" customFormat="1" x14ac:dyDescent="0.25"/>
    <row r="3998" s="12" customFormat="1" x14ac:dyDescent="0.25"/>
    <row r="3999" s="12" customFormat="1" x14ac:dyDescent="0.25"/>
    <row r="4000" s="12" customFormat="1" x14ac:dyDescent="0.25"/>
    <row r="4001" s="12" customFormat="1" x14ac:dyDescent="0.25"/>
    <row r="4002" s="12" customFormat="1" x14ac:dyDescent="0.25"/>
    <row r="4003" s="12" customFormat="1" x14ac:dyDescent="0.25"/>
    <row r="4004" s="12" customFormat="1" x14ac:dyDescent="0.25"/>
    <row r="4005" s="12" customFormat="1" x14ac:dyDescent="0.25"/>
    <row r="4006" s="12" customFormat="1" x14ac:dyDescent="0.25"/>
    <row r="4007" s="12" customFormat="1" x14ac:dyDescent="0.25"/>
    <row r="4008" s="12" customFormat="1" x14ac:dyDescent="0.25"/>
    <row r="4009" s="12" customFormat="1" x14ac:dyDescent="0.25"/>
    <row r="4010" s="12" customFormat="1" x14ac:dyDescent="0.25"/>
    <row r="4011" s="12" customFormat="1" x14ac:dyDescent="0.25"/>
    <row r="4012" s="12" customFormat="1" x14ac:dyDescent="0.25"/>
    <row r="4013" s="12" customFormat="1" x14ac:dyDescent="0.25"/>
    <row r="4014" s="12" customFormat="1" x14ac:dyDescent="0.25"/>
    <row r="4015" s="12" customFormat="1" x14ac:dyDescent="0.25"/>
    <row r="4016" s="12" customFormat="1" x14ac:dyDescent="0.25"/>
    <row r="4017" s="12" customFormat="1" x14ac:dyDescent="0.25"/>
    <row r="4018" s="12" customFormat="1" x14ac:dyDescent="0.25"/>
    <row r="4019" s="12" customFormat="1" x14ac:dyDescent="0.25"/>
    <row r="4020" s="12" customFormat="1" x14ac:dyDescent="0.25"/>
    <row r="4021" s="12" customFormat="1" x14ac:dyDescent="0.25"/>
    <row r="4022" s="12" customFormat="1" x14ac:dyDescent="0.25"/>
    <row r="4023" s="12" customFormat="1" x14ac:dyDescent="0.25"/>
    <row r="4024" s="12" customFormat="1" x14ac:dyDescent="0.25"/>
    <row r="4025" s="12" customFormat="1" x14ac:dyDescent="0.25"/>
    <row r="4026" s="12" customFormat="1" x14ac:dyDescent="0.25"/>
    <row r="4027" s="12" customFormat="1" x14ac:dyDescent="0.25"/>
    <row r="4028" s="12" customFormat="1" x14ac:dyDescent="0.25"/>
    <row r="4029" s="12" customFormat="1" x14ac:dyDescent="0.25"/>
    <row r="4030" s="12" customFormat="1" x14ac:dyDescent="0.25"/>
    <row r="4031" s="12" customFormat="1" x14ac:dyDescent="0.25"/>
    <row r="4032" s="12" customFormat="1" x14ac:dyDescent="0.25"/>
    <row r="4033" s="12" customFormat="1" x14ac:dyDescent="0.25"/>
    <row r="4034" s="12" customFormat="1" x14ac:dyDescent="0.25"/>
    <row r="4035" s="12" customFormat="1" x14ac:dyDescent="0.25"/>
    <row r="4036" s="12" customFormat="1" x14ac:dyDescent="0.25"/>
    <row r="4037" s="12" customFormat="1" x14ac:dyDescent="0.25"/>
    <row r="4038" s="12" customFormat="1" x14ac:dyDescent="0.25"/>
    <row r="4039" s="12" customFormat="1" x14ac:dyDescent="0.25"/>
    <row r="4040" s="12" customFormat="1" x14ac:dyDescent="0.25"/>
    <row r="4041" s="12" customFormat="1" x14ac:dyDescent="0.25"/>
    <row r="4042" s="12" customFormat="1" x14ac:dyDescent="0.25"/>
    <row r="4043" s="12" customFormat="1" x14ac:dyDescent="0.25"/>
    <row r="4044" s="12" customFormat="1" x14ac:dyDescent="0.25"/>
    <row r="4045" s="12" customFormat="1" x14ac:dyDescent="0.25"/>
    <row r="4046" s="12" customFormat="1" x14ac:dyDescent="0.25"/>
    <row r="4047" s="12" customFormat="1" x14ac:dyDescent="0.25"/>
    <row r="4048" s="12" customFormat="1" x14ac:dyDescent="0.25"/>
    <row r="4049" s="12" customFormat="1" x14ac:dyDescent="0.25"/>
    <row r="4050" s="12" customFormat="1" x14ac:dyDescent="0.25"/>
    <row r="4051" s="12" customFormat="1" x14ac:dyDescent="0.25"/>
    <row r="4052" s="12" customFormat="1" x14ac:dyDescent="0.25"/>
    <row r="4053" s="12" customFormat="1" x14ac:dyDescent="0.25"/>
    <row r="4054" s="12" customFormat="1" x14ac:dyDescent="0.25"/>
    <row r="4055" s="12" customFormat="1" x14ac:dyDescent="0.25"/>
    <row r="4056" s="12" customFormat="1" x14ac:dyDescent="0.25"/>
    <row r="4057" s="12" customFormat="1" x14ac:dyDescent="0.25"/>
    <row r="4058" s="12" customFormat="1" x14ac:dyDescent="0.25"/>
    <row r="4059" s="12" customFormat="1" x14ac:dyDescent="0.25"/>
    <row r="4060" s="12" customFormat="1" x14ac:dyDescent="0.25"/>
    <row r="4061" s="12" customFormat="1" x14ac:dyDescent="0.25"/>
    <row r="4062" s="12" customFormat="1" x14ac:dyDescent="0.25"/>
    <row r="4063" s="12" customFormat="1" x14ac:dyDescent="0.25"/>
    <row r="4064" s="12" customFormat="1" x14ac:dyDescent="0.25"/>
    <row r="4065" s="12" customFormat="1" x14ac:dyDescent="0.25"/>
    <row r="4066" s="12" customFormat="1" x14ac:dyDescent="0.25"/>
    <row r="4067" s="12" customFormat="1" x14ac:dyDescent="0.25"/>
    <row r="4068" s="12" customFormat="1" x14ac:dyDescent="0.25"/>
    <row r="4069" s="12" customFormat="1" x14ac:dyDescent="0.25"/>
    <row r="4070" s="12" customFormat="1" x14ac:dyDescent="0.25"/>
    <row r="4071" s="12" customFormat="1" x14ac:dyDescent="0.25"/>
    <row r="4072" s="12" customFormat="1" x14ac:dyDescent="0.25"/>
    <row r="4073" s="12" customFormat="1" x14ac:dyDescent="0.25"/>
    <row r="4074" s="12" customFormat="1" x14ac:dyDescent="0.25"/>
    <row r="4075" s="12" customFormat="1" x14ac:dyDescent="0.25"/>
    <row r="4076" s="12" customFormat="1" x14ac:dyDescent="0.25"/>
    <row r="4077" s="12" customFormat="1" x14ac:dyDescent="0.25"/>
    <row r="4078" s="12" customFormat="1" x14ac:dyDescent="0.25"/>
    <row r="4079" s="12" customFormat="1" x14ac:dyDescent="0.25"/>
    <row r="4080" s="12" customFormat="1" x14ac:dyDescent="0.25"/>
    <row r="4081" s="12" customFormat="1" x14ac:dyDescent="0.25"/>
    <row r="4082" s="12" customFormat="1" x14ac:dyDescent="0.25"/>
    <row r="4083" s="12" customFormat="1" x14ac:dyDescent="0.25"/>
    <row r="4084" s="12" customFormat="1" x14ac:dyDescent="0.25"/>
    <row r="4085" s="12" customFormat="1" x14ac:dyDescent="0.25"/>
    <row r="4086" s="12" customFormat="1" x14ac:dyDescent="0.25"/>
    <row r="4087" s="12" customFormat="1" x14ac:dyDescent="0.25"/>
    <row r="4088" s="12" customFormat="1" x14ac:dyDescent="0.25"/>
    <row r="4089" s="12" customFormat="1" x14ac:dyDescent="0.25"/>
    <row r="4090" s="12" customFormat="1" x14ac:dyDescent="0.25"/>
    <row r="4091" s="12" customFormat="1" x14ac:dyDescent="0.25"/>
    <row r="4092" s="12" customFormat="1" x14ac:dyDescent="0.25"/>
    <row r="4093" s="12" customFormat="1" x14ac:dyDescent="0.25"/>
    <row r="4094" s="12" customFormat="1" x14ac:dyDescent="0.25"/>
    <row r="4095" s="12" customFormat="1" x14ac:dyDescent="0.25"/>
    <row r="4096" s="12" customFormat="1" x14ac:dyDescent="0.25"/>
    <row r="4097" s="12" customFormat="1" x14ac:dyDescent="0.25"/>
    <row r="4098" s="12" customFormat="1" x14ac:dyDescent="0.25"/>
    <row r="4099" s="12" customFormat="1" x14ac:dyDescent="0.25"/>
    <row r="4100" s="12" customFormat="1" x14ac:dyDescent="0.25"/>
    <row r="4101" s="12" customFormat="1" x14ac:dyDescent="0.25"/>
    <row r="4102" s="12" customFormat="1" x14ac:dyDescent="0.25"/>
    <row r="4103" s="12" customFormat="1" x14ac:dyDescent="0.25"/>
    <row r="4104" s="12" customFormat="1" x14ac:dyDescent="0.25"/>
    <row r="4105" s="12" customFormat="1" x14ac:dyDescent="0.25"/>
    <row r="4106" s="12" customFormat="1" x14ac:dyDescent="0.25"/>
    <row r="4107" s="12" customFormat="1" x14ac:dyDescent="0.25"/>
    <row r="4108" s="12" customFormat="1" x14ac:dyDescent="0.25"/>
    <row r="4109" s="12" customFormat="1" x14ac:dyDescent="0.25"/>
    <row r="4110" s="12" customFormat="1" x14ac:dyDescent="0.25"/>
    <row r="4111" s="12" customFormat="1" x14ac:dyDescent="0.25"/>
    <row r="4112" s="12" customFormat="1" x14ac:dyDescent="0.25"/>
    <row r="4113" s="12" customFormat="1" x14ac:dyDescent="0.25"/>
    <row r="4114" s="12" customFormat="1" x14ac:dyDescent="0.25"/>
    <row r="4115" s="12" customFormat="1" x14ac:dyDescent="0.25"/>
    <row r="4116" s="12" customFormat="1" x14ac:dyDescent="0.25"/>
    <row r="4117" s="12" customFormat="1" x14ac:dyDescent="0.25"/>
    <row r="4118" s="12" customFormat="1" x14ac:dyDescent="0.25"/>
    <row r="4119" s="12" customFormat="1" x14ac:dyDescent="0.25"/>
    <row r="4120" s="12" customFormat="1" x14ac:dyDescent="0.25"/>
    <row r="4121" s="12" customFormat="1" x14ac:dyDescent="0.25"/>
    <row r="4122" s="12" customFormat="1" x14ac:dyDescent="0.25"/>
    <row r="4123" s="12" customFormat="1" x14ac:dyDescent="0.25"/>
    <row r="4124" s="12" customFormat="1" x14ac:dyDescent="0.25"/>
    <row r="4125" s="12" customFormat="1" x14ac:dyDescent="0.25"/>
    <row r="4126" s="12" customFormat="1" x14ac:dyDescent="0.25"/>
    <row r="4127" s="12" customFormat="1" x14ac:dyDescent="0.25"/>
    <row r="4128" s="12" customFormat="1" x14ac:dyDescent="0.25"/>
    <row r="4129" s="12" customFormat="1" x14ac:dyDescent="0.25"/>
    <row r="4130" s="12" customFormat="1" x14ac:dyDescent="0.25"/>
    <row r="4131" s="12" customFormat="1" x14ac:dyDescent="0.25"/>
    <row r="4132" s="12" customFormat="1" x14ac:dyDescent="0.25"/>
    <row r="4133" s="12" customFormat="1" x14ac:dyDescent="0.25"/>
    <row r="4134" s="12" customFormat="1" x14ac:dyDescent="0.25"/>
    <row r="4135" s="12" customFormat="1" x14ac:dyDescent="0.25"/>
    <row r="4136" s="12" customFormat="1" x14ac:dyDescent="0.25"/>
    <row r="4137" s="12" customFormat="1" x14ac:dyDescent="0.25"/>
    <row r="4138" s="12" customFormat="1" x14ac:dyDescent="0.25"/>
    <row r="4139" s="12" customFormat="1" x14ac:dyDescent="0.25"/>
    <row r="4140" s="12" customFormat="1" x14ac:dyDescent="0.25"/>
    <row r="4141" s="12" customFormat="1" x14ac:dyDescent="0.25"/>
    <row r="4142" s="12" customFormat="1" x14ac:dyDescent="0.25"/>
    <row r="4143" s="12" customFormat="1" x14ac:dyDescent="0.25"/>
    <row r="4144" s="12" customFormat="1" x14ac:dyDescent="0.25"/>
    <row r="4145" s="12" customFormat="1" x14ac:dyDescent="0.25"/>
    <row r="4146" s="12" customFormat="1" x14ac:dyDescent="0.25"/>
    <row r="4147" s="12" customFormat="1" x14ac:dyDescent="0.25"/>
    <row r="4148" s="12" customFormat="1" x14ac:dyDescent="0.25"/>
    <row r="4149" s="12" customFormat="1" x14ac:dyDescent="0.25"/>
    <row r="4150" s="12" customFormat="1" x14ac:dyDescent="0.25"/>
    <row r="4151" s="12" customFormat="1" x14ac:dyDescent="0.25"/>
    <row r="4152" s="12" customFormat="1" x14ac:dyDescent="0.25"/>
    <row r="4153" s="12" customFormat="1" x14ac:dyDescent="0.25"/>
    <row r="4154" s="12" customFormat="1" x14ac:dyDescent="0.25"/>
    <row r="4155" s="12" customFormat="1" x14ac:dyDescent="0.25"/>
    <row r="4156" s="12" customFormat="1" x14ac:dyDescent="0.25"/>
    <row r="4157" s="12" customFormat="1" x14ac:dyDescent="0.25"/>
    <row r="4158" s="12" customFormat="1" x14ac:dyDescent="0.25"/>
    <row r="4159" s="12" customFormat="1" x14ac:dyDescent="0.25"/>
    <row r="4160" s="12" customFormat="1" x14ac:dyDescent="0.25"/>
    <row r="4161" s="12" customFormat="1" x14ac:dyDescent="0.25"/>
    <row r="4162" s="12" customFormat="1" x14ac:dyDescent="0.25"/>
    <row r="4163" s="12" customFormat="1" x14ac:dyDescent="0.25"/>
    <row r="4164" s="12" customFormat="1" x14ac:dyDescent="0.25"/>
    <row r="4165" s="12" customFormat="1" x14ac:dyDescent="0.25"/>
    <row r="4166" s="12" customFormat="1" x14ac:dyDescent="0.25"/>
    <row r="4167" s="12" customFormat="1" x14ac:dyDescent="0.25"/>
    <row r="4168" s="12" customFormat="1" x14ac:dyDescent="0.25"/>
    <row r="4169" s="12" customFormat="1" x14ac:dyDescent="0.25"/>
    <row r="4170" s="12" customFormat="1" x14ac:dyDescent="0.25"/>
    <row r="4171" s="12" customFormat="1" x14ac:dyDescent="0.25"/>
    <row r="4172" s="12" customFormat="1" x14ac:dyDescent="0.25"/>
    <row r="4173" s="12" customFormat="1" x14ac:dyDescent="0.25"/>
    <row r="4174" s="12" customFormat="1" x14ac:dyDescent="0.25"/>
    <row r="4175" s="12" customFormat="1" x14ac:dyDescent="0.25"/>
    <row r="4176" s="12" customFormat="1" x14ac:dyDescent="0.25"/>
    <row r="4177" s="12" customFormat="1" x14ac:dyDescent="0.25"/>
    <row r="4178" s="12" customFormat="1" x14ac:dyDescent="0.25"/>
    <row r="4179" s="12" customFormat="1" x14ac:dyDescent="0.25"/>
    <row r="4180" s="12" customFormat="1" x14ac:dyDescent="0.25"/>
    <row r="4181" s="12" customFormat="1" x14ac:dyDescent="0.25"/>
    <row r="4182" s="12" customFormat="1" x14ac:dyDescent="0.25"/>
    <row r="4183" s="12" customFormat="1" x14ac:dyDescent="0.25"/>
    <row r="4184" s="12" customFormat="1" x14ac:dyDescent="0.25"/>
    <row r="4185" s="12" customFormat="1" x14ac:dyDescent="0.25"/>
    <row r="4186" s="12" customFormat="1" x14ac:dyDescent="0.25"/>
    <row r="4187" s="12" customFormat="1" x14ac:dyDescent="0.25"/>
    <row r="4188" s="12" customFormat="1" x14ac:dyDescent="0.25"/>
    <row r="4189" s="12" customFormat="1" x14ac:dyDescent="0.25"/>
    <row r="4190" s="12" customFormat="1" x14ac:dyDescent="0.25"/>
    <row r="4191" s="12" customFormat="1" x14ac:dyDescent="0.25"/>
    <row r="4192" s="12" customFormat="1" x14ac:dyDescent="0.25"/>
    <row r="4193" s="12" customFormat="1" x14ac:dyDescent="0.25"/>
    <row r="4194" s="12" customFormat="1" x14ac:dyDescent="0.25"/>
    <row r="4195" s="12" customFormat="1" x14ac:dyDescent="0.25"/>
    <row r="4196" s="12" customFormat="1" x14ac:dyDescent="0.25"/>
    <row r="4197" s="12" customFormat="1" x14ac:dyDescent="0.25"/>
    <row r="4198" s="12" customFormat="1" x14ac:dyDescent="0.25"/>
    <row r="4199" s="12" customFormat="1" x14ac:dyDescent="0.25"/>
    <row r="4200" s="12" customFormat="1" x14ac:dyDescent="0.25"/>
    <row r="4201" s="12" customFormat="1" x14ac:dyDescent="0.25"/>
    <row r="4202" s="12" customFormat="1" x14ac:dyDescent="0.25"/>
    <row r="4203" s="12" customFormat="1" x14ac:dyDescent="0.25"/>
    <row r="4204" s="12" customFormat="1" x14ac:dyDescent="0.25"/>
    <row r="4205" s="12" customFormat="1" x14ac:dyDescent="0.25"/>
    <row r="4206" s="12" customFormat="1" x14ac:dyDescent="0.25"/>
    <row r="4207" s="12" customFormat="1" x14ac:dyDescent="0.25"/>
    <row r="4208" s="12" customFormat="1" x14ac:dyDescent="0.25"/>
    <row r="4209" s="12" customFormat="1" x14ac:dyDescent="0.25"/>
    <row r="4210" s="12" customFormat="1" x14ac:dyDescent="0.25"/>
    <row r="4211" s="12" customFormat="1" x14ac:dyDescent="0.25"/>
    <row r="4212" s="12" customFormat="1" x14ac:dyDescent="0.25"/>
    <row r="4213" s="12" customFormat="1" x14ac:dyDescent="0.25"/>
    <row r="4214" s="12" customFormat="1" x14ac:dyDescent="0.25"/>
    <row r="4215" s="12" customFormat="1" x14ac:dyDescent="0.25"/>
    <row r="4216" s="12" customFormat="1" x14ac:dyDescent="0.25"/>
    <row r="4217" s="12" customFormat="1" x14ac:dyDescent="0.25"/>
    <row r="4218" s="12" customFormat="1" x14ac:dyDescent="0.25"/>
    <row r="4219" s="12" customFormat="1" x14ac:dyDescent="0.25"/>
    <row r="4220" s="12" customFormat="1" x14ac:dyDescent="0.25"/>
    <row r="4221" s="12" customFormat="1" x14ac:dyDescent="0.25"/>
    <row r="4222" s="12" customFormat="1" x14ac:dyDescent="0.25"/>
    <row r="4223" s="12" customFormat="1" x14ac:dyDescent="0.25"/>
    <row r="4224" s="12" customFormat="1" x14ac:dyDescent="0.25"/>
    <row r="4225" s="12" customFormat="1" x14ac:dyDescent="0.25"/>
    <row r="4226" s="12" customFormat="1" x14ac:dyDescent="0.25"/>
    <row r="4227" s="12" customFormat="1" x14ac:dyDescent="0.25"/>
    <row r="4228" s="12" customFormat="1" x14ac:dyDescent="0.25"/>
    <row r="4229" s="12" customFormat="1" x14ac:dyDescent="0.25"/>
    <row r="4230" s="12" customFormat="1" x14ac:dyDescent="0.25"/>
    <row r="4231" s="12" customFormat="1" x14ac:dyDescent="0.25"/>
    <row r="4232" s="12" customFormat="1" x14ac:dyDescent="0.25"/>
    <row r="4233" s="12" customFormat="1" x14ac:dyDescent="0.25"/>
    <row r="4234" s="12" customFormat="1" x14ac:dyDescent="0.25"/>
    <row r="4235" s="12" customFormat="1" x14ac:dyDescent="0.25"/>
    <row r="4236" s="12" customFormat="1" x14ac:dyDescent="0.25"/>
    <row r="4237" s="12" customFormat="1" x14ac:dyDescent="0.25"/>
    <row r="4238" s="12" customFormat="1" x14ac:dyDescent="0.25"/>
    <row r="4239" s="12" customFormat="1" x14ac:dyDescent="0.25"/>
    <row r="4240" s="12" customFormat="1" x14ac:dyDescent="0.25"/>
    <row r="4241" s="12" customFormat="1" x14ac:dyDescent="0.25"/>
    <row r="4242" s="12" customFormat="1" x14ac:dyDescent="0.25"/>
    <row r="4243" s="12" customFormat="1" x14ac:dyDescent="0.25"/>
    <row r="4244" s="12" customFormat="1" x14ac:dyDescent="0.25"/>
    <row r="4245" s="12" customFormat="1" x14ac:dyDescent="0.25"/>
    <row r="4246" s="12" customFormat="1" x14ac:dyDescent="0.25"/>
    <row r="4247" s="12" customFormat="1" x14ac:dyDescent="0.25"/>
    <row r="4248" s="12" customFormat="1" x14ac:dyDescent="0.25"/>
    <row r="4249" s="12" customFormat="1" x14ac:dyDescent="0.25"/>
    <row r="4250" s="12" customFormat="1" x14ac:dyDescent="0.25"/>
    <row r="4251" s="12" customFormat="1" x14ac:dyDescent="0.25"/>
    <row r="4252" s="12" customFormat="1" x14ac:dyDescent="0.25"/>
    <row r="4253" s="12" customFormat="1" x14ac:dyDescent="0.25"/>
    <row r="4254" s="12" customFormat="1" x14ac:dyDescent="0.25"/>
    <row r="4255" s="12" customFormat="1" x14ac:dyDescent="0.25"/>
    <row r="4256" s="12" customFormat="1" x14ac:dyDescent="0.25"/>
    <row r="4257" s="12" customFormat="1" x14ac:dyDescent="0.25"/>
    <row r="4258" s="12" customFormat="1" x14ac:dyDescent="0.25"/>
    <row r="4259" s="12" customFormat="1" x14ac:dyDescent="0.25"/>
    <row r="4260" s="12" customFormat="1" x14ac:dyDescent="0.25"/>
    <row r="4261" s="12" customFormat="1" x14ac:dyDescent="0.25"/>
    <row r="4262" s="12" customFormat="1" x14ac:dyDescent="0.25"/>
    <row r="4263" s="12" customFormat="1" x14ac:dyDescent="0.25"/>
    <row r="4264" s="12" customFormat="1" x14ac:dyDescent="0.25"/>
    <row r="4265" s="12" customFormat="1" x14ac:dyDescent="0.25"/>
    <row r="4266" s="12" customFormat="1" x14ac:dyDescent="0.25"/>
    <row r="4267" s="12" customFormat="1" x14ac:dyDescent="0.25"/>
    <row r="4268" s="12" customFormat="1" x14ac:dyDescent="0.25"/>
    <row r="4269" s="12" customFormat="1" x14ac:dyDescent="0.25"/>
    <row r="4270" s="12" customFormat="1" x14ac:dyDescent="0.25"/>
    <row r="4271" s="12" customFormat="1" x14ac:dyDescent="0.25"/>
    <row r="4272" s="12" customFormat="1" x14ac:dyDescent="0.25"/>
    <row r="4273" s="12" customFormat="1" x14ac:dyDescent="0.25"/>
    <row r="4274" s="12" customFormat="1" x14ac:dyDescent="0.25"/>
    <row r="4275" s="12" customFormat="1" x14ac:dyDescent="0.25"/>
    <row r="4276" s="12" customFormat="1" x14ac:dyDescent="0.25"/>
    <row r="4277" s="12" customFormat="1" x14ac:dyDescent="0.25"/>
    <row r="4278" s="12" customFormat="1" x14ac:dyDescent="0.25"/>
    <row r="4279" s="12" customFormat="1" x14ac:dyDescent="0.25"/>
    <row r="4280" s="12" customFormat="1" x14ac:dyDescent="0.25"/>
    <row r="4281" s="12" customFormat="1" x14ac:dyDescent="0.25"/>
    <row r="4282" s="12" customFormat="1" x14ac:dyDescent="0.25"/>
    <row r="4283" s="12" customFormat="1" x14ac:dyDescent="0.25"/>
    <row r="4284" s="12" customFormat="1" x14ac:dyDescent="0.25"/>
    <row r="4285" s="12" customFormat="1" x14ac:dyDescent="0.25"/>
    <row r="4286" s="12" customFormat="1" x14ac:dyDescent="0.25"/>
    <row r="4287" s="12" customFormat="1" x14ac:dyDescent="0.25"/>
    <row r="4288" s="12" customFormat="1" x14ac:dyDescent="0.25"/>
    <row r="4289" s="12" customFormat="1" x14ac:dyDescent="0.25"/>
    <row r="4290" s="12" customFormat="1" x14ac:dyDescent="0.25"/>
    <row r="4291" s="12" customFormat="1" x14ac:dyDescent="0.25"/>
    <row r="4292" s="12" customFormat="1" x14ac:dyDescent="0.25"/>
    <row r="4293" s="12" customFormat="1" x14ac:dyDescent="0.25"/>
    <row r="4294" s="12" customFormat="1" x14ac:dyDescent="0.25"/>
    <row r="4295" s="12" customFormat="1" x14ac:dyDescent="0.25"/>
    <row r="4296" s="12" customFormat="1" x14ac:dyDescent="0.25"/>
    <row r="4297" s="12" customFormat="1" x14ac:dyDescent="0.25"/>
    <row r="4298" s="12" customFormat="1" x14ac:dyDescent="0.25"/>
    <row r="4299" s="12" customFormat="1" x14ac:dyDescent="0.25"/>
    <row r="4300" s="12" customFormat="1" x14ac:dyDescent="0.25"/>
    <row r="4301" s="12" customFormat="1" x14ac:dyDescent="0.25"/>
    <row r="4302" s="12" customFormat="1" x14ac:dyDescent="0.25"/>
    <row r="4303" s="12" customFormat="1" x14ac:dyDescent="0.25"/>
    <row r="4304" s="12" customFormat="1" x14ac:dyDescent="0.25"/>
    <row r="4305" s="12" customFormat="1" x14ac:dyDescent="0.25"/>
    <row r="4306" s="12" customFormat="1" x14ac:dyDescent="0.25"/>
    <row r="4307" s="12" customFormat="1" x14ac:dyDescent="0.25"/>
    <row r="4308" s="12" customFormat="1" x14ac:dyDescent="0.25"/>
    <row r="4309" s="12" customFormat="1" x14ac:dyDescent="0.25"/>
    <row r="4310" s="12" customFormat="1" x14ac:dyDescent="0.25"/>
    <row r="4311" s="12" customFormat="1" x14ac:dyDescent="0.25"/>
    <row r="4312" s="12" customFormat="1" x14ac:dyDescent="0.25"/>
    <row r="4313" s="12" customFormat="1" x14ac:dyDescent="0.25"/>
    <row r="4314" s="12" customFormat="1" x14ac:dyDescent="0.25"/>
    <row r="4315" s="12" customFormat="1" x14ac:dyDescent="0.25"/>
    <row r="4316" s="12" customFormat="1" x14ac:dyDescent="0.25"/>
    <row r="4317" s="12" customFormat="1" x14ac:dyDescent="0.25"/>
    <row r="4318" s="12" customFormat="1" x14ac:dyDescent="0.25"/>
    <row r="4319" s="12" customFormat="1" x14ac:dyDescent="0.25"/>
    <row r="4320" s="12" customFormat="1" x14ac:dyDescent="0.25"/>
    <row r="4321" s="12" customFormat="1" x14ac:dyDescent="0.25"/>
    <row r="4322" s="12" customFormat="1" x14ac:dyDescent="0.25"/>
    <row r="4323" s="12" customFormat="1" x14ac:dyDescent="0.25"/>
    <row r="4324" s="12" customFormat="1" x14ac:dyDescent="0.25"/>
    <row r="4325" s="12" customFormat="1" x14ac:dyDescent="0.25"/>
    <row r="4326" s="12" customFormat="1" x14ac:dyDescent="0.25"/>
    <row r="4327" s="12" customFormat="1" x14ac:dyDescent="0.25"/>
    <row r="4328" s="12" customFormat="1" x14ac:dyDescent="0.25"/>
    <row r="4329" s="12" customFormat="1" x14ac:dyDescent="0.25"/>
    <row r="4330" s="12" customFormat="1" x14ac:dyDescent="0.25"/>
    <row r="4331" s="12" customFormat="1" x14ac:dyDescent="0.25"/>
    <row r="4332" s="12" customFormat="1" x14ac:dyDescent="0.25"/>
    <row r="4333" s="12" customFormat="1" x14ac:dyDescent="0.25"/>
    <row r="4334" s="12" customFormat="1" x14ac:dyDescent="0.25"/>
    <row r="4335" s="12" customFormat="1" x14ac:dyDescent="0.25"/>
    <row r="4336" s="12" customFormat="1" x14ac:dyDescent="0.25"/>
    <row r="4337" s="12" customFormat="1" x14ac:dyDescent="0.25"/>
    <row r="4338" s="12" customFormat="1" x14ac:dyDescent="0.25"/>
    <row r="4339" s="12" customFormat="1" x14ac:dyDescent="0.25"/>
    <row r="4340" s="12" customFormat="1" x14ac:dyDescent="0.25"/>
    <row r="4341" s="12" customFormat="1" x14ac:dyDescent="0.25"/>
    <row r="4342" s="12" customFormat="1" x14ac:dyDescent="0.25"/>
    <row r="4343" s="12" customFormat="1" x14ac:dyDescent="0.25"/>
    <row r="4344" s="12" customFormat="1" x14ac:dyDescent="0.25"/>
    <row r="4345" s="12" customFormat="1" x14ac:dyDescent="0.25"/>
    <row r="4346" s="12" customFormat="1" x14ac:dyDescent="0.25"/>
    <row r="4347" s="12" customFormat="1" x14ac:dyDescent="0.25"/>
    <row r="4348" s="12" customFormat="1" x14ac:dyDescent="0.25"/>
    <row r="4349" s="12" customFormat="1" x14ac:dyDescent="0.25"/>
    <row r="4350" s="12" customFormat="1" x14ac:dyDescent="0.25"/>
    <row r="4351" s="12" customFormat="1" x14ac:dyDescent="0.25"/>
    <row r="4352" s="12" customFormat="1" x14ac:dyDescent="0.25"/>
    <row r="4353" s="12" customFormat="1" x14ac:dyDescent="0.25"/>
    <row r="4354" s="12" customFormat="1" x14ac:dyDescent="0.25"/>
    <row r="4355" s="12" customFormat="1" x14ac:dyDescent="0.25"/>
    <row r="4356" s="12" customFormat="1" x14ac:dyDescent="0.25"/>
    <row r="4357" s="12" customFormat="1" x14ac:dyDescent="0.25"/>
    <row r="4358" s="12" customFormat="1" x14ac:dyDescent="0.25"/>
    <row r="4359" s="12" customFormat="1" x14ac:dyDescent="0.25"/>
    <row r="4360" s="12" customFormat="1" x14ac:dyDescent="0.25"/>
    <row r="4361" s="12" customFormat="1" x14ac:dyDescent="0.25"/>
    <row r="4362" s="12" customFormat="1" x14ac:dyDescent="0.25"/>
    <row r="4363" s="12" customFormat="1" x14ac:dyDescent="0.25"/>
    <row r="4364" s="12" customFormat="1" x14ac:dyDescent="0.25"/>
    <row r="4365" s="12" customFormat="1" x14ac:dyDescent="0.25"/>
    <row r="4366" s="12" customFormat="1" x14ac:dyDescent="0.25"/>
    <row r="4367" s="12" customFormat="1" x14ac:dyDescent="0.25"/>
    <row r="4368" s="12" customFormat="1" x14ac:dyDescent="0.25"/>
    <row r="4369" s="12" customFormat="1" x14ac:dyDescent="0.25"/>
    <row r="4370" s="12" customFormat="1" x14ac:dyDescent="0.25"/>
    <row r="4371" s="12" customFormat="1" x14ac:dyDescent="0.25"/>
    <row r="4372" s="12" customFormat="1" x14ac:dyDescent="0.25"/>
    <row r="4373" s="12" customFormat="1" x14ac:dyDescent="0.25"/>
    <row r="4374" s="12" customFormat="1" x14ac:dyDescent="0.25"/>
    <row r="4375" s="12" customFormat="1" x14ac:dyDescent="0.25"/>
    <row r="4376" s="12" customFormat="1" x14ac:dyDescent="0.25"/>
    <row r="4377" s="12" customFormat="1" x14ac:dyDescent="0.25"/>
    <row r="4378" s="12" customFormat="1" x14ac:dyDescent="0.25"/>
    <row r="4379" s="12" customFormat="1" x14ac:dyDescent="0.25"/>
    <row r="4380" s="12" customFormat="1" x14ac:dyDescent="0.25"/>
    <row r="4381" s="12" customFormat="1" x14ac:dyDescent="0.25"/>
    <row r="4382" s="12" customFormat="1" x14ac:dyDescent="0.25"/>
    <row r="4383" s="12" customFormat="1" x14ac:dyDescent="0.25"/>
    <row r="4384" s="12" customFormat="1" x14ac:dyDescent="0.25"/>
    <row r="4385" s="12" customFormat="1" x14ac:dyDescent="0.25"/>
    <row r="4386" s="12" customFormat="1" x14ac:dyDescent="0.25"/>
    <row r="4387" s="12" customFormat="1" x14ac:dyDescent="0.25"/>
    <row r="4388" s="12" customFormat="1" x14ac:dyDescent="0.25"/>
    <row r="4389" s="12" customFormat="1" x14ac:dyDescent="0.25"/>
    <row r="4390" s="12" customFormat="1" x14ac:dyDescent="0.25"/>
    <row r="4391" s="12" customFormat="1" x14ac:dyDescent="0.25"/>
    <row r="4392" s="12" customFormat="1" x14ac:dyDescent="0.25"/>
    <row r="4393" s="12" customFormat="1" x14ac:dyDescent="0.25"/>
    <row r="4394" s="12" customFormat="1" x14ac:dyDescent="0.25"/>
    <row r="4395" s="12" customFormat="1" x14ac:dyDescent="0.25"/>
    <row r="4396" s="12" customFormat="1" x14ac:dyDescent="0.25"/>
    <row r="4397" s="12" customFormat="1" x14ac:dyDescent="0.25"/>
    <row r="4398" s="12" customFormat="1" x14ac:dyDescent="0.25"/>
    <row r="4399" s="12" customFormat="1" x14ac:dyDescent="0.25"/>
    <row r="4400" s="12" customFormat="1" x14ac:dyDescent="0.25"/>
    <row r="4401" s="12" customFormat="1" x14ac:dyDescent="0.25"/>
    <row r="4402" s="12" customFormat="1" x14ac:dyDescent="0.25"/>
    <row r="4403" s="12" customFormat="1" x14ac:dyDescent="0.25"/>
    <row r="4404" s="12" customFormat="1" x14ac:dyDescent="0.25"/>
    <row r="4405" s="12" customFormat="1" x14ac:dyDescent="0.25"/>
    <row r="4406" s="12" customFormat="1" x14ac:dyDescent="0.25"/>
    <row r="4407" s="12" customFormat="1" x14ac:dyDescent="0.25"/>
    <row r="4408" s="12" customFormat="1" x14ac:dyDescent="0.25"/>
    <row r="4409" s="12" customFormat="1" x14ac:dyDescent="0.25"/>
    <row r="4410" s="12" customFormat="1" x14ac:dyDescent="0.25"/>
    <row r="4411" s="12" customFormat="1" x14ac:dyDescent="0.25"/>
    <row r="4412" s="12" customFormat="1" x14ac:dyDescent="0.25"/>
    <row r="4413" s="12" customFormat="1" x14ac:dyDescent="0.25"/>
    <row r="4414" s="12" customFormat="1" x14ac:dyDescent="0.25"/>
    <row r="4415" s="12" customFormat="1" x14ac:dyDescent="0.25"/>
    <row r="4416" s="12" customFormat="1" x14ac:dyDescent="0.25"/>
    <row r="4417" s="12" customFormat="1" x14ac:dyDescent="0.25"/>
    <row r="4418" s="12" customFormat="1" x14ac:dyDescent="0.25"/>
    <row r="4419" s="12" customFormat="1" x14ac:dyDescent="0.25"/>
    <row r="4420" s="12" customFormat="1" x14ac:dyDescent="0.25"/>
    <row r="4421" s="12" customFormat="1" x14ac:dyDescent="0.25"/>
    <row r="4422" s="12" customFormat="1" x14ac:dyDescent="0.25"/>
    <row r="4423" s="12" customFormat="1" x14ac:dyDescent="0.25"/>
    <row r="4424" s="12" customFormat="1" x14ac:dyDescent="0.25"/>
    <row r="4425" s="12" customFormat="1" x14ac:dyDescent="0.25"/>
    <row r="4426" s="12" customFormat="1" x14ac:dyDescent="0.25"/>
    <row r="4427" s="12" customFormat="1" x14ac:dyDescent="0.25"/>
    <row r="4428" s="12" customFormat="1" x14ac:dyDescent="0.25"/>
    <row r="4429" s="12" customFormat="1" x14ac:dyDescent="0.25"/>
    <row r="4430" s="12" customFormat="1" x14ac:dyDescent="0.25"/>
    <row r="4431" s="12" customFormat="1" x14ac:dyDescent="0.25"/>
    <row r="4432" s="12" customFormat="1" x14ac:dyDescent="0.25"/>
    <row r="4433" s="12" customFormat="1" x14ac:dyDescent="0.25"/>
    <row r="4434" s="12" customFormat="1" x14ac:dyDescent="0.25"/>
    <row r="4435" s="12" customFormat="1" x14ac:dyDescent="0.25"/>
    <row r="4436" s="12" customFormat="1" x14ac:dyDescent="0.25"/>
    <row r="4437" s="12" customFormat="1" x14ac:dyDescent="0.25"/>
    <row r="4438" s="12" customFormat="1" x14ac:dyDescent="0.25"/>
    <row r="4439" s="12" customFormat="1" x14ac:dyDescent="0.25"/>
    <row r="4440" s="12" customFormat="1" x14ac:dyDescent="0.25"/>
    <row r="4441" s="12" customFormat="1" x14ac:dyDescent="0.25"/>
    <row r="4442" s="12" customFormat="1" x14ac:dyDescent="0.25"/>
    <row r="4443" s="12" customFormat="1" x14ac:dyDescent="0.25"/>
    <row r="4444" s="12" customFormat="1" x14ac:dyDescent="0.25"/>
    <row r="4445" s="12" customFormat="1" x14ac:dyDescent="0.25"/>
    <row r="4446" s="12" customFormat="1" x14ac:dyDescent="0.25"/>
    <row r="4447" s="12" customFormat="1" x14ac:dyDescent="0.25"/>
    <row r="4448" s="12" customFormat="1" x14ac:dyDescent="0.25"/>
    <row r="4449" s="12" customFormat="1" x14ac:dyDescent="0.25"/>
    <row r="4450" s="12" customFormat="1" x14ac:dyDescent="0.25"/>
    <row r="4451" s="12" customFormat="1" x14ac:dyDescent="0.25"/>
    <row r="4452" s="12" customFormat="1" x14ac:dyDescent="0.25"/>
    <row r="4453" s="12" customFormat="1" x14ac:dyDescent="0.25"/>
    <row r="4454" s="12" customFormat="1" x14ac:dyDescent="0.25"/>
    <row r="4455" s="12" customFormat="1" x14ac:dyDescent="0.25"/>
    <row r="4456" s="12" customFormat="1" x14ac:dyDescent="0.25"/>
    <row r="4457" s="12" customFormat="1" x14ac:dyDescent="0.25"/>
    <row r="4458" s="12" customFormat="1" x14ac:dyDescent="0.25"/>
    <row r="4459" s="12" customFormat="1" x14ac:dyDescent="0.25"/>
    <row r="4460" s="12" customFormat="1" x14ac:dyDescent="0.25"/>
    <row r="4461" s="12" customFormat="1" x14ac:dyDescent="0.25"/>
    <row r="4462" s="12" customFormat="1" x14ac:dyDescent="0.25"/>
    <row r="4463" s="12" customFormat="1" x14ac:dyDescent="0.25"/>
    <row r="4464" s="12" customFormat="1" x14ac:dyDescent="0.25"/>
    <row r="4465" s="12" customFormat="1" x14ac:dyDescent="0.25"/>
    <row r="4466" s="12" customFormat="1" x14ac:dyDescent="0.25"/>
    <row r="4467" s="12" customFormat="1" x14ac:dyDescent="0.25"/>
    <row r="4468" s="12" customFormat="1" x14ac:dyDescent="0.25"/>
    <row r="4469" s="12" customFormat="1" x14ac:dyDescent="0.25"/>
    <row r="4470" s="12" customFormat="1" x14ac:dyDescent="0.25"/>
    <row r="4471" s="12" customFormat="1" x14ac:dyDescent="0.25"/>
    <row r="4472" s="12" customFormat="1" x14ac:dyDescent="0.25"/>
    <row r="4473" s="12" customFormat="1" x14ac:dyDescent="0.25"/>
    <row r="4474" s="12" customFormat="1" x14ac:dyDescent="0.25"/>
    <row r="4475" s="12" customFormat="1" x14ac:dyDescent="0.25"/>
    <row r="4476" s="12" customFormat="1" x14ac:dyDescent="0.25"/>
    <row r="4477" s="12" customFormat="1" x14ac:dyDescent="0.25"/>
    <row r="4478" s="12" customFormat="1" x14ac:dyDescent="0.25"/>
    <row r="4479" s="12" customFormat="1" x14ac:dyDescent="0.25"/>
    <row r="4480" s="12" customFormat="1" x14ac:dyDescent="0.25"/>
    <row r="4481" s="12" customFormat="1" x14ac:dyDescent="0.25"/>
    <row r="4482" s="12" customFormat="1" x14ac:dyDescent="0.25"/>
    <row r="4483" s="12" customFormat="1" x14ac:dyDescent="0.25"/>
    <row r="4484" s="12" customFormat="1" x14ac:dyDescent="0.25"/>
    <row r="4485" s="12" customFormat="1" x14ac:dyDescent="0.25"/>
    <row r="4486" s="12" customFormat="1" x14ac:dyDescent="0.25"/>
    <row r="4487" s="12" customFormat="1" x14ac:dyDescent="0.25"/>
    <row r="4488" s="12" customFormat="1" x14ac:dyDescent="0.25"/>
    <row r="4489" s="12" customFormat="1" x14ac:dyDescent="0.25"/>
    <row r="4490" s="12" customFormat="1" x14ac:dyDescent="0.25"/>
    <row r="4491" s="12" customFormat="1" x14ac:dyDescent="0.25"/>
    <row r="4492" s="12" customFormat="1" x14ac:dyDescent="0.25"/>
    <row r="4493" s="12" customFormat="1" x14ac:dyDescent="0.25"/>
    <row r="4494" s="12" customFormat="1" x14ac:dyDescent="0.25"/>
    <row r="4495" s="12" customFormat="1" x14ac:dyDescent="0.25"/>
    <row r="4496" s="12" customFormat="1" x14ac:dyDescent="0.25"/>
    <row r="4497" s="12" customFormat="1" x14ac:dyDescent="0.25"/>
    <row r="4498" s="12" customFormat="1" x14ac:dyDescent="0.25"/>
    <row r="4499" s="12" customFormat="1" x14ac:dyDescent="0.25"/>
    <row r="4500" s="12" customFormat="1" x14ac:dyDescent="0.25"/>
    <row r="4501" s="12" customFormat="1" x14ac:dyDescent="0.25"/>
    <row r="4502" s="12" customFormat="1" x14ac:dyDescent="0.25"/>
    <row r="4503" s="12" customFormat="1" x14ac:dyDescent="0.25"/>
    <row r="4504" s="12" customFormat="1" x14ac:dyDescent="0.25"/>
    <row r="4505" s="12" customFormat="1" x14ac:dyDescent="0.25"/>
    <row r="4506" s="12" customFormat="1" x14ac:dyDescent="0.25"/>
    <row r="4507" s="12" customFormat="1" x14ac:dyDescent="0.25"/>
    <row r="4508" s="12" customFormat="1" x14ac:dyDescent="0.25"/>
    <row r="4509" s="12" customFormat="1" x14ac:dyDescent="0.25"/>
    <row r="4510" s="12" customFormat="1" x14ac:dyDescent="0.25"/>
    <row r="4511" s="12" customFormat="1" x14ac:dyDescent="0.25"/>
    <row r="4512" s="12" customFormat="1" x14ac:dyDescent="0.25"/>
    <row r="4513" s="12" customFormat="1" x14ac:dyDescent="0.25"/>
    <row r="4514" s="12" customFormat="1" x14ac:dyDescent="0.25"/>
    <row r="4515" s="12" customFormat="1" x14ac:dyDescent="0.25"/>
    <row r="4516" s="12" customFormat="1" x14ac:dyDescent="0.25"/>
    <row r="4517" s="12" customFormat="1" x14ac:dyDescent="0.25"/>
    <row r="4518" s="12" customFormat="1" x14ac:dyDescent="0.25"/>
    <row r="4519" s="12" customFormat="1" x14ac:dyDescent="0.25"/>
    <row r="4520" s="12" customFormat="1" x14ac:dyDescent="0.25"/>
    <row r="4521" s="12" customFormat="1" x14ac:dyDescent="0.25"/>
    <row r="4522" s="12" customFormat="1" x14ac:dyDescent="0.25"/>
    <row r="4523" s="12" customFormat="1" x14ac:dyDescent="0.25"/>
    <row r="4524" s="12" customFormat="1" x14ac:dyDescent="0.25"/>
    <row r="4525" s="12" customFormat="1" x14ac:dyDescent="0.25"/>
    <row r="4526" s="12" customFormat="1" x14ac:dyDescent="0.25"/>
    <row r="4527" s="12" customFormat="1" x14ac:dyDescent="0.25"/>
    <row r="4528" s="12" customFormat="1" x14ac:dyDescent="0.25"/>
    <row r="4529" s="12" customFormat="1" x14ac:dyDescent="0.25"/>
    <row r="4530" s="12" customFormat="1" x14ac:dyDescent="0.25"/>
    <row r="4531" s="12" customFormat="1" x14ac:dyDescent="0.25"/>
    <row r="4532" s="12" customFormat="1" x14ac:dyDescent="0.25"/>
    <row r="4533" s="12" customFormat="1" x14ac:dyDescent="0.25"/>
    <row r="4534" s="12" customFormat="1" x14ac:dyDescent="0.25"/>
    <row r="4535" s="12" customFormat="1" x14ac:dyDescent="0.25"/>
    <row r="4536" s="12" customFormat="1" x14ac:dyDescent="0.25"/>
    <row r="4537" s="12" customFormat="1" x14ac:dyDescent="0.25"/>
    <row r="4538" s="12" customFormat="1" x14ac:dyDescent="0.25"/>
    <row r="4539" s="12" customFormat="1" x14ac:dyDescent="0.25"/>
    <row r="4540" s="12" customFormat="1" x14ac:dyDescent="0.25"/>
    <row r="4541" s="12" customFormat="1" x14ac:dyDescent="0.25"/>
    <row r="4542" s="12" customFormat="1" x14ac:dyDescent="0.25"/>
    <row r="4543" s="12" customFormat="1" x14ac:dyDescent="0.25"/>
    <row r="4544" s="12" customFormat="1" x14ac:dyDescent="0.25"/>
    <row r="4545" s="12" customFormat="1" x14ac:dyDescent="0.25"/>
    <row r="4546" s="12" customFormat="1" x14ac:dyDescent="0.25"/>
    <row r="4547" s="12" customFormat="1" x14ac:dyDescent="0.25"/>
    <row r="4548" s="12" customFormat="1" x14ac:dyDescent="0.25"/>
    <row r="4549" s="12" customFormat="1" x14ac:dyDescent="0.25"/>
    <row r="4550" s="12" customFormat="1" x14ac:dyDescent="0.25"/>
    <row r="4551" s="12" customFormat="1" x14ac:dyDescent="0.25"/>
    <row r="4552" s="12" customFormat="1" x14ac:dyDescent="0.25"/>
    <row r="4553" s="12" customFormat="1" x14ac:dyDescent="0.25"/>
    <row r="4554" s="12" customFormat="1" x14ac:dyDescent="0.25"/>
    <row r="4555" s="12" customFormat="1" x14ac:dyDescent="0.25"/>
    <row r="4556" s="12" customFormat="1" x14ac:dyDescent="0.25"/>
    <row r="4557" s="12" customFormat="1" x14ac:dyDescent="0.25"/>
    <row r="4558" s="12" customFormat="1" x14ac:dyDescent="0.25"/>
    <row r="4559" s="12" customFormat="1" x14ac:dyDescent="0.25"/>
    <row r="4560" s="12" customFormat="1" x14ac:dyDescent="0.25"/>
    <row r="4561" s="12" customFormat="1" x14ac:dyDescent="0.25"/>
    <row r="4562" s="12" customFormat="1" x14ac:dyDescent="0.25"/>
    <row r="4563" s="12" customFormat="1" x14ac:dyDescent="0.25"/>
    <row r="4564" s="12" customFormat="1" x14ac:dyDescent="0.25"/>
    <row r="4565" s="12" customFormat="1" x14ac:dyDescent="0.25"/>
    <row r="4566" s="12" customFormat="1" x14ac:dyDescent="0.25"/>
    <row r="4567" s="12" customFormat="1" x14ac:dyDescent="0.25"/>
    <row r="4568" s="12" customFormat="1" x14ac:dyDescent="0.25"/>
    <row r="4569" s="12" customFormat="1" x14ac:dyDescent="0.25"/>
    <row r="4570" s="12" customFormat="1" x14ac:dyDescent="0.25"/>
    <row r="4571" s="12" customFormat="1" x14ac:dyDescent="0.25"/>
    <row r="4572" s="12" customFormat="1" x14ac:dyDescent="0.25"/>
    <row r="4573" s="12" customFormat="1" x14ac:dyDescent="0.25"/>
    <row r="4574" s="12" customFormat="1" x14ac:dyDescent="0.25"/>
    <row r="4575" s="12" customFormat="1" x14ac:dyDescent="0.25"/>
    <row r="4576" s="12" customFormat="1" x14ac:dyDescent="0.25"/>
    <row r="4577" s="12" customFormat="1" x14ac:dyDescent="0.25"/>
    <row r="4578" s="12" customFormat="1" x14ac:dyDescent="0.25"/>
    <row r="4579" s="12" customFormat="1" x14ac:dyDescent="0.25"/>
    <row r="4580" s="12" customFormat="1" x14ac:dyDescent="0.25"/>
    <row r="4581" s="12" customFormat="1" x14ac:dyDescent="0.25"/>
    <row r="4582" s="12" customFormat="1" x14ac:dyDescent="0.25"/>
    <row r="4583" s="12" customFormat="1" x14ac:dyDescent="0.25"/>
    <row r="4584" s="12" customFormat="1" x14ac:dyDescent="0.25"/>
    <row r="4585" s="12" customFormat="1" x14ac:dyDescent="0.25"/>
    <row r="4586" s="12" customFormat="1" x14ac:dyDescent="0.25"/>
    <row r="4587" s="12" customFormat="1" x14ac:dyDescent="0.25"/>
    <row r="4588" s="12" customFormat="1" x14ac:dyDescent="0.25"/>
    <row r="4589" s="12" customFormat="1" x14ac:dyDescent="0.25"/>
    <row r="4590" s="12" customFormat="1" x14ac:dyDescent="0.25"/>
    <row r="4591" s="12" customFormat="1" x14ac:dyDescent="0.25"/>
    <row r="4592" s="12" customFormat="1" x14ac:dyDescent="0.25"/>
    <row r="4593" s="12" customFormat="1" x14ac:dyDescent="0.25"/>
    <row r="4594" s="12" customFormat="1" x14ac:dyDescent="0.25"/>
    <row r="4595" s="12" customFormat="1" x14ac:dyDescent="0.25"/>
    <row r="4596" s="12" customFormat="1" x14ac:dyDescent="0.25"/>
    <row r="4597" s="12" customFormat="1" x14ac:dyDescent="0.25"/>
    <row r="4598" s="12" customFormat="1" x14ac:dyDescent="0.25"/>
    <row r="4599" s="12" customFormat="1" x14ac:dyDescent="0.25"/>
    <row r="4600" s="12" customFormat="1" x14ac:dyDescent="0.25"/>
    <row r="4601" s="12" customFormat="1" x14ac:dyDescent="0.25"/>
    <row r="4602" s="12" customFormat="1" x14ac:dyDescent="0.25"/>
    <row r="4603" s="12" customFormat="1" x14ac:dyDescent="0.25"/>
    <row r="4604" s="12" customFormat="1" x14ac:dyDescent="0.25"/>
    <row r="4605" s="12" customFormat="1" x14ac:dyDescent="0.25"/>
    <row r="4606" s="12" customFormat="1" x14ac:dyDescent="0.25"/>
    <row r="4607" s="12" customFormat="1" x14ac:dyDescent="0.25"/>
    <row r="4608" s="12" customFormat="1" x14ac:dyDescent="0.25"/>
    <row r="4609" s="12" customFormat="1" x14ac:dyDescent="0.25"/>
    <row r="4610" s="12" customFormat="1" x14ac:dyDescent="0.25"/>
    <row r="4611" s="12" customFormat="1" x14ac:dyDescent="0.25"/>
    <row r="4612" s="12" customFormat="1" x14ac:dyDescent="0.25"/>
    <row r="4613" s="12" customFormat="1" x14ac:dyDescent="0.25"/>
    <row r="4614" s="12" customFormat="1" x14ac:dyDescent="0.25"/>
    <row r="4615" s="12" customFormat="1" x14ac:dyDescent="0.25"/>
    <row r="4616" s="12" customFormat="1" x14ac:dyDescent="0.25"/>
    <row r="4617" s="12" customFormat="1" x14ac:dyDescent="0.25"/>
    <row r="4618" s="12" customFormat="1" x14ac:dyDescent="0.25"/>
    <row r="4619" s="12" customFormat="1" x14ac:dyDescent="0.25"/>
    <row r="4620" s="12" customFormat="1" x14ac:dyDescent="0.25"/>
    <row r="4621" s="12" customFormat="1" x14ac:dyDescent="0.25"/>
    <row r="4622" s="12" customFormat="1" x14ac:dyDescent="0.25"/>
    <row r="4623" s="12" customFormat="1" x14ac:dyDescent="0.25"/>
    <row r="4624" s="12" customFormat="1" x14ac:dyDescent="0.25"/>
    <row r="4625" s="12" customFormat="1" x14ac:dyDescent="0.25"/>
    <row r="4626" s="12" customFormat="1" x14ac:dyDescent="0.25"/>
    <row r="4627" s="12" customFormat="1" x14ac:dyDescent="0.25"/>
    <row r="4628" s="12" customFormat="1" x14ac:dyDescent="0.25"/>
    <row r="4629" s="12" customFormat="1" x14ac:dyDescent="0.25"/>
    <row r="4630" s="12" customFormat="1" x14ac:dyDescent="0.25"/>
    <row r="4631" s="12" customFormat="1" x14ac:dyDescent="0.25"/>
    <row r="4632" s="12" customFormat="1" x14ac:dyDescent="0.25"/>
    <row r="4633" s="12" customFormat="1" x14ac:dyDescent="0.25"/>
    <row r="4634" s="12" customFormat="1" x14ac:dyDescent="0.25"/>
    <row r="4635" s="12" customFormat="1" x14ac:dyDescent="0.25"/>
    <row r="4636" s="12" customFormat="1" x14ac:dyDescent="0.25"/>
    <row r="4637" s="12" customFormat="1" x14ac:dyDescent="0.25"/>
    <row r="4638" s="12" customFormat="1" x14ac:dyDescent="0.25"/>
    <row r="4639" s="12" customFormat="1" x14ac:dyDescent="0.25"/>
    <row r="4640" s="12" customFormat="1" x14ac:dyDescent="0.25"/>
    <row r="4641" s="12" customFormat="1" x14ac:dyDescent="0.25"/>
    <row r="4642" s="12" customFormat="1" x14ac:dyDescent="0.25"/>
    <row r="4643" s="12" customFormat="1" x14ac:dyDescent="0.25"/>
    <row r="4644" s="12" customFormat="1" x14ac:dyDescent="0.25"/>
    <row r="4645" s="12" customFormat="1" x14ac:dyDescent="0.25"/>
    <row r="4646" s="12" customFormat="1" x14ac:dyDescent="0.25"/>
    <row r="4647" s="12" customFormat="1" x14ac:dyDescent="0.25"/>
    <row r="4648" s="12" customFormat="1" x14ac:dyDescent="0.25"/>
    <row r="4649" s="12" customFormat="1" x14ac:dyDescent="0.25"/>
    <row r="4650" s="12" customFormat="1" x14ac:dyDescent="0.25"/>
    <row r="4651" s="12" customFormat="1" x14ac:dyDescent="0.25"/>
    <row r="4652" s="12" customFormat="1" x14ac:dyDescent="0.25"/>
    <row r="4653" s="12" customFormat="1" x14ac:dyDescent="0.25"/>
    <row r="4654" s="12" customFormat="1" x14ac:dyDescent="0.25"/>
    <row r="4655" s="12" customFormat="1" x14ac:dyDescent="0.25"/>
    <row r="4656" s="12" customFormat="1" x14ac:dyDescent="0.25"/>
    <row r="4657" s="12" customFormat="1" x14ac:dyDescent="0.25"/>
    <row r="4658" s="12" customFormat="1" x14ac:dyDescent="0.25"/>
    <row r="4659" s="12" customFormat="1" x14ac:dyDescent="0.25"/>
    <row r="4660" s="12" customFormat="1" x14ac:dyDescent="0.25"/>
    <row r="4661" s="12" customFormat="1" x14ac:dyDescent="0.25"/>
    <row r="4662" s="12" customFormat="1" x14ac:dyDescent="0.25"/>
    <row r="4663" s="12" customFormat="1" x14ac:dyDescent="0.25"/>
    <row r="4664" s="12" customFormat="1" x14ac:dyDescent="0.25"/>
    <row r="4665" s="12" customFormat="1" x14ac:dyDescent="0.25"/>
    <row r="4666" s="12" customFormat="1" x14ac:dyDescent="0.25"/>
    <row r="4667" s="12" customFormat="1" x14ac:dyDescent="0.25"/>
    <row r="4668" s="12" customFormat="1" x14ac:dyDescent="0.25"/>
    <row r="4669" s="12" customFormat="1" x14ac:dyDescent="0.25"/>
    <row r="4670" s="12" customFormat="1" x14ac:dyDescent="0.25"/>
    <row r="4671" s="12" customFormat="1" x14ac:dyDescent="0.25"/>
    <row r="4672" s="12" customFormat="1" x14ac:dyDescent="0.25"/>
    <row r="4673" s="12" customFormat="1" x14ac:dyDescent="0.25"/>
    <row r="4674" s="12" customFormat="1" x14ac:dyDescent="0.25"/>
    <row r="4675" s="12" customFormat="1" x14ac:dyDescent="0.25"/>
    <row r="4676" s="12" customFormat="1" x14ac:dyDescent="0.25"/>
    <row r="4677" s="12" customFormat="1" x14ac:dyDescent="0.25"/>
    <row r="4678" s="12" customFormat="1" x14ac:dyDescent="0.25"/>
    <row r="4679" s="12" customFormat="1" x14ac:dyDescent="0.25"/>
    <row r="4680" s="12" customFormat="1" x14ac:dyDescent="0.25"/>
    <row r="4681" s="12" customFormat="1" x14ac:dyDescent="0.25"/>
    <row r="4682" s="12" customFormat="1" x14ac:dyDescent="0.25"/>
    <row r="4683" s="12" customFormat="1" x14ac:dyDescent="0.25"/>
    <row r="4684" s="12" customFormat="1" x14ac:dyDescent="0.25"/>
    <row r="4685" s="12" customFormat="1" x14ac:dyDescent="0.25"/>
    <row r="4686" s="12" customFormat="1" x14ac:dyDescent="0.25"/>
    <row r="4687" s="12" customFormat="1" x14ac:dyDescent="0.25"/>
    <row r="4688" s="12" customFormat="1" x14ac:dyDescent="0.25"/>
    <row r="4689" s="12" customFormat="1" x14ac:dyDescent="0.25"/>
    <row r="4690" s="12" customFormat="1" x14ac:dyDescent="0.25"/>
    <row r="4691" s="12" customFormat="1" x14ac:dyDescent="0.25"/>
    <row r="4692" s="12" customFormat="1" x14ac:dyDescent="0.25"/>
    <row r="4693" s="12" customFormat="1" x14ac:dyDescent="0.25"/>
    <row r="4694" s="12" customFormat="1" x14ac:dyDescent="0.25"/>
    <row r="4695" s="12" customFormat="1" x14ac:dyDescent="0.25"/>
    <row r="4696" s="12" customFormat="1" x14ac:dyDescent="0.25"/>
    <row r="4697" s="12" customFormat="1" x14ac:dyDescent="0.25"/>
    <row r="4698" s="12" customFormat="1" x14ac:dyDescent="0.25"/>
    <row r="4699" s="12" customFormat="1" x14ac:dyDescent="0.25"/>
    <row r="4700" s="12" customFormat="1" x14ac:dyDescent="0.25"/>
    <row r="4701" s="12" customFormat="1" x14ac:dyDescent="0.25"/>
    <row r="4702" s="12" customFormat="1" x14ac:dyDescent="0.25"/>
    <row r="4703" s="12" customFormat="1" x14ac:dyDescent="0.25"/>
    <row r="4704" s="12" customFormat="1" x14ac:dyDescent="0.25"/>
    <row r="4705" s="12" customFormat="1" x14ac:dyDescent="0.25"/>
    <row r="4706" s="12" customFormat="1" x14ac:dyDescent="0.25"/>
    <row r="4707" s="12" customFormat="1" x14ac:dyDescent="0.25"/>
    <row r="4708" s="12" customFormat="1" x14ac:dyDescent="0.25"/>
    <row r="4709" s="12" customFormat="1" x14ac:dyDescent="0.25"/>
    <row r="4710" s="12" customFormat="1" x14ac:dyDescent="0.25"/>
    <row r="4711" s="12" customFormat="1" x14ac:dyDescent="0.25"/>
    <row r="4712" s="12" customFormat="1" x14ac:dyDescent="0.25"/>
    <row r="4713" s="12" customFormat="1" x14ac:dyDescent="0.25"/>
    <row r="4714" s="12" customFormat="1" x14ac:dyDescent="0.25"/>
    <row r="4715" s="12" customFormat="1" x14ac:dyDescent="0.25"/>
    <row r="4716" s="12" customFormat="1" x14ac:dyDescent="0.25"/>
    <row r="4717" s="12" customFormat="1" x14ac:dyDescent="0.25"/>
    <row r="4718" s="12" customFormat="1" x14ac:dyDescent="0.25"/>
    <row r="4719" s="12" customFormat="1" x14ac:dyDescent="0.25"/>
    <row r="4720" s="12" customFormat="1" x14ac:dyDescent="0.25"/>
    <row r="4721" s="12" customFormat="1" x14ac:dyDescent="0.25"/>
    <row r="4722" s="12" customFormat="1" x14ac:dyDescent="0.25"/>
    <row r="4723" s="12" customFormat="1" x14ac:dyDescent="0.25"/>
    <row r="4724" s="12" customFormat="1" x14ac:dyDescent="0.25"/>
    <row r="4725" s="12" customFormat="1" x14ac:dyDescent="0.25"/>
    <row r="4726" s="12" customFormat="1" x14ac:dyDescent="0.25"/>
    <row r="4727" s="12" customFormat="1" x14ac:dyDescent="0.25"/>
    <row r="4728" s="12" customFormat="1" x14ac:dyDescent="0.25"/>
    <row r="4729" s="12" customFormat="1" x14ac:dyDescent="0.25"/>
    <row r="4730" s="12" customFormat="1" x14ac:dyDescent="0.25"/>
    <row r="4731" s="12" customFormat="1" x14ac:dyDescent="0.25"/>
    <row r="4732" s="12" customFormat="1" x14ac:dyDescent="0.25"/>
    <row r="4733" s="12" customFormat="1" x14ac:dyDescent="0.25"/>
    <row r="4734" s="12" customFormat="1" x14ac:dyDescent="0.25"/>
    <row r="4735" s="12" customFormat="1" x14ac:dyDescent="0.25"/>
    <row r="4736" s="12" customFormat="1" x14ac:dyDescent="0.25"/>
    <row r="4737" s="12" customFormat="1" x14ac:dyDescent="0.25"/>
    <row r="4738" s="12" customFormat="1" x14ac:dyDescent="0.25"/>
    <row r="4739" s="12" customFormat="1" x14ac:dyDescent="0.25"/>
    <row r="4740" s="12" customFormat="1" x14ac:dyDescent="0.25"/>
    <row r="4741" s="12" customFormat="1" x14ac:dyDescent="0.25"/>
    <row r="4742" s="12" customFormat="1" x14ac:dyDescent="0.25"/>
    <row r="4743" s="12" customFormat="1" x14ac:dyDescent="0.25"/>
    <row r="4744" s="12" customFormat="1" x14ac:dyDescent="0.25"/>
    <row r="4745" s="12" customFormat="1" x14ac:dyDescent="0.25"/>
    <row r="4746" s="12" customFormat="1" x14ac:dyDescent="0.25"/>
    <row r="4747" s="12" customFormat="1" x14ac:dyDescent="0.25"/>
    <row r="4748" s="12" customFormat="1" x14ac:dyDescent="0.25"/>
    <row r="4749" s="12" customFormat="1" x14ac:dyDescent="0.25"/>
    <row r="4750" s="12" customFormat="1" x14ac:dyDescent="0.25"/>
    <row r="4751" s="12" customFormat="1" x14ac:dyDescent="0.25"/>
    <row r="4752" s="12" customFormat="1" x14ac:dyDescent="0.25"/>
    <row r="4753" s="12" customFormat="1" x14ac:dyDescent="0.25"/>
    <row r="4754" s="12" customFormat="1" x14ac:dyDescent="0.25"/>
    <row r="4755" s="12" customFormat="1" x14ac:dyDescent="0.25"/>
    <row r="4756" s="12" customFormat="1" x14ac:dyDescent="0.25"/>
    <row r="4757" s="12" customFormat="1" x14ac:dyDescent="0.25"/>
    <row r="4758" s="12" customFormat="1" x14ac:dyDescent="0.25"/>
    <row r="4759" s="12" customFormat="1" x14ac:dyDescent="0.25"/>
    <row r="4760" s="12" customFormat="1" x14ac:dyDescent="0.25"/>
    <row r="4761" s="12" customFormat="1" x14ac:dyDescent="0.25"/>
    <row r="4762" s="12" customFormat="1" x14ac:dyDescent="0.25"/>
    <row r="4763" s="12" customFormat="1" x14ac:dyDescent="0.25"/>
    <row r="4764" s="12" customFormat="1" x14ac:dyDescent="0.25"/>
    <row r="4765" s="12" customFormat="1" x14ac:dyDescent="0.25"/>
    <row r="4766" s="12" customFormat="1" x14ac:dyDescent="0.25"/>
    <row r="4767" s="12" customFormat="1" x14ac:dyDescent="0.25"/>
    <row r="4768" s="12" customFormat="1" x14ac:dyDescent="0.25"/>
    <row r="4769" s="12" customFormat="1" x14ac:dyDescent="0.25"/>
    <row r="4770" s="12" customFormat="1" x14ac:dyDescent="0.25"/>
    <row r="4771" s="12" customFormat="1" x14ac:dyDescent="0.25"/>
    <row r="4772" s="12" customFormat="1" x14ac:dyDescent="0.25"/>
    <row r="4773" s="12" customFormat="1" x14ac:dyDescent="0.25"/>
    <row r="4774" s="12" customFormat="1" x14ac:dyDescent="0.25"/>
    <row r="4775" s="12" customFormat="1" x14ac:dyDescent="0.25"/>
    <row r="4776" s="12" customFormat="1" x14ac:dyDescent="0.25"/>
    <row r="4777" s="12" customFormat="1" x14ac:dyDescent="0.25"/>
    <row r="4778" s="12" customFormat="1" x14ac:dyDescent="0.25"/>
    <row r="4779" s="12" customFormat="1" x14ac:dyDescent="0.25"/>
    <row r="4780" s="12" customFormat="1" x14ac:dyDescent="0.25"/>
    <row r="4781" s="12" customFormat="1" x14ac:dyDescent="0.25"/>
    <row r="4782" s="12" customFormat="1" x14ac:dyDescent="0.25"/>
    <row r="4783" s="12" customFormat="1" x14ac:dyDescent="0.25"/>
    <row r="4784" s="12" customFormat="1" x14ac:dyDescent="0.25"/>
    <row r="4785" s="12" customFormat="1" x14ac:dyDescent="0.25"/>
    <row r="4786" s="12" customFormat="1" x14ac:dyDescent="0.25"/>
    <row r="4787" s="12" customFormat="1" x14ac:dyDescent="0.25"/>
    <row r="4788" s="12" customFormat="1" x14ac:dyDescent="0.25"/>
    <row r="4789" s="12" customFormat="1" x14ac:dyDescent="0.25"/>
    <row r="4790" s="12" customFormat="1" x14ac:dyDescent="0.25"/>
    <row r="4791" s="12" customFormat="1" x14ac:dyDescent="0.25"/>
    <row r="4792" s="12" customFormat="1" x14ac:dyDescent="0.25"/>
    <row r="4793" s="12" customFormat="1" x14ac:dyDescent="0.25"/>
    <row r="4794" s="12" customFormat="1" x14ac:dyDescent="0.25"/>
    <row r="4795" s="12" customFormat="1" x14ac:dyDescent="0.25"/>
    <row r="4796" s="12" customFormat="1" x14ac:dyDescent="0.25"/>
    <row r="4797" s="12" customFormat="1" x14ac:dyDescent="0.25"/>
    <row r="4798" s="12" customFormat="1" x14ac:dyDescent="0.25"/>
    <row r="4799" s="12" customFormat="1" x14ac:dyDescent="0.25"/>
    <row r="4800" s="12" customFormat="1" x14ac:dyDescent="0.25"/>
    <row r="4801" s="12" customFormat="1" x14ac:dyDescent="0.25"/>
    <row r="4802" s="12" customFormat="1" x14ac:dyDescent="0.25"/>
    <row r="4803" s="12" customFormat="1" x14ac:dyDescent="0.25"/>
    <row r="4804" s="12" customFormat="1" x14ac:dyDescent="0.25"/>
    <row r="4805" s="12" customFormat="1" x14ac:dyDescent="0.25"/>
    <row r="4806" s="12" customFormat="1" x14ac:dyDescent="0.25"/>
    <row r="4807" s="12" customFormat="1" x14ac:dyDescent="0.25"/>
    <row r="4808" s="12" customFormat="1" x14ac:dyDescent="0.25"/>
    <row r="4809" s="12" customFormat="1" x14ac:dyDescent="0.25"/>
    <row r="4810" s="12" customFormat="1" x14ac:dyDescent="0.25"/>
    <row r="4811" s="12" customFormat="1" x14ac:dyDescent="0.25"/>
    <row r="4812" s="12" customFormat="1" x14ac:dyDescent="0.25"/>
    <row r="4813" s="12" customFormat="1" x14ac:dyDescent="0.25"/>
    <row r="4814" s="12" customFormat="1" x14ac:dyDescent="0.25"/>
    <row r="4815" s="12" customFormat="1" x14ac:dyDescent="0.25"/>
    <row r="4816" s="12" customFormat="1" x14ac:dyDescent="0.25"/>
    <row r="4817" s="12" customFormat="1" x14ac:dyDescent="0.25"/>
    <row r="4818" s="12" customFormat="1" x14ac:dyDescent="0.25"/>
    <row r="4819" s="12" customFormat="1" x14ac:dyDescent="0.25"/>
    <row r="4820" s="12" customFormat="1" x14ac:dyDescent="0.25"/>
    <row r="4821" s="12" customFormat="1" x14ac:dyDescent="0.25"/>
    <row r="4822" s="12" customFormat="1" x14ac:dyDescent="0.25"/>
    <row r="4823" s="12" customFormat="1" x14ac:dyDescent="0.25"/>
    <row r="4824" s="12" customFormat="1" x14ac:dyDescent="0.25"/>
    <row r="4825" s="12" customFormat="1" x14ac:dyDescent="0.25"/>
    <row r="4826" s="12" customFormat="1" x14ac:dyDescent="0.25"/>
    <row r="4827" s="12" customFormat="1" x14ac:dyDescent="0.25"/>
    <row r="4828" s="12" customFormat="1" x14ac:dyDescent="0.25"/>
    <row r="4829" s="12" customFormat="1" x14ac:dyDescent="0.25"/>
    <row r="4830" s="12" customFormat="1" x14ac:dyDescent="0.25"/>
    <row r="4831" s="12" customFormat="1" x14ac:dyDescent="0.25"/>
    <row r="4832" s="12" customFormat="1" x14ac:dyDescent="0.25"/>
    <row r="4833" s="12" customFormat="1" x14ac:dyDescent="0.25"/>
    <row r="4834" s="12" customFormat="1" x14ac:dyDescent="0.25"/>
    <row r="4835" s="12" customFormat="1" x14ac:dyDescent="0.25"/>
    <row r="4836" s="12" customFormat="1" x14ac:dyDescent="0.25"/>
    <row r="4837" s="12" customFormat="1" x14ac:dyDescent="0.25"/>
    <row r="4838" s="12" customFormat="1" x14ac:dyDescent="0.25"/>
    <row r="4839" s="12" customFormat="1" x14ac:dyDescent="0.25"/>
    <row r="4840" s="12" customFormat="1" x14ac:dyDescent="0.25"/>
    <row r="4841" s="12" customFormat="1" x14ac:dyDescent="0.25"/>
    <row r="4842" s="12" customFormat="1" x14ac:dyDescent="0.25"/>
    <row r="4843" s="12" customFormat="1" x14ac:dyDescent="0.25"/>
    <row r="4844" s="12" customFormat="1" x14ac:dyDescent="0.25"/>
    <row r="4845" s="12" customFormat="1" x14ac:dyDescent="0.25"/>
    <row r="4846" s="12" customFormat="1" x14ac:dyDescent="0.25"/>
    <row r="4847" s="12" customFormat="1" x14ac:dyDescent="0.25"/>
    <row r="4848" s="12" customFormat="1" x14ac:dyDescent="0.25"/>
    <row r="4849" s="12" customFormat="1" x14ac:dyDescent="0.25"/>
    <row r="4850" s="12" customFormat="1" x14ac:dyDescent="0.25"/>
    <row r="4851" s="12" customFormat="1" x14ac:dyDescent="0.25"/>
    <row r="4852" s="12" customFormat="1" x14ac:dyDescent="0.25"/>
    <row r="4853" s="12" customFormat="1" x14ac:dyDescent="0.25"/>
    <row r="4854" s="12" customFormat="1" x14ac:dyDescent="0.25"/>
    <row r="4855" s="12" customFormat="1" x14ac:dyDescent="0.25"/>
    <row r="4856" s="12" customFormat="1" x14ac:dyDescent="0.25"/>
    <row r="4857" s="12" customFormat="1" x14ac:dyDescent="0.25"/>
    <row r="4858" s="12" customFormat="1" x14ac:dyDescent="0.25"/>
    <row r="4859" s="12" customFormat="1" x14ac:dyDescent="0.25"/>
    <row r="4860" s="12" customFormat="1" x14ac:dyDescent="0.25"/>
    <row r="4861" s="12" customFormat="1" x14ac:dyDescent="0.25"/>
    <row r="4862" s="12" customFormat="1" x14ac:dyDescent="0.25"/>
    <row r="4863" s="12" customFormat="1" x14ac:dyDescent="0.25"/>
    <row r="4864" s="12" customFormat="1" x14ac:dyDescent="0.25"/>
    <row r="4865" s="12" customFormat="1" x14ac:dyDescent="0.25"/>
    <row r="4866" s="12" customFormat="1" x14ac:dyDescent="0.25"/>
    <row r="4867" s="12" customFormat="1" x14ac:dyDescent="0.25"/>
    <row r="4868" s="12" customFormat="1" x14ac:dyDescent="0.25"/>
    <row r="4869" s="12" customFormat="1" x14ac:dyDescent="0.25"/>
    <row r="4870" s="12" customFormat="1" x14ac:dyDescent="0.25"/>
    <row r="4871" s="12" customFormat="1" x14ac:dyDescent="0.25"/>
    <row r="4872" s="12" customFormat="1" x14ac:dyDescent="0.25"/>
    <row r="4873" s="12" customFormat="1" x14ac:dyDescent="0.25"/>
    <row r="4874" s="12" customFormat="1" x14ac:dyDescent="0.25"/>
    <row r="4875" s="12" customFormat="1" x14ac:dyDescent="0.25"/>
    <row r="4876" s="12" customFormat="1" x14ac:dyDescent="0.25"/>
    <row r="4877" s="12" customFormat="1" x14ac:dyDescent="0.25"/>
    <row r="4878" s="12" customFormat="1" x14ac:dyDescent="0.25"/>
    <row r="4879" s="12" customFormat="1" x14ac:dyDescent="0.25"/>
    <row r="4880" s="12" customFormat="1" x14ac:dyDescent="0.25"/>
    <row r="4881" s="12" customFormat="1" x14ac:dyDescent="0.25"/>
    <row r="4882" s="12" customFormat="1" x14ac:dyDescent="0.25"/>
    <row r="4883" s="12" customFormat="1" x14ac:dyDescent="0.25"/>
    <row r="4884" s="12" customFormat="1" x14ac:dyDescent="0.25"/>
    <row r="4885" s="12" customFormat="1" x14ac:dyDescent="0.25"/>
    <row r="4886" s="12" customFormat="1" x14ac:dyDescent="0.25"/>
    <row r="4887" s="12" customFormat="1" x14ac:dyDescent="0.25"/>
    <row r="4888" s="12" customFormat="1" x14ac:dyDescent="0.25"/>
    <row r="4889" s="12" customFormat="1" x14ac:dyDescent="0.25"/>
    <row r="4890" s="12" customFormat="1" x14ac:dyDescent="0.25"/>
    <row r="4891" s="12" customFormat="1" x14ac:dyDescent="0.25"/>
    <row r="4892" s="12" customFormat="1" x14ac:dyDescent="0.25"/>
    <row r="4893" s="12" customFormat="1" x14ac:dyDescent="0.25"/>
    <row r="4894" s="12" customFormat="1" x14ac:dyDescent="0.25"/>
    <row r="4895" s="12" customFormat="1" x14ac:dyDescent="0.25"/>
    <row r="4896" s="12" customFormat="1" x14ac:dyDescent="0.25"/>
    <row r="4897" s="12" customFormat="1" x14ac:dyDescent="0.25"/>
    <row r="4898" s="12" customFormat="1" x14ac:dyDescent="0.25"/>
    <row r="4899" s="12" customFormat="1" x14ac:dyDescent="0.25"/>
    <row r="4900" s="12" customFormat="1" x14ac:dyDescent="0.25"/>
    <row r="4901" s="12" customFormat="1" x14ac:dyDescent="0.25"/>
    <row r="4902" s="12" customFormat="1" x14ac:dyDescent="0.25"/>
    <row r="4903" s="12" customFormat="1" x14ac:dyDescent="0.25"/>
    <row r="4904" s="12" customFormat="1" x14ac:dyDescent="0.25"/>
    <row r="4905" s="12" customFormat="1" x14ac:dyDescent="0.25"/>
    <row r="4906" s="12" customFormat="1" x14ac:dyDescent="0.25"/>
    <row r="4907" s="12" customFormat="1" x14ac:dyDescent="0.25"/>
    <row r="4908" s="12" customFormat="1" x14ac:dyDescent="0.25"/>
    <row r="4909" s="12" customFormat="1" x14ac:dyDescent="0.25"/>
    <row r="4910" s="12" customFormat="1" x14ac:dyDescent="0.25"/>
    <row r="4911" s="12" customFormat="1" x14ac:dyDescent="0.25"/>
    <row r="4912" s="12" customFormat="1" x14ac:dyDescent="0.25"/>
    <row r="4913" s="12" customFormat="1" x14ac:dyDescent="0.25"/>
    <row r="4914" s="12" customFormat="1" x14ac:dyDescent="0.25"/>
    <row r="4915" s="12" customFormat="1" x14ac:dyDescent="0.25"/>
    <row r="4916" s="12" customFormat="1" x14ac:dyDescent="0.25"/>
    <row r="4917" s="12" customFormat="1" x14ac:dyDescent="0.25"/>
    <row r="4918" s="12" customFormat="1" x14ac:dyDescent="0.25"/>
    <row r="4919" s="12" customFormat="1" x14ac:dyDescent="0.25"/>
    <row r="4920" s="12" customFormat="1" x14ac:dyDescent="0.25"/>
    <row r="4921" s="12" customFormat="1" x14ac:dyDescent="0.25"/>
    <row r="4922" s="12" customFormat="1" x14ac:dyDescent="0.25"/>
    <row r="4923" s="12" customFormat="1" x14ac:dyDescent="0.25"/>
    <row r="4924" s="12" customFormat="1" x14ac:dyDescent="0.25"/>
    <row r="4925" s="12" customFormat="1" x14ac:dyDescent="0.25"/>
    <row r="4926" s="12" customFormat="1" x14ac:dyDescent="0.25"/>
    <row r="4927" s="12" customFormat="1" x14ac:dyDescent="0.25"/>
    <row r="4928" s="12" customFormat="1" x14ac:dyDescent="0.25"/>
    <row r="4929" s="12" customFormat="1" x14ac:dyDescent="0.25"/>
    <row r="4930" s="12" customFormat="1" x14ac:dyDescent="0.25"/>
    <row r="4931" s="12" customFormat="1" x14ac:dyDescent="0.25"/>
    <row r="4932" s="12" customFormat="1" x14ac:dyDescent="0.25"/>
    <row r="4933" s="12" customFormat="1" x14ac:dyDescent="0.25"/>
    <row r="4934" s="12" customFormat="1" x14ac:dyDescent="0.25"/>
    <row r="4935" s="12" customFormat="1" x14ac:dyDescent="0.25"/>
    <row r="4936" s="12" customFormat="1" x14ac:dyDescent="0.25"/>
    <row r="4937" s="12" customFormat="1" x14ac:dyDescent="0.25"/>
    <row r="4938" s="12" customFormat="1" x14ac:dyDescent="0.25"/>
    <row r="4939" s="12" customFormat="1" x14ac:dyDescent="0.25"/>
    <row r="4940" s="12" customFormat="1" x14ac:dyDescent="0.25"/>
    <row r="4941" s="12" customFormat="1" x14ac:dyDescent="0.25"/>
    <row r="4942" s="12" customFormat="1" x14ac:dyDescent="0.25"/>
    <row r="4943" s="12" customFormat="1" x14ac:dyDescent="0.25"/>
    <row r="4944" s="12" customFormat="1" x14ac:dyDescent="0.25"/>
    <row r="4945" s="12" customFormat="1" x14ac:dyDescent="0.25"/>
    <row r="4946" s="12" customFormat="1" x14ac:dyDescent="0.25"/>
    <row r="4947" s="12" customFormat="1" x14ac:dyDescent="0.25"/>
    <row r="4948" s="12" customFormat="1" x14ac:dyDescent="0.25"/>
    <row r="4949" s="12" customFormat="1" x14ac:dyDescent="0.25"/>
    <row r="4950" s="12" customFormat="1" x14ac:dyDescent="0.25"/>
    <row r="4951" s="12" customFormat="1" x14ac:dyDescent="0.25"/>
    <row r="4952" s="12" customFormat="1" x14ac:dyDescent="0.25"/>
    <row r="4953" s="12" customFormat="1" x14ac:dyDescent="0.25"/>
    <row r="4954" s="12" customFormat="1" x14ac:dyDescent="0.25"/>
    <row r="4955" s="12" customFormat="1" x14ac:dyDescent="0.25"/>
    <row r="4956" s="12" customFormat="1" x14ac:dyDescent="0.25"/>
    <row r="4957" s="12" customFormat="1" x14ac:dyDescent="0.25"/>
    <row r="4958" s="12" customFormat="1" x14ac:dyDescent="0.25"/>
    <row r="4959" s="12" customFormat="1" x14ac:dyDescent="0.25"/>
    <row r="4960" s="12" customFormat="1" x14ac:dyDescent="0.25"/>
    <row r="4961" s="12" customFormat="1" x14ac:dyDescent="0.25"/>
    <row r="4962" s="12" customFormat="1" x14ac:dyDescent="0.25"/>
    <row r="4963" s="12" customFormat="1" x14ac:dyDescent="0.25"/>
    <row r="4964" s="12" customFormat="1" x14ac:dyDescent="0.25"/>
    <row r="4965" s="12" customFormat="1" x14ac:dyDescent="0.25"/>
    <row r="4966" s="12" customFormat="1" x14ac:dyDescent="0.25"/>
    <row r="4967" s="12" customFormat="1" x14ac:dyDescent="0.25"/>
    <row r="4968" s="12" customFormat="1" x14ac:dyDescent="0.25"/>
    <row r="4969" s="12" customFormat="1" x14ac:dyDescent="0.25"/>
    <row r="4970" s="12" customFormat="1" x14ac:dyDescent="0.25"/>
    <row r="4971" s="12" customFormat="1" x14ac:dyDescent="0.25"/>
    <row r="4972" s="12" customFormat="1" x14ac:dyDescent="0.25"/>
    <row r="4973" s="12" customFormat="1" x14ac:dyDescent="0.25"/>
    <row r="4974" s="12" customFormat="1" x14ac:dyDescent="0.25"/>
    <row r="4975" s="12" customFormat="1" x14ac:dyDescent="0.25"/>
    <row r="4976" s="12" customFormat="1" x14ac:dyDescent="0.25"/>
    <row r="4977" s="12" customFormat="1" x14ac:dyDescent="0.25"/>
    <row r="4978" s="12" customFormat="1" x14ac:dyDescent="0.25"/>
    <row r="4979" s="12" customFormat="1" x14ac:dyDescent="0.25"/>
    <row r="4980" s="12" customFormat="1" x14ac:dyDescent="0.25"/>
    <row r="4981" s="12" customFormat="1" x14ac:dyDescent="0.25"/>
    <row r="4982" s="12" customFormat="1" x14ac:dyDescent="0.25"/>
    <row r="4983" s="12" customFormat="1" x14ac:dyDescent="0.25"/>
    <row r="4984" s="12" customFormat="1" x14ac:dyDescent="0.25"/>
    <row r="4985" s="12" customFormat="1" x14ac:dyDescent="0.25"/>
    <row r="4986" s="12" customFormat="1" x14ac:dyDescent="0.25"/>
    <row r="4987" s="12" customFormat="1" x14ac:dyDescent="0.25"/>
    <row r="4988" s="12" customFormat="1" x14ac:dyDescent="0.25"/>
    <row r="4989" s="12" customFormat="1" x14ac:dyDescent="0.25"/>
    <row r="4990" s="12" customFormat="1" x14ac:dyDescent="0.25"/>
    <row r="4991" s="12" customFormat="1" x14ac:dyDescent="0.25"/>
    <row r="4992" s="12" customFormat="1" x14ac:dyDescent="0.25"/>
    <row r="4993" s="12" customFormat="1" x14ac:dyDescent="0.25"/>
    <row r="4994" s="12" customFormat="1" x14ac:dyDescent="0.25"/>
    <row r="4995" s="12" customFormat="1" x14ac:dyDescent="0.25"/>
    <row r="4996" s="12" customFormat="1" x14ac:dyDescent="0.25"/>
    <row r="4997" s="12" customFormat="1" x14ac:dyDescent="0.25"/>
    <row r="4998" s="12" customFormat="1" x14ac:dyDescent="0.25"/>
    <row r="4999" s="12" customFormat="1" x14ac:dyDescent="0.25"/>
    <row r="5000" s="12" customFormat="1" x14ac:dyDescent="0.25"/>
    <row r="5001" s="12" customFormat="1" x14ac:dyDescent="0.25"/>
    <row r="5002" s="12" customFormat="1" x14ac:dyDescent="0.25"/>
    <row r="5003" s="12" customFormat="1" x14ac:dyDescent="0.25"/>
    <row r="5004" s="12" customFormat="1" x14ac:dyDescent="0.25"/>
    <row r="5005" s="12" customFormat="1" x14ac:dyDescent="0.25"/>
    <row r="5006" s="12" customFormat="1" x14ac:dyDescent="0.25"/>
    <row r="5007" s="12" customFormat="1" x14ac:dyDescent="0.25"/>
    <row r="5008" s="12" customFormat="1" x14ac:dyDescent="0.25"/>
    <row r="5009" s="12" customFormat="1" x14ac:dyDescent="0.25"/>
    <row r="5010" s="12" customFormat="1" x14ac:dyDescent="0.25"/>
    <row r="5011" s="12" customFormat="1" x14ac:dyDescent="0.25"/>
    <row r="5012" s="12" customFormat="1" x14ac:dyDescent="0.25"/>
    <row r="5013" s="12" customFormat="1" x14ac:dyDescent="0.25"/>
    <row r="5014" s="12" customFormat="1" x14ac:dyDescent="0.25"/>
    <row r="5015" s="12" customFormat="1" x14ac:dyDescent="0.25"/>
    <row r="5016" s="12" customFormat="1" x14ac:dyDescent="0.25"/>
    <row r="5017" s="12" customFormat="1" x14ac:dyDescent="0.25"/>
    <row r="5018" s="12" customFormat="1" x14ac:dyDescent="0.25"/>
    <row r="5019" s="12" customFormat="1" x14ac:dyDescent="0.25"/>
    <row r="5020" s="12" customFormat="1" x14ac:dyDescent="0.25"/>
    <row r="5021" s="12" customFormat="1" x14ac:dyDescent="0.25"/>
    <row r="5022" s="12" customFormat="1" x14ac:dyDescent="0.25"/>
    <row r="5023" s="12" customFormat="1" x14ac:dyDescent="0.25"/>
    <row r="5024" s="12" customFormat="1" x14ac:dyDescent="0.25"/>
    <row r="5025" s="12" customFormat="1" x14ac:dyDescent="0.25"/>
    <row r="5026" s="12" customFormat="1" x14ac:dyDescent="0.25"/>
    <row r="5027" s="12" customFormat="1" x14ac:dyDescent="0.25"/>
    <row r="5028" s="12" customFormat="1" x14ac:dyDescent="0.25"/>
    <row r="5029" s="12" customFormat="1" x14ac:dyDescent="0.25"/>
    <row r="5030" s="12" customFormat="1" x14ac:dyDescent="0.25"/>
    <row r="5031" s="12" customFormat="1" x14ac:dyDescent="0.25"/>
    <row r="5032" s="12" customFormat="1" x14ac:dyDescent="0.25"/>
    <row r="5033" s="12" customFormat="1" x14ac:dyDescent="0.25"/>
    <row r="5034" s="12" customFormat="1" x14ac:dyDescent="0.25"/>
    <row r="5035" s="12" customFormat="1" x14ac:dyDescent="0.25"/>
    <row r="5036" s="12" customFormat="1" x14ac:dyDescent="0.25"/>
    <row r="5037" s="12" customFormat="1" x14ac:dyDescent="0.25"/>
    <row r="5038" s="12" customFormat="1" x14ac:dyDescent="0.25"/>
    <row r="5039" s="12" customFormat="1" x14ac:dyDescent="0.25"/>
    <row r="5040" s="12" customFormat="1" x14ac:dyDescent="0.25"/>
    <row r="5041" s="12" customFormat="1" x14ac:dyDescent="0.25"/>
    <row r="5042" s="12" customFormat="1" x14ac:dyDescent="0.25"/>
    <row r="5043" s="12" customFormat="1" x14ac:dyDescent="0.25"/>
    <row r="5044" s="12" customFormat="1" x14ac:dyDescent="0.25"/>
    <row r="5045" s="12" customFormat="1" x14ac:dyDescent="0.25"/>
    <row r="5046" s="12" customFormat="1" x14ac:dyDescent="0.25"/>
    <row r="5047" s="12" customFormat="1" x14ac:dyDescent="0.25"/>
    <row r="5048" s="12" customFormat="1" x14ac:dyDescent="0.25"/>
    <row r="5049" s="12" customFormat="1" x14ac:dyDescent="0.25"/>
    <row r="5050" s="12" customFormat="1" x14ac:dyDescent="0.25"/>
    <row r="5051" s="12" customFormat="1" x14ac:dyDescent="0.25"/>
    <row r="5052" s="12" customFormat="1" x14ac:dyDescent="0.25"/>
    <row r="5053" s="12" customFormat="1" x14ac:dyDescent="0.25"/>
    <row r="5054" s="12" customFormat="1" x14ac:dyDescent="0.25"/>
    <row r="5055" s="12" customFormat="1" x14ac:dyDescent="0.25"/>
    <row r="5056" s="12" customFormat="1" x14ac:dyDescent="0.25"/>
    <row r="5057" s="12" customFormat="1" x14ac:dyDescent="0.25"/>
    <row r="5058" s="12" customFormat="1" x14ac:dyDescent="0.25"/>
    <row r="5059" s="12" customFormat="1" x14ac:dyDescent="0.25"/>
    <row r="5060" s="12" customFormat="1" x14ac:dyDescent="0.25"/>
    <row r="5061" s="12" customFormat="1" x14ac:dyDescent="0.25"/>
    <row r="5062" s="12" customFormat="1" x14ac:dyDescent="0.25"/>
    <row r="5063" s="12" customFormat="1" x14ac:dyDescent="0.25"/>
    <row r="5064" s="12" customFormat="1" x14ac:dyDescent="0.25"/>
    <row r="5065" s="12" customFormat="1" x14ac:dyDescent="0.25"/>
    <row r="5066" s="12" customFormat="1" x14ac:dyDescent="0.25"/>
    <row r="5067" s="12" customFormat="1" x14ac:dyDescent="0.25"/>
    <row r="5068" s="12" customFormat="1" x14ac:dyDescent="0.25"/>
    <row r="5069" s="12" customFormat="1" x14ac:dyDescent="0.25"/>
    <row r="5070" s="12" customFormat="1" x14ac:dyDescent="0.25"/>
    <row r="5071" s="12" customFormat="1" x14ac:dyDescent="0.25"/>
    <row r="5072" s="12" customFormat="1" x14ac:dyDescent="0.25"/>
    <row r="5073" s="12" customFormat="1" x14ac:dyDescent="0.25"/>
    <row r="5074" s="12" customFormat="1" x14ac:dyDescent="0.25"/>
    <row r="5075" s="12" customFormat="1" x14ac:dyDescent="0.25"/>
    <row r="5076" s="12" customFormat="1" x14ac:dyDescent="0.25"/>
    <row r="5077" s="12" customFormat="1" x14ac:dyDescent="0.25"/>
    <row r="5078" s="12" customFormat="1" x14ac:dyDescent="0.25"/>
    <row r="5079" s="12" customFormat="1" x14ac:dyDescent="0.25"/>
    <row r="5080" s="12" customFormat="1" x14ac:dyDescent="0.25"/>
    <row r="5081" s="12" customFormat="1" x14ac:dyDescent="0.25"/>
    <row r="5082" s="12" customFormat="1" x14ac:dyDescent="0.25"/>
    <row r="5083" s="12" customFormat="1" x14ac:dyDescent="0.25"/>
    <row r="5084" s="12" customFormat="1" x14ac:dyDescent="0.25"/>
    <row r="5085" s="12" customFormat="1" x14ac:dyDescent="0.25"/>
    <row r="5086" s="12" customFormat="1" x14ac:dyDescent="0.25"/>
    <row r="5087" s="12" customFormat="1" x14ac:dyDescent="0.25"/>
    <row r="5088" s="12" customFormat="1" x14ac:dyDescent="0.25"/>
    <row r="5089" s="12" customFormat="1" x14ac:dyDescent="0.25"/>
    <row r="5090" s="12" customFormat="1" x14ac:dyDescent="0.25"/>
    <row r="5091" s="12" customFormat="1" x14ac:dyDescent="0.25"/>
    <row r="5092" s="12" customFormat="1" x14ac:dyDescent="0.25"/>
    <row r="5093" s="12" customFormat="1" x14ac:dyDescent="0.25"/>
    <row r="5094" s="12" customFormat="1" x14ac:dyDescent="0.25"/>
    <row r="5095" s="12" customFormat="1" x14ac:dyDescent="0.25"/>
    <row r="5096" s="12" customFormat="1" x14ac:dyDescent="0.25"/>
    <row r="5097" s="12" customFormat="1" x14ac:dyDescent="0.25"/>
    <row r="5098" s="12" customFormat="1" x14ac:dyDescent="0.25"/>
    <row r="5099" s="12" customFormat="1" x14ac:dyDescent="0.25"/>
    <row r="5100" s="12" customFormat="1" x14ac:dyDescent="0.25"/>
    <row r="5101" s="12" customFormat="1" x14ac:dyDescent="0.25"/>
    <row r="5102" s="12" customFormat="1" x14ac:dyDescent="0.25"/>
    <row r="5103" s="12" customFormat="1" x14ac:dyDescent="0.25"/>
    <row r="5104" s="12" customFormat="1" x14ac:dyDescent="0.25"/>
    <row r="5105" s="12" customFormat="1" x14ac:dyDescent="0.25"/>
    <row r="5106" s="12" customFormat="1" x14ac:dyDescent="0.25"/>
    <row r="5107" s="12" customFormat="1" x14ac:dyDescent="0.25"/>
    <row r="5108" s="12" customFormat="1" x14ac:dyDescent="0.25"/>
    <row r="5109" s="12" customFormat="1" x14ac:dyDescent="0.25"/>
    <row r="5110" s="12" customFormat="1" x14ac:dyDescent="0.25"/>
    <row r="5111" s="12" customFormat="1" x14ac:dyDescent="0.25"/>
    <row r="5112" s="12" customFormat="1" x14ac:dyDescent="0.25"/>
    <row r="5113" s="12" customFormat="1" x14ac:dyDescent="0.25"/>
    <row r="5114" s="12" customFormat="1" x14ac:dyDescent="0.25"/>
    <row r="5115" s="12" customFormat="1" x14ac:dyDescent="0.25"/>
    <row r="5116" s="12" customFormat="1" x14ac:dyDescent="0.25"/>
    <row r="5117" s="12" customFormat="1" x14ac:dyDescent="0.25"/>
    <row r="5118" s="12" customFormat="1" x14ac:dyDescent="0.25"/>
    <row r="5119" s="12" customFormat="1" x14ac:dyDescent="0.25"/>
    <row r="5120" s="12" customFormat="1" x14ac:dyDescent="0.25"/>
    <row r="5121" s="12" customFormat="1" x14ac:dyDescent="0.25"/>
    <row r="5122" s="12" customFormat="1" x14ac:dyDescent="0.25"/>
    <row r="5123" s="12" customFormat="1" x14ac:dyDescent="0.25"/>
    <row r="5124" s="12" customFormat="1" x14ac:dyDescent="0.25"/>
    <row r="5125" s="12" customFormat="1" x14ac:dyDescent="0.25"/>
    <row r="5126" s="12" customFormat="1" x14ac:dyDescent="0.25"/>
    <row r="5127" s="12" customFormat="1" x14ac:dyDescent="0.25"/>
    <row r="5128" s="12" customFormat="1" x14ac:dyDescent="0.25"/>
    <row r="5129" s="12" customFormat="1" x14ac:dyDescent="0.25"/>
    <row r="5130" s="12" customFormat="1" x14ac:dyDescent="0.25"/>
    <row r="5131" s="12" customFormat="1" x14ac:dyDescent="0.25"/>
    <row r="5132" s="12" customFormat="1" x14ac:dyDescent="0.25"/>
    <row r="5133" s="12" customFormat="1" x14ac:dyDescent="0.25"/>
    <row r="5134" s="12" customFormat="1" x14ac:dyDescent="0.25"/>
    <row r="5135" s="12" customFormat="1" x14ac:dyDescent="0.25"/>
    <row r="5136" s="12" customFormat="1" x14ac:dyDescent="0.25"/>
    <row r="5137" s="12" customFormat="1" x14ac:dyDescent="0.25"/>
    <row r="5138" s="12" customFormat="1" x14ac:dyDescent="0.25"/>
    <row r="5139" s="12" customFormat="1" x14ac:dyDescent="0.25"/>
    <row r="5140" s="12" customFormat="1" x14ac:dyDescent="0.25"/>
    <row r="5141" s="12" customFormat="1" x14ac:dyDescent="0.25"/>
    <row r="5142" s="12" customFormat="1" x14ac:dyDescent="0.25"/>
    <row r="5143" s="12" customFormat="1" x14ac:dyDescent="0.25"/>
    <row r="5144" s="12" customFormat="1" x14ac:dyDescent="0.25"/>
    <row r="5145" s="12" customFormat="1" x14ac:dyDescent="0.25"/>
    <row r="5146" s="12" customFormat="1" x14ac:dyDescent="0.25"/>
    <row r="5147" s="12" customFormat="1" x14ac:dyDescent="0.25"/>
    <row r="5148" s="12" customFormat="1" x14ac:dyDescent="0.25"/>
    <row r="5149" s="12" customFormat="1" x14ac:dyDescent="0.25"/>
    <row r="5150" s="12" customFormat="1" x14ac:dyDescent="0.25"/>
    <row r="5151" s="12" customFormat="1" x14ac:dyDescent="0.25"/>
    <row r="5152" s="12" customFormat="1" x14ac:dyDescent="0.25"/>
    <row r="5153" s="12" customFormat="1" x14ac:dyDescent="0.25"/>
    <row r="5154" s="12" customFormat="1" x14ac:dyDescent="0.25"/>
    <row r="5155" s="12" customFormat="1" x14ac:dyDescent="0.25"/>
    <row r="5156" s="12" customFormat="1" x14ac:dyDescent="0.25"/>
    <row r="5157" s="12" customFormat="1" x14ac:dyDescent="0.25"/>
    <row r="5158" s="12" customFormat="1" x14ac:dyDescent="0.25"/>
    <row r="5159" s="12" customFormat="1" x14ac:dyDescent="0.25"/>
    <row r="5160" s="12" customFormat="1" x14ac:dyDescent="0.25"/>
    <row r="5161" s="12" customFormat="1" x14ac:dyDescent="0.25"/>
    <row r="5162" s="12" customFormat="1" x14ac:dyDescent="0.25"/>
    <row r="5163" s="12" customFormat="1" x14ac:dyDescent="0.25"/>
    <row r="5164" s="12" customFormat="1" x14ac:dyDescent="0.25"/>
    <row r="5165" s="12" customFormat="1" x14ac:dyDescent="0.25"/>
    <row r="5166" s="12" customFormat="1" x14ac:dyDescent="0.25"/>
    <row r="5167" s="12" customFormat="1" x14ac:dyDescent="0.25"/>
    <row r="5168" s="12" customFormat="1" x14ac:dyDescent="0.25"/>
    <row r="5169" s="12" customFormat="1" x14ac:dyDescent="0.25"/>
    <row r="5170" s="12" customFormat="1" x14ac:dyDescent="0.25"/>
    <row r="5171" s="12" customFormat="1" x14ac:dyDescent="0.25"/>
    <row r="5172" s="12" customFormat="1" x14ac:dyDescent="0.25"/>
    <row r="5173" s="12" customFormat="1" x14ac:dyDescent="0.25"/>
    <row r="5174" s="12" customFormat="1" x14ac:dyDescent="0.25"/>
    <row r="5175" s="12" customFormat="1" x14ac:dyDescent="0.25"/>
    <row r="5176" s="12" customFormat="1" x14ac:dyDescent="0.25"/>
    <row r="5177" s="12" customFormat="1" x14ac:dyDescent="0.25"/>
    <row r="5178" s="12" customFormat="1" x14ac:dyDescent="0.25"/>
    <row r="5179" s="12" customFormat="1" x14ac:dyDescent="0.25"/>
    <row r="5180" s="12" customFormat="1" x14ac:dyDescent="0.25"/>
    <row r="5181" s="12" customFormat="1" x14ac:dyDescent="0.25"/>
    <row r="5182" s="12" customFormat="1" x14ac:dyDescent="0.25"/>
    <row r="5183" s="12" customFormat="1" x14ac:dyDescent="0.25"/>
    <row r="5184" s="12" customFormat="1" x14ac:dyDescent="0.25"/>
    <row r="5185" s="12" customFormat="1" x14ac:dyDescent="0.25"/>
    <row r="5186" s="12" customFormat="1" x14ac:dyDescent="0.25"/>
    <row r="5187" s="12" customFormat="1" x14ac:dyDescent="0.25"/>
    <row r="5188" s="12" customFormat="1" x14ac:dyDescent="0.25"/>
    <row r="5189" s="12" customFormat="1" x14ac:dyDescent="0.25"/>
    <row r="5190" s="12" customFormat="1" x14ac:dyDescent="0.25"/>
    <row r="5191" s="12" customFormat="1" x14ac:dyDescent="0.25"/>
    <row r="5192" s="12" customFormat="1" x14ac:dyDescent="0.25"/>
    <row r="5193" s="12" customFormat="1" x14ac:dyDescent="0.25"/>
    <row r="5194" s="12" customFormat="1" x14ac:dyDescent="0.25"/>
    <row r="5195" s="12" customFormat="1" x14ac:dyDescent="0.25"/>
    <row r="5196" s="12" customFormat="1" x14ac:dyDescent="0.25"/>
    <row r="5197" s="12" customFormat="1" x14ac:dyDescent="0.25"/>
    <row r="5198" s="12" customFormat="1" x14ac:dyDescent="0.25"/>
    <row r="5199" s="12" customFormat="1" x14ac:dyDescent="0.25"/>
    <row r="5200" s="12" customFormat="1" x14ac:dyDescent="0.25"/>
    <row r="5201" s="12" customFormat="1" x14ac:dyDescent="0.25"/>
    <row r="5202" s="12" customFormat="1" x14ac:dyDescent="0.25"/>
    <row r="5203" s="12" customFormat="1" x14ac:dyDescent="0.25"/>
    <row r="5204" s="12" customFormat="1" x14ac:dyDescent="0.25"/>
    <row r="5205" s="12" customFormat="1" x14ac:dyDescent="0.25"/>
    <row r="5206" s="12" customFormat="1" x14ac:dyDescent="0.25"/>
    <row r="5207" s="12" customFormat="1" x14ac:dyDescent="0.25"/>
    <row r="5208" s="12" customFormat="1" x14ac:dyDescent="0.25"/>
    <row r="5209" s="12" customFormat="1" x14ac:dyDescent="0.25"/>
    <row r="5210" s="12" customFormat="1" x14ac:dyDescent="0.25"/>
    <row r="5211" s="12" customFormat="1" x14ac:dyDescent="0.25"/>
    <row r="5212" s="12" customFormat="1" x14ac:dyDescent="0.25"/>
    <row r="5213" s="12" customFormat="1" x14ac:dyDescent="0.25"/>
    <row r="5214" s="12" customFormat="1" x14ac:dyDescent="0.25"/>
    <row r="5215" s="12" customFormat="1" x14ac:dyDescent="0.25"/>
    <row r="5216" s="12" customFormat="1" x14ac:dyDescent="0.25"/>
    <row r="5217" s="12" customFormat="1" x14ac:dyDescent="0.25"/>
    <row r="5218" s="12" customFormat="1" x14ac:dyDescent="0.25"/>
    <row r="5219" s="12" customFormat="1" x14ac:dyDescent="0.25"/>
    <row r="5220" s="12" customFormat="1" x14ac:dyDescent="0.25"/>
    <row r="5221" s="12" customFormat="1" x14ac:dyDescent="0.25"/>
    <row r="5222" s="12" customFormat="1" x14ac:dyDescent="0.25"/>
    <row r="5223" s="12" customFormat="1" x14ac:dyDescent="0.25"/>
    <row r="5224" s="12" customFormat="1" x14ac:dyDescent="0.25"/>
    <row r="5225" s="12" customFormat="1" x14ac:dyDescent="0.25"/>
    <row r="5226" s="12" customFormat="1" x14ac:dyDescent="0.25"/>
    <row r="5227" s="12" customFormat="1" x14ac:dyDescent="0.25"/>
    <row r="5228" s="12" customFormat="1" x14ac:dyDescent="0.25"/>
    <row r="5229" s="12" customFormat="1" x14ac:dyDescent="0.25"/>
    <row r="5230" s="12" customFormat="1" x14ac:dyDescent="0.25"/>
    <row r="5231" s="12" customFormat="1" x14ac:dyDescent="0.25"/>
    <row r="5232" s="12" customFormat="1" x14ac:dyDescent="0.25"/>
    <row r="5233" s="12" customFormat="1" x14ac:dyDescent="0.25"/>
    <row r="5234" s="12" customFormat="1" x14ac:dyDescent="0.25"/>
    <row r="5235" s="12" customFormat="1" x14ac:dyDescent="0.25"/>
    <row r="5236" s="12" customFormat="1" x14ac:dyDescent="0.25"/>
    <row r="5237" s="12" customFormat="1" x14ac:dyDescent="0.25"/>
    <row r="5238" s="12" customFormat="1" x14ac:dyDescent="0.25"/>
    <row r="5239" s="12" customFormat="1" x14ac:dyDescent="0.25"/>
    <row r="5240" s="12" customFormat="1" x14ac:dyDescent="0.25"/>
    <row r="5241" s="12" customFormat="1" x14ac:dyDescent="0.25"/>
    <row r="5242" s="12" customFormat="1" x14ac:dyDescent="0.25"/>
    <row r="5243" s="12" customFormat="1" x14ac:dyDescent="0.25"/>
    <row r="5244" s="12" customFormat="1" x14ac:dyDescent="0.25"/>
    <row r="5245" s="12" customFormat="1" x14ac:dyDescent="0.25"/>
    <row r="5246" s="12" customFormat="1" x14ac:dyDescent="0.25"/>
    <row r="5247" s="12" customFormat="1" x14ac:dyDescent="0.25"/>
    <row r="5248" s="12" customFormat="1" x14ac:dyDescent="0.25"/>
    <row r="5249" s="12" customFormat="1" x14ac:dyDescent="0.25"/>
    <row r="5250" s="12" customFormat="1" x14ac:dyDescent="0.25"/>
    <row r="5251" s="12" customFormat="1" x14ac:dyDescent="0.25"/>
    <row r="5252" s="12" customFormat="1" x14ac:dyDescent="0.25"/>
    <row r="5253" s="12" customFormat="1" x14ac:dyDescent="0.25"/>
    <row r="5254" s="12" customFormat="1" x14ac:dyDescent="0.25"/>
    <row r="5255" s="12" customFormat="1" x14ac:dyDescent="0.25"/>
    <row r="5256" s="12" customFormat="1" x14ac:dyDescent="0.25"/>
    <row r="5257" s="12" customFormat="1" x14ac:dyDescent="0.25"/>
    <row r="5258" s="12" customFormat="1" x14ac:dyDescent="0.25"/>
    <row r="5259" s="12" customFormat="1" x14ac:dyDescent="0.25"/>
    <row r="5260" s="12" customFormat="1" x14ac:dyDescent="0.25"/>
    <row r="5261" s="12" customFormat="1" x14ac:dyDescent="0.25"/>
    <row r="5262" s="12" customFormat="1" x14ac:dyDescent="0.25"/>
    <row r="5263" s="12" customFormat="1" x14ac:dyDescent="0.25"/>
    <row r="5264" s="12" customFormat="1" x14ac:dyDescent="0.25"/>
    <row r="5265" s="12" customFormat="1" x14ac:dyDescent="0.25"/>
    <row r="5266" s="12" customFormat="1" x14ac:dyDescent="0.25"/>
    <row r="5267" s="12" customFormat="1" x14ac:dyDescent="0.25"/>
    <row r="5268" s="12" customFormat="1" x14ac:dyDescent="0.25"/>
    <row r="5269" s="12" customFormat="1" x14ac:dyDescent="0.25"/>
    <row r="5270" s="12" customFormat="1" x14ac:dyDescent="0.25"/>
    <row r="5271" s="12" customFormat="1" x14ac:dyDescent="0.25"/>
    <row r="5272" s="12" customFormat="1" x14ac:dyDescent="0.25"/>
    <row r="5273" s="12" customFormat="1" x14ac:dyDescent="0.25"/>
    <row r="5274" s="12" customFormat="1" x14ac:dyDescent="0.25"/>
    <row r="5275" s="12" customFormat="1" x14ac:dyDescent="0.25"/>
    <row r="5276" s="12" customFormat="1" x14ac:dyDescent="0.25"/>
    <row r="5277" s="12" customFormat="1" x14ac:dyDescent="0.25"/>
    <row r="5278" s="12" customFormat="1" x14ac:dyDescent="0.25"/>
    <row r="5279" s="12" customFormat="1" x14ac:dyDescent="0.25"/>
    <row r="5280" s="12" customFormat="1" x14ac:dyDescent="0.25"/>
    <row r="5281" s="12" customFormat="1" x14ac:dyDescent="0.25"/>
    <row r="5282" s="12" customFormat="1" x14ac:dyDescent="0.25"/>
    <row r="5283" s="12" customFormat="1" x14ac:dyDescent="0.25"/>
    <row r="5284" s="12" customFormat="1" x14ac:dyDescent="0.25"/>
    <row r="5285" s="12" customFormat="1" x14ac:dyDescent="0.25"/>
    <row r="5286" s="12" customFormat="1" x14ac:dyDescent="0.25"/>
    <row r="5287" s="12" customFormat="1" x14ac:dyDescent="0.25"/>
    <row r="5288" s="12" customFormat="1" x14ac:dyDescent="0.25"/>
    <row r="5289" s="12" customFormat="1" x14ac:dyDescent="0.25"/>
    <row r="5290" s="12" customFormat="1" x14ac:dyDescent="0.25"/>
    <row r="5291" s="12" customFormat="1" x14ac:dyDescent="0.25"/>
    <row r="5292" s="12" customFormat="1" x14ac:dyDescent="0.25"/>
    <row r="5293" s="12" customFormat="1" x14ac:dyDescent="0.25"/>
    <row r="5294" s="12" customFormat="1" x14ac:dyDescent="0.25"/>
    <row r="5295" s="12" customFormat="1" x14ac:dyDescent="0.25"/>
    <row r="5296" s="12" customFormat="1" x14ac:dyDescent="0.25"/>
    <row r="5297" s="12" customFormat="1" x14ac:dyDescent="0.25"/>
    <row r="5298" s="12" customFormat="1" x14ac:dyDescent="0.25"/>
    <row r="5299" s="12" customFormat="1" x14ac:dyDescent="0.25"/>
    <row r="5300" s="12" customFormat="1" x14ac:dyDescent="0.25"/>
    <row r="5301" s="12" customFormat="1" x14ac:dyDescent="0.25"/>
    <row r="5302" s="12" customFormat="1" x14ac:dyDescent="0.25"/>
    <row r="5303" s="12" customFormat="1" x14ac:dyDescent="0.25"/>
    <row r="5304" s="12" customFormat="1" x14ac:dyDescent="0.25"/>
    <row r="5305" s="12" customFormat="1" x14ac:dyDescent="0.25"/>
    <row r="5306" s="12" customFormat="1" x14ac:dyDescent="0.25"/>
    <row r="5307" s="12" customFormat="1" x14ac:dyDescent="0.25"/>
    <row r="5308" s="12" customFormat="1" x14ac:dyDescent="0.25"/>
    <row r="5309" s="12" customFormat="1" x14ac:dyDescent="0.25"/>
    <row r="5310" s="12" customFormat="1" x14ac:dyDescent="0.25"/>
    <row r="5311" s="12" customFormat="1" x14ac:dyDescent="0.25"/>
    <row r="5312" s="12" customFormat="1" x14ac:dyDescent="0.25"/>
    <row r="5313" s="12" customFormat="1" x14ac:dyDescent="0.25"/>
    <row r="5314" s="12" customFormat="1" x14ac:dyDescent="0.25"/>
    <row r="5315" s="12" customFormat="1" x14ac:dyDescent="0.25"/>
    <row r="5316" s="12" customFormat="1" x14ac:dyDescent="0.25"/>
    <row r="5317" s="12" customFormat="1" x14ac:dyDescent="0.25"/>
    <row r="5318" s="12" customFormat="1" x14ac:dyDescent="0.25"/>
    <row r="5319" s="12" customFormat="1" x14ac:dyDescent="0.25"/>
    <row r="5320" s="12" customFormat="1" x14ac:dyDescent="0.25"/>
    <row r="5321" s="12" customFormat="1" x14ac:dyDescent="0.25"/>
    <row r="5322" s="12" customFormat="1" x14ac:dyDescent="0.25"/>
    <row r="5323" s="12" customFormat="1" x14ac:dyDescent="0.25"/>
    <row r="5324" s="12" customFormat="1" x14ac:dyDescent="0.25"/>
    <row r="5325" s="12" customFormat="1" x14ac:dyDescent="0.25"/>
    <row r="5326" s="12" customFormat="1" x14ac:dyDescent="0.25"/>
    <row r="5327" s="12" customFormat="1" x14ac:dyDescent="0.25"/>
    <row r="5328" s="12" customFormat="1" x14ac:dyDescent="0.25"/>
    <row r="5329" s="12" customFormat="1" x14ac:dyDescent="0.25"/>
    <row r="5330" s="12" customFormat="1" x14ac:dyDescent="0.25"/>
    <row r="5331" s="12" customFormat="1" x14ac:dyDescent="0.25"/>
    <row r="5332" s="12" customFormat="1" x14ac:dyDescent="0.25"/>
    <row r="5333" s="12" customFormat="1" x14ac:dyDescent="0.25"/>
    <row r="5334" s="12" customFormat="1" x14ac:dyDescent="0.25"/>
    <row r="5335" s="12" customFormat="1" x14ac:dyDescent="0.25"/>
    <row r="5336" s="12" customFormat="1" x14ac:dyDescent="0.25"/>
    <row r="5337" s="12" customFormat="1" x14ac:dyDescent="0.25"/>
    <row r="5338" s="12" customFormat="1" x14ac:dyDescent="0.25"/>
    <row r="5339" s="12" customFormat="1" x14ac:dyDescent="0.25"/>
    <row r="5340" s="12" customFormat="1" x14ac:dyDescent="0.25"/>
    <row r="5341" s="12" customFormat="1" x14ac:dyDescent="0.25"/>
    <row r="5342" s="12" customFormat="1" x14ac:dyDescent="0.25"/>
    <row r="5343" s="12" customFormat="1" x14ac:dyDescent="0.25"/>
    <row r="5344" s="12" customFormat="1" x14ac:dyDescent="0.25"/>
    <row r="5345" s="12" customFormat="1" x14ac:dyDescent="0.25"/>
    <row r="5346" s="12" customFormat="1" x14ac:dyDescent="0.25"/>
    <row r="5347" s="12" customFormat="1" x14ac:dyDescent="0.25"/>
    <row r="5348" s="12" customFormat="1" x14ac:dyDescent="0.25"/>
    <row r="5349" s="12" customFormat="1" x14ac:dyDescent="0.25"/>
    <row r="5350" s="12" customFormat="1" x14ac:dyDescent="0.25"/>
    <row r="5351" s="12" customFormat="1" x14ac:dyDescent="0.25"/>
    <row r="5352" s="12" customFormat="1" x14ac:dyDescent="0.25"/>
    <row r="5353" s="12" customFormat="1" x14ac:dyDescent="0.25"/>
    <row r="5354" s="12" customFormat="1" x14ac:dyDescent="0.25"/>
    <row r="5355" s="12" customFormat="1" x14ac:dyDescent="0.25"/>
    <row r="5356" s="12" customFormat="1" x14ac:dyDescent="0.25"/>
    <row r="5357" s="12" customFormat="1" x14ac:dyDescent="0.25"/>
    <row r="5358" s="12" customFormat="1" x14ac:dyDescent="0.25"/>
    <row r="5359" s="12" customFormat="1" x14ac:dyDescent="0.25"/>
    <row r="5360" s="12" customFormat="1" x14ac:dyDescent="0.25"/>
    <row r="5361" s="12" customFormat="1" x14ac:dyDescent="0.25"/>
    <row r="5362" s="12" customFormat="1" x14ac:dyDescent="0.25"/>
    <row r="5363" s="12" customFormat="1" x14ac:dyDescent="0.25"/>
    <row r="5364" s="12" customFormat="1" x14ac:dyDescent="0.25"/>
    <row r="5365" s="12" customFormat="1" x14ac:dyDescent="0.25"/>
    <row r="5366" s="12" customFormat="1" x14ac:dyDescent="0.25"/>
    <row r="5367" s="12" customFormat="1" x14ac:dyDescent="0.25"/>
    <row r="5368" s="12" customFormat="1" x14ac:dyDescent="0.25"/>
    <row r="5369" s="12" customFormat="1" x14ac:dyDescent="0.25"/>
    <row r="5370" s="12" customFormat="1" x14ac:dyDescent="0.25"/>
    <row r="5371" s="12" customFormat="1" x14ac:dyDescent="0.25"/>
    <row r="5372" s="12" customFormat="1" x14ac:dyDescent="0.25"/>
    <row r="5373" s="12" customFormat="1" x14ac:dyDescent="0.25"/>
    <row r="5374" s="12" customFormat="1" x14ac:dyDescent="0.25"/>
    <row r="5375" s="12" customFormat="1" x14ac:dyDescent="0.25"/>
    <row r="5376" s="12" customFormat="1" x14ac:dyDescent="0.25"/>
    <row r="5377" s="12" customFormat="1" x14ac:dyDescent="0.25"/>
    <row r="5378" s="12" customFormat="1" x14ac:dyDescent="0.25"/>
    <row r="5379" s="12" customFormat="1" x14ac:dyDescent="0.25"/>
    <row r="5380" s="12" customFormat="1" x14ac:dyDescent="0.25"/>
    <row r="5381" s="12" customFormat="1" x14ac:dyDescent="0.25"/>
    <row r="5382" s="12" customFormat="1" x14ac:dyDescent="0.25"/>
    <row r="5383" s="12" customFormat="1" x14ac:dyDescent="0.25"/>
    <row r="5384" s="12" customFormat="1" x14ac:dyDescent="0.25"/>
    <row r="5385" s="12" customFormat="1" x14ac:dyDescent="0.25"/>
    <row r="5386" s="12" customFormat="1" x14ac:dyDescent="0.25"/>
    <row r="5387" s="12" customFormat="1" x14ac:dyDescent="0.25"/>
    <row r="5388" s="12" customFormat="1" x14ac:dyDescent="0.25"/>
    <row r="5389" s="12" customFormat="1" x14ac:dyDescent="0.25"/>
    <row r="5390" s="12" customFormat="1" x14ac:dyDescent="0.25"/>
    <row r="5391" s="12" customFormat="1" x14ac:dyDescent="0.25"/>
    <row r="5392" s="12" customFormat="1" x14ac:dyDescent="0.25"/>
    <row r="5393" s="12" customFormat="1" x14ac:dyDescent="0.25"/>
    <row r="5394" s="12" customFormat="1" x14ac:dyDescent="0.25"/>
    <row r="5395" s="12" customFormat="1" x14ac:dyDescent="0.25"/>
    <row r="5396" s="12" customFormat="1" x14ac:dyDescent="0.25"/>
    <row r="5397" s="12" customFormat="1" x14ac:dyDescent="0.25"/>
    <row r="5398" s="12" customFormat="1" x14ac:dyDescent="0.25"/>
    <row r="5399" s="12" customFormat="1" x14ac:dyDescent="0.25"/>
    <row r="5400" s="12" customFormat="1" x14ac:dyDescent="0.25"/>
    <row r="5401" s="12" customFormat="1" x14ac:dyDescent="0.25"/>
    <row r="5402" s="12" customFormat="1" x14ac:dyDescent="0.25"/>
    <row r="5403" s="12" customFormat="1" x14ac:dyDescent="0.25"/>
    <row r="5404" s="12" customFormat="1" x14ac:dyDescent="0.25"/>
    <row r="5405" s="12" customFormat="1" x14ac:dyDescent="0.25"/>
    <row r="5406" s="12" customFormat="1" x14ac:dyDescent="0.25"/>
    <row r="5407" s="12" customFormat="1" x14ac:dyDescent="0.25"/>
    <row r="5408" s="12" customFormat="1" x14ac:dyDescent="0.25"/>
    <row r="5409" s="12" customFormat="1" x14ac:dyDescent="0.25"/>
    <row r="5410" s="12" customFormat="1" x14ac:dyDescent="0.25"/>
    <row r="5411" s="12" customFormat="1" x14ac:dyDescent="0.25"/>
    <row r="5412" s="12" customFormat="1" x14ac:dyDescent="0.25"/>
    <row r="5413" s="12" customFormat="1" x14ac:dyDescent="0.25"/>
    <row r="5414" s="12" customFormat="1" x14ac:dyDescent="0.25"/>
    <row r="5415" s="12" customFormat="1" x14ac:dyDescent="0.25"/>
    <row r="5416" s="12" customFormat="1" x14ac:dyDescent="0.25"/>
    <row r="5417" s="12" customFormat="1" x14ac:dyDescent="0.25"/>
    <row r="5418" s="12" customFormat="1" x14ac:dyDescent="0.25"/>
    <row r="5419" s="12" customFormat="1" x14ac:dyDescent="0.25"/>
    <row r="5420" s="12" customFormat="1" x14ac:dyDescent="0.25"/>
    <row r="5421" s="12" customFormat="1" x14ac:dyDescent="0.25"/>
    <row r="5422" s="12" customFormat="1" x14ac:dyDescent="0.25"/>
    <row r="5423" s="12" customFormat="1" x14ac:dyDescent="0.25"/>
    <row r="5424" s="12" customFormat="1" x14ac:dyDescent="0.25"/>
    <row r="5425" s="12" customFormat="1" x14ac:dyDescent="0.25"/>
    <row r="5426" s="12" customFormat="1" x14ac:dyDescent="0.25"/>
    <row r="5427" s="12" customFormat="1" x14ac:dyDescent="0.25"/>
    <row r="5428" s="12" customFormat="1" x14ac:dyDescent="0.25"/>
    <row r="5429" s="12" customFormat="1" x14ac:dyDescent="0.25"/>
    <row r="5430" s="12" customFormat="1" x14ac:dyDescent="0.25"/>
    <row r="5431" s="12" customFormat="1" x14ac:dyDescent="0.25"/>
    <row r="5432" s="12" customFormat="1" x14ac:dyDescent="0.25"/>
    <row r="5433" s="12" customFormat="1" x14ac:dyDescent="0.25"/>
    <row r="5434" s="12" customFormat="1" x14ac:dyDescent="0.25"/>
    <row r="5435" s="12" customFormat="1" x14ac:dyDescent="0.25"/>
    <row r="5436" s="12" customFormat="1" x14ac:dyDescent="0.25"/>
    <row r="5437" s="12" customFormat="1" x14ac:dyDescent="0.25"/>
    <row r="5438" s="12" customFormat="1" x14ac:dyDescent="0.25"/>
    <row r="5439" s="12" customFormat="1" x14ac:dyDescent="0.25"/>
    <row r="5440" s="12" customFormat="1" x14ac:dyDescent="0.25"/>
    <row r="5441" s="12" customFormat="1" x14ac:dyDescent="0.25"/>
    <row r="5442" s="12" customFormat="1" x14ac:dyDescent="0.25"/>
    <row r="5443" s="12" customFormat="1" x14ac:dyDescent="0.25"/>
    <row r="5444" s="12" customFormat="1" x14ac:dyDescent="0.25"/>
    <row r="5445" s="12" customFormat="1" x14ac:dyDescent="0.25"/>
    <row r="5446" s="12" customFormat="1" x14ac:dyDescent="0.25"/>
    <row r="5447" s="12" customFormat="1" x14ac:dyDescent="0.25"/>
    <row r="5448" s="12" customFormat="1" x14ac:dyDescent="0.25"/>
    <row r="5449" s="12" customFormat="1" x14ac:dyDescent="0.25"/>
    <row r="5450" s="12" customFormat="1" x14ac:dyDescent="0.25"/>
    <row r="5451" s="12" customFormat="1" x14ac:dyDescent="0.25"/>
    <row r="5452" s="12" customFormat="1" x14ac:dyDescent="0.25"/>
    <row r="5453" s="12" customFormat="1" x14ac:dyDescent="0.25"/>
    <row r="5454" s="12" customFormat="1" x14ac:dyDescent="0.25"/>
    <row r="5455" s="12" customFormat="1" x14ac:dyDescent="0.25"/>
    <row r="5456" s="12" customFormat="1" x14ac:dyDescent="0.25"/>
    <row r="5457" s="12" customFormat="1" x14ac:dyDescent="0.25"/>
    <row r="5458" s="12" customFormat="1" x14ac:dyDescent="0.25"/>
    <row r="5459" s="12" customFormat="1" x14ac:dyDescent="0.25"/>
    <row r="5460" s="12" customFormat="1" x14ac:dyDescent="0.25"/>
    <row r="5461" s="12" customFormat="1" x14ac:dyDescent="0.25"/>
    <row r="5462" s="12" customFormat="1" x14ac:dyDescent="0.25"/>
    <row r="5463" s="12" customFormat="1" x14ac:dyDescent="0.25"/>
    <row r="5464" s="12" customFormat="1" x14ac:dyDescent="0.25"/>
    <row r="5465" s="12" customFormat="1" x14ac:dyDescent="0.25"/>
    <row r="5466" s="12" customFormat="1" x14ac:dyDescent="0.25"/>
    <row r="5467" s="12" customFormat="1" x14ac:dyDescent="0.25"/>
    <row r="5468" s="12" customFormat="1" x14ac:dyDescent="0.25"/>
    <row r="5469" s="12" customFormat="1" x14ac:dyDescent="0.25"/>
    <row r="5470" s="12" customFormat="1" x14ac:dyDescent="0.25"/>
    <row r="5471" s="12" customFormat="1" x14ac:dyDescent="0.25"/>
    <row r="5472" s="12" customFormat="1" x14ac:dyDescent="0.25"/>
    <row r="5473" s="12" customFormat="1" x14ac:dyDescent="0.25"/>
    <row r="5474" s="12" customFormat="1" x14ac:dyDescent="0.25"/>
    <row r="5475" s="12" customFormat="1" x14ac:dyDescent="0.25"/>
    <row r="5476" s="12" customFormat="1" x14ac:dyDescent="0.25"/>
    <row r="5477" s="12" customFormat="1" x14ac:dyDescent="0.25"/>
    <row r="5478" s="12" customFormat="1" x14ac:dyDescent="0.25"/>
    <row r="5479" s="12" customFormat="1" x14ac:dyDescent="0.25"/>
    <row r="5480" s="12" customFormat="1" x14ac:dyDescent="0.25"/>
    <row r="5481" s="12" customFormat="1" x14ac:dyDescent="0.25"/>
    <row r="5482" s="12" customFormat="1" x14ac:dyDescent="0.25"/>
    <row r="5483" s="12" customFormat="1" x14ac:dyDescent="0.25"/>
    <row r="5484" s="12" customFormat="1" x14ac:dyDescent="0.25"/>
    <row r="5485" s="12" customFormat="1" x14ac:dyDescent="0.25"/>
    <row r="5486" s="12" customFormat="1" x14ac:dyDescent="0.25"/>
    <row r="5487" s="12" customFormat="1" x14ac:dyDescent="0.25"/>
    <row r="5488" s="12" customFormat="1" x14ac:dyDescent="0.25"/>
    <row r="5489" s="12" customFormat="1" x14ac:dyDescent="0.25"/>
    <row r="5490" s="12" customFormat="1" x14ac:dyDescent="0.25"/>
    <row r="5491" s="12" customFormat="1" x14ac:dyDescent="0.25"/>
    <row r="5492" s="12" customFormat="1" x14ac:dyDescent="0.25"/>
    <row r="5493" s="12" customFormat="1" x14ac:dyDescent="0.25"/>
    <row r="5494" s="12" customFormat="1" x14ac:dyDescent="0.25"/>
    <row r="5495" s="12" customFormat="1" x14ac:dyDescent="0.25"/>
    <row r="5496" s="12" customFormat="1" x14ac:dyDescent="0.25"/>
    <row r="5497" s="12" customFormat="1" x14ac:dyDescent="0.25"/>
    <row r="5498" s="12" customFormat="1" x14ac:dyDescent="0.25"/>
    <row r="5499" s="12" customFormat="1" x14ac:dyDescent="0.25"/>
    <row r="5500" s="12" customFormat="1" x14ac:dyDescent="0.25"/>
    <row r="5501" s="12" customFormat="1" x14ac:dyDescent="0.25"/>
    <row r="5502" s="12" customFormat="1" x14ac:dyDescent="0.25"/>
    <row r="5503" s="12" customFormat="1" x14ac:dyDescent="0.25"/>
    <row r="5504" s="12" customFormat="1" x14ac:dyDescent="0.25"/>
    <row r="5505" s="12" customFormat="1" x14ac:dyDescent="0.25"/>
    <row r="5506" s="12" customFormat="1" x14ac:dyDescent="0.25"/>
    <row r="5507" s="12" customFormat="1" x14ac:dyDescent="0.25"/>
    <row r="5508" s="12" customFormat="1" x14ac:dyDescent="0.25"/>
    <row r="5509" s="12" customFormat="1" x14ac:dyDescent="0.25"/>
    <row r="5510" s="12" customFormat="1" x14ac:dyDescent="0.25"/>
    <row r="5511" s="12" customFormat="1" x14ac:dyDescent="0.25"/>
    <row r="5512" s="12" customFormat="1" x14ac:dyDescent="0.25"/>
    <row r="5513" s="12" customFormat="1" x14ac:dyDescent="0.25"/>
    <row r="5514" s="12" customFormat="1" x14ac:dyDescent="0.25"/>
    <row r="5515" s="12" customFormat="1" x14ac:dyDescent="0.25"/>
    <row r="5516" s="12" customFormat="1" x14ac:dyDescent="0.25"/>
    <row r="5517" s="12" customFormat="1" x14ac:dyDescent="0.25"/>
    <row r="5518" s="12" customFormat="1" x14ac:dyDescent="0.25"/>
    <row r="5519" s="12" customFormat="1" x14ac:dyDescent="0.25"/>
    <row r="5520" s="12" customFormat="1" x14ac:dyDescent="0.25"/>
    <row r="5521" s="12" customFormat="1" x14ac:dyDescent="0.25"/>
    <row r="5522" s="12" customFormat="1" x14ac:dyDescent="0.25"/>
    <row r="5523" s="12" customFormat="1" x14ac:dyDescent="0.25"/>
    <row r="5524" s="12" customFormat="1" x14ac:dyDescent="0.25"/>
    <row r="5525" s="12" customFormat="1" x14ac:dyDescent="0.25"/>
    <row r="5526" s="12" customFormat="1" x14ac:dyDescent="0.25"/>
    <row r="5527" s="12" customFormat="1" x14ac:dyDescent="0.25"/>
    <row r="5528" s="12" customFormat="1" x14ac:dyDescent="0.25"/>
    <row r="5529" s="12" customFormat="1" x14ac:dyDescent="0.25"/>
    <row r="5530" s="12" customFormat="1" x14ac:dyDescent="0.25"/>
    <row r="5531" s="12" customFormat="1" x14ac:dyDescent="0.25"/>
    <row r="5532" s="12" customFormat="1" x14ac:dyDescent="0.25"/>
    <row r="5533" s="12" customFormat="1" x14ac:dyDescent="0.25"/>
    <row r="5534" s="12" customFormat="1" x14ac:dyDescent="0.25"/>
    <row r="5535" s="12" customFormat="1" x14ac:dyDescent="0.25"/>
    <row r="5536" s="12" customFormat="1" x14ac:dyDescent="0.25"/>
    <row r="5537" s="12" customFormat="1" x14ac:dyDescent="0.25"/>
    <row r="5538" s="12" customFormat="1" x14ac:dyDescent="0.25"/>
    <row r="5539" s="12" customFormat="1" x14ac:dyDescent="0.25"/>
    <row r="5540" s="12" customFormat="1" x14ac:dyDescent="0.25"/>
    <row r="5541" s="12" customFormat="1" x14ac:dyDescent="0.25"/>
    <row r="5542" s="12" customFormat="1" x14ac:dyDescent="0.25"/>
    <row r="5543" s="12" customFormat="1" x14ac:dyDescent="0.25"/>
    <row r="5544" s="12" customFormat="1" x14ac:dyDescent="0.25"/>
    <row r="5545" s="12" customFormat="1" x14ac:dyDescent="0.25"/>
    <row r="5546" s="12" customFormat="1" x14ac:dyDescent="0.25"/>
    <row r="5547" s="12" customFormat="1" x14ac:dyDescent="0.25"/>
    <row r="5548" s="12" customFormat="1" x14ac:dyDescent="0.25"/>
    <row r="5549" s="12" customFormat="1" x14ac:dyDescent="0.25"/>
    <row r="5550" s="12" customFormat="1" x14ac:dyDescent="0.25"/>
    <row r="5551" s="12" customFormat="1" x14ac:dyDescent="0.25"/>
    <row r="5552" s="12" customFormat="1" x14ac:dyDescent="0.25"/>
    <row r="5553" s="12" customFormat="1" x14ac:dyDescent="0.25"/>
    <row r="5554" s="12" customFormat="1" x14ac:dyDescent="0.25"/>
    <row r="5555" s="12" customFormat="1" x14ac:dyDescent="0.25"/>
    <row r="5556" s="12" customFormat="1" x14ac:dyDescent="0.25"/>
    <row r="5557" s="12" customFormat="1" x14ac:dyDescent="0.25"/>
    <row r="5558" s="12" customFormat="1" x14ac:dyDescent="0.25"/>
    <row r="5559" s="12" customFormat="1" x14ac:dyDescent="0.25"/>
    <row r="5560" s="12" customFormat="1" x14ac:dyDescent="0.25"/>
    <row r="5561" s="12" customFormat="1" x14ac:dyDescent="0.25"/>
    <row r="5562" s="12" customFormat="1" x14ac:dyDescent="0.25"/>
    <row r="5563" s="12" customFormat="1" x14ac:dyDescent="0.25"/>
    <row r="5564" s="12" customFormat="1" x14ac:dyDescent="0.25"/>
    <row r="5565" s="12" customFormat="1" x14ac:dyDescent="0.25"/>
    <row r="5566" s="12" customFormat="1" x14ac:dyDescent="0.25"/>
    <row r="5567" s="12" customFormat="1" x14ac:dyDescent="0.25"/>
    <row r="5568" s="12" customFormat="1" x14ac:dyDescent="0.25"/>
    <row r="5569" s="12" customFormat="1" x14ac:dyDescent="0.25"/>
    <row r="5570" s="12" customFormat="1" x14ac:dyDescent="0.25"/>
    <row r="5571" s="12" customFormat="1" x14ac:dyDescent="0.25"/>
    <row r="5572" s="12" customFormat="1" x14ac:dyDescent="0.25"/>
    <row r="5573" s="12" customFormat="1" x14ac:dyDescent="0.25"/>
    <row r="5574" s="12" customFormat="1" x14ac:dyDescent="0.25"/>
    <row r="5575" s="12" customFormat="1" x14ac:dyDescent="0.25"/>
    <row r="5576" s="12" customFormat="1" x14ac:dyDescent="0.25"/>
    <row r="5577" s="12" customFormat="1" x14ac:dyDescent="0.25"/>
    <row r="5578" s="12" customFormat="1" x14ac:dyDescent="0.25"/>
    <row r="5579" s="12" customFormat="1" x14ac:dyDescent="0.25"/>
    <row r="5580" s="12" customFormat="1" x14ac:dyDescent="0.25"/>
    <row r="5581" s="12" customFormat="1" x14ac:dyDescent="0.25"/>
    <row r="5582" s="12" customFormat="1" x14ac:dyDescent="0.25"/>
    <row r="5583" s="12" customFormat="1" x14ac:dyDescent="0.25"/>
    <row r="5584" s="12" customFormat="1" x14ac:dyDescent="0.25"/>
    <row r="5585" s="12" customFormat="1" x14ac:dyDescent="0.25"/>
    <row r="5586" s="12" customFormat="1" x14ac:dyDescent="0.25"/>
    <row r="5587" s="12" customFormat="1" x14ac:dyDescent="0.25"/>
    <row r="5588" s="12" customFormat="1" x14ac:dyDescent="0.25"/>
    <row r="5589" s="12" customFormat="1" x14ac:dyDescent="0.25"/>
    <row r="5590" s="12" customFormat="1" x14ac:dyDescent="0.25"/>
    <row r="5591" s="12" customFormat="1" x14ac:dyDescent="0.25"/>
    <row r="5592" s="12" customFormat="1" x14ac:dyDescent="0.25"/>
    <row r="5593" s="12" customFormat="1" x14ac:dyDescent="0.25"/>
    <row r="5594" s="12" customFormat="1" x14ac:dyDescent="0.25"/>
    <row r="5595" s="12" customFormat="1" x14ac:dyDescent="0.25"/>
    <row r="5596" s="12" customFormat="1" x14ac:dyDescent="0.25"/>
    <row r="5597" s="12" customFormat="1" x14ac:dyDescent="0.25"/>
    <row r="5598" s="12" customFormat="1" x14ac:dyDescent="0.25"/>
    <row r="5599" s="12" customFormat="1" x14ac:dyDescent="0.25"/>
    <row r="5600" s="12" customFormat="1" x14ac:dyDescent="0.25"/>
    <row r="5601" s="12" customFormat="1" x14ac:dyDescent="0.25"/>
    <row r="5602" s="12" customFormat="1" x14ac:dyDescent="0.25"/>
    <row r="5603" s="12" customFormat="1" x14ac:dyDescent="0.25"/>
    <row r="5604" s="12" customFormat="1" x14ac:dyDescent="0.25"/>
    <row r="5605" s="12" customFormat="1" x14ac:dyDescent="0.25"/>
    <row r="5606" s="12" customFormat="1" x14ac:dyDescent="0.25"/>
    <row r="5607" s="12" customFormat="1" x14ac:dyDescent="0.25"/>
    <row r="5608" s="12" customFormat="1" x14ac:dyDescent="0.25"/>
    <row r="5609" s="12" customFormat="1" x14ac:dyDescent="0.25"/>
    <row r="5610" s="12" customFormat="1" x14ac:dyDescent="0.25"/>
    <row r="5611" s="12" customFormat="1" x14ac:dyDescent="0.25"/>
    <row r="5612" s="12" customFormat="1" x14ac:dyDescent="0.25"/>
    <row r="5613" s="12" customFormat="1" x14ac:dyDescent="0.25"/>
    <row r="5614" s="12" customFormat="1" x14ac:dyDescent="0.25"/>
    <row r="5615" s="12" customFormat="1" x14ac:dyDescent="0.25"/>
    <row r="5616" s="12" customFormat="1" x14ac:dyDescent="0.25"/>
    <row r="5617" s="12" customFormat="1" x14ac:dyDescent="0.25"/>
    <row r="5618" s="12" customFormat="1" x14ac:dyDescent="0.25"/>
    <row r="5619" s="12" customFormat="1" x14ac:dyDescent="0.25"/>
    <row r="5620" s="12" customFormat="1" x14ac:dyDescent="0.25"/>
    <row r="5621" s="12" customFormat="1" x14ac:dyDescent="0.25"/>
    <row r="5622" s="12" customFormat="1" x14ac:dyDescent="0.25"/>
    <row r="5623" s="12" customFormat="1" x14ac:dyDescent="0.25"/>
    <row r="5624" s="12" customFormat="1" x14ac:dyDescent="0.25"/>
    <row r="5625" s="12" customFormat="1" x14ac:dyDescent="0.25"/>
    <row r="5626" s="12" customFormat="1" x14ac:dyDescent="0.25"/>
    <row r="5627" s="12" customFormat="1" x14ac:dyDescent="0.25"/>
    <row r="5628" s="12" customFormat="1" x14ac:dyDescent="0.25"/>
    <row r="5629" s="12" customFormat="1" x14ac:dyDescent="0.25"/>
    <row r="5630" s="12" customFormat="1" x14ac:dyDescent="0.25"/>
    <row r="5631" s="12" customFormat="1" x14ac:dyDescent="0.25"/>
    <row r="5632" s="12" customFormat="1" x14ac:dyDescent="0.25"/>
    <row r="5633" s="12" customFormat="1" x14ac:dyDescent="0.25"/>
    <row r="5634" s="12" customFormat="1" x14ac:dyDescent="0.25"/>
    <row r="5635" s="12" customFormat="1" x14ac:dyDescent="0.25"/>
    <row r="5636" s="12" customFormat="1" x14ac:dyDescent="0.25"/>
    <row r="5637" s="12" customFormat="1" x14ac:dyDescent="0.25"/>
    <row r="5638" s="12" customFormat="1" x14ac:dyDescent="0.25"/>
    <row r="5639" s="12" customFormat="1" x14ac:dyDescent="0.25"/>
    <row r="5640" s="12" customFormat="1" x14ac:dyDescent="0.25"/>
    <row r="5641" s="12" customFormat="1" x14ac:dyDescent="0.25"/>
    <row r="5642" s="12" customFormat="1" x14ac:dyDescent="0.25"/>
    <row r="5643" s="12" customFormat="1" x14ac:dyDescent="0.25"/>
    <row r="5644" s="12" customFormat="1" x14ac:dyDescent="0.25"/>
    <row r="5645" s="12" customFormat="1" x14ac:dyDescent="0.25"/>
    <row r="5646" s="12" customFormat="1" x14ac:dyDescent="0.25"/>
    <row r="5647" s="12" customFormat="1" x14ac:dyDescent="0.25"/>
    <row r="5648" s="12" customFormat="1" x14ac:dyDescent="0.25"/>
    <row r="5649" s="12" customFormat="1" x14ac:dyDescent="0.25"/>
    <row r="5650" s="12" customFormat="1" x14ac:dyDescent="0.25"/>
    <row r="5651" s="12" customFormat="1" x14ac:dyDescent="0.25"/>
    <row r="5652" s="12" customFormat="1" x14ac:dyDescent="0.25"/>
    <row r="5653" s="12" customFormat="1" x14ac:dyDescent="0.25"/>
    <row r="5654" s="12" customFormat="1" x14ac:dyDescent="0.25"/>
    <row r="5655" s="12" customFormat="1" x14ac:dyDescent="0.25"/>
    <row r="5656" s="12" customFormat="1" x14ac:dyDescent="0.25"/>
    <row r="5657" s="12" customFormat="1" x14ac:dyDescent="0.25"/>
    <row r="5658" s="12" customFormat="1" x14ac:dyDescent="0.25"/>
    <row r="5659" s="12" customFormat="1" x14ac:dyDescent="0.25"/>
    <row r="5660" s="12" customFormat="1" x14ac:dyDescent="0.25"/>
    <row r="5661" s="12" customFormat="1" x14ac:dyDescent="0.25"/>
    <row r="5662" s="12" customFormat="1" x14ac:dyDescent="0.25"/>
    <row r="5663" s="12" customFormat="1" x14ac:dyDescent="0.25"/>
    <row r="5664" s="12" customFormat="1" x14ac:dyDescent="0.25"/>
    <row r="5665" s="12" customFormat="1" x14ac:dyDescent="0.25"/>
    <row r="5666" s="12" customFormat="1" x14ac:dyDescent="0.25"/>
    <row r="5667" s="12" customFormat="1" x14ac:dyDescent="0.25"/>
    <row r="5668" s="12" customFormat="1" x14ac:dyDescent="0.25"/>
    <row r="5669" s="12" customFormat="1" x14ac:dyDescent="0.25"/>
    <row r="5670" s="12" customFormat="1" x14ac:dyDescent="0.25"/>
    <row r="5671" s="12" customFormat="1" x14ac:dyDescent="0.25"/>
    <row r="5672" s="12" customFormat="1" x14ac:dyDescent="0.25"/>
    <row r="5673" s="12" customFormat="1" x14ac:dyDescent="0.25"/>
    <row r="5674" s="12" customFormat="1" x14ac:dyDescent="0.25"/>
    <row r="5675" s="12" customFormat="1" x14ac:dyDescent="0.25"/>
    <row r="5676" s="12" customFormat="1" x14ac:dyDescent="0.25"/>
    <row r="5677" s="12" customFormat="1" x14ac:dyDescent="0.25"/>
    <row r="5678" s="12" customFormat="1" x14ac:dyDescent="0.25"/>
    <row r="5679" s="12" customFormat="1" x14ac:dyDescent="0.25"/>
    <row r="5680" s="12" customFormat="1" x14ac:dyDescent="0.25"/>
    <row r="5681" s="12" customFormat="1" x14ac:dyDescent="0.25"/>
    <row r="5682" s="12" customFormat="1" x14ac:dyDescent="0.25"/>
    <row r="5683" s="12" customFormat="1" x14ac:dyDescent="0.25"/>
    <row r="5684" s="12" customFormat="1" x14ac:dyDescent="0.25"/>
    <row r="5685" s="12" customFormat="1" x14ac:dyDescent="0.25"/>
    <row r="5686" s="12" customFormat="1" x14ac:dyDescent="0.25"/>
    <row r="5687" s="12" customFormat="1" x14ac:dyDescent="0.25"/>
    <row r="5688" s="12" customFormat="1" x14ac:dyDescent="0.25"/>
    <row r="5689" s="12" customFormat="1" x14ac:dyDescent="0.25"/>
    <row r="5690" s="12" customFormat="1" x14ac:dyDescent="0.25"/>
    <row r="5691" s="12" customFormat="1" x14ac:dyDescent="0.25"/>
    <row r="5692" s="12" customFormat="1" x14ac:dyDescent="0.25"/>
    <row r="5693" s="12" customFormat="1" x14ac:dyDescent="0.25"/>
    <row r="5694" s="12" customFormat="1" x14ac:dyDescent="0.25"/>
    <row r="5695" s="12" customFormat="1" x14ac:dyDescent="0.25"/>
    <row r="5696" s="12" customFormat="1" x14ac:dyDescent="0.25"/>
    <row r="5697" s="12" customFormat="1" x14ac:dyDescent="0.25"/>
    <row r="5698" s="12" customFormat="1" x14ac:dyDescent="0.25"/>
    <row r="5699" s="12" customFormat="1" x14ac:dyDescent="0.25"/>
    <row r="5700" s="12" customFormat="1" x14ac:dyDescent="0.25"/>
    <row r="5701" s="12" customFormat="1" x14ac:dyDescent="0.25"/>
    <row r="5702" s="12" customFormat="1" x14ac:dyDescent="0.25"/>
    <row r="5703" s="12" customFormat="1" x14ac:dyDescent="0.25"/>
    <row r="5704" s="12" customFormat="1" x14ac:dyDescent="0.25"/>
    <row r="5705" s="12" customFormat="1" x14ac:dyDescent="0.25"/>
    <row r="5706" s="12" customFormat="1" x14ac:dyDescent="0.25"/>
    <row r="5707" s="12" customFormat="1" x14ac:dyDescent="0.25"/>
    <row r="5708" s="12" customFormat="1" x14ac:dyDescent="0.25"/>
    <row r="5709" s="12" customFormat="1" x14ac:dyDescent="0.25"/>
    <row r="5710" s="12" customFormat="1" x14ac:dyDescent="0.25"/>
    <row r="5711" s="12" customFormat="1" x14ac:dyDescent="0.25"/>
    <row r="5712" s="12" customFormat="1" x14ac:dyDescent="0.25"/>
    <row r="5713" s="12" customFormat="1" x14ac:dyDescent="0.25"/>
    <row r="5714" s="12" customFormat="1" x14ac:dyDescent="0.25"/>
    <row r="5715" s="12" customFormat="1" x14ac:dyDescent="0.25"/>
    <row r="5716" s="12" customFormat="1" x14ac:dyDescent="0.25"/>
    <row r="5717" s="12" customFormat="1" x14ac:dyDescent="0.25"/>
    <row r="5718" s="12" customFormat="1" x14ac:dyDescent="0.25"/>
    <row r="5719" s="12" customFormat="1" x14ac:dyDescent="0.25"/>
    <row r="5720" s="12" customFormat="1" x14ac:dyDescent="0.25"/>
    <row r="5721" s="12" customFormat="1" x14ac:dyDescent="0.25"/>
    <row r="5722" s="12" customFormat="1" x14ac:dyDescent="0.25"/>
    <row r="5723" s="12" customFormat="1" x14ac:dyDescent="0.25"/>
    <row r="5724" s="12" customFormat="1" x14ac:dyDescent="0.25"/>
    <row r="5725" s="12" customFormat="1" x14ac:dyDescent="0.25"/>
    <row r="5726" s="12" customFormat="1" x14ac:dyDescent="0.25"/>
    <row r="5727" s="12" customFormat="1" x14ac:dyDescent="0.25"/>
    <row r="5728" s="12" customFormat="1" x14ac:dyDescent="0.25"/>
    <row r="5729" s="12" customFormat="1" x14ac:dyDescent="0.25"/>
    <row r="5730" s="12" customFormat="1" x14ac:dyDescent="0.25"/>
    <row r="5731" s="12" customFormat="1" x14ac:dyDescent="0.25"/>
    <row r="5732" s="12" customFormat="1" x14ac:dyDescent="0.25"/>
    <row r="5733" s="12" customFormat="1" x14ac:dyDescent="0.25"/>
    <row r="5734" s="12" customFormat="1" x14ac:dyDescent="0.25"/>
    <row r="5735" s="12" customFormat="1" x14ac:dyDescent="0.25"/>
    <row r="5736" s="12" customFormat="1" x14ac:dyDescent="0.25"/>
    <row r="5737" s="12" customFormat="1" x14ac:dyDescent="0.25"/>
    <row r="5738" s="12" customFormat="1" x14ac:dyDescent="0.25"/>
    <row r="5739" s="12" customFormat="1" x14ac:dyDescent="0.25"/>
    <row r="5740" s="12" customFormat="1" x14ac:dyDescent="0.25"/>
    <row r="5741" s="12" customFormat="1" x14ac:dyDescent="0.25"/>
    <row r="5742" s="12" customFormat="1" x14ac:dyDescent="0.25"/>
    <row r="5743" s="12" customFormat="1" x14ac:dyDescent="0.25"/>
    <row r="5744" s="12" customFormat="1" x14ac:dyDescent="0.25"/>
    <row r="5745" s="12" customFormat="1" x14ac:dyDescent="0.25"/>
    <row r="5746" s="12" customFormat="1" x14ac:dyDescent="0.25"/>
    <row r="5747" s="12" customFormat="1" x14ac:dyDescent="0.25"/>
    <row r="5748" s="12" customFormat="1" x14ac:dyDescent="0.25"/>
    <row r="5749" s="12" customFormat="1" x14ac:dyDescent="0.25"/>
    <row r="5750" s="12" customFormat="1" x14ac:dyDescent="0.25"/>
    <row r="5751" s="12" customFormat="1" x14ac:dyDescent="0.25"/>
    <row r="5752" s="12" customFormat="1" x14ac:dyDescent="0.25"/>
    <row r="5753" s="12" customFormat="1" x14ac:dyDescent="0.25"/>
    <row r="5754" s="12" customFormat="1" x14ac:dyDescent="0.25"/>
    <row r="5755" s="12" customFormat="1" x14ac:dyDescent="0.25"/>
    <row r="5756" s="12" customFormat="1" x14ac:dyDescent="0.25"/>
    <row r="5757" s="12" customFormat="1" x14ac:dyDescent="0.25"/>
    <row r="5758" s="12" customFormat="1" x14ac:dyDescent="0.25"/>
    <row r="5759" s="12" customFormat="1" x14ac:dyDescent="0.25"/>
    <row r="5760" s="12" customFormat="1" x14ac:dyDescent="0.25"/>
    <row r="5761" s="12" customFormat="1" x14ac:dyDescent="0.25"/>
    <row r="5762" s="12" customFormat="1" x14ac:dyDescent="0.25"/>
    <row r="5763" s="12" customFormat="1" x14ac:dyDescent="0.25"/>
    <row r="5764" s="12" customFormat="1" x14ac:dyDescent="0.25"/>
    <row r="5765" s="12" customFormat="1" x14ac:dyDescent="0.25"/>
    <row r="5766" s="12" customFormat="1" x14ac:dyDescent="0.25"/>
    <row r="5767" s="12" customFormat="1" x14ac:dyDescent="0.25"/>
    <row r="5768" s="12" customFormat="1" x14ac:dyDescent="0.25"/>
    <row r="5769" s="12" customFormat="1" x14ac:dyDescent="0.25"/>
    <row r="5770" s="12" customFormat="1" x14ac:dyDescent="0.25"/>
    <row r="5771" s="12" customFormat="1" x14ac:dyDescent="0.25"/>
    <row r="5772" s="12" customFormat="1" x14ac:dyDescent="0.25"/>
    <row r="5773" s="12" customFormat="1" x14ac:dyDescent="0.25"/>
    <row r="5774" s="12" customFormat="1" x14ac:dyDescent="0.25"/>
    <row r="5775" s="12" customFormat="1" x14ac:dyDescent="0.25"/>
    <row r="5776" s="12" customFormat="1" x14ac:dyDescent="0.25"/>
    <row r="5777" s="12" customFormat="1" x14ac:dyDescent="0.25"/>
    <row r="5778" s="12" customFormat="1" x14ac:dyDescent="0.25"/>
    <row r="5779" s="12" customFormat="1" x14ac:dyDescent="0.25"/>
    <row r="5780" s="12" customFormat="1" x14ac:dyDescent="0.25"/>
    <row r="5781" s="12" customFormat="1" x14ac:dyDescent="0.25"/>
    <row r="5782" s="12" customFormat="1" x14ac:dyDescent="0.25"/>
    <row r="5783" s="12" customFormat="1" x14ac:dyDescent="0.25"/>
    <row r="5784" s="12" customFormat="1" x14ac:dyDescent="0.25"/>
    <row r="5785" s="12" customFormat="1" x14ac:dyDescent="0.25"/>
    <row r="5786" s="12" customFormat="1" x14ac:dyDescent="0.25"/>
    <row r="5787" s="12" customFormat="1" x14ac:dyDescent="0.25"/>
    <row r="5788" s="12" customFormat="1" x14ac:dyDescent="0.25"/>
    <row r="5789" s="12" customFormat="1" x14ac:dyDescent="0.25"/>
    <row r="5790" s="12" customFormat="1" x14ac:dyDescent="0.25"/>
    <row r="5791" s="12" customFormat="1" x14ac:dyDescent="0.25"/>
    <row r="5792" s="12" customFormat="1" x14ac:dyDescent="0.25"/>
    <row r="5793" s="12" customFormat="1" x14ac:dyDescent="0.25"/>
    <row r="5794" s="12" customFormat="1" x14ac:dyDescent="0.25"/>
    <row r="5795" s="12" customFormat="1" x14ac:dyDescent="0.25"/>
    <row r="5796" s="12" customFormat="1" x14ac:dyDescent="0.25"/>
    <row r="5797" s="12" customFormat="1" x14ac:dyDescent="0.25"/>
    <row r="5798" s="12" customFormat="1" x14ac:dyDescent="0.25"/>
    <row r="5799" s="12" customFormat="1" x14ac:dyDescent="0.25"/>
    <row r="5800" s="12" customFormat="1" x14ac:dyDescent="0.25"/>
    <row r="5801" s="12" customFormat="1" x14ac:dyDescent="0.25"/>
    <row r="5802" s="12" customFormat="1" x14ac:dyDescent="0.25"/>
    <row r="5803" s="12" customFormat="1" x14ac:dyDescent="0.25"/>
    <row r="5804" s="12" customFormat="1" x14ac:dyDescent="0.25"/>
    <row r="5805" s="12" customFormat="1" x14ac:dyDescent="0.25"/>
    <row r="5806" s="12" customFormat="1" x14ac:dyDescent="0.25"/>
    <row r="5807" s="12" customFormat="1" x14ac:dyDescent="0.25"/>
    <row r="5808" s="12" customFormat="1" x14ac:dyDescent="0.25"/>
    <row r="5809" s="12" customFormat="1" x14ac:dyDescent="0.25"/>
    <row r="5810" s="12" customFormat="1" x14ac:dyDescent="0.25"/>
    <row r="5811" s="12" customFormat="1" x14ac:dyDescent="0.25"/>
    <row r="5812" s="12" customFormat="1" x14ac:dyDescent="0.25"/>
    <row r="5813" s="12" customFormat="1" x14ac:dyDescent="0.25"/>
    <row r="5814" s="12" customFormat="1" x14ac:dyDescent="0.25"/>
    <row r="5815" s="12" customFormat="1" x14ac:dyDescent="0.25"/>
    <row r="5816" s="12" customFormat="1" x14ac:dyDescent="0.25"/>
    <row r="5817" s="12" customFormat="1" x14ac:dyDescent="0.25"/>
    <row r="5818" s="12" customFormat="1" x14ac:dyDescent="0.25"/>
    <row r="5819" s="12" customFormat="1" x14ac:dyDescent="0.25"/>
    <row r="5820" s="12" customFormat="1" x14ac:dyDescent="0.25"/>
    <row r="5821" s="12" customFormat="1" x14ac:dyDescent="0.25"/>
    <row r="5822" s="12" customFormat="1" x14ac:dyDescent="0.25"/>
    <row r="5823" s="12" customFormat="1" x14ac:dyDescent="0.25"/>
    <row r="5824" s="12" customFormat="1" x14ac:dyDescent="0.25"/>
    <row r="5825" s="12" customFormat="1" x14ac:dyDescent="0.25"/>
    <row r="5826" s="12" customFormat="1" x14ac:dyDescent="0.25"/>
    <row r="5827" s="12" customFormat="1" x14ac:dyDescent="0.25"/>
    <row r="5828" s="12" customFormat="1" x14ac:dyDescent="0.25"/>
    <row r="5829" s="12" customFormat="1" x14ac:dyDescent="0.25"/>
    <row r="5830" s="12" customFormat="1" x14ac:dyDescent="0.25"/>
    <row r="5831" s="12" customFormat="1" x14ac:dyDescent="0.25"/>
    <row r="5832" s="12" customFormat="1" x14ac:dyDescent="0.25"/>
    <row r="5833" s="12" customFormat="1" x14ac:dyDescent="0.25"/>
    <row r="5834" s="12" customFormat="1" x14ac:dyDescent="0.25"/>
    <row r="5835" s="12" customFormat="1" x14ac:dyDescent="0.25"/>
    <row r="5836" s="12" customFormat="1" x14ac:dyDescent="0.25"/>
    <row r="5837" s="12" customFormat="1" x14ac:dyDescent="0.25"/>
    <row r="5838" s="12" customFormat="1" x14ac:dyDescent="0.25"/>
    <row r="5839" s="12" customFormat="1" x14ac:dyDescent="0.25"/>
    <row r="5840" s="12" customFormat="1" x14ac:dyDescent="0.25"/>
    <row r="5841" s="12" customFormat="1" x14ac:dyDescent="0.25"/>
    <row r="5842" s="12" customFormat="1" x14ac:dyDescent="0.25"/>
    <row r="5843" s="12" customFormat="1" x14ac:dyDescent="0.25"/>
    <row r="5844" s="12" customFormat="1" x14ac:dyDescent="0.25"/>
    <row r="5845" s="12" customFormat="1" x14ac:dyDescent="0.25"/>
    <row r="5846" s="12" customFormat="1" x14ac:dyDescent="0.25"/>
    <row r="5847" s="12" customFormat="1" x14ac:dyDescent="0.25"/>
    <row r="5848" s="12" customFormat="1" x14ac:dyDescent="0.25"/>
    <row r="5849" s="12" customFormat="1" x14ac:dyDescent="0.25"/>
    <row r="5850" s="12" customFormat="1" x14ac:dyDescent="0.25"/>
    <row r="5851" s="12" customFormat="1" x14ac:dyDescent="0.25"/>
    <row r="5852" s="12" customFormat="1" x14ac:dyDescent="0.25"/>
    <row r="5853" s="12" customFormat="1" x14ac:dyDescent="0.25"/>
    <row r="5854" s="12" customFormat="1" x14ac:dyDescent="0.25"/>
    <row r="5855" s="12" customFormat="1" x14ac:dyDescent="0.25"/>
    <row r="5856" s="12" customFormat="1" x14ac:dyDescent="0.25"/>
    <row r="5857" s="12" customFormat="1" x14ac:dyDescent="0.25"/>
    <row r="5858" s="12" customFormat="1" x14ac:dyDescent="0.25"/>
    <row r="5859" s="12" customFormat="1" x14ac:dyDescent="0.25"/>
    <row r="5860" s="12" customFormat="1" x14ac:dyDescent="0.25"/>
    <row r="5861" s="12" customFormat="1" x14ac:dyDescent="0.25"/>
    <row r="5862" s="12" customFormat="1" x14ac:dyDescent="0.25"/>
    <row r="5863" s="12" customFormat="1" x14ac:dyDescent="0.25"/>
    <row r="5864" s="12" customFormat="1" x14ac:dyDescent="0.25"/>
    <row r="5865" s="12" customFormat="1" x14ac:dyDescent="0.25"/>
    <row r="5866" s="12" customFormat="1" x14ac:dyDescent="0.25"/>
    <row r="5867" s="12" customFormat="1" x14ac:dyDescent="0.25"/>
    <row r="5868" s="12" customFormat="1" x14ac:dyDescent="0.25"/>
    <row r="5869" s="12" customFormat="1" x14ac:dyDescent="0.25"/>
    <row r="5870" s="12" customFormat="1" x14ac:dyDescent="0.25"/>
    <row r="5871" s="12" customFormat="1" x14ac:dyDescent="0.25"/>
    <row r="5872" s="12" customFormat="1" x14ac:dyDescent="0.25"/>
    <row r="5873" s="12" customFormat="1" x14ac:dyDescent="0.25"/>
    <row r="5874" s="12" customFormat="1" x14ac:dyDescent="0.25"/>
    <row r="5875" s="12" customFormat="1" x14ac:dyDescent="0.25"/>
    <row r="5876" s="12" customFormat="1" x14ac:dyDescent="0.25"/>
    <row r="5877" s="12" customFormat="1" x14ac:dyDescent="0.25"/>
    <row r="5878" s="12" customFormat="1" x14ac:dyDescent="0.25"/>
    <row r="5879" s="12" customFormat="1" x14ac:dyDescent="0.25"/>
    <row r="5880" s="12" customFormat="1" x14ac:dyDescent="0.25"/>
    <row r="5881" s="12" customFormat="1" x14ac:dyDescent="0.25"/>
    <row r="5882" s="12" customFormat="1" x14ac:dyDescent="0.25"/>
    <row r="5883" s="12" customFormat="1" x14ac:dyDescent="0.25"/>
    <row r="5884" s="12" customFormat="1" x14ac:dyDescent="0.25"/>
    <row r="5885" s="12" customFormat="1" x14ac:dyDescent="0.25"/>
    <row r="5886" s="12" customFormat="1" x14ac:dyDescent="0.25"/>
    <row r="5887" s="12" customFormat="1" x14ac:dyDescent="0.25"/>
    <row r="5888" s="12" customFormat="1" x14ac:dyDescent="0.25"/>
    <row r="5889" s="12" customFormat="1" x14ac:dyDescent="0.25"/>
    <row r="5890" s="12" customFormat="1" x14ac:dyDescent="0.25"/>
    <row r="5891" s="12" customFormat="1" x14ac:dyDescent="0.25"/>
    <row r="5892" s="12" customFormat="1" x14ac:dyDescent="0.25"/>
    <row r="5893" s="12" customFormat="1" x14ac:dyDescent="0.25"/>
    <row r="5894" s="12" customFormat="1" x14ac:dyDescent="0.25"/>
    <row r="5895" s="12" customFormat="1" x14ac:dyDescent="0.25"/>
    <row r="5896" s="12" customFormat="1" x14ac:dyDescent="0.25"/>
    <row r="5897" s="12" customFormat="1" x14ac:dyDescent="0.25"/>
    <row r="5898" s="12" customFormat="1" x14ac:dyDescent="0.25"/>
    <row r="5899" s="12" customFormat="1" x14ac:dyDescent="0.25"/>
    <row r="5900" s="12" customFormat="1" x14ac:dyDescent="0.25"/>
    <row r="5901" s="12" customFormat="1" x14ac:dyDescent="0.25"/>
    <row r="5902" s="12" customFormat="1" x14ac:dyDescent="0.25"/>
    <row r="5903" s="12" customFormat="1" x14ac:dyDescent="0.25"/>
    <row r="5904" s="12" customFormat="1" x14ac:dyDescent="0.25"/>
    <row r="5905" s="12" customFormat="1" x14ac:dyDescent="0.25"/>
    <row r="5906" s="12" customFormat="1" x14ac:dyDescent="0.25"/>
    <row r="5907" s="12" customFormat="1" x14ac:dyDescent="0.25"/>
    <row r="5908" s="12" customFormat="1" x14ac:dyDescent="0.25"/>
    <row r="5909" s="12" customFormat="1" x14ac:dyDescent="0.25"/>
    <row r="5910" s="12" customFormat="1" x14ac:dyDescent="0.25"/>
    <row r="5911" s="12" customFormat="1" x14ac:dyDescent="0.25"/>
    <row r="5912" s="12" customFormat="1" x14ac:dyDescent="0.25"/>
    <row r="5913" s="12" customFormat="1" x14ac:dyDescent="0.25"/>
    <row r="5914" s="12" customFormat="1" x14ac:dyDescent="0.25"/>
    <row r="5915" s="12" customFormat="1" x14ac:dyDescent="0.25"/>
    <row r="5916" s="12" customFormat="1" x14ac:dyDescent="0.25"/>
    <row r="5917" s="12" customFormat="1" x14ac:dyDescent="0.25"/>
    <row r="5918" s="12" customFormat="1" x14ac:dyDescent="0.25"/>
    <row r="5919" s="12" customFormat="1" x14ac:dyDescent="0.25"/>
    <row r="5920" s="12" customFormat="1" x14ac:dyDescent="0.25"/>
    <row r="5921" s="12" customFormat="1" x14ac:dyDescent="0.25"/>
    <row r="5922" s="12" customFormat="1" x14ac:dyDescent="0.25"/>
    <row r="5923" s="12" customFormat="1" x14ac:dyDescent="0.25"/>
    <row r="5924" s="12" customFormat="1" x14ac:dyDescent="0.25"/>
    <row r="5925" s="12" customFormat="1" x14ac:dyDescent="0.25"/>
    <row r="5926" s="12" customFormat="1" x14ac:dyDescent="0.25"/>
    <row r="5927" s="12" customFormat="1" x14ac:dyDescent="0.25"/>
    <row r="5928" s="12" customFormat="1" x14ac:dyDescent="0.25"/>
    <row r="5929" s="12" customFormat="1" x14ac:dyDescent="0.25"/>
    <row r="5930" s="12" customFormat="1" x14ac:dyDescent="0.25"/>
    <row r="5931" s="12" customFormat="1" x14ac:dyDescent="0.25"/>
    <row r="5932" s="12" customFormat="1" x14ac:dyDescent="0.25"/>
    <row r="5933" s="12" customFormat="1" x14ac:dyDescent="0.25"/>
    <row r="5934" s="12" customFormat="1" x14ac:dyDescent="0.25"/>
    <row r="5935" s="12" customFormat="1" x14ac:dyDescent="0.25"/>
    <row r="5936" s="12" customFormat="1" x14ac:dyDescent="0.25"/>
    <row r="5937" s="12" customFormat="1" x14ac:dyDescent="0.25"/>
    <row r="5938" s="12" customFormat="1" x14ac:dyDescent="0.25"/>
    <row r="5939" s="12" customFormat="1" x14ac:dyDescent="0.25"/>
    <row r="5940" s="12" customFormat="1" x14ac:dyDescent="0.25"/>
    <row r="5941" s="12" customFormat="1" x14ac:dyDescent="0.25"/>
    <row r="5942" s="12" customFormat="1" x14ac:dyDescent="0.25"/>
    <row r="5943" s="12" customFormat="1" x14ac:dyDescent="0.25"/>
    <row r="5944" s="12" customFormat="1" x14ac:dyDescent="0.25"/>
    <row r="5945" s="12" customFormat="1" x14ac:dyDescent="0.25"/>
    <row r="5946" s="12" customFormat="1" x14ac:dyDescent="0.25"/>
    <row r="5947" s="12" customFormat="1" x14ac:dyDescent="0.25"/>
    <row r="5948" s="12" customFormat="1" x14ac:dyDescent="0.25"/>
    <row r="5949" s="12" customFormat="1" x14ac:dyDescent="0.25"/>
    <row r="5950" s="12" customFormat="1" x14ac:dyDescent="0.25"/>
    <row r="5951" s="12" customFormat="1" x14ac:dyDescent="0.25"/>
    <row r="5952" s="12" customFormat="1" x14ac:dyDescent="0.25"/>
    <row r="5953" s="12" customFormat="1" x14ac:dyDescent="0.25"/>
    <row r="5954" s="12" customFormat="1" x14ac:dyDescent="0.25"/>
    <row r="5955" s="12" customFormat="1" x14ac:dyDescent="0.25"/>
    <row r="5956" s="12" customFormat="1" x14ac:dyDescent="0.25"/>
    <row r="5957" s="12" customFormat="1" x14ac:dyDescent="0.25"/>
    <row r="5958" s="12" customFormat="1" x14ac:dyDescent="0.25"/>
    <row r="5959" s="12" customFormat="1" x14ac:dyDescent="0.25"/>
    <row r="5960" s="12" customFormat="1" x14ac:dyDescent="0.25"/>
    <row r="5961" s="12" customFormat="1" x14ac:dyDescent="0.25"/>
    <row r="5962" s="12" customFormat="1" x14ac:dyDescent="0.25"/>
    <row r="5963" s="12" customFormat="1" x14ac:dyDescent="0.25"/>
    <row r="5964" s="12" customFormat="1" x14ac:dyDescent="0.25"/>
    <row r="5965" s="12" customFormat="1" x14ac:dyDescent="0.25"/>
    <row r="5966" s="12" customFormat="1" x14ac:dyDescent="0.25"/>
    <row r="5967" s="12" customFormat="1" x14ac:dyDescent="0.25"/>
    <row r="5968" s="12" customFormat="1" x14ac:dyDescent="0.25"/>
    <row r="5969" s="12" customFormat="1" x14ac:dyDescent="0.25"/>
    <row r="5970" s="12" customFormat="1" x14ac:dyDescent="0.25"/>
    <row r="5971" s="12" customFormat="1" x14ac:dyDescent="0.25"/>
    <row r="5972" s="12" customFormat="1" x14ac:dyDescent="0.25"/>
    <row r="5973" s="12" customFormat="1" x14ac:dyDescent="0.25"/>
    <row r="5974" s="12" customFormat="1" x14ac:dyDescent="0.25"/>
    <row r="5975" s="12" customFormat="1" x14ac:dyDescent="0.25"/>
    <row r="5976" s="12" customFormat="1" x14ac:dyDescent="0.25"/>
    <row r="5977" s="12" customFormat="1" x14ac:dyDescent="0.25"/>
    <row r="5978" s="12" customFormat="1" x14ac:dyDescent="0.25"/>
    <row r="5979" s="12" customFormat="1" x14ac:dyDescent="0.25"/>
    <row r="5980" s="12" customFormat="1" x14ac:dyDescent="0.25"/>
    <row r="5981" s="12" customFormat="1" x14ac:dyDescent="0.25"/>
    <row r="5982" s="12" customFormat="1" x14ac:dyDescent="0.25"/>
    <row r="5983" s="12" customFormat="1" x14ac:dyDescent="0.25"/>
    <row r="5984" s="12" customFormat="1" x14ac:dyDescent="0.25"/>
    <row r="5985" s="12" customFormat="1" x14ac:dyDescent="0.25"/>
    <row r="5986" s="12" customFormat="1" x14ac:dyDescent="0.25"/>
    <row r="5987" s="12" customFormat="1" x14ac:dyDescent="0.25"/>
    <row r="5988" s="12" customFormat="1" x14ac:dyDescent="0.25"/>
    <row r="5989" s="12" customFormat="1" x14ac:dyDescent="0.25"/>
    <row r="5990" s="12" customFormat="1" x14ac:dyDescent="0.25"/>
    <row r="5991" s="12" customFormat="1" x14ac:dyDescent="0.25"/>
    <row r="5992" s="12" customFormat="1" x14ac:dyDescent="0.25"/>
    <row r="5993" s="12" customFormat="1" x14ac:dyDescent="0.25"/>
    <row r="5994" s="12" customFormat="1" x14ac:dyDescent="0.25"/>
    <row r="5995" s="12" customFormat="1" x14ac:dyDescent="0.25"/>
    <row r="5996" s="12" customFormat="1" x14ac:dyDescent="0.25"/>
    <row r="5997" s="12" customFormat="1" x14ac:dyDescent="0.25"/>
    <row r="5998" s="12" customFormat="1" x14ac:dyDescent="0.25"/>
    <row r="5999" s="12" customFormat="1" x14ac:dyDescent="0.25"/>
    <row r="6000" s="12" customFormat="1" x14ac:dyDescent="0.25"/>
    <row r="6001" s="12" customFormat="1" x14ac:dyDescent="0.25"/>
    <row r="6002" s="12" customFormat="1" x14ac:dyDescent="0.25"/>
    <row r="6003" s="12" customFormat="1" x14ac:dyDescent="0.25"/>
    <row r="6004" s="12" customFormat="1" x14ac:dyDescent="0.25"/>
    <row r="6005" s="12" customFormat="1" x14ac:dyDescent="0.25"/>
    <row r="6006" s="12" customFormat="1" x14ac:dyDescent="0.25"/>
    <row r="6007" s="12" customFormat="1" x14ac:dyDescent="0.25"/>
    <row r="6008" s="12" customFormat="1" x14ac:dyDescent="0.25"/>
    <row r="6009" s="12" customFormat="1" x14ac:dyDescent="0.25"/>
    <row r="6010" s="12" customFormat="1" x14ac:dyDescent="0.25"/>
    <row r="6011" s="12" customFormat="1" x14ac:dyDescent="0.25"/>
    <row r="6012" s="12" customFormat="1" x14ac:dyDescent="0.25"/>
    <row r="6013" s="12" customFormat="1" x14ac:dyDescent="0.25"/>
    <row r="6014" s="12" customFormat="1" x14ac:dyDescent="0.25"/>
    <row r="6015" s="12" customFormat="1" x14ac:dyDescent="0.25"/>
    <row r="6016" s="12" customFormat="1" x14ac:dyDescent="0.25"/>
    <row r="6017" s="12" customFormat="1" x14ac:dyDescent="0.25"/>
    <row r="6018" s="12" customFormat="1" x14ac:dyDescent="0.25"/>
    <row r="6019" s="12" customFormat="1" x14ac:dyDescent="0.25"/>
    <row r="6020" s="12" customFormat="1" x14ac:dyDescent="0.25"/>
    <row r="6021" s="12" customFormat="1" x14ac:dyDescent="0.25"/>
    <row r="6022" s="12" customFormat="1" x14ac:dyDescent="0.25"/>
    <row r="6023" s="12" customFormat="1" x14ac:dyDescent="0.25"/>
    <row r="6024" s="12" customFormat="1" x14ac:dyDescent="0.25"/>
    <row r="6025" s="12" customFormat="1" x14ac:dyDescent="0.25"/>
    <row r="6026" s="12" customFormat="1" x14ac:dyDescent="0.25"/>
    <row r="6027" s="12" customFormat="1" x14ac:dyDescent="0.25"/>
    <row r="6028" s="12" customFormat="1" x14ac:dyDescent="0.25"/>
    <row r="6029" s="12" customFormat="1" x14ac:dyDescent="0.25"/>
    <row r="6030" s="12" customFormat="1" x14ac:dyDescent="0.25"/>
    <row r="6031" s="12" customFormat="1" x14ac:dyDescent="0.25"/>
    <row r="6032" s="12" customFormat="1" x14ac:dyDescent="0.25"/>
    <row r="6033" s="12" customFormat="1" x14ac:dyDescent="0.25"/>
    <row r="6034" s="12" customFormat="1" x14ac:dyDescent="0.25"/>
    <row r="6035" s="12" customFormat="1" x14ac:dyDescent="0.25"/>
    <row r="6036" s="12" customFormat="1" x14ac:dyDescent="0.25"/>
    <row r="6037" s="12" customFormat="1" x14ac:dyDescent="0.25"/>
    <row r="6038" s="12" customFormat="1" x14ac:dyDescent="0.25"/>
    <row r="6039" s="12" customFormat="1" x14ac:dyDescent="0.25"/>
    <row r="6040" s="12" customFormat="1" x14ac:dyDescent="0.25"/>
    <row r="6041" s="12" customFormat="1" x14ac:dyDescent="0.25"/>
    <row r="6042" s="12" customFormat="1" x14ac:dyDescent="0.25"/>
    <row r="6043" s="12" customFormat="1" x14ac:dyDescent="0.25"/>
    <row r="6044" s="12" customFormat="1" x14ac:dyDescent="0.25"/>
    <row r="6045" s="12" customFormat="1" x14ac:dyDescent="0.25"/>
    <row r="6046" s="12" customFormat="1" x14ac:dyDescent="0.25"/>
    <row r="6047" s="12" customFormat="1" x14ac:dyDescent="0.25"/>
    <row r="6048" s="12" customFormat="1" x14ac:dyDescent="0.25"/>
    <row r="6049" s="12" customFormat="1" x14ac:dyDescent="0.25"/>
    <row r="6050" s="12" customFormat="1" x14ac:dyDescent="0.25"/>
    <row r="6051" s="12" customFormat="1" x14ac:dyDescent="0.25"/>
    <row r="6052" s="12" customFormat="1" x14ac:dyDescent="0.25"/>
    <row r="6053" s="12" customFormat="1" x14ac:dyDescent="0.25"/>
    <row r="6054" s="12" customFormat="1" x14ac:dyDescent="0.25"/>
    <row r="6055" s="12" customFormat="1" x14ac:dyDescent="0.25"/>
    <row r="6056" s="12" customFormat="1" x14ac:dyDescent="0.25"/>
    <row r="6057" s="12" customFormat="1" x14ac:dyDescent="0.25"/>
    <row r="6058" s="12" customFormat="1" x14ac:dyDescent="0.25"/>
    <row r="6059" s="12" customFormat="1" x14ac:dyDescent="0.25"/>
    <row r="6060" s="12" customFormat="1" x14ac:dyDescent="0.25"/>
    <row r="6061" s="12" customFormat="1" x14ac:dyDescent="0.25"/>
    <row r="6062" s="12" customFormat="1" x14ac:dyDescent="0.25"/>
    <row r="6063" s="12" customFormat="1" x14ac:dyDescent="0.25"/>
    <row r="6064" s="12" customFormat="1" x14ac:dyDescent="0.25"/>
    <row r="6065" s="12" customFormat="1" x14ac:dyDescent="0.25"/>
    <row r="6066" s="12" customFormat="1" x14ac:dyDescent="0.25"/>
    <row r="6067" s="12" customFormat="1" x14ac:dyDescent="0.25"/>
    <row r="6068" s="12" customFormat="1" x14ac:dyDescent="0.25"/>
    <row r="6069" s="12" customFormat="1" x14ac:dyDescent="0.25"/>
    <row r="6070" s="12" customFormat="1" x14ac:dyDescent="0.25"/>
    <row r="6071" s="12" customFormat="1" x14ac:dyDescent="0.25"/>
    <row r="6072" s="12" customFormat="1" x14ac:dyDescent="0.25"/>
    <row r="6073" s="12" customFormat="1" x14ac:dyDescent="0.25"/>
    <row r="6074" s="12" customFormat="1" x14ac:dyDescent="0.25"/>
    <row r="6075" s="12" customFormat="1" x14ac:dyDescent="0.25"/>
    <row r="6076" s="12" customFormat="1" x14ac:dyDescent="0.25"/>
    <row r="6077" s="12" customFormat="1" x14ac:dyDescent="0.25"/>
    <row r="6078" s="12" customFormat="1" x14ac:dyDescent="0.25"/>
    <row r="6079" s="12" customFormat="1" x14ac:dyDescent="0.25"/>
    <row r="6080" s="12" customFormat="1" x14ac:dyDescent="0.25"/>
    <row r="6081" s="12" customFormat="1" x14ac:dyDescent="0.25"/>
    <row r="6082" s="12" customFormat="1" x14ac:dyDescent="0.25"/>
    <row r="6083" s="12" customFormat="1" x14ac:dyDescent="0.25"/>
    <row r="6084" s="12" customFormat="1" x14ac:dyDescent="0.25"/>
    <row r="6085" s="12" customFormat="1" x14ac:dyDescent="0.25"/>
    <row r="6086" s="12" customFormat="1" x14ac:dyDescent="0.25"/>
    <row r="6087" s="12" customFormat="1" x14ac:dyDescent="0.25"/>
    <row r="6088" s="12" customFormat="1" x14ac:dyDescent="0.25"/>
    <row r="6089" s="12" customFormat="1" x14ac:dyDescent="0.25"/>
    <row r="6090" s="12" customFormat="1" x14ac:dyDescent="0.25"/>
    <row r="6091" s="12" customFormat="1" x14ac:dyDescent="0.25"/>
    <row r="6092" s="12" customFormat="1" x14ac:dyDescent="0.25"/>
    <row r="6093" s="12" customFormat="1" x14ac:dyDescent="0.25"/>
    <row r="6094" s="12" customFormat="1" x14ac:dyDescent="0.25"/>
    <row r="6095" s="12" customFormat="1" x14ac:dyDescent="0.25"/>
    <row r="6096" s="12" customFormat="1" x14ac:dyDescent="0.25"/>
    <row r="6097" s="12" customFormat="1" x14ac:dyDescent="0.25"/>
    <row r="6098" s="12" customFormat="1" x14ac:dyDescent="0.25"/>
    <row r="6099" s="12" customFormat="1" x14ac:dyDescent="0.25"/>
    <row r="6100" s="12" customFormat="1" x14ac:dyDescent="0.25"/>
    <row r="6101" s="12" customFormat="1" x14ac:dyDescent="0.25"/>
    <row r="6102" s="12" customFormat="1" x14ac:dyDescent="0.25"/>
    <row r="6103" s="12" customFormat="1" x14ac:dyDescent="0.25"/>
    <row r="6104" s="12" customFormat="1" x14ac:dyDescent="0.25"/>
    <row r="6105" s="12" customFormat="1" x14ac:dyDescent="0.25"/>
    <row r="6106" s="12" customFormat="1" x14ac:dyDescent="0.25"/>
    <row r="6107" s="12" customFormat="1" x14ac:dyDescent="0.25"/>
    <row r="6108" s="12" customFormat="1" x14ac:dyDescent="0.25"/>
    <row r="6109" s="12" customFormat="1" x14ac:dyDescent="0.25"/>
    <row r="6110" s="12" customFormat="1" x14ac:dyDescent="0.25"/>
    <row r="6111" s="12" customFormat="1" x14ac:dyDescent="0.25"/>
    <row r="6112" s="12" customFormat="1" x14ac:dyDescent="0.25"/>
    <row r="6113" s="12" customFormat="1" x14ac:dyDescent="0.25"/>
    <row r="6114" s="12" customFormat="1" x14ac:dyDescent="0.25"/>
    <row r="6115" s="12" customFormat="1" x14ac:dyDescent="0.25"/>
    <row r="6116" s="12" customFormat="1" x14ac:dyDescent="0.25"/>
    <row r="6117" s="12" customFormat="1" x14ac:dyDescent="0.25"/>
    <row r="6118" s="12" customFormat="1" x14ac:dyDescent="0.25"/>
    <row r="6119" s="12" customFormat="1" x14ac:dyDescent="0.25"/>
    <row r="6120" s="12" customFormat="1" x14ac:dyDescent="0.25"/>
    <row r="6121" s="12" customFormat="1" x14ac:dyDescent="0.25"/>
    <row r="6122" s="12" customFormat="1" x14ac:dyDescent="0.25"/>
    <row r="6123" s="12" customFormat="1" x14ac:dyDescent="0.25"/>
    <row r="6124" s="12" customFormat="1" x14ac:dyDescent="0.25"/>
    <row r="6125" s="12" customFormat="1" x14ac:dyDescent="0.25"/>
    <row r="6126" s="12" customFormat="1" x14ac:dyDescent="0.25"/>
    <row r="6127" s="12" customFormat="1" x14ac:dyDescent="0.25"/>
    <row r="6128" s="12" customFormat="1" x14ac:dyDescent="0.25"/>
    <row r="6129" s="12" customFormat="1" x14ac:dyDescent="0.25"/>
    <row r="6130" s="12" customFormat="1" x14ac:dyDescent="0.25"/>
    <row r="6131" s="12" customFormat="1" x14ac:dyDescent="0.25"/>
    <row r="6132" s="12" customFormat="1" x14ac:dyDescent="0.25"/>
    <row r="6133" s="12" customFormat="1" x14ac:dyDescent="0.25"/>
    <row r="6134" s="12" customFormat="1" x14ac:dyDescent="0.25"/>
    <row r="6135" s="12" customFormat="1" x14ac:dyDescent="0.25"/>
    <row r="6136" s="12" customFormat="1" x14ac:dyDescent="0.25"/>
    <row r="6137" s="12" customFormat="1" x14ac:dyDescent="0.25"/>
    <row r="6138" s="12" customFormat="1" x14ac:dyDescent="0.25"/>
    <row r="6139" s="12" customFormat="1" x14ac:dyDescent="0.25"/>
    <row r="6140" s="12" customFormat="1" x14ac:dyDescent="0.25"/>
    <row r="6141" s="12" customFormat="1" x14ac:dyDescent="0.25"/>
    <row r="6142" s="12" customFormat="1" x14ac:dyDescent="0.25"/>
    <row r="6143" s="12" customFormat="1" x14ac:dyDescent="0.25"/>
    <row r="6144" s="12" customFormat="1" x14ac:dyDescent="0.25"/>
    <row r="6145" s="12" customFormat="1" x14ac:dyDescent="0.25"/>
    <row r="6146" s="12" customFormat="1" x14ac:dyDescent="0.25"/>
    <row r="6147" s="12" customFormat="1" x14ac:dyDescent="0.25"/>
    <row r="6148" s="12" customFormat="1" x14ac:dyDescent="0.25"/>
    <row r="6149" s="12" customFormat="1" x14ac:dyDescent="0.25"/>
    <row r="6150" s="12" customFormat="1" x14ac:dyDescent="0.25"/>
    <row r="6151" s="12" customFormat="1" x14ac:dyDescent="0.25"/>
    <row r="6152" s="12" customFormat="1" x14ac:dyDescent="0.25"/>
    <row r="6153" s="12" customFormat="1" x14ac:dyDescent="0.25"/>
    <row r="6154" s="12" customFormat="1" x14ac:dyDescent="0.25"/>
    <row r="6155" s="12" customFormat="1" x14ac:dyDescent="0.25"/>
    <row r="6156" s="12" customFormat="1" x14ac:dyDescent="0.25"/>
    <row r="6157" s="12" customFormat="1" x14ac:dyDescent="0.25"/>
    <row r="6158" s="12" customFormat="1" x14ac:dyDescent="0.25"/>
    <row r="6159" s="12" customFormat="1" x14ac:dyDescent="0.25"/>
    <row r="6160" s="12" customFormat="1" x14ac:dyDescent="0.25"/>
    <row r="6161" s="12" customFormat="1" x14ac:dyDescent="0.25"/>
    <row r="6162" s="12" customFormat="1" x14ac:dyDescent="0.25"/>
    <row r="6163" s="12" customFormat="1" x14ac:dyDescent="0.25"/>
    <row r="6164" s="12" customFormat="1" x14ac:dyDescent="0.25"/>
    <row r="6165" s="12" customFormat="1" x14ac:dyDescent="0.25"/>
    <row r="6166" s="12" customFormat="1" x14ac:dyDescent="0.25"/>
    <row r="6167" s="12" customFormat="1" x14ac:dyDescent="0.25"/>
    <row r="6168" s="12" customFormat="1" x14ac:dyDescent="0.25"/>
    <row r="6169" s="12" customFormat="1" x14ac:dyDescent="0.25"/>
    <row r="6170" s="12" customFormat="1" x14ac:dyDescent="0.25"/>
    <row r="6171" s="12" customFormat="1" x14ac:dyDescent="0.25"/>
    <row r="6172" s="12" customFormat="1" x14ac:dyDescent="0.25"/>
    <row r="6173" s="12" customFormat="1" x14ac:dyDescent="0.25"/>
    <row r="6174" s="12" customFormat="1" x14ac:dyDescent="0.25"/>
    <row r="6175" s="12" customFormat="1" x14ac:dyDescent="0.25"/>
    <row r="6176" s="12" customFormat="1" x14ac:dyDescent="0.25"/>
    <row r="6177" s="12" customFormat="1" x14ac:dyDescent="0.25"/>
    <row r="6178" s="12" customFormat="1" x14ac:dyDescent="0.25"/>
    <row r="6179" s="12" customFormat="1" x14ac:dyDescent="0.25"/>
    <row r="6180" s="12" customFormat="1" x14ac:dyDescent="0.25"/>
    <row r="6181" s="12" customFormat="1" x14ac:dyDescent="0.25"/>
    <row r="6182" s="12" customFormat="1" x14ac:dyDescent="0.25"/>
    <row r="6183" s="12" customFormat="1" x14ac:dyDescent="0.25"/>
    <row r="6184" s="12" customFormat="1" x14ac:dyDescent="0.25"/>
    <row r="6185" s="12" customFormat="1" x14ac:dyDescent="0.25"/>
    <row r="6186" s="12" customFormat="1" x14ac:dyDescent="0.25"/>
    <row r="6187" s="12" customFormat="1" x14ac:dyDescent="0.25"/>
    <row r="6188" s="12" customFormat="1" x14ac:dyDescent="0.25"/>
    <row r="6189" s="12" customFormat="1" x14ac:dyDescent="0.25"/>
    <row r="6190" s="12" customFormat="1" x14ac:dyDescent="0.25"/>
    <row r="6191" s="12" customFormat="1" x14ac:dyDescent="0.25"/>
    <row r="6192" s="12" customFormat="1" x14ac:dyDescent="0.25"/>
    <row r="6193" s="12" customFormat="1" x14ac:dyDescent="0.25"/>
    <row r="6194" s="12" customFormat="1" x14ac:dyDescent="0.25"/>
    <row r="6195" s="12" customFormat="1" x14ac:dyDescent="0.25"/>
    <row r="6196" s="12" customFormat="1" x14ac:dyDescent="0.25"/>
    <row r="6197" s="12" customFormat="1" x14ac:dyDescent="0.25"/>
    <row r="6198" s="12" customFormat="1" x14ac:dyDescent="0.25"/>
    <row r="6199" s="12" customFormat="1" x14ac:dyDescent="0.25"/>
    <row r="6200" s="12" customFormat="1" x14ac:dyDescent="0.25"/>
    <row r="6201" s="12" customFormat="1" x14ac:dyDescent="0.25"/>
    <row r="6202" s="12" customFormat="1" x14ac:dyDescent="0.25"/>
    <row r="6203" s="12" customFormat="1" x14ac:dyDescent="0.25"/>
    <row r="6204" s="12" customFormat="1" x14ac:dyDescent="0.25"/>
    <row r="6205" s="12" customFormat="1" x14ac:dyDescent="0.25"/>
    <row r="6206" s="12" customFormat="1" x14ac:dyDescent="0.25"/>
    <row r="6207" s="12" customFormat="1" x14ac:dyDescent="0.25"/>
    <row r="6208" s="12" customFormat="1" x14ac:dyDescent="0.25"/>
    <row r="6209" s="12" customFormat="1" x14ac:dyDescent="0.25"/>
    <row r="6210" s="12" customFormat="1" x14ac:dyDescent="0.25"/>
    <row r="6211" s="12" customFormat="1" x14ac:dyDescent="0.25"/>
    <row r="6212" s="12" customFormat="1" x14ac:dyDescent="0.25"/>
    <row r="6213" s="12" customFormat="1" x14ac:dyDescent="0.25"/>
    <row r="6214" s="12" customFormat="1" x14ac:dyDescent="0.25"/>
    <row r="6215" s="12" customFormat="1" x14ac:dyDescent="0.25"/>
    <row r="6216" s="12" customFormat="1" x14ac:dyDescent="0.25"/>
    <row r="6217" s="12" customFormat="1" x14ac:dyDescent="0.25"/>
    <row r="6218" s="12" customFormat="1" x14ac:dyDescent="0.25"/>
    <row r="6219" s="12" customFormat="1" x14ac:dyDescent="0.25"/>
    <row r="6220" s="12" customFormat="1" x14ac:dyDescent="0.25"/>
    <row r="6221" s="12" customFormat="1" x14ac:dyDescent="0.25"/>
    <row r="6222" s="12" customFormat="1" x14ac:dyDescent="0.25"/>
    <row r="6223" s="12" customFormat="1" x14ac:dyDescent="0.25"/>
    <row r="6224" s="12" customFormat="1" x14ac:dyDescent="0.25"/>
    <row r="6225" s="12" customFormat="1" x14ac:dyDescent="0.25"/>
    <row r="6226" s="12" customFormat="1" x14ac:dyDescent="0.25"/>
    <row r="6227" s="12" customFormat="1" x14ac:dyDescent="0.25"/>
    <row r="6228" s="12" customFormat="1" x14ac:dyDescent="0.25"/>
    <row r="6229" s="12" customFormat="1" x14ac:dyDescent="0.25"/>
    <row r="6230" s="12" customFormat="1" x14ac:dyDescent="0.25"/>
    <row r="6231" s="12" customFormat="1" x14ac:dyDescent="0.25"/>
    <row r="6232" s="12" customFormat="1" x14ac:dyDescent="0.25"/>
    <row r="6233" s="12" customFormat="1" x14ac:dyDescent="0.25"/>
    <row r="6234" s="12" customFormat="1" x14ac:dyDescent="0.25"/>
    <row r="6235" s="12" customFormat="1" x14ac:dyDescent="0.25"/>
    <row r="6236" s="12" customFormat="1" x14ac:dyDescent="0.25"/>
    <row r="6237" s="12" customFormat="1" x14ac:dyDescent="0.25"/>
    <row r="6238" s="12" customFormat="1" x14ac:dyDescent="0.25"/>
    <row r="6239" s="12" customFormat="1" x14ac:dyDescent="0.25"/>
    <row r="6240" s="12" customFormat="1" x14ac:dyDescent="0.25"/>
    <row r="6241" s="12" customFormat="1" x14ac:dyDescent="0.25"/>
    <row r="6242" s="12" customFormat="1" x14ac:dyDescent="0.25"/>
    <row r="6243" s="12" customFormat="1" x14ac:dyDescent="0.25"/>
    <row r="6244" s="12" customFormat="1" x14ac:dyDescent="0.25"/>
    <row r="6245" s="12" customFormat="1" x14ac:dyDescent="0.25"/>
    <row r="6246" s="12" customFormat="1" x14ac:dyDescent="0.25"/>
    <row r="6247" s="12" customFormat="1" x14ac:dyDescent="0.25"/>
    <row r="6248" s="12" customFormat="1" x14ac:dyDescent="0.25"/>
    <row r="6249" s="12" customFormat="1" x14ac:dyDescent="0.25"/>
    <row r="6250" s="12" customFormat="1" x14ac:dyDescent="0.25"/>
    <row r="6251" s="12" customFormat="1" x14ac:dyDescent="0.25"/>
    <row r="6252" s="12" customFormat="1" x14ac:dyDescent="0.25"/>
    <row r="6253" s="12" customFormat="1" x14ac:dyDescent="0.25"/>
    <row r="6254" s="12" customFormat="1" x14ac:dyDescent="0.25"/>
    <row r="6255" s="12" customFormat="1" x14ac:dyDescent="0.25"/>
    <row r="6256" s="12" customFormat="1" x14ac:dyDescent="0.25"/>
    <row r="6257" s="12" customFormat="1" x14ac:dyDescent="0.25"/>
    <row r="6258" s="12" customFormat="1" x14ac:dyDescent="0.25"/>
    <row r="6259" s="12" customFormat="1" x14ac:dyDescent="0.25"/>
    <row r="6260" s="12" customFormat="1" x14ac:dyDescent="0.25"/>
    <row r="6261" s="12" customFormat="1" x14ac:dyDescent="0.25"/>
    <row r="6262" s="12" customFormat="1" x14ac:dyDescent="0.25"/>
    <row r="6263" s="12" customFormat="1" x14ac:dyDescent="0.25"/>
    <row r="6264" s="12" customFormat="1" x14ac:dyDescent="0.25"/>
    <row r="6265" s="12" customFormat="1" x14ac:dyDescent="0.25"/>
    <row r="6266" s="12" customFormat="1" x14ac:dyDescent="0.25"/>
    <row r="6267" s="12" customFormat="1" x14ac:dyDescent="0.25"/>
    <row r="6268" s="12" customFormat="1" x14ac:dyDescent="0.25"/>
    <row r="6269" s="12" customFormat="1" x14ac:dyDescent="0.25"/>
    <row r="6270" s="12" customFormat="1" x14ac:dyDescent="0.25"/>
    <row r="6271" s="12" customFormat="1" x14ac:dyDescent="0.25"/>
    <row r="6272" s="12" customFormat="1" x14ac:dyDescent="0.25"/>
    <row r="6273" s="12" customFormat="1" x14ac:dyDescent="0.25"/>
    <row r="6274" s="12" customFormat="1" x14ac:dyDescent="0.25"/>
    <row r="6275" s="12" customFormat="1" x14ac:dyDescent="0.25"/>
    <row r="6276" s="12" customFormat="1" x14ac:dyDescent="0.25"/>
    <row r="6277" s="12" customFormat="1" x14ac:dyDescent="0.25"/>
    <row r="6278" s="12" customFormat="1" x14ac:dyDescent="0.25"/>
    <row r="6279" s="12" customFormat="1" x14ac:dyDescent="0.25"/>
    <row r="6280" s="12" customFormat="1" x14ac:dyDescent="0.25"/>
    <row r="6281" s="12" customFormat="1" x14ac:dyDescent="0.25"/>
    <row r="6282" s="12" customFormat="1" x14ac:dyDescent="0.25"/>
    <row r="6283" s="12" customFormat="1" x14ac:dyDescent="0.25"/>
    <row r="6284" s="12" customFormat="1" x14ac:dyDescent="0.25"/>
    <row r="6285" s="12" customFormat="1" x14ac:dyDescent="0.25"/>
    <row r="6286" s="12" customFormat="1" x14ac:dyDescent="0.25"/>
    <row r="6287" s="12" customFormat="1" x14ac:dyDescent="0.25"/>
    <row r="6288" s="12" customFormat="1" x14ac:dyDescent="0.25"/>
    <row r="6289" s="12" customFormat="1" x14ac:dyDescent="0.25"/>
    <row r="6290" s="12" customFormat="1" x14ac:dyDescent="0.25"/>
    <row r="6291" s="12" customFormat="1" x14ac:dyDescent="0.25"/>
    <row r="6292" s="12" customFormat="1" x14ac:dyDescent="0.25"/>
    <row r="6293" s="12" customFormat="1" x14ac:dyDescent="0.25"/>
    <row r="6294" s="12" customFormat="1" x14ac:dyDescent="0.25"/>
    <row r="6295" s="12" customFormat="1" x14ac:dyDescent="0.25"/>
    <row r="6296" s="12" customFormat="1" x14ac:dyDescent="0.25"/>
    <row r="6297" s="12" customFormat="1" x14ac:dyDescent="0.25"/>
    <row r="6298" s="12" customFormat="1" x14ac:dyDescent="0.25"/>
    <row r="6299" s="12" customFormat="1" x14ac:dyDescent="0.25"/>
    <row r="6300" s="12" customFormat="1" x14ac:dyDescent="0.25"/>
    <row r="6301" s="12" customFormat="1" x14ac:dyDescent="0.25"/>
    <row r="6302" s="12" customFormat="1" x14ac:dyDescent="0.25"/>
    <row r="6303" s="12" customFormat="1" x14ac:dyDescent="0.25"/>
    <row r="6304" s="12" customFormat="1" x14ac:dyDescent="0.25"/>
    <row r="6305" s="12" customFormat="1" x14ac:dyDescent="0.25"/>
    <row r="6306" s="12" customFormat="1" x14ac:dyDescent="0.25"/>
    <row r="6307" s="12" customFormat="1" x14ac:dyDescent="0.25"/>
    <row r="6308" s="12" customFormat="1" x14ac:dyDescent="0.25"/>
    <row r="6309" s="12" customFormat="1" x14ac:dyDescent="0.25"/>
    <row r="6310" s="12" customFormat="1" x14ac:dyDescent="0.25"/>
    <row r="6311" s="12" customFormat="1" x14ac:dyDescent="0.25"/>
    <row r="6312" s="12" customFormat="1" x14ac:dyDescent="0.25"/>
    <row r="6313" s="12" customFormat="1" x14ac:dyDescent="0.25"/>
    <row r="6314" s="12" customFormat="1" x14ac:dyDescent="0.25"/>
    <row r="6315" s="12" customFormat="1" x14ac:dyDescent="0.25"/>
    <row r="6316" s="12" customFormat="1" x14ac:dyDescent="0.25"/>
    <row r="6317" s="12" customFormat="1" x14ac:dyDescent="0.25"/>
    <row r="6318" s="12" customFormat="1" x14ac:dyDescent="0.25"/>
    <row r="6319" s="12" customFormat="1" x14ac:dyDescent="0.25"/>
    <row r="6320" s="12" customFormat="1" x14ac:dyDescent="0.25"/>
    <row r="6321" s="12" customFormat="1" x14ac:dyDescent="0.25"/>
    <row r="6322" s="12" customFormat="1" x14ac:dyDescent="0.25"/>
    <row r="6323" s="12" customFormat="1" x14ac:dyDescent="0.25"/>
    <row r="6324" s="12" customFormat="1" x14ac:dyDescent="0.25"/>
    <row r="6325" s="12" customFormat="1" x14ac:dyDescent="0.25"/>
    <row r="6326" s="12" customFormat="1" x14ac:dyDescent="0.25"/>
    <row r="6327" s="12" customFormat="1" x14ac:dyDescent="0.25"/>
    <row r="6328" s="12" customFormat="1" x14ac:dyDescent="0.25"/>
    <row r="6329" s="12" customFormat="1" x14ac:dyDescent="0.25"/>
    <row r="6330" s="12" customFormat="1" x14ac:dyDescent="0.25"/>
    <row r="6331" s="12" customFormat="1" x14ac:dyDescent="0.25"/>
    <row r="6332" s="12" customFormat="1" x14ac:dyDescent="0.25"/>
    <row r="6333" s="12" customFormat="1" x14ac:dyDescent="0.25"/>
    <row r="6334" s="12" customFormat="1" x14ac:dyDescent="0.25"/>
    <row r="6335" s="12" customFormat="1" x14ac:dyDescent="0.25"/>
    <row r="6336" s="12" customFormat="1" x14ac:dyDescent="0.25"/>
    <row r="6337" s="12" customFormat="1" x14ac:dyDescent="0.25"/>
    <row r="6338" s="12" customFormat="1" x14ac:dyDescent="0.25"/>
    <row r="6339" s="12" customFormat="1" x14ac:dyDescent="0.25"/>
    <row r="6340" s="12" customFormat="1" x14ac:dyDescent="0.25"/>
    <row r="6341" s="12" customFormat="1" x14ac:dyDescent="0.25"/>
    <row r="6342" s="12" customFormat="1" x14ac:dyDescent="0.25"/>
    <row r="6343" s="12" customFormat="1" x14ac:dyDescent="0.25"/>
    <row r="6344" s="12" customFormat="1" x14ac:dyDescent="0.25"/>
    <row r="6345" s="12" customFormat="1" x14ac:dyDescent="0.25"/>
    <row r="6346" s="12" customFormat="1" x14ac:dyDescent="0.25"/>
    <row r="6347" s="12" customFormat="1" x14ac:dyDescent="0.25"/>
    <row r="6348" s="12" customFormat="1" x14ac:dyDescent="0.25"/>
    <row r="6349" s="12" customFormat="1" x14ac:dyDescent="0.25"/>
    <row r="6350" s="12" customFormat="1" x14ac:dyDescent="0.25"/>
    <row r="6351" s="12" customFormat="1" x14ac:dyDescent="0.25"/>
    <row r="6352" s="12" customFormat="1" x14ac:dyDescent="0.25"/>
    <row r="6353" s="12" customFormat="1" x14ac:dyDescent="0.25"/>
    <row r="6354" s="12" customFormat="1" x14ac:dyDescent="0.25"/>
    <row r="6355" s="12" customFormat="1" x14ac:dyDescent="0.25"/>
    <row r="6356" s="12" customFormat="1" x14ac:dyDescent="0.25"/>
    <row r="6357" s="12" customFormat="1" x14ac:dyDescent="0.25"/>
    <row r="6358" s="12" customFormat="1" x14ac:dyDescent="0.25"/>
    <row r="6359" s="12" customFormat="1" x14ac:dyDescent="0.25"/>
    <row r="6360" s="12" customFormat="1" x14ac:dyDescent="0.25"/>
    <row r="6361" s="12" customFormat="1" x14ac:dyDescent="0.25"/>
    <row r="6362" s="12" customFormat="1" x14ac:dyDescent="0.25"/>
    <row r="6363" s="12" customFormat="1" x14ac:dyDescent="0.25"/>
    <row r="6364" s="12" customFormat="1" x14ac:dyDescent="0.25"/>
    <row r="6365" s="12" customFormat="1" x14ac:dyDescent="0.25"/>
    <row r="6366" s="12" customFormat="1" x14ac:dyDescent="0.25"/>
    <row r="6367" s="12" customFormat="1" x14ac:dyDescent="0.25"/>
    <row r="6368" s="12" customFormat="1" x14ac:dyDescent="0.25"/>
    <row r="6369" s="12" customFormat="1" x14ac:dyDescent="0.25"/>
    <row r="6370" s="12" customFormat="1" x14ac:dyDescent="0.25"/>
    <row r="6371" s="12" customFormat="1" x14ac:dyDescent="0.25"/>
    <row r="6372" s="12" customFormat="1" x14ac:dyDescent="0.25"/>
    <row r="6373" s="12" customFormat="1" x14ac:dyDescent="0.25"/>
    <row r="6374" s="12" customFormat="1" x14ac:dyDescent="0.25"/>
    <row r="6375" s="12" customFormat="1" x14ac:dyDescent="0.25"/>
    <row r="6376" s="12" customFormat="1" x14ac:dyDescent="0.25"/>
    <row r="6377" s="12" customFormat="1" x14ac:dyDescent="0.25"/>
    <row r="6378" s="12" customFormat="1" x14ac:dyDescent="0.25"/>
    <row r="6379" s="12" customFormat="1" x14ac:dyDescent="0.25"/>
    <row r="6380" s="12" customFormat="1" x14ac:dyDescent="0.25"/>
    <row r="6381" s="12" customFormat="1" x14ac:dyDescent="0.25"/>
    <row r="6382" s="12" customFormat="1" x14ac:dyDescent="0.25"/>
    <row r="6383" s="12" customFormat="1" x14ac:dyDescent="0.25"/>
    <row r="6384" s="12" customFormat="1" x14ac:dyDescent="0.25"/>
    <row r="6385" s="12" customFormat="1" x14ac:dyDescent="0.25"/>
    <row r="6386" s="12" customFormat="1" x14ac:dyDescent="0.25"/>
    <row r="6387" s="12" customFormat="1" x14ac:dyDescent="0.25"/>
    <row r="6388" s="12" customFormat="1" x14ac:dyDescent="0.25"/>
    <row r="6389" s="12" customFormat="1" x14ac:dyDescent="0.25"/>
    <row r="6390" s="12" customFormat="1" x14ac:dyDescent="0.25"/>
    <row r="6391" s="12" customFormat="1" x14ac:dyDescent="0.25"/>
    <row r="6392" s="12" customFormat="1" x14ac:dyDescent="0.25"/>
    <row r="6393" s="12" customFormat="1" x14ac:dyDescent="0.25"/>
    <row r="6394" s="12" customFormat="1" x14ac:dyDescent="0.25"/>
    <row r="6395" s="12" customFormat="1" x14ac:dyDescent="0.25"/>
    <row r="6396" s="12" customFormat="1" x14ac:dyDescent="0.25"/>
    <row r="6397" s="12" customFormat="1" x14ac:dyDescent="0.25"/>
    <row r="6398" s="12" customFormat="1" x14ac:dyDescent="0.25"/>
    <row r="6399" s="12" customFormat="1" x14ac:dyDescent="0.25"/>
    <row r="6400" s="12" customFormat="1" x14ac:dyDescent="0.25"/>
    <row r="6401" s="12" customFormat="1" x14ac:dyDescent="0.25"/>
    <row r="6402" s="12" customFormat="1" x14ac:dyDescent="0.25"/>
    <row r="6403" s="12" customFormat="1" x14ac:dyDescent="0.25"/>
    <row r="6404" s="12" customFormat="1" x14ac:dyDescent="0.25"/>
    <row r="6405" s="12" customFormat="1" x14ac:dyDescent="0.25"/>
    <row r="6406" s="12" customFormat="1" x14ac:dyDescent="0.25"/>
    <row r="6407" s="12" customFormat="1" x14ac:dyDescent="0.25"/>
    <row r="6408" s="12" customFormat="1" x14ac:dyDescent="0.25"/>
    <row r="6409" s="12" customFormat="1" x14ac:dyDescent="0.25"/>
    <row r="6410" s="12" customFormat="1" x14ac:dyDescent="0.25"/>
    <row r="6411" s="12" customFormat="1" x14ac:dyDescent="0.25"/>
    <row r="6412" s="12" customFormat="1" x14ac:dyDescent="0.25"/>
    <row r="6413" s="12" customFormat="1" x14ac:dyDescent="0.25"/>
    <row r="6414" s="12" customFormat="1" x14ac:dyDescent="0.25"/>
    <row r="6415" s="12" customFormat="1" x14ac:dyDescent="0.25"/>
    <row r="6416" s="12" customFormat="1" x14ac:dyDescent="0.25"/>
    <row r="6417" s="12" customFormat="1" x14ac:dyDescent="0.25"/>
    <row r="6418" s="12" customFormat="1" x14ac:dyDescent="0.25"/>
    <row r="6419" s="12" customFormat="1" x14ac:dyDescent="0.25"/>
    <row r="6420" s="12" customFormat="1" x14ac:dyDescent="0.25"/>
    <row r="6421" s="12" customFormat="1" x14ac:dyDescent="0.25"/>
    <row r="6422" s="12" customFormat="1" x14ac:dyDescent="0.25"/>
    <row r="6423" s="12" customFormat="1" x14ac:dyDescent="0.25"/>
    <row r="6424" s="12" customFormat="1" x14ac:dyDescent="0.25"/>
    <row r="6425" s="12" customFormat="1" x14ac:dyDescent="0.25"/>
    <row r="6426" s="12" customFormat="1" x14ac:dyDescent="0.25"/>
    <row r="6427" s="12" customFormat="1" x14ac:dyDescent="0.25"/>
    <row r="6428" s="12" customFormat="1" x14ac:dyDescent="0.25"/>
    <row r="6429" s="12" customFormat="1" x14ac:dyDescent="0.25"/>
    <row r="6430" s="12" customFormat="1" x14ac:dyDescent="0.25"/>
    <row r="6431" s="12" customFormat="1" x14ac:dyDescent="0.25"/>
    <row r="6432" s="12" customFormat="1" x14ac:dyDescent="0.25"/>
    <row r="6433" s="12" customFormat="1" x14ac:dyDescent="0.25"/>
    <row r="6434" s="12" customFormat="1" x14ac:dyDescent="0.25"/>
    <row r="6435" s="12" customFormat="1" x14ac:dyDescent="0.25"/>
    <row r="6436" s="12" customFormat="1" x14ac:dyDescent="0.25"/>
    <row r="6437" s="12" customFormat="1" x14ac:dyDescent="0.25"/>
    <row r="6438" s="12" customFormat="1" x14ac:dyDescent="0.25"/>
    <row r="6439" s="12" customFormat="1" x14ac:dyDescent="0.25"/>
    <row r="6440" s="12" customFormat="1" x14ac:dyDescent="0.25"/>
    <row r="6441" s="12" customFormat="1" x14ac:dyDescent="0.25"/>
    <row r="6442" s="12" customFormat="1" x14ac:dyDescent="0.25"/>
    <row r="6443" s="12" customFormat="1" x14ac:dyDescent="0.25"/>
    <row r="6444" s="12" customFormat="1" x14ac:dyDescent="0.25"/>
    <row r="6445" s="12" customFormat="1" x14ac:dyDescent="0.25"/>
    <row r="6446" s="12" customFormat="1" x14ac:dyDescent="0.25"/>
    <row r="6447" s="12" customFormat="1" x14ac:dyDescent="0.25"/>
    <row r="6448" s="12" customFormat="1" x14ac:dyDescent="0.25"/>
    <row r="6449" s="12" customFormat="1" x14ac:dyDescent="0.25"/>
    <row r="6450" s="12" customFormat="1" x14ac:dyDescent="0.25"/>
    <row r="6451" s="12" customFormat="1" x14ac:dyDescent="0.25"/>
    <row r="6452" s="12" customFormat="1" x14ac:dyDescent="0.25"/>
    <row r="6453" s="12" customFormat="1" x14ac:dyDescent="0.25"/>
    <row r="6454" s="12" customFormat="1" x14ac:dyDescent="0.25"/>
    <row r="6455" s="12" customFormat="1" x14ac:dyDescent="0.25"/>
    <row r="6456" s="12" customFormat="1" x14ac:dyDescent="0.25"/>
    <row r="6457" s="12" customFormat="1" x14ac:dyDescent="0.25"/>
    <row r="6458" s="12" customFormat="1" x14ac:dyDescent="0.25"/>
    <row r="6459" s="12" customFormat="1" x14ac:dyDescent="0.25"/>
    <row r="6460" s="12" customFormat="1" x14ac:dyDescent="0.25"/>
    <row r="6461" s="12" customFormat="1" x14ac:dyDescent="0.25"/>
    <row r="6462" s="12" customFormat="1" x14ac:dyDescent="0.25"/>
    <row r="6463" s="12" customFormat="1" x14ac:dyDescent="0.25"/>
    <row r="6464" s="12" customFormat="1" x14ac:dyDescent="0.25"/>
    <row r="6465" s="12" customFormat="1" x14ac:dyDescent="0.25"/>
    <row r="6466" s="12" customFormat="1" x14ac:dyDescent="0.25"/>
    <row r="6467" s="12" customFormat="1" x14ac:dyDescent="0.25"/>
    <row r="6468" s="12" customFormat="1" x14ac:dyDescent="0.25"/>
    <row r="6469" s="12" customFormat="1" x14ac:dyDescent="0.25"/>
    <row r="6470" s="12" customFormat="1" x14ac:dyDescent="0.25"/>
    <row r="6471" s="12" customFormat="1" x14ac:dyDescent="0.25"/>
    <row r="6472" s="12" customFormat="1" x14ac:dyDescent="0.25"/>
    <row r="6473" s="12" customFormat="1" x14ac:dyDescent="0.25"/>
    <row r="6474" s="12" customFormat="1" x14ac:dyDescent="0.25"/>
    <row r="6475" s="12" customFormat="1" x14ac:dyDescent="0.25"/>
    <row r="6476" s="12" customFormat="1" x14ac:dyDescent="0.25"/>
    <row r="6477" s="12" customFormat="1" x14ac:dyDescent="0.25"/>
    <row r="6478" s="12" customFormat="1" x14ac:dyDescent="0.25"/>
    <row r="6479" s="12" customFormat="1" x14ac:dyDescent="0.25"/>
    <row r="6480" s="12" customFormat="1" x14ac:dyDescent="0.25"/>
    <row r="6481" s="12" customFormat="1" x14ac:dyDescent="0.25"/>
    <row r="6482" s="12" customFormat="1" x14ac:dyDescent="0.25"/>
    <row r="6483" s="12" customFormat="1" x14ac:dyDescent="0.25"/>
    <row r="6484" s="12" customFormat="1" x14ac:dyDescent="0.25"/>
    <row r="6485" s="12" customFormat="1" x14ac:dyDescent="0.25"/>
    <row r="6486" s="12" customFormat="1" x14ac:dyDescent="0.25"/>
    <row r="6487" s="12" customFormat="1" x14ac:dyDescent="0.25"/>
    <row r="6488" s="12" customFormat="1" x14ac:dyDescent="0.25"/>
    <row r="6489" s="12" customFormat="1" x14ac:dyDescent="0.25"/>
    <row r="6490" s="12" customFormat="1" x14ac:dyDescent="0.25"/>
    <row r="6491" s="12" customFormat="1" x14ac:dyDescent="0.25"/>
    <row r="6492" s="12" customFormat="1" x14ac:dyDescent="0.25"/>
    <row r="6493" s="12" customFormat="1" x14ac:dyDescent="0.25"/>
    <row r="6494" s="12" customFormat="1" x14ac:dyDescent="0.25"/>
    <row r="6495" s="12" customFormat="1" x14ac:dyDescent="0.25"/>
    <row r="6496" s="12" customFormat="1" x14ac:dyDescent="0.25"/>
    <row r="6497" s="12" customFormat="1" x14ac:dyDescent="0.25"/>
    <row r="6498" s="12" customFormat="1" x14ac:dyDescent="0.25"/>
    <row r="6499" s="12" customFormat="1" x14ac:dyDescent="0.25"/>
    <row r="6500" s="12" customFormat="1" x14ac:dyDescent="0.25"/>
    <row r="6501" s="12" customFormat="1" x14ac:dyDescent="0.25"/>
    <row r="6502" s="12" customFormat="1" x14ac:dyDescent="0.25"/>
    <row r="6503" s="12" customFormat="1" x14ac:dyDescent="0.25"/>
    <row r="6504" s="12" customFormat="1" x14ac:dyDescent="0.25"/>
    <row r="6505" s="12" customFormat="1" x14ac:dyDescent="0.25"/>
    <row r="6506" s="12" customFormat="1" x14ac:dyDescent="0.25"/>
    <row r="6507" s="12" customFormat="1" x14ac:dyDescent="0.25"/>
    <row r="6508" s="12" customFormat="1" x14ac:dyDescent="0.25"/>
    <row r="6509" s="12" customFormat="1" x14ac:dyDescent="0.25"/>
    <row r="6510" s="12" customFormat="1" x14ac:dyDescent="0.25"/>
    <row r="6511" s="12" customFormat="1" x14ac:dyDescent="0.25"/>
    <row r="6512" s="12" customFormat="1" x14ac:dyDescent="0.25"/>
    <row r="6513" s="12" customFormat="1" x14ac:dyDescent="0.25"/>
    <row r="6514" s="12" customFormat="1" x14ac:dyDescent="0.25"/>
    <row r="6515" s="12" customFormat="1" x14ac:dyDescent="0.25"/>
    <row r="6516" s="12" customFormat="1" x14ac:dyDescent="0.25"/>
    <row r="6517" s="12" customFormat="1" x14ac:dyDescent="0.25"/>
    <row r="6518" s="12" customFormat="1" x14ac:dyDescent="0.25"/>
    <row r="6519" s="12" customFormat="1" x14ac:dyDescent="0.25"/>
    <row r="6520" s="12" customFormat="1" x14ac:dyDescent="0.25"/>
    <row r="6521" s="12" customFormat="1" x14ac:dyDescent="0.25"/>
    <row r="6522" s="12" customFormat="1" x14ac:dyDescent="0.25"/>
    <row r="6523" s="12" customFormat="1" x14ac:dyDescent="0.25"/>
    <row r="6524" s="12" customFormat="1" x14ac:dyDescent="0.25"/>
    <row r="6525" s="12" customFormat="1" x14ac:dyDescent="0.25"/>
    <row r="6526" s="12" customFormat="1" x14ac:dyDescent="0.25"/>
    <row r="6527" s="12" customFormat="1" x14ac:dyDescent="0.25"/>
    <row r="6528" s="12" customFormat="1" x14ac:dyDescent="0.25"/>
    <row r="6529" s="12" customFormat="1" x14ac:dyDescent="0.25"/>
    <row r="6530" s="12" customFormat="1" x14ac:dyDescent="0.25"/>
    <row r="6531" s="12" customFormat="1" x14ac:dyDescent="0.25"/>
    <row r="6532" s="12" customFormat="1" x14ac:dyDescent="0.25"/>
    <row r="6533" s="12" customFormat="1" x14ac:dyDescent="0.25"/>
    <row r="6534" s="12" customFormat="1" x14ac:dyDescent="0.25"/>
    <row r="6535" s="12" customFormat="1" x14ac:dyDescent="0.25"/>
    <row r="6536" s="12" customFormat="1" x14ac:dyDescent="0.25"/>
    <row r="6537" s="12" customFormat="1" x14ac:dyDescent="0.25"/>
    <row r="6538" s="12" customFormat="1" x14ac:dyDescent="0.25"/>
    <row r="6539" s="12" customFormat="1" x14ac:dyDescent="0.25"/>
    <row r="6540" s="12" customFormat="1" x14ac:dyDescent="0.25"/>
    <row r="6541" s="12" customFormat="1" x14ac:dyDescent="0.25"/>
    <row r="6542" s="12" customFormat="1" x14ac:dyDescent="0.25"/>
    <row r="6543" s="12" customFormat="1" x14ac:dyDescent="0.25"/>
    <row r="6544" s="12" customFormat="1" x14ac:dyDescent="0.25"/>
    <row r="6545" s="12" customFormat="1" x14ac:dyDescent="0.25"/>
    <row r="6546" s="12" customFormat="1" x14ac:dyDescent="0.25"/>
    <row r="6547" s="12" customFormat="1" x14ac:dyDescent="0.25"/>
    <row r="6548" s="12" customFormat="1" x14ac:dyDescent="0.25"/>
    <row r="6549" s="12" customFormat="1" x14ac:dyDescent="0.25"/>
    <row r="6550" s="12" customFormat="1" x14ac:dyDescent="0.25"/>
    <row r="6551" s="12" customFormat="1" x14ac:dyDescent="0.25"/>
    <row r="6552" s="12" customFormat="1" x14ac:dyDescent="0.25"/>
    <row r="6553" s="12" customFormat="1" x14ac:dyDescent="0.25"/>
    <row r="6554" s="12" customFormat="1" x14ac:dyDescent="0.25"/>
    <row r="6555" s="12" customFormat="1" x14ac:dyDescent="0.25"/>
    <row r="6556" s="12" customFormat="1" x14ac:dyDescent="0.25"/>
    <row r="6557" s="12" customFormat="1" x14ac:dyDescent="0.25"/>
    <row r="6558" s="12" customFormat="1" x14ac:dyDescent="0.25"/>
    <row r="6559" s="12" customFormat="1" x14ac:dyDescent="0.25"/>
    <row r="6560" s="12" customFormat="1" x14ac:dyDescent="0.25"/>
    <row r="6561" s="12" customFormat="1" x14ac:dyDescent="0.25"/>
    <row r="6562" s="12" customFormat="1" x14ac:dyDescent="0.25"/>
    <row r="6563" s="12" customFormat="1" x14ac:dyDescent="0.25"/>
    <row r="6564" s="12" customFormat="1" x14ac:dyDescent="0.25"/>
    <row r="6565" s="12" customFormat="1" x14ac:dyDescent="0.25"/>
    <row r="6566" s="12" customFormat="1" x14ac:dyDescent="0.25"/>
    <row r="6567" s="12" customFormat="1" x14ac:dyDescent="0.25"/>
    <row r="6568" s="12" customFormat="1" x14ac:dyDescent="0.25"/>
    <row r="6569" s="12" customFormat="1" x14ac:dyDescent="0.25"/>
    <row r="6570" s="12" customFormat="1" x14ac:dyDescent="0.25"/>
    <row r="6571" s="12" customFormat="1" x14ac:dyDescent="0.25"/>
    <row r="6572" s="12" customFormat="1" x14ac:dyDescent="0.25"/>
    <row r="6573" s="12" customFormat="1" x14ac:dyDescent="0.25"/>
    <row r="6574" s="12" customFormat="1" x14ac:dyDescent="0.25"/>
    <row r="6575" s="12" customFormat="1" x14ac:dyDescent="0.25"/>
    <row r="6576" s="12" customFormat="1" x14ac:dyDescent="0.25"/>
    <row r="6577" s="12" customFormat="1" x14ac:dyDescent="0.25"/>
    <row r="6578" s="12" customFormat="1" x14ac:dyDescent="0.25"/>
    <row r="6579" s="12" customFormat="1" x14ac:dyDescent="0.25"/>
    <row r="6580" s="12" customFormat="1" x14ac:dyDescent="0.25"/>
    <row r="6581" s="12" customFormat="1" x14ac:dyDescent="0.25"/>
    <row r="6582" s="12" customFormat="1" x14ac:dyDescent="0.25"/>
    <row r="6583" s="12" customFormat="1" x14ac:dyDescent="0.25"/>
    <row r="6584" s="12" customFormat="1" x14ac:dyDescent="0.25"/>
    <row r="6585" s="12" customFormat="1" x14ac:dyDescent="0.25"/>
    <row r="6586" s="12" customFormat="1" x14ac:dyDescent="0.25"/>
    <row r="6587" s="12" customFormat="1" x14ac:dyDescent="0.25"/>
    <row r="6588" s="12" customFormat="1" x14ac:dyDescent="0.25"/>
    <row r="6589" s="12" customFormat="1" x14ac:dyDescent="0.25"/>
    <row r="6590" s="12" customFormat="1" x14ac:dyDescent="0.25"/>
    <row r="6591" s="12" customFormat="1" x14ac:dyDescent="0.25"/>
    <row r="6592" s="12" customFormat="1" x14ac:dyDescent="0.25"/>
    <row r="6593" s="12" customFormat="1" x14ac:dyDescent="0.25"/>
    <row r="6594" s="12" customFormat="1" x14ac:dyDescent="0.25"/>
    <row r="6595" s="12" customFormat="1" x14ac:dyDescent="0.25"/>
    <row r="6596" s="12" customFormat="1" x14ac:dyDescent="0.25"/>
    <row r="6597" s="12" customFormat="1" x14ac:dyDescent="0.25"/>
    <row r="6598" s="12" customFormat="1" x14ac:dyDescent="0.25"/>
    <row r="6599" s="12" customFormat="1" x14ac:dyDescent="0.25"/>
    <row r="6600" s="12" customFormat="1" x14ac:dyDescent="0.25"/>
    <row r="6601" s="12" customFormat="1" x14ac:dyDescent="0.25"/>
    <row r="6602" s="12" customFormat="1" x14ac:dyDescent="0.25"/>
    <row r="6603" s="12" customFormat="1" x14ac:dyDescent="0.25"/>
    <row r="6604" s="12" customFormat="1" x14ac:dyDescent="0.25"/>
    <row r="6605" s="12" customFormat="1" x14ac:dyDescent="0.25"/>
    <row r="6606" s="12" customFormat="1" x14ac:dyDescent="0.25"/>
    <row r="6607" s="12" customFormat="1" x14ac:dyDescent="0.25"/>
    <row r="6608" s="12" customFormat="1" x14ac:dyDescent="0.25"/>
    <row r="6609" s="12" customFormat="1" x14ac:dyDescent="0.25"/>
    <row r="6610" s="12" customFormat="1" x14ac:dyDescent="0.25"/>
    <row r="6611" s="12" customFormat="1" x14ac:dyDescent="0.25"/>
    <row r="6612" s="12" customFormat="1" x14ac:dyDescent="0.25"/>
    <row r="6613" s="12" customFormat="1" x14ac:dyDescent="0.25"/>
    <row r="6614" s="12" customFormat="1" x14ac:dyDescent="0.25"/>
    <row r="6615" s="12" customFormat="1" x14ac:dyDescent="0.25"/>
    <row r="6616" s="12" customFormat="1" x14ac:dyDescent="0.25"/>
    <row r="6617" s="12" customFormat="1" x14ac:dyDescent="0.25"/>
    <row r="6618" s="12" customFormat="1" x14ac:dyDescent="0.25"/>
    <row r="6619" s="12" customFormat="1" x14ac:dyDescent="0.25"/>
    <row r="6620" s="12" customFormat="1" x14ac:dyDescent="0.25"/>
    <row r="6621" s="12" customFormat="1" x14ac:dyDescent="0.25"/>
    <row r="6622" s="12" customFormat="1" x14ac:dyDescent="0.25"/>
    <row r="6623" s="12" customFormat="1" x14ac:dyDescent="0.25"/>
    <row r="6624" s="12" customFormat="1" x14ac:dyDescent="0.25"/>
    <row r="6625" s="12" customFormat="1" x14ac:dyDescent="0.25"/>
    <row r="6626" s="12" customFormat="1" x14ac:dyDescent="0.25"/>
    <row r="6627" s="12" customFormat="1" x14ac:dyDescent="0.25"/>
    <row r="6628" s="12" customFormat="1" x14ac:dyDescent="0.25"/>
    <row r="6629" s="12" customFormat="1" x14ac:dyDescent="0.25"/>
    <row r="6630" s="12" customFormat="1" x14ac:dyDescent="0.25"/>
    <row r="6631" s="12" customFormat="1" x14ac:dyDescent="0.25"/>
    <row r="6632" s="12" customFormat="1" x14ac:dyDescent="0.25"/>
    <row r="6633" s="12" customFormat="1" x14ac:dyDescent="0.25"/>
    <row r="6634" s="12" customFormat="1" x14ac:dyDescent="0.25"/>
    <row r="6635" s="12" customFormat="1" x14ac:dyDescent="0.25"/>
    <row r="6636" s="12" customFormat="1" x14ac:dyDescent="0.25"/>
    <row r="6637" s="12" customFormat="1" x14ac:dyDescent="0.25"/>
    <row r="6638" s="12" customFormat="1" x14ac:dyDescent="0.25"/>
    <row r="6639" s="12" customFormat="1" x14ac:dyDescent="0.25"/>
    <row r="6640" s="12" customFormat="1" x14ac:dyDescent="0.25"/>
    <row r="6641" s="12" customFormat="1" x14ac:dyDescent="0.25"/>
    <row r="6642" s="12" customFormat="1" x14ac:dyDescent="0.25"/>
    <row r="6643" s="12" customFormat="1" x14ac:dyDescent="0.25"/>
    <row r="6644" s="12" customFormat="1" x14ac:dyDescent="0.25"/>
    <row r="6645" s="12" customFormat="1" x14ac:dyDescent="0.25"/>
    <row r="6646" s="12" customFormat="1" x14ac:dyDescent="0.25"/>
    <row r="6647" s="12" customFormat="1" x14ac:dyDescent="0.25"/>
    <row r="6648" s="12" customFormat="1" x14ac:dyDescent="0.25"/>
    <row r="6649" s="12" customFormat="1" x14ac:dyDescent="0.25"/>
    <row r="6650" s="12" customFormat="1" x14ac:dyDescent="0.25"/>
    <row r="6651" s="12" customFormat="1" x14ac:dyDescent="0.25"/>
    <row r="6652" s="12" customFormat="1" x14ac:dyDescent="0.25"/>
    <row r="6653" s="12" customFormat="1" x14ac:dyDescent="0.25"/>
    <row r="6654" s="12" customFormat="1" x14ac:dyDescent="0.25"/>
    <row r="6655" s="12" customFormat="1" x14ac:dyDescent="0.25"/>
    <row r="6656" s="12" customFormat="1" x14ac:dyDescent="0.25"/>
    <row r="6657" s="12" customFormat="1" x14ac:dyDescent="0.25"/>
    <row r="6658" s="12" customFormat="1" x14ac:dyDescent="0.25"/>
    <row r="6659" s="12" customFormat="1" x14ac:dyDescent="0.25"/>
    <row r="6660" s="12" customFormat="1" x14ac:dyDescent="0.25"/>
    <row r="6661" s="12" customFormat="1" x14ac:dyDescent="0.25"/>
    <row r="6662" s="12" customFormat="1" x14ac:dyDescent="0.25"/>
    <row r="6663" s="12" customFormat="1" x14ac:dyDescent="0.25"/>
    <row r="6664" s="12" customFormat="1" x14ac:dyDescent="0.25"/>
    <row r="6665" s="12" customFormat="1" x14ac:dyDescent="0.25"/>
    <row r="6666" s="12" customFormat="1" x14ac:dyDescent="0.25"/>
    <row r="6667" s="12" customFormat="1" x14ac:dyDescent="0.25"/>
    <row r="6668" s="12" customFormat="1" x14ac:dyDescent="0.25"/>
    <row r="6669" s="12" customFormat="1" x14ac:dyDescent="0.25"/>
    <row r="6670" s="12" customFormat="1" x14ac:dyDescent="0.25"/>
    <row r="6671" s="12" customFormat="1" x14ac:dyDescent="0.25"/>
    <row r="6672" s="12" customFormat="1" x14ac:dyDescent="0.25"/>
    <row r="6673" s="12" customFormat="1" x14ac:dyDescent="0.25"/>
    <row r="6674" s="12" customFormat="1" x14ac:dyDescent="0.25"/>
    <row r="6675" s="12" customFormat="1" x14ac:dyDescent="0.25"/>
    <row r="6676" s="12" customFormat="1" x14ac:dyDescent="0.25"/>
    <row r="6677" s="12" customFormat="1" x14ac:dyDescent="0.25"/>
    <row r="6678" s="12" customFormat="1" x14ac:dyDescent="0.25"/>
    <row r="6679" s="12" customFormat="1" x14ac:dyDescent="0.25"/>
    <row r="6680" s="12" customFormat="1" x14ac:dyDescent="0.25"/>
    <row r="6681" s="12" customFormat="1" x14ac:dyDescent="0.25"/>
    <row r="6682" s="12" customFormat="1" x14ac:dyDescent="0.25"/>
    <row r="6683" s="12" customFormat="1" x14ac:dyDescent="0.25"/>
    <row r="6684" s="12" customFormat="1" x14ac:dyDescent="0.25"/>
    <row r="6685" s="12" customFormat="1" x14ac:dyDescent="0.25"/>
    <row r="6686" s="12" customFormat="1" x14ac:dyDescent="0.25"/>
    <row r="6687" s="12" customFormat="1" x14ac:dyDescent="0.25"/>
    <row r="6688" s="12" customFormat="1" x14ac:dyDescent="0.25"/>
    <row r="6689" s="12" customFormat="1" x14ac:dyDescent="0.25"/>
    <row r="6690" s="12" customFormat="1" x14ac:dyDescent="0.25"/>
    <row r="6691" s="12" customFormat="1" x14ac:dyDescent="0.25"/>
    <row r="6692" s="12" customFormat="1" x14ac:dyDescent="0.25"/>
    <row r="6693" s="12" customFormat="1" x14ac:dyDescent="0.25"/>
    <row r="6694" s="12" customFormat="1" x14ac:dyDescent="0.25"/>
    <row r="6695" s="12" customFormat="1" x14ac:dyDescent="0.25"/>
    <row r="6696" s="12" customFormat="1" x14ac:dyDescent="0.25"/>
    <row r="6697" s="12" customFormat="1" x14ac:dyDescent="0.25"/>
    <row r="6698" s="12" customFormat="1" x14ac:dyDescent="0.25"/>
    <row r="6699" s="12" customFormat="1" x14ac:dyDescent="0.25"/>
    <row r="6700" s="12" customFormat="1" x14ac:dyDescent="0.25"/>
    <row r="6701" s="12" customFormat="1" x14ac:dyDescent="0.25"/>
    <row r="6702" s="12" customFormat="1" x14ac:dyDescent="0.25"/>
    <row r="6703" s="12" customFormat="1" x14ac:dyDescent="0.25"/>
    <row r="6704" s="12" customFormat="1" x14ac:dyDescent="0.25"/>
    <row r="6705" s="12" customFormat="1" x14ac:dyDescent="0.25"/>
    <row r="6706" s="12" customFormat="1" x14ac:dyDescent="0.25"/>
    <row r="6707" s="12" customFormat="1" x14ac:dyDescent="0.25"/>
    <row r="6708" s="12" customFormat="1" x14ac:dyDescent="0.25"/>
    <row r="6709" s="12" customFormat="1" x14ac:dyDescent="0.25"/>
    <row r="6710" s="12" customFormat="1" x14ac:dyDescent="0.25"/>
    <row r="6711" s="12" customFormat="1" x14ac:dyDescent="0.25"/>
    <row r="6712" s="12" customFormat="1" x14ac:dyDescent="0.25"/>
    <row r="6713" s="12" customFormat="1" x14ac:dyDescent="0.25"/>
    <row r="6714" s="12" customFormat="1" x14ac:dyDescent="0.25"/>
    <row r="6715" s="12" customFormat="1" x14ac:dyDescent="0.25"/>
    <row r="6716" s="12" customFormat="1" x14ac:dyDescent="0.25"/>
    <row r="6717" s="12" customFormat="1" x14ac:dyDescent="0.25"/>
    <row r="6718" s="12" customFormat="1" x14ac:dyDescent="0.25"/>
    <row r="6719" s="12" customFormat="1" x14ac:dyDescent="0.25"/>
    <row r="6720" s="12" customFormat="1" x14ac:dyDescent="0.25"/>
    <row r="6721" s="12" customFormat="1" x14ac:dyDescent="0.25"/>
    <row r="6722" s="12" customFormat="1" x14ac:dyDescent="0.25"/>
    <row r="6723" s="12" customFormat="1" x14ac:dyDescent="0.25"/>
    <row r="6724" s="12" customFormat="1" x14ac:dyDescent="0.25"/>
    <row r="6725" s="12" customFormat="1" x14ac:dyDescent="0.25"/>
    <row r="6726" s="12" customFormat="1" x14ac:dyDescent="0.25"/>
    <row r="6727" s="12" customFormat="1" x14ac:dyDescent="0.25"/>
    <row r="6728" s="12" customFormat="1" x14ac:dyDescent="0.25"/>
    <row r="6729" s="12" customFormat="1" x14ac:dyDescent="0.25"/>
    <row r="6730" s="12" customFormat="1" x14ac:dyDescent="0.25"/>
    <row r="6731" s="12" customFormat="1" x14ac:dyDescent="0.25"/>
    <row r="6732" s="12" customFormat="1" x14ac:dyDescent="0.25"/>
    <row r="6733" s="12" customFormat="1" x14ac:dyDescent="0.25"/>
    <row r="6734" s="12" customFormat="1" x14ac:dyDescent="0.25"/>
    <row r="6735" s="12" customFormat="1" x14ac:dyDescent="0.25"/>
    <row r="6736" s="12" customFormat="1" x14ac:dyDescent="0.25"/>
    <row r="6737" s="12" customFormat="1" x14ac:dyDescent="0.25"/>
    <row r="6738" s="12" customFormat="1" x14ac:dyDescent="0.25"/>
    <row r="6739" s="12" customFormat="1" x14ac:dyDescent="0.25"/>
    <row r="6740" s="12" customFormat="1" x14ac:dyDescent="0.25"/>
    <row r="6741" s="12" customFormat="1" x14ac:dyDescent="0.25"/>
    <row r="6742" s="12" customFormat="1" x14ac:dyDescent="0.25"/>
    <row r="6743" s="12" customFormat="1" x14ac:dyDescent="0.25"/>
    <row r="6744" s="12" customFormat="1" x14ac:dyDescent="0.25"/>
    <row r="6745" s="12" customFormat="1" x14ac:dyDescent="0.25"/>
    <row r="6746" s="12" customFormat="1" x14ac:dyDescent="0.25"/>
    <row r="6747" s="12" customFormat="1" x14ac:dyDescent="0.25"/>
    <row r="6748" s="12" customFormat="1" x14ac:dyDescent="0.25"/>
    <row r="6749" s="12" customFormat="1" x14ac:dyDescent="0.25"/>
    <row r="6750" s="12" customFormat="1" x14ac:dyDescent="0.25"/>
    <row r="6751" s="12" customFormat="1" x14ac:dyDescent="0.25"/>
    <row r="6752" s="12" customFormat="1" x14ac:dyDescent="0.25"/>
    <row r="6753" s="12" customFormat="1" x14ac:dyDescent="0.25"/>
    <row r="6754" s="12" customFormat="1" x14ac:dyDescent="0.25"/>
    <row r="6755" s="12" customFormat="1" x14ac:dyDescent="0.25"/>
    <row r="6756" s="12" customFormat="1" x14ac:dyDescent="0.25"/>
    <row r="6757" s="12" customFormat="1" x14ac:dyDescent="0.25"/>
    <row r="6758" s="12" customFormat="1" x14ac:dyDescent="0.25"/>
    <row r="6759" s="12" customFormat="1" x14ac:dyDescent="0.25"/>
    <row r="6760" s="12" customFormat="1" x14ac:dyDescent="0.25"/>
    <row r="6761" s="12" customFormat="1" x14ac:dyDescent="0.25"/>
    <row r="6762" s="12" customFormat="1" x14ac:dyDescent="0.25"/>
    <row r="6763" s="12" customFormat="1" x14ac:dyDescent="0.25"/>
    <row r="6764" s="12" customFormat="1" x14ac:dyDescent="0.25"/>
    <row r="6765" s="12" customFormat="1" x14ac:dyDescent="0.25"/>
    <row r="6766" s="12" customFormat="1" x14ac:dyDescent="0.25"/>
    <row r="6767" s="12" customFormat="1" x14ac:dyDescent="0.25"/>
    <row r="6768" s="12" customFormat="1" x14ac:dyDescent="0.25"/>
    <row r="6769" s="12" customFormat="1" x14ac:dyDescent="0.25"/>
    <row r="6770" s="12" customFormat="1" x14ac:dyDescent="0.25"/>
    <row r="6771" s="12" customFormat="1" x14ac:dyDescent="0.25"/>
    <row r="6772" s="12" customFormat="1" x14ac:dyDescent="0.25"/>
    <row r="6773" s="12" customFormat="1" x14ac:dyDescent="0.25"/>
    <row r="6774" s="12" customFormat="1" x14ac:dyDescent="0.25"/>
    <row r="6775" s="12" customFormat="1" x14ac:dyDescent="0.25"/>
    <row r="6776" s="12" customFormat="1" x14ac:dyDescent="0.25"/>
    <row r="6777" s="12" customFormat="1" x14ac:dyDescent="0.25"/>
    <row r="6778" s="12" customFormat="1" x14ac:dyDescent="0.25"/>
    <row r="6779" s="12" customFormat="1" x14ac:dyDescent="0.25"/>
    <row r="6780" s="12" customFormat="1" x14ac:dyDescent="0.25"/>
    <row r="6781" s="12" customFormat="1" x14ac:dyDescent="0.25"/>
    <row r="6782" s="12" customFormat="1" x14ac:dyDescent="0.25"/>
    <row r="6783" s="12" customFormat="1" x14ac:dyDescent="0.25"/>
    <row r="6784" s="12" customFormat="1" x14ac:dyDescent="0.25"/>
    <row r="6785" s="12" customFormat="1" x14ac:dyDescent="0.25"/>
    <row r="6786" s="12" customFormat="1" x14ac:dyDescent="0.25"/>
    <row r="6787" s="12" customFormat="1" x14ac:dyDescent="0.25"/>
    <row r="6788" s="12" customFormat="1" x14ac:dyDescent="0.25"/>
    <row r="6789" s="12" customFormat="1" x14ac:dyDescent="0.25"/>
    <row r="6790" s="12" customFormat="1" x14ac:dyDescent="0.25"/>
    <row r="6791" s="12" customFormat="1" x14ac:dyDescent="0.25"/>
    <row r="6792" s="12" customFormat="1" x14ac:dyDescent="0.25"/>
    <row r="6793" s="12" customFormat="1" x14ac:dyDescent="0.25"/>
    <row r="6794" s="12" customFormat="1" x14ac:dyDescent="0.25"/>
    <row r="6795" s="12" customFormat="1" x14ac:dyDescent="0.25"/>
    <row r="6796" s="12" customFormat="1" x14ac:dyDescent="0.25"/>
    <row r="6797" s="12" customFormat="1" x14ac:dyDescent="0.25"/>
    <row r="6798" s="12" customFormat="1" x14ac:dyDescent="0.25"/>
    <row r="6799" s="12" customFormat="1" x14ac:dyDescent="0.25"/>
    <row r="6800" s="12" customFormat="1" x14ac:dyDescent="0.25"/>
    <row r="6801" s="12" customFormat="1" x14ac:dyDescent="0.25"/>
    <row r="6802" s="12" customFormat="1" x14ac:dyDescent="0.25"/>
    <row r="6803" s="12" customFormat="1" x14ac:dyDescent="0.25"/>
    <row r="6804" s="12" customFormat="1" x14ac:dyDescent="0.25"/>
    <row r="6805" s="12" customFormat="1" x14ac:dyDescent="0.25"/>
    <row r="6806" s="12" customFormat="1" x14ac:dyDescent="0.25"/>
    <row r="6807" s="12" customFormat="1" x14ac:dyDescent="0.25"/>
    <row r="6808" s="12" customFormat="1" x14ac:dyDescent="0.25"/>
    <row r="6809" s="12" customFormat="1" x14ac:dyDescent="0.25"/>
    <row r="6810" s="12" customFormat="1" x14ac:dyDescent="0.25"/>
    <row r="6811" s="12" customFormat="1" x14ac:dyDescent="0.25"/>
    <row r="6812" s="12" customFormat="1" x14ac:dyDescent="0.25"/>
    <row r="6813" s="12" customFormat="1" x14ac:dyDescent="0.25"/>
    <row r="6814" s="12" customFormat="1" x14ac:dyDescent="0.25"/>
    <row r="6815" s="12" customFormat="1" x14ac:dyDescent="0.25"/>
    <row r="6816" s="12" customFormat="1" x14ac:dyDescent="0.25"/>
    <row r="6817" s="12" customFormat="1" x14ac:dyDescent="0.25"/>
    <row r="6818" s="12" customFormat="1" x14ac:dyDescent="0.25"/>
    <row r="6819" s="12" customFormat="1" x14ac:dyDescent="0.25"/>
    <row r="6820" s="12" customFormat="1" x14ac:dyDescent="0.25"/>
    <row r="6821" s="12" customFormat="1" x14ac:dyDescent="0.25"/>
    <row r="6822" s="12" customFormat="1" x14ac:dyDescent="0.25"/>
    <row r="6823" s="12" customFormat="1" x14ac:dyDescent="0.25"/>
    <row r="6824" s="12" customFormat="1" x14ac:dyDescent="0.25"/>
    <row r="6825" s="12" customFormat="1" x14ac:dyDescent="0.25"/>
    <row r="6826" s="12" customFormat="1" x14ac:dyDescent="0.25"/>
    <row r="6827" s="12" customFormat="1" x14ac:dyDescent="0.25"/>
    <row r="6828" s="12" customFormat="1" x14ac:dyDescent="0.25"/>
    <row r="6829" s="12" customFormat="1" x14ac:dyDescent="0.25"/>
    <row r="6830" s="12" customFormat="1" x14ac:dyDescent="0.25"/>
    <row r="6831" s="12" customFormat="1" x14ac:dyDescent="0.25"/>
    <row r="6832" s="12" customFormat="1" x14ac:dyDescent="0.25"/>
    <row r="6833" s="12" customFormat="1" x14ac:dyDescent="0.25"/>
    <row r="6834" s="12" customFormat="1" x14ac:dyDescent="0.25"/>
    <row r="6835" s="12" customFormat="1" x14ac:dyDescent="0.25"/>
    <row r="6836" s="12" customFormat="1" x14ac:dyDescent="0.25"/>
    <row r="6837" s="12" customFormat="1" x14ac:dyDescent="0.25"/>
    <row r="6838" s="12" customFormat="1" x14ac:dyDescent="0.25"/>
    <row r="6839" s="12" customFormat="1" x14ac:dyDescent="0.25"/>
    <row r="6840" s="12" customFormat="1" x14ac:dyDescent="0.25"/>
    <row r="6841" s="12" customFormat="1" x14ac:dyDescent="0.25"/>
    <row r="6842" s="12" customFormat="1" x14ac:dyDescent="0.25"/>
    <row r="6843" s="12" customFormat="1" x14ac:dyDescent="0.25"/>
    <row r="6844" s="12" customFormat="1" x14ac:dyDescent="0.25"/>
    <row r="6845" s="12" customFormat="1" x14ac:dyDescent="0.25"/>
    <row r="6846" s="12" customFormat="1" x14ac:dyDescent="0.25"/>
    <row r="6847" s="12" customFormat="1" x14ac:dyDescent="0.25"/>
    <row r="6848" s="12" customFormat="1" x14ac:dyDescent="0.25"/>
    <row r="6849" s="12" customFormat="1" x14ac:dyDescent="0.25"/>
    <row r="6850" s="12" customFormat="1" x14ac:dyDescent="0.25"/>
    <row r="6851" s="12" customFormat="1" x14ac:dyDescent="0.25"/>
    <row r="6852" s="12" customFormat="1" x14ac:dyDescent="0.25"/>
    <row r="6853" s="12" customFormat="1" x14ac:dyDescent="0.25"/>
    <row r="6854" s="12" customFormat="1" x14ac:dyDescent="0.25"/>
    <row r="6855" s="12" customFormat="1" x14ac:dyDescent="0.25"/>
    <row r="6856" s="12" customFormat="1" x14ac:dyDescent="0.25"/>
    <row r="6857" s="12" customFormat="1" x14ac:dyDescent="0.25"/>
    <row r="6858" s="12" customFormat="1" x14ac:dyDescent="0.25"/>
    <row r="6859" s="12" customFormat="1" x14ac:dyDescent="0.25"/>
    <row r="6860" s="12" customFormat="1" x14ac:dyDescent="0.25"/>
    <row r="6861" s="12" customFormat="1" x14ac:dyDescent="0.25"/>
    <row r="6862" s="12" customFormat="1" x14ac:dyDescent="0.25"/>
    <row r="6863" s="12" customFormat="1" x14ac:dyDescent="0.25"/>
    <row r="6864" s="12" customFormat="1" x14ac:dyDescent="0.25"/>
    <row r="6865" s="12" customFormat="1" x14ac:dyDescent="0.25"/>
    <row r="6866" s="12" customFormat="1" x14ac:dyDescent="0.25"/>
    <row r="6867" s="12" customFormat="1" x14ac:dyDescent="0.25"/>
    <row r="6868" s="12" customFormat="1" x14ac:dyDescent="0.25"/>
    <row r="6869" s="12" customFormat="1" x14ac:dyDescent="0.25"/>
    <row r="6870" s="12" customFormat="1" x14ac:dyDescent="0.25"/>
    <row r="6871" s="12" customFormat="1" x14ac:dyDescent="0.25"/>
    <row r="6872" s="12" customFormat="1" x14ac:dyDescent="0.25"/>
    <row r="6873" s="12" customFormat="1" x14ac:dyDescent="0.25"/>
    <row r="6874" s="12" customFormat="1" x14ac:dyDescent="0.25"/>
    <row r="6875" s="12" customFormat="1" x14ac:dyDescent="0.25"/>
    <row r="6876" s="12" customFormat="1" x14ac:dyDescent="0.25"/>
    <row r="6877" s="12" customFormat="1" x14ac:dyDescent="0.25"/>
    <row r="6878" s="12" customFormat="1" x14ac:dyDescent="0.25"/>
    <row r="6879" s="12" customFormat="1" x14ac:dyDescent="0.25"/>
    <row r="6880" s="12" customFormat="1" x14ac:dyDescent="0.25"/>
    <row r="6881" s="12" customFormat="1" x14ac:dyDescent="0.25"/>
    <row r="6882" s="12" customFormat="1" x14ac:dyDescent="0.25"/>
    <row r="6883" s="12" customFormat="1" x14ac:dyDescent="0.25"/>
    <row r="6884" s="12" customFormat="1" x14ac:dyDescent="0.25"/>
    <row r="6885" s="12" customFormat="1" x14ac:dyDescent="0.25"/>
    <row r="6886" s="12" customFormat="1" x14ac:dyDescent="0.25"/>
    <row r="6887" s="12" customFormat="1" x14ac:dyDescent="0.25"/>
    <row r="6888" s="12" customFormat="1" x14ac:dyDescent="0.25"/>
    <row r="6889" s="12" customFormat="1" x14ac:dyDescent="0.25"/>
    <row r="6890" s="12" customFormat="1" x14ac:dyDescent="0.25"/>
    <row r="6891" s="12" customFormat="1" x14ac:dyDescent="0.25"/>
    <row r="6892" s="12" customFormat="1" x14ac:dyDescent="0.25"/>
    <row r="6893" s="12" customFormat="1" x14ac:dyDescent="0.25"/>
    <row r="6894" s="12" customFormat="1" x14ac:dyDescent="0.25"/>
    <row r="6895" s="12" customFormat="1" x14ac:dyDescent="0.25"/>
    <row r="6896" s="12" customFormat="1" x14ac:dyDescent="0.25"/>
    <row r="6897" s="12" customFormat="1" x14ac:dyDescent="0.25"/>
    <row r="6898" s="12" customFormat="1" x14ac:dyDescent="0.25"/>
    <row r="6899" s="12" customFormat="1" x14ac:dyDescent="0.25"/>
    <row r="6900" s="12" customFormat="1" x14ac:dyDescent="0.25"/>
    <row r="6901" s="12" customFormat="1" x14ac:dyDescent="0.25"/>
    <row r="6902" s="12" customFormat="1" x14ac:dyDescent="0.25"/>
    <row r="6903" s="12" customFormat="1" x14ac:dyDescent="0.25"/>
    <row r="6904" s="12" customFormat="1" x14ac:dyDescent="0.25"/>
    <row r="6905" s="12" customFormat="1" x14ac:dyDescent="0.25"/>
    <row r="6906" s="12" customFormat="1" x14ac:dyDescent="0.25"/>
    <row r="6907" s="12" customFormat="1" x14ac:dyDescent="0.25"/>
    <row r="6908" s="12" customFormat="1" x14ac:dyDescent="0.25"/>
    <row r="6909" s="12" customFormat="1" x14ac:dyDescent="0.25"/>
    <row r="6910" s="12" customFormat="1" x14ac:dyDescent="0.25"/>
    <row r="6911" s="12" customFormat="1" x14ac:dyDescent="0.25"/>
    <row r="6912" s="12" customFormat="1" x14ac:dyDescent="0.25"/>
    <row r="6913" s="12" customFormat="1" x14ac:dyDescent="0.25"/>
    <row r="6914" s="12" customFormat="1" x14ac:dyDescent="0.25"/>
    <row r="6915" s="12" customFormat="1" x14ac:dyDescent="0.25"/>
    <row r="6916" s="12" customFormat="1" x14ac:dyDescent="0.25"/>
    <row r="6917" s="12" customFormat="1" x14ac:dyDescent="0.25"/>
    <row r="6918" s="12" customFormat="1" x14ac:dyDescent="0.25"/>
    <row r="6919" s="12" customFormat="1" x14ac:dyDescent="0.25"/>
    <row r="6920" s="12" customFormat="1" x14ac:dyDescent="0.25"/>
    <row r="6921" s="12" customFormat="1" x14ac:dyDescent="0.25"/>
    <row r="6922" s="12" customFormat="1" x14ac:dyDescent="0.25"/>
    <row r="6923" s="12" customFormat="1" x14ac:dyDescent="0.25"/>
    <row r="6924" s="12" customFormat="1" x14ac:dyDescent="0.25"/>
    <row r="6925" s="12" customFormat="1" x14ac:dyDescent="0.25"/>
    <row r="6926" s="12" customFormat="1" x14ac:dyDescent="0.25"/>
    <row r="6927" s="12" customFormat="1" x14ac:dyDescent="0.25"/>
    <row r="6928" s="12" customFormat="1" x14ac:dyDescent="0.25"/>
    <row r="6929" s="12" customFormat="1" x14ac:dyDescent="0.25"/>
    <row r="6930" s="12" customFormat="1" x14ac:dyDescent="0.25"/>
    <row r="6931" s="12" customFormat="1" x14ac:dyDescent="0.25"/>
    <row r="6932" s="12" customFormat="1" x14ac:dyDescent="0.25"/>
    <row r="6933" s="12" customFormat="1" x14ac:dyDescent="0.25"/>
    <row r="6934" s="12" customFormat="1" x14ac:dyDescent="0.25"/>
    <row r="6935" s="12" customFormat="1" x14ac:dyDescent="0.25"/>
    <row r="6936" s="12" customFormat="1" x14ac:dyDescent="0.25"/>
    <row r="6937" s="12" customFormat="1" x14ac:dyDescent="0.25"/>
    <row r="6938" s="12" customFormat="1" x14ac:dyDescent="0.25"/>
    <row r="6939" s="12" customFormat="1" x14ac:dyDescent="0.25"/>
    <row r="6940" s="12" customFormat="1" x14ac:dyDescent="0.25"/>
    <row r="6941" s="12" customFormat="1" x14ac:dyDescent="0.25"/>
    <row r="6942" s="12" customFormat="1" x14ac:dyDescent="0.25"/>
    <row r="6943" s="12" customFormat="1" x14ac:dyDescent="0.25"/>
    <row r="6944" s="12" customFormat="1" x14ac:dyDescent="0.25"/>
    <row r="6945" s="12" customFormat="1" x14ac:dyDescent="0.25"/>
    <row r="6946" s="12" customFormat="1" x14ac:dyDescent="0.25"/>
    <row r="6947" s="12" customFormat="1" x14ac:dyDescent="0.25"/>
    <row r="6948" s="12" customFormat="1" x14ac:dyDescent="0.25"/>
    <row r="6949" s="12" customFormat="1" x14ac:dyDescent="0.25"/>
    <row r="6950" s="12" customFormat="1" x14ac:dyDescent="0.25"/>
    <row r="6951" s="12" customFormat="1" x14ac:dyDescent="0.25"/>
    <row r="6952" s="12" customFormat="1" x14ac:dyDescent="0.25"/>
    <row r="6953" s="12" customFormat="1" x14ac:dyDescent="0.25"/>
    <row r="6954" s="12" customFormat="1" x14ac:dyDescent="0.25"/>
    <row r="6955" s="12" customFormat="1" x14ac:dyDescent="0.25"/>
    <row r="6956" s="12" customFormat="1" x14ac:dyDescent="0.25"/>
    <row r="6957" s="12" customFormat="1" x14ac:dyDescent="0.25"/>
    <row r="6958" s="12" customFormat="1" x14ac:dyDescent="0.25"/>
    <row r="6959" s="12" customFormat="1" x14ac:dyDescent="0.25"/>
    <row r="6960" s="12" customFormat="1" x14ac:dyDescent="0.25"/>
    <row r="6961" s="12" customFormat="1" x14ac:dyDescent="0.25"/>
    <row r="6962" s="12" customFormat="1" x14ac:dyDescent="0.25"/>
    <row r="6963" s="12" customFormat="1" x14ac:dyDescent="0.25"/>
    <row r="6964" s="12" customFormat="1" x14ac:dyDescent="0.25"/>
    <row r="6965" s="12" customFormat="1" x14ac:dyDescent="0.25"/>
    <row r="6966" s="12" customFormat="1" x14ac:dyDescent="0.25"/>
    <row r="6967" s="12" customFormat="1" x14ac:dyDescent="0.25"/>
    <row r="6968" s="12" customFormat="1" x14ac:dyDescent="0.25"/>
    <row r="6969" s="12" customFormat="1" x14ac:dyDescent="0.25"/>
    <row r="6970" s="12" customFormat="1" x14ac:dyDescent="0.25"/>
    <row r="6971" s="12" customFormat="1" x14ac:dyDescent="0.25"/>
    <row r="6972" s="12" customFormat="1" x14ac:dyDescent="0.25"/>
    <row r="6973" s="12" customFormat="1" x14ac:dyDescent="0.25"/>
    <row r="6974" s="12" customFormat="1" x14ac:dyDescent="0.25"/>
    <row r="6975" s="12" customFormat="1" x14ac:dyDescent="0.25"/>
    <row r="6976" s="12" customFormat="1" x14ac:dyDescent="0.25"/>
    <row r="6977" s="12" customFormat="1" x14ac:dyDescent="0.25"/>
    <row r="6978" s="12" customFormat="1" x14ac:dyDescent="0.25"/>
    <row r="6979" s="12" customFormat="1" x14ac:dyDescent="0.25"/>
    <row r="6980" s="12" customFormat="1" x14ac:dyDescent="0.25"/>
    <row r="6981" s="12" customFormat="1" x14ac:dyDescent="0.25"/>
    <row r="6982" s="12" customFormat="1" x14ac:dyDescent="0.25"/>
    <row r="6983" s="12" customFormat="1" x14ac:dyDescent="0.25"/>
    <row r="6984" s="12" customFormat="1" x14ac:dyDescent="0.25"/>
    <row r="6985" s="12" customFormat="1" x14ac:dyDescent="0.25"/>
    <row r="6986" s="12" customFormat="1" x14ac:dyDescent="0.25"/>
    <row r="6987" s="12" customFormat="1" x14ac:dyDescent="0.25"/>
    <row r="6988" s="12" customFormat="1" x14ac:dyDescent="0.25"/>
    <row r="6989" s="12" customFormat="1" x14ac:dyDescent="0.25"/>
    <row r="6990" s="12" customFormat="1" x14ac:dyDescent="0.25"/>
    <row r="6991" s="12" customFormat="1" x14ac:dyDescent="0.25"/>
    <row r="6992" s="12" customFormat="1" x14ac:dyDescent="0.25"/>
    <row r="6993" s="12" customFormat="1" x14ac:dyDescent="0.25"/>
    <row r="6994" s="12" customFormat="1" x14ac:dyDescent="0.25"/>
    <row r="6995" s="12" customFormat="1" x14ac:dyDescent="0.25"/>
    <row r="6996" s="12" customFormat="1" x14ac:dyDescent="0.25"/>
    <row r="6997" s="12" customFormat="1" x14ac:dyDescent="0.25"/>
    <row r="6998" s="12" customFormat="1" x14ac:dyDescent="0.25"/>
    <row r="6999" s="12" customFormat="1" x14ac:dyDescent="0.25"/>
    <row r="7000" s="12" customFormat="1" x14ac:dyDescent="0.25"/>
    <row r="7001" s="12" customFormat="1" x14ac:dyDescent="0.25"/>
    <row r="7002" s="12" customFormat="1" x14ac:dyDescent="0.25"/>
    <row r="7003" s="12" customFormat="1" x14ac:dyDescent="0.25"/>
    <row r="7004" s="12" customFormat="1" x14ac:dyDescent="0.25"/>
    <row r="7005" s="12" customFormat="1" x14ac:dyDescent="0.25"/>
    <row r="7006" s="12" customFormat="1" x14ac:dyDescent="0.25"/>
    <row r="7007" s="12" customFormat="1" x14ac:dyDescent="0.25"/>
    <row r="7008" s="12" customFormat="1" x14ac:dyDescent="0.25"/>
    <row r="7009" s="12" customFormat="1" x14ac:dyDescent="0.25"/>
    <row r="7010" s="12" customFormat="1" x14ac:dyDescent="0.25"/>
    <row r="7011" s="12" customFormat="1" x14ac:dyDescent="0.25"/>
    <row r="7012" s="12" customFormat="1" x14ac:dyDescent="0.25"/>
    <row r="7013" s="12" customFormat="1" x14ac:dyDescent="0.25"/>
    <row r="7014" s="12" customFormat="1" x14ac:dyDescent="0.25"/>
    <row r="7015" s="12" customFormat="1" x14ac:dyDescent="0.25"/>
    <row r="7016" s="12" customFormat="1" x14ac:dyDescent="0.25"/>
    <row r="7017" s="12" customFormat="1" x14ac:dyDescent="0.25"/>
    <row r="7018" s="12" customFormat="1" x14ac:dyDescent="0.25"/>
    <row r="7019" s="12" customFormat="1" x14ac:dyDescent="0.25"/>
    <row r="7020" s="12" customFormat="1" x14ac:dyDescent="0.25"/>
    <row r="7021" s="12" customFormat="1" x14ac:dyDescent="0.25"/>
    <row r="7022" s="12" customFormat="1" x14ac:dyDescent="0.25"/>
    <row r="7023" s="12" customFormat="1" x14ac:dyDescent="0.25"/>
    <row r="7024" s="12" customFormat="1" x14ac:dyDescent="0.25"/>
    <row r="7025" s="12" customFormat="1" x14ac:dyDescent="0.25"/>
    <row r="7026" s="12" customFormat="1" x14ac:dyDescent="0.25"/>
    <row r="7027" s="12" customFormat="1" x14ac:dyDescent="0.25"/>
    <row r="7028" s="12" customFormat="1" x14ac:dyDescent="0.25"/>
    <row r="7029" s="12" customFormat="1" x14ac:dyDescent="0.25"/>
    <row r="7030" s="12" customFormat="1" x14ac:dyDescent="0.25"/>
    <row r="7031" s="12" customFormat="1" x14ac:dyDescent="0.25"/>
    <row r="7032" s="12" customFormat="1" x14ac:dyDescent="0.25"/>
    <row r="7033" s="12" customFormat="1" x14ac:dyDescent="0.25"/>
    <row r="7034" s="12" customFormat="1" x14ac:dyDescent="0.25"/>
    <row r="7035" s="12" customFormat="1" x14ac:dyDescent="0.25"/>
    <row r="7036" s="12" customFormat="1" x14ac:dyDescent="0.25"/>
    <row r="7037" s="12" customFormat="1" x14ac:dyDescent="0.25"/>
    <row r="7038" s="12" customFormat="1" x14ac:dyDescent="0.25"/>
    <row r="7039" s="12" customFormat="1" x14ac:dyDescent="0.25"/>
    <row r="7040" s="12" customFormat="1" x14ac:dyDescent="0.25"/>
    <row r="7041" s="12" customFormat="1" x14ac:dyDescent="0.25"/>
    <row r="7042" s="12" customFormat="1" x14ac:dyDescent="0.25"/>
    <row r="7043" s="12" customFormat="1" x14ac:dyDescent="0.25"/>
    <row r="7044" s="12" customFormat="1" x14ac:dyDescent="0.25"/>
    <row r="7045" s="12" customFormat="1" x14ac:dyDescent="0.25"/>
    <row r="7046" s="12" customFormat="1" x14ac:dyDescent="0.25"/>
    <row r="7047" s="12" customFormat="1" x14ac:dyDescent="0.25"/>
    <row r="7048" s="12" customFormat="1" x14ac:dyDescent="0.25"/>
    <row r="7049" s="12" customFormat="1" x14ac:dyDescent="0.25"/>
    <row r="7050" s="12" customFormat="1" x14ac:dyDescent="0.25"/>
    <row r="7051" s="12" customFormat="1" x14ac:dyDescent="0.25"/>
    <row r="7052" s="12" customFormat="1" x14ac:dyDescent="0.25"/>
    <row r="7053" s="12" customFormat="1" x14ac:dyDescent="0.25"/>
    <row r="7054" s="12" customFormat="1" x14ac:dyDescent="0.25"/>
    <row r="7055" s="12" customFormat="1" x14ac:dyDescent="0.25"/>
    <row r="7056" s="12" customFormat="1" x14ac:dyDescent="0.25"/>
    <row r="7057" s="12" customFormat="1" x14ac:dyDescent="0.25"/>
    <row r="7058" s="12" customFormat="1" x14ac:dyDescent="0.25"/>
    <row r="7059" s="12" customFormat="1" x14ac:dyDescent="0.25"/>
    <row r="7060" s="12" customFormat="1" x14ac:dyDescent="0.25"/>
    <row r="7061" s="12" customFormat="1" x14ac:dyDescent="0.25"/>
    <row r="7062" s="12" customFormat="1" x14ac:dyDescent="0.25"/>
    <row r="7063" s="12" customFormat="1" x14ac:dyDescent="0.25"/>
    <row r="7064" s="12" customFormat="1" x14ac:dyDescent="0.25"/>
    <row r="7065" s="12" customFormat="1" x14ac:dyDescent="0.25"/>
    <row r="7066" s="12" customFormat="1" x14ac:dyDescent="0.25"/>
    <row r="7067" s="12" customFormat="1" x14ac:dyDescent="0.25"/>
    <row r="7068" s="12" customFormat="1" x14ac:dyDescent="0.25"/>
    <row r="7069" s="12" customFormat="1" x14ac:dyDescent="0.25"/>
    <row r="7070" s="12" customFormat="1" x14ac:dyDescent="0.25"/>
    <row r="7071" s="12" customFormat="1" x14ac:dyDescent="0.25"/>
    <row r="7072" s="12" customFormat="1" x14ac:dyDescent="0.25"/>
    <row r="7073" s="12" customFormat="1" x14ac:dyDescent="0.25"/>
    <row r="7074" s="12" customFormat="1" x14ac:dyDescent="0.25"/>
    <row r="7075" s="12" customFormat="1" x14ac:dyDescent="0.25"/>
    <row r="7076" s="12" customFormat="1" x14ac:dyDescent="0.25"/>
    <row r="7077" s="12" customFormat="1" x14ac:dyDescent="0.25"/>
    <row r="7078" s="12" customFormat="1" x14ac:dyDescent="0.25"/>
    <row r="7079" s="12" customFormat="1" x14ac:dyDescent="0.25"/>
    <row r="7080" s="12" customFormat="1" x14ac:dyDescent="0.25"/>
    <row r="7081" s="12" customFormat="1" x14ac:dyDescent="0.25"/>
    <row r="7082" s="12" customFormat="1" x14ac:dyDescent="0.25"/>
    <row r="7083" s="12" customFormat="1" x14ac:dyDescent="0.25"/>
    <row r="7084" s="12" customFormat="1" x14ac:dyDescent="0.25"/>
    <row r="7085" s="12" customFormat="1" x14ac:dyDescent="0.25"/>
    <row r="7086" s="12" customFormat="1" x14ac:dyDescent="0.25"/>
    <row r="7087" s="12" customFormat="1" x14ac:dyDescent="0.25"/>
    <row r="7088" s="12" customFormat="1" x14ac:dyDescent="0.25"/>
    <row r="7089" s="12" customFormat="1" x14ac:dyDescent="0.25"/>
    <row r="7090" s="12" customFormat="1" x14ac:dyDescent="0.25"/>
    <row r="7091" s="12" customFormat="1" x14ac:dyDescent="0.25"/>
    <row r="7092" s="12" customFormat="1" x14ac:dyDescent="0.25"/>
    <row r="7093" s="12" customFormat="1" x14ac:dyDescent="0.25"/>
    <row r="7094" s="12" customFormat="1" x14ac:dyDescent="0.25"/>
    <row r="7095" s="12" customFormat="1" x14ac:dyDescent="0.25"/>
    <row r="7096" s="12" customFormat="1" x14ac:dyDescent="0.25"/>
    <row r="7097" s="12" customFormat="1" x14ac:dyDescent="0.25"/>
    <row r="7098" s="12" customFormat="1" x14ac:dyDescent="0.25"/>
    <row r="7099" s="12" customFormat="1" x14ac:dyDescent="0.25"/>
    <row r="7100" s="12" customFormat="1" x14ac:dyDescent="0.25"/>
    <row r="7101" s="12" customFormat="1" x14ac:dyDescent="0.25"/>
    <row r="7102" s="12" customFormat="1" x14ac:dyDescent="0.25"/>
    <row r="7103" s="12" customFormat="1" x14ac:dyDescent="0.25"/>
    <row r="7104" s="12" customFormat="1" x14ac:dyDescent="0.25"/>
    <row r="7105" s="12" customFormat="1" x14ac:dyDescent="0.25"/>
    <row r="7106" s="12" customFormat="1" x14ac:dyDescent="0.25"/>
    <row r="7107" s="12" customFormat="1" x14ac:dyDescent="0.25"/>
    <row r="7108" s="12" customFormat="1" x14ac:dyDescent="0.25"/>
    <row r="7109" s="12" customFormat="1" x14ac:dyDescent="0.25"/>
    <row r="7110" s="12" customFormat="1" x14ac:dyDescent="0.25"/>
    <row r="7111" s="12" customFormat="1" x14ac:dyDescent="0.25"/>
    <row r="7112" s="12" customFormat="1" x14ac:dyDescent="0.25"/>
    <row r="7113" s="12" customFormat="1" x14ac:dyDescent="0.25"/>
    <row r="7114" s="12" customFormat="1" x14ac:dyDescent="0.25"/>
    <row r="7115" s="12" customFormat="1" x14ac:dyDescent="0.25"/>
    <row r="7116" s="12" customFormat="1" x14ac:dyDescent="0.25"/>
    <row r="7117" s="12" customFormat="1" x14ac:dyDescent="0.25"/>
    <row r="7118" s="12" customFormat="1" x14ac:dyDescent="0.25"/>
    <row r="7119" s="12" customFormat="1" x14ac:dyDescent="0.25"/>
    <row r="7120" s="12" customFormat="1" x14ac:dyDescent="0.25"/>
    <row r="7121" s="12" customFormat="1" x14ac:dyDescent="0.25"/>
    <row r="7122" s="12" customFormat="1" x14ac:dyDescent="0.25"/>
    <row r="7123" s="12" customFormat="1" x14ac:dyDescent="0.25"/>
    <row r="7124" s="12" customFormat="1" x14ac:dyDescent="0.25"/>
    <row r="7125" s="12" customFormat="1" x14ac:dyDescent="0.25"/>
    <row r="7126" s="12" customFormat="1" x14ac:dyDescent="0.25"/>
    <row r="7127" s="12" customFormat="1" x14ac:dyDescent="0.25"/>
    <row r="7128" s="12" customFormat="1" x14ac:dyDescent="0.25"/>
    <row r="7129" s="12" customFormat="1" x14ac:dyDescent="0.25"/>
    <row r="7130" s="12" customFormat="1" x14ac:dyDescent="0.25"/>
    <row r="7131" s="12" customFormat="1" x14ac:dyDescent="0.25"/>
    <row r="7132" s="12" customFormat="1" x14ac:dyDescent="0.25"/>
    <row r="7133" s="12" customFormat="1" x14ac:dyDescent="0.25"/>
    <row r="7134" s="12" customFormat="1" x14ac:dyDescent="0.25"/>
    <row r="7135" s="12" customFormat="1" x14ac:dyDescent="0.25"/>
    <row r="7136" s="12" customFormat="1" x14ac:dyDescent="0.25"/>
    <row r="7137" s="12" customFormat="1" x14ac:dyDescent="0.25"/>
    <row r="7138" s="12" customFormat="1" x14ac:dyDescent="0.25"/>
    <row r="7139" s="12" customFormat="1" x14ac:dyDescent="0.25"/>
    <row r="7140" s="12" customFormat="1" x14ac:dyDescent="0.25"/>
    <row r="7141" s="12" customFormat="1" x14ac:dyDescent="0.25"/>
    <row r="7142" s="12" customFormat="1" x14ac:dyDescent="0.25"/>
    <row r="7143" s="12" customFormat="1" x14ac:dyDescent="0.25"/>
    <row r="7144" s="12" customFormat="1" x14ac:dyDescent="0.25"/>
    <row r="7145" s="12" customFormat="1" x14ac:dyDescent="0.25"/>
    <row r="7146" s="12" customFormat="1" x14ac:dyDescent="0.25"/>
    <row r="7147" s="12" customFormat="1" x14ac:dyDescent="0.25"/>
    <row r="7148" s="12" customFormat="1" x14ac:dyDescent="0.25"/>
    <row r="7149" s="12" customFormat="1" x14ac:dyDescent="0.25"/>
    <row r="7150" s="12" customFormat="1" x14ac:dyDescent="0.25"/>
    <row r="7151" s="12" customFormat="1" x14ac:dyDescent="0.25"/>
    <row r="7152" s="12" customFormat="1" x14ac:dyDescent="0.25"/>
    <row r="7153" s="12" customFormat="1" x14ac:dyDescent="0.25"/>
    <row r="7154" s="12" customFormat="1" x14ac:dyDescent="0.25"/>
    <row r="7155" s="12" customFormat="1" x14ac:dyDescent="0.25"/>
    <row r="7156" s="12" customFormat="1" x14ac:dyDescent="0.25"/>
    <row r="7157" s="12" customFormat="1" x14ac:dyDescent="0.25"/>
    <row r="7158" s="12" customFormat="1" x14ac:dyDescent="0.25"/>
    <row r="7159" s="12" customFormat="1" x14ac:dyDescent="0.25"/>
    <row r="7160" s="12" customFormat="1" x14ac:dyDescent="0.25"/>
    <row r="7161" s="12" customFormat="1" x14ac:dyDescent="0.25"/>
    <row r="7162" s="12" customFormat="1" x14ac:dyDescent="0.25"/>
    <row r="7163" s="12" customFormat="1" x14ac:dyDescent="0.25"/>
    <row r="7164" s="12" customFormat="1" x14ac:dyDescent="0.25"/>
    <row r="7165" s="12" customFormat="1" x14ac:dyDescent="0.25"/>
    <row r="7166" s="12" customFormat="1" x14ac:dyDescent="0.25"/>
    <row r="7167" s="12" customFormat="1" x14ac:dyDescent="0.25"/>
    <row r="7168" s="12" customFormat="1" x14ac:dyDescent="0.25"/>
    <row r="7169" s="12" customFormat="1" x14ac:dyDescent="0.25"/>
    <row r="7170" s="12" customFormat="1" x14ac:dyDescent="0.25"/>
    <row r="7171" s="12" customFormat="1" x14ac:dyDescent="0.25"/>
    <row r="7172" s="12" customFormat="1" x14ac:dyDescent="0.25"/>
    <row r="7173" s="12" customFormat="1" x14ac:dyDescent="0.25"/>
    <row r="7174" s="12" customFormat="1" x14ac:dyDescent="0.25"/>
    <row r="7175" s="12" customFormat="1" x14ac:dyDescent="0.25"/>
    <row r="7176" s="12" customFormat="1" x14ac:dyDescent="0.25"/>
    <row r="7177" s="12" customFormat="1" x14ac:dyDescent="0.25"/>
    <row r="7178" s="12" customFormat="1" x14ac:dyDescent="0.25"/>
    <row r="7179" s="12" customFormat="1" x14ac:dyDescent="0.25"/>
    <row r="7180" s="12" customFormat="1" x14ac:dyDescent="0.25"/>
    <row r="7181" s="12" customFormat="1" x14ac:dyDescent="0.25"/>
    <row r="7182" s="12" customFormat="1" x14ac:dyDescent="0.25"/>
    <row r="7183" s="12" customFormat="1" x14ac:dyDescent="0.25"/>
    <row r="7184" s="12" customFormat="1" x14ac:dyDescent="0.25"/>
    <row r="7185" s="12" customFormat="1" x14ac:dyDescent="0.25"/>
    <row r="7186" s="12" customFormat="1" x14ac:dyDescent="0.25"/>
    <row r="7187" s="12" customFormat="1" x14ac:dyDescent="0.25"/>
    <row r="7188" s="12" customFormat="1" x14ac:dyDescent="0.25"/>
    <row r="7189" s="12" customFormat="1" x14ac:dyDescent="0.25"/>
    <row r="7190" s="12" customFormat="1" x14ac:dyDescent="0.25"/>
    <row r="7191" s="12" customFormat="1" x14ac:dyDescent="0.25"/>
    <row r="7192" s="12" customFormat="1" x14ac:dyDescent="0.25"/>
    <row r="7193" s="12" customFormat="1" x14ac:dyDescent="0.25"/>
    <row r="7194" s="12" customFormat="1" x14ac:dyDescent="0.25"/>
    <row r="7195" s="12" customFormat="1" x14ac:dyDescent="0.25"/>
    <row r="7196" s="12" customFormat="1" x14ac:dyDescent="0.25"/>
    <row r="7197" s="12" customFormat="1" x14ac:dyDescent="0.25"/>
    <row r="7198" s="12" customFormat="1" x14ac:dyDescent="0.25"/>
    <row r="7199" s="12" customFormat="1" x14ac:dyDescent="0.25"/>
    <row r="7200" s="12" customFormat="1" x14ac:dyDescent="0.25"/>
    <row r="7201" s="12" customFormat="1" x14ac:dyDescent="0.25"/>
    <row r="7202" s="12" customFormat="1" x14ac:dyDescent="0.25"/>
    <row r="7203" s="12" customFormat="1" x14ac:dyDescent="0.25"/>
    <row r="7204" s="12" customFormat="1" x14ac:dyDescent="0.25"/>
    <row r="7205" s="12" customFormat="1" x14ac:dyDescent="0.25"/>
    <row r="7206" s="12" customFormat="1" x14ac:dyDescent="0.25"/>
    <row r="7207" s="12" customFormat="1" x14ac:dyDescent="0.25"/>
    <row r="7208" s="12" customFormat="1" x14ac:dyDescent="0.25"/>
    <row r="7209" s="12" customFormat="1" x14ac:dyDescent="0.25"/>
    <row r="7210" s="12" customFormat="1" x14ac:dyDescent="0.25"/>
    <row r="7211" s="12" customFormat="1" x14ac:dyDescent="0.25"/>
    <row r="7212" s="12" customFormat="1" x14ac:dyDescent="0.25"/>
    <row r="7213" s="12" customFormat="1" x14ac:dyDescent="0.25"/>
    <row r="7214" s="12" customFormat="1" x14ac:dyDescent="0.25"/>
    <row r="7215" s="12" customFormat="1" x14ac:dyDescent="0.25"/>
    <row r="7216" s="12" customFormat="1" x14ac:dyDescent="0.25"/>
    <row r="7217" s="12" customFormat="1" x14ac:dyDescent="0.25"/>
    <row r="7218" s="12" customFormat="1" x14ac:dyDescent="0.25"/>
    <row r="7219" s="12" customFormat="1" x14ac:dyDescent="0.25"/>
    <row r="7220" s="12" customFormat="1" x14ac:dyDescent="0.25"/>
    <row r="7221" s="12" customFormat="1" x14ac:dyDescent="0.25"/>
    <row r="7222" s="12" customFormat="1" x14ac:dyDescent="0.25"/>
    <row r="7223" s="12" customFormat="1" x14ac:dyDescent="0.25"/>
    <row r="7224" s="12" customFormat="1" x14ac:dyDescent="0.25"/>
    <row r="7225" s="12" customFormat="1" x14ac:dyDescent="0.25"/>
    <row r="7226" s="12" customFormat="1" x14ac:dyDescent="0.25"/>
    <row r="7227" s="12" customFormat="1" x14ac:dyDescent="0.25"/>
    <row r="7228" s="12" customFormat="1" x14ac:dyDescent="0.25"/>
    <row r="7229" s="12" customFormat="1" x14ac:dyDescent="0.25"/>
    <row r="7230" s="12" customFormat="1" x14ac:dyDescent="0.25"/>
    <row r="7231" s="12" customFormat="1" x14ac:dyDescent="0.25"/>
    <row r="7232" s="12" customFormat="1" x14ac:dyDescent="0.25"/>
    <row r="7233" s="12" customFormat="1" x14ac:dyDescent="0.25"/>
    <row r="7234" s="12" customFormat="1" x14ac:dyDescent="0.25"/>
    <row r="7235" s="12" customFormat="1" x14ac:dyDescent="0.25"/>
    <row r="7236" s="12" customFormat="1" x14ac:dyDescent="0.25"/>
    <row r="7237" s="12" customFormat="1" x14ac:dyDescent="0.25"/>
    <row r="7238" s="12" customFormat="1" x14ac:dyDescent="0.25"/>
    <row r="7239" s="12" customFormat="1" x14ac:dyDescent="0.25"/>
    <row r="7240" s="12" customFormat="1" x14ac:dyDescent="0.25"/>
    <row r="7241" s="12" customFormat="1" x14ac:dyDescent="0.25"/>
    <row r="7242" s="12" customFormat="1" x14ac:dyDescent="0.25"/>
    <row r="7243" s="12" customFormat="1" x14ac:dyDescent="0.25"/>
    <row r="7244" s="12" customFormat="1" x14ac:dyDescent="0.25"/>
    <row r="7245" s="12" customFormat="1" x14ac:dyDescent="0.25"/>
    <row r="7246" s="12" customFormat="1" x14ac:dyDescent="0.25"/>
    <row r="7247" s="12" customFormat="1" x14ac:dyDescent="0.25"/>
    <row r="7248" s="12" customFormat="1" x14ac:dyDescent="0.25"/>
    <row r="7249" s="12" customFormat="1" x14ac:dyDescent="0.25"/>
    <row r="7250" s="12" customFormat="1" x14ac:dyDescent="0.25"/>
    <row r="7251" s="12" customFormat="1" x14ac:dyDescent="0.25"/>
    <row r="7252" s="12" customFormat="1" x14ac:dyDescent="0.25"/>
    <row r="7253" s="12" customFormat="1" x14ac:dyDescent="0.25"/>
    <row r="7254" s="12" customFormat="1" x14ac:dyDescent="0.25"/>
    <row r="7255" s="12" customFormat="1" x14ac:dyDescent="0.25"/>
    <row r="7256" s="12" customFormat="1" x14ac:dyDescent="0.25"/>
    <row r="7257" s="12" customFormat="1" x14ac:dyDescent="0.25"/>
    <row r="7258" s="12" customFormat="1" x14ac:dyDescent="0.25"/>
    <row r="7259" s="12" customFormat="1" x14ac:dyDescent="0.25"/>
    <row r="7260" s="12" customFormat="1" x14ac:dyDescent="0.25"/>
    <row r="7261" s="12" customFormat="1" x14ac:dyDescent="0.25"/>
    <row r="7262" s="12" customFormat="1" x14ac:dyDescent="0.25"/>
    <row r="7263" s="12" customFormat="1" x14ac:dyDescent="0.25"/>
    <row r="7264" s="12" customFormat="1" x14ac:dyDescent="0.25"/>
    <row r="7265" s="12" customFormat="1" x14ac:dyDescent="0.25"/>
    <row r="7266" s="12" customFormat="1" x14ac:dyDescent="0.25"/>
    <row r="7267" s="12" customFormat="1" x14ac:dyDescent="0.25"/>
    <row r="7268" s="12" customFormat="1" x14ac:dyDescent="0.25"/>
    <row r="7269" s="12" customFormat="1" x14ac:dyDescent="0.25"/>
    <row r="7270" s="12" customFormat="1" x14ac:dyDescent="0.25"/>
    <row r="7271" s="12" customFormat="1" x14ac:dyDescent="0.25"/>
    <row r="7272" s="12" customFormat="1" x14ac:dyDescent="0.25"/>
    <row r="7273" s="12" customFormat="1" x14ac:dyDescent="0.25"/>
    <row r="7274" s="12" customFormat="1" x14ac:dyDescent="0.25"/>
    <row r="7275" s="12" customFormat="1" x14ac:dyDescent="0.25"/>
    <row r="7276" s="12" customFormat="1" x14ac:dyDescent="0.25"/>
    <row r="7277" s="12" customFormat="1" x14ac:dyDescent="0.25"/>
    <row r="7278" s="12" customFormat="1" x14ac:dyDescent="0.25"/>
    <row r="7279" s="12" customFormat="1" x14ac:dyDescent="0.25"/>
    <row r="7280" s="12" customFormat="1" x14ac:dyDescent="0.25"/>
    <row r="7281" s="12" customFormat="1" x14ac:dyDescent="0.25"/>
    <row r="7282" s="12" customFormat="1" x14ac:dyDescent="0.25"/>
    <row r="7283" s="12" customFormat="1" x14ac:dyDescent="0.25"/>
    <row r="7284" s="12" customFormat="1" x14ac:dyDescent="0.25"/>
    <row r="7285" s="12" customFormat="1" x14ac:dyDescent="0.25"/>
    <row r="7286" s="12" customFormat="1" x14ac:dyDescent="0.25"/>
    <row r="7287" s="12" customFormat="1" x14ac:dyDescent="0.25"/>
    <row r="7288" s="12" customFormat="1" x14ac:dyDescent="0.25"/>
    <row r="7289" s="12" customFormat="1" x14ac:dyDescent="0.25"/>
    <row r="7290" s="12" customFormat="1" x14ac:dyDescent="0.25"/>
    <row r="7291" s="12" customFormat="1" x14ac:dyDescent="0.25"/>
    <row r="7292" s="12" customFormat="1" x14ac:dyDescent="0.25"/>
    <row r="7293" s="12" customFormat="1" x14ac:dyDescent="0.25"/>
    <row r="7294" s="12" customFormat="1" x14ac:dyDescent="0.25"/>
    <row r="7295" s="12" customFormat="1" x14ac:dyDescent="0.25"/>
    <row r="7296" s="12" customFormat="1" x14ac:dyDescent="0.25"/>
    <row r="7297" s="12" customFormat="1" x14ac:dyDescent="0.25"/>
    <row r="7298" s="12" customFormat="1" x14ac:dyDescent="0.25"/>
    <row r="7299" s="12" customFormat="1" x14ac:dyDescent="0.25"/>
    <row r="7300" s="12" customFormat="1" x14ac:dyDescent="0.25"/>
    <row r="7301" s="12" customFormat="1" x14ac:dyDescent="0.25"/>
    <row r="7302" s="12" customFormat="1" x14ac:dyDescent="0.25"/>
    <row r="7303" s="12" customFormat="1" x14ac:dyDescent="0.25"/>
    <row r="7304" s="12" customFormat="1" x14ac:dyDescent="0.25"/>
    <row r="7305" s="12" customFormat="1" x14ac:dyDescent="0.25"/>
    <row r="7306" s="12" customFormat="1" x14ac:dyDescent="0.25"/>
    <row r="7307" s="12" customFormat="1" x14ac:dyDescent="0.25"/>
    <row r="7308" s="12" customFormat="1" x14ac:dyDescent="0.25"/>
    <row r="7309" s="12" customFormat="1" x14ac:dyDescent="0.25"/>
    <row r="7310" s="12" customFormat="1" x14ac:dyDescent="0.25"/>
    <row r="7311" s="12" customFormat="1" x14ac:dyDescent="0.25"/>
    <row r="7312" s="12" customFormat="1" x14ac:dyDescent="0.25"/>
    <row r="7313" s="12" customFormat="1" x14ac:dyDescent="0.25"/>
    <row r="7314" s="12" customFormat="1" x14ac:dyDescent="0.25"/>
    <row r="7315" s="12" customFormat="1" x14ac:dyDescent="0.25"/>
    <row r="7316" s="12" customFormat="1" x14ac:dyDescent="0.25"/>
    <row r="7317" s="12" customFormat="1" x14ac:dyDescent="0.25"/>
    <row r="7318" s="12" customFormat="1" x14ac:dyDescent="0.25"/>
    <row r="7319" s="12" customFormat="1" x14ac:dyDescent="0.25"/>
    <row r="7320" s="12" customFormat="1" x14ac:dyDescent="0.25"/>
    <row r="7321" s="12" customFormat="1" x14ac:dyDescent="0.25"/>
    <row r="7322" s="12" customFormat="1" x14ac:dyDescent="0.25"/>
    <row r="7323" s="12" customFormat="1" x14ac:dyDescent="0.25"/>
    <row r="7324" s="12" customFormat="1" x14ac:dyDescent="0.25"/>
    <row r="7325" s="12" customFormat="1" x14ac:dyDescent="0.25"/>
    <row r="7326" s="12" customFormat="1" x14ac:dyDescent="0.25"/>
    <row r="7327" s="12" customFormat="1" x14ac:dyDescent="0.25"/>
    <row r="7328" s="12" customFormat="1" x14ac:dyDescent="0.25"/>
    <row r="7329" s="12" customFormat="1" x14ac:dyDescent="0.25"/>
    <row r="7330" s="12" customFormat="1" x14ac:dyDescent="0.25"/>
    <row r="7331" s="12" customFormat="1" x14ac:dyDescent="0.25"/>
    <row r="7332" s="12" customFormat="1" x14ac:dyDescent="0.25"/>
    <row r="7333" s="12" customFormat="1" x14ac:dyDescent="0.25"/>
    <row r="7334" s="12" customFormat="1" x14ac:dyDescent="0.25"/>
    <row r="7335" s="12" customFormat="1" x14ac:dyDescent="0.25"/>
    <row r="7336" s="12" customFormat="1" x14ac:dyDescent="0.25"/>
    <row r="7337" s="12" customFormat="1" x14ac:dyDescent="0.25"/>
    <row r="7338" s="12" customFormat="1" x14ac:dyDescent="0.25"/>
    <row r="7339" s="12" customFormat="1" x14ac:dyDescent="0.25"/>
    <row r="7340" s="12" customFormat="1" x14ac:dyDescent="0.25"/>
    <row r="7341" s="12" customFormat="1" x14ac:dyDescent="0.25"/>
    <row r="7342" s="12" customFormat="1" x14ac:dyDescent="0.25"/>
    <row r="7343" s="12" customFormat="1" x14ac:dyDescent="0.25"/>
    <row r="7344" s="12" customFormat="1" x14ac:dyDescent="0.25"/>
    <row r="7345" s="12" customFormat="1" x14ac:dyDescent="0.25"/>
    <row r="7346" s="12" customFormat="1" x14ac:dyDescent="0.25"/>
    <row r="7347" s="12" customFormat="1" x14ac:dyDescent="0.25"/>
    <row r="7348" s="12" customFormat="1" x14ac:dyDescent="0.25"/>
    <row r="7349" s="12" customFormat="1" x14ac:dyDescent="0.25"/>
    <row r="7350" s="12" customFormat="1" x14ac:dyDescent="0.25"/>
    <row r="7351" s="12" customFormat="1" x14ac:dyDescent="0.25"/>
    <row r="7352" s="12" customFormat="1" x14ac:dyDescent="0.25"/>
    <row r="7353" s="12" customFormat="1" x14ac:dyDescent="0.25"/>
    <row r="7354" s="12" customFormat="1" x14ac:dyDescent="0.25"/>
    <row r="7355" s="12" customFormat="1" x14ac:dyDescent="0.25"/>
    <row r="7356" s="12" customFormat="1" x14ac:dyDescent="0.25"/>
    <row r="7357" s="12" customFormat="1" x14ac:dyDescent="0.25"/>
    <row r="7358" s="12" customFormat="1" x14ac:dyDescent="0.25"/>
    <row r="7359" s="12" customFormat="1" x14ac:dyDescent="0.25"/>
    <row r="7360" s="12" customFormat="1" x14ac:dyDescent="0.25"/>
    <row r="7361" s="12" customFormat="1" x14ac:dyDescent="0.25"/>
    <row r="7362" s="12" customFormat="1" x14ac:dyDescent="0.25"/>
    <row r="7363" s="12" customFormat="1" x14ac:dyDescent="0.25"/>
    <row r="7364" s="12" customFormat="1" x14ac:dyDescent="0.25"/>
    <row r="7365" s="12" customFormat="1" x14ac:dyDescent="0.25"/>
    <row r="7366" s="12" customFormat="1" x14ac:dyDescent="0.25"/>
    <row r="7367" s="12" customFormat="1" x14ac:dyDescent="0.25"/>
    <row r="7368" s="12" customFormat="1" x14ac:dyDescent="0.25"/>
    <row r="7369" s="12" customFormat="1" x14ac:dyDescent="0.25"/>
    <row r="7370" s="12" customFormat="1" x14ac:dyDescent="0.25"/>
    <row r="7371" s="12" customFormat="1" x14ac:dyDescent="0.25"/>
    <row r="7372" s="12" customFormat="1" x14ac:dyDescent="0.25"/>
    <row r="7373" s="12" customFormat="1" x14ac:dyDescent="0.25"/>
    <row r="7374" s="12" customFormat="1" x14ac:dyDescent="0.25"/>
    <row r="7375" s="12" customFormat="1" x14ac:dyDescent="0.25"/>
    <row r="7376" s="12" customFormat="1" x14ac:dyDescent="0.25"/>
    <row r="7377" s="12" customFormat="1" x14ac:dyDescent="0.25"/>
    <row r="7378" s="12" customFormat="1" x14ac:dyDescent="0.25"/>
    <row r="7379" s="12" customFormat="1" x14ac:dyDescent="0.25"/>
    <row r="7380" s="12" customFormat="1" x14ac:dyDescent="0.25"/>
    <row r="7381" s="12" customFormat="1" x14ac:dyDescent="0.25"/>
    <row r="7382" s="12" customFormat="1" x14ac:dyDescent="0.25"/>
    <row r="7383" s="12" customFormat="1" x14ac:dyDescent="0.25"/>
    <row r="7384" s="12" customFormat="1" x14ac:dyDescent="0.25"/>
    <row r="7385" s="12" customFormat="1" x14ac:dyDescent="0.25"/>
    <row r="7386" s="12" customFormat="1" x14ac:dyDescent="0.25"/>
    <row r="7387" s="12" customFormat="1" x14ac:dyDescent="0.25"/>
    <row r="7388" s="12" customFormat="1" x14ac:dyDescent="0.25"/>
    <row r="7389" s="12" customFormat="1" x14ac:dyDescent="0.25"/>
    <row r="7390" s="12" customFormat="1" x14ac:dyDescent="0.25"/>
    <row r="7391" s="12" customFormat="1" x14ac:dyDescent="0.25"/>
    <row r="7392" s="12" customFormat="1" x14ac:dyDescent="0.25"/>
    <row r="7393" s="12" customFormat="1" x14ac:dyDescent="0.25"/>
    <row r="7394" s="12" customFormat="1" x14ac:dyDescent="0.25"/>
    <row r="7395" s="12" customFormat="1" x14ac:dyDescent="0.25"/>
    <row r="7396" s="12" customFormat="1" x14ac:dyDescent="0.25"/>
    <row r="7397" s="12" customFormat="1" x14ac:dyDescent="0.25"/>
    <row r="7398" s="12" customFormat="1" x14ac:dyDescent="0.25"/>
    <row r="7399" s="12" customFormat="1" x14ac:dyDescent="0.25"/>
    <row r="7400" s="12" customFormat="1" x14ac:dyDescent="0.25"/>
    <row r="7401" s="12" customFormat="1" x14ac:dyDescent="0.25"/>
    <row r="7402" s="12" customFormat="1" x14ac:dyDescent="0.25"/>
    <row r="7403" s="12" customFormat="1" x14ac:dyDescent="0.25"/>
    <row r="7404" s="12" customFormat="1" x14ac:dyDescent="0.25"/>
    <row r="7405" s="12" customFormat="1" x14ac:dyDescent="0.25"/>
    <row r="7406" s="12" customFormat="1" x14ac:dyDescent="0.25"/>
    <row r="7407" s="12" customFormat="1" x14ac:dyDescent="0.25"/>
    <row r="7408" s="12" customFormat="1" x14ac:dyDescent="0.25"/>
    <row r="7409" s="12" customFormat="1" x14ac:dyDescent="0.25"/>
    <row r="7410" s="12" customFormat="1" x14ac:dyDescent="0.25"/>
    <row r="7411" s="12" customFormat="1" x14ac:dyDescent="0.25"/>
    <row r="7412" s="12" customFormat="1" x14ac:dyDescent="0.25"/>
    <row r="7413" s="12" customFormat="1" x14ac:dyDescent="0.25"/>
    <row r="7414" s="12" customFormat="1" x14ac:dyDescent="0.25"/>
    <row r="7415" s="12" customFormat="1" x14ac:dyDescent="0.25"/>
    <row r="7416" s="12" customFormat="1" x14ac:dyDescent="0.25"/>
    <row r="7417" s="12" customFormat="1" x14ac:dyDescent="0.25"/>
    <row r="7418" s="12" customFormat="1" x14ac:dyDescent="0.25"/>
    <row r="7419" s="12" customFormat="1" x14ac:dyDescent="0.25"/>
    <row r="7420" s="12" customFormat="1" x14ac:dyDescent="0.25"/>
    <row r="7421" s="12" customFormat="1" x14ac:dyDescent="0.25"/>
    <row r="7422" s="12" customFormat="1" x14ac:dyDescent="0.25"/>
    <row r="7423" s="12" customFormat="1" x14ac:dyDescent="0.25"/>
    <row r="7424" s="12" customFormat="1" x14ac:dyDescent="0.25"/>
    <row r="7425" s="12" customFormat="1" x14ac:dyDescent="0.25"/>
    <row r="7426" s="12" customFormat="1" x14ac:dyDescent="0.25"/>
    <row r="7427" s="12" customFormat="1" x14ac:dyDescent="0.25"/>
    <row r="7428" s="12" customFormat="1" x14ac:dyDescent="0.25"/>
    <row r="7429" s="12" customFormat="1" x14ac:dyDescent="0.25"/>
    <row r="7430" s="12" customFormat="1" x14ac:dyDescent="0.25"/>
    <row r="7431" s="12" customFormat="1" x14ac:dyDescent="0.25"/>
    <row r="7432" s="12" customFormat="1" x14ac:dyDescent="0.25"/>
    <row r="7433" s="12" customFormat="1" x14ac:dyDescent="0.25"/>
    <row r="7434" s="12" customFormat="1" x14ac:dyDescent="0.25"/>
    <row r="7435" s="12" customFormat="1" x14ac:dyDescent="0.25"/>
    <row r="7436" s="12" customFormat="1" x14ac:dyDescent="0.25"/>
    <row r="7437" s="12" customFormat="1" x14ac:dyDescent="0.25"/>
    <row r="7438" s="12" customFormat="1" x14ac:dyDescent="0.25"/>
    <row r="7439" s="12" customFormat="1" x14ac:dyDescent="0.25"/>
    <row r="7440" s="12" customFormat="1" x14ac:dyDescent="0.25"/>
    <row r="7441" s="12" customFormat="1" x14ac:dyDescent="0.25"/>
    <row r="7442" s="12" customFormat="1" x14ac:dyDescent="0.25"/>
    <row r="7443" s="12" customFormat="1" x14ac:dyDescent="0.25"/>
    <row r="7444" s="12" customFormat="1" x14ac:dyDescent="0.25"/>
    <row r="7445" s="12" customFormat="1" x14ac:dyDescent="0.25"/>
    <row r="7446" s="12" customFormat="1" x14ac:dyDescent="0.25"/>
    <row r="7447" s="12" customFormat="1" x14ac:dyDescent="0.25"/>
    <row r="7448" s="12" customFormat="1" x14ac:dyDescent="0.25"/>
    <row r="7449" s="12" customFormat="1" x14ac:dyDescent="0.25"/>
    <row r="7450" s="12" customFormat="1" x14ac:dyDescent="0.25"/>
    <row r="7451" s="12" customFormat="1" x14ac:dyDescent="0.25"/>
    <row r="7452" s="12" customFormat="1" x14ac:dyDescent="0.25"/>
    <row r="7453" s="12" customFormat="1" x14ac:dyDescent="0.25"/>
    <row r="7454" s="12" customFormat="1" x14ac:dyDescent="0.25"/>
    <row r="7455" s="12" customFormat="1" x14ac:dyDescent="0.25"/>
    <row r="7456" s="12" customFormat="1" x14ac:dyDescent="0.25"/>
    <row r="7457" s="12" customFormat="1" x14ac:dyDescent="0.25"/>
    <row r="7458" s="12" customFormat="1" x14ac:dyDescent="0.25"/>
    <row r="7459" s="12" customFormat="1" x14ac:dyDescent="0.25"/>
    <row r="7460" s="12" customFormat="1" x14ac:dyDescent="0.25"/>
    <row r="7461" s="12" customFormat="1" x14ac:dyDescent="0.25"/>
    <row r="7462" s="12" customFormat="1" x14ac:dyDescent="0.25"/>
    <row r="7463" s="12" customFormat="1" x14ac:dyDescent="0.25"/>
    <row r="7464" s="12" customFormat="1" x14ac:dyDescent="0.25"/>
    <row r="7465" s="12" customFormat="1" x14ac:dyDescent="0.25"/>
    <row r="7466" s="12" customFormat="1" x14ac:dyDescent="0.25"/>
    <row r="7467" s="12" customFormat="1" x14ac:dyDescent="0.25"/>
    <row r="7468" s="12" customFormat="1" x14ac:dyDescent="0.25"/>
    <row r="7469" s="12" customFormat="1" x14ac:dyDescent="0.25"/>
    <row r="7470" s="12" customFormat="1" x14ac:dyDescent="0.25"/>
    <row r="7471" s="12" customFormat="1" x14ac:dyDescent="0.25"/>
    <row r="7472" s="12" customFormat="1" x14ac:dyDescent="0.25"/>
    <row r="7473" s="12" customFormat="1" x14ac:dyDescent="0.25"/>
    <row r="7474" s="12" customFormat="1" x14ac:dyDescent="0.25"/>
    <row r="7475" s="12" customFormat="1" x14ac:dyDescent="0.25"/>
    <row r="7476" s="12" customFormat="1" x14ac:dyDescent="0.25"/>
    <row r="7477" s="12" customFormat="1" x14ac:dyDescent="0.25"/>
    <row r="7478" s="12" customFormat="1" x14ac:dyDescent="0.25"/>
    <row r="7479" s="12" customFormat="1" x14ac:dyDescent="0.25"/>
    <row r="7480" s="12" customFormat="1" x14ac:dyDescent="0.25"/>
    <row r="7481" s="12" customFormat="1" x14ac:dyDescent="0.25"/>
    <row r="7482" s="12" customFormat="1" x14ac:dyDescent="0.25"/>
    <row r="7483" s="12" customFormat="1" x14ac:dyDescent="0.25"/>
    <row r="7484" s="12" customFormat="1" x14ac:dyDescent="0.25"/>
    <row r="7485" s="12" customFormat="1" x14ac:dyDescent="0.25"/>
    <row r="7486" s="12" customFormat="1" x14ac:dyDescent="0.25"/>
    <row r="7487" s="12" customFormat="1" x14ac:dyDescent="0.25"/>
    <row r="7488" s="12" customFormat="1" x14ac:dyDescent="0.25"/>
    <row r="7489" s="12" customFormat="1" x14ac:dyDescent="0.25"/>
    <row r="7490" s="12" customFormat="1" x14ac:dyDescent="0.25"/>
    <row r="7491" s="12" customFormat="1" x14ac:dyDescent="0.25"/>
    <row r="7492" s="12" customFormat="1" x14ac:dyDescent="0.25"/>
    <row r="7493" s="12" customFormat="1" x14ac:dyDescent="0.25"/>
    <row r="7494" s="12" customFormat="1" x14ac:dyDescent="0.25"/>
    <row r="7495" s="12" customFormat="1" x14ac:dyDescent="0.25"/>
    <row r="7496" s="12" customFormat="1" x14ac:dyDescent="0.25"/>
    <row r="7497" s="12" customFormat="1" x14ac:dyDescent="0.25"/>
    <row r="7498" s="12" customFormat="1" x14ac:dyDescent="0.25"/>
    <row r="7499" s="12" customFormat="1" x14ac:dyDescent="0.25"/>
    <row r="7500" s="12" customFormat="1" x14ac:dyDescent="0.25"/>
    <row r="7501" s="12" customFormat="1" x14ac:dyDescent="0.25"/>
    <row r="7502" s="12" customFormat="1" x14ac:dyDescent="0.25"/>
    <row r="7503" s="12" customFormat="1" x14ac:dyDescent="0.25"/>
    <row r="7504" s="12" customFormat="1" x14ac:dyDescent="0.25"/>
    <row r="7505" s="12" customFormat="1" x14ac:dyDescent="0.25"/>
    <row r="7506" s="12" customFormat="1" x14ac:dyDescent="0.25"/>
    <row r="7507" s="12" customFormat="1" x14ac:dyDescent="0.25"/>
    <row r="7508" s="12" customFormat="1" x14ac:dyDescent="0.25"/>
    <row r="7509" s="12" customFormat="1" x14ac:dyDescent="0.25"/>
    <row r="7510" s="12" customFormat="1" x14ac:dyDescent="0.25"/>
    <row r="7511" s="12" customFormat="1" x14ac:dyDescent="0.25"/>
    <row r="7512" s="12" customFormat="1" x14ac:dyDescent="0.25"/>
    <row r="7513" s="12" customFormat="1" x14ac:dyDescent="0.25"/>
    <row r="7514" s="12" customFormat="1" x14ac:dyDescent="0.25"/>
    <row r="7515" s="12" customFormat="1" x14ac:dyDescent="0.25"/>
    <row r="7516" s="12" customFormat="1" x14ac:dyDescent="0.25"/>
    <row r="7517" s="12" customFormat="1" x14ac:dyDescent="0.25"/>
    <row r="7518" s="12" customFormat="1" x14ac:dyDescent="0.25"/>
    <row r="7519" s="12" customFormat="1" x14ac:dyDescent="0.25"/>
    <row r="7520" s="12" customFormat="1" x14ac:dyDescent="0.25"/>
    <row r="7521" s="12" customFormat="1" x14ac:dyDescent="0.25"/>
    <row r="7522" s="12" customFormat="1" x14ac:dyDescent="0.25"/>
    <row r="7523" s="12" customFormat="1" x14ac:dyDescent="0.25"/>
    <row r="7524" s="12" customFormat="1" x14ac:dyDescent="0.25"/>
    <row r="7525" s="12" customFormat="1" x14ac:dyDescent="0.25"/>
    <row r="7526" s="12" customFormat="1" x14ac:dyDescent="0.25"/>
    <row r="7527" s="12" customFormat="1" x14ac:dyDescent="0.25"/>
    <row r="7528" s="12" customFormat="1" x14ac:dyDescent="0.25"/>
    <row r="7529" s="12" customFormat="1" x14ac:dyDescent="0.25"/>
    <row r="7530" s="12" customFormat="1" x14ac:dyDescent="0.25"/>
    <row r="7531" s="12" customFormat="1" x14ac:dyDescent="0.25"/>
    <row r="7532" s="12" customFormat="1" x14ac:dyDescent="0.25"/>
    <row r="7533" s="12" customFormat="1" x14ac:dyDescent="0.25"/>
    <row r="7534" s="12" customFormat="1" x14ac:dyDescent="0.25"/>
    <row r="7535" s="12" customFormat="1" x14ac:dyDescent="0.25"/>
    <row r="7536" s="12" customFormat="1" x14ac:dyDescent="0.25"/>
    <row r="7537" s="12" customFormat="1" x14ac:dyDescent="0.25"/>
    <row r="7538" s="12" customFormat="1" x14ac:dyDescent="0.25"/>
    <row r="7539" s="12" customFormat="1" x14ac:dyDescent="0.25"/>
    <row r="7540" s="12" customFormat="1" x14ac:dyDescent="0.25"/>
    <row r="7541" s="12" customFormat="1" x14ac:dyDescent="0.25"/>
    <row r="7542" s="12" customFormat="1" x14ac:dyDescent="0.25"/>
    <row r="7543" s="12" customFormat="1" x14ac:dyDescent="0.25"/>
    <row r="7544" s="12" customFormat="1" x14ac:dyDescent="0.25"/>
    <row r="7545" s="12" customFormat="1" x14ac:dyDescent="0.25"/>
    <row r="7546" s="12" customFormat="1" x14ac:dyDescent="0.25"/>
    <row r="7547" s="12" customFormat="1" x14ac:dyDescent="0.25"/>
    <row r="7548" s="12" customFormat="1" x14ac:dyDescent="0.25"/>
    <row r="7549" s="12" customFormat="1" x14ac:dyDescent="0.25"/>
    <row r="7550" s="12" customFormat="1" x14ac:dyDescent="0.25"/>
    <row r="7551" s="12" customFormat="1" x14ac:dyDescent="0.25"/>
    <row r="7552" s="12" customFormat="1" x14ac:dyDescent="0.25"/>
    <row r="7553" s="12" customFormat="1" x14ac:dyDescent="0.25"/>
    <row r="7554" s="12" customFormat="1" x14ac:dyDescent="0.25"/>
    <row r="7555" s="12" customFormat="1" x14ac:dyDescent="0.25"/>
    <row r="7556" s="12" customFormat="1" x14ac:dyDescent="0.25"/>
    <row r="7557" s="12" customFormat="1" x14ac:dyDescent="0.25"/>
    <row r="7558" s="12" customFormat="1" x14ac:dyDescent="0.25"/>
    <row r="7559" s="12" customFormat="1" x14ac:dyDescent="0.25"/>
    <row r="7560" s="12" customFormat="1" x14ac:dyDescent="0.25"/>
    <row r="7561" s="12" customFormat="1" x14ac:dyDescent="0.25"/>
    <row r="7562" s="12" customFormat="1" x14ac:dyDescent="0.25"/>
    <row r="7563" s="12" customFormat="1" x14ac:dyDescent="0.25"/>
    <row r="7564" s="12" customFormat="1" x14ac:dyDescent="0.25"/>
    <row r="7565" s="12" customFormat="1" x14ac:dyDescent="0.25"/>
    <row r="7566" s="12" customFormat="1" x14ac:dyDescent="0.25"/>
    <row r="7567" s="12" customFormat="1" x14ac:dyDescent="0.25"/>
    <row r="7568" s="12" customFormat="1" x14ac:dyDescent="0.25"/>
    <row r="7569" s="12" customFormat="1" x14ac:dyDescent="0.25"/>
    <row r="7570" s="12" customFormat="1" x14ac:dyDescent="0.25"/>
    <row r="7571" s="12" customFormat="1" x14ac:dyDescent="0.25"/>
    <row r="7572" s="12" customFormat="1" x14ac:dyDescent="0.25"/>
    <row r="7573" s="12" customFormat="1" x14ac:dyDescent="0.25"/>
    <row r="7574" s="12" customFormat="1" x14ac:dyDescent="0.25"/>
    <row r="7575" s="12" customFormat="1" x14ac:dyDescent="0.25"/>
    <row r="7576" s="12" customFormat="1" x14ac:dyDescent="0.25"/>
    <row r="7577" s="12" customFormat="1" x14ac:dyDescent="0.25"/>
    <row r="7578" s="12" customFormat="1" x14ac:dyDescent="0.25"/>
    <row r="7579" s="12" customFormat="1" x14ac:dyDescent="0.25"/>
    <row r="7580" s="12" customFormat="1" x14ac:dyDescent="0.25"/>
    <row r="7581" s="12" customFormat="1" x14ac:dyDescent="0.25"/>
    <row r="7582" s="12" customFormat="1" x14ac:dyDescent="0.25"/>
    <row r="7583" s="12" customFormat="1" x14ac:dyDescent="0.25"/>
    <row r="7584" s="12" customFormat="1" x14ac:dyDescent="0.25"/>
    <row r="7585" s="12" customFormat="1" x14ac:dyDescent="0.25"/>
    <row r="7586" s="12" customFormat="1" x14ac:dyDescent="0.25"/>
    <row r="7587" s="12" customFormat="1" x14ac:dyDescent="0.25"/>
    <row r="7588" s="12" customFormat="1" x14ac:dyDescent="0.25"/>
    <row r="7589" s="12" customFormat="1" x14ac:dyDescent="0.25"/>
    <row r="7590" s="12" customFormat="1" x14ac:dyDescent="0.25"/>
    <row r="7591" s="12" customFormat="1" x14ac:dyDescent="0.25"/>
    <row r="7592" s="12" customFormat="1" x14ac:dyDescent="0.25"/>
    <row r="7593" s="12" customFormat="1" x14ac:dyDescent="0.25"/>
    <row r="7594" s="12" customFormat="1" x14ac:dyDescent="0.25"/>
    <row r="7595" s="12" customFormat="1" x14ac:dyDescent="0.25"/>
    <row r="7596" s="12" customFormat="1" x14ac:dyDescent="0.25"/>
    <row r="7597" s="12" customFormat="1" x14ac:dyDescent="0.25"/>
    <row r="7598" s="12" customFormat="1" x14ac:dyDescent="0.25"/>
    <row r="7599" s="12" customFormat="1" x14ac:dyDescent="0.25"/>
    <row r="7600" s="12" customFormat="1" x14ac:dyDescent="0.25"/>
    <row r="7601" s="12" customFormat="1" x14ac:dyDescent="0.25"/>
    <row r="7602" s="12" customFormat="1" x14ac:dyDescent="0.25"/>
    <row r="7603" s="12" customFormat="1" x14ac:dyDescent="0.25"/>
    <row r="7604" s="12" customFormat="1" x14ac:dyDescent="0.25"/>
    <row r="7605" s="12" customFormat="1" x14ac:dyDescent="0.25"/>
    <row r="7606" s="12" customFormat="1" x14ac:dyDescent="0.25"/>
    <row r="7607" s="12" customFormat="1" x14ac:dyDescent="0.25"/>
    <row r="7608" s="12" customFormat="1" x14ac:dyDescent="0.25"/>
    <row r="7609" s="12" customFormat="1" x14ac:dyDescent="0.25"/>
    <row r="7610" s="12" customFormat="1" x14ac:dyDescent="0.25"/>
    <row r="7611" s="12" customFormat="1" x14ac:dyDescent="0.25"/>
    <row r="7612" s="12" customFormat="1" x14ac:dyDescent="0.25"/>
    <row r="7613" s="12" customFormat="1" x14ac:dyDescent="0.25"/>
    <row r="7614" s="12" customFormat="1" x14ac:dyDescent="0.25"/>
    <row r="7615" s="12" customFormat="1" x14ac:dyDescent="0.25"/>
    <row r="7616" s="12" customFormat="1" x14ac:dyDescent="0.25"/>
    <row r="7617" s="12" customFormat="1" x14ac:dyDescent="0.25"/>
    <row r="7618" s="12" customFormat="1" x14ac:dyDescent="0.25"/>
    <row r="7619" s="12" customFormat="1" x14ac:dyDescent="0.25"/>
    <row r="7620" s="12" customFormat="1" x14ac:dyDescent="0.25"/>
    <row r="7621" s="12" customFormat="1" x14ac:dyDescent="0.25"/>
    <row r="7622" s="12" customFormat="1" x14ac:dyDescent="0.25"/>
    <row r="7623" s="12" customFormat="1" x14ac:dyDescent="0.25"/>
    <row r="7624" s="12" customFormat="1" x14ac:dyDescent="0.25"/>
    <row r="7625" s="12" customFormat="1" x14ac:dyDescent="0.25"/>
    <row r="7626" s="12" customFormat="1" x14ac:dyDescent="0.25"/>
    <row r="7627" s="12" customFormat="1" x14ac:dyDescent="0.25"/>
    <row r="7628" s="12" customFormat="1" x14ac:dyDescent="0.25"/>
    <row r="7629" s="12" customFormat="1" x14ac:dyDescent="0.25"/>
    <row r="7630" s="12" customFormat="1" x14ac:dyDescent="0.25"/>
    <row r="7631" s="12" customFormat="1" x14ac:dyDescent="0.25"/>
    <row r="7632" s="12" customFormat="1" x14ac:dyDescent="0.25"/>
    <row r="7633" s="12" customFormat="1" x14ac:dyDescent="0.25"/>
    <row r="7634" s="12" customFormat="1" x14ac:dyDescent="0.25"/>
    <row r="7635" s="12" customFormat="1" x14ac:dyDescent="0.25"/>
    <row r="7636" s="12" customFormat="1" x14ac:dyDescent="0.25"/>
    <row r="7637" s="12" customFormat="1" x14ac:dyDescent="0.25"/>
    <row r="7638" s="12" customFormat="1" x14ac:dyDescent="0.25"/>
    <row r="7639" s="12" customFormat="1" x14ac:dyDescent="0.25"/>
    <row r="7640" s="12" customFormat="1" x14ac:dyDescent="0.25"/>
    <row r="7641" s="12" customFormat="1" x14ac:dyDescent="0.25"/>
    <row r="7642" s="12" customFormat="1" x14ac:dyDescent="0.25"/>
    <row r="7643" s="12" customFormat="1" x14ac:dyDescent="0.25"/>
    <row r="7644" s="12" customFormat="1" x14ac:dyDescent="0.25"/>
    <row r="7645" s="12" customFormat="1" x14ac:dyDescent="0.25"/>
    <row r="7646" s="12" customFormat="1" x14ac:dyDescent="0.25"/>
    <row r="7647" s="12" customFormat="1" x14ac:dyDescent="0.25"/>
    <row r="7648" s="12" customFormat="1" x14ac:dyDescent="0.25"/>
    <row r="7649" s="12" customFormat="1" x14ac:dyDescent="0.25"/>
    <row r="7650" s="12" customFormat="1" x14ac:dyDescent="0.25"/>
    <row r="7651" s="12" customFormat="1" x14ac:dyDescent="0.25"/>
    <row r="7652" s="12" customFormat="1" x14ac:dyDescent="0.25"/>
    <row r="7653" s="12" customFormat="1" x14ac:dyDescent="0.25"/>
    <row r="7654" s="12" customFormat="1" x14ac:dyDescent="0.25"/>
    <row r="7655" s="12" customFormat="1" x14ac:dyDescent="0.25"/>
    <row r="7656" s="12" customFormat="1" x14ac:dyDescent="0.25"/>
    <row r="7657" s="12" customFormat="1" x14ac:dyDescent="0.25"/>
    <row r="7658" s="12" customFormat="1" x14ac:dyDescent="0.25"/>
    <row r="7659" s="12" customFormat="1" x14ac:dyDescent="0.25"/>
    <row r="7660" s="12" customFormat="1" x14ac:dyDescent="0.25"/>
    <row r="7661" s="12" customFormat="1" x14ac:dyDescent="0.25"/>
    <row r="7662" s="12" customFormat="1" x14ac:dyDescent="0.25"/>
    <row r="7663" s="12" customFormat="1" x14ac:dyDescent="0.25"/>
    <row r="7664" s="12" customFormat="1" x14ac:dyDescent="0.25"/>
    <row r="7665" s="12" customFormat="1" x14ac:dyDescent="0.25"/>
    <row r="7666" s="12" customFormat="1" x14ac:dyDescent="0.25"/>
    <row r="7667" s="12" customFormat="1" x14ac:dyDescent="0.25"/>
    <row r="7668" s="12" customFormat="1" x14ac:dyDescent="0.25"/>
    <row r="7669" s="12" customFormat="1" x14ac:dyDescent="0.25"/>
    <row r="7670" s="12" customFormat="1" x14ac:dyDescent="0.25"/>
    <row r="7671" s="12" customFormat="1" x14ac:dyDescent="0.25"/>
    <row r="7672" s="12" customFormat="1" x14ac:dyDescent="0.25"/>
    <row r="7673" s="12" customFormat="1" x14ac:dyDescent="0.25"/>
    <row r="7674" s="12" customFormat="1" x14ac:dyDescent="0.25"/>
    <row r="7675" s="12" customFormat="1" x14ac:dyDescent="0.25"/>
    <row r="7676" s="12" customFormat="1" x14ac:dyDescent="0.25"/>
    <row r="7677" s="12" customFormat="1" x14ac:dyDescent="0.25"/>
    <row r="7678" s="12" customFormat="1" x14ac:dyDescent="0.25"/>
    <row r="7679" s="12" customFormat="1" x14ac:dyDescent="0.25"/>
    <row r="7680" s="12" customFormat="1" x14ac:dyDescent="0.25"/>
    <row r="7681" s="12" customFormat="1" x14ac:dyDescent="0.25"/>
    <row r="7682" s="12" customFormat="1" x14ac:dyDescent="0.25"/>
    <row r="7683" s="12" customFormat="1" x14ac:dyDescent="0.25"/>
    <row r="7684" s="12" customFormat="1" x14ac:dyDescent="0.25"/>
    <row r="7685" s="12" customFormat="1" x14ac:dyDescent="0.25"/>
    <row r="7686" s="12" customFormat="1" x14ac:dyDescent="0.25"/>
    <row r="7687" s="12" customFormat="1" x14ac:dyDescent="0.25"/>
    <row r="7688" s="12" customFormat="1" x14ac:dyDescent="0.25"/>
    <row r="7689" s="12" customFormat="1" x14ac:dyDescent="0.25"/>
    <row r="7690" s="12" customFormat="1" x14ac:dyDescent="0.25"/>
    <row r="7691" s="12" customFormat="1" x14ac:dyDescent="0.25"/>
    <row r="7692" s="12" customFormat="1" x14ac:dyDescent="0.25"/>
    <row r="7693" s="12" customFormat="1" x14ac:dyDescent="0.25"/>
    <row r="7694" s="12" customFormat="1" x14ac:dyDescent="0.25"/>
    <row r="7695" s="12" customFormat="1" x14ac:dyDescent="0.25"/>
    <row r="7696" s="12" customFormat="1" x14ac:dyDescent="0.25"/>
    <row r="7697" s="12" customFormat="1" x14ac:dyDescent="0.25"/>
    <row r="7698" s="12" customFormat="1" x14ac:dyDescent="0.25"/>
    <row r="7699" s="12" customFormat="1" x14ac:dyDescent="0.25"/>
    <row r="7700" s="12" customFormat="1" x14ac:dyDescent="0.25"/>
    <row r="7701" s="12" customFormat="1" x14ac:dyDescent="0.25"/>
    <row r="7702" s="12" customFormat="1" x14ac:dyDescent="0.25"/>
    <row r="7703" s="12" customFormat="1" x14ac:dyDescent="0.25"/>
    <row r="7704" s="12" customFormat="1" x14ac:dyDescent="0.25"/>
    <row r="7705" s="12" customFormat="1" x14ac:dyDescent="0.25"/>
    <row r="7706" s="12" customFormat="1" x14ac:dyDescent="0.25"/>
    <row r="7707" s="12" customFormat="1" x14ac:dyDescent="0.25"/>
    <row r="7708" s="12" customFormat="1" x14ac:dyDescent="0.25"/>
    <row r="7709" s="12" customFormat="1" x14ac:dyDescent="0.25"/>
    <row r="7710" s="12" customFormat="1" x14ac:dyDescent="0.25"/>
    <row r="7711" s="12" customFormat="1" x14ac:dyDescent="0.25"/>
    <row r="7712" s="12" customFormat="1" x14ac:dyDescent="0.25"/>
    <row r="7713" s="12" customFormat="1" x14ac:dyDescent="0.25"/>
    <row r="7714" s="12" customFormat="1" x14ac:dyDescent="0.25"/>
    <row r="7715" s="12" customFormat="1" x14ac:dyDescent="0.25"/>
    <row r="7716" s="12" customFormat="1" x14ac:dyDescent="0.25"/>
    <row r="7717" s="12" customFormat="1" x14ac:dyDescent="0.25"/>
    <row r="7718" s="12" customFormat="1" x14ac:dyDescent="0.25"/>
    <row r="7719" s="12" customFormat="1" x14ac:dyDescent="0.25"/>
    <row r="7720" s="12" customFormat="1" x14ac:dyDescent="0.25"/>
    <row r="7721" s="12" customFormat="1" x14ac:dyDescent="0.25"/>
    <row r="7722" s="12" customFormat="1" x14ac:dyDescent="0.25"/>
    <row r="7723" s="12" customFormat="1" x14ac:dyDescent="0.25"/>
    <row r="7724" s="12" customFormat="1" x14ac:dyDescent="0.25"/>
    <row r="7725" s="12" customFormat="1" x14ac:dyDescent="0.25"/>
    <row r="7726" s="12" customFormat="1" x14ac:dyDescent="0.25"/>
    <row r="7727" s="12" customFormat="1" x14ac:dyDescent="0.25"/>
    <row r="7728" s="12" customFormat="1" x14ac:dyDescent="0.25"/>
    <row r="7729" s="12" customFormat="1" x14ac:dyDescent="0.25"/>
    <row r="7730" s="12" customFormat="1" x14ac:dyDescent="0.25"/>
    <row r="7731" s="12" customFormat="1" x14ac:dyDescent="0.25"/>
    <row r="7732" s="12" customFormat="1" x14ac:dyDescent="0.25"/>
    <row r="7733" s="12" customFormat="1" x14ac:dyDescent="0.25"/>
    <row r="7734" s="12" customFormat="1" x14ac:dyDescent="0.25"/>
    <row r="7735" s="12" customFormat="1" x14ac:dyDescent="0.25"/>
    <row r="7736" s="12" customFormat="1" x14ac:dyDescent="0.25"/>
    <row r="7737" s="12" customFormat="1" x14ac:dyDescent="0.25"/>
    <row r="7738" s="12" customFormat="1" x14ac:dyDescent="0.25"/>
    <row r="7739" s="12" customFormat="1" x14ac:dyDescent="0.25"/>
    <row r="7740" s="12" customFormat="1" x14ac:dyDescent="0.25"/>
    <row r="7741" s="12" customFormat="1" x14ac:dyDescent="0.25"/>
    <row r="7742" s="12" customFormat="1" x14ac:dyDescent="0.25"/>
    <row r="7743" s="12" customFormat="1" x14ac:dyDescent="0.25"/>
    <row r="7744" s="12" customFormat="1" x14ac:dyDescent="0.25"/>
    <row r="7745" s="12" customFormat="1" x14ac:dyDescent="0.25"/>
    <row r="7746" s="12" customFormat="1" x14ac:dyDescent="0.25"/>
    <row r="7747" s="12" customFormat="1" x14ac:dyDescent="0.25"/>
    <row r="7748" s="12" customFormat="1" x14ac:dyDescent="0.25"/>
    <row r="7749" s="12" customFormat="1" x14ac:dyDescent="0.25"/>
    <row r="7750" s="12" customFormat="1" x14ac:dyDescent="0.25"/>
    <row r="7751" s="12" customFormat="1" x14ac:dyDescent="0.25"/>
    <row r="7752" s="12" customFormat="1" x14ac:dyDescent="0.25"/>
    <row r="7753" s="12" customFormat="1" x14ac:dyDescent="0.25"/>
    <row r="7754" s="12" customFormat="1" x14ac:dyDescent="0.25"/>
    <row r="7755" s="12" customFormat="1" x14ac:dyDescent="0.25"/>
    <row r="7756" s="12" customFormat="1" x14ac:dyDescent="0.25"/>
    <row r="7757" s="12" customFormat="1" x14ac:dyDescent="0.25"/>
    <row r="7758" s="12" customFormat="1" x14ac:dyDescent="0.25"/>
    <row r="7759" s="12" customFormat="1" x14ac:dyDescent="0.25"/>
    <row r="7760" s="12" customFormat="1" x14ac:dyDescent="0.25"/>
    <row r="7761" s="12" customFormat="1" x14ac:dyDescent="0.25"/>
    <row r="7762" s="12" customFormat="1" x14ac:dyDescent="0.25"/>
    <row r="7763" s="12" customFormat="1" x14ac:dyDescent="0.25"/>
    <row r="7764" s="12" customFormat="1" x14ac:dyDescent="0.25"/>
    <row r="7765" s="12" customFormat="1" x14ac:dyDescent="0.25"/>
    <row r="7766" s="12" customFormat="1" x14ac:dyDescent="0.25"/>
    <row r="7767" s="12" customFormat="1" x14ac:dyDescent="0.25"/>
    <row r="7768" s="12" customFormat="1" x14ac:dyDescent="0.25"/>
    <row r="7769" s="12" customFormat="1" x14ac:dyDescent="0.25"/>
    <row r="7770" s="12" customFormat="1" x14ac:dyDescent="0.25"/>
    <row r="7771" s="12" customFormat="1" x14ac:dyDescent="0.25"/>
    <row r="7772" s="12" customFormat="1" x14ac:dyDescent="0.25"/>
    <row r="7773" s="12" customFormat="1" x14ac:dyDescent="0.25"/>
    <row r="7774" s="12" customFormat="1" x14ac:dyDescent="0.25"/>
    <row r="7775" s="12" customFormat="1" x14ac:dyDescent="0.25"/>
    <row r="7776" s="12" customFormat="1" x14ac:dyDescent="0.25"/>
    <row r="7777" s="12" customFormat="1" x14ac:dyDescent="0.25"/>
    <row r="7778" s="12" customFormat="1" x14ac:dyDescent="0.25"/>
    <row r="7779" s="12" customFormat="1" x14ac:dyDescent="0.25"/>
    <row r="7780" s="12" customFormat="1" x14ac:dyDescent="0.25"/>
    <row r="7781" s="12" customFormat="1" x14ac:dyDescent="0.25"/>
    <row r="7782" s="12" customFormat="1" x14ac:dyDescent="0.25"/>
    <row r="7783" s="12" customFormat="1" x14ac:dyDescent="0.25"/>
    <row r="7784" s="12" customFormat="1" x14ac:dyDescent="0.25"/>
    <row r="7785" s="12" customFormat="1" x14ac:dyDescent="0.25"/>
    <row r="7786" s="12" customFormat="1" x14ac:dyDescent="0.25"/>
    <row r="7787" s="12" customFormat="1" x14ac:dyDescent="0.25"/>
    <row r="7788" s="12" customFormat="1" x14ac:dyDescent="0.25"/>
    <row r="7789" s="12" customFormat="1" x14ac:dyDescent="0.25"/>
    <row r="7790" s="12" customFormat="1" x14ac:dyDescent="0.25"/>
    <row r="7791" s="12" customFormat="1" x14ac:dyDescent="0.25"/>
    <row r="7792" s="12" customFormat="1" x14ac:dyDescent="0.25"/>
    <row r="7793" s="12" customFormat="1" x14ac:dyDescent="0.25"/>
    <row r="7794" s="12" customFormat="1" x14ac:dyDescent="0.25"/>
    <row r="7795" s="12" customFormat="1" x14ac:dyDescent="0.25"/>
    <row r="7796" s="12" customFormat="1" x14ac:dyDescent="0.25"/>
    <row r="7797" s="12" customFormat="1" x14ac:dyDescent="0.25"/>
    <row r="7798" s="12" customFormat="1" x14ac:dyDescent="0.25"/>
    <row r="7799" s="12" customFormat="1" x14ac:dyDescent="0.25"/>
    <row r="7800" s="12" customFormat="1" x14ac:dyDescent="0.25"/>
    <row r="7801" s="12" customFormat="1" x14ac:dyDescent="0.25"/>
    <row r="7802" s="12" customFormat="1" x14ac:dyDescent="0.25"/>
    <row r="7803" s="12" customFormat="1" x14ac:dyDescent="0.25"/>
    <row r="7804" s="12" customFormat="1" x14ac:dyDescent="0.25"/>
    <row r="7805" s="12" customFormat="1" x14ac:dyDescent="0.25"/>
    <row r="7806" s="12" customFormat="1" x14ac:dyDescent="0.25"/>
    <row r="7807" s="12" customFormat="1" x14ac:dyDescent="0.25"/>
    <row r="7808" s="12" customFormat="1" x14ac:dyDescent="0.25"/>
    <row r="7809" s="12" customFormat="1" x14ac:dyDescent="0.25"/>
    <row r="7810" s="12" customFormat="1" x14ac:dyDescent="0.25"/>
    <row r="7811" s="12" customFormat="1" x14ac:dyDescent="0.25"/>
    <row r="7812" s="12" customFormat="1" x14ac:dyDescent="0.25"/>
    <row r="7813" s="12" customFormat="1" x14ac:dyDescent="0.25"/>
    <row r="7814" s="12" customFormat="1" x14ac:dyDescent="0.25"/>
    <row r="7815" s="12" customFormat="1" x14ac:dyDescent="0.25"/>
    <row r="7816" s="12" customFormat="1" x14ac:dyDescent="0.25"/>
    <row r="7817" s="12" customFormat="1" x14ac:dyDescent="0.25"/>
    <row r="7818" s="12" customFormat="1" x14ac:dyDescent="0.25"/>
    <row r="7819" s="12" customFormat="1" x14ac:dyDescent="0.25"/>
    <row r="7820" s="12" customFormat="1" x14ac:dyDescent="0.25"/>
    <row r="7821" s="12" customFormat="1" x14ac:dyDescent="0.25"/>
    <row r="7822" s="12" customFormat="1" x14ac:dyDescent="0.25"/>
    <row r="7823" s="12" customFormat="1" x14ac:dyDescent="0.25"/>
    <row r="7824" s="12" customFormat="1" x14ac:dyDescent="0.25"/>
    <row r="7825" s="12" customFormat="1" x14ac:dyDescent="0.25"/>
    <row r="7826" s="12" customFormat="1" x14ac:dyDescent="0.25"/>
    <row r="7827" s="12" customFormat="1" x14ac:dyDescent="0.25"/>
    <row r="7828" s="12" customFormat="1" x14ac:dyDescent="0.25"/>
    <row r="7829" s="12" customFormat="1" x14ac:dyDescent="0.25"/>
    <row r="7830" s="12" customFormat="1" x14ac:dyDescent="0.25"/>
    <row r="7831" s="12" customFormat="1" x14ac:dyDescent="0.25"/>
    <row r="7832" s="12" customFormat="1" x14ac:dyDescent="0.25"/>
    <row r="7833" s="12" customFormat="1" x14ac:dyDescent="0.25"/>
    <row r="7834" s="12" customFormat="1" x14ac:dyDescent="0.25"/>
    <row r="7835" s="12" customFormat="1" x14ac:dyDescent="0.25"/>
    <row r="7836" s="12" customFormat="1" x14ac:dyDescent="0.25"/>
    <row r="7837" s="12" customFormat="1" x14ac:dyDescent="0.25"/>
    <row r="7838" s="12" customFormat="1" x14ac:dyDescent="0.25"/>
    <row r="7839" s="12" customFormat="1" x14ac:dyDescent="0.25"/>
    <row r="7840" s="12" customFormat="1" x14ac:dyDescent="0.25"/>
    <row r="7841" s="12" customFormat="1" x14ac:dyDescent="0.25"/>
    <row r="7842" s="12" customFormat="1" x14ac:dyDescent="0.25"/>
    <row r="7843" s="12" customFormat="1" x14ac:dyDescent="0.25"/>
    <row r="7844" s="12" customFormat="1" x14ac:dyDescent="0.25"/>
    <row r="7845" s="12" customFormat="1" x14ac:dyDescent="0.25"/>
    <row r="7846" s="12" customFormat="1" x14ac:dyDescent="0.25"/>
    <row r="7847" s="12" customFormat="1" x14ac:dyDescent="0.25"/>
    <row r="7848" s="12" customFormat="1" x14ac:dyDescent="0.25"/>
    <row r="7849" s="12" customFormat="1" x14ac:dyDescent="0.25"/>
    <row r="7850" s="12" customFormat="1" x14ac:dyDescent="0.25"/>
    <row r="7851" s="12" customFormat="1" x14ac:dyDescent="0.25"/>
    <row r="7852" s="12" customFormat="1" x14ac:dyDescent="0.25"/>
    <row r="7853" s="12" customFormat="1" x14ac:dyDescent="0.25"/>
    <row r="7854" s="12" customFormat="1" x14ac:dyDescent="0.25"/>
    <row r="7855" s="12" customFormat="1" x14ac:dyDescent="0.25"/>
    <row r="7856" s="12" customFormat="1" x14ac:dyDescent="0.25"/>
    <row r="7857" s="12" customFormat="1" x14ac:dyDescent="0.25"/>
    <row r="7858" s="12" customFormat="1" x14ac:dyDescent="0.25"/>
    <row r="7859" s="12" customFormat="1" x14ac:dyDescent="0.25"/>
    <row r="7860" s="12" customFormat="1" x14ac:dyDescent="0.25"/>
    <row r="7861" s="12" customFormat="1" x14ac:dyDescent="0.25"/>
    <row r="7862" s="12" customFormat="1" x14ac:dyDescent="0.25"/>
    <row r="7863" s="12" customFormat="1" x14ac:dyDescent="0.25"/>
    <row r="7864" s="12" customFormat="1" x14ac:dyDescent="0.25"/>
    <row r="7865" s="12" customFormat="1" x14ac:dyDescent="0.25"/>
    <row r="7866" s="12" customFormat="1" x14ac:dyDescent="0.25"/>
    <row r="7867" s="12" customFormat="1" x14ac:dyDescent="0.25"/>
    <row r="7868" s="12" customFormat="1" x14ac:dyDescent="0.25"/>
    <row r="7869" s="12" customFormat="1" x14ac:dyDescent="0.25"/>
    <row r="7870" s="12" customFormat="1" x14ac:dyDescent="0.25"/>
    <row r="7871" s="12" customFormat="1" x14ac:dyDescent="0.25"/>
    <row r="7872" s="12" customFormat="1" x14ac:dyDescent="0.25"/>
    <row r="7873" s="12" customFormat="1" x14ac:dyDescent="0.25"/>
    <row r="7874" s="12" customFormat="1" x14ac:dyDescent="0.25"/>
    <row r="7875" s="12" customFormat="1" x14ac:dyDescent="0.25"/>
    <row r="7876" s="12" customFormat="1" x14ac:dyDescent="0.25"/>
    <row r="7877" s="12" customFormat="1" x14ac:dyDescent="0.25"/>
    <row r="7878" s="12" customFormat="1" x14ac:dyDescent="0.25"/>
    <row r="7879" s="12" customFormat="1" x14ac:dyDescent="0.25"/>
    <row r="7880" s="12" customFormat="1" x14ac:dyDescent="0.25"/>
    <row r="7881" s="12" customFormat="1" x14ac:dyDescent="0.25"/>
    <row r="7882" s="12" customFormat="1" x14ac:dyDescent="0.25"/>
    <row r="7883" s="12" customFormat="1" x14ac:dyDescent="0.25"/>
    <row r="7884" s="12" customFormat="1" x14ac:dyDescent="0.25"/>
    <row r="7885" s="12" customFormat="1" x14ac:dyDescent="0.25"/>
    <row r="7886" s="12" customFormat="1" x14ac:dyDescent="0.25"/>
    <row r="7887" s="12" customFormat="1" x14ac:dyDescent="0.25"/>
    <row r="7888" s="12" customFormat="1" x14ac:dyDescent="0.25"/>
    <row r="7889" s="12" customFormat="1" x14ac:dyDescent="0.25"/>
    <row r="7890" s="12" customFormat="1" x14ac:dyDescent="0.25"/>
    <row r="7891" s="12" customFormat="1" x14ac:dyDescent="0.25"/>
    <row r="7892" s="12" customFormat="1" x14ac:dyDescent="0.25"/>
    <row r="7893" s="12" customFormat="1" x14ac:dyDescent="0.25"/>
    <row r="7894" s="12" customFormat="1" x14ac:dyDescent="0.25"/>
    <row r="7895" s="12" customFormat="1" x14ac:dyDescent="0.25"/>
    <row r="7896" s="12" customFormat="1" x14ac:dyDescent="0.25"/>
    <row r="7897" s="12" customFormat="1" x14ac:dyDescent="0.25"/>
    <row r="7898" s="12" customFormat="1" x14ac:dyDescent="0.25"/>
    <row r="7899" s="12" customFormat="1" x14ac:dyDescent="0.25"/>
    <row r="7900" s="12" customFormat="1" x14ac:dyDescent="0.25"/>
    <row r="7901" s="12" customFormat="1" x14ac:dyDescent="0.25"/>
    <row r="7902" s="12" customFormat="1" x14ac:dyDescent="0.25"/>
    <row r="7903" s="12" customFormat="1" x14ac:dyDescent="0.25"/>
    <row r="7904" s="12" customFormat="1" x14ac:dyDescent="0.25"/>
    <row r="7905" s="12" customFormat="1" x14ac:dyDescent="0.25"/>
    <row r="7906" s="12" customFormat="1" x14ac:dyDescent="0.25"/>
    <row r="7907" s="12" customFormat="1" x14ac:dyDescent="0.25"/>
    <row r="7908" s="12" customFormat="1" x14ac:dyDescent="0.25"/>
    <row r="7909" s="12" customFormat="1" x14ac:dyDescent="0.25"/>
    <row r="7910" s="12" customFormat="1" x14ac:dyDescent="0.25"/>
    <row r="7911" s="12" customFormat="1" x14ac:dyDescent="0.25"/>
    <row r="7912" s="12" customFormat="1" x14ac:dyDescent="0.25"/>
    <row r="7913" s="12" customFormat="1" x14ac:dyDescent="0.25"/>
    <row r="7914" s="12" customFormat="1" x14ac:dyDescent="0.25"/>
    <row r="7915" s="12" customFormat="1" x14ac:dyDescent="0.25"/>
    <row r="7916" s="12" customFormat="1" x14ac:dyDescent="0.25"/>
    <row r="7917" s="12" customFormat="1" x14ac:dyDescent="0.25"/>
    <row r="7918" s="12" customFormat="1" x14ac:dyDescent="0.25"/>
    <row r="7919" s="12" customFormat="1" x14ac:dyDescent="0.25"/>
    <row r="7920" s="12" customFormat="1" x14ac:dyDescent="0.25"/>
    <row r="7921" s="12" customFormat="1" x14ac:dyDescent="0.25"/>
    <row r="7922" s="12" customFormat="1" x14ac:dyDescent="0.25"/>
    <row r="7923" s="12" customFormat="1" x14ac:dyDescent="0.25"/>
    <row r="7924" s="12" customFormat="1" x14ac:dyDescent="0.25"/>
    <row r="7925" s="12" customFormat="1" x14ac:dyDescent="0.25"/>
    <row r="7926" s="12" customFormat="1" x14ac:dyDescent="0.25"/>
    <row r="7927" s="12" customFormat="1" x14ac:dyDescent="0.25"/>
    <row r="7928" s="12" customFormat="1" x14ac:dyDescent="0.25"/>
    <row r="7929" s="12" customFormat="1" x14ac:dyDescent="0.25"/>
    <row r="7930" s="12" customFormat="1" x14ac:dyDescent="0.25"/>
    <row r="7931" s="12" customFormat="1" x14ac:dyDescent="0.25"/>
    <row r="7932" s="12" customFormat="1" x14ac:dyDescent="0.25"/>
    <row r="7933" s="12" customFormat="1" x14ac:dyDescent="0.25"/>
    <row r="7934" s="12" customFormat="1" x14ac:dyDescent="0.25"/>
    <row r="7935" s="12" customFormat="1" x14ac:dyDescent="0.25"/>
    <row r="7936" s="12" customFormat="1" x14ac:dyDescent="0.25"/>
    <row r="7937" s="12" customFormat="1" x14ac:dyDescent="0.25"/>
    <row r="7938" s="12" customFormat="1" x14ac:dyDescent="0.25"/>
    <row r="7939" s="12" customFormat="1" x14ac:dyDescent="0.25"/>
    <row r="7940" s="12" customFormat="1" x14ac:dyDescent="0.25"/>
    <row r="7941" s="12" customFormat="1" x14ac:dyDescent="0.25"/>
    <row r="7942" s="12" customFormat="1" x14ac:dyDescent="0.25"/>
    <row r="7943" s="12" customFormat="1" x14ac:dyDescent="0.25"/>
    <row r="7944" s="12" customFormat="1" x14ac:dyDescent="0.25"/>
    <row r="7945" s="12" customFormat="1" x14ac:dyDescent="0.25"/>
    <row r="7946" s="12" customFormat="1" x14ac:dyDescent="0.25"/>
    <row r="7947" s="12" customFormat="1" x14ac:dyDescent="0.25"/>
    <row r="7948" s="12" customFormat="1" x14ac:dyDescent="0.25"/>
    <row r="7949" s="12" customFormat="1" x14ac:dyDescent="0.25"/>
    <row r="7950" s="12" customFormat="1" x14ac:dyDescent="0.25"/>
    <row r="7951" s="12" customFormat="1" x14ac:dyDescent="0.25"/>
    <row r="7952" s="12" customFormat="1" x14ac:dyDescent="0.25"/>
    <row r="7953" s="12" customFormat="1" x14ac:dyDescent="0.25"/>
    <row r="7954" s="12" customFormat="1" x14ac:dyDescent="0.25"/>
    <row r="7955" s="12" customFormat="1" x14ac:dyDescent="0.25"/>
    <row r="7956" s="12" customFormat="1" x14ac:dyDescent="0.25"/>
    <row r="7957" s="12" customFormat="1" x14ac:dyDescent="0.25"/>
    <row r="7958" s="12" customFormat="1" x14ac:dyDescent="0.25"/>
    <row r="7959" s="12" customFormat="1" x14ac:dyDescent="0.25"/>
    <row r="7960" s="12" customFormat="1" x14ac:dyDescent="0.25"/>
    <row r="7961" s="12" customFormat="1" x14ac:dyDescent="0.25"/>
    <row r="7962" s="12" customFormat="1" x14ac:dyDescent="0.25"/>
    <row r="7963" s="12" customFormat="1" x14ac:dyDescent="0.25"/>
    <row r="7964" s="12" customFormat="1" x14ac:dyDescent="0.25"/>
    <row r="7965" s="12" customFormat="1" x14ac:dyDescent="0.25"/>
    <row r="7966" s="12" customFormat="1" x14ac:dyDescent="0.25"/>
    <row r="7967" s="12" customFormat="1" x14ac:dyDescent="0.25"/>
    <row r="7968" s="12" customFormat="1" x14ac:dyDescent="0.25"/>
    <row r="7969" s="12" customFormat="1" x14ac:dyDescent="0.25"/>
    <row r="7970" s="12" customFormat="1" x14ac:dyDescent="0.25"/>
    <row r="7971" s="12" customFormat="1" x14ac:dyDescent="0.25"/>
    <row r="7972" s="12" customFormat="1" x14ac:dyDescent="0.25"/>
    <row r="7973" s="12" customFormat="1" x14ac:dyDescent="0.25"/>
    <row r="7974" s="12" customFormat="1" x14ac:dyDescent="0.25"/>
    <row r="7975" s="12" customFormat="1" x14ac:dyDescent="0.25"/>
    <row r="7976" s="12" customFormat="1" x14ac:dyDescent="0.25"/>
    <row r="7977" s="12" customFormat="1" x14ac:dyDescent="0.25"/>
    <row r="7978" s="12" customFormat="1" x14ac:dyDescent="0.25"/>
    <row r="7979" s="12" customFormat="1" x14ac:dyDescent="0.25"/>
    <row r="7980" s="12" customFormat="1" x14ac:dyDescent="0.25"/>
    <row r="7981" s="12" customFormat="1" x14ac:dyDescent="0.25"/>
    <row r="7982" s="12" customFormat="1" x14ac:dyDescent="0.25"/>
    <row r="7983" s="12" customFormat="1" x14ac:dyDescent="0.25"/>
    <row r="7984" s="12" customFormat="1" x14ac:dyDescent="0.25"/>
    <row r="7985" s="12" customFormat="1" x14ac:dyDescent="0.25"/>
    <row r="7986" s="12" customFormat="1" x14ac:dyDescent="0.25"/>
    <row r="7987" s="12" customFormat="1" x14ac:dyDescent="0.25"/>
    <row r="7988" s="12" customFormat="1" x14ac:dyDescent="0.25"/>
    <row r="7989" s="12" customFormat="1" x14ac:dyDescent="0.25"/>
    <row r="7990" s="12" customFormat="1" x14ac:dyDescent="0.25"/>
    <row r="7991" s="12" customFormat="1" x14ac:dyDescent="0.25"/>
    <row r="7992" s="12" customFormat="1" x14ac:dyDescent="0.25"/>
    <row r="7993" s="12" customFormat="1" x14ac:dyDescent="0.25"/>
    <row r="7994" s="12" customFormat="1" x14ac:dyDescent="0.25"/>
    <row r="7995" s="12" customFormat="1" x14ac:dyDescent="0.25"/>
    <row r="7996" s="12" customFormat="1" x14ac:dyDescent="0.25"/>
    <row r="7997" s="12" customFormat="1" x14ac:dyDescent="0.25"/>
    <row r="7998" s="12" customFormat="1" x14ac:dyDescent="0.25"/>
    <row r="7999" s="12" customFormat="1" x14ac:dyDescent="0.25"/>
    <row r="8000" s="12" customFormat="1" x14ac:dyDescent="0.25"/>
    <row r="8001" s="12" customFormat="1" x14ac:dyDescent="0.25"/>
    <row r="8002" s="12" customFormat="1" x14ac:dyDescent="0.25"/>
    <row r="8003" s="12" customFormat="1" x14ac:dyDescent="0.25"/>
    <row r="8004" s="12" customFormat="1" x14ac:dyDescent="0.25"/>
    <row r="8005" s="12" customFormat="1" x14ac:dyDescent="0.25"/>
    <row r="8006" s="12" customFormat="1" x14ac:dyDescent="0.25"/>
    <row r="8007" s="12" customFormat="1" x14ac:dyDescent="0.25"/>
    <row r="8008" s="12" customFormat="1" x14ac:dyDescent="0.25"/>
    <row r="8009" s="12" customFormat="1" x14ac:dyDescent="0.25"/>
    <row r="8010" s="12" customFormat="1" x14ac:dyDescent="0.25"/>
    <row r="8011" s="12" customFormat="1" x14ac:dyDescent="0.25"/>
    <row r="8012" s="12" customFormat="1" x14ac:dyDescent="0.25"/>
    <row r="8013" s="12" customFormat="1" x14ac:dyDescent="0.25"/>
    <row r="8014" s="12" customFormat="1" x14ac:dyDescent="0.25"/>
    <row r="8015" s="12" customFormat="1" x14ac:dyDescent="0.25"/>
    <row r="8016" s="12" customFormat="1" x14ac:dyDescent="0.25"/>
    <row r="8017" s="12" customFormat="1" x14ac:dyDescent="0.25"/>
    <row r="8018" s="12" customFormat="1" x14ac:dyDescent="0.25"/>
    <row r="8019" s="12" customFormat="1" x14ac:dyDescent="0.25"/>
    <row r="8020" s="12" customFormat="1" x14ac:dyDescent="0.25"/>
    <row r="8021" s="12" customFormat="1" x14ac:dyDescent="0.25"/>
    <row r="8022" s="12" customFormat="1" x14ac:dyDescent="0.25"/>
    <row r="8023" s="12" customFormat="1" x14ac:dyDescent="0.25"/>
    <row r="8024" s="12" customFormat="1" x14ac:dyDescent="0.25"/>
    <row r="8025" s="12" customFormat="1" x14ac:dyDescent="0.25"/>
    <row r="8026" s="12" customFormat="1" x14ac:dyDescent="0.25"/>
    <row r="8027" s="12" customFormat="1" x14ac:dyDescent="0.25"/>
    <row r="8028" s="12" customFormat="1" x14ac:dyDescent="0.25"/>
    <row r="8029" s="12" customFormat="1" x14ac:dyDescent="0.25"/>
    <row r="8030" s="12" customFormat="1" x14ac:dyDescent="0.25"/>
    <row r="8031" s="12" customFormat="1" x14ac:dyDescent="0.25"/>
    <row r="8032" s="12" customFormat="1" x14ac:dyDescent="0.25"/>
    <row r="8033" s="12" customFormat="1" x14ac:dyDescent="0.25"/>
    <row r="8034" s="12" customFormat="1" x14ac:dyDescent="0.25"/>
    <row r="8035" s="12" customFormat="1" x14ac:dyDescent="0.25"/>
    <row r="8036" s="12" customFormat="1" x14ac:dyDescent="0.25"/>
    <row r="8037" s="12" customFormat="1" x14ac:dyDescent="0.25"/>
    <row r="8038" s="12" customFormat="1" x14ac:dyDescent="0.25"/>
    <row r="8039" s="12" customFormat="1" x14ac:dyDescent="0.25"/>
    <row r="8040" s="12" customFormat="1" x14ac:dyDescent="0.25"/>
    <row r="8041" s="12" customFormat="1" x14ac:dyDescent="0.25"/>
    <row r="8042" s="12" customFormat="1" x14ac:dyDescent="0.25"/>
    <row r="8043" s="12" customFormat="1" x14ac:dyDescent="0.25"/>
    <row r="8044" s="12" customFormat="1" x14ac:dyDescent="0.25"/>
    <row r="8045" s="12" customFormat="1" x14ac:dyDescent="0.25"/>
    <row r="8046" s="12" customFormat="1" x14ac:dyDescent="0.25"/>
    <row r="8047" s="12" customFormat="1" x14ac:dyDescent="0.25"/>
    <row r="8048" s="12" customFormat="1" x14ac:dyDescent="0.25"/>
    <row r="8049" s="12" customFormat="1" x14ac:dyDescent="0.25"/>
    <row r="8050" s="12" customFormat="1" x14ac:dyDescent="0.25"/>
    <row r="8051" s="12" customFormat="1" x14ac:dyDescent="0.25"/>
    <row r="8052" s="12" customFormat="1" x14ac:dyDescent="0.25"/>
    <row r="8053" s="12" customFormat="1" x14ac:dyDescent="0.25"/>
    <row r="8054" s="12" customFormat="1" x14ac:dyDescent="0.25"/>
    <row r="8055" s="12" customFormat="1" x14ac:dyDescent="0.25"/>
    <row r="8056" s="12" customFormat="1" x14ac:dyDescent="0.25"/>
    <row r="8057" s="12" customFormat="1" x14ac:dyDescent="0.25"/>
    <row r="8058" s="12" customFormat="1" x14ac:dyDescent="0.25"/>
    <row r="8059" s="12" customFormat="1" x14ac:dyDescent="0.25"/>
    <row r="8060" s="12" customFormat="1" x14ac:dyDescent="0.25"/>
    <row r="8061" s="12" customFormat="1" x14ac:dyDescent="0.25"/>
    <row r="8062" s="12" customFormat="1" x14ac:dyDescent="0.25"/>
    <row r="8063" s="12" customFormat="1" x14ac:dyDescent="0.25"/>
    <row r="8064" s="12" customFormat="1" x14ac:dyDescent="0.25"/>
    <row r="8065" s="12" customFormat="1" x14ac:dyDescent="0.25"/>
    <row r="8066" s="12" customFormat="1" x14ac:dyDescent="0.25"/>
    <row r="8067" s="12" customFormat="1" x14ac:dyDescent="0.25"/>
    <row r="8068" s="12" customFormat="1" x14ac:dyDescent="0.25"/>
    <row r="8069" s="12" customFormat="1" x14ac:dyDescent="0.25"/>
    <row r="8070" s="12" customFormat="1" x14ac:dyDescent="0.25"/>
    <row r="8071" s="12" customFormat="1" x14ac:dyDescent="0.25"/>
    <row r="8072" s="12" customFormat="1" x14ac:dyDescent="0.25"/>
    <row r="8073" s="12" customFormat="1" x14ac:dyDescent="0.25"/>
    <row r="8074" s="12" customFormat="1" x14ac:dyDescent="0.25"/>
    <row r="8075" s="12" customFormat="1" x14ac:dyDescent="0.25"/>
    <row r="8076" s="12" customFormat="1" x14ac:dyDescent="0.25"/>
    <row r="8077" s="12" customFormat="1" x14ac:dyDescent="0.25"/>
    <row r="8078" s="12" customFormat="1" x14ac:dyDescent="0.25"/>
    <row r="8079" s="12" customFormat="1" x14ac:dyDescent="0.25"/>
    <row r="8080" s="12" customFormat="1" x14ac:dyDescent="0.25"/>
    <row r="8081" s="12" customFormat="1" x14ac:dyDescent="0.25"/>
    <row r="8082" s="12" customFormat="1" x14ac:dyDescent="0.25"/>
    <row r="8083" s="12" customFormat="1" x14ac:dyDescent="0.25"/>
    <row r="8084" s="12" customFormat="1" x14ac:dyDescent="0.25"/>
    <row r="8085" s="12" customFormat="1" x14ac:dyDescent="0.25"/>
    <row r="8086" s="12" customFormat="1" x14ac:dyDescent="0.25"/>
    <row r="8087" s="12" customFormat="1" x14ac:dyDescent="0.25"/>
    <row r="8088" s="12" customFormat="1" x14ac:dyDescent="0.25"/>
    <row r="8089" s="12" customFormat="1" x14ac:dyDescent="0.25"/>
    <row r="8090" s="12" customFormat="1" x14ac:dyDescent="0.25"/>
    <row r="8091" s="12" customFormat="1" x14ac:dyDescent="0.25"/>
    <row r="8092" s="12" customFormat="1" x14ac:dyDescent="0.25"/>
    <row r="8093" s="12" customFormat="1" x14ac:dyDescent="0.25"/>
    <row r="8094" s="12" customFormat="1" x14ac:dyDescent="0.25"/>
    <row r="8095" s="12" customFormat="1" x14ac:dyDescent="0.25"/>
    <row r="8096" s="12" customFormat="1" x14ac:dyDescent="0.25"/>
    <row r="8097" s="12" customFormat="1" x14ac:dyDescent="0.25"/>
    <row r="8098" s="12" customFormat="1" x14ac:dyDescent="0.25"/>
    <row r="8099" s="12" customFormat="1" x14ac:dyDescent="0.25"/>
    <row r="8100" s="12" customFormat="1" x14ac:dyDescent="0.25"/>
    <row r="8101" s="12" customFormat="1" x14ac:dyDescent="0.25"/>
    <row r="8102" s="12" customFormat="1" x14ac:dyDescent="0.25"/>
    <row r="8103" s="12" customFormat="1" x14ac:dyDescent="0.25"/>
    <row r="8104" s="12" customFormat="1" x14ac:dyDescent="0.25"/>
    <row r="8105" s="12" customFormat="1" x14ac:dyDescent="0.25"/>
    <row r="8106" s="12" customFormat="1" x14ac:dyDescent="0.25"/>
    <row r="8107" s="12" customFormat="1" x14ac:dyDescent="0.25"/>
    <row r="8108" s="12" customFormat="1" x14ac:dyDescent="0.25"/>
    <row r="8109" s="12" customFormat="1" x14ac:dyDescent="0.25"/>
    <row r="8110" s="12" customFormat="1" x14ac:dyDescent="0.25"/>
    <row r="8111" s="12" customFormat="1" x14ac:dyDescent="0.25"/>
    <row r="8112" s="12" customFormat="1" x14ac:dyDescent="0.25"/>
    <row r="8113" s="12" customFormat="1" x14ac:dyDescent="0.25"/>
    <row r="8114" s="12" customFormat="1" x14ac:dyDescent="0.25"/>
    <row r="8115" s="12" customFormat="1" x14ac:dyDescent="0.25"/>
    <row r="8116" s="12" customFormat="1" x14ac:dyDescent="0.25"/>
    <row r="8117" s="12" customFormat="1" x14ac:dyDescent="0.25"/>
    <row r="8118" s="12" customFormat="1" x14ac:dyDescent="0.25"/>
    <row r="8119" s="12" customFormat="1" x14ac:dyDescent="0.25"/>
    <row r="8120" s="12" customFormat="1" x14ac:dyDescent="0.25"/>
    <row r="8121" s="12" customFormat="1" x14ac:dyDescent="0.25"/>
    <row r="8122" s="12" customFormat="1" x14ac:dyDescent="0.25"/>
    <row r="8123" s="12" customFormat="1" x14ac:dyDescent="0.25"/>
    <row r="8124" s="12" customFormat="1" x14ac:dyDescent="0.25"/>
    <row r="8125" s="12" customFormat="1" x14ac:dyDescent="0.25"/>
    <row r="8126" s="12" customFormat="1" x14ac:dyDescent="0.25"/>
    <row r="8127" s="12" customFormat="1" x14ac:dyDescent="0.25"/>
    <row r="8128" s="12" customFormat="1" x14ac:dyDescent="0.25"/>
    <row r="8129" s="12" customFormat="1" x14ac:dyDescent="0.25"/>
    <row r="8130" s="12" customFormat="1" x14ac:dyDescent="0.25"/>
    <row r="8131" s="12" customFormat="1" x14ac:dyDescent="0.25"/>
    <row r="8132" s="12" customFormat="1" x14ac:dyDescent="0.25"/>
    <row r="8133" s="12" customFormat="1" x14ac:dyDescent="0.25"/>
    <row r="8134" s="12" customFormat="1" x14ac:dyDescent="0.25"/>
    <row r="8135" s="12" customFormat="1" x14ac:dyDescent="0.25"/>
    <row r="8136" s="12" customFormat="1" x14ac:dyDescent="0.25"/>
    <row r="8137" s="12" customFormat="1" x14ac:dyDescent="0.25"/>
    <row r="8138" s="12" customFormat="1" x14ac:dyDescent="0.25"/>
    <row r="8139" s="12" customFormat="1" x14ac:dyDescent="0.25"/>
    <row r="8140" s="12" customFormat="1" x14ac:dyDescent="0.25"/>
    <row r="8141" s="12" customFormat="1" x14ac:dyDescent="0.25"/>
    <row r="8142" s="12" customFormat="1" x14ac:dyDescent="0.25"/>
    <row r="8143" s="12" customFormat="1" x14ac:dyDescent="0.25"/>
    <row r="8144" s="12" customFormat="1" x14ac:dyDescent="0.25"/>
    <row r="8145" s="12" customFormat="1" x14ac:dyDescent="0.25"/>
    <row r="8146" s="12" customFormat="1" x14ac:dyDescent="0.25"/>
    <row r="8147" s="12" customFormat="1" x14ac:dyDescent="0.25"/>
    <row r="8148" s="12" customFormat="1" x14ac:dyDescent="0.25"/>
    <row r="8149" s="12" customFormat="1" x14ac:dyDescent="0.25"/>
    <row r="8150" s="12" customFormat="1" x14ac:dyDescent="0.25"/>
    <row r="8151" s="12" customFormat="1" x14ac:dyDescent="0.25"/>
    <row r="8152" s="12" customFormat="1" x14ac:dyDescent="0.25"/>
    <row r="8153" s="12" customFormat="1" x14ac:dyDescent="0.25"/>
    <row r="8154" s="12" customFormat="1" x14ac:dyDescent="0.25"/>
    <row r="8155" s="12" customFormat="1" x14ac:dyDescent="0.25"/>
    <row r="8156" s="12" customFormat="1" x14ac:dyDescent="0.25"/>
    <row r="8157" s="12" customFormat="1" x14ac:dyDescent="0.25"/>
    <row r="8158" s="12" customFormat="1" x14ac:dyDescent="0.25"/>
    <row r="8159" s="12" customFormat="1" x14ac:dyDescent="0.25"/>
    <row r="8160" s="12" customFormat="1" x14ac:dyDescent="0.25"/>
    <row r="8161" s="12" customFormat="1" x14ac:dyDescent="0.25"/>
    <row r="8162" s="12" customFormat="1" x14ac:dyDescent="0.25"/>
    <row r="8163" s="12" customFormat="1" x14ac:dyDescent="0.25"/>
    <row r="8164" s="12" customFormat="1" x14ac:dyDescent="0.25"/>
    <row r="8165" s="12" customFormat="1" x14ac:dyDescent="0.25"/>
    <row r="8166" s="12" customFormat="1" x14ac:dyDescent="0.25"/>
    <row r="8167" s="12" customFormat="1" x14ac:dyDescent="0.25"/>
    <row r="8168" s="12" customFormat="1" x14ac:dyDescent="0.25"/>
    <row r="8169" s="12" customFormat="1" x14ac:dyDescent="0.25"/>
    <row r="8170" s="12" customFormat="1" x14ac:dyDescent="0.25"/>
    <row r="8171" s="12" customFormat="1" x14ac:dyDescent="0.25"/>
    <row r="8172" s="12" customFormat="1" x14ac:dyDescent="0.25"/>
    <row r="8173" s="12" customFormat="1" x14ac:dyDescent="0.25"/>
    <row r="8174" s="12" customFormat="1" x14ac:dyDescent="0.25"/>
    <row r="8175" s="12" customFormat="1" x14ac:dyDescent="0.25"/>
    <row r="8176" s="12" customFormat="1" x14ac:dyDescent="0.25"/>
    <row r="8177" s="12" customFormat="1" x14ac:dyDescent="0.25"/>
    <row r="8178" s="12" customFormat="1" x14ac:dyDescent="0.25"/>
    <row r="8179" s="12" customFormat="1" x14ac:dyDescent="0.25"/>
    <row r="8180" s="12" customFormat="1" x14ac:dyDescent="0.25"/>
    <row r="8181" s="12" customFormat="1" x14ac:dyDescent="0.25"/>
    <row r="8182" s="12" customFormat="1" x14ac:dyDescent="0.25"/>
    <row r="8183" s="12" customFormat="1" x14ac:dyDescent="0.25"/>
    <row r="8184" s="12" customFormat="1" x14ac:dyDescent="0.25"/>
    <row r="8185" s="12" customFormat="1" x14ac:dyDescent="0.25"/>
    <row r="8186" s="12" customFormat="1" x14ac:dyDescent="0.25"/>
    <row r="8187" s="12" customFormat="1" x14ac:dyDescent="0.25"/>
    <row r="8188" s="12" customFormat="1" x14ac:dyDescent="0.25"/>
    <row r="8189" s="12" customFormat="1" x14ac:dyDescent="0.25"/>
    <row r="8190" s="12" customFormat="1" x14ac:dyDescent="0.25"/>
    <row r="8191" s="12" customFormat="1" x14ac:dyDescent="0.25"/>
    <row r="8192" s="12" customFormat="1" x14ac:dyDescent="0.25"/>
    <row r="8193" s="12" customFormat="1" x14ac:dyDescent="0.25"/>
    <row r="8194" s="12" customFormat="1" x14ac:dyDescent="0.25"/>
    <row r="8195" s="12" customFormat="1" x14ac:dyDescent="0.25"/>
    <row r="8196" s="12" customFormat="1" x14ac:dyDescent="0.25"/>
    <row r="8197" s="12" customFormat="1" x14ac:dyDescent="0.25"/>
    <row r="8198" s="12" customFormat="1" x14ac:dyDescent="0.25"/>
    <row r="8199" s="12" customFormat="1" x14ac:dyDescent="0.25"/>
    <row r="8200" s="12" customFormat="1" x14ac:dyDescent="0.25"/>
    <row r="8201" s="12" customFormat="1" x14ac:dyDescent="0.25"/>
    <row r="8202" s="12" customFormat="1" x14ac:dyDescent="0.25"/>
    <row r="8203" s="12" customFormat="1" x14ac:dyDescent="0.25"/>
    <row r="8204" s="12" customFormat="1" x14ac:dyDescent="0.25"/>
    <row r="8205" s="12" customFormat="1" x14ac:dyDescent="0.25"/>
    <row r="8206" s="12" customFormat="1" x14ac:dyDescent="0.25"/>
    <row r="8207" s="12" customFormat="1" x14ac:dyDescent="0.25"/>
    <row r="8208" s="12" customFormat="1" x14ac:dyDescent="0.25"/>
    <row r="8209" s="12" customFormat="1" x14ac:dyDescent="0.25"/>
    <row r="8210" s="12" customFormat="1" x14ac:dyDescent="0.25"/>
    <row r="8211" s="12" customFormat="1" x14ac:dyDescent="0.25"/>
    <row r="8212" s="12" customFormat="1" x14ac:dyDescent="0.25"/>
    <row r="8213" s="12" customFormat="1" x14ac:dyDescent="0.25"/>
    <row r="8214" s="12" customFormat="1" x14ac:dyDescent="0.25"/>
    <row r="8215" s="12" customFormat="1" x14ac:dyDescent="0.25"/>
    <row r="8216" s="12" customFormat="1" x14ac:dyDescent="0.25"/>
    <row r="8217" s="12" customFormat="1" x14ac:dyDescent="0.25"/>
    <row r="8218" s="12" customFormat="1" x14ac:dyDescent="0.25"/>
    <row r="8219" s="12" customFormat="1" x14ac:dyDescent="0.25"/>
    <row r="8220" s="12" customFormat="1" x14ac:dyDescent="0.25"/>
    <row r="8221" s="12" customFormat="1" x14ac:dyDescent="0.25"/>
    <row r="8222" s="12" customFormat="1" x14ac:dyDescent="0.25"/>
    <row r="8223" s="12" customFormat="1" x14ac:dyDescent="0.25"/>
    <row r="8224" s="12" customFormat="1" x14ac:dyDescent="0.25"/>
    <row r="8225" s="12" customFormat="1" x14ac:dyDescent="0.25"/>
    <row r="8226" s="12" customFormat="1" x14ac:dyDescent="0.25"/>
    <row r="8227" s="12" customFormat="1" x14ac:dyDescent="0.25"/>
    <row r="8228" s="12" customFormat="1" x14ac:dyDescent="0.25"/>
    <row r="8229" s="12" customFormat="1" x14ac:dyDescent="0.25"/>
    <row r="8230" s="12" customFormat="1" x14ac:dyDescent="0.25"/>
    <row r="8231" s="12" customFormat="1" x14ac:dyDescent="0.25"/>
    <row r="8232" s="12" customFormat="1" x14ac:dyDescent="0.25"/>
    <row r="8233" s="12" customFormat="1" x14ac:dyDescent="0.25"/>
    <row r="8234" s="12" customFormat="1" x14ac:dyDescent="0.25"/>
    <row r="8235" s="12" customFormat="1" x14ac:dyDescent="0.25"/>
    <row r="8236" s="12" customFormat="1" x14ac:dyDescent="0.25"/>
    <row r="8237" s="12" customFormat="1" x14ac:dyDescent="0.25"/>
    <row r="8238" s="12" customFormat="1" x14ac:dyDescent="0.25"/>
    <row r="8239" s="12" customFormat="1" x14ac:dyDescent="0.25"/>
    <row r="8240" s="12" customFormat="1" x14ac:dyDescent="0.25"/>
    <row r="8241" s="12" customFormat="1" x14ac:dyDescent="0.25"/>
    <row r="8242" s="12" customFormat="1" x14ac:dyDescent="0.25"/>
    <row r="8243" s="12" customFormat="1" x14ac:dyDescent="0.25"/>
    <row r="8244" s="12" customFormat="1" x14ac:dyDescent="0.25"/>
    <row r="8245" s="12" customFormat="1" x14ac:dyDescent="0.25"/>
    <row r="8246" s="12" customFormat="1" x14ac:dyDescent="0.25"/>
    <row r="8247" s="12" customFormat="1" x14ac:dyDescent="0.25"/>
    <row r="8248" s="12" customFormat="1" x14ac:dyDescent="0.25"/>
    <row r="8249" s="12" customFormat="1" x14ac:dyDescent="0.25"/>
    <row r="8250" s="12" customFormat="1" x14ac:dyDescent="0.25"/>
    <row r="8251" s="12" customFormat="1" x14ac:dyDescent="0.25"/>
    <row r="8252" s="12" customFormat="1" x14ac:dyDescent="0.25"/>
    <row r="8253" s="12" customFormat="1" x14ac:dyDescent="0.25"/>
    <row r="8254" s="12" customFormat="1" x14ac:dyDescent="0.25"/>
    <row r="8255" s="12" customFormat="1" x14ac:dyDescent="0.25"/>
    <row r="8256" s="12" customFormat="1" x14ac:dyDescent="0.25"/>
    <row r="8257" s="12" customFormat="1" x14ac:dyDescent="0.25"/>
    <row r="8258" s="12" customFormat="1" x14ac:dyDescent="0.25"/>
    <row r="8259" s="12" customFormat="1" x14ac:dyDescent="0.25"/>
    <row r="8260" s="12" customFormat="1" x14ac:dyDescent="0.25"/>
    <row r="8261" s="12" customFormat="1" x14ac:dyDescent="0.25"/>
    <row r="8262" s="12" customFormat="1" x14ac:dyDescent="0.25"/>
    <row r="8263" s="12" customFormat="1" x14ac:dyDescent="0.25"/>
    <row r="8264" s="12" customFormat="1" x14ac:dyDescent="0.25"/>
    <row r="8265" s="12" customFormat="1" x14ac:dyDescent="0.25"/>
    <row r="8266" s="12" customFormat="1" x14ac:dyDescent="0.25"/>
    <row r="8267" s="12" customFormat="1" x14ac:dyDescent="0.25"/>
    <row r="8268" s="12" customFormat="1" x14ac:dyDescent="0.25"/>
    <row r="8269" s="12" customFormat="1" x14ac:dyDescent="0.25"/>
    <row r="8270" s="12" customFormat="1" x14ac:dyDescent="0.25"/>
    <row r="8271" s="12" customFormat="1" x14ac:dyDescent="0.25"/>
    <row r="8272" s="12" customFormat="1" x14ac:dyDescent="0.25"/>
    <row r="8273" s="12" customFormat="1" x14ac:dyDescent="0.25"/>
    <row r="8274" s="12" customFormat="1" x14ac:dyDescent="0.25"/>
    <row r="8275" s="12" customFormat="1" x14ac:dyDescent="0.25"/>
    <row r="8276" s="12" customFormat="1" x14ac:dyDescent="0.25"/>
    <row r="8277" s="12" customFormat="1" x14ac:dyDescent="0.25"/>
    <row r="8278" s="12" customFormat="1" x14ac:dyDescent="0.25"/>
    <row r="8279" s="12" customFormat="1" x14ac:dyDescent="0.25"/>
    <row r="8280" s="12" customFormat="1" x14ac:dyDescent="0.25"/>
    <row r="8281" s="12" customFormat="1" x14ac:dyDescent="0.25"/>
    <row r="8282" s="12" customFormat="1" x14ac:dyDescent="0.25"/>
    <row r="8283" s="12" customFormat="1" x14ac:dyDescent="0.25"/>
    <row r="8284" s="12" customFormat="1" x14ac:dyDescent="0.25"/>
    <row r="8285" s="12" customFormat="1" x14ac:dyDescent="0.25"/>
    <row r="8286" s="12" customFormat="1" x14ac:dyDescent="0.25"/>
    <row r="8287" s="12" customFormat="1" x14ac:dyDescent="0.25"/>
    <row r="8288" s="12" customFormat="1" x14ac:dyDescent="0.25"/>
    <row r="8289" s="12" customFormat="1" x14ac:dyDescent="0.25"/>
    <row r="8290" s="12" customFormat="1" x14ac:dyDescent="0.25"/>
    <row r="8291" s="12" customFormat="1" x14ac:dyDescent="0.25"/>
    <row r="8292" s="12" customFormat="1" x14ac:dyDescent="0.25"/>
    <row r="8293" s="12" customFormat="1" x14ac:dyDescent="0.25"/>
    <row r="8294" s="12" customFormat="1" x14ac:dyDescent="0.25"/>
    <row r="8295" s="12" customFormat="1" x14ac:dyDescent="0.25"/>
    <row r="8296" s="12" customFormat="1" x14ac:dyDescent="0.25"/>
    <row r="8297" s="12" customFormat="1" x14ac:dyDescent="0.25"/>
    <row r="8298" s="12" customFormat="1" x14ac:dyDescent="0.25"/>
    <row r="8299" s="12" customFormat="1" x14ac:dyDescent="0.25"/>
    <row r="8300" s="12" customFormat="1" x14ac:dyDescent="0.25"/>
    <row r="8301" s="12" customFormat="1" x14ac:dyDescent="0.25"/>
    <row r="8302" s="12" customFormat="1" x14ac:dyDescent="0.25"/>
    <row r="8303" s="12" customFormat="1" x14ac:dyDescent="0.25"/>
    <row r="8304" s="12" customFormat="1" x14ac:dyDescent="0.25"/>
    <row r="8305" s="12" customFormat="1" x14ac:dyDescent="0.25"/>
    <row r="8306" s="12" customFormat="1" x14ac:dyDescent="0.25"/>
    <row r="8307" s="12" customFormat="1" x14ac:dyDescent="0.25"/>
    <row r="8308" s="12" customFormat="1" x14ac:dyDescent="0.25"/>
    <row r="8309" s="12" customFormat="1" x14ac:dyDescent="0.25"/>
    <row r="8310" s="12" customFormat="1" x14ac:dyDescent="0.25"/>
    <row r="8311" s="12" customFormat="1" x14ac:dyDescent="0.25"/>
    <row r="8312" s="12" customFormat="1" x14ac:dyDescent="0.25"/>
    <row r="8313" s="12" customFormat="1" x14ac:dyDescent="0.25"/>
    <row r="8314" s="12" customFormat="1" x14ac:dyDescent="0.25"/>
    <row r="8315" s="12" customFormat="1" x14ac:dyDescent="0.25"/>
    <row r="8316" s="12" customFormat="1" x14ac:dyDescent="0.25"/>
    <row r="8317" s="12" customFormat="1" x14ac:dyDescent="0.25"/>
    <row r="8318" s="12" customFormat="1" x14ac:dyDescent="0.25"/>
    <row r="8319" s="12" customFormat="1" x14ac:dyDescent="0.25"/>
    <row r="8320" s="12" customFormat="1" x14ac:dyDescent="0.25"/>
    <row r="8321" s="12" customFormat="1" x14ac:dyDescent="0.25"/>
    <row r="8322" s="12" customFormat="1" x14ac:dyDescent="0.25"/>
    <row r="8323" s="12" customFormat="1" x14ac:dyDescent="0.25"/>
    <row r="8324" s="12" customFormat="1" x14ac:dyDescent="0.25"/>
    <row r="8325" s="12" customFormat="1" x14ac:dyDescent="0.25"/>
    <row r="8326" s="12" customFormat="1" x14ac:dyDescent="0.25"/>
    <row r="8327" s="12" customFormat="1" x14ac:dyDescent="0.25"/>
    <row r="8328" s="12" customFormat="1" x14ac:dyDescent="0.25"/>
    <row r="8329" s="12" customFormat="1" x14ac:dyDescent="0.25"/>
    <row r="8330" s="12" customFormat="1" x14ac:dyDescent="0.25"/>
    <row r="8331" s="12" customFormat="1" x14ac:dyDescent="0.25"/>
    <row r="8332" s="12" customFormat="1" x14ac:dyDescent="0.25"/>
    <row r="8333" s="12" customFormat="1" x14ac:dyDescent="0.25"/>
    <row r="8334" s="12" customFormat="1" x14ac:dyDescent="0.25"/>
    <row r="8335" s="12" customFormat="1" x14ac:dyDescent="0.25"/>
    <row r="8336" s="12" customFormat="1" x14ac:dyDescent="0.25"/>
    <row r="8337" s="12" customFormat="1" x14ac:dyDescent="0.25"/>
    <row r="8338" s="12" customFormat="1" x14ac:dyDescent="0.25"/>
    <row r="8339" s="12" customFormat="1" x14ac:dyDescent="0.25"/>
    <row r="8340" s="12" customFormat="1" x14ac:dyDescent="0.25"/>
    <row r="8341" s="12" customFormat="1" x14ac:dyDescent="0.25"/>
    <row r="8342" s="12" customFormat="1" x14ac:dyDescent="0.25"/>
    <row r="8343" s="12" customFormat="1" x14ac:dyDescent="0.25"/>
    <row r="8344" s="12" customFormat="1" x14ac:dyDescent="0.25"/>
    <row r="8345" s="12" customFormat="1" x14ac:dyDescent="0.25"/>
    <row r="8346" s="12" customFormat="1" x14ac:dyDescent="0.25"/>
    <row r="8347" s="12" customFormat="1" x14ac:dyDescent="0.25"/>
    <row r="8348" s="12" customFormat="1" x14ac:dyDescent="0.25"/>
    <row r="8349" s="12" customFormat="1" x14ac:dyDescent="0.25"/>
    <row r="8350" s="12" customFormat="1" x14ac:dyDescent="0.25"/>
    <row r="8351" s="12" customFormat="1" x14ac:dyDescent="0.25"/>
    <row r="8352" s="12" customFormat="1" x14ac:dyDescent="0.25"/>
    <row r="8353" s="12" customFormat="1" x14ac:dyDescent="0.25"/>
    <row r="8354" s="12" customFormat="1" x14ac:dyDescent="0.25"/>
    <row r="8355" s="12" customFormat="1" x14ac:dyDescent="0.25"/>
    <row r="8356" s="12" customFormat="1" x14ac:dyDescent="0.25"/>
    <row r="8357" s="12" customFormat="1" x14ac:dyDescent="0.25"/>
    <row r="8358" s="12" customFormat="1" x14ac:dyDescent="0.25"/>
    <row r="8359" s="12" customFormat="1" x14ac:dyDescent="0.25"/>
    <row r="8360" s="12" customFormat="1" x14ac:dyDescent="0.25"/>
    <row r="8361" s="12" customFormat="1" x14ac:dyDescent="0.25"/>
    <row r="8362" s="12" customFormat="1" x14ac:dyDescent="0.25"/>
    <row r="8363" s="12" customFormat="1" x14ac:dyDescent="0.25"/>
    <row r="8364" s="12" customFormat="1" x14ac:dyDescent="0.25"/>
    <row r="8365" s="12" customFormat="1" x14ac:dyDescent="0.25"/>
    <row r="8366" s="12" customFormat="1" x14ac:dyDescent="0.25"/>
    <row r="8367" s="12" customFormat="1" x14ac:dyDescent="0.25"/>
    <row r="8368" s="12" customFormat="1" x14ac:dyDescent="0.25"/>
    <row r="8369" s="12" customFormat="1" x14ac:dyDescent="0.25"/>
    <row r="8370" s="12" customFormat="1" x14ac:dyDescent="0.25"/>
    <row r="8371" s="12" customFormat="1" x14ac:dyDescent="0.25"/>
    <row r="8372" s="12" customFormat="1" x14ac:dyDescent="0.25"/>
    <row r="8373" s="12" customFormat="1" x14ac:dyDescent="0.25"/>
    <row r="8374" s="12" customFormat="1" x14ac:dyDescent="0.25"/>
    <row r="8375" s="12" customFormat="1" x14ac:dyDescent="0.25"/>
    <row r="8376" s="12" customFormat="1" x14ac:dyDescent="0.25"/>
    <row r="8377" s="12" customFormat="1" x14ac:dyDescent="0.25"/>
    <row r="8378" s="12" customFormat="1" x14ac:dyDescent="0.25"/>
    <row r="8379" s="12" customFormat="1" x14ac:dyDescent="0.25"/>
    <row r="8380" s="12" customFormat="1" x14ac:dyDescent="0.25"/>
    <row r="8381" s="12" customFormat="1" x14ac:dyDescent="0.25"/>
    <row r="8382" s="12" customFormat="1" x14ac:dyDescent="0.25"/>
    <row r="8383" s="12" customFormat="1" x14ac:dyDescent="0.25"/>
    <row r="8384" s="12" customFormat="1" x14ac:dyDescent="0.25"/>
    <row r="8385" s="12" customFormat="1" x14ac:dyDescent="0.25"/>
    <row r="8386" s="12" customFormat="1" x14ac:dyDescent="0.25"/>
    <row r="8387" s="12" customFormat="1" x14ac:dyDescent="0.25"/>
    <row r="8388" s="12" customFormat="1" x14ac:dyDescent="0.25"/>
    <row r="8389" s="12" customFormat="1" x14ac:dyDescent="0.25"/>
    <row r="8390" s="12" customFormat="1" x14ac:dyDescent="0.25"/>
    <row r="8391" s="12" customFormat="1" x14ac:dyDescent="0.25"/>
    <row r="8392" s="12" customFormat="1" x14ac:dyDescent="0.25"/>
    <row r="8393" s="12" customFormat="1" x14ac:dyDescent="0.25"/>
    <row r="8394" s="12" customFormat="1" x14ac:dyDescent="0.25"/>
    <row r="8395" s="12" customFormat="1" x14ac:dyDescent="0.25"/>
    <row r="8396" s="12" customFormat="1" x14ac:dyDescent="0.25"/>
    <row r="8397" s="12" customFormat="1" x14ac:dyDescent="0.25"/>
    <row r="8398" s="12" customFormat="1" x14ac:dyDescent="0.25"/>
    <row r="8399" s="12" customFormat="1" x14ac:dyDescent="0.25"/>
    <row r="8400" s="12" customFormat="1" x14ac:dyDescent="0.25"/>
    <row r="8401" s="12" customFormat="1" x14ac:dyDescent="0.25"/>
    <row r="8402" s="12" customFormat="1" x14ac:dyDescent="0.25"/>
    <row r="8403" s="12" customFormat="1" x14ac:dyDescent="0.25"/>
    <row r="8404" s="12" customFormat="1" x14ac:dyDescent="0.25"/>
    <row r="8405" s="12" customFormat="1" x14ac:dyDescent="0.25"/>
    <row r="8406" s="12" customFormat="1" x14ac:dyDescent="0.25"/>
    <row r="8407" s="12" customFormat="1" x14ac:dyDescent="0.25"/>
    <row r="8408" s="12" customFormat="1" x14ac:dyDescent="0.25"/>
    <row r="8409" s="12" customFormat="1" x14ac:dyDescent="0.25"/>
    <row r="8410" s="12" customFormat="1" x14ac:dyDescent="0.25"/>
    <row r="8411" s="12" customFormat="1" x14ac:dyDescent="0.25"/>
    <row r="8412" s="12" customFormat="1" x14ac:dyDescent="0.25"/>
    <row r="8413" s="12" customFormat="1" x14ac:dyDescent="0.25"/>
    <row r="8414" s="12" customFormat="1" x14ac:dyDescent="0.25"/>
    <row r="8415" s="12" customFormat="1" x14ac:dyDescent="0.25"/>
    <row r="8416" s="12" customFormat="1" x14ac:dyDescent="0.25"/>
    <row r="8417" s="12" customFormat="1" x14ac:dyDescent="0.25"/>
    <row r="8418" s="12" customFormat="1" x14ac:dyDescent="0.25"/>
    <row r="8419" s="12" customFormat="1" x14ac:dyDescent="0.25"/>
    <row r="8420" s="12" customFormat="1" x14ac:dyDescent="0.25"/>
    <row r="8421" s="12" customFormat="1" x14ac:dyDescent="0.25"/>
    <row r="8422" s="12" customFormat="1" x14ac:dyDescent="0.25"/>
    <row r="8423" s="12" customFormat="1" x14ac:dyDescent="0.25"/>
    <row r="8424" s="12" customFormat="1" x14ac:dyDescent="0.25"/>
    <row r="8425" s="12" customFormat="1" x14ac:dyDescent="0.25"/>
    <row r="8426" s="12" customFormat="1" x14ac:dyDescent="0.25"/>
    <row r="8427" s="12" customFormat="1" x14ac:dyDescent="0.25"/>
    <row r="8428" s="12" customFormat="1" x14ac:dyDescent="0.25"/>
    <row r="8429" s="12" customFormat="1" x14ac:dyDescent="0.25"/>
    <row r="8430" s="12" customFormat="1" x14ac:dyDescent="0.25"/>
    <row r="8431" s="12" customFormat="1" x14ac:dyDescent="0.25"/>
    <row r="8432" s="12" customFormat="1" x14ac:dyDescent="0.25"/>
    <row r="8433" s="12" customFormat="1" x14ac:dyDescent="0.25"/>
    <row r="8434" s="12" customFormat="1" x14ac:dyDescent="0.25"/>
    <row r="8435" s="12" customFormat="1" x14ac:dyDescent="0.25"/>
    <row r="8436" s="12" customFormat="1" x14ac:dyDescent="0.25"/>
    <row r="8437" s="12" customFormat="1" x14ac:dyDescent="0.25"/>
    <row r="8438" s="12" customFormat="1" x14ac:dyDescent="0.25"/>
    <row r="8439" s="12" customFormat="1" x14ac:dyDescent="0.25"/>
    <row r="8440" s="12" customFormat="1" x14ac:dyDescent="0.25"/>
    <row r="8441" s="12" customFormat="1" x14ac:dyDescent="0.25"/>
    <row r="8442" s="12" customFormat="1" x14ac:dyDescent="0.25"/>
    <row r="8443" s="12" customFormat="1" x14ac:dyDescent="0.25"/>
    <row r="8444" s="12" customFormat="1" x14ac:dyDescent="0.25"/>
    <row r="8445" s="12" customFormat="1" x14ac:dyDescent="0.25"/>
    <row r="8446" s="12" customFormat="1" x14ac:dyDescent="0.25"/>
    <row r="8447" s="12" customFormat="1" x14ac:dyDescent="0.25"/>
    <row r="8448" s="12" customFormat="1" x14ac:dyDescent="0.25"/>
    <row r="8449" s="12" customFormat="1" x14ac:dyDescent="0.25"/>
    <row r="8450" s="12" customFormat="1" x14ac:dyDescent="0.25"/>
    <row r="8451" s="12" customFormat="1" x14ac:dyDescent="0.25"/>
    <row r="8452" s="12" customFormat="1" x14ac:dyDescent="0.25"/>
    <row r="8453" s="12" customFormat="1" x14ac:dyDescent="0.25"/>
    <row r="8454" s="12" customFormat="1" x14ac:dyDescent="0.25"/>
    <row r="8455" s="12" customFormat="1" x14ac:dyDescent="0.25"/>
    <row r="8456" s="12" customFormat="1" x14ac:dyDescent="0.25"/>
    <row r="8457" s="12" customFormat="1" x14ac:dyDescent="0.25"/>
    <row r="8458" s="12" customFormat="1" x14ac:dyDescent="0.25"/>
    <row r="8459" s="12" customFormat="1" x14ac:dyDescent="0.25"/>
    <row r="8460" s="12" customFormat="1" x14ac:dyDescent="0.25"/>
    <row r="8461" s="12" customFormat="1" x14ac:dyDescent="0.25"/>
    <row r="8462" s="12" customFormat="1" x14ac:dyDescent="0.25"/>
    <row r="8463" s="12" customFormat="1" x14ac:dyDescent="0.25"/>
    <row r="8464" s="12" customFormat="1" x14ac:dyDescent="0.25"/>
    <row r="8465" s="12" customFormat="1" x14ac:dyDescent="0.25"/>
    <row r="8466" s="12" customFormat="1" x14ac:dyDescent="0.25"/>
    <row r="8467" s="12" customFormat="1" x14ac:dyDescent="0.25"/>
    <row r="8468" s="12" customFormat="1" x14ac:dyDescent="0.25"/>
    <row r="8469" s="12" customFormat="1" x14ac:dyDescent="0.25"/>
    <row r="8470" s="12" customFormat="1" x14ac:dyDescent="0.25"/>
    <row r="8471" s="12" customFormat="1" x14ac:dyDescent="0.25"/>
    <row r="8472" s="12" customFormat="1" x14ac:dyDescent="0.25"/>
    <row r="8473" s="12" customFormat="1" x14ac:dyDescent="0.25"/>
    <row r="8474" s="12" customFormat="1" x14ac:dyDescent="0.25"/>
    <row r="8475" s="12" customFormat="1" x14ac:dyDescent="0.25"/>
    <row r="8476" s="12" customFormat="1" x14ac:dyDescent="0.25"/>
    <row r="8477" s="12" customFormat="1" x14ac:dyDescent="0.25"/>
    <row r="8478" s="12" customFormat="1" x14ac:dyDescent="0.25"/>
    <row r="8479" s="12" customFormat="1" x14ac:dyDescent="0.25"/>
    <row r="8480" s="12" customFormat="1" x14ac:dyDescent="0.25"/>
    <row r="8481" s="12" customFormat="1" x14ac:dyDescent="0.25"/>
    <row r="8482" s="12" customFormat="1" x14ac:dyDescent="0.25"/>
    <row r="8483" s="12" customFormat="1" x14ac:dyDescent="0.25"/>
    <row r="8484" s="12" customFormat="1" x14ac:dyDescent="0.25"/>
    <row r="8485" s="12" customFormat="1" x14ac:dyDescent="0.25"/>
    <row r="8486" s="12" customFormat="1" x14ac:dyDescent="0.25"/>
    <row r="8487" s="12" customFormat="1" x14ac:dyDescent="0.25"/>
    <row r="8488" s="12" customFormat="1" x14ac:dyDescent="0.25"/>
    <row r="8489" s="12" customFormat="1" x14ac:dyDescent="0.25"/>
    <row r="8490" s="12" customFormat="1" x14ac:dyDescent="0.25"/>
    <row r="8491" s="12" customFormat="1" x14ac:dyDescent="0.25"/>
    <row r="8492" s="12" customFormat="1" x14ac:dyDescent="0.25"/>
    <row r="8493" s="12" customFormat="1" x14ac:dyDescent="0.25"/>
    <row r="8494" s="12" customFormat="1" x14ac:dyDescent="0.25"/>
    <row r="8495" s="12" customFormat="1" x14ac:dyDescent="0.25"/>
    <row r="8496" s="12" customFormat="1" x14ac:dyDescent="0.25"/>
    <row r="8497" s="12" customFormat="1" x14ac:dyDescent="0.25"/>
    <row r="8498" s="12" customFormat="1" x14ac:dyDescent="0.25"/>
    <row r="8499" s="12" customFormat="1" x14ac:dyDescent="0.25"/>
    <row r="8500" s="12" customFormat="1" x14ac:dyDescent="0.25"/>
    <row r="8501" s="12" customFormat="1" x14ac:dyDescent="0.25"/>
    <row r="8502" s="12" customFormat="1" x14ac:dyDescent="0.25"/>
    <row r="8503" s="12" customFormat="1" x14ac:dyDescent="0.25"/>
    <row r="8504" s="12" customFormat="1" x14ac:dyDescent="0.25"/>
    <row r="8505" s="12" customFormat="1" x14ac:dyDescent="0.25"/>
    <row r="8506" s="12" customFormat="1" x14ac:dyDescent="0.25"/>
    <row r="8507" s="12" customFormat="1" x14ac:dyDescent="0.25"/>
    <row r="8508" s="12" customFormat="1" x14ac:dyDescent="0.25"/>
    <row r="8509" s="12" customFormat="1" x14ac:dyDescent="0.25"/>
    <row r="8510" s="12" customFormat="1" x14ac:dyDescent="0.25"/>
    <row r="8511" s="12" customFormat="1" x14ac:dyDescent="0.25"/>
    <row r="8512" s="12" customFormat="1" x14ac:dyDescent="0.25"/>
    <row r="8513" s="12" customFormat="1" x14ac:dyDescent="0.25"/>
    <row r="8514" s="12" customFormat="1" x14ac:dyDescent="0.25"/>
    <row r="8515" s="12" customFormat="1" x14ac:dyDescent="0.25"/>
    <row r="8516" s="12" customFormat="1" x14ac:dyDescent="0.25"/>
    <row r="8517" s="12" customFormat="1" x14ac:dyDescent="0.25"/>
    <row r="8518" s="12" customFormat="1" x14ac:dyDescent="0.25"/>
    <row r="8519" s="12" customFormat="1" x14ac:dyDescent="0.25"/>
    <row r="8520" s="12" customFormat="1" x14ac:dyDescent="0.25"/>
    <row r="8521" s="12" customFormat="1" x14ac:dyDescent="0.25"/>
    <row r="8522" s="12" customFormat="1" x14ac:dyDescent="0.25"/>
    <row r="8523" s="12" customFormat="1" x14ac:dyDescent="0.25"/>
    <row r="8524" s="12" customFormat="1" x14ac:dyDescent="0.25"/>
    <row r="8525" s="12" customFormat="1" x14ac:dyDescent="0.25"/>
    <row r="8526" s="12" customFormat="1" x14ac:dyDescent="0.25"/>
    <row r="8527" s="12" customFormat="1" x14ac:dyDescent="0.25"/>
    <row r="8528" s="12" customFormat="1" x14ac:dyDescent="0.25"/>
    <row r="8529" s="12" customFormat="1" x14ac:dyDescent="0.25"/>
    <row r="8530" s="12" customFormat="1" x14ac:dyDescent="0.25"/>
    <row r="8531" s="12" customFormat="1" x14ac:dyDescent="0.25"/>
    <row r="8532" s="12" customFormat="1" x14ac:dyDescent="0.25"/>
    <row r="8533" s="12" customFormat="1" x14ac:dyDescent="0.25"/>
    <row r="8534" s="12" customFormat="1" x14ac:dyDescent="0.25"/>
    <row r="8535" s="12" customFormat="1" x14ac:dyDescent="0.25"/>
    <row r="8536" s="12" customFormat="1" x14ac:dyDescent="0.25"/>
    <row r="8537" s="12" customFormat="1" x14ac:dyDescent="0.25"/>
    <row r="8538" s="12" customFormat="1" x14ac:dyDescent="0.25"/>
    <row r="8539" s="12" customFormat="1" x14ac:dyDescent="0.25"/>
    <row r="8540" s="12" customFormat="1" x14ac:dyDescent="0.25"/>
    <row r="8541" s="12" customFormat="1" x14ac:dyDescent="0.25"/>
    <row r="8542" s="12" customFormat="1" x14ac:dyDescent="0.25"/>
    <row r="8543" s="12" customFormat="1" x14ac:dyDescent="0.25"/>
    <row r="8544" s="12" customFormat="1" x14ac:dyDescent="0.25"/>
    <row r="8545" s="12" customFormat="1" x14ac:dyDescent="0.25"/>
    <row r="8546" s="12" customFormat="1" x14ac:dyDescent="0.25"/>
    <row r="8547" s="12" customFormat="1" x14ac:dyDescent="0.25"/>
    <row r="8548" s="12" customFormat="1" x14ac:dyDescent="0.25"/>
    <row r="8549" s="12" customFormat="1" x14ac:dyDescent="0.25"/>
    <row r="8550" s="12" customFormat="1" x14ac:dyDescent="0.25"/>
    <row r="8551" s="12" customFormat="1" x14ac:dyDescent="0.25"/>
    <row r="8552" s="12" customFormat="1" x14ac:dyDescent="0.25"/>
    <row r="8553" s="12" customFormat="1" x14ac:dyDescent="0.25"/>
    <row r="8554" s="12" customFormat="1" x14ac:dyDescent="0.25"/>
    <row r="8555" s="12" customFormat="1" x14ac:dyDescent="0.25"/>
    <row r="8556" s="12" customFormat="1" x14ac:dyDescent="0.25"/>
    <row r="8557" s="12" customFormat="1" x14ac:dyDescent="0.25"/>
    <row r="8558" s="12" customFormat="1" x14ac:dyDescent="0.25"/>
    <row r="8559" s="12" customFormat="1" x14ac:dyDescent="0.25"/>
    <row r="8560" s="12" customFormat="1" x14ac:dyDescent="0.25"/>
    <row r="8561" s="12" customFormat="1" x14ac:dyDescent="0.25"/>
    <row r="8562" s="12" customFormat="1" x14ac:dyDescent="0.25"/>
    <row r="8563" s="12" customFormat="1" x14ac:dyDescent="0.25"/>
    <row r="8564" s="12" customFormat="1" x14ac:dyDescent="0.25"/>
    <row r="8565" s="12" customFormat="1" x14ac:dyDescent="0.25"/>
    <row r="8566" s="12" customFormat="1" x14ac:dyDescent="0.25"/>
    <row r="8567" s="12" customFormat="1" x14ac:dyDescent="0.25"/>
    <row r="8568" s="12" customFormat="1" x14ac:dyDescent="0.25"/>
    <row r="8569" s="12" customFormat="1" x14ac:dyDescent="0.25"/>
    <row r="8570" s="12" customFormat="1" x14ac:dyDescent="0.25"/>
    <row r="8571" s="12" customFormat="1" x14ac:dyDescent="0.25"/>
    <row r="8572" s="12" customFormat="1" x14ac:dyDescent="0.25"/>
    <row r="8573" s="12" customFormat="1" x14ac:dyDescent="0.25"/>
    <row r="8574" s="12" customFormat="1" x14ac:dyDescent="0.25"/>
    <row r="8575" s="12" customFormat="1" x14ac:dyDescent="0.25"/>
    <row r="8576" s="12" customFormat="1" x14ac:dyDescent="0.25"/>
    <row r="8577" s="12" customFormat="1" x14ac:dyDescent="0.25"/>
    <row r="8578" s="12" customFormat="1" x14ac:dyDescent="0.25"/>
    <row r="8579" s="12" customFormat="1" x14ac:dyDescent="0.25"/>
    <row r="8580" s="12" customFormat="1" x14ac:dyDescent="0.25"/>
    <row r="8581" s="12" customFormat="1" x14ac:dyDescent="0.25"/>
    <row r="8582" s="12" customFormat="1" x14ac:dyDescent="0.25"/>
    <row r="8583" s="12" customFormat="1" x14ac:dyDescent="0.25"/>
    <row r="8584" s="12" customFormat="1" x14ac:dyDescent="0.25"/>
    <row r="8585" s="12" customFormat="1" x14ac:dyDescent="0.25"/>
    <row r="8586" s="12" customFormat="1" x14ac:dyDescent="0.25"/>
    <row r="8587" s="12" customFormat="1" x14ac:dyDescent="0.25"/>
    <row r="8588" s="12" customFormat="1" x14ac:dyDescent="0.25"/>
    <row r="8589" s="12" customFormat="1" x14ac:dyDescent="0.25"/>
    <row r="8590" s="12" customFormat="1" x14ac:dyDescent="0.25"/>
    <row r="8591" s="12" customFormat="1" x14ac:dyDescent="0.25"/>
    <row r="8592" s="12" customFormat="1" x14ac:dyDescent="0.25"/>
    <row r="8593" s="12" customFormat="1" x14ac:dyDescent="0.25"/>
    <row r="8594" s="12" customFormat="1" x14ac:dyDescent="0.25"/>
    <row r="8595" s="12" customFormat="1" x14ac:dyDescent="0.25"/>
    <row r="8596" s="12" customFormat="1" x14ac:dyDescent="0.25"/>
    <row r="8597" s="12" customFormat="1" x14ac:dyDescent="0.25"/>
    <row r="8598" s="12" customFormat="1" x14ac:dyDescent="0.25"/>
    <row r="8599" s="12" customFormat="1" x14ac:dyDescent="0.25"/>
    <row r="8600" s="12" customFormat="1" x14ac:dyDescent="0.25"/>
    <row r="8601" s="12" customFormat="1" x14ac:dyDescent="0.25"/>
    <row r="8602" s="12" customFormat="1" x14ac:dyDescent="0.25"/>
    <row r="8603" s="12" customFormat="1" x14ac:dyDescent="0.25"/>
    <row r="8604" s="12" customFormat="1" x14ac:dyDescent="0.25"/>
    <row r="8605" s="12" customFormat="1" x14ac:dyDescent="0.25"/>
    <row r="8606" s="12" customFormat="1" x14ac:dyDescent="0.25"/>
    <row r="8607" s="12" customFormat="1" x14ac:dyDescent="0.25"/>
    <row r="8608" s="12" customFormat="1" x14ac:dyDescent="0.25"/>
    <row r="8609" s="12" customFormat="1" x14ac:dyDescent="0.25"/>
    <row r="8610" s="12" customFormat="1" x14ac:dyDescent="0.25"/>
    <row r="8611" s="12" customFormat="1" x14ac:dyDescent="0.25"/>
    <row r="8612" s="12" customFormat="1" x14ac:dyDescent="0.25"/>
    <row r="8613" s="12" customFormat="1" x14ac:dyDescent="0.25"/>
    <row r="8614" s="12" customFormat="1" x14ac:dyDescent="0.25"/>
    <row r="8615" s="12" customFormat="1" x14ac:dyDescent="0.25"/>
    <row r="8616" s="12" customFormat="1" x14ac:dyDescent="0.25"/>
    <row r="8617" s="12" customFormat="1" x14ac:dyDescent="0.25"/>
    <row r="8618" s="12" customFormat="1" x14ac:dyDescent="0.25"/>
    <row r="8619" s="12" customFormat="1" x14ac:dyDescent="0.25"/>
    <row r="8620" s="12" customFormat="1" x14ac:dyDescent="0.25"/>
    <row r="8621" s="12" customFormat="1" x14ac:dyDescent="0.25"/>
    <row r="8622" s="12" customFormat="1" x14ac:dyDescent="0.25"/>
    <row r="8623" s="12" customFormat="1" x14ac:dyDescent="0.25"/>
    <row r="8624" s="12" customFormat="1" x14ac:dyDescent="0.25"/>
    <row r="8625" s="12" customFormat="1" x14ac:dyDescent="0.25"/>
    <row r="8626" s="12" customFormat="1" x14ac:dyDescent="0.25"/>
    <row r="8627" s="12" customFormat="1" x14ac:dyDescent="0.25"/>
    <row r="8628" s="12" customFormat="1" x14ac:dyDescent="0.25"/>
    <row r="8629" s="12" customFormat="1" x14ac:dyDescent="0.25"/>
    <row r="8630" s="12" customFormat="1" x14ac:dyDescent="0.25"/>
    <row r="8631" s="12" customFormat="1" x14ac:dyDescent="0.25"/>
    <row r="8632" s="12" customFormat="1" x14ac:dyDescent="0.25"/>
    <row r="8633" s="12" customFormat="1" x14ac:dyDescent="0.25"/>
    <row r="8634" s="12" customFormat="1" x14ac:dyDescent="0.25"/>
    <row r="8635" s="12" customFormat="1" x14ac:dyDescent="0.25"/>
    <row r="8636" s="12" customFormat="1" x14ac:dyDescent="0.25"/>
    <row r="8637" s="12" customFormat="1" x14ac:dyDescent="0.25"/>
    <row r="8638" s="12" customFormat="1" x14ac:dyDescent="0.25"/>
    <row r="8639" s="12" customFormat="1" x14ac:dyDescent="0.25"/>
    <row r="8640" s="12" customFormat="1" x14ac:dyDescent="0.25"/>
    <row r="8641" s="12" customFormat="1" x14ac:dyDescent="0.25"/>
    <row r="8642" s="12" customFormat="1" x14ac:dyDescent="0.25"/>
    <row r="8643" s="12" customFormat="1" x14ac:dyDescent="0.25"/>
    <row r="8644" s="12" customFormat="1" x14ac:dyDescent="0.25"/>
    <row r="8645" s="12" customFormat="1" x14ac:dyDescent="0.25"/>
    <row r="8646" s="12" customFormat="1" x14ac:dyDescent="0.25"/>
    <row r="8647" s="12" customFormat="1" x14ac:dyDescent="0.25"/>
    <row r="8648" s="12" customFormat="1" x14ac:dyDescent="0.25"/>
    <row r="8649" s="12" customFormat="1" x14ac:dyDescent="0.25"/>
    <row r="8650" s="12" customFormat="1" x14ac:dyDescent="0.25"/>
    <row r="8651" s="12" customFormat="1" x14ac:dyDescent="0.25"/>
    <row r="8652" s="12" customFormat="1" x14ac:dyDescent="0.25"/>
    <row r="8653" s="12" customFormat="1" x14ac:dyDescent="0.25"/>
    <row r="8654" s="12" customFormat="1" x14ac:dyDescent="0.25"/>
    <row r="8655" s="12" customFormat="1" x14ac:dyDescent="0.25"/>
    <row r="8656" s="12" customFormat="1" x14ac:dyDescent="0.25"/>
    <row r="8657" s="12" customFormat="1" x14ac:dyDescent="0.25"/>
    <row r="8658" s="12" customFormat="1" x14ac:dyDescent="0.25"/>
    <row r="8659" s="12" customFormat="1" x14ac:dyDescent="0.25"/>
    <row r="8660" s="12" customFormat="1" x14ac:dyDescent="0.25"/>
    <row r="8661" s="12" customFormat="1" x14ac:dyDescent="0.25"/>
    <row r="8662" s="12" customFormat="1" x14ac:dyDescent="0.25"/>
    <row r="8663" s="12" customFormat="1" x14ac:dyDescent="0.25"/>
    <row r="8664" s="12" customFormat="1" x14ac:dyDescent="0.25"/>
    <row r="8665" s="12" customFormat="1" x14ac:dyDescent="0.25"/>
    <row r="8666" s="12" customFormat="1" x14ac:dyDescent="0.25"/>
    <row r="8667" s="12" customFormat="1" x14ac:dyDescent="0.25"/>
    <row r="8668" s="12" customFormat="1" x14ac:dyDescent="0.25"/>
    <row r="8669" s="12" customFormat="1" x14ac:dyDescent="0.25"/>
    <row r="8670" s="12" customFormat="1" x14ac:dyDescent="0.25"/>
    <row r="8671" s="12" customFormat="1" x14ac:dyDescent="0.25"/>
    <row r="8672" s="12" customFormat="1" x14ac:dyDescent="0.25"/>
    <row r="8673" s="12" customFormat="1" x14ac:dyDescent="0.25"/>
    <row r="8674" s="12" customFormat="1" x14ac:dyDescent="0.25"/>
    <row r="8675" s="12" customFormat="1" x14ac:dyDescent="0.25"/>
    <row r="8676" s="12" customFormat="1" x14ac:dyDescent="0.25"/>
    <row r="8677" s="12" customFormat="1" x14ac:dyDescent="0.25"/>
    <row r="8678" s="12" customFormat="1" x14ac:dyDescent="0.25"/>
    <row r="8679" s="12" customFormat="1" x14ac:dyDescent="0.25"/>
    <row r="8680" s="12" customFormat="1" x14ac:dyDescent="0.25"/>
    <row r="8681" s="12" customFormat="1" x14ac:dyDescent="0.25"/>
    <row r="8682" s="12" customFormat="1" x14ac:dyDescent="0.25"/>
    <row r="8683" s="12" customFormat="1" x14ac:dyDescent="0.25"/>
    <row r="8684" s="12" customFormat="1" x14ac:dyDescent="0.25"/>
    <row r="8685" s="12" customFormat="1" x14ac:dyDescent="0.25"/>
    <row r="8686" s="12" customFormat="1" x14ac:dyDescent="0.25"/>
    <row r="8687" s="12" customFormat="1" x14ac:dyDescent="0.25"/>
    <row r="8688" s="12" customFormat="1" x14ac:dyDescent="0.25"/>
    <row r="8689" s="12" customFormat="1" x14ac:dyDescent="0.25"/>
    <row r="8690" s="12" customFormat="1" x14ac:dyDescent="0.25"/>
    <row r="8691" s="12" customFormat="1" x14ac:dyDescent="0.25"/>
    <row r="8692" s="12" customFormat="1" x14ac:dyDescent="0.25"/>
    <row r="8693" s="12" customFormat="1" x14ac:dyDescent="0.25"/>
    <row r="8694" s="12" customFormat="1" x14ac:dyDescent="0.25"/>
    <row r="8695" s="12" customFormat="1" x14ac:dyDescent="0.25"/>
    <row r="8696" s="12" customFormat="1" x14ac:dyDescent="0.25"/>
    <row r="8697" s="12" customFormat="1" x14ac:dyDescent="0.25"/>
    <row r="8698" s="12" customFormat="1" x14ac:dyDescent="0.25"/>
    <row r="8699" s="12" customFormat="1" x14ac:dyDescent="0.25"/>
    <row r="8700" s="12" customFormat="1" x14ac:dyDescent="0.25"/>
    <row r="8701" s="12" customFormat="1" x14ac:dyDescent="0.25"/>
    <row r="8702" s="12" customFormat="1" x14ac:dyDescent="0.25"/>
    <row r="8703" s="12" customFormat="1" x14ac:dyDescent="0.25"/>
    <row r="8704" s="12" customFormat="1" x14ac:dyDescent="0.25"/>
    <row r="8705" s="12" customFormat="1" x14ac:dyDescent="0.25"/>
    <row r="8706" s="12" customFormat="1" x14ac:dyDescent="0.25"/>
    <row r="8707" s="12" customFormat="1" x14ac:dyDescent="0.25"/>
    <row r="8708" s="12" customFormat="1" x14ac:dyDescent="0.25"/>
    <row r="8709" s="12" customFormat="1" x14ac:dyDescent="0.25"/>
    <row r="8710" s="12" customFormat="1" x14ac:dyDescent="0.25"/>
    <row r="8711" s="12" customFormat="1" x14ac:dyDescent="0.25"/>
    <row r="8712" s="12" customFormat="1" x14ac:dyDescent="0.25"/>
    <row r="8713" s="12" customFormat="1" x14ac:dyDescent="0.25"/>
    <row r="8714" s="12" customFormat="1" x14ac:dyDescent="0.25"/>
    <row r="8715" s="12" customFormat="1" x14ac:dyDescent="0.25"/>
    <row r="8716" s="12" customFormat="1" x14ac:dyDescent="0.25"/>
    <row r="8717" s="12" customFormat="1" x14ac:dyDescent="0.25"/>
    <row r="8718" s="12" customFormat="1" x14ac:dyDescent="0.25"/>
    <row r="8719" s="12" customFormat="1" x14ac:dyDescent="0.25"/>
    <row r="8720" s="12" customFormat="1" x14ac:dyDescent="0.25"/>
    <row r="8721" s="12" customFormat="1" x14ac:dyDescent="0.25"/>
    <row r="8722" s="12" customFormat="1" x14ac:dyDescent="0.25"/>
    <row r="8723" s="12" customFormat="1" x14ac:dyDescent="0.25"/>
    <row r="8724" s="12" customFormat="1" x14ac:dyDescent="0.25"/>
    <row r="8725" s="12" customFormat="1" x14ac:dyDescent="0.25"/>
    <row r="8726" s="12" customFormat="1" x14ac:dyDescent="0.25"/>
    <row r="8727" s="12" customFormat="1" x14ac:dyDescent="0.25"/>
    <row r="8728" s="12" customFormat="1" x14ac:dyDescent="0.25"/>
    <row r="8729" s="12" customFormat="1" x14ac:dyDescent="0.25"/>
    <row r="8730" s="12" customFormat="1" x14ac:dyDescent="0.25"/>
    <row r="8731" s="12" customFormat="1" x14ac:dyDescent="0.25"/>
    <row r="8732" s="12" customFormat="1" x14ac:dyDescent="0.25"/>
    <row r="8733" s="12" customFormat="1" x14ac:dyDescent="0.25"/>
    <row r="8734" s="12" customFormat="1" x14ac:dyDescent="0.25"/>
    <row r="8735" s="12" customFormat="1" x14ac:dyDescent="0.25"/>
    <row r="8736" s="12" customFormat="1" x14ac:dyDescent="0.25"/>
    <row r="8737" s="12" customFormat="1" x14ac:dyDescent="0.25"/>
    <row r="8738" s="12" customFormat="1" x14ac:dyDescent="0.25"/>
    <row r="8739" s="12" customFormat="1" x14ac:dyDescent="0.25"/>
    <row r="8740" s="12" customFormat="1" x14ac:dyDescent="0.25"/>
    <row r="8741" s="12" customFormat="1" x14ac:dyDescent="0.25"/>
    <row r="8742" s="12" customFormat="1" x14ac:dyDescent="0.25"/>
    <row r="8743" s="12" customFormat="1" x14ac:dyDescent="0.25"/>
    <row r="8744" s="12" customFormat="1" x14ac:dyDescent="0.25"/>
    <row r="8745" s="12" customFormat="1" x14ac:dyDescent="0.25"/>
    <row r="8746" s="12" customFormat="1" x14ac:dyDescent="0.25"/>
    <row r="8747" s="12" customFormat="1" x14ac:dyDescent="0.25"/>
    <row r="8748" s="12" customFormat="1" x14ac:dyDescent="0.25"/>
    <row r="8749" s="12" customFormat="1" x14ac:dyDescent="0.25"/>
    <row r="8750" s="12" customFormat="1" x14ac:dyDescent="0.25"/>
    <row r="8751" s="12" customFormat="1" x14ac:dyDescent="0.25"/>
    <row r="8752" s="12" customFormat="1" x14ac:dyDescent="0.25"/>
    <row r="8753" s="12" customFormat="1" x14ac:dyDescent="0.25"/>
    <row r="8754" s="12" customFormat="1" x14ac:dyDescent="0.25"/>
    <row r="8755" s="12" customFormat="1" x14ac:dyDescent="0.25"/>
    <row r="8756" s="12" customFormat="1" x14ac:dyDescent="0.25"/>
    <row r="8757" s="12" customFormat="1" x14ac:dyDescent="0.25"/>
    <row r="8758" s="12" customFormat="1" x14ac:dyDescent="0.25"/>
    <row r="8759" s="12" customFormat="1" x14ac:dyDescent="0.25"/>
    <row r="8760" s="12" customFormat="1" x14ac:dyDescent="0.25"/>
    <row r="8761" s="12" customFormat="1" x14ac:dyDescent="0.25"/>
    <row r="8762" s="12" customFormat="1" x14ac:dyDescent="0.25"/>
    <row r="8763" s="12" customFormat="1" x14ac:dyDescent="0.25"/>
    <row r="8764" s="12" customFormat="1" x14ac:dyDescent="0.25"/>
    <row r="8765" s="12" customFormat="1" x14ac:dyDescent="0.25"/>
    <row r="8766" s="12" customFormat="1" x14ac:dyDescent="0.25"/>
    <row r="8767" s="12" customFormat="1" x14ac:dyDescent="0.25"/>
    <row r="8768" s="12" customFormat="1" x14ac:dyDescent="0.25"/>
    <row r="8769" s="12" customFormat="1" x14ac:dyDescent="0.25"/>
    <row r="8770" s="12" customFormat="1" x14ac:dyDescent="0.25"/>
    <row r="8771" s="12" customFormat="1" x14ac:dyDescent="0.25"/>
    <row r="8772" s="12" customFormat="1" x14ac:dyDescent="0.25"/>
    <row r="8773" s="12" customFormat="1" x14ac:dyDescent="0.25"/>
    <row r="8774" s="12" customFormat="1" x14ac:dyDescent="0.25"/>
    <row r="8775" s="12" customFormat="1" x14ac:dyDescent="0.25"/>
    <row r="8776" s="12" customFormat="1" x14ac:dyDescent="0.25"/>
    <row r="8777" s="12" customFormat="1" x14ac:dyDescent="0.25"/>
    <row r="8778" s="12" customFormat="1" x14ac:dyDescent="0.25"/>
    <row r="8779" s="12" customFormat="1" x14ac:dyDescent="0.25"/>
    <row r="8780" s="12" customFormat="1" x14ac:dyDescent="0.25"/>
    <row r="8781" s="12" customFormat="1" x14ac:dyDescent="0.25"/>
    <row r="8782" s="12" customFormat="1" x14ac:dyDescent="0.25"/>
    <row r="8783" s="12" customFormat="1" x14ac:dyDescent="0.25"/>
    <row r="8784" s="12" customFormat="1" x14ac:dyDescent="0.25"/>
    <row r="8785" s="12" customFormat="1" x14ac:dyDescent="0.25"/>
    <row r="8786" s="12" customFormat="1" x14ac:dyDescent="0.25"/>
    <row r="8787" s="12" customFormat="1" x14ac:dyDescent="0.25"/>
    <row r="8788" s="12" customFormat="1" x14ac:dyDescent="0.25"/>
    <row r="8789" s="12" customFormat="1" x14ac:dyDescent="0.25"/>
    <row r="8790" s="12" customFormat="1" x14ac:dyDescent="0.25"/>
    <row r="8791" s="12" customFormat="1" x14ac:dyDescent="0.25"/>
    <row r="8792" s="12" customFormat="1" x14ac:dyDescent="0.25"/>
    <row r="8793" s="12" customFormat="1" x14ac:dyDescent="0.25"/>
    <row r="8794" s="12" customFormat="1" x14ac:dyDescent="0.25"/>
    <row r="8795" s="12" customFormat="1" x14ac:dyDescent="0.25"/>
    <row r="8796" s="12" customFormat="1" x14ac:dyDescent="0.25"/>
    <row r="8797" s="12" customFormat="1" x14ac:dyDescent="0.25"/>
    <row r="8798" s="12" customFormat="1" x14ac:dyDescent="0.25"/>
    <row r="8799" s="12" customFormat="1" x14ac:dyDescent="0.25"/>
    <row r="8800" s="12" customFormat="1" x14ac:dyDescent="0.25"/>
    <row r="8801" s="12" customFormat="1" x14ac:dyDescent="0.25"/>
    <row r="8802" s="12" customFormat="1" x14ac:dyDescent="0.25"/>
    <row r="8803" s="12" customFormat="1" x14ac:dyDescent="0.25"/>
    <row r="8804" s="12" customFormat="1" x14ac:dyDescent="0.25"/>
    <row r="8805" s="12" customFormat="1" x14ac:dyDescent="0.25"/>
    <row r="8806" s="12" customFormat="1" x14ac:dyDescent="0.25"/>
    <row r="8807" s="12" customFormat="1" x14ac:dyDescent="0.25"/>
    <row r="8808" s="12" customFormat="1" x14ac:dyDescent="0.25"/>
    <row r="8809" s="12" customFormat="1" x14ac:dyDescent="0.25"/>
    <row r="8810" s="12" customFormat="1" x14ac:dyDescent="0.25"/>
    <row r="8811" s="12" customFormat="1" x14ac:dyDescent="0.25"/>
    <row r="8812" s="12" customFormat="1" x14ac:dyDescent="0.25"/>
    <row r="8813" s="12" customFormat="1" x14ac:dyDescent="0.25"/>
    <row r="8814" s="12" customFormat="1" x14ac:dyDescent="0.25"/>
    <row r="8815" s="12" customFormat="1" x14ac:dyDescent="0.25"/>
    <row r="8816" s="12" customFormat="1" x14ac:dyDescent="0.25"/>
    <row r="8817" s="12" customFormat="1" x14ac:dyDescent="0.25"/>
    <row r="8818" s="12" customFormat="1" x14ac:dyDescent="0.25"/>
    <row r="8819" s="12" customFormat="1" x14ac:dyDescent="0.25"/>
    <row r="8820" s="12" customFormat="1" x14ac:dyDescent="0.25"/>
    <row r="8821" s="12" customFormat="1" x14ac:dyDescent="0.25"/>
    <row r="8822" s="12" customFormat="1" x14ac:dyDescent="0.25"/>
    <row r="8823" s="12" customFormat="1" x14ac:dyDescent="0.25"/>
    <row r="8824" s="12" customFormat="1" x14ac:dyDescent="0.25"/>
    <row r="8825" s="12" customFormat="1" x14ac:dyDescent="0.25"/>
    <row r="8826" s="12" customFormat="1" x14ac:dyDescent="0.25"/>
    <row r="8827" s="12" customFormat="1" x14ac:dyDescent="0.25"/>
    <row r="8828" s="12" customFormat="1" x14ac:dyDescent="0.25"/>
    <row r="8829" s="12" customFormat="1" x14ac:dyDescent="0.25"/>
    <row r="8830" s="12" customFormat="1" x14ac:dyDescent="0.25"/>
    <row r="8831" s="12" customFormat="1" x14ac:dyDescent="0.25"/>
    <row r="8832" s="12" customFormat="1" x14ac:dyDescent="0.25"/>
    <row r="8833" s="12" customFormat="1" x14ac:dyDescent="0.25"/>
    <row r="8834" s="12" customFormat="1" x14ac:dyDescent="0.25"/>
    <row r="8835" s="12" customFormat="1" x14ac:dyDescent="0.25"/>
    <row r="8836" s="12" customFormat="1" x14ac:dyDescent="0.25"/>
    <row r="8837" s="12" customFormat="1" x14ac:dyDescent="0.25"/>
    <row r="8838" s="12" customFormat="1" x14ac:dyDescent="0.25"/>
    <row r="8839" s="12" customFormat="1" x14ac:dyDescent="0.25"/>
    <row r="8840" s="12" customFormat="1" x14ac:dyDescent="0.25"/>
    <row r="8841" s="12" customFormat="1" x14ac:dyDescent="0.25"/>
    <row r="8842" s="12" customFormat="1" x14ac:dyDescent="0.25"/>
    <row r="8843" s="12" customFormat="1" x14ac:dyDescent="0.25"/>
    <row r="8844" s="12" customFormat="1" x14ac:dyDescent="0.25"/>
    <row r="8845" s="12" customFormat="1" x14ac:dyDescent="0.25"/>
    <row r="8846" s="12" customFormat="1" x14ac:dyDescent="0.25"/>
    <row r="8847" s="12" customFormat="1" x14ac:dyDescent="0.25"/>
    <row r="8848" s="12" customFormat="1" x14ac:dyDescent="0.25"/>
    <row r="8849" s="12" customFormat="1" x14ac:dyDescent="0.25"/>
    <row r="8850" s="12" customFormat="1" x14ac:dyDescent="0.25"/>
    <row r="8851" s="12" customFormat="1" x14ac:dyDescent="0.25"/>
    <row r="8852" s="12" customFormat="1" x14ac:dyDescent="0.25"/>
    <row r="8853" s="12" customFormat="1" x14ac:dyDescent="0.25"/>
    <row r="8854" s="12" customFormat="1" x14ac:dyDescent="0.25"/>
    <row r="8855" s="12" customFormat="1" x14ac:dyDescent="0.25"/>
    <row r="8856" s="12" customFormat="1" x14ac:dyDescent="0.25"/>
    <row r="8857" s="12" customFormat="1" x14ac:dyDescent="0.25"/>
    <row r="8858" s="12" customFormat="1" x14ac:dyDescent="0.25"/>
    <row r="8859" s="12" customFormat="1" x14ac:dyDescent="0.25"/>
    <row r="8860" s="12" customFormat="1" x14ac:dyDescent="0.25"/>
    <row r="8861" s="12" customFormat="1" x14ac:dyDescent="0.25"/>
    <row r="8862" s="12" customFormat="1" x14ac:dyDescent="0.25"/>
    <row r="8863" s="12" customFormat="1" x14ac:dyDescent="0.25"/>
    <row r="8864" s="12" customFormat="1" x14ac:dyDescent="0.25"/>
    <row r="8865" s="12" customFormat="1" x14ac:dyDescent="0.25"/>
    <row r="8866" s="12" customFormat="1" x14ac:dyDescent="0.25"/>
    <row r="8867" s="12" customFormat="1" x14ac:dyDescent="0.25"/>
    <row r="8868" s="12" customFormat="1" x14ac:dyDescent="0.25"/>
    <row r="8869" s="12" customFormat="1" x14ac:dyDescent="0.25"/>
    <row r="8870" s="12" customFormat="1" x14ac:dyDescent="0.25"/>
    <row r="8871" s="12" customFormat="1" x14ac:dyDescent="0.25"/>
    <row r="8872" s="12" customFormat="1" x14ac:dyDescent="0.25"/>
    <row r="8873" s="12" customFormat="1" x14ac:dyDescent="0.25"/>
    <row r="8874" s="12" customFormat="1" x14ac:dyDescent="0.25"/>
    <row r="8875" s="12" customFormat="1" x14ac:dyDescent="0.25"/>
    <row r="8876" s="12" customFormat="1" x14ac:dyDescent="0.25"/>
    <row r="8877" s="12" customFormat="1" x14ac:dyDescent="0.25"/>
    <row r="8878" s="12" customFormat="1" x14ac:dyDescent="0.25"/>
    <row r="8879" s="12" customFormat="1" x14ac:dyDescent="0.25"/>
    <row r="8880" s="12" customFormat="1" x14ac:dyDescent="0.25"/>
    <row r="8881" s="12" customFormat="1" x14ac:dyDescent="0.25"/>
    <row r="8882" s="12" customFormat="1" x14ac:dyDescent="0.25"/>
    <row r="8883" s="12" customFormat="1" x14ac:dyDescent="0.25"/>
    <row r="8884" s="12" customFormat="1" x14ac:dyDescent="0.25"/>
    <row r="8885" s="12" customFormat="1" x14ac:dyDescent="0.25"/>
    <row r="8886" s="12" customFormat="1" x14ac:dyDescent="0.25"/>
    <row r="8887" s="12" customFormat="1" x14ac:dyDescent="0.25"/>
    <row r="8888" s="12" customFormat="1" x14ac:dyDescent="0.25"/>
    <row r="8889" s="12" customFormat="1" x14ac:dyDescent="0.25"/>
    <row r="8890" s="12" customFormat="1" x14ac:dyDescent="0.25"/>
    <row r="8891" s="12" customFormat="1" x14ac:dyDescent="0.25"/>
    <row r="8892" s="12" customFormat="1" x14ac:dyDescent="0.25"/>
    <row r="8893" s="12" customFormat="1" x14ac:dyDescent="0.25"/>
    <row r="8894" s="12" customFormat="1" x14ac:dyDescent="0.25"/>
    <row r="8895" s="12" customFormat="1" x14ac:dyDescent="0.25"/>
    <row r="8896" s="12" customFormat="1" x14ac:dyDescent="0.25"/>
    <row r="8897" s="12" customFormat="1" x14ac:dyDescent="0.25"/>
    <row r="8898" s="12" customFormat="1" x14ac:dyDescent="0.25"/>
    <row r="8899" s="12" customFormat="1" x14ac:dyDescent="0.25"/>
    <row r="8900" s="12" customFormat="1" x14ac:dyDescent="0.25"/>
    <row r="8901" s="12" customFormat="1" x14ac:dyDescent="0.25"/>
    <row r="8902" s="12" customFormat="1" x14ac:dyDescent="0.25"/>
    <row r="8903" s="12" customFormat="1" x14ac:dyDescent="0.25"/>
    <row r="8904" s="12" customFormat="1" x14ac:dyDescent="0.25"/>
    <row r="8905" s="12" customFormat="1" x14ac:dyDescent="0.25"/>
    <row r="8906" s="12" customFormat="1" x14ac:dyDescent="0.25"/>
    <row r="8907" s="12" customFormat="1" x14ac:dyDescent="0.25"/>
    <row r="8908" s="12" customFormat="1" x14ac:dyDescent="0.25"/>
    <row r="8909" s="12" customFormat="1" x14ac:dyDescent="0.25"/>
    <row r="8910" s="12" customFormat="1" x14ac:dyDescent="0.25"/>
    <row r="8911" s="12" customFormat="1" x14ac:dyDescent="0.25"/>
    <row r="8912" s="12" customFormat="1" x14ac:dyDescent="0.25"/>
    <row r="8913" s="12" customFormat="1" x14ac:dyDescent="0.25"/>
    <row r="8914" s="12" customFormat="1" x14ac:dyDescent="0.25"/>
    <row r="8915" s="12" customFormat="1" x14ac:dyDescent="0.25"/>
    <row r="8916" s="12" customFormat="1" x14ac:dyDescent="0.25"/>
    <row r="8917" s="12" customFormat="1" x14ac:dyDescent="0.25"/>
    <row r="8918" s="12" customFormat="1" x14ac:dyDescent="0.25"/>
    <row r="8919" s="12" customFormat="1" x14ac:dyDescent="0.25"/>
    <row r="8920" s="12" customFormat="1" x14ac:dyDescent="0.25"/>
    <row r="8921" s="12" customFormat="1" x14ac:dyDescent="0.25"/>
    <row r="8922" s="12" customFormat="1" x14ac:dyDescent="0.25"/>
    <row r="8923" s="12" customFormat="1" x14ac:dyDescent="0.25"/>
    <row r="8924" s="12" customFormat="1" x14ac:dyDescent="0.25"/>
    <row r="8925" s="12" customFormat="1" x14ac:dyDescent="0.25"/>
    <row r="8926" s="12" customFormat="1" x14ac:dyDescent="0.25"/>
    <row r="8927" s="12" customFormat="1" x14ac:dyDescent="0.25"/>
    <row r="8928" s="12" customFormat="1" x14ac:dyDescent="0.25"/>
    <row r="8929" s="12" customFormat="1" x14ac:dyDescent="0.25"/>
    <row r="8930" s="12" customFormat="1" x14ac:dyDescent="0.25"/>
    <row r="8931" s="12" customFormat="1" x14ac:dyDescent="0.25"/>
    <row r="8932" s="12" customFormat="1" x14ac:dyDescent="0.25"/>
    <row r="8933" s="12" customFormat="1" x14ac:dyDescent="0.25"/>
    <row r="8934" s="12" customFormat="1" x14ac:dyDescent="0.25"/>
    <row r="8935" s="12" customFormat="1" x14ac:dyDescent="0.25"/>
    <row r="8936" s="12" customFormat="1" x14ac:dyDescent="0.25"/>
    <row r="8937" s="12" customFormat="1" x14ac:dyDescent="0.25"/>
    <row r="8938" s="12" customFormat="1" x14ac:dyDescent="0.25"/>
    <row r="8939" s="12" customFormat="1" x14ac:dyDescent="0.25"/>
    <row r="8940" s="12" customFormat="1" x14ac:dyDescent="0.25"/>
    <row r="8941" s="12" customFormat="1" x14ac:dyDescent="0.25"/>
    <row r="8942" s="12" customFormat="1" x14ac:dyDescent="0.25"/>
    <row r="8943" s="12" customFormat="1" x14ac:dyDescent="0.25"/>
    <row r="8944" s="12" customFormat="1" x14ac:dyDescent="0.25"/>
    <row r="8945" s="12" customFormat="1" x14ac:dyDescent="0.25"/>
    <row r="8946" s="12" customFormat="1" x14ac:dyDescent="0.25"/>
    <row r="8947" s="12" customFormat="1" x14ac:dyDescent="0.25"/>
    <row r="8948" s="12" customFormat="1" x14ac:dyDescent="0.25"/>
    <row r="8949" s="12" customFormat="1" x14ac:dyDescent="0.25"/>
    <row r="8950" s="12" customFormat="1" x14ac:dyDescent="0.25"/>
    <row r="8951" s="12" customFormat="1" x14ac:dyDescent="0.25"/>
    <row r="8952" s="12" customFormat="1" x14ac:dyDescent="0.25"/>
    <row r="8953" s="12" customFormat="1" x14ac:dyDescent="0.25"/>
    <row r="8954" s="12" customFormat="1" x14ac:dyDescent="0.25"/>
    <row r="8955" s="12" customFormat="1" x14ac:dyDescent="0.25"/>
    <row r="8956" s="12" customFormat="1" x14ac:dyDescent="0.25"/>
    <row r="8957" s="12" customFormat="1" x14ac:dyDescent="0.25"/>
    <row r="8958" s="12" customFormat="1" x14ac:dyDescent="0.25"/>
    <row r="8959" s="12" customFormat="1" x14ac:dyDescent="0.25"/>
    <row r="8960" s="12" customFormat="1" x14ac:dyDescent="0.25"/>
    <row r="8961" s="12" customFormat="1" x14ac:dyDescent="0.25"/>
    <row r="8962" s="12" customFormat="1" x14ac:dyDescent="0.25"/>
    <row r="8963" s="12" customFormat="1" x14ac:dyDescent="0.25"/>
    <row r="8964" s="12" customFormat="1" x14ac:dyDescent="0.25"/>
    <row r="8965" s="12" customFormat="1" x14ac:dyDescent="0.25"/>
    <row r="8966" s="12" customFormat="1" x14ac:dyDescent="0.25"/>
    <row r="8967" s="12" customFormat="1" x14ac:dyDescent="0.25"/>
    <row r="8968" s="12" customFormat="1" x14ac:dyDescent="0.25"/>
    <row r="8969" s="12" customFormat="1" x14ac:dyDescent="0.25"/>
    <row r="8970" s="12" customFormat="1" x14ac:dyDescent="0.25"/>
    <row r="8971" s="12" customFormat="1" x14ac:dyDescent="0.25"/>
    <row r="8972" s="12" customFormat="1" x14ac:dyDescent="0.25"/>
    <row r="8973" s="12" customFormat="1" x14ac:dyDescent="0.25"/>
    <row r="8974" s="12" customFormat="1" x14ac:dyDescent="0.25"/>
    <row r="8975" s="12" customFormat="1" x14ac:dyDescent="0.25"/>
    <row r="8976" s="12" customFormat="1" x14ac:dyDescent="0.25"/>
    <row r="8977" s="12" customFormat="1" x14ac:dyDescent="0.25"/>
    <row r="8978" s="12" customFormat="1" x14ac:dyDescent="0.25"/>
    <row r="8979" s="12" customFormat="1" x14ac:dyDescent="0.25"/>
    <row r="8980" s="12" customFormat="1" x14ac:dyDescent="0.25"/>
    <row r="8981" s="12" customFormat="1" x14ac:dyDescent="0.25"/>
    <row r="8982" s="12" customFormat="1" x14ac:dyDescent="0.25"/>
    <row r="8983" s="12" customFormat="1" x14ac:dyDescent="0.25"/>
    <row r="8984" s="12" customFormat="1" x14ac:dyDescent="0.25"/>
    <row r="8985" s="12" customFormat="1" x14ac:dyDescent="0.25"/>
    <row r="8986" s="12" customFormat="1" x14ac:dyDescent="0.25"/>
    <row r="8987" s="12" customFormat="1" x14ac:dyDescent="0.25"/>
    <row r="8988" s="12" customFormat="1" x14ac:dyDescent="0.25"/>
    <row r="8989" s="12" customFormat="1" x14ac:dyDescent="0.25"/>
    <row r="8990" s="12" customFormat="1" x14ac:dyDescent="0.25"/>
    <row r="8991" s="12" customFormat="1" x14ac:dyDescent="0.25"/>
    <row r="8992" s="12" customFormat="1" x14ac:dyDescent="0.25"/>
    <row r="8993" s="12" customFormat="1" x14ac:dyDescent="0.25"/>
    <row r="8994" s="12" customFormat="1" x14ac:dyDescent="0.25"/>
    <row r="8995" s="12" customFormat="1" x14ac:dyDescent="0.25"/>
    <row r="8996" s="12" customFormat="1" x14ac:dyDescent="0.25"/>
    <row r="8997" s="12" customFormat="1" x14ac:dyDescent="0.25"/>
    <row r="8998" s="12" customFormat="1" x14ac:dyDescent="0.25"/>
    <row r="8999" s="12" customFormat="1" x14ac:dyDescent="0.25"/>
    <row r="9000" s="12" customFormat="1" x14ac:dyDescent="0.25"/>
    <row r="9001" s="12" customFormat="1" x14ac:dyDescent="0.25"/>
    <row r="9002" s="12" customFormat="1" x14ac:dyDescent="0.25"/>
    <row r="9003" s="12" customFormat="1" x14ac:dyDescent="0.25"/>
    <row r="9004" s="12" customFormat="1" x14ac:dyDescent="0.25"/>
    <row r="9005" s="12" customFormat="1" x14ac:dyDescent="0.25"/>
    <row r="9006" s="12" customFormat="1" x14ac:dyDescent="0.25"/>
    <row r="9007" s="12" customFormat="1" x14ac:dyDescent="0.25"/>
    <row r="9008" s="12" customFormat="1" x14ac:dyDescent="0.25"/>
    <row r="9009" s="12" customFormat="1" x14ac:dyDescent="0.25"/>
    <row r="9010" s="12" customFormat="1" x14ac:dyDescent="0.25"/>
    <row r="9011" s="12" customFormat="1" x14ac:dyDescent="0.25"/>
    <row r="9012" s="12" customFormat="1" x14ac:dyDescent="0.25"/>
    <row r="9013" s="12" customFormat="1" x14ac:dyDescent="0.25"/>
    <row r="9014" s="12" customFormat="1" x14ac:dyDescent="0.25"/>
    <row r="9015" s="12" customFormat="1" x14ac:dyDescent="0.25"/>
    <row r="9016" s="12" customFormat="1" x14ac:dyDescent="0.25"/>
    <row r="9017" s="12" customFormat="1" x14ac:dyDescent="0.25"/>
    <row r="9018" s="12" customFormat="1" x14ac:dyDescent="0.25"/>
    <row r="9019" s="12" customFormat="1" x14ac:dyDescent="0.25"/>
    <row r="9020" s="12" customFormat="1" x14ac:dyDescent="0.25"/>
    <row r="9021" s="12" customFormat="1" x14ac:dyDescent="0.25"/>
    <row r="9022" s="12" customFormat="1" x14ac:dyDescent="0.25"/>
    <row r="9023" s="12" customFormat="1" x14ac:dyDescent="0.25"/>
    <row r="9024" s="12" customFormat="1" x14ac:dyDescent="0.25"/>
    <row r="9025" s="12" customFormat="1" x14ac:dyDescent="0.25"/>
    <row r="9026" s="12" customFormat="1" x14ac:dyDescent="0.25"/>
    <row r="9027" s="12" customFormat="1" x14ac:dyDescent="0.25"/>
    <row r="9028" s="12" customFormat="1" x14ac:dyDescent="0.25"/>
    <row r="9029" s="12" customFormat="1" x14ac:dyDescent="0.25"/>
    <row r="9030" s="12" customFormat="1" x14ac:dyDescent="0.25"/>
    <row r="9031" s="12" customFormat="1" x14ac:dyDescent="0.25"/>
    <row r="9032" s="12" customFormat="1" x14ac:dyDescent="0.25"/>
    <row r="9033" s="12" customFormat="1" x14ac:dyDescent="0.25"/>
    <row r="9034" s="12" customFormat="1" x14ac:dyDescent="0.25"/>
    <row r="9035" s="12" customFormat="1" x14ac:dyDescent="0.25"/>
    <row r="9036" s="12" customFormat="1" x14ac:dyDescent="0.25"/>
    <row r="9037" s="12" customFormat="1" x14ac:dyDescent="0.25"/>
    <row r="9038" s="12" customFormat="1" x14ac:dyDescent="0.25"/>
    <row r="9039" s="12" customFormat="1" x14ac:dyDescent="0.25"/>
    <row r="9040" s="12" customFormat="1" x14ac:dyDescent="0.25"/>
    <row r="9041" s="12" customFormat="1" x14ac:dyDescent="0.25"/>
    <row r="9042" s="12" customFormat="1" x14ac:dyDescent="0.25"/>
    <row r="9043" s="12" customFormat="1" x14ac:dyDescent="0.25"/>
    <row r="9044" s="12" customFormat="1" x14ac:dyDescent="0.25"/>
    <row r="9045" s="12" customFormat="1" x14ac:dyDescent="0.25"/>
    <row r="9046" s="12" customFormat="1" x14ac:dyDescent="0.25"/>
    <row r="9047" s="12" customFormat="1" x14ac:dyDescent="0.25"/>
    <row r="9048" s="12" customFormat="1" x14ac:dyDescent="0.25"/>
    <row r="9049" s="12" customFormat="1" x14ac:dyDescent="0.25"/>
    <row r="9050" s="12" customFormat="1" x14ac:dyDescent="0.25"/>
    <row r="9051" s="12" customFormat="1" x14ac:dyDescent="0.25"/>
    <row r="9052" s="12" customFormat="1" x14ac:dyDescent="0.25"/>
    <row r="9053" s="12" customFormat="1" x14ac:dyDescent="0.25"/>
    <row r="9054" s="12" customFormat="1" x14ac:dyDescent="0.25"/>
    <row r="9055" s="12" customFormat="1" x14ac:dyDescent="0.25"/>
    <row r="9056" s="12" customFormat="1" x14ac:dyDescent="0.25"/>
    <row r="9057" s="12" customFormat="1" x14ac:dyDescent="0.25"/>
    <row r="9058" s="12" customFormat="1" x14ac:dyDescent="0.25"/>
    <row r="9059" s="12" customFormat="1" x14ac:dyDescent="0.25"/>
    <row r="9060" s="12" customFormat="1" x14ac:dyDescent="0.25"/>
    <row r="9061" s="12" customFormat="1" x14ac:dyDescent="0.25"/>
    <row r="9062" s="12" customFormat="1" x14ac:dyDescent="0.25"/>
    <row r="9063" s="12" customFormat="1" x14ac:dyDescent="0.25"/>
    <row r="9064" s="12" customFormat="1" x14ac:dyDescent="0.25"/>
    <row r="9065" s="12" customFormat="1" x14ac:dyDescent="0.25"/>
    <row r="9066" s="12" customFormat="1" x14ac:dyDescent="0.25"/>
    <row r="9067" s="12" customFormat="1" x14ac:dyDescent="0.25"/>
    <row r="9068" s="12" customFormat="1" x14ac:dyDescent="0.25"/>
    <row r="9069" s="12" customFormat="1" x14ac:dyDescent="0.25"/>
    <row r="9070" s="12" customFormat="1" x14ac:dyDescent="0.25"/>
    <row r="9071" s="12" customFormat="1" x14ac:dyDescent="0.25"/>
    <row r="9072" s="12" customFormat="1" x14ac:dyDescent="0.25"/>
    <row r="9073" s="12" customFormat="1" x14ac:dyDescent="0.25"/>
    <row r="9074" s="12" customFormat="1" x14ac:dyDescent="0.25"/>
    <row r="9075" s="12" customFormat="1" x14ac:dyDescent="0.25"/>
    <row r="9076" s="12" customFormat="1" x14ac:dyDescent="0.25"/>
    <row r="9077" s="12" customFormat="1" x14ac:dyDescent="0.25"/>
    <row r="9078" s="12" customFormat="1" x14ac:dyDescent="0.25"/>
    <row r="9079" s="12" customFormat="1" x14ac:dyDescent="0.25"/>
    <row r="9080" s="12" customFormat="1" x14ac:dyDescent="0.25"/>
    <row r="9081" s="12" customFormat="1" x14ac:dyDescent="0.25"/>
    <row r="9082" s="12" customFormat="1" x14ac:dyDescent="0.25"/>
    <row r="9083" s="12" customFormat="1" x14ac:dyDescent="0.25"/>
    <row r="9084" s="12" customFormat="1" x14ac:dyDescent="0.25"/>
    <row r="9085" s="12" customFormat="1" x14ac:dyDescent="0.25"/>
    <row r="9086" s="12" customFormat="1" x14ac:dyDescent="0.25"/>
    <row r="9087" s="12" customFormat="1" x14ac:dyDescent="0.25"/>
    <row r="9088" s="12" customFormat="1" x14ac:dyDescent="0.25"/>
    <row r="9089" s="12" customFormat="1" x14ac:dyDescent="0.25"/>
    <row r="9090" s="12" customFormat="1" x14ac:dyDescent="0.25"/>
    <row r="9091" s="12" customFormat="1" x14ac:dyDescent="0.25"/>
    <row r="9092" s="12" customFormat="1" x14ac:dyDescent="0.25"/>
    <row r="9093" s="12" customFormat="1" x14ac:dyDescent="0.25"/>
    <row r="9094" s="12" customFormat="1" x14ac:dyDescent="0.25"/>
    <row r="9095" s="12" customFormat="1" x14ac:dyDescent="0.25"/>
    <row r="9096" s="12" customFormat="1" x14ac:dyDescent="0.25"/>
    <row r="9097" s="12" customFormat="1" x14ac:dyDescent="0.25"/>
    <row r="9098" s="12" customFormat="1" x14ac:dyDescent="0.25"/>
    <row r="9099" s="12" customFormat="1" x14ac:dyDescent="0.25"/>
    <row r="9100" s="12" customFormat="1" x14ac:dyDescent="0.25"/>
    <row r="9101" s="12" customFormat="1" x14ac:dyDescent="0.25"/>
    <row r="9102" s="12" customFormat="1" x14ac:dyDescent="0.25"/>
    <row r="9103" s="12" customFormat="1" x14ac:dyDescent="0.25"/>
    <row r="9104" s="12" customFormat="1" x14ac:dyDescent="0.25"/>
    <row r="9105" s="12" customFormat="1" x14ac:dyDescent="0.25"/>
    <row r="9106" s="12" customFormat="1" x14ac:dyDescent="0.25"/>
    <row r="9107" s="12" customFormat="1" x14ac:dyDescent="0.25"/>
    <row r="9108" s="12" customFormat="1" x14ac:dyDescent="0.25"/>
    <row r="9109" s="12" customFormat="1" x14ac:dyDescent="0.25"/>
    <row r="9110" s="12" customFormat="1" x14ac:dyDescent="0.25"/>
    <row r="9111" s="12" customFormat="1" x14ac:dyDescent="0.25"/>
    <row r="9112" s="12" customFormat="1" x14ac:dyDescent="0.25"/>
    <row r="9113" s="12" customFormat="1" x14ac:dyDescent="0.25"/>
    <row r="9114" s="12" customFormat="1" x14ac:dyDescent="0.25"/>
    <row r="9115" s="12" customFormat="1" x14ac:dyDescent="0.25"/>
    <row r="9116" s="12" customFormat="1" x14ac:dyDescent="0.25"/>
    <row r="9117" s="12" customFormat="1" x14ac:dyDescent="0.25"/>
    <row r="9118" s="12" customFormat="1" x14ac:dyDescent="0.25"/>
    <row r="9119" s="12" customFormat="1" x14ac:dyDescent="0.25"/>
    <row r="9120" s="12" customFormat="1" x14ac:dyDescent="0.25"/>
    <row r="9121" s="12" customFormat="1" x14ac:dyDescent="0.25"/>
    <row r="9122" s="12" customFormat="1" x14ac:dyDescent="0.25"/>
    <row r="9123" s="12" customFormat="1" x14ac:dyDescent="0.25"/>
    <row r="9124" s="12" customFormat="1" x14ac:dyDescent="0.25"/>
    <row r="9125" s="12" customFormat="1" x14ac:dyDescent="0.25"/>
    <row r="9126" s="12" customFormat="1" x14ac:dyDescent="0.25"/>
    <row r="9127" s="12" customFormat="1" x14ac:dyDescent="0.25"/>
    <row r="9128" s="12" customFormat="1" x14ac:dyDescent="0.25"/>
    <row r="9129" s="12" customFormat="1" x14ac:dyDescent="0.25"/>
    <row r="9130" s="12" customFormat="1" x14ac:dyDescent="0.25"/>
    <row r="9131" s="12" customFormat="1" x14ac:dyDescent="0.25"/>
    <row r="9132" s="12" customFormat="1" x14ac:dyDescent="0.25"/>
    <row r="9133" s="12" customFormat="1" x14ac:dyDescent="0.25"/>
    <row r="9134" s="12" customFormat="1" x14ac:dyDescent="0.25"/>
    <row r="9135" s="12" customFormat="1" x14ac:dyDescent="0.25"/>
    <row r="9136" s="12" customFormat="1" x14ac:dyDescent="0.25"/>
    <row r="9137" s="12" customFormat="1" x14ac:dyDescent="0.25"/>
    <row r="9138" s="12" customFormat="1" x14ac:dyDescent="0.25"/>
    <row r="9139" s="12" customFormat="1" x14ac:dyDescent="0.25"/>
    <row r="9140" s="12" customFormat="1" x14ac:dyDescent="0.25"/>
    <row r="9141" s="12" customFormat="1" x14ac:dyDescent="0.25"/>
    <row r="9142" s="12" customFormat="1" x14ac:dyDescent="0.25"/>
    <row r="9143" s="12" customFormat="1" x14ac:dyDescent="0.25"/>
    <row r="9144" s="12" customFormat="1" x14ac:dyDescent="0.25"/>
    <row r="9145" s="12" customFormat="1" x14ac:dyDescent="0.25"/>
    <row r="9146" s="12" customFormat="1" x14ac:dyDescent="0.25"/>
    <row r="9147" s="12" customFormat="1" x14ac:dyDescent="0.25"/>
    <row r="9148" s="12" customFormat="1" x14ac:dyDescent="0.25"/>
    <row r="9149" s="12" customFormat="1" x14ac:dyDescent="0.25"/>
    <row r="9150" s="12" customFormat="1" x14ac:dyDescent="0.25"/>
    <row r="9151" s="12" customFormat="1" x14ac:dyDescent="0.25"/>
    <row r="9152" s="12" customFormat="1" x14ac:dyDescent="0.25"/>
    <row r="9153" s="12" customFormat="1" x14ac:dyDescent="0.25"/>
    <row r="9154" s="12" customFormat="1" x14ac:dyDescent="0.25"/>
    <row r="9155" s="12" customFormat="1" x14ac:dyDescent="0.25"/>
    <row r="9156" s="12" customFormat="1" x14ac:dyDescent="0.25"/>
    <row r="9157" s="12" customFormat="1" x14ac:dyDescent="0.25"/>
    <row r="9158" s="12" customFormat="1" x14ac:dyDescent="0.25"/>
    <row r="9159" s="12" customFormat="1" x14ac:dyDescent="0.25"/>
    <row r="9160" s="12" customFormat="1" x14ac:dyDescent="0.25"/>
    <row r="9161" s="12" customFormat="1" x14ac:dyDescent="0.25"/>
    <row r="9162" s="12" customFormat="1" x14ac:dyDescent="0.25"/>
    <row r="9163" s="12" customFormat="1" x14ac:dyDescent="0.25"/>
    <row r="9164" s="12" customFormat="1" x14ac:dyDescent="0.25"/>
    <row r="9165" s="12" customFormat="1" x14ac:dyDescent="0.25"/>
    <row r="9166" s="12" customFormat="1" x14ac:dyDescent="0.25"/>
    <row r="9167" s="12" customFormat="1" x14ac:dyDescent="0.25"/>
    <row r="9168" s="12" customFormat="1" x14ac:dyDescent="0.25"/>
    <row r="9169" s="12" customFormat="1" x14ac:dyDescent="0.25"/>
    <row r="9170" s="12" customFormat="1" x14ac:dyDescent="0.25"/>
    <row r="9171" s="12" customFormat="1" x14ac:dyDescent="0.25"/>
    <row r="9172" s="12" customFormat="1" x14ac:dyDescent="0.25"/>
    <row r="9173" s="12" customFormat="1" x14ac:dyDescent="0.25"/>
    <row r="9174" s="12" customFormat="1" x14ac:dyDescent="0.25"/>
    <row r="9175" s="12" customFormat="1" x14ac:dyDescent="0.25"/>
    <row r="9176" s="12" customFormat="1" x14ac:dyDescent="0.25"/>
    <row r="9177" s="12" customFormat="1" x14ac:dyDescent="0.25"/>
    <row r="9178" s="12" customFormat="1" x14ac:dyDescent="0.25"/>
    <row r="9179" s="12" customFormat="1" x14ac:dyDescent="0.25"/>
    <row r="9180" s="12" customFormat="1" x14ac:dyDescent="0.25"/>
    <row r="9181" s="12" customFormat="1" x14ac:dyDescent="0.25"/>
    <row r="9182" s="12" customFormat="1" x14ac:dyDescent="0.25"/>
    <row r="9183" s="12" customFormat="1" x14ac:dyDescent="0.25"/>
    <row r="9184" s="12" customFormat="1" x14ac:dyDescent="0.25"/>
    <row r="9185" s="12" customFormat="1" x14ac:dyDescent="0.25"/>
    <row r="9186" s="12" customFormat="1" x14ac:dyDescent="0.25"/>
    <row r="9187" s="12" customFormat="1" x14ac:dyDescent="0.25"/>
    <row r="9188" s="12" customFormat="1" x14ac:dyDescent="0.25"/>
    <row r="9189" s="12" customFormat="1" x14ac:dyDescent="0.25"/>
    <row r="9190" s="12" customFormat="1" x14ac:dyDescent="0.25"/>
    <row r="9191" s="12" customFormat="1" x14ac:dyDescent="0.25"/>
    <row r="9192" s="12" customFormat="1" x14ac:dyDescent="0.25"/>
    <row r="9193" s="12" customFormat="1" x14ac:dyDescent="0.25"/>
    <row r="9194" s="12" customFormat="1" x14ac:dyDescent="0.25"/>
    <row r="9195" s="12" customFormat="1" x14ac:dyDescent="0.25"/>
    <row r="9196" s="12" customFormat="1" x14ac:dyDescent="0.25"/>
    <row r="9197" s="12" customFormat="1" x14ac:dyDescent="0.25"/>
    <row r="9198" s="12" customFormat="1" x14ac:dyDescent="0.25"/>
    <row r="9199" s="12" customFormat="1" x14ac:dyDescent="0.25"/>
    <row r="9200" s="12" customFormat="1" x14ac:dyDescent="0.25"/>
    <row r="9201" s="12" customFormat="1" x14ac:dyDescent="0.25"/>
    <row r="9202" s="12" customFormat="1" x14ac:dyDescent="0.25"/>
    <row r="9203" s="12" customFormat="1" x14ac:dyDescent="0.25"/>
    <row r="9204" s="12" customFormat="1" x14ac:dyDescent="0.25"/>
    <row r="9205" s="12" customFormat="1" x14ac:dyDescent="0.25"/>
    <row r="9206" s="12" customFormat="1" x14ac:dyDescent="0.25"/>
    <row r="9207" s="12" customFormat="1" x14ac:dyDescent="0.25"/>
    <row r="9208" s="12" customFormat="1" x14ac:dyDescent="0.25"/>
    <row r="9209" s="12" customFormat="1" x14ac:dyDescent="0.25"/>
    <row r="9210" s="12" customFormat="1" x14ac:dyDescent="0.25"/>
    <row r="9211" s="12" customFormat="1" x14ac:dyDescent="0.25"/>
    <row r="9212" s="12" customFormat="1" x14ac:dyDescent="0.25"/>
    <row r="9213" s="12" customFormat="1" x14ac:dyDescent="0.25"/>
    <row r="9214" s="12" customFormat="1" x14ac:dyDescent="0.25"/>
    <row r="9215" s="12" customFormat="1" x14ac:dyDescent="0.25"/>
    <row r="9216" s="12" customFormat="1" x14ac:dyDescent="0.25"/>
    <row r="9217" s="12" customFormat="1" x14ac:dyDescent="0.25"/>
    <row r="9218" s="12" customFormat="1" x14ac:dyDescent="0.25"/>
    <row r="9219" s="12" customFormat="1" x14ac:dyDescent="0.25"/>
    <row r="9220" s="12" customFormat="1" x14ac:dyDescent="0.25"/>
    <row r="9221" s="12" customFormat="1" x14ac:dyDescent="0.25"/>
    <row r="9222" s="12" customFormat="1" x14ac:dyDescent="0.25"/>
    <row r="9223" s="12" customFormat="1" x14ac:dyDescent="0.25"/>
    <row r="9224" s="12" customFormat="1" x14ac:dyDescent="0.25"/>
    <row r="9225" s="12" customFormat="1" x14ac:dyDescent="0.25"/>
    <row r="9226" s="12" customFormat="1" x14ac:dyDescent="0.25"/>
    <row r="9227" s="12" customFormat="1" x14ac:dyDescent="0.25"/>
    <row r="9228" s="12" customFormat="1" x14ac:dyDescent="0.25"/>
    <row r="9229" s="12" customFormat="1" x14ac:dyDescent="0.25"/>
    <row r="9230" s="12" customFormat="1" x14ac:dyDescent="0.25"/>
    <row r="9231" s="12" customFormat="1" x14ac:dyDescent="0.25"/>
    <row r="9232" s="12" customFormat="1" x14ac:dyDescent="0.25"/>
    <row r="9233" s="12" customFormat="1" x14ac:dyDescent="0.25"/>
    <row r="9234" s="12" customFormat="1" x14ac:dyDescent="0.25"/>
    <row r="9235" s="12" customFormat="1" x14ac:dyDescent="0.25"/>
    <row r="9236" s="12" customFormat="1" x14ac:dyDescent="0.25"/>
    <row r="9237" s="12" customFormat="1" x14ac:dyDescent="0.25"/>
    <row r="9238" s="12" customFormat="1" x14ac:dyDescent="0.25"/>
    <row r="9239" s="12" customFormat="1" x14ac:dyDescent="0.25"/>
    <row r="9240" s="12" customFormat="1" x14ac:dyDescent="0.25"/>
    <row r="9241" s="12" customFormat="1" x14ac:dyDescent="0.25"/>
    <row r="9242" s="12" customFormat="1" x14ac:dyDescent="0.25"/>
    <row r="9243" s="12" customFormat="1" x14ac:dyDescent="0.25"/>
    <row r="9244" s="12" customFormat="1" x14ac:dyDescent="0.25"/>
    <row r="9245" s="12" customFormat="1" x14ac:dyDescent="0.25"/>
    <row r="9246" s="12" customFormat="1" x14ac:dyDescent="0.25"/>
    <row r="9247" s="12" customFormat="1" x14ac:dyDescent="0.25"/>
    <row r="9248" s="12" customFormat="1" x14ac:dyDescent="0.25"/>
    <row r="9249" s="12" customFormat="1" x14ac:dyDescent="0.25"/>
    <row r="9250" s="12" customFormat="1" x14ac:dyDescent="0.25"/>
    <row r="9251" s="12" customFormat="1" x14ac:dyDescent="0.25"/>
    <row r="9252" s="12" customFormat="1" x14ac:dyDescent="0.25"/>
    <row r="9253" s="12" customFormat="1" x14ac:dyDescent="0.25"/>
    <row r="9254" s="12" customFormat="1" x14ac:dyDescent="0.25"/>
    <row r="9255" s="12" customFormat="1" x14ac:dyDescent="0.25"/>
    <row r="9256" s="12" customFormat="1" x14ac:dyDescent="0.25"/>
    <row r="9257" s="12" customFormat="1" x14ac:dyDescent="0.25"/>
    <row r="9258" s="12" customFormat="1" x14ac:dyDescent="0.25"/>
    <row r="9259" s="12" customFormat="1" x14ac:dyDescent="0.25"/>
    <row r="9260" s="12" customFormat="1" x14ac:dyDescent="0.25"/>
    <row r="9261" s="12" customFormat="1" x14ac:dyDescent="0.25"/>
    <row r="9262" s="12" customFormat="1" x14ac:dyDescent="0.25"/>
    <row r="9263" s="12" customFormat="1" x14ac:dyDescent="0.25"/>
    <row r="9264" s="12" customFormat="1" x14ac:dyDescent="0.25"/>
    <row r="9265" s="12" customFormat="1" x14ac:dyDescent="0.25"/>
    <row r="9266" s="12" customFormat="1" x14ac:dyDescent="0.25"/>
    <row r="9267" s="12" customFormat="1" x14ac:dyDescent="0.25"/>
    <row r="9268" s="12" customFormat="1" x14ac:dyDescent="0.25"/>
    <row r="9269" s="12" customFormat="1" x14ac:dyDescent="0.25"/>
    <row r="9270" s="12" customFormat="1" x14ac:dyDescent="0.25"/>
    <row r="9271" s="12" customFormat="1" x14ac:dyDescent="0.25"/>
    <row r="9272" s="12" customFormat="1" x14ac:dyDescent="0.25"/>
    <row r="9273" s="12" customFormat="1" x14ac:dyDescent="0.25"/>
    <row r="9274" s="12" customFormat="1" x14ac:dyDescent="0.25"/>
    <row r="9275" s="12" customFormat="1" x14ac:dyDescent="0.25"/>
    <row r="9276" s="12" customFormat="1" x14ac:dyDescent="0.25"/>
    <row r="9277" s="12" customFormat="1" x14ac:dyDescent="0.25"/>
    <row r="9278" s="12" customFormat="1" x14ac:dyDescent="0.25"/>
    <row r="9279" s="12" customFormat="1" x14ac:dyDescent="0.25"/>
    <row r="9280" s="12" customFormat="1" x14ac:dyDescent="0.25"/>
    <row r="9281" s="12" customFormat="1" x14ac:dyDescent="0.25"/>
    <row r="9282" s="12" customFormat="1" x14ac:dyDescent="0.25"/>
    <row r="9283" s="12" customFormat="1" x14ac:dyDescent="0.25"/>
    <row r="9284" s="12" customFormat="1" x14ac:dyDescent="0.25"/>
    <row r="9285" s="12" customFormat="1" x14ac:dyDescent="0.25"/>
    <row r="9286" s="12" customFormat="1" x14ac:dyDescent="0.25"/>
    <row r="9287" s="12" customFormat="1" x14ac:dyDescent="0.25"/>
    <row r="9288" s="12" customFormat="1" x14ac:dyDescent="0.25"/>
    <row r="9289" s="12" customFormat="1" x14ac:dyDescent="0.25"/>
    <row r="9290" s="12" customFormat="1" x14ac:dyDescent="0.25"/>
    <row r="9291" s="12" customFormat="1" x14ac:dyDescent="0.25"/>
    <row r="9292" s="12" customFormat="1" x14ac:dyDescent="0.25"/>
    <row r="9293" s="12" customFormat="1" x14ac:dyDescent="0.25"/>
    <row r="9294" s="12" customFormat="1" x14ac:dyDescent="0.25"/>
    <row r="9295" s="12" customFormat="1" x14ac:dyDescent="0.25"/>
    <row r="9296" s="12" customFormat="1" x14ac:dyDescent="0.25"/>
    <row r="9297" s="12" customFormat="1" x14ac:dyDescent="0.25"/>
    <row r="9298" s="12" customFormat="1" x14ac:dyDescent="0.25"/>
    <row r="9299" s="12" customFormat="1" x14ac:dyDescent="0.25"/>
    <row r="9300" s="12" customFormat="1" x14ac:dyDescent="0.25"/>
    <row r="9301" s="12" customFormat="1" x14ac:dyDescent="0.25"/>
    <row r="9302" s="12" customFormat="1" x14ac:dyDescent="0.25"/>
    <row r="9303" s="12" customFormat="1" x14ac:dyDescent="0.25"/>
    <row r="9304" s="12" customFormat="1" x14ac:dyDescent="0.25"/>
    <row r="9305" s="12" customFormat="1" x14ac:dyDescent="0.25"/>
    <row r="9306" s="12" customFormat="1" x14ac:dyDescent="0.25"/>
    <row r="9307" s="12" customFormat="1" x14ac:dyDescent="0.25"/>
    <row r="9308" s="12" customFormat="1" x14ac:dyDescent="0.25"/>
    <row r="9309" s="12" customFormat="1" x14ac:dyDescent="0.25"/>
    <row r="9310" s="12" customFormat="1" x14ac:dyDescent="0.25"/>
    <row r="9311" s="12" customFormat="1" x14ac:dyDescent="0.25"/>
    <row r="9312" s="12" customFormat="1" x14ac:dyDescent="0.25"/>
    <row r="9313" s="12" customFormat="1" x14ac:dyDescent="0.25"/>
    <row r="9314" s="12" customFormat="1" x14ac:dyDescent="0.25"/>
    <row r="9315" s="12" customFormat="1" x14ac:dyDescent="0.25"/>
    <row r="9316" s="12" customFormat="1" x14ac:dyDescent="0.25"/>
    <row r="9317" s="12" customFormat="1" x14ac:dyDescent="0.25"/>
    <row r="9318" s="12" customFormat="1" x14ac:dyDescent="0.25"/>
    <row r="9319" s="12" customFormat="1" x14ac:dyDescent="0.25"/>
    <row r="9320" s="12" customFormat="1" x14ac:dyDescent="0.25"/>
    <row r="9321" s="12" customFormat="1" x14ac:dyDescent="0.25"/>
    <row r="9322" s="12" customFormat="1" x14ac:dyDescent="0.25"/>
    <row r="9323" s="12" customFormat="1" x14ac:dyDescent="0.25"/>
    <row r="9324" s="12" customFormat="1" x14ac:dyDescent="0.25"/>
    <row r="9325" s="12" customFormat="1" x14ac:dyDescent="0.25"/>
    <row r="9326" s="12" customFormat="1" x14ac:dyDescent="0.25"/>
    <row r="9327" s="12" customFormat="1" x14ac:dyDescent="0.25"/>
    <row r="9328" s="12" customFormat="1" x14ac:dyDescent="0.25"/>
    <row r="9329" s="12" customFormat="1" x14ac:dyDescent="0.25"/>
    <row r="9330" s="12" customFormat="1" x14ac:dyDescent="0.25"/>
    <row r="9331" s="12" customFormat="1" x14ac:dyDescent="0.25"/>
    <row r="9332" s="12" customFormat="1" x14ac:dyDescent="0.25"/>
    <row r="9333" s="12" customFormat="1" x14ac:dyDescent="0.25"/>
    <row r="9334" s="12" customFormat="1" x14ac:dyDescent="0.25"/>
    <row r="9335" s="12" customFormat="1" x14ac:dyDescent="0.25"/>
    <row r="9336" s="12" customFormat="1" x14ac:dyDescent="0.25"/>
    <row r="9337" s="12" customFormat="1" x14ac:dyDescent="0.25"/>
    <row r="9338" s="12" customFormat="1" x14ac:dyDescent="0.25"/>
    <row r="9339" s="12" customFormat="1" x14ac:dyDescent="0.25"/>
    <row r="9340" s="12" customFormat="1" x14ac:dyDescent="0.25"/>
    <row r="9341" s="12" customFormat="1" x14ac:dyDescent="0.25"/>
    <row r="9342" s="12" customFormat="1" x14ac:dyDescent="0.25"/>
    <row r="9343" s="12" customFormat="1" x14ac:dyDescent="0.25"/>
    <row r="9344" s="12" customFormat="1" x14ac:dyDescent="0.25"/>
    <row r="9345" s="12" customFormat="1" x14ac:dyDescent="0.25"/>
    <row r="9346" s="12" customFormat="1" x14ac:dyDescent="0.25"/>
    <row r="9347" s="12" customFormat="1" x14ac:dyDescent="0.25"/>
    <row r="9348" s="12" customFormat="1" x14ac:dyDescent="0.25"/>
    <row r="9349" s="12" customFormat="1" x14ac:dyDescent="0.25"/>
    <row r="9350" s="12" customFormat="1" x14ac:dyDescent="0.25"/>
    <row r="9351" s="12" customFormat="1" x14ac:dyDescent="0.25"/>
    <row r="9352" s="12" customFormat="1" x14ac:dyDescent="0.25"/>
    <row r="9353" s="12" customFormat="1" x14ac:dyDescent="0.25"/>
    <row r="9354" s="12" customFormat="1" x14ac:dyDescent="0.25"/>
    <row r="9355" s="12" customFormat="1" x14ac:dyDescent="0.25"/>
    <row r="9356" s="12" customFormat="1" x14ac:dyDescent="0.25"/>
    <row r="9357" s="12" customFormat="1" x14ac:dyDescent="0.25"/>
    <row r="9358" s="12" customFormat="1" x14ac:dyDescent="0.25"/>
    <row r="9359" s="12" customFormat="1" x14ac:dyDescent="0.25"/>
    <row r="9360" s="12" customFormat="1" x14ac:dyDescent="0.25"/>
    <row r="9361" s="12" customFormat="1" x14ac:dyDescent="0.25"/>
    <row r="9362" s="12" customFormat="1" x14ac:dyDescent="0.25"/>
    <row r="9363" s="12" customFormat="1" x14ac:dyDescent="0.25"/>
    <row r="9364" s="12" customFormat="1" x14ac:dyDescent="0.25"/>
    <row r="9365" s="12" customFormat="1" x14ac:dyDescent="0.25"/>
    <row r="9366" s="12" customFormat="1" x14ac:dyDescent="0.25"/>
    <row r="9367" s="12" customFormat="1" x14ac:dyDescent="0.25"/>
    <row r="9368" s="12" customFormat="1" x14ac:dyDescent="0.25"/>
    <row r="9369" s="12" customFormat="1" x14ac:dyDescent="0.25"/>
    <row r="9370" s="12" customFormat="1" x14ac:dyDescent="0.25"/>
    <row r="9371" s="12" customFormat="1" x14ac:dyDescent="0.25"/>
    <row r="9372" s="12" customFormat="1" x14ac:dyDescent="0.25"/>
    <row r="9373" s="12" customFormat="1" x14ac:dyDescent="0.25"/>
    <row r="9374" s="12" customFormat="1" x14ac:dyDescent="0.25"/>
    <row r="9375" s="12" customFormat="1" x14ac:dyDescent="0.25"/>
    <row r="9376" s="12" customFormat="1" x14ac:dyDescent="0.25"/>
    <row r="9377" s="12" customFormat="1" x14ac:dyDescent="0.25"/>
    <row r="9378" s="12" customFormat="1" x14ac:dyDescent="0.25"/>
    <row r="9379" s="12" customFormat="1" x14ac:dyDescent="0.25"/>
    <row r="9380" s="12" customFormat="1" x14ac:dyDescent="0.25"/>
    <row r="9381" s="12" customFormat="1" x14ac:dyDescent="0.25"/>
    <row r="9382" s="12" customFormat="1" x14ac:dyDescent="0.25"/>
    <row r="9383" s="12" customFormat="1" x14ac:dyDescent="0.25"/>
    <row r="9384" s="12" customFormat="1" x14ac:dyDescent="0.25"/>
    <row r="9385" s="12" customFormat="1" x14ac:dyDescent="0.25"/>
    <row r="9386" s="12" customFormat="1" x14ac:dyDescent="0.25"/>
    <row r="9387" s="12" customFormat="1" x14ac:dyDescent="0.25"/>
    <row r="9388" s="12" customFormat="1" x14ac:dyDescent="0.25"/>
    <row r="9389" s="12" customFormat="1" x14ac:dyDescent="0.25"/>
    <row r="9390" s="12" customFormat="1" x14ac:dyDescent="0.25"/>
    <row r="9391" s="12" customFormat="1" x14ac:dyDescent="0.25"/>
    <row r="9392" s="12" customFormat="1" x14ac:dyDescent="0.25"/>
    <row r="9393" s="12" customFormat="1" x14ac:dyDescent="0.25"/>
    <row r="9394" s="12" customFormat="1" x14ac:dyDescent="0.25"/>
    <row r="9395" s="12" customFormat="1" x14ac:dyDescent="0.25"/>
    <row r="9396" s="12" customFormat="1" x14ac:dyDescent="0.25"/>
    <row r="9397" s="12" customFormat="1" x14ac:dyDescent="0.25"/>
    <row r="9398" s="12" customFormat="1" x14ac:dyDescent="0.25"/>
    <row r="9399" s="12" customFormat="1" x14ac:dyDescent="0.25"/>
    <row r="9400" s="12" customFormat="1" x14ac:dyDescent="0.25"/>
    <row r="9401" s="12" customFormat="1" x14ac:dyDescent="0.25"/>
    <row r="9402" s="12" customFormat="1" x14ac:dyDescent="0.25"/>
    <row r="9403" s="12" customFormat="1" x14ac:dyDescent="0.25"/>
    <row r="9404" s="12" customFormat="1" x14ac:dyDescent="0.25"/>
    <row r="9405" s="12" customFormat="1" x14ac:dyDescent="0.25"/>
    <row r="9406" s="12" customFormat="1" x14ac:dyDescent="0.25"/>
    <row r="9407" s="12" customFormat="1" x14ac:dyDescent="0.25"/>
    <row r="9408" s="12" customFormat="1" x14ac:dyDescent="0.25"/>
    <row r="9409" s="12" customFormat="1" x14ac:dyDescent="0.25"/>
    <row r="9410" s="12" customFormat="1" x14ac:dyDescent="0.25"/>
    <row r="9411" s="12" customFormat="1" x14ac:dyDescent="0.25"/>
    <row r="9412" s="12" customFormat="1" x14ac:dyDescent="0.25"/>
    <row r="9413" s="12" customFormat="1" x14ac:dyDescent="0.25"/>
    <row r="9414" s="12" customFormat="1" x14ac:dyDescent="0.25"/>
    <row r="9415" s="12" customFormat="1" x14ac:dyDescent="0.25"/>
    <row r="9416" s="12" customFormat="1" x14ac:dyDescent="0.25"/>
    <row r="9417" s="12" customFormat="1" x14ac:dyDescent="0.25"/>
    <row r="9418" s="12" customFormat="1" x14ac:dyDescent="0.25"/>
    <row r="9419" s="12" customFormat="1" x14ac:dyDescent="0.25"/>
    <row r="9420" s="12" customFormat="1" x14ac:dyDescent="0.25"/>
    <row r="9421" s="12" customFormat="1" x14ac:dyDescent="0.25"/>
    <row r="9422" s="12" customFormat="1" x14ac:dyDescent="0.25"/>
    <row r="9423" s="12" customFormat="1" x14ac:dyDescent="0.25"/>
    <row r="9424" s="12" customFormat="1" x14ac:dyDescent="0.25"/>
    <row r="9425" s="12" customFormat="1" x14ac:dyDescent="0.25"/>
    <row r="9426" s="12" customFormat="1" x14ac:dyDescent="0.25"/>
    <row r="9427" s="12" customFormat="1" x14ac:dyDescent="0.25"/>
    <row r="9428" s="12" customFormat="1" x14ac:dyDescent="0.25"/>
    <row r="9429" s="12" customFormat="1" x14ac:dyDescent="0.25"/>
    <row r="9430" s="12" customFormat="1" x14ac:dyDescent="0.25"/>
    <row r="9431" s="12" customFormat="1" x14ac:dyDescent="0.25"/>
    <row r="9432" s="12" customFormat="1" x14ac:dyDescent="0.25"/>
    <row r="9433" s="12" customFormat="1" x14ac:dyDescent="0.25"/>
    <row r="9434" s="12" customFormat="1" x14ac:dyDescent="0.25"/>
    <row r="9435" s="12" customFormat="1" x14ac:dyDescent="0.25"/>
    <row r="9436" s="12" customFormat="1" x14ac:dyDescent="0.25"/>
    <row r="9437" s="12" customFormat="1" x14ac:dyDescent="0.25"/>
    <row r="9438" s="12" customFormat="1" x14ac:dyDescent="0.25"/>
    <row r="9439" s="12" customFormat="1" x14ac:dyDescent="0.25"/>
    <row r="9440" s="12" customFormat="1" x14ac:dyDescent="0.25"/>
    <row r="9441" s="12" customFormat="1" x14ac:dyDescent="0.25"/>
    <row r="9442" s="12" customFormat="1" x14ac:dyDescent="0.25"/>
    <row r="9443" s="12" customFormat="1" x14ac:dyDescent="0.25"/>
    <row r="9444" s="12" customFormat="1" x14ac:dyDescent="0.25"/>
    <row r="9445" s="12" customFormat="1" x14ac:dyDescent="0.25"/>
    <row r="9446" s="12" customFormat="1" x14ac:dyDescent="0.25"/>
    <row r="9447" s="12" customFormat="1" x14ac:dyDescent="0.25"/>
    <row r="9448" s="12" customFormat="1" x14ac:dyDescent="0.25"/>
    <row r="9449" s="12" customFormat="1" x14ac:dyDescent="0.25"/>
    <row r="9450" s="12" customFormat="1" x14ac:dyDescent="0.25"/>
    <row r="9451" s="12" customFormat="1" x14ac:dyDescent="0.25"/>
    <row r="9452" s="12" customFormat="1" x14ac:dyDescent="0.25"/>
    <row r="9453" s="12" customFormat="1" x14ac:dyDescent="0.25"/>
    <row r="9454" s="12" customFormat="1" x14ac:dyDescent="0.25"/>
    <row r="9455" s="12" customFormat="1" x14ac:dyDescent="0.25"/>
    <row r="9456" s="12" customFormat="1" x14ac:dyDescent="0.25"/>
    <row r="9457" s="12" customFormat="1" x14ac:dyDescent="0.25"/>
    <row r="9458" s="12" customFormat="1" x14ac:dyDescent="0.25"/>
    <row r="9459" s="12" customFormat="1" x14ac:dyDescent="0.25"/>
    <row r="9460" s="12" customFormat="1" x14ac:dyDescent="0.25"/>
    <row r="9461" s="12" customFormat="1" x14ac:dyDescent="0.25"/>
    <row r="9462" s="12" customFormat="1" x14ac:dyDescent="0.25"/>
    <row r="9463" s="12" customFormat="1" x14ac:dyDescent="0.25"/>
    <row r="9464" s="12" customFormat="1" x14ac:dyDescent="0.25"/>
    <row r="9465" s="12" customFormat="1" x14ac:dyDescent="0.25"/>
    <row r="9466" s="12" customFormat="1" x14ac:dyDescent="0.25"/>
    <row r="9467" s="12" customFormat="1" x14ac:dyDescent="0.25"/>
    <row r="9468" s="12" customFormat="1" x14ac:dyDescent="0.25"/>
    <row r="9469" s="12" customFormat="1" x14ac:dyDescent="0.25"/>
    <row r="9470" s="12" customFormat="1" x14ac:dyDescent="0.25"/>
    <row r="9471" s="12" customFormat="1" x14ac:dyDescent="0.25"/>
    <row r="9472" s="12" customFormat="1" x14ac:dyDescent="0.25"/>
    <row r="9473" s="12" customFormat="1" x14ac:dyDescent="0.25"/>
    <row r="9474" s="12" customFormat="1" x14ac:dyDescent="0.25"/>
    <row r="9475" s="12" customFormat="1" x14ac:dyDescent="0.25"/>
    <row r="9476" s="12" customFormat="1" x14ac:dyDescent="0.25"/>
    <row r="9477" s="12" customFormat="1" x14ac:dyDescent="0.25"/>
    <row r="9478" s="12" customFormat="1" x14ac:dyDescent="0.25"/>
    <row r="9479" s="12" customFormat="1" x14ac:dyDescent="0.25"/>
    <row r="9480" s="12" customFormat="1" x14ac:dyDescent="0.25"/>
    <row r="9481" s="12" customFormat="1" x14ac:dyDescent="0.25"/>
    <row r="9482" s="12" customFormat="1" x14ac:dyDescent="0.25"/>
    <row r="9483" s="12" customFormat="1" x14ac:dyDescent="0.25"/>
    <row r="9484" s="12" customFormat="1" x14ac:dyDescent="0.25"/>
    <row r="9485" s="12" customFormat="1" x14ac:dyDescent="0.25"/>
    <row r="9486" s="12" customFormat="1" x14ac:dyDescent="0.25"/>
    <row r="9487" s="12" customFormat="1" x14ac:dyDescent="0.25"/>
    <row r="9488" s="12" customFormat="1" x14ac:dyDescent="0.25"/>
    <row r="9489" s="12" customFormat="1" x14ac:dyDescent="0.25"/>
    <row r="9490" s="12" customFormat="1" x14ac:dyDescent="0.25"/>
    <row r="9491" s="12" customFormat="1" x14ac:dyDescent="0.25"/>
    <row r="9492" s="12" customFormat="1" x14ac:dyDescent="0.25"/>
    <row r="9493" s="12" customFormat="1" x14ac:dyDescent="0.25"/>
    <row r="9494" s="12" customFormat="1" x14ac:dyDescent="0.25"/>
    <row r="9495" s="12" customFormat="1" x14ac:dyDescent="0.25"/>
    <row r="9496" s="12" customFormat="1" x14ac:dyDescent="0.25"/>
    <row r="9497" s="12" customFormat="1" x14ac:dyDescent="0.25"/>
    <row r="9498" s="12" customFormat="1" x14ac:dyDescent="0.25"/>
    <row r="9499" s="12" customFormat="1" x14ac:dyDescent="0.25"/>
    <row r="9500" s="12" customFormat="1" x14ac:dyDescent="0.25"/>
    <row r="9501" s="12" customFormat="1" x14ac:dyDescent="0.25"/>
    <row r="9502" s="12" customFormat="1" x14ac:dyDescent="0.25"/>
    <row r="9503" s="12" customFormat="1" x14ac:dyDescent="0.25"/>
    <row r="9504" s="12" customFormat="1" x14ac:dyDescent="0.25"/>
    <row r="9505" s="12" customFormat="1" x14ac:dyDescent="0.25"/>
    <row r="9506" s="12" customFormat="1" x14ac:dyDescent="0.25"/>
    <row r="9507" s="12" customFormat="1" x14ac:dyDescent="0.25"/>
    <row r="9508" s="12" customFormat="1" x14ac:dyDescent="0.25"/>
    <row r="9509" s="12" customFormat="1" x14ac:dyDescent="0.25"/>
    <row r="9510" s="12" customFormat="1" x14ac:dyDescent="0.25"/>
    <row r="9511" s="12" customFormat="1" x14ac:dyDescent="0.25"/>
    <row r="9512" s="12" customFormat="1" x14ac:dyDescent="0.25"/>
    <row r="9513" s="12" customFormat="1" x14ac:dyDescent="0.25"/>
    <row r="9514" s="12" customFormat="1" x14ac:dyDescent="0.25"/>
    <row r="9515" s="12" customFormat="1" x14ac:dyDescent="0.25"/>
    <row r="9516" s="12" customFormat="1" x14ac:dyDescent="0.25"/>
    <row r="9517" s="12" customFormat="1" x14ac:dyDescent="0.25"/>
    <row r="9518" s="12" customFormat="1" x14ac:dyDescent="0.25"/>
    <row r="9519" s="12" customFormat="1" x14ac:dyDescent="0.25"/>
    <row r="9520" s="12" customFormat="1" x14ac:dyDescent="0.25"/>
    <row r="9521" s="12" customFormat="1" x14ac:dyDescent="0.25"/>
    <row r="9522" s="12" customFormat="1" x14ac:dyDescent="0.25"/>
    <row r="9523" s="12" customFormat="1" x14ac:dyDescent="0.25"/>
    <row r="9524" s="12" customFormat="1" x14ac:dyDescent="0.25"/>
    <row r="9525" s="12" customFormat="1" x14ac:dyDescent="0.25"/>
    <row r="9526" s="12" customFormat="1" x14ac:dyDescent="0.25"/>
    <row r="9527" s="12" customFormat="1" x14ac:dyDescent="0.25"/>
    <row r="9528" s="12" customFormat="1" x14ac:dyDescent="0.25"/>
    <row r="9529" s="12" customFormat="1" x14ac:dyDescent="0.25"/>
    <row r="9530" s="12" customFormat="1" x14ac:dyDescent="0.25"/>
    <row r="9531" s="12" customFormat="1" x14ac:dyDescent="0.25"/>
    <row r="9532" s="12" customFormat="1" x14ac:dyDescent="0.25"/>
    <row r="9533" s="12" customFormat="1" x14ac:dyDescent="0.25"/>
    <row r="9534" s="12" customFormat="1" x14ac:dyDescent="0.25"/>
    <row r="9535" s="12" customFormat="1" x14ac:dyDescent="0.25"/>
    <row r="9536" s="12" customFormat="1" x14ac:dyDescent="0.25"/>
    <row r="9537" s="12" customFormat="1" x14ac:dyDescent="0.25"/>
    <row r="9538" s="12" customFormat="1" x14ac:dyDescent="0.25"/>
    <row r="9539" s="12" customFormat="1" x14ac:dyDescent="0.25"/>
    <row r="9540" s="12" customFormat="1" x14ac:dyDescent="0.25"/>
    <row r="9541" s="12" customFormat="1" x14ac:dyDescent="0.25"/>
    <row r="9542" s="12" customFormat="1" x14ac:dyDescent="0.25"/>
    <row r="9543" s="12" customFormat="1" x14ac:dyDescent="0.25"/>
    <row r="9544" s="12" customFormat="1" x14ac:dyDescent="0.25"/>
    <row r="9545" s="12" customFormat="1" x14ac:dyDescent="0.25"/>
    <row r="9546" s="12" customFormat="1" x14ac:dyDescent="0.25"/>
    <row r="9547" s="12" customFormat="1" x14ac:dyDescent="0.25"/>
    <row r="9548" s="12" customFormat="1" x14ac:dyDescent="0.25"/>
    <row r="9549" s="12" customFormat="1" x14ac:dyDescent="0.25"/>
    <row r="9550" s="12" customFormat="1" x14ac:dyDescent="0.25"/>
    <row r="9551" s="12" customFormat="1" x14ac:dyDescent="0.25"/>
    <row r="9552" s="12" customFormat="1" x14ac:dyDescent="0.25"/>
    <row r="9553" s="12" customFormat="1" x14ac:dyDescent="0.25"/>
    <row r="9554" s="12" customFormat="1" x14ac:dyDescent="0.25"/>
    <row r="9555" s="12" customFormat="1" x14ac:dyDescent="0.25"/>
    <row r="9556" s="12" customFormat="1" x14ac:dyDescent="0.25"/>
    <row r="9557" s="12" customFormat="1" x14ac:dyDescent="0.25"/>
    <row r="9558" s="12" customFormat="1" x14ac:dyDescent="0.25"/>
    <row r="9559" s="12" customFormat="1" x14ac:dyDescent="0.25"/>
    <row r="9560" s="12" customFormat="1" x14ac:dyDescent="0.25"/>
    <row r="9561" s="12" customFormat="1" x14ac:dyDescent="0.25"/>
    <row r="9562" s="12" customFormat="1" x14ac:dyDescent="0.25"/>
    <row r="9563" s="12" customFormat="1" x14ac:dyDescent="0.25"/>
    <row r="9564" s="12" customFormat="1" x14ac:dyDescent="0.25"/>
    <row r="9565" s="12" customFormat="1" x14ac:dyDescent="0.25"/>
    <row r="9566" s="12" customFormat="1" x14ac:dyDescent="0.25"/>
    <row r="9567" s="12" customFormat="1" x14ac:dyDescent="0.25"/>
    <row r="9568" s="12" customFormat="1" x14ac:dyDescent="0.25"/>
    <row r="9569" s="12" customFormat="1" x14ac:dyDescent="0.25"/>
    <row r="9570" s="12" customFormat="1" x14ac:dyDescent="0.25"/>
    <row r="9571" s="12" customFormat="1" x14ac:dyDescent="0.25"/>
    <row r="9572" s="12" customFormat="1" x14ac:dyDescent="0.25"/>
    <row r="9573" s="12" customFormat="1" x14ac:dyDescent="0.25"/>
    <row r="9574" s="12" customFormat="1" x14ac:dyDescent="0.25"/>
    <row r="9575" s="12" customFormat="1" x14ac:dyDescent="0.25"/>
    <row r="9576" s="12" customFormat="1" x14ac:dyDescent="0.25"/>
    <row r="9577" s="12" customFormat="1" x14ac:dyDescent="0.25"/>
    <row r="9578" s="12" customFormat="1" x14ac:dyDescent="0.25"/>
    <row r="9579" s="12" customFormat="1" x14ac:dyDescent="0.25"/>
    <row r="9580" s="12" customFormat="1" x14ac:dyDescent="0.25"/>
    <row r="9581" s="12" customFormat="1" x14ac:dyDescent="0.25"/>
    <row r="9582" s="12" customFormat="1" x14ac:dyDescent="0.25"/>
    <row r="9583" s="12" customFormat="1" x14ac:dyDescent="0.25"/>
    <row r="9584" s="12" customFormat="1" x14ac:dyDescent="0.25"/>
    <row r="9585" s="12" customFormat="1" x14ac:dyDescent="0.25"/>
    <row r="9586" s="12" customFormat="1" x14ac:dyDescent="0.25"/>
    <row r="9587" s="12" customFormat="1" x14ac:dyDescent="0.25"/>
    <row r="9588" s="12" customFormat="1" x14ac:dyDescent="0.25"/>
    <row r="9589" s="12" customFormat="1" x14ac:dyDescent="0.25"/>
    <row r="9590" s="12" customFormat="1" x14ac:dyDescent="0.25"/>
    <row r="9591" s="12" customFormat="1" x14ac:dyDescent="0.25"/>
    <row r="9592" s="12" customFormat="1" x14ac:dyDescent="0.25"/>
    <row r="9593" s="12" customFormat="1" x14ac:dyDescent="0.25"/>
    <row r="9594" s="12" customFormat="1" x14ac:dyDescent="0.25"/>
    <row r="9595" s="12" customFormat="1" x14ac:dyDescent="0.25"/>
    <row r="9596" s="12" customFormat="1" x14ac:dyDescent="0.25"/>
    <row r="9597" s="12" customFormat="1" x14ac:dyDescent="0.25"/>
    <row r="9598" s="12" customFormat="1" x14ac:dyDescent="0.25"/>
    <row r="9599" s="12" customFormat="1" x14ac:dyDescent="0.25"/>
    <row r="9600" s="12" customFormat="1" x14ac:dyDescent="0.25"/>
    <row r="9601" s="12" customFormat="1" x14ac:dyDescent="0.25"/>
    <row r="9602" s="12" customFormat="1" x14ac:dyDescent="0.25"/>
    <row r="9603" s="12" customFormat="1" x14ac:dyDescent="0.25"/>
    <row r="9604" s="12" customFormat="1" x14ac:dyDescent="0.25"/>
    <row r="9605" s="12" customFormat="1" x14ac:dyDescent="0.25"/>
    <row r="9606" s="12" customFormat="1" x14ac:dyDescent="0.25"/>
    <row r="9607" s="12" customFormat="1" x14ac:dyDescent="0.25"/>
    <row r="9608" s="12" customFormat="1" x14ac:dyDescent="0.25"/>
    <row r="9609" s="12" customFormat="1" x14ac:dyDescent="0.25"/>
    <row r="9610" s="12" customFormat="1" x14ac:dyDescent="0.25"/>
    <row r="9611" s="12" customFormat="1" x14ac:dyDescent="0.25"/>
    <row r="9612" s="12" customFormat="1" x14ac:dyDescent="0.25"/>
    <row r="9613" s="12" customFormat="1" x14ac:dyDescent="0.25"/>
    <row r="9614" s="12" customFormat="1" x14ac:dyDescent="0.25"/>
    <row r="9615" s="12" customFormat="1" x14ac:dyDescent="0.25"/>
    <row r="9616" s="12" customFormat="1" x14ac:dyDescent="0.25"/>
    <row r="9617" s="12" customFormat="1" x14ac:dyDescent="0.25"/>
    <row r="9618" s="12" customFormat="1" x14ac:dyDescent="0.25"/>
    <row r="9619" s="12" customFormat="1" x14ac:dyDescent="0.25"/>
    <row r="9620" s="12" customFormat="1" x14ac:dyDescent="0.25"/>
    <row r="9621" s="12" customFormat="1" x14ac:dyDescent="0.25"/>
    <row r="9622" s="12" customFormat="1" x14ac:dyDescent="0.25"/>
    <row r="9623" s="12" customFormat="1" x14ac:dyDescent="0.25"/>
    <row r="9624" s="12" customFormat="1" x14ac:dyDescent="0.25"/>
    <row r="9625" s="12" customFormat="1" x14ac:dyDescent="0.25"/>
    <row r="9626" s="12" customFormat="1" x14ac:dyDescent="0.25"/>
    <row r="9627" s="12" customFormat="1" x14ac:dyDescent="0.25"/>
    <row r="9628" s="12" customFormat="1" x14ac:dyDescent="0.25"/>
    <row r="9629" s="12" customFormat="1" x14ac:dyDescent="0.25"/>
    <row r="9630" s="12" customFormat="1" x14ac:dyDescent="0.25"/>
    <row r="9631" s="12" customFormat="1" x14ac:dyDescent="0.25"/>
    <row r="9632" s="12" customFormat="1" x14ac:dyDescent="0.25"/>
    <row r="9633" s="12" customFormat="1" x14ac:dyDescent="0.25"/>
    <row r="9634" s="12" customFormat="1" x14ac:dyDescent="0.25"/>
    <row r="9635" s="12" customFormat="1" x14ac:dyDescent="0.25"/>
    <row r="9636" s="12" customFormat="1" x14ac:dyDescent="0.25"/>
    <row r="9637" s="12" customFormat="1" x14ac:dyDescent="0.25"/>
    <row r="9638" s="12" customFormat="1" x14ac:dyDescent="0.25"/>
    <row r="9639" s="12" customFormat="1" x14ac:dyDescent="0.25"/>
    <row r="9640" s="12" customFormat="1" x14ac:dyDescent="0.25"/>
    <row r="9641" s="12" customFormat="1" x14ac:dyDescent="0.25"/>
    <row r="9642" s="12" customFormat="1" x14ac:dyDescent="0.25"/>
    <row r="9643" s="12" customFormat="1" x14ac:dyDescent="0.25"/>
    <row r="9644" s="12" customFormat="1" x14ac:dyDescent="0.25"/>
    <row r="9645" s="12" customFormat="1" x14ac:dyDescent="0.25"/>
    <row r="9646" s="12" customFormat="1" x14ac:dyDescent="0.25"/>
    <row r="9647" s="12" customFormat="1" x14ac:dyDescent="0.25"/>
    <row r="9648" s="12" customFormat="1" x14ac:dyDescent="0.25"/>
    <row r="9649" s="12" customFormat="1" x14ac:dyDescent="0.25"/>
    <row r="9650" s="12" customFormat="1" x14ac:dyDescent="0.25"/>
    <row r="9651" s="12" customFormat="1" x14ac:dyDescent="0.25"/>
    <row r="9652" s="12" customFormat="1" x14ac:dyDescent="0.25"/>
    <row r="9653" s="12" customFormat="1" x14ac:dyDescent="0.25"/>
    <row r="9654" s="12" customFormat="1" x14ac:dyDescent="0.25"/>
    <row r="9655" s="12" customFormat="1" x14ac:dyDescent="0.25"/>
    <row r="9656" s="12" customFormat="1" x14ac:dyDescent="0.25"/>
    <row r="9657" s="12" customFormat="1" x14ac:dyDescent="0.25"/>
    <row r="9658" s="12" customFormat="1" x14ac:dyDescent="0.25"/>
    <row r="9659" s="12" customFormat="1" x14ac:dyDescent="0.25"/>
    <row r="9660" s="12" customFormat="1" x14ac:dyDescent="0.25"/>
    <row r="9661" s="12" customFormat="1" x14ac:dyDescent="0.25"/>
    <row r="9662" s="12" customFormat="1" x14ac:dyDescent="0.25"/>
    <row r="9663" s="12" customFormat="1" x14ac:dyDescent="0.25"/>
    <row r="9664" s="12" customFormat="1" x14ac:dyDescent="0.25"/>
    <row r="9665" s="12" customFormat="1" x14ac:dyDescent="0.25"/>
    <row r="9666" s="12" customFormat="1" x14ac:dyDescent="0.25"/>
    <row r="9667" s="12" customFormat="1" x14ac:dyDescent="0.25"/>
    <row r="9668" s="12" customFormat="1" x14ac:dyDescent="0.25"/>
    <row r="9669" s="12" customFormat="1" x14ac:dyDescent="0.25"/>
    <row r="9670" s="12" customFormat="1" x14ac:dyDescent="0.25"/>
    <row r="9671" s="12" customFormat="1" x14ac:dyDescent="0.25"/>
    <row r="9672" s="12" customFormat="1" x14ac:dyDescent="0.25"/>
    <row r="9673" s="12" customFormat="1" x14ac:dyDescent="0.25"/>
    <row r="9674" s="12" customFormat="1" x14ac:dyDescent="0.25"/>
    <row r="9675" s="12" customFormat="1" x14ac:dyDescent="0.25"/>
    <row r="9676" s="12" customFormat="1" x14ac:dyDescent="0.25"/>
    <row r="9677" s="12" customFormat="1" x14ac:dyDescent="0.25"/>
    <row r="9678" s="12" customFormat="1" x14ac:dyDescent="0.25"/>
    <row r="9679" s="12" customFormat="1" x14ac:dyDescent="0.25"/>
    <row r="9680" s="12" customFormat="1" x14ac:dyDescent="0.25"/>
    <row r="9681" s="12" customFormat="1" x14ac:dyDescent="0.25"/>
    <row r="9682" s="12" customFormat="1" x14ac:dyDescent="0.25"/>
    <row r="9683" s="12" customFormat="1" x14ac:dyDescent="0.25"/>
    <row r="9684" s="12" customFormat="1" x14ac:dyDescent="0.25"/>
    <row r="9685" s="12" customFormat="1" x14ac:dyDescent="0.25"/>
    <row r="9686" s="12" customFormat="1" x14ac:dyDescent="0.25"/>
    <row r="9687" s="12" customFormat="1" x14ac:dyDescent="0.25"/>
    <row r="9688" s="12" customFormat="1" x14ac:dyDescent="0.25"/>
    <row r="9689" s="12" customFormat="1" x14ac:dyDescent="0.25"/>
    <row r="9690" s="12" customFormat="1" x14ac:dyDescent="0.25"/>
    <row r="9691" s="12" customFormat="1" x14ac:dyDescent="0.25"/>
    <row r="9692" s="12" customFormat="1" x14ac:dyDescent="0.25"/>
    <row r="9693" s="12" customFormat="1" x14ac:dyDescent="0.25"/>
    <row r="9694" s="12" customFormat="1" x14ac:dyDescent="0.25"/>
    <row r="9695" s="12" customFormat="1" x14ac:dyDescent="0.25"/>
    <row r="9696" s="12" customFormat="1" x14ac:dyDescent="0.25"/>
    <row r="9697" s="12" customFormat="1" x14ac:dyDescent="0.25"/>
    <row r="9698" s="12" customFormat="1" x14ac:dyDescent="0.25"/>
    <row r="9699" s="12" customFormat="1" x14ac:dyDescent="0.25"/>
    <row r="9700" s="12" customFormat="1" x14ac:dyDescent="0.25"/>
    <row r="9701" s="12" customFormat="1" x14ac:dyDescent="0.25"/>
    <row r="9702" s="12" customFormat="1" x14ac:dyDescent="0.25"/>
    <row r="9703" s="12" customFormat="1" x14ac:dyDescent="0.25"/>
    <row r="9704" s="12" customFormat="1" x14ac:dyDescent="0.25"/>
    <row r="9705" s="12" customFormat="1" x14ac:dyDescent="0.25"/>
    <row r="9706" s="12" customFormat="1" x14ac:dyDescent="0.25"/>
    <row r="9707" s="12" customFormat="1" x14ac:dyDescent="0.25"/>
    <row r="9708" s="12" customFormat="1" x14ac:dyDescent="0.25"/>
    <row r="9709" s="12" customFormat="1" x14ac:dyDescent="0.25"/>
    <row r="9710" s="12" customFormat="1" x14ac:dyDescent="0.25"/>
    <row r="9711" s="12" customFormat="1" x14ac:dyDescent="0.25"/>
    <row r="9712" s="12" customFormat="1" x14ac:dyDescent="0.25"/>
    <row r="9713" s="12" customFormat="1" x14ac:dyDescent="0.25"/>
    <row r="9714" s="12" customFormat="1" x14ac:dyDescent="0.25"/>
    <row r="9715" s="12" customFormat="1" x14ac:dyDescent="0.25"/>
    <row r="9716" s="12" customFormat="1" x14ac:dyDescent="0.25"/>
    <row r="9717" s="12" customFormat="1" x14ac:dyDescent="0.25"/>
    <row r="9718" s="12" customFormat="1" x14ac:dyDescent="0.25"/>
    <row r="9719" s="12" customFormat="1" x14ac:dyDescent="0.25"/>
    <row r="9720" s="12" customFormat="1" x14ac:dyDescent="0.25"/>
    <row r="9721" s="12" customFormat="1" x14ac:dyDescent="0.25"/>
    <row r="9722" s="12" customFormat="1" x14ac:dyDescent="0.25"/>
    <row r="9723" s="12" customFormat="1" x14ac:dyDescent="0.25"/>
    <row r="9724" s="12" customFormat="1" x14ac:dyDescent="0.25"/>
    <row r="9725" s="12" customFormat="1" x14ac:dyDescent="0.25"/>
    <row r="9726" s="12" customFormat="1" x14ac:dyDescent="0.25"/>
    <row r="9727" s="12" customFormat="1" x14ac:dyDescent="0.25"/>
    <row r="9728" s="12" customFormat="1" x14ac:dyDescent="0.25"/>
    <row r="9729" s="12" customFormat="1" x14ac:dyDescent="0.25"/>
    <row r="9730" s="12" customFormat="1" x14ac:dyDescent="0.25"/>
    <row r="9731" s="12" customFormat="1" x14ac:dyDescent="0.25"/>
    <row r="9732" s="12" customFormat="1" x14ac:dyDescent="0.25"/>
    <row r="9733" s="12" customFormat="1" x14ac:dyDescent="0.25"/>
    <row r="9734" s="12" customFormat="1" x14ac:dyDescent="0.25"/>
    <row r="9735" s="12" customFormat="1" x14ac:dyDescent="0.25"/>
    <row r="9736" s="12" customFormat="1" x14ac:dyDescent="0.25"/>
    <row r="9737" s="12" customFormat="1" x14ac:dyDescent="0.25"/>
    <row r="9738" s="12" customFormat="1" x14ac:dyDescent="0.25"/>
    <row r="9739" s="12" customFormat="1" x14ac:dyDescent="0.25"/>
    <row r="9740" s="12" customFormat="1" x14ac:dyDescent="0.25"/>
    <row r="9741" s="12" customFormat="1" x14ac:dyDescent="0.25"/>
    <row r="9742" s="12" customFormat="1" x14ac:dyDescent="0.25"/>
    <row r="9743" s="12" customFormat="1" x14ac:dyDescent="0.25"/>
    <row r="9744" s="12" customFormat="1" x14ac:dyDescent="0.25"/>
    <row r="9745" s="12" customFormat="1" x14ac:dyDescent="0.25"/>
    <row r="9746" s="12" customFormat="1" x14ac:dyDescent="0.25"/>
    <row r="9747" s="12" customFormat="1" x14ac:dyDescent="0.25"/>
    <row r="9748" s="12" customFormat="1" x14ac:dyDescent="0.25"/>
    <row r="9749" s="12" customFormat="1" x14ac:dyDescent="0.25"/>
    <row r="9750" s="12" customFormat="1" x14ac:dyDescent="0.25"/>
    <row r="9751" s="12" customFormat="1" x14ac:dyDescent="0.25"/>
    <row r="9752" s="12" customFormat="1" x14ac:dyDescent="0.25"/>
    <row r="9753" s="12" customFormat="1" x14ac:dyDescent="0.25"/>
    <row r="9754" s="12" customFormat="1" x14ac:dyDescent="0.25"/>
    <row r="9755" s="12" customFormat="1" x14ac:dyDescent="0.25"/>
    <row r="9756" s="12" customFormat="1" x14ac:dyDescent="0.25"/>
    <row r="9757" s="12" customFormat="1" x14ac:dyDescent="0.25"/>
    <row r="9758" s="12" customFormat="1" x14ac:dyDescent="0.25"/>
    <row r="9759" s="12" customFormat="1" x14ac:dyDescent="0.25"/>
    <row r="9760" s="12" customFormat="1" x14ac:dyDescent="0.25"/>
    <row r="9761" s="12" customFormat="1" x14ac:dyDescent="0.25"/>
    <row r="9762" s="12" customFormat="1" x14ac:dyDescent="0.25"/>
    <row r="9763" s="12" customFormat="1" x14ac:dyDescent="0.25"/>
    <row r="9764" s="12" customFormat="1" x14ac:dyDescent="0.25"/>
    <row r="9765" s="12" customFormat="1" x14ac:dyDescent="0.25"/>
    <row r="9766" s="12" customFormat="1" x14ac:dyDescent="0.25"/>
    <row r="9767" s="12" customFormat="1" x14ac:dyDescent="0.25"/>
    <row r="9768" s="12" customFormat="1" x14ac:dyDescent="0.25"/>
    <row r="9769" s="12" customFormat="1" x14ac:dyDescent="0.25"/>
    <row r="9770" s="12" customFormat="1" x14ac:dyDescent="0.25"/>
    <row r="9771" s="12" customFormat="1" x14ac:dyDescent="0.25"/>
    <row r="9772" s="12" customFormat="1" x14ac:dyDescent="0.25"/>
    <row r="9773" s="12" customFormat="1" x14ac:dyDescent="0.25"/>
    <row r="9774" s="12" customFormat="1" x14ac:dyDescent="0.25"/>
    <row r="9775" s="12" customFormat="1" x14ac:dyDescent="0.25"/>
    <row r="9776" s="12" customFormat="1" x14ac:dyDescent="0.25"/>
    <row r="9777" s="12" customFormat="1" x14ac:dyDescent="0.25"/>
    <row r="9778" s="12" customFormat="1" x14ac:dyDescent="0.25"/>
    <row r="9779" s="12" customFormat="1" x14ac:dyDescent="0.25"/>
    <row r="9780" s="12" customFormat="1" x14ac:dyDescent="0.25"/>
    <row r="9781" s="12" customFormat="1" x14ac:dyDescent="0.25"/>
    <row r="9782" s="12" customFormat="1" x14ac:dyDescent="0.25"/>
    <row r="9783" s="12" customFormat="1" x14ac:dyDescent="0.25"/>
    <row r="9784" s="12" customFormat="1" x14ac:dyDescent="0.25"/>
    <row r="9785" s="12" customFormat="1" x14ac:dyDescent="0.25"/>
    <row r="9786" s="12" customFormat="1" x14ac:dyDescent="0.25"/>
    <row r="9787" s="12" customFormat="1" x14ac:dyDescent="0.25"/>
    <row r="9788" s="12" customFormat="1" x14ac:dyDescent="0.25"/>
    <row r="9789" s="12" customFormat="1" x14ac:dyDescent="0.25"/>
    <row r="9790" s="12" customFormat="1" x14ac:dyDescent="0.25"/>
    <row r="9791" s="12" customFormat="1" x14ac:dyDescent="0.25"/>
    <row r="9792" s="12" customFormat="1" x14ac:dyDescent="0.25"/>
    <row r="9793" s="12" customFormat="1" x14ac:dyDescent="0.25"/>
    <row r="9794" s="12" customFormat="1" x14ac:dyDescent="0.25"/>
    <row r="9795" s="12" customFormat="1" x14ac:dyDescent="0.25"/>
    <row r="9796" s="12" customFormat="1" x14ac:dyDescent="0.25"/>
    <row r="9797" s="12" customFormat="1" x14ac:dyDescent="0.25"/>
    <row r="9798" s="12" customFormat="1" x14ac:dyDescent="0.25"/>
    <row r="9799" s="12" customFormat="1" x14ac:dyDescent="0.25"/>
    <row r="9800" s="12" customFormat="1" x14ac:dyDescent="0.25"/>
    <row r="9801" s="12" customFormat="1" x14ac:dyDescent="0.25"/>
    <row r="9802" s="12" customFormat="1" x14ac:dyDescent="0.25"/>
    <row r="9803" s="12" customFormat="1" x14ac:dyDescent="0.25"/>
    <row r="9804" s="12" customFormat="1" x14ac:dyDescent="0.25"/>
    <row r="9805" s="12" customFormat="1" x14ac:dyDescent="0.25"/>
    <row r="9806" s="12" customFormat="1" x14ac:dyDescent="0.25"/>
    <row r="9807" s="12" customFormat="1" x14ac:dyDescent="0.25"/>
    <row r="9808" s="12" customFormat="1" x14ac:dyDescent="0.25"/>
    <row r="9809" s="12" customFormat="1" x14ac:dyDescent="0.25"/>
    <row r="9810" s="12" customFormat="1" x14ac:dyDescent="0.25"/>
    <row r="9811" s="12" customFormat="1" x14ac:dyDescent="0.25"/>
    <row r="9812" s="12" customFormat="1" x14ac:dyDescent="0.25"/>
    <row r="9813" s="12" customFormat="1" x14ac:dyDescent="0.25"/>
    <row r="9814" s="12" customFormat="1" x14ac:dyDescent="0.25"/>
    <row r="9815" s="12" customFormat="1" x14ac:dyDescent="0.25"/>
    <row r="9816" s="12" customFormat="1" x14ac:dyDescent="0.25"/>
    <row r="9817" s="12" customFormat="1" x14ac:dyDescent="0.25"/>
    <row r="9818" s="12" customFormat="1" x14ac:dyDescent="0.25"/>
    <row r="9819" s="12" customFormat="1" x14ac:dyDescent="0.25"/>
    <row r="9820" s="12" customFormat="1" x14ac:dyDescent="0.25"/>
    <row r="9821" s="12" customFormat="1" x14ac:dyDescent="0.25"/>
    <row r="9822" s="12" customFormat="1" x14ac:dyDescent="0.25"/>
    <row r="9823" s="12" customFormat="1" x14ac:dyDescent="0.25"/>
    <row r="9824" s="12" customFormat="1" x14ac:dyDescent="0.25"/>
    <row r="9825" s="12" customFormat="1" x14ac:dyDescent="0.25"/>
    <row r="9826" s="12" customFormat="1" x14ac:dyDescent="0.25"/>
    <row r="9827" s="12" customFormat="1" x14ac:dyDescent="0.25"/>
    <row r="9828" s="12" customFormat="1" x14ac:dyDescent="0.25"/>
    <row r="9829" s="12" customFormat="1" x14ac:dyDescent="0.25"/>
    <row r="9830" s="12" customFormat="1" x14ac:dyDescent="0.25"/>
    <row r="9831" s="12" customFormat="1" x14ac:dyDescent="0.25"/>
    <row r="9832" s="12" customFormat="1" x14ac:dyDescent="0.25"/>
    <row r="9833" s="12" customFormat="1" x14ac:dyDescent="0.25"/>
    <row r="9834" s="12" customFormat="1" x14ac:dyDescent="0.25"/>
    <row r="9835" s="12" customFormat="1" x14ac:dyDescent="0.25"/>
    <row r="9836" s="12" customFormat="1" x14ac:dyDescent="0.25"/>
    <row r="9837" s="12" customFormat="1" x14ac:dyDescent="0.25"/>
    <row r="9838" s="12" customFormat="1" x14ac:dyDescent="0.25"/>
    <row r="9839" s="12" customFormat="1" x14ac:dyDescent="0.25"/>
    <row r="9840" s="12" customFormat="1" x14ac:dyDescent="0.25"/>
    <row r="9841" s="12" customFormat="1" x14ac:dyDescent="0.25"/>
    <row r="9842" s="12" customFormat="1" x14ac:dyDescent="0.25"/>
    <row r="9843" s="12" customFormat="1" x14ac:dyDescent="0.25"/>
    <row r="9844" s="12" customFormat="1" x14ac:dyDescent="0.25"/>
    <row r="9845" s="12" customFormat="1" x14ac:dyDescent="0.25"/>
    <row r="9846" s="12" customFormat="1" x14ac:dyDescent="0.25"/>
    <row r="9847" s="12" customFormat="1" x14ac:dyDescent="0.25"/>
    <row r="9848" s="12" customFormat="1" x14ac:dyDescent="0.25"/>
    <row r="9849" s="12" customFormat="1" x14ac:dyDescent="0.25"/>
    <row r="9850" s="12" customFormat="1" x14ac:dyDescent="0.25"/>
    <row r="9851" s="12" customFormat="1" x14ac:dyDescent="0.25"/>
    <row r="9852" s="12" customFormat="1" x14ac:dyDescent="0.25"/>
    <row r="9853" s="12" customFormat="1" x14ac:dyDescent="0.25"/>
    <row r="9854" s="12" customFormat="1" x14ac:dyDescent="0.25"/>
    <row r="9855" s="12" customFormat="1" x14ac:dyDescent="0.25"/>
    <row r="9856" s="12" customFormat="1" x14ac:dyDescent="0.25"/>
    <row r="9857" s="12" customFormat="1" x14ac:dyDescent="0.25"/>
    <row r="9858" s="12" customFormat="1" x14ac:dyDescent="0.25"/>
    <row r="9859" s="12" customFormat="1" x14ac:dyDescent="0.25"/>
    <row r="9860" s="12" customFormat="1" x14ac:dyDescent="0.25"/>
    <row r="9861" s="12" customFormat="1" x14ac:dyDescent="0.25"/>
    <row r="9862" s="12" customFormat="1" x14ac:dyDescent="0.25"/>
    <row r="9863" s="12" customFormat="1" x14ac:dyDescent="0.25"/>
    <row r="9864" s="12" customFormat="1" x14ac:dyDescent="0.25"/>
    <row r="9865" s="12" customFormat="1" x14ac:dyDescent="0.25"/>
    <row r="9866" s="12" customFormat="1" x14ac:dyDescent="0.25"/>
    <row r="9867" s="12" customFormat="1" x14ac:dyDescent="0.25"/>
    <row r="9868" s="12" customFormat="1" x14ac:dyDescent="0.25"/>
    <row r="9869" s="12" customFormat="1" x14ac:dyDescent="0.25"/>
    <row r="9870" s="12" customFormat="1" x14ac:dyDescent="0.25"/>
    <row r="9871" s="12" customFormat="1" x14ac:dyDescent="0.25"/>
    <row r="9872" s="12" customFormat="1" x14ac:dyDescent="0.25"/>
    <row r="9873" s="12" customFormat="1" x14ac:dyDescent="0.25"/>
    <row r="9874" s="12" customFormat="1" x14ac:dyDescent="0.25"/>
    <row r="9875" s="12" customFormat="1" x14ac:dyDescent="0.25"/>
    <row r="9876" s="12" customFormat="1" x14ac:dyDescent="0.25"/>
    <row r="9877" s="12" customFormat="1" x14ac:dyDescent="0.25"/>
    <row r="9878" s="12" customFormat="1" x14ac:dyDescent="0.25"/>
    <row r="9879" s="12" customFormat="1" x14ac:dyDescent="0.25"/>
    <row r="9880" s="12" customFormat="1" x14ac:dyDescent="0.25"/>
    <row r="9881" s="12" customFormat="1" x14ac:dyDescent="0.25"/>
    <row r="9882" s="12" customFormat="1" x14ac:dyDescent="0.25"/>
    <row r="9883" s="12" customFormat="1" x14ac:dyDescent="0.25"/>
    <row r="9884" s="12" customFormat="1" x14ac:dyDescent="0.25"/>
    <row r="9885" s="12" customFormat="1" x14ac:dyDescent="0.25"/>
    <row r="9886" s="12" customFormat="1" x14ac:dyDescent="0.25"/>
    <row r="9887" s="12" customFormat="1" x14ac:dyDescent="0.25"/>
    <row r="9888" s="12" customFormat="1" x14ac:dyDescent="0.25"/>
    <row r="9889" s="12" customFormat="1" x14ac:dyDescent="0.25"/>
    <row r="9890" s="12" customFormat="1" x14ac:dyDescent="0.25"/>
    <row r="9891" s="12" customFormat="1" x14ac:dyDescent="0.25"/>
    <row r="9892" s="12" customFormat="1" x14ac:dyDescent="0.25"/>
    <row r="9893" s="12" customFormat="1" x14ac:dyDescent="0.25"/>
    <row r="9894" s="12" customFormat="1" x14ac:dyDescent="0.25"/>
    <row r="9895" s="12" customFormat="1" x14ac:dyDescent="0.25"/>
    <row r="9896" s="12" customFormat="1" x14ac:dyDescent="0.25"/>
    <row r="9897" s="12" customFormat="1" x14ac:dyDescent="0.25"/>
    <row r="9898" s="12" customFormat="1" x14ac:dyDescent="0.25"/>
    <row r="9899" s="12" customFormat="1" x14ac:dyDescent="0.25"/>
    <row r="9900" s="12" customFormat="1" x14ac:dyDescent="0.25"/>
    <row r="9901" s="12" customFormat="1" x14ac:dyDescent="0.25"/>
    <row r="9902" s="12" customFormat="1" x14ac:dyDescent="0.25"/>
    <row r="9903" s="12" customFormat="1" x14ac:dyDescent="0.25"/>
    <row r="9904" s="12" customFormat="1" x14ac:dyDescent="0.25"/>
    <row r="9905" s="12" customFormat="1" x14ac:dyDescent="0.25"/>
    <row r="9906" s="12" customFormat="1" x14ac:dyDescent="0.25"/>
    <row r="9907" s="12" customFormat="1" x14ac:dyDescent="0.25"/>
    <row r="9908" s="12" customFormat="1" x14ac:dyDescent="0.25"/>
    <row r="9909" s="12" customFormat="1" x14ac:dyDescent="0.25"/>
    <row r="9910" s="12" customFormat="1" x14ac:dyDescent="0.25"/>
    <row r="9911" s="12" customFormat="1" x14ac:dyDescent="0.25"/>
    <row r="9912" s="12" customFormat="1" x14ac:dyDescent="0.25"/>
    <row r="9913" s="12" customFormat="1" x14ac:dyDescent="0.25"/>
    <row r="9914" s="12" customFormat="1" x14ac:dyDescent="0.25"/>
    <row r="9915" s="12" customFormat="1" x14ac:dyDescent="0.25"/>
    <row r="9916" s="12" customFormat="1" x14ac:dyDescent="0.25"/>
    <row r="9917" s="12" customFormat="1" x14ac:dyDescent="0.25"/>
    <row r="9918" s="12" customFormat="1" x14ac:dyDescent="0.25"/>
    <row r="9919" s="12" customFormat="1" x14ac:dyDescent="0.25"/>
    <row r="9920" s="12" customFormat="1" x14ac:dyDescent="0.25"/>
    <row r="9921" s="12" customFormat="1" x14ac:dyDescent="0.25"/>
    <row r="9922" s="12" customFormat="1" x14ac:dyDescent="0.25"/>
    <row r="9923" s="12" customFormat="1" x14ac:dyDescent="0.25"/>
    <row r="9924" s="12" customFormat="1" x14ac:dyDescent="0.25"/>
    <row r="9925" s="12" customFormat="1" x14ac:dyDescent="0.25"/>
    <row r="9926" s="12" customFormat="1" x14ac:dyDescent="0.25"/>
    <row r="9927" s="12" customFormat="1" x14ac:dyDescent="0.25"/>
    <row r="9928" s="12" customFormat="1" x14ac:dyDescent="0.25"/>
    <row r="9929" s="12" customFormat="1" x14ac:dyDescent="0.25"/>
    <row r="9930" s="12" customFormat="1" x14ac:dyDescent="0.25"/>
    <row r="9931" s="12" customFormat="1" x14ac:dyDescent="0.25"/>
    <row r="9932" s="12" customFormat="1" x14ac:dyDescent="0.25"/>
    <row r="9933" s="12" customFormat="1" x14ac:dyDescent="0.25"/>
    <row r="9934" s="12" customFormat="1" x14ac:dyDescent="0.25"/>
    <row r="9935" s="12" customFormat="1" x14ac:dyDescent="0.25"/>
    <row r="9936" s="12" customFormat="1" x14ac:dyDescent="0.25"/>
    <row r="9937" s="12" customFormat="1" x14ac:dyDescent="0.25"/>
    <row r="9938" s="12" customFormat="1" x14ac:dyDescent="0.25"/>
    <row r="9939" s="12" customFormat="1" x14ac:dyDescent="0.25"/>
    <row r="9940" s="12" customFormat="1" x14ac:dyDescent="0.25"/>
    <row r="9941" s="12" customFormat="1" x14ac:dyDescent="0.25"/>
    <row r="9942" s="12" customFormat="1" x14ac:dyDescent="0.25"/>
    <row r="9943" s="12" customFormat="1" x14ac:dyDescent="0.25"/>
    <row r="9944" s="12" customFormat="1" x14ac:dyDescent="0.25"/>
    <row r="9945" s="12" customFormat="1" x14ac:dyDescent="0.25"/>
    <row r="9946" s="12" customFormat="1" x14ac:dyDescent="0.25"/>
    <row r="9947" s="12" customFormat="1" x14ac:dyDescent="0.25"/>
    <row r="9948" s="12" customFormat="1" x14ac:dyDescent="0.25"/>
    <row r="9949" s="12" customFormat="1" x14ac:dyDescent="0.25"/>
    <row r="9950" s="12" customFormat="1" x14ac:dyDescent="0.25"/>
    <row r="9951" s="12" customFormat="1" x14ac:dyDescent="0.25"/>
    <row r="9952" s="12" customFormat="1" x14ac:dyDescent="0.25"/>
    <row r="9953" s="12" customFormat="1" x14ac:dyDescent="0.25"/>
    <row r="9954" s="12" customFormat="1" x14ac:dyDescent="0.25"/>
    <row r="9955" s="12" customFormat="1" x14ac:dyDescent="0.25"/>
    <row r="9956" s="12" customFormat="1" x14ac:dyDescent="0.25"/>
    <row r="9957" s="12" customFormat="1" x14ac:dyDescent="0.25"/>
    <row r="9958" s="12" customFormat="1" x14ac:dyDescent="0.25"/>
    <row r="9959" s="12" customFormat="1" x14ac:dyDescent="0.25"/>
    <row r="9960" s="12" customFormat="1" x14ac:dyDescent="0.25"/>
    <row r="9961" s="12" customFormat="1" x14ac:dyDescent="0.25"/>
    <row r="9962" s="12" customFormat="1" x14ac:dyDescent="0.25"/>
    <row r="9963" s="12" customFormat="1" x14ac:dyDescent="0.25"/>
    <row r="9964" s="12" customFormat="1" x14ac:dyDescent="0.25"/>
    <row r="9965" s="12" customFormat="1" x14ac:dyDescent="0.25"/>
    <row r="9966" s="12" customFormat="1" x14ac:dyDescent="0.25"/>
    <row r="9967" s="12" customFormat="1" x14ac:dyDescent="0.25"/>
    <row r="9968" s="12" customFormat="1" x14ac:dyDescent="0.25"/>
    <row r="9969" s="12" customFormat="1" x14ac:dyDescent="0.25"/>
    <row r="9970" s="12" customFormat="1" x14ac:dyDescent="0.25"/>
    <row r="9971" s="12" customFormat="1" x14ac:dyDescent="0.25"/>
    <row r="9972" s="12" customFormat="1" x14ac:dyDescent="0.25"/>
    <row r="9973" s="12" customFormat="1" x14ac:dyDescent="0.25"/>
    <row r="9974" s="12" customFormat="1" x14ac:dyDescent="0.25"/>
    <row r="9975" s="12" customFormat="1" x14ac:dyDescent="0.25"/>
    <row r="9976" s="12" customFormat="1" x14ac:dyDescent="0.25"/>
    <row r="9977" s="12" customFormat="1" x14ac:dyDescent="0.25"/>
    <row r="9978" s="12" customFormat="1" x14ac:dyDescent="0.25"/>
    <row r="9979" s="12" customFormat="1" x14ac:dyDescent="0.25"/>
    <row r="9980" s="12" customFormat="1" x14ac:dyDescent="0.25"/>
    <row r="9981" s="12" customFormat="1" x14ac:dyDescent="0.25"/>
    <row r="9982" s="12" customFormat="1" x14ac:dyDescent="0.25"/>
    <row r="9983" s="12" customFormat="1" x14ac:dyDescent="0.25"/>
    <row r="9984" s="12" customFormat="1" x14ac:dyDescent="0.25"/>
    <row r="9985" s="12" customFormat="1" x14ac:dyDescent="0.25"/>
    <row r="9986" s="12" customFormat="1" x14ac:dyDescent="0.25"/>
    <row r="9987" s="12" customFormat="1" x14ac:dyDescent="0.25"/>
    <row r="9988" s="12" customFormat="1" x14ac:dyDescent="0.25"/>
    <row r="9989" s="12" customFormat="1" x14ac:dyDescent="0.25"/>
    <row r="9990" s="12" customFormat="1" x14ac:dyDescent="0.25"/>
    <row r="9991" s="12" customFormat="1" x14ac:dyDescent="0.25"/>
    <row r="9992" s="12" customFormat="1" x14ac:dyDescent="0.25"/>
    <row r="9993" s="12" customFormat="1" x14ac:dyDescent="0.25"/>
    <row r="9994" s="12" customFormat="1" x14ac:dyDescent="0.25"/>
    <row r="9995" s="12" customFormat="1" x14ac:dyDescent="0.25"/>
    <row r="9996" s="12" customFormat="1" x14ac:dyDescent="0.25"/>
    <row r="9997" s="12" customFormat="1" x14ac:dyDescent="0.25"/>
    <row r="9998" s="12" customFormat="1" x14ac:dyDescent="0.25"/>
    <row r="9999" s="12" customFormat="1" x14ac:dyDescent="0.25"/>
    <row r="10000" s="12" customFormat="1" x14ac:dyDescent="0.25"/>
    <row r="10001" s="12" customFormat="1" x14ac:dyDescent="0.25"/>
    <row r="10002" s="12" customFormat="1" x14ac:dyDescent="0.25"/>
    <row r="10003" s="12" customFormat="1" x14ac:dyDescent="0.25"/>
    <row r="10004" s="12" customFormat="1" x14ac:dyDescent="0.25"/>
    <row r="10005" s="12" customFormat="1" x14ac:dyDescent="0.25"/>
    <row r="10006" s="12" customFormat="1" x14ac:dyDescent="0.25"/>
    <row r="10007" s="12" customFormat="1" x14ac:dyDescent="0.25"/>
    <row r="10008" s="12" customFormat="1" x14ac:dyDescent="0.25"/>
    <row r="10009" s="12" customFormat="1" x14ac:dyDescent="0.25"/>
    <row r="10010" s="12" customFormat="1" x14ac:dyDescent="0.25"/>
    <row r="10011" s="12" customFormat="1" x14ac:dyDescent="0.25"/>
    <row r="10012" s="12" customFormat="1" x14ac:dyDescent="0.25"/>
    <row r="10013" s="12" customFormat="1" x14ac:dyDescent="0.25"/>
    <row r="10014" s="12" customFormat="1" x14ac:dyDescent="0.25"/>
    <row r="10015" s="12" customFormat="1" x14ac:dyDescent="0.25"/>
    <row r="10016" s="12" customFormat="1" x14ac:dyDescent="0.25"/>
    <row r="10017" s="12" customFormat="1" x14ac:dyDescent="0.25"/>
    <row r="10018" s="12" customFormat="1" x14ac:dyDescent="0.25"/>
    <row r="10019" s="12" customFormat="1" x14ac:dyDescent="0.25"/>
    <row r="10020" s="12" customFormat="1" x14ac:dyDescent="0.25"/>
    <row r="10021" s="12" customFormat="1" x14ac:dyDescent="0.25"/>
    <row r="10022" s="12" customFormat="1" x14ac:dyDescent="0.25"/>
    <row r="10023" s="12" customFormat="1" x14ac:dyDescent="0.25"/>
    <row r="10024" s="12" customFormat="1" x14ac:dyDescent="0.25"/>
    <row r="10025" s="12" customFormat="1" x14ac:dyDescent="0.25"/>
    <row r="10026" s="12" customFormat="1" x14ac:dyDescent="0.25"/>
    <row r="10027" s="12" customFormat="1" x14ac:dyDescent="0.25"/>
    <row r="10028" s="12" customFormat="1" x14ac:dyDescent="0.25"/>
    <row r="10029" s="12" customFormat="1" x14ac:dyDescent="0.25"/>
    <row r="10030" s="12" customFormat="1" x14ac:dyDescent="0.25"/>
    <row r="10031" s="12" customFormat="1" x14ac:dyDescent="0.25"/>
    <row r="10032" s="12" customFormat="1" x14ac:dyDescent="0.25"/>
    <row r="10033" s="12" customFormat="1" x14ac:dyDescent="0.25"/>
    <row r="10034" s="12" customFormat="1" x14ac:dyDescent="0.25"/>
    <row r="10035" s="12" customFormat="1" x14ac:dyDescent="0.25"/>
    <row r="10036" s="12" customFormat="1" x14ac:dyDescent="0.25"/>
    <row r="10037" s="12" customFormat="1" x14ac:dyDescent="0.25"/>
    <row r="10038" s="12" customFormat="1" x14ac:dyDescent="0.25"/>
    <row r="10039" s="12" customFormat="1" x14ac:dyDescent="0.25"/>
    <row r="10040" s="12" customFormat="1" x14ac:dyDescent="0.25"/>
    <row r="10041" s="12" customFormat="1" x14ac:dyDescent="0.25"/>
    <row r="10042" s="12" customFormat="1" x14ac:dyDescent="0.25"/>
    <row r="10043" s="12" customFormat="1" x14ac:dyDescent="0.25"/>
    <row r="10044" s="12" customFormat="1" x14ac:dyDescent="0.25"/>
    <row r="10045" s="12" customFormat="1" x14ac:dyDescent="0.25"/>
    <row r="10046" s="12" customFormat="1" x14ac:dyDescent="0.25"/>
    <row r="10047" s="12" customFormat="1" x14ac:dyDescent="0.25"/>
    <row r="10048" s="12" customFormat="1" x14ac:dyDescent="0.25"/>
    <row r="10049" s="12" customFormat="1" x14ac:dyDescent="0.25"/>
    <row r="10050" s="12" customFormat="1" x14ac:dyDescent="0.25"/>
    <row r="10051" s="12" customFormat="1" x14ac:dyDescent="0.25"/>
    <row r="10052" s="12" customFormat="1" x14ac:dyDescent="0.25"/>
    <row r="10053" s="12" customFormat="1" x14ac:dyDescent="0.25"/>
    <row r="10054" s="12" customFormat="1" x14ac:dyDescent="0.25"/>
    <row r="10055" s="12" customFormat="1" x14ac:dyDescent="0.25"/>
    <row r="10056" s="12" customFormat="1" x14ac:dyDescent="0.25"/>
    <row r="10057" s="12" customFormat="1" x14ac:dyDescent="0.25"/>
    <row r="10058" s="12" customFormat="1" x14ac:dyDescent="0.25"/>
    <row r="10059" s="12" customFormat="1" x14ac:dyDescent="0.25"/>
    <row r="10060" s="12" customFormat="1" x14ac:dyDescent="0.25"/>
    <row r="10061" s="12" customFormat="1" x14ac:dyDescent="0.25"/>
    <row r="10062" s="12" customFormat="1" x14ac:dyDescent="0.25"/>
    <row r="10063" s="12" customFormat="1" x14ac:dyDescent="0.25"/>
    <row r="10064" s="12" customFormat="1" x14ac:dyDescent="0.25"/>
    <row r="10065" s="12" customFormat="1" x14ac:dyDescent="0.25"/>
    <row r="10066" s="12" customFormat="1" x14ac:dyDescent="0.25"/>
    <row r="10067" s="12" customFormat="1" x14ac:dyDescent="0.25"/>
    <row r="10068" s="12" customFormat="1" x14ac:dyDescent="0.25"/>
    <row r="10069" s="12" customFormat="1" x14ac:dyDescent="0.25"/>
    <row r="10070" s="12" customFormat="1" x14ac:dyDescent="0.25"/>
    <row r="10071" s="12" customFormat="1" x14ac:dyDescent="0.25"/>
    <row r="10072" s="12" customFormat="1" x14ac:dyDescent="0.25"/>
    <row r="10073" s="12" customFormat="1" x14ac:dyDescent="0.25"/>
    <row r="10074" s="12" customFormat="1" x14ac:dyDescent="0.25"/>
    <row r="10075" s="12" customFormat="1" x14ac:dyDescent="0.25"/>
    <row r="10076" s="12" customFormat="1" x14ac:dyDescent="0.25"/>
    <row r="10077" s="12" customFormat="1" x14ac:dyDescent="0.25"/>
    <row r="10078" s="12" customFormat="1" x14ac:dyDescent="0.25"/>
    <row r="10079" s="12" customFormat="1" x14ac:dyDescent="0.25"/>
    <row r="10080" s="12" customFormat="1" x14ac:dyDescent="0.25"/>
    <row r="10081" s="12" customFormat="1" x14ac:dyDescent="0.25"/>
    <row r="10082" s="12" customFormat="1" x14ac:dyDescent="0.25"/>
    <row r="10083" s="12" customFormat="1" x14ac:dyDescent="0.25"/>
    <row r="10084" s="12" customFormat="1" x14ac:dyDescent="0.25"/>
    <row r="10085" s="12" customFormat="1" x14ac:dyDescent="0.25"/>
    <row r="10086" s="12" customFormat="1" x14ac:dyDescent="0.25"/>
    <row r="10087" s="12" customFormat="1" x14ac:dyDescent="0.25"/>
    <row r="10088" s="12" customFormat="1" x14ac:dyDescent="0.25"/>
    <row r="10089" s="12" customFormat="1" x14ac:dyDescent="0.25"/>
    <row r="10090" s="12" customFormat="1" x14ac:dyDescent="0.25"/>
    <row r="10091" s="12" customFormat="1" x14ac:dyDescent="0.25"/>
    <row r="10092" s="12" customFormat="1" x14ac:dyDescent="0.25"/>
    <row r="10093" s="12" customFormat="1" x14ac:dyDescent="0.25"/>
    <row r="10094" s="12" customFormat="1" x14ac:dyDescent="0.25"/>
    <row r="10095" s="12" customFormat="1" x14ac:dyDescent="0.25"/>
    <row r="10096" s="12" customFormat="1" x14ac:dyDescent="0.25"/>
    <row r="10097" s="12" customFormat="1" x14ac:dyDescent="0.25"/>
    <row r="10098" s="12" customFormat="1" x14ac:dyDescent="0.25"/>
    <row r="10099" s="12" customFormat="1" x14ac:dyDescent="0.25"/>
    <row r="10100" s="12" customFormat="1" x14ac:dyDescent="0.25"/>
    <row r="10101" s="12" customFormat="1" x14ac:dyDescent="0.25"/>
    <row r="10102" s="12" customFormat="1" x14ac:dyDescent="0.25"/>
    <row r="10103" s="12" customFormat="1" x14ac:dyDescent="0.25"/>
    <row r="10104" s="12" customFormat="1" x14ac:dyDescent="0.25"/>
    <row r="10105" s="12" customFormat="1" x14ac:dyDescent="0.25"/>
    <row r="10106" s="12" customFormat="1" x14ac:dyDescent="0.25"/>
    <row r="10107" s="12" customFormat="1" x14ac:dyDescent="0.25"/>
    <row r="10108" s="12" customFormat="1" x14ac:dyDescent="0.25"/>
    <row r="10109" s="12" customFormat="1" x14ac:dyDescent="0.25"/>
    <row r="10110" s="12" customFormat="1" x14ac:dyDescent="0.25"/>
    <row r="10111" s="12" customFormat="1" x14ac:dyDescent="0.25"/>
    <row r="10112" s="12" customFormat="1" x14ac:dyDescent="0.25"/>
    <row r="10113" s="12" customFormat="1" x14ac:dyDescent="0.25"/>
    <row r="10114" s="12" customFormat="1" x14ac:dyDescent="0.25"/>
    <row r="10115" s="12" customFormat="1" x14ac:dyDescent="0.25"/>
    <row r="10116" s="12" customFormat="1" x14ac:dyDescent="0.25"/>
    <row r="10117" s="12" customFormat="1" x14ac:dyDescent="0.25"/>
    <row r="10118" s="12" customFormat="1" x14ac:dyDescent="0.25"/>
    <row r="10119" s="12" customFormat="1" x14ac:dyDescent="0.25"/>
    <row r="10120" s="12" customFormat="1" x14ac:dyDescent="0.25"/>
    <row r="10121" s="12" customFormat="1" x14ac:dyDescent="0.25"/>
    <row r="10122" s="12" customFormat="1" x14ac:dyDescent="0.25"/>
    <row r="10123" s="12" customFormat="1" x14ac:dyDescent="0.25"/>
    <row r="10124" s="12" customFormat="1" x14ac:dyDescent="0.25"/>
    <row r="10125" s="12" customFormat="1" x14ac:dyDescent="0.25"/>
    <row r="10126" s="12" customFormat="1" x14ac:dyDescent="0.25"/>
    <row r="10127" s="12" customFormat="1" x14ac:dyDescent="0.25"/>
    <row r="10128" s="12" customFormat="1" x14ac:dyDescent="0.25"/>
    <row r="10129" s="12" customFormat="1" x14ac:dyDescent="0.25"/>
    <row r="10130" s="12" customFormat="1" x14ac:dyDescent="0.25"/>
    <row r="10131" s="12" customFormat="1" x14ac:dyDescent="0.25"/>
    <row r="10132" s="12" customFormat="1" x14ac:dyDescent="0.25"/>
    <row r="10133" s="12" customFormat="1" x14ac:dyDescent="0.25"/>
    <row r="10134" s="12" customFormat="1" x14ac:dyDescent="0.25"/>
    <row r="10135" s="12" customFormat="1" x14ac:dyDescent="0.25"/>
    <row r="10136" s="12" customFormat="1" x14ac:dyDescent="0.25"/>
    <row r="10137" s="12" customFormat="1" x14ac:dyDescent="0.25"/>
    <row r="10138" s="12" customFormat="1" x14ac:dyDescent="0.25"/>
    <row r="10139" s="12" customFormat="1" x14ac:dyDescent="0.25"/>
    <row r="10140" s="12" customFormat="1" x14ac:dyDescent="0.25"/>
    <row r="10141" s="12" customFormat="1" x14ac:dyDescent="0.25"/>
    <row r="10142" s="12" customFormat="1" x14ac:dyDescent="0.25"/>
    <row r="10143" s="12" customFormat="1" x14ac:dyDescent="0.25"/>
    <row r="10144" s="12" customFormat="1" x14ac:dyDescent="0.25"/>
    <row r="10145" s="12" customFormat="1" x14ac:dyDescent="0.25"/>
    <row r="10146" s="12" customFormat="1" x14ac:dyDescent="0.25"/>
    <row r="10147" s="12" customFormat="1" x14ac:dyDescent="0.25"/>
    <row r="10148" s="12" customFormat="1" x14ac:dyDescent="0.25"/>
    <row r="10149" s="12" customFormat="1" x14ac:dyDescent="0.25"/>
    <row r="10150" s="12" customFormat="1" x14ac:dyDescent="0.25"/>
    <row r="10151" s="12" customFormat="1" x14ac:dyDescent="0.25"/>
    <row r="10152" s="12" customFormat="1" x14ac:dyDescent="0.25"/>
    <row r="10153" s="12" customFormat="1" x14ac:dyDescent="0.25"/>
    <row r="10154" s="12" customFormat="1" x14ac:dyDescent="0.25"/>
    <row r="10155" s="12" customFormat="1" x14ac:dyDescent="0.25"/>
    <row r="10156" s="12" customFormat="1" x14ac:dyDescent="0.25"/>
    <row r="10157" s="12" customFormat="1" x14ac:dyDescent="0.25"/>
    <row r="10158" s="12" customFormat="1" x14ac:dyDescent="0.25"/>
    <row r="10159" s="12" customFormat="1" x14ac:dyDescent="0.25"/>
    <row r="10160" s="12" customFormat="1" x14ac:dyDescent="0.25"/>
    <row r="10161" s="12" customFormat="1" x14ac:dyDescent="0.25"/>
    <row r="10162" s="12" customFormat="1" x14ac:dyDescent="0.25"/>
    <row r="10163" s="12" customFormat="1" x14ac:dyDescent="0.25"/>
    <row r="10164" s="12" customFormat="1" x14ac:dyDescent="0.25"/>
    <row r="10165" s="12" customFormat="1" x14ac:dyDescent="0.25"/>
    <row r="10166" s="12" customFormat="1" x14ac:dyDescent="0.25"/>
    <row r="10167" s="12" customFormat="1" x14ac:dyDescent="0.25"/>
    <row r="10168" s="12" customFormat="1" x14ac:dyDescent="0.25"/>
    <row r="10169" s="12" customFormat="1" x14ac:dyDescent="0.25"/>
    <row r="10170" s="12" customFormat="1" x14ac:dyDescent="0.25"/>
    <row r="10171" s="12" customFormat="1" x14ac:dyDescent="0.25"/>
    <row r="10172" s="12" customFormat="1" x14ac:dyDescent="0.25"/>
    <row r="10173" s="12" customFormat="1" x14ac:dyDescent="0.25"/>
    <row r="10174" s="12" customFormat="1" x14ac:dyDescent="0.25"/>
    <row r="10175" s="12" customFormat="1" x14ac:dyDescent="0.25"/>
    <row r="10176" s="12" customFormat="1" x14ac:dyDescent="0.25"/>
    <row r="10177" s="12" customFormat="1" x14ac:dyDescent="0.25"/>
    <row r="10178" s="12" customFormat="1" x14ac:dyDescent="0.25"/>
    <row r="10179" s="12" customFormat="1" x14ac:dyDescent="0.25"/>
    <row r="10180" s="12" customFormat="1" x14ac:dyDescent="0.25"/>
    <row r="10181" s="12" customFormat="1" x14ac:dyDescent="0.25"/>
    <row r="10182" s="12" customFormat="1" x14ac:dyDescent="0.25"/>
    <row r="10183" s="12" customFormat="1" x14ac:dyDescent="0.25"/>
    <row r="10184" s="12" customFormat="1" x14ac:dyDescent="0.25"/>
    <row r="10185" s="12" customFormat="1" x14ac:dyDescent="0.25"/>
    <row r="10186" s="12" customFormat="1" x14ac:dyDescent="0.25"/>
    <row r="10187" s="12" customFormat="1" x14ac:dyDescent="0.25"/>
    <row r="10188" s="12" customFormat="1" x14ac:dyDescent="0.25"/>
    <row r="10189" s="12" customFormat="1" x14ac:dyDescent="0.25"/>
    <row r="10190" s="12" customFormat="1" x14ac:dyDescent="0.25"/>
    <row r="10191" s="12" customFormat="1" x14ac:dyDescent="0.25"/>
    <row r="10192" s="12" customFormat="1" x14ac:dyDescent="0.25"/>
    <row r="10193" s="12" customFormat="1" x14ac:dyDescent="0.25"/>
    <row r="10194" s="12" customFormat="1" x14ac:dyDescent="0.25"/>
    <row r="10195" s="12" customFormat="1" x14ac:dyDescent="0.25"/>
    <row r="10196" s="12" customFormat="1" x14ac:dyDescent="0.25"/>
    <row r="10197" s="12" customFormat="1" x14ac:dyDescent="0.25"/>
    <row r="10198" s="12" customFormat="1" x14ac:dyDescent="0.25"/>
    <row r="10199" s="12" customFormat="1" x14ac:dyDescent="0.25"/>
    <row r="10200" s="12" customFormat="1" x14ac:dyDescent="0.25"/>
    <row r="10201" s="12" customFormat="1" x14ac:dyDescent="0.25"/>
    <row r="10202" s="12" customFormat="1" x14ac:dyDescent="0.25"/>
    <row r="10203" s="12" customFormat="1" x14ac:dyDescent="0.25"/>
    <row r="10204" s="12" customFormat="1" x14ac:dyDescent="0.25"/>
    <row r="10205" s="12" customFormat="1" x14ac:dyDescent="0.25"/>
    <row r="10206" s="12" customFormat="1" x14ac:dyDescent="0.25"/>
    <row r="10207" s="12" customFormat="1" x14ac:dyDescent="0.25"/>
    <row r="10208" s="12" customFormat="1" x14ac:dyDescent="0.25"/>
    <row r="10209" s="12" customFormat="1" x14ac:dyDescent="0.25"/>
    <row r="10210" s="12" customFormat="1" x14ac:dyDescent="0.25"/>
    <row r="10211" s="12" customFormat="1" x14ac:dyDescent="0.25"/>
    <row r="10212" s="12" customFormat="1" x14ac:dyDescent="0.25"/>
    <row r="10213" s="12" customFormat="1" x14ac:dyDescent="0.25"/>
    <row r="10214" s="12" customFormat="1" x14ac:dyDescent="0.25"/>
    <row r="10215" s="12" customFormat="1" x14ac:dyDescent="0.25"/>
    <row r="10216" s="12" customFormat="1" x14ac:dyDescent="0.25"/>
    <row r="10217" s="12" customFormat="1" x14ac:dyDescent="0.25"/>
    <row r="10218" s="12" customFormat="1" x14ac:dyDescent="0.25"/>
    <row r="10219" s="12" customFormat="1" x14ac:dyDescent="0.25"/>
    <row r="10220" s="12" customFormat="1" x14ac:dyDescent="0.25"/>
    <row r="10221" s="12" customFormat="1" x14ac:dyDescent="0.25"/>
    <row r="10222" s="12" customFormat="1" x14ac:dyDescent="0.25"/>
    <row r="10223" s="12" customFormat="1" x14ac:dyDescent="0.25"/>
    <row r="10224" s="12" customFormat="1" x14ac:dyDescent="0.25"/>
    <row r="10225" s="12" customFormat="1" x14ac:dyDescent="0.25"/>
    <row r="10226" s="12" customFormat="1" x14ac:dyDescent="0.25"/>
    <row r="10227" s="12" customFormat="1" x14ac:dyDescent="0.25"/>
    <row r="10228" s="12" customFormat="1" x14ac:dyDescent="0.25"/>
    <row r="10229" s="12" customFormat="1" x14ac:dyDescent="0.25"/>
    <row r="10230" s="12" customFormat="1" x14ac:dyDescent="0.25"/>
    <row r="10231" s="12" customFormat="1" x14ac:dyDescent="0.25"/>
    <row r="10232" s="12" customFormat="1" x14ac:dyDescent="0.25"/>
    <row r="10233" s="12" customFormat="1" x14ac:dyDescent="0.25"/>
    <row r="10234" s="12" customFormat="1" x14ac:dyDescent="0.25"/>
    <row r="10235" s="12" customFormat="1" x14ac:dyDescent="0.25"/>
    <row r="10236" s="12" customFormat="1" x14ac:dyDescent="0.25"/>
    <row r="10237" s="12" customFormat="1" x14ac:dyDescent="0.25"/>
    <row r="10238" s="12" customFormat="1" x14ac:dyDescent="0.25"/>
    <row r="10239" s="12" customFormat="1" x14ac:dyDescent="0.25"/>
    <row r="10240" s="12" customFormat="1" x14ac:dyDescent="0.25"/>
    <row r="10241" s="12" customFormat="1" x14ac:dyDescent="0.25"/>
    <row r="10242" s="12" customFormat="1" x14ac:dyDescent="0.25"/>
    <row r="10243" s="12" customFormat="1" x14ac:dyDescent="0.25"/>
    <row r="10244" s="12" customFormat="1" x14ac:dyDescent="0.25"/>
    <row r="10245" s="12" customFormat="1" x14ac:dyDescent="0.25"/>
    <row r="10246" s="12" customFormat="1" x14ac:dyDescent="0.25"/>
    <row r="10247" s="12" customFormat="1" x14ac:dyDescent="0.25"/>
    <row r="10248" s="12" customFormat="1" x14ac:dyDescent="0.25"/>
    <row r="10249" s="12" customFormat="1" x14ac:dyDescent="0.25"/>
    <row r="10250" s="12" customFormat="1" x14ac:dyDescent="0.25"/>
    <row r="10251" s="12" customFormat="1" x14ac:dyDescent="0.25"/>
    <row r="10252" s="12" customFormat="1" x14ac:dyDescent="0.25"/>
    <row r="10253" s="12" customFormat="1" x14ac:dyDescent="0.25"/>
    <row r="10254" s="12" customFormat="1" x14ac:dyDescent="0.25"/>
    <row r="10255" s="12" customFormat="1" x14ac:dyDescent="0.25"/>
    <row r="10256" s="12" customFormat="1" x14ac:dyDescent="0.25"/>
    <row r="10257" s="12" customFormat="1" x14ac:dyDescent="0.25"/>
    <row r="10258" s="12" customFormat="1" x14ac:dyDescent="0.25"/>
    <row r="10259" s="12" customFormat="1" x14ac:dyDescent="0.25"/>
    <row r="10260" s="12" customFormat="1" x14ac:dyDescent="0.25"/>
    <row r="10261" s="12" customFormat="1" x14ac:dyDescent="0.25"/>
    <row r="10262" s="12" customFormat="1" x14ac:dyDescent="0.25"/>
    <row r="10263" s="12" customFormat="1" x14ac:dyDescent="0.25"/>
    <row r="10264" s="12" customFormat="1" x14ac:dyDescent="0.25"/>
    <row r="10265" s="12" customFormat="1" x14ac:dyDescent="0.25"/>
    <row r="10266" s="12" customFormat="1" x14ac:dyDescent="0.25"/>
    <row r="10267" s="12" customFormat="1" x14ac:dyDescent="0.25"/>
    <row r="10268" s="12" customFormat="1" x14ac:dyDescent="0.25"/>
    <row r="10269" s="12" customFormat="1" x14ac:dyDescent="0.25"/>
    <row r="10270" s="12" customFormat="1" x14ac:dyDescent="0.25"/>
    <row r="10271" s="12" customFormat="1" x14ac:dyDescent="0.25"/>
    <row r="10272" s="12" customFormat="1" x14ac:dyDescent="0.25"/>
    <row r="10273" s="12" customFormat="1" x14ac:dyDescent="0.25"/>
    <row r="10274" s="12" customFormat="1" x14ac:dyDescent="0.25"/>
    <row r="10275" s="12" customFormat="1" x14ac:dyDescent="0.25"/>
    <row r="10276" s="12" customFormat="1" x14ac:dyDescent="0.25"/>
    <row r="10277" s="12" customFormat="1" x14ac:dyDescent="0.25"/>
    <row r="10278" s="12" customFormat="1" x14ac:dyDescent="0.25"/>
    <row r="10279" s="12" customFormat="1" x14ac:dyDescent="0.25"/>
    <row r="10280" s="12" customFormat="1" x14ac:dyDescent="0.25"/>
    <row r="10281" s="12" customFormat="1" x14ac:dyDescent="0.25"/>
    <row r="10282" s="12" customFormat="1" x14ac:dyDescent="0.25"/>
    <row r="10283" s="12" customFormat="1" x14ac:dyDescent="0.25"/>
    <row r="10284" s="12" customFormat="1" x14ac:dyDescent="0.25"/>
    <row r="10285" s="12" customFormat="1" x14ac:dyDescent="0.25"/>
    <row r="10286" s="12" customFormat="1" x14ac:dyDescent="0.25"/>
    <row r="10287" s="12" customFormat="1" x14ac:dyDescent="0.25"/>
    <row r="10288" s="12" customFormat="1" x14ac:dyDescent="0.25"/>
    <row r="10289" s="12" customFormat="1" x14ac:dyDescent="0.25"/>
    <row r="10290" s="12" customFormat="1" x14ac:dyDescent="0.25"/>
    <row r="10291" s="12" customFormat="1" x14ac:dyDescent="0.25"/>
    <row r="10292" s="12" customFormat="1" x14ac:dyDescent="0.25"/>
    <row r="10293" s="12" customFormat="1" x14ac:dyDescent="0.25"/>
    <row r="10294" s="12" customFormat="1" x14ac:dyDescent="0.25"/>
    <row r="10295" s="12" customFormat="1" x14ac:dyDescent="0.25"/>
    <row r="10296" s="12" customFormat="1" x14ac:dyDescent="0.25"/>
    <row r="10297" s="12" customFormat="1" x14ac:dyDescent="0.25"/>
    <row r="10298" s="12" customFormat="1" x14ac:dyDescent="0.25"/>
    <row r="10299" s="12" customFormat="1" x14ac:dyDescent="0.25"/>
    <row r="10300" s="12" customFormat="1" x14ac:dyDescent="0.25"/>
    <row r="10301" s="12" customFormat="1" x14ac:dyDescent="0.25"/>
    <row r="10302" s="12" customFormat="1" x14ac:dyDescent="0.25"/>
    <row r="10303" s="12" customFormat="1" x14ac:dyDescent="0.25"/>
    <row r="10304" s="12" customFormat="1" x14ac:dyDescent="0.25"/>
    <row r="10305" s="12" customFormat="1" x14ac:dyDescent="0.25"/>
    <row r="10306" s="12" customFormat="1" x14ac:dyDescent="0.25"/>
    <row r="10307" s="12" customFormat="1" x14ac:dyDescent="0.25"/>
    <row r="10308" s="12" customFormat="1" x14ac:dyDescent="0.25"/>
    <row r="10309" s="12" customFormat="1" x14ac:dyDescent="0.25"/>
    <row r="10310" s="12" customFormat="1" x14ac:dyDescent="0.25"/>
    <row r="10311" s="12" customFormat="1" x14ac:dyDescent="0.25"/>
    <row r="10312" s="12" customFormat="1" x14ac:dyDescent="0.25"/>
    <row r="10313" s="12" customFormat="1" x14ac:dyDescent="0.25"/>
    <row r="10314" s="12" customFormat="1" x14ac:dyDescent="0.25"/>
    <row r="10315" s="12" customFormat="1" x14ac:dyDescent="0.25"/>
    <row r="10316" s="12" customFormat="1" x14ac:dyDescent="0.25"/>
    <row r="10317" s="12" customFormat="1" x14ac:dyDescent="0.25"/>
    <row r="10318" s="12" customFormat="1" x14ac:dyDescent="0.25"/>
    <row r="10319" s="12" customFormat="1" x14ac:dyDescent="0.25"/>
    <row r="10320" s="12" customFormat="1" x14ac:dyDescent="0.25"/>
    <row r="10321" s="12" customFormat="1" x14ac:dyDescent="0.25"/>
    <row r="10322" s="12" customFormat="1" x14ac:dyDescent="0.25"/>
    <row r="10323" s="12" customFormat="1" x14ac:dyDescent="0.25"/>
    <row r="10324" s="12" customFormat="1" x14ac:dyDescent="0.25"/>
    <row r="10325" s="12" customFormat="1" x14ac:dyDescent="0.25"/>
    <row r="10326" s="12" customFormat="1" x14ac:dyDescent="0.25"/>
    <row r="10327" s="12" customFormat="1" x14ac:dyDescent="0.25"/>
    <row r="10328" s="12" customFormat="1" x14ac:dyDescent="0.25"/>
    <row r="10329" s="12" customFormat="1" x14ac:dyDescent="0.25"/>
    <row r="10330" s="12" customFormat="1" x14ac:dyDescent="0.25"/>
    <row r="10331" s="12" customFormat="1" x14ac:dyDescent="0.25"/>
    <row r="10332" s="12" customFormat="1" x14ac:dyDescent="0.25"/>
    <row r="10333" s="12" customFormat="1" x14ac:dyDescent="0.25"/>
    <row r="10334" s="12" customFormat="1" x14ac:dyDescent="0.25"/>
    <row r="10335" s="12" customFormat="1" x14ac:dyDescent="0.25"/>
    <row r="10336" s="12" customFormat="1" x14ac:dyDescent="0.25"/>
    <row r="10337" s="12" customFormat="1" x14ac:dyDescent="0.25"/>
    <row r="10338" s="12" customFormat="1" x14ac:dyDescent="0.25"/>
    <row r="10339" s="12" customFormat="1" x14ac:dyDescent="0.25"/>
    <row r="10340" s="12" customFormat="1" x14ac:dyDescent="0.25"/>
    <row r="10341" s="12" customFormat="1" x14ac:dyDescent="0.25"/>
    <row r="10342" s="12" customFormat="1" x14ac:dyDescent="0.25"/>
    <row r="10343" s="12" customFormat="1" x14ac:dyDescent="0.25"/>
    <row r="10344" s="12" customFormat="1" x14ac:dyDescent="0.25"/>
    <row r="10345" s="12" customFormat="1" x14ac:dyDescent="0.25"/>
    <row r="10346" s="12" customFormat="1" x14ac:dyDescent="0.25"/>
    <row r="10347" s="12" customFormat="1" x14ac:dyDescent="0.25"/>
    <row r="10348" s="12" customFormat="1" x14ac:dyDescent="0.25"/>
    <row r="10349" s="12" customFormat="1" x14ac:dyDescent="0.25"/>
    <row r="10350" s="12" customFormat="1" x14ac:dyDescent="0.25"/>
    <row r="10351" s="12" customFormat="1" x14ac:dyDescent="0.25"/>
    <row r="10352" s="12" customFormat="1" x14ac:dyDescent="0.25"/>
    <row r="10353" s="12" customFormat="1" x14ac:dyDescent="0.25"/>
    <row r="10354" s="12" customFormat="1" x14ac:dyDescent="0.25"/>
    <row r="10355" s="12" customFormat="1" x14ac:dyDescent="0.25"/>
    <row r="10356" s="12" customFormat="1" x14ac:dyDescent="0.25"/>
    <row r="10357" s="12" customFormat="1" x14ac:dyDescent="0.25"/>
    <row r="10358" s="12" customFormat="1" x14ac:dyDescent="0.25"/>
    <row r="10359" s="12" customFormat="1" x14ac:dyDescent="0.25"/>
    <row r="10360" s="12" customFormat="1" x14ac:dyDescent="0.25"/>
    <row r="10361" s="12" customFormat="1" x14ac:dyDescent="0.25"/>
    <row r="10362" s="12" customFormat="1" x14ac:dyDescent="0.25"/>
    <row r="10363" s="12" customFormat="1" x14ac:dyDescent="0.25"/>
    <row r="10364" s="12" customFormat="1" x14ac:dyDescent="0.25"/>
    <row r="10365" s="12" customFormat="1" x14ac:dyDescent="0.25"/>
    <row r="10366" s="12" customFormat="1" x14ac:dyDescent="0.25"/>
    <row r="10367" s="12" customFormat="1" x14ac:dyDescent="0.25"/>
    <row r="10368" s="12" customFormat="1" x14ac:dyDescent="0.25"/>
    <row r="10369" s="12" customFormat="1" x14ac:dyDescent="0.25"/>
    <row r="10370" s="12" customFormat="1" x14ac:dyDescent="0.25"/>
    <row r="10371" s="12" customFormat="1" x14ac:dyDescent="0.25"/>
    <row r="10372" s="12" customFormat="1" x14ac:dyDescent="0.25"/>
    <row r="10373" s="12" customFormat="1" x14ac:dyDescent="0.25"/>
    <row r="10374" s="12" customFormat="1" x14ac:dyDescent="0.25"/>
    <row r="10375" s="12" customFormat="1" x14ac:dyDescent="0.25"/>
    <row r="10376" s="12" customFormat="1" x14ac:dyDescent="0.25"/>
    <row r="10377" s="12" customFormat="1" x14ac:dyDescent="0.25"/>
    <row r="10378" s="12" customFormat="1" x14ac:dyDescent="0.25"/>
    <row r="10379" s="12" customFormat="1" x14ac:dyDescent="0.25"/>
    <row r="10380" s="12" customFormat="1" x14ac:dyDescent="0.25"/>
    <row r="10381" s="12" customFormat="1" x14ac:dyDescent="0.25"/>
    <row r="10382" s="12" customFormat="1" x14ac:dyDescent="0.25"/>
    <row r="10383" s="12" customFormat="1" x14ac:dyDescent="0.25"/>
    <row r="10384" s="12" customFormat="1" x14ac:dyDescent="0.25"/>
    <row r="10385" s="12" customFormat="1" x14ac:dyDescent="0.25"/>
    <row r="10386" s="12" customFormat="1" x14ac:dyDescent="0.25"/>
    <row r="10387" s="12" customFormat="1" x14ac:dyDescent="0.25"/>
    <row r="10388" s="12" customFormat="1" x14ac:dyDescent="0.25"/>
    <row r="10389" s="12" customFormat="1" x14ac:dyDescent="0.25"/>
    <row r="10390" s="12" customFormat="1" x14ac:dyDescent="0.25"/>
    <row r="10391" s="12" customFormat="1" x14ac:dyDescent="0.25"/>
    <row r="10392" s="12" customFormat="1" x14ac:dyDescent="0.25"/>
    <row r="10393" s="12" customFormat="1" x14ac:dyDescent="0.25"/>
    <row r="10394" s="12" customFormat="1" x14ac:dyDescent="0.25"/>
    <row r="10395" s="12" customFormat="1" x14ac:dyDescent="0.25"/>
    <row r="10396" s="12" customFormat="1" x14ac:dyDescent="0.25"/>
    <row r="10397" s="12" customFormat="1" x14ac:dyDescent="0.25"/>
    <row r="10398" s="12" customFormat="1" x14ac:dyDescent="0.25"/>
    <row r="10399" s="12" customFormat="1" x14ac:dyDescent="0.25"/>
    <row r="10400" s="12" customFormat="1" x14ac:dyDescent="0.25"/>
    <row r="10401" s="12" customFormat="1" x14ac:dyDescent="0.25"/>
    <row r="10402" s="12" customFormat="1" x14ac:dyDescent="0.25"/>
    <row r="10403" s="12" customFormat="1" x14ac:dyDescent="0.25"/>
    <row r="10404" s="12" customFormat="1" x14ac:dyDescent="0.25"/>
    <row r="10405" s="12" customFormat="1" x14ac:dyDescent="0.25"/>
    <row r="10406" s="12" customFormat="1" x14ac:dyDescent="0.25"/>
    <row r="10407" s="12" customFormat="1" x14ac:dyDescent="0.25"/>
    <row r="10408" s="12" customFormat="1" x14ac:dyDescent="0.25"/>
    <row r="10409" s="12" customFormat="1" x14ac:dyDescent="0.25"/>
    <row r="10410" s="12" customFormat="1" x14ac:dyDescent="0.25"/>
    <row r="10411" s="12" customFormat="1" x14ac:dyDescent="0.25"/>
    <row r="10412" s="12" customFormat="1" x14ac:dyDescent="0.25"/>
    <row r="10413" s="12" customFormat="1" x14ac:dyDescent="0.25"/>
    <row r="10414" s="12" customFormat="1" x14ac:dyDescent="0.25"/>
    <row r="10415" s="12" customFormat="1" x14ac:dyDescent="0.25"/>
    <row r="10416" s="12" customFormat="1" x14ac:dyDescent="0.25"/>
    <row r="10417" s="12" customFormat="1" x14ac:dyDescent="0.25"/>
    <row r="10418" s="12" customFormat="1" x14ac:dyDescent="0.25"/>
    <row r="10419" s="12" customFormat="1" x14ac:dyDescent="0.25"/>
    <row r="10420" s="12" customFormat="1" x14ac:dyDescent="0.25"/>
    <row r="10421" s="12" customFormat="1" x14ac:dyDescent="0.25"/>
    <row r="10422" s="12" customFormat="1" x14ac:dyDescent="0.25"/>
    <row r="10423" s="12" customFormat="1" x14ac:dyDescent="0.25"/>
    <row r="10424" s="12" customFormat="1" x14ac:dyDescent="0.25"/>
    <row r="10425" s="12" customFormat="1" x14ac:dyDescent="0.25"/>
    <row r="10426" s="12" customFormat="1" x14ac:dyDescent="0.25"/>
    <row r="10427" s="12" customFormat="1" x14ac:dyDescent="0.25"/>
    <row r="10428" s="12" customFormat="1" x14ac:dyDescent="0.25"/>
    <row r="10429" s="12" customFormat="1" x14ac:dyDescent="0.25"/>
    <row r="10430" s="12" customFormat="1" x14ac:dyDescent="0.25"/>
    <row r="10431" s="12" customFormat="1" x14ac:dyDescent="0.25"/>
    <row r="10432" s="12" customFormat="1" x14ac:dyDescent="0.25"/>
    <row r="10433" s="12" customFormat="1" x14ac:dyDescent="0.25"/>
    <row r="10434" s="12" customFormat="1" x14ac:dyDescent="0.25"/>
    <row r="10435" s="12" customFormat="1" x14ac:dyDescent="0.25"/>
    <row r="10436" s="12" customFormat="1" x14ac:dyDescent="0.25"/>
    <row r="10437" s="12" customFormat="1" x14ac:dyDescent="0.25"/>
    <row r="10438" s="12" customFormat="1" x14ac:dyDescent="0.25"/>
    <row r="10439" s="12" customFormat="1" x14ac:dyDescent="0.25"/>
    <row r="10440" s="12" customFormat="1" x14ac:dyDescent="0.25"/>
    <row r="10441" s="12" customFormat="1" x14ac:dyDescent="0.25"/>
    <row r="10442" s="12" customFormat="1" x14ac:dyDescent="0.25"/>
    <row r="10443" s="12" customFormat="1" x14ac:dyDescent="0.25"/>
    <row r="10444" s="12" customFormat="1" x14ac:dyDescent="0.25"/>
    <row r="10445" s="12" customFormat="1" x14ac:dyDescent="0.25"/>
    <row r="10446" s="12" customFormat="1" x14ac:dyDescent="0.25"/>
    <row r="10447" s="12" customFormat="1" x14ac:dyDescent="0.25"/>
    <row r="10448" s="12" customFormat="1" x14ac:dyDescent="0.25"/>
    <row r="10449" s="12" customFormat="1" x14ac:dyDescent="0.25"/>
    <row r="10450" s="12" customFormat="1" x14ac:dyDescent="0.25"/>
    <row r="10451" s="12" customFormat="1" x14ac:dyDescent="0.25"/>
    <row r="10452" s="12" customFormat="1" x14ac:dyDescent="0.25"/>
    <row r="10453" s="12" customFormat="1" x14ac:dyDescent="0.25"/>
    <row r="10454" s="12" customFormat="1" x14ac:dyDescent="0.25"/>
    <row r="10455" s="12" customFormat="1" x14ac:dyDescent="0.25"/>
    <row r="10456" s="12" customFormat="1" x14ac:dyDescent="0.25"/>
    <row r="10457" s="12" customFormat="1" x14ac:dyDescent="0.25"/>
    <row r="10458" s="12" customFormat="1" x14ac:dyDescent="0.25"/>
    <row r="10459" s="12" customFormat="1" x14ac:dyDescent="0.25"/>
    <row r="10460" s="12" customFormat="1" x14ac:dyDescent="0.25"/>
    <row r="10461" s="12" customFormat="1" x14ac:dyDescent="0.25"/>
    <row r="10462" s="12" customFormat="1" x14ac:dyDescent="0.25"/>
    <row r="10463" s="12" customFormat="1" x14ac:dyDescent="0.25"/>
    <row r="10464" s="12" customFormat="1" x14ac:dyDescent="0.25"/>
    <row r="10465" s="12" customFormat="1" x14ac:dyDescent="0.25"/>
    <row r="10466" s="12" customFormat="1" x14ac:dyDescent="0.25"/>
    <row r="10467" s="12" customFormat="1" x14ac:dyDescent="0.25"/>
    <row r="10468" s="12" customFormat="1" x14ac:dyDescent="0.25"/>
    <row r="10469" s="12" customFormat="1" x14ac:dyDescent="0.25"/>
    <row r="10470" s="12" customFormat="1" x14ac:dyDescent="0.25"/>
    <row r="10471" s="12" customFormat="1" x14ac:dyDescent="0.25"/>
    <row r="10472" s="12" customFormat="1" x14ac:dyDescent="0.25"/>
    <row r="10473" s="12" customFormat="1" x14ac:dyDescent="0.25"/>
    <row r="10474" s="12" customFormat="1" x14ac:dyDescent="0.25"/>
    <row r="10475" s="12" customFormat="1" x14ac:dyDescent="0.25"/>
    <row r="10476" s="12" customFormat="1" x14ac:dyDescent="0.25"/>
    <row r="10477" s="12" customFormat="1" x14ac:dyDescent="0.25"/>
    <row r="10478" s="12" customFormat="1" x14ac:dyDescent="0.25"/>
    <row r="10479" s="12" customFormat="1" x14ac:dyDescent="0.25"/>
    <row r="10480" s="12" customFormat="1" x14ac:dyDescent="0.25"/>
    <row r="10481" s="12" customFormat="1" x14ac:dyDescent="0.25"/>
    <row r="10482" s="12" customFormat="1" x14ac:dyDescent="0.25"/>
    <row r="10483" s="12" customFormat="1" x14ac:dyDescent="0.25"/>
    <row r="10484" s="12" customFormat="1" x14ac:dyDescent="0.25"/>
    <row r="10485" s="12" customFormat="1" x14ac:dyDescent="0.25"/>
    <row r="10486" s="12" customFormat="1" x14ac:dyDescent="0.25"/>
    <row r="10487" s="12" customFormat="1" x14ac:dyDescent="0.25"/>
    <row r="10488" s="12" customFormat="1" x14ac:dyDescent="0.25"/>
    <row r="10489" s="12" customFormat="1" x14ac:dyDescent="0.25"/>
    <row r="10490" s="12" customFormat="1" x14ac:dyDescent="0.25"/>
    <row r="10491" s="12" customFormat="1" x14ac:dyDescent="0.25"/>
    <row r="10492" s="12" customFormat="1" x14ac:dyDescent="0.25"/>
    <row r="10493" s="12" customFormat="1" x14ac:dyDescent="0.25"/>
    <row r="10494" s="12" customFormat="1" x14ac:dyDescent="0.25"/>
    <row r="10495" s="12" customFormat="1" x14ac:dyDescent="0.25"/>
    <row r="10496" s="12" customFormat="1" x14ac:dyDescent="0.25"/>
    <row r="10497" s="12" customFormat="1" x14ac:dyDescent="0.25"/>
    <row r="10498" s="12" customFormat="1" x14ac:dyDescent="0.25"/>
    <row r="10499" s="12" customFormat="1" x14ac:dyDescent="0.25"/>
    <row r="10500" s="12" customFormat="1" x14ac:dyDescent="0.25"/>
    <row r="10501" s="12" customFormat="1" x14ac:dyDescent="0.25"/>
    <row r="10502" s="12" customFormat="1" x14ac:dyDescent="0.25"/>
    <row r="10503" s="12" customFormat="1" x14ac:dyDescent="0.25"/>
    <row r="10504" s="12" customFormat="1" x14ac:dyDescent="0.25"/>
    <row r="10505" s="12" customFormat="1" x14ac:dyDescent="0.25"/>
    <row r="10506" s="12" customFormat="1" x14ac:dyDescent="0.25"/>
    <row r="10507" s="12" customFormat="1" x14ac:dyDescent="0.25"/>
    <row r="10508" s="12" customFormat="1" x14ac:dyDescent="0.25"/>
    <row r="10509" s="12" customFormat="1" x14ac:dyDescent="0.25"/>
    <row r="10510" s="12" customFormat="1" x14ac:dyDescent="0.25"/>
    <row r="10511" s="12" customFormat="1" x14ac:dyDescent="0.25"/>
    <row r="10512" s="12" customFormat="1" x14ac:dyDescent="0.25"/>
    <row r="10513" s="12" customFormat="1" x14ac:dyDescent="0.25"/>
    <row r="10514" s="12" customFormat="1" x14ac:dyDescent="0.25"/>
    <row r="10515" s="12" customFormat="1" x14ac:dyDescent="0.25"/>
    <row r="10516" s="12" customFormat="1" x14ac:dyDescent="0.25"/>
    <row r="10517" s="12" customFormat="1" x14ac:dyDescent="0.25"/>
    <row r="10518" s="12" customFormat="1" x14ac:dyDescent="0.25"/>
    <row r="10519" s="12" customFormat="1" x14ac:dyDescent="0.25"/>
    <row r="10520" s="12" customFormat="1" x14ac:dyDescent="0.25"/>
    <row r="10521" s="12" customFormat="1" x14ac:dyDescent="0.25"/>
    <row r="10522" s="12" customFormat="1" x14ac:dyDescent="0.25"/>
    <row r="10523" s="12" customFormat="1" x14ac:dyDescent="0.25"/>
    <row r="10524" s="12" customFormat="1" x14ac:dyDescent="0.25"/>
    <row r="10525" s="12" customFormat="1" x14ac:dyDescent="0.25"/>
    <row r="10526" s="12" customFormat="1" x14ac:dyDescent="0.25"/>
    <row r="10527" s="12" customFormat="1" x14ac:dyDescent="0.25"/>
    <row r="10528" s="12" customFormat="1" x14ac:dyDescent="0.25"/>
    <row r="10529" s="12" customFormat="1" x14ac:dyDescent="0.25"/>
    <row r="10530" s="12" customFormat="1" x14ac:dyDescent="0.25"/>
    <row r="10531" s="12" customFormat="1" x14ac:dyDescent="0.25"/>
    <row r="10532" s="12" customFormat="1" x14ac:dyDescent="0.25"/>
    <row r="10533" s="12" customFormat="1" x14ac:dyDescent="0.25"/>
    <row r="10534" s="12" customFormat="1" x14ac:dyDescent="0.25"/>
    <row r="10535" s="12" customFormat="1" x14ac:dyDescent="0.25"/>
    <row r="10536" s="12" customFormat="1" x14ac:dyDescent="0.25"/>
    <row r="10537" s="12" customFormat="1" x14ac:dyDescent="0.25"/>
    <row r="10538" s="12" customFormat="1" x14ac:dyDescent="0.25"/>
    <row r="10539" s="12" customFormat="1" x14ac:dyDescent="0.25"/>
    <row r="10540" s="12" customFormat="1" x14ac:dyDescent="0.25"/>
    <row r="10541" s="12" customFormat="1" x14ac:dyDescent="0.25"/>
    <row r="10542" s="12" customFormat="1" x14ac:dyDescent="0.25"/>
    <row r="10543" s="12" customFormat="1" x14ac:dyDescent="0.25"/>
    <row r="10544" s="12" customFormat="1" x14ac:dyDescent="0.25"/>
    <row r="10545" s="12" customFormat="1" x14ac:dyDescent="0.25"/>
    <row r="10546" s="12" customFormat="1" x14ac:dyDescent="0.25"/>
    <row r="10547" s="12" customFormat="1" x14ac:dyDescent="0.25"/>
    <row r="10548" s="12" customFormat="1" x14ac:dyDescent="0.25"/>
    <row r="10549" s="12" customFormat="1" x14ac:dyDescent="0.25"/>
    <row r="10550" s="12" customFormat="1" x14ac:dyDescent="0.25"/>
    <row r="10551" s="12" customFormat="1" x14ac:dyDescent="0.25"/>
    <row r="10552" s="12" customFormat="1" x14ac:dyDescent="0.25"/>
    <row r="10553" s="12" customFormat="1" x14ac:dyDescent="0.25"/>
    <row r="10554" s="12" customFormat="1" x14ac:dyDescent="0.25"/>
    <row r="10555" s="12" customFormat="1" x14ac:dyDescent="0.25"/>
    <row r="10556" s="12" customFormat="1" x14ac:dyDescent="0.25"/>
    <row r="10557" s="12" customFormat="1" x14ac:dyDescent="0.25"/>
    <row r="10558" s="12" customFormat="1" x14ac:dyDescent="0.25"/>
    <row r="10559" s="12" customFormat="1" x14ac:dyDescent="0.25"/>
    <row r="10560" s="12" customFormat="1" x14ac:dyDescent="0.25"/>
    <row r="10561" s="12" customFormat="1" x14ac:dyDescent="0.25"/>
    <row r="10562" s="12" customFormat="1" x14ac:dyDescent="0.25"/>
    <row r="10563" s="12" customFormat="1" x14ac:dyDescent="0.25"/>
    <row r="10564" s="12" customFormat="1" x14ac:dyDescent="0.25"/>
    <row r="10565" s="12" customFormat="1" x14ac:dyDescent="0.25"/>
    <row r="10566" s="12" customFormat="1" x14ac:dyDescent="0.25"/>
    <row r="10567" s="12" customFormat="1" x14ac:dyDescent="0.25"/>
    <row r="10568" s="12" customFormat="1" x14ac:dyDescent="0.25"/>
    <row r="10569" s="12" customFormat="1" x14ac:dyDescent="0.25"/>
    <row r="10570" s="12" customFormat="1" x14ac:dyDescent="0.25"/>
    <row r="10571" s="12" customFormat="1" x14ac:dyDescent="0.25"/>
    <row r="10572" s="12" customFormat="1" x14ac:dyDescent="0.25"/>
    <row r="10573" s="12" customFormat="1" x14ac:dyDescent="0.25"/>
    <row r="10574" s="12" customFormat="1" x14ac:dyDescent="0.25"/>
    <row r="10575" s="12" customFormat="1" x14ac:dyDescent="0.25"/>
    <row r="10576" s="12" customFormat="1" x14ac:dyDescent="0.25"/>
    <row r="10577" s="12" customFormat="1" x14ac:dyDescent="0.25"/>
    <row r="10578" s="12" customFormat="1" x14ac:dyDescent="0.25"/>
    <row r="10579" s="12" customFormat="1" x14ac:dyDescent="0.25"/>
    <row r="10580" s="12" customFormat="1" x14ac:dyDescent="0.25"/>
    <row r="10581" s="12" customFormat="1" x14ac:dyDescent="0.25"/>
    <row r="10582" s="12" customFormat="1" x14ac:dyDescent="0.25"/>
    <row r="10583" s="12" customFormat="1" x14ac:dyDescent="0.25"/>
    <row r="10584" s="12" customFormat="1" x14ac:dyDescent="0.25"/>
    <row r="10585" s="12" customFormat="1" x14ac:dyDescent="0.25"/>
    <row r="10586" s="12" customFormat="1" x14ac:dyDescent="0.25"/>
    <row r="10587" s="12" customFormat="1" x14ac:dyDescent="0.25"/>
    <row r="10588" s="12" customFormat="1" x14ac:dyDescent="0.25"/>
    <row r="10589" s="12" customFormat="1" x14ac:dyDescent="0.25"/>
    <row r="10590" s="12" customFormat="1" x14ac:dyDescent="0.25"/>
    <row r="10591" s="12" customFormat="1" x14ac:dyDescent="0.25"/>
    <row r="10592" s="12" customFormat="1" x14ac:dyDescent="0.25"/>
    <row r="10593" s="12" customFormat="1" x14ac:dyDescent="0.25"/>
    <row r="10594" s="12" customFormat="1" x14ac:dyDescent="0.25"/>
    <row r="10595" s="12" customFormat="1" x14ac:dyDescent="0.25"/>
    <row r="10596" s="12" customFormat="1" x14ac:dyDescent="0.25"/>
    <row r="10597" s="12" customFormat="1" x14ac:dyDescent="0.25"/>
    <row r="10598" s="12" customFormat="1" x14ac:dyDescent="0.25"/>
    <row r="10599" s="12" customFormat="1" x14ac:dyDescent="0.25"/>
    <row r="10600" s="12" customFormat="1" x14ac:dyDescent="0.25"/>
    <row r="10601" s="12" customFormat="1" x14ac:dyDescent="0.25"/>
    <row r="10602" s="12" customFormat="1" x14ac:dyDescent="0.25"/>
    <row r="10603" s="12" customFormat="1" x14ac:dyDescent="0.25"/>
    <row r="10604" s="12" customFormat="1" x14ac:dyDescent="0.25"/>
    <row r="10605" s="12" customFormat="1" x14ac:dyDescent="0.25"/>
    <row r="10606" s="12" customFormat="1" x14ac:dyDescent="0.25"/>
    <row r="10607" s="12" customFormat="1" x14ac:dyDescent="0.25"/>
    <row r="10608" s="12" customFormat="1" x14ac:dyDescent="0.25"/>
    <row r="10609" s="12" customFormat="1" x14ac:dyDescent="0.25"/>
    <row r="10610" s="12" customFormat="1" x14ac:dyDescent="0.25"/>
    <row r="10611" s="12" customFormat="1" x14ac:dyDescent="0.25"/>
    <row r="10612" s="12" customFormat="1" x14ac:dyDescent="0.25"/>
    <row r="10613" s="12" customFormat="1" x14ac:dyDescent="0.25"/>
    <row r="10614" s="12" customFormat="1" x14ac:dyDescent="0.25"/>
    <row r="10615" s="12" customFormat="1" x14ac:dyDescent="0.25"/>
    <row r="10616" s="12" customFormat="1" x14ac:dyDescent="0.25"/>
    <row r="10617" s="12" customFormat="1" x14ac:dyDescent="0.25"/>
    <row r="10618" s="12" customFormat="1" x14ac:dyDescent="0.25"/>
    <row r="10619" s="12" customFormat="1" x14ac:dyDescent="0.25"/>
    <row r="10620" s="12" customFormat="1" x14ac:dyDescent="0.25"/>
    <row r="10621" s="12" customFormat="1" x14ac:dyDescent="0.25"/>
    <row r="10622" s="12" customFormat="1" x14ac:dyDescent="0.25"/>
    <row r="10623" s="12" customFormat="1" x14ac:dyDescent="0.25"/>
    <row r="10624" s="12" customFormat="1" x14ac:dyDescent="0.25"/>
    <row r="10625" s="12" customFormat="1" x14ac:dyDescent="0.25"/>
    <row r="10626" s="12" customFormat="1" x14ac:dyDescent="0.25"/>
    <row r="10627" s="12" customFormat="1" x14ac:dyDescent="0.25"/>
    <row r="10628" s="12" customFormat="1" x14ac:dyDescent="0.25"/>
    <row r="10629" s="12" customFormat="1" x14ac:dyDescent="0.25"/>
    <row r="10630" s="12" customFormat="1" x14ac:dyDescent="0.25"/>
    <row r="10631" s="12" customFormat="1" x14ac:dyDescent="0.25"/>
    <row r="10632" s="12" customFormat="1" x14ac:dyDescent="0.25"/>
    <row r="10633" s="12" customFormat="1" x14ac:dyDescent="0.25"/>
    <row r="10634" s="12" customFormat="1" x14ac:dyDescent="0.25"/>
    <row r="10635" s="12" customFormat="1" x14ac:dyDescent="0.25"/>
    <row r="10636" s="12" customFormat="1" x14ac:dyDescent="0.25"/>
    <row r="10637" s="12" customFormat="1" x14ac:dyDescent="0.25"/>
    <row r="10638" s="12" customFormat="1" x14ac:dyDescent="0.25"/>
    <row r="10639" s="12" customFormat="1" x14ac:dyDescent="0.25"/>
    <row r="10640" s="12" customFormat="1" x14ac:dyDescent="0.25"/>
    <row r="10641" s="12" customFormat="1" x14ac:dyDescent="0.25"/>
    <row r="10642" s="12" customFormat="1" x14ac:dyDescent="0.25"/>
    <row r="10643" s="12" customFormat="1" x14ac:dyDescent="0.25"/>
    <row r="10644" s="12" customFormat="1" x14ac:dyDescent="0.25"/>
    <row r="10645" s="12" customFormat="1" x14ac:dyDescent="0.25"/>
    <row r="10646" s="12" customFormat="1" x14ac:dyDescent="0.25"/>
    <row r="10647" s="12" customFormat="1" x14ac:dyDescent="0.25"/>
    <row r="10648" s="12" customFormat="1" x14ac:dyDescent="0.25"/>
    <row r="10649" s="12" customFormat="1" x14ac:dyDescent="0.25"/>
    <row r="10650" s="12" customFormat="1" x14ac:dyDescent="0.25"/>
    <row r="10651" s="12" customFormat="1" x14ac:dyDescent="0.25"/>
    <row r="10652" s="12" customFormat="1" x14ac:dyDescent="0.25"/>
    <row r="10653" s="12" customFormat="1" x14ac:dyDescent="0.25"/>
    <row r="10654" s="12" customFormat="1" x14ac:dyDescent="0.25"/>
    <row r="10655" s="12" customFormat="1" x14ac:dyDescent="0.25"/>
    <row r="10656" s="12" customFormat="1" x14ac:dyDescent="0.25"/>
    <row r="10657" s="12" customFormat="1" x14ac:dyDescent="0.25"/>
    <row r="10658" s="12" customFormat="1" x14ac:dyDescent="0.25"/>
    <row r="10659" s="12" customFormat="1" x14ac:dyDescent="0.25"/>
    <row r="10660" s="12" customFormat="1" x14ac:dyDescent="0.25"/>
    <row r="10661" s="12" customFormat="1" x14ac:dyDescent="0.25"/>
    <row r="10662" s="12" customFormat="1" x14ac:dyDescent="0.25"/>
    <row r="10663" s="12" customFormat="1" x14ac:dyDescent="0.25"/>
    <row r="10664" s="12" customFormat="1" x14ac:dyDescent="0.25"/>
    <row r="10665" s="12" customFormat="1" x14ac:dyDescent="0.25"/>
    <row r="10666" s="12" customFormat="1" x14ac:dyDescent="0.25"/>
    <row r="10667" s="12" customFormat="1" x14ac:dyDescent="0.25"/>
    <row r="10668" s="12" customFormat="1" x14ac:dyDescent="0.25"/>
    <row r="10669" s="12" customFormat="1" x14ac:dyDescent="0.25"/>
    <row r="10670" s="12" customFormat="1" x14ac:dyDescent="0.25"/>
    <row r="10671" s="12" customFormat="1" x14ac:dyDescent="0.25"/>
    <row r="10672" s="12" customFormat="1" x14ac:dyDescent="0.25"/>
    <row r="10673" s="12" customFormat="1" x14ac:dyDescent="0.25"/>
    <row r="10674" s="12" customFormat="1" x14ac:dyDescent="0.25"/>
    <row r="10675" s="12" customFormat="1" x14ac:dyDescent="0.25"/>
    <row r="10676" s="12" customFormat="1" x14ac:dyDescent="0.25"/>
    <row r="10677" s="12" customFormat="1" x14ac:dyDescent="0.25"/>
    <row r="10678" s="12" customFormat="1" x14ac:dyDescent="0.25"/>
    <row r="10679" s="12" customFormat="1" x14ac:dyDescent="0.25"/>
    <row r="10680" s="12" customFormat="1" x14ac:dyDescent="0.25"/>
    <row r="10681" s="12" customFormat="1" x14ac:dyDescent="0.25"/>
    <row r="10682" s="12" customFormat="1" x14ac:dyDescent="0.25"/>
    <row r="10683" s="12" customFormat="1" x14ac:dyDescent="0.25"/>
    <row r="10684" s="12" customFormat="1" x14ac:dyDescent="0.25"/>
    <row r="10685" s="12" customFormat="1" x14ac:dyDescent="0.25"/>
    <row r="10686" s="12" customFormat="1" x14ac:dyDescent="0.25"/>
    <row r="10687" s="12" customFormat="1" x14ac:dyDescent="0.25"/>
    <row r="10688" s="12" customFormat="1" x14ac:dyDescent="0.25"/>
    <row r="10689" s="12" customFormat="1" x14ac:dyDescent="0.25"/>
    <row r="10690" s="12" customFormat="1" x14ac:dyDescent="0.25"/>
    <row r="10691" s="12" customFormat="1" x14ac:dyDescent="0.25"/>
    <row r="10692" s="12" customFormat="1" x14ac:dyDescent="0.25"/>
    <row r="10693" s="12" customFormat="1" x14ac:dyDescent="0.25"/>
    <row r="10694" s="12" customFormat="1" x14ac:dyDescent="0.25"/>
    <row r="10695" s="12" customFormat="1" x14ac:dyDescent="0.25"/>
    <row r="10696" s="12" customFormat="1" x14ac:dyDescent="0.25"/>
    <row r="10697" s="12" customFormat="1" x14ac:dyDescent="0.25"/>
    <row r="10698" s="12" customFormat="1" x14ac:dyDescent="0.25"/>
    <row r="10699" s="12" customFormat="1" x14ac:dyDescent="0.25"/>
    <row r="10700" s="12" customFormat="1" x14ac:dyDescent="0.25"/>
    <row r="10701" s="12" customFormat="1" x14ac:dyDescent="0.25"/>
    <row r="10702" s="12" customFormat="1" x14ac:dyDescent="0.25"/>
    <row r="10703" s="12" customFormat="1" x14ac:dyDescent="0.25"/>
    <row r="10704" s="12" customFormat="1" x14ac:dyDescent="0.25"/>
    <row r="10705" s="12" customFormat="1" x14ac:dyDescent="0.25"/>
    <row r="10706" s="12" customFormat="1" x14ac:dyDescent="0.25"/>
    <row r="10707" s="12" customFormat="1" x14ac:dyDescent="0.25"/>
    <row r="10708" s="12" customFormat="1" x14ac:dyDescent="0.25"/>
    <row r="10709" s="12" customFormat="1" x14ac:dyDescent="0.25"/>
    <row r="10710" s="12" customFormat="1" x14ac:dyDescent="0.25"/>
    <row r="10711" s="12" customFormat="1" x14ac:dyDescent="0.25"/>
    <row r="10712" s="12" customFormat="1" x14ac:dyDescent="0.25"/>
    <row r="10713" s="12" customFormat="1" x14ac:dyDescent="0.25"/>
    <row r="10714" s="12" customFormat="1" x14ac:dyDescent="0.25"/>
    <row r="10715" s="12" customFormat="1" x14ac:dyDescent="0.25"/>
    <row r="10716" s="12" customFormat="1" x14ac:dyDescent="0.25"/>
    <row r="10717" s="12" customFormat="1" x14ac:dyDescent="0.25"/>
    <row r="10718" s="12" customFormat="1" x14ac:dyDescent="0.25"/>
    <row r="10719" s="12" customFormat="1" x14ac:dyDescent="0.25"/>
    <row r="10720" s="12" customFormat="1" x14ac:dyDescent="0.25"/>
    <row r="10721" s="12" customFormat="1" x14ac:dyDescent="0.25"/>
    <row r="10722" s="12" customFormat="1" x14ac:dyDescent="0.25"/>
    <row r="10723" s="12" customFormat="1" x14ac:dyDescent="0.25"/>
    <row r="10724" s="12" customFormat="1" x14ac:dyDescent="0.25"/>
    <row r="10725" s="12" customFormat="1" x14ac:dyDescent="0.25"/>
    <row r="10726" s="12" customFormat="1" x14ac:dyDescent="0.25"/>
    <row r="10727" s="12" customFormat="1" x14ac:dyDescent="0.25"/>
    <row r="10728" s="12" customFormat="1" x14ac:dyDescent="0.25"/>
    <row r="10729" s="12" customFormat="1" x14ac:dyDescent="0.25"/>
    <row r="10730" s="12" customFormat="1" x14ac:dyDescent="0.25"/>
    <row r="10731" s="12" customFormat="1" x14ac:dyDescent="0.25"/>
    <row r="10732" s="12" customFormat="1" x14ac:dyDescent="0.25"/>
    <row r="10733" s="12" customFormat="1" x14ac:dyDescent="0.25"/>
    <row r="10734" s="12" customFormat="1" x14ac:dyDescent="0.25"/>
    <row r="10735" s="12" customFormat="1" x14ac:dyDescent="0.25"/>
    <row r="10736" s="12" customFormat="1" x14ac:dyDescent="0.25"/>
    <row r="10737" s="12" customFormat="1" x14ac:dyDescent="0.25"/>
    <row r="10738" s="12" customFormat="1" x14ac:dyDescent="0.25"/>
    <row r="10739" s="12" customFormat="1" x14ac:dyDescent="0.25"/>
    <row r="10740" s="12" customFormat="1" x14ac:dyDescent="0.25"/>
    <row r="10741" s="12" customFormat="1" x14ac:dyDescent="0.25"/>
    <row r="10742" s="12" customFormat="1" x14ac:dyDescent="0.25"/>
    <row r="10743" s="12" customFormat="1" x14ac:dyDescent="0.25"/>
    <row r="10744" s="12" customFormat="1" x14ac:dyDescent="0.25"/>
    <row r="10745" s="12" customFormat="1" x14ac:dyDescent="0.25"/>
    <row r="10746" s="12" customFormat="1" x14ac:dyDescent="0.25"/>
    <row r="10747" s="12" customFormat="1" x14ac:dyDescent="0.25"/>
    <row r="10748" s="12" customFormat="1" x14ac:dyDescent="0.25"/>
    <row r="10749" s="12" customFormat="1" x14ac:dyDescent="0.25"/>
    <row r="10750" s="12" customFormat="1" x14ac:dyDescent="0.25"/>
    <row r="10751" s="12" customFormat="1" x14ac:dyDescent="0.25"/>
    <row r="10752" s="12" customFormat="1" x14ac:dyDescent="0.25"/>
    <row r="10753" s="12" customFormat="1" x14ac:dyDescent="0.25"/>
    <row r="10754" s="12" customFormat="1" x14ac:dyDescent="0.25"/>
    <row r="10755" s="12" customFormat="1" x14ac:dyDescent="0.25"/>
    <row r="10756" s="12" customFormat="1" x14ac:dyDescent="0.25"/>
    <row r="10757" s="12" customFormat="1" x14ac:dyDescent="0.25"/>
    <row r="10758" s="12" customFormat="1" x14ac:dyDescent="0.25"/>
    <row r="10759" s="12" customFormat="1" x14ac:dyDescent="0.25"/>
    <row r="10760" s="12" customFormat="1" x14ac:dyDescent="0.25"/>
    <row r="10761" s="12" customFormat="1" x14ac:dyDescent="0.25"/>
    <row r="10762" s="12" customFormat="1" x14ac:dyDescent="0.25"/>
    <row r="10763" s="12" customFormat="1" x14ac:dyDescent="0.25"/>
    <row r="10764" s="12" customFormat="1" x14ac:dyDescent="0.25"/>
    <row r="10765" s="12" customFormat="1" x14ac:dyDescent="0.25"/>
    <row r="10766" s="12" customFormat="1" x14ac:dyDescent="0.25"/>
    <row r="10767" s="12" customFormat="1" x14ac:dyDescent="0.25"/>
    <row r="10768" s="12" customFormat="1" x14ac:dyDescent="0.25"/>
    <row r="10769" s="12" customFormat="1" x14ac:dyDescent="0.25"/>
    <row r="10770" s="12" customFormat="1" x14ac:dyDescent="0.25"/>
    <row r="10771" s="12" customFormat="1" x14ac:dyDescent="0.25"/>
    <row r="10772" s="12" customFormat="1" x14ac:dyDescent="0.25"/>
    <row r="10773" s="12" customFormat="1" x14ac:dyDescent="0.25"/>
    <row r="10774" s="12" customFormat="1" x14ac:dyDescent="0.25"/>
    <row r="10775" s="12" customFormat="1" x14ac:dyDescent="0.25"/>
    <row r="10776" s="12" customFormat="1" x14ac:dyDescent="0.25"/>
    <row r="10777" s="12" customFormat="1" x14ac:dyDescent="0.25"/>
    <row r="10778" s="12" customFormat="1" x14ac:dyDescent="0.25"/>
    <row r="10779" s="12" customFormat="1" x14ac:dyDescent="0.25"/>
    <row r="10780" s="12" customFormat="1" x14ac:dyDescent="0.25"/>
    <row r="10781" s="12" customFormat="1" x14ac:dyDescent="0.25"/>
    <row r="10782" s="12" customFormat="1" x14ac:dyDescent="0.25"/>
    <row r="10783" s="12" customFormat="1" x14ac:dyDescent="0.25"/>
    <row r="10784" s="12" customFormat="1" x14ac:dyDescent="0.25"/>
    <row r="10785" s="12" customFormat="1" x14ac:dyDescent="0.25"/>
    <row r="10786" s="12" customFormat="1" x14ac:dyDescent="0.25"/>
    <row r="10787" s="12" customFormat="1" x14ac:dyDescent="0.25"/>
    <row r="10788" s="12" customFormat="1" x14ac:dyDescent="0.25"/>
    <row r="10789" s="12" customFormat="1" x14ac:dyDescent="0.25"/>
    <row r="10790" s="12" customFormat="1" x14ac:dyDescent="0.25"/>
    <row r="10791" s="12" customFormat="1" x14ac:dyDescent="0.25"/>
    <row r="10792" s="12" customFormat="1" x14ac:dyDescent="0.25"/>
    <row r="10793" s="12" customFormat="1" x14ac:dyDescent="0.25"/>
    <row r="10794" s="12" customFormat="1" x14ac:dyDescent="0.25"/>
    <row r="10795" s="12" customFormat="1" x14ac:dyDescent="0.25"/>
    <row r="10796" s="12" customFormat="1" x14ac:dyDescent="0.25"/>
    <row r="10797" s="12" customFormat="1" x14ac:dyDescent="0.25"/>
    <row r="10798" s="12" customFormat="1" x14ac:dyDescent="0.25"/>
    <row r="10799" s="12" customFormat="1" x14ac:dyDescent="0.25"/>
    <row r="10800" s="12" customFormat="1" x14ac:dyDescent="0.25"/>
    <row r="10801" s="12" customFormat="1" x14ac:dyDescent="0.25"/>
    <row r="10802" s="12" customFormat="1" x14ac:dyDescent="0.25"/>
    <row r="10803" s="12" customFormat="1" x14ac:dyDescent="0.25"/>
    <row r="10804" s="12" customFormat="1" x14ac:dyDescent="0.25"/>
    <row r="10805" s="12" customFormat="1" x14ac:dyDescent="0.25"/>
    <row r="10806" s="12" customFormat="1" x14ac:dyDescent="0.25"/>
    <row r="10807" s="12" customFormat="1" x14ac:dyDescent="0.25"/>
    <row r="10808" s="12" customFormat="1" x14ac:dyDescent="0.25"/>
    <row r="10809" s="12" customFormat="1" x14ac:dyDescent="0.25"/>
    <row r="10810" s="12" customFormat="1" x14ac:dyDescent="0.25"/>
    <row r="10811" s="12" customFormat="1" x14ac:dyDescent="0.25"/>
    <row r="10812" s="12" customFormat="1" x14ac:dyDescent="0.25"/>
    <row r="10813" s="12" customFormat="1" x14ac:dyDescent="0.25"/>
    <row r="10814" s="12" customFormat="1" x14ac:dyDescent="0.25"/>
    <row r="10815" s="12" customFormat="1" x14ac:dyDescent="0.25"/>
    <row r="10816" s="12" customFormat="1" x14ac:dyDescent="0.25"/>
    <row r="10817" s="12" customFormat="1" x14ac:dyDescent="0.25"/>
    <row r="10818" s="12" customFormat="1" x14ac:dyDescent="0.25"/>
    <row r="10819" s="12" customFormat="1" x14ac:dyDescent="0.25"/>
    <row r="10820" s="12" customFormat="1" x14ac:dyDescent="0.25"/>
    <row r="10821" s="12" customFormat="1" x14ac:dyDescent="0.25"/>
    <row r="10822" s="12" customFormat="1" x14ac:dyDescent="0.25"/>
    <row r="10823" s="12" customFormat="1" x14ac:dyDescent="0.25"/>
    <row r="10824" s="12" customFormat="1" x14ac:dyDescent="0.25"/>
    <row r="10825" s="12" customFormat="1" x14ac:dyDescent="0.25"/>
    <row r="10826" s="12" customFormat="1" x14ac:dyDescent="0.25"/>
    <row r="10827" s="12" customFormat="1" x14ac:dyDescent="0.25"/>
    <row r="10828" s="12" customFormat="1" x14ac:dyDescent="0.25"/>
    <row r="10829" s="12" customFormat="1" x14ac:dyDescent="0.25"/>
    <row r="10830" s="12" customFormat="1" x14ac:dyDescent="0.25"/>
    <row r="10831" s="12" customFormat="1" x14ac:dyDescent="0.25"/>
    <row r="10832" s="12" customFormat="1" x14ac:dyDescent="0.25"/>
    <row r="10833" s="12" customFormat="1" x14ac:dyDescent="0.25"/>
    <row r="10834" s="12" customFormat="1" x14ac:dyDescent="0.25"/>
    <row r="10835" s="12" customFormat="1" x14ac:dyDescent="0.25"/>
    <row r="10836" s="12" customFormat="1" x14ac:dyDescent="0.25"/>
    <row r="10837" s="12" customFormat="1" x14ac:dyDescent="0.25"/>
    <row r="10838" s="12" customFormat="1" x14ac:dyDescent="0.25"/>
    <row r="10839" s="12" customFormat="1" x14ac:dyDescent="0.25"/>
    <row r="10840" s="12" customFormat="1" x14ac:dyDescent="0.25"/>
    <row r="10841" s="12" customFormat="1" x14ac:dyDescent="0.25"/>
    <row r="10842" s="12" customFormat="1" x14ac:dyDescent="0.25"/>
    <row r="10843" s="12" customFormat="1" x14ac:dyDescent="0.25"/>
    <row r="10844" s="12" customFormat="1" x14ac:dyDescent="0.25"/>
    <row r="10845" s="12" customFormat="1" x14ac:dyDescent="0.25"/>
    <row r="10846" s="12" customFormat="1" x14ac:dyDescent="0.25"/>
    <row r="10847" s="12" customFormat="1" x14ac:dyDescent="0.25"/>
    <row r="10848" s="12" customFormat="1" x14ac:dyDescent="0.25"/>
    <row r="10849" s="12" customFormat="1" x14ac:dyDescent="0.25"/>
    <row r="10850" s="12" customFormat="1" x14ac:dyDescent="0.25"/>
    <row r="10851" s="12" customFormat="1" x14ac:dyDescent="0.25"/>
    <row r="10852" s="12" customFormat="1" x14ac:dyDescent="0.25"/>
    <row r="10853" s="12" customFormat="1" x14ac:dyDescent="0.25"/>
    <row r="10854" s="12" customFormat="1" x14ac:dyDescent="0.25"/>
    <row r="10855" s="12" customFormat="1" x14ac:dyDescent="0.25"/>
    <row r="10856" s="12" customFormat="1" x14ac:dyDescent="0.25"/>
    <row r="10857" s="12" customFormat="1" x14ac:dyDescent="0.25"/>
    <row r="10858" s="12" customFormat="1" x14ac:dyDescent="0.25"/>
    <row r="10859" s="12" customFormat="1" x14ac:dyDescent="0.25"/>
    <row r="10860" s="12" customFormat="1" x14ac:dyDescent="0.25"/>
    <row r="10861" s="12" customFormat="1" x14ac:dyDescent="0.25"/>
    <row r="10862" s="12" customFormat="1" x14ac:dyDescent="0.25"/>
    <row r="10863" s="12" customFormat="1" x14ac:dyDescent="0.25"/>
    <row r="10864" s="12" customFormat="1" x14ac:dyDescent="0.25"/>
    <row r="10865" s="12" customFormat="1" x14ac:dyDescent="0.25"/>
    <row r="10866" s="12" customFormat="1" x14ac:dyDescent="0.25"/>
    <row r="10867" s="12" customFormat="1" x14ac:dyDescent="0.25"/>
    <row r="10868" s="12" customFormat="1" x14ac:dyDescent="0.25"/>
    <row r="10869" s="12" customFormat="1" x14ac:dyDescent="0.25"/>
    <row r="10870" s="12" customFormat="1" x14ac:dyDescent="0.25"/>
    <row r="10871" s="12" customFormat="1" x14ac:dyDescent="0.25"/>
    <row r="10872" s="12" customFormat="1" x14ac:dyDescent="0.25"/>
    <row r="10873" s="12" customFormat="1" x14ac:dyDescent="0.25"/>
    <row r="10874" s="12" customFormat="1" x14ac:dyDescent="0.25"/>
    <row r="10875" s="12" customFormat="1" x14ac:dyDescent="0.25"/>
    <row r="10876" s="12" customFormat="1" x14ac:dyDescent="0.25"/>
    <row r="10877" s="12" customFormat="1" x14ac:dyDescent="0.25"/>
    <row r="10878" s="12" customFormat="1" x14ac:dyDescent="0.25"/>
    <row r="10879" s="12" customFormat="1" x14ac:dyDescent="0.25"/>
    <row r="10880" s="12" customFormat="1" x14ac:dyDescent="0.25"/>
    <row r="10881" s="12" customFormat="1" x14ac:dyDescent="0.25"/>
    <row r="10882" s="12" customFormat="1" x14ac:dyDescent="0.25"/>
    <row r="10883" s="12" customFormat="1" x14ac:dyDescent="0.25"/>
    <row r="10884" s="12" customFormat="1" x14ac:dyDescent="0.25"/>
    <row r="10885" s="12" customFormat="1" x14ac:dyDescent="0.25"/>
    <row r="10886" s="12" customFormat="1" x14ac:dyDescent="0.25"/>
    <row r="10887" s="12" customFormat="1" x14ac:dyDescent="0.25"/>
    <row r="10888" s="12" customFormat="1" x14ac:dyDescent="0.25"/>
    <row r="10889" s="12" customFormat="1" x14ac:dyDescent="0.25"/>
    <row r="10890" s="12" customFormat="1" x14ac:dyDescent="0.25"/>
    <row r="10891" s="12" customFormat="1" x14ac:dyDescent="0.25"/>
    <row r="10892" s="12" customFormat="1" x14ac:dyDescent="0.25"/>
    <row r="10893" s="12" customFormat="1" x14ac:dyDescent="0.25"/>
    <row r="10894" s="12" customFormat="1" x14ac:dyDescent="0.25"/>
    <row r="10895" s="12" customFormat="1" x14ac:dyDescent="0.25"/>
    <row r="10896" s="12" customFormat="1" x14ac:dyDescent="0.25"/>
    <row r="10897" s="12" customFormat="1" x14ac:dyDescent="0.25"/>
    <row r="10898" s="12" customFormat="1" x14ac:dyDescent="0.25"/>
    <row r="10899" s="12" customFormat="1" x14ac:dyDescent="0.25"/>
    <row r="10900" s="12" customFormat="1" x14ac:dyDescent="0.25"/>
    <row r="10901" s="12" customFormat="1" x14ac:dyDescent="0.25"/>
    <row r="10902" s="12" customFormat="1" x14ac:dyDescent="0.25"/>
    <row r="10903" s="12" customFormat="1" x14ac:dyDescent="0.25"/>
    <row r="10904" s="12" customFormat="1" x14ac:dyDescent="0.25"/>
    <row r="10905" s="12" customFormat="1" x14ac:dyDescent="0.25"/>
    <row r="10906" s="12" customFormat="1" x14ac:dyDescent="0.25"/>
    <row r="10907" s="12" customFormat="1" x14ac:dyDescent="0.25"/>
    <row r="10908" s="12" customFormat="1" x14ac:dyDescent="0.25"/>
    <row r="10909" s="12" customFormat="1" x14ac:dyDescent="0.25"/>
    <row r="10910" s="12" customFormat="1" x14ac:dyDescent="0.25"/>
    <row r="10911" s="12" customFormat="1" x14ac:dyDescent="0.25"/>
    <row r="10912" s="12" customFormat="1" x14ac:dyDescent="0.25"/>
    <row r="10913" s="12" customFormat="1" x14ac:dyDescent="0.25"/>
    <row r="10914" s="12" customFormat="1" x14ac:dyDescent="0.25"/>
    <row r="10915" s="12" customFormat="1" x14ac:dyDescent="0.25"/>
    <row r="10916" s="12" customFormat="1" x14ac:dyDescent="0.25"/>
    <row r="10917" s="12" customFormat="1" x14ac:dyDescent="0.25"/>
    <row r="10918" s="12" customFormat="1" x14ac:dyDescent="0.25"/>
    <row r="10919" s="12" customFormat="1" x14ac:dyDescent="0.25"/>
    <row r="10920" s="12" customFormat="1" x14ac:dyDescent="0.25"/>
    <row r="10921" s="12" customFormat="1" x14ac:dyDescent="0.25"/>
    <row r="10922" s="12" customFormat="1" x14ac:dyDescent="0.25"/>
    <row r="10923" s="12" customFormat="1" x14ac:dyDescent="0.25"/>
    <row r="10924" s="12" customFormat="1" x14ac:dyDescent="0.25"/>
    <row r="10925" s="12" customFormat="1" x14ac:dyDescent="0.25"/>
    <row r="10926" s="12" customFormat="1" x14ac:dyDescent="0.25"/>
    <row r="10927" s="12" customFormat="1" x14ac:dyDescent="0.25"/>
    <row r="10928" s="12" customFormat="1" x14ac:dyDescent="0.25"/>
    <row r="10929" s="12" customFormat="1" x14ac:dyDescent="0.25"/>
    <row r="10930" s="12" customFormat="1" x14ac:dyDescent="0.25"/>
    <row r="10931" s="12" customFormat="1" x14ac:dyDescent="0.25"/>
    <row r="10932" s="12" customFormat="1" x14ac:dyDescent="0.25"/>
    <row r="10933" s="12" customFormat="1" x14ac:dyDescent="0.25"/>
    <row r="10934" s="12" customFormat="1" x14ac:dyDescent="0.25"/>
    <row r="10935" s="12" customFormat="1" x14ac:dyDescent="0.25"/>
    <row r="10936" s="12" customFormat="1" x14ac:dyDescent="0.25"/>
    <row r="10937" s="12" customFormat="1" x14ac:dyDescent="0.25"/>
    <row r="10938" s="12" customFormat="1" x14ac:dyDescent="0.25"/>
    <row r="10939" s="12" customFormat="1" x14ac:dyDescent="0.25"/>
    <row r="10940" s="12" customFormat="1" x14ac:dyDescent="0.25"/>
    <row r="10941" s="12" customFormat="1" x14ac:dyDescent="0.25"/>
    <row r="10942" s="12" customFormat="1" x14ac:dyDescent="0.25"/>
    <row r="10943" s="12" customFormat="1" x14ac:dyDescent="0.25"/>
    <row r="10944" s="12" customFormat="1" x14ac:dyDescent="0.25"/>
    <row r="10945" s="12" customFormat="1" x14ac:dyDescent="0.25"/>
    <row r="10946" s="12" customFormat="1" x14ac:dyDescent="0.25"/>
    <row r="10947" s="12" customFormat="1" x14ac:dyDescent="0.25"/>
    <row r="10948" s="12" customFormat="1" x14ac:dyDescent="0.25"/>
    <row r="10949" s="12" customFormat="1" x14ac:dyDescent="0.25"/>
    <row r="10950" s="12" customFormat="1" x14ac:dyDescent="0.25"/>
    <row r="10951" s="12" customFormat="1" x14ac:dyDescent="0.25"/>
    <row r="10952" s="12" customFormat="1" x14ac:dyDescent="0.25"/>
    <row r="10953" s="12" customFormat="1" x14ac:dyDescent="0.25"/>
    <row r="10954" s="12" customFormat="1" x14ac:dyDescent="0.25"/>
    <row r="10955" s="12" customFormat="1" x14ac:dyDescent="0.25"/>
    <row r="10956" s="12" customFormat="1" x14ac:dyDescent="0.25"/>
    <row r="10957" s="12" customFormat="1" x14ac:dyDescent="0.25"/>
    <row r="10958" s="12" customFormat="1" x14ac:dyDescent="0.25"/>
    <row r="10959" s="12" customFormat="1" x14ac:dyDescent="0.25"/>
    <row r="10960" s="12" customFormat="1" x14ac:dyDescent="0.25"/>
    <row r="10961" s="12" customFormat="1" x14ac:dyDescent="0.25"/>
    <row r="10962" s="12" customFormat="1" x14ac:dyDescent="0.25"/>
    <row r="10963" s="12" customFormat="1" x14ac:dyDescent="0.25"/>
    <row r="10964" s="12" customFormat="1" x14ac:dyDescent="0.25"/>
    <row r="10965" s="12" customFormat="1" x14ac:dyDescent="0.25"/>
    <row r="10966" s="12" customFormat="1" x14ac:dyDescent="0.25"/>
    <row r="10967" s="12" customFormat="1" x14ac:dyDescent="0.25"/>
    <row r="10968" s="12" customFormat="1" x14ac:dyDescent="0.25"/>
    <row r="10969" s="12" customFormat="1" x14ac:dyDescent="0.25"/>
    <row r="10970" s="12" customFormat="1" x14ac:dyDescent="0.25"/>
    <row r="10971" s="12" customFormat="1" x14ac:dyDescent="0.25"/>
    <row r="10972" s="12" customFormat="1" x14ac:dyDescent="0.25"/>
    <row r="10973" s="12" customFormat="1" x14ac:dyDescent="0.25"/>
    <row r="10974" s="12" customFormat="1" x14ac:dyDescent="0.25"/>
    <row r="10975" s="12" customFormat="1" x14ac:dyDescent="0.25"/>
    <row r="10976" s="12" customFormat="1" x14ac:dyDescent="0.25"/>
    <row r="10977" s="12" customFormat="1" x14ac:dyDescent="0.25"/>
    <row r="10978" s="12" customFormat="1" x14ac:dyDescent="0.25"/>
    <row r="10979" s="12" customFormat="1" x14ac:dyDescent="0.25"/>
    <row r="10980" s="12" customFormat="1" x14ac:dyDescent="0.25"/>
    <row r="10981" s="12" customFormat="1" x14ac:dyDescent="0.25"/>
    <row r="10982" s="12" customFormat="1" x14ac:dyDescent="0.25"/>
    <row r="10983" s="12" customFormat="1" x14ac:dyDescent="0.25"/>
    <row r="10984" s="12" customFormat="1" x14ac:dyDescent="0.25"/>
    <row r="10985" s="12" customFormat="1" x14ac:dyDescent="0.25"/>
    <row r="10986" s="12" customFormat="1" x14ac:dyDescent="0.25"/>
    <row r="10987" s="12" customFormat="1" x14ac:dyDescent="0.25"/>
    <row r="10988" s="12" customFormat="1" x14ac:dyDescent="0.25"/>
    <row r="10989" s="12" customFormat="1" x14ac:dyDescent="0.25"/>
    <row r="10990" s="12" customFormat="1" x14ac:dyDescent="0.25"/>
    <row r="10991" s="12" customFormat="1" x14ac:dyDescent="0.25"/>
    <row r="10992" s="12" customFormat="1" x14ac:dyDescent="0.25"/>
    <row r="10993" s="12" customFormat="1" x14ac:dyDescent="0.25"/>
    <row r="10994" s="12" customFormat="1" x14ac:dyDescent="0.25"/>
    <row r="10995" s="12" customFormat="1" x14ac:dyDescent="0.25"/>
    <row r="10996" s="12" customFormat="1" x14ac:dyDescent="0.25"/>
    <row r="10997" s="12" customFormat="1" x14ac:dyDescent="0.25"/>
    <row r="10998" s="12" customFormat="1" x14ac:dyDescent="0.25"/>
    <row r="10999" s="12" customFormat="1" x14ac:dyDescent="0.25"/>
    <row r="11000" s="12" customFormat="1" x14ac:dyDescent="0.25"/>
    <row r="11001" s="12" customFormat="1" x14ac:dyDescent="0.25"/>
    <row r="11002" s="12" customFormat="1" x14ac:dyDescent="0.25"/>
    <row r="11003" s="12" customFormat="1" x14ac:dyDescent="0.25"/>
    <row r="11004" s="12" customFormat="1" x14ac:dyDescent="0.25"/>
    <row r="11005" s="12" customFormat="1" x14ac:dyDescent="0.25"/>
    <row r="11006" s="12" customFormat="1" x14ac:dyDescent="0.25"/>
    <row r="11007" s="12" customFormat="1" x14ac:dyDescent="0.25"/>
    <row r="11008" s="12" customFormat="1" x14ac:dyDescent="0.25"/>
    <row r="11009" s="12" customFormat="1" x14ac:dyDescent="0.25"/>
    <row r="11010" s="12" customFormat="1" x14ac:dyDescent="0.25"/>
    <row r="11011" s="12" customFormat="1" x14ac:dyDescent="0.25"/>
    <row r="11012" s="12" customFormat="1" x14ac:dyDescent="0.25"/>
    <row r="11013" s="12" customFormat="1" x14ac:dyDescent="0.25"/>
    <row r="11014" s="12" customFormat="1" x14ac:dyDescent="0.25"/>
    <row r="11015" s="12" customFormat="1" x14ac:dyDescent="0.25"/>
    <row r="11016" s="12" customFormat="1" x14ac:dyDescent="0.25"/>
    <row r="11017" s="12" customFormat="1" x14ac:dyDescent="0.25"/>
    <row r="11018" s="12" customFormat="1" x14ac:dyDescent="0.25"/>
    <row r="11019" s="12" customFormat="1" x14ac:dyDescent="0.25"/>
    <row r="11020" s="12" customFormat="1" x14ac:dyDescent="0.25"/>
    <row r="11021" s="12" customFormat="1" x14ac:dyDescent="0.25"/>
    <row r="11022" s="12" customFormat="1" x14ac:dyDescent="0.25"/>
    <row r="11023" s="12" customFormat="1" x14ac:dyDescent="0.25"/>
    <row r="11024" s="12" customFormat="1" x14ac:dyDescent="0.25"/>
    <row r="11025" s="12" customFormat="1" x14ac:dyDescent="0.25"/>
    <row r="11026" s="12" customFormat="1" x14ac:dyDescent="0.25"/>
    <row r="11027" s="12" customFormat="1" x14ac:dyDescent="0.25"/>
    <row r="11028" s="12" customFormat="1" x14ac:dyDescent="0.25"/>
    <row r="11029" s="12" customFormat="1" x14ac:dyDescent="0.25"/>
    <row r="11030" s="12" customFormat="1" x14ac:dyDescent="0.25"/>
    <row r="11031" s="12" customFormat="1" x14ac:dyDescent="0.25"/>
    <row r="11032" s="12" customFormat="1" x14ac:dyDescent="0.25"/>
    <row r="11033" s="12" customFormat="1" x14ac:dyDescent="0.25"/>
    <row r="11034" s="12" customFormat="1" x14ac:dyDescent="0.25"/>
    <row r="11035" s="12" customFormat="1" x14ac:dyDescent="0.25"/>
    <row r="11036" s="12" customFormat="1" x14ac:dyDescent="0.25"/>
    <row r="11037" s="12" customFormat="1" x14ac:dyDescent="0.25"/>
    <row r="11038" s="12" customFormat="1" x14ac:dyDescent="0.25"/>
    <row r="11039" s="12" customFormat="1" x14ac:dyDescent="0.25"/>
    <row r="11040" s="12" customFormat="1" x14ac:dyDescent="0.25"/>
    <row r="11041" s="12" customFormat="1" x14ac:dyDescent="0.25"/>
    <row r="11042" s="12" customFormat="1" x14ac:dyDescent="0.25"/>
    <row r="11043" s="12" customFormat="1" x14ac:dyDescent="0.25"/>
    <row r="11044" s="12" customFormat="1" x14ac:dyDescent="0.25"/>
    <row r="11045" s="12" customFormat="1" x14ac:dyDescent="0.25"/>
    <row r="11046" s="12" customFormat="1" x14ac:dyDescent="0.25"/>
    <row r="11047" s="12" customFormat="1" x14ac:dyDescent="0.25"/>
    <row r="11048" s="12" customFormat="1" x14ac:dyDescent="0.25"/>
    <row r="11049" s="12" customFormat="1" x14ac:dyDescent="0.25"/>
    <row r="11050" s="12" customFormat="1" x14ac:dyDescent="0.25"/>
    <row r="11051" s="12" customFormat="1" x14ac:dyDescent="0.25"/>
    <row r="11052" s="12" customFormat="1" x14ac:dyDescent="0.25"/>
    <row r="11053" s="12" customFormat="1" x14ac:dyDescent="0.25"/>
    <row r="11054" s="12" customFormat="1" x14ac:dyDescent="0.25"/>
    <row r="11055" s="12" customFormat="1" x14ac:dyDescent="0.25"/>
    <row r="11056" s="12" customFormat="1" x14ac:dyDescent="0.25"/>
    <row r="11057" s="12" customFormat="1" x14ac:dyDescent="0.25"/>
    <row r="11058" s="12" customFormat="1" x14ac:dyDescent="0.25"/>
    <row r="11059" s="12" customFormat="1" x14ac:dyDescent="0.25"/>
    <row r="11060" s="12" customFormat="1" x14ac:dyDescent="0.25"/>
    <row r="11061" s="12" customFormat="1" x14ac:dyDescent="0.25"/>
    <row r="11062" s="12" customFormat="1" x14ac:dyDescent="0.25"/>
    <row r="11063" s="12" customFormat="1" x14ac:dyDescent="0.25"/>
    <row r="11064" s="12" customFormat="1" x14ac:dyDescent="0.25"/>
    <row r="11065" s="12" customFormat="1" x14ac:dyDescent="0.25"/>
    <row r="11066" s="12" customFormat="1" x14ac:dyDescent="0.25"/>
    <row r="11067" s="12" customFormat="1" x14ac:dyDescent="0.25"/>
    <row r="11068" s="12" customFormat="1" x14ac:dyDescent="0.25"/>
    <row r="11069" s="12" customFormat="1" x14ac:dyDescent="0.25"/>
    <row r="11070" s="12" customFormat="1" x14ac:dyDescent="0.25"/>
    <row r="11071" s="12" customFormat="1" x14ac:dyDescent="0.25"/>
    <row r="11072" s="12" customFormat="1" x14ac:dyDescent="0.25"/>
    <row r="11073" s="12" customFormat="1" x14ac:dyDescent="0.25"/>
    <row r="11074" s="12" customFormat="1" x14ac:dyDescent="0.25"/>
    <row r="11075" s="12" customFormat="1" x14ac:dyDescent="0.25"/>
    <row r="11076" s="12" customFormat="1" x14ac:dyDescent="0.25"/>
    <row r="11077" s="12" customFormat="1" x14ac:dyDescent="0.25"/>
    <row r="11078" s="12" customFormat="1" x14ac:dyDescent="0.25"/>
    <row r="11079" s="12" customFormat="1" x14ac:dyDescent="0.25"/>
    <row r="11080" s="12" customFormat="1" x14ac:dyDescent="0.25"/>
    <row r="11081" s="12" customFormat="1" x14ac:dyDescent="0.25"/>
    <row r="11082" s="12" customFormat="1" x14ac:dyDescent="0.25"/>
    <row r="11083" s="12" customFormat="1" x14ac:dyDescent="0.25"/>
    <row r="11084" s="12" customFormat="1" x14ac:dyDescent="0.25"/>
    <row r="11085" s="12" customFormat="1" x14ac:dyDescent="0.25"/>
    <row r="11086" s="12" customFormat="1" x14ac:dyDescent="0.25"/>
    <row r="11087" s="12" customFormat="1" x14ac:dyDescent="0.25"/>
    <row r="11088" s="12" customFormat="1" x14ac:dyDescent="0.25"/>
    <row r="11089" s="12" customFormat="1" x14ac:dyDescent="0.25"/>
    <row r="11090" s="12" customFormat="1" x14ac:dyDescent="0.25"/>
    <row r="11091" s="12" customFormat="1" x14ac:dyDescent="0.25"/>
    <row r="11092" s="12" customFormat="1" x14ac:dyDescent="0.25"/>
    <row r="11093" s="12" customFormat="1" x14ac:dyDescent="0.25"/>
    <row r="11094" s="12" customFormat="1" x14ac:dyDescent="0.25"/>
    <row r="11095" s="12" customFormat="1" x14ac:dyDescent="0.25"/>
    <row r="11096" s="12" customFormat="1" x14ac:dyDescent="0.25"/>
    <row r="11097" s="12" customFormat="1" x14ac:dyDescent="0.25"/>
    <row r="11098" s="12" customFormat="1" x14ac:dyDescent="0.25"/>
    <row r="11099" s="12" customFormat="1" x14ac:dyDescent="0.25"/>
    <row r="11100" s="12" customFormat="1" x14ac:dyDescent="0.25"/>
    <row r="11101" s="12" customFormat="1" x14ac:dyDescent="0.25"/>
    <row r="11102" s="12" customFormat="1" x14ac:dyDescent="0.25"/>
    <row r="11103" s="12" customFormat="1" x14ac:dyDescent="0.25"/>
    <row r="11104" s="12" customFormat="1" x14ac:dyDescent="0.25"/>
    <row r="11105" s="12" customFormat="1" x14ac:dyDescent="0.25"/>
    <row r="11106" s="12" customFormat="1" x14ac:dyDescent="0.25"/>
    <row r="11107" s="12" customFormat="1" x14ac:dyDescent="0.25"/>
    <row r="11108" s="12" customFormat="1" x14ac:dyDescent="0.25"/>
    <row r="11109" s="12" customFormat="1" x14ac:dyDescent="0.25"/>
    <row r="11110" s="12" customFormat="1" x14ac:dyDescent="0.25"/>
    <row r="11111" s="12" customFormat="1" x14ac:dyDescent="0.25"/>
    <row r="11112" s="12" customFormat="1" x14ac:dyDescent="0.25"/>
    <row r="11113" s="12" customFormat="1" x14ac:dyDescent="0.25"/>
    <row r="11114" s="12" customFormat="1" x14ac:dyDescent="0.25"/>
    <row r="11115" s="12" customFormat="1" x14ac:dyDescent="0.25"/>
    <row r="11116" s="12" customFormat="1" x14ac:dyDescent="0.25"/>
    <row r="11117" s="12" customFormat="1" x14ac:dyDescent="0.25"/>
    <row r="11118" s="12" customFormat="1" x14ac:dyDescent="0.25"/>
    <row r="11119" s="12" customFormat="1" x14ac:dyDescent="0.25"/>
    <row r="11120" s="12" customFormat="1" x14ac:dyDescent="0.25"/>
    <row r="11121" s="12" customFormat="1" x14ac:dyDescent="0.25"/>
    <row r="11122" s="12" customFormat="1" x14ac:dyDescent="0.25"/>
    <row r="11123" s="12" customFormat="1" x14ac:dyDescent="0.25"/>
    <row r="11124" s="12" customFormat="1" x14ac:dyDescent="0.25"/>
    <row r="11125" s="12" customFormat="1" x14ac:dyDescent="0.25"/>
    <row r="11126" s="12" customFormat="1" x14ac:dyDescent="0.25"/>
    <row r="11127" s="12" customFormat="1" x14ac:dyDescent="0.25"/>
    <row r="11128" s="12" customFormat="1" x14ac:dyDescent="0.25"/>
    <row r="11129" s="12" customFormat="1" x14ac:dyDescent="0.25"/>
    <row r="11130" s="12" customFormat="1" x14ac:dyDescent="0.25"/>
    <row r="11131" s="12" customFormat="1" x14ac:dyDescent="0.25"/>
    <row r="11132" s="12" customFormat="1" x14ac:dyDescent="0.25"/>
    <row r="11133" s="12" customFormat="1" x14ac:dyDescent="0.25"/>
    <row r="11134" s="12" customFormat="1" x14ac:dyDescent="0.25"/>
    <row r="11135" s="12" customFormat="1" x14ac:dyDescent="0.25"/>
    <row r="11136" s="12" customFormat="1" x14ac:dyDescent="0.25"/>
    <row r="11137" s="12" customFormat="1" x14ac:dyDescent="0.25"/>
    <row r="11138" s="12" customFormat="1" x14ac:dyDescent="0.25"/>
    <row r="11139" s="12" customFormat="1" x14ac:dyDescent="0.25"/>
    <row r="11140" s="12" customFormat="1" x14ac:dyDescent="0.25"/>
    <row r="11141" s="12" customFormat="1" x14ac:dyDescent="0.25"/>
    <row r="11142" s="12" customFormat="1" x14ac:dyDescent="0.25"/>
    <row r="11143" s="12" customFormat="1" x14ac:dyDescent="0.25"/>
    <row r="11144" s="12" customFormat="1" x14ac:dyDescent="0.25"/>
    <row r="11145" s="12" customFormat="1" x14ac:dyDescent="0.25"/>
    <row r="11146" s="12" customFormat="1" x14ac:dyDescent="0.25"/>
    <row r="11147" s="12" customFormat="1" x14ac:dyDescent="0.25"/>
    <row r="11148" s="12" customFormat="1" x14ac:dyDescent="0.25"/>
    <row r="11149" s="12" customFormat="1" x14ac:dyDescent="0.25"/>
    <row r="11150" s="12" customFormat="1" x14ac:dyDescent="0.25"/>
    <row r="11151" s="12" customFormat="1" x14ac:dyDescent="0.25"/>
    <row r="11152" s="12" customFormat="1" x14ac:dyDescent="0.25"/>
    <row r="11153" s="12" customFormat="1" x14ac:dyDescent="0.25"/>
    <row r="11154" s="12" customFormat="1" x14ac:dyDescent="0.25"/>
    <row r="11155" s="12" customFormat="1" x14ac:dyDescent="0.25"/>
    <row r="11156" s="12" customFormat="1" x14ac:dyDescent="0.25"/>
    <row r="11157" s="12" customFormat="1" x14ac:dyDescent="0.25"/>
    <row r="11158" s="12" customFormat="1" x14ac:dyDescent="0.25"/>
    <row r="11159" s="12" customFormat="1" x14ac:dyDescent="0.25"/>
    <row r="11160" s="12" customFormat="1" x14ac:dyDescent="0.25"/>
    <row r="11161" s="12" customFormat="1" x14ac:dyDescent="0.25"/>
    <row r="11162" s="12" customFormat="1" x14ac:dyDescent="0.25"/>
    <row r="11163" s="12" customFormat="1" x14ac:dyDescent="0.25"/>
    <row r="11164" s="12" customFormat="1" x14ac:dyDescent="0.25"/>
    <row r="11165" s="12" customFormat="1" x14ac:dyDescent="0.25"/>
    <row r="11166" s="12" customFormat="1" x14ac:dyDescent="0.25"/>
    <row r="11167" s="12" customFormat="1" x14ac:dyDescent="0.25"/>
    <row r="11168" s="12" customFormat="1" x14ac:dyDescent="0.25"/>
    <row r="11169" s="12" customFormat="1" x14ac:dyDescent="0.25"/>
    <row r="11170" s="12" customFormat="1" x14ac:dyDescent="0.25"/>
    <row r="11171" s="12" customFormat="1" x14ac:dyDescent="0.25"/>
    <row r="11172" s="12" customFormat="1" x14ac:dyDescent="0.25"/>
    <row r="11173" s="12" customFormat="1" x14ac:dyDescent="0.25"/>
    <row r="11174" s="12" customFormat="1" x14ac:dyDescent="0.25"/>
    <row r="11175" s="12" customFormat="1" x14ac:dyDescent="0.25"/>
    <row r="11176" s="12" customFormat="1" x14ac:dyDescent="0.25"/>
    <row r="11177" s="12" customFormat="1" x14ac:dyDescent="0.25"/>
    <row r="11178" s="12" customFormat="1" x14ac:dyDescent="0.25"/>
    <row r="11179" s="12" customFormat="1" x14ac:dyDescent="0.25"/>
    <row r="11180" s="12" customFormat="1" x14ac:dyDescent="0.25"/>
    <row r="11181" s="12" customFormat="1" x14ac:dyDescent="0.25"/>
    <row r="11182" s="12" customFormat="1" x14ac:dyDescent="0.25"/>
    <row r="11183" s="12" customFormat="1" x14ac:dyDescent="0.25"/>
    <row r="11184" s="12" customFormat="1" x14ac:dyDescent="0.25"/>
    <row r="11185" s="12" customFormat="1" x14ac:dyDescent="0.25"/>
    <row r="11186" s="12" customFormat="1" x14ac:dyDescent="0.25"/>
    <row r="11187" s="12" customFormat="1" x14ac:dyDescent="0.25"/>
    <row r="11188" s="12" customFormat="1" x14ac:dyDescent="0.25"/>
    <row r="11189" s="12" customFormat="1" x14ac:dyDescent="0.25"/>
    <row r="11190" s="12" customFormat="1" x14ac:dyDescent="0.25"/>
    <row r="11191" s="12" customFormat="1" x14ac:dyDescent="0.25"/>
    <row r="11192" s="12" customFormat="1" x14ac:dyDescent="0.25"/>
    <row r="11193" s="12" customFormat="1" x14ac:dyDescent="0.25"/>
    <row r="11194" s="12" customFormat="1" x14ac:dyDescent="0.25"/>
    <row r="11195" s="12" customFormat="1" x14ac:dyDescent="0.25"/>
    <row r="11196" s="12" customFormat="1" x14ac:dyDescent="0.25"/>
    <row r="11197" s="12" customFormat="1" x14ac:dyDescent="0.25"/>
    <row r="11198" s="12" customFormat="1" x14ac:dyDescent="0.25"/>
    <row r="11199" s="12" customFormat="1" x14ac:dyDescent="0.25"/>
    <row r="11200" s="12" customFormat="1" x14ac:dyDescent="0.25"/>
    <row r="11201" s="12" customFormat="1" x14ac:dyDescent="0.25"/>
    <row r="11202" s="12" customFormat="1" x14ac:dyDescent="0.25"/>
    <row r="11203" s="12" customFormat="1" x14ac:dyDescent="0.25"/>
    <row r="11204" s="12" customFormat="1" x14ac:dyDescent="0.25"/>
    <row r="11205" s="12" customFormat="1" x14ac:dyDescent="0.25"/>
    <row r="11206" s="12" customFormat="1" x14ac:dyDescent="0.25"/>
    <row r="11207" s="12" customFormat="1" x14ac:dyDescent="0.25"/>
    <row r="11208" s="12" customFormat="1" x14ac:dyDescent="0.25"/>
    <row r="11209" s="12" customFormat="1" x14ac:dyDescent="0.25"/>
    <row r="11210" s="12" customFormat="1" x14ac:dyDescent="0.25"/>
    <row r="11211" s="12" customFormat="1" x14ac:dyDescent="0.25"/>
    <row r="11212" s="12" customFormat="1" x14ac:dyDescent="0.25"/>
    <row r="11213" s="12" customFormat="1" x14ac:dyDescent="0.25"/>
    <row r="11214" s="12" customFormat="1" x14ac:dyDescent="0.25"/>
    <row r="11215" s="12" customFormat="1" x14ac:dyDescent="0.25"/>
    <row r="11216" s="12" customFormat="1" x14ac:dyDescent="0.25"/>
    <row r="11217" s="12" customFormat="1" x14ac:dyDescent="0.25"/>
    <row r="11218" s="12" customFormat="1" x14ac:dyDescent="0.25"/>
    <row r="11219" s="12" customFormat="1" x14ac:dyDescent="0.25"/>
    <row r="11220" s="12" customFormat="1" x14ac:dyDescent="0.25"/>
    <row r="11221" s="12" customFormat="1" x14ac:dyDescent="0.25"/>
    <row r="11222" s="12" customFormat="1" x14ac:dyDescent="0.25"/>
    <row r="11223" s="12" customFormat="1" x14ac:dyDescent="0.25"/>
    <row r="11224" s="12" customFormat="1" x14ac:dyDescent="0.25"/>
    <row r="11225" s="12" customFormat="1" x14ac:dyDescent="0.25"/>
    <row r="11226" s="12" customFormat="1" x14ac:dyDescent="0.25"/>
    <row r="11227" s="12" customFormat="1" x14ac:dyDescent="0.25"/>
    <row r="11228" s="12" customFormat="1" x14ac:dyDescent="0.25"/>
    <row r="11229" s="12" customFormat="1" x14ac:dyDescent="0.25"/>
    <row r="11230" s="12" customFormat="1" x14ac:dyDescent="0.25"/>
    <row r="11231" s="12" customFormat="1" x14ac:dyDescent="0.25"/>
    <row r="11232" s="12" customFormat="1" x14ac:dyDescent="0.25"/>
    <row r="11233" s="12" customFormat="1" x14ac:dyDescent="0.25"/>
    <row r="11234" s="12" customFormat="1" x14ac:dyDescent="0.25"/>
    <row r="11235" s="12" customFormat="1" x14ac:dyDescent="0.25"/>
    <row r="11236" s="12" customFormat="1" x14ac:dyDescent="0.25"/>
    <row r="11237" s="12" customFormat="1" x14ac:dyDescent="0.25"/>
    <row r="11238" s="12" customFormat="1" x14ac:dyDescent="0.25"/>
    <row r="11239" s="12" customFormat="1" x14ac:dyDescent="0.25"/>
    <row r="11240" s="12" customFormat="1" x14ac:dyDescent="0.25"/>
    <row r="11241" s="12" customFormat="1" x14ac:dyDescent="0.25"/>
    <row r="11242" s="12" customFormat="1" x14ac:dyDescent="0.25"/>
    <row r="11243" s="12" customFormat="1" x14ac:dyDescent="0.25"/>
    <row r="11244" s="12" customFormat="1" x14ac:dyDescent="0.25"/>
    <row r="11245" s="12" customFormat="1" x14ac:dyDescent="0.25"/>
    <row r="11246" s="12" customFormat="1" x14ac:dyDescent="0.25"/>
    <row r="11247" s="12" customFormat="1" x14ac:dyDescent="0.25"/>
    <row r="11248" s="12" customFormat="1" x14ac:dyDescent="0.25"/>
    <row r="11249" s="12" customFormat="1" x14ac:dyDescent="0.25"/>
    <row r="11250" s="12" customFormat="1" x14ac:dyDescent="0.25"/>
    <row r="11251" s="12" customFormat="1" x14ac:dyDescent="0.25"/>
    <row r="11252" s="12" customFormat="1" x14ac:dyDescent="0.25"/>
    <row r="11253" s="12" customFormat="1" x14ac:dyDescent="0.25"/>
    <row r="11254" s="12" customFormat="1" x14ac:dyDescent="0.25"/>
    <row r="11255" s="12" customFormat="1" x14ac:dyDescent="0.25"/>
    <row r="11256" s="12" customFormat="1" x14ac:dyDescent="0.25"/>
    <row r="11257" s="12" customFormat="1" x14ac:dyDescent="0.25"/>
    <row r="11258" s="12" customFormat="1" x14ac:dyDescent="0.25"/>
    <row r="11259" s="12" customFormat="1" x14ac:dyDescent="0.25"/>
    <row r="11260" s="12" customFormat="1" x14ac:dyDescent="0.25"/>
    <row r="11261" s="12" customFormat="1" x14ac:dyDescent="0.25"/>
    <row r="11262" s="12" customFormat="1" x14ac:dyDescent="0.25"/>
    <row r="11263" s="12" customFormat="1" x14ac:dyDescent="0.25"/>
    <row r="11264" s="12" customFormat="1" x14ac:dyDescent="0.25"/>
    <row r="11265" s="12" customFormat="1" x14ac:dyDescent="0.25"/>
    <row r="11266" s="12" customFormat="1" x14ac:dyDescent="0.25"/>
    <row r="11267" s="12" customFormat="1" x14ac:dyDescent="0.25"/>
    <row r="11268" s="12" customFormat="1" x14ac:dyDescent="0.25"/>
    <row r="11269" s="12" customFormat="1" x14ac:dyDescent="0.25"/>
    <row r="11270" s="12" customFormat="1" x14ac:dyDescent="0.25"/>
    <row r="11271" s="12" customFormat="1" x14ac:dyDescent="0.25"/>
    <row r="11272" s="12" customFormat="1" x14ac:dyDescent="0.25"/>
    <row r="11273" s="12" customFormat="1" x14ac:dyDescent="0.25"/>
    <row r="11274" s="12" customFormat="1" x14ac:dyDescent="0.25"/>
    <row r="11275" s="12" customFormat="1" x14ac:dyDescent="0.25"/>
    <row r="11276" s="12" customFormat="1" x14ac:dyDescent="0.25"/>
    <row r="11277" s="12" customFormat="1" x14ac:dyDescent="0.25"/>
    <row r="11278" s="12" customFormat="1" x14ac:dyDescent="0.25"/>
    <row r="11279" s="12" customFormat="1" x14ac:dyDescent="0.25"/>
    <row r="11280" s="12" customFormat="1" x14ac:dyDescent="0.25"/>
    <row r="11281" s="12" customFormat="1" x14ac:dyDescent="0.25"/>
    <row r="11282" s="12" customFormat="1" x14ac:dyDescent="0.25"/>
    <row r="11283" s="12" customFormat="1" x14ac:dyDescent="0.25"/>
    <row r="11284" s="12" customFormat="1" x14ac:dyDescent="0.25"/>
    <row r="11285" s="12" customFormat="1" x14ac:dyDescent="0.25"/>
    <row r="11286" s="12" customFormat="1" x14ac:dyDescent="0.25"/>
    <row r="11287" s="12" customFormat="1" x14ac:dyDescent="0.25"/>
    <row r="11288" s="12" customFormat="1" x14ac:dyDescent="0.25"/>
    <row r="11289" s="12" customFormat="1" x14ac:dyDescent="0.25"/>
    <row r="11290" s="12" customFormat="1" x14ac:dyDescent="0.25"/>
    <row r="11291" s="12" customFormat="1" x14ac:dyDescent="0.25"/>
    <row r="11292" s="12" customFormat="1" x14ac:dyDescent="0.25"/>
    <row r="11293" s="12" customFormat="1" x14ac:dyDescent="0.25"/>
    <row r="11294" s="12" customFormat="1" x14ac:dyDescent="0.25"/>
    <row r="11295" s="12" customFormat="1" x14ac:dyDescent="0.25"/>
    <row r="11296" s="12" customFormat="1" x14ac:dyDescent="0.25"/>
    <row r="11297" s="12" customFormat="1" x14ac:dyDescent="0.25"/>
    <row r="11298" s="12" customFormat="1" x14ac:dyDescent="0.25"/>
    <row r="11299" s="12" customFormat="1" x14ac:dyDescent="0.25"/>
    <row r="11300" s="12" customFormat="1" x14ac:dyDescent="0.25"/>
    <row r="11301" s="12" customFormat="1" x14ac:dyDescent="0.25"/>
    <row r="11302" s="12" customFormat="1" x14ac:dyDescent="0.25"/>
    <row r="11303" s="12" customFormat="1" x14ac:dyDescent="0.25"/>
    <row r="11304" s="12" customFormat="1" x14ac:dyDescent="0.25"/>
    <row r="11305" s="12" customFormat="1" x14ac:dyDescent="0.25"/>
    <row r="11306" s="12" customFormat="1" x14ac:dyDescent="0.25"/>
    <row r="11307" s="12" customFormat="1" x14ac:dyDescent="0.25"/>
    <row r="11308" s="12" customFormat="1" x14ac:dyDescent="0.25"/>
    <row r="11309" s="12" customFormat="1" x14ac:dyDescent="0.25"/>
    <row r="11310" s="12" customFormat="1" x14ac:dyDescent="0.25"/>
    <row r="11311" s="12" customFormat="1" x14ac:dyDescent="0.25"/>
    <row r="11312" s="12" customFormat="1" x14ac:dyDescent="0.25"/>
    <row r="11313" s="12" customFormat="1" x14ac:dyDescent="0.25"/>
    <row r="11314" s="12" customFormat="1" x14ac:dyDescent="0.25"/>
    <row r="11315" s="12" customFormat="1" x14ac:dyDescent="0.25"/>
    <row r="11316" s="12" customFormat="1" x14ac:dyDescent="0.25"/>
    <row r="11317" s="12" customFormat="1" x14ac:dyDescent="0.25"/>
    <row r="11318" s="12" customFormat="1" x14ac:dyDescent="0.25"/>
    <row r="11319" s="12" customFormat="1" x14ac:dyDescent="0.25"/>
    <row r="11320" s="12" customFormat="1" x14ac:dyDescent="0.25"/>
    <row r="11321" s="12" customFormat="1" x14ac:dyDescent="0.25"/>
    <row r="11322" s="12" customFormat="1" x14ac:dyDescent="0.25"/>
    <row r="11323" s="12" customFormat="1" x14ac:dyDescent="0.25"/>
    <row r="11324" s="12" customFormat="1" x14ac:dyDescent="0.25"/>
    <row r="11325" s="12" customFormat="1" x14ac:dyDescent="0.25"/>
    <row r="11326" s="12" customFormat="1" x14ac:dyDescent="0.25"/>
    <row r="11327" s="12" customFormat="1" x14ac:dyDescent="0.25"/>
    <row r="11328" s="12" customFormat="1" x14ac:dyDescent="0.25"/>
    <row r="11329" s="12" customFormat="1" x14ac:dyDescent="0.25"/>
    <row r="11330" s="12" customFormat="1" x14ac:dyDescent="0.25"/>
    <row r="11331" s="12" customFormat="1" x14ac:dyDescent="0.25"/>
    <row r="11332" s="12" customFormat="1" x14ac:dyDescent="0.25"/>
    <row r="11333" s="12" customFormat="1" x14ac:dyDescent="0.25"/>
    <row r="11334" s="12" customFormat="1" x14ac:dyDescent="0.25"/>
    <row r="11335" s="12" customFormat="1" x14ac:dyDescent="0.25"/>
    <row r="11336" s="12" customFormat="1" x14ac:dyDescent="0.25"/>
    <row r="11337" s="12" customFormat="1" x14ac:dyDescent="0.25"/>
    <row r="11338" s="12" customFormat="1" x14ac:dyDescent="0.25"/>
    <row r="11339" s="12" customFormat="1" x14ac:dyDescent="0.25"/>
    <row r="11340" s="12" customFormat="1" x14ac:dyDescent="0.25"/>
    <row r="11341" s="12" customFormat="1" x14ac:dyDescent="0.25"/>
    <row r="11342" s="12" customFormat="1" x14ac:dyDescent="0.25"/>
    <row r="11343" s="12" customFormat="1" x14ac:dyDescent="0.25"/>
    <row r="11344" s="12" customFormat="1" x14ac:dyDescent="0.25"/>
    <row r="11345" s="12" customFormat="1" x14ac:dyDescent="0.25"/>
    <row r="11346" s="12" customFormat="1" x14ac:dyDescent="0.25"/>
    <row r="11347" s="12" customFormat="1" x14ac:dyDescent="0.25"/>
    <row r="11348" s="12" customFormat="1" x14ac:dyDescent="0.25"/>
    <row r="11349" s="12" customFormat="1" x14ac:dyDescent="0.25"/>
    <row r="11350" s="12" customFormat="1" x14ac:dyDescent="0.25"/>
    <row r="11351" s="12" customFormat="1" x14ac:dyDescent="0.25"/>
    <row r="11352" s="12" customFormat="1" x14ac:dyDescent="0.25"/>
    <row r="11353" s="12" customFormat="1" x14ac:dyDescent="0.25"/>
    <row r="11354" s="12" customFormat="1" x14ac:dyDescent="0.25"/>
    <row r="11355" s="12" customFormat="1" x14ac:dyDescent="0.25"/>
    <row r="11356" s="12" customFormat="1" x14ac:dyDescent="0.25"/>
    <row r="11357" s="12" customFormat="1" x14ac:dyDescent="0.25"/>
    <row r="11358" s="12" customFormat="1" x14ac:dyDescent="0.25"/>
    <row r="11359" s="12" customFormat="1" x14ac:dyDescent="0.25"/>
    <row r="11360" s="12" customFormat="1" x14ac:dyDescent="0.25"/>
    <row r="11361" s="12" customFormat="1" x14ac:dyDescent="0.25"/>
    <row r="11362" s="12" customFormat="1" x14ac:dyDescent="0.25"/>
    <row r="11363" s="12" customFormat="1" x14ac:dyDescent="0.25"/>
    <row r="11364" s="12" customFormat="1" x14ac:dyDescent="0.25"/>
    <row r="11365" s="12" customFormat="1" x14ac:dyDescent="0.25"/>
    <row r="11366" s="12" customFormat="1" x14ac:dyDescent="0.25"/>
    <row r="11367" s="12" customFormat="1" x14ac:dyDescent="0.25"/>
    <row r="11368" s="12" customFormat="1" x14ac:dyDescent="0.25"/>
    <row r="11369" s="12" customFormat="1" x14ac:dyDescent="0.25"/>
    <row r="11370" s="12" customFormat="1" x14ac:dyDescent="0.25"/>
    <row r="11371" s="12" customFormat="1" x14ac:dyDescent="0.25"/>
    <row r="11372" s="12" customFormat="1" x14ac:dyDescent="0.25"/>
    <row r="11373" s="12" customFormat="1" x14ac:dyDescent="0.25"/>
    <row r="11374" s="12" customFormat="1" x14ac:dyDescent="0.25"/>
    <row r="11375" s="12" customFormat="1" x14ac:dyDescent="0.25"/>
    <row r="11376" s="12" customFormat="1" x14ac:dyDescent="0.25"/>
    <row r="11377" s="12" customFormat="1" x14ac:dyDescent="0.25"/>
    <row r="11378" s="12" customFormat="1" x14ac:dyDescent="0.25"/>
    <row r="11379" s="12" customFormat="1" x14ac:dyDescent="0.25"/>
    <row r="11380" s="12" customFormat="1" x14ac:dyDescent="0.25"/>
    <row r="11381" s="12" customFormat="1" x14ac:dyDescent="0.25"/>
    <row r="11382" s="12" customFormat="1" x14ac:dyDescent="0.25"/>
    <row r="11383" s="12" customFormat="1" x14ac:dyDescent="0.25"/>
    <row r="11384" s="12" customFormat="1" x14ac:dyDescent="0.25"/>
    <row r="11385" s="12" customFormat="1" x14ac:dyDescent="0.25"/>
    <row r="11386" s="12" customFormat="1" x14ac:dyDescent="0.25"/>
    <row r="11387" s="12" customFormat="1" x14ac:dyDescent="0.25"/>
    <row r="11388" s="12" customFormat="1" x14ac:dyDescent="0.25"/>
    <row r="11389" s="12" customFormat="1" x14ac:dyDescent="0.25"/>
    <row r="11390" s="12" customFormat="1" x14ac:dyDescent="0.25"/>
    <row r="11391" s="12" customFormat="1" x14ac:dyDescent="0.25"/>
    <row r="11392" s="12" customFormat="1" x14ac:dyDescent="0.25"/>
    <row r="11393" s="12" customFormat="1" x14ac:dyDescent="0.25"/>
    <row r="11394" s="12" customFormat="1" x14ac:dyDescent="0.25"/>
    <row r="11395" s="12" customFormat="1" x14ac:dyDescent="0.25"/>
    <row r="11396" s="12" customFormat="1" x14ac:dyDescent="0.25"/>
    <row r="11397" s="12" customFormat="1" x14ac:dyDescent="0.25"/>
    <row r="11398" s="12" customFormat="1" x14ac:dyDescent="0.25"/>
    <row r="11399" s="12" customFormat="1" x14ac:dyDescent="0.25"/>
    <row r="11400" s="12" customFormat="1" x14ac:dyDescent="0.25"/>
    <row r="11401" s="12" customFormat="1" x14ac:dyDescent="0.25"/>
    <row r="11402" s="12" customFormat="1" x14ac:dyDescent="0.25"/>
    <row r="11403" s="12" customFormat="1" x14ac:dyDescent="0.25"/>
    <row r="11404" s="12" customFormat="1" x14ac:dyDescent="0.25"/>
    <row r="11405" s="12" customFormat="1" x14ac:dyDescent="0.25"/>
    <row r="11406" s="12" customFormat="1" x14ac:dyDescent="0.25"/>
    <row r="11407" s="12" customFormat="1" x14ac:dyDescent="0.25"/>
    <row r="11408" s="12" customFormat="1" x14ac:dyDescent="0.25"/>
    <row r="11409" s="12" customFormat="1" x14ac:dyDescent="0.25"/>
    <row r="11410" s="12" customFormat="1" x14ac:dyDescent="0.25"/>
    <row r="11411" s="12" customFormat="1" x14ac:dyDescent="0.25"/>
    <row r="11412" s="12" customFormat="1" x14ac:dyDescent="0.25"/>
    <row r="11413" s="12" customFormat="1" x14ac:dyDescent="0.25"/>
    <row r="11414" s="12" customFormat="1" x14ac:dyDescent="0.25"/>
    <row r="11415" s="12" customFormat="1" x14ac:dyDescent="0.25"/>
    <row r="11416" s="12" customFormat="1" x14ac:dyDescent="0.25"/>
    <row r="11417" s="12" customFormat="1" x14ac:dyDescent="0.25"/>
    <row r="11418" s="12" customFormat="1" x14ac:dyDescent="0.25"/>
    <row r="11419" s="12" customFormat="1" x14ac:dyDescent="0.25"/>
    <row r="11420" s="12" customFormat="1" x14ac:dyDescent="0.25"/>
    <row r="11421" s="12" customFormat="1" x14ac:dyDescent="0.25"/>
    <row r="11422" s="12" customFormat="1" x14ac:dyDescent="0.25"/>
    <row r="11423" s="12" customFormat="1" x14ac:dyDescent="0.25"/>
    <row r="11424" s="12" customFormat="1" x14ac:dyDescent="0.25"/>
    <row r="11425" s="12" customFormat="1" x14ac:dyDescent="0.25"/>
    <row r="11426" s="12" customFormat="1" x14ac:dyDescent="0.25"/>
    <row r="11427" s="12" customFormat="1" x14ac:dyDescent="0.25"/>
    <row r="11428" s="12" customFormat="1" x14ac:dyDescent="0.25"/>
    <row r="11429" s="12" customFormat="1" x14ac:dyDescent="0.25"/>
    <row r="11430" s="12" customFormat="1" x14ac:dyDescent="0.25"/>
    <row r="11431" s="12" customFormat="1" x14ac:dyDescent="0.25"/>
    <row r="11432" s="12" customFormat="1" x14ac:dyDescent="0.25"/>
    <row r="11433" s="12" customFormat="1" x14ac:dyDescent="0.25"/>
    <row r="11434" s="12" customFormat="1" x14ac:dyDescent="0.25"/>
    <row r="11435" s="12" customFormat="1" x14ac:dyDescent="0.25"/>
    <row r="11436" s="12" customFormat="1" x14ac:dyDescent="0.25"/>
    <row r="11437" s="12" customFormat="1" x14ac:dyDescent="0.25"/>
    <row r="11438" s="12" customFormat="1" x14ac:dyDescent="0.25"/>
    <row r="11439" s="12" customFormat="1" x14ac:dyDescent="0.25"/>
    <row r="11440" s="12" customFormat="1" x14ac:dyDescent="0.25"/>
    <row r="11441" s="12" customFormat="1" x14ac:dyDescent="0.25"/>
    <row r="11442" s="12" customFormat="1" x14ac:dyDescent="0.25"/>
    <row r="11443" s="12" customFormat="1" x14ac:dyDescent="0.25"/>
    <row r="11444" s="12" customFormat="1" x14ac:dyDescent="0.25"/>
    <row r="11445" s="12" customFormat="1" x14ac:dyDescent="0.25"/>
    <row r="11446" s="12" customFormat="1" x14ac:dyDescent="0.25"/>
    <row r="11447" s="12" customFormat="1" x14ac:dyDescent="0.25"/>
    <row r="11448" s="12" customFormat="1" x14ac:dyDescent="0.25"/>
    <row r="11449" s="12" customFormat="1" x14ac:dyDescent="0.25"/>
    <row r="11450" s="12" customFormat="1" x14ac:dyDescent="0.25"/>
    <row r="11451" s="12" customFormat="1" x14ac:dyDescent="0.25"/>
    <row r="11452" s="12" customFormat="1" x14ac:dyDescent="0.25"/>
    <row r="11453" s="12" customFormat="1" x14ac:dyDescent="0.25"/>
    <row r="11454" s="12" customFormat="1" x14ac:dyDescent="0.25"/>
    <row r="11455" s="12" customFormat="1" x14ac:dyDescent="0.25"/>
    <row r="11456" s="12" customFormat="1" x14ac:dyDescent="0.25"/>
    <row r="11457" s="12" customFormat="1" x14ac:dyDescent="0.25"/>
    <row r="11458" s="12" customFormat="1" x14ac:dyDescent="0.25"/>
    <row r="11459" s="12" customFormat="1" x14ac:dyDescent="0.25"/>
    <row r="11460" s="12" customFormat="1" x14ac:dyDescent="0.25"/>
    <row r="11461" s="12" customFormat="1" x14ac:dyDescent="0.25"/>
    <row r="11462" s="12" customFormat="1" x14ac:dyDescent="0.25"/>
    <row r="11463" s="12" customFormat="1" x14ac:dyDescent="0.25"/>
    <row r="11464" s="12" customFormat="1" x14ac:dyDescent="0.25"/>
    <row r="11465" s="12" customFormat="1" x14ac:dyDescent="0.25"/>
    <row r="11466" s="12" customFormat="1" x14ac:dyDescent="0.25"/>
    <row r="11467" s="12" customFormat="1" x14ac:dyDescent="0.25"/>
    <row r="11468" s="12" customFormat="1" x14ac:dyDescent="0.25"/>
    <row r="11469" s="12" customFormat="1" x14ac:dyDescent="0.25"/>
    <row r="11470" s="12" customFormat="1" x14ac:dyDescent="0.25"/>
    <row r="11471" s="12" customFormat="1" x14ac:dyDescent="0.25"/>
    <row r="11472" s="12" customFormat="1" x14ac:dyDescent="0.25"/>
    <row r="11473" s="12" customFormat="1" x14ac:dyDescent="0.25"/>
    <row r="11474" s="12" customFormat="1" x14ac:dyDescent="0.25"/>
    <row r="11475" s="12" customFormat="1" x14ac:dyDescent="0.25"/>
    <row r="11476" s="12" customFormat="1" x14ac:dyDescent="0.25"/>
    <row r="11477" s="12" customFormat="1" x14ac:dyDescent="0.25"/>
    <row r="11478" s="12" customFormat="1" x14ac:dyDescent="0.25"/>
    <row r="11479" s="12" customFormat="1" x14ac:dyDescent="0.25"/>
    <row r="11480" s="12" customFormat="1" x14ac:dyDescent="0.25"/>
    <row r="11481" s="12" customFormat="1" x14ac:dyDescent="0.25"/>
    <row r="11482" s="12" customFormat="1" x14ac:dyDescent="0.25"/>
    <row r="11483" s="12" customFormat="1" x14ac:dyDescent="0.25"/>
    <row r="11484" s="12" customFormat="1" x14ac:dyDescent="0.25"/>
    <row r="11485" s="12" customFormat="1" x14ac:dyDescent="0.25"/>
    <row r="11486" s="12" customFormat="1" x14ac:dyDescent="0.25"/>
    <row r="11487" s="12" customFormat="1" x14ac:dyDescent="0.25"/>
    <row r="11488" s="12" customFormat="1" x14ac:dyDescent="0.25"/>
    <row r="11489" s="12" customFormat="1" x14ac:dyDescent="0.25"/>
    <row r="11490" s="12" customFormat="1" x14ac:dyDescent="0.25"/>
    <row r="11491" s="12" customFormat="1" x14ac:dyDescent="0.25"/>
    <row r="11492" s="12" customFormat="1" x14ac:dyDescent="0.25"/>
    <row r="11493" s="12" customFormat="1" x14ac:dyDescent="0.25"/>
    <row r="11494" s="12" customFormat="1" x14ac:dyDescent="0.25"/>
    <row r="11495" s="12" customFormat="1" x14ac:dyDescent="0.25"/>
    <row r="11496" s="12" customFormat="1" x14ac:dyDescent="0.25"/>
    <row r="11497" s="12" customFormat="1" x14ac:dyDescent="0.25"/>
    <row r="11498" s="12" customFormat="1" x14ac:dyDescent="0.25"/>
    <row r="11499" s="12" customFormat="1" x14ac:dyDescent="0.25"/>
    <row r="11500" s="12" customFormat="1" x14ac:dyDescent="0.25"/>
    <row r="11501" s="12" customFormat="1" x14ac:dyDescent="0.25"/>
    <row r="11502" s="12" customFormat="1" x14ac:dyDescent="0.25"/>
    <row r="11503" s="12" customFormat="1" x14ac:dyDescent="0.25"/>
    <row r="11504" s="12" customFormat="1" x14ac:dyDescent="0.25"/>
    <row r="11505" s="12" customFormat="1" x14ac:dyDescent="0.25"/>
    <row r="11506" s="12" customFormat="1" x14ac:dyDescent="0.25"/>
    <row r="11507" s="12" customFormat="1" x14ac:dyDescent="0.25"/>
    <row r="11508" s="12" customFormat="1" x14ac:dyDescent="0.25"/>
    <row r="11509" s="12" customFormat="1" x14ac:dyDescent="0.25"/>
    <row r="11510" s="12" customFormat="1" x14ac:dyDescent="0.25"/>
    <row r="11511" s="12" customFormat="1" x14ac:dyDescent="0.25"/>
    <row r="11512" s="12" customFormat="1" x14ac:dyDescent="0.25"/>
    <row r="11513" s="12" customFormat="1" x14ac:dyDescent="0.25"/>
    <row r="11514" s="12" customFormat="1" x14ac:dyDescent="0.25"/>
    <row r="11515" s="12" customFormat="1" x14ac:dyDescent="0.25"/>
    <row r="11516" s="12" customFormat="1" x14ac:dyDescent="0.25"/>
    <row r="11517" s="12" customFormat="1" x14ac:dyDescent="0.25"/>
    <row r="11518" s="12" customFormat="1" x14ac:dyDescent="0.25"/>
    <row r="11519" s="12" customFormat="1" x14ac:dyDescent="0.25"/>
    <row r="11520" s="12" customFormat="1" x14ac:dyDescent="0.25"/>
    <row r="11521" s="12" customFormat="1" x14ac:dyDescent="0.25"/>
    <row r="11522" s="12" customFormat="1" x14ac:dyDescent="0.25"/>
    <row r="11523" s="12" customFormat="1" x14ac:dyDescent="0.25"/>
    <row r="11524" s="12" customFormat="1" x14ac:dyDescent="0.25"/>
    <row r="11525" s="12" customFormat="1" x14ac:dyDescent="0.25"/>
    <row r="11526" s="12" customFormat="1" x14ac:dyDescent="0.25"/>
    <row r="11527" s="12" customFormat="1" x14ac:dyDescent="0.25"/>
    <row r="11528" s="12" customFormat="1" x14ac:dyDescent="0.25"/>
    <row r="11529" s="12" customFormat="1" x14ac:dyDescent="0.25"/>
    <row r="11530" s="12" customFormat="1" x14ac:dyDescent="0.25"/>
    <row r="11531" s="12" customFormat="1" x14ac:dyDescent="0.25"/>
    <row r="11532" s="12" customFormat="1" x14ac:dyDescent="0.25"/>
    <row r="11533" s="12" customFormat="1" x14ac:dyDescent="0.25"/>
    <row r="11534" s="12" customFormat="1" x14ac:dyDescent="0.25"/>
    <row r="11535" s="12" customFormat="1" x14ac:dyDescent="0.25"/>
    <row r="11536" s="12" customFormat="1" x14ac:dyDescent="0.25"/>
    <row r="11537" s="12" customFormat="1" x14ac:dyDescent="0.25"/>
    <row r="11538" s="12" customFormat="1" x14ac:dyDescent="0.25"/>
    <row r="11539" s="12" customFormat="1" x14ac:dyDescent="0.25"/>
    <row r="11540" s="12" customFormat="1" x14ac:dyDescent="0.25"/>
    <row r="11541" s="12" customFormat="1" x14ac:dyDescent="0.25"/>
    <row r="11542" s="12" customFormat="1" x14ac:dyDescent="0.25"/>
    <row r="11543" s="12" customFormat="1" x14ac:dyDescent="0.25"/>
    <row r="11544" s="12" customFormat="1" x14ac:dyDescent="0.25"/>
    <row r="11545" s="12" customFormat="1" x14ac:dyDescent="0.25"/>
    <row r="11546" s="12" customFormat="1" x14ac:dyDescent="0.25"/>
    <row r="11547" s="12" customFormat="1" x14ac:dyDescent="0.25"/>
    <row r="11548" s="12" customFormat="1" x14ac:dyDescent="0.25"/>
    <row r="11549" s="12" customFormat="1" x14ac:dyDescent="0.25"/>
    <row r="11550" s="12" customFormat="1" x14ac:dyDescent="0.25"/>
    <row r="11551" s="12" customFormat="1" x14ac:dyDescent="0.25"/>
    <row r="11552" s="12" customFormat="1" x14ac:dyDescent="0.25"/>
    <row r="11553" s="12" customFormat="1" x14ac:dyDescent="0.25"/>
    <row r="11554" s="12" customFormat="1" x14ac:dyDescent="0.25"/>
    <row r="11555" s="12" customFormat="1" x14ac:dyDescent="0.25"/>
    <row r="11556" s="12" customFormat="1" x14ac:dyDescent="0.25"/>
    <row r="11557" s="12" customFormat="1" x14ac:dyDescent="0.25"/>
    <row r="11558" s="12" customFormat="1" x14ac:dyDescent="0.25"/>
    <row r="11559" s="12" customFormat="1" x14ac:dyDescent="0.25"/>
    <row r="11560" s="12" customFormat="1" x14ac:dyDescent="0.25"/>
    <row r="11561" s="12" customFormat="1" x14ac:dyDescent="0.25"/>
    <row r="11562" s="12" customFormat="1" x14ac:dyDescent="0.25"/>
    <row r="11563" s="12" customFormat="1" x14ac:dyDescent="0.25"/>
    <row r="11564" s="12" customFormat="1" x14ac:dyDescent="0.25"/>
    <row r="11565" s="12" customFormat="1" x14ac:dyDescent="0.25"/>
    <row r="11566" s="12" customFormat="1" x14ac:dyDescent="0.25"/>
    <row r="11567" s="12" customFormat="1" x14ac:dyDescent="0.25"/>
    <row r="11568" s="12" customFormat="1" x14ac:dyDescent="0.25"/>
    <row r="11569" s="12" customFormat="1" x14ac:dyDescent="0.25"/>
    <row r="11570" s="12" customFormat="1" x14ac:dyDescent="0.25"/>
    <row r="11571" s="12" customFormat="1" x14ac:dyDescent="0.25"/>
    <row r="11572" s="12" customFormat="1" x14ac:dyDescent="0.25"/>
    <row r="11573" s="12" customFormat="1" x14ac:dyDescent="0.25"/>
    <row r="11574" s="12" customFormat="1" x14ac:dyDescent="0.25"/>
    <row r="11575" s="12" customFormat="1" x14ac:dyDescent="0.25"/>
    <row r="11576" s="12" customFormat="1" x14ac:dyDescent="0.25"/>
    <row r="11577" s="12" customFormat="1" x14ac:dyDescent="0.25"/>
    <row r="11578" s="12" customFormat="1" x14ac:dyDescent="0.25"/>
    <row r="11579" s="12" customFormat="1" x14ac:dyDescent="0.25"/>
    <row r="11580" s="12" customFormat="1" x14ac:dyDescent="0.25"/>
    <row r="11581" s="12" customFormat="1" x14ac:dyDescent="0.25"/>
    <row r="11582" s="12" customFormat="1" x14ac:dyDescent="0.25"/>
    <row r="11583" s="12" customFormat="1" x14ac:dyDescent="0.25"/>
    <row r="11584" s="12" customFormat="1" x14ac:dyDescent="0.25"/>
    <row r="11585" s="12" customFormat="1" x14ac:dyDescent="0.25"/>
    <row r="11586" s="12" customFormat="1" x14ac:dyDescent="0.25"/>
    <row r="11587" s="12" customFormat="1" x14ac:dyDescent="0.25"/>
    <row r="11588" s="12" customFormat="1" x14ac:dyDescent="0.25"/>
    <row r="11589" s="12" customFormat="1" x14ac:dyDescent="0.25"/>
    <row r="11590" s="12" customFormat="1" x14ac:dyDescent="0.25"/>
    <row r="11591" s="12" customFormat="1" x14ac:dyDescent="0.25"/>
    <row r="11592" s="12" customFormat="1" x14ac:dyDescent="0.25"/>
    <row r="11593" s="12" customFormat="1" x14ac:dyDescent="0.25"/>
    <row r="11594" s="12" customFormat="1" x14ac:dyDescent="0.25"/>
    <row r="11595" s="12" customFormat="1" x14ac:dyDescent="0.25"/>
    <row r="11596" s="12" customFormat="1" x14ac:dyDescent="0.25"/>
    <row r="11597" s="12" customFormat="1" x14ac:dyDescent="0.25"/>
    <row r="11598" s="12" customFormat="1" x14ac:dyDescent="0.25"/>
    <row r="11599" s="12" customFormat="1" x14ac:dyDescent="0.25"/>
    <row r="11600" s="12" customFormat="1" x14ac:dyDescent="0.25"/>
    <row r="11601" s="12" customFormat="1" x14ac:dyDescent="0.25"/>
    <row r="11602" s="12" customFormat="1" x14ac:dyDescent="0.25"/>
    <row r="11603" s="12" customFormat="1" x14ac:dyDescent="0.25"/>
    <row r="11604" s="12" customFormat="1" x14ac:dyDescent="0.25"/>
    <row r="11605" s="12" customFormat="1" x14ac:dyDescent="0.25"/>
    <row r="11606" s="12" customFormat="1" x14ac:dyDescent="0.25"/>
    <row r="11607" s="12" customFormat="1" x14ac:dyDescent="0.25"/>
    <row r="11608" s="12" customFormat="1" x14ac:dyDescent="0.25"/>
    <row r="11609" s="12" customFormat="1" x14ac:dyDescent="0.25"/>
    <row r="11610" s="12" customFormat="1" x14ac:dyDescent="0.25"/>
    <row r="11611" s="12" customFormat="1" x14ac:dyDescent="0.25"/>
    <row r="11612" s="12" customFormat="1" x14ac:dyDescent="0.25"/>
    <row r="11613" s="12" customFormat="1" x14ac:dyDescent="0.25"/>
    <row r="11614" s="12" customFormat="1" x14ac:dyDescent="0.25"/>
    <row r="11615" s="12" customFormat="1" x14ac:dyDescent="0.25"/>
    <row r="11616" s="12" customFormat="1" x14ac:dyDescent="0.25"/>
    <row r="11617" s="12" customFormat="1" x14ac:dyDescent="0.25"/>
    <row r="11618" s="12" customFormat="1" x14ac:dyDescent="0.25"/>
    <row r="11619" s="12" customFormat="1" x14ac:dyDescent="0.25"/>
    <row r="11620" s="12" customFormat="1" x14ac:dyDescent="0.25"/>
    <row r="11621" s="12" customFormat="1" x14ac:dyDescent="0.25"/>
    <row r="11622" s="12" customFormat="1" x14ac:dyDescent="0.25"/>
    <row r="11623" s="12" customFormat="1" x14ac:dyDescent="0.25"/>
    <row r="11624" s="12" customFormat="1" x14ac:dyDescent="0.25"/>
    <row r="11625" s="12" customFormat="1" x14ac:dyDescent="0.25"/>
    <row r="11626" s="12" customFormat="1" x14ac:dyDescent="0.25"/>
    <row r="11627" s="12" customFormat="1" x14ac:dyDescent="0.25"/>
    <row r="11628" s="12" customFormat="1" x14ac:dyDescent="0.25"/>
    <row r="11629" s="12" customFormat="1" x14ac:dyDescent="0.25"/>
    <row r="11630" s="12" customFormat="1" x14ac:dyDescent="0.25"/>
    <row r="11631" s="12" customFormat="1" x14ac:dyDescent="0.25"/>
    <row r="11632" s="12" customFormat="1" x14ac:dyDescent="0.25"/>
    <row r="11633" s="12" customFormat="1" x14ac:dyDescent="0.25"/>
    <row r="11634" s="12" customFormat="1" x14ac:dyDescent="0.25"/>
    <row r="11635" s="12" customFormat="1" x14ac:dyDescent="0.25"/>
    <row r="11636" s="12" customFormat="1" x14ac:dyDescent="0.25"/>
    <row r="11637" s="12" customFormat="1" x14ac:dyDescent="0.25"/>
    <row r="11638" s="12" customFormat="1" x14ac:dyDescent="0.25"/>
    <row r="11639" s="12" customFormat="1" x14ac:dyDescent="0.25"/>
    <row r="11640" s="12" customFormat="1" x14ac:dyDescent="0.25"/>
    <row r="11641" s="12" customFormat="1" x14ac:dyDescent="0.25"/>
    <row r="11642" s="12" customFormat="1" x14ac:dyDescent="0.25"/>
    <row r="11643" s="12" customFormat="1" x14ac:dyDescent="0.25"/>
    <row r="11644" s="12" customFormat="1" x14ac:dyDescent="0.25"/>
    <row r="11645" s="12" customFormat="1" x14ac:dyDescent="0.25"/>
    <row r="11646" s="12" customFormat="1" x14ac:dyDescent="0.25"/>
    <row r="11647" s="12" customFormat="1" x14ac:dyDescent="0.25"/>
    <row r="11648" s="12" customFormat="1" x14ac:dyDescent="0.25"/>
    <row r="11649" s="12" customFormat="1" x14ac:dyDescent="0.25"/>
    <row r="11650" s="12" customFormat="1" x14ac:dyDescent="0.25"/>
    <row r="11651" s="12" customFormat="1" x14ac:dyDescent="0.25"/>
    <row r="11652" s="12" customFormat="1" x14ac:dyDescent="0.25"/>
    <row r="11653" s="12" customFormat="1" x14ac:dyDescent="0.25"/>
    <row r="11654" s="12" customFormat="1" x14ac:dyDescent="0.25"/>
    <row r="11655" s="12" customFormat="1" x14ac:dyDescent="0.25"/>
    <row r="11656" s="12" customFormat="1" x14ac:dyDescent="0.25"/>
    <row r="11657" s="12" customFormat="1" x14ac:dyDescent="0.25"/>
    <row r="11658" s="12" customFormat="1" x14ac:dyDescent="0.25"/>
    <row r="11659" s="12" customFormat="1" x14ac:dyDescent="0.25"/>
    <row r="11660" s="12" customFormat="1" x14ac:dyDescent="0.25"/>
    <row r="11661" s="12" customFormat="1" x14ac:dyDescent="0.25"/>
    <row r="11662" s="12" customFormat="1" x14ac:dyDescent="0.25"/>
    <row r="11663" s="12" customFormat="1" x14ac:dyDescent="0.25"/>
    <row r="11664" s="12" customFormat="1" x14ac:dyDescent="0.25"/>
    <row r="11665" s="12" customFormat="1" x14ac:dyDescent="0.25"/>
    <row r="11666" s="12" customFormat="1" x14ac:dyDescent="0.25"/>
    <row r="11667" s="12" customFormat="1" x14ac:dyDescent="0.25"/>
    <row r="11668" s="12" customFormat="1" x14ac:dyDescent="0.25"/>
    <row r="11669" s="12" customFormat="1" x14ac:dyDescent="0.25"/>
    <row r="11670" s="12" customFormat="1" x14ac:dyDescent="0.25"/>
    <row r="11671" s="12" customFormat="1" x14ac:dyDescent="0.25"/>
    <row r="11672" s="12" customFormat="1" x14ac:dyDescent="0.25"/>
    <row r="11673" s="12" customFormat="1" x14ac:dyDescent="0.25"/>
    <row r="11674" s="12" customFormat="1" x14ac:dyDescent="0.25"/>
    <row r="11675" s="12" customFormat="1" x14ac:dyDescent="0.25"/>
    <row r="11676" s="12" customFormat="1" x14ac:dyDescent="0.25"/>
    <row r="11677" s="12" customFormat="1" x14ac:dyDescent="0.25"/>
    <row r="11678" s="12" customFormat="1" x14ac:dyDescent="0.25"/>
    <row r="11679" s="12" customFormat="1" x14ac:dyDescent="0.25"/>
    <row r="11680" s="12" customFormat="1" x14ac:dyDescent="0.25"/>
    <row r="11681" s="12" customFormat="1" x14ac:dyDescent="0.25"/>
    <row r="11682" s="12" customFormat="1" x14ac:dyDescent="0.25"/>
    <row r="11683" s="12" customFormat="1" x14ac:dyDescent="0.25"/>
    <row r="11684" s="12" customFormat="1" x14ac:dyDescent="0.25"/>
    <row r="11685" s="12" customFormat="1" x14ac:dyDescent="0.25"/>
    <row r="11686" s="12" customFormat="1" x14ac:dyDescent="0.25"/>
    <row r="11687" s="12" customFormat="1" x14ac:dyDescent="0.25"/>
    <row r="11688" s="12" customFormat="1" x14ac:dyDescent="0.25"/>
    <row r="11689" s="12" customFormat="1" x14ac:dyDescent="0.25"/>
    <row r="11690" s="12" customFormat="1" x14ac:dyDescent="0.25"/>
    <row r="11691" s="12" customFormat="1" x14ac:dyDescent="0.25"/>
    <row r="11692" s="12" customFormat="1" x14ac:dyDescent="0.25"/>
    <row r="11693" s="12" customFormat="1" x14ac:dyDescent="0.25"/>
    <row r="11694" s="12" customFormat="1" x14ac:dyDescent="0.25"/>
    <row r="11695" s="12" customFormat="1" x14ac:dyDescent="0.25"/>
    <row r="11696" s="12" customFormat="1" x14ac:dyDescent="0.25"/>
    <row r="11697" s="12" customFormat="1" x14ac:dyDescent="0.25"/>
    <row r="11698" s="12" customFormat="1" x14ac:dyDescent="0.25"/>
    <row r="11699" s="12" customFormat="1" x14ac:dyDescent="0.25"/>
    <row r="11700" s="12" customFormat="1" x14ac:dyDescent="0.25"/>
    <row r="11701" s="12" customFormat="1" x14ac:dyDescent="0.25"/>
    <row r="11702" s="12" customFormat="1" x14ac:dyDescent="0.25"/>
    <row r="11703" s="12" customFormat="1" x14ac:dyDescent="0.25"/>
    <row r="11704" s="12" customFormat="1" x14ac:dyDescent="0.25"/>
    <row r="11705" s="12" customFormat="1" x14ac:dyDescent="0.25"/>
    <row r="11706" s="12" customFormat="1" x14ac:dyDescent="0.25"/>
    <row r="11707" s="12" customFormat="1" x14ac:dyDescent="0.25"/>
    <row r="11708" s="12" customFormat="1" x14ac:dyDescent="0.25"/>
    <row r="11709" s="12" customFormat="1" x14ac:dyDescent="0.25"/>
    <row r="11710" s="12" customFormat="1" x14ac:dyDescent="0.25"/>
    <row r="11711" s="12" customFormat="1" x14ac:dyDescent="0.25"/>
    <row r="11712" s="12" customFormat="1" x14ac:dyDescent="0.25"/>
    <row r="11713" s="12" customFormat="1" x14ac:dyDescent="0.25"/>
    <row r="11714" s="12" customFormat="1" x14ac:dyDescent="0.25"/>
    <row r="11715" s="12" customFormat="1" x14ac:dyDescent="0.25"/>
    <row r="11716" s="12" customFormat="1" x14ac:dyDescent="0.25"/>
    <row r="11717" s="12" customFormat="1" x14ac:dyDescent="0.25"/>
    <row r="11718" s="12" customFormat="1" x14ac:dyDescent="0.25"/>
    <row r="11719" s="12" customFormat="1" x14ac:dyDescent="0.25"/>
    <row r="11720" s="12" customFormat="1" x14ac:dyDescent="0.25"/>
    <row r="11721" s="12" customFormat="1" x14ac:dyDescent="0.25"/>
    <row r="11722" s="12" customFormat="1" x14ac:dyDescent="0.25"/>
    <row r="11723" s="12" customFormat="1" x14ac:dyDescent="0.25"/>
    <row r="11724" s="12" customFormat="1" x14ac:dyDescent="0.25"/>
    <row r="11725" s="12" customFormat="1" x14ac:dyDescent="0.25"/>
    <row r="11726" s="12" customFormat="1" x14ac:dyDescent="0.25"/>
    <row r="11727" s="12" customFormat="1" x14ac:dyDescent="0.25"/>
    <row r="11728" s="12" customFormat="1" x14ac:dyDescent="0.25"/>
    <row r="11729" s="12" customFormat="1" x14ac:dyDescent="0.25"/>
    <row r="11730" s="12" customFormat="1" x14ac:dyDescent="0.25"/>
    <row r="11731" s="12" customFormat="1" x14ac:dyDescent="0.25"/>
    <row r="11732" s="12" customFormat="1" x14ac:dyDescent="0.25"/>
    <row r="11733" s="12" customFormat="1" x14ac:dyDescent="0.25"/>
    <row r="11734" s="12" customFormat="1" x14ac:dyDescent="0.25"/>
    <row r="11735" s="12" customFormat="1" x14ac:dyDescent="0.25"/>
    <row r="11736" s="12" customFormat="1" x14ac:dyDescent="0.25"/>
    <row r="11737" s="12" customFormat="1" x14ac:dyDescent="0.25"/>
    <row r="11738" s="12" customFormat="1" x14ac:dyDescent="0.25"/>
    <row r="11739" s="12" customFormat="1" x14ac:dyDescent="0.25"/>
    <row r="11740" s="12" customFormat="1" x14ac:dyDescent="0.25"/>
    <row r="11741" s="12" customFormat="1" x14ac:dyDescent="0.25"/>
    <row r="11742" s="12" customFormat="1" x14ac:dyDescent="0.25"/>
    <row r="11743" s="12" customFormat="1" x14ac:dyDescent="0.25"/>
    <row r="11744" s="12" customFormat="1" x14ac:dyDescent="0.25"/>
    <row r="11745" s="12" customFormat="1" x14ac:dyDescent="0.25"/>
    <row r="11746" s="12" customFormat="1" x14ac:dyDescent="0.25"/>
    <row r="11747" s="12" customFormat="1" x14ac:dyDescent="0.25"/>
    <row r="11748" s="12" customFormat="1" x14ac:dyDescent="0.25"/>
    <row r="11749" s="12" customFormat="1" x14ac:dyDescent="0.25"/>
    <row r="11750" s="12" customFormat="1" x14ac:dyDescent="0.25"/>
    <row r="11751" s="12" customFormat="1" x14ac:dyDescent="0.25"/>
    <row r="11752" s="12" customFormat="1" x14ac:dyDescent="0.25"/>
    <row r="11753" s="12" customFormat="1" x14ac:dyDescent="0.25"/>
    <row r="11754" s="12" customFormat="1" x14ac:dyDescent="0.25"/>
    <row r="11755" s="12" customFormat="1" x14ac:dyDescent="0.25"/>
    <row r="11756" s="12" customFormat="1" x14ac:dyDescent="0.25"/>
    <row r="11757" s="12" customFormat="1" x14ac:dyDescent="0.25"/>
    <row r="11758" s="12" customFormat="1" x14ac:dyDescent="0.25"/>
    <row r="11759" s="12" customFormat="1" x14ac:dyDescent="0.25"/>
    <row r="11760" s="12" customFormat="1" x14ac:dyDescent="0.25"/>
    <row r="11761" s="12" customFormat="1" x14ac:dyDescent="0.25"/>
    <row r="11762" s="12" customFormat="1" x14ac:dyDescent="0.25"/>
    <row r="11763" s="12" customFormat="1" x14ac:dyDescent="0.25"/>
    <row r="11764" s="12" customFormat="1" x14ac:dyDescent="0.25"/>
    <row r="11765" s="12" customFormat="1" x14ac:dyDescent="0.25"/>
    <row r="11766" s="12" customFormat="1" x14ac:dyDescent="0.25"/>
    <row r="11767" s="12" customFormat="1" x14ac:dyDescent="0.25"/>
    <row r="11768" s="12" customFormat="1" x14ac:dyDescent="0.25"/>
    <row r="11769" s="12" customFormat="1" x14ac:dyDescent="0.25"/>
    <row r="11770" s="12" customFormat="1" x14ac:dyDescent="0.25"/>
    <row r="11771" s="12" customFormat="1" x14ac:dyDescent="0.25"/>
    <row r="11772" s="12" customFormat="1" x14ac:dyDescent="0.25"/>
    <row r="11773" s="12" customFormat="1" x14ac:dyDescent="0.25"/>
    <row r="11774" s="12" customFormat="1" x14ac:dyDescent="0.25"/>
    <row r="11775" s="12" customFormat="1" x14ac:dyDescent="0.25"/>
    <row r="11776" s="12" customFormat="1" x14ac:dyDescent="0.25"/>
    <row r="11777" s="12" customFormat="1" x14ac:dyDescent="0.25"/>
    <row r="11778" s="12" customFormat="1" x14ac:dyDescent="0.25"/>
    <row r="11779" s="12" customFormat="1" x14ac:dyDescent="0.25"/>
    <row r="11780" s="12" customFormat="1" x14ac:dyDescent="0.25"/>
    <row r="11781" s="12" customFormat="1" x14ac:dyDescent="0.25"/>
    <row r="11782" s="12" customFormat="1" x14ac:dyDescent="0.25"/>
    <row r="11783" s="12" customFormat="1" x14ac:dyDescent="0.25"/>
    <row r="11784" s="12" customFormat="1" x14ac:dyDescent="0.25"/>
    <row r="11785" s="12" customFormat="1" x14ac:dyDescent="0.25"/>
    <row r="11786" s="12" customFormat="1" x14ac:dyDescent="0.25"/>
    <row r="11787" s="12" customFormat="1" x14ac:dyDescent="0.25"/>
    <row r="11788" s="12" customFormat="1" x14ac:dyDescent="0.25"/>
    <row r="11789" s="12" customFormat="1" x14ac:dyDescent="0.25"/>
    <row r="11790" s="12" customFormat="1" x14ac:dyDescent="0.25"/>
    <row r="11791" s="12" customFormat="1" x14ac:dyDescent="0.25"/>
    <row r="11792" s="12" customFormat="1" x14ac:dyDescent="0.25"/>
    <row r="11793" s="12" customFormat="1" x14ac:dyDescent="0.25"/>
    <row r="11794" s="12" customFormat="1" x14ac:dyDescent="0.25"/>
    <row r="11795" s="12" customFormat="1" x14ac:dyDescent="0.25"/>
    <row r="11796" s="12" customFormat="1" x14ac:dyDescent="0.25"/>
    <row r="11797" s="12" customFormat="1" x14ac:dyDescent="0.25"/>
    <row r="11798" s="12" customFormat="1" x14ac:dyDescent="0.25"/>
    <row r="11799" s="12" customFormat="1" x14ac:dyDescent="0.25"/>
    <row r="11800" s="12" customFormat="1" x14ac:dyDescent="0.25"/>
    <row r="11801" s="12" customFormat="1" x14ac:dyDescent="0.25"/>
    <row r="11802" s="12" customFormat="1" x14ac:dyDescent="0.25"/>
    <row r="11803" s="12" customFormat="1" x14ac:dyDescent="0.25"/>
    <row r="11804" s="12" customFormat="1" x14ac:dyDescent="0.25"/>
    <row r="11805" s="12" customFormat="1" x14ac:dyDescent="0.25"/>
    <row r="11806" s="12" customFormat="1" x14ac:dyDescent="0.25"/>
    <row r="11807" s="12" customFormat="1" x14ac:dyDescent="0.25"/>
    <row r="11808" s="12" customFormat="1" x14ac:dyDescent="0.25"/>
    <row r="11809" s="12" customFormat="1" x14ac:dyDescent="0.25"/>
    <row r="11810" s="12" customFormat="1" x14ac:dyDescent="0.25"/>
    <row r="11811" s="12" customFormat="1" x14ac:dyDescent="0.25"/>
    <row r="11812" s="12" customFormat="1" x14ac:dyDescent="0.25"/>
    <row r="11813" s="12" customFormat="1" x14ac:dyDescent="0.25"/>
    <row r="11814" s="12" customFormat="1" x14ac:dyDescent="0.25"/>
    <row r="11815" s="12" customFormat="1" x14ac:dyDescent="0.25"/>
    <row r="11816" s="12" customFormat="1" x14ac:dyDescent="0.25"/>
    <row r="11817" s="12" customFormat="1" x14ac:dyDescent="0.25"/>
    <row r="11818" s="12" customFormat="1" x14ac:dyDescent="0.25"/>
    <row r="11819" s="12" customFormat="1" x14ac:dyDescent="0.25"/>
    <row r="11820" s="12" customFormat="1" x14ac:dyDescent="0.25"/>
    <row r="11821" s="12" customFormat="1" x14ac:dyDescent="0.25"/>
    <row r="11822" s="12" customFormat="1" x14ac:dyDescent="0.25"/>
    <row r="11823" s="12" customFormat="1" x14ac:dyDescent="0.25"/>
    <row r="11824" s="12" customFormat="1" x14ac:dyDescent="0.25"/>
    <row r="11825" s="12" customFormat="1" x14ac:dyDescent="0.25"/>
    <row r="11826" s="12" customFormat="1" x14ac:dyDescent="0.25"/>
    <row r="11827" s="12" customFormat="1" x14ac:dyDescent="0.25"/>
    <row r="11828" s="12" customFormat="1" x14ac:dyDescent="0.25"/>
    <row r="11829" s="12" customFormat="1" x14ac:dyDescent="0.25"/>
    <row r="11830" s="12" customFormat="1" x14ac:dyDescent="0.25"/>
    <row r="11831" s="12" customFormat="1" x14ac:dyDescent="0.25"/>
    <row r="11832" s="12" customFormat="1" x14ac:dyDescent="0.25"/>
    <row r="11833" s="12" customFormat="1" x14ac:dyDescent="0.25"/>
    <row r="11834" s="12" customFormat="1" x14ac:dyDescent="0.25"/>
    <row r="11835" s="12" customFormat="1" x14ac:dyDescent="0.25"/>
    <row r="11836" s="12" customFormat="1" x14ac:dyDescent="0.25"/>
    <row r="11837" s="12" customFormat="1" x14ac:dyDescent="0.25"/>
    <row r="11838" s="12" customFormat="1" x14ac:dyDescent="0.25"/>
    <row r="11839" s="12" customFormat="1" x14ac:dyDescent="0.25"/>
    <row r="11840" s="12" customFormat="1" x14ac:dyDescent="0.25"/>
    <row r="11841" s="12" customFormat="1" x14ac:dyDescent="0.25"/>
    <row r="11842" s="12" customFormat="1" x14ac:dyDescent="0.25"/>
    <row r="11843" s="12" customFormat="1" x14ac:dyDescent="0.25"/>
    <row r="11844" s="12" customFormat="1" x14ac:dyDescent="0.25"/>
    <row r="11845" s="12" customFormat="1" x14ac:dyDescent="0.25"/>
    <row r="11846" s="12" customFormat="1" x14ac:dyDescent="0.25"/>
    <row r="11847" s="12" customFormat="1" x14ac:dyDescent="0.25"/>
    <row r="11848" s="12" customFormat="1" x14ac:dyDescent="0.25"/>
    <row r="11849" s="12" customFormat="1" x14ac:dyDescent="0.25"/>
    <row r="11850" s="12" customFormat="1" x14ac:dyDescent="0.25"/>
    <row r="11851" s="12" customFormat="1" x14ac:dyDescent="0.25"/>
    <row r="11852" s="12" customFormat="1" x14ac:dyDescent="0.25"/>
    <row r="11853" s="12" customFormat="1" x14ac:dyDescent="0.25"/>
    <row r="11854" s="12" customFormat="1" x14ac:dyDescent="0.25"/>
    <row r="11855" s="12" customFormat="1" x14ac:dyDescent="0.25"/>
    <row r="11856" s="12" customFormat="1" x14ac:dyDescent="0.25"/>
    <row r="11857" s="12" customFormat="1" x14ac:dyDescent="0.25"/>
    <row r="11858" s="12" customFormat="1" x14ac:dyDescent="0.25"/>
    <row r="11859" s="12" customFormat="1" x14ac:dyDescent="0.25"/>
    <row r="11860" s="12" customFormat="1" x14ac:dyDescent="0.25"/>
    <row r="11861" s="12" customFormat="1" x14ac:dyDescent="0.25"/>
    <row r="11862" s="12" customFormat="1" x14ac:dyDescent="0.25"/>
    <row r="11863" s="12" customFormat="1" x14ac:dyDescent="0.25"/>
    <row r="11864" s="12" customFormat="1" x14ac:dyDescent="0.25"/>
    <row r="11865" s="12" customFormat="1" x14ac:dyDescent="0.25"/>
    <row r="11866" s="12" customFormat="1" x14ac:dyDescent="0.25"/>
    <row r="11867" s="12" customFormat="1" x14ac:dyDescent="0.25"/>
    <row r="11868" s="12" customFormat="1" x14ac:dyDescent="0.25"/>
    <row r="11869" s="12" customFormat="1" x14ac:dyDescent="0.25"/>
    <row r="11870" s="12" customFormat="1" x14ac:dyDescent="0.25"/>
    <row r="11871" s="12" customFormat="1" x14ac:dyDescent="0.25"/>
    <row r="11872" s="12" customFormat="1" x14ac:dyDescent="0.25"/>
    <row r="11873" s="12" customFormat="1" x14ac:dyDescent="0.25"/>
    <row r="11874" s="12" customFormat="1" x14ac:dyDescent="0.25"/>
    <row r="11875" s="12" customFormat="1" x14ac:dyDescent="0.25"/>
    <row r="11876" s="12" customFormat="1" x14ac:dyDescent="0.25"/>
    <row r="11877" s="12" customFormat="1" x14ac:dyDescent="0.25"/>
    <row r="11878" s="12" customFormat="1" x14ac:dyDescent="0.25"/>
    <row r="11879" s="12" customFormat="1" x14ac:dyDescent="0.25"/>
    <row r="11880" s="12" customFormat="1" x14ac:dyDescent="0.25"/>
    <row r="11881" s="12" customFormat="1" x14ac:dyDescent="0.25"/>
    <row r="11882" s="12" customFormat="1" x14ac:dyDescent="0.25"/>
    <row r="11883" s="12" customFormat="1" x14ac:dyDescent="0.25"/>
    <row r="11884" s="12" customFormat="1" x14ac:dyDescent="0.25"/>
    <row r="11885" s="12" customFormat="1" x14ac:dyDescent="0.25"/>
    <row r="11886" s="12" customFormat="1" x14ac:dyDescent="0.25"/>
    <row r="11887" s="12" customFormat="1" x14ac:dyDescent="0.25"/>
    <row r="11888" s="12" customFormat="1" x14ac:dyDescent="0.25"/>
    <row r="11889" s="12" customFormat="1" x14ac:dyDescent="0.25"/>
    <row r="11890" s="12" customFormat="1" x14ac:dyDescent="0.25"/>
    <row r="11891" s="12" customFormat="1" x14ac:dyDescent="0.25"/>
    <row r="11892" s="12" customFormat="1" x14ac:dyDescent="0.25"/>
    <row r="11893" s="12" customFormat="1" x14ac:dyDescent="0.25"/>
    <row r="11894" s="12" customFormat="1" x14ac:dyDescent="0.25"/>
    <row r="11895" s="12" customFormat="1" x14ac:dyDescent="0.25"/>
    <row r="11896" s="12" customFormat="1" x14ac:dyDescent="0.25"/>
    <row r="11897" s="12" customFormat="1" x14ac:dyDescent="0.25"/>
    <row r="11898" s="12" customFormat="1" x14ac:dyDescent="0.25"/>
    <row r="11899" s="12" customFormat="1" x14ac:dyDescent="0.25"/>
    <row r="11900" s="12" customFormat="1" x14ac:dyDescent="0.25"/>
    <row r="11901" s="12" customFormat="1" x14ac:dyDescent="0.25"/>
    <row r="11902" s="12" customFormat="1" x14ac:dyDescent="0.25"/>
    <row r="11903" s="12" customFormat="1" x14ac:dyDescent="0.25"/>
    <row r="11904" s="12" customFormat="1" x14ac:dyDescent="0.25"/>
    <row r="11905" s="12" customFormat="1" x14ac:dyDescent="0.25"/>
    <row r="11906" s="12" customFormat="1" x14ac:dyDescent="0.25"/>
    <row r="11907" s="12" customFormat="1" x14ac:dyDescent="0.25"/>
    <row r="11908" s="12" customFormat="1" x14ac:dyDescent="0.25"/>
    <row r="11909" s="12" customFormat="1" x14ac:dyDescent="0.25"/>
    <row r="11910" s="12" customFormat="1" x14ac:dyDescent="0.25"/>
    <row r="11911" s="12" customFormat="1" x14ac:dyDescent="0.25"/>
    <row r="11912" s="12" customFormat="1" x14ac:dyDescent="0.25"/>
    <row r="11913" s="12" customFormat="1" x14ac:dyDescent="0.25"/>
    <row r="11914" s="12" customFormat="1" x14ac:dyDescent="0.25"/>
    <row r="11915" s="12" customFormat="1" x14ac:dyDescent="0.25"/>
    <row r="11916" s="12" customFormat="1" x14ac:dyDescent="0.25"/>
    <row r="11917" s="12" customFormat="1" x14ac:dyDescent="0.25"/>
    <row r="11918" s="12" customFormat="1" x14ac:dyDescent="0.25"/>
    <row r="11919" s="12" customFormat="1" x14ac:dyDescent="0.25"/>
    <row r="11920" s="12" customFormat="1" x14ac:dyDescent="0.25"/>
    <row r="11921" s="12" customFormat="1" x14ac:dyDescent="0.25"/>
    <row r="11922" s="12" customFormat="1" x14ac:dyDescent="0.25"/>
    <row r="11923" s="12" customFormat="1" x14ac:dyDescent="0.25"/>
    <row r="11924" s="12" customFormat="1" x14ac:dyDescent="0.25"/>
    <row r="11925" s="12" customFormat="1" x14ac:dyDescent="0.25"/>
    <row r="11926" s="12" customFormat="1" x14ac:dyDescent="0.25"/>
    <row r="11927" s="12" customFormat="1" x14ac:dyDescent="0.25"/>
    <row r="11928" s="12" customFormat="1" x14ac:dyDescent="0.25"/>
    <row r="11929" s="12" customFormat="1" x14ac:dyDescent="0.25"/>
    <row r="11930" s="12" customFormat="1" x14ac:dyDescent="0.25"/>
    <row r="11931" s="12" customFormat="1" x14ac:dyDescent="0.25"/>
    <row r="11932" s="12" customFormat="1" x14ac:dyDescent="0.25"/>
    <row r="11933" s="12" customFormat="1" x14ac:dyDescent="0.25"/>
    <row r="11934" s="12" customFormat="1" x14ac:dyDescent="0.25"/>
    <row r="11935" s="12" customFormat="1" x14ac:dyDescent="0.25"/>
    <row r="11936" s="12" customFormat="1" x14ac:dyDescent="0.25"/>
    <row r="11937" s="12" customFormat="1" x14ac:dyDescent="0.25"/>
    <row r="11938" s="12" customFormat="1" x14ac:dyDescent="0.25"/>
    <row r="11939" s="12" customFormat="1" x14ac:dyDescent="0.25"/>
    <row r="11940" s="12" customFormat="1" x14ac:dyDescent="0.25"/>
    <row r="11941" s="12" customFormat="1" x14ac:dyDescent="0.25"/>
    <row r="11942" s="12" customFormat="1" x14ac:dyDescent="0.25"/>
    <row r="11943" s="12" customFormat="1" x14ac:dyDescent="0.25"/>
    <row r="11944" s="12" customFormat="1" x14ac:dyDescent="0.25"/>
    <row r="11945" s="12" customFormat="1" x14ac:dyDescent="0.25"/>
    <row r="11946" s="12" customFormat="1" x14ac:dyDescent="0.25"/>
    <row r="11947" s="12" customFormat="1" x14ac:dyDescent="0.25"/>
    <row r="11948" s="12" customFormat="1" x14ac:dyDescent="0.25"/>
    <row r="11949" s="12" customFormat="1" x14ac:dyDescent="0.25"/>
    <row r="11950" s="12" customFormat="1" x14ac:dyDescent="0.25"/>
    <row r="11951" s="12" customFormat="1" x14ac:dyDescent="0.25"/>
    <row r="11952" s="12" customFormat="1" x14ac:dyDescent="0.25"/>
    <row r="11953" s="12" customFormat="1" x14ac:dyDescent="0.25"/>
    <row r="11954" s="12" customFormat="1" x14ac:dyDescent="0.25"/>
    <row r="11955" s="12" customFormat="1" x14ac:dyDescent="0.25"/>
    <row r="11956" s="12" customFormat="1" x14ac:dyDescent="0.25"/>
    <row r="11957" s="12" customFormat="1" x14ac:dyDescent="0.25"/>
    <row r="11958" s="12" customFormat="1" x14ac:dyDescent="0.25"/>
    <row r="11959" s="12" customFormat="1" x14ac:dyDescent="0.25"/>
    <row r="11960" s="12" customFormat="1" x14ac:dyDescent="0.25"/>
    <row r="11961" s="12" customFormat="1" x14ac:dyDescent="0.25"/>
    <row r="11962" s="12" customFormat="1" x14ac:dyDescent="0.25"/>
    <row r="11963" s="12" customFormat="1" x14ac:dyDescent="0.25"/>
    <row r="11964" s="12" customFormat="1" x14ac:dyDescent="0.25"/>
    <row r="11965" s="12" customFormat="1" x14ac:dyDescent="0.25"/>
    <row r="11966" s="12" customFormat="1" x14ac:dyDescent="0.25"/>
    <row r="11967" s="12" customFormat="1" x14ac:dyDescent="0.25"/>
    <row r="11968" s="12" customFormat="1" x14ac:dyDescent="0.25"/>
    <row r="11969" s="12" customFormat="1" x14ac:dyDescent="0.25"/>
    <row r="11970" s="12" customFormat="1" x14ac:dyDescent="0.25"/>
    <row r="11971" s="12" customFormat="1" x14ac:dyDescent="0.25"/>
    <row r="11972" s="12" customFormat="1" x14ac:dyDescent="0.25"/>
    <row r="11973" s="12" customFormat="1" x14ac:dyDescent="0.25"/>
    <row r="11974" s="12" customFormat="1" x14ac:dyDescent="0.25"/>
    <row r="11975" s="12" customFormat="1" x14ac:dyDescent="0.25"/>
    <row r="11976" s="12" customFormat="1" x14ac:dyDescent="0.25"/>
    <row r="11977" s="12" customFormat="1" x14ac:dyDescent="0.25"/>
    <row r="11978" s="12" customFormat="1" x14ac:dyDescent="0.25"/>
    <row r="11979" s="12" customFormat="1" x14ac:dyDescent="0.25"/>
    <row r="11980" s="12" customFormat="1" x14ac:dyDescent="0.25"/>
    <row r="11981" s="12" customFormat="1" x14ac:dyDescent="0.25"/>
    <row r="11982" s="12" customFormat="1" x14ac:dyDescent="0.25"/>
    <row r="11983" s="12" customFormat="1" x14ac:dyDescent="0.25"/>
    <row r="11984" s="12" customFormat="1" x14ac:dyDescent="0.25"/>
    <row r="11985" s="12" customFormat="1" x14ac:dyDescent="0.25"/>
    <row r="11986" s="12" customFormat="1" x14ac:dyDescent="0.25"/>
    <row r="11987" s="12" customFormat="1" x14ac:dyDescent="0.25"/>
    <row r="11988" s="12" customFormat="1" x14ac:dyDescent="0.25"/>
    <row r="11989" s="12" customFormat="1" x14ac:dyDescent="0.25"/>
    <row r="11990" s="12" customFormat="1" x14ac:dyDescent="0.25"/>
    <row r="11991" s="12" customFormat="1" x14ac:dyDescent="0.25"/>
    <row r="11992" s="12" customFormat="1" x14ac:dyDescent="0.25"/>
    <row r="11993" s="12" customFormat="1" x14ac:dyDescent="0.25"/>
    <row r="11994" s="12" customFormat="1" x14ac:dyDescent="0.25"/>
    <row r="11995" s="12" customFormat="1" x14ac:dyDescent="0.25"/>
    <row r="11996" s="12" customFormat="1" x14ac:dyDescent="0.25"/>
    <row r="11997" s="12" customFormat="1" x14ac:dyDescent="0.25"/>
    <row r="11998" s="12" customFormat="1" x14ac:dyDescent="0.25"/>
    <row r="11999" s="12" customFormat="1" x14ac:dyDescent="0.25"/>
    <row r="12000" s="12" customFormat="1" x14ac:dyDescent="0.25"/>
    <row r="12001" s="12" customFormat="1" x14ac:dyDescent="0.25"/>
    <row r="12002" s="12" customFormat="1" x14ac:dyDescent="0.25"/>
    <row r="12003" s="12" customFormat="1" x14ac:dyDescent="0.25"/>
    <row r="12004" s="12" customFormat="1" x14ac:dyDescent="0.25"/>
    <row r="12005" s="12" customFormat="1" x14ac:dyDescent="0.25"/>
    <row r="12006" s="12" customFormat="1" x14ac:dyDescent="0.25"/>
    <row r="12007" s="12" customFormat="1" x14ac:dyDescent="0.25"/>
    <row r="12008" s="12" customFormat="1" x14ac:dyDescent="0.25"/>
    <row r="12009" s="12" customFormat="1" x14ac:dyDescent="0.25"/>
    <row r="12010" s="12" customFormat="1" x14ac:dyDescent="0.25"/>
    <row r="12011" s="12" customFormat="1" x14ac:dyDescent="0.25"/>
    <row r="12012" s="12" customFormat="1" x14ac:dyDescent="0.25"/>
    <row r="12013" s="12" customFormat="1" x14ac:dyDescent="0.25"/>
    <row r="12014" s="12" customFormat="1" x14ac:dyDescent="0.25"/>
    <row r="12015" s="12" customFormat="1" x14ac:dyDescent="0.25"/>
    <row r="12016" s="12" customFormat="1" x14ac:dyDescent="0.25"/>
    <row r="12017" s="12" customFormat="1" x14ac:dyDescent="0.25"/>
    <row r="12018" s="12" customFormat="1" x14ac:dyDescent="0.25"/>
    <row r="12019" s="12" customFormat="1" x14ac:dyDescent="0.25"/>
    <row r="12020" s="12" customFormat="1" x14ac:dyDescent="0.25"/>
    <row r="12021" s="12" customFormat="1" x14ac:dyDescent="0.25"/>
    <row r="12022" s="12" customFormat="1" x14ac:dyDescent="0.25"/>
    <row r="12023" s="12" customFormat="1" x14ac:dyDescent="0.25"/>
    <row r="12024" s="12" customFormat="1" x14ac:dyDescent="0.25"/>
    <row r="12025" s="12" customFormat="1" x14ac:dyDescent="0.25"/>
    <row r="12026" s="12" customFormat="1" x14ac:dyDescent="0.25"/>
    <row r="12027" s="12" customFormat="1" x14ac:dyDescent="0.25"/>
    <row r="12028" s="12" customFormat="1" x14ac:dyDescent="0.25"/>
    <row r="12029" s="12" customFormat="1" x14ac:dyDescent="0.25"/>
    <row r="12030" s="12" customFormat="1" x14ac:dyDescent="0.25"/>
    <row r="12031" s="12" customFormat="1" x14ac:dyDescent="0.25"/>
    <row r="12032" s="12" customFormat="1" x14ac:dyDescent="0.25"/>
    <row r="12033" s="12" customFormat="1" x14ac:dyDescent="0.25"/>
    <row r="12034" s="12" customFormat="1" x14ac:dyDescent="0.25"/>
    <row r="12035" s="12" customFormat="1" x14ac:dyDescent="0.25"/>
    <row r="12036" s="12" customFormat="1" x14ac:dyDescent="0.25"/>
    <row r="12037" s="12" customFormat="1" x14ac:dyDescent="0.25"/>
    <row r="12038" s="12" customFormat="1" x14ac:dyDescent="0.25"/>
    <row r="12039" s="12" customFormat="1" x14ac:dyDescent="0.25"/>
    <row r="12040" s="12" customFormat="1" x14ac:dyDescent="0.25"/>
    <row r="12041" s="12" customFormat="1" x14ac:dyDescent="0.25"/>
    <row r="12042" s="12" customFormat="1" x14ac:dyDescent="0.25"/>
    <row r="12043" s="12" customFormat="1" x14ac:dyDescent="0.25"/>
    <row r="12044" s="12" customFormat="1" x14ac:dyDescent="0.25"/>
    <row r="12045" s="12" customFormat="1" x14ac:dyDescent="0.25"/>
    <row r="12046" s="12" customFormat="1" x14ac:dyDescent="0.25"/>
    <row r="12047" s="12" customFormat="1" x14ac:dyDescent="0.25"/>
    <row r="12048" s="12" customFormat="1" x14ac:dyDescent="0.25"/>
    <row r="12049" s="12" customFormat="1" x14ac:dyDescent="0.25"/>
    <row r="12050" s="12" customFormat="1" x14ac:dyDescent="0.25"/>
    <row r="12051" s="12" customFormat="1" x14ac:dyDescent="0.25"/>
    <row r="12052" s="12" customFormat="1" x14ac:dyDescent="0.25"/>
    <row r="12053" s="12" customFormat="1" x14ac:dyDescent="0.25"/>
    <row r="12054" s="12" customFormat="1" x14ac:dyDescent="0.25"/>
    <row r="12055" s="12" customFormat="1" x14ac:dyDescent="0.25"/>
    <row r="12056" s="12" customFormat="1" x14ac:dyDescent="0.25"/>
    <row r="12057" s="12" customFormat="1" x14ac:dyDescent="0.25"/>
    <row r="12058" s="12" customFormat="1" x14ac:dyDescent="0.25"/>
    <row r="12059" s="12" customFormat="1" x14ac:dyDescent="0.25"/>
    <row r="12060" s="12" customFormat="1" x14ac:dyDescent="0.25"/>
    <row r="12061" s="12" customFormat="1" x14ac:dyDescent="0.25"/>
    <row r="12062" s="12" customFormat="1" x14ac:dyDescent="0.25"/>
    <row r="12063" s="12" customFormat="1" x14ac:dyDescent="0.25"/>
    <row r="12064" s="12" customFormat="1" x14ac:dyDescent="0.25"/>
    <row r="12065" s="12" customFormat="1" x14ac:dyDescent="0.25"/>
    <row r="12066" s="12" customFormat="1" x14ac:dyDescent="0.25"/>
    <row r="12067" s="12" customFormat="1" x14ac:dyDescent="0.25"/>
    <row r="12068" s="12" customFormat="1" x14ac:dyDescent="0.25"/>
    <row r="12069" s="12" customFormat="1" x14ac:dyDescent="0.25"/>
    <row r="12070" s="12" customFormat="1" x14ac:dyDescent="0.25"/>
    <row r="12071" s="12" customFormat="1" x14ac:dyDescent="0.25"/>
    <row r="12072" s="12" customFormat="1" x14ac:dyDescent="0.25"/>
    <row r="12073" s="12" customFormat="1" x14ac:dyDescent="0.25"/>
    <row r="12074" s="12" customFormat="1" x14ac:dyDescent="0.25"/>
    <row r="12075" s="12" customFormat="1" x14ac:dyDescent="0.25"/>
    <row r="12076" s="12" customFormat="1" x14ac:dyDescent="0.25"/>
    <row r="12077" s="12" customFormat="1" x14ac:dyDescent="0.25"/>
    <row r="12078" s="12" customFormat="1" x14ac:dyDescent="0.25"/>
    <row r="12079" s="12" customFormat="1" x14ac:dyDescent="0.25"/>
    <row r="12080" s="12" customFormat="1" x14ac:dyDescent="0.25"/>
    <row r="12081" s="12" customFormat="1" x14ac:dyDescent="0.25"/>
    <row r="12082" s="12" customFormat="1" x14ac:dyDescent="0.25"/>
    <row r="12083" s="12" customFormat="1" x14ac:dyDescent="0.25"/>
    <row r="12084" s="12" customFormat="1" x14ac:dyDescent="0.25"/>
    <row r="12085" s="12" customFormat="1" x14ac:dyDescent="0.25"/>
    <row r="12086" s="12" customFormat="1" x14ac:dyDescent="0.25"/>
    <row r="12087" s="12" customFormat="1" x14ac:dyDescent="0.25"/>
    <row r="12088" s="12" customFormat="1" x14ac:dyDescent="0.25"/>
    <row r="12089" s="12" customFormat="1" x14ac:dyDescent="0.25"/>
    <row r="12090" s="12" customFormat="1" x14ac:dyDescent="0.25"/>
    <row r="12091" s="12" customFormat="1" x14ac:dyDescent="0.25"/>
    <row r="12092" s="12" customFormat="1" x14ac:dyDescent="0.25"/>
    <row r="12093" s="12" customFormat="1" x14ac:dyDescent="0.25"/>
    <row r="12094" s="12" customFormat="1" x14ac:dyDescent="0.25"/>
    <row r="12095" s="12" customFormat="1" x14ac:dyDescent="0.25"/>
    <row r="12096" s="12" customFormat="1" x14ac:dyDescent="0.25"/>
    <row r="12097" s="12" customFormat="1" x14ac:dyDescent="0.25"/>
    <row r="12098" s="12" customFormat="1" x14ac:dyDescent="0.25"/>
    <row r="12099" s="12" customFormat="1" x14ac:dyDescent="0.25"/>
    <row r="12100" s="12" customFormat="1" x14ac:dyDescent="0.25"/>
    <row r="12101" s="12" customFormat="1" x14ac:dyDescent="0.25"/>
    <row r="12102" s="12" customFormat="1" x14ac:dyDescent="0.25"/>
    <row r="12103" s="12" customFormat="1" x14ac:dyDescent="0.25"/>
    <row r="12104" s="12" customFormat="1" x14ac:dyDescent="0.25"/>
    <row r="12105" s="12" customFormat="1" x14ac:dyDescent="0.25"/>
    <row r="12106" s="12" customFormat="1" x14ac:dyDescent="0.25"/>
    <row r="12107" s="12" customFormat="1" x14ac:dyDescent="0.25"/>
    <row r="12108" s="12" customFormat="1" x14ac:dyDescent="0.25"/>
    <row r="12109" s="12" customFormat="1" x14ac:dyDescent="0.25"/>
    <row r="12110" s="12" customFormat="1" x14ac:dyDescent="0.25"/>
    <row r="12111" s="12" customFormat="1" x14ac:dyDescent="0.25"/>
    <row r="12112" s="12" customFormat="1" x14ac:dyDescent="0.25"/>
    <row r="12113" s="12" customFormat="1" x14ac:dyDescent="0.25"/>
    <row r="12114" s="12" customFormat="1" x14ac:dyDescent="0.25"/>
    <row r="12115" s="12" customFormat="1" x14ac:dyDescent="0.25"/>
    <row r="12116" s="12" customFormat="1" x14ac:dyDescent="0.25"/>
    <row r="12117" s="12" customFormat="1" x14ac:dyDescent="0.25"/>
    <row r="12118" s="12" customFormat="1" x14ac:dyDescent="0.25"/>
    <row r="12119" s="12" customFormat="1" x14ac:dyDescent="0.25"/>
    <row r="12120" s="12" customFormat="1" x14ac:dyDescent="0.25"/>
    <row r="12121" s="12" customFormat="1" x14ac:dyDescent="0.25"/>
    <row r="12122" s="12" customFormat="1" x14ac:dyDescent="0.25"/>
    <row r="12123" s="12" customFormat="1" x14ac:dyDescent="0.25"/>
    <row r="12124" s="12" customFormat="1" x14ac:dyDescent="0.25"/>
    <row r="12125" s="12" customFormat="1" x14ac:dyDescent="0.25"/>
    <row r="12126" s="12" customFormat="1" x14ac:dyDescent="0.25"/>
    <row r="12127" s="12" customFormat="1" x14ac:dyDescent="0.25"/>
    <row r="12128" s="12" customFormat="1" x14ac:dyDescent="0.25"/>
    <row r="12129" s="12" customFormat="1" x14ac:dyDescent="0.25"/>
    <row r="12130" s="12" customFormat="1" x14ac:dyDescent="0.25"/>
    <row r="12131" s="12" customFormat="1" x14ac:dyDescent="0.25"/>
    <row r="12132" s="12" customFormat="1" x14ac:dyDescent="0.25"/>
    <row r="12133" s="12" customFormat="1" x14ac:dyDescent="0.25"/>
    <row r="12134" s="12" customFormat="1" x14ac:dyDescent="0.25"/>
    <row r="12135" s="12" customFormat="1" x14ac:dyDescent="0.25"/>
    <row r="12136" s="12" customFormat="1" x14ac:dyDescent="0.25"/>
    <row r="12137" s="12" customFormat="1" x14ac:dyDescent="0.25"/>
    <row r="12138" s="12" customFormat="1" x14ac:dyDescent="0.25"/>
    <row r="12139" s="12" customFormat="1" x14ac:dyDescent="0.25"/>
    <row r="12140" s="12" customFormat="1" x14ac:dyDescent="0.25"/>
    <row r="12141" s="12" customFormat="1" x14ac:dyDescent="0.25"/>
    <row r="12142" s="12" customFormat="1" x14ac:dyDescent="0.25"/>
    <row r="12143" s="12" customFormat="1" x14ac:dyDescent="0.25"/>
    <row r="12144" s="12" customFormat="1" x14ac:dyDescent="0.25"/>
    <row r="12145" s="12" customFormat="1" x14ac:dyDescent="0.25"/>
    <row r="12146" s="12" customFormat="1" x14ac:dyDescent="0.25"/>
    <row r="12147" s="12" customFormat="1" x14ac:dyDescent="0.25"/>
    <row r="12148" s="12" customFormat="1" x14ac:dyDescent="0.25"/>
    <row r="12149" s="12" customFormat="1" x14ac:dyDescent="0.25"/>
    <row r="12150" s="12" customFormat="1" x14ac:dyDescent="0.25"/>
    <row r="12151" s="12" customFormat="1" x14ac:dyDescent="0.25"/>
    <row r="12152" s="12" customFormat="1" x14ac:dyDescent="0.25"/>
    <row r="12153" s="12" customFormat="1" x14ac:dyDescent="0.25"/>
    <row r="12154" s="12" customFormat="1" x14ac:dyDescent="0.25"/>
    <row r="12155" s="12" customFormat="1" x14ac:dyDescent="0.25"/>
    <row r="12156" s="12" customFormat="1" x14ac:dyDescent="0.25"/>
    <row r="12157" s="12" customFormat="1" x14ac:dyDescent="0.25"/>
    <row r="12158" s="12" customFormat="1" x14ac:dyDescent="0.25"/>
    <row r="12159" s="12" customFormat="1" x14ac:dyDescent="0.25"/>
    <row r="12160" s="12" customFormat="1" x14ac:dyDescent="0.25"/>
    <row r="12161" s="12" customFormat="1" x14ac:dyDescent="0.25"/>
    <row r="12162" s="12" customFormat="1" x14ac:dyDescent="0.25"/>
    <row r="12163" s="12" customFormat="1" x14ac:dyDescent="0.25"/>
    <row r="12164" s="12" customFormat="1" x14ac:dyDescent="0.25"/>
    <row r="12165" s="12" customFormat="1" x14ac:dyDescent="0.25"/>
    <row r="12166" s="12" customFormat="1" x14ac:dyDescent="0.25"/>
    <row r="12167" s="12" customFormat="1" x14ac:dyDescent="0.25"/>
    <row r="12168" s="12" customFormat="1" x14ac:dyDescent="0.25"/>
    <row r="12169" s="12" customFormat="1" x14ac:dyDescent="0.25"/>
    <row r="12170" s="12" customFormat="1" x14ac:dyDescent="0.25"/>
    <row r="12171" s="12" customFormat="1" x14ac:dyDescent="0.25"/>
    <row r="12172" s="12" customFormat="1" x14ac:dyDescent="0.25"/>
    <row r="12173" s="12" customFormat="1" x14ac:dyDescent="0.25"/>
    <row r="12174" s="12" customFormat="1" x14ac:dyDescent="0.25"/>
    <row r="12175" s="12" customFormat="1" x14ac:dyDescent="0.25"/>
    <row r="12176" s="12" customFormat="1" x14ac:dyDescent="0.25"/>
    <row r="12177" s="12" customFormat="1" x14ac:dyDescent="0.25"/>
    <row r="12178" s="12" customFormat="1" x14ac:dyDescent="0.25"/>
    <row r="12179" s="12" customFormat="1" x14ac:dyDescent="0.25"/>
    <row r="12180" s="12" customFormat="1" x14ac:dyDescent="0.25"/>
    <row r="12181" s="12" customFormat="1" x14ac:dyDescent="0.25"/>
    <row r="12182" s="12" customFormat="1" x14ac:dyDescent="0.25"/>
    <row r="12183" s="12" customFormat="1" x14ac:dyDescent="0.25"/>
    <row r="12184" s="12" customFormat="1" x14ac:dyDescent="0.25"/>
    <row r="12185" s="12" customFormat="1" x14ac:dyDescent="0.25"/>
    <row r="12186" s="12" customFormat="1" x14ac:dyDescent="0.25"/>
    <row r="12187" s="12" customFormat="1" x14ac:dyDescent="0.25"/>
    <row r="12188" s="12" customFormat="1" x14ac:dyDescent="0.25"/>
    <row r="12189" s="12" customFormat="1" x14ac:dyDescent="0.25"/>
    <row r="12190" s="12" customFormat="1" x14ac:dyDescent="0.25"/>
    <row r="12191" s="12" customFormat="1" x14ac:dyDescent="0.25"/>
    <row r="12192" s="12" customFormat="1" x14ac:dyDescent="0.25"/>
    <row r="12193" s="12" customFormat="1" x14ac:dyDescent="0.25"/>
    <row r="12194" s="12" customFormat="1" x14ac:dyDescent="0.25"/>
    <row r="12195" s="12" customFormat="1" x14ac:dyDescent="0.25"/>
    <row r="12196" s="12" customFormat="1" x14ac:dyDescent="0.25"/>
    <row r="12197" s="12" customFormat="1" x14ac:dyDescent="0.25"/>
    <row r="12198" s="12" customFormat="1" x14ac:dyDescent="0.25"/>
    <row r="12199" s="12" customFormat="1" x14ac:dyDescent="0.25"/>
    <row r="12200" s="12" customFormat="1" x14ac:dyDescent="0.25"/>
    <row r="12201" s="12" customFormat="1" x14ac:dyDescent="0.25"/>
    <row r="12202" s="12" customFormat="1" x14ac:dyDescent="0.25"/>
    <row r="12203" s="12" customFormat="1" x14ac:dyDescent="0.25"/>
    <row r="12204" s="12" customFormat="1" x14ac:dyDescent="0.25"/>
    <row r="12205" s="12" customFormat="1" x14ac:dyDescent="0.25"/>
    <row r="12206" s="12" customFormat="1" x14ac:dyDescent="0.25"/>
    <row r="12207" s="12" customFormat="1" x14ac:dyDescent="0.25"/>
    <row r="12208" s="12" customFormat="1" x14ac:dyDescent="0.25"/>
    <row r="12209" s="12" customFormat="1" x14ac:dyDescent="0.25"/>
    <row r="12210" s="12" customFormat="1" x14ac:dyDescent="0.25"/>
    <row r="12211" s="12" customFormat="1" x14ac:dyDescent="0.25"/>
    <row r="12212" s="12" customFormat="1" x14ac:dyDescent="0.25"/>
    <row r="12213" s="12" customFormat="1" x14ac:dyDescent="0.25"/>
    <row r="12214" s="12" customFormat="1" x14ac:dyDescent="0.25"/>
    <row r="12215" s="12" customFormat="1" x14ac:dyDescent="0.25"/>
    <row r="12216" s="12" customFormat="1" x14ac:dyDescent="0.25"/>
    <row r="12217" s="12" customFormat="1" x14ac:dyDescent="0.25"/>
    <row r="12218" s="12" customFormat="1" x14ac:dyDescent="0.25"/>
    <row r="12219" s="12" customFormat="1" x14ac:dyDescent="0.25"/>
    <row r="12220" s="12" customFormat="1" x14ac:dyDescent="0.25"/>
    <row r="12221" s="12" customFormat="1" x14ac:dyDescent="0.25"/>
    <row r="12222" s="12" customFormat="1" x14ac:dyDescent="0.25"/>
    <row r="12223" s="12" customFormat="1" x14ac:dyDescent="0.25"/>
    <row r="12224" s="12" customFormat="1" x14ac:dyDescent="0.25"/>
    <row r="12225" s="12" customFormat="1" x14ac:dyDescent="0.25"/>
    <row r="12226" s="12" customFormat="1" x14ac:dyDescent="0.25"/>
    <row r="12227" s="12" customFormat="1" x14ac:dyDescent="0.25"/>
    <row r="12228" s="12" customFormat="1" x14ac:dyDescent="0.25"/>
    <row r="12229" s="12" customFormat="1" x14ac:dyDescent="0.25"/>
    <row r="12230" s="12" customFormat="1" x14ac:dyDescent="0.25"/>
    <row r="12231" s="12" customFormat="1" x14ac:dyDescent="0.25"/>
    <row r="12232" s="12" customFormat="1" x14ac:dyDescent="0.25"/>
    <row r="12233" s="12" customFormat="1" x14ac:dyDescent="0.25"/>
    <row r="12234" s="12" customFormat="1" x14ac:dyDescent="0.25"/>
    <row r="12235" s="12" customFormat="1" x14ac:dyDescent="0.25"/>
    <row r="12236" s="12" customFormat="1" x14ac:dyDescent="0.25"/>
    <row r="12237" s="12" customFormat="1" x14ac:dyDescent="0.25"/>
    <row r="12238" s="12" customFormat="1" x14ac:dyDescent="0.25"/>
    <row r="12239" s="12" customFormat="1" x14ac:dyDescent="0.25"/>
    <row r="12240" s="12" customFormat="1" x14ac:dyDescent="0.25"/>
    <row r="12241" s="12" customFormat="1" x14ac:dyDescent="0.25"/>
    <row r="12242" s="12" customFormat="1" x14ac:dyDescent="0.25"/>
    <row r="12243" s="12" customFormat="1" x14ac:dyDescent="0.25"/>
    <row r="12244" s="12" customFormat="1" x14ac:dyDescent="0.25"/>
    <row r="12245" s="12" customFormat="1" x14ac:dyDescent="0.25"/>
    <row r="12246" s="12" customFormat="1" x14ac:dyDescent="0.25"/>
    <row r="12247" s="12" customFormat="1" x14ac:dyDescent="0.25"/>
    <row r="12248" s="12" customFormat="1" x14ac:dyDescent="0.25"/>
    <row r="12249" s="12" customFormat="1" x14ac:dyDescent="0.25"/>
    <row r="12250" s="12" customFormat="1" x14ac:dyDescent="0.25"/>
    <row r="12251" s="12" customFormat="1" x14ac:dyDescent="0.25"/>
    <row r="12252" s="12" customFormat="1" x14ac:dyDescent="0.25"/>
    <row r="12253" s="12" customFormat="1" x14ac:dyDescent="0.25"/>
    <row r="12254" s="12" customFormat="1" x14ac:dyDescent="0.25"/>
    <row r="12255" s="12" customFormat="1" x14ac:dyDescent="0.25"/>
    <row r="12256" s="12" customFormat="1" x14ac:dyDescent="0.25"/>
    <row r="12257" s="12" customFormat="1" x14ac:dyDescent="0.25"/>
    <row r="12258" s="12" customFormat="1" x14ac:dyDescent="0.25"/>
    <row r="12259" s="12" customFormat="1" x14ac:dyDescent="0.25"/>
    <row r="12260" s="12" customFormat="1" x14ac:dyDescent="0.25"/>
    <row r="12261" s="12" customFormat="1" x14ac:dyDescent="0.25"/>
    <row r="12262" s="12" customFormat="1" x14ac:dyDescent="0.25"/>
    <row r="12263" s="12" customFormat="1" x14ac:dyDescent="0.25"/>
    <row r="12264" s="12" customFormat="1" x14ac:dyDescent="0.25"/>
    <row r="12265" s="12" customFormat="1" x14ac:dyDescent="0.25"/>
    <row r="12266" s="12" customFormat="1" x14ac:dyDescent="0.25"/>
    <row r="12267" s="12" customFormat="1" x14ac:dyDescent="0.25"/>
    <row r="12268" s="12" customFormat="1" x14ac:dyDescent="0.25"/>
    <row r="12269" s="12" customFormat="1" x14ac:dyDescent="0.25"/>
    <row r="12270" s="12" customFormat="1" x14ac:dyDescent="0.25"/>
    <row r="12271" s="12" customFormat="1" x14ac:dyDescent="0.25"/>
    <row r="12272" s="12" customFormat="1" x14ac:dyDescent="0.25"/>
    <row r="12273" s="12" customFormat="1" x14ac:dyDescent="0.25"/>
    <row r="12274" s="12" customFormat="1" x14ac:dyDescent="0.25"/>
    <row r="12275" s="12" customFormat="1" x14ac:dyDescent="0.25"/>
    <row r="12276" s="12" customFormat="1" x14ac:dyDescent="0.25"/>
    <row r="12277" s="12" customFormat="1" x14ac:dyDescent="0.25"/>
    <row r="12278" s="12" customFormat="1" x14ac:dyDescent="0.25"/>
    <row r="12279" s="12" customFormat="1" x14ac:dyDescent="0.25"/>
    <row r="12280" s="12" customFormat="1" x14ac:dyDescent="0.25"/>
    <row r="12281" s="12" customFormat="1" x14ac:dyDescent="0.25"/>
    <row r="12282" s="12" customFormat="1" x14ac:dyDescent="0.25"/>
    <row r="12283" s="12" customFormat="1" x14ac:dyDescent="0.25"/>
    <row r="12284" s="12" customFormat="1" x14ac:dyDescent="0.25"/>
    <row r="12285" s="12" customFormat="1" x14ac:dyDescent="0.25"/>
    <row r="12286" s="12" customFormat="1" x14ac:dyDescent="0.25"/>
    <row r="12287" s="12" customFormat="1" x14ac:dyDescent="0.25"/>
    <row r="12288" s="12" customFormat="1" x14ac:dyDescent="0.25"/>
    <row r="12289" s="12" customFormat="1" x14ac:dyDescent="0.25"/>
    <row r="12290" s="12" customFormat="1" x14ac:dyDescent="0.25"/>
    <row r="12291" s="12" customFormat="1" x14ac:dyDescent="0.25"/>
    <row r="12292" s="12" customFormat="1" x14ac:dyDescent="0.25"/>
    <row r="12293" s="12" customFormat="1" x14ac:dyDescent="0.25"/>
    <row r="12294" s="12" customFormat="1" x14ac:dyDescent="0.25"/>
    <row r="12295" s="12" customFormat="1" x14ac:dyDescent="0.25"/>
    <row r="12296" s="12" customFormat="1" x14ac:dyDescent="0.25"/>
    <row r="12297" s="12" customFormat="1" x14ac:dyDescent="0.25"/>
    <row r="12298" s="12" customFormat="1" x14ac:dyDescent="0.25"/>
    <row r="12299" s="12" customFormat="1" x14ac:dyDescent="0.25"/>
    <row r="12300" s="12" customFormat="1" x14ac:dyDescent="0.25"/>
    <row r="12301" s="12" customFormat="1" x14ac:dyDescent="0.25"/>
    <row r="12302" s="12" customFormat="1" x14ac:dyDescent="0.25"/>
    <row r="12303" s="12" customFormat="1" x14ac:dyDescent="0.25"/>
    <row r="12304" s="12" customFormat="1" x14ac:dyDescent="0.25"/>
    <row r="12305" s="12" customFormat="1" x14ac:dyDescent="0.25"/>
    <row r="12306" s="12" customFormat="1" x14ac:dyDescent="0.25"/>
    <row r="12307" s="12" customFormat="1" x14ac:dyDescent="0.25"/>
    <row r="12308" s="12" customFormat="1" x14ac:dyDescent="0.25"/>
    <row r="12309" s="12" customFormat="1" x14ac:dyDescent="0.25"/>
    <row r="12310" s="12" customFormat="1" x14ac:dyDescent="0.25"/>
    <row r="12311" s="12" customFormat="1" x14ac:dyDescent="0.25"/>
    <row r="12312" s="12" customFormat="1" x14ac:dyDescent="0.25"/>
    <row r="12313" s="12" customFormat="1" x14ac:dyDescent="0.25"/>
    <row r="12314" s="12" customFormat="1" x14ac:dyDescent="0.25"/>
    <row r="12315" s="12" customFormat="1" x14ac:dyDescent="0.25"/>
    <row r="12316" s="12" customFormat="1" x14ac:dyDescent="0.25"/>
    <row r="12317" s="12" customFormat="1" x14ac:dyDescent="0.25"/>
    <row r="12318" s="12" customFormat="1" x14ac:dyDescent="0.25"/>
    <row r="12319" s="12" customFormat="1" x14ac:dyDescent="0.25"/>
    <row r="12320" s="12" customFormat="1" x14ac:dyDescent="0.25"/>
    <row r="12321" s="12" customFormat="1" x14ac:dyDescent="0.25"/>
    <row r="12322" s="12" customFormat="1" x14ac:dyDescent="0.25"/>
    <row r="12323" s="12" customFormat="1" x14ac:dyDescent="0.25"/>
    <row r="12324" s="12" customFormat="1" x14ac:dyDescent="0.25"/>
    <row r="12325" s="12" customFormat="1" x14ac:dyDescent="0.25"/>
    <row r="12326" s="12" customFormat="1" x14ac:dyDescent="0.25"/>
    <row r="12327" s="12" customFormat="1" x14ac:dyDescent="0.25"/>
    <row r="12328" s="12" customFormat="1" x14ac:dyDescent="0.25"/>
    <row r="12329" s="12" customFormat="1" x14ac:dyDescent="0.25"/>
    <row r="12330" s="12" customFormat="1" x14ac:dyDescent="0.25"/>
    <row r="12331" s="12" customFormat="1" x14ac:dyDescent="0.25"/>
    <row r="12332" s="12" customFormat="1" x14ac:dyDescent="0.25"/>
    <row r="12333" s="12" customFormat="1" x14ac:dyDescent="0.25"/>
    <row r="12334" s="12" customFormat="1" x14ac:dyDescent="0.25"/>
    <row r="12335" s="12" customFormat="1" x14ac:dyDescent="0.25"/>
    <row r="12336" s="12" customFormat="1" x14ac:dyDescent="0.25"/>
    <row r="12337" s="12" customFormat="1" x14ac:dyDescent="0.25"/>
    <row r="12338" s="12" customFormat="1" x14ac:dyDescent="0.25"/>
    <row r="12339" s="12" customFormat="1" x14ac:dyDescent="0.25"/>
    <row r="12340" s="12" customFormat="1" x14ac:dyDescent="0.25"/>
    <row r="12341" s="12" customFormat="1" x14ac:dyDescent="0.25"/>
    <row r="12342" s="12" customFormat="1" x14ac:dyDescent="0.25"/>
    <row r="12343" s="12" customFormat="1" x14ac:dyDescent="0.25"/>
    <row r="12344" s="12" customFormat="1" x14ac:dyDescent="0.25"/>
    <row r="12345" s="12" customFormat="1" x14ac:dyDescent="0.25"/>
    <row r="12346" s="12" customFormat="1" x14ac:dyDescent="0.25"/>
    <row r="12347" s="12" customFormat="1" x14ac:dyDescent="0.25"/>
    <row r="12348" s="12" customFormat="1" x14ac:dyDescent="0.25"/>
    <row r="12349" s="12" customFormat="1" x14ac:dyDescent="0.25"/>
    <row r="12350" s="12" customFormat="1" x14ac:dyDescent="0.25"/>
    <row r="12351" s="12" customFormat="1" x14ac:dyDescent="0.25"/>
    <row r="12352" s="12" customFormat="1" x14ac:dyDescent="0.25"/>
    <row r="12353" s="12" customFormat="1" x14ac:dyDescent="0.25"/>
    <row r="12354" s="12" customFormat="1" x14ac:dyDescent="0.25"/>
    <row r="12355" s="12" customFormat="1" x14ac:dyDescent="0.25"/>
    <row r="12356" s="12" customFormat="1" x14ac:dyDescent="0.25"/>
    <row r="12357" s="12" customFormat="1" x14ac:dyDescent="0.25"/>
    <row r="12358" s="12" customFormat="1" x14ac:dyDescent="0.25"/>
    <row r="12359" s="12" customFormat="1" x14ac:dyDescent="0.25"/>
    <row r="12360" s="12" customFormat="1" x14ac:dyDescent="0.25"/>
    <row r="12361" s="12" customFormat="1" x14ac:dyDescent="0.25"/>
    <row r="12362" s="12" customFormat="1" x14ac:dyDescent="0.25"/>
    <row r="12363" s="12" customFormat="1" x14ac:dyDescent="0.25"/>
    <row r="12364" s="12" customFormat="1" x14ac:dyDescent="0.25"/>
    <row r="12365" s="12" customFormat="1" x14ac:dyDescent="0.25"/>
    <row r="12366" s="12" customFormat="1" x14ac:dyDescent="0.25"/>
    <row r="12367" s="12" customFormat="1" x14ac:dyDescent="0.25"/>
    <row r="12368" s="12" customFormat="1" x14ac:dyDescent="0.25"/>
    <row r="12369" s="12" customFormat="1" x14ac:dyDescent="0.25"/>
    <row r="12370" s="12" customFormat="1" x14ac:dyDescent="0.25"/>
    <row r="12371" s="12" customFormat="1" x14ac:dyDescent="0.25"/>
    <row r="12372" s="12" customFormat="1" x14ac:dyDescent="0.25"/>
    <row r="12373" s="12" customFormat="1" x14ac:dyDescent="0.25"/>
    <row r="12374" s="12" customFormat="1" x14ac:dyDescent="0.25"/>
    <row r="12375" s="12" customFormat="1" x14ac:dyDescent="0.25"/>
    <row r="12376" s="12" customFormat="1" x14ac:dyDescent="0.25"/>
    <row r="12377" s="12" customFormat="1" x14ac:dyDescent="0.25"/>
    <row r="12378" s="12" customFormat="1" x14ac:dyDescent="0.25"/>
    <row r="12379" s="12" customFormat="1" x14ac:dyDescent="0.25"/>
    <row r="12380" s="12" customFormat="1" x14ac:dyDescent="0.25"/>
    <row r="12381" s="12" customFormat="1" x14ac:dyDescent="0.25"/>
    <row r="12382" s="12" customFormat="1" x14ac:dyDescent="0.25"/>
    <row r="12383" s="12" customFormat="1" x14ac:dyDescent="0.25"/>
    <row r="12384" s="12" customFormat="1" x14ac:dyDescent="0.25"/>
    <row r="12385" s="12" customFormat="1" x14ac:dyDescent="0.25"/>
    <row r="12386" s="12" customFormat="1" x14ac:dyDescent="0.25"/>
    <row r="12387" s="12" customFormat="1" x14ac:dyDescent="0.25"/>
    <row r="12388" s="12" customFormat="1" x14ac:dyDescent="0.25"/>
    <row r="12389" s="12" customFormat="1" x14ac:dyDescent="0.25"/>
    <row r="12390" s="12" customFormat="1" x14ac:dyDescent="0.25"/>
    <row r="12391" s="12" customFormat="1" x14ac:dyDescent="0.25"/>
    <row r="12392" s="12" customFormat="1" x14ac:dyDescent="0.25"/>
    <row r="12393" s="12" customFormat="1" x14ac:dyDescent="0.25"/>
    <row r="12394" s="12" customFormat="1" x14ac:dyDescent="0.25"/>
    <row r="12395" s="12" customFormat="1" x14ac:dyDescent="0.25"/>
    <row r="12396" s="12" customFormat="1" x14ac:dyDescent="0.25"/>
    <row r="12397" s="12" customFormat="1" x14ac:dyDescent="0.25"/>
    <row r="12398" s="12" customFormat="1" x14ac:dyDescent="0.25"/>
    <row r="12399" s="12" customFormat="1" x14ac:dyDescent="0.25"/>
    <row r="12400" s="12" customFormat="1" x14ac:dyDescent="0.25"/>
    <row r="12401" s="12" customFormat="1" x14ac:dyDescent="0.25"/>
    <row r="12402" s="12" customFormat="1" x14ac:dyDescent="0.25"/>
    <row r="12403" s="12" customFormat="1" x14ac:dyDescent="0.25"/>
    <row r="12404" s="12" customFormat="1" x14ac:dyDescent="0.25"/>
    <row r="12405" s="12" customFormat="1" x14ac:dyDescent="0.25"/>
    <row r="12406" s="12" customFormat="1" x14ac:dyDescent="0.25"/>
    <row r="12407" s="12" customFormat="1" x14ac:dyDescent="0.25"/>
    <row r="12408" s="12" customFormat="1" x14ac:dyDescent="0.25"/>
    <row r="12409" s="12" customFormat="1" x14ac:dyDescent="0.25"/>
    <row r="12410" s="12" customFormat="1" x14ac:dyDescent="0.25"/>
    <row r="12411" s="12" customFormat="1" x14ac:dyDescent="0.25"/>
    <row r="12412" s="12" customFormat="1" x14ac:dyDescent="0.25"/>
    <row r="12413" s="12" customFormat="1" x14ac:dyDescent="0.25"/>
    <row r="12414" s="12" customFormat="1" x14ac:dyDescent="0.25"/>
    <row r="12415" s="12" customFormat="1" x14ac:dyDescent="0.25"/>
    <row r="12416" s="12" customFormat="1" x14ac:dyDescent="0.25"/>
    <row r="12417" s="12" customFormat="1" x14ac:dyDescent="0.25"/>
    <row r="12418" s="12" customFormat="1" x14ac:dyDescent="0.25"/>
    <row r="12419" s="12" customFormat="1" x14ac:dyDescent="0.25"/>
    <row r="12420" s="12" customFormat="1" x14ac:dyDescent="0.25"/>
    <row r="12421" s="12" customFormat="1" x14ac:dyDescent="0.25"/>
    <row r="12422" s="12" customFormat="1" x14ac:dyDescent="0.25"/>
    <row r="12423" s="12" customFormat="1" x14ac:dyDescent="0.25"/>
    <row r="12424" s="12" customFormat="1" x14ac:dyDescent="0.25"/>
    <row r="12425" s="12" customFormat="1" x14ac:dyDescent="0.25"/>
    <row r="12426" s="12" customFormat="1" x14ac:dyDescent="0.25"/>
    <row r="12427" s="12" customFormat="1" x14ac:dyDescent="0.25"/>
    <row r="12428" s="12" customFormat="1" x14ac:dyDescent="0.25"/>
    <row r="12429" s="12" customFormat="1" x14ac:dyDescent="0.25"/>
    <row r="12430" s="12" customFormat="1" x14ac:dyDescent="0.25"/>
    <row r="12431" s="12" customFormat="1" x14ac:dyDescent="0.25"/>
    <row r="12432" s="12" customFormat="1" x14ac:dyDescent="0.25"/>
    <row r="12433" s="12" customFormat="1" x14ac:dyDescent="0.25"/>
    <row r="12434" s="12" customFormat="1" x14ac:dyDescent="0.25"/>
    <row r="12435" s="12" customFormat="1" x14ac:dyDescent="0.25"/>
    <row r="12436" s="12" customFormat="1" x14ac:dyDescent="0.25"/>
    <row r="12437" s="12" customFormat="1" x14ac:dyDescent="0.25"/>
    <row r="12438" s="12" customFormat="1" x14ac:dyDescent="0.25"/>
    <row r="12439" s="12" customFormat="1" x14ac:dyDescent="0.25"/>
    <row r="12440" s="12" customFormat="1" x14ac:dyDescent="0.25"/>
    <row r="12441" s="12" customFormat="1" x14ac:dyDescent="0.25"/>
    <row r="12442" s="12" customFormat="1" x14ac:dyDescent="0.25"/>
    <row r="12443" s="12" customFormat="1" x14ac:dyDescent="0.25"/>
    <row r="12444" s="12" customFormat="1" x14ac:dyDescent="0.25"/>
    <row r="12445" s="12" customFormat="1" x14ac:dyDescent="0.25"/>
    <row r="12446" s="12" customFormat="1" x14ac:dyDescent="0.25"/>
    <row r="12447" s="12" customFormat="1" x14ac:dyDescent="0.25"/>
    <row r="12448" s="12" customFormat="1" x14ac:dyDescent="0.25"/>
    <row r="12449" s="12" customFormat="1" x14ac:dyDescent="0.25"/>
    <row r="12450" s="12" customFormat="1" x14ac:dyDescent="0.25"/>
    <row r="12451" s="12" customFormat="1" x14ac:dyDescent="0.25"/>
    <row r="12452" s="12" customFormat="1" x14ac:dyDescent="0.25"/>
    <row r="12453" s="12" customFormat="1" x14ac:dyDescent="0.25"/>
    <row r="12454" s="12" customFormat="1" x14ac:dyDescent="0.25"/>
    <row r="12455" s="12" customFormat="1" x14ac:dyDescent="0.25"/>
    <row r="12456" s="12" customFormat="1" x14ac:dyDescent="0.25"/>
    <row r="12457" s="12" customFormat="1" x14ac:dyDescent="0.25"/>
    <row r="12458" s="12" customFormat="1" x14ac:dyDescent="0.25"/>
    <row r="12459" s="12" customFormat="1" x14ac:dyDescent="0.25"/>
    <row r="12460" s="12" customFormat="1" x14ac:dyDescent="0.25"/>
    <row r="12461" s="12" customFormat="1" x14ac:dyDescent="0.25"/>
    <row r="12462" s="12" customFormat="1" x14ac:dyDescent="0.25"/>
    <row r="12463" s="12" customFormat="1" x14ac:dyDescent="0.25"/>
    <row r="12464" s="12" customFormat="1" x14ac:dyDescent="0.25"/>
    <row r="12465" s="12" customFormat="1" x14ac:dyDescent="0.25"/>
    <row r="12466" s="12" customFormat="1" x14ac:dyDescent="0.25"/>
    <row r="12467" s="12" customFormat="1" x14ac:dyDescent="0.25"/>
    <row r="12468" s="12" customFormat="1" x14ac:dyDescent="0.25"/>
    <row r="12469" s="12" customFormat="1" x14ac:dyDescent="0.25"/>
    <row r="12470" s="12" customFormat="1" x14ac:dyDescent="0.25"/>
    <row r="12471" s="12" customFormat="1" x14ac:dyDescent="0.25"/>
    <row r="12472" s="12" customFormat="1" x14ac:dyDescent="0.25"/>
    <row r="12473" s="12" customFormat="1" x14ac:dyDescent="0.25"/>
    <row r="12474" s="12" customFormat="1" x14ac:dyDescent="0.25"/>
    <row r="12475" s="12" customFormat="1" x14ac:dyDescent="0.25"/>
    <row r="12476" s="12" customFormat="1" x14ac:dyDescent="0.25"/>
    <row r="12477" s="12" customFormat="1" x14ac:dyDescent="0.25"/>
    <row r="12478" s="12" customFormat="1" x14ac:dyDescent="0.25"/>
    <row r="12479" s="12" customFormat="1" x14ac:dyDescent="0.25"/>
    <row r="12480" s="12" customFormat="1" x14ac:dyDescent="0.25"/>
    <row r="12481" s="12" customFormat="1" x14ac:dyDescent="0.25"/>
    <row r="12482" s="12" customFormat="1" x14ac:dyDescent="0.25"/>
    <row r="12483" s="12" customFormat="1" x14ac:dyDescent="0.25"/>
    <row r="12484" s="12" customFormat="1" x14ac:dyDescent="0.25"/>
    <row r="12485" s="12" customFormat="1" x14ac:dyDescent="0.25"/>
    <row r="12486" s="12" customFormat="1" x14ac:dyDescent="0.25"/>
    <row r="12487" s="12" customFormat="1" x14ac:dyDescent="0.25"/>
    <row r="12488" s="12" customFormat="1" x14ac:dyDescent="0.25"/>
    <row r="12489" s="12" customFormat="1" x14ac:dyDescent="0.25"/>
    <row r="12490" s="12" customFormat="1" x14ac:dyDescent="0.25"/>
    <row r="12491" s="12" customFormat="1" x14ac:dyDescent="0.25"/>
    <row r="12492" s="12" customFormat="1" x14ac:dyDescent="0.25"/>
    <row r="12493" s="12" customFormat="1" x14ac:dyDescent="0.25"/>
    <row r="12494" s="12" customFormat="1" x14ac:dyDescent="0.25"/>
    <row r="12495" s="12" customFormat="1" x14ac:dyDescent="0.25"/>
    <row r="12496" s="12" customFormat="1" x14ac:dyDescent="0.25"/>
    <row r="12497" s="12" customFormat="1" x14ac:dyDescent="0.25"/>
    <row r="12498" s="12" customFormat="1" x14ac:dyDescent="0.25"/>
    <row r="12499" s="12" customFormat="1" x14ac:dyDescent="0.25"/>
    <row r="12500" s="12" customFormat="1" x14ac:dyDescent="0.25"/>
    <row r="12501" s="12" customFormat="1" x14ac:dyDescent="0.25"/>
    <row r="12502" s="12" customFormat="1" x14ac:dyDescent="0.25"/>
    <row r="12503" s="12" customFormat="1" x14ac:dyDescent="0.25"/>
    <row r="12504" s="12" customFormat="1" x14ac:dyDescent="0.25"/>
    <row r="12505" s="12" customFormat="1" x14ac:dyDescent="0.25"/>
    <row r="12506" s="12" customFormat="1" x14ac:dyDescent="0.25"/>
    <row r="12507" s="12" customFormat="1" x14ac:dyDescent="0.25"/>
    <row r="12508" s="12" customFormat="1" x14ac:dyDescent="0.25"/>
    <row r="12509" s="12" customFormat="1" x14ac:dyDescent="0.25"/>
    <row r="12510" s="12" customFormat="1" x14ac:dyDescent="0.25"/>
    <row r="12511" s="12" customFormat="1" x14ac:dyDescent="0.25"/>
    <row r="12512" s="12" customFormat="1" x14ac:dyDescent="0.25"/>
    <row r="12513" s="12" customFormat="1" x14ac:dyDescent="0.25"/>
    <row r="12514" s="12" customFormat="1" x14ac:dyDescent="0.25"/>
    <row r="12515" s="12" customFormat="1" x14ac:dyDescent="0.25"/>
    <row r="12516" s="12" customFormat="1" x14ac:dyDescent="0.25"/>
    <row r="12517" s="12" customFormat="1" x14ac:dyDescent="0.25"/>
    <row r="12518" s="12" customFormat="1" x14ac:dyDescent="0.25"/>
    <row r="12519" s="12" customFormat="1" x14ac:dyDescent="0.25"/>
    <row r="12520" s="12" customFormat="1" x14ac:dyDescent="0.25"/>
    <row r="12521" s="12" customFormat="1" x14ac:dyDescent="0.25"/>
    <row r="12522" s="12" customFormat="1" x14ac:dyDescent="0.25"/>
    <row r="12523" s="12" customFormat="1" x14ac:dyDescent="0.25"/>
    <row r="12524" s="12" customFormat="1" x14ac:dyDescent="0.25"/>
    <row r="12525" s="12" customFormat="1" x14ac:dyDescent="0.25"/>
    <row r="12526" s="12" customFormat="1" x14ac:dyDescent="0.25"/>
    <row r="12527" s="12" customFormat="1" x14ac:dyDescent="0.25"/>
    <row r="12528" s="12" customFormat="1" x14ac:dyDescent="0.25"/>
    <row r="12529" s="12" customFormat="1" x14ac:dyDescent="0.25"/>
    <row r="12530" s="12" customFormat="1" x14ac:dyDescent="0.25"/>
    <row r="12531" s="12" customFormat="1" x14ac:dyDescent="0.25"/>
    <row r="12532" s="12" customFormat="1" x14ac:dyDescent="0.25"/>
    <row r="12533" s="12" customFormat="1" x14ac:dyDescent="0.25"/>
    <row r="12534" s="12" customFormat="1" x14ac:dyDescent="0.25"/>
    <row r="12535" s="12" customFormat="1" x14ac:dyDescent="0.25"/>
    <row r="12536" s="12" customFormat="1" x14ac:dyDescent="0.25"/>
    <row r="12537" s="12" customFormat="1" x14ac:dyDescent="0.25"/>
    <row r="12538" s="12" customFormat="1" x14ac:dyDescent="0.25"/>
    <row r="12539" s="12" customFormat="1" x14ac:dyDescent="0.25"/>
    <row r="12540" s="12" customFormat="1" x14ac:dyDescent="0.25"/>
    <row r="12541" s="12" customFormat="1" x14ac:dyDescent="0.25"/>
    <row r="12542" s="12" customFormat="1" x14ac:dyDescent="0.25"/>
    <row r="12543" s="12" customFormat="1" x14ac:dyDescent="0.25"/>
    <row r="12544" s="12" customFormat="1" x14ac:dyDescent="0.25"/>
    <row r="12545" s="12" customFormat="1" x14ac:dyDescent="0.25"/>
    <row r="12546" s="12" customFormat="1" x14ac:dyDescent="0.25"/>
    <row r="12547" s="12" customFormat="1" x14ac:dyDescent="0.25"/>
    <row r="12548" s="12" customFormat="1" x14ac:dyDescent="0.25"/>
    <row r="12549" s="12" customFormat="1" x14ac:dyDescent="0.25"/>
    <row r="12550" s="12" customFormat="1" x14ac:dyDescent="0.25"/>
    <row r="12551" s="12" customFormat="1" x14ac:dyDescent="0.25"/>
    <row r="12552" s="12" customFormat="1" x14ac:dyDescent="0.25"/>
    <row r="12553" s="12" customFormat="1" x14ac:dyDescent="0.25"/>
    <row r="12554" s="12" customFormat="1" x14ac:dyDescent="0.25"/>
    <row r="12555" s="12" customFormat="1" x14ac:dyDescent="0.25"/>
    <row r="12556" s="12" customFormat="1" x14ac:dyDescent="0.25"/>
    <row r="12557" s="12" customFormat="1" x14ac:dyDescent="0.25"/>
    <row r="12558" s="12" customFormat="1" x14ac:dyDescent="0.25"/>
    <row r="12559" s="12" customFormat="1" x14ac:dyDescent="0.25"/>
    <row r="12560" s="12" customFormat="1" x14ac:dyDescent="0.25"/>
    <row r="12561" s="12" customFormat="1" x14ac:dyDescent="0.25"/>
    <row r="12562" s="12" customFormat="1" x14ac:dyDescent="0.25"/>
    <row r="12563" s="12" customFormat="1" x14ac:dyDescent="0.25"/>
    <row r="12564" s="12" customFormat="1" x14ac:dyDescent="0.25"/>
    <row r="12565" s="12" customFormat="1" x14ac:dyDescent="0.25"/>
    <row r="12566" s="12" customFormat="1" x14ac:dyDescent="0.25"/>
    <row r="12567" s="12" customFormat="1" x14ac:dyDescent="0.25"/>
    <row r="12568" s="12" customFormat="1" x14ac:dyDescent="0.25"/>
    <row r="12569" s="12" customFormat="1" x14ac:dyDescent="0.25"/>
    <row r="12570" s="12" customFormat="1" x14ac:dyDescent="0.25"/>
    <row r="12571" s="12" customFormat="1" x14ac:dyDescent="0.25"/>
    <row r="12572" s="12" customFormat="1" x14ac:dyDescent="0.25"/>
    <row r="12573" s="12" customFormat="1" x14ac:dyDescent="0.25"/>
    <row r="12574" s="12" customFormat="1" x14ac:dyDescent="0.25"/>
    <row r="12575" s="12" customFormat="1" x14ac:dyDescent="0.25"/>
    <row r="12576" s="12" customFormat="1" x14ac:dyDescent="0.25"/>
    <row r="12577" s="12" customFormat="1" x14ac:dyDescent="0.25"/>
    <row r="12578" s="12" customFormat="1" x14ac:dyDescent="0.25"/>
    <row r="12579" s="12" customFormat="1" x14ac:dyDescent="0.25"/>
    <row r="12580" s="12" customFormat="1" x14ac:dyDescent="0.25"/>
    <row r="12581" s="12" customFormat="1" x14ac:dyDescent="0.25"/>
    <row r="12582" s="12" customFormat="1" x14ac:dyDescent="0.25"/>
    <row r="12583" s="12" customFormat="1" x14ac:dyDescent="0.25"/>
    <row r="12584" s="12" customFormat="1" x14ac:dyDescent="0.25"/>
    <row r="12585" s="12" customFormat="1" x14ac:dyDescent="0.25"/>
    <row r="12586" s="12" customFormat="1" x14ac:dyDescent="0.25"/>
    <row r="12587" s="12" customFormat="1" x14ac:dyDescent="0.25"/>
    <row r="12588" s="12" customFormat="1" x14ac:dyDescent="0.25"/>
    <row r="12589" s="12" customFormat="1" x14ac:dyDescent="0.25"/>
    <row r="12590" s="12" customFormat="1" x14ac:dyDescent="0.25"/>
    <row r="12591" s="12" customFormat="1" x14ac:dyDescent="0.25"/>
    <row r="12592" s="12" customFormat="1" x14ac:dyDescent="0.25"/>
    <row r="12593" s="12" customFormat="1" x14ac:dyDescent="0.25"/>
    <row r="12594" s="12" customFormat="1" x14ac:dyDescent="0.25"/>
    <row r="12595" s="12" customFormat="1" x14ac:dyDescent="0.25"/>
    <row r="12596" s="12" customFormat="1" x14ac:dyDescent="0.25"/>
    <row r="12597" s="12" customFormat="1" x14ac:dyDescent="0.25"/>
    <row r="12598" s="12" customFormat="1" x14ac:dyDescent="0.25"/>
    <row r="12599" s="12" customFormat="1" x14ac:dyDescent="0.25"/>
    <row r="12600" s="12" customFormat="1" x14ac:dyDescent="0.25"/>
    <row r="12601" s="12" customFormat="1" x14ac:dyDescent="0.25"/>
    <row r="12602" s="12" customFormat="1" x14ac:dyDescent="0.25"/>
    <row r="12603" s="12" customFormat="1" x14ac:dyDescent="0.25"/>
    <row r="12604" s="12" customFormat="1" x14ac:dyDescent="0.25"/>
    <row r="12605" s="12" customFormat="1" x14ac:dyDescent="0.25"/>
    <row r="12606" s="12" customFormat="1" x14ac:dyDescent="0.25"/>
    <row r="12607" s="12" customFormat="1" x14ac:dyDescent="0.25"/>
    <row r="12608" s="12" customFormat="1" x14ac:dyDescent="0.25"/>
    <row r="12609" s="12" customFormat="1" x14ac:dyDescent="0.25"/>
    <row r="12610" s="12" customFormat="1" x14ac:dyDescent="0.25"/>
    <row r="12611" s="12" customFormat="1" x14ac:dyDescent="0.25"/>
    <row r="12612" s="12" customFormat="1" x14ac:dyDescent="0.25"/>
    <row r="12613" s="12" customFormat="1" x14ac:dyDescent="0.25"/>
    <row r="12614" s="12" customFormat="1" x14ac:dyDescent="0.25"/>
    <row r="12615" s="12" customFormat="1" x14ac:dyDescent="0.25"/>
    <row r="12616" s="12" customFormat="1" x14ac:dyDescent="0.25"/>
    <row r="12617" s="12" customFormat="1" x14ac:dyDescent="0.25"/>
    <row r="12618" s="12" customFormat="1" x14ac:dyDescent="0.25"/>
    <row r="12619" s="12" customFormat="1" x14ac:dyDescent="0.25"/>
    <row r="12620" s="12" customFormat="1" x14ac:dyDescent="0.25"/>
    <row r="12621" s="12" customFormat="1" x14ac:dyDescent="0.25"/>
    <row r="12622" s="12" customFormat="1" x14ac:dyDescent="0.25"/>
    <row r="12623" s="12" customFormat="1" x14ac:dyDescent="0.25"/>
    <row r="12624" s="12" customFormat="1" x14ac:dyDescent="0.25"/>
    <row r="12625" s="12" customFormat="1" x14ac:dyDescent="0.25"/>
    <row r="12626" s="12" customFormat="1" x14ac:dyDescent="0.25"/>
    <row r="12627" s="12" customFormat="1" x14ac:dyDescent="0.25"/>
    <row r="12628" s="12" customFormat="1" x14ac:dyDescent="0.25"/>
    <row r="12629" s="12" customFormat="1" x14ac:dyDescent="0.25"/>
    <row r="12630" s="12" customFormat="1" x14ac:dyDescent="0.25"/>
    <row r="12631" s="12" customFormat="1" x14ac:dyDescent="0.25"/>
    <row r="12632" s="12" customFormat="1" x14ac:dyDescent="0.25"/>
    <row r="12633" s="12" customFormat="1" x14ac:dyDescent="0.25"/>
    <row r="12634" s="12" customFormat="1" x14ac:dyDescent="0.25"/>
    <row r="12635" s="12" customFormat="1" x14ac:dyDescent="0.25"/>
    <row r="12636" s="12" customFormat="1" x14ac:dyDescent="0.25"/>
    <row r="12637" s="12" customFormat="1" x14ac:dyDescent="0.25"/>
    <row r="12638" s="12" customFormat="1" x14ac:dyDescent="0.25"/>
    <row r="12639" s="12" customFormat="1" x14ac:dyDescent="0.25"/>
    <row r="12640" s="12" customFormat="1" x14ac:dyDescent="0.25"/>
    <row r="12641" s="12" customFormat="1" x14ac:dyDescent="0.25"/>
    <row r="12642" s="12" customFormat="1" x14ac:dyDescent="0.25"/>
    <row r="12643" s="12" customFormat="1" x14ac:dyDescent="0.25"/>
    <row r="12644" s="12" customFormat="1" x14ac:dyDescent="0.25"/>
    <row r="12645" s="12" customFormat="1" x14ac:dyDescent="0.25"/>
    <row r="12646" s="12" customFormat="1" x14ac:dyDescent="0.25"/>
    <row r="12647" s="12" customFormat="1" x14ac:dyDescent="0.25"/>
    <row r="12648" s="12" customFormat="1" x14ac:dyDescent="0.25"/>
    <row r="12649" s="12" customFormat="1" x14ac:dyDescent="0.25"/>
    <row r="12650" s="12" customFormat="1" x14ac:dyDescent="0.25"/>
    <row r="12651" s="12" customFormat="1" x14ac:dyDescent="0.25"/>
    <row r="12652" s="12" customFormat="1" x14ac:dyDescent="0.25"/>
    <row r="12653" s="12" customFormat="1" x14ac:dyDescent="0.25"/>
    <row r="12654" s="12" customFormat="1" x14ac:dyDescent="0.25"/>
    <row r="12655" s="12" customFormat="1" x14ac:dyDescent="0.25"/>
    <row r="12656" s="12" customFormat="1" x14ac:dyDescent="0.25"/>
    <row r="12657" s="12" customFormat="1" x14ac:dyDescent="0.25"/>
    <row r="12658" s="12" customFormat="1" x14ac:dyDescent="0.25"/>
    <row r="12659" s="12" customFormat="1" x14ac:dyDescent="0.25"/>
    <row r="12660" s="12" customFormat="1" x14ac:dyDescent="0.25"/>
    <row r="12661" s="12" customFormat="1" x14ac:dyDescent="0.25"/>
    <row r="12662" s="12" customFormat="1" x14ac:dyDescent="0.25"/>
    <row r="12663" s="12" customFormat="1" x14ac:dyDescent="0.25"/>
    <row r="12664" s="12" customFormat="1" x14ac:dyDescent="0.25"/>
    <row r="12665" s="12" customFormat="1" x14ac:dyDescent="0.25"/>
    <row r="12666" s="12" customFormat="1" x14ac:dyDescent="0.25"/>
    <row r="12667" s="12" customFormat="1" x14ac:dyDescent="0.25"/>
    <row r="12668" s="12" customFormat="1" x14ac:dyDescent="0.25"/>
    <row r="12669" s="12" customFormat="1" x14ac:dyDescent="0.25"/>
    <row r="12670" s="12" customFormat="1" x14ac:dyDescent="0.25"/>
    <row r="12671" s="12" customFormat="1" x14ac:dyDescent="0.25"/>
    <row r="12672" s="12" customFormat="1" x14ac:dyDescent="0.25"/>
    <row r="12673" s="12" customFormat="1" x14ac:dyDescent="0.25"/>
    <row r="12674" s="12" customFormat="1" x14ac:dyDescent="0.25"/>
    <row r="12675" s="12" customFormat="1" x14ac:dyDescent="0.25"/>
    <row r="12676" s="12" customFormat="1" x14ac:dyDescent="0.25"/>
    <row r="12677" s="12" customFormat="1" x14ac:dyDescent="0.25"/>
    <row r="12678" s="12" customFormat="1" x14ac:dyDescent="0.25"/>
    <row r="12679" s="12" customFormat="1" x14ac:dyDescent="0.25"/>
    <row r="12680" s="12" customFormat="1" x14ac:dyDescent="0.25"/>
    <row r="12681" s="12" customFormat="1" x14ac:dyDescent="0.25"/>
    <row r="12682" s="12" customFormat="1" x14ac:dyDescent="0.25"/>
    <row r="12683" s="12" customFormat="1" x14ac:dyDescent="0.25"/>
    <row r="12684" s="12" customFormat="1" x14ac:dyDescent="0.25"/>
    <row r="12685" s="12" customFormat="1" x14ac:dyDescent="0.25"/>
    <row r="12686" s="12" customFormat="1" x14ac:dyDescent="0.25"/>
    <row r="12687" s="12" customFormat="1" x14ac:dyDescent="0.25"/>
    <row r="12688" s="12" customFormat="1" x14ac:dyDescent="0.25"/>
    <row r="12689" s="12" customFormat="1" x14ac:dyDescent="0.25"/>
    <row r="12690" s="12" customFormat="1" x14ac:dyDescent="0.25"/>
    <row r="12691" s="12" customFormat="1" x14ac:dyDescent="0.25"/>
    <row r="12692" s="12" customFormat="1" x14ac:dyDescent="0.25"/>
    <row r="12693" s="12" customFormat="1" x14ac:dyDescent="0.25"/>
    <row r="12694" s="12" customFormat="1" x14ac:dyDescent="0.25"/>
    <row r="12695" s="12" customFormat="1" x14ac:dyDescent="0.25"/>
    <row r="12696" s="12" customFormat="1" x14ac:dyDescent="0.25"/>
    <row r="12697" s="12" customFormat="1" x14ac:dyDescent="0.25"/>
    <row r="12698" s="12" customFormat="1" x14ac:dyDescent="0.25"/>
    <row r="12699" s="12" customFormat="1" x14ac:dyDescent="0.25"/>
    <row r="12700" s="12" customFormat="1" x14ac:dyDescent="0.25"/>
    <row r="12701" s="12" customFormat="1" x14ac:dyDescent="0.25"/>
    <row r="12702" s="12" customFormat="1" x14ac:dyDescent="0.25"/>
    <row r="12703" s="12" customFormat="1" x14ac:dyDescent="0.25"/>
    <row r="12704" s="12" customFormat="1" x14ac:dyDescent="0.25"/>
    <row r="12705" s="12" customFormat="1" x14ac:dyDescent="0.25"/>
    <row r="12706" s="12" customFormat="1" x14ac:dyDescent="0.25"/>
    <row r="12707" s="12" customFormat="1" x14ac:dyDescent="0.25"/>
    <row r="12708" s="12" customFormat="1" x14ac:dyDescent="0.25"/>
    <row r="12709" s="12" customFormat="1" x14ac:dyDescent="0.25"/>
    <row r="12710" s="12" customFormat="1" x14ac:dyDescent="0.25"/>
    <row r="12711" s="12" customFormat="1" x14ac:dyDescent="0.25"/>
    <row r="12712" s="12" customFormat="1" x14ac:dyDescent="0.25"/>
    <row r="12713" s="12" customFormat="1" x14ac:dyDescent="0.25"/>
    <row r="12714" s="12" customFormat="1" x14ac:dyDescent="0.25"/>
    <row r="12715" s="12" customFormat="1" x14ac:dyDescent="0.25"/>
    <row r="12716" s="12" customFormat="1" x14ac:dyDescent="0.25"/>
    <row r="12717" s="12" customFormat="1" x14ac:dyDescent="0.25"/>
    <row r="12718" s="12" customFormat="1" x14ac:dyDescent="0.25"/>
    <row r="12719" s="12" customFormat="1" x14ac:dyDescent="0.25"/>
    <row r="12720" s="12" customFormat="1" x14ac:dyDescent="0.25"/>
    <row r="12721" s="12" customFormat="1" x14ac:dyDescent="0.25"/>
    <row r="12722" s="12" customFormat="1" x14ac:dyDescent="0.25"/>
    <row r="12723" s="12" customFormat="1" x14ac:dyDescent="0.25"/>
    <row r="12724" s="12" customFormat="1" x14ac:dyDescent="0.25"/>
    <row r="12725" s="12" customFormat="1" x14ac:dyDescent="0.25"/>
    <row r="12726" s="12" customFormat="1" x14ac:dyDescent="0.25"/>
    <row r="12727" s="12" customFormat="1" x14ac:dyDescent="0.25"/>
    <row r="12728" s="12" customFormat="1" x14ac:dyDescent="0.25"/>
    <row r="12729" s="12" customFormat="1" x14ac:dyDescent="0.25"/>
    <row r="12730" s="12" customFormat="1" x14ac:dyDescent="0.25"/>
    <row r="12731" s="12" customFormat="1" x14ac:dyDescent="0.25"/>
    <row r="12732" s="12" customFormat="1" x14ac:dyDescent="0.25"/>
    <row r="12733" s="12" customFormat="1" x14ac:dyDescent="0.25"/>
    <row r="12734" s="12" customFormat="1" x14ac:dyDescent="0.25"/>
    <row r="12735" s="12" customFormat="1" x14ac:dyDescent="0.25"/>
    <row r="12736" s="12" customFormat="1" x14ac:dyDescent="0.25"/>
    <row r="12737" s="12" customFormat="1" x14ac:dyDescent="0.25"/>
    <row r="12738" s="12" customFormat="1" x14ac:dyDescent="0.25"/>
    <row r="12739" s="12" customFormat="1" x14ac:dyDescent="0.25"/>
    <row r="12740" s="12" customFormat="1" x14ac:dyDescent="0.25"/>
    <row r="12741" s="12" customFormat="1" x14ac:dyDescent="0.25"/>
    <row r="12742" s="12" customFormat="1" x14ac:dyDescent="0.25"/>
    <row r="12743" s="12" customFormat="1" x14ac:dyDescent="0.25"/>
    <row r="12744" s="12" customFormat="1" x14ac:dyDescent="0.25"/>
    <row r="12745" s="12" customFormat="1" x14ac:dyDescent="0.25"/>
    <row r="12746" s="12" customFormat="1" x14ac:dyDescent="0.25"/>
    <row r="12747" s="12" customFormat="1" x14ac:dyDescent="0.25"/>
    <row r="12748" s="12" customFormat="1" x14ac:dyDescent="0.25"/>
    <row r="12749" s="12" customFormat="1" x14ac:dyDescent="0.25"/>
    <row r="12750" s="12" customFormat="1" x14ac:dyDescent="0.25"/>
    <row r="12751" s="12" customFormat="1" x14ac:dyDescent="0.25"/>
    <row r="12752" s="12" customFormat="1" x14ac:dyDescent="0.25"/>
    <row r="12753" s="12" customFormat="1" x14ac:dyDescent="0.25"/>
    <row r="12754" s="12" customFormat="1" x14ac:dyDescent="0.25"/>
    <row r="12755" s="12" customFormat="1" x14ac:dyDescent="0.25"/>
    <row r="12756" s="12" customFormat="1" x14ac:dyDescent="0.25"/>
    <row r="12757" s="12" customFormat="1" x14ac:dyDescent="0.25"/>
    <row r="12758" s="12" customFormat="1" x14ac:dyDescent="0.25"/>
    <row r="12759" s="12" customFormat="1" x14ac:dyDescent="0.25"/>
    <row r="12760" s="12" customFormat="1" x14ac:dyDescent="0.25"/>
    <row r="12761" s="12" customFormat="1" x14ac:dyDescent="0.25"/>
    <row r="12762" s="12" customFormat="1" x14ac:dyDescent="0.25"/>
    <row r="12763" s="12" customFormat="1" x14ac:dyDescent="0.25"/>
    <row r="12764" s="12" customFormat="1" x14ac:dyDescent="0.25"/>
    <row r="12765" s="12" customFormat="1" x14ac:dyDescent="0.25"/>
    <row r="12766" s="12" customFormat="1" x14ac:dyDescent="0.25"/>
    <row r="12767" s="12" customFormat="1" x14ac:dyDescent="0.25"/>
    <row r="12768" s="12" customFormat="1" x14ac:dyDescent="0.25"/>
    <row r="12769" s="12" customFormat="1" x14ac:dyDescent="0.25"/>
    <row r="12770" s="12" customFormat="1" x14ac:dyDescent="0.25"/>
    <row r="12771" s="12" customFormat="1" x14ac:dyDescent="0.25"/>
    <row r="12772" s="12" customFormat="1" x14ac:dyDescent="0.25"/>
    <row r="12773" s="12" customFormat="1" x14ac:dyDescent="0.25"/>
    <row r="12774" s="12" customFormat="1" x14ac:dyDescent="0.25"/>
    <row r="12775" s="12" customFormat="1" x14ac:dyDescent="0.25"/>
    <row r="12776" s="12" customFormat="1" x14ac:dyDescent="0.25"/>
    <row r="12777" s="12" customFormat="1" x14ac:dyDescent="0.25"/>
    <row r="12778" s="12" customFormat="1" x14ac:dyDescent="0.25"/>
    <row r="12779" s="12" customFormat="1" x14ac:dyDescent="0.25"/>
    <row r="12780" s="12" customFormat="1" x14ac:dyDescent="0.25"/>
    <row r="12781" s="12" customFormat="1" x14ac:dyDescent="0.25"/>
    <row r="12782" s="12" customFormat="1" x14ac:dyDescent="0.25"/>
    <row r="12783" s="12" customFormat="1" x14ac:dyDescent="0.25"/>
    <row r="12784" s="12" customFormat="1" x14ac:dyDescent="0.25"/>
    <row r="12785" s="12" customFormat="1" x14ac:dyDescent="0.25"/>
    <row r="12786" s="12" customFormat="1" x14ac:dyDescent="0.25"/>
    <row r="12787" s="12" customFormat="1" x14ac:dyDescent="0.25"/>
    <row r="12788" s="12" customFormat="1" x14ac:dyDescent="0.25"/>
    <row r="12789" s="12" customFormat="1" x14ac:dyDescent="0.25"/>
    <row r="12790" s="12" customFormat="1" x14ac:dyDescent="0.25"/>
    <row r="12791" s="12" customFormat="1" x14ac:dyDescent="0.25"/>
    <row r="12792" s="12" customFormat="1" x14ac:dyDescent="0.25"/>
    <row r="12793" s="12" customFormat="1" x14ac:dyDescent="0.25"/>
    <row r="12794" s="12" customFormat="1" x14ac:dyDescent="0.25"/>
    <row r="12795" s="12" customFormat="1" x14ac:dyDescent="0.25"/>
    <row r="12796" s="12" customFormat="1" x14ac:dyDescent="0.25"/>
    <row r="12797" s="12" customFormat="1" x14ac:dyDescent="0.25"/>
    <row r="12798" s="12" customFormat="1" x14ac:dyDescent="0.25"/>
    <row r="12799" s="12" customFormat="1" x14ac:dyDescent="0.25"/>
    <row r="12800" s="12" customFormat="1" x14ac:dyDescent="0.25"/>
    <row r="12801" s="12" customFormat="1" x14ac:dyDescent="0.25"/>
    <row r="12802" s="12" customFormat="1" x14ac:dyDescent="0.25"/>
    <row r="12803" s="12" customFormat="1" x14ac:dyDescent="0.25"/>
    <row r="12804" s="12" customFormat="1" x14ac:dyDescent="0.25"/>
    <row r="12805" s="12" customFormat="1" x14ac:dyDescent="0.25"/>
    <row r="12806" s="12" customFormat="1" x14ac:dyDescent="0.25"/>
    <row r="12807" s="12" customFormat="1" x14ac:dyDescent="0.25"/>
    <row r="12808" s="12" customFormat="1" x14ac:dyDescent="0.25"/>
    <row r="12809" s="12" customFormat="1" x14ac:dyDescent="0.25"/>
    <row r="12810" s="12" customFormat="1" x14ac:dyDescent="0.25"/>
    <row r="12811" s="12" customFormat="1" x14ac:dyDescent="0.25"/>
    <row r="12812" s="12" customFormat="1" x14ac:dyDescent="0.25"/>
    <row r="12813" s="12" customFormat="1" x14ac:dyDescent="0.25"/>
    <row r="12814" s="12" customFormat="1" x14ac:dyDescent="0.25"/>
    <row r="12815" s="12" customFormat="1" x14ac:dyDescent="0.25"/>
    <row r="12816" s="12" customFormat="1" x14ac:dyDescent="0.25"/>
    <row r="12817" s="12" customFormat="1" x14ac:dyDescent="0.25"/>
    <row r="12818" s="12" customFormat="1" x14ac:dyDescent="0.25"/>
    <row r="12819" s="12" customFormat="1" x14ac:dyDescent="0.25"/>
    <row r="12820" s="12" customFormat="1" x14ac:dyDescent="0.25"/>
    <row r="12821" s="12" customFormat="1" x14ac:dyDescent="0.25"/>
    <row r="12822" s="12" customFormat="1" x14ac:dyDescent="0.25"/>
    <row r="12823" s="12" customFormat="1" x14ac:dyDescent="0.25"/>
    <row r="12824" s="12" customFormat="1" x14ac:dyDescent="0.25"/>
    <row r="12825" s="12" customFormat="1" x14ac:dyDescent="0.25"/>
    <row r="12826" s="12" customFormat="1" x14ac:dyDescent="0.25"/>
    <row r="12827" s="12" customFormat="1" x14ac:dyDescent="0.25"/>
    <row r="12828" s="12" customFormat="1" x14ac:dyDescent="0.25"/>
    <row r="12829" s="12" customFormat="1" x14ac:dyDescent="0.25"/>
    <row r="12830" s="12" customFormat="1" x14ac:dyDescent="0.25"/>
    <row r="12831" s="12" customFormat="1" x14ac:dyDescent="0.25"/>
    <row r="12832" s="12" customFormat="1" x14ac:dyDescent="0.25"/>
    <row r="12833" s="12" customFormat="1" x14ac:dyDescent="0.25"/>
    <row r="12834" s="12" customFormat="1" x14ac:dyDescent="0.25"/>
    <row r="12835" s="12" customFormat="1" x14ac:dyDescent="0.25"/>
    <row r="12836" s="12" customFormat="1" x14ac:dyDescent="0.25"/>
    <row r="12837" s="12" customFormat="1" x14ac:dyDescent="0.25"/>
    <row r="12838" s="12" customFormat="1" x14ac:dyDescent="0.25"/>
    <row r="12839" s="12" customFormat="1" x14ac:dyDescent="0.25"/>
    <row r="12840" s="12" customFormat="1" x14ac:dyDescent="0.25"/>
    <row r="12841" s="12" customFormat="1" x14ac:dyDescent="0.25"/>
    <row r="12842" s="12" customFormat="1" x14ac:dyDescent="0.25"/>
    <row r="12843" s="12" customFormat="1" x14ac:dyDescent="0.25"/>
    <row r="12844" s="12" customFormat="1" x14ac:dyDescent="0.25"/>
    <row r="12845" s="12" customFormat="1" x14ac:dyDescent="0.25"/>
    <row r="12846" s="12" customFormat="1" x14ac:dyDescent="0.25"/>
    <row r="12847" s="12" customFormat="1" x14ac:dyDescent="0.25"/>
    <row r="12848" s="12" customFormat="1" x14ac:dyDescent="0.25"/>
    <row r="12849" s="12" customFormat="1" x14ac:dyDescent="0.25"/>
    <row r="12850" s="12" customFormat="1" x14ac:dyDescent="0.25"/>
    <row r="12851" s="12" customFormat="1" x14ac:dyDescent="0.25"/>
    <row r="12852" s="12" customFormat="1" x14ac:dyDescent="0.25"/>
    <row r="12853" s="12" customFormat="1" x14ac:dyDescent="0.25"/>
    <row r="12854" s="12" customFormat="1" x14ac:dyDescent="0.25"/>
    <row r="12855" s="12" customFormat="1" x14ac:dyDescent="0.25"/>
    <row r="12856" s="12" customFormat="1" x14ac:dyDescent="0.25"/>
    <row r="12857" s="12" customFormat="1" x14ac:dyDescent="0.25"/>
    <row r="12858" s="12" customFormat="1" x14ac:dyDescent="0.25"/>
    <row r="12859" s="12" customFormat="1" x14ac:dyDescent="0.25"/>
    <row r="12860" s="12" customFormat="1" x14ac:dyDescent="0.25"/>
    <row r="12861" s="12" customFormat="1" x14ac:dyDescent="0.25"/>
    <row r="12862" s="12" customFormat="1" x14ac:dyDescent="0.25"/>
    <row r="12863" s="12" customFormat="1" x14ac:dyDescent="0.25"/>
    <row r="12864" s="12" customFormat="1" x14ac:dyDescent="0.25"/>
    <row r="12865" s="12" customFormat="1" x14ac:dyDescent="0.25"/>
    <row r="12866" s="12" customFormat="1" x14ac:dyDescent="0.25"/>
    <row r="12867" s="12" customFormat="1" x14ac:dyDescent="0.25"/>
    <row r="12868" s="12" customFormat="1" x14ac:dyDescent="0.25"/>
    <row r="12869" s="12" customFormat="1" x14ac:dyDescent="0.25"/>
    <row r="12870" s="12" customFormat="1" x14ac:dyDescent="0.25"/>
    <row r="12871" s="12" customFormat="1" x14ac:dyDescent="0.25"/>
    <row r="12872" s="12" customFormat="1" x14ac:dyDescent="0.25"/>
    <row r="12873" s="12" customFormat="1" x14ac:dyDescent="0.25"/>
    <row r="12874" s="12" customFormat="1" x14ac:dyDescent="0.25"/>
    <row r="12875" s="12" customFormat="1" x14ac:dyDescent="0.25"/>
    <row r="12876" s="12" customFormat="1" x14ac:dyDescent="0.25"/>
    <row r="12877" s="12" customFormat="1" x14ac:dyDescent="0.25"/>
    <row r="12878" s="12" customFormat="1" x14ac:dyDescent="0.25"/>
    <row r="12879" s="12" customFormat="1" x14ac:dyDescent="0.25"/>
    <row r="12880" s="12" customFormat="1" x14ac:dyDescent="0.25"/>
    <row r="12881" s="12" customFormat="1" x14ac:dyDescent="0.25"/>
    <row r="12882" s="12" customFormat="1" x14ac:dyDescent="0.25"/>
    <row r="12883" s="12" customFormat="1" x14ac:dyDescent="0.25"/>
    <row r="12884" s="12" customFormat="1" x14ac:dyDescent="0.25"/>
    <row r="12885" s="12" customFormat="1" x14ac:dyDescent="0.25"/>
    <row r="12886" s="12" customFormat="1" x14ac:dyDescent="0.25"/>
    <row r="12887" s="12" customFormat="1" x14ac:dyDescent="0.25"/>
    <row r="12888" s="12" customFormat="1" x14ac:dyDescent="0.25"/>
    <row r="12889" s="12" customFormat="1" x14ac:dyDescent="0.25"/>
    <row r="12890" s="12" customFormat="1" x14ac:dyDescent="0.25"/>
    <row r="12891" s="12" customFormat="1" x14ac:dyDescent="0.25"/>
    <row r="12892" s="12" customFormat="1" x14ac:dyDescent="0.25"/>
    <row r="12893" s="12" customFormat="1" x14ac:dyDescent="0.25"/>
    <row r="12894" s="12" customFormat="1" x14ac:dyDescent="0.25"/>
    <row r="12895" s="12" customFormat="1" x14ac:dyDescent="0.25"/>
    <row r="12896" s="12" customFormat="1" x14ac:dyDescent="0.25"/>
    <row r="12897" s="12" customFormat="1" x14ac:dyDescent="0.25"/>
    <row r="12898" s="12" customFormat="1" x14ac:dyDescent="0.25"/>
    <row r="12899" s="12" customFormat="1" x14ac:dyDescent="0.25"/>
    <row r="12900" s="12" customFormat="1" x14ac:dyDescent="0.25"/>
    <row r="12901" s="12" customFormat="1" x14ac:dyDescent="0.25"/>
    <row r="12902" s="12" customFormat="1" x14ac:dyDescent="0.25"/>
    <row r="12903" s="12" customFormat="1" x14ac:dyDescent="0.25"/>
    <row r="12904" s="12" customFormat="1" x14ac:dyDescent="0.25"/>
    <row r="12905" s="12" customFormat="1" x14ac:dyDescent="0.25"/>
    <row r="12906" s="12" customFormat="1" x14ac:dyDescent="0.25"/>
    <row r="12907" s="12" customFormat="1" x14ac:dyDescent="0.25"/>
    <row r="12908" s="12" customFormat="1" x14ac:dyDescent="0.25"/>
    <row r="12909" s="12" customFormat="1" x14ac:dyDescent="0.25"/>
    <row r="12910" s="12" customFormat="1" x14ac:dyDescent="0.25"/>
    <row r="12911" s="12" customFormat="1" x14ac:dyDescent="0.25"/>
    <row r="12912" s="12" customFormat="1" x14ac:dyDescent="0.25"/>
    <row r="12913" s="12" customFormat="1" x14ac:dyDescent="0.25"/>
    <row r="12914" s="12" customFormat="1" x14ac:dyDescent="0.25"/>
    <row r="12915" s="12" customFormat="1" x14ac:dyDescent="0.25"/>
    <row r="12916" s="12" customFormat="1" x14ac:dyDescent="0.25"/>
    <row r="12917" s="12" customFormat="1" x14ac:dyDescent="0.25"/>
    <row r="12918" s="12" customFormat="1" x14ac:dyDescent="0.25"/>
    <row r="12919" s="12" customFormat="1" x14ac:dyDescent="0.25"/>
    <row r="12920" s="12" customFormat="1" x14ac:dyDescent="0.25"/>
    <row r="12921" s="12" customFormat="1" x14ac:dyDescent="0.25"/>
    <row r="12922" s="12" customFormat="1" x14ac:dyDescent="0.25"/>
    <row r="12923" s="12" customFormat="1" x14ac:dyDescent="0.25"/>
    <row r="12924" s="12" customFormat="1" x14ac:dyDescent="0.25"/>
    <row r="12925" s="12" customFormat="1" x14ac:dyDescent="0.25"/>
    <row r="12926" s="12" customFormat="1" x14ac:dyDescent="0.25"/>
    <row r="12927" s="12" customFormat="1" x14ac:dyDescent="0.25"/>
    <row r="12928" s="12" customFormat="1" x14ac:dyDescent="0.25"/>
    <row r="12929" s="12" customFormat="1" x14ac:dyDescent="0.25"/>
    <row r="12930" s="12" customFormat="1" x14ac:dyDescent="0.25"/>
    <row r="12931" s="12" customFormat="1" x14ac:dyDescent="0.25"/>
    <row r="12932" s="12" customFormat="1" x14ac:dyDescent="0.25"/>
    <row r="12933" s="12" customFormat="1" x14ac:dyDescent="0.25"/>
    <row r="12934" s="12" customFormat="1" x14ac:dyDescent="0.25"/>
    <row r="12935" s="12" customFormat="1" x14ac:dyDescent="0.25"/>
    <row r="12936" s="12" customFormat="1" x14ac:dyDescent="0.25"/>
    <row r="12937" s="12" customFormat="1" x14ac:dyDescent="0.25"/>
    <row r="12938" s="12" customFormat="1" x14ac:dyDescent="0.25"/>
    <row r="12939" s="12" customFormat="1" x14ac:dyDescent="0.25"/>
    <row r="12940" s="12" customFormat="1" x14ac:dyDescent="0.25"/>
    <row r="12941" s="12" customFormat="1" x14ac:dyDescent="0.25"/>
    <row r="12942" s="12" customFormat="1" x14ac:dyDescent="0.25"/>
    <row r="12943" s="12" customFormat="1" x14ac:dyDescent="0.25"/>
    <row r="12944" s="12" customFormat="1" x14ac:dyDescent="0.25"/>
    <row r="12945" s="12" customFormat="1" x14ac:dyDescent="0.25"/>
    <row r="12946" s="12" customFormat="1" x14ac:dyDescent="0.25"/>
    <row r="12947" s="12" customFormat="1" x14ac:dyDescent="0.25"/>
    <row r="12948" s="12" customFormat="1" x14ac:dyDescent="0.25"/>
    <row r="12949" s="12" customFormat="1" x14ac:dyDescent="0.25"/>
    <row r="12950" s="12" customFormat="1" x14ac:dyDescent="0.25"/>
    <row r="12951" s="12" customFormat="1" x14ac:dyDescent="0.25"/>
    <row r="12952" s="12" customFormat="1" x14ac:dyDescent="0.25"/>
    <row r="12953" s="12" customFormat="1" x14ac:dyDescent="0.25"/>
    <row r="12954" s="12" customFormat="1" x14ac:dyDescent="0.25"/>
    <row r="12955" s="12" customFormat="1" x14ac:dyDescent="0.25"/>
    <row r="12956" s="12" customFormat="1" x14ac:dyDescent="0.25"/>
    <row r="12957" s="12" customFormat="1" x14ac:dyDescent="0.25"/>
    <row r="12958" s="12" customFormat="1" x14ac:dyDescent="0.25"/>
    <row r="12959" s="12" customFormat="1" x14ac:dyDescent="0.25"/>
    <row r="12960" s="12" customFormat="1" x14ac:dyDescent="0.25"/>
    <row r="12961" s="12" customFormat="1" x14ac:dyDescent="0.25"/>
    <row r="12962" s="12" customFormat="1" x14ac:dyDescent="0.25"/>
    <row r="12963" s="12" customFormat="1" x14ac:dyDescent="0.25"/>
    <row r="12964" s="12" customFormat="1" x14ac:dyDescent="0.25"/>
    <row r="12965" s="12" customFormat="1" x14ac:dyDescent="0.25"/>
    <row r="12966" s="12" customFormat="1" x14ac:dyDescent="0.25"/>
    <row r="12967" s="12" customFormat="1" x14ac:dyDescent="0.25"/>
    <row r="12968" s="12" customFormat="1" x14ac:dyDescent="0.25"/>
    <row r="12969" s="12" customFormat="1" x14ac:dyDescent="0.25"/>
    <row r="12970" s="12" customFormat="1" x14ac:dyDescent="0.25"/>
    <row r="12971" s="12" customFormat="1" x14ac:dyDescent="0.25"/>
    <row r="12972" s="12" customFormat="1" x14ac:dyDescent="0.25"/>
    <row r="12973" s="12" customFormat="1" x14ac:dyDescent="0.25"/>
    <row r="12974" s="12" customFormat="1" x14ac:dyDescent="0.25"/>
    <row r="12975" s="12" customFormat="1" x14ac:dyDescent="0.25"/>
    <row r="12976" s="12" customFormat="1" x14ac:dyDescent="0.25"/>
    <row r="12977" s="12" customFormat="1" x14ac:dyDescent="0.25"/>
    <row r="12978" s="12" customFormat="1" x14ac:dyDescent="0.25"/>
    <row r="12979" s="12" customFormat="1" x14ac:dyDescent="0.25"/>
    <row r="12980" s="12" customFormat="1" x14ac:dyDescent="0.25"/>
    <row r="12981" s="12" customFormat="1" x14ac:dyDescent="0.25"/>
    <row r="12982" s="12" customFormat="1" x14ac:dyDescent="0.25"/>
    <row r="12983" s="12" customFormat="1" x14ac:dyDescent="0.25"/>
    <row r="12984" s="12" customFormat="1" x14ac:dyDescent="0.25"/>
    <row r="12985" s="12" customFormat="1" x14ac:dyDescent="0.25"/>
    <row r="12986" s="12" customFormat="1" x14ac:dyDescent="0.25"/>
    <row r="12987" s="12" customFormat="1" x14ac:dyDescent="0.25"/>
    <row r="12988" s="12" customFormat="1" x14ac:dyDescent="0.25"/>
    <row r="12989" s="12" customFormat="1" x14ac:dyDescent="0.25"/>
    <row r="12990" s="12" customFormat="1" x14ac:dyDescent="0.25"/>
    <row r="12991" s="12" customFormat="1" x14ac:dyDescent="0.25"/>
    <row r="12992" s="12" customFormat="1" x14ac:dyDescent="0.25"/>
    <row r="12993" s="12" customFormat="1" x14ac:dyDescent="0.25"/>
    <row r="12994" s="12" customFormat="1" x14ac:dyDescent="0.25"/>
    <row r="12995" s="12" customFormat="1" x14ac:dyDescent="0.25"/>
    <row r="12996" s="12" customFormat="1" x14ac:dyDescent="0.25"/>
    <row r="12997" s="12" customFormat="1" x14ac:dyDescent="0.25"/>
    <row r="12998" s="12" customFormat="1" x14ac:dyDescent="0.25"/>
    <row r="12999" s="12" customFormat="1" x14ac:dyDescent="0.25"/>
    <row r="13000" s="12" customFormat="1" x14ac:dyDescent="0.25"/>
    <row r="13001" s="12" customFormat="1" x14ac:dyDescent="0.25"/>
    <row r="13002" s="12" customFormat="1" x14ac:dyDescent="0.25"/>
    <row r="13003" s="12" customFormat="1" x14ac:dyDescent="0.25"/>
    <row r="13004" s="12" customFormat="1" x14ac:dyDescent="0.25"/>
    <row r="13005" s="12" customFormat="1" x14ac:dyDescent="0.25"/>
    <row r="13006" s="12" customFormat="1" x14ac:dyDescent="0.25"/>
    <row r="13007" s="12" customFormat="1" x14ac:dyDescent="0.25"/>
    <row r="13008" s="12" customFormat="1" x14ac:dyDescent="0.25"/>
    <row r="13009" s="12" customFormat="1" x14ac:dyDescent="0.25"/>
    <row r="13010" s="12" customFormat="1" x14ac:dyDescent="0.25"/>
    <row r="13011" s="12" customFormat="1" x14ac:dyDescent="0.25"/>
    <row r="13012" s="12" customFormat="1" x14ac:dyDescent="0.25"/>
    <row r="13013" s="12" customFormat="1" x14ac:dyDescent="0.25"/>
    <row r="13014" s="12" customFormat="1" x14ac:dyDescent="0.25"/>
    <row r="13015" s="12" customFormat="1" x14ac:dyDescent="0.25"/>
    <row r="13016" s="12" customFormat="1" x14ac:dyDescent="0.25"/>
    <row r="13017" s="12" customFormat="1" x14ac:dyDescent="0.25"/>
    <row r="13018" s="12" customFormat="1" x14ac:dyDescent="0.25"/>
    <row r="13019" s="12" customFormat="1" x14ac:dyDescent="0.25"/>
    <row r="13020" s="12" customFormat="1" x14ac:dyDescent="0.25"/>
    <row r="13021" s="12" customFormat="1" x14ac:dyDescent="0.25"/>
    <row r="13022" s="12" customFormat="1" x14ac:dyDescent="0.25"/>
    <row r="13023" s="12" customFormat="1" x14ac:dyDescent="0.25"/>
    <row r="13024" s="12" customFormat="1" x14ac:dyDescent="0.25"/>
    <row r="13025" s="12" customFormat="1" x14ac:dyDescent="0.25"/>
    <row r="13026" s="12" customFormat="1" x14ac:dyDescent="0.25"/>
    <row r="13027" s="12" customFormat="1" x14ac:dyDescent="0.25"/>
    <row r="13028" s="12" customFormat="1" x14ac:dyDescent="0.25"/>
    <row r="13029" s="12" customFormat="1" x14ac:dyDescent="0.25"/>
    <row r="13030" s="12" customFormat="1" x14ac:dyDescent="0.25"/>
    <row r="13031" s="12" customFormat="1" x14ac:dyDescent="0.25"/>
    <row r="13032" s="12" customFormat="1" x14ac:dyDescent="0.25"/>
    <row r="13033" s="12" customFormat="1" x14ac:dyDescent="0.25"/>
    <row r="13034" s="12" customFormat="1" x14ac:dyDescent="0.25"/>
    <row r="13035" s="12" customFormat="1" x14ac:dyDescent="0.25"/>
    <row r="13036" s="12" customFormat="1" x14ac:dyDescent="0.25"/>
    <row r="13037" s="12" customFormat="1" x14ac:dyDescent="0.25"/>
    <row r="13038" s="12" customFormat="1" x14ac:dyDescent="0.25"/>
    <row r="13039" s="12" customFormat="1" x14ac:dyDescent="0.25"/>
    <row r="13040" s="12" customFormat="1" x14ac:dyDescent="0.25"/>
    <row r="13041" s="12" customFormat="1" x14ac:dyDescent="0.25"/>
    <row r="13042" s="12" customFormat="1" x14ac:dyDescent="0.25"/>
    <row r="13043" s="12" customFormat="1" x14ac:dyDescent="0.25"/>
    <row r="13044" s="12" customFormat="1" x14ac:dyDescent="0.25"/>
    <row r="13045" s="12" customFormat="1" x14ac:dyDescent="0.25"/>
    <row r="13046" s="12" customFormat="1" x14ac:dyDescent="0.25"/>
    <row r="13047" s="12" customFormat="1" x14ac:dyDescent="0.25"/>
    <row r="13048" s="12" customFormat="1" x14ac:dyDescent="0.25"/>
    <row r="13049" s="12" customFormat="1" x14ac:dyDescent="0.25"/>
    <row r="13050" s="12" customFormat="1" x14ac:dyDescent="0.25"/>
    <row r="13051" s="12" customFormat="1" x14ac:dyDescent="0.25"/>
    <row r="13052" s="12" customFormat="1" x14ac:dyDescent="0.25"/>
    <row r="13053" s="12" customFormat="1" x14ac:dyDescent="0.25"/>
    <row r="13054" s="12" customFormat="1" x14ac:dyDescent="0.25"/>
    <row r="13055" s="12" customFormat="1" x14ac:dyDescent="0.25"/>
    <row r="13056" s="12" customFormat="1" x14ac:dyDescent="0.25"/>
    <row r="13057" s="12" customFormat="1" x14ac:dyDescent="0.25"/>
    <row r="13058" s="12" customFormat="1" x14ac:dyDescent="0.25"/>
    <row r="13059" s="12" customFormat="1" x14ac:dyDescent="0.25"/>
    <row r="13060" s="12" customFormat="1" x14ac:dyDescent="0.25"/>
    <row r="13061" s="12" customFormat="1" x14ac:dyDescent="0.25"/>
    <row r="13062" s="12" customFormat="1" x14ac:dyDescent="0.25"/>
    <row r="13063" s="12" customFormat="1" x14ac:dyDescent="0.25"/>
    <row r="13064" s="12" customFormat="1" x14ac:dyDescent="0.25"/>
    <row r="13065" s="12" customFormat="1" x14ac:dyDescent="0.25"/>
    <row r="13066" s="12" customFormat="1" x14ac:dyDescent="0.25"/>
    <row r="13067" s="12" customFormat="1" x14ac:dyDescent="0.25"/>
    <row r="13068" s="12" customFormat="1" x14ac:dyDescent="0.25"/>
    <row r="13069" s="12" customFormat="1" x14ac:dyDescent="0.25"/>
    <row r="13070" s="12" customFormat="1" x14ac:dyDescent="0.25"/>
    <row r="13071" s="12" customFormat="1" x14ac:dyDescent="0.25"/>
    <row r="13072" s="12" customFormat="1" x14ac:dyDescent="0.25"/>
    <row r="13073" s="12" customFormat="1" x14ac:dyDescent="0.25"/>
    <row r="13074" s="12" customFormat="1" x14ac:dyDescent="0.25"/>
    <row r="13075" s="12" customFormat="1" x14ac:dyDescent="0.25"/>
    <row r="13076" s="12" customFormat="1" x14ac:dyDescent="0.25"/>
    <row r="13077" s="12" customFormat="1" x14ac:dyDescent="0.25"/>
    <row r="13078" s="12" customFormat="1" x14ac:dyDescent="0.25"/>
    <row r="13079" s="12" customFormat="1" x14ac:dyDescent="0.25"/>
    <row r="13080" s="12" customFormat="1" x14ac:dyDescent="0.25"/>
    <row r="13081" s="12" customFormat="1" x14ac:dyDescent="0.25"/>
    <row r="13082" s="12" customFormat="1" x14ac:dyDescent="0.25"/>
    <row r="13083" s="12" customFormat="1" x14ac:dyDescent="0.25"/>
    <row r="13084" s="12" customFormat="1" x14ac:dyDescent="0.25"/>
    <row r="13085" s="12" customFormat="1" x14ac:dyDescent="0.25"/>
    <row r="13086" s="12" customFormat="1" x14ac:dyDescent="0.25"/>
    <row r="13087" s="12" customFormat="1" x14ac:dyDescent="0.25"/>
    <row r="13088" s="12" customFormat="1" x14ac:dyDescent="0.25"/>
    <row r="13089" s="12" customFormat="1" x14ac:dyDescent="0.25"/>
    <row r="13090" s="12" customFormat="1" x14ac:dyDescent="0.25"/>
    <row r="13091" s="12" customFormat="1" x14ac:dyDescent="0.25"/>
    <row r="13092" s="12" customFormat="1" x14ac:dyDescent="0.25"/>
    <row r="13093" s="12" customFormat="1" x14ac:dyDescent="0.25"/>
    <row r="13094" s="12" customFormat="1" x14ac:dyDescent="0.25"/>
    <row r="13095" s="12" customFormat="1" x14ac:dyDescent="0.25"/>
    <row r="13096" s="12" customFormat="1" x14ac:dyDescent="0.25"/>
    <row r="13097" s="12" customFormat="1" x14ac:dyDescent="0.25"/>
    <row r="13098" s="12" customFormat="1" x14ac:dyDescent="0.25"/>
    <row r="13099" s="12" customFormat="1" x14ac:dyDescent="0.25"/>
    <row r="13100" s="12" customFormat="1" x14ac:dyDescent="0.25"/>
    <row r="13101" s="12" customFormat="1" x14ac:dyDescent="0.25"/>
    <row r="13102" s="12" customFormat="1" x14ac:dyDescent="0.25"/>
    <row r="13103" s="12" customFormat="1" x14ac:dyDescent="0.25"/>
    <row r="13104" s="12" customFormat="1" x14ac:dyDescent="0.25"/>
    <row r="13105" s="12" customFormat="1" x14ac:dyDescent="0.25"/>
    <row r="13106" s="12" customFormat="1" x14ac:dyDescent="0.25"/>
    <row r="13107" s="12" customFormat="1" x14ac:dyDescent="0.25"/>
    <row r="13108" s="12" customFormat="1" x14ac:dyDescent="0.25"/>
    <row r="13109" s="12" customFormat="1" x14ac:dyDescent="0.25"/>
    <row r="13110" s="12" customFormat="1" x14ac:dyDescent="0.25"/>
    <row r="13111" s="12" customFormat="1" x14ac:dyDescent="0.25"/>
    <row r="13112" s="12" customFormat="1" x14ac:dyDescent="0.25"/>
    <row r="13113" s="12" customFormat="1" x14ac:dyDescent="0.25"/>
    <row r="13114" s="12" customFormat="1" x14ac:dyDescent="0.25"/>
    <row r="13115" s="12" customFormat="1" x14ac:dyDescent="0.25"/>
    <row r="13116" s="12" customFormat="1" x14ac:dyDescent="0.25"/>
    <row r="13117" s="12" customFormat="1" x14ac:dyDescent="0.25"/>
    <row r="13118" s="12" customFormat="1" x14ac:dyDescent="0.25"/>
    <row r="13119" s="12" customFormat="1" x14ac:dyDescent="0.25"/>
    <row r="13120" s="12" customFormat="1" x14ac:dyDescent="0.25"/>
    <row r="13121" s="12" customFormat="1" x14ac:dyDescent="0.25"/>
    <row r="13122" s="12" customFormat="1" x14ac:dyDescent="0.25"/>
    <row r="13123" s="12" customFormat="1" x14ac:dyDescent="0.25"/>
    <row r="13124" s="12" customFormat="1" x14ac:dyDescent="0.25"/>
    <row r="13125" s="12" customFormat="1" x14ac:dyDescent="0.25"/>
    <row r="13126" s="12" customFormat="1" x14ac:dyDescent="0.25"/>
    <row r="13127" s="12" customFormat="1" x14ac:dyDescent="0.25"/>
    <row r="13128" s="12" customFormat="1" x14ac:dyDescent="0.25"/>
    <row r="13129" s="12" customFormat="1" x14ac:dyDescent="0.25"/>
    <row r="13130" s="12" customFormat="1" x14ac:dyDescent="0.25"/>
    <row r="13131" s="12" customFormat="1" x14ac:dyDescent="0.25"/>
    <row r="13132" s="12" customFormat="1" x14ac:dyDescent="0.25"/>
    <row r="13133" s="12" customFormat="1" x14ac:dyDescent="0.25"/>
    <row r="13134" s="12" customFormat="1" x14ac:dyDescent="0.25"/>
    <row r="13135" s="12" customFormat="1" x14ac:dyDescent="0.25"/>
    <row r="13136" s="12" customFormat="1" x14ac:dyDescent="0.25"/>
    <row r="13137" s="12" customFormat="1" x14ac:dyDescent="0.25"/>
    <row r="13138" s="12" customFormat="1" x14ac:dyDescent="0.25"/>
    <row r="13139" s="12" customFormat="1" x14ac:dyDescent="0.25"/>
    <row r="13140" s="12" customFormat="1" x14ac:dyDescent="0.25"/>
    <row r="13141" s="12" customFormat="1" x14ac:dyDescent="0.25"/>
    <row r="13142" s="12" customFormat="1" x14ac:dyDescent="0.25"/>
    <row r="13143" s="12" customFormat="1" x14ac:dyDescent="0.25"/>
    <row r="13144" s="12" customFormat="1" x14ac:dyDescent="0.25"/>
    <row r="13145" s="12" customFormat="1" x14ac:dyDescent="0.25"/>
    <row r="13146" s="12" customFormat="1" x14ac:dyDescent="0.25"/>
    <row r="13147" s="12" customFormat="1" x14ac:dyDescent="0.25"/>
    <row r="13148" s="12" customFormat="1" x14ac:dyDescent="0.25"/>
    <row r="13149" s="12" customFormat="1" x14ac:dyDescent="0.25"/>
    <row r="13150" s="12" customFormat="1" x14ac:dyDescent="0.25"/>
    <row r="13151" s="12" customFormat="1" x14ac:dyDescent="0.25"/>
    <row r="13152" s="12" customFormat="1" x14ac:dyDescent="0.25"/>
    <row r="13153" s="12" customFormat="1" x14ac:dyDescent="0.25"/>
    <row r="13154" s="12" customFormat="1" x14ac:dyDescent="0.25"/>
    <row r="13155" s="12" customFormat="1" x14ac:dyDescent="0.25"/>
    <row r="13156" s="12" customFormat="1" x14ac:dyDescent="0.25"/>
    <row r="13157" s="12" customFormat="1" x14ac:dyDescent="0.25"/>
    <row r="13158" s="12" customFormat="1" x14ac:dyDescent="0.25"/>
    <row r="13159" s="12" customFormat="1" x14ac:dyDescent="0.25"/>
    <row r="13160" s="12" customFormat="1" x14ac:dyDescent="0.25"/>
    <row r="13161" s="12" customFormat="1" x14ac:dyDescent="0.25"/>
    <row r="13162" s="12" customFormat="1" x14ac:dyDescent="0.25"/>
    <row r="13163" s="12" customFormat="1" x14ac:dyDescent="0.25"/>
    <row r="13164" s="12" customFormat="1" x14ac:dyDescent="0.25"/>
    <row r="13165" s="12" customFormat="1" x14ac:dyDescent="0.25"/>
    <row r="13166" s="12" customFormat="1" x14ac:dyDescent="0.25"/>
    <row r="13167" s="12" customFormat="1" x14ac:dyDescent="0.25"/>
    <row r="13168" s="12" customFormat="1" x14ac:dyDescent="0.25"/>
    <row r="13169" s="12" customFormat="1" x14ac:dyDescent="0.25"/>
    <row r="13170" s="12" customFormat="1" x14ac:dyDescent="0.25"/>
    <row r="13171" s="12" customFormat="1" x14ac:dyDescent="0.25"/>
    <row r="13172" s="12" customFormat="1" x14ac:dyDescent="0.25"/>
    <row r="13173" s="12" customFormat="1" x14ac:dyDescent="0.25"/>
    <row r="13174" s="12" customFormat="1" x14ac:dyDescent="0.25"/>
    <row r="13175" s="12" customFormat="1" x14ac:dyDescent="0.25"/>
    <row r="13176" s="12" customFormat="1" x14ac:dyDescent="0.25"/>
    <row r="13177" s="12" customFormat="1" x14ac:dyDescent="0.25"/>
    <row r="13178" s="12" customFormat="1" x14ac:dyDescent="0.25"/>
    <row r="13179" s="12" customFormat="1" x14ac:dyDescent="0.25"/>
    <row r="13180" s="12" customFormat="1" x14ac:dyDescent="0.25"/>
    <row r="13181" s="12" customFormat="1" x14ac:dyDescent="0.25"/>
    <row r="13182" s="12" customFormat="1" x14ac:dyDescent="0.25"/>
    <row r="13183" s="12" customFormat="1" x14ac:dyDescent="0.25"/>
    <row r="13184" s="12" customFormat="1" x14ac:dyDescent="0.25"/>
    <row r="13185" s="12" customFormat="1" x14ac:dyDescent="0.25"/>
    <row r="13186" s="12" customFormat="1" x14ac:dyDescent="0.25"/>
    <row r="13187" s="12" customFormat="1" x14ac:dyDescent="0.25"/>
    <row r="13188" s="12" customFormat="1" x14ac:dyDescent="0.25"/>
    <row r="13189" s="12" customFormat="1" x14ac:dyDescent="0.25"/>
    <row r="13190" s="12" customFormat="1" x14ac:dyDescent="0.25"/>
    <row r="13191" s="12" customFormat="1" x14ac:dyDescent="0.25"/>
    <row r="13192" s="12" customFormat="1" x14ac:dyDescent="0.25"/>
    <row r="13193" s="12" customFormat="1" x14ac:dyDescent="0.25"/>
    <row r="13194" s="12" customFormat="1" x14ac:dyDescent="0.25"/>
    <row r="13195" s="12" customFormat="1" x14ac:dyDescent="0.25"/>
    <row r="13196" s="12" customFormat="1" x14ac:dyDescent="0.25"/>
    <row r="13197" s="12" customFormat="1" x14ac:dyDescent="0.25"/>
    <row r="13198" s="12" customFormat="1" x14ac:dyDescent="0.25"/>
    <row r="13199" s="12" customFormat="1" x14ac:dyDescent="0.25"/>
    <row r="13200" s="12" customFormat="1" x14ac:dyDescent="0.25"/>
    <row r="13201" s="12" customFormat="1" x14ac:dyDescent="0.25"/>
    <row r="13202" s="12" customFormat="1" x14ac:dyDescent="0.25"/>
    <row r="13203" s="12" customFormat="1" x14ac:dyDescent="0.25"/>
    <row r="13204" s="12" customFormat="1" x14ac:dyDescent="0.25"/>
    <row r="13205" s="12" customFormat="1" x14ac:dyDescent="0.25"/>
    <row r="13206" s="12" customFormat="1" x14ac:dyDescent="0.25"/>
    <row r="13207" s="12" customFormat="1" x14ac:dyDescent="0.25"/>
    <row r="13208" s="12" customFormat="1" x14ac:dyDescent="0.25"/>
    <row r="13209" s="12" customFormat="1" x14ac:dyDescent="0.25"/>
    <row r="13210" s="12" customFormat="1" x14ac:dyDescent="0.25"/>
    <row r="13211" s="12" customFormat="1" x14ac:dyDescent="0.25"/>
    <row r="13212" s="12" customFormat="1" x14ac:dyDescent="0.25"/>
    <row r="13213" s="12" customFormat="1" x14ac:dyDescent="0.25"/>
    <row r="13214" s="12" customFormat="1" x14ac:dyDescent="0.25"/>
    <row r="13215" s="12" customFormat="1" x14ac:dyDescent="0.25"/>
    <row r="13216" s="12" customFormat="1" x14ac:dyDescent="0.25"/>
    <row r="13217" s="12" customFormat="1" x14ac:dyDescent="0.25"/>
    <row r="13218" s="12" customFormat="1" x14ac:dyDescent="0.25"/>
    <row r="13219" s="12" customFormat="1" x14ac:dyDescent="0.25"/>
    <row r="13220" s="12" customFormat="1" x14ac:dyDescent="0.25"/>
    <row r="13221" s="12" customFormat="1" x14ac:dyDescent="0.25"/>
    <row r="13222" s="12" customFormat="1" x14ac:dyDescent="0.25"/>
    <row r="13223" s="12" customFormat="1" x14ac:dyDescent="0.25"/>
    <row r="13224" s="12" customFormat="1" x14ac:dyDescent="0.25"/>
    <row r="13225" s="12" customFormat="1" x14ac:dyDescent="0.25"/>
    <row r="13226" s="12" customFormat="1" x14ac:dyDescent="0.25"/>
    <row r="13227" s="12" customFormat="1" x14ac:dyDescent="0.25"/>
    <row r="13228" s="12" customFormat="1" x14ac:dyDescent="0.25"/>
    <row r="13229" s="12" customFormat="1" x14ac:dyDescent="0.25"/>
    <row r="13230" s="12" customFormat="1" x14ac:dyDescent="0.25"/>
    <row r="13231" s="12" customFormat="1" x14ac:dyDescent="0.25"/>
    <row r="13232" s="12" customFormat="1" x14ac:dyDescent="0.25"/>
    <row r="13233" s="12" customFormat="1" x14ac:dyDescent="0.25"/>
    <row r="13234" s="12" customFormat="1" x14ac:dyDescent="0.25"/>
    <row r="13235" s="12" customFormat="1" x14ac:dyDescent="0.25"/>
    <row r="13236" s="12" customFormat="1" x14ac:dyDescent="0.25"/>
    <row r="13237" s="12" customFormat="1" x14ac:dyDescent="0.25"/>
    <row r="13238" s="12" customFormat="1" x14ac:dyDescent="0.25"/>
    <row r="13239" s="12" customFormat="1" x14ac:dyDescent="0.25"/>
    <row r="13240" s="12" customFormat="1" x14ac:dyDescent="0.25"/>
    <row r="13241" s="12" customFormat="1" x14ac:dyDescent="0.25"/>
    <row r="13242" s="12" customFormat="1" x14ac:dyDescent="0.25"/>
    <row r="13243" s="12" customFormat="1" x14ac:dyDescent="0.25"/>
    <row r="13244" s="12" customFormat="1" x14ac:dyDescent="0.25"/>
    <row r="13245" s="12" customFormat="1" x14ac:dyDescent="0.25"/>
    <row r="13246" s="12" customFormat="1" x14ac:dyDescent="0.25"/>
    <row r="13247" s="12" customFormat="1" x14ac:dyDescent="0.25"/>
    <row r="13248" s="12" customFormat="1" x14ac:dyDescent="0.25"/>
    <row r="13249" s="12" customFormat="1" x14ac:dyDescent="0.25"/>
    <row r="13250" s="12" customFormat="1" x14ac:dyDescent="0.25"/>
    <row r="13251" s="12" customFormat="1" x14ac:dyDescent="0.25"/>
    <row r="13252" s="12" customFormat="1" x14ac:dyDescent="0.25"/>
    <row r="13253" s="12" customFormat="1" x14ac:dyDescent="0.25"/>
    <row r="13254" s="12" customFormat="1" x14ac:dyDescent="0.25"/>
    <row r="13255" s="12" customFormat="1" x14ac:dyDescent="0.25"/>
    <row r="13256" s="12" customFormat="1" x14ac:dyDescent="0.25"/>
    <row r="13257" s="12" customFormat="1" x14ac:dyDescent="0.25"/>
    <row r="13258" s="12" customFormat="1" x14ac:dyDescent="0.25"/>
    <row r="13259" s="12" customFormat="1" x14ac:dyDescent="0.25"/>
    <row r="13260" s="12" customFormat="1" x14ac:dyDescent="0.25"/>
    <row r="13261" s="12" customFormat="1" x14ac:dyDescent="0.25"/>
    <row r="13262" s="12" customFormat="1" x14ac:dyDescent="0.25"/>
    <row r="13263" s="12" customFormat="1" x14ac:dyDescent="0.25"/>
    <row r="13264" s="12" customFormat="1" x14ac:dyDescent="0.25"/>
    <row r="13265" s="12" customFormat="1" x14ac:dyDescent="0.25"/>
    <row r="13266" s="12" customFormat="1" x14ac:dyDescent="0.25"/>
    <row r="13267" s="12" customFormat="1" x14ac:dyDescent="0.25"/>
    <row r="13268" s="12" customFormat="1" x14ac:dyDescent="0.25"/>
    <row r="13269" s="12" customFormat="1" x14ac:dyDescent="0.25"/>
    <row r="13270" s="12" customFormat="1" x14ac:dyDescent="0.25"/>
    <row r="13271" s="12" customFormat="1" x14ac:dyDescent="0.25"/>
    <row r="13272" s="12" customFormat="1" x14ac:dyDescent="0.25"/>
    <row r="13273" s="12" customFormat="1" x14ac:dyDescent="0.25"/>
    <row r="13274" s="12" customFormat="1" x14ac:dyDescent="0.25"/>
    <row r="13275" s="12" customFormat="1" x14ac:dyDescent="0.25"/>
    <row r="13276" s="12" customFormat="1" x14ac:dyDescent="0.25"/>
    <row r="13277" s="12" customFormat="1" x14ac:dyDescent="0.25"/>
    <row r="13278" s="12" customFormat="1" x14ac:dyDescent="0.25"/>
    <row r="13279" s="12" customFormat="1" x14ac:dyDescent="0.25"/>
    <row r="13280" s="12" customFormat="1" x14ac:dyDescent="0.25"/>
    <row r="13281" s="12" customFormat="1" x14ac:dyDescent="0.25"/>
    <row r="13282" s="12" customFormat="1" x14ac:dyDescent="0.25"/>
    <row r="13283" s="12" customFormat="1" x14ac:dyDescent="0.25"/>
    <row r="13284" s="12" customFormat="1" x14ac:dyDescent="0.25"/>
    <row r="13285" s="12" customFormat="1" x14ac:dyDescent="0.25"/>
    <row r="13286" s="12" customFormat="1" x14ac:dyDescent="0.25"/>
    <row r="13287" s="12" customFormat="1" x14ac:dyDescent="0.25"/>
    <row r="13288" s="12" customFormat="1" x14ac:dyDescent="0.25"/>
    <row r="13289" s="12" customFormat="1" x14ac:dyDescent="0.25"/>
    <row r="13290" s="12" customFormat="1" x14ac:dyDescent="0.25"/>
    <row r="13291" s="12" customFormat="1" x14ac:dyDescent="0.25"/>
    <row r="13292" s="12" customFormat="1" x14ac:dyDescent="0.25"/>
    <row r="13293" s="12" customFormat="1" x14ac:dyDescent="0.25"/>
    <row r="13294" s="12" customFormat="1" x14ac:dyDescent="0.25"/>
    <row r="13295" s="12" customFormat="1" x14ac:dyDescent="0.25"/>
    <row r="13296" s="12" customFormat="1" x14ac:dyDescent="0.25"/>
    <row r="13297" s="12" customFormat="1" x14ac:dyDescent="0.25"/>
    <row r="13298" s="12" customFormat="1" x14ac:dyDescent="0.25"/>
    <row r="13299" s="12" customFormat="1" x14ac:dyDescent="0.25"/>
    <row r="13300" s="12" customFormat="1" x14ac:dyDescent="0.25"/>
    <row r="13301" s="12" customFormat="1" x14ac:dyDescent="0.25"/>
    <row r="13302" s="12" customFormat="1" x14ac:dyDescent="0.25"/>
    <row r="13303" s="12" customFormat="1" x14ac:dyDescent="0.25"/>
    <row r="13304" s="12" customFormat="1" x14ac:dyDescent="0.25"/>
    <row r="13305" s="12" customFormat="1" x14ac:dyDescent="0.25"/>
    <row r="13306" s="12" customFormat="1" x14ac:dyDescent="0.25"/>
    <row r="13307" s="12" customFormat="1" x14ac:dyDescent="0.25"/>
    <row r="13308" s="12" customFormat="1" x14ac:dyDescent="0.25"/>
    <row r="13309" s="12" customFormat="1" x14ac:dyDescent="0.25"/>
    <row r="13310" s="12" customFormat="1" x14ac:dyDescent="0.25"/>
    <row r="13311" s="12" customFormat="1" x14ac:dyDescent="0.25"/>
    <row r="13312" s="12" customFormat="1" x14ac:dyDescent="0.25"/>
    <row r="13313" s="12" customFormat="1" x14ac:dyDescent="0.25"/>
    <row r="13314" s="12" customFormat="1" x14ac:dyDescent="0.25"/>
    <row r="13315" s="12" customFormat="1" x14ac:dyDescent="0.25"/>
    <row r="13316" s="12" customFormat="1" x14ac:dyDescent="0.25"/>
    <row r="13317" s="12" customFormat="1" x14ac:dyDescent="0.25"/>
    <row r="13318" s="12" customFormat="1" x14ac:dyDescent="0.25"/>
    <row r="13319" s="12" customFormat="1" x14ac:dyDescent="0.25"/>
    <row r="13320" s="12" customFormat="1" x14ac:dyDescent="0.25"/>
    <row r="13321" s="12" customFormat="1" x14ac:dyDescent="0.25"/>
    <row r="13322" s="12" customFormat="1" x14ac:dyDescent="0.25"/>
    <row r="13323" s="12" customFormat="1" x14ac:dyDescent="0.25"/>
    <row r="13324" s="12" customFormat="1" x14ac:dyDescent="0.25"/>
    <row r="13325" s="12" customFormat="1" x14ac:dyDescent="0.25"/>
    <row r="13326" s="12" customFormat="1" x14ac:dyDescent="0.25"/>
    <row r="13327" s="12" customFormat="1" x14ac:dyDescent="0.25"/>
    <row r="13328" s="12" customFormat="1" x14ac:dyDescent="0.25"/>
    <row r="13329" s="12" customFormat="1" x14ac:dyDescent="0.25"/>
    <row r="13330" s="12" customFormat="1" x14ac:dyDescent="0.25"/>
    <row r="13331" s="12" customFormat="1" x14ac:dyDescent="0.25"/>
    <row r="13332" s="12" customFormat="1" x14ac:dyDescent="0.25"/>
    <row r="13333" s="12" customFormat="1" x14ac:dyDescent="0.25"/>
    <row r="13334" s="12" customFormat="1" x14ac:dyDescent="0.25"/>
    <row r="13335" s="12" customFormat="1" x14ac:dyDescent="0.25"/>
    <row r="13336" s="12" customFormat="1" x14ac:dyDescent="0.25"/>
    <row r="13337" s="12" customFormat="1" x14ac:dyDescent="0.25"/>
    <row r="13338" s="12" customFormat="1" x14ac:dyDescent="0.25"/>
    <row r="13339" s="12" customFormat="1" x14ac:dyDescent="0.25"/>
    <row r="13340" s="12" customFormat="1" x14ac:dyDescent="0.25"/>
    <row r="13341" s="12" customFormat="1" x14ac:dyDescent="0.25"/>
    <row r="13342" s="12" customFormat="1" x14ac:dyDescent="0.25"/>
    <row r="13343" s="12" customFormat="1" x14ac:dyDescent="0.25"/>
    <row r="13344" s="12" customFormat="1" x14ac:dyDescent="0.25"/>
    <row r="13345" s="12" customFormat="1" x14ac:dyDescent="0.25"/>
    <row r="13346" s="12" customFormat="1" x14ac:dyDescent="0.25"/>
    <row r="13347" s="12" customFormat="1" x14ac:dyDescent="0.25"/>
    <row r="13348" s="12" customFormat="1" x14ac:dyDescent="0.25"/>
    <row r="13349" s="12" customFormat="1" x14ac:dyDescent="0.25"/>
    <row r="13350" s="12" customFormat="1" x14ac:dyDescent="0.25"/>
    <row r="13351" s="12" customFormat="1" x14ac:dyDescent="0.25"/>
    <row r="13352" s="12" customFormat="1" x14ac:dyDescent="0.25"/>
    <row r="13353" s="12" customFormat="1" x14ac:dyDescent="0.25"/>
    <row r="13354" s="12" customFormat="1" x14ac:dyDescent="0.25"/>
    <row r="13355" s="12" customFormat="1" x14ac:dyDescent="0.25"/>
    <row r="13356" s="12" customFormat="1" x14ac:dyDescent="0.25"/>
    <row r="13357" s="12" customFormat="1" x14ac:dyDescent="0.25"/>
    <row r="13358" s="12" customFormat="1" x14ac:dyDescent="0.25"/>
    <row r="13359" s="12" customFormat="1" x14ac:dyDescent="0.25"/>
    <row r="13360" s="12" customFormat="1" x14ac:dyDescent="0.25"/>
    <row r="13361" s="12" customFormat="1" x14ac:dyDescent="0.25"/>
    <row r="13362" s="12" customFormat="1" x14ac:dyDescent="0.25"/>
    <row r="13363" s="12" customFormat="1" x14ac:dyDescent="0.25"/>
    <row r="13364" s="12" customFormat="1" x14ac:dyDescent="0.25"/>
    <row r="13365" s="12" customFormat="1" x14ac:dyDescent="0.25"/>
    <row r="13366" s="12" customFormat="1" x14ac:dyDescent="0.25"/>
    <row r="13367" s="12" customFormat="1" x14ac:dyDescent="0.25"/>
    <row r="13368" s="12" customFormat="1" x14ac:dyDescent="0.25"/>
    <row r="13369" s="12" customFormat="1" x14ac:dyDescent="0.25"/>
    <row r="13370" s="12" customFormat="1" x14ac:dyDescent="0.25"/>
    <row r="13371" s="12" customFormat="1" x14ac:dyDescent="0.25"/>
    <row r="13372" s="12" customFormat="1" x14ac:dyDescent="0.25"/>
    <row r="13373" s="12" customFormat="1" x14ac:dyDescent="0.25"/>
    <row r="13374" s="12" customFormat="1" x14ac:dyDescent="0.25"/>
    <row r="13375" s="12" customFormat="1" x14ac:dyDescent="0.25"/>
    <row r="13376" s="12" customFormat="1" x14ac:dyDescent="0.25"/>
    <row r="13377" s="12" customFormat="1" x14ac:dyDescent="0.25"/>
    <row r="13378" s="12" customFormat="1" x14ac:dyDescent="0.25"/>
    <row r="13379" s="12" customFormat="1" x14ac:dyDescent="0.25"/>
    <row r="13380" s="12" customFormat="1" x14ac:dyDescent="0.25"/>
    <row r="13381" s="12" customFormat="1" x14ac:dyDescent="0.25"/>
    <row r="13382" s="12" customFormat="1" x14ac:dyDescent="0.25"/>
    <row r="13383" s="12" customFormat="1" x14ac:dyDescent="0.25"/>
    <row r="13384" s="12" customFormat="1" x14ac:dyDescent="0.25"/>
    <row r="13385" s="12" customFormat="1" x14ac:dyDescent="0.25"/>
    <row r="13386" s="12" customFormat="1" x14ac:dyDescent="0.25"/>
    <row r="13387" s="12" customFormat="1" x14ac:dyDescent="0.25"/>
    <row r="13388" s="12" customFormat="1" x14ac:dyDescent="0.25"/>
    <row r="13389" s="12" customFormat="1" x14ac:dyDescent="0.25"/>
    <row r="13390" s="12" customFormat="1" x14ac:dyDescent="0.25"/>
    <row r="13391" s="12" customFormat="1" x14ac:dyDescent="0.25"/>
    <row r="13392" s="12" customFormat="1" x14ac:dyDescent="0.25"/>
    <row r="13393" s="12" customFormat="1" x14ac:dyDescent="0.25"/>
    <row r="13394" s="12" customFormat="1" x14ac:dyDescent="0.25"/>
    <row r="13395" s="12" customFormat="1" x14ac:dyDescent="0.25"/>
    <row r="13396" s="12" customFormat="1" x14ac:dyDescent="0.25"/>
    <row r="13397" s="12" customFormat="1" x14ac:dyDescent="0.25"/>
    <row r="13398" s="12" customFormat="1" x14ac:dyDescent="0.25"/>
    <row r="13399" s="12" customFormat="1" x14ac:dyDescent="0.25"/>
    <row r="13400" s="12" customFormat="1" x14ac:dyDescent="0.25"/>
    <row r="13401" s="12" customFormat="1" x14ac:dyDescent="0.25"/>
    <row r="13402" s="12" customFormat="1" x14ac:dyDescent="0.25"/>
    <row r="13403" s="12" customFormat="1" x14ac:dyDescent="0.25"/>
    <row r="13404" s="12" customFormat="1" x14ac:dyDescent="0.25"/>
    <row r="13405" s="12" customFormat="1" x14ac:dyDescent="0.25"/>
    <row r="13406" s="12" customFormat="1" x14ac:dyDescent="0.25"/>
    <row r="13407" s="12" customFormat="1" x14ac:dyDescent="0.25"/>
    <row r="13408" s="12" customFormat="1" x14ac:dyDescent="0.25"/>
    <row r="13409" s="12" customFormat="1" x14ac:dyDescent="0.25"/>
    <row r="13410" s="12" customFormat="1" x14ac:dyDescent="0.25"/>
    <row r="13411" s="12" customFormat="1" x14ac:dyDescent="0.25"/>
    <row r="13412" s="12" customFormat="1" x14ac:dyDescent="0.25"/>
    <row r="13413" s="12" customFormat="1" x14ac:dyDescent="0.25"/>
    <row r="13414" s="12" customFormat="1" x14ac:dyDescent="0.25"/>
    <row r="13415" s="12" customFormat="1" x14ac:dyDescent="0.25"/>
    <row r="13416" s="12" customFormat="1" x14ac:dyDescent="0.25"/>
    <row r="13417" s="12" customFormat="1" x14ac:dyDescent="0.25"/>
    <row r="13418" s="12" customFormat="1" x14ac:dyDescent="0.25"/>
    <row r="13419" s="12" customFormat="1" x14ac:dyDescent="0.25"/>
    <row r="13420" s="12" customFormat="1" x14ac:dyDescent="0.25"/>
    <row r="13421" s="12" customFormat="1" x14ac:dyDescent="0.25"/>
    <row r="13422" s="12" customFormat="1" x14ac:dyDescent="0.25"/>
    <row r="13423" s="12" customFormat="1" x14ac:dyDescent="0.25"/>
    <row r="13424" s="12" customFormat="1" x14ac:dyDescent="0.25"/>
    <row r="13425" s="12" customFormat="1" x14ac:dyDescent="0.25"/>
    <row r="13426" s="12" customFormat="1" x14ac:dyDescent="0.25"/>
    <row r="13427" s="12" customFormat="1" x14ac:dyDescent="0.25"/>
    <row r="13428" s="12" customFormat="1" x14ac:dyDescent="0.25"/>
    <row r="13429" s="12" customFormat="1" x14ac:dyDescent="0.25"/>
    <row r="13430" s="12" customFormat="1" x14ac:dyDescent="0.25"/>
    <row r="13431" s="12" customFormat="1" x14ac:dyDescent="0.25"/>
    <row r="13432" s="12" customFormat="1" x14ac:dyDescent="0.25"/>
    <row r="13433" s="12" customFormat="1" x14ac:dyDescent="0.25"/>
    <row r="13434" s="12" customFormat="1" x14ac:dyDescent="0.25"/>
    <row r="13435" s="12" customFormat="1" x14ac:dyDescent="0.25"/>
    <row r="13436" s="12" customFormat="1" x14ac:dyDescent="0.25"/>
    <row r="13437" s="12" customFormat="1" x14ac:dyDescent="0.25"/>
    <row r="13438" s="12" customFormat="1" x14ac:dyDescent="0.25"/>
    <row r="13439" s="12" customFormat="1" x14ac:dyDescent="0.25"/>
    <row r="13440" s="12" customFormat="1" x14ac:dyDescent="0.25"/>
    <row r="13441" s="12" customFormat="1" x14ac:dyDescent="0.25"/>
    <row r="13442" s="12" customFormat="1" x14ac:dyDescent="0.25"/>
    <row r="13443" s="12" customFormat="1" x14ac:dyDescent="0.25"/>
    <row r="13444" s="12" customFormat="1" x14ac:dyDescent="0.25"/>
    <row r="13445" s="12" customFormat="1" x14ac:dyDescent="0.25"/>
    <row r="13446" s="12" customFormat="1" x14ac:dyDescent="0.25"/>
    <row r="13447" s="12" customFormat="1" x14ac:dyDescent="0.25"/>
    <row r="13448" s="12" customFormat="1" x14ac:dyDescent="0.25"/>
    <row r="13449" s="12" customFormat="1" x14ac:dyDescent="0.25"/>
    <row r="13450" s="12" customFormat="1" x14ac:dyDescent="0.25"/>
    <row r="13451" s="12" customFormat="1" x14ac:dyDescent="0.25"/>
    <row r="13452" s="12" customFormat="1" x14ac:dyDescent="0.25"/>
    <row r="13453" s="12" customFormat="1" x14ac:dyDescent="0.25"/>
    <row r="13454" s="12" customFormat="1" x14ac:dyDescent="0.25"/>
    <row r="13455" s="12" customFormat="1" x14ac:dyDescent="0.25"/>
    <row r="13456" s="12" customFormat="1" x14ac:dyDescent="0.25"/>
    <row r="13457" s="12" customFormat="1" x14ac:dyDescent="0.25"/>
    <row r="13458" s="12" customFormat="1" x14ac:dyDescent="0.25"/>
    <row r="13459" s="12" customFormat="1" x14ac:dyDescent="0.25"/>
    <row r="13460" s="12" customFormat="1" x14ac:dyDescent="0.25"/>
    <row r="13461" s="12" customFormat="1" x14ac:dyDescent="0.25"/>
    <row r="13462" s="12" customFormat="1" x14ac:dyDescent="0.25"/>
    <row r="13463" s="12" customFormat="1" x14ac:dyDescent="0.25"/>
    <row r="13464" s="12" customFormat="1" x14ac:dyDescent="0.25"/>
    <row r="13465" s="12" customFormat="1" x14ac:dyDescent="0.25"/>
    <row r="13466" s="12" customFormat="1" x14ac:dyDescent="0.25"/>
    <row r="13467" s="12" customFormat="1" x14ac:dyDescent="0.25"/>
    <row r="13468" s="12" customFormat="1" x14ac:dyDescent="0.25"/>
    <row r="13469" s="12" customFormat="1" x14ac:dyDescent="0.25"/>
    <row r="13470" s="12" customFormat="1" x14ac:dyDescent="0.25"/>
    <row r="13471" s="12" customFormat="1" x14ac:dyDescent="0.25"/>
    <row r="13472" s="12" customFormat="1" x14ac:dyDescent="0.25"/>
    <row r="13473" s="12" customFormat="1" x14ac:dyDescent="0.25"/>
    <row r="13474" s="12" customFormat="1" x14ac:dyDescent="0.25"/>
    <row r="13475" s="12" customFormat="1" x14ac:dyDescent="0.25"/>
    <row r="13476" s="12" customFormat="1" x14ac:dyDescent="0.25"/>
    <row r="13477" s="12" customFormat="1" x14ac:dyDescent="0.25"/>
    <row r="13478" s="12" customFormat="1" x14ac:dyDescent="0.25"/>
    <row r="13479" s="12" customFormat="1" x14ac:dyDescent="0.25"/>
    <row r="13480" s="12" customFormat="1" x14ac:dyDescent="0.25"/>
    <row r="13481" s="12" customFormat="1" x14ac:dyDescent="0.25"/>
    <row r="13482" s="12" customFormat="1" x14ac:dyDescent="0.25"/>
    <row r="13483" s="12" customFormat="1" x14ac:dyDescent="0.25"/>
    <row r="13484" s="12" customFormat="1" x14ac:dyDescent="0.25"/>
    <row r="13485" s="12" customFormat="1" x14ac:dyDescent="0.25"/>
    <row r="13486" s="12" customFormat="1" x14ac:dyDescent="0.25"/>
    <row r="13487" s="12" customFormat="1" x14ac:dyDescent="0.25"/>
    <row r="13488" s="12" customFormat="1" x14ac:dyDescent="0.25"/>
    <row r="13489" s="12" customFormat="1" x14ac:dyDescent="0.25"/>
    <row r="13490" s="12" customFormat="1" x14ac:dyDescent="0.25"/>
    <row r="13491" s="12" customFormat="1" x14ac:dyDescent="0.25"/>
    <row r="13492" s="12" customFormat="1" x14ac:dyDescent="0.25"/>
    <row r="13493" s="12" customFormat="1" x14ac:dyDescent="0.25"/>
    <row r="13494" s="12" customFormat="1" x14ac:dyDescent="0.25"/>
    <row r="13495" s="12" customFormat="1" x14ac:dyDescent="0.25"/>
    <row r="13496" s="12" customFormat="1" x14ac:dyDescent="0.25"/>
    <row r="13497" s="12" customFormat="1" x14ac:dyDescent="0.25"/>
    <row r="13498" s="12" customFormat="1" x14ac:dyDescent="0.25"/>
    <row r="13499" s="12" customFormat="1" x14ac:dyDescent="0.25"/>
    <row r="13500" s="12" customFormat="1" x14ac:dyDescent="0.25"/>
    <row r="13501" s="12" customFormat="1" x14ac:dyDescent="0.25"/>
    <row r="13502" s="12" customFormat="1" x14ac:dyDescent="0.25"/>
    <row r="13503" s="12" customFormat="1" x14ac:dyDescent="0.25"/>
    <row r="13504" s="12" customFormat="1" x14ac:dyDescent="0.25"/>
    <row r="13505" s="12" customFormat="1" x14ac:dyDescent="0.25"/>
    <row r="13506" s="12" customFormat="1" x14ac:dyDescent="0.25"/>
    <row r="13507" s="12" customFormat="1" x14ac:dyDescent="0.25"/>
    <row r="13508" s="12" customFormat="1" x14ac:dyDescent="0.25"/>
    <row r="13509" s="12" customFormat="1" x14ac:dyDescent="0.25"/>
    <row r="13510" s="12" customFormat="1" x14ac:dyDescent="0.25"/>
    <row r="13511" s="12" customFormat="1" x14ac:dyDescent="0.25"/>
    <row r="13512" s="12" customFormat="1" x14ac:dyDescent="0.25"/>
    <row r="13513" s="12" customFormat="1" x14ac:dyDescent="0.25"/>
    <row r="13514" s="12" customFormat="1" x14ac:dyDescent="0.25"/>
    <row r="13515" s="12" customFormat="1" x14ac:dyDescent="0.25"/>
    <row r="13516" s="12" customFormat="1" x14ac:dyDescent="0.25"/>
    <row r="13517" s="12" customFormat="1" x14ac:dyDescent="0.25"/>
    <row r="13518" s="12" customFormat="1" x14ac:dyDescent="0.25"/>
    <row r="13519" s="12" customFormat="1" x14ac:dyDescent="0.25"/>
    <row r="13520" s="12" customFormat="1" x14ac:dyDescent="0.25"/>
    <row r="13521" s="12" customFormat="1" x14ac:dyDescent="0.25"/>
    <row r="13522" s="12" customFormat="1" x14ac:dyDescent="0.25"/>
    <row r="13523" s="12" customFormat="1" x14ac:dyDescent="0.25"/>
    <row r="13524" s="12" customFormat="1" x14ac:dyDescent="0.25"/>
    <row r="13525" s="12" customFormat="1" x14ac:dyDescent="0.25"/>
    <row r="13526" s="12" customFormat="1" x14ac:dyDescent="0.25"/>
    <row r="13527" s="12" customFormat="1" x14ac:dyDescent="0.25"/>
    <row r="13528" s="12" customFormat="1" x14ac:dyDescent="0.25"/>
    <row r="13529" s="12" customFormat="1" x14ac:dyDescent="0.25"/>
    <row r="13530" s="12" customFormat="1" x14ac:dyDescent="0.25"/>
    <row r="13531" s="12" customFormat="1" x14ac:dyDescent="0.25"/>
    <row r="13532" s="12" customFormat="1" x14ac:dyDescent="0.25"/>
    <row r="13533" s="12" customFormat="1" x14ac:dyDescent="0.25"/>
    <row r="13534" s="12" customFormat="1" x14ac:dyDescent="0.25"/>
    <row r="13535" s="12" customFormat="1" x14ac:dyDescent="0.25"/>
    <row r="13536" s="12" customFormat="1" x14ac:dyDescent="0.25"/>
    <row r="13537" s="12" customFormat="1" x14ac:dyDescent="0.25"/>
    <row r="13538" s="12" customFormat="1" x14ac:dyDescent="0.25"/>
    <row r="13539" s="12" customFormat="1" x14ac:dyDescent="0.25"/>
    <row r="13540" s="12" customFormat="1" x14ac:dyDescent="0.25"/>
    <row r="13541" s="12" customFormat="1" x14ac:dyDescent="0.25"/>
    <row r="13542" s="12" customFormat="1" x14ac:dyDescent="0.25"/>
    <row r="13543" s="12" customFormat="1" x14ac:dyDescent="0.25"/>
    <row r="13544" s="12" customFormat="1" x14ac:dyDescent="0.25"/>
    <row r="13545" s="12" customFormat="1" x14ac:dyDescent="0.25"/>
    <row r="13546" s="12" customFormat="1" x14ac:dyDescent="0.25"/>
    <row r="13547" s="12" customFormat="1" x14ac:dyDescent="0.25"/>
    <row r="13548" s="12" customFormat="1" x14ac:dyDescent="0.25"/>
    <row r="13549" s="12" customFormat="1" x14ac:dyDescent="0.25"/>
    <row r="13550" s="12" customFormat="1" x14ac:dyDescent="0.25"/>
    <row r="13551" s="12" customFormat="1" x14ac:dyDescent="0.25"/>
    <row r="13552" s="12" customFormat="1" x14ac:dyDescent="0.25"/>
    <row r="13553" s="12" customFormat="1" x14ac:dyDescent="0.25"/>
    <row r="13554" s="12" customFormat="1" x14ac:dyDescent="0.25"/>
    <row r="13555" s="12" customFormat="1" x14ac:dyDescent="0.25"/>
    <row r="13556" s="12" customFormat="1" x14ac:dyDescent="0.25"/>
    <row r="13557" s="12" customFormat="1" x14ac:dyDescent="0.25"/>
    <row r="13558" s="12" customFormat="1" x14ac:dyDescent="0.25"/>
    <row r="13559" s="12" customFormat="1" x14ac:dyDescent="0.25"/>
    <row r="13560" s="12" customFormat="1" x14ac:dyDescent="0.25"/>
    <row r="13561" s="12" customFormat="1" x14ac:dyDescent="0.25"/>
    <row r="13562" s="12" customFormat="1" x14ac:dyDescent="0.25"/>
    <row r="13563" s="12" customFormat="1" x14ac:dyDescent="0.25"/>
    <row r="13564" s="12" customFormat="1" x14ac:dyDescent="0.25"/>
    <row r="13565" s="12" customFormat="1" x14ac:dyDescent="0.25"/>
    <row r="13566" s="12" customFormat="1" x14ac:dyDescent="0.25"/>
    <row r="13567" s="12" customFormat="1" x14ac:dyDescent="0.25"/>
    <row r="13568" s="12" customFormat="1" x14ac:dyDescent="0.25"/>
    <row r="13569" s="12" customFormat="1" x14ac:dyDescent="0.25"/>
    <row r="13570" s="12" customFormat="1" x14ac:dyDescent="0.25"/>
    <row r="13571" s="12" customFormat="1" x14ac:dyDescent="0.25"/>
    <row r="13572" s="12" customFormat="1" x14ac:dyDescent="0.25"/>
    <row r="13573" s="12" customFormat="1" x14ac:dyDescent="0.25"/>
    <row r="13574" s="12" customFormat="1" x14ac:dyDescent="0.25"/>
    <row r="13575" s="12" customFormat="1" x14ac:dyDescent="0.25"/>
    <row r="13576" s="12" customFormat="1" x14ac:dyDescent="0.25"/>
    <row r="13577" s="12" customFormat="1" x14ac:dyDescent="0.25"/>
    <row r="13578" s="12" customFormat="1" x14ac:dyDescent="0.25"/>
    <row r="13579" s="12" customFormat="1" x14ac:dyDescent="0.25"/>
    <row r="13580" s="12" customFormat="1" x14ac:dyDescent="0.25"/>
    <row r="13581" s="12" customFormat="1" x14ac:dyDescent="0.25"/>
    <row r="13582" s="12" customFormat="1" x14ac:dyDescent="0.25"/>
    <row r="13583" s="12" customFormat="1" x14ac:dyDescent="0.25"/>
    <row r="13584" s="12" customFormat="1" x14ac:dyDescent="0.25"/>
    <row r="13585" s="12" customFormat="1" x14ac:dyDescent="0.25"/>
    <row r="13586" s="12" customFormat="1" x14ac:dyDescent="0.25"/>
    <row r="13587" s="12" customFormat="1" x14ac:dyDescent="0.25"/>
    <row r="13588" s="12" customFormat="1" x14ac:dyDescent="0.25"/>
    <row r="13589" s="12" customFormat="1" x14ac:dyDescent="0.25"/>
    <row r="13590" s="12" customFormat="1" x14ac:dyDescent="0.25"/>
    <row r="13591" s="12" customFormat="1" x14ac:dyDescent="0.25"/>
    <row r="13592" s="12" customFormat="1" x14ac:dyDescent="0.25"/>
    <row r="13593" s="12" customFormat="1" x14ac:dyDescent="0.25"/>
    <row r="13594" s="12" customFormat="1" x14ac:dyDescent="0.25"/>
    <row r="13595" s="12" customFormat="1" x14ac:dyDescent="0.25"/>
    <row r="13596" s="12" customFormat="1" x14ac:dyDescent="0.25"/>
    <row r="13597" s="12" customFormat="1" x14ac:dyDescent="0.25"/>
    <row r="13598" s="12" customFormat="1" x14ac:dyDescent="0.25"/>
    <row r="13599" s="12" customFormat="1" x14ac:dyDescent="0.25"/>
    <row r="13600" s="12" customFormat="1" x14ac:dyDescent="0.25"/>
    <row r="13601" s="12" customFormat="1" x14ac:dyDescent="0.25"/>
    <row r="13602" s="12" customFormat="1" x14ac:dyDescent="0.25"/>
    <row r="13603" s="12" customFormat="1" x14ac:dyDescent="0.25"/>
    <row r="13604" s="12" customFormat="1" x14ac:dyDescent="0.25"/>
    <row r="13605" s="12" customFormat="1" x14ac:dyDescent="0.25"/>
    <row r="13606" s="12" customFormat="1" x14ac:dyDescent="0.25"/>
    <row r="13607" s="12" customFormat="1" x14ac:dyDescent="0.25"/>
    <row r="13608" s="12" customFormat="1" x14ac:dyDescent="0.25"/>
    <row r="13609" s="12" customFormat="1" x14ac:dyDescent="0.25"/>
    <row r="13610" s="12" customFormat="1" x14ac:dyDescent="0.25"/>
    <row r="13611" s="12" customFormat="1" x14ac:dyDescent="0.25"/>
    <row r="13612" s="12" customFormat="1" x14ac:dyDescent="0.25"/>
    <row r="13613" s="12" customFormat="1" x14ac:dyDescent="0.25"/>
    <row r="13614" s="12" customFormat="1" x14ac:dyDescent="0.25"/>
    <row r="13615" s="12" customFormat="1" x14ac:dyDescent="0.25"/>
    <row r="13616" s="12" customFormat="1" x14ac:dyDescent="0.25"/>
    <row r="13617" s="12" customFormat="1" x14ac:dyDescent="0.25"/>
    <row r="13618" s="12" customFormat="1" x14ac:dyDescent="0.25"/>
    <row r="13619" s="12" customFormat="1" x14ac:dyDescent="0.25"/>
    <row r="13620" s="12" customFormat="1" x14ac:dyDescent="0.25"/>
    <row r="13621" s="12" customFormat="1" x14ac:dyDescent="0.25"/>
    <row r="13622" s="12" customFormat="1" x14ac:dyDescent="0.25"/>
    <row r="13623" s="12" customFormat="1" x14ac:dyDescent="0.25"/>
    <row r="13624" s="12" customFormat="1" x14ac:dyDescent="0.25"/>
    <row r="13625" s="12" customFormat="1" x14ac:dyDescent="0.25"/>
    <row r="13626" s="12" customFormat="1" x14ac:dyDescent="0.25"/>
    <row r="13627" s="12" customFormat="1" x14ac:dyDescent="0.25"/>
    <row r="13628" s="12" customFormat="1" x14ac:dyDescent="0.25"/>
    <row r="13629" s="12" customFormat="1" x14ac:dyDescent="0.25"/>
    <row r="13630" s="12" customFormat="1" x14ac:dyDescent="0.25"/>
    <row r="13631" s="12" customFormat="1" x14ac:dyDescent="0.25"/>
    <row r="13632" s="12" customFormat="1" x14ac:dyDescent="0.25"/>
    <row r="13633" s="12" customFormat="1" x14ac:dyDescent="0.25"/>
    <row r="13634" s="12" customFormat="1" x14ac:dyDescent="0.25"/>
    <row r="13635" s="12" customFormat="1" x14ac:dyDescent="0.25"/>
    <row r="13636" s="12" customFormat="1" x14ac:dyDescent="0.25"/>
    <row r="13637" s="12" customFormat="1" x14ac:dyDescent="0.25"/>
    <row r="13638" s="12" customFormat="1" x14ac:dyDescent="0.25"/>
    <row r="13639" s="12" customFormat="1" x14ac:dyDescent="0.25"/>
    <row r="13640" s="12" customFormat="1" x14ac:dyDescent="0.25"/>
    <row r="13641" s="12" customFormat="1" x14ac:dyDescent="0.25"/>
    <row r="13642" s="12" customFormat="1" x14ac:dyDescent="0.25"/>
    <row r="13643" s="12" customFormat="1" x14ac:dyDescent="0.25"/>
    <row r="13644" s="12" customFormat="1" x14ac:dyDescent="0.25"/>
    <row r="13645" s="12" customFormat="1" x14ac:dyDescent="0.25"/>
    <row r="13646" s="12" customFormat="1" x14ac:dyDescent="0.25"/>
    <row r="13647" s="12" customFormat="1" x14ac:dyDescent="0.25"/>
    <row r="13648" s="12" customFormat="1" x14ac:dyDescent="0.25"/>
    <row r="13649" s="12" customFormat="1" x14ac:dyDescent="0.25"/>
    <row r="13650" s="12" customFormat="1" x14ac:dyDescent="0.25"/>
    <row r="13651" s="12" customFormat="1" x14ac:dyDescent="0.25"/>
    <row r="13652" s="12" customFormat="1" x14ac:dyDescent="0.25"/>
    <row r="13653" s="12" customFormat="1" x14ac:dyDescent="0.25"/>
    <row r="13654" s="12" customFormat="1" x14ac:dyDescent="0.25"/>
    <row r="13655" s="12" customFormat="1" x14ac:dyDescent="0.25"/>
    <row r="13656" s="12" customFormat="1" x14ac:dyDescent="0.25"/>
    <row r="13657" s="12" customFormat="1" x14ac:dyDescent="0.25"/>
    <row r="13658" s="12" customFormat="1" x14ac:dyDescent="0.25"/>
    <row r="13659" s="12" customFormat="1" x14ac:dyDescent="0.25"/>
    <row r="13660" s="12" customFormat="1" x14ac:dyDescent="0.25"/>
    <row r="13661" s="12" customFormat="1" x14ac:dyDescent="0.25"/>
    <row r="13662" s="12" customFormat="1" x14ac:dyDescent="0.25"/>
    <row r="13663" s="12" customFormat="1" x14ac:dyDescent="0.25"/>
    <row r="13664" s="12" customFormat="1" x14ac:dyDescent="0.25"/>
    <row r="13665" s="12" customFormat="1" x14ac:dyDescent="0.25"/>
    <row r="13666" s="12" customFormat="1" x14ac:dyDescent="0.25"/>
    <row r="13667" s="12" customFormat="1" x14ac:dyDescent="0.25"/>
    <row r="13668" s="12" customFormat="1" x14ac:dyDescent="0.25"/>
    <row r="13669" s="12" customFormat="1" x14ac:dyDescent="0.25"/>
    <row r="13670" s="12" customFormat="1" x14ac:dyDescent="0.25"/>
    <row r="13671" s="12" customFormat="1" x14ac:dyDescent="0.25"/>
    <row r="13672" s="12" customFormat="1" x14ac:dyDescent="0.25"/>
    <row r="13673" s="12" customFormat="1" x14ac:dyDescent="0.25"/>
    <row r="13674" s="12" customFormat="1" x14ac:dyDescent="0.25"/>
    <row r="13675" s="12" customFormat="1" x14ac:dyDescent="0.25"/>
    <row r="13676" s="12" customFormat="1" x14ac:dyDescent="0.25"/>
    <row r="13677" s="12" customFormat="1" x14ac:dyDescent="0.25"/>
    <row r="13678" s="12" customFormat="1" x14ac:dyDescent="0.25"/>
    <row r="13679" s="12" customFormat="1" x14ac:dyDescent="0.25"/>
    <row r="13680" s="12" customFormat="1" x14ac:dyDescent="0.25"/>
    <row r="13681" s="12" customFormat="1" x14ac:dyDescent="0.25"/>
    <row r="13682" s="12" customFormat="1" x14ac:dyDescent="0.25"/>
    <row r="13683" s="12" customFormat="1" x14ac:dyDescent="0.25"/>
    <row r="13684" s="12" customFormat="1" x14ac:dyDescent="0.25"/>
    <row r="13685" s="12" customFormat="1" x14ac:dyDescent="0.25"/>
    <row r="13686" s="12" customFormat="1" x14ac:dyDescent="0.25"/>
    <row r="13687" s="12" customFormat="1" x14ac:dyDescent="0.25"/>
    <row r="13688" s="12" customFormat="1" x14ac:dyDescent="0.25"/>
    <row r="13689" s="12" customFormat="1" x14ac:dyDescent="0.25"/>
    <row r="13690" s="12" customFormat="1" x14ac:dyDescent="0.25"/>
    <row r="13691" s="12" customFormat="1" x14ac:dyDescent="0.25"/>
    <row r="13692" s="12" customFormat="1" x14ac:dyDescent="0.25"/>
    <row r="13693" s="12" customFormat="1" x14ac:dyDescent="0.25"/>
    <row r="13694" s="12" customFormat="1" x14ac:dyDescent="0.25"/>
    <row r="13695" s="12" customFormat="1" x14ac:dyDescent="0.25"/>
    <row r="13696" s="12" customFormat="1" x14ac:dyDescent="0.25"/>
    <row r="13697" s="12" customFormat="1" x14ac:dyDescent="0.25"/>
    <row r="13698" s="12" customFormat="1" x14ac:dyDescent="0.25"/>
    <row r="13699" s="12" customFormat="1" x14ac:dyDescent="0.25"/>
    <row r="13700" s="12" customFormat="1" x14ac:dyDescent="0.25"/>
    <row r="13701" s="12" customFormat="1" x14ac:dyDescent="0.25"/>
    <row r="13702" s="12" customFormat="1" x14ac:dyDescent="0.25"/>
    <row r="13703" s="12" customFormat="1" x14ac:dyDescent="0.25"/>
    <row r="13704" s="12" customFormat="1" x14ac:dyDescent="0.25"/>
    <row r="13705" s="12" customFormat="1" x14ac:dyDescent="0.25"/>
    <row r="13706" s="12" customFormat="1" x14ac:dyDescent="0.25"/>
    <row r="13707" s="12" customFormat="1" x14ac:dyDescent="0.25"/>
    <row r="13708" s="12" customFormat="1" x14ac:dyDescent="0.25"/>
    <row r="13709" s="12" customFormat="1" x14ac:dyDescent="0.25"/>
    <row r="13710" s="12" customFormat="1" x14ac:dyDescent="0.25"/>
    <row r="13711" s="12" customFormat="1" x14ac:dyDescent="0.25"/>
    <row r="13712" s="12" customFormat="1" x14ac:dyDescent="0.25"/>
    <row r="13713" s="12" customFormat="1" x14ac:dyDescent="0.25"/>
    <row r="13714" s="12" customFormat="1" x14ac:dyDescent="0.25"/>
    <row r="13715" s="12" customFormat="1" x14ac:dyDescent="0.25"/>
    <row r="13716" s="12" customFormat="1" x14ac:dyDescent="0.25"/>
    <row r="13717" s="12" customFormat="1" x14ac:dyDescent="0.25"/>
    <row r="13718" s="12" customFormat="1" x14ac:dyDescent="0.25"/>
    <row r="13719" s="12" customFormat="1" x14ac:dyDescent="0.25"/>
    <row r="13720" s="12" customFormat="1" x14ac:dyDescent="0.25"/>
    <row r="13721" s="12" customFormat="1" x14ac:dyDescent="0.25"/>
    <row r="13722" s="12" customFormat="1" x14ac:dyDescent="0.25"/>
    <row r="13723" s="12" customFormat="1" x14ac:dyDescent="0.25"/>
    <row r="13724" s="12" customFormat="1" x14ac:dyDescent="0.25"/>
    <row r="13725" s="12" customFormat="1" x14ac:dyDescent="0.25"/>
    <row r="13726" s="12" customFormat="1" x14ac:dyDescent="0.25"/>
    <row r="13727" s="12" customFormat="1" x14ac:dyDescent="0.25"/>
    <row r="13728" s="12" customFormat="1" x14ac:dyDescent="0.25"/>
    <row r="13729" s="12" customFormat="1" x14ac:dyDescent="0.25"/>
    <row r="13730" s="12" customFormat="1" x14ac:dyDescent="0.25"/>
    <row r="13731" s="12" customFormat="1" x14ac:dyDescent="0.25"/>
    <row r="13732" s="12" customFormat="1" x14ac:dyDescent="0.25"/>
    <row r="13733" s="12" customFormat="1" x14ac:dyDescent="0.25"/>
    <row r="13734" s="12" customFormat="1" x14ac:dyDescent="0.25"/>
    <row r="13735" s="12" customFormat="1" x14ac:dyDescent="0.25"/>
    <row r="13736" s="12" customFormat="1" x14ac:dyDescent="0.25"/>
    <row r="13737" s="12" customFormat="1" x14ac:dyDescent="0.25"/>
    <row r="13738" s="12" customFormat="1" x14ac:dyDescent="0.25"/>
    <row r="13739" s="12" customFormat="1" x14ac:dyDescent="0.25"/>
    <row r="13740" s="12" customFormat="1" x14ac:dyDescent="0.25"/>
    <row r="13741" s="12" customFormat="1" x14ac:dyDescent="0.25"/>
    <row r="13742" s="12" customFormat="1" x14ac:dyDescent="0.25"/>
    <row r="13743" s="12" customFormat="1" x14ac:dyDescent="0.25"/>
    <row r="13744" s="12" customFormat="1" x14ac:dyDescent="0.25"/>
    <row r="13745" s="12" customFormat="1" x14ac:dyDescent="0.25"/>
    <row r="13746" s="12" customFormat="1" x14ac:dyDescent="0.25"/>
    <row r="13747" s="12" customFormat="1" x14ac:dyDescent="0.25"/>
    <row r="13748" s="12" customFormat="1" x14ac:dyDescent="0.25"/>
    <row r="13749" s="12" customFormat="1" x14ac:dyDescent="0.25"/>
    <row r="13750" s="12" customFormat="1" x14ac:dyDescent="0.25"/>
    <row r="13751" s="12" customFormat="1" x14ac:dyDescent="0.25"/>
    <row r="13752" s="12" customFormat="1" x14ac:dyDescent="0.25"/>
    <row r="13753" s="12" customFormat="1" x14ac:dyDescent="0.25"/>
    <row r="13754" s="12" customFormat="1" x14ac:dyDescent="0.25"/>
    <row r="13755" s="12" customFormat="1" x14ac:dyDescent="0.25"/>
    <row r="13756" s="12" customFormat="1" x14ac:dyDescent="0.25"/>
    <row r="13757" s="12" customFormat="1" x14ac:dyDescent="0.25"/>
    <row r="13758" s="12" customFormat="1" x14ac:dyDescent="0.25"/>
    <row r="13759" s="12" customFormat="1" x14ac:dyDescent="0.25"/>
    <row r="13760" s="12" customFormat="1" x14ac:dyDescent="0.25"/>
    <row r="13761" s="12" customFormat="1" x14ac:dyDescent="0.25"/>
    <row r="13762" s="12" customFormat="1" x14ac:dyDescent="0.25"/>
    <row r="13763" s="12" customFormat="1" x14ac:dyDescent="0.25"/>
    <row r="13764" s="12" customFormat="1" x14ac:dyDescent="0.25"/>
    <row r="13765" s="12" customFormat="1" x14ac:dyDescent="0.25"/>
    <row r="13766" s="12" customFormat="1" x14ac:dyDescent="0.25"/>
    <row r="13767" s="12" customFormat="1" x14ac:dyDescent="0.25"/>
    <row r="13768" s="12" customFormat="1" x14ac:dyDescent="0.25"/>
    <row r="13769" s="12" customFormat="1" x14ac:dyDescent="0.25"/>
    <row r="13770" s="12" customFormat="1" x14ac:dyDescent="0.25"/>
    <row r="13771" s="12" customFormat="1" x14ac:dyDescent="0.25"/>
    <row r="13772" s="12" customFormat="1" x14ac:dyDescent="0.25"/>
    <row r="13773" s="12" customFormat="1" x14ac:dyDescent="0.25"/>
    <row r="13774" s="12" customFormat="1" x14ac:dyDescent="0.25"/>
    <row r="13775" s="12" customFormat="1" x14ac:dyDescent="0.25"/>
    <row r="13776" s="12" customFormat="1" x14ac:dyDescent="0.25"/>
    <row r="13777" s="12" customFormat="1" x14ac:dyDescent="0.25"/>
    <row r="13778" s="12" customFormat="1" x14ac:dyDescent="0.25"/>
    <row r="13779" s="12" customFormat="1" x14ac:dyDescent="0.25"/>
    <row r="13780" s="12" customFormat="1" x14ac:dyDescent="0.25"/>
    <row r="13781" s="12" customFormat="1" x14ac:dyDescent="0.25"/>
    <row r="13782" s="12" customFormat="1" x14ac:dyDescent="0.25"/>
    <row r="13783" s="12" customFormat="1" x14ac:dyDescent="0.25"/>
    <row r="13784" s="12" customFormat="1" x14ac:dyDescent="0.25"/>
    <row r="13785" s="12" customFormat="1" x14ac:dyDescent="0.25"/>
    <row r="13786" s="12" customFormat="1" x14ac:dyDescent="0.25"/>
    <row r="13787" s="12" customFormat="1" x14ac:dyDescent="0.25"/>
    <row r="13788" s="12" customFormat="1" x14ac:dyDescent="0.25"/>
    <row r="13789" s="12" customFormat="1" x14ac:dyDescent="0.25"/>
    <row r="13790" s="12" customFormat="1" x14ac:dyDescent="0.25"/>
    <row r="13791" s="12" customFormat="1" x14ac:dyDescent="0.25"/>
    <row r="13792" s="12" customFormat="1" x14ac:dyDescent="0.25"/>
    <row r="13793" s="12" customFormat="1" x14ac:dyDescent="0.25"/>
    <row r="13794" s="12" customFormat="1" x14ac:dyDescent="0.25"/>
    <row r="13795" s="12" customFormat="1" x14ac:dyDescent="0.25"/>
    <row r="13796" s="12" customFormat="1" x14ac:dyDescent="0.25"/>
    <row r="13797" s="12" customFormat="1" x14ac:dyDescent="0.25"/>
    <row r="13798" s="12" customFormat="1" x14ac:dyDescent="0.25"/>
    <row r="13799" s="12" customFormat="1" x14ac:dyDescent="0.25"/>
    <row r="13800" s="12" customFormat="1" x14ac:dyDescent="0.25"/>
    <row r="13801" s="12" customFormat="1" x14ac:dyDescent="0.25"/>
    <row r="13802" s="12" customFormat="1" x14ac:dyDescent="0.25"/>
    <row r="13803" s="12" customFormat="1" x14ac:dyDescent="0.25"/>
    <row r="13804" s="12" customFormat="1" x14ac:dyDescent="0.25"/>
    <row r="13805" s="12" customFormat="1" x14ac:dyDescent="0.25"/>
    <row r="13806" s="12" customFormat="1" x14ac:dyDescent="0.25"/>
    <row r="13807" s="12" customFormat="1" x14ac:dyDescent="0.25"/>
    <row r="13808" s="12" customFormat="1" x14ac:dyDescent="0.25"/>
    <row r="13809" s="12" customFormat="1" x14ac:dyDescent="0.25"/>
    <row r="13810" s="12" customFormat="1" x14ac:dyDescent="0.25"/>
    <row r="13811" s="12" customFormat="1" x14ac:dyDescent="0.25"/>
    <row r="13812" s="12" customFormat="1" x14ac:dyDescent="0.25"/>
    <row r="13813" s="12" customFormat="1" x14ac:dyDescent="0.25"/>
    <row r="13814" s="12" customFormat="1" x14ac:dyDescent="0.25"/>
    <row r="13815" s="12" customFormat="1" x14ac:dyDescent="0.25"/>
    <row r="13816" s="12" customFormat="1" x14ac:dyDescent="0.25"/>
    <row r="13817" s="12" customFormat="1" x14ac:dyDescent="0.25"/>
    <row r="13818" s="12" customFormat="1" x14ac:dyDescent="0.25"/>
    <row r="13819" s="12" customFormat="1" x14ac:dyDescent="0.25"/>
    <row r="13820" s="12" customFormat="1" x14ac:dyDescent="0.25"/>
    <row r="13821" s="12" customFormat="1" x14ac:dyDescent="0.25"/>
    <row r="13822" s="12" customFormat="1" x14ac:dyDescent="0.25"/>
    <row r="13823" s="12" customFormat="1" x14ac:dyDescent="0.25"/>
    <row r="13824" s="12" customFormat="1" x14ac:dyDescent="0.25"/>
    <row r="13825" s="12" customFormat="1" x14ac:dyDescent="0.25"/>
    <row r="13826" s="12" customFormat="1" x14ac:dyDescent="0.25"/>
    <row r="13827" s="12" customFormat="1" x14ac:dyDescent="0.25"/>
    <row r="13828" s="12" customFormat="1" x14ac:dyDescent="0.25"/>
    <row r="13829" s="12" customFormat="1" x14ac:dyDescent="0.25"/>
    <row r="13830" s="12" customFormat="1" x14ac:dyDescent="0.25"/>
    <row r="13831" s="12" customFormat="1" x14ac:dyDescent="0.25"/>
    <row r="13832" s="12" customFormat="1" x14ac:dyDescent="0.25"/>
    <row r="13833" s="12" customFormat="1" x14ac:dyDescent="0.25"/>
    <row r="13834" s="12" customFormat="1" x14ac:dyDescent="0.25"/>
    <row r="13835" s="12" customFormat="1" x14ac:dyDescent="0.25"/>
    <row r="13836" s="12" customFormat="1" x14ac:dyDescent="0.25"/>
    <row r="13837" s="12" customFormat="1" x14ac:dyDescent="0.25"/>
    <row r="13838" s="12" customFormat="1" x14ac:dyDescent="0.25"/>
    <row r="13839" s="12" customFormat="1" x14ac:dyDescent="0.25"/>
    <row r="13840" s="12" customFormat="1" x14ac:dyDescent="0.25"/>
    <row r="13841" s="12" customFormat="1" x14ac:dyDescent="0.25"/>
    <row r="13842" s="12" customFormat="1" x14ac:dyDescent="0.25"/>
    <row r="13843" s="12" customFormat="1" x14ac:dyDescent="0.25"/>
    <row r="13844" s="12" customFormat="1" x14ac:dyDescent="0.25"/>
    <row r="13845" s="12" customFormat="1" x14ac:dyDescent="0.25"/>
    <row r="13846" s="12" customFormat="1" x14ac:dyDescent="0.25"/>
    <row r="13847" s="12" customFormat="1" x14ac:dyDescent="0.25"/>
    <row r="13848" s="12" customFormat="1" x14ac:dyDescent="0.25"/>
    <row r="13849" s="12" customFormat="1" x14ac:dyDescent="0.25"/>
    <row r="13850" s="12" customFormat="1" x14ac:dyDescent="0.25"/>
    <row r="13851" s="12" customFormat="1" x14ac:dyDescent="0.25"/>
    <row r="13852" s="12" customFormat="1" x14ac:dyDescent="0.25"/>
    <row r="13853" s="12" customFormat="1" x14ac:dyDescent="0.25"/>
    <row r="13854" s="12" customFormat="1" x14ac:dyDescent="0.25"/>
    <row r="13855" s="12" customFormat="1" x14ac:dyDescent="0.25"/>
    <row r="13856" s="12" customFormat="1" x14ac:dyDescent="0.25"/>
    <row r="13857" s="12" customFormat="1" x14ac:dyDescent="0.25"/>
    <row r="13858" s="12" customFormat="1" x14ac:dyDescent="0.25"/>
    <row r="13859" s="12" customFormat="1" x14ac:dyDescent="0.25"/>
    <row r="13860" s="12" customFormat="1" x14ac:dyDescent="0.25"/>
    <row r="13861" s="12" customFormat="1" x14ac:dyDescent="0.25"/>
    <row r="13862" s="12" customFormat="1" x14ac:dyDescent="0.25"/>
    <row r="13863" s="12" customFormat="1" x14ac:dyDescent="0.25"/>
    <row r="13864" s="12" customFormat="1" x14ac:dyDescent="0.25"/>
    <row r="13865" s="12" customFormat="1" x14ac:dyDescent="0.25"/>
    <row r="13866" s="12" customFormat="1" x14ac:dyDescent="0.25"/>
    <row r="13867" s="12" customFormat="1" x14ac:dyDescent="0.25"/>
    <row r="13868" s="12" customFormat="1" x14ac:dyDescent="0.25"/>
    <row r="13869" s="12" customFormat="1" x14ac:dyDescent="0.25"/>
    <row r="13870" s="12" customFormat="1" x14ac:dyDescent="0.25"/>
    <row r="13871" s="12" customFormat="1" x14ac:dyDescent="0.25"/>
    <row r="13872" s="12" customFormat="1" x14ac:dyDescent="0.25"/>
    <row r="13873" s="12" customFormat="1" x14ac:dyDescent="0.25"/>
    <row r="13874" s="12" customFormat="1" x14ac:dyDescent="0.25"/>
    <row r="13875" s="12" customFormat="1" x14ac:dyDescent="0.25"/>
    <row r="13876" s="12" customFormat="1" x14ac:dyDescent="0.25"/>
    <row r="13877" s="12" customFormat="1" x14ac:dyDescent="0.25"/>
    <row r="13878" s="12" customFormat="1" x14ac:dyDescent="0.25"/>
    <row r="13879" s="12" customFormat="1" x14ac:dyDescent="0.25"/>
    <row r="13880" s="12" customFormat="1" x14ac:dyDescent="0.25"/>
    <row r="13881" s="12" customFormat="1" x14ac:dyDescent="0.25"/>
    <row r="13882" s="12" customFormat="1" x14ac:dyDescent="0.25"/>
    <row r="13883" s="12" customFormat="1" x14ac:dyDescent="0.25"/>
    <row r="13884" s="12" customFormat="1" x14ac:dyDescent="0.25"/>
    <row r="13885" s="12" customFormat="1" x14ac:dyDescent="0.25"/>
    <row r="13886" s="12" customFormat="1" x14ac:dyDescent="0.25"/>
    <row r="13887" s="12" customFormat="1" x14ac:dyDescent="0.25"/>
    <row r="13888" s="12" customFormat="1" x14ac:dyDescent="0.25"/>
    <row r="13889" s="12" customFormat="1" x14ac:dyDescent="0.25"/>
    <row r="13890" s="12" customFormat="1" x14ac:dyDescent="0.25"/>
    <row r="13891" s="12" customFormat="1" x14ac:dyDescent="0.25"/>
    <row r="13892" s="12" customFormat="1" x14ac:dyDescent="0.25"/>
    <row r="13893" s="12" customFormat="1" x14ac:dyDescent="0.25"/>
    <row r="13894" s="12" customFormat="1" x14ac:dyDescent="0.25"/>
    <row r="13895" s="12" customFormat="1" x14ac:dyDescent="0.25"/>
    <row r="13896" s="12" customFormat="1" x14ac:dyDescent="0.25"/>
    <row r="13897" s="12" customFormat="1" x14ac:dyDescent="0.25"/>
    <row r="13898" s="12" customFormat="1" x14ac:dyDescent="0.25"/>
    <row r="13899" s="12" customFormat="1" x14ac:dyDescent="0.25"/>
    <row r="13900" s="12" customFormat="1" x14ac:dyDescent="0.25"/>
    <row r="13901" s="12" customFormat="1" x14ac:dyDescent="0.25"/>
    <row r="13902" s="12" customFormat="1" x14ac:dyDescent="0.25"/>
    <row r="13903" s="12" customFormat="1" x14ac:dyDescent="0.25"/>
    <row r="13904" s="12" customFormat="1" x14ac:dyDescent="0.25"/>
    <row r="13905" s="12" customFormat="1" x14ac:dyDescent="0.25"/>
    <row r="13906" s="12" customFormat="1" x14ac:dyDescent="0.25"/>
    <row r="13907" s="12" customFormat="1" x14ac:dyDescent="0.25"/>
    <row r="13908" s="12" customFormat="1" x14ac:dyDescent="0.25"/>
    <row r="13909" s="12" customFormat="1" x14ac:dyDescent="0.25"/>
    <row r="13910" s="12" customFormat="1" x14ac:dyDescent="0.25"/>
    <row r="13911" s="12" customFormat="1" x14ac:dyDescent="0.25"/>
    <row r="13912" s="12" customFormat="1" x14ac:dyDescent="0.25"/>
    <row r="13913" s="12" customFormat="1" x14ac:dyDescent="0.25"/>
    <row r="13914" s="12" customFormat="1" x14ac:dyDescent="0.25"/>
    <row r="13915" s="12" customFormat="1" x14ac:dyDescent="0.25"/>
    <row r="13916" s="12" customFormat="1" x14ac:dyDescent="0.25"/>
    <row r="13917" s="12" customFormat="1" x14ac:dyDescent="0.25"/>
    <row r="13918" s="12" customFormat="1" x14ac:dyDescent="0.25"/>
    <row r="13919" s="12" customFormat="1" x14ac:dyDescent="0.25"/>
    <row r="13920" s="12" customFormat="1" x14ac:dyDescent="0.25"/>
    <row r="13921" s="12" customFormat="1" x14ac:dyDescent="0.25"/>
    <row r="13922" s="12" customFormat="1" x14ac:dyDescent="0.25"/>
    <row r="13923" s="12" customFormat="1" x14ac:dyDescent="0.25"/>
    <row r="13924" s="12" customFormat="1" x14ac:dyDescent="0.25"/>
    <row r="13925" s="12" customFormat="1" x14ac:dyDescent="0.25"/>
    <row r="13926" s="12" customFormat="1" x14ac:dyDescent="0.25"/>
    <row r="13927" s="12" customFormat="1" x14ac:dyDescent="0.25"/>
    <row r="13928" s="12" customFormat="1" x14ac:dyDescent="0.25"/>
    <row r="13929" s="12" customFormat="1" x14ac:dyDescent="0.25"/>
    <row r="13930" s="12" customFormat="1" x14ac:dyDescent="0.25"/>
    <row r="13931" s="12" customFormat="1" x14ac:dyDescent="0.25"/>
    <row r="13932" s="12" customFormat="1" x14ac:dyDescent="0.25"/>
    <row r="13933" s="12" customFormat="1" x14ac:dyDescent="0.25"/>
    <row r="13934" s="12" customFormat="1" x14ac:dyDescent="0.25"/>
    <row r="13935" s="12" customFormat="1" x14ac:dyDescent="0.25"/>
    <row r="13936" s="12" customFormat="1" x14ac:dyDescent="0.25"/>
    <row r="13937" s="12" customFormat="1" x14ac:dyDescent="0.25"/>
    <row r="13938" s="12" customFormat="1" x14ac:dyDescent="0.25"/>
    <row r="13939" s="12" customFormat="1" x14ac:dyDescent="0.25"/>
    <row r="13940" s="12" customFormat="1" x14ac:dyDescent="0.25"/>
    <row r="13941" s="12" customFormat="1" x14ac:dyDescent="0.25"/>
    <row r="13942" s="12" customFormat="1" x14ac:dyDescent="0.25"/>
    <row r="13943" s="12" customFormat="1" x14ac:dyDescent="0.25"/>
    <row r="13944" s="12" customFormat="1" x14ac:dyDescent="0.25"/>
    <row r="13945" s="12" customFormat="1" x14ac:dyDescent="0.25"/>
    <row r="13946" s="12" customFormat="1" x14ac:dyDescent="0.25"/>
    <row r="13947" s="12" customFormat="1" x14ac:dyDescent="0.25"/>
    <row r="13948" s="12" customFormat="1" x14ac:dyDescent="0.25"/>
    <row r="13949" s="12" customFormat="1" x14ac:dyDescent="0.25"/>
    <row r="13950" s="12" customFormat="1" x14ac:dyDescent="0.25"/>
    <row r="13951" s="12" customFormat="1" x14ac:dyDescent="0.25"/>
    <row r="13952" s="12" customFormat="1" x14ac:dyDescent="0.25"/>
    <row r="13953" s="12" customFormat="1" x14ac:dyDescent="0.25"/>
    <row r="13954" s="12" customFormat="1" x14ac:dyDescent="0.25"/>
    <row r="13955" s="12" customFormat="1" x14ac:dyDescent="0.25"/>
    <row r="13956" s="12" customFormat="1" x14ac:dyDescent="0.25"/>
    <row r="13957" s="12" customFormat="1" x14ac:dyDescent="0.25"/>
    <row r="13958" s="12" customFormat="1" x14ac:dyDescent="0.25"/>
    <row r="13959" s="12" customFormat="1" x14ac:dyDescent="0.25"/>
    <row r="13960" s="12" customFormat="1" x14ac:dyDescent="0.25"/>
    <row r="13961" s="12" customFormat="1" x14ac:dyDescent="0.25"/>
    <row r="13962" s="12" customFormat="1" x14ac:dyDescent="0.25"/>
    <row r="13963" s="12" customFormat="1" x14ac:dyDescent="0.25"/>
    <row r="13964" s="12" customFormat="1" x14ac:dyDescent="0.25"/>
    <row r="13965" s="12" customFormat="1" x14ac:dyDescent="0.25"/>
    <row r="13966" s="12" customFormat="1" x14ac:dyDescent="0.25"/>
    <row r="13967" s="12" customFormat="1" x14ac:dyDescent="0.25"/>
    <row r="13968" s="12" customFormat="1" x14ac:dyDescent="0.25"/>
    <row r="13969" s="12" customFormat="1" x14ac:dyDescent="0.25"/>
    <row r="13970" s="12" customFormat="1" x14ac:dyDescent="0.25"/>
    <row r="13971" s="12" customFormat="1" x14ac:dyDescent="0.25"/>
    <row r="13972" s="12" customFormat="1" x14ac:dyDescent="0.25"/>
    <row r="13973" s="12" customFormat="1" x14ac:dyDescent="0.25"/>
    <row r="13974" s="12" customFormat="1" x14ac:dyDescent="0.25"/>
    <row r="13975" s="12" customFormat="1" x14ac:dyDescent="0.25"/>
    <row r="13976" s="12" customFormat="1" x14ac:dyDescent="0.25"/>
    <row r="13977" s="12" customFormat="1" x14ac:dyDescent="0.25"/>
    <row r="13978" s="12" customFormat="1" x14ac:dyDescent="0.25"/>
    <row r="13979" s="12" customFormat="1" x14ac:dyDescent="0.25"/>
    <row r="13980" s="12" customFormat="1" x14ac:dyDescent="0.25"/>
    <row r="13981" s="12" customFormat="1" x14ac:dyDescent="0.25"/>
    <row r="13982" s="12" customFormat="1" x14ac:dyDescent="0.25"/>
    <row r="13983" s="12" customFormat="1" x14ac:dyDescent="0.25"/>
    <row r="13984" s="12" customFormat="1" x14ac:dyDescent="0.25"/>
    <row r="13985" s="12" customFormat="1" x14ac:dyDescent="0.25"/>
    <row r="13986" s="12" customFormat="1" x14ac:dyDescent="0.25"/>
    <row r="13987" s="12" customFormat="1" x14ac:dyDescent="0.25"/>
    <row r="13988" s="12" customFormat="1" x14ac:dyDescent="0.25"/>
    <row r="13989" s="12" customFormat="1" x14ac:dyDescent="0.25"/>
    <row r="13990" s="12" customFormat="1" x14ac:dyDescent="0.25"/>
    <row r="13991" s="12" customFormat="1" x14ac:dyDescent="0.25"/>
    <row r="13992" s="12" customFormat="1" x14ac:dyDescent="0.25"/>
    <row r="13993" s="12" customFormat="1" x14ac:dyDescent="0.25"/>
    <row r="13994" s="12" customFormat="1" x14ac:dyDescent="0.25"/>
    <row r="13995" s="12" customFormat="1" x14ac:dyDescent="0.25"/>
    <row r="13996" s="12" customFormat="1" x14ac:dyDescent="0.25"/>
    <row r="13997" s="12" customFormat="1" x14ac:dyDescent="0.25"/>
    <row r="13998" s="12" customFormat="1" x14ac:dyDescent="0.25"/>
    <row r="13999" s="12" customFormat="1" x14ac:dyDescent="0.25"/>
    <row r="14000" s="12" customFormat="1" x14ac:dyDescent="0.25"/>
    <row r="14001" s="12" customFormat="1" x14ac:dyDescent="0.25"/>
    <row r="14002" s="12" customFormat="1" x14ac:dyDescent="0.25"/>
    <row r="14003" s="12" customFormat="1" x14ac:dyDescent="0.25"/>
    <row r="14004" s="12" customFormat="1" x14ac:dyDescent="0.25"/>
    <row r="14005" s="12" customFormat="1" x14ac:dyDescent="0.25"/>
    <row r="14006" s="12" customFormat="1" x14ac:dyDescent="0.25"/>
    <row r="14007" s="12" customFormat="1" x14ac:dyDescent="0.25"/>
    <row r="14008" s="12" customFormat="1" x14ac:dyDescent="0.25"/>
    <row r="14009" s="12" customFormat="1" x14ac:dyDescent="0.25"/>
    <row r="14010" s="12" customFormat="1" x14ac:dyDescent="0.25"/>
    <row r="14011" s="12" customFormat="1" x14ac:dyDescent="0.25"/>
    <row r="14012" s="12" customFormat="1" x14ac:dyDescent="0.25"/>
    <row r="14013" s="12" customFormat="1" x14ac:dyDescent="0.25"/>
    <row r="14014" s="12" customFormat="1" x14ac:dyDescent="0.25"/>
    <row r="14015" s="12" customFormat="1" x14ac:dyDescent="0.25"/>
    <row r="14016" s="12" customFormat="1" x14ac:dyDescent="0.25"/>
    <row r="14017" s="12" customFormat="1" x14ac:dyDescent="0.25"/>
    <row r="14018" s="12" customFormat="1" x14ac:dyDescent="0.25"/>
    <row r="14019" s="12" customFormat="1" x14ac:dyDescent="0.25"/>
    <row r="14020" s="12" customFormat="1" x14ac:dyDescent="0.25"/>
    <row r="14021" s="12" customFormat="1" x14ac:dyDescent="0.25"/>
    <row r="14022" s="12" customFormat="1" x14ac:dyDescent="0.25"/>
    <row r="14023" s="12" customFormat="1" x14ac:dyDescent="0.25"/>
    <row r="14024" s="12" customFormat="1" x14ac:dyDescent="0.25"/>
    <row r="14025" s="12" customFormat="1" x14ac:dyDescent="0.25"/>
    <row r="14026" s="12" customFormat="1" x14ac:dyDescent="0.25"/>
    <row r="14027" s="12" customFormat="1" x14ac:dyDescent="0.25"/>
    <row r="14028" s="12" customFormat="1" x14ac:dyDescent="0.25"/>
    <row r="14029" s="12" customFormat="1" x14ac:dyDescent="0.25"/>
    <row r="14030" s="12" customFormat="1" x14ac:dyDescent="0.25"/>
    <row r="14031" s="12" customFormat="1" x14ac:dyDescent="0.25"/>
    <row r="14032" s="12" customFormat="1" x14ac:dyDescent="0.25"/>
    <row r="14033" s="12" customFormat="1" x14ac:dyDescent="0.25"/>
    <row r="14034" s="12" customFormat="1" x14ac:dyDescent="0.25"/>
    <row r="14035" s="12" customFormat="1" x14ac:dyDescent="0.25"/>
    <row r="14036" s="12" customFormat="1" x14ac:dyDescent="0.25"/>
    <row r="14037" s="12" customFormat="1" x14ac:dyDescent="0.25"/>
    <row r="14038" s="12" customFormat="1" x14ac:dyDescent="0.25"/>
    <row r="14039" s="12" customFormat="1" x14ac:dyDescent="0.25"/>
    <row r="14040" s="12" customFormat="1" x14ac:dyDescent="0.25"/>
    <row r="14041" s="12" customFormat="1" x14ac:dyDescent="0.25"/>
    <row r="14042" s="12" customFormat="1" x14ac:dyDescent="0.25"/>
    <row r="14043" s="12" customFormat="1" x14ac:dyDescent="0.25"/>
    <row r="14044" s="12" customFormat="1" x14ac:dyDescent="0.25"/>
    <row r="14045" s="12" customFormat="1" x14ac:dyDescent="0.25"/>
    <row r="14046" s="12" customFormat="1" x14ac:dyDescent="0.25"/>
    <row r="14047" s="12" customFormat="1" x14ac:dyDescent="0.25"/>
    <row r="14048" s="12" customFormat="1" x14ac:dyDescent="0.25"/>
    <row r="14049" s="12" customFormat="1" x14ac:dyDescent="0.25"/>
    <row r="14050" s="12" customFormat="1" x14ac:dyDescent="0.25"/>
    <row r="14051" s="12" customFormat="1" x14ac:dyDescent="0.25"/>
    <row r="14052" s="12" customFormat="1" x14ac:dyDescent="0.25"/>
    <row r="14053" s="12" customFormat="1" x14ac:dyDescent="0.25"/>
    <row r="14054" s="12" customFormat="1" x14ac:dyDescent="0.25"/>
    <row r="14055" s="12" customFormat="1" x14ac:dyDescent="0.25"/>
    <row r="14056" s="12" customFormat="1" x14ac:dyDescent="0.25"/>
    <row r="14057" s="12" customFormat="1" x14ac:dyDescent="0.25"/>
    <row r="14058" s="12" customFormat="1" x14ac:dyDescent="0.25"/>
    <row r="14059" s="12" customFormat="1" x14ac:dyDescent="0.25"/>
    <row r="14060" s="12" customFormat="1" x14ac:dyDescent="0.25"/>
    <row r="14061" s="12" customFormat="1" x14ac:dyDescent="0.25"/>
    <row r="14062" s="12" customFormat="1" x14ac:dyDescent="0.25"/>
    <row r="14063" s="12" customFormat="1" x14ac:dyDescent="0.25"/>
    <row r="14064" s="12" customFormat="1" x14ac:dyDescent="0.25"/>
    <row r="14065" s="12" customFormat="1" x14ac:dyDescent="0.25"/>
    <row r="14066" s="12" customFormat="1" x14ac:dyDescent="0.25"/>
    <row r="14067" s="12" customFormat="1" x14ac:dyDescent="0.25"/>
    <row r="14068" s="12" customFormat="1" x14ac:dyDescent="0.25"/>
    <row r="14069" s="12" customFormat="1" x14ac:dyDescent="0.25"/>
    <row r="14070" s="12" customFormat="1" x14ac:dyDescent="0.25"/>
    <row r="14071" s="12" customFormat="1" x14ac:dyDescent="0.25"/>
    <row r="14072" s="12" customFormat="1" x14ac:dyDescent="0.25"/>
    <row r="14073" s="12" customFormat="1" x14ac:dyDescent="0.25"/>
    <row r="14074" s="12" customFormat="1" x14ac:dyDescent="0.25"/>
    <row r="14075" s="12" customFormat="1" x14ac:dyDescent="0.25"/>
    <row r="14076" s="12" customFormat="1" x14ac:dyDescent="0.25"/>
    <row r="14077" s="12" customFormat="1" x14ac:dyDescent="0.25"/>
    <row r="14078" s="12" customFormat="1" x14ac:dyDescent="0.25"/>
    <row r="14079" s="12" customFormat="1" x14ac:dyDescent="0.25"/>
    <row r="14080" s="12" customFormat="1" x14ac:dyDescent="0.25"/>
    <row r="14081" s="12" customFormat="1" x14ac:dyDescent="0.25"/>
    <row r="14082" s="12" customFormat="1" x14ac:dyDescent="0.25"/>
    <row r="14083" s="12" customFormat="1" x14ac:dyDescent="0.25"/>
    <row r="14084" s="12" customFormat="1" x14ac:dyDescent="0.25"/>
    <row r="14085" s="12" customFormat="1" x14ac:dyDescent="0.25"/>
    <row r="14086" s="12" customFormat="1" x14ac:dyDescent="0.25"/>
    <row r="14087" s="12" customFormat="1" x14ac:dyDescent="0.25"/>
    <row r="14088" s="12" customFormat="1" x14ac:dyDescent="0.25"/>
    <row r="14089" s="12" customFormat="1" x14ac:dyDescent="0.25"/>
    <row r="14090" s="12" customFormat="1" x14ac:dyDescent="0.25"/>
    <row r="14091" s="12" customFormat="1" x14ac:dyDescent="0.25"/>
    <row r="14092" s="12" customFormat="1" x14ac:dyDescent="0.25"/>
    <row r="14093" s="12" customFormat="1" x14ac:dyDescent="0.25"/>
    <row r="14094" s="12" customFormat="1" x14ac:dyDescent="0.25"/>
    <row r="14095" s="12" customFormat="1" x14ac:dyDescent="0.25"/>
    <row r="14096" s="12" customFormat="1" x14ac:dyDescent="0.25"/>
    <row r="14097" s="12" customFormat="1" x14ac:dyDescent="0.25"/>
    <row r="14098" s="12" customFormat="1" x14ac:dyDescent="0.25"/>
    <row r="14099" s="12" customFormat="1" x14ac:dyDescent="0.25"/>
    <row r="14100" s="12" customFormat="1" x14ac:dyDescent="0.25"/>
    <row r="14101" s="12" customFormat="1" x14ac:dyDescent="0.25"/>
    <row r="14102" s="12" customFormat="1" x14ac:dyDescent="0.25"/>
    <row r="14103" s="12" customFormat="1" x14ac:dyDescent="0.25"/>
    <row r="14104" s="12" customFormat="1" x14ac:dyDescent="0.25"/>
    <row r="14105" s="12" customFormat="1" x14ac:dyDescent="0.25"/>
    <row r="14106" s="12" customFormat="1" x14ac:dyDescent="0.25"/>
    <row r="14107" s="12" customFormat="1" x14ac:dyDescent="0.25"/>
    <row r="14108" s="12" customFormat="1" x14ac:dyDescent="0.25"/>
    <row r="14109" s="12" customFormat="1" x14ac:dyDescent="0.25"/>
    <row r="14110" s="12" customFormat="1" x14ac:dyDescent="0.25"/>
    <row r="14111" s="12" customFormat="1" x14ac:dyDescent="0.25"/>
    <row r="14112" s="12" customFormat="1" x14ac:dyDescent="0.25"/>
    <row r="14113" s="12" customFormat="1" x14ac:dyDescent="0.25"/>
    <row r="14114" s="12" customFormat="1" x14ac:dyDescent="0.25"/>
    <row r="14115" s="12" customFormat="1" x14ac:dyDescent="0.25"/>
    <row r="14116" s="12" customFormat="1" x14ac:dyDescent="0.25"/>
    <row r="14117" s="12" customFormat="1" x14ac:dyDescent="0.25"/>
    <row r="14118" s="12" customFormat="1" x14ac:dyDescent="0.25"/>
    <row r="14119" s="12" customFormat="1" x14ac:dyDescent="0.25"/>
    <row r="14120" s="12" customFormat="1" x14ac:dyDescent="0.25"/>
    <row r="14121" s="12" customFormat="1" x14ac:dyDescent="0.25"/>
    <row r="14122" s="12" customFormat="1" x14ac:dyDescent="0.25"/>
    <row r="14123" s="12" customFormat="1" x14ac:dyDescent="0.25"/>
    <row r="14124" s="12" customFormat="1" x14ac:dyDescent="0.25"/>
    <row r="14125" s="12" customFormat="1" x14ac:dyDescent="0.25"/>
    <row r="14126" s="12" customFormat="1" x14ac:dyDescent="0.25"/>
    <row r="14127" s="12" customFormat="1" x14ac:dyDescent="0.25"/>
    <row r="14128" s="12" customFormat="1" x14ac:dyDescent="0.25"/>
    <row r="14129" s="12" customFormat="1" x14ac:dyDescent="0.25"/>
    <row r="14130" s="12" customFormat="1" x14ac:dyDescent="0.25"/>
    <row r="14131" s="12" customFormat="1" x14ac:dyDescent="0.25"/>
    <row r="14132" s="12" customFormat="1" x14ac:dyDescent="0.25"/>
    <row r="14133" s="12" customFormat="1" x14ac:dyDescent="0.25"/>
    <row r="14134" s="12" customFormat="1" x14ac:dyDescent="0.25"/>
    <row r="14135" s="12" customFormat="1" x14ac:dyDescent="0.25"/>
    <row r="14136" s="12" customFormat="1" x14ac:dyDescent="0.25"/>
    <row r="14137" s="12" customFormat="1" x14ac:dyDescent="0.25"/>
    <row r="14138" s="12" customFormat="1" x14ac:dyDescent="0.25"/>
    <row r="14139" s="12" customFormat="1" x14ac:dyDescent="0.25"/>
    <row r="14140" s="12" customFormat="1" x14ac:dyDescent="0.25"/>
    <row r="14141" s="12" customFormat="1" x14ac:dyDescent="0.25"/>
    <row r="14142" s="12" customFormat="1" x14ac:dyDescent="0.25"/>
    <row r="14143" s="12" customFormat="1" x14ac:dyDescent="0.25"/>
    <row r="14144" s="12" customFormat="1" x14ac:dyDescent="0.25"/>
    <row r="14145" s="12" customFormat="1" x14ac:dyDescent="0.25"/>
    <row r="14146" s="12" customFormat="1" x14ac:dyDescent="0.25"/>
    <row r="14147" s="12" customFormat="1" x14ac:dyDescent="0.25"/>
    <row r="14148" s="12" customFormat="1" x14ac:dyDescent="0.25"/>
    <row r="14149" s="12" customFormat="1" x14ac:dyDescent="0.25"/>
    <row r="14150" s="12" customFormat="1" x14ac:dyDescent="0.25"/>
    <row r="14151" s="12" customFormat="1" x14ac:dyDescent="0.25"/>
    <row r="14152" s="12" customFormat="1" x14ac:dyDescent="0.25"/>
    <row r="14153" s="12" customFormat="1" x14ac:dyDescent="0.25"/>
    <row r="14154" s="12" customFormat="1" x14ac:dyDescent="0.25"/>
    <row r="14155" s="12" customFormat="1" x14ac:dyDescent="0.25"/>
    <row r="14156" s="12" customFormat="1" x14ac:dyDescent="0.25"/>
    <row r="14157" s="12" customFormat="1" x14ac:dyDescent="0.25"/>
    <row r="14158" s="12" customFormat="1" x14ac:dyDescent="0.25"/>
    <row r="14159" s="12" customFormat="1" x14ac:dyDescent="0.25"/>
    <row r="14160" s="12" customFormat="1" x14ac:dyDescent="0.25"/>
    <row r="14161" s="12" customFormat="1" x14ac:dyDescent="0.25"/>
    <row r="14162" s="12" customFormat="1" x14ac:dyDescent="0.25"/>
    <row r="14163" s="12" customFormat="1" x14ac:dyDescent="0.25"/>
    <row r="14164" s="12" customFormat="1" x14ac:dyDescent="0.25"/>
    <row r="14165" s="12" customFormat="1" x14ac:dyDescent="0.25"/>
    <row r="14166" s="12" customFormat="1" x14ac:dyDescent="0.25"/>
    <row r="14167" s="12" customFormat="1" x14ac:dyDescent="0.25"/>
    <row r="14168" s="12" customFormat="1" x14ac:dyDescent="0.25"/>
    <row r="14169" s="12" customFormat="1" x14ac:dyDescent="0.25"/>
    <row r="14170" s="12" customFormat="1" x14ac:dyDescent="0.25"/>
    <row r="14171" s="12" customFormat="1" x14ac:dyDescent="0.25"/>
    <row r="14172" s="12" customFormat="1" x14ac:dyDescent="0.25"/>
    <row r="14173" s="12" customFormat="1" x14ac:dyDescent="0.25"/>
    <row r="14174" s="12" customFormat="1" x14ac:dyDescent="0.25"/>
    <row r="14175" s="12" customFormat="1" x14ac:dyDescent="0.25"/>
    <row r="14176" s="12" customFormat="1" x14ac:dyDescent="0.25"/>
    <row r="14177" s="12" customFormat="1" x14ac:dyDescent="0.25"/>
    <row r="14178" s="12" customFormat="1" x14ac:dyDescent="0.25"/>
    <row r="14179" s="12" customFormat="1" x14ac:dyDescent="0.25"/>
    <row r="14180" s="12" customFormat="1" x14ac:dyDescent="0.25"/>
    <row r="14181" s="12" customFormat="1" x14ac:dyDescent="0.25"/>
    <row r="14182" s="12" customFormat="1" x14ac:dyDescent="0.25"/>
    <row r="14183" s="12" customFormat="1" x14ac:dyDescent="0.25"/>
    <row r="14184" s="12" customFormat="1" x14ac:dyDescent="0.25"/>
    <row r="14185" s="12" customFormat="1" x14ac:dyDescent="0.25"/>
    <row r="14186" s="12" customFormat="1" x14ac:dyDescent="0.25"/>
    <row r="14187" s="12" customFormat="1" x14ac:dyDescent="0.25"/>
    <row r="14188" s="12" customFormat="1" x14ac:dyDescent="0.25"/>
    <row r="14189" s="12" customFormat="1" x14ac:dyDescent="0.25"/>
    <row r="14190" s="12" customFormat="1" x14ac:dyDescent="0.25"/>
    <row r="14191" s="12" customFormat="1" x14ac:dyDescent="0.25"/>
    <row r="14192" s="12" customFormat="1" x14ac:dyDescent="0.25"/>
    <row r="14193" s="12" customFormat="1" x14ac:dyDescent="0.25"/>
    <row r="14194" s="12" customFormat="1" x14ac:dyDescent="0.25"/>
    <row r="14195" s="12" customFormat="1" x14ac:dyDescent="0.25"/>
    <row r="14196" s="12" customFormat="1" x14ac:dyDescent="0.25"/>
    <row r="14197" s="12" customFormat="1" x14ac:dyDescent="0.25"/>
    <row r="14198" s="12" customFormat="1" x14ac:dyDescent="0.25"/>
    <row r="14199" s="12" customFormat="1" x14ac:dyDescent="0.25"/>
    <row r="14200" s="12" customFormat="1" x14ac:dyDescent="0.25"/>
    <row r="14201" s="12" customFormat="1" x14ac:dyDescent="0.25"/>
    <row r="14202" s="12" customFormat="1" x14ac:dyDescent="0.25"/>
    <row r="14203" s="12" customFormat="1" x14ac:dyDescent="0.25"/>
    <row r="14204" s="12" customFormat="1" x14ac:dyDescent="0.25"/>
    <row r="14205" s="12" customFormat="1" x14ac:dyDescent="0.25"/>
    <row r="14206" s="12" customFormat="1" x14ac:dyDescent="0.25"/>
    <row r="14207" s="12" customFormat="1" x14ac:dyDescent="0.25"/>
    <row r="14208" s="12" customFormat="1" x14ac:dyDescent="0.25"/>
    <row r="14209" s="12" customFormat="1" x14ac:dyDescent="0.25"/>
    <row r="14210" s="12" customFormat="1" x14ac:dyDescent="0.25"/>
    <row r="14211" s="12" customFormat="1" x14ac:dyDescent="0.25"/>
    <row r="14212" s="12" customFormat="1" x14ac:dyDescent="0.25"/>
    <row r="14213" s="12" customFormat="1" x14ac:dyDescent="0.25"/>
    <row r="14214" s="12" customFormat="1" x14ac:dyDescent="0.25"/>
    <row r="14215" s="12" customFormat="1" x14ac:dyDescent="0.25"/>
    <row r="14216" s="12" customFormat="1" x14ac:dyDescent="0.25"/>
    <row r="14217" s="12" customFormat="1" x14ac:dyDescent="0.25"/>
    <row r="14218" s="12" customFormat="1" x14ac:dyDescent="0.25"/>
    <row r="14219" s="12" customFormat="1" x14ac:dyDescent="0.25"/>
    <row r="14220" s="12" customFormat="1" x14ac:dyDescent="0.25"/>
    <row r="14221" s="12" customFormat="1" x14ac:dyDescent="0.25"/>
    <row r="14222" s="12" customFormat="1" x14ac:dyDescent="0.25"/>
    <row r="14223" s="12" customFormat="1" x14ac:dyDescent="0.25"/>
    <row r="14224" s="12" customFormat="1" x14ac:dyDescent="0.25"/>
    <row r="14225" s="12" customFormat="1" x14ac:dyDescent="0.25"/>
    <row r="14226" s="12" customFormat="1" x14ac:dyDescent="0.25"/>
    <row r="14227" s="12" customFormat="1" x14ac:dyDescent="0.25"/>
    <row r="14228" s="12" customFormat="1" x14ac:dyDescent="0.25"/>
    <row r="14229" s="12" customFormat="1" x14ac:dyDescent="0.25"/>
    <row r="14230" s="12" customFormat="1" x14ac:dyDescent="0.25"/>
    <row r="14231" s="12" customFormat="1" x14ac:dyDescent="0.25"/>
    <row r="14232" s="12" customFormat="1" x14ac:dyDescent="0.25"/>
    <row r="14233" s="12" customFormat="1" x14ac:dyDescent="0.25"/>
    <row r="14234" s="12" customFormat="1" x14ac:dyDescent="0.25"/>
    <row r="14235" s="12" customFormat="1" x14ac:dyDescent="0.25"/>
    <row r="14236" s="12" customFormat="1" x14ac:dyDescent="0.25"/>
    <row r="14237" s="12" customFormat="1" x14ac:dyDescent="0.25"/>
    <row r="14238" s="12" customFormat="1" x14ac:dyDescent="0.25"/>
    <row r="14239" s="12" customFormat="1" x14ac:dyDescent="0.25"/>
    <row r="14240" s="12" customFormat="1" x14ac:dyDescent="0.25"/>
    <row r="14241" s="12" customFormat="1" x14ac:dyDescent="0.25"/>
    <row r="14242" s="12" customFormat="1" x14ac:dyDescent="0.25"/>
    <row r="14243" s="12" customFormat="1" x14ac:dyDescent="0.25"/>
    <row r="14244" s="12" customFormat="1" x14ac:dyDescent="0.25"/>
    <row r="14245" s="12" customFormat="1" x14ac:dyDescent="0.25"/>
    <row r="14246" s="12" customFormat="1" x14ac:dyDescent="0.25"/>
    <row r="14247" s="12" customFormat="1" x14ac:dyDescent="0.25"/>
    <row r="14248" s="12" customFormat="1" x14ac:dyDescent="0.25"/>
    <row r="14249" s="12" customFormat="1" x14ac:dyDescent="0.25"/>
    <row r="14250" s="12" customFormat="1" x14ac:dyDescent="0.25"/>
    <row r="14251" s="12" customFormat="1" x14ac:dyDescent="0.25"/>
    <row r="14252" s="12" customFormat="1" x14ac:dyDescent="0.25"/>
    <row r="14253" s="12" customFormat="1" x14ac:dyDescent="0.25"/>
    <row r="14254" s="12" customFormat="1" x14ac:dyDescent="0.25"/>
    <row r="14255" s="12" customFormat="1" x14ac:dyDescent="0.25"/>
    <row r="14256" s="12" customFormat="1" x14ac:dyDescent="0.25"/>
    <row r="14257" s="12" customFormat="1" x14ac:dyDescent="0.25"/>
    <row r="14258" s="12" customFormat="1" x14ac:dyDescent="0.25"/>
    <row r="14259" s="12" customFormat="1" x14ac:dyDescent="0.25"/>
    <row r="14260" s="12" customFormat="1" x14ac:dyDescent="0.25"/>
    <row r="14261" s="12" customFormat="1" x14ac:dyDescent="0.25"/>
    <row r="14262" s="12" customFormat="1" x14ac:dyDescent="0.25"/>
    <row r="14263" s="12" customFormat="1" x14ac:dyDescent="0.25"/>
    <row r="14264" s="12" customFormat="1" x14ac:dyDescent="0.25"/>
    <row r="14265" s="12" customFormat="1" x14ac:dyDescent="0.25"/>
    <row r="14266" s="12" customFormat="1" x14ac:dyDescent="0.25"/>
    <row r="14267" s="12" customFormat="1" x14ac:dyDescent="0.25"/>
    <row r="14268" s="12" customFormat="1" x14ac:dyDescent="0.25"/>
    <row r="14269" s="12" customFormat="1" x14ac:dyDescent="0.25"/>
    <row r="14270" s="12" customFormat="1" x14ac:dyDescent="0.25"/>
    <row r="14271" s="12" customFormat="1" x14ac:dyDescent="0.25"/>
    <row r="14272" s="12" customFormat="1" x14ac:dyDescent="0.25"/>
    <row r="14273" s="12" customFormat="1" x14ac:dyDescent="0.25"/>
    <row r="14274" s="12" customFormat="1" x14ac:dyDescent="0.25"/>
    <row r="14275" s="12" customFormat="1" x14ac:dyDescent="0.25"/>
    <row r="14276" s="12" customFormat="1" x14ac:dyDescent="0.25"/>
    <row r="14277" s="12" customFormat="1" x14ac:dyDescent="0.25"/>
    <row r="14278" s="12" customFormat="1" x14ac:dyDescent="0.25"/>
    <row r="14279" s="12" customFormat="1" x14ac:dyDescent="0.25"/>
    <row r="14280" s="12" customFormat="1" x14ac:dyDescent="0.25"/>
    <row r="14281" s="12" customFormat="1" x14ac:dyDescent="0.25"/>
    <row r="14282" s="12" customFormat="1" x14ac:dyDescent="0.25"/>
    <row r="14283" s="12" customFormat="1" x14ac:dyDescent="0.25"/>
    <row r="14284" s="12" customFormat="1" x14ac:dyDescent="0.25"/>
    <row r="14285" s="12" customFormat="1" x14ac:dyDescent="0.25"/>
    <row r="14286" s="12" customFormat="1" x14ac:dyDescent="0.25"/>
    <row r="14287" s="12" customFormat="1" x14ac:dyDescent="0.25"/>
    <row r="14288" s="12" customFormat="1" x14ac:dyDescent="0.25"/>
    <row r="14289" s="12" customFormat="1" x14ac:dyDescent="0.25"/>
    <row r="14290" s="12" customFormat="1" x14ac:dyDescent="0.25"/>
    <row r="14291" s="12" customFormat="1" x14ac:dyDescent="0.25"/>
    <row r="14292" s="12" customFormat="1" x14ac:dyDescent="0.25"/>
    <row r="14293" s="12" customFormat="1" x14ac:dyDescent="0.25"/>
    <row r="14294" s="12" customFormat="1" x14ac:dyDescent="0.25"/>
    <row r="14295" s="12" customFormat="1" x14ac:dyDescent="0.25"/>
    <row r="14296" s="12" customFormat="1" x14ac:dyDescent="0.25"/>
    <row r="14297" s="12" customFormat="1" x14ac:dyDescent="0.25"/>
    <row r="14298" s="12" customFormat="1" x14ac:dyDescent="0.25"/>
    <row r="14299" s="12" customFormat="1" x14ac:dyDescent="0.25"/>
    <row r="14300" s="12" customFormat="1" x14ac:dyDescent="0.25"/>
    <row r="14301" s="12" customFormat="1" x14ac:dyDescent="0.25"/>
    <row r="14302" s="12" customFormat="1" x14ac:dyDescent="0.25"/>
    <row r="14303" s="12" customFormat="1" x14ac:dyDescent="0.25"/>
    <row r="14304" s="12" customFormat="1" x14ac:dyDescent="0.25"/>
    <row r="14305" s="12" customFormat="1" x14ac:dyDescent="0.25"/>
    <row r="14306" s="12" customFormat="1" x14ac:dyDescent="0.25"/>
    <row r="14307" s="12" customFormat="1" x14ac:dyDescent="0.25"/>
    <row r="14308" s="12" customFormat="1" x14ac:dyDescent="0.25"/>
    <row r="14309" s="12" customFormat="1" x14ac:dyDescent="0.25"/>
    <row r="14310" s="12" customFormat="1" x14ac:dyDescent="0.25"/>
    <row r="14311" s="12" customFormat="1" x14ac:dyDescent="0.25"/>
    <row r="14312" s="12" customFormat="1" x14ac:dyDescent="0.25"/>
    <row r="14313" s="12" customFormat="1" x14ac:dyDescent="0.25"/>
    <row r="14314" s="12" customFormat="1" x14ac:dyDescent="0.25"/>
    <row r="14315" s="12" customFormat="1" x14ac:dyDescent="0.25"/>
    <row r="14316" s="12" customFormat="1" x14ac:dyDescent="0.25"/>
    <row r="14317" s="12" customFormat="1" x14ac:dyDescent="0.25"/>
    <row r="14318" s="12" customFormat="1" x14ac:dyDescent="0.25"/>
    <row r="14319" s="12" customFormat="1" x14ac:dyDescent="0.25"/>
    <row r="14320" s="12" customFormat="1" x14ac:dyDescent="0.25"/>
    <row r="14321" s="12" customFormat="1" x14ac:dyDescent="0.25"/>
    <row r="14322" s="12" customFormat="1" x14ac:dyDescent="0.25"/>
    <row r="14323" s="12" customFormat="1" x14ac:dyDescent="0.25"/>
    <row r="14324" s="12" customFormat="1" x14ac:dyDescent="0.25"/>
    <row r="14325" s="12" customFormat="1" x14ac:dyDescent="0.25"/>
    <row r="14326" s="12" customFormat="1" x14ac:dyDescent="0.25"/>
    <row r="14327" s="12" customFormat="1" x14ac:dyDescent="0.25"/>
    <row r="14328" s="12" customFormat="1" x14ac:dyDescent="0.25"/>
    <row r="14329" s="12" customFormat="1" x14ac:dyDescent="0.25"/>
    <row r="14330" s="12" customFormat="1" x14ac:dyDescent="0.25"/>
    <row r="14331" s="12" customFormat="1" x14ac:dyDescent="0.25"/>
    <row r="14332" s="12" customFormat="1" x14ac:dyDescent="0.25"/>
    <row r="14333" s="12" customFormat="1" x14ac:dyDescent="0.25"/>
    <row r="14334" s="12" customFormat="1" x14ac:dyDescent="0.25"/>
    <row r="14335" s="12" customFormat="1" x14ac:dyDescent="0.25"/>
    <row r="14336" s="12" customFormat="1" x14ac:dyDescent="0.25"/>
    <row r="14337" s="12" customFormat="1" x14ac:dyDescent="0.25"/>
    <row r="14338" s="12" customFormat="1" x14ac:dyDescent="0.25"/>
    <row r="14339" s="12" customFormat="1" x14ac:dyDescent="0.25"/>
    <row r="14340" s="12" customFormat="1" x14ac:dyDescent="0.25"/>
    <row r="14341" s="12" customFormat="1" x14ac:dyDescent="0.25"/>
    <row r="14342" s="12" customFormat="1" x14ac:dyDescent="0.25"/>
    <row r="14343" s="12" customFormat="1" x14ac:dyDescent="0.25"/>
    <row r="14344" s="12" customFormat="1" x14ac:dyDescent="0.25"/>
    <row r="14345" s="12" customFormat="1" x14ac:dyDescent="0.25"/>
    <row r="14346" s="12" customFormat="1" x14ac:dyDescent="0.25"/>
    <row r="14347" s="12" customFormat="1" x14ac:dyDescent="0.25"/>
    <row r="14348" s="12" customFormat="1" x14ac:dyDescent="0.25"/>
    <row r="14349" s="12" customFormat="1" x14ac:dyDescent="0.25"/>
    <row r="14350" s="12" customFormat="1" x14ac:dyDescent="0.25"/>
    <row r="14351" s="12" customFormat="1" x14ac:dyDescent="0.25"/>
    <row r="14352" s="12" customFormat="1" x14ac:dyDescent="0.25"/>
    <row r="14353" s="12" customFormat="1" x14ac:dyDescent="0.25"/>
    <row r="14354" s="12" customFormat="1" x14ac:dyDescent="0.25"/>
    <row r="14355" s="12" customFormat="1" x14ac:dyDescent="0.25"/>
    <row r="14356" s="12" customFormat="1" x14ac:dyDescent="0.25"/>
    <row r="14357" s="12" customFormat="1" x14ac:dyDescent="0.25"/>
    <row r="14358" s="12" customFormat="1" x14ac:dyDescent="0.25"/>
    <row r="14359" s="12" customFormat="1" x14ac:dyDescent="0.25"/>
    <row r="14360" s="12" customFormat="1" x14ac:dyDescent="0.25"/>
    <row r="14361" s="12" customFormat="1" x14ac:dyDescent="0.25"/>
    <row r="14362" s="12" customFormat="1" x14ac:dyDescent="0.25"/>
    <row r="14363" s="12" customFormat="1" x14ac:dyDescent="0.25"/>
    <row r="14364" s="12" customFormat="1" x14ac:dyDescent="0.25"/>
    <row r="14365" s="12" customFormat="1" x14ac:dyDescent="0.25"/>
    <row r="14366" s="12" customFormat="1" x14ac:dyDescent="0.25"/>
    <row r="14367" s="12" customFormat="1" x14ac:dyDescent="0.25"/>
    <row r="14368" s="12" customFormat="1" x14ac:dyDescent="0.25"/>
    <row r="14369" s="12" customFormat="1" x14ac:dyDescent="0.25"/>
    <row r="14370" s="12" customFormat="1" x14ac:dyDescent="0.25"/>
    <row r="14371" s="12" customFormat="1" x14ac:dyDescent="0.25"/>
    <row r="14372" s="12" customFormat="1" x14ac:dyDescent="0.25"/>
    <row r="14373" s="12" customFormat="1" x14ac:dyDescent="0.25"/>
    <row r="14374" s="12" customFormat="1" x14ac:dyDescent="0.25"/>
    <row r="14375" s="12" customFormat="1" x14ac:dyDescent="0.25"/>
    <row r="14376" s="12" customFormat="1" x14ac:dyDescent="0.25"/>
    <row r="14377" s="12" customFormat="1" x14ac:dyDescent="0.25"/>
    <row r="14378" s="12" customFormat="1" x14ac:dyDescent="0.25"/>
    <row r="14379" s="12" customFormat="1" x14ac:dyDescent="0.25"/>
    <row r="14380" s="12" customFormat="1" x14ac:dyDescent="0.25"/>
    <row r="14381" s="12" customFormat="1" x14ac:dyDescent="0.25"/>
    <row r="14382" s="12" customFormat="1" x14ac:dyDescent="0.25"/>
    <row r="14383" s="12" customFormat="1" x14ac:dyDescent="0.25"/>
    <row r="14384" s="12" customFormat="1" x14ac:dyDescent="0.25"/>
    <row r="14385" s="12" customFormat="1" x14ac:dyDescent="0.25"/>
    <row r="14386" s="12" customFormat="1" x14ac:dyDescent="0.25"/>
    <row r="14387" s="12" customFormat="1" x14ac:dyDescent="0.25"/>
    <row r="14388" s="12" customFormat="1" x14ac:dyDescent="0.25"/>
    <row r="14389" s="12" customFormat="1" x14ac:dyDescent="0.25"/>
    <row r="14390" s="12" customFormat="1" x14ac:dyDescent="0.25"/>
    <row r="14391" s="12" customFormat="1" x14ac:dyDescent="0.25"/>
    <row r="14392" s="12" customFormat="1" x14ac:dyDescent="0.25"/>
    <row r="14393" s="12" customFormat="1" x14ac:dyDescent="0.25"/>
    <row r="14394" s="12" customFormat="1" x14ac:dyDescent="0.25"/>
    <row r="14395" s="12" customFormat="1" x14ac:dyDescent="0.25"/>
    <row r="14396" s="12" customFormat="1" x14ac:dyDescent="0.25"/>
    <row r="14397" s="12" customFormat="1" x14ac:dyDescent="0.25"/>
    <row r="14398" s="12" customFormat="1" x14ac:dyDescent="0.25"/>
    <row r="14399" s="12" customFormat="1" x14ac:dyDescent="0.25"/>
    <row r="14400" s="12" customFormat="1" x14ac:dyDescent="0.25"/>
    <row r="14401" s="12" customFormat="1" x14ac:dyDescent="0.25"/>
    <row r="14402" s="12" customFormat="1" x14ac:dyDescent="0.25"/>
    <row r="14403" s="12" customFormat="1" x14ac:dyDescent="0.25"/>
    <row r="14404" s="12" customFormat="1" x14ac:dyDescent="0.25"/>
    <row r="14405" s="12" customFormat="1" x14ac:dyDescent="0.25"/>
    <row r="14406" s="12" customFormat="1" x14ac:dyDescent="0.25"/>
    <row r="14407" s="12" customFormat="1" x14ac:dyDescent="0.25"/>
    <row r="14408" s="12" customFormat="1" x14ac:dyDescent="0.25"/>
    <row r="14409" s="12" customFormat="1" x14ac:dyDescent="0.25"/>
    <row r="14410" s="12" customFormat="1" x14ac:dyDescent="0.25"/>
    <row r="14411" s="12" customFormat="1" x14ac:dyDescent="0.25"/>
    <row r="14412" s="12" customFormat="1" x14ac:dyDescent="0.25"/>
    <row r="14413" s="12" customFormat="1" x14ac:dyDescent="0.25"/>
    <row r="14414" s="12" customFormat="1" x14ac:dyDescent="0.25"/>
    <row r="14415" s="12" customFormat="1" x14ac:dyDescent="0.25"/>
    <row r="14416" s="12" customFormat="1" x14ac:dyDescent="0.25"/>
    <row r="14417" s="12" customFormat="1" x14ac:dyDescent="0.25"/>
    <row r="14418" s="12" customFormat="1" x14ac:dyDescent="0.25"/>
    <row r="14419" s="12" customFormat="1" x14ac:dyDescent="0.25"/>
    <row r="14420" s="12" customFormat="1" x14ac:dyDescent="0.25"/>
    <row r="14421" s="12" customFormat="1" x14ac:dyDescent="0.25"/>
    <row r="14422" s="12" customFormat="1" x14ac:dyDescent="0.25"/>
    <row r="14423" s="12" customFormat="1" x14ac:dyDescent="0.25"/>
    <row r="14424" s="12" customFormat="1" x14ac:dyDescent="0.25"/>
    <row r="14425" s="12" customFormat="1" x14ac:dyDescent="0.25"/>
    <row r="14426" s="12" customFormat="1" x14ac:dyDescent="0.25"/>
    <row r="14427" s="12" customFormat="1" x14ac:dyDescent="0.25"/>
    <row r="14428" s="12" customFormat="1" x14ac:dyDescent="0.25"/>
    <row r="14429" s="12" customFormat="1" x14ac:dyDescent="0.25"/>
    <row r="14430" s="12" customFormat="1" x14ac:dyDescent="0.25"/>
    <row r="14431" s="12" customFormat="1" x14ac:dyDescent="0.25"/>
    <row r="14432" s="12" customFormat="1" x14ac:dyDescent="0.25"/>
    <row r="14433" s="12" customFormat="1" x14ac:dyDescent="0.25"/>
    <row r="14434" s="12" customFormat="1" x14ac:dyDescent="0.25"/>
    <row r="14435" s="12" customFormat="1" x14ac:dyDescent="0.25"/>
    <row r="14436" s="12" customFormat="1" x14ac:dyDescent="0.25"/>
    <row r="14437" s="12" customFormat="1" x14ac:dyDescent="0.25"/>
    <row r="14438" s="12" customFormat="1" x14ac:dyDescent="0.25"/>
    <row r="14439" s="12" customFormat="1" x14ac:dyDescent="0.25"/>
    <row r="14440" s="12" customFormat="1" x14ac:dyDescent="0.25"/>
    <row r="14441" s="12" customFormat="1" x14ac:dyDescent="0.25"/>
    <row r="14442" s="12" customFormat="1" x14ac:dyDescent="0.25"/>
    <row r="14443" s="12" customFormat="1" x14ac:dyDescent="0.25"/>
    <row r="14444" s="12" customFormat="1" x14ac:dyDescent="0.25"/>
    <row r="14445" s="12" customFormat="1" x14ac:dyDescent="0.25"/>
    <row r="14446" s="12" customFormat="1" x14ac:dyDescent="0.25"/>
    <row r="14447" s="12" customFormat="1" x14ac:dyDescent="0.25"/>
    <row r="14448" s="12" customFormat="1" x14ac:dyDescent="0.25"/>
    <row r="14449" s="12" customFormat="1" x14ac:dyDescent="0.25"/>
    <row r="14450" s="12" customFormat="1" x14ac:dyDescent="0.25"/>
    <row r="14451" s="12" customFormat="1" x14ac:dyDescent="0.25"/>
    <row r="14452" s="12" customFormat="1" x14ac:dyDescent="0.25"/>
    <row r="14453" s="12" customFormat="1" x14ac:dyDescent="0.25"/>
    <row r="14454" s="12" customFormat="1" x14ac:dyDescent="0.25"/>
    <row r="14455" s="12" customFormat="1" x14ac:dyDescent="0.25"/>
    <row r="14456" s="12" customFormat="1" x14ac:dyDescent="0.25"/>
    <row r="14457" s="12" customFormat="1" x14ac:dyDescent="0.25"/>
    <row r="14458" s="12" customFormat="1" x14ac:dyDescent="0.25"/>
    <row r="14459" s="12" customFormat="1" x14ac:dyDescent="0.25"/>
    <row r="14460" s="12" customFormat="1" x14ac:dyDescent="0.25"/>
    <row r="14461" s="12" customFormat="1" x14ac:dyDescent="0.25"/>
    <row r="14462" s="12" customFormat="1" x14ac:dyDescent="0.25"/>
    <row r="14463" s="12" customFormat="1" x14ac:dyDescent="0.25"/>
    <row r="14464" s="12" customFormat="1" x14ac:dyDescent="0.25"/>
    <row r="14465" s="12" customFormat="1" x14ac:dyDescent="0.25"/>
    <row r="14466" s="12" customFormat="1" x14ac:dyDescent="0.25"/>
    <row r="14467" s="12" customFormat="1" x14ac:dyDescent="0.25"/>
    <row r="14468" s="12" customFormat="1" x14ac:dyDescent="0.25"/>
    <row r="14469" s="12" customFormat="1" x14ac:dyDescent="0.25"/>
    <row r="14470" s="12" customFormat="1" x14ac:dyDescent="0.25"/>
    <row r="14471" s="12" customFormat="1" x14ac:dyDescent="0.25"/>
    <row r="14472" s="12" customFormat="1" x14ac:dyDescent="0.25"/>
    <row r="14473" s="12" customFormat="1" x14ac:dyDescent="0.25"/>
    <row r="14474" s="12" customFormat="1" x14ac:dyDescent="0.25"/>
    <row r="14475" s="12" customFormat="1" x14ac:dyDescent="0.25"/>
    <row r="14476" s="12" customFormat="1" x14ac:dyDescent="0.25"/>
    <row r="14477" s="12" customFormat="1" x14ac:dyDescent="0.25"/>
    <row r="14478" s="12" customFormat="1" x14ac:dyDescent="0.25"/>
    <row r="14479" s="12" customFormat="1" x14ac:dyDescent="0.25"/>
    <row r="14480" s="12" customFormat="1" x14ac:dyDescent="0.25"/>
    <row r="14481" s="12" customFormat="1" x14ac:dyDescent="0.25"/>
    <row r="14482" s="12" customFormat="1" x14ac:dyDescent="0.25"/>
    <row r="14483" s="12" customFormat="1" x14ac:dyDescent="0.25"/>
    <row r="14484" s="12" customFormat="1" x14ac:dyDescent="0.25"/>
    <row r="14485" s="12" customFormat="1" x14ac:dyDescent="0.25"/>
    <row r="14486" s="12" customFormat="1" x14ac:dyDescent="0.25"/>
    <row r="14487" s="12" customFormat="1" x14ac:dyDescent="0.25"/>
    <row r="14488" s="12" customFormat="1" x14ac:dyDescent="0.25"/>
    <row r="14489" s="12" customFormat="1" x14ac:dyDescent="0.25"/>
    <row r="14490" s="12" customFormat="1" x14ac:dyDescent="0.25"/>
    <row r="14491" s="12" customFormat="1" x14ac:dyDescent="0.25"/>
    <row r="14492" s="12" customFormat="1" x14ac:dyDescent="0.25"/>
    <row r="14493" s="12" customFormat="1" x14ac:dyDescent="0.25"/>
    <row r="14494" s="12" customFormat="1" x14ac:dyDescent="0.25"/>
    <row r="14495" s="12" customFormat="1" x14ac:dyDescent="0.25"/>
    <row r="14496" s="12" customFormat="1" x14ac:dyDescent="0.25"/>
    <row r="14497" s="12" customFormat="1" x14ac:dyDescent="0.25"/>
    <row r="14498" s="12" customFormat="1" x14ac:dyDescent="0.25"/>
    <row r="14499" s="12" customFormat="1" x14ac:dyDescent="0.25"/>
    <row r="14500" s="12" customFormat="1" x14ac:dyDescent="0.25"/>
    <row r="14501" s="12" customFormat="1" x14ac:dyDescent="0.25"/>
    <row r="14502" s="12" customFormat="1" x14ac:dyDescent="0.25"/>
    <row r="14503" s="12" customFormat="1" x14ac:dyDescent="0.25"/>
    <row r="14504" s="12" customFormat="1" x14ac:dyDescent="0.25"/>
    <row r="14505" s="12" customFormat="1" x14ac:dyDescent="0.25"/>
    <row r="14506" s="12" customFormat="1" x14ac:dyDescent="0.25"/>
    <row r="14507" s="12" customFormat="1" x14ac:dyDescent="0.25"/>
    <row r="14508" s="12" customFormat="1" x14ac:dyDescent="0.25"/>
    <row r="14509" s="12" customFormat="1" x14ac:dyDescent="0.25"/>
    <row r="14510" s="12" customFormat="1" x14ac:dyDescent="0.25"/>
    <row r="14511" s="12" customFormat="1" x14ac:dyDescent="0.25"/>
    <row r="14512" s="12" customFormat="1" x14ac:dyDescent="0.25"/>
    <row r="14513" s="12" customFormat="1" x14ac:dyDescent="0.25"/>
    <row r="14514" s="12" customFormat="1" x14ac:dyDescent="0.25"/>
    <row r="14515" s="12" customFormat="1" x14ac:dyDescent="0.25"/>
    <row r="14516" s="12" customFormat="1" x14ac:dyDescent="0.25"/>
    <row r="14517" s="12" customFormat="1" x14ac:dyDescent="0.25"/>
    <row r="14518" s="12" customFormat="1" x14ac:dyDescent="0.25"/>
    <row r="14519" s="12" customFormat="1" x14ac:dyDescent="0.25"/>
    <row r="14520" s="12" customFormat="1" x14ac:dyDescent="0.25"/>
    <row r="14521" s="12" customFormat="1" x14ac:dyDescent="0.25"/>
    <row r="14522" s="12" customFormat="1" x14ac:dyDescent="0.25"/>
    <row r="14523" s="12" customFormat="1" x14ac:dyDescent="0.25"/>
    <row r="14524" s="12" customFormat="1" x14ac:dyDescent="0.25"/>
    <row r="14525" s="12" customFormat="1" x14ac:dyDescent="0.25"/>
    <row r="14526" s="12" customFormat="1" x14ac:dyDescent="0.25"/>
    <row r="14527" s="12" customFormat="1" x14ac:dyDescent="0.25"/>
    <row r="14528" s="12" customFormat="1" x14ac:dyDescent="0.25"/>
    <row r="14529" s="12" customFormat="1" x14ac:dyDescent="0.25"/>
    <row r="14530" s="12" customFormat="1" x14ac:dyDescent="0.25"/>
    <row r="14531" s="12" customFormat="1" x14ac:dyDescent="0.25"/>
    <row r="14532" s="12" customFormat="1" x14ac:dyDescent="0.25"/>
    <row r="14533" s="12" customFormat="1" x14ac:dyDescent="0.25"/>
    <row r="14534" s="12" customFormat="1" x14ac:dyDescent="0.25"/>
    <row r="14535" s="12" customFormat="1" x14ac:dyDescent="0.25"/>
    <row r="14536" s="12" customFormat="1" x14ac:dyDescent="0.25"/>
    <row r="14537" s="12" customFormat="1" x14ac:dyDescent="0.25"/>
    <row r="14538" s="12" customFormat="1" x14ac:dyDescent="0.25"/>
    <row r="14539" s="12" customFormat="1" x14ac:dyDescent="0.25"/>
    <row r="14540" s="12" customFormat="1" x14ac:dyDescent="0.25"/>
    <row r="14541" s="12" customFormat="1" x14ac:dyDescent="0.25"/>
    <row r="14542" s="12" customFormat="1" x14ac:dyDescent="0.25"/>
    <row r="14543" s="12" customFormat="1" x14ac:dyDescent="0.25"/>
    <row r="14544" s="12" customFormat="1" x14ac:dyDescent="0.25"/>
    <row r="14545" s="12" customFormat="1" x14ac:dyDescent="0.25"/>
    <row r="14546" s="12" customFormat="1" x14ac:dyDescent="0.25"/>
    <row r="14547" s="12" customFormat="1" x14ac:dyDescent="0.25"/>
    <row r="14548" s="12" customFormat="1" x14ac:dyDescent="0.25"/>
    <row r="14549" s="12" customFormat="1" x14ac:dyDescent="0.25"/>
    <row r="14550" s="12" customFormat="1" x14ac:dyDescent="0.25"/>
    <row r="14551" s="12" customFormat="1" x14ac:dyDescent="0.25"/>
    <row r="14552" s="12" customFormat="1" x14ac:dyDescent="0.25"/>
    <row r="14553" s="12" customFormat="1" x14ac:dyDescent="0.25"/>
    <row r="14554" s="12" customFormat="1" x14ac:dyDescent="0.25"/>
    <row r="14555" s="12" customFormat="1" x14ac:dyDescent="0.25"/>
    <row r="14556" s="12" customFormat="1" x14ac:dyDescent="0.25"/>
    <row r="14557" s="12" customFormat="1" x14ac:dyDescent="0.25"/>
    <row r="14558" s="12" customFormat="1" x14ac:dyDescent="0.25"/>
    <row r="14559" s="12" customFormat="1" x14ac:dyDescent="0.25"/>
    <row r="14560" s="12" customFormat="1" x14ac:dyDescent="0.25"/>
    <row r="14561" s="12" customFormat="1" x14ac:dyDescent="0.25"/>
    <row r="14562" s="12" customFormat="1" x14ac:dyDescent="0.25"/>
    <row r="14563" s="12" customFormat="1" x14ac:dyDescent="0.25"/>
    <row r="14564" s="12" customFormat="1" x14ac:dyDescent="0.25"/>
    <row r="14565" s="12" customFormat="1" x14ac:dyDescent="0.25"/>
    <row r="14566" s="12" customFormat="1" x14ac:dyDescent="0.25"/>
    <row r="14567" s="12" customFormat="1" x14ac:dyDescent="0.25"/>
    <row r="14568" s="12" customFormat="1" x14ac:dyDescent="0.25"/>
    <row r="14569" s="12" customFormat="1" x14ac:dyDescent="0.25"/>
    <row r="14570" s="12" customFormat="1" x14ac:dyDescent="0.25"/>
    <row r="14571" s="12" customFormat="1" x14ac:dyDescent="0.25"/>
    <row r="14572" s="12" customFormat="1" x14ac:dyDescent="0.25"/>
    <row r="14573" s="12" customFormat="1" x14ac:dyDescent="0.25"/>
    <row r="14574" s="12" customFormat="1" x14ac:dyDescent="0.25"/>
    <row r="14575" s="12" customFormat="1" x14ac:dyDescent="0.25"/>
    <row r="14576" s="12" customFormat="1" x14ac:dyDescent="0.25"/>
    <row r="14577" s="12" customFormat="1" x14ac:dyDescent="0.25"/>
    <row r="14578" s="12" customFormat="1" x14ac:dyDescent="0.25"/>
    <row r="14579" s="12" customFormat="1" x14ac:dyDescent="0.25"/>
    <row r="14580" s="12" customFormat="1" x14ac:dyDescent="0.25"/>
    <row r="14581" s="12" customFormat="1" x14ac:dyDescent="0.25"/>
    <row r="14582" s="12" customFormat="1" x14ac:dyDescent="0.25"/>
    <row r="14583" s="12" customFormat="1" x14ac:dyDescent="0.25"/>
    <row r="14584" s="12" customFormat="1" x14ac:dyDescent="0.25"/>
    <row r="14585" s="12" customFormat="1" x14ac:dyDescent="0.25"/>
    <row r="14586" s="12" customFormat="1" x14ac:dyDescent="0.25"/>
    <row r="14587" s="12" customFormat="1" x14ac:dyDescent="0.25"/>
    <row r="14588" s="12" customFormat="1" x14ac:dyDescent="0.25"/>
    <row r="14589" s="12" customFormat="1" x14ac:dyDescent="0.25"/>
    <row r="14590" s="12" customFormat="1" x14ac:dyDescent="0.25"/>
    <row r="14591" s="12" customFormat="1" x14ac:dyDescent="0.25"/>
    <row r="14592" s="12" customFormat="1" x14ac:dyDescent="0.25"/>
    <row r="14593" s="12" customFormat="1" x14ac:dyDescent="0.25"/>
    <row r="14594" s="12" customFormat="1" x14ac:dyDescent="0.25"/>
    <row r="14595" s="12" customFormat="1" x14ac:dyDescent="0.25"/>
    <row r="14596" s="12" customFormat="1" x14ac:dyDescent="0.25"/>
    <row r="14597" s="12" customFormat="1" x14ac:dyDescent="0.25"/>
    <row r="14598" s="12" customFormat="1" x14ac:dyDescent="0.25"/>
    <row r="14599" s="12" customFormat="1" x14ac:dyDescent="0.25"/>
    <row r="14600" s="12" customFormat="1" x14ac:dyDescent="0.25"/>
    <row r="14601" s="12" customFormat="1" x14ac:dyDescent="0.25"/>
    <row r="14602" s="12" customFormat="1" x14ac:dyDescent="0.25"/>
    <row r="14603" s="12" customFormat="1" x14ac:dyDescent="0.25"/>
    <row r="14604" s="12" customFormat="1" x14ac:dyDescent="0.25"/>
    <row r="14605" s="12" customFormat="1" x14ac:dyDescent="0.25"/>
    <row r="14606" s="12" customFormat="1" x14ac:dyDescent="0.25"/>
    <row r="14607" s="12" customFormat="1" x14ac:dyDescent="0.25"/>
    <row r="14608" s="12" customFormat="1" x14ac:dyDescent="0.25"/>
    <row r="14609" s="12" customFormat="1" x14ac:dyDescent="0.25"/>
    <row r="14610" s="12" customFormat="1" x14ac:dyDescent="0.25"/>
    <row r="14611" s="12" customFormat="1" x14ac:dyDescent="0.25"/>
    <row r="14612" s="12" customFormat="1" x14ac:dyDescent="0.25"/>
    <row r="14613" s="12" customFormat="1" x14ac:dyDescent="0.25"/>
    <row r="14614" s="12" customFormat="1" x14ac:dyDescent="0.25"/>
    <row r="14615" s="12" customFormat="1" x14ac:dyDescent="0.25"/>
    <row r="14616" s="12" customFormat="1" x14ac:dyDescent="0.25"/>
    <row r="14617" s="12" customFormat="1" x14ac:dyDescent="0.25"/>
    <row r="14618" s="12" customFormat="1" x14ac:dyDescent="0.25"/>
    <row r="14619" s="12" customFormat="1" x14ac:dyDescent="0.25"/>
    <row r="14620" s="12" customFormat="1" x14ac:dyDescent="0.25"/>
    <row r="14621" s="12" customFormat="1" x14ac:dyDescent="0.25"/>
    <row r="14622" s="12" customFormat="1" x14ac:dyDescent="0.25"/>
    <row r="14623" s="12" customFormat="1" x14ac:dyDescent="0.25"/>
    <row r="14624" s="12" customFormat="1" x14ac:dyDescent="0.25"/>
    <row r="14625" s="12" customFormat="1" x14ac:dyDescent="0.25"/>
    <row r="14626" s="12" customFormat="1" x14ac:dyDescent="0.25"/>
    <row r="14627" s="12" customFormat="1" x14ac:dyDescent="0.25"/>
    <row r="14628" s="12" customFormat="1" x14ac:dyDescent="0.25"/>
    <row r="14629" s="12" customFormat="1" x14ac:dyDescent="0.25"/>
    <row r="14630" s="12" customFormat="1" x14ac:dyDescent="0.25"/>
    <row r="14631" s="12" customFormat="1" x14ac:dyDescent="0.25"/>
    <row r="14632" s="12" customFormat="1" x14ac:dyDescent="0.25"/>
    <row r="14633" s="12" customFormat="1" x14ac:dyDescent="0.25"/>
    <row r="14634" s="12" customFormat="1" x14ac:dyDescent="0.25"/>
    <row r="14635" s="12" customFormat="1" x14ac:dyDescent="0.25"/>
    <row r="14636" s="12" customFormat="1" x14ac:dyDescent="0.25"/>
    <row r="14637" s="12" customFormat="1" x14ac:dyDescent="0.25"/>
    <row r="14638" s="12" customFormat="1" x14ac:dyDescent="0.25"/>
    <row r="14639" s="12" customFormat="1" x14ac:dyDescent="0.25"/>
    <row r="14640" s="12" customFormat="1" x14ac:dyDescent="0.25"/>
    <row r="14641" s="12" customFormat="1" x14ac:dyDescent="0.25"/>
    <row r="14642" s="12" customFormat="1" x14ac:dyDescent="0.25"/>
    <row r="14643" s="12" customFormat="1" x14ac:dyDescent="0.25"/>
    <row r="14644" s="12" customFormat="1" x14ac:dyDescent="0.25"/>
    <row r="14645" s="12" customFormat="1" x14ac:dyDescent="0.25"/>
    <row r="14646" s="12" customFormat="1" x14ac:dyDescent="0.25"/>
    <row r="14647" s="12" customFormat="1" x14ac:dyDescent="0.25"/>
    <row r="14648" s="12" customFormat="1" x14ac:dyDescent="0.25"/>
    <row r="14649" s="12" customFormat="1" x14ac:dyDescent="0.25"/>
    <row r="14650" s="12" customFormat="1" x14ac:dyDescent="0.25"/>
    <row r="14651" s="12" customFormat="1" x14ac:dyDescent="0.25"/>
    <row r="14652" s="12" customFormat="1" x14ac:dyDescent="0.25"/>
    <row r="14653" s="12" customFormat="1" x14ac:dyDescent="0.25"/>
    <row r="14654" s="12" customFormat="1" x14ac:dyDescent="0.25"/>
    <row r="14655" s="12" customFormat="1" x14ac:dyDescent="0.25"/>
    <row r="14656" s="12" customFormat="1" x14ac:dyDescent="0.25"/>
    <row r="14657" s="12" customFormat="1" x14ac:dyDescent="0.25"/>
    <row r="14658" s="12" customFormat="1" x14ac:dyDescent="0.25"/>
    <row r="14659" s="12" customFormat="1" x14ac:dyDescent="0.25"/>
    <row r="14660" s="12" customFormat="1" x14ac:dyDescent="0.25"/>
    <row r="14661" s="12" customFormat="1" x14ac:dyDescent="0.25"/>
    <row r="14662" s="12" customFormat="1" x14ac:dyDescent="0.25"/>
    <row r="14663" s="12" customFormat="1" x14ac:dyDescent="0.25"/>
    <row r="14664" s="12" customFormat="1" x14ac:dyDescent="0.25"/>
    <row r="14665" s="12" customFormat="1" x14ac:dyDescent="0.25"/>
    <row r="14666" s="12" customFormat="1" x14ac:dyDescent="0.25"/>
    <row r="14667" s="12" customFormat="1" x14ac:dyDescent="0.25"/>
    <row r="14668" s="12" customFormat="1" x14ac:dyDescent="0.25"/>
    <row r="14669" s="12" customFormat="1" x14ac:dyDescent="0.25"/>
    <row r="14670" s="12" customFormat="1" x14ac:dyDescent="0.25"/>
    <row r="14671" s="12" customFormat="1" x14ac:dyDescent="0.25"/>
    <row r="14672" s="12" customFormat="1" x14ac:dyDescent="0.25"/>
    <row r="14673" s="12" customFormat="1" x14ac:dyDescent="0.25"/>
    <row r="14674" s="12" customFormat="1" x14ac:dyDescent="0.25"/>
    <row r="14675" s="12" customFormat="1" x14ac:dyDescent="0.25"/>
    <row r="14676" s="12" customFormat="1" x14ac:dyDescent="0.25"/>
    <row r="14677" s="12" customFormat="1" x14ac:dyDescent="0.25"/>
    <row r="14678" s="12" customFormat="1" x14ac:dyDescent="0.25"/>
    <row r="14679" s="12" customFormat="1" x14ac:dyDescent="0.25"/>
    <row r="14680" s="12" customFormat="1" x14ac:dyDescent="0.25"/>
    <row r="14681" s="12" customFormat="1" x14ac:dyDescent="0.25"/>
    <row r="14682" s="12" customFormat="1" x14ac:dyDescent="0.25"/>
    <row r="14683" s="12" customFormat="1" x14ac:dyDescent="0.25"/>
    <row r="14684" s="12" customFormat="1" x14ac:dyDescent="0.25"/>
    <row r="14685" s="12" customFormat="1" x14ac:dyDescent="0.25"/>
    <row r="14686" s="12" customFormat="1" x14ac:dyDescent="0.25"/>
    <row r="14687" s="12" customFormat="1" x14ac:dyDescent="0.25"/>
    <row r="14688" s="12" customFormat="1" x14ac:dyDescent="0.25"/>
    <row r="14689" s="12" customFormat="1" x14ac:dyDescent="0.25"/>
    <row r="14690" s="12" customFormat="1" x14ac:dyDescent="0.25"/>
    <row r="14691" s="12" customFormat="1" x14ac:dyDescent="0.25"/>
    <row r="14692" s="12" customFormat="1" x14ac:dyDescent="0.25"/>
    <row r="14693" s="12" customFormat="1" x14ac:dyDescent="0.25"/>
    <row r="14694" s="12" customFormat="1" x14ac:dyDescent="0.25"/>
    <row r="14695" s="12" customFormat="1" x14ac:dyDescent="0.25"/>
    <row r="14696" s="12" customFormat="1" x14ac:dyDescent="0.25"/>
    <row r="14697" s="12" customFormat="1" x14ac:dyDescent="0.25"/>
    <row r="14698" s="12" customFormat="1" x14ac:dyDescent="0.25"/>
    <row r="14699" s="12" customFormat="1" x14ac:dyDescent="0.25"/>
    <row r="14700" s="12" customFormat="1" x14ac:dyDescent="0.25"/>
    <row r="14701" s="12" customFormat="1" x14ac:dyDescent="0.25"/>
    <row r="14702" s="12" customFormat="1" x14ac:dyDescent="0.25"/>
    <row r="14703" s="12" customFormat="1" x14ac:dyDescent="0.25"/>
    <row r="14704" s="12" customFormat="1" x14ac:dyDescent="0.25"/>
    <row r="14705" s="12" customFormat="1" x14ac:dyDescent="0.25"/>
    <row r="14706" s="12" customFormat="1" x14ac:dyDescent="0.25"/>
    <row r="14707" s="12" customFormat="1" x14ac:dyDescent="0.25"/>
    <row r="14708" s="12" customFormat="1" x14ac:dyDescent="0.25"/>
    <row r="14709" s="12" customFormat="1" x14ac:dyDescent="0.25"/>
    <row r="14710" s="12" customFormat="1" x14ac:dyDescent="0.25"/>
    <row r="14711" s="12" customFormat="1" x14ac:dyDescent="0.25"/>
    <row r="14712" s="12" customFormat="1" x14ac:dyDescent="0.25"/>
    <row r="14713" s="12" customFormat="1" x14ac:dyDescent="0.25"/>
    <row r="14714" s="12" customFormat="1" x14ac:dyDescent="0.25"/>
    <row r="14715" s="12" customFormat="1" x14ac:dyDescent="0.25"/>
    <row r="14716" s="12" customFormat="1" x14ac:dyDescent="0.25"/>
    <row r="14717" s="12" customFormat="1" x14ac:dyDescent="0.25"/>
    <row r="14718" s="12" customFormat="1" x14ac:dyDescent="0.25"/>
    <row r="14719" s="12" customFormat="1" x14ac:dyDescent="0.25"/>
    <row r="14720" s="12" customFormat="1" x14ac:dyDescent="0.25"/>
    <row r="14721" s="12" customFormat="1" x14ac:dyDescent="0.25"/>
    <row r="14722" s="12" customFormat="1" x14ac:dyDescent="0.25"/>
    <row r="14723" s="12" customFormat="1" x14ac:dyDescent="0.25"/>
    <row r="14724" s="12" customFormat="1" x14ac:dyDescent="0.25"/>
    <row r="14725" s="12" customFormat="1" x14ac:dyDescent="0.25"/>
    <row r="14726" s="12" customFormat="1" x14ac:dyDescent="0.25"/>
    <row r="14727" s="12" customFormat="1" x14ac:dyDescent="0.25"/>
    <row r="14728" s="12" customFormat="1" x14ac:dyDescent="0.25"/>
    <row r="14729" s="12" customFormat="1" x14ac:dyDescent="0.25"/>
    <row r="14730" s="12" customFormat="1" x14ac:dyDescent="0.25"/>
    <row r="14731" s="12" customFormat="1" x14ac:dyDescent="0.25"/>
    <row r="14732" s="12" customFormat="1" x14ac:dyDescent="0.25"/>
    <row r="14733" s="12" customFormat="1" x14ac:dyDescent="0.25"/>
    <row r="14734" s="12" customFormat="1" x14ac:dyDescent="0.25"/>
    <row r="14735" s="12" customFormat="1" x14ac:dyDescent="0.25"/>
    <row r="14736" s="12" customFormat="1" x14ac:dyDescent="0.25"/>
    <row r="14737" s="12" customFormat="1" x14ac:dyDescent="0.25"/>
    <row r="14738" s="12" customFormat="1" x14ac:dyDescent="0.25"/>
    <row r="14739" s="12" customFormat="1" x14ac:dyDescent="0.25"/>
    <row r="14740" s="12" customFormat="1" x14ac:dyDescent="0.25"/>
    <row r="14741" s="12" customFormat="1" x14ac:dyDescent="0.25"/>
    <row r="14742" s="12" customFormat="1" x14ac:dyDescent="0.25"/>
    <row r="14743" s="12" customFormat="1" x14ac:dyDescent="0.25"/>
    <row r="14744" s="12" customFormat="1" x14ac:dyDescent="0.25"/>
    <row r="14745" s="12" customFormat="1" x14ac:dyDescent="0.25"/>
    <row r="14746" s="12" customFormat="1" x14ac:dyDescent="0.25"/>
    <row r="14747" s="12" customFormat="1" x14ac:dyDescent="0.25"/>
    <row r="14748" s="12" customFormat="1" x14ac:dyDescent="0.25"/>
    <row r="14749" s="12" customFormat="1" x14ac:dyDescent="0.25"/>
    <row r="14750" s="12" customFormat="1" x14ac:dyDescent="0.25"/>
    <row r="14751" s="12" customFormat="1" x14ac:dyDescent="0.25"/>
    <row r="14752" s="12" customFormat="1" x14ac:dyDescent="0.25"/>
    <row r="14753" s="12" customFormat="1" x14ac:dyDescent="0.25"/>
    <row r="14754" s="12" customFormat="1" x14ac:dyDescent="0.25"/>
    <row r="14755" s="12" customFormat="1" x14ac:dyDescent="0.25"/>
    <row r="14756" s="12" customFormat="1" x14ac:dyDescent="0.25"/>
    <row r="14757" s="12" customFormat="1" x14ac:dyDescent="0.25"/>
    <row r="14758" s="12" customFormat="1" x14ac:dyDescent="0.25"/>
    <row r="14759" s="12" customFormat="1" x14ac:dyDescent="0.25"/>
    <row r="14760" s="12" customFormat="1" x14ac:dyDescent="0.25"/>
    <row r="14761" s="12" customFormat="1" x14ac:dyDescent="0.25"/>
    <row r="14762" s="12" customFormat="1" x14ac:dyDescent="0.25"/>
    <row r="14763" s="12" customFormat="1" x14ac:dyDescent="0.25"/>
    <row r="14764" s="12" customFormat="1" x14ac:dyDescent="0.25"/>
    <row r="14765" s="12" customFormat="1" x14ac:dyDescent="0.25"/>
    <row r="14766" s="12" customFormat="1" x14ac:dyDescent="0.25"/>
    <row r="14767" s="12" customFormat="1" x14ac:dyDescent="0.25"/>
    <row r="14768" s="12" customFormat="1" x14ac:dyDescent="0.25"/>
    <row r="14769" s="12" customFormat="1" x14ac:dyDescent="0.25"/>
    <row r="14770" s="12" customFormat="1" x14ac:dyDescent="0.25"/>
    <row r="14771" s="12" customFormat="1" x14ac:dyDescent="0.25"/>
    <row r="14772" s="12" customFormat="1" x14ac:dyDescent="0.25"/>
    <row r="14773" s="12" customFormat="1" x14ac:dyDescent="0.25"/>
    <row r="14774" s="12" customFormat="1" x14ac:dyDescent="0.25"/>
    <row r="14775" s="12" customFormat="1" x14ac:dyDescent="0.25"/>
    <row r="14776" s="12" customFormat="1" x14ac:dyDescent="0.25"/>
    <row r="14777" s="12" customFormat="1" x14ac:dyDescent="0.25"/>
    <row r="14778" s="12" customFormat="1" x14ac:dyDescent="0.25"/>
    <row r="14779" s="12" customFormat="1" x14ac:dyDescent="0.25"/>
    <row r="14780" s="12" customFormat="1" x14ac:dyDescent="0.25"/>
    <row r="14781" s="12" customFormat="1" x14ac:dyDescent="0.25"/>
    <row r="14782" s="12" customFormat="1" x14ac:dyDescent="0.25"/>
    <row r="14783" s="12" customFormat="1" x14ac:dyDescent="0.25"/>
    <row r="14784" s="12" customFormat="1" x14ac:dyDescent="0.25"/>
    <row r="14785" s="12" customFormat="1" x14ac:dyDescent="0.25"/>
    <row r="14786" s="12" customFormat="1" x14ac:dyDescent="0.25"/>
    <row r="14787" s="12" customFormat="1" x14ac:dyDescent="0.25"/>
    <row r="14788" s="12" customFormat="1" x14ac:dyDescent="0.25"/>
    <row r="14789" s="12" customFormat="1" x14ac:dyDescent="0.25"/>
    <row r="14790" s="12" customFormat="1" x14ac:dyDescent="0.25"/>
    <row r="14791" s="12" customFormat="1" x14ac:dyDescent="0.25"/>
    <row r="14792" s="12" customFormat="1" x14ac:dyDescent="0.25"/>
    <row r="14793" s="12" customFormat="1" x14ac:dyDescent="0.25"/>
    <row r="14794" s="12" customFormat="1" x14ac:dyDescent="0.25"/>
    <row r="14795" s="12" customFormat="1" x14ac:dyDescent="0.25"/>
    <row r="14796" s="12" customFormat="1" x14ac:dyDescent="0.25"/>
    <row r="14797" s="12" customFormat="1" x14ac:dyDescent="0.25"/>
    <row r="14798" s="12" customFormat="1" x14ac:dyDescent="0.25"/>
    <row r="14799" s="12" customFormat="1" x14ac:dyDescent="0.25"/>
    <row r="14800" s="12" customFormat="1" x14ac:dyDescent="0.25"/>
    <row r="14801" s="12" customFormat="1" x14ac:dyDescent="0.25"/>
    <row r="14802" s="12" customFormat="1" x14ac:dyDescent="0.25"/>
    <row r="14803" s="12" customFormat="1" x14ac:dyDescent="0.25"/>
    <row r="14804" s="12" customFormat="1" x14ac:dyDescent="0.25"/>
    <row r="14805" s="12" customFormat="1" x14ac:dyDescent="0.25"/>
    <row r="14806" s="12" customFormat="1" x14ac:dyDescent="0.25"/>
    <row r="14807" s="12" customFormat="1" x14ac:dyDescent="0.25"/>
    <row r="14808" s="12" customFormat="1" x14ac:dyDescent="0.25"/>
    <row r="14809" s="12" customFormat="1" x14ac:dyDescent="0.25"/>
    <row r="14810" s="12" customFormat="1" x14ac:dyDescent="0.25"/>
    <row r="14811" s="12" customFormat="1" x14ac:dyDescent="0.25"/>
    <row r="14812" s="12" customFormat="1" x14ac:dyDescent="0.25"/>
    <row r="14813" s="12" customFormat="1" x14ac:dyDescent="0.25"/>
    <row r="14814" s="12" customFormat="1" x14ac:dyDescent="0.25"/>
    <row r="14815" s="12" customFormat="1" x14ac:dyDescent="0.25"/>
    <row r="14816" s="12" customFormat="1" x14ac:dyDescent="0.25"/>
    <row r="14817" s="12" customFormat="1" x14ac:dyDescent="0.25"/>
    <row r="14818" s="12" customFormat="1" x14ac:dyDescent="0.25"/>
    <row r="14819" s="12" customFormat="1" x14ac:dyDescent="0.25"/>
    <row r="14820" s="12" customFormat="1" x14ac:dyDescent="0.25"/>
    <row r="14821" s="12" customFormat="1" x14ac:dyDescent="0.25"/>
    <row r="14822" s="12" customFormat="1" x14ac:dyDescent="0.25"/>
    <row r="14823" s="12" customFormat="1" x14ac:dyDescent="0.25"/>
    <row r="14824" s="12" customFormat="1" x14ac:dyDescent="0.25"/>
    <row r="14825" s="12" customFormat="1" x14ac:dyDescent="0.25"/>
    <row r="14826" s="12" customFormat="1" x14ac:dyDescent="0.25"/>
    <row r="14827" s="12" customFormat="1" x14ac:dyDescent="0.25"/>
    <row r="14828" s="12" customFormat="1" x14ac:dyDescent="0.25"/>
    <row r="14829" s="12" customFormat="1" x14ac:dyDescent="0.25"/>
    <row r="14830" s="12" customFormat="1" x14ac:dyDescent="0.25"/>
    <row r="14831" s="12" customFormat="1" x14ac:dyDescent="0.25"/>
    <row r="14832" s="12" customFormat="1" x14ac:dyDescent="0.25"/>
    <row r="14833" s="12" customFormat="1" x14ac:dyDescent="0.25"/>
    <row r="14834" s="12" customFormat="1" x14ac:dyDescent="0.25"/>
    <row r="14835" s="12" customFormat="1" x14ac:dyDescent="0.25"/>
    <row r="14836" s="12" customFormat="1" x14ac:dyDescent="0.25"/>
    <row r="14837" s="12" customFormat="1" x14ac:dyDescent="0.25"/>
    <row r="14838" s="12" customFormat="1" x14ac:dyDescent="0.25"/>
    <row r="14839" s="12" customFormat="1" x14ac:dyDescent="0.25"/>
    <row r="14840" s="12" customFormat="1" x14ac:dyDescent="0.25"/>
    <row r="14841" s="12" customFormat="1" x14ac:dyDescent="0.25"/>
    <row r="14842" s="12" customFormat="1" x14ac:dyDescent="0.25"/>
    <row r="14843" s="12" customFormat="1" x14ac:dyDescent="0.25"/>
    <row r="14844" s="12" customFormat="1" x14ac:dyDescent="0.25"/>
    <row r="14845" s="12" customFormat="1" x14ac:dyDescent="0.25"/>
    <row r="14846" s="12" customFormat="1" x14ac:dyDescent="0.25"/>
    <row r="14847" s="12" customFormat="1" x14ac:dyDescent="0.25"/>
    <row r="14848" s="12" customFormat="1" x14ac:dyDescent="0.25"/>
    <row r="14849" s="12" customFormat="1" x14ac:dyDescent="0.25"/>
    <row r="14850" s="12" customFormat="1" x14ac:dyDescent="0.25"/>
    <row r="14851" s="12" customFormat="1" x14ac:dyDescent="0.25"/>
    <row r="14852" s="12" customFormat="1" x14ac:dyDescent="0.25"/>
    <row r="14853" s="12" customFormat="1" x14ac:dyDescent="0.25"/>
    <row r="14854" s="12" customFormat="1" x14ac:dyDescent="0.25"/>
    <row r="14855" s="12" customFormat="1" x14ac:dyDescent="0.25"/>
    <row r="14856" s="12" customFormat="1" x14ac:dyDescent="0.25"/>
    <row r="14857" s="12" customFormat="1" x14ac:dyDescent="0.25"/>
    <row r="14858" s="12" customFormat="1" x14ac:dyDescent="0.25"/>
    <row r="14859" s="12" customFormat="1" x14ac:dyDescent="0.25"/>
    <row r="14860" s="12" customFormat="1" x14ac:dyDescent="0.25"/>
    <row r="14861" s="12" customFormat="1" x14ac:dyDescent="0.25"/>
    <row r="14862" s="12" customFormat="1" x14ac:dyDescent="0.25"/>
    <row r="14863" s="12" customFormat="1" x14ac:dyDescent="0.25"/>
    <row r="14864" s="12" customFormat="1" x14ac:dyDescent="0.25"/>
    <row r="14865" s="12" customFormat="1" x14ac:dyDescent="0.25"/>
    <row r="14866" s="12" customFormat="1" x14ac:dyDescent="0.25"/>
    <row r="14867" s="12" customFormat="1" x14ac:dyDescent="0.25"/>
    <row r="14868" s="12" customFormat="1" x14ac:dyDescent="0.25"/>
    <row r="14869" s="12" customFormat="1" x14ac:dyDescent="0.25"/>
    <row r="14870" s="12" customFormat="1" x14ac:dyDescent="0.25"/>
    <row r="14871" s="12" customFormat="1" x14ac:dyDescent="0.25"/>
    <row r="14872" s="12" customFormat="1" x14ac:dyDescent="0.25"/>
    <row r="14873" s="12" customFormat="1" x14ac:dyDescent="0.25"/>
    <row r="14874" s="12" customFormat="1" x14ac:dyDescent="0.25"/>
    <row r="14875" s="12" customFormat="1" x14ac:dyDescent="0.25"/>
    <row r="14876" s="12" customFormat="1" x14ac:dyDescent="0.25"/>
    <row r="14877" s="12" customFormat="1" x14ac:dyDescent="0.25"/>
    <row r="14878" s="12" customFormat="1" x14ac:dyDescent="0.25"/>
    <row r="14879" s="12" customFormat="1" x14ac:dyDescent="0.25"/>
    <row r="14880" s="12" customFormat="1" x14ac:dyDescent="0.25"/>
    <row r="14881" s="12" customFormat="1" x14ac:dyDescent="0.25"/>
    <row r="14882" s="12" customFormat="1" x14ac:dyDescent="0.25"/>
    <row r="14883" s="12" customFormat="1" x14ac:dyDescent="0.25"/>
    <row r="14884" s="12" customFormat="1" x14ac:dyDescent="0.25"/>
    <row r="14885" s="12" customFormat="1" x14ac:dyDescent="0.25"/>
    <row r="14886" s="12" customFormat="1" x14ac:dyDescent="0.25"/>
    <row r="14887" s="12" customFormat="1" x14ac:dyDescent="0.25"/>
    <row r="14888" s="12" customFormat="1" x14ac:dyDescent="0.25"/>
    <row r="14889" s="12" customFormat="1" x14ac:dyDescent="0.25"/>
    <row r="14890" s="12" customFormat="1" x14ac:dyDescent="0.25"/>
    <row r="14891" s="12" customFormat="1" x14ac:dyDescent="0.25"/>
    <row r="14892" s="12" customFormat="1" x14ac:dyDescent="0.25"/>
    <row r="14893" s="12" customFormat="1" x14ac:dyDescent="0.25"/>
    <row r="14894" s="12" customFormat="1" x14ac:dyDescent="0.25"/>
    <row r="14895" s="12" customFormat="1" x14ac:dyDescent="0.25"/>
    <row r="14896" s="12" customFormat="1" x14ac:dyDescent="0.25"/>
    <row r="14897" s="12" customFormat="1" x14ac:dyDescent="0.25"/>
    <row r="14898" s="12" customFormat="1" x14ac:dyDescent="0.25"/>
    <row r="14899" s="12" customFormat="1" x14ac:dyDescent="0.25"/>
    <row r="14900" s="12" customFormat="1" x14ac:dyDescent="0.25"/>
    <row r="14901" s="12" customFormat="1" x14ac:dyDescent="0.25"/>
    <row r="14902" s="12" customFormat="1" x14ac:dyDescent="0.25"/>
    <row r="14903" s="12" customFormat="1" x14ac:dyDescent="0.25"/>
    <row r="14904" s="12" customFormat="1" x14ac:dyDescent="0.25"/>
    <row r="14905" s="12" customFormat="1" x14ac:dyDescent="0.25"/>
    <row r="14906" s="12" customFormat="1" x14ac:dyDescent="0.25"/>
    <row r="14907" s="12" customFormat="1" x14ac:dyDescent="0.25"/>
    <row r="14908" s="12" customFormat="1" x14ac:dyDescent="0.25"/>
    <row r="14909" s="12" customFormat="1" x14ac:dyDescent="0.25"/>
    <row r="14910" s="12" customFormat="1" x14ac:dyDescent="0.25"/>
    <row r="14911" s="12" customFormat="1" x14ac:dyDescent="0.25"/>
    <row r="14912" s="12" customFormat="1" x14ac:dyDescent="0.25"/>
    <row r="14913" s="12" customFormat="1" x14ac:dyDescent="0.25"/>
    <row r="14914" s="12" customFormat="1" x14ac:dyDescent="0.25"/>
    <row r="14915" s="12" customFormat="1" x14ac:dyDescent="0.25"/>
    <row r="14916" s="12" customFormat="1" x14ac:dyDescent="0.25"/>
    <row r="14917" s="12" customFormat="1" x14ac:dyDescent="0.25"/>
    <row r="14918" s="12" customFormat="1" x14ac:dyDescent="0.25"/>
    <row r="14919" s="12" customFormat="1" x14ac:dyDescent="0.25"/>
    <row r="14920" s="12" customFormat="1" x14ac:dyDescent="0.25"/>
    <row r="14921" s="12" customFormat="1" x14ac:dyDescent="0.25"/>
    <row r="14922" s="12" customFormat="1" x14ac:dyDescent="0.25"/>
    <row r="14923" s="12" customFormat="1" x14ac:dyDescent="0.25"/>
    <row r="14924" s="12" customFormat="1" x14ac:dyDescent="0.25"/>
    <row r="14925" s="12" customFormat="1" x14ac:dyDescent="0.25"/>
    <row r="14926" s="12" customFormat="1" x14ac:dyDescent="0.25"/>
    <row r="14927" s="12" customFormat="1" x14ac:dyDescent="0.25"/>
    <row r="14928" s="12" customFormat="1" x14ac:dyDescent="0.25"/>
    <row r="14929" s="12" customFormat="1" x14ac:dyDescent="0.25"/>
    <row r="14930" s="12" customFormat="1" x14ac:dyDescent="0.25"/>
    <row r="14931" s="12" customFormat="1" x14ac:dyDescent="0.25"/>
    <row r="14932" s="12" customFormat="1" x14ac:dyDescent="0.25"/>
    <row r="14933" s="12" customFormat="1" x14ac:dyDescent="0.25"/>
    <row r="14934" s="12" customFormat="1" x14ac:dyDescent="0.25"/>
    <row r="14935" s="12" customFormat="1" x14ac:dyDescent="0.25"/>
    <row r="14936" s="12" customFormat="1" x14ac:dyDescent="0.25"/>
    <row r="14937" s="12" customFormat="1" x14ac:dyDescent="0.25"/>
    <row r="14938" s="12" customFormat="1" x14ac:dyDescent="0.25"/>
    <row r="14939" s="12" customFormat="1" x14ac:dyDescent="0.25"/>
    <row r="14940" s="12" customFormat="1" x14ac:dyDescent="0.25"/>
    <row r="14941" s="12" customFormat="1" x14ac:dyDescent="0.25"/>
    <row r="14942" s="12" customFormat="1" x14ac:dyDescent="0.25"/>
    <row r="14943" s="12" customFormat="1" x14ac:dyDescent="0.25"/>
    <row r="14944" s="12" customFormat="1" x14ac:dyDescent="0.25"/>
    <row r="14945" s="12" customFormat="1" x14ac:dyDescent="0.25"/>
    <row r="14946" s="12" customFormat="1" x14ac:dyDescent="0.25"/>
    <row r="14947" s="12" customFormat="1" x14ac:dyDescent="0.25"/>
    <row r="14948" s="12" customFormat="1" x14ac:dyDescent="0.25"/>
    <row r="14949" s="12" customFormat="1" x14ac:dyDescent="0.25"/>
    <row r="14950" s="12" customFormat="1" x14ac:dyDescent="0.25"/>
    <row r="14951" s="12" customFormat="1" x14ac:dyDescent="0.25"/>
    <row r="14952" s="12" customFormat="1" x14ac:dyDescent="0.25"/>
    <row r="14953" s="12" customFormat="1" x14ac:dyDescent="0.25"/>
    <row r="14954" s="12" customFormat="1" x14ac:dyDescent="0.25"/>
    <row r="14955" s="12" customFormat="1" x14ac:dyDescent="0.25"/>
    <row r="14956" s="12" customFormat="1" x14ac:dyDescent="0.25"/>
    <row r="14957" s="12" customFormat="1" x14ac:dyDescent="0.25"/>
    <row r="14958" s="12" customFormat="1" x14ac:dyDescent="0.25"/>
    <row r="14959" s="12" customFormat="1" x14ac:dyDescent="0.25"/>
    <row r="14960" s="12" customFormat="1" x14ac:dyDescent="0.25"/>
    <row r="14961" s="12" customFormat="1" x14ac:dyDescent="0.25"/>
    <row r="14962" s="12" customFormat="1" x14ac:dyDescent="0.25"/>
    <row r="14963" s="12" customFormat="1" x14ac:dyDescent="0.25"/>
    <row r="14964" s="12" customFormat="1" x14ac:dyDescent="0.25"/>
    <row r="14965" s="12" customFormat="1" x14ac:dyDescent="0.25"/>
    <row r="14966" s="12" customFormat="1" x14ac:dyDescent="0.25"/>
    <row r="14967" s="12" customFormat="1" x14ac:dyDescent="0.25"/>
    <row r="14968" s="12" customFormat="1" x14ac:dyDescent="0.25"/>
    <row r="14969" s="12" customFormat="1" x14ac:dyDescent="0.25"/>
    <row r="14970" s="12" customFormat="1" x14ac:dyDescent="0.25"/>
    <row r="14971" s="12" customFormat="1" x14ac:dyDescent="0.25"/>
    <row r="14972" s="12" customFormat="1" x14ac:dyDescent="0.25"/>
    <row r="14973" s="12" customFormat="1" x14ac:dyDescent="0.25"/>
    <row r="14974" s="12" customFormat="1" x14ac:dyDescent="0.25"/>
    <row r="14975" s="12" customFormat="1" x14ac:dyDescent="0.25"/>
    <row r="14976" s="12" customFormat="1" x14ac:dyDescent="0.25"/>
    <row r="14977" s="12" customFormat="1" x14ac:dyDescent="0.25"/>
    <row r="14978" s="12" customFormat="1" x14ac:dyDescent="0.25"/>
    <row r="14979" s="12" customFormat="1" x14ac:dyDescent="0.25"/>
    <row r="14980" s="12" customFormat="1" x14ac:dyDescent="0.25"/>
    <row r="14981" s="12" customFormat="1" x14ac:dyDescent="0.25"/>
    <row r="14982" s="12" customFormat="1" x14ac:dyDescent="0.25"/>
    <row r="14983" s="12" customFormat="1" x14ac:dyDescent="0.25"/>
    <row r="14984" s="12" customFormat="1" x14ac:dyDescent="0.25"/>
    <row r="14985" s="12" customFormat="1" x14ac:dyDescent="0.25"/>
    <row r="14986" s="12" customFormat="1" x14ac:dyDescent="0.25"/>
    <row r="14987" s="12" customFormat="1" x14ac:dyDescent="0.25"/>
    <row r="14988" s="12" customFormat="1" x14ac:dyDescent="0.25"/>
    <row r="14989" s="12" customFormat="1" x14ac:dyDescent="0.25"/>
    <row r="14990" s="12" customFormat="1" x14ac:dyDescent="0.25"/>
    <row r="14991" s="12" customFormat="1" x14ac:dyDescent="0.25"/>
    <row r="14992" s="12" customFormat="1" x14ac:dyDescent="0.25"/>
    <row r="14993" s="12" customFormat="1" x14ac:dyDescent="0.25"/>
    <row r="14994" s="12" customFormat="1" x14ac:dyDescent="0.25"/>
    <row r="14995" s="12" customFormat="1" x14ac:dyDescent="0.25"/>
    <row r="14996" s="12" customFormat="1" x14ac:dyDescent="0.25"/>
    <row r="14997" s="12" customFormat="1" x14ac:dyDescent="0.25"/>
    <row r="14998" s="12" customFormat="1" x14ac:dyDescent="0.25"/>
    <row r="14999" s="12" customFormat="1" x14ac:dyDescent="0.25"/>
    <row r="15000" s="12" customFormat="1" x14ac:dyDescent="0.25"/>
    <row r="15001" s="12" customFormat="1" x14ac:dyDescent="0.25"/>
    <row r="15002" s="12" customFormat="1" x14ac:dyDescent="0.25"/>
    <row r="15003" s="12" customFormat="1" x14ac:dyDescent="0.25"/>
    <row r="15004" s="12" customFormat="1" x14ac:dyDescent="0.25"/>
    <row r="15005" s="12" customFormat="1" x14ac:dyDescent="0.25"/>
    <row r="15006" s="12" customFormat="1" x14ac:dyDescent="0.25"/>
    <row r="15007" s="12" customFormat="1" x14ac:dyDescent="0.25"/>
    <row r="15008" s="12" customFormat="1" x14ac:dyDescent="0.25"/>
    <row r="15009" s="12" customFormat="1" x14ac:dyDescent="0.25"/>
    <row r="15010" s="12" customFormat="1" x14ac:dyDescent="0.25"/>
    <row r="15011" s="12" customFormat="1" x14ac:dyDescent="0.25"/>
    <row r="15012" s="12" customFormat="1" x14ac:dyDescent="0.25"/>
    <row r="15013" s="12" customFormat="1" x14ac:dyDescent="0.25"/>
    <row r="15014" s="12" customFormat="1" x14ac:dyDescent="0.25"/>
    <row r="15015" s="12" customFormat="1" x14ac:dyDescent="0.25"/>
    <row r="15016" s="12" customFormat="1" x14ac:dyDescent="0.25"/>
    <row r="15017" s="12" customFormat="1" x14ac:dyDescent="0.25"/>
    <row r="15018" s="12" customFormat="1" x14ac:dyDescent="0.25"/>
    <row r="15019" s="12" customFormat="1" x14ac:dyDescent="0.25"/>
    <row r="15020" s="12" customFormat="1" x14ac:dyDescent="0.25"/>
    <row r="15021" s="12" customFormat="1" x14ac:dyDescent="0.25"/>
    <row r="15022" s="12" customFormat="1" x14ac:dyDescent="0.25"/>
    <row r="15023" s="12" customFormat="1" x14ac:dyDescent="0.25"/>
    <row r="15024" s="12" customFormat="1" x14ac:dyDescent="0.25"/>
    <row r="15025" s="12" customFormat="1" x14ac:dyDescent="0.25"/>
    <row r="15026" s="12" customFormat="1" x14ac:dyDescent="0.25"/>
    <row r="15027" s="12" customFormat="1" x14ac:dyDescent="0.25"/>
    <row r="15028" s="12" customFormat="1" x14ac:dyDescent="0.25"/>
    <row r="15029" s="12" customFormat="1" x14ac:dyDescent="0.25"/>
    <row r="15030" s="12" customFormat="1" x14ac:dyDescent="0.25"/>
    <row r="15031" s="12" customFormat="1" x14ac:dyDescent="0.25"/>
    <row r="15032" s="12" customFormat="1" x14ac:dyDescent="0.25"/>
    <row r="15033" s="12" customFormat="1" x14ac:dyDescent="0.25"/>
    <row r="15034" s="12" customFormat="1" x14ac:dyDescent="0.25"/>
    <row r="15035" s="12" customFormat="1" x14ac:dyDescent="0.25"/>
    <row r="15036" s="12" customFormat="1" x14ac:dyDescent="0.25"/>
    <row r="15037" s="12" customFormat="1" x14ac:dyDescent="0.25"/>
    <row r="15038" s="12" customFormat="1" x14ac:dyDescent="0.25"/>
    <row r="15039" s="12" customFormat="1" x14ac:dyDescent="0.25"/>
    <row r="15040" s="12" customFormat="1" x14ac:dyDescent="0.25"/>
    <row r="15041" s="12" customFormat="1" x14ac:dyDescent="0.25"/>
    <row r="15042" s="12" customFormat="1" x14ac:dyDescent="0.25"/>
    <row r="15043" s="12" customFormat="1" x14ac:dyDescent="0.25"/>
    <row r="15044" s="12" customFormat="1" x14ac:dyDescent="0.25"/>
    <row r="15045" s="12" customFormat="1" x14ac:dyDescent="0.25"/>
    <row r="15046" s="12" customFormat="1" x14ac:dyDescent="0.25"/>
    <row r="15047" s="12" customFormat="1" x14ac:dyDescent="0.25"/>
    <row r="15048" s="12" customFormat="1" x14ac:dyDescent="0.25"/>
    <row r="15049" s="12" customFormat="1" x14ac:dyDescent="0.25"/>
    <row r="15050" s="12" customFormat="1" x14ac:dyDescent="0.25"/>
    <row r="15051" s="12" customFormat="1" x14ac:dyDescent="0.25"/>
    <row r="15052" s="12" customFormat="1" x14ac:dyDescent="0.25"/>
    <row r="15053" s="12" customFormat="1" x14ac:dyDescent="0.25"/>
    <row r="15054" s="12" customFormat="1" x14ac:dyDescent="0.25"/>
    <row r="15055" s="12" customFormat="1" x14ac:dyDescent="0.25"/>
    <row r="15056" s="12" customFormat="1" x14ac:dyDescent="0.25"/>
    <row r="15057" s="12" customFormat="1" x14ac:dyDescent="0.25"/>
    <row r="15058" s="12" customFormat="1" x14ac:dyDescent="0.25"/>
    <row r="15059" s="12" customFormat="1" x14ac:dyDescent="0.25"/>
    <row r="15060" s="12" customFormat="1" x14ac:dyDescent="0.25"/>
    <row r="15061" s="12" customFormat="1" x14ac:dyDescent="0.25"/>
    <row r="15062" s="12" customFormat="1" x14ac:dyDescent="0.25"/>
    <row r="15063" s="12" customFormat="1" x14ac:dyDescent="0.25"/>
    <row r="15064" s="12" customFormat="1" x14ac:dyDescent="0.25"/>
    <row r="15065" s="12" customFormat="1" x14ac:dyDescent="0.25"/>
    <row r="15066" s="12" customFormat="1" x14ac:dyDescent="0.25"/>
    <row r="15067" s="12" customFormat="1" x14ac:dyDescent="0.25"/>
    <row r="15068" s="12" customFormat="1" x14ac:dyDescent="0.25"/>
    <row r="15069" s="12" customFormat="1" x14ac:dyDescent="0.25"/>
    <row r="15070" s="12" customFormat="1" x14ac:dyDescent="0.25"/>
    <row r="15071" s="12" customFormat="1" x14ac:dyDescent="0.25"/>
    <row r="15072" s="12" customFormat="1" x14ac:dyDescent="0.25"/>
    <row r="15073" s="12" customFormat="1" x14ac:dyDescent="0.25"/>
    <row r="15074" s="12" customFormat="1" x14ac:dyDescent="0.25"/>
    <row r="15075" s="12" customFormat="1" x14ac:dyDescent="0.25"/>
    <row r="15076" s="12" customFormat="1" x14ac:dyDescent="0.25"/>
    <row r="15077" s="12" customFormat="1" x14ac:dyDescent="0.25"/>
    <row r="15078" s="12" customFormat="1" x14ac:dyDescent="0.25"/>
    <row r="15079" s="12" customFormat="1" x14ac:dyDescent="0.25"/>
    <row r="15080" s="12" customFormat="1" x14ac:dyDescent="0.25"/>
    <row r="15081" s="12" customFormat="1" x14ac:dyDescent="0.25"/>
    <row r="15082" s="12" customFormat="1" x14ac:dyDescent="0.25"/>
    <row r="15083" s="12" customFormat="1" x14ac:dyDescent="0.25"/>
    <row r="15084" s="12" customFormat="1" x14ac:dyDescent="0.25"/>
    <row r="15085" s="12" customFormat="1" x14ac:dyDescent="0.25"/>
    <row r="15086" s="12" customFormat="1" x14ac:dyDescent="0.25"/>
    <row r="15087" s="12" customFormat="1" x14ac:dyDescent="0.25"/>
    <row r="15088" s="12" customFormat="1" x14ac:dyDescent="0.25"/>
    <row r="15089" s="12" customFormat="1" x14ac:dyDescent="0.25"/>
    <row r="15090" s="12" customFormat="1" x14ac:dyDescent="0.25"/>
    <row r="15091" s="12" customFormat="1" x14ac:dyDescent="0.25"/>
    <row r="15092" s="12" customFormat="1" x14ac:dyDescent="0.25"/>
    <row r="15093" s="12" customFormat="1" x14ac:dyDescent="0.25"/>
    <row r="15094" s="12" customFormat="1" x14ac:dyDescent="0.25"/>
    <row r="15095" s="12" customFormat="1" x14ac:dyDescent="0.25"/>
    <row r="15096" s="12" customFormat="1" x14ac:dyDescent="0.25"/>
    <row r="15097" s="12" customFormat="1" x14ac:dyDescent="0.25"/>
    <row r="15098" s="12" customFormat="1" x14ac:dyDescent="0.25"/>
    <row r="15099" s="12" customFormat="1" x14ac:dyDescent="0.25"/>
    <row r="15100" s="12" customFormat="1" x14ac:dyDescent="0.25"/>
    <row r="15101" s="12" customFormat="1" x14ac:dyDescent="0.25"/>
    <row r="15102" s="12" customFormat="1" x14ac:dyDescent="0.25"/>
    <row r="15103" s="12" customFormat="1" x14ac:dyDescent="0.25"/>
    <row r="15104" s="12" customFormat="1" x14ac:dyDescent="0.25"/>
    <row r="15105" s="12" customFormat="1" x14ac:dyDescent="0.25"/>
    <row r="15106" s="12" customFormat="1" x14ac:dyDescent="0.25"/>
    <row r="15107" s="12" customFormat="1" x14ac:dyDescent="0.25"/>
    <row r="15108" s="12" customFormat="1" x14ac:dyDescent="0.25"/>
    <row r="15109" s="12" customFormat="1" x14ac:dyDescent="0.25"/>
    <row r="15110" s="12" customFormat="1" x14ac:dyDescent="0.25"/>
    <row r="15111" s="12" customFormat="1" x14ac:dyDescent="0.25"/>
    <row r="15112" s="12" customFormat="1" x14ac:dyDescent="0.25"/>
    <row r="15113" s="12" customFormat="1" x14ac:dyDescent="0.25"/>
    <row r="15114" s="12" customFormat="1" x14ac:dyDescent="0.25"/>
    <row r="15115" s="12" customFormat="1" x14ac:dyDescent="0.25"/>
    <row r="15116" s="12" customFormat="1" x14ac:dyDescent="0.25"/>
    <row r="15117" s="12" customFormat="1" x14ac:dyDescent="0.25"/>
    <row r="15118" s="12" customFormat="1" x14ac:dyDescent="0.25"/>
    <row r="15119" s="12" customFormat="1" x14ac:dyDescent="0.25"/>
    <row r="15120" s="12" customFormat="1" x14ac:dyDescent="0.25"/>
    <row r="15121" s="12" customFormat="1" x14ac:dyDescent="0.25"/>
    <row r="15122" s="12" customFormat="1" x14ac:dyDescent="0.25"/>
    <row r="15123" s="12" customFormat="1" x14ac:dyDescent="0.25"/>
    <row r="15124" s="12" customFormat="1" x14ac:dyDescent="0.25"/>
    <row r="15125" s="12" customFormat="1" x14ac:dyDescent="0.25"/>
    <row r="15126" s="12" customFormat="1" x14ac:dyDescent="0.25"/>
    <row r="15127" s="12" customFormat="1" x14ac:dyDescent="0.25"/>
    <row r="15128" s="12" customFormat="1" x14ac:dyDescent="0.25"/>
    <row r="15129" s="12" customFormat="1" x14ac:dyDescent="0.25"/>
    <row r="15130" s="12" customFormat="1" x14ac:dyDescent="0.25"/>
    <row r="15131" s="12" customFormat="1" x14ac:dyDescent="0.25"/>
    <row r="15132" s="12" customFormat="1" x14ac:dyDescent="0.25"/>
    <row r="15133" s="12" customFormat="1" x14ac:dyDescent="0.25"/>
    <row r="15134" s="12" customFormat="1" x14ac:dyDescent="0.25"/>
    <row r="15135" s="12" customFormat="1" x14ac:dyDescent="0.25"/>
    <row r="15136" s="12" customFormat="1" x14ac:dyDescent="0.25"/>
    <row r="15137" s="12" customFormat="1" x14ac:dyDescent="0.25"/>
    <row r="15138" s="12" customFormat="1" x14ac:dyDescent="0.25"/>
    <row r="15139" s="12" customFormat="1" x14ac:dyDescent="0.25"/>
    <row r="15140" s="12" customFormat="1" x14ac:dyDescent="0.25"/>
    <row r="15141" s="12" customFormat="1" x14ac:dyDescent="0.25"/>
    <row r="15142" s="12" customFormat="1" x14ac:dyDescent="0.25"/>
    <row r="15143" s="12" customFormat="1" x14ac:dyDescent="0.25"/>
    <row r="15144" s="12" customFormat="1" x14ac:dyDescent="0.25"/>
    <row r="15145" s="12" customFormat="1" x14ac:dyDescent="0.25"/>
    <row r="15146" s="12" customFormat="1" x14ac:dyDescent="0.25"/>
    <row r="15147" s="12" customFormat="1" x14ac:dyDescent="0.25"/>
    <row r="15148" s="12" customFormat="1" x14ac:dyDescent="0.25"/>
    <row r="15149" s="12" customFormat="1" x14ac:dyDescent="0.25"/>
    <row r="15150" s="12" customFormat="1" x14ac:dyDescent="0.25"/>
    <row r="15151" s="12" customFormat="1" x14ac:dyDescent="0.25"/>
    <row r="15152" s="12" customFormat="1" x14ac:dyDescent="0.25"/>
    <row r="15153" s="12" customFormat="1" x14ac:dyDescent="0.25"/>
    <row r="15154" s="12" customFormat="1" x14ac:dyDescent="0.25"/>
    <row r="15155" s="12" customFormat="1" x14ac:dyDescent="0.25"/>
    <row r="15156" s="12" customFormat="1" x14ac:dyDescent="0.25"/>
    <row r="15157" s="12" customFormat="1" x14ac:dyDescent="0.25"/>
    <row r="15158" s="12" customFormat="1" x14ac:dyDescent="0.25"/>
    <row r="15159" s="12" customFormat="1" x14ac:dyDescent="0.25"/>
    <row r="15160" s="12" customFormat="1" x14ac:dyDescent="0.25"/>
    <row r="15161" s="12" customFormat="1" x14ac:dyDescent="0.25"/>
    <row r="15162" s="12" customFormat="1" x14ac:dyDescent="0.25"/>
    <row r="15163" s="12" customFormat="1" x14ac:dyDescent="0.25"/>
    <row r="15164" s="12" customFormat="1" x14ac:dyDescent="0.25"/>
    <row r="15165" s="12" customFormat="1" x14ac:dyDescent="0.25"/>
    <row r="15166" s="12" customFormat="1" x14ac:dyDescent="0.25"/>
    <row r="15167" s="12" customFormat="1" x14ac:dyDescent="0.25"/>
    <row r="15168" s="12" customFormat="1" x14ac:dyDescent="0.25"/>
    <row r="15169" s="12" customFormat="1" x14ac:dyDescent="0.25"/>
    <row r="15170" s="12" customFormat="1" x14ac:dyDescent="0.25"/>
    <row r="15171" s="12" customFormat="1" x14ac:dyDescent="0.25"/>
    <row r="15172" s="12" customFormat="1" x14ac:dyDescent="0.25"/>
    <row r="15173" s="12" customFormat="1" x14ac:dyDescent="0.25"/>
    <row r="15174" s="12" customFormat="1" x14ac:dyDescent="0.25"/>
    <row r="15175" s="12" customFormat="1" x14ac:dyDescent="0.25"/>
    <row r="15176" s="12" customFormat="1" x14ac:dyDescent="0.25"/>
    <row r="15177" s="12" customFormat="1" x14ac:dyDescent="0.25"/>
    <row r="15178" s="12" customFormat="1" x14ac:dyDescent="0.25"/>
    <row r="15179" s="12" customFormat="1" x14ac:dyDescent="0.25"/>
    <row r="15180" s="12" customFormat="1" x14ac:dyDescent="0.25"/>
    <row r="15181" s="12" customFormat="1" x14ac:dyDescent="0.25"/>
    <row r="15182" s="12" customFormat="1" x14ac:dyDescent="0.25"/>
    <row r="15183" s="12" customFormat="1" x14ac:dyDescent="0.25"/>
    <row r="15184" s="12" customFormat="1" x14ac:dyDescent="0.25"/>
    <row r="15185" s="12" customFormat="1" x14ac:dyDescent="0.25"/>
    <row r="15186" s="12" customFormat="1" x14ac:dyDescent="0.25"/>
    <row r="15187" s="12" customFormat="1" x14ac:dyDescent="0.25"/>
    <row r="15188" s="12" customFormat="1" x14ac:dyDescent="0.25"/>
    <row r="15189" s="12" customFormat="1" x14ac:dyDescent="0.25"/>
    <row r="15190" s="12" customFormat="1" x14ac:dyDescent="0.25"/>
    <row r="15191" s="12" customFormat="1" x14ac:dyDescent="0.25"/>
    <row r="15192" s="12" customFormat="1" x14ac:dyDescent="0.25"/>
    <row r="15193" s="12" customFormat="1" x14ac:dyDescent="0.25"/>
    <row r="15194" s="12" customFormat="1" x14ac:dyDescent="0.25"/>
    <row r="15195" s="12" customFormat="1" x14ac:dyDescent="0.25"/>
    <row r="15196" s="12" customFormat="1" x14ac:dyDescent="0.25"/>
    <row r="15197" s="12" customFormat="1" x14ac:dyDescent="0.25"/>
    <row r="15198" s="12" customFormat="1" x14ac:dyDescent="0.25"/>
    <row r="15199" s="12" customFormat="1" x14ac:dyDescent="0.25"/>
    <row r="15200" s="12" customFormat="1" x14ac:dyDescent="0.25"/>
    <row r="15201" s="12" customFormat="1" x14ac:dyDescent="0.25"/>
    <row r="15202" s="12" customFormat="1" x14ac:dyDescent="0.25"/>
    <row r="15203" s="12" customFormat="1" x14ac:dyDescent="0.25"/>
    <row r="15204" s="12" customFormat="1" x14ac:dyDescent="0.25"/>
    <row r="15205" s="12" customFormat="1" x14ac:dyDescent="0.25"/>
    <row r="15206" s="12" customFormat="1" x14ac:dyDescent="0.25"/>
    <row r="15207" s="12" customFormat="1" x14ac:dyDescent="0.25"/>
    <row r="15208" s="12" customFormat="1" x14ac:dyDescent="0.25"/>
    <row r="15209" s="12" customFormat="1" x14ac:dyDescent="0.25"/>
    <row r="15210" s="12" customFormat="1" x14ac:dyDescent="0.25"/>
    <row r="15211" s="12" customFormat="1" x14ac:dyDescent="0.25"/>
    <row r="15212" s="12" customFormat="1" x14ac:dyDescent="0.25"/>
    <row r="15213" s="12" customFormat="1" x14ac:dyDescent="0.25"/>
    <row r="15214" s="12" customFormat="1" x14ac:dyDescent="0.25"/>
    <row r="15215" s="12" customFormat="1" x14ac:dyDescent="0.25"/>
    <row r="15216" s="12" customFormat="1" x14ac:dyDescent="0.25"/>
    <row r="15217" s="12" customFormat="1" x14ac:dyDescent="0.25"/>
    <row r="15218" s="12" customFormat="1" x14ac:dyDescent="0.25"/>
    <row r="15219" s="12" customFormat="1" x14ac:dyDescent="0.25"/>
    <row r="15220" s="12" customFormat="1" x14ac:dyDescent="0.25"/>
    <row r="15221" s="12" customFormat="1" x14ac:dyDescent="0.25"/>
    <row r="15222" s="12" customFormat="1" x14ac:dyDescent="0.25"/>
    <row r="15223" s="12" customFormat="1" x14ac:dyDescent="0.25"/>
    <row r="15224" s="12" customFormat="1" x14ac:dyDescent="0.25"/>
    <row r="15225" s="12" customFormat="1" x14ac:dyDescent="0.25"/>
    <row r="15226" s="12" customFormat="1" x14ac:dyDescent="0.25"/>
    <row r="15227" s="12" customFormat="1" x14ac:dyDescent="0.25"/>
    <row r="15228" s="12" customFormat="1" x14ac:dyDescent="0.25"/>
    <row r="15229" s="12" customFormat="1" x14ac:dyDescent="0.25"/>
    <row r="15230" s="12" customFormat="1" x14ac:dyDescent="0.25"/>
    <row r="15231" s="12" customFormat="1" x14ac:dyDescent="0.25"/>
    <row r="15232" s="12" customFormat="1" x14ac:dyDescent="0.25"/>
    <row r="15233" s="12" customFormat="1" x14ac:dyDescent="0.25"/>
    <row r="15234" s="12" customFormat="1" x14ac:dyDescent="0.25"/>
    <row r="15235" s="12" customFormat="1" x14ac:dyDescent="0.25"/>
    <row r="15236" s="12" customFormat="1" x14ac:dyDescent="0.25"/>
    <row r="15237" s="12" customFormat="1" x14ac:dyDescent="0.25"/>
    <row r="15238" s="12" customFormat="1" x14ac:dyDescent="0.25"/>
    <row r="15239" s="12" customFormat="1" x14ac:dyDescent="0.25"/>
    <row r="15240" s="12" customFormat="1" x14ac:dyDescent="0.25"/>
    <row r="15241" s="12" customFormat="1" x14ac:dyDescent="0.25"/>
    <row r="15242" s="12" customFormat="1" x14ac:dyDescent="0.25"/>
    <row r="15243" s="12" customFormat="1" x14ac:dyDescent="0.25"/>
    <row r="15244" s="12" customFormat="1" x14ac:dyDescent="0.25"/>
    <row r="15245" s="12" customFormat="1" x14ac:dyDescent="0.25"/>
    <row r="15246" s="12" customFormat="1" x14ac:dyDescent="0.25"/>
    <row r="15247" s="12" customFormat="1" x14ac:dyDescent="0.25"/>
    <row r="15248" s="12" customFormat="1" x14ac:dyDescent="0.25"/>
    <row r="15249" s="12" customFormat="1" x14ac:dyDescent="0.25"/>
    <row r="15250" s="12" customFormat="1" x14ac:dyDescent="0.25"/>
    <row r="15251" s="12" customFormat="1" x14ac:dyDescent="0.25"/>
    <row r="15252" s="12" customFormat="1" x14ac:dyDescent="0.25"/>
    <row r="15253" s="12" customFormat="1" x14ac:dyDescent="0.25"/>
    <row r="15254" s="12" customFormat="1" x14ac:dyDescent="0.25"/>
    <row r="15255" s="12" customFormat="1" x14ac:dyDescent="0.25"/>
    <row r="15256" s="12" customFormat="1" x14ac:dyDescent="0.25"/>
    <row r="15257" s="12" customFormat="1" x14ac:dyDescent="0.25"/>
    <row r="15258" s="12" customFormat="1" x14ac:dyDescent="0.25"/>
    <row r="15259" s="12" customFormat="1" x14ac:dyDescent="0.25"/>
    <row r="15260" s="12" customFormat="1" x14ac:dyDescent="0.25"/>
    <row r="15261" s="12" customFormat="1" x14ac:dyDescent="0.25"/>
    <row r="15262" s="12" customFormat="1" x14ac:dyDescent="0.25"/>
    <row r="15263" s="12" customFormat="1" x14ac:dyDescent="0.25"/>
    <row r="15264" s="12" customFormat="1" x14ac:dyDescent="0.25"/>
    <row r="15265" s="12" customFormat="1" x14ac:dyDescent="0.25"/>
    <row r="15266" s="12" customFormat="1" x14ac:dyDescent="0.25"/>
    <row r="15267" s="12" customFormat="1" x14ac:dyDescent="0.25"/>
    <row r="15268" s="12" customFormat="1" x14ac:dyDescent="0.25"/>
    <row r="15269" s="12" customFormat="1" x14ac:dyDescent="0.25"/>
    <row r="15270" s="12" customFormat="1" x14ac:dyDescent="0.25"/>
    <row r="15271" s="12" customFormat="1" x14ac:dyDescent="0.25"/>
    <row r="15272" s="12" customFormat="1" x14ac:dyDescent="0.25"/>
    <row r="15273" s="12" customFormat="1" x14ac:dyDescent="0.25"/>
    <row r="15274" s="12" customFormat="1" x14ac:dyDescent="0.25"/>
    <row r="15275" s="12" customFormat="1" x14ac:dyDescent="0.25"/>
    <row r="15276" s="12" customFormat="1" x14ac:dyDescent="0.25"/>
    <row r="15277" s="12" customFormat="1" x14ac:dyDescent="0.25"/>
    <row r="15278" s="12" customFormat="1" x14ac:dyDescent="0.25"/>
    <row r="15279" s="12" customFormat="1" x14ac:dyDescent="0.25"/>
    <row r="15280" s="12" customFormat="1" x14ac:dyDescent="0.25"/>
    <row r="15281" s="12" customFormat="1" x14ac:dyDescent="0.25"/>
    <row r="15282" s="12" customFormat="1" x14ac:dyDescent="0.25"/>
    <row r="15283" s="12" customFormat="1" x14ac:dyDescent="0.25"/>
    <row r="15284" s="12" customFormat="1" x14ac:dyDescent="0.25"/>
    <row r="15285" s="12" customFormat="1" x14ac:dyDescent="0.25"/>
    <row r="15286" s="12" customFormat="1" x14ac:dyDescent="0.25"/>
    <row r="15287" s="12" customFormat="1" x14ac:dyDescent="0.25"/>
    <row r="15288" s="12" customFormat="1" x14ac:dyDescent="0.25"/>
    <row r="15289" s="12" customFormat="1" x14ac:dyDescent="0.25"/>
    <row r="15290" s="12" customFormat="1" x14ac:dyDescent="0.25"/>
    <row r="15291" s="12" customFormat="1" x14ac:dyDescent="0.25"/>
    <row r="15292" s="12" customFormat="1" x14ac:dyDescent="0.25"/>
    <row r="15293" s="12" customFormat="1" x14ac:dyDescent="0.25"/>
    <row r="15294" s="12" customFormat="1" x14ac:dyDescent="0.25"/>
    <row r="15295" s="12" customFormat="1" x14ac:dyDescent="0.25"/>
    <row r="15296" s="12" customFormat="1" x14ac:dyDescent="0.25"/>
    <row r="15297" s="12" customFormat="1" x14ac:dyDescent="0.25"/>
    <row r="15298" s="12" customFormat="1" x14ac:dyDescent="0.25"/>
    <row r="15299" s="12" customFormat="1" x14ac:dyDescent="0.25"/>
    <row r="15300" s="12" customFormat="1" x14ac:dyDescent="0.25"/>
    <row r="15301" s="12" customFormat="1" x14ac:dyDescent="0.25"/>
    <row r="15302" s="12" customFormat="1" x14ac:dyDescent="0.25"/>
    <row r="15303" s="12" customFormat="1" x14ac:dyDescent="0.25"/>
    <row r="15304" s="12" customFormat="1" x14ac:dyDescent="0.25"/>
    <row r="15305" s="12" customFormat="1" x14ac:dyDescent="0.25"/>
    <row r="15306" s="12" customFormat="1" x14ac:dyDescent="0.25"/>
    <row r="15307" s="12" customFormat="1" x14ac:dyDescent="0.25"/>
    <row r="15308" s="12" customFormat="1" x14ac:dyDescent="0.25"/>
    <row r="15309" s="12" customFormat="1" x14ac:dyDescent="0.25"/>
    <row r="15310" s="12" customFormat="1" x14ac:dyDescent="0.25"/>
    <row r="15311" s="12" customFormat="1" x14ac:dyDescent="0.25"/>
    <row r="15312" s="12" customFormat="1" x14ac:dyDescent="0.25"/>
    <row r="15313" s="12" customFormat="1" x14ac:dyDescent="0.25"/>
    <row r="15314" s="12" customFormat="1" x14ac:dyDescent="0.25"/>
    <row r="15315" s="12" customFormat="1" x14ac:dyDescent="0.25"/>
    <row r="15316" s="12" customFormat="1" x14ac:dyDescent="0.25"/>
    <row r="15317" s="12" customFormat="1" x14ac:dyDescent="0.25"/>
    <row r="15318" s="12" customFormat="1" x14ac:dyDescent="0.25"/>
    <row r="15319" s="12" customFormat="1" x14ac:dyDescent="0.25"/>
    <row r="15320" s="12" customFormat="1" x14ac:dyDescent="0.25"/>
    <row r="15321" s="12" customFormat="1" x14ac:dyDescent="0.25"/>
    <row r="15322" s="12" customFormat="1" x14ac:dyDescent="0.25"/>
    <row r="15323" s="12" customFormat="1" x14ac:dyDescent="0.25"/>
    <row r="15324" s="12" customFormat="1" x14ac:dyDescent="0.25"/>
    <row r="15325" s="12" customFormat="1" x14ac:dyDescent="0.25"/>
    <row r="15326" s="12" customFormat="1" x14ac:dyDescent="0.25"/>
    <row r="15327" s="12" customFormat="1" x14ac:dyDescent="0.25"/>
    <row r="15328" s="12" customFormat="1" x14ac:dyDescent="0.25"/>
    <row r="15329" s="12" customFormat="1" x14ac:dyDescent="0.25"/>
    <row r="15330" s="12" customFormat="1" x14ac:dyDescent="0.25"/>
    <row r="15331" s="12" customFormat="1" x14ac:dyDescent="0.25"/>
    <row r="15332" s="12" customFormat="1" x14ac:dyDescent="0.25"/>
    <row r="15333" s="12" customFormat="1" x14ac:dyDescent="0.25"/>
    <row r="15334" s="12" customFormat="1" x14ac:dyDescent="0.25"/>
    <row r="15335" s="12" customFormat="1" x14ac:dyDescent="0.25"/>
    <row r="15336" s="12" customFormat="1" x14ac:dyDescent="0.25"/>
    <row r="15337" s="12" customFormat="1" x14ac:dyDescent="0.25"/>
    <row r="15338" s="12" customFormat="1" x14ac:dyDescent="0.25"/>
    <row r="15339" s="12" customFormat="1" x14ac:dyDescent="0.25"/>
    <row r="15340" s="12" customFormat="1" x14ac:dyDescent="0.25"/>
    <row r="15341" s="12" customFormat="1" x14ac:dyDescent="0.25"/>
    <row r="15342" s="12" customFormat="1" x14ac:dyDescent="0.25"/>
    <row r="15343" s="12" customFormat="1" x14ac:dyDescent="0.25"/>
    <row r="15344" s="12" customFormat="1" x14ac:dyDescent="0.25"/>
    <row r="15345" s="12" customFormat="1" x14ac:dyDescent="0.25"/>
    <row r="15346" s="12" customFormat="1" x14ac:dyDescent="0.25"/>
    <row r="15347" s="12" customFormat="1" x14ac:dyDescent="0.25"/>
    <row r="15348" s="12" customFormat="1" x14ac:dyDescent="0.25"/>
    <row r="15349" s="12" customFormat="1" x14ac:dyDescent="0.25"/>
    <row r="15350" s="12" customFormat="1" x14ac:dyDescent="0.25"/>
    <row r="15351" s="12" customFormat="1" x14ac:dyDescent="0.25"/>
    <row r="15352" s="12" customFormat="1" x14ac:dyDescent="0.25"/>
    <row r="15353" s="12" customFormat="1" x14ac:dyDescent="0.25"/>
    <row r="15354" s="12" customFormat="1" x14ac:dyDescent="0.25"/>
    <row r="15355" s="12" customFormat="1" x14ac:dyDescent="0.25"/>
    <row r="15356" s="12" customFormat="1" x14ac:dyDescent="0.25"/>
    <row r="15357" s="12" customFormat="1" x14ac:dyDescent="0.25"/>
    <row r="15358" s="12" customFormat="1" x14ac:dyDescent="0.25"/>
    <row r="15359" s="12" customFormat="1" x14ac:dyDescent="0.25"/>
    <row r="15360" s="12" customFormat="1" x14ac:dyDescent="0.25"/>
    <row r="15361" s="12" customFormat="1" x14ac:dyDescent="0.25"/>
    <row r="15362" s="12" customFormat="1" x14ac:dyDescent="0.25"/>
    <row r="15363" s="12" customFormat="1" x14ac:dyDescent="0.25"/>
    <row r="15364" s="12" customFormat="1" x14ac:dyDescent="0.25"/>
    <row r="15365" s="12" customFormat="1" x14ac:dyDescent="0.25"/>
    <row r="15366" s="12" customFormat="1" x14ac:dyDescent="0.25"/>
    <row r="15367" s="12" customFormat="1" x14ac:dyDescent="0.25"/>
    <row r="15368" s="12" customFormat="1" x14ac:dyDescent="0.25"/>
    <row r="15369" s="12" customFormat="1" x14ac:dyDescent="0.25"/>
    <row r="15370" s="12" customFormat="1" x14ac:dyDescent="0.25"/>
    <row r="15371" s="12" customFormat="1" x14ac:dyDescent="0.25"/>
    <row r="15372" s="12" customFormat="1" x14ac:dyDescent="0.25"/>
    <row r="15373" s="12" customFormat="1" x14ac:dyDescent="0.25"/>
    <row r="15374" s="12" customFormat="1" x14ac:dyDescent="0.25"/>
    <row r="15375" s="12" customFormat="1" x14ac:dyDescent="0.25"/>
    <row r="15376" s="12" customFormat="1" x14ac:dyDescent="0.25"/>
    <row r="15377" s="12" customFormat="1" x14ac:dyDescent="0.25"/>
    <row r="15378" s="12" customFormat="1" x14ac:dyDescent="0.25"/>
    <row r="15379" s="12" customFormat="1" x14ac:dyDescent="0.25"/>
    <row r="15380" s="12" customFormat="1" x14ac:dyDescent="0.25"/>
    <row r="15381" s="12" customFormat="1" x14ac:dyDescent="0.25"/>
    <row r="15382" s="12" customFormat="1" x14ac:dyDescent="0.25"/>
    <row r="15383" s="12" customFormat="1" x14ac:dyDescent="0.25"/>
    <row r="15384" s="12" customFormat="1" x14ac:dyDescent="0.25"/>
    <row r="15385" s="12" customFormat="1" x14ac:dyDescent="0.25"/>
    <row r="15386" s="12" customFormat="1" x14ac:dyDescent="0.25"/>
    <row r="15387" s="12" customFormat="1" x14ac:dyDescent="0.25"/>
    <row r="15388" s="12" customFormat="1" x14ac:dyDescent="0.25"/>
    <row r="15389" s="12" customFormat="1" x14ac:dyDescent="0.25"/>
    <row r="15390" s="12" customFormat="1" x14ac:dyDescent="0.25"/>
    <row r="15391" s="12" customFormat="1" x14ac:dyDescent="0.25"/>
    <row r="15392" s="12" customFormat="1" x14ac:dyDescent="0.25"/>
    <row r="15393" s="12" customFormat="1" x14ac:dyDescent="0.25"/>
    <row r="15394" s="12" customFormat="1" x14ac:dyDescent="0.25"/>
    <row r="15395" s="12" customFormat="1" x14ac:dyDescent="0.25"/>
    <row r="15396" s="12" customFormat="1" x14ac:dyDescent="0.25"/>
    <row r="15397" s="12" customFormat="1" x14ac:dyDescent="0.25"/>
    <row r="15398" s="12" customFormat="1" x14ac:dyDescent="0.25"/>
    <row r="15399" s="12" customFormat="1" x14ac:dyDescent="0.25"/>
    <row r="15400" s="12" customFormat="1" x14ac:dyDescent="0.25"/>
    <row r="15401" s="12" customFormat="1" x14ac:dyDescent="0.25"/>
    <row r="15402" s="12" customFormat="1" x14ac:dyDescent="0.25"/>
    <row r="15403" s="12" customFormat="1" x14ac:dyDescent="0.25"/>
    <row r="15404" s="12" customFormat="1" x14ac:dyDescent="0.25"/>
    <row r="15405" s="12" customFormat="1" x14ac:dyDescent="0.25"/>
    <row r="15406" s="12" customFormat="1" x14ac:dyDescent="0.25"/>
    <row r="15407" s="12" customFormat="1" x14ac:dyDescent="0.25"/>
    <row r="15408" s="12" customFormat="1" x14ac:dyDescent="0.25"/>
    <row r="15409" s="12" customFormat="1" x14ac:dyDescent="0.25"/>
    <row r="15410" s="12" customFormat="1" x14ac:dyDescent="0.25"/>
    <row r="15411" s="12" customFormat="1" x14ac:dyDescent="0.25"/>
    <row r="15412" s="12" customFormat="1" x14ac:dyDescent="0.25"/>
    <row r="15413" s="12" customFormat="1" x14ac:dyDescent="0.25"/>
    <row r="15414" s="12" customFormat="1" x14ac:dyDescent="0.25"/>
    <row r="15415" s="12" customFormat="1" x14ac:dyDescent="0.25"/>
    <row r="15416" s="12" customFormat="1" x14ac:dyDescent="0.25"/>
    <row r="15417" s="12" customFormat="1" x14ac:dyDescent="0.25"/>
    <row r="15418" s="12" customFormat="1" x14ac:dyDescent="0.25"/>
    <row r="15419" s="12" customFormat="1" x14ac:dyDescent="0.25"/>
    <row r="15420" s="12" customFormat="1" x14ac:dyDescent="0.25"/>
    <row r="15421" s="12" customFormat="1" x14ac:dyDescent="0.25"/>
    <row r="15422" s="12" customFormat="1" x14ac:dyDescent="0.25"/>
    <row r="15423" s="12" customFormat="1" x14ac:dyDescent="0.25"/>
    <row r="15424" s="12" customFormat="1" x14ac:dyDescent="0.25"/>
    <row r="15425" s="12" customFormat="1" x14ac:dyDescent="0.25"/>
    <row r="15426" s="12" customFormat="1" x14ac:dyDescent="0.25"/>
    <row r="15427" s="12" customFormat="1" x14ac:dyDescent="0.25"/>
    <row r="15428" s="12" customFormat="1" x14ac:dyDescent="0.25"/>
    <row r="15429" s="12" customFormat="1" x14ac:dyDescent="0.25"/>
    <row r="15430" s="12" customFormat="1" x14ac:dyDescent="0.25"/>
    <row r="15431" s="12" customFormat="1" x14ac:dyDescent="0.25"/>
    <row r="15432" s="12" customFormat="1" x14ac:dyDescent="0.25"/>
    <row r="15433" s="12" customFormat="1" x14ac:dyDescent="0.25"/>
    <row r="15434" s="12" customFormat="1" x14ac:dyDescent="0.25"/>
    <row r="15435" s="12" customFormat="1" x14ac:dyDescent="0.25"/>
    <row r="15436" s="12" customFormat="1" x14ac:dyDescent="0.25"/>
    <row r="15437" s="12" customFormat="1" x14ac:dyDescent="0.25"/>
    <row r="15438" s="12" customFormat="1" x14ac:dyDescent="0.25"/>
    <row r="15439" s="12" customFormat="1" x14ac:dyDescent="0.25"/>
    <row r="15440" s="12" customFormat="1" x14ac:dyDescent="0.25"/>
    <row r="15441" s="12" customFormat="1" x14ac:dyDescent="0.25"/>
    <row r="15442" s="12" customFormat="1" x14ac:dyDescent="0.25"/>
    <row r="15443" s="12" customFormat="1" x14ac:dyDescent="0.25"/>
    <row r="15444" s="12" customFormat="1" x14ac:dyDescent="0.25"/>
    <row r="15445" s="12" customFormat="1" x14ac:dyDescent="0.25"/>
    <row r="15446" s="12" customFormat="1" x14ac:dyDescent="0.25"/>
    <row r="15447" s="12" customFormat="1" x14ac:dyDescent="0.25"/>
    <row r="15448" s="12" customFormat="1" x14ac:dyDescent="0.25"/>
    <row r="15449" s="12" customFormat="1" x14ac:dyDescent="0.25"/>
    <row r="15450" s="12" customFormat="1" x14ac:dyDescent="0.25"/>
    <row r="15451" s="12" customFormat="1" x14ac:dyDescent="0.25"/>
    <row r="15452" s="12" customFormat="1" x14ac:dyDescent="0.25"/>
    <row r="15453" s="12" customFormat="1" x14ac:dyDescent="0.25"/>
    <row r="15454" s="12" customFormat="1" x14ac:dyDescent="0.25"/>
    <row r="15455" s="12" customFormat="1" x14ac:dyDescent="0.25"/>
    <row r="15456" s="12" customFormat="1" x14ac:dyDescent="0.25"/>
    <row r="15457" s="12" customFormat="1" x14ac:dyDescent="0.25"/>
    <row r="15458" s="12" customFormat="1" x14ac:dyDescent="0.25"/>
    <row r="15459" s="12" customFormat="1" x14ac:dyDescent="0.25"/>
    <row r="15460" s="12" customFormat="1" x14ac:dyDescent="0.25"/>
    <row r="15461" s="12" customFormat="1" x14ac:dyDescent="0.25"/>
    <row r="15462" s="12" customFormat="1" x14ac:dyDescent="0.25"/>
    <row r="15463" s="12" customFormat="1" x14ac:dyDescent="0.25"/>
    <row r="15464" s="12" customFormat="1" x14ac:dyDescent="0.25"/>
    <row r="15465" s="12" customFormat="1" x14ac:dyDescent="0.25"/>
    <row r="15466" s="12" customFormat="1" x14ac:dyDescent="0.25"/>
    <row r="15467" s="12" customFormat="1" x14ac:dyDescent="0.25"/>
    <row r="15468" s="12" customFormat="1" x14ac:dyDescent="0.25"/>
    <row r="15469" s="12" customFormat="1" x14ac:dyDescent="0.25"/>
    <row r="15470" s="12" customFormat="1" x14ac:dyDescent="0.25"/>
    <row r="15471" s="12" customFormat="1" x14ac:dyDescent="0.25"/>
    <row r="15472" s="12" customFormat="1" x14ac:dyDescent="0.25"/>
    <row r="15473" s="12" customFormat="1" x14ac:dyDescent="0.25"/>
    <row r="15474" s="12" customFormat="1" x14ac:dyDescent="0.25"/>
    <row r="15475" s="12" customFormat="1" x14ac:dyDescent="0.25"/>
    <row r="15476" s="12" customFormat="1" x14ac:dyDescent="0.25"/>
    <row r="15477" s="12" customFormat="1" x14ac:dyDescent="0.25"/>
    <row r="15478" s="12" customFormat="1" x14ac:dyDescent="0.25"/>
    <row r="15479" s="12" customFormat="1" x14ac:dyDescent="0.25"/>
    <row r="15480" s="12" customFormat="1" x14ac:dyDescent="0.25"/>
    <row r="15481" s="12" customFormat="1" x14ac:dyDescent="0.25"/>
    <row r="15482" s="12" customFormat="1" x14ac:dyDescent="0.25"/>
    <row r="15483" s="12" customFormat="1" x14ac:dyDescent="0.25"/>
    <row r="15484" s="12" customFormat="1" x14ac:dyDescent="0.25"/>
    <row r="15485" s="12" customFormat="1" x14ac:dyDescent="0.25"/>
    <row r="15486" s="12" customFormat="1" x14ac:dyDescent="0.25"/>
    <row r="15487" s="12" customFormat="1" x14ac:dyDescent="0.25"/>
    <row r="15488" s="12" customFormat="1" x14ac:dyDescent="0.25"/>
    <row r="15489" s="12" customFormat="1" x14ac:dyDescent="0.25"/>
    <row r="15490" s="12" customFormat="1" x14ac:dyDescent="0.25"/>
    <row r="15491" s="12" customFormat="1" x14ac:dyDescent="0.25"/>
    <row r="15492" s="12" customFormat="1" x14ac:dyDescent="0.25"/>
    <row r="15493" s="12" customFormat="1" x14ac:dyDescent="0.25"/>
    <row r="15494" s="12" customFormat="1" x14ac:dyDescent="0.25"/>
    <row r="15495" s="12" customFormat="1" x14ac:dyDescent="0.25"/>
    <row r="15496" s="12" customFormat="1" x14ac:dyDescent="0.25"/>
    <row r="15497" s="12" customFormat="1" x14ac:dyDescent="0.25"/>
    <row r="15498" s="12" customFormat="1" x14ac:dyDescent="0.25"/>
    <row r="15499" s="12" customFormat="1" x14ac:dyDescent="0.25"/>
    <row r="15500" s="12" customFormat="1" x14ac:dyDescent="0.25"/>
    <row r="15501" s="12" customFormat="1" x14ac:dyDescent="0.25"/>
    <row r="15502" s="12" customFormat="1" x14ac:dyDescent="0.25"/>
    <row r="15503" s="12" customFormat="1" x14ac:dyDescent="0.25"/>
    <row r="15504" s="12" customFormat="1" x14ac:dyDescent="0.25"/>
    <row r="15505" s="12" customFormat="1" x14ac:dyDescent="0.25"/>
    <row r="15506" s="12" customFormat="1" x14ac:dyDescent="0.25"/>
    <row r="15507" s="12" customFormat="1" x14ac:dyDescent="0.25"/>
    <row r="15508" s="12" customFormat="1" x14ac:dyDescent="0.25"/>
    <row r="15509" s="12" customFormat="1" x14ac:dyDescent="0.25"/>
    <row r="15510" s="12" customFormat="1" x14ac:dyDescent="0.25"/>
    <row r="15511" s="12" customFormat="1" x14ac:dyDescent="0.25"/>
    <row r="15512" s="12" customFormat="1" x14ac:dyDescent="0.25"/>
    <row r="15513" s="12" customFormat="1" x14ac:dyDescent="0.25"/>
    <row r="15514" s="12" customFormat="1" x14ac:dyDescent="0.25"/>
    <row r="15515" s="12" customFormat="1" x14ac:dyDescent="0.25"/>
    <row r="15516" s="12" customFormat="1" x14ac:dyDescent="0.25"/>
    <row r="15517" s="12" customFormat="1" x14ac:dyDescent="0.25"/>
    <row r="15518" s="12" customFormat="1" x14ac:dyDescent="0.25"/>
    <row r="15519" s="12" customFormat="1" x14ac:dyDescent="0.25"/>
    <row r="15520" s="12" customFormat="1" x14ac:dyDescent="0.25"/>
    <row r="15521" s="12" customFormat="1" x14ac:dyDescent="0.25"/>
    <row r="15522" s="12" customFormat="1" x14ac:dyDescent="0.25"/>
    <row r="15523" s="12" customFormat="1" x14ac:dyDescent="0.25"/>
    <row r="15524" s="12" customFormat="1" x14ac:dyDescent="0.25"/>
    <row r="15525" s="12" customFormat="1" x14ac:dyDescent="0.25"/>
    <row r="15526" s="12" customFormat="1" x14ac:dyDescent="0.25"/>
    <row r="15527" s="12" customFormat="1" x14ac:dyDescent="0.25"/>
    <row r="15528" s="12" customFormat="1" x14ac:dyDescent="0.25"/>
    <row r="15529" s="12" customFormat="1" x14ac:dyDescent="0.25"/>
    <row r="15530" s="12" customFormat="1" x14ac:dyDescent="0.25"/>
    <row r="15531" s="12" customFormat="1" x14ac:dyDescent="0.25"/>
    <row r="15532" s="12" customFormat="1" x14ac:dyDescent="0.25"/>
    <row r="15533" s="12" customFormat="1" x14ac:dyDescent="0.25"/>
    <row r="15534" s="12" customFormat="1" x14ac:dyDescent="0.25"/>
    <row r="15535" s="12" customFormat="1" x14ac:dyDescent="0.25"/>
    <row r="15536" s="12" customFormat="1" x14ac:dyDescent="0.25"/>
    <row r="15537" s="12" customFormat="1" x14ac:dyDescent="0.25"/>
    <row r="15538" s="12" customFormat="1" x14ac:dyDescent="0.25"/>
    <row r="15539" s="12" customFormat="1" x14ac:dyDescent="0.25"/>
    <row r="15540" s="12" customFormat="1" x14ac:dyDescent="0.25"/>
    <row r="15541" s="12" customFormat="1" x14ac:dyDescent="0.25"/>
    <row r="15542" s="12" customFormat="1" x14ac:dyDescent="0.25"/>
    <row r="15543" s="12" customFormat="1" x14ac:dyDescent="0.25"/>
    <row r="15544" s="12" customFormat="1" x14ac:dyDescent="0.25"/>
    <row r="15545" s="12" customFormat="1" x14ac:dyDescent="0.25"/>
    <row r="15546" s="12" customFormat="1" x14ac:dyDescent="0.25"/>
    <row r="15547" s="12" customFormat="1" x14ac:dyDescent="0.25"/>
    <row r="15548" s="12" customFormat="1" x14ac:dyDescent="0.25"/>
    <row r="15549" s="12" customFormat="1" x14ac:dyDescent="0.25"/>
    <row r="15550" s="12" customFormat="1" x14ac:dyDescent="0.25"/>
    <row r="15551" s="12" customFormat="1" x14ac:dyDescent="0.25"/>
    <row r="15552" s="12" customFormat="1" x14ac:dyDescent="0.25"/>
    <row r="15553" s="12" customFormat="1" x14ac:dyDescent="0.25"/>
    <row r="15554" s="12" customFormat="1" x14ac:dyDescent="0.25"/>
    <row r="15555" s="12" customFormat="1" x14ac:dyDescent="0.25"/>
    <row r="15556" s="12" customFormat="1" x14ac:dyDescent="0.25"/>
    <row r="15557" s="12" customFormat="1" x14ac:dyDescent="0.25"/>
    <row r="15558" s="12" customFormat="1" x14ac:dyDescent="0.25"/>
    <row r="15559" s="12" customFormat="1" x14ac:dyDescent="0.25"/>
    <row r="15560" s="12" customFormat="1" x14ac:dyDescent="0.25"/>
    <row r="15561" s="12" customFormat="1" x14ac:dyDescent="0.25"/>
    <row r="15562" s="12" customFormat="1" x14ac:dyDescent="0.25"/>
    <row r="15563" s="12" customFormat="1" x14ac:dyDescent="0.25"/>
    <row r="15564" s="12" customFormat="1" x14ac:dyDescent="0.25"/>
    <row r="15565" s="12" customFormat="1" x14ac:dyDescent="0.25"/>
    <row r="15566" s="12" customFormat="1" x14ac:dyDescent="0.25"/>
    <row r="15567" s="12" customFormat="1" x14ac:dyDescent="0.25"/>
    <row r="15568" s="12" customFormat="1" x14ac:dyDescent="0.25"/>
    <row r="15569" s="12" customFormat="1" x14ac:dyDescent="0.25"/>
    <row r="15570" s="12" customFormat="1" x14ac:dyDescent="0.25"/>
    <row r="15571" s="12" customFormat="1" x14ac:dyDescent="0.25"/>
    <row r="15572" s="12" customFormat="1" x14ac:dyDescent="0.25"/>
    <row r="15573" s="12" customFormat="1" x14ac:dyDescent="0.25"/>
    <row r="15574" s="12" customFormat="1" x14ac:dyDescent="0.25"/>
    <row r="15575" s="12" customFormat="1" x14ac:dyDescent="0.25"/>
    <row r="15576" s="12" customFormat="1" x14ac:dyDescent="0.25"/>
    <row r="15577" s="12" customFormat="1" x14ac:dyDescent="0.25"/>
    <row r="15578" s="12" customFormat="1" x14ac:dyDescent="0.25"/>
    <row r="15579" s="12" customFormat="1" x14ac:dyDescent="0.25"/>
    <row r="15580" s="12" customFormat="1" x14ac:dyDescent="0.25"/>
    <row r="15581" s="12" customFormat="1" x14ac:dyDescent="0.25"/>
    <row r="15582" s="12" customFormat="1" x14ac:dyDescent="0.25"/>
    <row r="15583" s="12" customFormat="1" x14ac:dyDescent="0.25"/>
    <row r="15584" s="12" customFormat="1" x14ac:dyDescent="0.25"/>
    <row r="15585" s="12" customFormat="1" x14ac:dyDescent="0.25"/>
    <row r="15586" s="12" customFormat="1" x14ac:dyDescent="0.25"/>
    <row r="15587" s="12" customFormat="1" x14ac:dyDescent="0.25"/>
    <row r="15588" s="12" customFormat="1" x14ac:dyDescent="0.25"/>
    <row r="15589" s="12" customFormat="1" x14ac:dyDescent="0.25"/>
    <row r="15590" s="12" customFormat="1" x14ac:dyDescent="0.25"/>
    <row r="15591" s="12" customFormat="1" x14ac:dyDescent="0.25"/>
    <row r="15592" s="12" customFormat="1" x14ac:dyDescent="0.25"/>
    <row r="15593" s="12" customFormat="1" x14ac:dyDescent="0.25"/>
    <row r="15594" s="12" customFormat="1" x14ac:dyDescent="0.25"/>
    <row r="15595" s="12" customFormat="1" x14ac:dyDescent="0.25"/>
    <row r="15596" s="12" customFormat="1" x14ac:dyDescent="0.25"/>
    <row r="15597" s="12" customFormat="1" x14ac:dyDescent="0.25"/>
    <row r="15598" s="12" customFormat="1" x14ac:dyDescent="0.25"/>
    <row r="15599" s="12" customFormat="1" x14ac:dyDescent="0.25"/>
    <row r="15600" s="12" customFormat="1" x14ac:dyDescent="0.25"/>
    <row r="15601" s="12" customFormat="1" x14ac:dyDescent="0.25"/>
    <row r="15602" s="12" customFormat="1" x14ac:dyDescent="0.25"/>
    <row r="15603" s="12" customFormat="1" x14ac:dyDescent="0.25"/>
    <row r="15604" s="12" customFormat="1" x14ac:dyDescent="0.25"/>
    <row r="15605" s="12" customFormat="1" x14ac:dyDescent="0.25"/>
    <row r="15606" s="12" customFormat="1" x14ac:dyDescent="0.25"/>
    <row r="15607" s="12" customFormat="1" x14ac:dyDescent="0.25"/>
    <row r="15608" s="12" customFormat="1" x14ac:dyDescent="0.25"/>
    <row r="15609" s="12" customFormat="1" x14ac:dyDescent="0.25"/>
    <row r="15610" s="12" customFormat="1" x14ac:dyDescent="0.25"/>
    <row r="15611" s="12" customFormat="1" x14ac:dyDescent="0.25"/>
    <row r="15612" s="12" customFormat="1" x14ac:dyDescent="0.25"/>
    <row r="15613" s="12" customFormat="1" x14ac:dyDescent="0.25"/>
    <row r="15614" s="12" customFormat="1" x14ac:dyDescent="0.25"/>
    <row r="15615" s="12" customFormat="1" x14ac:dyDescent="0.25"/>
    <row r="15616" s="12" customFormat="1" x14ac:dyDescent="0.25"/>
    <row r="15617" s="12" customFormat="1" x14ac:dyDescent="0.25"/>
    <row r="15618" s="12" customFormat="1" x14ac:dyDescent="0.25"/>
    <row r="15619" s="12" customFormat="1" x14ac:dyDescent="0.25"/>
    <row r="15620" s="12" customFormat="1" x14ac:dyDescent="0.25"/>
    <row r="15621" s="12" customFormat="1" x14ac:dyDescent="0.25"/>
    <row r="15622" s="12" customFormat="1" x14ac:dyDescent="0.25"/>
    <row r="15623" s="12" customFormat="1" x14ac:dyDescent="0.25"/>
    <row r="15624" s="12" customFormat="1" x14ac:dyDescent="0.25"/>
    <row r="15625" s="12" customFormat="1" x14ac:dyDescent="0.25"/>
    <row r="15626" s="12" customFormat="1" x14ac:dyDescent="0.25"/>
    <row r="15627" s="12" customFormat="1" x14ac:dyDescent="0.25"/>
    <row r="15628" s="12" customFormat="1" x14ac:dyDescent="0.25"/>
    <row r="15629" s="12" customFormat="1" x14ac:dyDescent="0.25"/>
    <row r="15630" s="12" customFormat="1" x14ac:dyDescent="0.25"/>
    <row r="15631" s="12" customFormat="1" x14ac:dyDescent="0.25"/>
    <row r="15632" s="12" customFormat="1" x14ac:dyDescent="0.25"/>
    <row r="15633" s="12" customFormat="1" x14ac:dyDescent="0.25"/>
    <row r="15634" s="12" customFormat="1" x14ac:dyDescent="0.25"/>
    <row r="15635" s="12" customFormat="1" x14ac:dyDescent="0.25"/>
    <row r="15636" s="12" customFormat="1" x14ac:dyDescent="0.25"/>
    <row r="15637" s="12" customFormat="1" x14ac:dyDescent="0.25"/>
    <row r="15638" s="12" customFormat="1" x14ac:dyDescent="0.25"/>
    <row r="15639" s="12" customFormat="1" x14ac:dyDescent="0.25"/>
    <row r="15640" s="12" customFormat="1" x14ac:dyDescent="0.25"/>
    <row r="15641" s="12" customFormat="1" x14ac:dyDescent="0.25"/>
    <row r="15642" s="12" customFormat="1" x14ac:dyDescent="0.25"/>
    <row r="15643" s="12" customFormat="1" x14ac:dyDescent="0.25"/>
    <row r="15644" s="12" customFormat="1" x14ac:dyDescent="0.25"/>
    <row r="15645" s="12" customFormat="1" x14ac:dyDescent="0.25"/>
    <row r="15646" s="12" customFormat="1" x14ac:dyDescent="0.25"/>
    <row r="15647" s="12" customFormat="1" x14ac:dyDescent="0.25"/>
    <row r="15648" s="12" customFormat="1" x14ac:dyDescent="0.25"/>
    <row r="15649" s="12" customFormat="1" x14ac:dyDescent="0.25"/>
    <row r="15650" s="12" customFormat="1" x14ac:dyDescent="0.25"/>
    <row r="15651" s="12" customFormat="1" x14ac:dyDescent="0.25"/>
    <row r="15652" s="12" customFormat="1" x14ac:dyDescent="0.25"/>
    <row r="15653" s="12" customFormat="1" x14ac:dyDescent="0.25"/>
    <row r="15654" s="12" customFormat="1" x14ac:dyDescent="0.25"/>
    <row r="15655" s="12" customFormat="1" x14ac:dyDescent="0.25"/>
    <row r="15656" s="12" customFormat="1" x14ac:dyDescent="0.25"/>
    <row r="15657" s="12" customFormat="1" x14ac:dyDescent="0.25"/>
    <row r="15658" s="12" customFormat="1" x14ac:dyDescent="0.25"/>
    <row r="15659" s="12" customFormat="1" x14ac:dyDescent="0.25"/>
    <row r="15660" s="12" customFormat="1" x14ac:dyDescent="0.25"/>
    <row r="15661" s="12" customFormat="1" x14ac:dyDescent="0.25"/>
    <row r="15662" s="12" customFormat="1" x14ac:dyDescent="0.25"/>
    <row r="15663" s="12" customFormat="1" x14ac:dyDescent="0.25"/>
    <row r="15664" s="12" customFormat="1" x14ac:dyDescent="0.25"/>
    <row r="15665" s="12" customFormat="1" x14ac:dyDescent="0.25"/>
    <row r="15666" s="12" customFormat="1" x14ac:dyDescent="0.25"/>
    <row r="15667" s="12" customFormat="1" x14ac:dyDescent="0.25"/>
    <row r="15668" s="12" customFormat="1" x14ac:dyDescent="0.25"/>
    <row r="15669" s="12" customFormat="1" x14ac:dyDescent="0.25"/>
    <row r="15670" s="12" customFormat="1" x14ac:dyDescent="0.25"/>
    <row r="15671" s="12" customFormat="1" x14ac:dyDescent="0.25"/>
    <row r="15672" s="12" customFormat="1" x14ac:dyDescent="0.25"/>
    <row r="15673" s="12" customFormat="1" x14ac:dyDescent="0.25"/>
    <row r="15674" s="12" customFormat="1" x14ac:dyDescent="0.25"/>
    <row r="15675" s="12" customFormat="1" x14ac:dyDescent="0.25"/>
    <row r="15676" s="12" customFormat="1" x14ac:dyDescent="0.25"/>
    <row r="15677" s="12" customFormat="1" x14ac:dyDescent="0.25"/>
    <row r="15678" s="12" customFormat="1" x14ac:dyDescent="0.25"/>
    <row r="15679" s="12" customFormat="1" x14ac:dyDescent="0.25"/>
    <row r="15680" s="12" customFormat="1" x14ac:dyDescent="0.25"/>
    <row r="15681" s="12" customFormat="1" x14ac:dyDescent="0.25"/>
    <row r="15682" s="12" customFormat="1" x14ac:dyDescent="0.25"/>
    <row r="15683" s="12" customFormat="1" x14ac:dyDescent="0.25"/>
    <row r="15684" s="12" customFormat="1" x14ac:dyDescent="0.25"/>
    <row r="15685" s="12" customFormat="1" x14ac:dyDescent="0.25"/>
    <row r="15686" s="12" customFormat="1" x14ac:dyDescent="0.25"/>
    <row r="15687" s="12" customFormat="1" x14ac:dyDescent="0.25"/>
    <row r="15688" s="12" customFormat="1" x14ac:dyDescent="0.25"/>
    <row r="15689" s="12" customFormat="1" x14ac:dyDescent="0.25"/>
    <row r="15690" s="12" customFormat="1" x14ac:dyDescent="0.25"/>
    <row r="15691" s="12" customFormat="1" x14ac:dyDescent="0.25"/>
    <row r="15692" s="12" customFormat="1" x14ac:dyDescent="0.25"/>
    <row r="15693" s="12" customFormat="1" x14ac:dyDescent="0.25"/>
    <row r="15694" s="12" customFormat="1" x14ac:dyDescent="0.25"/>
    <row r="15695" s="12" customFormat="1" x14ac:dyDescent="0.25"/>
    <row r="15696" s="12" customFormat="1" x14ac:dyDescent="0.25"/>
    <row r="15697" s="12" customFormat="1" x14ac:dyDescent="0.25"/>
    <row r="15698" s="12" customFormat="1" x14ac:dyDescent="0.25"/>
    <row r="15699" s="12" customFormat="1" x14ac:dyDescent="0.25"/>
    <row r="15700" s="12" customFormat="1" x14ac:dyDescent="0.25"/>
    <row r="15701" s="12" customFormat="1" x14ac:dyDescent="0.25"/>
    <row r="15702" s="12" customFormat="1" x14ac:dyDescent="0.25"/>
    <row r="15703" s="12" customFormat="1" x14ac:dyDescent="0.25"/>
    <row r="15704" s="12" customFormat="1" x14ac:dyDescent="0.25"/>
    <row r="15705" s="12" customFormat="1" x14ac:dyDescent="0.25"/>
    <row r="15706" s="12" customFormat="1" x14ac:dyDescent="0.25"/>
    <row r="15707" s="12" customFormat="1" x14ac:dyDescent="0.25"/>
    <row r="15708" s="12" customFormat="1" x14ac:dyDescent="0.25"/>
    <row r="15709" s="12" customFormat="1" x14ac:dyDescent="0.25"/>
    <row r="15710" s="12" customFormat="1" x14ac:dyDescent="0.25"/>
    <row r="15711" s="12" customFormat="1" x14ac:dyDescent="0.25"/>
    <row r="15712" s="12" customFormat="1" x14ac:dyDescent="0.25"/>
    <row r="15713" s="12" customFormat="1" x14ac:dyDescent="0.25"/>
    <row r="15714" s="12" customFormat="1" x14ac:dyDescent="0.25"/>
    <row r="15715" s="12" customFormat="1" x14ac:dyDescent="0.25"/>
    <row r="15716" s="12" customFormat="1" x14ac:dyDescent="0.25"/>
    <row r="15717" s="12" customFormat="1" x14ac:dyDescent="0.25"/>
    <row r="15718" s="12" customFormat="1" x14ac:dyDescent="0.25"/>
    <row r="15719" s="12" customFormat="1" x14ac:dyDescent="0.25"/>
    <row r="15720" s="12" customFormat="1" x14ac:dyDescent="0.25"/>
    <row r="15721" s="12" customFormat="1" x14ac:dyDescent="0.25"/>
    <row r="15722" s="12" customFormat="1" x14ac:dyDescent="0.25"/>
    <row r="15723" s="12" customFormat="1" x14ac:dyDescent="0.25"/>
    <row r="15724" s="12" customFormat="1" x14ac:dyDescent="0.25"/>
    <row r="15725" s="12" customFormat="1" x14ac:dyDescent="0.25"/>
    <row r="15726" s="12" customFormat="1" x14ac:dyDescent="0.25"/>
    <row r="15727" s="12" customFormat="1" x14ac:dyDescent="0.25"/>
    <row r="15728" s="12" customFormat="1" x14ac:dyDescent="0.25"/>
    <row r="15729" s="12" customFormat="1" x14ac:dyDescent="0.25"/>
    <row r="15730" s="12" customFormat="1" x14ac:dyDescent="0.25"/>
    <row r="15731" s="12" customFormat="1" x14ac:dyDescent="0.25"/>
    <row r="15732" s="12" customFormat="1" x14ac:dyDescent="0.25"/>
    <row r="15733" s="12" customFormat="1" x14ac:dyDescent="0.25"/>
    <row r="15734" s="12" customFormat="1" x14ac:dyDescent="0.25"/>
    <row r="15735" s="12" customFormat="1" x14ac:dyDescent="0.25"/>
    <row r="15736" s="12" customFormat="1" x14ac:dyDescent="0.25"/>
    <row r="15737" s="12" customFormat="1" x14ac:dyDescent="0.25"/>
    <row r="15738" s="12" customFormat="1" x14ac:dyDescent="0.25"/>
    <row r="15739" s="12" customFormat="1" x14ac:dyDescent="0.25"/>
    <row r="15740" s="12" customFormat="1" x14ac:dyDescent="0.25"/>
    <row r="15741" s="12" customFormat="1" x14ac:dyDescent="0.25"/>
    <row r="15742" s="12" customFormat="1" x14ac:dyDescent="0.25"/>
    <row r="15743" s="12" customFormat="1" x14ac:dyDescent="0.25"/>
    <row r="15744" s="12" customFormat="1" x14ac:dyDescent="0.25"/>
    <row r="15745" s="12" customFormat="1" x14ac:dyDescent="0.25"/>
    <row r="15746" s="12" customFormat="1" x14ac:dyDescent="0.25"/>
    <row r="15747" s="12" customFormat="1" x14ac:dyDescent="0.25"/>
    <row r="15748" s="12" customFormat="1" x14ac:dyDescent="0.25"/>
    <row r="15749" s="12" customFormat="1" x14ac:dyDescent="0.25"/>
    <row r="15750" s="12" customFormat="1" x14ac:dyDescent="0.25"/>
    <row r="15751" s="12" customFormat="1" x14ac:dyDescent="0.25"/>
    <row r="15752" s="12" customFormat="1" x14ac:dyDescent="0.25"/>
    <row r="15753" s="12" customFormat="1" x14ac:dyDescent="0.25"/>
    <row r="15754" s="12" customFormat="1" x14ac:dyDescent="0.25"/>
    <row r="15755" s="12" customFormat="1" x14ac:dyDescent="0.25"/>
    <row r="15756" s="12" customFormat="1" x14ac:dyDescent="0.25"/>
    <row r="15757" s="12" customFormat="1" x14ac:dyDescent="0.25"/>
    <row r="15758" s="12" customFormat="1" x14ac:dyDescent="0.25"/>
    <row r="15759" s="12" customFormat="1" x14ac:dyDescent="0.25"/>
    <row r="15760" s="12" customFormat="1" x14ac:dyDescent="0.25"/>
    <row r="15761" s="12" customFormat="1" x14ac:dyDescent="0.25"/>
    <row r="15762" s="12" customFormat="1" x14ac:dyDescent="0.25"/>
    <row r="15763" s="12" customFormat="1" x14ac:dyDescent="0.25"/>
    <row r="15764" s="12" customFormat="1" x14ac:dyDescent="0.25"/>
    <row r="15765" s="12" customFormat="1" x14ac:dyDescent="0.25"/>
    <row r="15766" s="12" customFormat="1" x14ac:dyDescent="0.25"/>
    <row r="15767" s="12" customFormat="1" x14ac:dyDescent="0.25"/>
    <row r="15768" s="12" customFormat="1" x14ac:dyDescent="0.25"/>
    <row r="15769" s="12" customFormat="1" x14ac:dyDescent="0.25"/>
    <row r="15770" s="12" customFormat="1" x14ac:dyDescent="0.25"/>
    <row r="15771" s="12" customFormat="1" x14ac:dyDescent="0.25"/>
    <row r="15772" s="12" customFormat="1" x14ac:dyDescent="0.25"/>
    <row r="15773" s="12" customFormat="1" x14ac:dyDescent="0.25"/>
    <row r="15774" s="12" customFormat="1" x14ac:dyDescent="0.25"/>
    <row r="15775" s="12" customFormat="1" x14ac:dyDescent="0.25"/>
    <row r="15776" s="12" customFormat="1" x14ac:dyDescent="0.25"/>
    <row r="15777" s="12" customFormat="1" x14ac:dyDescent="0.25"/>
    <row r="15778" s="12" customFormat="1" x14ac:dyDescent="0.25"/>
    <row r="15779" s="12" customFormat="1" x14ac:dyDescent="0.25"/>
    <row r="15780" s="12" customFormat="1" x14ac:dyDescent="0.25"/>
    <row r="15781" s="12" customFormat="1" x14ac:dyDescent="0.25"/>
    <row r="15782" s="12" customFormat="1" x14ac:dyDescent="0.25"/>
    <row r="15783" s="12" customFormat="1" x14ac:dyDescent="0.25"/>
    <row r="15784" s="12" customFormat="1" x14ac:dyDescent="0.25"/>
    <row r="15785" s="12" customFormat="1" x14ac:dyDescent="0.25"/>
    <row r="15786" s="12" customFormat="1" x14ac:dyDescent="0.25"/>
    <row r="15787" s="12" customFormat="1" x14ac:dyDescent="0.25"/>
    <row r="15788" s="12" customFormat="1" x14ac:dyDescent="0.25"/>
    <row r="15789" s="12" customFormat="1" x14ac:dyDescent="0.25"/>
    <row r="15790" s="12" customFormat="1" x14ac:dyDescent="0.25"/>
    <row r="15791" s="12" customFormat="1" x14ac:dyDescent="0.25"/>
    <row r="15792" s="12" customFormat="1" x14ac:dyDescent="0.25"/>
    <row r="15793" s="12" customFormat="1" x14ac:dyDescent="0.25"/>
    <row r="15794" s="12" customFormat="1" x14ac:dyDescent="0.25"/>
    <row r="15795" s="12" customFormat="1" x14ac:dyDescent="0.25"/>
    <row r="15796" s="12" customFormat="1" x14ac:dyDescent="0.25"/>
    <row r="15797" s="12" customFormat="1" x14ac:dyDescent="0.25"/>
    <row r="15798" s="12" customFormat="1" x14ac:dyDescent="0.25"/>
    <row r="15799" s="12" customFormat="1" x14ac:dyDescent="0.25"/>
    <row r="15800" s="12" customFormat="1" x14ac:dyDescent="0.25"/>
    <row r="15801" s="12" customFormat="1" x14ac:dyDescent="0.25"/>
    <row r="15802" s="12" customFormat="1" x14ac:dyDescent="0.25"/>
    <row r="15803" s="12" customFormat="1" x14ac:dyDescent="0.25"/>
    <row r="15804" s="12" customFormat="1" x14ac:dyDescent="0.25"/>
    <row r="15805" s="12" customFormat="1" x14ac:dyDescent="0.25"/>
    <row r="15806" s="12" customFormat="1" x14ac:dyDescent="0.25"/>
    <row r="15807" s="12" customFormat="1" x14ac:dyDescent="0.25"/>
    <row r="15808" s="12" customFormat="1" x14ac:dyDescent="0.25"/>
    <row r="15809" s="12" customFormat="1" x14ac:dyDescent="0.25"/>
    <row r="15810" s="12" customFormat="1" x14ac:dyDescent="0.25"/>
    <row r="15811" s="12" customFormat="1" x14ac:dyDescent="0.25"/>
    <row r="15812" s="12" customFormat="1" x14ac:dyDescent="0.25"/>
    <row r="15813" s="12" customFormat="1" x14ac:dyDescent="0.25"/>
    <row r="15814" s="12" customFormat="1" x14ac:dyDescent="0.25"/>
    <row r="15815" s="12" customFormat="1" x14ac:dyDescent="0.25"/>
    <row r="15816" s="12" customFormat="1" x14ac:dyDescent="0.25"/>
    <row r="15817" s="12" customFormat="1" x14ac:dyDescent="0.25"/>
    <row r="15818" s="12" customFormat="1" x14ac:dyDescent="0.25"/>
    <row r="15819" s="12" customFormat="1" x14ac:dyDescent="0.25"/>
    <row r="15820" s="12" customFormat="1" x14ac:dyDescent="0.25"/>
    <row r="15821" s="12" customFormat="1" x14ac:dyDescent="0.25"/>
    <row r="15822" s="12" customFormat="1" x14ac:dyDescent="0.25"/>
    <row r="15823" s="12" customFormat="1" x14ac:dyDescent="0.25"/>
    <row r="15824" s="12" customFormat="1" x14ac:dyDescent="0.25"/>
    <row r="15825" s="12" customFormat="1" x14ac:dyDescent="0.25"/>
    <row r="15826" s="12" customFormat="1" x14ac:dyDescent="0.25"/>
    <row r="15827" s="12" customFormat="1" x14ac:dyDescent="0.25"/>
    <row r="15828" s="12" customFormat="1" x14ac:dyDescent="0.25"/>
    <row r="15829" s="12" customFormat="1" x14ac:dyDescent="0.25"/>
    <row r="15830" s="12" customFormat="1" x14ac:dyDescent="0.25"/>
    <row r="15831" s="12" customFormat="1" x14ac:dyDescent="0.25"/>
    <row r="15832" s="12" customFormat="1" x14ac:dyDescent="0.25"/>
    <row r="15833" s="12" customFormat="1" x14ac:dyDescent="0.25"/>
    <row r="15834" s="12" customFormat="1" x14ac:dyDescent="0.25"/>
    <row r="15835" s="12" customFormat="1" x14ac:dyDescent="0.25"/>
    <row r="15836" s="12" customFormat="1" x14ac:dyDescent="0.25"/>
    <row r="15837" s="12" customFormat="1" x14ac:dyDescent="0.25"/>
    <row r="15838" s="12" customFormat="1" x14ac:dyDescent="0.25"/>
    <row r="15839" s="12" customFormat="1" x14ac:dyDescent="0.25"/>
    <row r="15840" s="12" customFormat="1" x14ac:dyDescent="0.25"/>
    <row r="15841" s="12" customFormat="1" x14ac:dyDescent="0.25"/>
    <row r="15842" s="12" customFormat="1" x14ac:dyDescent="0.25"/>
    <row r="15843" s="12" customFormat="1" x14ac:dyDescent="0.25"/>
    <row r="15844" s="12" customFormat="1" x14ac:dyDescent="0.25"/>
    <row r="15845" s="12" customFormat="1" x14ac:dyDescent="0.25"/>
    <row r="15846" s="12" customFormat="1" x14ac:dyDescent="0.25"/>
    <row r="15847" s="12" customFormat="1" x14ac:dyDescent="0.25"/>
    <row r="15848" s="12" customFormat="1" x14ac:dyDescent="0.25"/>
    <row r="15849" s="12" customFormat="1" x14ac:dyDescent="0.25"/>
    <row r="15850" s="12" customFormat="1" x14ac:dyDescent="0.25"/>
    <row r="15851" s="12" customFormat="1" x14ac:dyDescent="0.25"/>
    <row r="15852" s="12" customFormat="1" x14ac:dyDescent="0.25"/>
    <row r="15853" s="12" customFormat="1" x14ac:dyDescent="0.25"/>
    <row r="15854" s="12" customFormat="1" x14ac:dyDescent="0.25"/>
    <row r="15855" s="12" customFormat="1" x14ac:dyDescent="0.25"/>
    <row r="15856" s="12" customFormat="1" x14ac:dyDescent="0.25"/>
    <row r="15857" s="12" customFormat="1" x14ac:dyDescent="0.25"/>
    <row r="15858" s="12" customFormat="1" x14ac:dyDescent="0.25"/>
    <row r="15859" s="12" customFormat="1" x14ac:dyDescent="0.25"/>
    <row r="15860" s="12" customFormat="1" x14ac:dyDescent="0.25"/>
    <row r="15861" s="12" customFormat="1" x14ac:dyDescent="0.25"/>
    <row r="15862" s="12" customFormat="1" x14ac:dyDescent="0.25"/>
    <row r="15863" s="12" customFormat="1" x14ac:dyDescent="0.25"/>
    <row r="15864" s="12" customFormat="1" x14ac:dyDescent="0.25"/>
    <row r="15865" s="12" customFormat="1" x14ac:dyDescent="0.25"/>
    <row r="15866" s="12" customFormat="1" x14ac:dyDescent="0.25"/>
    <row r="15867" s="12" customFormat="1" x14ac:dyDescent="0.25"/>
    <row r="15868" s="12" customFormat="1" x14ac:dyDescent="0.25"/>
    <row r="15869" s="12" customFormat="1" x14ac:dyDescent="0.25"/>
    <row r="15870" s="12" customFormat="1" x14ac:dyDescent="0.25"/>
    <row r="15871" s="12" customFormat="1" x14ac:dyDescent="0.25"/>
    <row r="15872" s="12" customFormat="1" x14ac:dyDescent="0.25"/>
    <row r="15873" s="12" customFormat="1" x14ac:dyDescent="0.25"/>
    <row r="15874" s="12" customFormat="1" x14ac:dyDescent="0.25"/>
    <row r="15875" s="12" customFormat="1" x14ac:dyDescent="0.25"/>
    <row r="15876" s="12" customFormat="1" x14ac:dyDescent="0.25"/>
    <row r="15877" s="12" customFormat="1" x14ac:dyDescent="0.25"/>
    <row r="15878" s="12" customFormat="1" x14ac:dyDescent="0.25"/>
    <row r="15879" s="12" customFormat="1" x14ac:dyDescent="0.25"/>
    <row r="15880" s="12" customFormat="1" x14ac:dyDescent="0.25"/>
    <row r="15881" s="12" customFormat="1" x14ac:dyDescent="0.25"/>
    <row r="15882" s="12" customFormat="1" x14ac:dyDescent="0.25"/>
    <row r="15883" s="12" customFormat="1" x14ac:dyDescent="0.25"/>
    <row r="15884" s="12" customFormat="1" x14ac:dyDescent="0.25"/>
    <row r="15885" s="12" customFormat="1" x14ac:dyDescent="0.25"/>
    <row r="15886" s="12" customFormat="1" x14ac:dyDescent="0.25"/>
    <row r="15887" s="12" customFormat="1" x14ac:dyDescent="0.25"/>
    <row r="15888" s="12" customFormat="1" x14ac:dyDescent="0.25"/>
    <row r="15889" s="12" customFormat="1" x14ac:dyDescent="0.25"/>
    <row r="15890" s="12" customFormat="1" x14ac:dyDescent="0.25"/>
    <row r="15891" s="12" customFormat="1" x14ac:dyDescent="0.25"/>
    <row r="15892" s="12" customFormat="1" x14ac:dyDescent="0.25"/>
    <row r="15893" s="12" customFormat="1" x14ac:dyDescent="0.25"/>
    <row r="15894" s="12" customFormat="1" x14ac:dyDescent="0.25"/>
    <row r="15895" s="12" customFormat="1" x14ac:dyDescent="0.25"/>
    <row r="15896" s="12" customFormat="1" x14ac:dyDescent="0.25"/>
    <row r="15897" s="12" customFormat="1" x14ac:dyDescent="0.25"/>
    <row r="15898" s="12" customFormat="1" x14ac:dyDescent="0.25"/>
    <row r="15899" s="12" customFormat="1" x14ac:dyDescent="0.25"/>
    <row r="15900" s="12" customFormat="1" x14ac:dyDescent="0.25"/>
    <row r="15901" s="12" customFormat="1" x14ac:dyDescent="0.25"/>
    <row r="15902" s="12" customFormat="1" x14ac:dyDescent="0.25"/>
    <row r="15903" s="12" customFormat="1" x14ac:dyDescent="0.25"/>
    <row r="15904" s="12" customFormat="1" x14ac:dyDescent="0.25"/>
    <row r="15905" s="12" customFormat="1" x14ac:dyDescent="0.25"/>
    <row r="15906" s="12" customFormat="1" x14ac:dyDescent="0.25"/>
    <row r="15907" s="12" customFormat="1" x14ac:dyDescent="0.25"/>
    <row r="15908" s="12" customFormat="1" x14ac:dyDescent="0.25"/>
    <row r="15909" s="12" customFormat="1" x14ac:dyDescent="0.25"/>
    <row r="15910" s="12" customFormat="1" x14ac:dyDescent="0.25"/>
    <row r="15911" s="12" customFormat="1" x14ac:dyDescent="0.25"/>
    <row r="15912" s="12" customFormat="1" x14ac:dyDescent="0.25"/>
    <row r="15913" s="12" customFormat="1" x14ac:dyDescent="0.25"/>
    <row r="15914" s="12" customFormat="1" x14ac:dyDescent="0.25"/>
    <row r="15915" s="12" customFormat="1" x14ac:dyDescent="0.25"/>
    <row r="15916" s="12" customFormat="1" x14ac:dyDescent="0.25"/>
    <row r="15917" s="12" customFormat="1" x14ac:dyDescent="0.25"/>
    <row r="15918" s="12" customFormat="1" x14ac:dyDescent="0.25"/>
    <row r="15919" s="12" customFormat="1" x14ac:dyDescent="0.25"/>
    <row r="15920" s="12" customFormat="1" x14ac:dyDescent="0.25"/>
    <row r="15921" s="12" customFormat="1" x14ac:dyDescent="0.25"/>
    <row r="15922" s="12" customFormat="1" x14ac:dyDescent="0.25"/>
    <row r="15923" s="12" customFormat="1" x14ac:dyDescent="0.25"/>
    <row r="15924" s="12" customFormat="1" x14ac:dyDescent="0.25"/>
    <row r="15925" s="12" customFormat="1" x14ac:dyDescent="0.25"/>
    <row r="15926" s="12" customFormat="1" x14ac:dyDescent="0.25"/>
    <row r="15927" s="12" customFormat="1" x14ac:dyDescent="0.25"/>
    <row r="15928" s="12" customFormat="1" x14ac:dyDescent="0.25"/>
    <row r="15929" s="12" customFormat="1" x14ac:dyDescent="0.25"/>
    <row r="15930" s="12" customFormat="1" x14ac:dyDescent="0.25"/>
    <row r="15931" s="12" customFormat="1" x14ac:dyDescent="0.25"/>
    <row r="15932" s="12" customFormat="1" x14ac:dyDescent="0.25"/>
    <row r="15933" s="12" customFormat="1" x14ac:dyDescent="0.25"/>
    <row r="15934" s="12" customFormat="1" x14ac:dyDescent="0.25"/>
    <row r="15935" s="12" customFormat="1" x14ac:dyDescent="0.25"/>
    <row r="15936" s="12" customFormat="1" x14ac:dyDescent="0.25"/>
    <row r="15937" s="12" customFormat="1" x14ac:dyDescent="0.25"/>
    <row r="15938" s="12" customFormat="1" x14ac:dyDescent="0.25"/>
    <row r="15939" s="12" customFormat="1" x14ac:dyDescent="0.25"/>
    <row r="15940" s="12" customFormat="1" x14ac:dyDescent="0.25"/>
    <row r="15941" s="12" customFormat="1" x14ac:dyDescent="0.25"/>
    <row r="15942" s="12" customFormat="1" x14ac:dyDescent="0.25"/>
    <row r="15943" s="12" customFormat="1" x14ac:dyDescent="0.25"/>
    <row r="15944" s="12" customFormat="1" x14ac:dyDescent="0.25"/>
    <row r="15945" s="12" customFormat="1" x14ac:dyDescent="0.25"/>
    <row r="15946" s="12" customFormat="1" x14ac:dyDescent="0.25"/>
    <row r="15947" s="12" customFormat="1" x14ac:dyDescent="0.25"/>
    <row r="15948" s="12" customFormat="1" x14ac:dyDescent="0.25"/>
    <row r="15949" s="12" customFormat="1" x14ac:dyDescent="0.25"/>
    <row r="15950" s="12" customFormat="1" x14ac:dyDescent="0.25"/>
    <row r="15951" s="12" customFormat="1" x14ac:dyDescent="0.25"/>
    <row r="15952" s="12" customFormat="1" x14ac:dyDescent="0.25"/>
    <row r="15953" s="12" customFormat="1" x14ac:dyDescent="0.25"/>
    <row r="15954" s="12" customFormat="1" x14ac:dyDescent="0.25"/>
    <row r="15955" s="12" customFormat="1" x14ac:dyDescent="0.25"/>
    <row r="15956" s="12" customFormat="1" x14ac:dyDescent="0.25"/>
    <row r="15957" s="12" customFormat="1" x14ac:dyDescent="0.25"/>
    <row r="15958" s="12" customFormat="1" x14ac:dyDescent="0.25"/>
    <row r="15959" s="12" customFormat="1" x14ac:dyDescent="0.25"/>
    <row r="15960" s="12" customFormat="1" x14ac:dyDescent="0.25"/>
    <row r="15961" s="12" customFormat="1" x14ac:dyDescent="0.25"/>
    <row r="15962" s="12" customFormat="1" x14ac:dyDescent="0.25"/>
    <row r="15963" s="12" customFormat="1" x14ac:dyDescent="0.25"/>
    <row r="15964" s="12" customFormat="1" x14ac:dyDescent="0.25"/>
    <row r="15965" s="12" customFormat="1" x14ac:dyDescent="0.25"/>
    <row r="15966" s="12" customFormat="1" x14ac:dyDescent="0.25"/>
    <row r="15967" s="12" customFormat="1" x14ac:dyDescent="0.25"/>
    <row r="15968" s="12" customFormat="1" x14ac:dyDescent="0.25"/>
    <row r="15969" s="12" customFormat="1" x14ac:dyDescent="0.25"/>
    <row r="15970" s="12" customFormat="1" x14ac:dyDescent="0.25"/>
    <row r="15971" s="12" customFormat="1" x14ac:dyDescent="0.25"/>
    <row r="15972" s="12" customFormat="1" x14ac:dyDescent="0.25"/>
    <row r="15973" s="12" customFormat="1" x14ac:dyDescent="0.25"/>
    <row r="15974" s="12" customFormat="1" x14ac:dyDescent="0.25"/>
    <row r="15975" s="12" customFormat="1" x14ac:dyDescent="0.25"/>
    <row r="15976" s="12" customFormat="1" x14ac:dyDescent="0.25"/>
    <row r="15977" s="12" customFormat="1" x14ac:dyDescent="0.25"/>
    <row r="15978" s="12" customFormat="1" x14ac:dyDescent="0.25"/>
    <row r="15979" s="12" customFormat="1" x14ac:dyDescent="0.25"/>
    <row r="15980" s="12" customFormat="1" x14ac:dyDescent="0.25"/>
    <row r="15981" s="12" customFormat="1" x14ac:dyDescent="0.25"/>
    <row r="15982" s="12" customFormat="1" x14ac:dyDescent="0.25"/>
    <row r="15983" s="12" customFormat="1" x14ac:dyDescent="0.25"/>
    <row r="15984" s="12" customFormat="1" x14ac:dyDescent="0.25"/>
    <row r="15985" s="12" customFormat="1" x14ac:dyDescent="0.25"/>
    <row r="15986" s="12" customFormat="1" x14ac:dyDescent="0.25"/>
    <row r="15987" s="12" customFormat="1" x14ac:dyDescent="0.25"/>
    <row r="15988" s="12" customFormat="1" x14ac:dyDescent="0.25"/>
    <row r="15989" s="12" customFormat="1" x14ac:dyDescent="0.25"/>
    <row r="15990" s="12" customFormat="1" x14ac:dyDescent="0.25"/>
    <row r="15991" s="12" customFormat="1" x14ac:dyDescent="0.25"/>
    <row r="15992" s="12" customFormat="1" x14ac:dyDescent="0.25"/>
    <row r="15993" s="12" customFormat="1" x14ac:dyDescent="0.25"/>
    <row r="15994" s="12" customFormat="1" x14ac:dyDescent="0.25"/>
    <row r="15995" s="12" customFormat="1" x14ac:dyDescent="0.25"/>
    <row r="15996" s="12" customFormat="1" x14ac:dyDescent="0.25"/>
    <row r="15997" s="12" customFormat="1" x14ac:dyDescent="0.25"/>
    <row r="15998" s="12" customFormat="1" x14ac:dyDescent="0.25"/>
    <row r="15999" s="12" customFormat="1" x14ac:dyDescent="0.25"/>
    <row r="16000" s="12" customFormat="1" x14ac:dyDescent="0.25"/>
    <row r="16001" s="12" customFormat="1" x14ac:dyDescent="0.25"/>
    <row r="16002" s="12" customFormat="1" x14ac:dyDescent="0.25"/>
    <row r="16003" s="12" customFormat="1" x14ac:dyDescent="0.25"/>
    <row r="16004" s="12" customFormat="1" x14ac:dyDescent="0.25"/>
    <row r="16005" s="12" customFormat="1" x14ac:dyDescent="0.25"/>
    <row r="16006" s="12" customFormat="1" x14ac:dyDescent="0.25"/>
    <row r="16007" s="12" customFormat="1" x14ac:dyDescent="0.25"/>
    <row r="16008" s="12" customFormat="1" x14ac:dyDescent="0.25"/>
    <row r="16009" s="12" customFormat="1" x14ac:dyDescent="0.25"/>
    <row r="16010" s="12" customFormat="1" x14ac:dyDescent="0.25"/>
    <row r="16011" s="12" customFormat="1" x14ac:dyDescent="0.25"/>
    <row r="16012" s="12" customFormat="1" x14ac:dyDescent="0.25"/>
    <row r="16013" s="12" customFormat="1" x14ac:dyDescent="0.25"/>
    <row r="16014" s="12" customFormat="1" x14ac:dyDescent="0.25"/>
    <row r="16015" s="12" customFormat="1" x14ac:dyDescent="0.25"/>
    <row r="16016" s="12" customFormat="1" x14ac:dyDescent="0.25"/>
    <row r="16017" s="12" customFormat="1" x14ac:dyDescent="0.25"/>
    <row r="16018" s="12" customFormat="1" x14ac:dyDescent="0.25"/>
    <row r="16019" s="12" customFormat="1" x14ac:dyDescent="0.25"/>
    <row r="16020" s="12" customFormat="1" x14ac:dyDescent="0.25"/>
    <row r="16021" s="12" customFormat="1" x14ac:dyDescent="0.25"/>
    <row r="16022" s="12" customFormat="1" x14ac:dyDescent="0.25"/>
    <row r="16023" s="12" customFormat="1" x14ac:dyDescent="0.25"/>
    <row r="16024" s="12" customFormat="1" x14ac:dyDescent="0.25"/>
    <row r="16025" s="12" customFormat="1" x14ac:dyDescent="0.25"/>
    <row r="16026" s="12" customFormat="1" x14ac:dyDescent="0.25"/>
    <row r="16027" s="12" customFormat="1" x14ac:dyDescent="0.25"/>
    <row r="16028" s="12" customFormat="1" x14ac:dyDescent="0.25"/>
    <row r="16029" s="12" customFormat="1" x14ac:dyDescent="0.25"/>
    <row r="16030" s="12" customFormat="1" x14ac:dyDescent="0.25"/>
    <row r="16031" s="12" customFormat="1" x14ac:dyDescent="0.25"/>
    <row r="16032" s="12" customFormat="1" x14ac:dyDescent="0.25"/>
    <row r="16033" s="12" customFormat="1" x14ac:dyDescent="0.25"/>
    <row r="16034" s="12" customFormat="1" x14ac:dyDescent="0.25"/>
    <row r="16035" s="12" customFormat="1" x14ac:dyDescent="0.25"/>
    <row r="16036" s="12" customFormat="1" x14ac:dyDescent="0.25"/>
    <row r="16037" s="12" customFormat="1" x14ac:dyDescent="0.25"/>
    <row r="16038" s="12" customFormat="1" x14ac:dyDescent="0.25"/>
    <row r="16039" s="12" customFormat="1" x14ac:dyDescent="0.25"/>
    <row r="16040" s="12" customFormat="1" x14ac:dyDescent="0.25"/>
    <row r="16041" s="12" customFormat="1" x14ac:dyDescent="0.25"/>
    <row r="16042" s="12" customFormat="1" x14ac:dyDescent="0.25"/>
    <row r="16043" s="12" customFormat="1" x14ac:dyDescent="0.25"/>
    <row r="16044" s="12" customFormat="1" x14ac:dyDescent="0.25"/>
    <row r="16045" s="12" customFormat="1" x14ac:dyDescent="0.25"/>
    <row r="16046" s="12" customFormat="1" x14ac:dyDescent="0.25"/>
    <row r="16047" s="12" customFormat="1" x14ac:dyDescent="0.25"/>
    <row r="16048" s="12" customFormat="1" x14ac:dyDescent="0.25"/>
    <row r="16049" s="12" customFormat="1" x14ac:dyDescent="0.25"/>
    <row r="16050" s="12" customFormat="1" x14ac:dyDescent="0.25"/>
    <row r="16051" s="12" customFormat="1" x14ac:dyDescent="0.25"/>
    <row r="16052" s="12" customFormat="1" x14ac:dyDescent="0.25"/>
    <row r="16053" s="12" customFormat="1" x14ac:dyDescent="0.25"/>
    <row r="16054" s="12" customFormat="1" x14ac:dyDescent="0.25"/>
    <row r="16055" s="12" customFormat="1" x14ac:dyDescent="0.25"/>
    <row r="16056" s="12" customFormat="1" x14ac:dyDescent="0.25"/>
    <row r="16057" s="12" customFormat="1" x14ac:dyDescent="0.25"/>
    <row r="16058" s="12" customFormat="1" x14ac:dyDescent="0.25"/>
    <row r="16059" s="12" customFormat="1" x14ac:dyDescent="0.25"/>
    <row r="16060" s="12" customFormat="1" x14ac:dyDescent="0.25"/>
    <row r="16061" s="12" customFormat="1" x14ac:dyDescent="0.25"/>
    <row r="16062" s="12" customFormat="1" x14ac:dyDescent="0.25"/>
    <row r="16063" s="12" customFormat="1" x14ac:dyDescent="0.25"/>
    <row r="16064" s="12" customFormat="1" x14ac:dyDescent="0.25"/>
    <row r="16065" s="12" customFormat="1" x14ac:dyDescent="0.25"/>
    <row r="16066" s="12" customFormat="1" x14ac:dyDescent="0.25"/>
    <row r="16067" s="12" customFormat="1" x14ac:dyDescent="0.25"/>
    <row r="16068" s="12" customFormat="1" x14ac:dyDescent="0.25"/>
    <row r="16069" s="12" customFormat="1" x14ac:dyDescent="0.25"/>
    <row r="16070" s="12" customFormat="1" x14ac:dyDescent="0.25"/>
    <row r="16071" s="12" customFormat="1" x14ac:dyDescent="0.25"/>
    <row r="16072" s="12" customFormat="1" x14ac:dyDescent="0.25"/>
    <row r="16073" s="12" customFormat="1" x14ac:dyDescent="0.25"/>
    <row r="16074" s="12" customFormat="1" x14ac:dyDescent="0.25"/>
    <row r="16075" s="12" customFormat="1" x14ac:dyDescent="0.25"/>
    <row r="16076" s="12" customFormat="1" x14ac:dyDescent="0.25"/>
    <row r="16077" s="12" customFormat="1" x14ac:dyDescent="0.25"/>
    <row r="16078" s="12" customFormat="1" x14ac:dyDescent="0.25"/>
    <row r="16079" s="12" customFormat="1" x14ac:dyDescent="0.25"/>
    <row r="16080" s="12" customFormat="1" x14ac:dyDescent="0.25"/>
    <row r="16081" s="12" customFormat="1" x14ac:dyDescent="0.25"/>
    <row r="16082" s="12" customFormat="1" x14ac:dyDescent="0.25"/>
    <row r="16083" s="12" customFormat="1" x14ac:dyDescent="0.25"/>
    <row r="16084" s="12" customFormat="1" x14ac:dyDescent="0.25"/>
    <row r="16085" s="12" customFormat="1" x14ac:dyDescent="0.25"/>
    <row r="16086" s="12" customFormat="1" x14ac:dyDescent="0.25"/>
    <row r="16087" s="12" customFormat="1" x14ac:dyDescent="0.25"/>
    <row r="16088" s="12" customFormat="1" x14ac:dyDescent="0.25"/>
    <row r="16089" s="12" customFormat="1" x14ac:dyDescent="0.25"/>
    <row r="16090" s="12" customFormat="1" x14ac:dyDescent="0.25"/>
    <row r="16091" s="12" customFormat="1" x14ac:dyDescent="0.25"/>
    <row r="16092" s="12" customFormat="1" x14ac:dyDescent="0.25"/>
    <row r="16093" s="12" customFormat="1" x14ac:dyDescent="0.25"/>
    <row r="16094" s="12" customFormat="1" x14ac:dyDescent="0.25"/>
    <row r="16095" s="12" customFormat="1" x14ac:dyDescent="0.25"/>
    <row r="16096" s="12" customFormat="1" x14ac:dyDescent="0.25"/>
    <row r="16097" s="12" customFormat="1" x14ac:dyDescent="0.25"/>
    <row r="16098" s="12" customFormat="1" x14ac:dyDescent="0.25"/>
    <row r="16099" s="12" customFormat="1" x14ac:dyDescent="0.25"/>
    <row r="16100" s="12" customFormat="1" x14ac:dyDescent="0.25"/>
    <row r="16101" s="12" customFormat="1" x14ac:dyDescent="0.25"/>
    <row r="16102" s="12" customFormat="1" x14ac:dyDescent="0.25"/>
    <row r="16103" s="12" customFormat="1" x14ac:dyDescent="0.25"/>
    <row r="16104" s="12" customFormat="1" x14ac:dyDescent="0.25"/>
    <row r="16105" s="12" customFormat="1" x14ac:dyDescent="0.25"/>
    <row r="16106" s="12" customFormat="1" x14ac:dyDescent="0.25"/>
    <row r="16107" s="12" customFormat="1" x14ac:dyDescent="0.25"/>
    <row r="16108" s="12" customFormat="1" x14ac:dyDescent="0.25"/>
    <row r="16109" s="12" customFormat="1" x14ac:dyDescent="0.25"/>
    <row r="16110" s="12" customFormat="1" x14ac:dyDescent="0.25"/>
    <row r="16111" s="12" customFormat="1" x14ac:dyDescent="0.25"/>
    <row r="16112" s="12" customFormat="1" x14ac:dyDescent="0.25"/>
    <row r="16113" s="12" customFormat="1" x14ac:dyDescent="0.25"/>
    <row r="16114" s="12" customFormat="1" x14ac:dyDescent="0.25"/>
    <row r="16115" s="12" customFormat="1" x14ac:dyDescent="0.25"/>
    <row r="16116" s="12" customFormat="1" x14ac:dyDescent="0.25"/>
    <row r="16117" s="12" customFormat="1" x14ac:dyDescent="0.25"/>
    <row r="16118" s="12" customFormat="1" x14ac:dyDescent="0.25"/>
    <row r="16119" s="12" customFormat="1" x14ac:dyDescent="0.25"/>
    <row r="16120" s="12" customFormat="1" x14ac:dyDescent="0.25"/>
    <row r="16121" s="12" customFormat="1" x14ac:dyDescent="0.25"/>
    <row r="16122" s="12" customFormat="1" x14ac:dyDescent="0.25"/>
    <row r="16123" s="12" customFormat="1" x14ac:dyDescent="0.25"/>
    <row r="16124" s="12" customFormat="1" x14ac:dyDescent="0.25"/>
    <row r="16125" s="12" customFormat="1" x14ac:dyDescent="0.25"/>
    <row r="16126" s="12" customFormat="1" x14ac:dyDescent="0.25"/>
    <row r="16127" s="12" customFormat="1" x14ac:dyDescent="0.25"/>
    <row r="16128" s="12" customFormat="1" x14ac:dyDescent="0.25"/>
    <row r="16129" s="12" customFormat="1" x14ac:dyDescent="0.25"/>
    <row r="16130" s="12" customFormat="1" x14ac:dyDescent="0.25"/>
    <row r="16131" s="12" customFormat="1" x14ac:dyDescent="0.25"/>
    <row r="16132" s="12" customFormat="1" x14ac:dyDescent="0.25"/>
    <row r="16133" s="12" customFormat="1" x14ac:dyDescent="0.25"/>
    <row r="16134" s="12" customFormat="1" x14ac:dyDescent="0.25"/>
    <row r="16135" s="12" customFormat="1" x14ac:dyDescent="0.25"/>
    <row r="16136" s="12" customFormat="1" x14ac:dyDescent="0.25"/>
    <row r="16137" s="12" customFormat="1" x14ac:dyDescent="0.25"/>
    <row r="16138" s="12" customFormat="1" x14ac:dyDescent="0.25"/>
    <row r="16139" s="12" customFormat="1" x14ac:dyDescent="0.25"/>
    <row r="16140" s="12" customFormat="1" x14ac:dyDescent="0.25"/>
    <row r="16141" s="12" customFormat="1" x14ac:dyDescent="0.25"/>
    <row r="16142" s="12" customFormat="1" x14ac:dyDescent="0.25"/>
    <row r="16143" s="12" customFormat="1" x14ac:dyDescent="0.25"/>
    <row r="16144" s="12" customFormat="1" x14ac:dyDescent="0.25"/>
    <row r="16145" s="12" customFormat="1" x14ac:dyDescent="0.25"/>
    <row r="16146" s="12" customFormat="1" x14ac:dyDescent="0.25"/>
    <row r="16147" s="12" customFormat="1" x14ac:dyDescent="0.25"/>
    <row r="16148" s="12" customFormat="1" x14ac:dyDescent="0.25"/>
    <row r="16149" s="12" customFormat="1" x14ac:dyDescent="0.25"/>
    <row r="16150" s="12" customFormat="1" x14ac:dyDescent="0.25"/>
    <row r="16151" s="12" customFormat="1" x14ac:dyDescent="0.25"/>
    <row r="16152" s="12" customFormat="1" x14ac:dyDescent="0.25"/>
    <row r="16153" s="12" customFormat="1" x14ac:dyDescent="0.25"/>
    <row r="16154" s="12" customFormat="1" x14ac:dyDescent="0.25"/>
    <row r="16155" s="12" customFormat="1" x14ac:dyDescent="0.25"/>
    <row r="16156" s="12" customFormat="1" x14ac:dyDescent="0.25"/>
    <row r="16157" s="12" customFormat="1" x14ac:dyDescent="0.25"/>
    <row r="16158" s="12" customFormat="1" x14ac:dyDescent="0.25"/>
    <row r="16159" s="12" customFormat="1" x14ac:dyDescent="0.25"/>
    <row r="16160" s="12" customFormat="1" x14ac:dyDescent="0.25"/>
    <row r="16161" s="12" customFormat="1" x14ac:dyDescent="0.25"/>
    <row r="16162" s="12" customFormat="1" x14ac:dyDescent="0.25"/>
    <row r="16163" s="12" customFormat="1" x14ac:dyDescent="0.25"/>
    <row r="16164" s="12" customFormat="1" x14ac:dyDescent="0.25"/>
    <row r="16165" s="12" customFormat="1" x14ac:dyDescent="0.25"/>
    <row r="16166" s="12" customFormat="1" x14ac:dyDescent="0.25"/>
    <row r="16167" s="12" customFormat="1" x14ac:dyDescent="0.25"/>
    <row r="16168" s="12" customFormat="1" x14ac:dyDescent="0.25"/>
    <row r="16169" s="12" customFormat="1" x14ac:dyDescent="0.25"/>
    <row r="16170" s="12" customFormat="1" x14ac:dyDescent="0.25"/>
    <row r="16171" s="12" customFormat="1" x14ac:dyDescent="0.25"/>
    <row r="16172" s="12" customFormat="1" x14ac:dyDescent="0.25"/>
    <row r="16173" s="12" customFormat="1" x14ac:dyDescent="0.25"/>
    <row r="16174" s="12" customFormat="1" x14ac:dyDescent="0.25"/>
    <row r="16175" s="12" customFormat="1" x14ac:dyDescent="0.25"/>
    <row r="16176" s="12" customFormat="1" x14ac:dyDescent="0.25"/>
    <row r="16177" s="12" customFormat="1" x14ac:dyDescent="0.25"/>
    <row r="16178" s="12" customFormat="1" x14ac:dyDescent="0.25"/>
    <row r="16179" s="12" customFormat="1" x14ac:dyDescent="0.25"/>
    <row r="16180" s="12" customFormat="1" x14ac:dyDescent="0.25"/>
    <row r="16181" s="12" customFormat="1" x14ac:dyDescent="0.25"/>
    <row r="16182" s="12" customFormat="1" x14ac:dyDescent="0.25"/>
    <row r="16183" s="12" customFormat="1" x14ac:dyDescent="0.25"/>
    <row r="16184" s="12" customFormat="1" x14ac:dyDescent="0.25"/>
    <row r="16185" s="12" customFormat="1" x14ac:dyDescent="0.25"/>
    <row r="16186" s="12" customFormat="1" x14ac:dyDescent="0.25"/>
    <row r="16187" s="12" customFormat="1" x14ac:dyDescent="0.25"/>
    <row r="16188" s="12" customFormat="1" x14ac:dyDescent="0.25"/>
    <row r="16189" s="12" customFormat="1" x14ac:dyDescent="0.25"/>
    <row r="16190" s="12" customFormat="1" x14ac:dyDescent="0.25"/>
    <row r="16191" s="12" customFormat="1" x14ac:dyDescent="0.25"/>
    <row r="16192" s="12" customFormat="1" x14ac:dyDescent="0.25"/>
    <row r="16193" s="12" customFormat="1" x14ac:dyDescent="0.25"/>
    <row r="16194" s="12" customFormat="1" x14ac:dyDescent="0.25"/>
    <row r="16195" s="12" customFormat="1" x14ac:dyDescent="0.25"/>
    <row r="16196" s="12" customFormat="1" x14ac:dyDescent="0.25"/>
    <row r="16197" s="12" customFormat="1" x14ac:dyDescent="0.25"/>
    <row r="16198" s="12" customFormat="1" x14ac:dyDescent="0.25"/>
    <row r="16199" s="12" customFormat="1" x14ac:dyDescent="0.25"/>
    <row r="16200" s="12" customFormat="1" x14ac:dyDescent="0.25"/>
    <row r="16201" s="12" customFormat="1" x14ac:dyDescent="0.25"/>
    <row r="16202" s="12" customFormat="1" x14ac:dyDescent="0.25"/>
    <row r="16203" s="12" customFormat="1" x14ac:dyDescent="0.25"/>
    <row r="16204" s="12" customFormat="1" x14ac:dyDescent="0.25"/>
    <row r="16205" s="12" customFormat="1" x14ac:dyDescent="0.25"/>
    <row r="16206" s="12" customFormat="1" x14ac:dyDescent="0.25"/>
    <row r="16207" s="12" customFormat="1" x14ac:dyDescent="0.25"/>
    <row r="16208" s="12" customFormat="1" x14ac:dyDescent="0.25"/>
    <row r="16209" s="12" customFormat="1" x14ac:dyDescent="0.25"/>
    <row r="16210" s="12" customFormat="1" x14ac:dyDescent="0.25"/>
    <row r="16211" s="12" customFormat="1" x14ac:dyDescent="0.25"/>
    <row r="16212" s="12" customFormat="1" x14ac:dyDescent="0.25"/>
    <row r="16213" s="12" customFormat="1" x14ac:dyDescent="0.25"/>
    <row r="16214" s="12" customFormat="1" x14ac:dyDescent="0.25"/>
    <row r="16215" s="12" customFormat="1" x14ac:dyDescent="0.25"/>
    <row r="16216" s="12" customFormat="1" x14ac:dyDescent="0.25"/>
    <row r="16217" s="12" customFormat="1" x14ac:dyDescent="0.25"/>
    <row r="16218" s="12" customFormat="1" x14ac:dyDescent="0.25"/>
    <row r="16219" s="12" customFormat="1" x14ac:dyDescent="0.25"/>
    <row r="16220" s="12" customFormat="1" x14ac:dyDescent="0.25"/>
    <row r="16221" s="12" customFormat="1" x14ac:dyDescent="0.25"/>
    <row r="16222" s="12" customFormat="1" x14ac:dyDescent="0.25"/>
    <row r="16223" s="12" customFormat="1" x14ac:dyDescent="0.25"/>
    <row r="16224" s="12" customFormat="1" x14ac:dyDescent="0.25"/>
    <row r="16225" s="12" customFormat="1" x14ac:dyDescent="0.25"/>
    <row r="16226" s="12" customFormat="1" x14ac:dyDescent="0.25"/>
    <row r="16227" s="12" customFormat="1" x14ac:dyDescent="0.25"/>
    <row r="16228" s="12" customFormat="1" x14ac:dyDescent="0.25"/>
    <row r="16229" s="12" customFormat="1" x14ac:dyDescent="0.25"/>
    <row r="16230" s="12" customFormat="1" x14ac:dyDescent="0.25"/>
    <row r="16231" s="12" customFormat="1" x14ac:dyDescent="0.25"/>
    <row r="16232" s="12" customFormat="1" x14ac:dyDescent="0.25"/>
    <row r="16233" s="12" customFormat="1" x14ac:dyDescent="0.25"/>
    <row r="16234" s="12" customFormat="1" x14ac:dyDescent="0.25"/>
    <row r="16235" s="12" customFormat="1" x14ac:dyDescent="0.25"/>
    <row r="16236" s="12" customFormat="1" x14ac:dyDescent="0.25"/>
    <row r="16237" s="12" customFormat="1" x14ac:dyDescent="0.25"/>
    <row r="16238" s="12" customFormat="1" x14ac:dyDescent="0.25"/>
    <row r="16239" s="12" customFormat="1" x14ac:dyDescent="0.25"/>
    <row r="16240" s="12" customFormat="1" x14ac:dyDescent="0.25"/>
    <row r="16241" s="12" customFormat="1" x14ac:dyDescent="0.25"/>
    <row r="16242" s="12" customFormat="1" x14ac:dyDescent="0.25"/>
    <row r="16243" s="12" customFormat="1" x14ac:dyDescent="0.25"/>
    <row r="16244" s="12" customFormat="1" x14ac:dyDescent="0.25"/>
    <row r="16245" s="12" customFormat="1" x14ac:dyDescent="0.25"/>
    <row r="16246" s="12" customFormat="1" x14ac:dyDescent="0.25"/>
    <row r="16247" s="12" customFormat="1" x14ac:dyDescent="0.25"/>
    <row r="16248" s="12" customFormat="1" x14ac:dyDescent="0.25"/>
    <row r="16249" s="12" customFormat="1" x14ac:dyDescent="0.25"/>
    <row r="16250" s="12" customFormat="1" x14ac:dyDescent="0.25"/>
    <row r="16251" s="12" customFormat="1" x14ac:dyDescent="0.25"/>
    <row r="16252" s="12" customFormat="1" x14ac:dyDescent="0.25"/>
    <row r="16253" s="12" customFormat="1" x14ac:dyDescent="0.25"/>
    <row r="16254" s="12" customFormat="1" x14ac:dyDescent="0.25"/>
    <row r="16255" s="12" customFormat="1" x14ac:dyDescent="0.25"/>
    <row r="16256" s="12" customFormat="1" x14ac:dyDescent="0.25"/>
    <row r="16257" s="12" customFormat="1" x14ac:dyDescent="0.25"/>
    <row r="16258" s="12" customFormat="1" x14ac:dyDescent="0.25"/>
    <row r="16259" s="12" customFormat="1" x14ac:dyDescent="0.25"/>
    <row r="16260" s="12" customFormat="1" x14ac:dyDescent="0.25"/>
    <row r="16261" s="12" customFormat="1" x14ac:dyDescent="0.25"/>
    <row r="16262" s="12" customFormat="1" x14ac:dyDescent="0.25"/>
    <row r="16263" s="12" customFormat="1" x14ac:dyDescent="0.25"/>
    <row r="16264" s="12" customFormat="1" x14ac:dyDescent="0.25"/>
    <row r="16265" s="12" customFormat="1" x14ac:dyDescent="0.25"/>
    <row r="16266" s="12" customFormat="1" x14ac:dyDescent="0.25"/>
    <row r="16267" s="12" customFormat="1" x14ac:dyDescent="0.25"/>
    <row r="16268" s="12" customFormat="1" x14ac:dyDescent="0.25"/>
    <row r="16269" s="12" customFormat="1" x14ac:dyDescent="0.25"/>
    <row r="16270" s="12" customFormat="1" x14ac:dyDescent="0.25"/>
    <row r="16271" s="12" customFormat="1" x14ac:dyDescent="0.25"/>
    <row r="16272" s="12" customFormat="1" x14ac:dyDescent="0.25"/>
    <row r="16273" s="12" customFormat="1" x14ac:dyDescent="0.25"/>
    <row r="16274" s="12" customFormat="1" x14ac:dyDescent="0.25"/>
    <row r="16275" s="12" customFormat="1" x14ac:dyDescent="0.25"/>
    <row r="16276" s="12" customFormat="1" x14ac:dyDescent="0.25"/>
    <row r="16277" s="12" customFormat="1" x14ac:dyDescent="0.25"/>
    <row r="16278" s="12" customFormat="1" x14ac:dyDescent="0.25"/>
    <row r="16279" s="12" customFormat="1" x14ac:dyDescent="0.25"/>
    <row r="16280" s="12" customFormat="1" x14ac:dyDescent="0.25"/>
    <row r="16281" s="12" customFormat="1" x14ac:dyDescent="0.25"/>
    <row r="16282" s="12" customFormat="1" x14ac:dyDescent="0.25"/>
    <row r="16283" s="12" customFormat="1" x14ac:dyDescent="0.25"/>
    <row r="16284" s="12" customFormat="1" x14ac:dyDescent="0.25"/>
    <row r="16285" s="12" customFormat="1" x14ac:dyDescent="0.25"/>
    <row r="16286" s="12" customFormat="1" x14ac:dyDescent="0.25"/>
    <row r="16287" s="12" customFormat="1" x14ac:dyDescent="0.25"/>
    <row r="16288" s="12" customFormat="1" x14ac:dyDescent="0.25"/>
    <row r="16289" s="12" customFormat="1" x14ac:dyDescent="0.25"/>
    <row r="16290" s="12" customFormat="1" x14ac:dyDescent="0.25"/>
    <row r="16291" s="12" customFormat="1" x14ac:dyDescent="0.25"/>
    <row r="16292" s="12" customFormat="1" x14ac:dyDescent="0.25"/>
    <row r="16293" s="12" customFormat="1" x14ac:dyDescent="0.25"/>
    <row r="16294" s="12" customFormat="1" x14ac:dyDescent="0.25"/>
    <row r="16295" s="12" customFormat="1" x14ac:dyDescent="0.25"/>
    <row r="16296" s="12" customFormat="1" x14ac:dyDescent="0.25"/>
    <row r="16297" s="12" customFormat="1" x14ac:dyDescent="0.25"/>
    <row r="16298" s="12" customFormat="1" x14ac:dyDescent="0.25"/>
    <row r="16299" s="12" customFormat="1" x14ac:dyDescent="0.25"/>
    <row r="16300" s="12" customFormat="1" x14ac:dyDescent="0.25"/>
    <row r="16301" s="12" customFormat="1" x14ac:dyDescent="0.25"/>
    <row r="16302" s="12" customFormat="1" x14ac:dyDescent="0.25"/>
    <row r="16303" s="12" customFormat="1" x14ac:dyDescent="0.25"/>
    <row r="16304" s="12" customFormat="1" x14ac:dyDescent="0.25"/>
    <row r="16305" s="12" customFormat="1" x14ac:dyDescent="0.25"/>
    <row r="16306" s="12" customFormat="1" x14ac:dyDescent="0.25"/>
    <row r="16307" s="12" customFormat="1" x14ac:dyDescent="0.25"/>
    <row r="16308" s="12" customFormat="1" x14ac:dyDescent="0.25"/>
    <row r="16309" s="12" customFormat="1" x14ac:dyDescent="0.25"/>
    <row r="16310" s="12" customFormat="1" x14ac:dyDescent="0.25"/>
    <row r="16311" s="12" customFormat="1" x14ac:dyDescent="0.25"/>
    <row r="16312" s="12" customFormat="1" x14ac:dyDescent="0.25"/>
    <row r="16313" s="12" customFormat="1" x14ac:dyDescent="0.25"/>
    <row r="16314" s="12" customFormat="1" x14ac:dyDescent="0.25"/>
    <row r="16315" s="12" customFormat="1" x14ac:dyDescent="0.25"/>
    <row r="16316" s="12" customFormat="1" x14ac:dyDescent="0.25"/>
    <row r="16317" s="12" customFormat="1" x14ac:dyDescent="0.25"/>
    <row r="16318" s="12" customFormat="1" x14ac:dyDescent="0.25"/>
    <row r="16319" s="12" customFormat="1" x14ac:dyDescent="0.25"/>
    <row r="16320" s="12" customFormat="1" x14ac:dyDescent="0.25"/>
    <row r="16321" s="12" customFormat="1" x14ac:dyDescent="0.25"/>
    <row r="16322" s="12" customFormat="1" x14ac:dyDescent="0.25"/>
    <row r="16323" s="12" customFormat="1" x14ac:dyDescent="0.25"/>
    <row r="16324" s="12" customFormat="1" x14ac:dyDescent="0.25"/>
    <row r="16325" s="12" customFormat="1" x14ac:dyDescent="0.25"/>
    <row r="16326" s="12" customFormat="1" x14ac:dyDescent="0.25"/>
    <row r="16327" s="12" customFormat="1" x14ac:dyDescent="0.25"/>
    <row r="16328" s="12" customFormat="1" x14ac:dyDescent="0.25"/>
    <row r="16329" s="12" customFormat="1" x14ac:dyDescent="0.25"/>
    <row r="16330" s="12" customFormat="1" x14ac:dyDescent="0.25"/>
    <row r="16331" s="12" customFormat="1" x14ac:dyDescent="0.25"/>
    <row r="16332" s="12" customFormat="1" x14ac:dyDescent="0.25"/>
    <row r="16333" s="12" customFormat="1" x14ac:dyDescent="0.25"/>
    <row r="16334" s="12" customFormat="1" x14ac:dyDescent="0.25"/>
    <row r="16335" s="12" customFormat="1" x14ac:dyDescent="0.25"/>
    <row r="16336" s="12" customFormat="1" x14ac:dyDescent="0.25"/>
    <row r="16337" s="12" customFormat="1" x14ac:dyDescent="0.25"/>
    <row r="16338" s="12" customFormat="1" x14ac:dyDescent="0.25"/>
    <row r="16339" s="12" customFormat="1" x14ac:dyDescent="0.25"/>
    <row r="16340" s="12" customFormat="1" x14ac:dyDescent="0.25"/>
    <row r="16341" s="12" customFormat="1" x14ac:dyDescent="0.25"/>
    <row r="16342" s="12" customFormat="1" x14ac:dyDescent="0.25"/>
    <row r="16343" s="12" customFormat="1" x14ac:dyDescent="0.25"/>
    <row r="16344" s="12" customFormat="1" x14ac:dyDescent="0.25"/>
    <row r="16345" s="12" customFormat="1" x14ac:dyDescent="0.25"/>
    <row r="16346" s="12" customFormat="1" x14ac:dyDescent="0.25"/>
    <row r="16347" s="12" customFormat="1" x14ac:dyDescent="0.25"/>
    <row r="16348" s="12" customFormat="1" x14ac:dyDescent="0.25"/>
    <row r="16349" s="12" customFormat="1" x14ac:dyDescent="0.25"/>
    <row r="16350" s="12" customFormat="1" x14ac:dyDescent="0.25"/>
    <row r="16351" s="12" customFormat="1" x14ac:dyDescent="0.25"/>
    <row r="16352" s="12" customFormat="1" x14ac:dyDescent="0.25"/>
    <row r="16353" s="12" customFormat="1" x14ac:dyDescent="0.25"/>
    <row r="16354" s="12" customFormat="1" x14ac:dyDescent="0.25"/>
    <row r="16355" s="12" customFormat="1" x14ac:dyDescent="0.25"/>
    <row r="16356" s="12" customFormat="1" x14ac:dyDescent="0.25"/>
    <row r="16357" s="12" customFormat="1" x14ac:dyDescent="0.25"/>
    <row r="16358" s="12" customFormat="1" x14ac:dyDescent="0.25"/>
    <row r="16359" s="12" customFormat="1" x14ac:dyDescent="0.25"/>
    <row r="16360" s="12" customFormat="1" x14ac:dyDescent="0.25"/>
    <row r="16361" s="12" customFormat="1" x14ac:dyDescent="0.25"/>
    <row r="16362" s="12" customFormat="1" x14ac:dyDescent="0.25"/>
    <row r="16363" s="12" customFormat="1" x14ac:dyDescent="0.25"/>
    <row r="16364" s="12" customFormat="1" x14ac:dyDescent="0.25"/>
    <row r="16365" s="12" customFormat="1" x14ac:dyDescent="0.25"/>
    <row r="16366" s="12" customFormat="1" x14ac:dyDescent="0.25"/>
    <row r="16367" s="12" customFormat="1" x14ac:dyDescent="0.25"/>
    <row r="16368" s="12" customFormat="1" x14ac:dyDescent="0.25"/>
    <row r="16369" s="12" customFormat="1" x14ac:dyDescent="0.25"/>
    <row r="16370" s="12" customFormat="1" x14ac:dyDescent="0.25"/>
    <row r="16371" s="12" customFormat="1" x14ac:dyDescent="0.25"/>
    <row r="16372" s="12" customFormat="1" x14ac:dyDescent="0.25"/>
    <row r="16373" s="12" customFormat="1" x14ac:dyDescent="0.25"/>
    <row r="16374" s="12" customFormat="1" x14ac:dyDescent="0.25"/>
    <row r="16375" s="12" customFormat="1" x14ac:dyDescent="0.25"/>
    <row r="16376" s="12" customFormat="1" x14ac:dyDescent="0.25"/>
    <row r="16377" s="12" customFormat="1" x14ac:dyDescent="0.25"/>
    <row r="16378" s="12" customFormat="1" x14ac:dyDescent="0.25"/>
    <row r="16379" s="12" customFormat="1" x14ac:dyDescent="0.25"/>
    <row r="16380" s="12" customFormat="1" x14ac:dyDescent="0.25"/>
    <row r="16381" s="12" customFormat="1" x14ac:dyDescent="0.25"/>
    <row r="16382" s="12" customFormat="1" x14ac:dyDescent="0.25"/>
    <row r="16383" s="12" customFormat="1" x14ac:dyDescent="0.25"/>
    <row r="16384" s="12" customFormat="1" x14ac:dyDescent="0.25"/>
    <row r="16385" s="12" customFormat="1" x14ac:dyDescent="0.25"/>
    <row r="16386" s="12" customFormat="1" x14ac:dyDescent="0.25"/>
    <row r="16387" s="12" customFormat="1" x14ac:dyDescent="0.25"/>
    <row r="16388" s="12" customFormat="1" x14ac:dyDescent="0.25"/>
    <row r="16389" s="12" customFormat="1" x14ac:dyDescent="0.25"/>
    <row r="16390" s="12" customFormat="1" x14ac:dyDescent="0.25"/>
    <row r="16391" s="12" customFormat="1" x14ac:dyDescent="0.25"/>
    <row r="16392" s="12" customFormat="1" x14ac:dyDescent="0.25"/>
    <row r="16393" s="12" customFormat="1" x14ac:dyDescent="0.25"/>
    <row r="16394" s="12" customFormat="1" x14ac:dyDescent="0.25"/>
    <row r="16395" s="12" customFormat="1" x14ac:dyDescent="0.25"/>
    <row r="16396" s="12" customFormat="1" x14ac:dyDescent="0.25"/>
    <row r="16397" s="12" customFormat="1" x14ac:dyDescent="0.25"/>
    <row r="16398" s="12" customFormat="1" x14ac:dyDescent="0.25"/>
    <row r="16399" s="12" customFormat="1" x14ac:dyDescent="0.25"/>
    <row r="16400" s="12" customFormat="1" x14ac:dyDescent="0.25"/>
    <row r="16401" s="12" customFormat="1" x14ac:dyDescent="0.25"/>
    <row r="16402" s="12" customFormat="1" x14ac:dyDescent="0.25"/>
    <row r="16403" s="12" customFormat="1" x14ac:dyDescent="0.25"/>
    <row r="16404" s="12" customFormat="1" x14ac:dyDescent="0.25"/>
    <row r="16405" s="12" customFormat="1" x14ac:dyDescent="0.25"/>
    <row r="16406" s="12" customFormat="1" x14ac:dyDescent="0.25"/>
    <row r="16407" s="12" customFormat="1" x14ac:dyDescent="0.25"/>
    <row r="16408" s="12" customFormat="1" x14ac:dyDescent="0.25"/>
    <row r="16409" s="12" customFormat="1" x14ac:dyDescent="0.25"/>
    <row r="16410" s="12" customFormat="1" x14ac:dyDescent="0.25"/>
    <row r="16411" s="12" customFormat="1" x14ac:dyDescent="0.25"/>
    <row r="16412" s="12" customFormat="1" x14ac:dyDescent="0.25"/>
    <row r="16413" s="12" customFormat="1" x14ac:dyDescent="0.25"/>
    <row r="16414" s="12" customFormat="1" x14ac:dyDescent="0.25"/>
    <row r="16415" s="12" customFormat="1" x14ac:dyDescent="0.25"/>
    <row r="16416" s="12" customFormat="1" x14ac:dyDescent="0.25"/>
    <row r="16417" s="12" customFormat="1" x14ac:dyDescent="0.25"/>
    <row r="16418" s="12" customFormat="1" x14ac:dyDescent="0.25"/>
    <row r="16419" s="12" customFormat="1" x14ac:dyDescent="0.25"/>
    <row r="16420" s="12" customFormat="1" x14ac:dyDescent="0.25"/>
    <row r="16421" s="12" customFormat="1" x14ac:dyDescent="0.25"/>
    <row r="16422" s="12" customFormat="1" x14ac:dyDescent="0.25"/>
    <row r="16423" s="12" customFormat="1" x14ac:dyDescent="0.25"/>
    <row r="16424" s="12" customFormat="1" x14ac:dyDescent="0.25"/>
    <row r="16425" s="12" customFormat="1" x14ac:dyDescent="0.25"/>
    <row r="16426" s="12" customFormat="1" x14ac:dyDescent="0.25"/>
    <row r="16427" s="12" customFormat="1" x14ac:dyDescent="0.25"/>
    <row r="16428" s="12" customFormat="1" x14ac:dyDescent="0.25"/>
    <row r="16429" s="12" customFormat="1" x14ac:dyDescent="0.25"/>
    <row r="16430" s="12" customFormat="1" x14ac:dyDescent="0.25"/>
    <row r="16431" s="12" customFormat="1" x14ac:dyDescent="0.25"/>
    <row r="16432" s="12" customFormat="1" x14ac:dyDescent="0.25"/>
    <row r="16433" s="12" customFormat="1" x14ac:dyDescent="0.25"/>
    <row r="16434" s="12" customFormat="1" x14ac:dyDescent="0.25"/>
    <row r="16435" s="12" customFormat="1" x14ac:dyDescent="0.25"/>
    <row r="16436" s="12" customFormat="1" x14ac:dyDescent="0.25"/>
    <row r="16437" s="12" customFormat="1" x14ac:dyDescent="0.25"/>
    <row r="16438" s="12" customFormat="1" x14ac:dyDescent="0.25"/>
    <row r="16439" s="12" customFormat="1" x14ac:dyDescent="0.25"/>
    <row r="16440" s="12" customFormat="1" x14ac:dyDescent="0.25"/>
    <row r="16441" s="12" customFormat="1" x14ac:dyDescent="0.25"/>
    <row r="16442" s="12" customFormat="1" x14ac:dyDescent="0.25"/>
    <row r="16443" s="12" customFormat="1" x14ac:dyDescent="0.25"/>
    <row r="16444" s="12" customFormat="1" x14ac:dyDescent="0.25"/>
    <row r="16445" s="12" customFormat="1" x14ac:dyDescent="0.25"/>
    <row r="16446" s="12" customFormat="1" x14ac:dyDescent="0.25"/>
    <row r="16447" s="12" customFormat="1" x14ac:dyDescent="0.25"/>
    <row r="16448" s="12" customFormat="1" x14ac:dyDescent="0.25"/>
    <row r="16449" s="12" customFormat="1" x14ac:dyDescent="0.25"/>
    <row r="16450" s="12" customFormat="1" x14ac:dyDescent="0.25"/>
    <row r="16451" s="12" customFormat="1" x14ac:dyDescent="0.25"/>
    <row r="16452" s="12" customFormat="1" x14ac:dyDescent="0.25"/>
    <row r="16453" s="12" customFormat="1" x14ac:dyDescent="0.25"/>
    <row r="16454" s="12" customFormat="1" x14ac:dyDescent="0.25"/>
    <row r="16455" s="12" customFormat="1" x14ac:dyDescent="0.25"/>
    <row r="16456" s="12" customFormat="1" x14ac:dyDescent="0.25"/>
    <row r="16457" s="12" customFormat="1" x14ac:dyDescent="0.25"/>
    <row r="16458" s="12" customFormat="1" x14ac:dyDescent="0.25"/>
    <row r="16459" s="12" customFormat="1" x14ac:dyDescent="0.25"/>
    <row r="16460" s="12" customFormat="1" x14ac:dyDescent="0.25"/>
    <row r="16461" s="12" customFormat="1" x14ac:dyDescent="0.25"/>
    <row r="16462" s="12" customFormat="1" x14ac:dyDescent="0.25"/>
    <row r="16463" s="12" customFormat="1" x14ac:dyDescent="0.25"/>
    <row r="16464" s="12" customFormat="1" x14ac:dyDescent="0.25"/>
    <row r="16465" s="12" customFormat="1" x14ac:dyDescent="0.25"/>
    <row r="16466" s="12" customFormat="1" x14ac:dyDescent="0.25"/>
    <row r="16467" s="12" customFormat="1" x14ac:dyDescent="0.25"/>
    <row r="16468" s="12" customFormat="1" x14ac:dyDescent="0.25"/>
    <row r="16469" s="12" customFormat="1" x14ac:dyDescent="0.25"/>
    <row r="16470" s="12" customFormat="1" x14ac:dyDescent="0.25"/>
    <row r="16471" s="12" customFormat="1" x14ac:dyDescent="0.25"/>
    <row r="16472" s="12" customFormat="1" x14ac:dyDescent="0.25"/>
    <row r="16473" s="12" customFormat="1" x14ac:dyDescent="0.25"/>
    <row r="16474" s="12" customFormat="1" x14ac:dyDescent="0.25"/>
    <row r="16475" s="12" customFormat="1" x14ac:dyDescent="0.25"/>
    <row r="16476" s="12" customFormat="1" x14ac:dyDescent="0.25"/>
    <row r="16477" s="12" customFormat="1" x14ac:dyDescent="0.25"/>
    <row r="16478" s="12" customFormat="1" x14ac:dyDescent="0.25"/>
    <row r="16479" s="12" customFormat="1" x14ac:dyDescent="0.25"/>
    <row r="16480" s="12" customFormat="1" x14ac:dyDescent="0.25"/>
    <row r="16481" s="12" customFormat="1" x14ac:dyDescent="0.25"/>
    <row r="16482" s="12" customFormat="1" x14ac:dyDescent="0.25"/>
    <row r="16483" s="12" customFormat="1" x14ac:dyDescent="0.25"/>
    <row r="16484" s="12" customFormat="1" x14ac:dyDescent="0.25"/>
    <row r="16485" s="12" customFormat="1" x14ac:dyDescent="0.25"/>
    <row r="16486" s="12" customFormat="1" x14ac:dyDescent="0.25"/>
    <row r="16487" s="12" customFormat="1" x14ac:dyDescent="0.25"/>
    <row r="16488" s="12" customFormat="1" x14ac:dyDescent="0.25"/>
    <row r="16489" s="12" customFormat="1" x14ac:dyDescent="0.25"/>
    <row r="16490" s="12" customFormat="1" x14ac:dyDescent="0.25"/>
    <row r="16491" s="12" customFormat="1" x14ac:dyDescent="0.25"/>
    <row r="16492" s="12" customFormat="1" x14ac:dyDescent="0.25"/>
    <row r="16493" s="12" customFormat="1" x14ac:dyDescent="0.25"/>
    <row r="16494" s="12" customFormat="1" x14ac:dyDescent="0.25"/>
    <row r="16495" s="12" customFormat="1" x14ac:dyDescent="0.25"/>
    <row r="16496" s="12" customFormat="1" x14ac:dyDescent="0.25"/>
    <row r="16497" s="12" customFormat="1" x14ac:dyDescent="0.25"/>
    <row r="16498" s="12" customFormat="1" x14ac:dyDescent="0.25"/>
    <row r="16499" s="12" customFormat="1" x14ac:dyDescent="0.25"/>
    <row r="16500" s="12" customFormat="1" x14ac:dyDescent="0.25"/>
    <row r="16501" s="12" customFormat="1" x14ac:dyDescent="0.25"/>
    <row r="16502" s="12" customFormat="1" x14ac:dyDescent="0.25"/>
    <row r="16503" s="12" customFormat="1" x14ac:dyDescent="0.25"/>
    <row r="16504" s="12" customFormat="1" x14ac:dyDescent="0.25"/>
    <row r="16505" s="12" customFormat="1" x14ac:dyDescent="0.25"/>
    <row r="16506" s="12" customFormat="1" x14ac:dyDescent="0.25"/>
    <row r="16507" s="12" customFormat="1" x14ac:dyDescent="0.25"/>
    <row r="16508" s="12" customFormat="1" x14ac:dyDescent="0.25"/>
    <row r="16509" s="12" customFormat="1" x14ac:dyDescent="0.25"/>
    <row r="16510" s="12" customFormat="1" x14ac:dyDescent="0.25"/>
    <row r="16511" s="12" customFormat="1" x14ac:dyDescent="0.25"/>
    <row r="16512" s="12" customFormat="1" x14ac:dyDescent="0.25"/>
    <row r="16513" s="12" customFormat="1" x14ac:dyDescent="0.25"/>
    <row r="16514" s="12" customFormat="1" x14ac:dyDescent="0.25"/>
    <row r="16515" s="12" customFormat="1" x14ac:dyDescent="0.25"/>
    <row r="16516" s="12" customFormat="1" x14ac:dyDescent="0.25"/>
    <row r="16517" s="12" customFormat="1" x14ac:dyDescent="0.25"/>
    <row r="16518" s="12" customFormat="1" x14ac:dyDescent="0.25"/>
    <row r="16519" s="12" customFormat="1" x14ac:dyDescent="0.25"/>
    <row r="16520" s="12" customFormat="1" x14ac:dyDescent="0.25"/>
    <row r="16521" s="12" customFormat="1" x14ac:dyDescent="0.25"/>
    <row r="16522" s="12" customFormat="1" x14ac:dyDescent="0.25"/>
    <row r="16523" s="12" customFormat="1" x14ac:dyDescent="0.25"/>
    <row r="16524" s="12" customFormat="1" x14ac:dyDescent="0.25"/>
    <row r="16525" s="12" customFormat="1" x14ac:dyDescent="0.25"/>
    <row r="16526" s="12" customFormat="1" x14ac:dyDescent="0.25"/>
    <row r="16527" s="12" customFormat="1" x14ac:dyDescent="0.25"/>
    <row r="16528" s="12" customFormat="1" x14ac:dyDescent="0.25"/>
    <row r="16529" s="12" customFormat="1" x14ac:dyDescent="0.25"/>
    <row r="16530" s="12" customFormat="1" x14ac:dyDescent="0.25"/>
    <row r="16531" s="12" customFormat="1" x14ac:dyDescent="0.25"/>
    <row r="16532" s="12" customFormat="1" x14ac:dyDescent="0.25"/>
    <row r="16533" s="12" customFormat="1" x14ac:dyDescent="0.25"/>
    <row r="16534" s="12" customFormat="1" x14ac:dyDescent="0.25"/>
    <row r="16535" s="12" customFormat="1" x14ac:dyDescent="0.25"/>
    <row r="16536" s="12" customFormat="1" x14ac:dyDescent="0.25"/>
    <row r="16537" s="12" customFormat="1" x14ac:dyDescent="0.25"/>
    <row r="16538" s="12" customFormat="1" x14ac:dyDescent="0.25"/>
    <row r="16539" s="12" customFormat="1" x14ac:dyDescent="0.25"/>
    <row r="16540" s="12" customFormat="1" x14ac:dyDescent="0.25"/>
    <row r="16541" s="12" customFormat="1" x14ac:dyDescent="0.25"/>
    <row r="16542" s="12" customFormat="1" x14ac:dyDescent="0.25"/>
    <row r="16543" s="12" customFormat="1" x14ac:dyDescent="0.25"/>
    <row r="16544" s="12" customFormat="1" x14ac:dyDescent="0.25"/>
    <row r="16545" s="12" customFormat="1" x14ac:dyDescent="0.25"/>
    <row r="16546" s="12" customFormat="1" x14ac:dyDescent="0.25"/>
    <row r="16547" s="12" customFormat="1" x14ac:dyDescent="0.25"/>
    <row r="16548" s="12" customFormat="1" x14ac:dyDescent="0.25"/>
    <row r="16549" s="12" customFormat="1" x14ac:dyDescent="0.25"/>
    <row r="16550" s="12" customFormat="1" x14ac:dyDescent="0.25"/>
    <row r="16551" s="12" customFormat="1" x14ac:dyDescent="0.25"/>
    <row r="16552" s="12" customFormat="1" x14ac:dyDescent="0.25"/>
    <row r="16553" s="12" customFormat="1" x14ac:dyDescent="0.25"/>
    <row r="16554" s="12" customFormat="1" x14ac:dyDescent="0.25"/>
    <row r="16555" s="12" customFormat="1" x14ac:dyDescent="0.25"/>
    <row r="16556" s="12" customFormat="1" x14ac:dyDescent="0.25"/>
    <row r="16557" s="12" customFormat="1" x14ac:dyDescent="0.25"/>
    <row r="16558" s="12" customFormat="1" x14ac:dyDescent="0.25"/>
    <row r="16559" s="12" customFormat="1" x14ac:dyDescent="0.25"/>
    <row r="16560" s="12" customFormat="1" x14ac:dyDescent="0.25"/>
    <row r="16561" s="12" customFormat="1" x14ac:dyDescent="0.25"/>
    <row r="16562" s="12" customFormat="1" x14ac:dyDescent="0.25"/>
    <row r="16563" s="12" customFormat="1" x14ac:dyDescent="0.25"/>
    <row r="16564" s="12" customFormat="1" x14ac:dyDescent="0.25"/>
    <row r="16565" s="12" customFormat="1" x14ac:dyDescent="0.25"/>
    <row r="16566" s="12" customFormat="1" x14ac:dyDescent="0.25"/>
    <row r="16567" s="12" customFormat="1" x14ac:dyDescent="0.25"/>
    <row r="16568" s="12" customFormat="1" x14ac:dyDescent="0.25"/>
    <row r="16569" s="12" customFormat="1" x14ac:dyDescent="0.25"/>
    <row r="16570" s="12" customFormat="1" x14ac:dyDescent="0.25"/>
    <row r="16571" s="12" customFormat="1" x14ac:dyDescent="0.25"/>
    <row r="16572" s="12" customFormat="1" x14ac:dyDescent="0.25"/>
    <row r="16573" s="12" customFormat="1" x14ac:dyDescent="0.25"/>
    <row r="16574" s="12" customFormat="1" x14ac:dyDescent="0.25"/>
    <row r="16575" s="12" customFormat="1" x14ac:dyDescent="0.25"/>
    <row r="16576" s="12" customFormat="1" x14ac:dyDescent="0.25"/>
    <row r="16577" s="12" customFormat="1" x14ac:dyDescent="0.25"/>
    <row r="16578" s="12" customFormat="1" x14ac:dyDescent="0.25"/>
    <row r="16579" s="12" customFormat="1" x14ac:dyDescent="0.25"/>
    <row r="16580" s="12" customFormat="1" x14ac:dyDescent="0.25"/>
    <row r="16581" s="12" customFormat="1" x14ac:dyDescent="0.25"/>
    <row r="16582" s="12" customFormat="1" x14ac:dyDescent="0.25"/>
    <row r="16583" s="12" customFormat="1" x14ac:dyDescent="0.25"/>
    <row r="16584" s="12" customFormat="1" x14ac:dyDescent="0.25"/>
    <row r="16585" s="12" customFormat="1" x14ac:dyDescent="0.25"/>
    <row r="16586" s="12" customFormat="1" x14ac:dyDescent="0.25"/>
    <row r="16587" s="12" customFormat="1" x14ac:dyDescent="0.25"/>
    <row r="16588" s="12" customFormat="1" x14ac:dyDescent="0.25"/>
    <row r="16589" s="12" customFormat="1" x14ac:dyDescent="0.25"/>
    <row r="16590" s="12" customFormat="1" x14ac:dyDescent="0.25"/>
    <row r="16591" s="12" customFormat="1" x14ac:dyDescent="0.25"/>
    <row r="16592" s="12" customFormat="1" x14ac:dyDescent="0.25"/>
    <row r="16593" s="12" customFormat="1" x14ac:dyDescent="0.25"/>
    <row r="16594" s="12" customFormat="1" x14ac:dyDescent="0.25"/>
    <row r="16595" s="12" customFormat="1" x14ac:dyDescent="0.25"/>
    <row r="16596" s="12" customFormat="1" x14ac:dyDescent="0.25"/>
    <row r="16597" s="12" customFormat="1" x14ac:dyDescent="0.25"/>
    <row r="16598" s="12" customFormat="1" x14ac:dyDescent="0.25"/>
    <row r="16599" s="12" customFormat="1" x14ac:dyDescent="0.25"/>
    <row r="16600" s="12" customFormat="1" x14ac:dyDescent="0.25"/>
    <row r="16601" s="12" customFormat="1" x14ac:dyDescent="0.25"/>
    <row r="16602" s="12" customFormat="1" x14ac:dyDescent="0.25"/>
    <row r="16603" s="12" customFormat="1" x14ac:dyDescent="0.25"/>
    <row r="16604" s="12" customFormat="1" x14ac:dyDescent="0.25"/>
    <row r="16605" s="12" customFormat="1" x14ac:dyDescent="0.25"/>
    <row r="16606" s="12" customFormat="1" x14ac:dyDescent="0.25"/>
    <row r="16607" s="12" customFormat="1" x14ac:dyDescent="0.25"/>
    <row r="16608" s="12" customFormat="1" x14ac:dyDescent="0.25"/>
    <row r="16609" s="12" customFormat="1" x14ac:dyDescent="0.25"/>
    <row r="16610" s="12" customFormat="1" x14ac:dyDescent="0.25"/>
    <row r="16611" s="12" customFormat="1" x14ac:dyDescent="0.25"/>
    <row r="16612" s="12" customFormat="1" x14ac:dyDescent="0.25"/>
    <row r="16613" s="12" customFormat="1" x14ac:dyDescent="0.25"/>
    <row r="16614" s="12" customFormat="1" x14ac:dyDescent="0.25"/>
    <row r="16615" s="12" customFormat="1" x14ac:dyDescent="0.25"/>
    <row r="16616" s="12" customFormat="1" x14ac:dyDescent="0.25"/>
    <row r="16617" s="12" customFormat="1" x14ac:dyDescent="0.25"/>
    <row r="16618" s="12" customFormat="1" x14ac:dyDescent="0.25"/>
    <row r="16619" s="12" customFormat="1" x14ac:dyDescent="0.25"/>
    <row r="16620" s="12" customFormat="1" x14ac:dyDescent="0.25"/>
    <row r="16621" s="12" customFormat="1" x14ac:dyDescent="0.25"/>
    <row r="16622" s="12" customFormat="1" x14ac:dyDescent="0.25"/>
    <row r="16623" s="12" customFormat="1" x14ac:dyDescent="0.25"/>
    <row r="16624" s="12" customFormat="1" x14ac:dyDescent="0.25"/>
    <row r="16625" s="12" customFormat="1" x14ac:dyDescent="0.25"/>
    <row r="16626" s="12" customFormat="1" x14ac:dyDescent="0.25"/>
    <row r="16627" s="12" customFormat="1" x14ac:dyDescent="0.25"/>
    <row r="16628" s="12" customFormat="1" x14ac:dyDescent="0.25"/>
    <row r="16629" s="12" customFormat="1" x14ac:dyDescent="0.25"/>
    <row r="16630" s="12" customFormat="1" x14ac:dyDescent="0.25"/>
    <row r="16631" s="12" customFormat="1" x14ac:dyDescent="0.25"/>
    <row r="16632" s="12" customFormat="1" x14ac:dyDescent="0.25"/>
    <row r="16633" s="12" customFormat="1" x14ac:dyDescent="0.25"/>
    <row r="16634" s="12" customFormat="1" x14ac:dyDescent="0.25"/>
    <row r="16635" s="12" customFormat="1" x14ac:dyDescent="0.25"/>
    <row r="16636" s="12" customFormat="1" x14ac:dyDescent="0.25"/>
    <row r="16637" s="12" customFormat="1" x14ac:dyDescent="0.25"/>
    <row r="16638" s="12" customFormat="1" x14ac:dyDescent="0.25"/>
    <row r="16639" s="12" customFormat="1" x14ac:dyDescent="0.25"/>
    <row r="16640" s="12" customFormat="1" x14ac:dyDescent="0.25"/>
    <row r="16641" s="12" customFormat="1" x14ac:dyDescent="0.25"/>
    <row r="16642" s="12" customFormat="1" x14ac:dyDescent="0.25"/>
    <row r="16643" s="12" customFormat="1" x14ac:dyDescent="0.25"/>
    <row r="16644" s="12" customFormat="1" x14ac:dyDescent="0.25"/>
    <row r="16645" s="12" customFormat="1" x14ac:dyDescent="0.25"/>
    <row r="16646" s="12" customFormat="1" x14ac:dyDescent="0.25"/>
    <row r="16647" s="12" customFormat="1" x14ac:dyDescent="0.25"/>
    <row r="16648" s="12" customFormat="1" x14ac:dyDescent="0.25"/>
    <row r="16649" s="12" customFormat="1" x14ac:dyDescent="0.25"/>
    <row r="16650" s="12" customFormat="1" x14ac:dyDescent="0.25"/>
    <row r="16651" s="12" customFormat="1" x14ac:dyDescent="0.25"/>
    <row r="16652" s="12" customFormat="1" x14ac:dyDescent="0.25"/>
    <row r="16653" s="12" customFormat="1" x14ac:dyDescent="0.25"/>
    <row r="16654" s="12" customFormat="1" x14ac:dyDescent="0.25"/>
    <row r="16655" s="12" customFormat="1" x14ac:dyDescent="0.25"/>
    <row r="16656" s="12" customFormat="1" x14ac:dyDescent="0.25"/>
    <row r="16657" s="12" customFormat="1" x14ac:dyDescent="0.25"/>
    <row r="16658" s="12" customFormat="1" x14ac:dyDescent="0.25"/>
    <row r="16659" s="12" customFormat="1" x14ac:dyDescent="0.25"/>
    <row r="16660" s="12" customFormat="1" x14ac:dyDescent="0.25"/>
    <row r="16661" s="12" customFormat="1" x14ac:dyDescent="0.25"/>
    <row r="16662" s="12" customFormat="1" x14ac:dyDescent="0.25"/>
    <row r="16663" s="12" customFormat="1" x14ac:dyDescent="0.25"/>
    <row r="16664" s="12" customFormat="1" x14ac:dyDescent="0.25"/>
    <row r="16665" s="12" customFormat="1" x14ac:dyDescent="0.25"/>
    <row r="16666" s="12" customFormat="1" x14ac:dyDescent="0.25"/>
    <row r="16667" s="12" customFormat="1" x14ac:dyDescent="0.25"/>
    <row r="16668" s="12" customFormat="1" x14ac:dyDescent="0.25"/>
    <row r="16669" s="12" customFormat="1" x14ac:dyDescent="0.25"/>
    <row r="16670" s="12" customFormat="1" x14ac:dyDescent="0.25"/>
    <row r="16671" s="12" customFormat="1" x14ac:dyDescent="0.25"/>
    <row r="16672" s="12" customFormat="1" x14ac:dyDescent="0.25"/>
    <row r="16673" s="12" customFormat="1" x14ac:dyDescent="0.25"/>
    <row r="16674" s="12" customFormat="1" x14ac:dyDescent="0.25"/>
    <row r="16675" s="12" customFormat="1" x14ac:dyDescent="0.25"/>
    <row r="16676" s="12" customFormat="1" x14ac:dyDescent="0.25"/>
    <row r="16677" s="12" customFormat="1" x14ac:dyDescent="0.25"/>
    <row r="16678" s="12" customFormat="1" x14ac:dyDescent="0.25"/>
    <row r="16679" s="12" customFormat="1" x14ac:dyDescent="0.25"/>
    <row r="16680" s="12" customFormat="1" x14ac:dyDescent="0.25"/>
    <row r="16681" s="12" customFormat="1" x14ac:dyDescent="0.25"/>
    <row r="16682" s="12" customFormat="1" x14ac:dyDescent="0.25"/>
    <row r="16683" s="12" customFormat="1" x14ac:dyDescent="0.25"/>
    <row r="16684" s="12" customFormat="1" x14ac:dyDescent="0.25"/>
    <row r="16685" s="12" customFormat="1" x14ac:dyDescent="0.25"/>
    <row r="16686" s="12" customFormat="1" x14ac:dyDescent="0.25"/>
    <row r="16687" s="12" customFormat="1" x14ac:dyDescent="0.25"/>
    <row r="16688" s="12" customFormat="1" x14ac:dyDescent="0.25"/>
    <row r="16689" s="12" customFormat="1" x14ac:dyDescent="0.25"/>
    <row r="16690" s="12" customFormat="1" x14ac:dyDescent="0.25"/>
    <row r="16691" s="12" customFormat="1" x14ac:dyDescent="0.25"/>
    <row r="16692" s="12" customFormat="1" x14ac:dyDescent="0.25"/>
    <row r="16693" s="12" customFormat="1" x14ac:dyDescent="0.25"/>
    <row r="16694" s="12" customFormat="1" x14ac:dyDescent="0.25"/>
    <row r="16695" s="12" customFormat="1" x14ac:dyDescent="0.25"/>
    <row r="16696" s="12" customFormat="1" x14ac:dyDescent="0.25"/>
    <row r="16697" s="12" customFormat="1" x14ac:dyDescent="0.25"/>
    <row r="16698" s="12" customFormat="1" x14ac:dyDescent="0.25"/>
    <row r="16699" s="12" customFormat="1" x14ac:dyDescent="0.25"/>
    <row r="16700" s="12" customFormat="1" x14ac:dyDescent="0.25"/>
    <row r="16701" s="12" customFormat="1" x14ac:dyDescent="0.25"/>
    <row r="16702" s="12" customFormat="1" x14ac:dyDescent="0.25"/>
    <row r="16703" s="12" customFormat="1" x14ac:dyDescent="0.25"/>
    <row r="16704" s="12" customFormat="1" x14ac:dyDescent="0.25"/>
    <row r="16705" s="12" customFormat="1" x14ac:dyDescent="0.25"/>
    <row r="16706" s="12" customFormat="1" x14ac:dyDescent="0.25"/>
    <row r="16707" s="12" customFormat="1" x14ac:dyDescent="0.25"/>
    <row r="16708" s="12" customFormat="1" x14ac:dyDescent="0.25"/>
    <row r="16709" s="12" customFormat="1" x14ac:dyDescent="0.25"/>
    <row r="16710" s="12" customFormat="1" x14ac:dyDescent="0.25"/>
    <row r="16711" s="12" customFormat="1" x14ac:dyDescent="0.25"/>
    <row r="16712" s="12" customFormat="1" x14ac:dyDescent="0.25"/>
    <row r="16713" s="12" customFormat="1" x14ac:dyDescent="0.25"/>
    <row r="16714" s="12" customFormat="1" x14ac:dyDescent="0.25"/>
    <row r="16715" s="12" customFormat="1" x14ac:dyDescent="0.25"/>
    <row r="16716" s="12" customFormat="1" x14ac:dyDescent="0.25"/>
    <row r="16717" s="12" customFormat="1" x14ac:dyDescent="0.25"/>
    <row r="16718" s="12" customFormat="1" x14ac:dyDescent="0.25"/>
    <row r="16719" s="12" customFormat="1" x14ac:dyDescent="0.25"/>
    <row r="16720" s="12" customFormat="1" x14ac:dyDescent="0.25"/>
    <row r="16721" s="12" customFormat="1" x14ac:dyDescent="0.25"/>
    <row r="16722" s="12" customFormat="1" x14ac:dyDescent="0.25"/>
    <row r="16723" s="12" customFormat="1" x14ac:dyDescent="0.25"/>
    <row r="16724" s="12" customFormat="1" x14ac:dyDescent="0.25"/>
    <row r="16725" s="12" customFormat="1" x14ac:dyDescent="0.25"/>
    <row r="16726" s="12" customFormat="1" x14ac:dyDescent="0.25"/>
    <row r="16727" s="12" customFormat="1" x14ac:dyDescent="0.25"/>
    <row r="16728" s="12" customFormat="1" x14ac:dyDescent="0.25"/>
    <row r="16729" s="12" customFormat="1" x14ac:dyDescent="0.25"/>
    <row r="16730" s="12" customFormat="1" x14ac:dyDescent="0.25"/>
    <row r="16731" s="12" customFormat="1" x14ac:dyDescent="0.25"/>
    <row r="16732" s="12" customFormat="1" x14ac:dyDescent="0.25"/>
    <row r="16733" s="12" customFormat="1" x14ac:dyDescent="0.25"/>
    <row r="16734" s="12" customFormat="1" x14ac:dyDescent="0.25"/>
    <row r="16735" s="12" customFormat="1" x14ac:dyDescent="0.25"/>
    <row r="16736" s="12" customFormat="1" x14ac:dyDescent="0.25"/>
    <row r="16737" s="12" customFormat="1" x14ac:dyDescent="0.25"/>
    <row r="16738" s="12" customFormat="1" x14ac:dyDescent="0.25"/>
    <row r="16739" s="12" customFormat="1" x14ac:dyDescent="0.25"/>
    <row r="16740" s="12" customFormat="1" x14ac:dyDescent="0.25"/>
    <row r="16741" s="12" customFormat="1" x14ac:dyDescent="0.25"/>
    <row r="16742" s="12" customFormat="1" x14ac:dyDescent="0.25"/>
    <row r="16743" s="12" customFormat="1" x14ac:dyDescent="0.25"/>
    <row r="16744" s="12" customFormat="1" x14ac:dyDescent="0.25"/>
    <row r="16745" s="12" customFormat="1" x14ac:dyDescent="0.25"/>
    <row r="16746" s="12" customFormat="1" x14ac:dyDescent="0.25"/>
    <row r="16747" s="12" customFormat="1" x14ac:dyDescent="0.25"/>
    <row r="16748" s="12" customFormat="1" x14ac:dyDescent="0.25"/>
    <row r="16749" s="12" customFormat="1" x14ac:dyDescent="0.25"/>
    <row r="16750" s="12" customFormat="1" x14ac:dyDescent="0.25"/>
    <row r="16751" s="12" customFormat="1" x14ac:dyDescent="0.25"/>
    <row r="16752" s="12" customFormat="1" x14ac:dyDescent="0.25"/>
    <row r="16753" s="12" customFormat="1" x14ac:dyDescent="0.25"/>
    <row r="16754" s="12" customFormat="1" x14ac:dyDescent="0.25"/>
    <row r="16755" s="12" customFormat="1" x14ac:dyDescent="0.25"/>
    <row r="16756" s="12" customFormat="1" x14ac:dyDescent="0.25"/>
    <row r="16757" s="12" customFormat="1" x14ac:dyDescent="0.25"/>
    <row r="16758" s="12" customFormat="1" x14ac:dyDescent="0.25"/>
    <row r="16759" s="12" customFormat="1" x14ac:dyDescent="0.25"/>
    <row r="16760" s="12" customFormat="1" x14ac:dyDescent="0.25"/>
    <row r="16761" s="12" customFormat="1" x14ac:dyDescent="0.25"/>
    <row r="16762" s="12" customFormat="1" x14ac:dyDescent="0.25"/>
    <row r="16763" s="12" customFormat="1" x14ac:dyDescent="0.25"/>
    <row r="16764" s="12" customFormat="1" x14ac:dyDescent="0.25"/>
    <row r="16765" s="12" customFormat="1" x14ac:dyDescent="0.25"/>
    <row r="16766" s="12" customFormat="1" x14ac:dyDescent="0.25"/>
    <row r="16767" s="12" customFormat="1" x14ac:dyDescent="0.25"/>
    <row r="16768" s="12" customFormat="1" x14ac:dyDescent="0.25"/>
    <row r="16769" s="12" customFormat="1" x14ac:dyDescent="0.25"/>
    <row r="16770" s="12" customFormat="1" x14ac:dyDescent="0.25"/>
    <row r="16771" s="12" customFormat="1" x14ac:dyDescent="0.25"/>
    <row r="16772" s="12" customFormat="1" x14ac:dyDescent="0.25"/>
    <row r="16773" s="12" customFormat="1" x14ac:dyDescent="0.25"/>
    <row r="16774" s="12" customFormat="1" x14ac:dyDescent="0.25"/>
    <row r="16775" s="12" customFormat="1" x14ac:dyDescent="0.25"/>
    <row r="16776" s="12" customFormat="1" x14ac:dyDescent="0.25"/>
    <row r="16777" s="12" customFormat="1" x14ac:dyDescent="0.25"/>
    <row r="16778" s="12" customFormat="1" x14ac:dyDescent="0.25"/>
    <row r="16779" s="12" customFormat="1" x14ac:dyDescent="0.25"/>
    <row r="16780" s="12" customFormat="1" x14ac:dyDescent="0.25"/>
    <row r="16781" s="12" customFormat="1" x14ac:dyDescent="0.25"/>
    <row r="16782" s="12" customFormat="1" x14ac:dyDescent="0.25"/>
    <row r="16783" s="12" customFormat="1" x14ac:dyDescent="0.25"/>
    <row r="16784" s="12" customFormat="1" x14ac:dyDescent="0.25"/>
    <row r="16785" s="12" customFormat="1" x14ac:dyDescent="0.25"/>
    <row r="16786" s="12" customFormat="1" x14ac:dyDescent="0.25"/>
    <row r="16787" s="12" customFormat="1" x14ac:dyDescent="0.25"/>
    <row r="16788" s="12" customFormat="1" x14ac:dyDescent="0.25"/>
    <row r="16789" s="12" customFormat="1" x14ac:dyDescent="0.25"/>
    <row r="16790" s="12" customFormat="1" x14ac:dyDescent="0.25"/>
    <row r="16791" s="12" customFormat="1" x14ac:dyDescent="0.25"/>
    <row r="16792" s="12" customFormat="1" x14ac:dyDescent="0.25"/>
    <row r="16793" s="12" customFormat="1" x14ac:dyDescent="0.25"/>
    <row r="16794" s="12" customFormat="1" x14ac:dyDescent="0.25"/>
    <row r="16795" s="12" customFormat="1" x14ac:dyDescent="0.25"/>
    <row r="16796" s="12" customFormat="1" x14ac:dyDescent="0.25"/>
    <row r="16797" s="12" customFormat="1" x14ac:dyDescent="0.25"/>
    <row r="16798" s="12" customFormat="1" x14ac:dyDescent="0.25"/>
    <row r="16799" s="12" customFormat="1" x14ac:dyDescent="0.25"/>
    <row r="16800" s="12" customFormat="1" x14ac:dyDescent="0.25"/>
    <row r="16801" s="12" customFormat="1" x14ac:dyDescent="0.25"/>
    <row r="16802" s="12" customFormat="1" x14ac:dyDescent="0.25"/>
    <row r="16803" s="12" customFormat="1" x14ac:dyDescent="0.25"/>
    <row r="16804" s="12" customFormat="1" x14ac:dyDescent="0.25"/>
    <row r="16805" s="12" customFormat="1" x14ac:dyDescent="0.25"/>
    <row r="16806" s="12" customFormat="1" x14ac:dyDescent="0.25"/>
    <row r="16807" s="12" customFormat="1" x14ac:dyDescent="0.25"/>
    <row r="16808" s="12" customFormat="1" x14ac:dyDescent="0.25"/>
    <row r="16809" s="12" customFormat="1" x14ac:dyDescent="0.25"/>
    <row r="16810" s="12" customFormat="1" x14ac:dyDescent="0.25"/>
    <row r="16811" s="12" customFormat="1" x14ac:dyDescent="0.25"/>
    <row r="16812" s="12" customFormat="1" x14ac:dyDescent="0.25"/>
    <row r="16813" s="12" customFormat="1" x14ac:dyDescent="0.25"/>
    <row r="16814" s="12" customFormat="1" x14ac:dyDescent="0.25"/>
    <row r="16815" s="12" customFormat="1" x14ac:dyDescent="0.25"/>
    <row r="16816" s="12" customFormat="1" x14ac:dyDescent="0.25"/>
    <row r="16817" s="12" customFormat="1" x14ac:dyDescent="0.25"/>
    <row r="16818" s="12" customFormat="1" x14ac:dyDescent="0.25"/>
    <row r="16819" s="12" customFormat="1" x14ac:dyDescent="0.25"/>
    <row r="16820" s="12" customFormat="1" x14ac:dyDescent="0.25"/>
    <row r="16821" s="12" customFormat="1" x14ac:dyDescent="0.25"/>
    <row r="16822" s="12" customFormat="1" x14ac:dyDescent="0.25"/>
    <row r="16823" s="12" customFormat="1" x14ac:dyDescent="0.25"/>
    <row r="16824" s="12" customFormat="1" x14ac:dyDescent="0.25"/>
    <row r="16825" s="12" customFormat="1" x14ac:dyDescent="0.25"/>
    <row r="16826" s="12" customFormat="1" x14ac:dyDescent="0.25"/>
    <row r="16827" s="12" customFormat="1" x14ac:dyDescent="0.25"/>
    <row r="16828" s="12" customFormat="1" x14ac:dyDescent="0.25"/>
    <row r="16829" s="12" customFormat="1" x14ac:dyDescent="0.25"/>
    <row r="16830" s="12" customFormat="1" x14ac:dyDescent="0.25"/>
    <row r="16831" s="12" customFormat="1" x14ac:dyDescent="0.25"/>
    <row r="16832" s="12" customFormat="1" x14ac:dyDescent="0.25"/>
    <row r="16833" s="12" customFormat="1" x14ac:dyDescent="0.25"/>
    <row r="16834" s="12" customFormat="1" x14ac:dyDescent="0.25"/>
    <row r="16835" s="12" customFormat="1" x14ac:dyDescent="0.25"/>
    <row r="16836" s="12" customFormat="1" x14ac:dyDescent="0.25"/>
    <row r="16837" s="12" customFormat="1" x14ac:dyDescent="0.25"/>
    <row r="16838" s="12" customFormat="1" x14ac:dyDescent="0.25"/>
    <row r="16839" s="12" customFormat="1" x14ac:dyDescent="0.25"/>
    <row r="16840" s="12" customFormat="1" x14ac:dyDescent="0.25"/>
    <row r="16841" s="12" customFormat="1" x14ac:dyDescent="0.25"/>
    <row r="16842" s="12" customFormat="1" x14ac:dyDescent="0.25"/>
    <row r="16843" s="12" customFormat="1" x14ac:dyDescent="0.25"/>
    <row r="16844" s="12" customFormat="1" x14ac:dyDescent="0.25"/>
    <row r="16845" s="12" customFormat="1" x14ac:dyDescent="0.25"/>
    <row r="16846" s="12" customFormat="1" x14ac:dyDescent="0.25"/>
    <row r="16847" s="12" customFormat="1" x14ac:dyDescent="0.25"/>
    <row r="16848" s="12" customFormat="1" x14ac:dyDescent="0.25"/>
    <row r="16849" s="12" customFormat="1" x14ac:dyDescent="0.25"/>
    <row r="16850" s="12" customFormat="1" x14ac:dyDescent="0.25"/>
    <row r="16851" s="12" customFormat="1" x14ac:dyDescent="0.25"/>
    <row r="16852" s="12" customFormat="1" x14ac:dyDescent="0.25"/>
    <row r="16853" s="12" customFormat="1" x14ac:dyDescent="0.25"/>
    <row r="16854" s="12" customFormat="1" x14ac:dyDescent="0.25"/>
    <row r="16855" s="12" customFormat="1" x14ac:dyDescent="0.25"/>
    <row r="16856" s="12" customFormat="1" x14ac:dyDescent="0.25"/>
    <row r="16857" s="12" customFormat="1" x14ac:dyDescent="0.25"/>
    <row r="16858" s="12" customFormat="1" x14ac:dyDescent="0.25"/>
    <row r="16859" s="12" customFormat="1" x14ac:dyDescent="0.25"/>
    <row r="16860" s="12" customFormat="1" x14ac:dyDescent="0.25"/>
    <row r="16861" s="12" customFormat="1" x14ac:dyDescent="0.25"/>
    <row r="16862" s="12" customFormat="1" x14ac:dyDescent="0.25"/>
    <row r="16863" s="12" customFormat="1" x14ac:dyDescent="0.25"/>
    <row r="16864" s="12" customFormat="1" x14ac:dyDescent="0.25"/>
    <row r="16865" s="12" customFormat="1" x14ac:dyDescent="0.25"/>
    <row r="16866" s="12" customFormat="1" x14ac:dyDescent="0.25"/>
    <row r="16867" s="12" customFormat="1" x14ac:dyDescent="0.25"/>
    <row r="16868" s="12" customFormat="1" x14ac:dyDescent="0.25"/>
    <row r="16869" s="12" customFormat="1" x14ac:dyDescent="0.25"/>
    <row r="16870" s="12" customFormat="1" x14ac:dyDescent="0.25"/>
    <row r="16871" s="12" customFormat="1" x14ac:dyDescent="0.25"/>
    <row r="16872" s="12" customFormat="1" x14ac:dyDescent="0.25"/>
    <row r="16873" s="12" customFormat="1" x14ac:dyDescent="0.25"/>
    <row r="16874" s="12" customFormat="1" x14ac:dyDescent="0.25"/>
    <row r="16875" s="12" customFormat="1" x14ac:dyDescent="0.25"/>
    <row r="16876" s="12" customFormat="1" x14ac:dyDescent="0.25"/>
    <row r="16877" s="12" customFormat="1" x14ac:dyDescent="0.25"/>
    <row r="16878" s="12" customFormat="1" x14ac:dyDescent="0.25"/>
    <row r="16879" s="12" customFormat="1" x14ac:dyDescent="0.25"/>
    <row r="16880" s="12" customFormat="1" x14ac:dyDescent="0.25"/>
    <row r="16881" s="12" customFormat="1" x14ac:dyDescent="0.25"/>
    <row r="16882" s="12" customFormat="1" x14ac:dyDescent="0.25"/>
    <row r="16883" s="12" customFormat="1" x14ac:dyDescent="0.25"/>
    <row r="16884" s="12" customFormat="1" x14ac:dyDescent="0.25"/>
    <row r="16885" s="12" customFormat="1" x14ac:dyDescent="0.25"/>
    <row r="16886" s="12" customFormat="1" x14ac:dyDescent="0.25"/>
    <row r="16887" s="12" customFormat="1" x14ac:dyDescent="0.25"/>
    <row r="16888" s="12" customFormat="1" x14ac:dyDescent="0.25"/>
    <row r="16889" s="12" customFormat="1" x14ac:dyDescent="0.25"/>
    <row r="16890" s="12" customFormat="1" x14ac:dyDescent="0.25"/>
    <row r="16891" s="12" customFormat="1" x14ac:dyDescent="0.25"/>
    <row r="16892" s="12" customFormat="1" x14ac:dyDescent="0.25"/>
    <row r="16893" s="12" customFormat="1" x14ac:dyDescent="0.25"/>
    <row r="16894" s="12" customFormat="1" x14ac:dyDescent="0.25"/>
    <row r="16895" s="12" customFormat="1" x14ac:dyDescent="0.25"/>
    <row r="16896" s="12" customFormat="1" x14ac:dyDescent="0.25"/>
    <row r="16897" s="12" customFormat="1" x14ac:dyDescent="0.25"/>
    <row r="16898" s="12" customFormat="1" x14ac:dyDescent="0.25"/>
    <row r="16899" s="12" customFormat="1" x14ac:dyDescent="0.25"/>
    <row r="16900" s="12" customFormat="1" x14ac:dyDescent="0.25"/>
    <row r="16901" s="12" customFormat="1" x14ac:dyDescent="0.25"/>
    <row r="16902" s="12" customFormat="1" x14ac:dyDescent="0.25"/>
    <row r="16903" s="12" customFormat="1" x14ac:dyDescent="0.25"/>
    <row r="16904" s="12" customFormat="1" x14ac:dyDescent="0.25"/>
    <row r="16905" s="12" customFormat="1" x14ac:dyDescent="0.25"/>
    <row r="16906" s="12" customFormat="1" x14ac:dyDescent="0.25"/>
    <row r="16907" s="12" customFormat="1" x14ac:dyDescent="0.25"/>
    <row r="16908" s="12" customFormat="1" x14ac:dyDescent="0.25"/>
    <row r="16909" s="12" customFormat="1" x14ac:dyDescent="0.25"/>
    <row r="16910" s="12" customFormat="1" x14ac:dyDescent="0.25"/>
    <row r="16911" s="12" customFormat="1" x14ac:dyDescent="0.25"/>
    <row r="16912" s="12" customFormat="1" x14ac:dyDescent="0.25"/>
    <row r="16913" s="12" customFormat="1" x14ac:dyDescent="0.25"/>
    <row r="16914" s="12" customFormat="1" x14ac:dyDescent="0.25"/>
    <row r="16915" s="12" customFormat="1" x14ac:dyDescent="0.25"/>
    <row r="16916" s="12" customFormat="1" x14ac:dyDescent="0.25"/>
    <row r="16917" s="12" customFormat="1" x14ac:dyDescent="0.25"/>
    <row r="16918" s="12" customFormat="1" x14ac:dyDescent="0.25"/>
    <row r="16919" s="12" customFormat="1" x14ac:dyDescent="0.25"/>
    <row r="16920" s="12" customFormat="1" x14ac:dyDescent="0.25"/>
    <row r="16921" s="12" customFormat="1" x14ac:dyDescent="0.25"/>
    <row r="16922" s="12" customFormat="1" x14ac:dyDescent="0.25"/>
    <row r="16923" s="12" customFormat="1" x14ac:dyDescent="0.25"/>
    <row r="16924" s="12" customFormat="1" x14ac:dyDescent="0.25"/>
    <row r="16925" s="12" customFormat="1" x14ac:dyDescent="0.25"/>
    <row r="16926" s="12" customFormat="1" x14ac:dyDescent="0.25"/>
    <row r="16927" s="12" customFormat="1" x14ac:dyDescent="0.25"/>
    <row r="16928" s="12" customFormat="1" x14ac:dyDescent="0.25"/>
    <row r="16929" s="12" customFormat="1" x14ac:dyDescent="0.25"/>
    <row r="16930" s="12" customFormat="1" x14ac:dyDescent="0.25"/>
    <row r="16931" s="12" customFormat="1" x14ac:dyDescent="0.25"/>
    <row r="16932" s="12" customFormat="1" x14ac:dyDescent="0.25"/>
    <row r="16933" s="12" customFormat="1" x14ac:dyDescent="0.25"/>
    <row r="16934" s="12" customFormat="1" x14ac:dyDescent="0.25"/>
    <row r="16935" s="12" customFormat="1" x14ac:dyDescent="0.25"/>
    <row r="16936" s="12" customFormat="1" x14ac:dyDescent="0.25"/>
    <row r="16937" s="12" customFormat="1" x14ac:dyDescent="0.25"/>
    <row r="16938" s="12" customFormat="1" x14ac:dyDescent="0.25"/>
    <row r="16939" s="12" customFormat="1" x14ac:dyDescent="0.25"/>
    <row r="16940" s="12" customFormat="1" x14ac:dyDescent="0.25"/>
    <row r="16941" s="12" customFormat="1" x14ac:dyDescent="0.25"/>
    <row r="16942" s="12" customFormat="1" x14ac:dyDescent="0.25"/>
    <row r="16943" s="12" customFormat="1" x14ac:dyDescent="0.25"/>
    <row r="16944" s="12" customFormat="1" x14ac:dyDescent="0.25"/>
    <row r="16945" s="12" customFormat="1" x14ac:dyDescent="0.25"/>
    <row r="16946" s="12" customFormat="1" x14ac:dyDescent="0.25"/>
    <row r="16947" s="12" customFormat="1" x14ac:dyDescent="0.25"/>
    <row r="16948" s="12" customFormat="1" x14ac:dyDescent="0.25"/>
    <row r="16949" s="12" customFormat="1" x14ac:dyDescent="0.25"/>
    <row r="16950" s="12" customFormat="1" x14ac:dyDescent="0.25"/>
    <row r="16951" s="12" customFormat="1" x14ac:dyDescent="0.25"/>
    <row r="16952" s="12" customFormat="1" x14ac:dyDescent="0.25"/>
    <row r="16953" s="12" customFormat="1" x14ac:dyDescent="0.25"/>
    <row r="16954" s="12" customFormat="1" x14ac:dyDescent="0.25"/>
    <row r="16955" s="12" customFormat="1" x14ac:dyDescent="0.25"/>
    <row r="16956" s="12" customFormat="1" x14ac:dyDescent="0.25"/>
    <row r="16957" s="12" customFormat="1" x14ac:dyDescent="0.25"/>
    <row r="16958" s="12" customFormat="1" x14ac:dyDescent="0.25"/>
    <row r="16959" s="12" customFormat="1" x14ac:dyDescent="0.25"/>
    <row r="16960" s="12" customFormat="1" x14ac:dyDescent="0.25"/>
    <row r="16961" s="12" customFormat="1" x14ac:dyDescent="0.25"/>
    <row r="16962" s="12" customFormat="1" x14ac:dyDescent="0.25"/>
    <row r="16963" s="12" customFormat="1" x14ac:dyDescent="0.25"/>
    <row r="16964" s="12" customFormat="1" x14ac:dyDescent="0.25"/>
    <row r="16965" s="12" customFormat="1" x14ac:dyDescent="0.25"/>
    <row r="16966" s="12" customFormat="1" x14ac:dyDescent="0.25"/>
    <row r="16967" s="12" customFormat="1" x14ac:dyDescent="0.25"/>
    <row r="16968" s="12" customFormat="1" x14ac:dyDescent="0.25"/>
    <row r="16969" s="12" customFormat="1" x14ac:dyDescent="0.25"/>
    <row r="16970" s="12" customFormat="1" x14ac:dyDescent="0.25"/>
    <row r="16971" s="12" customFormat="1" x14ac:dyDescent="0.25"/>
    <row r="16972" s="12" customFormat="1" x14ac:dyDescent="0.25"/>
    <row r="16973" s="12" customFormat="1" x14ac:dyDescent="0.25"/>
    <row r="16974" s="12" customFormat="1" x14ac:dyDescent="0.25"/>
    <row r="16975" s="12" customFormat="1" x14ac:dyDescent="0.25"/>
    <row r="16976" s="12" customFormat="1" x14ac:dyDescent="0.25"/>
    <row r="16977" s="12" customFormat="1" x14ac:dyDescent="0.25"/>
    <row r="16978" s="12" customFormat="1" x14ac:dyDescent="0.25"/>
    <row r="16979" s="12" customFormat="1" x14ac:dyDescent="0.25"/>
    <row r="16980" s="12" customFormat="1" x14ac:dyDescent="0.25"/>
    <row r="16981" s="12" customFormat="1" x14ac:dyDescent="0.25"/>
    <row r="16982" s="12" customFormat="1" x14ac:dyDescent="0.25"/>
    <row r="16983" s="12" customFormat="1" x14ac:dyDescent="0.25"/>
    <row r="16984" s="12" customFormat="1" x14ac:dyDescent="0.25"/>
    <row r="16985" s="12" customFormat="1" x14ac:dyDescent="0.25"/>
    <row r="16986" s="12" customFormat="1" x14ac:dyDescent="0.25"/>
    <row r="16987" s="12" customFormat="1" x14ac:dyDescent="0.25"/>
    <row r="16988" s="12" customFormat="1" x14ac:dyDescent="0.25"/>
    <row r="16989" s="12" customFormat="1" x14ac:dyDescent="0.25"/>
    <row r="16990" s="12" customFormat="1" x14ac:dyDescent="0.25"/>
    <row r="16991" s="12" customFormat="1" x14ac:dyDescent="0.25"/>
    <row r="16992" s="12" customFormat="1" x14ac:dyDescent="0.25"/>
    <row r="16993" s="12" customFormat="1" x14ac:dyDescent="0.25"/>
    <row r="16994" s="12" customFormat="1" x14ac:dyDescent="0.25"/>
    <row r="16995" s="12" customFormat="1" x14ac:dyDescent="0.25"/>
    <row r="16996" s="12" customFormat="1" x14ac:dyDescent="0.25"/>
    <row r="16997" s="12" customFormat="1" x14ac:dyDescent="0.25"/>
    <row r="16998" s="12" customFormat="1" x14ac:dyDescent="0.25"/>
    <row r="16999" s="12" customFormat="1" x14ac:dyDescent="0.25"/>
    <row r="17000" s="12" customFormat="1" x14ac:dyDescent="0.25"/>
    <row r="17001" s="12" customFormat="1" x14ac:dyDescent="0.25"/>
    <row r="17002" s="12" customFormat="1" x14ac:dyDescent="0.25"/>
    <row r="17003" s="12" customFormat="1" x14ac:dyDescent="0.25"/>
    <row r="17004" s="12" customFormat="1" x14ac:dyDescent="0.25"/>
    <row r="17005" s="12" customFormat="1" x14ac:dyDescent="0.25"/>
    <row r="17006" s="12" customFormat="1" x14ac:dyDescent="0.25"/>
    <row r="17007" s="12" customFormat="1" x14ac:dyDescent="0.25"/>
    <row r="17008" s="12" customFormat="1" x14ac:dyDescent="0.25"/>
    <row r="17009" s="12" customFormat="1" x14ac:dyDescent="0.25"/>
    <row r="17010" s="12" customFormat="1" x14ac:dyDescent="0.25"/>
    <row r="17011" s="12" customFormat="1" x14ac:dyDescent="0.25"/>
    <row r="17012" s="12" customFormat="1" x14ac:dyDescent="0.25"/>
    <row r="17013" s="12" customFormat="1" x14ac:dyDescent="0.25"/>
    <row r="17014" s="12" customFormat="1" x14ac:dyDescent="0.25"/>
    <row r="17015" s="12" customFormat="1" x14ac:dyDescent="0.25"/>
    <row r="17016" s="12" customFormat="1" x14ac:dyDescent="0.25"/>
    <row r="17017" s="12" customFormat="1" x14ac:dyDescent="0.25"/>
    <row r="17018" s="12" customFormat="1" x14ac:dyDescent="0.25"/>
    <row r="17019" s="12" customFormat="1" x14ac:dyDescent="0.25"/>
    <row r="17020" s="12" customFormat="1" x14ac:dyDescent="0.25"/>
    <row r="17021" s="12" customFormat="1" x14ac:dyDescent="0.25"/>
    <row r="17022" s="12" customFormat="1" x14ac:dyDescent="0.25"/>
    <row r="17023" s="12" customFormat="1" x14ac:dyDescent="0.25"/>
    <row r="17024" s="12" customFormat="1" x14ac:dyDescent="0.25"/>
    <row r="17025" s="12" customFormat="1" x14ac:dyDescent="0.25"/>
    <row r="17026" s="12" customFormat="1" x14ac:dyDescent="0.25"/>
    <row r="17027" s="12" customFormat="1" x14ac:dyDescent="0.25"/>
    <row r="17028" s="12" customFormat="1" x14ac:dyDescent="0.25"/>
    <row r="17029" s="12" customFormat="1" x14ac:dyDescent="0.25"/>
    <row r="17030" s="12" customFormat="1" x14ac:dyDescent="0.25"/>
    <row r="17031" s="12" customFormat="1" x14ac:dyDescent="0.25"/>
    <row r="17032" s="12" customFormat="1" x14ac:dyDescent="0.25"/>
    <row r="17033" s="12" customFormat="1" x14ac:dyDescent="0.25"/>
    <row r="17034" s="12" customFormat="1" x14ac:dyDescent="0.25"/>
    <row r="17035" s="12" customFormat="1" x14ac:dyDescent="0.25"/>
    <row r="17036" s="12" customFormat="1" x14ac:dyDescent="0.25"/>
    <row r="17037" s="12" customFormat="1" x14ac:dyDescent="0.25"/>
    <row r="17038" s="12" customFormat="1" x14ac:dyDescent="0.25"/>
    <row r="17039" s="12" customFormat="1" x14ac:dyDescent="0.25"/>
    <row r="17040" s="12" customFormat="1" x14ac:dyDescent="0.25"/>
    <row r="17041" s="12" customFormat="1" x14ac:dyDescent="0.25"/>
    <row r="17042" s="12" customFormat="1" x14ac:dyDescent="0.25"/>
    <row r="17043" s="12" customFormat="1" x14ac:dyDescent="0.25"/>
    <row r="17044" s="12" customFormat="1" x14ac:dyDescent="0.25"/>
    <row r="17045" s="12" customFormat="1" x14ac:dyDescent="0.25"/>
    <row r="17046" s="12" customFormat="1" x14ac:dyDescent="0.25"/>
    <row r="17047" s="12" customFormat="1" x14ac:dyDescent="0.25"/>
    <row r="17048" s="12" customFormat="1" x14ac:dyDescent="0.25"/>
    <row r="17049" s="12" customFormat="1" x14ac:dyDescent="0.25"/>
    <row r="17050" s="12" customFormat="1" x14ac:dyDescent="0.25"/>
    <row r="17051" s="12" customFormat="1" x14ac:dyDescent="0.25"/>
    <row r="17052" s="12" customFormat="1" x14ac:dyDescent="0.25"/>
    <row r="17053" s="12" customFormat="1" x14ac:dyDescent="0.25"/>
    <row r="17054" s="12" customFormat="1" x14ac:dyDescent="0.25"/>
    <row r="17055" s="12" customFormat="1" x14ac:dyDescent="0.25"/>
    <row r="17056" s="12" customFormat="1" x14ac:dyDescent="0.25"/>
    <row r="17057" s="12" customFormat="1" x14ac:dyDescent="0.25"/>
    <row r="17058" s="12" customFormat="1" x14ac:dyDescent="0.25"/>
    <row r="17059" s="12" customFormat="1" x14ac:dyDescent="0.25"/>
    <row r="17060" s="12" customFormat="1" x14ac:dyDescent="0.25"/>
    <row r="17061" s="12" customFormat="1" x14ac:dyDescent="0.25"/>
    <row r="17062" s="12" customFormat="1" x14ac:dyDescent="0.25"/>
    <row r="17063" s="12" customFormat="1" x14ac:dyDescent="0.25"/>
    <row r="17064" s="12" customFormat="1" x14ac:dyDescent="0.25"/>
    <row r="17065" s="12" customFormat="1" x14ac:dyDescent="0.25"/>
    <row r="17066" s="12" customFormat="1" x14ac:dyDescent="0.25"/>
    <row r="17067" s="12" customFormat="1" x14ac:dyDescent="0.25"/>
    <row r="17068" s="12" customFormat="1" x14ac:dyDescent="0.25"/>
    <row r="17069" s="12" customFormat="1" x14ac:dyDescent="0.25"/>
    <row r="17070" s="12" customFormat="1" x14ac:dyDescent="0.25"/>
    <row r="17071" s="12" customFormat="1" x14ac:dyDescent="0.25"/>
    <row r="17072" s="12" customFormat="1" x14ac:dyDescent="0.25"/>
    <row r="17073" s="12" customFormat="1" x14ac:dyDescent="0.25"/>
    <row r="17074" s="12" customFormat="1" x14ac:dyDescent="0.25"/>
    <row r="17075" s="12" customFormat="1" x14ac:dyDescent="0.25"/>
    <row r="17076" s="12" customFormat="1" x14ac:dyDescent="0.25"/>
    <row r="17077" s="12" customFormat="1" x14ac:dyDescent="0.25"/>
    <row r="17078" s="12" customFormat="1" x14ac:dyDescent="0.25"/>
    <row r="17079" s="12" customFormat="1" x14ac:dyDescent="0.25"/>
    <row r="17080" s="12" customFormat="1" x14ac:dyDescent="0.25"/>
    <row r="17081" s="12" customFormat="1" x14ac:dyDescent="0.25"/>
    <row r="17082" s="12" customFormat="1" x14ac:dyDescent="0.25"/>
    <row r="17083" s="12" customFormat="1" x14ac:dyDescent="0.25"/>
    <row r="17084" s="12" customFormat="1" x14ac:dyDescent="0.25"/>
    <row r="17085" s="12" customFormat="1" x14ac:dyDescent="0.25"/>
    <row r="17086" s="12" customFormat="1" x14ac:dyDescent="0.25"/>
    <row r="17087" s="12" customFormat="1" x14ac:dyDescent="0.25"/>
    <row r="17088" s="12" customFormat="1" x14ac:dyDescent="0.25"/>
    <row r="17089" s="12" customFormat="1" x14ac:dyDescent="0.25"/>
    <row r="17090" s="12" customFormat="1" x14ac:dyDescent="0.25"/>
    <row r="17091" s="12" customFormat="1" x14ac:dyDescent="0.25"/>
    <row r="17092" s="12" customFormat="1" x14ac:dyDescent="0.25"/>
    <row r="17093" s="12" customFormat="1" x14ac:dyDescent="0.25"/>
    <row r="17094" s="12" customFormat="1" x14ac:dyDescent="0.25"/>
    <row r="17095" s="12" customFormat="1" x14ac:dyDescent="0.25"/>
    <row r="17096" s="12" customFormat="1" x14ac:dyDescent="0.25"/>
    <row r="17097" s="12" customFormat="1" x14ac:dyDescent="0.25"/>
    <row r="17098" s="12" customFormat="1" x14ac:dyDescent="0.25"/>
    <row r="17099" s="12" customFormat="1" x14ac:dyDescent="0.25"/>
    <row r="17100" s="12" customFormat="1" x14ac:dyDescent="0.25"/>
    <row r="17101" s="12" customFormat="1" x14ac:dyDescent="0.25"/>
    <row r="17102" s="12" customFormat="1" x14ac:dyDescent="0.25"/>
    <row r="17103" s="12" customFormat="1" x14ac:dyDescent="0.25"/>
    <row r="17104" s="12" customFormat="1" x14ac:dyDescent="0.25"/>
    <row r="17105" s="12" customFormat="1" x14ac:dyDescent="0.25"/>
    <row r="17106" s="12" customFormat="1" x14ac:dyDescent="0.25"/>
    <row r="17107" s="12" customFormat="1" x14ac:dyDescent="0.25"/>
    <row r="17108" s="12" customFormat="1" x14ac:dyDescent="0.25"/>
    <row r="17109" s="12" customFormat="1" x14ac:dyDescent="0.25"/>
    <row r="17110" s="12" customFormat="1" x14ac:dyDescent="0.25"/>
    <row r="17111" s="12" customFormat="1" x14ac:dyDescent="0.25"/>
    <row r="17112" s="12" customFormat="1" x14ac:dyDescent="0.25"/>
    <row r="17113" s="12" customFormat="1" x14ac:dyDescent="0.25"/>
    <row r="17114" s="12" customFormat="1" x14ac:dyDescent="0.25"/>
    <row r="17115" s="12" customFormat="1" x14ac:dyDescent="0.25"/>
    <row r="17116" s="12" customFormat="1" x14ac:dyDescent="0.25"/>
    <row r="17117" s="12" customFormat="1" x14ac:dyDescent="0.25"/>
    <row r="17118" s="12" customFormat="1" x14ac:dyDescent="0.25"/>
    <row r="17119" s="12" customFormat="1" x14ac:dyDescent="0.25"/>
    <row r="17120" s="12" customFormat="1" x14ac:dyDescent="0.25"/>
    <row r="17121" s="12" customFormat="1" x14ac:dyDescent="0.25"/>
    <row r="17122" s="12" customFormat="1" x14ac:dyDescent="0.25"/>
    <row r="17123" s="12" customFormat="1" x14ac:dyDescent="0.25"/>
    <row r="17124" s="12" customFormat="1" x14ac:dyDescent="0.25"/>
    <row r="17125" s="12" customFormat="1" x14ac:dyDescent="0.25"/>
    <row r="17126" s="12" customFormat="1" x14ac:dyDescent="0.25"/>
    <row r="17127" s="12" customFormat="1" x14ac:dyDescent="0.25"/>
    <row r="17128" s="12" customFormat="1" x14ac:dyDescent="0.25"/>
    <row r="17129" s="12" customFormat="1" x14ac:dyDescent="0.25"/>
    <row r="17130" s="12" customFormat="1" x14ac:dyDescent="0.25"/>
    <row r="17131" s="12" customFormat="1" x14ac:dyDescent="0.25"/>
    <row r="17132" s="12" customFormat="1" x14ac:dyDescent="0.25"/>
    <row r="17133" s="12" customFormat="1" x14ac:dyDescent="0.25"/>
    <row r="17134" s="12" customFormat="1" x14ac:dyDescent="0.25"/>
    <row r="17135" s="12" customFormat="1" x14ac:dyDescent="0.25"/>
    <row r="17136" s="12" customFormat="1" x14ac:dyDescent="0.25"/>
    <row r="17137" s="12" customFormat="1" x14ac:dyDescent="0.25"/>
    <row r="17138" s="12" customFormat="1" x14ac:dyDescent="0.25"/>
    <row r="17139" s="12" customFormat="1" x14ac:dyDescent="0.25"/>
    <row r="17140" s="12" customFormat="1" x14ac:dyDescent="0.25"/>
    <row r="17141" s="12" customFormat="1" x14ac:dyDescent="0.25"/>
    <row r="17142" s="12" customFormat="1" x14ac:dyDescent="0.25"/>
    <row r="17143" s="12" customFormat="1" x14ac:dyDescent="0.25"/>
    <row r="17144" s="12" customFormat="1" x14ac:dyDescent="0.25"/>
    <row r="17145" s="12" customFormat="1" x14ac:dyDescent="0.25"/>
    <row r="17146" s="12" customFormat="1" x14ac:dyDescent="0.25"/>
    <row r="17147" s="12" customFormat="1" x14ac:dyDescent="0.25"/>
    <row r="17148" s="12" customFormat="1" x14ac:dyDescent="0.25"/>
    <row r="17149" s="12" customFormat="1" x14ac:dyDescent="0.25"/>
    <row r="17150" s="12" customFormat="1" x14ac:dyDescent="0.25"/>
    <row r="17151" s="12" customFormat="1" x14ac:dyDescent="0.25"/>
    <row r="17152" s="12" customFormat="1" x14ac:dyDescent="0.25"/>
    <row r="17153" s="12" customFormat="1" x14ac:dyDescent="0.25"/>
    <row r="17154" s="12" customFormat="1" x14ac:dyDescent="0.25"/>
    <row r="17155" s="12" customFormat="1" x14ac:dyDescent="0.25"/>
    <row r="17156" s="12" customFormat="1" x14ac:dyDescent="0.25"/>
    <row r="17157" s="12" customFormat="1" x14ac:dyDescent="0.25"/>
    <row r="17158" s="12" customFormat="1" x14ac:dyDescent="0.25"/>
    <row r="17159" s="12" customFormat="1" x14ac:dyDescent="0.25"/>
    <row r="17160" s="12" customFormat="1" x14ac:dyDescent="0.25"/>
    <row r="17161" s="12" customFormat="1" x14ac:dyDescent="0.25"/>
    <row r="17162" s="12" customFormat="1" x14ac:dyDescent="0.25"/>
    <row r="17163" s="12" customFormat="1" x14ac:dyDescent="0.25"/>
    <row r="17164" s="12" customFormat="1" x14ac:dyDescent="0.25"/>
    <row r="17165" s="12" customFormat="1" x14ac:dyDescent="0.25"/>
    <row r="17166" s="12" customFormat="1" x14ac:dyDescent="0.25"/>
    <row r="17167" s="12" customFormat="1" x14ac:dyDescent="0.25"/>
    <row r="17168" s="12" customFormat="1" x14ac:dyDescent="0.25"/>
    <row r="17169" s="12" customFormat="1" x14ac:dyDescent="0.25"/>
    <row r="17170" s="12" customFormat="1" x14ac:dyDescent="0.25"/>
    <row r="17171" s="12" customFormat="1" x14ac:dyDescent="0.25"/>
    <row r="17172" s="12" customFormat="1" x14ac:dyDescent="0.25"/>
    <row r="17173" s="12" customFormat="1" x14ac:dyDescent="0.25"/>
    <row r="17174" s="12" customFormat="1" x14ac:dyDescent="0.25"/>
    <row r="17175" s="12" customFormat="1" x14ac:dyDescent="0.25"/>
    <row r="17176" s="12" customFormat="1" x14ac:dyDescent="0.25"/>
    <row r="17177" s="12" customFormat="1" x14ac:dyDescent="0.25"/>
    <row r="17178" s="12" customFormat="1" x14ac:dyDescent="0.25"/>
    <row r="17179" s="12" customFormat="1" x14ac:dyDescent="0.25"/>
    <row r="17180" s="12" customFormat="1" x14ac:dyDescent="0.25"/>
    <row r="17181" s="12" customFormat="1" x14ac:dyDescent="0.25"/>
    <row r="17182" s="12" customFormat="1" x14ac:dyDescent="0.25"/>
    <row r="17183" s="12" customFormat="1" x14ac:dyDescent="0.25"/>
    <row r="17184" s="12" customFormat="1" x14ac:dyDescent="0.25"/>
    <row r="17185" s="12" customFormat="1" x14ac:dyDescent="0.25"/>
    <row r="17186" s="12" customFormat="1" x14ac:dyDescent="0.25"/>
    <row r="17187" s="12" customFormat="1" x14ac:dyDescent="0.25"/>
    <row r="17188" s="12" customFormat="1" x14ac:dyDescent="0.25"/>
    <row r="17189" s="12" customFormat="1" x14ac:dyDescent="0.25"/>
    <row r="17190" s="12" customFormat="1" x14ac:dyDescent="0.25"/>
    <row r="17191" s="12" customFormat="1" x14ac:dyDescent="0.25"/>
    <row r="17192" s="12" customFormat="1" x14ac:dyDescent="0.25"/>
    <row r="17193" s="12" customFormat="1" x14ac:dyDescent="0.25"/>
    <row r="17194" s="12" customFormat="1" x14ac:dyDescent="0.25"/>
    <row r="17195" s="12" customFormat="1" x14ac:dyDescent="0.25"/>
    <row r="17196" s="12" customFormat="1" x14ac:dyDescent="0.25"/>
    <row r="17197" s="12" customFormat="1" x14ac:dyDescent="0.25"/>
    <row r="17198" s="12" customFormat="1" x14ac:dyDescent="0.25"/>
    <row r="17199" s="12" customFormat="1" x14ac:dyDescent="0.25"/>
    <row r="17200" s="12" customFormat="1" x14ac:dyDescent="0.25"/>
    <row r="17201" s="12" customFormat="1" x14ac:dyDescent="0.25"/>
    <row r="17202" s="12" customFormat="1" x14ac:dyDescent="0.25"/>
    <row r="17203" s="12" customFormat="1" x14ac:dyDescent="0.25"/>
    <row r="17204" s="12" customFormat="1" x14ac:dyDescent="0.25"/>
    <row r="17205" s="12" customFormat="1" x14ac:dyDescent="0.25"/>
    <row r="17206" s="12" customFormat="1" x14ac:dyDescent="0.25"/>
    <row r="17207" s="12" customFormat="1" x14ac:dyDescent="0.25"/>
    <row r="17208" s="12" customFormat="1" x14ac:dyDescent="0.25"/>
    <row r="17209" s="12" customFormat="1" x14ac:dyDescent="0.25"/>
    <row r="17210" s="12" customFormat="1" x14ac:dyDescent="0.25"/>
    <row r="17211" s="12" customFormat="1" x14ac:dyDescent="0.25"/>
    <row r="17212" s="12" customFormat="1" x14ac:dyDescent="0.25"/>
    <row r="17213" s="12" customFormat="1" x14ac:dyDescent="0.25"/>
    <row r="17214" s="12" customFormat="1" x14ac:dyDescent="0.25"/>
    <row r="17215" s="12" customFormat="1" x14ac:dyDescent="0.25"/>
    <row r="17216" s="12" customFormat="1" x14ac:dyDescent="0.25"/>
    <row r="17217" s="12" customFormat="1" x14ac:dyDescent="0.25"/>
    <row r="17218" s="12" customFormat="1" x14ac:dyDescent="0.25"/>
    <row r="17219" s="12" customFormat="1" x14ac:dyDescent="0.25"/>
    <row r="17220" s="12" customFormat="1" x14ac:dyDescent="0.25"/>
    <row r="17221" s="12" customFormat="1" x14ac:dyDescent="0.25"/>
    <row r="17222" s="12" customFormat="1" x14ac:dyDescent="0.25"/>
    <row r="17223" s="12" customFormat="1" x14ac:dyDescent="0.25"/>
    <row r="17224" s="12" customFormat="1" x14ac:dyDescent="0.25"/>
    <row r="17225" s="12" customFormat="1" x14ac:dyDescent="0.25"/>
    <row r="17226" s="12" customFormat="1" x14ac:dyDescent="0.25"/>
    <row r="17227" s="12" customFormat="1" x14ac:dyDescent="0.25"/>
    <row r="17228" s="12" customFormat="1" x14ac:dyDescent="0.25"/>
    <row r="17229" s="12" customFormat="1" x14ac:dyDescent="0.25"/>
    <row r="17230" s="12" customFormat="1" x14ac:dyDescent="0.25"/>
    <row r="17231" s="12" customFormat="1" x14ac:dyDescent="0.25"/>
    <row r="17232" s="12" customFormat="1" x14ac:dyDescent="0.25"/>
    <row r="17233" s="12" customFormat="1" x14ac:dyDescent="0.25"/>
    <row r="17234" s="12" customFormat="1" x14ac:dyDescent="0.25"/>
    <row r="17235" s="12" customFormat="1" x14ac:dyDescent="0.25"/>
    <row r="17236" s="12" customFormat="1" x14ac:dyDescent="0.25"/>
    <row r="17237" s="12" customFormat="1" x14ac:dyDescent="0.25"/>
    <row r="17238" s="12" customFormat="1" x14ac:dyDescent="0.25"/>
    <row r="17239" s="12" customFormat="1" x14ac:dyDescent="0.25"/>
    <row r="17240" s="12" customFormat="1" x14ac:dyDescent="0.25"/>
    <row r="17241" s="12" customFormat="1" x14ac:dyDescent="0.25"/>
    <row r="17242" s="12" customFormat="1" x14ac:dyDescent="0.25"/>
    <row r="17243" s="12" customFormat="1" x14ac:dyDescent="0.25"/>
    <row r="17244" s="12" customFormat="1" x14ac:dyDescent="0.25"/>
    <row r="17245" s="12" customFormat="1" x14ac:dyDescent="0.25"/>
    <row r="17246" s="12" customFormat="1" x14ac:dyDescent="0.25"/>
    <row r="17247" s="12" customFormat="1" x14ac:dyDescent="0.25"/>
    <row r="17248" s="12" customFormat="1" x14ac:dyDescent="0.25"/>
    <row r="17249" s="12" customFormat="1" x14ac:dyDescent="0.25"/>
    <row r="17250" s="12" customFormat="1" x14ac:dyDescent="0.25"/>
    <row r="17251" s="12" customFormat="1" x14ac:dyDescent="0.25"/>
    <row r="17252" s="12" customFormat="1" x14ac:dyDescent="0.25"/>
    <row r="17253" s="12" customFormat="1" x14ac:dyDescent="0.25"/>
    <row r="17254" s="12" customFormat="1" x14ac:dyDescent="0.25"/>
    <row r="17255" s="12" customFormat="1" x14ac:dyDescent="0.25"/>
    <row r="17256" s="12" customFormat="1" x14ac:dyDescent="0.25"/>
    <row r="17257" s="12" customFormat="1" x14ac:dyDescent="0.25"/>
    <row r="17258" s="12" customFormat="1" x14ac:dyDescent="0.25"/>
    <row r="17259" s="12" customFormat="1" x14ac:dyDescent="0.25"/>
    <row r="17260" s="12" customFormat="1" x14ac:dyDescent="0.25"/>
    <row r="17261" s="12" customFormat="1" x14ac:dyDescent="0.25"/>
    <row r="17262" s="12" customFormat="1" x14ac:dyDescent="0.25"/>
    <row r="17263" s="12" customFormat="1" x14ac:dyDescent="0.25"/>
    <row r="17264" s="12" customFormat="1" x14ac:dyDescent="0.25"/>
    <row r="17265" s="12" customFormat="1" x14ac:dyDescent="0.25"/>
    <row r="17266" s="12" customFormat="1" x14ac:dyDescent="0.25"/>
    <row r="17267" s="12" customFormat="1" x14ac:dyDescent="0.25"/>
    <row r="17268" s="12" customFormat="1" x14ac:dyDescent="0.25"/>
    <row r="17269" s="12" customFormat="1" x14ac:dyDescent="0.25"/>
    <row r="17270" s="12" customFormat="1" x14ac:dyDescent="0.25"/>
    <row r="17271" s="12" customFormat="1" x14ac:dyDescent="0.25"/>
    <row r="17272" s="12" customFormat="1" x14ac:dyDescent="0.25"/>
    <row r="17273" s="12" customFormat="1" x14ac:dyDescent="0.25"/>
    <row r="17274" s="12" customFormat="1" x14ac:dyDescent="0.25"/>
    <row r="17275" s="12" customFormat="1" x14ac:dyDescent="0.25"/>
    <row r="17276" s="12" customFormat="1" x14ac:dyDescent="0.25"/>
    <row r="17277" s="12" customFormat="1" x14ac:dyDescent="0.25"/>
    <row r="17278" s="12" customFormat="1" x14ac:dyDescent="0.25"/>
    <row r="17279" s="12" customFormat="1" x14ac:dyDescent="0.25"/>
    <row r="17280" s="12" customFormat="1" x14ac:dyDescent="0.25"/>
    <row r="17281" s="12" customFormat="1" x14ac:dyDescent="0.25"/>
    <row r="17282" s="12" customFormat="1" x14ac:dyDescent="0.25"/>
    <row r="17283" s="12" customFormat="1" x14ac:dyDescent="0.25"/>
    <row r="17284" s="12" customFormat="1" x14ac:dyDescent="0.25"/>
    <row r="17285" s="12" customFormat="1" x14ac:dyDescent="0.25"/>
    <row r="17286" s="12" customFormat="1" x14ac:dyDescent="0.25"/>
    <row r="17287" s="12" customFormat="1" x14ac:dyDescent="0.25"/>
    <row r="17288" s="12" customFormat="1" x14ac:dyDescent="0.25"/>
    <row r="17289" s="12" customFormat="1" x14ac:dyDescent="0.25"/>
    <row r="17290" s="12" customFormat="1" x14ac:dyDescent="0.25"/>
    <row r="17291" s="12" customFormat="1" x14ac:dyDescent="0.25"/>
    <row r="17292" s="12" customFormat="1" x14ac:dyDescent="0.25"/>
    <row r="17293" s="12" customFormat="1" x14ac:dyDescent="0.25"/>
    <row r="17294" s="12" customFormat="1" x14ac:dyDescent="0.25"/>
    <row r="17295" s="12" customFormat="1" x14ac:dyDescent="0.25"/>
    <row r="17296" s="12" customFormat="1" x14ac:dyDescent="0.25"/>
    <row r="17297" s="12" customFormat="1" x14ac:dyDescent="0.25"/>
    <row r="17298" s="12" customFormat="1" x14ac:dyDescent="0.25"/>
    <row r="17299" s="12" customFormat="1" x14ac:dyDescent="0.25"/>
    <row r="17300" s="12" customFormat="1" x14ac:dyDescent="0.25"/>
    <row r="17301" s="12" customFormat="1" x14ac:dyDescent="0.25"/>
    <row r="17302" s="12" customFormat="1" x14ac:dyDescent="0.25"/>
    <row r="17303" s="12" customFormat="1" x14ac:dyDescent="0.25"/>
    <row r="17304" s="12" customFormat="1" x14ac:dyDescent="0.25"/>
    <row r="17305" s="12" customFormat="1" x14ac:dyDescent="0.25"/>
    <row r="17306" s="12" customFormat="1" x14ac:dyDescent="0.25"/>
    <row r="17307" s="12" customFormat="1" x14ac:dyDescent="0.25"/>
    <row r="17308" s="12" customFormat="1" x14ac:dyDescent="0.25"/>
    <row r="17309" s="12" customFormat="1" x14ac:dyDescent="0.25"/>
    <row r="17310" s="12" customFormat="1" x14ac:dyDescent="0.25"/>
    <row r="17311" s="12" customFormat="1" x14ac:dyDescent="0.25"/>
    <row r="17312" s="12" customFormat="1" x14ac:dyDescent="0.25"/>
    <row r="17313" s="12" customFormat="1" x14ac:dyDescent="0.25"/>
    <row r="17314" s="12" customFormat="1" x14ac:dyDescent="0.25"/>
    <row r="17315" s="12" customFormat="1" x14ac:dyDescent="0.25"/>
    <row r="17316" s="12" customFormat="1" x14ac:dyDescent="0.25"/>
    <row r="17317" s="12" customFormat="1" x14ac:dyDescent="0.25"/>
    <row r="17318" s="12" customFormat="1" x14ac:dyDescent="0.25"/>
    <row r="17319" s="12" customFormat="1" x14ac:dyDescent="0.25"/>
    <row r="17320" s="12" customFormat="1" x14ac:dyDescent="0.25"/>
    <row r="17321" s="12" customFormat="1" x14ac:dyDescent="0.25"/>
    <row r="17322" s="12" customFormat="1" x14ac:dyDescent="0.25"/>
    <row r="17323" s="12" customFormat="1" x14ac:dyDescent="0.25"/>
    <row r="17324" s="12" customFormat="1" x14ac:dyDescent="0.25"/>
    <row r="17325" s="12" customFormat="1" x14ac:dyDescent="0.25"/>
    <row r="17326" s="12" customFormat="1" x14ac:dyDescent="0.25"/>
    <row r="17327" s="12" customFormat="1" x14ac:dyDescent="0.25"/>
    <row r="17328" s="12" customFormat="1" x14ac:dyDescent="0.25"/>
    <row r="17329" s="12" customFormat="1" x14ac:dyDescent="0.25"/>
    <row r="17330" s="12" customFormat="1" x14ac:dyDescent="0.25"/>
    <row r="17331" s="12" customFormat="1" x14ac:dyDescent="0.25"/>
    <row r="17332" s="12" customFormat="1" x14ac:dyDescent="0.25"/>
    <row r="17333" s="12" customFormat="1" x14ac:dyDescent="0.25"/>
    <row r="17334" s="12" customFormat="1" x14ac:dyDescent="0.25"/>
    <row r="17335" s="12" customFormat="1" x14ac:dyDescent="0.25"/>
    <row r="17336" s="12" customFormat="1" x14ac:dyDescent="0.25"/>
    <row r="17337" s="12" customFormat="1" x14ac:dyDescent="0.25"/>
    <row r="17338" s="12" customFormat="1" x14ac:dyDescent="0.25"/>
    <row r="17339" s="12" customFormat="1" x14ac:dyDescent="0.25"/>
    <row r="17340" s="12" customFormat="1" x14ac:dyDescent="0.25"/>
    <row r="17341" s="12" customFormat="1" x14ac:dyDescent="0.25"/>
    <row r="17342" s="12" customFormat="1" x14ac:dyDescent="0.25"/>
    <row r="17343" s="12" customFormat="1" x14ac:dyDescent="0.25"/>
    <row r="17344" s="12" customFormat="1" x14ac:dyDescent="0.25"/>
    <row r="17345" s="12" customFormat="1" x14ac:dyDescent="0.25"/>
    <row r="17346" s="12" customFormat="1" x14ac:dyDescent="0.25"/>
    <row r="17347" s="12" customFormat="1" x14ac:dyDescent="0.25"/>
    <row r="17348" s="12" customFormat="1" x14ac:dyDescent="0.25"/>
    <row r="17349" s="12" customFormat="1" x14ac:dyDescent="0.25"/>
    <row r="17350" s="12" customFormat="1" x14ac:dyDescent="0.25"/>
    <row r="17351" s="12" customFormat="1" x14ac:dyDescent="0.25"/>
    <row r="17352" s="12" customFormat="1" x14ac:dyDescent="0.25"/>
    <row r="17353" s="12" customFormat="1" x14ac:dyDescent="0.25"/>
    <row r="17354" s="12" customFormat="1" x14ac:dyDescent="0.25"/>
    <row r="17355" s="12" customFormat="1" x14ac:dyDescent="0.25"/>
    <row r="17356" s="12" customFormat="1" x14ac:dyDescent="0.25"/>
    <row r="17357" s="12" customFormat="1" x14ac:dyDescent="0.25"/>
    <row r="17358" s="12" customFormat="1" x14ac:dyDescent="0.25"/>
    <row r="17359" s="12" customFormat="1" x14ac:dyDescent="0.25"/>
    <row r="17360" s="12" customFormat="1" x14ac:dyDescent="0.25"/>
    <row r="17361" s="12" customFormat="1" x14ac:dyDescent="0.25"/>
    <row r="17362" s="12" customFormat="1" x14ac:dyDescent="0.25"/>
    <row r="17363" s="12" customFormat="1" x14ac:dyDescent="0.25"/>
    <row r="17364" s="12" customFormat="1" x14ac:dyDescent="0.25"/>
    <row r="17365" s="12" customFormat="1" x14ac:dyDescent="0.25"/>
    <row r="17366" s="12" customFormat="1" x14ac:dyDescent="0.25"/>
    <row r="17367" s="12" customFormat="1" x14ac:dyDescent="0.25"/>
    <row r="17368" s="12" customFormat="1" x14ac:dyDescent="0.25"/>
    <row r="17369" s="12" customFormat="1" x14ac:dyDescent="0.25"/>
    <row r="17370" s="12" customFormat="1" x14ac:dyDescent="0.25"/>
    <row r="17371" s="12" customFormat="1" x14ac:dyDescent="0.25"/>
    <row r="17372" s="12" customFormat="1" x14ac:dyDescent="0.25"/>
    <row r="17373" s="12" customFormat="1" x14ac:dyDescent="0.25"/>
    <row r="17374" s="12" customFormat="1" x14ac:dyDescent="0.25"/>
    <row r="17375" s="12" customFormat="1" x14ac:dyDescent="0.25"/>
    <row r="17376" s="12" customFormat="1" x14ac:dyDescent="0.25"/>
    <row r="17377" s="12" customFormat="1" x14ac:dyDescent="0.25"/>
    <row r="17378" s="12" customFormat="1" x14ac:dyDescent="0.25"/>
    <row r="17379" s="12" customFormat="1" x14ac:dyDescent="0.25"/>
    <row r="17380" s="12" customFormat="1" x14ac:dyDescent="0.25"/>
    <row r="17381" s="12" customFormat="1" x14ac:dyDescent="0.25"/>
    <row r="17382" s="12" customFormat="1" x14ac:dyDescent="0.25"/>
    <row r="17383" s="12" customFormat="1" x14ac:dyDescent="0.25"/>
    <row r="17384" s="12" customFormat="1" x14ac:dyDescent="0.25"/>
    <row r="17385" s="12" customFormat="1" x14ac:dyDescent="0.25"/>
    <row r="17386" s="12" customFormat="1" x14ac:dyDescent="0.25"/>
    <row r="17387" s="12" customFormat="1" x14ac:dyDescent="0.25"/>
    <row r="17388" s="12" customFormat="1" x14ac:dyDescent="0.25"/>
    <row r="17389" s="12" customFormat="1" x14ac:dyDescent="0.25"/>
    <row r="17390" s="12" customFormat="1" x14ac:dyDescent="0.25"/>
    <row r="17391" s="12" customFormat="1" x14ac:dyDescent="0.25"/>
    <row r="17392" s="12" customFormat="1" x14ac:dyDescent="0.25"/>
    <row r="17393" s="12" customFormat="1" x14ac:dyDescent="0.25"/>
    <row r="17394" s="12" customFormat="1" x14ac:dyDescent="0.25"/>
    <row r="17395" s="12" customFormat="1" x14ac:dyDescent="0.25"/>
    <row r="17396" s="12" customFormat="1" x14ac:dyDescent="0.25"/>
    <row r="17397" s="12" customFormat="1" x14ac:dyDescent="0.25"/>
    <row r="17398" s="12" customFormat="1" x14ac:dyDescent="0.25"/>
    <row r="17399" s="12" customFormat="1" x14ac:dyDescent="0.25"/>
    <row r="17400" s="12" customFormat="1" x14ac:dyDescent="0.25"/>
    <row r="17401" s="12" customFormat="1" x14ac:dyDescent="0.25"/>
    <row r="17402" s="12" customFormat="1" x14ac:dyDescent="0.25"/>
    <row r="17403" s="12" customFormat="1" x14ac:dyDescent="0.25"/>
    <row r="17404" s="12" customFormat="1" x14ac:dyDescent="0.25"/>
    <row r="17405" s="12" customFormat="1" x14ac:dyDescent="0.25"/>
    <row r="17406" s="12" customFormat="1" x14ac:dyDescent="0.25"/>
    <row r="17407" s="12" customFormat="1" x14ac:dyDescent="0.25"/>
    <row r="17408" s="12" customFormat="1" x14ac:dyDescent="0.25"/>
    <row r="17409" s="12" customFormat="1" x14ac:dyDescent="0.25"/>
    <row r="17410" s="12" customFormat="1" x14ac:dyDescent="0.25"/>
    <row r="17411" s="12" customFormat="1" x14ac:dyDescent="0.25"/>
    <row r="17412" s="12" customFormat="1" x14ac:dyDescent="0.25"/>
    <row r="17413" s="12" customFormat="1" x14ac:dyDescent="0.25"/>
    <row r="17414" s="12" customFormat="1" x14ac:dyDescent="0.25"/>
    <row r="17415" s="12" customFormat="1" x14ac:dyDescent="0.25"/>
    <row r="17416" s="12" customFormat="1" x14ac:dyDescent="0.25"/>
    <row r="17417" s="12" customFormat="1" x14ac:dyDescent="0.25"/>
    <row r="17418" s="12" customFormat="1" x14ac:dyDescent="0.25"/>
    <row r="17419" s="12" customFormat="1" x14ac:dyDescent="0.25"/>
    <row r="17420" s="12" customFormat="1" x14ac:dyDescent="0.25"/>
    <row r="17421" s="12" customFormat="1" x14ac:dyDescent="0.25"/>
    <row r="17422" s="12" customFormat="1" x14ac:dyDescent="0.25"/>
    <row r="17423" s="12" customFormat="1" x14ac:dyDescent="0.25"/>
    <row r="17424" s="12" customFormat="1" x14ac:dyDescent="0.25"/>
    <row r="17425" s="12" customFormat="1" x14ac:dyDescent="0.25"/>
    <row r="17426" s="12" customFormat="1" x14ac:dyDescent="0.25"/>
    <row r="17427" s="12" customFormat="1" x14ac:dyDescent="0.25"/>
    <row r="17428" s="12" customFormat="1" x14ac:dyDescent="0.25"/>
    <row r="17429" s="12" customFormat="1" x14ac:dyDescent="0.25"/>
    <row r="17430" s="12" customFormat="1" x14ac:dyDescent="0.25"/>
    <row r="17431" s="12" customFormat="1" x14ac:dyDescent="0.25"/>
    <row r="17432" s="12" customFormat="1" x14ac:dyDescent="0.25"/>
    <row r="17433" s="12" customFormat="1" x14ac:dyDescent="0.25"/>
    <row r="17434" s="12" customFormat="1" x14ac:dyDescent="0.25"/>
    <row r="17435" s="12" customFormat="1" x14ac:dyDescent="0.25"/>
    <row r="17436" s="12" customFormat="1" x14ac:dyDescent="0.25"/>
    <row r="17437" s="12" customFormat="1" x14ac:dyDescent="0.25"/>
    <row r="17438" s="12" customFormat="1" x14ac:dyDescent="0.25"/>
    <row r="17439" s="12" customFormat="1" x14ac:dyDescent="0.25"/>
    <row r="17440" s="12" customFormat="1" x14ac:dyDescent="0.25"/>
    <row r="17441" s="12" customFormat="1" x14ac:dyDescent="0.25"/>
    <row r="17442" s="12" customFormat="1" x14ac:dyDescent="0.25"/>
    <row r="17443" s="12" customFormat="1" x14ac:dyDescent="0.25"/>
    <row r="17444" s="12" customFormat="1" x14ac:dyDescent="0.25"/>
    <row r="17445" s="12" customFormat="1" x14ac:dyDescent="0.25"/>
    <row r="17446" s="12" customFormat="1" x14ac:dyDescent="0.25"/>
    <row r="17447" s="12" customFormat="1" x14ac:dyDescent="0.25"/>
    <row r="17448" s="12" customFormat="1" x14ac:dyDescent="0.25"/>
    <row r="17449" s="12" customFormat="1" x14ac:dyDescent="0.25"/>
    <row r="17450" s="12" customFormat="1" x14ac:dyDescent="0.25"/>
    <row r="17451" s="12" customFormat="1" x14ac:dyDescent="0.25"/>
    <row r="17452" s="12" customFormat="1" x14ac:dyDescent="0.25"/>
    <row r="17453" s="12" customFormat="1" x14ac:dyDescent="0.25"/>
    <row r="17454" s="12" customFormat="1" x14ac:dyDescent="0.25"/>
    <row r="17455" s="12" customFormat="1" x14ac:dyDescent="0.25"/>
    <row r="17456" s="12" customFormat="1" x14ac:dyDescent="0.25"/>
    <row r="17457" s="12" customFormat="1" x14ac:dyDescent="0.25"/>
    <row r="17458" s="12" customFormat="1" x14ac:dyDescent="0.25"/>
    <row r="17459" s="12" customFormat="1" x14ac:dyDescent="0.25"/>
    <row r="17460" s="12" customFormat="1" x14ac:dyDescent="0.25"/>
    <row r="17461" s="12" customFormat="1" x14ac:dyDescent="0.25"/>
    <row r="17462" s="12" customFormat="1" x14ac:dyDescent="0.25"/>
    <row r="17463" s="12" customFormat="1" x14ac:dyDescent="0.25"/>
    <row r="17464" s="12" customFormat="1" x14ac:dyDescent="0.25"/>
    <row r="17465" s="12" customFormat="1" x14ac:dyDescent="0.25"/>
    <row r="17466" s="12" customFormat="1" x14ac:dyDescent="0.25"/>
    <row r="17467" s="12" customFormat="1" x14ac:dyDescent="0.25"/>
    <row r="17468" s="12" customFormat="1" x14ac:dyDescent="0.25"/>
    <row r="17469" s="12" customFormat="1" x14ac:dyDescent="0.25"/>
    <row r="17470" s="12" customFormat="1" x14ac:dyDescent="0.25"/>
    <row r="17471" s="12" customFormat="1" x14ac:dyDescent="0.25"/>
    <row r="17472" s="12" customFormat="1" x14ac:dyDescent="0.25"/>
    <row r="17473" s="12" customFormat="1" x14ac:dyDescent="0.25"/>
    <row r="17474" s="12" customFormat="1" x14ac:dyDescent="0.25"/>
    <row r="17475" s="12" customFormat="1" x14ac:dyDescent="0.25"/>
    <row r="17476" s="12" customFormat="1" x14ac:dyDescent="0.25"/>
    <row r="17477" s="12" customFormat="1" x14ac:dyDescent="0.25"/>
    <row r="17478" s="12" customFormat="1" x14ac:dyDescent="0.25"/>
    <row r="17479" s="12" customFormat="1" x14ac:dyDescent="0.25"/>
    <row r="17480" s="12" customFormat="1" x14ac:dyDescent="0.25"/>
    <row r="17481" s="12" customFormat="1" x14ac:dyDescent="0.25"/>
    <row r="17482" s="12" customFormat="1" x14ac:dyDescent="0.25"/>
    <row r="17483" s="12" customFormat="1" x14ac:dyDescent="0.25"/>
    <row r="17484" s="12" customFormat="1" x14ac:dyDescent="0.25"/>
    <row r="17485" s="12" customFormat="1" x14ac:dyDescent="0.25"/>
    <row r="17486" s="12" customFormat="1" x14ac:dyDescent="0.25"/>
    <row r="17487" s="12" customFormat="1" x14ac:dyDescent="0.25"/>
    <row r="17488" s="12" customFormat="1" x14ac:dyDescent="0.25"/>
    <row r="17489" s="12" customFormat="1" x14ac:dyDescent="0.25"/>
    <row r="17490" s="12" customFormat="1" x14ac:dyDescent="0.25"/>
    <row r="17491" s="12" customFormat="1" x14ac:dyDescent="0.25"/>
    <row r="17492" s="12" customFormat="1" x14ac:dyDescent="0.25"/>
    <row r="17493" s="12" customFormat="1" x14ac:dyDescent="0.25"/>
    <row r="17494" s="12" customFormat="1" x14ac:dyDescent="0.25"/>
    <row r="17495" s="12" customFormat="1" x14ac:dyDescent="0.25"/>
    <row r="17496" s="12" customFormat="1" x14ac:dyDescent="0.25"/>
    <row r="17497" s="12" customFormat="1" x14ac:dyDescent="0.25"/>
    <row r="17498" s="12" customFormat="1" x14ac:dyDescent="0.25"/>
    <row r="17499" s="12" customFormat="1" x14ac:dyDescent="0.25"/>
    <row r="17500" s="12" customFormat="1" x14ac:dyDescent="0.25"/>
    <row r="17501" s="12" customFormat="1" x14ac:dyDescent="0.25"/>
    <row r="17502" s="12" customFormat="1" x14ac:dyDescent="0.25"/>
    <row r="17503" s="12" customFormat="1" x14ac:dyDescent="0.25"/>
    <row r="17504" s="12" customFormat="1" x14ac:dyDescent="0.25"/>
    <row r="17505" s="12" customFormat="1" x14ac:dyDescent="0.25"/>
    <row r="17506" s="12" customFormat="1" x14ac:dyDescent="0.25"/>
    <row r="17507" s="12" customFormat="1" x14ac:dyDescent="0.25"/>
    <row r="17508" s="12" customFormat="1" x14ac:dyDescent="0.25"/>
    <row r="17509" s="12" customFormat="1" x14ac:dyDescent="0.25"/>
    <row r="17510" s="12" customFormat="1" x14ac:dyDescent="0.25"/>
    <row r="17511" s="12" customFormat="1" x14ac:dyDescent="0.25"/>
    <row r="17512" s="12" customFormat="1" x14ac:dyDescent="0.25"/>
    <row r="17513" s="12" customFormat="1" x14ac:dyDescent="0.25"/>
    <row r="17514" s="12" customFormat="1" x14ac:dyDescent="0.25"/>
    <row r="17515" s="12" customFormat="1" x14ac:dyDescent="0.25"/>
    <row r="17516" s="12" customFormat="1" x14ac:dyDescent="0.25"/>
    <row r="17517" s="12" customFormat="1" x14ac:dyDescent="0.25"/>
    <row r="17518" s="12" customFormat="1" x14ac:dyDescent="0.25"/>
    <row r="17519" s="12" customFormat="1" x14ac:dyDescent="0.25"/>
    <row r="17520" s="12" customFormat="1" x14ac:dyDescent="0.25"/>
    <row r="17521" s="12" customFormat="1" x14ac:dyDescent="0.25"/>
    <row r="17522" s="12" customFormat="1" x14ac:dyDescent="0.25"/>
    <row r="17523" s="12" customFormat="1" x14ac:dyDescent="0.25"/>
    <row r="17524" s="12" customFormat="1" x14ac:dyDescent="0.25"/>
    <row r="17525" s="12" customFormat="1" x14ac:dyDescent="0.25"/>
    <row r="17526" s="12" customFormat="1" x14ac:dyDescent="0.25"/>
    <row r="17527" s="12" customFormat="1" x14ac:dyDescent="0.25"/>
    <row r="17528" s="12" customFormat="1" x14ac:dyDescent="0.25"/>
    <row r="17529" s="12" customFormat="1" x14ac:dyDescent="0.25"/>
    <row r="17530" s="12" customFormat="1" x14ac:dyDescent="0.25"/>
    <row r="17531" s="12" customFormat="1" x14ac:dyDescent="0.25"/>
    <row r="17532" s="12" customFormat="1" x14ac:dyDescent="0.25"/>
    <row r="17533" s="12" customFormat="1" x14ac:dyDescent="0.25"/>
    <row r="17534" s="12" customFormat="1" x14ac:dyDescent="0.25"/>
    <row r="17535" s="12" customFormat="1" x14ac:dyDescent="0.25"/>
    <row r="17536" s="12" customFormat="1" x14ac:dyDescent="0.25"/>
    <row r="17537" s="12" customFormat="1" x14ac:dyDescent="0.25"/>
    <row r="17538" s="12" customFormat="1" x14ac:dyDescent="0.25"/>
    <row r="17539" s="12" customFormat="1" x14ac:dyDescent="0.25"/>
    <row r="17540" s="12" customFormat="1" x14ac:dyDescent="0.25"/>
    <row r="17541" s="12" customFormat="1" x14ac:dyDescent="0.25"/>
    <row r="17542" s="12" customFormat="1" x14ac:dyDescent="0.25"/>
    <row r="17543" s="12" customFormat="1" x14ac:dyDescent="0.25"/>
    <row r="17544" s="12" customFormat="1" x14ac:dyDescent="0.25"/>
    <row r="17545" s="12" customFormat="1" x14ac:dyDescent="0.25"/>
    <row r="17546" s="12" customFormat="1" x14ac:dyDescent="0.25"/>
    <row r="17547" s="12" customFormat="1" x14ac:dyDescent="0.25"/>
    <row r="17548" s="12" customFormat="1" x14ac:dyDescent="0.25"/>
    <row r="17549" s="12" customFormat="1" x14ac:dyDescent="0.25"/>
    <row r="17550" s="12" customFormat="1" x14ac:dyDescent="0.25"/>
    <row r="17551" s="12" customFormat="1" x14ac:dyDescent="0.25"/>
    <row r="17552" s="12" customFormat="1" x14ac:dyDescent="0.25"/>
    <row r="17553" s="12" customFormat="1" x14ac:dyDescent="0.25"/>
    <row r="17554" s="12" customFormat="1" x14ac:dyDescent="0.25"/>
    <row r="17555" s="12" customFormat="1" x14ac:dyDescent="0.25"/>
    <row r="17556" s="12" customFormat="1" x14ac:dyDescent="0.25"/>
    <row r="17557" s="12" customFormat="1" x14ac:dyDescent="0.25"/>
    <row r="17558" s="12" customFormat="1" x14ac:dyDescent="0.25"/>
    <row r="17559" s="12" customFormat="1" x14ac:dyDescent="0.25"/>
    <row r="17560" s="12" customFormat="1" x14ac:dyDescent="0.25"/>
    <row r="17561" s="12" customFormat="1" x14ac:dyDescent="0.25"/>
    <row r="17562" s="12" customFormat="1" x14ac:dyDescent="0.25"/>
    <row r="17563" s="12" customFormat="1" x14ac:dyDescent="0.25"/>
    <row r="17564" s="12" customFormat="1" x14ac:dyDescent="0.25"/>
    <row r="17565" s="12" customFormat="1" x14ac:dyDescent="0.25"/>
    <row r="17566" s="12" customFormat="1" x14ac:dyDescent="0.25"/>
    <row r="17567" s="12" customFormat="1" x14ac:dyDescent="0.25"/>
    <row r="17568" s="12" customFormat="1" x14ac:dyDescent="0.25"/>
    <row r="17569" s="12" customFormat="1" x14ac:dyDescent="0.25"/>
    <row r="17570" s="12" customFormat="1" x14ac:dyDescent="0.25"/>
    <row r="17571" s="12" customFormat="1" x14ac:dyDescent="0.25"/>
    <row r="17572" s="12" customFormat="1" x14ac:dyDescent="0.25"/>
    <row r="17573" s="12" customFormat="1" x14ac:dyDescent="0.25"/>
    <row r="17574" s="12" customFormat="1" x14ac:dyDescent="0.25"/>
    <row r="17575" s="12" customFormat="1" x14ac:dyDescent="0.25"/>
    <row r="17576" s="12" customFormat="1" x14ac:dyDescent="0.25"/>
    <row r="17577" s="12" customFormat="1" x14ac:dyDescent="0.25"/>
    <row r="17578" s="12" customFormat="1" x14ac:dyDescent="0.25"/>
    <row r="17579" s="12" customFormat="1" x14ac:dyDescent="0.25"/>
    <row r="17580" s="12" customFormat="1" x14ac:dyDescent="0.25"/>
    <row r="17581" s="12" customFormat="1" x14ac:dyDescent="0.25"/>
    <row r="17582" s="12" customFormat="1" x14ac:dyDescent="0.25"/>
    <row r="17583" s="12" customFormat="1" x14ac:dyDescent="0.25"/>
    <row r="17584" s="12" customFormat="1" x14ac:dyDescent="0.25"/>
    <row r="17585" s="12" customFormat="1" x14ac:dyDescent="0.25"/>
    <row r="17586" s="12" customFormat="1" x14ac:dyDescent="0.25"/>
    <row r="17587" s="12" customFormat="1" x14ac:dyDescent="0.25"/>
    <row r="17588" s="12" customFormat="1" x14ac:dyDescent="0.25"/>
    <row r="17589" s="12" customFormat="1" x14ac:dyDescent="0.25"/>
    <row r="17590" s="12" customFormat="1" x14ac:dyDescent="0.25"/>
    <row r="17591" s="12" customFormat="1" x14ac:dyDescent="0.25"/>
    <row r="17592" s="12" customFormat="1" x14ac:dyDescent="0.25"/>
    <row r="17593" s="12" customFormat="1" x14ac:dyDescent="0.25"/>
    <row r="17594" s="12" customFormat="1" x14ac:dyDescent="0.25"/>
    <row r="17595" s="12" customFormat="1" x14ac:dyDescent="0.25"/>
    <row r="17596" s="12" customFormat="1" x14ac:dyDescent="0.25"/>
    <row r="17597" s="12" customFormat="1" x14ac:dyDescent="0.25"/>
    <row r="17598" s="12" customFormat="1" x14ac:dyDescent="0.25"/>
    <row r="17599" s="12" customFormat="1" x14ac:dyDescent="0.25"/>
    <row r="17600" s="12" customFormat="1" x14ac:dyDescent="0.25"/>
    <row r="17601" s="12" customFormat="1" x14ac:dyDescent="0.25"/>
    <row r="17602" s="12" customFormat="1" x14ac:dyDescent="0.25"/>
    <row r="17603" s="12" customFormat="1" x14ac:dyDescent="0.25"/>
    <row r="17604" s="12" customFormat="1" x14ac:dyDescent="0.25"/>
    <row r="17605" s="12" customFormat="1" x14ac:dyDescent="0.25"/>
    <row r="17606" s="12" customFormat="1" x14ac:dyDescent="0.25"/>
    <row r="17607" s="12" customFormat="1" x14ac:dyDescent="0.25"/>
    <row r="17608" s="12" customFormat="1" x14ac:dyDescent="0.25"/>
    <row r="17609" s="12" customFormat="1" x14ac:dyDescent="0.25"/>
    <row r="17610" s="12" customFormat="1" x14ac:dyDescent="0.25"/>
    <row r="17611" s="12" customFormat="1" x14ac:dyDescent="0.25"/>
    <row r="17612" s="12" customFormat="1" x14ac:dyDescent="0.25"/>
    <row r="17613" s="12" customFormat="1" x14ac:dyDescent="0.25"/>
    <row r="17614" s="12" customFormat="1" x14ac:dyDescent="0.25"/>
    <row r="17615" s="12" customFormat="1" x14ac:dyDescent="0.25"/>
    <row r="17616" s="12" customFormat="1" x14ac:dyDescent="0.25"/>
    <row r="17617" s="12" customFormat="1" x14ac:dyDescent="0.25"/>
    <row r="17618" s="12" customFormat="1" x14ac:dyDescent="0.25"/>
    <row r="17619" s="12" customFormat="1" x14ac:dyDescent="0.25"/>
    <row r="17620" s="12" customFormat="1" x14ac:dyDescent="0.25"/>
    <row r="17621" s="12" customFormat="1" x14ac:dyDescent="0.25"/>
    <row r="17622" s="12" customFormat="1" x14ac:dyDescent="0.25"/>
    <row r="17623" s="12" customFormat="1" x14ac:dyDescent="0.25"/>
    <row r="17624" s="12" customFormat="1" x14ac:dyDescent="0.25"/>
    <row r="17625" s="12" customFormat="1" x14ac:dyDescent="0.25"/>
    <row r="17626" s="12" customFormat="1" x14ac:dyDescent="0.25"/>
    <row r="17627" s="12" customFormat="1" x14ac:dyDescent="0.25"/>
    <row r="17628" s="12" customFormat="1" x14ac:dyDescent="0.25"/>
    <row r="17629" s="12" customFormat="1" x14ac:dyDescent="0.25"/>
    <row r="17630" s="12" customFormat="1" x14ac:dyDescent="0.25"/>
    <row r="17631" s="12" customFormat="1" x14ac:dyDescent="0.25"/>
    <row r="17632" s="12" customFormat="1" x14ac:dyDescent="0.25"/>
    <row r="17633" s="12" customFormat="1" x14ac:dyDescent="0.25"/>
    <row r="17634" s="12" customFormat="1" x14ac:dyDescent="0.25"/>
    <row r="17635" s="12" customFormat="1" x14ac:dyDescent="0.25"/>
    <row r="17636" s="12" customFormat="1" x14ac:dyDescent="0.25"/>
    <row r="17637" s="12" customFormat="1" x14ac:dyDescent="0.25"/>
    <row r="17638" s="12" customFormat="1" x14ac:dyDescent="0.25"/>
    <row r="17639" s="12" customFormat="1" x14ac:dyDescent="0.25"/>
    <row r="17640" s="12" customFormat="1" x14ac:dyDescent="0.25"/>
    <row r="17641" s="12" customFormat="1" x14ac:dyDescent="0.25"/>
    <row r="17642" s="12" customFormat="1" x14ac:dyDescent="0.25"/>
    <row r="17643" s="12" customFormat="1" x14ac:dyDescent="0.25"/>
    <row r="17644" s="12" customFormat="1" x14ac:dyDescent="0.25"/>
    <row r="17645" s="12" customFormat="1" x14ac:dyDescent="0.25"/>
    <row r="17646" s="12" customFormat="1" x14ac:dyDescent="0.25"/>
    <row r="17647" s="12" customFormat="1" x14ac:dyDescent="0.25"/>
    <row r="17648" s="12" customFormat="1" x14ac:dyDescent="0.25"/>
    <row r="17649" s="12" customFormat="1" x14ac:dyDescent="0.25"/>
    <row r="17650" s="12" customFormat="1" x14ac:dyDescent="0.25"/>
    <row r="17651" s="12" customFormat="1" x14ac:dyDescent="0.25"/>
    <row r="17652" s="12" customFormat="1" x14ac:dyDescent="0.25"/>
    <row r="17653" s="12" customFormat="1" x14ac:dyDescent="0.25"/>
    <row r="17654" s="12" customFormat="1" x14ac:dyDescent="0.25"/>
    <row r="17655" s="12" customFormat="1" x14ac:dyDescent="0.25"/>
    <row r="17656" s="12" customFormat="1" x14ac:dyDescent="0.25"/>
    <row r="17657" s="12" customFormat="1" x14ac:dyDescent="0.25"/>
    <row r="17658" s="12" customFormat="1" x14ac:dyDescent="0.25"/>
    <row r="17659" s="12" customFormat="1" x14ac:dyDescent="0.25"/>
    <row r="17660" s="12" customFormat="1" x14ac:dyDescent="0.25"/>
    <row r="17661" s="12" customFormat="1" x14ac:dyDescent="0.25"/>
    <row r="17662" s="12" customFormat="1" x14ac:dyDescent="0.25"/>
    <row r="17663" s="12" customFormat="1" x14ac:dyDescent="0.25"/>
    <row r="17664" s="12" customFormat="1" x14ac:dyDescent="0.25"/>
    <row r="17665" s="12" customFormat="1" x14ac:dyDescent="0.25"/>
    <row r="17666" s="12" customFormat="1" x14ac:dyDescent="0.25"/>
    <row r="17667" s="12" customFormat="1" x14ac:dyDescent="0.25"/>
    <row r="17668" s="12" customFormat="1" x14ac:dyDescent="0.25"/>
    <row r="17669" s="12" customFormat="1" x14ac:dyDescent="0.25"/>
    <row r="17670" s="12" customFormat="1" x14ac:dyDescent="0.25"/>
    <row r="17671" s="12" customFormat="1" x14ac:dyDescent="0.25"/>
    <row r="17672" s="12" customFormat="1" x14ac:dyDescent="0.25"/>
    <row r="17673" s="12" customFormat="1" x14ac:dyDescent="0.25"/>
    <row r="17674" s="12" customFormat="1" x14ac:dyDescent="0.25"/>
    <row r="17675" s="12" customFormat="1" x14ac:dyDescent="0.25"/>
    <row r="17676" s="12" customFormat="1" x14ac:dyDescent="0.25"/>
    <row r="17677" s="12" customFormat="1" x14ac:dyDescent="0.25"/>
    <row r="17678" s="12" customFormat="1" x14ac:dyDescent="0.25"/>
    <row r="17679" s="12" customFormat="1" x14ac:dyDescent="0.25"/>
    <row r="17680" s="12" customFormat="1" x14ac:dyDescent="0.25"/>
    <row r="17681" s="12" customFormat="1" x14ac:dyDescent="0.25"/>
    <row r="17682" s="12" customFormat="1" x14ac:dyDescent="0.25"/>
    <row r="17683" s="12" customFormat="1" x14ac:dyDescent="0.25"/>
    <row r="17684" s="12" customFormat="1" x14ac:dyDescent="0.25"/>
    <row r="17685" s="12" customFormat="1" x14ac:dyDescent="0.25"/>
    <row r="17686" s="12" customFormat="1" x14ac:dyDescent="0.25"/>
    <row r="17687" s="12" customFormat="1" x14ac:dyDescent="0.25"/>
    <row r="17688" s="12" customFormat="1" x14ac:dyDescent="0.25"/>
    <row r="17689" s="12" customFormat="1" x14ac:dyDescent="0.25"/>
    <row r="17690" s="12" customFormat="1" x14ac:dyDescent="0.25"/>
    <row r="17691" s="12" customFormat="1" x14ac:dyDescent="0.25"/>
    <row r="17692" s="12" customFormat="1" x14ac:dyDescent="0.25"/>
    <row r="17693" s="12" customFormat="1" x14ac:dyDescent="0.25"/>
    <row r="17694" s="12" customFormat="1" x14ac:dyDescent="0.25"/>
    <row r="17695" s="12" customFormat="1" x14ac:dyDescent="0.25"/>
    <row r="17696" s="12" customFormat="1" x14ac:dyDescent="0.25"/>
    <row r="17697" s="12" customFormat="1" x14ac:dyDescent="0.25"/>
    <row r="17698" s="12" customFormat="1" x14ac:dyDescent="0.25"/>
    <row r="17699" s="12" customFormat="1" x14ac:dyDescent="0.25"/>
    <row r="17700" s="12" customFormat="1" x14ac:dyDescent="0.25"/>
    <row r="17701" s="12" customFormat="1" x14ac:dyDescent="0.25"/>
    <row r="17702" s="12" customFormat="1" x14ac:dyDescent="0.25"/>
    <row r="17703" s="12" customFormat="1" x14ac:dyDescent="0.25"/>
    <row r="17704" s="12" customFormat="1" x14ac:dyDescent="0.25"/>
    <row r="17705" s="12" customFormat="1" x14ac:dyDescent="0.25"/>
    <row r="17706" s="12" customFormat="1" x14ac:dyDescent="0.25"/>
    <row r="17707" s="12" customFormat="1" x14ac:dyDescent="0.25"/>
    <row r="17708" s="12" customFormat="1" x14ac:dyDescent="0.25"/>
    <row r="17709" s="12" customFormat="1" x14ac:dyDescent="0.25"/>
    <row r="17710" s="12" customFormat="1" x14ac:dyDescent="0.25"/>
    <row r="17711" s="12" customFormat="1" x14ac:dyDescent="0.25"/>
    <row r="17712" s="12" customFormat="1" x14ac:dyDescent="0.25"/>
    <row r="17713" s="12" customFormat="1" x14ac:dyDescent="0.25"/>
    <row r="17714" s="12" customFormat="1" x14ac:dyDescent="0.25"/>
    <row r="17715" s="12" customFormat="1" x14ac:dyDescent="0.25"/>
    <row r="17716" s="12" customFormat="1" x14ac:dyDescent="0.25"/>
    <row r="17717" s="12" customFormat="1" x14ac:dyDescent="0.25"/>
    <row r="17718" s="12" customFormat="1" x14ac:dyDescent="0.25"/>
    <row r="17719" s="12" customFormat="1" x14ac:dyDescent="0.25"/>
    <row r="17720" s="12" customFormat="1" x14ac:dyDescent="0.25"/>
    <row r="17721" s="12" customFormat="1" x14ac:dyDescent="0.25"/>
    <row r="17722" s="12" customFormat="1" x14ac:dyDescent="0.25"/>
    <row r="17723" s="12" customFormat="1" x14ac:dyDescent="0.25"/>
    <row r="17724" s="12" customFormat="1" x14ac:dyDescent="0.25"/>
    <row r="17725" s="12" customFormat="1" x14ac:dyDescent="0.25"/>
    <row r="17726" s="12" customFormat="1" x14ac:dyDescent="0.25"/>
    <row r="17727" s="12" customFormat="1" x14ac:dyDescent="0.25"/>
    <row r="17728" s="12" customFormat="1" x14ac:dyDescent="0.25"/>
    <row r="17729" s="12" customFormat="1" x14ac:dyDescent="0.25"/>
    <row r="17730" s="12" customFormat="1" x14ac:dyDescent="0.25"/>
    <row r="17731" s="12" customFormat="1" x14ac:dyDescent="0.25"/>
    <row r="17732" s="12" customFormat="1" x14ac:dyDescent="0.25"/>
    <row r="17733" s="12" customFormat="1" x14ac:dyDescent="0.25"/>
    <row r="17734" s="12" customFormat="1" x14ac:dyDescent="0.25"/>
    <row r="17735" s="12" customFormat="1" x14ac:dyDescent="0.25"/>
    <row r="17736" s="12" customFormat="1" x14ac:dyDescent="0.25"/>
    <row r="17737" s="12" customFormat="1" x14ac:dyDescent="0.25"/>
    <row r="17738" s="12" customFormat="1" x14ac:dyDescent="0.25"/>
    <row r="17739" s="12" customFormat="1" x14ac:dyDescent="0.25"/>
    <row r="17740" s="12" customFormat="1" x14ac:dyDescent="0.25"/>
    <row r="17741" s="12" customFormat="1" x14ac:dyDescent="0.25"/>
    <row r="17742" s="12" customFormat="1" x14ac:dyDescent="0.25"/>
    <row r="17743" s="12" customFormat="1" x14ac:dyDescent="0.25"/>
    <row r="17744" s="12" customFormat="1" x14ac:dyDescent="0.25"/>
    <row r="17745" s="12" customFormat="1" x14ac:dyDescent="0.25"/>
    <row r="17746" s="12" customFormat="1" x14ac:dyDescent="0.25"/>
    <row r="17747" s="12" customFormat="1" x14ac:dyDescent="0.25"/>
    <row r="17748" s="12" customFormat="1" x14ac:dyDescent="0.25"/>
    <row r="17749" s="12" customFormat="1" x14ac:dyDescent="0.25"/>
    <row r="17750" s="12" customFormat="1" x14ac:dyDescent="0.25"/>
    <row r="17751" s="12" customFormat="1" x14ac:dyDescent="0.25"/>
    <row r="17752" s="12" customFormat="1" x14ac:dyDescent="0.25"/>
    <row r="17753" s="12" customFormat="1" x14ac:dyDescent="0.25"/>
    <row r="17754" s="12" customFormat="1" x14ac:dyDescent="0.25"/>
    <row r="17755" s="12" customFormat="1" x14ac:dyDescent="0.25"/>
    <row r="17756" s="12" customFormat="1" x14ac:dyDescent="0.25"/>
    <row r="17757" s="12" customFormat="1" x14ac:dyDescent="0.25"/>
    <row r="17758" s="12" customFormat="1" x14ac:dyDescent="0.25"/>
    <row r="17759" s="12" customFormat="1" x14ac:dyDescent="0.25"/>
    <row r="17760" s="12" customFormat="1" x14ac:dyDescent="0.25"/>
    <row r="17761" s="12" customFormat="1" x14ac:dyDescent="0.25"/>
    <row r="17762" s="12" customFormat="1" x14ac:dyDescent="0.25"/>
    <row r="17763" s="12" customFormat="1" x14ac:dyDescent="0.25"/>
    <row r="17764" s="12" customFormat="1" x14ac:dyDescent="0.25"/>
    <row r="17765" s="12" customFormat="1" x14ac:dyDescent="0.25"/>
    <row r="17766" s="12" customFormat="1" x14ac:dyDescent="0.25"/>
    <row r="17767" s="12" customFormat="1" x14ac:dyDescent="0.25"/>
    <row r="17768" s="12" customFormat="1" x14ac:dyDescent="0.25"/>
    <row r="17769" s="12" customFormat="1" x14ac:dyDescent="0.25"/>
    <row r="17770" s="12" customFormat="1" x14ac:dyDescent="0.25"/>
    <row r="17771" s="12" customFormat="1" x14ac:dyDescent="0.25"/>
    <row r="17772" s="12" customFormat="1" x14ac:dyDescent="0.25"/>
    <row r="17773" s="12" customFormat="1" x14ac:dyDescent="0.25"/>
    <row r="17774" s="12" customFormat="1" x14ac:dyDescent="0.25"/>
    <row r="17775" s="12" customFormat="1" x14ac:dyDescent="0.25"/>
    <row r="17776" s="12" customFormat="1" x14ac:dyDescent="0.25"/>
    <row r="17777" s="12" customFormat="1" x14ac:dyDescent="0.25"/>
    <row r="17778" s="12" customFormat="1" x14ac:dyDescent="0.25"/>
    <row r="17779" s="12" customFormat="1" x14ac:dyDescent="0.25"/>
    <row r="17780" s="12" customFormat="1" x14ac:dyDescent="0.25"/>
    <row r="17781" s="12" customFormat="1" x14ac:dyDescent="0.25"/>
    <row r="17782" s="12" customFormat="1" x14ac:dyDescent="0.25"/>
    <row r="17783" s="12" customFormat="1" x14ac:dyDescent="0.25"/>
    <row r="17784" s="12" customFormat="1" x14ac:dyDescent="0.25"/>
    <row r="17785" s="12" customFormat="1" x14ac:dyDescent="0.25"/>
    <row r="17786" s="12" customFormat="1" x14ac:dyDescent="0.25"/>
    <row r="17787" s="12" customFormat="1" x14ac:dyDescent="0.25"/>
    <row r="17788" s="12" customFormat="1" x14ac:dyDescent="0.25"/>
    <row r="17789" s="12" customFormat="1" x14ac:dyDescent="0.25"/>
    <row r="17790" s="12" customFormat="1" x14ac:dyDescent="0.25"/>
    <row r="17791" s="12" customFormat="1" x14ac:dyDescent="0.25"/>
    <row r="17792" s="12" customFormat="1" x14ac:dyDescent="0.25"/>
    <row r="17793" s="12" customFormat="1" x14ac:dyDescent="0.25"/>
    <row r="17794" s="12" customFormat="1" x14ac:dyDescent="0.25"/>
    <row r="17795" s="12" customFormat="1" x14ac:dyDescent="0.25"/>
    <row r="17796" s="12" customFormat="1" x14ac:dyDescent="0.25"/>
    <row r="17797" s="12" customFormat="1" x14ac:dyDescent="0.25"/>
    <row r="17798" s="12" customFormat="1" x14ac:dyDescent="0.25"/>
    <row r="17799" s="12" customFormat="1" x14ac:dyDescent="0.25"/>
    <row r="17800" s="12" customFormat="1" x14ac:dyDescent="0.25"/>
    <row r="17801" s="12" customFormat="1" x14ac:dyDescent="0.25"/>
    <row r="17802" s="12" customFormat="1" x14ac:dyDescent="0.25"/>
    <row r="17803" s="12" customFormat="1" x14ac:dyDescent="0.25"/>
    <row r="17804" s="12" customFormat="1" x14ac:dyDescent="0.25"/>
    <row r="17805" s="12" customFormat="1" x14ac:dyDescent="0.25"/>
    <row r="17806" s="12" customFormat="1" x14ac:dyDescent="0.25"/>
    <row r="17807" s="12" customFormat="1" x14ac:dyDescent="0.25"/>
    <row r="17808" s="12" customFormat="1" x14ac:dyDescent="0.25"/>
    <row r="17809" s="12" customFormat="1" x14ac:dyDescent="0.25"/>
    <row r="17810" s="12" customFormat="1" x14ac:dyDescent="0.25"/>
    <row r="17811" s="12" customFormat="1" x14ac:dyDescent="0.25"/>
    <row r="17812" s="12" customFormat="1" x14ac:dyDescent="0.25"/>
    <row r="17813" s="12" customFormat="1" x14ac:dyDescent="0.25"/>
    <row r="17814" s="12" customFormat="1" x14ac:dyDescent="0.25"/>
    <row r="17815" s="12" customFormat="1" x14ac:dyDescent="0.25"/>
    <row r="17816" s="12" customFormat="1" x14ac:dyDescent="0.25"/>
    <row r="17817" s="12" customFormat="1" x14ac:dyDescent="0.25"/>
    <row r="17818" s="12" customFormat="1" x14ac:dyDescent="0.25"/>
    <row r="17819" s="12" customFormat="1" x14ac:dyDescent="0.25"/>
    <row r="17820" s="12" customFormat="1" x14ac:dyDescent="0.25"/>
    <row r="17821" s="12" customFormat="1" x14ac:dyDescent="0.25"/>
    <row r="17822" s="12" customFormat="1" x14ac:dyDescent="0.25"/>
    <row r="17823" s="12" customFormat="1" x14ac:dyDescent="0.25"/>
    <row r="17824" s="12" customFormat="1" x14ac:dyDescent="0.25"/>
    <row r="17825" s="12" customFormat="1" x14ac:dyDescent="0.25"/>
    <row r="17826" s="12" customFormat="1" x14ac:dyDescent="0.25"/>
    <row r="17827" s="12" customFormat="1" x14ac:dyDescent="0.25"/>
    <row r="17828" s="12" customFormat="1" x14ac:dyDescent="0.25"/>
    <row r="17829" s="12" customFormat="1" x14ac:dyDescent="0.25"/>
    <row r="17830" s="12" customFormat="1" x14ac:dyDescent="0.25"/>
    <row r="17831" s="12" customFormat="1" x14ac:dyDescent="0.25"/>
    <row r="17832" s="12" customFormat="1" x14ac:dyDescent="0.25"/>
    <row r="17833" s="12" customFormat="1" x14ac:dyDescent="0.25"/>
    <row r="17834" s="12" customFormat="1" x14ac:dyDescent="0.25"/>
    <row r="17835" s="12" customFormat="1" x14ac:dyDescent="0.25"/>
    <row r="17836" s="12" customFormat="1" x14ac:dyDescent="0.25"/>
    <row r="17837" s="12" customFormat="1" x14ac:dyDescent="0.25"/>
    <row r="17838" s="12" customFormat="1" x14ac:dyDescent="0.25"/>
    <row r="17839" s="12" customFormat="1" x14ac:dyDescent="0.25"/>
    <row r="17840" s="12" customFormat="1" x14ac:dyDescent="0.25"/>
    <row r="17841" s="12" customFormat="1" x14ac:dyDescent="0.25"/>
    <row r="17842" s="12" customFormat="1" x14ac:dyDescent="0.25"/>
    <row r="17843" s="12" customFormat="1" x14ac:dyDescent="0.25"/>
    <row r="17844" s="12" customFormat="1" x14ac:dyDescent="0.25"/>
    <row r="17845" s="12" customFormat="1" x14ac:dyDescent="0.25"/>
    <row r="17846" s="12" customFormat="1" x14ac:dyDescent="0.25"/>
    <row r="17847" s="12" customFormat="1" x14ac:dyDescent="0.25"/>
    <row r="17848" s="12" customFormat="1" x14ac:dyDescent="0.25"/>
    <row r="17849" s="12" customFormat="1" x14ac:dyDescent="0.25"/>
    <row r="17850" s="12" customFormat="1" x14ac:dyDescent="0.25"/>
    <row r="17851" s="12" customFormat="1" x14ac:dyDescent="0.25"/>
    <row r="17852" s="12" customFormat="1" x14ac:dyDescent="0.25"/>
    <row r="17853" s="12" customFormat="1" x14ac:dyDescent="0.25"/>
    <row r="17854" s="12" customFormat="1" x14ac:dyDescent="0.25"/>
    <row r="17855" s="12" customFormat="1" x14ac:dyDescent="0.25"/>
    <row r="17856" s="12" customFormat="1" x14ac:dyDescent="0.25"/>
    <row r="17857" s="12" customFormat="1" x14ac:dyDescent="0.25"/>
    <row r="17858" s="12" customFormat="1" x14ac:dyDescent="0.25"/>
    <row r="17859" s="12" customFormat="1" x14ac:dyDescent="0.25"/>
    <row r="17860" s="12" customFormat="1" x14ac:dyDescent="0.25"/>
    <row r="17861" s="12" customFormat="1" x14ac:dyDescent="0.25"/>
    <row r="17862" s="12" customFormat="1" x14ac:dyDescent="0.25"/>
    <row r="17863" s="12" customFormat="1" x14ac:dyDescent="0.25"/>
    <row r="17864" s="12" customFormat="1" x14ac:dyDescent="0.25"/>
    <row r="17865" s="12" customFormat="1" x14ac:dyDescent="0.25"/>
    <row r="17866" s="12" customFormat="1" x14ac:dyDescent="0.25"/>
    <row r="17867" s="12" customFormat="1" x14ac:dyDescent="0.25"/>
    <row r="17868" s="12" customFormat="1" x14ac:dyDescent="0.25"/>
    <row r="17869" s="12" customFormat="1" x14ac:dyDescent="0.25"/>
    <row r="17870" s="12" customFormat="1" x14ac:dyDescent="0.25"/>
    <row r="17871" s="12" customFormat="1" x14ac:dyDescent="0.25"/>
    <row r="17872" s="12" customFormat="1" x14ac:dyDescent="0.25"/>
    <row r="17873" s="12" customFormat="1" x14ac:dyDescent="0.25"/>
    <row r="17874" s="12" customFormat="1" x14ac:dyDescent="0.25"/>
    <row r="17875" s="12" customFormat="1" x14ac:dyDescent="0.25"/>
    <row r="17876" s="12" customFormat="1" x14ac:dyDescent="0.25"/>
    <row r="17877" s="12" customFormat="1" x14ac:dyDescent="0.25"/>
    <row r="17878" s="12" customFormat="1" x14ac:dyDescent="0.25"/>
    <row r="17879" s="12" customFormat="1" x14ac:dyDescent="0.25"/>
    <row r="17880" s="12" customFormat="1" x14ac:dyDescent="0.25"/>
    <row r="17881" s="12" customFormat="1" x14ac:dyDescent="0.25"/>
    <row r="17882" s="12" customFormat="1" x14ac:dyDescent="0.25"/>
    <row r="17883" s="12" customFormat="1" x14ac:dyDescent="0.25"/>
    <row r="17884" s="12" customFormat="1" x14ac:dyDescent="0.25"/>
    <row r="17885" s="12" customFormat="1" x14ac:dyDescent="0.25"/>
    <row r="17886" s="12" customFormat="1" x14ac:dyDescent="0.25"/>
    <row r="17887" s="12" customFormat="1" x14ac:dyDescent="0.25"/>
    <row r="17888" s="12" customFormat="1" x14ac:dyDescent="0.25"/>
    <row r="17889" s="12" customFormat="1" x14ac:dyDescent="0.25"/>
    <row r="17890" s="12" customFormat="1" x14ac:dyDescent="0.25"/>
    <row r="17891" s="12" customFormat="1" x14ac:dyDescent="0.25"/>
    <row r="17892" s="12" customFormat="1" x14ac:dyDescent="0.25"/>
    <row r="17893" s="12" customFormat="1" x14ac:dyDescent="0.25"/>
    <row r="17894" s="12" customFormat="1" x14ac:dyDescent="0.25"/>
    <row r="17895" s="12" customFormat="1" x14ac:dyDescent="0.25"/>
    <row r="17896" s="12" customFormat="1" x14ac:dyDescent="0.25"/>
    <row r="17897" s="12" customFormat="1" x14ac:dyDescent="0.25"/>
    <row r="17898" s="12" customFormat="1" x14ac:dyDescent="0.25"/>
    <row r="17899" s="12" customFormat="1" x14ac:dyDescent="0.25"/>
    <row r="17900" s="12" customFormat="1" x14ac:dyDescent="0.25"/>
    <row r="17901" s="12" customFormat="1" x14ac:dyDescent="0.25"/>
    <row r="17902" s="12" customFormat="1" x14ac:dyDescent="0.25"/>
    <row r="17903" s="12" customFormat="1" x14ac:dyDescent="0.25"/>
    <row r="17904" s="12" customFormat="1" x14ac:dyDescent="0.25"/>
    <row r="17905" s="12" customFormat="1" x14ac:dyDescent="0.25"/>
    <row r="17906" s="12" customFormat="1" x14ac:dyDescent="0.25"/>
    <row r="17907" s="12" customFormat="1" x14ac:dyDescent="0.25"/>
    <row r="17908" s="12" customFormat="1" x14ac:dyDescent="0.25"/>
    <row r="17909" s="12" customFormat="1" x14ac:dyDescent="0.25"/>
    <row r="17910" s="12" customFormat="1" x14ac:dyDescent="0.25"/>
    <row r="17911" s="12" customFormat="1" x14ac:dyDescent="0.25"/>
    <row r="17912" s="12" customFormat="1" x14ac:dyDescent="0.25"/>
    <row r="17913" s="12" customFormat="1" x14ac:dyDescent="0.25"/>
    <row r="17914" s="12" customFormat="1" x14ac:dyDescent="0.25"/>
    <row r="17915" s="12" customFormat="1" x14ac:dyDescent="0.25"/>
    <row r="17916" s="12" customFormat="1" x14ac:dyDescent="0.25"/>
    <row r="17917" s="12" customFormat="1" x14ac:dyDescent="0.25"/>
    <row r="17918" s="12" customFormat="1" x14ac:dyDescent="0.25"/>
    <row r="17919" s="12" customFormat="1" x14ac:dyDescent="0.25"/>
    <row r="17920" s="12" customFormat="1" x14ac:dyDescent="0.25"/>
    <row r="17921" s="12" customFormat="1" x14ac:dyDescent="0.25"/>
    <row r="17922" s="12" customFormat="1" x14ac:dyDescent="0.25"/>
    <row r="17923" s="12" customFormat="1" x14ac:dyDescent="0.25"/>
    <row r="17924" s="12" customFormat="1" x14ac:dyDescent="0.25"/>
    <row r="17925" s="12" customFormat="1" x14ac:dyDescent="0.25"/>
    <row r="17926" s="12" customFormat="1" x14ac:dyDescent="0.25"/>
    <row r="17927" s="12" customFormat="1" x14ac:dyDescent="0.25"/>
    <row r="17928" s="12" customFormat="1" x14ac:dyDescent="0.25"/>
    <row r="17929" s="12" customFormat="1" x14ac:dyDescent="0.25"/>
    <row r="17930" s="12" customFormat="1" x14ac:dyDescent="0.25"/>
    <row r="17931" s="12" customFormat="1" x14ac:dyDescent="0.25"/>
    <row r="17932" s="12" customFormat="1" x14ac:dyDescent="0.25"/>
    <row r="17933" s="12" customFormat="1" x14ac:dyDescent="0.25"/>
    <row r="17934" s="12" customFormat="1" x14ac:dyDescent="0.25"/>
    <row r="17935" s="12" customFormat="1" x14ac:dyDescent="0.25"/>
    <row r="17936" s="12" customFormat="1" x14ac:dyDescent="0.25"/>
    <row r="17937" s="12" customFormat="1" x14ac:dyDescent="0.25"/>
    <row r="17938" s="12" customFormat="1" x14ac:dyDescent="0.25"/>
    <row r="17939" s="12" customFormat="1" x14ac:dyDescent="0.25"/>
    <row r="17940" s="12" customFormat="1" x14ac:dyDescent="0.25"/>
    <row r="17941" s="12" customFormat="1" x14ac:dyDescent="0.25"/>
    <row r="17942" s="12" customFormat="1" x14ac:dyDescent="0.25"/>
    <row r="17943" s="12" customFormat="1" x14ac:dyDescent="0.25"/>
    <row r="17944" s="12" customFormat="1" x14ac:dyDescent="0.25"/>
    <row r="17945" s="12" customFormat="1" x14ac:dyDescent="0.25"/>
    <row r="17946" s="12" customFormat="1" x14ac:dyDescent="0.25"/>
    <row r="17947" s="12" customFormat="1" x14ac:dyDescent="0.25"/>
    <row r="17948" s="12" customFormat="1" x14ac:dyDescent="0.25"/>
    <row r="17949" s="12" customFormat="1" x14ac:dyDescent="0.25"/>
    <row r="17950" s="12" customFormat="1" x14ac:dyDescent="0.25"/>
    <row r="17951" s="12" customFormat="1" x14ac:dyDescent="0.25"/>
    <row r="17952" s="12" customFormat="1" x14ac:dyDescent="0.25"/>
    <row r="17953" s="12" customFormat="1" x14ac:dyDescent="0.25"/>
    <row r="17954" s="12" customFormat="1" x14ac:dyDescent="0.25"/>
    <row r="17955" s="12" customFormat="1" x14ac:dyDescent="0.25"/>
    <row r="17956" s="12" customFormat="1" x14ac:dyDescent="0.25"/>
    <row r="17957" s="12" customFormat="1" x14ac:dyDescent="0.25"/>
    <row r="17958" s="12" customFormat="1" x14ac:dyDescent="0.25"/>
    <row r="17959" s="12" customFormat="1" x14ac:dyDescent="0.25"/>
    <row r="17960" s="12" customFormat="1" x14ac:dyDescent="0.25"/>
    <row r="17961" s="12" customFormat="1" x14ac:dyDescent="0.25"/>
    <row r="17962" s="12" customFormat="1" x14ac:dyDescent="0.25"/>
    <row r="17963" s="12" customFormat="1" x14ac:dyDescent="0.25"/>
    <row r="17964" s="12" customFormat="1" x14ac:dyDescent="0.25"/>
    <row r="17965" s="12" customFormat="1" x14ac:dyDescent="0.25"/>
    <row r="17966" s="12" customFormat="1" x14ac:dyDescent="0.25"/>
    <row r="17967" s="12" customFormat="1" x14ac:dyDescent="0.25"/>
    <row r="17968" s="12" customFormat="1" x14ac:dyDescent="0.25"/>
    <row r="17969" s="12" customFormat="1" x14ac:dyDescent="0.25"/>
    <row r="17970" s="12" customFormat="1" x14ac:dyDescent="0.25"/>
    <row r="17971" s="12" customFormat="1" x14ac:dyDescent="0.25"/>
    <row r="17972" s="12" customFormat="1" x14ac:dyDescent="0.25"/>
    <row r="17973" s="12" customFormat="1" x14ac:dyDescent="0.25"/>
    <row r="17974" s="12" customFormat="1" x14ac:dyDescent="0.25"/>
    <row r="17975" s="12" customFormat="1" x14ac:dyDescent="0.25"/>
    <row r="17976" s="12" customFormat="1" x14ac:dyDescent="0.25"/>
    <row r="17977" s="12" customFormat="1" x14ac:dyDescent="0.25"/>
    <row r="17978" s="12" customFormat="1" x14ac:dyDescent="0.25"/>
    <row r="17979" s="12" customFormat="1" x14ac:dyDescent="0.25"/>
    <row r="17980" s="12" customFormat="1" x14ac:dyDescent="0.25"/>
    <row r="17981" s="12" customFormat="1" x14ac:dyDescent="0.25"/>
    <row r="17982" s="12" customFormat="1" x14ac:dyDescent="0.25"/>
    <row r="17983" s="12" customFormat="1" x14ac:dyDescent="0.25"/>
    <row r="17984" s="12" customFormat="1" x14ac:dyDescent="0.25"/>
    <row r="17985" s="12" customFormat="1" x14ac:dyDescent="0.25"/>
    <row r="17986" s="12" customFormat="1" x14ac:dyDescent="0.25"/>
    <row r="17987" s="12" customFormat="1" x14ac:dyDescent="0.25"/>
    <row r="17988" s="12" customFormat="1" x14ac:dyDescent="0.25"/>
    <row r="17989" s="12" customFormat="1" x14ac:dyDescent="0.25"/>
    <row r="17990" s="12" customFormat="1" x14ac:dyDescent="0.25"/>
    <row r="17991" s="12" customFormat="1" x14ac:dyDescent="0.25"/>
    <row r="17992" s="12" customFormat="1" x14ac:dyDescent="0.25"/>
    <row r="17993" s="12" customFormat="1" x14ac:dyDescent="0.25"/>
    <row r="17994" s="12" customFormat="1" x14ac:dyDescent="0.25"/>
    <row r="17995" s="12" customFormat="1" x14ac:dyDescent="0.25"/>
    <row r="17996" s="12" customFormat="1" x14ac:dyDescent="0.25"/>
    <row r="17997" s="12" customFormat="1" x14ac:dyDescent="0.25"/>
    <row r="17998" s="12" customFormat="1" x14ac:dyDescent="0.25"/>
    <row r="17999" s="12" customFormat="1" x14ac:dyDescent="0.25"/>
    <row r="18000" s="12" customFormat="1" x14ac:dyDescent="0.25"/>
    <row r="18001" s="12" customFormat="1" x14ac:dyDescent="0.25"/>
    <row r="18002" s="12" customFormat="1" x14ac:dyDescent="0.25"/>
    <row r="18003" s="12" customFormat="1" x14ac:dyDescent="0.25"/>
    <row r="18004" s="12" customFormat="1" x14ac:dyDescent="0.25"/>
    <row r="18005" s="12" customFormat="1" x14ac:dyDescent="0.25"/>
    <row r="18006" s="12" customFormat="1" x14ac:dyDescent="0.25"/>
    <row r="18007" s="12" customFormat="1" x14ac:dyDescent="0.25"/>
    <row r="18008" s="12" customFormat="1" x14ac:dyDescent="0.25"/>
    <row r="18009" s="12" customFormat="1" x14ac:dyDescent="0.25"/>
    <row r="18010" s="12" customFormat="1" x14ac:dyDescent="0.25"/>
    <row r="18011" s="12" customFormat="1" x14ac:dyDescent="0.25"/>
    <row r="18012" s="12" customFormat="1" x14ac:dyDescent="0.25"/>
    <row r="18013" s="12" customFormat="1" x14ac:dyDescent="0.25"/>
    <row r="18014" s="12" customFormat="1" x14ac:dyDescent="0.25"/>
    <row r="18015" s="12" customFormat="1" x14ac:dyDescent="0.25"/>
    <row r="18016" s="12" customFormat="1" x14ac:dyDescent="0.25"/>
    <row r="18017" s="12" customFormat="1" x14ac:dyDescent="0.25"/>
    <row r="18018" s="12" customFormat="1" x14ac:dyDescent="0.25"/>
    <row r="18019" s="12" customFormat="1" x14ac:dyDescent="0.25"/>
    <row r="18020" s="12" customFormat="1" x14ac:dyDescent="0.25"/>
    <row r="18021" s="12" customFormat="1" x14ac:dyDescent="0.25"/>
    <row r="18022" s="12" customFormat="1" x14ac:dyDescent="0.25"/>
    <row r="18023" s="12" customFormat="1" x14ac:dyDescent="0.25"/>
    <row r="18024" s="12" customFormat="1" x14ac:dyDescent="0.25"/>
    <row r="18025" s="12" customFormat="1" x14ac:dyDescent="0.25"/>
    <row r="18026" s="12" customFormat="1" x14ac:dyDescent="0.25"/>
    <row r="18027" s="12" customFormat="1" x14ac:dyDescent="0.25"/>
    <row r="18028" s="12" customFormat="1" x14ac:dyDescent="0.25"/>
    <row r="18029" s="12" customFormat="1" x14ac:dyDescent="0.25"/>
    <row r="18030" s="12" customFormat="1" x14ac:dyDescent="0.25"/>
    <row r="18031" s="12" customFormat="1" x14ac:dyDescent="0.25"/>
    <row r="18032" s="12" customFormat="1" x14ac:dyDescent="0.25"/>
    <row r="18033" s="12" customFormat="1" x14ac:dyDescent="0.25"/>
    <row r="18034" s="12" customFormat="1" x14ac:dyDescent="0.25"/>
    <row r="18035" s="12" customFormat="1" x14ac:dyDescent="0.25"/>
    <row r="18036" s="12" customFormat="1" x14ac:dyDescent="0.25"/>
    <row r="18037" s="12" customFormat="1" x14ac:dyDescent="0.25"/>
    <row r="18038" s="12" customFormat="1" x14ac:dyDescent="0.25"/>
    <row r="18039" s="12" customFormat="1" x14ac:dyDescent="0.25"/>
    <row r="18040" s="12" customFormat="1" x14ac:dyDescent="0.25"/>
    <row r="18041" s="12" customFormat="1" x14ac:dyDescent="0.25"/>
    <row r="18042" s="12" customFormat="1" x14ac:dyDescent="0.25"/>
    <row r="18043" s="12" customFormat="1" x14ac:dyDescent="0.25"/>
    <row r="18044" s="12" customFormat="1" x14ac:dyDescent="0.25"/>
    <row r="18045" s="12" customFormat="1" x14ac:dyDescent="0.25"/>
    <row r="18046" s="12" customFormat="1" x14ac:dyDescent="0.25"/>
    <row r="18047" s="12" customFormat="1" x14ac:dyDescent="0.25"/>
    <row r="18048" s="12" customFormat="1" x14ac:dyDescent="0.25"/>
    <row r="18049" s="12" customFormat="1" x14ac:dyDescent="0.25"/>
    <row r="18050" s="12" customFormat="1" x14ac:dyDescent="0.25"/>
    <row r="18051" s="12" customFormat="1" x14ac:dyDescent="0.25"/>
    <row r="18052" s="12" customFormat="1" x14ac:dyDescent="0.25"/>
    <row r="18053" s="12" customFormat="1" x14ac:dyDescent="0.25"/>
    <row r="18054" s="12" customFormat="1" x14ac:dyDescent="0.25"/>
    <row r="18055" s="12" customFormat="1" x14ac:dyDescent="0.25"/>
    <row r="18056" s="12" customFormat="1" x14ac:dyDescent="0.25"/>
    <row r="18057" s="12" customFormat="1" x14ac:dyDescent="0.25"/>
    <row r="18058" s="12" customFormat="1" x14ac:dyDescent="0.25"/>
    <row r="18059" s="12" customFormat="1" x14ac:dyDescent="0.25"/>
    <row r="18060" s="12" customFormat="1" x14ac:dyDescent="0.25"/>
    <row r="18061" s="12" customFormat="1" x14ac:dyDescent="0.25"/>
    <row r="18062" s="12" customFormat="1" x14ac:dyDescent="0.25"/>
    <row r="18063" s="12" customFormat="1" x14ac:dyDescent="0.25"/>
    <row r="18064" s="12" customFormat="1" x14ac:dyDescent="0.25"/>
    <row r="18065" s="12" customFormat="1" x14ac:dyDescent="0.25"/>
    <row r="18066" s="12" customFormat="1" x14ac:dyDescent="0.25"/>
    <row r="18067" s="12" customFormat="1" x14ac:dyDescent="0.25"/>
    <row r="18068" s="12" customFormat="1" x14ac:dyDescent="0.25"/>
    <row r="18069" s="12" customFormat="1" x14ac:dyDescent="0.25"/>
    <row r="18070" s="12" customFormat="1" x14ac:dyDescent="0.25"/>
    <row r="18071" s="12" customFormat="1" x14ac:dyDescent="0.25"/>
    <row r="18072" s="12" customFormat="1" x14ac:dyDescent="0.25"/>
    <row r="18073" s="12" customFormat="1" x14ac:dyDescent="0.25"/>
    <row r="18074" s="12" customFormat="1" x14ac:dyDescent="0.25"/>
    <row r="18075" s="12" customFormat="1" x14ac:dyDescent="0.25"/>
    <row r="18076" s="12" customFormat="1" x14ac:dyDescent="0.25"/>
    <row r="18077" s="12" customFormat="1" x14ac:dyDescent="0.25"/>
    <row r="18078" s="12" customFormat="1" x14ac:dyDescent="0.25"/>
    <row r="18079" s="12" customFormat="1" x14ac:dyDescent="0.25"/>
    <row r="18080" s="12" customFormat="1" x14ac:dyDescent="0.25"/>
    <row r="18081" s="12" customFormat="1" x14ac:dyDescent="0.25"/>
    <row r="18082" s="12" customFormat="1" x14ac:dyDescent="0.25"/>
    <row r="18083" s="12" customFormat="1" x14ac:dyDescent="0.25"/>
    <row r="18084" s="12" customFormat="1" x14ac:dyDescent="0.25"/>
    <row r="18085" s="12" customFormat="1" x14ac:dyDescent="0.25"/>
    <row r="18086" s="12" customFormat="1" x14ac:dyDescent="0.25"/>
    <row r="18087" s="12" customFormat="1" x14ac:dyDescent="0.25"/>
    <row r="18088" s="12" customFormat="1" x14ac:dyDescent="0.25"/>
    <row r="18089" s="12" customFormat="1" x14ac:dyDescent="0.25"/>
    <row r="18090" s="12" customFormat="1" x14ac:dyDescent="0.25"/>
    <row r="18091" s="12" customFormat="1" x14ac:dyDescent="0.25"/>
    <row r="18092" s="12" customFormat="1" x14ac:dyDescent="0.25"/>
    <row r="18093" s="12" customFormat="1" x14ac:dyDescent="0.25"/>
    <row r="18094" s="12" customFormat="1" x14ac:dyDescent="0.25"/>
    <row r="18095" s="12" customFormat="1" x14ac:dyDescent="0.25"/>
    <row r="18096" s="12" customFormat="1" x14ac:dyDescent="0.25"/>
    <row r="18097" s="12" customFormat="1" x14ac:dyDescent="0.25"/>
    <row r="18098" s="12" customFormat="1" x14ac:dyDescent="0.25"/>
    <row r="18099" s="12" customFormat="1" x14ac:dyDescent="0.25"/>
    <row r="18100" s="12" customFormat="1" x14ac:dyDescent="0.25"/>
    <row r="18101" s="12" customFormat="1" x14ac:dyDescent="0.25"/>
    <row r="18102" s="12" customFormat="1" x14ac:dyDescent="0.25"/>
    <row r="18103" s="12" customFormat="1" x14ac:dyDescent="0.25"/>
    <row r="18104" s="12" customFormat="1" x14ac:dyDescent="0.25"/>
    <row r="18105" s="12" customFormat="1" x14ac:dyDescent="0.25"/>
    <row r="18106" s="12" customFormat="1" x14ac:dyDescent="0.25"/>
    <row r="18107" s="12" customFormat="1" x14ac:dyDescent="0.25"/>
    <row r="18108" s="12" customFormat="1" x14ac:dyDescent="0.25"/>
    <row r="18109" s="12" customFormat="1" x14ac:dyDescent="0.25"/>
    <row r="18110" s="12" customFormat="1" x14ac:dyDescent="0.25"/>
    <row r="18111" s="12" customFormat="1" x14ac:dyDescent="0.25"/>
    <row r="18112" s="12" customFormat="1" x14ac:dyDescent="0.25"/>
    <row r="18113" s="12" customFormat="1" x14ac:dyDescent="0.25"/>
    <row r="18114" s="12" customFormat="1" x14ac:dyDescent="0.25"/>
    <row r="18115" s="12" customFormat="1" x14ac:dyDescent="0.25"/>
    <row r="18116" s="12" customFormat="1" x14ac:dyDescent="0.25"/>
    <row r="18117" s="12" customFormat="1" x14ac:dyDescent="0.25"/>
    <row r="18118" s="12" customFormat="1" x14ac:dyDescent="0.25"/>
    <row r="18119" s="12" customFormat="1" x14ac:dyDescent="0.25"/>
    <row r="18120" s="12" customFormat="1" x14ac:dyDescent="0.25"/>
    <row r="18121" s="12" customFormat="1" x14ac:dyDescent="0.25"/>
    <row r="18122" s="12" customFormat="1" x14ac:dyDescent="0.25"/>
    <row r="18123" s="12" customFormat="1" x14ac:dyDescent="0.25"/>
    <row r="18124" s="12" customFormat="1" x14ac:dyDescent="0.25"/>
    <row r="18125" s="12" customFormat="1" x14ac:dyDescent="0.25"/>
    <row r="18126" s="12" customFormat="1" x14ac:dyDescent="0.25"/>
    <row r="18127" s="12" customFormat="1" x14ac:dyDescent="0.25"/>
    <row r="18128" s="12" customFormat="1" x14ac:dyDescent="0.25"/>
    <row r="18129" s="12" customFormat="1" x14ac:dyDescent="0.25"/>
    <row r="18130" s="12" customFormat="1" x14ac:dyDescent="0.25"/>
    <row r="18131" s="12" customFormat="1" x14ac:dyDescent="0.25"/>
    <row r="18132" s="12" customFormat="1" x14ac:dyDescent="0.25"/>
    <row r="18133" s="12" customFormat="1" x14ac:dyDescent="0.25"/>
    <row r="18134" s="12" customFormat="1" x14ac:dyDescent="0.25"/>
    <row r="18135" s="12" customFormat="1" x14ac:dyDescent="0.25"/>
    <row r="18136" s="12" customFormat="1" x14ac:dyDescent="0.25"/>
    <row r="18137" s="12" customFormat="1" x14ac:dyDescent="0.25"/>
    <row r="18138" s="12" customFormat="1" x14ac:dyDescent="0.25"/>
    <row r="18139" s="12" customFormat="1" x14ac:dyDescent="0.25"/>
    <row r="18140" s="12" customFormat="1" x14ac:dyDescent="0.25"/>
    <row r="18141" s="12" customFormat="1" x14ac:dyDescent="0.25"/>
    <row r="18142" s="12" customFormat="1" x14ac:dyDescent="0.25"/>
    <row r="18143" s="12" customFormat="1" x14ac:dyDescent="0.25"/>
    <row r="18144" s="12" customFormat="1" x14ac:dyDescent="0.25"/>
    <row r="18145" s="12" customFormat="1" x14ac:dyDescent="0.25"/>
    <row r="18146" s="12" customFormat="1" x14ac:dyDescent="0.25"/>
    <row r="18147" s="12" customFormat="1" x14ac:dyDescent="0.25"/>
    <row r="18148" s="12" customFormat="1" x14ac:dyDescent="0.25"/>
    <row r="18149" s="12" customFormat="1" x14ac:dyDescent="0.25"/>
    <row r="18150" s="12" customFormat="1" x14ac:dyDescent="0.25"/>
    <row r="18151" s="12" customFormat="1" x14ac:dyDescent="0.25"/>
    <row r="18152" s="12" customFormat="1" x14ac:dyDescent="0.25"/>
    <row r="18153" s="12" customFormat="1" x14ac:dyDescent="0.25"/>
    <row r="18154" s="12" customFormat="1" x14ac:dyDescent="0.25"/>
    <row r="18155" s="12" customFormat="1" x14ac:dyDescent="0.25"/>
    <row r="18156" s="12" customFormat="1" x14ac:dyDescent="0.25"/>
    <row r="18157" s="12" customFormat="1" x14ac:dyDescent="0.25"/>
    <row r="18158" s="12" customFormat="1" x14ac:dyDescent="0.25"/>
    <row r="18159" s="12" customFormat="1" x14ac:dyDescent="0.25"/>
    <row r="18160" s="12" customFormat="1" x14ac:dyDescent="0.25"/>
    <row r="18161" s="12" customFormat="1" x14ac:dyDescent="0.25"/>
    <row r="18162" s="12" customFormat="1" x14ac:dyDescent="0.25"/>
    <row r="18163" s="12" customFormat="1" x14ac:dyDescent="0.25"/>
    <row r="18164" s="12" customFormat="1" x14ac:dyDescent="0.25"/>
    <row r="18165" s="12" customFormat="1" x14ac:dyDescent="0.25"/>
    <row r="18166" s="12" customFormat="1" x14ac:dyDescent="0.25"/>
    <row r="18167" s="12" customFormat="1" x14ac:dyDescent="0.25"/>
    <row r="18168" s="12" customFormat="1" x14ac:dyDescent="0.25"/>
    <row r="18169" s="12" customFormat="1" x14ac:dyDescent="0.25"/>
    <row r="18170" s="12" customFormat="1" x14ac:dyDescent="0.25"/>
    <row r="18171" s="12" customFormat="1" x14ac:dyDescent="0.25"/>
    <row r="18172" s="12" customFormat="1" x14ac:dyDescent="0.25"/>
    <row r="18173" s="12" customFormat="1" x14ac:dyDescent="0.25"/>
    <row r="18174" s="12" customFormat="1" x14ac:dyDescent="0.25"/>
    <row r="18175" s="12" customFormat="1" x14ac:dyDescent="0.25"/>
    <row r="18176" s="12" customFormat="1" x14ac:dyDescent="0.25"/>
    <row r="18177" s="12" customFormat="1" x14ac:dyDescent="0.25"/>
    <row r="18178" s="12" customFormat="1" x14ac:dyDescent="0.25"/>
    <row r="18179" s="12" customFormat="1" x14ac:dyDescent="0.25"/>
    <row r="18180" s="12" customFormat="1" x14ac:dyDescent="0.25"/>
    <row r="18181" s="12" customFormat="1" x14ac:dyDescent="0.25"/>
    <row r="18182" s="12" customFormat="1" x14ac:dyDescent="0.25"/>
    <row r="18183" s="12" customFormat="1" x14ac:dyDescent="0.25"/>
    <row r="18184" s="12" customFormat="1" x14ac:dyDescent="0.25"/>
    <row r="18185" s="12" customFormat="1" x14ac:dyDescent="0.25"/>
    <row r="18186" s="12" customFormat="1" x14ac:dyDescent="0.25"/>
    <row r="18187" s="12" customFormat="1" x14ac:dyDescent="0.25"/>
    <row r="18188" s="12" customFormat="1" x14ac:dyDescent="0.25"/>
    <row r="18189" s="12" customFormat="1" x14ac:dyDescent="0.25"/>
    <row r="18190" s="12" customFormat="1" x14ac:dyDescent="0.25"/>
    <row r="18191" s="12" customFormat="1" x14ac:dyDescent="0.25"/>
    <row r="18192" s="12" customFormat="1" x14ac:dyDescent="0.25"/>
    <row r="18193" s="12" customFormat="1" x14ac:dyDescent="0.25"/>
    <row r="18194" s="12" customFormat="1" x14ac:dyDescent="0.25"/>
    <row r="18195" s="12" customFormat="1" x14ac:dyDescent="0.25"/>
    <row r="18196" s="12" customFormat="1" x14ac:dyDescent="0.25"/>
    <row r="18197" s="12" customFormat="1" x14ac:dyDescent="0.25"/>
    <row r="18198" s="12" customFormat="1" x14ac:dyDescent="0.25"/>
    <row r="18199" s="12" customFormat="1" x14ac:dyDescent="0.25"/>
    <row r="18200" s="12" customFormat="1" x14ac:dyDescent="0.25"/>
    <row r="18201" s="12" customFormat="1" x14ac:dyDescent="0.25"/>
    <row r="18202" s="12" customFormat="1" x14ac:dyDescent="0.25"/>
    <row r="18203" s="12" customFormat="1" x14ac:dyDescent="0.25"/>
    <row r="18204" s="12" customFormat="1" x14ac:dyDescent="0.25"/>
    <row r="18205" s="12" customFormat="1" x14ac:dyDescent="0.25"/>
    <row r="18206" s="12" customFormat="1" x14ac:dyDescent="0.25"/>
    <row r="18207" s="12" customFormat="1" x14ac:dyDescent="0.25"/>
    <row r="18208" s="12" customFormat="1" x14ac:dyDescent="0.25"/>
    <row r="18209" s="12" customFormat="1" x14ac:dyDescent="0.25"/>
    <row r="18210" s="12" customFormat="1" x14ac:dyDescent="0.25"/>
    <row r="18211" s="12" customFormat="1" x14ac:dyDescent="0.25"/>
    <row r="18212" s="12" customFormat="1" x14ac:dyDescent="0.25"/>
    <row r="18213" s="12" customFormat="1" x14ac:dyDescent="0.25"/>
    <row r="18214" s="12" customFormat="1" x14ac:dyDescent="0.25"/>
    <row r="18215" s="12" customFormat="1" x14ac:dyDescent="0.25"/>
    <row r="18216" s="12" customFormat="1" x14ac:dyDescent="0.25"/>
    <row r="18217" s="12" customFormat="1" x14ac:dyDescent="0.25"/>
    <row r="18218" s="12" customFormat="1" x14ac:dyDescent="0.25"/>
    <row r="18219" s="12" customFormat="1" x14ac:dyDescent="0.25"/>
    <row r="18220" s="12" customFormat="1" x14ac:dyDescent="0.25"/>
    <row r="18221" s="12" customFormat="1" x14ac:dyDescent="0.25"/>
    <row r="18222" s="12" customFormat="1" x14ac:dyDescent="0.25"/>
    <row r="18223" s="12" customFormat="1" x14ac:dyDescent="0.25"/>
    <row r="18224" s="12" customFormat="1" x14ac:dyDescent="0.25"/>
    <row r="18225" s="12" customFormat="1" x14ac:dyDescent="0.25"/>
    <row r="18226" s="12" customFormat="1" x14ac:dyDescent="0.25"/>
    <row r="18227" s="12" customFormat="1" x14ac:dyDescent="0.25"/>
    <row r="18228" s="12" customFormat="1" x14ac:dyDescent="0.25"/>
    <row r="18229" s="12" customFormat="1" x14ac:dyDescent="0.25"/>
    <row r="18230" s="12" customFormat="1" x14ac:dyDescent="0.25"/>
    <row r="18231" s="12" customFormat="1" x14ac:dyDescent="0.25"/>
    <row r="18232" s="12" customFormat="1" x14ac:dyDescent="0.25"/>
    <row r="18233" s="12" customFormat="1" x14ac:dyDescent="0.25"/>
    <row r="18234" s="12" customFormat="1" x14ac:dyDescent="0.25"/>
    <row r="18235" s="12" customFormat="1" x14ac:dyDescent="0.25"/>
    <row r="18236" s="12" customFormat="1" x14ac:dyDescent="0.25"/>
    <row r="18237" s="12" customFormat="1" x14ac:dyDescent="0.25"/>
    <row r="18238" s="12" customFormat="1" x14ac:dyDescent="0.25"/>
    <row r="18239" s="12" customFormat="1" x14ac:dyDescent="0.25"/>
    <row r="18240" s="12" customFormat="1" x14ac:dyDescent="0.25"/>
    <row r="18241" s="12" customFormat="1" x14ac:dyDescent="0.25"/>
    <row r="18242" s="12" customFormat="1" x14ac:dyDescent="0.25"/>
    <row r="18243" s="12" customFormat="1" x14ac:dyDescent="0.25"/>
    <row r="18244" s="12" customFormat="1" x14ac:dyDescent="0.25"/>
    <row r="18245" s="12" customFormat="1" x14ac:dyDescent="0.25"/>
    <row r="18246" s="12" customFormat="1" x14ac:dyDescent="0.25"/>
    <row r="18247" s="12" customFormat="1" x14ac:dyDescent="0.25"/>
    <row r="18248" s="12" customFormat="1" x14ac:dyDescent="0.25"/>
    <row r="18249" s="12" customFormat="1" x14ac:dyDescent="0.25"/>
    <row r="18250" s="12" customFormat="1" x14ac:dyDescent="0.25"/>
    <row r="18251" s="12" customFormat="1" x14ac:dyDescent="0.25"/>
    <row r="18252" s="12" customFormat="1" x14ac:dyDescent="0.25"/>
    <row r="18253" s="12" customFormat="1" x14ac:dyDescent="0.25"/>
    <row r="18254" s="12" customFormat="1" x14ac:dyDescent="0.25"/>
    <row r="18255" s="12" customFormat="1" x14ac:dyDescent="0.25"/>
    <row r="18256" s="12" customFormat="1" x14ac:dyDescent="0.25"/>
    <row r="18257" s="12" customFormat="1" x14ac:dyDescent="0.25"/>
    <row r="18258" s="12" customFormat="1" x14ac:dyDescent="0.25"/>
    <row r="18259" s="12" customFormat="1" x14ac:dyDescent="0.25"/>
    <row r="18260" s="12" customFormat="1" x14ac:dyDescent="0.25"/>
    <row r="18261" s="12" customFormat="1" x14ac:dyDescent="0.25"/>
    <row r="18262" s="12" customFormat="1" x14ac:dyDescent="0.25"/>
    <row r="18263" s="12" customFormat="1" x14ac:dyDescent="0.25"/>
    <row r="18264" s="12" customFormat="1" x14ac:dyDescent="0.25"/>
    <row r="18265" s="12" customFormat="1" x14ac:dyDescent="0.25"/>
    <row r="18266" s="12" customFormat="1" x14ac:dyDescent="0.25"/>
    <row r="18267" s="12" customFormat="1" x14ac:dyDescent="0.25"/>
    <row r="18268" s="12" customFormat="1" x14ac:dyDescent="0.25"/>
    <row r="18269" s="12" customFormat="1" x14ac:dyDescent="0.25"/>
    <row r="18270" s="12" customFormat="1" x14ac:dyDescent="0.25"/>
    <row r="18271" s="12" customFormat="1" x14ac:dyDescent="0.25"/>
    <row r="18272" s="12" customFormat="1" x14ac:dyDescent="0.25"/>
    <row r="18273" s="12" customFormat="1" x14ac:dyDescent="0.25"/>
    <row r="18274" s="12" customFormat="1" x14ac:dyDescent="0.25"/>
    <row r="18275" s="12" customFormat="1" x14ac:dyDescent="0.25"/>
    <row r="18276" s="12" customFormat="1" x14ac:dyDescent="0.25"/>
    <row r="18277" s="12" customFormat="1" x14ac:dyDescent="0.25"/>
    <row r="18278" s="12" customFormat="1" x14ac:dyDescent="0.25"/>
    <row r="18279" s="12" customFormat="1" x14ac:dyDescent="0.25"/>
    <row r="18280" s="12" customFormat="1" x14ac:dyDescent="0.25"/>
    <row r="18281" s="12" customFormat="1" x14ac:dyDescent="0.25"/>
    <row r="18282" s="12" customFormat="1" x14ac:dyDescent="0.25"/>
    <row r="18283" s="12" customFormat="1" x14ac:dyDescent="0.25"/>
    <row r="18284" s="12" customFormat="1" x14ac:dyDescent="0.25"/>
    <row r="18285" s="12" customFormat="1" x14ac:dyDescent="0.25"/>
    <row r="18286" s="12" customFormat="1" x14ac:dyDescent="0.25"/>
    <row r="18287" s="12" customFormat="1" x14ac:dyDescent="0.25"/>
    <row r="18288" s="12" customFormat="1" x14ac:dyDescent="0.25"/>
    <row r="18289" s="12" customFormat="1" x14ac:dyDescent="0.25"/>
    <row r="18290" s="12" customFormat="1" x14ac:dyDescent="0.25"/>
    <row r="18291" s="12" customFormat="1" x14ac:dyDescent="0.25"/>
    <row r="18292" s="12" customFormat="1" x14ac:dyDescent="0.25"/>
    <row r="18293" s="12" customFormat="1" x14ac:dyDescent="0.25"/>
    <row r="18294" s="12" customFormat="1" x14ac:dyDescent="0.25"/>
    <row r="18295" s="12" customFormat="1" x14ac:dyDescent="0.25"/>
    <row r="18296" s="12" customFormat="1" x14ac:dyDescent="0.25"/>
    <row r="18297" s="12" customFormat="1" x14ac:dyDescent="0.25"/>
    <row r="18298" s="12" customFormat="1" x14ac:dyDescent="0.25"/>
    <row r="18299" s="12" customFormat="1" x14ac:dyDescent="0.25"/>
    <row r="18300" s="12" customFormat="1" x14ac:dyDescent="0.25"/>
    <row r="18301" s="12" customFormat="1" x14ac:dyDescent="0.25"/>
    <row r="18302" s="12" customFormat="1" x14ac:dyDescent="0.25"/>
    <row r="18303" s="12" customFormat="1" x14ac:dyDescent="0.25"/>
    <row r="18304" s="12" customFormat="1" x14ac:dyDescent="0.25"/>
    <row r="18305" s="12" customFormat="1" x14ac:dyDescent="0.25"/>
    <row r="18306" s="12" customFormat="1" x14ac:dyDescent="0.25"/>
    <row r="18307" s="12" customFormat="1" x14ac:dyDescent="0.25"/>
    <row r="18308" s="12" customFormat="1" x14ac:dyDescent="0.25"/>
    <row r="18309" s="12" customFormat="1" x14ac:dyDescent="0.25"/>
    <row r="18310" s="12" customFormat="1" x14ac:dyDescent="0.25"/>
    <row r="18311" s="12" customFormat="1" x14ac:dyDescent="0.25"/>
    <row r="18312" s="12" customFormat="1" x14ac:dyDescent="0.25"/>
    <row r="18313" s="12" customFormat="1" x14ac:dyDescent="0.25"/>
    <row r="18314" s="12" customFormat="1" x14ac:dyDescent="0.25"/>
    <row r="18315" s="12" customFormat="1" x14ac:dyDescent="0.25"/>
    <row r="18316" s="12" customFormat="1" x14ac:dyDescent="0.25"/>
    <row r="18317" s="12" customFormat="1" x14ac:dyDescent="0.25"/>
    <row r="18318" s="12" customFormat="1" x14ac:dyDescent="0.25"/>
    <row r="18319" s="12" customFormat="1" x14ac:dyDescent="0.25"/>
    <row r="18320" s="12" customFormat="1" x14ac:dyDescent="0.25"/>
    <row r="18321" s="12" customFormat="1" x14ac:dyDescent="0.25"/>
    <row r="18322" s="12" customFormat="1" x14ac:dyDescent="0.25"/>
    <row r="18323" s="12" customFormat="1" x14ac:dyDescent="0.25"/>
    <row r="18324" s="12" customFormat="1" x14ac:dyDescent="0.25"/>
    <row r="18325" s="12" customFormat="1" x14ac:dyDescent="0.25"/>
    <row r="18326" s="12" customFormat="1" x14ac:dyDescent="0.25"/>
    <row r="18327" s="12" customFormat="1" x14ac:dyDescent="0.25"/>
    <row r="18328" s="12" customFormat="1" x14ac:dyDescent="0.25"/>
    <row r="18329" s="12" customFormat="1" x14ac:dyDescent="0.25"/>
    <row r="18330" s="12" customFormat="1" x14ac:dyDescent="0.25"/>
    <row r="18331" s="12" customFormat="1" x14ac:dyDescent="0.25"/>
    <row r="18332" s="12" customFormat="1" x14ac:dyDescent="0.25"/>
    <row r="18333" s="12" customFormat="1" x14ac:dyDescent="0.25"/>
    <row r="18334" s="12" customFormat="1" x14ac:dyDescent="0.25"/>
    <row r="18335" s="12" customFormat="1" x14ac:dyDescent="0.25"/>
    <row r="18336" s="12" customFormat="1" x14ac:dyDescent="0.25"/>
    <row r="18337" s="12" customFormat="1" x14ac:dyDescent="0.25"/>
    <row r="18338" s="12" customFormat="1" x14ac:dyDescent="0.25"/>
    <row r="18339" s="12" customFormat="1" x14ac:dyDescent="0.25"/>
    <row r="18340" s="12" customFormat="1" x14ac:dyDescent="0.25"/>
    <row r="18341" s="12" customFormat="1" x14ac:dyDescent="0.25"/>
    <row r="18342" s="12" customFormat="1" x14ac:dyDescent="0.25"/>
    <row r="18343" s="12" customFormat="1" x14ac:dyDescent="0.25"/>
    <row r="18344" s="12" customFormat="1" x14ac:dyDescent="0.25"/>
    <row r="18345" s="12" customFormat="1" x14ac:dyDescent="0.25"/>
    <row r="18346" s="12" customFormat="1" x14ac:dyDescent="0.25"/>
    <row r="18347" s="12" customFormat="1" x14ac:dyDescent="0.25"/>
    <row r="18348" s="12" customFormat="1" x14ac:dyDescent="0.25"/>
    <row r="18349" s="12" customFormat="1" x14ac:dyDescent="0.25"/>
    <row r="18350" s="12" customFormat="1" x14ac:dyDescent="0.25"/>
    <row r="18351" s="12" customFormat="1" x14ac:dyDescent="0.25"/>
    <row r="18352" s="12" customFormat="1" x14ac:dyDescent="0.25"/>
    <row r="18353" s="12" customFormat="1" x14ac:dyDescent="0.25"/>
    <row r="18354" s="12" customFormat="1" x14ac:dyDescent="0.25"/>
    <row r="18355" s="12" customFormat="1" x14ac:dyDescent="0.25"/>
    <row r="18356" s="12" customFormat="1" x14ac:dyDescent="0.25"/>
    <row r="18357" s="12" customFormat="1" x14ac:dyDescent="0.25"/>
    <row r="18358" s="12" customFormat="1" x14ac:dyDescent="0.25"/>
    <row r="18359" s="12" customFormat="1" x14ac:dyDescent="0.25"/>
    <row r="18360" s="12" customFormat="1" x14ac:dyDescent="0.25"/>
    <row r="18361" s="12" customFormat="1" x14ac:dyDescent="0.25"/>
    <row r="18362" s="12" customFormat="1" x14ac:dyDescent="0.25"/>
    <row r="18363" s="12" customFormat="1" x14ac:dyDescent="0.25"/>
    <row r="18364" s="12" customFormat="1" x14ac:dyDescent="0.25"/>
    <row r="18365" s="12" customFormat="1" x14ac:dyDescent="0.25"/>
    <row r="18366" s="12" customFormat="1" x14ac:dyDescent="0.25"/>
    <row r="18367" s="12" customFormat="1" x14ac:dyDescent="0.25"/>
    <row r="18368" s="12" customFormat="1" x14ac:dyDescent="0.25"/>
    <row r="18369" s="12" customFormat="1" x14ac:dyDescent="0.25"/>
    <row r="18370" s="12" customFormat="1" x14ac:dyDescent="0.25"/>
    <row r="18371" s="12" customFormat="1" x14ac:dyDescent="0.25"/>
    <row r="18372" s="12" customFormat="1" x14ac:dyDescent="0.25"/>
    <row r="18373" s="12" customFormat="1" x14ac:dyDescent="0.25"/>
    <row r="18374" s="12" customFormat="1" x14ac:dyDescent="0.25"/>
    <row r="18375" s="12" customFormat="1" x14ac:dyDescent="0.25"/>
    <row r="18376" s="12" customFormat="1" x14ac:dyDescent="0.25"/>
    <row r="18377" s="12" customFormat="1" x14ac:dyDescent="0.25"/>
    <row r="18378" s="12" customFormat="1" x14ac:dyDescent="0.25"/>
    <row r="18379" s="12" customFormat="1" x14ac:dyDescent="0.25"/>
    <row r="18380" s="12" customFormat="1" x14ac:dyDescent="0.25"/>
    <row r="18381" s="12" customFormat="1" x14ac:dyDescent="0.25"/>
    <row r="18382" s="12" customFormat="1" x14ac:dyDescent="0.25"/>
    <row r="18383" s="12" customFormat="1" x14ac:dyDescent="0.25"/>
    <row r="18384" s="12" customFormat="1" x14ac:dyDescent="0.25"/>
    <row r="18385" s="12" customFormat="1" x14ac:dyDescent="0.25"/>
    <row r="18386" s="12" customFormat="1" x14ac:dyDescent="0.25"/>
    <row r="18387" s="12" customFormat="1" x14ac:dyDescent="0.25"/>
    <row r="18388" s="12" customFormat="1" x14ac:dyDescent="0.25"/>
    <row r="18389" s="12" customFormat="1" x14ac:dyDescent="0.25"/>
    <row r="18390" s="12" customFormat="1" x14ac:dyDescent="0.25"/>
    <row r="18391" s="12" customFormat="1" x14ac:dyDescent="0.25"/>
    <row r="18392" s="12" customFormat="1" x14ac:dyDescent="0.25"/>
    <row r="18393" s="12" customFormat="1" x14ac:dyDescent="0.25"/>
    <row r="18394" s="12" customFormat="1" x14ac:dyDescent="0.25"/>
    <row r="18395" s="12" customFormat="1" x14ac:dyDescent="0.25"/>
    <row r="18396" s="12" customFormat="1" x14ac:dyDescent="0.25"/>
    <row r="18397" s="12" customFormat="1" x14ac:dyDescent="0.25"/>
    <row r="18398" s="12" customFormat="1" x14ac:dyDescent="0.25"/>
    <row r="18399" s="12" customFormat="1" x14ac:dyDescent="0.25"/>
    <row r="18400" s="12" customFormat="1" x14ac:dyDescent="0.25"/>
    <row r="18401" s="12" customFormat="1" x14ac:dyDescent="0.25"/>
    <row r="18402" s="12" customFormat="1" x14ac:dyDescent="0.25"/>
    <row r="18403" s="12" customFormat="1" x14ac:dyDescent="0.25"/>
    <row r="18404" s="12" customFormat="1" x14ac:dyDescent="0.25"/>
    <row r="18405" s="12" customFormat="1" x14ac:dyDescent="0.25"/>
    <row r="18406" s="12" customFormat="1" x14ac:dyDescent="0.25"/>
    <row r="18407" s="12" customFormat="1" x14ac:dyDescent="0.25"/>
    <row r="18408" s="12" customFormat="1" x14ac:dyDescent="0.25"/>
    <row r="18409" s="12" customFormat="1" x14ac:dyDescent="0.25"/>
    <row r="18410" s="12" customFormat="1" x14ac:dyDescent="0.25"/>
    <row r="18411" s="12" customFormat="1" x14ac:dyDescent="0.25"/>
    <row r="18412" s="12" customFormat="1" x14ac:dyDescent="0.25"/>
    <row r="18413" s="12" customFormat="1" x14ac:dyDescent="0.25"/>
    <row r="18414" s="12" customFormat="1" x14ac:dyDescent="0.25"/>
    <row r="18415" s="12" customFormat="1" x14ac:dyDescent="0.25"/>
    <row r="18416" s="12" customFormat="1" x14ac:dyDescent="0.25"/>
    <row r="18417" s="12" customFormat="1" x14ac:dyDescent="0.25"/>
    <row r="18418" s="12" customFormat="1" x14ac:dyDescent="0.25"/>
    <row r="18419" s="12" customFormat="1" x14ac:dyDescent="0.25"/>
    <row r="18420" s="12" customFormat="1" x14ac:dyDescent="0.25"/>
    <row r="18421" s="12" customFormat="1" x14ac:dyDescent="0.25"/>
    <row r="18422" s="12" customFormat="1" x14ac:dyDescent="0.25"/>
    <row r="18423" s="12" customFormat="1" x14ac:dyDescent="0.25"/>
    <row r="18424" s="12" customFormat="1" x14ac:dyDescent="0.25"/>
    <row r="18425" s="12" customFormat="1" x14ac:dyDescent="0.25"/>
    <row r="18426" s="12" customFormat="1" x14ac:dyDescent="0.25"/>
    <row r="18427" s="12" customFormat="1" x14ac:dyDescent="0.25"/>
    <row r="18428" s="12" customFormat="1" x14ac:dyDescent="0.25"/>
    <row r="18429" s="12" customFormat="1" x14ac:dyDescent="0.25"/>
    <row r="18430" s="12" customFormat="1" x14ac:dyDescent="0.25"/>
    <row r="18431" s="12" customFormat="1" x14ac:dyDescent="0.25"/>
    <row r="18432" s="12" customFormat="1" x14ac:dyDescent="0.25"/>
    <row r="18433" s="12" customFormat="1" x14ac:dyDescent="0.25"/>
    <row r="18434" s="12" customFormat="1" x14ac:dyDescent="0.25"/>
    <row r="18435" s="12" customFormat="1" x14ac:dyDescent="0.25"/>
    <row r="18436" s="12" customFormat="1" x14ac:dyDescent="0.25"/>
    <row r="18437" s="12" customFormat="1" x14ac:dyDescent="0.25"/>
    <row r="18438" s="12" customFormat="1" x14ac:dyDescent="0.25"/>
    <row r="18439" s="12" customFormat="1" x14ac:dyDescent="0.25"/>
    <row r="18440" s="12" customFormat="1" x14ac:dyDescent="0.25"/>
    <row r="18441" s="12" customFormat="1" x14ac:dyDescent="0.25"/>
    <row r="18442" s="12" customFormat="1" x14ac:dyDescent="0.25"/>
    <row r="18443" s="12" customFormat="1" x14ac:dyDescent="0.25"/>
    <row r="18444" s="12" customFormat="1" x14ac:dyDescent="0.25"/>
    <row r="18445" s="12" customFormat="1" x14ac:dyDescent="0.25"/>
    <row r="18446" s="12" customFormat="1" x14ac:dyDescent="0.25"/>
    <row r="18447" s="12" customFormat="1" x14ac:dyDescent="0.25"/>
    <row r="18448" s="12" customFormat="1" x14ac:dyDescent="0.25"/>
    <row r="18449" s="12" customFormat="1" x14ac:dyDescent="0.25"/>
    <row r="18450" s="12" customFormat="1" x14ac:dyDescent="0.25"/>
    <row r="18451" s="12" customFormat="1" x14ac:dyDescent="0.25"/>
    <row r="18452" s="12" customFormat="1" x14ac:dyDescent="0.25"/>
    <row r="18453" s="12" customFormat="1" x14ac:dyDescent="0.25"/>
    <row r="18454" s="12" customFormat="1" x14ac:dyDescent="0.25"/>
    <row r="18455" s="12" customFormat="1" x14ac:dyDescent="0.25"/>
    <row r="18456" s="12" customFormat="1" x14ac:dyDescent="0.25"/>
    <row r="18457" s="12" customFormat="1" x14ac:dyDescent="0.25"/>
    <row r="18458" s="12" customFormat="1" x14ac:dyDescent="0.25"/>
    <row r="18459" s="12" customFormat="1" x14ac:dyDescent="0.25"/>
    <row r="18460" s="12" customFormat="1" x14ac:dyDescent="0.25"/>
    <row r="18461" s="12" customFormat="1" x14ac:dyDescent="0.25"/>
    <row r="18462" s="12" customFormat="1" x14ac:dyDescent="0.25"/>
    <row r="18463" s="12" customFormat="1" x14ac:dyDescent="0.25"/>
    <row r="18464" s="12" customFormat="1" x14ac:dyDescent="0.25"/>
    <row r="18465" s="12" customFormat="1" x14ac:dyDescent="0.25"/>
    <row r="18466" s="12" customFormat="1" x14ac:dyDescent="0.25"/>
    <row r="18467" s="12" customFormat="1" x14ac:dyDescent="0.25"/>
    <row r="18468" s="12" customFormat="1" x14ac:dyDescent="0.25"/>
    <row r="18469" s="12" customFormat="1" x14ac:dyDescent="0.25"/>
    <row r="18470" s="12" customFormat="1" x14ac:dyDescent="0.25"/>
    <row r="18471" s="12" customFormat="1" x14ac:dyDescent="0.25"/>
    <row r="18472" s="12" customFormat="1" x14ac:dyDescent="0.25"/>
    <row r="18473" s="12" customFormat="1" x14ac:dyDescent="0.25"/>
    <row r="18474" s="12" customFormat="1" x14ac:dyDescent="0.25"/>
    <row r="18475" s="12" customFormat="1" x14ac:dyDescent="0.25"/>
    <row r="18476" s="12" customFormat="1" x14ac:dyDescent="0.25"/>
    <row r="18477" s="12" customFormat="1" x14ac:dyDescent="0.25"/>
    <row r="18478" s="12" customFormat="1" x14ac:dyDescent="0.25"/>
    <row r="18479" s="12" customFormat="1" x14ac:dyDescent="0.25"/>
    <row r="18480" s="12" customFormat="1" x14ac:dyDescent="0.25"/>
    <row r="18481" s="12" customFormat="1" x14ac:dyDescent="0.25"/>
    <row r="18482" s="12" customFormat="1" x14ac:dyDescent="0.25"/>
    <row r="18483" s="12" customFormat="1" x14ac:dyDescent="0.25"/>
    <row r="18484" s="12" customFormat="1" x14ac:dyDescent="0.25"/>
    <row r="18485" s="12" customFormat="1" x14ac:dyDescent="0.25"/>
    <row r="18486" s="12" customFormat="1" x14ac:dyDescent="0.25"/>
    <row r="18487" s="12" customFormat="1" x14ac:dyDescent="0.25"/>
    <row r="18488" s="12" customFormat="1" x14ac:dyDescent="0.25"/>
    <row r="18489" s="12" customFormat="1" x14ac:dyDescent="0.25"/>
    <row r="18490" s="12" customFormat="1" x14ac:dyDescent="0.25"/>
    <row r="18491" s="12" customFormat="1" x14ac:dyDescent="0.25"/>
    <row r="18492" s="12" customFormat="1" x14ac:dyDescent="0.25"/>
    <row r="18493" s="12" customFormat="1" x14ac:dyDescent="0.25"/>
    <row r="18494" s="12" customFormat="1" x14ac:dyDescent="0.25"/>
    <row r="18495" s="12" customFormat="1" x14ac:dyDescent="0.25"/>
    <row r="18496" s="12" customFormat="1" x14ac:dyDescent="0.25"/>
    <row r="18497" s="12" customFormat="1" x14ac:dyDescent="0.25"/>
    <row r="18498" s="12" customFormat="1" x14ac:dyDescent="0.25"/>
    <row r="18499" s="12" customFormat="1" x14ac:dyDescent="0.25"/>
    <row r="18500" s="12" customFormat="1" x14ac:dyDescent="0.25"/>
    <row r="18501" s="12" customFormat="1" x14ac:dyDescent="0.25"/>
    <row r="18502" s="12" customFormat="1" x14ac:dyDescent="0.25"/>
    <row r="18503" s="12" customFormat="1" x14ac:dyDescent="0.25"/>
    <row r="18504" s="12" customFormat="1" x14ac:dyDescent="0.25"/>
    <row r="18505" s="12" customFormat="1" x14ac:dyDescent="0.25"/>
    <row r="18506" s="12" customFormat="1" x14ac:dyDescent="0.25"/>
    <row r="18507" s="12" customFormat="1" x14ac:dyDescent="0.25"/>
    <row r="18508" s="12" customFormat="1" x14ac:dyDescent="0.25"/>
    <row r="18509" s="12" customFormat="1" x14ac:dyDescent="0.25"/>
    <row r="18510" s="12" customFormat="1" x14ac:dyDescent="0.25"/>
    <row r="18511" s="12" customFormat="1" x14ac:dyDescent="0.25"/>
    <row r="18512" s="12" customFormat="1" x14ac:dyDescent="0.25"/>
    <row r="18513" s="12" customFormat="1" x14ac:dyDescent="0.25"/>
    <row r="18514" s="12" customFormat="1" x14ac:dyDescent="0.25"/>
    <row r="18515" s="12" customFormat="1" x14ac:dyDescent="0.25"/>
    <row r="18516" s="12" customFormat="1" x14ac:dyDescent="0.25"/>
    <row r="18517" s="12" customFormat="1" x14ac:dyDescent="0.25"/>
    <row r="18518" s="12" customFormat="1" x14ac:dyDescent="0.25"/>
    <row r="18519" s="12" customFormat="1" x14ac:dyDescent="0.25"/>
    <row r="18520" s="12" customFormat="1" x14ac:dyDescent="0.25"/>
    <row r="18521" s="12" customFormat="1" x14ac:dyDescent="0.25"/>
    <row r="18522" s="12" customFormat="1" x14ac:dyDescent="0.25"/>
    <row r="18523" s="12" customFormat="1" x14ac:dyDescent="0.25"/>
    <row r="18524" s="12" customFormat="1" x14ac:dyDescent="0.25"/>
    <row r="18525" s="12" customFormat="1" x14ac:dyDescent="0.25"/>
    <row r="18526" s="12" customFormat="1" x14ac:dyDescent="0.25"/>
    <row r="18527" s="12" customFormat="1" x14ac:dyDescent="0.25"/>
    <row r="18528" s="12" customFormat="1" x14ac:dyDescent="0.25"/>
    <row r="18529" s="12" customFormat="1" x14ac:dyDescent="0.25"/>
    <row r="18530" s="12" customFormat="1" x14ac:dyDescent="0.25"/>
    <row r="18531" s="12" customFormat="1" x14ac:dyDescent="0.25"/>
    <row r="18532" s="12" customFormat="1" x14ac:dyDescent="0.25"/>
    <row r="18533" s="12" customFormat="1" x14ac:dyDescent="0.25"/>
    <row r="18534" s="12" customFormat="1" x14ac:dyDescent="0.25"/>
    <row r="18535" s="12" customFormat="1" x14ac:dyDescent="0.25"/>
    <row r="18536" s="12" customFormat="1" x14ac:dyDescent="0.25"/>
    <row r="18537" s="12" customFormat="1" x14ac:dyDescent="0.25"/>
    <row r="18538" s="12" customFormat="1" x14ac:dyDescent="0.25"/>
    <row r="18539" s="12" customFormat="1" x14ac:dyDescent="0.25"/>
    <row r="18540" s="12" customFormat="1" x14ac:dyDescent="0.25"/>
    <row r="18541" s="12" customFormat="1" x14ac:dyDescent="0.25"/>
    <row r="18542" s="12" customFormat="1" x14ac:dyDescent="0.25"/>
    <row r="18543" s="12" customFormat="1" x14ac:dyDescent="0.25"/>
    <row r="18544" s="12" customFormat="1" x14ac:dyDescent="0.25"/>
    <row r="18545" s="12" customFormat="1" x14ac:dyDescent="0.25"/>
    <row r="18546" s="12" customFormat="1" x14ac:dyDescent="0.25"/>
    <row r="18547" s="12" customFormat="1" x14ac:dyDescent="0.25"/>
    <row r="18548" s="12" customFormat="1" x14ac:dyDescent="0.25"/>
    <row r="18549" s="12" customFormat="1" x14ac:dyDescent="0.25"/>
    <row r="18550" s="12" customFormat="1" x14ac:dyDescent="0.25"/>
    <row r="18551" s="12" customFormat="1" x14ac:dyDescent="0.25"/>
    <row r="18552" s="12" customFormat="1" x14ac:dyDescent="0.25"/>
    <row r="18553" s="12" customFormat="1" x14ac:dyDescent="0.25"/>
    <row r="18554" s="12" customFormat="1" x14ac:dyDescent="0.25"/>
    <row r="18555" s="12" customFormat="1" x14ac:dyDescent="0.25"/>
    <row r="18556" s="12" customFormat="1" x14ac:dyDescent="0.25"/>
    <row r="18557" s="12" customFormat="1" x14ac:dyDescent="0.25"/>
    <row r="18558" s="12" customFormat="1" x14ac:dyDescent="0.25"/>
    <row r="18559" s="12" customFormat="1" x14ac:dyDescent="0.25"/>
    <row r="18560" s="12" customFormat="1" x14ac:dyDescent="0.25"/>
    <row r="18561" s="12" customFormat="1" x14ac:dyDescent="0.25"/>
    <row r="18562" s="12" customFormat="1" x14ac:dyDescent="0.25"/>
    <row r="18563" s="12" customFormat="1" x14ac:dyDescent="0.25"/>
    <row r="18564" s="12" customFormat="1" x14ac:dyDescent="0.25"/>
    <row r="18565" s="12" customFormat="1" x14ac:dyDescent="0.25"/>
    <row r="18566" s="12" customFormat="1" x14ac:dyDescent="0.25"/>
    <row r="18567" s="12" customFormat="1" x14ac:dyDescent="0.25"/>
    <row r="18568" s="12" customFormat="1" x14ac:dyDescent="0.25"/>
    <row r="18569" s="12" customFormat="1" x14ac:dyDescent="0.25"/>
    <row r="18570" s="12" customFormat="1" x14ac:dyDescent="0.25"/>
    <row r="18571" s="12" customFormat="1" x14ac:dyDescent="0.25"/>
    <row r="18572" s="12" customFormat="1" x14ac:dyDescent="0.25"/>
    <row r="18573" s="12" customFormat="1" x14ac:dyDescent="0.25"/>
    <row r="18574" s="12" customFormat="1" x14ac:dyDescent="0.25"/>
    <row r="18575" s="12" customFormat="1" x14ac:dyDescent="0.25"/>
    <row r="18576" s="12" customFormat="1" x14ac:dyDescent="0.25"/>
    <row r="18577" s="12" customFormat="1" x14ac:dyDescent="0.25"/>
    <row r="18578" s="12" customFormat="1" x14ac:dyDescent="0.25"/>
    <row r="18579" s="12" customFormat="1" x14ac:dyDescent="0.25"/>
    <row r="18580" s="12" customFormat="1" x14ac:dyDescent="0.25"/>
    <row r="18581" s="12" customFormat="1" x14ac:dyDescent="0.25"/>
    <row r="18582" s="12" customFormat="1" x14ac:dyDescent="0.25"/>
    <row r="18583" s="12" customFormat="1" x14ac:dyDescent="0.25"/>
    <row r="18584" s="12" customFormat="1" x14ac:dyDescent="0.25"/>
    <row r="18585" s="12" customFormat="1" x14ac:dyDescent="0.25"/>
    <row r="18586" s="12" customFormat="1" x14ac:dyDescent="0.25"/>
    <row r="18587" s="12" customFormat="1" x14ac:dyDescent="0.25"/>
    <row r="18588" s="12" customFormat="1" x14ac:dyDescent="0.25"/>
    <row r="18589" s="12" customFormat="1" x14ac:dyDescent="0.25"/>
    <row r="18590" s="12" customFormat="1" x14ac:dyDescent="0.25"/>
    <row r="18591" s="12" customFormat="1" x14ac:dyDescent="0.25"/>
    <row r="18592" s="12" customFormat="1" x14ac:dyDescent="0.25"/>
    <row r="18593" s="12" customFormat="1" x14ac:dyDescent="0.25"/>
    <row r="18594" s="12" customFormat="1" x14ac:dyDescent="0.25"/>
    <row r="18595" s="12" customFormat="1" x14ac:dyDescent="0.25"/>
    <row r="18596" s="12" customFormat="1" x14ac:dyDescent="0.25"/>
    <row r="18597" s="12" customFormat="1" x14ac:dyDescent="0.25"/>
    <row r="18598" s="12" customFormat="1" x14ac:dyDescent="0.25"/>
    <row r="18599" s="12" customFormat="1" x14ac:dyDescent="0.25"/>
    <row r="18600" s="12" customFormat="1" x14ac:dyDescent="0.25"/>
    <row r="18601" s="12" customFormat="1" x14ac:dyDescent="0.25"/>
    <row r="18602" s="12" customFormat="1" x14ac:dyDescent="0.25"/>
    <row r="18603" s="12" customFormat="1" x14ac:dyDescent="0.25"/>
    <row r="18604" s="12" customFormat="1" x14ac:dyDescent="0.25"/>
    <row r="18605" s="12" customFormat="1" x14ac:dyDescent="0.25"/>
    <row r="18606" s="12" customFormat="1" x14ac:dyDescent="0.25"/>
    <row r="18607" s="12" customFormat="1" x14ac:dyDescent="0.25"/>
    <row r="18608" s="12" customFormat="1" x14ac:dyDescent="0.25"/>
    <row r="18609" s="12" customFormat="1" x14ac:dyDescent="0.25"/>
    <row r="18610" s="12" customFormat="1" x14ac:dyDescent="0.25"/>
    <row r="18611" s="12" customFormat="1" x14ac:dyDescent="0.25"/>
    <row r="18612" s="12" customFormat="1" x14ac:dyDescent="0.25"/>
    <row r="18613" s="12" customFormat="1" x14ac:dyDescent="0.25"/>
    <row r="18614" s="12" customFormat="1" x14ac:dyDescent="0.25"/>
    <row r="18615" s="12" customFormat="1" x14ac:dyDescent="0.25"/>
    <row r="18616" s="12" customFormat="1" x14ac:dyDescent="0.25"/>
    <row r="18617" s="12" customFormat="1" x14ac:dyDescent="0.25"/>
    <row r="18618" s="12" customFormat="1" x14ac:dyDescent="0.25"/>
    <row r="18619" s="12" customFormat="1" x14ac:dyDescent="0.25"/>
    <row r="18620" s="12" customFormat="1" x14ac:dyDescent="0.25"/>
    <row r="18621" s="12" customFormat="1" x14ac:dyDescent="0.25"/>
    <row r="18622" s="12" customFormat="1" x14ac:dyDescent="0.25"/>
    <row r="18623" s="12" customFormat="1" x14ac:dyDescent="0.25"/>
    <row r="18624" s="12" customFormat="1" x14ac:dyDescent="0.25"/>
    <row r="18625" s="12" customFormat="1" x14ac:dyDescent="0.25"/>
    <row r="18626" s="12" customFormat="1" x14ac:dyDescent="0.25"/>
    <row r="18627" s="12" customFormat="1" x14ac:dyDescent="0.25"/>
    <row r="18628" s="12" customFormat="1" x14ac:dyDescent="0.25"/>
    <row r="18629" s="12" customFormat="1" x14ac:dyDescent="0.25"/>
    <row r="18630" s="12" customFormat="1" x14ac:dyDescent="0.25"/>
    <row r="18631" s="12" customFormat="1" x14ac:dyDescent="0.25"/>
    <row r="18632" s="12" customFormat="1" x14ac:dyDescent="0.25"/>
    <row r="18633" s="12" customFormat="1" x14ac:dyDescent="0.25"/>
    <row r="18634" s="12" customFormat="1" x14ac:dyDescent="0.25"/>
    <row r="18635" s="12" customFormat="1" x14ac:dyDescent="0.25"/>
    <row r="18636" s="12" customFormat="1" x14ac:dyDescent="0.25"/>
    <row r="18637" s="12" customFormat="1" x14ac:dyDescent="0.25"/>
    <row r="18638" s="12" customFormat="1" x14ac:dyDescent="0.25"/>
    <row r="18639" s="12" customFormat="1" x14ac:dyDescent="0.25"/>
    <row r="18640" s="12" customFormat="1" x14ac:dyDescent="0.25"/>
    <row r="18641" s="12" customFormat="1" x14ac:dyDescent="0.25"/>
    <row r="18642" s="12" customFormat="1" x14ac:dyDescent="0.25"/>
    <row r="18643" s="12" customFormat="1" x14ac:dyDescent="0.25"/>
    <row r="18644" s="12" customFormat="1" x14ac:dyDescent="0.25"/>
    <row r="18645" s="12" customFormat="1" x14ac:dyDescent="0.25"/>
    <row r="18646" s="12" customFormat="1" x14ac:dyDescent="0.25"/>
    <row r="18647" s="12" customFormat="1" x14ac:dyDescent="0.25"/>
    <row r="18648" s="12" customFormat="1" x14ac:dyDescent="0.25"/>
    <row r="18649" s="12" customFormat="1" x14ac:dyDescent="0.25"/>
    <row r="18650" s="12" customFormat="1" x14ac:dyDescent="0.25"/>
    <row r="18651" s="12" customFormat="1" x14ac:dyDescent="0.25"/>
    <row r="18652" s="12" customFormat="1" x14ac:dyDescent="0.25"/>
    <row r="18653" s="12" customFormat="1" x14ac:dyDescent="0.25"/>
    <row r="18654" s="12" customFormat="1" x14ac:dyDescent="0.25"/>
    <row r="18655" s="12" customFormat="1" x14ac:dyDescent="0.25"/>
    <row r="18656" s="12" customFormat="1" x14ac:dyDescent="0.25"/>
    <row r="18657" s="12" customFormat="1" x14ac:dyDescent="0.25"/>
    <row r="18658" s="12" customFormat="1" x14ac:dyDescent="0.25"/>
    <row r="18659" s="12" customFormat="1" x14ac:dyDescent="0.25"/>
    <row r="18660" s="12" customFormat="1" x14ac:dyDescent="0.25"/>
    <row r="18661" s="12" customFormat="1" x14ac:dyDescent="0.25"/>
    <row r="18662" s="12" customFormat="1" x14ac:dyDescent="0.25"/>
    <row r="18663" s="12" customFormat="1" x14ac:dyDescent="0.25"/>
    <row r="18664" s="12" customFormat="1" x14ac:dyDescent="0.25"/>
    <row r="18665" s="12" customFormat="1" x14ac:dyDescent="0.25"/>
    <row r="18666" s="12" customFormat="1" x14ac:dyDescent="0.25"/>
    <row r="18667" s="12" customFormat="1" x14ac:dyDescent="0.25"/>
    <row r="18668" s="12" customFormat="1" x14ac:dyDescent="0.25"/>
    <row r="18669" s="12" customFormat="1" x14ac:dyDescent="0.25"/>
    <row r="18670" s="12" customFormat="1" x14ac:dyDescent="0.25"/>
    <row r="18671" s="12" customFormat="1" x14ac:dyDescent="0.25"/>
    <row r="18672" s="12" customFormat="1" x14ac:dyDescent="0.25"/>
    <row r="18673" s="12" customFormat="1" x14ac:dyDescent="0.25"/>
    <row r="18674" s="12" customFormat="1" x14ac:dyDescent="0.25"/>
    <row r="18675" s="12" customFormat="1" x14ac:dyDescent="0.25"/>
    <row r="18676" s="12" customFormat="1" x14ac:dyDescent="0.25"/>
    <row r="18677" s="12" customFormat="1" x14ac:dyDescent="0.25"/>
    <row r="18678" s="12" customFormat="1" x14ac:dyDescent="0.25"/>
    <row r="18679" s="12" customFormat="1" x14ac:dyDescent="0.25"/>
    <row r="18680" s="12" customFormat="1" x14ac:dyDescent="0.25"/>
    <row r="18681" s="12" customFormat="1" x14ac:dyDescent="0.25"/>
    <row r="18682" s="12" customFormat="1" x14ac:dyDescent="0.25"/>
    <row r="18683" s="12" customFormat="1" x14ac:dyDescent="0.25"/>
    <row r="18684" s="12" customFormat="1" x14ac:dyDescent="0.25"/>
    <row r="18685" s="12" customFormat="1" x14ac:dyDescent="0.25"/>
    <row r="18686" s="12" customFormat="1" x14ac:dyDescent="0.25"/>
    <row r="18687" s="12" customFormat="1" x14ac:dyDescent="0.25"/>
    <row r="18688" s="12" customFormat="1" x14ac:dyDescent="0.25"/>
    <row r="18689" s="12" customFormat="1" x14ac:dyDescent="0.25"/>
    <row r="18690" s="12" customFormat="1" x14ac:dyDescent="0.25"/>
    <row r="18691" s="12" customFormat="1" x14ac:dyDescent="0.25"/>
    <row r="18692" s="12" customFormat="1" x14ac:dyDescent="0.25"/>
    <row r="18693" s="12" customFormat="1" x14ac:dyDescent="0.25"/>
    <row r="18694" s="12" customFormat="1" x14ac:dyDescent="0.25"/>
    <row r="18695" s="12" customFormat="1" x14ac:dyDescent="0.25"/>
    <row r="18696" s="12" customFormat="1" x14ac:dyDescent="0.25"/>
    <row r="18697" s="12" customFormat="1" x14ac:dyDescent="0.25"/>
    <row r="18698" s="12" customFormat="1" x14ac:dyDescent="0.25"/>
    <row r="18699" s="12" customFormat="1" x14ac:dyDescent="0.25"/>
    <row r="18700" s="12" customFormat="1" x14ac:dyDescent="0.25"/>
    <row r="18701" s="12" customFormat="1" x14ac:dyDescent="0.25"/>
    <row r="18702" s="12" customFormat="1" x14ac:dyDescent="0.25"/>
    <row r="18703" s="12" customFormat="1" x14ac:dyDescent="0.25"/>
    <row r="18704" s="12" customFormat="1" x14ac:dyDescent="0.25"/>
    <row r="18705" s="12" customFormat="1" x14ac:dyDescent="0.25"/>
    <row r="18706" s="12" customFormat="1" x14ac:dyDescent="0.25"/>
    <row r="18707" s="12" customFormat="1" x14ac:dyDescent="0.25"/>
    <row r="18708" s="12" customFormat="1" x14ac:dyDescent="0.25"/>
    <row r="18709" s="12" customFormat="1" x14ac:dyDescent="0.25"/>
    <row r="18710" s="12" customFormat="1" x14ac:dyDescent="0.25"/>
    <row r="18711" s="12" customFormat="1" x14ac:dyDescent="0.25"/>
    <row r="18712" s="12" customFormat="1" x14ac:dyDescent="0.25"/>
    <row r="18713" s="12" customFormat="1" x14ac:dyDescent="0.25"/>
    <row r="18714" s="12" customFormat="1" x14ac:dyDescent="0.25"/>
    <row r="18715" s="12" customFormat="1" x14ac:dyDescent="0.25"/>
    <row r="18716" s="12" customFormat="1" x14ac:dyDescent="0.25"/>
    <row r="18717" s="12" customFormat="1" x14ac:dyDescent="0.25"/>
    <row r="18718" s="12" customFormat="1" x14ac:dyDescent="0.25"/>
    <row r="18719" s="12" customFormat="1" x14ac:dyDescent="0.25"/>
    <row r="18720" s="12" customFormat="1" x14ac:dyDescent="0.25"/>
    <row r="18721" s="12" customFormat="1" x14ac:dyDescent="0.25"/>
    <row r="18722" s="12" customFormat="1" x14ac:dyDescent="0.25"/>
    <row r="18723" s="12" customFormat="1" x14ac:dyDescent="0.25"/>
    <row r="18724" s="12" customFormat="1" x14ac:dyDescent="0.25"/>
    <row r="18725" s="12" customFormat="1" x14ac:dyDescent="0.25"/>
    <row r="18726" s="12" customFormat="1" x14ac:dyDescent="0.25"/>
    <row r="18727" s="12" customFormat="1" x14ac:dyDescent="0.25"/>
    <row r="18728" s="12" customFormat="1" x14ac:dyDescent="0.25"/>
    <row r="18729" s="12" customFormat="1" x14ac:dyDescent="0.25"/>
    <row r="18730" s="12" customFormat="1" x14ac:dyDescent="0.25"/>
    <row r="18731" s="12" customFormat="1" x14ac:dyDescent="0.25"/>
    <row r="18732" s="12" customFormat="1" x14ac:dyDescent="0.25"/>
    <row r="18733" s="12" customFormat="1" x14ac:dyDescent="0.25"/>
    <row r="18734" s="12" customFormat="1" x14ac:dyDescent="0.25"/>
    <row r="18735" s="12" customFormat="1" x14ac:dyDescent="0.25"/>
    <row r="18736" s="12" customFormat="1" x14ac:dyDescent="0.25"/>
    <row r="18737" s="12" customFormat="1" x14ac:dyDescent="0.25"/>
    <row r="18738" s="12" customFormat="1" x14ac:dyDescent="0.25"/>
    <row r="18739" s="12" customFormat="1" x14ac:dyDescent="0.25"/>
    <row r="18740" s="12" customFormat="1" x14ac:dyDescent="0.25"/>
    <row r="18741" s="12" customFormat="1" x14ac:dyDescent="0.25"/>
    <row r="18742" s="12" customFormat="1" x14ac:dyDescent="0.25"/>
    <row r="18743" s="12" customFormat="1" x14ac:dyDescent="0.25"/>
    <row r="18744" s="12" customFormat="1" x14ac:dyDescent="0.25"/>
    <row r="18745" s="12" customFormat="1" x14ac:dyDescent="0.25"/>
    <row r="18746" s="12" customFormat="1" x14ac:dyDescent="0.25"/>
    <row r="18747" s="12" customFormat="1" x14ac:dyDescent="0.25"/>
    <row r="18748" s="12" customFormat="1" x14ac:dyDescent="0.25"/>
    <row r="18749" s="12" customFormat="1" x14ac:dyDescent="0.25"/>
    <row r="18750" s="12" customFormat="1" x14ac:dyDescent="0.25"/>
    <row r="18751" s="12" customFormat="1" x14ac:dyDescent="0.25"/>
    <row r="18752" s="12" customFormat="1" x14ac:dyDescent="0.25"/>
    <row r="18753" s="12" customFormat="1" x14ac:dyDescent="0.25"/>
    <row r="18754" s="12" customFormat="1" x14ac:dyDescent="0.25"/>
    <row r="18755" s="12" customFormat="1" x14ac:dyDescent="0.25"/>
    <row r="18756" s="12" customFormat="1" x14ac:dyDescent="0.25"/>
    <row r="18757" s="12" customFormat="1" x14ac:dyDescent="0.25"/>
    <row r="18758" s="12" customFormat="1" x14ac:dyDescent="0.25"/>
    <row r="18759" s="12" customFormat="1" x14ac:dyDescent="0.25"/>
    <row r="18760" s="12" customFormat="1" x14ac:dyDescent="0.25"/>
    <row r="18761" s="12" customFormat="1" x14ac:dyDescent="0.25"/>
    <row r="18762" s="12" customFormat="1" x14ac:dyDescent="0.25"/>
    <row r="18763" s="12" customFormat="1" x14ac:dyDescent="0.25"/>
    <row r="18764" s="12" customFormat="1" x14ac:dyDescent="0.25"/>
    <row r="18765" s="12" customFormat="1" x14ac:dyDescent="0.25"/>
    <row r="18766" s="12" customFormat="1" x14ac:dyDescent="0.25"/>
    <row r="18767" s="12" customFormat="1" x14ac:dyDescent="0.25"/>
    <row r="18768" s="12" customFormat="1" x14ac:dyDescent="0.25"/>
    <row r="18769" s="12" customFormat="1" x14ac:dyDescent="0.25"/>
    <row r="18770" s="12" customFormat="1" x14ac:dyDescent="0.25"/>
    <row r="18771" s="12" customFormat="1" x14ac:dyDescent="0.25"/>
    <row r="18772" s="12" customFormat="1" x14ac:dyDescent="0.25"/>
    <row r="18773" s="12" customFormat="1" x14ac:dyDescent="0.25"/>
    <row r="18774" s="12" customFormat="1" x14ac:dyDescent="0.25"/>
    <row r="18775" s="12" customFormat="1" x14ac:dyDescent="0.25"/>
    <row r="18776" s="12" customFormat="1" x14ac:dyDescent="0.25"/>
    <row r="18777" s="12" customFormat="1" x14ac:dyDescent="0.25"/>
    <row r="18778" s="12" customFormat="1" x14ac:dyDescent="0.25"/>
    <row r="18779" s="12" customFormat="1" x14ac:dyDescent="0.25"/>
    <row r="18780" s="12" customFormat="1" x14ac:dyDescent="0.25"/>
    <row r="18781" s="12" customFormat="1" x14ac:dyDescent="0.25"/>
    <row r="18782" s="12" customFormat="1" x14ac:dyDescent="0.25"/>
    <row r="18783" s="12" customFormat="1" x14ac:dyDescent="0.25"/>
    <row r="18784" s="12" customFormat="1" x14ac:dyDescent="0.25"/>
    <row r="18785" s="12" customFormat="1" x14ac:dyDescent="0.25"/>
    <row r="18786" s="12" customFormat="1" x14ac:dyDescent="0.25"/>
    <row r="18787" s="12" customFormat="1" x14ac:dyDescent="0.25"/>
    <row r="18788" s="12" customFormat="1" x14ac:dyDescent="0.25"/>
    <row r="18789" s="12" customFormat="1" x14ac:dyDescent="0.25"/>
    <row r="18790" s="12" customFormat="1" x14ac:dyDescent="0.25"/>
    <row r="18791" s="12" customFormat="1" x14ac:dyDescent="0.25"/>
    <row r="18792" s="12" customFormat="1" x14ac:dyDescent="0.25"/>
    <row r="18793" s="12" customFormat="1" x14ac:dyDescent="0.25"/>
    <row r="18794" s="12" customFormat="1" x14ac:dyDescent="0.25"/>
    <row r="18795" s="12" customFormat="1" x14ac:dyDescent="0.25"/>
    <row r="18796" s="12" customFormat="1" x14ac:dyDescent="0.25"/>
    <row r="18797" s="12" customFormat="1" x14ac:dyDescent="0.25"/>
    <row r="18798" s="12" customFormat="1" x14ac:dyDescent="0.25"/>
    <row r="18799" s="12" customFormat="1" x14ac:dyDescent="0.25"/>
    <row r="18800" s="12" customFormat="1" x14ac:dyDescent="0.25"/>
    <row r="18801" s="12" customFormat="1" x14ac:dyDescent="0.25"/>
    <row r="18802" s="12" customFormat="1" x14ac:dyDescent="0.25"/>
    <row r="18803" s="12" customFormat="1" x14ac:dyDescent="0.25"/>
    <row r="18804" s="12" customFormat="1" x14ac:dyDescent="0.25"/>
    <row r="18805" s="12" customFormat="1" x14ac:dyDescent="0.25"/>
    <row r="18806" s="12" customFormat="1" x14ac:dyDescent="0.25"/>
    <row r="18807" s="12" customFormat="1" x14ac:dyDescent="0.25"/>
    <row r="18808" s="12" customFormat="1" x14ac:dyDescent="0.25"/>
    <row r="18809" s="12" customFormat="1" x14ac:dyDescent="0.25"/>
    <row r="18810" s="12" customFormat="1" x14ac:dyDescent="0.25"/>
    <row r="18811" s="12" customFormat="1" x14ac:dyDescent="0.25"/>
    <row r="18812" s="12" customFormat="1" x14ac:dyDescent="0.25"/>
    <row r="18813" s="12" customFormat="1" x14ac:dyDescent="0.25"/>
    <row r="18814" s="12" customFormat="1" x14ac:dyDescent="0.25"/>
    <row r="18815" s="12" customFormat="1" x14ac:dyDescent="0.25"/>
    <row r="18816" s="12" customFormat="1" x14ac:dyDescent="0.25"/>
    <row r="18817" s="12" customFormat="1" x14ac:dyDescent="0.25"/>
    <row r="18818" s="12" customFormat="1" x14ac:dyDescent="0.25"/>
    <row r="18819" s="12" customFormat="1" x14ac:dyDescent="0.25"/>
    <row r="18820" s="12" customFormat="1" x14ac:dyDescent="0.25"/>
    <row r="18821" s="12" customFormat="1" x14ac:dyDescent="0.25"/>
    <row r="18822" s="12" customFormat="1" x14ac:dyDescent="0.25"/>
    <row r="18823" s="12" customFormat="1" x14ac:dyDescent="0.25"/>
    <row r="18824" s="12" customFormat="1" x14ac:dyDescent="0.25"/>
    <row r="18825" s="12" customFormat="1" x14ac:dyDescent="0.25"/>
    <row r="18826" s="12" customFormat="1" x14ac:dyDescent="0.25"/>
    <row r="18827" s="12" customFormat="1" x14ac:dyDescent="0.25"/>
    <row r="18828" s="12" customFormat="1" x14ac:dyDescent="0.25"/>
    <row r="18829" s="12" customFormat="1" x14ac:dyDescent="0.25"/>
    <row r="18830" s="12" customFormat="1" x14ac:dyDescent="0.25"/>
    <row r="18831" s="12" customFormat="1" x14ac:dyDescent="0.25"/>
    <row r="18832" s="12" customFormat="1" x14ac:dyDescent="0.25"/>
    <row r="18833" s="12" customFormat="1" x14ac:dyDescent="0.25"/>
    <row r="18834" s="12" customFormat="1" x14ac:dyDescent="0.25"/>
    <row r="18835" s="12" customFormat="1" x14ac:dyDescent="0.25"/>
    <row r="18836" s="12" customFormat="1" x14ac:dyDescent="0.25"/>
    <row r="18837" s="12" customFormat="1" x14ac:dyDescent="0.25"/>
    <row r="18838" s="12" customFormat="1" x14ac:dyDescent="0.25"/>
    <row r="18839" s="12" customFormat="1" x14ac:dyDescent="0.25"/>
    <row r="18840" s="12" customFormat="1" x14ac:dyDescent="0.25"/>
    <row r="18841" s="12" customFormat="1" x14ac:dyDescent="0.25"/>
    <row r="18842" s="12" customFormat="1" x14ac:dyDescent="0.25"/>
    <row r="18843" s="12" customFormat="1" x14ac:dyDescent="0.25"/>
    <row r="18844" s="12" customFormat="1" x14ac:dyDescent="0.25"/>
    <row r="18845" s="12" customFormat="1" x14ac:dyDescent="0.25"/>
    <row r="18846" s="12" customFormat="1" x14ac:dyDescent="0.25"/>
    <row r="18847" s="12" customFormat="1" x14ac:dyDescent="0.25"/>
    <row r="18848" s="12" customFormat="1" x14ac:dyDescent="0.25"/>
    <row r="18849" s="12" customFormat="1" x14ac:dyDescent="0.25"/>
    <row r="18850" s="12" customFormat="1" x14ac:dyDescent="0.25"/>
    <row r="18851" s="12" customFormat="1" x14ac:dyDescent="0.25"/>
    <row r="18852" s="12" customFormat="1" x14ac:dyDescent="0.25"/>
    <row r="18853" s="12" customFormat="1" x14ac:dyDescent="0.25"/>
    <row r="18854" s="12" customFormat="1" x14ac:dyDescent="0.25"/>
    <row r="18855" s="12" customFormat="1" x14ac:dyDescent="0.25"/>
    <row r="18856" s="12" customFormat="1" x14ac:dyDescent="0.25"/>
    <row r="18857" s="12" customFormat="1" x14ac:dyDescent="0.25"/>
    <row r="18858" s="12" customFormat="1" x14ac:dyDescent="0.25"/>
    <row r="18859" s="12" customFormat="1" x14ac:dyDescent="0.25"/>
    <row r="18860" s="12" customFormat="1" x14ac:dyDescent="0.25"/>
    <row r="18861" s="12" customFormat="1" x14ac:dyDescent="0.25"/>
    <row r="18862" s="12" customFormat="1" x14ac:dyDescent="0.25"/>
    <row r="18863" s="12" customFormat="1" x14ac:dyDescent="0.25"/>
    <row r="18864" s="12" customFormat="1" x14ac:dyDescent="0.25"/>
    <row r="18865" s="12" customFormat="1" x14ac:dyDescent="0.25"/>
    <row r="18866" s="12" customFormat="1" x14ac:dyDescent="0.25"/>
    <row r="18867" s="12" customFormat="1" x14ac:dyDescent="0.25"/>
    <row r="18868" s="12" customFormat="1" x14ac:dyDescent="0.25"/>
    <row r="18869" s="12" customFormat="1" x14ac:dyDescent="0.25"/>
    <row r="18870" s="12" customFormat="1" x14ac:dyDescent="0.25"/>
    <row r="18871" s="12" customFormat="1" x14ac:dyDescent="0.25"/>
    <row r="18872" s="12" customFormat="1" x14ac:dyDescent="0.25"/>
    <row r="18873" s="12" customFormat="1" x14ac:dyDescent="0.25"/>
    <row r="18874" s="12" customFormat="1" x14ac:dyDescent="0.25"/>
    <row r="18875" s="12" customFormat="1" x14ac:dyDescent="0.25"/>
    <row r="18876" s="12" customFormat="1" x14ac:dyDescent="0.25"/>
    <row r="18877" s="12" customFormat="1" x14ac:dyDescent="0.25"/>
    <row r="18878" s="12" customFormat="1" x14ac:dyDescent="0.25"/>
    <row r="18879" s="12" customFormat="1" x14ac:dyDescent="0.25"/>
    <row r="18880" s="12" customFormat="1" x14ac:dyDescent="0.25"/>
    <row r="18881" s="12" customFormat="1" x14ac:dyDescent="0.25"/>
    <row r="18882" s="12" customFormat="1" x14ac:dyDescent="0.25"/>
    <row r="18883" s="12" customFormat="1" x14ac:dyDescent="0.25"/>
    <row r="18884" s="12" customFormat="1" x14ac:dyDescent="0.25"/>
    <row r="18885" s="12" customFormat="1" x14ac:dyDescent="0.25"/>
    <row r="18886" s="12" customFormat="1" x14ac:dyDescent="0.25"/>
    <row r="18887" s="12" customFormat="1" x14ac:dyDescent="0.25"/>
    <row r="18888" s="12" customFormat="1" x14ac:dyDescent="0.25"/>
    <row r="18889" s="12" customFormat="1" x14ac:dyDescent="0.25"/>
    <row r="18890" s="12" customFormat="1" x14ac:dyDescent="0.25"/>
    <row r="18891" s="12" customFormat="1" x14ac:dyDescent="0.25"/>
    <row r="18892" s="12" customFormat="1" x14ac:dyDescent="0.25"/>
    <row r="18893" s="12" customFormat="1" x14ac:dyDescent="0.25"/>
    <row r="18894" s="12" customFormat="1" x14ac:dyDescent="0.25"/>
    <row r="18895" s="12" customFormat="1" x14ac:dyDescent="0.25"/>
    <row r="18896" s="12" customFormat="1" x14ac:dyDescent="0.25"/>
    <row r="18897" s="12" customFormat="1" x14ac:dyDescent="0.25"/>
    <row r="18898" s="12" customFormat="1" x14ac:dyDescent="0.25"/>
    <row r="18899" s="12" customFormat="1" x14ac:dyDescent="0.25"/>
    <row r="18900" s="12" customFormat="1" x14ac:dyDescent="0.25"/>
    <row r="18901" s="12" customFormat="1" x14ac:dyDescent="0.25"/>
    <row r="18902" s="12" customFormat="1" x14ac:dyDescent="0.25"/>
    <row r="18903" s="12" customFormat="1" x14ac:dyDescent="0.25"/>
    <row r="18904" s="12" customFormat="1" x14ac:dyDescent="0.25"/>
    <row r="18905" s="12" customFormat="1" x14ac:dyDescent="0.25"/>
    <row r="18906" s="12" customFormat="1" x14ac:dyDescent="0.25"/>
    <row r="18907" s="12" customFormat="1" x14ac:dyDescent="0.25"/>
    <row r="18908" s="12" customFormat="1" x14ac:dyDescent="0.25"/>
    <row r="18909" s="12" customFormat="1" x14ac:dyDescent="0.25"/>
    <row r="18910" s="12" customFormat="1" x14ac:dyDescent="0.25"/>
    <row r="18911" s="12" customFormat="1" x14ac:dyDescent="0.25"/>
    <row r="18912" s="12" customFormat="1" x14ac:dyDescent="0.25"/>
    <row r="18913" s="12" customFormat="1" x14ac:dyDescent="0.25"/>
    <row r="18914" s="12" customFormat="1" x14ac:dyDescent="0.25"/>
    <row r="18915" s="12" customFormat="1" x14ac:dyDescent="0.25"/>
    <row r="18916" s="12" customFormat="1" x14ac:dyDescent="0.25"/>
    <row r="18917" s="12" customFormat="1" x14ac:dyDescent="0.25"/>
    <row r="18918" s="12" customFormat="1" x14ac:dyDescent="0.25"/>
    <row r="18919" s="12" customFormat="1" x14ac:dyDescent="0.25"/>
    <row r="18920" s="12" customFormat="1" x14ac:dyDescent="0.25"/>
    <row r="18921" s="12" customFormat="1" x14ac:dyDescent="0.25"/>
    <row r="18922" s="12" customFormat="1" x14ac:dyDescent="0.25"/>
    <row r="18923" s="12" customFormat="1" x14ac:dyDescent="0.25"/>
    <row r="18924" s="12" customFormat="1" x14ac:dyDescent="0.25"/>
    <row r="18925" s="12" customFormat="1" x14ac:dyDescent="0.25"/>
    <row r="18926" s="12" customFormat="1" x14ac:dyDescent="0.25"/>
    <row r="18927" s="12" customFormat="1" x14ac:dyDescent="0.25"/>
    <row r="18928" s="12" customFormat="1" x14ac:dyDescent="0.25"/>
    <row r="18929" s="12" customFormat="1" x14ac:dyDescent="0.25"/>
    <row r="18930" s="12" customFormat="1" x14ac:dyDescent="0.25"/>
    <row r="18931" s="12" customFormat="1" x14ac:dyDescent="0.25"/>
    <row r="18932" s="12" customFormat="1" x14ac:dyDescent="0.25"/>
    <row r="18933" s="12" customFormat="1" x14ac:dyDescent="0.25"/>
    <row r="18934" s="12" customFormat="1" x14ac:dyDescent="0.25"/>
    <row r="18935" s="12" customFormat="1" x14ac:dyDescent="0.25"/>
    <row r="18936" s="12" customFormat="1" x14ac:dyDescent="0.25"/>
    <row r="18937" s="12" customFormat="1" x14ac:dyDescent="0.25"/>
    <row r="18938" s="12" customFormat="1" x14ac:dyDescent="0.25"/>
    <row r="18939" s="12" customFormat="1" x14ac:dyDescent="0.25"/>
    <row r="18940" s="12" customFormat="1" x14ac:dyDescent="0.25"/>
    <row r="18941" s="12" customFormat="1" x14ac:dyDescent="0.25"/>
    <row r="18942" s="12" customFormat="1" x14ac:dyDescent="0.25"/>
    <row r="18943" s="12" customFormat="1" x14ac:dyDescent="0.25"/>
    <row r="18944" s="12" customFormat="1" x14ac:dyDescent="0.25"/>
    <row r="18945" s="12" customFormat="1" x14ac:dyDescent="0.25"/>
    <row r="18946" s="12" customFormat="1" x14ac:dyDescent="0.25"/>
    <row r="18947" s="12" customFormat="1" x14ac:dyDescent="0.25"/>
    <row r="18948" s="12" customFormat="1" x14ac:dyDescent="0.25"/>
    <row r="18949" s="12" customFormat="1" x14ac:dyDescent="0.25"/>
    <row r="18950" s="12" customFormat="1" x14ac:dyDescent="0.25"/>
    <row r="18951" s="12" customFormat="1" x14ac:dyDescent="0.25"/>
    <row r="18952" s="12" customFormat="1" x14ac:dyDescent="0.25"/>
    <row r="18953" s="12" customFormat="1" x14ac:dyDescent="0.25"/>
    <row r="18954" s="12" customFormat="1" x14ac:dyDescent="0.25"/>
    <row r="18955" s="12" customFormat="1" x14ac:dyDescent="0.25"/>
    <row r="18956" s="12" customFormat="1" x14ac:dyDescent="0.25"/>
    <row r="18957" s="12" customFormat="1" x14ac:dyDescent="0.25"/>
    <row r="18958" s="12" customFormat="1" x14ac:dyDescent="0.25"/>
    <row r="18959" s="12" customFormat="1" x14ac:dyDescent="0.25"/>
    <row r="18960" s="12" customFormat="1" x14ac:dyDescent="0.25"/>
    <row r="18961" s="12" customFormat="1" x14ac:dyDescent="0.25"/>
    <row r="18962" s="12" customFormat="1" x14ac:dyDescent="0.25"/>
    <row r="18963" s="12" customFormat="1" x14ac:dyDescent="0.25"/>
    <row r="18964" s="12" customFormat="1" x14ac:dyDescent="0.25"/>
    <row r="18965" s="12" customFormat="1" x14ac:dyDescent="0.25"/>
    <row r="18966" s="12" customFormat="1" x14ac:dyDescent="0.25"/>
    <row r="18967" s="12" customFormat="1" x14ac:dyDescent="0.25"/>
    <row r="18968" s="12" customFormat="1" x14ac:dyDescent="0.25"/>
    <row r="18969" s="12" customFormat="1" x14ac:dyDescent="0.25"/>
    <row r="18970" s="12" customFormat="1" x14ac:dyDescent="0.25"/>
    <row r="18971" s="12" customFormat="1" x14ac:dyDescent="0.25"/>
    <row r="18972" s="12" customFormat="1" x14ac:dyDescent="0.25"/>
    <row r="18973" s="12" customFormat="1" x14ac:dyDescent="0.25"/>
    <row r="18974" s="12" customFormat="1" x14ac:dyDescent="0.25"/>
    <row r="18975" s="12" customFormat="1" x14ac:dyDescent="0.25"/>
    <row r="18976" s="12" customFormat="1" x14ac:dyDescent="0.25"/>
    <row r="18977" s="12" customFormat="1" x14ac:dyDescent="0.25"/>
    <row r="18978" s="12" customFormat="1" x14ac:dyDescent="0.25"/>
    <row r="18979" s="12" customFormat="1" x14ac:dyDescent="0.25"/>
    <row r="18980" s="12" customFormat="1" x14ac:dyDescent="0.25"/>
    <row r="18981" s="12" customFormat="1" x14ac:dyDescent="0.25"/>
    <row r="18982" s="12" customFormat="1" x14ac:dyDescent="0.25"/>
    <row r="18983" s="12" customFormat="1" x14ac:dyDescent="0.25"/>
    <row r="18984" s="12" customFormat="1" x14ac:dyDescent="0.25"/>
    <row r="18985" s="12" customFormat="1" x14ac:dyDescent="0.25"/>
    <row r="18986" s="12" customFormat="1" x14ac:dyDescent="0.25"/>
    <row r="18987" s="12" customFormat="1" x14ac:dyDescent="0.25"/>
    <row r="18988" s="12" customFormat="1" x14ac:dyDescent="0.25"/>
    <row r="18989" s="12" customFormat="1" x14ac:dyDescent="0.25"/>
    <row r="18990" s="12" customFormat="1" x14ac:dyDescent="0.25"/>
    <row r="18991" s="12" customFormat="1" x14ac:dyDescent="0.25"/>
    <row r="18992" s="12" customFormat="1" x14ac:dyDescent="0.25"/>
    <row r="18993" s="12" customFormat="1" x14ac:dyDescent="0.25"/>
    <row r="18994" s="12" customFormat="1" x14ac:dyDescent="0.25"/>
    <row r="18995" s="12" customFormat="1" x14ac:dyDescent="0.25"/>
    <row r="18996" s="12" customFormat="1" x14ac:dyDescent="0.25"/>
    <row r="18997" s="12" customFormat="1" x14ac:dyDescent="0.25"/>
    <row r="18998" s="12" customFormat="1" x14ac:dyDescent="0.25"/>
    <row r="18999" s="12" customFormat="1" x14ac:dyDescent="0.25"/>
    <row r="19000" s="12" customFormat="1" x14ac:dyDescent="0.25"/>
    <row r="19001" s="12" customFormat="1" x14ac:dyDescent="0.25"/>
    <row r="19002" s="12" customFormat="1" x14ac:dyDescent="0.25"/>
    <row r="19003" s="12" customFormat="1" x14ac:dyDescent="0.25"/>
    <row r="19004" s="12" customFormat="1" x14ac:dyDescent="0.25"/>
    <row r="19005" s="12" customFormat="1" x14ac:dyDescent="0.25"/>
    <row r="19006" s="12" customFormat="1" x14ac:dyDescent="0.25"/>
    <row r="19007" s="12" customFormat="1" x14ac:dyDescent="0.25"/>
    <row r="19008" s="12" customFormat="1" x14ac:dyDescent="0.25"/>
    <row r="19009" s="12" customFormat="1" x14ac:dyDescent="0.25"/>
    <row r="19010" s="12" customFormat="1" x14ac:dyDescent="0.25"/>
    <row r="19011" s="12" customFormat="1" x14ac:dyDescent="0.25"/>
    <row r="19012" s="12" customFormat="1" x14ac:dyDescent="0.25"/>
    <row r="19013" s="12" customFormat="1" x14ac:dyDescent="0.25"/>
    <row r="19014" s="12" customFormat="1" x14ac:dyDescent="0.25"/>
    <row r="19015" s="12" customFormat="1" x14ac:dyDescent="0.25"/>
    <row r="19016" s="12" customFormat="1" x14ac:dyDescent="0.25"/>
    <row r="19017" s="12" customFormat="1" x14ac:dyDescent="0.25"/>
    <row r="19018" s="12" customFormat="1" x14ac:dyDescent="0.25"/>
    <row r="19019" s="12" customFormat="1" x14ac:dyDescent="0.25"/>
    <row r="19020" s="12" customFormat="1" x14ac:dyDescent="0.25"/>
    <row r="19021" s="12" customFormat="1" x14ac:dyDescent="0.25"/>
    <row r="19022" s="12" customFormat="1" x14ac:dyDescent="0.25"/>
    <row r="19023" s="12" customFormat="1" x14ac:dyDescent="0.25"/>
    <row r="19024" s="12" customFormat="1" x14ac:dyDescent="0.25"/>
    <row r="19025" s="12" customFormat="1" x14ac:dyDescent="0.25"/>
    <row r="19026" s="12" customFormat="1" x14ac:dyDescent="0.25"/>
    <row r="19027" s="12" customFormat="1" x14ac:dyDescent="0.25"/>
    <row r="19028" s="12" customFormat="1" x14ac:dyDescent="0.25"/>
    <row r="19029" s="12" customFormat="1" x14ac:dyDescent="0.25"/>
    <row r="19030" s="12" customFormat="1" x14ac:dyDescent="0.25"/>
    <row r="19031" s="12" customFormat="1" x14ac:dyDescent="0.25"/>
    <row r="19032" s="12" customFormat="1" x14ac:dyDescent="0.25"/>
    <row r="19033" s="12" customFormat="1" x14ac:dyDescent="0.25"/>
    <row r="19034" s="12" customFormat="1" x14ac:dyDescent="0.25"/>
    <row r="19035" s="12" customFormat="1" x14ac:dyDescent="0.25"/>
    <row r="19036" s="12" customFormat="1" x14ac:dyDescent="0.25"/>
    <row r="19037" s="12" customFormat="1" x14ac:dyDescent="0.25"/>
    <row r="19038" s="12" customFormat="1" x14ac:dyDescent="0.25"/>
    <row r="19039" s="12" customFormat="1" x14ac:dyDescent="0.25"/>
    <row r="19040" s="12" customFormat="1" x14ac:dyDescent="0.25"/>
    <row r="19041" s="12" customFormat="1" x14ac:dyDescent="0.25"/>
    <row r="19042" s="12" customFormat="1" x14ac:dyDescent="0.25"/>
    <row r="19043" s="12" customFormat="1" x14ac:dyDescent="0.25"/>
    <row r="19044" s="12" customFormat="1" x14ac:dyDescent="0.25"/>
    <row r="19045" s="12" customFormat="1" x14ac:dyDescent="0.25"/>
    <row r="19046" s="12" customFormat="1" x14ac:dyDescent="0.25"/>
    <row r="19047" s="12" customFormat="1" x14ac:dyDescent="0.25"/>
    <row r="19048" s="12" customFormat="1" x14ac:dyDescent="0.25"/>
    <row r="19049" s="12" customFormat="1" x14ac:dyDescent="0.25"/>
    <row r="19050" s="12" customFormat="1" x14ac:dyDescent="0.25"/>
    <row r="19051" s="12" customFormat="1" x14ac:dyDescent="0.25"/>
    <row r="19052" s="12" customFormat="1" x14ac:dyDescent="0.25"/>
    <row r="19053" s="12" customFormat="1" x14ac:dyDescent="0.25"/>
    <row r="19054" s="12" customFormat="1" x14ac:dyDescent="0.25"/>
    <row r="19055" s="12" customFormat="1" x14ac:dyDescent="0.25"/>
    <row r="19056" s="12" customFormat="1" x14ac:dyDescent="0.25"/>
    <row r="19057" s="12" customFormat="1" x14ac:dyDescent="0.25"/>
    <row r="19058" s="12" customFormat="1" x14ac:dyDescent="0.25"/>
    <row r="19059" s="12" customFormat="1" x14ac:dyDescent="0.25"/>
    <row r="19060" s="12" customFormat="1" x14ac:dyDescent="0.25"/>
    <row r="19061" s="12" customFormat="1" x14ac:dyDescent="0.25"/>
    <row r="19062" s="12" customFormat="1" x14ac:dyDescent="0.25"/>
    <row r="19063" s="12" customFormat="1" x14ac:dyDescent="0.25"/>
    <row r="19064" s="12" customFormat="1" x14ac:dyDescent="0.25"/>
    <row r="19065" s="12" customFormat="1" x14ac:dyDescent="0.25"/>
    <row r="19066" s="12" customFormat="1" x14ac:dyDescent="0.25"/>
    <row r="19067" s="12" customFormat="1" x14ac:dyDescent="0.25"/>
    <row r="19068" s="12" customFormat="1" x14ac:dyDescent="0.25"/>
    <row r="19069" s="12" customFormat="1" x14ac:dyDescent="0.25"/>
    <row r="19070" s="12" customFormat="1" x14ac:dyDescent="0.25"/>
    <row r="19071" s="12" customFormat="1" x14ac:dyDescent="0.25"/>
    <row r="19072" s="12" customFormat="1" x14ac:dyDescent="0.25"/>
    <row r="19073" s="12" customFormat="1" x14ac:dyDescent="0.25"/>
    <row r="19074" s="12" customFormat="1" x14ac:dyDescent="0.25"/>
    <row r="19075" s="12" customFormat="1" x14ac:dyDescent="0.25"/>
    <row r="19076" s="12" customFormat="1" x14ac:dyDescent="0.25"/>
    <row r="19077" s="12" customFormat="1" x14ac:dyDescent="0.25"/>
    <row r="19078" s="12" customFormat="1" x14ac:dyDescent="0.25"/>
    <row r="19079" s="12" customFormat="1" x14ac:dyDescent="0.25"/>
    <row r="19080" s="12" customFormat="1" x14ac:dyDescent="0.25"/>
    <row r="19081" s="12" customFormat="1" x14ac:dyDescent="0.25"/>
    <row r="19082" s="12" customFormat="1" x14ac:dyDescent="0.25"/>
    <row r="19083" s="12" customFormat="1" x14ac:dyDescent="0.25"/>
    <row r="19084" s="12" customFormat="1" x14ac:dyDescent="0.25"/>
    <row r="19085" s="12" customFormat="1" x14ac:dyDescent="0.25"/>
    <row r="19086" s="12" customFormat="1" x14ac:dyDescent="0.25"/>
    <row r="19087" s="12" customFormat="1" x14ac:dyDescent="0.25"/>
    <row r="19088" s="12" customFormat="1" x14ac:dyDescent="0.25"/>
    <row r="19089" s="12" customFormat="1" x14ac:dyDescent="0.25"/>
    <row r="19090" s="12" customFormat="1" x14ac:dyDescent="0.25"/>
    <row r="19091" s="12" customFormat="1" x14ac:dyDescent="0.25"/>
    <row r="19092" s="12" customFormat="1" x14ac:dyDescent="0.25"/>
    <row r="19093" s="12" customFormat="1" x14ac:dyDescent="0.25"/>
    <row r="19094" s="12" customFormat="1" x14ac:dyDescent="0.25"/>
    <row r="19095" s="12" customFormat="1" x14ac:dyDescent="0.25"/>
    <row r="19096" s="12" customFormat="1" x14ac:dyDescent="0.25"/>
    <row r="19097" s="12" customFormat="1" x14ac:dyDescent="0.25"/>
    <row r="19098" s="12" customFormat="1" x14ac:dyDescent="0.25"/>
    <row r="19099" s="12" customFormat="1" x14ac:dyDescent="0.25"/>
    <row r="19100" s="12" customFormat="1" x14ac:dyDescent="0.25"/>
    <row r="19101" s="12" customFormat="1" x14ac:dyDescent="0.25"/>
    <row r="19102" s="12" customFormat="1" x14ac:dyDescent="0.25"/>
    <row r="19103" s="12" customFormat="1" x14ac:dyDescent="0.25"/>
    <row r="19104" s="12" customFormat="1" x14ac:dyDescent="0.25"/>
    <row r="19105" s="12" customFormat="1" x14ac:dyDescent="0.25"/>
    <row r="19106" s="12" customFormat="1" x14ac:dyDescent="0.25"/>
    <row r="19107" s="12" customFormat="1" x14ac:dyDescent="0.25"/>
    <row r="19108" s="12" customFormat="1" x14ac:dyDescent="0.25"/>
    <row r="19109" s="12" customFormat="1" x14ac:dyDescent="0.25"/>
    <row r="19110" s="12" customFormat="1" x14ac:dyDescent="0.25"/>
    <row r="19111" s="12" customFormat="1" x14ac:dyDescent="0.25"/>
    <row r="19112" s="12" customFormat="1" x14ac:dyDescent="0.25"/>
    <row r="19113" s="12" customFormat="1" x14ac:dyDescent="0.25"/>
    <row r="19114" s="12" customFormat="1" x14ac:dyDescent="0.25"/>
    <row r="19115" s="12" customFormat="1" x14ac:dyDescent="0.25"/>
    <row r="19116" s="12" customFormat="1" x14ac:dyDescent="0.25"/>
    <row r="19117" s="12" customFormat="1" x14ac:dyDescent="0.25"/>
    <row r="19118" s="12" customFormat="1" x14ac:dyDescent="0.25"/>
    <row r="19119" s="12" customFormat="1" x14ac:dyDescent="0.25"/>
    <row r="19120" s="12" customFormat="1" x14ac:dyDescent="0.25"/>
    <row r="19121" s="12" customFormat="1" x14ac:dyDescent="0.25"/>
    <row r="19122" s="12" customFormat="1" x14ac:dyDescent="0.25"/>
    <row r="19123" s="12" customFormat="1" x14ac:dyDescent="0.25"/>
    <row r="19124" s="12" customFormat="1" x14ac:dyDescent="0.25"/>
    <row r="19125" s="12" customFormat="1" x14ac:dyDescent="0.25"/>
    <row r="19126" s="12" customFormat="1" x14ac:dyDescent="0.25"/>
    <row r="19127" s="12" customFormat="1" x14ac:dyDescent="0.25"/>
    <row r="19128" s="12" customFormat="1" x14ac:dyDescent="0.25"/>
    <row r="19129" s="12" customFormat="1" x14ac:dyDescent="0.25"/>
    <row r="19130" s="12" customFormat="1" x14ac:dyDescent="0.25"/>
    <row r="19131" s="12" customFormat="1" x14ac:dyDescent="0.25"/>
    <row r="19132" s="12" customFormat="1" x14ac:dyDescent="0.25"/>
    <row r="19133" s="12" customFormat="1" x14ac:dyDescent="0.25"/>
    <row r="19134" s="12" customFormat="1" x14ac:dyDescent="0.25"/>
    <row r="19135" s="12" customFormat="1" x14ac:dyDescent="0.25"/>
    <row r="19136" s="12" customFormat="1" x14ac:dyDescent="0.25"/>
    <row r="19137" s="12" customFormat="1" x14ac:dyDescent="0.25"/>
    <row r="19138" s="12" customFormat="1" x14ac:dyDescent="0.25"/>
    <row r="19139" s="12" customFormat="1" x14ac:dyDescent="0.25"/>
    <row r="19140" s="12" customFormat="1" x14ac:dyDescent="0.25"/>
    <row r="19141" s="12" customFormat="1" x14ac:dyDescent="0.25"/>
    <row r="19142" s="12" customFormat="1" x14ac:dyDescent="0.25"/>
    <row r="19143" s="12" customFormat="1" x14ac:dyDescent="0.25"/>
    <row r="19144" s="12" customFormat="1" x14ac:dyDescent="0.25"/>
    <row r="19145" s="12" customFormat="1" x14ac:dyDescent="0.25"/>
    <row r="19146" s="12" customFormat="1" x14ac:dyDescent="0.25"/>
    <row r="19147" s="12" customFormat="1" x14ac:dyDescent="0.25"/>
    <row r="19148" s="12" customFormat="1" x14ac:dyDescent="0.25"/>
    <row r="19149" s="12" customFormat="1" x14ac:dyDescent="0.25"/>
    <row r="19150" s="12" customFormat="1" x14ac:dyDescent="0.25"/>
    <row r="19151" s="12" customFormat="1" x14ac:dyDescent="0.25"/>
    <row r="19152" s="12" customFormat="1" x14ac:dyDescent="0.25"/>
    <row r="19153" s="12" customFormat="1" x14ac:dyDescent="0.25"/>
    <row r="19154" s="12" customFormat="1" x14ac:dyDescent="0.25"/>
    <row r="19155" s="12" customFormat="1" x14ac:dyDescent="0.25"/>
    <row r="19156" s="12" customFormat="1" x14ac:dyDescent="0.25"/>
    <row r="19157" s="12" customFormat="1" x14ac:dyDescent="0.25"/>
    <row r="19158" s="12" customFormat="1" x14ac:dyDescent="0.25"/>
    <row r="19159" s="12" customFormat="1" x14ac:dyDescent="0.25"/>
    <row r="19160" s="12" customFormat="1" x14ac:dyDescent="0.25"/>
    <row r="19161" s="12" customFormat="1" x14ac:dyDescent="0.25"/>
    <row r="19162" s="12" customFormat="1" x14ac:dyDescent="0.25"/>
    <row r="19163" s="12" customFormat="1" x14ac:dyDescent="0.25"/>
    <row r="19164" s="12" customFormat="1" x14ac:dyDescent="0.25"/>
    <row r="19165" s="12" customFormat="1" x14ac:dyDescent="0.25"/>
    <row r="19166" s="12" customFormat="1" x14ac:dyDescent="0.25"/>
    <row r="19167" s="12" customFormat="1" x14ac:dyDescent="0.25"/>
    <row r="19168" s="12" customFormat="1" x14ac:dyDescent="0.25"/>
    <row r="19169" s="12" customFormat="1" x14ac:dyDescent="0.25"/>
    <row r="19170" s="12" customFormat="1" x14ac:dyDescent="0.25"/>
    <row r="19171" s="12" customFormat="1" x14ac:dyDescent="0.25"/>
    <row r="19172" s="12" customFormat="1" x14ac:dyDescent="0.25"/>
    <row r="19173" s="12" customFormat="1" x14ac:dyDescent="0.25"/>
    <row r="19174" s="12" customFormat="1" x14ac:dyDescent="0.25"/>
    <row r="19175" s="12" customFormat="1" x14ac:dyDescent="0.25"/>
    <row r="19176" s="12" customFormat="1" x14ac:dyDescent="0.25"/>
    <row r="19177" s="12" customFormat="1" x14ac:dyDescent="0.25"/>
    <row r="19178" s="12" customFormat="1" x14ac:dyDescent="0.25"/>
    <row r="19179" s="12" customFormat="1" x14ac:dyDescent="0.25"/>
    <row r="19180" s="12" customFormat="1" x14ac:dyDescent="0.25"/>
    <row r="19181" s="12" customFormat="1" x14ac:dyDescent="0.25"/>
    <row r="19182" s="12" customFormat="1" x14ac:dyDescent="0.25"/>
    <row r="19183" s="12" customFormat="1" x14ac:dyDescent="0.25"/>
    <row r="19184" s="12" customFormat="1" x14ac:dyDescent="0.25"/>
    <row r="19185" s="12" customFormat="1" x14ac:dyDescent="0.25"/>
    <row r="19186" s="12" customFormat="1" x14ac:dyDescent="0.25"/>
    <row r="19187" s="12" customFormat="1" x14ac:dyDescent="0.25"/>
    <row r="19188" s="12" customFormat="1" x14ac:dyDescent="0.25"/>
    <row r="19189" s="12" customFormat="1" x14ac:dyDescent="0.25"/>
    <row r="19190" s="12" customFormat="1" x14ac:dyDescent="0.25"/>
    <row r="19191" s="12" customFormat="1" x14ac:dyDescent="0.25"/>
    <row r="19192" s="12" customFormat="1" x14ac:dyDescent="0.25"/>
    <row r="19193" s="12" customFormat="1" x14ac:dyDescent="0.25"/>
    <row r="19194" s="12" customFormat="1" x14ac:dyDescent="0.25"/>
    <row r="19195" s="12" customFormat="1" x14ac:dyDescent="0.25"/>
    <row r="19196" s="12" customFormat="1" x14ac:dyDescent="0.25"/>
    <row r="19197" s="12" customFormat="1" x14ac:dyDescent="0.25"/>
    <row r="19198" s="12" customFormat="1" x14ac:dyDescent="0.25"/>
    <row r="19199" s="12" customFormat="1" x14ac:dyDescent="0.25"/>
    <row r="19200" s="12" customFormat="1" x14ac:dyDescent="0.25"/>
    <row r="19201" s="12" customFormat="1" x14ac:dyDescent="0.25"/>
    <row r="19202" s="12" customFormat="1" x14ac:dyDescent="0.25"/>
    <row r="19203" s="12" customFormat="1" x14ac:dyDescent="0.25"/>
    <row r="19204" s="12" customFormat="1" x14ac:dyDescent="0.25"/>
    <row r="19205" s="12" customFormat="1" x14ac:dyDescent="0.25"/>
    <row r="19206" s="12" customFormat="1" x14ac:dyDescent="0.25"/>
    <row r="19207" s="12" customFormat="1" x14ac:dyDescent="0.25"/>
    <row r="19208" s="12" customFormat="1" x14ac:dyDescent="0.25"/>
    <row r="19209" s="12" customFormat="1" x14ac:dyDescent="0.25"/>
    <row r="19210" s="12" customFormat="1" x14ac:dyDescent="0.25"/>
    <row r="19211" s="12" customFormat="1" x14ac:dyDescent="0.25"/>
    <row r="19212" s="12" customFormat="1" x14ac:dyDescent="0.25"/>
    <row r="19213" s="12" customFormat="1" x14ac:dyDescent="0.25"/>
    <row r="19214" s="12" customFormat="1" x14ac:dyDescent="0.25"/>
    <row r="19215" s="12" customFormat="1" x14ac:dyDescent="0.25"/>
    <row r="19216" s="12" customFormat="1" x14ac:dyDescent="0.25"/>
    <row r="19217" s="12" customFormat="1" x14ac:dyDescent="0.25"/>
    <row r="19218" s="12" customFormat="1" x14ac:dyDescent="0.25"/>
    <row r="19219" s="12" customFormat="1" x14ac:dyDescent="0.25"/>
    <row r="19220" s="12" customFormat="1" x14ac:dyDescent="0.25"/>
    <row r="19221" s="12" customFormat="1" x14ac:dyDescent="0.25"/>
    <row r="19222" s="12" customFormat="1" x14ac:dyDescent="0.25"/>
    <row r="19223" s="12" customFormat="1" x14ac:dyDescent="0.25"/>
    <row r="19224" s="12" customFormat="1" x14ac:dyDescent="0.25"/>
    <row r="19225" s="12" customFormat="1" x14ac:dyDescent="0.25"/>
    <row r="19226" s="12" customFormat="1" x14ac:dyDescent="0.25"/>
    <row r="19227" s="12" customFormat="1" x14ac:dyDescent="0.25"/>
    <row r="19228" s="12" customFormat="1" x14ac:dyDescent="0.25"/>
    <row r="19229" s="12" customFormat="1" x14ac:dyDescent="0.25"/>
    <row r="19230" s="12" customFormat="1" x14ac:dyDescent="0.25"/>
    <row r="19231" s="12" customFormat="1" x14ac:dyDescent="0.25"/>
    <row r="19232" s="12" customFormat="1" x14ac:dyDescent="0.25"/>
    <row r="19233" s="12" customFormat="1" x14ac:dyDescent="0.25"/>
    <row r="19234" s="12" customFormat="1" x14ac:dyDescent="0.25"/>
    <row r="19235" s="12" customFormat="1" x14ac:dyDescent="0.25"/>
    <row r="19236" s="12" customFormat="1" x14ac:dyDescent="0.25"/>
    <row r="19237" s="12" customFormat="1" x14ac:dyDescent="0.25"/>
    <row r="19238" s="12" customFormat="1" x14ac:dyDescent="0.25"/>
    <row r="19239" s="12" customFormat="1" x14ac:dyDescent="0.25"/>
    <row r="19240" s="12" customFormat="1" x14ac:dyDescent="0.25"/>
    <row r="19241" s="12" customFormat="1" x14ac:dyDescent="0.25"/>
    <row r="19242" s="12" customFormat="1" x14ac:dyDescent="0.25"/>
    <row r="19243" s="12" customFormat="1" x14ac:dyDescent="0.25"/>
    <row r="19244" s="12" customFormat="1" x14ac:dyDescent="0.25"/>
    <row r="19245" s="12" customFormat="1" x14ac:dyDescent="0.25"/>
    <row r="19246" s="12" customFormat="1" x14ac:dyDescent="0.25"/>
    <row r="19247" s="12" customFormat="1" x14ac:dyDescent="0.25"/>
    <row r="19248" s="12" customFormat="1" x14ac:dyDescent="0.25"/>
    <row r="19249" s="12" customFormat="1" x14ac:dyDescent="0.25"/>
    <row r="19250" s="12" customFormat="1" x14ac:dyDescent="0.25"/>
    <row r="19251" s="12" customFormat="1" x14ac:dyDescent="0.25"/>
    <row r="19252" s="12" customFormat="1" x14ac:dyDescent="0.25"/>
    <row r="19253" s="12" customFormat="1" x14ac:dyDescent="0.25"/>
    <row r="19254" s="12" customFormat="1" x14ac:dyDescent="0.25"/>
    <row r="19255" s="12" customFormat="1" x14ac:dyDescent="0.25"/>
    <row r="19256" s="12" customFormat="1" x14ac:dyDescent="0.25"/>
    <row r="19257" s="12" customFormat="1" x14ac:dyDescent="0.25"/>
    <row r="19258" s="12" customFormat="1" x14ac:dyDescent="0.25"/>
    <row r="19259" s="12" customFormat="1" x14ac:dyDescent="0.25"/>
    <row r="19260" s="12" customFormat="1" x14ac:dyDescent="0.25"/>
    <row r="19261" s="12" customFormat="1" x14ac:dyDescent="0.25"/>
    <row r="19262" s="12" customFormat="1" x14ac:dyDescent="0.25"/>
    <row r="19263" s="12" customFormat="1" x14ac:dyDescent="0.25"/>
    <row r="19264" s="12" customFormat="1" x14ac:dyDescent="0.25"/>
    <row r="19265" s="12" customFormat="1" x14ac:dyDescent="0.25"/>
    <row r="19266" s="12" customFormat="1" x14ac:dyDescent="0.25"/>
    <row r="19267" s="12" customFormat="1" x14ac:dyDescent="0.25"/>
    <row r="19268" s="12" customFormat="1" x14ac:dyDescent="0.25"/>
    <row r="19269" s="12" customFormat="1" x14ac:dyDescent="0.25"/>
    <row r="19270" s="12" customFormat="1" x14ac:dyDescent="0.25"/>
    <row r="19271" s="12" customFormat="1" x14ac:dyDescent="0.25"/>
    <row r="19272" s="12" customFormat="1" x14ac:dyDescent="0.25"/>
    <row r="19273" s="12" customFormat="1" x14ac:dyDescent="0.25"/>
    <row r="19274" s="12" customFormat="1" x14ac:dyDescent="0.25"/>
    <row r="19275" s="12" customFormat="1" x14ac:dyDescent="0.25"/>
    <row r="19276" s="12" customFormat="1" x14ac:dyDescent="0.25"/>
    <row r="19277" s="12" customFormat="1" x14ac:dyDescent="0.25"/>
    <row r="19278" s="12" customFormat="1" x14ac:dyDescent="0.25"/>
    <row r="19279" s="12" customFormat="1" x14ac:dyDescent="0.25"/>
    <row r="19280" s="12" customFormat="1" x14ac:dyDescent="0.25"/>
    <row r="19281" s="12" customFormat="1" x14ac:dyDescent="0.25"/>
    <row r="19282" s="12" customFormat="1" x14ac:dyDescent="0.25"/>
    <row r="19283" s="12" customFormat="1" x14ac:dyDescent="0.25"/>
    <row r="19284" s="12" customFormat="1" x14ac:dyDescent="0.25"/>
    <row r="19285" s="12" customFormat="1" x14ac:dyDescent="0.25"/>
    <row r="19286" s="12" customFormat="1" x14ac:dyDescent="0.25"/>
    <row r="19287" s="12" customFormat="1" x14ac:dyDescent="0.25"/>
    <row r="19288" s="12" customFormat="1" x14ac:dyDescent="0.25"/>
    <row r="19289" s="12" customFormat="1" x14ac:dyDescent="0.25"/>
    <row r="19290" s="12" customFormat="1" x14ac:dyDescent="0.25"/>
    <row r="19291" s="12" customFormat="1" x14ac:dyDescent="0.25"/>
    <row r="19292" s="12" customFormat="1" x14ac:dyDescent="0.25"/>
    <row r="19293" s="12" customFormat="1" x14ac:dyDescent="0.25"/>
    <row r="19294" s="12" customFormat="1" x14ac:dyDescent="0.25"/>
    <row r="19295" s="12" customFormat="1" x14ac:dyDescent="0.25"/>
    <row r="19296" s="12" customFormat="1" x14ac:dyDescent="0.25"/>
    <row r="19297" s="12" customFormat="1" x14ac:dyDescent="0.25"/>
    <row r="19298" s="12" customFormat="1" x14ac:dyDescent="0.25"/>
    <row r="19299" s="12" customFormat="1" x14ac:dyDescent="0.25"/>
    <row r="19300" s="12" customFormat="1" x14ac:dyDescent="0.25"/>
    <row r="19301" s="12" customFormat="1" x14ac:dyDescent="0.25"/>
    <row r="19302" s="12" customFormat="1" x14ac:dyDescent="0.25"/>
    <row r="19303" s="12" customFormat="1" x14ac:dyDescent="0.25"/>
    <row r="19304" s="12" customFormat="1" x14ac:dyDescent="0.25"/>
    <row r="19305" s="12" customFormat="1" x14ac:dyDescent="0.25"/>
    <row r="19306" s="12" customFormat="1" x14ac:dyDescent="0.25"/>
    <row r="19307" s="12" customFormat="1" x14ac:dyDescent="0.25"/>
    <row r="19308" s="12" customFormat="1" x14ac:dyDescent="0.25"/>
    <row r="19309" s="12" customFormat="1" x14ac:dyDescent="0.25"/>
    <row r="19310" s="12" customFormat="1" x14ac:dyDescent="0.25"/>
    <row r="19311" s="12" customFormat="1" x14ac:dyDescent="0.25"/>
    <row r="19312" s="12" customFormat="1" x14ac:dyDescent="0.25"/>
    <row r="19313" s="12" customFormat="1" x14ac:dyDescent="0.25"/>
    <row r="19314" s="12" customFormat="1" x14ac:dyDescent="0.25"/>
    <row r="19315" s="12" customFormat="1" x14ac:dyDescent="0.25"/>
    <row r="19316" s="12" customFormat="1" x14ac:dyDescent="0.25"/>
    <row r="19317" s="12" customFormat="1" x14ac:dyDescent="0.25"/>
    <row r="19318" s="12" customFormat="1" x14ac:dyDescent="0.25"/>
    <row r="19319" s="12" customFormat="1" x14ac:dyDescent="0.25"/>
    <row r="19320" s="12" customFormat="1" x14ac:dyDescent="0.25"/>
    <row r="19321" s="12" customFormat="1" x14ac:dyDescent="0.25"/>
    <row r="19322" s="12" customFormat="1" x14ac:dyDescent="0.25"/>
    <row r="19323" s="12" customFormat="1" x14ac:dyDescent="0.25"/>
    <row r="19324" s="12" customFormat="1" x14ac:dyDescent="0.25"/>
    <row r="19325" s="12" customFormat="1" x14ac:dyDescent="0.25"/>
    <row r="19326" s="12" customFormat="1" x14ac:dyDescent="0.25"/>
    <row r="19327" s="12" customFormat="1" x14ac:dyDescent="0.25"/>
    <row r="19328" s="12" customFormat="1" x14ac:dyDescent="0.25"/>
    <row r="19329" s="12" customFormat="1" x14ac:dyDescent="0.25"/>
    <row r="19330" s="12" customFormat="1" x14ac:dyDescent="0.25"/>
    <row r="19331" s="12" customFormat="1" x14ac:dyDescent="0.25"/>
    <row r="19332" s="12" customFormat="1" x14ac:dyDescent="0.25"/>
    <row r="19333" s="12" customFormat="1" x14ac:dyDescent="0.25"/>
    <row r="19334" s="12" customFormat="1" x14ac:dyDescent="0.25"/>
    <row r="19335" s="12" customFormat="1" x14ac:dyDescent="0.25"/>
    <row r="19336" s="12" customFormat="1" x14ac:dyDescent="0.25"/>
    <row r="19337" s="12" customFormat="1" x14ac:dyDescent="0.25"/>
    <row r="19338" s="12" customFormat="1" x14ac:dyDescent="0.25"/>
    <row r="19339" s="12" customFormat="1" x14ac:dyDescent="0.25"/>
    <row r="19340" s="12" customFormat="1" x14ac:dyDescent="0.25"/>
    <row r="19341" s="12" customFormat="1" x14ac:dyDescent="0.25"/>
    <row r="19342" s="12" customFormat="1" x14ac:dyDescent="0.25"/>
    <row r="19343" s="12" customFormat="1" x14ac:dyDescent="0.25"/>
    <row r="19344" s="12" customFormat="1" x14ac:dyDescent="0.25"/>
    <row r="19345" s="12" customFormat="1" x14ac:dyDescent="0.25"/>
    <row r="19346" s="12" customFormat="1" x14ac:dyDescent="0.25"/>
    <row r="19347" s="12" customFormat="1" x14ac:dyDescent="0.25"/>
    <row r="19348" s="12" customFormat="1" x14ac:dyDescent="0.25"/>
    <row r="19349" s="12" customFormat="1" x14ac:dyDescent="0.25"/>
    <row r="19350" s="12" customFormat="1" x14ac:dyDescent="0.25"/>
    <row r="19351" s="12" customFormat="1" x14ac:dyDescent="0.25"/>
    <row r="19352" s="12" customFormat="1" x14ac:dyDescent="0.25"/>
    <row r="19353" s="12" customFormat="1" x14ac:dyDescent="0.25"/>
    <row r="19354" s="12" customFormat="1" x14ac:dyDescent="0.25"/>
    <row r="19355" s="12" customFormat="1" x14ac:dyDescent="0.25"/>
    <row r="19356" s="12" customFormat="1" x14ac:dyDescent="0.25"/>
    <row r="19357" s="12" customFormat="1" x14ac:dyDescent="0.25"/>
    <row r="19358" s="12" customFormat="1" x14ac:dyDescent="0.25"/>
    <row r="19359" s="12" customFormat="1" x14ac:dyDescent="0.25"/>
    <row r="19360" s="12" customFormat="1" x14ac:dyDescent="0.25"/>
    <row r="19361" s="12" customFormat="1" x14ac:dyDescent="0.25"/>
    <row r="19362" s="12" customFormat="1" x14ac:dyDescent="0.25"/>
    <row r="19363" s="12" customFormat="1" x14ac:dyDescent="0.25"/>
    <row r="19364" s="12" customFormat="1" x14ac:dyDescent="0.25"/>
    <row r="19365" s="12" customFormat="1" x14ac:dyDescent="0.25"/>
    <row r="19366" s="12" customFormat="1" x14ac:dyDescent="0.25"/>
    <row r="19367" s="12" customFormat="1" x14ac:dyDescent="0.25"/>
    <row r="19368" s="12" customFormat="1" x14ac:dyDescent="0.25"/>
    <row r="19369" s="12" customFormat="1" x14ac:dyDescent="0.25"/>
    <row r="19370" s="12" customFormat="1" x14ac:dyDescent="0.25"/>
    <row r="19371" s="12" customFormat="1" x14ac:dyDescent="0.25"/>
    <row r="19372" s="12" customFormat="1" x14ac:dyDescent="0.25"/>
    <row r="19373" s="12" customFormat="1" x14ac:dyDescent="0.25"/>
    <row r="19374" s="12" customFormat="1" x14ac:dyDescent="0.25"/>
    <row r="19375" s="12" customFormat="1" x14ac:dyDescent="0.25"/>
    <row r="19376" s="12" customFormat="1" x14ac:dyDescent="0.25"/>
    <row r="19377" s="12" customFormat="1" x14ac:dyDescent="0.25"/>
    <row r="19378" s="12" customFormat="1" x14ac:dyDescent="0.25"/>
    <row r="19379" s="12" customFormat="1" x14ac:dyDescent="0.25"/>
    <row r="19380" s="12" customFormat="1" x14ac:dyDescent="0.25"/>
    <row r="19381" s="12" customFormat="1" x14ac:dyDescent="0.25"/>
    <row r="19382" s="12" customFormat="1" x14ac:dyDescent="0.25"/>
    <row r="19383" s="12" customFormat="1" x14ac:dyDescent="0.25"/>
    <row r="19384" s="12" customFormat="1" x14ac:dyDescent="0.25"/>
    <row r="19385" s="12" customFormat="1" x14ac:dyDescent="0.25"/>
    <row r="19386" s="12" customFormat="1" x14ac:dyDescent="0.25"/>
    <row r="19387" s="12" customFormat="1" x14ac:dyDescent="0.25"/>
    <row r="19388" s="12" customFormat="1" x14ac:dyDescent="0.25"/>
    <row r="19389" s="12" customFormat="1" x14ac:dyDescent="0.25"/>
    <row r="19390" s="12" customFormat="1" x14ac:dyDescent="0.25"/>
    <row r="19391" s="12" customFormat="1" x14ac:dyDescent="0.25"/>
    <row r="19392" s="12" customFormat="1" x14ac:dyDescent="0.25"/>
    <row r="19393" s="12" customFormat="1" x14ac:dyDescent="0.25"/>
    <row r="19394" s="12" customFormat="1" x14ac:dyDescent="0.25"/>
    <row r="19395" s="12" customFormat="1" x14ac:dyDescent="0.25"/>
    <row r="19396" s="12" customFormat="1" x14ac:dyDescent="0.25"/>
    <row r="19397" s="12" customFormat="1" x14ac:dyDescent="0.25"/>
    <row r="19398" s="12" customFormat="1" x14ac:dyDescent="0.25"/>
    <row r="19399" s="12" customFormat="1" x14ac:dyDescent="0.25"/>
    <row r="19400" s="12" customFormat="1" x14ac:dyDescent="0.25"/>
    <row r="19401" s="12" customFormat="1" x14ac:dyDescent="0.25"/>
    <row r="19402" s="12" customFormat="1" x14ac:dyDescent="0.25"/>
    <row r="19403" s="12" customFormat="1" x14ac:dyDescent="0.25"/>
    <row r="19404" s="12" customFormat="1" x14ac:dyDescent="0.25"/>
    <row r="19405" s="12" customFormat="1" x14ac:dyDescent="0.25"/>
    <row r="19406" s="12" customFormat="1" x14ac:dyDescent="0.25"/>
    <row r="19407" s="12" customFormat="1" x14ac:dyDescent="0.25"/>
    <row r="19408" s="12" customFormat="1" x14ac:dyDescent="0.25"/>
    <row r="19409" s="12" customFormat="1" x14ac:dyDescent="0.25"/>
    <row r="19410" s="12" customFormat="1" x14ac:dyDescent="0.25"/>
    <row r="19411" s="12" customFormat="1" x14ac:dyDescent="0.25"/>
    <row r="19412" s="12" customFormat="1" x14ac:dyDescent="0.25"/>
    <row r="19413" s="12" customFormat="1" x14ac:dyDescent="0.25"/>
    <row r="19414" s="12" customFormat="1" x14ac:dyDescent="0.25"/>
    <row r="19415" s="12" customFormat="1" x14ac:dyDescent="0.25"/>
    <row r="19416" s="12" customFormat="1" x14ac:dyDescent="0.25"/>
    <row r="19417" s="12" customFormat="1" x14ac:dyDescent="0.25"/>
    <row r="19418" s="12" customFormat="1" x14ac:dyDescent="0.25"/>
    <row r="19419" s="12" customFormat="1" x14ac:dyDescent="0.25"/>
    <row r="19420" s="12" customFormat="1" x14ac:dyDescent="0.25"/>
    <row r="19421" s="12" customFormat="1" x14ac:dyDescent="0.25"/>
    <row r="19422" s="12" customFormat="1" x14ac:dyDescent="0.25"/>
    <row r="19423" s="12" customFormat="1" x14ac:dyDescent="0.25"/>
    <row r="19424" s="12" customFormat="1" x14ac:dyDescent="0.25"/>
    <row r="19425" s="12" customFormat="1" x14ac:dyDescent="0.25"/>
    <row r="19426" s="12" customFormat="1" x14ac:dyDescent="0.25"/>
    <row r="19427" s="12" customFormat="1" x14ac:dyDescent="0.25"/>
    <row r="19428" s="12" customFormat="1" x14ac:dyDescent="0.25"/>
    <row r="19429" s="12" customFormat="1" x14ac:dyDescent="0.25"/>
    <row r="19430" s="12" customFormat="1" x14ac:dyDescent="0.25"/>
    <row r="19431" s="12" customFormat="1" x14ac:dyDescent="0.25"/>
    <row r="19432" s="12" customFormat="1" x14ac:dyDescent="0.25"/>
    <row r="19433" s="12" customFormat="1" x14ac:dyDescent="0.25"/>
    <row r="19434" s="12" customFormat="1" x14ac:dyDescent="0.25"/>
    <row r="19435" s="12" customFormat="1" x14ac:dyDescent="0.25"/>
    <row r="19436" s="12" customFormat="1" x14ac:dyDescent="0.25"/>
    <row r="19437" s="12" customFormat="1" x14ac:dyDescent="0.25"/>
    <row r="19438" s="12" customFormat="1" x14ac:dyDescent="0.25"/>
    <row r="19439" s="12" customFormat="1" x14ac:dyDescent="0.25"/>
    <row r="19440" s="12" customFormat="1" x14ac:dyDescent="0.25"/>
    <row r="19441" s="12" customFormat="1" x14ac:dyDescent="0.25"/>
    <row r="19442" s="12" customFormat="1" x14ac:dyDescent="0.25"/>
    <row r="19443" s="12" customFormat="1" x14ac:dyDescent="0.25"/>
    <row r="19444" s="12" customFormat="1" x14ac:dyDescent="0.25"/>
    <row r="19445" s="12" customFormat="1" x14ac:dyDescent="0.25"/>
    <row r="19446" s="12" customFormat="1" x14ac:dyDescent="0.25"/>
    <row r="19447" s="12" customFormat="1" x14ac:dyDescent="0.25"/>
    <row r="19448" s="12" customFormat="1" x14ac:dyDescent="0.25"/>
    <row r="19449" s="12" customFormat="1" x14ac:dyDescent="0.25"/>
    <row r="19450" s="12" customFormat="1" x14ac:dyDescent="0.25"/>
    <row r="19451" s="12" customFormat="1" x14ac:dyDescent="0.25"/>
    <row r="19452" s="12" customFormat="1" x14ac:dyDescent="0.25"/>
    <row r="19453" s="12" customFormat="1" x14ac:dyDescent="0.25"/>
    <row r="19454" s="12" customFormat="1" x14ac:dyDescent="0.25"/>
    <row r="19455" s="12" customFormat="1" x14ac:dyDescent="0.25"/>
    <row r="19456" s="12" customFormat="1" x14ac:dyDescent="0.25"/>
    <row r="19457" s="12" customFormat="1" x14ac:dyDescent="0.25"/>
    <row r="19458" s="12" customFormat="1" x14ac:dyDescent="0.25"/>
    <row r="19459" s="12" customFormat="1" x14ac:dyDescent="0.25"/>
    <row r="19460" s="12" customFormat="1" x14ac:dyDescent="0.25"/>
    <row r="19461" s="12" customFormat="1" x14ac:dyDescent="0.25"/>
    <row r="19462" s="12" customFormat="1" x14ac:dyDescent="0.25"/>
    <row r="19463" s="12" customFormat="1" x14ac:dyDescent="0.25"/>
    <row r="19464" s="12" customFormat="1" x14ac:dyDescent="0.25"/>
    <row r="19465" s="12" customFormat="1" x14ac:dyDescent="0.25"/>
    <row r="19466" s="12" customFormat="1" x14ac:dyDescent="0.25"/>
    <row r="19467" s="12" customFormat="1" x14ac:dyDescent="0.25"/>
    <row r="19468" s="12" customFormat="1" x14ac:dyDescent="0.25"/>
    <row r="19469" s="12" customFormat="1" x14ac:dyDescent="0.25"/>
    <row r="19470" s="12" customFormat="1" x14ac:dyDescent="0.25"/>
    <row r="19471" s="12" customFormat="1" x14ac:dyDescent="0.25"/>
    <row r="19472" s="12" customFormat="1" x14ac:dyDescent="0.25"/>
    <row r="19473" s="12" customFormat="1" x14ac:dyDescent="0.25"/>
    <row r="19474" s="12" customFormat="1" x14ac:dyDescent="0.25"/>
    <row r="19475" s="12" customFormat="1" x14ac:dyDescent="0.25"/>
    <row r="19476" s="12" customFormat="1" x14ac:dyDescent="0.25"/>
    <row r="19477" s="12" customFormat="1" x14ac:dyDescent="0.25"/>
    <row r="19478" s="12" customFormat="1" x14ac:dyDescent="0.25"/>
    <row r="19479" s="12" customFormat="1" x14ac:dyDescent="0.25"/>
    <row r="19480" s="12" customFormat="1" x14ac:dyDescent="0.25"/>
    <row r="19481" s="12" customFormat="1" x14ac:dyDescent="0.25"/>
    <row r="19482" s="12" customFormat="1" x14ac:dyDescent="0.25"/>
    <row r="19483" s="12" customFormat="1" x14ac:dyDescent="0.25"/>
    <row r="19484" s="12" customFormat="1" x14ac:dyDescent="0.25"/>
    <row r="19485" s="12" customFormat="1" x14ac:dyDescent="0.25"/>
    <row r="19486" s="12" customFormat="1" x14ac:dyDescent="0.25"/>
    <row r="19487" s="12" customFormat="1" x14ac:dyDescent="0.25"/>
    <row r="19488" s="12" customFormat="1" x14ac:dyDescent="0.25"/>
    <row r="19489" s="12" customFormat="1" x14ac:dyDescent="0.25"/>
    <row r="19490" s="12" customFormat="1" x14ac:dyDescent="0.25"/>
    <row r="19491" s="12" customFormat="1" x14ac:dyDescent="0.25"/>
    <row r="19492" s="12" customFormat="1" x14ac:dyDescent="0.25"/>
    <row r="19493" s="12" customFormat="1" x14ac:dyDescent="0.25"/>
    <row r="19494" s="12" customFormat="1" x14ac:dyDescent="0.25"/>
    <row r="19495" s="12" customFormat="1" x14ac:dyDescent="0.25"/>
    <row r="19496" s="12" customFormat="1" x14ac:dyDescent="0.25"/>
    <row r="19497" s="12" customFormat="1" x14ac:dyDescent="0.25"/>
    <row r="19498" s="12" customFormat="1" x14ac:dyDescent="0.25"/>
    <row r="19499" s="12" customFormat="1" x14ac:dyDescent="0.25"/>
    <row r="19500" s="12" customFormat="1" x14ac:dyDescent="0.25"/>
    <row r="19501" s="12" customFormat="1" x14ac:dyDescent="0.25"/>
    <row r="19502" s="12" customFormat="1" x14ac:dyDescent="0.25"/>
    <row r="19503" s="12" customFormat="1" x14ac:dyDescent="0.25"/>
    <row r="19504" s="12" customFormat="1" x14ac:dyDescent="0.25"/>
    <row r="19505" s="12" customFormat="1" x14ac:dyDescent="0.25"/>
    <row r="19506" s="12" customFormat="1" x14ac:dyDescent="0.25"/>
    <row r="19507" s="12" customFormat="1" x14ac:dyDescent="0.25"/>
    <row r="19508" s="12" customFormat="1" x14ac:dyDescent="0.25"/>
    <row r="19509" s="12" customFormat="1" x14ac:dyDescent="0.25"/>
    <row r="19510" s="12" customFormat="1" x14ac:dyDescent="0.25"/>
    <row r="19511" s="12" customFormat="1" x14ac:dyDescent="0.25"/>
    <row r="19512" s="12" customFormat="1" x14ac:dyDescent="0.25"/>
    <row r="19513" s="12" customFormat="1" x14ac:dyDescent="0.25"/>
    <row r="19514" s="12" customFormat="1" x14ac:dyDescent="0.25"/>
    <row r="19515" s="12" customFormat="1" x14ac:dyDescent="0.25"/>
    <row r="19516" s="12" customFormat="1" x14ac:dyDescent="0.25"/>
    <row r="19517" s="12" customFormat="1" x14ac:dyDescent="0.25"/>
    <row r="19518" s="12" customFormat="1" x14ac:dyDescent="0.25"/>
    <row r="19519" s="12" customFormat="1" x14ac:dyDescent="0.25"/>
    <row r="19520" s="12" customFormat="1" x14ac:dyDescent="0.25"/>
    <row r="19521" s="12" customFormat="1" x14ac:dyDescent="0.25"/>
    <row r="19522" s="12" customFormat="1" x14ac:dyDescent="0.25"/>
    <row r="19523" s="12" customFormat="1" x14ac:dyDescent="0.25"/>
    <row r="19524" s="12" customFormat="1" x14ac:dyDescent="0.25"/>
    <row r="19525" s="12" customFormat="1" x14ac:dyDescent="0.25"/>
    <row r="19526" s="12" customFormat="1" x14ac:dyDescent="0.25"/>
    <row r="19527" s="12" customFormat="1" x14ac:dyDescent="0.25"/>
    <row r="19528" s="12" customFormat="1" x14ac:dyDescent="0.25"/>
    <row r="19529" s="12" customFormat="1" x14ac:dyDescent="0.25"/>
    <row r="19530" s="12" customFormat="1" x14ac:dyDescent="0.25"/>
    <row r="19531" s="12" customFormat="1" x14ac:dyDescent="0.25"/>
    <row r="19532" s="12" customFormat="1" x14ac:dyDescent="0.25"/>
    <row r="19533" s="12" customFormat="1" x14ac:dyDescent="0.25"/>
    <row r="19534" s="12" customFormat="1" x14ac:dyDescent="0.25"/>
    <row r="19535" s="12" customFormat="1" x14ac:dyDescent="0.25"/>
    <row r="19536" s="12" customFormat="1" x14ac:dyDescent="0.25"/>
    <row r="19537" s="12" customFormat="1" x14ac:dyDescent="0.25"/>
    <row r="19538" s="12" customFormat="1" x14ac:dyDescent="0.25"/>
    <row r="19539" s="12" customFormat="1" x14ac:dyDescent="0.25"/>
    <row r="19540" s="12" customFormat="1" x14ac:dyDescent="0.25"/>
    <row r="19541" s="12" customFormat="1" x14ac:dyDescent="0.25"/>
    <row r="19542" s="12" customFormat="1" x14ac:dyDescent="0.25"/>
    <row r="19543" s="12" customFormat="1" x14ac:dyDescent="0.25"/>
    <row r="19544" s="12" customFormat="1" x14ac:dyDescent="0.25"/>
    <row r="19545" s="12" customFormat="1" x14ac:dyDescent="0.25"/>
    <row r="19546" s="12" customFormat="1" x14ac:dyDescent="0.25"/>
    <row r="19547" s="12" customFormat="1" x14ac:dyDescent="0.25"/>
    <row r="19548" s="12" customFormat="1" x14ac:dyDescent="0.25"/>
    <row r="19549" s="12" customFormat="1" x14ac:dyDescent="0.25"/>
    <row r="19550" s="12" customFormat="1" x14ac:dyDescent="0.25"/>
    <row r="19551" s="12" customFormat="1" x14ac:dyDescent="0.25"/>
    <row r="19552" s="12" customFormat="1" x14ac:dyDescent="0.25"/>
    <row r="19553" s="12" customFormat="1" x14ac:dyDescent="0.25"/>
    <row r="19554" s="12" customFormat="1" x14ac:dyDescent="0.25"/>
    <row r="19555" s="12" customFormat="1" x14ac:dyDescent="0.25"/>
    <row r="19556" s="12" customFormat="1" x14ac:dyDescent="0.25"/>
    <row r="19557" s="12" customFormat="1" x14ac:dyDescent="0.25"/>
    <row r="19558" s="12" customFormat="1" x14ac:dyDescent="0.25"/>
    <row r="19559" s="12" customFormat="1" x14ac:dyDescent="0.25"/>
    <row r="19560" s="12" customFormat="1" x14ac:dyDescent="0.25"/>
    <row r="19561" s="12" customFormat="1" x14ac:dyDescent="0.25"/>
    <row r="19562" s="12" customFormat="1" x14ac:dyDescent="0.25"/>
    <row r="19563" s="12" customFormat="1" x14ac:dyDescent="0.25"/>
    <row r="19564" s="12" customFormat="1" x14ac:dyDescent="0.25"/>
    <row r="19565" s="12" customFormat="1" x14ac:dyDescent="0.25"/>
    <row r="19566" s="12" customFormat="1" x14ac:dyDescent="0.25"/>
    <row r="19567" s="12" customFormat="1" x14ac:dyDescent="0.25"/>
    <row r="19568" s="12" customFormat="1" x14ac:dyDescent="0.25"/>
    <row r="19569" s="12" customFormat="1" x14ac:dyDescent="0.25"/>
    <row r="19570" s="12" customFormat="1" x14ac:dyDescent="0.25"/>
    <row r="19571" s="12" customFormat="1" x14ac:dyDescent="0.25"/>
    <row r="19572" s="12" customFormat="1" x14ac:dyDescent="0.25"/>
    <row r="19573" s="12" customFormat="1" x14ac:dyDescent="0.25"/>
    <row r="19574" s="12" customFormat="1" x14ac:dyDescent="0.25"/>
    <row r="19575" s="12" customFormat="1" x14ac:dyDescent="0.25"/>
    <row r="19576" s="12" customFormat="1" x14ac:dyDescent="0.25"/>
    <row r="19577" s="12" customFormat="1" x14ac:dyDescent="0.25"/>
    <row r="19578" s="12" customFormat="1" x14ac:dyDescent="0.25"/>
    <row r="19579" s="12" customFormat="1" x14ac:dyDescent="0.25"/>
    <row r="19580" s="12" customFormat="1" x14ac:dyDescent="0.25"/>
    <row r="19581" s="12" customFormat="1" x14ac:dyDescent="0.25"/>
    <row r="19582" s="12" customFormat="1" x14ac:dyDescent="0.25"/>
    <row r="19583" s="12" customFormat="1" x14ac:dyDescent="0.25"/>
    <row r="19584" s="12" customFormat="1" x14ac:dyDescent="0.25"/>
    <row r="19585" s="12" customFormat="1" x14ac:dyDescent="0.25"/>
    <row r="19586" s="12" customFormat="1" x14ac:dyDescent="0.25"/>
    <row r="19587" s="12" customFormat="1" x14ac:dyDescent="0.25"/>
    <row r="19588" s="12" customFormat="1" x14ac:dyDescent="0.25"/>
    <row r="19589" s="12" customFormat="1" x14ac:dyDescent="0.25"/>
    <row r="19590" s="12" customFormat="1" x14ac:dyDescent="0.25"/>
    <row r="19591" s="12" customFormat="1" x14ac:dyDescent="0.25"/>
    <row r="19592" s="12" customFormat="1" x14ac:dyDescent="0.25"/>
    <row r="19593" s="12" customFormat="1" x14ac:dyDescent="0.25"/>
    <row r="19594" s="12" customFormat="1" x14ac:dyDescent="0.25"/>
    <row r="19595" s="12" customFormat="1" x14ac:dyDescent="0.25"/>
    <row r="19596" s="12" customFormat="1" x14ac:dyDescent="0.25"/>
    <row r="19597" s="12" customFormat="1" x14ac:dyDescent="0.25"/>
    <row r="19598" s="12" customFormat="1" x14ac:dyDescent="0.25"/>
    <row r="19599" s="12" customFormat="1" x14ac:dyDescent="0.25"/>
    <row r="19600" s="12" customFormat="1" x14ac:dyDescent="0.25"/>
    <row r="19601" s="12" customFormat="1" x14ac:dyDescent="0.25"/>
    <row r="19602" s="12" customFormat="1" x14ac:dyDescent="0.25"/>
    <row r="19603" s="12" customFormat="1" x14ac:dyDescent="0.25"/>
    <row r="19604" s="12" customFormat="1" x14ac:dyDescent="0.25"/>
    <row r="19605" s="12" customFormat="1" x14ac:dyDescent="0.25"/>
    <row r="19606" s="12" customFormat="1" x14ac:dyDescent="0.25"/>
    <row r="19607" s="12" customFormat="1" x14ac:dyDescent="0.25"/>
    <row r="19608" s="12" customFormat="1" x14ac:dyDescent="0.25"/>
    <row r="19609" s="12" customFormat="1" x14ac:dyDescent="0.25"/>
    <row r="19610" s="12" customFormat="1" x14ac:dyDescent="0.25"/>
    <row r="19611" s="12" customFormat="1" x14ac:dyDescent="0.25"/>
    <row r="19612" s="12" customFormat="1" x14ac:dyDescent="0.25"/>
    <row r="19613" s="12" customFormat="1" x14ac:dyDescent="0.25"/>
    <row r="19614" s="12" customFormat="1" x14ac:dyDescent="0.25"/>
    <row r="19615" s="12" customFormat="1" x14ac:dyDescent="0.25"/>
    <row r="19616" s="12" customFormat="1" x14ac:dyDescent="0.25"/>
    <row r="19617" s="12" customFormat="1" x14ac:dyDescent="0.25"/>
    <row r="19618" s="12" customFormat="1" x14ac:dyDescent="0.25"/>
    <row r="19619" s="12" customFormat="1" x14ac:dyDescent="0.25"/>
    <row r="19620" s="12" customFormat="1" x14ac:dyDescent="0.25"/>
    <row r="19621" s="12" customFormat="1" x14ac:dyDescent="0.25"/>
    <row r="19622" s="12" customFormat="1" x14ac:dyDescent="0.25"/>
    <row r="19623" s="12" customFormat="1" x14ac:dyDescent="0.25"/>
    <row r="19624" s="12" customFormat="1" x14ac:dyDescent="0.25"/>
    <row r="19625" s="12" customFormat="1" x14ac:dyDescent="0.25"/>
    <row r="19626" s="12" customFormat="1" x14ac:dyDescent="0.25"/>
    <row r="19627" s="12" customFormat="1" x14ac:dyDescent="0.25"/>
    <row r="19628" s="12" customFormat="1" x14ac:dyDescent="0.25"/>
    <row r="19629" s="12" customFormat="1" x14ac:dyDescent="0.25"/>
    <row r="19630" s="12" customFormat="1" x14ac:dyDescent="0.25"/>
    <row r="19631" s="12" customFormat="1" x14ac:dyDescent="0.25"/>
    <row r="19632" s="12" customFormat="1" x14ac:dyDescent="0.25"/>
    <row r="19633" s="12" customFormat="1" x14ac:dyDescent="0.25"/>
    <row r="19634" s="12" customFormat="1" x14ac:dyDescent="0.25"/>
    <row r="19635" s="12" customFormat="1" x14ac:dyDescent="0.25"/>
    <row r="19636" s="12" customFormat="1" x14ac:dyDescent="0.25"/>
    <row r="19637" s="12" customFormat="1" x14ac:dyDescent="0.25"/>
    <row r="19638" s="12" customFormat="1" x14ac:dyDescent="0.25"/>
    <row r="19639" s="12" customFormat="1" x14ac:dyDescent="0.25"/>
    <row r="19640" s="12" customFormat="1" x14ac:dyDescent="0.25"/>
    <row r="19641" s="12" customFormat="1" x14ac:dyDescent="0.25"/>
    <row r="19642" s="12" customFormat="1" x14ac:dyDescent="0.25"/>
    <row r="19643" s="12" customFormat="1" x14ac:dyDescent="0.25"/>
    <row r="19644" s="12" customFormat="1" x14ac:dyDescent="0.25"/>
    <row r="19645" s="12" customFormat="1" x14ac:dyDescent="0.25"/>
    <row r="19646" s="12" customFormat="1" x14ac:dyDescent="0.25"/>
    <row r="19647" s="12" customFormat="1" x14ac:dyDescent="0.25"/>
    <row r="19648" s="12" customFormat="1" x14ac:dyDescent="0.25"/>
    <row r="19649" s="12" customFormat="1" x14ac:dyDescent="0.25"/>
    <row r="19650" s="12" customFormat="1" x14ac:dyDescent="0.25"/>
    <row r="19651" s="12" customFormat="1" x14ac:dyDescent="0.25"/>
    <row r="19652" s="12" customFormat="1" x14ac:dyDescent="0.25"/>
    <row r="19653" s="12" customFormat="1" x14ac:dyDescent="0.25"/>
    <row r="19654" s="12" customFormat="1" x14ac:dyDescent="0.25"/>
    <row r="19655" s="12" customFormat="1" x14ac:dyDescent="0.25"/>
    <row r="19656" s="12" customFormat="1" x14ac:dyDescent="0.25"/>
    <row r="19657" s="12" customFormat="1" x14ac:dyDescent="0.25"/>
    <row r="19658" s="12" customFormat="1" x14ac:dyDescent="0.25"/>
    <row r="19659" s="12" customFormat="1" x14ac:dyDescent="0.25"/>
    <row r="19660" s="12" customFormat="1" x14ac:dyDescent="0.25"/>
    <row r="19661" s="12" customFormat="1" x14ac:dyDescent="0.25"/>
    <row r="19662" s="12" customFormat="1" x14ac:dyDescent="0.25"/>
    <row r="19663" s="12" customFormat="1" x14ac:dyDescent="0.25"/>
    <row r="19664" s="12" customFormat="1" x14ac:dyDescent="0.25"/>
    <row r="19665" s="12" customFormat="1" x14ac:dyDescent="0.25"/>
    <row r="19666" s="12" customFormat="1" x14ac:dyDescent="0.25"/>
    <row r="19667" s="12" customFormat="1" x14ac:dyDescent="0.25"/>
    <row r="19668" s="12" customFormat="1" x14ac:dyDescent="0.25"/>
    <row r="19669" s="12" customFormat="1" x14ac:dyDescent="0.25"/>
    <row r="19670" s="12" customFormat="1" x14ac:dyDescent="0.25"/>
    <row r="19671" s="12" customFormat="1" x14ac:dyDescent="0.25"/>
    <row r="19672" s="12" customFormat="1" x14ac:dyDescent="0.25"/>
    <row r="19673" s="12" customFormat="1" x14ac:dyDescent="0.25"/>
    <row r="19674" s="12" customFormat="1" x14ac:dyDescent="0.25"/>
    <row r="19675" s="12" customFormat="1" x14ac:dyDescent="0.25"/>
    <row r="19676" s="12" customFormat="1" x14ac:dyDescent="0.25"/>
    <row r="19677" s="12" customFormat="1" x14ac:dyDescent="0.25"/>
    <row r="19678" s="12" customFormat="1" x14ac:dyDescent="0.25"/>
    <row r="19679" s="12" customFormat="1" x14ac:dyDescent="0.25"/>
    <row r="19680" s="12" customFormat="1" x14ac:dyDescent="0.25"/>
    <row r="19681" s="12" customFormat="1" x14ac:dyDescent="0.25"/>
    <row r="19682" s="12" customFormat="1" x14ac:dyDescent="0.25"/>
    <row r="19683" s="12" customFormat="1" x14ac:dyDescent="0.25"/>
    <row r="19684" s="12" customFormat="1" x14ac:dyDescent="0.25"/>
    <row r="19685" s="12" customFormat="1" x14ac:dyDescent="0.25"/>
    <row r="19686" s="12" customFormat="1" x14ac:dyDescent="0.25"/>
    <row r="19687" s="12" customFormat="1" x14ac:dyDescent="0.25"/>
    <row r="19688" s="12" customFormat="1" x14ac:dyDescent="0.25"/>
    <row r="19689" s="12" customFormat="1" x14ac:dyDescent="0.25"/>
    <row r="19690" s="12" customFormat="1" x14ac:dyDescent="0.25"/>
    <row r="19691" s="12" customFormat="1" x14ac:dyDescent="0.25"/>
    <row r="19692" s="12" customFormat="1" x14ac:dyDescent="0.25"/>
    <row r="19693" s="12" customFormat="1" x14ac:dyDescent="0.25"/>
    <row r="19694" s="12" customFormat="1" x14ac:dyDescent="0.25"/>
    <row r="19695" s="12" customFormat="1" x14ac:dyDescent="0.25"/>
    <row r="19696" s="12" customFormat="1" x14ac:dyDescent="0.25"/>
    <row r="19697" s="12" customFormat="1" x14ac:dyDescent="0.25"/>
    <row r="19698" s="12" customFormat="1" x14ac:dyDescent="0.25"/>
    <row r="19699" s="12" customFormat="1" x14ac:dyDescent="0.25"/>
    <row r="19700" s="12" customFormat="1" x14ac:dyDescent="0.25"/>
    <row r="19701" s="12" customFormat="1" x14ac:dyDescent="0.25"/>
    <row r="19702" s="12" customFormat="1" x14ac:dyDescent="0.25"/>
    <row r="19703" s="12" customFormat="1" x14ac:dyDescent="0.25"/>
    <row r="19704" s="12" customFormat="1" x14ac:dyDescent="0.25"/>
    <row r="19705" s="12" customFormat="1" x14ac:dyDescent="0.25"/>
    <row r="19706" s="12" customFormat="1" x14ac:dyDescent="0.25"/>
    <row r="19707" s="12" customFormat="1" x14ac:dyDescent="0.25"/>
    <row r="19708" s="12" customFormat="1" x14ac:dyDescent="0.25"/>
    <row r="19709" s="12" customFormat="1" x14ac:dyDescent="0.25"/>
    <row r="19710" s="12" customFormat="1" x14ac:dyDescent="0.25"/>
    <row r="19711" s="12" customFormat="1" x14ac:dyDescent="0.25"/>
    <row r="19712" s="12" customFormat="1" x14ac:dyDescent="0.25"/>
    <row r="19713" s="12" customFormat="1" x14ac:dyDescent="0.25"/>
    <row r="19714" s="12" customFormat="1" x14ac:dyDescent="0.25"/>
    <row r="19715" s="12" customFormat="1" x14ac:dyDescent="0.25"/>
    <row r="19716" s="12" customFormat="1" x14ac:dyDescent="0.25"/>
    <row r="19717" s="12" customFormat="1" x14ac:dyDescent="0.25"/>
    <row r="19718" s="12" customFormat="1" x14ac:dyDescent="0.25"/>
    <row r="19719" s="12" customFormat="1" x14ac:dyDescent="0.25"/>
    <row r="19720" s="12" customFormat="1" x14ac:dyDescent="0.25"/>
    <row r="19721" s="12" customFormat="1" x14ac:dyDescent="0.25"/>
    <row r="19722" s="12" customFormat="1" x14ac:dyDescent="0.25"/>
    <row r="19723" s="12" customFormat="1" x14ac:dyDescent="0.25"/>
    <row r="19724" s="12" customFormat="1" x14ac:dyDescent="0.25"/>
    <row r="19725" s="12" customFormat="1" x14ac:dyDescent="0.25"/>
    <row r="19726" s="12" customFormat="1" x14ac:dyDescent="0.25"/>
    <row r="19727" s="12" customFormat="1" x14ac:dyDescent="0.25"/>
    <row r="19728" s="12" customFormat="1" x14ac:dyDescent="0.25"/>
    <row r="19729" s="12" customFormat="1" x14ac:dyDescent="0.25"/>
    <row r="19730" s="12" customFormat="1" x14ac:dyDescent="0.25"/>
    <row r="19731" s="12" customFormat="1" x14ac:dyDescent="0.25"/>
    <row r="19732" s="12" customFormat="1" x14ac:dyDescent="0.25"/>
    <row r="19733" s="12" customFormat="1" x14ac:dyDescent="0.25"/>
    <row r="19734" s="12" customFormat="1" x14ac:dyDescent="0.25"/>
    <row r="19735" s="12" customFormat="1" x14ac:dyDescent="0.25"/>
    <row r="19736" s="12" customFormat="1" x14ac:dyDescent="0.25"/>
    <row r="19737" s="12" customFormat="1" x14ac:dyDescent="0.25"/>
    <row r="19738" s="12" customFormat="1" x14ac:dyDescent="0.25"/>
    <row r="19739" s="12" customFormat="1" x14ac:dyDescent="0.25"/>
    <row r="19740" s="12" customFormat="1" x14ac:dyDescent="0.25"/>
    <row r="19741" s="12" customFormat="1" x14ac:dyDescent="0.25"/>
    <row r="19742" s="12" customFormat="1" x14ac:dyDescent="0.25"/>
    <row r="19743" s="12" customFormat="1" x14ac:dyDescent="0.25"/>
    <row r="19744" s="12" customFormat="1" x14ac:dyDescent="0.25"/>
    <row r="19745" s="12" customFormat="1" x14ac:dyDescent="0.25"/>
    <row r="19746" s="12" customFormat="1" x14ac:dyDescent="0.25"/>
    <row r="19747" s="12" customFormat="1" x14ac:dyDescent="0.25"/>
    <row r="19748" s="12" customFormat="1" x14ac:dyDescent="0.25"/>
    <row r="19749" s="12" customFormat="1" x14ac:dyDescent="0.25"/>
    <row r="19750" s="12" customFormat="1" x14ac:dyDescent="0.25"/>
    <row r="19751" s="12" customFormat="1" x14ac:dyDescent="0.25"/>
    <row r="19752" s="12" customFormat="1" x14ac:dyDescent="0.25"/>
    <row r="19753" s="12" customFormat="1" x14ac:dyDescent="0.25"/>
    <row r="19754" s="12" customFormat="1" x14ac:dyDescent="0.25"/>
    <row r="19755" s="12" customFormat="1" x14ac:dyDescent="0.25"/>
    <row r="19756" s="12" customFormat="1" x14ac:dyDescent="0.25"/>
    <row r="19757" s="12" customFormat="1" x14ac:dyDescent="0.25"/>
    <row r="19758" s="12" customFormat="1" x14ac:dyDescent="0.25"/>
    <row r="19759" s="12" customFormat="1" x14ac:dyDescent="0.25"/>
    <row r="19760" s="12" customFormat="1" x14ac:dyDescent="0.25"/>
    <row r="19761" s="12" customFormat="1" x14ac:dyDescent="0.25"/>
    <row r="19762" s="12" customFormat="1" x14ac:dyDescent="0.25"/>
    <row r="19763" s="12" customFormat="1" x14ac:dyDescent="0.25"/>
    <row r="19764" s="12" customFormat="1" x14ac:dyDescent="0.25"/>
    <row r="19765" s="12" customFormat="1" x14ac:dyDescent="0.25"/>
    <row r="19766" s="12" customFormat="1" x14ac:dyDescent="0.25"/>
    <row r="19767" s="12" customFormat="1" x14ac:dyDescent="0.25"/>
    <row r="19768" s="12" customFormat="1" x14ac:dyDescent="0.25"/>
    <row r="19769" s="12" customFormat="1" x14ac:dyDescent="0.25"/>
    <row r="19770" s="12" customFormat="1" x14ac:dyDescent="0.25"/>
    <row r="19771" s="12" customFormat="1" x14ac:dyDescent="0.25"/>
    <row r="19772" s="12" customFormat="1" x14ac:dyDescent="0.25"/>
    <row r="19773" s="12" customFormat="1" x14ac:dyDescent="0.25"/>
    <row r="19774" s="12" customFormat="1" x14ac:dyDescent="0.25"/>
    <row r="19775" s="12" customFormat="1" x14ac:dyDescent="0.25"/>
    <row r="19776" s="12" customFormat="1" x14ac:dyDescent="0.25"/>
    <row r="19777" s="12" customFormat="1" x14ac:dyDescent="0.25"/>
    <row r="19778" s="12" customFormat="1" x14ac:dyDescent="0.25"/>
    <row r="19779" s="12" customFormat="1" x14ac:dyDescent="0.25"/>
    <row r="19780" s="12" customFormat="1" x14ac:dyDescent="0.25"/>
    <row r="19781" s="12" customFormat="1" x14ac:dyDescent="0.25"/>
    <row r="19782" s="12" customFormat="1" x14ac:dyDescent="0.25"/>
    <row r="19783" s="12" customFormat="1" x14ac:dyDescent="0.25"/>
    <row r="19784" s="12" customFormat="1" x14ac:dyDescent="0.25"/>
    <row r="19785" s="12" customFormat="1" x14ac:dyDescent="0.25"/>
    <row r="19786" s="12" customFormat="1" x14ac:dyDescent="0.25"/>
    <row r="19787" s="12" customFormat="1" x14ac:dyDescent="0.25"/>
    <row r="19788" s="12" customFormat="1" x14ac:dyDescent="0.25"/>
    <row r="19789" s="12" customFormat="1" x14ac:dyDescent="0.25"/>
    <row r="19790" s="12" customFormat="1" x14ac:dyDescent="0.25"/>
    <row r="19791" s="12" customFormat="1" x14ac:dyDescent="0.25"/>
    <row r="19792" s="12" customFormat="1" x14ac:dyDescent="0.25"/>
    <row r="19793" s="12" customFormat="1" x14ac:dyDescent="0.25"/>
    <row r="19794" s="12" customFormat="1" x14ac:dyDescent="0.25"/>
    <row r="19795" s="12" customFormat="1" x14ac:dyDescent="0.25"/>
    <row r="19796" s="12" customFormat="1" x14ac:dyDescent="0.25"/>
    <row r="19797" s="12" customFormat="1" x14ac:dyDescent="0.25"/>
    <row r="19798" s="12" customFormat="1" x14ac:dyDescent="0.25"/>
    <row r="19799" s="12" customFormat="1" x14ac:dyDescent="0.25"/>
    <row r="19800" s="12" customFormat="1" x14ac:dyDescent="0.25"/>
    <row r="19801" s="12" customFormat="1" x14ac:dyDescent="0.25"/>
    <row r="19802" s="12" customFormat="1" x14ac:dyDescent="0.25"/>
    <row r="19803" s="12" customFormat="1" x14ac:dyDescent="0.25"/>
    <row r="19804" s="12" customFormat="1" x14ac:dyDescent="0.25"/>
    <row r="19805" s="12" customFormat="1" x14ac:dyDescent="0.25"/>
    <row r="19806" s="12" customFormat="1" x14ac:dyDescent="0.25"/>
    <row r="19807" s="12" customFormat="1" x14ac:dyDescent="0.25"/>
    <row r="19808" s="12" customFormat="1" x14ac:dyDescent="0.25"/>
    <row r="19809" s="12" customFormat="1" x14ac:dyDescent="0.25"/>
    <row r="19810" s="12" customFormat="1" x14ac:dyDescent="0.25"/>
    <row r="19811" s="12" customFormat="1" x14ac:dyDescent="0.25"/>
    <row r="19812" s="12" customFormat="1" x14ac:dyDescent="0.25"/>
    <row r="19813" s="12" customFormat="1" x14ac:dyDescent="0.25"/>
    <row r="19814" s="12" customFormat="1" x14ac:dyDescent="0.25"/>
    <row r="19815" s="12" customFormat="1" x14ac:dyDescent="0.25"/>
    <row r="19816" s="12" customFormat="1" x14ac:dyDescent="0.25"/>
    <row r="19817" s="12" customFormat="1" x14ac:dyDescent="0.25"/>
    <row r="19818" s="12" customFormat="1" x14ac:dyDescent="0.25"/>
    <row r="19819" s="12" customFormat="1" x14ac:dyDescent="0.25"/>
    <row r="19820" s="12" customFormat="1" x14ac:dyDescent="0.25"/>
    <row r="19821" s="12" customFormat="1" x14ac:dyDescent="0.25"/>
    <row r="19822" s="12" customFormat="1" x14ac:dyDescent="0.25"/>
    <row r="19823" s="12" customFormat="1" x14ac:dyDescent="0.25"/>
    <row r="19824" s="12" customFormat="1" x14ac:dyDescent="0.25"/>
    <row r="19825" s="12" customFormat="1" x14ac:dyDescent="0.25"/>
    <row r="19826" s="12" customFormat="1" x14ac:dyDescent="0.25"/>
    <row r="19827" s="12" customFormat="1" x14ac:dyDescent="0.25"/>
    <row r="19828" s="12" customFormat="1" x14ac:dyDescent="0.25"/>
    <row r="19829" s="12" customFormat="1" x14ac:dyDescent="0.25"/>
    <row r="19830" s="12" customFormat="1" x14ac:dyDescent="0.25"/>
    <row r="19831" s="12" customFormat="1" x14ac:dyDescent="0.25"/>
    <row r="19832" s="12" customFormat="1" x14ac:dyDescent="0.25"/>
    <row r="19833" s="12" customFormat="1" x14ac:dyDescent="0.25"/>
    <row r="19834" s="12" customFormat="1" x14ac:dyDescent="0.25"/>
    <row r="19835" s="12" customFormat="1" x14ac:dyDescent="0.25"/>
    <row r="19836" s="12" customFormat="1" x14ac:dyDescent="0.25"/>
    <row r="19837" s="12" customFormat="1" x14ac:dyDescent="0.25"/>
    <row r="19838" s="12" customFormat="1" x14ac:dyDescent="0.25"/>
    <row r="19839" s="12" customFormat="1" x14ac:dyDescent="0.25"/>
    <row r="19840" s="12" customFormat="1" x14ac:dyDescent="0.25"/>
    <row r="19841" s="12" customFormat="1" x14ac:dyDescent="0.25"/>
    <row r="19842" s="12" customFormat="1" x14ac:dyDescent="0.25"/>
    <row r="19843" s="12" customFormat="1" x14ac:dyDescent="0.25"/>
    <row r="19844" s="12" customFormat="1" x14ac:dyDescent="0.25"/>
    <row r="19845" s="12" customFormat="1" x14ac:dyDescent="0.25"/>
    <row r="19846" s="12" customFormat="1" x14ac:dyDescent="0.25"/>
    <row r="19847" s="12" customFormat="1" x14ac:dyDescent="0.25"/>
    <row r="19848" s="12" customFormat="1" x14ac:dyDescent="0.25"/>
    <row r="19849" s="12" customFormat="1" x14ac:dyDescent="0.25"/>
    <row r="19850" s="12" customFormat="1" x14ac:dyDescent="0.25"/>
    <row r="19851" s="12" customFormat="1" x14ac:dyDescent="0.25"/>
    <row r="19852" s="12" customFormat="1" x14ac:dyDescent="0.25"/>
    <row r="19853" s="12" customFormat="1" x14ac:dyDescent="0.25"/>
    <row r="19854" s="12" customFormat="1" x14ac:dyDescent="0.25"/>
    <row r="19855" s="12" customFormat="1" x14ac:dyDescent="0.25"/>
    <row r="19856" s="12" customFormat="1" x14ac:dyDescent="0.25"/>
    <row r="19857" s="12" customFormat="1" x14ac:dyDescent="0.25"/>
    <row r="19858" s="12" customFormat="1" x14ac:dyDescent="0.25"/>
    <row r="19859" s="12" customFormat="1" x14ac:dyDescent="0.25"/>
    <row r="19860" s="12" customFormat="1" x14ac:dyDescent="0.25"/>
    <row r="19861" s="12" customFormat="1" x14ac:dyDescent="0.25"/>
    <row r="19862" s="12" customFormat="1" x14ac:dyDescent="0.25"/>
    <row r="19863" s="12" customFormat="1" x14ac:dyDescent="0.25"/>
    <row r="19864" s="12" customFormat="1" x14ac:dyDescent="0.25"/>
    <row r="19865" s="12" customFormat="1" x14ac:dyDescent="0.25"/>
    <row r="19866" s="12" customFormat="1" x14ac:dyDescent="0.25"/>
    <row r="19867" s="12" customFormat="1" x14ac:dyDescent="0.25"/>
    <row r="19868" s="12" customFormat="1" x14ac:dyDescent="0.25"/>
    <row r="19869" s="12" customFormat="1" x14ac:dyDescent="0.25"/>
    <row r="19870" s="12" customFormat="1" x14ac:dyDescent="0.25"/>
    <row r="19871" s="12" customFormat="1" x14ac:dyDescent="0.25"/>
    <row r="19872" s="12" customFormat="1" x14ac:dyDescent="0.25"/>
    <row r="19873" s="12" customFormat="1" x14ac:dyDescent="0.25"/>
    <row r="19874" s="12" customFormat="1" x14ac:dyDescent="0.25"/>
    <row r="19875" s="12" customFormat="1" x14ac:dyDescent="0.25"/>
    <row r="19876" s="12" customFormat="1" x14ac:dyDescent="0.25"/>
    <row r="19877" s="12" customFormat="1" x14ac:dyDescent="0.25"/>
    <row r="19878" s="12" customFormat="1" x14ac:dyDescent="0.25"/>
    <row r="19879" s="12" customFormat="1" x14ac:dyDescent="0.25"/>
    <row r="19880" s="12" customFormat="1" x14ac:dyDescent="0.25"/>
    <row r="19881" s="12" customFormat="1" x14ac:dyDescent="0.25"/>
    <row r="19882" s="12" customFormat="1" x14ac:dyDescent="0.25"/>
    <row r="19883" s="12" customFormat="1" x14ac:dyDescent="0.25"/>
    <row r="19884" s="12" customFormat="1" x14ac:dyDescent="0.25"/>
    <row r="19885" s="12" customFormat="1" x14ac:dyDescent="0.25"/>
    <row r="19886" s="12" customFormat="1" x14ac:dyDescent="0.25"/>
    <row r="19887" s="12" customFormat="1" x14ac:dyDescent="0.25"/>
    <row r="19888" s="12" customFormat="1" x14ac:dyDescent="0.25"/>
    <row r="19889" s="12" customFormat="1" x14ac:dyDescent="0.25"/>
    <row r="19890" s="12" customFormat="1" x14ac:dyDescent="0.25"/>
    <row r="19891" s="12" customFormat="1" x14ac:dyDescent="0.25"/>
    <row r="19892" s="12" customFormat="1" x14ac:dyDescent="0.25"/>
    <row r="19893" s="12" customFormat="1" x14ac:dyDescent="0.25"/>
    <row r="19894" s="12" customFormat="1" x14ac:dyDescent="0.25"/>
    <row r="19895" s="12" customFormat="1" x14ac:dyDescent="0.25"/>
    <row r="19896" s="12" customFormat="1" x14ac:dyDescent="0.25"/>
    <row r="19897" s="12" customFormat="1" x14ac:dyDescent="0.25"/>
    <row r="19898" s="12" customFormat="1" x14ac:dyDescent="0.25"/>
    <row r="19899" s="12" customFormat="1" x14ac:dyDescent="0.25"/>
    <row r="19900" s="12" customFormat="1" x14ac:dyDescent="0.25"/>
    <row r="19901" s="12" customFormat="1" x14ac:dyDescent="0.25"/>
    <row r="19902" s="12" customFormat="1" x14ac:dyDescent="0.25"/>
    <row r="19903" s="12" customFormat="1" x14ac:dyDescent="0.25"/>
    <row r="19904" s="12" customFormat="1" x14ac:dyDescent="0.25"/>
    <row r="19905" s="12" customFormat="1" x14ac:dyDescent="0.25"/>
    <row r="19906" s="12" customFormat="1" x14ac:dyDescent="0.25"/>
    <row r="19907" s="12" customFormat="1" x14ac:dyDescent="0.25"/>
    <row r="19908" s="12" customFormat="1" x14ac:dyDescent="0.25"/>
    <row r="19909" s="12" customFormat="1" x14ac:dyDescent="0.25"/>
    <row r="19910" s="12" customFormat="1" x14ac:dyDescent="0.25"/>
    <row r="19911" s="12" customFormat="1" x14ac:dyDescent="0.25"/>
    <row r="19912" s="12" customFormat="1" x14ac:dyDescent="0.25"/>
    <row r="19913" s="12" customFormat="1" x14ac:dyDescent="0.25"/>
    <row r="19914" s="12" customFormat="1" x14ac:dyDescent="0.25"/>
    <row r="19915" s="12" customFormat="1" x14ac:dyDescent="0.25"/>
    <row r="19916" s="12" customFormat="1" x14ac:dyDescent="0.25"/>
    <row r="19917" s="12" customFormat="1" x14ac:dyDescent="0.25"/>
    <row r="19918" s="12" customFormat="1" x14ac:dyDescent="0.25"/>
    <row r="19919" s="12" customFormat="1" x14ac:dyDescent="0.25"/>
    <row r="19920" s="12" customFormat="1" x14ac:dyDescent="0.25"/>
    <row r="19921" s="12" customFormat="1" x14ac:dyDescent="0.25"/>
    <row r="19922" s="12" customFormat="1" x14ac:dyDescent="0.25"/>
    <row r="19923" s="12" customFormat="1" x14ac:dyDescent="0.25"/>
    <row r="19924" s="12" customFormat="1" x14ac:dyDescent="0.25"/>
    <row r="19925" s="12" customFormat="1" x14ac:dyDescent="0.25"/>
    <row r="19926" s="12" customFormat="1" x14ac:dyDescent="0.25"/>
    <row r="19927" s="12" customFormat="1" x14ac:dyDescent="0.25"/>
    <row r="19928" s="12" customFormat="1" x14ac:dyDescent="0.25"/>
    <row r="19929" s="12" customFormat="1" x14ac:dyDescent="0.25"/>
    <row r="19930" s="12" customFormat="1" x14ac:dyDescent="0.25"/>
    <row r="19931" s="12" customFormat="1" x14ac:dyDescent="0.25"/>
    <row r="19932" s="12" customFormat="1" x14ac:dyDescent="0.25"/>
    <row r="19933" s="12" customFormat="1" x14ac:dyDescent="0.25"/>
    <row r="19934" s="12" customFormat="1" x14ac:dyDescent="0.25"/>
    <row r="19935" s="12" customFormat="1" x14ac:dyDescent="0.25"/>
    <row r="19936" s="12" customFormat="1" x14ac:dyDescent="0.25"/>
    <row r="19937" s="12" customFormat="1" x14ac:dyDescent="0.25"/>
    <row r="19938" s="12" customFormat="1" x14ac:dyDescent="0.25"/>
    <row r="19939" s="12" customFormat="1" x14ac:dyDescent="0.25"/>
    <row r="19940" s="12" customFormat="1" x14ac:dyDescent="0.25"/>
    <row r="19941" s="12" customFormat="1" x14ac:dyDescent="0.25"/>
    <row r="19942" s="12" customFormat="1" x14ac:dyDescent="0.25"/>
    <row r="19943" s="12" customFormat="1" x14ac:dyDescent="0.25"/>
    <row r="19944" s="12" customFormat="1" x14ac:dyDescent="0.25"/>
    <row r="19945" s="12" customFormat="1" x14ac:dyDescent="0.25"/>
    <row r="19946" s="12" customFormat="1" x14ac:dyDescent="0.25"/>
    <row r="19947" s="12" customFormat="1" x14ac:dyDescent="0.25"/>
    <row r="19948" s="12" customFormat="1" x14ac:dyDescent="0.25"/>
    <row r="19949" s="12" customFormat="1" x14ac:dyDescent="0.25"/>
    <row r="19950" s="12" customFormat="1" x14ac:dyDescent="0.25"/>
    <row r="19951" s="12" customFormat="1" x14ac:dyDescent="0.25"/>
    <row r="19952" s="12" customFormat="1" x14ac:dyDescent="0.25"/>
    <row r="19953" s="12" customFormat="1" x14ac:dyDescent="0.25"/>
    <row r="19954" s="12" customFormat="1" x14ac:dyDescent="0.25"/>
    <row r="19955" s="12" customFormat="1" x14ac:dyDescent="0.25"/>
    <row r="19956" s="12" customFormat="1" x14ac:dyDescent="0.25"/>
    <row r="19957" s="12" customFormat="1" x14ac:dyDescent="0.25"/>
    <row r="19958" s="12" customFormat="1" x14ac:dyDescent="0.25"/>
    <row r="19959" s="12" customFormat="1" x14ac:dyDescent="0.25"/>
    <row r="19960" s="12" customFormat="1" x14ac:dyDescent="0.25"/>
    <row r="19961" s="12" customFormat="1" x14ac:dyDescent="0.25"/>
    <row r="19962" s="12" customFormat="1" x14ac:dyDescent="0.25"/>
    <row r="19963" s="12" customFormat="1" x14ac:dyDescent="0.25"/>
    <row r="19964" s="12" customFormat="1" x14ac:dyDescent="0.25"/>
    <row r="19965" s="12" customFormat="1" x14ac:dyDescent="0.25"/>
    <row r="19966" s="12" customFormat="1" x14ac:dyDescent="0.25"/>
    <row r="19967" s="12" customFormat="1" x14ac:dyDescent="0.25"/>
    <row r="19968" s="12" customFormat="1" x14ac:dyDescent="0.25"/>
    <row r="19969" s="12" customFormat="1" x14ac:dyDescent="0.25"/>
    <row r="19970" s="12" customFormat="1" x14ac:dyDescent="0.25"/>
    <row r="19971" s="12" customFormat="1" x14ac:dyDescent="0.25"/>
    <row r="19972" s="12" customFormat="1" x14ac:dyDescent="0.25"/>
    <row r="19973" s="12" customFormat="1" x14ac:dyDescent="0.25"/>
    <row r="19974" s="12" customFormat="1" x14ac:dyDescent="0.25"/>
    <row r="19975" s="12" customFormat="1" x14ac:dyDescent="0.25"/>
    <row r="19976" s="12" customFormat="1" x14ac:dyDescent="0.25"/>
    <row r="19977" s="12" customFormat="1" x14ac:dyDescent="0.25"/>
    <row r="19978" s="12" customFormat="1" x14ac:dyDescent="0.25"/>
    <row r="19979" s="12" customFormat="1" x14ac:dyDescent="0.25"/>
    <row r="19980" s="12" customFormat="1" x14ac:dyDescent="0.25"/>
    <row r="19981" s="12" customFormat="1" x14ac:dyDescent="0.25"/>
    <row r="19982" s="12" customFormat="1" x14ac:dyDescent="0.25"/>
    <row r="19983" s="12" customFormat="1" x14ac:dyDescent="0.25"/>
    <row r="19984" s="12" customFormat="1" x14ac:dyDescent="0.25"/>
    <row r="19985" s="12" customFormat="1" x14ac:dyDescent="0.25"/>
    <row r="19986" s="12" customFormat="1" x14ac:dyDescent="0.25"/>
    <row r="19987" s="12" customFormat="1" x14ac:dyDescent="0.25"/>
    <row r="19988" s="12" customFormat="1" x14ac:dyDescent="0.25"/>
    <row r="19989" s="12" customFormat="1" x14ac:dyDescent="0.25"/>
    <row r="19990" s="12" customFormat="1" x14ac:dyDescent="0.25"/>
    <row r="19991" s="12" customFormat="1" x14ac:dyDescent="0.25"/>
    <row r="19992" s="12" customFormat="1" x14ac:dyDescent="0.25"/>
    <row r="19993" s="12" customFormat="1" x14ac:dyDescent="0.25"/>
    <row r="19994" s="12" customFormat="1" x14ac:dyDescent="0.25"/>
    <row r="19995" s="12" customFormat="1" x14ac:dyDescent="0.25"/>
    <row r="19996" s="12" customFormat="1" x14ac:dyDescent="0.25"/>
    <row r="19997" s="12" customFormat="1" x14ac:dyDescent="0.25"/>
    <row r="19998" s="12" customFormat="1" x14ac:dyDescent="0.25"/>
    <row r="19999" s="12" customFormat="1" x14ac:dyDescent="0.25"/>
    <row r="20000" s="12" customFormat="1" x14ac:dyDescent="0.25"/>
    <row r="20001" s="12" customFormat="1" x14ac:dyDescent="0.25"/>
    <row r="20002" s="12" customFormat="1" x14ac:dyDescent="0.25"/>
    <row r="20003" s="12" customFormat="1" x14ac:dyDescent="0.25"/>
    <row r="20004" s="12" customFormat="1" x14ac:dyDescent="0.25"/>
    <row r="20005" s="12" customFormat="1" x14ac:dyDescent="0.25"/>
    <row r="20006" s="12" customFormat="1" x14ac:dyDescent="0.25"/>
    <row r="20007" s="12" customFormat="1" x14ac:dyDescent="0.25"/>
    <row r="20008" s="12" customFormat="1" x14ac:dyDescent="0.25"/>
    <row r="20009" s="12" customFormat="1" x14ac:dyDescent="0.25"/>
    <row r="20010" s="12" customFormat="1" x14ac:dyDescent="0.25"/>
    <row r="20011" s="12" customFormat="1" x14ac:dyDescent="0.25"/>
    <row r="20012" s="12" customFormat="1" x14ac:dyDescent="0.25"/>
    <row r="20013" s="12" customFormat="1" x14ac:dyDescent="0.25"/>
    <row r="20014" s="12" customFormat="1" x14ac:dyDescent="0.25"/>
    <row r="20015" s="12" customFormat="1" x14ac:dyDescent="0.25"/>
    <row r="20016" s="12" customFormat="1" x14ac:dyDescent="0.25"/>
    <row r="20017" s="12" customFormat="1" x14ac:dyDescent="0.25"/>
    <row r="20018" s="12" customFormat="1" x14ac:dyDescent="0.25"/>
    <row r="20019" s="12" customFormat="1" x14ac:dyDescent="0.25"/>
    <row r="20020" s="12" customFormat="1" x14ac:dyDescent="0.25"/>
    <row r="20021" s="12" customFormat="1" x14ac:dyDescent="0.25"/>
    <row r="20022" s="12" customFormat="1" x14ac:dyDescent="0.25"/>
    <row r="20023" s="12" customFormat="1" x14ac:dyDescent="0.25"/>
    <row r="20024" s="12" customFormat="1" x14ac:dyDescent="0.25"/>
    <row r="20025" s="12" customFormat="1" x14ac:dyDescent="0.25"/>
    <row r="20026" s="12" customFormat="1" x14ac:dyDescent="0.25"/>
    <row r="20027" s="12" customFormat="1" x14ac:dyDescent="0.25"/>
    <row r="20028" s="12" customFormat="1" x14ac:dyDescent="0.25"/>
    <row r="20029" s="12" customFormat="1" x14ac:dyDescent="0.25"/>
    <row r="20030" s="12" customFormat="1" x14ac:dyDescent="0.25"/>
    <row r="20031" s="12" customFormat="1" x14ac:dyDescent="0.25"/>
    <row r="20032" s="12" customFormat="1" x14ac:dyDescent="0.25"/>
    <row r="20033" s="12" customFormat="1" x14ac:dyDescent="0.25"/>
    <row r="20034" s="12" customFormat="1" x14ac:dyDescent="0.25"/>
    <row r="20035" s="12" customFormat="1" x14ac:dyDescent="0.25"/>
    <row r="20036" s="12" customFormat="1" x14ac:dyDescent="0.25"/>
    <row r="20037" s="12" customFormat="1" x14ac:dyDescent="0.25"/>
    <row r="20038" s="12" customFormat="1" x14ac:dyDescent="0.25"/>
    <row r="20039" s="12" customFormat="1" x14ac:dyDescent="0.25"/>
    <row r="20040" s="12" customFormat="1" x14ac:dyDescent="0.25"/>
    <row r="20041" s="12" customFormat="1" x14ac:dyDescent="0.25"/>
    <row r="20042" s="12" customFormat="1" x14ac:dyDescent="0.25"/>
    <row r="20043" s="12" customFormat="1" x14ac:dyDescent="0.25"/>
    <row r="20044" s="12" customFormat="1" x14ac:dyDescent="0.25"/>
    <row r="20045" s="12" customFormat="1" x14ac:dyDescent="0.25"/>
    <row r="20046" s="12" customFormat="1" x14ac:dyDescent="0.25"/>
    <row r="20047" s="12" customFormat="1" x14ac:dyDescent="0.25"/>
    <row r="20048" s="12" customFormat="1" x14ac:dyDescent="0.25"/>
    <row r="20049" s="12" customFormat="1" x14ac:dyDescent="0.25"/>
    <row r="20050" s="12" customFormat="1" x14ac:dyDescent="0.25"/>
    <row r="20051" s="12" customFormat="1" x14ac:dyDescent="0.25"/>
    <row r="20052" s="12" customFormat="1" x14ac:dyDescent="0.25"/>
    <row r="20053" s="12" customFormat="1" x14ac:dyDescent="0.25"/>
    <row r="20054" s="12" customFormat="1" x14ac:dyDescent="0.25"/>
    <row r="20055" s="12" customFormat="1" x14ac:dyDescent="0.25"/>
    <row r="20056" s="12" customFormat="1" x14ac:dyDescent="0.25"/>
    <row r="20057" s="12" customFormat="1" x14ac:dyDescent="0.25"/>
    <row r="20058" s="12" customFormat="1" x14ac:dyDescent="0.25"/>
    <row r="20059" s="12" customFormat="1" x14ac:dyDescent="0.25"/>
    <row r="20060" s="12" customFormat="1" x14ac:dyDescent="0.25"/>
    <row r="20061" s="12" customFormat="1" x14ac:dyDescent="0.25"/>
    <row r="20062" s="12" customFormat="1" x14ac:dyDescent="0.25"/>
    <row r="20063" s="12" customFormat="1" x14ac:dyDescent="0.25"/>
    <row r="20064" s="12" customFormat="1" x14ac:dyDescent="0.25"/>
    <row r="20065" s="12" customFormat="1" x14ac:dyDescent="0.25"/>
    <row r="20066" s="12" customFormat="1" x14ac:dyDescent="0.25"/>
    <row r="20067" s="12" customFormat="1" x14ac:dyDescent="0.25"/>
    <row r="20068" s="12" customFormat="1" x14ac:dyDescent="0.25"/>
    <row r="20069" s="12" customFormat="1" x14ac:dyDescent="0.25"/>
    <row r="20070" s="12" customFormat="1" x14ac:dyDescent="0.25"/>
    <row r="20071" s="12" customFormat="1" x14ac:dyDescent="0.25"/>
    <row r="20072" s="12" customFormat="1" x14ac:dyDescent="0.25"/>
    <row r="20073" s="12" customFormat="1" x14ac:dyDescent="0.25"/>
    <row r="20074" s="12" customFormat="1" x14ac:dyDescent="0.25"/>
    <row r="20075" s="12" customFormat="1" x14ac:dyDescent="0.25"/>
    <row r="20076" s="12" customFormat="1" x14ac:dyDescent="0.25"/>
    <row r="20077" s="12" customFormat="1" x14ac:dyDescent="0.25"/>
    <row r="20078" s="12" customFormat="1" x14ac:dyDescent="0.25"/>
    <row r="20079" s="12" customFormat="1" x14ac:dyDescent="0.25"/>
    <row r="20080" s="12" customFormat="1" x14ac:dyDescent="0.25"/>
    <row r="20081" s="12" customFormat="1" x14ac:dyDescent="0.25"/>
    <row r="20082" s="12" customFormat="1" x14ac:dyDescent="0.25"/>
    <row r="20083" s="12" customFormat="1" x14ac:dyDescent="0.25"/>
    <row r="20084" s="12" customFormat="1" x14ac:dyDescent="0.25"/>
    <row r="20085" s="12" customFormat="1" x14ac:dyDescent="0.25"/>
    <row r="20086" s="12" customFormat="1" x14ac:dyDescent="0.25"/>
    <row r="20087" s="12" customFormat="1" x14ac:dyDescent="0.25"/>
    <row r="20088" s="12" customFormat="1" x14ac:dyDescent="0.25"/>
    <row r="20089" s="12" customFormat="1" x14ac:dyDescent="0.25"/>
    <row r="20090" s="12" customFormat="1" x14ac:dyDescent="0.25"/>
    <row r="20091" s="12" customFormat="1" x14ac:dyDescent="0.25"/>
    <row r="20092" s="12" customFormat="1" x14ac:dyDescent="0.25"/>
    <row r="20093" s="12" customFormat="1" x14ac:dyDescent="0.25"/>
    <row r="20094" s="12" customFormat="1" x14ac:dyDescent="0.25"/>
    <row r="20095" s="12" customFormat="1" x14ac:dyDescent="0.25"/>
    <row r="20096" s="12" customFormat="1" x14ac:dyDescent="0.25"/>
    <row r="20097" s="12" customFormat="1" x14ac:dyDescent="0.25"/>
    <row r="20098" s="12" customFormat="1" x14ac:dyDescent="0.25"/>
    <row r="20099" s="12" customFormat="1" x14ac:dyDescent="0.25"/>
    <row r="20100" s="12" customFormat="1" x14ac:dyDescent="0.25"/>
    <row r="20101" s="12" customFormat="1" x14ac:dyDescent="0.25"/>
    <row r="20102" s="12" customFormat="1" x14ac:dyDescent="0.25"/>
    <row r="20103" s="12" customFormat="1" x14ac:dyDescent="0.25"/>
    <row r="20104" s="12" customFormat="1" x14ac:dyDescent="0.25"/>
    <row r="20105" s="12" customFormat="1" x14ac:dyDescent="0.25"/>
    <row r="20106" s="12" customFormat="1" x14ac:dyDescent="0.25"/>
    <row r="20107" s="12" customFormat="1" x14ac:dyDescent="0.25"/>
    <row r="20108" s="12" customFormat="1" x14ac:dyDescent="0.25"/>
    <row r="20109" s="12" customFormat="1" x14ac:dyDescent="0.25"/>
    <row r="20110" s="12" customFormat="1" x14ac:dyDescent="0.25"/>
    <row r="20111" s="12" customFormat="1" x14ac:dyDescent="0.25"/>
    <row r="20112" s="12" customFormat="1" x14ac:dyDescent="0.25"/>
    <row r="20113" s="12" customFormat="1" x14ac:dyDescent="0.25"/>
    <row r="20114" s="12" customFormat="1" x14ac:dyDescent="0.25"/>
    <row r="20115" s="12" customFormat="1" x14ac:dyDescent="0.25"/>
    <row r="20116" s="12" customFormat="1" x14ac:dyDescent="0.25"/>
    <row r="20117" s="12" customFormat="1" x14ac:dyDescent="0.25"/>
    <row r="20118" s="12" customFormat="1" x14ac:dyDescent="0.25"/>
    <row r="20119" s="12" customFormat="1" x14ac:dyDescent="0.25"/>
    <row r="20120" s="12" customFormat="1" x14ac:dyDescent="0.25"/>
    <row r="20121" s="12" customFormat="1" x14ac:dyDescent="0.25"/>
    <row r="20122" s="12" customFormat="1" x14ac:dyDescent="0.25"/>
    <row r="20123" s="12" customFormat="1" x14ac:dyDescent="0.25"/>
    <row r="20124" s="12" customFormat="1" x14ac:dyDescent="0.25"/>
    <row r="20125" s="12" customFormat="1" x14ac:dyDescent="0.25"/>
    <row r="20126" s="12" customFormat="1" x14ac:dyDescent="0.25"/>
    <row r="20127" s="12" customFormat="1" x14ac:dyDescent="0.25"/>
    <row r="20128" s="12" customFormat="1" x14ac:dyDescent="0.25"/>
    <row r="20129" s="12" customFormat="1" x14ac:dyDescent="0.25"/>
    <row r="20130" s="12" customFormat="1" x14ac:dyDescent="0.25"/>
    <row r="20131" s="12" customFormat="1" x14ac:dyDescent="0.25"/>
    <row r="20132" s="12" customFormat="1" x14ac:dyDescent="0.25"/>
    <row r="20133" s="12" customFormat="1" x14ac:dyDescent="0.25"/>
    <row r="20134" s="12" customFormat="1" x14ac:dyDescent="0.25"/>
    <row r="20135" s="12" customFormat="1" x14ac:dyDescent="0.25"/>
    <row r="20136" s="12" customFormat="1" x14ac:dyDescent="0.25"/>
    <row r="20137" s="12" customFormat="1" x14ac:dyDescent="0.25"/>
    <row r="20138" s="12" customFormat="1" x14ac:dyDescent="0.25"/>
    <row r="20139" s="12" customFormat="1" x14ac:dyDescent="0.25"/>
    <row r="20140" s="12" customFormat="1" x14ac:dyDescent="0.25"/>
    <row r="20141" s="12" customFormat="1" x14ac:dyDescent="0.25"/>
    <row r="20142" s="12" customFormat="1" x14ac:dyDescent="0.25"/>
    <row r="20143" s="12" customFormat="1" x14ac:dyDescent="0.25"/>
    <row r="20144" s="12" customFormat="1" x14ac:dyDescent="0.25"/>
    <row r="20145" s="12" customFormat="1" x14ac:dyDescent="0.25"/>
    <row r="20146" s="12" customFormat="1" x14ac:dyDescent="0.25"/>
    <row r="20147" s="12" customFormat="1" x14ac:dyDescent="0.25"/>
    <row r="20148" s="12" customFormat="1" x14ac:dyDescent="0.25"/>
    <row r="20149" s="12" customFormat="1" x14ac:dyDescent="0.25"/>
    <row r="20150" s="12" customFormat="1" x14ac:dyDescent="0.25"/>
    <row r="20151" s="12" customFormat="1" x14ac:dyDescent="0.25"/>
    <row r="20152" s="12" customFormat="1" x14ac:dyDescent="0.25"/>
    <row r="20153" s="12" customFormat="1" x14ac:dyDescent="0.25"/>
    <row r="20154" s="12" customFormat="1" x14ac:dyDescent="0.25"/>
    <row r="20155" s="12" customFormat="1" x14ac:dyDescent="0.25"/>
    <row r="20156" s="12" customFormat="1" x14ac:dyDescent="0.25"/>
    <row r="20157" s="12" customFormat="1" x14ac:dyDescent="0.25"/>
    <row r="20158" s="12" customFormat="1" x14ac:dyDescent="0.25"/>
    <row r="20159" s="12" customFormat="1" x14ac:dyDescent="0.25"/>
    <row r="20160" s="12" customFormat="1" x14ac:dyDescent="0.25"/>
    <row r="20161" s="12" customFormat="1" x14ac:dyDescent="0.25"/>
    <row r="20162" s="12" customFormat="1" x14ac:dyDescent="0.25"/>
    <row r="20163" s="12" customFormat="1" x14ac:dyDescent="0.25"/>
    <row r="20164" s="12" customFormat="1" x14ac:dyDescent="0.25"/>
    <row r="20165" s="12" customFormat="1" x14ac:dyDescent="0.25"/>
    <row r="20166" s="12" customFormat="1" x14ac:dyDescent="0.25"/>
    <row r="20167" s="12" customFormat="1" x14ac:dyDescent="0.25"/>
    <row r="20168" s="12" customFormat="1" x14ac:dyDescent="0.25"/>
    <row r="20169" s="12" customFormat="1" x14ac:dyDescent="0.25"/>
    <row r="20170" s="12" customFormat="1" x14ac:dyDescent="0.25"/>
    <row r="20171" s="12" customFormat="1" x14ac:dyDescent="0.25"/>
    <row r="20172" s="12" customFormat="1" x14ac:dyDescent="0.25"/>
    <row r="20173" s="12" customFormat="1" x14ac:dyDescent="0.25"/>
    <row r="20174" s="12" customFormat="1" x14ac:dyDescent="0.25"/>
    <row r="20175" s="12" customFormat="1" x14ac:dyDescent="0.25"/>
    <row r="20176" s="12" customFormat="1" x14ac:dyDescent="0.25"/>
    <row r="20177" s="12" customFormat="1" x14ac:dyDescent="0.25"/>
    <row r="20178" s="12" customFormat="1" x14ac:dyDescent="0.25"/>
    <row r="20179" s="12" customFormat="1" x14ac:dyDescent="0.25"/>
    <row r="20180" s="12" customFormat="1" x14ac:dyDescent="0.25"/>
    <row r="20181" s="12" customFormat="1" x14ac:dyDescent="0.25"/>
    <row r="20182" s="12" customFormat="1" x14ac:dyDescent="0.25"/>
    <row r="20183" s="12" customFormat="1" x14ac:dyDescent="0.25"/>
    <row r="20184" s="12" customFormat="1" x14ac:dyDescent="0.25"/>
    <row r="20185" s="12" customFormat="1" x14ac:dyDescent="0.25"/>
    <row r="20186" s="12" customFormat="1" x14ac:dyDescent="0.25"/>
    <row r="20187" s="12" customFormat="1" x14ac:dyDescent="0.25"/>
    <row r="20188" s="12" customFormat="1" x14ac:dyDescent="0.25"/>
    <row r="20189" s="12" customFormat="1" x14ac:dyDescent="0.25"/>
    <row r="20190" s="12" customFormat="1" x14ac:dyDescent="0.25"/>
    <row r="20191" s="12" customFormat="1" x14ac:dyDescent="0.25"/>
    <row r="20192" s="12" customFormat="1" x14ac:dyDescent="0.25"/>
    <row r="20193" s="12" customFormat="1" x14ac:dyDescent="0.25"/>
    <row r="20194" s="12" customFormat="1" x14ac:dyDescent="0.25"/>
    <row r="20195" s="12" customFormat="1" x14ac:dyDescent="0.25"/>
    <row r="20196" s="12" customFormat="1" x14ac:dyDescent="0.25"/>
    <row r="20197" s="12" customFormat="1" x14ac:dyDescent="0.25"/>
    <row r="20198" s="12" customFormat="1" x14ac:dyDescent="0.25"/>
    <row r="20199" s="12" customFormat="1" x14ac:dyDescent="0.25"/>
    <row r="20200" s="12" customFormat="1" x14ac:dyDescent="0.25"/>
    <row r="20201" s="12" customFormat="1" x14ac:dyDescent="0.25"/>
    <row r="20202" s="12" customFormat="1" x14ac:dyDescent="0.25"/>
    <row r="20203" s="12" customFormat="1" x14ac:dyDescent="0.25"/>
    <row r="20204" s="12" customFormat="1" x14ac:dyDescent="0.25"/>
    <row r="20205" s="12" customFormat="1" x14ac:dyDescent="0.25"/>
    <row r="20206" s="12" customFormat="1" x14ac:dyDescent="0.25"/>
    <row r="20207" s="12" customFormat="1" x14ac:dyDescent="0.25"/>
    <row r="20208" s="12" customFormat="1" x14ac:dyDescent="0.25"/>
    <row r="20209" s="12" customFormat="1" x14ac:dyDescent="0.25"/>
    <row r="20210" s="12" customFormat="1" x14ac:dyDescent="0.25"/>
    <row r="20211" s="12" customFormat="1" x14ac:dyDescent="0.25"/>
    <row r="20212" s="12" customFormat="1" x14ac:dyDescent="0.25"/>
    <row r="20213" s="12" customFormat="1" x14ac:dyDescent="0.25"/>
    <row r="20214" s="12" customFormat="1" x14ac:dyDescent="0.25"/>
    <row r="20215" s="12" customFormat="1" x14ac:dyDescent="0.25"/>
    <row r="20216" s="12" customFormat="1" x14ac:dyDescent="0.25"/>
    <row r="20217" s="12" customFormat="1" x14ac:dyDescent="0.25"/>
    <row r="20218" s="12" customFormat="1" x14ac:dyDescent="0.25"/>
    <row r="20219" s="12" customFormat="1" x14ac:dyDescent="0.25"/>
    <row r="20220" s="12" customFormat="1" x14ac:dyDescent="0.25"/>
    <row r="20221" s="12" customFormat="1" x14ac:dyDescent="0.25"/>
    <row r="20222" s="12" customFormat="1" x14ac:dyDescent="0.25"/>
    <row r="20223" s="12" customFormat="1" x14ac:dyDescent="0.25"/>
    <row r="20224" s="12" customFormat="1" x14ac:dyDescent="0.25"/>
    <row r="20225" s="12" customFormat="1" x14ac:dyDescent="0.25"/>
    <row r="20226" s="12" customFormat="1" x14ac:dyDescent="0.25"/>
    <row r="20227" s="12" customFormat="1" x14ac:dyDescent="0.25"/>
    <row r="20228" s="12" customFormat="1" x14ac:dyDescent="0.25"/>
    <row r="20229" s="12" customFormat="1" x14ac:dyDescent="0.25"/>
    <row r="20230" s="12" customFormat="1" x14ac:dyDescent="0.25"/>
    <row r="20231" s="12" customFormat="1" x14ac:dyDescent="0.25"/>
    <row r="20232" s="12" customFormat="1" x14ac:dyDescent="0.25"/>
    <row r="20233" s="12" customFormat="1" x14ac:dyDescent="0.25"/>
    <row r="20234" s="12" customFormat="1" x14ac:dyDescent="0.25"/>
    <row r="20235" s="12" customFormat="1" x14ac:dyDescent="0.25"/>
    <row r="20236" s="12" customFormat="1" x14ac:dyDescent="0.25"/>
    <row r="20237" s="12" customFormat="1" x14ac:dyDescent="0.25"/>
    <row r="20238" s="12" customFormat="1" x14ac:dyDescent="0.25"/>
    <row r="20239" s="12" customFormat="1" x14ac:dyDescent="0.25"/>
    <row r="20240" s="12" customFormat="1" x14ac:dyDescent="0.25"/>
    <row r="20241" s="12" customFormat="1" x14ac:dyDescent="0.25"/>
    <row r="20242" s="12" customFormat="1" x14ac:dyDescent="0.25"/>
    <row r="20243" s="12" customFormat="1" x14ac:dyDescent="0.25"/>
    <row r="20244" s="12" customFormat="1" x14ac:dyDescent="0.25"/>
    <row r="20245" s="12" customFormat="1" x14ac:dyDescent="0.25"/>
    <row r="20246" s="12" customFormat="1" x14ac:dyDescent="0.25"/>
    <row r="20247" s="12" customFormat="1" x14ac:dyDescent="0.25"/>
    <row r="20248" s="12" customFormat="1" x14ac:dyDescent="0.25"/>
    <row r="20249" s="12" customFormat="1" x14ac:dyDescent="0.25"/>
    <row r="20250" s="12" customFormat="1" x14ac:dyDescent="0.25"/>
    <row r="20251" s="12" customFormat="1" x14ac:dyDescent="0.25"/>
    <row r="20252" s="12" customFormat="1" x14ac:dyDescent="0.25"/>
    <row r="20253" s="12" customFormat="1" x14ac:dyDescent="0.25"/>
    <row r="20254" s="12" customFormat="1" x14ac:dyDescent="0.25"/>
    <row r="20255" s="12" customFormat="1" x14ac:dyDescent="0.25"/>
    <row r="20256" s="12" customFormat="1" x14ac:dyDescent="0.25"/>
    <row r="20257" s="12" customFormat="1" x14ac:dyDescent="0.25"/>
    <row r="20258" s="12" customFormat="1" x14ac:dyDescent="0.25"/>
    <row r="20259" s="12" customFormat="1" x14ac:dyDescent="0.25"/>
    <row r="20260" s="12" customFormat="1" x14ac:dyDescent="0.25"/>
    <row r="20261" s="12" customFormat="1" x14ac:dyDescent="0.25"/>
    <row r="20262" s="12" customFormat="1" x14ac:dyDescent="0.25"/>
    <row r="20263" s="12" customFormat="1" x14ac:dyDescent="0.25"/>
    <row r="20264" s="12" customFormat="1" x14ac:dyDescent="0.25"/>
    <row r="20265" s="12" customFormat="1" x14ac:dyDescent="0.25"/>
    <row r="20266" s="12" customFormat="1" x14ac:dyDescent="0.25"/>
    <row r="20267" s="12" customFormat="1" x14ac:dyDescent="0.25"/>
    <row r="20268" s="12" customFormat="1" x14ac:dyDescent="0.25"/>
    <row r="20269" s="12" customFormat="1" x14ac:dyDescent="0.25"/>
    <row r="20270" s="12" customFormat="1" x14ac:dyDescent="0.25"/>
    <row r="20271" s="12" customFormat="1" x14ac:dyDescent="0.25"/>
    <row r="20272" s="12" customFormat="1" x14ac:dyDescent="0.25"/>
    <row r="20273" s="12" customFormat="1" x14ac:dyDescent="0.25"/>
    <row r="20274" s="12" customFormat="1" x14ac:dyDescent="0.25"/>
    <row r="20275" s="12" customFormat="1" x14ac:dyDescent="0.25"/>
    <row r="20276" s="12" customFormat="1" x14ac:dyDescent="0.25"/>
    <row r="20277" s="12" customFormat="1" x14ac:dyDescent="0.25"/>
    <row r="20278" s="12" customFormat="1" x14ac:dyDescent="0.25"/>
    <row r="20279" s="12" customFormat="1" x14ac:dyDescent="0.25"/>
    <row r="20280" s="12" customFormat="1" x14ac:dyDescent="0.25"/>
    <row r="20281" s="12" customFormat="1" x14ac:dyDescent="0.25"/>
    <row r="20282" s="12" customFormat="1" x14ac:dyDescent="0.25"/>
    <row r="20283" s="12" customFormat="1" x14ac:dyDescent="0.25"/>
    <row r="20284" s="12" customFormat="1" x14ac:dyDescent="0.25"/>
    <row r="20285" s="12" customFormat="1" x14ac:dyDescent="0.25"/>
    <row r="20286" s="12" customFormat="1" x14ac:dyDescent="0.25"/>
    <row r="20287" s="12" customFormat="1" x14ac:dyDescent="0.25"/>
    <row r="20288" s="12" customFormat="1" x14ac:dyDescent="0.25"/>
    <row r="20289" s="12" customFormat="1" x14ac:dyDescent="0.25"/>
    <row r="20290" s="12" customFormat="1" x14ac:dyDescent="0.25"/>
    <row r="20291" s="12" customFormat="1" x14ac:dyDescent="0.25"/>
    <row r="20292" s="12" customFormat="1" x14ac:dyDescent="0.25"/>
    <row r="20293" s="12" customFormat="1" x14ac:dyDescent="0.25"/>
    <row r="20294" s="12" customFormat="1" x14ac:dyDescent="0.25"/>
    <row r="20295" s="12" customFormat="1" x14ac:dyDescent="0.25"/>
    <row r="20296" s="12" customFormat="1" x14ac:dyDescent="0.25"/>
    <row r="20297" s="12" customFormat="1" x14ac:dyDescent="0.25"/>
    <row r="20298" s="12" customFormat="1" x14ac:dyDescent="0.25"/>
    <row r="20299" s="12" customFormat="1" x14ac:dyDescent="0.25"/>
    <row r="20300" s="12" customFormat="1" x14ac:dyDescent="0.25"/>
    <row r="20301" s="12" customFormat="1" x14ac:dyDescent="0.25"/>
    <row r="20302" s="12" customFormat="1" x14ac:dyDescent="0.25"/>
    <row r="20303" s="12" customFormat="1" x14ac:dyDescent="0.25"/>
    <row r="20304" s="12" customFormat="1" x14ac:dyDescent="0.25"/>
    <row r="20305" s="12" customFormat="1" x14ac:dyDescent="0.25"/>
    <row r="20306" s="12" customFormat="1" x14ac:dyDescent="0.25"/>
    <row r="20307" s="12" customFormat="1" x14ac:dyDescent="0.25"/>
    <row r="20308" s="12" customFormat="1" x14ac:dyDescent="0.25"/>
    <row r="20309" s="12" customFormat="1" x14ac:dyDescent="0.25"/>
    <row r="20310" s="12" customFormat="1" x14ac:dyDescent="0.25"/>
    <row r="20311" s="12" customFormat="1" x14ac:dyDescent="0.25"/>
    <row r="20312" s="12" customFormat="1" x14ac:dyDescent="0.25"/>
    <row r="20313" s="12" customFormat="1" x14ac:dyDescent="0.25"/>
    <row r="20314" s="12" customFormat="1" x14ac:dyDescent="0.25"/>
    <row r="20315" s="12" customFormat="1" x14ac:dyDescent="0.25"/>
    <row r="20316" s="12" customFormat="1" x14ac:dyDescent="0.25"/>
    <row r="20317" s="12" customFormat="1" x14ac:dyDescent="0.25"/>
    <row r="20318" s="12" customFormat="1" x14ac:dyDescent="0.25"/>
    <row r="20319" s="12" customFormat="1" x14ac:dyDescent="0.25"/>
    <row r="20320" s="12" customFormat="1" x14ac:dyDescent="0.25"/>
    <row r="20321" s="12" customFormat="1" x14ac:dyDescent="0.25"/>
    <row r="20322" s="12" customFormat="1" x14ac:dyDescent="0.25"/>
    <row r="20323" s="12" customFormat="1" x14ac:dyDescent="0.25"/>
    <row r="20324" s="12" customFormat="1" x14ac:dyDescent="0.25"/>
    <row r="20325" s="12" customFormat="1" x14ac:dyDescent="0.25"/>
    <row r="20326" s="12" customFormat="1" x14ac:dyDescent="0.25"/>
    <row r="20327" s="12" customFormat="1" x14ac:dyDescent="0.25"/>
    <row r="20328" s="12" customFormat="1" x14ac:dyDescent="0.25"/>
    <row r="20329" s="12" customFormat="1" x14ac:dyDescent="0.25"/>
    <row r="20330" s="12" customFormat="1" x14ac:dyDescent="0.25"/>
    <row r="20331" s="12" customFormat="1" x14ac:dyDescent="0.25"/>
    <row r="20332" s="12" customFormat="1" x14ac:dyDescent="0.25"/>
    <row r="20333" s="12" customFormat="1" x14ac:dyDescent="0.25"/>
    <row r="20334" s="12" customFormat="1" x14ac:dyDescent="0.25"/>
    <row r="20335" s="12" customFormat="1" x14ac:dyDescent="0.25"/>
    <row r="20336" s="12" customFormat="1" x14ac:dyDescent="0.25"/>
    <row r="20337" s="12" customFormat="1" x14ac:dyDescent="0.25"/>
    <row r="20338" s="12" customFormat="1" x14ac:dyDescent="0.25"/>
    <row r="20339" s="12" customFormat="1" x14ac:dyDescent="0.25"/>
    <row r="20340" s="12" customFormat="1" x14ac:dyDescent="0.25"/>
    <row r="20341" s="12" customFormat="1" x14ac:dyDescent="0.25"/>
    <row r="20342" s="12" customFormat="1" x14ac:dyDescent="0.25"/>
    <row r="20343" s="12" customFormat="1" x14ac:dyDescent="0.25"/>
    <row r="20344" s="12" customFormat="1" x14ac:dyDescent="0.25"/>
    <row r="20345" s="12" customFormat="1" x14ac:dyDescent="0.25"/>
    <row r="20346" s="12" customFormat="1" x14ac:dyDescent="0.25"/>
    <row r="20347" s="12" customFormat="1" x14ac:dyDescent="0.25"/>
    <row r="20348" s="12" customFormat="1" x14ac:dyDescent="0.25"/>
    <row r="20349" s="12" customFormat="1" x14ac:dyDescent="0.25"/>
    <row r="20350" s="12" customFormat="1" x14ac:dyDescent="0.25"/>
    <row r="20351" s="12" customFormat="1" x14ac:dyDescent="0.25"/>
    <row r="20352" s="12" customFormat="1" x14ac:dyDescent="0.25"/>
    <row r="20353" s="12" customFormat="1" x14ac:dyDescent="0.25"/>
    <row r="20354" s="12" customFormat="1" x14ac:dyDescent="0.25"/>
    <row r="20355" s="12" customFormat="1" x14ac:dyDescent="0.25"/>
    <row r="20356" s="12" customFormat="1" x14ac:dyDescent="0.25"/>
    <row r="20357" s="12" customFormat="1" x14ac:dyDescent="0.25"/>
    <row r="20358" s="12" customFormat="1" x14ac:dyDescent="0.25"/>
    <row r="20359" s="12" customFormat="1" x14ac:dyDescent="0.25"/>
    <row r="20360" s="12" customFormat="1" x14ac:dyDescent="0.25"/>
    <row r="20361" s="12" customFormat="1" x14ac:dyDescent="0.25"/>
    <row r="20362" s="12" customFormat="1" x14ac:dyDescent="0.25"/>
    <row r="20363" s="12" customFormat="1" x14ac:dyDescent="0.25"/>
    <row r="20364" s="12" customFormat="1" x14ac:dyDescent="0.25"/>
    <row r="20365" s="12" customFormat="1" x14ac:dyDescent="0.25"/>
    <row r="20366" s="12" customFormat="1" x14ac:dyDescent="0.25"/>
    <row r="20367" s="12" customFormat="1" x14ac:dyDescent="0.25"/>
    <row r="20368" s="12" customFormat="1" x14ac:dyDescent="0.25"/>
    <row r="20369" s="12" customFormat="1" x14ac:dyDescent="0.25"/>
    <row r="20370" s="12" customFormat="1" x14ac:dyDescent="0.25"/>
    <row r="20371" s="12" customFormat="1" x14ac:dyDescent="0.25"/>
    <row r="20372" s="12" customFormat="1" x14ac:dyDescent="0.25"/>
    <row r="20373" s="12" customFormat="1" x14ac:dyDescent="0.25"/>
    <row r="20374" s="12" customFormat="1" x14ac:dyDescent="0.25"/>
    <row r="20375" s="12" customFormat="1" x14ac:dyDescent="0.25"/>
    <row r="20376" s="12" customFormat="1" x14ac:dyDescent="0.25"/>
    <row r="20377" s="12" customFormat="1" x14ac:dyDescent="0.25"/>
    <row r="20378" s="12" customFormat="1" x14ac:dyDescent="0.25"/>
    <row r="20379" s="12" customFormat="1" x14ac:dyDescent="0.25"/>
    <row r="20380" s="12" customFormat="1" x14ac:dyDescent="0.25"/>
    <row r="20381" s="12" customFormat="1" x14ac:dyDescent="0.25"/>
    <row r="20382" s="12" customFormat="1" x14ac:dyDescent="0.25"/>
    <row r="20383" s="12" customFormat="1" x14ac:dyDescent="0.25"/>
    <row r="20384" s="12" customFormat="1" x14ac:dyDescent="0.25"/>
    <row r="20385" s="12" customFormat="1" x14ac:dyDescent="0.25"/>
    <row r="20386" s="12" customFormat="1" x14ac:dyDescent="0.25"/>
    <row r="20387" s="12" customFormat="1" x14ac:dyDescent="0.25"/>
    <row r="20388" s="12" customFormat="1" x14ac:dyDescent="0.25"/>
    <row r="20389" s="12" customFormat="1" x14ac:dyDescent="0.25"/>
    <row r="20390" s="12" customFormat="1" x14ac:dyDescent="0.25"/>
    <row r="20391" s="12" customFormat="1" x14ac:dyDescent="0.25"/>
    <row r="20392" s="12" customFormat="1" x14ac:dyDescent="0.25"/>
    <row r="20393" s="12" customFormat="1" x14ac:dyDescent="0.25"/>
    <row r="20394" s="12" customFormat="1" x14ac:dyDescent="0.25"/>
    <row r="20395" s="12" customFormat="1" x14ac:dyDescent="0.25"/>
    <row r="20396" s="12" customFormat="1" x14ac:dyDescent="0.25"/>
    <row r="20397" s="12" customFormat="1" x14ac:dyDescent="0.25"/>
    <row r="20398" s="12" customFormat="1" x14ac:dyDescent="0.25"/>
    <row r="20399" s="12" customFormat="1" x14ac:dyDescent="0.25"/>
    <row r="20400" s="12" customFormat="1" x14ac:dyDescent="0.25"/>
    <row r="20401" s="12" customFormat="1" x14ac:dyDescent="0.25"/>
    <row r="20402" s="12" customFormat="1" x14ac:dyDescent="0.25"/>
    <row r="20403" s="12" customFormat="1" x14ac:dyDescent="0.25"/>
    <row r="20404" s="12" customFormat="1" x14ac:dyDescent="0.25"/>
    <row r="20405" s="12" customFormat="1" x14ac:dyDescent="0.25"/>
    <row r="20406" s="12" customFormat="1" x14ac:dyDescent="0.25"/>
    <row r="20407" s="12" customFormat="1" x14ac:dyDescent="0.25"/>
    <row r="20408" s="12" customFormat="1" x14ac:dyDescent="0.25"/>
    <row r="20409" s="12" customFormat="1" x14ac:dyDescent="0.25"/>
    <row r="20410" s="12" customFormat="1" x14ac:dyDescent="0.25"/>
    <row r="20411" s="12" customFormat="1" x14ac:dyDescent="0.25"/>
    <row r="20412" s="12" customFormat="1" x14ac:dyDescent="0.25"/>
    <row r="20413" s="12" customFormat="1" x14ac:dyDescent="0.25"/>
    <row r="20414" s="12" customFormat="1" x14ac:dyDescent="0.25"/>
    <row r="20415" s="12" customFormat="1" x14ac:dyDescent="0.25"/>
    <row r="20416" s="12" customFormat="1" x14ac:dyDescent="0.25"/>
    <row r="20417" s="12" customFormat="1" x14ac:dyDescent="0.25"/>
    <row r="20418" s="12" customFormat="1" x14ac:dyDescent="0.25"/>
    <row r="20419" s="12" customFormat="1" x14ac:dyDescent="0.25"/>
    <row r="20420" s="12" customFormat="1" x14ac:dyDescent="0.25"/>
    <row r="20421" s="12" customFormat="1" x14ac:dyDescent="0.25"/>
    <row r="20422" s="12" customFormat="1" x14ac:dyDescent="0.25"/>
    <row r="20423" s="12" customFormat="1" x14ac:dyDescent="0.25"/>
    <row r="20424" s="12" customFormat="1" x14ac:dyDescent="0.25"/>
    <row r="20425" s="12" customFormat="1" x14ac:dyDescent="0.25"/>
    <row r="20426" s="12" customFormat="1" x14ac:dyDescent="0.25"/>
    <row r="20427" s="12" customFormat="1" x14ac:dyDescent="0.25"/>
    <row r="20428" s="12" customFormat="1" x14ac:dyDescent="0.25"/>
    <row r="20429" s="12" customFormat="1" x14ac:dyDescent="0.25"/>
    <row r="20430" s="12" customFormat="1" x14ac:dyDescent="0.25"/>
    <row r="20431" s="12" customFormat="1" x14ac:dyDescent="0.25"/>
    <row r="20432" s="12" customFormat="1" x14ac:dyDescent="0.25"/>
    <row r="20433" s="12" customFormat="1" x14ac:dyDescent="0.25"/>
    <row r="20434" s="12" customFormat="1" x14ac:dyDescent="0.25"/>
    <row r="20435" s="12" customFormat="1" x14ac:dyDescent="0.25"/>
    <row r="20436" s="12" customFormat="1" x14ac:dyDescent="0.25"/>
    <row r="20437" s="12" customFormat="1" x14ac:dyDescent="0.25"/>
    <row r="20438" s="12" customFormat="1" x14ac:dyDescent="0.25"/>
    <row r="20439" s="12" customFormat="1" x14ac:dyDescent="0.25"/>
    <row r="20440" s="12" customFormat="1" x14ac:dyDescent="0.25"/>
    <row r="20441" s="12" customFormat="1" x14ac:dyDescent="0.25"/>
    <row r="20442" s="12" customFormat="1" x14ac:dyDescent="0.25"/>
    <row r="20443" s="12" customFormat="1" x14ac:dyDescent="0.25"/>
    <row r="20444" s="12" customFormat="1" x14ac:dyDescent="0.25"/>
    <row r="20445" s="12" customFormat="1" x14ac:dyDescent="0.25"/>
    <row r="20446" s="12" customFormat="1" x14ac:dyDescent="0.25"/>
    <row r="20447" s="12" customFormat="1" x14ac:dyDescent="0.25"/>
    <row r="20448" s="12" customFormat="1" x14ac:dyDescent="0.25"/>
    <row r="20449" s="12" customFormat="1" x14ac:dyDescent="0.25"/>
    <row r="20450" s="12" customFormat="1" x14ac:dyDescent="0.25"/>
    <row r="20451" s="12" customFormat="1" x14ac:dyDescent="0.25"/>
    <row r="20452" s="12" customFormat="1" x14ac:dyDescent="0.25"/>
    <row r="20453" s="12" customFormat="1" x14ac:dyDescent="0.25"/>
    <row r="20454" s="12" customFormat="1" x14ac:dyDescent="0.25"/>
    <row r="20455" s="12" customFormat="1" x14ac:dyDescent="0.25"/>
    <row r="20456" s="12" customFormat="1" x14ac:dyDescent="0.25"/>
    <row r="20457" s="12" customFormat="1" x14ac:dyDescent="0.25"/>
    <row r="20458" s="12" customFormat="1" x14ac:dyDescent="0.25"/>
    <row r="20459" s="12" customFormat="1" x14ac:dyDescent="0.25"/>
    <row r="20460" s="12" customFormat="1" x14ac:dyDescent="0.25"/>
    <row r="20461" s="12" customFormat="1" x14ac:dyDescent="0.25"/>
    <row r="20462" s="12" customFormat="1" x14ac:dyDescent="0.25"/>
    <row r="20463" s="12" customFormat="1" x14ac:dyDescent="0.25"/>
    <row r="20464" s="12" customFormat="1" x14ac:dyDescent="0.25"/>
    <row r="20465" s="12" customFormat="1" x14ac:dyDescent="0.25"/>
    <row r="20466" s="12" customFormat="1" x14ac:dyDescent="0.25"/>
    <row r="20467" s="12" customFormat="1" x14ac:dyDescent="0.25"/>
    <row r="20468" s="12" customFormat="1" x14ac:dyDescent="0.25"/>
    <row r="20469" s="12" customFormat="1" x14ac:dyDescent="0.25"/>
    <row r="20470" s="12" customFormat="1" x14ac:dyDescent="0.25"/>
    <row r="20471" s="12" customFormat="1" x14ac:dyDescent="0.25"/>
    <row r="20472" s="12" customFormat="1" x14ac:dyDescent="0.25"/>
    <row r="20473" s="12" customFormat="1" x14ac:dyDescent="0.25"/>
    <row r="20474" s="12" customFormat="1" x14ac:dyDescent="0.25"/>
    <row r="20475" s="12" customFormat="1" x14ac:dyDescent="0.25"/>
    <row r="20476" s="12" customFormat="1" x14ac:dyDescent="0.25"/>
    <row r="20477" s="12" customFormat="1" x14ac:dyDescent="0.25"/>
    <row r="20478" s="12" customFormat="1" x14ac:dyDescent="0.25"/>
    <row r="20479" s="12" customFormat="1" x14ac:dyDescent="0.25"/>
    <row r="20480" s="12" customFormat="1" x14ac:dyDescent="0.25"/>
    <row r="20481" s="12" customFormat="1" x14ac:dyDescent="0.25"/>
    <row r="20482" s="12" customFormat="1" x14ac:dyDescent="0.25"/>
    <row r="20483" s="12" customFormat="1" x14ac:dyDescent="0.25"/>
    <row r="20484" s="12" customFormat="1" x14ac:dyDescent="0.25"/>
    <row r="20485" s="12" customFormat="1" x14ac:dyDescent="0.25"/>
    <row r="20486" s="12" customFormat="1" x14ac:dyDescent="0.25"/>
    <row r="20487" s="12" customFormat="1" x14ac:dyDescent="0.25"/>
    <row r="20488" s="12" customFormat="1" x14ac:dyDescent="0.25"/>
    <row r="20489" s="12" customFormat="1" x14ac:dyDescent="0.25"/>
    <row r="20490" s="12" customFormat="1" x14ac:dyDescent="0.25"/>
    <row r="20491" s="12" customFormat="1" x14ac:dyDescent="0.25"/>
    <row r="20492" s="12" customFormat="1" x14ac:dyDescent="0.25"/>
    <row r="20493" s="12" customFormat="1" x14ac:dyDescent="0.25"/>
    <row r="20494" s="12" customFormat="1" x14ac:dyDescent="0.25"/>
    <row r="20495" s="12" customFormat="1" x14ac:dyDescent="0.25"/>
    <row r="20496" s="12" customFormat="1" x14ac:dyDescent="0.25"/>
    <row r="20497" s="12" customFormat="1" x14ac:dyDescent="0.25"/>
    <row r="20498" s="12" customFormat="1" x14ac:dyDescent="0.25"/>
    <row r="20499" s="12" customFormat="1" x14ac:dyDescent="0.25"/>
    <row r="20500" s="12" customFormat="1" x14ac:dyDescent="0.25"/>
    <row r="20501" s="12" customFormat="1" x14ac:dyDescent="0.25"/>
    <row r="20502" s="12" customFormat="1" x14ac:dyDescent="0.25"/>
    <row r="20503" s="12" customFormat="1" x14ac:dyDescent="0.25"/>
    <row r="20504" s="12" customFormat="1" x14ac:dyDescent="0.25"/>
    <row r="20505" s="12" customFormat="1" x14ac:dyDescent="0.25"/>
    <row r="20506" s="12" customFormat="1" x14ac:dyDescent="0.25"/>
    <row r="20507" s="12" customFormat="1" x14ac:dyDescent="0.25"/>
    <row r="20508" s="12" customFormat="1" x14ac:dyDescent="0.25"/>
    <row r="20509" s="12" customFormat="1" x14ac:dyDescent="0.25"/>
    <row r="20510" s="12" customFormat="1" x14ac:dyDescent="0.25"/>
    <row r="20511" s="12" customFormat="1" x14ac:dyDescent="0.25"/>
    <row r="20512" s="12" customFormat="1" x14ac:dyDescent="0.25"/>
    <row r="20513" s="12" customFormat="1" x14ac:dyDescent="0.25"/>
    <row r="20514" s="12" customFormat="1" x14ac:dyDescent="0.25"/>
    <row r="20515" s="12" customFormat="1" x14ac:dyDescent="0.25"/>
    <row r="20516" s="12" customFormat="1" x14ac:dyDescent="0.25"/>
    <row r="20517" s="12" customFormat="1" x14ac:dyDescent="0.25"/>
    <row r="20518" s="12" customFormat="1" x14ac:dyDescent="0.25"/>
    <row r="20519" s="12" customFormat="1" x14ac:dyDescent="0.25"/>
    <row r="20520" s="12" customFormat="1" x14ac:dyDescent="0.25"/>
    <row r="20521" s="12" customFormat="1" x14ac:dyDescent="0.25"/>
    <row r="20522" s="12" customFormat="1" x14ac:dyDescent="0.25"/>
    <row r="20523" s="12" customFormat="1" x14ac:dyDescent="0.25"/>
    <row r="20524" s="12" customFormat="1" x14ac:dyDescent="0.25"/>
    <row r="20525" s="12" customFormat="1" x14ac:dyDescent="0.25"/>
    <row r="20526" s="12" customFormat="1" x14ac:dyDescent="0.25"/>
    <row r="20527" s="12" customFormat="1" x14ac:dyDescent="0.25"/>
    <row r="20528" s="12" customFormat="1" x14ac:dyDescent="0.25"/>
    <row r="20529" s="12" customFormat="1" x14ac:dyDescent="0.25"/>
    <row r="20530" s="12" customFormat="1" x14ac:dyDescent="0.25"/>
    <row r="20531" s="12" customFormat="1" x14ac:dyDescent="0.25"/>
    <row r="20532" s="12" customFormat="1" x14ac:dyDescent="0.25"/>
    <row r="20533" s="12" customFormat="1" x14ac:dyDescent="0.25"/>
    <row r="20534" s="12" customFormat="1" x14ac:dyDescent="0.25"/>
    <row r="20535" s="12" customFormat="1" x14ac:dyDescent="0.25"/>
    <row r="20536" s="12" customFormat="1" x14ac:dyDescent="0.25"/>
    <row r="20537" s="12" customFormat="1" x14ac:dyDescent="0.25"/>
    <row r="20538" s="12" customFormat="1" x14ac:dyDescent="0.25"/>
    <row r="20539" s="12" customFormat="1" x14ac:dyDescent="0.25"/>
    <row r="20540" s="12" customFormat="1" x14ac:dyDescent="0.25"/>
    <row r="20541" s="12" customFormat="1" x14ac:dyDescent="0.25"/>
    <row r="20542" s="12" customFormat="1" x14ac:dyDescent="0.25"/>
    <row r="20543" s="12" customFormat="1" x14ac:dyDescent="0.25"/>
    <row r="20544" s="12" customFormat="1" x14ac:dyDescent="0.25"/>
    <row r="20545" s="12" customFormat="1" x14ac:dyDescent="0.25"/>
    <row r="20546" s="12" customFormat="1" x14ac:dyDescent="0.25"/>
    <row r="20547" s="12" customFormat="1" x14ac:dyDescent="0.25"/>
    <row r="20548" s="12" customFormat="1" x14ac:dyDescent="0.25"/>
    <row r="20549" s="12" customFormat="1" x14ac:dyDescent="0.25"/>
    <row r="20550" s="12" customFormat="1" x14ac:dyDescent="0.25"/>
    <row r="20551" s="12" customFormat="1" x14ac:dyDescent="0.25"/>
    <row r="20552" s="12" customFormat="1" x14ac:dyDescent="0.25"/>
    <row r="20553" s="12" customFormat="1" x14ac:dyDescent="0.25"/>
    <row r="20554" s="12" customFormat="1" x14ac:dyDescent="0.25"/>
    <row r="20555" s="12" customFormat="1" x14ac:dyDescent="0.25"/>
    <row r="20556" s="12" customFormat="1" x14ac:dyDescent="0.25"/>
    <row r="20557" s="12" customFormat="1" x14ac:dyDescent="0.25"/>
    <row r="20558" s="12" customFormat="1" x14ac:dyDescent="0.25"/>
    <row r="20559" s="12" customFormat="1" x14ac:dyDescent="0.25"/>
    <row r="20560" s="12" customFormat="1" x14ac:dyDescent="0.25"/>
    <row r="20561" s="12" customFormat="1" x14ac:dyDescent="0.25"/>
    <row r="20562" s="12" customFormat="1" x14ac:dyDescent="0.25"/>
    <row r="20563" s="12" customFormat="1" x14ac:dyDescent="0.25"/>
    <row r="20564" s="12" customFormat="1" x14ac:dyDescent="0.25"/>
    <row r="20565" s="12" customFormat="1" x14ac:dyDescent="0.25"/>
    <row r="20566" s="12" customFormat="1" x14ac:dyDescent="0.25"/>
    <row r="20567" s="12" customFormat="1" x14ac:dyDescent="0.25"/>
    <row r="20568" s="12" customFormat="1" x14ac:dyDescent="0.25"/>
    <row r="20569" s="12" customFormat="1" x14ac:dyDescent="0.25"/>
    <row r="20570" s="12" customFormat="1" x14ac:dyDescent="0.25"/>
    <row r="20571" s="12" customFormat="1" x14ac:dyDescent="0.25"/>
    <row r="20572" s="12" customFormat="1" x14ac:dyDescent="0.25"/>
    <row r="20573" s="12" customFormat="1" x14ac:dyDescent="0.25"/>
    <row r="20574" s="12" customFormat="1" x14ac:dyDescent="0.25"/>
    <row r="20575" s="12" customFormat="1" x14ac:dyDescent="0.25"/>
    <row r="20576" s="12" customFormat="1" x14ac:dyDescent="0.25"/>
    <row r="20577" s="12" customFormat="1" x14ac:dyDescent="0.25"/>
    <row r="20578" s="12" customFormat="1" x14ac:dyDescent="0.25"/>
    <row r="20579" s="12" customFormat="1" x14ac:dyDescent="0.25"/>
    <row r="20580" s="12" customFormat="1" x14ac:dyDescent="0.25"/>
    <row r="20581" s="12" customFormat="1" x14ac:dyDescent="0.25"/>
    <row r="20582" s="12" customFormat="1" x14ac:dyDescent="0.25"/>
    <row r="20583" s="12" customFormat="1" x14ac:dyDescent="0.25"/>
    <row r="20584" s="12" customFormat="1" x14ac:dyDescent="0.25"/>
    <row r="20585" s="12" customFormat="1" x14ac:dyDescent="0.25"/>
    <row r="20586" s="12" customFormat="1" x14ac:dyDescent="0.25"/>
    <row r="20587" s="12" customFormat="1" x14ac:dyDescent="0.25"/>
    <row r="20588" s="12" customFormat="1" x14ac:dyDescent="0.25"/>
    <row r="20589" s="12" customFormat="1" x14ac:dyDescent="0.25"/>
    <row r="20590" s="12" customFormat="1" x14ac:dyDescent="0.25"/>
    <row r="20591" s="12" customFormat="1" x14ac:dyDescent="0.25"/>
    <row r="20592" s="12" customFormat="1" x14ac:dyDescent="0.25"/>
    <row r="20593" s="12" customFormat="1" x14ac:dyDescent="0.25"/>
    <row r="20594" s="12" customFormat="1" x14ac:dyDescent="0.25"/>
    <row r="20595" s="12" customFormat="1" x14ac:dyDescent="0.25"/>
    <row r="20596" s="12" customFormat="1" x14ac:dyDescent="0.25"/>
    <row r="20597" s="12" customFormat="1" x14ac:dyDescent="0.25"/>
    <row r="20598" s="12" customFormat="1" x14ac:dyDescent="0.25"/>
    <row r="20599" s="12" customFormat="1" x14ac:dyDescent="0.25"/>
    <row r="20600" s="12" customFormat="1" x14ac:dyDescent="0.25"/>
    <row r="20601" s="12" customFormat="1" x14ac:dyDescent="0.25"/>
    <row r="20602" s="12" customFormat="1" x14ac:dyDescent="0.25"/>
    <row r="20603" s="12" customFormat="1" x14ac:dyDescent="0.25"/>
    <row r="20604" s="12" customFormat="1" x14ac:dyDescent="0.25"/>
    <row r="20605" s="12" customFormat="1" x14ac:dyDescent="0.25"/>
    <row r="20606" s="12" customFormat="1" x14ac:dyDescent="0.25"/>
    <row r="20607" s="12" customFormat="1" x14ac:dyDescent="0.25"/>
    <row r="20608" s="12" customFormat="1" x14ac:dyDescent="0.25"/>
    <row r="20609" s="12" customFormat="1" x14ac:dyDescent="0.25"/>
    <row r="20610" s="12" customFormat="1" x14ac:dyDescent="0.25"/>
    <row r="20611" s="12" customFormat="1" x14ac:dyDescent="0.25"/>
    <row r="20612" s="12" customFormat="1" x14ac:dyDescent="0.25"/>
    <row r="20613" s="12" customFormat="1" x14ac:dyDescent="0.25"/>
    <row r="20614" s="12" customFormat="1" x14ac:dyDescent="0.25"/>
    <row r="20615" s="12" customFormat="1" x14ac:dyDescent="0.25"/>
    <row r="20616" s="12" customFormat="1" x14ac:dyDescent="0.25"/>
    <row r="20617" s="12" customFormat="1" x14ac:dyDescent="0.25"/>
    <row r="20618" s="12" customFormat="1" x14ac:dyDescent="0.25"/>
    <row r="20619" s="12" customFormat="1" x14ac:dyDescent="0.25"/>
    <row r="20620" s="12" customFormat="1" x14ac:dyDescent="0.25"/>
    <row r="20621" s="12" customFormat="1" x14ac:dyDescent="0.25"/>
    <row r="20622" s="12" customFormat="1" x14ac:dyDescent="0.25"/>
    <row r="20623" s="12" customFormat="1" x14ac:dyDescent="0.25"/>
    <row r="20624" s="12" customFormat="1" x14ac:dyDescent="0.25"/>
    <row r="20625" s="12" customFormat="1" x14ac:dyDescent="0.25"/>
    <row r="20626" s="12" customFormat="1" x14ac:dyDescent="0.25"/>
    <row r="20627" s="12" customFormat="1" x14ac:dyDescent="0.25"/>
    <row r="20628" s="12" customFormat="1" x14ac:dyDescent="0.25"/>
    <row r="20629" s="12" customFormat="1" x14ac:dyDescent="0.25"/>
    <row r="20630" s="12" customFormat="1" x14ac:dyDescent="0.25"/>
    <row r="20631" s="12" customFormat="1" x14ac:dyDescent="0.25"/>
    <row r="20632" s="12" customFormat="1" x14ac:dyDescent="0.25"/>
    <row r="20633" s="12" customFormat="1" x14ac:dyDescent="0.25"/>
    <row r="20634" s="12" customFormat="1" x14ac:dyDescent="0.25"/>
    <row r="20635" s="12" customFormat="1" x14ac:dyDescent="0.25"/>
    <row r="20636" s="12" customFormat="1" x14ac:dyDescent="0.25"/>
    <row r="20637" s="12" customFormat="1" x14ac:dyDescent="0.25"/>
    <row r="20638" s="12" customFormat="1" x14ac:dyDescent="0.25"/>
    <row r="20639" s="12" customFormat="1" x14ac:dyDescent="0.25"/>
    <row r="20640" s="12" customFormat="1" x14ac:dyDescent="0.25"/>
    <row r="20641" s="12" customFormat="1" x14ac:dyDescent="0.25"/>
    <row r="20642" s="12" customFormat="1" x14ac:dyDescent="0.25"/>
    <row r="20643" s="12" customFormat="1" x14ac:dyDescent="0.25"/>
    <row r="20644" s="12" customFormat="1" x14ac:dyDescent="0.25"/>
    <row r="20645" s="12" customFormat="1" x14ac:dyDescent="0.25"/>
    <row r="20646" s="12" customFormat="1" x14ac:dyDescent="0.25"/>
    <row r="20647" s="12" customFormat="1" x14ac:dyDescent="0.25"/>
    <row r="20648" s="12" customFormat="1" x14ac:dyDescent="0.25"/>
    <row r="20649" s="12" customFormat="1" x14ac:dyDescent="0.25"/>
    <row r="20650" s="12" customFormat="1" x14ac:dyDescent="0.25"/>
    <row r="20651" s="12" customFormat="1" x14ac:dyDescent="0.25"/>
    <row r="20652" s="12" customFormat="1" x14ac:dyDescent="0.25"/>
    <row r="20653" s="12" customFormat="1" x14ac:dyDescent="0.25"/>
    <row r="20654" s="12" customFormat="1" x14ac:dyDescent="0.25"/>
    <row r="20655" s="12" customFormat="1" x14ac:dyDescent="0.25"/>
    <row r="20656" s="12" customFormat="1" x14ac:dyDescent="0.25"/>
    <row r="20657" s="12" customFormat="1" x14ac:dyDescent="0.25"/>
    <row r="20658" s="12" customFormat="1" x14ac:dyDescent="0.25"/>
    <row r="20659" s="12" customFormat="1" x14ac:dyDescent="0.25"/>
    <row r="20660" s="12" customFormat="1" x14ac:dyDescent="0.25"/>
    <row r="20661" s="12" customFormat="1" x14ac:dyDescent="0.25"/>
    <row r="20662" s="12" customFormat="1" x14ac:dyDescent="0.25"/>
    <row r="20663" s="12" customFormat="1" x14ac:dyDescent="0.25"/>
    <row r="20664" s="12" customFormat="1" x14ac:dyDescent="0.25"/>
    <row r="20665" s="12" customFormat="1" x14ac:dyDescent="0.25"/>
    <row r="20666" s="12" customFormat="1" x14ac:dyDescent="0.25"/>
    <row r="20667" s="12" customFormat="1" x14ac:dyDescent="0.25"/>
    <row r="20668" s="12" customFormat="1" x14ac:dyDescent="0.25"/>
    <row r="20669" s="12" customFormat="1" x14ac:dyDescent="0.25"/>
    <row r="20670" s="12" customFormat="1" x14ac:dyDescent="0.25"/>
    <row r="20671" s="12" customFormat="1" x14ac:dyDescent="0.25"/>
    <row r="20672" s="12" customFormat="1" x14ac:dyDescent="0.25"/>
    <row r="20673" s="12" customFormat="1" x14ac:dyDescent="0.25"/>
    <row r="20674" s="12" customFormat="1" x14ac:dyDescent="0.25"/>
    <row r="20675" s="12" customFormat="1" x14ac:dyDescent="0.25"/>
    <row r="20676" s="12" customFormat="1" x14ac:dyDescent="0.25"/>
    <row r="20677" s="12" customFormat="1" x14ac:dyDescent="0.25"/>
    <row r="20678" s="12" customFormat="1" x14ac:dyDescent="0.25"/>
    <row r="20679" s="12" customFormat="1" x14ac:dyDescent="0.25"/>
    <row r="20680" s="12" customFormat="1" x14ac:dyDescent="0.25"/>
    <row r="20681" s="12" customFormat="1" x14ac:dyDescent="0.25"/>
    <row r="20682" s="12" customFormat="1" x14ac:dyDescent="0.25"/>
    <row r="20683" s="12" customFormat="1" x14ac:dyDescent="0.25"/>
    <row r="20684" s="12" customFormat="1" x14ac:dyDescent="0.25"/>
    <row r="20685" s="12" customFormat="1" x14ac:dyDescent="0.25"/>
    <row r="20686" s="12" customFormat="1" x14ac:dyDescent="0.25"/>
    <row r="20687" s="12" customFormat="1" x14ac:dyDescent="0.25"/>
    <row r="20688" s="12" customFormat="1" x14ac:dyDescent="0.25"/>
    <row r="20689" s="12" customFormat="1" x14ac:dyDescent="0.25"/>
    <row r="20690" s="12" customFormat="1" x14ac:dyDescent="0.25"/>
    <row r="20691" s="12" customFormat="1" x14ac:dyDescent="0.25"/>
    <row r="20692" s="12" customFormat="1" x14ac:dyDescent="0.25"/>
    <row r="20693" s="12" customFormat="1" x14ac:dyDescent="0.25"/>
    <row r="20694" s="12" customFormat="1" x14ac:dyDescent="0.25"/>
    <row r="20695" s="12" customFormat="1" x14ac:dyDescent="0.25"/>
    <row r="20696" s="12" customFormat="1" x14ac:dyDescent="0.25"/>
    <row r="20697" s="12" customFormat="1" x14ac:dyDescent="0.25"/>
    <row r="20698" s="12" customFormat="1" x14ac:dyDescent="0.25"/>
    <row r="20699" s="12" customFormat="1" x14ac:dyDescent="0.25"/>
    <row r="20700" s="12" customFormat="1" x14ac:dyDescent="0.25"/>
    <row r="20701" s="12" customFormat="1" x14ac:dyDescent="0.25"/>
    <row r="20702" s="12" customFormat="1" x14ac:dyDescent="0.25"/>
    <row r="20703" s="12" customFormat="1" x14ac:dyDescent="0.25"/>
    <row r="20704" s="12" customFormat="1" x14ac:dyDescent="0.25"/>
    <row r="20705" s="12" customFormat="1" x14ac:dyDescent="0.25"/>
    <row r="20706" s="12" customFormat="1" x14ac:dyDescent="0.25"/>
    <row r="20707" s="12" customFormat="1" x14ac:dyDescent="0.25"/>
    <row r="20708" s="12" customFormat="1" x14ac:dyDescent="0.25"/>
    <row r="20709" s="12" customFormat="1" x14ac:dyDescent="0.25"/>
    <row r="20710" s="12" customFormat="1" x14ac:dyDescent="0.25"/>
    <row r="20711" s="12" customFormat="1" x14ac:dyDescent="0.25"/>
    <row r="20712" s="12" customFormat="1" x14ac:dyDescent="0.25"/>
    <row r="20713" s="12" customFormat="1" x14ac:dyDescent="0.25"/>
    <row r="20714" s="12" customFormat="1" x14ac:dyDescent="0.25"/>
    <row r="20715" s="12" customFormat="1" x14ac:dyDescent="0.25"/>
    <row r="20716" s="12" customFormat="1" x14ac:dyDescent="0.25"/>
    <row r="20717" s="12" customFormat="1" x14ac:dyDescent="0.25"/>
    <row r="20718" s="12" customFormat="1" x14ac:dyDescent="0.25"/>
    <row r="20719" s="12" customFormat="1" x14ac:dyDescent="0.25"/>
    <row r="20720" s="12" customFormat="1" x14ac:dyDescent="0.25"/>
    <row r="20721" s="12" customFormat="1" x14ac:dyDescent="0.25"/>
    <row r="20722" s="12" customFormat="1" x14ac:dyDescent="0.25"/>
    <row r="20723" s="12" customFormat="1" x14ac:dyDescent="0.25"/>
    <row r="20724" s="12" customFormat="1" x14ac:dyDescent="0.25"/>
    <row r="20725" s="12" customFormat="1" x14ac:dyDescent="0.25"/>
    <row r="20726" s="12" customFormat="1" x14ac:dyDescent="0.25"/>
    <row r="20727" s="12" customFormat="1" x14ac:dyDescent="0.25"/>
    <row r="20728" s="12" customFormat="1" x14ac:dyDescent="0.25"/>
    <row r="20729" s="12" customFormat="1" x14ac:dyDescent="0.25"/>
    <row r="20730" s="12" customFormat="1" x14ac:dyDescent="0.25"/>
    <row r="20731" s="12" customFormat="1" x14ac:dyDescent="0.25"/>
    <row r="20732" s="12" customFormat="1" x14ac:dyDescent="0.25"/>
    <row r="20733" s="12" customFormat="1" x14ac:dyDescent="0.25"/>
    <row r="20734" s="12" customFormat="1" x14ac:dyDescent="0.25"/>
    <row r="20735" s="12" customFormat="1" x14ac:dyDescent="0.25"/>
    <row r="20736" s="12" customFormat="1" x14ac:dyDescent="0.25"/>
    <row r="20737" s="12" customFormat="1" x14ac:dyDescent="0.25"/>
    <row r="20738" s="12" customFormat="1" x14ac:dyDescent="0.25"/>
    <row r="20739" s="12" customFormat="1" x14ac:dyDescent="0.25"/>
    <row r="20740" s="12" customFormat="1" x14ac:dyDescent="0.25"/>
    <row r="20741" s="12" customFormat="1" x14ac:dyDescent="0.25"/>
    <row r="20742" s="12" customFormat="1" x14ac:dyDescent="0.25"/>
    <row r="20743" s="12" customFormat="1" x14ac:dyDescent="0.25"/>
    <row r="20744" s="12" customFormat="1" x14ac:dyDescent="0.25"/>
    <row r="20745" s="12" customFormat="1" x14ac:dyDescent="0.25"/>
    <row r="20746" s="12" customFormat="1" x14ac:dyDescent="0.25"/>
    <row r="20747" s="12" customFormat="1" x14ac:dyDescent="0.25"/>
    <row r="20748" s="12" customFormat="1" x14ac:dyDescent="0.25"/>
    <row r="20749" s="12" customFormat="1" x14ac:dyDescent="0.25"/>
    <row r="20750" s="12" customFormat="1" x14ac:dyDescent="0.25"/>
    <row r="20751" s="12" customFormat="1" x14ac:dyDescent="0.25"/>
    <row r="20752" s="12" customFormat="1" x14ac:dyDescent="0.25"/>
    <row r="20753" s="12" customFormat="1" x14ac:dyDescent="0.25"/>
    <row r="20754" s="12" customFormat="1" x14ac:dyDescent="0.25"/>
    <row r="20755" s="12" customFormat="1" x14ac:dyDescent="0.25"/>
    <row r="20756" s="12" customFormat="1" x14ac:dyDescent="0.25"/>
    <row r="20757" s="12" customFormat="1" x14ac:dyDescent="0.25"/>
    <row r="20758" s="12" customFormat="1" x14ac:dyDescent="0.25"/>
    <row r="20759" s="12" customFormat="1" x14ac:dyDescent="0.25"/>
    <row r="20760" s="12" customFormat="1" x14ac:dyDescent="0.25"/>
    <row r="20761" s="12" customFormat="1" x14ac:dyDescent="0.25"/>
    <row r="20762" s="12" customFormat="1" x14ac:dyDescent="0.25"/>
    <row r="20763" s="12" customFormat="1" x14ac:dyDescent="0.25"/>
    <row r="20764" s="12" customFormat="1" x14ac:dyDescent="0.25"/>
    <row r="20765" s="12" customFormat="1" x14ac:dyDescent="0.25"/>
    <row r="20766" s="12" customFormat="1" x14ac:dyDescent="0.25"/>
    <row r="20767" s="12" customFormat="1" x14ac:dyDescent="0.25"/>
    <row r="20768" s="12" customFormat="1" x14ac:dyDescent="0.25"/>
    <row r="20769" s="12" customFormat="1" x14ac:dyDescent="0.25"/>
    <row r="20770" s="12" customFormat="1" x14ac:dyDescent="0.25"/>
    <row r="20771" s="12" customFormat="1" x14ac:dyDescent="0.25"/>
    <row r="20772" s="12" customFormat="1" x14ac:dyDescent="0.25"/>
    <row r="20773" s="12" customFormat="1" x14ac:dyDescent="0.25"/>
    <row r="20774" s="12" customFormat="1" x14ac:dyDescent="0.25"/>
    <row r="20775" s="12" customFormat="1" x14ac:dyDescent="0.25"/>
    <row r="20776" s="12" customFormat="1" x14ac:dyDescent="0.25"/>
    <row r="20777" s="12" customFormat="1" x14ac:dyDescent="0.25"/>
    <row r="20778" s="12" customFormat="1" x14ac:dyDescent="0.25"/>
    <row r="20779" s="12" customFormat="1" x14ac:dyDescent="0.25"/>
    <row r="20780" s="12" customFormat="1" x14ac:dyDescent="0.25"/>
    <row r="20781" s="12" customFormat="1" x14ac:dyDescent="0.25"/>
    <row r="20782" s="12" customFormat="1" x14ac:dyDescent="0.25"/>
    <row r="20783" s="12" customFormat="1" x14ac:dyDescent="0.25"/>
    <row r="20784" s="12" customFormat="1" x14ac:dyDescent="0.25"/>
    <row r="20785" s="12" customFormat="1" x14ac:dyDescent="0.25"/>
    <row r="20786" s="12" customFormat="1" x14ac:dyDescent="0.25"/>
    <row r="20787" s="12" customFormat="1" x14ac:dyDescent="0.25"/>
    <row r="20788" s="12" customFormat="1" x14ac:dyDescent="0.25"/>
    <row r="20789" s="12" customFormat="1" x14ac:dyDescent="0.25"/>
    <row r="20790" s="12" customFormat="1" x14ac:dyDescent="0.25"/>
    <row r="20791" s="12" customFormat="1" x14ac:dyDescent="0.25"/>
    <row r="20792" s="12" customFormat="1" x14ac:dyDescent="0.25"/>
    <row r="20793" s="12" customFormat="1" x14ac:dyDescent="0.25"/>
    <row r="20794" s="12" customFormat="1" x14ac:dyDescent="0.25"/>
    <row r="20795" s="12" customFormat="1" x14ac:dyDescent="0.25"/>
    <row r="20796" s="12" customFormat="1" x14ac:dyDescent="0.25"/>
    <row r="20797" s="12" customFormat="1" x14ac:dyDescent="0.25"/>
    <row r="20798" s="12" customFormat="1" x14ac:dyDescent="0.25"/>
    <row r="20799" s="12" customFormat="1" x14ac:dyDescent="0.25"/>
    <row r="20800" s="12" customFormat="1" x14ac:dyDescent="0.25"/>
    <row r="20801" s="12" customFormat="1" x14ac:dyDescent="0.25"/>
    <row r="20802" s="12" customFormat="1" x14ac:dyDescent="0.25"/>
    <row r="20803" s="12" customFormat="1" x14ac:dyDescent="0.25"/>
    <row r="20804" s="12" customFormat="1" x14ac:dyDescent="0.25"/>
    <row r="20805" s="12" customFormat="1" x14ac:dyDescent="0.25"/>
    <row r="20806" s="12" customFormat="1" x14ac:dyDescent="0.25"/>
    <row r="20807" s="12" customFormat="1" x14ac:dyDescent="0.25"/>
    <row r="20808" s="12" customFormat="1" x14ac:dyDescent="0.25"/>
    <row r="20809" s="12" customFormat="1" x14ac:dyDescent="0.25"/>
    <row r="20810" s="12" customFormat="1" x14ac:dyDescent="0.25"/>
    <row r="20811" s="12" customFormat="1" x14ac:dyDescent="0.25"/>
    <row r="20812" s="12" customFormat="1" x14ac:dyDescent="0.25"/>
    <row r="20813" s="12" customFormat="1" x14ac:dyDescent="0.25"/>
    <row r="20814" s="12" customFormat="1" x14ac:dyDescent="0.25"/>
    <row r="20815" s="12" customFormat="1" x14ac:dyDescent="0.25"/>
    <row r="20816" s="12" customFormat="1" x14ac:dyDescent="0.25"/>
    <row r="20817" s="12" customFormat="1" x14ac:dyDescent="0.25"/>
    <row r="20818" s="12" customFormat="1" x14ac:dyDescent="0.25"/>
    <row r="20819" s="12" customFormat="1" x14ac:dyDescent="0.25"/>
    <row r="20820" s="12" customFormat="1" x14ac:dyDescent="0.25"/>
    <row r="20821" s="12" customFormat="1" x14ac:dyDescent="0.25"/>
    <row r="20822" s="12" customFormat="1" x14ac:dyDescent="0.25"/>
    <row r="20823" s="12" customFormat="1" x14ac:dyDescent="0.25"/>
    <row r="20824" s="12" customFormat="1" x14ac:dyDescent="0.25"/>
    <row r="20825" s="12" customFormat="1" x14ac:dyDescent="0.25"/>
    <row r="20826" s="12" customFormat="1" x14ac:dyDescent="0.25"/>
    <row r="20827" s="12" customFormat="1" x14ac:dyDescent="0.25"/>
    <row r="20828" s="12" customFormat="1" x14ac:dyDescent="0.25"/>
    <row r="20829" s="12" customFormat="1" x14ac:dyDescent="0.25"/>
    <row r="20830" s="12" customFormat="1" x14ac:dyDescent="0.25"/>
    <row r="20831" s="12" customFormat="1" x14ac:dyDescent="0.25"/>
    <row r="20832" s="12" customFormat="1" x14ac:dyDescent="0.25"/>
    <row r="20833" s="12" customFormat="1" x14ac:dyDescent="0.25"/>
    <row r="20834" s="12" customFormat="1" x14ac:dyDescent="0.25"/>
    <row r="20835" s="12" customFormat="1" x14ac:dyDescent="0.25"/>
    <row r="20836" s="12" customFormat="1" x14ac:dyDescent="0.25"/>
    <row r="20837" s="12" customFormat="1" x14ac:dyDescent="0.25"/>
    <row r="20838" s="12" customFormat="1" x14ac:dyDescent="0.25"/>
    <row r="20839" s="12" customFormat="1" x14ac:dyDescent="0.25"/>
    <row r="20840" s="12" customFormat="1" x14ac:dyDescent="0.25"/>
    <row r="20841" s="12" customFormat="1" x14ac:dyDescent="0.25"/>
    <row r="20842" s="12" customFormat="1" x14ac:dyDescent="0.25"/>
    <row r="20843" s="12" customFormat="1" x14ac:dyDescent="0.25"/>
    <row r="20844" s="12" customFormat="1" x14ac:dyDescent="0.25"/>
    <row r="20845" s="12" customFormat="1" x14ac:dyDescent="0.25"/>
    <row r="20846" s="12" customFormat="1" x14ac:dyDescent="0.25"/>
    <row r="20847" s="12" customFormat="1" x14ac:dyDescent="0.25"/>
    <row r="20848" s="12" customFormat="1" x14ac:dyDescent="0.25"/>
    <row r="20849" s="12" customFormat="1" x14ac:dyDescent="0.25"/>
    <row r="20850" s="12" customFormat="1" x14ac:dyDescent="0.25"/>
    <row r="20851" s="12" customFormat="1" x14ac:dyDescent="0.25"/>
    <row r="20852" s="12" customFormat="1" x14ac:dyDescent="0.25"/>
    <row r="20853" s="12" customFormat="1" x14ac:dyDescent="0.25"/>
    <row r="20854" s="12" customFormat="1" x14ac:dyDescent="0.25"/>
    <row r="20855" s="12" customFormat="1" x14ac:dyDescent="0.25"/>
    <row r="20856" s="12" customFormat="1" x14ac:dyDescent="0.25"/>
    <row r="20857" s="12" customFormat="1" x14ac:dyDescent="0.25"/>
    <row r="20858" s="12" customFormat="1" x14ac:dyDescent="0.25"/>
    <row r="20859" s="12" customFormat="1" x14ac:dyDescent="0.25"/>
    <row r="20860" s="12" customFormat="1" x14ac:dyDescent="0.25"/>
    <row r="20861" s="12" customFormat="1" x14ac:dyDescent="0.25"/>
    <row r="20862" s="12" customFormat="1" x14ac:dyDescent="0.25"/>
    <row r="20863" s="12" customFormat="1" x14ac:dyDescent="0.25"/>
    <row r="20864" s="12" customFormat="1" x14ac:dyDescent="0.25"/>
    <row r="20865" s="12" customFormat="1" x14ac:dyDescent="0.25"/>
    <row r="20866" s="12" customFormat="1" x14ac:dyDescent="0.25"/>
    <row r="20867" s="12" customFormat="1" x14ac:dyDescent="0.25"/>
    <row r="20868" s="12" customFormat="1" x14ac:dyDescent="0.25"/>
    <row r="20869" s="12" customFormat="1" x14ac:dyDescent="0.25"/>
    <row r="20870" s="12" customFormat="1" x14ac:dyDescent="0.25"/>
    <row r="20871" s="12" customFormat="1" x14ac:dyDescent="0.25"/>
    <row r="20872" s="12" customFormat="1" x14ac:dyDescent="0.25"/>
    <row r="20873" s="12" customFormat="1" x14ac:dyDescent="0.25"/>
    <row r="20874" s="12" customFormat="1" x14ac:dyDescent="0.25"/>
    <row r="20875" s="12" customFormat="1" x14ac:dyDescent="0.25"/>
    <row r="20876" s="12" customFormat="1" x14ac:dyDescent="0.25"/>
    <row r="20877" s="12" customFormat="1" x14ac:dyDescent="0.25"/>
    <row r="20878" s="12" customFormat="1" x14ac:dyDescent="0.25"/>
    <row r="20879" s="12" customFormat="1" x14ac:dyDescent="0.25"/>
    <row r="20880" s="12" customFormat="1" x14ac:dyDescent="0.25"/>
    <row r="20881" s="12" customFormat="1" x14ac:dyDescent="0.25"/>
    <row r="20882" s="12" customFormat="1" x14ac:dyDescent="0.25"/>
    <row r="20883" s="12" customFormat="1" x14ac:dyDescent="0.25"/>
    <row r="20884" s="12" customFormat="1" x14ac:dyDescent="0.25"/>
    <row r="20885" s="12" customFormat="1" x14ac:dyDescent="0.25"/>
    <row r="20886" s="12" customFormat="1" x14ac:dyDescent="0.25"/>
    <row r="20887" s="12" customFormat="1" x14ac:dyDescent="0.25"/>
    <row r="20888" s="12" customFormat="1" x14ac:dyDescent="0.25"/>
    <row r="20889" s="12" customFormat="1" x14ac:dyDescent="0.25"/>
    <row r="20890" s="12" customFormat="1" x14ac:dyDescent="0.25"/>
    <row r="20891" s="12" customFormat="1" x14ac:dyDescent="0.25"/>
    <row r="20892" s="12" customFormat="1" x14ac:dyDescent="0.25"/>
    <row r="20893" s="12" customFormat="1" x14ac:dyDescent="0.25"/>
    <row r="20894" s="12" customFormat="1" x14ac:dyDescent="0.25"/>
    <row r="20895" s="12" customFormat="1" x14ac:dyDescent="0.25"/>
    <row r="20896" s="12" customFormat="1" x14ac:dyDescent="0.25"/>
    <row r="20897" s="12" customFormat="1" x14ac:dyDescent="0.25"/>
    <row r="20898" s="12" customFormat="1" x14ac:dyDescent="0.25"/>
    <row r="20899" s="12" customFormat="1" x14ac:dyDescent="0.25"/>
    <row r="20900" s="12" customFormat="1" x14ac:dyDescent="0.25"/>
    <row r="20901" s="12" customFormat="1" x14ac:dyDescent="0.25"/>
    <row r="20902" s="12" customFormat="1" x14ac:dyDescent="0.25"/>
    <row r="20903" s="12" customFormat="1" x14ac:dyDescent="0.25"/>
    <row r="20904" s="12" customFormat="1" x14ac:dyDescent="0.25"/>
    <row r="20905" s="12" customFormat="1" x14ac:dyDescent="0.25"/>
    <row r="20906" s="12" customFormat="1" x14ac:dyDescent="0.25"/>
    <row r="20907" s="12" customFormat="1" x14ac:dyDescent="0.25"/>
    <row r="20908" s="12" customFormat="1" x14ac:dyDescent="0.25"/>
    <row r="20909" s="12" customFormat="1" x14ac:dyDescent="0.25"/>
    <row r="20910" s="12" customFormat="1" x14ac:dyDescent="0.25"/>
    <row r="20911" s="12" customFormat="1" x14ac:dyDescent="0.25"/>
    <row r="20912" s="12" customFormat="1" x14ac:dyDescent="0.25"/>
    <row r="20913" s="12" customFormat="1" x14ac:dyDescent="0.25"/>
    <row r="20914" s="12" customFormat="1" x14ac:dyDescent="0.25"/>
    <row r="20915" s="12" customFormat="1" x14ac:dyDescent="0.25"/>
    <row r="20916" s="12" customFormat="1" x14ac:dyDescent="0.25"/>
    <row r="20917" s="12" customFormat="1" x14ac:dyDescent="0.25"/>
    <row r="20918" s="12" customFormat="1" x14ac:dyDescent="0.25"/>
    <row r="20919" s="12" customFormat="1" x14ac:dyDescent="0.25"/>
    <row r="20920" s="12" customFormat="1" x14ac:dyDescent="0.25"/>
    <row r="20921" s="12" customFormat="1" x14ac:dyDescent="0.25"/>
    <row r="20922" s="12" customFormat="1" x14ac:dyDescent="0.25"/>
    <row r="20923" s="12" customFormat="1" x14ac:dyDescent="0.25"/>
    <row r="20924" s="12" customFormat="1" x14ac:dyDescent="0.25"/>
    <row r="20925" s="12" customFormat="1" x14ac:dyDescent="0.25"/>
    <row r="20926" s="12" customFormat="1" x14ac:dyDescent="0.25"/>
    <row r="20927" s="12" customFormat="1" x14ac:dyDescent="0.25"/>
    <row r="20928" s="12" customFormat="1" x14ac:dyDescent="0.25"/>
    <row r="20929" s="12" customFormat="1" x14ac:dyDescent="0.25"/>
    <row r="20930" s="12" customFormat="1" x14ac:dyDescent="0.25"/>
    <row r="20931" s="12" customFormat="1" x14ac:dyDescent="0.25"/>
    <row r="20932" s="12" customFormat="1" x14ac:dyDescent="0.25"/>
    <row r="20933" s="12" customFormat="1" x14ac:dyDescent="0.25"/>
    <row r="20934" s="12" customFormat="1" x14ac:dyDescent="0.25"/>
    <row r="20935" s="12" customFormat="1" x14ac:dyDescent="0.25"/>
    <row r="20936" s="12" customFormat="1" x14ac:dyDescent="0.25"/>
    <row r="20937" s="12" customFormat="1" x14ac:dyDescent="0.25"/>
    <row r="20938" s="12" customFormat="1" x14ac:dyDescent="0.25"/>
    <row r="20939" s="12" customFormat="1" x14ac:dyDescent="0.25"/>
    <row r="20940" s="12" customFormat="1" x14ac:dyDescent="0.25"/>
    <row r="20941" s="12" customFormat="1" x14ac:dyDescent="0.25"/>
    <row r="20942" s="12" customFormat="1" x14ac:dyDescent="0.25"/>
    <row r="20943" s="12" customFormat="1" x14ac:dyDescent="0.25"/>
    <row r="20944" s="12" customFormat="1" x14ac:dyDescent="0.25"/>
    <row r="20945" s="12" customFormat="1" x14ac:dyDescent="0.25"/>
    <row r="20946" s="12" customFormat="1" x14ac:dyDescent="0.25"/>
    <row r="20947" s="12" customFormat="1" x14ac:dyDescent="0.25"/>
    <row r="20948" s="12" customFormat="1" x14ac:dyDescent="0.25"/>
    <row r="20949" s="12" customFormat="1" x14ac:dyDescent="0.25"/>
    <row r="20950" s="12" customFormat="1" x14ac:dyDescent="0.25"/>
    <row r="20951" s="12" customFormat="1" x14ac:dyDescent="0.25"/>
    <row r="20952" s="12" customFormat="1" x14ac:dyDescent="0.25"/>
    <row r="20953" s="12" customFormat="1" x14ac:dyDescent="0.25"/>
    <row r="20954" s="12" customFormat="1" x14ac:dyDescent="0.25"/>
    <row r="20955" s="12" customFormat="1" x14ac:dyDescent="0.25"/>
    <row r="20956" s="12" customFormat="1" x14ac:dyDescent="0.25"/>
    <row r="20957" s="12" customFormat="1" x14ac:dyDescent="0.25"/>
    <row r="20958" s="12" customFormat="1" x14ac:dyDescent="0.25"/>
    <row r="20959" s="12" customFormat="1" x14ac:dyDescent="0.25"/>
    <row r="20960" s="12" customFormat="1" x14ac:dyDescent="0.25"/>
    <row r="20961" s="12" customFormat="1" x14ac:dyDescent="0.25"/>
    <row r="20962" s="12" customFormat="1" x14ac:dyDescent="0.25"/>
    <row r="20963" s="12" customFormat="1" x14ac:dyDescent="0.25"/>
    <row r="20964" s="12" customFormat="1" x14ac:dyDescent="0.25"/>
    <row r="20965" s="12" customFormat="1" x14ac:dyDescent="0.25"/>
    <row r="20966" s="12" customFormat="1" x14ac:dyDescent="0.25"/>
    <row r="20967" s="12" customFormat="1" x14ac:dyDescent="0.25"/>
    <row r="20968" s="12" customFormat="1" x14ac:dyDescent="0.25"/>
    <row r="20969" s="12" customFormat="1" x14ac:dyDescent="0.25"/>
    <row r="20970" s="12" customFormat="1" x14ac:dyDescent="0.25"/>
    <row r="20971" s="12" customFormat="1" x14ac:dyDescent="0.25"/>
    <row r="20972" s="12" customFormat="1" x14ac:dyDescent="0.25"/>
    <row r="20973" s="12" customFormat="1" x14ac:dyDescent="0.25"/>
    <row r="20974" s="12" customFormat="1" x14ac:dyDescent="0.25"/>
    <row r="20975" s="12" customFormat="1" x14ac:dyDescent="0.25"/>
    <row r="20976" s="12" customFormat="1" x14ac:dyDescent="0.25"/>
    <row r="20977" s="12" customFormat="1" x14ac:dyDescent="0.25"/>
    <row r="20978" s="12" customFormat="1" x14ac:dyDescent="0.25"/>
    <row r="20979" s="12" customFormat="1" x14ac:dyDescent="0.25"/>
    <row r="20980" s="12" customFormat="1" x14ac:dyDescent="0.25"/>
    <row r="20981" s="12" customFormat="1" x14ac:dyDescent="0.25"/>
    <row r="20982" s="12" customFormat="1" x14ac:dyDescent="0.25"/>
    <row r="20983" s="12" customFormat="1" x14ac:dyDescent="0.25"/>
    <row r="20984" s="12" customFormat="1" x14ac:dyDescent="0.25"/>
    <row r="20985" s="12" customFormat="1" x14ac:dyDescent="0.25"/>
    <row r="20986" s="12" customFormat="1" x14ac:dyDescent="0.25"/>
    <row r="20987" s="12" customFormat="1" x14ac:dyDescent="0.25"/>
    <row r="20988" s="12" customFormat="1" x14ac:dyDescent="0.25"/>
    <row r="20989" s="12" customFormat="1" x14ac:dyDescent="0.25"/>
    <row r="20990" s="12" customFormat="1" x14ac:dyDescent="0.25"/>
    <row r="20991" s="12" customFormat="1" x14ac:dyDescent="0.25"/>
    <row r="20992" s="12" customFormat="1" x14ac:dyDescent="0.25"/>
    <row r="20993" s="12" customFormat="1" x14ac:dyDescent="0.25"/>
    <row r="20994" s="12" customFormat="1" x14ac:dyDescent="0.25"/>
    <row r="20995" s="12" customFormat="1" x14ac:dyDescent="0.25"/>
    <row r="20996" s="12" customFormat="1" x14ac:dyDescent="0.25"/>
    <row r="20997" s="12" customFormat="1" x14ac:dyDescent="0.25"/>
    <row r="20998" s="12" customFormat="1" x14ac:dyDescent="0.25"/>
    <row r="20999" s="12" customFormat="1" x14ac:dyDescent="0.25"/>
    <row r="21000" s="12" customFormat="1" x14ac:dyDescent="0.25"/>
    <row r="21001" s="12" customFormat="1" x14ac:dyDescent="0.25"/>
    <row r="21002" s="12" customFormat="1" x14ac:dyDescent="0.25"/>
    <row r="21003" s="12" customFormat="1" x14ac:dyDescent="0.25"/>
    <row r="21004" s="12" customFormat="1" x14ac:dyDescent="0.25"/>
    <row r="21005" s="12" customFormat="1" x14ac:dyDescent="0.25"/>
    <row r="21006" s="12" customFormat="1" x14ac:dyDescent="0.25"/>
    <row r="21007" s="12" customFormat="1" x14ac:dyDescent="0.25"/>
    <row r="21008" s="12" customFormat="1" x14ac:dyDescent="0.25"/>
    <row r="21009" s="12" customFormat="1" x14ac:dyDescent="0.25"/>
    <row r="21010" s="12" customFormat="1" x14ac:dyDescent="0.25"/>
    <row r="21011" s="12" customFormat="1" x14ac:dyDescent="0.25"/>
    <row r="21012" s="12" customFormat="1" x14ac:dyDescent="0.25"/>
    <row r="21013" s="12" customFormat="1" x14ac:dyDescent="0.25"/>
    <row r="21014" s="12" customFormat="1" x14ac:dyDescent="0.25"/>
    <row r="21015" s="12" customFormat="1" x14ac:dyDescent="0.25"/>
    <row r="21016" s="12" customFormat="1" x14ac:dyDescent="0.25"/>
    <row r="21017" s="12" customFormat="1" x14ac:dyDescent="0.25"/>
    <row r="21018" s="12" customFormat="1" x14ac:dyDescent="0.25"/>
    <row r="21019" s="12" customFormat="1" x14ac:dyDescent="0.25"/>
    <row r="21020" s="12" customFormat="1" x14ac:dyDescent="0.25"/>
    <row r="21021" s="12" customFormat="1" x14ac:dyDescent="0.25"/>
    <row r="21022" s="12" customFormat="1" x14ac:dyDescent="0.25"/>
    <row r="21023" s="12" customFormat="1" x14ac:dyDescent="0.25"/>
    <row r="21024" s="12" customFormat="1" x14ac:dyDescent="0.25"/>
    <row r="21025" s="12" customFormat="1" x14ac:dyDescent="0.25"/>
    <row r="21026" s="12" customFormat="1" x14ac:dyDescent="0.25"/>
    <row r="21027" s="12" customFormat="1" x14ac:dyDescent="0.25"/>
    <row r="21028" s="12" customFormat="1" x14ac:dyDescent="0.25"/>
    <row r="21029" s="12" customFormat="1" x14ac:dyDescent="0.25"/>
    <row r="21030" s="12" customFormat="1" x14ac:dyDescent="0.25"/>
    <row r="21031" s="12" customFormat="1" x14ac:dyDescent="0.25"/>
    <row r="21032" s="12" customFormat="1" x14ac:dyDescent="0.25"/>
    <row r="21033" s="12" customFormat="1" x14ac:dyDescent="0.25"/>
    <row r="21034" s="12" customFormat="1" x14ac:dyDescent="0.25"/>
    <row r="21035" s="12" customFormat="1" x14ac:dyDescent="0.25"/>
    <row r="21036" s="12" customFormat="1" x14ac:dyDescent="0.25"/>
    <row r="21037" s="12" customFormat="1" x14ac:dyDescent="0.25"/>
    <row r="21038" s="12" customFormat="1" x14ac:dyDescent="0.25"/>
    <row r="21039" s="12" customFormat="1" x14ac:dyDescent="0.25"/>
    <row r="21040" s="12" customFormat="1" x14ac:dyDescent="0.25"/>
    <row r="21041" s="12" customFormat="1" x14ac:dyDescent="0.25"/>
    <row r="21042" s="12" customFormat="1" x14ac:dyDescent="0.25"/>
    <row r="21043" s="12" customFormat="1" x14ac:dyDescent="0.25"/>
    <row r="21044" s="12" customFormat="1" x14ac:dyDescent="0.25"/>
    <row r="21045" s="12" customFormat="1" x14ac:dyDescent="0.25"/>
    <row r="21046" s="12" customFormat="1" x14ac:dyDescent="0.25"/>
    <row r="21047" s="12" customFormat="1" x14ac:dyDescent="0.25"/>
    <row r="21048" s="12" customFormat="1" x14ac:dyDescent="0.25"/>
    <row r="21049" s="12" customFormat="1" x14ac:dyDescent="0.25"/>
    <row r="21050" s="12" customFormat="1" x14ac:dyDescent="0.25"/>
    <row r="21051" s="12" customFormat="1" x14ac:dyDescent="0.25"/>
    <row r="21052" s="12" customFormat="1" x14ac:dyDescent="0.25"/>
    <row r="21053" s="12" customFormat="1" x14ac:dyDescent="0.25"/>
    <row r="21054" s="12" customFormat="1" x14ac:dyDescent="0.25"/>
    <row r="21055" s="12" customFormat="1" x14ac:dyDescent="0.25"/>
    <row r="21056" s="12" customFormat="1" x14ac:dyDescent="0.25"/>
    <row r="21057" s="12" customFormat="1" x14ac:dyDescent="0.25"/>
    <row r="21058" s="12" customFormat="1" x14ac:dyDescent="0.25"/>
    <row r="21059" s="12" customFormat="1" x14ac:dyDescent="0.25"/>
    <row r="21060" s="12" customFormat="1" x14ac:dyDescent="0.25"/>
    <row r="21061" s="12" customFormat="1" x14ac:dyDescent="0.25"/>
    <row r="21062" s="12" customFormat="1" x14ac:dyDescent="0.25"/>
    <row r="21063" s="12" customFormat="1" x14ac:dyDescent="0.25"/>
    <row r="21064" s="12" customFormat="1" x14ac:dyDescent="0.25"/>
    <row r="21065" s="12" customFormat="1" x14ac:dyDescent="0.25"/>
    <row r="21066" s="12" customFormat="1" x14ac:dyDescent="0.25"/>
    <row r="21067" s="12" customFormat="1" x14ac:dyDescent="0.25"/>
    <row r="21068" s="12" customFormat="1" x14ac:dyDescent="0.25"/>
    <row r="21069" s="12" customFormat="1" x14ac:dyDescent="0.25"/>
    <row r="21070" s="12" customFormat="1" x14ac:dyDescent="0.25"/>
    <row r="21071" s="12" customFormat="1" x14ac:dyDescent="0.25"/>
    <row r="21072" s="12" customFormat="1" x14ac:dyDescent="0.25"/>
    <row r="21073" s="12" customFormat="1" x14ac:dyDescent="0.25"/>
    <row r="21074" s="12" customFormat="1" x14ac:dyDescent="0.25"/>
    <row r="21075" s="12" customFormat="1" x14ac:dyDescent="0.25"/>
    <row r="21076" s="12" customFormat="1" x14ac:dyDescent="0.25"/>
    <row r="21077" s="12" customFormat="1" x14ac:dyDescent="0.25"/>
    <row r="21078" s="12" customFormat="1" x14ac:dyDescent="0.25"/>
    <row r="21079" s="12" customFormat="1" x14ac:dyDescent="0.25"/>
    <row r="21080" s="12" customFormat="1" x14ac:dyDescent="0.25"/>
    <row r="21081" s="12" customFormat="1" x14ac:dyDescent="0.25"/>
    <row r="21082" s="12" customFormat="1" x14ac:dyDescent="0.25"/>
    <row r="21083" s="12" customFormat="1" x14ac:dyDescent="0.25"/>
    <row r="21084" s="12" customFormat="1" x14ac:dyDescent="0.25"/>
    <row r="21085" s="12" customFormat="1" x14ac:dyDescent="0.25"/>
    <row r="21086" s="12" customFormat="1" x14ac:dyDescent="0.25"/>
    <row r="21087" s="12" customFormat="1" x14ac:dyDescent="0.25"/>
    <row r="21088" s="12" customFormat="1" x14ac:dyDescent="0.25"/>
    <row r="21089" s="12" customFormat="1" x14ac:dyDescent="0.25"/>
    <row r="21090" s="12" customFormat="1" x14ac:dyDescent="0.25"/>
    <row r="21091" s="12" customFormat="1" x14ac:dyDescent="0.25"/>
    <row r="21092" s="12" customFormat="1" x14ac:dyDescent="0.25"/>
    <row r="21093" s="12" customFormat="1" x14ac:dyDescent="0.25"/>
    <row r="21094" s="12" customFormat="1" x14ac:dyDescent="0.25"/>
    <row r="21095" s="12" customFormat="1" x14ac:dyDescent="0.25"/>
    <row r="21096" s="12" customFormat="1" x14ac:dyDescent="0.25"/>
    <row r="21097" s="12" customFormat="1" x14ac:dyDescent="0.25"/>
    <row r="21098" s="12" customFormat="1" x14ac:dyDescent="0.25"/>
    <row r="21099" s="12" customFormat="1" x14ac:dyDescent="0.25"/>
    <row r="21100" s="12" customFormat="1" x14ac:dyDescent="0.25"/>
    <row r="21101" s="12" customFormat="1" x14ac:dyDescent="0.25"/>
    <row r="21102" s="12" customFormat="1" x14ac:dyDescent="0.25"/>
    <row r="21103" s="12" customFormat="1" x14ac:dyDescent="0.25"/>
    <row r="21104" s="12" customFormat="1" x14ac:dyDescent="0.25"/>
    <row r="21105" s="12" customFormat="1" x14ac:dyDescent="0.25"/>
    <row r="21106" s="12" customFormat="1" x14ac:dyDescent="0.25"/>
    <row r="21107" s="12" customFormat="1" x14ac:dyDescent="0.25"/>
    <row r="21108" s="12" customFormat="1" x14ac:dyDescent="0.25"/>
    <row r="21109" s="12" customFormat="1" x14ac:dyDescent="0.25"/>
    <row r="21110" s="12" customFormat="1" x14ac:dyDescent="0.25"/>
    <row r="21111" s="12" customFormat="1" x14ac:dyDescent="0.25"/>
    <row r="21112" s="12" customFormat="1" x14ac:dyDescent="0.25"/>
    <row r="21113" s="12" customFormat="1" x14ac:dyDescent="0.25"/>
    <row r="21114" s="12" customFormat="1" x14ac:dyDescent="0.25"/>
    <row r="21115" s="12" customFormat="1" x14ac:dyDescent="0.25"/>
    <row r="21116" s="12" customFormat="1" x14ac:dyDescent="0.25"/>
    <row r="21117" s="12" customFormat="1" x14ac:dyDescent="0.25"/>
    <row r="21118" s="12" customFormat="1" x14ac:dyDescent="0.25"/>
    <row r="21119" s="12" customFormat="1" x14ac:dyDescent="0.25"/>
    <row r="21120" s="12" customFormat="1" x14ac:dyDescent="0.25"/>
    <row r="21121" s="12" customFormat="1" x14ac:dyDescent="0.25"/>
    <row r="21122" s="12" customFormat="1" x14ac:dyDescent="0.25"/>
    <row r="21123" s="12" customFormat="1" x14ac:dyDescent="0.25"/>
    <row r="21124" s="12" customFormat="1" x14ac:dyDescent="0.25"/>
    <row r="21125" s="12" customFormat="1" x14ac:dyDescent="0.25"/>
    <row r="21126" s="12" customFormat="1" x14ac:dyDescent="0.25"/>
    <row r="21127" s="12" customFormat="1" x14ac:dyDescent="0.25"/>
    <row r="21128" s="12" customFormat="1" x14ac:dyDescent="0.25"/>
    <row r="21129" s="12" customFormat="1" x14ac:dyDescent="0.25"/>
    <row r="21130" s="12" customFormat="1" x14ac:dyDescent="0.25"/>
    <row r="21131" s="12" customFormat="1" x14ac:dyDescent="0.25"/>
    <row r="21132" s="12" customFormat="1" x14ac:dyDescent="0.25"/>
    <row r="21133" s="12" customFormat="1" x14ac:dyDescent="0.25"/>
    <row r="21134" s="12" customFormat="1" x14ac:dyDescent="0.25"/>
    <row r="21135" s="12" customFormat="1" x14ac:dyDescent="0.25"/>
    <row r="21136" s="12" customFormat="1" x14ac:dyDescent="0.25"/>
    <row r="21137" s="12" customFormat="1" x14ac:dyDescent="0.25"/>
    <row r="21138" s="12" customFormat="1" x14ac:dyDescent="0.25"/>
    <row r="21139" s="12" customFormat="1" x14ac:dyDescent="0.25"/>
    <row r="21140" s="12" customFormat="1" x14ac:dyDescent="0.25"/>
    <row r="21141" s="12" customFormat="1" x14ac:dyDescent="0.25"/>
    <row r="21142" s="12" customFormat="1" x14ac:dyDescent="0.25"/>
    <row r="21143" s="12" customFormat="1" x14ac:dyDescent="0.25"/>
    <row r="21144" s="12" customFormat="1" x14ac:dyDescent="0.25"/>
    <row r="21145" s="12" customFormat="1" x14ac:dyDescent="0.25"/>
    <row r="21146" s="12" customFormat="1" x14ac:dyDescent="0.25"/>
    <row r="21147" s="12" customFormat="1" x14ac:dyDescent="0.25"/>
    <row r="21148" s="12" customFormat="1" x14ac:dyDescent="0.25"/>
    <row r="21149" s="12" customFormat="1" x14ac:dyDescent="0.25"/>
    <row r="21150" s="12" customFormat="1" x14ac:dyDescent="0.25"/>
    <row r="21151" s="12" customFormat="1" x14ac:dyDescent="0.25"/>
    <row r="21152" s="12" customFormat="1" x14ac:dyDescent="0.25"/>
    <row r="21153" s="12" customFormat="1" x14ac:dyDescent="0.25"/>
    <row r="21154" s="12" customFormat="1" x14ac:dyDescent="0.25"/>
    <row r="21155" s="12" customFormat="1" x14ac:dyDescent="0.25"/>
    <row r="21156" s="12" customFormat="1" x14ac:dyDescent="0.25"/>
    <row r="21157" s="12" customFormat="1" x14ac:dyDescent="0.25"/>
    <row r="21158" s="12" customFormat="1" x14ac:dyDescent="0.25"/>
    <row r="21159" s="12" customFormat="1" x14ac:dyDescent="0.25"/>
    <row r="21160" s="12" customFormat="1" x14ac:dyDescent="0.25"/>
    <row r="21161" s="12" customFormat="1" x14ac:dyDescent="0.25"/>
    <row r="21162" s="12" customFormat="1" x14ac:dyDescent="0.25"/>
    <row r="21163" s="12" customFormat="1" x14ac:dyDescent="0.25"/>
    <row r="21164" s="12" customFormat="1" x14ac:dyDescent="0.25"/>
    <row r="21165" s="12" customFormat="1" x14ac:dyDescent="0.25"/>
    <row r="21166" s="12" customFormat="1" x14ac:dyDescent="0.25"/>
    <row r="21167" s="12" customFormat="1" x14ac:dyDescent="0.25"/>
    <row r="21168" s="12" customFormat="1" x14ac:dyDescent="0.25"/>
    <row r="21169" s="12" customFormat="1" x14ac:dyDescent="0.25"/>
    <row r="21170" s="12" customFormat="1" x14ac:dyDescent="0.25"/>
    <row r="21171" s="12" customFormat="1" x14ac:dyDescent="0.25"/>
    <row r="21172" s="12" customFormat="1" x14ac:dyDescent="0.25"/>
    <row r="21173" s="12" customFormat="1" x14ac:dyDescent="0.25"/>
    <row r="21174" s="12" customFormat="1" x14ac:dyDescent="0.25"/>
    <row r="21175" s="12" customFormat="1" x14ac:dyDescent="0.25"/>
    <row r="21176" s="12" customFormat="1" x14ac:dyDescent="0.25"/>
    <row r="21177" s="12" customFormat="1" x14ac:dyDescent="0.25"/>
    <row r="21178" s="12" customFormat="1" x14ac:dyDescent="0.25"/>
    <row r="21179" s="12" customFormat="1" x14ac:dyDescent="0.25"/>
    <row r="21180" s="12" customFormat="1" x14ac:dyDescent="0.25"/>
    <row r="21181" s="12" customFormat="1" x14ac:dyDescent="0.25"/>
    <row r="21182" s="12" customFormat="1" x14ac:dyDescent="0.25"/>
    <row r="21183" s="12" customFormat="1" x14ac:dyDescent="0.25"/>
    <row r="21184" s="12" customFormat="1" x14ac:dyDescent="0.25"/>
    <row r="21185" s="12" customFormat="1" x14ac:dyDescent="0.25"/>
    <row r="21186" s="12" customFormat="1" x14ac:dyDescent="0.25"/>
    <row r="21187" s="12" customFormat="1" x14ac:dyDescent="0.25"/>
    <row r="21188" s="12" customFormat="1" x14ac:dyDescent="0.25"/>
    <row r="21189" s="12" customFormat="1" x14ac:dyDescent="0.25"/>
    <row r="21190" s="12" customFormat="1" x14ac:dyDescent="0.25"/>
    <row r="21191" s="12" customFormat="1" x14ac:dyDescent="0.25"/>
    <row r="21192" s="12" customFormat="1" x14ac:dyDescent="0.25"/>
    <row r="21193" s="12" customFormat="1" x14ac:dyDescent="0.25"/>
    <row r="21194" s="12" customFormat="1" x14ac:dyDescent="0.25"/>
    <row r="21195" s="12" customFormat="1" x14ac:dyDescent="0.25"/>
    <row r="21196" s="12" customFormat="1" x14ac:dyDescent="0.25"/>
    <row r="21197" s="12" customFormat="1" x14ac:dyDescent="0.25"/>
    <row r="21198" s="12" customFormat="1" x14ac:dyDescent="0.25"/>
    <row r="21199" s="12" customFormat="1" x14ac:dyDescent="0.25"/>
    <row r="21200" s="12" customFormat="1" x14ac:dyDescent="0.25"/>
    <row r="21201" s="12" customFormat="1" x14ac:dyDescent="0.25"/>
    <row r="21202" s="12" customFormat="1" x14ac:dyDescent="0.25"/>
    <row r="21203" s="12" customFormat="1" x14ac:dyDescent="0.25"/>
    <row r="21204" s="12" customFormat="1" x14ac:dyDescent="0.25"/>
    <row r="21205" s="12" customFormat="1" x14ac:dyDescent="0.25"/>
    <row r="21206" s="12" customFormat="1" x14ac:dyDescent="0.25"/>
    <row r="21207" s="12" customFormat="1" x14ac:dyDescent="0.25"/>
    <row r="21208" s="12" customFormat="1" x14ac:dyDescent="0.25"/>
    <row r="21209" s="12" customFormat="1" x14ac:dyDescent="0.25"/>
    <row r="21210" s="12" customFormat="1" x14ac:dyDescent="0.25"/>
    <row r="21211" s="12" customFormat="1" x14ac:dyDescent="0.25"/>
    <row r="21212" s="12" customFormat="1" x14ac:dyDescent="0.25"/>
    <row r="21213" s="12" customFormat="1" x14ac:dyDescent="0.25"/>
    <row r="21214" s="12" customFormat="1" x14ac:dyDescent="0.25"/>
    <row r="21215" s="12" customFormat="1" x14ac:dyDescent="0.25"/>
    <row r="21216" s="12" customFormat="1" x14ac:dyDescent="0.25"/>
    <row r="21217" s="12" customFormat="1" x14ac:dyDescent="0.25"/>
    <row r="21218" s="12" customFormat="1" x14ac:dyDescent="0.25"/>
    <row r="21219" s="12" customFormat="1" x14ac:dyDescent="0.25"/>
    <row r="21220" s="12" customFormat="1" x14ac:dyDescent="0.25"/>
    <row r="21221" s="12" customFormat="1" x14ac:dyDescent="0.25"/>
    <row r="21222" s="12" customFormat="1" x14ac:dyDescent="0.25"/>
    <row r="21223" s="12" customFormat="1" x14ac:dyDescent="0.25"/>
    <row r="21224" s="12" customFormat="1" x14ac:dyDescent="0.25"/>
    <row r="21225" s="12" customFormat="1" x14ac:dyDescent="0.25"/>
    <row r="21226" s="12" customFormat="1" x14ac:dyDescent="0.25"/>
    <row r="21227" s="12" customFormat="1" x14ac:dyDescent="0.25"/>
    <row r="21228" s="12" customFormat="1" x14ac:dyDescent="0.25"/>
    <row r="21229" s="12" customFormat="1" x14ac:dyDescent="0.25"/>
    <row r="21230" s="12" customFormat="1" x14ac:dyDescent="0.25"/>
    <row r="21231" s="12" customFormat="1" x14ac:dyDescent="0.25"/>
    <row r="21232" s="12" customFormat="1" x14ac:dyDescent="0.25"/>
    <row r="21233" s="12" customFormat="1" x14ac:dyDescent="0.25"/>
    <row r="21234" s="12" customFormat="1" x14ac:dyDescent="0.25"/>
    <row r="21235" s="12" customFormat="1" x14ac:dyDescent="0.25"/>
    <row r="21236" s="12" customFormat="1" x14ac:dyDescent="0.25"/>
    <row r="21237" s="12" customFormat="1" x14ac:dyDescent="0.25"/>
    <row r="21238" s="12" customFormat="1" x14ac:dyDescent="0.25"/>
    <row r="21239" s="12" customFormat="1" x14ac:dyDescent="0.25"/>
    <row r="21240" s="12" customFormat="1" x14ac:dyDescent="0.25"/>
    <row r="21241" s="12" customFormat="1" x14ac:dyDescent="0.25"/>
    <row r="21242" s="12" customFormat="1" x14ac:dyDescent="0.25"/>
    <row r="21243" s="12" customFormat="1" x14ac:dyDescent="0.25"/>
    <row r="21244" s="12" customFormat="1" x14ac:dyDescent="0.25"/>
    <row r="21245" s="12" customFormat="1" x14ac:dyDescent="0.25"/>
    <row r="21246" s="12" customFormat="1" x14ac:dyDescent="0.25"/>
    <row r="21247" s="12" customFormat="1" x14ac:dyDescent="0.25"/>
    <row r="21248" s="12" customFormat="1" x14ac:dyDescent="0.25"/>
    <row r="21249" s="12" customFormat="1" x14ac:dyDescent="0.25"/>
    <row r="21250" s="12" customFormat="1" x14ac:dyDescent="0.25"/>
    <row r="21251" s="12" customFormat="1" x14ac:dyDescent="0.25"/>
    <row r="21252" s="12" customFormat="1" x14ac:dyDescent="0.25"/>
    <row r="21253" s="12" customFormat="1" x14ac:dyDescent="0.25"/>
    <row r="21254" s="12" customFormat="1" x14ac:dyDescent="0.25"/>
    <row r="21255" s="12" customFormat="1" x14ac:dyDescent="0.25"/>
    <row r="21256" s="12" customFormat="1" x14ac:dyDescent="0.25"/>
    <row r="21257" s="12" customFormat="1" x14ac:dyDescent="0.25"/>
    <row r="21258" s="12" customFormat="1" x14ac:dyDescent="0.25"/>
    <row r="21259" s="12" customFormat="1" x14ac:dyDescent="0.25"/>
    <row r="21260" s="12" customFormat="1" x14ac:dyDescent="0.25"/>
    <row r="21261" s="12" customFormat="1" x14ac:dyDescent="0.25"/>
    <row r="21262" s="12" customFormat="1" x14ac:dyDescent="0.25"/>
    <row r="21263" s="12" customFormat="1" x14ac:dyDescent="0.25"/>
    <row r="21264" s="12" customFormat="1" x14ac:dyDescent="0.25"/>
    <row r="21265" s="12" customFormat="1" x14ac:dyDescent="0.25"/>
    <row r="21266" s="12" customFormat="1" x14ac:dyDescent="0.25"/>
    <row r="21267" s="12" customFormat="1" x14ac:dyDescent="0.25"/>
    <row r="21268" s="12" customFormat="1" x14ac:dyDescent="0.25"/>
    <row r="21269" s="12" customFormat="1" x14ac:dyDescent="0.25"/>
    <row r="21270" s="12" customFormat="1" x14ac:dyDescent="0.25"/>
    <row r="21271" s="12" customFormat="1" x14ac:dyDescent="0.25"/>
    <row r="21272" s="12" customFormat="1" x14ac:dyDescent="0.25"/>
    <row r="21273" s="12" customFormat="1" x14ac:dyDescent="0.25"/>
    <row r="21274" s="12" customFormat="1" x14ac:dyDescent="0.25"/>
    <row r="21275" s="12" customFormat="1" x14ac:dyDescent="0.25"/>
    <row r="21276" s="12" customFormat="1" x14ac:dyDescent="0.25"/>
    <row r="21277" s="12" customFormat="1" x14ac:dyDescent="0.25"/>
    <row r="21278" s="12" customFormat="1" x14ac:dyDescent="0.25"/>
    <row r="21279" s="12" customFormat="1" x14ac:dyDescent="0.25"/>
    <row r="21280" s="12" customFormat="1" x14ac:dyDescent="0.25"/>
    <row r="21281" s="12" customFormat="1" x14ac:dyDescent="0.25"/>
    <row r="21282" s="12" customFormat="1" x14ac:dyDescent="0.25"/>
    <row r="21283" s="12" customFormat="1" x14ac:dyDescent="0.25"/>
    <row r="21284" s="12" customFormat="1" x14ac:dyDescent="0.25"/>
    <row r="21285" s="12" customFormat="1" x14ac:dyDescent="0.25"/>
    <row r="21286" s="12" customFormat="1" x14ac:dyDescent="0.25"/>
    <row r="21287" s="12" customFormat="1" x14ac:dyDescent="0.25"/>
    <row r="21288" s="12" customFormat="1" x14ac:dyDescent="0.25"/>
    <row r="21289" s="12" customFormat="1" x14ac:dyDescent="0.25"/>
    <row r="21290" s="12" customFormat="1" x14ac:dyDescent="0.25"/>
    <row r="21291" s="12" customFormat="1" x14ac:dyDescent="0.25"/>
    <row r="21292" s="12" customFormat="1" x14ac:dyDescent="0.25"/>
    <row r="21293" s="12" customFormat="1" x14ac:dyDescent="0.25"/>
    <row r="21294" s="12" customFormat="1" x14ac:dyDescent="0.25"/>
    <row r="21295" s="12" customFormat="1" x14ac:dyDescent="0.25"/>
    <row r="21296" s="12" customFormat="1" x14ac:dyDescent="0.25"/>
    <row r="21297" s="12" customFormat="1" x14ac:dyDescent="0.25"/>
    <row r="21298" s="12" customFormat="1" x14ac:dyDescent="0.25"/>
    <row r="21299" s="12" customFormat="1" x14ac:dyDescent="0.25"/>
    <row r="21300" s="12" customFormat="1" x14ac:dyDescent="0.25"/>
    <row r="21301" s="12" customFormat="1" x14ac:dyDescent="0.25"/>
    <row r="21302" s="12" customFormat="1" x14ac:dyDescent="0.25"/>
    <row r="21303" s="12" customFormat="1" x14ac:dyDescent="0.25"/>
    <row r="21304" s="12" customFormat="1" x14ac:dyDescent="0.25"/>
    <row r="21305" s="12" customFormat="1" x14ac:dyDescent="0.25"/>
    <row r="21306" s="12" customFormat="1" x14ac:dyDescent="0.25"/>
    <row r="21307" s="12" customFormat="1" x14ac:dyDescent="0.25"/>
    <row r="21308" s="12" customFormat="1" x14ac:dyDescent="0.25"/>
    <row r="21309" s="12" customFormat="1" x14ac:dyDescent="0.25"/>
    <row r="21310" s="12" customFormat="1" x14ac:dyDescent="0.25"/>
    <row r="21311" s="12" customFormat="1" x14ac:dyDescent="0.25"/>
    <row r="21312" s="12" customFormat="1" x14ac:dyDescent="0.25"/>
    <row r="21313" s="12" customFormat="1" x14ac:dyDescent="0.25"/>
    <row r="21314" s="12" customFormat="1" x14ac:dyDescent="0.25"/>
    <row r="21315" s="12" customFormat="1" x14ac:dyDescent="0.25"/>
    <row r="21316" s="12" customFormat="1" x14ac:dyDescent="0.25"/>
    <row r="21317" s="12" customFormat="1" x14ac:dyDescent="0.25"/>
    <row r="21318" s="12" customFormat="1" x14ac:dyDescent="0.25"/>
    <row r="21319" s="12" customFormat="1" x14ac:dyDescent="0.25"/>
    <row r="21320" s="12" customFormat="1" x14ac:dyDescent="0.25"/>
    <row r="21321" s="12" customFormat="1" x14ac:dyDescent="0.25"/>
    <row r="21322" s="12" customFormat="1" x14ac:dyDescent="0.25"/>
    <row r="21323" s="12" customFormat="1" x14ac:dyDescent="0.25"/>
    <row r="21324" s="12" customFormat="1" x14ac:dyDescent="0.25"/>
    <row r="21325" s="12" customFormat="1" x14ac:dyDescent="0.25"/>
    <row r="21326" s="12" customFormat="1" x14ac:dyDescent="0.25"/>
    <row r="21327" s="12" customFormat="1" x14ac:dyDescent="0.25"/>
    <row r="21328" s="12" customFormat="1" x14ac:dyDescent="0.25"/>
    <row r="21329" s="12" customFormat="1" x14ac:dyDescent="0.25"/>
    <row r="21330" s="12" customFormat="1" x14ac:dyDescent="0.25"/>
    <row r="21331" s="12" customFormat="1" x14ac:dyDescent="0.25"/>
    <row r="21332" s="12" customFormat="1" x14ac:dyDescent="0.25"/>
    <row r="21333" s="12" customFormat="1" x14ac:dyDescent="0.25"/>
    <row r="21334" s="12" customFormat="1" x14ac:dyDescent="0.25"/>
    <row r="21335" s="12" customFormat="1" x14ac:dyDescent="0.25"/>
    <row r="21336" s="12" customFormat="1" x14ac:dyDescent="0.25"/>
    <row r="21337" s="12" customFormat="1" x14ac:dyDescent="0.25"/>
    <row r="21338" s="12" customFormat="1" x14ac:dyDescent="0.25"/>
    <row r="21339" s="12" customFormat="1" x14ac:dyDescent="0.25"/>
    <row r="21340" s="12" customFormat="1" x14ac:dyDescent="0.25"/>
    <row r="21341" s="12" customFormat="1" x14ac:dyDescent="0.25"/>
    <row r="21342" s="12" customFormat="1" x14ac:dyDescent="0.25"/>
    <row r="21343" s="12" customFormat="1" x14ac:dyDescent="0.25"/>
    <row r="21344" s="12" customFormat="1" x14ac:dyDescent="0.25"/>
    <row r="21345" s="12" customFormat="1" x14ac:dyDescent="0.25"/>
    <row r="21346" s="12" customFormat="1" x14ac:dyDescent="0.25"/>
    <row r="21347" s="12" customFormat="1" x14ac:dyDescent="0.25"/>
    <row r="21348" s="12" customFormat="1" x14ac:dyDescent="0.25"/>
    <row r="21349" s="12" customFormat="1" x14ac:dyDescent="0.25"/>
    <row r="21350" s="12" customFormat="1" x14ac:dyDescent="0.25"/>
    <row r="21351" s="12" customFormat="1" x14ac:dyDescent="0.25"/>
    <row r="21352" s="12" customFormat="1" x14ac:dyDescent="0.25"/>
    <row r="21353" s="12" customFormat="1" x14ac:dyDescent="0.25"/>
    <row r="21354" s="12" customFormat="1" x14ac:dyDescent="0.25"/>
    <row r="21355" s="12" customFormat="1" x14ac:dyDescent="0.25"/>
    <row r="21356" s="12" customFormat="1" x14ac:dyDescent="0.25"/>
    <row r="21357" s="12" customFormat="1" x14ac:dyDescent="0.25"/>
    <row r="21358" s="12" customFormat="1" x14ac:dyDescent="0.25"/>
    <row r="21359" s="12" customFormat="1" x14ac:dyDescent="0.25"/>
    <row r="21360" s="12" customFormat="1" x14ac:dyDescent="0.25"/>
    <row r="21361" s="12" customFormat="1" x14ac:dyDescent="0.25"/>
    <row r="21362" s="12" customFormat="1" x14ac:dyDescent="0.25"/>
    <row r="21363" s="12" customFormat="1" x14ac:dyDescent="0.25"/>
    <row r="21364" s="12" customFormat="1" x14ac:dyDescent="0.25"/>
    <row r="21365" s="12" customFormat="1" x14ac:dyDescent="0.25"/>
    <row r="21366" s="12" customFormat="1" x14ac:dyDescent="0.25"/>
    <row r="21367" s="12" customFormat="1" x14ac:dyDescent="0.25"/>
    <row r="21368" s="12" customFormat="1" x14ac:dyDescent="0.25"/>
    <row r="21369" s="12" customFormat="1" x14ac:dyDescent="0.25"/>
    <row r="21370" s="12" customFormat="1" x14ac:dyDescent="0.25"/>
    <row r="21371" s="12" customFormat="1" x14ac:dyDescent="0.25"/>
    <row r="21372" s="12" customFormat="1" x14ac:dyDescent="0.25"/>
    <row r="21373" s="12" customFormat="1" x14ac:dyDescent="0.25"/>
    <row r="21374" s="12" customFormat="1" x14ac:dyDescent="0.25"/>
    <row r="21375" s="12" customFormat="1" x14ac:dyDescent="0.25"/>
    <row r="21376" s="12" customFormat="1" x14ac:dyDescent="0.25"/>
    <row r="21377" s="12" customFormat="1" x14ac:dyDescent="0.25"/>
    <row r="21378" s="12" customFormat="1" x14ac:dyDescent="0.25"/>
    <row r="21379" s="12" customFormat="1" x14ac:dyDescent="0.25"/>
    <row r="21380" s="12" customFormat="1" x14ac:dyDescent="0.25"/>
    <row r="21381" s="12" customFormat="1" x14ac:dyDescent="0.25"/>
    <row r="21382" s="12" customFormat="1" x14ac:dyDescent="0.25"/>
    <row r="21383" s="12" customFormat="1" x14ac:dyDescent="0.25"/>
    <row r="21384" s="12" customFormat="1" x14ac:dyDescent="0.25"/>
    <row r="21385" s="12" customFormat="1" x14ac:dyDescent="0.25"/>
    <row r="21386" s="12" customFormat="1" x14ac:dyDescent="0.25"/>
    <row r="21387" s="12" customFormat="1" x14ac:dyDescent="0.25"/>
    <row r="21388" s="12" customFormat="1" x14ac:dyDescent="0.25"/>
    <row r="21389" s="12" customFormat="1" x14ac:dyDescent="0.25"/>
    <row r="21390" s="12" customFormat="1" x14ac:dyDescent="0.25"/>
    <row r="21391" s="12" customFormat="1" x14ac:dyDescent="0.25"/>
    <row r="21392" s="12" customFormat="1" x14ac:dyDescent="0.25"/>
    <row r="21393" s="12" customFormat="1" x14ac:dyDescent="0.25"/>
    <row r="21394" s="12" customFormat="1" x14ac:dyDescent="0.25"/>
    <row r="21395" s="12" customFormat="1" x14ac:dyDescent="0.25"/>
    <row r="21396" s="12" customFormat="1" x14ac:dyDescent="0.25"/>
    <row r="21397" s="12" customFormat="1" x14ac:dyDescent="0.25"/>
    <row r="21398" s="12" customFormat="1" x14ac:dyDescent="0.25"/>
    <row r="21399" s="12" customFormat="1" x14ac:dyDescent="0.25"/>
    <row r="21400" s="12" customFormat="1" x14ac:dyDescent="0.25"/>
    <row r="21401" s="12" customFormat="1" x14ac:dyDescent="0.25"/>
    <row r="21402" s="12" customFormat="1" x14ac:dyDescent="0.25"/>
    <row r="21403" s="12" customFormat="1" x14ac:dyDescent="0.25"/>
    <row r="21404" s="12" customFormat="1" x14ac:dyDescent="0.25"/>
    <row r="21405" s="12" customFormat="1" x14ac:dyDescent="0.25"/>
    <row r="21406" s="12" customFormat="1" x14ac:dyDescent="0.25"/>
    <row r="21407" s="12" customFormat="1" x14ac:dyDescent="0.25"/>
    <row r="21408" s="12" customFormat="1" x14ac:dyDescent="0.25"/>
    <row r="21409" s="12" customFormat="1" x14ac:dyDescent="0.25"/>
    <row r="21410" s="12" customFormat="1" x14ac:dyDescent="0.25"/>
    <row r="21411" s="12" customFormat="1" x14ac:dyDescent="0.25"/>
    <row r="21412" s="12" customFormat="1" x14ac:dyDescent="0.25"/>
    <row r="21413" s="12" customFormat="1" x14ac:dyDescent="0.25"/>
    <row r="21414" s="12" customFormat="1" x14ac:dyDescent="0.25"/>
    <row r="21415" s="12" customFormat="1" x14ac:dyDescent="0.25"/>
    <row r="21416" s="12" customFormat="1" x14ac:dyDescent="0.25"/>
    <row r="21417" s="12" customFormat="1" x14ac:dyDescent="0.25"/>
    <row r="21418" s="12" customFormat="1" x14ac:dyDescent="0.25"/>
    <row r="21419" s="12" customFormat="1" x14ac:dyDescent="0.25"/>
    <row r="21420" s="12" customFormat="1" x14ac:dyDescent="0.25"/>
    <row r="21421" s="12" customFormat="1" x14ac:dyDescent="0.25"/>
    <row r="21422" s="12" customFormat="1" x14ac:dyDescent="0.25"/>
    <row r="21423" s="12" customFormat="1" x14ac:dyDescent="0.25"/>
    <row r="21424" s="12" customFormat="1" x14ac:dyDescent="0.25"/>
    <row r="21425" s="12" customFormat="1" x14ac:dyDescent="0.25"/>
    <row r="21426" s="12" customFormat="1" x14ac:dyDescent="0.25"/>
    <row r="21427" s="12" customFormat="1" x14ac:dyDescent="0.25"/>
    <row r="21428" s="12" customFormat="1" x14ac:dyDescent="0.25"/>
    <row r="21429" s="12" customFormat="1" x14ac:dyDescent="0.25"/>
    <row r="21430" s="12" customFormat="1" x14ac:dyDescent="0.25"/>
    <row r="21431" s="12" customFormat="1" x14ac:dyDescent="0.25"/>
    <row r="21432" s="12" customFormat="1" x14ac:dyDescent="0.25"/>
    <row r="21433" s="12" customFormat="1" x14ac:dyDescent="0.25"/>
    <row r="21434" s="12" customFormat="1" x14ac:dyDescent="0.25"/>
    <row r="21435" s="12" customFormat="1" x14ac:dyDescent="0.25"/>
    <row r="21436" s="12" customFormat="1" x14ac:dyDescent="0.25"/>
    <row r="21437" s="12" customFormat="1" x14ac:dyDescent="0.25"/>
    <row r="21438" s="12" customFormat="1" x14ac:dyDescent="0.25"/>
    <row r="21439" s="12" customFormat="1" x14ac:dyDescent="0.25"/>
    <row r="21440" s="12" customFormat="1" x14ac:dyDescent="0.25"/>
    <row r="21441" s="12" customFormat="1" x14ac:dyDescent="0.25"/>
    <row r="21442" s="12" customFormat="1" x14ac:dyDescent="0.25"/>
    <row r="21443" s="12" customFormat="1" x14ac:dyDescent="0.25"/>
    <row r="21444" s="12" customFormat="1" x14ac:dyDescent="0.25"/>
    <row r="21445" s="12" customFormat="1" x14ac:dyDescent="0.25"/>
    <row r="21446" s="12" customFormat="1" x14ac:dyDescent="0.25"/>
    <row r="21447" s="12" customFormat="1" x14ac:dyDescent="0.25"/>
    <row r="21448" s="12" customFormat="1" x14ac:dyDescent="0.25"/>
    <row r="21449" s="12" customFormat="1" x14ac:dyDescent="0.25"/>
    <row r="21450" s="12" customFormat="1" x14ac:dyDescent="0.25"/>
    <row r="21451" s="12" customFormat="1" x14ac:dyDescent="0.25"/>
    <row r="21452" s="12" customFormat="1" x14ac:dyDescent="0.25"/>
    <row r="21453" s="12" customFormat="1" x14ac:dyDescent="0.25"/>
    <row r="21454" s="12" customFormat="1" x14ac:dyDescent="0.25"/>
    <row r="21455" s="12" customFormat="1" x14ac:dyDescent="0.25"/>
    <row r="21456" s="12" customFormat="1" x14ac:dyDescent="0.25"/>
    <row r="21457" s="12" customFormat="1" x14ac:dyDescent="0.25"/>
    <row r="21458" s="12" customFormat="1" x14ac:dyDescent="0.25"/>
    <row r="21459" s="12" customFormat="1" x14ac:dyDescent="0.25"/>
    <row r="21460" s="12" customFormat="1" x14ac:dyDescent="0.25"/>
    <row r="21461" s="12" customFormat="1" x14ac:dyDescent="0.25"/>
    <row r="21462" s="12" customFormat="1" x14ac:dyDescent="0.25"/>
    <row r="21463" s="12" customFormat="1" x14ac:dyDescent="0.25"/>
    <row r="21464" s="12" customFormat="1" x14ac:dyDescent="0.25"/>
    <row r="21465" s="12" customFormat="1" x14ac:dyDescent="0.25"/>
    <row r="21466" s="12" customFormat="1" x14ac:dyDescent="0.25"/>
    <row r="21467" s="12" customFormat="1" x14ac:dyDescent="0.25"/>
    <row r="21468" s="12" customFormat="1" x14ac:dyDescent="0.25"/>
    <row r="21469" s="12" customFormat="1" x14ac:dyDescent="0.25"/>
    <row r="21470" s="12" customFormat="1" x14ac:dyDescent="0.25"/>
    <row r="21471" s="12" customFormat="1" x14ac:dyDescent="0.25"/>
    <row r="21472" s="12" customFormat="1" x14ac:dyDescent="0.25"/>
    <row r="21473" s="12" customFormat="1" x14ac:dyDescent="0.25"/>
    <row r="21474" s="12" customFormat="1" x14ac:dyDescent="0.25"/>
    <row r="21475" s="12" customFormat="1" x14ac:dyDescent="0.25"/>
    <row r="21476" s="12" customFormat="1" x14ac:dyDescent="0.25"/>
    <row r="21477" s="12" customFormat="1" x14ac:dyDescent="0.25"/>
    <row r="21478" s="12" customFormat="1" x14ac:dyDescent="0.25"/>
    <row r="21479" s="12" customFormat="1" x14ac:dyDescent="0.25"/>
    <row r="21480" s="12" customFormat="1" x14ac:dyDescent="0.25"/>
    <row r="21481" s="12" customFormat="1" x14ac:dyDescent="0.25"/>
    <row r="21482" s="12" customFormat="1" x14ac:dyDescent="0.25"/>
    <row r="21483" s="12" customFormat="1" x14ac:dyDescent="0.25"/>
    <row r="21484" s="12" customFormat="1" x14ac:dyDescent="0.25"/>
    <row r="21485" s="12" customFormat="1" x14ac:dyDescent="0.25"/>
    <row r="21486" s="12" customFormat="1" x14ac:dyDescent="0.25"/>
    <row r="21487" s="12" customFormat="1" x14ac:dyDescent="0.25"/>
    <row r="21488" s="12" customFormat="1" x14ac:dyDescent="0.25"/>
    <row r="21489" s="12" customFormat="1" x14ac:dyDescent="0.25"/>
    <row r="21490" s="12" customFormat="1" x14ac:dyDescent="0.25"/>
    <row r="21491" s="12" customFormat="1" x14ac:dyDescent="0.25"/>
    <row r="21492" s="12" customFormat="1" x14ac:dyDescent="0.25"/>
    <row r="21493" s="12" customFormat="1" x14ac:dyDescent="0.25"/>
    <row r="21494" s="12" customFormat="1" x14ac:dyDescent="0.25"/>
    <row r="21495" s="12" customFormat="1" x14ac:dyDescent="0.25"/>
    <row r="21496" s="12" customFormat="1" x14ac:dyDescent="0.25"/>
    <row r="21497" s="12" customFormat="1" x14ac:dyDescent="0.25"/>
    <row r="21498" s="12" customFormat="1" x14ac:dyDescent="0.25"/>
    <row r="21499" s="12" customFormat="1" x14ac:dyDescent="0.25"/>
    <row r="21500" s="12" customFormat="1" x14ac:dyDescent="0.25"/>
    <row r="21501" s="12" customFormat="1" x14ac:dyDescent="0.25"/>
    <row r="21502" s="12" customFormat="1" x14ac:dyDescent="0.25"/>
    <row r="21503" s="12" customFormat="1" x14ac:dyDescent="0.25"/>
    <row r="21504" s="12" customFormat="1" x14ac:dyDescent="0.25"/>
    <row r="21505" s="12" customFormat="1" x14ac:dyDescent="0.25"/>
    <row r="21506" s="12" customFormat="1" x14ac:dyDescent="0.25"/>
    <row r="21507" s="12" customFormat="1" x14ac:dyDescent="0.25"/>
    <row r="21508" s="12" customFormat="1" x14ac:dyDescent="0.25"/>
    <row r="21509" s="12" customFormat="1" x14ac:dyDescent="0.25"/>
    <row r="21510" s="12" customFormat="1" x14ac:dyDescent="0.25"/>
    <row r="21511" s="12" customFormat="1" x14ac:dyDescent="0.25"/>
    <row r="21512" s="12" customFormat="1" x14ac:dyDescent="0.25"/>
    <row r="21513" s="12" customFormat="1" x14ac:dyDescent="0.25"/>
    <row r="21514" s="12" customFormat="1" x14ac:dyDescent="0.25"/>
    <row r="21515" s="12" customFormat="1" x14ac:dyDescent="0.25"/>
    <row r="21516" s="12" customFormat="1" x14ac:dyDescent="0.25"/>
    <row r="21517" s="12" customFormat="1" x14ac:dyDescent="0.25"/>
    <row r="21518" s="12" customFormat="1" x14ac:dyDescent="0.25"/>
    <row r="21519" s="12" customFormat="1" x14ac:dyDescent="0.25"/>
    <row r="21520" s="12" customFormat="1" x14ac:dyDescent="0.25"/>
    <row r="21521" s="12" customFormat="1" x14ac:dyDescent="0.25"/>
    <row r="21522" s="12" customFormat="1" x14ac:dyDescent="0.25"/>
    <row r="21523" s="12" customFormat="1" x14ac:dyDescent="0.25"/>
    <row r="21524" s="12" customFormat="1" x14ac:dyDescent="0.25"/>
    <row r="21525" s="12" customFormat="1" x14ac:dyDescent="0.25"/>
    <row r="21526" s="12" customFormat="1" x14ac:dyDescent="0.25"/>
    <row r="21527" s="12" customFormat="1" x14ac:dyDescent="0.25"/>
    <row r="21528" s="12" customFormat="1" x14ac:dyDescent="0.25"/>
    <row r="21529" s="12" customFormat="1" x14ac:dyDescent="0.25"/>
    <row r="21530" s="12" customFormat="1" x14ac:dyDescent="0.25"/>
    <row r="21531" s="12" customFormat="1" x14ac:dyDescent="0.25"/>
    <row r="21532" s="12" customFormat="1" x14ac:dyDescent="0.25"/>
    <row r="21533" s="12" customFormat="1" x14ac:dyDescent="0.25"/>
    <row r="21534" s="12" customFormat="1" x14ac:dyDescent="0.25"/>
    <row r="21535" s="12" customFormat="1" x14ac:dyDescent="0.25"/>
    <row r="21536" s="12" customFormat="1" x14ac:dyDescent="0.25"/>
    <row r="21537" s="12" customFormat="1" x14ac:dyDescent="0.25"/>
    <row r="21538" s="12" customFormat="1" x14ac:dyDescent="0.25"/>
    <row r="21539" s="12" customFormat="1" x14ac:dyDescent="0.25"/>
    <row r="21540" s="12" customFormat="1" x14ac:dyDescent="0.25"/>
    <row r="21541" s="12" customFormat="1" x14ac:dyDescent="0.25"/>
    <row r="21542" s="12" customFormat="1" x14ac:dyDescent="0.25"/>
    <row r="21543" s="12" customFormat="1" x14ac:dyDescent="0.25"/>
    <row r="21544" s="12" customFormat="1" x14ac:dyDescent="0.25"/>
    <row r="21545" s="12" customFormat="1" x14ac:dyDescent="0.25"/>
    <row r="21546" s="12" customFormat="1" x14ac:dyDescent="0.25"/>
    <row r="21547" s="12" customFormat="1" x14ac:dyDescent="0.25"/>
    <row r="21548" s="12" customFormat="1" x14ac:dyDescent="0.25"/>
    <row r="21549" s="12" customFormat="1" x14ac:dyDescent="0.25"/>
    <row r="21550" s="12" customFormat="1" x14ac:dyDescent="0.25"/>
    <row r="21551" s="12" customFormat="1" x14ac:dyDescent="0.25"/>
    <row r="21552" s="12" customFormat="1" x14ac:dyDescent="0.25"/>
    <row r="21553" s="12" customFormat="1" x14ac:dyDescent="0.25"/>
    <row r="21554" s="12" customFormat="1" x14ac:dyDescent="0.25"/>
    <row r="21555" s="12" customFormat="1" x14ac:dyDescent="0.25"/>
    <row r="21556" s="12" customFormat="1" x14ac:dyDescent="0.25"/>
    <row r="21557" s="12" customFormat="1" x14ac:dyDescent="0.25"/>
    <row r="21558" s="12" customFormat="1" x14ac:dyDescent="0.25"/>
    <row r="21559" s="12" customFormat="1" x14ac:dyDescent="0.25"/>
    <row r="21560" s="12" customFormat="1" x14ac:dyDescent="0.25"/>
    <row r="21561" s="12" customFormat="1" x14ac:dyDescent="0.25"/>
    <row r="21562" s="12" customFormat="1" x14ac:dyDescent="0.25"/>
    <row r="21563" s="12" customFormat="1" x14ac:dyDescent="0.25"/>
    <row r="21564" s="12" customFormat="1" x14ac:dyDescent="0.25"/>
    <row r="21565" s="12" customFormat="1" x14ac:dyDescent="0.25"/>
    <row r="21566" s="12" customFormat="1" x14ac:dyDescent="0.25"/>
    <row r="21567" s="12" customFormat="1" x14ac:dyDescent="0.25"/>
    <row r="21568" s="12" customFormat="1" x14ac:dyDescent="0.25"/>
    <row r="21569" s="12" customFormat="1" x14ac:dyDescent="0.25"/>
    <row r="21570" s="12" customFormat="1" x14ac:dyDescent="0.25"/>
    <row r="21571" s="12" customFormat="1" x14ac:dyDescent="0.25"/>
    <row r="21572" s="12" customFormat="1" x14ac:dyDescent="0.25"/>
    <row r="21573" s="12" customFormat="1" x14ac:dyDescent="0.25"/>
    <row r="21574" s="12" customFormat="1" x14ac:dyDescent="0.25"/>
    <row r="21575" s="12" customFormat="1" x14ac:dyDescent="0.25"/>
    <row r="21576" s="12" customFormat="1" x14ac:dyDescent="0.25"/>
    <row r="21577" s="12" customFormat="1" x14ac:dyDescent="0.25"/>
    <row r="21578" s="12" customFormat="1" x14ac:dyDescent="0.25"/>
    <row r="21579" s="12" customFormat="1" x14ac:dyDescent="0.25"/>
    <row r="21580" s="12" customFormat="1" x14ac:dyDescent="0.25"/>
    <row r="21581" s="12" customFormat="1" x14ac:dyDescent="0.25"/>
    <row r="21582" s="12" customFormat="1" x14ac:dyDescent="0.25"/>
    <row r="21583" s="12" customFormat="1" x14ac:dyDescent="0.25"/>
    <row r="21584" s="12" customFormat="1" x14ac:dyDescent="0.25"/>
    <row r="21585" s="12" customFormat="1" x14ac:dyDescent="0.25"/>
    <row r="21586" s="12" customFormat="1" x14ac:dyDescent="0.25"/>
    <row r="21587" s="12" customFormat="1" x14ac:dyDescent="0.25"/>
    <row r="21588" s="12" customFormat="1" x14ac:dyDescent="0.25"/>
    <row r="21589" s="12" customFormat="1" x14ac:dyDescent="0.25"/>
    <row r="21590" s="12" customFormat="1" x14ac:dyDescent="0.25"/>
    <row r="21591" s="12" customFormat="1" x14ac:dyDescent="0.25"/>
    <row r="21592" s="12" customFormat="1" x14ac:dyDescent="0.25"/>
    <row r="21593" s="12" customFormat="1" x14ac:dyDescent="0.25"/>
    <row r="21594" s="12" customFormat="1" x14ac:dyDescent="0.25"/>
    <row r="21595" s="12" customFormat="1" x14ac:dyDescent="0.25"/>
    <row r="21596" s="12" customFormat="1" x14ac:dyDescent="0.25"/>
    <row r="21597" s="12" customFormat="1" x14ac:dyDescent="0.25"/>
    <row r="21598" s="12" customFormat="1" x14ac:dyDescent="0.25"/>
    <row r="21599" s="12" customFormat="1" x14ac:dyDescent="0.25"/>
    <row r="21600" s="12" customFormat="1" x14ac:dyDescent="0.25"/>
    <row r="21601" s="12" customFormat="1" x14ac:dyDescent="0.25"/>
    <row r="21602" s="12" customFormat="1" x14ac:dyDescent="0.25"/>
    <row r="21603" s="12" customFormat="1" x14ac:dyDescent="0.25"/>
    <row r="21604" s="12" customFormat="1" x14ac:dyDescent="0.25"/>
    <row r="21605" s="12" customFormat="1" x14ac:dyDescent="0.25"/>
    <row r="21606" s="12" customFormat="1" x14ac:dyDescent="0.25"/>
    <row r="21607" s="12" customFormat="1" x14ac:dyDescent="0.25"/>
    <row r="21608" s="12" customFormat="1" x14ac:dyDescent="0.25"/>
    <row r="21609" s="12" customFormat="1" x14ac:dyDescent="0.25"/>
    <row r="21610" s="12" customFormat="1" x14ac:dyDescent="0.25"/>
    <row r="21611" s="12" customFormat="1" x14ac:dyDescent="0.25"/>
    <row r="21612" s="12" customFormat="1" x14ac:dyDescent="0.25"/>
    <row r="21613" s="12" customFormat="1" x14ac:dyDescent="0.25"/>
    <row r="21614" s="12" customFormat="1" x14ac:dyDescent="0.25"/>
    <row r="21615" s="12" customFormat="1" x14ac:dyDescent="0.25"/>
    <row r="21616" s="12" customFormat="1" x14ac:dyDescent="0.25"/>
    <row r="21617" s="12" customFormat="1" x14ac:dyDescent="0.25"/>
    <row r="21618" s="12" customFormat="1" x14ac:dyDescent="0.25"/>
    <row r="21619" s="12" customFormat="1" x14ac:dyDescent="0.25"/>
    <row r="21620" s="12" customFormat="1" x14ac:dyDescent="0.25"/>
    <row r="21621" s="12" customFormat="1" x14ac:dyDescent="0.25"/>
    <row r="21622" s="12" customFormat="1" x14ac:dyDescent="0.25"/>
    <row r="21623" s="12" customFormat="1" x14ac:dyDescent="0.25"/>
    <row r="21624" s="12" customFormat="1" x14ac:dyDescent="0.25"/>
    <row r="21625" s="12" customFormat="1" x14ac:dyDescent="0.25"/>
    <row r="21626" s="12" customFormat="1" x14ac:dyDescent="0.25"/>
    <row r="21627" s="12" customFormat="1" x14ac:dyDescent="0.25"/>
    <row r="21628" s="12" customFormat="1" x14ac:dyDescent="0.25"/>
    <row r="21629" s="12" customFormat="1" x14ac:dyDescent="0.25"/>
    <row r="21630" s="12" customFormat="1" x14ac:dyDescent="0.25"/>
    <row r="21631" s="12" customFormat="1" x14ac:dyDescent="0.25"/>
    <row r="21632" s="12" customFormat="1" x14ac:dyDescent="0.25"/>
    <row r="21633" s="12" customFormat="1" x14ac:dyDescent="0.25"/>
    <row r="21634" s="12" customFormat="1" x14ac:dyDescent="0.25"/>
    <row r="21635" s="12" customFormat="1" x14ac:dyDescent="0.25"/>
    <row r="21636" s="12" customFormat="1" x14ac:dyDescent="0.25"/>
    <row r="21637" s="12" customFormat="1" x14ac:dyDescent="0.25"/>
    <row r="21638" s="12" customFormat="1" x14ac:dyDescent="0.25"/>
    <row r="21639" s="12" customFormat="1" x14ac:dyDescent="0.25"/>
    <row r="21640" s="12" customFormat="1" x14ac:dyDescent="0.25"/>
    <row r="21641" s="12" customFormat="1" x14ac:dyDescent="0.25"/>
    <row r="21642" s="12" customFormat="1" x14ac:dyDescent="0.25"/>
    <row r="21643" s="12" customFormat="1" x14ac:dyDescent="0.25"/>
    <row r="21644" s="12" customFormat="1" x14ac:dyDescent="0.25"/>
    <row r="21645" s="12" customFormat="1" x14ac:dyDescent="0.25"/>
    <row r="21646" s="12" customFormat="1" x14ac:dyDescent="0.25"/>
    <row r="21647" s="12" customFormat="1" x14ac:dyDescent="0.25"/>
    <row r="21648" s="12" customFormat="1" x14ac:dyDescent="0.25"/>
    <row r="21649" s="12" customFormat="1" x14ac:dyDescent="0.25"/>
    <row r="21650" s="12" customFormat="1" x14ac:dyDescent="0.25"/>
    <row r="21651" s="12" customFormat="1" x14ac:dyDescent="0.25"/>
    <row r="21652" s="12" customFormat="1" x14ac:dyDescent="0.25"/>
    <row r="21653" s="12" customFormat="1" x14ac:dyDescent="0.25"/>
    <row r="21654" s="12" customFormat="1" x14ac:dyDescent="0.25"/>
    <row r="21655" s="12" customFormat="1" x14ac:dyDescent="0.25"/>
    <row r="21656" s="12" customFormat="1" x14ac:dyDescent="0.25"/>
    <row r="21657" s="12" customFormat="1" x14ac:dyDescent="0.25"/>
    <row r="21658" s="12" customFormat="1" x14ac:dyDescent="0.25"/>
    <row r="21659" s="12" customFormat="1" x14ac:dyDescent="0.25"/>
    <row r="21660" s="12" customFormat="1" x14ac:dyDescent="0.25"/>
    <row r="21661" s="12" customFormat="1" x14ac:dyDescent="0.25"/>
    <row r="21662" s="12" customFormat="1" x14ac:dyDescent="0.25"/>
    <row r="21663" s="12" customFormat="1" x14ac:dyDescent="0.25"/>
    <row r="21664" s="12" customFormat="1" x14ac:dyDescent="0.25"/>
    <row r="21665" s="12" customFormat="1" x14ac:dyDescent="0.25"/>
    <row r="21666" s="12" customFormat="1" x14ac:dyDescent="0.25"/>
    <row r="21667" s="12" customFormat="1" x14ac:dyDescent="0.25"/>
    <row r="21668" s="12" customFormat="1" x14ac:dyDescent="0.25"/>
    <row r="21669" s="12" customFormat="1" x14ac:dyDescent="0.25"/>
    <row r="21670" s="12" customFormat="1" x14ac:dyDescent="0.25"/>
    <row r="21671" s="12" customFormat="1" x14ac:dyDescent="0.25"/>
    <row r="21672" s="12" customFormat="1" x14ac:dyDescent="0.25"/>
    <row r="21673" s="12" customFormat="1" x14ac:dyDescent="0.25"/>
    <row r="21674" s="12" customFormat="1" x14ac:dyDescent="0.25"/>
    <row r="21675" s="12" customFormat="1" x14ac:dyDescent="0.25"/>
    <row r="21676" s="12" customFormat="1" x14ac:dyDescent="0.25"/>
    <row r="21677" s="12" customFormat="1" x14ac:dyDescent="0.25"/>
    <row r="21678" s="12" customFormat="1" x14ac:dyDescent="0.25"/>
    <row r="21679" s="12" customFormat="1" x14ac:dyDescent="0.25"/>
    <row r="21680" s="12" customFormat="1" x14ac:dyDescent="0.25"/>
    <row r="21681" s="12" customFormat="1" x14ac:dyDescent="0.25"/>
    <row r="21682" s="12" customFormat="1" x14ac:dyDescent="0.25"/>
    <row r="21683" s="12" customFormat="1" x14ac:dyDescent="0.25"/>
    <row r="21684" s="12" customFormat="1" x14ac:dyDescent="0.25"/>
    <row r="21685" s="12" customFormat="1" x14ac:dyDescent="0.25"/>
    <row r="21686" s="12" customFormat="1" x14ac:dyDescent="0.25"/>
    <row r="21687" s="12" customFormat="1" x14ac:dyDescent="0.25"/>
    <row r="21688" s="12" customFormat="1" x14ac:dyDescent="0.25"/>
    <row r="21689" s="12" customFormat="1" x14ac:dyDescent="0.25"/>
    <row r="21690" s="12" customFormat="1" x14ac:dyDescent="0.25"/>
    <row r="21691" s="12" customFormat="1" x14ac:dyDescent="0.25"/>
    <row r="21692" s="12" customFormat="1" x14ac:dyDescent="0.25"/>
    <row r="21693" s="12" customFormat="1" x14ac:dyDescent="0.25"/>
    <row r="21694" s="12" customFormat="1" x14ac:dyDescent="0.25"/>
    <row r="21695" s="12" customFormat="1" x14ac:dyDescent="0.25"/>
    <row r="21696" s="12" customFormat="1" x14ac:dyDescent="0.25"/>
    <row r="21697" s="12" customFormat="1" x14ac:dyDescent="0.25"/>
    <row r="21698" s="12" customFormat="1" x14ac:dyDescent="0.25"/>
    <row r="21699" s="12" customFormat="1" x14ac:dyDescent="0.25"/>
    <row r="21700" s="12" customFormat="1" x14ac:dyDescent="0.25"/>
    <row r="21701" s="12" customFormat="1" x14ac:dyDescent="0.25"/>
    <row r="21702" s="12" customFormat="1" x14ac:dyDescent="0.25"/>
    <row r="21703" s="12" customFormat="1" x14ac:dyDescent="0.25"/>
    <row r="21704" s="12" customFormat="1" x14ac:dyDescent="0.25"/>
    <row r="21705" s="12" customFormat="1" x14ac:dyDescent="0.25"/>
    <row r="21706" s="12" customFormat="1" x14ac:dyDescent="0.25"/>
    <row r="21707" s="12" customFormat="1" x14ac:dyDescent="0.25"/>
    <row r="21708" s="12" customFormat="1" x14ac:dyDescent="0.25"/>
    <row r="21709" s="12" customFormat="1" x14ac:dyDescent="0.25"/>
    <row r="21710" s="12" customFormat="1" x14ac:dyDescent="0.25"/>
    <row r="21711" s="12" customFormat="1" x14ac:dyDescent="0.25"/>
    <row r="21712" s="12" customFormat="1" x14ac:dyDescent="0.25"/>
    <row r="21713" s="12" customFormat="1" x14ac:dyDescent="0.25"/>
    <row r="21714" s="12" customFormat="1" x14ac:dyDescent="0.25"/>
    <row r="21715" s="12" customFormat="1" x14ac:dyDescent="0.25"/>
    <row r="21716" s="12" customFormat="1" x14ac:dyDescent="0.25"/>
    <row r="21717" s="12" customFormat="1" x14ac:dyDescent="0.25"/>
    <row r="21718" s="12" customFormat="1" x14ac:dyDescent="0.25"/>
    <row r="21719" s="12" customFormat="1" x14ac:dyDescent="0.25"/>
    <row r="21720" s="12" customFormat="1" x14ac:dyDescent="0.25"/>
    <row r="21721" s="12" customFormat="1" x14ac:dyDescent="0.25"/>
    <row r="21722" s="12" customFormat="1" x14ac:dyDescent="0.25"/>
    <row r="21723" s="12" customFormat="1" x14ac:dyDescent="0.25"/>
    <row r="21724" s="12" customFormat="1" x14ac:dyDescent="0.25"/>
    <row r="21725" s="12" customFormat="1" x14ac:dyDescent="0.25"/>
    <row r="21726" s="12" customFormat="1" x14ac:dyDescent="0.25"/>
    <row r="21727" s="12" customFormat="1" x14ac:dyDescent="0.25"/>
    <row r="21728" s="12" customFormat="1" x14ac:dyDescent="0.25"/>
    <row r="21729" s="12" customFormat="1" x14ac:dyDescent="0.25"/>
    <row r="21730" s="12" customFormat="1" x14ac:dyDescent="0.25"/>
    <row r="21731" s="12" customFormat="1" x14ac:dyDescent="0.25"/>
    <row r="21732" s="12" customFormat="1" x14ac:dyDescent="0.25"/>
    <row r="21733" s="12" customFormat="1" x14ac:dyDescent="0.25"/>
    <row r="21734" s="12" customFormat="1" x14ac:dyDescent="0.25"/>
    <row r="21735" s="12" customFormat="1" x14ac:dyDescent="0.25"/>
    <row r="21736" s="12" customFormat="1" x14ac:dyDescent="0.25"/>
    <row r="21737" s="12" customFormat="1" x14ac:dyDescent="0.25"/>
    <row r="21738" s="12" customFormat="1" x14ac:dyDescent="0.25"/>
    <row r="21739" s="12" customFormat="1" x14ac:dyDescent="0.25"/>
    <row r="21740" s="12" customFormat="1" x14ac:dyDescent="0.25"/>
    <row r="21741" s="12" customFormat="1" x14ac:dyDescent="0.25"/>
    <row r="21742" s="12" customFormat="1" x14ac:dyDescent="0.25"/>
    <row r="21743" s="12" customFormat="1" x14ac:dyDescent="0.25"/>
    <row r="21744" s="12" customFormat="1" x14ac:dyDescent="0.25"/>
    <row r="21745" s="12" customFormat="1" x14ac:dyDescent="0.25"/>
    <row r="21746" s="12" customFormat="1" x14ac:dyDescent="0.25"/>
    <row r="21747" s="12" customFormat="1" x14ac:dyDescent="0.25"/>
    <row r="21748" s="12" customFormat="1" x14ac:dyDescent="0.25"/>
    <row r="21749" s="12" customFormat="1" x14ac:dyDescent="0.25"/>
    <row r="21750" s="12" customFormat="1" x14ac:dyDescent="0.25"/>
    <row r="21751" s="12" customFormat="1" x14ac:dyDescent="0.25"/>
    <row r="21752" s="12" customFormat="1" x14ac:dyDescent="0.25"/>
    <row r="21753" s="12" customFormat="1" x14ac:dyDescent="0.25"/>
    <row r="21754" s="12" customFormat="1" x14ac:dyDescent="0.25"/>
    <row r="21755" s="12" customFormat="1" x14ac:dyDescent="0.25"/>
    <row r="21756" s="12" customFormat="1" x14ac:dyDescent="0.25"/>
    <row r="21757" s="12" customFormat="1" x14ac:dyDescent="0.25"/>
    <row r="21758" s="12" customFormat="1" x14ac:dyDescent="0.25"/>
    <row r="21759" s="12" customFormat="1" x14ac:dyDescent="0.25"/>
    <row r="21760" s="12" customFormat="1" x14ac:dyDescent="0.25"/>
    <row r="21761" s="12" customFormat="1" x14ac:dyDescent="0.25"/>
    <row r="21762" s="12" customFormat="1" x14ac:dyDescent="0.25"/>
    <row r="21763" s="12" customFormat="1" x14ac:dyDescent="0.25"/>
    <row r="21764" s="12" customFormat="1" x14ac:dyDescent="0.25"/>
    <row r="21765" s="12" customFormat="1" x14ac:dyDescent="0.25"/>
    <row r="21766" s="12" customFormat="1" x14ac:dyDescent="0.25"/>
    <row r="21767" s="12" customFormat="1" x14ac:dyDescent="0.25"/>
    <row r="21768" s="12" customFormat="1" x14ac:dyDescent="0.25"/>
    <row r="21769" s="12" customFormat="1" x14ac:dyDescent="0.25"/>
    <row r="21770" s="12" customFormat="1" x14ac:dyDescent="0.25"/>
    <row r="21771" s="12" customFormat="1" x14ac:dyDescent="0.25"/>
    <row r="21772" s="12" customFormat="1" x14ac:dyDescent="0.25"/>
    <row r="21773" s="12" customFormat="1" x14ac:dyDescent="0.25"/>
    <row r="21774" s="12" customFormat="1" x14ac:dyDescent="0.25"/>
    <row r="21775" s="12" customFormat="1" x14ac:dyDescent="0.25"/>
    <row r="21776" s="12" customFormat="1" x14ac:dyDescent="0.25"/>
    <row r="21777" s="12" customFormat="1" x14ac:dyDescent="0.25"/>
    <row r="21778" s="12" customFormat="1" x14ac:dyDescent="0.25"/>
    <row r="21779" s="12" customFormat="1" x14ac:dyDescent="0.25"/>
    <row r="21780" s="12" customFormat="1" x14ac:dyDescent="0.25"/>
    <row r="21781" s="12" customFormat="1" x14ac:dyDescent="0.25"/>
    <row r="21782" s="12" customFormat="1" x14ac:dyDescent="0.25"/>
    <row r="21783" s="12" customFormat="1" x14ac:dyDescent="0.25"/>
    <row r="21784" s="12" customFormat="1" x14ac:dyDescent="0.25"/>
    <row r="21785" s="12" customFormat="1" x14ac:dyDescent="0.25"/>
    <row r="21786" s="12" customFormat="1" x14ac:dyDescent="0.25"/>
    <row r="21787" s="12" customFormat="1" x14ac:dyDescent="0.25"/>
    <row r="21788" s="12" customFormat="1" x14ac:dyDescent="0.25"/>
    <row r="21789" s="12" customFormat="1" x14ac:dyDescent="0.25"/>
    <row r="21790" s="12" customFormat="1" x14ac:dyDescent="0.25"/>
    <row r="21791" s="12" customFormat="1" x14ac:dyDescent="0.25"/>
    <row r="21792" s="12" customFormat="1" x14ac:dyDescent="0.25"/>
    <row r="21793" s="12" customFormat="1" x14ac:dyDescent="0.25"/>
    <row r="21794" s="12" customFormat="1" x14ac:dyDescent="0.25"/>
    <row r="21795" s="12" customFormat="1" x14ac:dyDescent="0.25"/>
    <row r="21796" s="12" customFormat="1" x14ac:dyDescent="0.25"/>
    <row r="21797" s="12" customFormat="1" x14ac:dyDescent="0.25"/>
    <row r="21798" s="12" customFormat="1" x14ac:dyDescent="0.25"/>
    <row r="21799" s="12" customFormat="1" x14ac:dyDescent="0.25"/>
    <row r="21800" s="12" customFormat="1" x14ac:dyDescent="0.25"/>
    <row r="21801" s="12" customFormat="1" x14ac:dyDescent="0.25"/>
    <row r="21802" s="12" customFormat="1" x14ac:dyDescent="0.25"/>
    <row r="21803" s="12" customFormat="1" x14ac:dyDescent="0.25"/>
    <row r="21804" s="12" customFormat="1" x14ac:dyDescent="0.25"/>
    <row r="21805" s="12" customFormat="1" x14ac:dyDescent="0.25"/>
    <row r="21806" s="12" customFormat="1" x14ac:dyDescent="0.25"/>
    <row r="21807" s="12" customFormat="1" x14ac:dyDescent="0.25"/>
    <row r="21808" s="12" customFormat="1" x14ac:dyDescent="0.25"/>
    <row r="21809" s="12" customFormat="1" x14ac:dyDescent="0.25"/>
    <row r="21810" s="12" customFormat="1" x14ac:dyDescent="0.25"/>
    <row r="21811" s="12" customFormat="1" x14ac:dyDescent="0.25"/>
    <row r="21812" s="12" customFormat="1" x14ac:dyDescent="0.25"/>
    <row r="21813" s="12" customFormat="1" x14ac:dyDescent="0.25"/>
    <row r="21814" s="12" customFormat="1" x14ac:dyDescent="0.25"/>
    <row r="21815" s="12" customFormat="1" x14ac:dyDescent="0.25"/>
    <row r="21816" s="12" customFormat="1" x14ac:dyDescent="0.25"/>
    <row r="21817" s="12" customFormat="1" x14ac:dyDescent="0.25"/>
    <row r="21818" s="12" customFormat="1" x14ac:dyDescent="0.25"/>
    <row r="21819" s="12" customFormat="1" x14ac:dyDescent="0.25"/>
    <row r="21820" s="12" customFormat="1" x14ac:dyDescent="0.25"/>
    <row r="21821" s="12" customFormat="1" x14ac:dyDescent="0.25"/>
    <row r="21822" s="12" customFormat="1" x14ac:dyDescent="0.25"/>
    <row r="21823" s="12" customFormat="1" x14ac:dyDescent="0.25"/>
    <row r="21824" s="12" customFormat="1" x14ac:dyDescent="0.25"/>
    <row r="21825" s="12" customFormat="1" x14ac:dyDescent="0.25"/>
    <row r="21826" s="12" customFormat="1" x14ac:dyDescent="0.25"/>
    <row r="21827" s="12" customFormat="1" x14ac:dyDescent="0.25"/>
    <row r="21828" s="12" customFormat="1" x14ac:dyDescent="0.25"/>
    <row r="21829" s="12" customFormat="1" x14ac:dyDescent="0.25"/>
    <row r="21830" s="12" customFormat="1" x14ac:dyDescent="0.25"/>
    <row r="21831" s="12" customFormat="1" x14ac:dyDescent="0.25"/>
    <row r="21832" s="12" customFormat="1" x14ac:dyDescent="0.25"/>
    <row r="21833" s="12" customFormat="1" x14ac:dyDescent="0.25"/>
    <row r="21834" s="12" customFormat="1" x14ac:dyDescent="0.25"/>
    <row r="21835" s="12" customFormat="1" x14ac:dyDescent="0.25"/>
    <row r="21836" s="12" customFormat="1" x14ac:dyDescent="0.25"/>
    <row r="21837" s="12" customFormat="1" x14ac:dyDescent="0.25"/>
    <row r="21838" s="12" customFormat="1" x14ac:dyDescent="0.25"/>
    <row r="21839" s="12" customFormat="1" x14ac:dyDescent="0.25"/>
    <row r="21840" s="12" customFormat="1" x14ac:dyDescent="0.25"/>
    <row r="21841" s="12" customFormat="1" x14ac:dyDescent="0.25"/>
    <row r="21842" s="12" customFormat="1" x14ac:dyDescent="0.25"/>
    <row r="21843" s="12" customFormat="1" x14ac:dyDescent="0.25"/>
    <row r="21844" s="12" customFormat="1" x14ac:dyDescent="0.25"/>
    <row r="21845" s="12" customFormat="1" x14ac:dyDescent="0.25"/>
    <row r="21846" s="12" customFormat="1" x14ac:dyDescent="0.25"/>
    <row r="21847" s="12" customFormat="1" x14ac:dyDescent="0.25"/>
    <row r="21848" s="12" customFormat="1" x14ac:dyDescent="0.25"/>
    <row r="21849" s="12" customFormat="1" x14ac:dyDescent="0.25"/>
    <row r="21850" s="12" customFormat="1" x14ac:dyDescent="0.25"/>
    <row r="21851" s="12" customFormat="1" x14ac:dyDescent="0.25"/>
    <row r="21852" s="12" customFormat="1" x14ac:dyDescent="0.25"/>
    <row r="21853" s="12" customFormat="1" x14ac:dyDescent="0.25"/>
    <row r="21854" s="12" customFormat="1" x14ac:dyDescent="0.25"/>
    <row r="21855" s="12" customFormat="1" x14ac:dyDescent="0.25"/>
    <row r="21856" s="12" customFormat="1" x14ac:dyDescent="0.25"/>
    <row r="21857" s="12" customFormat="1" x14ac:dyDescent="0.25"/>
    <row r="21858" s="12" customFormat="1" x14ac:dyDescent="0.25"/>
    <row r="21859" s="12" customFormat="1" x14ac:dyDescent="0.25"/>
    <row r="21860" s="12" customFormat="1" x14ac:dyDescent="0.25"/>
    <row r="21861" s="12" customFormat="1" x14ac:dyDescent="0.25"/>
    <row r="21862" s="12" customFormat="1" x14ac:dyDescent="0.25"/>
    <row r="21863" s="12" customFormat="1" x14ac:dyDescent="0.25"/>
    <row r="21864" s="12" customFormat="1" x14ac:dyDescent="0.25"/>
    <row r="21865" s="12" customFormat="1" x14ac:dyDescent="0.25"/>
    <row r="21866" s="12" customFormat="1" x14ac:dyDescent="0.25"/>
    <row r="21867" s="12" customFormat="1" x14ac:dyDescent="0.25"/>
    <row r="21868" s="12" customFormat="1" x14ac:dyDescent="0.25"/>
    <row r="21869" s="12" customFormat="1" x14ac:dyDescent="0.25"/>
    <row r="21870" s="12" customFormat="1" x14ac:dyDescent="0.25"/>
    <row r="21871" s="12" customFormat="1" x14ac:dyDescent="0.25"/>
    <row r="21872" s="12" customFormat="1" x14ac:dyDescent="0.25"/>
    <row r="21873" s="12" customFormat="1" x14ac:dyDescent="0.25"/>
    <row r="21874" s="12" customFormat="1" x14ac:dyDescent="0.25"/>
    <row r="21875" s="12" customFormat="1" x14ac:dyDescent="0.25"/>
    <row r="21876" s="12" customFormat="1" x14ac:dyDescent="0.25"/>
    <row r="21877" s="12" customFormat="1" x14ac:dyDescent="0.25"/>
    <row r="21878" s="12" customFormat="1" x14ac:dyDescent="0.25"/>
    <row r="21879" s="12" customFormat="1" x14ac:dyDescent="0.25"/>
    <row r="21880" s="12" customFormat="1" x14ac:dyDescent="0.25"/>
    <row r="21881" s="12" customFormat="1" x14ac:dyDescent="0.25"/>
    <row r="21882" s="12" customFormat="1" x14ac:dyDescent="0.25"/>
    <row r="21883" s="12" customFormat="1" x14ac:dyDescent="0.25"/>
    <row r="21884" s="12" customFormat="1" x14ac:dyDescent="0.25"/>
    <row r="21885" s="12" customFormat="1" x14ac:dyDescent="0.25"/>
    <row r="21886" s="12" customFormat="1" x14ac:dyDescent="0.25"/>
    <row r="21887" s="12" customFormat="1" x14ac:dyDescent="0.25"/>
    <row r="21888" s="12" customFormat="1" x14ac:dyDescent="0.25"/>
    <row r="21889" s="12" customFormat="1" x14ac:dyDescent="0.25"/>
    <row r="21890" s="12" customFormat="1" x14ac:dyDescent="0.25"/>
    <row r="21891" s="12" customFormat="1" x14ac:dyDescent="0.25"/>
    <row r="21892" s="12" customFormat="1" x14ac:dyDescent="0.25"/>
    <row r="21893" s="12" customFormat="1" x14ac:dyDescent="0.25"/>
    <row r="21894" s="12" customFormat="1" x14ac:dyDescent="0.25"/>
    <row r="21895" s="12" customFormat="1" x14ac:dyDescent="0.25"/>
    <row r="21896" s="12" customFormat="1" x14ac:dyDescent="0.25"/>
    <row r="21897" s="12" customFormat="1" x14ac:dyDescent="0.25"/>
    <row r="21898" s="12" customFormat="1" x14ac:dyDescent="0.25"/>
    <row r="21899" s="12" customFormat="1" x14ac:dyDescent="0.25"/>
    <row r="21900" s="12" customFormat="1" x14ac:dyDescent="0.25"/>
    <row r="21901" s="12" customFormat="1" x14ac:dyDescent="0.25"/>
    <row r="21902" s="12" customFormat="1" x14ac:dyDescent="0.25"/>
    <row r="21903" s="12" customFormat="1" x14ac:dyDescent="0.25"/>
    <row r="21904" s="12" customFormat="1" x14ac:dyDescent="0.25"/>
    <row r="21905" s="12" customFormat="1" x14ac:dyDescent="0.25"/>
    <row r="21906" s="12" customFormat="1" x14ac:dyDescent="0.25"/>
    <row r="21907" s="12" customFormat="1" x14ac:dyDescent="0.25"/>
    <row r="21908" s="12" customFormat="1" x14ac:dyDescent="0.25"/>
    <row r="21909" s="12" customFormat="1" x14ac:dyDescent="0.25"/>
    <row r="21910" s="12" customFormat="1" x14ac:dyDescent="0.25"/>
    <row r="21911" s="12" customFormat="1" x14ac:dyDescent="0.25"/>
    <row r="21912" s="12" customFormat="1" x14ac:dyDescent="0.25"/>
    <row r="21913" s="12" customFormat="1" x14ac:dyDescent="0.25"/>
    <row r="21914" s="12" customFormat="1" x14ac:dyDescent="0.25"/>
    <row r="21915" s="12" customFormat="1" x14ac:dyDescent="0.25"/>
    <row r="21916" s="12" customFormat="1" x14ac:dyDescent="0.25"/>
    <row r="21917" s="12" customFormat="1" x14ac:dyDescent="0.25"/>
    <row r="21918" s="12" customFormat="1" x14ac:dyDescent="0.25"/>
    <row r="21919" s="12" customFormat="1" x14ac:dyDescent="0.25"/>
    <row r="21920" s="12" customFormat="1" x14ac:dyDescent="0.25"/>
    <row r="21921" s="12" customFormat="1" x14ac:dyDescent="0.25"/>
    <row r="21922" s="12" customFormat="1" x14ac:dyDescent="0.25"/>
    <row r="21923" s="12" customFormat="1" x14ac:dyDescent="0.25"/>
    <row r="21924" s="12" customFormat="1" x14ac:dyDescent="0.25"/>
    <row r="21925" s="12" customFormat="1" x14ac:dyDescent="0.25"/>
    <row r="21926" s="12" customFormat="1" x14ac:dyDescent="0.25"/>
    <row r="21927" s="12" customFormat="1" x14ac:dyDescent="0.25"/>
    <row r="21928" s="12" customFormat="1" x14ac:dyDescent="0.25"/>
    <row r="21929" s="12" customFormat="1" x14ac:dyDescent="0.25"/>
    <row r="21930" s="12" customFormat="1" x14ac:dyDescent="0.25"/>
    <row r="21931" s="12" customFormat="1" x14ac:dyDescent="0.25"/>
    <row r="21932" s="12" customFormat="1" x14ac:dyDescent="0.25"/>
    <row r="21933" s="12" customFormat="1" x14ac:dyDescent="0.25"/>
    <row r="21934" s="12" customFormat="1" x14ac:dyDescent="0.25"/>
    <row r="21935" s="12" customFormat="1" x14ac:dyDescent="0.25"/>
    <row r="21936" s="12" customFormat="1" x14ac:dyDescent="0.25"/>
    <row r="21937" s="12" customFormat="1" x14ac:dyDescent="0.25"/>
    <row r="21938" s="12" customFormat="1" x14ac:dyDescent="0.25"/>
    <row r="21939" s="12" customFormat="1" x14ac:dyDescent="0.25"/>
    <row r="21940" s="12" customFormat="1" x14ac:dyDescent="0.25"/>
    <row r="21941" s="12" customFormat="1" x14ac:dyDescent="0.25"/>
    <row r="21942" s="12" customFormat="1" x14ac:dyDescent="0.25"/>
    <row r="21943" s="12" customFormat="1" x14ac:dyDescent="0.25"/>
    <row r="21944" s="12" customFormat="1" x14ac:dyDescent="0.25"/>
    <row r="21945" s="12" customFormat="1" x14ac:dyDescent="0.25"/>
    <row r="21946" s="12" customFormat="1" x14ac:dyDescent="0.25"/>
    <row r="21947" s="12" customFormat="1" x14ac:dyDescent="0.25"/>
    <row r="21948" s="12" customFormat="1" x14ac:dyDescent="0.25"/>
    <row r="21949" s="12" customFormat="1" x14ac:dyDescent="0.25"/>
    <row r="21950" s="12" customFormat="1" x14ac:dyDescent="0.25"/>
    <row r="21951" s="12" customFormat="1" x14ac:dyDescent="0.25"/>
    <row r="21952" s="12" customFormat="1" x14ac:dyDescent="0.25"/>
    <row r="21953" s="12" customFormat="1" x14ac:dyDescent="0.25"/>
    <row r="21954" s="12" customFormat="1" x14ac:dyDescent="0.25"/>
    <row r="21955" s="12" customFormat="1" x14ac:dyDescent="0.25"/>
    <row r="21956" s="12" customFormat="1" x14ac:dyDescent="0.25"/>
    <row r="21957" s="12" customFormat="1" x14ac:dyDescent="0.25"/>
    <row r="21958" s="12" customFormat="1" x14ac:dyDescent="0.25"/>
    <row r="21959" s="12" customFormat="1" x14ac:dyDescent="0.25"/>
    <row r="21960" s="12" customFormat="1" x14ac:dyDescent="0.25"/>
    <row r="21961" s="12" customFormat="1" x14ac:dyDescent="0.25"/>
    <row r="21962" s="12" customFormat="1" x14ac:dyDescent="0.25"/>
    <row r="21963" s="12" customFormat="1" x14ac:dyDescent="0.25"/>
    <row r="21964" s="12" customFormat="1" x14ac:dyDescent="0.25"/>
    <row r="21965" s="12" customFormat="1" x14ac:dyDescent="0.25"/>
    <row r="21966" s="12" customFormat="1" x14ac:dyDescent="0.25"/>
    <row r="21967" s="12" customFormat="1" x14ac:dyDescent="0.25"/>
    <row r="21968" s="12" customFormat="1" x14ac:dyDescent="0.25"/>
    <row r="21969" s="12" customFormat="1" x14ac:dyDescent="0.25"/>
    <row r="21970" s="12" customFormat="1" x14ac:dyDescent="0.25"/>
    <row r="21971" s="12" customFormat="1" x14ac:dyDescent="0.25"/>
    <row r="21972" s="12" customFormat="1" x14ac:dyDescent="0.25"/>
    <row r="21973" s="12" customFormat="1" x14ac:dyDescent="0.25"/>
    <row r="21974" s="12" customFormat="1" x14ac:dyDescent="0.25"/>
    <row r="21975" s="12" customFormat="1" x14ac:dyDescent="0.25"/>
    <row r="21976" s="12" customFormat="1" x14ac:dyDescent="0.25"/>
    <row r="21977" s="12" customFormat="1" x14ac:dyDescent="0.25"/>
    <row r="21978" s="12" customFormat="1" x14ac:dyDescent="0.25"/>
    <row r="21979" s="12" customFormat="1" x14ac:dyDescent="0.25"/>
    <row r="21980" s="12" customFormat="1" x14ac:dyDescent="0.25"/>
    <row r="21981" s="12" customFormat="1" x14ac:dyDescent="0.25"/>
    <row r="21982" s="12" customFormat="1" x14ac:dyDescent="0.25"/>
    <row r="21983" s="12" customFormat="1" x14ac:dyDescent="0.25"/>
    <row r="21984" s="12" customFormat="1" x14ac:dyDescent="0.25"/>
    <row r="21985" s="12" customFormat="1" x14ac:dyDescent="0.25"/>
    <row r="21986" s="12" customFormat="1" x14ac:dyDescent="0.25"/>
    <row r="21987" s="12" customFormat="1" x14ac:dyDescent="0.25"/>
    <row r="21988" s="12" customFormat="1" x14ac:dyDescent="0.25"/>
    <row r="21989" s="12" customFormat="1" x14ac:dyDescent="0.25"/>
    <row r="21990" s="12" customFormat="1" x14ac:dyDescent="0.25"/>
    <row r="21991" s="12" customFormat="1" x14ac:dyDescent="0.25"/>
    <row r="21992" s="12" customFormat="1" x14ac:dyDescent="0.25"/>
    <row r="21993" s="12" customFormat="1" x14ac:dyDescent="0.25"/>
    <row r="21994" s="12" customFormat="1" x14ac:dyDescent="0.25"/>
    <row r="21995" s="12" customFormat="1" x14ac:dyDescent="0.25"/>
    <row r="21996" s="12" customFormat="1" x14ac:dyDescent="0.25"/>
    <row r="21997" s="12" customFormat="1" x14ac:dyDescent="0.25"/>
    <row r="21998" s="12" customFormat="1" x14ac:dyDescent="0.25"/>
    <row r="21999" s="12" customFormat="1" x14ac:dyDescent="0.25"/>
    <row r="22000" s="12" customFormat="1" x14ac:dyDescent="0.25"/>
    <row r="22001" s="12" customFormat="1" x14ac:dyDescent="0.25"/>
    <row r="22002" s="12" customFormat="1" x14ac:dyDescent="0.25"/>
    <row r="22003" s="12" customFormat="1" x14ac:dyDescent="0.25"/>
    <row r="22004" s="12" customFormat="1" x14ac:dyDescent="0.25"/>
    <row r="22005" s="12" customFormat="1" x14ac:dyDescent="0.25"/>
    <row r="22006" s="12" customFormat="1" x14ac:dyDescent="0.25"/>
    <row r="22007" s="12" customFormat="1" x14ac:dyDescent="0.25"/>
    <row r="22008" s="12" customFormat="1" x14ac:dyDescent="0.25"/>
    <row r="22009" s="12" customFormat="1" x14ac:dyDescent="0.25"/>
    <row r="22010" s="12" customFormat="1" x14ac:dyDescent="0.25"/>
    <row r="22011" s="12" customFormat="1" x14ac:dyDescent="0.25"/>
    <row r="22012" s="12" customFormat="1" x14ac:dyDescent="0.25"/>
    <row r="22013" s="12" customFormat="1" x14ac:dyDescent="0.25"/>
    <row r="22014" s="12" customFormat="1" x14ac:dyDescent="0.25"/>
    <row r="22015" s="12" customFormat="1" x14ac:dyDescent="0.25"/>
    <row r="22016" s="12" customFormat="1" x14ac:dyDescent="0.25"/>
    <row r="22017" s="12" customFormat="1" x14ac:dyDescent="0.25"/>
    <row r="22018" s="12" customFormat="1" x14ac:dyDescent="0.25"/>
    <row r="22019" s="12" customFormat="1" x14ac:dyDescent="0.25"/>
    <row r="22020" s="12" customFormat="1" x14ac:dyDescent="0.25"/>
    <row r="22021" s="12" customFormat="1" x14ac:dyDescent="0.25"/>
    <row r="22022" s="12" customFormat="1" x14ac:dyDescent="0.25"/>
    <row r="22023" s="12" customFormat="1" x14ac:dyDescent="0.25"/>
    <row r="22024" s="12" customFormat="1" x14ac:dyDescent="0.25"/>
    <row r="22025" s="12" customFormat="1" x14ac:dyDescent="0.25"/>
    <row r="22026" s="12" customFormat="1" x14ac:dyDescent="0.25"/>
    <row r="22027" s="12" customFormat="1" x14ac:dyDescent="0.25"/>
    <row r="22028" s="12" customFormat="1" x14ac:dyDescent="0.25"/>
    <row r="22029" s="12" customFormat="1" x14ac:dyDescent="0.25"/>
    <row r="22030" s="12" customFormat="1" x14ac:dyDescent="0.25"/>
    <row r="22031" s="12" customFormat="1" x14ac:dyDescent="0.25"/>
    <row r="22032" s="12" customFormat="1" x14ac:dyDescent="0.25"/>
    <row r="22033" s="12" customFormat="1" x14ac:dyDescent="0.25"/>
    <row r="22034" s="12" customFormat="1" x14ac:dyDescent="0.25"/>
    <row r="22035" s="12" customFormat="1" x14ac:dyDescent="0.25"/>
    <row r="22036" s="12" customFormat="1" x14ac:dyDescent="0.25"/>
    <row r="22037" s="12" customFormat="1" x14ac:dyDescent="0.25"/>
    <row r="22038" s="12" customFormat="1" x14ac:dyDescent="0.25"/>
    <row r="22039" s="12" customFormat="1" x14ac:dyDescent="0.25"/>
    <row r="22040" s="12" customFormat="1" x14ac:dyDescent="0.25"/>
    <row r="22041" s="12" customFormat="1" x14ac:dyDescent="0.25"/>
    <row r="22042" s="12" customFormat="1" x14ac:dyDescent="0.25"/>
    <row r="22043" s="12" customFormat="1" x14ac:dyDescent="0.25"/>
    <row r="22044" s="12" customFormat="1" x14ac:dyDescent="0.25"/>
    <row r="22045" s="12" customFormat="1" x14ac:dyDescent="0.25"/>
    <row r="22046" s="12" customFormat="1" x14ac:dyDescent="0.25"/>
    <row r="22047" s="12" customFormat="1" x14ac:dyDescent="0.25"/>
    <row r="22048" s="12" customFormat="1" x14ac:dyDescent="0.25"/>
    <row r="22049" s="12" customFormat="1" x14ac:dyDescent="0.25"/>
    <row r="22050" s="12" customFormat="1" x14ac:dyDescent="0.25"/>
    <row r="22051" s="12" customFormat="1" x14ac:dyDescent="0.25"/>
    <row r="22052" s="12" customFormat="1" x14ac:dyDescent="0.25"/>
    <row r="22053" s="12" customFormat="1" x14ac:dyDescent="0.25"/>
    <row r="22054" s="12" customFormat="1" x14ac:dyDescent="0.25"/>
    <row r="22055" s="12" customFormat="1" x14ac:dyDescent="0.25"/>
    <row r="22056" s="12" customFormat="1" x14ac:dyDescent="0.25"/>
    <row r="22057" s="12" customFormat="1" x14ac:dyDescent="0.25"/>
    <row r="22058" s="12" customFormat="1" x14ac:dyDescent="0.25"/>
    <row r="22059" s="12" customFormat="1" x14ac:dyDescent="0.25"/>
    <row r="22060" s="12" customFormat="1" x14ac:dyDescent="0.25"/>
    <row r="22061" s="12" customFormat="1" x14ac:dyDescent="0.25"/>
    <row r="22062" s="12" customFormat="1" x14ac:dyDescent="0.25"/>
    <row r="22063" s="12" customFormat="1" x14ac:dyDescent="0.25"/>
    <row r="22064" s="12" customFormat="1" x14ac:dyDescent="0.25"/>
    <row r="22065" s="12" customFormat="1" x14ac:dyDescent="0.25"/>
    <row r="22066" s="12" customFormat="1" x14ac:dyDescent="0.25"/>
    <row r="22067" s="12" customFormat="1" x14ac:dyDescent="0.25"/>
    <row r="22068" s="12" customFormat="1" x14ac:dyDescent="0.25"/>
    <row r="22069" s="12" customFormat="1" x14ac:dyDescent="0.25"/>
    <row r="22070" s="12" customFormat="1" x14ac:dyDescent="0.25"/>
    <row r="22071" s="12" customFormat="1" x14ac:dyDescent="0.25"/>
    <row r="22072" s="12" customFormat="1" x14ac:dyDescent="0.25"/>
    <row r="22073" s="12" customFormat="1" x14ac:dyDescent="0.25"/>
    <row r="22074" s="12" customFormat="1" x14ac:dyDescent="0.25"/>
    <row r="22075" s="12" customFormat="1" x14ac:dyDescent="0.25"/>
    <row r="22076" s="12" customFormat="1" x14ac:dyDescent="0.25"/>
    <row r="22077" s="12" customFormat="1" x14ac:dyDescent="0.25"/>
    <row r="22078" s="12" customFormat="1" x14ac:dyDescent="0.25"/>
    <row r="22079" s="12" customFormat="1" x14ac:dyDescent="0.25"/>
    <row r="22080" s="12" customFormat="1" x14ac:dyDescent="0.25"/>
    <row r="22081" s="12" customFormat="1" x14ac:dyDescent="0.25"/>
    <row r="22082" s="12" customFormat="1" x14ac:dyDescent="0.25"/>
    <row r="22083" s="12" customFormat="1" x14ac:dyDescent="0.25"/>
    <row r="22084" s="12" customFormat="1" x14ac:dyDescent="0.25"/>
    <row r="22085" s="12" customFormat="1" x14ac:dyDescent="0.25"/>
    <row r="22086" s="12" customFormat="1" x14ac:dyDescent="0.25"/>
    <row r="22087" s="12" customFormat="1" x14ac:dyDescent="0.25"/>
    <row r="22088" s="12" customFormat="1" x14ac:dyDescent="0.25"/>
    <row r="22089" s="12" customFormat="1" x14ac:dyDescent="0.25"/>
    <row r="22090" s="12" customFormat="1" x14ac:dyDescent="0.25"/>
    <row r="22091" s="12" customFormat="1" x14ac:dyDescent="0.25"/>
    <row r="22092" s="12" customFormat="1" x14ac:dyDescent="0.25"/>
    <row r="22093" s="12" customFormat="1" x14ac:dyDescent="0.25"/>
    <row r="22094" s="12" customFormat="1" x14ac:dyDescent="0.25"/>
    <row r="22095" s="12" customFormat="1" x14ac:dyDescent="0.25"/>
    <row r="22096" s="12" customFormat="1" x14ac:dyDescent="0.25"/>
    <row r="22097" s="12" customFormat="1" x14ac:dyDescent="0.25"/>
    <row r="22098" s="12" customFormat="1" x14ac:dyDescent="0.25"/>
    <row r="22099" s="12" customFormat="1" x14ac:dyDescent="0.25"/>
    <row r="22100" s="12" customFormat="1" x14ac:dyDescent="0.25"/>
    <row r="22101" s="12" customFormat="1" x14ac:dyDescent="0.25"/>
    <row r="22102" s="12" customFormat="1" x14ac:dyDescent="0.25"/>
    <row r="22103" s="12" customFormat="1" x14ac:dyDescent="0.25"/>
    <row r="22104" s="12" customFormat="1" x14ac:dyDescent="0.25"/>
    <row r="22105" s="12" customFormat="1" x14ac:dyDescent="0.25"/>
    <row r="22106" s="12" customFormat="1" x14ac:dyDescent="0.25"/>
    <row r="22107" s="12" customFormat="1" x14ac:dyDescent="0.25"/>
    <row r="22108" s="12" customFormat="1" x14ac:dyDescent="0.25"/>
    <row r="22109" s="12" customFormat="1" x14ac:dyDescent="0.25"/>
    <row r="22110" s="12" customFormat="1" x14ac:dyDescent="0.25"/>
    <row r="22111" s="12" customFormat="1" x14ac:dyDescent="0.25"/>
    <row r="22112" s="12" customFormat="1" x14ac:dyDescent="0.25"/>
    <row r="22113" s="12" customFormat="1" x14ac:dyDescent="0.25"/>
    <row r="22114" s="12" customFormat="1" x14ac:dyDescent="0.25"/>
    <row r="22115" s="12" customFormat="1" x14ac:dyDescent="0.25"/>
    <row r="22116" s="12" customFormat="1" x14ac:dyDescent="0.25"/>
    <row r="22117" s="12" customFormat="1" x14ac:dyDescent="0.25"/>
    <row r="22118" s="12" customFormat="1" x14ac:dyDescent="0.25"/>
    <row r="22119" s="12" customFormat="1" x14ac:dyDescent="0.25"/>
    <row r="22120" s="12" customFormat="1" x14ac:dyDescent="0.25"/>
    <row r="22121" s="12" customFormat="1" x14ac:dyDescent="0.25"/>
    <row r="22122" s="12" customFormat="1" x14ac:dyDescent="0.25"/>
    <row r="22123" s="12" customFormat="1" x14ac:dyDescent="0.25"/>
    <row r="22124" s="12" customFormat="1" x14ac:dyDescent="0.25"/>
    <row r="22125" s="12" customFormat="1" x14ac:dyDescent="0.25"/>
    <row r="22126" s="12" customFormat="1" x14ac:dyDescent="0.25"/>
    <row r="22127" s="12" customFormat="1" x14ac:dyDescent="0.25"/>
    <row r="22128" s="12" customFormat="1" x14ac:dyDescent="0.25"/>
    <row r="22129" s="12" customFormat="1" x14ac:dyDescent="0.25"/>
    <row r="22130" s="12" customFormat="1" x14ac:dyDescent="0.25"/>
    <row r="22131" s="12" customFormat="1" x14ac:dyDescent="0.25"/>
    <row r="22132" s="12" customFormat="1" x14ac:dyDescent="0.25"/>
    <row r="22133" s="12" customFormat="1" x14ac:dyDescent="0.25"/>
    <row r="22134" s="12" customFormat="1" x14ac:dyDescent="0.25"/>
    <row r="22135" s="12" customFormat="1" x14ac:dyDescent="0.25"/>
    <row r="22136" s="12" customFormat="1" x14ac:dyDescent="0.25"/>
    <row r="22137" s="12" customFormat="1" x14ac:dyDescent="0.25"/>
    <row r="22138" s="12" customFormat="1" x14ac:dyDescent="0.25"/>
    <row r="22139" s="12" customFormat="1" x14ac:dyDescent="0.25"/>
    <row r="22140" s="12" customFormat="1" x14ac:dyDescent="0.25"/>
    <row r="22141" s="12" customFormat="1" x14ac:dyDescent="0.25"/>
    <row r="22142" s="12" customFormat="1" x14ac:dyDescent="0.25"/>
    <row r="22143" s="12" customFormat="1" x14ac:dyDescent="0.25"/>
    <row r="22144" s="12" customFormat="1" x14ac:dyDescent="0.25"/>
    <row r="22145" s="12" customFormat="1" x14ac:dyDescent="0.25"/>
    <row r="22146" s="12" customFormat="1" x14ac:dyDescent="0.25"/>
    <row r="22147" s="12" customFormat="1" x14ac:dyDescent="0.25"/>
    <row r="22148" s="12" customFormat="1" x14ac:dyDescent="0.25"/>
    <row r="22149" s="12" customFormat="1" x14ac:dyDescent="0.25"/>
    <row r="22150" s="12" customFormat="1" x14ac:dyDescent="0.25"/>
    <row r="22151" s="12" customFormat="1" x14ac:dyDescent="0.25"/>
    <row r="22152" s="12" customFormat="1" x14ac:dyDescent="0.25"/>
    <row r="22153" s="12" customFormat="1" x14ac:dyDescent="0.25"/>
    <row r="22154" s="12" customFormat="1" x14ac:dyDescent="0.25"/>
    <row r="22155" s="12" customFormat="1" x14ac:dyDescent="0.25"/>
    <row r="22156" s="12" customFormat="1" x14ac:dyDescent="0.25"/>
    <row r="22157" s="12" customFormat="1" x14ac:dyDescent="0.25"/>
    <row r="22158" s="12" customFormat="1" x14ac:dyDescent="0.25"/>
    <row r="22159" s="12" customFormat="1" x14ac:dyDescent="0.25"/>
    <row r="22160" s="12" customFormat="1" x14ac:dyDescent="0.25"/>
    <row r="22161" s="12" customFormat="1" x14ac:dyDescent="0.25"/>
    <row r="22162" s="12" customFormat="1" x14ac:dyDescent="0.25"/>
    <row r="22163" s="12" customFormat="1" x14ac:dyDescent="0.25"/>
    <row r="22164" s="12" customFormat="1" x14ac:dyDescent="0.25"/>
    <row r="22165" s="12" customFormat="1" x14ac:dyDescent="0.25"/>
    <row r="22166" s="12" customFormat="1" x14ac:dyDescent="0.25"/>
    <row r="22167" s="12" customFormat="1" x14ac:dyDescent="0.25"/>
    <row r="22168" s="12" customFormat="1" x14ac:dyDescent="0.25"/>
    <row r="22169" s="12" customFormat="1" x14ac:dyDescent="0.25"/>
    <row r="22170" s="12" customFormat="1" x14ac:dyDescent="0.25"/>
    <row r="22171" s="12" customFormat="1" x14ac:dyDescent="0.25"/>
    <row r="22172" s="12" customFormat="1" x14ac:dyDescent="0.25"/>
    <row r="22173" s="12" customFormat="1" x14ac:dyDescent="0.25"/>
    <row r="22174" s="12" customFormat="1" x14ac:dyDescent="0.25"/>
    <row r="22175" s="12" customFormat="1" x14ac:dyDescent="0.25"/>
    <row r="22176" s="12" customFormat="1" x14ac:dyDescent="0.25"/>
    <row r="22177" s="12" customFormat="1" x14ac:dyDescent="0.25"/>
    <row r="22178" s="12" customFormat="1" x14ac:dyDescent="0.25"/>
    <row r="22179" s="12" customFormat="1" x14ac:dyDescent="0.25"/>
    <row r="22180" s="12" customFormat="1" x14ac:dyDescent="0.25"/>
    <row r="22181" s="12" customFormat="1" x14ac:dyDescent="0.25"/>
    <row r="22182" s="12" customFormat="1" x14ac:dyDescent="0.25"/>
    <row r="22183" s="12" customFormat="1" x14ac:dyDescent="0.25"/>
    <row r="22184" s="12" customFormat="1" x14ac:dyDescent="0.25"/>
    <row r="22185" s="12" customFormat="1" x14ac:dyDescent="0.25"/>
    <row r="22186" s="12" customFormat="1" x14ac:dyDescent="0.25"/>
    <row r="22187" s="12" customFormat="1" x14ac:dyDescent="0.25"/>
    <row r="22188" s="12" customFormat="1" x14ac:dyDescent="0.25"/>
    <row r="22189" s="12" customFormat="1" x14ac:dyDescent="0.25"/>
    <row r="22190" s="12" customFormat="1" x14ac:dyDescent="0.25"/>
    <row r="22191" s="12" customFormat="1" x14ac:dyDescent="0.25"/>
    <row r="22192" s="12" customFormat="1" x14ac:dyDescent="0.25"/>
    <row r="22193" s="12" customFormat="1" x14ac:dyDescent="0.25"/>
    <row r="22194" s="12" customFormat="1" x14ac:dyDescent="0.25"/>
    <row r="22195" s="12" customFormat="1" x14ac:dyDescent="0.25"/>
    <row r="22196" s="12" customFormat="1" x14ac:dyDescent="0.25"/>
    <row r="22197" s="12" customFormat="1" x14ac:dyDescent="0.25"/>
    <row r="22198" s="12" customFormat="1" x14ac:dyDescent="0.25"/>
    <row r="22199" s="12" customFormat="1" x14ac:dyDescent="0.25"/>
    <row r="22200" s="12" customFormat="1" x14ac:dyDescent="0.25"/>
    <row r="22201" s="12" customFormat="1" x14ac:dyDescent="0.25"/>
    <row r="22202" s="12" customFormat="1" x14ac:dyDescent="0.25"/>
    <row r="22203" s="12" customFormat="1" x14ac:dyDescent="0.25"/>
    <row r="22204" s="12" customFormat="1" x14ac:dyDescent="0.25"/>
    <row r="22205" s="12" customFormat="1" x14ac:dyDescent="0.25"/>
    <row r="22206" s="12" customFormat="1" x14ac:dyDescent="0.25"/>
    <row r="22207" s="12" customFormat="1" x14ac:dyDescent="0.25"/>
    <row r="22208" s="12" customFormat="1" x14ac:dyDescent="0.25"/>
    <row r="22209" s="12" customFormat="1" x14ac:dyDescent="0.25"/>
    <row r="22210" s="12" customFormat="1" x14ac:dyDescent="0.25"/>
    <row r="22211" s="12" customFormat="1" x14ac:dyDescent="0.25"/>
    <row r="22212" s="12" customFormat="1" x14ac:dyDescent="0.25"/>
    <row r="22213" s="12" customFormat="1" x14ac:dyDescent="0.25"/>
    <row r="22214" s="12" customFormat="1" x14ac:dyDescent="0.25"/>
    <row r="22215" s="12" customFormat="1" x14ac:dyDescent="0.25"/>
    <row r="22216" s="12" customFormat="1" x14ac:dyDescent="0.25"/>
    <row r="22217" s="12" customFormat="1" x14ac:dyDescent="0.25"/>
    <row r="22218" s="12" customFormat="1" x14ac:dyDescent="0.25"/>
    <row r="22219" s="12" customFormat="1" x14ac:dyDescent="0.25"/>
    <row r="22220" s="12" customFormat="1" x14ac:dyDescent="0.25"/>
    <row r="22221" s="12" customFormat="1" x14ac:dyDescent="0.25"/>
    <row r="22222" s="12" customFormat="1" x14ac:dyDescent="0.25"/>
    <row r="22223" s="12" customFormat="1" x14ac:dyDescent="0.25"/>
    <row r="22224" s="12" customFormat="1" x14ac:dyDescent="0.25"/>
    <row r="22225" s="12" customFormat="1" x14ac:dyDescent="0.25"/>
    <row r="22226" s="12" customFormat="1" x14ac:dyDescent="0.25"/>
    <row r="22227" s="12" customFormat="1" x14ac:dyDescent="0.25"/>
    <row r="22228" s="12" customFormat="1" x14ac:dyDescent="0.25"/>
    <row r="22229" s="12" customFormat="1" x14ac:dyDescent="0.25"/>
    <row r="22230" s="12" customFormat="1" x14ac:dyDescent="0.25"/>
    <row r="22231" s="12" customFormat="1" x14ac:dyDescent="0.25"/>
    <row r="22232" s="12" customFormat="1" x14ac:dyDescent="0.25"/>
    <row r="22233" s="12" customFormat="1" x14ac:dyDescent="0.25"/>
    <row r="22234" s="12" customFormat="1" x14ac:dyDescent="0.25"/>
    <row r="22235" s="12" customFormat="1" x14ac:dyDescent="0.25"/>
    <row r="22236" s="12" customFormat="1" x14ac:dyDescent="0.25"/>
    <row r="22237" s="12" customFormat="1" x14ac:dyDescent="0.25"/>
    <row r="22238" s="12" customFormat="1" x14ac:dyDescent="0.25"/>
    <row r="22239" s="12" customFormat="1" x14ac:dyDescent="0.25"/>
    <row r="22240" s="12" customFormat="1" x14ac:dyDescent="0.25"/>
    <row r="22241" s="12" customFormat="1" x14ac:dyDescent="0.25"/>
    <row r="22242" s="12" customFormat="1" x14ac:dyDescent="0.25"/>
    <row r="22243" s="12" customFormat="1" x14ac:dyDescent="0.25"/>
    <row r="22244" s="12" customFormat="1" x14ac:dyDescent="0.25"/>
    <row r="22245" s="12" customFormat="1" x14ac:dyDescent="0.25"/>
    <row r="22246" s="12" customFormat="1" x14ac:dyDescent="0.25"/>
    <row r="22247" s="12" customFormat="1" x14ac:dyDescent="0.25"/>
    <row r="22248" s="12" customFormat="1" x14ac:dyDescent="0.25"/>
    <row r="22249" s="12" customFormat="1" x14ac:dyDescent="0.25"/>
    <row r="22250" s="12" customFormat="1" x14ac:dyDescent="0.25"/>
    <row r="22251" s="12" customFormat="1" x14ac:dyDescent="0.25"/>
    <row r="22252" s="12" customFormat="1" x14ac:dyDescent="0.25"/>
    <row r="22253" s="12" customFormat="1" x14ac:dyDescent="0.25"/>
    <row r="22254" s="12" customFormat="1" x14ac:dyDescent="0.25"/>
    <row r="22255" s="12" customFormat="1" x14ac:dyDescent="0.25"/>
    <row r="22256" s="12" customFormat="1" x14ac:dyDescent="0.25"/>
    <row r="22257" s="12" customFormat="1" x14ac:dyDescent="0.25"/>
    <row r="22258" s="12" customFormat="1" x14ac:dyDescent="0.25"/>
    <row r="22259" s="12" customFormat="1" x14ac:dyDescent="0.25"/>
    <row r="22260" s="12" customFormat="1" x14ac:dyDescent="0.25"/>
    <row r="22261" s="12" customFormat="1" x14ac:dyDescent="0.25"/>
    <row r="22262" s="12" customFormat="1" x14ac:dyDescent="0.25"/>
    <row r="22263" s="12" customFormat="1" x14ac:dyDescent="0.25"/>
    <row r="22264" s="12" customFormat="1" x14ac:dyDescent="0.25"/>
    <row r="22265" s="12" customFormat="1" x14ac:dyDescent="0.25"/>
    <row r="22266" s="12" customFormat="1" x14ac:dyDescent="0.25"/>
    <row r="22267" s="12" customFormat="1" x14ac:dyDescent="0.25"/>
    <row r="22268" s="12" customFormat="1" x14ac:dyDescent="0.25"/>
    <row r="22269" s="12" customFormat="1" x14ac:dyDescent="0.25"/>
    <row r="22270" s="12" customFormat="1" x14ac:dyDescent="0.25"/>
    <row r="22271" s="12" customFormat="1" x14ac:dyDescent="0.25"/>
    <row r="22272" s="12" customFormat="1" x14ac:dyDescent="0.25"/>
    <row r="22273" s="12" customFormat="1" x14ac:dyDescent="0.25"/>
    <row r="22274" s="12" customFormat="1" x14ac:dyDescent="0.25"/>
    <row r="22275" s="12" customFormat="1" x14ac:dyDescent="0.25"/>
    <row r="22276" s="12" customFormat="1" x14ac:dyDescent="0.25"/>
    <row r="22277" s="12" customFormat="1" x14ac:dyDescent="0.25"/>
    <row r="22278" s="12" customFormat="1" x14ac:dyDescent="0.25"/>
    <row r="22279" s="12" customFormat="1" x14ac:dyDescent="0.25"/>
    <row r="22280" s="12" customFormat="1" x14ac:dyDescent="0.25"/>
    <row r="22281" s="12" customFormat="1" x14ac:dyDescent="0.25"/>
    <row r="22282" s="12" customFormat="1" x14ac:dyDescent="0.25"/>
    <row r="22283" s="12" customFormat="1" x14ac:dyDescent="0.25"/>
    <row r="22284" s="12" customFormat="1" x14ac:dyDescent="0.25"/>
    <row r="22285" s="12" customFormat="1" x14ac:dyDescent="0.25"/>
    <row r="22286" s="12" customFormat="1" x14ac:dyDescent="0.25"/>
    <row r="22287" s="12" customFormat="1" x14ac:dyDescent="0.25"/>
    <row r="22288" s="12" customFormat="1" x14ac:dyDescent="0.25"/>
    <row r="22289" s="12" customFormat="1" x14ac:dyDescent="0.25"/>
    <row r="22290" s="12" customFormat="1" x14ac:dyDescent="0.25"/>
    <row r="22291" s="12" customFormat="1" x14ac:dyDescent="0.25"/>
    <row r="22292" s="12" customFormat="1" x14ac:dyDescent="0.25"/>
    <row r="22293" s="12" customFormat="1" x14ac:dyDescent="0.25"/>
    <row r="22294" s="12" customFormat="1" x14ac:dyDescent="0.25"/>
    <row r="22295" s="12" customFormat="1" x14ac:dyDescent="0.25"/>
    <row r="22296" s="12" customFormat="1" x14ac:dyDescent="0.25"/>
    <row r="22297" s="12" customFormat="1" x14ac:dyDescent="0.25"/>
    <row r="22298" s="12" customFormat="1" x14ac:dyDescent="0.25"/>
    <row r="22299" s="12" customFormat="1" x14ac:dyDescent="0.25"/>
    <row r="22300" s="12" customFormat="1" x14ac:dyDescent="0.25"/>
    <row r="22301" s="12" customFormat="1" x14ac:dyDescent="0.25"/>
    <row r="22302" s="12" customFormat="1" x14ac:dyDescent="0.25"/>
    <row r="22303" s="12" customFormat="1" x14ac:dyDescent="0.25"/>
    <row r="22304" s="12" customFormat="1" x14ac:dyDescent="0.25"/>
    <row r="22305" s="12" customFormat="1" x14ac:dyDescent="0.25"/>
    <row r="22306" s="12" customFormat="1" x14ac:dyDescent="0.25"/>
    <row r="22307" s="12" customFormat="1" x14ac:dyDescent="0.25"/>
    <row r="22308" s="12" customFormat="1" x14ac:dyDescent="0.25"/>
    <row r="22309" s="12" customFormat="1" x14ac:dyDescent="0.25"/>
    <row r="22310" s="12" customFormat="1" x14ac:dyDescent="0.25"/>
    <row r="22311" s="12" customFormat="1" x14ac:dyDescent="0.25"/>
    <row r="22312" s="12" customFormat="1" x14ac:dyDescent="0.25"/>
    <row r="22313" s="12" customFormat="1" x14ac:dyDescent="0.25"/>
    <row r="22314" s="12" customFormat="1" x14ac:dyDescent="0.25"/>
    <row r="22315" s="12" customFormat="1" x14ac:dyDescent="0.25"/>
    <row r="22316" s="12" customFormat="1" x14ac:dyDescent="0.25"/>
    <row r="22317" s="12" customFormat="1" x14ac:dyDescent="0.25"/>
    <row r="22318" s="12" customFormat="1" x14ac:dyDescent="0.25"/>
    <row r="22319" s="12" customFormat="1" x14ac:dyDescent="0.25"/>
    <row r="22320" s="12" customFormat="1" x14ac:dyDescent="0.25"/>
    <row r="22321" s="12" customFormat="1" x14ac:dyDescent="0.25"/>
    <row r="22322" s="12" customFormat="1" x14ac:dyDescent="0.25"/>
    <row r="22323" s="12" customFormat="1" x14ac:dyDescent="0.25"/>
    <row r="22324" s="12" customFormat="1" x14ac:dyDescent="0.25"/>
    <row r="22325" s="12" customFormat="1" x14ac:dyDescent="0.25"/>
    <row r="22326" s="12" customFormat="1" x14ac:dyDescent="0.25"/>
    <row r="22327" s="12" customFormat="1" x14ac:dyDescent="0.25"/>
    <row r="22328" s="12" customFormat="1" x14ac:dyDescent="0.25"/>
    <row r="22329" s="12" customFormat="1" x14ac:dyDescent="0.25"/>
    <row r="22330" s="12" customFormat="1" x14ac:dyDescent="0.25"/>
    <row r="22331" s="12" customFormat="1" x14ac:dyDescent="0.25"/>
    <row r="22332" s="12" customFormat="1" x14ac:dyDescent="0.25"/>
    <row r="22333" s="12" customFormat="1" x14ac:dyDescent="0.25"/>
    <row r="22334" s="12" customFormat="1" x14ac:dyDescent="0.25"/>
    <row r="22335" s="12" customFormat="1" x14ac:dyDescent="0.25"/>
    <row r="22336" s="12" customFormat="1" x14ac:dyDescent="0.25"/>
    <row r="22337" s="12" customFormat="1" x14ac:dyDescent="0.25"/>
    <row r="22338" s="12" customFormat="1" x14ac:dyDescent="0.25"/>
    <row r="22339" s="12" customFormat="1" x14ac:dyDescent="0.25"/>
    <row r="22340" s="12" customFormat="1" x14ac:dyDescent="0.25"/>
    <row r="22341" s="12" customFormat="1" x14ac:dyDescent="0.25"/>
    <row r="22342" s="12" customFormat="1" x14ac:dyDescent="0.25"/>
    <row r="22343" s="12" customFormat="1" x14ac:dyDescent="0.25"/>
    <row r="22344" s="12" customFormat="1" x14ac:dyDescent="0.25"/>
    <row r="22345" s="12" customFormat="1" x14ac:dyDescent="0.25"/>
    <row r="22346" s="12" customFormat="1" x14ac:dyDescent="0.25"/>
    <row r="22347" s="12" customFormat="1" x14ac:dyDescent="0.25"/>
    <row r="22348" s="12" customFormat="1" x14ac:dyDescent="0.25"/>
    <row r="22349" s="12" customFormat="1" x14ac:dyDescent="0.25"/>
    <row r="22350" s="12" customFormat="1" x14ac:dyDescent="0.25"/>
    <row r="22351" s="12" customFormat="1" x14ac:dyDescent="0.25"/>
    <row r="22352" s="12" customFormat="1" x14ac:dyDescent="0.25"/>
    <row r="22353" s="12" customFormat="1" x14ac:dyDescent="0.25"/>
    <row r="22354" s="12" customFormat="1" x14ac:dyDescent="0.25"/>
    <row r="22355" s="12" customFormat="1" x14ac:dyDescent="0.25"/>
    <row r="22356" s="12" customFormat="1" x14ac:dyDescent="0.25"/>
    <row r="22357" s="12" customFormat="1" x14ac:dyDescent="0.25"/>
    <row r="22358" s="12" customFormat="1" x14ac:dyDescent="0.25"/>
    <row r="22359" s="12" customFormat="1" x14ac:dyDescent="0.25"/>
    <row r="22360" s="12" customFormat="1" x14ac:dyDescent="0.25"/>
    <row r="22361" s="12" customFormat="1" x14ac:dyDescent="0.25"/>
    <row r="22362" s="12" customFormat="1" x14ac:dyDescent="0.25"/>
    <row r="22363" s="12" customFormat="1" x14ac:dyDescent="0.25"/>
    <row r="22364" s="12" customFormat="1" x14ac:dyDescent="0.25"/>
    <row r="22365" s="12" customFormat="1" x14ac:dyDescent="0.25"/>
    <row r="22366" s="12" customFormat="1" x14ac:dyDescent="0.25"/>
    <row r="22367" s="12" customFormat="1" x14ac:dyDescent="0.25"/>
    <row r="22368" s="12" customFormat="1" x14ac:dyDescent="0.25"/>
    <row r="22369" s="12" customFormat="1" x14ac:dyDescent="0.25"/>
    <row r="22370" s="12" customFormat="1" x14ac:dyDescent="0.25"/>
    <row r="22371" s="12" customFormat="1" x14ac:dyDescent="0.25"/>
    <row r="22372" s="12" customFormat="1" x14ac:dyDescent="0.25"/>
    <row r="22373" s="12" customFormat="1" x14ac:dyDescent="0.25"/>
    <row r="22374" s="12" customFormat="1" x14ac:dyDescent="0.25"/>
    <row r="22375" s="12" customFormat="1" x14ac:dyDescent="0.25"/>
    <row r="22376" s="12" customFormat="1" x14ac:dyDescent="0.25"/>
    <row r="22377" s="12" customFormat="1" x14ac:dyDescent="0.25"/>
    <row r="22378" s="12" customFormat="1" x14ac:dyDescent="0.25"/>
    <row r="22379" s="12" customFormat="1" x14ac:dyDescent="0.25"/>
    <row r="22380" s="12" customFormat="1" x14ac:dyDescent="0.25"/>
    <row r="22381" s="12" customFormat="1" x14ac:dyDescent="0.25"/>
    <row r="22382" s="12" customFormat="1" x14ac:dyDescent="0.25"/>
    <row r="22383" s="12" customFormat="1" x14ac:dyDescent="0.25"/>
    <row r="22384" s="12" customFormat="1" x14ac:dyDescent="0.25"/>
    <row r="22385" s="12" customFormat="1" x14ac:dyDescent="0.25"/>
    <row r="22386" s="12" customFormat="1" x14ac:dyDescent="0.25"/>
    <row r="22387" s="12" customFormat="1" x14ac:dyDescent="0.25"/>
    <row r="22388" s="12" customFormat="1" x14ac:dyDescent="0.25"/>
    <row r="22389" s="12" customFormat="1" x14ac:dyDescent="0.25"/>
    <row r="22390" s="12" customFormat="1" x14ac:dyDescent="0.25"/>
    <row r="22391" s="12" customFormat="1" x14ac:dyDescent="0.25"/>
    <row r="22392" s="12" customFormat="1" x14ac:dyDescent="0.25"/>
    <row r="22393" s="12" customFormat="1" x14ac:dyDescent="0.25"/>
    <row r="22394" s="12" customFormat="1" x14ac:dyDescent="0.25"/>
    <row r="22395" s="12" customFormat="1" x14ac:dyDescent="0.25"/>
    <row r="22396" s="12" customFormat="1" x14ac:dyDescent="0.25"/>
    <row r="22397" s="12" customFormat="1" x14ac:dyDescent="0.25"/>
    <row r="22398" s="12" customFormat="1" x14ac:dyDescent="0.25"/>
    <row r="22399" s="12" customFormat="1" x14ac:dyDescent="0.25"/>
    <row r="22400" s="12" customFormat="1" x14ac:dyDescent="0.25"/>
    <row r="22401" s="12" customFormat="1" x14ac:dyDescent="0.25"/>
    <row r="22402" s="12" customFormat="1" x14ac:dyDescent="0.25"/>
    <row r="22403" s="12" customFormat="1" x14ac:dyDescent="0.25"/>
    <row r="22404" s="12" customFormat="1" x14ac:dyDescent="0.25"/>
    <row r="22405" s="12" customFormat="1" x14ac:dyDescent="0.25"/>
    <row r="22406" s="12" customFormat="1" x14ac:dyDescent="0.25"/>
    <row r="22407" s="12" customFormat="1" x14ac:dyDescent="0.25"/>
    <row r="22408" s="12" customFormat="1" x14ac:dyDescent="0.25"/>
    <row r="22409" s="12" customFormat="1" x14ac:dyDescent="0.25"/>
    <row r="22410" s="12" customFormat="1" x14ac:dyDescent="0.25"/>
    <row r="22411" s="12" customFormat="1" x14ac:dyDescent="0.25"/>
    <row r="22412" s="12" customFormat="1" x14ac:dyDescent="0.25"/>
    <row r="22413" s="12" customFormat="1" x14ac:dyDescent="0.25"/>
    <row r="22414" s="12" customFormat="1" x14ac:dyDescent="0.25"/>
    <row r="22415" s="12" customFormat="1" x14ac:dyDescent="0.25"/>
    <row r="22416" s="12" customFormat="1" x14ac:dyDescent="0.25"/>
    <row r="22417" s="12" customFormat="1" x14ac:dyDescent="0.25"/>
    <row r="22418" s="12" customFormat="1" x14ac:dyDescent="0.25"/>
    <row r="22419" s="12" customFormat="1" x14ac:dyDescent="0.25"/>
    <row r="22420" s="12" customFormat="1" x14ac:dyDescent="0.25"/>
    <row r="22421" s="12" customFormat="1" x14ac:dyDescent="0.25"/>
    <row r="22422" s="12" customFormat="1" x14ac:dyDescent="0.25"/>
    <row r="22423" s="12" customFormat="1" x14ac:dyDescent="0.25"/>
    <row r="22424" s="12" customFormat="1" x14ac:dyDescent="0.25"/>
    <row r="22425" s="12" customFormat="1" x14ac:dyDescent="0.25"/>
    <row r="22426" s="12" customFormat="1" x14ac:dyDescent="0.25"/>
    <row r="22427" s="12" customFormat="1" x14ac:dyDescent="0.25"/>
    <row r="22428" s="12" customFormat="1" x14ac:dyDescent="0.25"/>
    <row r="22429" s="12" customFormat="1" x14ac:dyDescent="0.25"/>
    <row r="22430" s="12" customFormat="1" x14ac:dyDescent="0.25"/>
    <row r="22431" s="12" customFormat="1" x14ac:dyDescent="0.25"/>
    <row r="22432" s="12" customFormat="1" x14ac:dyDescent="0.25"/>
    <row r="22433" s="12" customFormat="1" x14ac:dyDescent="0.25"/>
    <row r="22434" s="12" customFormat="1" x14ac:dyDescent="0.25"/>
    <row r="22435" s="12" customFormat="1" x14ac:dyDescent="0.25"/>
    <row r="22436" s="12" customFormat="1" x14ac:dyDescent="0.25"/>
    <row r="22437" s="12" customFormat="1" x14ac:dyDescent="0.25"/>
    <row r="22438" s="12" customFormat="1" x14ac:dyDescent="0.25"/>
    <row r="22439" s="12" customFormat="1" x14ac:dyDescent="0.25"/>
    <row r="22440" s="12" customFormat="1" x14ac:dyDescent="0.25"/>
    <row r="22441" s="12" customFormat="1" x14ac:dyDescent="0.25"/>
    <row r="22442" s="12" customFormat="1" x14ac:dyDescent="0.25"/>
    <row r="22443" s="12" customFormat="1" x14ac:dyDescent="0.25"/>
    <row r="22444" s="12" customFormat="1" x14ac:dyDescent="0.25"/>
    <row r="22445" s="12" customFormat="1" x14ac:dyDescent="0.25"/>
    <row r="22446" s="12" customFormat="1" x14ac:dyDescent="0.25"/>
    <row r="22447" s="12" customFormat="1" x14ac:dyDescent="0.25"/>
    <row r="22448" s="12" customFormat="1" x14ac:dyDescent="0.25"/>
    <row r="22449" s="12" customFormat="1" x14ac:dyDescent="0.25"/>
    <row r="22450" s="12" customFormat="1" x14ac:dyDescent="0.25"/>
    <row r="22451" s="12" customFormat="1" x14ac:dyDescent="0.25"/>
    <row r="22452" s="12" customFormat="1" x14ac:dyDescent="0.25"/>
    <row r="22453" s="12" customFormat="1" x14ac:dyDescent="0.25"/>
    <row r="22454" s="12" customFormat="1" x14ac:dyDescent="0.25"/>
    <row r="22455" s="12" customFormat="1" x14ac:dyDescent="0.25"/>
    <row r="22456" s="12" customFormat="1" x14ac:dyDescent="0.25"/>
    <row r="22457" s="12" customFormat="1" x14ac:dyDescent="0.25"/>
    <row r="22458" s="12" customFormat="1" x14ac:dyDescent="0.25"/>
    <row r="22459" s="12" customFormat="1" x14ac:dyDescent="0.25"/>
    <row r="22460" s="12" customFormat="1" x14ac:dyDescent="0.25"/>
    <row r="22461" s="12" customFormat="1" x14ac:dyDescent="0.25"/>
    <row r="22462" s="12" customFormat="1" x14ac:dyDescent="0.25"/>
    <row r="22463" s="12" customFormat="1" x14ac:dyDescent="0.25"/>
    <row r="22464" s="12" customFormat="1" x14ac:dyDescent="0.25"/>
    <row r="22465" s="12" customFormat="1" x14ac:dyDescent="0.25"/>
    <row r="22466" s="12" customFormat="1" x14ac:dyDescent="0.25"/>
    <row r="22467" s="12" customFormat="1" x14ac:dyDescent="0.25"/>
    <row r="22468" s="12" customFormat="1" x14ac:dyDescent="0.25"/>
    <row r="22469" s="12" customFormat="1" x14ac:dyDescent="0.25"/>
    <row r="22470" s="12" customFormat="1" x14ac:dyDescent="0.25"/>
    <row r="22471" s="12" customFormat="1" x14ac:dyDescent="0.25"/>
    <row r="22472" s="12" customFormat="1" x14ac:dyDescent="0.25"/>
    <row r="22473" s="12" customFormat="1" x14ac:dyDescent="0.25"/>
    <row r="22474" s="12" customFormat="1" x14ac:dyDescent="0.25"/>
    <row r="22475" s="12" customFormat="1" x14ac:dyDescent="0.25"/>
    <row r="22476" s="12" customFormat="1" x14ac:dyDescent="0.25"/>
    <row r="22477" s="12" customFormat="1" x14ac:dyDescent="0.25"/>
    <row r="22478" s="12" customFormat="1" x14ac:dyDescent="0.25"/>
    <row r="22479" s="12" customFormat="1" x14ac:dyDescent="0.25"/>
    <row r="22480" s="12" customFormat="1" x14ac:dyDescent="0.25"/>
    <row r="22481" s="12" customFormat="1" x14ac:dyDescent="0.25"/>
    <row r="22482" s="12" customFormat="1" x14ac:dyDescent="0.25"/>
    <row r="22483" s="12" customFormat="1" x14ac:dyDescent="0.25"/>
    <row r="22484" s="12" customFormat="1" x14ac:dyDescent="0.25"/>
    <row r="22485" s="12" customFormat="1" x14ac:dyDescent="0.25"/>
    <row r="22486" s="12" customFormat="1" x14ac:dyDescent="0.25"/>
    <row r="22487" s="12" customFormat="1" x14ac:dyDescent="0.25"/>
    <row r="22488" s="12" customFormat="1" x14ac:dyDescent="0.25"/>
    <row r="22489" s="12" customFormat="1" x14ac:dyDescent="0.25"/>
    <row r="22490" s="12" customFormat="1" x14ac:dyDescent="0.25"/>
    <row r="22491" s="12" customFormat="1" x14ac:dyDescent="0.25"/>
    <row r="22492" s="12" customFormat="1" x14ac:dyDescent="0.25"/>
    <row r="22493" s="12" customFormat="1" x14ac:dyDescent="0.25"/>
    <row r="22494" s="12" customFormat="1" x14ac:dyDescent="0.25"/>
    <row r="22495" s="12" customFormat="1" x14ac:dyDescent="0.25"/>
    <row r="22496" s="12" customFormat="1" x14ac:dyDescent="0.25"/>
    <row r="22497" s="12" customFormat="1" x14ac:dyDescent="0.25"/>
    <row r="22498" s="12" customFormat="1" x14ac:dyDescent="0.25"/>
    <row r="22499" s="12" customFormat="1" x14ac:dyDescent="0.25"/>
    <row r="22500" s="12" customFormat="1" x14ac:dyDescent="0.25"/>
    <row r="22501" s="12" customFormat="1" x14ac:dyDescent="0.25"/>
    <row r="22502" s="12" customFormat="1" x14ac:dyDescent="0.25"/>
    <row r="22503" s="12" customFormat="1" x14ac:dyDescent="0.25"/>
    <row r="22504" s="12" customFormat="1" x14ac:dyDescent="0.25"/>
    <row r="22505" s="12" customFormat="1" x14ac:dyDescent="0.25"/>
    <row r="22506" s="12" customFormat="1" x14ac:dyDescent="0.25"/>
    <row r="22507" s="12" customFormat="1" x14ac:dyDescent="0.25"/>
    <row r="22508" s="12" customFormat="1" x14ac:dyDescent="0.25"/>
    <row r="22509" s="12" customFormat="1" x14ac:dyDescent="0.25"/>
    <row r="22510" s="12" customFormat="1" x14ac:dyDescent="0.25"/>
    <row r="22511" s="12" customFormat="1" x14ac:dyDescent="0.25"/>
    <row r="22512" s="12" customFormat="1" x14ac:dyDescent="0.25"/>
    <row r="22513" s="12" customFormat="1" x14ac:dyDescent="0.25"/>
    <row r="22514" s="12" customFormat="1" x14ac:dyDescent="0.25"/>
    <row r="22515" s="12" customFormat="1" x14ac:dyDescent="0.25"/>
    <row r="22516" s="12" customFormat="1" x14ac:dyDescent="0.25"/>
    <row r="22517" s="12" customFormat="1" x14ac:dyDescent="0.25"/>
    <row r="22518" s="12" customFormat="1" x14ac:dyDescent="0.25"/>
    <row r="22519" s="12" customFormat="1" x14ac:dyDescent="0.25"/>
    <row r="22520" s="12" customFormat="1" x14ac:dyDescent="0.25"/>
    <row r="22521" s="12" customFormat="1" x14ac:dyDescent="0.25"/>
    <row r="22522" s="12" customFormat="1" x14ac:dyDescent="0.25"/>
    <row r="22523" s="12" customFormat="1" x14ac:dyDescent="0.25"/>
    <row r="22524" s="12" customFormat="1" x14ac:dyDescent="0.25"/>
    <row r="22525" s="12" customFormat="1" x14ac:dyDescent="0.25"/>
    <row r="22526" s="12" customFormat="1" x14ac:dyDescent="0.25"/>
    <row r="22527" s="12" customFormat="1" x14ac:dyDescent="0.25"/>
    <row r="22528" s="12" customFormat="1" x14ac:dyDescent="0.25"/>
    <row r="22529" s="12" customFormat="1" x14ac:dyDescent="0.25"/>
    <row r="22530" s="12" customFormat="1" x14ac:dyDescent="0.25"/>
    <row r="22531" s="12" customFormat="1" x14ac:dyDescent="0.25"/>
    <row r="22532" s="12" customFormat="1" x14ac:dyDescent="0.25"/>
    <row r="22533" s="12" customFormat="1" x14ac:dyDescent="0.25"/>
    <row r="22534" s="12" customFormat="1" x14ac:dyDescent="0.25"/>
    <row r="22535" s="12" customFormat="1" x14ac:dyDescent="0.25"/>
    <row r="22536" s="12" customFormat="1" x14ac:dyDescent="0.25"/>
    <row r="22537" s="12" customFormat="1" x14ac:dyDescent="0.25"/>
    <row r="22538" s="12" customFormat="1" x14ac:dyDescent="0.25"/>
    <row r="22539" s="12" customFormat="1" x14ac:dyDescent="0.25"/>
    <row r="22540" s="12" customFormat="1" x14ac:dyDescent="0.25"/>
    <row r="22541" s="12" customFormat="1" x14ac:dyDescent="0.25"/>
    <row r="22542" s="12" customFormat="1" x14ac:dyDescent="0.25"/>
    <row r="22543" s="12" customFormat="1" x14ac:dyDescent="0.25"/>
    <row r="22544" s="12" customFormat="1" x14ac:dyDescent="0.25"/>
    <row r="22545" s="12" customFormat="1" x14ac:dyDescent="0.25"/>
    <row r="22546" s="12" customFormat="1" x14ac:dyDescent="0.25"/>
    <row r="22547" s="12" customFormat="1" x14ac:dyDescent="0.25"/>
    <row r="22548" s="12" customFormat="1" x14ac:dyDescent="0.25"/>
    <row r="22549" s="12" customFormat="1" x14ac:dyDescent="0.25"/>
    <row r="22550" s="12" customFormat="1" x14ac:dyDescent="0.25"/>
    <row r="22551" s="12" customFormat="1" x14ac:dyDescent="0.25"/>
    <row r="22552" s="12" customFormat="1" x14ac:dyDescent="0.25"/>
    <row r="22553" s="12" customFormat="1" x14ac:dyDescent="0.25"/>
    <row r="22554" s="12" customFormat="1" x14ac:dyDescent="0.25"/>
    <row r="22555" s="12" customFormat="1" x14ac:dyDescent="0.25"/>
    <row r="22556" s="12" customFormat="1" x14ac:dyDescent="0.25"/>
    <row r="22557" s="12" customFormat="1" x14ac:dyDescent="0.25"/>
    <row r="22558" s="12" customFormat="1" x14ac:dyDescent="0.25"/>
    <row r="22559" s="12" customFormat="1" x14ac:dyDescent="0.25"/>
    <row r="22560" s="12" customFormat="1" x14ac:dyDescent="0.25"/>
    <row r="22561" s="12" customFormat="1" x14ac:dyDescent="0.25"/>
    <row r="22562" s="12" customFormat="1" x14ac:dyDescent="0.25"/>
    <row r="22563" s="12" customFormat="1" x14ac:dyDescent="0.25"/>
    <row r="22564" s="12" customFormat="1" x14ac:dyDescent="0.25"/>
    <row r="22565" s="12" customFormat="1" x14ac:dyDescent="0.25"/>
    <row r="22566" s="12" customFormat="1" x14ac:dyDescent="0.25"/>
    <row r="22567" s="12" customFormat="1" x14ac:dyDescent="0.25"/>
    <row r="22568" s="12" customFormat="1" x14ac:dyDescent="0.25"/>
    <row r="22569" s="12" customFormat="1" x14ac:dyDescent="0.25"/>
    <row r="22570" s="12" customFormat="1" x14ac:dyDescent="0.25"/>
    <row r="22571" s="12" customFormat="1" x14ac:dyDescent="0.25"/>
    <row r="22572" s="12" customFormat="1" x14ac:dyDescent="0.25"/>
    <row r="22573" s="12" customFormat="1" x14ac:dyDescent="0.25"/>
    <row r="22574" s="12" customFormat="1" x14ac:dyDescent="0.25"/>
    <row r="22575" s="12" customFormat="1" x14ac:dyDescent="0.25"/>
    <row r="22576" s="12" customFormat="1" x14ac:dyDescent="0.25"/>
    <row r="22577" s="12" customFormat="1" x14ac:dyDescent="0.25"/>
    <row r="22578" s="12" customFormat="1" x14ac:dyDescent="0.25"/>
    <row r="22579" s="12" customFormat="1" x14ac:dyDescent="0.25"/>
    <row r="22580" s="12" customFormat="1" x14ac:dyDescent="0.25"/>
    <row r="22581" s="12" customFormat="1" x14ac:dyDescent="0.25"/>
    <row r="22582" s="12" customFormat="1" x14ac:dyDescent="0.25"/>
    <row r="22583" s="12" customFormat="1" x14ac:dyDescent="0.25"/>
    <row r="22584" s="12" customFormat="1" x14ac:dyDescent="0.25"/>
    <row r="22585" s="12" customFormat="1" x14ac:dyDescent="0.25"/>
    <row r="22586" s="12" customFormat="1" x14ac:dyDescent="0.25"/>
    <row r="22587" s="12" customFormat="1" x14ac:dyDescent="0.25"/>
    <row r="22588" s="12" customFormat="1" x14ac:dyDescent="0.25"/>
    <row r="22589" s="12" customFormat="1" x14ac:dyDescent="0.25"/>
    <row r="22590" s="12" customFormat="1" x14ac:dyDescent="0.25"/>
    <row r="22591" s="12" customFormat="1" x14ac:dyDescent="0.25"/>
    <row r="22592" s="12" customFormat="1" x14ac:dyDescent="0.25"/>
    <row r="22593" s="12" customFormat="1" x14ac:dyDescent="0.25"/>
    <row r="22594" s="12" customFormat="1" x14ac:dyDescent="0.25"/>
    <row r="22595" s="12" customFormat="1" x14ac:dyDescent="0.25"/>
    <row r="22596" s="12" customFormat="1" x14ac:dyDescent="0.25"/>
    <row r="22597" s="12" customFormat="1" x14ac:dyDescent="0.25"/>
    <row r="22598" s="12" customFormat="1" x14ac:dyDescent="0.25"/>
    <row r="22599" s="12" customFormat="1" x14ac:dyDescent="0.25"/>
    <row r="22600" s="12" customFormat="1" x14ac:dyDescent="0.25"/>
    <row r="22601" s="12" customFormat="1" x14ac:dyDescent="0.25"/>
    <row r="22602" s="12" customFormat="1" x14ac:dyDescent="0.25"/>
    <row r="22603" s="12" customFormat="1" x14ac:dyDescent="0.25"/>
    <row r="22604" s="12" customFormat="1" x14ac:dyDescent="0.25"/>
    <row r="22605" s="12" customFormat="1" x14ac:dyDescent="0.25"/>
    <row r="22606" s="12" customFormat="1" x14ac:dyDescent="0.25"/>
    <row r="22607" s="12" customFormat="1" x14ac:dyDescent="0.25"/>
    <row r="22608" s="12" customFormat="1" x14ac:dyDescent="0.25"/>
    <row r="22609" s="12" customFormat="1" x14ac:dyDescent="0.25"/>
    <row r="22610" s="12" customFormat="1" x14ac:dyDescent="0.25"/>
    <row r="22611" s="12" customFormat="1" x14ac:dyDescent="0.25"/>
    <row r="22612" s="12" customFormat="1" x14ac:dyDescent="0.25"/>
    <row r="22613" s="12" customFormat="1" x14ac:dyDescent="0.25"/>
    <row r="22614" s="12" customFormat="1" x14ac:dyDescent="0.25"/>
    <row r="22615" s="12" customFormat="1" x14ac:dyDescent="0.25"/>
    <row r="22616" s="12" customFormat="1" x14ac:dyDescent="0.25"/>
    <row r="22617" s="12" customFormat="1" x14ac:dyDescent="0.25"/>
    <row r="22618" s="12" customFormat="1" x14ac:dyDescent="0.25"/>
    <row r="22619" s="12" customFormat="1" x14ac:dyDescent="0.25"/>
    <row r="22620" s="12" customFormat="1" x14ac:dyDescent="0.25"/>
    <row r="22621" s="12" customFormat="1" x14ac:dyDescent="0.25"/>
    <row r="22622" s="12" customFormat="1" x14ac:dyDescent="0.25"/>
    <row r="22623" s="12" customFormat="1" x14ac:dyDescent="0.25"/>
    <row r="22624" s="12" customFormat="1" x14ac:dyDescent="0.25"/>
    <row r="22625" s="12" customFormat="1" x14ac:dyDescent="0.25"/>
    <row r="22626" s="12" customFormat="1" x14ac:dyDescent="0.25"/>
    <row r="22627" s="12" customFormat="1" x14ac:dyDescent="0.25"/>
    <row r="22628" s="12" customFormat="1" x14ac:dyDescent="0.25"/>
    <row r="22629" s="12" customFormat="1" x14ac:dyDescent="0.25"/>
    <row r="22630" s="12" customFormat="1" x14ac:dyDescent="0.25"/>
    <row r="22631" s="12" customFormat="1" x14ac:dyDescent="0.25"/>
    <row r="22632" s="12" customFormat="1" x14ac:dyDescent="0.25"/>
    <row r="22633" s="12" customFormat="1" x14ac:dyDescent="0.25"/>
    <row r="22634" s="12" customFormat="1" x14ac:dyDescent="0.25"/>
    <row r="22635" s="12" customFormat="1" x14ac:dyDescent="0.25"/>
    <row r="22636" s="12" customFormat="1" x14ac:dyDescent="0.25"/>
    <row r="22637" s="12" customFormat="1" x14ac:dyDescent="0.25"/>
    <row r="22638" s="12" customFormat="1" x14ac:dyDescent="0.25"/>
    <row r="22639" s="12" customFormat="1" x14ac:dyDescent="0.25"/>
    <row r="22640" s="12" customFormat="1" x14ac:dyDescent="0.25"/>
    <row r="22641" s="12" customFormat="1" x14ac:dyDescent="0.25"/>
    <row r="22642" s="12" customFormat="1" x14ac:dyDescent="0.25"/>
    <row r="22643" s="12" customFormat="1" x14ac:dyDescent="0.25"/>
    <row r="22644" s="12" customFormat="1" x14ac:dyDescent="0.25"/>
    <row r="22645" s="12" customFormat="1" x14ac:dyDescent="0.25"/>
    <row r="22646" s="12" customFormat="1" x14ac:dyDescent="0.25"/>
    <row r="22647" s="12" customFormat="1" x14ac:dyDescent="0.25"/>
    <row r="22648" s="12" customFormat="1" x14ac:dyDescent="0.25"/>
    <row r="22649" s="12" customFormat="1" x14ac:dyDescent="0.25"/>
    <row r="22650" s="12" customFormat="1" x14ac:dyDescent="0.25"/>
    <row r="22651" s="12" customFormat="1" x14ac:dyDescent="0.25"/>
    <row r="22652" s="12" customFormat="1" x14ac:dyDescent="0.25"/>
    <row r="22653" s="12" customFormat="1" x14ac:dyDescent="0.25"/>
    <row r="22654" s="12" customFormat="1" x14ac:dyDescent="0.25"/>
    <row r="22655" s="12" customFormat="1" x14ac:dyDescent="0.25"/>
    <row r="22656" s="12" customFormat="1" x14ac:dyDescent="0.25"/>
    <row r="22657" s="12" customFormat="1" x14ac:dyDescent="0.25"/>
    <row r="22658" s="12" customFormat="1" x14ac:dyDescent="0.25"/>
    <row r="22659" s="12" customFormat="1" x14ac:dyDescent="0.25"/>
    <row r="22660" s="12" customFormat="1" x14ac:dyDescent="0.25"/>
    <row r="22661" s="12" customFormat="1" x14ac:dyDescent="0.25"/>
    <row r="22662" s="12" customFormat="1" x14ac:dyDescent="0.25"/>
    <row r="22663" s="12" customFormat="1" x14ac:dyDescent="0.25"/>
    <row r="22664" s="12" customFormat="1" x14ac:dyDescent="0.25"/>
    <row r="22665" s="12" customFormat="1" x14ac:dyDescent="0.25"/>
    <row r="22666" s="12" customFormat="1" x14ac:dyDescent="0.25"/>
    <row r="22667" s="12" customFormat="1" x14ac:dyDescent="0.25"/>
    <row r="22668" s="12" customFormat="1" x14ac:dyDescent="0.25"/>
    <row r="22669" s="12" customFormat="1" x14ac:dyDescent="0.25"/>
    <row r="22670" s="12" customFormat="1" x14ac:dyDescent="0.25"/>
    <row r="22671" s="12" customFormat="1" x14ac:dyDescent="0.25"/>
    <row r="22672" s="12" customFormat="1" x14ac:dyDescent="0.25"/>
    <row r="22673" s="12" customFormat="1" x14ac:dyDescent="0.25"/>
    <row r="22674" s="12" customFormat="1" x14ac:dyDescent="0.25"/>
    <row r="22675" s="12" customFormat="1" x14ac:dyDescent="0.25"/>
    <row r="22676" s="12" customFormat="1" x14ac:dyDescent="0.25"/>
    <row r="22677" s="12" customFormat="1" x14ac:dyDescent="0.25"/>
    <row r="22678" s="12" customFormat="1" x14ac:dyDescent="0.25"/>
    <row r="22679" s="12" customFormat="1" x14ac:dyDescent="0.25"/>
    <row r="22680" s="12" customFormat="1" x14ac:dyDescent="0.25"/>
    <row r="22681" s="12" customFormat="1" x14ac:dyDescent="0.25"/>
    <row r="22682" s="12" customFormat="1" x14ac:dyDescent="0.25"/>
    <row r="22683" s="12" customFormat="1" x14ac:dyDescent="0.25"/>
    <row r="22684" s="12" customFormat="1" x14ac:dyDescent="0.25"/>
    <row r="22685" s="12" customFormat="1" x14ac:dyDescent="0.25"/>
    <row r="22686" s="12" customFormat="1" x14ac:dyDescent="0.25"/>
    <row r="22687" s="12" customFormat="1" x14ac:dyDescent="0.25"/>
    <row r="22688" s="12" customFormat="1" x14ac:dyDescent="0.25"/>
    <row r="22689" s="12" customFormat="1" x14ac:dyDescent="0.25"/>
    <row r="22690" s="12" customFormat="1" x14ac:dyDescent="0.25"/>
    <row r="22691" s="12" customFormat="1" x14ac:dyDescent="0.25"/>
    <row r="22692" s="12" customFormat="1" x14ac:dyDescent="0.25"/>
    <row r="22693" s="12" customFormat="1" x14ac:dyDescent="0.25"/>
    <row r="22694" s="12" customFormat="1" x14ac:dyDescent="0.25"/>
    <row r="22695" s="12" customFormat="1" x14ac:dyDescent="0.25"/>
    <row r="22696" s="12" customFormat="1" x14ac:dyDescent="0.25"/>
    <row r="22697" s="12" customFormat="1" x14ac:dyDescent="0.25"/>
    <row r="22698" s="12" customFormat="1" x14ac:dyDescent="0.25"/>
    <row r="22699" s="12" customFormat="1" x14ac:dyDescent="0.25"/>
    <row r="22700" s="12" customFormat="1" x14ac:dyDescent="0.25"/>
    <row r="22701" s="12" customFormat="1" x14ac:dyDescent="0.25"/>
    <row r="22702" s="12" customFormat="1" x14ac:dyDescent="0.25"/>
    <row r="22703" s="12" customFormat="1" x14ac:dyDescent="0.25"/>
    <row r="22704" s="12" customFormat="1" x14ac:dyDescent="0.25"/>
    <row r="22705" s="12" customFormat="1" x14ac:dyDescent="0.25"/>
    <row r="22706" s="12" customFormat="1" x14ac:dyDescent="0.25"/>
    <row r="22707" s="12" customFormat="1" x14ac:dyDescent="0.25"/>
    <row r="22708" s="12" customFormat="1" x14ac:dyDescent="0.25"/>
    <row r="22709" s="12" customFormat="1" x14ac:dyDescent="0.25"/>
    <row r="22710" s="12" customFormat="1" x14ac:dyDescent="0.25"/>
    <row r="22711" s="12" customFormat="1" x14ac:dyDescent="0.25"/>
    <row r="22712" s="12" customFormat="1" x14ac:dyDescent="0.25"/>
    <row r="22713" s="12" customFormat="1" x14ac:dyDescent="0.25"/>
    <row r="22714" s="12" customFormat="1" x14ac:dyDescent="0.25"/>
    <row r="22715" s="12" customFormat="1" x14ac:dyDescent="0.25"/>
    <row r="22716" s="12" customFormat="1" x14ac:dyDescent="0.25"/>
    <row r="22717" s="12" customFormat="1" x14ac:dyDescent="0.25"/>
    <row r="22718" s="12" customFormat="1" x14ac:dyDescent="0.25"/>
    <row r="22719" s="12" customFormat="1" x14ac:dyDescent="0.25"/>
    <row r="22720" s="12" customFormat="1" x14ac:dyDescent="0.25"/>
    <row r="22721" s="12" customFormat="1" x14ac:dyDescent="0.25"/>
    <row r="22722" s="12" customFormat="1" x14ac:dyDescent="0.25"/>
    <row r="22723" s="12" customFormat="1" x14ac:dyDescent="0.25"/>
    <row r="22724" s="12" customFormat="1" x14ac:dyDescent="0.25"/>
    <row r="22725" s="12" customFormat="1" x14ac:dyDescent="0.25"/>
    <row r="22726" s="12" customFormat="1" x14ac:dyDescent="0.25"/>
    <row r="22727" s="12" customFormat="1" x14ac:dyDescent="0.25"/>
    <row r="22728" s="12" customFormat="1" x14ac:dyDescent="0.25"/>
    <row r="22729" s="12" customFormat="1" x14ac:dyDescent="0.25"/>
    <row r="22730" s="12" customFormat="1" x14ac:dyDescent="0.25"/>
    <row r="22731" s="12" customFormat="1" x14ac:dyDescent="0.25"/>
    <row r="22732" s="12" customFormat="1" x14ac:dyDescent="0.25"/>
    <row r="22733" s="12" customFormat="1" x14ac:dyDescent="0.25"/>
    <row r="22734" s="12" customFormat="1" x14ac:dyDescent="0.25"/>
    <row r="22735" s="12" customFormat="1" x14ac:dyDescent="0.25"/>
    <row r="22736" s="12" customFormat="1" x14ac:dyDescent="0.25"/>
    <row r="22737" s="12" customFormat="1" x14ac:dyDescent="0.25"/>
    <row r="22738" s="12" customFormat="1" x14ac:dyDescent="0.25"/>
    <row r="22739" s="12" customFormat="1" x14ac:dyDescent="0.25"/>
    <row r="22740" s="12" customFormat="1" x14ac:dyDescent="0.25"/>
    <row r="22741" s="12" customFormat="1" x14ac:dyDescent="0.25"/>
    <row r="22742" s="12" customFormat="1" x14ac:dyDescent="0.25"/>
    <row r="22743" s="12" customFormat="1" x14ac:dyDescent="0.25"/>
    <row r="22744" s="12" customFormat="1" x14ac:dyDescent="0.25"/>
    <row r="22745" s="12" customFormat="1" x14ac:dyDescent="0.25"/>
    <row r="22746" s="12" customFormat="1" x14ac:dyDescent="0.25"/>
    <row r="22747" s="12" customFormat="1" x14ac:dyDescent="0.25"/>
    <row r="22748" s="12" customFormat="1" x14ac:dyDescent="0.25"/>
    <row r="22749" s="12" customFormat="1" x14ac:dyDescent="0.25"/>
    <row r="22750" s="12" customFormat="1" x14ac:dyDescent="0.25"/>
    <row r="22751" s="12" customFormat="1" x14ac:dyDescent="0.25"/>
    <row r="22752" s="12" customFormat="1" x14ac:dyDescent="0.25"/>
    <row r="22753" s="12" customFormat="1" x14ac:dyDescent="0.25"/>
    <row r="22754" s="12" customFormat="1" x14ac:dyDescent="0.25"/>
    <row r="22755" s="12" customFormat="1" x14ac:dyDescent="0.25"/>
    <row r="22756" s="12" customFormat="1" x14ac:dyDescent="0.25"/>
    <row r="22757" s="12" customFormat="1" x14ac:dyDescent="0.25"/>
    <row r="22758" s="12" customFormat="1" x14ac:dyDescent="0.25"/>
    <row r="22759" s="12" customFormat="1" x14ac:dyDescent="0.25"/>
    <row r="22760" s="12" customFormat="1" x14ac:dyDescent="0.25"/>
    <row r="22761" s="12" customFormat="1" x14ac:dyDescent="0.25"/>
    <row r="22762" s="12" customFormat="1" x14ac:dyDescent="0.25"/>
    <row r="22763" s="12" customFormat="1" x14ac:dyDescent="0.25"/>
    <row r="22764" s="12" customFormat="1" x14ac:dyDescent="0.25"/>
    <row r="22765" s="12" customFormat="1" x14ac:dyDescent="0.25"/>
    <row r="22766" s="12" customFormat="1" x14ac:dyDescent="0.25"/>
    <row r="22767" s="12" customFormat="1" x14ac:dyDescent="0.25"/>
    <row r="22768" s="12" customFormat="1" x14ac:dyDescent="0.25"/>
    <row r="22769" s="12" customFormat="1" x14ac:dyDescent="0.25"/>
    <row r="22770" s="12" customFormat="1" x14ac:dyDescent="0.25"/>
    <row r="22771" s="12" customFormat="1" x14ac:dyDescent="0.25"/>
    <row r="22772" s="12" customFormat="1" x14ac:dyDescent="0.25"/>
    <row r="22773" s="12" customFormat="1" x14ac:dyDescent="0.25"/>
    <row r="22774" s="12" customFormat="1" x14ac:dyDescent="0.25"/>
    <row r="22775" s="12" customFormat="1" x14ac:dyDescent="0.25"/>
    <row r="22776" s="12" customFormat="1" x14ac:dyDescent="0.25"/>
    <row r="22777" s="12" customFormat="1" x14ac:dyDescent="0.25"/>
    <row r="22778" s="12" customFormat="1" x14ac:dyDescent="0.25"/>
    <row r="22779" s="12" customFormat="1" x14ac:dyDescent="0.25"/>
    <row r="22780" s="12" customFormat="1" x14ac:dyDescent="0.25"/>
    <row r="22781" s="12" customFormat="1" x14ac:dyDescent="0.25"/>
    <row r="22782" s="12" customFormat="1" x14ac:dyDescent="0.25"/>
    <row r="22783" s="12" customFormat="1" x14ac:dyDescent="0.25"/>
    <row r="22784" s="12" customFormat="1" x14ac:dyDescent="0.25"/>
    <row r="22785" s="12" customFormat="1" x14ac:dyDescent="0.25"/>
    <row r="22786" s="12" customFormat="1" x14ac:dyDescent="0.25"/>
    <row r="22787" s="12" customFormat="1" x14ac:dyDescent="0.25"/>
    <row r="22788" s="12" customFormat="1" x14ac:dyDescent="0.25"/>
    <row r="22789" s="12" customFormat="1" x14ac:dyDescent="0.25"/>
    <row r="22790" s="12" customFormat="1" x14ac:dyDescent="0.25"/>
    <row r="22791" s="12" customFormat="1" x14ac:dyDescent="0.25"/>
    <row r="22792" s="12" customFormat="1" x14ac:dyDescent="0.25"/>
    <row r="22793" s="12" customFormat="1" x14ac:dyDescent="0.25"/>
    <row r="22794" s="12" customFormat="1" x14ac:dyDescent="0.25"/>
    <row r="22795" s="12" customFormat="1" x14ac:dyDescent="0.25"/>
    <row r="22796" s="12" customFormat="1" x14ac:dyDescent="0.25"/>
    <row r="22797" s="12" customFormat="1" x14ac:dyDescent="0.25"/>
    <row r="22798" s="12" customFormat="1" x14ac:dyDescent="0.25"/>
    <row r="22799" s="12" customFormat="1" x14ac:dyDescent="0.25"/>
    <row r="22800" s="12" customFormat="1" x14ac:dyDescent="0.25"/>
    <row r="22801" s="12" customFormat="1" x14ac:dyDescent="0.25"/>
    <row r="22802" s="12" customFormat="1" x14ac:dyDescent="0.25"/>
    <row r="22803" s="12" customFormat="1" x14ac:dyDescent="0.25"/>
    <row r="22804" s="12" customFormat="1" x14ac:dyDescent="0.25"/>
    <row r="22805" s="12" customFormat="1" x14ac:dyDescent="0.25"/>
    <row r="22806" s="12" customFormat="1" x14ac:dyDescent="0.25"/>
    <row r="22807" s="12" customFormat="1" x14ac:dyDescent="0.25"/>
    <row r="22808" s="12" customFormat="1" x14ac:dyDescent="0.25"/>
    <row r="22809" s="12" customFormat="1" x14ac:dyDescent="0.25"/>
    <row r="22810" s="12" customFormat="1" x14ac:dyDescent="0.25"/>
    <row r="22811" s="12" customFormat="1" x14ac:dyDescent="0.25"/>
    <row r="22812" s="12" customFormat="1" x14ac:dyDescent="0.25"/>
    <row r="22813" s="12" customFormat="1" x14ac:dyDescent="0.25"/>
    <row r="22814" s="12" customFormat="1" x14ac:dyDescent="0.25"/>
    <row r="22815" s="12" customFormat="1" x14ac:dyDescent="0.25"/>
    <row r="22816" s="12" customFormat="1" x14ac:dyDescent="0.25"/>
    <row r="22817" s="12" customFormat="1" x14ac:dyDescent="0.25"/>
    <row r="22818" s="12" customFormat="1" x14ac:dyDescent="0.25"/>
    <row r="22819" s="12" customFormat="1" x14ac:dyDescent="0.25"/>
    <row r="22820" s="12" customFormat="1" x14ac:dyDescent="0.25"/>
    <row r="22821" s="12" customFormat="1" x14ac:dyDescent="0.25"/>
    <row r="22822" s="12" customFormat="1" x14ac:dyDescent="0.25"/>
    <row r="22823" s="12" customFormat="1" x14ac:dyDescent="0.25"/>
    <row r="22824" s="12" customFormat="1" x14ac:dyDescent="0.25"/>
    <row r="22825" s="12" customFormat="1" x14ac:dyDescent="0.25"/>
    <row r="22826" s="12" customFormat="1" x14ac:dyDescent="0.25"/>
    <row r="22827" s="12" customFormat="1" x14ac:dyDescent="0.25"/>
    <row r="22828" s="12" customFormat="1" x14ac:dyDescent="0.25"/>
    <row r="22829" s="12" customFormat="1" x14ac:dyDescent="0.25"/>
    <row r="22830" s="12" customFormat="1" x14ac:dyDescent="0.25"/>
    <row r="22831" s="12" customFormat="1" x14ac:dyDescent="0.25"/>
    <row r="22832" s="12" customFormat="1" x14ac:dyDescent="0.25"/>
    <row r="22833" s="12" customFormat="1" x14ac:dyDescent="0.25"/>
    <row r="22834" s="12" customFormat="1" x14ac:dyDescent="0.25"/>
    <row r="22835" s="12" customFormat="1" x14ac:dyDescent="0.25"/>
    <row r="22836" s="12" customFormat="1" x14ac:dyDescent="0.25"/>
    <row r="22837" s="12" customFormat="1" x14ac:dyDescent="0.25"/>
    <row r="22838" s="12" customFormat="1" x14ac:dyDescent="0.25"/>
    <row r="22839" s="12" customFormat="1" x14ac:dyDescent="0.25"/>
    <row r="22840" s="12" customFormat="1" x14ac:dyDescent="0.25"/>
    <row r="22841" s="12" customFormat="1" x14ac:dyDescent="0.25"/>
    <row r="22842" s="12" customFormat="1" x14ac:dyDescent="0.25"/>
    <row r="22843" s="12" customFormat="1" x14ac:dyDescent="0.25"/>
    <row r="22844" s="12" customFormat="1" x14ac:dyDescent="0.25"/>
    <row r="22845" s="12" customFormat="1" x14ac:dyDescent="0.25"/>
    <row r="22846" s="12" customFormat="1" x14ac:dyDescent="0.25"/>
    <row r="22847" s="12" customFormat="1" x14ac:dyDescent="0.25"/>
    <row r="22848" s="12" customFormat="1" x14ac:dyDescent="0.25"/>
    <row r="22849" s="12" customFormat="1" x14ac:dyDescent="0.25"/>
    <row r="22850" s="12" customFormat="1" x14ac:dyDescent="0.25"/>
    <row r="22851" s="12" customFormat="1" x14ac:dyDescent="0.25"/>
    <row r="22852" s="12" customFormat="1" x14ac:dyDescent="0.25"/>
    <row r="22853" s="12" customFormat="1" x14ac:dyDescent="0.25"/>
    <row r="22854" s="12" customFormat="1" x14ac:dyDescent="0.25"/>
    <row r="22855" s="12" customFormat="1" x14ac:dyDescent="0.25"/>
    <row r="22856" s="12" customFormat="1" x14ac:dyDescent="0.25"/>
    <row r="22857" s="12" customFormat="1" x14ac:dyDescent="0.25"/>
    <row r="22858" s="12" customFormat="1" x14ac:dyDescent="0.25"/>
    <row r="22859" s="12" customFormat="1" x14ac:dyDescent="0.25"/>
    <row r="22860" s="12" customFormat="1" x14ac:dyDescent="0.25"/>
    <row r="22861" s="12" customFormat="1" x14ac:dyDescent="0.25"/>
    <row r="22862" s="12" customFormat="1" x14ac:dyDescent="0.25"/>
    <row r="22863" s="12" customFormat="1" x14ac:dyDescent="0.25"/>
    <row r="22864" s="12" customFormat="1" x14ac:dyDescent="0.25"/>
    <row r="22865" s="12" customFormat="1" x14ac:dyDescent="0.25"/>
    <row r="22866" s="12" customFormat="1" x14ac:dyDescent="0.25"/>
    <row r="22867" s="12" customFormat="1" x14ac:dyDescent="0.25"/>
    <row r="22868" s="12" customFormat="1" x14ac:dyDescent="0.25"/>
    <row r="22869" s="12" customFormat="1" x14ac:dyDescent="0.25"/>
    <row r="22870" s="12" customFormat="1" x14ac:dyDescent="0.25"/>
    <row r="22871" s="12" customFormat="1" x14ac:dyDescent="0.25"/>
    <row r="22872" s="12" customFormat="1" x14ac:dyDescent="0.25"/>
    <row r="22873" s="12" customFormat="1" x14ac:dyDescent="0.25"/>
    <row r="22874" s="12" customFormat="1" x14ac:dyDescent="0.25"/>
    <row r="22875" s="12" customFormat="1" x14ac:dyDescent="0.25"/>
    <row r="22876" s="12" customFormat="1" x14ac:dyDescent="0.25"/>
    <row r="22877" s="12" customFormat="1" x14ac:dyDescent="0.25"/>
    <row r="22878" s="12" customFormat="1" x14ac:dyDescent="0.25"/>
    <row r="22879" s="12" customFormat="1" x14ac:dyDescent="0.25"/>
    <row r="22880" s="12" customFormat="1" x14ac:dyDescent="0.25"/>
    <row r="22881" s="12" customFormat="1" x14ac:dyDescent="0.25"/>
    <row r="22882" s="12" customFormat="1" x14ac:dyDescent="0.25"/>
    <row r="22883" s="12" customFormat="1" x14ac:dyDescent="0.25"/>
    <row r="22884" s="12" customFormat="1" x14ac:dyDescent="0.25"/>
    <row r="22885" s="12" customFormat="1" x14ac:dyDescent="0.25"/>
    <row r="22886" s="12" customFormat="1" x14ac:dyDescent="0.25"/>
    <row r="22887" s="12" customFormat="1" x14ac:dyDescent="0.25"/>
    <row r="22888" s="12" customFormat="1" x14ac:dyDescent="0.25"/>
    <row r="22889" s="12" customFormat="1" x14ac:dyDescent="0.25"/>
    <row r="22890" s="12" customFormat="1" x14ac:dyDescent="0.25"/>
    <row r="22891" s="12" customFormat="1" x14ac:dyDescent="0.25"/>
    <row r="22892" s="12" customFormat="1" x14ac:dyDescent="0.25"/>
    <row r="22893" s="12" customFormat="1" x14ac:dyDescent="0.25"/>
    <row r="22894" s="12" customFormat="1" x14ac:dyDescent="0.25"/>
    <row r="22895" s="12" customFormat="1" x14ac:dyDescent="0.25"/>
    <row r="22896" s="12" customFormat="1" x14ac:dyDescent="0.25"/>
    <row r="22897" s="12" customFormat="1" x14ac:dyDescent="0.25"/>
    <row r="22898" s="12" customFormat="1" x14ac:dyDescent="0.25"/>
    <row r="22899" s="12" customFormat="1" x14ac:dyDescent="0.25"/>
    <row r="22900" s="12" customFormat="1" x14ac:dyDescent="0.25"/>
    <row r="22901" s="12" customFormat="1" x14ac:dyDescent="0.25"/>
    <row r="22902" s="12" customFormat="1" x14ac:dyDescent="0.25"/>
    <row r="22903" s="12" customFormat="1" x14ac:dyDescent="0.25"/>
    <row r="22904" s="12" customFormat="1" x14ac:dyDescent="0.25"/>
    <row r="22905" s="12" customFormat="1" x14ac:dyDescent="0.25"/>
    <row r="22906" s="12" customFormat="1" x14ac:dyDescent="0.25"/>
    <row r="22907" s="12" customFormat="1" x14ac:dyDescent="0.25"/>
    <row r="22908" s="12" customFormat="1" x14ac:dyDescent="0.25"/>
    <row r="22909" s="12" customFormat="1" x14ac:dyDescent="0.25"/>
    <row r="22910" s="12" customFormat="1" x14ac:dyDescent="0.25"/>
    <row r="22911" s="12" customFormat="1" x14ac:dyDescent="0.25"/>
    <row r="22912" s="12" customFormat="1" x14ac:dyDescent="0.25"/>
    <row r="22913" s="12" customFormat="1" x14ac:dyDescent="0.25"/>
    <row r="22914" s="12" customFormat="1" x14ac:dyDescent="0.25"/>
    <row r="22915" s="12" customFormat="1" x14ac:dyDescent="0.25"/>
    <row r="22916" s="12" customFormat="1" x14ac:dyDescent="0.25"/>
    <row r="22917" s="12" customFormat="1" x14ac:dyDescent="0.25"/>
    <row r="22918" s="12" customFormat="1" x14ac:dyDescent="0.25"/>
    <row r="22919" s="12" customFormat="1" x14ac:dyDescent="0.25"/>
    <row r="22920" s="12" customFormat="1" x14ac:dyDescent="0.25"/>
    <row r="22921" s="12" customFormat="1" x14ac:dyDescent="0.25"/>
    <row r="22922" s="12" customFormat="1" x14ac:dyDescent="0.25"/>
    <row r="22923" s="12" customFormat="1" x14ac:dyDescent="0.25"/>
    <row r="22924" s="12" customFormat="1" x14ac:dyDescent="0.25"/>
    <row r="22925" s="12" customFormat="1" x14ac:dyDescent="0.25"/>
    <row r="22926" s="12" customFormat="1" x14ac:dyDescent="0.25"/>
    <row r="22927" s="12" customFormat="1" x14ac:dyDescent="0.25"/>
    <row r="22928" s="12" customFormat="1" x14ac:dyDescent="0.25"/>
    <row r="22929" s="12" customFormat="1" x14ac:dyDescent="0.25"/>
    <row r="22930" s="12" customFormat="1" x14ac:dyDescent="0.25"/>
    <row r="22931" s="12" customFormat="1" x14ac:dyDescent="0.25"/>
    <row r="22932" s="12" customFormat="1" x14ac:dyDescent="0.25"/>
    <row r="22933" s="12" customFormat="1" x14ac:dyDescent="0.25"/>
    <row r="22934" s="12" customFormat="1" x14ac:dyDescent="0.25"/>
    <row r="22935" s="12" customFormat="1" x14ac:dyDescent="0.25"/>
    <row r="22936" s="12" customFormat="1" x14ac:dyDescent="0.25"/>
    <row r="22937" s="12" customFormat="1" x14ac:dyDescent="0.25"/>
    <row r="22938" s="12" customFormat="1" x14ac:dyDescent="0.25"/>
    <row r="22939" s="12" customFormat="1" x14ac:dyDescent="0.25"/>
    <row r="22940" s="12" customFormat="1" x14ac:dyDescent="0.25"/>
    <row r="22941" s="12" customFormat="1" x14ac:dyDescent="0.25"/>
    <row r="22942" s="12" customFormat="1" x14ac:dyDescent="0.25"/>
    <row r="22943" s="12" customFormat="1" x14ac:dyDescent="0.25"/>
    <row r="22944" s="12" customFormat="1" x14ac:dyDescent="0.25"/>
    <row r="22945" s="12" customFormat="1" x14ac:dyDescent="0.25"/>
    <row r="22946" s="12" customFormat="1" x14ac:dyDescent="0.25"/>
    <row r="22947" s="12" customFormat="1" x14ac:dyDescent="0.25"/>
    <row r="22948" s="12" customFormat="1" x14ac:dyDescent="0.25"/>
    <row r="22949" s="12" customFormat="1" x14ac:dyDescent="0.25"/>
    <row r="22950" s="12" customFormat="1" x14ac:dyDescent="0.25"/>
    <row r="22951" s="12" customFormat="1" x14ac:dyDescent="0.25"/>
    <row r="22952" s="12" customFormat="1" x14ac:dyDescent="0.25"/>
    <row r="22953" s="12" customFormat="1" x14ac:dyDescent="0.25"/>
    <row r="22954" s="12" customFormat="1" x14ac:dyDescent="0.25"/>
    <row r="22955" s="12" customFormat="1" x14ac:dyDescent="0.25"/>
    <row r="22956" s="12" customFormat="1" x14ac:dyDescent="0.25"/>
    <row r="22957" s="12" customFormat="1" x14ac:dyDescent="0.25"/>
    <row r="22958" s="12" customFormat="1" x14ac:dyDescent="0.25"/>
    <row r="22959" s="12" customFormat="1" x14ac:dyDescent="0.25"/>
    <row r="22960" s="12" customFormat="1" x14ac:dyDescent="0.25"/>
    <row r="22961" s="12" customFormat="1" x14ac:dyDescent="0.25"/>
    <row r="22962" s="12" customFormat="1" x14ac:dyDescent="0.25"/>
    <row r="22963" s="12" customFormat="1" x14ac:dyDescent="0.25"/>
    <row r="22964" s="12" customFormat="1" x14ac:dyDescent="0.25"/>
    <row r="22965" s="12" customFormat="1" x14ac:dyDescent="0.25"/>
    <row r="22966" s="12" customFormat="1" x14ac:dyDescent="0.25"/>
    <row r="22967" s="12" customFormat="1" x14ac:dyDescent="0.25"/>
    <row r="22968" s="12" customFormat="1" x14ac:dyDescent="0.25"/>
    <row r="22969" s="12" customFormat="1" x14ac:dyDescent="0.25"/>
    <row r="22970" s="12" customFormat="1" x14ac:dyDescent="0.25"/>
    <row r="22971" s="12" customFormat="1" x14ac:dyDescent="0.25"/>
    <row r="22972" s="12" customFormat="1" x14ac:dyDescent="0.25"/>
    <row r="22973" s="12" customFormat="1" x14ac:dyDescent="0.25"/>
    <row r="22974" s="12" customFormat="1" x14ac:dyDescent="0.25"/>
    <row r="22975" s="12" customFormat="1" x14ac:dyDescent="0.25"/>
    <row r="22976" s="12" customFormat="1" x14ac:dyDescent="0.25"/>
    <row r="22977" s="12" customFormat="1" x14ac:dyDescent="0.25"/>
    <row r="22978" s="12" customFormat="1" x14ac:dyDescent="0.25"/>
    <row r="22979" s="12" customFormat="1" x14ac:dyDescent="0.25"/>
    <row r="22980" s="12" customFormat="1" x14ac:dyDescent="0.25"/>
    <row r="22981" s="12" customFormat="1" x14ac:dyDescent="0.25"/>
    <row r="22982" s="12" customFormat="1" x14ac:dyDescent="0.25"/>
    <row r="22983" s="12" customFormat="1" x14ac:dyDescent="0.25"/>
    <row r="22984" s="12" customFormat="1" x14ac:dyDescent="0.25"/>
    <row r="22985" s="12" customFormat="1" x14ac:dyDescent="0.25"/>
    <row r="22986" s="12" customFormat="1" x14ac:dyDescent="0.25"/>
    <row r="22987" s="12" customFormat="1" x14ac:dyDescent="0.25"/>
    <row r="22988" s="12" customFormat="1" x14ac:dyDescent="0.25"/>
    <row r="22989" s="12" customFormat="1" x14ac:dyDescent="0.25"/>
    <row r="22990" s="12" customFormat="1" x14ac:dyDescent="0.25"/>
    <row r="22991" s="12" customFormat="1" x14ac:dyDescent="0.25"/>
    <row r="22992" s="12" customFormat="1" x14ac:dyDescent="0.25"/>
    <row r="22993" s="12" customFormat="1" x14ac:dyDescent="0.25"/>
    <row r="22994" s="12" customFormat="1" x14ac:dyDescent="0.25"/>
    <row r="22995" s="12" customFormat="1" x14ac:dyDescent="0.25"/>
    <row r="22996" s="12" customFormat="1" x14ac:dyDescent="0.25"/>
    <row r="22997" s="12" customFormat="1" x14ac:dyDescent="0.25"/>
    <row r="22998" s="12" customFormat="1" x14ac:dyDescent="0.25"/>
    <row r="22999" s="12" customFormat="1" x14ac:dyDescent="0.25"/>
    <row r="23000" s="12" customFormat="1" x14ac:dyDescent="0.25"/>
    <row r="23001" s="12" customFormat="1" x14ac:dyDescent="0.25"/>
    <row r="23002" s="12" customFormat="1" x14ac:dyDescent="0.25"/>
    <row r="23003" s="12" customFormat="1" x14ac:dyDescent="0.25"/>
    <row r="23004" s="12" customFormat="1" x14ac:dyDescent="0.25"/>
    <row r="23005" s="12" customFormat="1" x14ac:dyDescent="0.25"/>
    <row r="23006" s="12" customFormat="1" x14ac:dyDescent="0.25"/>
    <row r="23007" s="12" customFormat="1" x14ac:dyDescent="0.25"/>
    <row r="23008" s="12" customFormat="1" x14ac:dyDescent="0.25"/>
    <row r="23009" s="12" customFormat="1" x14ac:dyDescent="0.25"/>
    <row r="23010" s="12" customFormat="1" x14ac:dyDescent="0.25"/>
    <row r="23011" s="12" customFormat="1" x14ac:dyDescent="0.25"/>
    <row r="23012" s="12" customFormat="1" x14ac:dyDescent="0.25"/>
    <row r="23013" s="12" customFormat="1" x14ac:dyDescent="0.25"/>
    <row r="23014" s="12" customFormat="1" x14ac:dyDescent="0.25"/>
    <row r="23015" s="12" customFormat="1" x14ac:dyDescent="0.25"/>
    <row r="23016" s="12" customFormat="1" x14ac:dyDescent="0.25"/>
    <row r="23017" s="12" customFormat="1" x14ac:dyDescent="0.25"/>
    <row r="23018" s="12" customFormat="1" x14ac:dyDescent="0.25"/>
    <row r="23019" s="12" customFormat="1" x14ac:dyDescent="0.25"/>
    <row r="23020" s="12" customFormat="1" x14ac:dyDescent="0.25"/>
    <row r="23021" s="12" customFormat="1" x14ac:dyDescent="0.25"/>
    <row r="23022" s="12" customFormat="1" x14ac:dyDescent="0.25"/>
    <row r="23023" s="12" customFormat="1" x14ac:dyDescent="0.25"/>
    <row r="23024" s="12" customFormat="1" x14ac:dyDescent="0.25"/>
    <row r="23025" s="12" customFormat="1" x14ac:dyDescent="0.25"/>
    <row r="23026" s="12" customFormat="1" x14ac:dyDescent="0.25"/>
    <row r="23027" s="12" customFormat="1" x14ac:dyDescent="0.25"/>
    <row r="23028" s="12" customFormat="1" x14ac:dyDescent="0.25"/>
    <row r="23029" s="12" customFormat="1" x14ac:dyDescent="0.25"/>
    <row r="23030" s="12" customFormat="1" x14ac:dyDescent="0.25"/>
    <row r="23031" s="12" customFormat="1" x14ac:dyDescent="0.25"/>
    <row r="23032" s="12" customFormat="1" x14ac:dyDescent="0.25"/>
    <row r="23033" s="12" customFormat="1" x14ac:dyDescent="0.25"/>
    <row r="23034" s="12" customFormat="1" x14ac:dyDescent="0.25"/>
    <row r="23035" s="12" customFormat="1" x14ac:dyDescent="0.25"/>
    <row r="23036" s="12" customFormat="1" x14ac:dyDescent="0.25"/>
    <row r="23037" s="12" customFormat="1" x14ac:dyDescent="0.25"/>
    <row r="23038" s="12" customFormat="1" x14ac:dyDescent="0.25"/>
    <row r="23039" s="12" customFormat="1" x14ac:dyDescent="0.25"/>
    <row r="23040" s="12" customFormat="1" x14ac:dyDescent="0.25"/>
    <row r="23041" s="12" customFormat="1" x14ac:dyDescent="0.25"/>
    <row r="23042" s="12" customFormat="1" x14ac:dyDescent="0.25"/>
    <row r="23043" s="12" customFormat="1" x14ac:dyDescent="0.25"/>
    <row r="23044" s="12" customFormat="1" x14ac:dyDescent="0.25"/>
    <row r="23045" s="12" customFormat="1" x14ac:dyDescent="0.25"/>
    <row r="23046" s="12" customFormat="1" x14ac:dyDescent="0.25"/>
    <row r="23047" s="12" customFormat="1" x14ac:dyDescent="0.25"/>
    <row r="23048" s="12" customFormat="1" x14ac:dyDescent="0.25"/>
    <row r="23049" s="12" customFormat="1" x14ac:dyDescent="0.25"/>
    <row r="23050" s="12" customFormat="1" x14ac:dyDescent="0.25"/>
    <row r="23051" s="12" customFormat="1" x14ac:dyDescent="0.25"/>
    <row r="23052" s="12" customFormat="1" x14ac:dyDescent="0.25"/>
    <row r="23053" s="12" customFormat="1" x14ac:dyDescent="0.25"/>
    <row r="23054" s="12" customFormat="1" x14ac:dyDescent="0.25"/>
    <row r="23055" s="12" customFormat="1" x14ac:dyDescent="0.25"/>
    <row r="23056" s="12" customFormat="1" x14ac:dyDescent="0.25"/>
    <row r="23057" s="12" customFormat="1" x14ac:dyDescent="0.25"/>
    <row r="23058" s="12" customFormat="1" x14ac:dyDescent="0.25"/>
    <row r="23059" s="12" customFormat="1" x14ac:dyDescent="0.25"/>
    <row r="23060" s="12" customFormat="1" x14ac:dyDescent="0.25"/>
    <row r="23061" s="12" customFormat="1" x14ac:dyDescent="0.25"/>
    <row r="23062" s="12" customFormat="1" x14ac:dyDescent="0.25"/>
    <row r="23063" s="12" customFormat="1" x14ac:dyDescent="0.25"/>
    <row r="23064" s="12" customFormat="1" x14ac:dyDescent="0.25"/>
    <row r="23065" s="12" customFormat="1" x14ac:dyDescent="0.25"/>
    <row r="23066" s="12" customFormat="1" x14ac:dyDescent="0.25"/>
    <row r="23067" s="12" customFormat="1" x14ac:dyDescent="0.25"/>
    <row r="23068" s="12" customFormat="1" x14ac:dyDescent="0.25"/>
    <row r="23069" s="12" customFormat="1" x14ac:dyDescent="0.25"/>
    <row r="23070" s="12" customFormat="1" x14ac:dyDescent="0.25"/>
    <row r="23071" s="12" customFormat="1" x14ac:dyDescent="0.25"/>
    <row r="23072" s="12" customFormat="1" x14ac:dyDescent="0.25"/>
    <row r="23073" s="12" customFormat="1" x14ac:dyDescent="0.25"/>
    <row r="23074" s="12" customFormat="1" x14ac:dyDescent="0.25"/>
    <row r="23075" s="12" customFormat="1" x14ac:dyDescent="0.25"/>
    <row r="23076" s="12" customFormat="1" x14ac:dyDescent="0.25"/>
    <row r="23077" s="12" customFormat="1" x14ac:dyDescent="0.25"/>
    <row r="23078" s="12" customFormat="1" x14ac:dyDescent="0.25"/>
    <row r="23079" s="12" customFormat="1" x14ac:dyDescent="0.25"/>
    <row r="23080" s="12" customFormat="1" x14ac:dyDescent="0.25"/>
    <row r="23081" s="12" customFormat="1" x14ac:dyDescent="0.25"/>
    <row r="23082" s="12" customFormat="1" x14ac:dyDescent="0.25"/>
    <row r="23083" s="12" customFormat="1" x14ac:dyDescent="0.25"/>
    <row r="23084" s="12" customFormat="1" x14ac:dyDescent="0.25"/>
    <row r="23085" s="12" customFormat="1" x14ac:dyDescent="0.25"/>
    <row r="23086" s="12" customFormat="1" x14ac:dyDescent="0.25"/>
    <row r="23087" s="12" customFormat="1" x14ac:dyDescent="0.25"/>
    <row r="23088" s="12" customFormat="1" x14ac:dyDescent="0.25"/>
    <row r="23089" s="12" customFormat="1" x14ac:dyDescent="0.25"/>
    <row r="23090" s="12" customFormat="1" x14ac:dyDescent="0.25"/>
    <row r="23091" s="12" customFormat="1" x14ac:dyDescent="0.25"/>
    <row r="23092" s="12" customFormat="1" x14ac:dyDescent="0.25"/>
    <row r="23093" s="12" customFormat="1" x14ac:dyDescent="0.25"/>
    <row r="23094" s="12" customFormat="1" x14ac:dyDescent="0.25"/>
    <row r="23095" s="12" customFormat="1" x14ac:dyDescent="0.25"/>
    <row r="23096" s="12" customFormat="1" x14ac:dyDescent="0.25"/>
    <row r="23097" s="12" customFormat="1" x14ac:dyDescent="0.25"/>
    <row r="23098" s="12" customFormat="1" x14ac:dyDescent="0.25"/>
    <row r="23099" s="12" customFormat="1" x14ac:dyDescent="0.25"/>
    <row r="23100" s="12" customFormat="1" x14ac:dyDescent="0.25"/>
    <row r="23101" s="12" customFormat="1" x14ac:dyDescent="0.25"/>
    <row r="23102" s="12" customFormat="1" x14ac:dyDescent="0.25"/>
    <row r="23103" s="12" customFormat="1" x14ac:dyDescent="0.25"/>
    <row r="23104" s="12" customFormat="1" x14ac:dyDescent="0.25"/>
    <row r="23105" s="12" customFormat="1" x14ac:dyDescent="0.25"/>
    <row r="23106" s="12" customFormat="1" x14ac:dyDescent="0.25"/>
    <row r="23107" s="12" customFormat="1" x14ac:dyDescent="0.25"/>
    <row r="23108" s="12" customFormat="1" x14ac:dyDescent="0.25"/>
    <row r="23109" s="12" customFormat="1" x14ac:dyDescent="0.25"/>
    <row r="23110" s="12" customFormat="1" x14ac:dyDescent="0.25"/>
    <row r="23111" s="12" customFormat="1" x14ac:dyDescent="0.25"/>
    <row r="23112" s="12" customFormat="1" x14ac:dyDescent="0.25"/>
    <row r="23113" s="12" customFormat="1" x14ac:dyDescent="0.25"/>
    <row r="23114" s="12" customFormat="1" x14ac:dyDescent="0.25"/>
    <row r="23115" s="12" customFormat="1" x14ac:dyDescent="0.25"/>
    <row r="23116" s="12" customFormat="1" x14ac:dyDescent="0.25"/>
    <row r="23117" s="12" customFormat="1" x14ac:dyDescent="0.25"/>
    <row r="23118" s="12" customFormat="1" x14ac:dyDescent="0.25"/>
    <row r="23119" s="12" customFormat="1" x14ac:dyDescent="0.25"/>
    <row r="23120" s="12" customFormat="1" x14ac:dyDescent="0.25"/>
    <row r="23121" s="12" customFormat="1" x14ac:dyDescent="0.25"/>
    <row r="23122" s="12" customFormat="1" x14ac:dyDescent="0.25"/>
    <row r="23123" s="12" customFormat="1" x14ac:dyDescent="0.25"/>
    <row r="23124" s="12" customFormat="1" x14ac:dyDescent="0.25"/>
    <row r="23125" s="12" customFormat="1" x14ac:dyDescent="0.25"/>
    <row r="23126" s="12" customFormat="1" x14ac:dyDescent="0.25"/>
    <row r="23127" s="12" customFormat="1" x14ac:dyDescent="0.25"/>
    <row r="23128" s="12" customFormat="1" x14ac:dyDescent="0.25"/>
    <row r="23129" s="12" customFormat="1" x14ac:dyDescent="0.25"/>
    <row r="23130" s="12" customFormat="1" x14ac:dyDescent="0.25"/>
    <row r="23131" s="12" customFormat="1" x14ac:dyDescent="0.25"/>
    <row r="23132" s="12" customFormat="1" x14ac:dyDescent="0.25"/>
    <row r="23133" s="12" customFormat="1" x14ac:dyDescent="0.25"/>
    <row r="23134" s="12" customFormat="1" x14ac:dyDescent="0.25"/>
    <row r="23135" s="12" customFormat="1" x14ac:dyDescent="0.25"/>
    <row r="23136" s="12" customFormat="1" x14ac:dyDescent="0.25"/>
    <row r="23137" s="12" customFormat="1" x14ac:dyDescent="0.25"/>
    <row r="23138" s="12" customFormat="1" x14ac:dyDescent="0.25"/>
    <row r="23139" s="12" customFormat="1" x14ac:dyDescent="0.25"/>
    <row r="23140" s="12" customFormat="1" x14ac:dyDescent="0.25"/>
    <row r="23141" s="12" customFormat="1" x14ac:dyDescent="0.25"/>
    <row r="23142" s="12" customFormat="1" x14ac:dyDescent="0.25"/>
    <row r="23143" s="12" customFormat="1" x14ac:dyDescent="0.25"/>
    <row r="23144" s="12" customFormat="1" x14ac:dyDescent="0.25"/>
    <row r="23145" s="12" customFormat="1" x14ac:dyDescent="0.25"/>
    <row r="23146" s="12" customFormat="1" x14ac:dyDescent="0.25"/>
    <row r="23147" s="12" customFormat="1" x14ac:dyDescent="0.25"/>
    <row r="23148" s="12" customFormat="1" x14ac:dyDescent="0.25"/>
    <row r="23149" s="12" customFormat="1" x14ac:dyDescent="0.25"/>
    <row r="23150" s="12" customFormat="1" x14ac:dyDescent="0.25"/>
    <row r="23151" s="12" customFormat="1" x14ac:dyDescent="0.25"/>
    <row r="23152" s="12" customFormat="1" x14ac:dyDescent="0.25"/>
    <row r="23153" s="12" customFormat="1" x14ac:dyDescent="0.25"/>
    <row r="23154" s="12" customFormat="1" x14ac:dyDescent="0.25"/>
    <row r="23155" s="12" customFormat="1" x14ac:dyDescent="0.25"/>
    <row r="23156" s="12" customFormat="1" x14ac:dyDescent="0.25"/>
    <row r="23157" s="12" customFormat="1" x14ac:dyDescent="0.25"/>
    <row r="23158" s="12" customFormat="1" x14ac:dyDescent="0.25"/>
    <row r="23159" s="12" customFormat="1" x14ac:dyDescent="0.25"/>
    <row r="23160" s="12" customFormat="1" x14ac:dyDescent="0.25"/>
    <row r="23161" s="12" customFormat="1" x14ac:dyDescent="0.25"/>
    <row r="23162" s="12" customFormat="1" x14ac:dyDescent="0.25"/>
    <row r="23163" s="12" customFormat="1" x14ac:dyDescent="0.25"/>
    <row r="23164" s="12" customFormat="1" x14ac:dyDescent="0.25"/>
    <row r="23165" s="12" customFormat="1" x14ac:dyDescent="0.25"/>
    <row r="23166" s="12" customFormat="1" x14ac:dyDescent="0.25"/>
    <row r="23167" s="12" customFormat="1" x14ac:dyDescent="0.25"/>
    <row r="23168" s="12" customFormat="1" x14ac:dyDescent="0.25"/>
    <row r="23169" s="12" customFormat="1" x14ac:dyDescent="0.25"/>
    <row r="23170" s="12" customFormat="1" x14ac:dyDescent="0.25"/>
    <row r="23171" s="12" customFormat="1" x14ac:dyDescent="0.25"/>
    <row r="23172" s="12" customFormat="1" x14ac:dyDescent="0.25"/>
    <row r="23173" s="12" customFormat="1" x14ac:dyDescent="0.25"/>
    <row r="23174" s="12" customFormat="1" x14ac:dyDescent="0.25"/>
    <row r="23175" s="12" customFormat="1" x14ac:dyDescent="0.25"/>
    <row r="23176" s="12" customFormat="1" x14ac:dyDescent="0.25"/>
    <row r="23177" s="12" customFormat="1" x14ac:dyDescent="0.25"/>
    <row r="23178" s="12" customFormat="1" x14ac:dyDescent="0.25"/>
    <row r="23179" s="12" customFormat="1" x14ac:dyDescent="0.25"/>
    <row r="23180" s="12" customFormat="1" x14ac:dyDescent="0.25"/>
    <row r="23181" s="12" customFormat="1" x14ac:dyDescent="0.25"/>
    <row r="23182" s="12" customFormat="1" x14ac:dyDescent="0.25"/>
    <row r="23183" s="12" customFormat="1" x14ac:dyDescent="0.25"/>
    <row r="23184" s="12" customFormat="1" x14ac:dyDescent="0.25"/>
    <row r="23185" s="12" customFormat="1" x14ac:dyDescent="0.25"/>
    <row r="23186" s="12" customFormat="1" x14ac:dyDescent="0.25"/>
    <row r="23187" s="12" customFormat="1" x14ac:dyDescent="0.25"/>
    <row r="23188" s="12" customFormat="1" x14ac:dyDescent="0.25"/>
    <row r="23189" s="12" customFormat="1" x14ac:dyDescent="0.25"/>
    <row r="23190" s="12" customFormat="1" x14ac:dyDescent="0.25"/>
    <row r="23191" s="12" customFormat="1" x14ac:dyDescent="0.25"/>
    <row r="23192" s="12" customFormat="1" x14ac:dyDescent="0.25"/>
    <row r="23193" s="12" customFormat="1" x14ac:dyDescent="0.25"/>
    <row r="23194" s="12" customFormat="1" x14ac:dyDescent="0.25"/>
    <row r="23195" s="12" customFormat="1" x14ac:dyDescent="0.25"/>
    <row r="23196" s="12" customFormat="1" x14ac:dyDescent="0.25"/>
    <row r="23197" s="12" customFormat="1" x14ac:dyDescent="0.25"/>
    <row r="23198" s="12" customFormat="1" x14ac:dyDescent="0.25"/>
    <row r="23199" s="12" customFormat="1" x14ac:dyDescent="0.25"/>
    <row r="23200" s="12" customFormat="1" x14ac:dyDescent="0.25"/>
    <row r="23201" s="12" customFormat="1" x14ac:dyDescent="0.25"/>
    <row r="23202" s="12" customFormat="1" x14ac:dyDescent="0.25"/>
    <row r="23203" s="12" customFormat="1" x14ac:dyDescent="0.25"/>
    <row r="23204" s="12" customFormat="1" x14ac:dyDescent="0.25"/>
    <row r="23205" s="12" customFormat="1" x14ac:dyDescent="0.25"/>
    <row r="23206" s="12" customFormat="1" x14ac:dyDescent="0.25"/>
    <row r="23207" s="12" customFormat="1" x14ac:dyDescent="0.25"/>
    <row r="23208" s="12" customFormat="1" x14ac:dyDescent="0.25"/>
    <row r="23209" s="12" customFormat="1" x14ac:dyDescent="0.25"/>
    <row r="23210" s="12" customFormat="1" x14ac:dyDescent="0.25"/>
    <row r="23211" s="12" customFormat="1" x14ac:dyDescent="0.25"/>
    <row r="23212" s="12" customFormat="1" x14ac:dyDescent="0.25"/>
    <row r="23213" s="12" customFormat="1" x14ac:dyDescent="0.25"/>
    <row r="23214" s="12" customFormat="1" x14ac:dyDescent="0.25"/>
    <row r="23215" s="12" customFormat="1" x14ac:dyDescent="0.25"/>
    <row r="23216" s="12" customFormat="1" x14ac:dyDescent="0.25"/>
    <row r="23217" s="12" customFormat="1" x14ac:dyDescent="0.25"/>
    <row r="23218" s="12" customFormat="1" x14ac:dyDescent="0.25"/>
    <row r="23219" s="12" customFormat="1" x14ac:dyDescent="0.25"/>
    <row r="23220" s="12" customFormat="1" x14ac:dyDescent="0.25"/>
    <row r="23221" s="12" customFormat="1" x14ac:dyDescent="0.25"/>
    <row r="23222" s="12" customFormat="1" x14ac:dyDescent="0.25"/>
    <row r="23223" s="12" customFormat="1" x14ac:dyDescent="0.25"/>
    <row r="23224" s="12" customFormat="1" x14ac:dyDescent="0.25"/>
    <row r="23225" s="12" customFormat="1" x14ac:dyDescent="0.25"/>
    <row r="23226" s="12" customFormat="1" x14ac:dyDescent="0.25"/>
    <row r="23227" s="12" customFormat="1" x14ac:dyDescent="0.25"/>
    <row r="23228" s="12" customFormat="1" x14ac:dyDescent="0.25"/>
    <row r="23229" s="12" customFormat="1" x14ac:dyDescent="0.25"/>
    <row r="23230" s="12" customFormat="1" x14ac:dyDescent="0.25"/>
    <row r="23231" s="12" customFormat="1" x14ac:dyDescent="0.25"/>
    <row r="23232" s="12" customFormat="1" x14ac:dyDescent="0.25"/>
    <row r="23233" s="12" customFormat="1" x14ac:dyDescent="0.25"/>
    <row r="23234" s="12" customFormat="1" x14ac:dyDescent="0.25"/>
    <row r="23235" s="12" customFormat="1" x14ac:dyDescent="0.25"/>
    <row r="23236" s="12" customFormat="1" x14ac:dyDescent="0.25"/>
    <row r="23237" s="12" customFormat="1" x14ac:dyDescent="0.25"/>
    <row r="23238" s="12" customFormat="1" x14ac:dyDescent="0.25"/>
    <row r="23239" s="12" customFormat="1" x14ac:dyDescent="0.25"/>
    <row r="23240" s="12" customFormat="1" x14ac:dyDescent="0.25"/>
    <row r="23241" s="12" customFormat="1" x14ac:dyDescent="0.25"/>
    <row r="23242" s="12" customFormat="1" x14ac:dyDescent="0.25"/>
    <row r="23243" s="12" customFormat="1" x14ac:dyDescent="0.25"/>
    <row r="23244" s="12" customFormat="1" x14ac:dyDescent="0.25"/>
    <row r="23245" s="12" customFormat="1" x14ac:dyDescent="0.25"/>
    <row r="23246" s="12" customFormat="1" x14ac:dyDescent="0.25"/>
    <row r="23247" s="12" customFormat="1" x14ac:dyDescent="0.25"/>
    <row r="23248" s="12" customFormat="1" x14ac:dyDescent="0.25"/>
    <row r="23249" s="12" customFormat="1" x14ac:dyDescent="0.25"/>
    <row r="23250" s="12" customFormat="1" x14ac:dyDescent="0.25"/>
    <row r="23251" s="12" customFormat="1" x14ac:dyDescent="0.25"/>
    <row r="23252" s="12" customFormat="1" x14ac:dyDescent="0.25"/>
    <row r="23253" s="12" customFormat="1" x14ac:dyDescent="0.25"/>
    <row r="23254" s="12" customFormat="1" x14ac:dyDescent="0.25"/>
    <row r="23255" s="12" customFormat="1" x14ac:dyDescent="0.25"/>
    <row r="23256" s="12" customFormat="1" x14ac:dyDescent="0.25"/>
    <row r="23257" s="12" customFormat="1" x14ac:dyDescent="0.25"/>
    <row r="23258" s="12" customFormat="1" x14ac:dyDescent="0.25"/>
    <row r="23259" s="12" customFormat="1" x14ac:dyDescent="0.25"/>
    <row r="23260" s="12" customFormat="1" x14ac:dyDescent="0.25"/>
    <row r="23261" s="12" customFormat="1" x14ac:dyDescent="0.25"/>
    <row r="23262" s="12" customFormat="1" x14ac:dyDescent="0.25"/>
    <row r="23263" s="12" customFormat="1" x14ac:dyDescent="0.25"/>
    <row r="23264" s="12" customFormat="1" x14ac:dyDescent="0.25"/>
    <row r="23265" s="12" customFormat="1" x14ac:dyDescent="0.25"/>
    <row r="23266" s="12" customFormat="1" x14ac:dyDescent="0.25"/>
    <row r="23267" s="12" customFormat="1" x14ac:dyDescent="0.25"/>
    <row r="23268" s="12" customFormat="1" x14ac:dyDescent="0.25"/>
    <row r="23269" s="12" customFormat="1" x14ac:dyDescent="0.25"/>
    <row r="23270" s="12" customFormat="1" x14ac:dyDescent="0.25"/>
    <row r="23271" s="12" customFormat="1" x14ac:dyDescent="0.25"/>
    <row r="23272" s="12" customFormat="1" x14ac:dyDescent="0.25"/>
    <row r="23273" s="12" customFormat="1" x14ac:dyDescent="0.25"/>
    <row r="23274" s="12" customFormat="1" x14ac:dyDescent="0.25"/>
    <row r="23275" s="12" customFormat="1" x14ac:dyDescent="0.25"/>
    <row r="23276" s="12" customFormat="1" x14ac:dyDescent="0.25"/>
    <row r="23277" s="12" customFormat="1" x14ac:dyDescent="0.25"/>
    <row r="23278" s="12" customFormat="1" x14ac:dyDescent="0.25"/>
    <row r="23279" s="12" customFormat="1" x14ac:dyDescent="0.25"/>
    <row r="23280" s="12" customFormat="1" x14ac:dyDescent="0.25"/>
    <row r="23281" s="12" customFormat="1" x14ac:dyDescent="0.25"/>
    <row r="23282" s="12" customFormat="1" x14ac:dyDescent="0.25"/>
    <row r="23283" s="12" customFormat="1" x14ac:dyDescent="0.25"/>
    <row r="23284" s="12" customFormat="1" x14ac:dyDescent="0.25"/>
    <row r="23285" s="12" customFormat="1" x14ac:dyDescent="0.25"/>
    <row r="23286" s="12" customFormat="1" x14ac:dyDescent="0.25"/>
    <row r="23287" s="12" customFormat="1" x14ac:dyDescent="0.25"/>
    <row r="23288" s="12" customFormat="1" x14ac:dyDescent="0.25"/>
    <row r="23289" s="12" customFormat="1" x14ac:dyDescent="0.25"/>
    <row r="23290" s="12" customFormat="1" x14ac:dyDescent="0.25"/>
    <row r="23291" s="12" customFormat="1" x14ac:dyDescent="0.25"/>
    <row r="23292" s="12" customFormat="1" x14ac:dyDescent="0.25"/>
    <row r="23293" s="12" customFormat="1" x14ac:dyDescent="0.25"/>
    <row r="23294" s="12" customFormat="1" x14ac:dyDescent="0.25"/>
    <row r="23295" s="12" customFormat="1" x14ac:dyDescent="0.25"/>
    <row r="23296" s="12" customFormat="1" x14ac:dyDescent="0.25"/>
    <row r="23297" s="12" customFormat="1" x14ac:dyDescent="0.25"/>
    <row r="23298" s="12" customFormat="1" x14ac:dyDescent="0.25"/>
    <row r="23299" s="12" customFormat="1" x14ac:dyDescent="0.25"/>
    <row r="23300" s="12" customFormat="1" x14ac:dyDescent="0.25"/>
    <row r="23301" s="12" customFormat="1" x14ac:dyDescent="0.25"/>
    <row r="23302" s="12" customFormat="1" x14ac:dyDescent="0.25"/>
    <row r="23303" s="12" customFormat="1" x14ac:dyDescent="0.25"/>
    <row r="23304" s="12" customFormat="1" x14ac:dyDescent="0.25"/>
    <row r="23305" s="12" customFormat="1" x14ac:dyDescent="0.25"/>
    <row r="23306" s="12" customFormat="1" x14ac:dyDescent="0.25"/>
    <row r="23307" s="12" customFormat="1" x14ac:dyDescent="0.25"/>
    <row r="23308" s="12" customFormat="1" x14ac:dyDescent="0.25"/>
    <row r="23309" s="12" customFormat="1" x14ac:dyDescent="0.25"/>
    <row r="23310" s="12" customFormat="1" x14ac:dyDescent="0.25"/>
    <row r="23311" s="12" customFormat="1" x14ac:dyDescent="0.25"/>
    <row r="23312" s="12" customFormat="1" x14ac:dyDescent="0.25"/>
    <row r="23313" s="12" customFormat="1" x14ac:dyDescent="0.25"/>
    <row r="23314" s="12" customFormat="1" x14ac:dyDescent="0.25"/>
    <row r="23315" s="12" customFormat="1" x14ac:dyDescent="0.25"/>
    <row r="23316" s="12" customFormat="1" x14ac:dyDescent="0.25"/>
    <row r="23317" s="12" customFormat="1" x14ac:dyDescent="0.25"/>
    <row r="23318" s="12" customFormat="1" x14ac:dyDescent="0.25"/>
    <row r="23319" s="12" customFormat="1" x14ac:dyDescent="0.25"/>
    <row r="23320" s="12" customFormat="1" x14ac:dyDescent="0.25"/>
    <row r="23321" s="12" customFormat="1" x14ac:dyDescent="0.25"/>
    <row r="23322" s="12" customFormat="1" x14ac:dyDescent="0.25"/>
    <row r="23323" s="12" customFormat="1" x14ac:dyDescent="0.25"/>
    <row r="23324" s="12" customFormat="1" x14ac:dyDescent="0.25"/>
    <row r="23325" s="12" customFormat="1" x14ac:dyDescent="0.25"/>
    <row r="23326" s="12" customFormat="1" x14ac:dyDescent="0.25"/>
    <row r="23327" s="12" customFormat="1" x14ac:dyDescent="0.25"/>
    <row r="23328" s="12" customFormat="1" x14ac:dyDescent="0.25"/>
    <row r="23329" s="12" customFormat="1" x14ac:dyDescent="0.25"/>
    <row r="23330" s="12" customFormat="1" x14ac:dyDescent="0.25"/>
    <row r="23331" s="12" customFormat="1" x14ac:dyDescent="0.25"/>
    <row r="23332" s="12" customFormat="1" x14ac:dyDescent="0.25"/>
    <row r="23333" s="12" customFormat="1" x14ac:dyDescent="0.25"/>
    <row r="23334" s="12" customFormat="1" x14ac:dyDescent="0.25"/>
    <row r="23335" s="12" customFormat="1" x14ac:dyDescent="0.25"/>
    <row r="23336" s="12" customFormat="1" x14ac:dyDescent="0.25"/>
    <row r="23337" s="12" customFormat="1" x14ac:dyDescent="0.25"/>
    <row r="23338" s="12" customFormat="1" x14ac:dyDescent="0.25"/>
    <row r="23339" s="12" customFormat="1" x14ac:dyDescent="0.25"/>
    <row r="23340" s="12" customFormat="1" x14ac:dyDescent="0.25"/>
    <row r="23341" s="12" customFormat="1" x14ac:dyDescent="0.25"/>
    <row r="23342" s="12" customFormat="1" x14ac:dyDescent="0.25"/>
    <row r="23343" s="12" customFormat="1" x14ac:dyDescent="0.25"/>
    <row r="23344" s="12" customFormat="1" x14ac:dyDescent="0.25"/>
    <row r="23345" s="12" customFormat="1" x14ac:dyDescent="0.25"/>
    <row r="23346" s="12" customFormat="1" x14ac:dyDescent="0.25"/>
    <row r="23347" s="12" customFormat="1" x14ac:dyDescent="0.25"/>
    <row r="23348" s="12" customFormat="1" x14ac:dyDescent="0.25"/>
    <row r="23349" s="12" customFormat="1" x14ac:dyDescent="0.25"/>
    <row r="23350" s="12" customFormat="1" x14ac:dyDescent="0.25"/>
    <row r="23351" s="12" customFormat="1" x14ac:dyDescent="0.25"/>
    <row r="23352" s="12" customFormat="1" x14ac:dyDescent="0.25"/>
    <row r="23353" s="12" customFormat="1" x14ac:dyDescent="0.25"/>
    <row r="23354" s="12" customFormat="1" x14ac:dyDescent="0.25"/>
    <row r="23355" s="12" customFormat="1" x14ac:dyDescent="0.25"/>
    <row r="23356" s="12" customFormat="1" x14ac:dyDescent="0.25"/>
    <row r="23357" s="12" customFormat="1" x14ac:dyDescent="0.25"/>
    <row r="23358" s="12" customFormat="1" x14ac:dyDescent="0.25"/>
    <row r="23359" s="12" customFormat="1" x14ac:dyDescent="0.25"/>
    <row r="23360" s="12" customFormat="1" x14ac:dyDescent="0.25"/>
    <row r="23361" s="12" customFormat="1" x14ac:dyDescent="0.25"/>
    <row r="23362" s="12" customFormat="1" x14ac:dyDescent="0.25"/>
    <row r="23363" s="12" customFormat="1" x14ac:dyDescent="0.25"/>
    <row r="23364" s="12" customFormat="1" x14ac:dyDescent="0.25"/>
    <row r="23365" s="12" customFormat="1" x14ac:dyDescent="0.25"/>
    <row r="23366" s="12" customFormat="1" x14ac:dyDescent="0.25"/>
    <row r="23367" s="12" customFormat="1" x14ac:dyDescent="0.25"/>
    <row r="23368" s="12" customFormat="1" x14ac:dyDescent="0.25"/>
    <row r="23369" s="12" customFormat="1" x14ac:dyDescent="0.25"/>
    <row r="23370" s="12" customFormat="1" x14ac:dyDescent="0.25"/>
    <row r="23371" s="12" customFormat="1" x14ac:dyDescent="0.25"/>
    <row r="23372" s="12" customFormat="1" x14ac:dyDescent="0.25"/>
    <row r="23373" s="12" customFormat="1" x14ac:dyDescent="0.25"/>
    <row r="23374" s="12" customFormat="1" x14ac:dyDescent="0.25"/>
    <row r="23375" s="12" customFormat="1" x14ac:dyDescent="0.25"/>
    <row r="23376" s="12" customFormat="1" x14ac:dyDescent="0.25"/>
    <row r="23377" s="12" customFormat="1" x14ac:dyDescent="0.25"/>
    <row r="23378" s="12" customFormat="1" x14ac:dyDescent="0.25"/>
    <row r="23379" s="12" customFormat="1" x14ac:dyDescent="0.25"/>
    <row r="23380" s="12" customFormat="1" x14ac:dyDescent="0.25"/>
    <row r="23381" s="12" customFormat="1" x14ac:dyDescent="0.25"/>
    <row r="23382" s="12" customFormat="1" x14ac:dyDescent="0.25"/>
    <row r="23383" s="12" customFormat="1" x14ac:dyDescent="0.25"/>
    <row r="23384" s="12" customFormat="1" x14ac:dyDescent="0.25"/>
    <row r="23385" s="12" customFormat="1" x14ac:dyDescent="0.25"/>
    <row r="23386" s="12" customFormat="1" x14ac:dyDescent="0.25"/>
    <row r="23387" s="12" customFormat="1" x14ac:dyDescent="0.25"/>
    <row r="23388" s="12" customFormat="1" x14ac:dyDescent="0.25"/>
    <row r="23389" s="12" customFormat="1" x14ac:dyDescent="0.25"/>
    <row r="23390" s="12" customFormat="1" x14ac:dyDescent="0.25"/>
    <row r="23391" s="12" customFormat="1" x14ac:dyDescent="0.25"/>
    <row r="23392" s="12" customFormat="1" x14ac:dyDescent="0.25"/>
    <row r="23393" s="12" customFormat="1" x14ac:dyDescent="0.25"/>
    <row r="23394" s="12" customFormat="1" x14ac:dyDescent="0.25"/>
    <row r="23395" s="12" customFormat="1" x14ac:dyDescent="0.25"/>
    <row r="23396" s="12" customFormat="1" x14ac:dyDescent="0.25"/>
    <row r="23397" s="12" customFormat="1" x14ac:dyDescent="0.25"/>
    <row r="23398" s="12" customFormat="1" x14ac:dyDescent="0.25"/>
    <row r="23399" s="12" customFormat="1" x14ac:dyDescent="0.25"/>
    <row r="23400" s="12" customFormat="1" x14ac:dyDescent="0.25"/>
    <row r="23401" s="12" customFormat="1" x14ac:dyDescent="0.25"/>
    <row r="23402" s="12" customFormat="1" x14ac:dyDescent="0.25"/>
    <row r="23403" s="12" customFormat="1" x14ac:dyDescent="0.25"/>
    <row r="23404" s="12" customFormat="1" x14ac:dyDescent="0.25"/>
    <row r="23405" s="12" customFormat="1" x14ac:dyDescent="0.25"/>
    <row r="23406" s="12" customFormat="1" x14ac:dyDescent="0.25"/>
    <row r="23407" s="12" customFormat="1" x14ac:dyDescent="0.25"/>
    <row r="23408" s="12" customFormat="1" x14ac:dyDescent="0.25"/>
    <row r="23409" s="12" customFormat="1" x14ac:dyDescent="0.25"/>
    <row r="23410" s="12" customFormat="1" x14ac:dyDescent="0.25"/>
    <row r="23411" s="12" customFormat="1" x14ac:dyDescent="0.25"/>
    <row r="23412" s="12" customFormat="1" x14ac:dyDescent="0.25"/>
    <row r="23413" s="12" customFormat="1" x14ac:dyDescent="0.25"/>
    <row r="23414" s="12" customFormat="1" x14ac:dyDescent="0.25"/>
    <row r="23415" s="12" customFormat="1" x14ac:dyDescent="0.25"/>
    <row r="23416" s="12" customFormat="1" x14ac:dyDescent="0.25"/>
    <row r="23417" s="12" customFormat="1" x14ac:dyDescent="0.25"/>
    <row r="23418" s="12" customFormat="1" x14ac:dyDescent="0.25"/>
    <row r="23419" s="12" customFormat="1" x14ac:dyDescent="0.25"/>
    <row r="23420" s="12" customFormat="1" x14ac:dyDescent="0.25"/>
    <row r="23421" s="12" customFormat="1" x14ac:dyDescent="0.25"/>
    <row r="23422" s="12" customFormat="1" x14ac:dyDescent="0.25"/>
    <row r="23423" s="12" customFormat="1" x14ac:dyDescent="0.25"/>
    <row r="23424" s="12" customFormat="1" x14ac:dyDescent="0.25"/>
    <row r="23425" s="12" customFormat="1" x14ac:dyDescent="0.25"/>
    <row r="23426" s="12" customFormat="1" x14ac:dyDescent="0.25"/>
    <row r="23427" s="12" customFormat="1" x14ac:dyDescent="0.25"/>
    <row r="23428" s="12" customFormat="1" x14ac:dyDescent="0.25"/>
    <row r="23429" s="12" customFormat="1" x14ac:dyDescent="0.25"/>
    <row r="23430" s="12" customFormat="1" x14ac:dyDescent="0.25"/>
    <row r="23431" s="12" customFormat="1" x14ac:dyDescent="0.25"/>
    <row r="23432" s="12" customFormat="1" x14ac:dyDescent="0.25"/>
    <row r="23433" s="12" customFormat="1" x14ac:dyDescent="0.25"/>
    <row r="23434" s="12" customFormat="1" x14ac:dyDescent="0.25"/>
    <row r="23435" s="12" customFormat="1" x14ac:dyDescent="0.25"/>
    <row r="23436" s="12" customFormat="1" x14ac:dyDescent="0.25"/>
    <row r="23437" s="12" customFormat="1" x14ac:dyDescent="0.25"/>
    <row r="23438" s="12" customFormat="1" x14ac:dyDescent="0.25"/>
    <row r="23439" s="12" customFormat="1" x14ac:dyDescent="0.25"/>
    <row r="23440" s="12" customFormat="1" x14ac:dyDescent="0.25"/>
    <row r="23441" s="12" customFormat="1" x14ac:dyDescent="0.25"/>
    <row r="23442" s="12" customFormat="1" x14ac:dyDescent="0.25"/>
    <row r="23443" s="12" customFormat="1" x14ac:dyDescent="0.25"/>
    <row r="23444" s="12" customFormat="1" x14ac:dyDescent="0.25"/>
    <row r="23445" s="12" customFormat="1" x14ac:dyDescent="0.25"/>
    <row r="23446" s="12" customFormat="1" x14ac:dyDescent="0.25"/>
    <row r="23447" s="12" customFormat="1" x14ac:dyDescent="0.25"/>
    <row r="23448" s="12" customFormat="1" x14ac:dyDescent="0.25"/>
    <row r="23449" s="12" customFormat="1" x14ac:dyDescent="0.25"/>
    <row r="23450" s="12" customFormat="1" x14ac:dyDescent="0.25"/>
    <row r="23451" s="12" customFormat="1" x14ac:dyDescent="0.25"/>
    <row r="23452" s="12" customFormat="1" x14ac:dyDescent="0.25"/>
    <row r="23453" s="12" customFormat="1" x14ac:dyDescent="0.25"/>
    <row r="23454" s="12" customFormat="1" x14ac:dyDescent="0.25"/>
    <row r="23455" s="12" customFormat="1" x14ac:dyDescent="0.25"/>
    <row r="23456" s="12" customFormat="1" x14ac:dyDescent="0.25"/>
    <row r="23457" s="12" customFormat="1" x14ac:dyDescent="0.25"/>
    <row r="23458" s="12" customFormat="1" x14ac:dyDescent="0.25"/>
    <row r="23459" s="12" customFormat="1" x14ac:dyDescent="0.25"/>
    <row r="23460" s="12" customFormat="1" x14ac:dyDescent="0.25"/>
    <row r="23461" s="12" customFormat="1" x14ac:dyDescent="0.25"/>
    <row r="23462" s="12" customFormat="1" x14ac:dyDescent="0.25"/>
    <row r="23463" s="12" customFormat="1" x14ac:dyDescent="0.25"/>
    <row r="23464" s="12" customFormat="1" x14ac:dyDescent="0.25"/>
    <row r="23465" s="12" customFormat="1" x14ac:dyDescent="0.25"/>
    <row r="23466" s="12" customFormat="1" x14ac:dyDescent="0.25"/>
    <row r="23467" s="12" customFormat="1" x14ac:dyDescent="0.25"/>
    <row r="23468" s="12" customFormat="1" x14ac:dyDescent="0.25"/>
    <row r="23469" s="12" customFormat="1" x14ac:dyDescent="0.25"/>
    <row r="23470" s="12" customFormat="1" x14ac:dyDescent="0.25"/>
    <row r="23471" s="12" customFormat="1" x14ac:dyDescent="0.25"/>
    <row r="23472" s="12" customFormat="1" x14ac:dyDescent="0.25"/>
    <row r="23473" s="12" customFormat="1" x14ac:dyDescent="0.25"/>
    <row r="23474" s="12" customFormat="1" x14ac:dyDescent="0.25"/>
    <row r="23475" s="12" customFormat="1" x14ac:dyDescent="0.25"/>
    <row r="23476" s="12" customFormat="1" x14ac:dyDescent="0.25"/>
    <row r="23477" s="12" customFormat="1" x14ac:dyDescent="0.25"/>
    <row r="23478" s="12" customFormat="1" x14ac:dyDescent="0.25"/>
    <row r="23479" s="12" customFormat="1" x14ac:dyDescent="0.25"/>
    <row r="23480" s="12" customFormat="1" x14ac:dyDescent="0.25"/>
    <row r="23481" s="12" customFormat="1" x14ac:dyDescent="0.25"/>
    <row r="23482" s="12" customFormat="1" x14ac:dyDescent="0.25"/>
    <row r="23483" s="12" customFormat="1" x14ac:dyDescent="0.25"/>
    <row r="23484" s="12" customFormat="1" x14ac:dyDescent="0.25"/>
    <row r="23485" s="12" customFormat="1" x14ac:dyDescent="0.25"/>
    <row r="23486" s="12" customFormat="1" x14ac:dyDescent="0.25"/>
    <row r="23487" s="12" customFormat="1" x14ac:dyDescent="0.25"/>
    <row r="23488" s="12" customFormat="1" x14ac:dyDescent="0.25"/>
    <row r="23489" s="12" customFormat="1" x14ac:dyDescent="0.25"/>
    <row r="23490" s="12" customFormat="1" x14ac:dyDescent="0.25"/>
    <row r="23491" s="12" customFormat="1" x14ac:dyDescent="0.25"/>
    <row r="23492" s="12" customFormat="1" x14ac:dyDescent="0.25"/>
    <row r="23493" s="12" customFormat="1" x14ac:dyDescent="0.25"/>
    <row r="23494" s="12" customFormat="1" x14ac:dyDescent="0.25"/>
    <row r="23495" s="12" customFormat="1" x14ac:dyDescent="0.25"/>
    <row r="23496" s="12" customFormat="1" x14ac:dyDescent="0.25"/>
    <row r="23497" s="12" customFormat="1" x14ac:dyDescent="0.25"/>
    <row r="23498" s="12" customFormat="1" x14ac:dyDescent="0.25"/>
    <row r="23499" s="12" customFormat="1" x14ac:dyDescent="0.25"/>
    <row r="23500" s="12" customFormat="1" x14ac:dyDescent="0.25"/>
    <row r="23501" s="12" customFormat="1" x14ac:dyDescent="0.25"/>
    <row r="23502" s="12" customFormat="1" x14ac:dyDescent="0.25"/>
    <row r="23503" s="12" customFormat="1" x14ac:dyDescent="0.25"/>
    <row r="23504" s="12" customFormat="1" x14ac:dyDescent="0.25"/>
    <row r="23505" s="12" customFormat="1" x14ac:dyDescent="0.25"/>
    <row r="23506" s="12" customFormat="1" x14ac:dyDescent="0.25"/>
    <row r="23507" s="12" customFormat="1" x14ac:dyDescent="0.25"/>
    <row r="23508" s="12" customFormat="1" x14ac:dyDescent="0.25"/>
    <row r="23509" s="12" customFormat="1" x14ac:dyDescent="0.25"/>
    <row r="23510" s="12" customFormat="1" x14ac:dyDescent="0.25"/>
    <row r="23511" s="12" customFormat="1" x14ac:dyDescent="0.25"/>
    <row r="23512" s="12" customFormat="1" x14ac:dyDescent="0.25"/>
    <row r="23513" s="12" customFormat="1" x14ac:dyDescent="0.25"/>
    <row r="23514" s="12" customFormat="1" x14ac:dyDescent="0.25"/>
    <row r="23515" s="12" customFormat="1" x14ac:dyDescent="0.25"/>
    <row r="23516" s="12" customFormat="1" x14ac:dyDescent="0.25"/>
    <row r="23517" s="12" customFormat="1" x14ac:dyDescent="0.25"/>
    <row r="23518" s="12" customFormat="1" x14ac:dyDescent="0.25"/>
    <row r="23519" s="12" customFormat="1" x14ac:dyDescent="0.25"/>
    <row r="23520" s="12" customFormat="1" x14ac:dyDescent="0.25"/>
    <row r="23521" s="12" customFormat="1" x14ac:dyDescent="0.25"/>
    <row r="23522" s="12" customFormat="1" x14ac:dyDescent="0.25"/>
    <row r="23523" s="12" customFormat="1" x14ac:dyDescent="0.25"/>
    <row r="23524" s="12" customFormat="1" x14ac:dyDescent="0.25"/>
    <row r="23525" s="12" customFormat="1" x14ac:dyDescent="0.25"/>
    <row r="23526" s="12" customFormat="1" x14ac:dyDescent="0.25"/>
    <row r="23527" s="12" customFormat="1" x14ac:dyDescent="0.25"/>
    <row r="23528" s="12" customFormat="1" x14ac:dyDescent="0.25"/>
    <row r="23529" s="12" customFormat="1" x14ac:dyDescent="0.25"/>
    <row r="23530" s="12" customFormat="1" x14ac:dyDescent="0.25"/>
    <row r="23531" s="12" customFormat="1" x14ac:dyDescent="0.25"/>
    <row r="23532" s="12" customFormat="1" x14ac:dyDescent="0.25"/>
    <row r="23533" s="12" customFormat="1" x14ac:dyDescent="0.25"/>
    <row r="23534" s="12" customFormat="1" x14ac:dyDescent="0.25"/>
    <row r="23535" s="12" customFormat="1" x14ac:dyDescent="0.25"/>
    <row r="23536" s="12" customFormat="1" x14ac:dyDescent="0.25"/>
    <row r="23537" s="12" customFormat="1" x14ac:dyDescent="0.25"/>
    <row r="23538" s="12" customFormat="1" x14ac:dyDescent="0.25"/>
    <row r="23539" s="12" customFormat="1" x14ac:dyDescent="0.25"/>
    <row r="23540" s="12" customFormat="1" x14ac:dyDescent="0.25"/>
    <row r="23541" s="12" customFormat="1" x14ac:dyDescent="0.25"/>
    <row r="23542" s="12" customFormat="1" x14ac:dyDescent="0.25"/>
    <row r="23543" s="12" customFormat="1" x14ac:dyDescent="0.25"/>
    <row r="23544" s="12" customFormat="1" x14ac:dyDescent="0.25"/>
    <row r="23545" s="12" customFormat="1" x14ac:dyDescent="0.25"/>
    <row r="23546" s="12" customFormat="1" x14ac:dyDescent="0.25"/>
    <row r="23547" s="12" customFormat="1" x14ac:dyDescent="0.25"/>
    <row r="23548" s="12" customFormat="1" x14ac:dyDescent="0.25"/>
    <row r="23549" s="12" customFormat="1" x14ac:dyDescent="0.25"/>
    <row r="23550" s="12" customFormat="1" x14ac:dyDescent="0.25"/>
    <row r="23551" s="12" customFormat="1" x14ac:dyDescent="0.25"/>
    <row r="23552" s="12" customFormat="1" x14ac:dyDescent="0.25"/>
    <row r="23553" s="12" customFormat="1" x14ac:dyDescent="0.25"/>
    <row r="23554" s="12" customFormat="1" x14ac:dyDescent="0.25"/>
    <row r="23555" s="12" customFormat="1" x14ac:dyDescent="0.25"/>
    <row r="23556" s="12" customFormat="1" x14ac:dyDescent="0.25"/>
    <row r="23557" s="12" customFormat="1" x14ac:dyDescent="0.25"/>
    <row r="23558" s="12" customFormat="1" x14ac:dyDescent="0.25"/>
    <row r="23559" s="12" customFormat="1" x14ac:dyDescent="0.25"/>
    <row r="23560" s="12" customFormat="1" x14ac:dyDescent="0.25"/>
    <row r="23561" s="12" customFormat="1" x14ac:dyDescent="0.25"/>
    <row r="23562" s="12" customFormat="1" x14ac:dyDescent="0.25"/>
    <row r="23563" s="12" customFormat="1" x14ac:dyDescent="0.25"/>
    <row r="23564" s="12" customFormat="1" x14ac:dyDescent="0.25"/>
    <row r="23565" s="12" customFormat="1" x14ac:dyDescent="0.25"/>
    <row r="23566" s="12" customFormat="1" x14ac:dyDescent="0.25"/>
    <row r="23567" s="12" customFormat="1" x14ac:dyDescent="0.25"/>
    <row r="23568" s="12" customFormat="1" x14ac:dyDescent="0.25"/>
    <row r="23569" s="12" customFormat="1" x14ac:dyDescent="0.25"/>
    <row r="23570" s="12" customFormat="1" x14ac:dyDescent="0.25"/>
    <row r="23571" s="12" customFormat="1" x14ac:dyDescent="0.25"/>
    <row r="23572" s="12" customFormat="1" x14ac:dyDescent="0.25"/>
    <row r="23573" s="12" customFormat="1" x14ac:dyDescent="0.25"/>
    <row r="23574" s="12" customFormat="1" x14ac:dyDescent="0.25"/>
    <row r="23575" s="12" customFormat="1" x14ac:dyDescent="0.25"/>
    <row r="23576" s="12" customFormat="1" x14ac:dyDescent="0.25"/>
    <row r="23577" s="12" customFormat="1" x14ac:dyDescent="0.25"/>
    <row r="23578" s="12" customFormat="1" x14ac:dyDescent="0.25"/>
    <row r="23579" s="12" customFormat="1" x14ac:dyDescent="0.25"/>
    <row r="23580" s="12" customFormat="1" x14ac:dyDescent="0.25"/>
    <row r="23581" s="12" customFormat="1" x14ac:dyDescent="0.25"/>
    <row r="23582" s="12" customFormat="1" x14ac:dyDescent="0.25"/>
    <row r="23583" s="12" customFormat="1" x14ac:dyDescent="0.25"/>
    <row r="23584" s="12" customFormat="1" x14ac:dyDescent="0.25"/>
    <row r="23585" s="12" customFormat="1" x14ac:dyDescent="0.25"/>
    <row r="23586" s="12" customFormat="1" x14ac:dyDescent="0.25"/>
    <row r="23587" s="12" customFormat="1" x14ac:dyDescent="0.25"/>
    <row r="23588" s="12" customFormat="1" x14ac:dyDescent="0.25"/>
    <row r="23589" s="12" customFormat="1" x14ac:dyDescent="0.25"/>
    <row r="23590" s="12" customFormat="1" x14ac:dyDescent="0.25"/>
    <row r="23591" s="12" customFormat="1" x14ac:dyDescent="0.25"/>
    <row r="23592" s="12" customFormat="1" x14ac:dyDescent="0.25"/>
    <row r="23593" s="12" customFormat="1" x14ac:dyDescent="0.25"/>
    <row r="23594" s="12" customFormat="1" x14ac:dyDescent="0.25"/>
    <row r="23595" s="12" customFormat="1" x14ac:dyDescent="0.25"/>
    <row r="23596" s="12" customFormat="1" x14ac:dyDescent="0.25"/>
    <row r="23597" s="12" customFormat="1" x14ac:dyDescent="0.25"/>
    <row r="23598" s="12" customFormat="1" x14ac:dyDescent="0.25"/>
    <row r="23599" s="12" customFormat="1" x14ac:dyDescent="0.25"/>
    <row r="23600" s="12" customFormat="1" x14ac:dyDescent="0.25"/>
    <row r="23601" s="12" customFormat="1" x14ac:dyDescent="0.25"/>
    <row r="23602" s="12" customFormat="1" x14ac:dyDescent="0.25"/>
    <row r="23603" s="12" customFormat="1" x14ac:dyDescent="0.25"/>
    <row r="23604" s="12" customFormat="1" x14ac:dyDescent="0.25"/>
    <row r="23605" s="12" customFormat="1" x14ac:dyDescent="0.25"/>
    <row r="23606" s="12" customFormat="1" x14ac:dyDescent="0.25"/>
    <row r="23607" s="12" customFormat="1" x14ac:dyDescent="0.25"/>
    <row r="23608" s="12" customFormat="1" x14ac:dyDescent="0.25"/>
    <row r="23609" s="12" customFormat="1" x14ac:dyDescent="0.25"/>
    <row r="23610" s="12" customFormat="1" x14ac:dyDescent="0.25"/>
    <row r="23611" s="12" customFormat="1" x14ac:dyDescent="0.25"/>
    <row r="23612" s="12" customFormat="1" x14ac:dyDescent="0.25"/>
    <row r="23613" s="12" customFormat="1" x14ac:dyDescent="0.25"/>
    <row r="23614" s="12" customFormat="1" x14ac:dyDescent="0.25"/>
    <row r="23615" s="12" customFormat="1" x14ac:dyDescent="0.25"/>
    <row r="23616" s="12" customFormat="1" x14ac:dyDescent="0.25"/>
    <row r="23617" s="12" customFormat="1" x14ac:dyDescent="0.25"/>
    <row r="23618" s="12" customFormat="1" x14ac:dyDescent="0.25"/>
    <row r="23619" s="12" customFormat="1" x14ac:dyDescent="0.25"/>
    <row r="23620" s="12" customFormat="1" x14ac:dyDescent="0.25"/>
    <row r="23621" s="12" customFormat="1" x14ac:dyDescent="0.25"/>
    <row r="23622" s="12" customFormat="1" x14ac:dyDescent="0.25"/>
    <row r="23623" s="12" customFormat="1" x14ac:dyDescent="0.25"/>
    <row r="23624" s="12" customFormat="1" x14ac:dyDescent="0.25"/>
    <row r="23625" s="12" customFormat="1" x14ac:dyDescent="0.25"/>
    <row r="23626" s="12" customFormat="1" x14ac:dyDescent="0.25"/>
    <row r="23627" s="12" customFormat="1" x14ac:dyDescent="0.25"/>
    <row r="23628" s="12" customFormat="1" x14ac:dyDescent="0.25"/>
    <row r="23629" s="12" customFormat="1" x14ac:dyDescent="0.25"/>
    <row r="23630" s="12" customFormat="1" x14ac:dyDescent="0.25"/>
    <row r="23631" s="12" customFormat="1" x14ac:dyDescent="0.25"/>
    <row r="23632" s="12" customFormat="1" x14ac:dyDescent="0.25"/>
    <row r="23633" s="12" customFormat="1" x14ac:dyDescent="0.25"/>
    <row r="23634" s="12" customFormat="1" x14ac:dyDescent="0.25"/>
    <row r="23635" s="12" customFormat="1" x14ac:dyDescent="0.25"/>
    <row r="23636" s="12" customFormat="1" x14ac:dyDescent="0.25"/>
    <row r="23637" s="12" customFormat="1" x14ac:dyDescent="0.25"/>
    <row r="23638" s="12" customFormat="1" x14ac:dyDescent="0.25"/>
    <row r="23639" s="12" customFormat="1" x14ac:dyDescent="0.25"/>
    <row r="23640" s="12" customFormat="1" x14ac:dyDescent="0.25"/>
    <row r="23641" s="12" customFormat="1" x14ac:dyDescent="0.25"/>
    <row r="23642" s="12" customFormat="1" x14ac:dyDescent="0.25"/>
    <row r="23643" s="12" customFormat="1" x14ac:dyDescent="0.25"/>
    <row r="23644" s="12" customFormat="1" x14ac:dyDescent="0.25"/>
    <row r="23645" s="12" customFormat="1" x14ac:dyDescent="0.25"/>
    <row r="23646" s="12" customFormat="1" x14ac:dyDescent="0.25"/>
    <row r="23647" s="12" customFormat="1" x14ac:dyDescent="0.25"/>
    <row r="23648" s="12" customFormat="1" x14ac:dyDescent="0.25"/>
    <row r="23649" s="12" customFormat="1" x14ac:dyDescent="0.25"/>
    <row r="23650" s="12" customFormat="1" x14ac:dyDescent="0.25"/>
    <row r="23651" s="12" customFormat="1" x14ac:dyDescent="0.25"/>
    <row r="23652" s="12" customFormat="1" x14ac:dyDescent="0.25"/>
    <row r="23653" s="12" customFormat="1" x14ac:dyDescent="0.25"/>
    <row r="23654" s="12" customFormat="1" x14ac:dyDescent="0.25"/>
    <row r="23655" s="12" customFormat="1" x14ac:dyDescent="0.25"/>
    <row r="23656" s="12" customFormat="1" x14ac:dyDescent="0.25"/>
    <row r="23657" s="12" customFormat="1" x14ac:dyDescent="0.25"/>
    <row r="23658" s="12" customFormat="1" x14ac:dyDescent="0.25"/>
    <row r="23659" s="12" customFormat="1" x14ac:dyDescent="0.25"/>
    <row r="23660" s="12" customFormat="1" x14ac:dyDescent="0.25"/>
    <row r="23661" s="12" customFormat="1" x14ac:dyDescent="0.25"/>
    <row r="23662" s="12" customFormat="1" x14ac:dyDescent="0.25"/>
    <row r="23663" s="12" customFormat="1" x14ac:dyDescent="0.25"/>
    <row r="23664" s="12" customFormat="1" x14ac:dyDescent="0.25"/>
    <row r="23665" s="12" customFormat="1" x14ac:dyDescent="0.25"/>
    <row r="23666" s="12" customFormat="1" x14ac:dyDescent="0.25"/>
    <row r="23667" s="12" customFormat="1" x14ac:dyDescent="0.25"/>
    <row r="23668" s="12" customFormat="1" x14ac:dyDescent="0.25"/>
    <row r="23669" s="12" customFormat="1" x14ac:dyDescent="0.25"/>
    <row r="23670" s="12" customFormat="1" x14ac:dyDescent="0.25"/>
    <row r="23671" s="12" customFormat="1" x14ac:dyDescent="0.25"/>
    <row r="23672" s="12" customFormat="1" x14ac:dyDescent="0.25"/>
    <row r="23673" s="12" customFormat="1" x14ac:dyDescent="0.25"/>
    <row r="23674" s="12" customFormat="1" x14ac:dyDescent="0.25"/>
    <row r="23675" s="12" customFormat="1" x14ac:dyDescent="0.25"/>
    <row r="23676" s="12" customFormat="1" x14ac:dyDescent="0.25"/>
    <row r="23677" s="12" customFormat="1" x14ac:dyDescent="0.25"/>
    <row r="23678" s="12" customFormat="1" x14ac:dyDescent="0.25"/>
    <row r="23679" s="12" customFormat="1" x14ac:dyDescent="0.25"/>
    <row r="23680" s="12" customFormat="1" x14ac:dyDescent="0.25"/>
    <row r="23681" s="12" customFormat="1" x14ac:dyDescent="0.25"/>
    <row r="23682" s="12" customFormat="1" x14ac:dyDescent="0.25"/>
    <row r="23683" s="12" customFormat="1" x14ac:dyDescent="0.25"/>
    <row r="23684" s="12" customFormat="1" x14ac:dyDescent="0.25"/>
    <row r="23685" s="12" customFormat="1" x14ac:dyDescent="0.25"/>
    <row r="23686" s="12" customFormat="1" x14ac:dyDescent="0.25"/>
    <row r="23687" s="12" customFormat="1" x14ac:dyDescent="0.25"/>
    <row r="23688" s="12" customFormat="1" x14ac:dyDescent="0.25"/>
    <row r="23689" s="12" customFormat="1" x14ac:dyDescent="0.25"/>
    <row r="23690" s="12" customFormat="1" x14ac:dyDescent="0.25"/>
    <row r="23691" s="12" customFormat="1" x14ac:dyDescent="0.25"/>
    <row r="23692" s="12" customFormat="1" x14ac:dyDescent="0.25"/>
    <row r="23693" s="12" customFormat="1" x14ac:dyDescent="0.25"/>
    <row r="23694" s="12" customFormat="1" x14ac:dyDescent="0.25"/>
    <row r="23695" s="12" customFormat="1" x14ac:dyDescent="0.25"/>
    <row r="23696" s="12" customFormat="1" x14ac:dyDescent="0.25"/>
    <row r="23697" s="12" customFormat="1" x14ac:dyDescent="0.25"/>
    <row r="23698" s="12" customFormat="1" x14ac:dyDescent="0.25"/>
    <row r="23699" s="12" customFormat="1" x14ac:dyDescent="0.25"/>
    <row r="23700" s="12" customFormat="1" x14ac:dyDescent="0.25"/>
    <row r="23701" s="12" customFormat="1" x14ac:dyDescent="0.25"/>
    <row r="23702" s="12" customFormat="1" x14ac:dyDescent="0.25"/>
    <row r="23703" s="12" customFormat="1" x14ac:dyDescent="0.25"/>
    <row r="23704" s="12" customFormat="1" x14ac:dyDescent="0.25"/>
    <row r="23705" s="12" customFormat="1" x14ac:dyDescent="0.25"/>
    <row r="23706" s="12" customFormat="1" x14ac:dyDescent="0.25"/>
    <row r="23707" s="12" customFormat="1" x14ac:dyDescent="0.25"/>
    <row r="23708" s="12" customFormat="1" x14ac:dyDescent="0.25"/>
    <row r="23709" s="12" customFormat="1" x14ac:dyDescent="0.25"/>
    <row r="23710" s="12" customFormat="1" x14ac:dyDescent="0.25"/>
    <row r="23711" s="12" customFormat="1" x14ac:dyDescent="0.25"/>
    <row r="23712" s="12" customFormat="1" x14ac:dyDescent="0.25"/>
    <row r="23713" s="12" customFormat="1" x14ac:dyDescent="0.25"/>
    <row r="23714" s="12" customFormat="1" x14ac:dyDescent="0.25"/>
    <row r="23715" s="12" customFormat="1" x14ac:dyDescent="0.25"/>
    <row r="23716" s="12" customFormat="1" x14ac:dyDescent="0.25"/>
    <row r="23717" s="12" customFormat="1" x14ac:dyDescent="0.25"/>
    <row r="23718" s="12" customFormat="1" x14ac:dyDescent="0.25"/>
    <row r="23719" s="12" customFormat="1" x14ac:dyDescent="0.25"/>
    <row r="23720" s="12" customFormat="1" x14ac:dyDescent="0.25"/>
    <row r="23721" s="12" customFormat="1" x14ac:dyDescent="0.25"/>
    <row r="23722" s="12" customFormat="1" x14ac:dyDescent="0.25"/>
    <row r="23723" s="12" customFormat="1" x14ac:dyDescent="0.25"/>
    <row r="23724" s="12" customFormat="1" x14ac:dyDescent="0.25"/>
    <row r="23725" s="12" customFormat="1" x14ac:dyDescent="0.25"/>
    <row r="23726" s="12" customFormat="1" x14ac:dyDescent="0.25"/>
    <row r="23727" s="12" customFormat="1" x14ac:dyDescent="0.25"/>
    <row r="23728" s="12" customFormat="1" x14ac:dyDescent="0.25"/>
    <row r="23729" s="12" customFormat="1" x14ac:dyDescent="0.25"/>
    <row r="23730" s="12" customFormat="1" x14ac:dyDescent="0.25"/>
    <row r="23731" s="12" customFormat="1" x14ac:dyDescent="0.25"/>
    <row r="23732" s="12" customFormat="1" x14ac:dyDescent="0.25"/>
    <row r="23733" s="12" customFormat="1" x14ac:dyDescent="0.25"/>
    <row r="23734" s="12" customFormat="1" x14ac:dyDescent="0.25"/>
    <row r="23735" s="12" customFormat="1" x14ac:dyDescent="0.25"/>
    <row r="23736" s="12" customFormat="1" x14ac:dyDescent="0.25"/>
    <row r="23737" s="12" customFormat="1" x14ac:dyDescent="0.25"/>
    <row r="23738" s="12" customFormat="1" x14ac:dyDescent="0.25"/>
    <row r="23739" s="12" customFormat="1" x14ac:dyDescent="0.25"/>
    <row r="23740" s="12" customFormat="1" x14ac:dyDescent="0.25"/>
    <row r="23741" s="12" customFormat="1" x14ac:dyDescent="0.25"/>
    <row r="23742" s="12" customFormat="1" x14ac:dyDescent="0.25"/>
    <row r="23743" s="12" customFormat="1" x14ac:dyDescent="0.25"/>
    <row r="23744" s="12" customFormat="1" x14ac:dyDescent="0.25"/>
    <row r="23745" s="12" customFormat="1" x14ac:dyDescent="0.25"/>
    <row r="23746" s="12" customFormat="1" x14ac:dyDescent="0.25"/>
    <row r="23747" s="12" customFormat="1" x14ac:dyDescent="0.25"/>
    <row r="23748" s="12" customFormat="1" x14ac:dyDescent="0.25"/>
    <row r="23749" s="12" customFormat="1" x14ac:dyDescent="0.25"/>
    <row r="23750" s="12" customFormat="1" x14ac:dyDescent="0.25"/>
    <row r="23751" s="12" customFormat="1" x14ac:dyDescent="0.25"/>
    <row r="23752" s="12" customFormat="1" x14ac:dyDescent="0.25"/>
    <row r="23753" s="12" customFormat="1" x14ac:dyDescent="0.25"/>
    <row r="23754" s="12" customFormat="1" x14ac:dyDescent="0.25"/>
    <row r="23755" s="12" customFormat="1" x14ac:dyDescent="0.25"/>
    <row r="23756" s="12" customFormat="1" x14ac:dyDescent="0.25"/>
    <row r="23757" s="12" customFormat="1" x14ac:dyDescent="0.25"/>
    <row r="23758" s="12" customFormat="1" x14ac:dyDescent="0.25"/>
    <row r="23759" s="12" customFormat="1" x14ac:dyDescent="0.25"/>
    <row r="23760" s="12" customFormat="1" x14ac:dyDescent="0.25"/>
    <row r="23761" s="12" customFormat="1" x14ac:dyDescent="0.25"/>
    <row r="23762" s="12" customFormat="1" x14ac:dyDescent="0.25"/>
    <row r="23763" s="12" customFormat="1" x14ac:dyDescent="0.25"/>
    <row r="23764" s="12" customFormat="1" x14ac:dyDescent="0.25"/>
    <row r="23765" s="12" customFormat="1" x14ac:dyDescent="0.25"/>
    <row r="23766" s="12" customFormat="1" x14ac:dyDescent="0.25"/>
    <row r="23767" s="12" customFormat="1" x14ac:dyDescent="0.25"/>
    <row r="23768" s="12" customFormat="1" x14ac:dyDescent="0.25"/>
    <row r="23769" s="12" customFormat="1" x14ac:dyDescent="0.25"/>
    <row r="23770" s="12" customFormat="1" x14ac:dyDescent="0.25"/>
    <row r="23771" s="12" customFormat="1" x14ac:dyDescent="0.25"/>
    <row r="23772" s="12" customFormat="1" x14ac:dyDescent="0.25"/>
    <row r="23773" s="12" customFormat="1" x14ac:dyDescent="0.25"/>
    <row r="23774" s="12" customFormat="1" x14ac:dyDescent="0.25"/>
    <row r="23775" s="12" customFormat="1" x14ac:dyDescent="0.25"/>
    <row r="23776" s="12" customFormat="1" x14ac:dyDescent="0.25"/>
    <row r="23777" s="12" customFormat="1" x14ac:dyDescent="0.25"/>
    <row r="23778" s="12" customFormat="1" x14ac:dyDescent="0.25"/>
    <row r="23779" s="12" customFormat="1" x14ac:dyDescent="0.25"/>
    <row r="23780" s="12" customFormat="1" x14ac:dyDescent="0.25"/>
    <row r="23781" s="12" customFormat="1" x14ac:dyDescent="0.25"/>
    <row r="23782" s="12" customFormat="1" x14ac:dyDescent="0.25"/>
    <row r="23783" s="12" customFormat="1" x14ac:dyDescent="0.25"/>
    <row r="23784" s="12" customFormat="1" x14ac:dyDescent="0.25"/>
    <row r="23785" s="12" customFormat="1" x14ac:dyDescent="0.25"/>
    <row r="23786" s="12" customFormat="1" x14ac:dyDescent="0.25"/>
    <row r="23787" s="12" customFormat="1" x14ac:dyDescent="0.25"/>
    <row r="23788" s="12" customFormat="1" x14ac:dyDescent="0.25"/>
    <row r="23789" s="12" customFormat="1" x14ac:dyDescent="0.25"/>
    <row r="23790" s="12" customFormat="1" x14ac:dyDescent="0.25"/>
    <row r="23791" s="12" customFormat="1" x14ac:dyDescent="0.25"/>
    <row r="23792" s="12" customFormat="1" x14ac:dyDescent="0.25"/>
    <row r="23793" s="12" customFormat="1" x14ac:dyDescent="0.25"/>
    <row r="23794" s="12" customFormat="1" x14ac:dyDescent="0.25"/>
    <row r="23795" s="12" customFormat="1" x14ac:dyDescent="0.25"/>
    <row r="23796" s="12" customFormat="1" x14ac:dyDescent="0.25"/>
    <row r="23797" s="12" customFormat="1" x14ac:dyDescent="0.25"/>
    <row r="23798" s="12" customFormat="1" x14ac:dyDescent="0.25"/>
    <row r="23799" s="12" customFormat="1" x14ac:dyDescent="0.25"/>
    <row r="23800" s="12" customFormat="1" x14ac:dyDescent="0.25"/>
    <row r="23801" s="12" customFormat="1" x14ac:dyDescent="0.25"/>
    <row r="23802" s="12" customFormat="1" x14ac:dyDescent="0.25"/>
    <row r="23803" s="12" customFormat="1" x14ac:dyDescent="0.25"/>
    <row r="23804" s="12" customFormat="1" x14ac:dyDescent="0.25"/>
    <row r="23805" s="12" customFormat="1" x14ac:dyDescent="0.25"/>
    <row r="23806" s="12" customFormat="1" x14ac:dyDescent="0.25"/>
    <row r="23807" s="12" customFormat="1" x14ac:dyDescent="0.25"/>
    <row r="23808" s="12" customFormat="1" x14ac:dyDescent="0.25"/>
    <row r="23809" s="12" customFormat="1" x14ac:dyDescent="0.25"/>
    <row r="23810" s="12" customFormat="1" x14ac:dyDescent="0.25"/>
    <row r="23811" s="12" customFormat="1" x14ac:dyDescent="0.25"/>
    <row r="23812" s="12" customFormat="1" x14ac:dyDescent="0.25"/>
    <row r="23813" s="12" customFormat="1" x14ac:dyDescent="0.25"/>
    <row r="23814" s="12" customFormat="1" x14ac:dyDescent="0.25"/>
    <row r="23815" s="12" customFormat="1" x14ac:dyDescent="0.25"/>
    <row r="23816" s="12" customFormat="1" x14ac:dyDescent="0.25"/>
    <row r="23817" s="12" customFormat="1" x14ac:dyDescent="0.25"/>
    <row r="23818" s="12" customFormat="1" x14ac:dyDescent="0.25"/>
    <row r="23819" s="12" customFormat="1" x14ac:dyDescent="0.25"/>
    <row r="23820" s="12" customFormat="1" x14ac:dyDescent="0.25"/>
    <row r="23821" s="12" customFormat="1" x14ac:dyDescent="0.25"/>
    <row r="23822" s="12" customFormat="1" x14ac:dyDescent="0.25"/>
    <row r="23823" s="12" customFormat="1" x14ac:dyDescent="0.25"/>
    <row r="23824" s="12" customFormat="1" x14ac:dyDescent="0.25"/>
    <row r="23825" s="12" customFormat="1" x14ac:dyDescent="0.25"/>
    <row r="23826" s="12" customFormat="1" x14ac:dyDescent="0.25"/>
    <row r="23827" s="12" customFormat="1" x14ac:dyDescent="0.25"/>
    <row r="23828" s="12" customFormat="1" x14ac:dyDescent="0.25"/>
    <row r="23829" s="12" customFormat="1" x14ac:dyDescent="0.25"/>
    <row r="23830" s="12" customFormat="1" x14ac:dyDescent="0.25"/>
    <row r="23831" s="12" customFormat="1" x14ac:dyDescent="0.25"/>
    <row r="23832" s="12" customFormat="1" x14ac:dyDescent="0.25"/>
    <row r="23833" s="12" customFormat="1" x14ac:dyDescent="0.25"/>
    <row r="23834" s="12" customFormat="1" x14ac:dyDescent="0.25"/>
    <row r="23835" s="12" customFormat="1" x14ac:dyDescent="0.25"/>
    <row r="23836" s="12" customFormat="1" x14ac:dyDescent="0.25"/>
    <row r="23837" s="12" customFormat="1" x14ac:dyDescent="0.25"/>
    <row r="23838" s="12" customFormat="1" x14ac:dyDescent="0.25"/>
    <row r="23839" s="12" customFormat="1" x14ac:dyDescent="0.25"/>
    <row r="23840" s="12" customFormat="1" x14ac:dyDescent="0.25"/>
    <row r="23841" s="12" customFormat="1" x14ac:dyDescent="0.25"/>
    <row r="23842" s="12" customFormat="1" x14ac:dyDescent="0.25"/>
    <row r="23843" s="12" customFormat="1" x14ac:dyDescent="0.25"/>
    <row r="23844" s="12" customFormat="1" x14ac:dyDescent="0.25"/>
    <row r="23845" s="12" customFormat="1" x14ac:dyDescent="0.25"/>
    <row r="23846" s="12" customFormat="1" x14ac:dyDescent="0.25"/>
    <row r="23847" s="12" customFormat="1" x14ac:dyDescent="0.25"/>
    <row r="23848" s="12" customFormat="1" x14ac:dyDescent="0.25"/>
    <row r="23849" s="12" customFormat="1" x14ac:dyDescent="0.25"/>
    <row r="23850" s="12" customFormat="1" x14ac:dyDescent="0.25"/>
    <row r="23851" s="12" customFormat="1" x14ac:dyDescent="0.25"/>
    <row r="23852" s="12" customFormat="1" x14ac:dyDescent="0.25"/>
    <row r="23853" s="12" customFormat="1" x14ac:dyDescent="0.25"/>
    <row r="23854" s="12" customFormat="1" x14ac:dyDescent="0.25"/>
    <row r="23855" s="12" customFormat="1" x14ac:dyDescent="0.25"/>
    <row r="23856" s="12" customFormat="1" x14ac:dyDescent="0.25"/>
    <row r="23857" s="12" customFormat="1" x14ac:dyDescent="0.25"/>
    <row r="23858" s="12" customFormat="1" x14ac:dyDescent="0.25"/>
    <row r="23859" s="12" customFormat="1" x14ac:dyDescent="0.25"/>
    <row r="23860" s="12" customFormat="1" x14ac:dyDescent="0.25"/>
    <row r="23861" s="12" customFormat="1" x14ac:dyDescent="0.25"/>
    <row r="23862" s="12" customFormat="1" x14ac:dyDescent="0.25"/>
    <row r="23863" s="12" customFormat="1" x14ac:dyDescent="0.25"/>
    <row r="23864" s="12" customFormat="1" x14ac:dyDescent="0.25"/>
    <row r="23865" s="12" customFormat="1" x14ac:dyDescent="0.25"/>
    <row r="23866" s="12" customFormat="1" x14ac:dyDescent="0.25"/>
    <row r="23867" s="12" customFormat="1" x14ac:dyDescent="0.25"/>
    <row r="23868" s="12" customFormat="1" x14ac:dyDescent="0.25"/>
    <row r="23869" s="12" customFormat="1" x14ac:dyDescent="0.25"/>
    <row r="23870" s="12" customFormat="1" x14ac:dyDescent="0.25"/>
    <row r="23871" s="12" customFormat="1" x14ac:dyDescent="0.25"/>
    <row r="23872" s="12" customFormat="1" x14ac:dyDescent="0.25"/>
    <row r="23873" s="12" customFormat="1" x14ac:dyDescent="0.25"/>
    <row r="23874" s="12" customFormat="1" x14ac:dyDescent="0.25"/>
    <row r="23875" s="12" customFormat="1" x14ac:dyDescent="0.25"/>
    <row r="23876" s="12" customFormat="1" x14ac:dyDescent="0.25"/>
    <row r="23877" s="12" customFormat="1" x14ac:dyDescent="0.25"/>
    <row r="23878" s="12" customFormat="1" x14ac:dyDescent="0.25"/>
    <row r="23879" s="12" customFormat="1" x14ac:dyDescent="0.25"/>
    <row r="23880" s="12" customFormat="1" x14ac:dyDescent="0.25"/>
    <row r="23881" s="12" customFormat="1" x14ac:dyDescent="0.25"/>
    <row r="23882" s="12" customFormat="1" x14ac:dyDescent="0.25"/>
    <row r="23883" s="12" customFormat="1" x14ac:dyDescent="0.25"/>
    <row r="23884" s="12" customFormat="1" x14ac:dyDescent="0.25"/>
    <row r="23885" s="12" customFormat="1" x14ac:dyDescent="0.25"/>
    <row r="23886" s="12" customFormat="1" x14ac:dyDescent="0.25"/>
    <row r="23887" s="12" customFormat="1" x14ac:dyDescent="0.25"/>
    <row r="23888" s="12" customFormat="1" x14ac:dyDescent="0.25"/>
    <row r="23889" s="12" customFormat="1" x14ac:dyDescent="0.25"/>
    <row r="23890" s="12" customFormat="1" x14ac:dyDescent="0.25"/>
    <row r="23891" s="12" customFormat="1" x14ac:dyDescent="0.25"/>
    <row r="23892" s="12" customFormat="1" x14ac:dyDescent="0.25"/>
    <row r="23893" s="12" customFormat="1" x14ac:dyDescent="0.25"/>
    <row r="23894" s="12" customFormat="1" x14ac:dyDescent="0.25"/>
    <row r="23895" s="12" customFormat="1" x14ac:dyDescent="0.25"/>
    <row r="23896" s="12" customFormat="1" x14ac:dyDescent="0.25"/>
    <row r="23897" s="12" customFormat="1" x14ac:dyDescent="0.25"/>
    <row r="23898" s="12" customFormat="1" x14ac:dyDescent="0.25"/>
    <row r="23899" s="12" customFormat="1" x14ac:dyDescent="0.25"/>
    <row r="23900" s="12" customFormat="1" x14ac:dyDescent="0.25"/>
    <row r="23901" s="12" customFormat="1" x14ac:dyDescent="0.25"/>
    <row r="23902" s="12" customFormat="1" x14ac:dyDescent="0.25"/>
    <row r="23903" s="12" customFormat="1" x14ac:dyDescent="0.25"/>
    <row r="23904" s="12" customFormat="1" x14ac:dyDescent="0.25"/>
    <row r="23905" s="12" customFormat="1" x14ac:dyDescent="0.25"/>
    <row r="23906" s="12" customFormat="1" x14ac:dyDescent="0.25"/>
    <row r="23907" s="12" customFormat="1" x14ac:dyDescent="0.25"/>
    <row r="23908" s="12" customFormat="1" x14ac:dyDescent="0.25"/>
    <row r="23909" s="12" customFormat="1" x14ac:dyDescent="0.25"/>
    <row r="23910" s="12" customFormat="1" x14ac:dyDescent="0.25"/>
    <row r="23911" s="12" customFormat="1" x14ac:dyDescent="0.25"/>
    <row r="23912" s="12" customFormat="1" x14ac:dyDescent="0.25"/>
    <row r="23913" s="12" customFormat="1" x14ac:dyDescent="0.25"/>
    <row r="23914" s="12" customFormat="1" x14ac:dyDescent="0.25"/>
    <row r="23915" s="12" customFormat="1" x14ac:dyDescent="0.25"/>
    <row r="23916" s="12" customFormat="1" x14ac:dyDescent="0.25"/>
    <row r="23917" s="12" customFormat="1" x14ac:dyDescent="0.25"/>
    <row r="23918" s="12" customFormat="1" x14ac:dyDescent="0.25"/>
    <row r="23919" s="12" customFormat="1" x14ac:dyDescent="0.25"/>
    <row r="23920" s="12" customFormat="1" x14ac:dyDescent="0.25"/>
    <row r="23921" s="12" customFormat="1" x14ac:dyDescent="0.25"/>
    <row r="23922" s="12" customFormat="1" x14ac:dyDescent="0.25"/>
    <row r="23923" s="12" customFormat="1" x14ac:dyDescent="0.25"/>
    <row r="23924" s="12" customFormat="1" x14ac:dyDescent="0.25"/>
    <row r="23925" s="12" customFormat="1" x14ac:dyDescent="0.25"/>
    <row r="23926" s="12" customFormat="1" x14ac:dyDescent="0.25"/>
    <row r="23927" s="12" customFormat="1" x14ac:dyDescent="0.25"/>
    <row r="23928" s="12" customFormat="1" x14ac:dyDescent="0.25"/>
    <row r="23929" s="12" customFormat="1" x14ac:dyDescent="0.25"/>
    <row r="23930" s="12" customFormat="1" x14ac:dyDescent="0.25"/>
    <row r="23931" s="12" customFormat="1" x14ac:dyDescent="0.25"/>
    <row r="23932" s="12" customFormat="1" x14ac:dyDescent="0.25"/>
    <row r="23933" s="12" customFormat="1" x14ac:dyDescent="0.25"/>
    <row r="23934" s="12" customFormat="1" x14ac:dyDescent="0.25"/>
    <row r="23935" s="12" customFormat="1" x14ac:dyDescent="0.25"/>
    <row r="23936" s="12" customFormat="1" x14ac:dyDescent="0.25"/>
    <row r="23937" s="12" customFormat="1" x14ac:dyDescent="0.25"/>
    <row r="23938" s="12" customFormat="1" x14ac:dyDescent="0.25"/>
    <row r="23939" s="12" customFormat="1" x14ac:dyDescent="0.25"/>
    <row r="23940" s="12" customFormat="1" x14ac:dyDescent="0.25"/>
    <row r="23941" s="12" customFormat="1" x14ac:dyDescent="0.25"/>
    <row r="23942" s="12" customFormat="1" x14ac:dyDescent="0.25"/>
    <row r="23943" s="12" customFormat="1" x14ac:dyDescent="0.25"/>
    <row r="23944" s="12" customFormat="1" x14ac:dyDescent="0.25"/>
    <row r="23945" s="12" customFormat="1" x14ac:dyDescent="0.25"/>
    <row r="23946" s="12" customFormat="1" x14ac:dyDescent="0.25"/>
    <row r="23947" s="12" customFormat="1" x14ac:dyDescent="0.25"/>
    <row r="23948" s="12" customFormat="1" x14ac:dyDescent="0.25"/>
    <row r="23949" s="12" customFormat="1" x14ac:dyDescent="0.25"/>
    <row r="23950" s="12" customFormat="1" x14ac:dyDescent="0.25"/>
    <row r="23951" s="12" customFormat="1" x14ac:dyDescent="0.25"/>
    <row r="23952" s="12" customFormat="1" x14ac:dyDescent="0.25"/>
    <row r="23953" s="12" customFormat="1" x14ac:dyDescent="0.25"/>
    <row r="23954" s="12" customFormat="1" x14ac:dyDescent="0.25"/>
    <row r="23955" s="12" customFormat="1" x14ac:dyDescent="0.25"/>
    <row r="23956" s="12" customFormat="1" x14ac:dyDescent="0.25"/>
    <row r="23957" s="12" customFormat="1" x14ac:dyDescent="0.25"/>
    <row r="23958" s="12" customFormat="1" x14ac:dyDescent="0.25"/>
    <row r="23959" s="12" customFormat="1" x14ac:dyDescent="0.25"/>
    <row r="23960" s="12" customFormat="1" x14ac:dyDescent="0.25"/>
    <row r="23961" s="12" customFormat="1" x14ac:dyDescent="0.25"/>
    <row r="23962" s="12" customFormat="1" x14ac:dyDescent="0.25"/>
    <row r="23963" s="12" customFormat="1" x14ac:dyDescent="0.25"/>
    <row r="23964" s="12" customFormat="1" x14ac:dyDescent="0.25"/>
    <row r="23965" s="12" customFormat="1" x14ac:dyDescent="0.25"/>
    <row r="23966" s="12" customFormat="1" x14ac:dyDescent="0.25"/>
    <row r="23967" s="12" customFormat="1" x14ac:dyDescent="0.25"/>
    <row r="23968" s="12" customFormat="1" x14ac:dyDescent="0.25"/>
    <row r="23969" s="12" customFormat="1" x14ac:dyDescent="0.25"/>
    <row r="23970" s="12" customFormat="1" x14ac:dyDescent="0.25"/>
    <row r="23971" s="12" customFormat="1" x14ac:dyDescent="0.25"/>
    <row r="23972" s="12" customFormat="1" x14ac:dyDescent="0.25"/>
    <row r="23973" s="12" customFormat="1" x14ac:dyDescent="0.25"/>
    <row r="23974" s="12" customFormat="1" x14ac:dyDescent="0.25"/>
    <row r="23975" s="12" customFormat="1" x14ac:dyDescent="0.25"/>
    <row r="23976" s="12" customFormat="1" x14ac:dyDescent="0.25"/>
    <row r="23977" s="12" customFormat="1" x14ac:dyDescent="0.25"/>
    <row r="23978" s="12" customFormat="1" x14ac:dyDescent="0.25"/>
    <row r="23979" s="12" customFormat="1" x14ac:dyDescent="0.25"/>
    <row r="23980" s="12" customFormat="1" x14ac:dyDescent="0.25"/>
    <row r="23981" s="12" customFormat="1" x14ac:dyDescent="0.25"/>
    <row r="23982" s="12" customFormat="1" x14ac:dyDescent="0.25"/>
    <row r="23983" s="12" customFormat="1" x14ac:dyDescent="0.25"/>
    <row r="23984" s="12" customFormat="1" x14ac:dyDescent="0.25"/>
    <row r="23985" s="12" customFormat="1" x14ac:dyDescent="0.25"/>
    <row r="23986" s="12" customFormat="1" x14ac:dyDescent="0.25"/>
    <row r="23987" s="12" customFormat="1" x14ac:dyDescent="0.25"/>
    <row r="23988" s="12" customFormat="1" x14ac:dyDescent="0.25"/>
    <row r="23989" s="12" customFormat="1" x14ac:dyDescent="0.25"/>
    <row r="23990" s="12" customFormat="1" x14ac:dyDescent="0.25"/>
    <row r="23991" s="12" customFormat="1" x14ac:dyDescent="0.25"/>
    <row r="23992" s="12" customFormat="1" x14ac:dyDescent="0.25"/>
    <row r="23993" s="12" customFormat="1" x14ac:dyDescent="0.25"/>
    <row r="23994" s="12" customFormat="1" x14ac:dyDescent="0.25"/>
    <row r="23995" s="12" customFormat="1" x14ac:dyDescent="0.25"/>
    <row r="23996" s="12" customFormat="1" x14ac:dyDescent="0.25"/>
    <row r="23997" s="12" customFormat="1" x14ac:dyDescent="0.25"/>
    <row r="23998" s="12" customFormat="1" x14ac:dyDescent="0.25"/>
    <row r="23999" s="12" customFormat="1" x14ac:dyDescent="0.25"/>
    <row r="24000" s="12" customFormat="1" x14ac:dyDescent="0.25"/>
    <row r="24001" s="12" customFormat="1" x14ac:dyDescent="0.25"/>
    <row r="24002" s="12" customFormat="1" x14ac:dyDescent="0.25"/>
    <row r="24003" s="12" customFormat="1" x14ac:dyDescent="0.25"/>
    <row r="24004" s="12" customFormat="1" x14ac:dyDescent="0.25"/>
    <row r="24005" s="12" customFormat="1" x14ac:dyDescent="0.25"/>
    <row r="24006" s="12" customFormat="1" x14ac:dyDescent="0.25"/>
    <row r="24007" s="12" customFormat="1" x14ac:dyDescent="0.25"/>
    <row r="24008" s="12" customFormat="1" x14ac:dyDescent="0.25"/>
    <row r="24009" s="12" customFormat="1" x14ac:dyDescent="0.25"/>
    <row r="24010" s="12" customFormat="1" x14ac:dyDescent="0.25"/>
    <row r="24011" s="12" customFormat="1" x14ac:dyDescent="0.25"/>
    <row r="24012" s="12" customFormat="1" x14ac:dyDescent="0.25"/>
    <row r="24013" s="12" customFormat="1" x14ac:dyDescent="0.25"/>
    <row r="24014" s="12" customFormat="1" x14ac:dyDescent="0.25"/>
    <row r="24015" s="12" customFormat="1" x14ac:dyDescent="0.25"/>
    <row r="24016" s="12" customFormat="1" x14ac:dyDescent="0.25"/>
    <row r="24017" s="12" customFormat="1" x14ac:dyDescent="0.25"/>
    <row r="24018" s="12" customFormat="1" x14ac:dyDescent="0.25"/>
    <row r="24019" s="12" customFormat="1" x14ac:dyDescent="0.25"/>
    <row r="24020" s="12" customFormat="1" x14ac:dyDescent="0.25"/>
    <row r="24021" s="12" customFormat="1" x14ac:dyDescent="0.25"/>
    <row r="24022" s="12" customFormat="1" x14ac:dyDescent="0.25"/>
    <row r="24023" s="12" customFormat="1" x14ac:dyDescent="0.25"/>
    <row r="24024" s="12" customFormat="1" x14ac:dyDescent="0.25"/>
    <row r="24025" s="12" customFormat="1" x14ac:dyDescent="0.25"/>
    <row r="24026" s="12" customFormat="1" x14ac:dyDescent="0.25"/>
    <row r="24027" s="12" customFormat="1" x14ac:dyDescent="0.25"/>
    <row r="24028" s="12" customFormat="1" x14ac:dyDescent="0.25"/>
    <row r="24029" s="12" customFormat="1" x14ac:dyDescent="0.25"/>
    <row r="24030" s="12" customFormat="1" x14ac:dyDescent="0.25"/>
    <row r="24031" s="12" customFormat="1" x14ac:dyDescent="0.25"/>
    <row r="24032" s="12" customFormat="1" x14ac:dyDescent="0.25"/>
    <row r="24033" s="12" customFormat="1" x14ac:dyDescent="0.25"/>
    <row r="24034" s="12" customFormat="1" x14ac:dyDescent="0.25"/>
    <row r="24035" s="12" customFormat="1" x14ac:dyDescent="0.25"/>
    <row r="24036" s="12" customFormat="1" x14ac:dyDescent="0.25"/>
    <row r="24037" s="12" customFormat="1" x14ac:dyDescent="0.25"/>
    <row r="24038" s="12" customFormat="1" x14ac:dyDescent="0.25"/>
    <row r="24039" s="12" customFormat="1" x14ac:dyDescent="0.25"/>
    <row r="24040" s="12" customFormat="1" x14ac:dyDescent="0.25"/>
    <row r="24041" s="12" customFormat="1" x14ac:dyDescent="0.25"/>
    <row r="24042" s="12" customFormat="1" x14ac:dyDescent="0.25"/>
    <row r="24043" s="12" customFormat="1" x14ac:dyDescent="0.25"/>
    <row r="24044" s="12" customFormat="1" x14ac:dyDescent="0.25"/>
    <row r="24045" s="12" customFormat="1" x14ac:dyDescent="0.25"/>
    <row r="24046" s="12" customFormat="1" x14ac:dyDescent="0.25"/>
    <row r="24047" s="12" customFormat="1" x14ac:dyDescent="0.25"/>
    <row r="24048" s="12" customFormat="1" x14ac:dyDescent="0.25"/>
    <row r="24049" s="12" customFormat="1" x14ac:dyDescent="0.25"/>
    <row r="24050" s="12" customFormat="1" x14ac:dyDescent="0.25"/>
    <row r="24051" s="12" customFormat="1" x14ac:dyDescent="0.25"/>
    <row r="24052" s="12" customFormat="1" x14ac:dyDescent="0.25"/>
    <row r="24053" s="12" customFormat="1" x14ac:dyDescent="0.25"/>
    <row r="24054" s="12" customFormat="1" x14ac:dyDescent="0.25"/>
    <row r="24055" s="12" customFormat="1" x14ac:dyDescent="0.25"/>
    <row r="24056" s="12" customFormat="1" x14ac:dyDescent="0.25"/>
    <row r="24057" s="12" customFormat="1" x14ac:dyDescent="0.25"/>
    <row r="24058" s="12" customFormat="1" x14ac:dyDescent="0.25"/>
    <row r="24059" s="12" customFormat="1" x14ac:dyDescent="0.25"/>
    <row r="24060" s="12" customFormat="1" x14ac:dyDescent="0.25"/>
    <row r="24061" s="12" customFormat="1" x14ac:dyDescent="0.25"/>
    <row r="24062" s="12" customFormat="1" x14ac:dyDescent="0.25"/>
    <row r="24063" s="12" customFormat="1" x14ac:dyDescent="0.25"/>
    <row r="24064" s="12" customFormat="1" x14ac:dyDescent="0.25"/>
    <row r="24065" s="12" customFormat="1" x14ac:dyDescent="0.25"/>
    <row r="24066" s="12" customFormat="1" x14ac:dyDescent="0.25"/>
    <row r="24067" s="12" customFormat="1" x14ac:dyDescent="0.25"/>
    <row r="24068" s="12" customFormat="1" x14ac:dyDescent="0.25"/>
    <row r="24069" s="12" customFormat="1" x14ac:dyDescent="0.25"/>
    <row r="24070" s="12" customFormat="1" x14ac:dyDescent="0.25"/>
    <row r="24071" s="12" customFormat="1" x14ac:dyDescent="0.25"/>
    <row r="24072" s="12" customFormat="1" x14ac:dyDescent="0.25"/>
    <row r="24073" s="12" customFormat="1" x14ac:dyDescent="0.25"/>
    <row r="24074" s="12" customFormat="1" x14ac:dyDescent="0.25"/>
    <row r="24075" s="12" customFormat="1" x14ac:dyDescent="0.25"/>
    <row r="24076" s="12" customFormat="1" x14ac:dyDescent="0.25"/>
    <row r="24077" s="12" customFormat="1" x14ac:dyDescent="0.25"/>
    <row r="24078" s="12" customFormat="1" x14ac:dyDescent="0.25"/>
    <row r="24079" s="12" customFormat="1" x14ac:dyDescent="0.25"/>
    <row r="24080" s="12" customFormat="1" x14ac:dyDescent="0.25"/>
    <row r="24081" s="12" customFormat="1" x14ac:dyDescent="0.25"/>
    <row r="24082" s="12" customFormat="1" x14ac:dyDescent="0.25"/>
    <row r="24083" s="12" customFormat="1" x14ac:dyDescent="0.25"/>
    <row r="24084" s="12" customFormat="1" x14ac:dyDescent="0.25"/>
    <row r="24085" s="12" customFormat="1" x14ac:dyDescent="0.25"/>
    <row r="24086" s="12" customFormat="1" x14ac:dyDescent="0.25"/>
    <row r="24087" s="12" customFormat="1" x14ac:dyDescent="0.25"/>
    <row r="24088" s="12" customFormat="1" x14ac:dyDescent="0.25"/>
    <row r="24089" s="12" customFormat="1" x14ac:dyDescent="0.25"/>
    <row r="24090" s="12" customFormat="1" x14ac:dyDescent="0.25"/>
    <row r="24091" s="12" customFormat="1" x14ac:dyDescent="0.25"/>
    <row r="24092" s="12" customFormat="1" x14ac:dyDescent="0.25"/>
    <row r="24093" s="12" customFormat="1" x14ac:dyDescent="0.25"/>
    <row r="24094" s="12" customFormat="1" x14ac:dyDescent="0.25"/>
    <row r="24095" s="12" customFormat="1" x14ac:dyDescent="0.25"/>
    <row r="24096" s="12" customFormat="1" x14ac:dyDescent="0.25"/>
    <row r="24097" s="12" customFormat="1" x14ac:dyDescent="0.25"/>
    <row r="24098" s="12" customFormat="1" x14ac:dyDescent="0.25"/>
    <row r="24099" s="12" customFormat="1" x14ac:dyDescent="0.25"/>
    <row r="24100" s="12" customFormat="1" x14ac:dyDescent="0.25"/>
    <row r="24101" s="12" customFormat="1" x14ac:dyDescent="0.25"/>
    <row r="24102" s="12" customFormat="1" x14ac:dyDescent="0.25"/>
    <row r="24103" s="12" customFormat="1" x14ac:dyDescent="0.25"/>
    <row r="24104" s="12" customFormat="1" x14ac:dyDescent="0.25"/>
    <row r="24105" s="12" customFormat="1" x14ac:dyDescent="0.25"/>
    <row r="24106" s="12" customFormat="1" x14ac:dyDescent="0.25"/>
    <row r="24107" s="12" customFormat="1" x14ac:dyDescent="0.25"/>
    <row r="24108" s="12" customFormat="1" x14ac:dyDescent="0.25"/>
    <row r="24109" s="12" customFormat="1" x14ac:dyDescent="0.25"/>
    <row r="24110" s="12" customFormat="1" x14ac:dyDescent="0.25"/>
    <row r="24111" s="12" customFormat="1" x14ac:dyDescent="0.25"/>
    <row r="24112" s="12" customFormat="1" x14ac:dyDescent="0.25"/>
    <row r="24113" s="12" customFormat="1" x14ac:dyDescent="0.25"/>
    <row r="24114" s="12" customFormat="1" x14ac:dyDescent="0.25"/>
    <row r="24115" s="12" customFormat="1" x14ac:dyDescent="0.25"/>
    <row r="24116" s="12" customFormat="1" x14ac:dyDescent="0.25"/>
    <row r="24117" s="12" customFormat="1" x14ac:dyDescent="0.25"/>
    <row r="24118" s="12" customFormat="1" x14ac:dyDescent="0.25"/>
    <row r="24119" s="12" customFormat="1" x14ac:dyDescent="0.25"/>
    <row r="24120" s="12" customFormat="1" x14ac:dyDescent="0.25"/>
    <row r="24121" s="12" customFormat="1" x14ac:dyDescent="0.25"/>
    <row r="24122" s="12" customFormat="1" x14ac:dyDescent="0.25"/>
    <row r="24123" s="12" customFormat="1" x14ac:dyDescent="0.25"/>
    <row r="24124" s="12" customFormat="1" x14ac:dyDescent="0.25"/>
    <row r="24125" s="12" customFormat="1" x14ac:dyDescent="0.25"/>
    <row r="24126" s="12" customFormat="1" x14ac:dyDescent="0.25"/>
    <row r="24127" s="12" customFormat="1" x14ac:dyDescent="0.25"/>
    <row r="24128" s="12" customFormat="1" x14ac:dyDescent="0.25"/>
    <row r="24129" s="12" customFormat="1" x14ac:dyDescent="0.25"/>
    <row r="24130" s="12" customFormat="1" x14ac:dyDescent="0.25"/>
    <row r="24131" s="12" customFormat="1" x14ac:dyDescent="0.25"/>
    <row r="24132" s="12" customFormat="1" x14ac:dyDescent="0.25"/>
    <row r="24133" s="12" customFormat="1" x14ac:dyDescent="0.25"/>
    <row r="24134" s="12" customFormat="1" x14ac:dyDescent="0.25"/>
    <row r="24135" s="12" customFormat="1" x14ac:dyDescent="0.25"/>
    <row r="24136" s="12" customFormat="1" x14ac:dyDescent="0.25"/>
    <row r="24137" s="12" customFormat="1" x14ac:dyDescent="0.25"/>
    <row r="24138" s="12" customFormat="1" x14ac:dyDescent="0.25"/>
    <row r="24139" s="12" customFormat="1" x14ac:dyDescent="0.25"/>
    <row r="24140" s="12" customFormat="1" x14ac:dyDescent="0.25"/>
    <row r="24141" s="12" customFormat="1" x14ac:dyDescent="0.25"/>
    <row r="24142" s="12" customFormat="1" x14ac:dyDescent="0.25"/>
    <row r="24143" s="12" customFormat="1" x14ac:dyDescent="0.25"/>
    <row r="24144" s="12" customFormat="1" x14ac:dyDescent="0.25"/>
    <row r="24145" s="12" customFormat="1" x14ac:dyDescent="0.25"/>
    <row r="24146" s="12" customFormat="1" x14ac:dyDescent="0.25"/>
    <row r="24147" s="12" customFormat="1" x14ac:dyDescent="0.25"/>
    <row r="24148" s="12" customFormat="1" x14ac:dyDescent="0.25"/>
    <row r="24149" s="12" customFormat="1" x14ac:dyDescent="0.25"/>
    <row r="24150" s="12" customFormat="1" x14ac:dyDescent="0.25"/>
    <row r="24151" s="12" customFormat="1" x14ac:dyDescent="0.25"/>
    <row r="24152" s="12" customFormat="1" x14ac:dyDescent="0.25"/>
    <row r="24153" s="12" customFormat="1" x14ac:dyDescent="0.25"/>
    <row r="24154" s="12" customFormat="1" x14ac:dyDescent="0.25"/>
    <row r="24155" s="12" customFormat="1" x14ac:dyDescent="0.25"/>
    <row r="24156" s="12" customFormat="1" x14ac:dyDescent="0.25"/>
    <row r="24157" s="12" customFormat="1" x14ac:dyDescent="0.25"/>
    <row r="24158" s="12" customFormat="1" x14ac:dyDescent="0.25"/>
    <row r="24159" s="12" customFormat="1" x14ac:dyDescent="0.25"/>
    <row r="24160" s="12" customFormat="1" x14ac:dyDescent="0.25"/>
    <row r="24161" s="12" customFormat="1" x14ac:dyDescent="0.25"/>
    <row r="24162" s="12" customFormat="1" x14ac:dyDescent="0.25"/>
    <row r="24163" s="12" customFormat="1" x14ac:dyDescent="0.25"/>
    <row r="24164" s="12" customFormat="1" x14ac:dyDescent="0.25"/>
    <row r="24165" s="12" customFormat="1" x14ac:dyDescent="0.25"/>
    <row r="24166" s="12" customFormat="1" x14ac:dyDescent="0.25"/>
    <row r="24167" s="12" customFormat="1" x14ac:dyDescent="0.25"/>
    <row r="24168" s="12" customFormat="1" x14ac:dyDescent="0.25"/>
    <row r="24169" s="12" customFormat="1" x14ac:dyDescent="0.25"/>
    <row r="24170" s="12" customFormat="1" x14ac:dyDescent="0.25"/>
    <row r="24171" s="12" customFormat="1" x14ac:dyDescent="0.25"/>
    <row r="24172" s="12" customFormat="1" x14ac:dyDescent="0.25"/>
    <row r="24173" s="12" customFormat="1" x14ac:dyDescent="0.25"/>
    <row r="24174" s="12" customFormat="1" x14ac:dyDescent="0.25"/>
    <row r="24175" s="12" customFormat="1" x14ac:dyDescent="0.25"/>
    <row r="24176" s="12" customFormat="1" x14ac:dyDescent="0.25"/>
    <row r="24177" s="12" customFormat="1" x14ac:dyDescent="0.25"/>
    <row r="24178" s="12" customFormat="1" x14ac:dyDescent="0.25"/>
    <row r="24179" s="12" customFormat="1" x14ac:dyDescent="0.25"/>
    <row r="24180" s="12" customFormat="1" x14ac:dyDescent="0.25"/>
    <row r="24181" s="12" customFormat="1" x14ac:dyDescent="0.25"/>
    <row r="24182" s="12" customFormat="1" x14ac:dyDescent="0.25"/>
    <row r="24183" s="12" customFormat="1" x14ac:dyDescent="0.25"/>
    <row r="24184" s="12" customFormat="1" x14ac:dyDescent="0.25"/>
    <row r="24185" s="12" customFormat="1" x14ac:dyDescent="0.25"/>
    <row r="24186" s="12" customFormat="1" x14ac:dyDescent="0.25"/>
    <row r="24187" s="12" customFormat="1" x14ac:dyDescent="0.25"/>
    <row r="24188" s="12" customFormat="1" x14ac:dyDescent="0.25"/>
    <row r="24189" s="12" customFormat="1" x14ac:dyDescent="0.25"/>
    <row r="24190" s="12" customFormat="1" x14ac:dyDescent="0.25"/>
    <row r="24191" s="12" customFormat="1" x14ac:dyDescent="0.25"/>
    <row r="24192" s="12" customFormat="1" x14ac:dyDescent="0.25"/>
    <row r="24193" s="12" customFormat="1" x14ac:dyDescent="0.25"/>
    <row r="24194" s="12" customFormat="1" x14ac:dyDescent="0.25"/>
    <row r="24195" s="12" customFormat="1" x14ac:dyDescent="0.25"/>
    <row r="24196" s="12" customFormat="1" x14ac:dyDescent="0.25"/>
    <row r="24197" s="12" customFormat="1" x14ac:dyDescent="0.25"/>
    <row r="24198" s="12" customFormat="1" x14ac:dyDescent="0.25"/>
    <row r="24199" s="12" customFormat="1" x14ac:dyDescent="0.25"/>
    <row r="24200" s="12" customFormat="1" x14ac:dyDescent="0.25"/>
    <row r="24201" s="12" customFormat="1" x14ac:dyDescent="0.25"/>
    <row r="24202" s="12" customFormat="1" x14ac:dyDescent="0.25"/>
    <row r="24203" s="12" customFormat="1" x14ac:dyDescent="0.25"/>
    <row r="24204" s="12" customFormat="1" x14ac:dyDescent="0.25"/>
    <row r="24205" s="12" customFormat="1" x14ac:dyDescent="0.25"/>
    <row r="24206" s="12" customFormat="1" x14ac:dyDescent="0.25"/>
    <row r="24207" s="12" customFormat="1" x14ac:dyDescent="0.25"/>
    <row r="24208" s="12" customFormat="1" x14ac:dyDescent="0.25"/>
    <row r="24209" s="12" customFormat="1" x14ac:dyDescent="0.25"/>
    <row r="24210" s="12" customFormat="1" x14ac:dyDescent="0.25"/>
    <row r="24211" s="12" customFormat="1" x14ac:dyDescent="0.25"/>
    <row r="24212" s="12" customFormat="1" x14ac:dyDescent="0.25"/>
    <row r="24213" s="12" customFormat="1" x14ac:dyDescent="0.25"/>
    <row r="24214" s="12" customFormat="1" x14ac:dyDescent="0.25"/>
    <row r="24215" s="12" customFormat="1" x14ac:dyDescent="0.25"/>
    <row r="24216" s="12" customFormat="1" x14ac:dyDescent="0.25"/>
    <row r="24217" s="12" customFormat="1" x14ac:dyDescent="0.25"/>
    <row r="24218" s="12" customFormat="1" x14ac:dyDescent="0.25"/>
    <row r="24219" s="12" customFormat="1" x14ac:dyDescent="0.25"/>
    <row r="24220" s="12" customFormat="1" x14ac:dyDescent="0.25"/>
    <row r="24221" s="12" customFormat="1" x14ac:dyDescent="0.25"/>
    <row r="24222" s="12" customFormat="1" x14ac:dyDescent="0.25"/>
    <row r="24223" s="12" customFormat="1" x14ac:dyDescent="0.25"/>
    <row r="24224" s="12" customFormat="1" x14ac:dyDescent="0.25"/>
    <row r="24225" s="12" customFormat="1" x14ac:dyDescent="0.25"/>
    <row r="24226" s="12" customFormat="1" x14ac:dyDescent="0.25"/>
    <row r="24227" s="12" customFormat="1" x14ac:dyDescent="0.25"/>
    <row r="24228" s="12" customFormat="1" x14ac:dyDescent="0.25"/>
    <row r="24229" s="12" customFormat="1" x14ac:dyDescent="0.25"/>
    <row r="24230" s="12" customFormat="1" x14ac:dyDescent="0.25"/>
    <row r="24231" s="12" customFormat="1" x14ac:dyDescent="0.25"/>
    <row r="24232" s="12" customFormat="1" x14ac:dyDescent="0.25"/>
    <row r="24233" s="12" customFormat="1" x14ac:dyDescent="0.25"/>
    <row r="24234" s="12" customFormat="1" x14ac:dyDescent="0.25"/>
    <row r="24235" s="12" customFormat="1" x14ac:dyDescent="0.25"/>
    <row r="24236" s="12" customFormat="1" x14ac:dyDescent="0.25"/>
    <row r="24237" s="12" customFormat="1" x14ac:dyDescent="0.25"/>
    <row r="24238" s="12" customFormat="1" x14ac:dyDescent="0.25"/>
    <row r="24239" s="12" customFormat="1" x14ac:dyDescent="0.25"/>
    <row r="24240" s="12" customFormat="1" x14ac:dyDescent="0.25"/>
    <row r="24241" s="12" customFormat="1" x14ac:dyDescent="0.25"/>
    <row r="24242" s="12" customFormat="1" x14ac:dyDescent="0.25"/>
    <row r="24243" s="12" customFormat="1" x14ac:dyDescent="0.25"/>
    <row r="24244" s="12" customFormat="1" x14ac:dyDescent="0.25"/>
    <row r="24245" s="12" customFormat="1" x14ac:dyDescent="0.25"/>
    <row r="24246" s="12" customFormat="1" x14ac:dyDescent="0.25"/>
    <row r="24247" s="12" customFormat="1" x14ac:dyDescent="0.25"/>
    <row r="24248" s="12" customFormat="1" x14ac:dyDescent="0.25"/>
    <row r="24249" s="12" customFormat="1" x14ac:dyDescent="0.25"/>
    <row r="24250" s="12" customFormat="1" x14ac:dyDescent="0.25"/>
    <row r="24251" s="12" customFormat="1" x14ac:dyDescent="0.25"/>
    <row r="24252" s="12" customFormat="1" x14ac:dyDescent="0.25"/>
    <row r="24253" s="12" customFormat="1" x14ac:dyDescent="0.25"/>
    <row r="24254" s="12" customFormat="1" x14ac:dyDescent="0.25"/>
    <row r="24255" s="12" customFormat="1" x14ac:dyDescent="0.25"/>
    <row r="24256" s="12" customFormat="1" x14ac:dyDescent="0.25"/>
    <row r="24257" s="12" customFormat="1" x14ac:dyDescent="0.25"/>
    <row r="24258" s="12" customFormat="1" x14ac:dyDescent="0.25"/>
    <row r="24259" s="12" customFormat="1" x14ac:dyDescent="0.25"/>
    <row r="24260" s="12" customFormat="1" x14ac:dyDescent="0.25"/>
    <row r="24261" s="12" customFormat="1" x14ac:dyDescent="0.25"/>
    <row r="24262" s="12" customFormat="1" x14ac:dyDescent="0.25"/>
    <row r="24263" s="12" customFormat="1" x14ac:dyDescent="0.25"/>
    <row r="24264" s="12" customFormat="1" x14ac:dyDescent="0.25"/>
    <row r="24265" s="12" customFormat="1" x14ac:dyDescent="0.25"/>
    <row r="24266" s="12" customFormat="1" x14ac:dyDescent="0.25"/>
    <row r="24267" s="12" customFormat="1" x14ac:dyDescent="0.25"/>
    <row r="24268" s="12" customFormat="1" x14ac:dyDescent="0.25"/>
    <row r="24269" s="12" customFormat="1" x14ac:dyDescent="0.25"/>
    <row r="24270" s="12" customFormat="1" x14ac:dyDescent="0.25"/>
    <row r="24271" s="12" customFormat="1" x14ac:dyDescent="0.25"/>
    <row r="24272" s="12" customFormat="1" x14ac:dyDescent="0.25"/>
    <row r="24273" s="12" customFormat="1" x14ac:dyDescent="0.25"/>
    <row r="24274" s="12" customFormat="1" x14ac:dyDescent="0.25"/>
    <row r="24275" s="12" customFormat="1" x14ac:dyDescent="0.25"/>
    <row r="24276" s="12" customFormat="1" x14ac:dyDescent="0.25"/>
    <row r="24277" s="12" customFormat="1" x14ac:dyDescent="0.25"/>
    <row r="24278" s="12" customFormat="1" x14ac:dyDescent="0.25"/>
    <row r="24279" s="12" customFormat="1" x14ac:dyDescent="0.25"/>
    <row r="24280" s="12" customFormat="1" x14ac:dyDescent="0.25"/>
    <row r="24281" s="12" customFormat="1" x14ac:dyDescent="0.25"/>
    <row r="24282" s="12" customFormat="1" x14ac:dyDescent="0.25"/>
    <row r="24283" s="12" customFormat="1" x14ac:dyDescent="0.25"/>
    <row r="24284" s="12" customFormat="1" x14ac:dyDescent="0.25"/>
    <row r="24285" s="12" customFormat="1" x14ac:dyDescent="0.25"/>
    <row r="24286" s="12" customFormat="1" x14ac:dyDescent="0.25"/>
    <row r="24287" s="12" customFormat="1" x14ac:dyDescent="0.25"/>
    <row r="24288" s="12" customFormat="1" x14ac:dyDescent="0.25"/>
    <row r="24289" s="12" customFormat="1" x14ac:dyDescent="0.25"/>
    <row r="24290" s="12" customFormat="1" x14ac:dyDescent="0.25"/>
    <row r="24291" s="12" customFormat="1" x14ac:dyDescent="0.25"/>
    <row r="24292" s="12" customFormat="1" x14ac:dyDescent="0.25"/>
    <row r="24293" s="12" customFormat="1" x14ac:dyDescent="0.25"/>
    <row r="24294" s="12" customFormat="1" x14ac:dyDescent="0.25"/>
    <row r="24295" s="12" customFormat="1" x14ac:dyDescent="0.25"/>
    <row r="24296" s="12" customFormat="1" x14ac:dyDescent="0.25"/>
    <row r="24297" s="12" customFormat="1" x14ac:dyDescent="0.25"/>
    <row r="24298" s="12" customFormat="1" x14ac:dyDescent="0.25"/>
    <row r="24299" s="12" customFormat="1" x14ac:dyDescent="0.25"/>
    <row r="24300" s="12" customFormat="1" x14ac:dyDescent="0.25"/>
    <row r="24301" s="12" customFormat="1" x14ac:dyDescent="0.25"/>
    <row r="24302" s="12" customFormat="1" x14ac:dyDescent="0.25"/>
    <row r="24303" s="12" customFormat="1" x14ac:dyDescent="0.25"/>
    <row r="24304" s="12" customFormat="1" x14ac:dyDescent="0.25"/>
    <row r="24305" s="12" customFormat="1" x14ac:dyDescent="0.25"/>
    <row r="24306" s="12" customFormat="1" x14ac:dyDescent="0.25"/>
    <row r="24307" s="12" customFormat="1" x14ac:dyDescent="0.25"/>
    <row r="24308" s="12" customFormat="1" x14ac:dyDescent="0.25"/>
    <row r="24309" s="12" customFormat="1" x14ac:dyDescent="0.25"/>
    <row r="24310" s="12" customFormat="1" x14ac:dyDescent="0.25"/>
    <row r="24311" s="12" customFormat="1" x14ac:dyDescent="0.25"/>
    <row r="24312" s="12" customFormat="1" x14ac:dyDescent="0.25"/>
    <row r="24313" s="12" customFormat="1" x14ac:dyDescent="0.25"/>
    <row r="24314" s="12" customFormat="1" x14ac:dyDescent="0.25"/>
    <row r="24315" s="12" customFormat="1" x14ac:dyDescent="0.25"/>
    <row r="24316" s="12" customFormat="1" x14ac:dyDescent="0.25"/>
    <row r="24317" s="12" customFormat="1" x14ac:dyDescent="0.25"/>
    <row r="24318" s="12" customFormat="1" x14ac:dyDescent="0.25"/>
    <row r="24319" s="12" customFormat="1" x14ac:dyDescent="0.25"/>
    <row r="24320" s="12" customFormat="1" x14ac:dyDescent="0.25"/>
    <row r="24321" s="12" customFormat="1" x14ac:dyDescent="0.25"/>
    <row r="24322" s="12" customFormat="1" x14ac:dyDescent="0.25"/>
    <row r="24323" s="12" customFormat="1" x14ac:dyDescent="0.25"/>
    <row r="24324" s="12" customFormat="1" x14ac:dyDescent="0.25"/>
    <row r="24325" s="12" customFormat="1" x14ac:dyDescent="0.25"/>
    <row r="24326" s="12" customFormat="1" x14ac:dyDescent="0.25"/>
    <row r="24327" s="12" customFormat="1" x14ac:dyDescent="0.25"/>
    <row r="24328" s="12" customFormat="1" x14ac:dyDescent="0.25"/>
    <row r="24329" s="12" customFormat="1" x14ac:dyDescent="0.25"/>
    <row r="24330" s="12" customFormat="1" x14ac:dyDescent="0.25"/>
    <row r="24331" s="12" customFormat="1" x14ac:dyDescent="0.25"/>
    <row r="24332" s="12" customFormat="1" x14ac:dyDescent="0.25"/>
    <row r="24333" s="12" customFormat="1" x14ac:dyDescent="0.25"/>
    <row r="24334" s="12" customFormat="1" x14ac:dyDescent="0.25"/>
    <row r="24335" s="12" customFormat="1" x14ac:dyDescent="0.25"/>
    <row r="24336" s="12" customFormat="1" x14ac:dyDescent="0.25"/>
    <row r="24337" s="12" customFormat="1" x14ac:dyDescent="0.25"/>
    <row r="24338" s="12" customFormat="1" x14ac:dyDescent="0.25"/>
    <row r="24339" s="12" customFormat="1" x14ac:dyDescent="0.25"/>
    <row r="24340" s="12" customFormat="1" x14ac:dyDescent="0.25"/>
    <row r="24341" s="12" customFormat="1" x14ac:dyDescent="0.25"/>
    <row r="24342" s="12" customFormat="1" x14ac:dyDescent="0.25"/>
    <row r="24343" s="12" customFormat="1" x14ac:dyDescent="0.25"/>
    <row r="24344" s="12" customFormat="1" x14ac:dyDescent="0.25"/>
    <row r="24345" s="12" customFormat="1" x14ac:dyDescent="0.25"/>
    <row r="24346" s="12" customFormat="1" x14ac:dyDescent="0.25"/>
    <row r="24347" s="12" customFormat="1" x14ac:dyDescent="0.25"/>
    <row r="24348" s="12" customFormat="1" x14ac:dyDescent="0.25"/>
    <row r="24349" s="12" customFormat="1" x14ac:dyDescent="0.25"/>
    <row r="24350" s="12" customFormat="1" x14ac:dyDescent="0.25"/>
    <row r="24351" s="12" customFormat="1" x14ac:dyDescent="0.25"/>
    <row r="24352" s="12" customFormat="1" x14ac:dyDescent="0.25"/>
    <row r="24353" s="12" customFormat="1" x14ac:dyDescent="0.25"/>
    <row r="24354" s="12" customFormat="1" x14ac:dyDescent="0.25"/>
    <row r="24355" s="12" customFormat="1" x14ac:dyDescent="0.25"/>
    <row r="24356" s="12" customFormat="1" x14ac:dyDescent="0.25"/>
    <row r="24357" s="12" customFormat="1" x14ac:dyDescent="0.25"/>
    <row r="24358" s="12" customFormat="1" x14ac:dyDescent="0.25"/>
    <row r="24359" s="12" customFormat="1" x14ac:dyDescent="0.25"/>
    <row r="24360" s="12" customFormat="1" x14ac:dyDescent="0.25"/>
    <row r="24361" s="12" customFormat="1" x14ac:dyDescent="0.25"/>
    <row r="24362" s="12" customFormat="1" x14ac:dyDescent="0.25"/>
    <row r="24363" s="12" customFormat="1" x14ac:dyDescent="0.25"/>
    <row r="24364" s="12" customFormat="1" x14ac:dyDescent="0.25"/>
    <row r="24365" s="12" customFormat="1" x14ac:dyDescent="0.25"/>
    <row r="24366" s="12" customFormat="1" x14ac:dyDescent="0.25"/>
    <row r="24367" s="12" customFormat="1" x14ac:dyDescent="0.25"/>
    <row r="24368" s="12" customFormat="1" x14ac:dyDescent="0.25"/>
    <row r="24369" s="12" customFormat="1" x14ac:dyDescent="0.25"/>
    <row r="24370" s="12" customFormat="1" x14ac:dyDescent="0.25"/>
    <row r="24371" s="12" customFormat="1" x14ac:dyDescent="0.25"/>
    <row r="24372" s="12" customFormat="1" x14ac:dyDescent="0.25"/>
    <row r="24373" s="12" customFormat="1" x14ac:dyDescent="0.25"/>
    <row r="24374" s="12" customFormat="1" x14ac:dyDescent="0.25"/>
    <row r="24375" s="12" customFormat="1" x14ac:dyDescent="0.25"/>
    <row r="24376" s="12" customFormat="1" x14ac:dyDescent="0.25"/>
    <row r="24377" s="12" customFormat="1" x14ac:dyDescent="0.25"/>
    <row r="24378" s="12" customFormat="1" x14ac:dyDescent="0.25"/>
    <row r="24379" s="12" customFormat="1" x14ac:dyDescent="0.25"/>
    <row r="24380" s="12" customFormat="1" x14ac:dyDescent="0.25"/>
    <row r="24381" s="12" customFormat="1" x14ac:dyDescent="0.25"/>
    <row r="24382" s="12" customFormat="1" x14ac:dyDescent="0.25"/>
    <row r="24383" s="12" customFormat="1" x14ac:dyDescent="0.25"/>
    <row r="24384" s="12" customFormat="1" x14ac:dyDescent="0.25"/>
    <row r="24385" s="12" customFormat="1" x14ac:dyDescent="0.25"/>
    <row r="24386" s="12" customFormat="1" x14ac:dyDescent="0.25"/>
    <row r="24387" s="12" customFormat="1" x14ac:dyDescent="0.25"/>
    <row r="24388" s="12" customFormat="1" x14ac:dyDescent="0.25"/>
    <row r="24389" s="12" customFormat="1" x14ac:dyDescent="0.25"/>
    <row r="24390" s="12" customFormat="1" x14ac:dyDescent="0.25"/>
    <row r="24391" s="12" customFormat="1" x14ac:dyDescent="0.25"/>
    <row r="24392" s="12" customFormat="1" x14ac:dyDescent="0.25"/>
    <row r="24393" s="12" customFormat="1" x14ac:dyDescent="0.25"/>
    <row r="24394" s="12" customFormat="1" x14ac:dyDescent="0.25"/>
    <row r="24395" s="12" customFormat="1" x14ac:dyDescent="0.25"/>
    <row r="24396" s="12" customFormat="1" x14ac:dyDescent="0.25"/>
    <row r="24397" s="12" customFormat="1" x14ac:dyDescent="0.25"/>
    <row r="24398" s="12" customFormat="1" x14ac:dyDescent="0.25"/>
    <row r="24399" s="12" customFormat="1" x14ac:dyDescent="0.25"/>
    <row r="24400" s="12" customFormat="1" x14ac:dyDescent="0.25"/>
    <row r="24401" s="12" customFormat="1" x14ac:dyDescent="0.25"/>
    <row r="24402" s="12" customFormat="1" x14ac:dyDescent="0.25"/>
    <row r="24403" s="12" customFormat="1" x14ac:dyDescent="0.25"/>
    <row r="24404" s="12" customFormat="1" x14ac:dyDescent="0.25"/>
    <row r="24405" s="12" customFormat="1" x14ac:dyDescent="0.25"/>
    <row r="24406" s="12" customFormat="1" x14ac:dyDescent="0.25"/>
    <row r="24407" s="12" customFormat="1" x14ac:dyDescent="0.25"/>
    <row r="24408" s="12" customFormat="1" x14ac:dyDescent="0.25"/>
    <row r="24409" s="12" customFormat="1" x14ac:dyDescent="0.25"/>
    <row r="24410" s="12" customFormat="1" x14ac:dyDescent="0.25"/>
    <row r="24411" s="12" customFormat="1" x14ac:dyDescent="0.25"/>
    <row r="24412" s="12" customFormat="1" x14ac:dyDescent="0.25"/>
    <row r="24413" s="12" customFormat="1" x14ac:dyDescent="0.25"/>
    <row r="24414" s="12" customFormat="1" x14ac:dyDescent="0.25"/>
    <row r="24415" s="12" customFormat="1" x14ac:dyDescent="0.25"/>
    <row r="24416" s="12" customFormat="1" x14ac:dyDescent="0.25"/>
    <row r="24417" s="12" customFormat="1" x14ac:dyDescent="0.25"/>
    <row r="24418" s="12" customFormat="1" x14ac:dyDescent="0.25"/>
    <row r="24419" s="12" customFormat="1" x14ac:dyDescent="0.25"/>
    <row r="24420" s="12" customFormat="1" x14ac:dyDescent="0.25"/>
    <row r="24421" s="12" customFormat="1" x14ac:dyDescent="0.25"/>
    <row r="24422" s="12" customFormat="1" x14ac:dyDescent="0.25"/>
    <row r="24423" s="12" customFormat="1" x14ac:dyDescent="0.25"/>
    <row r="24424" s="12" customFormat="1" x14ac:dyDescent="0.25"/>
    <row r="24425" s="12" customFormat="1" x14ac:dyDescent="0.25"/>
    <row r="24426" s="12" customFormat="1" x14ac:dyDescent="0.25"/>
    <row r="24427" s="12" customFormat="1" x14ac:dyDescent="0.25"/>
    <row r="24428" s="12" customFormat="1" x14ac:dyDescent="0.25"/>
    <row r="24429" s="12" customFormat="1" x14ac:dyDescent="0.25"/>
    <row r="24430" s="12" customFormat="1" x14ac:dyDescent="0.25"/>
    <row r="24431" s="12" customFormat="1" x14ac:dyDescent="0.25"/>
    <row r="24432" s="12" customFormat="1" x14ac:dyDescent="0.25"/>
    <row r="24433" s="12" customFormat="1" x14ac:dyDescent="0.25"/>
    <row r="24434" s="12" customFormat="1" x14ac:dyDescent="0.25"/>
    <row r="24435" s="12" customFormat="1" x14ac:dyDescent="0.25"/>
    <row r="24436" s="12" customFormat="1" x14ac:dyDescent="0.25"/>
    <row r="24437" s="12" customFormat="1" x14ac:dyDescent="0.25"/>
    <row r="24438" s="12" customFormat="1" x14ac:dyDescent="0.25"/>
    <row r="24439" s="12" customFormat="1" x14ac:dyDescent="0.25"/>
    <row r="24440" s="12" customFormat="1" x14ac:dyDescent="0.25"/>
    <row r="24441" s="12" customFormat="1" x14ac:dyDescent="0.25"/>
    <row r="24442" s="12" customFormat="1" x14ac:dyDescent="0.25"/>
    <row r="24443" s="12" customFormat="1" x14ac:dyDescent="0.25"/>
    <row r="24444" s="12" customFormat="1" x14ac:dyDescent="0.25"/>
    <row r="24445" s="12" customFormat="1" x14ac:dyDescent="0.25"/>
    <row r="24446" s="12" customFormat="1" x14ac:dyDescent="0.25"/>
    <row r="24447" s="12" customFormat="1" x14ac:dyDescent="0.25"/>
    <row r="24448" s="12" customFormat="1" x14ac:dyDescent="0.25"/>
    <row r="24449" s="12" customFormat="1" x14ac:dyDescent="0.25"/>
    <row r="24450" s="12" customFormat="1" x14ac:dyDescent="0.25"/>
    <row r="24451" s="12" customFormat="1" x14ac:dyDescent="0.25"/>
    <row r="24452" s="12" customFormat="1" x14ac:dyDescent="0.25"/>
    <row r="24453" s="12" customFormat="1" x14ac:dyDescent="0.25"/>
    <row r="24454" s="12" customFormat="1" x14ac:dyDescent="0.25"/>
    <row r="24455" s="12" customFormat="1" x14ac:dyDescent="0.25"/>
    <row r="24456" s="12" customFormat="1" x14ac:dyDescent="0.25"/>
    <row r="24457" s="12" customFormat="1" x14ac:dyDescent="0.25"/>
    <row r="24458" s="12" customFormat="1" x14ac:dyDescent="0.25"/>
    <row r="24459" s="12" customFormat="1" x14ac:dyDescent="0.25"/>
    <row r="24460" s="12" customFormat="1" x14ac:dyDescent="0.25"/>
    <row r="24461" s="12" customFormat="1" x14ac:dyDescent="0.25"/>
    <row r="24462" s="12" customFormat="1" x14ac:dyDescent="0.25"/>
    <row r="24463" s="12" customFormat="1" x14ac:dyDescent="0.25"/>
    <row r="24464" s="12" customFormat="1" x14ac:dyDescent="0.25"/>
    <row r="24465" s="12" customFormat="1" x14ac:dyDescent="0.25"/>
    <row r="24466" s="12" customFormat="1" x14ac:dyDescent="0.25"/>
    <row r="24467" s="12" customFormat="1" x14ac:dyDescent="0.25"/>
    <row r="24468" s="12" customFormat="1" x14ac:dyDescent="0.25"/>
    <row r="24469" s="12" customFormat="1" x14ac:dyDescent="0.25"/>
    <row r="24470" s="12" customFormat="1" x14ac:dyDescent="0.25"/>
    <row r="24471" s="12" customFormat="1" x14ac:dyDescent="0.25"/>
    <row r="24472" s="12" customFormat="1" x14ac:dyDescent="0.25"/>
    <row r="24473" s="12" customFormat="1" x14ac:dyDescent="0.25"/>
    <row r="24474" s="12" customFormat="1" x14ac:dyDescent="0.25"/>
    <row r="24475" s="12" customFormat="1" x14ac:dyDescent="0.25"/>
    <row r="24476" s="12" customFormat="1" x14ac:dyDescent="0.25"/>
    <row r="24477" s="12" customFormat="1" x14ac:dyDescent="0.25"/>
    <row r="24478" s="12" customFormat="1" x14ac:dyDescent="0.25"/>
    <row r="24479" s="12" customFormat="1" x14ac:dyDescent="0.25"/>
    <row r="24480" s="12" customFormat="1" x14ac:dyDescent="0.25"/>
    <row r="24481" s="12" customFormat="1" x14ac:dyDescent="0.25"/>
    <row r="24482" s="12" customFormat="1" x14ac:dyDescent="0.25"/>
    <row r="24483" s="12" customFormat="1" x14ac:dyDescent="0.25"/>
    <row r="24484" s="12" customFormat="1" x14ac:dyDescent="0.25"/>
    <row r="24485" s="12" customFormat="1" x14ac:dyDescent="0.25"/>
    <row r="24486" s="12" customFormat="1" x14ac:dyDescent="0.25"/>
    <row r="24487" s="12" customFormat="1" x14ac:dyDescent="0.25"/>
    <row r="24488" s="12" customFormat="1" x14ac:dyDescent="0.25"/>
    <row r="24489" s="12" customFormat="1" x14ac:dyDescent="0.25"/>
    <row r="24490" s="12" customFormat="1" x14ac:dyDescent="0.25"/>
    <row r="24491" s="12" customFormat="1" x14ac:dyDescent="0.25"/>
    <row r="24492" s="12" customFormat="1" x14ac:dyDescent="0.25"/>
    <row r="24493" s="12" customFormat="1" x14ac:dyDescent="0.25"/>
    <row r="24494" s="12" customFormat="1" x14ac:dyDescent="0.25"/>
    <row r="24495" s="12" customFormat="1" x14ac:dyDescent="0.25"/>
    <row r="24496" s="12" customFormat="1" x14ac:dyDescent="0.25"/>
    <row r="24497" s="12" customFormat="1" x14ac:dyDescent="0.25"/>
    <row r="24498" s="12" customFormat="1" x14ac:dyDescent="0.25"/>
    <row r="24499" s="12" customFormat="1" x14ac:dyDescent="0.25"/>
    <row r="24500" s="12" customFormat="1" x14ac:dyDescent="0.25"/>
    <row r="24501" s="12" customFormat="1" x14ac:dyDescent="0.25"/>
    <row r="24502" s="12" customFormat="1" x14ac:dyDescent="0.25"/>
    <row r="24503" s="12" customFormat="1" x14ac:dyDescent="0.25"/>
    <row r="24504" s="12" customFormat="1" x14ac:dyDescent="0.25"/>
    <row r="24505" s="12" customFormat="1" x14ac:dyDescent="0.25"/>
    <row r="24506" s="12" customFormat="1" x14ac:dyDescent="0.25"/>
    <row r="24507" s="12" customFormat="1" x14ac:dyDescent="0.25"/>
    <row r="24508" s="12" customFormat="1" x14ac:dyDescent="0.25"/>
    <row r="24509" s="12" customFormat="1" x14ac:dyDescent="0.25"/>
    <row r="24510" s="12" customFormat="1" x14ac:dyDescent="0.25"/>
    <row r="24511" s="12" customFormat="1" x14ac:dyDescent="0.25"/>
    <row r="24512" s="12" customFormat="1" x14ac:dyDescent="0.25"/>
    <row r="24513" s="12" customFormat="1" x14ac:dyDescent="0.25"/>
    <row r="24514" s="12" customFormat="1" x14ac:dyDescent="0.25"/>
    <row r="24515" s="12" customFormat="1" x14ac:dyDescent="0.25"/>
    <row r="24516" s="12" customFormat="1" x14ac:dyDescent="0.25"/>
    <row r="24517" s="12" customFormat="1" x14ac:dyDescent="0.25"/>
    <row r="24518" s="12" customFormat="1" x14ac:dyDescent="0.25"/>
    <row r="24519" s="12" customFormat="1" x14ac:dyDescent="0.25"/>
    <row r="24520" s="12" customFormat="1" x14ac:dyDescent="0.25"/>
    <row r="24521" s="12" customFormat="1" x14ac:dyDescent="0.25"/>
    <row r="24522" s="12" customFormat="1" x14ac:dyDescent="0.25"/>
    <row r="24523" s="12" customFormat="1" x14ac:dyDescent="0.25"/>
    <row r="24524" s="12" customFormat="1" x14ac:dyDescent="0.25"/>
    <row r="24525" s="12" customFormat="1" x14ac:dyDescent="0.25"/>
    <row r="24526" s="12" customFormat="1" x14ac:dyDescent="0.25"/>
    <row r="24527" s="12" customFormat="1" x14ac:dyDescent="0.25"/>
    <row r="24528" s="12" customFormat="1" x14ac:dyDescent="0.25"/>
    <row r="24529" s="12" customFormat="1" x14ac:dyDescent="0.25"/>
    <row r="24530" s="12" customFormat="1" x14ac:dyDescent="0.25"/>
    <row r="24531" s="12" customFormat="1" x14ac:dyDescent="0.25"/>
    <row r="24532" s="12" customFormat="1" x14ac:dyDescent="0.25"/>
    <row r="24533" s="12" customFormat="1" x14ac:dyDescent="0.25"/>
    <row r="24534" s="12" customFormat="1" x14ac:dyDescent="0.25"/>
    <row r="24535" s="12" customFormat="1" x14ac:dyDescent="0.25"/>
    <row r="24536" s="12" customFormat="1" x14ac:dyDescent="0.25"/>
    <row r="24537" s="12" customFormat="1" x14ac:dyDescent="0.25"/>
    <row r="24538" s="12" customFormat="1" x14ac:dyDescent="0.25"/>
    <row r="24539" s="12" customFormat="1" x14ac:dyDescent="0.25"/>
    <row r="24540" s="12" customFormat="1" x14ac:dyDescent="0.25"/>
    <row r="24541" s="12" customFormat="1" x14ac:dyDescent="0.25"/>
    <row r="24542" s="12" customFormat="1" x14ac:dyDescent="0.25"/>
    <row r="24543" s="12" customFormat="1" x14ac:dyDescent="0.25"/>
    <row r="24544" s="12" customFormat="1" x14ac:dyDescent="0.25"/>
    <row r="24545" s="12" customFormat="1" x14ac:dyDescent="0.25"/>
    <row r="24546" s="12" customFormat="1" x14ac:dyDescent="0.25"/>
    <row r="24547" s="12" customFormat="1" x14ac:dyDescent="0.25"/>
    <row r="24548" s="12" customFormat="1" x14ac:dyDescent="0.25"/>
    <row r="24549" s="12" customFormat="1" x14ac:dyDescent="0.25"/>
    <row r="24550" s="12" customFormat="1" x14ac:dyDescent="0.25"/>
    <row r="24551" s="12" customFormat="1" x14ac:dyDescent="0.25"/>
    <row r="24552" s="12" customFormat="1" x14ac:dyDescent="0.25"/>
    <row r="24553" s="12" customFormat="1" x14ac:dyDescent="0.25"/>
    <row r="24554" s="12" customFormat="1" x14ac:dyDescent="0.25"/>
    <row r="24555" s="12" customFormat="1" x14ac:dyDescent="0.25"/>
    <row r="24556" s="12" customFormat="1" x14ac:dyDescent="0.25"/>
    <row r="24557" s="12" customFormat="1" x14ac:dyDescent="0.25"/>
    <row r="24558" s="12" customFormat="1" x14ac:dyDescent="0.25"/>
    <row r="24559" s="12" customFormat="1" x14ac:dyDescent="0.25"/>
    <row r="24560" s="12" customFormat="1" x14ac:dyDescent="0.25"/>
    <row r="24561" s="12" customFormat="1" x14ac:dyDescent="0.25"/>
    <row r="24562" s="12" customFormat="1" x14ac:dyDescent="0.25"/>
    <row r="24563" s="12" customFormat="1" x14ac:dyDescent="0.25"/>
    <row r="24564" s="12" customFormat="1" x14ac:dyDescent="0.25"/>
    <row r="24565" s="12" customFormat="1" x14ac:dyDescent="0.25"/>
    <row r="24566" s="12" customFormat="1" x14ac:dyDescent="0.25"/>
    <row r="24567" s="12" customFormat="1" x14ac:dyDescent="0.25"/>
    <row r="24568" s="12" customFormat="1" x14ac:dyDescent="0.25"/>
    <row r="24569" s="12" customFormat="1" x14ac:dyDescent="0.25"/>
    <row r="24570" s="12" customFormat="1" x14ac:dyDescent="0.25"/>
    <row r="24571" s="12" customFormat="1" x14ac:dyDescent="0.25"/>
    <row r="24572" s="12" customFormat="1" x14ac:dyDescent="0.25"/>
    <row r="24573" s="12" customFormat="1" x14ac:dyDescent="0.25"/>
    <row r="24574" s="12" customFormat="1" x14ac:dyDescent="0.25"/>
    <row r="24575" s="12" customFormat="1" x14ac:dyDescent="0.25"/>
    <row r="24576" s="12" customFormat="1" x14ac:dyDescent="0.25"/>
    <row r="24577" s="12" customFormat="1" x14ac:dyDescent="0.25"/>
    <row r="24578" s="12" customFormat="1" x14ac:dyDescent="0.25"/>
    <row r="24579" s="12" customFormat="1" x14ac:dyDescent="0.25"/>
    <row r="24580" s="12" customFormat="1" x14ac:dyDescent="0.25"/>
    <row r="24581" s="12" customFormat="1" x14ac:dyDescent="0.25"/>
    <row r="24582" s="12" customFormat="1" x14ac:dyDescent="0.25"/>
    <row r="24583" s="12" customFormat="1" x14ac:dyDescent="0.25"/>
    <row r="24584" s="12" customFormat="1" x14ac:dyDescent="0.25"/>
    <row r="24585" s="12" customFormat="1" x14ac:dyDescent="0.25"/>
    <row r="24586" s="12" customFormat="1" x14ac:dyDescent="0.25"/>
    <row r="24587" s="12" customFormat="1" x14ac:dyDescent="0.25"/>
    <row r="24588" s="12" customFormat="1" x14ac:dyDescent="0.25"/>
    <row r="24589" s="12" customFormat="1" x14ac:dyDescent="0.25"/>
    <row r="24590" s="12" customFormat="1" x14ac:dyDescent="0.25"/>
    <row r="24591" s="12" customFormat="1" x14ac:dyDescent="0.25"/>
    <row r="24592" s="12" customFormat="1" x14ac:dyDescent="0.25"/>
    <row r="24593" s="12" customFormat="1" x14ac:dyDescent="0.25"/>
    <row r="24594" s="12" customFormat="1" x14ac:dyDescent="0.25"/>
    <row r="24595" s="12" customFormat="1" x14ac:dyDescent="0.25"/>
    <row r="24596" s="12" customFormat="1" x14ac:dyDescent="0.25"/>
    <row r="24597" s="12" customFormat="1" x14ac:dyDescent="0.25"/>
    <row r="24598" s="12" customFormat="1" x14ac:dyDescent="0.25"/>
    <row r="24599" s="12" customFormat="1" x14ac:dyDescent="0.25"/>
    <row r="24600" s="12" customFormat="1" x14ac:dyDescent="0.25"/>
    <row r="24601" s="12" customFormat="1" x14ac:dyDescent="0.25"/>
    <row r="24602" s="12" customFormat="1" x14ac:dyDescent="0.25"/>
    <row r="24603" s="12" customFormat="1" x14ac:dyDescent="0.25"/>
    <row r="24604" s="12" customFormat="1" x14ac:dyDescent="0.25"/>
    <row r="24605" s="12" customFormat="1" x14ac:dyDescent="0.25"/>
    <row r="24606" s="12" customFormat="1" x14ac:dyDescent="0.25"/>
    <row r="24607" s="12" customFormat="1" x14ac:dyDescent="0.25"/>
    <row r="24608" s="12" customFormat="1" x14ac:dyDescent="0.25"/>
    <row r="24609" s="12" customFormat="1" x14ac:dyDescent="0.25"/>
    <row r="24610" s="12" customFormat="1" x14ac:dyDescent="0.25"/>
    <row r="24611" s="12" customFormat="1" x14ac:dyDescent="0.25"/>
    <row r="24612" s="12" customFormat="1" x14ac:dyDescent="0.25"/>
    <row r="24613" s="12" customFormat="1" x14ac:dyDescent="0.25"/>
    <row r="24614" s="12" customFormat="1" x14ac:dyDescent="0.25"/>
    <row r="24615" s="12" customFormat="1" x14ac:dyDescent="0.25"/>
    <row r="24616" s="12" customFormat="1" x14ac:dyDescent="0.25"/>
    <row r="24617" s="12" customFormat="1" x14ac:dyDescent="0.25"/>
    <row r="24618" s="12" customFormat="1" x14ac:dyDescent="0.25"/>
    <row r="24619" s="12" customFormat="1" x14ac:dyDescent="0.25"/>
    <row r="24620" s="12" customFormat="1" x14ac:dyDescent="0.25"/>
    <row r="24621" s="12" customFormat="1" x14ac:dyDescent="0.25"/>
    <row r="24622" s="12" customFormat="1" x14ac:dyDescent="0.25"/>
    <row r="24623" s="12" customFormat="1" x14ac:dyDescent="0.25"/>
    <row r="24624" s="12" customFormat="1" x14ac:dyDescent="0.25"/>
    <row r="24625" s="12" customFormat="1" x14ac:dyDescent="0.25"/>
    <row r="24626" s="12" customFormat="1" x14ac:dyDescent="0.25"/>
    <row r="24627" s="12" customFormat="1" x14ac:dyDescent="0.25"/>
    <row r="24628" s="12" customFormat="1" x14ac:dyDescent="0.25"/>
    <row r="24629" s="12" customFormat="1" x14ac:dyDescent="0.25"/>
    <row r="24630" s="12" customFormat="1" x14ac:dyDescent="0.25"/>
    <row r="24631" s="12" customFormat="1" x14ac:dyDescent="0.25"/>
    <row r="24632" s="12" customFormat="1" x14ac:dyDescent="0.25"/>
    <row r="24633" s="12" customFormat="1" x14ac:dyDescent="0.25"/>
    <row r="24634" s="12" customFormat="1" x14ac:dyDescent="0.25"/>
    <row r="24635" s="12" customFormat="1" x14ac:dyDescent="0.25"/>
    <row r="24636" s="12" customFormat="1" x14ac:dyDescent="0.25"/>
    <row r="24637" s="12" customFormat="1" x14ac:dyDescent="0.25"/>
    <row r="24638" s="12" customFormat="1" x14ac:dyDescent="0.25"/>
    <row r="24639" s="12" customFormat="1" x14ac:dyDescent="0.25"/>
    <row r="24640" s="12" customFormat="1" x14ac:dyDescent="0.25"/>
    <row r="24641" s="12" customFormat="1" x14ac:dyDescent="0.25"/>
    <row r="24642" s="12" customFormat="1" x14ac:dyDescent="0.25"/>
    <row r="24643" s="12" customFormat="1" x14ac:dyDescent="0.25"/>
    <row r="24644" s="12" customFormat="1" x14ac:dyDescent="0.25"/>
    <row r="24645" s="12" customFormat="1" x14ac:dyDescent="0.25"/>
    <row r="24646" s="12" customFormat="1" x14ac:dyDescent="0.25"/>
    <row r="24647" s="12" customFormat="1" x14ac:dyDescent="0.25"/>
    <row r="24648" s="12" customFormat="1" x14ac:dyDescent="0.25"/>
    <row r="24649" s="12" customFormat="1" x14ac:dyDescent="0.25"/>
    <row r="24650" s="12" customFormat="1" x14ac:dyDescent="0.25"/>
    <row r="24651" s="12" customFormat="1" x14ac:dyDescent="0.25"/>
    <row r="24652" s="12" customFormat="1" x14ac:dyDescent="0.25"/>
    <row r="24653" s="12" customFormat="1" x14ac:dyDescent="0.25"/>
    <row r="24654" s="12" customFormat="1" x14ac:dyDescent="0.25"/>
    <row r="24655" s="12" customFormat="1" x14ac:dyDescent="0.25"/>
    <row r="24656" s="12" customFormat="1" x14ac:dyDescent="0.25"/>
    <row r="24657" s="12" customFormat="1" x14ac:dyDescent="0.25"/>
    <row r="24658" s="12" customFormat="1" x14ac:dyDescent="0.25"/>
    <row r="24659" s="12" customFormat="1" x14ac:dyDescent="0.25"/>
    <row r="24660" s="12" customFormat="1" x14ac:dyDescent="0.25"/>
    <row r="24661" s="12" customFormat="1" x14ac:dyDescent="0.25"/>
    <row r="24662" s="12" customFormat="1" x14ac:dyDescent="0.25"/>
    <row r="24663" s="12" customFormat="1" x14ac:dyDescent="0.25"/>
    <row r="24664" s="12" customFormat="1" x14ac:dyDescent="0.25"/>
    <row r="24665" s="12" customFormat="1" x14ac:dyDescent="0.25"/>
    <row r="24666" s="12" customFormat="1" x14ac:dyDescent="0.25"/>
    <row r="24667" s="12" customFormat="1" x14ac:dyDescent="0.25"/>
    <row r="24668" s="12" customFormat="1" x14ac:dyDescent="0.25"/>
    <row r="24669" s="12" customFormat="1" x14ac:dyDescent="0.25"/>
    <row r="24670" s="12" customFormat="1" x14ac:dyDescent="0.25"/>
    <row r="24671" s="12" customFormat="1" x14ac:dyDescent="0.25"/>
    <row r="24672" s="12" customFormat="1" x14ac:dyDescent="0.25"/>
    <row r="24673" s="12" customFormat="1" x14ac:dyDescent="0.25"/>
    <row r="24674" s="12" customFormat="1" x14ac:dyDescent="0.25"/>
    <row r="24675" s="12" customFormat="1" x14ac:dyDescent="0.25"/>
    <row r="24676" s="12" customFormat="1" x14ac:dyDescent="0.25"/>
    <row r="24677" s="12" customFormat="1" x14ac:dyDescent="0.25"/>
    <row r="24678" s="12" customFormat="1" x14ac:dyDescent="0.25"/>
    <row r="24679" s="12" customFormat="1" x14ac:dyDescent="0.25"/>
    <row r="24680" s="12" customFormat="1" x14ac:dyDescent="0.25"/>
    <row r="24681" s="12" customFormat="1" x14ac:dyDescent="0.25"/>
    <row r="24682" s="12" customFormat="1" x14ac:dyDescent="0.25"/>
    <row r="24683" s="12" customFormat="1" x14ac:dyDescent="0.25"/>
    <row r="24684" s="12" customFormat="1" x14ac:dyDescent="0.25"/>
    <row r="24685" s="12" customFormat="1" x14ac:dyDescent="0.25"/>
    <row r="24686" s="12" customFormat="1" x14ac:dyDescent="0.25"/>
    <row r="24687" s="12" customFormat="1" x14ac:dyDescent="0.25"/>
    <row r="24688" s="12" customFormat="1" x14ac:dyDescent="0.25"/>
    <row r="24689" s="12" customFormat="1" x14ac:dyDescent="0.25"/>
    <row r="24690" s="12" customFormat="1" x14ac:dyDescent="0.25"/>
    <row r="24691" s="12" customFormat="1" x14ac:dyDescent="0.25"/>
    <row r="24692" s="12" customFormat="1" x14ac:dyDescent="0.25"/>
    <row r="24693" s="12" customFormat="1" x14ac:dyDescent="0.25"/>
    <row r="24694" s="12" customFormat="1" x14ac:dyDescent="0.25"/>
    <row r="24695" s="12" customFormat="1" x14ac:dyDescent="0.25"/>
    <row r="24696" s="12" customFormat="1" x14ac:dyDescent="0.25"/>
    <row r="24697" s="12" customFormat="1" x14ac:dyDescent="0.25"/>
    <row r="24698" s="12" customFormat="1" x14ac:dyDescent="0.25"/>
    <row r="24699" s="12" customFormat="1" x14ac:dyDescent="0.25"/>
    <row r="24700" s="12" customFormat="1" x14ac:dyDescent="0.25"/>
    <row r="24701" s="12" customFormat="1" x14ac:dyDescent="0.25"/>
    <row r="24702" s="12" customFormat="1" x14ac:dyDescent="0.25"/>
    <row r="24703" s="12" customFormat="1" x14ac:dyDescent="0.25"/>
    <row r="24704" s="12" customFormat="1" x14ac:dyDescent="0.25"/>
    <row r="24705" s="12" customFormat="1" x14ac:dyDescent="0.25"/>
    <row r="24706" s="12" customFormat="1" x14ac:dyDescent="0.25"/>
    <row r="24707" s="12" customFormat="1" x14ac:dyDescent="0.25"/>
    <row r="24708" s="12" customFormat="1" x14ac:dyDescent="0.25"/>
    <row r="24709" s="12" customFormat="1" x14ac:dyDescent="0.25"/>
    <row r="24710" s="12" customFormat="1" x14ac:dyDescent="0.25"/>
    <row r="24711" s="12" customFormat="1" x14ac:dyDescent="0.25"/>
    <row r="24712" s="12" customFormat="1" x14ac:dyDescent="0.25"/>
    <row r="24713" s="12" customFormat="1" x14ac:dyDescent="0.25"/>
    <row r="24714" s="12" customFormat="1" x14ac:dyDescent="0.25"/>
    <row r="24715" s="12" customFormat="1" x14ac:dyDescent="0.25"/>
    <row r="24716" s="12" customFormat="1" x14ac:dyDescent="0.25"/>
    <row r="24717" s="12" customFormat="1" x14ac:dyDescent="0.25"/>
    <row r="24718" s="12" customFormat="1" x14ac:dyDescent="0.25"/>
    <row r="24719" s="12" customFormat="1" x14ac:dyDescent="0.25"/>
    <row r="24720" s="12" customFormat="1" x14ac:dyDescent="0.25"/>
    <row r="24721" s="12" customFormat="1" x14ac:dyDescent="0.25"/>
    <row r="24722" s="12" customFormat="1" x14ac:dyDescent="0.25"/>
    <row r="24723" s="12" customFormat="1" x14ac:dyDescent="0.25"/>
    <row r="24724" s="12" customFormat="1" x14ac:dyDescent="0.25"/>
    <row r="24725" s="12" customFormat="1" x14ac:dyDescent="0.25"/>
    <row r="24726" s="12" customFormat="1" x14ac:dyDescent="0.25"/>
    <row r="24727" s="12" customFormat="1" x14ac:dyDescent="0.25"/>
    <row r="24728" s="12" customFormat="1" x14ac:dyDescent="0.25"/>
    <row r="24729" s="12" customFormat="1" x14ac:dyDescent="0.25"/>
    <row r="24730" s="12" customFormat="1" x14ac:dyDescent="0.25"/>
    <row r="24731" s="12" customFormat="1" x14ac:dyDescent="0.25"/>
    <row r="24732" s="12" customFormat="1" x14ac:dyDescent="0.25"/>
    <row r="24733" s="12" customFormat="1" x14ac:dyDescent="0.25"/>
    <row r="24734" s="12" customFormat="1" x14ac:dyDescent="0.25"/>
    <row r="24735" s="12" customFormat="1" x14ac:dyDescent="0.25"/>
    <row r="24736" s="12" customFormat="1" x14ac:dyDescent="0.25"/>
    <row r="24737" s="12" customFormat="1" x14ac:dyDescent="0.25"/>
    <row r="24738" s="12" customFormat="1" x14ac:dyDescent="0.25"/>
    <row r="24739" s="12" customFormat="1" x14ac:dyDescent="0.25"/>
    <row r="24740" s="12" customFormat="1" x14ac:dyDescent="0.25"/>
    <row r="24741" s="12" customFormat="1" x14ac:dyDescent="0.25"/>
    <row r="24742" s="12" customFormat="1" x14ac:dyDescent="0.25"/>
    <row r="24743" s="12" customFormat="1" x14ac:dyDescent="0.25"/>
    <row r="24744" s="12" customFormat="1" x14ac:dyDescent="0.25"/>
    <row r="24745" s="12" customFormat="1" x14ac:dyDescent="0.25"/>
    <row r="24746" s="12" customFormat="1" x14ac:dyDescent="0.25"/>
    <row r="24747" s="12" customFormat="1" x14ac:dyDescent="0.25"/>
    <row r="24748" s="12" customFormat="1" x14ac:dyDescent="0.25"/>
    <row r="24749" s="12" customFormat="1" x14ac:dyDescent="0.25"/>
    <row r="24750" s="12" customFormat="1" x14ac:dyDescent="0.25"/>
    <row r="24751" s="12" customFormat="1" x14ac:dyDescent="0.25"/>
    <row r="24752" s="12" customFormat="1" x14ac:dyDescent="0.25"/>
    <row r="24753" s="12" customFormat="1" x14ac:dyDescent="0.25"/>
    <row r="24754" s="12" customFormat="1" x14ac:dyDescent="0.25"/>
    <row r="24755" s="12" customFormat="1" x14ac:dyDescent="0.25"/>
    <row r="24756" s="12" customFormat="1" x14ac:dyDescent="0.25"/>
    <row r="24757" s="12" customFormat="1" x14ac:dyDescent="0.25"/>
    <row r="24758" s="12" customFormat="1" x14ac:dyDescent="0.25"/>
    <row r="24759" s="12" customFormat="1" x14ac:dyDescent="0.25"/>
    <row r="24760" s="12" customFormat="1" x14ac:dyDescent="0.25"/>
    <row r="24761" s="12" customFormat="1" x14ac:dyDescent="0.25"/>
    <row r="24762" s="12" customFormat="1" x14ac:dyDescent="0.25"/>
    <row r="24763" s="12" customFormat="1" x14ac:dyDescent="0.25"/>
    <row r="24764" s="12" customFormat="1" x14ac:dyDescent="0.25"/>
    <row r="24765" s="12" customFormat="1" x14ac:dyDescent="0.25"/>
    <row r="24766" s="12" customFormat="1" x14ac:dyDescent="0.25"/>
    <row r="24767" s="12" customFormat="1" x14ac:dyDescent="0.25"/>
    <row r="24768" s="12" customFormat="1" x14ac:dyDescent="0.25"/>
    <row r="24769" s="12" customFormat="1" x14ac:dyDescent="0.25"/>
    <row r="24770" s="12" customFormat="1" x14ac:dyDescent="0.25"/>
    <row r="24771" s="12" customFormat="1" x14ac:dyDescent="0.25"/>
    <row r="24772" s="12" customFormat="1" x14ac:dyDescent="0.25"/>
    <row r="24773" s="12" customFormat="1" x14ac:dyDescent="0.25"/>
    <row r="24774" s="12" customFormat="1" x14ac:dyDescent="0.25"/>
    <row r="24775" s="12" customFormat="1" x14ac:dyDescent="0.25"/>
    <row r="24776" s="12" customFormat="1" x14ac:dyDescent="0.25"/>
    <row r="24777" s="12" customFormat="1" x14ac:dyDescent="0.25"/>
    <row r="24778" s="12" customFormat="1" x14ac:dyDescent="0.25"/>
    <row r="24779" s="12" customFormat="1" x14ac:dyDescent="0.25"/>
    <row r="24780" s="12" customFormat="1" x14ac:dyDescent="0.25"/>
    <row r="24781" s="12" customFormat="1" x14ac:dyDescent="0.25"/>
    <row r="24782" s="12" customFormat="1" x14ac:dyDescent="0.25"/>
    <row r="24783" s="12" customFormat="1" x14ac:dyDescent="0.25"/>
    <row r="24784" s="12" customFormat="1" x14ac:dyDescent="0.25"/>
    <row r="24785" s="12" customFormat="1" x14ac:dyDescent="0.25"/>
    <row r="24786" s="12" customFormat="1" x14ac:dyDescent="0.25"/>
    <row r="24787" s="12" customFormat="1" x14ac:dyDescent="0.25"/>
    <row r="24788" s="12" customFormat="1" x14ac:dyDescent="0.25"/>
    <row r="24789" s="12" customFormat="1" x14ac:dyDescent="0.25"/>
    <row r="24790" s="12" customFormat="1" x14ac:dyDescent="0.25"/>
    <row r="24791" s="12" customFormat="1" x14ac:dyDescent="0.25"/>
    <row r="24792" s="12" customFormat="1" x14ac:dyDescent="0.25"/>
    <row r="24793" s="12" customFormat="1" x14ac:dyDescent="0.25"/>
    <row r="24794" s="12" customFormat="1" x14ac:dyDescent="0.25"/>
    <row r="24795" s="12" customFormat="1" x14ac:dyDescent="0.25"/>
    <row r="24796" s="12" customFormat="1" x14ac:dyDescent="0.25"/>
    <row r="24797" s="12" customFormat="1" x14ac:dyDescent="0.25"/>
    <row r="24798" s="12" customFormat="1" x14ac:dyDescent="0.25"/>
    <row r="24799" s="12" customFormat="1" x14ac:dyDescent="0.25"/>
    <row r="24800" s="12" customFormat="1" x14ac:dyDescent="0.25"/>
    <row r="24801" s="12" customFormat="1" x14ac:dyDescent="0.25"/>
    <row r="24802" s="12" customFormat="1" x14ac:dyDescent="0.25"/>
    <row r="24803" s="12" customFormat="1" x14ac:dyDescent="0.25"/>
    <row r="24804" s="12" customFormat="1" x14ac:dyDescent="0.25"/>
    <row r="24805" s="12" customFormat="1" x14ac:dyDescent="0.25"/>
    <row r="24806" s="12" customFormat="1" x14ac:dyDescent="0.25"/>
    <row r="24807" s="12" customFormat="1" x14ac:dyDescent="0.25"/>
    <row r="24808" s="12" customFormat="1" x14ac:dyDescent="0.25"/>
    <row r="24809" s="12" customFormat="1" x14ac:dyDescent="0.25"/>
    <row r="24810" s="12" customFormat="1" x14ac:dyDescent="0.25"/>
    <row r="24811" s="12" customFormat="1" x14ac:dyDescent="0.25"/>
    <row r="24812" s="12" customFormat="1" x14ac:dyDescent="0.25"/>
    <row r="24813" s="12" customFormat="1" x14ac:dyDescent="0.25"/>
    <row r="24814" s="12" customFormat="1" x14ac:dyDescent="0.25"/>
    <row r="24815" s="12" customFormat="1" x14ac:dyDescent="0.25"/>
    <row r="24816" s="12" customFormat="1" x14ac:dyDescent="0.25"/>
    <row r="24817" s="12" customFormat="1" x14ac:dyDescent="0.25"/>
    <row r="24818" s="12" customFormat="1" x14ac:dyDescent="0.25"/>
    <row r="24819" s="12" customFormat="1" x14ac:dyDescent="0.25"/>
    <row r="24820" s="12" customFormat="1" x14ac:dyDescent="0.25"/>
    <row r="24821" s="12" customFormat="1" x14ac:dyDescent="0.25"/>
    <row r="24822" s="12" customFormat="1" x14ac:dyDescent="0.25"/>
    <row r="24823" s="12" customFormat="1" x14ac:dyDescent="0.25"/>
    <row r="24824" s="12" customFormat="1" x14ac:dyDescent="0.25"/>
    <row r="24825" s="12" customFormat="1" x14ac:dyDescent="0.25"/>
    <row r="24826" s="12" customFormat="1" x14ac:dyDescent="0.25"/>
    <row r="24827" s="12" customFormat="1" x14ac:dyDescent="0.25"/>
    <row r="24828" s="12" customFormat="1" x14ac:dyDescent="0.25"/>
    <row r="24829" s="12" customFormat="1" x14ac:dyDescent="0.25"/>
    <row r="24830" s="12" customFormat="1" x14ac:dyDescent="0.25"/>
    <row r="24831" s="12" customFormat="1" x14ac:dyDescent="0.25"/>
    <row r="24832" s="12" customFormat="1" x14ac:dyDescent="0.25"/>
    <row r="24833" s="12" customFormat="1" x14ac:dyDescent="0.25"/>
    <row r="24834" s="12" customFormat="1" x14ac:dyDescent="0.25"/>
    <row r="24835" s="12" customFormat="1" x14ac:dyDescent="0.25"/>
    <row r="24836" s="12" customFormat="1" x14ac:dyDescent="0.25"/>
    <row r="24837" s="12" customFormat="1" x14ac:dyDescent="0.25"/>
    <row r="24838" s="12" customFormat="1" x14ac:dyDescent="0.25"/>
    <row r="24839" s="12" customFormat="1" x14ac:dyDescent="0.25"/>
    <row r="24840" s="12" customFormat="1" x14ac:dyDescent="0.25"/>
    <row r="24841" s="12" customFormat="1" x14ac:dyDescent="0.25"/>
    <row r="24842" s="12" customFormat="1" x14ac:dyDescent="0.25"/>
    <row r="24843" s="12" customFormat="1" x14ac:dyDescent="0.25"/>
    <row r="24844" s="12" customFormat="1" x14ac:dyDescent="0.25"/>
    <row r="24845" s="12" customFormat="1" x14ac:dyDescent="0.25"/>
    <row r="24846" s="12" customFormat="1" x14ac:dyDescent="0.25"/>
    <row r="24847" s="12" customFormat="1" x14ac:dyDescent="0.25"/>
    <row r="24848" s="12" customFormat="1" x14ac:dyDescent="0.25"/>
    <row r="24849" s="12" customFormat="1" x14ac:dyDescent="0.25"/>
    <row r="24850" s="12" customFormat="1" x14ac:dyDescent="0.25"/>
    <row r="24851" s="12" customFormat="1" x14ac:dyDescent="0.25"/>
    <row r="24852" s="12" customFormat="1" x14ac:dyDescent="0.25"/>
    <row r="24853" s="12" customFormat="1" x14ac:dyDescent="0.25"/>
    <row r="24854" s="12" customFormat="1" x14ac:dyDescent="0.25"/>
    <row r="24855" s="12" customFormat="1" x14ac:dyDescent="0.25"/>
    <row r="24856" s="12" customFormat="1" x14ac:dyDescent="0.25"/>
    <row r="24857" s="12" customFormat="1" x14ac:dyDescent="0.25"/>
    <row r="24858" s="12" customFormat="1" x14ac:dyDescent="0.25"/>
    <row r="24859" s="12" customFormat="1" x14ac:dyDescent="0.25"/>
    <row r="24860" s="12" customFormat="1" x14ac:dyDescent="0.25"/>
    <row r="24861" s="12" customFormat="1" x14ac:dyDescent="0.25"/>
    <row r="24862" s="12" customFormat="1" x14ac:dyDescent="0.25"/>
    <row r="24863" s="12" customFormat="1" x14ac:dyDescent="0.25"/>
    <row r="24864" s="12" customFormat="1" x14ac:dyDescent="0.25"/>
    <row r="24865" s="12" customFormat="1" x14ac:dyDescent="0.25"/>
    <row r="24866" s="12" customFormat="1" x14ac:dyDescent="0.25"/>
    <row r="24867" s="12" customFormat="1" x14ac:dyDescent="0.25"/>
    <row r="24868" s="12" customFormat="1" x14ac:dyDescent="0.25"/>
    <row r="24869" s="12" customFormat="1" x14ac:dyDescent="0.25"/>
    <row r="24870" s="12" customFormat="1" x14ac:dyDescent="0.25"/>
    <row r="24871" s="12" customFormat="1" x14ac:dyDescent="0.25"/>
    <row r="24872" s="12" customFormat="1" x14ac:dyDescent="0.25"/>
    <row r="24873" s="12" customFormat="1" x14ac:dyDescent="0.25"/>
    <row r="24874" s="12" customFormat="1" x14ac:dyDescent="0.25"/>
    <row r="24875" s="12" customFormat="1" x14ac:dyDescent="0.25"/>
    <row r="24876" s="12" customFormat="1" x14ac:dyDescent="0.25"/>
    <row r="24877" s="12" customFormat="1" x14ac:dyDescent="0.25"/>
    <row r="24878" s="12" customFormat="1" x14ac:dyDescent="0.25"/>
    <row r="24879" s="12" customFormat="1" x14ac:dyDescent="0.25"/>
    <row r="24880" s="12" customFormat="1" x14ac:dyDescent="0.25"/>
    <row r="24881" s="12" customFormat="1" x14ac:dyDescent="0.25"/>
    <row r="24882" s="12" customFormat="1" x14ac:dyDescent="0.25"/>
    <row r="24883" s="12" customFormat="1" x14ac:dyDescent="0.25"/>
    <row r="24884" s="12" customFormat="1" x14ac:dyDescent="0.25"/>
    <row r="24885" s="12" customFormat="1" x14ac:dyDescent="0.25"/>
    <row r="24886" s="12" customFormat="1" x14ac:dyDescent="0.25"/>
    <row r="24887" s="12" customFormat="1" x14ac:dyDescent="0.25"/>
    <row r="24888" s="12" customFormat="1" x14ac:dyDescent="0.25"/>
    <row r="24889" s="12" customFormat="1" x14ac:dyDescent="0.25"/>
    <row r="24890" s="12" customFormat="1" x14ac:dyDescent="0.25"/>
    <row r="24891" s="12" customFormat="1" x14ac:dyDescent="0.25"/>
    <row r="24892" s="12" customFormat="1" x14ac:dyDescent="0.25"/>
    <row r="24893" s="12" customFormat="1" x14ac:dyDescent="0.25"/>
    <row r="24894" s="12" customFormat="1" x14ac:dyDescent="0.25"/>
    <row r="24895" s="12" customFormat="1" x14ac:dyDescent="0.25"/>
    <row r="24896" s="12" customFormat="1" x14ac:dyDescent="0.25"/>
    <row r="24897" s="12" customFormat="1" x14ac:dyDescent="0.25"/>
    <row r="24898" s="12" customFormat="1" x14ac:dyDescent="0.25"/>
    <row r="24899" s="12" customFormat="1" x14ac:dyDescent="0.25"/>
    <row r="24900" s="12" customFormat="1" x14ac:dyDescent="0.25"/>
    <row r="24901" s="12" customFormat="1" x14ac:dyDescent="0.25"/>
    <row r="24902" s="12" customFormat="1" x14ac:dyDescent="0.25"/>
    <row r="24903" s="12" customFormat="1" x14ac:dyDescent="0.25"/>
    <row r="24904" s="12" customFormat="1" x14ac:dyDescent="0.25"/>
    <row r="24905" s="12" customFormat="1" x14ac:dyDescent="0.25"/>
    <row r="24906" s="12" customFormat="1" x14ac:dyDescent="0.25"/>
    <row r="24907" s="12" customFormat="1" x14ac:dyDescent="0.25"/>
    <row r="24908" s="12" customFormat="1" x14ac:dyDescent="0.25"/>
    <row r="24909" s="12" customFormat="1" x14ac:dyDescent="0.25"/>
    <row r="24910" s="12" customFormat="1" x14ac:dyDescent="0.25"/>
    <row r="24911" s="12" customFormat="1" x14ac:dyDescent="0.25"/>
    <row r="24912" s="12" customFormat="1" x14ac:dyDescent="0.25"/>
    <row r="24913" s="12" customFormat="1" x14ac:dyDescent="0.25"/>
    <row r="24914" s="12" customFormat="1" x14ac:dyDescent="0.25"/>
    <row r="24915" s="12" customFormat="1" x14ac:dyDescent="0.25"/>
    <row r="24916" s="12" customFormat="1" x14ac:dyDescent="0.25"/>
    <row r="24917" s="12" customFormat="1" x14ac:dyDescent="0.25"/>
    <row r="24918" s="12" customFormat="1" x14ac:dyDescent="0.25"/>
    <row r="24919" s="12" customFormat="1" x14ac:dyDescent="0.25"/>
    <row r="24920" s="12" customFormat="1" x14ac:dyDescent="0.25"/>
    <row r="24921" s="12" customFormat="1" x14ac:dyDescent="0.25"/>
    <row r="24922" s="12" customFormat="1" x14ac:dyDescent="0.25"/>
    <row r="24923" s="12" customFormat="1" x14ac:dyDescent="0.25"/>
    <row r="24924" s="12" customFormat="1" x14ac:dyDescent="0.25"/>
    <row r="24925" s="12" customFormat="1" x14ac:dyDescent="0.25"/>
    <row r="24926" s="12" customFormat="1" x14ac:dyDescent="0.25"/>
    <row r="24927" s="12" customFormat="1" x14ac:dyDescent="0.25"/>
    <row r="24928" s="12" customFormat="1" x14ac:dyDescent="0.25"/>
    <row r="24929" s="12" customFormat="1" x14ac:dyDescent="0.25"/>
    <row r="24930" s="12" customFormat="1" x14ac:dyDescent="0.25"/>
    <row r="24931" s="12" customFormat="1" x14ac:dyDescent="0.25"/>
    <row r="24932" s="12" customFormat="1" x14ac:dyDescent="0.25"/>
    <row r="24933" s="12" customFormat="1" x14ac:dyDescent="0.25"/>
    <row r="24934" s="12" customFormat="1" x14ac:dyDescent="0.25"/>
    <row r="24935" s="12" customFormat="1" x14ac:dyDescent="0.25"/>
    <row r="24936" s="12" customFormat="1" x14ac:dyDescent="0.25"/>
    <row r="24937" s="12" customFormat="1" x14ac:dyDescent="0.25"/>
    <row r="24938" s="12" customFormat="1" x14ac:dyDescent="0.25"/>
    <row r="24939" s="12" customFormat="1" x14ac:dyDescent="0.25"/>
    <row r="24940" s="12" customFormat="1" x14ac:dyDescent="0.25"/>
    <row r="24941" s="12" customFormat="1" x14ac:dyDescent="0.25"/>
    <row r="24942" s="12" customFormat="1" x14ac:dyDescent="0.25"/>
    <row r="24943" s="12" customFormat="1" x14ac:dyDescent="0.25"/>
    <row r="24944" s="12" customFormat="1" x14ac:dyDescent="0.25"/>
    <row r="24945" s="12" customFormat="1" x14ac:dyDescent="0.25"/>
    <row r="24946" s="12" customFormat="1" x14ac:dyDescent="0.25"/>
    <row r="24947" s="12" customFormat="1" x14ac:dyDescent="0.25"/>
    <row r="24948" s="12" customFormat="1" x14ac:dyDescent="0.25"/>
    <row r="24949" s="12" customFormat="1" x14ac:dyDescent="0.25"/>
    <row r="24950" s="12" customFormat="1" x14ac:dyDescent="0.25"/>
    <row r="24951" s="12" customFormat="1" x14ac:dyDescent="0.25"/>
    <row r="24952" s="12" customFormat="1" x14ac:dyDescent="0.25"/>
    <row r="24953" s="12" customFormat="1" x14ac:dyDescent="0.25"/>
    <row r="24954" s="12" customFormat="1" x14ac:dyDescent="0.25"/>
    <row r="24955" s="12" customFormat="1" x14ac:dyDescent="0.25"/>
    <row r="24956" s="12" customFormat="1" x14ac:dyDescent="0.25"/>
    <row r="24957" s="12" customFormat="1" x14ac:dyDescent="0.25"/>
    <row r="24958" s="12" customFormat="1" x14ac:dyDescent="0.25"/>
    <row r="24959" s="12" customFormat="1" x14ac:dyDescent="0.25"/>
    <row r="24960" s="12" customFormat="1" x14ac:dyDescent="0.25"/>
    <row r="24961" s="12" customFormat="1" x14ac:dyDescent="0.25"/>
    <row r="24962" s="12" customFormat="1" x14ac:dyDescent="0.25"/>
    <row r="24963" s="12" customFormat="1" x14ac:dyDescent="0.25"/>
    <row r="24964" s="12" customFormat="1" x14ac:dyDescent="0.25"/>
    <row r="24965" s="12" customFormat="1" x14ac:dyDescent="0.25"/>
    <row r="24966" s="12" customFormat="1" x14ac:dyDescent="0.25"/>
    <row r="24967" s="12" customFormat="1" x14ac:dyDescent="0.25"/>
    <row r="24968" s="12" customFormat="1" x14ac:dyDescent="0.25"/>
    <row r="24969" s="12" customFormat="1" x14ac:dyDescent="0.25"/>
    <row r="24970" s="12" customFormat="1" x14ac:dyDescent="0.25"/>
    <row r="24971" s="12" customFormat="1" x14ac:dyDescent="0.25"/>
    <row r="24972" s="12" customFormat="1" x14ac:dyDescent="0.25"/>
    <row r="24973" s="12" customFormat="1" x14ac:dyDescent="0.25"/>
    <row r="24974" s="12" customFormat="1" x14ac:dyDescent="0.25"/>
    <row r="24975" s="12" customFormat="1" x14ac:dyDescent="0.25"/>
    <row r="24976" s="12" customFormat="1" x14ac:dyDescent="0.25"/>
    <row r="24977" s="12" customFormat="1" x14ac:dyDescent="0.25"/>
    <row r="24978" s="12" customFormat="1" x14ac:dyDescent="0.25"/>
    <row r="24979" s="12" customFormat="1" x14ac:dyDescent="0.25"/>
    <row r="24980" s="12" customFormat="1" x14ac:dyDescent="0.25"/>
    <row r="24981" s="12" customFormat="1" x14ac:dyDescent="0.25"/>
    <row r="24982" s="12" customFormat="1" x14ac:dyDescent="0.25"/>
    <row r="24983" s="12" customFormat="1" x14ac:dyDescent="0.25"/>
    <row r="24984" s="12" customFormat="1" x14ac:dyDescent="0.25"/>
    <row r="24985" s="12" customFormat="1" x14ac:dyDescent="0.25"/>
    <row r="24986" s="12" customFormat="1" x14ac:dyDescent="0.25"/>
    <row r="24987" s="12" customFormat="1" x14ac:dyDescent="0.25"/>
    <row r="24988" s="12" customFormat="1" x14ac:dyDescent="0.25"/>
    <row r="24989" s="12" customFormat="1" x14ac:dyDescent="0.25"/>
    <row r="24990" s="12" customFormat="1" x14ac:dyDescent="0.25"/>
    <row r="24991" s="12" customFormat="1" x14ac:dyDescent="0.25"/>
    <row r="24992" s="12" customFormat="1" x14ac:dyDescent="0.25"/>
    <row r="24993" s="12" customFormat="1" x14ac:dyDescent="0.25"/>
    <row r="24994" s="12" customFormat="1" x14ac:dyDescent="0.25"/>
    <row r="24995" s="12" customFormat="1" x14ac:dyDescent="0.25"/>
    <row r="24996" s="12" customFormat="1" x14ac:dyDescent="0.25"/>
    <row r="24997" s="12" customFormat="1" x14ac:dyDescent="0.25"/>
    <row r="24998" s="12" customFormat="1" x14ac:dyDescent="0.25"/>
    <row r="24999" s="12" customFormat="1" x14ac:dyDescent="0.25"/>
    <row r="25000" s="12" customFormat="1" x14ac:dyDescent="0.25"/>
    <row r="25001" s="12" customFormat="1" x14ac:dyDescent="0.25"/>
    <row r="25002" s="12" customFormat="1" x14ac:dyDescent="0.25"/>
    <row r="25003" s="12" customFormat="1" x14ac:dyDescent="0.25"/>
    <row r="25004" s="12" customFormat="1" x14ac:dyDescent="0.25"/>
    <row r="25005" s="12" customFormat="1" x14ac:dyDescent="0.25"/>
    <row r="25006" s="12" customFormat="1" x14ac:dyDescent="0.25"/>
    <row r="25007" s="12" customFormat="1" x14ac:dyDescent="0.25"/>
    <row r="25008" s="12" customFormat="1" x14ac:dyDescent="0.25"/>
    <row r="25009" s="12" customFormat="1" x14ac:dyDescent="0.25"/>
    <row r="25010" s="12" customFormat="1" x14ac:dyDescent="0.25"/>
    <row r="25011" s="12" customFormat="1" x14ac:dyDescent="0.25"/>
    <row r="25012" s="12" customFormat="1" x14ac:dyDescent="0.25"/>
    <row r="25013" s="12" customFormat="1" x14ac:dyDescent="0.25"/>
    <row r="25014" s="12" customFormat="1" x14ac:dyDescent="0.25"/>
    <row r="25015" s="12" customFormat="1" x14ac:dyDescent="0.25"/>
    <row r="25016" s="12" customFormat="1" x14ac:dyDescent="0.25"/>
    <row r="25017" s="12" customFormat="1" x14ac:dyDescent="0.25"/>
    <row r="25018" s="12" customFormat="1" x14ac:dyDescent="0.25"/>
    <row r="25019" s="12" customFormat="1" x14ac:dyDescent="0.25"/>
    <row r="25020" s="12" customFormat="1" x14ac:dyDescent="0.25"/>
    <row r="25021" s="12" customFormat="1" x14ac:dyDescent="0.25"/>
    <row r="25022" s="12" customFormat="1" x14ac:dyDescent="0.25"/>
    <row r="25023" s="12" customFormat="1" x14ac:dyDescent="0.25"/>
    <row r="25024" s="12" customFormat="1" x14ac:dyDescent="0.25"/>
    <row r="25025" s="12" customFormat="1" x14ac:dyDescent="0.25"/>
    <row r="25026" s="12" customFormat="1" x14ac:dyDescent="0.25"/>
    <row r="25027" s="12" customFormat="1" x14ac:dyDescent="0.25"/>
    <row r="25028" s="12" customFormat="1" x14ac:dyDescent="0.25"/>
    <row r="25029" s="12" customFormat="1" x14ac:dyDescent="0.25"/>
    <row r="25030" s="12" customFormat="1" x14ac:dyDescent="0.25"/>
    <row r="25031" s="12" customFormat="1" x14ac:dyDescent="0.25"/>
    <row r="25032" s="12" customFormat="1" x14ac:dyDescent="0.25"/>
    <row r="25033" s="12" customFormat="1" x14ac:dyDescent="0.25"/>
    <row r="25034" s="12" customFormat="1" x14ac:dyDescent="0.25"/>
    <row r="25035" s="12" customFormat="1" x14ac:dyDescent="0.25"/>
    <row r="25036" s="12" customFormat="1" x14ac:dyDescent="0.25"/>
    <row r="25037" s="12" customFormat="1" x14ac:dyDescent="0.25"/>
    <row r="25038" s="12" customFormat="1" x14ac:dyDescent="0.25"/>
    <row r="25039" s="12" customFormat="1" x14ac:dyDescent="0.25"/>
    <row r="25040" s="12" customFormat="1" x14ac:dyDescent="0.25"/>
    <row r="25041" s="12" customFormat="1" x14ac:dyDescent="0.25"/>
    <row r="25042" s="12" customFormat="1" x14ac:dyDescent="0.25"/>
    <row r="25043" s="12" customFormat="1" x14ac:dyDescent="0.25"/>
    <row r="25044" s="12" customFormat="1" x14ac:dyDescent="0.25"/>
    <row r="25045" s="12" customFormat="1" x14ac:dyDescent="0.25"/>
    <row r="25046" s="12" customFormat="1" x14ac:dyDescent="0.25"/>
    <row r="25047" s="12" customFormat="1" x14ac:dyDescent="0.25"/>
    <row r="25048" s="12" customFormat="1" x14ac:dyDescent="0.25"/>
    <row r="25049" s="12" customFormat="1" x14ac:dyDescent="0.25"/>
    <row r="25050" s="12" customFormat="1" x14ac:dyDescent="0.25"/>
    <row r="25051" s="12" customFormat="1" x14ac:dyDescent="0.25"/>
    <row r="25052" s="12" customFormat="1" x14ac:dyDescent="0.25"/>
    <row r="25053" s="12" customFormat="1" x14ac:dyDescent="0.25"/>
    <row r="25054" s="12" customFormat="1" x14ac:dyDescent="0.25"/>
    <row r="25055" s="12" customFormat="1" x14ac:dyDescent="0.25"/>
    <row r="25056" s="12" customFormat="1" x14ac:dyDescent="0.25"/>
    <row r="25057" s="12" customFormat="1" x14ac:dyDescent="0.25"/>
    <row r="25058" s="12" customFormat="1" x14ac:dyDescent="0.25"/>
    <row r="25059" s="12" customFormat="1" x14ac:dyDescent="0.25"/>
    <row r="25060" s="12" customFormat="1" x14ac:dyDescent="0.25"/>
    <row r="25061" s="12" customFormat="1" x14ac:dyDescent="0.25"/>
    <row r="25062" s="12" customFormat="1" x14ac:dyDescent="0.25"/>
    <row r="25063" s="12" customFormat="1" x14ac:dyDescent="0.25"/>
    <row r="25064" s="12" customFormat="1" x14ac:dyDescent="0.25"/>
    <row r="25065" s="12" customFormat="1" x14ac:dyDescent="0.25"/>
    <row r="25066" s="12" customFormat="1" x14ac:dyDescent="0.25"/>
    <row r="25067" s="12" customFormat="1" x14ac:dyDescent="0.25"/>
    <row r="25068" s="12" customFormat="1" x14ac:dyDescent="0.25"/>
    <row r="25069" s="12" customFormat="1" x14ac:dyDescent="0.25"/>
    <row r="25070" s="12" customFormat="1" x14ac:dyDescent="0.25"/>
    <row r="25071" s="12" customFormat="1" x14ac:dyDescent="0.25"/>
    <row r="25072" s="12" customFormat="1" x14ac:dyDescent="0.25"/>
    <row r="25073" s="12" customFormat="1" x14ac:dyDescent="0.25"/>
    <row r="25074" s="12" customFormat="1" x14ac:dyDescent="0.25"/>
    <row r="25075" s="12" customFormat="1" x14ac:dyDescent="0.25"/>
    <row r="25076" s="12" customFormat="1" x14ac:dyDescent="0.25"/>
    <row r="25077" s="12" customFormat="1" x14ac:dyDescent="0.25"/>
    <row r="25078" s="12" customFormat="1" x14ac:dyDescent="0.25"/>
    <row r="25079" s="12" customFormat="1" x14ac:dyDescent="0.25"/>
    <row r="25080" s="12" customFormat="1" x14ac:dyDescent="0.25"/>
    <row r="25081" s="12" customFormat="1" x14ac:dyDescent="0.25"/>
    <row r="25082" s="12" customFormat="1" x14ac:dyDescent="0.25"/>
    <row r="25083" s="12" customFormat="1" x14ac:dyDescent="0.25"/>
    <row r="25084" s="12" customFormat="1" x14ac:dyDescent="0.25"/>
    <row r="25085" s="12" customFormat="1" x14ac:dyDescent="0.25"/>
    <row r="25086" s="12" customFormat="1" x14ac:dyDescent="0.25"/>
    <row r="25087" s="12" customFormat="1" x14ac:dyDescent="0.25"/>
    <row r="25088" s="12" customFormat="1" x14ac:dyDescent="0.25"/>
    <row r="25089" s="12" customFormat="1" x14ac:dyDescent="0.25"/>
    <row r="25090" s="12" customFormat="1" x14ac:dyDescent="0.25"/>
    <row r="25091" s="12" customFormat="1" x14ac:dyDescent="0.25"/>
    <row r="25092" s="12" customFormat="1" x14ac:dyDescent="0.25"/>
    <row r="25093" s="12" customFormat="1" x14ac:dyDescent="0.25"/>
    <row r="25094" s="12" customFormat="1" x14ac:dyDescent="0.25"/>
    <row r="25095" s="12" customFormat="1" x14ac:dyDescent="0.25"/>
    <row r="25096" s="12" customFormat="1" x14ac:dyDescent="0.25"/>
    <row r="25097" s="12" customFormat="1" x14ac:dyDescent="0.25"/>
    <row r="25098" s="12" customFormat="1" x14ac:dyDescent="0.25"/>
    <row r="25099" s="12" customFormat="1" x14ac:dyDescent="0.25"/>
    <row r="25100" s="12" customFormat="1" x14ac:dyDescent="0.25"/>
    <row r="25101" s="12" customFormat="1" x14ac:dyDescent="0.25"/>
    <row r="25102" s="12" customFormat="1" x14ac:dyDescent="0.25"/>
    <row r="25103" s="12" customFormat="1" x14ac:dyDescent="0.25"/>
    <row r="25104" s="12" customFormat="1" x14ac:dyDescent="0.25"/>
    <row r="25105" s="12" customFormat="1" x14ac:dyDescent="0.25"/>
    <row r="25106" s="12" customFormat="1" x14ac:dyDescent="0.25"/>
    <row r="25107" s="12" customFormat="1" x14ac:dyDescent="0.25"/>
    <row r="25108" s="12" customFormat="1" x14ac:dyDescent="0.25"/>
    <row r="25109" s="12" customFormat="1" x14ac:dyDescent="0.25"/>
    <row r="25110" s="12" customFormat="1" x14ac:dyDescent="0.25"/>
    <row r="25111" s="12" customFormat="1" x14ac:dyDescent="0.25"/>
    <row r="25112" s="12" customFormat="1" x14ac:dyDescent="0.25"/>
    <row r="25113" s="12" customFormat="1" x14ac:dyDescent="0.25"/>
    <row r="25114" s="12" customFormat="1" x14ac:dyDescent="0.25"/>
    <row r="25115" s="12" customFormat="1" x14ac:dyDescent="0.25"/>
    <row r="25116" s="12" customFormat="1" x14ac:dyDescent="0.25"/>
    <row r="25117" s="12" customFormat="1" x14ac:dyDescent="0.25"/>
    <row r="25118" s="12" customFormat="1" x14ac:dyDescent="0.25"/>
    <row r="25119" s="12" customFormat="1" x14ac:dyDescent="0.25"/>
    <row r="25120" s="12" customFormat="1" x14ac:dyDescent="0.25"/>
    <row r="25121" s="12" customFormat="1" x14ac:dyDescent="0.25"/>
    <row r="25122" s="12" customFormat="1" x14ac:dyDescent="0.25"/>
    <row r="25123" s="12" customFormat="1" x14ac:dyDescent="0.25"/>
    <row r="25124" s="12" customFormat="1" x14ac:dyDescent="0.25"/>
    <row r="25125" s="12" customFormat="1" x14ac:dyDescent="0.25"/>
    <row r="25126" s="12" customFormat="1" x14ac:dyDescent="0.25"/>
    <row r="25127" s="12" customFormat="1" x14ac:dyDescent="0.25"/>
    <row r="25128" s="12" customFormat="1" x14ac:dyDescent="0.25"/>
    <row r="25129" s="12" customFormat="1" x14ac:dyDescent="0.25"/>
    <row r="25130" s="12" customFormat="1" x14ac:dyDescent="0.25"/>
    <row r="25131" s="12" customFormat="1" x14ac:dyDescent="0.25"/>
    <row r="25132" s="12" customFormat="1" x14ac:dyDescent="0.25"/>
    <row r="25133" s="12" customFormat="1" x14ac:dyDescent="0.25"/>
    <row r="25134" s="12" customFormat="1" x14ac:dyDescent="0.25"/>
    <row r="25135" s="12" customFormat="1" x14ac:dyDescent="0.25"/>
    <row r="25136" s="12" customFormat="1" x14ac:dyDescent="0.25"/>
    <row r="25137" s="12" customFormat="1" x14ac:dyDescent="0.25"/>
    <row r="25138" s="12" customFormat="1" x14ac:dyDescent="0.25"/>
    <row r="25139" s="12" customFormat="1" x14ac:dyDescent="0.25"/>
    <row r="25140" s="12" customFormat="1" x14ac:dyDescent="0.25"/>
    <row r="25141" s="12" customFormat="1" x14ac:dyDescent="0.25"/>
    <row r="25142" s="12" customFormat="1" x14ac:dyDescent="0.25"/>
    <row r="25143" s="12" customFormat="1" x14ac:dyDescent="0.25"/>
    <row r="25144" s="12" customFormat="1" x14ac:dyDescent="0.25"/>
    <row r="25145" s="12" customFormat="1" x14ac:dyDescent="0.25"/>
    <row r="25146" s="12" customFormat="1" x14ac:dyDescent="0.25"/>
    <row r="25147" s="12" customFormat="1" x14ac:dyDescent="0.25"/>
    <row r="25148" s="12" customFormat="1" x14ac:dyDescent="0.25"/>
    <row r="25149" s="12" customFormat="1" x14ac:dyDescent="0.25"/>
    <row r="25150" s="12" customFormat="1" x14ac:dyDescent="0.25"/>
    <row r="25151" s="12" customFormat="1" x14ac:dyDescent="0.25"/>
    <row r="25152" s="12" customFormat="1" x14ac:dyDescent="0.25"/>
    <row r="25153" s="12" customFormat="1" x14ac:dyDescent="0.25"/>
    <row r="25154" s="12" customFormat="1" x14ac:dyDescent="0.25"/>
    <row r="25155" s="12" customFormat="1" x14ac:dyDescent="0.25"/>
    <row r="25156" s="12" customFormat="1" x14ac:dyDescent="0.25"/>
    <row r="25157" s="12" customFormat="1" x14ac:dyDescent="0.25"/>
    <row r="25158" s="12" customFormat="1" x14ac:dyDescent="0.25"/>
    <row r="25159" s="12" customFormat="1" x14ac:dyDescent="0.25"/>
    <row r="25160" s="12" customFormat="1" x14ac:dyDescent="0.25"/>
    <row r="25161" s="12" customFormat="1" x14ac:dyDescent="0.25"/>
    <row r="25162" s="12" customFormat="1" x14ac:dyDescent="0.25"/>
    <row r="25163" s="12" customFormat="1" x14ac:dyDescent="0.25"/>
    <row r="25164" s="12" customFormat="1" x14ac:dyDescent="0.25"/>
    <row r="25165" s="12" customFormat="1" x14ac:dyDescent="0.25"/>
    <row r="25166" s="12" customFormat="1" x14ac:dyDescent="0.25"/>
    <row r="25167" s="12" customFormat="1" x14ac:dyDescent="0.25"/>
    <row r="25168" s="12" customFormat="1" x14ac:dyDescent="0.25"/>
    <row r="25169" s="12" customFormat="1" x14ac:dyDescent="0.25"/>
    <row r="25170" s="12" customFormat="1" x14ac:dyDescent="0.25"/>
    <row r="25171" s="12" customFormat="1" x14ac:dyDescent="0.25"/>
    <row r="25172" s="12" customFormat="1" x14ac:dyDescent="0.25"/>
    <row r="25173" s="12" customFormat="1" x14ac:dyDescent="0.25"/>
    <row r="25174" s="12" customFormat="1" x14ac:dyDescent="0.25"/>
    <row r="25175" s="12" customFormat="1" x14ac:dyDescent="0.25"/>
    <row r="25176" s="12" customFormat="1" x14ac:dyDescent="0.25"/>
    <row r="25177" s="12" customFormat="1" x14ac:dyDescent="0.25"/>
    <row r="25178" s="12" customFormat="1" x14ac:dyDescent="0.25"/>
    <row r="25179" s="12" customFormat="1" x14ac:dyDescent="0.25"/>
    <row r="25180" s="12" customFormat="1" x14ac:dyDescent="0.25"/>
    <row r="25181" s="12" customFormat="1" x14ac:dyDescent="0.25"/>
    <row r="25182" s="12" customFormat="1" x14ac:dyDescent="0.25"/>
    <row r="25183" s="12" customFormat="1" x14ac:dyDescent="0.25"/>
    <row r="25184" s="12" customFormat="1" x14ac:dyDescent="0.25"/>
    <row r="25185" s="12" customFormat="1" x14ac:dyDescent="0.25"/>
    <row r="25186" s="12" customFormat="1" x14ac:dyDescent="0.25"/>
    <row r="25187" s="12" customFormat="1" x14ac:dyDescent="0.25"/>
    <row r="25188" s="12" customFormat="1" x14ac:dyDescent="0.25"/>
    <row r="25189" s="12" customFormat="1" x14ac:dyDescent="0.25"/>
    <row r="25190" s="12" customFormat="1" x14ac:dyDescent="0.25"/>
    <row r="25191" s="12" customFormat="1" x14ac:dyDescent="0.25"/>
    <row r="25192" s="12" customFormat="1" x14ac:dyDescent="0.25"/>
    <row r="25193" s="12" customFormat="1" x14ac:dyDescent="0.25"/>
    <row r="25194" s="12" customFormat="1" x14ac:dyDescent="0.25"/>
    <row r="25195" s="12" customFormat="1" x14ac:dyDescent="0.25"/>
    <row r="25196" s="12" customFormat="1" x14ac:dyDescent="0.25"/>
    <row r="25197" s="12" customFormat="1" x14ac:dyDescent="0.25"/>
    <row r="25198" s="12" customFormat="1" x14ac:dyDescent="0.25"/>
    <row r="25199" s="12" customFormat="1" x14ac:dyDescent="0.25"/>
    <row r="25200" s="12" customFormat="1" x14ac:dyDescent="0.25"/>
    <row r="25201" s="12" customFormat="1" x14ac:dyDescent="0.25"/>
    <row r="25202" s="12" customFormat="1" x14ac:dyDescent="0.25"/>
    <row r="25203" s="12" customFormat="1" x14ac:dyDescent="0.25"/>
    <row r="25204" s="12" customFormat="1" x14ac:dyDescent="0.25"/>
    <row r="25205" s="12" customFormat="1" x14ac:dyDescent="0.25"/>
    <row r="25206" s="12" customFormat="1" x14ac:dyDescent="0.25"/>
    <row r="25207" s="12" customFormat="1" x14ac:dyDescent="0.25"/>
    <row r="25208" s="12" customFormat="1" x14ac:dyDescent="0.25"/>
    <row r="25209" s="12" customFormat="1" x14ac:dyDescent="0.25"/>
    <row r="25210" s="12" customFormat="1" x14ac:dyDescent="0.25"/>
    <row r="25211" s="12" customFormat="1" x14ac:dyDescent="0.25"/>
    <row r="25212" s="12" customFormat="1" x14ac:dyDescent="0.25"/>
    <row r="25213" s="12" customFormat="1" x14ac:dyDescent="0.25"/>
    <row r="25214" s="12" customFormat="1" x14ac:dyDescent="0.25"/>
    <row r="25215" s="12" customFormat="1" x14ac:dyDescent="0.25"/>
    <row r="25216" s="12" customFormat="1" x14ac:dyDescent="0.25"/>
    <row r="25217" s="12" customFormat="1" x14ac:dyDescent="0.25"/>
    <row r="25218" s="12" customFormat="1" x14ac:dyDescent="0.25"/>
    <row r="25219" s="12" customFormat="1" x14ac:dyDescent="0.25"/>
    <row r="25220" s="12" customFormat="1" x14ac:dyDescent="0.25"/>
    <row r="25221" s="12" customFormat="1" x14ac:dyDescent="0.25"/>
    <row r="25222" s="12" customFormat="1" x14ac:dyDescent="0.25"/>
    <row r="25223" s="12" customFormat="1" x14ac:dyDescent="0.25"/>
    <row r="25224" s="12" customFormat="1" x14ac:dyDescent="0.25"/>
    <row r="25225" s="12" customFormat="1" x14ac:dyDescent="0.25"/>
    <row r="25226" s="12" customFormat="1" x14ac:dyDescent="0.25"/>
    <row r="25227" s="12" customFormat="1" x14ac:dyDescent="0.25"/>
    <row r="25228" s="12" customFormat="1" x14ac:dyDescent="0.25"/>
    <row r="25229" s="12" customFormat="1" x14ac:dyDescent="0.25"/>
    <row r="25230" s="12" customFormat="1" x14ac:dyDescent="0.25"/>
    <row r="25231" s="12" customFormat="1" x14ac:dyDescent="0.25"/>
    <row r="25232" s="12" customFormat="1" x14ac:dyDescent="0.25"/>
    <row r="25233" s="12" customFormat="1" x14ac:dyDescent="0.25"/>
    <row r="25234" s="12" customFormat="1" x14ac:dyDescent="0.25"/>
    <row r="25235" s="12" customFormat="1" x14ac:dyDescent="0.25"/>
    <row r="25236" s="12" customFormat="1" x14ac:dyDescent="0.25"/>
    <row r="25237" s="12" customFormat="1" x14ac:dyDescent="0.25"/>
    <row r="25238" s="12" customFormat="1" x14ac:dyDescent="0.25"/>
    <row r="25239" s="12" customFormat="1" x14ac:dyDescent="0.25"/>
    <row r="25240" s="12" customFormat="1" x14ac:dyDescent="0.25"/>
    <row r="25241" s="12" customFormat="1" x14ac:dyDescent="0.25"/>
    <row r="25242" s="12" customFormat="1" x14ac:dyDescent="0.25"/>
    <row r="25243" s="12" customFormat="1" x14ac:dyDescent="0.25"/>
    <row r="25244" s="12" customFormat="1" x14ac:dyDescent="0.25"/>
    <row r="25245" s="12" customFormat="1" x14ac:dyDescent="0.25"/>
    <row r="25246" s="12" customFormat="1" x14ac:dyDescent="0.25"/>
    <row r="25247" s="12" customFormat="1" x14ac:dyDescent="0.25"/>
    <row r="25248" s="12" customFormat="1" x14ac:dyDescent="0.25"/>
    <row r="25249" s="12" customFormat="1" x14ac:dyDescent="0.25"/>
    <row r="25250" s="12" customFormat="1" x14ac:dyDescent="0.25"/>
    <row r="25251" s="12" customFormat="1" x14ac:dyDescent="0.25"/>
    <row r="25252" s="12" customFormat="1" x14ac:dyDescent="0.25"/>
    <row r="25253" s="12" customFormat="1" x14ac:dyDescent="0.25"/>
    <row r="25254" s="12" customFormat="1" x14ac:dyDescent="0.25"/>
    <row r="25255" s="12" customFormat="1" x14ac:dyDescent="0.25"/>
    <row r="25256" s="12" customFormat="1" x14ac:dyDescent="0.25"/>
    <row r="25257" s="12" customFormat="1" x14ac:dyDescent="0.25"/>
    <row r="25258" s="12" customFormat="1" x14ac:dyDescent="0.25"/>
    <row r="25259" s="12" customFormat="1" x14ac:dyDescent="0.25"/>
    <row r="25260" s="12" customFormat="1" x14ac:dyDescent="0.25"/>
    <row r="25261" s="12" customFormat="1" x14ac:dyDescent="0.25"/>
    <row r="25262" s="12" customFormat="1" x14ac:dyDescent="0.25"/>
    <row r="25263" s="12" customFormat="1" x14ac:dyDescent="0.25"/>
    <row r="25264" s="12" customFormat="1" x14ac:dyDescent="0.25"/>
    <row r="25265" s="12" customFormat="1" x14ac:dyDescent="0.25"/>
    <row r="25266" s="12" customFormat="1" x14ac:dyDescent="0.25"/>
    <row r="25267" s="12" customFormat="1" x14ac:dyDescent="0.25"/>
    <row r="25268" s="12" customFormat="1" x14ac:dyDescent="0.25"/>
    <row r="25269" s="12" customFormat="1" x14ac:dyDescent="0.25"/>
    <row r="25270" s="12" customFormat="1" x14ac:dyDescent="0.25"/>
    <row r="25271" s="12" customFormat="1" x14ac:dyDescent="0.25"/>
    <row r="25272" s="12" customFormat="1" x14ac:dyDescent="0.25"/>
    <row r="25273" s="12" customFormat="1" x14ac:dyDescent="0.25"/>
    <row r="25274" s="12" customFormat="1" x14ac:dyDescent="0.25"/>
    <row r="25275" s="12" customFormat="1" x14ac:dyDescent="0.25"/>
    <row r="25276" s="12" customFormat="1" x14ac:dyDescent="0.25"/>
    <row r="25277" s="12" customFormat="1" x14ac:dyDescent="0.25"/>
    <row r="25278" s="12" customFormat="1" x14ac:dyDescent="0.25"/>
    <row r="25279" s="12" customFormat="1" x14ac:dyDescent="0.25"/>
    <row r="25280" s="12" customFormat="1" x14ac:dyDescent="0.25"/>
    <row r="25281" s="12" customFormat="1" x14ac:dyDescent="0.25"/>
    <row r="25282" s="12" customFormat="1" x14ac:dyDescent="0.25"/>
    <row r="25283" s="12" customFormat="1" x14ac:dyDescent="0.25"/>
    <row r="25284" s="12" customFormat="1" x14ac:dyDescent="0.25"/>
    <row r="25285" s="12" customFormat="1" x14ac:dyDescent="0.25"/>
    <row r="25286" s="12" customFormat="1" x14ac:dyDescent="0.25"/>
    <row r="25287" s="12" customFormat="1" x14ac:dyDescent="0.25"/>
    <row r="25288" s="12" customFormat="1" x14ac:dyDescent="0.25"/>
    <row r="25289" s="12" customFormat="1" x14ac:dyDescent="0.25"/>
    <row r="25290" s="12" customFormat="1" x14ac:dyDescent="0.25"/>
    <row r="25291" s="12" customFormat="1" x14ac:dyDescent="0.25"/>
    <row r="25292" s="12" customFormat="1" x14ac:dyDescent="0.25"/>
    <row r="25293" s="12" customFormat="1" x14ac:dyDescent="0.25"/>
    <row r="25294" s="12" customFormat="1" x14ac:dyDescent="0.25"/>
    <row r="25295" s="12" customFormat="1" x14ac:dyDescent="0.25"/>
    <row r="25296" s="12" customFormat="1" x14ac:dyDescent="0.25"/>
    <row r="25297" s="12" customFormat="1" x14ac:dyDescent="0.25"/>
    <row r="25298" s="12" customFormat="1" x14ac:dyDescent="0.25"/>
    <row r="25299" s="12" customFormat="1" x14ac:dyDescent="0.25"/>
    <row r="25300" s="12" customFormat="1" x14ac:dyDescent="0.25"/>
    <row r="25301" s="12" customFormat="1" x14ac:dyDescent="0.25"/>
    <row r="25302" s="12" customFormat="1" x14ac:dyDescent="0.25"/>
    <row r="25303" s="12" customFormat="1" x14ac:dyDescent="0.25"/>
    <row r="25304" s="12" customFormat="1" x14ac:dyDescent="0.25"/>
    <row r="25305" s="12" customFormat="1" x14ac:dyDescent="0.25"/>
    <row r="25306" s="12" customFormat="1" x14ac:dyDescent="0.25"/>
    <row r="25307" s="12" customFormat="1" x14ac:dyDescent="0.25"/>
    <row r="25308" s="12" customFormat="1" x14ac:dyDescent="0.25"/>
    <row r="25309" s="12" customFormat="1" x14ac:dyDescent="0.25"/>
    <row r="25310" s="12" customFormat="1" x14ac:dyDescent="0.25"/>
    <row r="25311" s="12" customFormat="1" x14ac:dyDescent="0.25"/>
    <row r="25312" s="12" customFormat="1" x14ac:dyDescent="0.25"/>
    <row r="25313" s="12" customFormat="1" x14ac:dyDescent="0.25"/>
    <row r="25314" s="12" customFormat="1" x14ac:dyDescent="0.25"/>
    <row r="25315" s="12" customFormat="1" x14ac:dyDescent="0.25"/>
    <row r="25316" s="12" customFormat="1" x14ac:dyDescent="0.25"/>
    <row r="25317" s="12" customFormat="1" x14ac:dyDescent="0.25"/>
    <row r="25318" s="12" customFormat="1" x14ac:dyDescent="0.25"/>
    <row r="25319" s="12" customFormat="1" x14ac:dyDescent="0.25"/>
    <row r="25320" s="12" customFormat="1" x14ac:dyDescent="0.25"/>
    <row r="25321" s="12" customFormat="1" x14ac:dyDescent="0.25"/>
    <row r="25322" s="12" customFormat="1" x14ac:dyDescent="0.25"/>
    <row r="25323" s="12" customFormat="1" x14ac:dyDescent="0.25"/>
    <row r="25324" s="12" customFormat="1" x14ac:dyDescent="0.25"/>
    <row r="25325" s="12" customFormat="1" x14ac:dyDescent="0.25"/>
    <row r="25326" s="12" customFormat="1" x14ac:dyDescent="0.25"/>
    <row r="25327" s="12" customFormat="1" x14ac:dyDescent="0.25"/>
    <row r="25328" s="12" customFormat="1" x14ac:dyDescent="0.25"/>
    <row r="25329" s="12" customFormat="1" x14ac:dyDescent="0.25"/>
    <row r="25330" s="12" customFormat="1" x14ac:dyDescent="0.25"/>
    <row r="25331" s="12" customFormat="1" x14ac:dyDescent="0.25"/>
    <row r="25332" s="12" customFormat="1" x14ac:dyDescent="0.25"/>
    <row r="25333" s="12" customFormat="1" x14ac:dyDescent="0.25"/>
    <row r="25334" s="12" customFormat="1" x14ac:dyDescent="0.25"/>
    <row r="25335" s="12" customFormat="1" x14ac:dyDescent="0.25"/>
    <row r="25336" s="12" customFormat="1" x14ac:dyDescent="0.25"/>
    <row r="25337" s="12" customFormat="1" x14ac:dyDescent="0.25"/>
    <row r="25338" s="12" customFormat="1" x14ac:dyDescent="0.25"/>
    <row r="25339" s="12" customFormat="1" x14ac:dyDescent="0.25"/>
    <row r="25340" s="12" customFormat="1" x14ac:dyDescent="0.25"/>
    <row r="25341" s="12" customFormat="1" x14ac:dyDescent="0.25"/>
    <row r="25342" s="12" customFormat="1" x14ac:dyDescent="0.25"/>
    <row r="25343" s="12" customFormat="1" x14ac:dyDescent="0.25"/>
    <row r="25344" s="12" customFormat="1" x14ac:dyDescent="0.25"/>
    <row r="25345" s="12" customFormat="1" x14ac:dyDescent="0.25"/>
    <row r="25346" s="12" customFormat="1" x14ac:dyDescent="0.25"/>
    <row r="25347" s="12" customFormat="1" x14ac:dyDescent="0.25"/>
    <row r="25348" s="12" customFormat="1" x14ac:dyDescent="0.25"/>
    <row r="25349" s="12" customFormat="1" x14ac:dyDescent="0.25"/>
    <row r="25350" s="12" customFormat="1" x14ac:dyDescent="0.25"/>
    <row r="25351" s="12" customFormat="1" x14ac:dyDescent="0.25"/>
    <row r="25352" s="12" customFormat="1" x14ac:dyDescent="0.25"/>
    <row r="25353" s="12" customFormat="1" x14ac:dyDescent="0.25"/>
    <row r="25354" s="12" customFormat="1" x14ac:dyDescent="0.25"/>
    <row r="25355" s="12" customFormat="1" x14ac:dyDescent="0.25"/>
    <row r="25356" s="12" customFormat="1" x14ac:dyDescent="0.25"/>
    <row r="25357" s="12" customFormat="1" x14ac:dyDescent="0.25"/>
    <row r="25358" s="12" customFormat="1" x14ac:dyDescent="0.25"/>
    <row r="25359" s="12" customFormat="1" x14ac:dyDescent="0.25"/>
    <row r="25360" s="12" customFormat="1" x14ac:dyDescent="0.25"/>
    <row r="25361" s="12" customFormat="1" x14ac:dyDescent="0.25"/>
    <row r="25362" s="12" customFormat="1" x14ac:dyDescent="0.25"/>
    <row r="25363" s="12" customFormat="1" x14ac:dyDescent="0.25"/>
    <row r="25364" s="12" customFormat="1" x14ac:dyDescent="0.25"/>
    <row r="25365" s="12" customFormat="1" x14ac:dyDescent="0.25"/>
    <row r="25366" s="12" customFormat="1" x14ac:dyDescent="0.25"/>
    <row r="25367" s="12" customFormat="1" x14ac:dyDescent="0.25"/>
    <row r="25368" s="12" customFormat="1" x14ac:dyDescent="0.25"/>
    <row r="25369" s="12" customFormat="1" x14ac:dyDescent="0.25"/>
    <row r="25370" s="12" customFormat="1" x14ac:dyDescent="0.25"/>
    <row r="25371" s="12" customFormat="1" x14ac:dyDescent="0.25"/>
    <row r="25372" s="12" customFormat="1" x14ac:dyDescent="0.25"/>
    <row r="25373" s="12" customFormat="1" x14ac:dyDescent="0.25"/>
    <row r="25374" s="12" customFormat="1" x14ac:dyDescent="0.25"/>
    <row r="25375" s="12" customFormat="1" x14ac:dyDescent="0.25"/>
    <row r="25376" s="12" customFormat="1" x14ac:dyDescent="0.25"/>
    <row r="25377" s="12" customFormat="1" x14ac:dyDescent="0.25"/>
    <row r="25378" s="12" customFormat="1" x14ac:dyDescent="0.25"/>
    <row r="25379" s="12" customFormat="1" x14ac:dyDescent="0.25"/>
    <row r="25380" s="12" customFormat="1" x14ac:dyDescent="0.25"/>
    <row r="25381" s="12" customFormat="1" x14ac:dyDescent="0.25"/>
    <row r="25382" s="12" customFormat="1" x14ac:dyDescent="0.25"/>
    <row r="25383" s="12" customFormat="1" x14ac:dyDescent="0.25"/>
    <row r="25384" s="12" customFormat="1" x14ac:dyDescent="0.25"/>
    <row r="25385" s="12" customFormat="1" x14ac:dyDescent="0.25"/>
    <row r="25386" s="12" customFormat="1" x14ac:dyDescent="0.25"/>
    <row r="25387" s="12" customFormat="1" x14ac:dyDescent="0.25"/>
    <row r="25388" s="12" customFormat="1" x14ac:dyDescent="0.25"/>
    <row r="25389" s="12" customFormat="1" x14ac:dyDescent="0.25"/>
    <row r="25390" s="12" customFormat="1" x14ac:dyDescent="0.25"/>
    <row r="25391" s="12" customFormat="1" x14ac:dyDescent="0.25"/>
    <row r="25392" s="12" customFormat="1" x14ac:dyDescent="0.25"/>
    <row r="25393" s="12" customFormat="1" x14ac:dyDescent="0.25"/>
    <row r="25394" s="12" customFormat="1" x14ac:dyDescent="0.25"/>
    <row r="25395" s="12" customFormat="1" x14ac:dyDescent="0.25"/>
    <row r="25396" s="12" customFormat="1" x14ac:dyDescent="0.25"/>
    <row r="25397" s="12" customFormat="1" x14ac:dyDescent="0.25"/>
    <row r="25398" s="12" customFormat="1" x14ac:dyDescent="0.25"/>
    <row r="25399" s="12" customFormat="1" x14ac:dyDescent="0.25"/>
    <row r="25400" s="12" customFormat="1" x14ac:dyDescent="0.25"/>
    <row r="25401" s="12" customFormat="1" x14ac:dyDescent="0.25"/>
    <row r="25402" s="12" customFormat="1" x14ac:dyDescent="0.25"/>
    <row r="25403" s="12" customFormat="1" x14ac:dyDescent="0.25"/>
    <row r="25404" s="12" customFormat="1" x14ac:dyDescent="0.25"/>
    <row r="25405" s="12" customFormat="1" x14ac:dyDescent="0.25"/>
    <row r="25406" s="12" customFormat="1" x14ac:dyDescent="0.25"/>
    <row r="25407" s="12" customFormat="1" x14ac:dyDescent="0.25"/>
    <row r="25408" s="12" customFormat="1" x14ac:dyDescent="0.25"/>
    <row r="25409" s="12" customFormat="1" x14ac:dyDescent="0.25"/>
    <row r="25410" s="12" customFormat="1" x14ac:dyDescent="0.25"/>
    <row r="25411" s="12" customFormat="1" x14ac:dyDescent="0.25"/>
    <row r="25412" s="12" customFormat="1" x14ac:dyDescent="0.25"/>
    <row r="25413" s="12" customFormat="1" x14ac:dyDescent="0.25"/>
    <row r="25414" s="12" customFormat="1" x14ac:dyDescent="0.25"/>
    <row r="25415" s="12" customFormat="1" x14ac:dyDescent="0.25"/>
    <row r="25416" s="12" customFormat="1" x14ac:dyDescent="0.25"/>
    <row r="25417" s="12" customFormat="1" x14ac:dyDescent="0.25"/>
    <row r="25418" s="12" customFormat="1" x14ac:dyDescent="0.25"/>
    <row r="25419" s="12" customFormat="1" x14ac:dyDescent="0.25"/>
    <row r="25420" s="12" customFormat="1" x14ac:dyDescent="0.25"/>
    <row r="25421" s="12" customFormat="1" x14ac:dyDescent="0.25"/>
    <row r="25422" s="12" customFormat="1" x14ac:dyDescent="0.25"/>
    <row r="25423" s="12" customFormat="1" x14ac:dyDescent="0.25"/>
    <row r="25424" s="12" customFormat="1" x14ac:dyDescent="0.25"/>
    <row r="25425" s="12" customFormat="1" x14ac:dyDescent="0.25"/>
    <row r="25426" s="12" customFormat="1" x14ac:dyDescent="0.25"/>
    <row r="25427" s="12" customFormat="1" x14ac:dyDescent="0.25"/>
    <row r="25428" s="12" customFormat="1" x14ac:dyDescent="0.25"/>
    <row r="25429" s="12" customFormat="1" x14ac:dyDescent="0.25"/>
    <row r="25430" s="12" customFormat="1" x14ac:dyDescent="0.25"/>
    <row r="25431" s="12" customFormat="1" x14ac:dyDescent="0.25"/>
    <row r="25432" s="12" customFormat="1" x14ac:dyDescent="0.25"/>
    <row r="25433" s="12" customFormat="1" x14ac:dyDescent="0.25"/>
    <row r="25434" s="12" customFormat="1" x14ac:dyDescent="0.25"/>
    <row r="25435" s="12" customFormat="1" x14ac:dyDescent="0.25"/>
    <row r="25436" s="12" customFormat="1" x14ac:dyDescent="0.25"/>
    <row r="25437" s="12" customFormat="1" x14ac:dyDescent="0.25"/>
    <row r="25438" s="12" customFormat="1" x14ac:dyDescent="0.25"/>
    <row r="25439" s="12" customFormat="1" x14ac:dyDescent="0.25"/>
    <row r="25440" s="12" customFormat="1" x14ac:dyDescent="0.25"/>
    <row r="25441" s="12" customFormat="1" x14ac:dyDescent="0.25"/>
    <row r="25442" s="12" customFormat="1" x14ac:dyDescent="0.25"/>
    <row r="25443" s="12" customFormat="1" x14ac:dyDescent="0.25"/>
    <row r="25444" s="12" customFormat="1" x14ac:dyDescent="0.25"/>
    <row r="25445" s="12" customFormat="1" x14ac:dyDescent="0.25"/>
    <row r="25446" s="12" customFormat="1" x14ac:dyDescent="0.25"/>
    <row r="25447" s="12" customFormat="1" x14ac:dyDescent="0.25"/>
    <row r="25448" s="12" customFormat="1" x14ac:dyDescent="0.25"/>
    <row r="25449" s="12" customFormat="1" x14ac:dyDescent="0.25"/>
    <row r="25450" s="12" customFormat="1" x14ac:dyDescent="0.25"/>
    <row r="25451" s="12" customFormat="1" x14ac:dyDescent="0.25"/>
    <row r="25452" s="12" customFormat="1" x14ac:dyDescent="0.25"/>
    <row r="25453" s="12" customFormat="1" x14ac:dyDescent="0.25"/>
    <row r="25454" s="12" customFormat="1" x14ac:dyDescent="0.25"/>
    <row r="25455" s="12" customFormat="1" x14ac:dyDescent="0.25"/>
    <row r="25456" s="12" customFormat="1" x14ac:dyDescent="0.25"/>
    <row r="25457" s="12" customFormat="1" x14ac:dyDescent="0.25"/>
    <row r="25458" s="12" customFormat="1" x14ac:dyDescent="0.25"/>
    <row r="25459" s="12" customFormat="1" x14ac:dyDescent="0.25"/>
    <row r="25460" s="12" customFormat="1" x14ac:dyDescent="0.25"/>
    <row r="25461" s="12" customFormat="1" x14ac:dyDescent="0.25"/>
    <row r="25462" s="12" customFormat="1" x14ac:dyDescent="0.25"/>
    <row r="25463" s="12" customFormat="1" x14ac:dyDescent="0.25"/>
    <row r="25464" s="12" customFormat="1" x14ac:dyDescent="0.25"/>
    <row r="25465" s="12" customFormat="1" x14ac:dyDescent="0.25"/>
    <row r="25466" s="12" customFormat="1" x14ac:dyDescent="0.25"/>
    <row r="25467" s="12" customFormat="1" x14ac:dyDescent="0.25"/>
    <row r="25468" s="12" customFormat="1" x14ac:dyDescent="0.25"/>
    <row r="25469" s="12" customFormat="1" x14ac:dyDescent="0.25"/>
    <row r="25470" s="12" customFormat="1" x14ac:dyDescent="0.25"/>
    <row r="25471" s="12" customFormat="1" x14ac:dyDescent="0.25"/>
    <row r="25472" s="12" customFormat="1" x14ac:dyDescent="0.25"/>
    <row r="25473" s="12" customFormat="1" x14ac:dyDescent="0.25"/>
    <row r="25474" s="12" customFormat="1" x14ac:dyDescent="0.25"/>
    <row r="25475" s="12" customFormat="1" x14ac:dyDescent="0.25"/>
    <row r="25476" s="12" customFormat="1" x14ac:dyDescent="0.25"/>
    <row r="25477" s="12" customFormat="1" x14ac:dyDescent="0.25"/>
    <row r="25478" s="12" customFormat="1" x14ac:dyDescent="0.25"/>
    <row r="25479" s="12" customFormat="1" x14ac:dyDescent="0.25"/>
    <row r="25480" s="12" customFormat="1" x14ac:dyDescent="0.25"/>
    <row r="25481" s="12" customFormat="1" x14ac:dyDescent="0.25"/>
    <row r="25482" s="12" customFormat="1" x14ac:dyDescent="0.25"/>
    <row r="25483" s="12" customFormat="1" x14ac:dyDescent="0.25"/>
    <row r="25484" s="12" customFormat="1" x14ac:dyDescent="0.25"/>
    <row r="25485" s="12" customFormat="1" x14ac:dyDescent="0.25"/>
    <row r="25486" s="12" customFormat="1" x14ac:dyDescent="0.25"/>
    <row r="25487" s="12" customFormat="1" x14ac:dyDescent="0.25"/>
    <row r="25488" s="12" customFormat="1" x14ac:dyDescent="0.25"/>
    <row r="25489" s="12" customFormat="1" x14ac:dyDescent="0.25"/>
    <row r="25490" s="12" customFormat="1" x14ac:dyDescent="0.25"/>
    <row r="25491" s="12" customFormat="1" x14ac:dyDescent="0.25"/>
    <row r="25492" s="12" customFormat="1" x14ac:dyDescent="0.25"/>
    <row r="25493" s="12" customFormat="1" x14ac:dyDescent="0.25"/>
    <row r="25494" s="12" customFormat="1" x14ac:dyDescent="0.25"/>
    <row r="25495" s="12" customFormat="1" x14ac:dyDescent="0.25"/>
    <row r="25496" s="12" customFormat="1" x14ac:dyDescent="0.25"/>
    <row r="25497" s="12" customFormat="1" x14ac:dyDescent="0.25"/>
    <row r="25498" s="12" customFormat="1" x14ac:dyDescent="0.25"/>
    <row r="25499" s="12" customFormat="1" x14ac:dyDescent="0.25"/>
    <row r="25500" s="12" customFormat="1" x14ac:dyDescent="0.25"/>
    <row r="25501" s="12" customFormat="1" x14ac:dyDescent="0.25"/>
    <row r="25502" s="12" customFormat="1" x14ac:dyDescent="0.25"/>
    <row r="25503" s="12" customFormat="1" x14ac:dyDescent="0.25"/>
    <row r="25504" s="12" customFormat="1" x14ac:dyDescent="0.25"/>
    <row r="25505" s="12" customFormat="1" x14ac:dyDescent="0.25"/>
    <row r="25506" s="12" customFormat="1" x14ac:dyDescent="0.25"/>
    <row r="25507" s="12" customFormat="1" x14ac:dyDescent="0.25"/>
    <row r="25508" s="12" customFormat="1" x14ac:dyDescent="0.25"/>
    <row r="25509" s="12" customFormat="1" x14ac:dyDescent="0.25"/>
    <row r="25510" s="12" customFormat="1" x14ac:dyDescent="0.25"/>
    <row r="25511" s="12" customFormat="1" x14ac:dyDescent="0.25"/>
    <row r="25512" s="12" customFormat="1" x14ac:dyDescent="0.25"/>
    <row r="25513" s="12" customFormat="1" x14ac:dyDescent="0.25"/>
    <row r="25514" s="12" customFormat="1" x14ac:dyDescent="0.25"/>
    <row r="25515" s="12" customFormat="1" x14ac:dyDescent="0.25"/>
    <row r="25516" s="12" customFormat="1" x14ac:dyDescent="0.25"/>
    <row r="25517" s="12" customFormat="1" x14ac:dyDescent="0.25"/>
    <row r="25518" s="12" customFormat="1" x14ac:dyDescent="0.25"/>
    <row r="25519" s="12" customFormat="1" x14ac:dyDescent="0.25"/>
    <row r="25520" s="12" customFormat="1" x14ac:dyDescent="0.25"/>
    <row r="25521" s="12" customFormat="1" x14ac:dyDescent="0.25"/>
    <row r="25522" s="12" customFormat="1" x14ac:dyDescent="0.25"/>
    <row r="25523" s="12" customFormat="1" x14ac:dyDescent="0.25"/>
    <row r="25524" s="12" customFormat="1" x14ac:dyDescent="0.25"/>
    <row r="25525" s="12" customFormat="1" x14ac:dyDescent="0.25"/>
    <row r="25526" s="12" customFormat="1" x14ac:dyDescent="0.25"/>
    <row r="25527" s="12" customFormat="1" x14ac:dyDescent="0.25"/>
    <row r="25528" s="12" customFormat="1" x14ac:dyDescent="0.25"/>
    <row r="25529" s="12" customFormat="1" x14ac:dyDescent="0.25"/>
    <row r="25530" s="12" customFormat="1" x14ac:dyDescent="0.25"/>
    <row r="25531" s="12" customFormat="1" x14ac:dyDescent="0.25"/>
    <row r="25532" s="12" customFormat="1" x14ac:dyDescent="0.25"/>
    <row r="25533" s="12" customFormat="1" x14ac:dyDescent="0.25"/>
    <row r="25534" s="12" customFormat="1" x14ac:dyDescent="0.25"/>
    <row r="25535" s="12" customFormat="1" x14ac:dyDescent="0.25"/>
    <row r="25536" s="12" customFormat="1" x14ac:dyDescent="0.25"/>
    <row r="25537" s="12" customFormat="1" x14ac:dyDescent="0.25"/>
    <row r="25538" s="12" customFormat="1" x14ac:dyDescent="0.25"/>
    <row r="25539" s="12" customFormat="1" x14ac:dyDescent="0.25"/>
    <row r="25540" s="12" customFormat="1" x14ac:dyDescent="0.25"/>
    <row r="25541" s="12" customFormat="1" x14ac:dyDescent="0.25"/>
    <row r="25542" s="12" customFormat="1" x14ac:dyDescent="0.25"/>
    <row r="25543" s="12" customFormat="1" x14ac:dyDescent="0.25"/>
    <row r="25544" s="12" customFormat="1" x14ac:dyDescent="0.25"/>
    <row r="25545" s="12" customFormat="1" x14ac:dyDescent="0.25"/>
    <row r="25546" s="12" customFormat="1" x14ac:dyDescent="0.25"/>
    <row r="25547" s="12" customFormat="1" x14ac:dyDescent="0.25"/>
    <row r="25548" s="12" customFormat="1" x14ac:dyDescent="0.25"/>
    <row r="25549" s="12" customFormat="1" x14ac:dyDescent="0.25"/>
    <row r="25550" s="12" customFormat="1" x14ac:dyDescent="0.25"/>
    <row r="25551" s="12" customFormat="1" x14ac:dyDescent="0.25"/>
    <row r="25552" s="12" customFormat="1" x14ac:dyDescent="0.25"/>
    <row r="25553" s="12" customFormat="1" x14ac:dyDescent="0.25"/>
    <row r="25554" s="12" customFormat="1" x14ac:dyDescent="0.25"/>
    <row r="25555" s="12" customFormat="1" x14ac:dyDescent="0.25"/>
    <row r="25556" s="12" customFormat="1" x14ac:dyDescent="0.25"/>
    <row r="25557" s="12" customFormat="1" x14ac:dyDescent="0.25"/>
    <row r="25558" s="12" customFormat="1" x14ac:dyDescent="0.25"/>
    <row r="25559" s="12" customFormat="1" x14ac:dyDescent="0.25"/>
    <row r="25560" s="12" customFormat="1" x14ac:dyDescent="0.25"/>
    <row r="25561" s="12" customFormat="1" x14ac:dyDescent="0.25"/>
    <row r="25562" s="12" customFormat="1" x14ac:dyDescent="0.25"/>
    <row r="25563" s="12" customFormat="1" x14ac:dyDescent="0.25"/>
    <row r="25564" s="12" customFormat="1" x14ac:dyDescent="0.25"/>
    <row r="25565" s="12" customFormat="1" x14ac:dyDescent="0.25"/>
    <row r="25566" s="12" customFormat="1" x14ac:dyDescent="0.25"/>
    <row r="25567" s="12" customFormat="1" x14ac:dyDescent="0.25"/>
    <row r="25568" s="12" customFormat="1" x14ac:dyDescent="0.25"/>
    <row r="25569" s="12" customFormat="1" x14ac:dyDescent="0.25"/>
    <row r="25570" s="12" customFormat="1" x14ac:dyDescent="0.25"/>
    <row r="25571" s="12" customFormat="1" x14ac:dyDescent="0.25"/>
    <row r="25572" s="12" customFormat="1" x14ac:dyDescent="0.25"/>
    <row r="25573" s="12" customFormat="1" x14ac:dyDescent="0.25"/>
    <row r="25574" s="12" customFormat="1" x14ac:dyDescent="0.25"/>
    <row r="25575" s="12" customFormat="1" x14ac:dyDescent="0.25"/>
    <row r="25576" s="12" customFormat="1" x14ac:dyDescent="0.25"/>
    <row r="25577" s="12" customFormat="1" x14ac:dyDescent="0.25"/>
    <row r="25578" s="12" customFormat="1" x14ac:dyDescent="0.25"/>
    <row r="25579" s="12" customFormat="1" x14ac:dyDescent="0.25"/>
    <row r="25580" s="12" customFormat="1" x14ac:dyDescent="0.25"/>
    <row r="25581" s="12" customFormat="1" x14ac:dyDescent="0.25"/>
    <row r="25582" s="12" customFormat="1" x14ac:dyDescent="0.25"/>
    <row r="25583" s="12" customFormat="1" x14ac:dyDescent="0.25"/>
    <row r="25584" s="12" customFormat="1" x14ac:dyDescent="0.25"/>
    <row r="25585" s="12" customFormat="1" x14ac:dyDescent="0.25"/>
    <row r="25586" s="12" customFormat="1" x14ac:dyDescent="0.25"/>
    <row r="25587" s="12" customFormat="1" x14ac:dyDescent="0.25"/>
    <row r="25588" s="12" customFormat="1" x14ac:dyDescent="0.25"/>
    <row r="25589" s="12" customFormat="1" x14ac:dyDescent="0.25"/>
    <row r="25590" s="12" customFormat="1" x14ac:dyDescent="0.25"/>
    <row r="25591" s="12" customFormat="1" x14ac:dyDescent="0.25"/>
    <row r="25592" s="12" customFormat="1" x14ac:dyDescent="0.25"/>
    <row r="25593" s="12" customFormat="1" x14ac:dyDescent="0.25"/>
    <row r="25594" s="12" customFormat="1" x14ac:dyDescent="0.25"/>
    <row r="25595" s="12" customFormat="1" x14ac:dyDescent="0.25"/>
    <row r="25596" s="12" customFormat="1" x14ac:dyDescent="0.25"/>
    <row r="25597" s="12" customFormat="1" x14ac:dyDescent="0.25"/>
    <row r="25598" s="12" customFormat="1" x14ac:dyDescent="0.25"/>
    <row r="25599" s="12" customFormat="1" x14ac:dyDescent="0.25"/>
    <row r="25600" s="12" customFormat="1" x14ac:dyDescent="0.25"/>
    <row r="25601" s="12" customFormat="1" x14ac:dyDescent="0.25"/>
    <row r="25602" s="12" customFormat="1" x14ac:dyDescent="0.25"/>
    <row r="25603" s="12" customFormat="1" x14ac:dyDescent="0.25"/>
    <row r="25604" s="12" customFormat="1" x14ac:dyDescent="0.25"/>
    <row r="25605" s="12" customFormat="1" x14ac:dyDescent="0.25"/>
    <row r="25606" s="12" customFormat="1" x14ac:dyDescent="0.25"/>
    <row r="25607" s="12" customFormat="1" x14ac:dyDescent="0.25"/>
    <row r="25608" s="12" customFormat="1" x14ac:dyDescent="0.25"/>
    <row r="25609" s="12" customFormat="1" x14ac:dyDescent="0.25"/>
    <row r="25610" s="12" customFormat="1" x14ac:dyDescent="0.25"/>
    <row r="25611" s="12" customFormat="1" x14ac:dyDescent="0.25"/>
    <row r="25612" s="12" customFormat="1" x14ac:dyDescent="0.25"/>
    <row r="25613" s="12" customFormat="1" x14ac:dyDescent="0.25"/>
    <row r="25614" s="12" customFormat="1" x14ac:dyDescent="0.25"/>
    <row r="25615" s="12" customFormat="1" x14ac:dyDescent="0.25"/>
    <row r="25616" s="12" customFormat="1" x14ac:dyDescent="0.25"/>
    <row r="25617" s="12" customFormat="1" x14ac:dyDescent="0.25"/>
    <row r="25618" s="12" customFormat="1" x14ac:dyDescent="0.25"/>
    <row r="25619" s="12" customFormat="1" x14ac:dyDescent="0.25"/>
    <row r="25620" s="12" customFormat="1" x14ac:dyDescent="0.25"/>
    <row r="25621" s="12" customFormat="1" x14ac:dyDescent="0.25"/>
    <row r="25622" s="12" customFormat="1" x14ac:dyDescent="0.25"/>
    <row r="25623" s="12" customFormat="1" x14ac:dyDescent="0.25"/>
    <row r="25624" s="12" customFormat="1" x14ac:dyDescent="0.25"/>
    <row r="25625" s="12" customFormat="1" x14ac:dyDescent="0.25"/>
    <row r="25626" s="12" customFormat="1" x14ac:dyDescent="0.25"/>
    <row r="25627" s="12" customFormat="1" x14ac:dyDescent="0.25"/>
    <row r="25628" s="12" customFormat="1" x14ac:dyDescent="0.25"/>
    <row r="25629" s="12" customFormat="1" x14ac:dyDescent="0.25"/>
    <row r="25630" s="12" customFormat="1" x14ac:dyDescent="0.25"/>
    <row r="25631" s="12" customFormat="1" x14ac:dyDescent="0.25"/>
    <row r="25632" s="12" customFormat="1" x14ac:dyDescent="0.25"/>
    <row r="25633" s="12" customFormat="1" x14ac:dyDescent="0.25"/>
    <row r="25634" s="12" customFormat="1" x14ac:dyDescent="0.25"/>
    <row r="25635" s="12" customFormat="1" x14ac:dyDescent="0.25"/>
    <row r="25636" s="12" customFormat="1" x14ac:dyDescent="0.25"/>
    <row r="25637" s="12" customFormat="1" x14ac:dyDescent="0.25"/>
    <row r="25638" s="12" customFormat="1" x14ac:dyDescent="0.25"/>
    <row r="25639" s="12" customFormat="1" x14ac:dyDescent="0.25"/>
    <row r="25640" s="12" customFormat="1" x14ac:dyDescent="0.25"/>
    <row r="25641" s="12" customFormat="1" x14ac:dyDescent="0.25"/>
    <row r="25642" s="12" customFormat="1" x14ac:dyDescent="0.25"/>
    <row r="25643" s="12" customFormat="1" x14ac:dyDescent="0.25"/>
    <row r="25644" s="12" customFormat="1" x14ac:dyDescent="0.25"/>
    <row r="25645" s="12" customFormat="1" x14ac:dyDescent="0.25"/>
    <row r="25646" s="12" customFormat="1" x14ac:dyDescent="0.25"/>
    <row r="25647" s="12" customFormat="1" x14ac:dyDescent="0.25"/>
    <row r="25648" s="12" customFormat="1" x14ac:dyDescent="0.25"/>
    <row r="25649" s="12" customFormat="1" x14ac:dyDescent="0.25"/>
    <row r="25650" s="12" customFormat="1" x14ac:dyDescent="0.25"/>
    <row r="25651" s="12" customFormat="1" x14ac:dyDescent="0.25"/>
    <row r="25652" s="12" customFormat="1" x14ac:dyDescent="0.25"/>
    <row r="25653" s="12" customFormat="1" x14ac:dyDescent="0.25"/>
    <row r="25654" s="12" customFormat="1" x14ac:dyDescent="0.25"/>
    <row r="25655" s="12" customFormat="1" x14ac:dyDescent="0.25"/>
    <row r="25656" s="12" customFormat="1" x14ac:dyDescent="0.25"/>
    <row r="25657" s="12" customFormat="1" x14ac:dyDescent="0.25"/>
    <row r="25658" s="12" customFormat="1" x14ac:dyDescent="0.25"/>
    <row r="25659" s="12" customFormat="1" x14ac:dyDescent="0.25"/>
    <row r="25660" s="12" customFormat="1" x14ac:dyDescent="0.25"/>
    <row r="25661" s="12" customFormat="1" x14ac:dyDescent="0.25"/>
    <row r="25662" s="12" customFormat="1" x14ac:dyDescent="0.25"/>
    <row r="25663" s="12" customFormat="1" x14ac:dyDescent="0.25"/>
    <row r="25664" s="12" customFormat="1" x14ac:dyDescent="0.25"/>
    <row r="25665" s="12" customFormat="1" x14ac:dyDescent="0.25"/>
    <row r="25666" s="12" customFormat="1" x14ac:dyDescent="0.25"/>
    <row r="25667" s="12" customFormat="1" x14ac:dyDescent="0.25"/>
    <row r="25668" s="12" customFormat="1" x14ac:dyDescent="0.25"/>
    <row r="25669" s="12" customFormat="1" x14ac:dyDescent="0.25"/>
    <row r="25670" s="12" customFormat="1" x14ac:dyDescent="0.25"/>
    <row r="25671" s="12" customFormat="1" x14ac:dyDescent="0.25"/>
    <row r="25672" s="12" customFormat="1" x14ac:dyDescent="0.25"/>
    <row r="25673" s="12" customFormat="1" x14ac:dyDescent="0.25"/>
    <row r="25674" s="12" customFormat="1" x14ac:dyDescent="0.25"/>
    <row r="25675" s="12" customFormat="1" x14ac:dyDescent="0.25"/>
    <row r="25676" s="12" customFormat="1" x14ac:dyDescent="0.25"/>
    <row r="25677" s="12" customFormat="1" x14ac:dyDescent="0.25"/>
    <row r="25678" s="12" customFormat="1" x14ac:dyDescent="0.25"/>
    <row r="25679" s="12" customFormat="1" x14ac:dyDescent="0.25"/>
    <row r="25680" s="12" customFormat="1" x14ac:dyDescent="0.25"/>
    <row r="25681" s="12" customFormat="1" x14ac:dyDescent="0.25"/>
    <row r="25682" s="12" customFormat="1" x14ac:dyDescent="0.25"/>
    <row r="25683" s="12" customFormat="1" x14ac:dyDescent="0.25"/>
    <row r="25684" s="12" customFormat="1" x14ac:dyDescent="0.25"/>
    <row r="25685" s="12" customFormat="1" x14ac:dyDescent="0.25"/>
    <row r="25686" s="12" customFormat="1" x14ac:dyDescent="0.25"/>
    <row r="25687" s="12" customFormat="1" x14ac:dyDescent="0.25"/>
    <row r="25688" s="12" customFormat="1" x14ac:dyDescent="0.25"/>
    <row r="25689" s="12" customFormat="1" x14ac:dyDescent="0.25"/>
    <row r="25690" s="12" customFormat="1" x14ac:dyDescent="0.25"/>
    <row r="25691" s="12" customFormat="1" x14ac:dyDescent="0.25"/>
    <row r="25692" s="12" customFormat="1" x14ac:dyDescent="0.25"/>
    <row r="25693" s="12" customFormat="1" x14ac:dyDescent="0.25"/>
    <row r="25694" s="12" customFormat="1" x14ac:dyDescent="0.25"/>
    <row r="25695" s="12" customFormat="1" x14ac:dyDescent="0.25"/>
    <row r="25696" s="12" customFormat="1" x14ac:dyDescent="0.25"/>
    <row r="25697" s="12" customFormat="1" x14ac:dyDescent="0.25"/>
    <row r="25698" s="12" customFormat="1" x14ac:dyDescent="0.25"/>
    <row r="25699" s="12" customFormat="1" x14ac:dyDescent="0.25"/>
    <row r="25700" s="12" customFormat="1" x14ac:dyDescent="0.25"/>
    <row r="25701" s="12" customFormat="1" x14ac:dyDescent="0.25"/>
    <row r="25702" s="12" customFormat="1" x14ac:dyDescent="0.25"/>
    <row r="25703" s="12" customFormat="1" x14ac:dyDescent="0.25"/>
    <row r="25704" s="12" customFormat="1" x14ac:dyDescent="0.25"/>
    <row r="25705" s="12" customFormat="1" x14ac:dyDescent="0.25"/>
    <row r="25706" s="12" customFormat="1" x14ac:dyDescent="0.25"/>
    <row r="25707" s="12" customFormat="1" x14ac:dyDescent="0.25"/>
    <row r="25708" s="12" customFormat="1" x14ac:dyDescent="0.25"/>
    <row r="25709" s="12" customFormat="1" x14ac:dyDescent="0.25"/>
    <row r="25710" s="12" customFormat="1" x14ac:dyDescent="0.25"/>
    <row r="25711" s="12" customFormat="1" x14ac:dyDescent="0.25"/>
    <row r="25712" s="12" customFormat="1" x14ac:dyDescent="0.25"/>
    <row r="25713" s="12" customFormat="1" x14ac:dyDescent="0.25"/>
    <row r="25714" s="12" customFormat="1" x14ac:dyDescent="0.25"/>
    <row r="25715" s="12" customFormat="1" x14ac:dyDescent="0.25"/>
    <row r="25716" s="12" customFormat="1" x14ac:dyDescent="0.25"/>
    <row r="25717" s="12" customFormat="1" x14ac:dyDescent="0.25"/>
    <row r="25718" s="12" customFormat="1" x14ac:dyDescent="0.25"/>
    <row r="25719" s="12" customFormat="1" x14ac:dyDescent="0.25"/>
    <row r="25720" s="12" customFormat="1" x14ac:dyDescent="0.25"/>
    <row r="25721" s="12" customFormat="1" x14ac:dyDescent="0.25"/>
    <row r="25722" s="12" customFormat="1" x14ac:dyDescent="0.25"/>
    <row r="25723" s="12" customFormat="1" x14ac:dyDescent="0.25"/>
    <row r="25724" s="12" customFormat="1" x14ac:dyDescent="0.25"/>
    <row r="25725" s="12" customFormat="1" x14ac:dyDescent="0.25"/>
    <row r="25726" s="12" customFormat="1" x14ac:dyDescent="0.25"/>
    <row r="25727" s="12" customFormat="1" x14ac:dyDescent="0.25"/>
    <row r="25728" s="12" customFormat="1" x14ac:dyDescent="0.25"/>
    <row r="25729" s="12" customFormat="1" x14ac:dyDescent="0.25"/>
    <row r="25730" s="12" customFormat="1" x14ac:dyDescent="0.25"/>
    <row r="25731" s="12" customFormat="1" x14ac:dyDescent="0.25"/>
    <row r="25732" s="12" customFormat="1" x14ac:dyDescent="0.25"/>
    <row r="25733" s="12" customFormat="1" x14ac:dyDescent="0.25"/>
    <row r="25734" s="12" customFormat="1" x14ac:dyDescent="0.25"/>
    <row r="25735" s="12" customFormat="1" x14ac:dyDescent="0.25"/>
    <row r="25736" s="12" customFormat="1" x14ac:dyDescent="0.25"/>
    <row r="25737" s="12" customFormat="1" x14ac:dyDescent="0.25"/>
    <row r="25738" s="12" customFormat="1" x14ac:dyDescent="0.25"/>
    <row r="25739" s="12" customFormat="1" x14ac:dyDescent="0.25"/>
    <row r="25740" s="12" customFormat="1" x14ac:dyDescent="0.25"/>
    <row r="25741" s="12" customFormat="1" x14ac:dyDescent="0.25"/>
    <row r="25742" s="12" customFormat="1" x14ac:dyDescent="0.25"/>
    <row r="25743" s="12" customFormat="1" x14ac:dyDescent="0.25"/>
    <row r="25744" s="12" customFormat="1" x14ac:dyDescent="0.25"/>
    <row r="25745" s="12" customFormat="1" x14ac:dyDescent="0.25"/>
    <row r="25746" s="12" customFormat="1" x14ac:dyDescent="0.25"/>
    <row r="25747" s="12" customFormat="1" x14ac:dyDescent="0.25"/>
    <row r="25748" s="12" customFormat="1" x14ac:dyDescent="0.25"/>
    <row r="25749" s="12" customFormat="1" x14ac:dyDescent="0.25"/>
    <row r="25750" s="12" customFormat="1" x14ac:dyDescent="0.25"/>
    <row r="25751" s="12" customFormat="1" x14ac:dyDescent="0.25"/>
    <row r="25752" s="12" customFormat="1" x14ac:dyDescent="0.25"/>
    <row r="25753" s="12" customFormat="1" x14ac:dyDescent="0.25"/>
    <row r="25754" s="12" customFormat="1" x14ac:dyDescent="0.25"/>
    <row r="25755" s="12" customFormat="1" x14ac:dyDescent="0.25"/>
    <row r="25756" s="12" customFormat="1" x14ac:dyDescent="0.25"/>
    <row r="25757" s="12" customFormat="1" x14ac:dyDescent="0.25"/>
    <row r="25758" s="12" customFormat="1" x14ac:dyDescent="0.25"/>
    <row r="25759" s="12" customFormat="1" x14ac:dyDescent="0.25"/>
    <row r="25760" s="12" customFormat="1" x14ac:dyDescent="0.25"/>
    <row r="25761" s="12" customFormat="1" x14ac:dyDescent="0.25"/>
    <row r="25762" s="12" customFormat="1" x14ac:dyDescent="0.25"/>
    <row r="25763" s="12" customFormat="1" x14ac:dyDescent="0.25"/>
    <row r="25764" s="12" customFormat="1" x14ac:dyDescent="0.25"/>
    <row r="25765" s="12" customFormat="1" x14ac:dyDescent="0.25"/>
    <row r="25766" s="12" customFormat="1" x14ac:dyDescent="0.25"/>
    <row r="25767" s="12" customFormat="1" x14ac:dyDescent="0.25"/>
    <row r="25768" s="12" customFormat="1" x14ac:dyDescent="0.25"/>
    <row r="25769" s="12" customFormat="1" x14ac:dyDescent="0.25"/>
    <row r="25770" s="12" customFormat="1" x14ac:dyDescent="0.25"/>
    <row r="25771" s="12" customFormat="1" x14ac:dyDescent="0.25"/>
    <row r="25772" s="12" customFormat="1" x14ac:dyDescent="0.25"/>
    <row r="25773" s="12" customFormat="1" x14ac:dyDescent="0.25"/>
    <row r="25774" s="12" customFormat="1" x14ac:dyDescent="0.25"/>
    <row r="25775" s="12" customFormat="1" x14ac:dyDescent="0.25"/>
    <row r="25776" s="12" customFormat="1" x14ac:dyDescent="0.25"/>
    <row r="25777" s="12" customFormat="1" x14ac:dyDescent="0.25"/>
    <row r="25778" s="12" customFormat="1" x14ac:dyDescent="0.25"/>
    <row r="25779" s="12" customFormat="1" x14ac:dyDescent="0.25"/>
    <row r="25780" s="12" customFormat="1" x14ac:dyDescent="0.25"/>
    <row r="25781" s="12" customFormat="1" x14ac:dyDescent="0.25"/>
    <row r="25782" s="12" customFormat="1" x14ac:dyDescent="0.25"/>
    <row r="25783" s="12" customFormat="1" x14ac:dyDescent="0.25"/>
    <row r="25784" s="12" customFormat="1" x14ac:dyDescent="0.25"/>
    <row r="25785" s="12" customFormat="1" x14ac:dyDescent="0.25"/>
    <row r="25786" s="12" customFormat="1" x14ac:dyDescent="0.25"/>
    <row r="25787" s="12" customFormat="1" x14ac:dyDescent="0.25"/>
    <row r="25788" s="12" customFormat="1" x14ac:dyDescent="0.25"/>
    <row r="25789" s="12" customFormat="1" x14ac:dyDescent="0.25"/>
    <row r="25790" s="12" customFormat="1" x14ac:dyDescent="0.25"/>
    <row r="25791" s="12" customFormat="1" x14ac:dyDescent="0.25"/>
    <row r="25792" s="12" customFormat="1" x14ac:dyDescent="0.25"/>
    <row r="25793" s="12" customFormat="1" x14ac:dyDescent="0.25"/>
    <row r="25794" s="12" customFormat="1" x14ac:dyDescent="0.25"/>
    <row r="25795" s="12" customFormat="1" x14ac:dyDescent="0.25"/>
    <row r="25796" s="12" customFormat="1" x14ac:dyDescent="0.25"/>
    <row r="25797" s="12" customFormat="1" x14ac:dyDescent="0.25"/>
    <row r="25798" s="12" customFormat="1" x14ac:dyDescent="0.25"/>
    <row r="25799" s="12" customFormat="1" x14ac:dyDescent="0.25"/>
    <row r="25800" s="12" customFormat="1" x14ac:dyDescent="0.25"/>
    <row r="25801" s="12" customFormat="1" x14ac:dyDescent="0.25"/>
    <row r="25802" s="12" customFormat="1" x14ac:dyDescent="0.25"/>
    <row r="25803" s="12" customFormat="1" x14ac:dyDescent="0.25"/>
    <row r="25804" s="12" customFormat="1" x14ac:dyDescent="0.25"/>
    <row r="25805" s="12" customFormat="1" x14ac:dyDescent="0.25"/>
    <row r="25806" s="12" customFormat="1" x14ac:dyDescent="0.25"/>
    <row r="25807" s="12" customFormat="1" x14ac:dyDescent="0.25"/>
    <row r="25808" s="12" customFormat="1" x14ac:dyDescent="0.25"/>
    <row r="25809" s="12" customFormat="1" x14ac:dyDescent="0.25"/>
    <row r="25810" s="12" customFormat="1" x14ac:dyDescent="0.25"/>
    <row r="25811" s="12" customFormat="1" x14ac:dyDescent="0.25"/>
    <row r="25812" s="12" customFormat="1" x14ac:dyDescent="0.25"/>
    <row r="25813" s="12" customFormat="1" x14ac:dyDescent="0.25"/>
    <row r="25814" s="12" customFormat="1" x14ac:dyDescent="0.25"/>
    <row r="25815" s="12" customFormat="1" x14ac:dyDescent="0.25"/>
    <row r="25816" s="12" customFormat="1" x14ac:dyDescent="0.25"/>
    <row r="25817" s="12" customFormat="1" x14ac:dyDescent="0.25"/>
    <row r="25818" s="12" customFormat="1" x14ac:dyDescent="0.25"/>
    <row r="25819" s="12" customFormat="1" x14ac:dyDescent="0.25"/>
    <row r="25820" s="12" customFormat="1" x14ac:dyDescent="0.25"/>
    <row r="25821" s="12" customFormat="1" x14ac:dyDescent="0.25"/>
    <row r="25822" s="12" customFormat="1" x14ac:dyDescent="0.25"/>
    <row r="25823" s="12" customFormat="1" x14ac:dyDescent="0.25"/>
    <row r="25824" s="12" customFormat="1" x14ac:dyDescent="0.25"/>
    <row r="25825" s="12" customFormat="1" x14ac:dyDescent="0.25"/>
    <row r="25826" s="12" customFormat="1" x14ac:dyDescent="0.25"/>
    <row r="25827" s="12" customFormat="1" x14ac:dyDescent="0.25"/>
    <row r="25828" s="12" customFormat="1" x14ac:dyDescent="0.25"/>
    <row r="25829" s="12" customFormat="1" x14ac:dyDescent="0.25"/>
    <row r="25830" s="12" customFormat="1" x14ac:dyDescent="0.25"/>
    <row r="25831" s="12" customFormat="1" x14ac:dyDescent="0.25"/>
    <row r="25832" s="12" customFormat="1" x14ac:dyDescent="0.25"/>
    <row r="25833" s="12" customFormat="1" x14ac:dyDescent="0.25"/>
    <row r="25834" s="12" customFormat="1" x14ac:dyDescent="0.25"/>
    <row r="25835" s="12" customFormat="1" x14ac:dyDescent="0.25"/>
    <row r="25836" s="12" customFormat="1" x14ac:dyDescent="0.25"/>
    <row r="25837" s="12" customFormat="1" x14ac:dyDescent="0.25"/>
    <row r="25838" s="12" customFormat="1" x14ac:dyDescent="0.25"/>
    <row r="25839" s="12" customFormat="1" x14ac:dyDescent="0.25"/>
    <row r="25840" s="12" customFormat="1" x14ac:dyDescent="0.25"/>
    <row r="25841" s="12" customFormat="1" x14ac:dyDescent="0.25"/>
    <row r="25842" s="12" customFormat="1" x14ac:dyDescent="0.25"/>
    <row r="25843" s="12" customFormat="1" x14ac:dyDescent="0.25"/>
    <row r="25844" s="12" customFormat="1" x14ac:dyDescent="0.25"/>
    <row r="25845" s="12" customFormat="1" x14ac:dyDescent="0.25"/>
    <row r="25846" s="12" customFormat="1" x14ac:dyDescent="0.25"/>
    <row r="25847" s="12" customFormat="1" x14ac:dyDescent="0.25"/>
    <row r="25848" s="12" customFormat="1" x14ac:dyDescent="0.25"/>
    <row r="25849" s="12" customFormat="1" x14ac:dyDescent="0.25"/>
    <row r="25850" s="12" customFormat="1" x14ac:dyDescent="0.25"/>
    <row r="25851" s="12" customFormat="1" x14ac:dyDescent="0.25"/>
    <row r="25852" s="12" customFormat="1" x14ac:dyDescent="0.25"/>
    <row r="25853" s="12" customFormat="1" x14ac:dyDescent="0.25"/>
    <row r="25854" s="12" customFormat="1" x14ac:dyDescent="0.25"/>
    <row r="25855" s="12" customFormat="1" x14ac:dyDescent="0.25"/>
    <row r="25856" s="12" customFormat="1" x14ac:dyDescent="0.25"/>
    <row r="25857" s="12" customFormat="1" x14ac:dyDescent="0.25"/>
    <row r="25858" s="12" customFormat="1" x14ac:dyDescent="0.25"/>
    <row r="25859" s="12" customFormat="1" x14ac:dyDescent="0.25"/>
    <row r="25860" s="12" customFormat="1" x14ac:dyDescent="0.25"/>
    <row r="25861" s="12" customFormat="1" x14ac:dyDescent="0.25"/>
    <row r="25862" s="12" customFormat="1" x14ac:dyDescent="0.25"/>
    <row r="25863" s="12" customFormat="1" x14ac:dyDescent="0.25"/>
    <row r="25864" s="12" customFormat="1" x14ac:dyDescent="0.25"/>
    <row r="25865" s="12" customFormat="1" x14ac:dyDescent="0.25"/>
    <row r="25866" s="12" customFormat="1" x14ac:dyDescent="0.25"/>
    <row r="25867" s="12" customFormat="1" x14ac:dyDescent="0.25"/>
    <row r="25868" s="12" customFormat="1" x14ac:dyDescent="0.25"/>
    <row r="25869" s="12" customFormat="1" x14ac:dyDescent="0.25"/>
    <row r="25870" s="12" customFormat="1" x14ac:dyDescent="0.25"/>
    <row r="25871" s="12" customFormat="1" x14ac:dyDescent="0.25"/>
    <row r="25872" s="12" customFormat="1" x14ac:dyDescent="0.25"/>
    <row r="25873" s="12" customFormat="1" x14ac:dyDescent="0.25"/>
    <row r="25874" s="12" customFormat="1" x14ac:dyDescent="0.25"/>
    <row r="25875" s="12" customFormat="1" x14ac:dyDescent="0.25"/>
    <row r="25876" s="12" customFormat="1" x14ac:dyDescent="0.25"/>
    <row r="25877" s="12" customFormat="1" x14ac:dyDescent="0.25"/>
    <row r="25878" s="12" customFormat="1" x14ac:dyDescent="0.25"/>
    <row r="25879" s="12" customFormat="1" x14ac:dyDescent="0.25"/>
    <row r="25880" s="12" customFormat="1" x14ac:dyDescent="0.25"/>
    <row r="25881" s="12" customFormat="1" x14ac:dyDescent="0.25"/>
    <row r="25882" s="12" customFormat="1" x14ac:dyDescent="0.25"/>
    <row r="25883" s="12" customFormat="1" x14ac:dyDescent="0.25"/>
    <row r="25884" s="12" customFormat="1" x14ac:dyDescent="0.25"/>
    <row r="25885" s="12" customFormat="1" x14ac:dyDescent="0.25"/>
    <row r="25886" s="12" customFormat="1" x14ac:dyDescent="0.25"/>
    <row r="25887" s="12" customFormat="1" x14ac:dyDescent="0.25"/>
    <row r="25888" s="12" customFormat="1" x14ac:dyDescent="0.25"/>
    <row r="25889" s="12" customFormat="1" x14ac:dyDescent="0.25"/>
    <row r="25890" s="12" customFormat="1" x14ac:dyDescent="0.25"/>
    <row r="25891" s="12" customFormat="1" x14ac:dyDescent="0.25"/>
    <row r="25892" s="12" customFormat="1" x14ac:dyDescent="0.25"/>
    <row r="25893" s="12" customFormat="1" x14ac:dyDescent="0.25"/>
    <row r="25894" s="12" customFormat="1" x14ac:dyDescent="0.25"/>
    <row r="25895" s="12" customFormat="1" x14ac:dyDescent="0.25"/>
    <row r="25896" s="12" customFormat="1" x14ac:dyDescent="0.25"/>
    <row r="25897" s="12" customFormat="1" x14ac:dyDescent="0.25"/>
    <row r="25898" s="12" customFormat="1" x14ac:dyDescent="0.25"/>
    <row r="25899" s="12" customFormat="1" x14ac:dyDescent="0.25"/>
    <row r="25900" s="12" customFormat="1" x14ac:dyDescent="0.25"/>
    <row r="25901" s="12" customFormat="1" x14ac:dyDescent="0.25"/>
    <row r="25902" s="12" customFormat="1" x14ac:dyDescent="0.25"/>
    <row r="25903" s="12" customFormat="1" x14ac:dyDescent="0.25"/>
    <row r="25904" s="12" customFormat="1" x14ac:dyDescent="0.25"/>
    <row r="25905" s="12" customFormat="1" x14ac:dyDescent="0.25"/>
    <row r="25906" s="12" customFormat="1" x14ac:dyDescent="0.25"/>
    <row r="25907" s="12" customFormat="1" x14ac:dyDescent="0.25"/>
    <row r="25908" s="12" customFormat="1" x14ac:dyDescent="0.25"/>
    <row r="25909" s="12" customFormat="1" x14ac:dyDescent="0.25"/>
    <row r="25910" s="12" customFormat="1" x14ac:dyDescent="0.25"/>
    <row r="25911" s="12" customFormat="1" x14ac:dyDescent="0.25"/>
    <row r="25912" s="12" customFormat="1" x14ac:dyDescent="0.25"/>
    <row r="25913" s="12" customFormat="1" x14ac:dyDescent="0.25"/>
    <row r="25914" s="12" customFormat="1" x14ac:dyDescent="0.25"/>
    <row r="25915" s="12" customFormat="1" x14ac:dyDescent="0.25"/>
    <row r="25916" s="12" customFormat="1" x14ac:dyDescent="0.25"/>
    <row r="25917" s="12" customFormat="1" x14ac:dyDescent="0.25"/>
    <row r="25918" s="12" customFormat="1" x14ac:dyDescent="0.25"/>
    <row r="25919" s="12" customFormat="1" x14ac:dyDescent="0.25"/>
    <row r="25920" s="12" customFormat="1" x14ac:dyDescent="0.25"/>
    <row r="25921" s="12" customFormat="1" x14ac:dyDescent="0.25"/>
    <row r="25922" s="12" customFormat="1" x14ac:dyDescent="0.25"/>
    <row r="25923" s="12" customFormat="1" x14ac:dyDescent="0.25"/>
    <row r="25924" s="12" customFormat="1" x14ac:dyDescent="0.25"/>
    <row r="25925" s="12" customFormat="1" x14ac:dyDescent="0.25"/>
    <row r="25926" s="12" customFormat="1" x14ac:dyDescent="0.25"/>
    <row r="25927" s="12" customFormat="1" x14ac:dyDescent="0.25"/>
    <row r="25928" s="12" customFormat="1" x14ac:dyDescent="0.25"/>
    <row r="25929" s="12" customFormat="1" x14ac:dyDescent="0.25"/>
    <row r="25930" s="12" customFormat="1" x14ac:dyDescent="0.25"/>
    <row r="25931" s="12" customFormat="1" x14ac:dyDescent="0.25"/>
    <row r="25932" s="12" customFormat="1" x14ac:dyDescent="0.25"/>
    <row r="25933" s="12" customFormat="1" x14ac:dyDescent="0.25"/>
    <row r="25934" s="12" customFormat="1" x14ac:dyDescent="0.25"/>
    <row r="25935" s="12" customFormat="1" x14ac:dyDescent="0.25"/>
    <row r="25936" s="12" customFormat="1" x14ac:dyDescent="0.25"/>
    <row r="25937" s="12" customFormat="1" x14ac:dyDescent="0.25"/>
    <row r="25938" s="12" customFormat="1" x14ac:dyDescent="0.25"/>
    <row r="25939" s="12" customFormat="1" x14ac:dyDescent="0.25"/>
    <row r="25940" s="12" customFormat="1" x14ac:dyDescent="0.25"/>
    <row r="25941" s="12" customFormat="1" x14ac:dyDescent="0.25"/>
    <row r="25942" s="12" customFormat="1" x14ac:dyDescent="0.25"/>
    <row r="25943" s="12" customFormat="1" x14ac:dyDescent="0.25"/>
    <row r="25944" s="12" customFormat="1" x14ac:dyDescent="0.25"/>
    <row r="25945" s="12" customFormat="1" x14ac:dyDescent="0.25"/>
    <row r="25946" s="12" customFormat="1" x14ac:dyDescent="0.25"/>
    <row r="25947" s="12" customFormat="1" x14ac:dyDescent="0.25"/>
    <row r="25948" s="12" customFormat="1" x14ac:dyDescent="0.25"/>
    <row r="25949" s="12" customFormat="1" x14ac:dyDescent="0.25"/>
    <row r="25950" s="12" customFormat="1" x14ac:dyDescent="0.25"/>
    <row r="25951" s="12" customFormat="1" x14ac:dyDescent="0.25"/>
    <row r="25952" s="12" customFormat="1" x14ac:dyDescent="0.25"/>
    <row r="25953" s="12" customFormat="1" x14ac:dyDescent="0.25"/>
    <row r="25954" s="12" customFormat="1" x14ac:dyDescent="0.25"/>
    <row r="25955" s="12" customFormat="1" x14ac:dyDescent="0.25"/>
    <row r="25956" s="12" customFormat="1" x14ac:dyDescent="0.25"/>
    <row r="25957" s="12" customFormat="1" x14ac:dyDescent="0.25"/>
    <row r="25958" s="12" customFormat="1" x14ac:dyDescent="0.25"/>
    <row r="25959" s="12" customFormat="1" x14ac:dyDescent="0.25"/>
    <row r="25960" s="12" customFormat="1" x14ac:dyDescent="0.25"/>
    <row r="25961" s="12" customFormat="1" x14ac:dyDescent="0.25"/>
    <row r="25962" s="12" customFormat="1" x14ac:dyDescent="0.25"/>
    <row r="25963" s="12" customFormat="1" x14ac:dyDescent="0.25"/>
    <row r="25964" s="12" customFormat="1" x14ac:dyDescent="0.25"/>
    <row r="25965" s="12" customFormat="1" x14ac:dyDescent="0.25"/>
    <row r="25966" s="12" customFormat="1" x14ac:dyDescent="0.25"/>
    <row r="25967" s="12" customFormat="1" x14ac:dyDescent="0.25"/>
    <row r="25968" s="12" customFormat="1" x14ac:dyDescent="0.25"/>
    <row r="25969" s="12" customFormat="1" x14ac:dyDescent="0.25"/>
    <row r="25970" s="12" customFormat="1" x14ac:dyDescent="0.25"/>
    <row r="25971" s="12" customFormat="1" x14ac:dyDescent="0.25"/>
    <row r="25972" s="12" customFormat="1" x14ac:dyDescent="0.25"/>
    <row r="25973" s="12" customFormat="1" x14ac:dyDescent="0.25"/>
    <row r="25974" s="12" customFormat="1" x14ac:dyDescent="0.25"/>
    <row r="25975" s="12" customFormat="1" x14ac:dyDescent="0.25"/>
    <row r="25976" s="12" customFormat="1" x14ac:dyDescent="0.25"/>
    <row r="25977" s="12" customFormat="1" x14ac:dyDescent="0.25"/>
    <row r="25978" s="12" customFormat="1" x14ac:dyDescent="0.25"/>
    <row r="25979" s="12" customFormat="1" x14ac:dyDescent="0.25"/>
    <row r="25980" s="12" customFormat="1" x14ac:dyDescent="0.25"/>
    <row r="25981" s="12" customFormat="1" x14ac:dyDescent="0.25"/>
    <row r="25982" s="12" customFormat="1" x14ac:dyDescent="0.25"/>
    <row r="25983" s="12" customFormat="1" x14ac:dyDescent="0.25"/>
    <row r="25984" s="12" customFormat="1" x14ac:dyDescent="0.25"/>
    <row r="25985" s="12" customFormat="1" x14ac:dyDescent="0.25"/>
    <row r="25986" s="12" customFormat="1" x14ac:dyDescent="0.25"/>
    <row r="25987" s="12" customFormat="1" x14ac:dyDescent="0.25"/>
    <row r="25988" s="12" customFormat="1" x14ac:dyDescent="0.25"/>
    <row r="25989" s="12" customFormat="1" x14ac:dyDescent="0.25"/>
    <row r="25990" s="12" customFormat="1" x14ac:dyDescent="0.25"/>
    <row r="25991" s="12" customFormat="1" x14ac:dyDescent="0.25"/>
    <row r="25992" s="12" customFormat="1" x14ac:dyDescent="0.25"/>
    <row r="25993" s="12" customFormat="1" x14ac:dyDescent="0.25"/>
    <row r="25994" s="12" customFormat="1" x14ac:dyDescent="0.25"/>
    <row r="25995" s="12" customFormat="1" x14ac:dyDescent="0.25"/>
    <row r="25996" s="12" customFormat="1" x14ac:dyDescent="0.25"/>
    <row r="25997" s="12" customFormat="1" x14ac:dyDescent="0.25"/>
    <row r="25998" s="12" customFormat="1" x14ac:dyDescent="0.25"/>
    <row r="25999" s="12" customFormat="1" x14ac:dyDescent="0.25"/>
    <row r="26000" s="12" customFormat="1" x14ac:dyDescent="0.25"/>
    <row r="26001" s="12" customFormat="1" x14ac:dyDescent="0.25"/>
    <row r="26002" s="12" customFormat="1" x14ac:dyDescent="0.25"/>
    <row r="26003" s="12" customFormat="1" x14ac:dyDescent="0.25"/>
    <row r="26004" s="12" customFormat="1" x14ac:dyDescent="0.25"/>
    <row r="26005" s="12" customFormat="1" x14ac:dyDescent="0.25"/>
    <row r="26006" s="12" customFormat="1" x14ac:dyDescent="0.25"/>
    <row r="26007" s="12" customFormat="1" x14ac:dyDescent="0.25"/>
    <row r="26008" s="12" customFormat="1" x14ac:dyDescent="0.25"/>
    <row r="26009" s="12" customFormat="1" x14ac:dyDescent="0.25"/>
    <row r="26010" s="12" customFormat="1" x14ac:dyDescent="0.25"/>
    <row r="26011" s="12" customFormat="1" x14ac:dyDescent="0.25"/>
    <row r="26012" s="12" customFormat="1" x14ac:dyDescent="0.25"/>
    <row r="26013" s="12" customFormat="1" x14ac:dyDescent="0.25"/>
    <row r="26014" s="12" customFormat="1" x14ac:dyDescent="0.25"/>
    <row r="26015" s="12" customFormat="1" x14ac:dyDescent="0.25"/>
    <row r="26016" s="12" customFormat="1" x14ac:dyDescent="0.25"/>
    <row r="26017" s="12" customFormat="1" x14ac:dyDescent="0.25"/>
    <row r="26018" s="12" customFormat="1" x14ac:dyDescent="0.25"/>
    <row r="26019" s="12" customFormat="1" x14ac:dyDescent="0.25"/>
    <row r="26020" s="12" customFormat="1" x14ac:dyDescent="0.25"/>
    <row r="26021" s="12" customFormat="1" x14ac:dyDescent="0.25"/>
    <row r="26022" s="12" customFormat="1" x14ac:dyDescent="0.25"/>
    <row r="26023" s="12" customFormat="1" x14ac:dyDescent="0.25"/>
    <row r="26024" s="12" customFormat="1" x14ac:dyDescent="0.25"/>
    <row r="26025" s="12" customFormat="1" x14ac:dyDescent="0.25"/>
    <row r="26026" s="12" customFormat="1" x14ac:dyDescent="0.25"/>
    <row r="26027" s="12" customFormat="1" x14ac:dyDescent="0.25"/>
    <row r="26028" s="12" customFormat="1" x14ac:dyDescent="0.25"/>
    <row r="26029" s="12" customFormat="1" x14ac:dyDescent="0.25"/>
    <row r="26030" s="12" customFormat="1" x14ac:dyDescent="0.25"/>
    <row r="26031" s="12" customFormat="1" x14ac:dyDescent="0.25"/>
    <row r="26032" s="12" customFormat="1" x14ac:dyDescent="0.25"/>
    <row r="26033" s="12" customFormat="1" x14ac:dyDescent="0.25"/>
    <row r="26034" s="12" customFormat="1" x14ac:dyDescent="0.25"/>
    <row r="26035" s="12" customFormat="1" x14ac:dyDescent="0.25"/>
    <row r="26036" s="12" customFormat="1" x14ac:dyDescent="0.25"/>
    <row r="26037" s="12" customFormat="1" x14ac:dyDescent="0.25"/>
    <row r="26038" s="12" customFormat="1" x14ac:dyDescent="0.25"/>
    <row r="26039" s="12" customFormat="1" x14ac:dyDescent="0.25"/>
    <row r="26040" s="12" customFormat="1" x14ac:dyDescent="0.25"/>
    <row r="26041" s="12" customFormat="1" x14ac:dyDescent="0.25"/>
    <row r="26042" s="12" customFormat="1" x14ac:dyDescent="0.25"/>
    <row r="26043" s="12" customFormat="1" x14ac:dyDescent="0.25"/>
    <row r="26044" s="12" customFormat="1" x14ac:dyDescent="0.25"/>
    <row r="26045" s="12" customFormat="1" x14ac:dyDescent="0.25"/>
    <row r="26046" s="12" customFormat="1" x14ac:dyDescent="0.25"/>
    <row r="26047" s="12" customFormat="1" x14ac:dyDescent="0.25"/>
    <row r="26048" s="12" customFormat="1" x14ac:dyDescent="0.25"/>
    <row r="26049" s="12" customFormat="1" x14ac:dyDescent="0.25"/>
    <row r="26050" s="12" customFormat="1" x14ac:dyDescent="0.25"/>
    <row r="26051" s="12" customFormat="1" x14ac:dyDescent="0.25"/>
    <row r="26052" s="12" customFormat="1" x14ac:dyDescent="0.25"/>
    <row r="26053" s="12" customFormat="1" x14ac:dyDescent="0.25"/>
    <row r="26054" s="12" customFormat="1" x14ac:dyDescent="0.25"/>
    <row r="26055" s="12" customFormat="1" x14ac:dyDescent="0.25"/>
    <row r="26056" s="12" customFormat="1" x14ac:dyDescent="0.25"/>
    <row r="26057" s="12" customFormat="1" x14ac:dyDescent="0.25"/>
    <row r="26058" s="12" customFormat="1" x14ac:dyDescent="0.25"/>
    <row r="26059" s="12" customFormat="1" x14ac:dyDescent="0.25"/>
    <row r="26060" s="12" customFormat="1" x14ac:dyDescent="0.25"/>
    <row r="26061" s="12" customFormat="1" x14ac:dyDescent="0.25"/>
    <row r="26062" s="12" customFormat="1" x14ac:dyDescent="0.25"/>
    <row r="26063" s="12" customFormat="1" x14ac:dyDescent="0.25"/>
    <row r="26064" s="12" customFormat="1" x14ac:dyDescent="0.25"/>
    <row r="26065" s="12" customFormat="1" x14ac:dyDescent="0.25"/>
    <row r="26066" s="12" customFormat="1" x14ac:dyDescent="0.25"/>
    <row r="26067" s="12" customFormat="1" x14ac:dyDescent="0.25"/>
    <row r="26068" s="12" customFormat="1" x14ac:dyDescent="0.25"/>
    <row r="26069" s="12" customFormat="1" x14ac:dyDescent="0.25"/>
    <row r="26070" s="12" customFormat="1" x14ac:dyDescent="0.25"/>
    <row r="26071" s="12" customFormat="1" x14ac:dyDescent="0.25"/>
    <row r="26072" s="12" customFormat="1" x14ac:dyDescent="0.25"/>
    <row r="26073" s="12" customFormat="1" x14ac:dyDescent="0.25"/>
    <row r="26074" s="12" customFormat="1" x14ac:dyDescent="0.25"/>
    <row r="26075" s="12" customFormat="1" x14ac:dyDescent="0.25"/>
    <row r="26076" s="12" customFormat="1" x14ac:dyDescent="0.25"/>
    <row r="26077" s="12" customFormat="1" x14ac:dyDescent="0.25"/>
    <row r="26078" s="12" customFormat="1" x14ac:dyDescent="0.25"/>
    <row r="26079" s="12" customFormat="1" x14ac:dyDescent="0.25"/>
    <row r="26080" s="12" customFormat="1" x14ac:dyDescent="0.25"/>
    <row r="26081" s="12" customFormat="1" x14ac:dyDescent="0.25"/>
    <row r="26082" s="12" customFormat="1" x14ac:dyDescent="0.25"/>
    <row r="26083" s="12" customFormat="1" x14ac:dyDescent="0.25"/>
    <row r="26084" s="12" customFormat="1" x14ac:dyDescent="0.25"/>
    <row r="26085" s="12" customFormat="1" x14ac:dyDescent="0.25"/>
    <row r="26086" s="12" customFormat="1" x14ac:dyDescent="0.25"/>
    <row r="26087" s="12" customFormat="1" x14ac:dyDescent="0.25"/>
    <row r="26088" s="12" customFormat="1" x14ac:dyDescent="0.25"/>
    <row r="26089" s="12" customFormat="1" x14ac:dyDescent="0.25"/>
    <row r="26090" s="12" customFormat="1" x14ac:dyDescent="0.25"/>
    <row r="26091" s="12" customFormat="1" x14ac:dyDescent="0.25"/>
    <row r="26092" s="12" customFormat="1" x14ac:dyDescent="0.25"/>
    <row r="26093" s="12" customFormat="1" x14ac:dyDescent="0.25"/>
    <row r="26094" s="12" customFormat="1" x14ac:dyDescent="0.25"/>
    <row r="26095" s="12" customFormat="1" x14ac:dyDescent="0.25"/>
    <row r="26096" s="12" customFormat="1" x14ac:dyDescent="0.25"/>
    <row r="26097" s="12" customFormat="1" x14ac:dyDescent="0.25"/>
    <row r="26098" s="12" customFormat="1" x14ac:dyDescent="0.25"/>
    <row r="26099" s="12" customFormat="1" x14ac:dyDescent="0.25"/>
    <row r="26100" s="12" customFormat="1" x14ac:dyDescent="0.25"/>
    <row r="26101" s="12" customFormat="1" x14ac:dyDescent="0.25"/>
    <row r="26102" s="12" customFormat="1" x14ac:dyDescent="0.25"/>
    <row r="26103" s="12" customFormat="1" x14ac:dyDescent="0.25"/>
    <row r="26104" s="12" customFormat="1" x14ac:dyDescent="0.25"/>
    <row r="26105" s="12" customFormat="1" x14ac:dyDescent="0.25"/>
    <row r="26106" s="12" customFormat="1" x14ac:dyDescent="0.25"/>
    <row r="26107" s="12" customFormat="1" x14ac:dyDescent="0.25"/>
    <row r="26108" s="12" customFormat="1" x14ac:dyDescent="0.25"/>
    <row r="26109" s="12" customFormat="1" x14ac:dyDescent="0.25"/>
    <row r="26110" s="12" customFormat="1" x14ac:dyDescent="0.25"/>
    <row r="26111" s="12" customFormat="1" x14ac:dyDescent="0.25"/>
    <row r="26112" s="12" customFormat="1" x14ac:dyDescent="0.25"/>
    <row r="26113" s="12" customFormat="1" x14ac:dyDescent="0.25"/>
    <row r="26114" s="12" customFormat="1" x14ac:dyDescent="0.25"/>
    <row r="26115" s="12" customFormat="1" x14ac:dyDescent="0.25"/>
    <row r="26116" s="12" customFormat="1" x14ac:dyDescent="0.25"/>
    <row r="26117" s="12" customFormat="1" x14ac:dyDescent="0.25"/>
    <row r="26118" s="12" customFormat="1" x14ac:dyDescent="0.25"/>
    <row r="26119" s="12" customFormat="1" x14ac:dyDescent="0.25"/>
    <row r="26120" s="12" customFormat="1" x14ac:dyDescent="0.25"/>
    <row r="26121" s="12" customFormat="1" x14ac:dyDescent="0.25"/>
    <row r="26122" s="12" customFormat="1" x14ac:dyDescent="0.25"/>
    <row r="26123" s="12" customFormat="1" x14ac:dyDescent="0.25"/>
    <row r="26124" s="12" customFormat="1" x14ac:dyDescent="0.25"/>
    <row r="26125" s="12" customFormat="1" x14ac:dyDescent="0.25"/>
    <row r="26126" s="12" customFormat="1" x14ac:dyDescent="0.25"/>
    <row r="26127" s="12" customFormat="1" x14ac:dyDescent="0.25"/>
    <row r="26128" s="12" customFormat="1" x14ac:dyDescent="0.25"/>
    <row r="26129" s="12" customFormat="1" x14ac:dyDescent="0.25"/>
    <row r="26130" s="12" customFormat="1" x14ac:dyDescent="0.25"/>
    <row r="26131" s="12" customFormat="1" x14ac:dyDescent="0.25"/>
    <row r="26132" s="12" customFormat="1" x14ac:dyDescent="0.25"/>
    <row r="26133" s="12" customFormat="1" x14ac:dyDescent="0.25"/>
    <row r="26134" s="12" customFormat="1" x14ac:dyDescent="0.25"/>
    <row r="26135" s="12" customFormat="1" x14ac:dyDescent="0.25"/>
    <row r="26136" s="12" customFormat="1" x14ac:dyDescent="0.25"/>
    <row r="26137" s="12" customFormat="1" x14ac:dyDescent="0.25"/>
    <row r="26138" s="12" customFormat="1" x14ac:dyDescent="0.25"/>
    <row r="26139" s="12" customFormat="1" x14ac:dyDescent="0.25"/>
    <row r="26140" s="12" customFormat="1" x14ac:dyDescent="0.25"/>
    <row r="26141" s="12" customFormat="1" x14ac:dyDescent="0.25"/>
    <row r="26142" s="12" customFormat="1" x14ac:dyDescent="0.25"/>
    <row r="26143" s="12" customFormat="1" x14ac:dyDescent="0.25"/>
    <row r="26144" s="12" customFormat="1" x14ac:dyDescent="0.25"/>
    <row r="26145" s="12" customFormat="1" x14ac:dyDescent="0.25"/>
    <row r="26146" s="12" customFormat="1" x14ac:dyDescent="0.25"/>
    <row r="26147" s="12" customFormat="1" x14ac:dyDescent="0.25"/>
    <row r="26148" s="12" customFormat="1" x14ac:dyDescent="0.25"/>
    <row r="26149" s="12" customFormat="1" x14ac:dyDescent="0.25"/>
    <row r="26150" s="12" customFormat="1" x14ac:dyDescent="0.25"/>
    <row r="26151" s="12" customFormat="1" x14ac:dyDescent="0.25"/>
    <row r="26152" s="12" customFormat="1" x14ac:dyDescent="0.25"/>
    <row r="26153" s="12" customFormat="1" x14ac:dyDescent="0.25"/>
    <row r="26154" s="12" customFormat="1" x14ac:dyDescent="0.25"/>
    <row r="26155" s="12" customFormat="1" x14ac:dyDescent="0.25"/>
    <row r="26156" s="12" customFormat="1" x14ac:dyDescent="0.25"/>
    <row r="26157" s="12" customFormat="1" x14ac:dyDescent="0.25"/>
    <row r="26158" s="12" customFormat="1" x14ac:dyDescent="0.25"/>
    <row r="26159" s="12" customFormat="1" x14ac:dyDescent="0.25"/>
    <row r="26160" s="12" customFormat="1" x14ac:dyDescent="0.25"/>
    <row r="26161" s="12" customFormat="1" x14ac:dyDescent="0.25"/>
    <row r="26162" s="12" customFormat="1" x14ac:dyDescent="0.25"/>
    <row r="26163" s="12" customFormat="1" x14ac:dyDescent="0.25"/>
    <row r="26164" s="12" customFormat="1" x14ac:dyDescent="0.25"/>
    <row r="26165" s="12" customFormat="1" x14ac:dyDescent="0.25"/>
    <row r="26166" s="12" customFormat="1" x14ac:dyDescent="0.25"/>
    <row r="26167" s="12" customFormat="1" x14ac:dyDescent="0.25"/>
    <row r="26168" s="12" customFormat="1" x14ac:dyDescent="0.25"/>
    <row r="26169" s="12" customFormat="1" x14ac:dyDescent="0.25"/>
    <row r="26170" s="12" customFormat="1" x14ac:dyDescent="0.25"/>
    <row r="26171" s="12" customFormat="1" x14ac:dyDescent="0.25"/>
    <row r="26172" s="12" customFormat="1" x14ac:dyDescent="0.25"/>
    <row r="26173" s="12" customFormat="1" x14ac:dyDescent="0.25"/>
    <row r="26174" s="12" customFormat="1" x14ac:dyDescent="0.25"/>
    <row r="26175" s="12" customFormat="1" x14ac:dyDescent="0.25"/>
    <row r="26176" s="12" customFormat="1" x14ac:dyDescent="0.25"/>
    <row r="26177" s="12" customFormat="1" x14ac:dyDescent="0.25"/>
    <row r="26178" s="12" customFormat="1" x14ac:dyDescent="0.25"/>
    <row r="26179" s="12" customFormat="1" x14ac:dyDescent="0.25"/>
    <row r="26180" s="12" customFormat="1" x14ac:dyDescent="0.25"/>
    <row r="26181" s="12" customFormat="1" x14ac:dyDescent="0.25"/>
    <row r="26182" s="12" customFormat="1" x14ac:dyDescent="0.25"/>
    <row r="26183" s="12" customFormat="1" x14ac:dyDescent="0.25"/>
    <row r="26184" s="12" customFormat="1" x14ac:dyDescent="0.25"/>
    <row r="26185" s="12" customFormat="1" x14ac:dyDescent="0.25"/>
    <row r="26186" s="12" customFormat="1" x14ac:dyDescent="0.25"/>
    <row r="26187" s="12" customFormat="1" x14ac:dyDescent="0.25"/>
    <row r="26188" s="12" customFormat="1" x14ac:dyDescent="0.25"/>
    <row r="26189" s="12" customFormat="1" x14ac:dyDescent="0.25"/>
    <row r="26190" s="12" customFormat="1" x14ac:dyDescent="0.25"/>
    <row r="26191" s="12" customFormat="1" x14ac:dyDescent="0.25"/>
    <row r="26192" s="12" customFormat="1" x14ac:dyDescent="0.25"/>
    <row r="26193" s="12" customFormat="1" x14ac:dyDescent="0.25"/>
    <row r="26194" s="12" customFormat="1" x14ac:dyDescent="0.25"/>
    <row r="26195" s="12" customFormat="1" x14ac:dyDescent="0.25"/>
    <row r="26196" s="12" customFormat="1" x14ac:dyDescent="0.25"/>
    <row r="26197" s="12" customFormat="1" x14ac:dyDescent="0.25"/>
    <row r="26198" s="12" customFormat="1" x14ac:dyDescent="0.25"/>
    <row r="26199" s="12" customFormat="1" x14ac:dyDescent="0.25"/>
    <row r="26200" s="12" customFormat="1" x14ac:dyDescent="0.25"/>
    <row r="26201" s="12" customFormat="1" x14ac:dyDescent="0.25"/>
    <row r="26202" s="12" customFormat="1" x14ac:dyDescent="0.25"/>
    <row r="26203" s="12" customFormat="1" x14ac:dyDescent="0.25"/>
    <row r="26204" s="12" customFormat="1" x14ac:dyDescent="0.25"/>
    <row r="26205" s="12" customFormat="1" x14ac:dyDescent="0.25"/>
    <row r="26206" s="12" customFormat="1" x14ac:dyDescent="0.25"/>
    <row r="26207" s="12" customFormat="1" x14ac:dyDescent="0.25"/>
    <row r="26208" s="12" customFormat="1" x14ac:dyDescent="0.25"/>
    <row r="26209" s="12" customFormat="1" x14ac:dyDescent="0.25"/>
    <row r="26210" s="12" customFormat="1" x14ac:dyDescent="0.25"/>
    <row r="26211" s="12" customFormat="1" x14ac:dyDescent="0.25"/>
    <row r="26212" s="12" customFormat="1" x14ac:dyDescent="0.25"/>
    <row r="26213" s="12" customFormat="1" x14ac:dyDescent="0.25"/>
    <row r="26214" s="12" customFormat="1" x14ac:dyDescent="0.25"/>
    <row r="26215" s="12" customFormat="1" x14ac:dyDescent="0.25"/>
    <row r="26216" s="12" customFormat="1" x14ac:dyDescent="0.25"/>
    <row r="26217" s="12" customFormat="1" x14ac:dyDescent="0.25"/>
    <row r="26218" s="12" customFormat="1" x14ac:dyDescent="0.25"/>
    <row r="26219" s="12" customFormat="1" x14ac:dyDescent="0.25"/>
    <row r="26220" s="12" customFormat="1" x14ac:dyDescent="0.25"/>
    <row r="26221" s="12" customFormat="1" x14ac:dyDescent="0.25"/>
    <row r="26222" s="12" customFormat="1" x14ac:dyDescent="0.25"/>
    <row r="26223" s="12" customFormat="1" x14ac:dyDescent="0.25"/>
    <row r="26224" s="12" customFormat="1" x14ac:dyDescent="0.25"/>
    <row r="26225" s="12" customFormat="1" x14ac:dyDescent="0.25"/>
    <row r="26226" s="12" customFormat="1" x14ac:dyDescent="0.25"/>
    <row r="26227" s="12" customFormat="1" x14ac:dyDescent="0.25"/>
    <row r="26228" s="12" customFormat="1" x14ac:dyDescent="0.25"/>
    <row r="26229" s="12" customFormat="1" x14ac:dyDescent="0.25"/>
    <row r="26230" s="12" customFormat="1" x14ac:dyDescent="0.25"/>
    <row r="26231" s="12" customFormat="1" x14ac:dyDescent="0.25"/>
    <row r="26232" s="12" customFormat="1" x14ac:dyDescent="0.25"/>
    <row r="26233" s="12" customFormat="1" x14ac:dyDescent="0.25"/>
    <row r="26234" s="12" customFormat="1" x14ac:dyDescent="0.25"/>
    <row r="26235" s="12" customFormat="1" x14ac:dyDescent="0.25"/>
    <row r="26236" s="12" customFormat="1" x14ac:dyDescent="0.25"/>
    <row r="26237" s="12" customFormat="1" x14ac:dyDescent="0.25"/>
    <row r="26238" s="12" customFormat="1" x14ac:dyDescent="0.25"/>
    <row r="26239" s="12" customFormat="1" x14ac:dyDescent="0.25"/>
    <row r="26240" s="12" customFormat="1" x14ac:dyDescent="0.25"/>
    <row r="26241" s="12" customFormat="1" x14ac:dyDescent="0.25"/>
    <row r="26242" s="12" customFormat="1" x14ac:dyDescent="0.25"/>
    <row r="26243" s="12" customFormat="1" x14ac:dyDescent="0.25"/>
    <row r="26244" s="12" customFormat="1" x14ac:dyDescent="0.25"/>
    <row r="26245" s="12" customFormat="1" x14ac:dyDescent="0.25"/>
    <row r="26246" s="12" customFormat="1" x14ac:dyDescent="0.25"/>
    <row r="26247" s="12" customFormat="1" x14ac:dyDescent="0.25"/>
    <row r="26248" s="12" customFormat="1" x14ac:dyDescent="0.25"/>
    <row r="26249" s="12" customFormat="1" x14ac:dyDescent="0.25"/>
    <row r="26250" s="12" customFormat="1" x14ac:dyDescent="0.25"/>
    <row r="26251" s="12" customFormat="1" x14ac:dyDescent="0.25"/>
    <row r="26252" s="12" customFormat="1" x14ac:dyDescent="0.25"/>
    <row r="26253" s="12" customFormat="1" x14ac:dyDescent="0.25"/>
    <row r="26254" s="12" customFormat="1" x14ac:dyDescent="0.25"/>
    <row r="26255" s="12" customFormat="1" x14ac:dyDescent="0.25"/>
    <row r="26256" s="12" customFormat="1" x14ac:dyDescent="0.25"/>
    <row r="26257" s="12" customFormat="1" x14ac:dyDescent="0.25"/>
    <row r="26258" s="12" customFormat="1" x14ac:dyDescent="0.25"/>
    <row r="26259" s="12" customFormat="1" x14ac:dyDescent="0.25"/>
    <row r="26260" s="12" customFormat="1" x14ac:dyDescent="0.25"/>
    <row r="26261" s="12" customFormat="1" x14ac:dyDescent="0.25"/>
    <row r="26262" s="12" customFormat="1" x14ac:dyDescent="0.25"/>
    <row r="26263" s="12" customFormat="1" x14ac:dyDescent="0.25"/>
    <row r="26264" s="12" customFormat="1" x14ac:dyDescent="0.25"/>
    <row r="26265" s="12" customFormat="1" x14ac:dyDescent="0.25"/>
    <row r="26266" s="12" customFormat="1" x14ac:dyDescent="0.25"/>
    <row r="26267" s="12" customFormat="1" x14ac:dyDescent="0.25"/>
    <row r="26268" s="12" customFormat="1" x14ac:dyDescent="0.25"/>
    <row r="26269" s="12" customFormat="1" x14ac:dyDescent="0.25"/>
    <row r="26270" s="12" customFormat="1" x14ac:dyDescent="0.25"/>
    <row r="26271" s="12" customFormat="1" x14ac:dyDescent="0.25"/>
    <row r="26272" s="12" customFormat="1" x14ac:dyDescent="0.25"/>
    <row r="26273" s="12" customFormat="1" x14ac:dyDescent="0.25"/>
    <row r="26274" s="12" customFormat="1" x14ac:dyDescent="0.25"/>
    <row r="26275" s="12" customFormat="1" x14ac:dyDescent="0.25"/>
    <row r="26276" s="12" customFormat="1" x14ac:dyDescent="0.25"/>
    <row r="26277" s="12" customFormat="1" x14ac:dyDescent="0.25"/>
    <row r="26278" s="12" customFormat="1" x14ac:dyDescent="0.25"/>
    <row r="26279" s="12" customFormat="1" x14ac:dyDescent="0.25"/>
    <row r="26280" s="12" customFormat="1" x14ac:dyDescent="0.25"/>
    <row r="26281" s="12" customFormat="1" x14ac:dyDescent="0.25"/>
    <row r="26282" s="12" customFormat="1" x14ac:dyDescent="0.25"/>
    <row r="26283" s="12" customFormat="1" x14ac:dyDescent="0.25"/>
    <row r="26284" s="12" customFormat="1" x14ac:dyDescent="0.25"/>
    <row r="26285" s="12" customFormat="1" x14ac:dyDescent="0.25"/>
    <row r="26286" s="12" customFormat="1" x14ac:dyDescent="0.25"/>
    <row r="26287" s="12" customFormat="1" x14ac:dyDescent="0.25"/>
    <row r="26288" s="12" customFormat="1" x14ac:dyDescent="0.25"/>
    <row r="26289" s="12" customFormat="1" x14ac:dyDescent="0.25"/>
    <row r="26290" s="12" customFormat="1" x14ac:dyDescent="0.25"/>
    <row r="26291" s="12" customFormat="1" x14ac:dyDescent="0.25"/>
    <row r="26292" s="12" customFormat="1" x14ac:dyDescent="0.25"/>
    <row r="26293" s="12" customFormat="1" x14ac:dyDescent="0.25"/>
    <row r="26294" s="12" customFormat="1" x14ac:dyDescent="0.25"/>
    <row r="26295" s="12" customFormat="1" x14ac:dyDescent="0.25"/>
    <row r="26296" s="12" customFormat="1" x14ac:dyDescent="0.25"/>
    <row r="26297" s="12" customFormat="1" x14ac:dyDescent="0.25"/>
    <row r="26298" s="12" customFormat="1" x14ac:dyDescent="0.25"/>
    <row r="26299" s="12" customFormat="1" x14ac:dyDescent="0.25"/>
    <row r="26300" s="12" customFormat="1" x14ac:dyDescent="0.25"/>
    <row r="26301" s="12" customFormat="1" x14ac:dyDescent="0.25"/>
    <row r="26302" s="12" customFormat="1" x14ac:dyDescent="0.25"/>
    <row r="26303" s="12" customFormat="1" x14ac:dyDescent="0.25"/>
    <row r="26304" s="12" customFormat="1" x14ac:dyDescent="0.25"/>
    <row r="26305" s="12" customFormat="1" x14ac:dyDescent="0.25"/>
    <row r="26306" s="12" customFormat="1" x14ac:dyDescent="0.25"/>
    <row r="26307" s="12" customFormat="1" x14ac:dyDescent="0.25"/>
    <row r="26308" s="12" customFormat="1" x14ac:dyDescent="0.25"/>
    <row r="26309" s="12" customFormat="1" x14ac:dyDescent="0.25"/>
    <row r="26310" s="12" customFormat="1" x14ac:dyDescent="0.25"/>
    <row r="26311" s="12" customFormat="1" x14ac:dyDescent="0.25"/>
    <row r="26312" s="12" customFormat="1" x14ac:dyDescent="0.25"/>
    <row r="26313" s="12" customFormat="1" x14ac:dyDescent="0.25"/>
    <row r="26314" s="12" customFormat="1" x14ac:dyDescent="0.25"/>
    <row r="26315" s="12" customFormat="1" x14ac:dyDescent="0.25"/>
    <row r="26316" s="12" customFormat="1" x14ac:dyDescent="0.25"/>
    <row r="26317" s="12" customFormat="1" x14ac:dyDescent="0.25"/>
    <row r="26318" s="12" customFormat="1" x14ac:dyDescent="0.25"/>
    <row r="26319" s="12" customFormat="1" x14ac:dyDescent="0.25"/>
    <row r="26320" s="12" customFormat="1" x14ac:dyDescent="0.25"/>
    <row r="26321" s="12" customFormat="1" x14ac:dyDescent="0.25"/>
    <row r="26322" s="12" customFormat="1" x14ac:dyDescent="0.25"/>
    <row r="26323" s="12" customFormat="1" x14ac:dyDescent="0.25"/>
    <row r="26324" s="12" customFormat="1" x14ac:dyDescent="0.25"/>
    <row r="26325" s="12" customFormat="1" x14ac:dyDescent="0.25"/>
    <row r="26326" s="12" customFormat="1" x14ac:dyDescent="0.25"/>
    <row r="26327" s="12" customFormat="1" x14ac:dyDescent="0.25"/>
    <row r="26328" s="12" customFormat="1" x14ac:dyDescent="0.25"/>
    <row r="26329" s="12" customFormat="1" x14ac:dyDescent="0.25"/>
    <row r="26330" s="12" customFormat="1" x14ac:dyDescent="0.25"/>
    <row r="26331" s="12" customFormat="1" x14ac:dyDescent="0.25"/>
    <row r="26332" s="12" customFormat="1" x14ac:dyDescent="0.25"/>
    <row r="26333" s="12" customFormat="1" x14ac:dyDescent="0.25"/>
    <row r="26334" s="12" customFormat="1" x14ac:dyDescent="0.25"/>
    <row r="26335" s="12" customFormat="1" x14ac:dyDescent="0.25"/>
    <row r="26336" s="12" customFormat="1" x14ac:dyDescent="0.25"/>
    <row r="26337" s="12" customFormat="1" x14ac:dyDescent="0.25"/>
    <row r="26338" s="12" customFormat="1" x14ac:dyDescent="0.25"/>
    <row r="26339" s="12" customFormat="1" x14ac:dyDescent="0.25"/>
    <row r="26340" s="12" customFormat="1" x14ac:dyDescent="0.25"/>
    <row r="26341" s="12" customFormat="1" x14ac:dyDescent="0.25"/>
    <row r="26342" s="12" customFormat="1" x14ac:dyDescent="0.25"/>
    <row r="26343" s="12" customFormat="1" x14ac:dyDescent="0.25"/>
    <row r="26344" s="12" customFormat="1" x14ac:dyDescent="0.25"/>
    <row r="26345" s="12" customFormat="1" x14ac:dyDescent="0.25"/>
    <row r="26346" s="12" customFormat="1" x14ac:dyDescent="0.25"/>
    <row r="26347" s="12" customFormat="1" x14ac:dyDescent="0.25"/>
    <row r="26348" s="12" customFormat="1" x14ac:dyDescent="0.25"/>
    <row r="26349" s="12" customFormat="1" x14ac:dyDescent="0.25"/>
    <row r="26350" s="12" customFormat="1" x14ac:dyDescent="0.25"/>
    <row r="26351" s="12" customFormat="1" x14ac:dyDescent="0.25"/>
    <row r="26352" s="12" customFormat="1" x14ac:dyDescent="0.25"/>
    <row r="26353" s="12" customFormat="1" x14ac:dyDescent="0.25"/>
    <row r="26354" s="12" customFormat="1" x14ac:dyDescent="0.25"/>
    <row r="26355" s="12" customFormat="1" x14ac:dyDescent="0.25"/>
    <row r="26356" s="12" customFormat="1" x14ac:dyDescent="0.25"/>
    <row r="26357" s="12" customFormat="1" x14ac:dyDescent="0.25"/>
    <row r="26358" s="12" customFormat="1" x14ac:dyDescent="0.25"/>
    <row r="26359" s="12" customFormat="1" x14ac:dyDescent="0.25"/>
    <row r="26360" s="12" customFormat="1" x14ac:dyDescent="0.25"/>
    <row r="26361" s="12" customFormat="1" x14ac:dyDescent="0.25"/>
    <row r="26362" s="12" customFormat="1" x14ac:dyDescent="0.25"/>
    <row r="26363" s="12" customFormat="1" x14ac:dyDescent="0.25"/>
    <row r="26364" s="12" customFormat="1" x14ac:dyDescent="0.25"/>
    <row r="26365" s="12" customFormat="1" x14ac:dyDescent="0.25"/>
    <row r="26366" s="12" customFormat="1" x14ac:dyDescent="0.25"/>
    <row r="26367" s="12" customFormat="1" x14ac:dyDescent="0.25"/>
    <row r="26368" s="12" customFormat="1" x14ac:dyDescent="0.25"/>
    <row r="26369" s="12" customFormat="1" x14ac:dyDescent="0.25"/>
    <row r="26370" s="12" customFormat="1" x14ac:dyDescent="0.25"/>
    <row r="26371" s="12" customFormat="1" x14ac:dyDescent="0.25"/>
    <row r="26372" s="12" customFormat="1" x14ac:dyDescent="0.25"/>
    <row r="26373" s="12" customFormat="1" x14ac:dyDescent="0.25"/>
    <row r="26374" s="12" customFormat="1" x14ac:dyDescent="0.25"/>
    <row r="26375" s="12" customFormat="1" x14ac:dyDescent="0.25"/>
    <row r="26376" s="12" customFormat="1" x14ac:dyDescent="0.25"/>
    <row r="26377" s="12" customFormat="1" x14ac:dyDescent="0.25"/>
    <row r="26378" s="12" customFormat="1" x14ac:dyDescent="0.25"/>
    <row r="26379" s="12" customFormat="1" x14ac:dyDescent="0.25"/>
    <row r="26380" s="12" customFormat="1" x14ac:dyDescent="0.25"/>
    <row r="26381" s="12" customFormat="1" x14ac:dyDescent="0.25"/>
    <row r="26382" s="12" customFormat="1" x14ac:dyDescent="0.25"/>
    <row r="26383" s="12" customFormat="1" x14ac:dyDescent="0.25"/>
    <row r="26384" s="12" customFormat="1" x14ac:dyDescent="0.25"/>
    <row r="26385" s="12" customFormat="1" x14ac:dyDescent="0.25"/>
    <row r="26386" s="12" customFormat="1" x14ac:dyDescent="0.25"/>
    <row r="26387" s="12" customFormat="1" x14ac:dyDescent="0.25"/>
    <row r="26388" s="12" customFormat="1" x14ac:dyDescent="0.25"/>
    <row r="26389" s="12" customFormat="1" x14ac:dyDescent="0.25"/>
    <row r="26390" s="12" customFormat="1" x14ac:dyDescent="0.25"/>
    <row r="26391" s="12" customFormat="1" x14ac:dyDescent="0.25"/>
    <row r="26392" s="12" customFormat="1" x14ac:dyDescent="0.25"/>
    <row r="26393" s="12" customFormat="1" x14ac:dyDescent="0.25"/>
    <row r="26394" s="12" customFormat="1" x14ac:dyDescent="0.25"/>
    <row r="26395" s="12" customFormat="1" x14ac:dyDescent="0.25"/>
    <row r="26396" s="12" customFormat="1" x14ac:dyDescent="0.25"/>
    <row r="26397" s="12" customFormat="1" x14ac:dyDescent="0.25"/>
    <row r="26398" s="12" customFormat="1" x14ac:dyDescent="0.25"/>
    <row r="26399" s="12" customFormat="1" x14ac:dyDescent="0.25"/>
    <row r="26400" s="12" customFormat="1" x14ac:dyDescent="0.25"/>
    <row r="26401" s="12" customFormat="1" x14ac:dyDescent="0.25"/>
    <row r="26402" s="12" customFormat="1" x14ac:dyDescent="0.25"/>
    <row r="26403" s="12" customFormat="1" x14ac:dyDescent="0.25"/>
    <row r="26404" s="12" customFormat="1" x14ac:dyDescent="0.25"/>
    <row r="26405" s="12" customFormat="1" x14ac:dyDescent="0.25"/>
    <row r="26406" s="12" customFormat="1" x14ac:dyDescent="0.25"/>
    <row r="26407" s="12" customFormat="1" x14ac:dyDescent="0.25"/>
    <row r="26408" s="12" customFormat="1" x14ac:dyDescent="0.25"/>
    <row r="26409" s="12" customFormat="1" x14ac:dyDescent="0.25"/>
    <row r="26410" s="12" customFormat="1" x14ac:dyDescent="0.25"/>
    <row r="26411" s="12" customFormat="1" x14ac:dyDescent="0.25"/>
    <row r="26412" s="12" customFormat="1" x14ac:dyDescent="0.25"/>
    <row r="26413" s="12" customFormat="1" x14ac:dyDescent="0.25"/>
    <row r="26414" s="12" customFormat="1" x14ac:dyDescent="0.25"/>
    <row r="26415" s="12" customFormat="1" x14ac:dyDescent="0.25"/>
    <row r="26416" s="12" customFormat="1" x14ac:dyDescent="0.25"/>
    <row r="26417" s="12" customFormat="1" x14ac:dyDescent="0.25"/>
    <row r="26418" s="12" customFormat="1" x14ac:dyDescent="0.25"/>
    <row r="26419" s="12" customFormat="1" x14ac:dyDescent="0.25"/>
    <row r="26420" s="12" customFormat="1" x14ac:dyDescent="0.25"/>
    <row r="26421" s="12" customFormat="1" x14ac:dyDescent="0.25"/>
    <row r="26422" s="12" customFormat="1" x14ac:dyDescent="0.25"/>
    <row r="26423" s="12" customFormat="1" x14ac:dyDescent="0.25"/>
    <row r="26424" s="12" customFormat="1" x14ac:dyDescent="0.25"/>
    <row r="26425" s="12" customFormat="1" x14ac:dyDescent="0.25"/>
    <row r="26426" s="12" customFormat="1" x14ac:dyDescent="0.25"/>
    <row r="26427" s="12" customFormat="1" x14ac:dyDescent="0.25"/>
    <row r="26428" s="12" customFormat="1" x14ac:dyDescent="0.25"/>
    <row r="26429" s="12" customFormat="1" x14ac:dyDescent="0.25"/>
    <row r="26430" s="12" customFormat="1" x14ac:dyDescent="0.25"/>
    <row r="26431" s="12" customFormat="1" x14ac:dyDescent="0.25"/>
    <row r="26432" s="12" customFormat="1" x14ac:dyDescent="0.25"/>
    <row r="26433" s="12" customFormat="1" x14ac:dyDescent="0.25"/>
    <row r="26434" s="12" customFormat="1" x14ac:dyDescent="0.25"/>
    <row r="26435" s="12" customFormat="1" x14ac:dyDescent="0.25"/>
    <row r="26436" s="12" customFormat="1" x14ac:dyDescent="0.25"/>
    <row r="26437" s="12" customFormat="1" x14ac:dyDescent="0.25"/>
    <row r="26438" s="12" customFormat="1" x14ac:dyDescent="0.25"/>
    <row r="26439" s="12" customFormat="1" x14ac:dyDescent="0.25"/>
    <row r="26440" s="12" customFormat="1" x14ac:dyDescent="0.25"/>
    <row r="26441" s="12" customFormat="1" x14ac:dyDescent="0.25"/>
    <row r="26442" s="12" customFormat="1" x14ac:dyDescent="0.25"/>
    <row r="26443" s="12" customFormat="1" x14ac:dyDescent="0.25"/>
    <row r="26444" s="12" customFormat="1" x14ac:dyDescent="0.25"/>
    <row r="26445" s="12" customFormat="1" x14ac:dyDescent="0.25"/>
    <row r="26446" s="12" customFormat="1" x14ac:dyDescent="0.25"/>
    <row r="26447" s="12" customFormat="1" x14ac:dyDescent="0.25"/>
    <row r="26448" s="12" customFormat="1" x14ac:dyDescent="0.25"/>
    <row r="26449" s="12" customFormat="1" x14ac:dyDescent="0.25"/>
    <row r="26450" s="12" customFormat="1" x14ac:dyDescent="0.25"/>
    <row r="26451" s="12" customFormat="1" x14ac:dyDescent="0.25"/>
    <row r="26452" s="12" customFormat="1" x14ac:dyDescent="0.25"/>
    <row r="26453" s="12" customFormat="1" x14ac:dyDescent="0.25"/>
    <row r="26454" s="12" customFormat="1" x14ac:dyDescent="0.25"/>
    <row r="26455" s="12" customFormat="1" x14ac:dyDescent="0.25"/>
    <row r="26456" s="12" customFormat="1" x14ac:dyDescent="0.25"/>
    <row r="26457" s="12" customFormat="1" x14ac:dyDescent="0.25"/>
    <row r="26458" s="12" customFormat="1" x14ac:dyDescent="0.25"/>
    <row r="26459" s="12" customFormat="1" x14ac:dyDescent="0.25"/>
    <row r="26460" s="12" customFormat="1" x14ac:dyDescent="0.25"/>
    <row r="26461" s="12" customFormat="1" x14ac:dyDescent="0.25"/>
    <row r="26462" s="12" customFormat="1" x14ac:dyDescent="0.25"/>
    <row r="26463" s="12" customFormat="1" x14ac:dyDescent="0.25"/>
    <row r="26464" s="12" customFormat="1" x14ac:dyDescent="0.25"/>
    <row r="26465" s="12" customFormat="1" x14ac:dyDescent="0.25"/>
    <row r="26466" s="12" customFormat="1" x14ac:dyDescent="0.25"/>
    <row r="26467" s="12" customFormat="1" x14ac:dyDescent="0.25"/>
    <row r="26468" s="12" customFormat="1" x14ac:dyDescent="0.25"/>
    <row r="26469" s="12" customFormat="1" x14ac:dyDescent="0.25"/>
    <row r="26470" s="12" customFormat="1" x14ac:dyDescent="0.25"/>
    <row r="26471" s="12" customFormat="1" x14ac:dyDescent="0.25"/>
    <row r="26472" s="12" customFormat="1" x14ac:dyDescent="0.25"/>
    <row r="26473" s="12" customFormat="1" x14ac:dyDescent="0.25"/>
    <row r="26474" s="12" customFormat="1" x14ac:dyDescent="0.25"/>
    <row r="26475" s="12" customFormat="1" x14ac:dyDescent="0.25"/>
    <row r="26476" s="12" customFormat="1" x14ac:dyDescent="0.25"/>
    <row r="26477" s="12" customFormat="1" x14ac:dyDescent="0.25"/>
    <row r="26478" s="12" customFormat="1" x14ac:dyDescent="0.25"/>
    <row r="26479" s="12" customFormat="1" x14ac:dyDescent="0.25"/>
    <row r="26480" s="12" customFormat="1" x14ac:dyDescent="0.25"/>
    <row r="26481" s="12" customFormat="1" x14ac:dyDescent="0.25"/>
    <row r="26482" s="12" customFormat="1" x14ac:dyDescent="0.25"/>
    <row r="26483" s="12" customFormat="1" x14ac:dyDescent="0.25"/>
    <row r="26484" s="12" customFormat="1" x14ac:dyDescent="0.25"/>
    <row r="26485" s="12" customFormat="1" x14ac:dyDescent="0.25"/>
    <row r="26486" s="12" customFormat="1" x14ac:dyDescent="0.25"/>
    <row r="26487" s="12" customFormat="1" x14ac:dyDescent="0.25"/>
    <row r="26488" s="12" customFormat="1" x14ac:dyDescent="0.25"/>
    <row r="26489" s="12" customFormat="1" x14ac:dyDescent="0.25"/>
    <row r="26490" s="12" customFormat="1" x14ac:dyDescent="0.25"/>
    <row r="26491" s="12" customFormat="1" x14ac:dyDescent="0.25"/>
    <row r="26492" s="12" customFormat="1" x14ac:dyDescent="0.25"/>
    <row r="26493" s="12" customFormat="1" x14ac:dyDescent="0.25"/>
    <row r="26494" s="12" customFormat="1" x14ac:dyDescent="0.25"/>
    <row r="26495" s="12" customFormat="1" x14ac:dyDescent="0.25"/>
    <row r="26496" s="12" customFormat="1" x14ac:dyDescent="0.25"/>
    <row r="26497" s="12" customFormat="1" x14ac:dyDescent="0.25"/>
    <row r="26498" s="12" customFormat="1" x14ac:dyDescent="0.25"/>
    <row r="26499" s="12" customFormat="1" x14ac:dyDescent="0.25"/>
    <row r="26500" s="12" customFormat="1" x14ac:dyDescent="0.25"/>
    <row r="26501" s="12" customFormat="1" x14ac:dyDescent="0.25"/>
    <row r="26502" s="12" customFormat="1" x14ac:dyDescent="0.25"/>
    <row r="26503" s="12" customFormat="1" x14ac:dyDescent="0.25"/>
    <row r="26504" s="12" customFormat="1" x14ac:dyDescent="0.25"/>
    <row r="26505" s="12" customFormat="1" x14ac:dyDescent="0.25"/>
    <row r="26506" s="12" customFormat="1" x14ac:dyDescent="0.25"/>
    <row r="26507" s="12" customFormat="1" x14ac:dyDescent="0.25"/>
    <row r="26508" s="12" customFormat="1" x14ac:dyDescent="0.25"/>
    <row r="26509" s="12" customFormat="1" x14ac:dyDescent="0.25"/>
    <row r="26510" s="12" customFormat="1" x14ac:dyDescent="0.25"/>
    <row r="26511" s="12" customFormat="1" x14ac:dyDescent="0.25"/>
    <row r="26512" s="12" customFormat="1" x14ac:dyDescent="0.25"/>
    <row r="26513" s="12" customFormat="1" x14ac:dyDescent="0.25"/>
    <row r="26514" s="12" customFormat="1" x14ac:dyDescent="0.25"/>
    <row r="26515" s="12" customFormat="1" x14ac:dyDescent="0.25"/>
    <row r="26516" s="12" customFormat="1" x14ac:dyDescent="0.25"/>
    <row r="26517" s="12" customFormat="1" x14ac:dyDescent="0.25"/>
    <row r="26518" s="12" customFormat="1" x14ac:dyDescent="0.25"/>
    <row r="26519" s="12" customFormat="1" x14ac:dyDescent="0.25"/>
    <row r="26520" s="12" customFormat="1" x14ac:dyDescent="0.25"/>
    <row r="26521" s="12" customFormat="1" x14ac:dyDescent="0.25"/>
    <row r="26522" s="12" customFormat="1" x14ac:dyDescent="0.25"/>
    <row r="26523" s="12" customFormat="1" x14ac:dyDescent="0.25"/>
    <row r="26524" s="12" customFormat="1" x14ac:dyDescent="0.25"/>
    <row r="26525" s="12" customFormat="1" x14ac:dyDescent="0.25"/>
    <row r="26526" s="12" customFormat="1" x14ac:dyDescent="0.25"/>
    <row r="26527" s="12" customFormat="1" x14ac:dyDescent="0.25"/>
    <row r="26528" s="12" customFormat="1" x14ac:dyDescent="0.25"/>
    <row r="26529" s="12" customFormat="1" x14ac:dyDescent="0.25"/>
    <row r="26530" s="12" customFormat="1" x14ac:dyDescent="0.25"/>
    <row r="26531" s="12" customFormat="1" x14ac:dyDescent="0.25"/>
    <row r="26532" s="12" customFormat="1" x14ac:dyDescent="0.25"/>
    <row r="26533" s="12" customFormat="1" x14ac:dyDescent="0.25"/>
    <row r="26534" s="12" customFormat="1" x14ac:dyDescent="0.25"/>
    <row r="26535" s="12" customFormat="1" x14ac:dyDescent="0.25"/>
    <row r="26536" s="12" customFormat="1" x14ac:dyDescent="0.25"/>
    <row r="26537" s="12" customFormat="1" x14ac:dyDescent="0.25"/>
    <row r="26538" s="12" customFormat="1" x14ac:dyDescent="0.25"/>
    <row r="26539" s="12" customFormat="1" x14ac:dyDescent="0.25"/>
    <row r="26540" s="12" customFormat="1" x14ac:dyDescent="0.25"/>
    <row r="26541" s="12" customFormat="1" x14ac:dyDescent="0.25"/>
    <row r="26542" s="12" customFormat="1" x14ac:dyDescent="0.25"/>
    <row r="26543" s="12" customFormat="1" x14ac:dyDescent="0.25"/>
    <row r="26544" s="12" customFormat="1" x14ac:dyDescent="0.25"/>
    <row r="26545" s="12" customFormat="1" x14ac:dyDescent="0.25"/>
    <row r="26546" s="12" customFormat="1" x14ac:dyDescent="0.25"/>
    <row r="26547" s="12" customFormat="1" x14ac:dyDescent="0.25"/>
    <row r="26548" s="12" customFormat="1" x14ac:dyDescent="0.25"/>
    <row r="26549" s="12" customFormat="1" x14ac:dyDescent="0.25"/>
    <row r="26550" s="12" customFormat="1" x14ac:dyDescent="0.25"/>
    <row r="26551" s="12" customFormat="1" x14ac:dyDescent="0.25"/>
    <row r="26552" s="12" customFormat="1" x14ac:dyDescent="0.25"/>
    <row r="26553" s="12" customFormat="1" x14ac:dyDescent="0.25"/>
    <row r="26554" s="12" customFormat="1" x14ac:dyDescent="0.25"/>
    <row r="26555" s="12" customFormat="1" x14ac:dyDescent="0.25"/>
    <row r="26556" s="12" customFormat="1" x14ac:dyDescent="0.25"/>
    <row r="26557" s="12" customFormat="1" x14ac:dyDescent="0.25"/>
    <row r="26558" s="12" customFormat="1" x14ac:dyDescent="0.25"/>
    <row r="26559" s="12" customFormat="1" x14ac:dyDescent="0.25"/>
    <row r="26560" s="12" customFormat="1" x14ac:dyDescent="0.25"/>
    <row r="26561" s="12" customFormat="1" x14ac:dyDescent="0.25"/>
    <row r="26562" s="12" customFormat="1" x14ac:dyDescent="0.25"/>
    <row r="26563" s="12" customFormat="1" x14ac:dyDescent="0.25"/>
    <row r="26564" s="12" customFormat="1" x14ac:dyDescent="0.25"/>
    <row r="26565" s="12" customFormat="1" x14ac:dyDescent="0.25"/>
    <row r="26566" s="12" customFormat="1" x14ac:dyDescent="0.25"/>
    <row r="26567" s="12" customFormat="1" x14ac:dyDescent="0.25"/>
    <row r="26568" s="12" customFormat="1" x14ac:dyDescent="0.25"/>
    <row r="26569" s="12" customFormat="1" x14ac:dyDescent="0.25"/>
    <row r="26570" s="12" customFormat="1" x14ac:dyDescent="0.25"/>
    <row r="26571" s="12" customFormat="1" x14ac:dyDescent="0.25"/>
    <row r="26572" s="12" customFormat="1" x14ac:dyDescent="0.25"/>
    <row r="26573" s="12" customFormat="1" x14ac:dyDescent="0.25"/>
    <row r="26574" s="12" customFormat="1" x14ac:dyDescent="0.25"/>
    <row r="26575" s="12" customFormat="1" x14ac:dyDescent="0.25"/>
    <row r="26576" s="12" customFormat="1" x14ac:dyDescent="0.25"/>
    <row r="26577" s="12" customFormat="1" x14ac:dyDescent="0.25"/>
    <row r="26578" s="12" customFormat="1" x14ac:dyDescent="0.25"/>
    <row r="26579" s="12" customFormat="1" x14ac:dyDescent="0.25"/>
    <row r="26580" s="12" customFormat="1" x14ac:dyDescent="0.25"/>
    <row r="26581" s="12" customFormat="1" x14ac:dyDescent="0.25"/>
    <row r="26582" s="12" customFormat="1" x14ac:dyDescent="0.25"/>
    <row r="26583" s="12" customFormat="1" x14ac:dyDescent="0.25"/>
    <row r="26584" s="12" customFormat="1" x14ac:dyDescent="0.25"/>
    <row r="26585" s="12" customFormat="1" x14ac:dyDescent="0.25"/>
    <row r="26586" s="12" customFormat="1" x14ac:dyDescent="0.25"/>
    <row r="26587" s="12" customFormat="1" x14ac:dyDescent="0.25"/>
    <row r="26588" s="12" customFormat="1" x14ac:dyDescent="0.25"/>
    <row r="26589" s="12" customFormat="1" x14ac:dyDescent="0.25"/>
    <row r="26590" s="12" customFormat="1" x14ac:dyDescent="0.25"/>
    <row r="26591" s="12" customFormat="1" x14ac:dyDescent="0.25"/>
    <row r="26592" s="12" customFormat="1" x14ac:dyDescent="0.25"/>
    <row r="26593" s="12" customFormat="1" x14ac:dyDescent="0.25"/>
    <row r="26594" s="12" customFormat="1" x14ac:dyDescent="0.25"/>
    <row r="26595" s="12" customFormat="1" x14ac:dyDescent="0.25"/>
    <row r="26596" s="12" customFormat="1" x14ac:dyDescent="0.25"/>
    <row r="26597" s="12" customFormat="1" x14ac:dyDescent="0.25"/>
    <row r="26598" s="12" customFormat="1" x14ac:dyDescent="0.25"/>
    <row r="26599" s="12" customFormat="1" x14ac:dyDescent="0.25"/>
    <row r="26600" s="12" customFormat="1" x14ac:dyDescent="0.25"/>
    <row r="26601" s="12" customFormat="1" x14ac:dyDescent="0.25"/>
    <row r="26602" s="12" customFormat="1" x14ac:dyDescent="0.25"/>
    <row r="26603" s="12" customFormat="1" x14ac:dyDescent="0.25"/>
    <row r="26604" s="12" customFormat="1" x14ac:dyDescent="0.25"/>
    <row r="26605" s="12" customFormat="1" x14ac:dyDescent="0.25"/>
    <row r="26606" s="12" customFormat="1" x14ac:dyDescent="0.25"/>
    <row r="26607" s="12" customFormat="1" x14ac:dyDescent="0.25"/>
    <row r="26608" s="12" customFormat="1" x14ac:dyDescent="0.25"/>
    <row r="26609" s="12" customFormat="1" x14ac:dyDescent="0.25"/>
    <row r="26610" s="12" customFormat="1" x14ac:dyDescent="0.25"/>
    <row r="26611" s="12" customFormat="1" x14ac:dyDescent="0.25"/>
    <row r="26612" s="12" customFormat="1" x14ac:dyDescent="0.25"/>
    <row r="26613" s="12" customFormat="1" x14ac:dyDescent="0.25"/>
    <row r="26614" s="12" customFormat="1" x14ac:dyDescent="0.25"/>
    <row r="26615" s="12" customFormat="1" x14ac:dyDescent="0.25"/>
    <row r="26616" s="12" customFormat="1" x14ac:dyDescent="0.25"/>
    <row r="26617" s="12" customFormat="1" x14ac:dyDescent="0.25"/>
    <row r="26618" s="12" customFormat="1" x14ac:dyDescent="0.25"/>
    <row r="26619" s="12" customFormat="1" x14ac:dyDescent="0.25"/>
    <row r="26620" s="12" customFormat="1" x14ac:dyDescent="0.25"/>
    <row r="26621" s="12" customFormat="1" x14ac:dyDescent="0.25"/>
    <row r="26622" s="12" customFormat="1" x14ac:dyDescent="0.25"/>
    <row r="26623" s="12" customFormat="1" x14ac:dyDescent="0.25"/>
    <row r="26624" s="12" customFormat="1" x14ac:dyDescent="0.25"/>
    <row r="26625" s="12" customFormat="1" x14ac:dyDescent="0.25"/>
    <row r="26626" s="12" customFormat="1" x14ac:dyDescent="0.25"/>
    <row r="26627" s="12" customFormat="1" x14ac:dyDescent="0.25"/>
    <row r="26628" s="12" customFormat="1" x14ac:dyDescent="0.25"/>
    <row r="26629" s="12" customFormat="1" x14ac:dyDescent="0.25"/>
    <row r="26630" s="12" customFormat="1" x14ac:dyDescent="0.25"/>
    <row r="26631" s="12" customFormat="1" x14ac:dyDescent="0.25"/>
    <row r="26632" s="12" customFormat="1" x14ac:dyDescent="0.25"/>
    <row r="26633" s="12" customFormat="1" x14ac:dyDescent="0.25"/>
    <row r="26634" s="12" customFormat="1" x14ac:dyDescent="0.25"/>
    <row r="26635" s="12" customFormat="1" x14ac:dyDescent="0.25"/>
    <row r="26636" s="12" customFormat="1" x14ac:dyDescent="0.25"/>
    <row r="26637" s="12" customFormat="1" x14ac:dyDescent="0.25"/>
    <row r="26638" s="12" customFormat="1" x14ac:dyDescent="0.25"/>
    <row r="26639" s="12" customFormat="1" x14ac:dyDescent="0.25"/>
    <row r="26640" s="12" customFormat="1" x14ac:dyDescent="0.25"/>
    <row r="26641" s="12" customFormat="1" x14ac:dyDescent="0.25"/>
    <row r="26642" s="12" customFormat="1" x14ac:dyDescent="0.25"/>
    <row r="26643" s="12" customFormat="1" x14ac:dyDescent="0.25"/>
    <row r="26644" s="12" customFormat="1" x14ac:dyDescent="0.25"/>
    <row r="26645" s="12" customFormat="1" x14ac:dyDescent="0.25"/>
    <row r="26646" s="12" customFormat="1" x14ac:dyDescent="0.25"/>
    <row r="26647" s="12" customFormat="1" x14ac:dyDescent="0.25"/>
    <row r="26648" s="12" customFormat="1" x14ac:dyDescent="0.25"/>
    <row r="26649" s="12" customFormat="1" x14ac:dyDescent="0.25"/>
    <row r="26650" s="12" customFormat="1" x14ac:dyDescent="0.25"/>
    <row r="26651" s="12" customFormat="1" x14ac:dyDescent="0.25"/>
    <row r="26652" s="12" customFormat="1" x14ac:dyDescent="0.25"/>
    <row r="26653" s="12" customFormat="1" x14ac:dyDescent="0.25"/>
    <row r="26654" s="12" customFormat="1" x14ac:dyDescent="0.25"/>
    <row r="26655" s="12" customFormat="1" x14ac:dyDescent="0.25"/>
    <row r="26656" s="12" customFormat="1" x14ac:dyDescent="0.25"/>
    <row r="26657" s="12" customFormat="1" x14ac:dyDescent="0.25"/>
    <row r="26658" s="12" customFormat="1" x14ac:dyDescent="0.25"/>
    <row r="26659" s="12" customFormat="1" x14ac:dyDescent="0.25"/>
    <row r="26660" s="12" customFormat="1" x14ac:dyDescent="0.25"/>
    <row r="26661" s="12" customFormat="1" x14ac:dyDescent="0.25"/>
    <row r="26662" s="12" customFormat="1" x14ac:dyDescent="0.25"/>
    <row r="26663" s="12" customFormat="1" x14ac:dyDescent="0.25"/>
    <row r="26664" s="12" customFormat="1" x14ac:dyDescent="0.25"/>
    <row r="26665" s="12" customFormat="1" x14ac:dyDescent="0.25"/>
    <row r="26666" s="12" customFormat="1" x14ac:dyDescent="0.25"/>
    <row r="26667" s="12" customFormat="1" x14ac:dyDescent="0.25"/>
    <row r="26668" s="12" customFormat="1" x14ac:dyDescent="0.25"/>
    <row r="26669" s="12" customFormat="1" x14ac:dyDescent="0.25"/>
    <row r="26670" s="12" customFormat="1" x14ac:dyDescent="0.25"/>
    <row r="26671" s="12" customFormat="1" x14ac:dyDescent="0.25"/>
    <row r="26672" s="12" customFormat="1" x14ac:dyDescent="0.25"/>
    <row r="26673" s="12" customFormat="1" x14ac:dyDescent="0.25"/>
    <row r="26674" s="12" customFormat="1" x14ac:dyDescent="0.25"/>
    <row r="26675" s="12" customFormat="1" x14ac:dyDescent="0.25"/>
    <row r="26676" s="12" customFormat="1" x14ac:dyDescent="0.25"/>
    <row r="26677" s="12" customFormat="1" x14ac:dyDescent="0.25"/>
    <row r="26678" s="12" customFormat="1" x14ac:dyDescent="0.25"/>
    <row r="26679" s="12" customFormat="1" x14ac:dyDescent="0.25"/>
    <row r="26680" s="12" customFormat="1" x14ac:dyDescent="0.25"/>
    <row r="26681" s="12" customFormat="1" x14ac:dyDescent="0.25"/>
    <row r="26682" s="12" customFormat="1" x14ac:dyDescent="0.25"/>
    <row r="26683" s="12" customFormat="1" x14ac:dyDescent="0.25"/>
    <row r="26684" s="12" customFormat="1" x14ac:dyDescent="0.25"/>
    <row r="26685" s="12" customFormat="1" x14ac:dyDescent="0.25"/>
    <row r="26686" s="12" customFormat="1" x14ac:dyDescent="0.25"/>
    <row r="26687" s="12" customFormat="1" x14ac:dyDescent="0.25"/>
    <row r="26688" s="12" customFormat="1" x14ac:dyDescent="0.25"/>
    <row r="26689" s="12" customFormat="1" x14ac:dyDescent="0.25"/>
    <row r="26690" s="12" customFormat="1" x14ac:dyDescent="0.25"/>
    <row r="26691" s="12" customFormat="1" x14ac:dyDescent="0.25"/>
    <row r="26692" s="12" customFormat="1" x14ac:dyDescent="0.25"/>
    <row r="26693" s="12" customFormat="1" x14ac:dyDescent="0.25"/>
    <row r="26694" s="12" customFormat="1" x14ac:dyDescent="0.25"/>
    <row r="26695" s="12" customFormat="1" x14ac:dyDescent="0.25"/>
    <row r="26696" s="12" customFormat="1" x14ac:dyDescent="0.25"/>
    <row r="26697" s="12" customFormat="1" x14ac:dyDescent="0.25"/>
    <row r="26698" s="12" customFormat="1" x14ac:dyDescent="0.25"/>
    <row r="26699" s="12" customFormat="1" x14ac:dyDescent="0.25"/>
    <row r="26700" s="12" customFormat="1" x14ac:dyDescent="0.25"/>
    <row r="26701" s="12" customFormat="1" x14ac:dyDescent="0.25"/>
    <row r="26702" s="12" customFormat="1" x14ac:dyDescent="0.25"/>
    <row r="26703" s="12" customFormat="1" x14ac:dyDescent="0.25"/>
    <row r="26704" s="12" customFormat="1" x14ac:dyDescent="0.25"/>
    <row r="26705" s="12" customFormat="1" x14ac:dyDescent="0.25"/>
    <row r="26706" s="12" customFormat="1" x14ac:dyDescent="0.25"/>
    <row r="26707" s="12" customFormat="1" x14ac:dyDescent="0.25"/>
    <row r="26708" s="12" customFormat="1" x14ac:dyDescent="0.25"/>
    <row r="26709" s="12" customFormat="1" x14ac:dyDescent="0.25"/>
    <row r="26710" s="12" customFormat="1" x14ac:dyDescent="0.25"/>
    <row r="26711" s="12" customFormat="1" x14ac:dyDescent="0.25"/>
    <row r="26712" s="12" customFormat="1" x14ac:dyDescent="0.25"/>
    <row r="26713" s="12" customFormat="1" x14ac:dyDescent="0.25"/>
    <row r="26714" s="12" customFormat="1" x14ac:dyDescent="0.25"/>
    <row r="26715" s="12" customFormat="1" x14ac:dyDescent="0.25"/>
    <row r="26716" s="12" customFormat="1" x14ac:dyDescent="0.25"/>
    <row r="26717" s="12" customFormat="1" x14ac:dyDescent="0.25"/>
    <row r="26718" s="12" customFormat="1" x14ac:dyDescent="0.25"/>
    <row r="26719" s="12" customFormat="1" x14ac:dyDescent="0.25"/>
    <row r="26720" s="12" customFormat="1" x14ac:dyDescent="0.25"/>
    <row r="26721" s="12" customFormat="1" x14ac:dyDescent="0.25"/>
    <row r="26722" s="12" customFormat="1" x14ac:dyDescent="0.25"/>
    <row r="26723" s="12" customFormat="1" x14ac:dyDescent="0.25"/>
    <row r="26724" s="12" customFormat="1" x14ac:dyDescent="0.25"/>
    <row r="26725" s="12" customFormat="1" x14ac:dyDescent="0.25"/>
    <row r="26726" s="12" customFormat="1" x14ac:dyDescent="0.25"/>
    <row r="26727" s="12" customFormat="1" x14ac:dyDescent="0.25"/>
    <row r="26728" s="12" customFormat="1" x14ac:dyDescent="0.25"/>
    <row r="26729" s="12" customFormat="1" x14ac:dyDescent="0.25"/>
    <row r="26730" s="12" customFormat="1" x14ac:dyDescent="0.25"/>
    <row r="26731" s="12" customFormat="1" x14ac:dyDescent="0.25"/>
    <row r="26732" s="12" customFormat="1" x14ac:dyDescent="0.25"/>
    <row r="26733" s="12" customFormat="1" x14ac:dyDescent="0.25"/>
    <row r="26734" s="12" customFormat="1" x14ac:dyDescent="0.25"/>
    <row r="26735" s="12" customFormat="1" x14ac:dyDescent="0.25"/>
    <row r="26736" s="12" customFormat="1" x14ac:dyDescent="0.25"/>
    <row r="26737" s="12" customFormat="1" x14ac:dyDescent="0.25"/>
    <row r="26738" s="12" customFormat="1" x14ac:dyDescent="0.25"/>
    <row r="26739" s="12" customFormat="1" x14ac:dyDescent="0.25"/>
    <row r="26740" s="12" customFormat="1" x14ac:dyDescent="0.25"/>
    <row r="26741" s="12" customFormat="1" x14ac:dyDescent="0.25"/>
    <row r="26742" s="12" customFormat="1" x14ac:dyDescent="0.25"/>
    <row r="26743" s="12" customFormat="1" x14ac:dyDescent="0.25"/>
    <row r="26744" s="12" customFormat="1" x14ac:dyDescent="0.25"/>
    <row r="26745" s="12" customFormat="1" x14ac:dyDescent="0.25"/>
    <row r="26746" s="12" customFormat="1" x14ac:dyDescent="0.25"/>
    <row r="26747" s="12" customFormat="1" x14ac:dyDescent="0.25"/>
    <row r="26748" s="12" customFormat="1" x14ac:dyDescent="0.25"/>
    <row r="26749" s="12" customFormat="1" x14ac:dyDescent="0.25"/>
    <row r="26750" s="12" customFormat="1" x14ac:dyDescent="0.25"/>
    <row r="26751" s="12" customFormat="1" x14ac:dyDescent="0.25"/>
    <row r="26752" s="12" customFormat="1" x14ac:dyDescent="0.25"/>
    <row r="26753" s="12" customFormat="1" x14ac:dyDescent="0.25"/>
    <row r="26754" s="12" customFormat="1" x14ac:dyDescent="0.25"/>
    <row r="26755" s="12" customFormat="1" x14ac:dyDescent="0.25"/>
    <row r="26756" s="12" customFormat="1" x14ac:dyDescent="0.25"/>
    <row r="26757" s="12" customFormat="1" x14ac:dyDescent="0.25"/>
    <row r="26758" s="12" customFormat="1" x14ac:dyDescent="0.25"/>
    <row r="26759" s="12" customFormat="1" x14ac:dyDescent="0.25"/>
    <row r="26760" s="12" customFormat="1" x14ac:dyDescent="0.25"/>
    <row r="26761" s="12" customFormat="1" x14ac:dyDescent="0.25"/>
    <row r="26762" s="12" customFormat="1" x14ac:dyDescent="0.25"/>
    <row r="26763" s="12" customFormat="1" x14ac:dyDescent="0.25"/>
    <row r="26764" s="12" customFormat="1" x14ac:dyDescent="0.25"/>
    <row r="26765" s="12" customFormat="1" x14ac:dyDescent="0.25"/>
    <row r="26766" s="12" customFormat="1" x14ac:dyDescent="0.25"/>
    <row r="26767" s="12" customFormat="1" x14ac:dyDescent="0.25"/>
    <row r="26768" s="12" customFormat="1" x14ac:dyDescent="0.25"/>
    <row r="26769" s="12" customFormat="1" x14ac:dyDescent="0.25"/>
    <row r="26770" s="12" customFormat="1" x14ac:dyDescent="0.25"/>
    <row r="26771" s="12" customFormat="1" x14ac:dyDescent="0.25"/>
    <row r="26772" s="12" customFormat="1" x14ac:dyDescent="0.25"/>
    <row r="26773" s="12" customFormat="1" x14ac:dyDescent="0.25"/>
    <row r="26774" s="12" customFormat="1" x14ac:dyDescent="0.25"/>
    <row r="26775" s="12" customFormat="1" x14ac:dyDescent="0.25"/>
    <row r="26776" s="12" customFormat="1" x14ac:dyDescent="0.25"/>
    <row r="26777" s="12" customFormat="1" x14ac:dyDescent="0.25"/>
    <row r="26778" s="12" customFormat="1" x14ac:dyDescent="0.25"/>
    <row r="26779" s="12" customFormat="1" x14ac:dyDescent="0.25"/>
    <row r="26780" s="12" customFormat="1" x14ac:dyDescent="0.25"/>
    <row r="26781" s="12" customFormat="1" x14ac:dyDescent="0.25"/>
    <row r="26782" s="12" customFormat="1" x14ac:dyDescent="0.25"/>
    <row r="26783" s="12" customFormat="1" x14ac:dyDescent="0.25"/>
    <row r="26784" s="12" customFormat="1" x14ac:dyDescent="0.25"/>
    <row r="26785" s="12" customFormat="1" x14ac:dyDescent="0.25"/>
    <row r="26786" s="12" customFormat="1" x14ac:dyDescent="0.25"/>
    <row r="26787" s="12" customFormat="1" x14ac:dyDescent="0.25"/>
    <row r="26788" s="12" customFormat="1" x14ac:dyDescent="0.25"/>
    <row r="26789" s="12" customFormat="1" x14ac:dyDescent="0.25"/>
    <row r="26790" s="12" customFormat="1" x14ac:dyDescent="0.25"/>
    <row r="26791" s="12" customFormat="1" x14ac:dyDescent="0.25"/>
    <row r="26792" s="12" customFormat="1" x14ac:dyDescent="0.25"/>
    <row r="26793" s="12" customFormat="1" x14ac:dyDescent="0.25"/>
    <row r="26794" s="12" customFormat="1" x14ac:dyDescent="0.25"/>
    <row r="26795" s="12" customFormat="1" x14ac:dyDescent="0.25"/>
    <row r="26796" s="12" customFormat="1" x14ac:dyDescent="0.25"/>
    <row r="26797" s="12" customFormat="1" x14ac:dyDescent="0.25"/>
    <row r="26798" s="12" customFormat="1" x14ac:dyDescent="0.25"/>
    <row r="26799" s="12" customFormat="1" x14ac:dyDescent="0.25"/>
    <row r="26800" s="12" customFormat="1" x14ac:dyDescent="0.25"/>
    <row r="26801" s="12" customFormat="1" x14ac:dyDescent="0.25"/>
    <row r="26802" s="12" customFormat="1" x14ac:dyDescent="0.25"/>
    <row r="26803" s="12" customFormat="1" x14ac:dyDescent="0.25"/>
    <row r="26804" s="12" customFormat="1" x14ac:dyDescent="0.25"/>
    <row r="26805" s="12" customFormat="1" x14ac:dyDescent="0.25"/>
    <row r="26806" s="12" customFormat="1" x14ac:dyDescent="0.25"/>
    <row r="26807" s="12" customFormat="1" x14ac:dyDescent="0.25"/>
    <row r="26808" s="12" customFormat="1" x14ac:dyDescent="0.25"/>
    <row r="26809" s="12" customFormat="1" x14ac:dyDescent="0.25"/>
    <row r="26810" s="12" customFormat="1" x14ac:dyDescent="0.25"/>
    <row r="26811" s="12" customFormat="1" x14ac:dyDescent="0.25"/>
    <row r="26812" s="12" customFormat="1" x14ac:dyDescent="0.25"/>
    <row r="26813" s="12" customFormat="1" x14ac:dyDescent="0.25"/>
    <row r="26814" s="12" customFormat="1" x14ac:dyDescent="0.25"/>
    <row r="26815" s="12" customFormat="1" x14ac:dyDescent="0.25"/>
    <row r="26816" s="12" customFormat="1" x14ac:dyDescent="0.25"/>
    <row r="26817" s="12" customFormat="1" x14ac:dyDescent="0.25"/>
    <row r="26818" s="12" customFormat="1" x14ac:dyDescent="0.25"/>
    <row r="26819" s="12" customFormat="1" x14ac:dyDescent="0.25"/>
    <row r="26820" s="12" customFormat="1" x14ac:dyDescent="0.25"/>
    <row r="26821" s="12" customFormat="1" x14ac:dyDescent="0.25"/>
    <row r="26822" s="12" customFormat="1" x14ac:dyDescent="0.25"/>
    <row r="26823" s="12" customFormat="1" x14ac:dyDescent="0.25"/>
    <row r="26824" s="12" customFormat="1" x14ac:dyDescent="0.25"/>
    <row r="26825" s="12" customFormat="1" x14ac:dyDescent="0.25"/>
    <row r="26826" s="12" customFormat="1" x14ac:dyDescent="0.25"/>
    <row r="26827" s="12" customFormat="1" x14ac:dyDescent="0.25"/>
    <row r="26828" s="12" customFormat="1" x14ac:dyDescent="0.25"/>
    <row r="26829" s="12" customFormat="1" x14ac:dyDescent="0.25"/>
    <row r="26830" s="12" customFormat="1" x14ac:dyDescent="0.25"/>
    <row r="26831" s="12" customFormat="1" x14ac:dyDescent="0.25"/>
    <row r="26832" s="12" customFormat="1" x14ac:dyDescent="0.25"/>
    <row r="26833" s="12" customFormat="1" x14ac:dyDescent="0.25"/>
    <row r="26834" s="12" customFormat="1" x14ac:dyDescent="0.25"/>
    <row r="26835" s="12" customFormat="1" x14ac:dyDescent="0.25"/>
    <row r="26836" s="12" customFormat="1" x14ac:dyDescent="0.25"/>
    <row r="26837" s="12" customFormat="1" x14ac:dyDescent="0.25"/>
    <row r="26838" s="12" customFormat="1" x14ac:dyDescent="0.25"/>
    <row r="26839" s="12" customFormat="1" x14ac:dyDescent="0.25"/>
    <row r="26840" s="12" customFormat="1" x14ac:dyDescent="0.25"/>
    <row r="26841" s="12" customFormat="1" x14ac:dyDescent="0.25"/>
    <row r="26842" s="12" customFormat="1" x14ac:dyDescent="0.25"/>
    <row r="26843" s="12" customFormat="1" x14ac:dyDescent="0.25"/>
    <row r="26844" s="12" customFormat="1" x14ac:dyDescent="0.25"/>
    <row r="26845" s="12" customFormat="1" x14ac:dyDescent="0.25"/>
    <row r="26846" s="12" customFormat="1" x14ac:dyDescent="0.25"/>
    <row r="26847" s="12" customFormat="1" x14ac:dyDescent="0.25"/>
    <row r="26848" s="12" customFormat="1" x14ac:dyDescent="0.25"/>
    <row r="26849" s="12" customFormat="1" x14ac:dyDescent="0.25"/>
    <row r="26850" s="12" customFormat="1" x14ac:dyDescent="0.25"/>
    <row r="26851" s="12" customFormat="1" x14ac:dyDescent="0.25"/>
    <row r="26852" s="12" customFormat="1" x14ac:dyDescent="0.25"/>
    <row r="26853" s="12" customFormat="1" x14ac:dyDescent="0.25"/>
    <row r="26854" s="12" customFormat="1" x14ac:dyDescent="0.25"/>
    <row r="26855" s="12" customFormat="1" x14ac:dyDescent="0.25"/>
    <row r="26856" s="12" customFormat="1" x14ac:dyDescent="0.25"/>
    <row r="26857" s="12" customFormat="1" x14ac:dyDescent="0.25"/>
    <row r="26858" s="12" customFormat="1" x14ac:dyDescent="0.25"/>
    <row r="26859" s="12" customFormat="1" x14ac:dyDescent="0.25"/>
    <row r="26860" s="12" customFormat="1" x14ac:dyDescent="0.25"/>
    <row r="26861" s="12" customFormat="1" x14ac:dyDescent="0.25"/>
    <row r="26862" s="12" customFormat="1" x14ac:dyDescent="0.25"/>
    <row r="26863" s="12" customFormat="1" x14ac:dyDescent="0.25"/>
    <row r="26864" s="12" customFormat="1" x14ac:dyDescent="0.25"/>
    <row r="26865" s="12" customFormat="1" x14ac:dyDescent="0.25"/>
    <row r="26866" s="12" customFormat="1" x14ac:dyDescent="0.25"/>
    <row r="26867" s="12" customFormat="1" x14ac:dyDescent="0.25"/>
    <row r="26868" s="12" customFormat="1" x14ac:dyDescent="0.25"/>
    <row r="26869" s="12" customFormat="1" x14ac:dyDescent="0.25"/>
    <row r="26870" s="12" customFormat="1" x14ac:dyDescent="0.25"/>
    <row r="26871" s="12" customFormat="1" x14ac:dyDescent="0.25"/>
    <row r="26872" s="12" customFormat="1" x14ac:dyDescent="0.25"/>
    <row r="26873" s="12" customFormat="1" x14ac:dyDescent="0.25"/>
    <row r="26874" s="12" customFormat="1" x14ac:dyDescent="0.25"/>
    <row r="26875" s="12" customFormat="1" x14ac:dyDescent="0.25"/>
    <row r="26876" s="12" customFormat="1" x14ac:dyDescent="0.25"/>
    <row r="26877" s="12" customFormat="1" x14ac:dyDescent="0.25"/>
    <row r="26878" s="12" customFormat="1" x14ac:dyDescent="0.25"/>
    <row r="26879" s="12" customFormat="1" x14ac:dyDescent="0.25"/>
    <row r="26880" s="12" customFormat="1" x14ac:dyDescent="0.25"/>
    <row r="26881" s="12" customFormat="1" x14ac:dyDescent="0.25"/>
    <row r="26882" s="12" customFormat="1" x14ac:dyDescent="0.25"/>
    <row r="26883" s="12" customFormat="1" x14ac:dyDescent="0.25"/>
    <row r="26884" s="12" customFormat="1" x14ac:dyDescent="0.25"/>
    <row r="26885" s="12" customFormat="1" x14ac:dyDescent="0.25"/>
    <row r="26886" s="12" customFormat="1" x14ac:dyDescent="0.25"/>
    <row r="26887" s="12" customFormat="1" x14ac:dyDescent="0.25"/>
    <row r="26888" s="12" customFormat="1" x14ac:dyDescent="0.25"/>
    <row r="26889" s="12" customFormat="1" x14ac:dyDescent="0.25"/>
    <row r="26890" s="12" customFormat="1" x14ac:dyDescent="0.25"/>
    <row r="26891" s="12" customFormat="1" x14ac:dyDescent="0.25"/>
    <row r="26892" s="12" customFormat="1" x14ac:dyDescent="0.25"/>
    <row r="26893" s="12" customFormat="1" x14ac:dyDescent="0.25"/>
    <row r="26894" s="12" customFormat="1" x14ac:dyDescent="0.25"/>
    <row r="26895" s="12" customFormat="1" x14ac:dyDescent="0.25"/>
    <row r="26896" s="12" customFormat="1" x14ac:dyDescent="0.25"/>
    <row r="26897" s="12" customFormat="1" x14ac:dyDescent="0.25"/>
    <row r="26898" s="12" customFormat="1" x14ac:dyDescent="0.25"/>
    <row r="26899" s="12" customFormat="1" x14ac:dyDescent="0.25"/>
    <row r="26900" s="12" customFormat="1" x14ac:dyDescent="0.25"/>
    <row r="26901" s="12" customFormat="1" x14ac:dyDescent="0.25"/>
    <row r="26902" s="12" customFormat="1" x14ac:dyDescent="0.25"/>
    <row r="26903" s="12" customFormat="1" x14ac:dyDescent="0.25"/>
    <row r="26904" s="12" customFormat="1" x14ac:dyDescent="0.25"/>
    <row r="26905" s="12" customFormat="1" x14ac:dyDescent="0.25"/>
    <row r="26906" s="12" customFormat="1" x14ac:dyDescent="0.25"/>
    <row r="26907" s="12" customFormat="1" x14ac:dyDescent="0.25"/>
    <row r="26908" s="12" customFormat="1" x14ac:dyDescent="0.25"/>
    <row r="26909" s="12" customFormat="1" x14ac:dyDescent="0.25"/>
    <row r="26910" s="12" customFormat="1" x14ac:dyDescent="0.25"/>
    <row r="26911" s="12" customFormat="1" x14ac:dyDescent="0.25"/>
    <row r="26912" s="12" customFormat="1" x14ac:dyDescent="0.25"/>
    <row r="26913" s="12" customFormat="1" x14ac:dyDescent="0.25"/>
    <row r="26914" s="12" customFormat="1" x14ac:dyDescent="0.25"/>
    <row r="26915" s="12" customFormat="1" x14ac:dyDescent="0.25"/>
    <row r="26916" s="12" customFormat="1" x14ac:dyDescent="0.25"/>
    <row r="26917" s="12" customFormat="1" x14ac:dyDescent="0.25"/>
    <row r="26918" s="12" customFormat="1" x14ac:dyDescent="0.25"/>
    <row r="26919" s="12" customFormat="1" x14ac:dyDescent="0.25"/>
    <row r="26920" s="12" customFormat="1" x14ac:dyDescent="0.25"/>
    <row r="26921" s="12" customFormat="1" x14ac:dyDescent="0.25"/>
    <row r="26922" s="12" customFormat="1" x14ac:dyDescent="0.25"/>
    <row r="26923" s="12" customFormat="1" x14ac:dyDescent="0.25"/>
    <row r="26924" s="12" customFormat="1" x14ac:dyDescent="0.25"/>
    <row r="26925" s="12" customFormat="1" x14ac:dyDescent="0.25"/>
    <row r="26926" s="12" customFormat="1" x14ac:dyDescent="0.25"/>
    <row r="26927" s="12" customFormat="1" x14ac:dyDescent="0.25"/>
    <row r="26928" s="12" customFormat="1" x14ac:dyDescent="0.25"/>
    <row r="26929" s="12" customFormat="1" x14ac:dyDescent="0.25"/>
    <row r="26930" s="12" customFormat="1" x14ac:dyDescent="0.25"/>
    <row r="26931" s="12" customFormat="1" x14ac:dyDescent="0.25"/>
    <row r="26932" s="12" customFormat="1" x14ac:dyDescent="0.25"/>
    <row r="26933" s="12" customFormat="1" x14ac:dyDescent="0.25"/>
    <row r="26934" s="12" customFormat="1" x14ac:dyDescent="0.25"/>
    <row r="26935" s="12" customFormat="1" x14ac:dyDescent="0.25"/>
    <row r="26936" s="12" customFormat="1" x14ac:dyDescent="0.25"/>
    <row r="26937" s="12" customFormat="1" x14ac:dyDescent="0.25"/>
    <row r="26938" s="12" customFormat="1" x14ac:dyDescent="0.25"/>
    <row r="26939" s="12" customFormat="1" x14ac:dyDescent="0.25"/>
    <row r="26940" s="12" customFormat="1" x14ac:dyDescent="0.25"/>
    <row r="26941" s="12" customFormat="1" x14ac:dyDescent="0.25"/>
    <row r="26942" s="12" customFormat="1" x14ac:dyDescent="0.25"/>
    <row r="26943" s="12" customFormat="1" x14ac:dyDescent="0.25"/>
    <row r="26944" s="12" customFormat="1" x14ac:dyDescent="0.25"/>
    <row r="26945" s="12" customFormat="1" x14ac:dyDescent="0.25"/>
    <row r="26946" s="12" customFormat="1" x14ac:dyDescent="0.25"/>
    <row r="26947" s="12" customFormat="1" x14ac:dyDescent="0.25"/>
    <row r="26948" s="12" customFormat="1" x14ac:dyDescent="0.25"/>
    <row r="26949" s="12" customFormat="1" x14ac:dyDescent="0.25"/>
    <row r="26950" s="12" customFormat="1" x14ac:dyDescent="0.25"/>
    <row r="26951" s="12" customFormat="1" x14ac:dyDescent="0.25"/>
    <row r="26952" s="12" customFormat="1" x14ac:dyDescent="0.25"/>
    <row r="26953" s="12" customFormat="1" x14ac:dyDescent="0.25"/>
    <row r="26954" s="12" customFormat="1" x14ac:dyDescent="0.25"/>
    <row r="26955" s="12" customFormat="1" x14ac:dyDescent="0.25"/>
    <row r="26956" s="12" customFormat="1" x14ac:dyDescent="0.25"/>
    <row r="26957" s="12" customFormat="1" x14ac:dyDescent="0.25"/>
    <row r="26958" s="12" customFormat="1" x14ac:dyDescent="0.25"/>
    <row r="26959" s="12" customFormat="1" x14ac:dyDescent="0.25"/>
    <row r="26960" s="12" customFormat="1" x14ac:dyDescent="0.25"/>
    <row r="26961" s="12" customFormat="1" x14ac:dyDescent="0.25"/>
    <row r="26962" s="12" customFormat="1" x14ac:dyDescent="0.25"/>
    <row r="26963" s="12" customFormat="1" x14ac:dyDescent="0.25"/>
    <row r="26964" s="12" customFormat="1" x14ac:dyDescent="0.25"/>
    <row r="26965" s="12" customFormat="1" x14ac:dyDescent="0.25"/>
    <row r="26966" s="12" customFormat="1" x14ac:dyDescent="0.25"/>
    <row r="26967" s="12" customFormat="1" x14ac:dyDescent="0.25"/>
    <row r="26968" s="12" customFormat="1" x14ac:dyDescent="0.25"/>
    <row r="26969" s="12" customFormat="1" x14ac:dyDescent="0.25"/>
    <row r="26970" s="12" customFormat="1" x14ac:dyDescent="0.25"/>
    <row r="26971" s="12" customFormat="1" x14ac:dyDescent="0.25"/>
    <row r="26972" s="12" customFormat="1" x14ac:dyDescent="0.25"/>
    <row r="26973" s="12" customFormat="1" x14ac:dyDescent="0.25"/>
    <row r="26974" s="12" customFormat="1" x14ac:dyDescent="0.25"/>
    <row r="26975" s="12" customFormat="1" x14ac:dyDescent="0.25"/>
    <row r="26976" s="12" customFormat="1" x14ac:dyDescent="0.25"/>
    <row r="26977" s="12" customFormat="1" x14ac:dyDescent="0.25"/>
    <row r="26978" s="12" customFormat="1" x14ac:dyDescent="0.25"/>
    <row r="26979" s="12" customFormat="1" x14ac:dyDescent="0.25"/>
    <row r="26980" s="12" customFormat="1" x14ac:dyDescent="0.25"/>
    <row r="26981" s="12" customFormat="1" x14ac:dyDescent="0.25"/>
    <row r="26982" s="12" customFormat="1" x14ac:dyDescent="0.25"/>
    <row r="26983" s="12" customFormat="1" x14ac:dyDescent="0.25"/>
    <row r="26984" s="12" customFormat="1" x14ac:dyDescent="0.25"/>
    <row r="26985" s="12" customFormat="1" x14ac:dyDescent="0.25"/>
    <row r="26986" s="12" customFormat="1" x14ac:dyDescent="0.25"/>
    <row r="26987" s="12" customFormat="1" x14ac:dyDescent="0.25"/>
    <row r="26988" s="12" customFormat="1" x14ac:dyDescent="0.25"/>
    <row r="26989" s="12" customFormat="1" x14ac:dyDescent="0.25"/>
    <row r="26990" s="12" customFormat="1" x14ac:dyDescent="0.25"/>
    <row r="26991" s="12" customFormat="1" x14ac:dyDescent="0.25"/>
    <row r="26992" s="12" customFormat="1" x14ac:dyDescent="0.25"/>
    <row r="26993" s="12" customFormat="1" x14ac:dyDescent="0.25"/>
    <row r="26994" s="12" customFormat="1" x14ac:dyDescent="0.25"/>
    <row r="26995" s="12" customFormat="1" x14ac:dyDescent="0.25"/>
    <row r="26996" s="12" customFormat="1" x14ac:dyDescent="0.25"/>
    <row r="26997" s="12" customFormat="1" x14ac:dyDescent="0.25"/>
    <row r="26998" s="12" customFormat="1" x14ac:dyDescent="0.25"/>
    <row r="26999" s="12" customFormat="1" x14ac:dyDescent="0.25"/>
    <row r="27000" s="12" customFormat="1" x14ac:dyDescent="0.25"/>
    <row r="27001" s="12" customFormat="1" x14ac:dyDescent="0.25"/>
    <row r="27002" s="12" customFormat="1" x14ac:dyDescent="0.25"/>
    <row r="27003" s="12" customFormat="1" x14ac:dyDescent="0.25"/>
    <row r="27004" s="12" customFormat="1" x14ac:dyDescent="0.25"/>
    <row r="27005" s="12" customFormat="1" x14ac:dyDescent="0.25"/>
    <row r="27006" s="12" customFormat="1" x14ac:dyDescent="0.25"/>
    <row r="27007" s="12" customFormat="1" x14ac:dyDescent="0.25"/>
    <row r="27008" s="12" customFormat="1" x14ac:dyDescent="0.25"/>
    <row r="27009" s="12" customFormat="1" x14ac:dyDescent="0.25"/>
    <row r="27010" s="12" customFormat="1" x14ac:dyDescent="0.25"/>
    <row r="27011" s="12" customFormat="1" x14ac:dyDescent="0.25"/>
    <row r="27012" s="12" customFormat="1" x14ac:dyDescent="0.25"/>
    <row r="27013" s="12" customFormat="1" x14ac:dyDescent="0.25"/>
    <row r="27014" s="12" customFormat="1" x14ac:dyDescent="0.25"/>
    <row r="27015" s="12" customFormat="1" x14ac:dyDescent="0.25"/>
    <row r="27016" s="12" customFormat="1" x14ac:dyDescent="0.25"/>
    <row r="27017" s="12" customFormat="1" x14ac:dyDescent="0.25"/>
    <row r="27018" s="12" customFormat="1" x14ac:dyDescent="0.25"/>
    <row r="27019" s="12" customFormat="1" x14ac:dyDescent="0.25"/>
    <row r="27020" s="12" customFormat="1" x14ac:dyDescent="0.25"/>
    <row r="27021" s="12" customFormat="1" x14ac:dyDescent="0.25"/>
    <row r="27022" s="12" customFormat="1" x14ac:dyDescent="0.25"/>
    <row r="27023" s="12" customFormat="1" x14ac:dyDescent="0.25"/>
    <row r="27024" s="12" customFormat="1" x14ac:dyDescent="0.25"/>
    <row r="27025" s="12" customFormat="1" x14ac:dyDescent="0.25"/>
    <row r="27026" s="12" customFormat="1" x14ac:dyDescent="0.25"/>
    <row r="27027" s="12" customFormat="1" x14ac:dyDescent="0.25"/>
    <row r="27028" s="12" customFormat="1" x14ac:dyDescent="0.25"/>
    <row r="27029" s="12" customFormat="1" x14ac:dyDescent="0.25"/>
    <row r="27030" s="12" customFormat="1" x14ac:dyDescent="0.25"/>
    <row r="27031" s="12" customFormat="1" x14ac:dyDescent="0.25"/>
    <row r="27032" s="12" customFormat="1" x14ac:dyDescent="0.25"/>
    <row r="27033" s="12" customFormat="1" x14ac:dyDescent="0.25"/>
    <row r="27034" s="12" customFormat="1" x14ac:dyDescent="0.25"/>
    <row r="27035" s="12" customFormat="1" x14ac:dyDescent="0.25"/>
    <row r="27036" s="12" customFormat="1" x14ac:dyDescent="0.25"/>
    <row r="27037" s="12" customFormat="1" x14ac:dyDescent="0.25"/>
    <row r="27038" s="12" customFormat="1" x14ac:dyDescent="0.25"/>
    <row r="27039" s="12" customFormat="1" x14ac:dyDescent="0.25"/>
    <row r="27040" s="12" customFormat="1" x14ac:dyDescent="0.25"/>
    <row r="27041" s="12" customFormat="1" x14ac:dyDescent="0.25"/>
    <row r="27042" s="12" customFormat="1" x14ac:dyDescent="0.25"/>
    <row r="27043" s="12" customFormat="1" x14ac:dyDescent="0.25"/>
    <row r="27044" s="12" customFormat="1" x14ac:dyDescent="0.25"/>
    <row r="27045" s="12" customFormat="1" x14ac:dyDescent="0.25"/>
    <row r="27046" s="12" customFormat="1" x14ac:dyDescent="0.25"/>
    <row r="27047" s="12" customFormat="1" x14ac:dyDescent="0.25"/>
    <row r="27048" s="12" customFormat="1" x14ac:dyDescent="0.25"/>
    <row r="27049" s="12" customFormat="1" x14ac:dyDescent="0.25"/>
    <row r="27050" s="12" customFormat="1" x14ac:dyDescent="0.25"/>
    <row r="27051" s="12" customFormat="1" x14ac:dyDescent="0.25"/>
    <row r="27052" s="12" customFormat="1" x14ac:dyDescent="0.25"/>
    <row r="27053" s="12" customFormat="1" x14ac:dyDescent="0.25"/>
    <row r="27054" s="12" customFormat="1" x14ac:dyDescent="0.25"/>
    <row r="27055" s="12" customFormat="1" x14ac:dyDescent="0.25"/>
    <row r="27056" s="12" customFormat="1" x14ac:dyDescent="0.25"/>
    <row r="27057" s="12" customFormat="1" x14ac:dyDescent="0.25"/>
    <row r="27058" s="12" customFormat="1" x14ac:dyDescent="0.25"/>
    <row r="27059" s="12" customFormat="1" x14ac:dyDescent="0.25"/>
    <row r="27060" s="12" customFormat="1" x14ac:dyDescent="0.25"/>
    <row r="27061" s="12" customFormat="1" x14ac:dyDescent="0.25"/>
    <row r="27062" s="12" customFormat="1" x14ac:dyDescent="0.25"/>
    <row r="27063" s="12" customFormat="1" x14ac:dyDescent="0.25"/>
    <row r="27064" s="12" customFormat="1" x14ac:dyDescent="0.25"/>
    <row r="27065" s="12" customFormat="1" x14ac:dyDescent="0.25"/>
    <row r="27066" s="12" customFormat="1" x14ac:dyDescent="0.25"/>
    <row r="27067" s="12" customFormat="1" x14ac:dyDescent="0.25"/>
    <row r="27068" s="12" customFormat="1" x14ac:dyDescent="0.25"/>
    <row r="27069" s="12" customFormat="1" x14ac:dyDescent="0.25"/>
    <row r="27070" s="12" customFormat="1" x14ac:dyDescent="0.25"/>
    <row r="27071" s="12" customFormat="1" x14ac:dyDescent="0.25"/>
    <row r="27072" s="12" customFormat="1" x14ac:dyDescent="0.25"/>
    <row r="27073" s="12" customFormat="1" x14ac:dyDescent="0.25"/>
    <row r="27074" s="12" customFormat="1" x14ac:dyDescent="0.25"/>
    <row r="27075" s="12" customFormat="1" x14ac:dyDescent="0.25"/>
    <row r="27076" s="12" customFormat="1" x14ac:dyDescent="0.25"/>
    <row r="27077" s="12" customFormat="1" x14ac:dyDescent="0.25"/>
    <row r="27078" s="12" customFormat="1" x14ac:dyDescent="0.25"/>
    <row r="27079" s="12" customFormat="1" x14ac:dyDescent="0.25"/>
    <row r="27080" s="12" customFormat="1" x14ac:dyDescent="0.25"/>
    <row r="27081" s="12" customFormat="1" x14ac:dyDescent="0.25"/>
    <row r="27082" s="12" customFormat="1" x14ac:dyDescent="0.25"/>
    <row r="27083" s="12" customFormat="1" x14ac:dyDescent="0.25"/>
    <row r="27084" s="12" customFormat="1" x14ac:dyDescent="0.25"/>
    <row r="27085" s="12" customFormat="1" x14ac:dyDescent="0.25"/>
    <row r="27086" s="12" customFormat="1" x14ac:dyDescent="0.25"/>
    <row r="27087" s="12" customFormat="1" x14ac:dyDescent="0.25"/>
    <row r="27088" s="12" customFormat="1" x14ac:dyDescent="0.25"/>
    <row r="27089" s="12" customFormat="1" x14ac:dyDescent="0.25"/>
    <row r="27090" s="12" customFormat="1" x14ac:dyDescent="0.25"/>
    <row r="27091" s="12" customFormat="1" x14ac:dyDescent="0.25"/>
    <row r="27092" s="12" customFormat="1" x14ac:dyDescent="0.25"/>
    <row r="27093" s="12" customFormat="1" x14ac:dyDescent="0.25"/>
    <row r="27094" s="12" customFormat="1" x14ac:dyDescent="0.25"/>
    <row r="27095" s="12" customFormat="1" x14ac:dyDescent="0.25"/>
    <row r="27096" s="12" customFormat="1" x14ac:dyDescent="0.25"/>
    <row r="27097" s="12" customFormat="1" x14ac:dyDescent="0.25"/>
    <row r="27098" s="12" customFormat="1" x14ac:dyDescent="0.25"/>
    <row r="27099" s="12" customFormat="1" x14ac:dyDescent="0.25"/>
    <row r="27100" s="12" customFormat="1" x14ac:dyDescent="0.25"/>
    <row r="27101" s="12" customFormat="1" x14ac:dyDescent="0.25"/>
    <row r="27102" s="12" customFormat="1" x14ac:dyDescent="0.25"/>
    <row r="27103" s="12" customFormat="1" x14ac:dyDescent="0.25"/>
    <row r="27104" s="12" customFormat="1" x14ac:dyDescent="0.25"/>
    <row r="27105" s="12" customFormat="1" x14ac:dyDescent="0.25"/>
    <row r="27106" s="12" customFormat="1" x14ac:dyDescent="0.25"/>
    <row r="27107" s="12" customFormat="1" x14ac:dyDescent="0.25"/>
    <row r="27108" s="12" customFormat="1" x14ac:dyDescent="0.25"/>
    <row r="27109" s="12" customFormat="1" x14ac:dyDescent="0.25"/>
    <row r="27110" s="12" customFormat="1" x14ac:dyDescent="0.25"/>
    <row r="27111" s="12" customFormat="1" x14ac:dyDescent="0.25"/>
    <row r="27112" s="12" customFormat="1" x14ac:dyDescent="0.25"/>
    <row r="27113" s="12" customFormat="1" x14ac:dyDescent="0.25"/>
    <row r="27114" s="12" customFormat="1" x14ac:dyDescent="0.25"/>
    <row r="27115" s="12" customFormat="1" x14ac:dyDescent="0.25"/>
    <row r="27116" s="12" customFormat="1" x14ac:dyDescent="0.25"/>
    <row r="27117" s="12" customFormat="1" x14ac:dyDescent="0.25"/>
    <row r="27118" s="12" customFormat="1" x14ac:dyDescent="0.25"/>
    <row r="27119" s="12" customFormat="1" x14ac:dyDescent="0.25"/>
    <row r="27120" s="12" customFormat="1" x14ac:dyDescent="0.25"/>
    <row r="27121" s="12" customFormat="1" x14ac:dyDescent="0.25"/>
    <row r="27122" s="12" customFormat="1" x14ac:dyDescent="0.25"/>
    <row r="27123" s="12" customFormat="1" x14ac:dyDescent="0.25"/>
    <row r="27124" s="12" customFormat="1" x14ac:dyDescent="0.25"/>
    <row r="27125" s="12" customFormat="1" x14ac:dyDescent="0.25"/>
    <row r="27126" s="12" customFormat="1" x14ac:dyDescent="0.25"/>
    <row r="27127" s="12" customFormat="1" x14ac:dyDescent="0.25"/>
    <row r="27128" s="12" customFormat="1" x14ac:dyDescent="0.25"/>
    <row r="27129" s="12" customFormat="1" x14ac:dyDescent="0.25"/>
    <row r="27130" s="12" customFormat="1" x14ac:dyDescent="0.25"/>
    <row r="27131" s="12" customFormat="1" x14ac:dyDescent="0.25"/>
    <row r="27132" s="12" customFormat="1" x14ac:dyDescent="0.25"/>
    <row r="27133" s="12" customFormat="1" x14ac:dyDescent="0.25"/>
    <row r="27134" s="12" customFormat="1" x14ac:dyDescent="0.25"/>
    <row r="27135" s="12" customFormat="1" x14ac:dyDescent="0.25"/>
    <row r="27136" s="12" customFormat="1" x14ac:dyDescent="0.25"/>
    <row r="27137" s="12" customFormat="1" x14ac:dyDescent="0.25"/>
    <row r="27138" s="12" customFormat="1" x14ac:dyDescent="0.25"/>
    <row r="27139" s="12" customFormat="1" x14ac:dyDescent="0.25"/>
    <row r="27140" s="12" customFormat="1" x14ac:dyDescent="0.25"/>
    <row r="27141" s="12" customFormat="1" x14ac:dyDescent="0.25"/>
    <row r="27142" s="12" customFormat="1" x14ac:dyDescent="0.25"/>
    <row r="27143" s="12" customFormat="1" x14ac:dyDescent="0.25"/>
    <row r="27144" s="12" customFormat="1" x14ac:dyDescent="0.25"/>
    <row r="27145" s="12" customFormat="1" x14ac:dyDescent="0.25"/>
    <row r="27146" s="12" customFormat="1" x14ac:dyDescent="0.25"/>
    <row r="27147" s="12" customFormat="1" x14ac:dyDescent="0.25"/>
    <row r="27148" s="12" customFormat="1" x14ac:dyDescent="0.25"/>
    <row r="27149" s="12" customFormat="1" x14ac:dyDescent="0.25"/>
    <row r="27150" s="12" customFormat="1" x14ac:dyDescent="0.25"/>
    <row r="27151" s="12" customFormat="1" x14ac:dyDescent="0.25"/>
    <row r="27152" s="12" customFormat="1" x14ac:dyDescent="0.25"/>
    <row r="27153" s="12" customFormat="1" x14ac:dyDescent="0.25"/>
    <row r="27154" s="12" customFormat="1" x14ac:dyDescent="0.25"/>
    <row r="27155" s="12" customFormat="1" x14ac:dyDescent="0.25"/>
    <row r="27156" s="12" customFormat="1" x14ac:dyDescent="0.25"/>
    <row r="27157" s="12" customFormat="1" x14ac:dyDescent="0.25"/>
    <row r="27158" s="12" customFormat="1" x14ac:dyDescent="0.25"/>
    <row r="27159" s="12" customFormat="1" x14ac:dyDescent="0.25"/>
    <row r="27160" s="12" customFormat="1" x14ac:dyDescent="0.25"/>
    <row r="27161" s="12" customFormat="1" x14ac:dyDescent="0.25"/>
    <row r="27162" s="12" customFormat="1" x14ac:dyDescent="0.25"/>
    <row r="27163" s="12" customFormat="1" x14ac:dyDescent="0.25"/>
    <row r="27164" s="12" customFormat="1" x14ac:dyDescent="0.25"/>
    <row r="27165" s="12" customFormat="1" x14ac:dyDescent="0.25"/>
    <row r="27166" s="12" customFormat="1" x14ac:dyDescent="0.25"/>
    <row r="27167" s="12" customFormat="1" x14ac:dyDescent="0.25"/>
    <row r="27168" s="12" customFormat="1" x14ac:dyDescent="0.25"/>
    <row r="27169" s="12" customFormat="1" x14ac:dyDescent="0.25"/>
    <row r="27170" s="12" customFormat="1" x14ac:dyDescent="0.25"/>
    <row r="27171" s="12" customFormat="1" x14ac:dyDescent="0.25"/>
    <row r="27172" s="12" customFormat="1" x14ac:dyDescent="0.25"/>
    <row r="27173" s="12" customFormat="1" x14ac:dyDescent="0.25"/>
    <row r="27174" s="12" customFormat="1" x14ac:dyDescent="0.25"/>
    <row r="27175" s="12" customFormat="1" x14ac:dyDescent="0.25"/>
    <row r="27176" s="12" customFormat="1" x14ac:dyDescent="0.25"/>
    <row r="27177" s="12" customFormat="1" x14ac:dyDescent="0.25"/>
    <row r="27178" s="12" customFormat="1" x14ac:dyDescent="0.25"/>
    <row r="27179" s="12" customFormat="1" x14ac:dyDescent="0.25"/>
    <row r="27180" s="12" customFormat="1" x14ac:dyDescent="0.25"/>
    <row r="27181" s="12" customFormat="1" x14ac:dyDescent="0.25"/>
    <row r="27182" s="12" customFormat="1" x14ac:dyDescent="0.25"/>
    <row r="27183" s="12" customFormat="1" x14ac:dyDescent="0.25"/>
    <row r="27184" s="12" customFormat="1" x14ac:dyDescent="0.25"/>
    <row r="27185" s="12" customFormat="1" x14ac:dyDescent="0.25"/>
    <row r="27186" s="12" customFormat="1" x14ac:dyDescent="0.25"/>
    <row r="27187" s="12" customFormat="1" x14ac:dyDescent="0.25"/>
    <row r="27188" s="12" customFormat="1" x14ac:dyDescent="0.25"/>
    <row r="27189" s="12" customFormat="1" x14ac:dyDescent="0.25"/>
    <row r="27190" s="12" customFormat="1" x14ac:dyDescent="0.25"/>
    <row r="27191" s="12" customFormat="1" x14ac:dyDescent="0.25"/>
    <row r="27192" s="12" customFormat="1" x14ac:dyDescent="0.25"/>
    <row r="27193" s="12" customFormat="1" x14ac:dyDescent="0.25"/>
    <row r="27194" s="12" customFormat="1" x14ac:dyDescent="0.25"/>
    <row r="27195" s="12" customFormat="1" x14ac:dyDescent="0.25"/>
    <row r="27196" s="12" customFormat="1" x14ac:dyDescent="0.25"/>
    <row r="27197" s="12" customFormat="1" x14ac:dyDescent="0.25"/>
    <row r="27198" s="12" customFormat="1" x14ac:dyDescent="0.25"/>
    <row r="27199" s="12" customFormat="1" x14ac:dyDescent="0.25"/>
    <row r="27200" s="12" customFormat="1" x14ac:dyDescent="0.25"/>
    <row r="27201" s="12" customFormat="1" x14ac:dyDescent="0.25"/>
    <row r="27202" s="12" customFormat="1" x14ac:dyDescent="0.25"/>
    <row r="27203" s="12" customFormat="1" x14ac:dyDescent="0.25"/>
    <row r="27204" s="12" customFormat="1" x14ac:dyDescent="0.25"/>
    <row r="27205" s="12" customFormat="1" x14ac:dyDescent="0.25"/>
    <row r="27206" s="12" customFormat="1" x14ac:dyDescent="0.25"/>
    <row r="27207" s="12" customFormat="1" x14ac:dyDescent="0.25"/>
    <row r="27208" s="12" customFormat="1" x14ac:dyDescent="0.25"/>
    <row r="27209" s="12" customFormat="1" x14ac:dyDescent="0.25"/>
    <row r="27210" s="12" customFormat="1" x14ac:dyDescent="0.25"/>
    <row r="27211" s="12" customFormat="1" x14ac:dyDescent="0.25"/>
    <row r="27212" s="12" customFormat="1" x14ac:dyDescent="0.25"/>
    <row r="27213" s="12" customFormat="1" x14ac:dyDescent="0.25"/>
    <row r="27214" s="12" customFormat="1" x14ac:dyDescent="0.25"/>
    <row r="27215" s="12" customFormat="1" x14ac:dyDescent="0.25"/>
    <row r="27216" s="12" customFormat="1" x14ac:dyDescent="0.25"/>
    <row r="27217" s="12" customFormat="1" x14ac:dyDescent="0.25"/>
    <row r="27218" s="12" customFormat="1" x14ac:dyDescent="0.25"/>
    <row r="27219" s="12" customFormat="1" x14ac:dyDescent="0.25"/>
    <row r="27220" s="12" customFormat="1" x14ac:dyDescent="0.25"/>
    <row r="27221" s="12" customFormat="1" x14ac:dyDescent="0.25"/>
    <row r="27222" s="12" customFormat="1" x14ac:dyDescent="0.25"/>
    <row r="27223" s="12" customFormat="1" x14ac:dyDescent="0.25"/>
    <row r="27224" s="12" customFormat="1" x14ac:dyDescent="0.25"/>
    <row r="27225" s="12" customFormat="1" x14ac:dyDescent="0.25"/>
    <row r="27226" s="12" customFormat="1" x14ac:dyDescent="0.25"/>
    <row r="27227" s="12" customFormat="1" x14ac:dyDescent="0.25"/>
    <row r="27228" s="12" customFormat="1" x14ac:dyDescent="0.25"/>
    <row r="27229" s="12" customFormat="1" x14ac:dyDescent="0.25"/>
    <row r="27230" s="12" customFormat="1" x14ac:dyDescent="0.25"/>
    <row r="27231" s="12" customFormat="1" x14ac:dyDescent="0.25"/>
    <row r="27232" s="12" customFormat="1" x14ac:dyDescent="0.25"/>
    <row r="27233" s="12" customFormat="1" x14ac:dyDescent="0.25"/>
    <row r="27234" s="12" customFormat="1" x14ac:dyDescent="0.25"/>
    <row r="27235" s="12" customFormat="1" x14ac:dyDescent="0.25"/>
    <row r="27236" s="12" customFormat="1" x14ac:dyDescent="0.25"/>
    <row r="27237" s="12" customFormat="1" x14ac:dyDescent="0.25"/>
    <row r="27238" s="12" customFormat="1" x14ac:dyDescent="0.25"/>
    <row r="27239" s="12" customFormat="1" x14ac:dyDescent="0.25"/>
    <row r="27240" s="12" customFormat="1" x14ac:dyDescent="0.25"/>
    <row r="27241" s="12" customFormat="1" x14ac:dyDescent="0.25"/>
    <row r="27242" s="12" customFormat="1" x14ac:dyDescent="0.25"/>
    <row r="27243" s="12" customFormat="1" x14ac:dyDescent="0.25"/>
    <row r="27244" s="12" customFormat="1" x14ac:dyDescent="0.25"/>
    <row r="27245" s="12" customFormat="1" x14ac:dyDescent="0.25"/>
    <row r="27246" s="12" customFormat="1" x14ac:dyDescent="0.25"/>
    <row r="27247" s="12" customFormat="1" x14ac:dyDescent="0.25"/>
    <row r="27248" s="12" customFormat="1" x14ac:dyDescent="0.25"/>
    <row r="27249" s="12" customFormat="1" x14ac:dyDescent="0.25"/>
    <row r="27250" s="12" customFormat="1" x14ac:dyDescent="0.25"/>
    <row r="27251" s="12" customFormat="1" x14ac:dyDescent="0.25"/>
    <row r="27252" s="12" customFormat="1" x14ac:dyDescent="0.25"/>
    <row r="27253" s="12" customFormat="1" x14ac:dyDescent="0.25"/>
    <row r="27254" s="12" customFormat="1" x14ac:dyDescent="0.25"/>
    <row r="27255" s="12" customFormat="1" x14ac:dyDescent="0.25"/>
    <row r="27256" s="12" customFormat="1" x14ac:dyDescent="0.25"/>
    <row r="27257" s="12" customFormat="1" x14ac:dyDescent="0.25"/>
    <row r="27258" s="12" customFormat="1" x14ac:dyDescent="0.25"/>
    <row r="27259" s="12" customFormat="1" x14ac:dyDescent="0.25"/>
    <row r="27260" s="12" customFormat="1" x14ac:dyDescent="0.25"/>
    <row r="27261" s="12" customFormat="1" x14ac:dyDescent="0.25"/>
    <row r="27262" s="12" customFormat="1" x14ac:dyDescent="0.25"/>
    <row r="27263" s="12" customFormat="1" x14ac:dyDescent="0.25"/>
    <row r="27264" s="12" customFormat="1" x14ac:dyDescent="0.25"/>
    <row r="27265" s="12" customFormat="1" x14ac:dyDescent="0.25"/>
    <row r="27266" s="12" customFormat="1" x14ac:dyDescent="0.25"/>
    <row r="27267" s="12" customFormat="1" x14ac:dyDescent="0.25"/>
    <row r="27268" s="12" customFormat="1" x14ac:dyDescent="0.25"/>
    <row r="27269" s="12" customFormat="1" x14ac:dyDescent="0.25"/>
    <row r="27270" s="12" customFormat="1" x14ac:dyDescent="0.25"/>
    <row r="27271" s="12" customFormat="1" x14ac:dyDescent="0.25"/>
    <row r="27272" s="12" customFormat="1" x14ac:dyDescent="0.25"/>
    <row r="27273" s="12" customFormat="1" x14ac:dyDescent="0.25"/>
    <row r="27274" s="12" customFormat="1" x14ac:dyDescent="0.25"/>
    <row r="27275" s="12" customFormat="1" x14ac:dyDescent="0.25"/>
    <row r="27276" s="12" customFormat="1" x14ac:dyDescent="0.25"/>
    <row r="27277" s="12" customFormat="1" x14ac:dyDescent="0.25"/>
    <row r="27278" s="12" customFormat="1" x14ac:dyDescent="0.25"/>
    <row r="27279" s="12" customFormat="1" x14ac:dyDescent="0.25"/>
    <row r="27280" s="12" customFormat="1" x14ac:dyDescent="0.25"/>
    <row r="27281" s="12" customFormat="1" x14ac:dyDescent="0.25"/>
    <row r="27282" s="12" customFormat="1" x14ac:dyDescent="0.25"/>
    <row r="27283" s="12" customFormat="1" x14ac:dyDescent="0.25"/>
    <row r="27284" s="12" customFormat="1" x14ac:dyDescent="0.25"/>
    <row r="27285" s="12" customFormat="1" x14ac:dyDescent="0.25"/>
    <row r="27286" s="12" customFormat="1" x14ac:dyDescent="0.25"/>
    <row r="27287" s="12" customFormat="1" x14ac:dyDescent="0.25"/>
    <row r="27288" s="12" customFormat="1" x14ac:dyDescent="0.25"/>
    <row r="27289" s="12" customFormat="1" x14ac:dyDescent="0.25"/>
    <row r="27290" s="12" customFormat="1" x14ac:dyDescent="0.25"/>
    <row r="27291" s="12" customFormat="1" x14ac:dyDescent="0.25"/>
    <row r="27292" s="12" customFormat="1" x14ac:dyDescent="0.25"/>
    <row r="27293" s="12" customFormat="1" x14ac:dyDescent="0.25"/>
    <row r="27294" s="12" customFormat="1" x14ac:dyDescent="0.25"/>
    <row r="27295" s="12" customFormat="1" x14ac:dyDescent="0.25"/>
    <row r="27296" s="12" customFormat="1" x14ac:dyDescent="0.25"/>
    <row r="27297" s="12" customFormat="1" x14ac:dyDescent="0.25"/>
    <row r="27298" s="12" customFormat="1" x14ac:dyDescent="0.25"/>
    <row r="27299" s="12" customFormat="1" x14ac:dyDescent="0.25"/>
    <row r="27300" s="12" customFormat="1" x14ac:dyDescent="0.25"/>
    <row r="27301" s="12" customFormat="1" x14ac:dyDescent="0.25"/>
    <row r="27302" s="12" customFormat="1" x14ac:dyDescent="0.25"/>
    <row r="27303" s="12" customFormat="1" x14ac:dyDescent="0.25"/>
    <row r="27304" s="12" customFormat="1" x14ac:dyDescent="0.25"/>
    <row r="27305" s="12" customFormat="1" x14ac:dyDescent="0.25"/>
    <row r="27306" s="12" customFormat="1" x14ac:dyDescent="0.25"/>
    <row r="27307" s="12" customFormat="1" x14ac:dyDescent="0.25"/>
    <row r="27308" s="12" customFormat="1" x14ac:dyDescent="0.25"/>
    <row r="27309" s="12" customFormat="1" x14ac:dyDescent="0.25"/>
    <row r="27310" s="12" customFormat="1" x14ac:dyDescent="0.25"/>
    <row r="27311" s="12" customFormat="1" x14ac:dyDescent="0.25"/>
    <row r="27312" s="12" customFormat="1" x14ac:dyDescent="0.25"/>
    <row r="27313" s="12" customFormat="1" x14ac:dyDescent="0.25"/>
    <row r="27314" s="12" customFormat="1" x14ac:dyDescent="0.25"/>
    <row r="27315" s="12" customFormat="1" x14ac:dyDescent="0.25"/>
    <row r="27316" s="12" customFormat="1" x14ac:dyDescent="0.25"/>
    <row r="27317" s="12" customFormat="1" x14ac:dyDescent="0.25"/>
    <row r="27318" s="12" customFormat="1" x14ac:dyDescent="0.25"/>
    <row r="27319" s="12" customFormat="1" x14ac:dyDescent="0.25"/>
    <row r="27320" s="12" customFormat="1" x14ac:dyDescent="0.25"/>
    <row r="27321" s="12" customFormat="1" x14ac:dyDescent="0.25"/>
    <row r="27322" s="12" customFormat="1" x14ac:dyDescent="0.25"/>
    <row r="27323" s="12" customFormat="1" x14ac:dyDescent="0.25"/>
    <row r="27324" s="12" customFormat="1" x14ac:dyDescent="0.25"/>
    <row r="27325" s="12" customFormat="1" x14ac:dyDescent="0.25"/>
    <row r="27326" s="12" customFormat="1" x14ac:dyDescent="0.25"/>
    <row r="27327" s="12" customFormat="1" x14ac:dyDescent="0.25"/>
    <row r="27328" s="12" customFormat="1" x14ac:dyDescent="0.25"/>
    <row r="27329" s="12" customFormat="1" x14ac:dyDescent="0.25"/>
    <row r="27330" s="12" customFormat="1" x14ac:dyDescent="0.25"/>
    <row r="27331" s="12" customFormat="1" x14ac:dyDescent="0.25"/>
    <row r="27332" s="12" customFormat="1" x14ac:dyDescent="0.25"/>
    <row r="27333" s="12" customFormat="1" x14ac:dyDescent="0.25"/>
    <row r="27334" s="12" customFormat="1" x14ac:dyDescent="0.25"/>
    <row r="27335" s="12" customFormat="1" x14ac:dyDescent="0.25"/>
    <row r="27336" s="12" customFormat="1" x14ac:dyDescent="0.25"/>
    <row r="27337" s="12" customFormat="1" x14ac:dyDescent="0.25"/>
    <row r="27338" s="12" customFormat="1" x14ac:dyDescent="0.25"/>
    <row r="27339" s="12" customFormat="1" x14ac:dyDescent="0.25"/>
    <row r="27340" s="12" customFormat="1" x14ac:dyDescent="0.25"/>
    <row r="27341" s="12" customFormat="1" x14ac:dyDescent="0.25"/>
    <row r="27342" s="12" customFormat="1" x14ac:dyDescent="0.25"/>
    <row r="27343" s="12" customFormat="1" x14ac:dyDescent="0.25"/>
    <row r="27344" s="12" customFormat="1" x14ac:dyDescent="0.25"/>
    <row r="27345" s="12" customFormat="1" x14ac:dyDescent="0.25"/>
    <row r="27346" s="12" customFormat="1" x14ac:dyDescent="0.25"/>
    <row r="27347" s="12" customFormat="1" x14ac:dyDescent="0.25"/>
    <row r="27348" s="12" customFormat="1" x14ac:dyDescent="0.25"/>
    <row r="27349" s="12" customFormat="1" x14ac:dyDescent="0.25"/>
    <row r="27350" s="12" customFormat="1" x14ac:dyDescent="0.25"/>
    <row r="27351" s="12" customFormat="1" x14ac:dyDescent="0.25"/>
    <row r="27352" s="12" customFormat="1" x14ac:dyDescent="0.25"/>
    <row r="27353" s="12" customFormat="1" x14ac:dyDescent="0.25"/>
    <row r="27354" s="12" customFormat="1" x14ac:dyDescent="0.25"/>
    <row r="27355" s="12" customFormat="1" x14ac:dyDescent="0.25"/>
    <row r="27356" s="12" customFormat="1" x14ac:dyDescent="0.25"/>
    <row r="27357" s="12" customFormat="1" x14ac:dyDescent="0.25"/>
    <row r="27358" s="12" customFormat="1" x14ac:dyDescent="0.25"/>
    <row r="27359" s="12" customFormat="1" x14ac:dyDescent="0.25"/>
    <row r="27360" s="12" customFormat="1" x14ac:dyDescent="0.25"/>
    <row r="27361" s="12" customFormat="1" x14ac:dyDescent="0.25"/>
    <row r="27362" s="12" customFormat="1" x14ac:dyDescent="0.25"/>
    <row r="27363" s="12" customFormat="1" x14ac:dyDescent="0.25"/>
    <row r="27364" s="12" customFormat="1" x14ac:dyDescent="0.25"/>
    <row r="27365" s="12" customFormat="1" x14ac:dyDescent="0.25"/>
    <row r="27366" s="12" customFormat="1" x14ac:dyDescent="0.25"/>
    <row r="27367" s="12" customFormat="1" x14ac:dyDescent="0.25"/>
    <row r="27368" s="12" customFormat="1" x14ac:dyDescent="0.25"/>
    <row r="27369" s="12" customFormat="1" x14ac:dyDescent="0.25"/>
    <row r="27370" s="12" customFormat="1" x14ac:dyDescent="0.25"/>
    <row r="27371" s="12" customFormat="1" x14ac:dyDescent="0.25"/>
    <row r="27372" s="12" customFormat="1" x14ac:dyDescent="0.25"/>
    <row r="27373" s="12" customFormat="1" x14ac:dyDescent="0.25"/>
    <row r="27374" s="12" customFormat="1" x14ac:dyDescent="0.25"/>
    <row r="27375" s="12" customFormat="1" x14ac:dyDescent="0.25"/>
    <row r="27376" s="12" customFormat="1" x14ac:dyDescent="0.25"/>
    <row r="27377" s="12" customFormat="1" x14ac:dyDescent="0.25"/>
    <row r="27378" s="12" customFormat="1" x14ac:dyDescent="0.25"/>
    <row r="27379" s="12" customFormat="1" x14ac:dyDescent="0.25"/>
    <row r="27380" s="12" customFormat="1" x14ac:dyDescent="0.25"/>
    <row r="27381" s="12" customFormat="1" x14ac:dyDescent="0.25"/>
    <row r="27382" s="12" customFormat="1" x14ac:dyDescent="0.25"/>
    <row r="27383" s="12" customFormat="1" x14ac:dyDescent="0.25"/>
    <row r="27384" s="12" customFormat="1" x14ac:dyDescent="0.25"/>
    <row r="27385" s="12" customFormat="1" x14ac:dyDescent="0.25"/>
    <row r="27386" s="12" customFormat="1" x14ac:dyDescent="0.25"/>
    <row r="27387" s="12" customFormat="1" x14ac:dyDescent="0.25"/>
    <row r="27388" s="12" customFormat="1" x14ac:dyDescent="0.25"/>
    <row r="27389" s="12" customFormat="1" x14ac:dyDescent="0.25"/>
    <row r="27390" s="12" customFormat="1" x14ac:dyDescent="0.25"/>
    <row r="27391" s="12" customFormat="1" x14ac:dyDescent="0.25"/>
    <row r="27392" s="12" customFormat="1" x14ac:dyDescent="0.25"/>
    <row r="27393" s="12" customFormat="1" x14ac:dyDescent="0.25"/>
    <row r="27394" s="12" customFormat="1" x14ac:dyDescent="0.25"/>
    <row r="27395" s="12" customFormat="1" x14ac:dyDescent="0.25"/>
    <row r="27396" s="12" customFormat="1" x14ac:dyDescent="0.25"/>
    <row r="27397" s="12" customFormat="1" x14ac:dyDescent="0.25"/>
    <row r="27398" s="12" customFormat="1" x14ac:dyDescent="0.25"/>
    <row r="27399" s="12" customFormat="1" x14ac:dyDescent="0.25"/>
    <row r="27400" s="12" customFormat="1" x14ac:dyDescent="0.25"/>
    <row r="27401" s="12" customFormat="1" x14ac:dyDescent="0.25"/>
    <row r="27402" s="12" customFormat="1" x14ac:dyDescent="0.25"/>
    <row r="27403" s="12" customFormat="1" x14ac:dyDescent="0.25"/>
    <row r="27404" s="12" customFormat="1" x14ac:dyDescent="0.25"/>
    <row r="27405" s="12" customFormat="1" x14ac:dyDescent="0.25"/>
    <row r="27406" s="12" customFormat="1" x14ac:dyDescent="0.25"/>
    <row r="27407" s="12" customFormat="1" x14ac:dyDescent="0.25"/>
    <row r="27408" s="12" customFormat="1" x14ac:dyDescent="0.25"/>
    <row r="27409" s="12" customFormat="1" x14ac:dyDescent="0.25"/>
    <row r="27410" s="12" customFormat="1" x14ac:dyDescent="0.25"/>
    <row r="27411" s="12" customFormat="1" x14ac:dyDescent="0.25"/>
    <row r="27412" s="12" customFormat="1" x14ac:dyDescent="0.25"/>
    <row r="27413" s="12" customFormat="1" x14ac:dyDescent="0.25"/>
    <row r="27414" s="12" customFormat="1" x14ac:dyDescent="0.25"/>
    <row r="27415" s="12" customFormat="1" x14ac:dyDescent="0.25"/>
    <row r="27416" s="12" customFormat="1" x14ac:dyDescent="0.25"/>
    <row r="27417" s="12" customFormat="1" x14ac:dyDescent="0.25"/>
    <row r="27418" s="12" customFormat="1" x14ac:dyDescent="0.25"/>
    <row r="27419" s="12" customFormat="1" x14ac:dyDescent="0.25"/>
    <row r="27420" s="12" customFormat="1" x14ac:dyDescent="0.25"/>
    <row r="27421" s="12" customFormat="1" x14ac:dyDescent="0.25"/>
    <row r="27422" s="12" customFormat="1" x14ac:dyDescent="0.25"/>
    <row r="27423" s="12" customFormat="1" x14ac:dyDescent="0.25"/>
    <row r="27424" s="12" customFormat="1" x14ac:dyDescent="0.25"/>
    <row r="27425" s="12" customFormat="1" x14ac:dyDescent="0.25"/>
    <row r="27426" s="12" customFormat="1" x14ac:dyDescent="0.25"/>
    <row r="27427" s="12" customFormat="1" x14ac:dyDescent="0.25"/>
    <row r="27428" s="12" customFormat="1" x14ac:dyDescent="0.25"/>
    <row r="27429" s="12" customFormat="1" x14ac:dyDescent="0.25"/>
    <row r="27430" s="12" customFormat="1" x14ac:dyDescent="0.25"/>
    <row r="27431" s="12" customFormat="1" x14ac:dyDescent="0.25"/>
    <row r="27432" s="12" customFormat="1" x14ac:dyDescent="0.25"/>
    <row r="27433" s="12" customFormat="1" x14ac:dyDescent="0.25"/>
    <row r="27434" s="12" customFormat="1" x14ac:dyDescent="0.25"/>
    <row r="27435" s="12" customFormat="1" x14ac:dyDescent="0.25"/>
    <row r="27436" s="12" customFormat="1" x14ac:dyDescent="0.25"/>
    <row r="27437" s="12" customFormat="1" x14ac:dyDescent="0.25"/>
    <row r="27438" s="12" customFormat="1" x14ac:dyDescent="0.25"/>
    <row r="27439" s="12" customFormat="1" x14ac:dyDescent="0.25"/>
    <row r="27440" s="12" customFormat="1" x14ac:dyDescent="0.25"/>
    <row r="27441" s="12" customFormat="1" x14ac:dyDescent="0.25"/>
    <row r="27442" s="12" customFormat="1" x14ac:dyDescent="0.25"/>
    <row r="27443" s="12" customFormat="1" x14ac:dyDescent="0.25"/>
    <row r="27444" s="12" customFormat="1" x14ac:dyDescent="0.25"/>
    <row r="27445" s="12" customFormat="1" x14ac:dyDescent="0.25"/>
    <row r="27446" s="12" customFormat="1" x14ac:dyDescent="0.25"/>
    <row r="27447" s="12" customFormat="1" x14ac:dyDescent="0.25"/>
    <row r="27448" s="12" customFormat="1" x14ac:dyDescent="0.25"/>
    <row r="27449" s="12" customFormat="1" x14ac:dyDescent="0.25"/>
    <row r="27450" s="12" customFormat="1" x14ac:dyDescent="0.25"/>
    <row r="27451" s="12" customFormat="1" x14ac:dyDescent="0.25"/>
    <row r="27452" s="12" customFormat="1" x14ac:dyDescent="0.25"/>
    <row r="27453" s="12" customFormat="1" x14ac:dyDescent="0.25"/>
    <row r="27454" s="12" customFormat="1" x14ac:dyDescent="0.25"/>
    <row r="27455" s="12" customFormat="1" x14ac:dyDescent="0.25"/>
    <row r="27456" s="12" customFormat="1" x14ac:dyDescent="0.25"/>
    <row r="27457" s="12" customFormat="1" x14ac:dyDescent="0.25"/>
    <row r="27458" s="12" customFormat="1" x14ac:dyDescent="0.25"/>
    <row r="27459" s="12" customFormat="1" x14ac:dyDescent="0.25"/>
    <row r="27460" s="12" customFormat="1" x14ac:dyDescent="0.25"/>
    <row r="27461" s="12" customFormat="1" x14ac:dyDescent="0.25"/>
    <row r="27462" s="12" customFormat="1" x14ac:dyDescent="0.25"/>
    <row r="27463" s="12" customFormat="1" x14ac:dyDescent="0.25"/>
    <row r="27464" s="12" customFormat="1" x14ac:dyDescent="0.25"/>
    <row r="27465" s="12" customFormat="1" x14ac:dyDescent="0.25"/>
    <row r="27466" s="12" customFormat="1" x14ac:dyDescent="0.25"/>
    <row r="27467" s="12" customFormat="1" x14ac:dyDescent="0.25"/>
    <row r="27468" s="12" customFormat="1" x14ac:dyDescent="0.25"/>
    <row r="27469" s="12" customFormat="1" x14ac:dyDescent="0.25"/>
    <row r="27470" s="12" customFormat="1" x14ac:dyDescent="0.25"/>
    <row r="27471" s="12" customFormat="1" x14ac:dyDescent="0.25"/>
    <row r="27472" s="12" customFormat="1" x14ac:dyDescent="0.25"/>
    <row r="27473" s="12" customFormat="1" x14ac:dyDescent="0.25"/>
    <row r="27474" s="12" customFormat="1" x14ac:dyDescent="0.25"/>
    <row r="27475" s="12" customFormat="1" x14ac:dyDescent="0.25"/>
    <row r="27476" s="12" customFormat="1" x14ac:dyDescent="0.25"/>
    <row r="27477" s="12" customFormat="1" x14ac:dyDescent="0.25"/>
    <row r="27478" s="12" customFormat="1" x14ac:dyDescent="0.25"/>
    <row r="27479" s="12" customFormat="1" x14ac:dyDescent="0.25"/>
    <row r="27480" s="12" customFormat="1" x14ac:dyDescent="0.25"/>
    <row r="27481" s="12" customFormat="1" x14ac:dyDescent="0.25"/>
    <row r="27482" s="12" customFormat="1" x14ac:dyDescent="0.25"/>
    <row r="27483" s="12" customFormat="1" x14ac:dyDescent="0.25"/>
    <row r="27484" s="12" customFormat="1" x14ac:dyDescent="0.25"/>
    <row r="27485" s="12" customFormat="1" x14ac:dyDescent="0.25"/>
    <row r="27486" s="12" customFormat="1" x14ac:dyDescent="0.25"/>
    <row r="27487" s="12" customFormat="1" x14ac:dyDescent="0.25"/>
    <row r="27488" s="12" customFormat="1" x14ac:dyDescent="0.25"/>
    <row r="27489" s="12" customFormat="1" x14ac:dyDescent="0.25"/>
    <row r="27490" s="12" customFormat="1" x14ac:dyDescent="0.25"/>
    <row r="27491" s="12" customFormat="1" x14ac:dyDescent="0.25"/>
    <row r="27492" s="12" customFormat="1" x14ac:dyDescent="0.25"/>
    <row r="27493" s="12" customFormat="1" x14ac:dyDescent="0.25"/>
    <row r="27494" s="12" customFormat="1" x14ac:dyDescent="0.25"/>
    <row r="27495" s="12" customFormat="1" x14ac:dyDescent="0.25"/>
    <row r="27496" s="12" customFormat="1" x14ac:dyDescent="0.25"/>
    <row r="27497" s="12" customFormat="1" x14ac:dyDescent="0.25"/>
    <row r="27498" s="12" customFormat="1" x14ac:dyDescent="0.25"/>
    <row r="27499" s="12" customFormat="1" x14ac:dyDescent="0.25"/>
    <row r="27500" s="12" customFormat="1" x14ac:dyDescent="0.25"/>
    <row r="27501" s="12" customFormat="1" x14ac:dyDescent="0.25"/>
    <row r="27502" s="12" customFormat="1" x14ac:dyDescent="0.25"/>
    <row r="27503" s="12" customFormat="1" x14ac:dyDescent="0.25"/>
    <row r="27504" s="12" customFormat="1" x14ac:dyDescent="0.25"/>
    <row r="27505" s="12" customFormat="1" x14ac:dyDescent="0.25"/>
    <row r="27506" s="12" customFormat="1" x14ac:dyDescent="0.25"/>
    <row r="27507" s="12" customFormat="1" x14ac:dyDescent="0.25"/>
    <row r="27508" s="12" customFormat="1" x14ac:dyDescent="0.25"/>
    <row r="27509" s="12" customFormat="1" x14ac:dyDescent="0.25"/>
    <row r="27510" s="12" customFormat="1" x14ac:dyDescent="0.25"/>
    <row r="27511" s="12" customFormat="1" x14ac:dyDescent="0.25"/>
    <row r="27512" s="12" customFormat="1" x14ac:dyDescent="0.25"/>
    <row r="27513" s="12" customFormat="1" x14ac:dyDescent="0.25"/>
    <row r="27514" s="12" customFormat="1" x14ac:dyDescent="0.25"/>
    <row r="27515" s="12" customFormat="1" x14ac:dyDescent="0.25"/>
    <row r="27516" s="12" customFormat="1" x14ac:dyDescent="0.25"/>
    <row r="27517" s="12" customFormat="1" x14ac:dyDescent="0.25"/>
    <row r="27518" s="12" customFormat="1" x14ac:dyDescent="0.25"/>
    <row r="27519" s="12" customFormat="1" x14ac:dyDescent="0.25"/>
    <row r="27520" s="12" customFormat="1" x14ac:dyDescent="0.25"/>
    <row r="27521" s="12" customFormat="1" x14ac:dyDescent="0.25"/>
    <row r="27522" s="12" customFormat="1" x14ac:dyDescent="0.25"/>
    <row r="27523" s="12" customFormat="1" x14ac:dyDescent="0.25"/>
    <row r="27524" s="12" customFormat="1" x14ac:dyDescent="0.25"/>
    <row r="27525" s="12" customFormat="1" x14ac:dyDescent="0.25"/>
    <row r="27526" s="12" customFormat="1" x14ac:dyDescent="0.25"/>
    <row r="27527" s="12" customFormat="1" x14ac:dyDescent="0.25"/>
    <row r="27528" s="12" customFormat="1" x14ac:dyDescent="0.25"/>
    <row r="27529" s="12" customFormat="1" x14ac:dyDescent="0.25"/>
    <row r="27530" s="12" customFormat="1" x14ac:dyDescent="0.25"/>
    <row r="27531" s="12" customFormat="1" x14ac:dyDescent="0.25"/>
    <row r="27532" s="12" customFormat="1" x14ac:dyDescent="0.25"/>
    <row r="27533" s="12" customFormat="1" x14ac:dyDescent="0.25"/>
    <row r="27534" s="12" customFormat="1" x14ac:dyDescent="0.25"/>
    <row r="27535" s="12" customFormat="1" x14ac:dyDescent="0.25"/>
    <row r="27536" s="12" customFormat="1" x14ac:dyDescent="0.25"/>
    <row r="27537" s="12" customFormat="1" x14ac:dyDescent="0.25"/>
    <row r="27538" s="12" customFormat="1" x14ac:dyDescent="0.25"/>
    <row r="27539" s="12" customFormat="1" x14ac:dyDescent="0.25"/>
    <row r="27540" s="12" customFormat="1" x14ac:dyDescent="0.25"/>
    <row r="27541" s="12" customFormat="1" x14ac:dyDescent="0.25"/>
    <row r="27542" s="12" customFormat="1" x14ac:dyDescent="0.25"/>
    <row r="27543" s="12" customFormat="1" x14ac:dyDescent="0.25"/>
    <row r="27544" s="12" customFormat="1" x14ac:dyDescent="0.25"/>
    <row r="27545" s="12" customFormat="1" x14ac:dyDescent="0.25"/>
    <row r="27546" s="12" customFormat="1" x14ac:dyDescent="0.25"/>
    <row r="27547" s="12" customFormat="1" x14ac:dyDescent="0.25"/>
    <row r="27548" s="12" customFormat="1" x14ac:dyDescent="0.25"/>
    <row r="27549" s="12" customFormat="1" x14ac:dyDescent="0.25"/>
    <row r="27550" s="12" customFormat="1" x14ac:dyDescent="0.25"/>
    <row r="27551" s="12" customFormat="1" x14ac:dyDescent="0.25"/>
    <row r="27552" s="12" customFormat="1" x14ac:dyDescent="0.25"/>
    <row r="27553" s="12" customFormat="1" x14ac:dyDescent="0.25"/>
    <row r="27554" s="12" customFormat="1" x14ac:dyDescent="0.25"/>
    <row r="27555" s="12" customFormat="1" x14ac:dyDescent="0.25"/>
    <row r="27556" s="12" customFormat="1" x14ac:dyDescent="0.25"/>
    <row r="27557" s="12" customFormat="1" x14ac:dyDescent="0.25"/>
    <row r="27558" s="12" customFormat="1" x14ac:dyDescent="0.25"/>
    <row r="27559" s="12" customFormat="1" x14ac:dyDescent="0.25"/>
    <row r="27560" s="12" customFormat="1" x14ac:dyDescent="0.25"/>
    <row r="27561" s="12" customFormat="1" x14ac:dyDescent="0.25"/>
    <row r="27562" s="12" customFormat="1" x14ac:dyDescent="0.25"/>
    <row r="27563" s="12" customFormat="1" x14ac:dyDescent="0.25"/>
    <row r="27564" s="12" customFormat="1" x14ac:dyDescent="0.25"/>
    <row r="27565" s="12" customFormat="1" x14ac:dyDescent="0.25"/>
    <row r="27566" s="12" customFormat="1" x14ac:dyDescent="0.25"/>
    <row r="27567" s="12" customFormat="1" x14ac:dyDescent="0.25"/>
    <row r="27568" s="12" customFormat="1" x14ac:dyDescent="0.25"/>
    <row r="27569" s="12" customFormat="1" x14ac:dyDescent="0.25"/>
    <row r="27570" s="12" customFormat="1" x14ac:dyDescent="0.25"/>
    <row r="27571" s="12" customFormat="1" x14ac:dyDescent="0.25"/>
    <row r="27572" s="12" customFormat="1" x14ac:dyDescent="0.25"/>
    <row r="27573" s="12" customFormat="1" x14ac:dyDescent="0.25"/>
    <row r="27574" s="12" customFormat="1" x14ac:dyDescent="0.25"/>
    <row r="27575" s="12" customFormat="1" x14ac:dyDescent="0.25"/>
    <row r="27576" s="12" customFormat="1" x14ac:dyDescent="0.25"/>
    <row r="27577" s="12" customFormat="1" x14ac:dyDescent="0.25"/>
    <row r="27578" s="12" customFormat="1" x14ac:dyDescent="0.25"/>
    <row r="27579" s="12" customFormat="1" x14ac:dyDescent="0.25"/>
    <row r="27580" s="12" customFormat="1" x14ac:dyDescent="0.25"/>
    <row r="27581" s="12" customFormat="1" x14ac:dyDescent="0.25"/>
    <row r="27582" s="12" customFormat="1" x14ac:dyDescent="0.25"/>
    <row r="27583" s="12" customFormat="1" x14ac:dyDescent="0.25"/>
    <row r="27584" s="12" customFormat="1" x14ac:dyDescent="0.25"/>
    <row r="27585" s="12" customFormat="1" x14ac:dyDescent="0.25"/>
    <row r="27586" s="12" customFormat="1" x14ac:dyDescent="0.25"/>
    <row r="27587" s="12" customFormat="1" x14ac:dyDescent="0.25"/>
    <row r="27588" s="12" customFormat="1" x14ac:dyDescent="0.25"/>
    <row r="27589" s="12" customFormat="1" x14ac:dyDescent="0.25"/>
    <row r="27590" s="12" customFormat="1" x14ac:dyDescent="0.25"/>
    <row r="27591" s="12" customFormat="1" x14ac:dyDescent="0.25"/>
    <row r="27592" s="12" customFormat="1" x14ac:dyDescent="0.25"/>
    <row r="27593" s="12" customFormat="1" x14ac:dyDescent="0.25"/>
    <row r="27594" s="12" customFormat="1" x14ac:dyDescent="0.25"/>
    <row r="27595" s="12" customFormat="1" x14ac:dyDescent="0.25"/>
    <row r="27596" s="12" customFormat="1" x14ac:dyDescent="0.25"/>
    <row r="27597" s="12" customFormat="1" x14ac:dyDescent="0.25"/>
    <row r="27598" s="12" customFormat="1" x14ac:dyDescent="0.25"/>
    <row r="27599" s="12" customFormat="1" x14ac:dyDescent="0.25"/>
    <row r="27600" s="12" customFormat="1" x14ac:dyDescent="0.25"/>
    <row r="27601" s="12" customFormat="1" x14ac:dyDescent="0.25"/>
    <row r="27602" s="12" customFormat="1" x14ac:dyDescent="0.25"/>
    <row r="27603" s="12" customFormat="1" x14ac:dyDescent="0.25"/>
    <row r="27604" s="12" customFormat="1" x14ac:dyDescent="0.25"/>
    <row r="27605" s="12" customFormat="1" x14ac:dyDescent="0.25"/>
    <row r="27606" s="12" customFormat="1" x14ac:dyDescent="0.25"/>
    <row r="27607" s="12" customFormat="1" x14ac:dyDescent="0.25"/>
    <row r="27608" s="12" customFormat="1" x14ac:dyDescent="0.25"/>
    <row r="27609" s="12" customFormat="1" x14ac:dyDescent="0.25"/>
    <row r="27610" s="12" customFormat="1" x14ac:dyDescent="0.25"/>
    <row r="27611" s="12" customFormat="1" x14ac:dyDescent="0.25"/>
    <row r="27612" s="12" customFormat="1" x14ac:dyDescent="0.25"/>
    <row r="27613" s="12" customFormat="1" x14ac:dyDescent="0.25"/>
    <row r="27614" s="12" customFormat="1" x14ac:dyDescent="0.25"/>
    <row r="27615" s="12" customFormat="1" x14ac:dyDescent="0.25"/>
    <row r="27616" s="12" customFormat="1" x14ac:dyDescent="0.25"/>
    <row r="27617" s="12" customFormat="1" x14ac:dyDescent="0.25"/>
    <row r="27618" s="12" customFormat="1" x14ac:dyDescent="0.25"/>
    <row r="27619" s="12" customFormat="1" x14ac:dyDescent="0.25"/>
    <row r="27620" s="12" customFormat="1" x14ac:dyDescent="0.25"/>
    <row r="27621" s="12" customFormat="1" x14ac:dyDescent="0.25"/>
    <row r="27622" s="12" customFormat="1" x14ac:dyDescent="0.25"/>
    <row r="27623" s="12" customFormat="1" x14ac:dyDescent="0.25"/>
    <row r="27624" s="12" customFormat="1" x14ac:dyDescent="0.25"/>
    <row r="27625" s="12" customFormat="1" x14ac:dyDescent="0.25"/>
    <row r="27626" s="12" customFormat="1" x14ac:dyDescent="0.25"/>
    <row r="27627" s="12" customFormat="1" x14ac:dyDescent="0.25"/>
    <row r="27628" s="12" customFormat="1" x14ac:dyDescent="0.25"/>
    <row r="27629" s="12" customFormat="1" x14ac:dyDescent="0.25"/>
    <row r="27630" s="12" customFormat="1" x14ac:dyDescent="0.25"/>
    <row r="27631" s="12" customFormat="1" x14ac:dyDescent="0.25"/>
    <row r="27632" s="12" customFormat="1" x14ac:dyDescent="0.25"/>
    <row r="27633" s="12" customFormat="1" x14ac:dyDescent="0.25"/>
    <row r="27634" s="12" customFormat="1" x14ac:dyDescent="0.25"/>
    <row r="27635" s="12" customFormat="1" x14ac:dyDescent="0.25"/>
    <row r="27636" s="12" customFormat="1" x14ac:dyDescent="0.25"/>
    <row r="27637" s="12" customFormat="1" x14ac:dyDescent="0.25"/>
    <row r="27638" s="12" customFormat="1" x14ac:dyDescent="0.25"/>
    <row r="27639" s="12" customFormat="1" x14ac:dyDescent="0.25"/>
    <row r="27640" s="12" customFormat="1" x14ac:dyDescent="0.25"/>
    <row r="27641" s="12" customFormat="1" x14ac:dyDescent="0.25"/>
    <row r="27642" s="12" customFormat="1" x14ac:dyDescent="0.25"/>
    <row r="27643" s="12" customFormat="1" x14ac:dyDescent="0.25"/>
    <row r="27644" s="12" customFormat="1" x14ac:dyDescent="0.25"/>
    <row r="27645" s="12" customFormat="1" x14ac:dyDescent="0.25"/>
    <row r="27646" s="12" customFormat="1" x14ac:dyDescent="0.25"/>
    <row r="27647" s="12" customFormat="1" x14ac:dyDescent="0.25"/>
    <row r="27648" s="12" customFormat="1" x14ac:dyDescent="0.25"/>
    <row r="27649" s="12" customFormat="1" x14ac:dyDescent="0.25"/>
    <row r="27650" s="12" customFormat="1" x14ac:dyDescent="0.25"/>
    <row r="27651" s="12" customFormat="1" x14ac:dyDescent="0.25"/>
    <row r="27652" s="12" customFormat="1" x14ac:dyDescent="0.25"/>
    <row r="27653" s="12" customFormat="1" x14ac:dyDescent="0.25"/>
    <row r="27654" s="12" customFormat="1" x14ac:dyDescent="0.25"/>
    <row r="27655" s="12" customFormat="1" x14ac:dyDescent="0.25"/>
    <row r="27656" s="12" customFormat="1" x14ac:dyDescent="0.25"/>
    <row r="27657" s="12" customFormat="1" x14ac:dyDescent="0.25"/>
    <row r="27658" s="12" customFormat="1" x14ac:dyDescent="0.25"/>
    <row r="27659" s="12" customFormat="1" x14ac:dyDescent="0.25"/>
    <row r="27660" s="12" customFormat="1" x14ac:dyDescent="0.25"/>
    <row r="27661" s="12" customFormat="1" x14ac:dyDescent="0.25"/>
    <row r="27662" s="12" customFormat="1" x14ac:dyDescent="0.25"/>
    <row r="27663" s="12" customFormat="1" x14ac:dyDescent="0.25"/>
    <row r="27664" s="12" customFormat="1" x14ac:dyDescent="0.25"/>
    <row r="27665" s="12" customFormat="1" x14ac:dyDescent="0.25"/>
    <row r="27666" s="12" customFormat="1" x14ac:dyDescent="0.25"/>
    <row r="27667" s="12" customFormat="1" x14ac:dyDescent="0.25"/>
    <row r="27668" s="12" customFormat="1" x14ac:dyDescent="0.25"/>
    <row r="27669" s="12" customFormat="1" x14ac:dyDescent="0.25"/>
    <row r="27670" s="12" customFormat="1" x14ac:dyDescent="0.25"/>
    <row r="27671" s="12" customFormat="1" x14ac:dyDescent="0.25"/>
    <row r="27672" s="12" customFormat="1" x14ac:dyDescent="0.25"/>
    <row r="27673" s="12" customFormat="1" x14ac:dyDescent="0.25"/>
    <row r="27674" s="12" customFormat="1" x14ac:dyDescent="0.25"/>
    <row r="27675" s="12" customFormat="1" x14ac:dyDescent="0.25"/>
    <row r="27676" s="12" customFormat="1" x14ac:dyDescent="0.25"/>
    <row r="27677" s="12" customFormat="1" x14ac:dyDescent="0.25"/>
    <row r="27678" s="12" customFormat="1" x14ac:dyDescent="0.25"/>
    <row r="27679" s="12" customFormat="1" x14ac:dyDescent="0.25"/>
    <row r="27680" s="12" customFormat="1" x14ac:dyDescent="0.25"/>
    <row r="27681" s="12" customFormat="1" x14ac:dyDescent="0.25"/>
    <row r="27682" s="12" customFormat="1" x14ac:dyDescent="0.25"/>
    <row r="27683" s="12" customFormat="1" x14ac:dyDescent="0.25"/>
    <row r="27684" s="12" customFormat="1" x14ac:dyDescent="0.25"/>
    <row r="27685" s="12" customFormat="1" x14ac:dyDescent="0.25"/>
    <row r="27686" s="12" customFormat="1" x14ac:dyDescent="0.25"/>
    <row r="27687" s="12" customFormat="1" x14ac:dyDescent="0.25"/>
    <row r="27688" s="12" customFormat="1" x14ac:dyDescent="0.25"/>
    <row r="27689" s="12" customFormat="1" x14ac:dyDescent="0.25"/>
    <row r="27690" s="12" customFormat="1" x14ac:dyDescent="0.25"/>
    <row r="27691" s="12" customFormat="1" x14ac:dyDescent="0.25"/>
    <row r="27692" s="12" customFormat="1" x14ac:dyDescent="0.25"/>
    <row r="27693" s="12" customFormat="1" x14ac:dyDescent="0.25"/>
    <row r="27694" s="12" customFormat="1" x14ac:dyDescent="0.25"/>
    <row r="27695" s="12" customFormat="1" x14ac:dyDescent="0.25"/>
    <row r="27696" s="12" customFormat="1" x14ac:dyDescent="0.25"/>
    <row r="27697" s="12" customFormat="1" x14ac:dyDescent="0.25"/>
    <row r="27698" s="12" customFormat="1" x14ac:dyDescent="0.25"/>
    <row r="27699" s="12" customFormat="1" x14ac:dyDescent="0.25"/>
    <row r="27700" s="12" customFormat="1" x14ac:dyDescent="0.25"/>
    <row r="27701" s="12" customFormat="1" x14ac:dyDescent="0.25"/>
    <row r="27702" s="12" customFormat="1" x14ac:dyDescent="0.25"/>
    <row r="27703" s="12" customFormat="1" x14ac:dyDescent="0.25"/>
    <row r="27704" s="12" customFormat="1" x14ac:dyDescent="0.25"/>
    <row r="27705" s="12" customFormat="1" x14ac:dyDescent="0.25"/>
    <row r="27706" s="12" customFormat="1" x14ac:dyDescent="0.25"/>
    <row r="27707" s="12" customFormat="1" x14ac:dyDescent="0.25"/>
    <row r="27708" s="12" customFormat="1" x14ac:dyDescent="0.25"/>
    <row r="27709" s="12" customFormat="1" x14ac:dyDescent="0.25"/>
    <row r="27710" s="12" customFormat="1" x14ac:dyDescent="0.25"/>
    <row r="27711" s="12" customFormat="1" x14ac:dyDescent="0.25"/>
    <row r="27712" s="12" customFormat="1" x14ac:dyDescent="0.25"/>
    <row r="27713" s="12" customFormat="1" x14ac:dyDescent="0.25"/>
    <row r="27714" s="12" customFormat="1" x14ac:dyDescent="0.25"/>
    <row r="27715" s="12" customFormat="1" x14ac:dyDescent="0.25"/>
    <row r="27716" s="12" customFormat="1" x14ac:dyDescent="0.25"/>
    <row r="27717" s="12" customFormat="1" x14ac:dyDescent="0.25"/>
    <row r="27718" s="12" customFormat="1" x14ac:dyDescent="0.25"/>
    <row r="27719" s="12" customFormat="1" x14ac:dyDescent="0.25"/>
    <row r="27720" s="12" customFormat="1" x14ac:dyDescent="0.25"/>
    <row r="27721" s="12" customFormat="1" x14ac:dyDescent="0.25"/>
    <row r="27722" s="12" customFormat="1" x14ac:dyDescent="0.25"/>
    <row r="27723" s="12" customFormat="1" x14ac:dyDescent="0.25"/>
    <row r="27724" s="12" customFormat="1" x14ac:dyDescent="0.25"/>
    <row r="27725" s="12" customFormat="1" x14ac:dyDescent="0.25"/>
    <row r="27726" s="12" customFormat="1" x14ac:dyDescent="0.25"/>
    <row r="27727" s="12" customFormat="1" x14ac:dyDescent="0.25"/>
    <row r="27728" s="12" customFormat="1" x14ac:dyDescent="0.25"/>
    <row r="27729" s="12" customFormat="1" x14ac:dyDescent="0.25"/>
    <row r="27730" s="12" customFormat="1" x14ac:dyDescent="0.25"/>
    <row r="27731" s="12" customFormat="1" x14ac:dyDescent="0.25"/>
    <row r="27732" s="12" customFormat="1" x14ac:dyDescent="0.25"/>
    <row r="27733" s="12" customFormat="1" x14ac:dyDescent="0.25"/>
    <row r="27734" s="12" customFormat="1" x14ac:dyDescent="0.25"/>
    <row r="27735" s="12" customFormat="1" x14ac:dyDescent="0.25"/>
    <row r="27736" s="12" customFormat="1" x14ac:dyDescent="0.25"/>
    <row r="27737" s="12" customFormat="1" x14ac:dyDescent="0.25"/>
    <row r="27738" s="12" customFormat="1" x14ac:dyDescent="0.25"/>
    <row r="27739" s="12" customFormat="1" x14ac:dyDescent="0.25"/>
    <row r="27740" s="12" customFormat="1" x14ac:dyDescent="0.25"/>
    <row r="27741" s="12" customFormat="1" x14ac:dyDescent="0.25"/>
    <row r="27742" s="12" customFormat="1" x14ac:dyDescent="0.25"/>
    <row r="27743" s="12" customFormat="1" x14ac:dyDescent="0.25"/>
    <row r="27744" s="12" customFormat="1" x14ac:dyDescent="0.25"/>
    <row r="27745" s="12" customFormat="1" x14ac:dyDescent="0.25"/>
    <row r="27746" s="12" customFormat="1" x14ac:dyDescent="0.25"/>
    <row r="27747" s="12" customFormat="1" x14ac:dyDescent="0.25"/>
    <row r="27748" s="12" customFormat="1" x14ac:dyDescent="0.25"/>
    <row r="27749" s="12" customFormat="1" x14ac:dyDescent="0.25"/>
    <row r="27750" s="12" customFormat="1" x14ac:dyDescent="0.25"/>
    <row r="27751" s="12" customFormat="1" x14ac:dyDescent="0.25"/>
    <row r="27752" s="12" customFormat="1" x14ac:dyDescent="0.25"/>
    <row r="27753" s="12" customFormat="1" x14ac:dyDescent="0.25"/>
    <row r="27754" s="12" customFormat="1" x14ac:dyDescent="0.25"/>
    <row r="27755" s="12" customFormat="1" x14ac:dyDescent="0.25"/>
    <row r="27756" s="12" customFormat="1" x14ac:dyDescent="0.25"/>
    <row r="27757" s="12" customFormat="1" x14ac:dyDescent="0.25"/>
    <row r="27758" s="12" customFormat="1" x14ac:dyDescent="0.25"/>
    <row r="27759" s="12" customFormat="1" x14ac:dyDescent="0.25"/>
    <row r="27760" s="12" customFormat="1" x14ac:dyDescent="0.25"/>
    <row r="27761" s="12" customFormat="1" x14ac:dyDescent="0.25"/>
    <row r="27762" s="12" customFormat="1" x14ac:dyDescent="0.25"/>
    <row r="27763" s="12" customFormat="1" x14ac:dyDescent="0.25"/>
    <row r="27764" s="12" customFormat="1" x14ac:dyDescent="0.25"/>
    <row r="27765" s="12" customFormat="1" x14ac:dyDescent="0.25"/>
    <row r="27766" s="12" customFormat="1" x14ac:dyDescent="0.25"/>
    <row r="27767" s="12" customFormat="1" x14ac:dyDescent="0.25"/>
    <row r="27768" s="12" customFormat="1" x14ac:dyDescent="0.25"/>
    <row r="27769" s="12" customFormat="1" x14ac:dyDescent="0.25"/>
    <row r="27770" s="12" customFormat="1" x14ac:dyDescent="0.25"/>
    <row r="27771" s="12" customFormat="1" x14ac:dyDescent="0.25"/>
    <row r="27772" s="12" customFormat="1" x14ac:dyDescent="0.25"/>
    <row r="27773" s="12" customFormat="1" x14ac:dyDescent="0.25"/>
    <row r="27774" s="12" customFormat="1" x14ac:dyDescent="0.25"/>
    <row r="27775" s="12" customFormat="1" x14ac:dyDescent="0.25"/>
    <row r="27776" s="12" customFormat="1" x14ac:dyDescent="0.25"/>
    <row r="27777" s="12" customFormat="1" x14ac:dyDescent="0.25"/>
    <row r="27778" s="12" customFormat="1" x14ac:dyDescent="0.25"/>
    <row r="27779" s="12" customFormat="1" x14ac:dyDescent="0.25"/>
    <row r="27780" s="12" customFormat="1" x14ac:dyDescent="0.25"/>
    <row r="27781" s="12" customFormat="1" x14ac:dyDescent="0.25"/>
    <row r="27782" s="12" customFormat="1" x14ac:dyDescent="0.25"/>
    <row r="27783" s="12" customFormat="1" x14ac:dyDescent="0.25"/>
    <row r="27784" s="12" customFormat="1" x14ac:dyDescent="0.25"/>
    <row r="27785" s="12" customFormat="1" x14ac:dyDescent="0.25"/>
    <row r="27786" s="12" customFormat="1" x14ac:dyDescent="0.25"/>
    <row r="27787" s="12" customFormat="1" x14ac:dyDescent="0.25"/>
    <row r="27788" s="12" customFormat="1" x14ac:dyDescent="0.25"/>
    <row r="27789" s="12" customFormat="1" x14ac:dyDescent="0.25"/>
    <row r="27790" s="12" customFormat="1" x14ac:dyDescent="0.25"/>
    <row r="27791" s="12" customFormat="1" x14ac:dyDescent="0.25"/>
    <row r="27792" s="12" customFormat="1" x14ac:dyDescent="0.25"/>
    <row r="27793" s="12" customFormat="1" x14ac:dyDescent="0.25"/>
    <row r="27794" s="12" customFormat="1" x14ac:dyDescent="0.25"/>
    <row r="27795" s="12" customFormat="1" x14ac:dyDescent="0.25"/>
    <row r="27796" s="12" customFormat="1" x14ac:dyDescent="0.25"/>
    <row r="27797" s="12" customFormat="1" x14ac:dyDescent="0.25"/>
    <row r="27798" s="12" customFormat="1" x14ac:dyDescent="0.25"/>
    <row r="27799" s="12" customFormat="1" x14ac:dyDescent="0.25"/>
    <row r="27800" s="12" customFormat="1" x14ac:dyDescent="0.25"/>
    <row r="27801" s="12" customFormat="1" x14ac:dyDescent="0.25"/>
    <row r="27802" s="12" customFormat="1" x14ac:dyDescent="0.25"/>
    <row r="27803" s="12" customFormat="1" x14ac:dyDescent="0.25"/>
    <row r="27804" s="12" customFormat="1" x14ac:dyDescent="0.25"/>
    <row r="27805" s="12" customFormat="1" x14ac:dyDescent="0.25"/>
    <row r="27806" s="12" customFormat="1" x14ac:dyDescent="0.25"/>
    <row r="27807" s="12" customFormat="1" x14ac:dyDescent="0.25"/>
    <row r="27808" s="12" customFormat="1" x14ac:dyDescent="0.25"/>
    <row r="27809" s="12" customFormat="1" x14ac:dyDescent="0.25"/>
    <row r="27810" s="12" customFormat="1" x14ac:dyDescent="0.25"/>
    <row r="27811" s="12" customFormat="1" x14ac:dyDescent="0.25"/>
    <row r="27812" s="12" customFormat="1" x14ac:dyDescent="0.25"/>
    <row r="27813" s="12" customFormat="1" x14ac:dyDescent="0.25"/>
    <row r="27814" s="12" customFormat="1" x14ac:dyDescent="0.25"/>
    <row r="27815" s="12" customFormat="1" x14ac:dyDescent="0.25"/>
    <row r="27816" s="12" customFormat="1" x14ac:dyDescent="0.25"/>
    <row r="27817" s="12" customFormat="1" x14ac:dyDescent="0.25"/>
    <row r="27818" s="12" customFormat="1" x14ac:dyDescent="0.25"/>
    <row r="27819" s="12" customFormat="1" x14ac:dyDescent="0.25"/>
    <row r="27820" s="12" customFormat="1" x14ac:dyDescent="0.25"/>
    <row r="27821" s="12" customFormat="1" x14ac:dyDescent="0.25"/>
    <row r="27822" s="12" customFormat="1" x14ac:dyDescent="0.25"/>
    <row r="27823" s="12" customFormat="1" x14ac:dyDescent="0.25"/>
    <row r="27824" s="12" customFormat="1" x14ac:dyDescent="0.25"/>
    <row r="27825" s="12" customFormat="1" x14ac:dyDescent="0.25"/>
    <row r="27826" s="12" customFormat="1" x14ac:dyDescent="0.25"/>
    <row r="27827" s="12" customFormat="1" x14ac:dyDescent="0.25"/>
    <row r="27828" s="12" customFormat="1" x14ac:dyDescent="0.25"/>
    <row r="27829" s="12" customFormat="1" x14ac:dyDescent="0.25"/>
    <row r="27830" s="12" customFormat="1" x14ac:dyDescent="0.25"/>
    <row r="27831" s="12" customFormat="1" x14ac:dyDescent="0.25"/>
    <row r="27832" s="12" customFormat="1" x14ac:dyDescent="0.25"/>
    <row r="27833" s="12" customFormat="1" x14ac:dyDescent="0.25"/>
    <row r="27834" s="12" customFormat="1" x14ac:dyDescent="0.25"/>
    <row r="27835" s="12" customFormat="1" x14ac:dyDescent="0.25"/>
    <row r="27836" s="12" customFormat="1" x14ac:dyDescent="0.25"/>
    <row r="27837" s="12" customFormat="1" x14ac:dyDescent="0.25"/>
    <row r="27838" s="12" customFormat="1" x14ac:dyDescent="0.25"/>
    <row r="27839" s="12" customFormat="1" x14ac:dyDescent="0.25"/>
    <row r="27840" s="12" customFormat="1" x14ac:dyDescent="0.25"/>
    <row r="27841" s="12" customFormat="1" x14ac:dyDescent="0.25"/>
    <row r="27842" s="12" customFormat="1" x14ac:dyDescent="0.25"/>
    <row r="27843" s="12" customFormat="1" x14ac:dyDescent="0.25"/>
    <row r="27844" s="12" customFormat="1" x14ac:dyDescent="0.25"/>
    <row r="27845" s="12" customFormat="1" x14ac:dyDescent="0.25"/>
    <row r="27846" s="12" customFormat="1" x14ac:dyDescent="0.25"/>
    <row r="27847" s="12" customFormat="1" x14ac:dyDescent="0.25"/>
    <row r="27848" s="12" customFormat="1" x14ac:dyDescent="0.25"/>
    <row r="27849" s="12" customFormat="1" x14ac:dyDescent="0.25"/>
    <row r="27850" s="12" customFormat="1" x14ac:dyDescent="0.25"/>
    <row r="27851" s="12" customFormat="1" x14ac:dyDescent="0.25"/>
    <row r="27852" s="12" customFormat="1" x14ac:dyDescent="0.25"/>
    <row r="27853" s="12" customFormat="1" x14ac:dyDescent="0.25"/>
    <row r="27854" s="12" customFormat="1" x14ac:dyDescent="0.25"/>
    <row r="27855" s="12" customFormat="1" x14ac:dyDescent="0.25"/>
    <row r="27856" s="12" customFormat="1" x14ac:dyDescent="0.25"/>
    <row r="27857" s="12" customFormat="1" x14ac:dyDescent="0.25"/>
    <row r="27858" s="12" customFormat="1" x14ac:dyDescent="0.25"/>
    <row r="27859" s="12" customFormat="1" x14ac:dyDescent="0.25"/>
    <row r="27860" s="12" customFormat="1" x14ac:dyDescent="0.25"/>
    <row r="27861" s="12" customFormat="1" x14ac:dyDescent="0.25"/>
    <row r="27862" s="12" customFormat="1" x14ac:dyDescent="0.25"/>
    <row r="27863" s="12" customFormat="1" x14ac:dyDescent="0.25"/>
    <row r="27864" s="12" customFormat="1" x14ac:dyDescent="0.25"/>
    <row r="27865" s="12" customFormat="1" x14ac:dyDescent="0.25"/>
    <row r="27866" s="12" customFormat="1" x14ac:dyDescent="0.25"/>
    <row r="27867" s="12" customFormat="1" x14ac:dyDescent="0.25"/>
    <row r="27868" s="12" customFormat="1" x14ac:dyDescent="0.25"/>
    <row r="27869" s="12" customFormat="1" x14ac:dyDescent="0.25"/>
    <row r="27870" s="12" customFormat="1" x14ac:dyDescent="0.25"/>
    <row r="27871" s="12" customFormat="1" x14ac:dyDescent="0.25"/>
    <row r="27872" s="12" customFormat="1" x14ac:dyDescent="0.25"/>
    <row r="27873" s="12" customFormat="1" x14ac:dyDescent="0.25"/>
    <row r="27874" s="12" customFormat="1" x14ac:dyDescent="0.25"/>
    <row r="27875" s="12" customFormat="1" x14ac:dyDescent="0.25"/>
    <row r="27876" s="12" customFormat="1" x14ac:dyDescent="0.25"/>
    <row r="27877" s="12" customFormat="1" x14ac:dyDescent="0.25"/>
    <row r="27878" s="12" customFormat="1" x14ac:dyDescent="0.25"/>
    <row r="27879" s="12" customFormat="1" x14ac:dyDescent="0.25"/>
    <row r="27880" s="12" customFormat="1" x14ac:dyDescent="0.25"/>
    <row r="27881" s="12" customFormat="1" x14ac:dyDescent="0.25"/>
    <row r="27882" s="12" customFormat="1" x14ac:dyDescent="0.25"/>
    <row r="27883" s="12" customFormat="1" x14ac:dyDescent="0.25"/>
    <row r="27884" s="12" customFormat="1" x14ac:dyDescent="0.25"/>
    <row r="27885" s="12" customFormat="1" x14ac:dyDescent="0.25"/>
    <row r="27886" s="12" customFormat="1" x14ac:dyDescent="0.25"/>
    <row r="27887" s="12" customFormat="1" x14ac:dyDescent="0.25"/>
    <row r="27888" s="12" customFormat="1" x14ac:dyDescent="0.25"/>
    <row r="27889" s="12" customFormat="1" x14ac:dyDescent="0.25"/>
    <row r="27890" s="12" customFormat="1" x14ac:dyDescent="0.25"/>
    <row r="27891" s="12" customFormat="1" x14ac:dyDescent="0.25"/>
    <row r="27892" s="12" customFormat="1" x14ac:dyDescent="0.25"/>
    <row r="27893" s="12" customFormat="1" x14ac:dyDescent="0.25"/>
    <row r="27894" s="12" customFormat="1" x14ac:dyDescent="0.25"/>
    <row r="27895" s="12" customFormat="1" x14ac:dyDescent="0.25"/>
    <row r="27896" s="12" customFormat="1" x14ac:dyDescent="0.25"/>
    <row r="27897" s="12" customFormat="1" x14ac:dyDescent="0.25"/>
    <row r="27898" s="12" customFormat="1" x14ac:dyDescent="0.25"/>
    <row r="27899" s="12" customFormat="1" x14ac:dyDescent="0.25"/>
    <row r="27900" s="12" customFormat="1" x14ac:dyDescent="0.25"/>
    <row r="27901" s="12" customFormat="1" x14ac:dyDescent="0.25"/>
    <row r="27902" s="12" customFormat="1" x14ac:dyDescent="0.25"/>
    <row r="27903" s="12" customFormat="1" x14ac:dyDescent="0.25"/>
    <row r="27904" s="12" customFormat="1" x14ac:dyDescent="0.25"/>
    <row r="27905" s="12" customFormat="1" x14ac:dyDescent="0.25"/>
    <row r="27906" s="12" customFormat="1" x14ac:dyDescent="0.25"/>
    <row r="27907" s="12" customFormat="1" x14ac:dyDescent="0.25"/>
    <row r="27908" s="12" customFormat="1" x14ac:dyDescent="0.25"/>
    <row r="27909" s="12" customFormat="1" x14ac:dyDescent="0.25"/>
    <row r="27910" s="12" customFormat="1" x14ac:dyDescent="0.25"/>
    <row r="27911" s="12" customFormat="1" x14ac:dyDescent="0.25"/>
    <row r="27912" s="12" customFormat="1" x14ac:dyDescent="0.25"/>
    <row r="27913" s="12" customFormat="1" x14ac:dyDescent="0.25"/>
    <row r="27914" s="12" customFormat="1" x14ac:dyDescent="0.25"/>
    <row r="27915" s="12" customFormat="1" x14ac:dyDescent="0.25"/>
    <row r="27916" s="12" customFormat="1" x14ac:dyDescent="0.25"/>
    <row r="27917" s="12" customFormat="1" x14ac:dyDescent="0.25"/>
    <row r="27918" s="12" customFormat="1" x14ac:dyDescent="0.25"/>
    <row r="27919" s="12" customFormat="1" x14ac:dyDescent="0.25"/>
    <row r="27920" s="12" customFormat="1" x14ac:dyDescent="0.25"/>
    <row r="27921" s="12" customFormat="1" x14ac:dyDescent="0.25"/>
    <row r="27922" s="12" customFormat="1" x14ac:dyDescent="0.25"/>
    <row r="27923" s="12" customFormat="1" x14ac:dyDescent="0.25"/>
    <row r="27924" s="12" customFormat="1" x14ac:dyDescent="0.25"/>
    <row r="27925" s="12" customFormat="1" x14ac:dyDescent="0.25"/>
    <row r="27926" s="12" customFormat="1" x14ac:dyDescent="0.25"/>
    <row r="27927" s="12" customFormat="1" x14ac:dyDescent="0.25"/>
    <row r="27928" s="12" customFormat="1" x14ac:dyDescent="0.25"/>
    <row r="27929" s="12" customFormat="1" x14ac:dyDescent="0.25"/>
    <row r="27930" s="12" customFormat="1" x14ac:dyDescent="0.25"/>
    <row r="27931" s="12" customFormat="1" x14ac:dyDescent="0.25"/>
    <row r="27932" s="12" customFormat="1" x14ac:dyDescent="0.25"/>
    <row r="27933" s="12" customFormat="1" x14ac:dyDescent="0.25"/>
    <row r="27934" s="12" customFormat="1" x14ac:dyDescent="0.25"/>
    <row r="27935" s="12" customFormat="1" x14ac:dyDescent="0.25"/>
    <row r="27936" s="12" customFormat="1" x14ac:dyDescent="0.25"/>
    <row r="27937" s="12" customFormat="1" x14ac:dyDescent="0.25"/>
    <row r="27938" s="12" customFormat="1" x14ac:dyDescent="0.25"/>
    <row r="27939" s="12" customFormat="1" x14ac:dyDescent="0.25"/>
    <row r="27940" s="12" customFormat="1" x14ac:dyDescent="0.25"/>
    <row r="27941" s="12" customFormat="1" x14ac:dyDescent="0.25"/>
    <row r="27942" s="12" customFormat="1" x14ac:dyDescent="0.25"/>
    <row r="27943" s="12" customFormat="1" x14ac:dyDescent="0.25"/>
    <row r="27944" s="12" customFormat="1" x14ac:dyDescent="0.25"/>
    <row r="27945" s="12" customFormat="1" x14ac:dyDescent="0.25"/>
    <row r="27946" s="12" customFormat="1" x14ac:dyDescent="0.25"/>
    <row r="27947" s="12" customFormat="1" x14ac:dyDescent="0.25"/>
    <row r="27948" s="12" customFormat="1" x14ac:dyDescent="0.25"/>
    <row r="27949" s="12" customFormat="1" x14ac:dyDescent="0.25"/>
    <row r="27950" s="12" customFormat="1" x14ac:dyDescent="0.25"/>
    <row r="27951" s="12" customFormat="1" x14ac:dyDescent="0.25"/>
    <row r="27952" s="12" customFormat="1" x14ac:dyDescent="0.25"/>
    <row r="27953" s="12" customFormat="1" x14ac:dyDescent="0.25"/>
    <row r="27954" s="12" customFormat="1" x14ac:dyDescent="0.25"/>
    <row r="27955" s="12" customFormat="1" x14ac:dyDescent="0.25"/>
    <row r="27956" s="12" customFormat="1" x14ac:dyDescent="0.25"/>
    <row r="27957" s="12" customFormat="1" x14ac:dyDescent="0.25"/>
    <row r="27958" s="12" customFormat="1" x14ac:dyDescent="0.25"/>
    <row r="27959" s="12" customFormat="1" x14ac:dyDescent="0.25"/>
    <row r="27960" s="12" customFormat="1" x14ac:dyDescent="0.25"/>
    <row r="27961" s="12" customFormat="1" x14ac:dyDescent="0.25"/>
    <row r="27962" s="12" customFormat="1" x14ac:dyDescent="0.25"/>
    <row r="27963" s="12" customFormat="1" x14ac:dyDescent="0.25"/>
    <row r="27964" s="12" customFormat="1" x14ac:dyDescent="0.25"/>
    <row r="27965" s="12" customFormat="1" x14ac:dyDescent="0.25"/>
    <row r="27966" s="12" customFormat="1" x14ac:dyDescent="0.25"/>
    <row r="27967" s="12" customFormat="1" x14ac:dyDescent="0.25"/>
    <row r="27968" s="12" customFormat="1" x14ac:dyDescent="0.25"/>
    <row r="27969" s="12" customFormat="1" x14ac:dyDescent="0.25"/>
    <row r="27970" s="12" customFormat="1" x14ac:dyDescent="0.25"/>
    <row r="27971" s="12" customFormat="1" x14ac:dyDescent="0.25"/>
    <row r="27972" s="12" customFormat="1" x14ac:dyDescent="0.25"/>
    <row r="27973" s="12" customFormat="1" x14ac:dyDescent="0.25"/>
    <row r="27974" s="12" customFormat="1" x14ac:dyDescent="0.25"/>
    <row r="27975" s="12" customFormat="1" x14ac:dyDescent="0.25"/>
    <row r="27976" s="12" customFormat="1" x14ac:dyDescent="0.25"/>
    <row r="27977" s="12" customFormat="1" x14ac:dyDescent="0.25"/>
    <row r="27978" s="12" customFormat="1" x14ac:dyDescent="0.25"/>
    <row r="27979" s="12" customFormat="1" x14ac:dyDescent="0.25"/>
    <row r="27980" s="12" customFormat="1" x14ac:dyDescent="0.25"/>
    <row r="27981" s="12" customFormat="1" x14ac:dyDescent="0.25"/>
    <row r="27982" s="12" customFormat="1" x14ac:dyDescent="0.25"/>
    <row r="27983" s="12" customFormat="1" x14ac:dyDescent="0.25"/>
    <row r="27984" s="12" customFormat="1" x14ac:dyDescent="0.25"/>
    <row r="27985" s="12" customFormat="1" x14ac:dyDescent="0.25"/>
    <row r="27986" s="12" customFormat="1" x14ac:dyDescent="0.25"/>
    <row r="27987" s="12" customFormat="1" x14ac:dyDescent="0.25"/>
    <row r="27988" s="12" customFormat="1" x14ac:dyDescent="0.25"/>
    <row r="27989" s="12" customFormat="1" x14ac:dyDescent="0.25"/>
    <row r="27990" s="12" customFormat="1" x14ac:dyDescent="0.25"/>
    <row r="27991" s="12" customFormat="1" x14ac:dyDescent="0.25"/>
    <row r="27992" s="12" customFormat="1" x14ac:dyDescent="0.25"/>
    <row r="27993" s="12" customFormat="1" x14ac:dyDescent="0.25"/>
    <row r="27994" s="12" customFormat="1" x14ac:dyDescent="0.25"/>
    <row r="27995" s="12" customFormat="1" x14ac:dyDescent="0.25"/>
    <row r="27996" s="12" customFormat="1" x14ac:dyDescent="0.25"/>
    <row r="27997" s="12" customFormat="1" x14ac:dyDescent="0.25"/>
    <row r="27998" s="12" customFormat="1" x14ac:dyDescent="0.25"/>
    <row r="27999" s="12" customFormat="1" x14ac:dyDescent="0.25"/>
    <row r="28000" s="12" customFormat="1" x14ac:dyDescent="0.25"/>
    <row r="28001" s="12" customFormat="1" x14ac:dyDescent="0.25"/>
    <row r="28002" s="12" customFormat="1" x14ac:dyDescent="0.25"/>
    <row r="28003" s="12" customFormat="1" x14ac:dyDescent="0.25"/>
    <row r="28004" s="12" customFormat="1" x14ac:dyDescent="0.25"/>
    <row r="28005" s="12" customFormat="1" x14ac:dyDescent="0.25"/>
    <row r="28006" s="12" customFormat="1" x14ac:dyDescent="0.25"/>
    <row r="28007" s="12" customFormat="1" x14ac:dyDescent="0.25"/>
    <row r="28008" s="12" customFormat="1" x14ac:dyDescent="0.25"/>
    <row r="28009" s="12" customFormat="1" x14ac:dyDescent="0.25"/>
    <row r="28010" s="12" customFormat="1" x14ac:dyDescent="0.25"/>
    <row r="28011" s="12" customFormat="1" x14ac:dyDescent="0.25"/>
    <row r="28012" s="12" customFormat="1" x14ac:dyDescent="0.25"/>
    <row r="28013" s="12" customFormat="1" x14ac:dyDescent="0.25"/>
    <row r="28014" s="12" customFormat="1" x14ac:dyDescent="0.25"/>
    <row r="28015" s="12" customFormat="1" x14ac:dyDescent="0.25"/>
    <row r="28016" s="12" customFormat="1" x14ac:dyDescent="0.25"/>
    <row r="28017" s="12" customFormat="1" x14ac:dyDescent="0.25"/>
    <row r="28018" s="12" customFormat="1" x14ac:dyDescent="0.25"/>
    <row r="28019" s="12" customFormat="1" x14ac:dyDescent="0.25"/>
    <row r="28020" s="12" customFormat="1" x14ac:dyDescent="0.25"/>
    <row r="28021" s="12" customFormat="1" x14ac:dyDescent="0.25"/>
    <row r="28022" s="12" customFormat="1" x14ac:dyDescent="0.25"/>
    <row r="28023" s="12" customFormat="1" x14ac:dyDescent="0.25"/>
    <row r="28024" s="12" customFormat="1" x14ac:dyDescent="0.25"/>
    <row r="28025" s="12" customFormat="1" x14ac:dyDescent="0.25"/>
    <row r="28026" s="12" customFormat="1" x14ac:dyDescent="0.25"/>
    <row r="28027" s="12" customFormat="1" x14ac:dyDescent="0.25"/>
    <row r="28028" s="12" customFormat="1" x14ac:dyDescent="0.25"/>
    <row r="28029" s="12" customFormat="1" x14ac:dyDescent="0.25"/>
    <row r="28030" s="12" customFormat="1" x14ac:dyDescent="0.25"/>
    <row r="28031" s="12" customFormat="1" x14ac:dyDescent="0.25"/>
    <row r="28032" s="12" customFormat="1" x14ac:dyDescent="0.25"/>
    <row r="28033" s="12" customFormat="1" x14ac:dyDescent="0.25"/>
    <row r="28034" s="12" customFormat="1" x14ac:dyDescent="0.25"/>
    <row r="28035" s="12" customFormat="1" x14ac:dyDescent="0.25"/>
    <row r="28036" s="12" customFormat="1" x14ac:dyDescent="0.25"/>
    <row r="28037" s="12" customFormat="1" x14ac:dyDescent="0.25"/>
    <row r="28038" s="12" customFormat="1" x14ac:dyDescent="0.25"/>
    <row r="28039" s="12" customFormat="1" x14ac:dyDescent="0.25"/>
    <row r="28040" s="12" customFormat="1" x14ac:dyDescent="0.25"/>
    <row r="28041" s="12" customFormat="1" x14ac:dyDescent="0.25"/>
    <row r="28042" s="12" customFormat="1" x14ac:dyDescent="0.25"/>
    <row r="28043" s="12" customFormat="1" x14ac:dyDescent="0.25"/>
    <row r="28044" s="12" customFormat="1" x14ac:dyDescent="0.25"/>
    <row r="28045" s="12" customFormat="1" x14ac:dyDescent="0.25"/>
    <row r="28046" s="12" customFormat="1" x14ac:dyDescent="0.25"/>
    <row r="28047" s="12" customFormat="1" x14ac:dyDescent="0.25"/>
    <row r="28048" s="12" customFormat="1" x14ac:dyDescent="0.25"/>
    <row r="28049" s="12" customFormat="1" x14ac:dyDescent="0.25"/>
    <row r="28050" s="12" customFormat="1" x14ac:dyDescent="0.25"/>
    <row r="28051" s="12" customFormat="1" x14ac:dyDescent="0.25"/>
    <row r="28052" s="12" customFormat="1" x14ac:dyDescent="0.25"/>
    <row r="28053" s="12" customFormat="1" x14ac:dyDescent="0.25"/>
    <row r="28054" s="12" customFormat="1" x14ac:dyDescent="0.25"/>
    <row r="28055" s="12" customFormat="1" x14ac:dyDescent="0.25"/>
    <row r="28056" s="12" customFormat="1" x14ac:dyDescent="0.25"/>
    <row r="28057" s="12" customFormat="1" x14ac:dyDescent="0.25"/>
    <row r="28058" s="12" customFormat="1" x14ac:dyDescent="0.25"/>
    <row r="28059" s="12" customFormat="1" x14ac:dyDescent="0.25"/>
    <row r="28060" s="12" customFormat="1" x14ac:dyDescent="0.25"/>
    <row r="28061" s="12" customFormat="1" x14ac:dyDescent="0.25"/>
    <row r="28062" s="12" customFormat="1" x14ac:dyDescent="0.25"/>
    <row r="28063" s="12" customFormat="1" x14ac:dyDescent="0.25"/>
    <row r="28064" s="12" customFormat="1" x14ac:dyDescent="0.25"/>
    <row r="28065" s="12" customFormat="1" x14ac:dyDescent="0.25"/>
    <row r="28066" s="12" customFormat="1" x14ac:dyDescent="0.25"/>
    <row r="28067" s="12" customFormat="1" x14ac:dyDescent="0.25"/>
    <row r="28068" s="12" customFormat="1" x14ac:dyDescent="0.25"/>
    <row r="28069" s="12" customFormat="1" x14ac:dyDescent="0.25"/>
    <row r="28070" s="12" customFormat="1" x14ac:dyDescent="0.25"/>
    <row r="28071" s="12" customFormat="1" x14ac:dyDescent="0.25"/>
    <row r="28072" s="12" customFormat="1" x14ac:dyDescent="0.25"/>
    <row r="28073" s="12" customFormat="1" x14ac:dyDescent="0.25"/>
    <row r="28074" s="12" customFormat="1" x14ac:dyDescent="0.25"/>
    <row r="28075" s="12" customFormat="1" x14ac:dyDescent="0.25"/>
    <row r="28076" s="12" customFormat="1" x14ac:dyDescent="0.25"/>
    <row r="28077" s="12" customFormat="1" x14ac:dyDescent="0.25"/>
    <row r="28078" s="12" customFormat="1" x14ac:dyDescent="0.25"/>
    <row r="28079" s="12" customFormat="1" x14ac:dyDescent="0.25"/>
    <row r="28080" s="12" customFormat="1" x14ac:dyDescent="0.25"/>
    <row r="28081" s="12" customFormat="1" x14ac:dyDescent="0.25"/>
    <row r="28082" s="12" customFormat="1" x14ac:dyDescent="0.25"/>
    <row r="28083" s="12" customFormat="1" x14ac:dyDescent="0.25"/>
    <row r="28084" s="12" customFormat="1" x14ac:dyDescent="0.25"/>
    <row r="28085" s="12" customFormat="1" x14ac:dyDescent="0.25"/>
    <row r="28086" s="12" customFormat="1" x14ac:dyDescent="0.25"/>
    <row r="28087" s="12" customFormat="1" x14ac:dyDescent="0.25"/>
    <row r="28088" s="12" customFormat="1" x14ac:dyDescent="0.25"/>
    <row r="28089" s="12" customFormat="1" x14ac:dyDescent="0.25"/>
    <row r="28090" s="12" customFormat="1" x14ac:dyDescent="0.25"/>
    <row r="28091" s="12" customFormat="1" x14ac:dyDescent="0.25"/>
    <row r="28092" s="12" customFormat="1" x14ac:dyDescent="0.25"/>
    <row r="28093" s="12" customFormat="1" x14ac:dyDescent="0.25"/>
    <row r="28094" s="12" customFormat="1" x14ac:dyDescent="0.25"/>
    <row r="28095" s="12" customFormat="1" x14ac:dyDescent="0.25"/>
    <row r="28096" s="12" customFormat="1" x14ac:dyDescent="0.25"/>
    <row r="28097" s="12" customFormat="1" x14ac:dyDescent="0.25"/>
    <row r="28098" s="12" customFormat="1" x14ac:dyDescent="0.25"/>
    <row r="28099" s="12" customFormat="1" x14ac:dyDescent="0.25"/>
    <row r="28100" s="12" customFormat="1" x14ac:dyDescent="0.25"/>
    <row r="28101" s="12" customFormat="1" x14ac:dyDescent="0.25"/>
    <row r="28102" s="12" customFormat="1" x14ac:dyDescent="0.25"/>
    <row r="28103" s="12" customFormat="1" x14ac:dyDescent="0.25"/>
    <row r="28104" s="12" customFormat="1" x14ac:dyDescent="0.25"/>
    <row r="28105" s="12" customFormat="1" x14ac:dyDescent="0.25"/>
    <row r="28106" s="12" customFormat="1" x14ac:dyDescent="0.25"/>
    <row r="28107" s="12" customFormat="1" x14ac:dyDescent="0.25"/>
    <row r="28108" s="12" customFormat="1" x14ac:dyDescent="0.25"/>
    <row r="28109" s="12" customFormat="1" x14ac:dyDescent="0.25"/>
    <row r="28110" s="12" customFormat="1" x14ac:dyDescent="0.25"/>
    <row r="28111" s="12" customFormat="1" x14ac:dyDescent="0.25"/>
    <row r="28112" s="12" customFormat="1" x14ac:dyDescent="0.25"/>
    <row r="28113" s="12" customFormat="1" x14ac:dyDescent="0.25"/>
    <row r="28114" s="12" customFormat="1" x14ac:dyDescent="0.25"/>
    <row r="28115" s="12" customFormat="1" x14ac:dyDescent="0.25"/>
    <row r="28116" s="12" customFormat="1" x14ac:dyDescent="0.25"/>
    <row r="28117" s="12" customFormat="1" x14ac:dyDescent="0.25"/>
    <row r="28118" s="12" customFormat="1" x14ac:dyDescent="0.25"/>
    <row r="28119" s="12" customFormat="1" x14ac:dyDescent="0.25"/>
    <row r="28120" s="12" customFormat="1" x14ac:dyDescent="0.25"/>
    <row r="28121" s="12" customFormat="1" x14ac:dyDescent="0.25"/>
    <row r="28122" s="12" customFormat="1" x14ac:dyDescent="0.25"/>
    <row r="28123" s="12" customFormat="1" x14ac:dyDescent="0.25"/>
    <row r="28124" s="12" customFormat="1" x14ac:dyDescent="0.25"/>
    <row r="28125" s="12" customFormat="1" x14ac:dyDescent="0.25"/>
    <row r="28126" s="12" customFormat="1" x14ac:dyDescent="0.25"/>
    <row r="28127" s="12" customFormat="1" x14ac:dyDescent="0.25"/>
    <row r="28128" s="12" customFormat="1" x14ac:dyDescent="0.25"/>
    <row r="28129" s="12" customFormat="1" x14ac:dyDescent="0.25"/>
    <row r="28130" s="12" customFormat="1" x14ac:dyDescent="0.25"/>
    <row r="28131" s="12" customFormat="1" x14ac:dyDescent="0.25"/>
    <row r="28132" s="12" customFormat="1" x14ac:dyDescent="0.25"/>
    <row r="28133" s="12" customFormat="1" x14ac:dyDescent="0.25"/>
    <row r="28134" s="12" customFormat="1" x14ac:dyDescent="0.25"/>
    <row r="28135" s="12" customFormat="1" x14ac:dyDescent="0.25"/>
    <row r="28136" s="12" customFormat="1" x14ac:dyDescent="0.25"/>
    <row r="28137" s="12" customFormat="1" x14ac:dyDescent="0.25"/>
    <row r="28138" s="12" customFormat="1" x14ac:dyDescent="0.25"/>
    <row r="28139" s="12" customFormat="1" x14ac:dyDescent="0.25"/>
    <row r="28140" s="12" customFormat="1" x14ac:dyDescent="0.25"/>
    <row r="28141" s="12" customFormat="1" x14ac:dyDescent="0.25"/>
    <row r="28142" s="12" customFormat="1" x14ac:dyDescent="0.25"/>
    <row r="28143" s="12" customFormat="1" x14ac:dyDescent="0.25"/>
    <row r="28144" s="12" customFormat="1" x14ac:dyDescent="0.25"/>
    <row r="28145" s="12" customFormat="1" x14ac:dyDescent="0.25"/>
    <row r="28146" s="12" customFormat="1" x14ac:dyDescent="0.25"/>
    <row r="28147" s="12" customFormat="1" x14ac:dyDescent="0.25"/>
    <row r="28148" s="12" customFormat="1" x14ac:dyDescent="0.25"/>
    <row r="28149" s="12" customFormat="1" x14ac:dyDescent="0.25"/>
    <row r="28150" s="12" customFormat="1" x14ac:dyDescent="0.25"/>
    <row r="28151" s="12" customFormat="1" x14ac:dyDescent="0.25"/>
    <row r="28152" s="12" customFormat="1" x14ac:dyDescent="0.25"/>
    <row r="28153" s="12" customFormat="1" x14ac:dyDescent="0.25"/>
    <row r="28154" s="12" customFormat="1" x14ac:dyDescent="0.25"/>
    <row r="28155" s="12" customFormat="1" x14ac:dyDescent="0.25"/>
    <row r="28156" s="12" customFormat="1" x14ac:dyDescent="0.25"/>
    <row r="28157" s="12" customFormat="1" x14ac:dyDescent="0.25"/>
    <row r="28158" s="12" customFormat="1" x14ac:dyDescent="0.25"/>
    <row r="28159" s="12" customFormat="1" x14ac:dyDescent="0.25"/>
    <row r="28160" s="12" customFormat="1" x14ac:dyDescent="0.25"/>
    <row r="28161" s="12" customFormat="1" x14ac:dyDescent="0.25"/>
    <row r="28162" s="12" customFormat="1" x14ac:dyDescent="0.25"/>
    <row r="28163" s="12" customFormat="1" x14ac:dyDescent="0.25"/>
    <row r="28164" s="12" customFormat="1" x14ac:dyDescent="0.25"/>
    <row r="28165" s="12" customFormat="1" x14ac:dyDescent="0.25"/>
    <row r="28166" s="12" customFormat="1" x14ac:dyDescent="0.25"/>
    <row r="28167" s="12" customFormat="1" x14ac:dyDescent="0.25"/>
    <row r="28168" s="12" customFormat="1" x14ac:dyDescent="0.25"/>
    <row r="28169" s="12" customFormat="1" x14ac:dyDescent="0.25"/>
    <row r="28170" s="12" customFormat="1" x14ac:dyDescent="0.25"/>
    <row r="28171" s="12" customFormat="1" x14ac:dyDescent="0.25"/>
    <row r="28172" s="12" customFormat="1" x14ac:dyDescent="0.25"/>
    <row r="28173" s="12" customFormat="1" x14ac:dyDescent="0.25"/>
    <row r="28174" s="12" customFormat="1" x14ac:dyDescent="0.25"/>
    <row r="28175" s="12" customFormat="1" x14ac:dyDescent="0.25"/>
    <row r="28176" s="12" customFormat="1" x14ac:dyDescent="0.25"/>
    <row r="28177" s="12" customFormat="1" x14ac:dyDescent="0.25"/>
    <row r="28178" s="12" customFormat="1" x14ac:dyDescent="0.25"/>
    <row r="28179" s="12" customFormat="1" x14ac:dyDescent="0.25"/>
    <row r="28180" s="12" customFormat="1" x14ac:dyDescent="0.25"/>
    <row r="28181" s="12" customFormat="1" x14ac:dyDescent="0.25"/>
    <row r="28182" s="12" customFormat="1" x14ac:dyDescent="0.25"/>
    <row r="28183" s="12" customFormat="1" x14ac:dyDescent="0.25"/>
    <row r="28184" s="12" customFormat="1" x14ac:dyDescent="0.25"/>
    <row r="28185" s="12" customFormat="1" x14ac:dyDescent="0.25"/>
    <row r="28186" s="12" customFormat="1" x14ac:dyDescent="0.25"/>
    <row r="28187" s="12" customFormat="1" x14ac:dyDescent="0.25"/>
    <row r="28188" s="12" customFormat="1" x14ac:dyDescent="0.25"/>
    <row r="28189" s="12" customFormat="1" x14ac:dyDescent="0.25"/>
    <row r="28190" s="12" customFormat="1" x14ac:dyDescent="0.25"/>
    <row r="28191" s="12" customFormat="1" x14ac:dyDescent="0.25"/>
    <row r="28192" s="12" customFormat="1" x14ac:dyDescent="0.25"/>
    <row r="28193" s="12" customFormat="1" x14ac:dyDescent="0.25"/>
    <row r="28194" s="12" customFormat="1" x14ac:dyDescent="0.25"/>
    <row r="28195" s="12" customFormat="1" x14ac:dyDescent="0.25"/>
    <row r="28196" s="12" customFormat="1" x14ac:dyDescent="0.25"/>
    <row r="28197" s="12" customFormat="1" x14ac:dyDescent="0.25"/>
    <row r="28198" s="12" customFormat="1" x14ac:dyDescent="0.25"/>
    <row r="28199" s="12" customFormat="1" x14ac:dyDescent="0.25"/>
    <row r="28200" s="12" customFormat="1" x14ac:dyDescent="0.25"/>
    <row r="28201" s="12" customFormat="1" x14ac:dyDescent="0.25"/>
    <row r="28202" s="12" customFormat="1" x14ac:dyDescent="0.25"/>
    <row r="28203" s="12" customFormat="1" x14ac:dyDescent="0.25"/>
    <row r="28204" s="12" customFormat="1" x14ac:dyDescent="0.25"/>
    <row r="28205" s="12" customFormat="1" x14ac:dyDescent="0.25"/>
    <row r="28206" s="12" customFormat="1" x14ac:dyDescent="0.25"/>
    <row r="28207" s="12" customFormat="1" x14ac:dyDescent="0.25"/>
    <row r="28208" s="12" customFormat="1" x14ac:dyDescent="0.25"/>
    <row r="28209" s="12" customFormat="1" x14ac:dyDescent="0.25"/>
    <row r="28210" s="12" customFormat="1" x14ac:dyDescent="0.25"/>
    <row r="28211" s="12" customFormat="1" x14ac:dyDescent="0.25"/>
    <row r="28212" s="12" customFormat="1" x14ac:dyDescent="0.25"/>
    <row r="28213" s="12" customFormat="1" x14ac:dyDescent="0.25"/>
    <row r="28214" s="12" customFormat="1" x14ac:dyDescent="0.25"/>
    <row r="28215" s="12" customFormat="1" x14ac:dyDescent="0.25"/>
    <row r="28216" s="12" customFormat="1" x14ac:dyDescent="0.25"/>
    <row r="28217" s="12" customFormat="1" x14ac:dyDescent="0.25"/>
    <row r="28218" s="12" customFormat="1" x14ac:dyDescent="0.25"/>
    <row r="28219" s="12" customFormat="1" x14ac:dyDescent="0.25"/>
    <row r="28220" s="12" customFormat="1" x14ac:dyDescent="0.25"/>
    <row r="28221" s="12" customFormat="1" x14ac:dyDescent="0.25"/>
    <row r="28222" s="12" customFormat="1" x14ac:dyDescent="0.25"/>
    <row r="28223" s="12" customFormat="1" x14ac:dyDescent="0.25"/>
    <row r="28224" s="12" customFormat="1" x14ac:dyDescent="0.25"/>
    <row r="28225" s="12" customFormat="1" x14ac:dyDescent="0.25"/>
    <row r="28226" s="12" customFormat="1" x14ac:dyDescent="0.25"/>
    <row r="28227" s="12" customFormat="1" x14ac:dyDescent="0.25"/>
    <row r="28228" s="12" customFormat="1" x14ac:dyDescent="0.25"/>
    <row r="28229" s="12" customFormat="1" x14ac:dyDescent="0.25"/>
    <row r="28230" s="12" customFormat="1" x14ac:dyDescent="0.25"/>
    <row r="28231" s="12" customFormat="1" x14ac:dyDescent="0.25"/>
    <row r="28232" s="12" customFormat="1" x14ac:dyDescent="0.25"/>
    <row r="28233" s="12" customFormat="1" x14ac:dyDescent="0.25"/>
    <row r="28234" s="12" customFormat="1" x14ac:dyDescent="0.25"/>
    <row r="28235" s="12" customFormat="1" x14ac:dyDescent="0.25"/>
    <row r="28236" s="12" customFormat="1" x14ac:dyDescent="0.25"/>
    <row r="28237" s="12" customFormat="1" x14ac:dyDescent="0.25"/>
    <row r="28238" s="12" customFormat="1" x14ac:dyDescent="0.25"/>
    <row r="28239" s="12" customFormat="1" x14ac:dyDescent="0.25"/>
    <row r="28240" s="12" customFormat="1" x14ac:dyDescent="0.25"/>
    <row r="28241" s="12" customFormat="1" x14ac:dyDescent="0.25"/>
    <row r="28242" s="12" customFormat="1" x14ac:dyDescent="0.25"/>
    <row r="28243" s="12" customFormat="1" x14ac:dyDescent="0.25"/>
    <row r="28244" s="12" customFormat="1" x14ac:dyDescent="0.25"/>
    <row r="28245" s="12" customFormat="1" x14ac:dyDescent="0.25"/>
    <row r="28246" s="12" customFormat="1" x14ac:dyDescent="0.25"/>
    <row r="28247" s="12" customFormat="1" x14ac:dyDescent="0.25"/>
    <row r="28248" s="12" customFormat="1" x14ac:dyDescent="0.25"/>
    <row r="28249" s="12" customFormat="1" x14ac:dyDescent="0.25"/>
    <row r="28250" s="12" customFormat="1" x14ac:dyDescent="0.25"/>
    <row r="28251" s="12" customFormat="1" x14ac:dyDescent="0.25"/>
    <row r="28252" s="12" customFormat="1" x14ac:dyDescent="0.25"/>
    <row r="28253" s="12" customFormat="1" x14ac:dyDescent="0.25"/>
    <row r="28254" s="12" customFormat="1" x14ac:dyDescent="0.25"/>
    <row r="28255" s="12" customFormat="1" x14ac:dyDescent="0.25"/>
    <row r="28256" s="12" customFormat="1" x14ac:dyDescent="0.25"/>
    <row r="28257" s="12" customFormat="1" x14ac:dyDescent="0.25"/>
    <row r="28258" s="12" customFormat="1" x14ac:dyDescent="0.25"/>
    <row r="28259" s="12" customFormat="1" x14ac:dyDescent="0.25"/>
    <row r="28260" s="12" customFormat="1" x14ac:dyDescent="0.25"/>
    <row r="28261" s="12" customFormat="1" x14ac:dyDescent="0.25"/>
    <row r="28262" s="12" customFormat="1" x14ac:dyDescent="0.25"/>
    <row r="28263" s="12" customFormat="1" x14ac:dyDescent="0.25"/>
    <row r="28264" s="12" customFormat="1" x14ac:dyDescent="0.25"/>
    <row r="28265" s="12" customFormat="1" x14ac:dyDescent="0.25"/>
    <row r="28266" s="12" customFormat="1" x14ac:dyDescent="0.25"/>
    <row r="28267" s="12" customFormat="1" x14ac:dyDescent="0.25"/>
    <row r="28268" s="12" customFormat="1" x14ac:dyDescent="0.25"/>
    <row r="28269" s="12" customFormat="1" x14ac:dyDescent="0.25"/>
    <row r="28270" s="12" customFormat="1" x14ac:dyDescent="0.25"/>
    <row r="28271" s="12" customFormat="1" x14ac:dyDescent="0.25"/>
    <row r="28272" s="12" customFormat="1" x14ac:dyDescent="0.25"/>
    <row r="28273" s="12" customFormat="1" x14ac:dyDescent="0.25"/>
    <row r="28274" s="12" customFormat="1" x14ac:dyDescent="0.25"/>
    <row r="28275" s="12" customFormat="1" x14ac:dyDescent="0.25"/>
    <row r="28276" s="12" customFormat="1" x14ac:dyDescent="0.25"/>
    <row r="28277" s="12" customFormat="1" x14ac:dyDescent="0.25"/>
    <row r="28278" s="12" customFormat="1" x14ac:dyDescent="0.25"/>
    <row r="28279" s="12" customFormat="1" x14ac:dyDescent="0.25"/>
    <row r="28280" s="12" customFormat="1" x14ac:dyDescent="0.25"/>
    <row r="28281" s="12" customFormat="1" x14ac:dyDescent="0.25"/>
    <row r="28282" s="12" customFormat="1" x14ac:dyDescent="0.25"/>
    <row r="28283" s="12" customFormat="1" x14ac:dyDescent="0.25"/>
    <row r="28284" s="12" customFormat="1" x14ac:dyDescent="0.25"/>
    <row r="28285" s="12" customFormat="1" x14ac:dyDescent="0.25"/>
    <row r="28286" s="12" customFormat="1" x14ac:dyDescent="0.25"/>
    <row r="28287" s="12" customFormat="1" x14ac:dyDescent="0.25"/>
    <row r="28288" s="12" customFormat="1" x14ac:dyDescent="0.25"/>
    <row r="28289" s="12" customFormat="1" x14ac:dyDescent="0.25"/>
    <row r="28290" s="12" customFormat="1" x14ac:dyDescent="0.25"/>
    <row r="28291" s="12" customFormat="1" x14ac:dyDescent="0.25"/>
    <row r="28292" s="12" customFormat="1" x14ac:dyDescent="0.25"/>
    <row r="28293" s="12" customFormat="1" x14ac:dyDescent="0.25"/>
    <row r="28294" s="12" customFormat="1" x14ac:dyDescent="0.25"/>
    <row r="28295" s="12" customFormat="1" x14ac:dyDescent="0.25"/>
    <row r="28296" s="12" customFormat="1" x14ac:dyDescent="0.25"/>
    <row r="28297" s="12" customFormat="1" x14ac:dyDescent="0.25"/>
    <row r="28298" s="12" customFormat="1" x14ac:dyDescent="0.25"/>
    <row r="28299" s="12" customFormat="1" x14ac:dyDescent="0.25"/>
    <row r="28300" s="12" customFormat="1" x14ac:dyDescent="0.25"/>
    <row r="28301" s="12" customFormat="1" x14ac:dyDescent="0.25"/>
    <row r="28302" s="12" customFormat="1" x14ac:dyDescent="0.25"/>
    <row r="28303" s="12" customFormat="1" x14ac:dyDescent="0.25"/>
    <row r="28304" s="12" customFormat="1" x14ac:dyDescent="0.25"/>
    <row r="28305" s="12" customFormat="1" x14ac:dyDescent="0.25"/>
    <row r="28306" s="12" customFormat="1" x14ac:dyDescent="0.25"/>
    <row r="28307" s="12" customFormat="1" x14ac:dyDescent="0.25"/>
    <row r="28308" s="12" customFormat="1" x14ac:dyDescent="0.25"/>
    <row r="28309" s="12" customFormat="1" x14ac:dyDescent="0.25"/>
    <row r="28310" s="12" customFormat="1" x14ac:dyDescent="0.25"/>
    <row r="28311" s="12" customFormat="1" x14ac:dyDescent="0.25"/>
    <row r="28312" s="12" customFormat="1" x14ac:dyDescent="0.25"/>
    <row r="28313" s="12" customFormat="1" x14ac:dyDescent="0.25"/>
    <row r="28314" s="12" customFormat="1" x14ac:dyDescent="0.25"/>
    <row r="28315" s="12" customFormat="1" x14ac:dyDescent="0.25"/>
    <row r="28316" s="12" customFormat="1" x14ac:dyDescent="0.25"/>
    <row r="28317" s="12" customFormat="1" x14ac:dyDescent="0.25"/>
    <row r="28318" s="12" customFormat="1" x14ac:dyDescent="0.25"/>
    <row r="28319" s="12" customFormat="1" x14ac:dyDescent="0.25"/>
    <row r="28320" s="12" customFormat="1" x14ac:dyDescent="0.25"/>
    <row r="28321" s="12" customFormat="1" x14ac:dyDescent="0.25"/>
    <row r="28322" s="12" customFormat="1" x14ac:dyDescent="0.25"/>
    <row r="28323" s="12" customFormat="1" x14ac:dyDescent="0.25"/>
    <row r="28324" s="12" customFormat="1" x14ac:dyDescent="0.25"/>
    <row r="28325" s="12" customFormat="1" x14ac:dyDescent="0.25"/>
    <row r="28326" s="12" customFormat="1" x14ac:dyDescent="0.25"/>
    <row r="28327" s="12" customFormat="1" x14ac:dyDescent="0.25"/>
    <row r="28328" s="12" customFormat="1" x14ac:dyDescent="0.25"/>
    <row r="28329" s="12" customFormat="1" x14ac:dyDescent="0.25"/>
    <row r="28330" s="12" customFormat="1" x14ac:dyDescent="0.25"/>
    <row r="28331" s="12" customFormat="1" x14ac:dyDescent="0.25"/>
    <row r="28332" s="12" customFormat="1" x14ac:dyDescent="0.25"/>
    <row r="28333" s="12" customFormat="1" x14ac:dyDescent="0.25"/>
    <row r="28334" s="12" customFormat="1" x14ac:dyDescent="0.25"/>
    <row r="28335" s="12" customFormat="1" x14ac:dyDescent="0.25"/>
    <row r="28336" s="12" customFormat="1" x14ac:dyDescent="0.25"/>
    <row r="28337" s="12" customFormat="1" x14ac:dyDescent="0.25"/>
    <row r="28338" s="12" customFormat="1" x14ac:dyDescent="0.25"/>
    <row r="28339" s="12" customFormat="1" x14ac:dyDescent="0.25"/>
    <row r="28340" s="12" customFormat="1" x14ac:dyDescent="0.25"/>
    <row r="28341" s="12" customFormat="1" x14ac:dyDescent="0.25"/>
    <row r="28342" s="12" customFormat="1" x14ac:dyDescent="0.25"/>
    <row r="28343" s="12" customFormat="1" x14ac:dyDescent="0.25"/>
    <row r="28344" s="12" customFormat="1" x14ac:dyDescent="0.25"/>
    <row r="28345" s="12" customFormat="1" x14ac:dyDescent="0.25"/>
    <row r="28346" s="12" customFormat="1" x14ac:dyDescent="0.25"/>
    <row r="28347" s="12" customFormat="1" x14ac:dyDescent="0.25"/>
    <row r="28348" s="12" customFormat="1" x14ac:dyDescent="0.25"/>
    <row r="28349" s="12" customFormat="1" x14ac:dyDescent="0.25"/>
    <row r="28350" s="12" customFormat="1" x14ac:dyDescent="0.25"/>
    <row r="28351" s="12" customFormat="1" x14ac:dyDescent="0.25"/>
    <row r="28352" s="12" customFormat="1" x14ac:dyDescent="0.25"/>
    <row r="28353" s="12" customFormat="1" x14ac:dyDescent="0.25"/>
    <row r="28354" s="12" customFormat="1" x14ac:dyDescent="0.25"/>
    <row r="28355" s="12" customFormat="1" x14ac:dyDescent="0.25"/>
    <row r="28356" s="12" customFormat="1" x14ac:dyDescent="0.25"/>
    <row r="28357" s="12" customFormat="1" x14ac:dyDescent="0.25"/>
    <row r="28358" s="12" customFormat="1" x14ac:dyDescent="0.25"/>
    <row r="28359" s="12" customFormat="1" x14ac:dyDescent="0.25"/>
    <row r="28360" s="12" customFormat="1" x14ac:dyDescent="0.25"/>
    <row r="28361" s="12" customFormat="1" x14ac:dyDescent="0.25"/>
    <row r="28362" s="12" customFormat="1" x14ac:dyDescent="0.25"/>
    <row r="28363" s="12" customFormat="1" x14ac:dyDescent="0.25"/>
    <row r="28364" s="12" customFormat="1" x14ac:dyDescent="0.25"/>
    <row r="28365" s="12" customFormat="1" x14ac:dyDescent="0.25"/>
    <row r="28366" s="12" customFormat="1" x14ac:dyDescent="0.25"/>
    <row r="28367" s="12" customFormat="1" x14ac:dyDescent="0.25"/>
    <row r="28368" s="12" customFormat="1" x14ac:dyDescent="0.25"/>
    <row r="28369" s="12" customFormat="1" x14ac:dyDescent="0.25"/>
    <row r="28370" s="12" customFormat="1" x14ac:dyDescent="0.25"/>
    <row r="28371" s="12" customFormat="1" x14ac:dyDescent="0.25"/>
    <row r="28372" s="12" customFormat="1" x14ac:dyDescent="0.25"/>
    <row r="28373" s="12" customFormat="1" x14ac:dyDescent="0.25"/>
    <row r="28374" s="12" customFormat="1" x14ac:dyDescent="0.25"/>
    <row r="28375" s="12" customFormat="1" x14ac:dyDescent="0.25"/>
    <row r="28376" s="12" customFormat="1" x14ac:dyDescent="0.25"/>
    <row r="28377" s="12" customFormat="1" x14ac:dyDescent="0.25"/>
    <row r="28378" s="12" customFormat="1" x14ac:dyDescent="0.25"/>
    <row r="28379" s="12" customFormat="1" x14ac:dyDescent="0.25"/>
    <row r="28380" s="12" customFormat="1" x14ac:dyDescent="0.25"/>
    <row r="28381" s="12" customFormat="1" x14ac:dyDescent="0.25"/>
    <row r="28382" s="12" customFormat="1" x14ac:dyDescent="0.25"/>
    <row r="28383" s="12" customFormat="1" x14ac:dyDescent="0.25"/>
    <row r="28384" s="12" customFormat="1" x14ac:dyDescent="0.25"/>
    <row r="28385" s="12" customFormat="1" x14ac:dyDescent="0.25"/>
    <row r="28386" s="12" customFormat="1" x14ac:dyDescent="0.25"/>
    <row r="28387" s="12" customFormat="1" x14ac:dyDescent="0.25"/>
    <row r="28388" s="12" customFormat="1" x14ac:dyDescent="0.25"/>
    <row r="28389" s="12" customFormat="1" x14ac:dyDescent="0.25"/>
    <row r="28390" s="12" customFormat="1" x14ac:dyDescent="0.25"/>
    <row r="28391" s="12" customFormat="1" x14ac:dyDescent="0.25"/>
    <row r="28392" s="12" customFormat="1" x14ac:dyDescent="0.25"/>
    <row r="28393" s="12" customFormat="1" x14ac:dyDescent="0.25"/>
    <row r="28394" s="12" customFormat="1" x14ac:dyDescent="0.25"/>
    <row r="28395" s="12" customFormat="1" x14ac:dyDescent="0.25"/>
    <row r="28396" s="12" customFormat="1" x14ac:dyDescent="0.25"/>
    <row r="28397" s="12" customFormat="1" x14ac:dyDescent="0.25"/>
    <row r="28398" s="12" customFormat="1" x14ac:dyDescent="0.25"/>
    <row r="28399" s="12" customFormat="1" x14ac:dyDescent="0.25"/>
    <row r="28400" s="12" customFormat="1" x14ac:dyDescent="0.25"/>
    <row r="28401" s="12" customFormat="1" x14ac:dyDescent="0.25"/>
    <row r="28402" s="12" customFormat="1" x14ac:dyDescent="0.25"/>
    <row r="28403" s="12" customFormat="1" x14ac:dyDescent="0.25"/>
    <row r="28404" s="12" customFormat="1" x14ac:dyDescent="0.25"/>
    <row r="28405" s="12" customFormat="1" x14ac:dyDescent="0.25"/>
    <row r="28406" s="12" customFormat="1" x14ac:dyDescent="0.25"/>
    <row r="28407" s="12" customFormat="1" x14ac:dyDescent="0.25"/>
    <row r="28408" s="12" customFormat="1" x14ac:dyDescent="0.25"/>
    <row r="28409" s="12" customFormat="1" x14ac:dyDescent="0.25"/>
    <row r="28410" s="12" customFormat="1" x14ac:dyDescent="0.25"/>
    <row r="28411" s="12" customFormat="1" x14ac:dyDescent="0.25"/>
    <row r="28412" s="12" customFormat="1" x14ac:dyDescent="0.25"/>
    <row r="28413" s="12" customFormat="1" x14ac:dyDescent="0.25"/>
    <row r="28414" s="12" customFormat="1" x14ac:dyDescent="0.25"/>
    <row r="28415" s="12" customFormat="1" x14ac:dyDescent="0.25"/>
    <row r="28416" s="12" customFormat="1" x14ac:dyDescent="0.25"/>
    <row r="28417" s="12" customFormat="1" x14ac:dyDescent="0.25"/>
    <row r="28418" s="12" customFormat="1" x14ac:dyDescent="0.25"/>
    <row r="28419" s="12" customFormat="1" x14ac:dyDescent="0.25"/>
    <row r="28420" s="12" customFormat="1" x14ac:dyDescent="0.25"/>
    <row r="28421" s="12" customFormat="1" x14ac:dyDescent="0.25"/>
    <row r="28422" s="12" customFormat="1" x14ac:dyDescent="0.25"/>
    <row r="28423" s="12" customFormat="1" x14ac:dyDescent="0.25"/>
    <row r="28424" s="12" customFormat="1" x14ac:dyDescent="0.25"/>
    <row r="28425" s="12" customFormat="1" x14ac:dyDescent="0.25"/>
    <row r="28426" s="12" customFormat="1" x14ac:dyDescent="0.25"/>
    <row r="28427" s="12" customFormat="1" x14ac:dyDescent="0.25"/>
    <row r="28428" s="12" customFormat="1" x14ac:dyDescent="0.25"/>
    <row r="28429" s="12" customFormat="1" x14ac:dyDescent="0.25"/>
    <row r="28430" s="12" customFormat="1" x14ac:dyDescent="0.25"/>
    <row r="28431" s="12" customFormat="1" x14ac:dyDescent="0.25"/>
    <row r="28432" s="12" customFormat="1" x14ac:dyDescent="0.25"/>
    <row r="28433" s="12" customFormat="1" x14ac:dyDescent="0.25"/>
    <row r="28434" s="12" customFormat="1" x14ac:dyDescent="0.25"/>
    <row r="28435" s="12" customFormat="1" x14ac:dyDescent="0.25"/>
    <row r="28436" s="12" customFormat="1" x14ac:dyDescent="0.25"/>
    <row r="28437" s="12" customFormat="1" x14ac:dyDescent="0.25"/>
    <row r="28438" s="12" customFormat="1" x14ac:dyDescent="0.25"/>
    <row r="28439" s="12" customFormat="1" x14ac:dyDescent="0.25"/>
    <row r="28440" s="12" customFormat="1" x14ac:dyDescent="0.25"/>
    <row r="28441" s="12" customFormat="1" x14ac:dyDescent="0.25"/>
    <row r="28442" s="12" customFormat="1" x14ac:dyDescent="0.25"/>
    <row r="28443" s="12" customFormat="1" x14ac:dyDescent="0.25"/>
    <row r="28444" s="12" customFormat="1" x14ac:dyDescent="0.25"/>
    <row r="28445" s="12" customFormat="1" x14ac:dyDescent="0.25"/>
    <row r="28446" s="12" customFormat="1" x14ac:dyDescent="0.25"/>
    <row r="28447" s="12" customFormat="1" x14ac:dyDescent="0.25"/>
    <row r="28448" s="12" customFormat="1" x14ac:dyDescent="0.25"/>
    <row r="28449" s="12" customFormat="1" x14ac:dyDescent="0.25"/>
    <row r="28450" s="12" customFormat="1" x14ac:dyDescent="0.25"/>
    <row r="28451" s="12" customFormat="1" x14ac:dyDescent="0.25"/>
    <row r="28452" s="12" customFormat="1" x14ac:dyDescent="0.25"/>
    <row r="28453" s="12" customFormat="1" x14ac:dyDescent="0.25"/>
    <row r="28454" s="12" customFormat="1" x14ac:dyDescent="0.25"/>
    <row r="28455" s="12" customFormat="1" x14ac:dyDescent="0.25"/>
    <row r="28456" s="12" customFormat="1" x14ac:dyDescent="0.25"/>
    <row r="28457" s="12" customFormat="1" x14ac:dyDescent="0.25"/>
    <row r="28458" s="12" customFormat="1" x14ac:dyDescent="0.25"/>
    <row r="28459" s="12" customFormat="1" x14ac:dyDescent="0.25"/>
    <row r="28460" s="12" customFormat="1" x14ac:dyDescent="0.25"/>
    <row r="28461" s="12" customFormat="1" x14ac:dyDescent="0.25"/>
    <row r="28462" s="12" customFormat="1" x14ac:dyDescent="0.25"/>
    <row r="28463" s="12" customFormat="1" x14ac:dyDescent="0.25"/>
    <row r="28464" s="12" customFormat="1" x14ac:dyDescent="0.25"/>
    <row r="28465" s="12" customFormat="1" x14ac:dyDescent="0.25"/>
    <row r="28466" s="12" customFormat="1" x14ac:dyDescent="0.25"/>
    <row r="28467" s="12" customFormat="1" x14ac:dyDescent="0.25"/>
    <row r="28468" s="12" customFormat="1" x14ac:dyDescent="0.25"/>
    <row r="28469" s="12" customFormat="1" x14ac:dyDescent="0.25"/>
    <row r="28470" s="12" customFormat="1" x14ac:dyDescent="0.25"/>
    <row r="28471" s="12" customFormat="1" x14ac:dyDescent="0.25"/>
    <row r="28472" s="12" customFormat="1" x14ac:dyDescent="0.25"/>
    <row r="28473" s="12" customFormat="1" x14ac:dyDescent="0.25"/>
    <row r="28474" s="12" customFormat="1" x14ac:dyDescent="0.25"/>
    <row r="28475" s="12" customFormat="1" x14ac:dyDescent="0.25"/>
    <row r="28476" s="12" customFormat="1" x14ac:dyDescent="0.25"/>
    <row r="28477" s="12" customFormat="1" x14ac:dyDescent="0.25"/>
    <row r="28478" s="12" customFormat="1" x14ac:dyDescent="0.25"/>
    <row r="28479" s="12" customFormat="1" x14ac:dyDescent="0.25"/>
    <row r="28480" s="12" customFormat="1" x14ac:dyDescent="0.25"/>
    <row r="28481" s="12" customFormat="1" x14ac:dyDescent="0.25"/>
    <row r="28482" s="12" customFormat="1" x14ac:dyDescent="0.25"/>
    <row r="28483" s="12" customFormat="1" x14ac:dyDescent="0.25"/>
    <row r="28484" s="12" customFormat="1" x14ac:dyDescent="0.25"/>
    <row r="28485" s="12" customFormat="1" x14ac:dyDescent="0.25"/>
    <row r="28486" s="12" customFormat="1" x14ac:dyDescent="0.25"/>
    <row r="28487" s="12" customFormat="1" x14ac:dyDescent="0.25"/>
    <row r="28488" s="12" customFormat="1" x14ac:dyDescent="0.25"/>
    <row r="28489" s="12" customFormat="1" x14ac:dyDescent="0.25"/>
    <row r="28490" s="12" customFormat="1" x14ac:dyDescent="0.25"/>
    <row r="28491" s="12" customFormat="1" x14ac:dyDescent="0.25"/>
    <row r="28492" s="12" customFormat="1" x14ac:dyDescent="0.25"/>
    <row r="28493" s="12" customFormat="1" x14ac:dyDescent="0.25"/>
    <row r="28494" s="12" customFormat="1" x14ac:dyDescent="0.25"/>
    <row r="28495" s="12" customFormat="1" x14ac:dyDescent="0.25"/>
    <row r="28496" s="12" customFormat="1" x14ac:dyDescent="0.25"/>
    <row r="28497" s="12" customFormat="1" x14ac:dyDescent="0.25"/>
    <row r="28498" s="12" customFormat="1" x14ac:dyDescent="0.25"/>
    <row r="28499" s="12" customFormat="1" x14ac:dyDescent="0.25"/>
    <row r="28500" s="12" customFormat="1" x14ac:dyDescent="0.25"/>
    <row r="28501" s="12" customFormat="1" x14ac:dyDescent="0.25"/>
    <row r="28502" s="12" customFormat="1" x14ac:dyDescent="0.25"/>
    <row r="28503" s="12" customFormat="1" x14ac:dyDescent="0.25"/>
    <row r="28504" s="12" customFormat="1" x14ac:dyDescent="0.25"/>
    <row r="28505" s="12" customFormat="1" x14ac:dyDescent="0.25"/>
    <row r="28506" s="12" customFormat="1" x14ac:dyDescent="0.25"/>
    <row r="28507" s="12" customFormat="1" x14ac:dyDescent="0.25"/>
    <row r="28508" s="12" customFormat="1" x14ac:dyDescent="0.25"/>
    <row r="28509" s="12" customFormat="1" x14ac:dyDescent="0.25"/>
    <row r="28510" s="12" customFormat="1" x14ac:dyDescent="0.25"/>
    <row r="28511" s="12" customFormat="1" x14ac:dyDescent="0.25"/>
    <row r="28512" s="12" customFormat="1" x14ac:dyDescent="0.25"/>
    <row r="28513" s="12" customFormat="1" x14ac:dyDescent="0.25"/>
    <row r="28514" s="12" customFormat="1" x14ac:dyDescent="0.25"/>
    <row r="28515" s="12" customFormat="1" x14ac:dyDescent="0.25"/>
    <row r="28516" s="12" customFormat="1" x14ac:dyDescent="0.25"/>
    <row r="28517" s="12" customFormat="1" x14ac:dyDescent="0.25"/>
    <row r="28518" s="12" customFormat="1" x14ac:dyDescent="0.25"/>
    <row r="28519" s="12" customFormat="1" x14ac:dyDescent="0.25"/>
    <row r="28520" s="12" customFormat="1" x14ac:dyDescent="0.25"/>
    <row r="28521" s="12" customFormat="1" x14ac:dyDescent="0.25"/>
    <row r="28522" s="12" customFormat="1" x14ac:dyDescent="0.25"/>
    <row r="28523" s="12" customFormat="1" x14ac:dyDescent="0.25"/>
    <row r="28524" s="12" customFormat="1" x14ac:dyDescent="0.25"/>
    <row r="28525" s="12" customFormat="1" x14ac:dyDescent="0.25"/>
    <row r="28526" s="12" customFormat="1" x14ac:dyDescent="0.25"/>
    <row r="28527" s="12" customFormat="1" x14ac:dyDescent="0.25"/>
    <row r="28528" s="12" customFormat="1" x14ac:dyDescent="0.25"/>
    <row r="28529" s="12" customFormat="1" x14ac:dyDescent="0.25"/>
    <row r="28530" s="12" customFormat="1" x14ac:dyDescent="0.25"/>
    <row r="28531" s="12" customFormat="1" x14ac:dyDescent="0.25"/>
    <row r="28532" s="12" customFormat="1" x14ac:dyDescent="0.25"/>
    <row r="28533" s="12" customFormat="1" x14ac:dyDescent="0.25"/>
    <row r="28534" s="12" customFormat="1" x14ac:dyDescent="0.25"/>
    <row r="28535" s="12" customFormat="1" x14ac:dyDescent="0.25"/>
    <row r="28536" s="12" customFormat="1" x14ac:dyDescent="0.25"/>
    <row r="28537" s="12" customFormat="1" x14ac:dyDescent="0.25"/>
    <row r="28538" s="12" customFormat="1" x14ac:dyDescent="0.25"/>
    <row r="28539" s="12" customFormat="1" x14ac:dyDescent="0.25"/>
    <row r="28540" s="12" customFormat="1" x14ac:dyDescent="0.25"/>
    <row r="28541" s="12" customFormat="1" x14ac:dyDescent="0.25"/>
    <row r="28542" s="12" customFormat="1" x14ac:dyDescent="0.25"/>
    <row r="28543" s="12" customFormat="1" x14ac:dyDescent="0.25"/>
    <row r="28544" s="12" customFormat="1" x14ac:dyDescent="0.25"/>
    <row r="28545" s="12" customFormat="1" x14ac:dyDescent="0.25"/>
    <row r="28546" s="12" customFormat="1" x14ac:dyDescent="0.25"/>
    <row r="28547" s="12" customFormat="1" x14ac:dyDescent="0.25"/>
    <row r="28548" s="12" customFormat="1" x14ac:dyDescent="0.25"/>
    <row r="28549" s="12" customFormat="1" x14ac:dyDescent="0.25"/>
    <row r="28550" s="12" customFormat="1" x14ac:dyDescent="0.25"/>
    <row r="28551" s="12" customFormat="1" x14ac:dyDescent="0.25"/>
    <row r="28552" s="12" customFormat="1" x14ac:dyDescent="0.25"/>
    <row r="28553" s="12" customFormat="1" x14ac:dyDescent="0.25"/>
    <row r="28554" s="12" customFormat="1" x14ac:dyDescent="0.25"/>
    <row r="28555" s="12" customFormat="1" x14ac:dyDescent="0.25"/>
    <row r="28556" s="12" customFormat="1" x14ac:dyDescent="0.25"/>
    <row r="28557" s="12" customFormat="1" x14ac:dyDescent="0.25"/>
    <row r="28558" s="12" customFormat="1" x14ac:dyDescent="0.25"/>
    <row r="28559" s="12" customFormat="1" x14ac:dyDescent="0.25"/>
    <row r="28560" s="12" customFormat="1" x14ac:dyDescent="0.25"/>
    <row r="28561" s="12" customFormat="1" x14ac:dyDescent="0.25"/>
    <row r="28562" s="12" customFormat="1" x14ac:dyDescent="0.25"/>
    <row r="28563" s="12" customFormat="1" x14ac:dyDescent="0.25"/>
    <row r="28564" s="12" customFormat="1" x14ac:dyDescent="0.25"/>
    <row r="28565" s="12" customFormat="1" x14ac:dyDescent="0.25"/>
    <row r="28566" s="12" customFormat="1" x14ac:dyDescent="0.25"/>
    <row r="28567" s="12" customFormat="1" x14ac:dyDescent="0.25"/>
    <row r="28568" s="12" customFormat="1" x14ac:dyDescent="0.25"/>
    <row r="28569" s="12" customFormat="1" x14ac:dyDescent="0.25"/>
    <row r="28570" s="12" customFormat="1" x14ac:dyDescent="0.25"/>
    <row r="28571" s="12" customFormat="1" x14ac:dyDescent="0.25"/>
    <row r="28572" s="12" customFormat="1" x14ac:dyDescent="0.25"/>
    <row r="28573" s="12" customFormat="1" x14ac:dyDescent="0.25"/>
    <row r="28574" s="12" customFormat="1" x14ac:dyDescent="0.25"/>
    <row r="28575" s="12" customFormat="1" x14ac:dyDescent="0.25"/>
    <row r="28576" s="12" customFormat="1" x14ac:dyDescent="0.25"/>
    <row r="28577" s="12" customFormat="1" x14ac:dyDescent="0.25"/>
    <row r="28578" s="12" customFormat="1" x14ac:dyDescent="0.25"/>
    <row r="28579" s="12" customFormat="1" x14ac:dyDescent="0.25"/>
    <row r="28580" s="12" customFormat="1" x14ac:dyDescent="0.25"/>
    <row r="28581" s="12" customFormat="1" x14ac:dyDescent="0.25"/>
    <row r="28582" s="12" customFormat="1" x14ac:dyDescent="0.25"/>
    <row r="28583" s="12" customFormat="1" x14ac:dyDescent="0.25"/>
    <row r="28584" s="12" customFormat="1" x14ac:dyDescent="0.25"/>
    <row r="28585" s="12" customFormat="1" x14ac:dyDescent="0.25"/>
    <row r="28586" s="12" customFormat="1" x14ac:dyDescent="0.25"/>
    <row r="28587" s="12" customFormat="1" x14ac:dyDescent="0.25"/>
    <row r="28588" s="12" customFormat="1" x14ac:dyDescent="0.25"/>
    <row r="28589" s="12" customFormat="1" x14ac:dyDescent="0.25"/>
    <row r="28590" s="12" customFormat="1" x14ac:dyDescent="0.25"/>
    <row r="28591" s="12" customFormat="1" x14ac:dyDescent="0.25"/>
    <row r="28592" s="12" customFormat="1" x14ac:dyDescent="0.25"/>
    <row r="28593" s="12" customFormat="1" x14ac:dyDescent="0.25"/>
    <row r="28594" s="12" customFormat="1" x14ac:dyDescent="0.25"/>
    <row r="28595" s="12" customFormat="1" x14ac:dyDescent="0.25"/>
    <row r="28596" s="12" customFormat="1" x14ac:dyDescent="0.25"/>
    <row r="28597" s="12" customFormat="1" x14ac:dyDescent="0.25"/>
    <row r="28598" s="12" customFormat="1" x14ac:dyDescent="0.25"/>
    <row r="28599" s="12" customFormat="1" x14ac:dyDescent="0.25"/>
    <row r="28600" s="12" customFormat="1" x14ac:dyDescent="0.25"/>
    <row r="28601" s="12" customFormat="1" x14ac:dyDescent="0.25"/>
    <row r="28602" s="12" customFormat="1" x14ac:dyDescent="0.25"/>
    <row r="28603" s="12" customFormat="1" x14ac:dyDescent="0.25"/>
    <row r="28604" s="12" customFormat="1" x14ac:dyDescent="0.25"/>
    <row r="28605" s="12" customFormat="1" x14ac:dyDescent="0.25"/>
    <row r="28606" s="12" customFormat="1" x14ac:dyDescent="0.25"/>
    <row r="28607" s="12" customFormat="1" x14ac:dyDescent="0.25"/>
    <row r="28608" s="12" customFormat="1" x14ac:dyDescent="0.25"/>
    <row r="28609" s="12" customFormat="1" x14ac:dyDescent="0.25"/>
    <row r="28610" s="12" customFormat="1" x14ac:dyDescent="0.25"/>
    <row r="28611" s="12" customFormat="1" x14ac:dyDescent="0.25"/>
    <row r="28612" s="12" customFormat="1" x14ac:dyDescent="0.25"/>
    <row r="28613" s="12" customFormat="1" x14ac:dyDescent="0.25"/>
    <row r="28614" s="12" customFormat="1" x14ac:dyDescent="0.25"/>
    <row r="28615" s="12" customFormat="1" x14ac:dyDescent="0.25"/>
    <row r="28616" s="12" customFormat="1" x14ac:dyDescent="0.25"/>
    <row r="28617" s="12" customFormat="1" x14ac:dyDescent="0.25"/>
    <row r="28618" s="12" customFormat="1" x14ac:dyDescent="0.25"/>
    <row r="28619" s="12" customFormat="1" x14ac:dyDescent="0.25"/>
    <row r="28620" s="12" customFormat="1" x14ac:dyDescent="0.25"/>
    <row r="28621" s="12" customFormat="1" x14ac:dyDescent="0.25"/>
    <row r="28622" s="12" customFormat="1" x14ac:dyDescent="0.25"/>
    <row r="28623" s="12" customFormat="1" x14ac:dyDescent="0.25"/>
    <row r="28624" s="12" customFormat="1" x14ac:dyDescent="0.25"/>
    <row r="28625" s="12" customFormat="1" x14ac:dyDescent="0.25"/>
    <row r="28626" s="12" customFormat="1" x14ac:dyDescent="0.25"/>
    <row r="28627" s="12" customFormat="1" x14ac:dyDescent="0.25"/>
    <row r="28628" s="12" customFormat="1" x14ac:dyDescent="0.25"/>
    <row r="28629" s="12" customFormat="1" x14ac:dyDescent="0.25"/>
    <row r="28630" s="12" customFormat="1" x14ac:dyDescent="0.25"/>
    <row r="28631" s="12" customFormat="1" x14ac:dyDescent="0.25"/>
    <row r="28632" s="12" customFormat="1" x14ac:dyDescent="0.25"/>
    <row r="28633" s="12" customFormat="1" x14ac:dyDescent="0.25"/>
    <row r="28634" s="12" customFormat="1" x14ac:dyDescent="0.25"/>
    <row r="28635" s="12" customFormat="1" x14ac:dyDescent="0.25"/>
    <row r="28636" s="12" customFormat="1" x14ac:dyDescent="0.25"/>
    <row r="28637" s="12" customFormat="1" x14ac:dyDescent="0.25"/>
    <row r="28638" s="12" customFormat="1" x14ac:dyDescent="0.25"/>
    <row r="28639" s="12" customFormat="1" x14ac:dyDescent="0.25"/>
    <row r="28640" s="12" customFormat="1" x14ac:dyDescent="0.25"/>
    <row r="28641" s="12" customFormat="1" x14ac:dyDescent="0.25"/>
    <row r="28642" s="12" customFormat="1" x14ac:dyDescent="0.25"/>
    <row r="28643" s="12" customFormat="1" x14ac:dyDescent="0.25"/>
    <row r="28644" s="12" customFormat="1" x14ac:dyDescent="0.25"/>
    <row r="28645" s="12" customFormat="1" x14ac:dyDescent="0.25"/>
    <row r="28646" s="12" customFormat="1" x14ac:dyDescent="0.25"/>
    <row r="28647" s="12" customFormat="1" x14ac:dyDescent="0.25"/>
    <row r="28648" s="12" customFormat="1" x14ac:dyDescent="0.25"/>
    <row r="28649" s="12" customFormat="1" x14ac:dyDescent="0.25"/>
    <row r="28650" s="12" customFormat="1" x14ac:dyDescent="0.25"/>
    <row r="28651" s="12" customFormat="1" x14ac:dyDescent="0.25"/>
    <row r="28652" s="12" customFormat="1" x14ac:dyDescent="0.25"/>
    <row r="28653" s="12" customFormat="1" x14ac:dyDescent="0.25"/>
    <row r="28654" s="12" customFormat="1" x14ac:dyDescent="0.25"/>
    <row r="28655" s="12" customFormat="1" x14ac:dyDescent="0.25"/>
    <row r="28656" s="12" customFormat="1" x14ac:dyDescent="0.25"/>
    <row r="28657" s="12" customFormat="1" x14ac:dyDescent="0.25"/>
    <row r="28658" s="12" customFormat="1" x14ac:dyDescent="0.25"/>
    <row r="28659" s="12" customFormat="1" x14ac:dyDescent="0.25"/>
    <row r="28660" s="12" customFormat="1" x14ac:dyDescent="0.25"/>
    <row r="28661" s="12" customFormat="1" x14ac:dyDescent="0.25"/>
    <row r="28662" s="12" customFormat="1" x14ac:dyDescent="0.25"/>
    <row r="28663" s="12" customFormat="1" x14ac:dyDescent="0.25"/>
    <row r="28664" s="12" customFormat="1" x14ac:dyDescent="0.25"/>
    <row r="28665" s="12" customFormat="1" x14ac:dyDescent="0.25"/>
    <row r="28666" s="12" customFormat="1" x14ac:dyDescent="0.25"/>
    <row r="28667" s="12" customFormat="1" x14ac:dyDescent="0.25"/>
    <row r="28668" s="12" customFormat="1" x14ac:dyDescent="0.25"/>
    <row r="28669" s="12" customFormat="1" x14ac:dyDescent="0.25"/>
    <row r="28670" s="12" customFormat="1" x14ac:dyDescent="0.25"/>
    <row r="28671" s="12" customFormat="1" x14ac:dyDescent="0.25"/>
    <row r="28672" s="12" customFormat="1" x14ac:dyDescent="0.25"/>
    <row r="28673" s="12" customFormat="1" x14ac:dyDescent="0.25"/>
    <row r="28674" s="12" customFormat="1" x14ac:dyDescent="0.25"/>
    <row r="28675" s="12" customFormat="1" x14ac:dyDescent="0.25"/>
    <row r="28676" s="12" customFormat="1" x14ac:dyDescent="0.25"/>
    <row r="28677" s="12" customFormat="1" x14ac:dyDescent="0.25"/>
    <row r="28678" s="12" customFormat="1" x14ac:dyDescent="0.25"/>
    <row r="28679" s="12" customFormat="1" x14ac:dyDescent="0.25"/>
    <row r="28680" s="12" customFormat="1" x14ac:dyDescent="0.25"/>
    <row r="28681" s="12" customFormat="1" x14ac:dyDescent="0.25"/>
    <row r="28682" s="12" customFormat="1" x14ac:dyDescent="0.25"/>
    <row r="28683" s="12" customFormat="1" x14ac:dyDescent="0.25"/>
    <row r="28684" s="12" customFormat="1" x14ac:dyDescent="0.25"/>
    <row r="28685" s="12" customFormat="1" x14ac:dyDescent="0.25"/>
    <row r="28686" s="12" customFormat="1" x14ac:dyDescent="0.25"/>
    <row r="28687" s="12" customFormat="1" x14ac:dyDescent="0.25"/>
    <row r="28688" s="12" customFormat="1" x14ac:dyDescent="0.25"/>
    <row r="28689" s="12" customFormat="1" x14ac:dyDescent="0.25"/>
    <row r="28690" s="12" customFormat="1" x14ac:dyDescent="0.25"/>
    <row r="28691" s="12" customFormat="1" x14ac:dyDescent="0.25"/>
    <row r="28692" s="12" customFormat="1" x14ac:dyDescent="0.25"/>
    <row r="28693" s="12" customFormat="1" x14ac:dyDescent="0.25"/>
    <row r="28694" s="12" customFormat="1" x14ac:dyDescent="0.25"/>
    <row r="28695" s="12" customFormat="1" x14ac:dyDescent="0.25"/>
    <row r="28696" s="12" customFormat="1" x14ac:dyDescent="0.25"/>
    <row r="28697" s="12" customFormat="1" x14ac:dyDescent="0.25"/>
    <row r="28698" s="12" customFormat="1" x14ac:dyDescent="0.25"/>
    <row r="28699" s="12" customFormat="1" x14ac:dyDescent="0.25"/>
    <row r="28700" s="12" customFormat="1" x14ac:dyDescent="0.25"/>
    <row r="28701" s="12" customFormat="1" x14ac:dyDescent="0.25"/>
    <row r="28702" s="12" customFormat="1" x14ac:dyDescent="0.25"/>
    <row r="28703" s="12" customFormat="1" x14ac:dyDescent="0.25"/>
    <row r="28704" s="12" customFormat="1" x14ac:dyDescent="0.25"/>
    <row r="28705" s="12" customFormat="1" x14ac:dyDescent="0.25"/>
    <row r="28706" s="12" customFormat="1" x14ac:dyDescent="0.25"/>
    <row r="28707" s="12" customFormat="1" x14ac:dyDescent="0.25"/>
    <row r="28708" s="12" customFormat="1" x14ac:dyDescent="0.25"/>
    <row r="28709" s="12" customFormat="1" x14ac:dyDescent="0.25"/>
    <row r="28710" s="12" customFormat="1" x14ac:dyDescent="0.25"/>
    <row r="28711" s="12" customFormat="1" x14ac:dyDescent="0.25"/>
    <row r="28712" s="12" customFormat="1" x14ac:dyDescent="0.25"/>
    <row r="28713" s="12" customFormat="1" x14ac:dyDescent="0.25"/>
    <row r="28714" s="12" customFormat="1" x14ac:dyDescent="0.25"/>
    <row r="28715" s="12" customFormat="1" x14ac:dyDescent="0.25"/>
    <row r="28716" s="12" customFormat="1" x14ac:dyDescent="0.25"/>
    <row r="28717" s="12" customFormat="1" x14ac:dyDescent="0.25"/>
    <row r="28718" s="12" customFormat="1" x14ac:dyDescent="0.25"/>
    <row r="28719" s="12" customFormat="1" x14ac:dyDescent="0.25"/>
    <row r="28720" s="12" customFormat="1" x14ac:dyDescent="0.25"/>
    <row r="28721" s="12" customFormat="1" x14ac:dyDescent="0.25"/>
    <row r="28722" s="12" customFormat="1" x14ac:dyDescent="0.25"/>
    <row r="28723" s="12" customFormat="1" x14ac:dyDescent="0.25"/>
    <row r="28724" s="12" customFormat="1" x14ac:dyDescent="0.25"/>
    <row r="28725" s="12" customFormat="1" x14ac:dyDescent="0.25"/>
    <row r="28726" s="12" customFormat="1" x14ac:dyDescent="0.25"/>
    <row r="28727" s="12" customFormat="1" x14ac:dyDescent="0.25"/>
    <row r="28728" s="12" customFormat="1" x14ac:dyDescent="0.25"/>
    <row r="28729" s="12" customFormat="1" x14ac:dyDescent="0.25"/>
    <row r="28730" s="12" customFormat="1" x14ac:dyDescent="0.25"/>
    <row r="28731" s="12" customFormat="1" x14ac:dyDescent="0.25"/>
    <row r="28732" s="12" customFormat="1" x14ac:dyDescent="0.25"/>
    <row r="28733" s="12" customFormat="1" x14ac:dyDescent="0.25"/>
    <row r="28734" s="12" customFormat="1" x14ac:dyDescent="0.25"/>
    <row r="28735" s="12" customFormat="1" x14ac:dyDescent="0.25"/>
    <row r="28736" s="12" customFormat="1" x14ac:dyDescent="0.25"/>
    <row r="28737" s="12" customFormat="1" x14ac:dyDescent="0.25"/>
    <row r="28738" s="12" customFormat="1" x14ac:dyDescent="0.25"/>
    <row r="28739" s="12" customFormat="1" x14ac:dyDescent="0.25"/>
    <row r="28740" s="12" customFormat="1" x14ac:dyDescent="0.25"/>
    <row r="28741" s="12" customFormat="1" x14ac:dyDescent="0.25"/>
    <row r="28742" s="12" customFormat="1" x14ac:dyDescent="0.25"/>
    <row r="28743" s="12" customFormat="1" x14ac:dyDescent="0.25"/>
    <row r="28744" s="12" customFormat="1" x14ac:dyDescent="0.25"/>
    <row r="28745" s="12" customFormat="1" x14ac:dyDescent="0.25"/>
    <row r="28746" s="12" customFormat="1" x14ac:dyDescent="0.25"/>
    <row r="28747" s="12" customFormat="1" x14ac:dyDescent="0.25"/>
    <row r="28748" s="12" customFormat="1" x14ac:dyDescent="0.25"/>
    <row r="28749" s="12" customFormat="1" x14ac:dyDescent="0.25"/>
    <row r="28750" s="12" customFormat="1" x14ac:dyDescent="0.25"/>
    <row r="28751" s="12" customFormat="1" x14ac:dyDescent="0.25"/>
    <row r="28752" s="12" customFormat="1" x14ac:dyDescent="0.25"/>
    <row r="28753" s="12" customFormat="1" x14ac:dyDescent="0.25"/>
    <row r="28754" s="12" customFormat="1" x14ac:dyDescent="0.25"/>
    <row r="28755" s="12" customFormat="1" x14ac:dyDescent="0.25"/>
    <row r="28756" s="12" customFormat="1" x14ac:dyDescent="0.25"/>
    <row r="28757" s="12" customFormat="1" x14ac:dyDescent="0.25"/>
    <row r="28758" s="12" customFormat="1" x14ac:dyDescent="0.25"/>
    <row r="28759" s="12" customFormat="1" x14ac:dyDescent="0.25"/>
    <row r="28760" s="12" customFormat="1" x14ac:dyDescent="0.25"/>
    <row r="28761" s="12" customFormat="1" x14ac:dyDescent="0.25"/>
    <row r="28762" s="12" customFormat="1" x14ac:dyDescent="0.25"/>
    <row r="28763" s="12" customFormat="1" x14ac:dyDescent="0.25"/>
    <row r="28764" s="12" customFormat="1" x14ac:dyDescent="0.25"/>
    <row r="28765" s="12" customFormat="1" x14ac:dyDescent="0.25"/>
    <row r="28766" s="12" customFormat="1" x14ac:dyDescent="0.25"/>
    <row r="28767" s="12" customFormat="1" x14ac:dyDescent="0.25"/>
    <row r="28768" s="12" customFormat="1" x14ac:dyDescent="0.25"/>
    <row r="28769" s="12" customFormat="1" x14ac:dyDescent="0.25"/>
    <row r="28770" s="12" customFormat="1" x14ac:dyDescent="0.25"/>
    <row r="28771" s="12" customFormat="1" x14ac:dyDescent="0.25"/>
    <row r="28772" s="12" customFormat="1" x14ac:dyDescent="0.25"/>
    <row r="28773" s="12" customFormat="1" x14ac:dyDescent="0.25"/>
    <row r="28774" s="12" customFormat="1" x14ac:dyDescent="0.25"/>
    <row r="28775" s="12" customFormat="1" x14ac:dyDescent="0.25"/>
    <row r="28776" s="12" customFormat="1" x14ac:dyDescent="0.25"/>
    <row r="28777" s="12" customFormat="1" x14ac:dyDescent="0.25"/>
    <row r="28778" s="12" customFormat="1" x14ac:dyDescent="0.25"/>
    <row r="28779" s="12" customFormat="1" x14ac:dyDescent="0.25"/>
    <row r="28780" s="12" customFormat="1" x14ac:dyDescent="0.25"/>
    <row r="28781" s="12" customFormat="1" x14ac:dyDescent="0.25"/>
    <row r="28782" s="12" customFormat="1" x14ac:dyDescent="0.25"/>
    <row r="28783" s="12" customFormat="1" x14ac:dyDescent="0.25"/>
    <row r="28784" s="12" customFormat="1" x14ac:dyDescent="0.25"/>
    <row r="28785" s="12" customFormat="1" x14ac:dyDescent="0.25"/>
    <row r="28786" s="12" customFormat="1" x14ac:dyDescent="0.25"/>
    <row r="28787" s="12" customFormat="1" x14ac:dyDescent="0.25"/>
    <row r="28788" s="12" customFormat="1" x14ac:dyDescent="0.25"/>
    <row r="28789" s="12" customFormat="1" x14ac:dyDescent="0.25"/>
    <row r="28790" s="12" customFormat="1" x14ac:dyDescent="0.25"/>
    <row r="28791" s="12" customFormat="1" x14ac:dyDescent="0.25"/>
    <row r="28792" s="12" customFormat="1" x14ac:dyDescent="0.25"/>
    <row r="28793" s="12" customFormat="1" x14ac:dyDescent="0.25"/>
    <row r="28794" s="12" customFormat="1" x14ac:dyDescent="0.25"/>
    <row r="28795" s="12" customFormat="1" x14ac:dyDescent="0.25"/>
    <row r="28796" s="12" customFormat="1" x14ac:dyDescent="0.25"/>
    <row r="28797" s="12" customFormat="1" x14ac:dyDescent="0.25"/>
    <row r="28798" s="12" customFormat="1" x14ac:dyDescent="0.25"/>
    <row r="28799" s="12" customFormat="1" x14ac:dyDescent="0.25"/>
    <row r="28800" s="12" customFormat="1" x14ac:dyDescent="0.25"/>
    <row r="28801" s="12" customFormat="1" x14ac:dyDescent="0.25"/>
    <row r="28802" s="12" customFormat="1" x14ac:dyDescent="0.25"/>
    <row r="28803" s="12" customFormat="1" x14ac:dyDescent="0.25"/>
    <row r="28804" s="12" customFormat="1" x14ac:dyDescent="0.25"/>
    <row r="28805" s="12" customFormat="1" x14ac:dyDescent="0.25"/>
    <row r="28806" s="12" customFormat="1" x14ac:dyDescent="0.25"/>
    <row r="28807" s="12" customFormat="1" x14ac:dyDescent="0.25"/>
    <row r="28808" s="12" customFormat="1" x14ac:dyDescent="0.25"/>
    <row r="28809" s="12" customFormat="1" x14ac:dyDescent="0.25"/>
    <row r="28810" s="12" customFormat="1" x14ac:dyDescent="0.25"/>
    <row r="28811" s="12" customFormat="1" x14ac:dyDescent="0.25"/>
    <row r="28812" s="12" customFormat="1" x14ac:dyDescent="0.25"/>
    <row r="28813" s="12" customFormat="1" x14ac:dyDescent="0.25"/>
    <row r="28814" s="12" customFormat="1" x14ac:dyDescent="0.25"/>
    <row r="28815" s="12" customFormat="1" x14ac:dyDescent="0.25"/>
    <row r="28816" s="12" customFormat="1" x14ac:dyDescent="0.25"/>
    <row r="28817" s="12" customFormat="1" x14ac:dyDescent="0.25"/>
    <row r="28818" s="12" customFormat="1" x14ac:dyDescent="0.25"/>
    <row r="28819" s="12" customFormat="1" x14ac:dyDescent="0.25"/>
    <row r="28820" s="12" customFormat="1" x14ac:dyDescent="0.25"/>
    <row r="28821" s="12" customFormat="1" x14ac:dyDescent="0.25"/>
    <row r="28822" s="12" customFormat="1" x14ac:dyDescent="0.25"/>
    <row r="28823" s="12" customFormat="1" x14ac:dyDescent="0.25"/>
    <row r="28824" s="12" customFormat="1" x14ac:dyDescent="0.25"/>
    <row r="28825" s="12" customFormat="1" x14ac:dyDescent="0.25"/>
    <row r="28826" s="12" customFormat="1" x14ac:dyDescent="0.25"/>
    <row r="28827" s="12" customFormat="1" x14ac:dyDescent="0.25"/>
    <row r="28828" s="12" customFormat="1" x14ac:dyDescent="0.25"/>
    <row r="28829" s="12" customFormat="1" x14ac:dyDescent="0.25"/>
    <row r="28830" s="12" customFormat="1" x14ac:dyDescent="0.25"/>
    <row r="28831" s="12" customFormat="1" x14ac:dyDescent="0.25"/>
    <row r="28832" s="12" customFormat="1" x14ac:dyDescent="0.25"/>
    <row r="28833" s="12" customFormat="1" x14ac:dyDescent="0.25"/>
    <row r="28834" s="12" customFormat="1" x14ac:dyDescent="0.25"/>
    <row r="28835" s="12" customFormat="1" x14ac:dyDescent="0.25"/>
    <row r="28836" s="12" customFormat="1" x14ac:dyDescent="0.25"/>
    <row r="28837" s="12" customFormat="1" x14ac:dyDescent="0.25"/>
    <row r="28838" s="12" customFormat="1" x14ac:dyDescent="0.25"/>
    <row r="28839" s="12" customFormat="1" x14ac:dyDescent="0.25"/>
    <row r="28840" s="12" customFormat="1" x14ac:dyDescent="0.25"/>
    <row r="28841" s="12" customFormat="1" x14ac:dyDescent="0.25"/>
    <row r="28842" s="12" customFormat="1" x14ac:dyDescent="0.25"/>
    <row r="28843" s="12" customFormat="1" x14ac:dyDescent="0.25"/>
    <row r="28844" s="12" customFormat="1" x14ac:dyDescent="0.25"/>
    <row r="28845" s="12" customFormat="1" x14ac:dyDescent="0.25"/>
    <row r="28846" s="12" customFormat="1" x14ac:dyDescent="0.25"/>
    <row r="28847" s="12" customFormat="1" x14ac:dyDescent="0.25"/>
    <row r="28848" s="12" customFormat="1" x14ac:dyDescent="0.25"/>
    <row r="28849" s="12" customFormat="1" x14ac:dyDescent="0.25"/>
    <row r="28850" s="12" customFormat="1" x14ac:dyDescent="0.25"/>
    <row r="28851" s="12" customFormat="1" x14ac:dyDescent="0.25"/>
    <row r="28852" s="12" customFormat="1" x14ac:dyDescent="0.25"/>
    <row r="28853" s="12" customFormat="1" x14ac:dyDescent="0.25"/>
    <row r="28854" s="12" customFormat="1" x14ac:dyDescent="0.25"/>
    <row r="28855" s="12" customFormat="1" x14ac:dyDescent="0.25"/>
    <row r="28856" s="12" customFormat="1" x14ac:dyDescent="0.25"/>
    <row r="28857" s="12" customFormat="1" x14ac:dyDescent="0.25"/>
    <row r="28858" s="12" customFormat="1" x14ac:dyDescent="0.25"/>
    <row r="28859" s="12" customFormat="1" x14ac:dyDescent="0.25"/>
    <row r="28860" s="12" customFormat="1" x14ac:dyDescent="0.25"/>
    <row r="28861" s="12" customFormat="1" x14ac:dyDescent="0.25"/>
    <row r="28862" s="12" customFormat="1" x14ac:dyDescent="0.25"/>
    <row r="28863" s="12" customFormat="1" x14ac:dyDescent="0.25"/>
    <row r="28864" s="12" customFormat="1" x14ac:dyDescent="0.25"/>
    <row r="28865" s="12" customFormat="1" x14ac:dyDescent="0.25"/>
    <row r="28866" s="12" customFormat="1" x14ac:dyDescent="0.25"/>
    <row r="28867" s="12" customFormat="1" x14ac:dyDescent="0.25"/>
    <row r="28868" s="12" customFormat="1" x14ac:dyDescent="0.25"/>
    <row r="28869" s="12" customFormat="1" x14ac:dyDescent="0.25"/>
    <row r="28870" s="12" customFormat="1" x14ac:dyDescent="0.25"/>
    <row r="28871" s="12" customFormat="1" x14ac:dyDescent="0.25"/>
    <row r="28872" s="12" customFormat="1" x14ac:dyDescent="0.25"/>
    <row r="28873" s="12" customFormat="1" x14ac:dyDescent="0.25"/>
    <row r="28874" s="12" customFormat="1" x14ac:dyDescent="0.25"/>
    <row r="28875" s="12" customFormat="1" x14ac:dyDescent="0.25"/>
    <row r="28876" s="12" customFormat="1" x14ac:dyDescent="0.25"/>
    <row r="28877" s="12" customFormat="1" x14ac:dyDescent="0.25"/>
    <row r="28878" s="12" customFormat="1" x14ac:dyDescent="0.25"/>
    <row r="28879" s="12" customFormat="1" x14ac:dyDescent="0.25"/>
    <row r="28880" s="12" customFormat="1" x14ac:dyDescent="0.25"/>
    <row r="28881" s="12" customFormat="1" x14ac:dyDescent="0.25"/>
    <row r="28882" s="12" customFormat="1" x14ac:dyDescent="0.25"/>
    <row r="28883" s="12" customFormat="1" x14ac:dyDescent="0.25"/>
    <row r="28884" s="12" customFormat="1" x14ac:dyDescent="0.25"/>
    <row r="28885" s="12" customFormat="1" x14ac:dyDescent="0.25"/>
    <row r="28886" s="12" customFormat="1" x14ac:dyDescent="0.25"/>
    <row r="28887" s="12" customFormat="1" x14ac:dyDescent="0.25"/>
    <row r="28888" s="12" customFormat="1" x14ac:dyDescent="0.25"/>
    <row r="28889" s="12" customFormat="1" x14ac:dyDescent="0.25"/>
    <row r="28890" s="12" customFormat="1" x14ac:dyDescent="0.25"/>
    <row r="28891" s="12" customFormat="1" x14ac:dyDescent="0.25"/>
    <row r="28892" s="12" customFormat="1" x14ac:dyDescent="0.25"/>
    <row r="28893" s="12" customFormat="1" x14ac:dyDescent="0.25"/>
    <row r="28894" s="12" customFormat="1" x14ac:dyDescent="0.25"/>
    <row r="28895" s="12" customFormat="1" x14ac:dyDescent="0.25"/>
    <row r="28896" s="12" customFormat="1" x14ac:dyDescent="0.25"/>
    <row r="28897" s="12" customFormat="1" x14ac:dyDescent="0.25"/>
    <row r="28898" s="12" customFormat="1" x14ac:dyDescent="0.25"/>
    <row r="28899" s="12" customFormat="1" x14ac:dyDescent="0.25"/>
    <row r="28900" s="12" customFormat="1" x14ac:dyDescent="0.25"/>
    <row r="28901" s="12" customFormat="1" x14ac:dyDescent="0.25"/>
    <row r="28902" s="12" customFormat="1" x14ac:dyDescent="0.25"/>
    <row r="28903" s="12" customFormat="1" x14ac:dyDescent="0.25"/>
    <row r="28904" s="12" customFormat="1" x14ac:dyDescent="0.25"/>
    <row r="28905" s="12" customFormat="1" x14ac:dyDescent="0.25"/>
    <row r="28906" s="12" customFormat="1" x14ac:dyDescent="0.25"/>
    <row r="28907" s="12" customFormat="1" x14ac:dyDescent="0.25"/>
    <row r="28908" s="12" customFormat="1" x14ac:dyDescent="0.25"/>
    <row r="28909" s="12" customFormat="1" x14ac:dyDescent="0.25"/>
    <row r="28910" s="12" customFormat="1" x14ac:dyDescent="0.25"/>
    <row r="28911" s="12" customFormat="1" x14ac:dyDescent="0.25"/>
    <row r="28912" s="12" customFormat="1" x14ac:dyDescent="0.25"/>
    <row r="28913" s="12" customFormat="1" x14ac:dyDescent="0.25"/>
    <row r="28914" s="12" customFormat="1" x14ac:dyDescent="0.25"/>
    <row r="28915" s="12" customFormat="1" x14ac:dyDescent="0.25"/>
    <row r="28916" s="12" customFormat="1" x14ac:dyDescent="0.25"/>
    <row r="28917" s="12" customFormat="1" x14ac:dyDescent="0.25"/>
    <row r="28918" s="12" customFormat="1" x14ac:dyDescent="0.25"/>
    <row r="28919" s="12" customFormat="1" x14ac:dyDescent="0.25"/>
    <row r="28920" s="12" customFormat="1" x14ac:dyDescent="0.25"/>
    <row r="28921" s="12" customFormat="1" x14ac:dyDescent="0.25"/>
    <row r="28922" s="12" customFormat="1" x14ac:dyDescent="0.25"/>
    <row r="28923" s="12" customFormat="1" x14ac:dyDescent="0.25"/>
    <row r="28924" s="12" customFormat="1" x14ac:dyDescent="0.25"/>
    <row r="28925" s="12" customFormat="1" x14ac:dyDescent="0.25"/>
    <row r="28926" s="12" customFormat="1" x14ac:dyDescent="0.25"/>
    <row r="28927" s="12" customFormat="1" x14ac:dyDescent="0.25"/>
    <row r="28928" s="12" customFormat="1" x14ac:dyDescent="0.25"/>
    <row r="28929" s="12" customFormat="1" x14ac:dyDescent="0.25"/>
    <row r="28930" s="12" customFormat="1" x14ac:dyDescent="0.25"/>
    <row r="28931" s="12" customFormat="1" x14ac:dyDescent="0.25"/>
    <row r="28932" s="12" customFormat="1" x14ac:dyDescent="0.25"/>
    <row r="28933" s="12" customFormat="1" x14ac:dyDescent="0.25"/>
    <row r="28934" s="12" customFormat="1" x14ac:dyDescent="0.25"/>
    <row r="28935" s="12" customFormat="1" x14ac:dyDescent="0.25"/>
    <row r="28936" s="12" customFormat="1" x14ac:dyDescent="0.25"/>
    <row r="28937" s="12" customFormat="1" x14ac:dyDescent="0.25"/>
    <row r="28938" s="12" customFormat="1" x14ac:dyDescent="0.25"/>
    <row r="28939" s="12" customFormat="1" x14ac:dyDescent="0.25"/>
    <row r="28940" s="12" customFormat="1" x14ac:dyDescent="0.25"/>
    <row r="28941" s="12" customFormat="1" x14ac:dyDescent="0.25"/>
    <row r="28942" s="12" customFormat="1" x14ac:dyDescent="0.25"/>
    <row r="28943" s="12" customFormat="1" x14ac:dyDescent="0.25"/>
    <row r="28944" s="12" customFormat="1" x14ac:dyDescent="0.25"/>
    <row r="28945" s="12" customFormat="1" x14ac:dyDescent="0.25"/>
    <row r="28946" s="12" customFormat="1" x14ac:dyDescent="0.25"/>
    <row r="28947" s="12" customFormat="1" x14ac:dyDescent="0.25"/>
    <row r="28948" s="12" customFormat="1" x14ac:dyDescent="0.25"/>
    <row r="28949" s="12" customFormat="1" x14ac:dyDescent="0.25"/>
    <row r="28950" s="12" customFormat="1" x14ac:dyDescent="0.25"/>
    <row r="28951" s="12" customFormat="1" x14ac:dyDescent="0.25"/>
    <row r="28952" s="12" customFormat="1" x14ac:dyDescent="0.25"/>
    <row r="28953" s="12" customFormat="1" x14ac:dyDescent="0.25"/>
    <row r="28954" s="12" customFormat="1" x14ac:dyDescent="0.25"/>
    <row r="28955" s="12" customFormat="1" x14ac:dyDescent="0.25"/>
    <row r="28956" s="12" customFormat="1" x14ac:dyDescent="0.25"/>
    <row r="28957" s="12" customFormat="1" x14ac:dyDescent="0.25"/>
    <row r="28958" s="12" customFormat="1" x14ac:dyDescent="0.25"/>
    <row r="28959" s="12" customFormat="1" x14ac:dyDescent="0.25"/>
    <row r="28960" s="12" customFormat="1" x14ac:dyDescent="0.25"/>
    <row r="28961" s="12" customFormat="1" x14ac:dyDescent="0.25"/>
    <row r="28962" s="12" customFormat="1" x14ac:dyDescent="0.25"/>
    <row r="28963" s="12" customFormat="1" x14ac:dyDescent="0.25"/>
    <row r="28964" s="12" customFormat="1" x14ac:dyDescent="0.25"/>
    <row r="28965" s="12" customFormat="1" x14ac:dyDescent="0.25"/>
    <row r="28966" s="12" customFormat="1" x14ac:dyDescent="0.25"/>
    <row r="28967" s="12" customFormat="1" x14ac:dyDescent="0.25"/>
    <row r="28968" s="12" customFormat="1" x14ac:dyDescent="0.25"/>
    <row r="28969" s="12" customFormat="1" x14ac:dyDescent="0.25"/>
    <row r="28970" s="12" customFormat="1" x14ac:dyDescent="0.25"/>
    <row r="28971" s="12" customFormat="1" x14ac:dyDescent="0.25"/>
    <row r="28972" s="12" customFormat="1" x14ac:dyDescent="0.25"/>
    <row r="28973" s="12" customFormat="1" x14ac:dyDescent="0.25"/>
    <row r="28974" s="12" customFormat="1" x14ac:dyDescent="0.25"/>
    <row r="28975" s="12" customFormat="1" x14ac:dyDescent="0.25"/>
    <row r="28976" s="12" customFormat="1" x14ac:dyDescent="0.25"/>
    <row r="28977" s="12" customFormat="1" x14ac:dyDescent="0.25"/>
    <row r="28978" s="12" customFormat="1" x14ac:dyDescent="0.25"/>
    <row r="28979" s="12" customFormat="1" x14ac:dyDescent="0.25"/>
    <row r="28980" s="12" customFormat="1" x14ac:dyDescent="0.25"/>
    <row r="28981" s="12" customFormat="1" x14ac:dyDescent="0.25"/>
    <row r="28982" s="12" customFormat="1" x14ac:dyDescent="0.25"/>
    <row r="28983" s="12" customFormat="1" x14ac:dyDescent="0.25"/>
    <row r="28984" s="12" customFormat="1" x14ac:dyDescent="0.25"/>
    <row r="28985" s="12" customFormat="1" x14ac:dyDescent="0.25"/>
    <row r="28986" s="12" customFormat="1" x14ac:dyDescent="0.25"/>
    <row r="28987" s="12" customFormat="1" x14ac:dyDescent="0.25"/>
    <row r="28988" s="12" customFormat="1" x14ac:dyDescent="0.25"/>
    <row r="28989" s="12" customFormat="1" x14ac:dyDescent="0.25"/>
    <row r="28990" s="12" customFormat="1" x14ac:dyDescent="0.25"/>
    <row r="28991" s="12" customFormat="1" x14ac:dyDescent="0.25"/>
    <row r="28992" s="12" customFormat="1" x14ac:dyDescent="0.25"/>
    <row r="28993" s="12" customFormat="1" x14ac:dyDescent="0.25"/>
    <row r="28994" s="12" customFormat="1" x14ac:dyDescent="0.25"/>
    <row r="28995" s="12" customFormat="1" x14ac:dyDescent="0.25"/>
    <row r="28996" s="12" customFormat="1" x14ac:dyDescent="0.25"/>
    <row r="28997" s="12" customFormat="1" x14ac:dyDescent="0.25"/>
    <row r="28998" s="12" customFormat="1" x14ac:dyDescent="0.25"/>
    <row r="28999" s="12" customFormat="1" x14ac:dyDescent="0.25"/>
    <row r="29000" s="12" customFormat="1" x14ac:dyDescent="0.25"/>
    <row r="29001" s="12" customFormat="1" x14ac:dyDescent="0.25"/>
    <row r="29002" s="12" customFormat="1" x14ac:dyDescent="0.25"/>
    <row r="29003" s="12" customFormat="1" x14ac:dyDescent="0.25"/>
    <row r="29004" s="12" customFormat="1" x14ac:dyDescent="0.25"/>
    <row r="29005" s="12" customFormat="1" x14ac:dyDescent="0.25"/>
    <row r="29006" s="12" customFormat="1" x14ac:dyDescent="0.25"/>
    <row r="29007" s="12" customFormat="1" x14ac:dyDescent="0.25"/>
    <row r="29008" s="12" customFormat="1" x14ac:dyDescent="0.25"/>
    <row r="29009" s="12" customFormat="1" x14ac:dyDescent="0.25"/>
    <row r="29010" s="12" customFormat="1" x14ac:dyDescent="0.25"/>
    <row r="29011" s="12" customFormat="1" x14ac:dyDescent="0.25"/>
    <row r="29012" s="12" customFormat="1" x14ac:dyDescent="0.25"/>
    <row r="29013" s="12" customFormat="1" x14ac:dyDescent="0.25"/>
    <row r="29014" s="12" customFormat="1" x14ac:dyDescent="0.25"/>
    <row r="29015" s="12" customFormat="1" x14ac:dyDescent="0.25"/>
    <row r="29016" s="12" customFormat="1" x14ac:dyDescent="0.25"/>
    <row r="29017" s="12" customFormat="1" x14ac:dyDescent="0.25"/>
    <row r="29018" s="12" customFormat="1" x14ac:dyDescent="0.25"/>
    <row r="29019" s="12" customFormat="1" x14ac:dyDescent="0.25"/>
    <row r="29020" s="12" customFormat="1" x14ac:dyDescent="0.25"/>
    <row r="29021" s="12" customFormat="1" x14ac:dyDescent="0.25"/>
    <row r="29022" s="12" customFormat="1" x14ac:dyDescent="0.25"/>
    <row r="29023" s="12" customFormat="1" x14ac:dyDescent="0.25"/>
    <row r="29024" s="12" customFormat="1" x14ac:dyDescent="0.25"/>
    <row r="29025" s="12" customFormat="1" x14ac:dyDescent="0.25"/>
    <row r="29026" s="12" customFormat="1" x14ac:dyDescent="0.25"/>
    <row r="29027" s="12" customFormat="1" x14ac:dyDescent="0.25"/>
    <row r="29028" s="12" customFormat="1" x14ac:dyDescent="0.25"/>
    <row r="29029" s="12" customFormat="1" x14ac:dyDescent="0.25"/>
    <row r="29030" s="12" customFormat="1" x14ac:dyDescent="0.25"/>
    <row r="29031" s="12" customFormat="1" x14ac:dyDescent="0.25"/>
    <row r="29032" s="12" customFormat="1" x14ac:dyDescent="0.25"/>
    <row r="29033" s="12" customFormat="1" x14ac:dyDescent="0.25"/>
    <row r="29034" s="12" customFormat="1" x14ac:dyDescent="0.25"/>
    <row r="29035" s="12" customFormat="1" x14ac:dyDescent="0.25"/>
    <row r="29036" s="12" customFormat="1" x14ac:dyDescent="0.25"/>
    <row r="29037" s="12" customFormat="1" x14ac:dyDescent="0.25"/>
    <row r="29038" s="12" customFormat="1" x14ac:dyDescent="0.25"/>
    <row r="29039" s="12" customFormat="1" x14ac:dyDescent="0.25"/>
    <row r="29040" s="12" customFormat="1" x14ac:dyDescent="0.25"/>
    <row r="29041" s="12" customFormat="1" x14ac:dyDescent="0.25"/>
    <row r="29042" s="12" customFormat="1" x14ac:dyDescent="0.25"/>
    <row r="29043" s="12" customFormat="1" x14ac:dyDescent="0.25"/>
    <row r="29044" s="12" customFormat="1" x14ac:dyDescent="0.25"/>
    <row r="29045" s="12" customFormat="1" x14ac:dyDescent="0.25"/>
    <row r="29046" s="12" customFormat="1" x14ac:dyDescent="0.25"/>
    <row r="29047" s="12" customFormat="1" x14ac:dyDescent="0.25"/>
    <row r="29048" s="12" customFormat="1" x14ac:dyDescent="0.25"/>
    <row r="29049" s="12" customFormat="1" x14ac:dyDescent="0.25"/>
    <row r="29050" s="12" customFormat="1" x14ac:dyDescent="0.25"/>
    <row r="29051" s="12" customFormat="1" x14ac:dyDescent="0.25"/>
    <row r="29052" s="12" customFormat="1" x14ac:dyDescent="0.25"/>
    <row r="29053" s="12" customFormat="1" x14ac:dyDescent="0.25"/>
    <row r="29054" s="12" customFormat="1" x14ac:dyDescent="0.25"/>
    <row r="29055" s="12" customFormat="1" x14ac:dyDescent="0.25"/>
    <row r="29056" s="12" customFormat="1" x14ac:dyDescent="0.25"/>
    <row r="29057" s="12" customFormat="1" x14ac:dyDescent="0.25"/>
    <row r="29058" s="12" customFormat="1" x14ac:dyDescent="0.25"/>
    <row r="29059" s="12" customFormat="1" x14ac:dyDescent="0.25"/>
    <row r="29060" s="12" customFormat="1" x14ac:dyDescent="0.25"/>
    <row r="29061" s="12" customFormat="1" x14ac:dyDescent="0.25"/>
    <row r="29062" s="12" customFormat="1" x14ac:dyDescent="0.25"/>
    <row r="29063" s="12" customFormat="1" x14ac:dyDescent="0.25"/>
    <row r="29064" s="12" customFormat="1" x14ac:dyDescent="0.25"/>
    <row r="29065" s="12" customFormat="1" x14ac:dyDescent="0.25"/>
    <row r="29066" s="12" customFormat="1" x14ac:dyDescent="0.25"/>
    <row r="29067" s="12" customFormat="1" x14ac:dyDescent="0.25"/>
    <row r="29068" s="12" customFormat="1" x14ac:dyDescent="0.25"/>
    <row r="29069" s="12" customFormat="1" x14ac:dyDescent="0.25"/>
    <row r="29070" s="12" customFormat="1" x14ac:dyDescent="0.25"/>
    <row r="29071" s="12" customFormat="1" x14ac:dyDescent="0.25"/>
    <row r="29072" s="12" customFormat="1" x14ac:dyDescent="0.25"/>
    <row r="29073" s="12" customFormat="1" x14ac:dyDescent="0.25"/>
    <row r="29074" s="12" customFormat="1" x14ac:dyDescent="0.25"/>
    <row r="29075" s="12" customFormat="1" x14ac:dyDescent="0.25"/>
    <row r="29076" s="12" customFormat="1" x14ac:dyDescent="0.25"/>
    <row r="29077" s="12" customFormat="1" x14ac:dyDescent="0.25"/>
    <row r="29078" s="12" customFormat="1" x14ac:dyDescent="0.25"/>
    <row r="29079" s="12" customFormat="1" x14ac:dyDescent="0.25"/>
    <row r="29080" s="12" customFormat="1" x14ac:dyDescent="0.25"/>
    <row r="29081" s="12" customFormat="1" x14ac:dyDescent="0.25"/>
    <row r="29082" s="12" customFormat="1" x14ac:dyDescent="0.25"/>
    <row r="29083" s="12" customFormat="1" x14ac:dyDescent="0.25"/>
    <row r="29084" s="12" customFormat="1" x14ac:dyDescent="0.25"/>
    <row r="29085" s="12" customFormat="1" x14ac:dyDescent="0.25"/>
    <row r="29086" s="12" customFormat="1" x14ac:dyDescent="0.25"/>
    <row r="29087" s="12" customFormat="1" x14ac:dyDescent="0.25"/>
    <row r="29088" s="12" customFormat="1" x14ac:dyDescent="0.25"/>
    <row r="29089" s="12" customFormat="1" x14ac:dyDescent="0.25"/>
    <row r="29090" s="12" customFormat="1" x14ac:dyDescent="0.25"/>
    <row r="29091" s="12" customFormat="1" x14ac:dyDescent="0.25"/>
    <row r="29092" s="12" customFormat="1" x14ac:dyDescent="0.25"/>
    <row r="29093" s="12" customFormat="1" x14ac:dyDescent="0.25"/>
    <row r="29094" s="12" customFormat="1" x14ac:dyDescent="0.25"/>
    <row r="29095" s="12" customFormat="1" x14ac:dyDescent="0.25"/>
    <row r="29096" s="12" customFormat="1" x14ac:dyDescent="0.25"/>
    <row r="29097" s="12" customFormat="1" x14ac:dyDescent="0.25"/>
    <row r="29098" s="12" customFormat="1" x14ac:dyDescent="0.25"/>
    <row r="29099" s="12" customFormat="1" x14ac:dyDescent="0.25"/>
    <row r="29100" s="12" customFormat="1" x14ac:dyDescent="0.25"/>
    <row r="29101" s="12" customFormat="1" x14ac:dyDescent="0.25"/>
    <row r="29102" s="12" customFormat="1" x14ac:dyDescent="0.25"/>
    <row r="29103" s="12" customFormat="1" x14ac:dyDescent="0.25"/>
    <row r="29104" s="12" customFormat="1" x14ac:dyDescent="0.25"/>
    <row r="29105" s="12" customFormat="1" x14ac:dyDescent="0.25"/>
    <row r="29106" s="12" customFormat="1" x14ac:dyDescent="0.25"/>
    <row r="29107" s="12" customFormat="1" x14ac:dyDescent="0.25"/>
    <row r="29108" s="12" customFormat="1" x14ac:dyDescent="0.25"/>
    <row r="29109" s="12" customFormat="1" x14ac:dyDescent="0.25"/>
    <row r="29110" s="12" customFormat="1" x14ac:dyDescent="0.25"/>
    <row r="29111" s="12" customFormat="1" x14ac:dyDescent="0.25"/>
    <row r="29112" s="12" customFormat="1" x14ac:dyDescent="0.25"/>
    <row r="29113" s="12" customFormat="1" x14ac:dyDescent="0.25"/>
    <row r="29114" s="12" customFormat="1" x14ac:dyDescent="0.25"/>
    <row r="29115" s="12" customFormat="1" x14ac:dyDescent="0.25"/>
    <row r="29116" s="12" customFormat="1" x14ac:dyDescent="0.25"/>
    <row r="29117" s="12" customFormat="1" x14ac:dyDescent="0.25"/>
    <row r="29118" s="12" customFormat="1" x14ac:dyDescent="0.25"/>
    <row r="29119" s="12" customFormat="1" x14ac:dyDescent="0.25"/>
    <row r="29120" s="12" customFormat="1" x14ac:dyDescent="0.25"/>
    <row r="29121" s="12" customFormat="1" x14ac:dyDescent="0.25"/>
    <row r="29122" s="12" customFormat="1" x14ac:dyDescent="0.25"/>
    <row r="29123" s="12" customFormat="1" x14ac:dyDescent="0.25"/>
    <row r="29124" s="12" customFormat="1" x14ac:dyDescent="0.25"/>
    <row r="29125" s="12" customFormat="1" x14ac:dyDescent="0.25"/>
    <row r="29126" s="12" customFormat="1" x14ac:dyDescent="0.25"/>
    <row r="29127" s="12" customFormat="1" x14ac:dyDescent="0.25"/>
    <row r="29128" s="12" customFormat="1" x14ac:dyDescent="0.25"/>
    <row r="29129" s="12" customFormat="1" x14ac:dyDescent="0.25"/>
    <row r="29130" s="12" customFormat="1" x14ac:dyDescent="0.25"/>
    <row r="29131" s="12" customFormat="1" x14ac:dyDescent="0.25"/>
    <row r="29132" s="12" customFormat="1" x14ac:dyDescent="0.25"/>
    <row r="29133" s="12" customFormat="1" x14ac:dyDescent="0.25"/>
    <row r="29134" s="12" customFormat="1" x14ac:dyDescent="0.25"/>
    <row r="29135" s="12" customFormat="1" x14ac:dyDescent="0.25"/>
    <row r="29136" s="12" customFormat="1" x14ac:dyDescent="0.25"/>
    <row r="29137" s="12" customFormat="1" x14ac:dyDescent="0.25"/>
    <row r="29138" s="12" customFormat="1" x14ac:dyDescent="0.25"/>
    <row r="29139" s="12" customFormat="1" x14ac:dyDescent="0.25"/>
    <row r="29140" s="12" customFormat="1" x14ac:dyDescent="0.25"/>
    <row r="29141" s="12" customFormat="1" x14ac:dyDescent="0.25"/>
    <row r="29142" s="12" customFormat="1" x14ac:dyDescent="0.25"/>
    <row r="29143" s="12" customFormat="1" x14ac:dyDescent="0.25"/>
    <row r="29144" s="12" customFormat="1" x14ac:dyDescent="0.25"/>
    <row r="29145" s="12" customFormat="1" x14ac:dyDescent="0.25"/>
    <row r="29146" s="12" customFormat="1" x14ac:dyDescent="0.25"/>
    <row r="29147" s="12" customFormat="1" x14ac:dyDescent="0.25"/>
    <row r="29148" s="12" customFormat="1" x14ac:dyDescent="0.25"/>
    <row r="29149" s="12" customFormat="1" x14ac:dyDescent="0.25"/>
    <row r="29150" s="12" customFormat="1" x14ac:dyDescent="0.25"/>
    <row r="29151" s="12" customFormat="1" x14ac:dyDescent="0.25"/>
    <row r="29152" s="12" customFormat="1" x14ac:dyDescent="0.25"/>
    <row r="29153" s="12" customFormat="1" x14ac:dyDescent="0.25"/>
    <row r="29154" s="12" customFormat="1" x14ac:dyDescent="0.25"/>
    <row r="29155" s="12" customFormat="1" x14ac:dyDescent="0.25"/>
    <row r="29156" s="12" customFormat="1" x14ac:dyDescent="0.25"/>
    <row r="29157" s="12" customFormat="1" x14ac:dyDescent="0.25"/>
    <row r="29158" s="12" customFormat="1" x14ac:dyDescent="0.25"/>
    <row r="29159" s="12" customFormat="1" x14ac:dyDescent="0.25"/>
    <row r="29160" s="12" customFormat="1" x14ac:dyDescent="0.25"/>
    <row r="29161" s="12" customFormat="1" x14ac:dyDescent="0.25"/>
    <row r="29162" s="12" customFormat="1" x14ac:dyDescent="0.25"/>
    <row r="29163" s="12" customFormat="1" x14ac:dyDescent="0.25"/>
    <row r="29164" s="12" customFormat="1" x14ac:dyDescent="0.25"/>
    <row r="29165" s="12" customFormat="1" x14ac:dyDescent="0.25"/>
    <row r="29166" s="12" customFormat="1" x14ac:dyDescent="0.25"/>
    <row r="29167" s="12" customFormat="1" x14ac:dyDescent="0.25"/>
    <row r="29168" s="12" customFormat="1" x14ac:dyDescent="0.25"/>
    <row r="29169" s="12" customFormat="1" x14ac:dyDescent="0.25"/>
    <row r="29170" s="12" customFormat="1" x14ac:dyDescent="0.25"/>
    <row r="29171" s="12" customFormat="1" x14ac:dyDescent="0.25"/>
    <row r="29172" s="12" customFormat="1" x14ac:dyDescent="0.25"/>
    <row r="29173" s="12" customFormat="1" x14ac:dyDescent="0.25"/>
    <row r="29174" s="12" customFormat="1" x14ac:dyDescent="0.25"/>
    <row r="29175" s="12" customFormat="1" x14ac:dyDescent="0.25"/>
    <row r="29176" s="12" customFormat="1" x14ac:dyDescent="0.25"/>
    <row r="29177" s="12" customFormat="1" x14ac:dyDescent="0.25"/>
    <row r="29178" s="12" customFormat="1" x14ac:dyDescent="0.25"/>
    <row r="29179" s="12" customFormat="1" x14ac:dyDescent="0.25"/>
    <row r="29180" s="12" customFormat="1" x14ac:dyDescent="0.25"/>
    <row r="29181" s="12" customFormat="1" x14ac:dyDescent="0.25"/>
    <row r="29182" s="12" customFormat="1" x14ac:dyDescent="0.25"/>
    <row r="29183" s="12" customFormat="1" x14ac:dyDescent="0.25"/>
    <row r="29184" s="12" customFormat="1" x14ac:dyDescent="0.25"/>
    <row r="29185" s="12" customFormat="1" x14ac:dyDescent="0.25"/>
    <row r="29186" s="12" customFormat="1" x14ac:dyDescent="0.25"/>
    <row r="29187" s="12" customFormat="1" x14ac:dyDescent="0.25"/>
    <row r="29188" s="12" customFormat="1" x14ac:dyDescent="0.25"/>
    <row r="29189" s="12" customFormat="1" x14ac:dyDescent="0.25"/>
    <row r="29190" s="12" customFormat="1" x14ac:dyDescent="0.25"/>
    <row r="29191" s="12" customFormat="1" x14ac:dyDescent="0.25"/>
    <row r="29192" s="12" customFormat="1" x14ac:dyDescent="0.25"/>
    <row r="29193" s="12" customFormat="1" x14ac:dyDescent="0.25"/>
    <row r="29194" s="12" customFormat="1" x14ac:dyDescent="0.25"/>
    <row r="29195" s="12" customFormat="1" x14ac:dyDescent="0.25"/>
    <row r="29196" s="12" customFormat="1" x14ac:dyDescent="0.25"/>
    <row r="29197" s="12" customFormat="1" x14ac:dyDescent="0.25"/>
    <row r="29198" s="12" customFormat="1" x14ac:dyDescent="0.25"/>
    <row r="29199" s="12" customFormat="1" x14ac:dyDescent="0.25"/>
    <row r="29200" s="12" customFormat="1" x14ac:dyDescent="0.25"/>
    <row r="29201" s="12" customFormat="1" x14ac:dyDescent="0.25"/>
    <row r="29202" s="12" customFormat="1" x14ac:dyDescent="0.25"/>
    <row r="29203" s="12" customFormat="1" x14ac:dyDescent="0.25"/>
    <row r="29204" s="12" customFormat="1" x14ac:dyDescent="0.25"/>
    <row r="29205" s="12" customFormat="1" x14ac:dyDescent="0.25"/>
    <row r="29206" s="12" customFormat="1" x14ac:dyDescent="0.25"/>
    <row r="29207" s="12" customFormat="1" x14ac:dyDescent="0.25"/>
    <row r="29208" s="12" customFormat="1" x14ac:dyDescent="0.25"/>
    <row r="29209" s="12" customFormat="1" x14ac:dyDescent="0.25"/>
    <row r="29210" s="12" customFormat="1" x14ac:dyDescent="0.25"/>
    <row r="29211" s="12" customFormat="1" x14ac:dyDescent="0.25"/>
    <row r="29212" s="12" customFormat="1" x14ac:dyDescent="0.25"/>
    <row r="29213" s="12" customFormat="1" x14ac:dyDescent="0.25"/>
    <row r="29214" s="12" customFormat="1" x14ac:dyDescent="0.25"/>
    <row r="29215" s="12" customFormat="1" x14ac:dyDescent="0.25"/>
    <row r="29216" s="12" customFormat="1" x14ac:dyDescent="0.25"/>
    <row r="29217" s="12" customFormat="1" x14ac:dyDescent="0.25"/>
    <row r="29218" s="12" customFormat="1" x14ac:dyDescent="0.25"/>
    <row r="29219" s="12" customFormat="1" x14ac:dyDescent="0.25"/>
    <row r="29220" s="12" customFormat="1" x14ac:dyDescent="0.25"/>
    <row r="29221" s="12" customFormat="1" x14ac:dyDescent="0.25"/>
    <row r="29222" s="12" customFormat="1" x14ac:dyDescent="0.25"/>
    <row r="29223" s="12" customFormat="1" x14ac:dyDescent="0.25"/>
    <row r="29224" s="12" customFormat="1" x14ac:dyDescent="0.25"/>
    <row r="29225" s="12" customFormat="1" x14ac:dyDescent="0.25"/>
    <row r="29226" s="12" customFormat="1" x14ac:dyDescent="0.25"/>
    <row r="29227" s="12" customFormat="1" x14ac:dyDescent="0.25"/>
    <row r="29228" s="12" customFormat="1" x14ac:dyDescent="0.25"/>
    <row r="29229" s="12" customFormat="1" x14ac:dyDescent="0.25"/>
    <row r="29230" s="12" customFormat="1" x14ac:dyDescent="0.25"/>
    <row r="29231" s="12" customFormat="1" x14ac:dyDescent="0.25"/>
    <row r="29232" s="12" customFormat="1" x14ac:dyDescent="0.25"/>
    <row r="29233" s="12" customFormat="1" x14ac:dyDescent="0.25"/>
    <row r="29234" s="12" customFormat="1" x14ac:dyDescent="0.25"/>
    <row r="29235" s="12" customFormat="1" x14ac:dyDescent="0.25"/>
    <row r="29236" s="12" customFormat="1" x14ac:dyDescent="0.25"/>
    <row r="29237" s="12" customFormat="1" x14ac:dyDescent="0.25"/>
    <row r="29238" s="12" customFormat="1" x14ac:dyDescent="0.25"/>
    <row r="29239" s="12" customFormat="1" x14ac:dyDescent="0.25"/>
    <row r="29240" s="12" customFormat="1" x14ac:dyDescent="0.25"/>
    <row r="29241" s="12" customFormat="1" x14ac:dyDescent="0.25"/>
    <row r="29242" s="12" customFormat="1" x14ac:dyDescent="0.25"/>
    <row r="29243" s="12" customFormat="1" x14ac:dyDescent="0.25"/>
    <row r="29244" s="12" customFormat="1" x14ac:dyDescent="0.25"/>
    <row r="29245" s="12" customFormat="1" x14ac:dyDescent="0.25"/>
    <row r="29246" s="12" customFormat="1" x14ac:dyDescent="0.25"/>
    <row r="29247" s="12" customFormat="1" x14ac:dyDescent="0.25"/>
    <row r="29248" s="12" customFormat="1" x14ac:dyDescent="0.25"/>
    <row r="29249" s="12" customFormat="1" x14ac:dyDescent="0.25"/>
    <row r="29250" s="12" customFormat="1" x14ac:dyDescent="0.25"/>
    <row r="29251" s="12" customFormat="1" x14ac:dyDescent="0.25"/>
    <row r="29252" s="12" customFormat="1" x14ac:dyDescent="0.25"/>
    <row r="29253" s="12" customFormat="1" x14ac:dyDescent="0.25"/>
    <row r="29254" s="12" customFormat="1" x14ac:dyDescent="0.25"/>
    <row r="29255" s="12" customFormat="1" x14ac:dyDescent="0.25"/>
    <row r="29256" s="12" customFormat="1" x14ac:dyDescent="0.25"/>
    <row r="29257" s="12" customFormat="1" x14ac:dyDescent="0.25"/>
    <row r="29258" s="12" customFormat="1" x14ac:dyDescent="0.25"/>
    <row r="29259" s="12" customFormat="1" x14ac:dyDescent="0.25"/>
    <row r="29260" s="12" customFormat="1" x14ac:dyDescent="0.25"/>
    <row r="29261" s="12" customFormat="1" x14ac:dyDescent="0.25"/>
    <row r="29262" s="12" customFormat="1" x14ac:dyDescent="0.25"/>
    <row r="29263" s="12" customFormat="1" x14ac:dyDescent="0.25"/>
    <row r="29264" s="12" customFormat="1" x14ac:dyDescent="0.25"/>
    <row r="29265" s="12" customFormat="1" x14ac:dyDescent="0.25"/>
    <row r="29266" s="12" customFormat="1" x14ac:dyDescent="0.25"/>
    <row r="29267" s="12" customFormat="1" x14ac:dyDescent="0.25"/>
    <row r="29268" s="12" customFormat="1" x14ac:dyDescent="0.25"/>
    <row r="29269" s="12" customFormat="1" x14ac:dyDescent="0.25"/>
    <row r="29270" s="12" customFormat="1" x14ac:dyDescent="0.25"/>
    <row r="29271" s="12" customFormat="1" x14ac:dyDescent="0.25"/>
    <row r="29272" s="12" customFormat="1" x14ac:dyDescent="0.25"/>
    <row r="29273" s="12" customFormat="1" x14ac:dyDescent="0.25"/>
    <row r="29274" s="12" customFormat="1" x14ac:dyDescent="0.25"/>
    <row r="29275" s="12" customFormat="1" x14ac:dyDescent="0.25"/>
    <row r="29276" s="12" customFormat="1" x14ac:dyDescent="0.25"/>
    <row r="29277" s="12" customFormat="1" x14ac:dyDescent="0.25"/>
    <row r="29278" s="12" customFormat="1" x14ac:dyDescent="0.25"/>
    <row r="29279" s="12" customFormat="1" x14ac:dyDescent="0.25"/>
    <row r="29280" s="12" customFormat="1" x14ac:dyDescent="0.25"/>
    <row r="29281" s="12" customFormat="1" x14ac:dyDescent="0.25"/>
    <row r="29282" s="12" customFormat="1" x14ac:dyDescent="0.25"/>
    <row r="29283" s="12" customFormat="1" x14ac:dyDescent="0.25"/>
    <row r="29284" s="12" customFormat="1" x14ac:dyDescent="0.25"/>
    <row r="29285" s="12" customFormat="1" x14ac:dyDescent="0.25"/>
    <row r="29286" s="12" customFormat="1" x14ac:dyDescent="0.25"/>
    <row r="29287" s="12" customFormat="1" x14ac:dyDescent="0.25"/>
    <row r="29288" s="12" customFormat="1" x14ac:dyDescent="0.25"/>
    <row r="29289" s="12" customFormat="1" x14ac:dyDescent="0.25"/>
    <row r="29290" s="12" customFormat="1" x14ac:dyDescent="0.25"/>
    <row r="29291" s="12" customFormat="1" x14ac:dyDescent="0.25"/>
    <row r="29292" s="12" customFormat="1" x14ac:dyDescent="0.25"/>
    <row r="29293" s="12" customFormat="1" x14ac:dyDescent="0.25"/>
    <row r="29294" s="12" customFormat="1" x14ac:dyDescent="0.25"/>
    <row r="29295" s="12" customFormat="1" x14ac:dyDescent="0.25"/>
    <row r="29296" s="12" customFormat="1" x14ac:dyDescent="0.25"/>
    <row r="29297" s="12" customFormat="1" x14ac:dyDescent="0.25"/>
    <row r="29298" s="12" customFormat="1" x14ac:dyDescent="0.25"/>
    <row r="29299" s="12" customFormat="1" x14ac:dyDescent="0.25"/>
    <row r="29300" s="12" customFormat="1" x14ac:dyDescent="0.25"/>
    <row r="29301" s="12" customFormat="1" x14ac:dyDescent="0.25"/>
    <row r="29302" s="12" customFormat="1" x14ac:dyDescent="0.25"/>
    <row r="29303" s="12" customFormat="1" x14ac:dyDescent="0.25"/>
    <row r="29304" s="12" customFormat="1" x14ac:dyDescent="0.25"/>
    <row r="29305" s="12" customFormat="1" x14ac:dyDescent="0.25"/>
    <row r="29306" s="12" customFormat="1" x14ac:dyDescent="0.25"/>
    <row r="29307" s="12" customFormat="1" x14ac:dyDescent="0.25"/>
    <row r="29308" s="12" customFormat="1" x14ac:dyDescent="0.25"/>
    <row r="29309" s="12" customFormat="1" x14ac:dyDescent="0.25"/>
    <row r="29310" s="12" customFormat="1" x14ac:dyDescent="0.25"/>
    <row r="29311" s="12" customFormat="1" x14ac:dyDescent="0.25"/>
    <row r="29312" s="12" customFormat="1" x14ac:dyDescent="0.25"/>
    <row r="29313" s="12" customFormat="1" x14ac:dyDescent="0.25"/>
    <row r="29314" s="12" customFormat="1" x14ac:dyDescent="0.25"/>
    <row r="29315" s="12" customFormat="1" x14ac:dyDescent="0.25"/>
    <row r="29316" s="12" customFormat="1" x14ac:dyDescent="0.25"/>
    <row r="29317" s="12" customFormat="1" x14ac:dyDescent="0.25"/>
    <row r="29318" s="12" customFormat="1" x14ac:dyDescent="0.25"/>
    <row r="29319" s="12" customFormat="1" x14ac:dyDescent="0.25"/>
    <row r="29320" s="12" customFormat="1" x14ac:dyDescent="0.25"/>
    <row r="29321" s="12" customFormat="1" x14ac:dyDescent="0.25"/>
    <row r="29322" s="12" customFormat="1" x14ac:dyDescent="0.25"/>
    <row r="29323" s="12" customFormat="1" x14ac:dyDescent="0.25"/>
    <row r="29324" s="12" customFormat="1" x14ac:dyDescent="0.25"/>
    <row r="29325" s="12" customFormat="1" x14ac:dyDescent="0.25"/>
    <row r="29326" s="12" customFormat="1" x14ac:dyDescent="0.25"/>
    <row r="29327" s="12" customFormat="1" x14ac:dyDescent="0.25"/>
    <row r="29328" s="12" customFormat="1" x14ac:dyDescent="0.25"/>
    <row r="29329" s="12" customFormat="1" x14ac:dyDescent="0.25"/>
    <row r="29330" s="12" customFormat="1" x14ac:dyDescent="0.25"/>
    <row r="29331" s="12" customFormat="1" x14ac:dyDescent="0.25"/>
    <row r="29332" s="12" customFormat="1" x14ac:dyDescent="0.25"/>
    <row r="29333" s="12" customFormat="1" x14ac:dyDescent="0.25"/>
    <row r="29334" s="12" customFormat="1" x14ac:dyDescent="0.25"/>
    <row r="29335" s="12" customFormat="1" x14ac:dyDescent="0.25"/>
    <row r="29336" s="12" customFormat="1" x14ac:dyDescent="0.25"/>
    <row r="29337" s="12" customFormat="1" x14ac:dyDescent="0.25"/>
    <row r="29338" s="12" customFormat="1" x14ac:dyDescent="0.25"/>
    <row r="29339" s="12" customFormat="1" x14ac:dyDescent="0.25"/>
    <row r="29340" s="12" customFormat="1" x14ac:dyDescent="0.25"/>
    <row r="29341" s="12" customFormat="1" x14ac:dyDescent="0.25"/>
    <row r="29342" s="12" customFormat="1" x14ac:dyDescent="0.25"/>
    <row r="29343" s="12" customFormat="1" x14ac:dyDescent="0.25"/>
    <row r="29344" s="12" customFormat="1" x14ac:dyDescent="0.25"/>
    <row r="29345" s="12" customFormat="1" x14ac:dyDescent="0.25"/>
    <row r="29346" s="12" customFormat="1" x14ac:dyDescent="0.25"/>
    <row r="29347" s="12" customFormat="1" x14ac:dyDescent="0.25"/>
    <row r="29348" s="12" customFormat="1" x14ac:dyDescent="0.25"/>
    <row r="29349" s="12" customFormat="1" x14ac:dyDescent="0.25"/>
    <row r="29350" s="12" customFormat="1" x14ac:dyDescent="0.25"/>
    <row r="29351" s="12" customFormat="1" x14ac:dyDescent="0.25"/>
    <row r="29352" s="12" customFormat="1" x14ac:dyDescent="0.25"/>
    <row r="29353" s="12" customFormat="1" x14ac:dyDescent="0.25"/>
    <row r="29354" s="12" customFormat="1" x14ac:dyDescent="0.25"/>
    <row r="29355" s="12" customFormat="1" x14ac:dyDescent="0.25"/>
    <row r="29356" s="12" customFormat="1" x14ac:dyDescent="0.25"/>
    <row r="29357" s="12" customFormat="1" x14ac:dyDescent="0.25"/>
    <row r="29358" s="12" customFormat="1" x14ac:dyDescent="0.25"/>
    <row r="29359" s="12" customFormat="1" x14ac:dyDescent="0.25"/>
    <row r="29360" s="12" customFormat="1" x14ac:dyDescent="0.25"/>
    <row r="29361" s="12" customFormat="1" x14ac:dyDescent="0.25"/>
    <row r="29362" s="12" customFormat="1" x14ac:dyDescent="0.25"/>
    <row r="29363" s="12" customFormat="1" x14ac:dyDescent="0.25"/>
    <row r="29364" s="12" customFormat="1" x14ac:dyDescent="0.25"/>
    <row r="29365" s="12" customFormat="1" x14ac:dyDescent="0.25"/>
    <row r="29366" s="12" customFormat="1" x14ac:dyDescent="0.25"/>
    <row r="29367" s="12" customFormat="1" x14ac:dyDescent="0.25"/>
    <row r="29368" s="12" customFormat="1" x14ac:dyDescent="0.25"/>
    <row r="29369" s="12" customFormat="1" x14ac:dyDescent="0.25"/>
    <row r="29370" s="12" customFormat="1" x14ac:dyDescent="0.25"/>
    <row r="29371" s="12" customFormat="1" x14ac:dyDescent="0.25"/>
    <row r="29372" s="12" customFormat="1" x14ac:dyDescent="0.25"/>
    <row r="29373" s="12" customFormat="1" x14ac:dyDescent="0.25"/>
    <row r="29374" s="12" customFormat="1" x14ac:dyDescent="0.25"/>
    <row r="29375" s="12" customFormat="1" x14ac:dyDescent="0.25"/>
    <row r="29376" s="12" customFormat="1" x14ac:dyDescent="0.25"/>
    <row r="29377" s="12" customFormat="1" x14ac:dyDescent="0.25"/>
    <row r="29378" s="12" customFormat="1" x14ac:dyDescent="0.25"/>
    <row r="29379" s="12" customFormat="1" x14ac:dyDescent="0.25"/>
    <row r="29380" s="12" customFormat="1" x14ac:dyDescent="0.25"/>
    <row r="29381" s="12" customFormat="1" x14ac:dyDescent="0.25"/>
    <row r="29382" s="12" customFormat="1" x14ac:dyDescent="0.25"/>
    <row r="29383" s="12" customFormat="1" x14ac:dyDescent="0.25"/>
    <row r="29384" s="12" customFormat="1" x14ac:dyDescent="0.25"/>
    <row r="29385" s="12" customFormat="1" x14ac:dyDescent="0.25"/>
    <row r="29386" s="12" customFormat="1" x14ac:dyDescent="0.25"/>
    <row r="29387" s="12" customFormat="1" x14ac:dyDescent="0.25"/>
    <row r="29388" s="12" customFormat="1" x14ac:dyDescent="0.25"/>
    <row r="29389" s="12" customFormat="1" x14ac:dyDescent="0.25"/>
    <row r="29390" s="12" customFormat="1" x14ac:dyDescent="0.25"/>
    <row r="29391" s="12" customFormat="1" x14ac:dyDescent="0.25"/>
    <row r="29392" s="12" customFormat="1" x14ac:dyDescent="0.25"/>
    <row r="29393" s="12" customFormat="1" x14ac:dyDescent="0.25"/>
    <row r="29394" s="12" customFormat="1" x14ac:dyDescent="0.25"/>
    <row r="29395" s="12" customFormat="1" x14ac:dyDescent="0.25"/>
    <row r="29396" s="12" customFormat="1" x14ac:dyDescent="0.25"/>
    <row r="29397" s="12" customFormat="1" x14ac:dyDescent="0.25"/>
    <row r="29398" s="12" customFormat="1" x14ac:dyDescent="0.25"/>
    <row r="29399" s="12" customFormat="1" x14ac:dyDescent="0.25"/>
    <row r="29400" s="12" customFormat="1" x14ac:dyDescent="0.25"/>
    <row r="29401" s="12" customFormat="1" x14ac:dyDescent="0.25"/>
    <row r="29402" s="12" customFormat="1" x14ac:dyDescent="0.25"/>
    <row r="29403" s="12" customFormat="1" x14ac:dyDescent="0.25"/>
    <row r="29404" s="12" customFormat="1" x14ac:dyDescent="0.25"/>
    <row r="29405" s="12" customFormat="1" x14ac:dyDescent="0.25"/>
    <row r="29406" s="12" customFormat="1" x14ac:dyDescent="0.25"/>
    <row r="29407" s="12" customFormat="1" x14ac:dyDescent="0.25"/>
    <row r="29408" s="12" customFormat="1" x14ac:dyDescent="0.25"/>
    <row r="29409" s="12" customFormat="1" x14ac:dyDescent="0.25"/>
    <row r="29410" s="12" customFormat="1" x14ac:dyDescent="0.25"/>
    <row r="29411" s="12" customFormat="1" x14ac:dyDescent="0.25"/>
    <row r="29412" s="12" customFormat="1" x14ac:dyDescent="0.25"/>
    <row r="29413" s="12" customFormat="1" x14ac:dyDescent="0.25"/>
    <row r="29414" s="12" customFormat="1" x14ac:dyDescent="0.25"/>
    <row r="29415" s="12" customFormat="1" x14ac:dyDescent="0.25"/>
    <row r="29416" s="12" customFormat="1" x14ac:dyDescent="0.25"/>
    <row r="29417" s="12" customFormat="1" x14ac:dyDescent="0.25"/>
    <row r="29418" s="12" customFormat="1" x14ac:dyDescent="0.25"/>
    <row r="29419" s="12" customFormat="1" x14ac:dyDescent="0.25"/>
    <row r="29420" s="12" customFormat="1" x14ac:dyDescent="0.25"/>
    <row r="29421" s="12" customFormat="1" x14ac:dyDescent="0.25"/>
    <row r="29422" s="12" customFormat="1" x14ac:dyDescent="0.25"/>
    <row r="29423" s="12" customFormat="1" x14ac:dyDescent="0.25"/>
    <row r="29424" s="12" customFormat="1" x14ac:dyDescent="0.25"/>
    <row r="29425" s="12" customFormat="1" x14ac:dyDescent="0.25"/>
    <row r="29426" s="12" customFormat="1" x14ac:dyDescent="0.25"/>
    <row r="29427" s="12" customFormat="1" x14ac:dyDescent="0.25"/>
    <row r="29428" s="12" customFormat="1" x14ac:dyDescent="0.25"/>
    <row r="29429" s="12" customFormat="1" x14ac:dyDescent="0.25"/>
    <row r="29430" s="12" customFormat="1" x14ac:dyDescent="0.25"/>
    <row r="29431" s="12" customFormat="1" x14ac:dyDescent="0.25"/>
    <row r="29432" s="12" customFormat="1" x14ac:dyDescent="0.25"/>
    <row r="29433" s="12" customFormat="1" x14ac:dyDescent="0.25"/>
    <row r="29434" s="12" customFormat="1" x14ac:dyDescent="0.25"/>
    <row r="29435" s="12" customFormat="1" x14ac:dyDescent="0.25"/>
    <row r="29436" s="12" customFormat="1" x14ac:dyDescent="0.25"/>
    <row r="29437" s="12" customFormat="1" x14ac:dyDescent="0.25"/>
    <row r="29438" s="12" customFormat="1" x14ac:dyDescent="0.25"/>
    <row r="29439" s="12" customFormat="1" x14ac:dyDescent="0.25"/>
    <row r="29440" s="12" customFormat="1" x14ac:dyDescent="0.25"/>
    <row r="29441" s="12" customFormat="1" x14ac:dyDescent="0.25"/>
    <row r="29442" s="12" customFormat="1" x14ac:dyDescent="0.25"/>
    <row r="29443" s="12" customFormat="1" x14ac:dyDescent="0.25"/>
    <row r="29444" s="12" customFormat="1" x14ac:dyDescent="0.25"/>
    <row r="29445" s="12" customFormat="1" x14ac:dyDescent="0.25"/>
    <row r="29446" s="12" customFormat="1" x14ac:dyDescent="0.25"/>
    <row r="29447" s="12" customFormat="1" x14ac:dyDescent="0.25"/>
    <row r="29448" s="12" customFormat="1" x14ac:dyDescent="0.25"/>
    <row r="29449" s="12" customFormat="1" x14ac:dyDescent="0.25"/>
    <row r="29450" s="12" customFormat="1" x14ac:dyDescent="0.25"/>
    <row r="29451" s="12" customFormat="1" x14ac:dyDescent="0.25"/>
    <row r="29452" s="12" customFormat="1" x14ac:dyDescent="0.25"/>
    <row r="29453" s="12" customFormat="1" x14ac:dyDescent="0.25"/>
    <row r="29454" s="12" customFormat="1" x14ac:dyDescent="0.25"/>
    <row r="29455" s="12" customFormat="1" x14ac:dyDescent="0.25"/>
    <row r="29456" s="12" customFormat="1" x14ac:dyDescent="0.25"/>
    <row r="29457" s="12" customFormat="1" x14ac:dyDescent="0.25"/>
    <row r="29458" s="12" customFormat="1" x14ac:dyDescent="0.25"/>
    <row r="29459" s="12" customFormat="1" x14ac:dyDescent="0.25"/>
    <row r="29460" s="12" customFormat="1" x14ac:dyDescent="0.25"/>
    <row r="29461" s="12" customFormat="1" x14ac:dyDescent="0.25"/>
    <row r="29462" s="12" customFormat="1" x14ac:dyDescent="0.25"/>
    <row r="29463" s="12" customFormat="1" x14ac:dyDescent="0.25"/>
    <row r="29464" s="12" customFormat="1" x14ac:dyDescent="0.25"/>
    <row r="29465" s="12" customFormat="1" x14ac:dyDescent="0.25"/>
    <row r="29466" s="12" customFormat="1" x14ac:dyDescent="0.25"/>
    <row r="29467" s="12" customFormat="1" x14ac:dyDescent="0.25"/>
    <row r="29468" s="12" customFormat="1" x14ac:dyDescent="0.25"/>
    <row r="29469" s="12" customFormat="1" x14ac:dyDescent="0.25"/>
    <row r="29470" s="12" customFormat="1" x14ac:dyDescent="0.25"/>
    <row r="29471" s="12" customFormat="1" x14ac:dyDescent="0.25"/>
    <row r="29472" s="12" customFormat="1" x14ac:dyDescent="0.25"/>
    <row r="29473" s="12" customFormat="1" x14ac:dyDescent="0.25"/>
    <row r="29474" s="12" customFormat="1" x14ac:dyDescent="0.25"/>
    <row r="29475" s="12" customFormat="1" x14ac:dyDescent="0.25"/>
    <row r="29476" s="12" customFormat="1" x14ac:dyDescent="0.25"/>
    <row r="29477" s="12" customFormat="1" x14ac:dyDescent="0.25"/>
    <row r="29478" s="12" customFormat="1" x14ac:dyDescent="0.25"/>
    <row r="29479" s="12" customFormat="1" x14ac:dyDescent="0.25"/>
    <row r="29480" s="12" customFormat="1" x14ac:dyDescent="0.25"/>
    <row r="29481" s="12" customFormat="1" x14ac:dyDescent="0.25"/>
    <row r="29482" s="12" customFormat="1" x14ac:dyDescent="0.25"/>
    <row r="29483" s="12" customFormat="1" x14ac:dyDescent="0.25"/>
    <row r="29484" s="12" customFormat="1" x14ac:dyDescent="0.25"/>
    <row r="29485" s="12" customFormat="1" x14ac:dyDescent="0.25"/>
    <row r="29486" s="12" customFormat="1" x14ac:dyDescent="0.25"/>
    <row r="29487" s="12" customFormat="1" x14ac:dyDescent="0.25"/>
    <row r="29488" s="12" customFormat="1" x14ac:dyDescent="0.25"/>
    <row r="29489" s="12" customFormat="1" x14ac:dyDescent="0.25"/>
    <row r="29490" s="12" customFormat="1" x14ac:dyDescent="0.25"/>
    <row r="29491" s="12" customFormat="1" x14ac:dyDescent="0.25"/>
    <row r="29492" s="12" customFormat="1" x14ac:dyDescent="0.25"/>
    <row r="29493" s="12" customFormat="1" x14ac:dyDescent="0.25"/>
    <row r="29494" s="12" customFormat="1" x14ac:dyDescent="0.25"/>
    <row r="29495" s="12" customFormat="1" x14ac:dyDescent="0.25"/>
    <row r="29496" s="12" customFormat="1" x14ac:dyDescent="0.25"/>
    <row r="29497" s="12" customFormat="1" x14ac:dyDescent="0.25"/>
    <row r="29498" s="12" customFormat="1" x14ac:dyDescent="0.25"/>
    <row r="29499" s="12" customFormat="1" x14ac:dyDescent="0.25"/>
    <row r="29500" s="12" customFormat="1" x14ac:dyDescent="0.25"/>
    <row r="29501" s="12" customFormat="1" x14ac:dyDescent="0.25"/>
    <row r="29502" s="12" customFormat="1" x14ac:dyDescent="0.25"/>
    <row r="29503" s="12" customFormat="1" x14ac:dyDescent="0.25"/>
    <row r="29504" s="12" customFormat="1" x14ac:dyDescent="0.25"/>
    <row r="29505" s="12" customFormat="1" x14ac:dyDescent="0.25"/>
    <row r="29506" s="12" customFormat="1" x14ac:dyDescent="0.25"/>
    <row r="29507" s="12" customFormat="1" x14ac:dyDescent="0.25"/>
    <row r="29508" s="12" customFormat="1" x14ac:dyDescent="0.25"/>
    <row r="29509" s="12" customFormat="1" x14ac:dyDescent="0.25"/>
    <row r="29510" s="12" customFormat="1" x14ac:dyDescent="0.25"/>
    <row r="29511" s="12" customFormat="1" x14ac:dyDescent="0.25"/>
    <row r="29512" s="12" customFormat="1" x14ac:dyDescent="0.25"/>
    <row r="29513" s="12" customFormat="1" x14ac:dyDescent="0.25"/>
    <row r="29514" s="12" customFormat="1" x14ac:dyDescent="0.25"/>
    <row r="29515" s="12" customFormat="1" x14ac:dyDescent="0.25"/>
    <row r="29516" s="12" customFormat="1" x14ac:dyDescent="0.25"/>
    <row r="29517" s="12" customFormat="1" x14ac:dyDescent="0.25"/>
    <row r="29518" s="12" customFormat="1" x14ac:dyDescent="0.25"/>
    <row r="29519" s="12" customFormat="1" x14ac:dyDescent="0.25"/>
    <row r="29520" s="12" customFormat="1" x14ac:dyDescent="0.25"/>
    <row r="29521" s="12" customFormat="1" x14ac:dyDescent="0.25"/>
    <row r="29522" s="12" customFormat="1" x14ac:dyDescent="0.25"/>
    <row r="29523" s="12" customFormat="1" x14ac:dyDescent="0.25"/>
    <row r="29524" s="12" customFormat="1" x14ac:dyDescent="0.25"/>
    <row r="29525" s="12" customFormat="1" x14ac:dyDescent="0.25"/>
    <row r="29526" s="12" customFormat="1" x14ac:dyDescent="0.25"/>
    <row r="29527" s="12" customFormat="1" x14ac:dyDescent="0.25"/>
    <row r="29528" s="12" customFormat="1" x14ac:dyDescent="0.25"/>
    <row r="29529" s="12" customFormat="1" x14ac:dyDescent="0.25"/>
    <row r="29530" s="12" customFormat="1" x14ac:dyDescent="0.25"/>
    <row r="29531" s="12" customFormat="1" x14ac:dyDescent="0.25"/>
    <row r="29532" s="12" customFormat="1" x14ac:dyDescent="0.25"/>
    <row r="29533" s="12" customFormat="1" x14ac:dyDescent="0.25"/>
    <row r="29534" s="12" customFormat="1" x14ac:dyDescent="0.25"/>
    <row r="29535" s="12" customFormat="1" x14ac:dyDescent="0.25"/>
    <row r="29536" s="12" customFormat="1" x14ac:dyDescent="0.25"/>
    <row r="29537" s="12" customFormat="1" x14ac:dyDescent="0.25"/>
    <row r="29538" s="12" customFormat="1" x14ac:dyDescent="0.25"/>
    <row r="29539" s="12" customFormat="1" x14ac:dyDescent="0.25"/>
    <row r="29540" s="12" customFormat="1" x14ac:dyDescent="0.25"/>
    <row r="29541" s="12" customFormat="1" x14ac:dyDescent="0.25"/>
    <row r="29542" s="12" customFormat="1" x14ac:dyDescent="0.25"/>
    <row r="29543" s="12" customFormat="1" x14ac:dyDescent="0.25"/>
    <row r="29544" s="12" customFormat="1" x14ac:dyDescent="0.25"/>
    <row r="29545" s="12" customFormat="1" x14ac:dyDescent="0.25"/>
    <row r="29546" s="12" customFormat="1" x14ac:dyDescent="0.25"/>
    <row r="29547" s="12" customFormat="1" x14ac:dyDescent="0.25"/>
    <row r="29548" s="12" customFormat="1" x14ac:dyDescent="0.25"/>
    <row r="29549" s="12" customFormat="1" x14ac:dyDescent="0.25"/>
    <row r="29550" s="12" customFormat="1" x14ac:dyDescent="0.25"/>
    <row r="29551" s="12" customFormat="1" x14ac:dyDescent="0.25"/>
    <row r="29552" s="12" customFormat="1" x14ac:dyDescent="0.25"/>
    <row r="29553" s="12" customFormat="1" x14ac:dyDescent="0.25"/>
    <row r="29554" s="12" customFormat="1" x14ac:dyDescent="0.25"/>
    <row r="29555" s="12" customFormat="1" x14ac:dyDescent="0.25"/>
    <row r="29556" s="12" customFormat="1" x14ac:dyDescent="0.25"/>
    <row r="29557" s="12" customFormat="1" x14ac:dyDescent="0.25"/>
    <row r="29558" s="12" customFormat="1" x14ac:dyDescent="0.25"/>
    <row r="29559" s="12" customFormat="1" x14ac:dyDescent="0.25"/>
    <row r="29560" s="12" customFormat="1" x14ac:dyDescent="0.25"/>
    <row r="29561" s="12" customFormat="1" x14ac:dyDescent="0.25"/>
    <row r="29562" s="12" customFormat="1" x14ac:dyDescent="0.25"/>
    <row r="29563" s="12" customFormat="1" x14ac:dyDescent="0.25"/>
    <row r="29564" s="12" customFormat="1" x14ac:dyDescent="0.25"/>
    <row r="29565" s="12" customFormat="1" x14ac:dyDescent="0.25"/>
    <row r="29566" s="12" customFormat="1" x14ac:dyDescent="0.25"/>
    <row r="29567" s="12" customFormat="1" x14ac:dyDescent="0.25"/>
    <row r="29568" s="12" customFormat="1" x14ac:dyDescent="0.25"/>
    <row r="29569" s="12" customFormat="1" x14ac:dyDescent="0.25"/>
    <row r="29570" s="12" customFormat="1" x14ac:dyDescent="0.25"/>
    <row r="29571" s="12" customFormat="1" x14ac:dyDescent="0.25"/>
    <row r="29572" s="12" customFormat="1" x14ac:dyDescent="0.25"/>
    <row r="29573" s="12" customFormat="1" x14ac:dyDescent="0.25"/>
    <row r="29574" s="12" customFormat="1" x14ac:dyDescent="0.25"/>
    <row r="29575" s="12" customFormat="1" x14ac:dyDescent="0.25"/>
    <row r="29576" s="12" customFormat="1" x14ac:dyDescent="0.25"/>
    <row r="29577" s="12" customFormat="1" x14ac:dyDescent="0.25"/>
    <row r="29578" s="12" customFormat="1" x14ac:dyDescent="0.25"/>
    <row r="29579" s="12" customFormat="1" x14ac:dyDescent="0.25"/>
    <row r="29580" s="12" customFormat="1" x14ac:dyDescent="0.25"/>
    <row r="29581" s="12" customFormat="1" x14ac:dyDescent="0.25"/>
    <row r="29582" s="12" customFormat="1" x14ac:dyDescent="0.25"/>
    <row r="29583" s="12" customFormat="1" x14ac:dyDescent="0.25"/>
    <row r="29584" s="12" customFormat="1" x14ac:dyDescent="0.25"/>
    <row r="29585" s="12" customFormat="1" x14ac:dyDescent="0.25"/>
    <row r="29586" s="12" customFormat="1" x14ac:dyDescent="0.25"/>
    <row r="29587" s="12" customFormat="1" x14ac:dyDescent="0.25"/>
    <row r="29588" s="12" customFormat="1" x14ac:dyDescent="0.25"/>
    <row r="29589" s="12" customFormat="1" x14ac:dyDescent="0.25"/>
    <row r="29590" s="12" customFormat="1" x14ac:dyDescent="0.25"/>
    <row r="29591" s="12" customFormat="1" x14ac:dyDescent="0.25"/>
    <row r="29592" s="12" customFormat="1" x14ac:dyDescent="0.25"/>
    <row r="29593" s="12" customFormat="1" x14ac:dyDescent="0.25"/>
    <row r="29594" s="12" customFormat="1" x14ac:dyDescent="0.25"/>
    <row r="29595" s="12" customFormat="1" x14ac:dyDescent="0.25"/>
    <row r="29596" s="12" customFormat="1" x14ac:dyDescent="0.25"/>
    <row r="29597" s="12" customFormat="1" x14ac:dyDescent="0.25"/>
    <row r="29598" s="12" customFormat="1" x14ac:dyDescent="0.25"/>
    <row r="29599" s="12" customFormat="1" x14ac:dyDescent="0.25"/>
    <row r="29600" s="12" customFormat="1" x14ac:dyDescent="0.25"/>
    <row r="29601" s="12" customFormat="1" x14ac:dyDescent="0.25"/>
    <row r="29602" s="12" customFormat="1" x14ac:dyDescent="0.25"/>
    <row r="29603" s="12" customFormat="1" x14ac:dyDescent="0.25"/>
    <row r="29604" s="12" customFormat="1" x14ac:dyDescent="0.25"/>
    <row r="29605" s="12" customFormat="1" x14ac:dyDescent="0.25"/>
    <row r="29606" s="12" customFormat="1" x14ac:dyDescent="0.25"/>
    <row r="29607" s="12" customFormat="1" x14ac:dyDescent="0.25"/>
    <row r="29608" s="12" customFormat="1" x14ac:dyDescent="0.25"/>
    <row r="29609" s="12" customFormat="1" x14ac:dyDescent="0.25"/>
    <row r="29610" s="12" customFormat="1" x14ac:dyDescent="0.25"/>
    <row r="29611" s="12" customFormat="1" x14ac:dyDescent="0.25"/>
    <row r="29612" s="12" customFormat="1" x14ac:dyDescent="0.25"/>
    <row r="29613" s="12" customFormat="1" x14ac:dyDescent="0.25"/>
    <row r="29614" s="12" customFormat="1" x14ac:dyDescent="0.25"/>
    <row r="29615" s="12" customFormat="1" x14ac:dyDescent="0.25"/>
    <row r="29616" s="12" customFormat="1" x14ac:dyDescent="0.25"/>
    <row r="29617" s="12" customFormat="1" x14ac:dyDescent="0.25"/>
    <row r="29618" s="12" customFormat="1" x14ac:dyDescent="0.25"/>
    <row r="29619" s="12" customFormat="1" x14ac:dyDescent="0.25"/>
    <row r="29620" s="12" customFormat="1" x14ac:dyDescent="0.25"/>
    <row r="29621" s="12" customFormat="1" x14ac:dyDescent="0.25"/>
    <row r="29622" s="12" customFormat="1" x14ac:dyDescent="0.25"/>
    <row r="29623" s="12" customFormat="1" x14ac:dyDescent="0.25"/>
    <row r="29624" s="12" customFormat="1" x14ac:dyDescent="0.25"/>
    <row r="29625" s="12" customFormat="1" x14ac:dyDescent="0.25"/>
    <row r="29626" s="12" customFormat="1" x14ac:dyDescent="0.25"/>
    <row r="29627" s="12" customFormat="1" x14ac:dyDescent="0.25"/>
    <row r="29628" s="12" customFormat="1" x14ac:dyDescent="0.25"/>
    <row r="29629" s="12" customFormat="1" x14ac:dyDescent="0.25"/>
    <row r="29630" s="12" customFormat="1" x14ac:dyDescent="0.25"/>
    <row r="29631" s="12" customFormat="1" x14ac:dyDescent="0.25"/>
    <row r="29632" s="12" customFormat="1" x14ac:dyDescent="0.25"/>
    <row r="29633" s="12" customFormat="1" x14ac:dyDescent="0.25"/>
    <row r="29634" s="12" customFormat="1" x14ac:dyDescent="0.25"/>
    <row r="29635" s="12" customFormat="1" x14ac:dyDescent="0.25"/>
    <row r="29636" s="12" customFormat="1" x14ac:dyDescent="0.25"/>
    <row r="29637" s="12" customFormat="1" x14ac:dyDescent="0.25"/>
    <row r="29638" s="12" customFormat="1" x14ac:dyDescent="0.25"/>
    <row r="29639" s="12" customFormat="1" x14ac:dyDescent="0.25"/>
    <row r="29640" s="12" customFormat="1" x14ac:dyDescent="0.25"/>
    <row r="29641" s="12" customFormat="1" x14ac:dyDescent="0.25"/>
    <row r="29642" s="12" customFormat="1" x14ac:dyDescent="0.25"/>
    <row r="29643" s="12" customFormat="1" x14ac:dyDescent="0.25"/>
    <row r="29644" s="12" customFormat="1" x14ac:dyDescent="0.25"/>
    <row r="29645" s="12" customFormat="1" x14ac:dyDescent="0.25"/>
    <row r="29646" s="12" customFormat="1" x14ac:dyDescent="0.25"/>
    <row r="29647" s="12" customFormat="1" x14ac:dyDescent="0.25"/>
    <row r="29648" s="12" customFormat="1" x14ac:dyDescent="0.25"/>
    <row r="29649" s="12" customFormat="1" x14ac:dyDescent="0.25"/>
    <row r="29650" s="12" customFormat="1" x14ac:dyDescent="0.25"/>
    <row r="29651" s="12" customFormat="1" x14ac:dyDescent="0.25"/>
    <row r="29652" s="12" customFormat="1" x14ac:dyDescent="0.25"/>
    <row r="29653" s="12" customFormat="1" x14ac:dyDescent="0.25"/>
    <row r="29654" s="12" customFormat="1" x14ac:dyDescent="0.25"/>
    <row r="29655" s="12" customFormat="1" x14ac:dyDescent="0.25"/>
    <row r="29656" s="12" customFormat="1" x14ac:dyDescent="0.25"/>
    <row r="29657" s="12" customFormat="1" x14ac:dyDescent="0.25"/>
    <row r="29658" s="12" customFormat="1" x14ac:dyDescent="0.25"/>
    <row r="29659" s="12" customFormat="1" x14ac:dyDescent="0.25"/>
    <row r="29660" s="12" customFormat="1" x14ac:dyDescent="0.25"/>
    <row r="29661" s="12" customFormat="1" x14ac:dyDescent="0.25"/>
    <row r="29662" s="12" customFormat="1" x14ac:dyDescent="0.25"/>
    <row r="29663" s="12" customFormat="1" x14ac:dyDescent="0.25"/>
    <row r="29664" s="12" customFormat="1" x14ac:dyDescent="0.25"/>
    <row r="29665" s="12" customFormat="1" x14ac:dyDescent="0.25"/>
    <row r="29666" s="12" customFormat="1" x14ac:dyDescent="0.25"/>
    <row r="29667" s="12" customFormat="1" x14ac:dyDescent="0.25"/>
    <row r="29668" s="12" customFormat="1" x14ac:dyDescent="0.25"/>
    <row r="29669" s="12" customFormat="1" x14ac:dyDescent="0.25"/>
    <row r="29670" s="12" customFormat="1" x14ac:dyDescent="0.25"/>
    <row r="29671" s="12" customFormat="1" x14ac:dyDescent="0.25"/>
    <row r="29672" s="12" customFormat="1" x14ac:dyDescent="0.25"/>
    <row r="29673" s="12" customFormat="1" x14ac:dyDescent="0.25"/>
    <row r="29674" s="12" customFormat="1" x14ac:dyDescent="0.25"/>
    <row r="29675" s="12" customFormat="1" x14ac:dyDescent="0.25"/>
    <row r="29676" s="12" customFormat="1" x14ac:dyDescent="0.25"/>
    <row r="29677" s="12" customFormat="1" x14ac:dyDescent="0.25"/>
    <row r="29678" s="12" customFormat="1" x14ac:dyDescent="0.25"/>
    <row r="29679" s="12" customFormat="1" x14ac:dyDescent="0.25"/>
    <row r="29680" s="12" customFormat="1" x14ac:dyDescent="0.25"/>
    <row r="29681" s="12" customFormat="1" x14ac:dyDescent="0.25"/>
    <row r="29682" s="12" customFormat="1" x14ac:dyDescent="0.25"/>
    <row r="29683" s="12" customFormat="1" x14ac:dyDescent="0.25"/>
    <row r="29684" s="12" customFormat="1" x14ac:dyDescent="0.25"/>
    <row r="29685" s="12" customFormat="1" x14ac:dyDescent="0.25"/>
    <row r="29686" s="12" customFormat="1" x14ac:dyDescent="0.25"/>
    <row r="29687" s="12" customFormat="1" x14ac:dyDescent="0.25"/>
    <row r="29688" s="12" customFormat="1" x14ac:dyDescent="0.25"/>
    <row r="29689" s="12" customFormat="1" x14ac:dyDescent="0.25"/>
    <row r="29690" s="12" customFormat="1" x14ac:dyDescent="0.25"/>
    <row r="29691" s="12" customFormat="1" x14ac:dyDescent="0.25"/>
    <row r="29692" s="12" customFormat="1" x14ac:dyDescent="0.25"/>
    <row r="29693" s="12" customFormat="1" x14ac:dyDescent="0.25"/>
    <row r="29694" s="12" customFormat="1" x14ac:dyDescent="0.25"/>
    <row r="29695" s="12" customFormat="1" x14ac:dyDescent="0.25"/>
    <row r="29696" s="12" customFormat="1" x14ac:dyDescent="0.25"/>
    <row r="29697" s="12" customFormat="1" x14ac:dyDescent="0.25"/>
    <row r="29698" s="12" customFormat="1" x14ac:dyDescent="0.25"/>
    <row r="29699" s="12" customFormat="1" x14ac:dyDescent="0.25"/>
    <row r="29700" s="12" customFormat="1" x14ac:dyDescent="0.25"/>
    <row r="29701" s="12" customFormat="1" x14ac:dyDescent="0.25"/>
    <row r="29702" s="12" customFormat="1" x14ac:dyDescent="0.25"/>
    <row r="29703" s="12" customFormat="1" x14ac:dyDescent="0.25"/>
    <row r="29704" s="12" customFormat="1" x14ac:dyDescent="0.25"/>
    <row r="29705" s="12" customFormat="1" x14ac:dyDescent="0.25"/>
    <row r="29706" s="12" customFormat="1" x14ac:dyDescent="0.25"/>
    <row r="29707" s="12" customFormat="1" x14ac:dyDescent="0.25"/>
    <row r="29708" s="12" customFormat="1" x14ac:dyDescent="0.25"/>
    <row r="29709" s="12" customFormat="1" x14ac:dyDescent="0.25"/>
    <row r="29710" s="12" customFormat="1" x14ac:dyDescent="0.25"/>
    <row r="29711" s="12" customFormat="1" x14ac:dyDescent="0.25"/>
    <row r="29712" s="12" customFormat="1" x14ac:dyDescent="0.25"/>
    <row r="29713" s="12" customFormat="1" x14ac:dyDescent="0.25"/>
    <row r="29714" s="12" customFormat="1" x14ac:dyDescent="0.25"/>
    <row r="29715" s="12" customFormat="1" x14ac:dyDescent="0.25"/>
    <row r="29716" s="12" customFormat="1" x14ac:dyDescent="0.25"/>
    <row r="29717" s="12" customFormat="1" x14ac:dyDescent="0.25"/>
    <row r="29718" s="12" customFormat="1" x14ac:dyDescent="0.25"/>
    <row r="29719" s="12" customFormat="1" x14ac:dyDescent="0.25"/>
    <row r="29720" s="12" customFormat="1" x14ac:dyDescent="0.25"/>
    <row r="29721" s="12" customFormat="1" x14ac:dyDescent="0.25"/>
    <row r="29722" s="12" customFormat="1" x14ac:dyDescent="0.25"/>
    <row r="29723" s="12" customFormat="1" x14ac:dyDescent="0.25"/>
    <row r="29724" s="12" customFormat="1" x14ac:dyDescent="0.25"/>
    <row r="29725" s="12" customFormat="1" x14ac:dyDescent="0.25"/>
    <row r="29726" s="12" customFormat="1" x14ac:dyDescent="0.25"/>
    <row r="29727" s="12" customFormat="1" x14ac:dyDescent="0.25"/>
    <row r="29728" s="12" customFormat="1" x14ac:dyDescent="0.25"/>
    <row r="29729" s="12" customFormat="1" x14ac:dyDescent="0.25"/>
    <row r="29730" s="12" customFormat="1" x14ac:dyDescent="0.25"/>
    <row r="29731" s="12" customFormat="1" x14ac:dyDescent="0.25"/>
    <row r="29732" s="12" customFormat="1" x14ac:dyDescent="0.25"/>
    <row r="29733" s="12" customFormat="1" x14ac:dyDescent="0.25"/>
    <row r="29734" s="12" customFormat="1" x14ac:dyDescent="0.25"/>
    <row r="29735" s="12" customFormat="1" x14ac:dyDescent="0.25"/>
    <row r="29736" s="12" customFormat="1" x14ac:dyDescent="0.25"/>
    <row r="29737" s="12" customFormat="1" x14ac:dyDescent="0.25"/>
    <row r="29738" s="12" customFormat="1" x14ac:dyDescent="0.25"/>
    <row r="29739" s="12" customFormat="1" x14ac:dyDescent="0.25"/>
    <row r="29740" s="12" customFormat="1" x14ac:dyDescent="0.25"/>
    <row r="29741" s="12" customFormat="1" x14ac:dyDescent="0.25"/>
    <row r="29742" s="12" customFormat="1" x14ac:dyDescent="0.25"/>
    <row r="29743" s="12" customFormat="1" x14ac:dyDescent="0.25"/>
    <row r="29744" s="12" customFormat="1" x14ac:dyDescent="0.25"/>
    <row r="29745" s="12" customFormat="1" x14ac:dyDescent="0.25"/>
    <row r="29746" s="12" customFormat="1" x14ac:dyDescent="0.25"/>
    <row r="29747" s="12" customFormat="1" x14ac:dyDescent="0.25"/>
    <row r="29748" s="12" customFormat="1" x14ac:dyDescent="0.25"/>
    <row r="29749" s="12" customFormat="1" x14ac:dyDescent="0.25"/>
    <row r="29750" s="12" customFormat="1" x14ac:dyDescent="0.25"/>
    <row r="29751" s="12" customFormat="1" x14ac:dyDescent="0.25"/>
    <row r="29752" s="12" customFormat="1" x14ac:dyDescent="0.25"/>
    <row r="29753" s="12" customFormat="1" x14ac:dyDescent="0.25"/>
    <row r="29754" s="12" customFormat="1" x14ac:dyDescent="0.25"/>
    <row r="29755" s="12" customFormat="1" x14ac:dyDescent="0.25"/>
    <row r="29756" s="12" customFormat="1" x14ac:dyDescent="0.25"/>
    <row r="29757" s="12" customFormat="1" x14ac:dyDescent="0.25"/>
    <row r="29758" s="12" customFormat="1" x14ac:dyDescent="0.25"/>
    <row r="29759" s="12" customFormat="1" x14ac:dyDescent="0.25"/>
    <row r="29760" s="12" customFormat="1" x14ac:dyDescent="0.25"/>
    <row r="29761" s="12" customFormat="1" x14ac:dyDescent="0.25"/>
    <row r="29762" s="12" customFormat="1" x14ac:dyDescent="0.25"/>
    <row r="29763" s="12" customFormat="1" x14ac:dyDescent="0.25"/>
    <row r="29764" s="12" customFormat="1" x14ac:dyDescent="0.25"/>
    <row r="29765" s="12" customFormat="1" x14ac:dyDescent="0.25"/>
    <row r="29766" s="12" customFormat="1" x14ac:dyDescent="0.25"/>
    <row r="29767" s="12" customFormat="1" x14ac:dyDescent="0.25"/>
    <row r="29768" s="12" customFormat="1" x14ac:dyDescent="0.25"/>
    <row r="29769" s="12" customFormat="1" x14ac:dyDescent="0.25"/>
    <row r="29770" s="12" customFormat="1" x14ac:dyDescent="0.25"/>
    <row r="29771" s="12" customFormat="1" x14ac:dyDescent="0.25"/>
    <row r="29772" s="12" customFormat="1" x14ac:dyDescent="0.25"/>
    <row r="29773" s="12" customFormat="1" x14ac:dyDescent="0.25"/>
    <row r="29774" s="12" customFormat="1" x14ac:dyDescent="0.25"/>
    <row r="29775" s="12" customFormat="1" x14ac:dyDescent="0.25"/>
    <row r="29776" s="12" customFormat="1" x14ac:dyDescent="0.25"/>
    <row r="29777" s="12" customFormat="1" x14ac:dyDescent="0.25"/>
    <row r="29778" s="12" customFormat="1" x14ac:dyDescent="0.25"/>
    <row r="29779" s="12" customFormat="1" x14ac:dyDescent="0.25"/>
    <row r="29780" s="12" customFormat="1" x14ac:dyDescent="0.25"/>
    <row r="29781" s="12" customFormat="1" x14ac:dyDescent="0.25"/>
    <row r="29782" s="12" customFormat="1" x14ac:dyDescent="0.25"/>
    <row r="29783" s="12" customFormat="1" x14ac:dyDescent="0.25"/>
    <row r="29784" s="12" customFormat="1" x14ac:dyDescent="0.25"/>
    <row r="29785" s="12" customFormat="1" x14ac:dyDescent="0.25"/>
    <row r="29786" s="12" customFormat="1" x14ac:dyDescent="0.25"/>
    <row r="29787" s="12" customFormat="1" x14ac:dyDescent="0.25"/>
    <row r="29788" s="12" customFormat="1" x14ac:dyDescent="0.25"/>
    <row r="29789" s="12" customFormat="1" x14ac:dyDescent="0.25"/>
    <row r="29790" s="12" customFormat="1" x14ac:dyDescent="0.25"/>
    <row r="29791" s="12" customFormat="1" x14ac:dyDescent="0.25"/>
    <row r="29792" s="12" customFormat="1" x14ac:dyDescent="0.25"/>
    <row r="29793" s="12" customFormat="1" x14ac:dyDescent="0.25"/>
    <row r="29794" s="12" customFormat="1" x14ac:dyDescent="0.25"/>
    <row r="29795" s="12" customFormat="1" x14ac:dyDescent="0.25"/>
    <row r="29796" s="12" customFormat="1" x14ac:dyDescent="0.25"/>
    <row r="29797" s="12" customFormat="1" x14ac:dyDescent="0.25"/>
    <row r="29798" s="12" customFormat="1" x14ac:dyDescent="0.25"/>
    <row r="29799" s="12" customFormat="1" x14ac:dyDescent="0.25"/>
    <row r="29800" s="12" customFormat="1" x14ac:dyDescent="0.25"/>
    <row r="29801" s="12" customFormat="1" x14ac:dyDescent="0.25"/>
    <row r="29802" s="12" customFormat="1" x14ac:dyDescent="0.25"/>
    <row r="29803" s="12" customFormat="1" x14ac:dyDescent="0.25"/>
    <row r="29804" s="12" customFormat="1" x14ac:dyDescent="0.25"/>
    <row r="29805" s="12" customFormat="1" x14ac:dyDescent="0.25"/>
    <row r="29806" s="12" customFormat="1" x14ac:dyDescent="0.25"/>
    <row r="29807" s="12" customFormat="1" x14ac:dyDescent="0.25"/>
    <row r="29808" s="12" customFormat="1" x14ac:dyDescent="0.25"/>
    <row r="29809" s="12" customFormat="1" x14ac:dyDescent="0.25"/>
    <row r="29810" s="12" customFormat="1" x14ac:dyDescent="0.25"/>
    <row r="29811" s="12" customFormat="1" x14ac:dyDescent="0.25"/>
    <row r="29812" s="12" customFormat="1" x14ac:dyDescent="0.25"/>
    <row r="29813" s="12" customFormat="1" x14ac:dyDescent="0.25"/>
    <row r="29814" s="12" customFormat="1" x14ac:dyDescent="0.25"/>
    <row r="29815" s="12" customFormat="1" x14ac:dyDescent="0.25"/>
    <row r="29816" s="12" customFormat="1" x14ac:dyDescent="0.25"/>
    <row r="29817" s="12" customFormat="1" x14ac:dyDescent="0.25"/>
    <row r="29818" s="12" customFormat="1" x14ac:dyDescent="0.25"/>
    <row r="29819" s="12" customFormat="1" x14ac:dyDescent="0.25"/>
    <row r="29820" s="12" customFormat="1" x14ac:dyDescent="0.25"/>
    <row r="29821" s="12" customFormat="1" x14ac:dyDescent="0.25"/>
    <row r="29822" s="12" customFormat="1" x14ac:dyDescent="0.25"/>
    <row r="29823" s="12" customFormat="1" x14ac:dyDescent="0.25"/>
    <row r="29824" s="12" customFormat="1" x14ac:dyDescent="0.25"/>
    <row r="29825" s="12" customFormat="1" x14ac:dyDescent="0.25"/>
    <row r="29826" s="12" customFormat="1" x14ac:dyDescent="0.25"/>
    <row r="29827" s="12" customFormat="1" x14ac:dyDescent="0.25"/>
    <row r="29828" s="12" customFormat="1" x14ac:dyDescent="0.25"/>
    <row r="29829" s="12" customFormat="1" x14ac:dyDescent="0.25"/>
    <row r="29830" s="12" customFormat="1" x14ac:dyDescent="0.25"/>
    <row r="29831" s="12" customFormat="1" x14ac:dyDescent="0.25"/>
    <row r="29832" s="12" customFormat="1" x14ac:dyDescent="0.25"/>
    <row r="29833" s="12" customFormat="1" x14ac:dyDescent="0.25"/>
    <row r="29834" s="12" customFormat="1" x14ac:dyDescent="0.25"/>
    <row r="29835" s="12" customFormat="1" x14ac:dyDescent="0.25"/>
    <row r="29836" s="12" customFormat="1" x14ac:dyDescent="0.25"/>
    <row r="29837" s="12" customFormat="1" x14ac:dyDescent="0.25"/>
    <row r="29838" s="12" customFormat="1" x14ac:dyDescent="0.25"/>
    <row r="29839" s="12" customFormat="1" x14ac:dyDescent="0.25"/>
    <row r="29840" s="12" customFormat="1" x14ac:dyDescent="0.25"/>
    <row r="29841" s="12" customFormat="1" x14ac:dyDescent="0.25"/>
    <row r="29842" s="12" customFormat="1" x14ac:dyDescent="0.25"/>
    <row r="29843" s="12" customFormat="1" x14ac:dyDescent="0.25"/>
    <row r="29844" s="12" customFormat="1" x14ac:dyDescent="0.25"/>
    <row r="29845" s="12" customFormat="1" x14ac:dyDescent="0.25"/>
    <row r="29846" s="12" customFormat="1" x14ac:dyDescent="0.25"/>
    <row r="29847" s="12" customFormat="1" x14ac:dyDescent="0.25"/>
    <row r="29848" s="12" customFormat="1" x14ac:dyDescent="0.25"/>
    <row r="29849" s="12" customFormat="1" x14ac:dyDescent="0.25"/>
    <row r="29850" s="12" customFormat="1" x14ac:dyDescent="0.25"/>
    <row r="29851" s="12" customFormat="1" x14ac:dyDescent="0.25"/>
    <row r="29852" s="12" customFormat="1" x14ac:dyDescent="0.25"/>
    <row r="29853" s="12" customFormat="1" x14ac:dyDescent="0.25"/>
    <row r="29854" s="12" customFormat="1" x14ac:dyDescent="0.25"/>
    <row r="29855" s="12" customFormat="1" x14ac:dyDescent="0.25"/>
    <row r="29856" s="12" customFormat="1" x14ac:dyDescent="0.25"/>
    <row r="29857" s="12" customFormat="1" x14ac:dyDescent="0.25"/>
    <row r="29858" s="12" customFormat="1" x14ac:dyDescent="0.25"/>
    <row r="29859" s="12" customFormat="1" x14ac:dyDescent="0.25"/>
    <row r="29860" s="12" customFormat="1" x14ac:dyDescent="0.25"/>
    <row r="29861" s="12" customFormat="1" x14ac:dyDescent="0.25"/>
    <row r="29862" s="12" customFormat="1" x14ac:dyDescent="0.25"/>
    <row r="29863" s="12" customFormat="1" x14ac:dyDescent="0.25"/>
    <row r="29864" s="12" customFormat="1" x14ac:dyDescent="0.25"/>
    <row r="29865" s="12" customFormat="1" x14ac:dyDescent="0.25"/>
    <row r="29866" s="12" customFormat="1" x14ac:dyDescent="0.25"/>
    <row r="29867" s="12" customFormat="1" x14ac:dyDescent="0.25"/>
    <row r="29868" s="12" customFormat="1" x14ac:dyDescent="0.25"/>
    <row r="29869" s="12" customFormat="1" x14ac:dyDescent="0.25"/>
    <row r="29870" s="12" customFormat="1" x14ac:dyDescent="0.25"/>
    <row r="29871" s="12" customFormat="1" x14ac:dyDescent="0.25"/>
    <row r="29872" s="12" customFormat="1" x14ac:dyDescent="0.25"/>
    <row r="29873" s="12" customFormat="1" x14ac:dyDescent="0.25"/>
    <row r="29874" s="12" customFormat="1" x14ac:dyDescent="0.25"/>
    <row r="29875" s="12" customFormat="1" x14ac:dyDescent="0.25"/>
    <row r="29876" s="12" customFormat="1" x14ac:dyDescent="0.25"/>
    <row r="29877" s="12" customFormat="1" x14ac:dyDescent="0.25"/>
    <row r="29878" s="12" customFormat="1" x14ac:dyDescent="0.25"/>
    <row r="29879" s="12" customFormat="1" x14ac:dyDescent="0.25"/>
    <row r="29880" s="12" customFormat="1" x14ac:dyDescent="0.25"/>
    <row r="29881" s="12" customFormat="1" x14ac:dyDescent="0.25"/>
    <row r="29882" s="12" customFormat="1" x14ac:dyDescent="0.25"/>
    <row r="29883" s="12" customFormat="1" x14ac:dyDescent="0.25"/>
    <row r="29884" s="12" customFormat="1" x14ac:dyDescent="0.25"/>
    <row r="29885" s="12" customFormat="1" x14ac:dyDescent="0.25"/>
    <row r="29886" s="12" customFormat="1" x14ac:dyDescent="0.25"/>
    <row r="29887" s="12" customFormat="1" x14ac:dyDescent="0.25"/>
    <row r="29888" s="12" customFormat="1" x14ac:dyDescent="0.25"/>
    <row r="29889" s="12" customFormat="1" x14ac:dyDescent="0.25"/>
    <row r="29890" s="12" customFormat="1" x14ac:dyDescent="0.25"/>
    <row r="29891" s="12" customFormat="1" x14ac:dyDescent="0.25"/>
    <row r="29892" s="12" customFormat="1" x14ac:dyDescent="0.25"/>
    <row r="29893" s="12" customFormat="1" x14ac:dyDescent="0.25"/>
    <row r="29894" s="12" customFormat="1" x14ac:dyDescent="0.25"/>
    <row r="29895" s="12" customFormat="1" x14ac:dyDescent="0.25"/>
    <row r="29896" s="12" customFormat="1" x14ac:dyDescent="0.25"/>
    <row r="29897" s="12" customFormat="1" x14ac:dyDescent="0.25"/>
    <row r="29898" s="12" customFormat="1" x14ac:dyDescent="0.25"/>
    <row r="29899" s="12" customFormat="1" x14ac:dyDescent="0.25"/>
    <row r="29900" s="12" customFormat="1" x14ac:dyDescent="0.25"/>
    <row r="29901" s="12" customFormat="1" x14ac:dyDescent="0.25"/>
    <row r="29902" s="12" customFormat="1" x14ac:dyDescent="0.25"/>
    <row r="29903" s="12" customFormat="1" x14ac:dyDescent="0.25"/>
    <row r="29904" s="12" customFormat="1" x14ac:dyDescent="0.25"/>
    <row r="29905" s="12" customFormat="1" x14ac:dyDescent="0.25"/>
    <row r="29906" s="12" customFormat="1" x14ac:dyDescent="0.25"/>
    <row r="29907" s="12" customFormat="1" x14ac:dyDescent="0.25"/>
    <row r="29908" s="12" customFormat="1" x14ac:dyDescent="0.25"/>
    <row r="29909" s="12" customFormat="1" x14ac:dyDescent="0.25"/>
    <row r="29910" s="12" customFormat="1" x14ac:dyDescent="0.25"/>
    <row r="29911" s="12" customFormat="1" x14ac:dyDescent="0.25"/>
    <row r="29912" s="12" customFormat="1" x14ac:dyDescent="0.25"/>
    <row r="29913" s="12" customFormat="1" x14ac:dyDescent="0.25"/>
    <row r="29914" s="12" customFormat="1" x14ac:dyDescent="0.25"/>
    <row r="29915" s="12" customFormat="1" x14ac:dyDescent="0.25"/>
    <row r="29916" s="12" customFormat="1" x14ac:dyDescent="0.25"/>
    <row r="29917" s="12" customFormat="1" x14ac:dyDescent="0.25"/>
    <row r="29918" s="12" customFormat="1" x14ac:dyDescent="0.25"/>
    <row r="29919" s="12" customFormat="1" x14ac:dyDescent="0.25"/>
    <row r="29920" s="12" customFormat="1" x14ac:dyDescent="0.25"/>
    <row r="29921" s="12" customFormat="1" x14ac:dyDescent="0.25"/>
    <row r="29922" s="12" customFormat="1" x14ac:dyDescent="0.25"/>
    <row r="29923" s="12" customFormat="1" x14ac:dyDescent="0.25"/>
    <row r="29924" s="12" customFormat="1" x14ac:dyDescent="0.25"/>
    <row r="29925" s="12" customFormat="1" x14ac:dyDescent="0.25"/>
    <row r="29926" s="12" customFormat="1" x14ac:dyDescent="0.25"/>
    <row r="29927" s="12" customFormat="1" x14ac:dyDescent="0.25"/>
    <row r="29928" s="12" customFormat="1" x14ac:dyDescent="0.25"/>
    <row r="29929" s="12" customFormat="1" x14ac:dyDescent="0.25"/>
    <row r="29930" s="12" customFormat="1" x14ac:dyDescent="0.25"/>
    <row r="29931" s="12" customFormat="1" x14ac:dyDescent="0.25"/>
    <row r="29932" s="12" customFormat="1" x14ac:dyDescent="0.25"/>
    <row r="29933" s="12" customFormat="1" x14ac:dyDescent="0.25"/>
    <row r="29934" s="12" customFormat="1" x14ac:dyDescent="0.25"/>
    <row r="29935" s="12" customFormat="1" x14ac:dyDescent="0.25"/>
    <row r="29936" s="12" customFormat="1" x14ac:dyDescent="0.25"/>
    <row r="29937" s="12" customFormat="1" x14ac:dyDescent="0.25"/>
    <row r="29938" s="12" customFormat="1" x14ac:dyDescent="0.25"/>
    <row r="29939" s="12" customFormat="1" x14ac:dyDescent="0.25"/>
    <row r="29940" s="12" customFormat="1" x14ac:dyDescent="0.25"/>
    <row r="29941" s="12" customFormat="1" x14ac:dyDescent="0.25"/>
    <row r="29942" s="12" customFormat="1" x14ac:dyDescent="0.25"/>
    <row r="29943" s="12" customFormat="1" x14ac:dyDescent="0.25"/>
    <row r="29944" s="12" customFormat="1" x14ac:dyDescent="0.25"/>
    <row r="29945" s="12" customFormat="1" x14ac:dyDescent="0.25"/>
    <row r="29946" s="12" customFormat="1" x14ac:dyDescent="0.25"/>
    <row r="29947" s="12" customFormat="1" x14ac:dyDescent="0.25"/>
    <row r="29948" s="12" customFormat="1" x14ac:dyDescent="0.25"/>
    <row r="29949" s="12" customFormat="1" x14ac:dyDescent="0.25"/>
    <row r="29950" s="12" customFormat="1" x14ac:dyDescent="0.25"/>
    <row r="29951" s="12" customFormat="1" x14ac:dyDescent="0.25"/>
    <row r="29952" s="12" customFormat="1" x14ac:dyDescent="0.25"/>
    <row r="29953" s="12" customFormat="1" x14ac:dyDescent="0.25"/>
    <row r="29954" s="12" customFormat="1" x14ac:dyDescent="0.25"/>
    <row r="29955" s="12" customFormat="1" x14ac:dyDescent="0.25"/>
    <row r="29956" s="12" customFormat="1" x14ac:dyDescent="0.25"/>
    <row r="29957" s="12" customFormat="1" x14ac:dyDescent="0.25"/>
    <row r="29958" s="12" customFormat="1" x14ac:dyDescent="0.25"/>
    <row r="29959" s="12" customFormat="1" x14ac:dyDescent="0.25"/>
    <row r="29960" s="12" customFormat="1" x14ac:dyDescent="0.25"/>
    <row r="29961" s="12" customFormat="1" x14ac:dyDescent="0.25"/>
    <row r="29962" s="12" customFormat="1" x14ac:dyDescent="0.25"/>
    <row r="29963" s="12" customFormat="1" x14ac:dyDescent="0.25"/>
    <row r="29964" s="12" customFormat="1" x14ac:dyDescent="0.25"/>
    <row r="29965" s="12" customFormat="1" x14ac:dyDescent="0.25"/>
    <row r="29966" s="12" customFormat="1" x14ac:dyDescent="0.25"/>
    <row r="29967" s="12" customFormat="1" x14ac:dyDescent="0.25"/>
    <row r="29968" s="12" customFormat="1" x14ac:dyDescent="0.25"/>
    <row r="29969" s="12" customFormat="1" x14ac:dyDescent="0.25"/>
    <row r="29970" s="12" customFormat="1" x14ac:dyDescent="0.25"/>
    <row r="29971" s="12" customFormat="1" x14ac:dyDescent="0.25"/>
    <row r="29972" s="12" customFormat="1" x14ac:dyDescent="0.25"/>
    <row r="29973" s="12" customFormat="1" x14ac:dyDescent="0.25"/>
    <row r="29974" s="12" customFormat="1" x14ac:dyDescent="0.25"/>
    <row r="29975" s="12" customFormat="1" x14ac:dyDescent="0.25"/>
    <row r="29976" s="12" customFormat="1" x14ac:dyDescent="0.25"/>
    <row r="29977" s="12" customFormat="1" x14ac:dyDescent="0.25"/>
    <row r="29978" s="12" customFormat="1" x14ac:dyDescent="0.25"/>
    <row r="29979" s="12" customFormat="1" x14ac:dyDescent="0.25"/>
    <row r="29980" s="12" customFormat="1" x14ac:dyDescent="0.25"/>
    <row r="29981" s="12" customFormat="1" x14ac:dyDescent="0.25"/>
    <row r="29982" s="12" customFormat="1" x14ac:dyDescent="0.25"/>
    <row r="29983" s="12" customFormat="1" x14ac:dyDescent="0.25"/>
    <row r="29984" s="12" customFormat="1" x14ac:dyDescent="0.25"/>
    <row r="29985" s="12" customFormat="1" x14ac:dyDescent="0.25"/>
    <row r="29986" s="12" customFormat="1" x14ac:dyDescent="0.25"/>
    <row r="29987" s="12" customFormat="1" x14ac:dyDescent="0.25"/>
    <row r="29988" s="12" customFormat="1" x14ac:dyDescent="0.25"/>
    <row r="29989" s="12" customFormat="1" x14ac:dyDescent="0.25"/>
    <row r="29990" s="12" customFormat="1" x14ac:dyDescent="0.25"/>
    <row r="29991" s="12" customFormat="1" x14ac:dyDescent="0.25"/>
    <row r="29992" s="12" customFormat="1" x14ac:dyDescent="0.25"/>
    <row r="29993" s="12" customFormat="1" x14ac:dyDescent="0.25"/>
    <row r="29994" s="12" customFormat="1" x14ac:dyDescent="0.25"/>
    <row r="29995" s="12" customFormat="1" x14ac:dyDescent="0.25"/>
    <row r="29996" s="12" customFormat="1" x14ac:dyDescent="0.25"/>
    <row r="29997" s="12" customFormat="1" x14ac:dyDescent="0.25"/>
    <row r="29998" s="12" customFormat="1" x14ac:dyDescent="0.25"/>
    <row r="29999" s="12" customFormat="1" x14ac:dyDescent="0.25"/>
    <row r="30000" s="12" customFormat="1" x14ac:dyDescent="0.25"/>
    <row r="30001" s="12" customFormat="1" x14ac:dyDescent="0.25"/>
    <row r="30002" s="12" customFormat="1" x14ac:dyDescent="0.25"/>
    <row r="30003" s="12" customFormat="1" x14ac:dyDescent="0.25"/>
    <row r="30004" s="12" customFormat="1" x14ac:dyDescent="0.25"/>
    <row r="30005" s="12" customFormat="1" x14ac:dyDescent="0.25"/>
    <row r="30006" s="12" customFormat="1" x14ac:dyDescent="0.25"/>
    <row r="30007" s="12" customFormat="1" x14ac:dyDescent="0.25"/>
    <row r="30008" s="12" customFormat="1" x14ac:dyDescent="0.25"/>
    <row r="30009" s="12" customFormat="1" x14ac:dyDescent="0.25"/>
    <row r="30010" s="12" customFormat="1" x14ac:dyDescent="0.25"/>
    <row r="30011" s="12" customFormat="1" x14ac:dyDescent="0.25"/>
    <row r="30012" s="12" customFormat="1" x14ac:dyDescent="0.25"/>
    <row r="30013" s="12" customFormat="1" x14ac:dyDescent="0.25"/>
    <row r="30014" s="12" customFormat="1" x14ac:dyDescent="0.25"/>
    <row r="30015" s="12" customFormat="1" x14ac:dyDescent="0.25"/>
    <row r="30016" s="12" customFormat="1" x14ac:dyDescent="0.25"/>
    <row r="30017" s="12" customFormat="1" x14ac:dyDescent="0.25"/>
    <row r="30018" s="12" customFormat="1" x14ac:dyDescent="0.25"/>
    <row r="30019" s="12" customFormat="1" x14ac:dyDescent="0.25"/>
    <row r="30020" s="12" customFormat="1" x14ac:dyDescent="0.25"/>
    <row r="30021" s="12" customFormat="1" x14ac:dyDescent="0.25"/>
    <row r="30022" s="12" customFormat="1" x14ac:dyDescent="0.25"/>
    <row r="30023" s="12" customFormat="1" x14ac:dyDescent="0.25"/>
    <row r="30024" s="12" customFormat="1" x14ac:dyDescent="0.25"/>
    <row r="30025" s="12" customFormat="1" x14ac:dyDescent="0.25"/>
    <row r="30026" s="12" customFormat="1" x14ac:dyDescent="0.25"/>
    <row r="30027" s="12" customFormat="1" x14ac:dyDescent="0.25"/>
    <row r="30028" s="12" customFormat="1" x14ac:dyDescent="0.25"/>
    <row r="30029" s="12" customFormat="1" x14ac:dyDescent="0.25"/>
    <row r="30030" s="12" customFormat="1" x14ac:dyDescent="0.25"/>
    <row r="30031" s="12" customFormat="1" x14ac:dyDescent="0.25"/>
    <row r="30032" s="12" customFormat="1" x14ac:dyDescent="0.25"/>
    <row r="30033" s="12" customFormat="1" x14ac:dyDescent="0.25"/>
    <row r="30034" s="12" customFormat="1" x14ac:dyDescent="0.25"/>
    <row r="30035" s="12" customFormat="1" x14ac:dyDescent="0.25"/>
    <row r="30036" s="12" customFormat="1" x14ac:dyDescent="0.25"/>
    <row r="30037" s="12" customFormat="1" x14ac:dyDescent="0.25"/>
    <row r="30038" s="12" customFormat="1" x14ac:dyDescent="0.25"/>
    <row r="30039" s="12" customFormat="1" x14ac:dyDescent="0.25"/>
    <row r="30040" s="12" customFormat="1" x14ac:dyDescent="0.25"/>
    <row r="30041" s="12" customFormat="1" x14ac:dyDescent="0.25"/>
    <row r="30042" s="12" customFormat="1" x14ac:dyDescent="0.25"/>
    <row r="30043" s="12" customFormat="1" x14ac:dyDescent="0.25"/>
    <row r="30044" s="12" customFormat="1" x14ac:dyDescent="0.25"/>
    <row r="30045" s="12" customFormat="1" x14ac:dyDescent="0.25"/>
    <row r="30046" s="12" customFormat="1" x14ac:dyDescent="0.25"/>
    <row r="30047" s="12" customFormat="1" x14ac:dyDescent="0.25"/>
    <row r="30048" s="12" customFormat="1" x14ac:dyDescent="0.25"/>
    <row r="30049" s="12" customFormat="1" x14ac:dyDescent="0.25"/>
    <row r="30050" s="12" customFormat="1" x14ac:dyDescent="0.25"/>
    <row r="30051" s="12" customFormat="1" x14ac:dyDescent="0.25"/>
    <row r="30052" s="12" customFormat="1" x14ac:dyDescent="0.25"/>
    <row r="30053" s="12" customFormat="1" x14ac:dyDescent="0.25"/>
    <row r="30054" s="12" customFormat="1" x14ac:dyDescent="0.25"/>
    <row r="30055" s="12" customFormat="1" x14ac:dyDescent="0.25"/>
    <row r="30056" s="12" customFormat="1" x14ac:dyDescent="0.25"/>
    <row r="30057" s="12" customFormat="1" x14ac:dyDescent="0.25"/>
    <row r="30058" s="12" customFormat="1" x14ac:dyDescent="0.25"/>
    <row r="30059" s="12" customFormat="1" x14ac:dyDescent="0.25"/>
    <row r="30060" s="12" customFormat="1" x14ac:dyDescent="0.25"/>
    <row r="30061" s="12" customFormat="1" x14ac:dyDescent="0.25"/>
    <row r="30062" s="12" customFormat="1" x14ac:dyDescent="0.25"/>
    <row r="30063" s="12" customFormat="1" x14ac:dyDescent="0.25"/>
    <row r="30064" s="12" customFormat="1" x14ac:dyDescent="0.25"/>
    <row r="30065" s="12" customFormat="1" x14ac:dyDescent="0.25"/>
    <row r="30066" s="12" customFormat="1" x14ac:dyDescent="0.25"/>
    <row r="30067" s="12" customFormat="1" x14ac:dyDescent="0.25"/>
    <row r="30068" s="12" customFormat="1" x14ac:dyDescent="0.25"/>
    <row r="30069" s="12" customFormat="1" x14ac:dyDescent="0.25"/>
    <row r="30070" s="12" customFormat="1" x14ac:dyDescent="0.25"/>
    <row r="30071" s="12" customFormat="1" x14ac:dyDescent="0.25"/>
    <row r="30072" s="12" customFormat="1" x14ac:dyDescent="0.25"/>
    <row r="30073" s="12" customFormat="1" x14ac:dyDescent="0.25"/>
    <row r="30074" s="12" customFormat="1" x14ac:dyDescent="0.25"/>
    <row r="30075" s="12" customFormat="1" x14ac:dyDescent="0.25"/>
    <row r="30076" s="12" customFormat="1" x14ac:dyDescent="0.25"/>
    <row r="30077" s="12" customFormat="1" x14ac:dyDescent="0.25"/>
    <row r="30078" s="12" customFormat="1" x14ac:dyDescent="0.25"/>
    <row r="30079" s="12" customFormat="1" x14ac:dyDescent="0.25"/>
    <row r="30080" s="12" customFormat="1" x14ac:dyDescent="0.25"/>
    <row r="30081" s="12" customFormat="1" x14ac:dyDescent="0.25"/>
    <row r="30082" s="12" customFormat="1" x14ac:dyDescent="0.25"/>
    <row r="30083" s="12" customFormat="1" x14ac:dyDescent="0.25"/>
    <row r="30084" s="12" customFormat="1" x14ac:dyDescent="0.25"/>
    <row r="30085" s="12" customFormat="1" x14ac:dyDescent="0.25"/>
    <row r="30086" s="12" customFormat="1" x14ac:dyDescent="0.25"/>
    <row r="30087" s="12" customFormat="1" x14ac:dyDescent="0.25"/>
    <row r="30088" s="12" customFormat="1" x14ac:dyDescent="0.25"/>
    <row r="30089" s="12" customFormat="1" x14ac:dyDescent="0.25"/>
    <row r="30090" s="12" customFormat="1" x14ac:dyDescent="0.25"/>
    <row r="30091" s="12" customFormat="1" x14ac:dyDescent="0.25"/>
    <row r="30092" s="12" customFormat="1" x14ac:dyDescent="0.25"/>
    <row r="30093" s="12" customFormat="1" x14ac:dyDescent="0.25"/>
    <row r="30094" s="12" customFormat="1" x14ac:dyDescent="0.25"/>
    <row r="30095" s="12" customFormat="1" x14ac:dyDescent="0.25"/>
    <row r="30096" s="12" customFormat="1" x14ac:dyDescent="0.25"/>
    <row r="30097" s="12" customFormat="1" x14ac:dyDescent="0.25"/>
    <row r="30098" s="12" customFormat="1" x14ac:dyDescent="0.25"/>
    <row r="30099" s="12" customFormat="1" x14ac:dyDescent="0.25"/>
    <row r="30100" s="12" customFormat="1" x14ac:dyDescent="0.25"/>
    <row r="30101" s="12" customFormat="1" x14ac:dyDescent="0.25"/>
    <row r="30102" s="12" customFormat="1" x14ac:dyDescent="0.25"/>
    <row r="30103" s="12" customFormat="1" x14ac:dyDescent="0.25"/>
    <row r="30104" s="12" customFormat="1" x14ac:dyDescent="0.25"/>
    <row r="30105" s="12" customFormat="1" x14ac:dyDescent="0.25"/>
    <row r="30106" s="12" customFormat="1" x14ac:dyDescent="0.25"/>
    <row r="30107" s="12" customFormat="1" x14ac:dyDescent="0.25"/>
    <row r="30108" s="12" customFormat="1" x14ac:dyDescent="0.25"/>
    <row r="30109" s="12" customFormat="1" x14ac:dyDescent="0.25"/>
    <row r="30110" s="12" customFormat="1" x14ac:dyDescent="0.25"/>
    <row r="30111" s="12" customFormat="1" x14ac:dyDescent="0.25"/>
    <row r="30112" s="12" customFormat="1" x14ac:dyDescent="0.25"/>
    <row r="30113" s="12" customFormat="1" x14ac:dyDescent="0.25"/>
    <row r="30114" s="12" customFormat="1" x14ac:dyDescent="0.25"/>
    <row r="30115" s="12" customFormat="1" x14ac:dyDescent="0.25"/>
    <row r="30116" s="12" customFormat="1" x14ac:dyDescent="0.25"/>
    <row r="30117" s="12" customFormat="1" x14ac:dyDescent="0.25"/>
    <row r="30118" s="12" customFormat="1" x14ac:dyDescent="0.25"/>
    <row r="30119" s="12" customFormat="1" x14ac:dyDescent="0.25"/>
    <row r="30120" s="12" customFormat="1" x14ac:dyDescent="0.25"/>
    <row r="30121" s="12" customFormat="1" x14ac:dyDescent="0.25"/>
    <row r="30122" s="12" customFormat="1" x14ac:dyDescent="0.25"/>
    <row r="30123" s="12" customFormat="1" x14ac:dyDescent="0.25"/>
    <row r="30124" s="12" customFormat="1" x14ac:dyDescent="0.25"/>
    <row r="30125" s="12" customFormat="1" x14ac:dyDescent="0.25"/>
    <row r="30126" s="12" customFormat="1" x14ac:dyDescent="0.25"/>
    <row r="30127" s="12" customFormat="1" x14ac:dyDescent="0.25"/>
    <row r="30128" s="12" customFormat="1" x14ac:dyDescent="0.25"/>
    <row r="30129" s="12" customFormat="1" x14ac:dyDescent="0.25"/>
    <row r="30130" s="12" customFormat="1" x14ac:dyDescent="0.25"/>
    <row r="30131" s="12" customFormat="1" x14ac:dyDescent="0.25"/>
    <row r="30132" s="12" customFormat="1" x14ac:dyDescent="0.25"/>
    <row r="30133" s="12" customFormat="1" x14ac:dyDescent="0.25"/>
    <row r="30134" s="12" customFormat="1" x14ac:dyDescent="0.25"/>
    <row r="30135" s="12" customFormat="1" x14ac:dyDescent="0.25"/>
    <row r="30136" s="12" customFormat="1" x14ac:dyDescent="0.25"/>
    <row r="30137" s="12" customFormat="1" x14ac:dyDescent="0.25"/>
    <row r="30138" s="12" customFormat="1" x14ac:dyDescent="0.25"/>
    <row r="30139" s="12" customFormat="1" x14ac:dyDescent="0.25"/>
    <row r="30140" s="12" customFormat="1" x14ac:dyDescent="0.25"/>
    <row r="30141" s="12" customFormat="1" x14ac:dyDescent="0.25"/>
    <row r="30142" s="12" customFormat="1" x14ac:dyDescent="0.25"/>
    <row r="30143" s="12" customFormat="1" x14ac:dyDescent="0.25"/>
    <row r="30144" s="12" customFormat="1" x14ac:dyDescent="0.25"/>
    <row r="30145" s="12" customFormat="1" x14ac:dyDescent="0.25"/>
    <row r="30146" s="12" customFormat="1" x14ac:dyDescent="0.25"/>
    <row r="30147" s="12" customFormat="1" x14ac:dyDescent="0.25"/>
    <row r="30148" s="12" customFormat="1" x14ac:dyDescent="0.25"/>
    <row r="30149" s="12" customFormat="1" x14ac:dyDescent="0.25"/>
    <row r="30150" s="12" customFormat="1" x14ac:dyDescent="0.25"/>
    <row r="30151" s="12" customFormat="1" x14ac:dyDescent="0.25"/>
    <row r="30152" s="12" customFormat="1" x14ac:dyDescent="0.25"/>
    <row r="30153" s="12" customFormat="1" x14ac:dyDescent="0.25"/>
    <row r="30154" s="12" customFormat="1" x14ac:dyDescent="0.25"/>
    <row r="30155" s="12" customFormat="1" x14ac:dyDescent="0.25"/>
    <row r="30156" s="12" customFormat="1" x14ac:dyDescent="0.25"/>
    <row r="30157" s="12" customFormat="1" x14ac:dyDescent="0.25"/>
    <row r="30158" s="12" customFormat="1" x14ac:dyDescent="0.25"/>
    <row r="30159" s="12" customFormat="1" x14ac:dyDescent="0.25"/>
    <row r="30160" s="12" customFormat="1" x14ac:dyDescent="0.25"/>
    <row r="30161" s="12" customFormat="1" x14ac:dyDescent="0.25"/>
    <row r="30162" s="12" customFormat="1" x14ac:dyDescent="0.25"/>
    <row r="30163" s="12" customFormat="1" x14ac:dyDescent="0.25"/>
    <row r="30164" s="12" customFormat="1" x14ac:dyDescent="0.25"/>
    <row r="30165" s="12" customFormat="1" x14ac:dyDescent="0.25"/>
    <row r="30166" s="12" customFormat="1" x14ac:dyDescent="0.25"/>
    <row r="30167" s="12" customFormat="1" x14ac:dyDescent="0.25"/>
    <row r="30168" s="12" customFormat="1" x14ac:dyDescent="0.25"/>
    <row r="30169" s="12" customFormat="1" x14ac:dyDescent="0.25"/>
    <row r="30170" s="12" customFormat="1" x14ac:dyDescent="0.25"/>
    <row r="30171" s="12" customFormat="1" x14ac:dyDescent="0.25"/>
    <row r="30172" s="12" customFormat="1" x14ac:dyDescent="0.25"/>
    <row r="30173" s="12" customFormat="1" x14ac:dyDescent="0.25"/>
    <row r="30174" s="12" customFormat="1" x14ac:dyDescent="0.25"/>
    <row r="30175" s="12" customFormat="1" x14ac:dyDescent="0.25"/>
    <row r="30176" s="12" customFormat="1" x14ac:dyDescent="0.25"/>
    <row r="30177" s="12" customFormat="1" x14ac:dyDescent="0.25"/>
    <row r="30178" s="12" customFormat="1" x14ac:dyDescent="0.25"/>
    <row r="30179" s="12" customFormat="1" x14ac:dyDescent="0.25"/>
    <row r="30180" s="12" customFormat="1" x14ac:dyDescent="0.25"/>
    <row r="30181" s="12" customFormat="1" x14ac:dyDescent="0.25"/>
    <row r="30182" s="12" customFormat="1" x14ac:dyDescent="0.25"/>
    <row r="30183" s="12" customFormat="1" x14ac:dyDescent="0.25"/>
    <row r="30184" s="12" customFormat="1" x14ac:dyDescent="0.25"/>
    <row r="30185" s="12" customFormat="1" x14ac:dyDescent="0.25"/>
    <row r="30186" s="12" customFormat="1" x14ac:dyDescent="0.25"/>
    <row r="30187" s="12" customFormat="1" x14ac:dyDescent="0.25"/>
    <row r="30188" s="12" customFormat="1" x14ac:dyDescent="0.25"/>
    <row r="30189" s="12" customFormat="1" x14ac:dyDescent="0.25"/>
    <row r="30190" s="12" customFormat="1" x14ac:dyDescent="0.25"/>
    <row r="30191" s="12" customFormat="1" x14ac:dyDescent="0.25"/>
    <row r="30192" s="12" customFormat="1" x14ac:dyDescent="0.25"/>
    <row r="30193" s="12" customFormat="1" x14ac:dyDescent="0.25"/>
    <row r="30194" s="12" customFormat="1" x14ac:dyDescent="0.25"/>
    <row r="30195" s="12" customFormat="1" x14ac:dyDescent="0.25"/>
    <row r="30196" s="12" customFormat="1" x14ac:dyDescent="0.25"/>
    <row r="30197" s="12" customFormat="1" x14ac:dyDescent="0.25"/>
    <row r="30198" s="12" customFormat="1" x14ac:dyDescent="0.25"/>
    <row r="30199" s="12" customFormat="1" x14ac:dyDescent="0.25"/>
    <row r="30200" s="12" customFormat="1" x14ac:dyDescent="0.25"/>
    <row r="30201" s="12" customFormat="1" x14ac:dyDescent="0.25"/>
    <row r="30202" s="12" customFormat="1" x14ac:dyDescent="0.25"/>
    <row r="30203" s="12" customFormat="1" x14ac:dyDescent="0.25"/>
    <row r="30204" s="12" customFormat="1" x14ac:dyDescent="0.25"/>
    <row r="30205" s="12" customFormat="1" x14ac:dyDescent="0.25"/>
    <row r="30206" s="12" customFormat="1" x14ac:dyDescent="0.25"/>
    <row r="30207" s="12" customFormat="1" x14ac:dyDescent="0.25"/>
    <row r="30208" s="12" customFormat="1" x14ac:dyDescent="0.25"/>
    <row r="30209" s="12" customFormat="1" x14ac:dyDescent="0.25"/>
    <row r="30210" s="12" customFormat="1" x14ac:dyDescent="0.25"/>
    <row r="30211" s="12" customFormat="1" x14ac:dyDescent="0.25"/>
    <row r="30212" s="12" customFormat="1" x14ac:dyDescent="0.25"/>
    <row r="30213" s="12" customFormat="1" x14ac:dyDescent="0.25"/>
    <row r="30214" s="12" customFormat="1" x14ac:dyDescent="0.25"/>
    <row r="30215" s="12" customFormat="1" x14ac:dyDescent="0.25"/>
    <row r="30216" s="12" customFormat="1" x14ac:dyDescent="0.25"/>
    <row r="30217" s="12" customFormat="1" x14ac:dyDescent="0.25"/>
    <row r="30218" s="12" customFormat="1" x14ac:dyDescent="0.25"/>
    <row r="30219" s="12" customFormat="1" x14ac:dyDescent="0.25"/>
    <row r="30220" s="12" customFormat="1" x14ac:dyDescent="0.25"/>
    <row r="30221" s="12" customFormat="1" x14ac:dyDescent="0.25"/>
    <row r="30222" s="12" customFormat="1" x14ac:dyDescent="0.25"/>
    <row r="30223" s="12" customFormat="1" x14ac:dyDescent="0.25"/>
    <row r="30224" s="12" customFormat="1" x14ac:dyDescent="0.25"/>
    <row r="30225" s="12" customFormat="1" x14ac:dyDescent="0.25"/>
    <row r="30226" s="12" customFormat="1" x14ac:dyDescent="0.25"/>
    <row r="30227" s="12" customFormat="1" x14ac:dyDescent="0.25"/>
    <row r="30228" s="12" customFormat="1" x14ac:dyDescent="0.25"/>
    <row r="30229" s="12" customFormat="1" x14ac:dyDescent="0.25"/>
    <row r="30230" s="12" customFormat="1" x14ac:dyDescent="0.25"/>
    <row r="30231" s="12" customFormat="1" x14ac:dyDescent="0.25"/>
    <row r="30232" s="12" customFormat="1" x14ac:dyDescent="0.25"/>
    <row r="30233" s="12" customFormat="1" x14ac:dyDescent="0.25"/>
    <row r="30234" s="12" customFormat="1" x14ac:dyDescent="0.25"/>
    <row r="30235" s="12" customFormat="1" x14ac:dyDescent="0.25"/>
    <row r="30236" s="12" customFormat="1" x14ac:dyDescent="0.25"/>
    <row r="30237" s="12" customFormat="1" x14ac:dyDescent="0.25"/>
    <row r="30238" s="12" customFormat="1" x14ac:dyDescent="0.25"/>
    <row r="30239" s="12" customFormat="1" x14ac:dyDescent="0.25"/>
    <row r="30240" s="12" customFormat="1" x14ac:dyDescent="0.25"/>
    <row r="30241" s="12" customFormat="1" x14ac:dyDescent="0.25"/>
    <row r="30242" s="12" customFormat="1" x14ac:dyDescent="0.25"/>
    <row r="30243" s="12" customFormat="1" x14ac:dyDescent="0.25"/>
    <row r="30244" s="12" customFormat="1" x14ac:dyDescent="0.25"/>
    <row r="30245" s="12" customFormat="1" x14ac:dyDescent="0.25"/>
    <row r="30246" s="12" customFormat="1" x14ac:dyDescent="0.25"/>
    <row r="30247" s="12" customFormat="1" x14ac:dyDescent="0.25"/>
    <row r="30248" s="12" customFormat="1" x14ac:dyDescent="0.25"/>
    <row r="30249" s="12" customFormat="1" x14ac:dyDescent="0.25"/>
    <row r="30250" s="12" customFormat="1" x14ac:dyDescent="0.25"/>
    <row r="30251" s="12" customFormat="1" x14ac:dyDescent="0.25"/>
    <row r="30252" s="12" customFormat="1" x14ac:dyDescent="0.25"/>
    <row r="30253" s="12" customFormat="1" x14ac:dyDescent="0.25"/>
    <row r="30254" s="12" customFormat="1" x14ac:dyDescent="0.25"/>
    <row r="30255" s="12" customFormat="1" x14ac:dyDescent="0.25"/>
    <row r="30256" s="12" customFormat="1" x14ac:dyDescent="0.25"/>
    <row r="30257" s="12" customFormat="1" x14ac:dyDescent="0.25"/>
    <row r="30258" s="12" customFormat="1" x14ac:dyDescent="0.25"/>
    <row r="30259" s="12" customFormat="1" x14ac:dyDescent="0.25"/>
    <row r="30260" s="12" customFormat="1" x14ac:dyDescent="0.25"/>
    <row r="30261" s="12" customFormat="1" x14ac:dyDescent="0.25"/>
    <row r="30262" s="12" customFormat="1" x14ac:dyDescent="0.25"/>
    <row r="30263" s="12" customFormat="1" x14ac:dyDescent="0.25"/>
    <row r="30264" s="12" customFormat="1" x14ac:dyDescent="0.25"/>
    <row r="30265" s="12" customFormat="1" x14ac:dyDescent="0.25"/>
    <row r="30266" s="12" customFormat="1" x14ac:dyDescent="0.25"/>
    <row r="30267" s="12" customFormat="1" x14ac:dyDescent="0.25"/>
    <row r="30268" s="12" customFormat="1" x14ac:dyDescent="0.25"/>
    <row r="30269" s="12" customFormat="1" x14ac:dyDescent="0.25"/>
    <row r="30270" s="12" customFormat="1" x14ac:dyDescent="0.25"/>
    <row r="30271" s="12" customFormat="1" x14ac:dyDescent="0.25"/>
    <row r="30272" s="12" customFormat="1" x14ac:dyDescent="0.25"/>
    <row r="30273" s="12" customFormat="1" x14ac:dyDescent="0.25"/>
    <row r="30274" s="12" customFormat="1" x14ac:dyDescent="0.25"/>
    <row r="30275" s="12" customFormat="1" x14ac:dyDescent="0.25"/>
    <row r="30276" s="12" customFormat="1" x14ac:dyDescent="0.25"/>
    <row r="30277" s="12" customFormat="1" x14ac:dyDescent="0.25"/>
    <row r="30278" s="12" customFormat="1" x14ac:dyDescent="0.25"/>
    <row r="30279" s="12" customFormat="1" x14ac:dyDescent="0.25"/>
    <row r="30280" s="12" customFormat="1" x14ac:dyDescent="0.25"/>
    <row r="30281" s="12" customFormat="1" x14ac:dyDescent="0.25"/>
    <row r="30282" s="12" customFormat="1" x14ac:dyDescent="0.25"/>
    <row r="30283" s="12" customFormat="1" x14ac:dyDescent="0.25"/>
    <row r="30284" s="12" customFormat="1" x14ac:dyDescent="0.25"/>
    <row r="30285" s="12" customFormat="1" x14ac:dyDescent="0.25"/>
    <row r="30286" s="12" customFormat="1" x14ac:dyDescent="0.25"/>
    <row r="30287" s="12" customFormat="1" x14ac:dyDescent="0.25"/>
    <row r="30288" s="12" customFormat="1" x14ac:dyDescent="0.25"/>
    <row r="30289" s="12" customFormat="1" x14ac:dyDescent="0.25"/>
    <row r="30290" s="12" customFormat="1" x14ac:dyDescent="0.25"/>
    <row r="30291" s="12" customFormat="1" x14ac:dyDescent="0.25"/>
    <row r="30292" s="12" customFormat="1" x14ac:dyDescent="0.25"/>
    <row r="30293" s="12" customFormat="1" x14ac:dyDescent="0.25"/>
    <row r="30294" s="12" customFormat="1" x14ac:dyDescent="0.25"/>
    <row r="30295" s="12" customFormat="1" x14ac:dyDescent="0.25"/>
    <row r="30296" s="12" customFormat="1" x14ac:dyDescent="0.25"/>
    <row r="30297" s="12" customFormat="1" x14ac:dyDescent="0.25"/>
    <row r="30298" s="12" customFormat="1" x14ac:dyDescent="0.25"/>
    <row r="30299" s="12" customFormat="1" x14ac:dyDescent="0.25"/>
    <row r="30300" s="12" customFormat="1" x14ac:dyDescent="0.25"/>
    <row r="30301" s="12" customFormat="1" x14ac:dyDescent="0.25"/>
    <row r="30302" s="12" customFormat="1" x14ac:dyDescent="0.25"/>
    <row r="30303" s="12" customFormat="1" x14ac:dyDescent="0.25"/>
    <row r="30304" s="12" customFormat="1" x14ac:dyDescent="0.25"/>
    <row r="30305" s="12" customFormat="1" x14ac:dyDescent="0.25"/>
    <row r="30306" s="12" customFormat="1" x14ac:dyDescent="0.25"/>
    <row r="30307" s="12" customFormat="1" x14ac:dyDescent="0.25"/>
    <row r="30308" s="12" customFormat="1" x14ac:dyDescent="0.25"/>
    <row r="30309" s="12" customFormat="1" x14ac:dyDescent="0.25"/>
    <row r="30310" s="12" customFormat="1" x14ac:dyDescent="0.25"/>
    <row r="30311" s="12" customFormat="1" x14ac:dyDescent="0.25"/>
    <row r="30312" s="12" customFormat="1" x14ac:dyDescent="0.25"/>
    <row r="30313" s="12" customFormat="1" x14ac:dyDescent="0.25"/>
    <row r="30314" s="12" customFormat="1" x14ac:dyDescent="0.25"/>
    <row r="30315" s="12" customFormat="1" x14ac:dyDescent="0.25"/>
    <row r="30316" s="12" customFormat="1" x14ac:dyDescent="0.25"/>
    <row r="30317" s="12" customFormat="1" x14ac:dyDescent="0.25"/>
    <row r="30318" s="12" customFormat="1" x14ac:dyDescent="0.25"/>
    <row r="30319" s="12" customFormat="1" x14ac:dyDescent="0.25"/>
    <row r="30320" s="12" customFormat="1" x14ac:dyDescent="0.25"/>
    <row r="30321" s="12" customFormat="1" x14ac:dyDescent="0.25"/>
    <row r="30322" s="12" customFormat="1" x14ac:dyDescent="0.25"/>
    <row r="30323" s="12" customFormat="1" x14ac:dyDescent="0.25"/>
    <row r="30324" s="12" customFormat="1" x14ac:dyDescent="0.25"/>
    <row r="30325" s="12" customFormat="1" x14ac:dyDescent="0.25"/>
    <row r="30326" s="12" customFormat="1" x14ac:dyDescent="0.25"/>
    <row r="30327" s="12" customFormat="1" x14ac:dyDescent="0.25"/>
    <row r="30328" s="12" customFormat="1" x14ac:dyDescent="0.25"/>
    <row r="30329" s="12" customFormat="1" x14ac:dyDescent="0.25"/>
    <row r="30330" s="12" customFormat="1" x14ac:dyDescent="0.25"/>
    <row r="30331" s="12" customFormat="1" x14ac:dyDescent="0.25"/>
    <row r="30332" s="12" customFormat="1" x14ac:dyDescent="0.25"/>
    <row r="30333" s="12" customFormat="1" x14ac:dyDescent="0.25"/>
    <row r="30334" s="12" customFormat="1" x14ac:dyDescent="0.25"/>
    <row r="30335" s="12" customFormat="1" x14ac:dyDescent="0.25"/>
    <row r="30336" s="12" customFormat="1" x14ac:dyDescent="0.25"/>
    <row r="30337" s="12" customFormat="1" x14ac:dyDescent="0.25"/>
    <row r="30338" s="12" customFormat="1" x14ac:dyDescent="0.25"/>
    <row r="30339" s="12" customFormat="1" x14ac:dyDescent="0.25"/>
    <row r="30340" s="12" customFormat="1" x14ac:dyDescent="0.25"/>
    <row r="30341" s="12" customFormat="1" x14ac:dyDescent="0.25"/>
    <row r="30342" s="12" customFormat="1" x14ac:dyDescent="0.25"/>
    <row r="30343" s="12" customFormat="1" x14ac:dyDescent="0.25"/>
    <row r="30344" s="12" customFormat="1" x14ac:dyDescent="0.25"/>
    <row r="30345" s="12" customFormat="1" x14ac:dyDescent="0.25"/>
    <row r="30346" s="12" customFormat="1" x14ac:dyDescent="0.25"/>
    <row r="30347" s="12" customFormat="1" x14ac:dyDescent="0.25"/>
    <row r="30348" s="12" customFormat="1" x14ac:dyDescent="0.25"/>
    <row r="30349" s="12" customFormat="1" x14ac:dyDescent="0.25"/>
    <row r="30350" s="12" customFormat="1" x14ac:dyDescent="0.25"/>
    <row r="30351" s="12" customFormat="1" x14ac:dyDescent="0.25"/>
    <row r="30352" s="12" customFormat="1" x14ac:dyDescent="0.25"/>
    <row r="30353" s="12" customFormat="1" x14ac:dyDescent="0.25"/>
    <row r="30354" s="12" customFormat="1" x14ac:dyDescent="0.25"/>
    <row r="30355" s="12" customFormat="1" x14ac:dyDescent="0.25"/>
    <row r="30356" s="12" customFormat="1" x14ac:dyDescent="0.25"/>
    <row r="30357" s="12" customFormat="1" x14ac:dyDescent="0.25"/>
    <row r="30358" s="12" customFormat="1" x14ac:dyDescent="0.25"/>
    <row r="30359" s="12" customFormat="1" x14ac:dyDescent="0.25"/>
    <row r="30360" s="12" customFormat="1" x14ac:dyDescent="0.25"/>
    <row r="30361" s="12" customFormat="1" x14ac:dyDescent="0.25"/>
    <row r="30362" s="12" customFormat="1" x14ac:dyDescent="0.25"/>
    <row r="30363" s="12" customFormat="1" x14ac:dyDescent="0.25"/>
    <row r="30364" s="12" customFormat="1" x14ac:dyDescent="0.25"/>
    <row r="30365" s="12" customFormat="1" x14ac:dyDescent="0.25"/>
    <row r="30366" s="12" customFormat="1" x14ac:dyDescent="0.25"/>
    <row r="30367" s="12" customFormat="1" x14ac:dyDescent="0.25"/>
    <row r="30368" s="12" customFormat="1" x14ac:dyDescent="0.25"/>
    <row r="30369" s="12" customFormat="1" x14ac:dyDescent="0.25"/>
    <row r="30370" s="12" customFormat="1" x14ac:dyDescent="0.25"/>
    <row r="30371" s="12" customFormat="1" x14ac:dyDescent="0.25"/>
    <row r="30372" s="12" customFormat="1" x14ac:dyDescent="0.25"/>
    <row r="30373" s="12" customFormat="1" x14ac:dyDescent="0.25"/>
    <row r="30374" s="12" customFormat="1" x14ac:dyDescent="0.25"/>
    <row r="30375" s="12" customFormat="1" x14ac:dyDescent="0.25"/>
    <row r="30376" s="12" customFormat="1" x14ac:dyDescent="0.25"/>
    <row r="30377" s="12" customFormat="1" x14ac:dyDescent="0.25"/>
    <row r="30378" s="12" customFormat="1" x14ac:dyDescent="0.25"/>
    <row r="30379" s="12" customFormat="1" x14ac:dyDescent="0.25"/>
    <row r="30380" s="12" customFormat="1" x14ac:dyDescent="0.25"/>
    <row r="30381" s="12" customFormat="1" x14ac:dyDescent="0.25"/>
    <row r="30382" s="12" customFormat="1" x14ac:dyDescent="0.25"/>
    <row r="30383" s="12" customFormat="1" x14ac:dyDescent="0.25"/>
    <row r="30384" s="12" customFormat="1" x14ac:dyDescent="0.25"/>
    <row r="30385" s="12" customFormat="1" x14ac:dyDescent="0.25"/>
    <row r="30386" s="12" customFormat="1" x14ac:dyDescent="0.25"/>
    <row r="30387" s="12" customFormat="1" x14ac:dyDescent="0.25"/>
    <row r="30388" s="12" customFormat="1" x14ac:dyDescent="0.25"/>
    <row r="30389" s="12" customFormat="1" x14ac:dyDescent="0.25"/>
    <row r="30390" s="12" customFormat="1" x14ac:dyDescent="0.25"/>
    <row r="30391" s="12" customFormat="1" x14ac:dyDescent="0.25"/>
    <row r="30392" s="12" customFormat="1" x14ac:dyDescent="0.25"/>
    <row r="30393" s="12" customFormat="1" x14ac:dyDescent="0.25"/>
    <row r="30394" s="12" customFormat="1" x14ac:dyDescent="0.25"/>
    <row r="30395" s="12" customFormat="1" x14ac:dyDescent="0.25"/>
    <row r="30396" s="12" customFormat="1" x14ac:dyDescent="0.25"/>
    <row r="30397" s="12" customFormat="1" x14ac:dyDescent="0.25"/>
    <row r="30398" s="12" customFormat="1" x14ac:dyDescent="0.25"/>
    <row r="30399" s="12" customFormat="1" x14ac:dyDescent="0.25"/>
    <row r="30400" s="12" customFormat="1" x14ac:dyDescent="0.25"/>
    <row r="30401" s="12" customFormat="1" x14ac:dyDescent="0.25"/>
    <row r="30402" s="12" customFormat="1" x14ac:dyDescent="0.25"/>
    <row r="30403" s="12" customFormat="1" x14ac:dyDescent="0.25"/>
    <row r="30404" s="12" customFormat="1" x14ac:dyDescent="0.25"/>
    <row r="30405" s="12" customFormat="1" x14ac:dyDescent="0.25"/>
    <row r="30406" s="12" customFormat="1" x14ac:dyDescent="0.25"/>
    <row r="30407" s="12" customFormat="1" x14ac:dyDescent="0.25"/>
    <row r="30408" s="12" customFormat="1" x14ac:dyDescent="0.25"/>
    <row r="30409" s="12" customFormat="1" x14ac:dyDescent="0.25"/>
    <row r="30410" s="12" customFormat="1" x14ac:dyDescent="0.25"/>
    <row r="30411" s="12" customFormat="1" x14ac:dyDescent="0.25"/>
    <row r="30412" s="12" customFormat="1" x14ac:dyDescent="0.25"/>
    <row r="30413" s="12" customFormat="1" x14ac:dyDescent="0.25"/>
    <row r="30414" s="12" customFormat="1" x14ac:dyDescent="0.25"/>
    <row r="30415" s="12" customFormat="1" x14ac:dyDescent="0.25"/>
    <row r="30416" s="12" customFormat="1" x14ac:dyDescent="0.25"/>
    <row r="30417" s="12" customFormat="1" x14ac:dyDescent="0.25"/>
    <row r="30418" s="12" customFormat="1" x14ac:dyDescent="0.25"/>
    <row r="30419" s="12" customFormat="1" x14ac:dyDescent="0.25"/>
    <row r="30420" s="12" customFormat="1" x14ac:dyDescent="0.25"/>
    <row r="30421" s="12" customFormat="1" x14ac:dyDescent="0.25"/>
    <row r="30422" s="12" customFormat="1" x14ac:dyDescent="0.25"/>
    <row r="30423" s="12" customFormat="1" x14ac:dyDescent="0.25"/>
    <row r="30424" s="12" customFormat="1" x14ac:dyDescent="0.25"/>
    <row r="30425" s="12" customFormat="1" x14ac:dyDescent="0.25"/>
    <row r="30426" s="12" customFormat="1" x14ac:dyDescent="0.25"/>
    <row r="30427" s="12" customFormat="1" x14ac:dyDescent="0.25"/>
    <row r="30428" s="12" customFormat="1" x14ac:dyDescent="0.25"/>
    <row r="30429" s="12" customFormat="1" x14ac:dyDescent="0.25"/>
    <row r="30430" s="12" customFormat="1" x14ac:dyDescent="0.25"/>
    <row r="30431" s="12" customFormat="1" x14ac:dyDescent="0.25"/>
    <row r="30432" s="12" customFormat="1" x14ac:dyDescent="0.25"/>
    <row r="30433" s="12" customFormat="1" x14ac:dyDescent="0.25"/>
    <row r="30434" s="12" customFormat="1" x14ac:dyDescent="0.25"/>
    <row r="30435" s="12" customFormat="1" x14ac:dyDescent="0.25"/>
    <row r="30436" s="12" customFormat="1" x14ac:dyDescent="0.25"/>
    <row r="30437" s="12" customFormat="1" x14ac:dyDescent="0.25"/>
    <row r="30438" s="12" customFormat="1" x14ac:dyDescent="0.25"/>
    <row r="30439" s="12" customFormat="1" x14ac:dyDescent="0.25"/>
    <row r="30440" s="12" customFormat="1" x14ac:dyDescent="0.25"/>
    <row r="30441" s="12" customFormat="1" x14ac:dyDescent="0.25"/>
    <row r="30442" s="12" customFormat="1" x14ac:dyDescent="0.25"/>
    <row r="30443" s="12" customFormat="1" x14ac:dyDescent="0.25"/>
    <row r="30444" s="12" customFormat="1" x14ac:dyDescent="0.25"/>
    <row r="30445" s="12" customFormat="1" x14ac:dyDescent="0.25"/>
    <row r="30446" s="12" customFormat="1" x14ac:dyDescent="0.25"/>
    <row r="30447" s="12" customFormat="1" x14ac:dyDescent="0.25"/>
    <row r="30448" s="12" customFormat="1" x14ac:dyDescent="0.25"/>
    <row r="30449" s="12" customFormat="1" x14ac:dyDescent="0.25"/>
    <row r="30450" s="12" customFormat="1" x14ac:dyDescent="0.25"/>
    <row r="30451" s="12" customFormat="1" x14ac:dyDescent="0.25"/>
    <row r="30452" s="12" customFormat="1" x14ac:dyDescent="0.25"/>
    <row r="30453" s="12" customFormat="1" x14ac:dyDescent="0.25"/>
    <row r="30454" s="12" customFormat="1" x14ac:dyDescent="0.25"/>
    <row r="30455" s="12" customFormat="1" x14ac:dyDescent="0.25"/>
    <row r="30456" s="12" customFormat="1" x14ac:dyDescent="0.25"/>
    <row r="30457" s="12" customFormat="1" x14ac:dyDescent="0.25"/>
    <row r="30458" s="12" customFormat="1" x14ac:dyDescent="0.25"/>
    <row r="30459" s="12" customFormat="1" x14ac:dyDescent="0.25"/>
    <row r="30460" s="12" customFormat="1" x14ac:dyDescent="0.25"/>
    <row r="30461" s="12" customFormat="1" x14ac:dyDescent="0.25"/>
    <row r="30462" s="12" customFormat="1" x14ac:dyDescent="0.25"/>
    <row r="30463" s="12" customFormat="1" x14ac:dyDescent="0.25"/>
    <row r="30464" s="12" customFormat="1" x14ac:dyDescent="0.25"/>
    <row r="30465" s="12" customFormat="1" x14ac:dyDescent="0.25"/>
    <row r="30466" s="12" customFormat="1" x14ac:dyDescent="0.25"/>
    <row r="30467" s="12" customFormat="1" x14ac:dyDescent="0.25"/>
    <row r="30468" s="12" customFormat="1" x14ac:dyDescent="0.25"/>
    <row r="30469" s="12" customFormat="1" x14ac:dyDescent="0.25"/>
    <row r="30470" s="12" customFormat="1" x14ac:dyDescent="0.25"/>
    <row r="30471" s="12" customFormat="1" x14ac:dyDescent="0.25"/>
    <row r="30472" s="12" customFormat="1" x14ac:dyDescent="0.25"/>
    <row r="30473" s="12" customFormat="1" x14ac:dyDescent="0.25"/>
    <row r="30474" s="12" customFormat="1" x14ac:dyDescent="0.25"/>
    <row r="30475" s="12" customFormat="1" x14ac:dyDescent="0.25"/>
    <row r="30476" s="12" customFormat="1" x14ac:dyDescent="0.25"/>
    <row r="30477" s="12" customFormat="1" x14ac:dyDescent="0.25"/>
    <row r="30478" s="12" customFormat="1" x14ac:dyDescent="0.25"/>
    <row r="30479" s="12" customFormat="1" x14ac:dyDescent="0.25"/>
    <row r="30480" s="12" customFormat="1" x14ac:dyDescent="0.25"/>
    <row r="30481" s="12" customFormat="1" x14ac:dyDescent="0.25"/>
    <row r="30482" s="12" customFormat="1" x14ac:dyDescent="0.25"/>
    <row r="30483" s="12" customFormat="1" x14ac:dyDescent="0.25"/>
    <row r="30484" s="12" customFormat="1" x14ac:dyDescent="0.25"/>
    <row r="30485" s="12" customFormat="1" x14ac:dyDescent="0.25"/>
    <row r="30486" s="12" customFormat="1" x14ac:dyDescent="0.25"/>
    <row r="30487" s="12" customFormat="1" x14ac:dyDescent="0.25"/>
    <row r="30488" s="12" customFormat="1" x14ac:dyDescent="0.25"/>
    <row r="30489" s="12" customFormat="1" x14ac:dyDescent="0.25"/>
    <row r="30490" s="12" customFormat="1" x14ac:dyDescent="0.25"/>
    <row r="30491" s="12" customFormat="1" x14ac:dyDescent="0.25"/>
    <row r="30492" s="12" customFormat="1" x14ac:dyDescent="0.25"/>
    <row r="30493" s="12" customFormat="1" x14ac:dyDescent="0.25"/>
    <row r="30494" s="12" customFormat="1" x14ac:dyDescent="0.25"/>
    <row r="30495" s="12" customFormat="1" x14ac:dyDescent="0.25"/>
    <row r="30496" s="12" customFormat="1" x14ac:dyDescent="0.25"/>
    <row r="30497" s="12" customFormat="1" x14ac:dyDescent="0.25"/>
    <row r="30498" s="12" customFormat="1" x14ac:dyDescent="0.25"/>
    <row r="30499" s="12" customFormat="1" x14ac:dyDescent="0.25"/>
    <row r="30500" s="12" customFormat="1" x14ac:dyDescent="0.25"/>
    <row r="30501" s="12" customFormat="1" x14ac:dyDescent="0.25"/>
    <row r="30502" s="12" customFormat="1" x14ac:dyDescent="0.25"/>
    <row r="30503" s="12" customFormat="1" x14ac:dyDescent="0.25"/>
    <row r="30504" s="12" customFormat="1" x14ac:dyDescent="0.25"/>
    <row r="30505" s="12" customFormat="1" x14ac:dyDescent="0.25"/>
    <row r="30506" s="12" customFormat="1" x14ac:dyDescent="0.25"/>
    <row r="30507" s="12" customFormat="1" x14ac:dyDescent="0.25"/>
    <row r="30508" s="12" customFormat="1" x14ac:dyDescent="0.25"/>
    <row r="30509" s="12" customFormat="1" x14ac:dyDescent="0.25"/>
    <row r="30510" s="12" customFormat="1" x14ac:dyDescent="0.25"/>
    <row r="30511" s="12" customFormat="1" x14ac:dyDescent="0.25"/>
    <row r="30512" s="12" customFormat="1" x14ac:dyDescent="0.25"/>
    <row r="30513" s="12" customFormat="1" x14ac:dyDescent="0.25"/>
    <row r="30514" s="12" customFormat="1" x14ac:dyDescent="0.25"/>
    <row r="30515" s="12" customFormat="1" x14ac:dyDescent="0.25"/>
    <row r="30516" s="12" customFormat="1" x14ac:dyDescent="0.25"/>
    <row r="30517" s="12" customFormat="1" x14ac:dyDescent="0.25"/>
    <row r="30518" s="12" customFormat="1" x14ac:dyDescent="0.25"/>
    <row r="30519" s="12" customFormat="1" x14ac:dyDescent="0.25"/>
    <row r="30520" s="12" customFormat="1" x14ac:dyDescent="0.25"/>
    <row r="30521" s="12" customFormat="1" x14ac:dyDescent="0.25"/>
    <row r="30522" s="12" customFormat="1" x14ac:dyDescent="0.25"/>
    <row r="30523" s="12" customFormat="1" x14ac:dyDescent="0.25"/>
    <row r="30524" s="12" customFormat="1" x14ac:dyDescent="0.25"/>
    <row r="30525" s="12" customFormat="1" x14ac:dyDescent="0.25"/>
    <row r="30526" s="12" customFormat="1" x14ac:dyDescent="0.25"/>
    <row r="30527" s="12" customFormat="1" x14ac:dyDescent="0.25"/>
    <row r="30528" s="12" customFormat="1" x14ac:dyDescent="0.25"/>
    <row r="30529" s="12" customFormat="1" x14ac:dyDescent="0.25"/>
    <row r="30530" s="12" customFormat="1" x14ac:dyDescent="0.25"/>
    <row r="30531" s="12" customFormat="1" x14ac:dyDescent="0.25"/>
    <row r="30532" s="12" customFormat="1" x14ac:dyDescent="0.25"/>
    <row r="30533" s="12" customFormat="1" x14ac:dyDescent="0.25"/>
    <row r="30534" s="12" customFormat="1" x14ac:dyDescent="0.25"/>
    <row r="30535" s="12" customFormat="1" x14ac:dyDescent="0.25"/>
    <row r="30536" s="12" customFormat="1" x14ac:dyDescent="0.25"/>
    <row r="30537" s="12" customFormat="1" x14ac:dyDescent="0.25"/>
    <row r="30538" s="12" customFormat="1" x14ac:dyDescent="0.25"/>
    <row r="30539" s="12" customFormat="1" x14ac:dyDescent="0.25"/>
    <row r="30540" s="12" customFormat="1" x14ac:dyDescent="0.25"/>
    <row r="30541" s="12" customFormat="1" x14ac:dyDescent="0.25"/>
    <row r="30542" s="12" customFormat="1" x14ac:dyDescent="0.25"/>
    <row r="30543" s="12" customFormat="1" x14ac:dyDescent="0.25"/>
    <row r="30544" s="12" customFormat="1" x14ac:dyDescent="0.25"/>
    <row r="30545" s="12" customFormat="1" x14ac:dyDescent="0.25"/>
    <row r="30546" s="12" customFormat="1" x14ac:dyDescent="0.25"/>
    <row r="30547" s="12" customFormat="1" x14ac:dyDescent="0.25"/>
    <row r="30548" s="12" customFormat="1" x14ac:dyDescent="0.25"/>
    <row r="30549" s="12" customFormat="1" x14ac:dyDescent="0.25"/>
    <row r="30550" s="12" customFormat="1" x14ac:dyDescent="0.25"/>
    <row r="30551" s="12" customFormat="1" x14ac:dyDescent="0.25"/>
    <row r="30552" s="12" customFormat="1" x14ac:dyDescent="0.25"/>
    <row r="30553" s="12" customFormat="1" x14ac:dyDescent="0.25"/>
    <row r="30554" s="12" customFormat="1" x14ac:dyDescent="0.25"/>
    <row r="30555" s="12" customFormat="1" x14ac:dyDescent="0.25"/>
    <row r="30556" s="12" customFormat="1" x14ac:dyDescent="0.25"/>
    <row r="30557" s="12" customFormat="1" x14ac:dyDescent="0.25"/>
    <row r="30558" s="12" customFormat="1" x14ac:dyDescent="0.25"/>
    <row r="30559" s="12" customFormat="1" x14ac:dyDescent="0.25"/>
    <row r="30560" s="12" customFormat="1" x14ac:dyDescent="0.25"/>
    <row r="30561" s="12" customFormat="1" x14ac:dyDescent="0.25"/>
    <row r="30562" s="12" customFormat="1" x14ac:dyDescent="0.25"/>
    <row r="30563" s="12" customFormat="1" x14ac:dyDescent="0.25"/>
    <row r="30564" s="12" customFormat="1" x14ac:dyDescent="0.25"/>
    <row r="30565" s="12" customFormat="1" x14ac:dyDescent="0.25"/>
    <row r="30566" s="12" customFormat="1" x14ac:dyDescent="0.25"/>
    <row r="30567" s="12" customFormat="1" x14ac:dyDescent="0.25"/>
    <row r="30568" s="12" customFormat="1" x14ac:dyDescent="0.25"/>
    <row r="30569" s="12" customFormat="1" x14ac:dyDescent="0.25"/>
    <row r="30570" s="12" customFormat="1" x14ac:dyDescent="0.25"/>
    <row r="30571" s="12" customFormat="1" x14ac:dyDescent="0.25"/>
    <row r="30572" s="12" customFormat="1" x14ac:dyDescent="0.25"/>
    <row r="30573" s="12" customFormat="1" x14ac:dyDescent="0.25"/>
    <row r="30574" s="12" customFormat="1" x14ac:dyDescent="0.25"/>
    <row r="30575" s="12" customFormat="1" x14ac:dyDescent="0.25"/>
    <row r="30576" s="12" customFormat="1" x14ac:dyDescent="0.25"/>
    <row r="30577" s="12" customFormat="1" x14ac:dyDescent="0.25"/>
    <row r="30578" s="12" customFormat="1" x14ac:dyDescent="0.25"/>
    <row r="30579" s="12" customFormat="1" x14ac:dyDescent="0.25"/>
    <row r="30580" s="12" customFormat="1" x14ac:dyDescent="0.25"/>
    <row r="30581" s="12" customFormat="1" x14ac:dyDescent="0.25"/>
    <row r="30582" s="12" customFormat="1" x14ac:dyDescent="0.25"/>
    <row r="30583" s="12" customFormat="1" x14ac:dyDescent="0.25"/>
    <row r="30584" s="12" customFormat="1" x14ac:dyDescent="0.25"/>
    <row r="30585" s="12" customFormat="1" x14ac:dyDescent="0.25"/>
    <row r="30586" s="12" customFormat="1" x14ac:dyDescent="0.25"/>
    <row r="30587" s="12" customFormat="1" x14ac:dyDescent="0.25"/>
    <row r="30588" s="12" customFormat="1" x14ac:dyDescent="0.25"/>
    <row r="30589" s="12" customFormat="1" x14ac:dyDescent="0.25"/>
    <row r="30590" s="12" customFormat="1" x14ac:dyDescent="0.25"/>
    <row r="30591" s="12" customFormat="1" x14ac:dyDescent="0.25"/>
    <row r="30592" s="12" customFormat="1" x14ac:dyDescent="0.25"/>
    <row r="30593" s="12" customFormat="1" x14ac:dyDescent="0.25"/>
    <row r="30594" s="12" customFormat="1" x14ac:dyDescent="0.25"/>
    <row r="30595" s="12" customFormat="1" x14ac:dyDescent="0.25"/>
    <row r="30596" s="12" customFormat="1" x14ac:dyDescent="0.25"/>
    <row r="30597" s="12" customFormat="1" x14ac:dyDescent="0.25"/>
    <row r="30598" s="12" customFormat="1" x14ac:dyDescent="0.25"/>
    <row r="30599" s="12" customFormat="1" x14ac:dyDescent="0.25"/>
    <row r="30600" s="12" customFormat="1" x14ac:dyDescent="0.25"/>
    <row r="30601" s="12" customFormat="1" x14ac:dyDescent="0.25"/>
    <row r="30602" s="12" customFormat="1" x14ac:dyDescent="0.25"/>
    <row r="30603" s="12" customFormat="1" x14ac:dyDescent="0.25"/>
    <row r="30604" s="12" customFormat="1" x14ac:dyDescent="0.25"/>
    <row r="30605" s="12" customFormat="1" x14ac:dyDescent="0.25"/>
    <row r="30606" s="12" customFormat="1" x14ac:dyDescent="0.25"/>
    <row r="30607" s="12" customFormat="1" x14ac:dyDescent="0.25"/>
    <row r="30608" s="12" customFormat="1" x14ac:dyDescent="0.25"/>
    <row r="30609" s="12" customFormat="1" x14ac:dyDescent="0.25"/>
    <row r="30610" s="12" customFormat="1" x14ac:dyDescent="0.25"/>
    <row r="30611" s="12" customFormat="1" x14ac:dyDescent="0.25"/>
    <row r="30612" s="12" customFormat="1" x14ac:dyDescent="0.25"/>
    <row r="30613" s="12" customFormat="1" x14ac:dyDescent="0.25"/>
    <row r="30614" s="12" customFormat="1" x14ac:dyDescent="0.25"/>
    <row r="30615" s="12" customFormat="1" x14ac:dyDescent="0.25"/>
    <row r="30616" s="12" customFormat="1" x14ac:dyDescent="0.25"/>
    <row r="30617" s="12" customFormat="1" x14ac:dyDescent="0.25"/>
    <row r="30618" s="12" customFormat="1" x14ac:dyDescent="0.25"/>
    <row r="30619" s="12" customFormat="1" x14ac:dyDescent="0.25"/>
    <row r="30620" s="12" customFormat="1" x14ac:dyDescent="0.25"/>
    <row r="30621" s="12" customFormat="1" x14ac:dyDescent="0.25"/>
    <row r="30622" s="12" customFormat="1" x14ac:dyDescent="0.25"/>
    <row r="30623" s="12" customFormat="1" x14ac:dyDescent="0.25"/>
    <row r="30624" s="12" customFormat="1" x14ac:dyDescent="0.25"/>
    <row r="30625" s="12" customFormat="1" x14ac:dyDescent="0.25"/>
    <row r="30626" s="12" customFormat="1" x14ac:dyDescent="0.25"/>
    <row r="30627" s="12" customFormat="1" x14ac:dyDescent="0.25"/>
    <row r="30628" s="12" customFormat="1" x14ac:dyDescent="0.25"/>
    <row r="30629" s="12" customFormat="1" x14ac:dyDescent="0.25"/>
    <row r="30630" s="12" customFormat="1" x14ac:dyDescent="0.25"/>
    <row r="30631" s="12" customFormat="1" x14ac:dyDescent="0.25"/>
    <row r="30632" s="12" customFormat="1" x14ac:dyDescent="0.25"/>
    <row r="30633" s="12" customFormat="1" x14ac:dyDescent="0.25"/>
    <row r="30634" s="12" customFormat="1" x14ac:dyDescent="0.25"/>
    <row r="30635" s="12" customFormat="1" x14ac:dyDescent="0.25"/>
    <row r="30636" s="12" customFormat="1" x14ac:dyDescent="0.25"/>
    <row r="30637" s="12" customFormat="1" x14ac:dyDescent="0.25"/>
    <row r="30638" s="12" customFormat="1" x14ac:dyDescent="0.25"/>
    <row r="30639" s="12" customFormat="1" x14ac:dyDescent="0.25"/>
    <row r="30640" s="12" customFormat="1" x14ac:dyDescent="0.25"/>
    <row r="30641" s="12" customFormat="1" x14ac:dyDescent="0.25"/>
    <row r="30642" s="12" customFormat="1" x14ac:dyDescent="0.25"/>
    <row r="30643" s="12" customFormat="1" x14ac:dyDescent="0.25"/>
    <row r="30644" s="12" customFormat="1" x14ac:dyDescent="0.25"/>
    <row r="30645" s="12" customFormat="1" x14ac:dyDescent="0.25"/>
    <row r="30646" s="12" customFormat="1" x14ac:dyDescent="0.25"/>
    <row r="30647" s="12" customFormat="1" x14ac:dyDescent="0.25"/>
    <row r="30648" s="12" customFormat="1" x14ac:dyDescent="0.25"/>
    <row r="30649" s="12" customFormat="1" x14ac:dyDescent="0.25"/>
    <row r="30650" s="12" customFormat="1" x14ac:dyDescent="0.25"/>
    <row r="30651" s="12" customFormat="1" x14ac:dyDescent="0.25"/>
    <row r="30652" s="12" customFormat="1" x14ac:dyDescent="0.25"/>
    <row r="30653" s="12" customFormat="1" x14ac:dyDescent="0.25"/>
    <row r="30654" s="12" customFormat="1" x14ac:dyDescent="0.25"/>
    <row r="30655" s="12" customFormat="1" x14ac:dyDescent="0.25"/>
    <row r="30656" s="12" customFormat="1" x14ac:dyDescent="0.25"/>
    <row r="30657" s="12" customFormat="1" x14ac:dyDescent="0.25"/>
    <row r="30658" s="12" customFormat="1" x14ac:dyDescent="0.25"/>
    <row r="30659" s="12" customFormat="1" x14ac:dyDescent="0.25"/>
    <row r="30660" s="12" customFormat="1" x14ac:dyDescent="0.25"/>
    <row r="30661" s="12" customFormat="1" x14ac:dyDescent="0.25"/>
    <row r="30662" s="12" customFormat="1" x14ac:dyDescent="0.25"/>
    <row r="30663" s="12" customFormat="1" x14ac:dyDescent="0.25"/>
    <row r="30664" s="12" customFormat="1" x14ac:dyDescent="0.25"/>
    <row r="30665" s="12" customFormat="1" x14ac:dyDescent="0.25"/>
    <row r="30666" s="12" customFormat="1" x14ac:dyDescent="0.25"/>
    <row r="30667" s="12" customFormat="1" x14ac:dyDescent="0.25"/>
    <row r="30668" s="12" customFormat="1" x14ac:dyDescent="0.25"/>
    <row r="30669" s="12" customFormat="1" x14ac:dyDescent="0.25"/>
    <row r="30670" s="12" customFormat="1" x14ac:dyDescent="0.25"/>
    <row r="30671" s="12" customFormat="1" x14ac:dyDescent="0.25"/>
    <row r="30672" s="12" customFormat="1" x14ac:dyDescent="0.25"/>
    <row r="30673" s="12" customFormat="1" x14ac:dyDescent="0.25"/>
    <row r="30674" s="12" customFormat="1" x14ac:dyDescent="0.25"/>
    <row r="30675" s="12" customFormat="1" x14ac:dyDescent="0.25"/>
    <row r="30676" s="12" customFormat="1" x14ac:dyDescent="0.25"/>
    <row r="30677" s="12" customFormat="1" x14ac:dyDescent="0.25"/>
    <row r="30678" s="12" customFormat="1" x14ac:dyDescent="0.25"/>
    <row r="30679" s="12" customFormat="1" x14ac:dyDescent="0.25"/>
    <row r="30680" s="12" customFormat="1" x14ac:dyDescent="0.25"/>
    <row r="30681" s="12" customFormat="1" x14ac:dyDescent="0.25"/>
    <row r="30682" s="12" customFormat="1" x14ac:dyDescent="0.25"/>
    <row r="30683" s="12" customFormat="1" x14ac:dyDescent="0.25"/>
    <row r="30684" s="12" customFormat="1" x14ac:dyDescent="0.25"/>
    <row r="30685" s="12" customFormat="1" x14ac:dyDescent="0.25"/>
    <row r="30686" s="12" customFormat="1" x14ac:dyDescent="0.25"/>
    <row r="30687" s="12" customFormat="1" x14ac:dyDescent="0.25"/>
    <row r="30688" s="12" customFormat="1" x14ac:dyDescent="0.25"/>
    <row r="30689" s="12" customFormat="1" x14ac:dyDescent="0.25"/>
    <row r="30690" s="12" customFormat="1" x14ac:dyDescent="0.25"/>
    <row r="30691" s="12" customFormat="1" x14ac:dyDescent="0.25"/>
    <row r="30692" s="12" customFormat="1" x14ac:dyDescent="0.25"/>
    <row r="30693" s="12" customFormat="1" x14ac:dyDescent="0.25"/>
    <row r="30694" s="12" customFormat="1" x14ac:dyDescent="0.25"/>
    <row r="30695" s="12" customFormat="1" x14ac:dyDescent="0.25"/>
    <row r="30696" s="12" customFormat="1" x14ac:dyDescent="0.25"/>
    <row r="30697" s="12" customFormat="1" x14ac:dyDescent="0.25"/>
    <row r="30698" s="12" customFormat="1" x14ac:dyDescent="0.25"/>
    <row r="30699" s="12" customFormat="1" x14ac:dyDescent="0.25"/>
    <row r="30700" s="12" customFormat="1" x14ac:dyDescent="0.25"/>
    <row r="30701" s="12" customFormat="1" x14ac:dyDescent="0.25"/>
    <row r="30702" s="12" customFormat="1" x14ac:dyDescent="0.25"/>
    <row r="30703" s="12" customFormat="1" x14ac:dyDescent="0.25"/>
    <row r="30704" s="12" customFormat="1" x14ac:dyDescent="0.25"/>
    <row r="30705" s="12" customFormat="1" x14ac:dyDescent="0.25"/>
    <row r="30706" s="12" customFormat="1" x14ac:dyDescent="0.25"/>
    <row r="30707" s="12" customFormat="1" x14ac:dyDescent="0.25"/>
    <row r="30708" s="12" customFormat="1" x14ac:dyDescent="0.25"/>
    <row r="30709" s="12" customFormat="1" x14ac:dyDescent="0.25"/>
    <row r="30710" s="12" customFormat="1" x14ac:dyDescent="0.25"/>
    <row r="30711" s="12" customFormat="1" x14ac:dyDescent="0.25"/>
    <row r="30712" s="12" customFormat="1" x14ac:dyDescent="0.25"/>
    <row r="30713" s="12" customFormat="1" x14ac:dyDescent="0.25"/>
    <row r="30714" s="12" customFormat="1" x14ac:dyDescent="0.25"/>
    <row r="30715" s="12" customFormat="1" x14ac:dyDescent="0.25"/>
    <row r="30716" s="12" customFormat="1" x14ac:dyDescent="0.25"/>
    <row r="30717" s="12" customFormat="1" x14ac:dyDescent="0.25"/>
    <row r="30718" s="12" customFormat="1" x14ac:dyDescent="0.25"/>
    <row r="30719" s="12" customFormat="1" x14ac:dyDescent="0.25"/>
    <row r="30720" s="12" customFormat="1" x14ac:dyDescent="0.25"/>
    <row r="30721" s="12" customFormat="1" x14ac:dyDescent="0.25"/>
    <row r="30722" s="12" customFormat="1" x14ac:dyDescent="0.25"/>
    <row r="30723" s="12" customFormat="1" x14ac:dyDescent="0.25"/>
    <row r="30724" s="12" customFormat="1" x14ac:dyDescent="0.25"/>
    <row r="30725" s="12" customFormat="1" x14ac:dyDescent="0.25"/>
    <row r="30726" s="12" customFormat="1" x14ac:dyDescent="0.25"/>
    <row r="30727" s="12" customFormat="1" x14ac:dyDescent="0.25"/>
    <row r="30728" s="12" customFormat="1" x14ac:dyDescent="0.25"/>
    <row r="30729" s="12" customFormat="1" x14ac:dyDescent="0.25"/>
    <row r="30730" s="12" customFormat="1" x14ac:dyDescent="0.25"/>
    <row r="30731" s="12" customFormat="1" x14ac:dyDescent="0.25"/>
    <row r="30732" s="12" customFormat="1" x14ac:dyDescent="0.25"/>
    <row r="30733" s="12" customFormat="1" x14ac:dyDescent="0.25"/>
    <row r="30734" s="12" customFormat="1" x14ac:dyDescent="0.25"/>
    <row r="30735" s="12" customFormat="1" x14ac:dyDescent="0.25"/>
    <row r="30736" s="12" customFormat="1" x14ac:dyDescent="0.25"/>
    <row r="30737" s="12" customFormat="1" x14ac:dyDescent="0.25"/>
    <row r="30738" s="12" customFormat="1" x14ac:dyDescent="0.25"/>
    <row r="30739" s="12" customFormat="1" x14ac:dyDescent="0.25"/>
    <row r="30740" s="12" customFormat="1" x14ac:dyDescent="0.25"/>
    <row r="30741" s="12" customFormat="1" x14ac:dyDescent="0.25"/>
    <row r="30742" s="12" customFormat="1" x14ac:dyDescent="0.25"/>
    <row r="30743" s="12" customFormat="1" x14ac:dyDescent="0.25"/>
    <row r="30744" s="12" customFormat="1" x14ac:dyDescent="0.25"/>
    <row r="30745" s="12" customFormat="1" x14ac:dyDescent="0.25"/>
    <row r="30746" s="12" customFormat="1" x14ac:dyDescent="0.25"/>
    <row r="30747" s="12" customFormat="1" x14ac:dyDescent="0.25"/>
    <row r="30748" s="12" customFormat="1" x14ac:dyDescent="0.25"/>
    <row r="30749" s="12" customFormat="1" x14ac:dyDescent="0.25"/>
    <row r="30750" s="12" customFormat="1" x14ac:dyDescent="0.25"/>
    <row r="30751" s="12" customFormat="1" x14ac:dyDescent="0.25"/>
    <row r="30752" s="12" customFormat="1" x14ac:dyDescent="0.25"/>
    <row r="30753" s="12" customFormat="1" x14ac:dyDescent="0.25"/>
    <row r="30754" s="12" customFormat="1" x14ac:dyDescent="0.25"/>
    <row r="30755" s="12" customFormat="1" x14ac:dyDescent="0.25"/>
    <row r="30756" s="12" customFormat="1" x14ac:dyDescent="0.25"/>
    <row r="30757" s="12" customFormat="1" x14ac:dyDescent="0.25"/>
    <row r="30758" s="12" customFormat="1" x14ac:dyDescent="0.25"/>
    <row r="30759" s="12" customFormat="1" x14ac:dyDescent="0.25"/>
    <row r="30760" s="12" customFormat="1" x14ac:dyDescent="0.25"/>
    <row r="30761" s="12" customFormat="1" x14ac:dyDescent="0.25"/>
    <row r="30762" s="12" customFormat="1" x14ac:dyDescent="0.25"/>
    <row r="30763" s="12" customFormat="1" x14ac:dyDescent="0.25"/>
    <row r="30764" s="12" customFormat="1" x14ac:dyDescent="0.25"/>
    <row r="30765" s="12" customFormat="1" x14ac:dyDescent="0.25"/>
    <row r="30766" s="12" customFormat="1" x14ac:dyDescent="0.25"/>
    <row r="30767" s="12" customFormat="1" x14ac:dyDescent="0.25"/>
    <row r="30768" s="12" customFormat="1" x14ac:dyDescent="0.25"/>
    <row r="30769" s="12" customFormat="1" x14ac:dyDescent="0.25"/>
    <row r="30770" s="12" customFormat="1" x14ac:dyDescent="0.25"/>
    <row r="30771" s="12" customFormat="1" x14ac:dyDescent="0.25"/>
    <row r="30772" s="12" customFormat="1" x14ac:dyDescent="0.25"/>
    <row r="30773" s="12" customFormat="1" x14ac:dyDescent="0.25"/>
    <row r="30774" s="12" customFormat="1" x14ac:dyDescent="0.25"/>
    <row r="30775" s="12" customFormat="1" x14ac:dyDescent="0.25"/>
    <row r="30776" s="12" customFormat="1" x14ac:dyDescent="0.25"/>
    <row r="30777" s="12" customFormat="1" x14ac:dyDescent="0.25"/>
    <row r="30778" s="12" customFormat="1" x14ac:dyDescent="0.25"/>
    <row r="30779" s="12" customFormat="1" x14ac:dyDescent="0.25"/>
    <row r="30780" s="12" customFormat="1" x14ac:dyDescent="0.25"/>
    <row r="30781" s="12" customFormat="1" x14ac:dyDescent="0.25"/>
    <row r="30782" s="12" customFormat="1" x14ac:dyDescent="0.25"/>
    <row r="30783" s="12" customFormat="1" x14ac:dyDescent="0.25"/>
    <row r="30784" s="12" customFormat="1" x14ac:dyDescent="0.25"/>
    <row r="30785" s="12" customFormat="1" x14ac:dyDescent="0.25"/>
    <row r="30786" s="12" customFormat="1" x14ac:dyDescent="0.25"/>
    <row r="30787" s="12" customFormat="1" x14ac:dyDescent="0.25"/>
    <row r="30788" s="12" customFormat="1" x14ac:dyDescent="0.25"/>
    <row r="30789" s="12" customFormat="1" x14ac:dyDescent="0.25"/>
    <row r="30790" s="12" customFormat="1" x14ac:dyDescent="0.25"/>
    <row r="30791" s="12" customFormat="1" x14ac:dyDescent="0.25"/>
    <row r="30792" s="12" customFormat="1" x14ac:dyDescent="0.25"/>
    <row r="30793" s="12" customFormat="1" x14ac:dyDescent="0.25"/>
    <row r="30794" s="12" customFormat="1" x14ac:dyDescent="0.25"/>
    <row r="30795" s="12" customFormat="1" x14ac:dyDescent="0.25"/>
    <row r="30796" s="12" customFormat="1" x14ac:dyDescent="0.25"/>
    <row r="30797" s="12" customFormat="1" x14ac:dyDescent="0.25"/>
    <row r="30798" s="12" customFormat="1" x14ac:dyDescent="0.25"/>
    <row r="30799" s="12" customFormat="1" x14ac:dyDescent="0.25"/>
    <row r="30800" s="12" customFormat="1" x14ac:dyDescent="0.25"/>
    <row r="30801" s="12" customFormat="1" x14ac:dyDescent="0.25"/>
    <row r="30802" s="12" customFormat="1" x14ac:dyDescent="0.25"/>
    <row r="30803" s="12" customFormat="1" x14ac:dyDescent="0.25"/>
    <row r="30804" s="12" customFormat="1" x14ac:dyDescent="0.25"/>
    <row r="30805" s="12" customFormat="1" x14ac:dyDescent="0.25"/>
    <row r="30806" s="12" customFormat="1" x14ac:dyDescent="0.25"/>
    <row r="30807" s="12" customFormat="1" x14ac:dyDescent="0.25"/>
    <row r="30808" s="12" customFormat="1" x14ac:dyDescent="0.25"/>
    <row r="30809" s="12" customFormat="1" x14ac:dyDescent="0.25"/>
    <row r="30810" s="12" customFormat="1" x14ac:dyDescent="0.25"/>
    <row r="30811" s="12" customFormat="1" x14ac:dyDescent="0.25"/>
    <row r="30812" s="12" customFormat="1" x14ac:dyDescent="0.25"/>
    <row r="30813" s="12" customFormat="1" x14ac:dyDescent="0.25"/>
    <row r="30814" s="12" customFormat="1" x14ac:dyDescent="0.25"/>
    <row r="30815" s="12" customFormat="1" x14ac:dyDescent="0.25"/>
    <row r="30816" s="12" customFormat="1" x14ac:dyDescent="0.25"/>
    <row r="30817" s="12" customFormat="1" x14ac:dyDescent="0.25"/>
    <row r="30818" s="12" customFormat="1" x14ac:dyDescent="0.25"/>
    <row r="30819" s="12" customFormat="1" x14ac:dyDescent="0.25"/>
    <row r="30820" s="12" customFormat="1" x14ac:dyDescent="0.25"/>
    <row r="30821" s="12" customFormat="1" x14ac:dyDescent="0.25"/>
    <row r="30822" s="12" customFormat="1" x14ac:dyDescent="0.25"/>
    <row r="30823" s="12" customFormat="1" x14ac:dyDescent="0.25"/>
    <row r="30824" s="12" customFormat="1" x14ac:dyDescent="0.25"/>
    <row r="30825" s="12" customFormat="1" x14ac:dyDescent="0.25"/>
    <row r="30826" s="12" customFormat="1" x14ac:dyDescent="0.25"/>
    <row r="30827" s="12" customFormat="1" x14ac:dyDescent="0.25"/>
    <row r="30828" s="12" customFormat="1" x14ac:dyDescent="0.25"/>
    <row r="30829" s="12" customFormat="1" x14ac:dyDescent="0.25"/>
    <row r="30830" s="12" customFormat="1" x14ac:dyDescent="0.25"/>
    <row r="30831" s="12" customFormat="1" x14ac:dyDescent="0.25"/>
    <row r="30832" s="12" customFormat="1" x14ac:dyDescent="0.25"/>
    <row r="30833" s="12" customFormat="1" x14ac:dyDescent="0.25"/>
    <row r="30834" s="12" customFormat="1" x14ac:dyDescent="0.25"/>
    <row r="30835" s="12" customFormat="1" x14ac:dyDescent="0.25"/>
    <row r="30836" s="12" customFormat="1" x14ac:dyDescent="0.25"/>
    <row r="30837" s="12" customFormat="1" x14ac:dyDescent="0.25"/>
    <row r="30838" s="12" customFormat="1" x14ac:dyDescent="0.25"/>
    <row r="30839" s="12" customFormat="1" x14ac:dyDescent="0.25"/>
    <row r="30840" s="12" customFormat="1" x14ac:dyDescent="0.25"/>
    <row r="30841" s="12" customFormat="1" x14ac:dyDescent="0.25"/>
    <row r="30842" s="12" customFormat="1" x14ac:dyDescent="0.25"/>
    <row r="30843" s="12" customFormat="1" x14ac:dyDescent="0.25"/>
    <row r="30844" s="12" customFormat="1" x14ac:dyDescent="0.25"/>
    <row r="30845" s="12" customFormat="1" x14ac:dyDescent="0.25"/>
    <row r="30846" s="12" customFormat="1" x14ac:dyDescent="0.25"/>
    <row r="30847" s="12" customFormat="1" x14ac:dyDescent="0.25"/>
    <row r="30848" s="12" customFormat="1" x14ac:dyDescent="0.25"/>
    <row r="30849" s="12" customFormat="1" x14ac:dyDescent="0.25"/>
    <row r="30850" s="12" customFormat="1" x14ac:dyDescent="0.25"/>
    <row r="30851" s="12" customFormat="1" x14ac:dyDescent="0.25"/>
    <row r="30852" s="12" customFormat="1" x14ac:dyDescent="0.25"/>
    <row r="30853" s="12" customFormat="1" x14ac:dyDescent="0.25"/>
    <row r="30854" s="12" customFormat="1" x14ac:dyDescent="0.25"/>
    <row r="30855" s="12" customFormat="1" x14ac:dyDescent="0.25"/>
    <row r="30856" s="12" customFormat="1" x14ac:dyDescent="0.25"/>
    <row r="30857" s="12" customFormat="1" x14ac:dyDescent="0.25"/>
    <row r="30858" s="12" customFormat="1" x14ac:dyDescent="0.25"/>
    <row r="30859" s="12" customFormat="1" x14ac:dyDescent="0.25"/>
    <row r="30860" s="12" customFormat="1" x14ac:dyDescent="0.25"/>
    <row r="30861" s="12" customFormat="1" x14ac:dyDescent="0.25"/>
    <row r="30862" s="12" customFormat="1" x14ac:dyDescent="0.25"/>
    <row r="30863" s="12" customFormat="1" x14ac:dyDescent="0.25"/>
    <row r="30864" s="12" customFormat="1" x14ac:dyDescent="0.25"/>
    <row r="30865" s="12" customFormat="1" x14ac:dyDescent="0.25"/>
    <row r="30866" s="12" customFormat="1" x14ac:dyDescent="0.25"/>
    <row r="30867" s="12" customFormat="1" x14ac:dyDescent="0.25"/>
    <row r="30868" s="12" customFormat="1" x14ac:dyDescent="0.25"/>
    <row r="30869" s="12" customFormat="1" x14ac:dyDescent="0.25"/>
    <row r="30870" s="12" customFormat="1" x14ac:dyDescent="0.25"/>
    <row r="30871" s="12" customFormat="1" x14ac:dyDescent="0.25"/>
    <row r="30872" s="12" customFormat="1" x14ac:dyDescent="0.25"/>
    <row r="30873" s="12" customFormat="1" x14ac:dyDescent="0.25"/>
    <row r="30874" s="12" customFormat="1" x14ac:dyDescent="0.25"/>
    <row r="30875" s="12" customFormat="1" x14ac:dyDescent="0.25"/>
    <row r="30876" s="12" customFormat="1" x14ac:dyDescent="0.25"/>
    <row r="30877" s="12" customFormat="1" x14ac:dyDescent="0.25"/>
    <row r="30878" s="12" customFormat="1" x14ac:dyDescent="0.25"/>
    <row r="30879" s="12" customFormat="1" x14ac:dyDescent="0.25"/>
    <row r="30880" s="12" customFormat="1" x14ac:dyDescent="0.25"/>
    <row r="30881" s="12" customFormat="1" x14ac:dyDescent="0.25"/>
    <row r="30882" s="12" customFormat="1" x14ac:dyDescent="0.25"/>
    <row r="30883" s="12" customFormat="1" x14ac:dyDescent="0.25"/>
    <row r="30884" s="12" customFormat="1" x14ac:dyDescent="0.25"/>
    <row r="30885" s="12" customFormat="1" x14ac:dyDescent="0.25"/>
    <row r="30886" s="12" customFormat="1" x14ac:dyDescent="0.25"/>
    <row r="30887" s="12" customFormat="1" x14ac:dyDescent="0.25"/>
    <row r="30888" s="12" customFormat="1" x14ac:dyDescent="0.25"/>
    <row r="30889" s="12" customFormat="1" x14ac:dyDescent="0.25"/>
    <row r="30890" s="12" customFormat="1" x14ac:dyDescent="0.25"/>
    <row r="30891" s="12" customFormat="1" x14ac:dyDescent="0.25"/>
    <row r="30892" s="12" customFormat="1" x14ac:dyDescent="0.25"/>
    <row r="30893" s="12" customFormat="1" x14ac:dyDescent="0.25"/>
    <row r="30894" s="12" customFormat="1" x14ac:dyDescent="0.25"/>
    <row r="30895" s="12" customFormat="1" x14ac:dyDescent="0.25"/>
    <row r="30896" s="12" customFormat="1" x14ac:dyDescent="0.25"/>
    <row r="30897" s="12" customFormat="1" x14ac:dyDescent="0.25"/>
    <row r="30898" s="12" customFormat="1" x14ac:dyDescent="0.25"/>
    <row r="30899" s="12" customFormat="1" x14ac:dyDescent="0.25"/>
    <row r="30900" s="12" customFormat="1" x14ac:dyDescent="0.25"/>
    <row r="30901" s="12" customFormat="1" x14ac:dyDescent="0.25"/>
    <row r="30902" s="12" customFormat="1" x14ac:dyDescent="0.25"/>
    <row r="30903" s="12" customFormat="1" x14ac:dyDescent="0.25"/>
    <row r="30904" s="12" customFormat="1" x14ac:dyDescent="0.25"/>
    <row r="30905" s="12" customFormat="1" x14ac:dyDescent="0.25"/>
    <row r="30906" s="12" customFormat="1" x14ac:dyDescent="0.25"/>
    <row r="30907" s="12" customFormat="1" x14ac:dyDescent="0.25"/>
    <row r="30908" s="12" customFormat="1" x14ac:dyDescent="0.25"/>
    <row r="30909" s="12" customFormat="1" x14ac:dyDescent="0.25"/>
    <row r="30910" s="12" customFormat="1" x14ac:dyDescent="0.25"/>
    <row r="30911" s="12" customFormat="1" x14ac:dyDescent="0.25"/>
    <row r="30912" s="12" customFormat="1" x14ac:dyDescent="0.25"/>
    <row r="30913" s="12" customFormat="1" x14ac:dyDescent="0.25"/>
    <row r="30914" s="12" customFormat="1" x14ac:dyDescent="0.25"/>
    <row r="30915" s="12" customFormat="1" x14ac:dyDescent="0.25"/>
    <row r="30916" s="12" customFormat="1" x14ac:dyDescent="0.25"/>
    <row r="30917" s="12" customFormat="1" x14ac:dyDescent="0.25"/>
    <row r="30918" s="12" customFormat="1" x14ac:dyDescent="0.25"/>
    <row r="30919" s="12" customFormat="1" x14ac:dyDescent="0.25"/>
    <row r="30920" s="12" customFormat="1" x14ac:dyDescent="0.25"/>
    <row r="30921" s="12" customFormat="1" x14ac:dyDescent="0.25"/>
    <row r="30922" s="12" customFormat="1" x14ac:dyDescent="0.25"/>
    <row r="30923" s="12" customFormat="1" x14ac:dyDescent="0.25"/>
    <row r="30924" s="12" customFormat="1" x14ac:dyDescent="0.25"/>
    <row r="30925" s="12" customFormat="1" x14ac:dyDescent="0.25"/>
    <row r="30926" s="12" customFormat="1" x14ac:dyDescent="0.25"/>
    <row r="30927" s="12" customFormat="1" x14ac:dyDescent="0.25"/>
    <row r="30928" s="12" customFormat="1" x14ac:dyDescent="0.25"/>
    <row r="30929" s="12" customFormat="1" x14ac:dyDescent="0.25"/>
    <row r="30930" s="12" customFormat="1" x14ac:dyDescent="0.25"/>
    <row r="30931" s="12" customFormat="1" x14ac:dyDescent="0.25"/>
    <row r="30932" s="12" customFormat="1" x14ac:dyDescent="0.25"/>
    <row r="30933" s="12" customFormat="1" x14ac:dyDescent="0.25"/>
    <row r="30934" s="12" customFormat="1" x14ac:dyDescent="0.25"/>
    <row r="30935" s="12" customFormat="1" x14ac:dyDescent="0.25"/>
    <row r="30936" s="12" customFormat="1" x14ac:dyDescent="0.25"/>
    <row r="30937" s="12" customFormat="1" x14ac:dyDescent="0.25"/>
    <row r="30938" s="12" customFormat="1" x14ac:dyDescent="0.25"/>
    <row r="30939" s="12" customFormat="1" x14ac:dyDescent="0.25"/>
    <row r="30940" s="12" customFormat="1" x14ac:dyDescent="0.25"/>
    <row r="30941" s="12" customFormat="1" x14ac:dyDescent="0.25"/>
    <row r="30942" s="12" customFormat="1" x14ac:dyDescent="0.25"/>
    <row r="30943" s="12" customFormat="1" x14ac:dyDescent="0.25"/>
    <row r="30944" s="12" customFormat="1" x14ac:dyDescent="0.25"/>
    <row r="30945" s="12" customFormat="1" x14ac:dyDescent="0.25"/>
    <row r="30946" s="12" customFormat="1" x14ac:dyDescent="0.25"/>
    <row r="30947" s="12" customFormat="1" x14ac:dyDescent="0.25"/>
    <row r="30948" s="12" customFormat="1" x14ac:dyDescent="0.25"/>
    <row r="30949" s="12" customFormat="1" x14ac:dyDescent="0.25"/>
    <row r="30950" s="12" customFormat="1" x14ac:dyDescent="0.25"/>
    <row r="30951" s="12" customFormat="1" x14ac:dyDescent="0.25"/>
    <row r="30952" s="12" customFormat="1" x14ac:dyDescent="0.25"/>
    <row r="30953" s="12" customFormat="1" x14ac:dyDescent="0.25"/>
    <row r="30954" s="12" customFormat="1" x14ac:dyDescent="0.25"/>
    <row r="30955" s="12" customFormat="1" x14ac:dyDescent="0.25"/>
    <row r="30956" s="12" customFormat="1" x14ac:dyDescent="0.25"/>
    <row r="30957" s="12" customFormat="1" x14ac:dyDescent="0.25"/>
    <row r="30958" s="12" customFormat="1" x14ac:dyDescent="0.25"/>
    <row r="30959" s="12" customFormat="1" x14ac:dyDescent="0.25"/>
    <row r="30960" s="12" customFormat="1" x14ac:dyDescent="0.25"/>
    <row r="30961" s="12" customFormat="1" x14ac:dyDescent="0.25"/>
    <row r="30962" s="12" customFormat="1" x14ac:dyDescent="0.25"/>
    <row r="30963" s="12" customFormat="1" x14ac:dyDescent="0.25"/>
    <row r="30964" s="12" customFormat="1" x14ac:dyDescent="0.25"/>
    <row r="30965" s="12" customFormat="1" x14ac:dyDescent="0.25"/>
    <row r="30966" s="12" customFormat="1" x14ac:dyDescent="0.25"/>
    <row r="30967" s="12" customFormat="1" x14ac:dyDescent="0.25"/>
    <row r="30968" s="12" customFormat="1" x14ac:dyDescent="0.25"/>
    <row r="30969" s="12" customFormat="1" x14ac:dyDescent="0.25"/>
    <row r="30970" s="12" customFormat="1" x14ac:dyDescent="0.25"/>
    <row r="30971" s="12" customFormat="1" x14ac:dyDescent="0.25"/>
    <row r="30972" s="12" customFormat="1" x14ac:dyDescent="0.25"/>
    <row r="30973" s="12" customFormat="1" x14ac:dyDescent="0.25"/>
    <row r="30974" s="12" customFormat="1" x14ac:dyDescent="0.25"/>
    <row r="30975" s="12" customFormat="1" x14ac:dyDescent="0.25"/>
    <row r="30976" s="12" customFormat="1" x14ac:dyDescent="0.25"/>
    <row r="30977" s="12" customFormat="1" x14ac:dyDescent="0.25"/>
    <row r="30978" s="12" customFormat="1" x14ac:dyDescent="0.25"/>
    <row r="30979" s="12" customFormat="1" x14ac:dyDescent="0.25"/>
    <row r="30980" s="12" customFormat="1" x14ac:dyDescent="0.25"/>
    <row r="30981" s="12" customFormat="1" x14ac:dyDescent="0.25"/>
    <row r="30982" s="12" customFormat="1" x14ac:dyDescent="0.25"/>
    <row r="30983" s="12" customFormat="1" x14ac:dyDescent="0.25"/>
    <row r="30984" s="12" customFormat="1" x14ac:dyDescent="0.25"/>
    <row r="30985" s="12" customFormat="1" x14ac:dyDescent="0.25"/>
    <row r="30986" s="12" customFormat="1" x14ac:dyDescent="0.25"/>
    <row r="30987" s="12" customFormat="1" x14ac:dyDescent="0.25"/>
    <row r="30988" s="12" customFormat="1" x14ac:dyDescent="0.25"/>
    <row r="30989" s="12" customFormat="1" x14ac:dyDescent="0.25"/>
    <row r="30990" s="12" customFormat="1" x14ac:dyDescent="0.25"/>
    <row r="30991" s="12" customFormat="1" x14ac:dyDescent="0.25"/>
    <row r="30992" s="12" customFormat="1" x14ac:dyDescent="0.25"/>
    <row r="30993" s="12" customFormat="1" x14ac:dyDescent="0.25"/>
    <row r="30994" s="12" customFormat="1" x14ac:dyDescent="0.25"/>
    <row r="30995" s="12" customFormat="1" x14ac:dyDescent="0.25"/>
    <row r="30996" s="12" customFormat="1" x14ac:dyDescent="0.25"/>
    <row r="30997" s="12" customFormat="1" x14ac:dyDescent="0.25"/>
    <row r="30998" s="12" customFormat="1" x14ac:dyDescent="0.25"/>
    <row r="30999" s="12" customFormat="1" x14ac:dyDescent="0.25"/>
    <row r="31000" s="12" customFormat="1" x14ac:dyDescent="0.25"/>
    <row r="31001" s="12" customFormat="1" x14ac:dyDescent="0.25"/>
    <row r="31002" s="12" customFormat="1" x14ac:dyDescent="0.25"/>
    <row r="31003" s="12" customFormat="1" x14ac:dyDescent="0.25"/>
    <row r="31004" s="12" customFormat="1" x14ac:dyDescent="0.25"/>
    <row r="31005" s="12" customFormat="1" x14ac:dyDescent="0.25"/>
    <row r="31006" s="12" customFormat="1" x14ac:dyDescent="0.25"/>
    <row r="31007" s="12" customFormat="1" x14ac:dyDescent="0.25"/>
    <row r="31008" s="12" customFormat="1" x14ac:dyDescent="0.25"/>
    <row r="31009" s="12" customFormat="1" x14ac:dyDescent="0.25"/>
    <row r="31010" s="12" customFormat="1" x14ac:dyDescent="0.25"/>
    <row r="31011" s="12" customFormat="1" x14ac:dyDescent="0.25"/>
    <row r="31012" s="12" customFormat="1" x14ac:dyDescent="0.25"/>
    <row r="31013" s="12" customFormat="1" x14ac:dyDescent="0.25"/>
    <row r="31014" s="12" customFormat="1" x14ac:dyDescent="0.25"/>
    <row r="31015" s="12" customFormat="1" x14ac:dyDescent="0.25"/>
    <row r="31016" s="12" customFormat="1" x14ac:dyDescent="0.25"/>
    <row r="31017" s="12" customFormat="1" x14ac:dyDescent="0.25"/>
    <row r="31018" s="12" customFormat="1" x14ac:dyDescent="0.25"/>
    <row r="31019" s="12" customFormat="1" x14ac:dyDescent="0.25"/>
    <row r="31020" s="12" customFormat="1" x14ac:dyDescent="0.25"/>
    <row r="31021" s="12" customFormat="1" x14ac:dyDescent="0.25"/>
    <row r="31022" s="12" customFormat="1" x14ac:dyDescent="0.25"/>
    <row r="31023" s="12" customFormat="1" x14ac:dyDescent="0.25"/>
    <row r="31024" s="12" customFormat="1" x14ac:dyDescent="0.25"/>
    <row r="31025" s="12" customFormat="1" x14ac:dyDescent="0.25"/>
    <row r="31026" s="12" customFormat="1" x14ac:dyDescent="0.25"/>
    <row r="31027" s="12" customFormat="1" x14ac:dyDescent="0.25"/>
    <row r="31028" s="12" customFormat="1" x14ac:dyDescent="0.25"/>
    <row r="31029" s="12" customFormat="1" x14ac:dyDescent="0.25"/>
    <row r="31030" s="12" customFormat="1" x14ac:dyDescent="0.25"/>
    <row r="31031" s="12" customFormat="1" x14ac:dyDescent="0.25"/>
    <row r="31032" s="12" customFormat="1" x14ac:dyDescent="0.25"/>
    <row r="31033" s="12" customFormat="1" x14ac:dyDescent="0.25"/>
    <row r="31034" s="12" customFormat="1" x14ac:dyDescent="0.25"/>
    <row r="31035" s="12" customFormat="1" x14ac:dyDescent="0.25"/>
    <row r="31036" s="12" customFormat="1" x14ac:dyDescent="0.25"/>
    <row r="31037" s="12" customFormat="1" x14ac:dyDescent="0.25"/>
    <row r="31038" s="12" customFormat="1" x14ac:dyDescent="0.25"/>
    <row r="31039" s="12" customFormat="1" x14ac:dyDescent="0.25"/>
    <row r="31040" s="12" customFormat="1" x14ac:dyDescent="0.25"/>
    <row r="31041" s="12" customFormat="1" x14ac:dyDescent="0.25"/>
    <row r="31042" s="12" customFormat="1" x14ac:dyDescent="0.25"/>
    <row r="31043" s="12" customFormat="1" x14ac:dyDescent="0.25"/>
    <row r="31044" s="12" customFormat="1" x14ac:dyDescent="0.25"/>
    <row r="31045" s="12" customFormat="1" x14ac:dyDescent="0.25"/>
    <row r="31046" s="12" customFormat="1" x14ac:dyDescent="0.25"/>
    <row r="31047" s="12" customFormat="1" x14ac:dyDescent="0.25"/>
    <row r="31048" s="12" customFormat="1" x14ac:dyDescent="0.25"/>
    <row r="31049" s="12" customFormat="1" x14ac:dyDescent="0.25"/>
    <row r="31050" s="12" customFormat="1" x14ac:dyDescent="0.25"/>
    <row r="31051" s="12" customFormat="1" x14ac:dyDescent="0.25"/>
    <row r="31052" s="12" customFormat="1" x14ac:dyDescent="0.25"/>
    <row r="31053" s="12" customFormat="1" x14ac:dyDescent="0.25"/>
    <row r="31054" s="12" customFormat="1" x14ac:dyDescent="0.25"/>
    <row r="31055" s="12" customFormat="1" x14ac:dyDescent="0.25"/>
    <row r="31056" s="12" customFormat="1" x14ac:dyDescent="0.25"/>
    <row r="31057" s="12" customFormat="1" x14ac:dyDescent="0.25"/>
    <row r="31058" s="12" customFormat="1" x14ac:dyDescent="0.25"/>
    <row r="31059" s="12" customFormat="1" x14ac:dyDescent="0.25"/>
    <row r="31060" s="12" customFormat="1" x14ac:dyDescent="0.25"/>
    <row r="31061" s="12" customFormat="1" x14ac:dyDescent="0.25"/>
    <row r="31062" s="12" customFormat="1" x14ac:dyDescent="0.25"/>
    <row r="31063" s="12" customFormat="1" x14ac:dyDescent="0.25"/>
    <row r="31064" s="12" customFormat="1" x14ac:dyDescent="0.25"/>
    <row r="31065" s="12" customFormat="1" x14ac:dyDescent="0.25"/>
    <row r="31066" s="12" customFormat="1" x14ac:dyDescent="0.25"/>
    <row r="31067" s="12" customFormat="1" x14ac:dyDescent="0.25"/>
    <row r="31068" s="12" customFormat="1" x14ac:dyDescent="0.25"/>
    <row r="31069" s="12" customFormat="1" x14ac:dyDescent="0.25"/>
    <row r="31070" s="12" customFormat="1" x14ac:dyDescent="0.25"/>
    <row r="31071" s="12" customFormat="1" x14ac:dyDescent="0.25"/>
    <row r="31072" s="12" customFormat="1" x14ac:dyDescent="0.25"/>
    <row r="31073" s="12" customFormat="1" x14ac:dyDescent="0.25"/>
    <row r="31074" s="12" customFormat="1" x14ac:dyDescent="0.25"/>
    <row r="31075" s="12" customFormat="1" x14ac:dyDescent="0.25"/>
    <row r="31076" s="12" customFormat="1" x14ac:dyDescent="0.25"/>
    <row r="31077" s="12" customFormat="1" x14ac:dyDescent="0.25"/>
    <row r="31078" s="12" customFormat="1" x14ac:dyDescent="0.25"/>
    <row r="31079" s="12" customFormat="1" x14ac:dyDescent="0.25"/>
    <row r="31080" s="12" customFormat="1" x14ac:dyDescent="0.25"/>
    <row r="31081" s="12" customFormat="1" x14ac:dyDescent="0.25"/>
    <row r="31082" s="12" customFormat="1" x14ac:dyDescent="0.25"/>
    <row r="31083" s="12" customFormat="1" x14ac:dyDescent="0.25"/>
    <row r="31084" s="12" customFormat="1" x14ac:dyDescent="0.25"/>
    <row r="31085" s="12" customFormat="1" x14ac:dyDescent="0.25"/>
    <row r="31086" s="12" customFormat="1" x14ac:dyDescent="0.25"/>
    <row r="31087" s="12" customFormat="1" x14ac:dyDescent="0.25"/>
    <row r="31088" s="12" customFormat="1" x14ac:dyDescent="0.25"/>
    <row r="31089" s="12" customFormat="1" x14ac:dyDescent="0.25"/>
    <row r="31090" s="12" customFormat="1" x14ac:dyDescent="0.25"/>
    <row r="31091" s="12" customFormat="1" x14ac:dyDescent="0.25"/>
    <row r="31092" s="12" customFormat="1" x14ac:dyDescent="0.25"/>
    <row r="31093" s="12" customFormat="1" x14ac:dyDescent="0.25"/>
    <row r="31094" s="12" customFormat="1" x14ac:dyDescent="0.25"/>
    <row r="31095" s="12" customFormat="1" x14ac:dyDescent="0.25"/>
    <row r="31096" s="12" customFormat="1" x14ac:dyDescent="0.25"/>
    <row r="31097" s="12" customFormat="1" x14ac:dyDescent="0.25"/>
    <row r="31098" s="12" customFormat="1" x14ac:dyDescent="0.25"/>
    <row r="31099" s="12" customFormat="1" x14ac:dyDescent="0.25"/>
    <row r="31100" s="12" customFormat="1" x14ac:dyDescent="0.25"/>
    <row r="31101" s="12" customFormat="1" x14ac:dyDescent="0.25"/>
    <row r="31102" s="12" customFormat="1" x14ac:dyDescent="0.25"/>
    <row r="31103" s="12" customFormat="1" x14ac:dyDescent="0.25"/>
    <row r="31104" s="12" customFormat="1" x14ac:dyDescent="0.25"/>
    <row r="31105" s="12" customFormat="1" x14ac:dyDescent="0.25"/>
    <row r="31106" s="12" customFormat="1" x14ac:dyDescent="0.25"/>
    <row r="31107" s="12" customFormat="1" x14ac:dyDescent="0.25"/>
    <row r="31108" s="12" customFormat="1" x14ac:dyDescent="0.25"/>
    <row r="31109" s="12" customFormat="1" x14ac:dyDescent="0.25"/>
    <row r="31110" s="12" customFormat="1" x14ac:dyDescent="0.25"/>
    <row r="31111" s="12" customFormat="1" x14ac:dyDescent="0.25"/>
    <row r="31112" s="12" customFormat="1" x14ac:dyDescent="0.25"/>
    <row r="31113" s="12" customFormat="1" x14ac:dyDescent="0.25"/>
    <row r="31114" s="12" customFormat="1" x14ac:dyDescent="0.25"/>
    <row r="31115" s="12" customFormat="1" x14ac:dyDescent="0.25"/>
    <row r="31116" s="12" customFormat="1" x14ac:dyDescent="0.25"/>
    <row r="31117" s="12" customFormat="1" x14ac:dyDescent="0.25"/>
    <row r="31118" s="12" customFormat="1" x14ac:dyDescent="0.25"/>
    <row r="31119" s="12" customFormat="1" x14ac:dyDescent="0.25"/>
    <row r="31120" s="12" customFormat="1" x14ac:dyDescent="0.25"/>
    <row r="31121" s="12" customFormat="1" x14ac:dyDescent="0.25"/>
    <row r="31122" s="12" customFormat="1" x14ac:dyDescent="0.25"/>
    <row r="31123" s="12" customFormat="1" x14ac:dyDescent="0.25"/>
    <row r="31124" s="12" customFormat="1" x14ac:dyDescent="0.25"/>
    <row r="31125" s="12" customFormat="1" x14ac:dyDescent="0.25"/>
    <row r="31126" s="12" customFormat="1" x14ac:dyDescent="0.25"/>
    <row r="31127" s="12" customFormat="1" x14ac:dyDescent="0.25"/>
    <row r="31128" s="12" customFormat="1" x14ac:dyDescent="0.25"/>
    <row r="31129" s="12" customFormat="1" x14ac:dyDescent="0.25"/>
    <row r="31130" s="12" customFormat="1" x14ac:dyDescent="0.25"/>
    <row r="31131" s="12" customFormat="1" x14ac:dyDescent="0.25"/>
    <row r="31132" s="12" customFormat="1" x14ac:dyDescent="0.25"/>
    <row r="31133" s="12" customFormat="1" x14ac:dyDescent="0.25"/>
    <row r="31134" s="12" customFormat="1" x14ac:dyDescent="0.25"/>
    <row r="31135" s="12" customFormat="1" x14ac:dyDescent="0.25"/>
    <row r="31136" s="12" customFormat="1" x14ac:dyDescent="0.25"/>
    <row r="31137" s="12" customFormat="1" x14ac:dyDescent="0.25"/>
    <row r="31138" s="12" customFormat="1" x14ac:dyDescent="0.25"/>
    <row r="31139" s="12" customFormat="1" x14ac:dyDescent="0.25"/>
    <row r="31140" s="12" customFormat="1" x14ac:dyDescent="0.25"/>
    <row r="31141" s="12" customFormat="1" x14ac:dyDescent="0.25"/>
    <row r="31142" s="12" customFormat="1" x14ac:dyDescent="0.25"/>
    <row r="31143" s="12" customFormat="1" x14ac:dyDescent="0.25"/>
    <row r="31144" s="12" customFormat="1" x14ac:dyDescent="0.25"/>
    <row r="31145" s="12" customFormat="1" x14ac:dyDescent="0.25"/>
    <row r="31146" s="12" customFormat="1" x14ac:dyDescent="0.25"/>
    <row r="31147" s="12" customFormat="1" x14ac:dyDescent="0.25"/>
    <row r="31148" s="12" customFormat="1" x14ac:dyDescent="0.25"/>
    <row r="31149" s="12" customFormat="1" x14ac:dyDescent="0.25"/>
    <row r="31150" s="12" customFormat="1" x14ac:dyDescent="0.25"/>
    <row r="31151" s="12" customFormat="1" x14ac:dyDescent="0.25"/>
    <row r="31152" s="12" customFormat="1" x14ac:dyDescent="0.25"/>
    <row r="31153" s="12" customFormat="1" x14ac:dyDescent="0.25"/>
    <row r="31154" s="12" customFormat="1" x14ac:dyDescent="0.25"/>
    <row r="31155" s="12" customFormat="1" x14ac:dyDescent="0.25"/>
    <row r="31156" s="12" customFormat="1" x14ac:dyDescent="0.25"/>
    <row r="31157" s="12" customFormat="1" x14ac:dyDescent="0.25"/>
    <row r="31158" s="12" customFormat="1" x14ac:dyDescent="0.25"/>
    <row r="31159" s="12" customFormat="1" x14ac:dyDescent="0.25"/>
    <row r="31160" s="12" customFormat="1" x14ac:dyDescent="0.25"/>
    <row r="31161" s="12" customFormat="1" x14ac:dyDescent="0.25"/>
    <row r="31162" s="12" customFormat="1" x14ac:dyDescent="0.25"/>
    <row r="31163" s="12" customFormat="1" x14ac:dyDescent="0.25"/>
    <row r="31164" s="12" customFormat="1" x14ac:dyDescent="0.25"/>
    <row r="31165" s="12" customFormat="1" x14ac:dyDescent="0.25"/>
    <row r="31166" s="12" customFormat="1" x14ac:dyDescent="0.25"/>
    <row r="31167" s="12" customFormat="1" x14ac:dyDescent="0.25"/>
    <row r="31168" s="12" customFormat="1" x14ac:dyDescent="0.25"/>
    <row r="31169" s="12" customFormat="1" x14ac:dyDescent="0.25"/>
    <row r="31170" s="12" customFormat="1" x14ac:dyDescent="0.25"/>
    <row r="31171" s="12" customFormat="1" x14ac:dyDescent="0.25"/>
    <row r="31172" s="12" customFormat="1" x14ac:dyDescent="0.25"/>
    <row r="31173" s="12" customFormat="1" x14ac:dyDescent="0.25"/>
    <row r="31174" s="12" customFormat="1" x14ac:dyDescent="0.25"/>
    <row r="31175" s="12" customFormat="1" x14ac:dyDescent="0.25"/>
    <row r="31176" s="12" customFormat="1" x14ac:dyDescent="0.25"/>
    <row r="31177" s="12" customFormat="1" x14ac:dyDescent="0.25"/>
    <row r="31178" s="12" customFormat="1" x14ac:dyDescent="0.25"/>
    <row r="31179" s="12" customFormat="1" x14ac:dyDescent="0.25"/>
    <row r="31180" s="12" customFormat="1" x14ac:dyDescent="0.25"/>
    <row r="31181" s="12" customFormat="1" x14ac:dyDescent="0.25"/>
    <row r="31182" s="12" customFormat="1" x14ac:dyDescent="0.25"/>
    <row r="31183" s="12" customFormat="1" x14ac:dyDescent="0.25"/>
    <row r="31184" s="12" customFormat="1" x14ac:dyDescent="0.25"/>
    <row r="31185" s="12" customFormat="1" x14ac:dyDescent="0.25"/>
    <row r="31186" s="12" customFormat="1" x14ac:dyDescent="0.25"/>
    <row r="31187" s="12" customFormat="1" x14ac:dyDescent="0.25"/>
    <row r="31188" s="12" customFormat="1" x14ac:dyDescent="0.25"/>
    <row r="31189" s="12" customFormat="1" x14ac:dyDescent="0.25"/>
    <row r="31190" s="12" customFormat="1" x14ac:dyDescent="0.25"/>
    <row r="31191" s="12" customFormat="1" x14ac:dyDescent="0.25"/>
    <row r="31192" s="12" customFormat="1" x14ac:dyDescent="0.25"/>
    <row r="31193" s="12" customFormat="1" x14ac:dyDescent="0.25"/>
    <row r="31194" s="12" customFormat="1" x14ac:dyDescent="0.25"/>
    <row r="31195" s="12" customFormat="1" x14ac:dyDescent="0.25"/>
    <row r="31196" s="12" customFormat="1" x14ac:dyDescent="0.25"/>
    <row r="31197" s="12" customFormat="1" x14ac:dyDescent="0.25"/>
    <row r="31198" s="12" customFormat="1" x14ac:dyDescent="0.25"/>
    <row r="31199" s="12" customFormat="1" x14ac:dyDescent="0.25"/>
    <row r="31200" s="12" customFormat="1" x14ac:dyDescent="0.25"/>
    <row r="31201" s="12" customFormat="1" x14ac:dyDescent="0.25"/>
    <row r="31202" s="12" customFormat="1" x14ac:dyDescent="0.25"/>
    <row r="31203" s="12" customFormat="1" x14ac:dyDescent="0.25"/>
    <row r="31204" s="12" customFormat="1" x14ac:dyDescent="0.25"/>
    <row r="31205" s="12" customFormat="1" x14ac:dyDescent="0.25"/>
    <row r="31206" s="12" customFormat="1" x14ac:dyDescent="0.25"/>
    <row r="31207" s="12" customFormat="1" x14ac:dyDescent="0.25"/>
    <row r="31208" s="12" customFormat="1" x14ac:dyDescent="0.25"/>
    <row r="31209" s="12" customFormat="1" x14ac:dyDescent="0.25"/>
    <row r="31210" s="12" customFormat="1" x14ac:dyDescent="0.25"/>
    <row r="31211" s="12" customFormat="1" x14ac:dyDescent="0.25"/>
    <row r="31212" s="12" customFormat="1" x14ac:dyDescent="0.25"/>
    <row r="31213" s="12" customFormat="1" x14ac:dyDescent="0.25"/>
    <row r="31214" s="12" customFormat="1" x14ac:dyDescent="0.25"/>
    <row r="31215" s="12" customFormat="1" x14ac:dyDescent="0.25"/>
    <row r="31216" s="12" customFormat="1" x14ac:dyDescent="0.25"/>
    <row r="31217" s="12" customFormat="1" x14ac:dyDescent="0.25"/>
    <row r="31218" s="12" customFormat="1" x14ac:dyDescent="0.25"/>
    <row r="31219" s="12" customFormat="1" x14ac:dyDescent="0.25"/>
    <row r="31220" s="12" customFormat="1" x14ac:dyDescent="0.25"/>
    <row r="31221" s="12" customFormat="1" x14ac:dyDescent="0.25"/>
    <row r="31222" s="12" customFormat="1" x14ac:dyDescent="0.25"/>
    <row r="31223" s="12" customFormat="1" x14ac:dyDescent="0.25"/>
    <row r="31224" s="12" customFormat="1" x14ac:dyDescent="0.25"/>
    <row r="31225" s="12" customFormat="1" x14ac:dyDescent="0.25"/>
    <row r="31226" s="12" customFormat="1" x14ac:dyDescent="0.25"/>
    <row r="31227" s="12" customFormat="1" x14ac:dyDescent="0.25"/>
    <row r="31228" s="12" customFormat="1" x14ac:dyDescent="0.25"/>
    <row r="31229" s="12" customFormat="1" x14ac:dyDescent="0.25"/>
    <row r="31230" s="12" customFormat="1" x14ac:dyDescent="0.25"/>
    <row r="31231" s="12" customFormat="1" x14ac:dyDescent="0.25"/>
    <row r="31232" s="12" customFormat="1" x14ac:dyDescent="0.25"/>
    <row r="31233" s="12" customFormat="1" x14ac:dyDescent="0.25"/>
    <row r="31234" s="12" customFormat="1" x14ac:dyDescent="0.25"/>
    <row r="31235" s="12" customFormat="1" x14ac:dyDescent="0.25"/>
    <row r="31236" s="12" customFormat="1" x14ac:dyDescent="0.25"/>
    <row r="31237" s="12" customFormat="1" x14ac:dyDescent="0.25"/>
    <row r="31238" s="12" customFormat="1" x14ac:dyDescent="0.25"/>
    <row r="31239" s="12" customFormat="1" x14ac:dyDescent="0.25"/>
    <row r="31240" s="12" customFormat="1" x14ac:dyDescent="0.25"/>
    <row r="31241" s="12" customFormat="1" x14ac:dyDescent="0.25"/>
    <row r="31242" s="12" customFormat="1" x14ac:dyDescent="0.25"/>
    <row r="31243" s="12" customFormat="1" x14ac:dyDescent="0.25"/>
    <row r="31244" s="12" customFormat="1" x14ac:dyDescent="0.25"/>
    <row r="31245" s="12" customFormat="1" x14ac:dyDescent="0.25"/>
    <row r="31246" s="12" customFormat="1" x14ac:dyDescent="0.25"/>
    <row r="31247" s="12" customFormat="1" x14ac:dyDescent="0.25"/>
    <row r="31248" s="12" customFormat="1" x14ac:dyDescent="0.25"/>
    <row r="31249" s="12" customFormat="1" x14ac:dyDescent="0.25"/>
    <row r="31250" s="12" customFormat="1" x14ac:dyDescent="0.25"/>
    <row r="31251" s="12" customFormat="1" x14ac:dyDescent="0.25"/>
    <row r="31252" s="12" customFormat="1" x14ac:dyDescent="0.25"/>
    <row r="31253" s="12" customFormat="1" x14ac:dyDescent="0.25"/>
    <row r="31254" s="12" customFormat="1" x14ac:dyDescent="0.25"/>
    <row r="31255" s="12" customFormat="1" x14ac:dyDescent="0.25"/>
    <row r="31256" s="12" customFormat="1" x14ac:dyDescent="0.25"/>
    <row r="31257" s="12" customFormat="1" x14ac:dyDescent="0.25"/>
    <row r="31258" s="12" customFormat="1" x14ac:dyDescent="0.25"/>
    <row r="31259" s="12" customFormat="1" x14ac:dyDescent="0.25"/>
    <row r="31260" s="12" customFormat="1" x14ac:dyDescent="0.25"/>
    <row r="31261" s="12" customFormat="1" x14ac:dyDescent="0.25"/>
    <row r="31262" s="12" customFormat="1" x14ac:dyDescent="0.25"/>
    <row r="31263" s="12" customFormat="1" x14ac:dyDescent="0.25"/>
    <row r="31264" s="12" customFormat="1" x14ac:dyDescent="0.25"/>
    <row r="31265" s="12" customFormat="1" x14ac:dyDescent="0.25"/>
    <row r="31266" s="12" customFormat="1" x14ac:dyDescent="0.25"/>
    <row r="31267" s="12" customFormat="1" x14ac:dyDescent="0.25"/>
    <row r="31268" s="12" customFormat="1" x14ac:dyDescent="0.25"/>
    <row r="31269" s="12" customFormat="1" x14ac:dyDescent="0.25"/>
    <row r="31270" s="12" customFormat="1" x14ac:dyDescent="0.25"/>
    <row r="31271" s="12" customFormat="1" x14ac:dyDescent="0.25"/>
    <row r="31272" s="12" customFormat="1" x14ac:dyDescent="0.25"/>
    <row r="31273" s="12" customFormat="1" x14ac:dyDescent="0.25"/>
    <row r="31274" s="12" customFormat="1" x14ac:dyDescent="0.25"/>
    <row r="31275" s="12" customFormat="1" x14ac:dyDescent="0.25"/>
    <row r="31276" s="12" customFormat="1" x14ac:dyDescent="0.25"/>
    <row r="31277" s="12" customFormat="1" x14ac:dyDescent="0.25"/>
    <row r="31278" s="12" customFormat="1" x14ac:dyDescent="0.25"/>
    <row r="31279" s="12" customFormat="1" x14ac:dyDescent="0.25"/>
    <row r="31280" s="12" customFormat="1" x14ac:dyDescent="0.25"/>
    <row r="31281" s="12" customFormat="1" x14ac:dyDescent="0.25"/>
    <row r="31282" s="12" customFormat="1" x14ac:dyDescent="0.25"/>
    <row r="31283" s="12" customFormat="1" x14ac:dyDescent="0.25"/>
    <row r="31284" s="12" customFormat="1" x14ac:dyDescent="0.25"/>
    <row r="31285" s="12" customFormat="1" x14ac:dyDescent="0.25"/>
    <row r="31286" s="12" customFormat="1" x14ac:dyDescent="0.25"/>
    <row r="31287" s="12" customFormat="1" x14ac:dyDescent="0.25"/>
    <row r="31288" s="12" customFormat="1" x14ac:dyDescent="0.25"/>
    <row r="31289" s="12" customFormat="1" x14ac:dyDescent="0.25"/>
    <row r="31290" s="12" customFormat="1" x14ac:dyDescent="0.25"/>
    <row r="31291" s="12" customFormat="1" x14ac:dyDescent="0.25"/>
    <row r="31292" s="12" customFormat="1" x14ac:dyDescent="0.25"/>
    <row r="31293" s="12" customFormat="1" x14ac:dyDescent="0.25"/>
    <row r="31294" s="12" customFormat="1" x14ac:dyDescent="0.25"/>
    <row r="31295" s="12" customFormat="1" x14ac:dyDescent="0.25"/>
    <row r="31296" s="12" customFormat="1" x14ac:dyDescent="0.25"/>
    <row r="31297" s="12" customFormat="1" x14ac:dyDescent="0.25"/>
    <row r="31298" s="12" customFormat="1" x14ac:dyDescent="0.25"/>
    <row r="31299" s="12" customFormat="1" x14ac:dyDescent="0.25"/>
    <row r="31300" s="12" customFormat="1" x14ac:dyDescent="0.25"/>
    <row r="31301" s="12" customFormat="1" x14ac:dyDescent="0.25"/>
    <row r="31302" s="12" customFormat="1" x14ac:dyDescent="0.25"/>
    <row r="31303" s="12" customFormat="1" x14ac:dyDescent="0.25"/>
    <row r="31304" s="12" customFormat="1" x14ac:dyDescent="0.25"/>
    <row r="31305" s="12" customFormat="1" x14ac:dyDescent="0.25"/>
    <row r="31306" s="12" customFormat="1" x14ac:dyDescent="0.25"/>
    <row r="31307" s="12" customFormat="1" x14ac:dyDescent="0.25"/>
    <row r="31308" s="12" customFormat="1" x14ac:dyDescent="0.25"/>
    <row r="31309" s="12" customFormat="1" x14ac:dyDescent="0.25"/>
    <row r="31310" s="12" customFormat="1" x14ac:dyDescent="0.25"/>
    <row r="31311" s="12" customFormat="1" x14ac:dyDescent="0.25"/>
    <row r="31312" s="12" customFormat="1" x14ac:dyDescent="0.25"/>
    <row r="31313" s="12" customFormat="1" x14ac:dyDescent="0.25"/>
    <row r="31314" s="12" customFormat="1" x14ac:dyDescent="0.25"/>
    <row r="31315" s="12" customFormat="1" x14ac:dyDescent="0.25"/>
    <row r="31316" s="12" customFormat="1" x14ac:dyDescent="0.25"/>
    <row r="31317" s="12" customFormat="1" x14ac:dyDescent="0.25"/>
    <row r="31318" s="12" customFormat="1" x14ac:dyDescent="0.25"/>
    <row r="31319" s="12" customFormat="1" x14ac:dyDescent="0.25"/>
    <row r="31320" s="12" customFormat="1" x14ac:dyDescent="0.25"/>
    <row r="31321" s="12" customFormat="1" x14ac:dyDescent="0.25"/>
    <row r="31322" s="12" customFormat="1" x14ac:dyDescent="0.25"/>
    <row r="31323" s="12" customFormat="1" x14ac:dyDescent="0.25"/>
    <row r="31324" s="12" customFormat="1" x14ac:dyDescent="0.25"/>
    <row r="31325" s="12" customFormat="1" x14ac:dyDescent="0.25"/>
    <row r="31326" s="12" customFormat="1" x14ac:dyDescent="0.25"/>
    <row r="31327" s="12" customFormat="1" x14ac:dyDescent="0.25"/>
    <row r="31328" s="12" customFormat="1" x14ac:dyDescent="0.25"/>
    <row r="31329" s="12" customFormat="1" x14ac:dyDescent="0.25"/>
    <row r="31330" s="12" customFormat="1" x14ac:dyDescent="0.25"/>
    <row r="31331" s="12" customFormat="1" x14ac:dyDescent="0.25"/>
    <row r="31332" s="12" customFormat="1" x14ac:dyDescent="0.25"/>
    <row r="31333" s="12" customFormat="1" x14ac:dyDescent="0.25"/>
    <row r="31334" s="12" customFormat="1" x14ac:dyDescent="0.25"/>
    <row r="31335" s="12" customFormat="1" x14ac:dyDescent="0.25"/>
    <row r="31336" s="12" customFormat="1" x14ac:dyDescent="0.25"/>
    <row r="31337" s="12" customFormat="1" x14ac:dyDescent="0.25"/>
    <row r="31338" s="12" customFormat="1" x14ac:dyDescent="0.25"/>
    <row r="31339" s="12" customFormat="1" x14ac:dyDescent="0.25"/>
    <row r="31340" s="12" customFormat="1" x14ac:dyDescent="0.25"/>
    <row r="31341" s="12" customFormat="1" x14ac:dyDescent="0.25"/>
    <row r="31342" s="12" customFormat="1" x14ac:dyDescent="0.25"/>
    <row r="31343" s="12" customFormat="1" x14ac:dyDescent="0.25"/>
    <row r="31344" s="12" customFormat="1" x14ac:dyDescent="0.25"/>
    <row r="31345" s="12" customFormat="1" x14ac:dyDescent="0.25"/>
    <row r="31346" s="12" customFormat="1" x14ac:dyDescent="0.25"/>
    <row r="31347" s="12" customFormat="1" x14ac:dyDescent="0.25"/>
    <row r="31348" s="12" customFormat="1" x14ac:dyDescent="0.25"/>
    <row r="31349" s="12" customFormat="1" x14ac:dyDescent="0.25"/>
    <row r="31350" s="12" customFormat="1" x14ac:dyDescent="0.25"/>
    <row r="31351" s="12" customFormat="1" x14ac:dyDescent="0.25"/>
    <row r="31352" s="12" customFormat="1" x14ac:dyDescent="0.25"/>
    <row r="31353" s="12" customFormat="1" x14ac:dyDescent="0.25"/>
    <row r="31354" s="12" customFormat="1" x14ac:dyDescent="0.25"/>
    <row r="31355" s="12" customFormat="1" x14ac:dyDescent="0.25"/>
    <row r="31356" s="12" customFormat="1" x14ac:dyDescent="0.25"/>
    <row r="31357" s="12" customFormat="1" x14ac:dyDescent="0.25"/>
    <row r="31358" s="12" customFormat="1" x14ac:dyDescent="0.25"/>
    <row r="31359" s="12" customFormat="1" x14ac:dyDescent="0.25"/>
    <row r="31360" s="12" customFormat="1" x14ac:dyDescent="0.25"/>
    <row r="31361" s="12" customFormat="1" x14ac:dyDescent="0.25"/>
    <row r="31362" s="12" customFormat="1" x14ac:dyDescent="0.25"/>
    <row r="31363" s="12" customFormat="1" x14ac:dyDescent="0.25"/>
    <row r="31364" s="12" customFormat="1" x14ac:dyDescent="0.25"/>
    <row r="31365" s="12" customFormat="1" x14ac:dyDescent="0.25"/>
    <row r="31366" s="12" customFormat="1" x14ac:dyDescent="0.25"/>
    <row r="31367" s="12" customFormat="1" x14ac:dyDescent="0.25"/>
    <row r="31368" s="12" customFormat="1" x14ac:dyDescent="0.25"/>
    <row r="31369" s="12" customFormat="1" x14ac:dyDescent="0.25"/>
    <row r="31370" s="12" customFormat="1" x14ac:dyDescent="0.25"/>
    <row r="31371" s="12" customFormat="1" x14ac:dyDescent="0.25"/>
    <row r="31372" s="12" customFormat="1" x14ac:dyDescent="0.25"/>
    <row r="31373" s="12" customFormat="1" x14ac:dyDescent="0.25"/>
    <row r="31374" s="12" customFormat="1" x14ac:dyDescent="0.25"/>
    <row r="31375" s="12" customFormat="1" x14ac:dyDescent="0.25"/>
    <row r="31376" s="12" customFormat="1" x14ac:dyDescent="0.25"/>
    <row r="31377" s="12" customFormat="1" x14ac:dyDescent="0.25"/>
    <row r="31378" s="12" customFormat="1" x14ac:dyDescent="0.25"/>
    <row r="31379" s="12" customFormat="1" x14ac:dyDescent="0.25"/>
    <row r="31380" s="12" customFormat="1" x14ac:dyDescent="0.25"/>
    <row r="31381" s="12" customFormat="1" x14ac:dyDescent="0.25"/>
    <row r="31382" s="12" customFormat="1" x14ac:dyDescent="0.25"/>
    <row r="31383" s="12" customFormat="1" x14ac:dyDescent="0.25"/>
    <row r="31384" s="12" customFormat="1" x14ac:dyDescent="0.25"/>
    <row r="31385" s="12" customFormat="1" x14ac:dyDescent="0.25"/>
    <row r="31386" s="12" customFormat="1" x14ac:dyDescent="0.25"/>
    <row r="31387" s="12" customFormat="1" x14ac:dyDescent="0.25"/>
    <row r="31388" s="12" customFormat="1" x14ac:dyDescent="0.25"/>
    <row r="31389" s="12" customFormat="1" x14ac:dyDescent="0.25"/>
    <row r="31390" s="12" customFormat="1" x14ac:dyDescent="0.25"/>
    <row r="31391" s="12" customFormat="1" x14ac:dyDescent="0.25"/>
    <row r="31392" s="12" customFormat="1" x14ac:dyDescent="0.25"/>
    <row r="31393" s="12" customFormat="1" x14ac:dyDescent="0.25"/>
    <row r="31394" s="12" customFormat="1" x14ac:dyDescent="0.25"/>
    <row r="31395" s="12" customFormat="1" x14ac:dyDescent="0.25"/>
    <row r="31396" s="12" customFormat="1" x14ac:dyDescent="0.25"/>
    <row r="31397" s="12" customFormat="1" x14ac:dyDescent="0.25"/>
    <row r="31398" s="12" customFormat="1" x14ac:dyDescent="0.25"/>
    <row r="31399" s="12" customFormat="1" x14ac:dyDescent="0.25"/>
    <row r="31400" s="12" customFormat="1" x14ac:dyDescent="0.25"/>
    <row r="31401" s="12" customFormat="1" x14ac:dyDescent="0.25"/>
    <row r="31402" s="12" customFormat="1" x14ac:dyDescent="0.25"/>
    <row r="31403" s="12" customFormat="1" x14ac:dyDescent="0.25"/>
    <row r="31404" s="12" customFormat="1" x14ac:dyDescent="0.25"/>
    <row r="31405" s="12" customFormat="1" x14ac:dyDescent="0.25"/>
    <row r="31406" s="12" customFormat="1" x14ac:dyDescent="0.25"/>
    <row r="31407" s="12" customFormat="1" x14ac:dyDescent="0.25"/>
    <row r="31408" s="12" customFormat="1" x14ac:dyDescent="0.25"/>
    <row r="31409" s="12" customFormat="1" x14ac:dyDescent="0.25"/>
    <row r="31410" s="12" customFormat="1" x14ac:dyDescent="0.25"/>
    <row r="31411" s="12" customFormat="1" x14ac:dyDescent="0.25"/>
    <row r="31412" s="12" customFormat="1" x14ac:dyDescent="0.25"/>
    <row r="31413" s="12" customFormat="1" x14ac:dyDescent="0.25"/>
    <row r="31414" s="12" customFormat="1" x14ac:dyDescent="0.25"/>
    <row r="31415" s="12" customFormat="1" x14ac:dyDescent="0.25"/>
    <row r="31416" s="12" customFormat="1" x14ac:dyDescent="0.25"/>
    <row r="31417" s="12" customFormat="1" x14ac:dyDescent="0.25"/>
    <row r="31418" s="12" customFormat="1" x14ac:dyDescent="0.25"/>
    <row r="31419" s="12" customFormat="1" x14ac:dyDescent="0.25"/>
    <row r="31420" s="12" customFormat="1" x14ac:dyDescent="0.25"/>
    <row r="31421" s="12" customFormat="1" x14ac:dyDescent="0.25"/>
    <row r="31422" s="12" customFormat="1" x14ac:dyDescent="0.25"/>
    <row r="31423" s="12" customFormat="1" x14ac:dyDescent="0.25"/>
    <row r="31424" s="12" customFormat="1" x14ac:dyDescent="0.25"/>
    <row r="31425" s="12" customFormat="1" x14ac:dyDescent="0.25"/>
    <row r="31426" s="12" customFormat="1" x14ac:dyDescent="0.25"/>
    <row r="31427" s="12" customFormat="1" x14ac:dyDescent="0.25"/>
    <row r="31428" s="12" customFormat="1" x14ac:dyDescent="0.25"/>
    <row r="31429" s="12" customFormat="1" x14ac:dyDescent="0.25"/>
    <row r="31430" s="12" customFormat="1" x14ac:dyDescent="0.25"/>
    <row r="31431" s="12" customFormat="1" x14ac:dyDescent="0.25"/>
    <row r="31432" s="12" customFormat="1" x14ac:dyDescent="0.25"/>
    <row r="31433" s="12" customFormat="1" x14ac:dyDescent="0.25"/>
    <row r="31434" s="12" customFormat="1" x14ac:dyDescent="0.25"/>
    <row r="31435" s="12" customFormat="1" x14ac:dyDescent="0.25"/>
    <row r="31436" s="12" customFormat="1" x14ac:dyDescent="0.25"/>
    <row r="31437" s="12" customFormat="1" x14ac:dyDescent="0.25"/>
    <row r="31438" s="12" customFormat="1" x14ac:dyDescent="0.25"/>
    <row r="31439" s="12" customFormat="1" x14ac:dyDescent="0.25"/>
    <row r="31440" s="12" customFormat="1" x14ac:dyDescent="0.25"/>
    <row r="31441" s="12" customFormat="1" x14ac:dyDescent="0.25"/>
    <row r="31442" s="12" customFormat="1" x14ac:dyDescent="0.25"/>
    <row r="31443" s="12" customFormat="1" x14ac:dyDescent="0.25"/>
    <row r="31444" s="12" customFormat="1" x14ac:dyDescent="0.25"/>
    <row r="31445" s="12" customFormat="1" x14ac:dyDescent="0.25"/>
    <row r="31446" s="12" customFormat="1" x14ac:dyDescent="0.25"/>
    <row r="31447" s="12" customFormat="1" x14ac:dyDescent="0.25"/>
    <row r="31448" s="12" customFormat="1" x14ac:dyDescent="0.25"/>
    <row r="31449" s="12" customFormat="1" x14ac:dyDescent="0.25"/>
    <row r="31450" s="12" customFormat="1" x14ac:dyDescent="0.25"/>
    <row r="31451" s="12" customFormat="1" x14ac:dyDescent="0.25"/>
    <row r="31452" s="12" customFormat="1" x14ac:dyDescent="0.25"/>
    <row r="31453" s="12" customFormat="1" x14ac:dyDescent="0.25"/>
    <row r="31454" s="12" customFormat="1" x14ac:dyDescent="0.25"/>
    <row r="31455" s="12" customFormat="1" x14ac:dyDescent="0.25"/>
    <row r="31456" s="12" customFormat="1" x14ac:dyDescent="0.25"/>
    <row r="31457" s="12" customFormat="1" x14ac:dyDescent="0.25"/>
    <row r="31458" s="12" customFormat="1" x14ac:dyDescent="0.25"/>
    <row r="31459" s="12" customFormat="1" x14ac:dyDescent="0.25"/>
    <row r="31460" s="12" customFormat="1" x14ac:dyDescent="0.25"/>
    <row r="31461" s="12" customFormat="1" x14ac:dyDescent="0.25"/>
    <row r="31462" s="12" customFormat="1" x14ac:dyDescent="0.25"/>
    <row r="31463" s="12" customFormat="1" x14ac:dyDescent="0.25"/>
    <row r="31464" s="12" customFormat="1" x14ac:dyDescent="0.25"/>
    <row r="31465" s="12" customFormat="1" x14ac:dyDescent="0.25"/>
    <row r="31466" s="12" customFormat="1" x14ac:dyDescent="0.25"/>
    <row r="31467" s="12" customFormat="1" x14ac:dyDescent="0.25"/>
    <row r="31468" s="12" customFormat="1" x14ac:dyDescent="0.25"/>
    <row r="31469" s="12" customFormat="1" x14ac:dyDescent="0.25"/>
    <row r="31470" s="12" customFormat="1" x14ac:dyDescent="0.25"/>
    <row r="31471" s="12" customFormat="1" x14ac:dyDescent="0.25"/>
    <row r="31472" s="12" customFormat="1" x14ac:dyDescent="0.25"/>
    <row r="31473" s="12" customFormat="1" x14ac:dyDescent="0.25"/>
    <row r="31474" s="12" customFormat="1" x14ac:dyDescent="0.25"/>
    <row r="31475" s="12" customFormat="1" x14ac:dyDescent="0.25"/>
    <row r="31476" s="12" customFormat="1" x14ac:dyDescent="0.25"/>
    <row r="31477" s="12" customFormat="1" x14ac:dyDescent="0.25"/>
    <row r="31478" s="12" customFormat="1" x14ac:dyDescent="0.25"/>
    <row r="31479" s="12" customFormat="1" x14ac:dyDescent="0.25"/>
    <row r="31480" s="12" customFormat="1" x14ac:dyDescent="0.25"/>
    <row r="31481" s="12" customFormat="1" x14ac:dyDescent="0.25"/>
    <row r="31482" s="12" customFormat="1" x14ac:dyDescent="0.25"/>
    <row r="31483" s="12" customFormat="1" x14ac:dyDescent="0.25"/>
    <row r="31484" s="12" customFormat="1" x14ac:dyDescent="0.25"/>
    <row r="31485" s="12" customFormat="1" x14ac:dyDescent="0.25"/>
    <row r="31486" s="12" customFormat="1" x14ac:dyDescent="0.25"/>
    <row r="31487" s="12" customFormat="1" x14ac:dyDescent="0.25"/>
    <row r="31488" s="12" customFormat="1" x14ac:dyDescent="0.25"/>
    <row r="31489" s="12" customFormat="1" x14ac:dyDescent="0.25"/>
    <row r="31490" s="12" customFormat="1" x14ac:dyDescent="0.25"/>
    <row r="31491" s="12" customFormat="1" x14ac:dyDescent="0.25"/>
    <row r="31492" s="12" customFormat="1" x14ac:dyDescent="0.25"/>
    <row r="31493" s="12" customFormat="1" x14ac:dyDescent="0.25"/>
    <row r="31494" s="12" customFormat="1" x14ac:dyDescent="0.25"/>
    <row r="31495" s="12" customFormat="1" x14ac:dyDescent="0.25"/>
    <row r="31496" s="12" customFormat="1" x14ac:dyDescent="0.25"/>
    <row r="31497" s="12" customFormat="1" x14ac:dyDescent="0.25"/>
    <row r="31498" s="12" customFormat="1" x14ac:dyDescent="0.25"/>
    <row r="31499" s="12" customFormat="1" x14ac:dyDescent="0.25"/>
    <row r="31500" s="12" customFormat="1" x14ac:dyDescent="0.25"/>
    <row r="31501" s="12" customFormat="1" x14ac:dyDescent="0.25"/>
    <row r="31502" s="12" customFormat="1" x14ac:dyDescent="0.25"/>
    <row r="31503" s="12" customFormat="1" x14ac:dyDescent="0.25"/>
    <row r="31504" s="12" customFormat="1" x14ac:dyDescent="0.25"/>
    <row r="31505" s="12" customFormat="1" x14ac:dyDescent="0.25"/>
    <row r="31506" s="12" customFormat="1" x14ac:dyDescent="0.25"/>
    <row r="31507" s="12" customFormat="1" x14ac:dyDescent="0.25"/>
    <row r="31508" s="12" customFormat="1" x14ac:dyDescent="0.25"/>
    <row r="31509" s="12" customFormat="1" x14ac:dyDescent="0.25"/>
    <row r="31510" s="12" customFormat="1" x14ac:dyDescent="0.25"/>
    <row r="31511" s="12" customFormat="1" x14ac:dyDescent="0.25"/>
    <row r="31512" s="12" customFormat="1" x14ac:dyDescent="0.25"/>
    <row r="31513" s="12" customFormat="1" x14ac:dyDescent="0.25"/>
    <row r="31514" s="12" customFormat="1" x14ac:dyDescent="0.25"/>
    <row r="31515" s="12" customFormat="1" x14ac:dyDescent="0.25"/>
    <row r="31516" s="12" customFormat="1" x14ac:dyDescent="0.25"/>
    <row r="31517" s="12" customFormat="1" x14ac:dyDescent="0.25"/>
    <row r="31518" s="12" customFormat="1" x14ac:dyDescent="0.25"/>
    <row r="31519" s="12" customFormat="1" x14ac:dyDescent="0.25"/>
    <row r="31520" s="12" customFormat="1" x14ac:dyDescent="0.25"/>
    <row r="31521" s="12" customFormat="1" x14ac:dyDescent="0.25"/>
    <row r="31522" s="12" customFormat="1" x14ac:dyDescent="0.25"/>
    <row r="31523" s="12" customFormat="1" x14ac:dyDescent="0.25"/>
    <row r="31524" s="12" customFormat="1" x14ac:dyDescent="0.25"/>
    <row r="31525" s="12" customFormat="1" x14ac:dyDescent="0.25"/>
    <row r="31526" s="12" customFormat="1" x14ac:dyDescent="0.25"/>
    <row r="31527" s="12" customFormat="1" x14ac:dyDescent="0.25"/>
    <row r="31528" s="12" customFormat="1" x14ac:dyDescent="0.25"/>
    <row r="31529" s="12" customFormat="1" x14ac:dyDescent="0.25"/>
    <row r="31530" s="12" customFormat="1" x14ac:dyDescent="0.25"/>
    <row r="31531" s="12" customFormat="1" x14ac:dyDescent="0.25"/>
    <row r="31532" s="12" customFormat="1" x14ac:dyDescent="0.25"/>
    <row r="31533" s="12" customFormat="1" x14ac:dyDescent="0.25"/>
    <row r="31534" s="12" customFormat="1" x14ac:dyDescent="0.25"/>
    <row r="31535" s="12" customFormat="1" x14ac:dyDescent="0.25"/>
    <row r="31536" s="12" customFormat="1" x14ac:dyDescent="0.25"/>
    <row r="31537" s="12" customFormat="1" x14ac:dyDescent="0.25"/>
    <row r="31538" s="12" customFormat="1" x14ac:dyDescent="0.25"/>
    <row r="31539" s="12" customFormat="1" x14ac:dyDescent="0.25"/>
    <row r="31540" s="12" customFormat="1" x14ac:dyDescent="0.25"/>
    <row r="31541" s="12" customFormat="1" x14ac:dyDescent="0.25"/>
    <row r="31542" s="12" customFormat="1" x14ac:dyDescent="0.25"/>
    <row r="31543" s="12" customFormat="1" x14ac:dyDescent="0.25"/>
    <row r="31544" s="12" customFormat="1" x14ac:dyDescent="0.25"/>
    <row r="31545" s="12" customFormat="1" x14ac:dyDescent="0.25"/>
    <row r="31546" s="12" customFormat="1" x14ac:dyDescent="0.25"/>
    <row r="31547" s="12" customFormat="1" x14ac:dyDescent="0.25"/>
    <row r="31548" s="12" customFormat="1" x14ac:dyDescent="0.25"/>
    <row r="31549" s="12" customFormat="1" x14ac:dyDescent="0.25"/>
    <row r="31550" s="12" customFormat="1" x14ac:dyDescent="0.25"/>
    <row r="31551" s="12" customFormat="1" x14ac:dyDescent="0.25"/>
    <row r="31552" s="12" customFormat="1" x14ac:dyDescent="0.25"/>
    <row r="31553" s="12" customFormat="1" x14ac:dyDescent="0.25"/>
    <row r="31554" s="12" customFormat="1" x14ac:dyDescent="0.25"/>
    <row r="31555" s="12" customFormat="1" x14ac:dyDescent="0.25"/>
    <row r="31556" s="12" customFormat="1" x14ac:dyDescent="0.25"/>
    <row r="31557" s="12" customFormat="1" x14ac:dyDescent="0.25"/>
    <row r="31558" s="12" customFormat="1" x14ac:dyDescent="0.25"/>
    <row r="31559" s="12" customFormat="1" x14ac:dyDescent="0.25"/>
    <row r="31560" s="12" customFormat="1" x14ac:dyDescent="0.25"/>
    <row r="31561" s="12" customFormat="1" x14ac:dyDescent="0.25"/>
    <row r="31562" s="12" customFormat="1" x14ac:dyDescent="0.25"/>
    <row r="31563" s="12" customFormat="1" x14ac:dyDescent="0.25"/>
    <row r="31564" s="12" customFormat="1" x14ac:dyDescent="0.25"/>
    <row r="31565" s="12" customFormat="1" x14ac:dyDescent="0.25"/>
    <row r="31566" s="12" customFormat="1" x14ac:dyDescent="0.25"/>
    <row r="31567" s="12" customFormat="1" x14ac:dyDescent="0.25"/>
    <row r="31568" s="12" customFormat="1" x14ac:dyDescent="0.25"/>
    <row r="31569" s="12" customFormat="1" x14ac:dyDescent="0.25"/>
    <row r="31570" s="12" customFormat="1" x14ac:dyDescent="0.25"/>
    <row r="31571" s="12" customFormat="1" x14ac:dyDescent="0.25"/>
    <row r="31572" s="12" customFormat="1" x14ac:dyDescent="0.25"/>
    <row r="31573" s="12" customFormat="1" x14ac:dyDescent="0.25"/>
    <row r="31574" s="12" customFormat="1" x14ac:dyDescent="0.25"/>
    <row r="31575" s="12" customFormat="1" x14ac:dyDescent="0.25"/>
    <row r="31576" s="12" customFormat="1" x14ac:dyDescent="0.25"/>
    <row r="31577" s="12" customFormat="1" x14ac:dyDescent="0.25"/>
    <row r="31578" s="12" customFormat="1" x14ac:dyDescent="0.25"/>
    <row r="31579" s="12" customFormat="1" x14ac:dyDescent="0.25"/>
    <row r="31580" s="12" customFormat="1" x14ac:dyDescent="0.25"/>
    <row r="31581" s="12" customFormat="1" x14ac:dyDescent="0.25"/>
    <row r="31582" s="12" customFormat="1" x14ac:dyDescent="0.25"/>
    <row r="31583" s="12" customFormat="1" x14ac:dyDescent="0.25"/>
    <row r="31584" s="12" customFormat="1" x14ac:dyDescent="0.25"/>
    <row r="31585" s="12" customFormat="1" x14ac:dyDescent="0.25"/>
    <row r="31586" s="12" customFormat="1" x14ac:dyDescent="0.25"/>
    <row r="31587" s="12" customFormat="1" x14ac:dyDescent="0.25"/>
    <row r="31588" s="12" customFormat="1" x14ac:dyDescent="0.25"/>
    <row r="31589" s="12" customFormat="1" x14ac:dyDescent="0.25"/>
    <row r="31590" s="12" customFormat="1" x14ac:dyDescent="0.25"/>
    <row r="31591" s="12" customFormat="1" x14ac:dyDescent="0.25"/>
    <row r="31592" s="12" customFormat="1" x14ac:dyDescent="0.25"/>
    <row r="31593" s="12" customFormat="1" x14ac:dyDescent="0.25"/>
    <row r="31594" s="12" customFormat="1" x14ac:dyDescent="0.25"/>
    <row r="31595" s="12" customFormat="1" x14ac:dyDescent="0.25"/>
    <row r="31596" s="12" customFormat="1" x14ac:dyDescent="0.25"/>
    <row r="31597" s="12" customFormat="1" x14ac:dyDescent="0.25"/>
    <row r="31598" s="12" customFormat="1" x14ac:dyDescent="0.25"/>
    <row r="31599" s="12" customFormat="1" x14ac:dyDescent="0.25"/>
    <row r="31600" s="12" customFormat="1" x14ac:dyDescent="0.25"/>
    <row r="31601" s="12" customFormat="1" x14ac:dyDescent="0.25"/>
    <row r="31602" s="12" customFormat="1" x14ac:dyDescent="0.25"/>
    <row r="31603" s="12" customFormat="1" x14ac:dyDescent="0.25"/>
    <row r="31604" s="12" customFormat="1" x14ac:dyDescent="0.25"/>
    <row r="31605" s="12" customFormat="1" x14ac:dyDescent="0.25"/>
    <row r="31606" s="12" customFormat="1" x14ac:dyDescent="0.25"/>
    <row r="31607" s="12" customFormat="1" x14ac:dyDescent="0.25"/>
    <row r="31608" s="12" customFormat="1" x14ac:dyDescent="0.25"/>
    <row r="31609" s="12" customFormat="1" x14ac:dyDescent="0.25"/>
    <row r="31610" s="12" customFormat="1" x14ac:dyDescent="0.25"/>
    <row r="31611" s="12" customFormat="1" x14ac:dyDescent="0.25"/>
    <row r="31612" s="12" customFormat="1" x14ac:dyDescent="0.25"/>
    <row r="31613" s="12" customFormat="1" x14ac:dyDescent="0.25"/>
    <row r="31614" s="12" customFormat="1" x14ac:dyDescent="0.25"/>
    <row r="31615" s="12" customFormat="1" x14ac:dyDescent="0.25"/>
    <row r="31616" s="12" customFormat="1" x14ac:dyDescent="0.25"/>
    <row r="31617" s="12" customFormat="1" x14ac:dyDescent="0.25"/>
    <row r="31618" s="12" customFormat="1" x14ac:dyDescent="0.25"/>
    <row r="31619" s="12" customFormat="1" x14ac:dyDescent="0.25"/>
    <row r="31620" s="12" customFormat="1" x14ac:dyDescent="0.25"/>
    <row r="31621" s="12" customFormat="1" x14ac:dyDescent="0.25"/>
    <row r="31622" s="12" customFormat="1" x14ac:dyDescent="0.25"/>
    <row r="31623" s="12" customFormat="1" x14ac:dyDescent="0.25"/>
    <row r="31624" s="12" customFormat="1" x14ac:dyDescent="0.25"/>
    <row r="31625" s="12" customFormat="1" x14ac:dyDescent="0.25"/>
    <row r="31626" s="12" customFormat="1" x14ac:dyDescent="0.25"/>
    <row r="31627" s="12" customFormat="1" x14ac:dyDescent="0.25"/>
    <row r="31628" s="12" customFormat="1" x14ac:dyDescent="0.25"/>
    <row r="31629" s="12" customFormat="1" x14ac:dyDescent="0.25"/>
    <row r="31630" s="12" customFormat="1" x14ac:dyDescent="0.25"/>
    <row r="31631" s="12" customFormat="1" x14ac:dyDescent="0.25"/>
    <row r="31632" s="12" customFormat="1" x14ac:dyDescent="0.25"/>
    <row r="31633" s="12" customFormat="1" x14ac:dyDescent="0.25"/>
    <row r="31634" s="12" customFormat="1" x14ac:dyDescent="0.25"/>
    <row r="31635" s="12" customFormat="1" x14ac:dyDescent="0.25"/>
    <row r="31636" s="12" customFormat="1" x14ac:dyDescent="0.25"/>
    <row r="31637" s="12" customFormat="1" x14ac:dyDescent="0.25"/>
    <row r="31638" s="12" customFormat="1" x14ac:dyDescent="0.25"/>
    <row r="31639" s="12" customFormat="1" x14ac:dyDescent="0.25"/>
    <row r="31640" s="12" customFormat="1" x14ac:dyDescent="0.25"/>
    <row r="31641" s="12" customFormat="1" x14ac:dyDescent="0.25"/>
    <row r="31642" s="12" customFormat="1" x14ac:dyDescent="0.25"/>
    <row r="31643" s="12" customFormat="1" x14ac:dyDescent="0.25"/>
    <row r="31644" s="12" customFormat="1" x14ac:dyDescent="0.25"/>
    <row r="31645" s="12" customFormat="1" x14ac:dyDescent="0.25"/>
    <row r="31646" s="12" customFormat="1" x14ac:dyDescent="0.25"/>
    <row r="31647" s="12" customFormat="1" x14ac:dyDescent="0.25"/>
    <row r="31648" s="12" customFormat="1" x14ac:dyDescent="0.25"/>
    <row r="31649" s="12" customFormat="1" x14ac:dyDescent="0.25"/>
    <row r="31650" s="12" customFormat="1" x14ac:dyDescent="0.25"/>
    <row r="31651" s="12" customFormat="1" x14ac:dyDescent="0.25"/>
    <row r="31652" s="12" customFormat="1" x14ac:dyDescent="0.25"/>
    <row r="31653" s="12" customFormat="1" x14ac:dyDescent="0.25"/>
    <row r="31654" s="12" customFormat="1" x14ac:dyDescent="0.25"/>
    <row r="31655" s="12" customFormat="1" x14ac:dyDescent="0.25"/>
    <row r="31656" s="12" customFormat="1" x14ac:dyDescent="0.25"/>
    <row r="31657" s="12" customFormat="1" x14ac:dyDescent="0.25"/>
    <row r="31658" s="12" customFormat="1" x14ac:dyDescent="0.25"/>
    <row r="31659" s="12" customFormat="1" x14ac:dyDescent="0.25"/>
    <row r="31660" s="12" customFormat="1" x14ac:dyDescent="0.25"/>
    <row r="31661" s="12" customFormat="1" x14ac:dyDescent="0.25"/>
    <row r="31662" s="12" customFormat="1" x14ac:dyDescent="0.25"/>
    <row r="31663" s="12" customFormat="1" x14ac:dyDescent="0.25"/>
    <row r="31664" s="12" customFormat="1" x14ac:dyDescent="0.25"/>
    <row r="31665" s="12" customFormat="1" x14ac:dyDescent="0.25"/>
    <row r="31666" s="12" customFormat="1" x14ac:dyDescent="0.25"/>
    <row r="31667" s="12" customFormat="1" x14ac:dyDescent="0.25"/>
    <row r="31668" s="12" customFormat="1" x14ac:dyDescent="0.25"/>
    <row r="31669" s="12" customFormat="1" x14ac:dyDescent="0.25"/>
    <row r="31670" s="12" customFormat="1" x14ac:dyDescent="0.25"/>
    <row r="31671" s="12" customFormat="1" x14ac:dyDescent="0.25"/>
    <row r="31672" s="12" customFormat="1" x14ac:dyDescent="0.25"/>
    <row r="31673" s="12" customFormat="1" x14ac:dyDescent="0.25"/>
    <row r="31674" s="12" customFormat="1" x14ac:dyDescent="0.25"/>
    <row r="31675" s="12" customFormat="1" x14ac:dyDescent="0.25"/>
    <row r="31676" s="12" customFormat="1" x14ac:dyDescent="0.25"/>
    <row r="31677" s="12" customFormat="1" x14ac:dyDescent="0.25"/>
    <row r="31678" s="12" customFormat="1" x14ac:dyDescent="0.25"/>
    <row r="31679" s="12" customFormat="1" x14ac:dyDescent="0.25"/>
    <row r="31680" s="12" customFormat="1" x14ac:dyDescent="0.25"/>
    <row r="31681" s="12" customFormat="1" x14ac:dyDescent="0.25"/>
    <row r="31682" s="12" customFormat="1" x14ac:dyDescent="0.25"/>
    <row r="31683" s="12" customFormat="1" x14ac:dyDescent="0.25"/>
    <row r="31684" s="12" customFormat="1" x14ac:dyDescent="0.25"/>
    <row r="31685" s="12" customFormat="1" x14ac:dyDescent="0.25"/>
    <row r="31686" s="12" customFormat="1" x14ac:dyDescent="0.25"/>
    <row r="31687" s="12" customFormat="1" x14ac:dyDescent="0.25"/>
    <row r="31688" s="12" customFormat="1" x14ac:dyDescent="0.25"/>
    <row r="31689" s="12" customFormat="1" x14ac:dyDescent="0.25"/>
    <row r="31690" s="12" customFormat="1" x14ac:dyDescent="0.25"/>
    <row r="31691" s="12" customFormat="1" x14ac:dyDescent="0.25"/>
    <row r="31692" s="12" customFormat="1" x14ac:dyDescent="0.25"/>
    <row r="31693" s="12" customFormat="1" x14ac:dyDescent="0.25"/>
    <row r="31694" s="12" customFormat="1" x14ac:dyDescent="0.25"/>
    <row r="31695" s="12" customFormat="1" x14ac:dyDescent="0.25"/>
    <row r="31696" s="12" customFormat="1" x14ac:dyDescent="0.25"/>
    <row r="31697" s="12" customFormat="1" x14ac:dyDescent="0.25"/>
    <row r="31698" s="12" customFormat="1" x14ac:dyDescent="0.25"/>
    <row r="31699" s="12" customFormat="1" x14ac:dyDescent="0.25"/>
    <row r="31700" s="12" customFormat="1" x14ac:dyDescent="0.25"/>
    <row r="31701" s="12" customFormat="1" x14ac:dyDescent="0.25"/>
    <row r="31702" s="12" customFormat="1" x14ac:dyDescent="0.25"/>
    <row r="31703" s="12" customFormat="1" x14ac:dyDescent="0.25"/>
    <row r="31704" s="12" customFormat="1" x14ac:dyDescent="0.25"/>
    <row r="31705" s="12" customFormat="1" x14ac:dyDescent="0.25"/>
    <row r="31706" s="12" customFormat="1" x14ac:dyDescent="0.25"/>
    <row r="31707" s="12" customFormat="1" x14ac:dyDescent="0.25"/>
    <row r="31708" s="12" customFormat="1" x14ac:dyDescent="0.25"/>
    <row r="31709" s="12" customFormat="1" x14ac:dyDescent="0.25"/>
    <row r="31710" s="12" customFormat="1" x14ac:dyDescent="0.25"/>
    <row r="31711" s="12" customFormat="1" x14ac:dyDescent="0.25"/>
    <row r="31712" s="12" customFormat="1" x14ac:dyDescent="0.25"/>
    <row r="31713" s="12" customFormat="1" x14ac:dyDescent="0.25"/>
    <row r="31714" s="12" customFormat="1" x14ac:dyDescent="0.25"/>
    <row r="31715" s="12" customFormat="1" x14ac:dyDescent="0.25"/>
    <row r="31716" s="12" customFormat="1" x14ac:dyDescent="0.25"/>
    <row r="31717" s="12" customFormat="1" x14ac:dyDescent="0.25"/>
    <row r="31718" s="12" customFormat="1" x14ac:dyDescent="0.25"/>
    <row r="31719" s="12" customFormat="1" x14ac:dyDescent="0.25"/>
    <row r="31720" s="12" customFormat="1" x14ac:dyDescent="0.25"/>
    <row r="31721" s="12" customFormat="1" x14ac:dyDescent="0.25"/>
    <row r="31722" s="12" customFormat="1" x14ac:dyDescent="0.25"/>
    <row r="31723" s="12" customFormat="1" x14ac:dyDescent="0.25"/>
    <row r="31724" s="12" customFormat="1" x14ac:dyDescent="0.25"/>
    <row r="31725" s="12" customFormat="1" x14ac:dyDescent="0.25"/>
    <row r="31726" s="12" customFormat="1" x14ac:dyDescent="0.25"/>
    <row r="31727" s="12" customFormat="1" x14ac:dyDescent="0.25"/>
    <row r="31728" s="12" customFormat="1" x14ac:dyDescent="0.25"/>
    <row r="31729" s="12" customFormat="1" x14ac:dyDescent="0.25"/>
    <row r="31730" s="12" customFormat="1" x14ac:dyDescent="0.25"/>
    <row r="31731" s="12" customFormat="1" x14ac:dyDescent="0.25"/>
    <row r="31732" s="12" customFormat="1" x14ac:dyDescent="0.25"/>
    <row r="31733" s="12" customFormat="1" x14ac:dyDescent="0.25"/>
    <row r="31734" s="12" customFormat="1" x14ac:dyDescent="0.25"/>
    <row r="31735" s="12" customFormat="1" x14ac:dyDescent="0.25"/>
    <row r="31736" s="12" customFormat="1" x14ac:dyDescent="0.25"/>
    <row r="31737" s="12" customFormat="1" x14ac:dyDescent="0.25"/>
    <row r="31738" s="12" customFormat="1" x14ac:dyDescent="0.25"/>
    <row r="31739" s="12" customFormat="1" x14ac:dyDescent="0.25"/>
    <row r="31740" s="12" customFormat="1" x14ac:dyDescent="0.25"/>
    <row r="31741" s="12" customFormat="1" x14ac:dyDescent="0.25"/>
    <row r="31742" s="12" customFormat="1" x14ac:dyDescent="0.25"/>
    <row r="31743" s="12" customFormat="1" x14ac:dyDescent="0.25"/>
    <row r="31744" s="12" customFormat="1" x14ac:dyDescent="0.25"/>
    <row r="31745" s="12" customFormat="1" x14ac:dyDescent="0.25"/>
    <row r="31746" s="12" customFormat="1" x14ac:dyDescent="0.25"/>
    <row r="31747" s="12" customFormat="1" x14ac:dyDescent="0.25"/>
    <row r="31748" s="12" customFormat="1" x14ac:dyDescent="0.25"/>
    <row r="31749" s="12" customFormat="1" x14ac:dyDescent="0.25"/>
    <row r="31750" s="12" customFormat="1" x14ac:dyDescent="0.25"/>
    <row r="31751" s="12" customFormat="1" x14ac:dyDescent="0.25"/>
    <row r="31752" s="12" customFormat="1" x14ac:dyDescent="0.25"/>
    <row r="31753" s="12" customFormat="1" x14ac:dyDescent="0.25"/>
    <row r="31754" s="12" customFormat="1" x14ac:dyDescent="0.25"/>
    <row r="31755" s="12" customFormat="1" x14ac:dyDescent="0.25"/>
    <row r="31756" s="12" customFormat="1" x14ac:dyDescent="0.25"/>
    <row r="31757" s="12" customFormat="1" x14ac:dyDescent="0.25"/>
    <row r="31758" s="12" customFormat="1" x14ac:dyDescent="0.25"/>
    <row r="31759" s="12" customFormat="1" x14ac:dyDescent="0.25"/>
    <row r="31760" s="12" customFormat="1" x14ac:dyDescent="0.25"/>
    <row r="31761" s="12" customFormat="1" x14ac:dyDescent="0.25"/>
    <row r="31762" s="12" customFormat="1" x14ac:dyDescent="0.25"/>
    <row r="31763" s="12" customFormat="1" x14ac:dyDescent="0.25"/>
    <row r="31764" s="12" customFormat="1" x14ac:dyDescent="0.25"/>
    <row r="31765" s="12" customFormat="1" x14ac:dyDescent="0.25"/>
    <row r="31766" s="12" customFormat="1" x14ac:dyDescent="0.25"/>
    <row r="31767" s="12" customFormat="1" x14ac:dyDescent="0.25"/>
    <row r="31768" s="12" customFormat="1" x14ac:dyDescent="0.25"/>
    <row r="31769" s="12" customFormat="1" x14ac:dyDescent="0.25"/>
    <row r="31770" s="12" customFormat="1" x14ac:dyDescent="0.25"/>
    <row r="31771" s="12" customFormat="1" x14ac:dyDescent="0.25"/>
    <row r="31772" s="12" customFormat="1" x14ac:dyDescent="0.25"/>
    <row r="31773" s="12" customFormat="1" x14ac:dyDescent="0.25"/>
    <row r="31774" s="12" customFormat="1" x14ac:dyDescent="0.25"/>
    <row r="31775" s="12" customFormat="1" x14ac:dyDescent="0.25"/>
    <row r="31776" s="12" customFormat="1" x14ac:dyDescent="0.25"/>
    <row r="31777" s="12" customFormat="1" x14ac:dyDescent="0.25"/>
    <row r="31778" s="12" customFormat="1" x14ac:dyDescent="0.25"/>
    <row r="31779" s="12" customFormat="1" x14ac:dyDescent="0.25"/>
    <row r="31780" s="12" customFormat="1" x14ac:dyDescent="0.25"/>
    <row r="31781" s="12" customFormat="1" x14ac:dyDescent="0.25"/>
    <row r="31782" s="12" customFormat="1" x14ac:dyDescent="0.25"/>
    <row r="31783" s="12" customFormat="1" x14ac:dyDescent="0.25"/>
    <row r="31784" s="12" customFormat="1" x14ac:dyDescent="0.25"/>
    <row r="31785" s="12" customFormat="1" x14ac:dyDescent="0.25"/>
    <row r="31786" s="12" customFormat="1" x14ac:dyDescent="0.25"/>
    <row r="31787" s="12" customFormat="1" x14ac:dyDescent="0.25"/>
    <row r="31788" s="12" customFormat="1" x14ac:dyDescent="0.25"/>
    <row r="31789" s="12" customFormat="1" x14ac:dyDescent="0.25"/>
    <row r="31790" s="12" customFormat="1" x14ac:dyDescent="0.25"/>
    <row r="31791" s="12" customFormat="1" x14ac:dyDescent="0.25"/>
    <row r="31792" s="12" customFormat="1" x14ac:dyDescent="0.25"/>
    <row r="31793" s="12" customFormat="1" x14ac:dyDescent="0.25"/>
    <row r="31794" s="12" customFormat="1" x14ac:dyDescent="0.25"/>
    <row r="31795" s="12" customFormat="1" x14ac:dyDescent="0.25"/>
    <row r="31796" s="12" customFormat="1" x14ac:dyDescent="0.25"/>
    <row r="31797" s="12" customFormat="1" x14ac:dyDescent="0.25"/>
    <row r="31798" s="12" customFormat="1" x14ac:dyDescent="0.25"/>
    <row r="31799" s="12" customFormat="1" x14ac:dyDescent="0.25"/>
    <row r="31800" s="12" customFormat="1" x14ac:dyDescent="0.25"/>
    <row r="31801" s="12" customFormat="1" x14ac:dyDescent="0.25"/>
    <row r="31802" s="12" customFormat="1" x14ac:dyDescent="0.25"/>
    <row r="31803" s="12" customFormat="1" x14ac:dyDescent="0.25"/>
    <row r="31804" s="12" customFormat="1" x14ac:dyDescent="0.25"/>
    <row r="31805" s="12" customFormat="1" x14ac:dyDescent="0.25"/>
    <row r="31806" s="12" customFormat="1" x14ac:dyDescent="0.25"/>
    <row r="31807" s="12" customFormat="1" x14ac:dyDescent="0.25"/>
    <row r="31808" s="12" customFormat="1" x14ac:dyDescent="0.25"/>
    <row r="31809" s="12" customFormat="1" x14ac:dyDescent="0.25"/>
    <row r="31810" s="12" customFormat="1" x14ac:dyDescent="0.25"/>
    <row r="31811" s="12" customFormat="1" x14ac:dyDescent="0.25"/>
    <row r="31812" s="12" customFormat="1" x14ac:dyDescent="0.25"/>
    <row r="31813" s="12" customFormat="1" x14ac:dyDescent="0.25"/>
    <row r="31814" s="12" customFormat="1" x14ac:dyDescent="0.25"/>
    <row r="31815" s="12" customFormat="1" x14ac:dyDescent="0.25"/>
    <row r="31816" s="12" customFormat="1" x14ac:dyDescent="0.25"/>
    <row r="31817" s="12" customFormat="1" x14ac:dyDescent="0.25"/>
    <row r="31818" s="12" customFormat="1" x14ac:dyDescent="0.25"/>
    <row r="31819" s="12" customFormat="1" x14ac:dyDescent="0.25"/>
    <row r="31820" s="12" customFormat="1" x14ac:dyDescent="0.25"/>
    <row r="31821" s="12" customFormat="1" x14ac:dyDescent="0.25"/>
    <row r="31822" s="12" customFormat="1" x14ac:dyDescent="0.25"/>
    <row r="31823" s="12" customFormat="1" x14ac:dyDescent="0.25"/>
    <row r="31824" s="12" customFormat="1" x14ac:dyDescent="0.25"/>
    <row r="31825" s="12" customFormat="1" x14ac:dyDescent="0.25"/>
    <row r="31826" s="12" customFormat="1" x14ac:dyDescent="0.25"/>
    <row r="31827" s="12" customFormat="1" x14ac:dyDescent="0.25"/>
    <row r="31828" s="12" customFormat="1" x14ac:dyDescent="0.25"/>
    <row r="31829" s="12" customFormat="1" x14ac:dyDescent="0.25"/>
    <row r="31830" s="12" customFormat="1" x14ac:dyDescent="0.25"/>
    <row r="31831" s="12" customFormat="1" x14ac:dyDescent="0.25"/>
    <row r="31832" s="12" customFormat="1" x14ac:dyDescent="0.25"/>
    <row r="31833" s="12" customFormat="1" x14ac:dyDescent="0.25"/>
    <row r="31834" s="12" customFormat="1" x14ac:dyDescent="0.25"/>
    <row r="31835" s="12" customFormat="1" x14ac:dyDescent="0.25"/>
    <row r="31836" s="12" customFormat="1" x14ac:dyDescent="0.25"/>
    <row r="31837" s="12" customFormat="1" x14ac:dyDescent="0.25"/>
    <row r="31838" s="12" customFormat="1" x14ac:dyDescent="0.25"/>
    <row r="31839" s="12" customFormat="1" x14ac:dyDescent="0.25"/>
    <row r="31840" s="12" customFormat="1" x14ac:dyDescent="0.25"/>
    <row r="31841" s="12" customFormat="1" x14ac:dyDescent="0.25"/>
    <row r="31842" s="12" customFormat="1" x14ac:dyDescent="0.25"/>
    <row r="31843" s="12" customFormat="1" x14ac:dyDescent="0.25"/>
    <row r="31844" s="12" customFormat="1" x14ac:dyDescent="0.25"/>
    <row r="31845" s="12" customFormat="1" x14ac:dyDescent="0.25"/>
    <row r="31846" s="12" customFormat="1" x14ac:dyDescent="0.25"/>
    <row r="31847" s="12" customFormat="1" x14ac:dyDescent="0.25"/>
    <row r="31848" s="12" customFormat="1" x14ac:dyDescent="0.25"/>
    <row r="31849" s="12" customFormat="1" x14ac:dyDescent="0.25"/>
    <row r="31850" s="12" customFormat="1" x14ac:dyDescent="0.25"/>
    <row r="31851" s="12" customFormat="1" x14ac:dyDescent="0.25"/>
    <row r="31852" s="12" customFormat="1" x14ac:dyDescent="0.25"/>
    <row r="31853" s="12" customFormat="1" x14ac:dyDescent="0.25"/>
    <row r="31854" s="12" customFormat="1" x14ac:dyDescent="0.25"/>
    <row r="31855" s="12" customFormat="1" x14ac:dyDescent="0.25"/>
    <row r="31856" s="12" customFormat="1" x14ac:dyDescent="0.25"/>
    <row r="31857" s="12" customFormat="1" x14ac:dyDescent="0.25"/>
    <row r="31858" s="12" customFormat="1" x14ac:dyDescent="0.25"/>
    <row r="31859" s="12" customFormat="1" x14ac:dyDescent="0.25"/>
    <row r="31860" s="12" customFormat="1" x14ac:dyDescent="0.25"/>
    <row r="31861" s="12" customFormat="1" x14ac:dyDescent="0.25"/>
    <row r="31862" s="12" customFormat="1" x14ac:dyDescent="0.25"/>
    <row r="31863" s="12" customFormat="1" x14ac:dyDescent="0.25"/>
    <row r="31864" s="12" customFormat="1" x14ac:dyDescent="0.25"/>
    <row r="31865" s="12" customFormat="1" x14ac:dyDescent="0.25"/>
    <row r="31866" s="12" customFormat="1" x14ac:dyDescent="0.25"/>
    <row r="31867" s="12" customFormat="1" x14ac:dyDescent="0.25"/>
    <row r="31868" s="12" customFormat="1" x14ac:dyDescent="0.25"/>
    <row r="31869" s="12" customFormat="1" x14ac:dyDescent="0.25"/>
    <row r="31870" s="12" customFormat="1" x14ac:dyDescent="0.25"/>
    <row r="31871" s="12" customFormat="1" x14ac:dyDescent="0.25"/>
    <row r="31872" s="12" customFormat="1" x14ac:dyDescent="0.25"/>
    <row r="31873" s="12" customFormat="1" x14ac:dyDescent="0.25"/>
    <row r="31874" s="12" customFormat="1" x14ac:dyDescent="0.25"/>
    <row r="31875" s="12" customFormat="1" x14ac:dyDescent="0.25"/>
    <row r="31876" s="12" customFormat="1" x14ac:dyDescent="0.25"/>
    <row r="31877" s="12" customFormat="1" x14ac:dyDescent="0.25"/>
    <row r="31878" s="12" customFormat="1" x14ac:dyDescent="0.25"/>
    <row r="31879" s="12" customFormat="1" x14ac:dyDescent="0.25"/>
    <row r="31880" s="12" customFormat="1" x14ac:dyDescent="0.25"/>
    <row r="31881" s="12" customFormat="1" x14ac:dyDescent="0.25"/>
    <row r="31882" s="12" customFormat="1" x14ac:dyDescent="0.25"/>
    <row r="31883" s="12" customFormat="1" x14ac:dyDescent="0.25"/>
    <row r="31884" s="12" customFormat="1" x14ac:dyDescent="0.25"/>
    <row r="31885" s="12" customFormat="1" x14ac:dyDescent="0.25"/>
    <row r="31886" s="12" customFormat="1" x14ac:dyDescent="0.25"/>
    <row r="31887" s="12" customFormat="1" x14ac:dyDescent="0.25"/>
    <row r="31888" s="12" customFormat="1" x14ac:dyDescent="0.25"/>
    <row r="31889" s="12" customFormat="1" x14ac:dyDescent="0.25"/>
    <row r="31890" s="12" customFormat="1" x14ac:dyDescent="0.25"/>
    <row r="31891" s="12" customFormat="1" x14ac:dyDescent="0.25"/>
    <row r="31892" s="12" customFormat="1" x14ac:dyDescent="0.25"/>
    <row r="31893" s="12" customFormat="1" x14ac:dyDescent="0.25"/>
    <row r="31894" s="12" customFormat="1" x14ac:dyDescent="0.25"/>
    <row r="31895" s="12" customFormat="1" x14ac:dyDescent="0.25"/>
    <row r="31896" s="12" customFormat="1" x14ac:dyDescent="0.25"/>
    <row r="31897" s="12" customFormat="1" x14ac:dyDescent="0.25"/>
    <row r="31898" s="12" customFormat="1" x14ac:dyDescent="0.25"/>
    <row r="31899" s="12" customFormat="1" x14ac:dyDescent="0.25"/>
    <row r="31900" s="12" customFormat="1" x14ac:dyDescent="0.25"/>
    <row r="31901" s="12" customFormat="1" x14ac:dyDescent="0.25"/>
    <row r="31902" s="12" customFormat="1" x14ac:dyDescent="0.25"/>
    <row r="31903" s="12" customFormat="1" x14ac:dyDescent="0.25"/>
    <row r="31904" s="12" customFormat="1" x14ac:dyDescent="0.25"/>
    <row r="31905" s="12" customFormat="1" x14ac:dyDescent="0.25"/>
    <row r="31906" s="12" customFormat="1" x14ac:dyDescent="0.25"/>
    <row r="31907" s="12" customFormat="1" x14ac:dyDescent="0.25"/>
    <row r="31908" s="12" customFormat="1" x14ac:dyDescent="0.25"/>
    <row r="31909" s="12" customFormat="1" x14ac:dyDescent="0.25"/>
    <row r="31910" s="12" customFormat="1" x14ac:dyDescent="0.25"/>
    <row r="31911" s="12" customFormat="1" x14ac:dyDescent="0.25"/>
    <row r="31912" s="12" customFormat="1" x14ac:dyDescent="0.25"/>
    <row r="31913" s="12" customFormat="1" x14ac:dyDescent="0.25"/>
    <row r="31914" s="12" customFormat="1" x14ac:dyDescent="0.25"/>
    <row r="31915" s="12" customFormat="1" x14ac:dyDescent="0.25"/>
    <row r="31916" s="12" customFormat="1" x14ac:dyDescent="0.25"/>
    <row r="31917" s="12" customFormat="1" x14ac:dyDescent="0.25"/>
    <row r="31918" s="12" customFormat="1" x14ac:dyDescent="0.25"/>
    <row r="31919" s="12" customFormat="1" x14ac:dyDescent="0.25"/>
    <row r="31920" s="12" customFormat="1" x14ac:dyDescent="0.25"/>
    <row r="31921" s="12" customFormat="1" x14ac:dyDescent="0.25"/>
    <row r="31922" s="12" customFormat="1" x14ac:dyDescent="0.25"/>
    <row r="31923" s="12" customFormat="1" x14ac:dyDescent="0.25"/>
    <row r="31924" s="12" customFormat="1" x14ac:dyDescent="0.25"/>
    <row r="31925" s="12" customFormat="1" x14ac:dyDescent="0.25"/>
    <row r="31926" s="12" customFormat="1" x14ac:dyDescent="0.25"/>
    <row r="31927" s="12" customFormat="1" x14ac:dyDescent="0.25"/>
    <row r="31928" s="12" customFormat="1" x14ac:dyDescent="0.25"/>
    <row r="31929" s="12" customFormat="1" x14ac:dyDescent="0.25"/>
    <row r="31930" s="12" customFormat="1" x14ac:dyDescent="0.25"/>
    <row r="31931" s="12" customFormat="1" x14ac:dyDescent="0.25"/>
    <row r="31932" s="12" customFormat="1" x14ac:dyDescent="0.25"/>
    <row r="31933" s="12" customFormat="1" x14ac:dyDescent="0.25"/>
    <row r="31934" s="12" customFormat="1" x14ac:dyDescent="0.25"/>
    <row r="31935" s="12" customFormat="1" x14ac:dyDescent="0.25"/>
    <row r="31936" s="12" customFormat="1" x14ac:dyDescent="0.25"/>
    <row r="31937" s="12" customFormat="1" x14ac:dyDescent="0.25"/>
    <row r="31938" s="12" customFormat="1" x14ac:dyDescent="0.25"/>
    <row r="31939" s="12" customFormat="1" x14ac:dyDescent="0.25"/>
    <row r="31940" s="12" customFormat="1" x14ac:dyDescent="0.25"/>
    <row r="31941" s="12" customFormat="1" x14ac:dyDescent="0.25"/>
    <row r="31942" s="12" customFormat="1" x14ac:dyDescent="0.25"/>
    <row r="31943" s="12" customFormat="1" x14ac:dyDescent="0.25"/>
    <row r="31944" s="12" customFormat="1" x14ac:dyDescent="0.25"/>
    <row r="31945" s="12" customFormat="1" x14ac:dyDescent="0.25"/>
    <row r="31946" s="12" customFormat="1" x14ac:dyDescent="0.25"/>
    <row r="31947" s="12" customFormat="1" x14ac:dyDescent="0.25"/>
    <row r="31948" s="12" customFormat="1" x14ac:dyDescent="0.25"/>
    <row r="31949" s="12" customFormat="1" x14ac:dyDescent="0.25"/>
    <row r="31950" s="12" customFormat="1" x14ac:dyDescent="0.25"/>
    <row r="31951" s="12" customFormat="1" x14ac:dyDescent="0.25"/>
    <row r="31952" s="12" customFormat="1" x14ac:dyDescent="0.25"/>
    <row r="31953" s="12" customFormat="1" x14ac:dyDescent="0.25"/>
    <row r="31954" s="12" customFormat="1" x14ac:dyDescent="0.25"/>
    <row r="31955" s="12" customFormat="1" x14ac:dyDescent="0.25"/>
    <row r="31956" s="12" customFormat="1" x14ac:dyDescent="0.25"/>
    <row r="31957" s="12" customFormat="1" x14ac:dyDescent="0.25"/>
    <row r="31958" s="12" customFormat="1" x14ac:dyDescent="0.25"/>
    <row r="31959" s="12" customFormat="1" x14ac:dyDescent="0.25"/>
    <row r="31960" s="12" customFormat="1" x14ac:dyDescent="0.25"/>
    <row r="31961" s="12" customFormat="1" x14ac:dyDescent="0.25"/>
    <row r="31962" s="12" customFormat="1" x14ac:dyDescent="0.25"/>
    <row r="31963" s="12" customFormat="1" x14ac:dyDescent="0.25"/>
    <row r="31964" s="12" customFormat="1" x14ac:dyDescent="0.25"/>
    <row r="31965" s="12" customFormat="1" x14ac:dyDescent="0.25"/>
    <row r="31966" s="12" customFormat="1" x14ac:dyDescent="0.25"/>
    <row r="31967" s="12" customFormat="1" x14ac:dyDescent="0.25"/>
    <row r="31968" s="12" customFormat="1" x14ac:dyDescent="0.25"/>
    <row r="31969" s="12" customFormat="1" x14ac:dyDescent="0.25"/>
    <row r="31970" s="12" customFormat="1" x14ac:dyDescent="0.25"/>
    <row r="31971" s="12" customFormat="1" x14ac:dyDescent="0.25"/>
    <row r="31972" s="12" customFormat="1" x14ac:dyDescent="0.25"/>
    <row r="31973" s="12" customFormat="1" x14ac:dyDescent="0.25"/>
    <row r="31974" s="12" customFormat="1" x14ac:dyDescent="0.25"/>
    <row r="31975" s="12" customFormat="1" x14ac:dyDescent="0.25"/>
    <row r="31976" s="12" customFormat="1" x14ac:dyDescent="0.25"/>
    <row r="31977" s="12" customFormat="1" x14ac:dyDescent="0.25"/>
    <row r="31978" s="12" customFormat="1" x14ac:dyDescent="0.25"/>
    <row r="31979" s="12" customFormat="1" x14ac:dyDescent="0.25"/>
    <row r="31980" s="12" customFormat="1" x14ac:dyDescent="0.25"/>
    <row r="31981" s="12" customFormat="1" x14ac:dyDescent="0.25"/>
    <row r="31982" s="12" customFormat="1" x14ac:dyDescent="0.25"/>
    <row r="31983" s="12" customFormat="1" x14ac:dyDescent="0.25"/>
    <row r="31984" s="12" customFormat="1" x14ac:dyDescent="0.25"/>
    <row r="31985" s="12" customFormat="1" x14ac:dyDescent="0.25"/>
    <row r="31986" s="12" customFormat="1" x14ac:dyDescent="0.25"/>
    <row r="31987" s="12" customFormat="1" x14ac:dyDescent="0.25"/>
    <row r="31988" s="12" customFormat="1" x14ac:dyDescent="0.25"/>
    <row r="31989" s="12" customFormat="1" x14ac:dyDescent="0.25"/>
    <row r="31990" s="12" customFormat="1" x14ac:dyDescent="0.25"/>
    <row r="31991" s="12" customFormat="1" x14ac:dyDescent="0.25"/>
    <row r="31992" s="12" customFormat="1" x14ac:dyDescent="0.25"/>
    <row r="31993" s="12" customFormat="1" x14ac:dyDescent="0.25"/>
    <row r="31994" s="12" customFormat="1" x14ac:dyDescent="0.25"/>
    <row r="31995" s="12" customFormat="1" x14ac:dyDescent="0.25"/>
    <row r="31996" s="12" customFormat="1" x14ac:dyDescent="0.25"/>
    <row r="31997" s="12" customFormat="1" x14ac:dyDescent="0.25"/>
    <row r="31998" s="12" customFormat="1" x14ac:dyDescent="0.25"/>
    <row r="31999" s="12" customFormat="1" x14ac:dyDescent="0.25"/>
    <row r="32000" s="12" customFormat="1" x14ac:dyDescent="0.25"/>
    <row r="32001" s="12" customFormat="1" x14ac:dyDescent="0.25"/>
    <row r="32002" s="12" customFormat="1" x14ac:dyDescent="0.25"/>
    <row r="32003" s="12" customFormat="1" x14ac:dyDescent="0.25"/>
    <row r="32004" s="12" customFormat="1" x14ac:dyDescent="0.25"/>
    <row r="32005" s="12" customFormat="1" x14ac:dyDescent="0.25"/>
    <row r="32006" s="12" customFormat="1" x14ac:dyDescent="0.25"/>
    <row r="32007" s="12" customFormat="1" x14ac:dyDescent="0.25"/>
    <row r="32008" s="12" customFormat="1" x14ac:dyDescent="0.25"/>
    <row r="32009" s="12" customFormat="1" x14ac:dyDescent="0.25"/>
    <row r="32010" s="12" customFormat="1" x14ac:dyDescent="0.25"/>
    <row r="32011" s="12" customFormat="1" x14ac:dyDescent="0.25"/>
    <row r="32012" s="12" customFormat="1" x14ac:dyDescent="0.25"/>
    <row r="32013" s="12" customFormat="1" x14ac:dyDescent="0.25"/>
    <row r="32014" s="12" customFormat="1" x14ac:dyDescent="0.25"/>
    <row r="32015" s="12" customFormat="1" x14ac:dyDescent="0.25"/>
    <row r="32016" s="12" customFormat="1" x14ac:dyDescent="0.25"/>
    <row r="32017" s="12" customFormat="1" x14ac:dyDescent="0.25"/>
    <row r="32018" s="12" customFormat="1" x14ac:dyDescent="0.25"/>
    <row r="32019" s="12" customFormat="1" x14ac:dyDescent="0.25"/>
    <row r="32020" s="12" customFormat="1" x14ac:dyDescent="0.25"/>
    <row r="32021" s="12" customFormat="1" x14ac:dyDescent="0.25"/>
    <row r="32022" s="12" customFormat="1" x14ac:dyDescent="0.25"/>
    <row r="32023" s="12" customFormat="1" x14ac:dyDescent="0.25"/>
    <row r="32024" s="12" customFormat="1" x14ac:dyDescent="0.25"/>
    <row r="32025" s="12" customFormat="1" x14ac:dyDescent="0.25"/>
    <row r="32026" s="12" customFormat="1" x14ac:dyDescent="0.25"/>
    <row r="32027" s="12" customFormat="1" x14ac:dyDescent="0.25"/>
    <row r="32028" s="12" customFormat="1" x14ac:dyDescent="0.25"/>
    <row r="32029" s="12" customFormat="1" x14ac:dyDescent="0.25"/>
    <row r="32030" s="12" customFormat="1" x14ac:dyDescent="0.25"/>
    <row r="32031" s="12" customFormat="1" x14ac:dyDescent="0.25"/>
    <row r="32032" s="12" customFormat="1" x14ac:dyDescent="0.25"/>
    <row r="32033" s="12" customFormat="1" x14ac:dyDescent="0.25"/>
    <row r="32034" s="12" customFormat="1" x14ac:dyDescent="0.25"/>
    <row r="32035" s="12" customFormat="1" x14ac:dyDescent="0.25"/>
    <row r="32036" s="12" customFormat="1" x14ac:dyDescent="0.25"/>
    <row r="32037" s="12" customFormat="1" x14ac:dyDescent="0.25"/>
    <row r="32038" s="12" customFormat="1" x14ac:dyDescent="0.25"/>
    <row r="32039" s="12" customFormat="1" x14ac:dyDescent="0.25"/>
    <row r="32040" s="12" customFormat="1" x14ac:dyDescent="0.25"/>
    <row r="32041" s="12" customFormat="1" x14ac:dyDescent="0.25"/>
    <row r="32042" s="12" customFormat="1" x14ac:dyDescent="0.25"/>
    <row r="32043" s="12" customFormat="1" x14ac:dyDescent="0.25"/>
    <row r="32044" s="12" customFormat="1" x14ac:dyDescent="0.25"/>
    <row r="32045" s="12" customFormat="1" x14ac:dyDescent="0.25"/>
    <row r="32046" s="12" customFormat="1" x14ac:dyDescent="0.25"/>
    <row r="32047" s="12" customFormat="1" x14ac:dyDescent="0.25"/>
    <row r="32048" s="12" customFormat="1" x14ac:dyDescent="0.25"/>
    <row r="32049" s="12" customFormat="1" x14ac:dyDescent="0.25"/>
    <row r="32050" s="12" customFormat="1" x14ac:dyDescent="0.25"/>
    <row r="32051" s="12" customFormat="1" x14ac:dyDescent="0.25"/>
    <row r="32052" s="12" customFormat="1" x14ac:dyDescent="0.25"/>
    <row r="32053" s="12" customFormat="1" x14ac:dyDescent="0.25"/>
    <row r="32054" s="12" customFormat="1" x14ac:dyDescent="0.25"/>
    <row r="32055" s="12" customFormat="1" x14ac:dyDescent="0.25"/>
    <row r="32056" s="12" customFormat="1" x14ac:dyDescent="0.25"/>
    <row r="32057" s="12" customFormat="1" x14ac:dyDescent="0.25"/>
    <row r="32058" s="12" customFormat="1" x14ac:dyDescent="0.25"/>
    <row r="32059" s="12" customFormat="1" x14ac:dyDescent="0.25"/>
    <row r="32060" s="12" customFormat="1" x14ac:dyDescent="0.25"/>
    <row r="32061" s="12" customFormat="1" x14ac:dyDescent="0.25"/>
    <row r="32062" s="12" customFormat="1" x14ac:dyDescent="0.25"/>
    <row r="32063" s="12" customFormat="1" x14ac:dyDescent="0.25"/>
    <row r="32064" s="12" customFormat="1" x14ac:dyDescent="0.25"/>
    <row r="32065" s="12" customFormat="1" x14ac:dyDescent="0.25"/>
    <row r="32066" s="12" customFormat="1" x14ac:dyDescent="0.25"/>
    <row r="32067" s="12" customFormat="1" x14ac:dyDescent="0.25"/>
    <row r="32068" s="12" customFormat="1" x14ac:dyDescent="0.25"/>
    <row r="32069" s="12" customFormat="1" x14ac:dyDescent="0.25"/>
    <row r="32070" s="12" customFormat="1" x14ac:dyDescent="0.25"/>
    <row r="32071" s="12" customFormat="1" x14ac:dyDescent="0.25"/>
    <row r="32072" s="12" customFormat="1" x14ac:dyDescent="0.25"/>
    <row r="32073" s="12" customFormat="1" x14ac:dyDescent="0.25"/>
    <row r="32074" s="12" customFormat="1" x14ac:dyDescent="0.25"/>
    <row r="32075" s="12" customFormat="1" x14ac:dyDescent="0.25"/>
    <row r="32076" s="12" customFormat="1" x14ac:dyDescent="0.25"/>
    <row r="32077" s="12" customFormat="1" x14ac:dyDescent="0.25"/>
    <row r="32078" s="12" customFormat="1" x14ac:dyDescent="0.25"/>
    <row r="32079" s="12" customFormat="1" x14ac:dyDescent="0.25"/>
    <row r="32080" s="12" customFormat="1" x14ac:dyDescent="0.25"/>
    <row r="32081" s="12" customFormat="1" x14ac:dyDescent="0.25"/>
    <row r="32082" s="12" customFormat="1" x14ac:dyDescent="0.25"/>
    <row r="32083" s="12" customFormat="1" x14ac:dyDescent="0.25"/>
    <row r="32084" s="12" customFormat="1" x14ac:dyDescent="0.25"/>
    <row r="32085" s="12" customFormat="1" x14ac:dyDescent="0.25"/>
    <row r="32086" s="12" customFormat="1" x14ac:dyDescent="0.25"/>
    <row r="32087" s="12" customFormat="1" x14ac:dyDescent="0.25"/>
    <row r="32088" s="12" customFormat="1" x14ac:dyDescent="0.25"/>
    <row r="32089" s="12" customFormat="1" x14ac:dyDescent="0.25"/>
    <row r="32090" s="12" customFormat="1" x14ac:dyDescent="0.25"/>
    <row r="32091" s="12" customFormat="1" x14ac:dyDescent="0.25"/>
    <row r="32092" s="12" customFormat="1" x14ac:dyDescent="0.25"/>
    <row r="32093" s="12" customFormat="1" x14ac:dyDescent="0.25"/>
    <row r="32094" s="12" customFormat="1" x14ac:dyDescent="0.25"/>
    <row r="32095" s="12" customFormat="1" x14ac:dyDescent="0.25"/>
    <row r="32096" s="12" customFormat="1" x14ac:dyDescent="0.25"/>
    <row r="32097" s="12" customFormat="1" x14ac:dyDescent="0.25"/>
    <row r="32098" s="12" customFormat="1" x14ac:dyDescent="0.25"/>
    <row r="32099" s="12" customFormat="1" x14ac:dyDescent="0.25"/>
    <row r="32100" s="12" customFormat="1" x14ac:dyDescent="0.25"/>
    <row r="32101" s="12" customFormat="1" x14ac:dyDescent="0.25"/>
    <row r="32102" s="12" customFormat="1" x14ac:dyDescent="0.25"/>
    <row r="32103" s="12" customFormat="1" x14ac:dyDescent="0.25"/>
    <row r="32104" s="12" customFormat="1" x14ac:dyDescent="0.25"/>
    <row r="32105" s="12" customFormat="1" x14ac:dyDescent="0.25"/>
    <row r="32106" s="12" customFormat="1" x14ac:dyDescent="0.25"/>
    <row r="32107" s="12" customFormat="1" x14ac:dyDescent="0.25"/>
    <row r="32108" s="12" customFormat="1" x14ac:dyDescent="0.25"/>
    <row r="32109" s="12" customFormat="1" x14ac:dyDescent="0.25"/>
    <row r="32110" s="12" customFormat="1" x14ac:dyDescent="0.25"/>
    <row r="32111" s="12" customFormat="1" x14ac:dyDescent="0.25"/>
    <row r="32112" s="12" customFormat="1" x14ac:dyDescent="0.25"/>
    <row r="32113" s="12" customFormat="1" x14ac:dyDescent="0.25"/>
    <row r="32114" s="12" customFormat="1" x14ac:dyDescent="0.25"/>
    <row r="32115" s="12" customFormat="1" x14ac:dyDescent="0.25"/>
    <row r="32116" s="12" customFormat="1" x14ac:dyDescent="0.25"/>
    <row r="32117" s="12" customFormat="1" x14ac:dyDescent="0.25"/>
    <row r="32118" s="12" customFormat="1" x14ac:dyDescent="0.25"/>
    <row r="32119" s="12" customFormat="1" x14ac:dyDescent="0.25"/>
    <row r="32120" s="12" customFormat="1" x14ac:dyDescent="0.25"/>
    <row r="32121" s="12" customFormat="1" x14ac:dyDescent="0.25"/>
    <row r="32122" s="12" customFormat="1" x14ac:dyDescent="0.25"/>
    <row r="32123" s="12" customFormat="1" x14ac:dyDescent="0.25"/>
    <row r="32124" s="12" customFormat="1" x14ac:dyDescent="0.25"/>
    <row r="32125" s="12" customFormat="1" x14ac:dyDescent="0.25"/>
    <row r="32126" s="12" customFormat="1" x14ac:dyDescent="0.25"/>
    <row r="32127" s="12" customFormat="1" x14ac:dyDescent="0.25"/>
    <row r="32128" s="12" customFormat="1" x14ac:dyDescent="0.25"/>
    <row r="32129" s="12" customFormat="1" x14ac:dyDescent="0.25"/>
    <row r="32130" s="12" customFormat="1" x14ac:dyDescent="0.25"/>
    <row r="32131" s="12" customFormat="1" x14ac:dyDescent="0.25"/>
    <row r="32132" s="12" customFormat="1" x14ac:dyDescent="0.25"/>
    <row r="32133" s="12" customFormat="1" x14ac:dyDescent="0.25"/>
    <row r="32134" s="12" customFormat="1" x14ac:dyDescent="0.25"/>
    <row r="32135" s="12" customFormat="1" x14ac:dyDescent="0.25"/>
    <row r="32136" s="12" customFormat="1" x14ac:dyDescent="0.25"/>
    <row r="32137" s="12" customFormat="1" x14ac:dyDescent="0.25"/>
    <row r="32138" s="12" customFormat="1" x14ac:dyDescent="0.25"/>
    <row r="32139" s="12" customFormat="1" x14ac:dyDescent="0.25"/>
    <row r="32140" s="12" customFormat="1" x14ac:dyDescent="0.25"/>
    <row r="32141" s="12" customFormat="1" x14ac:dyDescent="0.25"/>
    <row r="32142" s="12" customFormat="1" x14ac:dyDescent="0.25"/>
    <row r="32143" s="12" customFormat="1" x14ac:dyDescent="0.25"/>
    <row r="32144" s="12" customFormat="1" x14ac:dyDescent="0.25"/>
    <row r="32145" s="12" customFormat="1" x14ac:dyDescent="0.25"/>
    <row r="32146" s="12" customFormat="1" x14ac:dyDescent="0.25"/>
    <row r="32147" s="12" customFormat="1" x14ac:dyDescent="0.25"/>
    <row r="32148" s="12" customFormat="1" x14ac:dyDescent="0.25"/>
    <row r="32149" s="12" customFormat="1" x14ac:dyDescent="0.25"/>
    <row r="32150" s="12" customFormat="1" x14ac:dyDescent="0.25"/>
    <row r="32151" s="12" customFormat="1" x14ac:dyDescent="0.25"/>
    <row r="32152" s="12" customFormat="1" x14ac:dyDescent="0.25"/>
    <row r="32153" s="12" customFormat="1" x14ac:dyDescent="0.25"/>
    <row r="32154" s="12" customFormat="1" x14ac:dyDescent="0.25"/>
    <row r="32155" s="12" customFormat="1" x14ac:dyDescent="0.25"/>
    <row r="32156" s="12" customFormat="1" x14ac:dyDescent="0.25"/>
    <row r="32157" s="12" customFormat="1" x14ac:dyDescent="0.25"/>
    <row r="32158" s="12" customFormat="1" x14ac:dyDescent="0.25"/>
    <row r="32159" s="12" customFormat="1" x14ac:dyDescent="0.25"/>
    <row r="32160" s="12" customFormat="1" x14ac:dyDescent="0.25"/>
    <row r="32161" s="12" customFormat="1" x14ac:dyDescent="0.25"/>
    <row r="32162" s="12" customFormat="1" x14ac:dyDescent="0.25"/>
    <row r="32163" s="12" customFormat="1" x14ac:dyDescent="0.25"/>
    <row r="32164" s="12" customFormat="1" x14ac:dyDescent="0.25"/>
    <row r="32165" s="12" customFormat="1" x14ac:dyDescent="0.25"/>
    <row r="32166" s="12" customFormat="1" x14ac:dyDescent="0.25"/>
    <row r="32167" s="12" customFormat="1" x14ac:dyDescent="0.25"/>
    <row r="32168" s="12" customFormat="1" x14ac:dyDescent="0.25"/>
    <row r="32169" s="12" customFormat="1" x14ac:dyDescent="0.25"/>
    <row r="32170" s="12" customFormat="1" x14ac:dyDescent="0.25"/>
    <row r="32171" s="12" customFormat="1" x14ac:dyDescent="0.25"/>
    <row r="32172" s="12" customFormat="1" x14ac:dyDescent="0.25"/>
    <row r="32173" s="12" customFormat="1" x14ac:dyDescent="0.25"/>
    <row r="32174" s="12" customFormat="1" x14ac:dyDescent="0.25"/>
    <row r="32175" s="12" customFormat="1" x14ac:dyDescent="0.25"/>
    <row r="32176" s="12" customFormat="1" x14ac:dyDescent="0.25"/>
    <row r="32177" s="12" customFormat="1" x14ac:dyDescent="0.25"/>
    <row r="32178" s="12" customFormat="1" x14ac:dyDescent="0.25"/>
    <row r="32179" s="12" customFormat="1" x14ac:dyDescent="0.25"/>
    <row r="32180" s="12" customFormat="1" x14ac:dyDescent="0.25"/>
    <row r="32181" s="12" customFormat="1" x14ac:dyDescent="0.25"/>
    <row r="32182" s="12" customFormat="1" x14ac:dyDescent="0.25"/>
    <row r="32183" s="12" customFormat="1" x14ac:dyDescent="0.25"/>
    <row r="32184" s="12" customFormat="1" x14ac:dyDescent="0.25"/>
    <row r="32185" s="12" customFormat="1" x14ac:dyDescent="0.25"/>
    <row r="32186" s="12" customFormat="1" x14ac:dyDescent="0.25"/>
    <row r="32187" s="12" customFormat="1" x14ac:dyDescent="0.25"/>
    <row r="32188" s="12" customFormat="1" x14ac:dyDescent="0.25"/>
    <row r="32189" s="12" customFormat="1" x14ac:dyDescent="0.25"/>
    <row r="32190" s="12" customFormat="1" x14ac:dyDescent="0.25"/>
    <row r="32191" s="12" customFormat="1" x14ac:dyDescent="0.25"/>
    <row r="32192" s="12" customFormat="1" x14ac:dyDescent="0.25"/>
    <row r="32193" s="12" customFormat="1" x14ac:dyDescent="0.25"/>
    <row r="32194" s="12" customFormat="1" x14ac:dyDescent="0.25"/>
    <row r="32195" s="12" customFormat="1" x14ac:dyDescent="0.25"/>
    <row r="32196" s="12" customFormat="1" x14ac:dyDescent="0.25"/>
    <row r="32197" s="12" customFormat="1" x14ac:dyDescent="0.25"/>
    <row r="32198" s="12" customFormat="1" x14ac:dyDescent="0.25"/>
    <row r="32199" s="12" customFormat="1" x14ac:dyDescent="0.25"/>
    <row r="32200" s="12" customFormat="1" x14ac:dyDescent="0.25"/>
    <row r="32201" s="12" customFormat="1" x14ac:dyDescent="0.25"/>
    <row r="32202" s="12" customFormat="1" x14ac:dyDescent="0.25"/>
    <row r="32203" s="12" customFormat="1" x14ac:dyDescent="0.25"/>
    <row r="32204" s="12" customFormat="1" x14ac:dyDescent="0.25"/>
    <row r="32205" s="12" customFormat="1" x14ac:dyDescent="0.25"/>
    <row r="32206" s="12" customFormat="1" x14ac:dyDescent="0.25"/>
    <row r="32207" s="12" customFormat="1" x14ac:dyDescent="0.25"/>
    <row r="32208" s="12" customFormat="1" x14ac:dyDescent="0.25"/>
    <row r="32209" s="12" customFormat="1" x14ac:dyDescent="0.25"/>
    <row r="32210" s="12" customFormat="1" x14ac:dyDescent="0.25"/>
    <row r="32211" s="12" customFormat="1" x14ac:dyDescent="0.25"/>
    <row r="32212" s="12" customFormat="1" x14ac:dyDescent="0.25"/>
    <row r="32213" s="12" customFormat="1" x14ac:dyDescent="0.25"/>
    <row r="32214" s="12" customFormat="1" x14ac:dyDescent="0.25"/>
    <row r="32215" s="12" customFormat="1" x14ac:dyDescent="0.25"/>
    <row r="32216" s="12" customFormat="1" x14ac:dyDescent="0.25"/>
    <row r="32217" s="12" customFormat="1" x14ac:dyDescent="0.25"/>
    <row r="32218" s="12" customFormat="1" x14ac:dyDescent="0.25"/>
    <row r="32219" s="12" customFormat="1" x14ac:dyDescent="0.25"/>
    <row r="32220" s="12" customFormat="1" x14ac:dyDescent="0.25"/>
    <row r="32221" s="12" customFormat="1" x14ac:dyDescent="0.25"/>
    <row r="32222" s="12" customFormat="1" x14ac:dyDescent="0.25"/>
    <row r="32223" s="12" customFormat="1" x14ac:dyDescent="0.25"/>
    <row r="32224" s="12" customFormat="1" x14ac:dyDescent="0.25"/>
    <row r="32225" s="12" customFormat="1" x14ac:dyDescent="0.25"/>
    <row r="32226" s="12" customFormat="1" x14ac:dyDescent="0.25"/>
    <row r="32227" s="12" customFormat="1" x14ac:dyDescent="0.25"/>
    <row r="32228" s="12" customFormat="1" x14ac:dyDescent="0.25"/>
    <row r="32229" s="12" customFormat="1" x14ac:dyDescent="0.25"/>
    <row r="32230" s="12" customFormat="1" x14ac:dyDescent="0.25"/>
    <row r="32231" s="12" customFormat="1" x14ac:dyDescent="0.25"/>
    <row r="32232" s="12" customFormat="1" x14ac:dyDescent="0.25"/>
    <row r="32233" s="12" customFormat="1" x14ac:dyDescent="0.25"/>
    <row r="32234" s="12" customFormat="1" x14ac:dyDescent="0.25"/>
    <row r="32235" s="12" customFormat="1" x14ac:dyDescent="0.25"/>
    <row r="32236" s="12" customFormat="1" x14ac:dyDescent="0.25"/>
    <row r="32237" s="12" customFormat="1" x14ac:dyDescent="0.25"/>
    <row r="32238" s="12" customFormat="1" x14ac:dyDescent="0.25"/>
    <row r="32239" s="12" customFormat="1" x14ac:dyDescent="0.25"/>
    <row r="32240" s="12" customFormat="1" x14ac:dyDescent="0.25"/>
    <row r="32241" s="12" customFormat="1" x14ac:dyDescent="0.25"/>
    <row r="32242" s="12" customFormat="1" x14ac:dyDescent="0.25"/>
    <row r="32243" s="12" customFormat="1" x14ac:dyDescent="0.25"/>
    <row r="32244" s="12" customFormat="1" x14ac:dyDescent="0.25"/>
    <row r="32245" s="12" customFormat="1" x14ac:dyDescent="0.25"/>
    <row r="32246" s="12" customFormat="1" x14ac:dyDescent="0.25"/>
    <row r="32247" s="12" customFormat="1" x14ac:dyDescent="0.25"/>
    <row r="32248" s="12" customFormat="1" x14ac:dyDescent="0.25"/>
    <row r="32249" s="12" customFormat="1" x14ac:dyDescent="0.25"/>
    <row r="32250" s="12" customFormat="1" x14ac:dyDescent="0.25"/>
    <row r="32251" s="12" customFormat="1" x14ac:dyDescent="0.25"/>
    <row r="32252" s="12" customFormat="1" x14ac:dyDescent="0.25"/>
    <row r="32253" s="12" customFormat="1" x14ac:dyDescent="0.25"/>
    <row r="32254" s="12" customFormat="1" x14ac:dyDescent="0.25"/>
    <row r="32255" s="12" customFormat="1" x14ac:dyDescent="0.25"/>
    <row r="32256" s="12" customFormat="1" x14ac:dyDescent="0.25"/>
    <row r="32257" s="12" customFormat="1" x14ac:dyDescent="0.25"/>
    <row r="32258" s="12" customFormat="1" x14ac:dyDescent="0.25"/>
    <row r="32259" s="12" customFormat="1" x14ac:dyDescent="0.25"/>
    <row r="32260" s="12" customFormat="1" x14ac:dyDescent="0.25"/>
    <row r="32261" s="12" customFormat="1" x14ac:dyDescent="0.25"/>
    <row r="32262" s="12" customFormat="1" x14ac:dyDescent="0.25"/>
    <row r="32263" s="12" customFormat="1" x14ac:dyDescent="0.25"/>
    <row r="32264" s="12" customFormat="1" x14ac:dyDescent="0.25"/>
    <row r="32265" s="12" customFormat="1" x14ac:dyDescent="0.25"/>
    <row r="32266" s="12" customFormat="1" x14ac:dyDescent="0.25"/>
    <row r="32267" s="12" customFormat="1" x14ac:dyDescent="0.25"/>
    <row r="32268" s="12" customFormat="1" x14ac:dyDescent="0.25"/>
    <row r="32269" s="12" customFormat="1" x14ac:dyDescent="0.25"/>
    <row r="32270" s="12" customFormat="1" x14ac:dyDescent="0.25"/>
    <row r="32271" s="12" customFormat="1" x14ac:dyDescent="0.25"/>
    <row r="32272" s="12" customFormat="1" x14ac:dyDescent="0.25"/>
    <row r="32273" s="12" customFormat="1" x14ac:dyDescent="0.25"/>
    <row r="32274" s="12" customFormat="1" x14ac:dyDescent="0.25"/>
    <row r="32275" s="12" customFormat="1" x14ac:dyDescent="0.25"/>
    <row r="32276" s="12" customFormat="1" x14ac:dyDescent="0.25"/>
    <row r="32277" s="12" customFormat="1" x14ac:dyDescent="0.25"/>
    <row r="32278" s="12" customFormat="1" x14ac:dyDescent="0.25"/>
    <row r="32279" s="12" customFormat="1" x14ac:dyDescent="0.25"/>
    <row r="32280" s="12" customFormat="1" x14ac:dyDescent="0.25"/>
    <row r="32281" s="12" customFormat="1" x14ac:dyDescent="0.25"/>
    <row r="32282" s="12" customFormat="1" x14ac:dyDescent="0.25"/>
    <row r="32283" s="12" customFormat="1" x14ac:dyDescent="0.25"/>
    <row r="32284" s="12" customFormat="1" x14ac:dyDescent="0.25"/>
    <row r="32285" s="12" customFormat="1" x14ac:dyDescent="0.25"/>
    <row r="32286" s="12" customFormat="1" x14ac:dyDescent="0.25"/>
    <row r="32287" s="12" customFormat="1" x14ac:dyDescent="0.25"/>
    <row r="32288" s="12" customFormat="1" x14ac:dyDescent="0.25"/>
    <row r="32289" s="12" customFormat="1" x14ac:dyDescent="0.25"/>
    <row r="32290" s="12" customFormat="1" x14ac:dyDescent="0.25"/>
    <row r="32291" s="12" customFormat="1" x14ac:dyDescent="0.25"/>
    <row r="32292" s="12" customFormat="1" x14ac:dyDescent="0.25"/>
    <row r="32293" s="12" customFormat="1" x14ac:dyDescent="0.25"/>
    <row r="32294" s="12" customFormat="1" x14ac:dyDescent="0.25"/>
    <row r="32295" s="12" customFormat="1" x14ac:dyDescent="0.25"/>
    <row r="32296" s="12" customFormat="1" x14ac:dyDescent="0.25"/>
    <row r="32297" s="12" customFormat="1" x14ac:dyDescent="0.25"/>
    <row r="32298" s="12" customFormat="1" x14ac:dyDescent="0.25"/>
    <row r="32299" s="12" customFormat="1" x14ac:dyDescent="0.25"/>
    <row r="32300" s="12" customFormat="1" x14ac:dyDescent="0.25"/>
    <row r="32301" s="12" customFormat="1" x14ac:dyDescent="0.25"/>
    <row r="32302" s="12" customFormat="1" x14ac:dyDescent="0.25"/>
    <row r="32303" s="12" customFormat="1" x14ac:dyDescent="0.25"/>
    <row r="32304" s="12" customFormat="1" x14ac:dyDescent="0.25"/>
    <row r="32305" s="12" customFormat="1" x14ac:dyDescent="0.25"/>
    <row r="32306" s="12" customFormat="1" x14ac:dyDescent="0.25"/>
    <row r="32307" s="12" customFormat="1" x14ac:dyDescent="0.25"/>
    <row r="32308" s="12" customFormat="1" x14ac:dyDescent="0.25"/>
    <row r="32309" s="12" customFormat="1" x14ac:dyDescent="0.25"/>
    <row r="32310" s="12" customFormat="1" x14ac:dyDescent="0.25"/>
    <row r="32311" s="12" customFormat="1" x14ac:dyDescent="0.25"/>
    <row r="32312" s="12" customFormat="1" x14ac:dyDescent="0.25"/>
    <row r="32313" s="12" customFormat="1" x14ac:dyDescent="0.25"/>
    <row r="32314" s="12" customFormat="1" x14ac:dyDescent="0.25"/>
    <row r="32315" s="12" customFormat="1" x14ac:dyDescent="0.25"/>
    <row r="32316" s="12" customFormat="1" x14ac:dyDescent="0.25"/>
    <row r="32317" s="12" customFormat="1" x14ac:dyDescent="0.25"/>
    <row r="32318" s="12" customFormat="1" x14ac:dyDescent="0.25"/>
    <row r="32319" s="12" customFormat="1" x14ac:dyDescent="0.25"/>
    <row r="32320" s="12" customFormat="1" x14ac:dyDescent="0.25"/>
    <row r="32321" s="12" customFormat="1" x14ac:dyDescent="0.25"/>
    <row r="32322" s="12" customFormat="1" x14ac:dyDescent="0.25"/>
    <row r="32323" s="12" customFormat="1" x14ac:dyDescent="0.25"/>
    <row r="32324" s="12" customFormat="1" x14ac:dyDescent="0.25"/>
    <row r="32325" s="12" customFormat="1" x14ac:dyDescent="0.25"/>
    <row r="32326" s="12" customFormat="1" x14ac:dyDescent="0.25"/>
    <row r="32327" s="12" customFormat="1" x14ac:dyDescent="0.25"/>
    <row r="32328" s="12" customFormat="1" x14ac:dyDescent="0.25"/>
    <row r="32329" s="12" customFormat="1" x14ac:dyDescent="0.25"/>
    <row r="32330" s="12" customFormat="1" x14ac:dyDescent="0.25"/>
    <row r="32331" s="12" customFormat="1" x14ac:dyDescent="0.25"/>
    <row r="32332" s="12" customFormat="1" x14ac:dyDescent="0.25"/>
    <row r="32333" s="12" customFormat="1" x14ac:dyDescent="0.25"/>
    <row r="32334" s="12" customFormat="1" x14ac:dyDescent="0.25"/>
    <row r="32335" s="12" customFormat="1" x14ac:dyDescent="0.25"/>
    <row r="32336" s="12" customFormat="1" x14ac:dyDescent="0.25"/>
    <row r="32337" s="12" customFormat="1" x14ac:dyDescent="0.25"/>
    <row r="32338" s="12" customFormat="1" x14ac:dyDescent="0.25"/>
    <row r="32339" s="12" customFormat="1" x14ac:dyDescent="0.25"/>
    <row r="32340" s="12" customFormat="1" x14ac:dyDescent="0.25"/>
    <row r="32341" s="12" customFormat="1" x14ac:dyDescent="0.25"/>
    <row r="32342" s="12" customFormat="1" x14ac:dyDescent="0.25"/>
    <row r="32343" s="12" customFormat="1" x14ac:dyDescent="0.25"/>
    <row r="32344" s="12" customFormat="1" x14ac:dyDescent="0.25"/>
    <row r="32345" s="12" customFormat="1" x14ac:dyDescent="0.25"/>
    <row r="32346" s="12" customFormat="1" x14ac:dyDescent="0.25"/>
    <row r="32347" s="12" customFormat="1" x14ac:dyDescent="0.25"/>
    <row r="32348" s="12" customFormat="1" x14ac:dyDescent="0.25"/>
    <row r="32349" s="12" customFormat="1" x14ac:dyDescent="0.25"/>
    <row r="32350" s="12" customFormat="1" x14ac:dyDescent="0.25"/>
    <row r="32351" s="12" customFormat="1" x14ac:dyDescent="0.25"/>
    <row r="32352" s="12" customFormat="1" x14ac:dyDescent="0.25"/>
    <row r="32353" s="12" customFormat="1" x14ac:dyDescent="0.25"/>
    <row r="32354" s="12" customFormat="1" x14ac:dyDescent="0.25"/>
    <row r="32355" s="12" customFormat="1" x14ac:dyDescent="0.25"/>
    <row r="32356" s="12" customFormat="1" x14ac:dyDescent="0.25"/>
    <row r="32357" s="12" customFormat="1" x14ac:dyDescent="0.25"/>
    <row r="32358" s="12" customFormat="1" x14ac:dyDescent="0.25"/>
    <row r="32359" s="12" customFormat="1" x14ac:dyDescent="0.25"/>
    <row r="32360" s="12" customFormat="1" x14ac:dyDescent="0.25"/>
    <row r="32361" s="12" customFormat="1" x14ac:dyDescent="0.25"/>
    <row r="32362" s="12" customFormat="1" x14ac:dyDescent="0.25"/>
    <row r="32363" s="12" customFormat="1" x14ac:dyDescent="0.25"/>
    <row r="32364" s="12" customFormat="1" x14ac:dyDescent="0.25"/>
    <row r="32365" s="12" customFormat="1" x14ac:dyDescent="0.25"/>
    <row r="32366" s="12" customFormat="1" x14ac:dyDescent="0.25"/>
    <row r="32367" s="12" customFormat="1" x14ac:dyDescent="0.25"/>
    <row r="32368" s="12" customFormat="1" x14ac:dyDescent="0.25"/>
    <row r="32369" s="12" customFormat="1" x14ac:dyDescent="0.25"/>
    <row r="32370" s="12" customFormat="1" x14ac:dyDescent="0.25"/>
    <row r="32371" s="12" customFormat="1" x14ac:dyDescent="0.25"/>
    <row r="32372" s="12" customFormat="1" x14ac:dyDescent="0.25"/>
    <row r="32373" s="12" customFormat="1" x14ac:dyDescent="0.25"/>
    <row r="32374" s="12" customFormat="1" x14ac:dyDescent="0.25"/>
    <row r="32375" s="12" customFormat="1" x14ac:dyDescent="0.25"/>
    <row r="32376" s="12" customFormat="1" x14ac:dyDescent="0.25"/>
    <row r="32377" s="12" customFormat="1" x14ac:dyDescent="0.25"/>
    <row r="32378" s="12" customFormat="1" x14ac:dyDescent="0.25"/>
    <row r="32379" s="12" customFormat="1" x14ac:dyDescent="0.25"/>
    <row r="32380" s="12" customFormat="1" x14ac:dyDescent="0.25"/>
    <row r="32381" s="12" customFormat="1" x14ac:dyDescent="0.25"/>
    <row r="32382" s="12" customFormat="1" x14ac:dyDescent="0.25"/>
    <row r="32383" s="12" customFormat="1" x14ac:dyDescent="0.25"/>
    <row r="32384" s="12" customFormat="1" x14ac:dyDescent="0.25"/>
    <row r="32385" s="12" customFormat="1" x14ac:dyDescent="0.25"/>
    <row r="32386" s="12" customFormat="1" x14ac:dyDescent="0.25"/>
    <row r="32387" s="12" customFormat="1" x14ac:dyDescent="0.25"/>
    <row r="32388" s="12" customFormat="1" x14ac:dyDescent="0.25"/>
    <row r="32389" s="12" customFormat="1" x14ac:dyDescent="0.25"/>
    <row r="32390" s="12" customFormat="1" x14ac:dyDescent="0.25"/>
    <row r="32391" s="12" customFormat="1" x14ac:dyDescent="0.25"/>
    <row r="32392" s="12" customFormat="1" x14ac:dyDescent="0.25"/>
    <row r="32393" s="12" customFormat="1" x14ac:dyDescent="0.25"/>
    <row r="32394" s="12" customFormat="1" x14ac:dyDescent="0.25"/>
    <row r="32395" s="12" customFormat="1" x14ac:dyDescent="0.25"/>
    <row r="32396" s="12" customFormat="1" x14ac:dyDescent="0.25"/>
    <row r="32397" s="12" customFormat="1" x14ac:dyDescent="0.25"/>
    <row r="32398" s="12" customFormat="1" x14ac:dyDescent="0.25"/>
    <row r="32399" s="12" customFormat="1" x14ac:dyDescent="0.25"/>
    <row r="32400" s="12" customFormat="1" x14ac:dyDescent="0.25"/>
    <row r="32401" s="12" customFormat="1" x14ac:dyDescent="0.25"/>
    <row r="32402" s="12" customFormat="1" x14ac:dyDescent="0.25"/>
    <row r="32403" s="12" customFormat="1" x14ac:dyDescent="0.25"/>
    <row r="32404" s="12" customFormat="1" x14ac:dyDescent="0.25"/>
    <row r="32405" s="12" customFormat="1" x14ac:dyDescent="0.25"/>
    <row r="32406" s="12" customFormat="1" x14ac:dyDescent="0.25"/>
    <row r="32407" s="12" customFormat="1" x14ac:dyDescent="0.25"/>
    <row r="32408" s="12" customFormat="1" x14ac:dyDescent="0.25"/>
    <row r="32409" s="12" customFormat="1" x14ac:dyDescent="0.25"/>
    <row r="32410" s="12" customFormat="1" x14ac:dyDescent="0.25"/>
    <row r="32411" s="12" customFormat="1" x14ac:dyDescent="0.25"/>
    <row r="32412" s="12" customFormat="1" x14ac:dyDescent="0.25"/>
    <row r="32413" s="12" customFormat="1" x14ac:dyDescent="0.25"/>
    <row r="32414" s="12" customFormat="1" x14ac:dyDescent="0.25"/>
    <row r="32415" s="12" customFormat="1" x14ac:dyDescent="0.25"/>
    <row r="32416" s="12" customFormat="1" x14ac:dyDescent="0.25"/>
    <row r="32417" s="12" customFormat="1" x14ac:dyDescent="0.25"/>
    <row r="32418" s="12" customFormat="1" x14ac:dyDescent="0.25"/>
    <row r="32419" s="12" customFormat="1" x14ac:dyDescent="0.25"/>
    <row r="32420" s="12" customFormat="1" x14ac:dyDescent="0.25"/>
    <row r="32421" s="12" customFormat="1" x14ac:dyDescent="0.25"/>
    <row r="32422" s="12" customFormat="1" x14ac:dyDescent="0.25"/>
    <row r="32423" s="12" customFormat="1" x14ac:dyDescent="0.25"/>
    <row r="32424" s="12" customFormat="1" x14ac:dyDescent="0.25"/>
    <row r="32425" s="12" customFormat="1" x14ac:dyDescent="0.25"/>
    <row r="32426" s="12" customFormat="1" x14ac:dyDescent="0.25"/>
    <row r="32427" s="12" customFormat="1" x14ac:dyDescent="0.25"/>
    <row r="32428" s="12" customFormat="1" x14ac:dyDescent="0.25"/>
    <row r="32429" s="12" customFormat="1" x14ac:dyDescent="0.25"/>
    <row r="32430" s="12" customFormat="1" x14ac:dyDescent="0.25"/>
    <row r="32431" s="12" customFormat="1" x14ac:dyDescent="0.25"/>
    <row r="32432" s="12" customFormat="1" x14ac:dyDescent="0.25"/>
    <row r="32433" s="12" customFormat="1" x14ac:dyDescent="0.25"/>
    <row r="32434" s="12" customFormat="1" x14ac:dyDescent="0.25"/>
    <row r="32435" s="12" customFormat="1" x14ac:dyDescent="0.25"/>
    <row r="32436" s="12" customFormat="1" x14ac:dyDescent="0.25"/>
    <row r="32437" s="12" customFormat="1" x14ac:dyDescent="0.25"/>
    <row r="32438" s="12" customFormat="1" x14ac:dyDescent="0.25"/>
    <row r="32439" s="12" customFormat="1" x14ac:dyDescent="0.25"/>
    <row r="32440" s="12" customFormat="1" x14ac:dyDescent="0.25"/>
    <row r="32441" s="12" customFormat="1" x14ac:dyDescent="0.25"/>
    <row r="32442" s="12" customFormat="1" x14ac:dyDescent="0.25"/>
    <row r="32443" s="12" customFormat="1" x14ac:dyDescent="0.25"/>
    <row r="32444" s="12" customFormat="1" x14ac:dyDescent="0.25"/>
    <row r="32445" s="12" customFormat="1" x14ac:dyDescent="0.25"/>
    <row r="32446" s="12" customFormat="1" x14ac:dyDescent="0.25"/>
    <row r="32447" s="12" customFormat="1" x14ac:dyDescent="0.25"/>
    <row r="32448" s="12" customFormat="1" x14ac:dyDescent="0.25"/>
    <row r="32449" s="12" customFormat="1" x14ac:dyDescent="0.25"/>
    <row r="32450" s="12" customFormat="1" x14ac:dyDescent="0.25"/>
    <row r="32451" s="12" customFormat="1" x14ac:dyDescent="0.25"/>
    <row r="32452" s="12" customFormat="1" x14ac:dyDescent="0.25"/>
    <row r="32453" s="12" customFormat="1" x14ac:dyDescent="0.25"/>
    <row r="32454" s="12" customFormat="1" x14ac:dyDescent="0.25"/>
    <row r="32455" s="12" customFormat="1" x14ac:dyDescent="0.25"/>
    <row r="32456" s="12" customFormat="1" x14ac:dyDescent="0.25"/>
    <row r="32457" s="12" customFormat="1" x14ac:dyDescent="0.25"/>
    <row r="32458" s="12" customFormat="1" x14ac:dyDescent="0.25"/>
    <row r="32459" s="12" customFormat="1" x14ac:dyDescent="0.25"/>
    <row r="32460" s="12" customFormat="1" x14ac:dyDescent="0.25"/>
    <row r="32461" s="12" customFormat="1" x14ac:dyDescent="0.25"/>
    <row r="32462" s="12" customFormat="1" x14ac:dyDescent="0.25"/>
    <row r="32463" s="12" customFormat="1" x14ac:dyDescent="0.25"/>
    <row r="32464" s="12" customFormat="1" x14ac:dyDescent="0.25"/>
    <row r="32465" s="12" customFormat="1" x14ac:dyDescent="0.25"/>
    <row r="32466" s="12" customFormat="1" x14ac:dyDescent="0.25"/>
    <row r="32467" s="12" customFormat="1" x14ac:dyDescent="0.25"/>
    <row r="32468" s="12" customFormat="1" x14ac:dyDescent="0.25"/>
    <row r="32469" s="12" customFormat="1" x14ac:dyDescent="0.25"/>
    <row r="32470" s="12" customFormat="1" x14ac:dyDescent="0.25"/>
    <row r="32471" s="12" customFormat="1" x14ac:dyDescent="0.25"/>
    <row r="32472" s="12" customFormat="1" x14ac:dyDescent="0.25"/>
    <row r="32473" s="12" customFormat="1" x14ac:dyDescent="0.25"/>
    <row r="32474" s="12" customFormat="1" x14ac:dyDescent="0.25"/>
    <row r="32475" s="12" customFormat="1" x14ac:dyDescent="0.25"/>
    <row r="32476" s="12" customFormat="1" x14ac:dyDescent="0.25"/>
    <row r="32477" s="12" customFormat="1" x14ac:dyDescent="0.25"/>
    <row r="32478" s="12" customFormat="1" x14ac:dyDescent="0.25"/>
    <row r="32479" s="12" customFormat="1" x14ac:dyDescent="0.25"/>
    <row r="32480" s="12" customFormat="1" x14ac:dyDescent="0.25"/>
    <row r="32481" s="12" customFormat="1" x14ac:dyDescent="0.25"/>
    <row r="32482" s="12" customFormat="1" x14ac:dyDescent="0.25"/>
    <row r="32483" s="12" customFormat="1" x14ac:dyDescent="0.25"/>
    <row r="32484" s="12" customFormat="1" x14ac:dyDescent="0.25"/>
    <row r="32485" s="12" customFormat="1" x14ac:dyDescent="0.25"/>
    <row r="32486" s="12" customFormat="1" x14ac:dyDescent="0.25"/>
    <row r="32487" s="12" customFormat="1" x14ac:dyDescent="0.25"/>
    <row r="32488" s="12" customFormat="1" x14ac:dyDescent="0.25"/>
    <row r="32489" s="12" customFormat="1" x14ac:dyDescent="0.25"/>
    <row r="32490" s="12" customFormat="1" x14ac:dyDescent="0.25"/>
    <row r="32491" s="12" customFormat="1" x14ac:dyDescent="0.25"/>
    <row r="32492" s="12" customFormat="1" x14ac:dyDescent="0.25"/>
    <row r="32493" s="12" customFormat="1" x14ac:dyDescent="0.25"/>
    <row r="32494" s="12" customFormat="1" x14ac:dyDescent="0.25"/>
    <row r="32495" s="12" customFormat="1" x14ac:dyDescent="0.25"/>
    <row r="32496" s="12" customFormat="1" x14ac:dyDescent="0.25"/>
    <row r="32497" s="12" customFormat="1" x14ac:dyDescent="0.25"/>
    <row r="32498" s="12" customFormat="1" x14ac:dyDescent="0.25"/>
    <row r="32499" s="12" customFormat="1" x14ac:dyDescent="0.25"/>
    <row r="32500" s="12" customFormat="1" x14ac:dyDescent="0.25"/>
    <row r="32501" s="12" customFormat="1" x14ac:dyDescent="0.25"/>
    <row r="32502" s="12" customFormat="1" x14ac:dyDescent="0.25"/>
    <row r="32503" s="12" customFormat="1" x14ac:dyDescent="0.25"/>
    <row r="32504" s="12" customFormat="1" x14ac:dyDescent="0.25"/>
    <row r="32505" s="12" customFormat="1" x14ac:dyDescent="0.25"/>
    <row r="32506" s="12" customFormat="1" x14ac:dyDescent="0.25"/>
    <row r="32507" s="12" customFormat="1" x14ac:dyDescent="0.25"/>
    <row r="32508" s="12" customFormat="1" x14ac:dyDescent="0.25"/>
    <row r="32509" s="12" customFormat="1" x14ac:dyDescent="0.25"/>
    <row r="32510" s="12" customFormat="1" x14ac:dyDescent="0.25"/>
    <row r="32511" s="12" customFormat="1" x14ac:dyDescent="0.25"/>
    <row r="32512" s="12" customFormat="1" x14ac:dyDescent="0.25"/>
    <row r="32513" s="12" customFormat="1" x14ac:dyDescent="0.25"/>
    <row r="32514" s="12" customFormat="1" x14ac:dyDescent="0.25"/>
    <row r="32515" s="12" customFormat="1" x14ac:dyDescent="0.25"/>
    <row r="32516" s="12" customFormat="1" x14ac:dyDescent="0.25"/>
    <row r="32517" s="12" customFormat="1" x14ac:dyDescent="0.25"/>
    <row r="32518" s="12" customFormat="1" x14ac:dyDescent="0.25"/>
    <row r="32519" s="12" customFormat="1" x14ac:dyDescent="0.25"/>
    <row r="32520" s="12" customFormat="1" x14ac:dyDescent="0.25"/>
    <row r="32521" s="12" customFormat="1" x14ac:dyDescent="0.25"/>
    <row r="32522" s="12" customFormat="1" x14ac:dyDescent="0.25"/>
    <row r="32523" s="12" customFormat="1" x14ac:dyDescent="0.25"/>
    <row r="32524" s="12" customFormat="1" x14ac:dyDescent="0.25"/>
    <row r="32525" s="12" customFormat="1" x14ac:dyDescent="0.25"/>
    <row r="32526" s="12" customFormat="1" x14ac:dyDescent="0.25"/>
    <row r="32527" s="12" customFormat="1" x14ac:dyDescent="0.25"/>
    <row r="32528" s="12" customFormat="1" x14ac:dyDescent="0.25"/>
    <row r="32529" s="12" customFormat="1" x14ac:dyDescent="0.25"/>
    <row r="32530" s="12" customFormat="1" x14ac:dyDescent="0.25"/>
    <row r="32531" s="12" customFormat="1" x14ac:dyDescent="0.25"/>
    <row r="32532" s="12" customFormat="1" x14ac:dyDescent="0.25"/>
    <row r="32533" s="12" customFormat="1" x14ac:dyDescent="0.25"/>
    <row r="32534" s="12" customFormat="1" x14ac:dyDescent="0.25"/>
    <row r="32535" s="12" customFormat="1" x14ac:dyDescent="0.25"/>
    <row r="32536" s="12" customFormat="1" x14ac:dyDescent="0.25"/>
    <row r="32537" s="12" customFormat="1" x14ac:dyDescent="0.25"/>
    <row r="32538" s="12" customFormat="1" x14ac:dyDescent="0.25"/>
    <row r="32539" s="12" customFormat="1" x14ac:dyDescent="0.25"/>
    <row r="32540" s="12" customFormat="1" x14ac:dyDescent="0.25"/>
    <row r="32541" s="12" customFormat="1" x14ac:dyDescent="0.25"/>
    <row r="32542" s="12" customFormat="1" x14ac:dyDescent="0.25"/>
    <row r="32543" s="12" customFormat="1" x14ac:dyDescent="0.25"/>
    <row r="32544" s="12" customFormat="1" x14ac:dyDescent="0.25"/>
    <row r="32545" s="12" customFormat="1" x14ac:dyDescent="0.25"/>
    <row r="32546" s="12" customFormat="1" x14ac:dyDescent="0.25"/>
    <row r="32547" s="12" customFormat="1" x14ac:dyDescent="0.25"/>
    <row r="32548" s="12" customFormat="1" x14ac:dyDescent="0.25"/>
    <row r="32549" s="12" customFormat="1" x14ac:dyDescent="0.25"/>
    <row r="32550" s="12" customFormat="1" x14ac:dyDescent="0.25"/>
    <row r="32551" s="12" customFormat="1" x14ac:dyDescent="0.25"/>
    <row r="32552" s="12" customFormat="1" x14ac:dyDescent="0.25"/>
    <row r="32553" s="12" customFormat="1" x14ac:dyDescent="0.25"/>
    <row r="32554" s="12" customFormat="1" x14ac:dyDescent="0.25"/>
    <row r="32555" s="12" customFormat="1" x14ac:dyDescent="0.25"/>
    <row r="32556" s="12" customFormat="1" x14ac:dyDescent="0.25"/>
    <row r="32557" s="12" customFormat="1" x14ac:dyDescent="0.25"/>
    <row r="32558" s="12" customFormat="1" x14ac:dyDescent="0.25"/>
    <row r="32559" s="12" customFormat="1" x14ac:dyDescent="0.25"/>
    <row r="32560" s="12" customFormat="1" x14ac:dyDescent="0.25"/>
    <row r="32561" s="12" customFormat="1" x14ac:dyDescent="0.25"/>
    <row r="32562" s="12" customFormat="1" x14ac:dyDescent="0.25"/>
    <row r="32563" s="12" customFormat="1" x14ac:dyDescent="0.25"/>
    <row r="32564" s="12" customFormat="1" x14ac:dyDescent="0.25"/>
    <row r="32565" s="12" customFormat="1" x14ac:dyDescent="0.25"/>
    <row r="32566" s="12" customFormat="1" x14ac:dyDescent="0.25"/>
    <row r="32567" s="12" customFormat="1" x14ac:dyDescent="0.25"/>
    <row r="32568" s="12" customFormat="1" x14ac:dyDescent="0.25"/>
    <row r="32569" s="12" customFormat="1" x14ac:dyDescent="0.25"/>
    <row r="32570" s="12" customFormat="1" x14ac:dyDescent="0.25"/>
    <row r="32571" s="12" customFormat="1" x14ac:dyDescent="0.25"/>
    <row r="32572" s="12" customFormat="1" x14ac:dyDescent="0.25"/>
    <row r="32573" s="12" customFormat="1" x14ac:dyDescent="0.25"/>
    <row r="32574" s="12" customFormat="1" x14ac:dyDescent="0.25"/>
    <row r="32575" s="12" customFormat="1" x14ac:dyDescent="0.25"/>
    <row r="32576" s="12" customFormat="1" x14ac:dyDescent="0.25"/>
    <row r="32577" s="12" customFormat="1" x14ac:dyDescent="0.25"/>
    <row r="32578" s="12" customFormat="1" x14ac:dyDescent="0.25"/>
    <row r="32579" s="12" customFormat="1" x14ac:dyDescent="0.25"/>
    <row r="32580" s="12" customFormat="1" x14ac:dyDescent="0.25"/>
    <row r="32581" s="12" customFormat="1" x14ac:dyDescent="0.25"/>
    <row r="32582" s="12" customFormat="1" x14ac:dyDescent="0.25"/>
    <row r="32583" s="12" customFormat="1" x14ac:dyDescent="0.25"/>
    <row r="32584" s="12" customFormat="1" x14ac:dyDescent="0.25"/>
    <row r="32585" s="12" customFormat="1" x14ac:dyDescent="0.25"/>
    <row r="32586" s="12" customFormat="1" x14ac:dyDescent="0.25"/>
    <row r="32587" s="12" customFormat="1" x14ac:dyDescent="0.25"/>
    <row r="32588" s="12" customFormat="1" x14ac:dyDescent="0.25"/>
    <row r="32589" s="12" customFormat="1" x14ac:dyDescent="0.25"/>
    <row r="32590" s="12" customFormat="1" x14ac:dyDescent="0.25"/>
    <row r="32591" s="12" customFormat="1" x14ac:dyDescent="0.25"/>
    <row r="32592" s="12" customFormat="1" x14ac:dyDescent="0.25"/>
    <row r="32593" s="12" customFormat="1" x14ac:dyDescent="0.25"/>
    <row r="32594" s="12" customFormat="1" x14ac:dyDescent="0.25"/>
    <row r="32595" s="12" customFormat="1" x14ac:dyDescent="0.25"/>
    <row r="32596" s="12" customFormat="1" x14ac:dyDescent="0.25"/>
    <row r="32597" s="12" customFormat="1" x14ac:dyDescent="0.25"/>
    <row r="32598" s="12" customFormat="1" x14ac:dyDescent="0.25"/>
    <row r="32599" s="12" customFormat="1" x14ac:dyDescent="0.25"/>
    <row r="32600" s="12" customFormat="1" x14ac:dyDescent="0.25"/>
    <row r="32601" s="12" customFormat="1" x14ac:dyDescent="0.25"/>
    <row r="32602" s="12" customFormat="1" x14ac:dyDescent="0.25"/>
    <row r="32603" s="12" customFormat="1" x14ac:dyDescent="0.25"/>
    <row r="32604" s="12" customFormat="1" x14ac:dyDescent="0.25"/>
    <row r="32605" s="12" customFormat="1" x14ac:dyDescent="0.25"/>
    <row r="32606" s="12" customFormat="1" x14ac:dyDescent="0.25"/>
    <row r="32607" s="12" customFormat="1" x14ac:dyDescent="0.25"/>
    <row r="32608" s="12" customFormat="1" x14ac:dyDescent="0.25"/>
    <row r="32609" s="12" customFormat="1" x14ac:dyDescent="0.25"/>
    <row r="32610" s="12" customFormat="1" x14ac:dyDescent="0.25"/>
    <row r="32611" s="12" customFormat="1" x14ac:dyDescent="0.25"/>
    <row r="32612" s="12" customFormat="1" x14ac:dyDescent="0.25"/>
    <row r="32613" s="12" customFormat="1" x14ac:dyDescent="0.25"/>
    <row r="32614" s="12" customFormat="1" x14ac:dyDescent="0.25"/>
    <row r="32615" s="12" customFormat="1" x14ac:dyDescent="0.25"/>
    <row r="32616" s="12" customFormat="1" x14ac:dyDescent="0.25"/>
    <row r="32617" s="12" customFormat="1" x14ac:dyDescent="0.25"/>
    <row r="32618" s="12" customFormat="1" x14ac:dyDescent="0.25"/>
    <row r="32619" s="12" customFormat="1" x14ac:dyDescent="0.25"/>
    <row r="32620" s="12" customFormat="1" x14ac:dyDescent="0.25"/>
    <row r="32621" s="12" customFormat="1" x14ac:dyDescent="0.25"/>
    <row r="32622" s="12" customFormat="1" x14ac:dyDescent="0.25"/>
    <row r="32623" s="12" customFormat="1" x14ac:dyDescent="0.25"/>
    <row r="32624" s="12" customFormat="1" x14ac:dyDescent="0.25"/>
    <row r="32625" s="12" customFormat="1" x14ac:dyDescent="0.25"/>
    <row r="32626" s="12" customFormat="1" x14ac:dyDescent="0.25"/>
    <row r="32627" s="12" customFormat="1" x14ac:dyDescent="0.25"/>
    <row r="32628" s="12" customFormat="1" x14ac:dyDescent="0.25"/>
    <row r="32629" s="12" customFormat="1" x14ac:dyDescent="0.25"/>
    <row r="32630" s="12" customFormat="1" x14ac:dyDescent="0.25"/>
    <row r="32631" s="12" customFormat="1" x14ac:dyDescent="0.25"/>
    <row r="32632" s="12" customFormat="1" x14ac:dyDescent="0.25"/>
    <row r="32633" s="12" customFormat="1" x14ac:dyDescent="0.25"/>
    <row r="32634" s="12" customFormat="1" x14ac:dyDescent="0.25"/>
    <row r="32635" s="12" customFormat="1" x14ac:dyDescent="0.25"/>
    <row r="32636" s="12" customFormat="1" x14ac:dyDescent="0.25"/>
    <row r="32637" s="12" customFormat="1" x14ac:dyDescent="0.25"/>
    <row r="32638" s="12" customFormat="1" x14ac:dyDescent="0.25"/>
    <row r="32639" s="12" customFormat="1" x14ac:dyDescent="0.25"/>
    <row r="32640" s="12" customFormat="1" x14ac:dyDescent="0.25"/>
    <row r="32641" s="12" customFormat="1" x14ac:dyDescent="0.25"/>
    <row r="32642" s="12" customFormat="1" x14ac:dyDescent="0.25"/>
    <row r="32643" s="12" customFormat="1" x14ac:dyDescent="0.25"/>
    <row r="32644" s="12" customFormat="1" x14ac:dyDescent="0.25"/>
    <row r="32645" s="12" customFormat="1" x14ac:dyDescent="0.25"/>
    <row r="32646" s="12" customFormat="1" x14ac:dyDescent="0.25"/>
    <row r="32647" s="12" customFormat="1" x14ac:dyDescent="0.25"/>
    <row r="32648" s="12" customFormat="1" x14ac:dyDescent="0.25"/>
    <row r="32649" s="12" customFormat="1" x14ac:dyDescent="0.25"/>
    <row r="32650" s="12" customFormat="1" x14ac:dyDescent="0.25"/>
    <row r="32651" s="12" customFormat="1" x14ac:dyDescent="0.25"/>
    <row r="32652" s="12" customFormat="1" x14ac:dyDescent="0.25"/>
    <row r="32653" s="12" customFormat="1" x14ac:dyDescent="0.25"/>
    <row r="32654" s="12" customFormat="1" x14ac:dyDescent="0.25"/>
    <row r="32655" s="12" customFormat="1" x14ac:dyDescent="0.25"/>
    <row r="32656" s="12" customFormat="1" x14ac:dyDescent="0.25"/>
    <row r="32657" s="12" customFormat="1" x14ac:dyDescent="0.25"/>
    <row r="32658" s="12" customFormat="1" x14ac:dyDescent="0.25"/>
    <row r="32659" s="12" customFormat="1" x14ac:dyDescent="0.25"/>
    <row r="32660" s="12" customFormat="1" x14ac:dyDescent="0.25"/>
    <row r="32661" s="12" customFormat="1" x14ac:dyDescent="0.25"/>
    <row r="32662" s="12" customFormat="1" x14ac:dyDescent="0.25"/>
    <row r="32663" s="12" customFormat="1" x14ac:dyDescent="0.25"/>
    <row r="32664" s="12" customFormat="1" x14ac:dyDescent="0.25"/>
    <row r="32665" s="12" customFormat="1" x14ac:dyDescent="0.25"/>
    <row r="32666" s="12" customFormat="1" x14ac:dyDescent="0.25"/>
    <row r="32667" s="12" customFormat="1" x14ac:dyDescent="0.25"/>
    <row r="32668" s="12" customFormat="1" x14ac:dyDescent="0.25"/>
    <row r="32669" s="12" customFormat="1" x14ac:dyDescent="0.25"/>
    <row r="32670" s="12" customFormat="1" x14ac:dyDescent="0.25"/>
    <row r="32671" s="12" customFormat="1" x14ac:dyDescent="0.25"/>
    <row r="32672" s="12" customFormat="1" x14ac:dyDescent="0.25"/>
    <row r="32673" s="12" customFormat="1" x14ac:dyDescent="0.25"/>
    <row r="32674" s="12" customFormat="1" x14ac:dyDescent="0.25"/>
    <row r="32675" s="12" customFormat="1" x14ac:dyDescent="0.25"/>
    <row r="32676" s="12" customFormat="1" x14ac:dyDescent="0.25"/>
    <row r="32677" s="12" customFormat="1" x14ac:dyDescent="0.25"/>
    <row r="32678" s="12" customFormat="1" x14ac:dyDescent="0.25"/>
    <row r="32679" s="12" customFormat="1" x14ac:dyDescent="0.25"/>
    <row r="32680" s="12" customFormat="1" x14ac:dyDescent="0.25"/>
    <row r="32681" s="12" customFormat="1" x14ac:dyDescent="0.25"/>
    <row r="32682" s="12" customFormat="1" x14ac:dyDescent="0.25"/>
    <row r="32683" s="12" customFormat="1" x14ac:dyDescent="0.25"/>
    <row r="32684" s="12" customFormat="1" x14ac:dyDescent="0.25"/>
    <row r="32685" s="12" customFormat="1" x14ac:dyDescent="0.25"/>
    <row r="32686" s="12" customFormat="1" x14ac:dyDescent="0.25"/>
    <row r="32687" s="12" customFormat="1" x14ac:dyDescent="0.25"/>
    <row r="32688" s="12" customFormat="1" x14ac:dyDescent="0.25"/>
    <row r="32689" s="12" customFormat="1" x14ac:dyDescent="0.25"/>
    <row r="32690" s="12" customFormat="1" x14ac:dyDescent="0.25"/>
    <row r="32691" s="12" customFormat="1" x14ac:dyDescent="0.25"/>
    <row r="32692" s="12" customFormat="1" x14ac:dyDescent="0.25"/>
    <row r="32693" s="12" customFormat="1" x14ac:dyDescent="0.25"/>
    <row r="32694" s="12" customFormat="1" x14ac:dyDescent="0.25"/>
    <row r="32695" s="12" customFormat="1" x14ac:dyDescent="0.25"/>
    <row r="32696" s="12" customFormat="1" x14ac:dyDescent="0.25"/>
    <row r="32697" s="12" customFormat="1" x14ac:dyDescent="0.25"/>
    <row r="32698" s="12" customFormat="1" x14ac:dyDescent="0.25"/>
    <row r="32699" s="12" customFormat="1" x14ac:dyDescent="0.25"/>
    <row r="32700" s="12" customFormat="1" x14ac:dyDescent="0.25"/>
    <row r="32701" s="12" customFormat="1" x14ac:dyDescent="0.25"/>
    <row r="32702" s="12" customFormat="1" x14ac:dyDescent="0.25"/>
    <row r="32703" s="12" customFormat="1" x14ac:dyDescent="0.25"/>
    <row r="32704" s="12" customFormat="1" x14ac:dyDescent="0.25"/>
    <row r="32705" s="12" customFormat="1" x14ac:dyDescent="0.25"/>
    <row r="32706" s="12" customFormat="1" x14ac:dyDescent="0.25"/>
    <row r="32707" s="12" customFormat="1" x14ac:dyDescent="0.25"/>
    <row r="32708" s="12" customFormat="1" x14ac:dyDescent="0.25"/>
    <row r="32709" s="12" customFormat="1" x14ac:dyDescent="0.25"/>
    <row r="32710" s="12" customFormat="1" x14ac:dyDescent="0.25"/>
    <row r="32711" s="12" customFormat="1" x14ac:dyDescent="0.25"/>
    <row r="32712" s="12" customFormat="1" x14ac:dyDescent="0.25"/>
    <row r="32713" s="12" customFormat="1" x14ac:dyDescent="0.25"/>
    <row r="32714" s="12" customFormat="1" x14ac:dyDescent="0.25"/>
    <row r="32715" s="12" customFormat="1" x14ac:dyDescent="0.25"/>
    <row r="32716" s="12" customFormat="1" x14ac:dyDescent="0.25"/>
    <row r="32717" s="12" customFormat="1" x14ac:dyDescent="0.25"/>
    <row r="32718" s="12" customFormat="1" x14ac:dyDescent="0.25"/>
    <row r="32719" s="12" customFormat="1" x14ac:dyDescent="0.25"/>
    <row r="32720" s="12" customFormat="1" x14ac:dyDescent="0.25"/>
    <row r="32721" s="12" customFormat="1" x14ac:dyDescent="0.25"/>
    <row r="32722" s="12" customFormat="1" x14ac:dyDescent="0.25"/>
    <row r="32723" s="12" customFormat="1" x14ac:dyDescent="0.25"/>
    <row r="32724" s="12" customFormat="1" x14ac:dyDescent="0.25"/>
    <row r="32725" s="12" customFormat="1" x14ac:dyDescent="0.25"/>
    <row r="32726" s="12" customFormat="1" x14ac:dyDescent="0.25"/>
    <row r="32727" s="12" customFormat="1" x14ac:dyDescent="0.25"/>
    <row r="32728" s="12" customFormat="1" x14ac:dyDescent="0.25"/>
    <row r="32729" s="12" customFormat="1" x14ac:dyDescent="0.25"/>
    <row r="32730" s="12" customFormat="1" x14ac:dyDescent="0.25"/>
    <row r="32731" s="12" customFormat="1" x14ac:dyDescent="0.25"/>
    <row r="32732" s="12" customFormat="1" x14ac:dyDescent="0.25"/>
    <row r="32733" s="12" customFormat="1" x14ac:dyDescent="0.25"/>
    <row r="32734" s="12" customFormat="1" x14ac:dyDescent="0.25"/>
    <row r="32735" s="12" customFormat="1" x14ac:dyDescent="0.25"/>
    <row r="32736" s="12" customFormat="1" x14ac:dyDescent="0.25"/>
    <row r="32737" s="12" customFormat="1" x14ac:dyDescent="0.25"/>
    <row r="32738" s="12" customFormat="1" x14ac:dyDescent="0.25"/>
    <row r="32739" s="12" customFormat="1" x14ac:dyDescent="0.25"/>
    <row r="32740" s="12" customFormat="1" x14ac:dyDescent="0.25"/>
    <row r="32741" s="12" customFormat="1" x14ac:dyDescent="0.25"/>
    <row r="32742" s="12" customFormat="1" x14ac:dyDescent="0.25"/>
    <row r="32743" s="12" customFormat="1" x14ac:dyDescent="0.25"/>
    <row r="32744" s="12" customFormat="1" x14ac:dyDescent="0.25"/>
    <row r="32745" s="12" customFormat="1" x14ac:dyDescent="0.25"/>
    <row r="32746" s="12" customFormat="1" x14ac:dyDescent="0.25"/>
    <row r="32747" s="12" customFormat="1" x14ac:dyDescent="0.25"/>
    <row r="32748" s="12" customFormat="1" x14ac:dyDescent="0.25"/>
    <row r="32749" s="12" customFormat="1" x14ac:dyDescent="0.25"/>
    <row r="32750" s="12" customFormat="1" x14ac:dyDescent="0.25"/>
    <row r="32751" s="12" customFormat="1" x14ac:dyDescent="0.25"/>
    <row r="32752" s="12" customFormat="1" x14ac:dyDescent="0.25"/>
    <row r="32753" s="12" customFormat="1" x14ac:dyDescent="0.25"/>
    <row r="32754" s="12" customFormat="1" x14ac:dyDescent="0.25"/>
    <row r="32755" s="12" customFormat="1" x14ac:dyDescent="0.25"/>
    <row r="32756" s="12" customFormat="1" x14ac:dyDescent="0.25"/>
    <row r="32757" s="12" customFormat="1" x14ac:dyDescent="0.25"/>
    <row r="32758" s="12" customFormat="1" x14ac:dyDescent="0.25"/>
    <row r="32759" s="12" customFormat="1" x14ac:dyDescent="0.25"/>
    <row r="32760" s="12" customFormat="1" x14ac:dyDescent="0.25"/>
    <row r="32761" s="12" customFormat="1" x14ac:dyDescent="0.25"/>
    <row r="32762" s="12" customFormat="1" x14ac:dyDescent="0.25"/>
    <row r="32763" s="12" customFormat="1" x14ac:dyDescent="0.25"/>
    <row r="32764" s="12" customFormat="1" x14ac:dyDescent="0.25"/>
    <row r="32765" s="12" customFormat="1" x14ac:dyDescent="0.25"/>
    <row r="32766" s="12" customFormat="1" x14ac:dyDescent="0.25"/>
    <row r="32767" s="12" customFormat="1" x14ac:dyDescent="0.25"/>
    <row r="32768" s="12" customFormat="1" x14ac:dyDescent="0.25"/>
    <row r="32769" s="12" customFormat="1" x14ac:dyDescent="0.25"/>
    <row r="32770" s="12" customFormat="1" x14ac:dyDescent="0.25"/>
    <row r="32771" s="12" customFormat="1" x14ac:dyDescent="0.25"/>
    <row r="32772" s="12" customFormat="1" x14ac:dyDescent="0.25"/>
    <row r="32773" s="12" customFormat="1" x14ac:dyDescent="0.25"/>
    <row r="32774" s="12" customFormat="1" x14ac:dyDescent="0.25"/>
    <row r="32775" s="12" customFormat="1" x14ac:dyDescent="0.25"/>
    <row r="32776" s="12" customFormat="1" x14ac:dyDescent="0.25"/>
    <row r="32777" s="12" customFormat="1" x14ac:dyDescent="0.25"/>
    <row r="32778" s="12" customFormat="1" x14ac:dyDescent="0.25"/>
    <row r="32779" s="12" customFormat="1" x14ac:dyDescent="0.25"/>
    <row r="32780" s="12" customFormat="1" x14ac:dyDescent="0.25"/>
    <row r="32781" s="12" customFormat="1" x14ac:dyDescent="0.25"/>
    <row r="32782" s="12" customFormat="1" x14ac:dyDescent="0.25"/>
    <row r="32783" s="12" customFormat="1" x14ac:dyDescent="0.25"/>
    <row r="32784" s="12" customFormat="1" x14ac:dyDescent="0.25"/>
    <row r="32785" s="12" customFormat="1" x14ac:dyDescent="0.25"/>
    <row r="32786" s="12" customFormat="1" x14ac:dyDescent="0.25"/>
    <row r="32787" s="12" customFormat="1" x14ac:dyDescent="0.25"/>
    <row r="32788" s="12" customFormat="1" x14ac:dyDescent="0.25"/>
    <row r="32789" s="12" customFormat="1" x14ac:dyDescent="0.25"/>
    <row r="32790" s="12" customFormat="1" x14ac:dyDescent="0.25"/>
    <row r="32791" s="12" customFormat="1" x14ac:dyDescent="0.25"/>
    <row r="32792" s="12" customFormat="1" x14ac:dyDescent="0.25"/>
    <row r="32793" s="12" customFormat="1" x14ac:dyDescent="0.25"/>
    <row r="32794" s="12" customFormat="1" x14ac:dyDescent="0.25"/>
    <row r="32795" s="12" customFormat="1" x14ac:dyDescent="0.25"/>
    <row r="32796" s="12" customFormat="1" x14ac:dyDescent="0.25"/>
    <row r="32797" s="12" customFormat="1" x14ac:dyDescent="0.25"/>
    <row r="32798" s="12" customFormat="1" x14ac:dyDescent="0.25"/>
    <row r="32799" s="12" customFormat="1" x14ac:dyDescent="0.25"/>
    <row r="32800" s="12" customFormat="1" x14ac:dyDescent="0.25"/>
    <row r="32801" s="12" customFormat="1" x14ac:dyDescent="0.25"/>
    <row r="32802" s="12" customFormat="1" x14ac:dyDescent="0.25"/>
    <row r="32803" s="12" customFormat="1" x14ac:dyDescent="0.25"/>
    <row r="32804" s="12" customFormat="1" x14ac:dyDescent="0.25"/>
    <row r="32805" s="12" customFormat="1" x14ac:dyDescent="0.25"/>
    <row r="32806" s="12" customFormat="1" x14ac:dyDescent="0.25"/>
    <row r="32807" s="12" customFormat="1" x14ac:dyDescent="0.25"/>
    <row r="32808" s="12" customFormat="1" x14ac:dyDescent="0.25"/>
    <row r="32809" s="12" customFormat="1" x14ac:dyDescent="0.25"/>
    <row r="32810" s="12" customFormat="1" x14ac:dyDescent="0.25"/>
    <row r="32811" s="12" customFormat="1" x14ac:dyDescent="0.25"/>
    <row r="32812" s="12" customFormat="1" x14ac:dyDescent="0.25"/>
    <row r="32813" s="12" customFormat="1" x14ac:dyDescent="0.25"/>
    <row r="32814" s="12" customFormat="1" x14ac:dyDescent="0.25"/>
    <row r="32815" s="12" customFormat="1" x14ac:dyDescent="0.25"/>
    <row r="32816" s="12" customFormat="1" x14ac:dyDescent="0.25"/>
    <row r="32817" s="12" customFormat="1" x14ac:dyDescent="0.25"/>
    <row r="32818" s="12" customFormat="1" x14ac:dyDescent="0.25"/>
    <row r="32819" s="12" customFormat="1" x14ac:dyDescent="0.25"/>
    <row r="32820" s="12" customFormat="1" x14ac:dyDescent="0.25"/>
    <row r="32821" s="12" customFormat="1" x14ac:dyDescent="0.25"/>
    <row r="32822" s="12" customFormat="1" x14ac:dyDescent="0.25"/>
    <row r="32823" s="12" customFormat="1" x14ac:dyDescent="0.25"/>
    <row r="32824" s="12" customFormat="1" x14ac:dyDescent="0.25"/>
    <row r="32825" s="12" customFormat="1" x14ac:dyDescent="0.25"/>
    <row r="32826" s="12" customFormat="1" x14ac:dyDescent="0.25"/>
    <row r="32827" s="12" customFormat="1" x14ac:dyDescent="0.25"/>
    <row r="32828" s="12" customFormat="1" x14ac:dyDescent="0.25"/>
    <row r="32829" s="12" customFormat="1" x14ac:dyDescent="0.25"/>
    <row r="32830" s="12" customFormat="1" x14ac:dyDescent="0.25"/>
    <row r="32831" s="12" customFormat="1" x14ac:dyDescent="0.25"/>
    <row r="32832" s="12" customFormat="1" x14ac:dyDescent="0.25"/>
    <row r="32833" s="12" customFormat="1" x14ac:dyDescent="0.25"/>
    <row r="32834" s="12" customFormat="1" x14ac:dyDescent="0.25"/>
    <row r="32835" s="12" customFormat="1" x14ac:dyDescent="0.25"/>
    <row r="32836" s="12" customFormat="1" x14ac:dyDescent="0.25"/>
    <row r="32837" s="12" customFormat="1" x14ac:dyDescent="0.25"/>
    <row r="32838" s="12" customFormat="1" x14ac:dyDescent="0.25"/>
    <row r="32839" s="12" customFormat="1" x14ac:dyDescent="0.25"/>
    <row r="32840" s="12" customFormat="1" x14ac:dyDescent="0.25"/>
    <row r="32841" s="12" customFormat="1" x14ac:dyDescent="0.25"/>
    <row r="32842" s="12" customFormat="1" x14ac:dyDescent="0.25"/>
    <row r="32843" s="12" customFormat="1" x14ac:dyDescent="0.25"/>
    <row r="32844" s="12" customFormat="1" x14ac:dyDescent="0.25"/>
    <row r="32845" s="12" customFormat="1" x14ac:dyDescent="0.25"/>
    <row r="32846" s="12" customFormat="1" x14ac:dyDescent="0.25"/>
    <row r="32847" s="12" customFormat="1" x14ac:dyDescent="0.25"/>
    <row r="32848" s="12" customFormat="1" x14ac:dyDescent="0.25"/>
    <row r="32849" s="12" customFormat="1" x14ac:dyDescent="0.25"/>
    <row r="32850" s="12" customFormat="1" x14ac:dyDescent="0.25"/>
    <row r="32851" s="12" customFormat="1" x14ac:dyDescent="0.25"/>
    <row r="32852" s="12" customFormat="1" x14ac:dyDescent="0.25"/>
    <row r="32853" s="12" customFormat="1" x14ac:dyDescent="0.25"/>
    <row r="32854" s="12" customFormat="1" x14ac:dyDescent="0.25"/>
    <row r="32855" s="12" customFormat="1" x14ac:dyDescent="0.25"/>
    <row r="32856" s="12" customFormat="1" x14ac:dyDescent="0.25"/>
    <row r="32857" s="12" customFormat="1" x14ac:dyDescent="0.25"/>
    <row r="32858" s="12" customFormat="1" x14ac:dyDescent="0.25"/>
    <row r="32859" s="12" customFormat="1" x14ac:dyDescent="0.25"/>
    <row r="32860" s="12" customFormat="1" x14ac:dyDescent="0.25"/>
    <row r="32861" s="12" customFormat="1" x14ac:dyDescent="0.25"/>
    <row r="32862" s="12" customFormat="1" x14ac:dyDescent="0.25"/>
    <row r="32863" s="12" customFormat="1" x14ac:dyDescent="0.25"/>
    <row r="32864" s="12" customFormat="1" x14ac:dyDescent="0.25"/>
    <row r="32865" s="12" customFormat="1" x14ac:dyDescent="0.25"/>
    <row r="32866" s="12" customFormat="1" x14ac:dyDescent="0.25"/>
    <row r="32867" s="12" customFormat="1" x14ac:dyDescent="0.25"/>
    <row r="32868" s="12" customFormat="1" x14ac:dyDescent="0.25"/>
    <row r="32869" s="12" customFormat="1" x14ac:dyDescent="0.25"/>
    <row r="32870" s="12" customFormat="1" x14ac:dyDescent="0.25"/>
    <row r="32871" s="12" customFormat="1" x14ac:dyDescent="0.25"/>
    <row r="32872" s="12" customFormat="1" x14ac:dyDescent="0.25"/>
    <row r="32873" s="12" customFormat="1" x14ac:dyDescent="0.25"/>
    <row r="32874" s="12" customFormat="1" x14ac:dyDescent="0.25"/>
    <row r="32875" s="12" customFormat="1" x14ac:dyDescent="0.25"/>
    <row r="32876" s="12" customFormat="1" x14ac:dyDescent="0.25"/>
    <row r="32877" s="12" customFormat="1" x14ac:dyDescent="0.25"/>
    <row r="32878" s="12" customFormat="1" x14ac:dyDescent="0.25"/>
    <row r="32879" s="12" customFormat="1" x14ac:dyDescent="0.25"/>
    <row r="32880" s="12" customFormat="1" x14ac:dyDescent="0.25"/>
    <row r="32881" s="12" customFormat="1" x14ac:dyDescent="0.25"/>
    <row r="32882" s="12" customFormat="1" x14ac:dyDescent="0.25"/>
    <row r="32883" s="12" customFormat="1" x14ac:dyDescent="0.25"/>
    <row r="32884" s="12" customFormat="1" x14ac:dyDescent="0.25"/>
    <row r="32885" s="12" customFormat="1" x14ac:dyDescent="0.25"/>
    <row r="32886" s="12" customFormat="1" x14ac:dyDescent="0.25"/>
    <row r="32887" s="12" customFormat="1" x14ac:dyDescent="0.25"/>
    <row r="32888" s="12" customFormat="1" x14ac:dyDescent="0.25"/>
    <row r="32889" s="12" customFormat="1" x14ac:dyDescent="0.25"/>
    <row r="32890" s="12" customFormat="1" x14ac:dyDescent="0.25"/>
    <row r="32891" s="12" customFormat="1" x14ac:dyDescent="0.25"/>
    <row r="32892" s="12" customFormat="1" x14ac:dyDescent="0.25"/>
    <row r="32893" s="12" customFormat="1" x14ac:dyDescent="0.25"/>
    <row r="32894" s="12" customFormat="1" x14ac:dyDescent="0.25"/>
    <row r="32895" s="12" customFormat="1" x14ac:dyDescent="0.25"/>
    <row r="32896" s="12" customFormat="1" x14ac:dyDescent="0.25"/>
    <row r="32897" s="12" customFormat="1" x14ac:dyDescent="0.25"/>
    <row r="32898" s="12" customFormat="1" x14ac:dyDescent="0.25"/>
    <row r="32899" s="12" customFormat="1" x14ac:dyDescent="0.25"/>
    <row r="32900" s="12" customFormat="1" x14ac:dyDescent="0.25"/>
    <row r="32901" s="12" customFormat="1" x14ac:dyDescent="0.25"/>
    <row r="32902" s="12" customFormat="1" x14ac:dyDescent="0.25"/>
    <row r="32903" s="12" customFormat="1" x14ac:dyDescent="0.25"/>
    <row r="32904" s="12" customFormat="1" x14ac:dyDescent="0.25"/>
    <row r="32905" s="12" customFormat="1" x14ac:dyDescent="0.25"/>
    <row r="32906" s="12" customFormat="1" x14ac:dyDescent="0.25"/>
    <row r="32907" s="12" customFormat="1" x14ac:dyDescent="0.25"/>
    <row r="32908" s="12" customFormat="1" x14ac:dyDescent="0.25"/>
    <row r="32909" s="12" customFormat="1" x14ac:dyDescent="0.25"/>
    <row r="32910" s="12" customFormat="1" x14ac:dyDescent="0.25"/>
    <row r="32911" s="12" customFormat="1" x14ac:dyDescent="0.25"/>
    <row r="32912" s="12" customFormat="1" x14ac:dyDescent="0.25"/>
    <row r="32913" s="12" customFormat="1" x14ac:dyDescent="0.25"/>
    <row r="32914" s="12" customFormat="1" x14ac:dyDescent="0.25"/>
    <row r="32915" s="12" customFormat="1" x14ac:dyDescent="0.25"/>
    <row r="32916" s="12" customFormat="1" x14ac:dyDescent="0.25"/>
    <row r="32917" s="12" customFormat="1" x14ac:dyDescent="0.25"/>
    <row r="32918" s="12" customFormat="1" x14ac:dyDescent="0.25"/>
    <row r="32919" s="12" customFormat="1" x14ac:dyDescent="0.25"/>
    <row r="32920" s="12" customFormat="1" x14ac:dyDescent="0.25"/>
    <row r="32921" s="12" customFormat="1" x14ac:dyDescent="0.25"/>
    <row r="32922" s="12" customFormat="1" x14ac:dyDescent="0.25"/>
    <row r="32923" s="12" customFormat="1" x14ac:dyDescent="0.25"/>
    <row r="32924" s="12" customFormat="1" x14ac:dyDescent="0.25"/>
    <row r="32925" s="12" customFormat="1" x14ac:dyDescent="0.25"/>
    <row r="32926" s="12" customFormat="1" x14ac:dyDescent="0.25"/>
    <row r="32927" s="12" customFormat="1" x14ac:dyDescent="0.25"/>
    <row r="32928" s="12" customFormat="1" x14ac:dyDescent="0.25"/>
    <row r="32929" s="12" customFormat="1" x14ac:dyDescent="0.25"/>
    <row r="32930" s="12" customFormat="1" x14ac:dyDescent="0.25"/>
    <row r="32931" s="12" customFormat="1" x14ac:dyDescent="0.25"/>
    <row r="32932" s="12" customFormat="1" x14ac:dyDescent="0.25"/>
    <row r="32933" s="12" customFormat="1" x14ac:dyDescent="0.25"/>
    <row r="32934" s="12" customFormat="1" x14ac:dyDescent="0.25"/>
    <row r="32935" s="12" customFormat="1" x14ac:dyDescent="0.25"/>
    <row r="32936" s="12" customFormat="1" x14ac:dyDescent="0.25"/>
    <row r="32937" s="12" customFormat="1" x14ac:dyDescent="0.25"/>
    <row r="32938" s="12" customFormat="1" x14ac:dyDescent="0.25"/>
    <row r="32939" s="12" customFormat="1" x14ac:dyDescent="0.25"/>
    <row r="32940" s="12" customFormat="1" x14ac:dyDescent="0.25"/>
    <row r="32941" s="12" customFormat="1" x14ac:dyDescent="0.25"/>
    <row r="32942" s="12" customFormat="1" x14ac:dyDescent="0.25"/>
    <row r="32943" s="12" customFormat="1" x14ac:dyDescent="0.25"/>
    <row r="32944" s="12" customFormat="1" x14ac:dyDescent="0.25"/>
    <row r="32945" s="12" customFormat="1" x14ac:dyDescent="0.25"/>
    <row r="32946" s="12" customFormat="1" x14ac:dyDescent="0.25"/>
    <row r="32947" s="12" customFormat="1" x14ac:dyDescent="0.25"/>
    <row r="32948" s="12" customFormat="1" x14ac:dyDescent="0.25"/>
    <row r="32949" s="12" customFormat="1" x14ac:dyDescent="0.25"/>
    <row r="32950" s="12" customFormat="1" x14ac:dyDescent="0.25"/>
    <row r="32951" s="12" customFormat="1" x14ac:dyDescent="0.25"/>
    <row r="32952" s="12" customFormat="1" x14ac:dyDescent="0.25"/>
    <row r="32953" s="12" customFormat="1" x14ac:dyDescent="0.25"/>
    <row r="32954" s="12" customFormat="1" x14ac:dyDescent="0.25"/>
    <row r="32955" s="12" customFormat="1" x14ac:dyDescent="0.25"/>
    <row r="32956" s="12" customFormat="1" x14ac:dyDescent="0.25"/>
    <row r="32957" s="12" customFormat="1" x14ac:dyDescent="0.25"/>
    <row r="32958" s="12" customFormat="1" x14ac:dyDescent="0.25"/>
    <row r="32959" s="12" customFormat="1" x14ac:dyDescent="0.25"/>
    <row r="32960" s="12" customFormat="1" x14ac:dyDescent="0.25"/>
    <row r="32961" s="12" customFormat="1" x14ac:dyDescent="0.25"/>
    <row r="32962" s="12" customFormat="1" x14ac:dyDescent="0.25"/>
    <row r="32963" s="12" customFormat="1" x14ac:dyDescent="0.25"/>
    <row r="32964" s="12" customFormat="1" x14ac:dyDescent="0.25"/>
    <row r="32965" s="12" customFormat="1" x14ac:dyDescent="0.25"/>
    <row r="32966" s="12" customFormat="1" x14ac:dyDescent="0.25"/>
    <row r="32967" s="12" customFormat="1" x14ac:dyDescent="0.25"/>
    <row r="32968" s="12" customFormat="1" x14ac:dyDescent="0.25"/>
    <row r="32969" s="12" customFormat="1" x14ac:dyDescent="0.25"/>
    <row r="32970" s="12" customFormat="1" x14ac:dyDescent="0.25"/>
    <row r="32971" s="12" customFormat="1" x14ac:dyDescent="0.25"/>
    <row r="32972" s="12" customFormat="1" x14ac:dyDescent="0.25"/>
    <row r="32973" s="12" customFormat="1" x14ac:dyDescent="0.25"/>
    <row r="32974" s="12" customFormat="1" x14ac:dyDescent="0.25"/>
    <row r="32975" s="12" customFormat="1" x14ac:dyDescent="0.25"/>
    <row r="32976" s="12" customFormat="1" x14ac:dyDescent="0.25"/>
    <row r="32977" s="12" customFormat="1" x14ac:dyDescent="0.25"/>
    <row r="32978" s="12" customFormat="1" x14ac:dyDescent="0.25"/>
    <row r="32979" s="12" customFormat="1" x14ac:dyDescent="0.25"/>
    <row r="32980" s="12" customFormat="1" x14ac:dyDescent="0.25"/>
    <row r="32981" s="12" customFormat="1" x14ac:dyDescent="0.25"/>
    <row r="32982" s="12" customFormat="1" x14ac:dyDescent="0.25"/>
    <row r="32983" s="12" customFormat="1" x14ac:dyDescent="0.25"/>
    <row r="32984" s="12" customFormat="1" x14ac:dyDescent="0.25"/>
    <row r="32985" s="12" customFormat="1" x14ac:dyDescent="0.25"/>
    <row r="32986" s="12" customFormat="1" x14ac:dyDescent="0.25"/>
    <row r="32987" s="12" customFormat="1" x14ac:dyDescent="0.25"/>
    <row r="32988" s="12" customFormat="1" x14ac:dyDescent="0.25"/>
    <row r="32989" s="12" customFormat="1" x14ac:dyDescent="0.25"/>
    <row r="32990" s="12" customFormat="1" x14ac:dyDescent="0.25"/>
    <row r="32991" s="12" customFormat="1" x14ac:dyDescent="0.25"/>
    <row r="32992" s="12" customFormat="1" x14ac:dyDescent="0.25"/>
    <row r="32993" s="12" customFormat="1" x14ac:dyDescent="0.25"/>
    <row r="32994" s="12" customFormat="1" x14ac:dyDescent="0.25"/>
    <row r="32995" s="12" customFormat="1" x14ac:dyDescent="0.25"/>
    <row r="32996" s="12" customFormat="1" x14ac:dyDescent="0.25"/>
    <row r="32997" s="12" customFormat="1" x14ac:dyDescent="0.25"/>
    <row r="32998" s="12" customFormat="1" x14ac:dyDescent="0.25"/>
    <row r="32999" s="12" customFormat="1" x14ac:dyDescent="0.25"/>
    <row r="33000" s="12" customFormat="1" x14ac:dyDescent="0.25"/>
    <row r="33001" s="12" customFormat="1" x14ac:dyDescent="0.25"/>
    <row r="33002" s="12" customFormat="1" x14ac:dyDescent="0.25"/>
    <row r="33003" s="12" customFormat="1" x14ac:dyDescent="0.25"/>
    <row r="33004" s="12" customFormat="1" x14ac:dyDescent="0.25"/>
    <row r="33005" s="12" customFormat="1" x14ac:dyDescent="0.25"/>
    <row r="33006" s="12" customFormat="1" x14ac:dyDescent="0.25"/>
    <row r="33007" s="12" customFormat="1" x14ac:dyDescent="0.25"/>
    <row r="33008" s="12" customFormat="1" x14ac:dyDescent="0.25"/>
    <row r="33009" s="12" customFormat="1" x14ac:dyDescent="0.25"/>
    <row r="33010" s="12" customFormat="1" x14ac:dyDescent="0.25"/>
    <row r="33011" s="12" customFormat="1" x14ac:dyDescent="0.25"/>
    <row r="33012" s="12" customFormat="1" x14ac:dyDescent="0.25"/>
    <row r="33013" s="12" customFormat="1" x14ac:dyDescent="0.25"/>
    <row r="33014" s="12" customFormat="1" x14ac:dyDescent="0.25"/>
    <row r="33015" s="12" customFormat="1" x14ac:dyDescent="0.25"/>
    <row r="33016" s="12" customFormat="1" x14ac:dyDescent="0.25"/>
    <row r="33017" s="12" customFormat="1" x14ac:dyDescent="0.25"/>
    <row r="33018" s="12" customFormat="1" x14ac:dyDescent="0.25"/>
    <row r="33019" s="12" customFormat="1" x14ac:dyDescent="0.25"/>
    <row r="33020" s="12" customFormat="1" x14ac:dyDescent="0.25"/>
    <row r="33021" s="12" customFormat="1" x14ac:dyDescent="0.25"/>
    <row r="33022" s="12" customFormat="1" x14ac:dyDescent="0.25"/>
    <row r="33023" s="12" customFormat="1" x14ac:dyDescent="0.25"/>
    <row r="33024" s="12" customFormat="1" x14ac:dyDescent="0.25"/>
    <row r="33025" s="12" customFormat="1" x14ac:dyDescent="0.25"/>
    <row r="33026" s="12" customFormat="1" x14ac:dyDescent="0.25"/>
    <row r="33027" s="12" customFormat="1" x14ac:dyDescent="0.25"/>
    <row r="33028" s="12" customFormat="1" x14ac:dyDescent="0.25"/>
    <row r="33029" s="12" customFormat="1" x14ac:dyDescent="0.25"/>
    <row r="33030" s="12" customFormat="1" x14ac:dyDescent="0.25"/>
    <row r="33031" s="12" customFormat="1" x14ac:dyDescent="0.25"/>
    <row r="33032" s="12" customFormat="1" x14ac:dyDescent="0.25"/>
    <row r="33033" s="12" customFormat="1" x14ac:dyDescent="0.25"/>
    <row r="33034" s="12" customFormat="1" x14ac:dyDescent="0.25"/>
    <row r="33035" s="12" customFormat="1" x14ac:dyDescent="0.25"/>
    <row r="33036" s="12" customFormat="1" x14ac:dyDescent="0.25"/>
    <row r="33037" s="12" customFormat="1" x14ac:dyDescent="0.25"/>
    <row r="33038" s="12" customFormat="1" x14ac:dyDescent="0.25"/>
    <row r="33039" s="12" customFormat="1" x14ac:dyDescent="0.25"/>
    <row r="33040" s="12" customFormat="1" x14ac:dyDescent="0.25"/>
    <row r="33041" s="12" customFormat="1" x14ac:dyDescent="0.25"/>
    <row r="33042" s="12" customFormat="1" x14ac:dyDescent="0.25"/>
    <row r="33043" s="12" customFormat="1" x14ac:dyDescent="0.25"/>
    <row r="33044" s="12" customFormat="1" x14ac:dyDescent="0.25"/>
    <row r="33045" s="12" customFormat="1" x14ac:dyDescent="0.25"/>
    <row r="33046" s="12" customFormat="1" x14ac:dyDescent="0.25"/>
    <row r="33047" s="12" customFormat="1" x14ac:dyDescent="0.25"/>
    <row r="33048" s="12" customFormat="1" x14ac:dyDescent="0.25"/>
    <row r="33049" s="12" customFormat="1" x14ac:dyDescent="0.25"/>
    <row r="33050" s="12" customFormat="1" x14ac:dyDescent="0.25"/>
    <row r="33051" s="12" customFormat="1" x14ac:dyDescent="0.25"/>
    <row r="33052" s="12" customFormat="1" x14ac:dyDescent="0.25"/>
    <row r="33053" s="12" customFormat="1" x14ac:dyDescent="0.25"/>
    <row r="33054" s="12" customFormat="1" x14ac:dyDescent="0.25"/>
    <row r="33055" s="12" customFormat="1" x14ac:dyDescent="0.25"/>
    <row r="33056" s="12" customFormat="1" x14ac:dyDescent="0.25"/>
    <row r="33057" s="12" customFormat="1" x14ac:dyDescent="0.25"/>
    <row r="33058" s="12" customFormat="1" x14ac:dyDescent="0.25"/>
    <row r="33059" s="12" customFormat="1" x14ac:dyDescent="0.25"/>
    <row r="33060" s="12" customFormat="1" x14ac:dyDescent="0.25"/>
    <row r="33061" s="12" customFormat="1" x14ac:dyDescent="0.25"/>
    <row r="33062" s="12" customFormat="1" x14ac:dyDescent="0.25"/>
    <row r="33063" s="12" customFormat="1" x14ac:dyDescent="0.25"/>
    <row r="33064" s="12" customFormat="1" x14ac:dyDescent="0.25"/>
    <row r="33065" s="12" customFormat="1" x14ac:dyDescent="0.25"/>
    <row r="33066" s="12" customFormat="1" x14ac:dyDescent="0.25"/>
    <row r="33067" s="12" customFormat="1" x14ac:dyDescent="0.25"/>
    <row r="33068" s="12" customFormat="1" x14ac:dyDescent="0.25"/>
    <row r="33069" s="12" customFormat="1" x14ac:dyDescent="0.25"/>
    <row r="33070" s="12" customFormat="1" x14ac:dyDescent="0.25"/>
    <row r="33071" s="12" customFormat="1" x14ac:dyDescent="0.25"/>
    <row r="33072" s="12" customFormat="1" x14ac:dyDescent="0.25"/>
    <row r="33073" s="12" customFormat="1" x14ac:dyDescent="0.25"/>
    <row r="33074" s="12" customFormat="1" x14ac:dyDescent="0.25"/>
    <row r="33075" s="12" customFormat="1" x14ac:dyDescent="0.25"/>
    <row r="33076" s="12" customFormat="1" x14ac:dyDescent="0.25"/>
    <row r="33077" s="12" customFormat="1" x14ac:dyDescent="0.25"/>
    <row r="33078" s="12" customFormat="1" x14ac:dyDescent="0.25"/>
    <row r="33079" s="12" customFormat="1" x14ac:dyDescent="0.25"/>
    <row r="33080" s="12" customFormat="1" x14ac:dyDescent="0.25"/>
    <row r="33081" s="12" customFormat="1" x14ac:dyDescent="0.25"/>
    <row r="33082" s="12" customFormat="1" x14ac:dyDescent="0.25"/>
    <row r="33083" s="12" customFormat="1" x14ac:dyDescent="0.25"/>
    <row r="33084" s="12" customFormat="1" x14ac:dyDescent="0.25"/>
    <row r="33085" s="12" customFormat="1" x14ac:dyDescent="0.25"/>
    <row r="33086" s="12" customFormat="1" x14ac:dyDescent="0.25"/>
    <row r="33087" s="12" customFormat="1" x14ac:dyDescent="0.25"/>
    <row r="33088" s="12" customFormat="1" x14ac:dyDescent="0.25"/>
    <row r="33089" s="12" customFormat="1" x14ac:dyDescent="0.25"/>
    <row r="33090" s="12" customFormat="1" x14ac:dyDescent="0.25"/>
    <row r="33091" s="12" customFormat="1" x14ac:dyDescent="0.25"/>
    <row r="33092" s="12" customFormat="1" x14ac:dyDescent="0.25"/>
    <row r="33093" s="12" customFormat="1" x14ac:dyDescent="0.25"/>
    <row r="33094" s="12" customFormat="1" x14ac:dyDescent="0.25"/>
    <row r="33095" s="12" customFormat="1" x14ac:dyDescent="0.25"/>
    <row r="33096" s="12" customFormat="1" x14ac:dyDescent="0.25"/>
    <row r="33097" s="12" customFormat="1" x14ac:dyDescent="0.25"/>
    <row r="33098" s="12" customFormat="1" x14ac:dyDescent="0.25"/>
    <row r="33099" s="12" customFormat="1" x14ac:dyDescent="0.25"/>
    <row r="33100" s="12" customFormat="1" x14ac:dyDescent="0.25"/>
    <row r="33101" s="12" customFormat="1" x14ac:dyDescent="0.25"/>
    <row r="33102" s="12" customFormat="1" x14ac:dyDescent="0.25"/>
    <row r="33103" s="12" customFormat="1" x14ac:dyDescent="0.25"/>
    <row r="33104" s="12" customFormat="1" x14ac:dyDescent="0.25"/>
    <row r="33105" s="12" customFormat="1" x14ac:dyDescent="0.25"/>
    <row r="33106" s="12" customFormat="1" x14ac:dyDescent="0.25"/>
    <row r="33107" s="12" customFormat="1" x14ac:dyDescent="0.25"/>
    <row r="33108" s="12" customFormat="1" x14ac:dyDescent="0.25"/>
    <row r="33109" s="12" customFormat="1" x14ac:dyDescent="0.25"/>
    <row r="33110" s="12" customFormat="1" x14ac:dyDescent="0.25"/>
    <row r="33111" s="12" customFormat="1" x14ac:dyDescent="0.25"/>
    <row r="33112" s="12" customFormat="1" x14ac:dyDescent="0.25"/>
    <row r="33113" s="12" customFormat="1" x14ac:dyDescent="0.25"/>
    <row r="33114" s="12" customFormat="1" x14ac:dyDescent="0.25"/>
    <row r="33115" s="12" customFormat="1" x14ac:dyDescent="0.25"/>
    <row r="33116" s="12" customFormat="1" x14ac:dyDescent="0.25"/>
    <row r="33117" s="12" customFormat="1" x14ac:dyDescent="0.25"/>
    <row r="33118" s="12" customFormat="1" x14ac:dyDescent="0.25"/>
    <row r="33119" s="12" customFormat="1" x14ac:dyDescent="0.25"/>
    <row r="33120" s="12" customFormat="1" x14ac:dyDescent="0.25"/>
    <row r="33121" s="12" customFormat="1" x14ac:dyDescent="0.25"/>
    <row r="33122" s="12" customFormat="1" x14ac:dyDescent="0.25"/>
    <row r="33123" s="12" customFormat="1" x14ac:dyDescent="0.25"/>
    <row r="33124" s="12" customFormat="1" x14ac:dyDescent="0.25"/>
    <row r="33125" s="12" customFormat="1" x14ac:dyDescent="0.25"/>
    <row r="33126" s="12" customFormat="1" x14ac:dyDescent="0.25"/>
    <row r="33127" s="12" customFormat="1" x14ac:dyDescent="0.25"/>
    <row r="33128" s="12" customFormat="1" x14ac:dyDescent="0.25"/>
    <row r="33129" s="12" customFormat="1" x14ac:dyDescent="0.25"/>
    <row r="33130" s="12" customFormat="1" x14ac:dyDescent="0.25"/>
    <row r="33131" s="12" customFormat="1" x14ac:dyDescent="0.25"/>
    <row r="33132" s="12" customFormat="1" x14ac:dyDescent="0.25"/>
    <row r="33133" s="12" customFormat="1" x14ac:dyDescent="0.25"/>
    <row r="33134" s="12" customFormat="1" x14ac:dyDescent="0.25"/>
    <row r="33135" s="12" customFormat="1" x14ac:dyDescent="0.25"/>
    <row r="33136" s="12" customFormat="1" x14ac:dyDescent="0.25"/>
    <row r="33137" s="12" customFormat="1" x14ac:dyDescent="0.25"/>
    <row r="33138" s="12" customFormat="1" x14ac:dyDescent="0.25"/>
    <row r="33139" s="12" customFormat="1" x14ac:dyDescent="0.25"/>
    <row r="33140" s="12" customFormat="1" x14ac:dyDescent="0.25"/>
    <row r="33141" s="12" customFormat="1" x14ac:dyDescent="0.25"/>
    <row r="33142" s="12" customFormat="1" x14ac:dyDescent="0.25"/>
    <row r="33143" s="12" customFormat="1" x14ac:dyDescent="0.25"/>
    <row r="33144" s="12" customFormat="1" x14ac:dyDescent="0.25"/>
    <row r="33145" s="12" customFormat="1" x14ac:dyDescent="0.25"/>
    <row r="33146" s="12" customFormat="1" x14ac:dyDescent="0.25"/>
    <row r="33147" s="12" customFormat="1" x14ac:dyDescent="0.25"/>
    <row r="33148" s="12" customFormat="1" x14ac:dyDescent="0.25"/>
    <row r="33149" s="12" customFormat="1" x14ac:dyDescent="0.25"/>
    <row r="33150" s="12" customFormat="1" x14ac:dyDescent="0.25"/>
    <row r="33151" s="12" customFormat="1" x14ac:dyDescent="0.25"/>
    <row r="33152" s="12" customFormat="1" x14ac:dyDescent="0.25"/>
    <row r="33153" s="12" customFormat="1" x14ac:dyDescent="0.25"/>
    <row r="33154" s="12" customFormat="1" x14ac:dyDescent="0.25"/>
    <row r="33155" s="12" customFormat="1" x14ac:dyDescent="0.25"/>
    <row r="33156" s="12" customFormat="1" x14ac:dyDescent="0.25"/>
    <row r="33157" s="12" customFormat="1" x14ac:dyDescent="0.25"/>
    <row r="33158" s="12" customFormat="1" x14ac:dyDescent="0.25"/>
    <row r="33159" s="12" customFormat="1" x14ac:dyDescent="0.25"/>
    <row r="33160" s="12" customFormat="1" x14ac:dyDescent="0.25"/>
    <row r="33161" s="12" customFormat="1" x14ac:dyDescent="0.25"/>
    <row r="33162" s="12" customFormat="1" x14ac:dyDescent="0.25"/>
    <row r="33163" s="12" customFormat="1" x14ac:dyDescent="0.25"/>
    <row r="33164" s="12" customFormat="1" x14ac:dyDescent="0.25"/>
    <row r="33165" s="12" customFormat="1" x14ac:dyDescent="0.25"/>
    <row r="33166" s="12" customFormat="1" x14ac:dyDescent="0.25"/>
    <row r="33167" s="12" customFormat="1" x14ac:dyDescent="0.25"/>
    <row r="33168" s="12" customFormat="1" x14ac:dyDescent="0.25"/>
    <row r="33169" s="12" customFormat="1" x14ac:dyDescent="0.25"/>
    <row r="33170" s="12" customFormat="1" x14ac:dyDescent="0.25"/>
    <row r="33171" s="12" customFormat="1" x14ac:dyDescent="0.25"/>
    <row r="33172" s="12" customFormat="1" x14ac:dyDescent="0.25"/>
    <row r="33173" s="12" customFormat="1" x14ac:dyDescent="0.25"/>
    <row r="33174" s="12" customFormat="1" x14ac:dyDescent="0.25"/>
    <row r="33175" s="12" customFormat="1" x14ac:dyDescent="0.25"/>
    <row r="33176" s="12" customFormat="1" x14ac:dyDescent="0.25"/>
    <row r="33177" s="12" customFormat="1" x14ac:dyDescent="0.25"/>
    <row r="33178" s="12" customFormat="1" x14ac:dyDescent="0.25"/>
    <row r="33179" s="12" customFormat="1" x14ac:dyDescent="0.25"/>
    <row r="33180" s="12" customFormat="1" x14ac:dyDescent="0.25"/>
    <row r="33181" s="12" customFormat="1" x14ac:dyDescent="0.25"/>
    <row r="33182" s="12" customFormat="1" x14ac:dyDescent="0.25"/>
    <row r="33183" s="12" customFormat="1" x14ac:dyDescent="0.25"/>
    <row r="33184" s="12" customFormat="1" x14ac:dyDescent="0.25"/>
    <row r="33185" s="12" customFormat="1" x14ac:dyDescent="0.25"/>
    <row r="33186" s="12" customFormat="1" x14ac:dyDescent="0.25"/>
    <row r="33187" s="12" customFormat="1" x14ac:dyDescent="0.25"/>
    <row r="33188" s="12" customFormat="1" x14ac:dyDescent="0.25"/>
    <row r="33189" s="12" customFormat="1" x14ac:dyDescent="0.25"/>
    <row r="33190" s="12" customFormat="1" x14ac:dyDescent="0.25"/>
    <row r="33191" s="12" customFormat="1" x14ac:dyDescent="0.25"/>
    <row r="33192" s="12" customFormat="1" x14ac:dyDescent="0.25"/>
    <row r="33193" s="12" customFormat="1" x14ac:dyDescent="0.25"/>
    <row r="33194" s="12" customFormat="1" x14ac:dyDescent="0.25"/>
    <row r="33195" s="12" customFormat="1" x14ac:dyDescent="0.25"/>
    <row r="33196" s="12" customFormat="1" x14ac:dyDescent="0.25"/>
    <row r="33197" s="12" customFormat="1" x14ac:dyDescent="0.25"/>
    <row r="33198" s="12" customFormat="1" x14ac:dyDescent="0.25"/>
    <row r="33199" s="12" customFormat="1" x14ac:dyDescent="0.25"/>
    <row r="33200" s="12" customFormat="1" x14ac:dyDescent="0.25"/>
    <row r="33201" s="12" customFormat="1" x14ac:dyDescent="0.25"/>
    <row r="33202" s="12" customFormat="1" x14ac:dyDescent="0.25"/>
    <row r="33203" s="12" customFormat="1" x14ac:dyDescent="0.25"/>
    <row r="33204" s="12" customFormat="1" x14ac:dyDescent="0.25"/>
    <row r="33205" s="12" customFormat="1" x14ac:dyDescent="0.25"/>
    <row r="33206" s="12" customFormat="1" x14ac:dyDescent="0.25"/>
    <row r="33207" s="12" customFormat="1" x14ac:dyDescent="0.25"/>
    <row r="33208" s="12" customFormat="1" x14ac:dyDescent="0.25"/>
    <row r="33209" s="12" customFormat="1" x14ac:dyDescent="0.25"/>
    <row r="33210" s="12" customFormat="1" x14ac:dyDescent="0.25"/>
    <row r="33211" s="12" customFormat="1" x14ac:dyDescent="0.25"/>
    <row r="33212" s="12" customFormat="1" x14ac:dyDescent="0.25"/>
    <row r="33213" s="12" customFormat="1" x14ac:dyDescent="0.25"/>
    <row r="33214" s="12" customFormat="1" x14ac:dyDescent="0.25"/>
    <row r="33215" s="12" customFormat="1" x14ac:dyDescent="0.25"/>
    <row r="33216" s="12" customFormat="1" x14ac:dyDescent="0.25"/>
    <row r="33217" s="12" customFormat="1" x14ac:dyDescent="0.25"/>
    <row r="33218" s="12" customFormat="1" x14ac:dyDescent="0.25"/>
    <row r="33219" s="12" customFormat="1" x14ac:dyDescent="0.25"/>
    <row r="33220" s="12" customFormat="1" x14ac:dyDescent="0.25"/>
    <row r="33221" s="12" customFormat="1" x14ac:dyDescent="0.25"/>
    <row r="33222" s="12" customFormat="1" x14ac:dyDescent="0.25"/>
    <row r="33223" s="12" customFormat="1" x14ac:dyDescent="0.25"/>
    <row r="33224" s="12" customFormat="1" x14ac:dyDescent="0.25"/>
    <row r="33225" s="12" customFormat="1" x14ac:dyDescent="0.25"/>
    <row r="33226" s="12" customFormat="1" x14ac:dyDescent="0.25"/>
    <row r="33227" s="12" customFormat="1" x14ac:dyDescent="0.25"/>
    <row r="33228" s="12" customFormat="1" x14ac:dyDescent="0.25"/>
    <row r="33229" s="12" customFormat="1" x14ac:dyDescent="0.25"/>
    <row r="33230" s="12" customFormat="1" x14ac:dyDescent="0.25"/>
    <row r="33231" s="12" customFormat="1" x14ac:dyDescent="0.25"/>
    <row r="33232" s="12" customFormat="1" x14ac:dyDescent="0.25"/>
    <row r="33233" s="12" customFormat="1" x14ac:dyDescent="0.25"/>
    <row r="33234" s="12" customFormat="1" x14ac:dyDescent="0.25"/>
    <row r="33235" s="12" customFormat="1" x14ac:dyDescent="0.25"/>
    <row r="33236" s="12" customFormat="1" x14ac:dyDescent="0.25"/>
    <row r="33237" s="12" customFormat="1" x14ac:dyDescent="0.25"/>
    <row r="33238" s="12" customFormat="1" x14ac:dyDescent="0.25"/>
    <row r="33239" s="12" customFormat="1" x14ac:dyDescent="0.25"/>
    <row r="33240" s="12" customFormat="1" x14ac:dyDescent="0.25"/>
    <row r="33241" s="12" customFormat="1" x14ac:dyDescent="0.25"/>
    <row r="33242" s="12" customFormat="1" x14ac:dyDescent="0.25"/>
    <row r="33243" s="12" customFormat="1" x14ac:dyDescent="0.25"/>
    <row r="33244" s="12" customFormat="1" x14ac:dyDescent="0.25"/>
    <row r="33245" s="12" customFormat="1" x14ac:dyDescent="0.25"/>
    <row r="33246" s="12" customFormat="1" x14ac:dyDescent="0.25"/>
    <row r="33247" s="12" customFormat="1" x14ac:dyDescent="0.25"/>
    <row r="33248" s="12" customFormat="1" x14ac:dyDescent="0.25"/>
    <row r="33249" s="12" customFormat="1" x14ac:dyDescent="0.25"/>
    <row r="33250" s="12" customFormat="1" x14ac:dyDescent="0.25"/>
    <row r="33251" s="12" customFormat="1" x14ac:dyDescent="0.25"/>
    <row r="33252" s="12" customFormat="1" x14ac:dyDescent="0.25"/>
    <row r="33253" s="12" customFormat="1" x14ac:dyDescent="0.25"/>
    <row r="33254" s="12" customFormat="1" x14ac:dyDescent="0.25"/>
    <row r="33255" s="12" customFormat="1" x14ac:dyDescent="0.25"/>
    <row r="33256" s="12" customFormat="1" x14ac:dyDescent="0.25"/>
    <row r="33257" s="12" customFormat="1" x14ac:dyDescent="0.25"/>
    <row r="33258" s="12" customFormat="1" x14ac:dyDescent="0.25"/>
    <row r="33259" s="12" customFormat="1" x14ac:dyDescent="0.25"/>
    <row r="33260" s="12" customFormat="1" x14ac:dyDescent="0.25"/>
    <row r="33261" s="12" customFormat="1" x14ac:dyDescent="0.25"/>
    <row r="33262" s="12" customFormat="1" x14ac:dyDescent="0.25"/>
    <row r="33263" s="12" customFormat="1" x14ac:dyDescent="0.25"/>
    <row r="33264" s="12" customFormat="1" x14ac:dyDescent="0.25"/>
    <row r="33265" s="12" customFormat="1" x14ac:dyDescent="0.25"/>
    <row r="33266" s="12" customFormat="1" x14ac:dyDescent="0.25"/>
    <row r="33267" s="12" customFormat="1" x14ac:dyDescent="0.25"/>
    <row r="33268" s="12" customFormat="1" x14ac:dyDescent="0.25"/>
    <row r="33269" s="12" customFormat="1" x14ac:dyDescent="0.25"/>
    <row r="33270" s="12" customFormat="1" x14ac:dyDescent="0.25"/>
    <row r="33271" s="12" customFormat="1" x14ac:dyDescent="0.25"/>
    <row r="33272" s="12" customFormat="1" x14ac:dyDescent="0.25"/>
    <row r="33273" s="12" customFormat="1" x14ac:dyDescent="0.25"/>
    <row r="33274" s="12" customFormat="1" x14ac:dyDescent="0.25"/>
    <row r="33275" s="12" customFormat="1" x14ac:dyDescent="0.25"/>
    <row r="33276" s="12" customFormat="1" x14ac:dyDescent="0.25"/>
    <row r="33277" s="12" customFormat="1" x14ac:dyDescent="0.25"/>
    <row r="33278" s="12" customFormat="1" x14ac:dyDescent="0.25"/>
    <row r="33279" s="12" customFormat="1" x14ac:dyDescent="0.25"/>
    <row r="33280" s="12" customFormat="1" x14ac:dyDescent="0.25"/>
    <row r="33281" s="12" customFormat="1" x14ac:dyDescent="0.25"/>
    <row r="33282" s="12" customFormat="1" x14ac:dyDescent="0.25"/>
    <row r="33283" s="12" customFormat="1" x14ac:dyDescent="0.25"/>
    <row r="33284" s="12" customFormat="1" x14ac:dyDescent="0.25"/>
    <row r="33285" s="12" customFormat="1" x14ac:dyDescent="0.25"/>
    <row r="33286" s="12" customFormat="1" x14ac:dyDescent="0.25"/>
    <row r="33287" s="12" customFormat="1" x14ac:dyDescent="0.25"/>
    <row r="33288" s="12" customFormat="1" x14ac:dyDescent="0.25"/>
    <row r="33289" s="12" customFormat="1" x14ac:dyDescent="0.25"/>
    <row r="33290" s="12" customFormat="1" x14ac:dyDescent="0.25"/>
    <row r="33291" s="12" customFormat="1" x14ac:dyDescent="0.25"/>
    <row r="33292" s="12" customFormat="1" x14ac:dyDescent="0.25"/>
    <row r="33293" s="12" customFormat="1" x14ac:dyDescent="0.25"/>
    <row r="33294" s="12" customFormat="1" x14ac:dyDescent="0.25"/>
    <row r="33295" s="12" customFormat="1" x14ac:dyDescent="0.25"/>
    <row r="33296" s="12" customFormat="1" x14ac:dyDescent="0.25"/>
    <row r="33297" s="12" customFormat="1" x14ac:dyDescent="0.25"/>
    <row r="33298" s="12" customFormat="1" x14ac:dyDescent="0.25"/>
    <row r="33299" s="12" customFormat="1" x14ac:dyDescent="0.25"/>
    <row r="33300" s="12" customFormat="1" x14ac:dyDescent="0.25"/>
    <row r="33301" s="12" customFormat="1" x14ac:dyDescent="0.25"/>
    <row r="33302" s="12" customFormat="1" x14ac:dyDescent="0.25"/>
    <row r="33303" s="12" customFormat="1" x14ac:dyDescent="0.25"/>
    <row r="33304" s="12" customFormat="1" x14ac:dyDescent="0.25"/>
    <row r="33305" s="12" customFormat="1" x14ac:dyDescent="0.25"/>
    <row r="33306" s="12" customFormat="1" x14ac:dyDescent="0.25"/>
    <row r="33307" s="12" customFormat="1" x14ac:dyDescent="0.25"/>
    <row r="33308" s="12" customFormat="1" x14ac:dyDescent="0.25"/>
    <row r="33309" s="12" customFormat="1" x14ac:dyDescent="0.25"/>
    <row r="33310" s="12" customFormat="1" x14ac:dyDescent="0.25"/>
    <row r="33311" s="12" customFormat="1" x14ac:dyDescent="0.25"/>
    <row r="33312" s="12" customFormat="1" x14ac:dyDescent="0.25"/>
    <row r="33313" s="12" customFormat="1" x14ac:dyDescent="0.25"/>
    <row r="33314" s="12" customFormat="1" x14ac:dyDescent="0.25"/>
    <row r="33315" s="12" customFormat="1" x14ac:dyDescent="0.25"/>
    <row r="33316" s="12" customFormat="1" x14ac:dyDescent="0.25"/>
    <row r="33317" s="12" customFormat="1" x14ac:dyDescent="0.25"/>
    <row r="33318" s="12" customFormat="1" x14ac:dyDescent="0.25"/>
    <row r="33319" s="12" customFormat="1" x14ac:dyDescent="0.25"/>
    <row r="33320" s="12" customFormat="1" x14ac:dyDescent="0.25"/>
    <row r="33321" s="12" customFormat="1" x14ac:dyDescent="0.25"/>
    <row r="33322" s="12" customFormat="1" x14ac:dyDescent="0.25"/>
    <row r="33323" s="12" customFormat="1" x14ac:dyDescent="0.25"/>
    <row r="33324" s="12" customFormat="1" x14ac:dyDescent="0.25"/>
    <row r="33325" s="12" customFormat="1" x14ac:dyDescent="0.25"/>
    <row r="33326" s="12" customFormat="1" x14ac:dyDescent="0.25"/>
    <row r="33327" s="12" customFormat="1" x14ac:dyDescent="0.25"/>
    <row r="33328" s="12" customFormat="1" x14ac:dyDescent="0.25"/>
    <row r="33329" s="12" customFormat="1" x14ac:dyDescent="0.25"/>
    <row r="33330" s="12" customFormat="1" x14ac:dyDescent="0.25"/>
    <row r="33331" s="12" customFormat="1" x14ac:dyDescent="0.25"/>
    <row r="33332" s="12" customFormat="1" x14ac:dyDescent="0.25"/>
    <row r="33333" s="12" customFormat="1" x14ac:dyDescent="0.25"/>
    <row r="33334" s="12" customFormat="1" x14ac:dyDescent="0.25"/>
    <row r="33335" s="12" customFormat="1" x14ac:dyDescent="0.25"/>
    <row r="33336" s="12" customFormat="1" x14ac:dyDescent="0.25"/>
    <row r="33337" s="12" customFormat="1" x14ac:dyDescent="0.25"/>
    <row r="33338" s="12" customFormat="1" x14ac:dyDescent="0.25"/>
    <row r="33339" s="12" customFormat="1" x14ac:dyDescent="0.25"/>
    <row r="33340" s="12" customFormat="1" x14ac:dyDescent="0.25"/>
    <row r="33341" s="12" customFormat="1" x14ac:dyDescent="0.25"/>
    <row r="33342" s="12" customFormat="1" x14ac:dyDescent="0.25"/>
    <row r="33343" s="12" customFormat="1" x14ac:dyDescent="0.25"/>
    <row r="33344" s="12" customFormat="1" x14ac:dyDescent="0.25"/>
    <row r="33345" s="12" customFormat="1" x14ac:dyDescent="0.25"/>
    <row r="33346" s="12" customFormat="1" x14ac:dyDescent="0.25"/>
    <row r="33347" s="12" customFormat="1" x14ac:dyDescent="0.25"/>
    <row r="33348" s="12" customFormat="1" x14ac:dyDescent="0.25"/>
    <row r="33349" s="12" customFormat="1" x14ac:dyDescent="0.25"/>
    <row r="33350" s="12" customFormat="1" x14ac:dyDescent="0.25"/>
    <row r="33351" s="12" customFormat="1" x14ac:dyDescent="0.25"/>
    <row r="33352" s="12" customFormat="1" x14ac:dyDescent="0.25"/>
    <row r="33353" s="12" customFormat="1" x14ac:dyDescent="0.25"/>
    <row r="33354" s="12" customFormat="1" x14ac:dyDescent="0.25"/>
    <row r="33355" s="12" customFormat="1" x14ac:dyDescent="0.25"/>
    <row r="33356" s="12" customFormat="1" x14ac:dyDescent="0.25"/>
    <row r="33357" s="12" customFormat="1" x14ac:dyDescent="0.25"/>
    <row r="33358" s="12" customFormat="1" x14ac:dyDescent="0.25"/>
    <row r="33359" s="12" customFormat="1" x14ac:dyDescent="0.25"/>
    <row r="33360" s="12" customFormat="1" x14ac:dyDescent="0.25"/>
    <row r="33361" s="12" customFormat="1" x14ac:dyDescent="0.25"/>
    <row r="33362" s="12" customFormat="1" x14ac:dyDescent="0.25"/>
    <row r="33363" s="12" customFormat="1" x14ac:dyDescent="0.25"/>
    <row r="33364" s="12" customFormat="1" x14ac:dyDescent="0.25"/>
    <row r="33365" s="12" customFormat="1" x14ac:dyDescent="0.25"/>
    <row r="33366" s="12" customFormat="1" x14ac:dyDescent="0.25"/>
    <row r="33367" s="12" customFormat="1" x14ac:dyDescent="0.25"/>
    <row r="33368" s="12" customFormat="1" x14ac:dyDescent="0.25"/>
    <row r="33369" s="12" customFormat="1" x14ac:dyDescent="0.25"/>
    <row r="33370" s="12" customFormat="1" x14ac:dyDescent="0.25"/>
    <row r="33371" s="12" customFormat="1" x14ac:dyDescent="0.25"/>
    <row r="33372" s="12" customFormat="1" x14ac:dyDescent="0.25"/>
    <row r="33373" s="12" customFormat="1" x14ac:dyDescent="0.25"/>
    <row r="33374" s="12" customFormat="1" x14ac:dyDescent="0.25"/>
    <row r="33375" s="12" customFormat="1" x14ac:dyDescent="0.25"/>
    <row r="33376" s="12" customFormat="1" x14ac:dyDescent="0.25"/>
    <row r="33377" s="12" customFormat="1" x14ac:dyDescent="0.25"/>
    <row r="33378" s="12" customFormat="1" x14ac:dyDescent="0.25"/>
    <row r="33379" s="12" customFormat="1" x14ac:dyDescent="0.25"/>
    <row r="33380" s="12" customFormat="1" x14ac:dyDescent="0.25"/>
    <row r="33381" s="12" customFormat="1" x14ac:dyDescent="0.25"/>
    <row r="33382" s="12" customFormat="1" x14ac:dyDescent="0.25"/>
    <row r="33383" s="12" customFormat="1" x14ac:dyDescent="0.25"/>
    <row r="33384" s="12" customFormat="1" x14ac:dyDescent="0.25"/>
    <row r="33385" s="12" customFormat="1" x14ac:dyDescent="0.25"/>
    <row r="33386" s="12" customFormat="1" x14ac:dyDescent="0.25"/>
    <row r="33387" s="12" customFormat="1" x14ac:dyDescent="0.25"/>
    <row r="33388" s="12" customFormat="1" x14ac:dyDescent="0.25"/>
    <row r="33389" s="12" customFormat="1" x14ac:dyDescent="0.25"/>
    <row r="33390" s="12" customFormat="1" x14ac:dyDescent="0.25"/>
    <row r="33391" s="12" customFormat="1" x14ac:dyDescent="0.25"/>
    <row r="33392" s="12" customFormat="1" x14ac:dyDescent="0.25"/>
    <row r="33393" s="12" customFormat="1" x14ac:dyDescent="0.25"/>
    <row r="33394" s="12" customFormat="1" x14ac:dyDescent="0.25"/>
    <row r="33395" s="12" customFormat="1" x14ac:dyDescent="0.25"/>
    <row r="33396" s="12" customFormat="1" x14ac:dyDescent="0.25"/>
    <row r="33397" s="12" customFormat="1" x14ac:dyDescent="0.25"/>
    <row r="33398" s="12" customFormat="1" x14ac:dyDescent="0.25"/>
    <row r="33399" s="12" customFormat="1" x14ac:dyDescent="0.25"/>
    <row r="33400" s="12" customFormat="1" x14ac:dyDescent="0.25"/>
    <row r="33401" s="12" customFormat="1" x14ac:dyDescent="0.25"/>
    <row r="33402" s="12" customFormat="1" x14ac:dyDescent="0.25"/>
    <row r="33403" s="12" customFormat="1" x14ac:dyDescent="0.25"/>
    <row r="33404" s="12" customFormat="1" x14ac:dyDescent="0.25"/>
    <row r="33405" s="12" customFormat="1" x14ac:dyDescent="0.25"/>
    <row r="33406" s="12" customFormat="1" x14ac:dyDescent="0.25"/>
    <row r="33407" s="12" customFormat="1" x14ac:dyDescent="0.25"/>
    <row r="33408" s="12" customFormat="1" x14ac:dyDescent="0.25"/>
    <row r="33409" s="12" customFormat="1" x14ac:dyDescent="0.25"/>
    <row r="33410" s="12" customFormat="1" x14ac:dyDescent="0.25"/>
    <row r="33411" s="12" customFormat="1" x14ac:dyDescent="0.25"/>
    <row r="33412" s="12" customFormat="1" x14ac:dyDescent="0.25"/>
    <row r="33413" s="12" customFormat="1" x14ac:dyDescent="0.25"/>
    <row r="33414" s="12" customFormat="1" x14ac:dyDescent="0.25"/>
    <row r="33415" s="12" customFormat="1" x14ac:dyDescent="0.25"/>
    <row r="33416" s="12" customFormat="1" x14ac:dyDescent="0.25"/>
    <row r="33417" s="12" customFormat="1" x14ac:dyDescent="0.25"/>
    <row r="33418" s="12" customFormat="1" x14ac:dyDescent="0.25"/>
    <row r="33419" s="12" customFormat="1" x14ac:dyDescent="0.25"/>
    <row r="33420" s="12" customFormat="1" x14ac:dyDescent="0.25"/>
    <row r="33421" s="12" customFormat="1" x14ac:dyDescent="0.25"/>
    <row r="33422" s="12" customFormat="1" x14ac:dyDescent="0.25"/>
    <row r="33423" s="12" customFormat="1" x14ac:dyDescent="0.25"/>
    <row r="33424" s="12" customFormat="1" x14ac:dyDescent="0.25"/>
    <row r="33425" s="12" customFormat="1" x14ac:dyDescent="0.25"/>
    <row r="33426" s="12" customFormat="1" x14ac:dyDescent="0.25"/>
    <row r="33427" s="12" customFormat="1" x14ac:dyDescent="0.25"/>
    <row r="33428" s="12" customFormat="1" x14ac:dyDescent="0.25"/>
    <row r="33429" s="12" customFormat="1" x14ac:dyDescent="0.25"/>
    <row r="33430" s="12" customFormat="1" x14ac:dyDescent="0.25"/>
    <row r="33431" s="12" customFormat="1" x14ac:dyDescent="0.25"/>
    <row r="33432" s="12" customFormat="1" x14ac:dyDescent="0.25"/>
    <row r="33433" s="12" customFormat="1" x14ac:dyDescent="0.25"/>
    <row r="33434" s="12" customFormat="1" x14ac:dyDescent="0.25"/>
    <row r="33435" s="12" customFormat="1" x14ac:dyDescent="0.25"/>
    <row r="33436" s="12" customFormat="1" x14ac:dyDescent="0.25"/>
    <row r="33437" s="12" customFormat="1" x14ac:dyDescent="0.25"/>
    <row r="33438" s="12" customFormat="1" x14ac:dyDescent="0.25"/>
    <row r="33439" s="12" customFormat="1" x14ac:dyDescent="0.25"/>
    <row r="33440" s="12" customFormat="1" x14ac:dyDescent="0.25"/>
    <row r="33441" s="12" customFormat="1" x14ac:dyDescent="0.25"/>
    <row r="33442" s="12" customFormat="1" x14ac:dyDescent="0.25"/>
    <row r="33443" s="12" customFormat="1" x14ac:dyDescent="0.25"/>
    <row r="33444" s="12" customFormat="1" x14ac:dyDescent="0.25"/>
    <row r="33445" s="12" customFormat="1" x14ac:dyDescent="0.25"/>
    <row r="33446" s="12" customFormat="1" x14ac:dyDescent="0.25"/>
    <row r="33447" s="12" customFormat="1" x14ac:dyDescent="0.25"/>
    <row r="33448" s="12" customFormat="1" x14ac:dyDescent="0.25"/>
    <row r="33449" s="12" customFormat="1" x14ac:dyDescent="0.25"/>
    <row r="33450" s="12" customFormat="1" x14ac:dyDescent="0.25"/>
    <row r="33451" s="12" customFormat="1" x14ac:dyDescent="0.25"/>
    <row r="33452" s="12" customFormat="1" x14ac:dyDescent="0.25"/>
    <row r="33453" s="12" customFormat="1" x14ac:dyDescent="0.25"/>
    <row r="33454" s="12" customFormat="1" x14ac:dyDescent="0.25"/>
    <row r="33455" s="12" customFormat="1" x14ac:dyDescent="0.25"/>
    <row r="33456" s="12" customFormat="1" x14ac:dyDescent="0.25"/>
    <row r="33457" s="12" customFormat="1" x14ac:dyDescent="0.25"/>
    <row r="33458" s="12" customFormat="1" x14ac:dyDescent="0.25"/>
    <row r="33459" s="12" customFormat="1" x14ac:dyDescent="0.25"/>
    <row r="33460" s="12" customFormat="1" x14ac:dyDescent="0.25"/>
    <row r="33461" s="12" customFormat="1" x14ac:dyDescent="0.25"/>
    <row r="33462" s="12" customFormat="1" x14ac:dyDescent="0.25"/>
    <row r="33463" s="12" customFormat="1" x14ac:dyDescent="0.25"/>
    <row r="33464" s="12" customFormat="1" x14ac:dyDescent="0.25"/>
    <row r="33465" s="12" customFormat="1" x14ac:dyDescent="0.25"/>
    <row r="33466" s="12" customFormat="1" x14ac:dyDescent="0.25"/>
    <row r="33467" s="12" customFormat="1" x14ac:dyDescent="0.25"/>
    <row r="33468" s="12" customFormat="1" x14ac:dyDescent="0.25"/>
    <row r="33469" s="12" customFormat="1" x14ac:dyDescent="0.25"/>
    <row r="33470" s="12" customFormat="1" x14ac:dyDescent="0.25"/>
    <row r="33471" s="12" customFormat="1" x14ac:dyDescent="0.25"/>
    <row r="33472" s="12" customFormat="1" x14ac:dyDescent="0.25"/>
    <row r="33473" s="12" customFormat="1" x14ac:dyDescent="0.25"/>
    <row r="33474" s="12" customFormat="1" x14ac:dyDescent="0.25"/>
    <row r="33475" s="12" customFormat="1" x14ac:dyDescent="0.25"/>
    <row r="33476" s="12" customFormat="1" x14ac:dyDescent="0.25"/>
    <row r="33477" s="12" customFormat="1" x14ac:dyDescent="0.25"/>
    <row r="33478" s="12" customFormat="1" x14ac:dyDescent="0.25"/>
    <row r="33479" s="12" customFormat="1" x14ac:dyDescent="0.25"/>
    <row r="33480" s="12" customFormat="1" x14ac:dyDescent="0.25"/>
    <row r="33481" s="12" customFormat="1" x14ac:dyDescent="0.25"/>
    <row r="33482" s="12" customFormat="1" x14ac:dyDescent="0.25"/>
    <row r="33483" s="12" customFormat="1" x14ac:dyDescent="0.25"/>
    <row r="33484" s="12" customFormat="1" x14ac:dyDescent="0.25"/>
    <row r="33485" s="12" customFormat="1" x14ac:dyDescent="0.25"/>
    <row r="33486" s="12" customFormat="1" x14ac:dyDescent="0.25"/>
    <row r="33487" s="12" customFormat="1" x14ac:dyDescent="0.25"/>
    <row r="33488" s="12" customFormat="1" x14ac:dyDescent="0.25"/>
    <row r="33489" s="12" customFormat="1" x14ac:dyDescent="0.25"/>
    <row r="33490" s="12" customFormat="1" x14ac:dyDescent="0.25"/>
    <row r="33491" s="12" customFormat="1" x14ac:dyDescent="0.25"/>
    <row r="33492" s="12" customFormat="1" x14ac:dyDescent="0.25"/>
    <row r="33493" s="12" customFormat="1" x14ac:dyDescent="0.25"/>
    <row r="33494" s="12" customFormat="1" x14ac:dyDescent="0.25"/>
    <row r="33495" s="12" customFormat="1" x14ac:dyDescent="0.25"/>
    <row r="33496" s="12" customFormat="1" x14ac:dyDescent="0.25"/>
    <row r="33497" s="12" customFormat="1" x14ac:dyDescent="0.25"/>
    <row r="33498" s="12" customFormat="1" x14ac:dyDescent="0.25"/>
    <row r="33499" s="12" customFormat="1" x14ac:dyDescent="0.25"/>
    <row r="33500" s="12" customFormat="1" x14ac:dyDescent="0.25"/>
    <row r="33501" s="12" customFormat="1" x14ac:dyDescent="0.25"/>
    <row r="33502" s="12" customFormat="1" x14ac:dyDescent="0.25"/>
    <row r="33503" s="12" customFormat="1" x14ac:dyDescent="0.25"/>
    <row r="33504" s="12" customFormat="1" x14ac:dyDescent="0.25"/>
    <row r="33505" s="12" customFormat="1" x14ac:dyDescent="0.25"/>
    <row r="33506" s="12" customFormat="1" x14ac:dyDescent="0.25"/>
    <row r="33507" s="12" customFormat="1" x14ac:dyDescent="0.25"/>
    <row r="33508" s="12" customFormat="1" x14ac:dyDescent="0.25"/>
    <row r="33509" s="12" customFormat="1" x14ac:dyDescent="0.25"/>
    <row r="33510" s="12" customFormat="1" x14ac:dyDescent="0.25"/>
    <row r="33511" s="12" customFormat="1" x14ac:dyDescent="0.25"/>
    <row r="33512" s="12" customFormat="1" x14ac:dyDescent="0.25"/>
    <row r="33513" s="12" customFormat="1" x14ac:dyDescent="0.25"/>
    <row r="33514" s="12" customFormat="1" x14ac:dyDescent="0.25"/>
    <row r="33515" s="12" customFormat="1" x14ac:dyDescent="0.25"/>
    <row r="33516" s="12" customFormat="1" x14ac:dyDescent="0.25"/>
    <row r="33517" s="12" customFormat="1" x14ac:dyDescent="0.25"/>
    <row r="33518" s="12" customFormat="1" x14ac:dyDescent="0.25"/>
    <row r="33519" s="12" customFormat="1" x14ac:dyDescent="0.25"/>
    <row r="33520" s="12" customFormat="1" x14ac:dyDescent="0.25"/>
    <row r="33521" s="12" customFormat="1" x14ac:dyDescent="0.25"/>
    <row r="33522" s="12" customFormat="1" x14ac:dyDescent="0.25"/>
    <row r="33523" s="12" customFormat="1" x14ac:dyDescent="0.25"/>
    <row r="33524" s="12" customFormat="1" x14ac:dyDescent="0.25"/>
    <row r="33525" s="12" customFormat="1" x14ac:dyDescent="0.25"/>
    <row r="33526" s="12" customFormat="1" x14ac:dyDescent="0.25"/>
    <row r="33527" s="12" customFormat="1" x14ac:dyDescent="0.25"/>
    <row r="33528" s="12" customFormat="1" x14ac:dyDescent="0.25"/>
    <row r="33529" s="12" customFormat="1" x14ac:dyDescent="0.25"/>
    <row r="33530" s="12" customFormat="1" x14ac:dyDescent="0.25"/>
    <row r="33531" s="12" customFormat="1" x14ac:dyDescent="0.25"/>
    <row r="33532" s="12" customFormat="1" x14ac:dyDescent="0.25"/>
    <row r="33533" s="12" customFormat="1" x14ac:dyDescent="0.25"/>
    <row r="33534" s="12" customFormat="1" x14ac:dyDescent="0.25"/>
    <row r="33535" s="12" customFormat="1" x14ac:dyDescent="0.25"/>
    <row r="33536" s="12" customFormat="1" x14ac:dyDescent="0.25"/>
    <row r="33537" s="12" customFormat="1" x14ac:dyDescent="0.25"/>
    <row r="33538" s="12" customFormat="1" x14ac:dyDescent="0.25"/>
    <row r="33539" s="12" customFormat="1" x14ac:dyDescent="0.25"/>
    <row r="33540" s="12" customFormat="1" x14ac:dyDescent="0.25"/>
    <row r="33541" s="12" customFormat="1" x14ac:dyDescent="0.25"/>
    <row r="33542" s="12" customFormat="1" x14ac:dyDescent="0.25"/>
    <row r="33543" s="12" customFormat="1" x14ac:dyDescent="0.25"/>
    <row r="33544" s="12" customFormat="1" x14ac:dyDescent="0.25"/>
    <row r="33545" s="12" customFormat="1" x14ac:dyDescent="0.25"/>
    <row r="33546" s="12" customFormat="1" x14ac:dyDescent="0.25"/>
    <row r="33547" s="12" customFormat="1" x14ac:dyDescent="0.25"/>
    <row r="33548" s="12" customFormat="1" x14ac:dyDescent="0.25"/>
    <row r="33549" s="12" customFormat="1" x14ac:dyDescent="0.25"/>
    <row r="33550" s="12" customFormat="1" x14ac:dyDescent="0.25"/>
    <row r="33551" s="12" customFormat="1" x14ac:dyDescent="0.25"/>
    <row r="33552" s="12" customFormat="1" x14ac:dyDescent="0.25"/>
    <row r="33553" s="12" customFormat="1" x14ac:dyDescent="0.25"/>
    <row r="33554" s="12" customFormat="1" x14ac:dyDescent="0.25"/>
    <row r="33555" s="12" customFormat="1" x14ac:dyDescent="0.25"/>
    <row r="33556" s="12" customFormat="1" x14ac:dyDescent="0.25"/>
    <row r="33557" s="12" customFormat="1" x14ac:dyDescent="0.25"/>
    <row r="33558" s="12" customFormat="1" x14ac:dyDescent="0.25"/>
    <row r="33559" s="12" customFormat="1" x14ac:dyDescent="0.25"/>
    <row r="33560" s="12" customFormat="1" x14ac:dyDescent="0.25"/>
    <row r="33561" s="12" customFormat="1" x14ac:dyDescent="0.25"/>
    <row r="33562" s="12" customFormat="1" x14ac:dyDescent="0.25"/>
    <row r="33563" s="12" customFormat="1" x14ac:dyDescent="0.25"/>
    <row r="33564" s="12" customFormat="1" x14ac:dyDescent="0.25"/>
    <row r="33565" s="12" customFormat="1" x14ac:dyDescent="0.25"/>
    <row r="33566" s="12" customFormat="1" x14ac:dyDescent="0.25"/>
    <row r="33567" s="12" customFormat="1" x14ac:dyDescent="0.25"/>
    <row r="33568" s="12" customFormat="1" x14ac:dyDescent="0.25"/>
    <row r="33569" s="12" customFormat="1" x14ac:dyDescent="0.25"/>
    <row r="33570" s="12" customFormat="1" x14ac:dyDescent="0.25"/>
    <row r="33571" s="12" customFormat="1" x14ac:dyDescent="0.25"/>
    <row r="33572" s="12" customFormat="1" x14ac:dyDescent="0.25"/>
    <row r="33573" s="12" customFormat="1" x14ac:dyDescent="0.25"/>
    <row r="33574" s="12" customFormat="1" x14ac:dyDescent="0.25"/>
    <row r="33575" s="12" customFormat="1" x14ac:dyDescent="0.25"/>
    <row r="33576" s="12" customFormat="1" x14ac:dyDescent="0.25"/>
    <row r="33577" s="12" customFormat="1" x14ac:dyDescent="0.25"/>
    <row r="33578" s="12" customFormat="1" x14ac:dyDescent="0.25"/>
    <row r="33579" s="12" customFormat="1" x14ac:dyDescent="0.25"/>
    <row r="33580" s="12" customFormat="1" x14ac:dyDescent="0.25"/>
    <row r="33581" s="12" customFormat="1" x14ac:dyDescent="0.25"/>
    <row r="33582" s="12" customFormat="1" x14ac:dyDescent="0.25"/>
    <row r="33583" s="12" customFormat="1" x14ac:dyDescent="0.25"/>
    <row r="33584" s="12" customFormat="1" x14ac:dyDescent="0.25"/>
    <row r="33585" s="12" customFormat="1" x14ac:dyDescent="0.25"/>
    <row r="33586" s="12" customFormat="1" x14ac:dyDescent="0.25"/>
    <row r="33587" s="12" customFormat="1" x14ac:dyDescent="0.25"/>
    <row r="33588" s="12" customFormat="1" x14ac:dyDescent="0.25"/>
    <row r="33589" s="12" customFormat="1" x14ac:dyDescent="0.25"/>
    <row r="33590" s="12" customFormat="1" x14ac:dyDescent="0.25"/>
    <row r="33591" s="12" customFormat="1" x14ac:dyDescent="0.25"/>
    <row r="33592" s="12" customFormat="1" x14ac:dyDescent="0.25"/>
    <row r="33593" s="12" customFormat="1" x14ac:dyDescent="0.25"/>
    <row r="33594" s="12" customFormat="1" x14ac:dyDescent="0.25"/>
    <row r="33595" s="12" customFormat="1" x14ac:dyDescent="0.25"/>
    <row r="33596" s="12" customFormat="1" x14ac:dyDescent="0.25"/>
    <row r="33597" s="12" customFormat="1" x14ac:dyDescent="0.25"/>
    <row r="33598" s="12" customFormat="1" x14ac:dyDescent="0.25"/>
    <row r="33599" s="12" customFormat="1" x14ac:dyDescent="0.25"/>
    <row r="33600" s="12" customFormat="1" x14ac:dyDescent="0.25"/>
    <row r="33601" s="12" customFormat="1" x14ac:dyDescent="0.25"/>
    <row r="33602" s="12" customFormat="1" x14ac:dyDescent="0.25"/>
    <row r="33603" s="12" customFormat="1" x14ac:dyDescent="0.25"/>
    <row r="33604" s="12" customFormat="1" x14ac:dyDescent="0.25"/>
    <row r="33605" s="12" customFormat="1" x14ac:dyDescent="0.25"/>
    <row r="33606" s="12" customFormat="1" x14ac:dyDescent="0.25"/>
    <row r="33607" s="12" customFormat="1" x14ac:dyDescent="0.25"/>
    <row r="33608" s="12" customFormat="1" x14ac:dyDescent="0.25"/>
    <row r="33609" s="12" customFormat="1" x14ac:dyDescent="0.25"/>
    <row r="33610" s="12" customFormat="1" x14ac:dyDescent="0.25"/>
    <row r="33611" s="12" customFormat="1" x14ac:dyDescent="0.25"/>
    <row r="33612" s="12" customFormat="1" x14ac:dyDescent="0.25"/>
    <row r="33613" s="12" customFormat="1" x14ac:dyDescent="0.25"/>
    <row r="33614" s="12" customFormat="1" x14ac:dyDescent="0.25"/>
    <row r="33615" s="12" customFormat="1" x14ac:dyDescent="0.25"/>
    <row r="33616" s="12" customFormat="1" x14ac:dyDescent="0.25"/>
    <row r="33617" s="12" customFormat="1" x14ac:dyDescent="0.25"/>
    <row r="33618" s="12" customFormat="1" x14ac:dyDescent="0.25"/>
    <row r="33619" s="12" customFormat="1" x14ac:dyDescent="0.25"/>
    <row r="33620" s="12" customFormat="1" x14ac:dyDescent="0.25"/>
    <row r="33621" s="12" customFormat="1" x14ac:dyDescent="0.25"/>
    <row r="33622" s="12" customFormat="1" x14ac:dyDescent="0.25"/>
    <row r="33623" s="12" customFormat="1" x14ac:dyDescent="0.25"/>
    <row r="33624" s="12" customFormat="1" x14ac:dyDescent="0.25"/>
    <row r="33625" s="12" customFormat="1" x14ac:dyDescent="0.25"/>
    <row r="33626" s="12" customFormat="1" x14ac:dyDescent="0.25"/>
    <row r="33627" s="12" customFormat="1" x14ac:dyDescent="0.25"/>
    <row r="33628" s="12" customFormat="1" x14ac:dyDescent="0.25"/>
    <row r="33629" s="12" customFormat="1" x14ac:dyDescent="0.25"/>
    <row r="33630" s="12" customFormat="1" x14ac:dyDescent="0.25"/>
    <row r="33631" s="12" customFormat="1" x14ac:dyDescent="0.25"/>
    <row r="33632" s="12" customFormat="1" x14ac:dyDescent="0.25"/>
    <row r="33633" s="12" customFormat="1" x14ac:dyDescent="0.25"/>
    <row r="33634" s="12" customFormat="1" x14ac:dyDescent="0.25"/>
    <row r="33635" s="12" customFormat="1" x14ac:dyDescent="0.25"/>
    <row r="33636" s="12" customFormat="1" x14ac:dyDescent="0.25"/>
    <row r="33637" s="12" customFormat="1" x14ac:dyDescent="0.25"/>
    <row r="33638" s="12" customFormat="1" x14ac:dyDescent="0.25"/>
    <row r="33639" s="12" customFormat="1" x14ac:dyDescent="0.25"/>
    <row r="33640" s="12" customFormat="1" x14ac:dyDescent="0.25"/>
    <row r="33641" s="12" customFormat="1" x14ac:dyDescent="0.25"/>
    <row r="33642" s="12" customFormat="1" x14ac:dyDescent="0.25"/>
    <row r="33643" s="12" customFormat="1" x14ac:dyDescent="0.25"/>
    <row r="33644" s="12" customFormat="1" x14ac:dyDescent="0.25"/>
    <row r="33645" s="12" customFormat="1" x14ac:dyDescent="0.25"/>
    <row r="33646" s="12" customFormat="1" x14ac:dyDescent="0.25"/>
    <row r="33647" s="12" customFormat="1" x14ac:dyDescent="0.25"/>
    <row r="33648" s="12" customFormat="1" x14ac:dyDescent="0.25"/>
    <row r="33649" s="12" customFormat="1" x14ac:dyDescent="0.25"/>
    <row r="33650" s="12" customFormat="1" x14ac:dyDescent="0.25"/>
    <row r="33651" s="12" customFormat="1" x14ac:dyDescent="0.25"/>
    <row r="33652" s="12" customFormat="1" x14ac:dyDescent="0.25"/>
    <row r="33653" s="12" customFormat="1" x14ac:dyDescent="0.25"/>
    <row r="33654" s="12" customFormat="1" x14ac:dyDescent="0.25"/>
    <row r="33655" s="12" customFormat="1" x14ac:dyDescent="0.25"/>
    <row r="33656" s="12" customFormat="1" x14ac:dyDescent="0.25"/>
    <row r="33657" s="12" customFormat="1" x14ac:dyDescent="0.25"/>
    <row r="33658" s="12" customFormat="1" x14ac:dyDescent="0.25"/>
    <row r="33659" s="12" customFormat="1" x14ac:dyDescent="0.25"/>
    <row r="33660" s="12" customFormat="1" x14ac:dyDescent="0.25"/>
    <row r="33661" s="12" customFormat="1" x14ac:dyDescent="0.25"/>
    <row r="33662" s="12" customFormat="1" x14ac:dyDescent="0.25"/>
    <row r="33663" s="12" customFormat="1" x14ac:dyDescent="0.25"/>
    <row r="33664" s="12" customFormat="1" x14ac:dyDescent="0.25"/>
    <row r="33665" s="12" customFormat="1" x14ac:dyDescent="0.25"/>
    <row r="33666" s="12" customFormat="1" x14ac:dyDescent="0.25"/>
    <row r="33667" s="12" customFormat="1" x14ac:dyDescent="0.25"/>
    <row r="33668" s="12" customFormat="1" x14ac:dyDescent="0.25"/>
    <row r="33669" s="12" customFormat="1" x14ac:dyDescent="0.25"/>
    <row r="33670" s="12" customFormat="1" x14ac:dyDescent="0.25"/>
    <row r="33671" s="12" customFormat="1" x14ac:dyDescent="0.25"/>
    <row r="33672" s="12" customFormat="1" x14ac:dyDescent="0.25"/>
    <row r="33673" s="12" customFormat="1" x14ac:dyDescent="0.25"/>
    <row r="33674" s="12" customFormat="1" x14ac:dyDescent="0.25"/>
    <row r="33675" s="12" customFormat="1" x14ac:dyDescent="0.25"/>
    <row r="33676" s="12" customFormat="1" x14ac:dyDescent="0.25"/>
    <row r="33677" s="12" customFormat="1" x14ac:dyDescent="0.25"/>
    <row r="33678" s="12" customFormat="1" x14ac:dyDescent="0.25"/>
    <row r="33679" s="12" customFormat="1" x14ac:dyDescent="0.25"/>
    <row r="33680" s="12" customFormat="1" x14ac:dyDescent="0.25"/>
    <row r="33681" s="12" customFormat="1" x14ac:dyDescent="0.25"/>
    <row r="33682" s="12" customFormat="1" x14ac:dyDescent="0.25"/>
    <row r="33683" s="12" customFormat="1" x14ac:dyDescent="0.25"/>
    <row r="33684" s="12" customFormat="1" x14ac:dyDescent="0.25"/>
    <row r="33685" s="12" customFormat="1" x14ac:dyDescent="0.25"/>
    <row r="33686" s="12" customFormat="1" x14ac:dyDescent="0.25"/>
    <row r="33687" s="12" customFormat="1" x14ac:dyDescent="0.25"/>
    <row r="33688" s="12" customFormat="1" x14ac:dyDescent="0.25"/>
    <row r="33689" s="12" customFormat="1" x14ac:dyDescent="0.25"/>
    <row r="33690" s="12" customFormat="1" x14ac:dyDescent="0.25"/>
    <row r="33691" s="12" customFormat="1" x14ac:dyDescent="0.25"/>
    <row r="33692" s="12" customFormat="1" x14ac:dyDescent="0.25"/>
    <row r="33693" s="12" customFormat="1" x14ac:dyDescent="0.25"/>
    <row r="33694" s="12" customFormat="1" x14ac:dyDescent="0.25"/>
    <row r="33695" s="12" customFormat="1" x14ac:dyDescent="0.25"/>
    <row r="33696" s="12" customFormat="1" x14ac:dyDescent="0.25"/>
    <row r="33697" s="12" customFormat="1" x14ac:dyDescent="0.25"/>
    <row r="33698" s="12" customFormat="1" x14ac:dyDescent="0.25"/>
    <row r="33699" s="12" customFormat="1" x14ac:dyDescent="0.25"/>
    <row r="33700" s="12" customFormat="1" x14ac:dyDescent="0.25"/>
    <row r="33701" s="12" customFormat="1" x14ac:dyDescent="0.25"/>
    <row r="33702" s="12" customFormat="1" x14ac:dyDescent="0.25"/>
    <row r="33703" s="12" customFormat="1" x14ac:dyDescent="0.25"/>
    <row r="33704" s="12" customFormat="1" x14ac:dyDescent="0.25"/>
    <row r="33705" s="12" customFormat="1" x14ac:dyDescent="0.25"/>
    <row r="33706" s="12" customFormat="1" x14ac:dyDescent="0.25"/>
    <row r="33707" s="12" customFormat="1" x14ac:dyDescent="0.25"/>
    <row r="33708" s="12" customFormat="1" x14ac:dyDescent="0.25"/>
    <row r="33709" s="12" customFormat="1" x14ac:dyDescent="0.25"/>
    <row r="33710" s="12" customFormat="1" x14ac:dyDescent="0.25"/>
    <row r="33711" s="12" customFormat="1" x14ac:dyDescent="0.25"/>
    <row r="33712" s="12" customFormat="1" x14ac:dyDescent="0.25"/>
    <row r="33713" s="12" customFormat="1" x14ac:dyDescent="0.25"/>
    <row r="33714" s="12" customFormat="1" x14ac:dyDescent="0.25"/>
    <row r="33715" s="12" customFormat="1" x14ac:dyDescent="0.25"/>
    <row r="33716" s="12" customFormat="1" x14ac:dyDescent="0.25"/>
    <row r="33717" s="12" customFormat="1" x14ac:dyDescent="0.25"/>
    <row r="33718" s="12" customFormat="1" x14ac:dyDescent="0.25"/>
    <row r="33719" s="12" customFormat="1" x14ac:dyDescent="0.25"/>
    <row r="33720" s="12" customFormat="1" x14ac:dyDescent="0.25"/>
    <row r="33721" s="12" customFormat="1" x14ac:dyDescent="0.25"/>
    <row r="33722" s="12" customFormat="1" x14ac:dyDescent="0.25"/>
    <row r="33723" s="12" customFormat="1" x14ac:dyDescent="0.25"/>
    <row r="33724" s="12" customFormat="1" x14ac:dyDescent="0.25"/>
    <row r="33725" s="12" customFormat="1" x14ac:dyDescent="0.25"/>
    <row r="33726" s="12" customFormat="1" x14ac:dyDescent="0.25"/>
    <row r="33727" s="12" customFormat="1" x14ac:dyDescent="0.25"/>
    <row r="33728" s="12" customFormat="1" x14ac:dyDescent="0.25"/>
    <row r="33729" s="12" customFormat="1" x14ac:dyDescent="0.25"/>
    <row r="33730" s="12" customFormat="1" x14ac:dyDescent="0.25"/>
    <row r="33731" s="12" customFormat="1" x14ac:dyDescent="0.25"/>
    <row r="33732" s="12" customFormat="1" x14ac:dyDescent="0.25"/>
    <row r="33733" s="12" customFormat="1" x14ac:dyDescent="0.25"/>
    <row r="33734" s="12" customFormat="1" x14ac:dyDescent="0.25"/>
    <row r="33735" s="12" customFormat="1" x14ac:dyDescent="0.25"/>
    <row r="33736" s="12" customFormat="1" x14ac:dyDescent="0.25"/>
    <row r="33737" s="12" customFormat="1" x14ac:dyDescent="0.25"/>
    <row r="33738" s="12" customFormat="1" x14ac:dyDescent="0.25"/>
    <row r="33739" s="12" customFormat="1" x14ac:dyDescent="0.25"/>
    <row r="33740" s="12" customFormat="1" x14ac:dyDescent="0.25"/>
    <row r="33741" s="12" customFormat="1" x14ac:dyDescent="0.25"/>
    <row r="33742" s="12" customFormat="1" x14ac:dyDescent="0.25"/>
    <row r="33743" s="12" customFormat="1" x14ac:dyDescent="0.25"/>
    <row r="33744" s="12" customFormat="1" x14ac:dyDescent="0.25"/>
    <row r="33745" s="12" customFormat="1" x14ac:dyDescent="0.25"/>
    <row r="33746" s="12" customFormat="1" x14ac:dyDescent="0.25"/>
    <row r="33747" s="12" customFormat="1" x14ac:dyDescent="0.25"/>
    <row r="33748" s="12" customFormat="1" x14ac:dyDescent="0.25"/>
    <row r="33749" s="12" customFormat="1" x14ac:dyDescent="0.25"/>
    <row r="33750" s="12" customFormat="1" x14ac:dyDescent="0.25"/>
    <row r="33751" s="12" customFormat="1" x14ac:dyDescent="0.25"/>
    <row r="33752" s="12" customFormat="1" x14ac:dyDescent="0.25"/>
    <row r="33753" s="12" customFormat="1" x14ac:dyDescent="0.25"/>
    <row r="33754" s="12" customFormat="1" x14ac:dyDescent="0.25"/>
    <row r="33755" s="12" customFormat="1" x14ac:dyDescent="0.25"/>
    <row r="33756" s="12" customFormat="1" x14ac:dyDescent="0.25"/>
    <row r="33757" s="12" customFormat="1" x14ac:dyDescent="0.25"/>
    <row r="33758" s="12" customFormat="1" x14ac:dyDescent="0.25"/>
    <row r="33759" s="12" customFormat="1" x14ac:dyDescent="0.25"/>
    <row r="33760" s="12" customFormat="1" x14ac:dyDescent="0.25"/>
    <row r="33761" s="12" customFormat="1" x14ac:dyDescent="0.25"/>
    <row r="33762" s="12" customFormat="1" x14ac:dyDescent="0.25"/>
    <row r="33763" s="12" customFormat="1" x14ac:dyDescent="0.25"/>
    <row r="33764" s="12" customFormat="1" x14ac:dyDescent="0.25"/>
    <row r="33765" s="12" customFormat="1" x14ac:dyDescent="0.25"/>
    <row r="33766" s="12" customFormat="1" x14ac:dyDescent="0.25"/>
    <row r="33767" s="12" customFormat="1" x14ac:dyDescent="0.25"/>
    <row r="33768" s="12" customFormat="1" x14ac:dyDescent="0.25"/>
    <row r="33769" s="12" customFormat="1" x14ac:dyDescent="0.25"/>
    <row r="33770" s="12" customFormat="1" x14ac:dyDescent="0.25"/>
    <row r="33771" s="12" customFormat="1" x14ac:dyDescent="0.25"/>
    <row r="33772" s="12" customFormat="1" x14ac:dyDescent="0.25"/>
    <row r="33773" s="12" customFormat="1" x14ac:dyDescent="0.25"/>
    <row r="33774" s="12" customFormat="1" x14ac:dyDescent="0.25"/>
    <row r="33775" s="12" customFormat="1" x14ac:dyDescent="0.25"/>
    <row r="33776" s="12" customFormat="1" x14ac:dyDescent="0.25"/>
    <row r="33777" s="12" customFormat="1" x14ac:dyDescent="0.25"/>
    <row r="33778" s="12" customFormat="1" x14ac:dyDescent="0.25"/>
    <row r="33779" s="12" customFormat="1" x14ac:dyDescent="0.25"/>
    <row r="33780" s="12" customFormat="1" x14ac:dyDescent="0.25"/>
    <row r="33781" s="12" customFormat="1" x14ac:dyDescent="0.25"/>
    <row r="33782" s="12" customFormat="1" x14ac:dyDescent="0.25"/>
    <row r="33783" s="12" customFormat="1" x14ac:dyDescent="0.25"/>
    <row r="33784" s="12" customFormat="1" x14ac:dyDescent="0.25"/>
    <row r="33785" s="12" customFormat="1" x14ac:dyDescent="0.25"/>
    <row r="33786" s="12" customFormat="1" x14ac:dyDescent="0.25"/>
    <row r="33787" s="12" customFormat="1" x14ac:dyDescent="0.25"/>
    <row r="33788" s="12" customFormat="1" x14ac:dyDescent="0.25"/>
    <row r="33789" s="12" customFormat="1" x14ac:dyDescent="0.25"/>
    <row r="33790" s="12" customFormat="1" x14ac:dyDescent="0.25"/>
    <row r="33791" s="12" customFormat="1" x14ac:dyDescent="0.25"/>
    <row r="33792" s="12" customFormat="1" x14ac:dyDescent="0.25"/>
    <row r="33793" s="12" customFormat="1" x14ac:dyDescent="0.25"/>
    <row r="33794" s="12" customFormat="1" x14ac:dyDescent="0.25"/>
    <row r="33795" s="12" customFormat="1" x14ac:dyDescent="0.25"/>
    <row r="33796" s="12" customFormat="1" x14ac:dyDescent="0.25"/>
    <row r="33797" s="12" customFormat="1" x14ac:dyDescent="0.25"/>
    <row r="33798" s="12" customFormat="1" x14ac:dyDescent="0.25"/>
    <row r="33799" s="12" customFormat="1" x14ac:dyDescent="0.25"/>
    <row r="33800" s="12" customFormat="1" x14ac:dyDescent="0.25"/>
    <row r="33801" s="12" customFormat="1" x14ac:dyDescent="0.25"/>
    <row r="33802" s="12" customFormat="1" x14ac:dyDescent="0.25"/>
    <row r="33803" s="12" customFormat="1" x14ac:dyDescent="0.25"/>
    <row r="33804" s="12" customFormat="1" x14ac:dyDescent="0.25"/>
    <row r="33805" s="12" customFormat="1" x14ac:dyDescent="0.25"/>
    <row r="33806" s="12" customFormat="1" x14ac:dyDescent="0.25"/>
    <row r="33807" s="12" customFormat="1" x14ac:dyDescent="0.25"/>
    <row r="33808" s="12" customFormat="1" x14ac:dyDescent="0.25"/>
    <row r="33809" s="12" customFormat="1" x14ac:dyDescent="0.25"/>
    <row r="33810" s="12" customFormat="1" x14ac:dyDescent="0.25"/>
    <row r="33811" s="12" customFormat="1" x14ac:dyDescent="0.25"/>
    <row r="33812" s="12" customFormat="1" x14ac:dyDescent="0.25"/>
    <row r="33813" s="12" customFormat="1" x14ac:dyDescent="0.25"/>
    <row r="33814" s="12" customFormat="1" x14ac:dyDescent="0.25"/>
    <row r="33815" s="12" customFormat="1" x14ac:dyDescent="0.25"/>
    <row r="33816" s="12" customFormat="1" x14ac:dyDescent="0.25"/>
    <row r="33817" s="12" customFormat="1" x14ac:dyDescent="0.25"/>
    <row r="33818" s="12" customFormat="1" x14ac:dyDescent="0.25"/>
    <row r="33819" s="12" customFormat="1" x14ac:dyDescent="0.25"/>
    <row r="33820" s="12" customFormat="1" x14ac:dyDescent="0.25"/>
    <row r="33821" s="12" customFormat="1" x14ac:dyDescent="0.25"/>
    <row r="33822" s="12" customFormat="1" x14ac:dyDescent="0.25"/>
    <row r="33823" s="12" customFormat="1" x14ac:dyDescent="0.25"/>
    <row r="33824" s="12" customFormat="1" x14ac:dyDescent="0.25"/>
    <row r="33825" s="12" customFormat="1" x14ac:dyDescent="0.25"/>
    <row r="33826" s="12" customFormat="1" x14ac:dyDescent="0.25"/>
    <row r="33827" s="12" customFormat="1" x14ac:dyDescent="0.25"/>
    <row r="33828" s="12" customFormat="1" x14ac:dyDescent="0.25"/>
    <row r="33829" s="12" customFormat="1" x14ac:dyDescent="0.25"/>
    <row r="33830" s="12" customFormat="1" x14ac:dyDescent="0.25"/>
    <row r="33831" s="12" customFormat="1" x14ac:dyDescent="0.25"/>
    <row r="33832" s="12" customFormat="1" x14ac:dyDescent="0.25"/>
    <row r="33833" s="12" customFormat="1" x14ac:dyDescent="0.25"/>
    <row r="33834" s="12" customFormat="1" x14ac:dyDescent="0.25"/>
    <row r="33835" s="12" customFormat="1" x14ac:dyDescent="0.25"/>
    <row r="33836" s="12" customFormat="1" x14ac:dyDescent="0.25"/>
    <row r="33837" s="12" customFormat="1" x14ac:dyDescent="0.25"/>
    <row r="33838" s="12" customFormat="1" x14ac:dyDescent="0.25"/>
    <row r="33839" s="12" customFormat="1" x14ac:dyDescent="0.25"/>
    <row r="33840" s="12" customFormat="1" x14ac:dyDescent="0.25"/>
    <row r="33841" s="12" customFormat="1" x14ac:dyDescent="0.25"/>
    <row r="33842" s="12" customFormat="1" x14ac:dyDescent="0.25"/>
    <row r="33843" s="12" customFormat="1" x14ac:dyDescent="0.25"/>
    <row r="33844" s="12" customFormat="1" x14ac:dyDescent="0.25"/>
    <row r="33845" s="12" customFormat="1" x14ac:dyDescent="0.25"/>
    <row r="33846" s="12" customFormat="1" x14ac:dyDescent="0.25"/>
    <row r="33847" s="12" customFormat="1" x14ac:dyDescent="0.25"/>
    <row r="33848" s="12" customFormat="1" x14ac:dyDescent="0.25"/>
    <row r="33849" s="12" customFormat="1" x14ac:dyDescent="0.25"/>
    <row r="33850" s="12" customFormat="1" x14ac:dyDescent="0.25"/>
    <row r="33851" s="12" customFormat="1" x14ac:dyDescent="0.25"/>
    <row r="33852" s="12" customFormat="1" x14ac:dyDescent="0.25"/>
    <row r="33853" s="12" customFormat="1" x14ac:dyDescent="0.25"/>
    <row r="33854" s="12" customFormat="1" x14ac:dyDescent="0.25"/>
    <row r="33855" s="12" customFormat="1" x14ac:dyDescent="0.25"/>
    <row r="33856" s="12" customFormat="1" x14ac:dyDescent="0.25"/>
    <row r="33857" s="12" customFormat="1" x14ac:dyDescent="0.25"/>
    <row r="33858" s="12" customFormat="1" x14ac:dyDescent="0.25"/>
    <row r="33859" s="12" customFormat="1" x14ac:dyDescent="0.25"/>
    <row r="33860" s="12" customFormat="1" x14ac:dyDescent="0.25"/>
    <row r="33861" s="12" customFormat="1" x14ac:dyDescent="0.25"/>
    <row r="33862" s="12" customFormat="1" x14ac:dyDescent="0.25"/>
    <row r="33863" s="12" customFormat="1" x14ac:dyDescent="0.25"/>
    <row r="33864" s="12" customFormat="1" x14ac:dyDescent="0.25"/>
    <row r="33865" s="12" customFormat="1" x14ac:dyDescent="0.25"/>
    <row r="33866" s="12" customFormat="1" x14ac:dyDescent="0.25"/>
    <row r="33867" s="12" customFormat="1" x14ac:dyDescent="0.25"/>
    <row r="33868" s="12" customFormat="1" x14ac:dyDescent="0.25"/>
    <row r="33869" s="12" customFormat="1" x14ac:dyDescent="0.25"/>
    <row r="33870" s="12" customFormat="1" x14ac:dyDescent="0.25"/>
    <row r="33871" s="12" customFormat="1" x14ac:dyDescent="0.25"/>
    <row r="33872" s="12" customFormat="1" x14ac:dyDescent="0.25"/>
    <row r="33873" s="12" customFormat="1" x14ac:dyDescent="0.25"/>
    <row r="33874" s="12" customFormat="1" x14ac:dyDescent="0.25"/>
    <row r="33875" s="12" customFormat="1" x14ac:dyDescent="0.25"/>
    <row r="33876" s="12" customFormat="1" x14ac:dyDescent="0.25"/>
    <row r="33877" s="12" customFormat="1" x14ac:dyDescent="0.25"/>
    <row r="33878" s="12" customFormat="1" x14ac:dyDescent="0.25"/>
    <row r="33879" s="12" customFormat="1" x14ac:dyDescent="0.25"/>
    <row r="33880" s="12" customFormat="1" x14ac:dyDescent="0.25"/>
    <row r="33881" s="12" customFormat="1" x14ac:dyDescent="0.25"/>
    <row r="33882" s="12" customFormat="1" x14ac:dyDescent="0.25"/>
    <row r="33883" s="12" customFormat="1" x14ac:dyDescent="0.25"/>
    <row r="33884" s="12" customFormat="1" x14ac:dyDescent="0.25"/>
    <row r="33885" s="12" customFormat="1" x14ac:dyDescent="0.25"/>
    <row r="33886" s="12" customFormat="1" x14ac:dyDescent="0.25"/>
    <row r="33887" s="12" customFormat="1" x14ac:dyDescent="0.25"/>
    <row r="33888" s="12" customFormat="1" x14ac:dyDescent="0.25"/>
    <row r="33889" s="12" customFormat="1" x14ac:dyDescent="0.25"/>
    <row r="33890" s="12" customFormat="1" x14ac:dyDescent="0.25"/>
    <row r="33891" s="12" customFormat="1" x14ac:dyDescent="0.25"/>
    <row r="33892" s="12" customFormat="1" x14ac:dyDescent="0.25"/>
    <row r="33893" s="12" customFormat="1" x14ac:dyDescent="0.25"/>
    <row r="33894" s="12" customFormat="1" x14ac:dyDescent="0.25"/>
    <row r="33895" s="12" customFormat="1" x14ac:dyDescent="0.25"/>
    <row r="33896" s="12" customFormat="1" x14ac:dyDescent="0.25"/>
    <row r="33897" s="12" customFormat="1" x14ac:dyDescent="0.25"/>
    <row r="33898" s="12" customFormat="1" x14ac:dyDescent="0.25"/>
    <row r="33899" s="12" customFormat="1" x14ac:dyDescent="0.25"/>
    <row r="33900" s="12" customFormat="1" x14ac:dyDescent="0.25"/>
    <row r="33901" s="12" customFormat="1" x14ac:dyDescent="0.25"/>
    <row r="33902" s="12" customFormat="1" x14ac:dyDescent="0.25"/>
    <row r="33903" s="12" customFormat="1" x14ac:dyDescent="0.25"/>
    <row r="33904" s="12" customFormat="1" x14ac:dyDescent="0.25"/>
    <row r="33905" s="12" customFormat="1" x14ac:dyDescent="0.25"/>
    <row r="33906" s="12" customFormat="1" x14ac:dyDescent="0.25"/>
    <row r="33907" s="12" customFormat="1" x14ac:dyDescent="0.25"/>
    <row r="33908" s="12" customFormat="1" x14ac:dyDescent="0.25"/>
    <row r="33909" s="12" customFormat="1" x14ac:dyDescent="0.25"/>
    <row r="33910" s="12" customFormat="1" x14ac:dyDescent="0.25"/>
    <row r="33911" s="12" customFormat="1" x14ac:dyDescent="0.25"/>
    <row r="33912" s="12" customFormat="1" x14ac:dyDescent="0.25"/>
    <row r="33913" s="12" customFormat="1" x14ac:dyDescent="0.25"/>
    <row r="33914" s="12" customFormat="1" x14ac:dyDescent="0.25"/>
    <row r="33915" s="12" customFormat="1" x14ac:dyDescent="0.25"/>
    <row r="33916" s="12" customFormat="1" x14ac:dyDescent="0.25"/>
    <row r="33917" s="12" customFormat="1" x14ac:dyDescent="0.25"/>
    <row r="33918" s="12" customFormat="1" x14ac:dyDescent="0.25"/>
    <row r="33919" s="12" customFormat="1" x14ac:dyDescent="0.25"/>
    <row r="33920" s="12" customFormat="1" x14ac:dyDescent="0.25"/>
    <row r="33921" s="12" customFormat="1" x14ac:dyDescent="0.25"/>
    <row r="33922" s="12" customFormat="1" x14ac:dyDescent="0.25"/>
    <row r="33923" s="12" customFormat="1" x14ac:dyDescent="0.25"/>
    <row r="33924" s="12" customFormat="1" x14ac:dyDescent="0.25"/>
    <row r="33925" s="12" customFormat="1" x14ac:dyDescent="0.25"/>
    <row r="33926" s="12" customFormat="1" x14ac:dyDescent="0.25"/>
    <row r="33927" s="12" customFormat="1" x14ac:dyDescent="0.25"/>
    <row r="33928" s="12" customFormat="1" x14ac:dyDescent="0.25"/>
    <row r="33929" s="12" customFormat="1" x14ac:dyDescent="0.25"/>
    <row r="33930" s="12" customFormat="1" x14ac:dyDescent="0.25"/>
    <row r="33931" s="12" customFormat="1" x14ac:dyDescent="0.25"/>
    <row r="33932" s="12" customFormat="1" x14ac:dyDescent="0.25"/>
    <row r="33933" s="12" customFormat="1" x14ac:dyDescent="0.25"/>
    <row r="33934" s="12" customFormat="1" x14ac:dyDescent="0.25"/>
    <row r="33935" s="12" customFormat="1" x14ac:dyDescent="0.25"/>
    <row r="33936" s="12" customFormat="1" x14ac:dyDescent="0.25"/>
    <row r="33937" s="12" customFormat="1" x14ac:dyDescent="0.25"/>
    <row r="33938" s="12" customFormat="1" x14ac:dyDescent="0.25"/>
    <row r="33939" s="12" customFormat="1" x14ac:dyDescent="0.25"/>
    <row r="33940" s="12" customFormat="1" x14ac:dyDescent="0.25"/>
    <row r="33941" s="12" customFormat="1" x14ac:dyDescent="0.25"/>
    <row r="33942" s="12" customFormat="1" x14ac:dyDescent="0.25"/>
    <row r="33943" s="12" customFormat="1" x14ac:dyDescent="0.25"/>
    <row r="33944" s="12" customFormat="1" x14ac:dyDescent="0.25"/>
    <row r="33945" s="12" customFormat="1" x14ac:dyDescent="0.25"/>
    <row r="33946" s="12" customFormat="1" x14ac:dyDescent="0.25"/>
    <row r="33947" s="12" customFormat="1" x14ac:dyDescent="0.25"/>
    <row r="33948" s="12" customFormat="1" x14ac:dyDescent="0.25"/>
    <row r="33949" s="12" customFormat="1" x14ac:dyDescent="0.25"/>
    <row r="33950" s="12" customFormat="1" x14ac:dyDescent="0.25"/>
    <row r="33951" s="12" customFormat="1" x14ac:dyDescent="0.25"/>
    <row r="33952" s="12" customFormat="1" x14ac:dyDescent="0.25"/>
    <row r="33953" s="12" customFormat="1" x14ac:dyDescent="0.25"/>
    <row r="33954" s="12" customFormat="1" x14ac:dyDescent="0.25"/>
    <row r="33955" s="12" customFormat="1" x14ac:dyDescent="0.25"/>
    <row r="33956" s="12" customFormat="1" x14ac:dyDescent="0.25"/>
    <row r="33957" s="12" customFormat="1" x14ac:dyDescent="0.25"/>
    <row r="33958" s="12" customFormat="1" x14ac:dyDescent="0.25"/>
    <row r="33959" s="12" customFormat="1" x14ac:dyDescent="0.25"/>
    <row r="33960" s="12" customFormat="1" x14ac:dyDescent="0.25"/>
    <row r="33961" s="12" customFormat="1" x14ac:dyDescent="0.25"/>
    <row r="33962" s="12" customFormat="1" x14ac:dyDescent="0.25"/>
    <row r="33963" s="12" customFormat="1" x14ac:dyDescent="0.25"/>
    <row r="33964" s="12" customFormat="1" x14ac:dyDescent="0.25"/>
    <row r="33965" s="12" customFormat="1" x14ac:dyDescent="0.25"/>
    <row r="33966" s="12" customFormat="1" x14ac:dyDescent="0.25"/>
    <row r="33967" s="12" customFormat="1" x14ac:dyDescent="0.25"/>
    <row r="33968" s="12" customFormat="1" x14ac:dyDescent="0.25"/>
    <row r="33969" s="12" customFormat="1" x14ac:dyDescent="0.25"/>
    <row r="33970" s="12" customFormat="1" x14ac:dyDescent="0.25"/>
    <row r="33971" s="12" customFormat="1" x14ac:dyDescent="0.25"/>
    <row r="33972" s="12" customFormat="1" x14ac:dyDescent="0.25"/>
    <row r="33973" s="12" customFormat="1" x14ac:dyDescent="0.25"/>
    <row r="33974" s="12" customFormat="1" x14ac:dyDescent="0.25"/>
    <row r="33975" s="12" customFormat="1" x14ac:dyDescent="0.25"/>
    <row r="33976" s="12" customFormat="1" x14ac:dyDescent="0.25"/>
    <row r="33977" s="12" customFormat="1" x14ac:dyDescent="0.25"/>
    <row r="33978" s="12" customFormat="1" x14ac:dyDescent="0.25"/>
    <row r="33979" s="12" customFormat="1" x14ac:dyDescent="0.25"/>
    <row r="33980" s="12" customFormat="1" x14ac:dyDescent="0.25"/>
    <row r="33981" s="12" customFormat="1" x14ac:dyDescent="0.25"/>
    <row r="33982" s="12" customFormat="1" x14ac:dyDescent="0.25"/>
    <row r="33983" s="12" customFormat="1" x14ac:dyDescent="0.25"/>
    <row r="33984" s="12" customFormat="1" x14ac:dyDescent="0.25"/>
    <row r="33985" s="12" customFormat="1" x14ac:dyDescent="0.25"/>
    <row r="33986" s="12" customFormat="1" x14ac:dyDescent="0.25"/>
    <row r="33987" s="12" customFormat="1" x14ac:dyDescent="0.25"/>
    <row r="33988" s="12" customFormat="1" x14ac:dyDescent="0.25"/>
    <row r="33989" s="12" customFormat="1" x14ac:dyDescent="0.25"/>
    <row r="33990" s="12" customFormat="1" x14ac:dyDescent="0.25"/>
    <row r="33991" s="12" customFormat="1" x14ac:dyDescent="0.25"/>
    <row r="33992" s="12" customFormat="1" x14ac:dyDescent="0.25"/>
    <row r="33993" s="12" customFormat="1" x14ac:dyDescent="0.25"/>
    <row r="33994" s="12" customFormat="1" x14ac:dyDescent="0.25"/>
    <row r="33995" s="12" customFormat="1" x14ac:dyDescent="0.25"/>
    <row r="33996" s="12" customFormat="1" x14ac:dyDescent="0.25"/>
    <row r="33997" s="12" customFormat="1" x14ac:dyDescent="0.25"/>
    <row r="33998" s="12" customFormat="1" x14ac:dyDescent="0.25"/>
    <row r="33999" s="12" customFormat="1" x14ac:dyDescent="0.25"/>
    <row r="34000" s="12" customFormat="1" x14ac:dyDescent="0.25"/>
    <row r="34001" s="12" customFormat="1" x14ac:dyDescent="0.25"/>
    <row r="34002" s="12" customFormat="1" x14ac:dyDescent="0.25"/>
    <row r="34003" s="12" customFormat="1" x14ac:dyDescent="0.25"/>
    <row r="34004" s="12" customFormat="1" x14ac:dyDescent="0.25"/>
    <row r="34005" s="12" customFormat="1" x14ac:dyDescent="0.25"/>
    <row r="34006" s="12" customFormat="1" x14ac:dyDescent="0.25"/>
    <row r="34007" s="12" customFormat="1" x14ac:dyDescent="0.25"/>
    <row r="34008" s="12" customFormat="1" x14ac:dyDescent="0.25"/>
    <row r="34009" s="12" customFormat="1" x14ac:dyDescent="0.25"/>
    <row r="34010" s="12" customFormat="1" x14ac:dyDescent="0.25"/>
    <row r="34011" s="12" customFormat="1" x14ac:dyDescent="0.25"/>
    <row r="34012" s="12" customFormat="1" x14ac:dyDescent="0.25"/>
    <row r="34013" s="12" customFormat="1" x14ac:dyDescent="0.25"/>
    <row r="34014" s="12" customFormat="1" x14ac:dyDescent="0.25"/>
    <row r="34015" s="12" customFormat="1" x14ac:dyDescent="0.25"/>
    <row r="34016" s="12" customFormat="1" x14ac:dyDescent="0.25"/>
    <row r="34017" s="12" customFormat="1" x14ac:dyDescent="0.25"/>
    <row r="34018" s="12" customFormat="1" x14ac:dyDescent="0.25"/>
    <row r="34019" s="12" customFormat="1" x14ac:dyDescent="0.25"/>
    <row r="34020" s="12" customFormat="1" x14ac:dyDescent="0.25"/>
    <row r="34021" s="12" customFormat="1" x14ac:dyDescent="0.25"/>
    <row r="34022" s="12" customFormat="1" x14ac:dyDescent="0.25"/>
    <row r="34023" s="12" customFormat="1" x14ac:dyDescent="0.25"/>
    <row r="34024" s="12" customFormat="1" x14ac:dyDescent="0.25"/>
    <row r="34025" s="12" customFormat="1" x14ac:dyDescent="0.25"/>
    <row r="34026" s="12" customFormat="1" x14ac:dyDescent="0.25"/>
    <row r="34027" s="12" customFormat="1" x14ac:dyDescent="0.25"/>
    <row r="34028" s="12" customFormat="1" x14ac:dyDescent="0.25"/>
    <row r="34029" s="12" customFormat="1" x14ac:dyDescent="0.25"/>
    <row r="34030" s="12" customFormat="1" x14ac:dyDescent="0.25"/>
    <row r="34031" s="12" customFormat="1" x14ac:dyDescent="0.25"/>
    <row r="34032" s="12" customFormat="1" x14ac:dyDescent="0.25"/>
    <row r="34033" s="12" customFormat="1" x14ac:dyDescent="0.25"/>
    <row r="34034" s="12" customFormat="1" x14ac:dyDescent="0.25"/>
    <row r="34035" s="12" customFormat="1" x14ac:dyDescent="0.25"/>
    <row r="34036" s="12" customFormat="1" x14ac:dyDescent="0.25"/>
    <row r="34037" s="12" customFormat="1" x14ac:dyDescent="0.25"/>
    <row r="34038" s="12" customFormat="1" x14ac:dyDescent="0.25"/>
    <row r="34039" s="12" customFormat="1" x14ac:dyDescent="0.25"/>
    <row r="34040" s="12" customFormat="1" x14ac:dyDescent="0.25"/>
    <row r="34041" s="12" customFormat="1" x14ac:dyDescent="0.25"/>
    <row r="34042" s="12" customFormat="1" x14ac:dyDescent="0.25"/>
    <row r="34043" s="12" customFormat="1" x14ac:dyDescent="0.25"/>
    <row r="34044" s="12" customFormat="1" x14ac:dyDescent="0.25"/>
    <row r="34045" s="12" customFormat="1" x14ac:dyDescent="0.25"/>
    <row r="34046" s="12" customFormat="1" x14ac:dyDescent="0.25"/>
    <row r="34047" s="12" customFormat="1" x14ac:dyDescent="0.25"/>
    <row r="34048" s="12" customFormat="1" x14ac:dyDescent="0.25"/>
    <row r="34049" s="12" customFormat="1" x14ac:dyDescent="0.25"/>
    <row r="34050" s="12" customFormat="1" x14ac:dyDescent="0.25"/>
    <row r="34051" s="12" customFormat="1" x14ac:dyDescent="0.25"/>
    <row r="34052" s="12" customFormat="1" x14ac:dyDescent="0.25"/>
    <row r="34053" s="12" customFormat="1" x14ac:dyDescent="0.25"/>
    <row r="34054" s="12" customFormat="1" x14ac:dyDescent="0.25"/>
    <row r="34055" s="12" customFormat="1" x14ac:dyDescent="0.25"/>
    <row r="34056" s="12" customFormat="1" x14ac:dyDescent="0.25"/>
    <row r="34057" s="12" customFormat="1" x14ac:dyDescent="0.25"/>
    <row r="34058" s="12" customFormat="1" x14ac:dyDescent="0.25"/>
    <row r="34059" s="12" customFormat="1" x14ac:dyDescent="0.25"/>
    <row r="34060" s="12" customFormat="1" x14ac:dyDescent="0.25"/>
    <row r="34061" s="12" customFormat="1" x14ac:dyDescent="0.25"/>
    <row r="34062" s="12" customFormat="1" x14ac:dyDescent="0.25"/>
    <row r="34063" s="12" customFormat="1" x14ac:dyDescent="0.25"/>
    <row r="34064" s="12" customFormat="1" x14ac:dyDescent="0.25"/>
    <row r="34065" s="12" customFormat="1" x14ac:dyDescent="0.25"/>
    <row r="34066" s="12" customFormat="1" x14ac:dyDescent="0.25"/>
    <row r="34067" s="12" customFormat="1" x14ac:dyDescent="0.25"/>
    <row r="34068" s="12" customFormat="1" x14ac:dyDescent="0.25"/>
    <row r="34069" s="12" customFormat="1" x14ac:dyDescent="0.25"/>
    <row r="34070" s="12" customFormat="1" x14ac:dyDescent="0.25"/>
    <row r="34071" s="12" customFormat="1" x14ac:dyDescent="0.25"/>
    <row r="34072" s="12" customFormat="1" x14ac:dyDescent="0.25"/>
    <row r="34073" s="12" customFormat="1" x14ac:dyDescent="0.25"/>
    <row r="34074" s="12" customFormat="1" x14ac:dyDescent="0.25"/>
    <row r="34075" s="12" customFormat="1" x14ac:dyDescent="0.25"/>
    <row r="34076" s="12" customFormat="1" x14ac:dyDescent="0.25"/>
    <row r="34077" s="12" customFormat="1" x14ac:dyDescent="0.25"/>
    <row r="34078" s="12" customFormat="1" x14ac:dyDescent="0.25"/>
    <row r="34079" s="12" customFormat="1" x14ac:dyDescent="0.25"/>
    <row r="34080" s="12" customFormat="1" x14ac:dyDescent="0.25"/>
    <row r="34081" s="12" customFormat="1" x14ac:dyDescent="0.25"/>
    <row r="34082" s="12" customFormat="1" x14ac:dyDescent="0.25"/>
    <row r="34083" s="12" customFormat="1" x14ac:dyDescent="0.25"/>
    <row r="34084" s="12" customFormat="1" x14ac:dyDescent="0.25"/>
    <row r="34085" s="12" customFormat="1" x14ac:dyDescent="0.25"/>
    <row r="34086" s="12" customFormat="1" x14ac:dyDescent="0.25"/>
    <row r="34087" s="12" customFormat="1" x14ac:dyDescent="0.25"/>
    <row r="34088" s="12" customFormat="1" x14ac:dyDescent="0.25"/>
    <row r="34089" s="12" customFormat="1" x14ac:dyDescent="0.25"/>
    <row r="34090" s="12" customFormat="1" x14ac:dyDescent="0.25"/>
    <row r="34091" s="12" customFormat="1" x14ac:dyDescent="0.25"/>
    <row r="34092" s="12" customFormat="1" x14ac:dyDescent="0.25"/>
    <row r="34093" s="12" customFormat="1" x14ac:dyDescent="0.25"/>
    <row r="34094" s="12" customFormat="1" x14ac:dyDescent="0.25"/>
    <row r="34095" s="12" customFormat="1" x14ac:dyDescent="0.25"/>
    <row r="34096" s="12" customFormat="1" x14ac:dyDescent="0.25"/>
    <row r="34097" s="12" customFormat="1" x14ac:dyDescent="0.25"/>
    <row r="34098" s="12" customFormat="1" x14ac:dyDescent="0.25"/>
    <row r="34099" s="12" customFormat="1" x14ac:dyDescent="0.25"/>
    <row r="34100" s="12" customFormat="1" x14ac:dyDescent="0.25"/>
    <row r="34101" s="12" customFormat="1" x14ac:dyDescent="0.25"/>
    <row r="34102" s="12" customFormat="1" x14ac:dyDescent="0.25"/>
    <row r="34103" s="12" customFormat="1" x14ac:dyDescent="0.25"/>
    <row r="34104" s="12" customFormat="1" x14ac:dyDescent="0.25"/>
    <row r="34105" s="12" customFormat="1" x14ac:dyDescent="0.25"/>
    <row r="34106" s="12" customFormat="1" x14ac:dyDescent="0.25"/>
    <row r="34107" s="12" customFormat="1" x14ac:dyDescent="0.25"/>
    <row r="34108" s="12" customFormat="1" x14ac:dyDescent="0.25"/>
    <row r="34109" s="12" customFormat="1" x14ac:dyDescent="0.25"/>
    <row r="34110" s="12" customFormat="1" x14ac:dyDescent="0.25"/>
    <row r="34111" s="12" customFormat="1" x14ac:dyDescent="0.25"/>
    <row r="34112" s="12" customFormat="1" x14ac:dyDescent="0.25"/>
    <row r="34113" s="12" customFormat="1" x14ac:dyDescent="0.25"/>
    <row r="34114" s="12" customFormat="1" x14ac:dyDescent="0.25"/>
    <row r="34115" s="12" customFormat="1" x14ac:dyDescent="0.25"/>
    <row r="34116" s="12" customFormat="1" x14ac:dyDescent="0.25"/>
    <row r="34117" s="12" customFormat="1" x14ac:dyDescent="0.25"/>
    <row r="34118" s="12" customFormat="1" x14ac:dyDescent="0.25"/>
    <row r="34119" s="12" customFormat="1" x14ac:dyDescent="0.25"/>
    <row r="34120" s="12" customFormat="1" x14ac:dyDescent="0.25"/>
    <row r="34121" s="12" customFormat="1" x14ac:dyDescent="0.25"/>
    <row r="34122" s="12" customFormat="1" x14ac:dyDescent="0.25"/>
    <row r="34123" s="12" customFormat="1" x14ac:dyDescent="0.25"/>
    <row r="34124" s="12" customFormat="1" x14ac:dyDescent="0.25"/>
    <row r="34125" s="12" customFormat="1" x14ac:dyDescent="0.25"/>
    <row r="34126" s="12" customFormat="1" x14ac:dyDescent="0.25"/>
    <row r="34127" s="12" customFormat="1" x14ac:dyDescent="0.25"/>
    <row r="34128" s="12" customFormat="1" x14ac:dyDescent="0.25"/>
    <row r="34129" s="12" customFormat="1" x14ac:dyDescent="0.25"/>
    <row r="34130" s="12" customFormat="1" x14ac:dyDescent="0.25"/>
    <row r="34131" s="12" customFormat="1" x14ac:dyDescent="0.25"/>
    <row r="34132" s="12" customFormat="1" x14ac:dyDescent="0.25"/>
    <row r="34133" s="12" customFormat="1" x14ac:dyDescent="0.25"/>
    <row r="34134" s="12" customFormat="1" x14ac:dyDescent="0.25"/>
    <row r="34135" s="12" customFormat="1" x14ac:dyDescent="0.25"/>
    <row r="34136" s="12" customFormat="1" x14ac:dyDescent="0.25"/>
    <row r="34137" s="12" customFormat="1" x14ac:dyDescent="0.25"/>
    <row r="34138" s="12" customFormat="1" x14ac:dyDescent="0.25"/>
    <row r="34139" s="12" customFormat="1" x14ac:dyDescent="0.25"/>
    <row r="34140" s="12" customFormat="1" x14ac:dyDescent="0.25"/>
    <row r="34141" s="12" customFormat="1" x14ac:dyDescent="0.25"/>
    <row r="34142" s="12" customFormat="1" x14ac:dyDescent="0.25"/>
    <row r="34143" s="12" customFormat="1" x14ac:dyDescent="0.25"/>
    <row r="34144" s="12" customFormat="1" x14ac:dyDescent="0.25"/>
    <row r="34145" s="12" customFormat="1" x14ac:dyDescent="0.25"/>
    <row r="34146" s="12" customFormat="1" x14ac:dyDescent="0.25"/>
    <row r="34147" s="12" customFormat="1" x14ac:dyDescent="0.25"/>
    <row r="34148" s="12" customFormat="1" x14ac:dyDescent="0.25"/>
    <row r="34149" s="12" customFormat="1" x14ac:dyDescent="0.25"/>
    <row r="34150" s="12" customFormat="1" x14ac:dyDescent="0.25"/>
    <row r="34151" s="12" customFormat="1" x14ac:dyDescent="0.25"/>
    <row r="34152" s="12" customFormat="1" x14ac:dyDescent="0.25"/>
    <row r="34153" s="12" customFormat="1" x14ac:dyDescent="0.25"/>
    <row r="34154" s="12" customFormat="1" x14ac:dyDescent="0.25"/>
    <row r="34155" s="12" customFormat="1" x14ac:dyDescent="0.25"/>
    <row r="34156" s="12" customFormat="1" x14ac:dyDescent="0.25"/>
    <row r="34157" s="12" customFormat="1" x14ac:dyDescent="0.25"/>
    <row r="34158" s="12" customFormat="1" x14ac:dyDescent="0.25"/>
    <row r="34159" s="12" customFormat="1" x14ac:dyDescent="0.25"/>
    <row r="34160" s="12" customFormat="1" x14ac:dyDescent="0.25"/>
    <row r="34161" s="12" customFormat="1" x14ac:dyDescent="0.25"/>
    <row r="34162" s="12" customFormat="1" x14ac:dyDescent="0.25"/>
    <row r="34163" s="12" customFormat="1" x14ac:dyDescent="0.25"/>
    <row r="34164" s="12" customFormat="1" x14ac:dyDescent="0.25"/>
    <row r="34165" s="12" customFormat="1" x14ac:dyDescent="0.25"/>
    <row r="34166" s="12" customFormat="1" x14ac:dyDescent="0.25"/>
    <row r="34167" s="12" customFormat="1" x14ac:dyDescent="0.25"/>
    <row r="34168" s="12" customFormat="1" x14ac:dyDescent="0.25"/>
    <row r="34169" s="12" customFormat="1" x14ac:dyDescent="0.25"/>
    <row r="34170" s="12" customFormat="1" x14ac:dyDescent="0.25"/>
    <row r="34171" s="12" customFormat="1" x14ac:dyDescent="0.25"/>
    <row r="34172" s="12" customFormat="1" x14ac:dyDescent="0.25"/>
    <row r="34173" s="12" customFormat="1" x14ac:dyDescent="0.25"/>
    <row r="34174" s="12" customFormat="1" x14ac:dyDescent="0.25"/>
    <row r="34175" s="12" customFormat="1" x14ac:dyDescent="0.25"/>
    <row r="34176" s="12" customFormat="1" x14ac:dyDescent="0.25"/>
    <row r="34177" s="12" customFormat="1" x14ac:dyDescent="0.25"/>
    <row r="34178" s="12" customFormat="1" x14ac:dyDescent="0.25"/>
    <row r="34179" s="12" customFormat="1" x14ac:dyDescent="0.25"/>
    <row r="34180" s="12" customFormat="1" x14ac:dyDescent="0.25"/>
    <row r="34181" s="12" customFormat="1" x14ac:dyDescent="0.25"/>
    <row r="34182" s="12" customFormat="1" x14ac:dyDescent="0.25"/>
    <row r="34183" s="12" customFormat="1" x14ac:dyDescent="0.25"/>
    <row r="34184" s="12" customFormat="1" x14ac:dyDescent="0.25"/>
    <row r="34185" s="12" customFormat="1" x14ac:dyDescent="0.25"/>
    <row r="34186" s="12" customFormat="1" x14ac:dyDescent="0.25"/>
    <row r="34187" s="12" customFormat="1" x14ac:dyDescent="0.25"/>
    <row r="34188" s="12" customFormat="1" x14ac:dyDescent="0.25"/>
    <row r="34189" s="12" customFormat="1" x14ac:dyDescent="0.25"/>
    <row r="34190" s="12" customFormat="1" x14ac:dyDescent="0.25"/>
    <row r="34191" s="12" customFormat="1" x14ac:dyDescent="0.25"/>
    <row r="34192" s="12" customFormat="1" x14ac:dyDescent="0.25"/>
    <row r="34193" s="12" customFormat="1" x14ac:dyDescent="0.25"/>
    <row r="34194" s="12" customFormat="1" x14ac:dyDescent="0.25"/>
    <row r="34195" s="12" customFormat="1" x14ac:dyDescent="0.25"/>
    <row r="34196" s="12" customFormat="1" x14ac:dyDescent="0.25"/>
    <row r="34197" s="12" customFormat="1" x14ac:dyDescent="0.25"/>
    <row r="34198" s="12" customFormat="1" x14ac:dyDescent="0.25"/>
    <row r="34199" s="12" customFormat="1" x14ac:dyDescent="0.25"/>
    <row r="34200" s="12" customFormat="1" x14ac:dyDescent="0.25"/>
    <row r="34201" s="12" customFormat="1" x14ac:dyDescent="0.25"/>
    <row r="34202" s="12" customFormat="1" x14ac:dyDescent="0.25"/>
    <row r="34203" s="12" customFormat="1" x14ac:dyDescent="0.25"/>
    <row r="34204" s="12" customFormat="1" x14ac:dyDescent="0.25"/>
    <row r="34205" s="12" customFormat="1" x14ac:dyDescent="0.25"/>
    <row r="34206" s="12" customFormat="1" x14ac:dyDescent="0.25"/>
    <row r="34207" s="12" customFormat="1" x14ac:dyDescent="0.25"/>
    <row r="34208" s="12" customFormat="1" x14ac:dyDescent="0.25"/>
    <row r="34209" s="12" customFormat="1" x14ac:dyDescent="0.25"/>
    <row r="34210" s="12" customFormat="1" x14ac:dyDescent="0.25"/>
    <row r="34211" s="12" customFormat="1" x14ac:dyDescent="0.25"/>
    <row r="34212" s="12" customFormat="1" x14ac:dyDescent="0.25"/>
    <row r="34213" s="12" customFormat="1" x14ac:dyDescent="0.25"/>
    <row r="34214" s="12" customFormat="1" x14ac:dyDescent="0.25"/>
    <row r="34215" s="12" customFormat="1" x14ac:dyDescent="0.25"/>
    <row r="34216" s="12" customFormat="1" x14ac:dyDescent="0.25"/>
    <row r="34217" s="12" customFormat="1" x14ac:dyDescent="0.25"/>
    <row r="34218" s="12" customFormat="1" x14ac:dyDescent="0.25"/>
    <row r="34219" s="12" customFormat="1" x14ac:dyDescent="0.25"/>
    <row r="34220" s="12" customFormat="1" x14ac:dyDescent="0.25"/>
    <row r="34221" s="12" customFormat="1" x14ac:dyDescent="0.25"/>
    <row r="34222" s="12" customFormat="1" x14ac:dyDescent="0.25"/>
    <row r="34223" s="12" customFormat="1" x14ac:dyDescent="0.25"/>
    <row r="34224" s="12" customFormat="1" x14ac:dyDescent="0.25"/>
    <row r="34225" s="12" customFormat="1" x14ac:dyDescent="0.25"/>
    <row r="34226" s="12" customFormat="1" x14ac:dyDescent="0.25"/>
    <row r="34227" s="12" customFormat="1" x14ac:dyDescent="0.25"/>
    <row r="34228" s="12" customFormat="1" x14ac:dyDescent="0.25"/>
    <row r="34229" s="12" customFormat="1" x14ac:dyDescent="0.25"/>
    <row r="34230" s="12" customFormat="1" x14ac:dyDescent="0.25"/>
    <row r="34231" s="12" customFormat="1" x14ac:dyDescent="0.25"/>
    <row r="34232" s="12" customFormat="1" x14ac:dyDescent="0.25"/>
    <row r="34233" s="12" customFormat="1" x14ac:dyDescent="0.25"/>
    <row r="34234" s="12" customFormat="1" x14ac:dyDescent="0.25"/>
    <row r="34235" s="12" customFormat="1" x14ac:dyDescent="0.25"/>
    <row r="34236" s="12" customFormat="1" x14ac:dyDescent="0.25"/>
    <row r="34237" s="12" customFormat="1" x14ac:dyDescent="0.25"/>
    <row r="34238" s="12" customFormat="1" x14ac:dyDescent="0.25"/>
    <row r="34239" s="12" customFormat="1" x14ac:dyDescent="0.25"/>
    <row r="34240" s="12" customFormat="1" x14ac:dyDescent="0.25"/>
    <row r="34241" s="12" customFormat="1" x14ac:dyDescent="0.25"/>
    <row r="34242" s="12" customFormat="1" x14ac:dyDescent="0.25"/>
    <row r="34243" s="12" customFormat="1" x14ac:dyDescent="0.25"/>
    <row r="34244" s="12" customFormat="1" x14ac:dyDescent="0.25"/>
    <row r="34245" s="12" customFormat="1" x14ac:dyDescent="0.25"/>
    <row r="34246" s="12" customFormat="1" x14ac:dyDescent="0.25"/>
    <row r="34247" s="12" customFormat="1" x14ac:dyDescent="0.25"/>
    <row r="34248" s="12" customFormat="1" x14ac:dyDescent="0.25"/>
    <row r="34249" s="12" customFormat="1" x14ac:dyDescent="0.25"/>
    <row r="34250" s="12" customFormat="1" x14ac:dyDescent="0.25"/>
    <row r="34251" s="12" customFormat="1" x14ac:dyDescent="0.25"/>
    <row r="34252" s="12" customFormat="1" x14ac:dyDescent="0.25"/>
    <row r="34253" s="12" customFormat="1" x14ac:dyDescent="0.25"/>
    <row r="34254" s="12" customFormat="1" x14ac:dyDescent="0.25"/>
    <row r="34255" s="12" customFormat="1" x14ac:dyDescent="0.25"/>
    <row r="34256" s="12" customFormat="1" x14ac:dyDescent="0.25"/>
    <row r="34257" s="12" customFormat="1" x14ac:dyDescent="0.25"/>
    <row r="34258" s="12" customFormat="1" x14ac:dyDescent="0.25"/>
    <row r="34259" s="12" customFormat="1" x14ac:dyDescent="0.25"/>
    <row r="34260" s="12" customFormat="1" x14ac:dyDescent="0.25"/>
    <row r="34261" s="12" customFormat="1" x14ac:dyDescent="0.25"/>
    <row r="34262" s="12" customFormat="1" x14ac:dyDescent="0.25"/>
    <row r="34263" s="12" customFormat="1" x14ac:dyDescent="0.25"/>
    <row r="34264" s="12" customFormat="1" x14ac:dyDescent="0.25"/>
    <row r="34265" s="12" customFormat="1" x14ac:dyDescent="0.25"/>
    <row r="34266" s="12" customFormat="1" x14ac:dyDescent="0.25"/>
    <row r="34267" s="12" customFormat="1" x14ac:dyDescent="0.25"/>
    <row r="34268" s="12" customFormat="1" x14ac:dyDescent="0.25"/>
    <row r="34269" s="12" customFormat="1" x14ac:dyDescent="0.25"/>
    <row r="34270" s="12" customFormat="1" x14ac:dyDescent="0.25"/>
    <row r="34271" s="12" customFormat="1" x14ac:dyDescent="0.25"/>
    <row r="34272" s="12" customFormat="1" x14ac:dyDescent="0.25"/>
    <row r="34273" s="12" customFormat="1" x14ac:dyDescent="0.25"/>
    <row r="34274" s="12" customFormat="1" x14ac:dyDescent="0.25"/>
    <row r="34275" s="12" customFormat="1" x14ac:dyDescent="0.25"/>
    <row r="34276" s="12" customFormat="1" x14ac:dyDescent="0.25"/>
    <row r="34277" s="12" customFormat="1" x14ac:dyDescent="0.25"/>
    <row r="34278" s="12" customFormat="1" x14ac:dyDescent="0.25"/>
    <row r="34279" s="12" customFormat="1" x14ac:dyDescent="0.25"/>
    <row r="34280" s="12" customFormat="1" x14ac:dyDescent="0.25"/>
    <row r="34281" s="12" customFormat="1" x14ac:dyDescent="0.25"/>
    <row r="34282" s="12" customFormat="1" x14ac:dyDescent="0.25"/>
    <row r="34283" s="12" customFormat="1" x14ac:dyDescent="0.25"/>
    <row r="34284" s="12" customFormat="1" x14ac:dyDescent="0.25"/>
    <row r="34285" s="12" customFormat="1" x14ac:dyDescent="0.25"/>
    <row r="34286" s="12" customFormat="1" x14ac:dyDescent="0.25"/>
    <row r="34287" s="12" customFormat="1" x14ac:dyDescent="0.25"/>
    <row r="34288" s="12" customFormat="1" x14ac:dyDescent="0.25"/>
    <row r="34289" s="12" customFormat="1" x14ac:dyDescent="0.25"/>
    <row r="34290" s="12" customFormat="1" x14ac:dyDescent="0.25"/>
    <row r="34291" s="12" customFormat="1" x14ac:dyDescent="0.25"/>
    <row r="34292" s="12" customFormat="1" x14ac:dyDescent="0.25"/>
    <row r="34293" s="12" customFormat="1" x14ac:dyDescent="0.25"/>
    <row r="34294" s="12" customFormat="1" x14ac:dyDescent="0.25"/>
    <row r="34295" s="12" customFormat="1" x14ac:dyDescent="0.25"/>
    <row r="34296" s="12" customFormat="1" x14ac:dyDescent="0.25"/>
    <row r="34297" s="12" customFormat="1" x14ac:dyDescent="0.25"/>
    <row r="34298" s="12" customFormat="1" x14ac:dyDescent="0.25"/>
    <row r="34299" s="12" customFormat="1" x14ac:dyDescent="0.25"/>
    <row r="34300" s="12" customFormat="1" x14ac:dyDescent="0.25"/>
    <row r="34301" s="12" customFormat="1" x14ac:dyDescent="0.25"/>
    <row r="34302" s="12" customFormat="1" x14ac:dyDescent="0.25"/>
    <row r="34303" s="12" customFormat="1" x14ac:dyDescent="0.25"/>
    <row r="34304" s="12" customFormat="1" x14ac:dyDescent="0.25"/>
    <row r="34305" s="12" customFormat="1" x14ac:dyDescent="0.25"/>
    <row r="34306" s="12" customFormat="1" x14ac:dyDescent="0.25"/>
    <row r="34307" s="12" customFormat="1" x14ac:dyDescent="0.25"/>
    <row r="34308" s="12" customFormat="1" x14ac:dyDescent="0.25"/>
    <row r="34309" s="12" customFormat="1" x14ac:dyDescent="0.25"/>
    <row r="34310" s="12" customFormat="1" x14ac:dyDescent="0.25"/>
    <row r="34311" s="12" customFormat="1" x14ac:dyDescent="0.25"/>
    <row r="34312" s="12" customFormat="1" x14ac:dyDescent="0.25"/>
    <row r="34313" s="12" customFormat="1" x14ac:dyDescent="0.25"/>
    <row r="34314" s="12" customFormat="1" x14ac:dyDescent="0.25"/>
    <row r="34315" s="12" customFormat="1" x14ac:dyDescent="0.25"/>
    <row r="34316" s="12" customFormat="1" x14ac:dyDescent="0.25"/>
    <row r="34317" s="12" customFormat="1" x14ac:dyDescent="0.25"/>
    <row r="34318" s="12" customFormat="1" x14ac:dyDescent="0.25"/>
    <row r="34319" s="12" customFormat="1" x14ac:dyDescent="0.25"/>
    <row r="34320" s="12" customFormat="1" x14ac:dyDescent="0.25"/>
    <row r="34321" s="12" customFormat="1" x14ac:dyDescent="0.25"/>
    <row r="34322" s="12" customFormat="1" x14ac:dyDescent="0.25"/>
    <row r="34323" s="12" customFormat="1" x14ac:dyDescent="0.25"/>
    <row r="34324" s="12" customFormat="1" x14ac:dyDescent="0.25"/>
    <row r="34325" s="12" customFormat="1" x14ac:dyDescent="0.25"/>
    <row r="34326" s="12" customFormat="1" x14ac:dyDescent="0.25"/>
    <row r="34327" s="12" customFormat="1" x14ac:dyDescent="0.25"/>
    <row r="34328" s="12" customFormat="1" x14ac:dyDescent="0.25"/>
    <row r="34329" s="12" customFormat="1" x14ac:dyDescent="0.25"/>
    <row r="34330" s="12" customFormat="1" x14ac:dyDescent="0.25"/>
    <row r="34331" s="12" customFormat="1" x14ac:dyDescent="0.25"/>
    <row r="34332" s="12" customFormat="1" x14ac:dyDescent="0.25"/>
    <row r="34333" s="12" customFormat="1" x14ac:dyDescent="0.25"/>
    <row r="34334" s="12" customFormat="1" x14ac:dyDescent="0.25"/>
    <row r="34335" s="12" customFormat="1" x14ac:dyDescent="0.25"/>
    <row r="34336" s="12" customFormat="1" x14ac:dyDescent="0.25"/>
    <row r="34337" s="12" customFormat="1" x14ac:dyDescent="0.25"/>
    <row r="34338" s="12" customFormat="1" x14ac:dyDescent="0.25"/>
    <row r="34339" s="12" customFormat="1" x14ac:dyDescent="0.25"/>
    <row r="34340" s="12" customFormat="1" x14ac:dyDescent="0.25"/>
    <row r="34341" s="12" customFormat="1" x14ac:dyDescent="0.25"/>
    <row r="34342" s="12" customFormat="1" x14ac:dyDescent="0.25"/>
    <row r="34343" s="12" customFormat="1" x14ac:dyDescent="0.25"/>
    <row r="34344" s="12" customFormat="1" x14ac:dyDescent="0.25"/>
    <row r="34345" s="12" customFormat="1" x14ac:dyDescent="0.25"/>
    <row r="34346" s="12" customFormat="1" x14ac:dyDescent="0.25"/>
    <row r="34347" s="12" customFormat="1" x14ac:dyDescent="0.25"/>
    <row r="34348" s="12" customFormat="1" x14ac:dyDescent="0.25"/>
    <row r="34349" s="12" customFormat="1" x14ac:dyDescent="0.25"/>
    <row r="34350" s="12" customFormat="1" x14ac:dyDescent="0.25"/>
    <row r="34351" s="12" customFormat="1" x14ac:dyDescent="0.25"/>
    <row r="34352" s="12" customFormat="1" x14ac:dyDescent="0.25"/>
    <row r="34353" s="12" customFormat="1" x14ac:dyDescent="0.25"/>
    <row r="34354" s="12" customFormat="1" x14ac:dyDescent="0.25"/>
    <row r="34355" s="12" customFormat="1" x14ac:dyDescent="0.25"/>
    <row r="34356" s="12" customFormat="1" x14ac:dyDescent="0.25"/>
    <row r="34357" s="12" customFormat="1" x14ac:dyDescent="0.25"/>
    <row r="34358" s="12" customFormat="1" x14ac:dyDescent="0.25"/>
    <row r="34359" s="12" customFormat="1" x14ac:dyDescent="0.25"/>
    <row r="34360" s="12" customFormat="1" x14ac:dyDescent="0.25"/>
    <row r="34361" s="12" customFormat="1" x14ac:dyDescent="0.25"/>
    <row r="34362" s="12" customFormat="1" x14ac:dyDescent="0.25"/>
    <row r="34363" s="12" customFormat="1" x14ac:dyDescent="0.25"/>
    <row r="34364" s="12" customFormat="1" x14ac:dyDescent="0.25"/>
    <row r="34365" s="12" customFormat="1" x14ac:dyDescent="0.25"/>
    <row r="34366" s="12" customFormat="1" x14ac:dyDescent="0.25"/>
    <row r="34367" s="12" customFormat="1" x14ac:dyDescent="0.25"/>
    <row r="34368" s="12" customFormat="1" x14ac:dyDescent="0.25"/>
    <row r="34369" s="12" customFormat="1" x14ac:dyDescent="0.25"/>
    <row r="34370" s="12" customFormat="1" x14ac:dyDescent="0.25"/>
    <row r="34371" s="12" customFormat="1" x14ac:dyDescent="0.25"/>
    <row r="34372" s="12" customFormat="1" x14ac:dyDescent="0.25"/>
    <row r="34373" s="12" customFormat="1" x14ac:dyDescent="0.25"/>
    <row r="34374" s="12" customFormat="1" x14ac:dyDescent="0.25"/>
    <row r="34375" s="12" customFormat="1" x14ac:dyDescent="0.25"/>
    <row r="34376" s="12" customFormat="1" x14ac:dyDescent="0.25"/>
    <row r="34377" s="12" customFormat="1" x14ac:dyDescent="0.25"/>
    <row r="34378" s="12" customFormat="1" x14ac:dyDescent="0.25"/>
    <row r="34379" s="12" customFormat="1" x14ac:dyDescent="0.25"/>
    <row r="34380" s="12" customFormat="1" x14ac:dyDescent="0.25"/>
    <row r="34381" s="12" customFormat="1" x14ac:dyDescent="0.25"/>
    <row r="34382" s="12" customFormat="1" x14ac:dyDescent="0.25"/>
    <row r="34383" s="12" customFormat="1" x14ac:dyDescent="0.25"/>
    <row r="34384" s="12" customFormat="1" x14ac:dyDescent="0.25"/>
    <row r="34385" s="12" customFormat="1" x14ac:dyDescent="0.25"/>
    <row r="34386" s="12" customFormat="1" x14ac:dyDescent="0.25"/>
    <row r="34387" s="12" customFormat="1" x14ac:dyDescent="0.25"/>
    <row r="34388" s="12" customFormat="1" x14ac:dyDescent="0.25"/>
    <row r="34389" s="12" customFormat="1" x14ac:dyDescent="0.25"/>
    <row r="34390" s="12" customFormat="1" x14ac:dyDescent="0.25"/>
    <row r="34391" s="12" customFormat="1" x14ac:dyDescent="0.25"/>
    <row r="34392" s="12" customFormat="1" x14ac:dyDescent="0.25"/>
    <row r="34393" s="12" customFormat="1" x14ac:dyDescent="0.25"/>
    <row r="34394" s="12" customFormat="1" x14ac:dyDescent="0.25"/>
    <row r="34395" s="12" customFormat="1" x14ac:dyDescent="0.25"/>
    <row r="34396" s="12" customFormat="1" x14ac:dyDescent="0.25"/>
    <row r="34397" s="12" customFormat="1" x14ac:dyDescent="0.25"/>
    <row r="34398" s="12" customFormat="1" x14ac:dyDescent="0.25"/>
    <row r="34399" s="12" customFormat="1" x14ac:dyDescent="0.25"/>
    <row r="34400" s="12" customFormat="1" x14ac:dyDescent="0.25"/>
    <row r="34401" s="12" customFormat="1" x14ac:dyDescent="0.25"/>
    <row r="34402" s="12" customFormat="1" x14ac:dyDescent="0.25"/>
    <row r="34403" s="12" customFormat="1" x14ac:dyDescent="0.25"/>
    <row r="34404" s="12" customFormat="1" x14ac:dyDescent="0.25"/>
    <row r="34405" s="12" customFormat="1" x14ac:dyDescent="0.25"/>
    <row r="34406" s="12" customFormat="1" x14ac:dyDescent="0.25"/>
    <row r="34407" s="12" customFormat="1" x14ac:dyDescent="0.25"/>
    <row r="34408" s="12" customFormat="1" x14ac:dyDescent="0.25"/>
    <row r="34409" s="12" customFormat="1" x14ac:dyDescent="0.25"/>
    <row r="34410" s="12" customFormat="1" x14ac:dyDescent="0.25"/>
    <row r="34411" s="12" customFormat="1" x14ac:dyDescent="0.25"/>
    <row r="34412" s="12" customFormat="1" x14ac:dyDescent="0.25"/>
    <row r="34413" s="12" customFormat="1" x14ac:dyDescent="0.25"/>
    <row r="34414" s="12" customFormat="1" x14ac:dyDescent="0.25"/>
    <row r="34415" s="12" customFormat="1" x14ac:dyDescent="0.25"/>
    <row r="34416" s="12" customFormat="1" x14ac:dyDescent="0.25"/>
    <row r="34417" s="12" customFormat="1" x14ac:dyDescent="0.25"/>
    <row r="34418" s="12" customFormat="1" x14ac:dyDescent="0.25"/>
    <row r="34419" s="12" customFormat="1" x14ac:dyDescent="0.25"/>
    <row r="34420" s="12" customFormat="1" x14ac:dyDescent="0.25"/>
    <row r="34421" s="12" customFormat="1" x14ac:dyDescent="0.25"/>
    <row r="34422" s="12" customFormat="1" x14ac:dyDescent="0.25"/>
    <row r="34423" s="12" customFormat="1" x14ac:dyDescent="0.25"/>
    <row r="34424" s="12" customFormat="1" x14ac:dyDescent="0.25"/>
    <row r="34425" s="12" customFormat="1" x14ac:dyDescent="0.25"/>
    <row r="34426" s="12" customFormat="1" x14ac:dyDescent="0.25"/>
    <row r="34427" s="12" customFormat="1" x14ac:dyDescent="0.25"/>
    <row r="34428" s="12" customFormat="1" x14ac:dyDescent="0.25"/>
    <row r="34429" s="12" customFormat="1" x14ac:dyDescent="0.25"/>
    <row r="34430" s="12" customFormat="1" x14ac:dyDescent="0.25"/>
    <row r="34431" s="12" customFormat="1" x14ac:dyDescent="0.25"/>
    <row r="34432" s="12" customFormat="1" x14ac:dyDescent="0.25"/>
    <row r="34433" s="12" customFormat="1" x14ac:dyDescent="0.25"/>
    <row r="34434" s="12" customFormat="1" x14ac:dyDescent="0.25"/>
    <row r="34435" s="12" customFormat="1" x14ac:dyDescent="0.25"/>
    <row r="34436" s="12" customFormat="1" x14ac:dyDescent="0.25"/>
    <row r="34437" s="12" customFormat="1" x14ac:dyDescent="0.25"/>
    <row r="34438" s="12" customFormat="1" x14ac:dyDescent="0.25"/>
    <row r="34439" s="12" customFormat="1" x14ac:dyDescent="0.25"/>
    <row r="34440" s="12" customFormat="1" x14ac:dyDescent="0.25"/>
    <row r="34441" s="12" customFormat="1" x14ac:dyDescent="0.25"/>
    <row r="34442" s="12" customFormat="1" x14ac:dyDescent="0.25"/>
    <row r="34443" s="12" customFormat="1" x14ac:dyDescent="0.25"/>
    <row r="34444" s="12" customFormat="1" x14ac:dyDescent="0.25"/>
    <row r="34445" s="12" customFormat="1" x14ac:dyDescent="0.25"/>
    <row r="34446" s="12" customFormat="1" x14ac:dyDescent="0.25"/>
    <row r="34447" s="12" customFormat="1" x14ac:dyDescent="0.25"/>
    <row r="34448" s="12" customFormat="1" x14ac:dyDescent="0.25"/>
    <row r="34449" s="12" customFormat="1" x14ac:dyDescent="0.25"/>
    <row r="34450" s="12" customFormat="1" x14ac:dyDescent="0.25"/>
    <row r="34451" s="12" customFormat="1" x14ac:dyDescent="0.25"/>
    <row r="34452" s="12" customFormat="1" x14ac:dyDescent="0.25"/>
    <row r="34453" s="12" customFormat="1" x14ac:dyDescent="0.25"/>
    <row r="34454" s="12" customFormat="1" x14ac:dyDescent="0.25"/>
    <row r="34455" s="12" customFormat="1" x14ac:dyDescent="0.25"/>
    <row r="34456" s="12" customFormat="1" x14ac:dyDescent="0.25"/>
    <row r="34457" s="12" customFormat="1" x14ac:dyDescent="0.25"/>
    <row r="34458" s="12" customFormat="1" x14ac:dyDescent="0.25"/>
    <row r="34459" s="12" customFormat="1" x14ac:dyDescent="0.25"/>
    <row r="34460" s="12" customFormat="1" x14ac:dyDescent="0.25"/>
    <row r="34461" s="12" customFormat="1" x14ac:dyDescent="0.25"/>
    <row r="34462" s="12" customFormat="1" x14ac:dyDescent="0.25"/>
    <row r="34463" s="12" customFormat="1" x14ac:dyDescent="0.25"/>
    <row r="34464" s="12" customFormat="1" x14ac:dyDescent="0.25"/>
    <row r="34465" s="12" customFormat="1" x14ac:dyDescent="0.25"/>
    <row r="34466" s="12" customFormat="1" x14ac:dyDescent="0.25"/>
    <row r="34467" s="12" customFormat="1" x14ac:dyDescent="0.25"/>
    <row r="34468" s="12" customFormat="1" x14ac:dyDescent="0.25"/>
    <row r="34469" s="12" customFormat="1" x14ac:dyDescent="0.25"/>
    <row r="34470" s="12" customFormat="1" x14ac:dyDescent="0.25"/>
    <row r="34471" s="12" customFormat="1" x14ac:dyDescent="0.25"/>
    <row r="34472" s="12" customFormat="1" x14ac:dyDescent="0.25"/>
    <row r="34473" s="12" customFormat="1" x14ac:dyDescent="0.25"/>
    <row r="34474" s="12" customFormat="1" x14ac:dyDescent="0.25"/>
    <row r="34475" s="12" customFormat="1" x14ac:dyDescent="0.25"/>
    <row r="34476" s="12" customFormat="1" x14ac:dyDescent="0.25"/>
    <row r="34477" s="12" customFormat="1" x14ac:dyDescent="0.25"/>
    <row r="34478" s="12" customFormat="1" x14ac:dyDescent="0.25"/>
    <row r="34479" s="12" customFormat="1" x14ac:dyDescent="0.25"/>
    <row r="34480" s="12" customFormat="1" x14ac:dyDescent="0.25"/>
    <row r="34481" s="12" customFormat="1" x14ac:dyDescent="0.25"/>
    <row r="34482" s="12" customFormat="1" x14ac:dyDescent="0.25"/>
    <row r="34483" s="12" customFormat="1" x14ac:dyDescent="0.25"/>
    <row r="34484" s="12" customFormat="1" x14ac:dyDescent="0.25"/>
    <row r="34485" s="12" customFormat="1" x14ac:dyDescent="0.25"/>
    <row r="34486" s="12" customFormat="1" x14ac:dyDescent="0.25"/>
    <row r="34487" s="12" customFormat="1" x14ac:dyDescent="0.25"/>
    <row r="34488" s="12" customFormat="1" x14ac:dyDescent="0.25"/>
    <row r="34489" s="12" customFormat="1" x14ac:dyDescent="0.25"/>
    <row r="34490" s="12" customFormat="1" x14ac:dyDescent="0.25"/>
    <row r="34491" s="12" customFormat="1" x14ac:dyDescent="0.25"/>
    <row r="34492" s="12" customFormat="1" x14ac:dyDescent="0.25"/>
    <row r="34493" s="12" customFormat="1" x14ac:dyDescent="0.25"/>
    <row r="34494" s="12" customFormat="1" x14ac:dyDescent="0.25"/>
    <row r="34495" s="12" customFormat="1" x14ac:dyDescent="0.25"/>
    <row r="34496" s="12" customFormat="1" x14ac:dyDescent="0.25"/>
    <row r="34497" s="12" customFormat="1" x14ac:dyDescent="0.25"/>
    <row r="34498" s="12" customFormat="1" x14ac:dyDescent="0.25"/>
    <row r="34499" s="12" customFormat="1" x14ac:dyDescent="0.25"/>
    <row r="34500" s="12" customFormat="1" x14ac:dyDescent="0.25"/>
    <row r="34501" s="12" customFormat="1" x14ac:dyDescent="0.25"/>
    <row r="34502" s="12" customFormat="1" x14ac:dyDescent="0.25"/>
    <row r="34503" s="12" customFormat="1" x14ac:dyDescent="0.25"/>
    <row r="34504" s="12" customFormat="1" x14ac:dyDescent="0.25"/>
    <row r="34505" s="12" customFormat="1" x14ac:dyDescent="0.25"/>
    <row r="34506" s="12" customFormat="1" x14ac:dyDescent="0.25"/>
    <row r="34507" s="12" customFormat="1" x14ac:dyDescent="0.25"/>
    <row r="34508" s="12" customFormat="1" x14ac:dyDescent="0.25"/>
    <row r="34509" s="12" customFormat="1" x14ac:dyDescent="0.25"/>
    <row r="34510" s="12" customFormat="1" x14ac:dyDescent="0.25"/>
    <row r="34511" s="12" customFormat="1" x14ac:dyDescent="0.25"/>
    <row r="34512" s="12" customFormat="1" x14ac:dyDescent="0.25"/>
    <row r="34513" s="12" customFormat="1" x14ac:dyDescent="0.25"/>
    <row r="34514" s="12" customFormat="1" x14ac:dyDescent="0.25"/>
    <row r="34515" s="12" customFormat="1" x14ac:dyDescent="0.25"/>
    <row r="34516" s="12" customFormat="1" x14ac:dyDescent="0.25"/>
    <row r="34517" s="12" customFormat="1" x14ac:dyDescent="0.25"/>
    <row r="34518" s="12" customFormat="1" x14ac:dyDescent="0.25"/>
    <row r="34519" s="12" customFormat="1" x14ac:dyDescent="0.25"/>
    <row r="34520" s="12" customFormat="1" x14ac:dyDescent="0.25"/>
    <row r="34521" s="12" customFormat="1" x14ac:dyDescent="0.25"/>
    <row r="34522" s="12" customFormat="1" x14ac:dyDescent="0.25"/>
    <row r="34523" s="12" customFormat="1" x14ac:dyDescent="0.25"/>
    <row r="34524" s="12" customFormat="1" x14ac:dyDescent="0.25"/>
    <row r="34525" s="12" customFormat="1" x14ac:dyDescent="0.25"/>
    <row r="34526" s="12" customFormat="1" x14ac:dyDescent="0.25"/>
    <row r="34527" s="12" customFormat="1" x14ac:dyDescent="0.25"/>
    <row r="34528" s="12" customFormat="1" x14ac:dyDescent="0.25"/>
    <row r="34529" s="12" customFormat="1" x14ac:dyDescent="0.25"/>
    <row r="34530" s="12" customFormat="1" x14ac:dyDescent="0.25"/>
    <row r="34531" s="12" customFormat="1" x14ac:dyDescent="0.25"/>
    <row r="34532" s="12" customFormat="1" x14ac:dyDescent="0.25"/>
    <row r="34533" s="12" customFormat="1" x14ac:dyDescent="0.25"/>
    <row r="34534" s="12" customFormat="1" x14ac:dyDescent="0.25"/>
    <row r="34535" s="12" customFormat="1" x14ac:dyDescent="0.25"/>
    <row r="34536" s="12" customFormat="1" x14ac:dyDescent="0.25"/>
    <row r="34537" s="12" customFormat="1" x14ac:dyDescent="0.25"/>
    <row r="34538" s="12" customFormat="1" x14ac:dyDescent="0.25"/>
    <row r="34539" s="12" customFormat="1" x14ac:dyDescent="0.25"/>
    <row r="34540" s="12" customFormat="1" x14ac:dyDescent="0.25"/>
    <row r="34541" s="12" customFormat="1" x14ac:dyDescent="0.25"/>
    <row r="34542" s="12" customFormat="1" x14ac:dyDescent="0.25"/>
    <row r="34543" s="12" customFormat="1" x14ac:dyDescent="0.25"/>
    <row r="34544" s="12" customFormat="1" x14ac:dyDescent="0.25"/>
    <row r="34545" s="12" customFormat="1" x14ac:dyDescent="0.25"/>
    <row r="34546" s="12" customFormat="1" x14ac:dyDescent="0.25"/>
    <row r="34547" s="12" customFormat="1" x14ac:dyDescent="0.25"/>
    <row r="34548" s="12" customFormat="1" x14ac:dyDescent="0.25"/>
    <row r="34549" s="12" customFormat="1" x14ac:dyDescent="0.25"/>
    <row r="34550" s="12" customFormat="1" x14ac:dyDescent="0.25"/>
    <row r="34551" s="12" customFormat="1" x14ac:dyDescent="0.25"/>
    <row r="34552" s="12" customFormat="1" x14ac:dyDescent="0.25"/>
    <row r="34553" s="12" customFormat="1" x14ac:dyDescent="0.25"/>
    <row r="34554" s="12" customFormat="1" x14ac:dyDescent="0.25"/>
    <row r="34555" s="12" customFormat="1" x14ac:dyDescent="0.25"/>
    <row r="34556" s="12" customFormat="1" x14ac:dyDescent="0.25"/>
    <row r="34557" s="12" customFormat="1" x14ac:dyDescent="0.25"/>
    <row r="34558" s="12" customFormat="1" x14ac:dyDescent="0.25"/>
    <row r="34559" s="12" customFormat="1" x14ac:dyDescent="0.25"/>
    <row r="34560" s="12" customFormat="1" x14ac:dyDescent="0.25"/>
    <row r="34561" s="12" customFormat="1" x14ac:dyDescent="0.25"/>
    <row r="34562" s="12" customFormat="1" x14ac:dyDescent="0.25"/>
    <row r="34563" s="12" customFormat="1" x14ac:dyDescent="0.25"/>
    <row r="34564" s="12" customFormat="1" x14ac:dyDescent="0.25"/>
    <row r="34565" s="12" customFormat="1" x14ac:dyDescent="0.25"/>
    <row r="34566" s="12" customFormat="1" x14ac:dyDescent="0.25"/>
    <row r="34567" s="12" customFormat="1" x14ac:dyDescent="0.25"/>
    <row r="34568" s="12" customFormat="1" x14ac:dyDescent="0.25"/>
    <row r="34569" s="12" customFormat="1" x14ac:dyDescent="0.25"/>
    <row r="34570" s="12" customFormat="1" x14ac:dyDescent="0.25"/>
    <row r="34571" s="12" customFormat="1" x14ac:dyDescent="0.25"/>
    <row r="34572" s="12" customFormat="1" x14ac:dyDescent="0.25"/>
    <row r="34573" s="12" customFormat="1" x14ac:dyDescent="0.25"/>
    <row r="34574" s="12" customFormat="1" x14ac:dyDescent="0.25"/>
    <row r="34575" s="12" customFormat="1" x14ac:dyDescent="0.25"/>
    <row r="34576" s="12" customFormat="1" x14ac:dyDescent="0.25"/>
    <row r="34577" s="12" customFormat="1" x14ac:dyDescent="0.25"/>
    <row r="34578" s="12" customFormat="1" x14ac:dyDescent="0.25"/>
    <row r="34579" s="12" customFormat="1" x14ac:dyDescent="0.25"/>
    <row r="34580" s="12" customFormat="1" x14ac:dyDescent="0.25"/>
    <row r="34581" s="12" customFormat="1" x14ac:dyDescent="0.25"/>
    <row r="34582" s="12" customFormat="1" x14ac:dyDescent="0.25"/>
    <row r="34583" s="12" customFormat="1" x14ac:dyDescent="0.25"/>
    <row r="34584" s="12" customFormat="1" x14ac:dyDescent="0.25"/>
    <row r="34585" s="12" customFormat="1" x14ac:dyDescent="0.25"/>
    <row r="34586" s="12" customFormat="1" x14ac:dyDescent="0.25"/>
    <row r="34587" s="12" customFormat="1" x14ac:dyDescent="0.25"/>
    <row r="34588" s="12" customFormat="1" x14ac:dyDescent="0.25"/>
    <row r="34589" s="12" customFormat="1" x14ac:dyDescent="0.25"/>
    <row r="34590" s="12" customFormat="1" x14ac:dyDescent="0.25"/>
    <row r="34591" s="12" customFormat="1" x14ac:dyDescent="0.25"/>
    <row r="34592" s="12" customFormat="1" x14ac:dyDescent="0.25"/>
    <row r="34593" s="12" customFormat="1" x14ac:dyDescent="0.25"/>
    <row r="34594" s="12" customFormat="1" x14ac:dyDescent="0.25"/>
    <row r="34595" s="12" customFormat="1" x14ac:dyDescent="0.25"/>
    <row r="34596" s="12" customFormat="1" x14ac:dyDescent="0.25"/>
    <row r="34597" s="12" customFormat="1" x14ac:dyDescent="0.25"/>
    <row r="34598" s="12" customFormat="1" x14ac:dyDescent="0.25"/>
    <row r="34599" s="12" customFormat="1" x14ac:dyDescent="0.25"/>
    <row r="34600" s="12" customFormat="1" x14ac:dyDescent="0.25"/>
    <row r="34601" s="12" customFormat="1" x14ac:dyDescent="0.25"/>
    <row r="34602" s="12" customFormat="1" x14ac:dyDescent="0.25"/>
    <row r="34603" s="12" customFormat="1" x14ac:dyDescent="0.25"/>
    <row r="34604" s="12" customFormat="1" x14ac:dyDescent="0.25"/>
    <row r="34605" s="12" customFormat="1" x14ac:dyDescent="0.25"/>
    <row r="34606" s="12" customFormat="1" x14ac:dyDescent="0.25"/>
    <row r="34607" s="12" customFormat="1" x14ac:dyDescent="0.25"/>
    <row r="34608" s="12" customFormat="1" x14ac:dyDescent="0.25"/>
    <row r="34609" s="12" customFormat="1" x14ac:dyDescent="0.25"/>
    <row r="34610" s="12" customFormat="1" x14ac:dyDescent="0.25"/>
    <row r="34611" s="12" customFormat="1" x14ac:dyDescent="0.25"/>
    <row r="34612" s="12" customFormat="1" x14ac:dyDescent="0.25"/>
    <row r="34613" s="12" customFormat="1" x14ac:dyDescent="0.25"/>
    <row r="34614" s="12" customFormat="1" x14ac:dyDescent="0.25"/>
    <row r="34615" s="12" customFormat="1" x14ac:dyDescent="0.25"/>
    <row r="34616" s="12" customFormat="1" x14ac:dyDescent="0.25"/>
    <row r="34617" s="12" customFormat="1" x14ac:dyDescent="0.25"/>
    <row r="34618" s="12" customFormat="1" x14ac:dyDescent="0.25"/>
    <row r="34619" s="12" customFormat="1" x14ac:dyDescent="0.25"/>
    <row r="34620" s="12" customFormat="1" x14ac:dyDescent="0.25"/>
    <row r="34621" s="12" customFormat="1" x14ac:dyDescent="0.25"/>
    <row r="34622" s="12" customFormat="1" x14ac:dyDescent="0.25"/>
    <row r="34623" s="12" customFormat="1" x14ac:dyDescent="0.25"/>
    <row r="34624" s="12" customFormat="1" x14ac:dyDescent="0.25"/>
    <row r="34625" s="12" customFormat="1" x14ac:dyDescent="0.25"/>
    <row r="34626" s="12" customFormat="1" x14ac:dyDescent="0.25"/>
    <row r="34627" s="12" customFormat="1" x14ac:dyDescent="0.25"/>
    <row r="34628" s="12" customFormat="1" x14ac:dyDescent="0.25"/>
    <row r="34629" s="12" customFormat="1" x14ac:dyDescent="0.25"/>
    <row r="34630" s="12" customFormat="1" x14ac:dyDescent="0.25"/>
    <row r="34631" s="12" customFormat="1" x14ac:dyDescent="0.25"/>
    <row r="34632" s="12" customFormat="1" x14ac:dyDescent="0.25"/>
    <row r="34633" s="12" customFormat="1" x14ac:dyDescent="0.25"/>
    <row r="34634" s="12" customFormat="1" x14ac:dyDescent="0.25"/>
    <row r="34635" s="12" customFormat="1" x14ac:dyDescent="0.25"/>
    <row r="34636" s="12" customFormat="1" x14ac:dyDescent="0.25"/>
    <row r="34637" s="12" customFormat="1" x14ac:dyDescent="0.25"/>
    <row r="34638" s="12" customFormat="1" x14ac:dyDescent="0.25"/>
    <row r="34639" s="12" customFormat="1" x14ac:dyDescent="0.25"/>
    <row r="34640" s="12" customFormat="1" x14ac:dyDescent="0.25"/>
    <row r="34641" s="12" customFormat="1" x14ac:dyDescent="0.25"/>
    <row r="34642" s="12" customFormat="1" x14ac:dyDescent="0.25"/>
    <row r="34643" s="12" customFormat="1" x14ac:dyDescent="0.25"/>
    <row r="34644" s="12" customFormat="1" x14ac:dyDescent="0.25"/>
    <row r="34645" s="12" customFormat="1" x14ac:dyDescent="0.25"/>
    <row r="34646" s="12" customFormat="1" x14ac:dyDescent="0.25"/>
    <row r="34647" s="12" customFormat="1" x14ac:dyDescent="0.25"/>
    <row r="34648" s="12" customFormat="1" x14ac:dyDescent="0.25"/>
    <row r="34649" s="12" customFormat="1" x14ac:dyDescent="0.25"/>
    <row r="34650" s="12" customFormat="1" x14ac:dyDescent="0.25"/>
    <row r="34651" s="12" customFormat="1" x14ac:dyDescent="0.25"/>
    <row r="34652" s="12" customFormat="1" x14ac:dyDescent="0.25"/>
    <row r="34653" s="12" customFormat="1" x14ac:dyDescent="0.25"/>
    <row r="34654" s="12" customFormat="1" x14ac:dyDescent="0.25"/>
    <row r="34655" s="12" customFormat="1" x14ac:dyDescent="0.25"/>
    <row r="34656" s="12" customFormat="1" x14ac:dyDescent="0.25"/>
    <row r="34657" s="12" customFormat="1" x14ac:dyDescent="0.25"/>
    <row r="34658" s="12" customFormat="1" x14ac:dyDescent="0.25"/>
    <row r="34659" s="12" customFormat="1" x14ac:dyDescent="0.25"/>
    <row r="34660" s="12" customFormat="1" x14ac:dyDescent="0.25"/>
    <row r="34661" s="12" customFormat="1" x14ac:dyDescent="0.25"/>
    <row r="34662" s="12" customFormat="1" x14ac:dyDescent="0.25"/>
    <row r="34663" s="12" customFormat="1" x14ac:dyDescent="0.25"/>
    <row r="34664" s="12" customFormat="1" x14ac:dyDescent="0.25"/>
    <row r="34665" s="12" customFormat="1" x14ac:dyDescent="0.25"/>
    <row r="34666" s="12" customFormat="1" x14ac:dyDescent="0.25"/>
    <row r="34667" s="12" customFormat="1" x14ac:dyDescent="0.25"/>
    <row r="34668" s="12" customFormat="1" x14ac:dyDescent="0.25"/>
    <row r="34669" s="12" customFormat="1" x14ac:dyDescent="0.25"/>
    <row r="34670" s="12" customFormat="1" x14ac:dyDescent="0.25"/>
    <row r="34671" s="12" customFormat="1" x14ac:dyDescent="0.25"/>
    <row r="34672" s="12" customFormat="1" x14ac:dyDescent="0.25"/>
    <row r="34673" s="12" customFormat="1" x14ac:dyDescent="0.25"/>
    <row r="34674" s="12" customFormat="1" x14ac:dyDescent="0.25"/>
    <row r="34675" s="12" customFormat="1" x14ac:dyDescent="0.25"/>
    <row r="34676" s="12" customFormat="1" x14ac:dyDescent="0.25"/>
    <row r="34677" s="12" customFormat="1" x14ac:dyDescent="0.25"/>
    <row r="34678" s="12" customFormat="1" x14ac:dyDescent="0.25"/>
    <row r="34679" s="12" customFormat="1" x14ac:dyDescent="0.25"/>
    <row r="34680" s="12" customFormat="1" x14ac:dyDescent="0.25"/>
    <row r="34681" s="12" customFormat="1" x14ac:dyDescent="0.25"/>
    <row r="34682" s="12" customFormat="1" x14ac:dyDescent="0.25"/>
    <row r="34683" s="12" customFormat="1" x14ac:dyDescent="0.25"/>
    <row r="34684" s="12" customFormat="1" x14ac:dyDescent="0.25"/>
    <row r="34685" s="12" customFormat="1" x14ac:dyDescent="0.25"/>
    <row r="34686" s="12" customFormat="1" x14ac:dyDescent="0.25"/>
    <row r="34687" s="12" customFormat="1" x14ac:dyDescent="0.25"/>
    <row r="34688" s="12" customFormat="1" x14ac:dyDescent="0.25"/>
    <row r="34689" s="12" customFormat="1" x14ac:dyDescent="0.25"/>
    <row r="34690" s="12" customFormat="1" x14ac:dyDescent="0.25"/>
    <row r="34691" s="12" customFormat="1" x14ac:dyDescent="0.25"/>
    <row r="34692" s="12" customFormat="1" x14ac:dyDescent="0.25"/>
    <row r="34693" s="12" customFormat="1" x14ac:dyDescent="0.25"/>
    <row r="34694" s="12" customFormat="1" x14ac:dyDescent="0.25"/>
    <row r="34695" s="12" customFormat="1" x14ac:dyDescent="0.25"/>
    <row r="34696" s="12" customFormat="1" x14ac:dyDescent="0.25"/>
    <row r="34697" s="12" customFormat="1" x14ac:dyDescent="0.25"/>
    <row r="34698" s="12" customFormat="1" x14ac:dyDescent="0.25"/>
    <row r="34699" s="12" customFormat="1" x14ac:dyDescent="0.25"/>
    <row r="34700" s="12" customFormat="1" x14ac:dyDescent="0.25"/>
    <row r="34701" s="12" customFormat="1" x14ac:dyDescent="0.25"/>
    <row r="34702" s="12" customFormat="1" x14ac:dyDescent="0.25"/>
    <row r="34703" s="12" customFormat="1" x14ac:dyDescent="0.25"/>
    <row r="34704" s="12" customFormat="1" x14ac:dyDescent="0.25"/>
    <row r="34705" s="12" customFormat="1" x14ac:dyDescent="0.25"/>
    <row r="34706" s="12" customFormat="1" x14ac:dyDescent="0.25"/>
    <row r="34707" s="12" customFormat="1" x14ac:dyDescent="0.25"/>
    <row r="34708" s="12" customFormat="1" x14ac:dyDescent="0.25"/>
    <row r="34709" s="12" customFormat="1" x14ac:dyDescent="0.25"/>
    <row r="34710" s="12" customFormat="1" x14ac:dyDescent="0.25"/>
    <row r="34711" s="12" customFormat="1" x14ac:dyDescent="0.25"/>
    <row r="34712" s="12" customFormat="1" x14ac:dyDescent="0.25"/>
    <row r="34713" s="12" customFormat="1" x14ac:dyDescent="0.25"/>
    <row r="34714" s="12" customFormat="1" x14ac:dyDescent="0.25"/>
    <row r="34715" s="12" customFormat="1" x14ac:dyDescent="0.25"/>
    <row r="34716" s="12" customFormat="1" x14ac:dyDescent="0.25"/>
    <row r="34717" s="12" customFormat="1" x14ac:dyDescent="0.25"/>
    <row r="34718" s="12" customFormat="1" x14ac:dyDescent="0.25"/>
    <row r="34719" s="12" customFormat="1" x14ac:dyDescent="0.25"/>
    <row r="34720" s="12" customFormat="1" x14ac:dyDescent="0.25"/>
    <row r="34721" s="12" customFormat="1" x14ac:dyDescent="0.25"/>
    <row r="34722" s="12" customFormat="1" x14ac:dyDescent="0.25"/>
    <row r="34723" s="12" customFormat="1" x14ac:dyDescent="0.25"/>
    <row r="34724" s="12" customFormat="1" x14ac:dyDescent="0.25"/>
    <row r="34725" s="12" customFormat="1" x14ac:dyDescent="0.25"/>
    <row r="34726" s="12" customFormat="1" x14ac:dyDescent="0.25"/>
    <row r="34727" s="12" customFormat="1" x14ac:dyDescent="0.25"/>
    <row r="34728" s="12" customFormat="1" x14ac:dyDescent="0.25"/>
    <row r="34729" s="12" customFormat="1" x14ac:dyDescent="0.25"/>
    <row r="34730" s="12" customFormat="1" x14ac:dyDescent="0.25"/>
    <row r="34731" s="12" customFormat="1" x14ac:dyDescent="0.25"/>
    <row r="34732" s="12" customFormat="1" x14ac:dyDescent="0.25"/>
    <row r="34733" s="12" customFormat="1" x14ac:dyDescent="0.25"/>
    <row r="34734" s="12" customFormat="1" x14ac:dyDescent="0.25"/>
    <row r="34735" s="12" customFormat="1" x14ac:dyDescent="0.25"/>
    <row r="34736" s="12" customFormat="1" x14ac:dyDescent="0.25"/>
    <row r="34737" s="12" customFormat="1" x14ac:dyDescent="0.25"/>
    <row r="34738" s="12" customFormat="1" x14ac:dyDescent="0.25"/>
    <row r="34739" s="12" customFormat="1" x14ac:dyDescent="0.25"/>
    <row r="34740" s="12" customFormat="1" x14ac:dyDescent="0.25"/>
    <row r="34741" s="12" customFormat="1" x14ac:dyDescent="0.25"/>
    <row r="34742" s="12" customFormat="1" x14ac:dyDescent="0.25"/>
    <row r="34743" s="12" customFormat="1" x14ac:dyDescent="0.25"/>
    <row r="34744" s="12" customFormat="1" x14ac:dyDescent="0.25"/>
    <row r="34745" s="12" customFormat="1" x14ac:dyDescent="0.25"/>
    <row r="34746" s="12" customFormat="1" x14ac:dyDescent="0.25"/>
    <row r="34747" s="12" customFormat="1" x14ac:dyDescent="0.25"/>
    <row r="34748" s="12" customFormat="1" x14ac:dyDescent="0.25"/>
    <row r="34749" s="12" customFormat="1" x14ac:dyDescent="0.25"/>
    <row r="34750" s="12" customFormat="1" x14ac:dyDescent="0.25"/>
    <row r="34751" s="12" customFormat="1" x14ac:dyDescent="0.25"/>
    <row r="34752" s="12" customFormat="1" x14ac:dyDescent="0.25"/>
    <row r="34753" s="12" customFormat="1" x14ac:dyDescent="0.25"/>
    <row r="34754" s="12" customFormat="1" x14ac:dyDescent="0.25"/>
    <row r="34755" s="12" customFormat="1" x14ac:dyDescent="0.25"/>
    <row r="34756" s="12" customFormat="1" x14ac:dyDescent="0.25"/>
    <row r="34757" s="12" customFormat="1" x14ac:dyDescent="0.25"/>
    <row r="34758" s="12" customFormat="1" x14ac:dyDescent="0.25"/>
    <row r="34759" s="12" customFormat="1" x14ac:dyDescent="0.25"/>
    <row r="34760" s="12" customFormat="1" x14ac:dyDescent="0.25"/>
    <row r="34761" s="12" customFormat="1" x14ac:dyDescent="0.25"/>
    <row r="34762" s="12" customFormat="1" x14ac:dyDescent="0.25"/>
    <row r="34763" s="12" customFormat="1" x14ac:dyDescent="0.25"/>
    <row r="34764" s="12" customFormat="1" x14ac:dyDescent="0.25"/>
    <row r="34765" s="12" customFormat="1" x14ac:dyDescent="0.25"/>
    <row r="34766" s="12" customFormat="1" x14ac:dyDescent="0.25"/>
    <row r="34767" s="12" customFormat="1" x14ac:dyDescent="0.25"/>
    <row r="34768" s="12" customFormat="1" x14ac:dyDescent="0.25"/>
    <row r="34769" s="12" customFormat="1" x14ac:dyDescent="0.25"/>
    <row r="34770" s="12" customFormat="1" x14ac:dyDescent="0.25"/>
    <row r="34771" s="12" customFormat="1" x14ac:dyDescent="0.25"/>
    <row r="34772" s="12" customFormat="1" x14ac:dyDescent="0.25"/>
    <row r="34773" s="12" customFormat="1" x14ac:dyDescent="0.25"/>
    <row r="34774" s="12" customFormat="1" x14ac:dyDescent="0.25"/>
    <row r="34775" s="12" customFormat="1" x14ac:dyDescent="0.25"/>
    <row r="34776" s="12" customFormat="1" x14ac:dyDescent="0.25"/>
    <row r="34777" s="12" customFormat="1" x14ac:dyDescent="0.25"/>
    <row r="34778" s="12" customFormat="1" x14ac:dyDescent="0.25"/>
    <row r="34779" s="12" customFormat="1" x14ac:dyDescent="0.25"/>
    <row r="34780" s="12" customFormat="1" x14ac:dyDescent="0.25"/>
    <row r="34781" s="12" customFormat="1" x14ac:dyDescent="0.25"/>
    <row r="34782" s="12" customFormat="1" x14ac:dyDescent="0.25"/>
    <row r="34783" s="12" customFormat="1" x14ac:dyDescent="0.25"/>
    <row r="34784" s="12" customFormat="1" x14ac:dyDescent="0.25"/>
    <row r="34785" s="12" customFormat="1" x14ac:dyDescent="0.25"/>
    <row r="34786" s="12" customFormat="1" x14ac:dyDescent="0.25"/>
    <row r="34787" s="12" customFormat="1" x14ac:dyDescent="0.25"/>
    <row r="34788" s="12" customFormat="1" x14ac:dyDescent="0.25"/>
    <row r="34789" s="12" customFormat="1" x14ac:dyDescent="0.25"/>
    <row r="34790" s="12" customFormat="1" x14ac:dyDescent="0.25"/>
    <row r="34791" s="12" customFormat="1" x14ac:dyDescent="0.25"/>
    <row r="34792" s="12" customFormat="1" x14ac:dyDescent="0.25"/>
    <row r="34793" s="12" customFormat="1" x14ac:dyDescent="0.25"/>
    <row r="34794" s="12" customFormat="1" x14ac:dyDescent="0.25"/>
    <row r="34795" s="12" customFormat="1" x14ac:dyDescent="0.25"/>
    <row r="34796" s="12" customFormat="1" x14ac:dyDescent="0.25"/>
    <row r="34797" s="12" customFormat="1" x14ac:dyDescent="0.25"/>
    <row r="34798" s="12" customFormat="1" x14ac:dyDescent="0.25"/>
    <row r="34799" s="12" customFormat="1" x14ac:dyDescent="0.25"/>
    <row r="34800" s="12" customFormat="1" x14ac:dyDescent="0.25"/>
    <row r="34801" s="12" customFormat="1" x14ac:dyDescent="0.25"/>
    <row r="34802" s="12" customFormat="1" x14ac:dyDescent="0.25"/>
    <row r="34803" s="12" customFormat="1" x14ac:dyDescent="0.25"/>
    <row r="34804" s="12" customFormat="1" x14ac:dyDescent="0.25"/>
    <row r="34805" s="12" customFormat="1" x14ac:dyDescent="0.25"/>
    <row r="34806" s="12" customFormat="1" x14ac:dyDescent="0.25"/>
    <row r="34807" s="12" customFormat="1" x14ac:dyDescent="0.25"/>
    <row r="34808" s="12" customFormat="1" x14ac:dyDescent="0.25"/>
    <row r="34809" s="12" customFormat="1" x14ac:dyDescent="0.25"/>
    <row r="34810" s="12" customFormat="1" x14ac:dyDescent="0.25"/>
    <row r="34811" s="12" customFormat="1" x14ac:dyDescent="0.25"/>
    <row r="34812" s="12" customFormat="1" x14ac:dyDescent="0.25"/>
    <row r="34813" s="12" customFormat="1" x14ac:dyDescent="0.25"/>
    <row r="34814" s="12" customFormat="1" x14ac:dyDescent="0.25"/>
    <row r="34815" s="12" customFormat="1" x14ac:dyDescent="0.25"/>
    <row r="34816" s="12" customFormat="1" x14ac:dyDescent="0.25"/>
    <row r="34817" s="12" customFormat="1" x14ac:dyDescent="0.25"/>
    <row r="34818" s="12" customFormat="1" x14ac:dyDescent="0.25"/>
    <row r="34819" s="12" customFormat="1" x14ac:dyDescent="0.25"/>
    <row r="34820" s="12" customFormat="1" x14ac:dyDescent="0.25"/>
    <row r="34821" s="12" customFormat="1" x14ac:dyDescent="0.25"/>
    <row r="34822" s="12" customFormat="1" x14ac:dyDescent="0.25"/>
    <row r="34823" s="12" customFormat="1" x14ac:dyDescent="0.25"/>
    <row r="34824" s="12" customFormat="1" x14ac:dyDescent="0.25"/>
    <row r="34825" s="12" customFormat="1" x14ac:dyDescent="0.25"/>
    <row r="34826" s="12" customFormat="1" x14ac:dyDescent="0.25"/>
    <row r="34827" s="12" customFormat="1" x14ac:dyDescent="0.25"/>
    <row r="34828" s="12" customFormat="1" x14ac:dyDescent="0.25"/>
    <row r="34829" s="12" customFormat="1" x14ac:dyDescent="0.25"/>
    <row r="34830" s="12" customFormat="1" x14ac:dyDescent="0.25"/>
    <row r="34831" s="12" customFormat="1" x14ac:dyDescent="0.25"/>
    <row r="34832" s="12" customFormat="1" x14ac:dyDescent="0.25"/>
    <row r="34833" s="12" customFormat="1" x14ac:dyDescent="0.25"/>
    <row r="34834" s="12" customFormat="1" x14ac:dyDescent="0.25"/>
    <row r="34835" s="12" customFormat="1" x14ac:dyDescent="0.25"/>
    <row r="34836" s="12" customFormat="1" x14ac:dyDescent="0.25"/>
    <row r="34837" s="12" customFormat="1" x14ac:dyDescent="0.25"/>
    <row r="34838" s="12" customFormat="1" x14ac:dyDescent="0.25"/>
    <row r="34839" s="12" customFormat="1" x14ac:dyDescent="0.25"/>
    <row r="34840" s="12" customFormat="1" x14ac:dyDescent="0.25"/>
    <row r="34841" s="12" customFormat="1" x14ac:dyDescent="0.25"/>
    <row r="34842" s="12" customFormat="1" x14ac:dyDescent="0.25"/>
    <row r="34843" s="12" customFormat="1" x14ac:dyDescent="0.25"/>
    <row r="34844" s="12" customFormat="1" x14ac:dyDescent="0.25"/>
    <row r="34845" s="12" customFormat="1" x14ac:dyDescent="0.25"/>
    <row r="34846" s="12" customFormat="1" x14ac:dyDescent="0.25"/>
    <row r="34847" s="12" customFormat="1" x14ac:dyDescent="0.25"/>
    <row r="34848" s="12" customFormat="1" x14ac:dyDescent="0.25"/>
    <row r="34849" s="12" customFormat="1" x14ac:dyDescent="0.25"/>
    <row r="34850" s="12" customFormat="1" x14ac:dyDescent="0.25"/>
    <row r="34851" s="12" customFormat="1" x14ac:dyDescent="0.25"/>
    <row r="34852" s="12" customFormat="1" x14ac:dyDescent="0.25"/>
    <row r="34853" s="12" customFormat="1" x14ac:dyDescent="0.25"/>
    <row r="34854" s="12" customFormat="1" x14ac:dyDescent="0.25"/>
    <row r="34855" s="12" customFormat="1" x14ac:dyDescent="0.25"/>
    <row r="34856" s="12" customFormat="1" x14ac:dyDescent="0.25"/>
    <row r="34857" s="12" customFormat="1" x14ac:dyDescent="0.25"/>
    <row r="34858" s="12" customFormat="1" x14ac:dyDescent="0.25"/>
    <row r="34859" s="12" customFormat="1" x14ac:dyDescent="0.25"/>
    <row r="34860" s="12" customFormat="1" x14ac:dyDescent="0.25"/>
    <row r="34861" s="12" customFormat="1" x14ac:dyDescent="0.25"/>
    <row r="34862" s="12" customFormat="1" x14ac:dyDescent="0.25"/>
    <row r="34863" s="12" customFormat="1" x14ac:dyDescent="0.25"/>
    <row r="34864" s="12" customFormat="1" x14ac:dyDescent="0.25"/>
    <row r="34865" s="12" customFormat="1" x14ac:dyDescent="0.25"/>
    <row r="34866" s="12" customFormat="1" x14ac:dyDescent="0.25"/>
    <row r="34867" s="12" customFormat="1" x14ac:dyDescent="0.25"/>
    <row r="34868" s="12" customFormat="1" x14ac:dyDescent="0.25"/>
    <row r="34869" s="12" customFormat="1" x14ac:dyDescent="0.25"/>
    <row r="34870" s="12" customFormat="1" x14ac:dyDescent="0.25"/>
    <row r="34871" s="12" customFormat="1" x14ac:dyDescent="0.25"/>
    <row r="34872" s="12" customFormat="1" x14ac:dyDescent="0.25"/>
    <row r="34873" s="12" customFormat="1" x14ac:dyDescent="0.25"/>
    <row r="34874" s="12" customFormat="1" x14ac:dyDescent="0.25"/>
    <row r="34875" s="12" customFormat="1" x14ac:dyDescent="0.25"/>
    <row r="34876" s="12" customFormat="1" x14ac:dyDescent="0.25"/>
    <row r="34877" s="12" customFormat="1" x14ac:dyDescent="0.25"/>
    <row r="34878" s="12" customFormat="1" x14ac:dyDescent="0.25"/>
    <row r="34879" s="12" customFormat="1" x14ac:dyDescent="0.25"/>
    <row r="34880" s="12" customFormat="1" x14ac:dyDescent="0.25"/>
    <row r="34881" s="12" customFormat="1" x14ac:dyDescent="0.25"/>
    <row r="34882" s="12" customFormat="1" x14ac:dyDescent="0.25"/>
    <row r="34883" s="12" customFormat="1" x14ac:dyDescent="0.25"/>
    <row r="34884" s="12" customFormat="1" x14ac:dyDescent="0.25"/>
    <row r="34885" s="12" customFormat="1" x14ac:dyDescent="0.25"/>
    <row r="34886" s="12" customFormat="1" x14ac:dyDescent="0.25"/>
    <row r="34887" s="12" customFormat="1" x14ac:dyDescent="0.25"/>
    <row r="34888" s="12" customFormat="1" x14ac:dyDescent="0.25"/>
    <row r="34889" s="12" customFormat="1" x14ac:dyDescent="0.25"/>
    <row r="34890" s="12" customFormat="1" x14ac:dyDescent="0.25"/>
    <row r="34891" s="12" customFormat="1" x14ac:dyDescent="0.25"/>
    <row r="34892" s="12" customFormat="1" x14ac:dyDescent="0.25"/>
    <row r="34893" s="12" customFormat="1" x14ac:dyDescent="0.25"/>
    <row r="34894" s="12" customFormat="1" x14ac:dyDescent="0.25"/>
    <row r="34895" s="12" customFormat="1" x14ac:dyDescent="0.25"/>
    <row r="34896" s="12" customFormat="1" x14ac:dyDescent="0.25"/>
    <row r="34897" s="12" customFormat="1" x14ac:dyDescent="0.25"/>
    <row r="34898" s="12" customFormat="1" x14ac:dyDescent="0.25"/>
    <row r="34899" s="12" customFormat="1" x14ac:dyDescent="0.25"/>
    <row r="34900" s="12" customFormat="1" x14ac:dyDescent="0.25"/>
    <row r="34901" s="12" customFormat="1" x14ac:dyDescent="0.25"/>
    <row r="34902" s="12" customFormat="1" x14ac:dyDescent="0.25"/>
    <row r="34903" s="12" customFormat="1" x14ac:dyDescent="0.25"/>
    <row r="34904" s="12" customFormat="1" x14ac:dyDescent="0.25"/>
    <row r="34905" s="12" customFormat="1" x14ac:dyDescent="0.25"/>
    <row r="34906" s="12" customFormat="1" x14ac:dyDescent="0.25"/>
    <row r="34907" s="12" customFormat="1" x14ac:dyDescent="0.25"/>
    <row r="34908" s="12" customFormat="1" x14ac:dyDescent="0.25"/>
    <row r="34909" s="12" customFormat="1" x14ac:dyDescent="0.25"/>
    <row r="34910" s="12" customFormat="1" x14ac:dyDescent="0.25"/>
    <row r="34911" s="12" customFormat="1" x14ac:dyDescent="0.25"/>
    <row r="34912" s="12" customFormat="1" x14ac:dyDescent="0.25"/>
    <row r="34913" s="12" customFormat="1" x14ac:dyDescent="0.25"/>
    <row r="34914" s="12" customFormat="1" x14ac:dyDescent="0.25"/>
    <row r="34915" s="12" customFormat="1" x14ac:dyDescent="0.25"/>
    <row r="34916" s="12" customFormat="1" x14ac:dyDescent="0.25"/>
    <row r="34917" s="12" customFormat="1" x14ac:dyDescent="0.25"/>
    <row r="34918" s="12" customFormat="1" x14ac:dyDescent="0.25"/>
    <row r="34919" s="12" customFormat="1" x14ac:dyDescent="0.25"/>
    <row r="34920" s="12" customFormat="1" x14ac:dyDescent="0.25"/>
    <row r="34921" s="12" customFormat="1" x14ac:dyDescent="0.25"/>
    <row r="34922" s="12" customFormat="1" x14ac:dyDescent="0.25"/>
    <row r="34923" s="12" customFormat="1" x14ac:dyDescent="0.25"/>
    <row r="34924" s="12" customFormat="1" x14ac:dyDescent="0.25"/>
    <row r="34925" s="12" customFormat="1" x14ac:dyDescent="0.25"/>
    <row r="34926" s="12" customFormat="1" x14ac:dyDescent="0.25"/>
    <row r="34927" s="12" customFormat="1" x14ac:dyDescent="0.25"/>
    <row r="34928" s="12" customFormat="1" x14ac:dyDescent="0.25"/>
    <row r="34929" s="12" customFormat="1" x14ac:dyDescent="0.25"/>
    <row r="34930" s="12" customFormat="1" x14ac:dyDescent="0.25"/>
    <row r="34931" s="12" customFormat="1" x14ac:dyDescent="0.25"/>
    <row r="34932" s="12" customFormat="1" x14ac:dyDescent="0.25"/>
    <row r="34933" s="12" customFormat="1" x14ac:dyDescent="0.25"/>
    <row r="34934" s="12" customFormat="1" x14ac:dyDescent="0.25"/>
    <row r="34935" s="12" customFormat="1" x14ac:dyDescent="0.25"/>
    <row r="34936" s="12" customFormat="1" x14ac:dyDescent="0.25"/>
    <row r="34937" s="12" customFormat="1" x14ac:dyDescent="0.25"/>
    <row r="34938" s="12" customFormat="1" x14ac:dyDescent="0.25"/>
    <row r="34939" s="12" customFormat="1" x14ac:dyDescent="0.25"/>
    <row r="34940" s="12" customFormat="1" x14ac:dyDescent="0.25"/>
    <row r="34941" s="12" customFormat="1" x14ac:dyDescent="0.25"/>
    <row r="34942" s="12" customFormat="1" x14ac:dyDescent="0.25"/>
    <row r="34943" s="12" customFormat="1" x14ac:dyDescent="0.25"/>
    <row r="34944" s="12" customFormat="1" x14ac:dyDescent="0.25"/>
    <row r="34945" s="12" customFormat="1" x14ac:dyDescent="0.25"/>
    <row r="34946" s="12" customFormat="1" x14ac:dyDescent="0.25"/>
    <row r="34947" s="12" customFormat="1" x14ac:dyDescent="0.25"/>
    <row r="34948" s="12" customFormat="1" x14ac:dyDescent="0.25"/>
    <row r="34949" s="12" customFormat="1" x14ac:dyDescent="0.25"/>
    <row r="34950" s="12" customFormat="1" x14ac:dyDescent="0.25"/>
    <row r="34951" s="12" customFormat="1" x14ac:dyDescent="0.25"/>
    <row r="34952" s="12" customFormat="1" x14ac:dyDescent="0.25"/>
    <row r="34953" s="12" customFormat="1" x14ac:dyDescent="0.25"/>
    <row r="34954" s="12" customFormat="1" x14ac:dyDescent="0.25"/>
    <row r="34955" s="12" customFormat="1" x14ac:dyDescent="0.25"/>
    <row r="34956" s="12" customFormat="1" x14ac:dyDescent="0.25"/>
    <row r="34957" s="12" customFormat="1" x14ac:dyDescent="0.25"/>
    <row r="34958" s="12" customFormat="1" x14ac:dyDescent="0.25"/>
    <row r="34959" s="12" customFormat="1" x14ac:dyDescent="0.25"/>
    <row r="34960" s="12" customFormat="1" x14ac:dyDescent="0.25"/>
    <row r="34961" s="12" customFormat="1" x14ac:dyDescent="0.25"/>
    <row r="34962" s="12" customFormat="1" x14ac:dyDescent="0.25"/>
    <row r="34963" s="12" customFormat="1" x14ac:dyDescent="0.25"/>
    <row r="34964" s="12" customFormat="1" x14ac:dyDescent="0.25"/>
    <row r="34965" s="12" customFormat="1" x14ac:dyDescent="0.25"/>
    <row r="34966" s="12" customFormat="1" x14ac:dyDescent="0.25"/>
    <row r="34967" s="12" customFormat="1" x14ac:dyDescent="0.25"/>
    <row r="34968" s="12" customFormat="1" x14ac:dyDescent="0.25"/>
    <row r="34969" s="12" customFormat="1" x14ac:dyDescent="0.25"/>
    <row r="34970" s="12" customFormat="1" x14ac:dyDescent="0.25"/>
    <row r="34971" s="12" customFormat="1" x14ac:dyDescent="0.25"/>
    <row r="34972" s="12" customFormat="1" x14ac:dyDescent="0.25"/>
    <row r="34973" s="12" customFormat="1" x14ac:dyDescent="0.25"/>
    <row r="34974" s="12" customFormat="1" x14ac:dyDescent="0.25"/>
    <row r="34975" s="12" customFormat="1" x14ac:dyDescent="0.25"/>
    <row r="34976" s="12" customFormat="1" x14ac:dyDescent="0.25"/>
    <row r="34977" s="12" customFormat="1" x14ac:dyDescent="0.25"/>
    <row r="34978" s="12" customFormat="1" x14ac:dyDescent="0.25"/>
    <row r="34979" s="12" customFormat="1" x14ac:dyDescent="0.25"/>
    <row r="34980" s="12" customFormat="1" x14ac:dyDescent="0.25"/>
    <row r="34981" s="12" customFormat="1" x14ac:dyDescent="0.25"/>
    <row r="34982" s="12" customFormat="1" x14ac:dyDescent="0.25"/>
    <row r="34983" s="12" customFormat="1" x14ac:dyDescent="0.25"/>
    <row r="34984" s="12" customFormat="1" x14ac:dyDescent="0.25"/>
    <row r="34985" s="12" customFormat="1" x14ac:dyDescent="0.25"/>
    <row r="34986" s="12" customFormat="1" x14ac:dyDescent="0.25"/>
    <row r="34987" s="12" customFormat="1" x14ac:dyDescent="0.25"/>
    <row r="34988" s="12" customFormat="1" x14ac:dyDescent="0.25"/>
    <row r="34989" s="12" customFormat="1" x14ac:dyDescent="0.25"/>
    <row r="34990" s="12" customFormat="1" x14ac:dyDescent="0.25"/>
    <row r="34991" s="12" customFormat="1" x14ac:dyDescent="0.25"/>
    <row r="34992" s="12" customFormat="1" x14ac:dyDescent="0.25"/>
    <row r="34993" s="12" customFormat="1" x14ac:dyDescent="0.25"/>
    <row r="34994" s="12" customFormat="1" x14ac:dyDescent="0.25"/>
    <row r="34995" s="12" customFormat="1" x14ac:dyDescent="0.25"/>
    <row r="34996" s="12" customFormat="1" x14ac:dyDescent="0.25"/>
    <row r="34997" s="12" customFormat="1" x14ac:dyDescent="0.25"/>
    <row r="34998" s="12" customFormat="1" x14ac:dyDescent="0.25"/>
    <row r="34999" s="12" customFormat="1" x14ac:dyDescent="0.25"/>
    <row r="35000" s="12" customFormat="1" x14ac:dyDescent="0.25"/>
    <row r="35001" s="12" customFormat="1" x14ac:dyDescent="0.25"/>
    <row r="35002" s="12" customFormat="1" x14ac:dyDescent="0.25"/>
    <row r="35003" s="12" customFormat="1" x14ac:dyDescent="0.25"/>
    <row r="35004" s="12" customFormat="1" x14ac:dyDescent="0.25"/>
    <row r="35005" s="12" customFormat="1" x14ac:dyDescent="0.25"/>
    <row r="35006" s="12" customFormat="1" x14ac:dyDescent="0.25"/>
    <row r="35007" s="12" customFormat="1" x14ac:dyDescent="0.25"/>
    <row r="35008" s="12" customFormat="1" x14ac:dyDescent="0.25"/>
    <row r="35009" s="12" customFormat="1" x14ac:dyDescent="0.25"/>
    <row r="35010" s="12" customFormat="1" x14ac:dyDescent="0.25"/>
    <row r="35011" s="12" customFormat="1" x14ac:dyDescent="0.25"/>
    <row r="35012" s="12" customFormat="1" x14ac:dyDescent="0.25"/>
    <row r="35013" s="12" customFormat="1" x14ac:dyDescent="0.25"/>
    <row r="35014" s="12" customFormat="1" x14ac:dyDescent="0.25"/>
    <row r="35015" s="12" customFormat="1" x14ac:dyDescent="0.25"/>
    <row r="35016" s="12" customFormat="1" x14ac:dyDescent="0.25"/>
    <row r="35017" s="12" customFormat="1" x14ac:dyDescent="0.25"/>
    <row r="35018" s="12" customFormat="1" x14ac:dyDescent="0.25"/>
    <row r="35019" s="12" customFormat="1" x14ac:dyDescent="0.25"/>
    <row r="35020" s="12" customFormat="1" x14ac:dyDescent="0.25"/>
    <row r="35021" s="12" customFormat="1" x14ac:dyDescent="0.25"/>
    <row r="35022" s="12" customFormat="1" x14ac:dyDescent="0.25"/>
    <row r="35023" s="12" customFormat="1" x14ac:dyDescent="0.25"/>
    <row r="35024" s="12" customFormat="1" x14ac:dyDescent="0.25"/>
    <row r="35025" s="12" customFormat="1" x14ac:dyDescent="0.25"/>
    <row r="35026" s="12" customFormat="1" x14ac:dyDescent="0.25"/>
    <row r="35027" s="12" customFormat="1" x14ac:dyDescent="0.25"/>
    <row r="35028" s="12" customFormat="1" x14ac:dyDescent="0.25"/>
    <row r="35029" s="12" customFormat="1" x14ac:dyDescent="0.25"/>
    <row r="35030" s="12" customFormat="1" x14ac:dyDescent="0.25"/>
    <row r="35031" s="12" customFormat="1" x14ac:dyDescent="0.25"/>
    <row r="35032" s="12" customFormat="1" x14ac:dyDescent="0.25"/>
    <row r="35033" s="12" customFormat="1" x14ac:dyDescent="0.25"/>
    <row r="35034" s="12" customFormat="1" x14ac:dyDescent="0.25"/>
    <row r="35035" s="12" customFormat="1" x14ac:dyDescent="0.25"/>
    <row r="35036" s="12" customFormat="1" x14ac:dyDescent="0.25"/>
    <row r="35037" s="12" customFormat="1" x14ac:dyDescent="0.25"/>
    <row r="35038" s="12" customFormat="1" x14ac:dyDescent="0.25"/>
    <row r="35039" s="12" customFormat="1" x14ac:dyDescent="0.25"/>
    <row r="35040" s="12" customFormat="1" x14ac:dyDescent="0.25"/>
    <row r="35041" s="12" customFormat="1" x14ac:dyDescent="0.25"/>
    <row r="35042" s="12" customFormat="1" x14ac:dyDescent="0.25"/>
    <row r="35043" s="12" customFormat="1" x14ac:dyDescent="0.25"/>
    <row r="35044" s="12" customFormat="1" x14ac:dyDescent="0.25"/>
    <row r="35045" s="12" customFormat="1" x14ac:dyDescent="0.25"/>
    <row r="35046" s="12" customFormat="1" x14ac:dyDescent="0.25"/>
    <row r="35047" s="12" customFormat="1" x14ac:dyDescent="0.25"/>
    <row r="35048" s="12" customFormat="1" x14ac:dyDescent="0.25"/>
    <row r="35049" s="12" customFormat="1" x14ac:dyDescent="0.25"/>
    <row r="35050" s="12" customFormat="1" x14ac:dyDescent="0.25"/>
    <row r="35051" s="12" customFormat="1" x14ac:dyDescent="0.25"/>
    <row r="35052" s="12" customFormat="1" x14ac:dyDescent="0.25"/>
    <row r="35053" s="12" customFormat="1" x14ac:dyDescent="0.25"/>
    <row r="35054" s="12" customFormat="1" x14ac:dyDescent="0.25"/>
    <row r="35055" s="12" customFormat="1" x14ac:dyDescent="0.25"/>
    <row r="35056" s="12" customFormat="1" x14ac:dyDescent="0.25"/>
    <row r="35057" s="12" customFormat="1" x14ac:dyDescent="0.25"/>
    <row r="35058" s="12" customFormat="1" x14ac:dyDescent="0.25"/>
    <row r="35059" s="12" customFormat="1" x14ac:dyDescent="0.25"/>
    <row r="35060" s="12" customFormat="1" x14ac:dyDescent="0.25"/>
    <row r="35061" s="12" customFormat="1" x14ac:dyDescent="0.25"/>
    <row r="35062" s="12" customFormat="1" x14ac:dyDescent="0.25"/>
    <row r="35063" s="12" customFormat="1" x14ac:dyDescent="0.25"/>
    <row r="35064" s="12" customFormat="1" x14ac:dyDescent="0.25"/>
    <row r="35065" s="12" customFormat="1" x14ac:dyDescent="0.25"/>
    <row r="35066" s="12" customFormat="1" x14ac:dyDescent="0.25"/>
    <row r="35067" s="12" customFormat="1" x14ac:dyDescent="0.25"/>
    <row r="35068" s="12" customFormat="1" x14ac:dyDescent="0.25"/>
    <row r="35069" s="12" customFormat="1" x14ac:dyDescent="0.25"/>
    <row r="35070" s="12" customFormat="1" x14ac:dyDescent="0.25"/>
    <row r="35071" s="12" customFormat="1" x14ac:dyDescent="0.25"/>
    <row r="35072" s="12" customFormat="1" x14ac:dyDescent="0.25"/>
    <row r="35073" s="12" customFormat="1" x14ac:dyDescent="0.25"/>
    <row r="35074" s="12" customFormat="1" x14ac:dyDescent="0.25"/>
    <row r="35075" s="12" customFormat="1" x14ac:dyDescent="0.25"/>
    <row r="35076" s="12" customFormat="1" x14ac:dyDescent="0.25"/>
    <row r="35077" s="12" customFormat="1" x14ac:dyDescent="0.25"/>
    <row r="35078" s="12" customFormat="1" x14ac:dyDescent="0.25"/>
    <row r="35079" s="12" customFormat="1" x14ac:dyDescent="0.25"/>
    <row r="35080" s="12" customFormat="1" x14ac:dyDescent="0.25"/>
    <row r="35081" s="12" customFormat="1" x14ac:dyDescent="0.25"/>
    <row r="35082" s="12" customFormat="1" x14ac:dyDescent="0.25"/>
    <row r="35083" s="12" customFormat="1" x14ac:dyDescent="0.25"/>
    <row r="35084" s="12" customFormat="1" x14ac:dyDescent="0.25"/>
    <row r="35085" s="12" customFormat="1" x14ac:dyDescent="0.25"/>
    <row r="35086" s="12" customFormat="1" x14ac:dyDescent="0.25"/>
    <row r="35087" s="12" customFormat="1" x14ac:dyDescent="0.25"/>
    <row r="35088" s="12" customFormat="1" x14ac:dyDescent="0.25"/>
    <row r="35089" s="12" customFormat="1" x14ac:dyDescent="0.25"/>
    <row r="35090" s="12" customFormat="1" x14ac:dyDescent="0.25"/>
    <row r="35091" s="12" customFormat="1" x14ac:dyDescent="0.25"/>
    <row r="35092" s="12" customFormat="1" x14ac:dyDescent="0.25"/>
    <row r="35093" s="12" customFormat="1" x14ac:dyDescent="0.25"/>
    <row r="35094" s="12" customFormat="1" x14ac:dyDescent="0.25"/>
    <row r="35095" s="12" customFormat="1" x14ac:dyDescent="0.25"/>
    <row r="35096" s="12" customFormat="1" x14ac:dyDescent="0.25"/>
    <row r="35097" s="12" customFormat="1" x14ac:dyDescent="0.25"/>
    <row r="35098" s="12" customFormat="1" x14ac:dyDescent="0.25"/>
    <row r="35099" s="12" customFormat="1" x14ac:dyDescent="0.25"/>
    <row r="35100" s="12" customFormat="1" x14ac:dyDescent="0.25"/>
    <row r="35101" s="12" customFormat="1" x14ac:dyDescent="0.25"/>
    <row r="35102" s="12" customFormat="1" x14ac:dyDescent="0.25"/>
    <row r="35103" s="12" customFormat="1" x14ac:dyDescent="0.25"/>
    <row r="35104" s="12" customFormat="1" x14ac:dyDescent="0.25"/>
    <row r="35105" s="12" customFormat="1" x14ac:dyDescent="0.25"/>
    <row r="35106" s="12" customFormat="1" x14ac:dyDescent="0.25"/>
    <row r="35107" s="12" customFormat="1" x14ac:dyDescent="0.25"/>
    <row r="35108" s="12" customFormat="1" x14ac:dyDescent="0.25"/>
    <row r="35109" s="12" customFormat="1" x14ac:dyDescent="0.25"/>
    <row r="35110" s="12" customFormat="1" x14ac:dyDescent="0.25"/>
    <row r="35111" s="12" customFormat="1" x14ac:dyDescent="0.25"/>
    <row r="35112" s="12" customFormat="1" x14ac:dyDescent="0.25"/>
    <row r="35113" s="12" customFormat="1" x14ac:dyDescent="0.25"/>
    <row r="35114" s="12" customFormat="1" x14ac:dyDescent="0.25"/>
    <row r="35115" s="12" customFormat="1" x14ac:dyDescent="0.25"/>
    <row r="35116" s="12" customFormat="1" x14ac:dyDescent="0.25"/>
    <row r="35117" s="12" customFormat="1" x14ac:dyDescent="0.25"/>
    <row r="35118" s="12" customFormat="1" x14ac:dyDescent="0.25"/>
    <row r="35119" s="12" customFormat="1" x14ac:dyDescent="0.25"/>
    <row r="35120" s="12" customFormat="1" x14ac:dyDescent="0.25"/>
    <row r="35121" s="12" customFormat="1" x14ac:dyDescent="0.25"/>
    <row r="35122" s="12" customFormat="1" x14ac:dyDescent="0.25"/>
    <row r="35123" s="12" customFormat="1" x14ac:dyDescent="0.25"/>
    <row r="35124" s="12" customFormat="1" x14ac:dyDescent="0.25"/>
    <row r="35125" s="12" customFormat="1" x14ac:dyDescent="0.25"/>
    <row r="35126" s="12" customFormat="1" x14ac:dyDescent="0.25"/>
    <row r="35127" s="12" customFormat="1" x14ac:dyDescent="0.25"/>
    <row r="35128" s="12" customFormat="1" x14ac:dyDescent="0.25"/>
    <row r="35129" s="12" customFormat="1" x14ac:dyDescent="0.25"/>
    <row r="35130" s="12" customFormat="1" x14ac:dyDescent="0.25"/>
    <row r="35131" s="12" customFormat="1" x14ac:dyDescent="0.25"/>
    <row r="35132" s="12" customFormat="1" x14ac:dyDescent="0.25"/>
    <row r="35133" s="12" customFormat="1" x14ac:dyDescent="0.25"/>
    <row r="35134" s="12" customFormat="1" x14ac:dyDescent="0.25"/>
    <row r="35135" s="12" customFormat="1" x14ac:dyDescent="0.25"/>
    <row r="35136" s="12" customFormat="1" x14ac:dyDescent="0.25"/>
    <row r="35137" s="12" customFormat="1" x14ac:dyDescent="0.25"/>
    <row r="35138" s="12" customFormat="1" x14ac:dyDescent="0.25"/>
    <row r="35139" s="12" customFormat="1" x14ac:dyDescent="0.25"/>
    <row r="35140" s="12" customFormat="1" x14ac:dyDescent="0.25"/>
    <row r="35141" s="12" customFormat="1" x14ac:dyDescent="0.25"/>
    <row r="35142" s="12" customFormat="1" x14ac:dyDescent="0.25"/>
    <row r="35143" s="12" customFormat="1" x14ac:dyDescent="0.25"/>
    <row r="35144" s="12" customFormat="1" x14ac:dyDescent="0.25"/>
    <row r="35145" s="12" customFormat="1" x14ac:dyDescent="0.25"/>
    <row r="35146" s="12" customFormat="1" x14ac:dyDescent="0.25"/>
    <row r="35147" s="12" customFormat="1" x14ac:dyDescent="0.25"/>
    <row r="35148" s="12" customFormat="1" x14ac:dyDescent="0.25"/>
    <row r="35149" s="12" customFormat="1" x14ac:dyDescent="0.25"/>
    <row r="35150" s="12" customFormat="1" x14ac:dyDescent="0.25"/>
    <row r="35151" s="12" customFormat="1" x14ac:dyDescent="0.25"/>
    <row r="35152" s="12" customFormat="1" x14ac:dyDescent="0.25"/>
    <row r="35153" s="12" customFormat="1" x14ac:dyDescent="0.25"/>
    <row r="35154" s="12" customFormat="1" x14ac:dyDescent="0.25"/>
    <row r="35155" s="12" customFormat="1" x14ac:dyDescent="0.25"/>
    <row r="35156" s="12" customFormat="1" x14ac:dyDescent="0.25"/>
    <row r="35157" s="12" customFormat="1" x14ac:dyDescent="0.25"/>
    <row r="35158" s="12" customFormat="1" x14ac:dyDescent="0.25"/>
    <row r="35159" s="12" customFormat="1" x14ac:dyDescent="0.25"/>
    <row r="35160" s="12" customFormat="1" x14ac:dyDescent="0.25"/>
    <row r="35161" s="12" customFormat="1" x14ac:dyDescent="0.25"/>
    <row r="35162" s="12" customFormat="1" x14ac:dyDescent="0.25"/>
    <row r="35163" s="12" customFormat="1" x14ac:dyDescent="0.25"/>
    <row r="35164" s="12" customFormat="1" x14ac:dyDescent="0.25"/>
    <row r="35165" s="12" customFormat="1" x14ac:dyDescent="0.25"/>
    <row r="35166" s="12" customFormat="1" x14ac:dyDescent="0.25"/>
    <row r="35167" s="12" customFormat="1" x14ac:dyDescent="0.25"/>
    <row r="35168" s="12" customFormat="1" x14ac:dyDescent="0.25"/>
    <row r="35169" s="12" customFormat="1" x14ac:dyDescent="0.25"/>
    <row r="35170" s="12" customFormat="1" x14ac:dyDescent="0.25"/>
    <row r="35171" s="12" customFormat="1" x14ac:dyDescent="0.25"/>
    <row r="35172" s="12" customFormat="1" x14ac:dyDescent="0.25"/>
    <row r="35173" s="12" customFormat="1" x14ac:dyDescent="0.25"/>
    <row r="35174" s="12" customFormat="1" x14ac:dyDescent="0.25"/>
    <row r="35175" s="12" customFormat="1" x14ac:dyDescent="0.25"/>
    <row r="35176" s="12" customFormat="1" x14ac:dyDescent="0.25"/>
    <row r="35177" s="12" customFormat="1" x14ac:dyDescent="0.25"/>
    <row r="35178" s="12" customFormat="1" x14ac:dyDescent="0.25"/>
    <row r="35179" s="12" customFormat="1" x14ac:dyDescent="0.25"/>
    <row r="35180" s="12" customFormat="1" x14ac:dyDescent="0.25"/>
    <row r="35181" s="12" customFormat="1" x14ac:dyDescent="0.25"/>
    <row r="35182" s="12" customFormat="1" x14ac:dyDescent="0.25"/>
    <row r="35183" s="12" customFormat="1" x14ac:dyDescent="0.25"/>
    <row r="35184" s="12" customFormat="1" x14ac:dyDescent="0.25"/>
    <row r="35185" s="12" customFormat="1" x14ac:dyDescent="0.25"/>
    <row r="35186" s="12" customFormat="1" x14ac:dyDescent="0.25"/>
    <row r="35187" s="12" customFormat="1" x14ac:dyDescent="0.25"/>
    <row r="35188" s="12" customFormat="1" x14ac:dyDescent="0.25"/>
    <row r="35189" s="12" customFormat="1" x14ac:dyDescent="0.25"/>
    <row r="35190" s="12" customFormat="1" x14ac:dyDescent="0.25"/>
    <row r="35191" s="12" customFormat="1" x14ac:dyDescent="0.25"/>
    <row r="35192" s="12" customFormat="1" x14ac:dyDescent="0.25"/>
    <row r="35193" s="12" customFormat="1" x14ac:dyDescent="0.25"/>
    <row r="35194" s="12" customFormat="1" x14ac:dyDescent="0.25"/>
    <row r="35195" s="12" customFormat="1" x14ac:dyDescent="0.25"/>
    <row r="35196" s="12" customFormat="1" x14ac:dyDescent="0.25"/>
    <row r="35197" s="12" customFormat="1" x14ac:dyDescent="0.25"/>
    <row r="35198" s="12" customFormat="1" x14ac:dyDescent="0.25"/>
    <row r="35199" s="12" customFormat="1" x14ac:dyDescent="0.25"/>
    <row r="35200" s="12" customFormat="1" x14ac:dyDescent="0.25"/>
    <row r="35201" s="12" customFormat="1" x14ac:dyDescent="0.25"/>
    <row r="35202" s="12" customFormat="1" x14ac:dyDescent="0.25"/>
    <row r="35203" s="12" customFormat="1" x14ac:dyDescent="0.25"/>
    <row r="35204" s="12" customFormat="1" x14ac:dyDescent="0.25"/>
    <row r="35205" s="12" customFormat="1" x14ac:dyDescent="0.25"/>
    <row r="35206" s="12" customFormat="1" x14ac:dyDescent="0.25"/>
    <row r="35207" s="12" customFormat="1" x14ac:dyDescent="0.25"/>
    <row r="35208" s="12" customFormat="1" x14ac:dyDescent="0.25"/>
    <row r="35209" s="12" customFormat="1" x14ac:dyDescent="0.25"/>
    <row r="35210" s="12" customFormat="1" x14ac:dyDescent="0.25"/>
    <row r="35211" s="12" customFormat="1" x14ac:dyDescent="0.25"/>
    <row r="35212" s="12" customFormat="1" x14ac:dyDescent="0.25"/>
    <row r="35213" s="12" customFormat="1" x14ac:dyDescent="0.25"/>
    <row r="35214" s="12" customFormat="1" x14ac:dyDescent="0.25"/>
    <row r="35215" s="12" customFormat="1" x14ac:dyDescent="0.25"/>
    <row r="35216" s="12" customFormat="1" x14ac:dyDescent="0.25"/>
    <row r="35217" s="12" customFormat="1" x14ac:dyDescent="0.25"/>
    <row r="35218" s="12" customFormat="1" x14ac:dyDescent="0.25"/>
    <row r="35219" s="12" customFormat="1" x14ac:dyDescent="0.25"/>
    <row r="35220" s="12" customFormat="1" x14ac:dyDescent="0.25"/>
    <row r="35221" s="12" customFormat="1" x14ac:dyDescent="0.25"/>
    <row r="35222" s="12" customFormat="1" x14ac:dyDescent="0.25"/>
    <row r="35223" s="12" customFormat="1" x14ac:dyDescent="0.25"/>
    <row r="35224" s="12" customFormat="1" x14ac:dyDescent="0.25"/>
    <row r="35225" s="12" customFormat="1" x14ac:dyDescent="0.25"/>
    <row r="35226" s="12" customFormat="1" x14ac:dyDescent="0.25"/>
    <row r="35227" s="12" customFormat="1" x14ac:dyDescent="0.25"/>
    <row r="35228" s="12" customFormat="1" x14ac:dyDescent="0.25"/>
    <row r="35229" s="12" customFormat="1" x14ac:dyDescent="0.25"/>
    <row r="35230" s="12" customFormat="1" x14ac:dyDescent="0.25"/>
    <row r="35231" s="12" customFormat="1" x14ac:dyDescent="0.25"/>
    <row r="35232" s="12" customFormat="1" x14ac:dyDescent="0.25"/>
    <row r="35233" s="12" customFormat="1" x14ac:dyDescent="0.25"/>
    <row r="35234" s="12" customFormat="1" x14ac:dyDescent="0.25"/>
    <row r="35235" s="12" customFormat="1" x14ac:dyDescent="0.25"/>
    <row r="35236" s="12" customFormat="1" x14ac:dyDescent="0.25"/>
    <row r="35237" s="12" customFormat="1" x14ac:dyDescent="0.25"/>
    <row r="35238" s="12" customFormat="1" x14ac:dyDescent="0.25"/>
    <row r="35239" s="12" customFormat="1" x14ac:dyDescent="0.25"/>
    <row r="35240" s="12" customFormat="1" x14ac:dyDescent="0.25"/>
    <row r="35241" s="12" customFormat="1" x14ac:dyDescent="0.25"/>
    <row r="35242" s="12" customFormat="1" x14ac:dyDescent="0.25"/>
    <row r="35243" s="12" customFormat="1" x14ac:dyDescent="0.25"/>
    <row r="35244" s="12" customFormat="1" x14ac:dyDescent="0.25"/>
    <row r="35245" s="12" customFormat="1" x14ac:dyDescent="0.25"/>
    <row r="35246" s="12" customFormat="1" x14ac:dyDescent="0.25"/>
    <row r="35247" s="12" customFormat="1" x14ac:dyDescent="0.25"/>
    <row r="35248" s="12" customFormat="1" x14ac:dyDescent="0.25"/>
    <row r="35249" s="12" customFormat="1" x14ac:dyDescent="0.25"/>
    <row r="35250" s="12" customFormat="1" x14ac:dyDescent="0.25"/>
    <row r="35251" s="12" customFormat="1" x14ac:dyDescent="0.25"/>
    <row r="35252" s="12" customFormat="1" x14ac:dyDescent="0.25"/>
    <row r="35253" s="12" customFormat="1" x14ac:dyDescent="0.25"/>
    <row r="35254" s="12" customFormat="1" x14ac:dyDescent="0.25"/>
    <row r="35255" s="12" customFormat="1" x14ac:dyDescent="0.25"/>
    <row r="35256" s="12" customFormat="1" x14ac:dyDescent="0.25"/>
    <row r="35257" s="12" customFormat="1" x14ac:dyDescent="0.25"/>
    <row r="35258" s="12" customFormat="1" x14ac:dyDescent="0.25"/>
    <row r="35259" s="12" customFormat="1" x14ac:dyDescent="0.25"/>
    <row r="35260" s="12" customFormat="1" x14ac:dyDescent="0.25"/>
    <row r="35261" s="12" customFormat="1" x14ac:dyDescent="0.25"/>
    <row r="35262" s="12" customFormat="1" x14ac:dyDescent="0.25"/>
    <row r="35263" s="12" customFormat="1" x14ac:dyDescent="0.25"/>
    <row r="35264" s="12" customFormat="1" x14ac:dyDescent="0.25"/>
    <row r="35265" s="12" customFormat="1" x14ac:dyDescent="0.25"/>
    <row r="35266" s="12" customFormat="1" x14ac:dyDescent="0.25"/>
    <row r="35267" s="12" customFormat="1" x14ac:dyDescent="0.25"/>
    <row r="35268" s="12" customFormat="1" x14ac:dyDescent="0.25"/>
    <row r="35269" s="12" customFormat="1" x14ac:dyDescent="0.25"/>
    <row r="35270" s="12" customFormat="1" x14ac:dyDescent="0.25"/>
    <row r="35271" s="12" customFormat="1" x14ac:dyDescent="0.25"/>
    <row r="35272" s="12" customFormat="1" x14ac:dyDescent="0.25"/>
    <row r="35273" s="12" customFormat="1" x14ac:dyDescent="0.25"/>
    <row r="35274" s="12" customFormat="1" x14ac:dyDescent="0.25"/>
    <row r="35275" s="12" customFormat="1" x14ac:dyDescent="0.25"/>
    <row r="35276" s="12" customFormat="1" x14ac:dyDescent="0.25"/>
    <row r="35277" s="12" customFormat="1" x14ac:dyDescent="0.25"/>
    <row r="35278" s="12" customFormat="1" x14ac:dyDescent="0.25"/>
    <row r="35279" s="12" customFormat="1" x14ac:dyDescent="0.25"/>
    <row r="35280" s="12" customFormat="1" x14ac:dyDescent="0.25"/>
    <row r="35281" s="12" customFormat="1" x14ac:dyDescent="0.25"/>
    <row r="35282" s="12" customFormat="1" x14ac:dyDescent="0.25"/>
    <row r="35283" s="12" customFormat="1" x14ac:dyDescent="0.25"/>
    <row r="35284" s="12" customFormat="1" x14ac:dyDescent="0.25"/>
    <row r="35285" s="12" customFormat="1" x14ac:dyDescent="0.25"/>
    <row r="35286" s="12" customFormat="1" x14ac:dyDescent="0.25"/>
    <row r="35287" s="12" customFormat="1" x14ac:dyDescent="0.25"/>
    <row r="35288" s="12" customFormat="1" x14ac:dyDescent="0.25"/>
    <row r="35289" s="12" customFormat="1" x14ac:dyDescent="0.25"/>
    <row r="35290" s="12" customFormat="1" x14ac:dyDescent="0.25"/>
    <row r="35291" s="12" customFormat="1" x14ac:dyDescent="0.25"/>
    <row r="35292" s="12" customFormat="1" x14ac:dyDescent="0.25"/>
    <row r="35293" s="12" customFormat="1" x14ac:dyDescent="0.25"/>
    <row r="35294" s="12" customFormat="1" x14ac:dyDescent="0.25"/>
    <row r="35295" s="12" customFormat="1" x14ac:dyDescent="0.25"/>
    <row r="35296" s="12" customFormat="1" x14ac:dyDescent="0.25"/>
    <row r="35297" s="12" customFormat="1" x14ac:dyDescent="0.25"/>
    <row r="35298" s="12" customFormat="1" x14ac:dyDescent="0.25"/>
    <row r="35299" s="12" customFormat="1" x14ac:dyDescent="0.25"/>
    <row r="35300" s="12" customFormat="1" x14ac:dyDescent="0.25"/>
    <row r="35301" s="12" customFormat="1" x14ac:dyDescent="0.25"/>
    <row r="35302" s="12" customFormat="1" x14ac:dyDescent="0.25"/>
    <row r="35303" s="12" customFormat="1" x14ac:dyDescent="0.25"/>
    <row r="35304" s="12" customFormat="1" x14ac:dyDescent="0.25"/>
    <row r="35305" s="12" customFormat="1" x14ac:dyDescent="0.25"/>
    <row r="35306" s="12" customFormat="1" x14ac:dyDescent="0.25"/>
    <row r="35307" s="12" customFormat="1" x14ac:dyDescent="0.25"/>
    <row r="35308" s="12" customFormat="1" x14ac:dyDescent="0.25"/>
    <row r="35309" s="12" customFormat="1" x14ac:dyDescent="0.25"/>
    <row r="35310" s="12" customFormat="1" x14ac:dyDescent="0.25"/>
    <row r="35311" s="12" customFormat="1" x14ac:dyDescent="0.25"/>
    <row r="35312" s="12" customFormat="1" x14ac:dyDescent="0.25"/>
    <row r="35313" s="12" customFormat="1" x14ac:dyDescent="0.25"/>
    <row r="35314" s="12" customFormat="1" x14ac:dyDescent="0.25"/>
    <row r="35315" s="12" customFormat="1" x14ac:dyDescent="0.25"/>
    <row r="35316" s="12" customFormat="1" x14ac:dyDescent="0.25"/>
    <row r="35317" s="12" customFormat="1" x14ac:dyDescent="0.25"/>
    <row r="35318" s="12" customFormat="1" x14ac:dyDescent="0.25"/>
    <row r="35319" s="12" customFormat="1" x14ac:dyDescent="0.25"/>
    <row r="35320" s="12" customFormat="1" x14ac:dyDescent="0.25"/>
    <row r="35321" s="12" customFormat="1" x14ac:dyDescent="0.25"/>
    <row r="35322" s="12" customFormat="1" x14ac:dyDescent="0.25"/>
    <row r="35323" s="12" customFormat="1" x14ac:dyDescent="0.25"/>
    <row r="35324" s="12" customFormat="1" x14ac:dyDescent="0.25"/>
    <row r="35325" s="12" customFormat="1" x14ac:dyDescent="0.25"/>
    <row r="35326" s="12" customFormat="1" x14ac:dyDescent="0.25"/>
    <row r="35327" s="12" customFormat="1" x14ac:dyDescent="0.25"/>
    <row r="35328" s="12" customFormat="1" x14ac:dyDescent="0.25"/>
    <row r="35329" s="12" customFormat="1" x14ac:dyDescent="0.25"/>
    <row r="35330" s="12" customFormat="1" x14ac:dyDescent="0.25"/>
    <row r="35331" s="12" customFormat="1" x14ac:dyDescent="0.25"/>
    <row r="35332" s="12" customFormat="1" x14ac:dyDescent="0.25"/>
    <row r="35333" s="12" customFormat="1" x14ac:dyDescent="0.25"/>
    <row r="35334" s="12" customFormat="1" x14ac:dyDescent="0.25"/>
    <row r="35335" s="12" customFormat="1" x14ac:dyDescent="0.25"/>
    <row r="35336" s="12" customFormat="1" x14ac:dyDescent="0.25"/>
    <row r="35337" s="12" customFormat="1" x14ac:dyDescent="0.25"/>
    <row r="35338" s="12" customFormat="1" x14ac:dyDescent="0.25"/>
    <row r="35339" s="12" customFormat="1" x14ac:dyDescent="0.25"/>
    <row r="35340" s="12" customFormat="1" x14ac:dyDescent="0.25"/>
    <row r="35341" s="12" customFormat="1" x14ac:dyDescent="0.25"/>
    <row r="35342" s="12" customFormat="1" x14ac:dyDescent="0.25"/>
    <row r="35343" s="12" customFormat="1" x14ac:dyDescent="0.25"/>
    <row r="35344" s="12" customFormat="1" x14ac:dyDescent="0.25"/>
    <row r="35345" s="12" customFormat="1" x14ac:dyDescent="0.25"/>
    <row r="35346" s="12" customFormat="1" x14ac:dyDescent="0.25"/>
    <row r="35347" s="12" customFormat="1" x14ac:dyDescent="0.25"/>
    <row r="35348" s="12" customFormat="1" x14ac:dyDescent="0.25"/>
    <row r="35349" s="12" customFormat="1" x14ac:dyDescent="0.25"/>
    <row r="35350" s="12" customFormat="1" x14ac:dyDescent="0.25"/>
    <row r="35351" s="12" customFormat="1" x14ac:dyDescent="0.25"/>
    <row r="35352" s="12" customFormat="1" x14ac:dyDescent="0.25"/>
    <row r="35353" s="12" customFormat="1" x14ac:dyDescent="0.25"/>
    <row r="35354" s="12" customFormat="1" x14ac:dyDescent="0.25"/>
    <row r="35355" s="12" customFormat="1" x14ac:dyDescent="0.25"/>
    <row r="35356" s="12" customFormat="1" x14ac:dyDescent="0.25"/>
    <row r="35357" s="12" customFormat="1" x14ac:dyDescent="0.25"/>
    <row r="35358" s="12" customFormat="1" x14ac:dyDescent="0.25"/>
    <row r="35359" s="12" customFormat="1" x14ac:dyDescent="0.25"/>
    <row r="35360" s="12" customFormat="1" x14ac:dyDescent="0.25"/>
    <row r="35361" s="12" customFormat="1" x14ac:dyDescent="0.25"/>
    <row r="35362" s="12" customFormat="1" x14ac:dyDescent="0.25"/>
    <row r="35363" s="12" customFormat="1" x14ac:dyDescent="0.25"/>
    <row r="35364" s="12" customFormat="1" x14ac:dyDescent="0.25"/>
    <row r="35365" s="12" customFormat="1" x14ac:dyDescent="0.25"/>
    <row r="35366" s="12" customFormat="1" x14ac:dyDescent="0.25"/>
    <row r="35367" s="12" customFormat="1" x14ac:dyDescent="0.25"/>
    <row r="35368" s="12" customFormat="1" x14ac:dyDescent="0.25"/>
    <row r="35369" s="12" customFormat="1" x14ac:dyDescent="0.25"/>
    <row r="35370" s="12" customFormat="1" x14ac:dyDescent="0.25"/>
    <row r="35371" s="12" customFormat="1" x14ac:dyDescent="0.25"/>
    <row r="35372" s="12" customFormat="1" x14ac:dyDescent="0.25"/>
    <row r="35373" s="12" customFormat="1" x14ac:dyDescent="0.25"/>
    <row r="35374" s="12" customFormat="1" x14ac:dyDescent="0.25"/>
    <row r="35375" s="12" customFormat="1" x14ac:dyDescent="0.25"/>
    <row r="35376" s="12" customFormat="1" x14ac:dyDescent="0.25"/>
    <row r="35377" s="12" customFormat="1" x14ac:dyDescent="0.25"/>
    <row r="35378" s="12" customFormat="1" x14ac:dyDescent="0.25"/>
    <row r="35379" s="12" customFormat="1" x14ac:dyDescent="0.25"/>
    <row r="35380" s="12" customFormat="1" x14ac:dyDescent="0.25"/>
    <row r="35381" s="12" customFormat="1" x14ac:dyDescent="0.25"/>
    <row r="35382" s="12" customFormat="1" x14ac:dyDescent="0.25"/>
    <row r="35383" s="12" customFormat="1" x14ac:dyDescent="0.25"/>
    <row r="35384" s="12" customFormat="1" x14ac:dyDescent="0.25"/>
    <row r="35385" s="12" customFormat="1" x14ac:dyDescent="0.25"/>
    <row r="35386" s="12" customFormat="1" x14ac:dyDescent="0.25"/>
    <row r="35387" s="12" customFormat="1" x14ac:dyDescent="0.25"/>
    <row r="35388" s="12" customFormat="1" x14ac:dyDescent="0.25"/>
    <row r="35389" s="12" customFormat="1" x14ac:dyDescent="0.25"/>
    <row r="35390" s="12" customFormat="1" x14ac:dyDescent="0.25"/>
    <row r="35391" s="12" customFormat="1" x14ac:dyDescent="0.25"/>
    <row r="35392" s="12" customFormat="1" x14ac:dyDescent="0.25"/>
    <row r="35393" s="12" customFormat="1" x14ac:dyDescent="0.25"/>
    <row r="35394" s="12" customFormat="1" x14ac:dyDescent="0.25"/>
    <row r="35395" s="12" customFormat="1" x14ac:dyDescent="0.25"/>
    <row r="35396" s="12" customFormat="1" x14ac:dyDescent="0.25"/>
    <row r="35397" s="12" customFormat="1" x14ac:dyDescent="0.25"/>
    <row r="35398" s="12" customFormat="1" x14ac:dyDescent="0.25"/>
    <row r="35399" s="12" customFormat="1" x14ac:dyDescent="0.25"/>
    <row r="35400" s="12" customFormat="1" x14ac:dyDescent="0.25"/>
    <row r="35401" s="12" customFormat="1" x14ac:dyDescent="0.25"/>
    <row r="35402" s="12" customFormat="1" x14ac:dyDescent="0.25"/>
    <row r="35403" s="12" customFormat="1" x14ac:dyDescent="0.25"/>
    <row r="35404" s="12" customFormat="1" x14ac:dyDescent="0.25"/>
    <row r="35405" s="12" customFormat="1" x14ac:dyDescent="0.25"/>
    <row r="35406" s="12" customFormat="1" x14ac:dyDescent="0.25"/>
    <row r="35407" s="12" customFormat="1" x14ac:dyDescent="0.25"/>
    <row r="35408" s="12" customFormat="1" x14ac:dyDescent="0.25"/>
    <row r="35409" s="12" customFormat="1" x14ac:dyDescent="0.25"/>
    <row r="35410" s="12" customFormat="1" x14ac:dyDescent="0.25"/>
    <row r="35411" s="12" customFormat="1" x14ac:dyDescent="0.25"/>
    <row r="35412" s="12" customFormat="1" x14ac:dyDescent="0.25"/>
    <row r="35413" s="12" customFormat="1" x14ac:dyDescent="0.25"/>
    <row r="35414" s="12" customFormat="1" x14ac:dyDescent="0.25"/>
    <row r="35415" s="12" customFormat="1" x14ac:dyDescent="0.25"/>
    <row r="35416" s="12" customFormat="1" x14ac:dyDescent="0.25"/>
    <row r="35417" s="12" customFormat="1" x14ac:dyDescent="0.25"/>
    <row r="35418" s="12" customFormat="1" x14ac:dyDescent="0.25"/>
    <row r="35419" s="12" customFormat="1" x14ac:dyDescent="0.25"/>
    <row r="35420" s="12" customFormat="1" x14ac:dyDescent="0.25"/>
    <row r="35421" s="12" customFormat="1" x14ac:dyDescent="0.25"/>
    <row r="35422" s="12" customFormat="1" x14ac:dyDescent="0.25"/>
    <row r="35423" s="12" customFormat="1" x14ac:dyDescent="0.25"/>
    <row r="35424" s="12" customFormat="1" x14ac:dyDescent="0.25"/>
    <row r="35425" s="12" customFormat="1" x14ac:dyDescent="0.25"/>
    <row r="35426" s="12" customFormat="1" x14ac:dyDescent="0.25"/>
    <row r="35427" s="12" customFormat="1" x14ac:dyDescent="0.25"/>
    <row r="35428" s="12" customFormat="1" x14ac:dyDescent="0.25"/>
    <row r="35429" s="12" customFormat="1" x14ac:dyDescent="0.25"/>
    <row r="35430" s="12" customFormat="1" x14ac:dyDescent="0.25"/>
    <row r="35431" s="12" customFormat="1" x14ac:dyDescent="0.25"/>
    <row r="35432" s="12" customFormat="1" x14ac:dyDescent="0.25"/>
    <row r="35433" s="12" customFormat="1" x14ac:dyDescent="0.25"/>
    <row r="35434" s="12" customFormat="1" x14ac:dyDescent="0.25"/>
    <row r="35435" s="12" customFormat="1" x14ac:dyDescent="0.25"/>
    <row r="35436" s="12" customFormat="1" x14ac:dyDescent="0.25"/>
    <row r="35437" s="12" customFormat="1" x14ac:dyDescent="0.25"/>
    <row r="35438" s="12" customFormat="1" x14ac:dyDescent="0.25"/>
    <row r="35439" s="12" customFormat="1" x14ac:dyDescent="0.25"/>
    <row r="35440" s="12" customFormat="1" x14ac:dyDescent="0.25"/>
    <row r="35441" s="12" customFormat="1" x14ac:dyDescent="0.25"/>
    <row r="35442" s="12" customFormat="1" x14ac:dyDescent="0.25"/>
    <row r="35443" s="12" customFormat="1" x14ac:dyDescent="0.25"/>
    <row r="35444" s="12" customFormat="1" x14ac:dyDescent="0.25"/>
    <row r="35445" s="12" customFormat="1" x14ac:dyDescent="0.25"/>
    <row r="35446" s="12" customFormat="1" x14ac:dyDescent="0.25"/>
    <row r="35447" s="12" customFormat="1" x14ac:dyDescent="0.25"/>
    <row r="35448" s="12" customFormat="1" x14ac:dyDescent="0.25"/>
    <row r="35449" s="12" customFormat="1" x14ac:dyDescent="0.25"/>
    <row r="35450" s="12" customFormat="1" x14ac:dyDescent="0.25"/>
    <row r="35451" s="12" customFormat="1" x14ac:dyDescent="0.25"/>
    <row r="35452" s="12" customFormat="1" x14ac:dyDescent="0.25"/>
    <row r="35453" s="12" customFormat="1" x14ac:dyDescent="0.25"/>
    <row r="35454" s="12" customFormat="1" x14ac:dyDescent="0.25"/>
    <row r="35455" s="12" customFormat="1" x14ac:dyDescent="0.25"/>
    <row r="35456" s="12" customFormat="1" x14ac:dyDescent="0.25"/>
    <row r="35457" s="12" customFormat="1" x14ac:dyDescent="0.25"/>
    <row r="35458" s="12" customFormat="1" x14ac:dyDescent="0.25"/>
    <row r="35459" s="12" customFormat="1" x14ac:dyDescent="0.25"/>
    <row r="35460" s="12" customFormat="1" x14ac:dyDescent="0.25"/>
    <row r="35461" s="12" customFormat="1" x14ac:dyDescent="0.25"/>
    <row r="35462" s="12" customFormat="1" x14ac:dyDescent="0.25"/>
    <row r="35463" s="12" customFormat="1" x14ac:dyDescent="0.25"/>
    <row r="35464" s="12" customFormat="1" x14ac:dyDescent="0.25"/>
    <row r="35465" s="12" customFormat="1" x14ac:dyDescent="0.25"/>
    <row r="35466" s="12" customFormat="1" x14ac:dyDescent="0.25"/>
    <row r="35467" s="12" customFormat="1" x14ac:dyDescent="0.25"/>
    <row r="35468" s="12" customFormat="1" x14ac:dyDescent="0.25"/>
    <row r="35469" s="12" customFormat="1" x14ac:dyDescent="0.25"/>
    <row r="35470" s="12" customFormat="1" x14ac:dyDescent="0.25"/>
    <row r="35471" s="12" customFormat="1" x14ac:dyDescent="0.25"/>
    <row r="35472" s="12" customFormat="1" x14ac:dyDescent="0.25"/>
    <row r="35473" s="12" customFormat="1" x14ac:dyDescent="0.25"/>
    <row r="35474" s="12" customFormat="1" x14ac:dyDescent="0.25"/>
    <row r="35475" s="12" customFormat="1" x14ac:dyDescent="0.25"/>
    <row r="35476" s="12" customFormat="1" x14ac:dyDescent="0.25"/>
    <row r="35477" s="12" customFormat="1" x14ac:dyDescent="0.25"/>
    <row r="35478" s="12" customFormat="1" x14ac:dyDescent="0.25"/>
    <row r="35479" s="12" customFormat="1" x14ac:dyDescent="0.25"/>
    <row r="35480" s="12" customFormat="1" x14ac:dyDescent="0.25"/>
    <row r="35481" s="12" customFormat="1" x14ac:dyDescent="0.25"/>
    <row r="35482" s="12" customFormat="1" x14ac:dyDescent="0.25"/>
    <row r="35483" s="12" customFormat="1" x14ac:dyDescent="0.25"/>
    <row r="35484" s="12" customFormat="1" x14ac:dyDescent="0.25"/>
    <row r="35485" s="12" customFormat="1" x14ac:dyDescent="0.25"/>
    <row r="35486" s="12" customFormat="1" x14ac:dyDescent="0.25"/>
    <row r="35487" s="12" customFormat="1" x14ac:dyDescent="0.25"/>
    <row r="35488" s="12" customFormat="1" x14ac:dyDescent="0.25"/>
    <row r="35489" s="12" customFormat="1" x14ac:dyDescent="0.25"/>
    <row r="35490" s="12" customFormat="1" x14ac:dyDescent="0.25"/>
    <row r="35491" s="12" customFormat="1" x14ac:dyDescent="0.25"/>
    <row r="35492" s="12" customFormat="1" x14ac:dyDescent="0.25"/>
    <row r="35493" s="12" customFormat="1" x14ac:dyDescent="0.25"/>
    <row r="35494" s="12" customFormat="1" x14ac:dyDescent="0.25"/>
    <row r="35495" s="12" customFormat="1" x14ac:dyDescent="0.25"/>
    <row r="35496" s="12" customFormat="1" x14ac:dyDescent="0.25"/>
    <row r="35497" s="12" customFormat="1" x14ac:dyDescent="0.25"/>
    <row r="35498" s="12" customFormat="1" x14ac:dyDescent="0.25"/>
    <row r="35499" s="12" customFormat="1" x14ac:dyDescent="0.25"/>
    <row r="35500" s="12" customFormat="1" x14ac:dyDescent="0.25"/>
    <row r="35501" s="12" customFormat="1" x14ac:dyDescent="0.25"/>
    <row r="35502" s="12" customFormat="1" x14ac:dyDescent="0.25"/>
    <row r="35503" s="12" customFormat="1" x14ac:dyDescent="0.25"/>
    <row r="35504" s="12" customFormat="1" x14ac:dyDescent="0.25"/>
    <row r="35505" s="12" customFormat="1" x14ac:dyDescent="0.25"/>
    <row r="35506" s="12" customFormat="1" x14ac:dyDescent="0.25"/>
    <row r="35507" s="12" customFormat="1" x14ac:dyDescent="0.25"/>
    <row r="35508" s="12" customFormat="1" x14ac:dyDescent="0.25"/>
    <row r="35509" s="12" customFormat="1" x14ac:dyDescent="0.25"/>
    <row r="35510" s="12" customFormat="1" x14ac:dyDescent="0.25"/>
    <row r="35511" s="12" customFormat="1" x14ac:dyDescent="0.25"/>
    <row r="35512" s="12" customFormat="1" x14ac:dyDescent="0.25"/>
    <row r="35513" s="12" customFormat="1" x14ac:dyDescent="0.25"/>
    <row r="35514" s="12" customFormat="1" x14ac:dyDescent="0.25"/>
    <row r="35515" s="12" customFormat="1" x14ac:dyDescent="0.25"/>
    <row r="35516" s="12" customFormat="1" x14ac:dyDescent="0.25"/>
    <row r="35517" s="12" customFormat="1" x14ac:dyDescent="0.25"/>
    <row r="35518" s="12" customFormat="1" x14ac:dyDescent="0.25"/>
    <row r="35519" s="12" customFormat="1" x14ac:dyDescent="0.25"/>
    <row r="35520" s="12" customFormat="1" x14ac:dyDescent="0.25"/>
    <row r="35521" s="12" customFormat="1" x14ac:dyDescent="0.25"/>
    <row r="35522" s="12" customFormat="1" x14ac:dyDescent="0.25"/>
    <row r="35523" s="12" customFormat="1" x14ac:dyDescent="0.25"/>
    <row r="35524" s="12" customFormat="1" x14ac:dyDescent="0.25"/>
    <row r="35525" s="12" customFormat="1" x14ac:dyDescent="0.25"/>
    <row r="35526" s="12" customFormat="1" x14ac:dyDescent="0.25"/>
    <row r="35527" s="12" customFormat="1" x14ac:dyDescent="0.25"/>
    <row r="35528" s="12" customFormat="1" x14ac:dyDescent="0.25"/>
    <row r="35529" s="12" customFormat="1" x14ac:dyDescent="0.25"/>
    <row r="35530" s="12" customFormat="1" x14ac:dyDescent="0.25"/>
    <row r="35531" s="12" customFormat="1" x14ac:dyDescent="0.25"/>
    <row r="35532" s="12" customFormat="1" x14ac:dyDescent="0.25"/>
    <row r="35533" s="12" customFormat="1" x14ac:dyDescent="0.25"/>
    <row r="35534" s="12" customFormat="1" x14ac:dyDescent="0.25"/>
    <row r="35535" s="12" customFormat="1" x14ac:dyDescent="0.25"/>
    <row r="35536" s="12" customFormat="1" x14ac:dyDescent="0.25"/>
    <row r="35537" s="12" customFormat="1" x14ac:dyDescent="0.25"/>
    <row r="35538" s="12" customFormat="1" x14ac:dyDescent="0.25"/>
    <row r="35539" s="12" customFormat="1" x14ac:dyDescent="0.25"/>
    <row r="35540" s="12" customFormat="1" x14ac:dyDescent="0.25"/>
    <row r="35541" s="12" customFormat="1" x14ac:dyDescent="0.25"/>
    <row r="35542" s="12" customFormat="1" x14ac:dyDescent="0.25"/>
    <row r="35543" s="12" customFormat="1" x14ac:dyDescent="0.25"/>
    <row r="35544" s="12" customFormat="1" x14ac:dyDescent="0.25"/>
    <row r="35545" s="12" customFormat="1" x14ac:dyDescent="0.25"/>
    <row r="35546" s="12" customFormat="1" x14ac:dyDescent="0.25"/>
    <row r="35547" s="12" customFormat="1" x14ac:dyDescent="0.25"/>
    <row r="35548" s="12" customFormat="1" x14ac:dyDescent="0.25"/>
    <row r="35549" s="12" customFormat="1" x14ac:dyDescent="0.25"/>
    <row r="35550" s="12" customFormat="1" x14ac:dyDescent="0.25"/>
    <row r="35551" s="12" customFormat="1" x14ac:dyDescent="0.25"/>
    <row r="35552" s="12" customFormat="1" x14ac:dyDescent="0.25"/>
    <row r="35553" s="12" customFormat="1" x14ac:dyDescent="0.25"/>
    <row r="35554" s="12" customFormat="1" x14ac:dyDescent="0.25"/>
    <row r="35555" s="12" customFormat="1" x14ac:dyDescent="0.25"/>
    <row r="35556" s="12" customFormat="1" x14ac:dyDescent="0.25"/>
    <row r="35557" s="12" customFormat="1" x14ac:dyDescent="0.25"/>
    <row r="35558" s="12" customFormat="1" x14ac:dyDescent="0.25"/>
    <row r="35559" s="12" customFormat="1" x14ac:dyDescent="0.25"/>
    <row r="35560" s="12" customFormat="1" x14ac:dyDescent="0.25"/>
    <row r="35561" s="12" customFormat="1" x14ac:dyDescent="0.25"/>
    <row r="35562" s="12" customFormat="1" x14ac:dyDescent="0.25"/>
    <row r="35563" s="12" customFormat="1" x14ac:dyDescent="0.25"/>
    <row r="35564" s="12" customFormat="1" x14ac:dyDescent="0.25"/>
    <row r="35565" s="12" customFormat="1" x14ac:dyDescent="0.25"/>
    <row r="35566" s="12" customFormat="1" x14ac:dyDescent="0.25"/>
    <row r="35567" s="12" customFormat="1" x14ac:dyDescent="0.25"/>
    <row r="35568" s="12" customFormat="1" x14ac:dyDescent="0.25"/>
    <row r="35569" s="12" customFormat="1" x14ac:dyDescent="0.25"/>
    <row r="35570" s="12" customFormat="1" x14ac:dyDescent="0.25"/>
    <row r="35571" s="12" customFormat="1" x14ac:dyDescent="0.25"/>
    <row r="35572" s="12" customFormat="1" x14ac:dyDescent="0.25"/>
    <row r="35573" s="12" customFormat="1" x14ac:dyDescent="0.25"/>
    <row r="35574" s="12" customFormat="1" x14ac:dyDescent="0.25"/>
    <row r="35575" s="12" customFormat="1" x14ac:dyDescent="0.25"/>
    <row r="35576" s="12" customFormat="1" x14ac:dyDescent="0.25"/>
    <row r="35577" s="12" customFormat="1" x14ac:dyDescent="0.25"/>
    <row r="35578" s="12" customFormat="1" x14ac:dyDescent="0.25"/>
    <row r="35579" s="12" customFormat="1" x14ac:dyDescent="0.25"/>
    <row r="35580" s="12" customFormat="1" x14ac:dyDescent="0.25"/>
    <row r="35581" s="12" customFormat="1" x14ac:dyDescent="0.25"/>
    <row r="35582" s="12" customFormat="1" x14ac:dyDescent="0.25"/>
    <row r="35583" s="12" customFormat="1" x14ac:dyDescent="0.25"/>
    <row r="35584" s="12" customFormat="1" x14ac:dyDescent="0.25"/>
    <row r="35585" s="12" customFormat="1" x14ac:dyDescent="0.25"/>
    <row r="35586" s="12" customFormat="1" x14ac:dyDescent="0.25"/>
    <row r="35587" s="12" customFormat="1" x14ac:dyDescent="0.25"/>
    <row r="35588" s="12" customFormat="1" x14ac:dyDescent="0.25"/>
    <row r="35589" s="12" customFormat="1" x14ac:dyDescent="0.25"/>
    <row r="35590" s="12" customFormat="1" x14ac:dyDescent="0.25"/>
    <row r="35591" s="12" customFormat="1" x14ac:dyDescent="0.25"/>
    <row r="35592" s="12" customFormat="1" x14ac:dyDescent="0.25"/>
    <row r="35593" s="12" customFormat="1" x14ac:dyDescent="0.25"/>
    <row r="35594" s="12" customFormat="1" x14ac:dyDescent="0.25"/>
    <row r="35595" s="12" customFormat="1" x14ac:dyDescent="0.25"/>
    <row r="35596" s="12" customFormat="1" x14ac:dyDescent="0.25"/>
    <row r="35597" s="12" customFormat="1" x14ac:dyDescent="0.25"/>
    <row r="35598" s="12" customFormat="1" x14ac:dyDescent="0.25"/>
    <row r="35599" s="12" customFormat="1" x14ac:dyDescent="0.25"/>
    <row r="35600" s="12" customFormat="1" x14ac:dyDescent="0.25"/>
    <row r="35601" s="12" customFormat="1" x14ac:dyDescent="0.25"/>
    <row r="35602" s="12" customFormat="1" x14ac:dyDescent="0.25"/>
    <row r="35603" s="12" customFormat="1" x14ac:dyDescent="0.25"/>
    <row r="35604" s="12" customFormat="1" x14ac:dyDescent="0.25"/>
    <row r="35605" s="12" customFormat="1" x14ac:dyDescent="0.25"/>
    <row r="35606" s="12" customFormat="1" x14ac:dyDescent="0.25"/>
    <row r="35607" s="12" customFormat="1" x14ac:dyDescent="0.25"/>
    <row r="35608" s="12" customFormat="1" x14ac:dyDescent="0.25"/>
    <row r="35609" s="12" customFormat="1" x14ac:dyDescent="0.25"/>
    <row r="35610" s="12" customFormat="1" x14ac:dyDescent="0.25"/>
    <row r="35611" s="12" customFormat="1" x14ac:dyDescent="0.25"/>
    <row r="35612" s="12" customFormat="1" x14ac:dyDescent="0.25"/>
    <row r="35613" s="12" customFormat="1" x14ac:dyDescent="0.25"/>
    <row r="35614" s="12" customFormat="1" x14ac:dyDescent="0.25"/>
    <row r="35615" s="12" customFormat="1" x14ac:dyDescent="0.25"/>
    <row r="35616" s="12" customFormat="1" x14ac:dyDescent="0.25"/>
    <row r="35617" s="12" customFormat="1" x14ac:dyDescent="0.25"/>
    <row r="35618" s="12" customFormat="1" x14ac:dyDescent="0.25"/>
    <row r="35619" s="12" customFormat="1" x14ac:dyDescent="0.25"/>
    <row r="35620" s="12" customFormat="1" x14ac:dyDescent="0.25"/>
    <row r="35621" s="12" customFormat="1" x14ac:dyDescent="0.25"/>
    <row r="35622" s="12" customFormat="1" x14ac:dyDescent="0.25"/>
    <row r="35623" s="12" customFormat="1" x14ac:dyDescent="0.25"/>
    <row r="35624" s="12" customFormat="1" x14ac:dyDescent="0.25"/>
    <row r="35625" s="12" customFormat="1" x14ac:dyDescent="0.25"/>
    <row r="35626" s="12" customFormat="1" x14ac:dyDescent="0.25"/>
    <row r="35627" s="12" customFormat="1" x14ac:dyDescent="0.25"/>
    <row r="35628" s="12" customFormat="1" x14ac:dyDescent="0.25"/>
    <row r="35629" s="12" customFormat="1" x14ac:dyDescent="0.25"/>
    <row r="35630" s="12" customFormat="1" x14ac:dyDescent="0.25"/>
    <row r="35631" s="12" customFormat="1" x14ac:dyDescent="0.25"/>
    <row r="35632" s="12" customFormat="1" x14ac:dyDescent="0.25"/>
    <row r="35633" s="12" customFormat="1" x14ac:dyDescent="0.25"/>
    <row r="35634" s="12" customFormat="1" x14ac:dyDescent="0.25"/>
    <row r="35635" s="12" customFormat="1" x14ac:dyDescent="0.25"/>
    <row r="35636" s="12" customFormat="1" x14ac:dyDescent="0.25"/>
    <row r="35637" s="12" customFormat="1" x14ac:dyDescent="0.25"/>
    <row r="35638" s="12" customFormat="1" x14ac:dyDescent="0.25"/>
    <row r="35639" s="12" customFormat="1" x14ac:dyDescent="0.25"/>
    <row r="35640" s="12" customFormat="1" x14ac:dyDescent="0.25"/>
    <row r="35641" s="12" customFormat="1" x14ac:dyDescent="0.25"/>
    <row r="35642" s="12" customFormat="1" x14ac:dyDescent="0.25"/>
    <row r="35643" s="12" customFormat="1" x14ac:dyDescent="0.25"/>
    <row r="35644" s="12" customFormat="1" x14ac:dyDescent="0.25"/>
    <row r="35645" s="12" customFormat="1" x14ac:dyDescent="0.25"/>
    <row r="35646" s="12" customFormat="1" x14ac:dyDescent="0.25"/>
    <row r="35647" s="12" customFormat="1" x14ac:dyDescent="0.25"/>
    <row r="35648" s="12" customFormat="1" x14ac:dyDescent="0.25"/>
    <row r="35649" s="12" customFormat="1" x14ac:dyDescent="0.25"/>
    <row r="35650" s="12" customFormat="1" x14ac:dyDescent="0.25"/>
    <row r="35651" s="12" customFormat="1" x14ac:dyDescent="0.25"/>
    <row r="35652" s="12" customFormat="1" x14ac:dyDescent="0.25"/>
    <row r="35653" s="12" customFormat="1" x14ac:dyDescent="0.25"/>
    <row r="35654" s="12" customFormat="1" x14ac:dyDescent="0.25"/>
    <row r="35655" s="12" customFormat="1" x14ac:dyDescent="0.25"/>
    <row r="35656" s="12" customFormat="1" x14ac:dyDescent="0.25"/>
    <row r="35657" s="12" customFormat="1" x14ac:dyDescent="0.25"/>
    <row r="35658" s="12" customFormat="1" x14ac:dyDescent="0.25"/>
    <row r="35659" s="12" customFormat="1" x14ac:dyDescent="0.25"/>
    <row r="35660" s="12" customFormat="1" x14ac:dyDescent="0.25"/>
    <row r="35661" s="12" customFormat="1" x14ac:dyDescent="0.25"/>
    <row r="35662" s="12" customFormat="1" x14ac:dyDescent="0.25"/>
    <row r="35663" s="12" customFormat="1" x14ac:dyDescent="0.25"/>
    <row r="35664" s="12" customFormat="1" x14ac:dyDescent="0.25"/>
    <row r="35665" s="12" customFormat="1" x14ac:dyDescent="0.25"/>
    <row r="35666" s="12" customFormat="1" x14ac:dyDescent="0.25"/>
    <row r="35667" s="12" customFormat="1" x14ac:dyDescent="0.25"/>
    <row r="35668" s="12" customFormat="1" x14ac:dyDescent="0.25"/>
    <row r="35669" s="12" customFormat="1" x14ac:dyDescent="0.25"/>
    <row r="35670" s="12" customFormat="1" x14ac:dyDescent="0.25"/>
    <row r="35671" s="12" customFormat="1" x14ac:dyDescent="0.25"/>
    <row r="35672" s="12" customFormat="1" x14ac:dyDescent="0.25"/>
    <row r="35673" s="12" customFormat="1" x14ac:dyDescent="0.25"/>
    <row r="35674" s="12" customFormat="1" x14ac:dyDescent="0.25"/>
    <row r="35675" s="12" customFormat="1" x14ac:dyDescent="0.25"/>
    <row r="35676" s="12" customFormat="1" x14ac:dyDescent="0.25"/>
    <row r="35677" s="12" customFormat="1" x14ac:dyDescent="0.25"/>
    <row r="35678" s="12" customFormat="1" x14ac:dyDescent="0.25"/>
    <row r="35679" s="12" customFormat="1" x14ac:dyDescent="0.25"/>
    <row r="35680" s="12" customFormat="1" x14ac:dyDescent="0.25"/>
    <row r="35681" s="12" customFormat="1" x14ac:dyDescent="0.25"/>
    <row r="35682" s="12" customFormat="1" x14ac:dyDescent="0.25"/>
    <row r="35683" s="12" customFormat="1" x14ac:dyDescent="0.25"/>
    <row r="35684" s="12" customFormat="1" x14ac:dyDescent="0.25"/>
    <row r="35685" s="12" customFormat="1" x14ac:dyDescent="0.25"/>
    <row r="35686" s="12" customFormat="1" x14ac:dyDescent="0.25"/>
    <row r="35687" s="12" customFormat="1" x14ac:dyDescent="0.25"/>
    <row r="35688" s="12" customFormat="1" x14ac:dyDescent="0.25"/>
    <row r="35689" s="12" customFormat="1" x14ac:dyDescent="0.25"/>
    <row r="35690" s="12" customFormat="1" x14ac:dyDescent="0.25"/>
    <row r="35691" s="12" customFormat="1" x14ac:dyDescent="0.25"/>
    <row r="35692" s="12" customFormat="1" x14ac:dyDescent="0.25"/>
    <row r="35693" s="12" customFormat="1" x14ac:dyDescent="0.25"/>
    <row r="35694" s="12" customFormat="1" x14ac:dyDescent="0.25"/>
    <row r="35695" s="12" customFormat="1" x14ac:dyDescent="0.25"/>
    <row r="35696" s="12" customFormat="1" x14ac:dyDescent="0.25"/>
    <row r="35697" s="12" customFormat="1" x14ac:dyDescent="0.25"/>
    <row r="35698" s="12" customFormat="1" x14ac:dyDescent="0.25"/>
    <row r="35699" s="12" customFormat="1" x14ac:dyDescent="0.25"/>
    <row r="35700" s="12" customFormat="1" x14ac:dyDescent="0.25"/>
    <row r="35701" s="12" customFormat="1" x14ac:dyDescent="0.25"/>
    <row r="35702" s="12" customFormat="1" x14ac:dyDescent="0.25"/>
    <row r="35703" s="12" customFormat="1" x14ac:dyDescent="0.25"/>
    <row r="35704" s="12" customFormat="1" x14ac:dyDescent="0.25"/>
    <row r="35705" s="12" customFormat="1" x14ac:dyDescent="0.25"/>
    <row r="35706" s="12" customFormat="1" x14ac:dyDescent="0.25"/>
    <row r="35707" s="12" customFormat="1" x14ac:dyDescent="0.25"/>
    <row r="35708" s="12" customFormat="1" x14ac:dyDescent="0.25"/>
    <row r="35709" s="12" customFormat="1" x14ac:dyDescent="0.25"/>
    <row r="35710" s="12" customFormat="1" x14ac:dyDescent="0.25"/>
    <row r="35711" s="12" customFormat="1" x14ac:dyDescent="0.25"/>
    <row r="35712" s="12" customFormat="1" x14ac:dyDescent="0.25"/>
    <row r="35713" s="12" customFormat="1" x14ac:dyDescent="0.25"/>
    <row r="35714" s="12" customFormat="1" x14ac:dyDescent="0.25"/>
    <row r="35715" s="12" customFormat="1" x14ac:dyDescent="0.25"/>
    <row r="35716" s="12" customFormat="1" x14ac:dyDescent="0.25"/>
    <row r="35717" s="12" customFormat="1" x14ac:dyDescent="0.25"/>
    <row r="35718" s="12" customFormat="1" x14ac:dyDescent="0.25"/>
    <row r="35719" s="12" customFormat="1" x14ac:dyDescent="0.25"/>
    <row r="35720" s="12" customFormat="1" x14ac:dyDescent="0.25"/>
    <row r="35721" s="12" customFormat="1" x14ac:dyDescent="0.25"/>
    <row r="35722" s="12" customFormat="1" x14ac:dyDescent="0.25"/>
    <row r="35723" s="12" customFormat="1" x14ac:dyDescent="0.25"/>
    <row r="35724" s="12" customFormat="1" x14ac:dyDescent="0.25"/>
    <row r="35725" s="12" customFormat="1" x14ac:dyDescent="0.25"/>
    <row r="35726" s="12" customFormat="1" x14ac:dyDescent="0.25"/>
    <row r="35727" s="12" customFormat="1" x14ac:dyDescent="0.25"/>
    <row r="35728" s="12" customFormat="1" x14ac:dyDescent="0.25"/>
    <row r="35729" s="12" customFormat="1" x14ac:dyDescent="0.25"/>
    <row r="35730" s="12" customFormat="1" x14ac:dyDescent="0.25"/>
    <row r="35731" s="12" customFormat="1" x14ac:dyDescent="0.25"/>
    <row r="35732" s="12" customFormat="1" x14ac:dyDescent="0.25"/>
    <row r="35733" s="12" customFormat="1" x14ac:dyDescent="0.25"/>
    <row r="35734" s="12" customFormat="1" x14ac:dyDescent="0.25"/>
    <row r="35735" s="12" customFormat="1" x14ac:dyDescent="0.25"/>
    <row r="35736" s="12" customFormat="1" x14ac:dyDescent="0.25"/>
    <row r="35737" s="12" customFormat="1" x14ac:dyDescent="0.25"/>
    <row r="35738" s="12" customFormat="1" x14ac:dyDescent="0.25"/>
    <row r="35739" s="12" customFormat="1" x14ac:dyDescent="0.25"/>
    <row r="35740" s="12" customFormat="1" x14ac:dyDescent="0.25"/>
    <row r="35741" s="12" customFormat="1" x14ac:dyDescent="0.25"/>
    <row r="35742" s="12" customFormat="1" x14ac:dyDescent="0.25"/>
    <row r="35743" s="12" customFormat="1" x14ac:dyDescent="0.25"/>
    <row r="35744" s="12" customFormat="1" x14ac:dyDescent="0.25"/>
    <row r="35745" s="12" customFormat="1" x14ac:dyDescent="0.25"/>
    <row r="35746" s="12" customFormat="1" x14ac:dyDescent="0.25"/>
    <row r="35747" s="12" customFormat="1" x14ac:dyDescent="0.25"/>
    <row r="35748" s="12" customFormat="1" x14ac:dyDescent="0.25"/>
    <row r="35749" s="12" customFormat="1" x14ac:dyDescent="0.25"/>
    <row r="35750" s="12" customFormat="1" x14ac:dyDescent="0.25"/>
    <row r="35751" s="12" customFormat="1" x14ac:dyDescent="0.25"/>
    <row r="35752" s="12" customFormat="1" x14ac:dyDescent="0.25"/>
    <row r="35753" s="12" customFormat="1" x14ac:dyDescent="0.25"/>
    <row r="35754" s="12" customFormat="1" x14ac:dyDescent="0.25"/>
    <row r="35755" s="12" customFormat="1" x14ac:dyDescent="0.25"/>
    <row r="35756" s="12" customFormat="1" x14ac:dyDescent="0.25"/>
    <row r="35757" s="12" customFormat="1" x14ac:dyDescent="0.25"/>
    <row r="35758" s="12" customFormat="1" x14ac:dyDescent="0.25"/>
    <row r="35759" s="12" customFormat="1" x14ac:dyDescent="0.25"/>
    <row r="35760" s="12" customFormat="1" x14ac:dyDescent="0.25"/>
    <row r="35761" s="12" customFormat="1" x14ac:dyDescent="0.25"/>
    <row r="35762" s="12" customFormat="1" x14ac:dyDescent="0.25"/>
    <row r="35763" s="12" customFormat="1" x14ac:dyDescent="0.25"/>
    <row r="35764" s="12" customFormat="1" x14ac:dyDescent="0.25"/>
    <row r="35765" s="12" customFormat="1" x14ac:dyDescent="0.25"/>
    <row r="35766" s="12" customFormat="1" x14ac:dyDescent="0.25"/>
    <row r="35767" s="12" customFormat="1" x14ac:dyDescent="0.25"/>
    <row r="35768" s="12" customFormat="1" x14ac:dyDescent="0.25"/>
    <row r="35769" s="12" customFormat="1" x14ac:dyDescent="0.25"/>
    <row r="35770" s="12" customFormat="1" x14ac:dyDescent="0.25"/>
    <row r="35771" s="12" customFormat="1" x14ac:dyDescent="0.25"/>
    <row r="35772" s="12" customFormat="1" x14ac:dyDescent="0.25"/>
    <row r="35773" s="12" customFormat="1" x14ac:dyDescent="0.25"/>
    <row r="35774" s="12" customFormat="1" x14ac:dyDescent="0.25"/>
    <row r="35775" s="12" customFormat="1" x14ac:dyDescent="0.25"/>
    <row r="35776" s="12" customFormat="1" x14ac:dyDescent="0.25"/>
    <row r="35777" s="12" customFormat="1" x14ac:dyDescent="0.25"/>
    <row r="35778" s="12" customFormat="1" x14ac:dyDescent="0.25"/>
    <row r="35779" s="12" customFormat="1" x14ac:dyDescent="0.25"/>
    <row r="35780" s="12" customFormat="1" x14ac:dyDescent="0.25"/>
    <row r="35781" s="12" customFormat="1" x14ac:dyDescent="0.25"/>
    <row r="35782" s="12" customFormat="1" x14ac:dyDescent="0.25"/>
    <row r="35783" s="12" customFormat="1" x14ac:dyDescent="0.25"/>
    <row r="35784" s="12" customFormat="1" x14ac:dyDescent="0.25"/>
    <row r="35785" s="12" customFormat="1" x14ac:dyDescent="0.25"/>
    <row r="35786" s="12" customFormat="1" x14ac:dyDescent="0.25"/>
    <row r="35787" s="12" customFormat="1" x14ac:dyDescent="0.25"/>
    <row r="35788" s="12" customFormat="1" x14ac:dyDescent="0.25"/>
    <row r="35789" s="12" customFormat="1" x14ac:dyDescent="0.25"/>
    <row r="35790" s="12" customFormat="1" x14ac:dyDescent="0.25"/>
    <row r="35791" s="12" customFormat="1" x14ac:dyDescent="0.25"/>
    <row r="35792" s="12" customFormat="1" x14ac:dyDescent="0.25"/>
    <row r="35793" s="12" customFormat="1" x14ac:dyDescent="0.25"/>
    <row r="35794" s="12" customFormat="1" x14ac:dyDescent="0.25"/>
    <row r="35795" s="12" customFormat="1" x14ac:dyDescent="0.25"/>
    <row r="35796" s="12" customFormat="1" x14ac:dyDescent="0.25"/>
    <row r="35797" s="12" customFormat="1" x14ac:dyDescent="0.25"/>
    <row r="35798" s="12" customFormat="1" x14ac:dyDescent="0.25"/>
    <row r="35799" s="12" customFormat="1" x14ac:dyDescent="0.25"/>
    <row r="35800" s="12" customFormat="1" x14ac:dyDescent="0.25"/>
    <row r="35801" s="12" customFormat="1" x14ac:dyDescent="0.25"/>
    <row r="35802" s="12" customFormat="1" x14ac:dyDescent="0.25"/>
    <row r="35803" s="12" customFormat="1" x14ac:dyDescent="0.25"/>
    <row r="35804" s="12" customFormat="1" x14ac:dyDescent="0.25"/>
    <row r="35805" s="12" customFormat="1" x14ac:dyDescent="0.25"/>
    <row r="35806" s="12" customFormat="1" x14ac:dyDescent="0.25"/>
    <row r="35807" s="12" customFormat="1" x14ac:dyDescent="0.25"/>
    <row r="35808" s="12" customFormat="1" x14ac:dyDescent="0.25"/>
    <row r="35809" s="12" customFormat="1" x14ac:dyDescent="0.25"/>
    <row r="35810" s="12" customFormat="1" x14ac:dyDescent="0.25"/>
    <row r="35811" s="12" customFormat="1" x14ac:dyDescent="0.25"/>
    <row r="35812" s="12" customFormat="1" x14ac:dyDescent="0.25"/>
    <row r="35813" s="12" customFormat="1" x14ac:dyDescent="0.25"/>
    <row r="35814" s="12" customFormat="1" x14ac:dyDescent="0.25"/>
    <row r="35815" s="12" customFormat="1" x14ac:dyDescent="0.25"/>
    <row r="35816" s="12" customFormat="1" x14ac:dyDescent="0.25"/>
    <row r="35817" s="12" customFormat="1" x14ac:dyDescent="0.25"/>
    <row r="35818" s="12" customFormat="1" x14ac:dyDescent="0.25"/>
    <row r="35819" s="12" customFormat="1" x14ac:dyDescent="0.25"/>
    <row r="35820" s="12" customFormat="1" x14ac:dyDescent="0.25"/>
    <row r="35821" s="12" customFormat="1" x14ac:dyDescent="0.25"/>
    <row r="35822" s="12" customFormat="1" x14ac:dyDescent="0.25"/>
    <row r="35823" s="12" customFormat="1" x14ac:dyDescent="0.25"/>
    <row r="35824" s="12" customFormat="1" x14ac:dyDescent="0.25"/>
    <row r="35825" s="12" customFormat="1" x14ac:dyDescent="0.25"/>
    <row r="35826" s="12" customFormat="1" x14ac:dyDescent="0.25"/>
    <row r="35827" s="12" customFormat="1" x14ac:dyDescent="0.25"/>
    <row r="35828" s="12" customFormat="1" x14ac:dyDescent="0.25"/>
    <row r="35829" s="12" customFormat="1" x14ac:dyDescent="0.25"/>
    <row r="35830" s="12" customFormat="1" x14ac:dyDescent="0.25"/>
    <row r="35831" s="12" customFormat="1" x14ac:dyDescent="0.25"/>
    <row r="35832" s="12" customFormat="1" x14ac:dyDescent="0.25"/>
    <row r="35833" s="12" customFormat="1" x14ac:dyDescent="0.25"/>
    <row r="35834" s="12" customFormat="1" x14ac:dyDescent="0.25"/>
    <row r="35835" s="12" customFormat="1" x14ac:dyDescent="0.25"/>
    <row r="35836" s="12" customFormat="1" x14ac:dyDescent="0.25"/>
    <row r="35837" s="12" customFormat="1" x14ac:dyDescent="0.25"/>
    <row r="35838" s="12" customFormat="1" x14ac:dyDescent="0.25"/>
    <row r="35839" s="12" customFormat="1" x14ac:dyDescent="0.25"/>
    <row r="35840" s="12" customFormat="1" x14ac:dyDescent="0.25"/>
    <row r="35841" s="12" customFormat="1" x14ac:dyDescent="0.25"/>
    <row r="35842" s="12" customFormat="1" x14ac:dyDescent="0.25"/>
    <row r="35843" s="12" customFormat="1" x14ac:dyDescent="0.25"/>
    <row r="35844" s="12" customFormat="1" x14ac:dyDescent="0.25"/>
    <row r="35845" s="12" customFormat="1" x14ac:dyDescent="0.25"/>
    <row r="35846" s="12" customFormat="1" x14ac:dyDescent="0.25"/>
    <row r="35847" s="12" customFormat="1" x14ac:dyDescent="0.25"/>
    <row r="35848" s="12" customFormat="1" x14ac:dyDescent="0.25"/>
    <row r="35849" s="12" customFormat="1" x14ac:dyDescent="0.25"/>
    <row r="35850" s="12" customFormat="1" x14ac:dyDescent="0.25"/>
    <row r="35851" s="12" customFormat="1" x14ac:dyDescent="0.25"/>
    <row r="35852" s="12" customFormat="1" x14ac:dyDescent="0.25"/>
    <row r="35853" s="12" customFormat="1" x14ac:dyDescent="0.25"/>
    <row r="35854" s="12" customFormat="1" x14ac:dyDescent="0.25"/>
    <row r="35855" s="12" customFormat="1" x14ac:dyDescent="0.25"/>
    <row r="35856" s="12" customFormat="1" x14ac:dyDescent="0.25"/>
    <row r="35857" s="12" customFormat="1" x14ac:dyDescent="0.25"/>
    <row r="35858" s="12" customFormat="1" x14ac:dyDescent="0.25"/>
    <row r="35859" s="12" customFormat="1" x14ac:dyDescent="0.25"/>
    <row r="35860" s="12" customFormat="1" x14ac:dyDescent="0.25"/>
    <row r="35861" s="12" customFormat="1" x14ac:dyDescent="0.25"/>
    <row r="35862" s="12" customFormat="1" x14ac:dyDescent="0.25"/>
    <row r="35863" s="12" customFormat="1" x14ac:dyDescent="0.25"/>
    <row r="35864" s="12" customFormat="1" x14ac:dyDescent="0.25"/>
    <row r="35865" s="12" customFormat="1" x14ac:dyDescent="0.25"/>
    <row r="35866" s="12" customFormat="1" x14ac:dyDescent="0.25"/>
    <row r="35867" s="12" customFormat="1" x14ac:dyDescent="0.25"/>
    <row r="35868" s="12" customFormat="1" x14ac:dyDescent="0.25"/>
    <row r="35869" s="12" customFormat="1" x14ac:dyDescent="0.25"/>
    <row r="35870" s="12" customFormat="1" x14ac:dyDescent="0.25"/>
    <row r="35871" s="12" customFormat="1" x14ac:dyDescent="0.25"/>
    <row r="35872" s="12" customFormat="1" x14ac:dyDescent="0.25"/>
    <row r="35873" s="12" customFormat="1" x14ac:dyDescent="0.25"/>
    <row r="35874" s="12" customFormat="1" x14ac:dyDescent="0.25"/>
    <row r="35875" s="12" customFormat="1" x14ac:dyDescent="0.25"/>
    <row r="35876" s="12" customFormat="1" x14ac:dyDescent="0.25"/>
    <row r="35877" s="12" customFormat="1" x14ac:dyDescent="0.25"/>
    <row r="35878" s="12" customFormat="1" x14ac:dyDescent="0.25"/>
    <row r="35879" s="12" customFormat="1" x14ac:dyDescent="0.25"/>
    <row r="35880" s="12" customFormat="1" x14ac:dyDescent="0.25"/>
    <row r="35881" s="12" customFormat="1" x14ac:dyDescent="0.25"/>
    <row r="35882" s="12" customFormat="1" x14ac:dyDescent="0.25"/>
    <row r="35883" s="12" customFormat="1" x14ac:dyDescent="0.25"/>
    <row r="35884" s="12" customFormat="1" x14ac:dyDescent="0.25"/>
    <row r="35885" s="12" customFormat="1" x14ac:dyDescent="0.25"/>
    <row r="35886" s="12" customFormat="1" x14ac:dyDescent="0.25"/>
    <row r="35887" s="12" customFormat="1" x14ac:dyDescent="0.25"/>
    <row r="35888" s="12" customFormat="1" x14ac:dyDescent="0.25"/>
    <row r="35889" s="12" customFormat="1" x14ac:dyDescent="0.25"/>
    <row r="35890" s="12" customFormat="1" x14ac:dyDescent="0.25"/>
    <row r="35891" s="12" customFormat="1" x14ac:dyDescent="0.25"/>
    <row r="35892" s="12" customFormat="1" x14ac:dyDescent="0.25"/>
    <row r="35893" s="12" customFormat="1" x14ac:dyDescent="0.25"/>
    <row r="35894" s="12" customFormat="1" x14ac:dyDescent="0.25"/>
    <row r="35895" s="12" customFormat="1" x14ac:dyDescent="0.25"/>
    <row r="35896" s="12" customFormat="1" x14ac:dyDescent="0.25"/>
    <row r="35897" s="12" customFormat="1" x14ac:dyDescent="0.25"/>
    <row r="35898" s="12" customFormat="1" x14ac:dyDescent="0.25"/>
    <row r="35899" s="12" customFormat="1" x14ac:dyDescent="0.25"/>
    <row r="35900" s="12" customFormat="1" x14ac:dyDescent="0.25"/>
    <row r="35901" s="12" customFormat="1" x14ac:dyDescent="0.25"/>
    <row r="35902" s="12" customFormat="1" x14ac:dyDescent="0.25"/>
    <row r="35903" s="12" customFormat="1" x14ac:dyDescent="0.25"/>
    <row r="35904" s="12" customFormat="1" x14ac:dyDescent="0.25"/>
    <row r="35905" s="12" customFormat="1" x14ac:dyDescent="0.25"/>
    <row r="35906" s="12" customFormat="1" x14ac:dyDescent="0.25"/>
    <row r="35907" s="12" customFormat="1" x14ac:dyDescent="0.25"/>
    <row r="35908" s="12" customFormat="1" x14ac:dyDescent="0.25"/>
    <row r="35909" s="12" customFormat="1" x14ac:dyDescent="0.25"/>
    <row r="35910" s="12" customFormat="1" x14ac:dyDescent="0.25"/>
    <row r="35911" s="12" customFormat="1" x14ac:dyDescent="0.25"/>
    <row r="35912" s="12" customFormat="1" x14ac:dyDescent="0.25"/>
    <row r="35913" s="12" customFormat="1" x14ac:dyDescent="0.25"/>
    <row r="35914" s="12" customFormat="1" x14ac:dyDescent="0.25"/>
    <row r="35915" s="12" customFormat="1" x14ac:dyDescent="0.25"/>
    <row r="35916" s="12" customFormat="1" x14ac:dyDescent="0.25"/>
    <row r="35917" s="12" customFormat="1" x14ac:dyDescent="0.25"/>
    <row r="35918" s="12" customFormat="1" x14ac:dyDescent="0.25"/>
    <row r="35919" s="12" customFormat="1" x14ac:dyDescent="0.25"/>
    <row r="35920" s="12" customFormat="1" x14ac:dyDescent="0.25"/>
    <row r="35921" s="12" customFormat="1" x14ac:dyDescent="0.25"/>
    <row r="35922" s="12" customFormat="1" x14ac:dyDescent="0.25"/>
    <row r="35923" s="12" customFormat="1" x14ac:dyDescent="0.25"/>
    <row r="35924" s="12" customFormat="1" x14ac:dyDescent="0.25"/>
    <row r="35925" s="12" customFormat="1" x14ac:dyDescent="0.25"/>
    <row r="35926" s="12" customFormat="1" x14ac:dyDescent="0.25"/>
    <row r="35927" s="12" customFormat="1" x14ac:dyDescent="0.25"/>
    <row r="35928" s="12" customFormat="1" x14ac:dyDescent="0.25"/>
    <row r="35929" s="12" customFormat="1" x14ac:dyDescent="0.25"/>
    <row r="35930" s="12" customFormat="1" x14ac:dyDescent="0.25"/>
    <row r="35931" s="12" customFormat="1" x14ac:dyDescent="0.25"/>
    <row r="35932" s="12" customFormat="1" x14ac:dyDescent="0.25"/>
    <row r="35933" s="12" customFormat="1" x14ac:dyDescent="0.25"/>
    <row r="35934" s="12" customFormat="1" x14ac:dyDescent="0.25"/>
    <row r="35935" s="12" customFormat="1" x14ac:dyDescent="0.25"/>
    <row r="35936" s="12" customFormat="1" x14ac:dyDescent="0.25"/>
    <row r="35937" s="12" customFormat="1" x14ac:dyDescent="0.25"/>
    <row r="35938" s="12" customFormat="1" x14ac:dyDescent="0.25"/>
    <row r="35939" s="12" customFormat="1" x14ac:dyDescent="0.25"/>
    <row r="35940" s="12" customFormat="1" x14ac:dyDescent="0.25"/>
    <row r="35941" s="12" customFormat="1" x14ac:dyDescent="0.25"/>
    <row r="35942" s="12" customFormat="1" x14ac:dyDescent="0.25"/>
    <row r="35943" s="12" customFormat="1" x14ac:dyDescent="0.25"/>
    <row r="35944" s="12" customFormat="1" x14ac:dyDescent="0.25"/>
    <row r="35945" s="12" customFormat="1" x14ac:dyDescent="0.25"/>
    <row r="35946" s="12" customFormat="1" x14ac:dyDescent="0.25"/>
    <row r="35947" s="12" customFormat="1" x14ac:dyDescent="0.25"/>
    <row r="35948" s="12" customFormat="1" x14ac:dyDescent="0.25"/>
    <row r="35949" s="12" customFormat="1" x14ac:dyDescent="0.25"/>
    <row r="35950" s="12" customFormat="1" x14ac:dyDescent="0.25"/>
    <row r="35951" s="12" customFormat="1" x14ac:dyDescent="0.25"/>
    <row r="35952" s="12" customFormat="1" x14ac:dyDescent="0.25"/>
    <row r="35953" s="12" customFormat="1" x14ac:dyDescent="0.25"/>
    <row r="35954" s="12" customFormat="1" x14ac:dyDescent="0.25"/>
    <row r="35955" s="12" customFormat="1" x14ac:dyDescent="0.25"/>
    <row r="35956" s="12" customFormat="1" x14ac:dyDescent="0.25"/>
    <row r="35957" s="12" customFormat="1" x14ac:dyDescent="0.25"/>
    <row r="35958" s="12" customFormat="1" x14ac:dyDescent="0.25"/>
    <row r="35959" s="12" customFormat="1" x14ac:dyDescent="0.25"/>
    <row r="35960" s="12" customFormat="1" x14ac:dyDescent="0.25"/>
    <row r="35961" s="12" customFormat="1" x14ac:dyDescent="0.25"/>
    <row r="35962" s="12" customFormat="1" x14ac:dyDescent="0.25"/>
    <row r="35963" s="12" customFormat="1" x14ac:dyDescent="0.25"/>
    <row r="35964" s="12" customFormat="1" x14ac:dyDescent="0.25"/>
    <row r="35965" s="12" customFormat="1" x14ac:dyDescent="0.25"/>
    <row r="35966" s="12" customFormat="1" x14ac:dyDescent="0.25"/>
    <row r="35967" s="12" customFormat="1" x14ac:dyDescent="0.25"/>
    <row r="35968" s="12" customFormat="1" x14ac:dyDescent="0.25"/>
    <row r="35969" s="12" customFormat="1" x14ac:dyDescent="0.25"/>
    <row r="35970" s="12" customFormat="1" x14ac:dyDescent="0.25"/>
    <row r="35971" s="12" customFormat="1" x14ac:dyDescent="0.25"/>
    <row r="35972" s="12" customFormat="1" x14ac:dyDescent="0.25"/>
    <row r="35973" s="12" customFormat="1" x14ac:dyDescent="0.25"/>
    <row r="35974" s="12" customFormat="1" x14ac:dyDescent="0.25"/>
    <row r="35975" s="12" customFormat="1" x14ac:dyDescent="0.25"/>
    <row r="35976" s="12" customFormat="1" x14ac:dyDescent="0.25"/>
    <row r="35977" s="12" customFormat="1" x14ac:dyDescent="0.25"/>
    <row r="35978" s="12" customFormat="1" x14ac:dyDescent="0.25"/>
    <row r="35979" s="12" customFormat="1" x14ac:dyDescent="0.25"/>
    <row r="35980" s="12" customFormat="1" x14ac:dyDescent="0.25"/>
    <row r="35981" s="12" customFormat="1" x14ac:dyDescent="0.25"/>
    <row r="35982" s="12" customFormat="1" x14ac:dyDescent="0.25"/>
    <row r="35983" s="12" customFormat="1" x14ac:dyDescent="0.25"/>
    <row r="35984" s="12" customFormat="1" x14ac:dyDescent="0.25"/>
    <row r="35985" s="12" customFormat="1" x14ac:dyDescent="0.25"/>
    <row r="35986" s="12" customFormat="1" x14ac:dyDescent="0.25"/>
    <row r="35987" s="12" customFormat="1" x14ac:dyDescent="0.25"/>
    <row r="35988" s="12" customFormat="1" x14ac:dyDescent="0.25"/>
    <row r="35989" s="12" customFormat="1" x14ac:dyDescent="0.25"/>
    <row r="35990" s="12" customFormat="1" x14ac:dyDescent="0.25"/>
    <row r="35991" s="12" customFormat="1" x14ac:dyDescent="0.25"/>
    <row r="35992" s="12" customFormat="1" x14ac:dyDescent="0.25"/>
    <row r="35993" s="12" customFormat="1" x14ac:dyDescent="0.25"/>
    <row r="35994" s="12" customFormat="1" x14ac:dyDescent="0.25"/>
    <row r="35995" s="12" customFormat="1" x14ac:dyDescent="0.25"/>
    <row r="35996" s="12" customFormat="1" x14ac:dyDescent="0.25"/>
    <row r="35997" s="12" customFormat="1" x14ac:dyDescent="0.25"/>
    <row r="35998" s="12" customFormat="1" x14ac:dyDescent="0.25"/>
    <row r="35999" s="12" customFormat="1" x14ac:dyDescent="0.25"/>
    <row r="36000" s="12" customFormat="1" x14ac:dyDescent="0.25"/>
    <row r="36001" s="12" customFormat="1" x14ac:dyDescent="0.25"/>
    <row r="36002" s="12" customFormat="1" x14ac:dyDescent="0.25"/>
    <row r="36003" s="12" customFormat="1" x14ac:dyDescent="0.25"/>
    <row r="36004" s="12" customFormat="1" x14ac:dyDescent="0.25"/>
    <row r="36005" s="12" customFormat="1" x14ac:dyDescent="0.25"/>
    <row r="36006" s="12" customFormat="1" x14ac:dyDescent="0.25"/>
    <row r="36007" s="12" customFormat="1" x14ac:dyDescent="0.25"/>
    <row r="36008" s="12" customFormat="1" x14ac:dyDescent="0.25"/>
    <row r="36009" s="12" customFormat="1" x14ac:dyDescent="0.25"/>
    <row r="36010" s="12" customFormat="1" x14ac:dyDescent="0.25"/>
    <row r="36011" s="12" customFormat="1" x14ac:dyDescent="0.25"/>
    <row r="36012" s="12" customFormat="1" x14ac:dyDescent="0.25"/>
    <row r="36013" s="12" customFormat="1" x14ac:dyDescent="0.25"/>
    <row r="36014" s="12" customFormat="1" x14ac:dyDescent="0.25"/>
    <row r="36015" s="12" customFormat="1" x14ac:dyDescent="0.25"/>
    <row r="36016" s="12" customFormat="1" x14ac:dyDescent="0.25"/>
    <row r="36017" s="12" customFormat="1" x14ac:dyDescent="0.25"/>
    <row r="36018" s="12" customFormat="1" x14ac:dyDescent="0.25"/>
    <row r="36019" s="12" customFormat="1" x14ac:dyDescent="0.25"/>
    <row r="36020" s="12" customFormat="1" x14ac:dyDescent="0.25"/>
    <row r="36021" s="12" customFormat="1" x14ac:dyDescent="0.25"/>
    <row r="36022" s="12" customFormat="1" x14ac:dyDescent="0.25"/>
    <row r="36023" s="12" customFormat="1" x14ac:dyDescent="0.25"/>
    <row r="36024" s="12" customFormat="1" x14ac:dyDescent="0.25"/>
    <row r="36025" s="12" customFormat="1" x14ac:dyDescent="0.25"/>
    <row r="36026" s="12" customFormat="1" x14ac:dyDescent="0.25"/>
    <row r="36027" s="12" customFormat="1" x14ac:dyDescent="0.25"/>
    <row r="36028" s="12" customFormat="1" x14ac:dyDescent="0.25"/>
    <row r="36029" s="12" customFormat="1" x14ac:dyDescent="0.25"/>
    <row r="36030" s="12" customFormat="1" x14ac:dyDescent="0.25"/>
    <row r="36031" s="12" customFormat="1" x14ac:dyDescent="0.25"/>
    <row r="36032" s="12" customFormat="1" x14ac:dyDescent="0.25"/>
    <row r="36033" s="12" customFormat="1" x14ac:dyDescent="0.25"/>
    <row r="36034" s="12" customFormat="1" x14ac:dyDescent="0.25"/>
    <row r="36035" s="12" customFormat="1" x14ac:dyDescent="0.25"/>
    <row r="36036" s="12" customFormat="1" x14ac:dyDescent="0.25"/>
    <row r="36037" s="12" customFormat="1" x14ac:dyDescent="0.25"/>
    <row r="36038" s="12" customFormat="1" x14ac:dyDescent="0.25"/>
    <row r="36039" s="12" customFormat="1" x14ac:dyDescent="0.25"/>
    <row r="36040" s="12" customFormat="1" x14ac:dyDescent="0.25"/>
    <row r="36041" s="12" customFormat="1" x14ac:dyDescent="0.25"/>
    <row r="36042" s="12" customFormat="1" x14ac:dyDescent="0.25"/>
    <row r="36043" s="12" customFormat="1" x14ac:dyDescent="0.25"/>
    <row r="36044" s="12" customFormat="1" x14ac:dyDescent="0.25"/>
    <row r="36045" s="12" customFormat="1" x14ac:dyDescent="0.25"/>
    <row r="36046" s="12" customFormat="1" x14ac:dyDescent="0.25"/>
    <row r="36047" s="12" customFormat="1" x14ac:dyDescent="0.25"/>
    <row r="36048" s="12" customFormat="1" x14ac:dyDescent="0.25"/>
    <row r="36049" s="12" customFormat="1" x14ac:dyDescent="0.25"/>
    <row r="36050" s="12" customFormat="1" x14ac:dyDescent="0.25"/>
    <row r="36051" s="12" customFormat="1" x14ac:dyDescent="0.25"/>
    <row r="36052" s="12" customFormat="1" x14ac:dyDescent="0.25"/>
    <row r="36053" s="12" customFormat="1" x14ac:dyDescent="0.25"/>
    <row r="36054" s="12" customFormat="1" x14ac:dyDescent="0.25"/>
    <row r="36055" s="12" customFormat="1" x14ac:dyDescent="0.25"/>
    <row r="36056" s="12" customFormat="1" x14ac:dyDescent="0.25"/>
    <row r="36057" s="12" customFormat="1" x14ac:dyDescent="0.25"/>
    <row r="36058" s="12" customFormat="1" x14ac:dyDescent="0.25"/>
    <row r="36059" s="12" customFormat="1" x14ac:dyDescent="0.25"/>
    <row r="36060" s="12" customFormat="1" x14ac:dyDescent="0.25"/>
    <row r="36061" s="12" customFormat="1" x14ac:dyDescent="0.25"/>
    <row r="36062" s="12" customFormat="1" x14ac:dyDescent="0.25"/>
    <row r="36063" s="12" customFormat="1" x14ac:dyDescent="0.25"/>
    <row r="36064" s="12" customFormat="1" x14ac:dyDescent="0.25"/>
    <row r="36065" s="12" customFormat="1" x14ac:dyDescent="0.25"/>
    <row r="36066" s="12" customFormat="1" x14ac:dyDescent="0.25"/>
    <row r="36067" s="12" customFormat="1" x14ac:dyDescent="0.25"/>
    <row r="36068" s="12" customFormat="1" x14ac:dyDescent="0.25"/>
    <row r="36069" s="12" customFormat="1" x14ac:dyDescent="0.25"/>
    <row r="36070" s="12" customFormat="1" x14ac:dyDescent="0.25"/>
    <row r="36071" s="12" customFormat="1" x14ac:dyDescent="0.25"/>
    <row r="36072" s="12" customFormat="1" x14ac:dyDescent="0.25"/>
    <row r="36073" s="12" customFormat="1" x14ac:dyDescent="0.25"/>
    <row r="36074" s="12" customFormat="1" x14ac:dyDescent="0.25"/>
    <row r="36075" s="12" customFormat="1" x14ac:dyDescent="0.25"/>
    <row r="36076" s="12" customFormat="1" x14ac:dyDescent="0.25"/>
    <row r="36077" s="12" customFormat="1" x14ac:dyDescent="0.25"/>
    <row r="36078" s="12" customFormat="1" x14ac:dyDescent="0.25"/>
    <row r="36079" s="12" customFormat="1" x14ac:dyDescent="0.25"/>
    <row r="36080" s="12" customFormat="1" x14ac:dyDescent="0.25"/>
    <row r="36081" s="12" customFormat="1" x14ac:dyDescent="0.25"/>
    <row r="36082" s="12" customFormat="1" x14ac:dyDescent="0.25"/>
    <row r="36083" s="12" customFormat="1" x14ac:dyDescent="0.25"/>
    <row r="36084" s="12" customFormat="1" x14ac:dyDescent="0.25"/>
    <row r="36085" s="12" customFormat="1" x14ac:dyDescent="0.25"/>
    <row r="36086" s="12" customFormat="1" x14ac:dyDescent="0.25"/>
    <row r="36087" s="12" customFormat="1" x14ac:dyDescent="0.25"/>
    <row r="36088" s="12" customFormat="1" x14ac:dyDescent="0.25"/>
    <row r="36089" s="12" customFormat="1" x14ac:dyDescent="0.25"/>
    <row r="36090" s="12" customFormat="1" x14ac:dyDescent="0.25"/>
    <row r="36091" s="12" customFormat="1" x14ac:dyDescent="0.25"/>
    <row r="36092" s="12" customFormat="1" x14ac:dyDescent="0.25"/>
    <row r="36093" s="12" customFormat="1" x14ac:dyDescent="0.25"/>
    <row r="36094" s="12" customFormat="1" x14ac:dyDescent="0.25"/>
    <row r="36095" s="12" customFormat="1" x14ac:dyDescent="0.25"/>
    <row r="36096" s="12" customFormat="1" x14ac:dyDescent="0.25"/>
    <row r="36097" s="12" customFormat="1" x14ac:dyDescent="0.25"/>
    <row r="36098" s="12" customFormat="1" x14ac:dyDescent="0.25"/>
    <row r="36099" s="12" customFormat="1" x14ac:dyDescent="0.25"/>
    <row r="36100" s="12" customFormat="1" x14ac:dyDescent="0.25"/>
    <row r="36101" s="12" customFormat="1" x14ac:dyDescent="0.25"/>
    <row r="36102" s="12" customFormat="1" x14ac:dyDescent="0.25"/>
    <row r="36103" s="12" customFormat="1" x14ac:dyDescent="0.25"/>
    <row r="36104" s="12" customFormat="1" x14ac:dyDescent="0.25"/>
    <row r="36105" s="12" customFormat="1" x14ac:dyDescent="0.25"/>
    <row r="36106" s="12" customFormat="1" x14ac:dyDescent="0.25"/>
    <row r="36107" s="12" customFormat="1" x14ac:dyDescent="0.25"/>
    <row r="36108" s="12" customFormat="1" x14ac:dyDescent="0.25"/>
    <row r="36109" s="12" customFormat="1" x14ac:dyDescent="0.25"/>
    <row r="36110" s="12" customFormat="1" x14ac:dyDescent="0.25"/>
    <row r="36111" s="12" customFormat="1" x14ac:dyDescent="0.25"/>
    <row r="36112" s="12" customFormat="1" x14ac:dyDescent="0.25"/>
    <row r="36113" s="12" customFormat="1" x14ac:dyDescent="0.25"/>
    <row r="36114" s="12" customFormat="1" x14ac:dyDescent="0.25"/>
    <row r="36115" s="12" customFormat="1" x14ac:dyDescent="0.25"/>
    <row r="36116" s="12" customFormat="1" x14ac:dyDescent="0.25"/>
    <row r="36117" s="12" customFormat="1" x14ac:dyDescent="0.25"/>
    <row r="36118" s="12" customFormat="1" x14ac:dyDescent="0.25"/>
    <row r="36119" s="12" customFormat="1" x14ac:dyDescent="0.25"/>
    <row r="36120" s="12" customFormat="1" x14ac:dyDescent="0.25"/>
    <row r="36121" s="12" customFormat="1" x14ac:dyDescent="0.25"/>
    <row r="36122" s="12" customFormat="1" x14ac:dyDescent="0.25"/>
    <row r="36123" s="12" customFormat="1" x14ac:dyDescent="0.25"/>
    <row r="36124" s="12" customFormat="1" x14ac:dyDescent="0.25"/>
    <row r="36125" s="12" customFormat="1" x14ac:dyDescent="0.25"/>
    <row r="36126" s="12" customFormat="1" x14ac:dyDescent="0.25"/>
    <row r="36127" s="12" customFormat="1" x14ac:dyDescent="0.25"/>
    <row r="36128" s="12" customFormat="1" x14ac:dyDescent="0.25"/>
    <row r="36129" s="12" customFormat="1" x14ac:dyDescent="0.25"/>
    <row r="36130" s="12" customFormat="1" x14ac:dyDescent="0.25"/>
    <row r="36131" s="12" customFormat="1" x14ac:dyDescent="0.25"/>
    <row r="36132" s="12" customFormat="1" x14ac:dyDescent="0.25"/>
    <row r="36133" s="12" customFormat="1" x14ac:dyDescent="0.25"/>
    <row r="36134" s="12" customFormat="1" x14ac:dyDescent="0.25"/>
    <row r="36135" s="12" customFormat="1" x14ac:dyDescent="0.25"/>
    <row r="36136" s="12" customFormat="1" x14ac:dyDescent="0.25"/>
    <row r="36137" s="12" customFormat="1" x14ac:dyDescent="0.25"/>
    <row r="36138" s="12" customFormat="1" x14ac:dyDescent="0.25"/>
    <row r="36139" s="12" customFormat="1" x14ac:dyDescent="0.25"/>
    <row r="36140" s="12" customFormat="1" x14ac:dyDescent="0.25"/>
    <row r="36141" s="12" customFormat="1" x14ac:dyDescent="0.25"/>
    <row r="36142" s="12" customFormat="1" x14ac:dyDescent="0.25"/>
    <row r="36143" s="12" customFormat="1" x14ac:dyDescent="0.25"/>
    <row r="36144" s="12" customFormat="1" x14ac:dyDescent="0.25"/>
    <row r="36145" s="12" customFormat="1" x14ac:dyDescent="0.25"/>
    <row r="36146" s="12" customFormat="1" x14ac:dyDescent="0.25"/>
    <row r="36147" s="12" customFormat="1" x14ac:dyDescent="0.25"/>
    <row r="36148" s="12" customFormat="1" x14ac:dyDescent="0.25"/>
    <row r="36149" s="12" customFormat="1" x14ac:dyDescent="0.25"/>
    <row r="36150" s="12" customFormat="1" x14ac:dyDescent="0.25"/>
    <row r="36151" s="12" customFormat="1" x14ac:dyDescent="0.25"/>
    <row r="36152" s="12" customFormat="1" x14ac:dyDescent="0.25"/>
    <row r="36153" s="12" customFormat="1" x14ac:dyDescent="0.25"/>
    <row r="36154" s="12" customFormat="1" x14ac:dyDescent="0.25"/>
    <row r="36155" s="12" customFormat="1" x14ac:dyDescent="0.25"/>
    <row r="36156" s="12" customFormat="1" x14ac:dyDescent="0.25"/>
    <row r="36157" s="12" customFormat="1" x14ac:dyDescent="0.25"/>
    <row r="36158" s="12" customFormat="1" x14ac:dyDescent="0.25"/>
    <row r="36159" s="12" customFormat="1" x14ac:dyDescent="0.25"/>
    <row r="36160" s="12" customFormat="1" x14ac:dyDescent="0.25"/>
    <row r="36161" s="12" customFormat="1" x14ac:dyDescent="0.25"/>
    <row r="36162" s="12" customFormat="1" x14ac:dyDescent="0.25"/>
    <row r="36163" s="12" customFormat="1" x14ac:dyDescent="0.25"/>
    <row r="36164" s="12" customFormat="1" x14ac:dyDescent="0.25"/>
    <row r="36165" s="12" customFormat="1" x14ac:dyDescent="0.25"/>
    <row r="36166" s="12" customFormat="1" x14ac:dyDescent="0.25"/>
    <row r="36167" s="12" customFormat="1" x14ac:dyDescent="0.25"/>
    <row r="36168" s="12" customFormat="1" x14ac:dyDescent="0.25"/>
    <row r="36169" s="12" customFormat="1" x14ac:dyDescent="0.25"/>
    <row r="36170" s="12" customFormat="1" x14ac:dyDescent="0.25"/>
    <row r="36171" s="12" customFormat="1" x14ac:dyDescent="0.25"/>
    <row r="36172" s="12" customFormat="1" x14ac:dyDescent="0.25"/>
    <row r="36173" s="12" customFormat="1" x14ac:dyDescent="0.25"/>
    <row r="36174" s="12" customFormat="1" x14ac:dyDescent="0.25"/>
    <row r="36175" s="12" customFormat="1" x14ac:dyDescent="0.25"/>
    <row r="36176" s="12" customFormat="1" x14ac:dyDescent="0.25"/>
    <row r="36177" s="12" customFormat="1" x14ac:dyDescent="0.25"/>
    <row r="36178" s="12" customFormat="1" x14ac:dyDescent="0.25"/>
    <row r="36179" s="12" customFormat="1" x14ac:dyDescent="0.25"/>
    <row r="36180" s="12" customFormat="1" x14ac:dyDescent="0.25"/>
    <row r="36181" s="12" customFormat="1" x14ac:dyDescent="0.25"/>
    <row r="36182" s="12" customFormat="1" x14ac:dyDescent="0.25"/>
    <row r="36183" s="12" customFormat="1" x14ac:dyDescent="0.25"/>
    <row r="36184" s="12" customFormat="1" x14ac:dyDescent="0.25"/>
    <row r="36185" s="12" customFormat="1" x14ac:dyDescent="0.25"/>
    <row r="36186" s="12" customFormat="1" x14ac:dyDescent="0.25"/>
    <row r="36187" s="12" customFormat="1" x14ac:dyDescent="0.25"/>
    <row r="36188" s="12" customFormat="1" x14ac:dyDescent="0.25"/>
    <row r="36189" s="12" customFormat="1" x14ac:dyDescent="0.25"/>
    <row r="36190" s="12" customFormat="1" x14ac:dyDescent="0.25"/>
    <row r="36191" s="12" customFormat="1" x14ac:dyDescent="0.25"/>
    <row r="36192" s="12" customFormat="1" x14ac:dyDescent="0.25"/>
    <row r="36193" s="12" customFormat="1" x14ac:dyDescent="0.25"/>
    <row r="36194" s="12" customFormat="1" x14ac:dyDescent="0.25"/>
    <row r="36195" s="12" customFormat="1" x14ac:dyDescent="0.25"/>
    <row r="36196" s="12" customFormat="1" x14ac:dyDescent="0.25"/>
    <row r="36197" s="12" customFormat="1" x14ac:dyDescent="0.25"/>
    <row r="36198" s="12" customFormat="1" x14ac:dyDescent="0.25"/>
    <row r="36199" s="12" customFormat="1" x14ac:dyDescent="0.25"/>
    <row r="36200" s="12" customFormat="1" x14ac:dyDescent="0.25"/>
    <row r="36201" s="12" customFormat="1" x14ac:dyDescent="0.25"/>
    <row r="36202" s="12" customFormat="1" x14ac:dyDescent="0.25"/>
    <row r="36203" s="12" customFormat="1" x14ac:dyDescent="0.25"/>
    <row r="36204" s="12" customFormat="1" x14ac:dyDescent="0.25"/>
    <row r="36205" s="12" customFormat="1" x14ac:dyDescent="0.25"/>
    <row r="36206" s="12" customFormat="1" x14ac:dyDescent="0.25"/>
    <row r="36207" s="12" customFormat="1" x14ac:dyDescent="0.25"/>
    <row r="36208" s="12" customFormat="1" x14ac:dyDescent="0.25"/>
    <row r="36209" s="12" customFormat="1" x14ac:dyDescent="0.25"/>
    <row r="36210" s="12" customFormat="1" x14ac:dyDescent="0.25"/>
    <row r="36211" s="12" customFormat="1" x14ac:dyDescent="0.25"/>
    <row r="36212" s="12" customFormat="1" x14ac:dyDescent="0.25"/>
    <row r="36213" s="12" customFormat="1" x14ac:dyDescent="0.25"/>
    <row r="36214" s="12" customFormat="1" x14ac:dyDescent="0.25"/>
    <row r="36215" s="12" customFormat="1" x14ac:dyDescent="0.25"/>
    <row r="36216" s="12" customFormat="1" x14ac:dyDescent="0.25"/>
    <row r="36217" s="12" customFormat="1" x14ac:dyDescent="0.25"/>
    <row r="36218" s="12" customFormat="1" x14ac:dyDescent="0.25"/>
    <row r="36219" s="12" customFormat="1" x14ac:dyDescent="0.25"/>
    <row r="36220" s="12" customFormat="1" x14ac:dyDescent="0.25"/>
    <row r="36221" s="12" customFormat="1" x14ac:dyDescent="0.25"/>
    <row r="36222" s="12" customFormat="1" x14ac:dyDescent="0.25"/>
    <row r="36223" s="12" customFormat="1" x14ac:dyDescent="0.25"/>
    <row r="36224" s="12" customFormat="1" x14ac:dyDescent="0.25"/>
    <row r="36225" s="12" customFormat="1" x14ac:dyDescent="0.25"/>
    <row r="36226" s="12" customFormat="1" x14ac:dyDescent="0.25"/>
    <row r="36227" s="12" customFormat="1" x14ac:dyDescent="0.25"/>
    <row r="36228" s="12" customFormat="1" x14ac:dyDescent="0.25"/>
    <row r="36229" s="12" customFormat="1" x14ac:dyDescent="0.25"/>
    <row r="36230" s="12" customFormat="1" x14ac:dyDescent="0.25"/>
    <row r="36231" s="12" customFormat="1" x14ac:dyDescent="0.25"/>
    <row r="36232" s="12" customFormat="1" x14ac:dyDescent="0.25"/>
    <row r="36233" s="12" customFormat="1" x14ac:dyDescent="0.25"/>
    <row r="36234" s="12" customFormat="1" x14ac:dyDescent="0.25"/>
    <row r="36235" s="12" customFormat="1" x14ac:dyDescent="0.25"/>
    <row r="36236" s="12" customFormat="1" x14ac:dyDescent="0.25"/>
    <row r="36237" s="12" customFormat="1" x14ac:dyDescent="0.25"/>
    <row r="36238" s="12" customFormat="1" x14ac:dyDescent="0.25"/>
    <row r="36239" s="12" customFormat="1" x14ac:dyDescent="0.25"/>
    <row r="36240" s="12" customFormat="1" x14ac:dyDescent="0.25"/>
    <row r="36241" s="12" customFormat="1" x14ac:dyDescent="0.25"/>
    <row r="36242" s="12" customFormat="1" x14ac:dyDescent="0.25"/>
    <row r="36243" s="12" customFormat="1" x14ac:dyDescent="0.25"/>
    <row r="36244" s="12" customFormat="1" x14ac:dyDescent="0.25"/>
    <row r="36245" s="12" customFormat="1" x14ac:dyDescent="0.25"/>
    <row r="36246" s="12" customFormat="1" x14ac:dyDescent="0.25"/>
    <row r="36247" s="12" customFormat="1" x14ac:dyDescent="0.25"/>
    <row r="36248" s="12" customFormat="1" x14ac:dyDescent="0.25"/>
    <row r="36249" s="12" customFormat="1" x14ac:dyDescent="0.25"/>
    <row r="36250" s="12" customFormat="1" x14ac:dyDescent="0.25"/>
    <row r="36251" s="12" customFormat="1" x14ac:dyDescent="0.25"/>
    <row r="36252" s="12" customFormat="1" x14ac:dyDescent="0.25"/>
    <row r="36253" s="12" customFormat="1" x14ac:dyDescent="0.25"/>
    <row r="36254" s="12" customFormat="1" x14ac:dyDescent="0.25"/>
    <row r="36255" s="12" customFormat="1" x14ac:dyDescent="0.25"/>
    <row r="36256" s="12" customFormat="1" x14ac:dyDescent="0.25"/>
    <row r="36257" s="12" customFormat="1" x14ac:dyDescent="0.25"/>
    <row r="36258" s="12" customFormat="1" x14ac:dyDescent="0.25"/>
    <row r="36259" s="12" customFormat="1" x14ac:dyDescent="0.25"/>
    <row r="36260" s="12" customFormat="1" x14ac:dyDescent="0.25"/>
    <row r="36261" s="12" customFormat="1" x14ac:dyDescent="0.25"/>
    <row r="36262" s="12" customFormat="1" x14ac:dyDescent="0.25"/>
    <row r="36263" s="12" customFormat="1" x14ac:dyDescent="0.25"/>
    <row r="36264" s="12" customFormat="1" x14ac:dyDescent="0.25"/>
    <row r="36265" s="12" customFormat="1" x14ac:dyDescent="0.25"/>
    <row r="36266" s="12" customFormat="1" x14ac:dyDescent="0.25"/>
    <row r="36267" s="12" customFormat="1" x14ac:dyDescent="0.25"/>
    <row r="36268" s="12" customFormat="1" x14ac:dyDescent="0.25"/>
    <row r="36269" s="12" customFormat="1" x14ac:dyDescent="0.25"/>
    <row r="36270" s="12" customFormat="1" x14ac:dyDescent="0.25"/>
    <row r="36271" s="12" customFormat="1" x14ac:dyDescent="0.25"/>
    <row r="36272" s="12" customFormat="1" x14ac:dyDescent="0.25"/>
    <row r="36273" s="12" customFormat="1" x14ac:dyDescent="0.25"/>
    <row r="36274" s="12" customFormat="1" x14ac:dyDescent="0.25"/>
    <row r="36275" s="12" customFormat="1" x14ac:dyDescent="0.25"/>
    <row r="36276" s="12" customFormat="1" x14ac:dyDescent="0.25"/>
    <row r="36277" s="12" customFormat="1" x14ac:dyDescent="0.25"/>
    <row r="36278" s="12" customFormat="1" x14ac:dyDescent="0.25"/>
    <row r="36279" s="12" customFormat="1" x14ac:dyDescent="0.25"/>
    <row r="36280" s="12" customFormat="1" x14ac:dyDescent="0.25"/>
    <row r="36281" s="12" customFormat="1" x14ac:dyDescent="0.25"/>
    <row r="36282" s="12" customFormat="1" x14ac:dyDescent="0.25"/>
    <row r="36283" s="12" customFormat="1" x14ac:dyDescent="0.25"/>
    <row r="36284" s="12" customFormat="1" x14ac:dyDescent="0.25"/>
    <row r="36285" s="12" customFormat="1" x14ac:dyDescent="0.25"/>
    <row r="36286" s="12" customFormat="1" x14ac:dyDescent="0.25"/>
    <row r="36287" s="12" customFormat="1" x14ac:dyDescent="0.25"/>
    <row r="36288" s="12" customFormat="1" x14ac:dyDescent="0.25"/>
    <row r="36289" s="12" customFormat="1" x14ac:dyDescent="0.25"/>
    <row r="36290" s="12" customFormat="1" x14ac:dyDescent="0.25"/>
    <row r="36291" s="12" customFormat="1" x14ac:dyDescent="0.25"/>
    <row r="36292" s="12" customFormat="1" x14ac:dyDescent="0.25"/>
    <row r="36293" s="12" customFormat="1" x14ac:dyDescent="0.25"/>
    <row r="36294" s="12" customFormat="1" x14ac:dyDescent="0.25"/>
    <row r="36295" s="12" customFormat="1" x14ac:dyDescent="0.25"/>
    <row r="36296" s="12" customFormat="1" x14ac:dyDescent="0.25"/>
    <row r="36297" s="12" customFormat="1" x14ac:dyDescent="0.25"/>
    <row r="36298" s="12" customFormat="1" x14ac:dyDescent="0.25"/>
    <row r="36299" s="12" customFormat="1" x14ac:dyDescent="0.25"/>
    <row r="36300" s="12" customFormat="1" x14ac:dyDescent="0.25"/>
    <row r="36301" s="12" customFormat="1" x14ac:dyDescent="0.25"/>
    <row r="36302" s="12" customFormat="1" x14ac:dyDescent="0.25"/>
    <row r="36303" s="12" customFormat="1" x14ac:dyDescent="0.25"/>
    <row r="36304" s="12" customFormat="1" x14ac:dyDescent="0.25"/>
    <row r="36305" s="12" customFormat="1" x14ac:dyDescent="0.25"/>
    <row r="36306" s="12" customFormat="1" x14ac:dyDescent="0.25"/>
    <row r="36307" s="12" customFormat="1" x14ac:dyDescent="0.25"/>
    <row r="36308" s="12" customFormat="1" x14ac:dyDescent="0.25"/>
    <row r="36309" s="12" customFormat="1" x14ac:dyDescent="0.25"/>
    <row r="36310" s="12" customFormat="1" x14ac:dyDescent="0.25"/>
    <row r="36311" s="12" customFormat="1" x14ac:dyDescent="0.25"/>
    <row r="36312" s="12" customFormat="1" x14ac:dyDescent="0.25"/>
    <row r="36313" s="12" customFormat="1" x14ac:dyDescent="0.25"/>
    <row r="36314" s="12" customFormat="1" x14ac:dyDescent="0.25"/>
    <row r="36315" s="12" customFormat="1" x14ac:dyDescent="0.25"/>
    <row r="36316" s="12" customFormat="1" x14ac:dyDescent="0.25"/>
    <row r="36317" s="12" customFormat="1" x14ac:dyDescent="0.25"/>
    <row r="36318" s="12" customFormat="1" x14ac:dyDescent="0.25"/>
    <row r="36319" s="12" customFormat="1" x14ac:dyDescent="0.25"/>
    <row r="36320" s="12" customFormat="1" x14ac:dyDescent="0.25"/>
    <row r="36321" s="12" customFormat="1" x14ac:dyDescent="0.25"/>
    <row r="36322" s="12" customFormat="1" x14ac:dyDescent="0.25"/>
    <row r="36323" s="12" customFormat="1" x14ac:dyDescent="0.25"/>
    <row r="36324" s="12" customFormat="1" x14ac:dyDescent="0.25"/>
    <row r="36325" s="12" customFormat="1" x14ac:dyDescent="0.25"/>
    <row r="36326" s="12" customFormat="1" x14ac:dyDescent="0.25"/>
    <row r="36327" s="12" customFormat="1" x14ac:dyDescent="0.25"/>
    <row r="36328" s="12" customFormat="1" x14ac:dyDescent="0.25"/>
    <row r="36329" s="12" customFormat="1" x14ac:dyDescent="0.25"/>
    <row r="36330" s="12" customFormat="1" x14ac:dyDescent="0.25"/>
    <row r="36331" s="12" customFormat="1" x14ac:dyDescent="0.25"/>
    <row r="36332" s="12" customFormat="1" x14ac:dyDescent="0.25"/>
    <row r="36333" s="12" customFormat="1" x14ac:dyDescent="0.25"/>
    <row r="36334" s="12" customFormat="1" x14ac:dyDescent="0.25"/>
    <row r="36335" s="12" customFormat="1" x14ac:dyDescent="0.25"/>
    <row r="36336" s="12" customFormat="1" x14ac:dyDescent="0.25"/>
    <row r="36337" s="12" customFormat="1" x14ac:dyDescent="0.25"/>
    <row r="36338" s="12" customFormat="1" x14ac:dyDescent="0.25"/>
    <row r="36339" s="12" customFormat="1" x14ac:dyDescent="0.25"/>
    <row r="36340" s="12" customFormat="1" x14ac:dyDescent="0.25"/>
    <row r="36341" s="12" customFormat="1" x14ac:dyDescent="0.25"/>
    <row r="36342" s="12" customFormat="1" x14ac:dyDescent="0.25"/>
    <row r="36343" s="12" customFormat="1" x14ac:dyDescent="0.25"/>
    <row r="36344" s="12" customFormat="1" x14ac:dyDescent="0.25"/>
    <row r="36345" s="12" customFormat="1" x14ac:dyDescent="0.25"/>
    <row r="36346" s="12" customFormat="1" x14ac:dyDescent="0.25"/>
    <row r="36347" s="12" customFormat="1" x14ac:dyDescent="0.25"/>
    <row r="36348" s="12" customFormat="1" x14ac:dyDescent="0.25"/>
    <row r="36349" s="12" customFormat="1" x14ac:dyDescent="0.25"/>
    <row r="36350" s="12" customFormat="1" x14ac:dyDescent="0.25"/>
    <row r="36351" s="12" customFormat="1" x14ac:dyDescent="0.25"/>
    <row r="36352" s="12" customFormat="1" x14ac:dyDescent="0.25"/>
    <row r="36353" s="12" customFormat="1" x14ac:dyDescent="0.25"/>
    <row r="36354" s="12" customFormat="1" x14ac:dyDescent="0.25"/>
    <row r="36355" s="12" customFormat="1" x14ac:dyDescent="0.25"/>
    <row r="36356" s="12" customFormat="1" x14ac:dyDescent="0.25"/>
    <row r="36357" s="12" customFormat="1" x14ac:dyDescent="0.25"/>
    <row r="36358" s="12" customFormat="1" x14ac:dyDescent="0.25"/>
    <row r="36359" s="12" customFormat="1" x14ac:dyDescent="0.25"/>
    <row r="36360" s="12" customFormat="1" x14ac:dyDescent="0.25"/>
    <row r="36361" s="12" customFormat="1" x14ac:dyDescent="0.25"/>
    <row r="36362" s="12" customFormat="1" x14ac:dyDescent="0.25"/>
    <row r="36363" s="12" customFormat="1" x14ac:dyDescent="0.25"/>
    <row r="36364" s="12" customFormat="1" x14ac:dyDescent="0.25"/>
    <row r="36365" s="12" customFormat="1" x14ac:dyDescent="0.25"/>
    <row r="36366" s="12" customFormat="1" x14ac:dyDescent="0.25"/>
    <row r="36367" s="12" customFormat="1" x14ac:dyDescent="0.25"/>
    <row r="36368" s="12" customFormat="1" x14ac:dyDescent="0.25"/>
    <row r="36369" s="12" customFormat="1" x14ac:dyDescent="0.25"/>
    <row r="36370" s="12" customFormat="1" x14ac:dyDescent="0.25"/>
    <row r="36371" s="12" customFormat="1" x14ac:dyDescent="0.25"/>
    <row r="36372" s="12" customFormat="1" x14ac:dyDescent="0.25"/>
    <row r="36373" s="12" customFormat="1" x14ac:dyDescent="0.25"/>
    <row r="36374" s="12" customFormat="1" x14ac:dyDescent="0.25"/>
    <row r="36375" s="12" customFormat="1" x14ac:dyDescent="0.25"/>
    <row r="36376" s="12" customFormat="1" x14ac:dyDescent="0.25"/>
    <row r="36377" s="12" customFormat="1" x14ac:dyDescent="0.25"/>
    <row r="36378" s="12" customFormat="1" x14ac:dyDescent="0.25"/>
    <row r="36379" s="12" customFormat="1" x14ac:dyDescent="0.25"/>
    <row r="36380" s="12" customFormat="1" x14ac:dyDescent="0.25"/>
    <row r="36381" s="12" customFormat="1" x14ac:dyDescent="0.25"/>
    <row r="36382" s="12" customFormat="1" x14ac:dyDescent="0.25"/>
    <row r="36383" s="12" customFormat="1" x14ac:dyDescent="0.25"/>
    <row r="36384" s="12" customFormat="1" x14ac:dyDescent="0.25"/>
    <row r="36385" s="12" customFormat="1" x14ac:dyDescent="0.25"/>
    <row r="36386" s="12" customFormat="1" x14ac:dyDescent="0.25"/>
    <row r="36387" s="12" customFormat="1" x14ac:dyDescent="0.25"/>
    <row r="36388" s="12" customFormat="1" x14ac:dyDescent="0.25"/>
    <row r="36389" s="12" customFormat="1" x14ac:dyDescent="0.25"/>
    <row r="36390" s="12" customFormat="1" x14ac:dyDescent="0.25"/>
    <row r="36391" s="12" customFormat="1" x14ac:dyDescent="0.25"/>
    <row r="36392" s="12" customFormat="1" x14ac:dyDescent="0.25"/>
    <row r="36393" s="12" customFormat="1" x14ac:dyDescent="0.25"/>
    <row r="36394" s="12" customFormat="1" x14ac:dyDescent="0.25"/>
    <row r="36395" s="12" customFormat="1" x14ac:dyDescent="0.25"/>
    <row r="36396" s="12" customFormat="1" x14ac:dyDescent="0.25"/>
    <row r="36397" s="12" customFormat="1" x14ac:dyDescent="0.25"/>
    <row r="36398" s="12" customFormat="1" x14ac:dyDescent="0.25"/>
    <row r="36399" s="12" customFormat="1" x14ac:dyDescent="0.25"/>
    <row r="36400" s="12" customFormat="1" x14ac:dyDescent="0.25"/>
    <row r="36401" s="12" customFormat="1" x14ac:dyDescent="0.25"/>
    <row r="36402" s="12" customFormat="1" x14ac:dyDescent="0.25"/>
    <row r="36403" s="12" customFormat="1" x14ac:dyDescent="0.25"/>
    <row r="36404" s="12" customFormat="1" x14ac:dyDescent="0.25"/>
    <row r="36405" s="12" customFormat="1" x14ac:dyDescent="0.25"/>
    <row r="36406" s="12" customFormat="1" x14ac:dyDescent="0.25"/>
    <row r="36407" s="12" customFormat="1" x14ac:dyDescent="0.25"/>
    <row r="36408" s="12" customFormat="1" x14ac:dyDescent="0.25"/>
    <row r="36409" s="12" customFormat="1" x14ac:dyDescent="0.25"/>
    <row r="36410" s="12" customFormat="1" x14ac:dyDescent="0.25"/>
    <row r="36411" s="12" customFormat="1" x14ac:dyDescent="0.25"/>
    <row r="36412" s="12" customFormat="1" x14ac:dyDescent="0.25"/>
    <row r="36413" s="12" customFormat="1" x14ac:dyDescent="0.25"/>
    <row r="36414" s="12" customFormat="1" x14ac:dyDescent="0.25"/>
    <row r="36415" s="12" customFormat="1" x14ac:dyDescent="0.25"/>
    <row r="36416" s="12" customFormat="1" x14ac:dyDescent="0.25"/>
    <row r="36417" s="12" customFormat="1" x14ac:dyDescent="0.25"/>
    <row r="36418" s="12" customFormat="1" x14ac:dyDescent="0.25"/>
    <row r="36419" s="12" customFormat="1" x14ac:dyDescent="0.25"/>
    <row r="36420" s="12" customFormat="1" x14ac:dyDescent="0.25"/>
    <row r="36421" s="12" customFormat="1" x14ac:dyDescent="0.25"/>
    <row r="36422" s="12" customFormat="1" x14ac:dyDescent="0.25"/>
    <row r="36423" s="12" customFormat="1" x14ac:dyDescent="0.25"/>
    <row r="36424" s="12" customFormat="1" x14ac:dyDescent="0.25"/>
    <row r="36425" s="12" customFormat="1" x14ac:dyDescent="0.25"/>
    <row r="36426" s="12" customFormat="1" x14ac:dyDescent="0.25"/>
    <row r="36427" s="12" customFormat="1" x14ac:dyDescent="0.25"/>
    <row r="36428" s="12" customFormat="1" x14ac:dyDescent="0.25"/>
    <row r="36429" s="12" customFormat="1" x14ac:dyDescent="0.25"/>
    <row r="36430" s="12" customFormat="1" x14ac:dyDescent="0.25"/>
    <row r="36431" s="12" customFormat="1" x14ac:dyDescent="0.25"/>
    <row r="36432" s="12" customFormat="1" x14ac:dyDescent="0.25"/>
    <row r="36433" s="12" customFormat="1" x14ac:dyDescent="0.25"/>
    <row r="36434" s="12" customFormat="1" x14ac:dyDescent="0.25"/>
    <row r="36435" s="12" customFormat="1" x14ac:dyDescent="0.25"/>
    <row r="36436" s="12" customFormat="1" x14ac:dyDescent="0.25"/>
    <row r="36437" s="12" customFormat="1" x14ac:dyDescent="0.25"/>
    <row r="36438" s="12" customFormat="1" x14ac:dyDescent="0.25"/>
    <row r="36439" s="12" customFormat="1" x14ac:dyDescent="0.25"/>
    <row r="36440" s="12" customFormat="1" x14ac:dyDescent="0.25"/>
    <row r="36441" s="12" customFormat="1" x14ac:dyDescent="0.25"/>
    <row r="36442" s="12" customFormat="1" x14ac:dyDescent="0.25"/>
    <row r="36443" s="12" customFormat="1" x14ac:dyDescent="0.25"/>
    <row r="36444" s="12" customFormat="1" x14ac:dyDescent="0.25"/>
    <row r="36445" s="12" customFormat="1" x14ac:dyDescent="0.25"/>
    <row r="36446" s="12" customFormat="1" x14ac:dyDescent="0.25"/>
    <row r="36447" s="12" customFormat="1" x14ac:dyDescent="0.25"/>
    <row r="36448" s="12" customFormat="1" x14ac:dyDescent="0.25"/>
    <row r="36449" s="12" customFormat="1" x14ac:dyDescent="0.25"/>
    <row r="36450" s="12" customFormat="1" x14ac:dyDescent="0.25"/>
    <row r="36451" s="12" customFormat="1" x14ac:dyDescent="0.25"/>
    <row r="36452" s="12" customFormat="1" x14ac:dyDescent="0.25"/>
    <row r="36453" s="12" customFormat="1" x14ac:dyDescent="0.25"/>
    <row r="36454" s="12" customFormat="1" x14ac:dyDescent="0.25"/>
    <row r="36455" s="12" customFormat="1" x14ac:dyDescent="0.25"/>
    <row r="36456" s="12" customFormat="1" x14ac:dyDescent="0.25"/>
    <row r="36457" s="12" customFormat="1" x14ac:dyDescent="0.25"/>
    <row r="36458" s="12" customFormat="1" x14ac:dyDescent="0.25"/>
    <row r="36459" s="12" customFormat="1" x14ac:dyDescent="0.25"/>
    <row r="36460" s="12" customFormat="1" x14ac:dyDescent="0.25"/>
    <row r="36461" s="12" customFormat="1" x14ac:dyDescent="0.25"/>
    <row r="36462" s="12" customFormat="1" x14ac:dyDescent="0.25"/>
    <row r="36463" s="12" customFormat="1" x14ac:dyDescent="0.25"/>
    <row r="36464" s="12" customFormat="1" x14ac:dyDescent="0.25"/>
    <row r="36465" s="12" customFormat="1" x14ac:dyDescent="0.25"/>
    <row r="36466" s="12" customFormat="1" x14ac:dyDescent="0.25"/>
    <row r="36467" s="12" customFormat="1" x14ac:dyDescent="0.25"/>
    <row r="36468" s="12" customFormat="1" x14ac:dyDescent="0.25"/>
    <row r="36469" s="12" customFormat="1" x14ac:dyDescent="0.25"/>
    <row r="36470" s="12" customFormat="1" x14ac:dyDescent="0.25"/>
    <row r="36471" s="12" customFormat="1" x14ac:dyDescent="0.25"/>
    <row r="36472" s="12" customFormat="1" x14ac:dyDescent="0.25"/>
    <row r="36473" s="12" customFormat="1" x14ac:dyDescent="0.25"/>
    <row r="36474" s="12" customFormat="1" x14ac:dyDescent="0.25"/>
    <row r="36475" s="12" customFormat="1" x14ac:dyDescent="0.25"/>
    <row r="36476" s="12" customFormat="1" x14ac:dyDescent="0.25"/>
    <row r="36477" s="12" customFormat="1" x14ac:dyDescent="0.25"/>
    <row r="36478" s="12" customFormat="1" x14ac:dyDescent="0.25"/>
    <row r="36479" s="12" customFormat="1" x14ac:dyDescent="0.25"/>
    <row r="36480" s="12" customFormat="1" x14ac:dyDescent="0.25"/>
    <row r="36481" s="12" customFormat="1" x14ac:dyDescent="0.25"/>
    <row r="36482" s="12" customFormat="1" x14ac:dyDescent="0.25"/>
    <row r="36483" s="12" customFormat="1" x14ac:dyDescent="0.25"/>
    <row r="36484" s="12" customFormat="1" x14ac:dyDescent="0.25"/>
    <row r="36485" s="12" customFormat="1" x14ac:dyDescent="0.25"/>
    <row r="36486" s="12" customFormat="1" x14ac:dyDescent="0.25"/>
    <row r="36487" s="12" customFormat="1" x14ac:dyDescent="0.25"/>
    <row r="36488" s="12" customFormat="1" x14ac:dyDescent="0.25"/>
    <row r="36489" s="12" customFormat="1" x14ac:dyDescent="0.25"/>
    <row r="36490" s="12" customFormat="1" x14ac:dyDescent="0.25"/>
    <row r="36491" s="12" customFormat="1" x14ac:dyDescent="0.25"/>
    <row r="36492" s="12" customFormat="1" x14ac:dyDescent="0.25"/>
    <row r="36493" s="12" customFormat="1" x14ac:dyDescent="0.25"/>
    <row r="36494" s="12" customFormat="1" x14ac:dyDescent="0.25"/>
    <row r="36495" s="12" customFormat="1" x14ac:dyDescent="0.25"/>
    <row r="36496" s="12" customFormat="1" x14ac:dyDescent="0.25"/>
    <row r="36497" s="12" customFormat="1" x14ac:dyDescent="0.25"/>
    <row r="36498" s="12" customFormat="1" x14ac:dyDescent="0.25"/>
    <row r="36499" s="12" customFormat="1" x14ac:dyDescent="0.25"/>
    <row r="36500" s="12" customFormat="1" x14ac:dyDescent="0.25"/>
    <row r="36501" s="12" customFormat="1" x14ac:dyDescent="0.25"/>
    <row r="36502" s="12" customFormat="1" x14ac:dyDescent="0.25"/>
    <row r="36503" s="12" customFormat="1" x14ac:dyDescent="0.25"/>
    <row r="36504" s="12" customFormat="1" x14ac:dyDescent="0.25"/>
    <row r="36505" s="12" customFormat="1" x14ac:dyDescent="0.25"/>
    <row r="36506" s="12" customFormat="1" x14ac:dyDescent="0.25"/>
    <row r="36507" s="12" customFormat="1" x14ac:dyDescent="0.25"/>
    <row r="36508" s="12" customFormat="1" x14ac:dyDescent="0.25"/>
    <row r="36509" s="12" customFormat="1" x14ac:dyDescent="0.25"/>
    <row r="36510" s="12" customFormat="1" x14ac:dyDescent="0.25"/>
    <row r="36511" s="12" customFormat="1" x14ac:dyDescent="0.25"/>
    <row r="36512" s="12" customFormat="1" x14ac:dyDescent="0.25"/>
    <row r="36513" s="12" customFormat="1" x14ac:dyDescent="0.25"/>
    <row r="36514" s="12" customFormat="1" x14ac:dyDescent="0.25"/>
    <row r="36515" s="12" customFormat="1" x14ac:dyDescent="0.25"/>
    <row r="36516" s="12" customFormat="1" x14ac:dyDescent="0.25"/>
    <row r="36517" s="12" customFormat="1" x14ac:dyDescent="0.25"/>
    <row r="36518" s="12" customFormat="1" x14ac:dyDescent="0.25"/>
    <row r="36519" s="12" customFormat="1" x14ac:dyDescent="0.25"/>
    <row r="36520" s="12" customFormat="1" x14ac:dyDescent="0.25"/>
    <row r="36521" s="12" customFormat="1" x14ac:dyDescent="0.25"/>
    <row r="36522" s="12" customFormat="1" x14ac:dyDescent="0.25"/>
    <row r="36523" s="12" customFormat="1" x14ac:dyDescent="0.25"/>
    <row r="36524" s="12" customFormat="1" x14ac:dyDescent="0.25"/>
    <row r="36525" s="12" customFormat="1" x14ac:dyDescent="0.25"/>
    <row r="36526" s="12" customFormat="1" x14ac:dyDescent="0.25"/>
    <row r="36527" s="12" customFormat="1" x14ac:dyDescent="0.25"/>
    <row r="36528" s="12" customFormat="1" x14ac:dyDescent="0.25"/>
    <row r="36529" s="12" customFormat="1" x14ac:dyDescent="0.25"/>
    <row r="36530" s="12" customFormat="1" x14ac:dyDescent="0.25"/>
    <row r="36531" s="12" customFormat="1" x14ac:dyDescent="0.25"/>
    <row r="36532" s="12" customFormat="1" x14ac:dyDescent="0.25"/>
    <row r="36533" s="12" customFormat="1" x14ac:dyDescent="0.25"/>
    <row r="36534" s="12" customFormat="1" x14ac:dyDescent="0.25"/>
    <row r="36535" s="12" customFormat="1" x14ac:dyDescent="0.25"/>
    <row r="36536" s="12" customFormat="1" x14ac:dyDescent="0.25"/>
    <row r="36537" s="12" customFormat="1" x14ac:dyDescent="0.25"/>
    <row r="36538" s="12" customFormat="1" x14ac:dyDescent="0.25"/>
    <row r="36539" s="12" customFormat="1" x14ac:dyDescent="0.25"/>
    <row r="36540" s="12" customFormat="1" x14ac:dyDescent="0.25"/>
    <row r="36541" s="12" customFormat="1" x14ac:dyDescent="0.25"/>
    <row r="36542" s="12" customFormat="1" x14ac:dyDescent="0.25"/>
    <row r="36543" s="12" customFormat="1" x14ac:dyDescent="0.25"/>
    <row r="36544" s="12" customFormat="1" x14ac:dyDescent="0.25"/>
    <row r="36545" s="12" customFormat="1" x14ac:dyDescent="0.25"/>
    <row r="36546" s="12" customFormat="1" x14ac:dyDescent="0.25"/>
    <row r="36547" s="12" customFormat="1" x14ac:dyDescent="0.25"/>
    <row r="36548" s="12" customFormat="1" x14ac:dyDescent="0.25"/>
    <row r="36549" s="12" customFormat="1" x14ac:dyDescent="0.25"/>
    <row r="36550" s="12" customFormat="1" x14ac:dyDescent="0.25"/>
    <row r="36551" s="12" customFormat="1" x14ac:dyDescent="0.25"/>
    <row r="36552" s="12" customFormat="1" x14ac:dyDescent="0.25"/>
    <row r="36553" s="12" customFormat="1" x14ac:dyDescent="0.25"/>
    <row r="36554" s="12" customFormat="1" x14ac:dyDescent="0.25"/>
    <row r="36555" s="12" customFormat="1" x14ac:dyDescent="0.25"/>
    <row r="36556" s="12" customFormat="1" x14ac:dyDescent="0.25"/>
    <row r="36557" s="12" customFormat="1" x14ac:dyDescent="0.25"/>
    <row r="36558" s="12" customFormat="1" x14ac:dyDescent="0.25"/>
    <row r="36559" s="12" customFormat="1" x14ac:dyDescent="0.25"/>
    <row r="36560" s="12" customFormat="1" x14ac:dyDescent="0.25"/>
    <row r="36561" s="12" customFormat="1" x14ac:dyDescent="0.25"/>
    <row r="36562" s="12" customFormat="1" x14ac:dyDescent="0.25"/>
    <row r="36563" s="12" customFormat="1" x14ac:dyDescent="0.25"/>
    <row r="36564" s="12" customFormat="1" x14ac:dyDescent="0.25"/>
    <row r="36565" s="12" customFormat="1" x14ac:dyDescent="0.25"/>
    <row r="36566" s="12" customFormat="1" x14ac:dyDescent="0.25"/>
    <row r="36567" s="12" customFormat="1" x14ac:dyDescent="0.25"/>
    <row r="36568" s="12" customFormat="1" x14ac:dyDescent="0.25"/>
    <row r="36569" s="12" customFormat="1" x14ac:dyDescent="0.25"/>
    <row r="36570" s="12" customFormat="1" x14ac:dyDescent="0.25"/>
    <row r="36571" s="12" customFormat="1" x14ac:dyDescent="0.25"/>
    <row r="36572" s="12" customFormat="1" x14ac:dyDescent="0.25"/>
    <row r="36573" s="12" customFormat="1" x14ac:dyDescent="0.25"/>
    <row r="36574" s="12" customFormat="1" x14ac:dyDescent="0.25"/>
    <row r="36575" s="12" customFormat="1" x14ac:dyDescent="0.25"/>
    <row r="36576" s="12" customFormat="1" x14ac:dyDescent="0.25"/>
    <row r="36577" s="12" customFormat="1" x14ac:dyDescent="0.25"/>
    <row r="36578" s="12" customFormat="1" x14ac:dyDescent="0.25"/>
    <row r="36579" s="12" customFormat="1" x14ac:dyDescent="0.25"/>
    <row r="36580" s="12" customFormat="1" x14ac:dyDescent="0.25"/>
    <row r="36581" s="12" customFormat="1" x14ac:dyDescent="0.25"/>
    <row r="36582" s="12" customFormat="1" x14ac:dyDescent="0.25"/>
    <row r="36583" s="12" customFormat="1" x14ac:dyDescent="0.25"/>
    <row r="36584" s="12" customFormat="1" x14ac:dyDescent="0.25"/>
    <row r="36585" s="12" customFormat="1" x14ac:dyDescent="0.25"/>
    <row r="36586" s="12" customFormat="1" x14ac:dyDescent="0.25"/>
    <row r="36587" s="12" customFormat="1" x14ac:dyDescent="0.25"/>
    <row r="36588" s="12" customFormat="1" x14ac:dyDescent="0.25"/>
    <row r="36589" s="12" customFormat="1" x14ac:dyDescent="0.25"/>
    <row r="36590" s="12" customFormat="1" x14ac:dyDescent="0.25"/>
    <row r="36591" s="12" customFormat="1" x14ac:dyDescent="0.25"/>
    <row r="36592" s="12" customFormat="1" x14ac:dyDescent="0.25"/>
    <row r="36593" s="12" customFormat="1" x14ac:dyDescent="0.25"/>
    <row r="36594" s="12" customFormat="1" x14ac:dyDescent="0.25"/>
    <row r="36595" s="12" customFormat="1" x14ac:dyDescent="0.25"/>
    <row r="36596" s="12" customFormat="1" x14ac:dyDescent="0.25"/>
    <row r="36597" s="12" customFormat="1" x14ac:dyDescent="0.25"/>
    <row r="36598" s="12" customFormat="1" x14ac:dyDescent="0.25"/>
    <row r="36599" s="12" customFormat="1" x14ac:dyDescent="0.25"/>
    <row r="36600" s="12" customFormat="1" x14ac:dyDescent="0.25"/>
    <row r="36601" s="12" customFormat="1" x14ac:dyDescent="0.25"/>
    <row r="36602" s="12" customFormat="1" x14ac:dyDescent="0.25"/>
    <row r="36603" s="12" customFormat="1" x14ac:dyDescent="0.25"/>
    <row r="36604" s="12" customFormat="1" x14ac:dyDescent="0.25"/>
    <row r="36605" s="12" customFormat="1" x14ac:dyDescent="0.25"/>
    <row r="36606" s="12" customFormat="1" x14ac:dyDescent="0.25"/>
    <row r="36607" s="12" customFormat="1" x14ac:dyDescent="0.25"/>
    <row r="36608" s="12" customFormat="1" x14ac:dyDescent="0.25"/>
    <row r="36609" s="12" customFormat="1" x14ac:dyDescent="0.25"/>
    <row r="36610" s="12" customFormat="1" x14ac:dyDescent="0.25"/>
    <row r="36611" s="12" customFormat="1" x14ac:dyDescent="0.25"/>
    <row r="36612" s="12" customFormat="1" x14ac:dyDescent="0.25"/>
    <row r="36613" s="12" customFormat="1" x14ac:dyDescent="0.25"/>
    <row r="36614" s="12" customFormat="1" x14ac:dyDescent="0.25"/>
    <row r="36615" s="12" customFormat="1" x14ac:dyDescent="0.25"/>
    <row r="36616" s="12" customFormat="1" x14ac:dyDescent="0.25"/>
    <row r="36617" s="12" customFormat="1" x14ac:dyDescent="0.25"/>
    <row r="36618" s="12" customFormat="1" x14ac:dyDescent="0.25"/>
    <row r="36619" s="12" customFormat="1" x14ac:dyDescent="0.25"/>
    <row r="36620" s="12" customFormat="1" x14ac:dyDescent="0.25"/>
    <row r="36621" s="12" customFormat="1" x14ac:dyDescent="0.25"/>
    <row r="36622" s="12" customFormat="1" x14ac:dyDescent="0.25"/>
    <row r="36623" s="12" customFormat="1" x14ac:dyDescent="0.25"/>
    <row r="36624" s="12" customFormat="1" x14ac:dyDescent="0.25"/>
    <row r="36625" s="12" customFormat="1" x14ac:dyDescent="0.25"/>
    <row r="36626" s="12" customFormat="1" x14ac:dyDescent="0.25"/>
    <row r="36627" s="12" customFormat="1" x14ac:dyDescent="0.25"/>
    <row r="36628" s="12" customFormat="1" x14ac:dyDescent="0.25"/>
    <row r="36629" s="12" customFormat="1" x14ac:dyDescent="0.25"/>
    <row r="36630" s="12" customFormat="1" x14ac:dyDescent="0.25"/>
    <row r="36631" s="12" customFormat="1" x14ac:dyDescent="0.25"/>
    <row r="36632" s="12" customFormat="1" x14ac:dyDescent="0.25"/>
    <row r="36633" s="12" customFormat="1" x14ac:dyDescent="0.25"/>
    <row r="36634" s="12" customFormat="1" x14ac:dyDescent="0.25"/>
    <row r="36635" s="12" customFormat="1" x14ac:dyDescent="0.25"/>
    <row r="36636" s="12" customFormat="1" x14ac:dyDescent="0.25"/>
    <row r="36637" s="12" customFormat="1" x14ac:dyDescent="0.25"/>
    <row r="36638" s="12" customFormat="1" x14ac:dyDescent="0.25"/>
    <row r="36639" s="12" customFormat="1" x14ac:dyDescent="0.25"/>
    <row r="36640" s="12" customFormat="1" x14ac:dyDescent="0.25"/>
    <row r="36641" s="12" customFormat="1" x14ac:dyDescent="0.25"/>
    <row r="36642" s="12" customFormat="1" x14ac:dyDescent="0.25"/>
    <row r="36643" s="12" customFormat="1" x14ac:dyDescent="0.25"/>
    <row r="36644" s="12" customFormat="1" x14ac:dyDescent="0.25"/>
    <row r="36645" s="12" customFormat="1" x14ac:dyDescent="0.25"/>
    <row r="36646" s="12" customFormat="1" x14ac:dyDescent="0.25"/>
    <row r="36647" s="12" customFormat="1" x14ac:dyDescent="0.25"/>
    <row r="36648" s="12" customFormat="1" x14ac:dyDescent="0.25"/>
    <row r="36649" s="12" customFormat="1" x14ac:dyDescent="0.25"/>
    <row r="36650" s="12" customFormat="1" x14ac:dyDescent="0.25"/>
    <row r="36651" s="12" customFormat="1" x14ac:dyDescent="0.25"/>
    <row r="36652" s="12" customFormat="1" x14ac:dyDescent="0.25"/>
    <row r="36653" s="12" customFormat="1" x14ac:dyDescent="0.25"/>
    <row r="36654" s="12" customFormat="1" x14ac:dyDescent="0.25"/>
    <row r="36655" s="12" customFormat="1" x14ac:dyDescent="0.25"/>
    <row r="36656" s="12" customFormat="1" x14ac:dyDescent="0.25"/>
    <row r="36657" s="12" customFormat="1" x14ac:dyDescent="0.25"/>
    <row r="36658" s="12" customFormat="1" x14ac:dyDescent="0.25"/>
    <row r="36659" s="12" customFormat="1" x14ac:dyDescent="0.25"/>
    <row r="36660" s="12" customFormat="1" x14ac:dyDescent="0.25"/>
    <row r="36661" s="12" customFormat="1" x14ac:dyDescent="0.25"/>
    <row r="36662" s="12" customFormat="1" x14ac:dyDescent="0.25"/>
    <row r="36663" s="12" customFormat="1" x14ac:dyDescent="0.25"/>
    <row r="36664" s="12" customFormat="1" x14ac:dyDescent="0.25"/>
    <row r="36665" s="12" customFormat="1" x14ac:dyDescent="0.25"/>
    <row r="36666" s="12" customFormat="1" x14ac:dyDescent="0.25"/>
    <row r="36667" s="12" customFormat="1" x14ac:dyDescent="0.25"/>
    <row r="36668" s="12" customFormat="1" x14ac:dyDescent="0.25"/>
    <row r="36669" s="12" customFormat="1" x14ac:dyDescent="0.25"/>
    <row r="36670" s="12" customFormat="1" x14ac:dyDescent="0.25"/>
    <row r="36671" s="12" customFormat="1" x14ac:dyDescent="0.25"/>
    <row r="36672" s="12" customFormat="1" x14ac:dyDescent="0.25"/>
    <row r="36673" s="12" customFormat="1" x14ac:dyDescent="0.25"/>
    <row r="36674" s="12" customFormat="1" x14ac:dyDescent="0.25"/>
    <row r="36675" s="12" customFormat="1" x14ac:dyDescent="0.25"/>
    <row r="36676" s="12" customFormat="1" x14ac:dyDescent="0.25"/>
    <row r="36677" s="12" customFormat="1" x14ac:dyDescent="0.25"/>
    <row r="36678" s="12" customFormat="1" x14ac:dyDescent="0.25"/>
    <row r="36679" s="12" customFormat="1" x14ac:dyDescent="0.25"/>
    <row r="36680" s="12" customFormat="1" x14ac:dyDescent="0.25"/>
    <row r="36681" s="12" customFormat="1" x14ac:dyDescent="0.25"/>
    <row r="36682" s="12" customFormat="1" x14ac:dyDescent="0.25"/>
    <row r="36683" s="12" customFormat="1" x14ac:dyDescent="0.25"/>
    <row r="36684" s="12" customFormat="1" x14ac:dyDescent="0.25"/>
    <row r="36685" s="12" customFormat="1" x14ac:dyDescent="0.25"/>
    <row r="36686" s="12" customFormat="1" x14ac:dyDescent="0.25"/>
    <row r="36687" s="12" customFormat="1" x14ac:dyDescent="0.25"/>
    <row r="36688" s="12" customFormat="1" x14ac:dyDescent="0.25"/>
    <row r="36689" s="12" customFormat="1" x14ac:dyDescent="0.25"/>
    <row r="36690" s="12" customFormat="1" x14ac:dyDescent="0.25"/>
    <row r="36691" s="12" customFormat="1" x14ac:dyDescent="0.25"/>
    <row r="36692" s="12" customFormat="1" x14ac:dyDescent="0.25"/>
    <row r="36693" s="12" customFormat="1" x14ac:dyDescent="0.25"/>
    <row r="36694" s="12" customFormat="1" x14ac:dyDescent="0.25"/>
    <row r="36695" s="12" customFormat="1" x14ac:dyDescent="0.25"/>
    <row r="36696" s="12" customFormat="1" x14ac:dyDescent="0.25"/>
    <row r="36697" s="12" customFormat="1" x14ac:dyDescent="0.25"/>
    <row r="36698" s="12" customFormat="1" x14ac:dyDescent="0.25"/>
    <row r="36699" s="12" customFormat="1" x14ac:dyDescent="0.25"/>
    <row r="36700" s="12" customFormat="1" x14ac:dyDescent="0.25"/>
    <row r="36701" s="12" customFormat="1" x14ac:dyDescent="0.25"/>
    <row r="36702" s="12" customFormat="1" x14ac:dyDescent="0.25"/>
    <row r="36703" s="12" customFormat="1" x14ac:dyDescent="0.25"/>
    <row r="36704" s="12" customFormat="1" x14ac:dyDescent="0.25"/>
    <row r="36705" s="12" customFormat="1" x14ac:dyDescent="0.25"/>
    <row r="36706" s="12" customFormat="1" x14ac:dyDescent="0.25"/>
    <row r="36707" s="12" customFormat="1" x14ac:dyDescent="0.25"/>
    <row r="36708" s="12" customFormat="1" x14ac:dyDescent="0.25"/>
    <row r="36709" s="12" customFormat="1" x14ac:dyDescent="0.25"/>
    <row r="36710" s="12" customFormat="1" x14ac:dyDescent="0.25"/>
    <row r="36711" s="12" customFormat="1" x14ac:dyDescent="0.25"/>
    <row r="36712" s="12" customFormat="1" x14ac:dyDescent="0.25"/>
    <row r="36713" s="12" customFormat="1" x14ac:dyDescent="0.25"/>
    <row r="36714" s="12" customFormat="1" x14ac:dyDescent="0.25"/>
    <row r="36715" s="12" customFormat="1" x14ac:dyDescent="0.25"/>
    <row r="36716" s="12" customFormat="1" x14ac:dyDescent="0.25"/>
    <row r="36717" s="12" customFormat="1" x14ac:dyDescent="0.25"/>
    <row r="36718" s="12" customFormat="1" x14ac:dyDescent="0.25"/>
    <row r="36719" s="12" customFormat="1" x14ac:dyDescent="0.25"/>
    <row r="36720" s="12" customFormat="1" x14ac:dyDescent="0.25"/>
    <row r="36721" s="12" customFormat="1" x14ac:dyDescent="0.25"/>
    <row r="36722" s="12" customFormat="1" x14ac:dyDescent="0.25"/>
    <row r="36723" s="12" customFormat="1" x14ac:dyDescent="0.25"/>
    <row r="36724" s="12" customFormat="1" x14ac:dyDescent="0.25"/>
    <row r="36725" s="12" customFormat="1" x14ac:dyDescent="0.25"/>
    <row r="36726" s="12" customFormat="1" x14ac:dyDescent="0.25"/>
    <row r="36727" s="12" customFormat="1" x14ac:dyDescent="0.25"/>
    <row r="36728" s="12" customFormat="1" x14ac:dyDescent="0.25"/>
    <row r="36729" s="12" customFormat="1" x14ac:dyDescent="0.25"/>
    <row r="36730" s="12" customFormat="1" x14ac:dyDescent="0.25"/>
    <row r="36731" s="12" customFormat="1" x14ac:dyDescent="0.25"/>
    <row r="36732" s="12" customFormat="1" x14ac:dyDescent="0.25"/>
    <row r="36733" s="12" customFormat="1" x14ac:dyDescent="0.25"/>
    <row r="36734" s="12" customFormat="1" x14ac:dyDescent="0.25"/>
    <row r="36735" s="12" customFormat="1" x14ac:dyDescent="0.25"/>
    <row r="36736" s="12" customFormat="1" x14ac:dyDescent="0.25"/>
    <row r="36737" s="12" customFormat="1" x14ac:dyDescent="0.25"/>
    <row r="36738" s="12" customFormat="1" x14ac:dyDescent="0.25"/>
    <row r="36739" s="12" customFormat="1" x14ac:dyDescent="0.25"/>
    <row r="36740" s="12" customFormat="1" x14ac:dyDescent="0.25"/>
    <row r="36741" s="12" customFormat="1" x14ac:dyDescent="0.25"/>
    <row r="36742" s="12" customFormat="1" x14ac:dyDescent="0.25"/>
    <row r="36743" s="12" customFormat="1" x14ac:dyDescent="0.25"/>
    <row r="36744" s="12" customFormat="1" x14ac:dyDescent="0.25"/>
    <row r="36745" s="12" customFormat="1" x14ac:dyDescent="0.25"/>
    <row r="36746" s="12" customFormat="1" x14ac:dyDescent="0.25"/>
    <row r="36747" s="12" customFormat="1" x14ac:dyDescent="0.25"/>
    <row r="36748" s="12" customFormat="1" x14ac:dyDescent="0.25"/>
    <row r="36749" s="12" customFormat="1" x14ac:dyDescent="0.25"/>
    <row r="36750" s="12" customFormat="1" x14ac:dyDescent="0.25"/>
    <row r="36751" s="12" customFormat="1" x14ac:dyDescent="0.25"/>
    <row r="36752" s="12" customFormat="1" x14ac:dyDescent="0.25"/>
    <row r="36753" s="12" customFormat="1" x14ac:dyDescent="0.25"/>
    <row r="36754" s="12" customFormat="1" x14ac:dyDescent="0.25"/>
    <row r="36755" s="12" customFormat="1" x14ac:dyDescent="0.25"/>
    <row r="36756" s="12" customFormat="1" x14ac:dyDescent="0.25"/>
    <row r="36757" s="12" customFormat="1" x14ac:dyDescent="0.25"/>
    <row r="36758" s="12" customFormat="1" x14ac:dyDescent="0.25"/>
    <row r="36759" s="12" customFormat="1" x14ac:dyDescent="0.25"/>
    <row r="36760" s="12" customFormat="1" x14ac:dyDescent="0.25"/>
    <row r="36761" s="12" customFormat="1" x14ac:dyDescent="0.25"/>
    <row r="36762" s="12" customFormat="1" x14ac:dyDescent="0.25"/>
    <row r="36763" s="12" customFormat="1" x14ac:dyDescent="0.25"/>
    <row r="36764" s="12" customFormat="1" x14ac:dyDescent="0.25"/>
    <row r="36765" s="12" customFormat="1" x14ac:dyDescent="0.25"/>
    <row r="36766" s="12" customFormat="1" x14ac:dyDescent="0.25"/>
    <row r="36767" s="12" customFormat="1" x14ac:dyDescent="0.25"/>
    <row r="36768" s="12" customFormat="1" x14ac:dyDescent="0.25"/>
    <row r="36769" s="12" customFormat="1" x14ac:dyDescent="0.25"/>
    <row r="36770" s="12" customFormat="1" x14ac:dyDescent="0.25"/>
    <row r="36771" s="12" customFormat="1" x14ac:dyDescent="0.25"/>
    <row r="36772" s="12" customFormat="1" x14ac:dyDescent="0.25"/>
    <row r="36773" s="12" customFormat="1" x14ac:dyDescent="0.25"/>
    <row r="36774" s="12" customFormat="1" x14ac:dyDescent="0.25"/>
    <row r="36775" s="12" customFormat="1" x14ac:dyDescent="0.25"/>
    <row r="36776" s="12" customFormat="1" x14ac:dyDescent="0.25"/>
    <row r="36777" s="12" customFormat="1" x14ac:dyDescent="0.25"/>
    <row r="36778" s="12" customFormat="1" x14ac:dyDescent="0.25"/>
    <row r="36779" s="12" customFormat="1" x14ac:dyDescent="0.25"/>
    <row r="36780" s="12" customFormat="1" x14ac:dyDescent="0.25"/>
    <row r="36781" s="12" customFormat="1" x14ac:dyDescent="0.25"/>
    <row r="36782" s="12" customFormat="1" x14ac:dyDescent="0.25"/>
    <row r="36783" s="12" customFormat="1" x14ac:dyDescent="0.25"/>
    <row r="36784" s="12" customFormat="1" x14ac:dyDescent="0.25"/>
    <row r="36785" s="12" customFormat="1" x14ac:dyDescent="0.25"/>
    <row r="36786" s="12" customFormat="1" x14ac:dyDescent="0.25"/>
    <row r="36787" s="12" customFormat="1" x14ac:dyDescent="0.25"/>
    <row r="36788" s="12" customFormat="1" x14ac:dyDescent="0.25"/>
    <row r="36789" s="12" customFormat="1" x14ac:dyDescent="0.25"/>
    <row r="36790" s="12" customFormat="1" x14ac:dyDescent="0.25"/>
    <row r="36791" s="12" customFormat="1" x14ac:dyDescent="0.25"/>
    <row r="36792" s="12" customFormat="1" x14ac:dyDescent="0.25"/>
    <row r="36793" s="12" customFormat="1" x14ac:dyDescent="0.25"/>
    <row r="36794" s="12" customFormat="1" x14ac:dyDescent="0.25"/>
    <row r="36795" s="12" customFormat="1" x14ac:dyDescent="0.25"/>
    <row r="36796" s="12" customFormat="1" x14ac:dyDescent="0.25"/>
    <row r="36797" s="12" customFormat="1" x14ac:dyDescent="0.25"/>
    <row r="36798" s="12" customFormat="1" x14ac:dyDescent="0.25"/>
    <row r="36799" s="12" customFormat="1" x14ac:dyDescent="0.25"/>
    <row r="36800" s="12" customFormat="1" x14ac:dyDescent="0.25"/>
    <row r="36801" s="12" customFormat="1" x14ac:dyDescent="0.25"/>
    <row r="36802" s="12" customFormat="1" x14ac:dyDescent="0.25"/>
    <row r="36803" s="12" customFormat="1" x14ac:dyDescent="0.25"/>
    <row r="36804" s="12" customFormat="1" x14ac:dyDescent="0.25"/>
    <row r="36805" s="12" customFormat="1" x14ac:dyDescent="0.25"/>
    <row r="36806" s="12" customFormat="1" x14ac:dyDescent="0.25"/>
    <row r="36807" s="12" customFormat="1" x14ac:dyDescent="0.25"/>
    <row r="36808" s="12" customFormat="1" x14ac:dyDescent="0.25"/>
    <row r="36809" s="12" customFormat="1" x14ac:dyDescent="0.25"/>
    <row r="36810" s="12" customFormat="1" x14ac:dyDescent="0.25"/>
    <row r="36811" s="12" customFormat="1" x14ac:dyDescent="0.25"/>
    <row r="36812" s="12" customFormat="1" x14ac:dyDescent="0.25"/>
    <row r="36813" s="12" customFormat="1" x14ac:dyDescent="0.25"/>
    <row r="36814" s="12" customFormat="1" x14ac:dyDescent="0.25"/>
    <row r="36815" s="12" customFormat="1" x14ac:dyDescent="0.25"/>
    <row r="36816" s="12" customFormat="1" x14ac:dyDescent="0.25"/>
    <row r="36817" s="12" customFormat="1" x14ac:dyDescent="0.25"/>
    <row r="36818" s="12" customFormat="1" x14ac:dyDescent="0.25"/>
    <row r="36819" s="12" customFormat="1" x14ac:dyDescent="0.25"/>
    <row r="36820" s="12" customFormat="1" x14ac:dyDescent="0.25"/>
    <row r="36821" s="12" customFormat="1" x14ac:dyDescent="0.25"/>
    <row r="36822" s="12" customFormat="1" x14ac:dyDescent="0.25"/>
    <row r="36823" s="12" customFormat="1" x14ac:dyDescent="0.25"/>
    <row r="36824" s="12" customFormat="1" x14ac:dyDescent="0.25"/>
    <row r="36825" s="12" customFormat="1" x14ac:dyDescent="0.25"/>
    <row r="36826" s="12" customFormat="1" x14ac:dyDescent="0.25"/>
    <row r="36827" s="12" customFormat="1" x14ac:dyDescent="0.25"/>
    <row r="36828" s="12" customFormat="1" x14ac:dyDescent="0.25"/>
    <row r="36829" s="12" customFormat="1" x14ac:dyDescent="0.25"/>
    <row r="36830" s="12" customFormat="1" x14ac:dyDescent="0.25"/>
    <row r="36831" s="12" customFormat="1" x14ac:dyDescent="0.25"/>
    <row r="36832" s="12" customFormat="1" x14ac:dyDescent="0.25"/>
    <row r="36833" s="12" customFormat="1" x14ac:dyDescent="0.25"/>
    <row r="36834" s="12" customFormat="1" x14ac:dyDescent="0.25"/>
    <row r="36835" s="12" customFormat="1" x14ac:dyDescent="0.25"/>
    <row r="36836" s="12" customFormat="1" x14ac:dyDescent="0.25"/>
    <row r="36837" s="12" customFormat="1" x14ac:dyDescent="0.25"/>
    <row r="36838" s="12" customFormat="1" x14ac:dyDescent="0.25"/>
    <row r="36839" s="12" customFormat="1" x14ac:dyDescent="0.25"/>
    <row r="36840" s="12" customFormat="1" x14ac:dyDescent="0.25"/>
    <row r="36841" s="12" customFormat="1" x14ac:dyDescent="0.25"/>
    <row r="36842" s="12" customFormat="1" x14ac:dyDescent="0.25"/>
    <row r="36843" s="12" customFormat="1" x14ac:dyDescent="0.25"/>
    <row r="36844" s="12" customFormat="1" x14ac:dyDescent="0.25"/>
    <row r="36845" s="12" customFormat="1" x14ac:dyDescent="0.25"/>
    <row r="36846" s="12" customFormat="1" x14ac:dyDescent="0.25"/>
    <row r="36847" s="12" customFormat="1" x14ac:dyDescent="0.25"/>
    <row r="36848" s="12" customFormat="1" x14ac:dyDescent="0.25"/>
    <row r="36849" s="12" customFormat="1" x14ac:dyDescent="0.25"/>
    <row r="36850" s="12" customFormat="1" x14ac:dyDescent="0.25"/>
    <row r="36851" s="12" customFormat="1" x14ac:dyDescent="0.25"/>
    <row r="36852" s="12" customFormat="1" x14ac:dyDescent="0.25"/>
    <row r="36853" s="12" customFormat="1" x14ac:dyDescent="0.25"/>
    <row r="36854" s="12" customFormat="1" x14ac:dyDescent="0.25"/>
    <row r="36855" s="12" customFormat="1" x14ac:dyDescent="0.25"/>
    <row r="36856" s="12" customFormat="1" x14ac:dyDescent="0.25"/>
    <row r="36857" s="12" customFormat="1" x14ac:dyDescent="0.25"/>
    <row r="36858" s="12" customFormat="1" x14ac:dyDescent="0.25"/>
    <row r="36859" s="12" customFormat="1" x14ac:dyDescent="0.25"/>
    <row r="36860" s="12" customFormat="1" x14ac:dyDescent="0.25"/>
    <row r="36861" s="12" customFormat="1" x14ac:dyDescent="0.25"/>
    <row r="36862" s="12" customFormat="1" x14ac:dyDescent="0.25"/>
    <row r="36863" s="12" customFormat="1" x14ac:dyDescent="0.25"/>
    <row r="36864" s="12" customFormat="1" x14ac:dyDescent="0.25"/>
    <row r="36865" s="12" customFormat="1" x14ac:dyDescent="0.25"/>
    <row r="36866" s="12" customFormat="1" x14ac:dyDescent="0.25"/>
    <row r="36867" s="12" customFormat="1" x14ac:dyDescent="0.25"/>
    <row r="36868" s="12" customFormat="1" x14ac:dyDescent="0.25"/>
    <row r="36869" s="12" customFormat="1" x14ac:dyDescent="0.25"/>
    <row r="36870" s="12" customFormat="1" x14ac:dyDescent="0.25"/>
    <row r="36871" s="12" customFormat="1" x14ac:dyDescent="0.25"/>
    <row r="36872" s="12" customFormat="1" x14ac:dyDescent="0.25"/>
    <row r="36873" s="12" customFormat="1" x14ac:dyDescent="0.25"/>
    <row r="36874" s="12" customFormat="1" x14ac:dyDescent="0.25"/>
    <row r="36875" s="12" customFormat="1" x14ac:dyDescent="0.25"/>
    <row r="36876" s="12" customFormat="1" x14ac:dyDescent="0.25"/>
    <row r="36877" s="12" customFormat="1" x14ac:dyDescent="0.25"/>
    <row r="36878" s="12" customFormat="1" x14ac:dyDescent="0.25"/>
    <row r="36879" s="12" customFormat="1" x14ac:dyDescent="0.25"/>
    <row r="36880" s="12" customFormat="1" x14ac:dyDescent="0.25"/>
    <row r="36881" s="12" customFormat="1" x14ac:dyDescent="0.25"/>
    <row r="36882" s="12" customFormat="1" x14ac:dyDescent="0.25"/>
    <row r="36883" s="12" customFormat="1" x14ac:dyDescent="0.25"/>
    <row r="36884" s="12" customFormat="1" x14ac:dyDescent="0.25"/>
    <row r="36885" s="12" customFormat="1" x14ac:dyDescent="0.25"/>
    <row r="36886" s="12" customFormat="1" x14ac:dyDescent="0.25"/>
    <row r="36887" s="12" customFormat="1" x14ac:dyDescent="0.25"/>
    <row r="36888" s="12" customFormat="1" x14ac:dyDescent="0.25"/>
    <row r="36889" s="12" customFormat="1" x14ac:dyDescent="0.25"/>
    <row r="36890" s="12" customFormat="1" x14ac:dyDescent="0.25"/>
    <row r="36891" s="12" customFormat="1" x14ac:dyDescent="0.25"/>
    <row r="36892" s="12" customFormat="1" x14ac:dyDescent="0.25"/>
    <row r="36893" s="12" customFormat="1" x14ac:dyDescent="0.25"/>
    <row r="36894" s="12" customFormat="1" x14ac:dyDescent="0.25"/>
    <row r="36895" s="12" customFormat="1" x14ac:dyDescent="0.25"/>
    <row r="36896" s="12" customFormat="1" x14ac:dyDescent="0.25"/>
    <row r="36897" s="12" customFormat="1" x14ac:dyDescent="0.25"/>
    <row r="36898" s="12" customFormat="1" x14ac:dyDescent="0.25"/>
    <row r="36899" s="12" customFormat="1" x14ac:dyDescent="0.25"/>
    <row r="36900" s="12" customFormat="1" x14ac:dyDescent="0.25"/>
    <row r="36901" s="12" customFormat="1" x14ac:dyDescent="0.25"/>
    <row r="36902" s="12" customFormat="1" x14ac:dyDescent="0.25"/>
    <row r="36903" s="12" customFormat="1" x14ac:dyDescent="0.25"/>
    <row r="36904" s="12" customFormat="1" x14ac:dyDescent="0.25"/>
    <row r="36905" s="12" customFormat="1" x14ac:dyDescent="0.25"/>
    <row r="36906" s="12" customFormat="1" x14ac:dyDescent="0.25"/>
    <row r="36907" s="12" customFormat="1" x14ac:dyDescent="0.25"/>
    <row r="36908" s="12" customFormat="1" x14ac:dyDescent="0.25"/>
    <row r="36909" s="12" customFormat="1" x14ac:dyDescent="0.25"/>
    <row r="36910" s="12" customFormat="1" x14ac:dyDescent="0.25"/>
    <row r="36911" s="12" customFormat="1" x14ac:dyDescent="0.25"/>
    <row r="36912" s="12" customFormat="1" x14ac:dyDescent="0.25"/>
    <row r="36913" s="12" customFormat="1" x14ac:dyDescent="0.25"/>
    <row r="36914" s="12" customFormat="1" x14ac:dyDescent="0.25"/>
    <row r="36915" s="12" customFormat="1" x14ac:dyDescent="0.25"/>
    <row r="36916" s="12" customFormat="1" x14ac:dyDescent="0.25"/>
    <row r="36917" s="12" customFormat="1" x14ac:dyDescent="0.25"/>
    <row r="36918" s="12" customFormat="1" x14ac:dyDescent="0.25"/>
    <row r="36919" s="12" customFormat="1" x14ac:dyDescent="0.25"/>
    <row r="36920" s="12" customFormat="1" x14ac:dyDescent="0.25"/>
    <row r="36921" s="12" customFormat="1" x14ac:dyDescent="0.25"/>
    <row r="36922" s="12" customFormat="1" x14ac:dyDescent="0.25"/>
    <row r="36923" s="12" customFormat="1" x14ac:dyDescent="0.25"/>
    <row r="36924" s="12" customFormat="1" x14ac:dyDescent="0.25"/>
    <row r="36925" s="12" customFormat="1" x14ac:dyDescent="0.25"/>
    <row r="36926" s="12" customFormat="1" x14ac:dyDescent="0.25"/>
    <row r="36927" s="12" customFormat="1" x14ac:dyDescent="0.25"/>
    <row r="36928" s="12" customFormat="1" x14ac:dyDescent="0.25"/>
    <row r="36929" s="12" customFormat="1" x14ac:dyDescent="0.25"/>
    <row r="36930" s="12" customFormat="1" x14ac:dyDescent="0.25"/>
    <row r="36931" s="12" customFormat="1" x14ac:dyDescent="0.25"/>
    <row r="36932" s="12" customFormat="1" x14ac:dyDescent="0.25"/>
    <row r="36933" s="12" customFormat="1" x14ac:dyDescent="0.25"/>
    <row r="36934" s="12" customFormat="1" x14ac:dyDescent="0.25"/>
    <row r="36935" s="12" customFormat="1" x14ac:dyDescent="0.25"/>
    <row r="36936" s="12" customFormat="1" x14ac:dyDescent="0.25"/>
    <row r="36937" s="12" customFormat="1" x14ac:dyDescent="0.25"/>
    <row r="36938" s="12" customFormat="1" x14ac:dyDescent="0.25"/>
    <row r="36939" s="12" customFormat="1" x14ac:dyDescent="0.25"/>
    <row r="36940" s="12" customFormat="1" x14ac:dyDescent="0.25"/>
    <row r="36941" s="12" customFormat="1" x14ac:dyDescent="0.25"/>
    <row r="36942" s="12" customFormat="1" x14ac:dyDescent="0.25"/>
    <row r="36943" s="12" customFormat="1" x14ac:dyDescent="0.25"/>
    <row r="36944" s="12" customFormat="1" x14ac:dyDescent="0.25"/>
    <row r="36945" s="12" customFormat="1" x14ac:dyDescent="0.25"/>
    <row r="36946" s="12" customFormat="1" x14ac:dyDescent="0.25"/>
    <row r="36947" s="12" customFormat="1" x14ac:dyDescent="0.25"/>
    <row r="36948" s="12" customFormat="1" x14ac:dyDescent="0.25"/>
    <row r="36949" s="12" customFormat="1" x14ac:dyDescent="0.25"/>
    <row r="36950" s="12" customFormat="1" x14ac:dyDescent="0.25"/>
    <row r="36951" s="12" customFormat="1" x14ac:dyDescent="0.25"/>
    <row r="36952" s="12" customFormat="1" x14ac:dyDescent="0.25"/>
    <row r="36953" s="12" customFormat="1" x14ac:dyDescent="0.25"/>
    <row r="36954" s="12" customFormat="1" x14ac:dyDescent="0.25"/>
    <row r="36955" s="12" customFormat="1" x14ac:dyDescent="0.25"/>
    <row r="36956" s="12" customFormat="1" x14ac:dyDescent="0.25"/>
    <row r="36957" s="12" customFormat="1" x14ac:dyDescent="0.25"/>
    <row r="36958" s="12" customFormat="1" x14ac:dyDescent="0.25"/>
    <row r="36959" s="12" customFormat="1" x14ac:dyDescent="0.25"/>
    <row r="36960" s="12" customFormat="1" x14ac:dyDescent="0.25"/>
    <row r="36961" s="12" customFormat="1" x14ac:dyDescent="0.25"/>
    <row r="36962" s="12" customFormat="1" x14ac:dyDescent="0.25"/>
    <row r="36963" s="12" customFormat="1" x14ac:dyDescent="0.25"/>
    <row r="36964" s="12" customFormat="1" x14ac:dyDescent="0.25"/>
    <row r="36965" s="12" customFormat="1" x14ac:dyDescent="0.25"/>
    <row r="36966" s="12" customFormat="1" x14ac:dyDescent="0.25"/>
    <row r="36967" s="12" customFormat="1" x14ac:dyDescent="0.25"/>
    <row r="36968" s="12" customFormat="1" x14ac:dyDescent="0.25"/>
    <row r="36969" s="12" customFormat="1" x14ac:dyDescent="0.25"/>
    <row r="36970" s="12" customFormat="1" x14ac:dyDescent="0.25"/>
    <row r="36971" s="12" customFormat="1" x14ac:dyDescent="0.25"/>
    <row r="36972" s="12" customFormat="1" x14ac:dyDescent="0.25"/>
    <row r="36973" s="12" customFormat="1" x14ac:dyDescent="0.25"/>
    <row r="36974" s="12" customFormat="1" x14ac:dyDescent="0.25"/>
    <row r="36975" s="12" customFormat="1" x14ac:dyDescent="0.25"/>
    <row r="36976" s="12" customFormat="1" x14ac:dyDescent="0.25"/>
    <row r="36977" s="12" customFormat="1" x14ac:dyDescent="0.25"/>
    <row r="36978" s="12" customFormat="1" x14ac:dyDescent="0.25"/>
    <row r="36979" s="12" customFormat="1" x14ac:dyDescent="0.25"/>
    <row r="36980" s="12" customFormat="1" x14ac:dyDescent="0.25"/>
    <row r="36981" s="12" customFormat="1" x14ac:dyDescent="0.25"/>
    <row r="36982" s="12" customFormat="1" x14ac:dyDescent="0.25"/>
    <row r="36983" s="12" customFormat="1" x14ac:dyDescent="0.25"/>
    <row r="36984" s="12" customFormat="1" x14ac:dyDescent="0.25"/>
    <row r="36985" s="12" customFormat="1" x14ac:dyDescent="0.25"/>
    <row r="36986" s="12" customFormat="1" x14ac:dyDescent="0.25"/>
    <row r="36987" s="12" customFormat="1" x14ac:dyDescent="0.25"/>
    <row r="36988" s="12" customFormat="1" x14ac:dyDescent="0.25"/>
    <row r="36989" s="12" customFormat="1" x14ac:dyDescent="0.25"/>
    <row r="36990" s="12" customFormat="1" x14ac:dyDescent="0.25"/>
    <row r="36991" s="12" customFormat="1" x14ac:dyDescent="0.25"/>
    <row r="36992" s="12" customFormat="1" x14ac:dyDescent="0.25"/>
    <row r="36993" s="12" customFormat="1" x14ac:dyDescent="0.25"/>
    <row r="36994" s="12" customFormat="1" x14ac:dyDescent="0.25"/>
    <row r="36995" s="12" customFormat="1" x14ac:dyDescent="0.25"/>
    <row r="36996" s="12" customFormat="1" x14ac:dyDescent="0.25"/>
    <row r="36997" s="12" customFormat="1" x14ac:dyDescent="0.25"/>
    <row r="36998" s="12" customFormat="1" x14ac:dyDescent="0.25"/>
    <row r="36999" s="12" customFormat="1" x14ac:dyDescent="0.25"/>
    <row r="37000" s="12" customFormat="1" x14ac:dyDescent="0.25"/>
    <row r="37001" s="12" customFormat="1" x14ac:dyDescent="0.25"/>
    <row r="37002" s="12" customFormat="1" x14ac:dyDescent="0.25"/>
    <row r="37003" s="12" customFormat="1" x14ac:dyDescent="0.25"/>
    <row r="37004" s="12" customFormat="1" x14ac:dyDescent="0.25"/>
    <row r="37005" s="12" customFormat="1" x14ac:dyDescent="0.25"/>
    <row r="37006" s="12" customFormat="1" x14ac:dyDescent="0.25"/>
    <row r="37007" s="12" customFormat="1" x14ac:dyDescent="0.25"/>
    <row r="37008" s="12" customFormat="1" x14ac:dyDescent="0.25"/>
    <row r="37009" s="12" customFormat="1" x14ac:dyDescent="0.25"/>
    <row r="37010" s="12" customFormat="1" x14ac:dyDescent="0.25"/>
    <row r="37011" s="12" customFormat="1" x14ac:dyDescent="0.25"/>
    <row r="37012" s="12" customFormat="1" x14ac:dyDescent="0.25"/>
    <row r="37013" s="12" customFormat="1" x14ac:dyDescent="0.25"/>
    <row r="37014" s="12" customFormat="1" x14ac:dyDescent="0.25"/>
    <row r="37015" s="12" customFormat="1" x14ac:dyDescent="0.25"/>
    <row r="37016" s="12" customFormat="1" x14ac:dyDescent="0.25"/>
    <row r="37017" s="12" customFormat="1" x14ac:dyDescent="0.25"/>
    <row r="37018" s="12" customFormat="1" x14ac:dyDescent="0.25"/>
    <row r="37019" s="12" customFormat="1" x14ac:dyDescent="0.25"/>
    <row r="37020" s="12" customFormat="1" x14ac:dyDescent="0.25"/>
    <row r="37021" s="12" customFormat="1" x14ac:dyDescent="0.25"/>
    <row r="37022" s="12" customFormat="1" x14ac:dyDescent="0.25"/>
    <row r="37023" s="12" customFormat="1" x14ac:dyDescent="0.25"/>
    <row r="37024" s="12" customFormat="1" x14ac:dyDescent="0.25"/>
    <row r="37025" s="12" customFormat="1" x14ac:dyDescent="0.25"/>
    <row r="37026" s="12" customFormat="1" x14ac:dyDescent="0.25"/>
    <row r="37027" s="12" customFormat="1" x14ac:dyDescent="0.25"/>
    <row r="37028" s="12" customFormat="1" x14ac:dyDescent="0.25"/>
    <row r="37029" s="12" customFormat="1" x14ac:dyDescent="0.25"/>
    <row r="37030" s="12" customFormat="1" x14ac:dyDescent="0.25"/>
    <row r="37031" s="12" customFormat="1" x14ac:dyDescent="0.25"/>
    <row r="37032" s="12" customFormat="1" x14ac:dyDescent="0.25"/>
    <row r="37033" s="12" customFormat="1" x14ac:dyDescent="0.25"/>
    <row r="37034" s="12" customFormat="1" x14ac:dyDescent="0.25"/>
    <row r="37035" s="12" customFormat="1" x14ac:dyDescent="0.25"/>
    <row r="37036" s="12" customFormat="1" x14ac:dyDescent="0.25"/>
    <row r="37037" s="12" customFormat="1" x14ac:dyDescent="0.25"/>
    <row r="37038" s="12" customFormat="1" x14ac:dyDescent="0.25"/>
    <row r="37039" s="12" customFormat="1" x14ac:dyDescent="0.25"/>
    <row r="37040" s="12" customFormat="1" x14ac:dyDescent="0.25"/>
    <row r="37041" s="12" customFormat="1" x14ac:dyDescent="0.25"/>
    <row r="37042" s="12" customFormat="1" x14ac:dyDescent="0.25"/>
    <row r="37043" s="12" customFormat="1" x14ac:dyDescent="0.25"/>
    <row r="37044" s="12" customFormat="1" x14ac:dyDescent="0.25"/>
    <row r="37045" s="12" customFormat="1" x14ac:dyDescent="0.25"/>
    <row r="37046" s="12" customFormat="1" x14ac:dyDescent="0.25"/>
    <row r="37047" s="12" customFormat="1" x14ac:dyDescent="0.25"/>
    <row r="37048" s="12" customFormat="1" x14ac:dyDescent="0.25"/>
    <row r="37049" s="12" customFormat="1" x14ac:dyDescent="0.25"/>
    <row r="37050" s="12" customFormat="1" x14ac:dyDescent="0.25"/>
    <row r="37051" s="12" customFormat="1" x14ac:dyDescent="0.25"/>
    <row r="37052" s="12" customFormat="1" x14ac:dyDescent="0.25"/>
    <row r="37053" s="12" customFormat="1" x14ac:dyDescent="0.25"/>
    <row r="37054" s="12" customFormat="1" x14ac:dyDescent="0.25"/>
    <row r="37055" s="12" customFormat="1" x14ac:dyDescent="0.25"/>
    <row r="37056" s="12" customFormat="1" x14ac:dyDescent="0.25"/>
    <row r="37057" s="12" customFormat="1" x14ac:dyDescent="0.25"/>
    <row r="37058" s="12" customFormat="1" x14ac:dyDescent="0.25"/>
    <row r="37059" s="12" customFormat="1" x14ac:dyDescent="0.25"/>
    <row r="37060" s="12" customFormat="1" x14ac:dyDescent="0.25"/>
    <row r="37061" s="12" customFormat="1" x14ac:dyDescent="0.25"/>
    <row r="37062" s="12" customFormat="1" x14ac:dyDescent="0.25"/>
    <row r="37063" s="12" customFormat="1" x14ac:dyDescent="0.25"/>
    <row r="37064" s="12" customFormat="1" x14ac:dyDescent="0.25"/>
    <row r="37065" s="12" customFormat="1" x14ac:dyDescent="0.25"/>
    <row r="37066" s="12" customFormat="1" x14ac:dyDescent="0.25"/>
    <row r="37067" s="12" customFormat="1" x14ac:dyDescent="0.25"/>
    <row r="37068" s="12" customFormat="1" x14ac:dyDescent="0.25"/>
    <row r="37069" s="12" customFormat="1" x14ac:dyDescent="0.25"/>
    <row r="37070" s="12" customFormat="1" x14ac:dyDescent="0.25"/>
    <row r="37071" s="12" customFormat="1" x14ac:dyDescent="0.25"/>
    <row r="37072" s="12" customFormat="1" x14ac:dyDescent="0.25"/>
    <row r="37073" s="12" customFormat="1" x14ac:dyDescent="0.25"/>
    <row r="37074" s="12" customFormat="1" x14ac:dyDescent="0.25"/>
    <row r="37075" s="12" customFormat="1" x14ac:dyDescent="0.25"/>
    <row r="37076" s="12" customFormat="1" x14ac:dyDescent="0.25"/>
    <row r="37077" s="12" customFormat="1" x14ac:dyDescent="0.25"/>
    <row r="37078" s="12" customFormat="1" x14ac:dyDescent="0.25"/>
    <row r="37079" s="12" customFormat="1" x14ac:dyDescent="0.25"/>
    <row r="37080" s="12" customFormat="1" x14ac:dyDescent="0.25"/>
    <row r="37081" s="12" customFormat="1" x14ac:dyDescent="0.25"/>
    <row r="37082" s="12" customFormat="1" x14ac:dyDescent="0.25"/>
    <row r="37083" s="12" customFormat="1" x14ac:dyDescent="0.25"/>
    <row r="37084" s="12" customFormat="1" x14ac:dyDescent="0.25"/>
    <row r="37085" s="12" customFormat="1" x14ac:dyDescent="0.25"/>
    <row r="37086" s="12" customFormat="1" x14ac:dyDescent="0.25"/>
    <row r="37087" s="12" customFormat="1" x14ac:dyDescent="0.25"/>
    <row r="37088" s="12" customFormat="1" x14ac:dyDescent="0.25"/>
    <row r="37089" s="12" customFormat="1" x14ac:dyDescent="0.25"/>
    <row r="37090" s="12" customFormat="1" x14ac:dyDescent="0.25"/>
    <row r="37091" s="12" customFormat="1" x14ac:dyDescent="0.25"/>
    <row r="37092" s="12" customFormat="1" x14ac:dyDescent="0.25"/>
    <row r="37093" s="12" customFormat="1" x14ac:dyDescent="0.25"/>
    <row r="37094" s="12" customFormat="1" x14ac:dyDescent="0.25"/>
    <row r="37095" s="12" customFormat="1" x14ac:dyDescent="0.25"/>
    <row r="37096" s="12" customFormat="1" x14ac:dyDescent="0.25"/>
    <row r="37097" s="12" customFormat="1" x14ac:dyDescent="0.25"/>
    <row r="37098" s="12" customFormat="1" x14ac:dyDescent="0.25"/>
    <row r="37099" s="12" customFormat="1" x14ac:dyDescent="0.25"/>
    <row r="37100" s="12" customFormat="1" x14ac:dyDescent="0.25"/>
    <row r="37101" s="12" customFormat="1" x14ac:dyDescent="0.25"/>
    <row r="37102" s="12" customFormat="1" x14ac:dyDescent="0.25"/>
    <row r="37103" s="12" customFormat="1" x14ac:dyDescent="0.25"/>
    <row r="37104" s="12" customFormat="1" x14ac:dyDescent="0.25"/>
    <row r="37105" s="12" customFormat="1" x14ac:dyDescent="0.25"/>
    <row r="37106" s="12" customFormat="1" x14ac:dyDescent="0.25"/>
    <row r="37107" s="12" customFormat="1" x14ac:dyDescent="0.25"/>
    <row r="37108" s="12" customFormat="1" x14ac:dyDescent="0.25"/>
    <row r="37109" s="12" customFormat="1" x14ac:dyDescent="0.25"/>
    <row r="37110" s="12" customFormat="1" x14ac:dyDescent="0.25"/>
    <row r="37111" s="12" customFormat="1" x14ac:dyDescent="0.25"/>
    <row r="37112" s="12" customFormat="1" x14ac:dyDescent="0.25"/>
    <row r="37113" s="12" customFormat="1" x14ac:dyDescent="0.25"/>
    <row r="37114" s="12" customFormat="1" x14ac:dyDescent="0.25"/>
    <row r="37115" s="12" customFormat="1" x14ac:dyDescent="0.25"/>
    <row r="37116" s="12" customFormat="1" x14ac:dyDescent="0.25"/>
    <row r="37117" s="12" customFormat="1" x14ac:dyDescent="0.25"/>
    <row r="37118" s="12" customFormat="1" x14ac:dyDescent="0.25"/>
    <row r="37119" s="12" customFormat="1" x14ac:dyDescent="0.25"/>
    <row r="37120" s="12" customFormat="1" x14ac:dyDescent="0.25"/>
    <row r="37121" s="12" customFormat="1" x14ac:dyDescent="0.25"/>
    <row r="37122" s="12" customFormat="1" x14ac:dyDescent="0.25"/>
    <row r="37123" s="12" customFormat="1" x14ac:dyDescent="0.25"/>
    <row r="37124" s="12" customFormat="1" x14ac:dyDescent="0.25"/>
    <row r="37125" s="12" customFormat="1" x14ac:dyDescent="0.25"/>
    <row r="37126" s="12" customFormat="1" x14ac:dyDescent="0.25"/>
    <row r="37127" s="12" customFormat="1" x14ac:dyDescent="0.25"/>
    <row r="37128" s="12" customFormat="1" x14ac:dyDescent="0.25"/>
    <row r="37129" s="12" customFormat="1" x14ac:dyDescent="0.25"/>
    <row r="37130" s="12" customFormat="1" x14ac:dyDescent="0.25"/>
    <row r="37131" s="12" customFormat="1" x14ac:dyDescent="0.25"/>
    <row r="37132" s="12" customFormat="1" x14ac:dyDescent="0.25"/>
    <row r="37133" s="12" customFormat="1" x14ac:dyDescent="0.25"/>
    <row r="37134" s="12" customFormat="1" x14ac:dyDescent="0.25"/>
    <row r="37135" s="12" customFormat="1" x14ac:dyDescent="0.25"/>
    <row r="37136" s="12" customFormat="1" x14ac:dyDescent="0.25"/>
    <row r="37137" s="12" customFormat="1" x14ac:dyDescent="0.25"/>
    <row r="37138" s="12" customFormat="1" x14ac:dyDescent="0.25"/>
    <row r="37139" s="12" customFormat="1" x14ac:dyDescent="0.25"/>
    <row r="37140" s="12" customFormat="1" x14ac:dyDescent="0.25"/>
    <row r="37141" s="12" customFormat="1" x14ac:dyDescent="0.25"/>
    <row r="37142" s="12" customFormat="1" x14ac:dyDescent="0.25"/>
    <row r="37143" s="12" customFormat="1" x14ac:dyDescent="0.25"/>
    <row r="37144" s="12" customFormat="1" x14ac:dyDescent="0.25"/>
    <row r="37145" s="12" customFormat="1" x14ac:dyDescent="0.25"/>
    <row r="37146" s="12" customFormat="1" x14ac:dyDescent="0.25"/>
    <row r="37147" s="12" customFormat="1" x14ac:dyDescent="0.25"/>
    <row r="37148" s="12" customFormat="1" x14ac:dyDescent="0.25"/>
    <row r="37149" s="12" customFormat="1" x14ac:dyDescent="0.25"/>
    <row r="37150" s="12" customFormat="1" x14ac:dyDescent="0.25"/>
    <row r="37151" s="12" customFormat="1" x14ac:dyDescent="0.25"/>
    <row r="37152" s="12" customFormat="1" x14ac:dyDescent="0.25"/>
    <row r="37153" s="12" customFormat="1" x14ac:dyDescent="0.25"/>
    <row r="37154" s="12" customFormat="1" x14ac:dyDescent="0.25"/>
    <row r="37155" s="12" customFormat="1" x14ac:dyDescent="0.25"/>
    <row r="37156" s="12" customFormat="1" x14ac:dyDescent="0.25"/>
    <row r="37157" s="12" customFormat="1" x14ac:dyDescent="0.25"/>
    <row r="37158" s="12" customFormat="1" x14ac:dyDescent="0.25"/>
    <row r="37159" s="12" customFormat="1" x14ac:dyDescent="0.25"/>
    <row r="37160" s="12" customFormat="1" x14ac:dyDescent="0.25"/>
    <row r="37161" s="12" customFormat="1" x14ac:dyDescent="0.25"/>
    <row r="37162" s="12" customFormat="1" x14ac:dyDescent="0.25"/>
    <row r="37163" s="12" customFormat="1" x14ac:dyDescent="0.25"/>
    <row r="37164" s="12" customFormat="1" x14ac:dyDescent="0.25"/>
    <row r="37165" s="12" customFormat="1" x14ac:dyDescent="0.25"/>
    <row r="37166" s="12" customFormat="1" x14ac:dyDescent="0.25"/>
    <row r="37167" s="12" customFormat="1" x14ac:dyDescent="0.25"/>
    <row r="37168" s="12" customFormat="1" x14ac:dyDescent="0.25"/>
    <row r="37169" s="12" customFormat="1" x14ac:dyDescent="0.25"/>
    <row r="37170" s="12" customFormat="1" x14ac:dyDescent="0.25"/>
    <row r="37171" s="12" customFormat="1" x14ac:dyDescent="0.25"/>
    <row r="37172" s="12" customFormat="1" x14ac:dyDescent="0.25"/>
    <row r="37173" s="12" customFormat="1" x14ac:dyDescent="0.25"/>
    <row r="37174" s="12" customFormat="1" x14ac:dyDescent="0.25"/>
    <row r="37175" s="12" customFormat="1" x14ac:dyDescent="0.25"/>
    <row r="37176" s="12" customFormat="1" x14ac:dyDescent="0.25"/>
    <row r="37177" s="12" customFormat="1" x14ac:dyDescent="0.25"/>
    <row r="37178" s="12" customFormat="1" x14ac:dyDescent="0.25"/>
    <row r="37179" s="12" customFormat="1" x14ac:dyDescent="0.25"/>
    <row r="37180" s="12" customFormat="1" x14ac:dyDescent="0.25"/>
    <row r="37181" s="12" customFormat="1" x14ac:dyDescent="0.25"/>
    <row r="37182" s="12" customFormat="1" x14ac:dyDescent="0.25"/>
    <row r="37183" s="12" customFormat="1" x14ac:dyDescent="0.25"/>
    <row r="37184" s="12" customFormat="1" x14ac:dyDescent="0.25"/>
    <row r="37185" s="12" customFormat="1" x14ac:dyDescent="0.25"/>
    <row r="37186" s="12" customFormat="1" x14ac:dyDescent="0.25"/>
    <row r="37187" s="12" customFormat="1" x14ac:dyDescent="0.25"/>
    <row r="37188" s="12" customFormat="1" x14ac:dyDescent="0.25"/>
    <row r="37189" s="12" customFormat="1" x14ac:dyDescent="0.25"/>
    <row r="37190" s="12" customFormat="1" x14ac:dyDescent="0.25"/>
    <row r="37191" s="12" customFormat="1" x14ac:dyDescent="0.25"/>
    <row r="37192" s="12" customFormat="1" x14ac:dyDescent="0.25"/>
    <row r="37193" s="12" customFormat="1" x14ac:dyDescent="0.25"/>
    <row r="37194" s="12" customFormat="1" x14ac:dyDescent="0.25"/>
    <row r="37195" s="12" customFormat="1" x14ac:dyDescent="0.25"/>
    <row r="37196" s="12" customFormat="1" x14ac:dyDescent="0.25"/>
    <row r="37197" s="12" customFormat="1" x14ac:dyDescent="0.25"/>
    <row r="37198" s="12" customFormat="1" x14ac:dyDescent="0.25"/>
    <row r="37199" s="12" customFormat="1" x14ac:dyDescent="0.25"/>
    <row r="37200" s="12" customFormat="1" x14ac:dyDescent="0.25"/>
    <row r="37201" s="12" customFormat="1" x14ac:dyDescent="0.25"/>
    <row r="37202" s="12" customFormat="1" x14ac:dyDescent="0.25"/>
    <row r="37203" s="12" customFormat="1" x14ac:dyDescent="0.25"/>
    <row r="37204" s="12" customFormat="1" x14ac:dyDescent="0.25"/>
    <row r="37205" s="12" customFormat="1" x14ac:dyDescent="0.25"/>
    <row r="37206" s="12" customFormat="1" x14ac:dyDescent="0.25"/>
    <row r="37207" s="12" customFormat="1" x14ac:dyDescent="0.25"/>
    <row r="37208" s="12" customFormat="1" x14ac:dyDescent="0.25"/>
    <row r="37209" s="12" customFormat="1" x14ac:dyDescent="0.25"/>
    <row r="37210" s="12" customFormat="1" x14ac:dyDescent="0.25"/>
    <row r="37211" s="12" customFormat="1" x14ac:dyDescent="0.25"/>
    <row r="37212" s="12" customFormat="1" x14ac:dyDescent="0.25"/>
    <row r="37213" s="12" customFormat="1" x14ac:dyDescent="0.25"/>
    <row r="37214" s="12" customFormat="1" x14ac:dyDescent="0.25"/>
    <row r="37215" s="12" customFormat="1" x14ac:dyDescent="0.25"/>
    <row r="37216" s="12" customFormat="1" x14ac:dyDescent="0.25"/>
    <row r="37217" s="12" customFormat="1" x14ac:dyDescent="0.25"/>
    <row r="37218" s="12" customFormat="1" x14ac:dyDescent="0.25"/>
    <row r="37219" s="12" customFormat="1" x14ac:dyDescent="0.25"/>
    <row r="37220" s="12" customFormat="1" x14ac:dyDescent="0.25"/>
    <row r="37221" s="12" customFormat="1" x14ac:dyDescent="0.25"/>
    <row r="37222" s="12" customFormat="1" x14ac:dyDescent="0.25"/>
    <row r="37223" s="12" customFormat="1" x14ac:dyDescent="0.25"/>
    <row r="37224" s="12" customFormat="1" x14ac:dyDescent="0.25"/>
    <row r="37225" s="12" customFormat="1" x14ac:dyDescent="0.25"/>
    <row r="37226" s="12" customFormat="1" x14ac:dyDescent="0.25"/>
    <row r="37227" s="12" customFormat="1" x14ac:dyDescent="0.25"/>
    <row r="37228" s="12" customFormat="1" x14ac:dyDescent="0.25"/>
    <row r="37229" s="12" customFormat="1" x14ac:dyDescent="0.25"/>
    <row r="37230" s="12" customFormat="1" x14ac:dyDescent="0.25"/>
    <row r="37231" s="12" customFormat="1" x14ac:dyDescent="0.25"/>
    <row r="37232" s="12" customFormat="1" x14ac:dyDescent="0.25"/>
    <row r="37233" s="12" customFormat="1" x14ac:dyDescent="0.25"/>
    <row r="37234" s="12" customFormat="1" x14ac:dyDescent="0.25"/>
    <row r="37235" s="12" customFormat="1" x14ac:dyDescent="0.25"/>
    <row r="37236" s="12" customFormat="1" x14ac:dyDescent="0.25"/>
    <row r="37237" s="12" customFormat="1" x14ac:dyDescent="0.25"/>
    <row r="37238" s="12" customFormat="1" x14ac:dyDescent="0.25"/>
    <row r="37239" s="12" customFormat="1" x14ac:dyDescent="0.25"/>
    <row r="37240" s="12" customFormat="1" x14ac:dyDescent="0.25"/>
    <row r="37241" s="12" customFormat="1" x14ac:dyDescent="0.25"/>
    <row r="37242" s="12" customFormat="1" x14ac:dyDescent="0.25"/>
    <row r="37243" s="12" customFormat="1" x14ac:dyDescent="0.25"/>
    <row r="37244" s="12" customFormat="1" x14ac:dyDescent="0.25"/>
    <row r="37245" s="12" customFormat="1" x14ac:dyDescent="0.25"/>
    <row r="37246" s="12" customFormat="1" x14ac:dyDescent="0.25"/>
    <row r="37247" s="12" customFormat="1" x14ac:dyDescent="0.25"/>
    <row r="37248" s="12" customFormat="1" x14ac:dyDescent="0.25"/>
    <row r="37249" s="12" customFormat="1" x14ac:dyDescent="0.25"/>
    <row r="37250" s="12" customFormat="1" x14ac:dyDescent="0.25"/>
    <row r="37251" s="12" customFormat="1" x14ac:dyDescent="0.25"/>
    <row r="37252" s="12" customFormat="1" x14ac:dyDescent="0.25"/>
    <row r="37253" s="12" customFormat="1" x14ac:dyDescent="0.25"/>
    <row r="37254" s="12" customFormat="1" x14ac:dyDescent="0.25"/>
    <row r="37255" s="12" customFormat="1" x14ac:dyDescent="0.25"/>
    <row r="37256" s="12" customFormat="1" x14ac:dyDescent="0.25"/>
    <row r="37257" s="12" customFormat="1" x14ac:dyDescent="0.25"/>
    <row r="37258" s="12" customFormat="1" x14ac:dyDescent="0.25"/>
    <row r="37259" s="12" customFormat="1" x14ac:dyDescent="0.25"/>
    <row r="37260" s="12" customFormat="1" x14ac:dyDescent="0.25"/>
    <row r="37261" s="12" customFormat="1" x14ac:dyDescent="0.25"/>
    <row r="37262" s="12" customFormat="1" x14ac:dyDescent="0.25"/>
    <row r="37263" s="12" customFormat="1" x14ac:dyDescent="0.25"/>
    <row r="37264" s="12" customFormat="1" x14ac:dyDescent="0.25"/>
    <row r="37265" s="12" customFormat="1" x14ac:dyDescent="0.25"/>
    <row r="37266" s="12" customFormat="1" x14ac:dyDescent="0.25"/>
    <row r="37267" s="12" customFormat="1" x14ac:dyDescent="0.25"/>
    <row r="37268" s="12" customFormat="1" x14ac:dyDescent="0.25"/>
    <row r="37269" s="12" customFormat="1" x14ac:dyDescent="0.25"/>
    <row r="37270" s="12" customFormat="1" x14ac:dyDescent="0.25"/>
    <row r="37271" s="12" customFormat="1" x14ac:dyDescent="0.25"/>
    <row r="37272" s="12" customFormat="1" x14ac:dyDescent="0.25"/>
    <row r="37273" s="12" customFormat="1" x14ac:dyDescent="0.25"/>
    <row r="37274" s="12" customFormat="1" x14ac:dyDescent="0.25"/>
    <row r="37275" s="12" customFormat="1" x14ac:dyDescent="0.25"/>
    <row r="37276" s="12" customFormat="1" x14ac:dyDescent="0.25"/>
    <row r="37277" s="12" customFormat="1" x14ac:dyDescent="0.25"/>
    <row r="37278" s="12" customFormat="1" x14ac:dyDescent="0.25"/>
    <row r="37279" s="12" customFormat="1" x14ac:dyDescent="0.25"/>
    <row r="37280" s="12" customFormat="1" x14ac:dyDescent="0.25"/>
    <row r="37281" s="12" customFormat="1" x14ac:dyDescent="0.25"/>
    <row r="37282" s="12" customFormat="1" x14ac:dyDescent="0.25"/>
    <row r="37283" s="12" customFormat="1" x14ac:dyDescent="0.25"/>
    <row r="37284" s="12" customFormat="1" x14ac:dyDescent="0.25"/>
    <row r="37285" s="12" customFormat="1" x14ac:dyDescent="0.25"/>
    <row r="37286" s="12" customFormat="1" x14ac:dyDescent="0.25"/>
    <row r="37287" s="12" customFormat="1" x14ac:dyDescent="0.25"/>
    <row r="37288" s="12" customFormat="1" x14ac:dyDescent="0.25"/>
    <row r="37289" s="12" customFormat="1" x14ac:dyDescent="0.25"/>
    <row r="37290" s="12" customFormat="1" x14ac:dyDescent="0.25"/>
    <row r="37291" s="12" customFormat="1" x14ac:dyDescent="0.25"/>
    <row r="37292" s="12" customFormat="1" x14ac:dyDescent="0.25"/>
    <row r="37293" s="12" customFormat="1" x14ac:dyDescent="0.25"/>
    <row r="37294" s="12" customFormat="1" x14ac:dyDescent="0.25"/>
    <row r="37295" s="12" customFormat="1" x14ac:dyDescent="0.25"/>
    <row r="37296" s="12" customFormat="1" x14ac:dyDescent="0.25"/>
    <row r="37297" s="12" customFormat="1" x14ac:dyDescent="0.25"/>
    <row r="37298" s="12" customFormat="1" x14ac:dyDescent="0.25"/>
    <row r="37299" s="12" customFormat="1" x14ac:dyDescent="0.25"/>
    <row r="37300" s="12" customFormat="1" x14ac:dyDescent="0.25"/>
    <row r="37301" s="12" customFormat="1" x14ac:dyDescent="0.25"/>
    <row r="37302" s="12" customFormat="1" x14ac:dyDescent="0.25"/>
    <row r="37303" s="12" customFormat="1" x14ac:dyDescent="0.25"/>
    <row r="37304" s="12" customFormat="1" x14ac:dyDescent="0.25"/>
    <row r="37305" s="12" customFormat="1" x14ac:dyDescent="0.25"/>
    <row r="37306" s="12" customFormat="1" x14ac:dyDescent="0.25"/>
    <row r="37307" s="12" customFormat="1" x14ac:dyDescent="0.25"/>
    <row r="37308" s="12" customFormat="1" x14ac:dyDescent="0.25"/>
    <row r="37309" s="12" customFormat="1" x14ac:dyDescent="0.25"/>
    <row r="37310" s="12" customFormat="1" x14ac:dyDescent="0.25"/>
    <row r="37311" s="12" customFormat="1" x14ac:dyDescent="0.25"/>
    <row r="37312" s="12" customFormat="1" x14ac:dyDescent="0.25"/>
    <row r="37313" s="12" customFormat="1" x14ac:dyDescent="0.25"/>
    <row r="37314" s="12" customFormat="1" x14ac:dyDescent="0.25"/>
    <row r="37315" s="12" customFormat="1" x14ac:dyDescent="0.25"/>
    <row r="37316" s="12" customFormat="1" x14ac:dyDescent="0.25"/>
    <row r="37317" s="12" customFormat="1" x14ac:dyDescent="0.25"/>
    <row r="37318" s="12" customFormat="1" x14ac:dyDescent="0.25"/>
    <row r="37319" s="12" customFormat="1" x14ac:dyDescent="0.25"/>
    <row r="37320" s="12" customFormat="1" x14ac:dyDescent="0.25"/>
    <row r="37321" s="12" customFormat="1" x14ac:dyDescent="0.25"/>
    <row r="37322" s="12" customFormat="1" x14ac:dyDescent="0.25"/>
    <row r="37323" s="12" customFormat="1" x14ac:dyDescent="0.25"/>
    <row r="37324" s="12" customFormat="1" x14ac:dyDescent="0.25"/>
    <row r="37325" s="12" customFormat="1" x14ac:dyDescent="0.25"/>
    <row r="37326" s="12" customFormat="1" x14ac:dyDescent="0.25"/>
    <row r="37327" s="12" customFormat="1" x14ac:dyDescent="0.25"/>
    <row r="37328" s="12" customFormat="1" x14ac:dyDescent="0.25"/>
    <row r="37329" s="12" customFormat="1" x14ac:dyDescent="0.25"/>
    <row r="37330" s="12" customFormat="1" x14ac:dyDescent="0.25"/>
    <row r="37331" s="12" customFormat="1" x14ac:dyDescent="0.25"/>
    <row r="37332" s="12" customFormat="1" x14ac:dyDescent="0.25"/>
    <row r="37333" s="12" customFormat="1" x14ac:dyDescent="0.25"/>
    <row r="37334" s="12" customFormat="1" x14ac:dyDescent="0.25"/>
    <row r="37335" s="12" customFormat="1" x14ac:dyDescent="0.25"/>
    <row r="37336" s="12" customFormat="1" x14ac:dyDescent="0.25"/>
    <row r="37337" s="12" customFormat="1" x14ac:dyDescent="0.25"/>
    <row r="37338" s="12" customFormat="1" x14ac:dyDescent="0.25"/>
    <row r="37339" s="12" customFormat="1" x14ac:dyDescent="0.25"/>
    <row r="37340" s="12" customFormat="1" x14ac:dyDescent="0.25"/>
    <row r="37341" s="12" customFormat="1" x14ac:dyDescent="0.25"/>
    <row r="37342" s="12" customFormat="1" x14ac:dyDescent="0.25"/>
    <row r="37343" s="12" customFormat="1" x14ac:dyDescent="0.25"/>
    <row r="37344" s="12" customFormat="1" x14ac:dyDescent="0.25"/>
    <row r="37345" s="12" customFormat="1" x14ac:dyDescent="0.25"/>
    <row r="37346" s="12" customFormat="1" x14ac:dyDescent="0.25"/>
    <row r="37347" s="12" customFormat="1" x14ac:dyDescent="0.25"/>
    <row r="37348" s="12" customFormat="1" x14ac:dyDescent="0.25"/>
    <row r="37349" s="12" customFormat="1" x14ac:dyDescent="0.25"/>
    <row r="37350" s="12" customFormat="1" x14ac:dyDescent="0.25"/>
    <row r="37351" s="12" customFormat="1" x14ac:dyDescent="0.25"/>
    <row r="37352" s="12" customFormat="1" x14ac:dyDescent="0.25"/>
    <row r="37353" s="12" customFormat="1" x14ac:dyDescent="0.25"/>
    <row r="37354" s="12" customFormat="1" x14ac:dyDescent="0.25"/>
    <row r="37355" s="12" customFormat="1" x14ac:dyDescent="0.25"/>
    <row r="37356" s="12" customFormat="1" x14ac:dyDescent="0.25"/>
    <row r="37357" s="12" customFormat="1" x14ac:dyDescent="0.25"/>
    <row r="37358" s="12" customFormat="1" x14ac:dyDescent="0.25"/>
    <row r="37359" s="12" customFormat="1" x14ac:dyDescent="0.25"/>
    <row r="37360" s="12" customFormat="1" x14ac:dyDescent="0.25"/>
    <row r="37361" s="12" customFormat="1" x14ac:dyDescent="0.25"/>
    <row r="37362" s="12" customFormat="1" x14ac:dyDescent="0.25"/>
    <row r="37363" s="12" customFormat="1" x14ac:dyDescent="0.25"/>
    <row r="37364" s="12" customFormat="1" x14ac:dyDescent="0.25"/>
    <row r="37365" s="12" customFormat="1" x14ac:dyDescent="0.25"/>
    <row r="37366" s="12" customFormat="1" x14ac:dyDescent="0.25"/>
    <row r="37367" s="12" customFormat="1" x14ac:dyDescent="0.25"/>
    <row r="37368" s="12" customFormat="1" x14ac:dyDescent="0.25"/>
    <row r="37369" s="12" customFormat="1" x14ac:dyDescent="0.25"/>
    <row r="37370" s="12" customFormat="1" x14ac:dyDescent="0.25"/>
    <row r="37371" s="12" customFormat="1" x14ac:dyDescent="0.25"/>
    <row r="37372" s="12" customFormat="1" x14ac:dyDescent="0.25"/>
    <row r="37373" s="12" customFormat="1" x14ac:dyDescent="0.25"/>
    <row r="37374" s="12" customFormat="1" x14ac:dyDescent="0.25"/>
    <row r="37375" s="12" customFormat="1" x14ac:dyDescent="0.25"/>
    <row r="37376" s="12" customFormat="1" x14ac:dyDescent="0.25"/>
    <row r="37377" s="12" customFormat="1" x14ac:dyDescent="0.25"/>
    <row r="37378" s="12" customFormat="1" x14ac:dyDescent="0.25"/>
    <row r="37379" s="12" customFormat="1" x14ac:dyDescent="0.25"/>
    <row r="37380" s="12" customFormat="1" x14ac:dyDescent="0.25"/>
    <row r="37381" s="12" customFormat="1" x14ac:dyDescent="0.25"/>
    <row r="37382" s="12" customFormat="1" x14ac:dyDescent="0.25"/>
    <row r="37383" s="12" customFormat="1" x14ac:dyDescent="0.25"/>
    <row r="37384" s="12" customFormat="1" x14ac:dyDescent="0.25"/>
    <row r="37385" s="12" customFormat="1" x14ac:dyDescent="0.25"/>
    <row r="37386" s="12" customFormat="1" x14ac:dyDescent="0.25"/>
    <row r="37387" s="12" customFormat="1" x14ac:dyDescent="0.25"/>
    <row r="37388" s="12" customFormat="1" x14ac:dyDescent="0.25"/>
    <row r="37389" s="12" customFormat="1" x14ac:dyDescent="0.25"/>
    <row r="37390" s="12" customFormat="1" x14ac:dyDescent="0.25"/>
    <row r="37391" s="12" customFormat="1" x14ac:dyDescent="0.25"/>
    <row r="37392" s="12" customFormat="1" x14ac:dyDescent="0.25"/>
    <row r="37393" s="12" customFormat="1" x14ac:dyDescent="0.25"/>
    <row r="37394" s="12" customFormat="1" x14ac:dyDescent="0.25"/>
    <row r="37395" s="12" customFormat="1" x14ac:dyDescent="0.25"/>
    <row r="37396" s="12" customFormat="1" x14ac:dyDescent="0.25"/>
    <row r="37397" s="12" customFormat="1" x14ac:dyDescent="0.25"/>
    <row r="37398" s="12" customFormat="1" x14ac:dyDescent="0.25"/>
    <row r="37399" s="12" customFormat="1" x14ac:dyDescent="0.25"/>
    <row r="37400" s="12" customFormat="1" x14ac:dyDescent="0.25"/>
    <row r="37401" s="12" customFormat="1" x14ac:dyDescent="0.25"/>
    <row r="37402" s="12" customFormat="1" x14ac:dyDescent="0.25"/>
    <row r="37403" s="12" customFormat="1" x14ac:dyDescent="0.25"/>
    <row r="37404" s="12" customFormat="1" x14ac:dyDescent="0.25"/>
    <row r="37405" s="12" customFormat="1" x14ac:dyDescent="0.25"/>
    <row r="37406" s="12" customFormat="1" x14ac:dyDescent="0.25"/>
    <row r="37407" s="12" customFormat="1" x14ac:dyDescent="0.25"/>
    <row r="37408" s="12" customFormat="1" x14ac:dyDescent="0.25"/>
    <row r="37409" s="12" customFormat="1" x14ac:dyDescent="0.25"/>
    <row r="37410" s="12" customFormat="1" x14ac:dyDescent="0.25"/>
    <row r="37411" s="12" customFormat="1" x14ac:dyDescent="0.25"/>
    <row r="37412" s="12" customFormat="1" x14ac:dyDescent="0.25"/>
    <row r="37413" s="12" customFormat="1" x14ac:dyDescent="0.25"/>
    <row r="37414" s="12" customFormat="1" x14ac:dyDescent="0.25"/>
    <row r="37415" s="12" customFormat="1" x14ac:dyDescent="0.25"/>
    <row r="37416" s="12" customFormat="1" x14ac:dyDescent="0.25"/>
    <row r="37417" s="12" customFormat="1" x14ac:dyDescent="0.25"/>
    <row r="37418" s="12" customFormat="1" x14ac:dyDescent="0.25"/>
    <row r="37419" s="12" customFormat="1" x14ac:dyDescent="0.25"/>
    <row r="37420" s="12" customFormat="1" x14ac:dyDescent="0.25"/>
    <row r="37421" s="12" customFormat="1" x14ac:dyDescent="0.25"/>
    <row r="37422" s="12" customFormat="1" x14ac:dyDescent="0.25"/>
    <row r="37423" s="12" customFormat="1" x14ac:dyDescent="0.25"/>
    <row r="37424" s="12" customFormat="1" x14ac:dyDescent="0.25"/>
    <row r="37425" s="12" customFormat="1" x14ac:dyDescent="0.25"/>
    <row r="37426" s="12" customFormat="1" x14ac:dyDescent="0.25"/>
    <row r="37427" s="12" customFormat="1" x14ac:dyDescent="0.25"/>
    <row r="37428" s="12" customFormat="1" x14ac:dyDescent="0.25"/>
    <row r="37429" s="12" customFormat="1" x14ac:dyDescent="0.25"/>
    <row r="37430" s="12" customFormat="1" x14ac:dyDescent="0.25"/>
    <row r="37431" s="12" customFormat="1" x14ac:dyDescent="0.25"/>
    <row r="37432" s="12" customFormat="1" x14ac:dyDescent="0.25"/>
    <row r="37433" s="12" customFormat="1" x14ac:dyDescent="0.25"/>
    <row r="37434" s="12" customFormat="1" x14ac:dyDescent="0.25"/>
    <row r="37435" s="12" customFormat="1" x14ac:dyDescent="0.25"/>
    <row r="37436" s="12" customFormat="1" x14ac:dyDescent="0.25"/>
    <row r="37437" s="12" customFormat="1" x14ac:dyDescent="0.25"/>
    <row r="37438" s="12" customFormat="1" x14ac:dyDescent="0.25"/>
    <row r="37439" s="12" customFormat="1" x14ac:dyDescent="0.25"/>
    <row r="37440" s="12" customFormat="1" x14ac:dyDescent="0.25"/>
    <row r="37441" s="12" customFormat="1" x14ac:dyDescent="0.25"/>
    <row r="37442" s="12" customFormat="1" x14ac:dyDescent="0.25"/>
    <row r="37443" s="12" customFormat="1" x14ac:dyDescent="0.25"/>
    <row r="37444" s="12" customFormat="1" x14ac:dyDescent="0.25"/>
    <row r="37445" s="12" customFormat="1" x14ac:dyDescent="0.25"/>
    <row r="37446" s="12" customFormat="1" x14ac:dyDescent="0.25"/>
    <row r="37447" s="12" customFormat="1" x14ac:dyDescent="0.25"/>
    <row r="37448" s="12" customFormat="1" x14ac:dyDescent="0.25"/>
    <row r="37449" s="12" customFormat="1" x14ac:dyDescent="0.25"/>
    <row r="37450" s="12" customFormat="1" x14ac:dyDescent="0.25"/>
    <row r="37451" s="12" customFormat="1" x14ac:dyDescent="0.25"/>
    <row r="37452" s="12" customFormat="1" x14ac:dyDescent="0.25"/>
    <row r="37453" s="12" customFormat="1" x14ac:dyDescent="0.25"/>
    <row r="37454" s="12" customFormat="1" x14ac:dyDescent="0.25"/>
    <row r="37455" s="12" customFormat="1" x14ac:dyDescent="0.25"/>
    <row r="37456" s="12" customFormat="1" x14ac:dyDescent="0.25"/>
    <row r="37457" s="12" customFormat="1" x14ac:dyDescent="0.25"/>
    <row r="37458" s="12" customFormat="1" x14ac:dyDescent="0.25"/>
    <row r="37459" s="12" customFormat="1" x14ac:dyDescent="0.25"/>
    <row r="37460" s="12" customFormat="1" x14ac:dyDescent="0.25"/>
    <row r="37461" s="12" customFormat="1" x14ac:dyDescent="0.25"/>
    <row r="37462" s="12" customFormat="1" x14ac:dyDescent="0.25"/>
    <row r="37463" s="12" customFormat="1" x14ac:dyDescent="0.25"/>
    <row r="37464" s="12" customFormat="1" x14ac:dyDescent="0.25"/>
    <row r="37465" s="12" customFormat="1" x14ac:dyDescent="0.25"/>
    <row r="37466" s="12" customFormat="1" x14ac:dyDescent="0.25"/>
    <row r="37467" s="12" customFormat="1" x14ac:dyDescent="0.25"/>
    <row r="37468" s="12" customFormat="1" x14ac:dyDescent="0.25"/>
    <row r="37469" s="12" customFormat="1" x14ac:dyDescent="0.25"/>
    <row r="37470" s="12" customFormat="1" x14ac:dyDescent="0.25"/>
    <row r="37471" s="12" customFormat="1" x14ac:dyDescent="0.25"/>
    <row r="37472" s="12" customFormat="1" x14ac:dyDescent="0.25"/>
    <row r="37473" s="12" customFormat="1" x14ac:dyDescent="0.25"/>
    <row r="37474" s="12" customFormat="1" x14ac:dyDescent="0.25"/>
    <row r="37475" s="12" customFormat="1" x14ac:dyDescent="0.25"/>
    <row r="37476" s="12" customFormat="1" x14ac:dyDescent="0.25"/>
    <row r="37477" s="12" customFormat="1" x14ac:dyDescent="0.25"/>
    <row r="37478" s="12" customFormat="1" x14ac:dyDescent="0.25"/>
    <row r="37479" s="12" customFormat="1" x14ac:dyDescent="0.25"/>
    <row r="37480" s="12" customFormat="1" x14ac:dyDescent="0.25"/>
    <row r="37481" s="12" customFormat="1" x14ac:dyDescent="0.25"/>
    <row r="37482" s="12" customFormat="1" x14ac:dyDescent="0.25"/>
    <row r="37483" s="12" customFormat="1" x14ac:dyDescent="0.25"/>
    <row r="37484" s="12" customFormat="1" x14ac:dyDescent="0.25"/>
    <row r="37485" s="12" customFormat="1" x14ac:dyDescent="0.25"/>
    <row r="37486" s="12" customFormat="1" x14ac:dyDescent="0.25"/>
    <row r="37487" s="12" customFormat="1" x14ac:dyDescent="0.25"/>
    <row r="37488" s="12" customFormat="1" x14ac:dyDescent="0.25"/>
    <row r="37489" s="12" customFormat="1" x14ac:dyDescent="0.25"/>
    <row r="37490" s="12" customFormat="1" x14ac:dyDescent="0.25"/>
    <row r="37491" s="12" customFormat="1" x14ac:dyDescent="0.25"/>
    <row r="37492" s="12" customFormat="1" x14ac:dyDescent="0.25"/>
    <row r="37493" s="12" customFormat="1" x14ac:dyDescent="0.25"/>
    <row r="37494" s="12" customFormat="1" x14ac:dyDescent="0.25"/>
    <row r="37495" s="12" customFormat="1" x14ac:dyDescent="0.25"/>
    <row r="37496" s="12" customFormat="1" x14ac:dyDescent="0.25"/>
    <row r="37497" s="12" customFormat="1" x14ac:dyDescent="0.25"/>
    <row r="37498" s="12" customFormat="1" x14ac:dyDescent="0.25"/>
    <row r="37499" s="12" customFormat="1" x14ac:dyDescent="0.25"/>
    <row r="37500" s="12" customFormat="1" x14ac:dyDescent="0.25"/>
    <row r="37501" s="12" customFormat="1" x14ac:dyDescent="0.25"/>
    <row r="37502" s="12" customFormat="1" x14ac:dyDescent="0.25"/>
    <row r="37503" s="12" customFormat="1" x14ac:dyDescent="0.25"/>
    <row r="37504" s="12" customFormat="1" x14ac:dyDescent="0.25"/>
    <row r="37505" s="12" customFormat="1" x14ac:dyDescent="0.25"/>
    <row r="37506" s="12" customFormat="1" x14ac:dyDescent="0.25"/>
    <row r="37507" s="12" customFormat="1" x14ac:dyDescent="0.25"/>
    <row r="37508" s="12" customFormat="1" x14ac:dyDescent="0.25"/>
    <row r="37509" s="12" customFormat="1" x14ac:dyDescent="0.25"/>
    <row r="37510" s="12" customFormat="1" x14ac:dyDescent="0.25"/>
    <row r="37511" s="12" customFormat="1" x14ac:dyDescent="0.25"/>
    <row r="37512" s="12" customFormat="1" x14ac:dyDescent="0.25"/>
    <row r="37513" s="12" customFormat="1" x14ac:dyDescent="0.25"/>
    <row r="37514" s="12" customFormat="1" x14ac:dyDescent="0.25"/>
    <row r="37515" s="12" customFormat="1" x14ac:dyDescent="0.25"/>
    <row r="37516" s="12" customFormat="1" x14ac:dyDescent="0.25"/>
    <row r="37517" s="12" customFormat="1" x14ac:dyDescent="0.25"/>
    <row r="37518" s="12" customFormat="1" x14ac:dyDescent="0.25"/>
    <row r="37519" s="12" customFormat="1" x14ac:dyDescent="0.25"/>
    <row r="37520" s="12" customFormat="1" x14ac:dyDescent="0.25"/>
    <row r="37521" s="12" customFormat="1" x14ac:dyDescent="0.25"/>
    <row r="37522" s="12" customFormat="1" x14ac:dyDescent="0.25"/>
    <row r="37523" s="12" customFormat="1" x14ac:dyDescent="0.25"/>
    <row r="37524" s="12" customFormat="1" x14ac:dyDescent="0.25"/>
    <row r="37525" s="12" customFormat="1" x14ac:dyDescent="0.25"/>
    <row r="37526" s="12" customFormat="1" x14ac:dyDescent="0.25"/>
    <row r="37527" s="12" customFormat="1" x14ac:dyDescent="0.25"/>
    <row r="37528" s="12" customFormat="1" x14ac:dyDescent="0.25"/>
    <row r="37529" s="12" customFormat="1" x14ac:dyDescent="0.25"/>
    <row r="37530" s="12" customFormat="1" x14ac:dyDescent="0.25"/>
    <row r="37531" s="12" customFormat="1" x14ac:dyDescent="0.25"/>
    <row r="37532" s="12" customFormat="1" x14ac:dyDescent="0.25"/>
    <row r="37533" s="12" customFormat="1" x14ac:dyDescent="0.25"/>
    <row r="37534" s="12" customFormat="1" x14ac:dyDescent="0.25"/>
    <row r="37535" s="12" customFormat="1" x14ac:dyDescent="0.25"/>
    <row r="37536" s="12" customFormat="1" x14ac:dyDescent="0.25"/>
    <row r="37537" s="12" customFormat="1" x14ac:dyDescent="0.25"/>
    <row r="37538" s="12" customFormat="1" x14ac:dyDescent="0.25"/>
    <row r="37539" s="12" customFormat="1" x14ac:dyDescent="0.25"/>
    <row r="37540" s="12" customFormat="1" x14ac:dyDescent="0.25"/>
    <row r="37541" s="12" customFormat="1" x14ac:dyDescent="0.25"/>
    <row r="37542" s="12" customFormat="1" x14ac:dyDescent="0.25"/>
    <row r="37543" s="12" customFormat="1" x14ac:dyDescent="0.25"/>
    <row r="37544" s="12" customFormat="1" x14ac:dyDescent="0.25"/>
    <row r="37545" s="12" customFormat="1" x14ac:dyDescent="0.25"/>
    <row r="37546" s="12" customFormat="1" x14ac:dyDescent="0.25"/>
    <row r="37547" s="12" customFormat="1" x14ac:dyDescent="0.25"/>
    <row r="37548" s="12" customFormat="1" x14ac:dyDescent="0.25"/>
    <row r="37549" s="12" customFormat="1" x14ac:dyDescent="0.25"/>
    <row r="37550" s="12" customFormat="1" x14ac:dyDescent="0.25"/>
    <row r="37551" s="12" customFormat="1" x14ac:dyDescent="0.25"/>
    <row r="37552" s="12" customFormat="1" x14ac:dyDescent="0.25"/>
    <row r="37553" s="12" customFormat="1" x14ac:dyDescent="0.25"/>
    <row r="37554" s="12" customFormat="1" x14ac:dyDescent="0.25"/>
    <row r="37555" s="12" customFormat="1" x14ac:dyDescent="0.25"/>
    <row r="37556" s="12" customFormat="1" x14ac:dyDescent="0.25"/>
    <row r="37557" s="12" customFormat="1" x14ac:dyDescent="0.25"/>
    <row r="37558" s="12" customFormat="1" x14ac:dyDescent="0.25"/>
    <row r="37559" s="12" customFormat="1" x14ac:dyDescent="0.25"/>
    <row r="37560" s="12" customFormat="1" x14ac:dyDescent="0.25"/>
    <row r="37561" s="12" customFormat="1" x14ac:dyDescent="0.25"/>
    <row r="37562" s="12" customFormat="1" x14ac:dyDescent="0.25"/>
    <row r="37563" s="12" customFormat="1" x14ac:dyDescent="0.25"/>
    <row r="37564" s="12" customFormat="1" x14ac:dyDescent="0.25"/>
    <row r="37565" s="12" customFormat="1" x14ac:dyDescent="0.25"/>
    <row r="37566" s="12" customFormat="1" x14ac:dyDescent="0.25"/>
    <row r="37567" s="12" customFormat="1" x14ac:dyDescent="0.25"/>
    <row r="37568" s="12" customFormat="1" x14ac:dyDescent="0.25"/>
    <row r="37569" s="12" customFormat="1" x14ac:dyDescent="0.25"/>
    <row r="37570" s="12" customFormat="1" x14ac:dyDescent="0.25"/>
    <row r="37571" s="12" customFormat="1" x14ac:dyDescent="0.25"/>
    <row r="37572" s="12" customFormat="1" x14ac:dyDescent="0.25"/>
    <row r="37573" s="12" customFormat="1" x14ac:dyDescent="0.25"/>
    <row r="37574" s="12" customFormat="1" x14ac:dyDescent="0.25"/>
    <row r="37575" s="12" customFormat="1" x14ac:dyDescent="0.25"/>
    <row r="37576" s="12" customFormat="1" x14ac:dyDescent="0.25"/>
    <row r="37577" s="12" customFormat="1" x14ac:dyDescent="0.25"/>
    <row r="37578" s="12" customFormat="1" x14ac:dyDescent="0.25"/>
    <row r="37579" s="12" customFormat="1" x14ac:dyDescent="0.25"/>
    <row r="37580" s="12" customFormat="1" x14ac:dyDescent="0.25"/>
    <row r="37581" s="12" customFormat="1" x14ac:dyDescent="0.25"/>
    <row r="37582" s="12" customFormat="1" x14ac:dyDescent="0.25"/>
    <row r="37583" s="12" customFormat="1" x14ac:dyDescent="0.25"/>
    <row r="37584" s="12" customFormat="1" x14ac:dyDescent="0.25"/>
    <row r="37585" s="12" customFormat="1" x14ac:dyDescent="0.25"/>
    <row r="37586" s="12" customFormat="1" x14ac:dyDescent="0.25"/>
    <row r="37587" s="12" customFormat="1" x14ac:dyDescent="0.25"/>
    <row r="37588" s="12" customFormat="1" x14ac:dyDescent="0.25"/>
    <row r="37589" s="12" customFormat="1" x14ac:dyDescent="0.25"/>
    <row r="37590" s="12" customFormat="1" x14ac:dyDescent="0.25"/>
    <row r="37591" s="12" customFormat="1" x14ac:dyDescent="0.25"/>
    <row r="37592" s="12" customFormat="1" x14ac:dyDescent="0.25"/>
    <row r="37593" s="12" customFormat="1" x14ac:dyDescent="0.25"/>
    <row r="37594" s="12" customFormat="1" x14ac:dyDescent="0.25"/>
    <row r="37595" s="12" customFormat="1" x14ac:dyDescent="0.25"/>
    <row r="37596" s="12" customFormat="1" x14ac:dyDescent="0.25"/>
    <row r="37597" s="12" customFormat="1" x14ac:dyDescent="0.25"/>
    <row r="37598" s="12" customFormat="1" x14ac:dyDescent="0.25"/>
    <row r="37599" s="12" customFormat="1" x14ac:dyDescent="0.25"/>
    <row r="37600" s="12" customFormat="1" x14ac:dyDescent="0.25"/>
    <row r="37601" s="12" customFormat="1" x14ac:dyDescent="0.25"/>
    <row r="37602" s="12" customFormat="1" x14ac:dyDescent="0.25"/>
    <row r="37603" s="12" customFormat="1" x14ac:dyDescent="0.25"/>
    <row r="37604" s="12" customFormat="1" x14ac:dyDescent="0.25"/>
    <row r="37605" s="12" customFormat="1" x14ac:dyDescent="0.25"/>
    <row r="37606" s="12" customFormat="1" x14ac:dyDescent="0.25"/>
    <row r="37607" s="12" customFormat="1" x14ac:dyDescent="0.25"/>
    <row r="37608" s="12" customFormat="1" x14ac:dyDescent="0.25"/>
    <row r="37609" s="12" customFormat="1" x14ac:dyDescent="0.25"/>
    <row r="37610" s="12" customFormat="1" x14ac:dyDescent="0.25"/>
    <row r="37611" s="12" customFormat="1" x14ac:dyDescent="0.25"/>
    <row r="37612" s="12" customFormat="1" x14ac:dyDescent="0.25"/>
    <row r="37613" s="12" customFormat="1" x14ac:dyDescent="0.25"/>
    <row r="37614" s="12" customFormat="1" x14ac:dyDescent="0.25"/>
    <row r="37615" s="12" customFormat="1" x14ac:dyDescent="0.25"/>
    <row r="37616" s="12" customFormat="1" x14ac:dyDescent="0.25"/>
    <row r="37617" s="12" customFormat="1" x14ac:dyDescent="0.25"/>
    <row r="37618" s="12" customFormat="1" x14ac:dyDescent="0.25"/>
    <row r="37619" s="12" customFormat="1" x14ac:dyDescent="0.25"/>
    <row r="37620" s="12" customFormat="1" x14ac:dyDescent="0.25"/>
    <row r="37621" s="12" customFormat="1" x14ac:dyDescent="0.25"/>
    <row r="37622" s="12" customFormat="1" x14ac:dyDescent="0.25"/>
    <row r="37623" s="12" customFormat="1" x14ac:dyDescent="0.25"/>
    <row r="37624" s="12" customFormat="1" x14ac:dyDescent="0.25"/>
    <row r="37625" s="12" customFormat="1" x14ac:dyDescent="0.25"/>
    <row r="37626" s="12" customFormat="1" x14ac:dyDescent="0.25"/>
    <row r="37627" s="12" customFormat="1" x14ac:dyDescent="0.25"/>
    <row r="37628" s="12" customFormat="1" x14ac:dyDescent="0.25"/>
    <row r="37629" s="12" customFormat="1" x14ac:dyDescent="0.25"/>
    <row r="37630" s="12" customFormat="1" x14ac:dyDescent="0.25"/>
    <row r="37631" s="12" customFormat="1" x14ac:dyDescent="0.25"/>
    <row r="37632" s="12" customFormat="1" x14ac:dyDescent="0.25"/>
    <row r="37633" s="12" customFormat="1" x14ac:dyDescent="0.25"/>
    <row r="37634" s="12" customFormat="1" x14ac:dyDescent="0.25"/>
    <row r="37635" s="12" customFormat="1" x14ac:dyDescent="0.25"/>
    <row r="37636" s="12" customFormat="1" x14ac:dyDescent="0.25"/>
    <row r="37637" s="12" customFormat="1" x14ac:dyDescent="0.25"/>
    <row r="37638" s="12" customFormat="1" x14ac:dyDescent="0.25"/>
    <row r="37639" s="12" customFormat="1" x14ac:dyDescent="0.25"/>
    <row r="37640" s="12" customFormat="1" x14ac:dyDescent="0.25"/>
    <row r="37641" s="12" customFormat="1" x14ac:dyDescent="0.25"/>
    <row r="37642" s="12" customFormat="1" x14ac:dyDescent="0.25"/>
    <row r="37643" s="12" customFormat="1" x14ac:dyDescent="0.25"/>
    <row r="37644" s="12" customFormat="1" x14ac:dyDescent="0.25"/>
    <row r="37645" s="12" customFormat="1" x14ac:dyDescent="0.25"/>
    <row r="37646" s="12" customFormat="1" x14ac:dyDescent="0.25"/>
    <row r="37647" s="12" customFormat="1" x14ac:dyDescent="0.25"/>
    <row r="37648" s="12" customFormat="1" x14ac:dyDescent="0.25"/>
    <row r="37649" s="12" customFormat="1" x14ac:dyDescent="0.25"/>
    <row r="37650" s="12" customFormat="1" x14ac:dyDescent="0.25"/>
    <row r="37651" s="12" customFormat="1" x14ac:dyDescent="0.25"/>
    <row r="37652" s="12" customFormat="1" x14ac:dyDescent="0.25"/>
    <row r="37653" s="12" customFormat="1" x14ac:dyDescent="0.25"/>
    <row r="37654" s="12" customFormat="1" x14ac:dyDescent="0.25"/>
    <row r="37655" s="12" customFormat="1" x14ac:dyDescent="0.25"/>
    <row r="37656" s="12" customFormat="1" x14ac:dyDescent="0.25"/>
    <row r="37657" s="12" customFormat="1" x14ac:dyDescent="0.25"/>
    <row r="37658" s="12" customFormat="1" x14ac:dyDescent="0.25"/>
    <row r="37659" s="12" customFormat="1" x14ac:dyDescent="0.25"/>
    <row r="37660" s="12" customFormat="1" x14ac:dyDescent="0.25"/>
    <row r="37661" s="12" customFormat="1" x14ac:dyDescent="0.25"/>
    <row r="37662" s="12" customFormat="1" x14ac:dyDescent="0.25"/>
    <row r="37663" s="12" customFormat="1" x14ac:dyDescent="0.25"/>
    <row r="37664" s="12" customFormat="1" x14ac:dyDescent="0.25"/>
    <row r="37665" s="12" customFormat="1" x14ac:dyDescent="0.25"/>
    <row r="37666" s="12" customFormat="1" x14ac:dyDescent="0.25"/>
    <row r="37667" s="12" customFormat="1" x14ac:dyDescent="0.25"/>
    <row r="37668" s="12" customFormat="1" x14ac:dyDescent="0.25"/>
    <row r="37669" s="12" customFormat="1" x14ac:dyDescent="0.25"/>
    <row r="37670" s="12" customFormat="1" x14ac:dyDescent="0.25"/>
    <row r="37671" s="12" customFormat="1" x14ac:dyDescent="0.25"/>
    <row r="37672" s="12" customFormat="1" x14ac:dyDescent="0.25"/>
    <row r="37673" s="12" customFormat="1" x14ac:dyDescent="0.25"/>
    <row r="37674" s="12" customFormat="1" x14ac:dyDescent="0.25"/>
    <row r="37675" s="12" customFormat="1" x14ac:dyDescent="0.25"/>
    <row r="37676" s="12" customFormat="1" x14ac:dyDescent="0.25"/>
    <row r="37677" s="12" customFormat="1" x14ac:dyDescent="0.25"/>
    <row r="37678" s="12" customFormat="1" x14ac:dyDescent="0.25"/>
    <row r="37679" s="12" customFormat="1" x14ac:dyDescent="0.25"/>
    <row r="37680" s="12" customFormat="1" x14ac:dyDescent="0.25"/>
    <row r="37681" s="12" customFormat="1" x14ac:dyDescent="0.25"/>
    <row r="37682" s="12" customFormat="1" x14ac:dyDescent="0.25"/>
    <row r="37683" s="12" customFormat="1" x14ac:dyDescent="0.25"/>
    <row r="37684" s="12" customFormat="1" x14ac:dyDescent="0.25"/>
    <row r="37685" s="12" customFormat="1" x14ac:dyDescent="0.25"/>
    <row r="37686" s="12" customFormat="1" x14ac:dyDescent="0.25"/>
    <row r="37687" s="12" customFormat="1" x14ac:dyDescent="0.25"/>
    <row r="37688" s="12" customFormat="1" x14ac:dyDescent="0.25"/>
    <row r="37689" s="12" customFormat="1" x14ac:dyDescent="0.25"/>
    <row r="37690" s="12" customFormat="1" x14ac:dyDescent="0.25"/>
    <row r="37691" s="12" customFormat="1" x14ac:dyDescent="0.25"/>
    <row r="37692" s="12" customFormat="1" x14ac:dyDescent="0.25"/>
    <row r="37693" s="12" customFormat="1" x14ac:dyDescent="0.25"/>
    <row r="37694" s="12" customFormat="1" x14ac:dyDescent="0.25"/>
    <row r="37695" s="12" customFormat="1" x14ac:dyDescent="0.25"/>
    <row r="37696" s="12" customFormat="1" x14ac:dyDescent="0.25"/>
    <row r="37697" s="12" customFormat="1" x14ac:dyDescent="0.25"/>
    <row r="37698" s="12" customFormat="1" x14ac:dyDescent="0.25"/>
    <row r="37699" s="12" customFormat="1" x14ac:dyDescent="0.25"/>
    <row r="37700" s="12" customFormat="1" x14ac:dyDescent="0.25"/>
    <row r="37701" s="12" customFormat="1" x14ac:dyDescent="0.25"/>
    <row r="37702" s="12" customFormat="1" x14ac:dyDescent="0.25"/>
    <row r="37703" s="12" customFormat="1" x14ac:dyDescent="0.25"/>
    <row r="37704" s="12" customFormat="1" x14ac:dyDescent="0.25"/>
    <row r="37705" s="12" customFormat="1" x14ac:dyDescent="0.25"/>
    <row r="37706" s="12" customFormat="1" x14ac:dyDescent="0.25"/>
    <row r="37707" s="12" customFormat="1" x14ac:dyDescent="0.25"/>
    <row r="37708" s="12" customFormat="1" x14ac:dyDescent="0.25"/>
    <row r="37709" s="12" customFormat="1" x14ac:dyDescent="0.25"/>
    <row r="37710" s="12" customFormat="1" x14ac:dyDescent="0.25"/>
    <row r="37711" s="12" customFormat="1" x14ac:dyDescent="0.25"/>
    <row r="37712" s="12" customFormat="1" x14ac:dyDescent="0.25"/>
    <row r="37713" s="12" customFormat="1" x14ac:dyDescent="0.25"/>
    <row r="37714" s="12" customFormat="1" x14ac:dyDescent="0.25"/>
    <row r="37715" s="12" customFormat="1" x14ac:dyDescent="0.25"/>
    <row r="37716" s="12" customFormat="1" x14ac:dyDescent="0.25"/>
    <row r="37717" s="12" customFormat="1" x14ac:dyDescent="0.25"/>
    <row r="37718" s="12" customFormat="1" x14ac:dyDescent="0.25"/>
    <row r="37719" s="12" customFormat="1" x14ac:dyDescent="0.25"/>
    <row r="37720" s="12" customFormat="1" x14ac:dyDescent="0.25"/>
    <row r="37721" s="12" customFormat="1" x14ac:dyDescent="0.25"/>
    <row r="37722" s="12" customFormat="1" x14ac:dyDescent="0.25"/>
    <row r="37723" s="12" customFormat="1" x14ac:dyDescent="0.25"/>
    <row r="37724" s="12" customFormat="1" x14ac:dyDescent="0.25"/>
    <row r="37725" s="12" customFormat="1" x14ac:dyDescent="0.25"/>
    <row r="37726" s="12" customFormat="1" x14ac:dyDescent="0.25"/>
    <row r="37727" s="12" customFormat="1" x14ac:dyDescent="0.25"/>
    <row r="37728" s="12" customFormat="1" x14ac:dyDescent="0.25"/>
    <row r="37729" s="12" customFormat="1" x14ac:dyDescent="0.25"/>
    <row r="37730" s="12" customFormat="1" x14ac:dyDescent="0.25"/>
    <row r="37731" s="12" customFormat="1" x14ac:dyDescent="0.25"/>
    <row r="37732" s="12" customFormat="1" x14ac:dyDescent="0.25"/>
    <row r="37733" s="12" customFormat="1" x14ac:dyDescent="0.25"/>
    <row r="37734" s="12" customFormat="1" x14ac:dyDescent="0.25"/>
    <row r="37735" s="12" customFormat="1" x14ac:dyDescent="0.25"/>
    <row r="37736" s="12" customFormat="1" x14ac:dyDescent="0.25"/>
    <row r="37737" s="12" customFormat="1" x14ac:dyDescent="0.25"/>
    <row r="37738" s="12" customFormat="1" x14ac:dyDescent="0.25"/>
    <row r="37739" s="12" customFormat="1" x14ac:dyDescent="0.25"/>
    <row r="37740" s="12" customFormat="1" x14ac:dyDescent="0.25"/>
    <row r="37741" s="12" customFormat="1" x14ac:dyDescent="0.25"/>
    <row r="37742" s="12" customFormat="1" x14ac:dyDescent="0.25"/>
    <row r="37743" s="12" customFormat="1" x14ac:dyDescent="0.25"/>
    <row r="37744" s="12" customFormat="1" x14ac:dyDescent="0.25"/>
    <row r="37745" s="12" customFormat="1" x14ac:dyDescent="0.25"/>
    <row r="37746" s="12" customFormat="1" x14ac:dyDescent="0.25"/>
    <row r="37747" s="12" customFormat="1" x14ac:dyDescent="0.25"/>
    <row r="37748" s="12" customFormat="1" x14ac:dyDescent="0.25"/>
    <row r="37749" s="12" customFormat="1" x14ac:dyDescent="0.25"/>
    <row r="37750" s="12" customFormat="1" x14ac:dyDescent="0.25"/>
    <row r="37751" s="12" customFormat="1" x14ac:dyDescent="0.25"/>
    <row r="37752" s="12" customFormat="1" x14ac:dyDescent="0.25"/>
    <row r="37753" s="12" customFormat="1" x14ac:dyDescent="0.25"/>
    <row r="37754" s="12" customFormat="1" x14ac:dyDescent="0.25"/>
    <row r="37755" s="12" customFormat="1" x14ac:dyDescent="0.25"/>
    <row r="37756" s="12" customFormat="1" x14ac:dyDescent="0.25"/>
    <row r="37757" s="12" customFormat="1" x14ac:dyDescent="0.25"/>
    <row r="37758" s="12" customFormat="1" x14ac:dyDescent="0.25"/>
    <row r="37759" s="12" customFormat="1" x14ac:dyDescent="0.25"/>
    <row r="37760" s="12" customFormat="1" x14ac:dyDescent="0.25"/>
    <row r="37761" s="12" customFormat="1" x14ac:dyDescent="0.25"/>
    <row r="37762" s="12" customFormat="1" x14ac:dyDescent="0.25"/>
    <row r="37763" s="12" customFormat="1" x14ac:dyDescent="0.25"/>
    <row r="37764" s="12" customFormat="1" x14ac:dyDescent="0.25"/>
    <row r="37765" s="12" customFormat="1" x14ac:dyDescent="0.25"/>
    <row r="37766" s="12" customFormat="1" x14ac:dyDescent="0.25"/>
    <row r="37767" s="12" customFormat="1" x14ac:dyDescent="0.25"/>
    <row r="37768" s="12" customFormat="1" x14ac:dyDescent="0.25"/>
    <row r="37769" s="12" customFormat="1" x14ac:dyDescent="0.25"/>
    <row r="37770" s="12" customFormat="1" x14ac:dyDescent="0.25"/>
    <row r="37771" s="12" customFormat="1" x14ac:dyDescent="0.25"/>
    <row r="37772" s="12" customFormat="1" x14ac:dyDescent="0.25"/>
    <row r="37773" s="12" customFormat="1" x14ac:dyDescent="0.25"/>
    <row r="37774" s="12" customFormat="1" x14ac:dyDescent="0.25"/>
    <row r="37775" s="12" customFormat="1" x14ac:dyDescent="0.25"/>
    <row r="37776" s="12" customFormat="1" x14ac:dyDescent="0.25"/>
    <row r="37777" s="12" customFormat="1" x14ac:dyDescent="0.25"/>
    <row r="37778" s="12" customFormat="1" x14ac:dyDescent="0.25"/>
    <row r="37779" s="12" customFormat="1" x14ac:dyDescent="0.25"/>
    <row r="37780" s="12" customFormat="1" x14ac:dyDescent="0.25"/>
    <row r="37781" s="12" customFormat="1" x14ac:dyDescent="0.25"/>
    <row r="37782" s="12" customFormat="1" x14ac:dyDescent="0.25"/>
    <row r="37783" s="12" customFormat="1" x14ac:dyDescent="0.25"/>
    <row r="37784" s="12" customFormat="1" x14ac:dyDescent="0.25"/>
    <row r="37785" s="12" customFormat="1" x14ac:dyDescent="0.25"/>
    <row r="37786" s="12" customFormat="1" x14ac:dyDescent="0.25"/>
    <row r="37787" s="12" customFormat="1" x14ac:dyDescent="0.25"/>
    <row r="37788" s="12" customFormat="1" x14ac:dyDescent="0.25"/>
    <row r="37789" s="12" customFormat="1" x14ac:dyDescent="0.25"/>
    <row r="37790" s="12" customFormat="1" x14ac:dyDescent="0.25"/>
    <row r="37791" s="12" customFormat="1" x14ac:dyDescent="0.25"/>
    <row r="37792" s="12" customFormat="1" x14ac:dyDescent="0.25"/>
    <row r="37793" s="12" customFormat="1" x14ac:dyDescent="0.25"/>
    <row r="37794" s="12" customFormat="1" x14ac:dyDescent="0.25"/>
    <row r="37795" s="12" customFormat="1" x14ac:dyDescent="0.25"/>
    <row r="37796" s="12" customFormat="1" x14ac:dyDescent="0.25"/>
    <row r="37797" s="12" customFormat="1" x14ac:dyDescent="0.25"/>
    <row r="37798" s="12" customFormat="1" x14ac:dyDescent="0.25"/>
    <row r="37799" s="12" customFormat="1" x14ac:dyDescent="0.25"/>
    <row r="37800" s="12" customFormat="1" x14ac:dyDescent="0.25"/>
    <row r="37801" s="12" customFormat="1" x14ac:dyDescent="0.25"/>
    <row r="37802" s="12" customFormat="1" x14ac:dyDescent="0.25"/>
    <row r="37803" s="12" customFormat="1" x14ac:dyDescent="0.25"/>
    <row r="37804" s="12" customFormat="1" x14ac:dyDescent="0.25"/>
    <row r="37805" s="12" customFormat="1" x14ac:dyDescent="0.25"/>
    <row r="37806" s="12" customFormat="1" x14ac:dyDescent="0.25"/>
    <row r="37807" s="12" customFormat="1" x14ac:dyDescent="0.25"/>
    <row r="37808" s="12" customFormat="1" x14ac:dyDescent="0.25"/>
    <row r="37809" s="12" customFormat="1" x14ac:dyDescent="0.25"/>
    <row r="37810" s="12" customFormat="1" x14ac:dyDescent="0.25"/>
    <row r="37811" s="12" customFormat="1" x14ac:dyDescent="0.25"/>
    <row r="37812" s="12" customFormat="1" x14ac:dyDescent="0.25"/>
    <row r="37813" s="12" customFormat="1" x14ac:dyDescent="0.25"/>
    <row r="37814" s="12" customFormat="1" x14ac:dyDescent="0.25"/>
    <row r="37815" s="12" customFormat="1" x14ac:dyDescent="0.25"/>
    <row r="37816" s="12" customFormat="1" x14ac:dyDescent="0.25"/>
    <row r="37817" s="12" customFormat="1" x14ac:dyDescent="0.25"/>
    <row r="37818" s="12" customFormat="1" x14ac:dyDescent="0.25"/>
    <row r="37819" s="12" customFormat="1" x14ac:dyDescent="0.25"/>
    <row r="37820" s="12" customFormat="1" x14ac:dyDescent="0.25"/>
    <row r="37821" s="12" customFormat="1" x14ac:dyDescent="0.25"/>
    <row r="37822" s="12" customFormat="1" x14ac:dyDescent="0.25"/>
    <row r="37823" s="12" customFormat="1" x14ac:dyDescent="0.25"/>
    <row r="37824" s="12" customFormat="1" x14ac:dyDescent="0.25"/>
    <row r="37825" s="12" customFormat="1" x14ac:dyDescent="0.25"/>
    <row r="37826" s="12" customFormat="1" x14ac:dyDescent="0.25"/>
    <row r="37827" s="12" customFormat="1" x14ac:dyDescent="0.25"/>
    <row r="37828" s="12" customFormat="1" x14ac:dyDescent="0.25"/>
    <row r="37829" s="12" customFormat="1" x14ac:dyDescent="0.25"/>
    <row r="37830" s="12" customFormat="1" x14ac:dyDescent="0.25"/>
    <row r="37831" s="12" customFormat="1" x14ac:dyDescent="0.25"/>
    <row r="37832" s="12" customFormat="1" x14ac:dyDescent="0.25"/>
    <row r="37833" s="12" customFormat="1" x14ac:dyDescent="0.25"/>
    <row r="37834" s="12" customFormat="1" x14ac:dyDescent="0.25"/>
    <row r="37835" s="12" customFormat="1" x14ac:dyDescent="0.25"/>
    <row r="37836" s="12" customFormat="1" x14ac:dyDescent="0.25"/>
    <row r="37837" s="12" customFormat="1" x14ac:dyDescent="0.25"/>
    <row r="37838" s="12" customFormat="1" x14ac:dyDescent="0.25"/>
    <row r="37839" s="12" customFormat="1" x14ac:dyDescent="0.25"/>
    <row r="37840" s="12" customFormat="1" x14ac:dyDescent="0.25"/>
    <row r="37841" s="12" customFormat="1" x14ac:dyDescent="0.25"/>
    <row r="37842" s="12" customFormat="1" x14ac:dyDescent="0.25"/>
    <row r="37843" s="12" customFormat="1" x14ac:dyDescent="0.25"/>
    <row r="37844" s="12" customFormat="1" x14ac:dyDescent="0.25"/>
    <row r="37845" s="12" customFormat="1" x14ac:dyDescent="0.25"/>
    <row r="37846" s="12" customFormat="1" x14ac:dyDescent="0.25"/>
    <row r="37847" s="12" customFormat="1" x14ac:dyDescent="0.25"/>
    <row r="37848" s="12" customFormat="1" x14ac:dyDescent="0.25"/>
    <row r="37849" s="12" customFormat="1" x14ac:dyDescent="0.25"/>
    <row r="37850" s="12" customFormat="1" x14ac:dyDescent="0.25"/>
    <row r="37851" s="12" customFormat="1" x14ac:dyDescent="0.25"/>
    <row r="37852" s="12" customFormat="1" x14ac:dyDescent="0.25"/>
    <row r="37853" s="12" customFormat="1" x14ac:dyDescent="0.25"/>
    <row r="37854" s="12" customFormat="1" x14ac:dyDescent="0.25"/>
    <row r="37855" s="12" customFormat="1" x14ac:dyDescent="0.25"/>
    <row r="37856" s="12" customFormat="1" x14ac:dyDescent="0.25"/>
    <row r="37857" s="12" customFormat="1" x14ac:dyDescent="0.25"/>
    <row r="37858" s="12" customFormat="1" x14ac:dyDescent="0.25"/>
    <row r="37859" s="12" customFormat="1" x14ac:dyDescent="0.25"/>
    <row r="37860" s="12" customFormat="1" x14ac:dyDescent="0.25"/>
    <row r="37861" s="12" customFormat="1" x14ac:dyDescent="0.25"/>
    <row r="37862" s="12" customFormat="1" x14ac:dyDescent="0.25"/>
    <row r="37863" s="12" customFormat="1" x14ac:dyDescent="0.25"/>
    <row r="37864" s="12" customFormat="1" x14ac:dyDescent="0.25"/>
    <row r="37865" s="12" customFormat="1" x14ac:dyDescent="0.25"/>
    <row r="37866" s="12" customFormat="1" x14ac:dyDescent="0.25"/>
    <row r="37867" s="12" customFormat="1" x14ac:dyDescent="0.25"/>
    <row r="37868" s="12" customFormat="1" x14ac:dyDescent="0.25"/>
    <row r="37869" s="12" customFormat="1" x14ac:dyDescent="0.25"/>
    <row r="37870" s="12" customFormat="1" x14ac:dyDescent="0.25"/>
    <row r="37871" s="12" customFormat="1" x14ac:dyDescent="0.25"/>
    <row r="37872" s="12" customFormat="1" x14ac:dyDescent="0.25"/>
    <row r="37873" s="12" customFormat="1" x14ac:dyDescent="0.25"/>
    <row r="37874" s="12" customFormat="1" x14ac:dyDescent="0.25"/>
    <row r="37875" s="12" customFormat="1" x14ac:dyDescent="0.25"/>
    <row r="37876" s="12" customFormat="1" x14ac:dyDescent="0.25"/>
    <row r="37877" s="12" customFormat="1" x14ac:dyDescent="0.25"/>
    <row r="37878" s="12" customFormat="1" x14ac:dyDescent="0.25"/>
    <row r="37879" s="12" customFormat="1" x14ac:dyDescent="0.25"/>
    <row r="37880" s="12" customFormat="1" x14ac:dyDescent="0.25"/>
    <row r="37881" s="12" customFormat="1" x14ac:dyDescent="0.25"/>
    <row r="37882" s="12" customFormat="1" x14ac:dyDescent="0.25"/>
    <row r="37883" s="12" customFormat="1" x14ac:dyDescent="0.25"/>
    <row r="37884" s="12" customFormat="1" x14ac:dyDescent="0.25"/>
    <row r="37885" s="12" customFormat="1" x14ac:dyDescent="0.25"/>
    <row r="37886" s="12" customFormat="1" x14ac:dyDescent="0.25"/>
    <row r="37887" s="12" customFormat="1" x14ac:dyDescent="0.25"/>
    <row r="37888" s="12" customFormat="1" x14ac:dyDescent="0.25"/>
    <row r="37889" s="12" customFormat="1" x14ac:dyDescent="0.25"/>
    <row r="37890" s="12" customFormat="1" x14ac:dyDescent="0.25"/>
    <row r="37891" s="12" customFormat="1" x14ac:dyDescent="0.25"/>
    <row r="37892" s="12" customFormat="1" x14ac:dyDescent="0.25"/>
    <row r="37893" s="12" customFormat="1" x14ac:dyDescent="0.25"/>
    <row r="37894" s="12" customFormat="1" x14ac:dyDescent="0.25"/>
    <row r="37895" s="12" customFormat="1" x14ac:dyDescent="0.25"/>
    <row r="37896" s="12" customFormat="1" x14ac:dyDescent="0.25"/>
    <row r="37897" s="12" customFormat="1" x14ac:dyDescent="0.25"/>
    <row r="37898" s="12" customFormat="1" x14ac:dyDescent="0.25"/>
    <row r="37899" s="12" customFormat="1" x14ac:dyDescent="0.25"/>
    <row r="37900" s="12" customFormat="1" x14ac:dyDescent="0.25"/>
    <row r="37901" s="12" customFormat="1" x14ac:dyDescent="0.25"/>
    <row r="37902" s="12" customFormat="1" x14ac:dyDescent="0.25"/>
    <row r="37903" s="12" customFormat="1" x14ac:dyDescent="0.25"/>
    <row r="37904" s="12" customFormat="1" x14ac:dyDescent="0.25"/>
    <row r="37905" s="12" customFormat="1" x14ac:dyDescent="0.25"/>
    <row r="37906" s="12" customFormat="1" x14ac:dyDescent="0.25"/>
    <row r="37907" s="12" customFormat="1" x14ac:dyDescent="0.25"/>
    <row r="37908" s="12" customFormat="1" x14ac:dyDescent="0.25"/>
    <row r="37909" s="12" customFormat="1" x14ac:dyDescent="0.25"/>
    <row r="37910" s="12" customFormat="1" x14ac:dyDescent="0.25"/>
    <row r="37911" s="12" customFormat="1" x14ac:dyDescent="0.25"/>
    <row r="37912" s="12" customFormat="1" x14ac:dyDescent="0.25"/>
    <row r="37913" s="12" customFormat="1" x14ac:dyDescent="0.25"/>
    <row r="37914" s="12" customFormat="1" x14ac:dyDescent="0.25"/>
    <row r="37915" s="12" customFormat="1" x14ac:dyDescent="0.25"/>
    <row r="37916" s="12" customFormat="1" x14ac:dyDescent="0.25"/>
    <row r="37917" s="12" customFormat="1" x14ac:dyDescent="0.25"/>
    <row r="37918" s="12" customFormat="1" x14ac:dyDescent="0.25"/>
    <row r="37919" s="12" customFormat="1" x14ac:dyDescent="0.25"/>
    <row r="37920" s="12" customFormat="1" x14ac:dyDescent="0.25"/>
    <row r="37921" s="12" customFormat="1" x14ac:dyDescent="0.25"/>
    <row r="37922" s="12" customFormat="1" x14ac:dyDescent="0.25"/>
    <row r="37923" s="12" customFormat="1" x14ac:dyDescent="0.25"/>
    <row r="37924" s="12" customFormat="1" x14ac:dyDescent="0.25"/>
    <row r="37925" s="12" customFormat="1" x14ac:dyDescent="0.25"/>
    <row r="37926" s="12" customFormat="1" x14ac:dyDescent="0.25"/>
    <row r="37927" s="12" customFormat="1" x14ac:dyDescent="0.25"/>
    <row r="37928" s="12" customFormat="1" x14ac:dyDescent="0.25"/>
    <row r="37929" s="12" customFormat="1" x14ac:dyDescent="0.25"/>
    <row r="37930" s="12" customFormat="1" x14ac:dyDescent="0.25"/>
    <row r="37931" s="12" customFormat="1" x14ac:dyDescent="0.25"/>
    <row r="37932" s="12" customFormat="1" x14ac:dyDescent="0.25"/>
    <row r="37933" s="12" customFormat="1" x14ac:dyDescent="0.25"/>
    <row r="37934" s="12" customFormat="1" x14ac:dyDescent="0.25"/>
    <row r="37935" s="12" customFormat="1" x14ac:dyDescent="0.25"/>
    <row r="37936" s="12" customFormat="1" x14ac:dyDescent="0.25"/>
    <row r="37937" s="12" customFormat="1" x14ac:dyDescent="0.25"/>
    <row r="37938" s="12" customFormat="1" x14ac:dyDescent="0.25"/>
    <row r="37939" s="12" customFormat="1" x14ac:dyDescent="0.25"/>
    <row r="37940" s="12" customFormat="1" x14ac:dyDescent="0.25"/>
    <row r="37941" s="12" customFormat="1" x14ac:dyDescent="0.25"/>
    <row r="37942" s="12" customFormat="1" x14ac:dyDescent="0.25"/>
    <row r="37943" s="12" customFormat="1" x14ac:dyDescent="0.25"/>
    <row r="37944" s="12" customFormat="1" x14ac:dyDescent="0.25"/>
    <row r="37945" s="12" customFormat="1" x14ac:dyDescent="0.25"/>
    <row r="37946" s="12" customFormat="1" x14ac:dyDescent="0.25"/>
    <row r="37947" s="12" customFormat="1" x14ac:dyDescent="0.25"/>
    <row r="37948" s="12" customFormat="1" x14ac:dyDescent="0.25"/>
    <row r="37949" s="12" customFormat="1" x14ac:dyDescent="0.25"/>
    <row r="37950" s="12" customFormat="1" x14ac:dyDescent="0.25"/>
    <row r="37951" s="12" customFormat="1" x14ac:dyDescent="0.25"/>
    <row r="37952" s="12" customFormat="1" x14ac:dyDescent="0.25"/>
    <row r="37953" s="12" customFormat="1" x14ac:dyDescent="0.25"/>
    <row r="37954" s="12" customFormat="1" x14ac:dyDescent="0.25"/>
    <row r="37955" s="12" customFormat="1" x14ac:dyDescent="0.25"/>
    <row r="37956" s="12" customFormat="1" x14ac:dyDescent="0.25"/>
    <row r="37957" s="12" customFormat="1" x14ac:dyDescent="0.25"/>
    <row r="37958" s="12" customFormat="1" x14ac:dyDescent="0.25"/>
    <row r="37959" s="12" customFormat="1" x14ac:dyDescent="0.25"/>
    <row r="37960" s="12" customFormat="1" x14ac:dyDescent="0.25"/>
    <row r="37961" s="12" customFormat="1" x14ac:dyDescent="0.25"/>
    <row r="37962" s="12" customFormat="1" x14ac:dyDescent="0.25"/>
    <row r="37963" s="12" customFormat="1" x14ac:dyDescent="0.25"/>
    <row r="37964" s="12" customFormat="1" x14ac:dyDescent="0.25"/>
    <row r="37965" s="12" customFormat="1" x14ac:dyDescent="0.25"/>
    <row r="37966" s="12" customFormat="1" x14ac:dyDescent="0.25"/>
    <row r="37967" s="12" customFormat="1" x14ac:dyDescent="0.25"/>
    <row r="37968" s="12" customFormat="1" x14ac:dyDescent="0.25"/>
    <row r="37969" s="12" customFormat="1" x14ac:dyDescent="0.25"/>
    <row r="37970" s="12" customFormat="1" x14ac:dyDescent="0.25"/>
    <row r="37971" s="12" customFormat="1" x14ac:dyDescent="0.25"/>
    <row r="37972" s="12" customFormat="1" x14ac:dyDescent="0.25"/>
    <row r="37973" s="12" customFormat="1" x14ac:dyDescent="0.25"/>
    <row r="37974" s="12" customFormat="1" x14ac:dyDescent="0.25"/>
    <row r="37975" s="12" customFormat="1" x14ac:dyDescent="0.25"/>
    <row r="37976" s="12" customFormat="1" x14ac:dyDescent="0.25"/>
    <row r="37977" s="12" customFormat="1" x14ac:dyDescent="0.25"/>
    <row r="37978" s="12" customFormat="1" x14ac:dyDescent="0.25"/>
    <row r="37979" s="12" customFormat="1" x14ac:dyDescent="0.25"/>
    <row r="37980" s="12" customFormat="1" x14ac:dyDescent="0.25"/>
    <row r="37981" s="12" customFormat="1" x14ac:dyDescent="0.25"/>
    <row r="37982" s="12" customFormat="1" x14ac:dyDescent="0.25"/>
    <row r="37983" s="12" customFormat="1" x14ac:dyDescent="0.25"/>
    <row r="37984" s="12" customFormat="1" x14ac:dyDescent="0.25"/>
    <row r="37985" s="12" customFormat="1" x14ac:dyDescent="0.25"/>
    <row r="37986" s="12" customFormat="1" x14ac:dyDescent="0.25"/>
    <row r="37987" s="12" customFormat="1" x14ac:dyDescent="0.25"/>
    <row r="37988" s="12" customFormat="1" x14ac:dyDescent="0.25"/>
    <row r="37989" s="12" customFormat="1" x14ac:dyDescent="0.25"/>
    <row r="37990" s="12" customFormat="1" x14ac:dyDescent="0.25"/>
    <row r="37991" s="12" customFormat="1" x14ac:dyDescent="0.25"/>
    <row r="37992" s="12" customFormat="1" x14ac:dyDescent="0.25"/>
    <row r="37993" s="12" customFormat="1" x14ac:dyDescent="0.25"/>
    <row r="37994" s="12" customFormat="1" x14ac:dyDescent="0.25"/>
    <row r="37995" s="12" customFormat="1" x14ac:dyDescent="0.25"/>
    <row r="37996" s="12" customFormat="1" x14ac:dyDescent="0.25"/>
    <row r="37997" s="12" customFormat="1" x14ac:dyDescent="0.25"/>
    <row r="37998" s="12" customFormat="1" x14ac:dyDescent="0.25"/>
    <row r="37999" s="12" customFormat="1" x14ac:dyDescent="0.25"/>
    <row r="38000" s="12" customFormat="1" x14ac:dyDescent="0.25"/>
    <row r="38001" s="12" customFormat="1" x14ac:dyDescent="0.25"/>
    <row r="38002" s="12" customFormat="1" x14ac:dyDescent="0.25"/>
    <row r="38003" s="12" customFormat="1" x14ac:dyDescent="0.25"/>
    <row r="38004" s="12" customFormat="1" x14ac:dyDescent="0.25"/>
    <row r="38005" s="12" customFormat="1" x14ac:dyDescent="0.25"/>
    <row r="38006" s="12" customFormat="1" x14ac:dyDescent="0.25"/>
    <row r="38007" s="12" customFormat="1" x14ac:dyDescent="0.25"/>
    <row r="38008" s="12" customFormat="1" x14ac:dyDescent="0.25"/>
    <row r="38009" s="12" customFormat="1" x14ac:dyDescent="0.25"/>
    <row r="38010" s="12" customFormat="1" x14ac:dyDescent="0.25"/>
    <row r="38011" s="12" customFormat="1" x14ac:dyDescent="0.25"/>
    <row r="38012" s="12" customFormat="1" x14ac:dyDescent="0.25"/>
    <row r="38013" s="12" customFormat="1" x14ac:dyDescent="0.25"/>
    <row r="38014" s="12" customFormat="1" x14ac:dyDescent="0.25"/>
    <row r="38015" s="12" customFormat="1" x14ac:dyDescent="0.25"/>
    <row r="38016" s="12" customFormat="1" x14ac:dyDescent="0.25"/>
    <row r="38017" s="12" customFormat="1" x14ac:dyDescent="0.25"/>
    <row r="38018" s="12" customFormat="1" x14ac:dyDescent="0.25"/>
    <row r="38019" s="12" customFormat="1" x14ac:dyDescent="0.25"/>
    <row r="38020" s="12" customFormat="1" x14ac:dyDescent="0.25"/>
    <row r="38021" s="12" customFormat="1" x14ac:dyDescent="0.25"/>
    <row r="38022" s="12" customFormat="1" x14ac:dyDescent="0.25"/>
    <row r="38023" s="12" customFormat="1" x14ac:dyDescent="0.25"/>
    <row r="38024" s="12" customFormat="1" x14ac:dyDescent="0.25"/>
    <row r="38025" s="12" customFormat="1" x14ac:dyDescent="0.25"/>
    <row r="38026" s="12" customFormat="1" x14ac:dyDescent="0.25"/>
    <row r="38027" s="12" customFormat="1" x14ac:dyDescent="0.25"/>
    <row r="38028" s="12" customFormat="1" x14ac:dyDescent="0.25"/>
    <row r="38029" s="12" customFormat="1" x14ac:dyDescent="0.25"/>
    <row r="38030" s="12" customFormat="1" x14ac:dyDescent="0.25"/>
    <row r="38031" s="12" customFormat="1" x14ac:dyDescent="0.25"/>
    <row r="38032" s="12" customFormat="1" x14ac:dyDescent="0.25"/>
    <row r="38033" s="12" customFormat="1" x14ac:dyDescent="0.25"/>
    <row r="38034" s="12" customFormat="1" x14ac:dyDescent="0.25"/>
    <row r="38035" s="12" customFormat="1" x14ac:dyDescent="0.25"/>
    <row r="38036" s="12" customFormat="1" x14ac:dyDescent="0.25"/>
    <row r="38037" s="12" customFormat="1" x14ac:dyDescent="0.25"/>
    <row r="38038" s="12" customFormat="1" x14ac:dyDescent="0.25"/>
    <row r="38039" s="12" customFormat="1" x14ac:dyDescent="0.25"/>
    <row r="38040" s="12" customFormat="1" x14ac:dyDescent="0.25"/>
    <row r="38041" s="12" customFormat="1" x14ac:dyDescent="0.25"/>
    <row r="38042" s="12" customFormat="1" x14ac:dyDescent="0.25"/>
    <row r="38043" s="12" customFormat="1" x14ac:dyDescent="0.25"/>
    <row r="38044" s="12" customFormat="1" x14ac:dyDescent="0.25"/>
    <row r="38045" s="12" customFormat="1" x14ac:dyDescent="0.25"/>
    <row r="38046" s="12" customFormat="1" x14ac:dyDescent="0.25"/>
    <row r="38047" s="12" customFormat="1" x14ac:dyDescent="0.25"/>
    <row r="38048" s="12" customFormat="1" x14ac:dyDescent="0.25"/>
    <row r="38049" s="12" customFormat="1" x14ac:dyDescent="0.25"/>
    <row r="38050" s="12" customFormat="1" x14ac:dyDescent="0.25"/>
    <row r="38051" s="12" customFormat="1" x14ac:dyDescent="0.25"/>
    <row r="38052" s="12" customFormat="1" x14ac:dyDescent="0.25"/>
    <row r="38053" s="12" customFormat="1" x14ac:dyDescent="0.25"/>
    <row r="38054" s="12" customFormat="1" x14ac:dyDescent="0.25"/>
    <row r="38055" s="12" customFormat="1" x14ac:dyDescent="0.25"/>
    <row r="38056" s="12" customFormat="1" x14ac:dyDescent="0.25"/>
    <row r="38057" s="12" customFormat="1" x14ac:dyDescent="0.25"/>
    <row r="38058" s="12" customFormat="1" x14ac:dyDescent="0.25"/>
    <row r="38059" s="12" customFormat="1" x14ac:dyDescent="0.25"/>
    <row r="38060" s="12" customFormat="1" x14ac:dyDescent="0.25"/>
    <row r="38061" s="12" customFormat="1" x14ac:dyDescent="0.25"/>
    <row r="38062" s="12" customFormat="1" x14ac:dyDescent="0.25"/>
    <row r="38063" s="12" customFormat="1" x14ac:dyDescent="0.25"/>
    <row r="38064" s="12" customFormat="1" x14ac:dyDescent="0.25"/>
    <row r="38065" s="12" customFormat="1" x14ac:dyDescent="0.25"/>
    <row r="38066" s="12" customFormat="1" x14ac:dyDescent="0.25"/>
    <row r="38067" s="12" customFormat="1" x14ac:dyDescent="0.25"/>
    <row r="38068" s="12" customFormat="1" x14ac:dyDescent="0.25"/>
    <row r="38069" s="12" customFormat="1" x14ac:dyDescent="0.25"/>
    <row r="38070" s="12" customFormat="1" x14ac:dyDescent="0.25"/>
    <row r="38071" s="12" customFormat="1" x14ac:dyDescent="0.25"/>
    <row r="38072" s="12" customFormat="1" x14ac:dyDescent="0.25"/>
    <row r="38073" s="12" customFormat="1" x14ac:dyDescent="0.25"/>
    <row r="38074" s="12" customFormat="1" x14ac:dyDescent="0.25"/>
    <row r="38075" s="12" customFormat="1" x14ac:dyDescent="0.25"/>
    <row r="38076" s="12" customFormat="1" x14ac:dyDescent="0.25"/>
    <row r="38077" s="12" customFormat="1" x14ac:dyDescent="0.25"/>
    <row r="38078" s="12" customFormat="1" x14ac:dyDescent="0.25"/>
    <row r="38079" s="12" customFormat="1" x14ac:dyDescent="0.25"/>
    <row r="38080" s="12" customFormat="1" x14ac:dyDescent="0.25"/>
    <row r="38081" s="12" customFormat="1" x14ac:dyDescent="0.25"/>
    <row r="38082" s="12" customFormat="1" x14ac:dyDescent="0.25"/>
    <row r="38083" s="12" customFormat="1" x14ac:dyDescent="0.25"/>
    <row r="38084" s="12" customFormat="1" x14ac:dyDescent="0.25"/>
    <row r="38085" s="12" customFormat="1" x14ac:dyDescent="0.25"/>
    <row r="38086" s="12" customFormat="1" x14ac:dyDescent="0.25"/>
    <row r="38087" s="12" customFormat="1" x14ac:dyDescent="0.25"/>
    <row r="38088" s="12" customFormat="1" x14ac:dyDescent="0.25"/>
    <row r="38089" s="12" customFormat="1" x14ac:dyDescent="0.25"/>
    <row r="38090" s="12" customFormat="1" x14ac:dyDescent="0.25"/>
    <row r="38091" s="12" customFormat="1" x14ac:dyDescent="0.25"/>
    <row r="38092" s="12" customFormat="1" x14ac:dyDescent="0.25"/>
    <row r="38093" s="12" customFormat="1" x14ac:dyDescent="0.25"/>
    <row r="38094" s="12" customFormat="1" x14ac:dyDescent="0.25"/>
    <row r="38095" s="12" customFormat="1" x14ac:dyDescent="0.25"/>
    <row r="38096" s="12" customFormat="1" x14ac:dyDescent="0.25"/>
    <row r="38097" s="12" customFormat="1" x14ac:dyDescent="0.25"/>
    <row r="38098" s="12" customFormat="1" x14ac:dyDescent="0.25"/>
    <row r="38099" s="12" customFormat="1" x14ac:dyDescent="0.25"/>
    <row r="38100" s="12" customFormat="1" x14ac:dyDescent="0.25"/>
    <row r="38101" s="12" customFormat="1" x14ac:dyDescent="0.25"/>
    <row r="38102" s="12" customFormat="1" x14ac:dyDescent="0.25"/>
    <row r="38103" s="12" customFormat="1" x14ac:dyDescent="0.25"/>
    <row r="38104" s="12" customFormat="1" x14ac:dyDescent="0.25"/>
    <row r="38105" s="12" customFormat="1" x14ac:dyDescent="0.25"/>
    <row r="38106" s="12" customFormat="1" x14ac:dyDescent="0.25"/>
    <row r="38107" s="12" customFormat="1" x14ac:dyDescent="0.25"/>
    <row r="38108" s="12" customFormat="1" x14ac:dyDescent="0.25"/>
    <row r="38109" s="12" customFormat="1" x14ac:dyDescent="0.25"/>
    <row r="38110" s="12" customFormat="1" x14ac:dyDescent="0.25"/>
    <row r="38111" s="12" customFormat="1" x14ac:dyDescent="0.25"/>
    <row r="38112" s="12" customFormat="1" x14ac:dyDescent="0.25"/>
    <row r="38113" s="12" customFormat="1" x14ac:dyDescent="0.25"/>
    <row r="38114" s="12" customFormat="1" x14ac:dyDescent="0.25"/>
    <row r="38115" s="12" customFormat="1" x14ac:dyDescent="0.25"/>
    <row r="38116" s="12" customFormat="1" x14ac:dyDescent="0.25"/>
    <row r="38117" s="12" customFormat="1" x14ac:dyDescent="0.25"/>
    <row r="38118" s="12" customFormat="1" x14ac:dyDescent="0.25"/>
    <row r="38119" s="12" customFormat="1" x14ac:dyDescent="0.25"/>
    <row r="38120" s="12" customFormat="1" x14ac:dyDescent="0.25"/>
    <row r="38121" s="12" customFormat="1" x14ac:dyDescent="0.25"/>
    <row r="38122" s="12" customFormat="1" x14ac:dyDescent="0.25"/>
    <row r="38123" s="12" customFormat="1" x14ac:dyDescent="0.25"/>
    <row r="38124" s="12" customFormat="1" x14ac:dyDescent="0.25"/>
    <row r="38125" s="12" customFormat="1" x14ac:dyDescent="0.25"/>
    <row r="38126" s="12" customFormat="1" x14ac:dyDescent="0.25"/>
    <row r="38127" s="12" customFormat="1" x14ac:dyDescent="0.25"/>
    <row r="38128" s="12" customFormat="1" x14ac:dyDescent="0.25"/>
    <row r="38129" s="12" customFormat="1" x14ac:dyDescent="0.25"/>
    <row r="38130" s="12" customFormat="1" x14ac:dyDescent="0.25"/>
    <row r="38131" s="12" customFormat="1" x14ac:dyDescent="0.25"/>
    <row r="38132" s="12" customFormat="1" x14ac:dyDescent="0.25"/>
    <row r="38133" s="12" customFormat="1" x14ac:dyDescent="0.25"/>
    <row r="38134" s="12" customFormat="1" x14ac:dyDescent="0.25"/>
    <row r="38135" s="12" customFormat="1" x14ac:dyDescent="0.25"/>
    <row r="38136" s="12" customFormat="1" x14ac:dyDescent="0.25"/>
    <row r="38137" s="12" customFormat="1" x14ac:dyDescent="0.25"/>
    <row r="38138" s="12" customFormat="1" x14ac:dyDescent="0.25"/>
    <row r="38139" s="12" customFormat="1" x14ac:dyDescent="0.25"/>
    <row r="38140" s="12" customFormat="1" x14ac:dyDescent="0.25"/>
    <row r="38141" s="12" customFormat="1" x14ac:dyDescent="0.25"/>
    <row r="38142" s="12" customFormat="1" x14ac:dyDescent="0.25"/>
    <row r="38143" s="12" customFormat="1" x14ac:dyDescent="0.25"/>
    <row r="38144" s="12" customFormat="1" x14ac:dyDescent="0.25"/>
    <row r="38145" s="12" customFormat="1" x14ac:dyDescent="0.25"/>
    <row r="38146" s="12" customFormat="1" x14ac:dyDescent="0.25"/>
    <row r="38147" s="12" customFormat="1" x14ac:dyDescent="0.25"/>
    <row r="38148" s="12" customFormat="1" x14ac:dyDescent="0.25"/>
    <row r="38149" s="12" customFormat="1" x14ac:dyDescent="0.25"/>
    <row r="38150" s="12" customFormat="1" x14ac:dyDescent="0.25"/>
    <row r="38151" s="12" customFormat="1" x14ac:dyDescent="0.25"/>
    <row r="38152" s="12" customFormat="1" x14ac:dyDescent="0.25"/>
    <row r="38153" s="12" customFormat="1" x14ac:dyDescent="0.25"/>
    <row r="38154" s="12" customFormat="1" x14ac:dyDescent="0.25"/>
    <row r="38155" s="12" customFormat="1" x14ac:dyDescent="0.25"/>
    <row r="38156" s="12" customFormat="1" x14ac:dyDescent="0.25"/>
    <row r="38157" s="12" customFormat="1" x14ac:dyDescent="0.25"/>
    <row r="38158" s="12" customFormat="1" x14ac:dyDescent="0.25"/>
    <row r="38159" s="12" customFormat="1" x14ac:dyDescent="0.25"/>
    <row r="38160" s="12" customFormat="1" x14ac:dyDescent="0.25"/>
    <row r="38161" s="12" customFormat="1" x14ac:dyDescent="0.25"/>
    <row r="38162" s="12" customFormat="1" x14ac:dyDescent="0.25"/>
    <row r="38163" s="12" customFormat="1" x14ac:dyDescent="0.25"/>
    <row r="38164" s="12" customFormat="1" x14ac:dyDescent="0.25"/>
    <row r="38165" s="12" customFormat="1" x14ac:dyDescent="0.25"/>
    <row r="38166" s="12" customFormat="1" x14ac:dyDescent="0.25"/>
    <row r="38167" s="12" customFormat="1" x14ac:dyDescent="0.25"/>
    <row r="38168" s="12" customFormat="1" x14ac:dyDescent="0.25"/>
    <row r="38169" s="12" customFormat="1" x14ac:dyDescent="0.25"/>
    <row r="38170" s="12" customFormat="1" x14ac:dyDescent="0.25"/>
    <row r="38171" s="12" customFormat="1" x14ac:dyDescent="0.25"/>
    <row r="38172" s="12" customFormat="1" x14ac:dyDescent="0.25"/>
    <row r="38173" s="12" customFormat="1" x14ac:dyDescent="0.25"/>
    <row r="38174" s="12" customFormat="1" x14ac:dyDescent="0.25"/>
    <row r="38175" s="12" customFormat="1" x14ac:dyDescent="0.25"/>
    <row r="38176" s="12" customFormat="1" x14ac:dyDescent="0.25"/>
    <row r="38177" s="12" customFormat="1" x14ac:dyDescent="0.25"/>
    <row r="38178" s="12" customFormat="1" x14ac:dyDescent="0.25"/>
    <row r="38179" s="12" customFormat="1" x14ac:dyDescent="0.25"/>
    <row r="38180" s="12" customFormat="1" x14ac:dyDescent="0.25"/>
    <row r="38181" s="12" customFormat="1" x14ac:dyDescent="0.25"/>
    <row r="38182" s="12" customFormat="1" x14ac:dyDescent="0.25"/>
    <row r="38183" s="12" customFormat="1" x14ac:dyDescent="0.25"/>
    <row r="38184" s="12" customFormat="1" x14ac:dyDescent="0.25"/>
    <row r="38185" s="12" customFormat="1" x14ac:dyDescent="0.25"/>
    <row r="38186" s="12" customFormat="1" x14ac:dyDescent="0.25"/>
    <row r="38187" s="12" customFormat="1" x14ac:dyDescent="0.25"/>
    <row r="38188" s="12" customFormat="1" x14ac:dyDescent="0.25"/>
    <row r="38189" s="12" customFormat="1" x14ac:dyDescent="0.25"/>
    <row r="38190" s="12" customFormat="1" x14ac:dyDescent="0.25"/>
    <row r="38191" s="12" customFormat="1" x14ac:dyDescent="0.25"/>
    <row r="38192" s="12" customFormat="1" x14ac:dyDescent="0.25"/>
    <row r="38193" s="12" customFormat="1" x14ac:dyDescent="0.25"/>
    <row r="38194" s="12" customFormat="1" x14ac:dyDescent="0.25"/>
    <row r="38195" s="12" customFormat="1" x14ac:dyDescent="0.25"/>
    <row r="38196" s="12" customFormat="1" x14ac:dyDescent="0.25"/>
    <row r="38197" s="12" customFormat="1" x14ac:dyDescent="0.25"/>
    <row r="38198" s="12" customFormat="1" x14ac:dyDescent="0.25"/>
    <row r="38199" s="12" customFormat="1" x14ac:dyDescent="0.25"/>
    <row r="38200" s="12" customFormat="1" x14ac:dyDescent="0.25"/>
    <row r="38201" s="12" customFormat="1" x14ac:dyDescent="0.25"/>
    <row r="38202" s="12" customFormat="1" x14ac:dyDescent="0.25"/>
    <row r="38203" s="12" customFormat="1" x14ac:dyDescent="0.25"/>
    <row r="38204" s="12" customFormat="1" x14ac:dyDescent="0.25"/>
    <row r="38205" s="12" customFormat="1" x14ac:dyDescent="0.25"/>
    <row r="38206" s="12" customFormat="1" x14ac:dyDescent="0.25"/>
    <row r="38207" s="12" customFormat="1" x14ac:dyDescent="0.25"/>
    <row r="38208" s="12" customFormat="1" x14ac:dyDescent="0.25"/>
    <row r="38209" s="12" customFormat="1" x14ac:dyDescent="0.25"/>
    <row r="38210" s="12" customFormat="1" x14ac:dyDescent="0.25"/>
    <row r="38211" s="12" customFormat="1" x14ac:dyDescent="0.25"/>
    <row r="38212" s="12" customFormat="1" x14ac:dyDescent="0.25"/>
    <row r="38213" s="12" customFormat="1" x14ac:dyDescent="0.25"/>
    <row r="38214" s="12" customFormat="1" x14ac:dyDescent="0.25"/>
    <row r="38215" s="12" customFormat="1" x14ac:dyDescent="0.25"/>
    <row r="38216" s="12" customFormat="1" x14ac:dyDescent="0.25"/>
    <row r="38217" s="12" customFormat="1" x14ac:dyDescent="0.25"/>
    <row r="38218" s="12" customFormat="1" x14ac:dyDescent="0.25"/>
    <row r="38219" s="12" customFormat="1" x14ac:dyDescent="0.25"/>
    <row r="38220" s="12" customFormat="1" x14ac:dyDescent="0.25"/>
    <row r="38221" s="12" customFormat="1" x14ac:dyDescent="0.25"/>
    <row r="38222" s="12" customFormat="1" x14ac:dyDescent="0.25"/>
    <row r="38223" s="12" customFormat="1" x14ac:dyDescent="0.25"/>
    <row r="38224" s="12" customFormat="1" x14ac:dyDescent="0.25"/>
    <row r="38225" s="12" customFormat="1" x14ac:dyDescent="0.25"/>
    <row r="38226" s="12" customFormat="1" x14ac:dyDescent="0.25"/>
    <row r="38227" s="12" customFormat="1" x14ac:dyDescent="0.25"/>
    <row r="38228" s="12" customFormat="1" x14ac:dyDescent="0.25"/>
    <row r="38229" s="12" customFormat="1" x14ac:dyDescent="0.25"/>
    <row r="38230" s="12" customFormat="1" x14ac:dyDescent="0.25"/>
    <row r="38231" s="12" customFormat="1" x14ac:dyDescent="0.25"/>
    <row r="38232" s="12" customFormat="1" x14ac:dyDescent="0.25"/>
    <row r="38233" s="12" customFormat="1" x14ac:dyDescent="0.25"/>
    <row r="38234" s="12" customFormat="1" x14ac:dyDescent="0.25"/>
    <row r="38235" s="12" customFormat="1" x14ac:dyDescent="0.25"/>
    <row r="38236" s="12" customFormat="1" x14ac:dyDescent="0.25"/>
    <row r="38237" s="12" customFormat="1" x14ac:dyDescent="0.25"/>
    <row r="38238" s="12" customFormat="1" x14ac:dyDescent="0.25"/>
    <row r="38239" s="12" customFormat="1" x14ac:dyDescent="0.25"/>
    <row r="38240" s="12" customFormat="1" x14ac:dyDescent="0.25"/>
    <row r="38241" s="12" customFormat="1" x14ac:dyDescent="0.25"/>
    <row r="38242" s="12" customFormat="1" x14ac:dyDescent="0.25"/>
    <row r="38243" s="12" customFormat="1" x14ac:dyDescent="0.25"/>
    <row r="38244" s="12" customFormat="1" x14ac:dyDescent="0.25"/>
    <row r="38245" s="12" customFormat="1" x14ac:dyDescent="0.25"/>
    <row r="38246" s="12" customFormat="1" x14ac:dyDescent="0.25"/>
    <row r="38247" s="12" customFormat="1" x14ac:dyDescent="0.25"/>
    <row r="38248" s="12" customFormat="1" x14ac:dyDescent="0.25"/>
    <row r="38249" s="12" customFormat="1" x14ac:dyDescent="0.25"/>
    <row r="38250" s="12" customFormat="1" x14ac:dyDescent="0.25"/>
    <row r="38251" s="12" customFormat="1" x14ac:dyDescent="0.25"/>
    <row r="38252" s="12" customFormat="1" x14ac:dyDescent="0.25"/>
    <row r="38253" s="12" customFormat="1" x14ac:dyDescent="0.25"/>
    <row r="38254" s="12" customFormat="1" x14ac:dyDescent="0.25"/>
    <row r="38255" s="12" customFormat="1" x14ac:dyDescent="0.25"/>
    <row r="38256" s="12" customFormat="1" x14ac:dyDescent="0.25"/>
    <row r="38257" s="12" customFormat="1" x14ac:dyDescent="0.25"/>
    <row r="38258" s="12" customFormat="1" x14ac:dyDescent="0.25"/>
    <row r="38259" s="12" customFormat="1" x14ac:dyDescent="0.25"/>
    <row r="38260" s="12" customFormat="1" x14ac:dyDescent="0.25"/>
    <row r="38261" s="12" customFormat="1" x14ac:dyDescent="0.25"/>
    <row r="38262" s="12" customFormat="1" x14ac:dyDescent="0.25"/>
    <row r="38263" s="12" customFormat="1" x14ac:dyDescent="0.25"/>
    <row r="38264" s="12" customFormat="1" x14ac:dyDescent="0.25"/>
    <row r="38265" s="12" customFormat="1" x14ac:dyDescent="0.25"/>
    <row r="38266" s="12" customFormat="1" x14ac:dyDescent="0.25"/>
    <row r="38267" s="12" customFormat="1" x14ac:dyDescent="0.25"/>
    <row r="38268" s="12" customFormat="1" x14ac:dyDescent="0.25"/>
    <row r="38269" s="12" customFormat="1" x14ac:dyDescent="0.25"/>
    <row r="38270" s="12" customFormat="1" x14ac:dyDescent="0.25"/>
    <row r="38271" s="12" customFormat="1" x14ac:dyDescent="0.25"/>
    <row r="38272" s="12" customFormat="1" x14ac:dyDescent="0.25"/>
    <row r="38273" s="12" customFormat="1" x14ac:dyDescent="0.25"/>
    <row r="38274" s="12" customFormat="1" x14ac:dyDescent="0.25"/>
    <row r="38275" s="12" customFormat="1" x14ac:dyDescent="0.25"/>
    <row r="38276" s="12" customFormat="1" x14ac:dyDescent="0.25"/>
    <row r="38277" s="12" customFormat="1" x14ac:dyDescent="0.25"/>
    <row r="38278" s="12" customFormat="1" x14ac:dyDescent="0.25"/>
    <row r="38279" s="12" customFormat="1" x14ac:dyDescent="0.25"/>
    <row r="38280" s="12" customFormat="1" x14ac:dyDescent="0.25"/>
    <row r="38281" s="12" customFormat="1" x14ac:dyDescent="0.25"/>
    <row r="38282" s="12" customFormat="1" x14ac:dyDescent="0.25"/>
    <row r="38283" s="12" customFormat="1" x14ac:dyDescent="0.25"/>
    <row r="38284" s="12" customFormat="1" x14ac:dyDescent="0.25"/>
    <row r="38285" s="12" customFormat="1" x14ac:dyDescent="0.25"/>
    <row r="38286" s="12" customFormat="1" x14ac:dyDescent="0.25"/>
    <row r="38287" s="12" customFormat="1" x14ac:dyDescent="0.25"/>
    <row r="38288" s="12" customFormat="1" x14ac:dyDescent="0.25"/>
    <row r="38289" s="12" customFormat="1" x14ac:dyDescent="0.25"/>
    <row r="38290" s="12" customFormat="1" x14ac:dyDescent="0.25"/>
    <row r="38291" s="12" customFormat="1" x14ac:dyDescent="0.25"/>
    <row r="38292" s="12" customFormat="1" x14ac:dyDescent="0.25"/>
    <row r="38293" s="12" customFormat="1" x14ac:dyDescent="0.25"/>
    <row r="38294" s="12" customFormat="1" x14ac:dyDescent="0.25"/>
    <row r="38295" s="12" customFormat="1" x14ac:dyDescent="0.25"/>
    <row r="38296" s="12" customFormat="1" x14ac:dyDescent="0.25"/>
    <row r="38297" s="12" customFormat="1" x14ac:dyDescent="0.25"/>
    <row r="38298" s="12" customFormat="1" x14ac:dyDescent="0.25"/>
    <row r="38299" s="12" customFormat="1" x14ac:dyDescent="0.25"/>
    <row r="38300" s="12" customFormat="1" x14ac:dyDescent="0.25"/>
    <row r="38301" s="12" customFormat="1" x14ac:dyDescent="0.25"/>
    <row r="38302" s="12" customFormat="1" x14ac:dyDescent="0.25"/>
    <row r="38303" s="12" customFormat="1" x14ac:dyDescent="0.25"/>
    <row r="38304" s="12" customFormat="1" x14ac:dyDescent="0.25"/>
    <row r="38305" s="12" customFormat="1" x14ac:dyDescent="0.25"/>
    <row r="38306" s="12" customFormat="1" x14ac:dyDescent="0.25"/>
    <row r="38307" s="12" customFormat="1" x14ac:dyDescent="0.25"/>
    <row r="38308" s="12" customFormat="1" x14ac:dyDescent="0.25"/>
    <row r="38309" s="12" customFormat="1" x14ac:dyDescent="0.25"/>
    <row r="38310" s="12" customFormat="1" x14ac:dyDescent="0.25"/>
    <row r="38311" s="12" customFormat="1" x14ac:dyDescent="0.25"/>
    <row r="38312" s="12" customFormat="1" x14ac:dyDescent="0.25"/>
    <row r="38313" s="12" customFormat="1" x14ac:dyDescent="0.25"/>
    <row r="38314" s="12" customFormat="1" x14ac:dyDescent="0.25"/>
    <row r="38315" s="12" customFormat="1" x14ac:dyDescent="0.25"/>
    <row r="38316" s="12" customFormat="1" x14ac:dyDescent="0.25"/>
    <row r="38317" s="12" customFormat="1" x14ac:dyDescent="0.25"/>
    <row r="38318" s="12" customFormat="1" x14ac:dyDescent="0.25"/>
    <row r="38319" s="12" customFormat="1" x14ac:dyDescent="0.25"/>
    <row r="38320" s="12" customFormat="1" x14ac:dyDescent="0.25"/>
    <row r="38321" s="12" customFormat="1" x14ac:dyDescent="0.25"/>
    <row r="38322" s="12" customFormat="1" x14ac:dyDescent="0.25"/>
    <row r="38323" s="12" customFormat="1" x14ac:dyDescent="0.25"/>
    <row r="38324" s="12" customFormat="1" x14ac:dyDescent="0.25"/>
    <row r="38325" s="12" customFormat="1" x14ac:dyDescent="0.25"/>
    <row r="38326" s="12" customFormat="1" x14ac:dyDescent="0.25"/>
    <row r="38327" s="12" customFormat="1" x14ac:dyDescent="0.25"/>
    <row r="38328" s="12" customFormat="1" x14ac:dyDescent="0.25"/>
    <row r="38329" s="12" customFormat="1" x14ac:dyDescent="0.25"/>
    <row r="38330" s="12" customFormat="1" x14ac:dyDescent="0.25"/>
    <row r="38331" s="12" customFormat="1" x14ac:dyDescent="0.25"/>
    <row r="38332" s="12" customFormat="1" x14ac:dyDescent="0.25"/>
    <row r="38333" s="12" customFormat="1" x14ac:dyDescent="0.25"/>
    <row r="38334" s="12" customFormat="1" x14ac:dyDescent="0.25"/>
    <row r="38335" s="12" customFormat="1" x14ac:dyDescent="0.25"/>
    <row r="38336" s="12" customFormat="1" x14ac:dyDescent="0.25"/>
    <row r="38337" s="12" customFormat="1" x14ac:dyDescent="0.25"/>
    <row r="38338" s="12" customFormat="1" x14ac:dyDescent="0.25"/>
    <row r="38339" s="12" customFormat="1" x14ac:dyDescent="0.25"/>
    <row r="38340" s="12" customFormat="1" x14ac:dyDescent="0.25"/>
    <row r="38341" s="12" customFormat="1" x14ac:dyDescent="0.25"/>
    <row r="38342" s="12" customFormat="1" x14ac:dyDescent="0.25"/>
    <row r="38343" s="12" customFormat="1" x14ac:dyDescent="0.25"/>
    <row r="38344" s="12" customFormat="1" x14ac:dyDescent="0.25"/>
    <row r="38345" s="12" customFormat="1" x14ac:dyDescent="0.25"/>
    <row r="38346" s="12" customFormat="1" x14ac:dyDescent="0.25"/>
    <row r="38347" s="12" customFormat="1" x14ac:dyDescent="0.25"/>
    <row r="38348" s="12" customFormat="1" x14ac:dyDescent="0.25"/>
    <row r="38349" s="12" customFormat="1" x14ac:dyDescent="0.25"/>
    <row r="38350" s="12" customFormat="1" x14ac:dyDescent="0.25"/>
    <row r="38351" s="12" customFormat="1" x14ac:dyDescent="0.25"/>
    <row r="38352" s="12" customFormat="1" x14ac:dyDescent="0.25"/>
    <row r="38353" s="12" customFormat="1" x14ac:dyDescent="0.25"/>
    <row r="38354" s="12" customFormat="1" x14ac:dyDescent="0.25"/>
    <row r="38355" s="12" customFormat="1" x14ac:dyDescent="0.25"/>
    <row r="38356" s="12" customFormat="1" x14ac:dyDescent="0.25"/>
    <row r="38357" s="12" customFormat="1" x14ac:dyDescent="0.25"/>
    <row r="38358" s="12" customFormat="1" x14ac:dyDescent="0.25"/>
    <row r="38359" s="12" customFormat="1" x14ac:dyDescent="0.25"/>
    <row r="38360" s="12" customFormat="1" x14ac:dyDescent="0.25"/>
    <row r="38361" s="12" customFormat="1" x14ac:dyDescent="0.25"/>
    <row r="38362" s="12" customFormat="1" x14ac:dyDescent="0.25"/>
    <row r="38363" s="12" customFormat="1" x14ac:dyDescent="0.25"/>
    <row r="38364" s="12" customFormat="1" x14ac:dyDescent="0.25"/>
    <row r="38365" s="12" customFormat="1" x14ac:dyDescent="0.25"/>
    <row r="38366" s="12" customFormat="1" x14ac:dyDescent="0.25"/>
    <row r="38367" s="12" customFormat="1" x14ac:dyDescent="0.25"/>
    <row r="38368" s="12" customFormat="1" x14ac:dyDescent="0.25"/>
    <row r="38369" s="12" customFormat="1" x14ac:dyDescent="0.25"/>
    <row r="38370" s="12" customFormat="1" x14ac:dyDescent="0.25"/>
    <row r="38371" s="12" customFormat="1" x14ac:dyDescent="0.25"/>
    <row r="38372" s="12" customFormat="1" x14ac:dyDescent="0.25"/>
    <row r="38373" s="12" customFormat="1" x14ac:dyDescent="0.25"/>
    <row r="38374" s="12" customFormat="1" x14ac:dyDescent="0.25"/>
    <row r="38375" s="12" customFormat="1" x14ac:dyDescent="0.25"/>
    <row r="38376" s="12" customFormat="1" x14ac:dyDescent="0.25"/>
    <row r="38377" s="12" customFormat="1" x14ac:dyDescent="0.25"/>
    <row r="38378" s="12" customFormat="1" x14ac:dyDescent="0.25"/>
    <row r="38379" s="12" customFormat="1" x14ac:dyDescent="0.25"/>
    <row r="38380" s="12" customFormat="1" x14ac:dyDescent="0.25"/>
    <row r="38381" s="12" customFormat="1" x14ac:dyDescent="0.25"/>
    <row r="38382" s="12" customFormat="1" x14ac:dyDescent="0.25"/>
    <row r="38383" s="12" customFormat="1" x14ac:dyDescent="0.25"/>
    <row r="38384" s="12" customFormat="1" x14ac:dyDescent="0.25"/>
    <row r="38385" s="12" customFormat="1" x14ac:dyDescent="0.25"/>
    <row r="38386" s="12" customFormat="1" x14ac:dyDescent="0.25"/>
    <row r="38387" s="12" customFormat="1" x14ac:dyDescent="0.25"/>
    <row r="38388" s="12" customFormat="1" x14ac:dyDescent="0.25"/>
    <row r="38389" s="12" customFormat="1" x14ac:dyDescent="0.25"/>
    <row r="38390" s="12" customFormat="1" x14ac:dyDescent="0.25"/>
    <row r="38391" s="12" customFormat="1" x14ac:dyDescent="0.25"/>
    <row r="38392" s="12" customFormat="1" x14ac:dyDescent="0.25"/>
    <row r="38393" s="12" customFormat="1" x14ac:dyDescent="0.25"/>
    <row r="38394" s="12" customFormat="1" x14ac:dyDescent="0.25"/>
    <row r="38395" s="12" customFormat="1" x14ac:dyDescent="0.25"/>
    <row r="38396" s="12" customFormat="1" x14ac:dyDescent="0.25"/>
    <row r="38397" s="12" customFormat="1" x14ac:dyDescent="0.25"/>
    <row r="38398" s="12" customFormat="1" x14ac:dyDescent="0.25"/>
    <row r="38399" s="12" customFormat="1" x14ac:dyDescent="0.25"/>
    <row r="38400" s="12" customFormat="1" x14ac:dyDescent="0.25"/>
    <row r="38401" s="12" customFormat="1" x14ac:dyDescent="0.25"/>
    <row r="38402" s="12" customFormat="1" x14ac:dyDescent="0.25"/>
    <row r="38403" s="12" customFormat="1" x14ac:dyDescent="0.25"/>
    <row r="38404" s="12" customFormat="1" x14ac:dyDescent="0.25"/>
    <row r="38405" s="12" customFormat="1" x14ac:dyDescent="0.25"/>
    <row r="38406" s="12" customFormat="1" x14ac:dyDescent="0.25"/>
    <row r="38407" s="12" customFormat="1" x14ac:dyDescent="0.25"/>
    <row r="38408" s="12" customFormat="1" x14ac:dyDescent="0.25"/>
    <row r="38409" s="12" customFormat="1" x14ac:dyDescent="0.25"/>
    <row r="38410" s="12" customFormat="1" x14ac:dyDescent="0.25"/>
    <row r="38411" s="12" customFormat="1" x14ac:dyDescent="0.25"/>
    <row r="38412" s="12" customFormat="1" x14ac:dyDescent="0.25"/>
    <row r="38413" s="12" customFormat="1" x14ac:dyDescent="0.25"/>
    <row r="38414" s="12" customFormat="1" x14ac:dyDescent="0.25"/>
    <row r="38415" s="12" customFormat="1" x14ac:dyDescent="0.25"/>
    <row r="38416" s="12" customFormat="1" x14ac:dyDescent="0.25"/>
    <row r="38417" s="12" customFormat="1" x14ac:dyDescent="0.25"/>
    <row r="38418" s="12" customFormat="1" x14ac:dyDescent="0.25"/>
    <row r="38419" s="12" customFormat="1" x14ac:dyDescent="0.25"/>
    <row r="38420" s="12" customFormat="1" x14ac:dyDescent="0.25"/>
    <row r="38421" s="12" customFormat="1" x14ac:dyDescent="0.25"/>
    <row r="38422" s="12" customFormat="1" x14ac:dyDescent="0.25"/>
    <row r="38423" s="12" customFormat="1" x14ac:dyDescent="0.25"/>
    <row r="38424" s="12" customFormat="1" x14ac:dyDescent="0.25"/>
    <row r="38425" s="12" customFormat="1" x14ac:dyDescent="0.25"/>
    <row r="38426" s="12" customFormat="1" x14ac:dyDescent="0.25"/>
    <row r="38427" s="12" customFormat="1" x14ac:dyDescent="0.25"/>
    <row r="38428" s="12" customFormat="1" x14ac:dyDescent="0.25"/>
    <row r="38429" s="12" customFormat="1" x14ac:dyDescent="0.25"/>
    <row r="38430" s="12" customFormat="1" x14ac:dyDescent="0.25"/>
    <row r="38431" s="12" customFormat="1" x14ac:dyDescent="0.25"/>
    <row r="38432" s="12" customFormat="1" x14ac:dyDescent="0.25"/>
    <row r="38433" s="12" customFormat="1" x14ac:dyDescent="0.25"/>
    <row r="38434" s="12" customFormat="1" x14ac:dyDescent="0.25"/>
    <row r="38435" s="12" customFormat="1" x14ac:dyDescent="0.25"/>
    <row r="38436" s="12" customFormat="1" x14ac:dyDescent="0.25"/>
    <row r="38437" s="12" customFormat="1" x14ac:dyDescent="0.25"/>
    <row r="38438" s="12" customFormat="1" x14ac:dyDescent="0.25"/>
    <row r="38439" s="12" customFormat="1" x14ac:dyDescent="0.25"/>
    <row r="38440" s="12" customFormat="1" x14ac:dyDescent="0.25"/>
    <row r="38441" s="12" customFormat="1" x14ac:dyDescent="0.25"/>
    <row r="38442" s="12" customFormat="1" x14ac:dyDescent="0.25"/>
    <row r="38443" s="12" customFormat="1" x14ac:dyDescent="0.25"/>
    <row r="38444" s="12" customFormat="1" x14ac:dyDescent="0.25"/>
    <row r="38445" s="12" customFormat="1" x14ac:dyDescent="0.25"/>
    <row r="38446" s="12" customFormat="1" x14ac:dyDescent="0.25"/>
    <row r="38447" s="12" customFormat="1" x14ac:dyDescent="0.25"/>
    <row r="38448" s="12" customFormat="1" x14ac:dyDescent="0.25"/>
    <row r="38449" s="12" customFormat="1" x14ac:dyDescent="0.25"/>
    <row r="38450" s="12" customFormat="1" x14ac:dyDescent="0.25"/>
    <row r="38451" s="12" customFormat="1" x14ac:dyDescent="0.25"/>
    <row r="38452" s="12" customFormat="1" x14ac:dyDescent="0.25"/>
    <row r="38453" s="12" customFormat="1" x14ac:dyDescent="0.25"/>
    <row r="38454" s="12" customFormat="1" x14ac:dyDescent="0.25"/>
    <row r="38455" s="12" customFormat="1" x14ac:dyDescent="0.25"/>
    <row r="38456" s="12" customFormat="1" x14ac:dyDescent="0.25"/>
    <row r="38457" s="12" customFormat="1" x14ac:dyDescent="0.25"/>
    <row r="38458" s="12" customFormat="1" x14ac:dyDescent="0.25"/>
    <row r="38459" s="12" customFormat="1" x14ac:dyDescent="0.25"/>
    <row r="38460" s="12" customFormat="1" x14ac:dyDescent="0.25"/>
    <row r="38461" s="12" customFormat="1" x14ac:dyDescent="0.25"/>
    <row r="38462" s="12" customFormat="1" x14ac:dyDescent="0.25"/>
    <row r="38463" s="12" customFormat="1" x14ac:dyDescent="0.25"/>
    <row r="38464" s="12" customFormat="1" x14ac:dyDescent="0.25"/>
    <row r="38465" s="12" customFormat="1" x14ac:dyDescent="0.25"/>
    <row r="38466" s="12" customFormat="1" x14ac:dyDescent="0.25"/>
    <row r="38467" s="12" customFormat="1" x14ac:dyDescent="0.25"/>
    <row r="38468" s="12" customFormat="1" x14ac:dyDescent="0.25"/>
    <row r="38469" s="12" customFormat="1" x14ac:dyDescent="0.25"/>
    <row r="38470" s="12" customFormat="1" x14ac:dyDescent="0.25"/>
    <row r="38471" s="12" customFormat="1" x14ac:dyDescent="0.25"/>
    <row r="38472" s="12" customFormat="1" x14ac:dyDescent="0.25"/>
    <row r="38473" s="12" customFormat="1" x14ac:dyDescent="0.25"/>
    <row r="38474" s="12" customFormat="1" x14ac:dyDescent="0.25"/>
    <row r="38475" s="12" customFormat="1" x14ac:dyDescent="0.25"/>
    <row r="38476" s="12" customFormat="1" x14ac:dyDescent="0.25"/>
    <row r="38477" s="12" customFormat="1" x14ac:dyDescent="0.25"/>
    <row r="38478" s="12" customFormat="1" x14ac:dyDescent="0.25"/>
    <row r="38479" s="12" customFormat="1" x14ac:dyDescent="0.25"/>
    <row r="38480" s="12" customFormat="1" x14ac:dyDescent="0.25"/>
    <row r="38481" s="12" customFormat="1" x14ac:dyDescent="0.25"/>
    <row r="38482" s="12" customFormat="1" x14ac:dyDescent="0.25"/>
    <row r="38483" s="12" customFormat="1" x14ac:dyDescent="0.25"/>
    <row r="38484" s="12" customFormat="1" x14ac:dyDescent="0.25"/>
    <row r="38485" s="12" customFormat="1" x14ac:dyDescent="0.25"/>
    <row r="38486" s="12" customFormat="1" x14ac:dyDescent="0.25"/>
    <row r="38487" s="12" customFormat="1" x14ac:dyDescent="0.25"/>
    <row r="38488" s="12" customFormat="1" x14ac:dyDescent="0.25"/>
    <row r="38489" s="12" customFormat="1" x14ac:dyDescent="0.25"/>
    <row r="38490" s="12" customFormat="1" x14ac:dyDescent="0.25"/>
    <row r="38491" s="12" customFormat="1" x14ac:dyDescent="0.25"/>
    <row r="38492" s="12" customFormat="1" x14ac:dyDescent="0.25"/>
    <row r="38493" s="12" customFormat="1" x14ac:dyDescent="0.25"/>
    <row r="38494" s="12" customFormat="1" x14ac:dyDescent="0.25"/>
    <row r="38495" s="12" customFormat="1" x14ac:dyDescent="0.25"/>
    <row r="38496" s="12" customFormat="1" x14ac:dyDescent="0.25"/>
    <row r="38497" s="12" customFormat="1" x14ac:dyDescent="0.25"/>
    <row r="38498" s="12" customFormat="1" x14ac:dyDescent="0.25"/>
    <row r="38499" s="12" customFormat="1" x14ac:dyDescent="0.25"/>
    <row r="38500" s="12" customFormat="1" x14ac:dyDescent="0.25"/>
    <row r="38501" s="12" customFormat="1" x14ac:dyDescent="0.25"/>
    <row r="38502" s="12" customFormat="1" x14ac:dyDescent="0.25"/>
    <row r="38503" s="12" customFormat="1" x14ac:dyDescent="0.25"/>
    <row r="38504" s="12" customFormat="1" x14ac:dyDescent="0.25"/>
    <row r="38505" s="12" customFormat="1" x14ac:dyDescent="0.25"/>
    <row r="38506" s="12" customFormat="1" x14ac:dyDescent="0.25"/>
    <row r="38507" s="12" customFormat="1" x14ac:dyDescent="0.25"/>
    <row r="38508" s="12" customFormat="1" x14ac:dyDescent="0.25"/>
    <row r="38509" s="12" customFormat="1" x14ac:dyDescent="0.25"/>
    <row r="38510" s="12" customFormat="1" x14ac:dyDescent="0.25"/>
    <row r="38511" s="12" customFormat="1" x14ac:dyDescent="0.25"/>
    <row r="38512" s="12" customFormat="1" x14ac:dyDescent="0.25"/>
    <row r="38513" s="12" customFormat="1" x14ac:dyDescent="0.25"/>
    <row r="38514" s="12" customFormat="1" x14ac:dyDescent="0.25"/>
    <row r="38515" s="12" customFormat="1" x14ac:dyDescent="0.25"/>
    <row r="38516" s="12" customFormat="1" x14ac:dyDescent="0.25"/>
    <row r="38517" s="12" customFormat="1" x14ac:dyDescent="0.25"/>
    <row r="38518" s="12" customFormat="1" x14ac:dyDescent="0.25"/>
    <row r="38519" s="12" customFormat="1" x14ac:dyDescent="0.25"/>
    <row r="38520" s="12" customFormat="1" x14ac:dyDescent="0.25"/>
    <row r="38521" s="12" customFormat="1" x14ac:dyDescent="0.25"/>
    <row r="38522" s="12" customFormat="1" x14ac:dyDescent="0.25"/>
    <row r="38523" s="12" customFormat="1" x14ac:dyDescent="0.25"/>
    <row r="38524" s="12" customFormat="1" x14ac:dyDescent="0.25"/>
    <row r="38525" s="12" customFormat="1" x14ac:dyDescent="0.25"/>
    <row r="38526" s="12" customFormat="1" x14ac:dyDescent="0.25"/>
    <row r="38527" s="12" customFormat="1" x14ac:dyDescent="0.25"/>
    <row r="38528" s="12" customFormat="1" x14ac:dyDescent="0.25"/>
    <row r="38529" s="12" customFormat="1" x14ac:dyDescent="0.25"/>
    <row r="38530" s="12" customFormat="1" x14ac:dyDescent="0.25"/>
    <row r="38531" s="12" customFormat="1" x14ac:dyDescent="0.25"/>
    <row r="38532" s="12" customFormat="1" x14ac:dyDescent="0.25"/>
    <row r="38533" s="12" customFormat="1" x14ac:dyDescent="0.25"/>
    <row r="38534" s="12" customFormat="1" x14ac:dyDescent="0.25"/>
    <row r="38535" s="12" customFormat="1" x14ac:dyDescent="0.25"/>
    <row r="38536" s="12" customFormat="1" x14ac:dyDescent="0.25"/>
    <row r="38537" s="12" customFormat="1" x14ac:dyDescent="0.25"/>
    <row r="38538" s="12" customFormat="1" x14ac:dyDescent="0.25"/>
    <row r="38539" s="12" customFormat="1" x14ac:dyDescent="0.25"/>
    <row r="38540" s="12" customFormat="1" x14ac:dyDescent="0.25"/>
    <row r="38541" s="12" customFormat="1" x14ac:dyDescent="0.25"/>
    <row r="38542" s="12" customFormat="1" x14ac:dyDescent="0.25"/>
    <row r="38543" s="12" customFormat="1" x14ac:dyDescent="0.25"/>
    <row r="38544" s="12" customFormat="1" x14ac:dyDescent="0.25"/>
    <row r="38545" s="12" customFormat="1" x14ac:dyDescent="0.25"/>
    <row r="38546" s="12" customFormat="1" x14ac:dyDescent="0.25"/>
    <row r="38547" s="12" customFormat="1" x14ac:dyDescent="0.25"/>
    <row r="38548" s="12" customFormat="1" x14ac:dyDescent="0.25"/>
    <row r="38549" s="12" customFormat="1" x14ac:dyDescent="0.25"/>
    <row r="38550" s="12" customFormat="1" x14ac:dyDescent="0.25"/>
    <row r="38551" s="12" customFormat="1" x14ac:dyDescent="0.25"/>
    <row r="38552" s="12" customFormat="1" x14ac:dyDescent="0.25"/>
    <row r="38553" s="12" customFormat="1" x14ac:dyDescent="0.25"/>
    <row r="38554" s="12" customFormat="1" x14ac:dyDescent="0.25"/>
    <row r="38555" s="12" customFormat="1" x14ac:dyDescent="0.25"/>
    <row r="38556" s="12" customFormat="1" x14ac:dyDescent="0.25"/>
    <row r="38557" s="12" customFormat="1" x14ac:dyDescent="0.25"/>
    <row r="38558" s="12" customFormat="1" x14ac:dyDescent="0.25"/>
    <row r="38559" s="12" customFormat="1" x14ac:dyDescent="0.25"/>
    <row r="38560" s="12" customFormat="1" x14ac:dyDescent="0.25"/>
    <row r="38561" s="12" customFormat="1" x14ac:dyDescent="0.25"/>
    <row r="38562" s="12" customFormat="1" x14ac:dyDescent="0.25"/>
    <row r="38563" s="12" customFormat="1" x14ac:dyDescent="0.25"/>
    <row r="38564" s="12" customFormat="1" x14ac:dyDescent="0.25"/>
    <row r="38565" s="12" customFormat="1" x14ac:dyDescent="0.25"/>
    <row r="38566" s="12" customFormat="1" x14ac:dyDescent="0.25"/>
    <row r="38567" s="12" customFormat="1" x14ac:dyDescent="0.25"/>
    <row r="38568" s="12" customFormat="1" x14ac:dyDescent="0.25"/>
    <row r="38569" s="12" customFormat="1" x14ac:dyDescent="0.25"/>
    <row r="38570" s="12" customFormat="1" x14ac:dyDescent="0.25"/>
    <row r="38571" s="12" customFormat="1" x14ac:dyDescent="0.25"/>
    <row r="38572" s="12" customFormat="1" x14ac:dyDescent="0.25"/>
    <row r="38573" s="12" customFormat="1" x14ac:dyDescent="0.25"/>
    <row r="38574" s="12" customFormat="1" x14ac:dyDescent="0.25"/>
    <row r="38575" s="12" customFormat="1" x14ac:dyDescent="0.25"/>
    <row r="38576" s="12" customFormat="1" x14ac:dyDescent="0.25"/>
    <row r="38577" s="12" customFormat="1" x14ac:dyDescent="0.25"/>
    <row r="38578" s="12" customFormat="1" x14ac:dyDescent="0.25"/>
    <row r="38579" s="12" customFormat="1" x14ac:dyDescent="0.25"/>
    <row r="38580" s="12" customFormat="1" x14ac:dyDescent="0.25"/>
    <row r="38581" s="12" customFormat="1" x14ac:dyDescent="0.25"/>
    <row r="38582" s="12" customFormat="1" x14ac:dyDescent="0.25"/>
    <row r="38583" s="12" customFormat="1" x14ac:dyDescent="0.25"/>
    <row r="38584" s="12" customFormat="1" x14ac:dyDescent="0.25"/>
    <row r="38585" s="12" customFormat="1" x14ac:dyDescent="0.25"/>
    <row r="38586" s="12" customFormat="1" x14ac:dyDescent="0.25"/>
    <row r="38587" s="12" customFormat="1" x14ac:dyDescent="0.25"/>
    <row r="38588" s="12" customFormat="1" x14ac:dyDescent="0.25"/>
    <row r="38589" s="12" customFormat="1" x14ac:dyDescent="0.25"/>
    <row r="38590" s="12" customFormat="1" x14ac:dyDescent="0.25"/>
    <row r="38591" s="12" customFormat="1" x14ac:dyDescent="0.25"/>
    <row r="38592" s="12" customFormat="1" x14ac:dyDescent="0.25"/>
    <row r="38593" s="12" customFormat="1" x14ac:dyDescent="0.25"/>
    <row r="38594" s="12" customFormat="1" x14ac:dyDescent="0.25"/>
    <row r="38595" s="12" customFormat="1" x14ac:dyDescent="0.25"/>
    <row r="38596" s="12" customFormat="1" x14ac:dyDescent="0.25"/>
    <row r="38597" s="12" customFormat="1" x14ac:dyDescent="0.25"/>
    <row r="38598" s="12" customFormat="1" x14ac:dyDescent="0.25"/>
    <row r="38599" s="12" customFormat="1" x14ac:dyDescent="0.25"/>
    <row r="38600" s="12" customFormat="1" x14ac:dyDescent="0.25"/>
    <row r="38601" s="12" customFormat="1" x14ac:dyDescent="0.25"/>
    <row r="38602" s="12" customFormat="1" x14ac:dyDescent="0.25"/>
    <row r="38603" s="12" customFormat="1" x14ac:dyDescent="0.25"/>
    <row r="38604" s="12" customFormat="1" x14ac:dyDescent="0.25"/>
    <row r="38605" s="12" customFormat="1" x14ac:dyDescent="0.25"/>
    <row r="38606" s="12" customFormat="1" x14ac:dyDescent="0.25"/>
    <row r="38607" s="12" customFormat="1" x14ac:dyDescent="0.25"/>
    <row r="38608" s="12" customFormat="1" x14ac:dyDescent="0.25"/>
    <row r="38609" s="12" customFormat="1" x14ac:dyDescent="0.25"/>
    <row r="38610" s="12" customFormat="1" x14ac:dyDescent="0.25"/>
    <row r="38611" s="12" customFormat="1" x14ac:dyDescent="0.25"/>
    <row r="38612" s="12" customFormat="1" x14ac:dyDescent="0.25"/>
    <row r="38613" s="12" customFormat="1" x14ac:dyDescent="0.25"/>
    <row r="38614" s="12" customFormat="1" x14ac:dyDescent="0.25"/>
    <row r="38615" s="12" customFormat="1" x14ac:dyDescent="0.25"/>
    <row r="38616" s="12" customFormat="1" x14ac:dyDescent="0.25"/>
    <row r="38617" s="12" customFormat="1" x14ac:dyDescent="0.25"/>
    <row r="38618" s="12" customFormat="1" x14ac:dyDescent="0.25"/>
    <row r="38619" s="12" customFormat="1" x14ac:dyDescent="0.25"/>
    <row r="38620" s="12" customFormat="1" x14ac:dyDescent="0.25"/>
    <row r="38621" s="12" customFormat="1" x14ac:dyDescent="0.25"/>
    <row r="38622" s="12" customFormat="1" x14ac:dyDescent="0.25"/>
    <row r="38623" s="12" customFormat="1" x14ac:dyDescent="0.25"/>
    <row r="38624" s="12" customFormat="1" x14ac:dyDescent="0.25"/>
    <row r="38625" s="12" customFormat="1" x14ac:dyDescent="0.25"/>
    <row r="38626" s="12" customFormat="1" x14ac:dyDescent="0.25"/>
    <row r="38627" s="12" customFormat="1" x14ac:dyDescent="0.25"/>
    <row r="38628" s="12" customFormat="1" x14ac:dyDescent="0.25"/>
    <row r="38629" s="12" customFormat="1" x14ac:dyDescent="0.25"/>
    <row r="38630" s="12" customFormat="1" x14ac:dyDescent="0.25"/>
    <row r="38631" s="12" customFormat="1" x14ac:dyDescent="0.25"/>
    <row r="38632" s="12" customFormat="1" x14ac:dyDescent="0.25"/>
    <row r="38633" s="12" customFormat="1" x14ac:dyDescent="0.25"/>
    <row r="38634" s="12" customFormat="1" x14ac:dyDescent="0.25"/>
    <row r="38635" s="12" customFormat="1" x14ac:dyDescent="0.25"/>
    <row r="38636" s="12" customFormat="1" x14ac:dyDescent="0.25"/>
    <row r="38637" s="12" customFormat="1" x14ac:dyDescent="0.25"/>
    <row r="38638" s="12" customFormat="1" x14ac:dyDescent="0.25"/>
    <row r="38639" s="12" customFormat="1" x14ac:dyDescent="0.25"/>
    <row r="38640" s="12" customFormat="1" x14ac:dyDescent="0.25"/>
    <row r="38641" s="12" customFormat="1" x14ac:dyDescent="0.25"/>
    <row r="38642" s="12" customFormat="1" x14ac:dyDescent="0.25"/>
    <row r="38643" s="12" customFormat="1" x14ac:dyDescent="0.25"/>
    <row r="38644" s="12" customFormat="1" x14ac:dyDescent="0.25"/>
    <row r="38645" s="12" customFormat="1" x14ac:dyDescent="0.25"/>
    <row r="38646" s="12" customFormat="1" x14ac:dyDescent="0.25"/>
    <row r="38647" s="12" customFormat="1" x14ac:dyDescent="0.25"/>
    <row r="38648" s="12" customFormat="1" x14ac:dyDescent="0.25"/>
    <row r="38649" s="12" customFormat="1" x14ac:dyDescent="0.25"/>
    <row r="38650" s="12" customFormat="1" x14ac:dyDescent="0.25"/>
    <row r="38651" s="12" customFormat="1" x14ac:dyDescent="0.25"/>
    <row r="38652" s="12" customFormat="1" x14ac:dyDescent="0.25"/>
    <row r="38653" s="12" customFormat="1" x14ac:dyDescent="0.25"/>
    <row r="38654" s="12" customFormat="1" x14ac:dyDescent="0.25"/>
    <row r="38655" s="12" customFormat="1" x14ac:dyDescent="0.25"/>
    <row r="38656" s="12" customFormat="1" x14ac:dyDescent="0.25"/>
    <row r="38657" s="12" customFormat="1" x14ac:dyDescent="0.25"/>
    <row r="38658" s="12" customFormat="1" x14ac:dyDescent="0.25"/>
    <row r="38659" s="12" customFormat="1" x14ac:dyDescent="0.25"/>
    <row r="38660" s="12" customFormat="1" x14ac:dyDescent="0.25"/>
    <row r="38661" s="12" customFormat="1" x14ac:dyDescent="0.25"/>
    <row r="38662" s="12" customFormat="1" x14ac:dyDescent="0.25"/>
    <row r="38663" s="12" customFormat="1" x14ac:dyDescent="0.25"/>
    <row r="38664" s="12" customFormat="1" x14ac:dyDescent="0.25"/>
    <row r="38665" s="12" customFormat="1" x14ac:dyDescent="0.25"/>
    <row r="38666" s="12" customFormat="1" x14ac:dyDescent="0.25"/>
    <row r="38667" s="12" customFormat="1" x14ac:dyDescent="0.25"/>
    <row r="38668" s="12" customFormat="1" x14ac:dyDescent="0.25"/>
    <row r="38669" s="12" customFormat="1" x14ac:dyDescent="0.25"/>
    <row r="38670" s="12" customFormat="1" x14ac:dyDescent="0.25"/>
    <row r="38671" s="12" customFormat="1" x14ac:dyDescent="0.25"/>
    <row r="38672" s="12" customFormat="1" x14ac:dyDescent="0.25"/>
    <row r="38673" s="12" customFormat="1" x14ac:dyDescent="0.25"/>
    <row r="38674" s="12" customFormat="1" x14ac:dyDescent="0.25"/>
    <row r="38675" s="12" customFormat="1" x14ac:dyDescent="0.25"/>
    <row r="38676" s="12" customFormat="1" x14ac:dyDescent="0.25"/>
    <row r="38677" s="12" customFormat="1" x14ac:dyDescent="0.25"/>
    <row r="38678" s="12" customFormat="1" x14ac:dyDescent="0.25"/>
    <row r="38679" s="12" customFormat="1" x14ac:dyDescent="0.25"/>
    <row r="38680" s="12" customFormat="1" x14ac:dyDescent="0.25"/>
    <row r="38681" s="12" customFormat="1" x14ac:dyDescent="0.25"/>
    <row r="38682" s="12" customFormat="1" x14ac:dyDescent="0.25"/>
    <row r="38683" s="12" customFormat="1" x14ac:dyDescent="0.25"/>
    <row r="38684" s="12" customFormat="1" x14ac:dyDescent="0.25"/>
    <row r="38685" s="12" customFormat="1" x14ac:dyDescent="0.25"/>
    <row r="38686" s="12" customFormat="1" x14ac:dyDescent="0.25"/>
    <row r="38687" s="12" customFormat="1" x14ac:dyDescent="0.25"/>
    <row r="38688" s="12" customFormat="1" x14ac:dyDescent="0.25"/>
    <row r="38689" s="12" customFormat="1" x14ac:dyDescent="0.25"/>
    <row r="38690" s="12" customFormat="1" x14ac:dyDescent="0.25"/>
    <row r="38691" s="12" customFormat="1" x14ac:dyDescent="0.25"/>
    <row r="38692" s="12" customFormat="1" x14ac:dyDescent="0.25"/>
    <row r="38693" s="12" customFormat="1" x14ac:dyDescent="0.25"/>
    <row r="38694" s="12" customFormat="1" x14ac:dyDescent="0.25"/>
    <row r="38695" s="12" customFormat="1" x14ac:dyDescent="0.25"/>
    <row r="38696" s="12" customFormat="1" x14ac:dyDescent="0.25"/>
    <row r="38697" s="12" customFormat="1" x14ac:dyDescent="0.25"/>
    <row r="38698" s="12" customFormat="1" x14ac:dyDescent="0.25"/>
    <row r="38699" s="12" customFormat="1" x14ac:dyDescent="0.25"/>
    <row r="38700" s="12" customFormat="1" x14ac:dyDescent="0.25"/>
    <row r="38701" s="12" customFormat="1" x14ac:dyDescent="0.25"/>
    <row r="38702" s="12" customFormat="1" x14ac:dyDescent="0.25"/>
    <row r="38703" s="12" customFormat="1" x14ac:dyDescent="0.25"/>
    <row r="38704" s="12" customFormat="1" x14ac:dyDescent="0.25"/>
    <row r="38705" s="12" customFormat="1" x14ac:dyDescent="0.25"/>
    <row r="38706" s="12" customFormat="1" x14ac:dyDescent="0.25"/>
    <row r="38707" s="12" customFormat="1" x14ac:dyDescent="0.25"/>
    <row r="38708" s="12" customFormat="1" x14ac:dyDescent="0.25"/>
    <row r="38709" s="12" customFormat="1" x14ac:dyDescent="0.25"/>
    <row r="38710" s="12" customFormat="1" x14ac:dyDescent="0.25"/>
    <row r="38711" s="12" customFormat="1" x14ac:dyDescent="0.25"/>
    <row r="38712" s="12" customFormat="1" x14ac:dyDescent="0.25"/>
    <row r="38713" s="12" customFormat="1" x14ac:dyDescent="0.25"/>
    <row r="38714" s="12" customFormat="1" x14ac:dyDescent="0.25"/>
    <row r="38715" s="12" customFormat="1" x14ac:dyDescent="0.25"/>
    <row r="38716" s="12" customFormat="1" x14ac:dyDescent="0.25"/>
    <row r="38717" s="12" customFormat="1" x14ac:dyDescent="0.25"/>
    <row r="38718" s="12" customFormat="1" x14ac:dyDescent="0.25"/>
    <row r="38719" s="12" customFormat="1" x14ac:dyDescent="0.25"/>
    <row r="38720" s="12" customFormat="1" x14ac:dyDescent="0.25"/>
    <row r="38721" s="12" customFormat="1" x14ac:dyDescent="0.25"/>
    <row r="38722" s="12" customFormat="1" x14ac:dyDescent="0.25"/>
    <row r="38723" s="12" customFormat="1" x14ac:dyDescent="0.25"/>
    <row r="38724" s="12" customFormat="1" x14ac:dyDescent="0.25"/>
    <row r="38725" s="12" customFormat="1" x14ac:dyDescent="0.25"/>
    <row r="38726" s="12" customFormat="1" x14ac:dyDescent="0.25"/>
    <row r="38727" s="12" customFormat="1" x14ac:dyDescent="0.25"/>
    <row r="38728" s="12" customFormat="1" x14ac:dyDescent="0.25"/>
    <row r="38729" s="12" customFormat="1" x14ac:dyDescent="0.25"/>
    <row r="38730" s="12" customFormat="1" x14ac:dyDescent="0.25"/>
    <row r="38731" s="12" customFormat="1" x14ac:dyDescent="0.25"/>
    <row r="38732" s="12" customFormat="1" x14ac:dyDescent="0.25"/>
    <row r="38733" s="12" customFormat="1" x14ac:dyDescent="0.25"/>
    <row r="38734" s="12" customFormat="1" x14ac:dyDescent="0.25"/>
    <row r="38735" s="12" customFormat="1" x14ac:dyDescent="0.25"/>
    <row r="38736" s="12" customFormat="1" x14ac:dyDescent="0.25"/>
    <row r="38737" s="12" customFormat="1" x14ac:dyDescent="0.25"/>
    <row r="38738" s="12" customFormat="1" x14ac:dyDescent="0.25"/>
    <row r="38739" s="12" customFormat="1" x14ac:dyDescent="0.25"/>
    <row r="38740" s="12" customFormat="1" x14ac:dyDescent="0.25"/>
    <row r="38741" s="12" customFormat="1" x14ac:dyDescent="0.25"/>
    <row r="38742" s="12" customFormat="1" x14ac:dyDescent="0.25"/>
    <row r="38743" s="12" customFormat="1" x14ac:dyDescent="0.25"/>
    <row r="38744" s="12" customFormat="1" x14ac:dyDescent="0.25"/>
    <row r="38745" s="12" customFormat="1" x14ac:dyDescent="0.25"/>
    <row r="38746" s="12" customFormat="1" x14ac:dyDescent="0.25"/>
    <row r="38747" s="12" customFormat="1" x14ac:dyDescent="0.25"/>
    <row r="38748" s="12" customFormat="1" x14ac:dyDescent="0.25"/>
    <row r="38749" s="12" customFormat="1" x14ac:dyDescent="0.25"/>
    <row r="38750" s="12" customFormat="1" x14ac:dyDescent="0.25"/>
    <row r="38751" s="12" customFormat="1" x14ac:dyDescent="0.25"/>
    <row r="38752" s="12" customFormat="1" x14ac:dyDescent="0.25"/>
    <row r="38753" s="12" customFormat="1" x14ac:dyDescent="0.25"/>
    <row r="38754" s="12" customFormat="1" x14ac:dyDescent="0.25"/>
    <row r="38755" s="12" customFormat="1" x14ac:dyDescent="0.25"/>
    <row r="38756" s="12" customFormat="1" x14ac:dyDescent="0.25"/>
    <row r="38757" s="12" customFormat="1" x14ac:dyDescent="0.25"/>
    <row r="38758" s="12" customFormat="1" x14ac:dyDescent="0.25"/>
    <row r="38759" s="12" customFormat="1" x14ac:dyDescent="0.25"/>
    <row r="38760" s="12" customFormat="1" x14ac:dyDescent="0.25"/>
    <row r="38761" s="12" customFormat="1" x14ac:dyDescent="0.25"/>
    <row r="38762" s="12" customFormat="1" x14ac:dyDescent="0.25"/>
    <row r="38763" s="12" customFormat="1" x14ac:dyDescent="0.25"/>
    <row r="38764" s="12" customFormat="1" x14ac:dyDescent="0.25"/>
    <row r="38765" s="12" customFormat="1" x14ac:dyDescent="0.25"/>
    <row r="38766" s="12" customFormat="1" x14ac:dyDescent="0.25"/>
    <row r="38767" s="12" customFormat="1" x14ac:dyDescent="0.25"/>
    <row r="38768" s="12" customFormat="1" x14ac:dyDescent="0.25"/>
    <row r="38769" s="12" customFormat="1" x14ac:dyDescent="0.25"/>
    <row r="38770" s="12" customFormat="1" x14ac:dyDescent="0.25"/>
    <row r="38771" s="12" customFormat="1" x14ac:dyDescent="0.25"/>
    <row r="38772" s="12" customFormat="1" x14ac:dyDescent="0.25"/>
    <row r="38773" s="12" customFormat="1" x14ac:dyDescent="0.25"/>
    <row r="38774" s="12" customFormat="1" x14ac:dyDescent="0.25"/>
    <row r="38775" s="12" customFormat="1" x14ac:dyDescent="0.25"/>
    <row r="38776" s="12" customFormat="1" x14ac:dyDescent="0.25"/>
    <row r="38777" s="12" customFormat="1" x14ac:dyDescent="0.25"/>
    <row r="38778" s="12" customFormat="1" x14ac:dyDescent="0.25"/>
    <row r="38779" s="12" customFormat="1" x14ac:dyDescent="0.25"/>
    <row r="38780" s="12" customFormat="1" x14ac:dyDescent="0.25"/>
    <row r="38781" s="12" customFormat="1" x14ac:dyDescent="0.25"/>
    <row r="38782" s="12" customFormat="1" x14ac:dyDescent="0.25"/>
    <row r="38783" s="12" customFormat="1" x14ac:dyDescent="0.25"/>
    <row r="38784" s="12" customFormat="1" x14ac:dyDescent="0.25"/>
    <row r="38785" s="12" customFormat="1" x14ac:dyDescent="0.25"/>
    <row r="38786" s="12" customFormat="1" x14ac:dyDescent="0.25"/>
    <row r="38787" s="12" customFormat="1" x14ac:dyDescent="0.25"/>
    <row r="38788" s="12" customFormat="1" x14ac:dyDescent="0.25"/>
    <row r="38789" s="12" customFormat="1" x14ac:dyDescent="0.25"/>
    <row r="38790" s="12" customFormat="1" x14ac:dyDescent="0.25"/>
    <row r="38791" s="12" customFormat="1" x14ac:dyDescent="0.25"/>
    <row r="38792" s="12" customFormat="1" x14ac:dyDescent="0.25"/>
    <row r="38793" s="12" customFormat="1" x14ac:dyDescent="0.25"/>
    <row r="38794" s="12" customFormat="1" x14ac:dyDescent="0.25"/>
    <row r="38795" s="12" customFormat="1" x14ac:dyDescent="0.25"/>
    <row r="38796" s="12" customFormat="1" x14ac:dyDescent="0.25"/>
    <row r="38797" s="12" customFormat="1" x14ac:dyDescent="0.25"/>
    <row r="38798" s="12" customFormat="1" x14ac:dyDescent="0.25"/>
    <row r="38799" s="12" customFormat="1" x14ac:dyDescent="0.25"/>
    <row r="38800" s="12" customFormat="1" x14ac:dyDescent="0.25"/>
    <row r="38801" s="12" customFormat="1" x14ac:dyDescent="0.25"/>
    <row r="38802" s="12" customFormat="1" x14ac:dyDescent="0.25"/>
    <row r="38803" s="12" customFormat="1" x14ac:dyDescent="0.25"/>
    <row r="38804" s="12" customFormat="1" x14ac:dyDescent="0.25"/>
    <row r="38805" s="12" customFormat="1" x14ac:dyDescent="0.25"/>
    <row r="38806" s="12" customFormat="1" x14ac:dyDescent="0.25"/>
    <row r="38807" s="12" customFormat="1" x14ac:dyDescent="0.25"/>
    <row r="38808" s="12" customFormat="1" x14ac:dyDescent="0.25"/>
    <row r="38809" s="12" customFormat="1" x14ac:dyDescent="0.25"/>
    <row r="38810" s="12" customFormat="1" x14ac:dyDescent="0.25"/>
    <row r="38811" s="12" customFormat="1" x14ac:dyDescent="0.25"/>
    <row r="38812" s="12" customFormat="1" x14ac:dyDescent="0.25"/>
    <row r="38813" s="12" customFormat="1" x14ac:dyDescent="0.25"/>
    <row r="38814" s="12" customFormat="1" x14ac:dyDescent="0.25"/>
    <row r="38815" s="12" customFormat="1" x14ac:dyDescent="0.25"/>
    <row r="38816" s="12" customFormat="1" x14ac:dyDescent="0.25"/>
    <row r="38817" s="12" customFormat="1" x14ac:dyDescent="0.25"/>
    <row r="38818" s="12" customFormat="1" x14ac:dyDescent="0.25"/>
    <row r="38819" s="12" customFormat="1" x14ac:dyDescent="0.25"/>
    <row r="38820" s="12" customFormat="1" x14ac:dyDescent="0.25"/>
    <row r="38821" s="12" customFormat="1" x14ac:dyDescent="0.25"/>
    <row r="38822" s="12" customFormat="1" x14ac:dyDescent="0.25"/>
    <row r="38823" s="12" customFormat="1" x14ac:dyDescent="0.25"/>
    <row r="38824" s="12" customFormat="1" x14ac:dyDescent="0.25"/>
    <row r="38825" s="12" customFormat="1" x14ac:dyDescent="0.25"/>
    <row r="38826" s="12" customFormat="1" x14ac:dyDescent="0.25"/>
    <row r="38827" s="12" customFormat="1" x14ac:dyDescent="0.25"/>
    <row r="38828" s="12" customFormat="1" x14ac:dyDescent="0.25"/>
    <row r="38829" s="12" customFormat="1" x14ac:dyDescent="0.25"/>
    <row r="38830" s="12" customFormat="1" x14ac:dyDescent="0.25"/>
    <row r="38831" s="12" customFormat="1" x14ac:dyDescent="0.25"/>
    <row r="38832" s="12" customFormat="1" x14ac:dyDescent="0.25"/>
    <row r="38833" s="12" customFormat="1" x14ac:dyDescent="0.25"/>
    <row r="38834" s="12" customFormat="1" x14ac:dyDescent="0.25"/>
    <row r="38835" s="12" customFormat="1" x14ac:dyDescent="0.25"/>
    <row r="38836" s="12" customFormat="1" x14ac:dyDescent="0.25"/>
    <row r="38837" s="12" customFormat="1" x14ac:dyDescent="0.25"/>
    <row r="38838" s="12" customFormat="1" x14ac:dyDescent="0.25"/>
    <row r="38839" s="12" customFormat="1" x14ac:dyDescent="0.25"/>
    <row r="38840" s="12" customFormat="1" x14ac:dyDescent="0.25"/>
    <row r="38841" s="12" customFormat="1" x14ac:dyDescent="0.25"/>
    <row r="38842" s="12" customFormat="1" x14ac:dyDescent="0.25"/>
    <row r="38843" s="12" customFormat="1" x14ac:dyDescent="0.25"/>
    <row r="38844" s="12" customFormat="1" x14ac:dyDescent="0.25"/>
    <row r="38845" s="12" customFormat="1" x14ac:dyDescent="0.25"/>
    <row r="38846" s="12" customFormat="1" x14ac:dyDescent="0.25"/>
    <row r="38847" s="12" customFormat="1" x14ac:dyDescent="0.25"/>
    <row r="38848" s="12" customFormat="1" x14ac:dyDescent="0.25"/>
    <row r="38849" s="12" customFormat="1" x14ac:dyDescent="0.25"/>
    <row r="38850" s="12" customFormat="1" x14ac:dyDescent="0.25"/>
    <row r="38851" s="12" customFormat="1" x14ac:dyDescent="0.25"/>
    <row r="38852" s="12" customFormat="1" x14ac:dyDescent="0.25"/>
    <row r="38853" s="12" customFormat="1" x14ac:dyDescent="0.25"/>
    <row r="38854" s="12" customFormat="1" x14ac:dyDescent="0.25"/>
    <row r="38855" s="12" customFormat="1" x14ac:dyDescent="0.25"/>
    <row r="38856" s="12" customFormat="1" x14ac:dyDescent="0.25"/>
    <row r="38857" s="12" customFormat="1" x14ac:dyDescent="0.25"/>
    <row r="38858" s="12" customFormat="1" x14ac:dyDescent="0.25"/>
    <row r="38859" s="12" customFormat="1" x14ac:dyDescent="0.25"/>
    <row r="38860" s="12" customFormat="1" x14ac:dyDescent="0.25"/>
    <row r="38861" s="12" customFormat="1" x14ac:dyDescent="0.25"/>
    <row r="38862" s="12" customFormat="1" x14ac:dyDescent="0.25"/>
    <row r="38863" s="12" customFormat="1" x14ac:dyDescent="0.25"/>
    <row r="38864" s="12" customFormat="1" x14ac:dyDescent="0.25"/>
    <row r="38865" s="12" customFormat="1" x14ac:dyDescent="0.25"/>
    <row r="38866" s="12" customFormat="1" x14ac:dyDescent="0.25"/>
    <row r="38867" s="12" customFormat="1" x14ac:dyDescent="0.25"/>
    <row r="38868" s="12" customFormat="1" x14ac:dyDescent="0.25"/>
    <row r="38869" s="12" customFormat="1" x14ac:dyDescent="0.25"/>
    <row r="38870" s="12" customFormat="1" x14ac:dyDescent="0.25"/>
    <row r="38871" s="12" customFormat="1" x14ac:dyDescent="0.25"/>
    <row r="38872" s="12" customFormat="1" x14ac:dyDescent="0.25"/>
    <row r="38873" s="12" customFormat="1" x14ac:dyDescent="0.25"/>
    <row r="38874" s="12" customFormat="1" x14ac:dyDescent="0.25"/>
    <row r="38875" s="12" customFormat="1" x14ac:dyDescent="0.25"/>
    <row r="38876" s="12" customFormat="1" x14ac:dyDescent="0.25"/>
    <row r="38877" s="12" customFormat="1" x14ac:dyDescent="0.25"/>
    <row r="38878" s="12" customFormat="1" x14ac:dyDescent="0.25"/>
    <row r="38879" s="12" customFormat="1" x14ac:dyDescent="0.25"/>
    <row r="38880" s="12" customFormat="1" x14ac:dyDescent="0.25"/>
    <row r="38881" s="12" customFormat="1" x14ac:dyDescent="0.25"/>
    <row r="38882" s="12" customFormat="1" x14ac:dyDescent="0.25"/>
    <row r="38883" s="12" customFormat="1" x14ac:dyDescent="0.25"/>
    <row r="38884" s="12" customFormat="1" x14ac:dyDescent="0.25"/>
    <row r="38885" s="12" customFormat="1" x14ac:dyDescent="0.25"/>
    <row r="38886" s="12" customFormat="1" x14ac:dyDescent="0.25"/>
    <row r="38887" s="12" customFormat="1" x14ac:dyDescent="0.25"/>
    <row r="38888" s="12" customFormat="1" x14ac:dyDescent="0.25"/>
    <row r="38889" s="12" customFormat="1" x14ac:dyDescent="0.25"/>
    <row r="38890" s="12" customFormat="1" x14ac:dyDescent="0.25"/>
    <row r="38891" s="12" customFormat="1" x14ac:dyDescent="0.25"/>
    <row r="38892" s="12" customFormat="1" x14ac:dyDescent="0.25"/>
    <row r="38893" s="12" customFormat="1" x14ac:dyDescent="0.25"/>
    <row r="38894" s="12" customFormat="1" x14ac:dyDescent="0.25"/>
    <row r="38895" s="12" customFormat="1" x14ac:dyDescent="0.25"/>
    <row r="38896" s="12" customFormat="1" x14ac:dyDescent="0.25"/>
    <row r="38897" s="12" customFormat="1" x14ac:dyDescent="0.25"/>
    <row r="38898" s="12" customFormat="1" x14ac:dyDescent="0.25"/>
    <row r="38899" s="12" customFormat="1" x14ac:dyDescent="0.25"/>
    <row r="38900" s="12" customFormat="1" x14ac:dyDescent="0.25"/>
    <row r="38901" s="12" customFormat="1" x14ac:dyDescent="0.25"/>
    <row r="38902" s="12" customFormat="1" x14ac:dyDescent="0.25"/>
    <row r="38903" s="12" customFormat="1" x14ac:dyDescent="0.25"/>
    <row r="38904" s="12" customFormat="1" x14ac:dyDescent="0.25"/>
    <row r="38905" s="12" customFormat="1" x14ac:dyDescent="0.25"/>
    <row r="38906" s="12" customFormat="1" x14ac:dyDescent="0.25"/>
    <row r="38907" s="12" customFormat="1" x14ac:dyDescent="0.25"/>
    <row r="38908" s="12" customFormat="1" x14ac:dyDescent="0.25"/>
    <row r="38909" s="12" customFormat="1" x14ac:dyDescent="0.25"/>
    <row r="38910" s="12" customFormat="1" x14ac:dyDescent="0.25"/>
    <row r="38911" s="12" customFormat="1" x14ac:dyDescent="0.25"/>
    <row r="38912" s="12" customFormat="1" x14ac:dyDescent="0.25"/>
    <row r="38913" s="12" customFormat="1" x14ac:dyDescent="0.25"/>
    <row r="38914" s="12" customFormat="1" x14ac:dyDescent="0.25"/>
    <row r="38915" s="12" customFormat="1" x14ac:dyDescent="0.25"/>
    <row r="38916" s="12" customFormat="1" x14ac:dyDescent="0.25"/>
    <row r="38917" s="12" customFormat="1" x14ac:dyDescent="0.25"/>
    <row r="38918" s="12" customFormat="1" x14ac:dyDescent="0.25"/>
    <row r="38919" s="12" customFormat="1" x14ac:dyDescent="0.25"/>
    <row r="38920" s="12" customFormat="1" x14ac:dyDescent="0.25"/>
    <row r="38921" s="12" customFormat="1" x14ac:dyDescent="0.25"/>
    <row r="38922" s="12" customFormat="1" x14ac:dyDescent="0.25"/>
    <row r="38923" s="12" customFormat="1" x14ac:dyDescent="0.25"/>
    <row r="38924" s="12" customFormat="1" x14ac:dyDescent="0.25"/>
    <row r="38925" s="12" customFormat="1" x14ac:dyDescent="0.25"/>
    <row r="38926" s="12" customFormat="1" x14ac:dyDescent="0.25"/>
    <row r="38927" s="12" customFormat="1" x14ac:dyDescent="0.25"/>
    <row r="38928" s="12" customFormat="1" x14ac:dyDescent="0.25"/>
    <row r="38929" s="12" customFormat="1" x14ac:dyDescent="0.25"/>
    <row r="38930" s="12" customFormat="1" x14ac:dyDescent="0.25"/>
    <row r="38931" s="12" customFormat="1" x14ac:dyDescent="0.25"/>
    <row r="38932" s="12" customFormat="1" x14ac:dyDescent="0.25"/>
    <row r="38933" s="12" customFormat="1" x14ac:dyDescent="0.25"/>
    <row r="38934" s="12" customFormat="1" x14ac:dyDescent="0.25"/>
    <row r="38935" s="12" customFormat="1" x14ac:dyDescent="0.25"/>
    <row r="38936" s="12" customFormat="1" x14ac:dyDescent="0.25"/>
    <row r="38937" s="12" customFormat="1" x14ac:dyDescent="0.25"/>
    <row r="38938" s="12" customFormat="1" x14ac:dyDescent="0.25"/>
    <row r="38939" s="12" customFormat="1" x14ac:dyDescent="0.25"/>
    <row r="38940" s="12" customFormat="1" x14ac:dyDescent="0.25"/>
    <row r="38941" s="12" customFormat="1" x14ac:dyDescent="0.25"/>
    <row r="38942" s="12" customFormat="1" x14ac:dyDescent="0.25"/>
    <row r="38943" s="12" customFormat="1" x14ac:dyDescent="0.25"/>
    <row r="38944" s="12" customFormat="1" x14ac:dyDescent="0.25"/>
    <row r="38945" s="12" customFormat="1" x14ac:dyDescent="0.25"/>
    <row r="38946" s="12" customFormat="1" x14ac:dyDescent="0.25"/>
    <row r="38947" s="12" customFormat="1" x14ac:dyDescent="0.25"/>
    <row r="38948" s="12" customFormat="1" x14ac:dyDescent="0.25"/>
    <row r="38949" s="12" customFormat="1" x14ac:dyDescent="0.25"/>
    <row r="38950" s="12" customFormat="1" x14ac:dyDescent="0.25"/>
    <row r="38951" s="12" customFormat="1" x14ac:dyDescent="0.25"/>
    <row r="38952" s="12" customFormat="1" x14ac:dyDescent="0.25"/>
    <row r="38953" s="12" customFormat="1" x14ac:dyDescent="0.25"/>
    <row r="38954" s="12" customFormat="1" x14ac:dyDescent="0.25"/>
    <row r="38955" s="12" customFormat="1" x14ac:dyDescent="0.25"/>
    <row r="38956" s="12" customFormat="1" x14ac:dyDescent="0.25"/>
    <row r="38957" s="12" customFormat="1" x14ac:dyDescent="0.25"/>
    <row r="38958" s="12" customFormat="1" x14ac:dyDescent="0.25"/>
    <row r="38959" s="12" customFormat="1" x14ac:dyDescent="0.25"/>
    <row r="38960" s="12" customFormat="1" x14ac:dyDescent="0.25"/>
    <row r="38961" s="12" customFormat="1" x14ac:dyDescent="0.25"/>
    <row r="38962" s="12" customFormat="1" x14ac:dyDescent="0.25"/>
    <row r="38963" s="12" customFormat="1" x14ac:dyDescent="0.25"/>
    <row r="38964" s="12" customFormat="1" x14ac:dyDescent="0.25"/>
    <row r="38965" s="12" customFormat="1" x14ac:dyDescent="0.25"/>
    <row r="38966" s="12" customFormat="1" x14ac:dyDescent="0.25"/>
    <row r="38967" s="12" customFormat="1" x14ac:dyDescent="0.25"/>
    <row r="38968" s="12" customFormat="1" x14ac:dyDescent="0.25"/>
    <row r="38969" s="12" customFormat="1" x14ac:dyDescent="0.25"/>
    <row r="38970" s="12" customFormat="1" x14ac:dyDescent="0.25"/>
    <row r="38971" s="12" customFormat="1" x14ac:dyDescent="0.25"/>
    <row r="38972" s="12" customFormat="1" x14ac:dyDescent="0.25"/>
    <row r="38973" s="12" customFormat="1" x14ac:dyDescent="0.25"/>
    <row r="38974" s="12" customFormat="1" x14ac:dyDescent="0.25"/>
    <row r="38975" s="12" customFormat="1" x14ac:dyDescent="0.25"/>
    <row r="38976" s="12" customFormat="1" x14ac:dyDescent="0.25"/>
    <row r="38977" s="12" customFormat="1" x14ac:dyDescent="0.25"/>
    <row r="38978" s="12" customFormat="1" x14ac:dyDescent="0.25"/>
    <row r="38979" s="12" customFormat="1" x14ac:dyDescent="0.25"/>
    <row r="38980" s="12" customFormat="1" x14ac:dyDescent="0.25"/>
    <row r="38981" s="12" customFormat="1" x14ac:dyDescent="0.25"/>
    <row r="38982" s="12" customFormat="1" x14ac:dyDescent="0.25"/>
    <row r="38983" s="12" customFormat="1" x14ac:dyDescent="0.25"/>
    <row r="38984" s="12" customFormat="1" x14ac:dyDescent="0.25"/>
    <row r="38985" s="12" customFormat="1" x14ac:dyDescent="0.25"/>
    <row r="38986" s="12" customFormat="1" x14ac:dyDescent="0.25"/>
    <row r="38987" s="12" customFormat="1" x14ac:dyDescent="0.25"/>
    <row r="38988" s="12" customFormat="1" x14ac:dyDescent="0.25"/>
    <row r="38989" s="12" customFormat="1" x14ac:dyDescent="0.25"/>
    <row r="38990" s="12" customFormat="1" x14ac:dyDescent="0.25"/>
    <row r="38991" s="12" customFormat="1" x14ac:dyDescent="0.25"/>
    <row r="38992" s="12" customFormat="1" x14ac:dyDescent="0.25"/>
    <row r="38993" s="12" customFormat="1" x14ac:dyDescent="0.25"/>
    <row r="38994" s="12" customFormat="1" x14ac:dyDescent="0.25"/>
    <row r="38995" s="12" customFormat="1" x14ac:dyDescent="0.25"/>
    <row r="38996" s="12" customFormat="1" x14ac:dyDescent="0.25"/>
    <row r="38997" s="12" customFormat="1" x14ac:dyDescent="0.25"/>
    <row r="38998" s="12" customFormat="1" x14ac:dyDescent="0.25"/>
    <row r="38999" s="12" customFormat="1" x14ac:dyDescent="0.25"/>
    <row r="39000" s="12" customFormat="1" x14ac:dyDescent="0.25"/>
    <row r="39001" s="12" customFormat="1" x14ac:dyDescent="0.25"/>
    <row r="39002" s="12" customFormat="1" x14ac:dyDescent="0.25"/>
    <row r="39003" s="12" customFormat="1" x14ac:dyDescent="0.25"/>
    <row r="39004" s="12" customFormat="1" x14ac:dyDescent="0.25"/>
    <row r="39005" s="12" customFormat="1" x14ac:dyDescent="0.25"/>
    <row r="39006" s="12" customFormat="1" x14ac:dyDescent="0.25"/>
    <row r="39007" s="12" customFormat="1" x14ac:dyDescent="0.25"/>
    <row r="39008" s="12" customFormat="1" x14ac:dyDescent="0.25"/>
    <row r="39009" s="12" customFormat="1" x14ac:dyDescent="0.25"/>
    <row r="39010" s="12" customFormat="1" x14ac:dyDescent="0.25"/>
    <row r="39011" s="12" customFormat="1" x14ac:dyDescent="0.25"/>
    <row r="39012" s="12" customFormat="1" x14ac:dyDescent="0.25"/>
    <row r="39013" s="12" customFormat="1" x14ac:dyDescent="0.25"/>
    <row r="39014" s="12" customFormat="1" x14ac:dyDescent="0.25"/>
    <row r="39015" s="12" customFormat="1" x14ac:dyDescent="0.25"/>
    <row r="39016" s="12" customFormat="1" x14ac:dyDescent="0.25"/>
    <row r="39017" s="12" customFormat="1" x14ac:dyDescent="0.25"/>
    <row r="39018" s="12" customFormat="1" x14ac:dyDescent="0.25"/>
    <row r="39019" s="12" customFormat="1" x14ac:dyDescent="0.25"/>
    <row r="39020" s="12" customFormat="1" x14ac:dyDescent="0.25"/>
    <row r="39021" s="12" customFormat="1" x14ac:dyDescent="0.25"/>
    <row r="39022" s="12" customFormat="1" x14ac:dyDescent="0.25"/>
    <row r="39023" s="12" customFormat="1" x14ac:dyDescent="0.25"/>
    <row r="39024" s="12" customFormat="1" x14ac:dyDescent="0.25"/>
    <row r="39025" s="12" customFormat="1" x14ac:dyDescent="0.25"/>
    <row r="39026" s="12" customFormat="1" x14ac:dyDescent="0.25"/>
    <row r="39027" s="12" customFormat="1" x14ac:dyDescent="0.25"/>
    <row r="39028" s="12" customFormat="1" x14ac:dyDescent="0.25"/>
    <row r="39029" s="12" customFormat="1" x14ac:dyDescent="0.25"/>
    <row r="39030" s="12" customFormat="1" x14ac:dyDescent="0.25"/>
    <row r="39031" s="12" customFormat="1" x14ac:dyDescent="0.25"/>
    <row r="39032" s="12" customFormat="1" x14ac:dyDescent="0.25"/>
    <row r="39033" s="12" customFormat="1" x14ac:dyDescent="0.25"/>
    <row r="39034" s="12" customFormat="1" x14ac:dyDescent="0.25"/>
    <row r="39035" s="12" customFormat="1" x14ac:dyDescent="0.25"/>
    <row r="39036" s="12" customFormat="1" x14ac:dyDescent="0.25"/>
    <row r="39037" s="12" customFormat="1" x14ac:dyDescent="0.25"/>
    <row r="39038" s="12" customFormat="1" x14ac:dyDescent="0.25"/>
    <row r="39039" s="12" customFormat="1" x14ac:dyDescent="0.25"/>
    <row r="39040" s="12" customFormat="1" x14ac:dyDescent="0.25"/>
    <row r="39041" s="12" customFormat="1" x14ac:dyDescent="0.25"/>
    <row r="39042" s="12" customFormat="1" x14ac:dyDescent="0.25"/>
    <row r="39043" s="12" customFormat="1" x14ac:dyDescent="0.25"/>
    <row r="39044" s="12" customFormat="1" x14ac:dyDescent="0.25"/>
    <row r="39045" s="12" customFormat="1" x14ac:dyDescent="0.25"/>
    <row r="39046" s="12" customFormat="1" x14ac:dyDescent="0.25"/>
    <row r="39047" s="12" customFormat="1" x14ac:dyDescent="0.25"/>
    <row r="39048" s="12" customFormat="1" x14ac:dyDescent="0.25"/>
    <row r="39049" s="12" customFormat="1" x14ac:dyDescent="0.25"/>
    <row r="39050" s="12" customFormat="1" x14ac:dyDescent="0.25"/>
    <row r="39051" s="12" customFormat="1" x14ac:dyDescent="0.25"/>
    <row r="39052" s="12" customFormat="1" x14ac:dyDescent="0.25"/>
    <row r="39053" s="12" customFormat="1" x14ac:dyDescent="0.25"/>
    <row r="39054" s="12" customFormat="1" x14ac:dyDescent="0.25"/>
    <row r="39055" s="12" customFormat="1" x14ac:dyDescent="0.25"/>
    <row r="39056" s="12" customFormat="1" x14ac:dyDescent="0.25"/>
    <row r="39057" s="12" customFormat="1" x14ac:dyDescent="0.25"/>
    <row r="39058" s="12" customFormat="1" x14ac:dyDescent="0.25"/>
    <row r="39059" s="12" customFormat="1" x14ac:dyDescent="0.25"/>
    <row r="39060" s="12" customFormat="1" x14ac:dyDescent="0.25"/>
    <row r="39061" s="12" customFormat="1" x14ac:dyDescent="0.25"/>
    <row r="39062" s="12" customFormat="1" x14ac:dyDescent="0.25"/>
    <row r="39063" s="12" customFormat="1" x14ac:dyDescent="0.25"/>
    <row r="39064" s="12" customFormat="1" x14ac:dyDescent="0.25"/>
    <row r="39065" s="12" customFormat="1" x14ac:dyDescent="0.25"/>
    <row r="39066" s="12" customFormat="1" x14ac:dyDescent="0.25"/>
    <row r="39067" s="12" customFormat="1" x14ac:dyDescent="0.25"/>
    <row r="39068" s="12" customFormat="1" x14ac:dyDescent="0.25"/>
    <row r="39069" s="12" customFormat="1" x14ac:dyDescent="0.25"/>
    <row r="39070" s="12" customFormat="1" x14ac:dyDescent="0.25"/>
    <row r="39071" s="12" customFormat="1" x14ac:dyDescent="0.25"/>
    <row r="39072" s="12" customFormat="1" x14ac:dyDescent="0.25"/>
    <row r="39073" s="12" customFormat="1" x14ac:dyDescent="0.25"/>
    <row r="39074" s="12" customFormat="1" x14ac:dyDescent="0.25"/>
    <row r="39075" s="12" customFormat="1" x14ac:dyDescent="0.25"/>
    <row r="39076" s="12" customFormat="1" x14ac:dyDescent="0.25"/>
    <row r="39077" s="12" customFormat="1" x14ac:dyDescent="0.25"/>
    <row r="39078" s="12" customFormat="1" x14ac:dyDescent="0.25"/>
    <row r="39079" s="12" customFormat="1" x14ac:dyDescent="0.25"/>
    <row r="39080" s="12" customFormat="1" x14ac:dyDescent="0.25"/>
    <row r="39081" s="12" customFormat="1" x14ac:dyDescent="0.25"/>
    <row r="39082" s="12" customFormat="1" x14ac:dyDescent="0.25"/>
    <row r="39083" s="12" customFormat="1" x14ac:dyDescent="0.25"/>
    <row r="39084" s="12" customFormat="1" x14ac:dyDescent="0.25"/>
    <row r="39085" s="12" customFormat="1" x14ac:dyDescent="0.25"/>
    <row r="39086" s="12" customFormat="1" x14ac:dyDescent="0.25"/>
    <row r="39087" s="12" customFormat="1" x14ac:dyDescent="0.25"/>
    <row r="39088" s="12" customFormat="1" x14ac:dyDescent="0.25"/>
    <row r="39089" s="12" customFormat="1" x14ac:dyDescent="0.25"/>
    <row r="39090" s="12" customFormat="1" x14ac:dyDescent="0.25"/>
    <row r="39091" s="12" customFormat="1" x14ac:dyDescent="0.25"/>
    <row r="39092" s="12" customFormat="1" x14ac:dyDescent="0.25"/>
    <row r="39093" s="12" customFormat="1" x14ac:dyDescent="0.25"/>
    <row r="39094" s="12" customFormat="1" x14ac:dyDescent="0.25"/>
    <row r="39095" s="12" customFormat="1" x14ac:dyDescent="0.25"/>
    <row r="39096" s="12" customFormat="1" x14ac:dyDescent="0.25"/>
    <row r="39097" s="12" customFormat="1" x14ac:dyDescent="0.25"/>
    <row r="39098" s="12" customFormat="1" x14ac:dyDescent="0.25"/>
    <row r="39099" s="12" customFormat="1" x14ac:dyDescent="0.25"/>
    <row r="39100" s="12" customFormat="1" x14ac:dyDescent="0.25"/>
    <row r="39101" s="12" customFormat="1" x14ac:dyDescent="0.25"/>
    <row r="39102" s="12" customFormat="1" x14ac:dyDescent="0.25"/>
    <row r="39103" s="12" customFormat="1" x14ac:dyDescent="0.25"/>
    <row r="39104" s="12" customFormat="1" x14ac:dyDescent="0.25"/>
    <row r="39105" s="12" customFormat="1" x14ac:dyDescent="0.25"/>
    <row r="39106" s="12" customFormat="1" x14ac:dyDescent="0.25"/>
    <row r="39107" s="12" customFormat="1" x14ac:dyDescent="0.25"/>
    <row r="39108" s="12" customFormat="1" x14ac:dyDescent="0.25"/>
    <row r="39109" s="12" customFormat="1" x14ac:dyDescent="0.25"/>
    <row r="39110" s="12" customFormat="1" x14ac:dyDescent="0.25"/>
    <row r="39111" s="12" customFormat="1" x14ac:dyDescent="0.25"/>
    <row r="39112" s="12" customFormat="1" x14ac:dyDescent="0.25"/>
    <row r="39113" s="12" customFormat="1" x14ac:dyDescent="0.25"/>
    <row r="39114" s="12" customFormat="1" x14ac:dyDescent="0.25"/>
    <row r="39115" s="12" customFormat="1" x14ac:dyDescent="0.25"/>
    <row r="39116" s="12" customFormat="1" x14ac:dyDescent="0.25"/>
    <row r="39117" s="12" customFormat="1" x14ac:dyDescent="0.25"/>
    <row r="39118" s="12" customFormat="1" x14ac:dyDescent="0.25"/>
    <row r="39119" s="12" customFormat="1" x14ac:dyDescent="0.25"/>
    <row r="39120" s="12" customFormat="1" x14ac:dyDescent="0.25"/>
    <row r="39121" s="12" customFormat="1" x14ac:dyDescent="0.25"/>
    <row r="39122" s="12" customFormat="1" x14ac:dyDescent="0.25"/>
    <row r="39123" s="12" customFormat="1" x14ac:dyDescent="0.25"/>
    <row r="39124" s="12" customFormat="1" x14ac:dyDescent="0.25"/>
    <row r="39125" s="12" customFormat="1" x14ac:dyDescent="0.25"/>
    <row r="39126" s="12" customFormat="1" x14ac:dyDescent="0.25"/>
    <row r="39127" s="12" customFormat="1" x14ac:dyDescent="0.25"/>
    <row r="39128" s="12" customFormat="1" x14ac:dyDescent="0.25"/>
    <row r="39129" s="12" customFormat="1" x14ac:dyDescent="0.25"/>
    <row r="39130" s="12" customFormat="1" x14ac:dyDescent="0.25"/>
    <row r="39131" s="12" customFormat="1" x14ac:dyDescent="0.25"/>
    <row r="39132" s="12" customFormat="1" x14ac:dyDescent="0.25"/>
    <row r="39133" s="12" customFormat="1" x14ac:dyDescent="0.25"/>
    <row r="39134" s="12" customFormat="1" x14ac:dyDescent="0.25"/>
    <row r="39135" s="12" customFormat="1" x14ac:dyDescent="0.25"/>
    <row r="39136" s="12" customFormat="1" x14ac:dyDescent="0.25"/>
    <row r="39137" s="12" customFormat="1" x14ac:dyDescent="0.25"/>
    <row r="39138" s="12" customFormat="1" x14ac:dyDescent="0.25"/>
    <row r="39139" s="12" customFormat="1" x14ac:dyDescent="0.25"/>
    <row r="39140" s="12" customFormat="1" x14ac:dyDescent="0.25"/>
    <row r="39141" s="12" customFormat="1" x14ac:dyDescent="0.25"/>
    <row r="39142" s="12" customFormat="1" x14ac:dyDescent="0.25"/>
    <row r="39143" s="12" customFormat="1" x14ac:dyDescent="0.25"/>
    <row r="39144" s="12" customFormat="1" x14ac:dyDescent="0.25"/>
    <row r="39145" s="12" customFormat="1" x14ac:dyDescent="0.25"/>
    <row r="39146" s="12" customFormat="1" x14ac:dyDescent="0.25"/>
    <row r="39147" s="12" customFormat="1" x14ac:dyDescent="0.25"/>
    <row r="39148" s="12" customFormat="1" x14ac:dyDescent="0.25"/>
    <row r="39149" s="12" customFormat="1" x14ac:dyDescent="0.25"/>
    <row r="39150" s="12" customFormat="1" x14ac:dyDescent="0.25"/>
    <row r="39151" s="12" customFormat="1" x14ac:dyDescent="0.25"/>
    <row r="39152" s="12" customFormat="1" x14ac:dyDescent="0.25"/>
    <row r="39153" s="12" customFormat="1" x14ac:dyDescent="0.25"/>
    <row r="39154" s="12" customFormat="1" x14ac:dyDescent="0.25"/>
    <row r="39155" s="12" customFormat="1" x14ac:dyDescent="0.25"/>
    <row r="39156" s="12" customFormat="1" x14ac:dyDescent="0.25"/>
    <row r="39157" s="12" customFormat="1" x14ac:dyDescent="0.25"/>
    <row r="39158" s="12" customFormat="1" x14ac:dyDescent="0.25"/>
    <row r="39159" s="12" customFormat="1" x14ac:dyDescent="0.25"/>
    <row r="39160" s="12" customFormat="1" x14ac:dyDescent="0.25"/>
    <row r="39161" s="12" customFormat="1" x14ac:dyDescent="0.25"/>
    <row r="39162" s="12" customFormat="1" x14ac:dyDescent="0.25"/>
    <row r="39163" s="12" customFormat="1" x14ac:dyDescent="0.25"/>
    <row r="39164" s="12" customFormat="1" x14ac:dyDescent="0.25"/>
    <row r="39165" s="12" customFormat="1" x14ac:dyDescent="0.25"/>
    <row r="39166" s="12" customFormat="1" x14ac:dyDescent="0.25"/>
    <row r="39167" s="12" customFormat="1" x14ac:dyDescent="0.25"/>
    <row r="39168" s="12" customFormat="1" x14ac:dyDescent="0.25"/>
    <row r="39169" s="12" customFormat="1" x14ac:dyDescent="0.25"/>
    <row r="39170" s="12" customFormat="1" x14ac:dyDescent="0.25"/>
    <row r="39171" s="12" customFormat="1" x14ac:dyDescent="0.25"/>
    <row r="39172" s="12" customFormat="1" x14ac:dyDescent="0.25"/>
    <row r="39173" s="12" customFormat="1" x14ac:dyDescent="0.25"/>
    <row r="39174" s="12" customFormat="1" x14ac:dyDescent="0.25"/>
    <row r="39175" s="12" customFormat="1" x14ac:dyDescent="0.25"/>
    <row r="39176" s="12" customFormat="1" x14ac:dyDescent="0.25"/>
    <row r="39177" s="12" customFormat="1" x14ac:dyDescent="0.25"/>
    <row r="39178" s="12" customFormat="1" x14ac:dyDescent="0.25"/>
    <row r="39179" s="12" customFormat="1" x14ac:dyDescent="0.25"/>
    <row r="39180" s="12" customFormat="1" x14ac:dyDescent="0.25"/>
    <row r="39181" s="12" customFormat="1" x14ac:dyDescent="0.25"/>
    <row r="39182" s="12" customFormat="1" x14ac:dyDescent="0.25"/>
    <row r="39183" s="12" customFormat="1" x14ac:dyDescent="0.25"/>
    <row r="39184" s="12" customFormat="1" x14ac:dyDescent="0.25"/>
    <row r="39185" s="12" customFormat="1" x14ac:dyDescent="0.25"/>
    <row r="39186" s="12" customFormat="1" x14ac:dyDescent="0.25"/>
    <row r="39187" s="12" customFormat="1" x14ac:dyDescent="0.25"/>
    <row r="39188" s="12" customFormat="1" x14ac:dyDescent="0.25"/>
    <row r="39189" s="12" customFormat="1" x14ac:dyDescent="0.25"/>
    <row r="39190" s="12" customFormat="1" x14ac:dyDescent="0.25"/>
    <row r="39191" s="12" customFormat="1" x14ac:dyDescent="0.25"/>
    <row r="39192" s="12" customFormat="1" x14ac:dyDescent="0.25"/>
    <row r="39193" s="12" customFormat="1" x14ac:dyDescent="0.25"/>
    <row r="39194" s="12" customFormat="1" x14ac:dyDescent="0.25"/>
    <row r="39195" s="12" customFormat="1" x14ac:dyDescent="0.25"/>
    <row r="39196" s="12" customFormat="1" x14ac:dyDescent="0.25"/>
    <row r="39197" s="12" customFormat="1" x14ac:dyDescent="0.25"/>
    <row r="39198" s="12" customFormat="1" x14ac:dyDescent="0.25"/>
    <row r="39199" s="12" customFormat="1" x14ac:dyDescent="0.25"/>
    <row r="39200" s="12" customFormat="1" x14ac:dyDescent="0.25"/>
    <row r="39201" s="12" customFormat="1" x14ac:dyDescent="0.25"/>
    <row r="39202" s="12" customFormat="1" x14ac:dyDescent="0.25"/>
    <row r="39203" s="12" customFormat="1" x14ac:dyDescent="0.25"/>
    <row r="39204" s="12" customFormat="1" x14ac:dyDescent="0.25"/>
    <row r="39205" s="12" customFormat="1" x14ac:dyDescent="0.25"/>
    <row r="39206" s="12" customFormat="1" x14ac:dyDescent="0.25"/>
    <row r="39207" s="12" customFormat="1" x14ac:dyDescent="0.25"/>
    <row r="39208" s="12" customFormat="1" x14ac:dyDescent="0.25"/>
    <row r="39209" s="12" customFormat="1" x14ac:dyDescent="0.25"/>
    <row r="39210" s="12" customFormat="1" x14ac:dyDescent="0.25"/>
    <row r="39211" s="12" customFormat="1" x14ac:dyDescent="0.25"/>
    <row r="39212" s="12" customFormat="1" x14ac:dyDescent="0.25"/>
    <row r="39213" s="12" customFormat="1" x14ac:dyDescent="0.25"/>
    <row r="39214" s="12" customFormat="1" x14ac:dyDescent="0.25"/>
    <row r="39215" s="12" customFormat="1" x14ac:dyDescent="0.25"/>
    <row r="39216" s="12" customFormat="1" x14ac:dyDescent="0.25"/>
    <row r="39217" s="12" customFormat="1" x14ac:dyDescent="0.25"/>
    <row r="39218" s="12" customFormat="1" x14ac:dyDescent="0.25"/>
    <row r="39219" s="12" customFormat="1" x14ac:dyDescent="0.25"/>
    <row r="39220" s="12" customFormat="1" x14ac:dyDescent="0.25"/>
    <row r="39221" s="12" customFormat="1" x14ac:dyDescent="0.25"/>
    <row r="39222" s="12" customFormat="1" x14ac:dyDescent="0.25"/>
    <row r="39223" s="12" customFormat="1" x14ac:dyDescent="0.25"/>
    <row r="39224" s="12" customFormat="1" x14ac:dyDescent="0.25"/>
    <row r="39225" s="12" customFormat="1" x14ac:dyDescent="0.25"/>
    <row r="39226" s="12" customFormat="1" x14ac:dyDescent="0.25"/>
    <row r="39227" s="12" customFormat="1" x14ac:dyDescent="0.25"/>
    <row r="39228" s="12" customFormat="1" x14ac:dyDescent="0.25"/>
    <row r="39229" s="12" customFormat="1" x14ac:dyDescent="0.25"/>
    <row r="39230" s="12" customFormat="1" x14ac:dyDescent="0.25"/>
    <row r="39231" s="12" customFormat="1" x14ac:dyDescent="0.25"/>
    <row r="39232" s="12" customFormat="1" x14ac:dyDescent="0.25"/>
    <row r="39233" s="12" customFormat="1" x14ac:dyDescent="0.25"/>
    <row r="39234" s="12" customFormat="1" x14ac:dyDescent="0.25"/>
    <row r="39235" s="12" customFormat="1" x14ac:dyDescent="0.25"/>
    <row r="39236" s="12" customFormat="1" x14ac:dyDescent="0.25"/>
    <row r="39237" s="12" customFormat="1" x14ac:dyDescent="0.25"/>
    <row r="39238" s="12" customFormat="1" x14ac:dyDescent="0.25"/>
    <row r="39239" s="12" customFormat="1" x14ac:dyDescent="0.25"/>
    <row r="39240" s="12" customFormat="1" x14ac:dyDescent="0.25"/>
    <row r="39241" s="12" customFormat="1" x14ac:dyDescent="0.25"/>
    <row r="39242" s="12" customFormat="1" x14ac:dyDescent="0.25"/>
    <row r="39243" s="12" customFormat="1" x14ac:dyDescent="0.25"/>
    <row r="39244" s="12" customFormat="1" x14ac:dyDescent="0.25"/>
    <row r="39245" s="12" customFormat="1" x14ac:dyDescent="0.25"/>
    <row r="39246" s="12" customFormat="1" x14ac:dyDescent="0.25"/>
    <row r="39247" s="12" customFormat="1" x14ac:dyDescent="0.25"/>
    <row r="39248" s="12" customFormat="1" x14ac:dyDescent="0.25"/>
    <row r="39249" s="12" customFormat="1" x14ac:dyDescent="0.25"/>
    <row r="39250" s="12" customFormat="1" x14ac:dyDescent="0.25"/>
    <row r="39251" s="12" customFormat="1" x14ac:dyDescent="0.25"/>
    <row r="39252" s="12" customFormat="1" x14ac:dyDescent="0.25"/>
    <row r="39253" s="12" customFormat="1" x14ac:dyDescent="0.25"/>
    <row r="39254" s="12" customFormat="1" x14ac:dyDescent="0.25"/>
    <row r="39255" s="12" customFormat="1" x14ac:dyDescent="0.25"/>
    <row r="39256" s="12" customFormat="1" x14ac:dyDescent="0.25"/>
    <row r="39257" s="12" customFormat="1" x14ac:dyDescent="0.25"/>
    <row r="39258" s="12" customFormat="1" x14ac:dyDescent="0.25"/>
    <row r="39259" s="12" customFormat="1" x14ac:dyDescent="0.25"/>
    <row r="39260" s="12" customFormat="1" x14ac:dyDescent="0.25"/>
    <row r="39261" s="12" customFormat="1" x14ac:dyDescent="0.25"/>
    <row r="39262" s="12" customFormat="1" x14ac:dyDescent="0.25"/>
    <row r="39263" s="12" customFormat="1" x14ac:dyDescent="0.25"/>
    <row r="39264" s="12" customFormat="1" x14ac:dyDescent="0.25"/>
    <row r="39265" s="12" customFormat="1" x14ac:dyDescent="0.25"/>
    <row r="39266" s="12" customFormat="1" x14ac:dyDescent="0.25"/>
    <row r="39267" s="12" customFormat="1" x14ac:dyDescent="0.25"/>
    <row r="39268" s="12" customFormat="1" x14ac:dyDescent="0.25"/>
    <row r="39269" s="12" customFormat="1" x14ac:dyDescent="0.25"/>
    <row r="39270" s="12" customFormat="1" x14ac:dyDescent="0.25"/>
    <row r="39271" s="12" customFormat="1" x14ac:dyDescent="0.25"/>
    <row r="39272" s="12" customFormat="1" x14ac:dyDescent="0.25"/>
    <row r="39273" s="12" customFormat="1" x14ac:dyDescent="0.25"/>
    <row r="39274" s="12" customFormat="1" x14ac:dyDescent="0.25"/>
    <row r="39275" s="12" customFormat="1" x14ac:dyDescent="0.25"/>
    <row r="39276" s="12" customFormat="1" x14ac:dyDescent="0.25"/>
    <row r="39277" s="12" customFormat="1" x14ac:dyDescent="0.25"/>
    <row r="39278" s="12" customFormat="1" x14ac:dyDescent="0.25"/>
    <row r="39279" s="12" customFormat="1" x14ac:dyDescent="0.25"/>
    <row r="39280" s="12" customFormat="1" x14ac:dyDescent="0.25"/>
    <row r="39281" s="12" customFormat="1" x14ac:dyDescent="0.25"/>
    <row r="39282" s="12" customFormat="1" x14ac:dyDescent="0.25"/>
    <row r="39283" s="12" customFormat="1" x14ac:dyDescent="0.25"/>
    <row r="39284" s="12" customFormat="1" x14ac:dyDescent="0.25"/>
    <row r="39285" s="12" customFormat="1" x14ac:dyDescent="0.25"/>
    <row r="39286" s="12" customFormat="1" x14ac:dyDescent="0.25"/>
    <row r="39287" s="12" customFormat="1" x14ac:dyDescent="0.25"/>
    <row r="39288" s="12" customFormat="1" x14ac:dyDescent="0.25"/>
    <row r="39289" s="12" customFormat="1" x14ac:dyDescent="0.25"/>
    <row r="39290" s="12" customFormat="1" x14ac:dyDescent="0.25"/>
    <row r="39291" s="12" customFormat="1" x14ac:dyDescent="0.25"/>
    <row r="39292" s="12" customFormat="1" x14ac:dyDescent="0.25"/>
    <row r="39293" s="12" customFormat="1" x14ac:dyDescent="0.25"/>
    <row r="39294" s="12" customFormat="1" x14ac:dyDescent="0.25"/>
    <row r="39295" s="12" customFormat="1" x14ac:dyDescent="0.25"/>
    <row r="39296" s="12" customFormat="1" x14ac:dyDescent="0.25"/>
    <row r="39297" s="12" customFormat="1" x14ac:dyDescent="0.25"/>
    <row r="39298" s="12" customFormat="1" x14ac:dyDescent="0.25"/>
    <row r="39299" s="12" customFormat="1" x14ac:dyDescent="0.25"/>
    <row r="39300" s="12" customFormat="1" x14ac:dyDescent="0.25"/>
    <row r="39301" s="12" customFormat="1" x14ac:dyDescent="0.25"/>
    <row r="39302" s="12" customFormat="1" x14ac:dyDescent="0.25"/>
    <row r="39303" s="12" customFormat="1" x14ac:dyDescent="0.25"/>
    <row r="39304" s="12" customFormat="1" x14ac:dyDescent="0.25"/>
    <row r="39305" s="12" customFormat="1" x14ac:dyDescent="0.25"/>
    <row r="39306" s="12" customFormat="1" x14ac:dyDescent="0.25"/>
    <row r="39307" s="12" customFormat="1" x14ac:dyDescent="0.25"/>
    <row r="39308" s="12" customFormat="1" x14ac:dyDescent="0.25"/>
    <row r="39309" s="12" customFormat="1" x14ac:dyDescent="0.25"/>
    <row r="39310" s="12" customFormat="1" x14ac:dyDescent="0.25"/>
    <row r="39311" s="12" customFormat="1" x14ac:dyDescent="0.25"/>
    <row r="39312" s="12" customFormat="1" x14ac:dyDescent="0.25"/>
    <row r="39313" s="12" customFormat="1" x14ac:dyDescent="0.25"/>
    <row r="39314" s="12" customFormat="1" x14ac:dyDescent="0.25"/>
    <row r="39315" s="12" customFormat="1" x14ac:dyDescent="0.25"/>
    <row r="39316" s="12" customFormat="1" x14ac:dyDescent="0.25"/>
    <row r="39317" s="12" customFormat="1" x14ac:dyDescent="0.25"/>
    <row r="39318" s="12" customFormat="1" x14ac:dyDescent="0.25"/>
    <row r="39319" s="12" customFormat="1" x14ac:dyDescent="0.25"/>
    <row r="39320" s="12" customFormat="1" x14ac:dyDescent="0.25"/>
    <row r="39321" s="12" customFormat="1" x14ac:dyDescent="0.25"/>
    <row r="39322" s="12" customFormat="1" x14ac:dyDescent="0.25"/>
    <row r="39323" s="12" customFormat="1" x14ac:dyDescent="0.25"/>
    <row r="39324" s="12" customFormat="1" x14ac:dyDescent="0.25"/>
    <row r="39325" s="12" customFormat="1" x14ac:dyDescent="0.25"/>
    <row r="39326" s="12" customFormat="1" x14ac:dyDescent="0.25"/>
    <row r="39327" s="12" customFormat="1" x14ac:dyDescent="0.25"/>
    <row r="39328" s="12" customFormat="1" x14ac:dyDescent="0.25"/>
    <row r="39329" s="12" customFormat="1" x14ac:dyDescent="0.25"/>
    <row r="39330" s="12" customFormat="1" x14ac:dyDescent="0.25"/>
    <row r="39331" s="12" customFormat="1" x14ac:dyDescent="0.25"/>
    <row r="39332" s="12" customFormat="1" x14ac:dyDescent="0.25"/>
    <row r="39333" s="12" customFormat="1" x14ac:dyDescent="0.25"/>
    <row r="39334" s="12" customFormat="1" x14ac:dyDescent="0.25"/>
    <row r="39335" s="12" customFormat="1" x14ac:dyDescent="0.25"/>
    <row r="39336" s="12" customFormat="1" x14ac:dyDescent="0.25"/>
    <row r="39337" s="12" customFormat="1" x14ac:dyDescent="0.25"/>
    <row r="39338" s="12" customFormat="1" x14ac:dyDescent="0.25"/>
    <row r="39339" s="12" customFormat="1" x14ac:dyDescent="0.25"/>
    <row r="39340" s="12" customFormat="1" x14ac:dyDescent="0.25"/>
    <row r="39341" s="12" customFormat="1" x14ac:dyDescent="0.25"/>
    <row r="39342" s="12" customFormat="1" x14ac:dyDescent="0.25"/>
    <row r="39343" s="12" customFormat="1" x14ac:dyDescent="0.25"/>
    <row r="39344" s="12" customFormat="1" x14ac:dyDescent="0.25"/>
    <row r="39345" s="12" customFormat="1" x14ac:dyDescent="0.25"/>
    <row r="39346" s="12" customFormat="1" x14ac:dyDescent="0.25"/>
    <row r="39347" s="12" customFormat="1" x14ac:dyDescent="0.25"/>
    <row r="39348" s="12" customFormat="1" x14ac:dyDescent="0.25"/>
    <row r="39349" s="12" customFormat="1" x14ac:dyDescent="0.25"/>
    <row r="39350" s="12" customFormat="1" x14ac:dyDescent="0.25"/>
    <row r="39351" s="12" customFormat="1" x14ac:dyDescent="0.25"/>
    <row r="39352" s="12" customFormat="1" x14ac:dyDescent="0.25"/>
    <row r="39353" s="12" customFormat="1" x14ac:dyDescent="0.25"/>
    <row r="39354" s="12" customFormat="1" x14ac:dyDescent="0.25"/>
    <row r="39355" s="12" customFormat="1" x14ac:dyDescent="0.25"/>
    <row r="39356" s="12" customFormat="1" x14ac:dyDescent="0.25"/>
    <row r="39357" s="12" customFormat="1" x14ac:dyDescent="0.25"/>
    <row r="39358" s="12" customFormat="1" x14ac:dyDescent="0.25"/>
    <row r="39359" s="12" customFormat="1" x14ac:dyDescent="0.25"/>
    <row r="39360" s="12" customFormat="1" x14ac:dyDescent="0.25"/>
    <row r="39361" s="12" customFormat="1" x14ac:dyDescent="0.25"/>
    <row r="39362" s="12" customFormat="1" x14ac:dyDescent="0.25"/>
    <row r="39363" s="12" customFormat="1" x14ac:dyDescent="0.25"/>
    <row r="39364" s="12" customFormat="1" x14ac:dyDescent="0.25"/>
    <row r="39365" s="12" customFormat="1" x14ac:dyDescent="0.25"/>
    <row r="39366" s="12" customFormat="1" x14ac:dyDescent="0.25"/>
    <row r="39367" s="12" customFormat="1" x14ac:dyDescent="0.25"/>
    <row r="39368" s="12" customFormat="1" x14ac:dyDescent="0.25"/>
    <row r="39369" s="12" customFormat="1" x14ac:dyDescent="0.25"/>
    <row r="39370" s="12" customFormat="1" x14ac:dyDescent="0.25"/>
    <row r="39371" s="12" customFormat="1" x14ac:dyDescent="0.25"/>
    <row r="39372" s="12" customFormat="1" x14ac:dyDescent="0.25"/>
    <row r="39373" s="12" customFormat="1" x14ac:dyDescent="0.25"/>
    <row r="39374" s="12" customFormat="1" x14ac:dyDescent="0.25"/>
    <row r="39375" s="12" customFormat="1" x14ac:dyDescent="0.25"/>
    <row r="39376" s="12" customFormat="1" x14ac:dyDescent="0.25"/>
    <row r="39377" s="12" customFormat="1" x14ac:dyDescent="0.25"/>
    <row r="39378" s="12" customFormat="1" x14ac:dyDescent="0.25"/>
    <row r="39379" s="12" customFormat="1" x14ac:dyDescent="0.25"/>
    <row r="39380" s="12" customFormat="1" x14ac:dyDescent="0.25"/>
    <row r="39381" s="12" customFormat="1" x14ac:dyDescent="0.25"/>
    <row r="39382" s="12" customFormat="1" x14ac:dyDescent="0.25"/>
    <row r="39383" s="12" customFormat="1" x14ac:dyDescent="0.25"/>
    <row r="39384" s="12" customFormat="1" x14ac:dyDescent="0.25"/>
    <row r="39385" s="12" customFormat="1" x14ac:dyDescent="0.25"/>
    <row r="39386" s="12" customFormat="1" x14ac:dyDescent="0.25"/>
    <row r="39387" s="12" customFormat="1" x14ac:dyDescent="0.25"/>
    <row r="39388" s="12" customFormat="1" x14ac:dyDescent="0.25"/>
    <row r="39389" s="12" customFormat="1" x14ac:dyDescent="0.25"/>
    <row r="39390" s="12" customFormat="1" x14ac:dyDescent="0.25"/>
    <row r="39391" s="12" customFormat="1" x14ac:dyDescent="0.25"/>
    <row r="39392" s="12" customFormat="1" x14ac:dyDescent="0.25"/>
    <row r="39393" s="12" customFormat="1" x14ac:dyDescent="0.25"/>
    <row r="39394" s="12" customFormat="1" x14ac:dyDescent="0.25"/>
    <row r="39395" s="12" customFormat="1" x14ac:dyDescent="0.25"/>
    <row r="39396" s="12" customFormat="1" x14ac:dyDescent="0.25"/>
    <row r="39397" s="12" customFormat="1" x14ac:dyDescent="0.25"/>
    <row r="39398" s="12" customFormat="1" x14ac:dyDescent="0.25"/>
    <row r="39399" s="12" customFormat="1" x14ac:dyDescent="0.25"/>
    <row r="39400" s="12" customFormat="1" x14ac:dyDescent="0.25"/>
    <row r="39401" s="12" customFormat="1" x14ac:dyDescent="0.25"/>
    <row r="39402" s="12" customFormat="1" x14ac:dyDescent="0.25"/>
    <row r="39403" s="12" customFormat="1" x14ac:dyDescent="0.25"/>
    <row r="39404" s="12" customFormat="1" x14ac:dyDescent="0.25"/>
    <row r="39405" s="12" customFormat="1" x14ac:dyDescent="0.25"/>
    <row r="39406" s="12" customFormat="1" x14ac:dyDescent="0.25"/>
    <row r="39407" s="12" customFormat="1" x14ac:dyDescent="0.25"/>
    <row r="39408" s="12" customFormat="1" x14ac:dyDescent="0.25"/>
    <row r="39409" s="12" customFormat="1" x14ac:dyDescent="0.25"/>
    <row r="39410" s="12" customFormat="1" x14ac:dyDescent="0.25"/>
    <row r="39411" s="12" customFormat="1" x14ac:dyDescent="0.25"/>
    <row r="39412" s="12" customFormat="1" x14ac:dyDescent="0.25"/>
    <row r="39413" s="12" customFormat="1" x14ac:dyDescent="0.25"/>
    <row r="39414" s="12" customFormat="1" x14ac:dyDescent="0.25"/>
    <row r="39415" s="12" customFormat="1" x14ac:dyDescent="0.25"/>
    <row r="39416" s="12" customFormat="1" x14ac:dyDescent="0.25"/>
    <row r="39417" s="12" customFormat="1" x14ac:dyDescent="0.25"/>
    <row r="39418" s="12" customFormat="1" x14ac:dyDescent="0.25"/>
    <row r="39419" s="12" customFormat="1" x14ac:dyDescent="0.25"/>
    <row r="39420" s="12" customFormat="1" x14ac:dyDescent="0.25"/>
    <row r="39421" s="12" customFormat="1" x14ac:dyDescent="0.25"/>
    <row r="39422" s="12" customFormat="1" x14ac:dyDescent="0.25"/>
    <row r="39423" s="12" customFormat="1" x14ac:dyDescent="0.25"/>
    <row r="39424" s="12" customFormat="1" x14ac:dyDescent="0.25"/>
    <row r="39425" s="12" customFormat="1" x14ac:dyDescent="0.25"/>
    <row r="39426" s="12" customFormat="1" x14ac:dyDescent="0.25"/>
    <row r="39427" s="12" customFormat="1" x14ac:dyDescent="0.25"/>
    <row r="39428" s="12" customFormat="1" x14ac:dyDescent="0.25"/>
    <row r="39429" s="12" customFormat="1" x14ac:dyDescent="0.25"/>
    <row r="39430" s="12" customFormat="1" x14ac:dyDescent="0.25"/>
    <row r="39431" s="12" customFormat="1" x14ac:dyDescent="0.25"/>
    <row r="39432" s="12" customFormat="1" x14ac:dyDescent="0.25"/>
    <row r="39433" s="12" customFormat="1" x14ac:dyDescent="0.25"/>
    <row r="39434" s="12" customFormat="1" x14ac:dyDescent="0.25"/>
    <row r="39435" s="12" customFormat="1" x14ac:dyDescent="0.25"/>
    <row r="39436" s="12" customFormat="1" x14ac:dyDescent="0.25"/>
    <row r="39437" s="12" customFormat="1" x14ac:dyDescent="0.25"/>
    <row r="39438" s="12" customFormat="1" x14ac:dyDescent="0.25"/>
    <row r="39439" s="12" customFormat="1" x14ac:dyDescent="0.25"/>
    <row r="39440" s="12" customFormat="1" x14ac:dyDescent="0.25"/>
    <row r="39441" s="12" customFormat="1" x14ac:dyDescent="0.25"/>
    <row r="39442" s="12" customFormat="1" x14ac:dyDescent="0.25"/>
    <row r="39443" s="12" customFormat="1" x14ac:dyDescent="0.25"/>
    <row r="39444" s="12" customFormat="1" x14ac:dyDescent="0.25"/>
    <row r="39445" s="12" customFormat="1" x14ac:dyDescent="0.25"/>
    <row r="39446" s="12" customFormat="1" x14ac:dyDescent="0.25"/>
    <row r="39447" s="12" customFormat="1" x14ac:dyDescent="0.25"/>
    <row r="39448" s="12" customFormat="1" x14ac:dyDescent="0.25"/>
    <row r="39449" s="12" customFormat="1" x14ac:dyDescent="0.25"/>
    <row r="39450" s="12" customFormat="1" x14ac:dyDescent="0.25"/>
    <row r="39451" s="12" customFormat="1" x14ac:dyDescent="0.25"/>
    <row r="39452" s="12" customFormat="1" x14ac:dyDescent="0.25"/>
    <row r="39453" s="12" customFormat="1" x14ac:dyDescent="0.25"/>
    <row r="39454" s="12" customFormat="1" x14ac:dyDescent="0.25"/>
    <row r="39455" s="12" customFormat="1" x14ac:dyDescent="0.25"/>
    <row r="39456" s="12" customFormat="1" x14ac:dyDescent="0.25"/>
    <row r="39457" s="12" customFormat="1" x14ac:dyDescent="0.25"/>
    <row r="39458" s="12" customFormat="1" x14ac:dyDescent="0.25"/>
    <row r="39459" s="12" customFormat="1" x14ac:dyDescent="0.25"/>
    <row r="39460" s="12" customFormat="1" x14ac:dyDescent="0.25"/>
    <row r="39461" s="12" customFormat="1" x14ac:dyDescent="0.25"/>
    <row r="39462" s="12" customFormat="1" x14ac:dyDescent="0.25"/>
    <row r="39463" s="12" customFormat="1" x14ac:dyDescent="0.25"/>
    <row r="39464" s="12" customFormat="1" x14ac:dyDescent="0.25"/>
    <row r="39465" s="12" customFormat="1" x14ac:dyDescent="0.25"/>
    <row r="39466" s="12" customFormat="1" x14ac:dyDescent="0.25"/>
    <row r="39467" s="12" customFormat="1" x14ac:dyDescent="0.25"/>
    <row r="39468" s="12" customFormat="1" x14ac:dyDescent="0.25"/>
    <row r="39469" s="12" customFormat="1" x14ac:dyDescent="0.25"/>
    <row r="39470" s="12" customFormat="1" x14ac:dyDescent="0.25"/>
    <row r="39471" s="12" customFormat="1" x14ac:dyDescent="0.25"/>
    <row r="39472" s="12" customFormat="1" x14ac:dyDescent="0.25"/>
    <row r="39473" s="12" customFormat="1" x14ac:dyDescent="0.25"/>
    <row r="39474" s="12" customFormat="1" x14ac:dyDescent="0.25"/>
    <row r="39475" s="12" customFormat="1" x14ac:dyDescent="0.25"/>
    <row r="39476" s="12" customFormat="1" x14ac:dyDescent="0.25"/>
    <row r="39477" s="12" customFormat="1" x14ac:dyDescent="0.25"/>
    <row r="39478" s="12" customFormat="1" x14ac:dyDescent="0.25"/>
    <row r="39479" s="12" customFormat="1" x14ac:dyDescent="0.25"/>
    <row r="39480" s="12" customFormat="1" x14ac:dyDescent="0.25"/>
    <row r="39481" s="12" customFormat="1" x14ac:dyDescent="0.25"/>
    <row r="39482" s="12" customFormat="1" x14ac:dyDescent="0.25"/>
    <row r="39483" s="12" customFormat="1" x14ac:dyDescent="0.25"/>
    <row r="39484" s="12" customFormat="1" x14ac:dyDescent="0.25"/>
    <row r="39485" s="12" customFormat="1" x14ac:dyDescent="0.25"/>
    <row r="39486" s="12" customFormat="1" x14ac:dyDescent="0.25"/>
    <row r="39487" s="12" customFormat="1" x14ac:dyDescent="0.25"/>
    <row r="39488" s="12" customFormat="1" x14ac:dyDescent="0.25"/>
    <row r="39489" s="12" customFormat="1" x14ac:dyDescent="0.25"/>
    <row r="39490" s="12" customFormat="1" x14ac:dyDescent="0.25"/>
    <row r="39491" s="12" customFormat="1" x14ac:dyDescent="0.25"/>
    <row r="39492" s="12" customFormat="1" x14ac:dyDescent="0.25"/>
    <row r="39493" s="12" customFormat="1" x14ac:dyDescent="0.25"/>
    <row r="39494" s="12" customFormat="1" x14ac:dyDescent="0.25"/>
    <row r="39495" s="12" customFormat="1" x14ac:dyDescent="0.25"/>
    <row r="39496" s="12" customFormat="1" x14ac:dyDescent="0.25"/>
    <row r="39497" s="12" customFormat="1" x14ac:dyDescent="0.25"/>
    <row r="39498" s="12" customFormat="1" x14ac:dyDescent="0.25"/>
    <row r="39499" s="12" customFormat="1" x14ac:dyDescent="0.25"/>
    <row r="39500" s="12" customFormat="1" x14ac:dyDescent="0.25"/>
    <row r="39501" s="12" customFormat="1" x14ac:dyDescent="0.25"/>
    <row r="39502" s="12" customFormat="1" x14ac:dyDescent="0.25"/>
    <row r="39503" s="12" customFormat="1" x14ac:dyDescent="0.25"/>
    <row r="39504" s="12" customFormat="1" x14ac:dyDescent="0.25"/>
    <row r="39505" s="12" customFormat="1" x14ac:dyDescent="0.25"/>
    <row r="39506" s="12" customFormat="1" x14ac:dyDescent="0.25"/>
    <row r="39507" s="12" customFormat="1" x14ac:dyDescent="0.25"/>
    <row r="39508" s="12" customFormat="1" x14ac:dyDescent="0.25"/>
    <row r="39509" s="12" customFormat="1" x14ac:dyDescent="0.25"/>
    <row r="39510" s="12" customFormat="1" x14ac:dyDescent="0.25"/>
    <row r="39511" s="12" customFormat="1" x14ac:dyDescent="0.25"/>
    <row r="39512" s="12" customFormat="1" x14ac:dyDescent="0.25"/>
    <row r="39513" s="12" customFormat="1" x14ac:dyDescent="0.25"/>
    <row r="39514" s="12" customFormat="1" x14ac:dyDescent="0.25"/>
    <row r="39515" s="12" customFormat="1" x14ac:dyDescent="0.25"/>
    <row r="39516" s="12" customFormat="1" x14ac:dyDescent="0.25"/>
    <row r="39517" s="12" customFormat="1" x14ac:dyDescent="0.25"/>
    <row r="39518" s="12" customFormat="1" x14ac:dyDescent="0.25"/>
    <row r="39519" s="12" customFormat="1" x14ac:dyDescent="0.25"/>
    <row r="39520" s="12" customFormat="1" x14ac:dyDescent="0.25"/>
    <row r="39521" s="12" customFormat="1" x14ac:dyDescent="0.25"/>
    <row r="39522" s="12" customFormat="1" x14ac:dyDescent="0.25"/>
    <row r="39523" s="12" customFormat="1" x14ac:dyDescent="0.25"/>
    <row r="39524" s="12" customFormat="1" x14ac:dyDescent="0.25"/>
    <row r="39525" s="12" customFormat="1" x14ac:dyDescent="0.25"/>
    <row r="39526" s="12" customFormat="1" x14ac:dyDescent="0.25"/>
    <row r="39527" s="12" customFormat="1" x14ac:dyDescent="0.25"/>
    <row r="39528" s="12" customFormat="1" x14ac:dyDescent="0.25"/>
    <row r="39529" s="12" customFormat="1" x14ac:dyDescent="0.25"/>
    <row r="39530" s="12" customFormat="1" x14ac:dyDescent="0.25"/>
    <row r="39531" s="12" customFormat="1" x14ac:dyDescent="0.25"/>
    <row r="39532" s="12" customFormat="1" x14ac:dyDescent="0.25"/>
    <row r="39533" s="12" customFormat="1" x14ac:dyDescent="0.25"/>
    <row r="39534" s="12" customFormat="1" x14ac:dyDescent="0.25"/>
    <row r="39535" s="12" customFormat="1" x14ac:dyDescent="0.25"/>
    <row r="39536" s="12" customFormat="1" x14ac:dyDescent="0.25"/>
    <row r="39537" s="12" customFormat="1" x14ac:dyDescent="0.25"/>
    <row r="39538" s="12" customFormat="1" x14ac:dyDescent="0.25"/>
    <row r="39539" s="12" customFormat="1" x14ac:dyDescent="0.25"/>
    <row r="39540" s="12" customFormat="1" x14ac:dyDescent="0.25"/>
    <row r="39541" s="12" customFormat="1" x14ac:dyDescent="0.25"/>
    <row r="39542" s="12" customFormat="1" x14ac:dyDescent="0.25"/>
    <row r="39543" s="12" customFormat="1" x14ac:dyDescent="0.25"/>
    <row r="39544" s="12" customFormat="1" x14ac:dyDescent="0.25"/>
    <row r="39545" s="12" customFormat="1" x14ac:dyDescent="0.25"/>
    <row r="39546" s="12" customFormat="1" x14ac:dyDescent="0.25"/>
    <row r="39547" s="12" customFormat="1" x14ac:dyDescent="0.25"/>
    <row r="39548" s="12" customFormat="1" x14ac:dyDescent="0.25"/>
    <row r="39549" s="12" customFormat="1" x14ac:dyDescent="0.25"/>
    <row r="39550" s="12" customFormat="1" x14ac:dyDescent="0.25"/>
    <row r="39551" s="12" customFormat="1" x14ac:dyDescent="0.25"/>
    <row r="39552" s="12" customFormat="1" x14ac:dyDescent="0.25"/>
    <row r="39553" s="12" customFormat="1" x14ac:dyDescent="0.25"/>
    <row r="39554" s="12" customFormat="1" x14ac:dyDescent="0.25"/>
    <row r="39555" s="12" customFormat="1" x14ac:dyDescent="0.25"/>
    <row r="39556" s="12" customFormat="1" x14ac:dyDescent="0.25"/>
    <row r="39557" s="12" customFormat="1" x14ac:dyDescent="0.25"/>
    <row r="39558" s="12" customFormat="1" x14ac:dyDescent="0.25"/>
    <row r="39559" s="12" customFormat="1" x14ac:dyDescent="0.25"/>
    <row r="39560" s="12" customFormat="1" x14ac:dyDescent="0.25"/>
    <row r="39561" s="12" customFormat="1" x14ac:dyDescent="0.25"/>
    <row r="39562" s="12" customFormat="1" x14ac:dyDescent="0.25"/>
    <row r="39563" s="12" customFormat="1" x14ac:dyDescent="0.25"/>
    <row r="39564" s="12" customFormat="1" x14ac:dyDescent="0.25"/>
    <row r="39565" s="12" customFormat="1" x14ac:dyDescent="0.25"/>
    <row r="39566" s="12" customFormat="1" x14ac:dyDescent="0.25"/>
    <row r="39567" s="12" customFormat="1" x14ac:dyDescent="0.25"/>
    <row r="39568" s="12" customFormat="1" x14ac:dyDescent="0.25"/>
    <row r="39569" s="12" customFormat="1" x14ac:dyDescent="0.25"/>
    <row r="39570" s="12" customFormat="1" x14ac:dyDescent="0.25"/>
    <row r="39571" s="12" customFormat="1" x14ac:dyDescent="0.25"/>
    <row r="39572" s="12" customFormat="1" x14ac:dyDescent="0.25"/>
    <row r="39573" s="12" customFormat="1" x14ac:dyDescent="0.25"/>
    <row r="39574" s="12" customFormat="1" x14ac:dyDescent="0.25"/>
    <row r="39575" s="12" customFormat="1" x14ac:dyDescent="0.25"/>
    <row r="39576" s="12" customFormat="1" x14ac:dyDescent="0.25"/>
    <row r="39577" s="12" customFormat="1" x14ac:dyDescent="0.25"/>
    <row r="39578" s="12" customFormat="1" x14ac:dyDescent="0.25"/>
    <row r="39579" s="12" customFormat="1" x14ac:dyDescent="0.25"/>
    <row r="39580" s="12" customFormat="1" x14ac:dyDescent="0.25"/>
    <row r="39581" s="12" customFormat="1" x14ac:dyDescent="0.25"/>
    <row r="39582" s="12" customFormat="1" x14ac:dyDescent="0.25"/>
    <row r="39583" s="12" customFormat="1" x14ac:dyDescent="0.25"/>
    <row r="39584" s="12" customFormat="1" x14ac:dyDescent="0.25"/>
    <row r="39585" s="12" customFormat="1" x14ac:dyDescent="0.25"/>
    <row r="39586" s="12" customFormat="1" x14ac:dyDescent="0.25"/>
    <row r="39587" s="12" customFormat="1" x14ac:dyDescent="0.25"/>
    <row r="39588" s="12" customFormat="1" x14ac:dyDescent="0.25"/>
    <row r="39589" s="12" customFormat="1" x14ac:dyDescent="0.25"/>
    <row r="39590" s="12" customFormat="1" x14ac:dyDescent="0.25"/>
    <row r="39591" s="12" customFormat="1" x14ac:dyDescent="0.25"/>
    <row r="39592" s="12" customFormat="1" x14ac:dyDescent="0.25"/>
    <row r="39593" s="12" customFormat="1" x14ac:dyDescent="0.25"/>
    <row r="39594" s="12" customFormat="1" x14ac:dyDescent="0.25"/>
    <row r="39595" s="12" customFormat="1" x14ac:dyDescent="0.25"/>
    <row r="39596" s="12" customFormat="1" x14ac:dyDescent="0.25"/>
    <row r="39597" s="12" customFormat="1" x14ac:dyDescent="0.25"/>
    <row r="39598" s="12" customFormat="1" x14ac:dyDescent="0.25"/>
    <row r="39599" s="12" customFormat="1" x14ac:dyDescent="0.25"/>
    <row r="39600" s="12" customFormat="1" x14ac:dyDescent="0.25"/>
    <row r="39601" s="12" customFormat="1" x14ac:dyDescent="0.25"/>
    <row r="39602" s="12" customFormat="1" x14ac:dyDescent="0.25"/>
    <row r="39603" s="12" customFormat="1" x14ac:dyDescent="0.25"/>
    <row r="39604" s="12" customFormat="1" x14ac:dyDescent="0.25"/>
    <row r="39605" s="12" customFormat="1" x14ac:dyDescent="0.25"/>
    <row r="39606" s="12" customFormat="1" x14ac:dyDescent="0.25"/>
    <row r="39607" s="12" customFormat="1" x14ac:dyDescent="0.25"/>
    <row r="39608" s="12" customFormat="1" x14ac:dyDescent="0.25"/>
    <row r="39609" s="12" customFormat="1" x14ac:dyDescent="0.25"/>
    <row r="39610" s="12" customFormat="1" x14ac:dyDescent="0.25"/>
    <row r="39611" s="12" customFormat="1" x14ac:dyDescent="0.25"/>
    <row r="39612" s="12" customFormat="1" x14ac:dyDescent="0.25"/>
    <row r="39613" s="12" customFormat="1" x14ac:dyDescent="0.25"/>
    <row r="39614" s="12" customFormat="1" x14ac:dyDescent="0.25"/>
    <row r="39615" s="12" customFormat="1" x14ac:dyDescent="0.25"/>
    <row r="39616" s="12" customFormat="1" x14ac:dyDescent="0.25"/>
    <row r="39617" s="12" customFormat="1" x14ac:dyDescent="0.25"/>
    <row r="39618" s="12" customFormat="1" x14ac:dyDescent="0.25"/>
    <row r="39619" s="12" customFormat="1" x14ac:dyDescent="0.25"/>
    <row r="39620" s="12" customFormat="1" x14ac:dyDescent="0.25"/>
    <row r="39621" s="12" customFormat="1" x14ac:dyDescent="0.25"/>
    <row r="39622" s="12" customFormat="1" x14ac:dyDescent="0.25"/>
    <row r="39623" s="12" customFormat="1" x14ac:dyDescent="0.25"/>
    <row r="39624" s="12" customFormat="1" x14ac:dyDescent="0.25"/>
    <row r="39625" s="12" customFormat="1" x14ac:dyDescent="0.25"/>
    <row r="39626" s="12" customFormat="1" x14ac:dyDescent="0.25"/>
    <row r="39627" s="12" customFormat="1" x14ac:dyDescent="0.25"/>
    <row r="39628" s="12" customFormat="1" x14ac:dyDescent="0.25"/>
    <row r="39629" s="12" customFormat="1" x14ac:dyDescent="0.25"/>
    <row r="39630" s="12" customFormat="1" x14ac:dyDescent="0.25"/>
    <row r="39631" s="12" customFormat="1" x14ac:dyDescent="0.25"/>
    <row r="39632" s="12" customFormat="1" x14ac:dyDescent="0.25"/>
    <row r="39633" s="12" customFormat="1" x14ac:dyDescent="0.25"/>
    <row r="39634" s="12" customFormat="1" x14ac:dyDescent="0.25"/>
    <row r="39635" s="12" customFormat="1" x14ac:dyDescent="0.25"/>
    <row r="39636" s="12" customFormat="1" x14ac:dyDescent="0.25"/>
    <row r="39637" s="12" customFormat="1" x14ac:dyDescent="0.25"/>
    <row r="39638" s="12" customFormat="1" x14ac:dyDescent="0.25"/>
    <row r="39639" s="12" customFormat="1" x14ac:dyDescent="0.25"/>
    <row r="39640" s="12" customFormat="1" x14ac:dyDescent="0.25"/>
    <row r="39641" s="12" customFormat="1" x14ac:dyDescent="0.25"/>
    <row r="39642" s="12" customFormat="1" x14ac:dyDescent="0.25"/>
    <row r="39643" s="12" customFormat="1" x14ac:dyDescent="0.25"/>
    <row r="39644" s="12" customFormat="1" x14ac:dyDescent="0.25"/>
    <row r="39645" s="12" customFormat="1" x14ac:dyDescent="0.25"/>
    <row r="39646" s="12" customFormat="1" x14ac:dyDescent="0.25"/>
    <row r="39647" s="12" customFormat="1" x14ac:dyDescent="0.25"/>
    <row r="39648" s="12" customFormat="1" x14ac:dyDescent="0.25"/>
    <row r="39649" s="12" customFormat="1" x14ac:dyDescent="0.25"/>
    <row r="39650" s="12" customFormat="1" x14ac:dyDescent="0.25"/>
    <row r="39651" s="12" customFormat="1" x14ac:dyDescent="0.25"/>
    <row r="39652" s="12" customFormat="1" x14ac:dyDescent="0.25"/>
    <row r="39653" s="12" customFormat="1" x14ac:dyDescent="0.25"/>
    <row r="39654" s="12" customFormat="1" x14ac:dyDescent="0.25"/>
    <row r="39655" s="12" customFormat="1" x14ac:dyDescent="0.25"/>
    <row r="39656" s="12" customFormat="1" x14ac:dyDescent="0.25"/>
    <row r="39657" s="12" customFormat="1" x14ac:dyDescent="0.25"/>
    <row r="39658" s="12" customFormat="1" x14ac:dyDescent="0.25"/>
    <row r="39659" s="12" customFormat="1" x14ac:dyDescent="0.25"/>
    <row r="39660" s="12" customFormat="1" x14ac:dyDescent="0.25"/>
    <row r="39661" s="12" customFormat="1" x14ac:dyDescent="0.25"/>
    <row r="39662" s="12" customFormat="1" x14ac:dyDescent="0.25"/>
    <row r="39663" s="12" customFormat="1" x14ac:dyDescent="0.25"/>
    <row r="39664" s="12" customFormat="1" x14ac:dyDescent="0.25"/>
    <row r="39665" s="12" customFormat="1" x14ac:dyDescent="0.25"/>
    <row r="39666" s="12" customFormat="1" x14ac:dyDescent="0.25"/>
    <row r="39667" s="12" customFormat="1" x14ac:dyDescent="0.25"/>
    <row r="39668" s="12" customFormat="1" x14ac:dyDescent="0.25"/>
    <row r="39669" s="12" customFormat="1" x14ac:dyDescent="0.25"/>
    <row r="39670" s="12" customFormat="1" x14ac:dyDescent="0.25"/>
    <row r="39671" s="12" customFormat="1" x14ac:dyDescent="0.25"/>
    <row r="39672" s="12" customFormat="1" x14ac:dyDescent="0.25"/>
    <row r="39673" s="12" customFormat="1" x14ac:dyDescent="0.25"/>
    <row r="39674" s="12" customFormat="1" x14ac:dyDescent="0.25"/>
    <row r="39675" s="12" customFormat="1" x14ac:dyDescent="0.25"/>
    <row r="39676" s="12" customFormat="1" x14ac:dyDescent="0.25"/>
    <row r="39677" s="12" customFormat="1" x14ac:dyDescent="0.25"/>
    <row r="39678" s="12" customFormat="1" x14ac:dyDescent="0.25"/>
    <row r="39679" s="12" customFormat="1" x14ac:dyDescent="0.25"/>
    <row r="39680" s="12" customFormat="1" x14ac:dyDescent="0.25"/>
    <row r="39681" s="12" customFormat="1" x14ac:dyDescent="0.25"/>
    <row r="39682" s="12" customFormat="1" x14ac:dyDescent="0.25"/>
    <row r="39683" s="12" customFormat="1" x14ac:dyDescent="0.25"/>
    <row r="39684" s="12" customFormat="1" x14ac:dyDescent="0.25"/>
    <row r="39685" s="12" customFormat="1" x14ac:dyDescent="0.25"/>
    <row r="39686" s="12" customFormat="1" x14ac:dyDescent="0.25"/>
    <row r="39687" s="12" customFormat="1" x14ac:dyDescent="0.25"/>
    <row r="39688" s="12" customFormat="1" x14ac:dyDescent="0.25"/>
    <row r="39689" s="12" customFormat="1" x14ac:dyDescent="0.25"/>
    <row r="39690" s="12" customFormat="1" x14ac:dyDescent="0.25"/>
    <row r="39691" s="12" customFormat="1" x14ac:dyDescent="0.25"/>
    <row r="39692" s="12" customFormat="1" x14ac:dyDescent="0.25"/>
    <row r="39693" s="12" customFormat="1" x14ac:dyDescent="0.25"/>
    <row r="39694" s="12" customFormat="1" x14ac:dyDescent="0.25"/>
    <row r="39695" s="12" customFormat="1" x14ac:dyDescent="0.25"/>
    <row r="39696" s="12" customFormat="1" x14ac:dyDescent="0.25"/>
    <row r="39697" s="12" customFormat="1" x14ac:dyDescent="0.25"/>
    <row r="39698" s="12" customFormat="1" x14ac:dyDescent="0.25"/>
    <row r="39699" s="12" customFormat="1" x14ac:dyDescent="0.25"/>
    <row r="39700" s="12" customFormat="1" x14ac:dyDescent="0.25"/>
    <row r="39701" s="12" customFormat="1" x14ac:dyDescent="0.25"/>
    <row r="39702" s="12" customFormat="1" x14ac:dyDescent="0.25"/>
    <row r="39703" s="12" customFormat="1" x14ac:dyDescent="0.25"/>
    <row r="39704" s="12" customFormat="1" x14ac:dyDescent="0.25"/>
    <row r="39705" s="12" customFormat="1" x14ac:dyDescent="0.25"/>
    <row r="39706" s="12" customFormat="1" x14ac:dyDescent="0.25"/>
    <row r="39707" s="12" customFormat="1" x14ac:dyDescent="0.25"/>
    <row r="39708" s="12" customFormat="1" x14ac:dyDescent="0.25"/>
    <row r="39709" s="12" customFormat="1" x14ac:dyDescent="0.25"/>
    <row r="39710" s="12" customFormat="1" x14ac:dyDescent="0.25"/>
    <row r="39711" s="12" customFormat="1" x14ac:dyDescent="0.25"/>
    <row r="39712" s="12" customFormat="1" x14ac:dyDescent="0.25"/>
    <row r="39713" s="12" customFormat="1" x14ac:dyDescent="0.25"/>
    <row r="39714" s="12" customFormat="1" x14ac:dyDescent="0.25"/>
    <row r="39715" s="12" customFormat="1" x14ac:dyDescent="0.25"/>
    <row r="39716" s="12" customFormat="1" x14ac:dyDescent="0.25"/>
    <row r="39717" s="12" customFormat="1" x14ac:dyDescent="0.25"/>
    <row r="39718" s="12" customFormat="1" x14ac:dyDescent="0.25"/>
    <row r="39719" s="12" customFormat="1" x14ac:dyDescent="0.25"/>
    <row r="39720" s="12" customFormat="1" x14ac:dyDescent="0.25"/>
    <row r="39721" s="12" customFormat="1" x14ac:dyDescent="0.25"/>
    <row r="39722" s="12" customFormat="1" x14ac:dyDescent="0.25"/>
    <row r="39723" s="12" customFormat="1" x14ac:dyDescent="0.25"/>
    <row r="39724" s="12" customFormat="1" x14ac:dyDescent="0.25"/>
    <row r="39725" s="12" customFormat="1" x14ac:dyDescent="0.25"/>
    <row r="39726" s="12" customFormat="1" x14ac:dyDescent="0.25"/>
    <row r="39727" s="12" customFormat="1" x14ac:dyDescent="0.25"/>
    <row r="39728" s="12" customFormat="1" x14ac:dyDescent="0.25"/>
    <row r="39729" s="12" customFormat="1" x14ac:dyDescent="0.25"/>
    <row r="39730" s="12" customFormat="1" x14ac:dyDescent="0.25"/>
    <row r="39731" s="12" customFormat="1" x14ac:dyDescent="0.25"/>
    <row r="39732" s="12" customFormat="1" x14ac:dyDescent="0.25"/>
    <row r="39733" s="12" customFormat="1" x14ac:dyDescent="0.25"/>
    <row r="39734" s="12" customFormat="1" x14ac:dyDescent="0.25"/>
    <row r="39735" s="12" customFormat="1" x14ac:dyDescent="0.25"/>
    <row r="39736" s="12" customFormat="1" x14ac:dyDescent="0.25"/>
    <row r="39737" s="12" customFormat="1" x14ac:dyDescent="0.25"/>
    <row r="39738" s="12" customFormat="1" x14ac:dyDescent="0.25"/>
    <row r="39739" s="12" customFormat="1" x14ac:dyDescent="0.25"/>
    <row r="39740" s="12" customFormat="1" x14ac:dyDescent="0.25"/>
    <row r="39741" s="12" customFormat="1" x14ac:dyDescent="0.25"/>
    <row r="39742" s="12" customFormat="1" x14ac:dyDescent="0.25"/>
    <row r="39743" s="12" customFormat="1" x14ac:dyDescent="0.25"/>
    <row r="39744" s="12" customFormat="1" x14ac:dyDescent="0.25"/>
    <row r="39745" s="12" customFormat="1" x14ac:dyDescent="0.25"/>
    <row r="39746" s="12" customFormat="1" x14ac:dyDescent="0.25"/>
    <row r="39747" s="12" customFormat="1" x14ac:dyDescent="0.25"/>
    <row r="39748" s="12" customFormat="1" x14ac:dyDescent="0.25"/>
    <row r="39749" s="12" customFormat="1" x14ac:dyDescent="0.25"/>
    <row r="39750" s="12" customFormat="1" x14ac:dyDescent="0.25"/>
    <row r="39751" s="12" customFormat="1" x14ac:dyDescent="0.25"/>
    <row r="39752" s="12" customFormat="1" x14ac:dyDescent="0.25"/>
    <row r="39753" s="12" customFormat="1" x14ac:dyDescent="0.25"/>
    <row r="39754" s="12" customFormat="1" x14ac:dyDescent="0.25"/>
    <row r="39755" s="12" customFormat="1" x14ac:dyDescent="0.25"/>
    <row r="39756" s="12" customFormat="1" x14ac:dyDescent="0.25"/>
    <row r="39757" s="12" customFormat="1" x14ac:dyDescent="0.25"/>
    <row r="39758" s="12" customFormat="1" x14ac:dyDescent="0.25"/>
    <row r="39759" s="12" customFormat="1" x14ac:dyDescent="0.25"/>
    <row r="39760" s="12" customFormat="1" x14ac:dyDescent="0.25"/>
    <row r="39761" s="12" customFormat="1" x14ac:dyDescent="0.25"/>
    <row r="39762" s="12" customFormat="1" x14ac:dyDescent="0.25"/>
    <row r="39763" s="12" customFormat="1" x14ac:dyDescent="0.25"/>
    <row r="39764" s="12" customFormat="1" x14ac:dyDescent="0.25"/>
    <row r="39765" s="12" customFormat="1" x14ac:dyDescent="0.25"/>
    <row r="39766" s="12" customFormat="1" x14ac:dyDescent="0.25"/>
    <row r="39767" s="12" customFormat="1" x14ac:dyDescent="0.25"/>
    <row r="39768" s="12" customFormat="1" x14ac:dyDescent="0.25"/>
    <row r="39769" s="12" customFormat="1" x14ac:dyDescent="0.25"/>
    <row r="39770" s="12" customFormat="1" x14ac:dyDescent="0.25"/>
    <row r="39771" s="12" customFormat="1" x14ac:dyDescent="0.25"/>
    <row r="39772" s="12" customFormat="1" x14ac:dyDescent="0.25"/>
    <row r="39773" s="12" customFormat="1" x14ac:dyDescent="0.25"/>
    <row r="39774" s="12" customFormat="1" x14ac:dyDescent="0.25"/>
    <row r="39775" s="12" customFormat="1" x14ac:dyDescent="0.25"/>
    <row r="39776" s="12" customFormat="1" x14ac:dyDescent="0.25"/>
    <row r="39777" s="12" customFormat="1" x14ac:dyDescent="0.25"/>
    <row r="39778" s="12" customFormat="1" x14ac:dyDescent="0.25"/>
    <row r="39779" s="12" customFormat="1" x14ac:dyDescent="0.25"/>
    <row r="39780" s="12" customFormat="1" x14ac:dyDescent="0.25"/>
    <row r="39781" s="12" customFormat="1" x14ac:dyDescent="0.25"/>
    <row r="39782" s="12" customFormat="1" x14ac:dyDescent="0.25"/>
    <row r="39783" s="12" customFormat="1" x14ac:dyDescent="0.25"/>
    <row r="39784" s="12" customFormat="1" x14ac:dyDescent="0.25"/>
    <row r="39785" s="12" customFormat="1" x14ac:dyDescent="0.25"/>
    <row r="39786" s="12" customFormat="1" x14ac:dyDescent="0.25"/>
    <row r="39787" s="12" customFormat="1" x14ac:dyDescent="0.25"/>
    <row r="39788" s="12" customFormat="1" x14ac:dyDescent="0.25"/>
    <row r="39789" s="12" customFormat="1" x14ac:dyDescent="0.25"/>
    <row r="39790" s="12" customFormat="1" x14ac:dyDescent="0.25"/>
    <row r="39791" s="12" customFormat="1" x14ac:dyDescent="0.25"/>
    <row r="39792" s="12" customFormat="1" x14ac:dyDescent="0.25"/>
    <row r="39793" s="12" customFormat="1" x14ac:dyDescent="0.25"/>
    <row r="39794" s="12" customFormat="1" x14ac:dyDescent="0.25"/>
    <row r="39795" s="12" customFormat="1" x14ac:dyDescent="0.25"/>
    <row r="39796" s="12" customFormat="1" x14ac:dyDescent="0.25"/>
    <row r="39797" s="12" customFormat="1" x14ac:dyDescent="0.25"/>
    <row r="39798" s="12" customFormat="1" x14ac:dyDescent="0.25"/>
    <row r="39799" s="12" customFormat="1" x14ac:dyDescent="0.25"/>
    <row r="39800" s="12" customFormat="1" x14ac:dyDescent="0.25"/>
    <row r="39801" s="12" customFormat="1" x14ac:dyDescent="0.25"/>
    <row r="39802" s="12" customFormat="1" x14ac:dyDescent="0.25"/>
    <row r="39803" s="12" customFormat="1" x14ac:dyDescent="0.25"/>
    <row r="39804" s="12" customFormat="1" x14ac:dyDescent="0.25"/>
    <row r="39805" s="12" customFormat="1" x14ac:dyDescent="0.25"/>
    <row r="39806" s="12" customFormat="1" x14ac:dyDescent="0.25"/>
    <row r="39807" s="12" customFormat="1" x14ac:dyDescent="0.25"/>
    <row r="39808" s="12" customFormat="1" x14ac:dyDescent="0.25"/>
    <row r="39809" s="12" customFormat="1" x14ac:dyDescent="0.25"/>
    <row r="39810" s="12" customFormat="1" x14ac:dyDescent="0.25"/>
    <row r="39811" s="12" customFormat="1" x14ac:dyDescent="0.25"/>
    <row r="39812" s="12" customFormat="1" x14ac:dyDescent="0.25"/>
    <row r="39813" s="12" customFormat="1" x14ac:dyDescent="0.25"/>
    <row r="39814" s="12" customFormat="1" x14ac:dyDescent="0.25"/>
    <row r="39815" s="12" customFormat="1" x14ac:dyDescent="0.25"/>
    <row r="39816" s="12" customFormat="1" x14ac:dyDescent="0.25"/>
    <row r="39817" s="12" customFormat="1" x14ac:dyDescent="0.25"/>
    <row r="39818" s="12" customFormat="1" x14ac:dyDescent="0.25"/>
    <row r="39819" s="12" customFormat="1" x14ac:dyDescent="0.25"/>
    <row r="39820" s="12" customFormat="1" x14ac:dyDescent="0.25"/>
    <row r="39821" s="12" customFormat="1" x14ac:dyDescent="0.25"/>
    <row r="39822" s="12" customFormat="1" x14ac:dyDescent="0.25"/>
    <row r="39823" s="12" customFormat="1" x14ac:dyDescent="0.25"/>
    <row r="39824" s="12" customFormat="1" x14ac:dyDescent="0.25"/>
    <row r="39825" s="12" customFormat="1" x14ac:dyDescent="0.25"/>
    <row r="39826" s="12" customFormat="1" x14ac:dyDescent="0.25"/>
    <row r="39827" s="12" customFormat="1" x14ac:dyDescent="0.25"/>
    <row r="39828" s="12" customFormat="1" x14ac:dyDescent="0.25"/>
    <row r="39829" s="12" customFormat="1" x14ac:dyDescent="0.25"/>
    <row r="39830" s="12" customFormat="1" x14ac:dyDescent="0.25"/>
    <row r="39831" s="12" customFormat="1" x14ac:dyDescent="0.25"/>
    <row r="39832" s="12" customFormat="1" x14ac:dyDescent="0.25"/>
    <row r="39833" s="12" customFormat="1" x14ac:dyDescent="0.25"/>
    <row r="39834" s="12" customFormat="1" x14ac:dyDescent="0.25"/>
    <row r="39835" s="12" customFormat="1" x14ac:dyDescent="0.25"/>
    <row r="39836" s="12" customFormat="1" x14ac:dyDescent="0.25"/>
    <row r="39837" s="12" customFormat="1" x14ac:dyDescent="0.25"/>
    <row r="39838" s="12" customFormat="1" x14ac:dyDescent="0.25"/>
    <row r="39839" s="12" customFormat="1" x14ac:dyDescent="0.25"/>
    <row r="39840" s="12" customFormat="1" x14ac:dyDescent="0.25"/>
    <row r="39841" s="12" customFormat="1" x14ac:dyDescent="0.25"/>
    <row r="39842" s="12" customFormat="1" x14ac:dyDescent="0.25"/>
    <row r="39843" s="12" customFormat="1" x14ac:dyDescent="0.25"/>
    <row r="39844" s="12" customFormat="1" x14ac:dyDescent="0.25"/>
    <row r="39845" s="12" customFormat="1" x14ac:dyDescent="0.25"/>
    <row r="39846" s="12" customFormat="1" x14ac:dyDescent="0.25"/>
    <row r="39847" s="12" customFormat="1" x14ac:dyDescent="0.25"/>
    <row r="39848" s="12" customFormat="1" x14ac:dyDescent="0.25"/>
    <row r="39849" s="12" customFormat="1" x14ac:dyDescent="0.25"/>
    <row r="39850" s="12" customFormat="1" x14ac:dyDescent="0.25"/>
    <row r="39851" s="12" customFormat="1" x14ac:dyDescent="0.25"/>
    <row r="39852" s="12" customFormat="1" x14ac:dyDescent="0.25"/>
    <row r="39853" s="12" customFormat="1" x14ac:dyDescent="0.25"/>
    <row r="39854" s="12" customFormat="1" x14ac:dyDescent="0.25"/>
    <row r="39855" s="12" customFormat="1" x14ac:dyDescent="0.25"/>
    <row r="39856" s="12" customFormat="1" x14ac:dyDescent="0.25"/>
    <row r="39857" s="12" customFormat="1" x14ac:dyDescent="0.25"/>
    <row r="39858" s="12" customFormat="1" x14ac:dyDescent="0.25"/>
    <row r="39859" s="12" customFormat="1" x14ac:dyDescent="0.25"/>
    <row r="39860" s="12" customFormat="1" x14ac:dyDescent="0.25"/>
    <row r="39861" s="12" customFormat="1" x14ac:dyDescent="0.25"/>
    <row r="39862" s="12" customFormat="1" x14ac:dyDescent="0.25"/>
    <row r="39863" s="12" customFormat="1" x14ac:dyDescent="0.25"/>
    <row r="39864" s="12" customFormat="1" x14ac:dyDescent="0.25"/>
    <row r="39865" s="12" customFormat="1" x14ac:dyDescent="0.25"/>
    <row r="39866" s="12" customFormat="1" x14ac:dyDescent="0.25"/>
    <row r="39867" s="12" customFormat="1" x14ac:dyDescent="0.25"/>
    <row r="39868" s="12" customFormat="1" x14ac:dyDescent="0.25"/>
    <row r="39869" s="12" customFormat="1" x14ac:dyDescent="0.25"/>
    <row r="39870" s="12" customFormat="1" x14ac:dyDescent="0.25"/>
    <row r="39871" s="12" customFormat="1" x14ac:dyDescent="0.25"/>
    <row r="39872" s="12" customFormat="1" x14ac:dyDescent="0.25"/>
    <row r="39873" s="12" customFormat="1" x14ac:dyDescent="0.25"/>
    <row r="39874" s="12" customFormat="1" x14ac:dyDescent="0.25"/>
    <row r="39875" s="12" customFormat="1" x14ac:dyDescent="0.25"/>
    <row r="39876" s="12" customFormat="1" x14ac:dyDescent="0.25"/>
    <row r="39877" s="12" customFormat="1" x14ac:dyDescent="0.25"/>
    <row r="39878" s="12" customFormat="1" x14ac:dyDescent="0.25"/>
    <row r="39879" s="12" customFormat="1" x14ac:dyDescent="0.25"/>
    <row r="39880" s="12" customFormat="1" x14ac:dyDescent="0.25"/>
    <row r="39881" s="12" customFormat="1" x14ac:dyDescent="0.25"/>
    <row r="39882" s="12" customFormat="1" x14ac:dyDescent="0.25"/>
    <row r="39883" s="12" customFormat="1" x14ac:dyDescent="0.25"/>
    <row r="39884" s="12" customFormat="1" x14ac:dyDescent="0.25"/>
    <row r="39885" s="12" customFormat="1" x14ac:dyDescent="0.25"/>
    <row r="39886" s="12" customFormat="1" x14ac:dyDescent="0.25"/>
    <row r="39887" s="12" customFormat="1" x14ac:dyDescent="0.25"/>
    <row r="39888" s="12" customFormat="1" x14ac:dyDescent="0.25"/>
    <row r="39889" s="12" customFormat="1" x14ac:dyDescent="0.25"/>
    <row r="39890" s="12" customFormat="1" x14ac:dyDescent="0.25"/>
    <row r="39891" s="12" customFormat="1" x14ac:dyDescent="0.25"/>
    <row r="39892" s="12" customFormat="1" x14ac:dyDescent="0.25"/>
    <row r="39893" s="12" customFormat="1" x14ac:dyDescent="0.25"/>
    <row r="39894" s="12" customFormat="1" x14ac:dyDescent="0.25"/>
    <row r="39895" s="12" customFormat="1" x14ac:dyDescent="0.25"/>
    <row r="39896" s="12" customFormat="1" x14ac:dyDescent="0.25"/>
    <row r="39897" s="12" customFormat="1" x14ac:dyDescent="0.25"/>
    <row r="39898" s="12" customFormat="1" x14ac:dyDescent="0.25"/>
    <row r="39899" s="12" customFormat="1" x14ac:dyDescent="0.25"/>
    <row r="39900" s="12" customFormat="1" x14ac:dyDescent="0.25"/>
    <row r="39901" s="12" customFormat="1" x14ac:dyDescent="0.25"/>
    <row r="39902" s="12" customFormat="1" x14ac:dyDescent="0.25"/>
    <row r="39903" s="12" customFormat="1" x14ac:dyDescent="0.25"/>
    <row r="39904" s="12" customFormat="1" x14ac:dyDescent="0.25"/>
    <row r="39905" s="12" customFormat="1" x14ac:dyDescent="0.25"/>
    <row r="39906" s="12" customFormat="1" x14ac:dyDescent="0.25"/>
    <row r="39907" s="12" customFormat="1" x14ac:dyDescent="0.25"/>
    <row r="39908" s="12" customFormat="1" x14ac:dyDescent="0.25"/>
    <row r="39909" s="12" customFormat="1" x14ac:dyDescent="0.25"/>
    <row r="39910" s="12" customFormat="1" x14ac:dyDescent="0.25"/>
    <row r="39911" s="12" customFormat="1" x14ac:dyDescent="0.25"/>
    <row r="39912" s="12" customFormat="1" x14ac:dyDescent="0.25"/>
    <row r="39913" s="12" customFormat="1" x14ac:dyDescent="0.25"/>
    <row r="39914" s="12" customFormat="1" x14ac:dyDescent="0.25"/>
    <row r="39915" s="12" customFormat="1" x14ac:dyDescent="0.25"/>
    <row r="39916" s="12" customFormat="1" x14ac:dyDescent="0.25"/>
    <row r="39917" s="12" customFormat="1" x14ac:dyDescent="0.25"/>
    <row r="39918" s="12" customFormat="1" x14ac:dyDescent="0.25"/>
    <row r="39919" s="12" customFormat="1" x14ac:dyDescent="0.25"/>
    <row r="39920" s="12" customFormat="1" x14ac:dyDescent="0.25"/>
    <row r="39921" s="12" customFormat="1" x14ac:dyDescent="0.25"/>
    <row r="39922" s="12" customFormat="1" x14ac:dyDescent="0.25"/>
    <row r="39923" s="12" customFormat="1" x14ac:dyDescent="0.25"/>
    <row r="39924" s="12" customFormat="1" x14ac:dyDescent="0.25"/>
    <row r="39925" s="12" customFormat="1" x14ac:dyDescent="0.25"/>
    <row r="39926" s="12" customFormat="1" x14ac:dyDescent="0.25"/>
    <row r="39927" s="12" customFormat="1" x14ac:dyDescent="0.25"/>
    <row r="39928" s="12" customFormat="1" x14ac:dyDescent="0.25"/>
    <row r="39929" s="12" customFormat="1" x14ac:dyDescent="0.25"/>
    <row r="39930" s="12" customFormat="1" x14ac:dyDescent="0.25"/>
    <row r="39931" s="12" customFormat="1" x14ac:dyDescent="0.25"/>
    <row r="39932" s="12" customFormat="1" x14ac:dyDescent="0.25"/>
    <row r="39933" s="12" customFormat="1" x14ac:dyDescent="0.25"/>
    <row r="39934" s="12" customFormat="1" x14ac:dyDescent="0.25"/>
    <row r="39935" s="12" customFormat="1" x14ac:dyDescent="0.25"/>
    <row r="39936" s="12" customFormat="1" x14ac:dyDescent="0.25"/>
    <row r="39937" s="12" customFormat="1" x14ac:dyDescent="0.25"/>
    <row r="39938" s="12" customFormat="1" x14ac:dyDescent="0.25"/>
    <row r="39939" s="12" customFormat="1" x14ac:dyDescent="0.25"/>
    <row r="39940" s="12" customFormat="1" x14ac:dyDescent="0.25"/>
    <row r="39941" s="12" customFormat="1" x14ac:dyDescent="0.25"/>
    <row r="39942" s="12" customFormat="1" x14ac:dyDescent="0.25"/>
    <row r="39943" s="12" customFormat="1" x14ac:dyDescent="0.25"/>
    <row r="39944" s="12" customFormat="1" x14ac:dyDescent="0.25"/>
    <row r="39945" s="12" customFormat="1" x14ac:dyDescent="0.25"/>
    <row r="39946" s="12" customFormat="1" x14ac:dyDescent="0.25"/>
    <row r="39947" s="12" customFormat="1" x14ac:dyDescent="0.25"/>
    <row r="39948" s="12" customFormat="1" x14ac:dyDescent="0.25"/>
    <row r="39949" s="12" customFormat="1" x14ac:dyDescent="0.25"/>
    <row r="39950" s="12" customFormat="1" x14ac:dyDescent="0.25"/>
    <row r="39951" s="12" customFormat="1" x14ac:dyDescent="0.25"/>
    <row r="39952" s="12" customFormat="1" x14ac:dyDescent="0.25"/>
    <row r="39953" s="12" customFormat="1" x14ac:dyDescent="0.25"/>
    <row r="39954" s="12" customFormat="1" x14ac:dyDescent="0.25"/>
    <row r="39955" s="12" customFormat="1" x14ac:dyDescent="0.25"/>
    <row r="39956" s="12" customFormat="1" x14ac:dyDescent="0.25"/>
    <row r="39957" s="12" customFormat="1" x14ac:dyDescent="0.25"/>
    <row r="39958" s="12" customFormat="1" x14ac:dyDescent="0.25"/>
    <row r="39959" s="12" customFormat="1" x14ac:dyDescent="0.25"/>
    <row r="39960" s="12" customFormat="1" x14ac:dyDescent="0.25"/>
    <row r="39961" s="12" customFormat="1" x14ac:dyDescent="0.25"/>
    <row r="39962" s="12" customFormat="1" x14ac:dyDescent="0.25"/>
    <row r="39963" s="12" customFormat="1" x14ac:dyDescent="0.25"/>
    <row r="39964" s="12" customFormat="1" x14ac:dyDescent="0.25"/>
    <row r="39965" s="12" customFormat="1" x14ac:dyDescent="0.25"/>
    <row r="39966" s="12" customFormat="1" x14ac:dyDescent="0.25"/>
    <row r="39967" s="12" customFormat="1" x14ac:dyDescent="0.25"/>
    <row r="39968" s="12" customFormat="1" x14ac:dyDescent="0.25"/>
    <row r="39969" s="12" customFormat="1" x14ac:dyDescent="0.25"/>
    <row r="39970" s="12" customFormat="1" x14ac:dyDescent="0.25"/>
    <row r="39971" s="12" customFormat="1" x14ac:dyDescent="0.25"/>
    <row r="39972" s="12" customFormat="1" x14ac:dyDescent="0.25"/>
    <row r="39973" s="12" customFormat="1" x14ac:dyDescent="0.25"/>
    <row r="39974" s="12" customFormat="1" x14ac:dyDescent="0.25"/>
    <row r="39975" s="12" customFormat="1" x14ac:dyDescent="0.25"/>
    <row r="39976" s="12" customFormat="1" x14ac:dyDescent="0.25"/>
    <row r="39977" s="12" customFormat="1" x14ac:dyDescent="0.25"/>
    <row r="39978" s="12" customFormat="1" x14ac:dyDescent="0.25"/>
    <row r="39979" s="12" customFormat="1" x14ac:dyDescent="0.25"/>
    <row r="39980" s="12" customFormat="1" x14ac:dyDescent="0.25"/>
    <row r="39981" s="12" customFormat="1" x14ac:dyDescent="0.25"/>
    <row r="39982" s="12" customFormat="1" x14ac:dyDescent="0.25"/>
    <row r="39983" s="12" customFormat="1" x14ac:dyDescent="0.25"/>
    <row r="39984" s="12" customFormat="1" x14ac:dyDescent="0.25"/>
    <row r="39985" s="12" customFormat="1" x14ac:dyDescent="0.25"/>
    <row r="39986" s="12" customFormat="1" x14ac:dyDescent="0.25"/>
    <row r="39987" s="12" customFormat="1" x14ac:dyDescent="0.25"/>
    <row r="39988" s="12" customFormat="1" x14ac:dyDescent="0.25"/>
    <row r="39989" s="12" customFormat="1" x14ac:dyDescent="0.25"/>
    <row r="39990" s="12" customFormat="1" x14ac:dyDescent="0.25"/>
    <row r="39991" s="12" customFormat="1" x14ac:dyDescent="0.25"/>
    <row r="39992" s="12" customFormat="1" x14ac:dyDescent="0.25"/>
    <row r="39993" s="12" customFormat="1" x14ac:dyDescent="0.25"/>
    <row r="39994" s="12" customFormat="1" x14ac:dyDescent="0.25"/>
    <row r="39995" s="12" customFormat="1" x14ac:dyDescent="0.25"/>
    <row r="39996" s="12" customFormat="1" x14ac:dyDescent="0.25"/>
    <row r="39997" s="12" customFormat="1" x14ac:dyDescent="0.25"/>
    <row r="39998" s="12" customFormat="1" x14ac:dyDescent="0.25"/>
    <row r="39999" s="12" customFormat="1" x14ac:dyDescent="0.25"/>
    <row r="40000" s="12" customFormat="1" x14ac:dyDescent="0.25"/>
    <row r="40001" s="12" customFormat="1" x14ac:dyDescent="0.25"/>
    <row r="40002" s="12" customFormat="1" x14ac:dyDescent="0.25"/>
    <row r="40003" s="12" customFormat="1" x14ac:dyDescent="0.25"/>
    <row r="40004" s="12" customFormat="1" x14ac:dyDescent="0.25"/>
    <row r="40005" s="12" customFormat="1" x14ac:dyDescent="0.25"/>
    <row r="40006" s="12" customFormat="1" x14ac:dyDescent="0.25"/>
    <row r="40007" s="12" customFormat="1" x14ac:dyDescent="0.25"/>
    <row r="40008" s="12" customFormat="1" x14ac:dyDescent="0.25"/>
    <row r="40009" s="12" customFormat="1" x14ac:dyDescent="0.25"/>
    <row r="40010" s="12" customFormat="1" x14ac:dyDescent="0.25"/>
    <row r="40011" s="12" customFormat="1" x14ac:dyDescent="0.25"/>
    <row r="40012" s="12" customFormat="1" x14ac:dyDescent="0.25"/>
    <row r="40013" s="12" customFormat="1" x14ac:dyDescent="0.25"/>
    <row r="40014" s="12" customFormat="1" x14ac:dyDescent="0.25"/>
    <row r="40015" s="12" customFormat="1" x14ac:dyDescent="0.25"/>
    <row r="40016" s="12" customFormat="1" x14ac:dyDescent="0.25"/>
    <row r="40017" s="12" customFormat="1" x14ac:dyDescent="0.25"/>
    <row r="40018" s="12" customFormat="1" x14ac:dyDescent="0.25"/>
    <row r="40019" s="12" customFormat="1" x14ac:dyDescent="0.25"/>
    <row r="40020" s="12" customFormat="1" x14ac:dyDescent="0.25"/>
    <row r="40021" s="12" customFormat="1" x14ac:dyDescent="0.25"/>
    <row r="40022" s="12" customFormat="1" x14ac:dyDescent="0.25"/>
    <row r="40023" s="12" customFormat="1" x14ac:dyDescent="0.25"/>
    <row r="40024" s="12" customFormat="1" x14ac:dyDescent="0.25"/>
    <row r="40025" s="12" customFormat="1" x14ac:dyDescent="0.25"/>
    <row r="40026" s="12" customFormat="1" x14ac:dyDescent="0.25"/>
    <row r="40027" s="12" customFormat="1" x14ac:dyDescent="0.25"/>
    <row r="40028" s="12" customFormat="1" x14ac:dyDescent="0.25"/>
    <row r="40029" s="12" customFormat="1" x14ac:dyDescent="0.25"/>
    <row r="40030" s="12" customFormat="1" x14ac:dyDescent="0.25"/>
    <row r="40031" s="12" customFormat="1" x14ac:dyDescent="0.25"/>
    <row r="40032" s="12" customFormat="1" x14ac:dyDescent="0.25"/>
    <row r="40033" s="12" customFormat="1" x14ac:dyDescent="0.25"/>
    <row r="40034" s="12" customFormat="1" x14ac:dyDescent="0.25"/>
    <row r="40035" s="12" customFormat="1" x14ac:dyDescent="0.25"/>
    <row r="40036" s="12" customFormat="1" x14ac:dyDescent="0.25"/>
    <row r="40037" s="12" customFormat="1" x14ac:dyDescent="0.25"/>
    <row r="40038" s="12" customFormat="1" x14ac:dyDescent="0.25"/>
    <row r="40039" s="12" customFormat="1" x14ac:dyDescent="0.25"/>
    <row r="40040" s="12" customFormat="1" x14ac:dyDescent="0.25"/>
    <row r="40041" s="12" customFormat="1" x14ac:dyDescent="0.25"/>
    <row r="40042" s="12" customFormat="1" x14ac:dyDescent="0.25"/>
    <row r="40043" s="12" customFormat="1" x14ac:dyDescent="0.25"/>
    <row r="40044" s="12" customFormat="1" x14ac:dyDescent="0.25"/>
    <row r="40045" s="12" customFormat="1" x14ac:dyDescent="0.25"/>
    <row r="40046" s="12" customFormat="1" x14ac:dyDescent="0.25"/>
    <row r="40047" s="12" customFormat="1" x14ac:dyDescent="0.25"/>
    <row r="40048" s="12" customFormat="1" x14ac:dyDescent="0.25"/>
    <row r="40049" s="12" customFormat="1" x14ac:dyDescent="0.25"/>
    <row r="40050" s="12" customFormat="1" x14ac:dyDescent="0.25"/>
    <row r="40051" s="12" customFormat="1" x14ac:dyDescent="0.25"/>
    <row r="40052" s="12" customFormat="1" x14ac:dyDescent="0.25"/>
    <row r="40053" s="12" customFormat="1" x14ac:dyDescent="0.25"/>
    <row r="40054" s="12" customFormat="1" x14ac:dyDescent="0.25"/>
    <row r="40055" s="12" customFormat="1" x14ac:dyDescent="0.25"/>
    <row r="40056" s="12" customFormat="1" x14ac:dyDescent="0.25"/>
    <row r="40057" s="12" customFormat="1" x14ac:dyDescent="0.25"/>
    <row r="40058" s="12" customFormat="1" x14ac:dyDescent="0.25"/>
    <row r="40059" s="12" customFormat="1" x14ac:dyDescent="0.25"/>
    <row r="40060" s="12" customFormat="1" x14ac:dyDescent="0.25"/>
    <row r="40061" s="12" customFormat="1" x14ac:dyDescent="0.25"/>
    <row r="40062" s="12" customFormat="1" x14ac:dyDescent="0.25"/>
    <row r="40063" s="12" customFormat="1" x14ac:dyDescent="0.25"/>
    <row r="40064" s="12" customFormat="1" x14ac:dyDescent="0.25"/>
    <row r="40065" s="12" customFormat="1" x14ac:dyDescent="0.25"/>
    <row r="40066" s="12" customFormat="1" x14ac:dyDescent="0.25"/>
    <row r="40067" s="12" customFormat="1" x14ac:dyDescent="0.25"/>
    <row r="40068" s="12" customFormat="1" x14ac:dyDescent="0.25"/>
    <row r="40069" s="12" customFormat="1" x14ac:dyDescent="0.25"/>
    <row r="40070" s="12" customFormat="1" x14ac:dyDescent="0.25"/>
    <row r="40071" s="12" customFormat="1" x14ac:dyDescent="0.25"/>
    <row r="40072" s="12" customFormat="1" x14ac:dyDescent="0.25"/>
    <row r="40073" s="12" customFormat="1" x14ac:dyDescent="0.25"/>
    <row r="40074" s="12" customFormat="1" x14ac:dyDescent="0.25"/>
    <row r="40075" s="12" customFormat="1" x14ac:dyDescent="0.25"/>
    <row r="40076" s="12" customFormat="1" x14ac:dyDescent="0.25"/>
    <row r="40077" s="12" customFormat="1" x14ac:dyDescent="0.25"/>
    <row r="40078" s="12" customFormat="1" x14ac:dyDescent="0.25"/>
    <row r="40079" s="12" customFormat="1" x14ac:dyDescent="0.25"/>
    <row r="40080" s="12" customFormat="1" x14ac:dyDescent="0.25"/>
    <row r="40081" s="12" customFormat="1" x14ac:dyDescent="0.25"/>
    <row r="40082" s="12" customFormat="1" x14ac:dyDescent="0.25"/>
    <row r="40083" s="12" customFormat="1" x14ac:dyDescent="0.25"/>
    <row r="40084" s="12" customFormat="1" x14ac:dyDescent="0.25"/>
    <row r="40085" s="12" customFormat="1" x14ac:dyDescent="0.25"/>
    <row r="40086" s="12" customFormat="1" x14ac:dyDescent="0.25"/>
    <row r="40087" s="12" customFormat="1" x14ac:dyDescent="0.25"/>
    <row r="40088" s="12" customFormat="1" x14ac:dyDescent="0.25"/>
    <row r="40089" s="12" customFormat="1" x14ac:dyDescent="0.25"/>
    <row r="40090" s="12" customFormat="1" x14ac:dyDescent="0.25"/>
    <row r="40091" s="12" customFormat="1" x14ac:dyDescent="0.25"/>
    <row r="40092" s="12" customFormat="1" x14ac:dyDescent="0.25"/>
    <row r="40093" s="12" customFormat="1" x14ac:dyDescent="0.25"/>
    <row r="40094" s="12" customFormat="1" x14ac:dyDescent="0.25"/>
    <row r="40095" s="12" customFormat="1" x14ac:dyDescent="0.25"/>
    <row r="40096" s="12" customFormat="1" x14ac:dyDescent="0.25"/>
    <row r="40097" s="12" customFormat="1" x14ac:dyDescent="0.25"/>
    <row r="40098" s="12" customFormat="1" x14ac:dyDescent="0.25"/>
    <row r="40099" s="12" customFormat="1" x14ac:dyDescent="0.25"/>
    <row r="40100" s="12" customFormat="1" x14ac:dyDescent="0.25"/>
    <row r="40101" s="12" customFormat="1" x14ac:dyDescent="0.25"/>
    <row r="40102" s="12" customFormat="1" x14ac:dyDescent="0.25"/>
    <row r="40103" s="12" customFormat="1" x14ac:dyDescent="0.25"/>
    <row r="40104" s="12" customFormat="1" x14ac:dyDescent="0.25"/>
    <row r="40105" s="12" customFormat="1" x14ac:dyDescent="0.25"/>
    <row r="40106" s="12" customFormat="1" x14ac:dyDescent="0.25"/>
    <row r="40107" s="12" customFormat="1" x14ac:dyDescent="0.25"/>
    <row r="40108" s="12" customFormat="1" x14ac:dyDescent="0.25"/>
    <row r="40109" s="12" customFormat="1" x14ac:dyDescent="0.25"/>
    <row r="40110" s="12" customFormat="1" x14ac:dyDescent="0.25"/>
    <row r="40111" s="12" customFormat="1" x14ac:dyDescent="0.25"/>
    <row r="40112" s="12" customFormat="1" x14ac:dyDescent="0.25"/>
    <row r="40113" s="12" customFormat="1" x14ac:dyDescent="0.25"/>
    <row r="40114" s="12" customFormat="1" x14ac:dyDescent="0.25"/>
    <row r="40115" s="12" customFormat="1" x14ac:dyDescent="0.25"/>
    <row r="40116" s="12" customFormat="1" x14ac:dyDescent="0.25"/>
    <row r="40117" s="12" customFormat="1" x14ac:dyDescent="0.25"/>
    <row r="40118" s="12" customFormat="1" x14ac:dyDescent="0.25"/>
    <row r="40119" s="12" customFormat="1" x14ac:dyDescent="0.25"/>
    <row r="40120" s="12" customFormat="1" x14ac:dyDescent="0.25"/>
    <row r="40121" s="12" customFormat="1" x14ac:dyDescent="0.25"/>
    <row r="40122" s="12" customFormat="1" x14ac:dyDescent="0.25"/>
    <row r="40123" s="12" customFormat="1" x14ac:dyDescent="0.25"/>
    <row r="40124" s="12" customFormat="1" x14ac:dyDescent="0.25"/>
    <row r="40125" s="12" customFormat="1" x14ac:dyDescent="0.25"/>
    <row r="40126" s="12" customFormat="1" x14ac:dyDescent="0.25"/>
    <row r="40127" s="12" customFormat="1" x14ac:dyDescent="0.25"/>
    <row r="40128" s="12" customFormat="1" x14ac:dyDescent="0.25"/>
    <row r="40129" s="12" customFormat="1" x14ac:dyDescent="0.25"/>
    <row r="40130" s="12" customFormat="1" x14ac:dyDescent="0.25"/>
    <row r="40131" s="12" customFormat="1" x14ac:dyDescent="0.25"/>
    <row r="40132" s="12" customFormat="1" x14ac:dyDescent="0.25"/>
    <row r="40133" s="12" customFormat="1" x14ac:dyDescent="0.25"/>
    <row r="40134" s="12" customFormat="1" x14ac:dyDescent="0.25"/>
    <row r="40135" s="12" customFormat="1" x14ac:dyDescent="0.25"/>
    <row r="40136" s="12" customFormat="1" x14ac:dyDescent="0.25"/>
    <row r="40137" s="12" customFormat="1" x14ac:dyDescent="0.25"/>
    <row r="40138" s="12" customFormat="1" x14ac:dyDescent="0.25"/>
    <row r="40139" s="12" customFormat="1" x14ac:dyDescent="0.25"/>
    <row r="40140" s="12" customFormat="1" x14ac:dyDescent="0.25"/>
    <row r="40141" s="12" customFormat="1" x14ac:dyDescent="0.25"/>
    <row r="40142" s="12" customFormat="1" x14ac:dyDescent="0.25"/>
    <row r="40143" s="12" customFormat="1" x14ac:dyDescent="0.25"/>
    <row r="40144" s="12" customFormat="1" x14ac:dyDescent="0.25"/>
    <row r="40145" s="12" customFormat="1" x14ac:dyDescent="0.25"/>
    <row r="40146" s="12" customFormat="1" x14ac:dyDescent="0.25"/>
    <row r="40147" s="12" customFormat="1" x14ac:dyDescent="0.25"/>
    <row r="40148" s="12" customFormat="1" x14ac:dyDescent="0.25"/>
    <row r="40149" s="12" customFormat="1" x14ac:dyDescent="0.25"/>
    <row r="40150" s="12" customFormat="1" x14ac:dyDescent="0.25"/>
    <row r="40151" s="12" customFormat="1" x14ac:dyDescent="0.25"/>
    <row r="40152" s="12" customFormat="1" x14ac:dyDescent="0.25"/>
    <row r="40153" s="12" customFormat="1" x14ac:dyDescent="0.25"/>
    <row r="40154" s="12" customFormat="1" x14ac:dyDescent="0.25"/>
    <row r="40155" s="12" customFormat="1" x14ac:dyDescent="0.25"/>
    <row r="40156" s="12" customFormat="1" x14ac:dyDescent="0.25"/>
    <row r="40157" s="12" customFormat="1" x14ac:dyDescent="0.25"/>
    <row r="40158" s="12" customFormat="1" x14ac:dyDescent="0.25"/>
    <row r="40159" s="12" customFormat="1" x14ac:dyDescent="0.25"/>
    <row r="40160" s="12" customFormat="1" x14ac:dyDescent="0.25"/>
    <row r="40161" s="12" customFormat="1" x14ac:dyDescent="0.25"/>
    <row r="40162" s="12" customFormat="1" x14ac:dyDescent="0.25"/>
    <row r="40163" s="12" customFormat="1" x14ac:dyDescent="0.25"/>
    <row r="40164" s="12" customFormat="1" x14ac:dyDescent="0.25"/>
    <row r="40165" s="12" customFormat="1" x14ac:dyDescent="0.25"/>
    <row r="40166" s="12" customFormat="1" x14ac:dyDescent="0.25"/>
    <row r="40167" s="12" customFormat="1" x14ac:dyDescent="0.25"/>
    <row r="40168" s="12" customFormat="1" x14ac:dyDescent="0.25"/>
    <row r="40169" s="12" customFormat="1" x14ac:dyDescent="0.25"/>
    <row r="40170" s="12" customFormat="1" x14ac:dyDescent="0.25"/>
    <row r="40171" s="12" customFormat="1" x14ac:dyDescent="0.25"/>
    <row r="40172" s="12" customFormat="1" x14ac:dyDescent="0.25"/>
    <row r="40173" s="12" customFormat="1" x14ac:dyDescent="0.25"/>
    <row r="40174" s="12" customFormat="1" x14ac:dyDescent="0.25"/>
    <row r="40175" s="12" customFormat="1" x14ac:dyDescent="0.25"/>
    <row r="40176" s="12" customFormat="1" x14ac:dyDescent="0.25"/>
    <row r="40177" s="12" customFormat="1" x14ac:dyDescent="0.25"/>
    <row r="40178" s="12" customFormat="1" x14ac:dyDescent="0.25"/>
    <row r="40179" s="12" customFormat="1" x14ac:dyDescent="0.25"/>
    <row r="40180" s="12" customFormat="1" x14ac:dyDescent="0.25"/>
    <row r="40181" s="12" customFormat="1" x14ac:dyDescent="0.25"/>
    <row r="40182" s="12" customFormat="1" x14ac:dyDescent="0.25"/>
    <row r="40183" s="12" customFormat="1" x14ac:dyDescent="0.25"/>
    <row r="40184" s="12" customFormat="1" x14ac:dyDescent="0.25"/>
    <row r="40185" s="12" customFormat="1" x14ac:dyDescent="0.25"/>
    <row r="40186" s="12" customFormat="1" x14ac:dyDescent="0.25"/>
    <row r="40187" s="12" customFormat="1" x14ac:dyDescent="0.25"/>
    <row r="40188" s="12" customFormat="1" x14ac:dyDescent="0.25"/>
    <row r="40189" s="12" customFormat="1" x14ac:dyDescent="0.25"/>
    <row r="40190" s="12" customFormat="1" x14ac:dyDescent="0.25"/>
    <row r="40191" s="12" customFormat="1" x14ac:dyDescent="0.25"/>
    <row r="40192" s="12" customFormat="1" x14ac:dyDescent="0.25"/>
    <row r="40193" s="12" customFormat="1" x14ac:dyDescent="0.25"/>
    <row r="40194" s="12" customFormat="1" x14ac:dyDescent="0.25"/>
    <row r="40195" s="12" customFormat="1" x14ac:dyDescent="0.25"/>
    <row r="40196" s="12" customFormat="1" x14ac:dyDescent="0.25"/>
    <row r="40197" s="12" customFormat="1" x14ac:dyDescent="0.25"/>
    <row r="40198" s="12" customFormat="1" x14ac:dyDescent="0.25"/>
    <row r="40199" s="12" customFormat="1" x14ac:dyDescent="0.25"/>
    <row r="40200" s="12" customFormat="1" x14ac:dyDescent="0.25"/>
    <row r="40201" s="12" customFormat="1" x14ac:dyDescent="0.25"/>
    <row r="40202" s="12" customFormat="1" x14ac:dyDescent="0.25"/>
    <row r="40203" s="12" customFormat="1" x14ac:dyDescent="0.25"/>
    <row r="40204" s="12" customFormat="1" x14ac:dyDescent="0.25"/>
    <row r="40205" s="12" customFormat="1" x14ac:dyDescent="0.25"/>
    <row r="40206" s="12" customFormat="1" x14ac:dyDescent="0.25"/>
    <row r="40207" s="12" customFormat="1" x14ac:dyDescent="0.25"/>
    <row r="40208" s="12" customFormat="1" x14ac:dyDescent="0.25"/>
    <row r="40209" s="12" customFormat="1" x14ac:dyDescent="0.25"/>
    <row r="40210" s="12" customFormat="1" x14ac:dyDescent="0.25"/>
    <row r="40211" s="12" customFormat="1" x14ac:dyDescent="0.25"/>
    <row r="40212" s="12" customFormat="1" x14ac:dyDescent="0.25"/>
    <row r="40213" s="12" customFormat="1" x14ac:dyDescent="0.25"/>
    <row r="40214" s="12" customFormat="1" x14ac:dyDescent="0.25"/>
    <row r="40215" s="12" customFormat="1" x14ac:dyDescent="0.25"/>
    <row r="40216" s="12" customFormat="1" x14ac:dyDescent="0.25"/>
    <row r="40217" s="12" customFormat="1" x14ac:dyDescent="0.25"/>
    <row r="40218" s="12" customFormat="1" x14ac:dyDescent="0.25"/>
    <row r="40219" s="12" customFormat="1" x14ac:dyDescent="0.25"/>
    <row r="40220" s="12" customFormat="1" x14ac:dyDescent="0.25"/>
    <row r="40221" s="12" customFormat="1" x14ac:dyDescent="0.25"/>
    <row r="40222" s="12" customFormat="1" x14ac:dyDescent="0.25"/>
    <row r="40223" s="12" customFormat="1" x14ac:dyDescent="0.25"/>
    <row r="40224" s="12" customFormat="1" x14ac:dyDescent="0.25"/>
    <row r="40225" s="12" customFormat="1" x14ac:dyDescent="0.25"/>
    <row r="40226" s="12" customFormat="1" x14ac:dyDescent="0.25"/>
    <row r="40227" s="12" customFormat="1" x14ac:dyDescent="0.25"/>
    <row r="40228" s="12" customFormat="1" x14ac:dyDescent="0.25"/>
    <row r="40229" s="12" customFormat="1" x14ac:dyDescent="0.25"/>
    <row r="40230" s="12" customFormat="1" x14ac:dyDescent="0.25"/>
    <row r="40231" s="12" customFormat="1" x14ac:dyDescent="0.25"/>
    <row r="40232" s="12" customFormat="1" x14ac:dyDescent="0.25"/>
    <row r="40233" s="12" customFormat="1" x14ac:dyDescent="0.25"/>
    <row r="40234" s="12" customFormat="1" x14ac:dyDescent="0.25"/>
    <row r="40235" s="12" customFormat="1" x14ac:dyDescent="0.25"/>
    <row r="40236" s="12" customFormat="1" x14ac:dyDescent="0.25"/>
    <row r="40237" s="12" customFormat="1" x14ac:dyDescent="0.25"/>
    <row r="40238" s="12" customFormat="1" x14ac:dyDescent="0.25"/>
    <row r="40239" s="12" customFormat="1" x14ac:dyDescent="0.25"/>
    <row r="40240" s="12" customFormat="1" x14ac:dyDescent="0.25"/>
    <row r="40241" s="12" customFormat="1" x14ac:dyDescent="0.25"/>
    <row r="40242" s="12" customFormat="1" x14ac:dyDescent="0.25"/>
    <row r="40243" s="12" customFormat="1" x14ac:dyDescent="0.25"/>
    <row r="40244" s="12" customFormat="1" x14ac:dyDescent="0.25"/>
    <row r="40245" s="12" customFormat="1" x14ac:dyDescent="0.25"/>
    <row r="40246" s="12" customFormat="1" x14ac:dyDescent="0.25"/>
    <row r="40247" s="12" customFormat="1" x14ac:dyDescent="0.25"/>
    <row r="40248" s="12" customFormat="1" x14ac:dyDescent="0.25"/>
    <row r="40249" s="12" customFormat="1" x14ac:dyDescent="0.25"/>
    <row r="40250" s="12" customFormat="1" x14ac:dyDescent="0.25"/>
    <row r="40251" s="12" customFormat="1" x14ac:dyDescent="0.25"/>
    <row r="40252" s="12" customFormat="1" x14ac:dyDescent="0.25"/>
    <row r="40253" s="12" customFormat="1" x14ac:dyDescent="0.25"/>
    <row r="40254" s="12" customFormat="1" x14ac:dyDescent="0.25"/>
    <row r="40255" s="12" customFormat="1" x14ac:dyDescent="0.25"/>
    <row r="40256" s="12" customFormat="1" x14ac:dyDescent="0.25"/>
    <row r="40257" s="12" customFormat="1" x14ac:dyDescent="0.25"/>
    <row r="40258" s="12" customFormat="1" x14ac:dyDescent="0.25"/>
    <row r="40259" s="12" customFormat="1" x14ac:dyDescent="0.25"/>
    <row r="40260" s="12" customFormat="1" x14ac:dyDescent="0.25"/>
    <row r="40261" s="12" customFormat="1" x14ac:dyDescent="0.25"/>
    <row r="40262" s="12" customFormat="1" x14ac:dyDescent="0.25"/>
    <row r="40263" s="12" customFormat="1" x14ac:dyDescent="0.25"/>
    <row r="40264" s="12" customFormat="1" x14ac:dyDescent="0.25"/>
    <row r="40265" s="12" customFormat="1" x14ac:dyDescent="0.25"/>
    <row r="40266" s="12" customFormat="1" x14ac:dyDescent="0.25"/>
    <row r="40267" s="12" customFormat="1" x14ac:dyDescent="0.25"/>
    <row r="40268" s="12" customFormat="1" x14ac:dyDescent="0.25"/>
    <row r="40269" s="12" customFormat="1" x14ac:dyDescent="0.25"/>
    <row r="40270" s="12" customFormat="1" x14ac:dyDescent="0.25"/>
    <row r="40271" s="12" customFormat="1" x14ac:dyDescent="0.25"/>
    <row r="40272" s="12" customFormat="1" x14ac:dyDescent="0.25"/>
    <row r="40273" s="12" customFormat="1" x14ac:dyDescent="0.25"/>
    <row r="40274" s="12" customFormat="1" x14ac:dyDescent="0.25"/>
    <row r="40275" s="12" customFormat="1" x14ac:dyDescent="0.25"/>
    <row r="40276" s="12" customFormat="1" x14ac:dyDescent="0.25"/>
    <row r="40277" s="12" customFormat="1" x14ac:dyDescent="0.25"/>
    <row r="40278" s="12" customFormat="1" x14ac:dyDescent="0.25"/>
    <row r="40279" s="12" customFormat="1" x14ac:dyDescent="0.25"/>
    <row r="40280" s="12" customFormat="1" x14ac:dyDescent="0.25"/>
    <row r="40281" s="12" customFormat="1" x14ac:dyDescent="0.25"/>
    <row r="40282" s="12" customFormat="1" x14ac:dyDescent="0.25"/>
    <row r="40283" s="12" customFormat="1" x14ac:dyDescent="0.25"/>
    <row r="40284" s="12" customFormat="1" x14ac:dyDescent="0.25"/>
    <row r="40285" s="12" customFormat="1" x14ac:dyDescent="0.25"/>
    <row r="40286" s="12" customFormat="1" x14ac:dyDescent="0.25"/>
    <row r="40287" s="12" customFormat="1" x14ac:dyDescent="0.25"/>
    <row r="40288" s="12" customFormat="1" x14ac:dyDescent="0.25"/>
    <row r="40289" s="12" customFormat="1" x14ac:dyDescent="0.25"/>
    <row r="40290" s="12" customFormat="1" x14ac:dyDescent="0.25"/>
    <row r="40291" s="12" customFormat="1" x14ac:dyDescent="0.25"/>
    <row r="40292" s="12" customFormat="1" x14ac:dyDescent="0.25"/>
    <row r="40293" s="12" customFormat="1" x14ac:dyDescent="0.25"/>
    <row r="40294" s="12" customFormat="1" x14ac:dyDescent="0.25"/>
    <row r="40295" s="12" customFormat="1" x14ac:dyDescent="0.25"/>
    <row r="40296" s="12" customFormat="1" x14ac:dyDescent="0.25"/>
    <row r="40297" s="12" customFormat="1" x14ac:dyDescent="0.25"/>
    <row r="40298" s="12" customFormat="1" x14ac:dyDescent="0.25"/>
    <row r="40299" s="12" customFormat="1" x14ac:dyDescent="0.25"/>
    <row r="40300" s="12" customFormat="1" x14ac:dyDescent="0.25"/>
    <row r="40301" s="12" customFormat="1" x14ac:dyDescent="0.25"/>
    <row r="40302" s="12" customFormat="1" x14ac:dyDescent="0.25"/>
    <row r="40303" s="12" customFormat="1" x14ac:dyDescent="0.25"/>
    <row r="40304" s="12" customFormat="1" x14ac:dyDescent="0.25"/>
    <row r="40305" s="12" customFormat="1" x14ac:dyDescent="0.25"/>
    <row r="40306" s="12" customFormat="1" x14ac:dyDescent="0.25"/>
    <row r="40307" s="12" customFormat="1" x14ac:dyDescent="0.25"/>
    <row r="40308" s="12" customFormat="1" x14ac:dyDescent="0.25"/>
    <row r="40309" s="12" customFormat="1" x14ac:dyDescent="0.25"/>
    <row r="40310" s="12" customFormat="1" x14ac:dyDescent="0.25"/>
    <row r="40311" s="12" customFormat="1" x14ac:dyDescent="0.25"/>
    <row r="40312" s="12" customFormat="1" x14ac:dyDescent="0.25"/>
    <row r="40313" s="12" customFormat="1" x14ac:dyDescent="0.25"/>
    <row r="40314" s="12" customFormat="1" x14ac:dyDescent="0.25"/>
    <row r="40315" s="12" customFormat="1" x14ac:dyDescent="0.25"/>
    <row r="40316" s="12" customFormat="1" x14ac:dyDescent="0.25"/>
    <row r="40317" s="12" customFormat="1" x14ac:dyDescent="0.25"/>
    <row r="40318" s="12" customFormat="1" x14ac:dyDescent="0.25"/>
    <row r="40319" s="12" customFormat="1" x14ac:dyDescent="0.25"/>
    <row r="40320" s="12" customFormat="1" x14ac:dyDescent="0.25"/>
    <row r="40321" s="12" customFormat="1" x14ac:dyDescent="0.25"/>
    <row r="40322" s="12" customFormat="1" x14ac:dyDescent="0.25"/>
    <row r="40323" s="12" customFormat="1" x14ac:dyDescent="0.25"/>
    <row r="40324" s="12" customFormat="1" x14ac:dyDescent="0.25"/>
    <row r="40325" s="12" customFormat="1" x14ac:dyDescent="0.25"/>
    <row r="40326" s="12" customFormat="1" x14ac:dyDescent="0.25"/>
    <row r="40327" s="12" customFormat="1" x14ac:dyDescent="0.25"/>
    <row r="40328" s="12" customFormat="1" x14ac:dyDescent="0.25"/>
    <row r="40329" s="12" customFormat="1" x14ac:dyDescent="0.25"/>
    <row r="40330" s="12" customFormat="1" x14ac:dyDescent="0.25"/>
    <row r="40331" s="12" customFormat="1" x14ac:dyDescent="0.25"/>
    <row r="40332" s="12" customFormat="1" x14ac:dyDescent="0.25"/>
    <row r="40333" s="12" customFormat="1" x14ac:dyDescent="0.25"/>
    <row r="40334" s="12" customFormat="1" x14ac:dyDescent="0.25"/>
    <row r="40335" s="12" customFormat="1" x14ac:dyDescent="0.25"/>
    <row r="40336" s="12" customFormat="1" x14ac:dyDescent="0.25"/>
    <row r="40337" s="12" customFormat="1" x14ac:dyDescent="0.25"/>
    <row r="40338" s="12" customFormat="1" x14ac:dyDescent="0.25"/>
    <row r="40339" s="12" customFormat="1" x14ac:dyDescent="0.25"/>
    <row r="40340" s="12" customFormat="1" x14ac:dyDescent="0.25"/>
    <row r="40341" s="12" customFormat="1" x14ac:dyDescent="0.25"/>
    <row r="40342" s="12" customFormat="1" x14ac:dyDescent="0.25"/>
    <row r="40343" s="12" customFormat="1" x14ac:dyDescent="0.25"/>
    <row r="40344" s="12" customFormat="1" x14ac:dyDescent="0.25"/>
    <row r="40345" s="12" customFormat="1" x14ac:dyDescent="0.25"/>
    <row r="40346" s="12" customFormat="1" x14ac:dyDescent="0.25"/>
    <row r="40347" s="12" customFormat="1" x14ac:dyDescent="0.25"/>
    <row r="40348" s="12" customFormat="1" x14ac:dyDescent="0.25"/>
    <row r="40349" s="12" customFormat="1" x14ac:dyDescent="0.25"/>
    <row r="40350" s="12" customFormat="1" x14ac:dyDescent="0.25"/>
    <row r="40351" s="12" customFormat="1" x14ac:dyDescent="0.25"/>
    <row r="40352" s="12" customFormat="1" x14ac:dyDescent="0.25"/>
    <row r="40353" s="12" customFormat="1" x14ac:dyDescent="0.25"/>
    <row r="40354" s="12" customFormat="1" x14ac:dyDescent="0.25"/>
    <row r="40355" s="12" customFormat="1" x14ac:dyDescent="0.25"/>
    <row r="40356" s="12" customFormat="1" x14ac:dyDescent="0.25"/>
    <row r="40357" s="12" customFormat="1" x14ac:dyDescent="0.25"/>
    <row r="40358" s="12" customFormat="1" x14ac:dyDescent="0.25"/>
    <row r="40359" s="12" customFormat="1" x14ac:dyDescent="0.25"/>
    <row r="40360" s="12" customFormat="1" x14ac:dyDescent="0.25"/>
    <row r="40361" s="12" customFormat="1" x14ac:dyDescent="0.25"/>
    <row r="40362" s="12" customFormat="1" x14ac:dyDescent="0.25"/>
    <row r="40363" s="12" customFormat="1" x14ac:dyDescent="0.25"/>
    <row r="40364" s="12" customFormat="1" x14ac:dyDescent="0.25"/>
    <row r="40365" s="12" customFormat="1" x14ac:dyDescent="0.25"/>
    <row r="40366" s="12" customFormat="1" x14ac:dyDescent="0.25"/>
    <row r="40367" s="12" customFormat="1" x14ac:dyDescent="0.25"/>
    <row r="40368" s="12" customFormat="1" x14ac:dyDescent="0.25"/>
    <row r="40369" s="12" customFormat="1" x14ac:dyDescent="0.25"/>
    <row r="40370" s="12" customFormat="1" x14ac:dyDescent="0.25"/>
    <row r="40371" s="12" customFormat="1" x14ac:dyDescent="0.25"/>
    <row r="40372" s="12" customFormat="1" x14ac:dyDescent="0.25"/>
    <row r="40373" s="12" customFormat="1" x14ac:dyDescent="0.25"/>
    <row r="40374" s="12" customFormat="1" x14ac:dyDescent="0.25"/>
    <row r="40375" s="12" customFormat="1" x14ac:dyDescent="0.25"/>
    <row r="40376" s="12" customFormat="1" x14ac:dyDescent="0.25"/>
    <row r="40377" s="12" customFormat="1" x14ac:dyDescent="0.25"/>
    <row r="40378" s="12" customFormat="1" x14ac:dyDescent="0.25"/>
    <row r="40379" s="12" customFormat="1" x14ac:dyDescent="0.25"/>
    <row r="40380" s="12" customFormat="1" x14ac:dyDescent="0.25"/>
    <row r="40381" s="12" customFormat="1" x14ac:dyDescent="0.25"/>
    <row r="40382" s="12" customFormat="1" x14ac:dyDescent="0.25"/>
    <row r="40383" s="12" customFormat="1" x14ac:dyDescent="0.25"/>
    <row r="40384" s="12" customFormat="1" x14ac:dyDescent="0.25"/>
    <row r="40385" s="12" customFormat="1" x14ac:dyDescent="0.25"/>
    <row r="40386" s="12" customFormat="1" x14ac:dyDescent="0.25"/>
    <row r="40387" s="12" customFormat="1" x14ac:dyDescent="0.25"/>
    <row r="40388" s="12" customFormat="1" x14ac:dyDescent="0.25"/>
    <row r="40389" s="12" customFormat="1" x14ac:dyDescent="0.25"/>
    <row r="40390" s="12" customFormat="1" x14ac:dyDescent="0.25"/>
    <row r="40391" s="12" customFormat="1" x14ac:dyDescent="0.25"/>
    <row r="40392" s="12" customFormat="1" x14ac:dyDescent="0.25"/>
    <row r="40393" s="12" customFormat="1" x14ac:dyDescent="0.25"/>
    <row r="40394" s="12" customFormat="1" x14ac:dyDescent="0.25"/>
    <row r="40395" s="12" customFormat="1" x14ac:dyDescent="0.25"/>
    <row r="40396" s="12" customFormat="1" x14ac:dyDescent="0.25"/>
    <row r="40397" s="12" customFormat="1" x14ac:dyDescent="0.25"/>
    <row r="40398" s="12" customFormat="1" x14ac:dyDescent="0.25"/>
    <row r="40399" s="12" customFormat="1" x14ac:dyDescent="0.25"/>
    <row r="40400" s="12" customFormat="1" x14ac:dyDescent="0.25"/>
    <row r="40401" s="12" customFormat="1" x14ac:dyDescent="0.25"/>
    <row r="40402" s="12" customFormat="1" x14ac:dyDescent="0.25"/>
    <row r="40403" s="12" customFormat="1" x14ac:dyDescent="0.25"/>
    <row r="40404" s="12" customFormat="1" x14ac:dyDescent="0.25"/>
    <row r="40405" s="12" customFormat="1" x14ac:dyDescent="0.25"/>
    <row r="40406" s="12" customFormat="1" x14ac:dyDescent="0.25"/>
    <row r="40407" s="12" customFormat="1" x14ac:dyDescent="0.25"/>
    <row r="40408" s="12" customFormat="1" x14ac:dyDescent="0.25"/>
    <row r="40409" s="12" customFormat="1" x14ac:dyDescent="0.25"/>
    <row r="40410" s="12" customFormat="1" x14ac:dyDescent="0.25"/>
    <row r="40411" s="12" customFormat="1" x14ac:dyDescent="0.25"/>
    <row r="40412" s="12" customFormat="1" x14ac:dyDescent="0.25"/>
    <row r="40413" s="12" customFormat="1" x14ac:dyDescent="0.25"/>
    <row r="40414" s="12" customFormat="1" x14ac:dyDescent="0.25"/>
    <row r="40415" s="12" customFormat="1" x14ac:dyDescent="0.25"/>
    <row r="40416" s="12" customFormat="1" x14ac:dyDescent="0.25"/>
    <row r="40417" s="12" customFormat="1" x14ac:dyDescent="0.25"/>
    <row r="40418" s="12" customFormat="1" x14ac:dyDescent="0.25"/>
    <row r="40419" s="12" customFormat="1" x14ac:dyDescent="0.25"/>
    <row r="40420" s="12" customFormat="1" x14ac:dyDescent="0.25"/>
    <row r="40421" s="12" customFormat="1" x14ac:dyDescent="0.25"/>
    <row r="40422" s="12" customFormat="1" x14ac:dyDescent="0.25"/>
    <row r="40423" s="12" customFormat="1" x14ac:dyDescent="0.25"/>
    <row r="40424" s="12" customFormat="1" x14ac:dyDescent="0.25"/>
    <row r="40425" s="12" customFormat="1" x14ac:dyDescent="0.25"/>
    <row r="40426" s="12" customFormat="1" x14ac:dyDescent="0.25"/>
    <row r="40427" s="12" customFormat="1" x14ac:dyDescent="0.25"/>
    <row r="40428" s="12" customFormat="1" x14ac:dyDescent="0.25"/>
    <row r="40429" s="12" customFormat="1" x14ac:dyDescent="0.25"/>
    <row r="40430" s="12" customFormat="1" x14ac:dyDescent="0.25"/>
    <row r="40431" s="12" customFormat="1" x14ac:dyDescent="0.25"/>
    <row r="40432" s="12" customFormat="1" x14ac:dyDescent="0.25"/>
    <row r="40433" s="12" customFormat="1" x14ac:dyDescent="0.25"/>
    <row r="40434" s="12" customFormat="1" x14ac:dyDescent="0.25"/>
    <row r="40435" s="12" customFormat="1" x14ac:dyDescent="0.25"/>
    <row r="40436" s="12" customFormat="1" x14ac:dyDescent="0.25"/>
    <row r="40437" s="12" customFormat="1" x14ac:dyDescent="0.25"/>
    <row r="40438" s="12" customFormat="1" x14ac:dyDescent="0.25"/>
    <row r="40439" s="12" customFormat="1" x14ac:dyDescent="0.25"/>
    <row r="40440" s="12" customFormat="1" x14ac:dyDescent="0.25"/>
    <row r="40441" s="12" customFormat="1" x14ac:dyDescent="0.25"/>
    <row r="40442" s="12" customFormat="1" x14ac:dyDescent="0.25"/>
    <row r="40443" s="12" customFormat="1" x14ac:dyDescent="0.25"/>
    <row r="40444" s="12" customFormat="1" x14ac:dyDescent="0.25"/>
    <row r="40445" s="12" customFormat="1" x14ac:dyDescent="0.25"/>
    <row r="40446" s="12" customFormat="1" x14ac:dyDescent="0.25"/>
    <row r="40447" s="12" customFormat="1" x14ac:dyDescent="0.25"/>
    <row r="40448" s="12" customFormat="1" x14ac:dyDescent="0.25"/>
    <row r="40449" s="12" customFormat="1" x14ac:dyDescent="0.25"/>
    <row r="40450" s="12" customFormat="1" x14ac:dyDescent="0.25"/>
    <row r="40451" s="12" customFormat="1" x14ac:dyDescent="0.25"/>
    <row r="40452" s="12" customFormat="1" x14ac:dyDescent="0.25"/>
    <row r="40453" s="12" customFormat="1" x14ac:dyDescent="0.25"/>
    <row r="40454" s="12" customFormat="1" x14ac:dyDescent="0.25"/>
    <row r="40455" s="12" customFormat="1" x14ac:dyDescent="0.25"/>
    <row r="40456" s="12" customFormat="1" x14ac:dyDescent="0.25"/>
    <row r="40457" s="12" customFormat="1" x14ac:dyDescent="0.25"/>
    <row r="40458" s="12" customFormat="1" x14ac:dyDescent="0.25"/>
    <row r="40459" s="12" customFormat="1" x14ac:dyDescent="0.25"/>
    <row r="40460" s="12" customFormat="1" x14ac:dyDescent="0.25"/>
    <row r="40461" s="12" customFormat="1" x14ac:dyDescent="0.25"/>
    <row r="40462" s="12" customFormat="1" x14ac:dyDescent="0.25"/>
    <row r="40463" s="12" customFormat="1" x14ac:dyDescent="0.25"/>
    <row r="40464" s="12" customFormat="1" x14ac:dyDescent="0.25"/>
    <row r="40465" s="12" customFormat="1" x14ac:dyDescent="0.25"/>
    <row r="40466" s="12" customFormat="1" x14ac:dyDescent="0.25"/>
    <row r="40467" s="12" customFormat="1" x14ac:dyDescent="0.25"/>
    <row r="40468" s="12" customFormat="1" x14ac:dyDescent="0.25"/>
    <row r="40469" s="12" customFormat="1" x14ac:dyDescent="0.25"/>
    <row r="40470" s="12" customFormat="1" x14ac:dyDescent="0.25"/>
    <row r="40471" s="12" customFormat="1" x14ac:dyDescent="0.25"/>
    <row r="40472" s="12" customFormat="1" x14ac:dyDescent="0.25"/>
    <row r="40473" s="12" customFormat="1" x14ac:dyDescent="0.25"/>
    <row r="40474" s="12" customFormat="1" x14ac:dyDescent="0.25"/>
    <row r="40475" s="12" customFormat="1" x14ac:dyDescent="0.25"/>
    <row r="40476" s="12" customFormat="1" x14ac:dyDescent="0.25"/>
    <row r="40477" s="12" customFormat="1" x14ac:dyDescent="0.25"/>
    <row r="40478" s="12" customFormat="1" x14ac:dyDescent="0.25"/>
    <row r="40479" s="12" customFormat="1" x14ac:dyDescent="0.25"/>
    <row r="40480" s="12" customFormat="1" x14ac:dyDescent="0.25"/>
    <row r="40481" s="12" customFormat="1" x14ac:dyDescent="0.25"/>
    <row r="40482" s="12" customFormat="1" x14ac:dyDescent="0.25"/>
    <row r="40483" s="12" customFormat="1" x14ac:dyDescent="0.25"/>
    <row r="40484" s="12" customFormat="1" x14ac:dyDescent="0.25"/>
    <row r="40485" s="12" customFormat="1" x14ac:dyDescent="0.25"/>
    <row r="40486" s="12" customFormat="1" x14ac:dyDescent="0.25"/>
    <row r="40487" s="12" customFormat="1" x14ac:dyDescent="0.25"/>
    <row r="40488" s="12" customFormat="1" x14ac:dyDescent="0.25"/>
    <row r="40489" s="12" customFormat="1" x14ac:dyDescent="0.25"/>
    <row r="40490" s="12" customFormat="1" x14ac:dyDescent="0.25"/>
    <row r="40491" s="12" customFormat="1" x14ac:dyDescent="0.25"/>
    <row r="40492" s="12" customFormat="1" x14ac:dyDescent="0.25"/>
    <row r="40493" s="12" customFormat="1" x14ac:dyDescent="0.25"/>
    <row r="40494" s="12" customFormat="1" x14ac:dyDescent="0.25"/>
    <row r="40495" s="12" customFormat="1" x14ac:dyDescent="0.25"/>
    <row r="40496" s="12" customFormat="1" x14ac:dyDescent="0.25"/>
    <row r="40497" s="12" customFormat="1" x14ac:dyDescent="0.25"/>
    <row r="40498" s="12" customFormat="1" x14ac:dyDescent="0.25"/>
    <row r="40499" s="12" customFormat="1" x14ac:dyDescent="0.25"/>
    <row r="40500" s="12" customFormat="1" x14ac:dyDescent="0.25"/>
    <row r="40501" s="12" customFormat="1" x14ac:dyDescent="0.25"/>
    <row r="40502" s="12" customFormat="1" x14ac:dyDescent="0.25"/>
    <row r="40503" s="12" customFormat="1" x14ac:dyDescent="0.25"/>
    <row r="40504" s="12" customFormat="1" x14ac:dyDescent="0.25"/>
    <row r="40505" s="12" customFormat="1" x14ac:dyDescent="0.25"/>
    <row r="40506" s="12" customFormat="1" x14ac:dyDescent="0.25"/>
    <row r="40507" s="12" customFormat="1" x14ac:dyDescent="0.25"/>
    <row r="40508" s="12" customFormat="1" x14ac:dyDescent="0.25"/>
    <row r="40509" s="12" customFormat="1" x14ac:dyDescent="0.25"/>
    <row r="40510" s="12" customFormat="1" x14ac:dyDescent="0.25"/>
    <row r="40511" s="12" customFormat="1" x14ac:dyDescent="0.25"/>
    <row r="40512" s="12" customFormat="1" x14ac:dyDescent="0.25"/>
    <row r="40513" s="12" customFormat="1" x14ac:dyDescent="0.25"/>
    <row r="40514" s="12" customFormat="1" x14ac:dyDescent="0.25"/>
    <row r="40515" s="12" customFormat="1" x14ac:dyDescent="0.25"/>
    <row r="40516" s="12" customFormat="1" x14ac:dyDescent="0.25"/>
    <row r="40517" s="12" customFormat="1" x14ac:dyDescent="0.25"/>
    <row r="40518" s="12" customFormat="1" x14ac:dyDescent="0.25"/>
    <row r="40519" s="12" customFormat="1" x14ac:dyDescent="0.25"/>
    <row r="40520" s="12" customFormat="1" x14ac:dyDescent="0.25"/>
    <row r="40521" s="12" customFormat="1" x14ac:dyDescent="0.25"/>
    <row r="40522" s="12" customFormat="1" x14ac:dyDescent="0.25"/>
    <row r="40523" s="12" customFormat="1" x14ac:dyDescent="0.25"/>
    <row r="40524" s="12" customFormat="1" x14ac:dyDescent="0.25"/>
    <row r="40525" s="12" customFormat="1" x14ac:dyDescent="0.25"/>
    <row r="40526" s="12" customFormat="1" x14ac:dyDescent="0.25"/>
    <row r="40527" s="12" customFormat="1" x14ac:dyDescent="0.25"/>
    <row r="40528" s="12" customFormat="1" x14ac:dyDescent="0.25"/>
    <row r="40529" s="12" customFormat="1" x14ac:dyDescent="0.25"/>
    <row r="40530" s="12" customFormat="1" x14ac:dyDescent="0.25"/>
    <row r="40531" s="12" customFormat="1" x14ac:dyDescent="0.25"/>
    <row r="40532" s="12" customFormat="1" x14ac:dyDescent="0.25"/>
    <row r="40533" s="12" customFormat="1" x14ac:dyDescent="0.25"/>
    <row r="40534" s="12" customFormat="1" x14ac:dyDescent="0.25"/>
    <row r="40535" s="12" customFormat="1" x14ac:dyDescent="0.25"/>
    <row r="40536" s="12" customFormat="1" x14ac:dyDescent="0.25"/>
    <row r="40537" s="12" customFormat="1" x14ac:dyDescent="0.25"/>
    <row r="40538" s="12" customFormat="1" x14ac:dyDescent="0.25"/>
    <row r="40539" s="12" customFormat="1" x14ac:dyDescent="0.25"/>
    <row r="40540" s="12" customFormat="1" x14ac:dyDescent="0.25"/>
    <row r="40541" s="12" customFormat="1" x14ac:dyDescent="0.25"/>
    <row r="40542" s="12" customFormat="1" x14ac:dyDescent="0.25"/>
    <row r="40543" s="12" customFormat="1" x14ac:dyDescent="0.25"/>
    <row r="40544" s="12" customFormat="1" x14ac:dyDescent="0.25"/>
    <row r="40545" s="12" customFormat="1" x14ac:dyDescent="0.25"/>
    <row r="40546" s="12" customFormat="1" x14ac:dyDescent="0.25"/>
    <row r="40547" s="12" customFormat="1" x14ac:dyDescent="0.25"/>
    <row r="40548" s="12" customFormat="1" x14ac:dyDescent="0.25"/>
    <row r="40549" s="12" customFormat="1" x14ac:dyDescent="0.25"/>
    <row r="40550" s="12" customFormat="1" x14ac:dyDescent="0.25"/>
    <row r="40551" s="12" customFormat="1" x14ac:dyDescent="0.25"/>
    <row r="40552" s="12" customFormat="1" x14ac:dyDescent="0.25"/>
    <row r="40553" s="12" customFormat="1" x14ac:dyDescent="0.25"/>
    <row r="40554" s="12" customFormat="1" x14ac:dyDescent="0.25"/>
    <row r="40555" s="12" customFormat="1" x14ac:dyDescent="0.25"/>
    <row r="40556" s="12" customFormat="1" x14ac:dyDescent="0.25"/>
    <row r="40557" s="12" customFormat="1" x14ac:dyDescent="0.25"/>
    <row r="40558" s="12" customFormat="1" x14ac:dyDescent="0.25"/>
    <row r="40559" s="12" customFormat="1" x14ac:dyDescent="0.25"/>
    <row r="40560" s="12" customFormat="1" x14ac:dyDescent="0.25"/>
    <row r="40561" s="12" customFormat="1" x14ac:dyDescent="0.25"/>
    <row r="40562" s="12" customFormat="1" x14ac:dyDescent="0.25"/>
    <row r="40563" s="12" customFormat="1" x14ac:dyDescent="0.25"/>
    <row r="40564" s="12" customFormat="1" x14ac:dyDescent="0.25"/>
    <row r="40565" s="12" customFormat="1" x14ac:dyDescent="0.25"/>
    <row r="40566" s="12" customFormat="1" x14ac:dyDescent="0.25"/>
    <row r="40567" s="12" customFormat="1" x14ac:dyDescent="0.25"/>
    <row r="40568" s="12" customFormat="1" x14ac:dyDescent="0.25"/>
    <row r="40569" s="12" customFormat="1" x14ac:dyDescent="0.25"/>
    <row r="40570" s="12" customFormat="1" x14ac:dyDescent="0.25"/>
    <row r="40571" s="12" customFormat="1" x14ac:dyDescent="0.25"/>
    <row r="40572" s="12" customFormat="1" x14ac:dyDescent="0.25"/>
    <row r="40573" s="12" customFormat="1" x14ac:dyDescent="0.25"/>
    <row r="40574" s="12" customFormat="1" x14ac:dyDescent="0.25"/>
    <row r="40575" s="12" customFormat="1" x14ac:dyDescent="0.25"/>
    <row r="40576" s="12" customFormat="1" x14ac:dyDescent="0.25"/>
    <row r="40577" s="12" customFormat="1" x14ac:dyDescent="0.25"/>
    <row r="40578" s="12" customFormat="1" x14ac:dyDescent="0.25"/>
    <row r="40579" s="12" customFormat="1" x14ac:dyDescent="0.25"/>
    <row r="40580" s="12" customFormat="1" x14ac:dyDescent="0.25"/>
    <row r="40581" s="12" customFormat="1" x14ac:dyDescent="0.25"/>
    <row r="40582" s="12" customFormat="1" x14ac:dyDescent="0.25"/>
    <row r="40583" s="12" customFormat="1" x14ac:dyDescent="0.25"/>
    <row r="40584" s="12" customFormat="1" x14ac:dyDescent="0.25"/>
    <row r="40585" s="12" customFormat="1" x14ac:dyDescent="0.25"/>
    <row r="40586" s="12" customFormat="1" x14ac:dyDescent="0.25"/>
    <row r="40587" s="12" customFormat="1" x14ac:dyDescent="0.25"/>
    <row r="40588" s="12" customFormat="1" x14ac:dyDescent="0.25"/>
    <row r="40589" s="12" customFormat="1" x14ac:dyDescent="0.25"/>
    <row r="40590" s="12" customFormat="1" x14ac:dyDescent="0.25"/>
    <row r="40591" s="12" customFormat="1" x14ac:dyDescent="0.25"/>
    <row r="40592" s="12" customFormat="1" x14ac:dyDescent="0.25"/>
    <row r="40593" s="12" customFormat="1" x14ac:dyDescent="0.25"/>
    <row r="40594" s="12" customFormat="1" x14ac:dyDescent="0.25"/>
    <row r="40595" s="12" customFormat="1" x14ac:dyDescent="0.25"/>
    <row r="40596" s="12" customFormat="1" x14ac:dyDescent="0.25"/>
    <row r="40597" s="12" customFormat="1" x14ac:dyDescent="0.25"/>
    <row r="40598" s="12" customFormat="1" x14ac:dyDescent="0.25"/>
    <row r="40599" s="12" customFormat="1" x14ac:dyDescent="0.25"/>
    <row r="40600" s="12" customFormat="1" x14ac:dyDescent="0.25"/>
    <row r="40601" s="12" customFormat="1" x14ac:dyDescent="0.25"/>
    <row r="40602" s="12" customFormat="1" x14ac:dyDescent="0.25"/>
    <row r="40603" s="12" customFormat="1" x14ac:dyDescent="0.25"/>
    <row r="40604" s="12" customFormat="1" x14ac:dyDescent="0.25"/>
    <row r="40605" s="12" customFormat="1" x14ac:dyDescent="0.25"/>
    <row r="40606" s="12" customFormat="1" x14ac:dyDescent="0.25"/>
    <row r="40607" s="12" customFormat="1" x14ac:dyDescent="0.25"/>
    <row r="40608" s="12" customFormat="1" x14ac:dyDescent="0.25"/>
    <row r="40609" s="12" customFormat="1" x14ac:dyDescent="0.25"/>
    <row r="40610" s="12" customFormat="1" x14ac:dyDescent="0.25"/>
    <row r="40611" s="12" customFormat="1" x14ac:dyDescent="0.25"/>
    <row r="40612" s="12" customFormat="1" x14ac:dyDescent="0.25"/>
    <row r="40613" s="12" customFormat="1" x14ac:dyDescent="0.25"/>
    <row r="40614" s="12" customFormat="1" x14ac:dyDescent="0.25"/>
    <row r="40615" s="12" customFormat="1" x14ac:dyDescent="0.25"/>
    <row r="40616" s="12" customFormat="1" x14ac:dyDescent="0.25"/>
    <row r="40617" s="12" customFormat="1" x14ac:dyDescent="0.25"/>
    <row r="40618" s="12" customFormat="1" x14ac:dyDescent="0.25"/>
    <row r="40619" s="12" customFormat="1" x14ac:dyDescent="0.25"/>
    <row r="40620" s="12" customFormat="1" x14ac:dyDescent="0.25"/>
    <row r="40621" s="12" customFormat="1" x14ac:dyDescent="0.25"/>
    <row r="40622" s="12" customFormat="1" x14ac:dyDescent="0.25"/>
    <row r="40623" s="12" customFormat="1" x14ac:dyDescent="0.25"/>
    <row r="40624" s="12" customFormat="1" x14ac:dyDescent="0.25"/>
    <row r="40625" s="12" customFormat="1" x14ac:dyDescent="0.25"/>
    <row r="40626" s="12" customFormat="1" x14ac:dyDescent="0.25"/>
    <row r="40627" s="12" customFormat="1" x14ac:dyDescent="0.25"/>
    <row r="40628" s="12" customFormat="1" x14ac:dyDescent="0.25"/>
    <row r="40629" s="12" customFormat="1" x14ac:dyDescent="0.25"/>
    <row r="40630" s="12" customFormat="1" x14ac:dyDescent="0.25"/>
    <row r="40631" s="12" customFormat="1" x14ac:dyDescent="0.25"/>
    <row r="40632" s="12" customFormat="1" x14ac:dyDescent="0.25"/>
    <row r="40633" s="12" customFormat="1" x14ac:dyDescent="0.25"/>
    <row r="40634" s="12" customFormat="1" x14ac:dyDescent="0.25"/>
    <row r="40635" s="12" customFormat="1" x14ac:dyDescent="0.25"/>
    <row r="40636" s="12" customFormat="1" x14ac:dyDescent="0.25"/>
    <row r="40637" s="12" customFormat="1" x14ac:dyDescent="0.25"/>
    <row r="40638" s="12" customFormat="1" x14ac:dyDescent="0.25"/>
    <row r="40639" s="12" customFormat="1" x14ac:dyDescent="0.25"/>
    <row r="40640" s="12" customFormat="1" x14ac:dyDescent="0.25"/>
    <row r="40641" s="12" customFormat="1" x14ac:dyDescent="0.25"/>
    <row r="40642" s="12" customFormat="1" x14ac:dyDescent="0.25"/>
    <row r="40643" s="12" customFormat="1" x14ac:dyDescent="0.25"/>
    <row r="40644" s="12" customFormat="1" x14ac:dyDescent="0.25"/>
    <row r="40645" s="12" customFormat="1" x14ac:dyDescent="0.25"/>
    <row r="40646" s="12" customFormat="1" x14ac:dyDescent="0.25"/>
    <row r="40647" s="12" customFormat="1" x14ac:dyDescent="0.25"/>
    <row r="40648" s="12" customFormat="1" x14ac:dyDescent="0.25"/>
    <row r="40649" s="12" customFormat="1" x14ac:dyDescent="0.25"/>
    <row r="40650" s="12" customFormat="1" x14ac:dyDescent="0.25"/>
    <row r="40651" s="12" customFormat="1" x14ac:dyDescent="0.25"/>
    <row r="40652" s="12" customFormat="1" x14ac:dyDescent="0.25"/>
    <row r="40653" s="12" customFormat="1" x14ac:dyDescent="0.25"/>
    <row r="40654" s="12" customFormat="1" x14ac:dyDescent="0.25"/>
    <row r="40655" s="12" customFormat="1" x14ac:dyDescent="0.25"/>
    <row r="40656" s="12" customFormat="1" x14ac:dyDescent="0.25"/>
    <row r="40657" s="12" customFormat="1" x14ac:dyDescent="0.25"/>
    <row r="40658" s="12" customFormat="1" x14ac:dyDescent="0.25"/>
    <row r="40659" s="12" customFormat="1" x14ac:dyDescent="0.25"/>
    <row r="40660" s="12" customFormat="1" x14ac:dyDescent="0.25"/>
    <row r="40661" s="12" customFormat="1" x14ac:dyDescent="0.25"/>
    <row r="40662" s="12" customFormat="1" x14ac:dyDescent="0.25"/>
    <row r="40663" s="12" customFormat="1" x14ac:dyDescent="0.25"/>
    <row r="40664" s="12" customFormat="1" x14ac:dyDescent="0.25"/>
    <row r="40665" s="12" customFormat="1" x14ac:dyDescent="0.25"/>
    <row r="40666" s="12" customFormat="1" x14ac:dyDescent="0.25"/>
    <row r="40667" s="12" customFormat="1" x14ac:dyDescent="0.25"/>
    <row r="40668" s="12" customFormat="1" x14ac:dyDescent="0.25"/>
    <row r="40669" s="12" customFormat="1" x14ac:dyDescent="0.25"/>
    <row r="40670" s="12" customFormat="1" x14ac:dyDescent="0.25"/>
    <row r="40671" s="12" customFormat="1" x14ac:dyDescent="0.25"/>
    <row r="40672" s="12" customFormat="1" x14ac:dyDescent="0.25"/>
    <row r="40673" s="12" customFormat="1" x14ac:dyDescent="0.25"/>
    <row r="40674" s="12" customFormat="1" x14ac:dyDescent="0.25"/>
    <row r="40675" s="12" customFormat="1" x14ac:dyDescent="0.25"/>
    <row r="40676" s="12" customFormat="1" x14ac:dyDescent="0.25"/>
    <row r="40677" s="12" customFormat="1" x14ac:dyDescent="0.25"/>
    <row r="40678" s="12" customFormat="1" x14ac:dyDescent="0.25"/>
    <row r="40679" s="12" customFormat="1" x14ac:dyDescent="0.25"/>
    <row r="40680" s="12" customFormat="1" x14ac:dyDescent="0.25"/>
    <row r="40681" s="12" customFormat="1" x14ac:dyDescent="0.25"/>
    <row r="40682" s="12" customFormat="1" x14ac:dyDescent="0.25"/>
    <row r="40683" s="12" customFormat="1" x14ac:dyDescent="0.25"/>
    <row r="40684" s="12" customFormat="1" x14ac:dyDescent="0.25"/>
    <row r="40685" s="12" customFormat="1" x14ac:dyDescent="0.25"/>
    <row r="40686" s="12" customFormat="1" x14ac:dyDescent="0.25"/>
    <row r="40687" s="12" customFormat="1" x14ac:dyDescent="0.25"/>
    <row r="40688" s="12" customFormat="1" x14ac:dyDescent="0.25"/>
    <row r="40689" s="12" customFormat="1" x14ac:dyDescent="0.25"/>
    <row r="40690" s="12" customFormat="1" x14ac:dyDescent="0.25"/>
    <row r="40691" s="12" customFormat="1" x14ac:dyDescent="0.25"/>
    <row r="40692" s="12" customFormat="1" x14ac:dyDescent="0.25"/>
    <row r="40693" s="12" customFormat="1" x14ac:dyDescent="0.25"/>
    <row r="40694" s="12" customFormat="1" x14ac:dyDescent="0.25"/>
    <row r="40695" s="12" customFormat="1" x14ac:dyDescent="0.25"/>
    <row r="40696" s="12" customFormat="1" x14ac:dyDescent="0.25"/>
    <row r="40697" s="12" customFormat="1" x14ac:dyDescent="0.25"/>
    <row r="40698" s="12" customFormat="1" x14ac:dyDescent="0.25"/>
    <row r="40699" s="12" customFormat="1" x14ac:dyDescent="0.25"/>
    <row r="40700" s="12" customFormat="1" x14ac:dyDescent="0.25"/>
    <row r="40701" s="12" customFormat="1" x14ac:dyDescent="0.25"/>
    <row r="40702" s="12" customFormat="1" x14ac:dyDescent="0.25"/>
    <row r="40703" s="12" customFormat="1" x14ac:dyDescent="0.25"/>
    <row r="40704" s="12" customFormat="1" x14ac:dyDescent="0.25"/>
    <row r="40705" s="12" customFormat="1" x14ac:dyDescent="0.25"/>
    <row r="40706" s="12" customFormat="1" x14ac:dyDescent="0.25"/>
    <row r="40707" s="12" customFormat="1" x14ac:dyDescent="0.25"/>
    <row r="40708" s="12" customFormat="1" x14ac:dyDescent="0.25"/>
    <row r="40709" s="12" customFormat="1" x14ac:dyDescent="0.25"/>
    <row r="40710" s="12" customFormat="1" x14ac:dyDescent="0.25"/>
    <row r="40711" s="12" customFormat="1" x14ac:dyDescent="0.25"/>
    <row r="40712" s="12" customFormat="1" x14ac:dyDescent="0.25"/>
    <row r="40713" s="12" customFormat="1" x14ac:dyDescent="0.25"/>
    <row r="40714" s="12" customFormat="1" x14ac:dyDescent="0.25"/>
    <row r="40715" s="12" customFormat="1" x14ac:dyDescent="0.25"/>
    <row r="40716" s="12" customFormat="1" x14ac:dyDescent="0.25"/>
    <row r="40717" s="12" customFormat="1" x14ac:dyDescent="0.25"/>
    <row r="40718" s="12" customFormat="1" x14ac:dyDescent="0.25"/>
    <row r="40719" s="12" customFormat="1" x14ac:dyDescent="0.25"/>
    <row r="40720" s="12" customFormat="1" x14ac:dyDescent="0.25"/>
    <row r="40721" s="12" customFormat="1" x14ac:dyDescent="0.25"/>
    <row r="40722" s="12" customFormat="1" x14ac:dyDescent="0.25"/>
    <row r="40723" s="12" customFormat="1" x14ac:dyDescent="0.25"/>
    <row r="40724" s="12" customFormat="1" x14ac:dyDescent="0.25"/>
    <row r="40725" s="12" customFormat="1" x14ac:dyDescent="0.25"/>
    <row r="40726" s="12" customFormat="1" x14ac:dyDescent="0.25"/>
    <row r="40727" s="12" customFormat="1" x14ac:dyDescent="0.25"/>
    <row r="40728" s="12" customFormat="1" x14ac:dyDescent="0.25"/>
    <row r="40729" s="12" customFormat="1" x14ac:dyDescent="0.25"/>
    <row r="40730" s="12" customFormat="1" x14ac:dyDescent="0.25"/>
    <row r="40731" s="12" customFormat="1" x14ac:dyDescent="0.25"/>
    <row r="40732" s="12" customFormat="1" x14ac:dyDescent="0.25"/>
    <row r="40733" s="12" customFormat="1" x14ac:dyDescent="0.25"/>
    <row r="40734" s="12" customFormat="1" x14ac:dyDescent="0.25"/>
    <row r="40735" s="12" customFormat="1" x14ac:dyDescent="0.25"/>
    <row r="40736" s="12" customFormat="1" x14ac:dyDescent="0.25"/>
    <row r="40737" s="12" customFormat="1" x14ac:dyDescent="0.25"/>
    <row r="40738" s="12" customFormat="1" x14ac:dyDescent="0.25"/>
    <row r="40739" s="12" customFormat="1" x14ac:dyDescent="0.25"/>
    <row r="40740" s="12" customFormat="1" x14ac:dyDescent="0.25"/>
    <row r="40741" s="12" customFormat="1" x14ac:dyDescent="0.25"/>
    <row r="40742" s="12" customFormat="1" x14ac:dyDescent="0.25"/>
    <row r="40743" s="12" customFormat="1" x14ac:dyDescent="0.25"/>
    <row r="40744" s="12" customFormat="1" x14ac:dyDescent="0.25"/>
    <row r="40745" s="12" customFormat="1" x14ac:dyDescent="0.25"/>
    <row r="40746" s="12" customFormat="1" x14ac:dyDescent="0.25"/>
    <row r="40747" s="12" customFormat="1" x14ac:dyDescent="0.25"/>
    <row r="40748" s="12" customFormat="1" x14ac:dyDescent="0.25"/>
    <row r="40749" s="12" customFormat="1" x14ac:dyDescent="0.25"/>
    <row r="40750" s="12" customFormat="1" x14ac:dyDescent="0.25"/>
    <row r="40751" s="12" customFormat="1" x14ac:dyDescent="0.25"/>
    <row r="40752" s="12" customFormat="1" x14ac:dyDescent="0.25"/>
    <row r="40753" s="12" customFormat="1" x14ac:dyDescent="0.25"/>
    <row r="40754" s="12" customFormat="1" x14ac:dyDescent="0.25"/>
    <row r="40755" s="12" customFormat="1" x14ac:dyDescent="0.25"/>
    <row r="40756" s="12" customFormat="1" x14ac:dyDescent="0.25"/>
    <row r="40757" s="12" customFormat="1" x14ac:dyDescent="0.25"/>
    <row r="40758" s="12" customFormat="1" x14ac:dyDescent="0.25"/>
    <row r="40759" s="12" customFormat="1" x14ac:dyDescent="0.25"/>
    <row r="40760" s="12" customFormat="1" x14ac:dyDescent="0.25"/>
    <row r="40761" s="12" customFormat="1" x14ac:dyDescent="0.25"/>
    <row r="40762" s="12" customFormat="1" x14ac:dyDescent="0.25"/>
    <row r="40763" s="12" customFormat="1" x14ac:dyDescent="0.25"/>
    <row r="40764" s="12" customFormat="1" x14ac:dyDescent="0.25"/>
    <row r="40765" s="12" customFormat="1" x14ac:dyDescent="0.25"/>
    <row r="40766" s="12" customFormat="1" x14ac:dyDescent="0.25"/>
    <row r="40767" s="12" customFormat="1" x14ac:dyDescent="0.25"/>
    <row r="40768" s="12" customFormat="1" x14ac:dyDescent="0.25"/>
    <row r="40769" s="12" customFormat="1" x14ac:dyDescent="0.25"/>
    <row r="40770" s="12" customFormat="1" x14ac:dyDescent="0.25"/>
    <row r="40771" s="12" customFormat="1" x14ac:dyDescent="0.25"/>
    <row r="40772" s="12" customFormat="1" x14ac:dyDescent="0.25"/>
    <row r="40773" s="12" customFormat="1" x14ac:dyDescent="0.25"/>
    <row r="40774" s="12" customFormat="1" x14ac:dyDescent="0.25"/>
    <row r="40775" s="12" customFormat="1" x14ac:dyDescent="0.25"/>
    <row r="40776" s="12" customFormat="1" x14ac:dyDescent="0.25"/>
    <row r="40777" s="12" customFormat="1" x14ac:dyDescent="0.25"/>
    <row r="40778" s="12" customFormat="1" x14ac:dyDescent="0.25"/>
    <row r="40779" s="12" customFormat="1" x14ac:dyDescent="0.25"/>
    <row r="40780" s="12" customFormat="1" x14ac:dyDescent="0.25"/>
    <row r="40781" s="12" customFormat="1" x14ac:dyDescent="0.25"/>
    <row r="40782" s="12" customFormat="1" x14ac:dyDescent="0.25"/>
    <row r="40783" s="12" customFormat="1" x14ac:dyDescent="0.25"/>
    <row r="40784" s="12" customFormat="1" x14ac:dyDescent="0.25"/>
    <row r="40785" s="12" customFormat="1" x14ac:dyDescent="0.25"/>
    <row r="40786" s="12" customFormat="1" x14ac:dyDescent="0.25"/>
    <row r="40787" s="12" customFormat="1" x14ac:dyDescent="0.25"/>
    <row r="40788" s="12" customFormat="1" x14ac:dyDescent="0.25"/>
    <row r="40789" s="12" customFormat="1" x14ac:dyDescent="0.25"/>
    <row r="40790" s="12" customFormat="1" x14ac:dyDescent="0.25"/>
    <row r="40791" s="12" customFormat="1" x14ac:dyDescent="0.25"/>
    <row r="40792" s="12" customFormat="1" x14ac:dyDescent="0.25"/>
    <row r="40793" s="12" customFormat="1" x14ac:dyDescent="0.25"/>
    <row r="40794" s="12" customFormat="1" x14ac:dyDescent="0.25"/>
    <row r="40795" s="12" customFormat="1" x14ac:dyDescent="0.25"/>
    <row r="40796" s="12" customFormat="1" x14ac:dyDescent="0.25"/>
    <row r="40797" s="12" customFormat="1" x14ac:dyDescent="0.25"/>
    <row r="40798" s="12" customFormat="1" x14ac:dyDescent="0.25"/>
    <row r="40799" s="12" customFormat="1" x14ac:dyDescent="0.25"/>
    <row r="40800" s="12" customFormat="1" x14ac:dyDescent="0.25"/>
    <row r="40801" s="12" customFormat="1" x14ac:dyDescent="0.25"/>
    <row r="40802" s="12" customFormat="1" x14ac:dyDescent="0.25"/>
    <row r="40803" s="12" customFormat="1" x14ac:dyDescent="0.25"/>
    <row r="40804" s="12" customFormat="1" x14ac:dyDescent="0.25"/>
    <row r="40805" s="12" customFormat="1" x14ac:dyDescent="0.25"/>
    <row r="40806" s="12" customFormat="1" x14ac:dyDescent="0.25"/>
    <row r="40807" s="12" customFormat="1" x14ac:dyDescent="0.25"/>
    <row r="40808" s="12" customFormat="1" x14ac:dyDescent="0.25"/>
    <row r="40809" s="12" customFormat="1" x14ac:dyDescent="0.25"/>
    <row r="40810" s="12" customFormat="1" x14ac:dyDescent="0.25"/>
    <row r="40811" s="12" customFormat="1" x14ac:dyDescent="0.25"/>
    <row r="40812" s="12" customFormat="1" x14ac:dyDescent="0.25"/>
    <row r="40813" s="12" customFormat="1" x14ac:dyDescent="0.25"/>
    <row r="40814" s="12" customFormat="1" x14ac:dyDescent="0.25"/>
    <row r="40815" s="12" customFormat="1" x14ac:dyDescent="0.25"/>
    <row r="40816" s="12" customFormat="1" x14ac:dyDescent="0.25"/>
    <row r="40817" s="12" customFormat="1" x14ac:dyDescent="0.25"/>
    <row r="40818" s="12" customFormat="1" x14ac:dyDescent="0.25"/>
    <row r="40819" s="12" customFormat="1" x14ac:dyDescent="0.25"/>
    <row r="40820" s="12" customFormat="1" x14ac:dyDescent="0.25"/>
    <row r="40821" s="12" customFormat="1" x14ac:dyDescent="0.25"/>
    <row r="40822" s="12" customFormat="1" x14ac:dyDescent="0.25"/>
    <row r="40823" s="12" customFormat="1" x14ac:dyDescent="0.25"/>
    <row r="40824" s="12" customFormat="1" x14ac:dyDescent="0.25"/>
    <row r="40825" s="12" customFormat="1" x14ac:dyDescent="0.25"/>
    <row r="40826" s="12" customFormat="1" x14ac:dyDescent="0.25"/>
    <row r="40827" s="12" customFormat="1" x14ac:dyDescent="0.25"/>
    <row r="40828" s="12" customFormat="1" x14ac:dyDescent="0.25"/>
    <row r="40829" s="12" customFormat="1" x14ac:dyDescent="0.25"/>
    <row r="40830" s="12" customFormat="1" x14ac:dyDescent="0.25"/>
    <row r="40831" s="12" customFormat="1" x14ac:dyDescent="0.25"/>
    <row r="40832" s="12" customFormat="1" x14ac:dyDescent="0.25"/>
    <row r="40833" s="12" customFormat="1" x14ac:dyDescent="0.25"/>
    <row r="40834" s="12" customFormat="1" x14ac:dyDescent="0.25"/>
    <row r="40835" s="12" customFormat="1" x14ac:dyDescent="0.25"/>
    <row r="40836" s="12" customFormat="1" x14ac:dyDescent="0.25"/>
    <row r="40837" s="12" customFormat="1" x14ac:dyDescent="0.25"/>
    <row r="40838" s="12" customFormat="1" x14ac:dyDescent="0.25"/>
    <row r="40839" s="12" customFormat="1" x14ac:dyDescent="0.25"/>
    <row r="40840" s="12" customFormat="1" x14ac:dyDescent="0.25"/>
    <row r="40841" s="12" customFormat="1" x14ac:dyDescent="0.25"/>
    <row r="40842" s="12" customFormat="1" x14ac:dyDescent="0.25"/>
    <row r="40843" s="12" customFormat="1" x14ac:dyDescent="0.25"/>
    <row r="40844" s="12" customFormat="1" x14ac:dyDescent="0.25"/>
    <row r="40845" s="12" customFormat="1" x14ac:dyDescent="0.25"/>
    <row r="40846" s="12" customFormat="1" x14ac:dyDescent="0.25"/>
    <row r="40847" s="12" customFormat="1" x14ac:dyDescent="0.25"/>
    <row r="40848" s="12" customFormat="1" x14ac:dyDescent="0.25"/>
    <row r="40849" s="12" customFormat="1" x14ac:dyDescent="0.25"/>
    <row r="40850" s="12" customFormat="1" x14ac:dyDescent="0.25"/>
    <row r="40851" s="12" customFormat="1" x14ac:dyDescent="0.25"/>
    <row r="40852" s="12" customFormat="1" x14ac:dyDescent="0.25"/>
    <row r="40853" s="12" customFormat="1" x14ac:dyDescent="0.25"/>
    <row r="40854" s="12" customFormat="1" x14ac:dyDescent="0.25"/>
    <row r="40855" s="12" customFormat="1" x14ac:dyDescent="0.25"/>
    <row r="40856" s="12" customFormat="1" x14ac:dyDescent="0.25"/>
    <row r="40857" s="12" customFormat="1" x14ac:dyDescent="0.25"/>
    <row r="40858" s="12" customFormat="1" x14ac:dyDescent="0.25"/>
    <row r="40859" s="12" customFormat="1" x14ac:dyDescent="0.25"/>
    <row r="40860" s="12" customFormat="1" x14ac:dyDescent="0.25"/>
    <row r="40861" s="12" customFormat="1" x14ac:dyDescent="0.25"/>
    <row r="40862" s="12" customFormat="1" x14ac:dyDescent="0.25"/>
    <row r="40863" s="12" customFormat="1" x14ac:dyDescent="0.25"/>
    <row r="40864" s="12" customFormat="1" x14ac:dyDescent="0.25"/>
    <row r="40865" s="12" customFormat="1" x14ac:dyDescent="0.25"/>
    <row r="40866" s="12" customFormat="1" x14ac:dyDescent="0.25"/>
    <row r="40867" s="12" customFormat="1" x14ac:dyDescent="0.25"/>
    <row r="40868" s="12" customFormat="1" x14ac:dyDescent="0.25"/>
    <row r="40869" s="12" customFormat="1" x14ac:dyDescent="0.25"/>
    <row r="40870" s="12" customFormat="1" x14ac:dyDescent="0.25"/>
    <row r="40871" s="12" customFormat="1" x14ac:dyDescent="0.25"/>
    <row r="40872" s="12" customFormat="1" x14ac:dyDescent="0.25"/>
    <row r="40873" s="12" customFormat="1" x14ac:dyDescent="0.25"/>
    <row r="40874" s="12" customFormat="1" x14ac:dyDescent="0.25"/>
    <row r="40875" s="12" customFormat="1" x14ac:dyDescent="0.25"/>
    <row r="40876" s="12" customFormat="1" x14ac:dyDescent="0.25"/>
    <row r="40877" s="12" customFormat="1" x14ac:dyDescent="0.25"/>
    <row r="40878" s="12" customFormat="1" x14ac:dyDescent="0.25"/>
    <row r="40879" s="12" customFormat="1" x14ac:dyDescent="0.25"/>
    <row r="40880" s="12" customFormat="1" x14ac:dyDescent="0.25"/>
    <row r="40881" s="12" customFormat="1" x14ac:dyDescent="0.25"/>
    <row r="40882" s="12" customFormat="1" x14ac:dyDescent="0.25"/>
    <row r="40883" s="12" customFormat="1" x14ac:dyDescent="0.25"/>
    <row r="40884" s="12" customFormat="1" x14ac:dyDescent="0.25"/>
    <row r="40885" s="12" customFormat="1" x14ac:dyDescent="0.25"/>
    <row r="40886" s="12" customFormat="1" x14ac:dyDescent="0.25"/>
    <row r="40887" s="12" customFormat="1" x14ac:dyDescent="0.25"/>
    <row r="40888" s="12" customFormat="1" x14ac:dyDescent="0.25"/>
    <row r="40889" s="12" customFormat="1" x14ac:dyDescent="0.25"/>
    <row r="40890" s="12" customFormat="1" x14ac:dyDescent="0.25"/>
    <row r="40891" s="12" customFormat="1" x14ac:dyDescent="0.25"/>
    <row r="40892" s="12" customFormat="1" x14ac:dyDescent="0.25"/>
    <row r="40893" s="12" customFormat="1" x14ac:dyDescent="0.25"/>
    <row r="40894" s="12" customFormat="1" x14ac:dyDescent="0.25"/>
    <row r="40895" s="12" customFormat="1" x14ac:dyDescent="0.25"/>
    <row r="40896" s="12" customFormat="1" x14ac:dyDescent="0.25"/>
    <row r="40897" s="12" customFormat="1" x14ac:dyDescent="0.25"/>
    <row r="40898" s="12" customFormat="1" x14ac:dyDescent="0.25"/>
    <row r="40899" s="12" customFormat="1" x14ac:dyDescent="0.25"/>
    <row r="40900" s="12" customFormat="1" x14ac:dyDescent="0.25"/>
    <row r="40901" s="12" customFormat="1" x14ac:dyDescent="0.25"/>
    <row r="40902" s="12" customFormat="1" x14ac:dyDescent="0.25"/>
    <row r="40903" s="12" customFormat="1" x14ac:dyDescent="0.25"/>
    <row r="40904" s="12" customFormat="1" x14ac:dyDescent="0.25"/>
    <row r="40905" s="12" customFormat="1" x14ac:dyDescent="0.25"/>
    <row r="40906" s="12" customFormat="1" x14ac:dyDescent="0.25"/>
    <row r="40907" s="12" customFormat="1" x14ac:dyDescent="0.25"/>
    <row r="40908" s="12" customFormat="1" x14ac:dyDescent="0.25"/>
    <row r="40909" s="12" customFormat="1" x14ac:dyDescent="0.25"/>
    <row r="40910" s="12" customFormat="1" x14ac:dyDescent="0.25"/>
    <row r="40911" s="12" customFormat="1" x14ac:dyDescent="0.25"/>
    <row r="40912" s="12" customFormat="1" x14ac:dyDescent="0.25"/>
    <row r="40913" s="12" customFormat="1" x14ac:dyDescent="0.25"/>
    <row r="40914" s="12" customFormat="1" x14ac:dyDescent="0.25"/>
    <row r="40915" s="12" customFormat="1" x14ac:dyDescent="0.25"/>
    <row r="40916" s="12" customFormat="1" x14ac:dyDescent="0.25"/>
    <row r="40917" s="12" customFormat="1" x14ac:dyDescent="0.25"/>
    <row r="40918" s="12" customFormat="1" x14ac:dyDescent="0.25"/>
    <row r="40919" s="12" customFormat="1" x14ac:dyDescent="0.25"/>
    <row r="40920" s="12" customFormat="1" x14ac:dyDescent="0.25"/>
    <row r="40921" s="12" customFormat="1" x14ac:dyDescent="0.25"/>
    <row r="40922" s="12" customFormat="1" x14ac:dyDescent="0.25"/>
    <row r="40923" s="12" customFormat="1" x14ac:dyDescent="0.25"/>
    <row r="40924" s="12" customFormat="1" x14ac:dyDescent="0.25"/>
    <row r="40925" s="12" customFormat="1" x14ac:dyDescent="0.25"/>
    <row r="40926" s="12" customFormat="1" x14ac:dyDescent="0.25"/>
    <row r="40927" s="12" customFormat="1" x14ac:dyDescent="0.25"/>
    <row r="40928" s="12" customFormat="1" x14ac:dyDescent="0.25"/>
    <row r="40929" s="12" customFormat="1" x14ac:dyDescent="0.25"/>
    <row r="40930" s="12" customFormat="1" x14ac:dyDescent="0.25"/>
    <row r="40931" s="12" customFormat="1" x14ac:dyDescent="0.25"/>
    <row r="40932" s="12" customFormat="1" x14ac:dyDescent="0.25"/>
    <row r="40933" s="12" customFormat="1" x14ac:dyDescent="0.25"/>
    <row r="40934" s="12" customFormat="1" x14ac:dyDescent="0.25"/>
    <row r="40935" s="12" customFormat="1" x14ac:dyDescent="0.25"/>
    <row r="40936" s="12" customFormat="1" x14ac:dyDescent="0.25"/>
    <row r="40937" s="12" customFormat="1" x14ac:dyDescent="0.25"/>
    <row r="40938" s="12" customFormat="1" x14ac:dyDescent="0.25"/>
    <row r="40939" s="12" customFormat="1" x14ac:dyDescent="0.25"/>
    <row r="40940" s="12" customFormat="1" x14ac:dyDescent="0.25"/>
    <row r="40941" s="12" customFormat="1" x14ac:dyDescent="0.25"/>
    <row r="40942" s="12" customFormat="1" x14ac:dyDescent="0.25"/>
    <row r="40943" s="12" customFormat="1" x14ac:dyDescent="0.25"/>
    <row r="40944" s="12" customFormat="1" x14ac:dyDescent="0.25"/>
    <row r="40945" s="12" customFormat="1" x14ac:dyDescent="0.25"/>
    <row r="40946" s="12" customFormat="1" x14ac:dyDescent="0.25"/>
    <row r="40947" s="12" customFormat="1" x14ac:dyDescent="0.25"/>
    <row r="40948" s="12" customFormat="1" x14ac:dyDescent="0.25"/>
    <row r="40949" s="12" customFormat="1" x14ac:dyDescent="0.25"/>
    <row r="40950" s="12" customFormat="1" x14ac:dyDescent="0.25"/>
    <row r="40951" s="12" customFormat="1" x14ac:dyDescent="0.25"/>
    <row r="40952" s="12" customFormat="1" x14ac:dyDescent="0.25"/>
    <row r="40953" s="12" customFormat="1" x14ac:dyDescent="0.25"/>
    <row r="40954" s="12" customFormat="1" x14ac:dyDescent="0.25"/>
    <row r="40955" s="12" customFormat="1" x14ac:dyDescent="0.25"/>
    <row r="40956" s="12" customFormat="1" x14ac:dyDescent="0.25"/>
    <row r="40957" s="12" customFormat="1" x14ac:dyDescent="0.25"/>
    <row r="40958" s="12" customFormat="1" x14ac:dyDescent="0.25"/>
    <row r="40959" s="12" customFormat="1" x14ac:dyDescent="0.25"/>
    <row r="40960" s="12" customFormat="1" x14ac:dyDescent="0.25"/>
    <row r="40961" s="12" customFormat="1" x14ac:dyDescent="0.25"/>
    <row r="40962" s="12" customFormat="1" x14ac:dyDescent="0.25"/>
    <row r="40963" s="12" customFormat="1" x14ac:dyDescent="0.25"/>
    <row r="40964" s="12" customFormat="1" x14ac:dyDescent="0.25"/>
    <row r="40965" s="12" customFormat="1" x14ac:dyDescent="0.25"/>
    <row r="40966" s="12" customFormat="1" x14ac:dyDescent="0.25"/>
    <row r="40967" s="12" customFormat="1" x14ac:dyDescent="0.25"/>
    <row r="40968" s="12" customFormat="1" x14ac:dyDescent="0.25"/>
    <row r="40969" s="12" customFormat="1" x14ac:dyDescent="0.25"/>
    <row r="40970" s="12" customFormat="1" x14ac:dyDescent="0.25"/>
    <row r="40971" s="12" customFormat="1" x14ac:dyDescent="0.25"/>
    <row r="40972" s="12" customFormat="1" x14ac:dyDescent="0.25"/>
    <row r="40973" s="12" customFormat="1" x14ac:dyDescent="0.25"/>
    <row r="40974" s="12" customFormat="1" x14ac:dyDescent="0.25"/>
    <row r="40975" s="12" customFormat="1" x14ac:dyDescent="0.25"/>
    <row r="40976" s="12" customFormat="1" x14ac:dyDescent="0.25"/>
    <row r="40977" s="12" customFormat="1" x14ac:dyDescent="0.25"/>
    <row r="40978" s="12" customFormat="1" x14ac:dyDescent="0.25"/>
    <row r="40979" s="12" customFormat="1" x14ac:dyDescent="0.25"/>
    <row r="40980" s="12" customFormat="1" x14ac:dyDescent="0.25"/>
    <row r="40981" s="12" customFormat="1" x14ac:dyDescent="0.25"/>
    <row r="40982" s="12" customFormat="1" x14ac:dyDescent="0.25"/>
    <row r="40983" s="12" customFormat="1" x14ac:dyDescent="0.25"/>
    <row r="40984" s="12" customFormat="1" x14ac:dyDescent="0.25"/>
    <row r="40985" s="12" customFormat="1" x14ac:dyDescent="0.25"/>
    <row r="40986" s="12" customFormat="1" x14ac:dyDescent="0.25"/>
    <row r="40987" s="12" customFormat="1" x14ac:dyDescent="0.25"/>
    <row r="40988" s="12" customFormat="1" x14ac:dyDescent="0.25"/>
    <row r="40989" s="12" customFormat="1" x14ac:dyDescent="0.25"/>
    <row r="40990" s="12" customFormat="1" x14ac:dyDescent="0.25"/>
    <row r="40991" s="12" customFormat="1" x14ac:dyDescent="0.25"/>
    <row r="40992" s="12" customFormat="1" x14ac:dyDescent="0.25"/>
    <row r="40993" s="12" customFormat="1" x14ac:dyDescent="0.25"/>
    <row r="40994" s="12" customFormat="1" x14ac:dyDescent="0.25"/>
    <row r="40995" s="12" customFormat="1" x14ac:dyDescent="0.25"/>
    <row r="40996" s="12" customFormat="1" x14ac:dyDescent="0.25"/>
    <row r="40997" s="12" customFormat="1" x14ac:dyDescent="0.25"/>
    <row r="40998" s="12" customFormat="1" x14ac:dyDescent="0.25"/>
    <row r="40999" s="12" customFormat="1" x14ac:dyDescent="0.25"/>
    <row r="41000" s="12" customFormat="1" x14ac:dyDescent="0.25"/>
    <row r="41001" s="12" customFormat="1" x14ac:dyDescent="0.25"/>
    <row r="41002" s="12" customFormat="1" x14ac:dyDescent="0.25"/>
    <row r="41003" s="12" customFormat="1" x14ac:dyDescent="0.25"/>
    <row r="41004" s="12" customFormat="1" x14ac:dyDescent="0.25"/>
    <row r="41005" s="12" customFormat="1" x14ac:dyDescent="0.25"/>
    <row r="41006" s="12" customFormat="1" x14ac:dyDescent="0.25"/>
    <row r="41007" s="12" customFormat="1" x14ac:dyDescent="0.25"/>
    <row r="41008" s="12" customFormat="1" x14ac:dyDescent="0.25"/>
    <row r="41009" s="12" customFormat="1" x14ac:dyDescent="0.25"/>
    <row r="41010" s="12" customFormat="1" x14ac:dyDescent="0.25"/>
    <row r="41011" s="12" customFormat="1" x14ac:dyDescent="0.25"/>
    <row r="41012" s="12" customFormat="1" x14ac:dyDescent="0.25"/>
    <row r="41013" s="12" customFormat="1" x14ac:dyDescent="0.25"/>
    <row r="41014" s="12" customFormat="1" x14ac:dyDescent="0.25"/>
    <row r="41015" s="12" customFormat="1" x14ac:dyDescent="0.25"/>
    <row r="41016" s="12" customFormat="1" x14ac:dyDescent="0.25"/>
    <row r="41017" s="12" customFormat="1" x14ac:dyDescent="0.25"/>
    <row r="41018" s="12" customFormat="1" x14ac:dyDescent="0.25"/>
    <row r="41019" s="12" customFormat="1" x14ac:dyDescent="0.25"/>
    <row r="41020" s="12" customFormat="1" x14ac:dyDescent="0.25"/>
    <row r="41021" s="12" customFormat="1" x14ac:dyDescent="0.25"/>
    <row r="41022" s="12" customFormat="1" x14ac:dyDescent="0.25"/>
    <row r="41023" s="12" customFormat="1" x14ac:dyDescent="0.25"/>
    <row r="41024" s="12" customFormat="1" x14ac:dyDescent="0.25"/>
    <row r="41025" s="12" customFormat="1" x14ac:dyDescent="0.25"/>
    <row r="41026" s="12" customFormat="1" x14ac:dyDescent="0.25"/>
    <row r="41027" s="12" customFormat="1" x14ac:dyDescent="0.25"/>
    <row r="41028" s="12" customFormat="1" x14ac:dyDescent="0.25"/>
    <row r="41029" s="12" customFormat="1" x14ac:dyDescent="0.25"/>
    <row r="41030" s="12" customFormat="1" x14ac:dyDescent="0.25"/>
    <row r="41031" s="12" customFormat="1" x14ac:dyDescent="0.25"/>
    <row r="41032" s="12" customFormat="1" x14ac:dyDescent="0.25"/>
    <row r="41033" s="12" customFormat="1" x14ac:dyDescent="0.25"/>
    <row r="41034" s="12" customFormat="1" x14ac:dyDescent="0.25"/>
    <row r="41035" s="12" customFormat="1" x14ac:dyDescent="0.25"/>
    <row r="41036" s="12" customFormat="1" x14ac:dyDescent="0.25"/>
    <row r="41037" s="12" customFormat="1" x14ac:dyDescent="0.25"/>
    <row r="41038" s="12" customFormat="1" x14ac:dyDescent="0.25"/>
    <row r="41039" s="12" customFormat="1" x14ac:dyDescent="0.25"/>
    <row r="41040" s="12" customFormat="1" x14ac:dyDescent="0.25"/>
    <row r="41041" s="12" customFormat="1" x14ac:dyDescent="0.25"/>
    <row r="41042" s="12" customFormat="1" x14ac:dyDescent="0.25"/>
    <row r="41043" s="12" customFormat="1" x14ac:dyDescent="0.25"/>
    <row r="41044" s="12" customFormat="1" x14ac:dyDescent="0.25"/>
    <row r="41045" s="12" customFormat="1" x14ac:dyDescent="0.25"/>
    <row r="41046" s="12" customFormat="1" x14ac:dyDescent="0.25"/>
    <row r="41047" s="12" customFormat="1" x14ac:dyDescent="0.25"/>
    <row r="41048" s="12" customFormat="1" x14ac:dyDescent="0.25"/>
    <row r="41049" s="12" customFormat="1" x14ac:dyDescent="0.25"/>
    <row r="41050" s="12" customFormat="1" x14ac:dyDescent="0.25"/>
    <row r="41051" s="12" customFormat="1" x14ac:dyDescent="0.25"/>
    <row r="41052" s="12" customFormat="1" x14ac:dyDescent="0.25"/>
    <row r="41053" s="12" customFormat="1" x14ac:dyDescent="0.25"/>
    <row r="41054" s="12" customFormat="1" x14ac:dyDescent="0.25"/>
    <row r="41055" s="12" customFormat="1" x14ac:dyDescent="0.25"/>
    <row r="41056" s="12" customFormat="1" x14ac:dyDescent="0.25"/>
    <row r="41057" s="12" customFormat="1" x14ac:dyDescent="0.25"/>
    <row r="41058" s="12" customFormat="1" x14ac:dyDescent="0.25"/>
    <row r="41059" s="12" customFormat="1" x14ac:dyDescent="0.25"/>
    <row r="41060" s="12" customFormat="1" x14ac:dyDescent="0.25"/>
    <row r="41061" s="12" customFormat="1" x14ac:dyDescent="0.25"/>
    <row r="41062" s="12" customFormat="1" x14ac:dyDescent="0.25"/>
    <row r="41063" s="12" customFormat="1" x14ac:dyDescent="0.25"/>
    <row r="41064" s="12" customFormat="1" x14ac:dyDescent="0.25"/>
    <row r="41065" s="12" customFormat="1" x14ac:dyDescent="0.25"/>
    <row r="41066" s="12" customFormat="1" x14ac:dyDescent="0.25"/>
    <row r="41067" s="12" customFormat="1" x14ac:dyDescent="0.25"/>
    <row r="41068" s="12" customFormat="1" x14ac:dyDescent="0.25"/>
    <row r="41069" s="12" customFormat="1" x14ac:dyDescent="0.25"/>
    <row r="41070" s="12" customFormat="1" x14ac:dyDescent="0.25"/>
    <row r="41071" s="12" customFormat="1" x14ac:dyDescent="0.25"/>
    <row r="41072" s="12" customFormat="1" x14ac:dyDescent="0.25"/>
    <row r="41073" s="12" customFormat="1" x14ac:dyDescent="0.25"/>
    <row r="41074" s="12" customFormat="1" x14ac:dyDescent="0.25"/>
    <row r="41075" s="12" customFormat="1" x14ac:dyDescent="0.25"/>
    <row r="41076" s="12" customFormat="1" x14ac:dyDescent="0.25"/>
    <row r="41077" s="12" customFormat="1" x14ac:dyDescent="0.25"/>
    <row r="41078" s="12" customFormat="1" x14ac:dyDescent="0.25"/>
    <row r="41079" s="12" customFormat="1" x14ac:dyDescent="0.25"/>
    <row r="41080" s="12" customFormat="1" x14ac:dyDescent="0.25"/>
    <row r="41081" s="12" customFormat="1" x14ac:dyDescent="0.25"/>
    <row r="41082" s="12" customFormat="1" x14ac:dyDescent="0.25"/>
    <row r="41083" s="12" customFormat="1" x14ac:dyDescent="0.25"/>
    <row r="41084" s="12" customFormat="1" x14ac:dyDescent="0.25"/>
    <row r="41085" s="12" customFormat="1" x14ac:dyDescent="0.25"/>
    <row r="41086" s="12" customFormat="1" x14ac:dyDescent="0.25"/>
    <row r="41087" s="12" customFormat="1" x14ac:dyDescent="0.25"/>
    <row r="41088" s="12" customFormat="1" x14ac:dyDescent="0.25"/>
    <row r="41089" s="12" customFormat="1" x14ac:dyDescent="0.25"/>
    <row r="41090" s="12" customFormat="1" x14ac:dyDescent="0.25"/>
    <row r="41091" s="12" customFormat="1" x14ac:dyDescent="0.25"/>
    <row r="41092" s="12" customFormat="1" x14ac:dyDescent="0.25"/>
    <row r="41093" s="12" customFormat="1" x14ac:dyDescent="0.25"/>
    <row r="41094" s="12" customFormat="1" x14ac:dyDescent="0.25"/>
    <row r="41095" s="12" customFormat="1" x14ac:dyDescent="0.25"/>
    <row r="41096" s="12" customFormat="1" x14ac:dyDescent="0.25"/>
    <row r="41097" s="12" customFormat="1" x14ac:dyDescent="0.25"/>
    <row r="41098" s="12" customFormat="1" x14ac:dyDescent="0.25"/>
    <row r="41099" s="12" customFormat="1" x14ac:dyDescent="0.25"/>
    <row r="41100" s="12" customFormat="1" x14ac:dyDescent="0.25"/>
    <row r="41101" s="12" customFormat="1" x14ac:dyDescent="0.25"/>
    <row r="41102" s="12" customFormat="1" x14ac:dyDescent="0.25"/>
    <row r="41103" s="12" customFormat="1" x14ac:dyDescent="0.25"/>
    <row r="41104" s="12" customFormat="1" x14ac:dyDescent="0.25"/>
    <row r="41105" s="12" customFormat="1" x14ac:dyDescent="0.25"/>
    <row r="41106" s="12" customFormat="1" x14ac:dyDescent="0.25"/>
    <row r="41107" s="12" customFormat="1" x14ac:dyDescent="0.25"/>
    <row r="41108" s="12" customFormat="1" x14ac:dyDescent="0.25"/>
    <row r="41109" s="12" customFormat="1" x14ac:dyDescent="0.25"/>
    <row r="41110" s="12" customFormat="1" x14ac:dyDescent="0.25"/>
    <row r="41111" s="12" customFormat="1" x14ac:dyDescent="0.25"/>
    <row r="41112" s="12" customFormat="1" x14ac:dyDescent="0.25"/>
    <row r="41113" s="12" customFormat="1" x14ac:dyDescent="0.25"/>
    <row r="41114" s="12" customFormat="1" x14ac:dyDescent="0.25"/>
    <row r="41115" s="12" customFormat="1" x14ac:dyDescent="0.25"/>
    <row r="41116" s="12" customFormat="1" x14ac:dyDescent="0.25"/>
    <row r="41117" s="12" customFormat="1" x14ac:dyDescent="0.25"/>
    <row r="41118" s="12" customFormat="1" x14ac:dyDescent="0.25"/>
    <row r="41119" s="12" customFormat="1" x14ac:dyDescent="0.25"/>
    <row r="41120" s="12" customFormat="1" x14ac:dyDescent="0.25"/>
    <row r="41121" s="12" customFormat="1" x14ac:dyDescent="0.25"/>
    <row r="41122" s="12" customFormat="1" x14ac:dyDescent="0.25"/>
    <row r="41123" s="12" customFormat="1" x14ac:dyDescent="0.25"/>
    <row r="41124" s="12" customFormat="1" x14ac:dyDescent="0.25"/>
    <row r="41125" s="12" customFormat="1" x14ac:dyDescent="0.25"/>
    <row r="41126" s="12" customFormat="1" x14ac:dyDescent="0.25"/>
    <row r="41127" s="12" customFormat="1" x14ac:dyDescent="0.25"/>
    <row r="41128" s="12" customFormat="1" x14ac:dyDescent="0.25"/>
    <row r="41129" s="12" customFormat="1" x14ac:dyDescent="0.25"/>
    <row r="41130" s="12" customFormat="1" x14ac:dyDescent="0.25"/>
    <row r="41131" s="12" customFormat="1" x14ac:dyDescent="0.25"/>
    <row r="41132" s="12" customFormat="1" x14ac:dyDescent="0.25"/>
    <row r="41133" s="12" customFormat="1" x14ac:dyDescent="0.25"/>
    <row r="41134" s="12" customFormat="1" x14ac:dyDescent="0.25"/>
    <row r="41135" s="12" customFormat="1" x14ac:dyDescent="0.25"/>
    <row r="41136" s="12" customFormat="1" x14ac:dyDescent="0.25"/>
    <row r="41137" s="12" customFormat="1" x14ac:dyDescent="0.25"/>
    <row r="41138" s="12" customFormat="1" x14ac:dyDescent="0.25"/>
    <row r="41139" s="12" customFormat="1" x14ac:dyDescent="0.25"/>
    <row r="41140" s="12" customFormat="1" x14ac:dyDescent="0.25"/>
    <row r="41141" s="12" customFormat="1" x14ac:dyDescent="0.25"/>
    <row r="41142" s="12" customFormat="1" x14ac:dyDescent="0.25"/>
    <row r="41143" s="12" customFormat="1" x14ac:dyDescent="0.25"/>
    <row r="41144" s="12" customFormat="1" x14ac:dyDescent="0.25"/>
    <row r="41145" s="12" customFormat="1" x14ac:dyDescent="0.25"/>
    <row r="41146" s="12" customFormat="1" x14ac:dyDescent="0.25"/>
    <row r="41147" s="12" customFormat="1" x14ac:dyDescent="0.25"/>
    <row r="41148" s="12" customFormat="1" x14ac:dyDescent="0.25"/>
    <row r="41149" s="12" customFormat="1" x14ac:dyDescent="0.25"/>
    <row r="41150" s="12" customFormat="1" x14ac:dyDescent="0.25"/>
    <row r="41151" s="12" customFormat="1" x14ac:dyDescent="0.25"/>
    <row r="41152" s="12" customFormat="1" x14ac:dyDescent="0.25"/>
    <row r="41153" s="12" customFormat="1" x14ac:dyDescent="0.25"/>
    <row r="41154" s="12" customFormat="1" x14ac:dyDescent="0.25"/>
    <row r="41155" s="12" customFormat="1" x14ac:dyDescent="0.25"/>
    <row r="41156" s="12" customFormat="1" x14ac:dyDescent="0.25"/>
    <row r="41157" s="12" customFormat="1" x14ac:dyDescent="0.25"/>
    <row r="41158" s="12" customFormat="1" x14ac:dyDescent="0.25"/>
    <row r="41159" s="12" customFormat="1" x14ac:dyDescent="0.25"/>
    <row r="41160" s="12" customFormat="1" x14ac:dyDescent="0.25"/>
    <row r="41161" s="12" customFormat="1" x14ac:dyDescent="0.25"/>
    <row r="41162" s="12" customFormat="1" x14ac:dyDescent="0.25"/>
    <row r="41163" s="12" customFormat="1" x14ac:dyDescent="0.25"/>
    <row r="41164" s="12" customFormat="1" x14ac:dyDescent="0.25"/>
    <row r="41165" s="12" customFormat="1" x14ac:dyDescent="0.25"/>
    <row r="41166" s="12" customFormat="1" x14ac:dyDescent="0.25"/>
    <row r="41167" s="12" customFormat="1" x14ac:dyDescent="0.25"/>
    <row r="41168" s="12" customFormat="1" x14ac:dyDescent="0.25"/>
    <row r="41169" s="12" customFormat="1" x14ac:dyDescent="0.25"/>
    <row r="41170" s="12" customFormat="1" x14ac:dyDescent="0.25"/>
    <row r="41171" s="12" customFormat="1" x14ac:dyDescent="0.25"/>
    <row r="41172" s="12" customFormat="1" x14ac:dyDescent="0.25"/>
    <row r="41173" s="12" customFormat="1" x14ac:dyDescent="0.25"/>
    <row r="41174" s="12" customFormat="1" x14ac:dyDescent="0.25"/>
    <row r="41175" s="12" customFormat="1" x14ac:dyDescent="0.25"/>
    <row r="41176" s="12" customFormat="1" x14ac:dyDescent="0.25"/>
    <row r="41177" s="12" customFormat="1" x14ac:dyDescent="0.25"/>
    <row r="41178" s="12" customFormat="1" x14ac:dyDescent="0.25"/>
    <row r="41179" s="12" customFormat="1" x14ac:dyDescent="0.25"/>
    <row r="41180" s="12" customFormat="1" x14ac:dyDescent="0.25"/>
    <row r="41181" s="12" customFormat="1" x14ac:dyDescent="0.25"/>
    <row r="41182" s="12" customFormat="1" x14ac:dyDescent="0.25"/>
    <row r="41183" s="12" customFormat="1" x14ac:dyDescent="0.25"/>
    <row r="41184" s="12" customFormat="1" x14ac:dyDescent="0.25"/>
    <row r="41185" s="12" customFormat="1" x14ac:dyDescent="0.25"/>
    <row r="41186" s="12" customFormat="1" x14ac:dyDescent="0.25"/>
    <row r="41187" s="12" customFormat="1" x14ac:dyDescent="0.25"/>
    <row r="41188" s="12" customFormat="1" x14ac:dyDescent="0.25"/>
    <row r="41189" s="12" customFormat="1" x14ac:dyDescent="0.25"/>
    <row r="41190" s="12" customFormat="1" x14ac:dyDescent="0.25"/>
    <row r="41191" s="12" customFormat="1" x14ac:dyDescent="0.25"/>
    <row r="41192" s="12" customFormat="1" x14ac:dyDescent="0.25"/>
    <row r="41193" s="12" customFormat="1" x14ac:dyDescent="0.25"/>
    <row r="41194" s="12" customFormat="1" x14ac:dyDescent="0.25"/>
    <row r="41195" s="12" customFormat="1" x14ac:dyDescent="0.25"/>
    <row r="41196" s="12" customFormat="1" x14ac:dyDescent="0.25"/>
    <row r="41197" s="12" customFormat="1" x14ac:dyDescent="0.25"/>
    <row r="41198" s="12" customFormat="1" x14ac:dyDescent="0.25"/>
    <row r="41199" s="12" customFormat="1" x14ac:dyDescent="0.25"/>
    <row r="41200" s="12" customFormat="1" x14ac:dyDescent="0.25"/>
    <row r="41201" s="12" customFormat="1" x14ac:dyDescent="0.25"/>
    <row r="41202" s="12" customFormat="1" x14ac:dyDescent="0.25"/>
    <row r="41203" s="12" customFormat="1" x14ac:dyDescent="0.25"/>
    <row r="41204" s="12" customFormat="1" x14ac:dyDescent="0.25"/>
    <row r="41205" s="12" customFormat="1" x14ac:dyDescent="0.25"/>
    <row r="41206" s="12" customFormat="1" x14ac:dyDescent="0.25"/>
    <row r="41207" s="12" customFormat="1" x14ac:dyDescent="0.25"/>
    <row r="41208" s="12" customFormat="1" x14ac:dyDescent="0.25"/>
    <row r="41209" s="12" customFormat="1" x14ac:dyDescent="0.25"/>
    <row r="41210" s="12" customFormat="1" x14ac:dyDescent="0.25"/>
    <row r="41211" s="12" customFormat="1" x14ac:dyDescent="0.25"/>
    <row r="41212" s="12" customFormat="1" x14ac:dyDescent="0.25"/>
    <row r="41213" s="12" customFormat="1" x14ac:dyDescent="0.25"/>
    <row r="41214" s="12" customFormat="1" x14ac:dyDescent="0.25"/>
    <row r="41215" s="12" customFormat="1" x14ac:dyDescent="0.25"/>
    <row r="41216" s="12" customFormat="1" x14ac:dyDescent="0.25"/>
    <row r="41217" s="12" customFormat="1" x14ac:dyDescent="0.25"/>
    <row r="41218" s="12" customFormat="1" x14ac:dyDescent="0.25"/>
    <row r="41219" s="12" customFormat="1" x14ac:dyDescent="0.25"/>
    <row r="41220" s="12" customFormat="1" x14ac:dyDescent="0.25"/>
    <row r="41221" s="12" customFormat="1" x14ac:dyDescent="0.25"/>
    <row r="41222" s="12" customFormat="1" x14ac:dyDescent="0.25"/>
    <row r="41223" s="12" customFormat="1" x14ac:dyDescent="0.25"/>
    <row r="41224" s="12" customFormat="1" x14ac:dyDescent="0.25"/>
    <row r="41225" s="12" customFormat="1" x14ac:dyDescent="0.25"/>
    <row r="41226" s="12" customFormat="1" x14ac:dyDescent="0.25"/>
    <row r="41227" s="12" customFormat="1" x14ac:dyDescent="0.25"/>
    <row r="41228" s="12" customFormat="1" x14ac:dyDescent="0.25"/>
    <row r="41229" s="12" customFormat="1" x14ac:dyDescent="0.25"/>
    <row r="41230" s="12" customFormat="1" x14ac:dyDescent="0.25"/>
    <row r="41231" s="12" customFormat="1" x14ac:dyDescent="0.25"/>
    <row r="41232" s="12" customFormat="1" x14ac:dyDescent="0.25"/>
    <row r="41233" s="12" customFormat="1" x14ac:dyDescent="0.25"/>
    <row r="41234" s="12" customFormat="1" x14ac:dyDescent="0.25"/>
    <row r="41235" s="12" customFormat="1" x14ac:dyDescent="0.25"/>
    <row r="41236" s="12" customFormat="1" x14ac:dyDescent="0.25"/>
    <row r="41237" s="12" customFormat="1" x14ac:dyDescent="0.25"/>
    <row r="41238" s="12" customFormat="1" x14ac:dyDescent="0.25"/>
    <row r="41239" s="12" customFormat="1" x14ac:dyDescent="0.25"/>
    <row r="41240" s="12" customFormat="1" x14ac:dyDescent="0.25"/>
    <row r="41241" s="12" customFormat="1" x14ac:dyDescent="0.25"/>
    <row r="41242" s="12" customFormat="1" x14ac:dyDescent="0.25"/>
    <row r="41243" s="12" customFormat="1" x14ac:dyDescent="0.25"/>
    <row r="41244" s="12" customFormat="1" x14ac:dyDescent="0.25"/>
    <row r="41245" s="12" customFormat="1" x14ac:dyDescent="0.25"/>
    <row r="41246" s="12" customFormat="1" x14ac:dyDescent="0.25"/>
    <row r="41247" s="12" customFormat="1" x14ac:dyDescent="0.25"/>
    <row r="41248" s="12" customFormat="1" x14ac:dyDescent="0.25"/>
    <row r="41249" s="12" customFormat="1" x14ac:dyDescent="0.25"/>
    <row r="41250" s="12" customFormat="1" x14ac:dyDescent="0.25"/>
    <row r="41251" s="12" customFormat="1" x14ac:dyDescent="0.25"/>
    <row r="41252" s="12" customFormat="1" x14ac:dyDescent="0.25"/>
    <row r="41253" s="12" customFormat="1" x14ac:dyDescent="0.25"/>
    <row r="41254" s="12" customFormat="1" x14ac:dyDescent="0.25"/>
    <row r="41255" s="12" customFormat="1" x14ac:dyDescent="0.25"/>
    <row r="41256" s="12" customFormat="1" x14ac:dyDescent="0.25"/>
    <row r="41257" s="12" customFormat="1" x14ac:dyDescent="0.25"/>
    <row r="41258" s="12" customFormat="1" x14ac:dyDescent="0.25"/>
    <row r="41259" s="12" customFormat="1" x14ac:dyDescent="0.25"/>
    <row r="41260" s="12" customFormat="1" x14ac:dyDescent="0.25"/>
    <row r="41261" s="12" customFormat="1" x14ac:dyDescent="0.25"/>
    <row r="41262" s="12" customFormat="1" x14ac:dyDescent="0.25"/>
    <row r="41263" s="12" customFormat="1" x14ac:dyDescent="0.25"/>
    <row r="41264" s="12" customFormat="1" x14ac:dyDescent="0.25"/>
    <row r="41265" s="12" customFormat="1" x14ac:dyDescent="0.25"/>
    <row r="41266" s="12" customFormat="1" x14ac:dyDescent="0.25"/>
    <row r="41267" s="12" customFormat="1" x14ac:dyDescent="0.25"/>
    <row r="41268" s="12" customFormat="1" x14ac:dyDescent="0.25"/>
    <row r="41269" s="12" customFormat="1" x14ac:dyDescent="0.25"/>
    <row r="41270" s="12" customFormat="1" x14ac:dyDescent="0.25"/>
    <row r="41271" s="12" customFormat="1" x14ac:dyDescent="0.25"/>
    <row r="41272" s="12" customFormat="1" x14ac:dyDescent="0.25"/>
    <row r="41273" s="12" customFormat="1" x14ac:dyDescent="0.25"/>
    <row r="41274" s="12" customFormat="1" x14ac:dyDescent="0.25"/>
    <row r="41275" s="12" customFormat="1" x14ac:dyDescent="0.25"/>
    <row r="41276" s="12" customFormat="1" x14ac:dyDescent="0.25"/>
    <row r="41277" s="12" customFormat="1" x14ac:dyDescent="0.25"/>
    <row r="41278" s="12" customFormat="1" x14ac:dyDescent="0.25"/>
    <row r="41279" s="12" customFormat="1" x14ac:dyDescent="0.25"/>
    <row r="41280" s="12" customFormat="1" x14ac:dyDescent="0.25"/>
    <row r="41281" s="12" customFormat="1" x14ac:dyDescent="0.25"/>
    <row r="41282" s="12" customFormat="1" x14ac:dyDescent="0.25"/>
    <row r="41283" s="12" customFormat="1" x14ac:dyDescent="0.25"/>
    <row r="41284" s="12" customFormat="1" x14ac:dyDescent="0.25"/>
    <row r="41285" s="12" customFormat="1" x14ac:dyDescent="0.25"/>
    <row r="41286" s="12" customFormat="1" x14ac:dyDescent="0.25"/>
    <row r="41287" s="12" customFormat="1" x14ac:dyDescent="0.25"/>
    <row r="41288" s="12" customFormat="1" x14ac:dyDescent="0.25"/>
    <row r="41289" s="12" customFormat="1" x14ac:dyDescent="0.25"/>
    <row r="41290" s="12" customFormat="1" x14ac:dyDescent="0.25"/>
    <row r="41291" s="12" customFormat="1" x14ac:dyDescent="0.25"/>
    <row r="41292" s="12" customFormat="1" x14ac:dyDescent="0.25"/>
    <row r="41293" s="12" customFormat="1" x14ac:dyDescent="0.25"/>
    <row r="41294" s="12" customFormat="1" x14ac:dyDescent="0.25"/>
    <row r="41295" s="12" customFormat="1" x14ac:dyDescent="0.25"/>
    <row r="41296" s="12" customFormat="1" x14ac:dyDescent="0.25"/>
    <row r="41297" s="12" customFormat="1" x14ac:dyDescent="0.25"/>
    <row r="41298" s="12" customFormat="1" x14ac:dyDescent="0.25"/>
    <row r="41299" s="12" customFormat="1" x14ac:dyDescent="0.25"/>
    <row r="41300" s="12" customFormat="1" x14ac:dyDescent="0.25"/>
    <row r="41301" s="12" customFormat="1" x14ac:dyDescent="0.25"/>
    <row r="41302" s="12" customFormat="1" x14ac:dyDescent="0.25"/>
    <row r="41303" s="12" customFormat="1" x14ac:dyDescent="0.25"/>
    <row r="41304" s="12" customFormat="1" x14ac:dyDescent="0.25"/>
    <row r="41305" s="12" customFormat="1" x14ac:dyDescent="0.25"/>
    <row r="41306" s="12" customFormat="1" x14ac:dyDescent="0.25"/>
    <row r="41307" s="12" customFormat="1" x14ac:dyDescent="0.25"/>
    <row r="41308" s="12" customFormat="1" x14ac:dyDescent="0.25"/>
    <row r="41309" s="12" customFormat="1" x14ac:dyDescent="0.25"/>
    <row r="41310" s="12" customFormat="1" x14ac:dyDescent="0.25"/>
    <row r="41311" s="12" customFormat="1" x14ac:dyDescent="0.25"/>
    <row r="41312" s="12" customFormat="1" x14ac:dyDescent="0.25"/>
    <row r="41313" s="12" customFormat="1" x14ac:dyDescent="0.25"/>
    <row r="41314" s="12" customFormat="1" x14ac:dyDescent="0.25"/>
    <row r="41315" s="12" customFormat="1" x14ac:dyDescent="0.25"/>
    <row r="41316" s="12" customFormat="1" x14ac:dyDescent="0.25"/>
    <row r="41317" s="12" customFormat="1" x14ac:dyDescent="0.25"/>
    <row r="41318" s="12" customFormat="1" x14ac:dyDescent="0.25"/>
    <row r="41319" s="12" customFormat="1" x14ac:dyDescent="0.25"/>
    <row r="41320" s="12" customFormat="1" x14ac:dyDescent="0.25"/>
    <row r="41321" s="12" customFormat="1" x14ac:dyDescent="0.25"/>
    <row r="41322" s="12" customFormat="1" x14ac:dyDescent="0.25"/>
    <row r="41323" s="12" customFormat="1" x14ac:dyDescent="0.25"/>
    <row r="41324" s="12" customFormat="1" x14ac:dyDescent="0.25"/>
    <row r="41325" s="12" customFormat="1" x14ac:dyDescent="0.25"/>
    <row r="41326" s="12" customFormat="1" x14ac:dyDescent="0.25"/>
    <row r="41327" s="12" customFormat="1" x14ac:dyDescent="0.25"/>
    <row r="41328" s="12" customFormat="1" x14ac:dyDescent="0.25"/>
    <row r="41329" s="12" customFormat="1" x14ac:dyDescent="0.25"/>
    <row r="41330" s="12" customFormat="1" x14ac:dyDescent="0.25"/>
    <row r="41331" s="12" customFormat="1" x14ac:dyDescent="0.25"/>
    <row r="41332" s="12" customFormat="1" x14ac:dyDescent="0.25"/>
    <row r="41333" s="12" customFormat="1" x14ac:dyDescent="0.25"/>
    <row r="41334" s="12" customFormat="1" x14ac:dyDescent="0.25"/>
    <row r="41335" s="12" customFormat="1" x14ac:dyDescent="0.25"/>
    <row r="41336" s="12" customFormat="1" x14ac:dyDescent="0.25"/>
    <row r="41337" s="12" customFormat="1" x14ac:dyDescent="0.25"/>
    <row r="41338" s="12" customFormat="1" x14ac:dyDescent="0.25"/>
    <row r="41339" s="12" customFormat="1" x14ac:dyDescent="0.25"/>
    <row r="41340" s="12" customFormat="1" x14ac:dyDescent="0.25"/>
    <row r="41341" s="12" customFormat="1" x14ac:dyDescent="0.25"/>
    <row r="41342" s="12" customFormat="1" x14ac:dyDescent="0.25"/>
    <row r="41343" s="12" customFormat="1" x14ac:dyDescent="0.25"/>
    <row r="41344" s="12" customFormat="1" x14ac:dyDescent="0.25"/>
    <row r="41345" s="12" customFormat="1" x14ac:dyDescent="0.25"/>
    <row r="41346" s="12" customFormat="1" x14ac:dyDescent="0.25"/>
    <row r="41347" s="12" customFormat="1" x14ac:dyDescent="0.25"/>
    <row r="41348" s="12" customFormat="1" x14ac:dyDescent="0.25"/>
    <row r="41349" s="12" customFormat="1" x14ac:dyDescent="0.25"/>
    <row r="41350" s="12" customFormat="1" x14ac:dyDescent="0.25"/>
    <row r="41351" s="12" customFormat="1" x14ac:dyDescent="0.25"/>
    <row r="41352" s="12" customFormat="1" x14ac:dyDescent="0.25"/>
    <row r="41353" s="12" customFormat="1" x14ac:dyDescent="0.25"/>
    <row r="41354" s="12" customFormat="1" x14ac:dyDescent="0.25"/>
    <row r="41355" s="12" customFormat="1" x14ac:dyDescent="0.25"/>
    <row r="41356" s="12" customFormat="1" x14ac:dyDescent="0.25"/>
    <row r="41357" s="12" customFormat="1" x14ac:dyDescent="0.25"/>
    <row r="41358" s="12" customFormat="1" x14ac:dyDescent="0.25"/>
    <row r="41359" s="12" customFormat="1" x14ac:dyDescent="0.25"/>
    <row r="41360" s="12" customFormat="1" x14ac:dyDescent="0.25"/>
    <row r="41361" s="12" customFormat="1" x14ac:dyDescent="0.25"/>
    <row r="41362" s="12" customFormat="1" x14ac:dyDescent="0.25"/>
    <row r="41363" s="12" customFormat="1" x14ac:dyDescent="0.25"/>
    <row r="41364" s="12" customFormat="1" x14ac:dyDescent="0.25"/>
    <row r="41365" s="12" customFormat="1" x14ac:dyDescent="0.25"/>
    <row r="41366" s="12" customFormat="1" x14ac:dyDescent="0.25"/>
    <row r="41367" s="12" customFormat="1" x14ac:dyDescent="0.25"/>
    <row r="41368" s="12" customFormat="1" x14ac:dyDescent="0.25"/>
    <row r="41369" s="12" customFormat="1" x14ac:dyDescent="0.25"/>
    <row r="41370" s="12" customFormat="1" x14ac:dyDescent="0.25"/>
    <row r="41371" s="12" customFormat="1" x14ac:dyDescent="0.25"/>
    <row r="41372" s="12" customFormat="1" x14ac:dyDescent="0.25"/>
    <row r="41373" s="12" customFormat="1" x14ac:dyDescent="0.25"/>
    <row r="41374" s="12" customFormat="1" x14ac:dyDescent="0.25"/>
    <row r="41375" s="12" customFormat="1" x14ac:dyDescent="0.25"/>
    <row r="41376" s="12" customFormat="1" x14ac:dyDescent="0.25"/>
    <row r="41377" s="12" customFormat="1" x14ac:dyDescent="0.25"/>
    <row r="41378" s="12" customFormat="1" x14ac:dyDescent="0.25"/>
    <row r="41379" s="12" customFormat="1" x14ac:dyDescent="0.25"/>
    <row r="41380" s="12" customFormat="1" x14ac:dyDescent="0.25"/>
    <row r="41381" s="12" customFormat="1" x14ac:dyDescent="0.25"/>
    <row r="41382" s="12" customFormat="1" x14ac:dyDescent="0.25"/>
    <row r="41383" s="12" customFormat="1" x14ac:dyDescent="0.25"/>
    <row r="41384" s="12" customFormat="1" x14ac:dyDescent="0.25"/>
    <row r="41385" s="12" customFormat="1" x14ac:dyDescent="0.25"/>
    <row r="41386" s="12" customFormat="1" x14ac:dyDescent="0.25"/>
    <row r="41387" s="12" customFormat="1" x14ac:dyDescent="0.25"/>
    <row r="41388" s="12" customFormat="1" x14ac:dyDescent="0.25"/>
    <row r="41389" s="12" customFormat="1" x14ac:dyDescent="0.25"/>
    <row r="41390" s="12" customFormat="1" x14ac:dyDescent="0.25"/>
    <row r="41391" s="12" customFormat="1" x14ac:dyDescent="0.25"/>
    <row r="41392" s="12" customFormat="1" x14ac:dyDescent="0.25"/>
    <row r="41393" s="12" customFormat="1" x14ac:dyDescent="0.25"/>
    <row r="41394" s="12" customFormat="1" x14ac:dyDescent="0.25"/>
    <row r="41395" s="12" customFormat="1" x14ac:dyDescent="0.25"/>
    <row r="41396" s="12" customFormat="1" x14ac:dyDescent="0.25"/>
    <row r="41397" s="12" customFormat="1" x14ac:dyDescent="0.25"/>
    <row r="41398" s="12" customFormat="1" x14ac:dyDescent="0.25"/>
    <row r="41399" s="12" customFormat="1" x14ac:dyDescent="0.25"/>
    <row r="41400" s="12" customFormat="1" x14ac:dyDescent="0.25"/>
    <row r="41401" s="12" customFormat="1" x14ac:dyDescent="0.25"/>
    <row r="41402" s="12" customFormat="1" x14ac:dyDescent="0.25"/>
    <row r="41403" s="12" customFormat="1" x14ac:dyDescent="0.25"/>
    <row r="41404" s="12" customFormat="1" x14ac:dyDescent="0.25"/>
    <row r="41405" s="12" customFormat="1" x14ac:dyDescent="0.25"/>
    <row r="41406" s="12" customFormat="1" x14ac:dyDescent="0.25"/>
    <row r="41407" s="12" customFormat="1" x14ac:dyDescent="0.25"/>
    <row r="41408" s="12" customFormat="1" x14ac:dyDescent="0.25"/>
    <row r="41409" s="12" customFormat="1" x14ac:dyDescent="0.25"/>
    <row r="41410" s="12" customFormat="1" x14ac:dyDescent="0.25"/>
    <row r="41411" s="12" customFormat="1" x14ac:dyDescent="0.25"/>
    <row r="41412" s="12" customFormat="1" x14ac:dyDescent="0.25"/>
    <row r="41413" s="12" customFormat="1" x14ac:dyDescent="0.25"/>
    <row r="41414" s="12" customFormat="1" x14ac:dyDescent="0.25"/>
    <row r="41415" s="12" customFormat="1" x14ac:dyDescent="0.25"/>
    <row r="41416" s="12" customFormat="1" x14ac:dyDescent="0.25"/>
    <row r="41417" s="12" customFormat="1" x14ac:dyDescent="0.25"/>
    <row r="41418" s="12" customFormat="1" x14ac:dyDescent="0.25"/>
    <row r="41419" s="12" customFormat="1" x14ac:dyDescent="0.25"/>
    <row r="41420" s="12" customFormat="1" x14ac:dyDescent="0.25"/>
    <row r="41421" s="12" customFormat="1" x14ac:dyDescent="0.25"/>
    <row r="41422" s="12" customFormat="1" x14ac:dyDescent="0.25"/>
    <row r="41423" s="12" customFormat="1" x14ac:dyDescent="0.25"/>
    <row r="41424" s="12" customFormat="1" x14ac:dyDescent="0.25"/>
    <row r="41425" s="12" customFormat="1" x14ac:dyDescent="0.25"/>
    <row r="41426" s="12" customFormat="1" x14ac:dyDescent="0.25"/>
    <row r="41427" s="12" customFormat="1" x14ac:dyDescent="0.25"/>
    <row r="41428" s="12" customFormat="1" x14ac:dyDescent="0.25"/>
    <row r="41429" s="12" customFormat="1" x14ac:dyDescent="0.25"/>
    <row r="41430" s="12" customFormat="1" x14ac:dyDescent="0.25"/>
    <row r="41431" s="12" customFormat="1" x14ac:dyDescent="0.25"/>
    <row r="41432" s="12" customFormat="1" x14ac:dyDescent="0.25"/>
    <row r="41433" s="12" customFormat="1" x14ac:dyDescent="0.25"/>
    <row r="41434" s="12" customFormat="1" x14ac:dyDescent="0.25"/>
    <row r="41435" s="12" customFormat="1" x14ac:dyDescent="0.25"/>
    <row r="41436" s="12" customFormat="1" x14ac:dyDescent="0.25"/>
    <row r="41437" s="12" customFormat="1" x14ac:dyDescent="0.25"/>
    <row r="41438" s="12" customFormat="1" x14ac:dyDescent="0.25"/>
    <row r="41439" s="12" customFormat="1" x14ac:dyDescent="0.25"/>
    <row r="41440" s="12" customFormat="1" x14ac:dyDescent="0.25"/>
    <row r="41441" s="12" customFormat="1" x14ac:dyDescent="0.25"/>
    <row r="41442" s="12" customFormat="1" x14ac:dyDescent="0.25"/>
    <row r="41443" s="12" customFormat="1" x14ac:dyDescent="0.25"/>
    <row r="41444" s="12" customFormat="1" x14ac:dyDescent="0.25"/>
    <row r="41445" s="12" customFormat="1" x14ac:dyDescent="0.25"/>
    <row r="41446" s="12" customFormat="1" x14ac:dyDescent="0.25"/>
    <row r="41447" s="12" customFormat="1" x14ac:dyDescent="0.25"/>
    <row r="41448" s="12" customFormat="1" x14ac:dyDescent="0.25"/>
    <row r="41449" s="12" customFormat="1" x14ac:dyDescent="0.25"/>
    <row r="41450" s="12" customFormat="1" x14ac:dyDescent="0.25"/>
    <row r="41451" s="12" customFormat="1" x14ac:dyDescent="0.25"/>
    <row r="41452" s="12" customFormat="1" x14ac:dyDescent="0.25"/>
    <row r="41453" s="12" customFormat="1" x14ac:dyDescent="0.25"/>
    <row r="41454" s="12" customFormat="1" x14ac:dyDescent="0.25"/>
    <row r="41455" s="12" customFormat="1" x14ac:dyDescent="0.25"/>
    <row r="41456" s="12" customFormat="1" x14ac:dyDescent="0.25"/>
    <row r="41457" s="12" customFormat="1" x14ac:dyDescent="0.25"/>
    <row r="41458" s="12" customFormat="1" x14ac:dyDescent="0.25"/>
    <row r="41459" s="12" customFormat="1" x14ac:dyDescent="0.25"/>
    <row r="41460" s="12" customFormat="1" x14ac:dyDescent="0.25"/>
    <row r="41461" s="12" customFormat="1" x14ac:dyDescent="0.25"/>
    <row r="41462" s="12" customFormat="1" x14ac:dyDescent="0.25"/>
    <row r="41463" s="12" customFormat="1" x14ac:dyDescent="0.25"/>
    <row r="41464" s="12" customFormat="1" x14ac:dyDescent="0.25"/>
    <row r="41465" s="12" customFormat="1" x14ac:dyDescent="0.25"/>
    <row r="41466" s="12" customFormat="1" x14ac:dyDescent="0.25"/>
    <row r="41467" s="12" customFormat="1" x14ac:dyDescent="0.25"/>
    <row r="41468" s="12" customFormat="1" x14ac:dyDescent="0.25"/>
    <row r="41469" s="12" customFormat="1" x14ac:dyDescent="0.25"/>
    <row r="41470" s="12" customFormat="1" x14ac:dyDescent="0.25"/>
    <row r="41471" s="12" customFormat="1" x14ac:dyDescent="0.25"/>
    <row r="41472" s="12" customFormat="1" x14ac:dyDescent="0.25"/>
    <row r="41473" s="12" customFormat="1" x14ac:dyDescent="0.25"/>
    <row r="41474" s="12" customFormat="1" x14ac:dyDescent="0.25"/>
    <row r="41475" s="12" customFormat="1" x14ac:dyDescent="0.25"/>
    <row r="41476" s="12" customFormat="1" x14ac:dyDescent="0.25"/>
    <row r="41477" s="12" customFormat="1" x14ac:dyDescent="0.25"/>
    <row r="41478" s="12" customFormat="1" x14ac:dyDescent="0.25"/>
    <row r="41479" s="12" customFormat="1" x14ac:dyDescent="0.25"/>
    <row r="41480" s="12" customFormat="1" x14ac:dyDescent="0.25"/>
    <row r="41481" s="12" customFormat="1" x14ac:dyDescent="0.25"/>
    <row r="41482" s="12" customFormat="1" x14ac:dyDescent="0.25"/>
    <row r="41483" s="12" customFormat="1" x14ac:dyDescent="0.25"/>
    <row r="41484" s="12" customFormat="1" x14ac:dyDescent="0.25"/>
    <row r="41485" s="12" customFormat="1" x14ac:dyDescent="0.25"/>
    <row r="41486" s="12" customFormat="1" x14ac:dyDescent="0.25"/>
    <row r="41487" s="12" customFormat="1" x14ac:dyDescent="0.25"/>
    <row r="41488" s="12" customFormat="1" x14ac:dyDescent="0.25"/>
    <row r="41489" s="12" customFormat="1" x14ac:dyDescent="0.25"/>
    <row r="41490" s="12" customFormat="1" x14ac:dyDescent="0.25"/>
    <row r="41491" s="12" customFormat="1" x14ac:dyDescent="0.25"/>
    <row r="41492" s="12" customFormat="1" x14ac:dyDescent="0.25"/>
    <row r="41493" s="12" customFormat="1" x14ac:dyDescent="0.25"/>
    <row r="41494" s="12" customFormat="1" x14ac:dyDescent="0.25"/>
    <row r="41495" s="12" customFormat="1" x14ac:dyDescent="0.25"/>
    <row r="41496" s="12" customFormat="1" x14ac:dyDescent="0.25"/>
    <row r="41497" s="12" customFormat="1" x14ac:dyDescent="0.25"/>
    <row r="41498" s="12" customFormat="1" x14ac:dyDescent="0.25"/>
    <row r="41499" s="12" customFormat="1" x14ac:dyDescent="0.25"/>
    <row r="41500" s="12" customFormat="1" x14ac:dyDescent="0.25"/>
    <row r="41501" s="12" customFormat="1" x14ac:dyDescent="0.25"/>
    <row r="41502" s="12" customFormat="1" x14ac:dyDescent="0.25"/>
    <row r="41503" s="12" customFormat="1" x14ac:dyDescent="0.25"/>
    <row r="41504" s="12" customFormat="1" x14ac:dyDescent="0.25"/>
    <row r="41505" s="12" customFormat="1" x14ac:dyDescent="0.25"/>
    <row r="41506" s="12" customFormat="1" x14ac:dyDescent="0.25"/>
    <row r="41507" s="12" customFormat="1" x14ac:dyDescent="0.25"/>
    <row r="41508" s="12" customFormat="1" x14ac:dyDescent="0.25"/>
    <row r="41509" s="12" customFormat="1" x14ac:dyDescent="0.25"/>
    <row r="41510" s="12" customFormat="1" x14ac:dyDescent="0.25"/>
    <row r="41511" s="12" customFormat="1" x14ac:dyDescent="0.25"/>
    <row r="41512" s="12" customFormat="1" x14ac:dyDescent="0.25"/>
    <row r="41513" s="12" customFormat="1" x14ac:dyDescent="0.25"/>
    <row r="41514" s="12" customFormat="1" x14ac:dyDescent="0.25"/>
    <row r="41515" s="12" customFormat="1" x14ac:dyDescent="0.25"/>
    <row r="41516" s="12" customFormat="1" x14ac:dyDescent="0.25"/>
    <row r="41517" s="12" customFormat="1" x14ac:dyDescent="0.25"/>
    <row r="41518" s="12" customFormat="1" x14ac:dyDescent="0.25"/>
    <row r="41519" s="12" customFormat="1" x14ac:dyDescent="0.25"/>
    <row r="41520" s="12" customFormat="1" x14ac:dyDescent="0.25"/>
    <row r="41521" s="12" customFormat="1" x14ac:dyDescent="0.25"/>
    <row r="41522" s="12" customFormat="1" x14ac:dyDescent="0.25"/>
    <row r="41523" s="12" customFormat="1" x14ac:dyDescent="0.25"/>
    <row r="41524" s="12" customFormat="1" x14ac:dyDescent="0.25"/>
    <row r="41525" s="12" customFormat="1" x14ac:dyDescent="0.25"/>
    <row r="41526" s="12" customFormat="1" x14ac:dyDescent="0.25"/>
    <row r="41527" s="12" customFormat="1" x14ac:dyDescent="0.25"/>
    <row r="41528" s="12" customFormat="1" x14ac:dyDescent="0.25"/>
    <row r="41529" s="12" customFormat="1" x14ac:dyDescent="0.25"/>
    <row r="41530" s="12" customFormat="1" x14ac:dyDescent="0.25"/>
    <row r="41531" s="12" customFormat="1" x14ac:dyDescent="0.25"/>
    <row r="41532" s="12" customFormat="1" x14ac:dyDescent="0.25"/>
    <row r="41533" s="12" customFormat="1" x14ac:dyDescent="0.25"/>
    <row r="41534" s="12" customFormat="1" x14ac:dyDescent="0.25"/>
    <row r="41535" s="12" customFormat="1" x14ac:dyDescent="0.25"/>
    <row r="41536" s="12" customFormat="1" x14ac:dyDescent="0.25"/>
    <row r="41537" s="12" customFormat="1" x14ac:dyDescent="0.25"/>
    <row r="41538" s="12" customFormat="1" x14ac:dyDescent="0.25"/>
    <row r="41539" s="12" customFormat="1" x14ac:dyDescent="0.25"/>
    <row r="41540" s="12" customFormat="1" x14ac:dyDescent="0.25"/>
    <row r="41541" s="12" customFormat="1" x14ac:dyDescent="0.25"/>
    <row r="41542" s="12" customFormat="1" x14ac:dyDescent="0.25"/>
    <row r="41543" s="12" customFormat="1" x14ac:dyDescent="0.25"/>
    <row r="41544" s="12" customFormat="1" x14ac:dyDescent="0.25"/>
    <row r="41545" s="12" customFormat="1" x14ac:dyDescent="0.25"/>
    <row r="41546" s="12" customFormat="1" x14ac:dyDescent="0.25"/>
    <row r="41547" s="12" customFormat="1" x14ac:dyDescent="0.25"/>
    <row r="41548" s="12" customFormat="1" x14ac:dyDescent="0.25"/>
    <row r="41549" s="12" customFormat="1" x14ac:dyDescent="0.25"/>
    <row r="41550" s="12" customFormat="1" x14ac:dyDescent="0.25"/>
    <row r="41551" s="12" customFormat="1" x14ac:dyDescent="0.25"/>
    <row r="41552" s="12" customFormat="1" x14ac:dyDescent="0.25"/>
    <row r="41553" s="12" customFormat="1" x14ac:dyDescent="0.25"/>
    <row r="41554" s="12" customFormat="1" x14ac:dyDescent="0.25"/>
    <row r="41555" s="12" customFormat="1" x14ac:dyDescent="0.25"/>
    <row r="41556" s="12" customFormat="1" x14ac:dyDescent="0.25"/>
    <row r="41557" s="12" customFormat="1" x14ac:dyDescent="0.25"/>
    <row r="41558" s="12" customFormat="1" x14ac:dyDescent="0.25"/>
    <row r="41559" s="12" customFormat="1" x14ac:dyDescent="0.25"/>
    <row r="41560" s="12" customFormat="1" x14ac:dyDescent="0.25"/>
    <row r="41561" s="12" customFormat="1" x14ac:dyDescent="0.25"/>
    <row r="41562" s="12" customFormat="1" x14ac:dyDescent="0.25"/>
    <row r="41563" s="12" customFormat="1" x14ac:dyDescent="0.25"/>
    <row r="41564" s="12" customFormat="1" x14ac:dyDescent="0.25"/>
    <row r="41565" s="12" customFormat="1" x14ac:dyDescent="0.25"/>
    <row r="41566" s="12" customFormat="1" x14ac:dyDescent="0.25"/>
    <row r="41567" s="12" customFormat="1" x14ac:dyDescent="0.25"/>
    <row r="41568" s="12" customFormat="1" x14ac:dyDescent="0.25"/>
    <row r="41569" s="12" customFormat="1" x14ac:dyDescent="0.25"/>
    <row r="41570" s="12" customFormat="1" x14ac:dyDescent="0.25"/>
    <row r="41571" s="12" customFormat="1" x14ac:dyDescent="0.25"/>
    <row r="41572" s="12" customFormat="1" x14ac:dyDescent="0.25"/>
    <row r="41573" s="12" customFormat="1" x14ac:dyDescent="0.25"/>
    <row r="41574" s="12" customFormat="1" x14ac:dyDescent="0.25"/>
    <row r="41575" s="12" customFormat="1" x14ac:dyDescent="0.25"/>
    <row r="41576" s="12" customFormat="1" x14ac:dyDescent="0.25"/>
    <row r="41577" s="12" customFormat="1" x14ac:dyDescent="0.25"/>
    <row r="41578" s="12" customFormat="1" x14ac:dyDescent="0.25"/>
    <row r="41579" s="12" customFormat="1" x14ac:dyDescent="0.25"/>
    <row r="41580" s="12" customFormat="1" x14ac:dyDescent="0.25"/>
    <row r="41581" s="12" customFormat="1" x14ac:dyDescent="0.25"/>
    <row r="41582" s="12" customFormat="1" x14ac:dyDescent="0.25"/>
    <row r="41583" s="12" customFormat="1" x14ac:dyDescent="0.25"/>
    <row r="41584" s="12" customFormat="1" x14ac:dyDescent="0.25"/>
    <row r="41585" s="12" customFormat="1" x14ac:dyDescent="0.25"/>
    <row r="41586" s="12" customFormat="1" x14ac:dyDescent="0.25"/>
    <row r="41587" s="12" customFormat="1" x14ac:dyDescent="0.25"/>
    <row r="41588" s="12" customFormat="1" x14ac:dyDescent="0.25"/>
    <row r="41589" s="12" customFormat="1" x14ac:dyDescent="0.25"/>
    <row r="41590" s="12" customFormat="1" x14ac:dyDescent="0.25"/>
    <row r="41591" s="12" customFormat="1" x14ac:dyDescent="0.25"/>
    <row r="41592" s="12" customFormat="1" x14ac:dyDescent="0.25"/>
    <row r="41593" s="12" customFormat="1" x14ac:dyDescent="0.25"/>
    <row r="41594" s="12" customFormat="1" x14ac:dyDescent="0.25"/>
    <row r="41595" s="12" customFormat="1" x14ac:dyDescent="0.25"/>
    <row r="41596" s="12" customFormat="1" x14ac:dyDescent="0.25"/>
    <row r="41597" s="12" customFormat="1" x14ac:dyDescent="0.25"/>
    <row r="41598" s="12" customFormat="1" x14ac:dyDescent="0.25"/>
    <row r="41599" s="12" customFormat="1" x14ac:dyDescent="0.25"/>
    <row r="41600" s="12" customFormat="1" x14ac:dyDescent="0.25"/>
    <row r="41601" s="12" customFormat="1" x14ac:dyDescent="0.25"/>
    <row r="41602" s="12" customFormat="1" x14ac:dyDescent="0.25"/>
    <row r="41603" s="12" customFormat="1" x14ac:dyDescent="0.25"/>
    <row r="41604" s="12" customFormat="1" x14ac:dyDescent="0.25"/>
    <row r="41605" s="12" customFormat="1" x14ac:dyDescent="0.25"/>
    <row r="41606" s="12" customFormat="1" x14ac:dyDescent="0.25"/>
    <row r="41607" s="12" customFormat="1" x14ac:dyDescent="0.25"/>
    <row r="41608" s="12" customFormat="1" x14ac:dyDescent="0.25"/>
    <row r="41609" s="12" customFormat="1" x14ac:dyDescent="0.25"/>
    <row r="41610" s="12" customFormat="1" x14ac:dyDescent="0.25"/>
    <row r="41611" s="12" customFormat="1" x14ac:dyDescent="0.25"/>
    <row r="41612" s="12" customFormat="1" x14ac:dyDescent="0.25"/>
    <row r="41613" s="12" customFormat="1" x14ac:dyDescent="0.25"/>
    <row r="41614" s="12" customFormat="1" x14ac:dyDescent="0.25"/>
    <row r="41615" s="12" customFormat="1" x14ac:dyDescent="0.25"/>
    <row r="41616" s="12" customFormat="1" x14ac:dyDescent="0.25"/>
    <row r="41617" s="12" customFormat="1" x14ac:dyDescent="0.25"/>
    <row r="41618" s="12" customFormat="1" x14ac:dyDescent="0.25"/>
    <row r="41619" s="12" customFormat="1" x14ac:dyDescent="0.25"/>
    <row r="41620" s="12" customFormat="1" x14ac:dyDescent="0.25"/>
    <row r="41621" s="12" customFormat="1" x14ac:dyDescent="0.25"/>
    <row r="41622" s="12" customFormat="1" x14ac:dyDescent="0.25"/>
    <row r="41623" s="12" customFormat="1" x14ac:dyDescent="0.25"/>
    <row r="41624" s="12" customFormat="1" x14ac:dyDescent="0.25"/>
    <row r="41625" s="12" customFormat="1" x14ac:dyDescent="0.25"/>
    <row r="41626" s="12" customFormat="1" x14ac:dyDescent="0.25"/>
    <row r="41627" s="12" customFormat="1" x14ac:dyDescent="0.25"/>
    <row r="41628" s="12" customFormat="1" x14ac:dyDescent="0.25"/>
    <row r="41629" s="12" customFormat="1" x14ac:dyDescent="0.25"/>
    <row r="41630" s="12" customFormat="1" x14ac:dyDescent="0.25"/>
    <row r="41631" s="12" customFormat="1" x14ac:dyDescent="0.25"/>
    <row r="41632" s="12" customFormat="1" x14ac:dyDescent="0.25"/>
    <row r="41633" s="12" customFormat="1" x14ac:dyDescent="0.25"/>
    <row r="41634" s="12" customFormat="1" x14ac:dyDescent="0.25"/>
    <row r="41635" s="12" customFormat="1" x14ac:dyDescent="0.25"/>
    <row r="41636" s="12" customFormat="1" x14ac:dyDescent="0.25"/>
    <row r="41637" s="12" customFormat="1" x14ac:dyDescent="0.25"/>
    <row r="41638" s="12" customFormat="1" x14ac:dyDescent="0.25"/>
    <row r="41639" s="12" customFormat="1" x14ac:dyDescent="0.25"/>
    <row r="41640" s="12" customFormat="1" x14ac:dyDescent="0.25"/>
    <row r="41641" s="12" customFormat="1" x14ac:dyDescent="0.25"/>
    <row r="41642" s="12" customFormat="1" x14ac:dyDescent="0.25"/>
    <row r="41643" s="12" customFormat="1" x14ac:dyDescent="0.25"/>
    <row r="41644" s="12" customFormat="1" x14ac:dyDescent="0.25"/>
    <row r="41645" s="12" customFormat="1" x14ac:dyDescent="0.25"/>
    <row r="41646" s="12" customFormat="1" x14ac:dyDescent="0.25"/>
    <row r="41647" s="12" customFormat="1" x14ac:dyDescent="0.25"/>
    <row r="41648" s="12" customFormat="1" x14ac:dyDescent="0.25"/>
    <row r="41649" s="12" customFormat="1" x14ac:dyDescent="0.25"/>
    <row r="41650" s="12" customFormat="1" x14ac:dyDescent="0.25"/>
    <row r="41651" s="12" customFormat="1" x14ac:dyDescent="0.25"/>
    <row r="41652" s="12" customFormat="1" x14ac:dyDescent="0.25"/>
    <row r="41653" s="12" customFormat="1" x14ac:dyDescent="0.25"/>
    <row r="41654" s="12" customFormat="1" x14ac:dyDescent="0.25"/>
    <row r="41655" s="12" customFormat="1" x14ac:dyDescent="0.25"/>
    <row r="41656" s="12" customFormat="1" x14ac:dyDescent="0.25"/>
    <row r="41657" s="12" customFormat="1" x14ac:dyDescent="0.25"/>
    <row r="41658" s="12" customFormat="1" x14ac:dyDescent="0.25"/>
    <row r="41659" s="12" customFormat="1" x14ac:dyDescent="0.25"/>
    <row r="41660" s="12" customFormat="1" x14ac:dyDescent="0.25"/>
    <row r="41661" s="12" customFormat="1" x14ac:dyDescent="0.25"/>
    <row r="41662" s="12" customFormat="1" x14ac:dyDescent="0.25"/>
    <row r="41663" s="12" customFormat="1" x14ac:dyDescent="0.25"/>
    <row r="41664" s="12" customFormat="1" x14ac:dyDescent="0.25"/>
    <row r="41665" s="12" customFormat="1" x14ac:dyDescent="0.25"/>
    <row r="41666" s="12" customFormat="1" x14ac:dyDescent="0.25"/>
    <row r="41667" s="12" customFormat="1" x14ac:dyDescent="0.25"/>
    <row r="41668" s="12" customFormat="1" x14ac:dyDescent="0.25"/>
    <row r="41669" s="12" customFormat="1" x14ac:dyDescent="0.25"/>
    <row r="41670" s="12" customFormat="1" x14ac:dyDescent="0.25"/>
    <row r="41671" s="12" customFormat="1" x14ac:dyDescent="0.25"/>
    <row r="41672" s="12" customFormat="1" x14ac:dyDescent="0.25"/>
    <row r="41673" s="12" customFormat="1" x14ac:dyDescent="0.25"/>
    <row r="41674" s="12" customFormat="1" x14ac:dyDescent="0.25"/>
    <row r="41675" s="12" customFormat="1" x14ac:dyDescent="0.25"/>
    <row r="41676" s="12" customFormat="1" x14ac:dyDescent="0.25"/>
    <row r="41677" s="12" customFormat="1" x14ac:dyDescent="0.25"/>
    <row r="41678" s="12" customFormat="1" x14ac:dyDescent="0.25"/>
    <row r="41679" s="12" customFormat="1" x14ac:dyDescent="0.25"/>
    <row r="41680" s="12" customFormat="1" x14ac:dyDescent="0.25"/>
    <row r="41681" s="12" customFormat="1" x14ac:dyDescent="0.25"/>
    <row r="41682" s="12" customFormat="1" x14ac:dyDescent="0.25"/>
    <row r="41683" s="12" customFormat="1" x14ac:dyDescent="0.25"/>
    <row r="41684" s="12" customFormat="1" x14ac:dyDescent="0.25"/>
    <row r="41685" s="12" customFormat="1" x14ac:dyDescent="0.25"/>
    <row r="41686" s="12" customFormat="1" x14ac:dyDescent="0.25"/>
    <row r="41687" s="12" customFormat="1" x14ac:dyDescent="0.25"/>
    <row r="41688" s="12" customFormat="1" x14ac:dyDescent="0.25"/>
    <row r="41689" s="12" customFormat="1" x14ac:dyDescent="0.25"/>
    <row r="41690" s="12" customFormat="1" x14ac:dyDescent="0.25"/>
    <row r="41691" s="12" customFormat="1" x14ac:dyDescent="0.25"/>
    <row r="41692" s="12" customFormat="1" x14ac:dyDescent="0.25"/>
    <row r="41693" s="12" customFormat="1" x14ac:dyDescent="0.25"/>
    <row r="41694" s="12" customFormat="1" x14ac:dyDescent="0.25"/>
    <row r="41695" s="12" customFormat="1" x14ac:dyDescent="0.25"/>
    <row r="41696" s="12" customFormat="1" x14ac:dyDescent="0.25"/>
    <row r="41697" s="12" customFormat="1" x14ac:dyDescent="0.25"/>
    <row r="41698" s="12" customFormat="1" x14ac:dyDescent="0.25"/>
    <row r="41699" s="12" customFormat="1" x14ac:dyDescent="0.25"/>
    <row r="41700" s="12" customFormat="1" x14ac:dyDescent="0.25"/>
    <row r="41701" s="12" customFormat="1" x14ac:dyDescent="0.25"/>
    <row r="41702" s="12" customFormat="1" x14ac:dyDescent="0.25"/>
    <row r="41703" s="12" customFormat="1" x14ac:dyDescent="0.25"/>
    <row r="41704" s="12" customFormat="1" x14ac:dyDescent="0.25"/>
    <row r="41705" s="12" customFormat="1" x14ac:dyDescent="0.25"/>
    <row r="41706" s="12" customFormat="1" x14ac:dyDescent="0.25"/>
    <row r="41707" s="12" customFormat="1" x14ac:dyDescent="0.25"/>
    <row r="41708" s="12" customFormat="1" x14ac:dyDescent="0.25"/>
    <row r="41709" s="12" customFormat="1" x14ac:dyDescent="0.25"/>
    <row r="41710" s="12" customFormat="1" x14ac:dyDescent="0.25"/>
    <row r="41711" s="12" customFormat="1" x14ac:dyDescent="0.25"/>
    <row r="41712" s="12" customFormat="1" x14ac:dyDescent="0.25"/>
    <row r="41713" s="12" customFormat="1" x14ac:dyDescent="0.25"/>
    <row r="41714" s="12" customFormat="1" x14ac:dyDescent="0.25"/>
    <row r="41715" s="12" customFormat="1" x14ac:dyDescent="0.25"/>
    <row r="41716" s="12" customFormat="1" x14ac:dyDescent="0.25"/>
    <row r="41717" s="12" customFormat="1" x14ac:dyDescent="0.25"/>
    <row r="41718" s="12" customFormat="1" x14ac:dyDescent="0.25"/>
    <row r="41719" s="12" customFormat="1" x14ac:dyDescent="0.25"/>
    <row r="41720" s="12" customFormat="1" x14ac:dyDescent="0.25"/>
    <row r="41721" s="12" customFormat="1" x14ac:dyDescent="0.25"/>
    <row r="41722" s="12" customFormat="1" x14ac:dyDescent="0.25"/>
    <row r="41723" s="12" customFormat="1" x14ac:dyDescent="0.25"/>
    <row r="41724" s="12" customFormat="1" x14ac:dyDescent="0.25"/>
    <row r="41725" s="12" customFormat="1" x14ac:dyDescent="0.25"/>
    <row r="41726" s="12" customFormat="1" x14ac:dyDescent="0.25"/>
    <row r="41727" s="12" customFormat="1" x14ac:dyDescent="0.25"/>
    <row r="41728" s="12" customFormat="1" x14ac:dyDescent="0.25"/>
    <row r="41729" s="12" customFormat="1" x14ac:dyDescent="0.25"/>
    <row r="41730" s="12" customFormat="1" x14ac:dyDescent="0.25"/>
    <row r="41731" s="12" customFormat="1" x14ac:dyDescent="0.25"/>
    <row r="41732" s="12" customFormat="1" x14ac:dyDescent="0.25"/>
    <row r="41733" s="12" customFormat="1" x14ac:dyDescent="0.25"/>
    <row r="41734" s="12" customFormat="1" x14ac:dyDescent="0.25"/>
    <row r="41735" s="12" customFormat="1" x14ac:dyDescent="0.25"/>
    <row r="41736" s="12" customFormat="1" x14ac:dyDescent="0.25"/>
    <row r="41737" s="12" customFormat="1" x14ac:dyDescent="0.25"/>
    <row r="41738" s="12" customFormat="1" x14ac:dyDescent="0.25"/>
    <row r="41739" s="12" customFormat="1" x14ac:dyDescent="0.25"/>
    <row r="41740" s="12" customFormat="1" x14ac:dyDescent="0.25"/>
    <row r="41741" s="12" customFormat="1" x14ac:dyDescent="0.25"/>
    <row r="41742" s="12" customFormat="1" x14ac:dyDescent="0.25"/>
    <row r="41743" s="12" customFormat="1" x14ac:dyDescent="0.25"/>
    <row r="41744" s="12" customFormat="1" x14ac:dyDescent="0.25"/>
    <row r="41745" s="12" customFormat="1" x14ac:dyDescent="0.25"/>
    <row r="41746" s="12" customFormat="1" x14ac:dyDescent="0.25"/>
    <row r="41747" s="12" customFormat="1" x14ac:dyDescent="0.25"/>
    <row r="41748" s="12" customFormat="1" x14ac:dyDescent="0.25"/>
    <row r="41749" s="12" customFormat="1" x14ac:dyDescent="0.25"/>
    <row r="41750" s="12" customFormat="1" x14ac:dyDescent="0.25"/>
    <row r="41751" s="12" customFormat="1" x14ac:dyDescent="0.25"/>
    <row r="41752" s="12" customFormat="1" x14ac:dyDescent="0.25"/>
    <row r="41753" s="12" customFormat="1" x14ac:dyDescent="0.25"/>
    <row r="41754" s="12" customFormat="1" x14ac:dyDescent="0.25"/>
    <row r="41755" s="12" customFormat="1" x14ac:dyDescent="0.25"/>
    <row r="41756" s="12" customFormat="1" x14ac:dyDescent="0.25"/>
    <row r="41757" s="12" customFormat="1" x14ac:dyDescent="0.25"/>
    <row r="41758" s="12" customFormat="1" x14ac:dyDescent="0.25"/>
    <row r="41759" s="12" customFormat="1" x14ac:dyDescent="0.25"/>
    <row r="41760" s="12" customFormat="1" x14ac:dyDescent="0.25"/>
    <row r="41761" s="12" customFormat="1" x14ac:dyDescent="0.25"/>
    <row r="41762" s="12" customFormat="1" x14ac:dyDescent="0.25"/>
    <row r="41763" s="12" customFormat="1" x14ac:dyDescent="0.25"/>
    <row r="41764" s="12" customFormat="1" x14ac:dyDescent="0.25"/>
    <row r="41765" s="12" customFormat="1" x14ac:dyDescent="0.25"/>
    <row r="41766" s="12" customFormat="1" x14ac:dyDescent="0.25"/>
    <row r="41767" s="12" customFormat="1" x14ac:dyDescent="0.25"/>
    <row r="41768" s="12" customFormat="1" x14ac:dyDescent="0.25"/>
    <row r="41769" s="12" customFormat="1" x14ac:dyDescent="0.25"/>
    <row r="41770" s="12" customFormat="1" x14ac:dyDescent="0.25"/>
    <row r="41771" s="12" customFormat="1" x14ac:dyDescent="0.25"/>
    <row r="41772" s="12" customFormat="1" x14ac:dyDescent="0.25"/>
    <row r="41773" s="12" customFormat="1" x14ac:dyDescent="0.25"/>
    <row r="41774" s="12" customFormat="1" x14ac:dyDescent="0.25"/>
    <row r="41775" s="12" customFormat="1" x14ac:dyDescent="0.25"/>
    <row r="41776" s="12" customFormat="1" x14ac:dyDescent="0.25"/>
    <row r="41777" s="12" customFormat="1" x14ac:dyDescent="0.25"/>
    <row r="41778" s="12" customFormat="1" x14ac:dyDescent="0.25"/>
    <row r="41779" s="12" customFormat="1" x14ac:dyDescent="0.25"/>
    <row r="41780" s="12" customFormat="1" x14ac:dyDescent="0.25"/>
    <row r="41781" s="12" customFormat="1" x14ac:dyDescent="0.25"/>
    <row r="41782" s="12" customFormat="1" x14ac:dyDescent="0.25"/>
    <row r="41783" s="12" customFormat="1" x14ac:dyDescent="0.25"/>
    <row r="41784" s="12" customFormat="1" x14ac:dyDescent="0.25"/>
    <row r="41785" s="12" customFormat="1" x14ac:dyDescent="0.25"/>
    <row r="41786" s="12" customFormat="1" x14ac:dyDescent="0.25"/>
    <row r="41787" s="12" customFormat="1" x14ac:dyDescent="0.25"/>
    <row r="41788" s="12" customFormat="1" x14ac:dyDescent="0.25"/>
    <row r="41789" s="12" customFormat="1" x14ac:dyDescent="0.25"/>
    <row r="41790" s="12" customFormat="1" x14ac:dyDescent="0.25"/>
    <row r="41791" s="12" customFormat="1" x14ac:dyDescent="0.25"/>
    <row r="41792" s="12" customFormat="1" x14ac:dyDescent="0.25"/>
    <row r="41793" s="12" customFormat="1" x14ac:dyDescent="0.25"/>
    <row r="41794" s="12" customFormat="1" x14ac:dyDescent="0.25"/>
    <row r="41795" s="12" customFormat="1" x14ac:dyDescent="0.25"/>
    <row r="41796" s="12" customFormat="1" x14ac:dyDescent="0.25"/>
    <row r="41797" s="12" customFormat="1" x14ac:dyDescent="0.25"/>
    <row r="41798" s="12" customFormat="1" x14ac:dyDescent="0.25"/>
    <row r="41799" s="12" customFormat="1" x14ac:dyDescent="0.25"/>
    <row r="41800" s="12" customFormat="1" x14ac:dyDescent="0.25"/>
    <row r="41801" s="12" customFormat="1" x14ac:dyDescent="0.25"/>
    <row r="41802" s="12" customFormat="1" x14ac:dyDescent="0.25"/>
    <row r="41803" s="12" customFormat="1" x14ac:dyDescent="0.25"/>
    <row r="41804" s="12" customFormat="1" x14ac:dyDescent="0.25"/>
    <row r="41805" s="12" customFormat="1" x14ac:dyDescent="0.25"/>
    <row r="41806" s="12" customFormat="1" x14ac:dyDescent="0.25"/>
    <row r="41807" s="12" customFormat="1" x14ac:dyDescent="0.25"/>
    <row r="41808" s="12" customFormat="1" x14ac:dyDescent="0.25"/>
    <row r="41809" s="12" customFormat="1" x14ac:dyDescent="0.25"/>
    <row r="41810" s="12" customFormat="1" x14ac:dyDescent="0.25"/>
    <row r="41811" s="12" customFormat="1" x14ac:dyDescent="0.25"/>
    <row r="41812" s="12" customFormat="1" x14ac:dyDescent="0.25"/>
    <row r="41813" s="12" customFormat="1" x14ac:dyDescent="0.25"/>
    <row r="41814" s="12" customFormat="1" x14ac:dyDescent="0.25"/>
    <row r="41815" s="12" customFormat="1" x14ac:dyDescent="0.25"/>
    <row r="41816" s="12" customFormat="1" x14ac:dyDescent="0.25"/>
    <row r="41817" s="12" customFormat="1" x14ac:dyDescent="0.25"/>
    <row r="41818" s="12" customFormat="1" x14ac:dyDescent="0.25"/>
    <row r="41819" s="12" customFormat="1" x14ac:dyDescent="0.25"/>
    <row r="41820" s="12" customFormat="1" x14ac:dyDescent="0.25"/>
    <row r="41821" s="12" customFormat="1" x14ac:dyDescent="0.25"/>
    <row r="41822" s="12" customFormat="1" x14ac:dyDescent="0.25"/>
    <row r="41823" s="12" customFormat="1" x14ac:dyDescent="0.25"/>
    <row r="41824" s="12" customFormat="1" x14ac:dyDescent="0.25"/>
    <row r="41825" s="12" customFormat="1" x14ac:dyDescent="0.25"/>
    <row r="41826" s="12" customFormat="1" x14ac:dyDescent="0.25"/>
    <row r="41827" s="12" customFormat="1" x14ac:dyDescent="0.25"/>
    <row r="41828" s="12" customFormat="1" x14ac:dyDescent="0.25"/>
    <row r="41829" s="12" customFormat="1" x14ac:dyDescent="0.25"/>
    <row r="41830" s="12" customFormat="1" x14ac:dyDescent="0.25"/>
    <row r="41831" s="12" customFormat="1" x14ac:dyDescent="0.25"/>
    <row r="41832" s="12" customFormat="1" x14ac:dyDescent="0.25"/>
    <row r="41833" s="12" customFormat="1" x14ac:dyDescent="0.25"/>
    <row r="41834" s="12" customFormat="1" x14ac:dyDescent="0.25"/>
    <row r="41835" s="12" customFormat="1" x14ac:dyDescent="0.25"/>
    <row r="41836" s="12" customFormat="1" x14ac:dyDescent="0.25"/>
    <row r="41837" s="12" customFormat="1" x14ac:dyDescent="0.25"/>
    <row r="41838" s="12" customFormat="1" x14ac:dyDescent="0.25"/>
    <row r="41839" s="12" customFormat="1" x14ac:dyDescent="0.25"/>
    <row r="41840" s="12" customFormat="1" x14ac:dyDescent="0.25"/>
    <row r="41841" s="12" customFormat="1" x14ac:dyDescent="0.25"/>
    <row r="41842" s="12" customFormat="1" x14ac:dyDescent="0.25"/>
    <row r="41843" s="12" customFormat="1" x14ac:dyDescent="0.25"/>
    <row r="41844" s="12" customFormat="1" x14ac:dyDescent="0.25"/>
    <row r="41845" s="12" customFormat="1" x14ac:dyDescent="0.25"/>
    <row r="41846" s="12" customFormat="1" x14ac:dyDescent="0.25"/>
    <row r="41847" s="12" customFormat="1" x14ac:dyDescent="0.25"/>
    <row r="41848" s="12" customFormat="1" x14ac:dyDescent="0.25"/>
    <row r="41849" s="12" customFormat="1" x14ac:dyDescent="0.25"/>
    <row r="41850" s="12" customFormat="1" x14ac:dyDescent="0.25"/>
    <row r="41851" s="12" customFormat="1" x14ac:dyDescent="0.25"/>
    <row r="41852" s="12" customFormat="1" x14ac:dyDescent="0.25"/>
    <row r="41853" s="12" customFormat="1" x14ac:dyDescent="0.25"/>
    <row r="41854" s="12" customFormat="1" x14ac:dyDescent="0.25"/>
    <row r="41855" s="12" customFormat="1" x14ac:dyDescent="0.25"/>
    <row r="41856" s="12" customFormat="1" x14ac:dyDescent="0.25"/>
    <row r="41857" s="12" customFormat="1" x14ac:dyDescent="0.25"/>
    <row r="41858" s="12" customFormat="1" x14ac:dyDescent="0.25"/>
    <row r="41859" s="12" customFormat="1" x14ac:dyDescent="0.25"/>
    <row r="41860" s="12" customFormat="1" x14ac:dyDescent="0.25"/>
    <row r="41861" s="12" customFormat="1" x14ac:dyDescent="0.25"/>
    <row r="41862" s="12" customFormat="1" x14ac:dyDescent="0.25"/>
    <row r="41863" s="12" customFormat="1" x14ac:dyDescent="0.25"/>
    <row r="41864" s="12" customFormat="1" x14ac:dyDescent="0.25"/>
    <row r="41865" s="12" customFormat="1" x14ac:dyDescent="0.25"/>
    <row r="41866" s="12" customFormat="1" x14ac:dyDescent="0.25"/>
    <row r="41867" s="12" customFormat="1" x14ac:dyDescent="0.25"/>
    <row r="41868" s="12" customFormat="1" x14ac:dyDescent="0.25"/>
    <row r="41869" s="12" customFormat="1" x14ac:dyDescent="0.25"/>
    <row r="41870" s="12" customFormat="1" x14ac:dyDescent="0.25"/>
    <row r="41871" s="12" customFormat="1" x14ac:dyDescent="0.25"/>
    <row r="41872" s="12" customFormat="1" x14ac:dyDescent="0.25"/>
    <row r="41873" s="12" customFormat="1" x14ac:dyDescent="0.25"/>
    <row r="41874" s="12" customFormat="1" x14ac:dyDescent="0.25"/>
    <row r="41875" s="12" customFormat="1" x14ac:dyDescent="0.25"/>
    <row r="41876" s="12" customFormat="1" x14ac:dyDescent="0.25"/>
    <row r="41877" s="12" customFormat="1" x14ac:dyDescent="0.25"/>
    <row r="41878" s="12" customFormat="1" x14ac:dyDescent="0.25"/>
    <row r="41879" s="12" customFormat="1" x14ac:dyDescent="0.25"/>
    <row r="41880" s="12" customFormat="1" x14ac:dyDescent="0.25"/>
    <row r="41881" s="12" customFormat="1" x14ac:dyDescent="0.25"/>
    <row r="41882" s="12" customFormat="1" x14ac:dyDescent="0.25"/>
    <row r="41883" s="12" customFormat="1" x14ac:dyDescent="0.25"/>
    <row r="41884" s="12" customFormat="1" x14ac:dyDescent="0.25"/>
    <row r="41885" s="12" customFormat="1" x14ac:dyDescent="0.25"/>
    <row r="41886" s="12" customFormat="1" x14ac:dyDescent="0.25"/>
    <row r="41887" s="12" customFormat="1" x14ac:dyDescent="0.25"/>
    <row r="41888" s="12" customFormat="1" x14ac:dyDescent="0.25"/>
    <row r="41889" s="12" customFormat="1" x14ac:dyDescent="0.25"/>
    <row r="41890" s="12" customFormat="1" x14ac:dyDescent="0.25"/>
    <row r="41891" s="12" customFormat="1" x14ac:dyDescent="0.25"/>
    <row r="41892" s="12" customFormat="1" x14ac:dyDescent="0.25"/>
    <row r="41893" s="12" customFormat="1" x14ac:dyDescent="0.25"/>
    <row r="41894" s="12" customFormat="1" x14ac:dyDescent="0.25"/>
    <row r="41895" s="12" customFormat="1" x14ac:dyDescent="0.25"/>
    <row r="41896" s="12" customFormat="1" x14ac:dyDescent="0.25"/>
    <row r="41897" s="12" customFormat="1" x14ac:dyDescent="0.25"/>
    <row r="41898" s="12" customFormat="1" x14ac:dyDescent="0.25"/>
    <row r="41899" s="12" customFormat="1" x14ac:dyDescent="0.25"/>
    <row r="41900" s="12" customFormat="1" x14ac:dyDescent="0.25"/>
    <row r="41901" s="12" customFormat="1" x14ac:dyDescent="0.25"/>
    <row r="41902" s="12" customFormat="1" x14ac:dyDescent="0.25"/>
    <row r="41903" s="12" customFormat="1" x14ac:dyDescent="0.25"/>
    <row r="41904" s="12" customFormat="1" x14ac:dyDescent="0.25"/>
    <row r="41905" s="12" customFormat="1" x14ac:dyDescent="0.25"/>
    <row r="41906" s="12" customFormat="1" x14ac:dyDescent="0.25"/>
    <row r="41907" s="12" customFormat="1" x14ac:dyDescent="0.25"/>
    <row r="41908" s="12" customFormat="1" x14ac:dyDescent="0.25"/>
    <row r="41909" s="12" customFormat="1" x14ac:dyDescent="0.25"/>
    <row r="41910" s="12" customFormat="1" x14ac:dyDescent="0.25"/>
    <row r="41911" s="12" customFormat="1" x14ac:dyDescent="0.25"/>
    <row r="41912" s="12" customFormat="1" x14ac:dyDescent="0.25"/>
    <row r="41913" s="12" customFormat="1" x14ac:dyDescent="0.25"/>
    <row r="41914" s="12" customFormat="1" x14ac:dyDescent="0.25"/>
    <row r="41915" s="12" customFormat="1" x14ac:dyDescent="0.25"/>
    <row r="41916" s="12" customFormat="1" x14ac:dyDescent="0.25"/>
    <row r="41917" s="12" customFormat="1" x14ac:dyDescent="0.25"/>
    <row r="41918" s="12" customFormat="1" x14ac:dyDescent="0.25"/>
    <row r="41919" s="12" customFormat="1" x14ac:dyDescent="0.25"/>
    <row r="41920" s="12" customFormat="1" x14ac:dyDescent="0.25"/>
    <row r="41921" s="12" customFormat="1" x14ac:dyDescent="0.25"/>
    <row r="41922" s="12" customFormat="1" x14ac:dyDescent="0.25"/>
    <row r="41923" s="12" customFormat="1" x14ac:dyDescent="0.25"/>
    <row r="41924" s="12" customFormat="1" x14ac:dyDescent="0.25"/>
    <row r="41925" s="12" customFormat="1" x14ac:dyDescent="0.25"/>
    <row r="41926" s="12" customFormat="1" x14ac:dyDescent="0.25"/>
    <row r="41927" s="12" customFormat="1" x14ac:dyDescent="0.25"/>
    <row r="41928" s="12" customFormat="1" x14ac:dyDescent="0.25"/>
    <row r="41929" s="12" customFormat="1" x14ac:dyDescent="0.25"/>
    <row r="41930" s="12" customFormat="1" x14ac:dyDescent="0.25"/>
    <row r="41931" s="12" customFormat="1" x14ac:dyDescent="0.25"/>
    <row r="41932" s="12" customFormat="1" x14ac:dyDescent="0.25"/>
    <row r="41933" s="12" customFormat="1" x14ac:dyDescent="0.25"/>
    <row r="41934" s="12" customFormat="1" x14ac:dyDescent="0.25"/>
    <row r="41935" s="12" customFormat="1" x14ac:dyDescent="0.25"/>
    <row r="41936" s="12" customFormat="1" x14ac:dyDescent="0.25"/>
    <row r="41937" s="12" customFormat="1" x14ac:dyDescent="0.25"/>
    <row r="41938" s="12" customFormat="1" x14ac:dyDescent="0.25"/>
    <row r="41939" s="12" customFormat="1" x14ac:dyDescent="0.25"/>
    <row r="41940" s="12" customFormat="1" x14ac:dyDescent="0.25"/>
    <row r="41941" s="12" customFormat="1" x14ac:dyDescent="0.25"/>
    <row r="41942" s="12" customFormat="1" x14ac:dyDescent="0.25"/>
    <row r="41943" s="12" customFormat="1" x14ac:dyDescent="0.25"/>
    <row r="41944" s="12" customFormat="1" x14ac:dyDescent="0.25"/>
    <row r="41945" s="12" customFormat="1" x14ac:dyDescent="0.25"/>
    <row r="41946" s="12" customFormat="1" x14ac:dyDescent="0.25"/>
    <row r="41947" s="12" customFormat="1" x14ac:dyDescent="0.25"/>
    <row r="41948" s="12" customFormat="1" x14ac:dyDescent="0.25"/>
    <row r="41949" s="12" customFormat="1" x14ac:dyDescent="0.25"/>
    <row r="41950" s="12" customFormat="1" x14ac:dyDescent="0.25"/>
    <row r="41951" s="12" customFormat="1" x14ac:dyDescent="0.25"/>
    <row r="41952" s="12" customFormat="1" x14ac:dyDescent="0.25"/>
    <row r="41953" s="12" customFormat="1" x14ac:dyDescent="0.25"/>
    <row r="41954" s="12" customFormat="1" x14ac:dyDescent="0.25"/>
    <row r="41955" s="12" customFormat="1" x14ac:dyDescent="0.25"/>
    <row r="41956" s="12" customFormat="1" x14ac:dyDescent="0.25"/>
    <row r="41957" s="12" customFormat="1" x14ac:dyDescent="0.25"/>
    <row r="41958" s="12" customFormat="1" x14ac:dyDescent="0.25"/>
    <row r="41959" s="12" customFormat="1" x14ac:dyDescent="0.25"/>
    <row r="41960" s="12" customFormat="1" x14ac:dyDescent="0.25"/>
    <row r="41961" s="12" customFormat="1" x14ac:dyDescent="0.25"/>
    <row r="41962" s="12" customFormat="1" x14ac:dyDescent="0.25"/>
    <row r="41963" s="12" customFormat="1" x14ac:dyDescent="0.25"/>
    <row r="41964" s="12" customFormat="1" x14ac:dyDescent="0.25"/>
    <row r="41965" s="12" customFormat="1" x14ac:dyDescent="0.25"/>
    <row r="41966" s="12" customFormat="1" x14ac:dyDescent="0.25"/>
    <row r="41967" s="12" customFormat="1" x14ac:dyDescent="0.25"/>
    <row r="41968" s="12" customFormat="1" x14ac:dyDescent="0.25"/>
    <row r="41969" s="12" customFormat="1" x14ac:dyDescent="0.25"/>
    <row r="41970" s="12" customFormat="1" x14ac:dyDescent="0.25"/>
    <row r="41971" s="12" customFormat="1" x14ac:dyDescent="0.25"/>
    <row r="41972" s="12" customFormat="1" x14ac:dyDescent="0.25"/>
    <row r="41973" s="12" customFormat="1" x14ac:dyDescent="0.25"/>
    <row r="41974" s="12" customFormat="1" x14ac:dyDescent="0.25"/>
    <row r="41975" s="12" customFormat="1" x14ac:dyDescent="0.25"/>
    <row r="41976" s="12" customFormat="1" x14ac:dyDescent="0.25"/>
    <row r="41977" s="12" customFormat="1" x14ac:dyDescent="0.25"/>
    <row r="41978" s="12" customFormat="1" x14ac:dyDescent="0.25"/>
    <row r="41979" s="12" customFormat="1" x14ac:dyDescent="0.25"/>
    <row r="41980" s="12" customFormat="1" x14ac:dyDescent="0.25"/>
    <row r="41981" s="12" customFormat="1" x14ac:dyDescent="0.25"/>
    <row r="41982" s="12" customFormat="1" x14ac:dyDescent="0.25"/>
    <row r="41983" s="12" customFormat="1" x14ac:dyDescent="0.25"/>
    <row r="41984" s="12" customFormat="1" x14ac:dyDescent="0.25"/>
    <row r="41985" s="12" customFormat="1" x14ac:dyDescent="0.25"/>
    <row r="41986" s="12" customFormat="1" x14ac:dyDescent="0.25"/>
    <row r="41987" s="12" customFormat="1" x14ac:dyDescent="0.25"/>
    <row r="41988" s="12" customFormat="1" x14ac:dyDescent="0.25"/>
    <row r="41989" s="12" customFormat="1" x14ac:dyDescent="0.25"/>
    <row r="41990" s="12" customFormat="1" x14ac:dyDescent="0.25"/>
    <row r="41991" s="12" customFormat="1" x14ac:dyDescent="0.25"/>
    <row r="41992" s="12" customFormat="1" x14ac:dyDescent="0.25"/>
    <row r="41993" s="12" customFormat="1" x14ac:dyDescent="0.25"/>
    <row r="41994" s="12" customFormat="1" x14ac:dyDescent="0.25"/>
    <row r="41995" s="12" customFormat="1" x14ac:dyDescent="0.25"/>
    <row r="41996" s="12" customFormat="1" x14ac:dyDescent="0.25"/>
    <row r="41997" s="12" customFormat="1" x14ac:dyDescent="0.25"/>
    <row r="41998" s="12" customFormat="1" x14ac:dyDescent="0.25"/>
    <row r="41999" s="12" customFormat="1" x14ac:dyDescent="0.25"/>
    <row r="42000" s="12" customFormat="1" x14ac:dyDescent="0.25"/>
    <row r="42001" s="12" customFormat="1" x14ac:dyDescent="0.25"/>
    <row r="42002" s="12" customFormat="1" x14ac:dyDescent="0.25"/>
    <row r="42003" s="12" customFormat="1" x14ac:dyDescent="0.25"/>
    <row r="42004" s="12" customFormat="1" x14ac:dyDescent="0.25"/>
    <row r="42005" s="12" customFormat="1" x14ac:dyDescent="0.25"/>
    <row r="42006" s="12" customFormat="1" x14ac:dyDescent="0.25"/>
    <row r="42007" s="12" customFormat="1" x14ac:dyDescent="0.25"/>
    <row r="42008" s="12" customFormat="1" x14ac:dyDescent="0.25"/>
    <row r="42009" s="12" customFormat="1" x14ac:dyDescent="0.25"/>
    <row r="42010" s="12" customFormat="1" x14ac:dyDescent="0.25"/>
    <row r="42011" s="12" customFormat="1" x14ac:dyDescent="0.25"/>
    <row r="42012" s="12" customFormat="1" x14ac:dyDescent="0.25"/>
    <row r="42013" s="12" customFormat="1" x14ac:dyDescent="0.25"/>
    <row r="42014" s="12" customFormat="1" x14ac:dyDescent="0.25"/>
    <row r="42015" s="12" customFormat="1" x14ac:dyDescent="0.25"/>
    <row r="42016" s="12" customFormat="1" x14ac:dyDescent="0.25"/>
    <row r="42017" s="12" customFormat="1" x14ac:dyDescent="0.25"/>
    <row r="42018" s="12" customFormat="1" x14ac:dyDescent="0.25"/>
    <row r="42019" s="12" customFormat="1" x14ac:dyDescent="0.25"/>
    <row r="42020" s="12" customFormat="1" x14ac:dyDescent="0.25"/>
    <row r="42021" s="12" customFormat="1" x14ac:dyDescent="0.25"/>
    <row r="42022" s="12" customFormat="1" x14ac:dyDescent="0.25"/>
    <row r="42023" s="12" customFormat="1" x14ac:dyDescent="0.25"/>
    <row r="42024" s="12" customFormat="1" x14ac:dyDescent="0.25"/>
    <row r="42025" s="12" customFormat="1" x14ac:dyDescent="0.25"/>
    <row r="42026" s="12" customFormat="1" x14ac:dyDescent="0.25"/>
    <row r="42027" s="12" customFormat="1" x14ac:dyDescent="0.25"/>
    <row r="42028" s="12" customFormat="1" x14ac:dyDescent="0.25"/>
    <row r="42029" s="12" customFormat="1" x14ac:dyDescent="0.25"/>
    <row r="42030" s="12" customFormat="1" x14ac:dyDescent="0.25"/>
    <row r="42031" s="12" customFormat="1" x14ac:dyDescent="0.25"/>
    <row r="42032" s="12" customFormat="1" x14ac:dyDescent="0.25"/>
    <row r="42033" s="12" customFormat="1" x14ac:dyDescent="0.25"/>
    <row r="42034" s="12" customFormat="1" x14ac:dyDescent="0.25"/>
    <row r="42035" s="12" customFormat="1" x14ac:dyDescent="0.25"/>
    <row r="42036" s="12" customFormat="1" x14ac:dyDescent="0.25"/>
    <row r="42037" s="12" customFormat="1" x14ac:dyDescent="0.25"/>
    <row r="42038" s="12" customFormat="1" x14ac:dyDescent="0.25"/>
    <row r="42039" s="12" customFormat="1" x14ac:dyDescent="0.25"/>
    <row r="42040" s="12" customFormat="1" x14ac:dyDescent="0.25"/>
    <row r="42041" s="12" customFormat="1" x14ac:dyDescent="0.25"/>
    <row r="42042" s="12" customFormat="1" x14ac:dyDescent="0.25"/>
    <row r="42043" s="12" customFormat="1" x14ac:dyDescent="0.25"/>
    <row r="42044" s="12" customFormat="1" x14ac:dyDescent="0.25"/>
    <row r="42045" s="12" customFormat="1" x14ac:dyDescent="0.25"/>
    <row r="42046" s="12" customFormat="1" x14ac:dyDescent="0.25"/>
    <row r="42047" s="12" customFormat="1" x14ac:dyDescent="0.25"/>
    <row r="42048" s="12" customFormat="1" x14ac:dyDescent="0.25"/>
    <row r="42049" s="12" customFormat="1" x14ac:dyDescent="0.25"/>
    <row r="42050" s="12" customFormat="1" x14ac:dyDescent="0.25"/>
    <row r="42051" s="12" customFormat="1" x14ac:dyDescent="0.25"/>
    <row r="42052" s="12" customFormat="1" x14ac:dyDescent="0.25"/>
    <row r="42053" s="12" customFormat="1" x14ac:dyDescent="0.25"/>
    <row r="42054" s="12" customFormat="1" x14ac:dyDescent="0.25"/>
    <row r="42055" s="12" customFormat="1" x14ac:dyDescent="0.25"/>
    <row r="42056" s="12" customFormat="1" x14ac:dyDescent="0.25"/>
    <row r="42057" s="12" customFormat="1" x14ac:dyDescent="0.25"/>
    <row r="42058" s="12" customFormat="1" x14ac:dyDescent="0.25"/>
    <row r="42059" s="12" customFormat="1" x14ac:dyDescent="0.25"/>
    <row r="42060" s="12" customFormat="1" x14ac:dyDescent="0.25"/>
    <row r="42061" s="12" customFormat="1" x14ac:dyDescent="0.25"/>
    <row r="42062" s="12" customFormat="1" x14ac:dyDescent="0.25"/>
    <row r="42063" s="12" customFormat="1" x14ac:dyDescent="0.25"/>
    <row r="42064" s="12" customFormat="1" x14ac:dyDescent="0.25"/>
    <row r="42065" s="12" customFormat="1" x14ac:dyDescent="0.25"/>
    <row r="42066" s="12" customFormat="1" x14ac:dyDescent="0.25"/>
    <row r="42067" s="12" customFormat="1" x14ac:dyDescent="0.25"/>
    <row r="42068" s="12" customFormat="1" x14ac:dyDescent="0.25"/>
    <row r="42069" s="12" customFormat="1" x14ac:dyDescent="0.25"/>
    <row r="42070" s="12" customFormat="1" x14ac:dyDescent="0.25"/>
    <row r="42071" s="12" customFormat="1" x14ac:dyDescent="0.25"/>
    <row r="42072" s="12" customFormat="1" x14ac:dyDescent="0.25"/>
    <row r="42073" s="12" customFormat="1" x14ac:dyDescent="0.25"/>
    <row r="42074" s="12" customFormat="1" x14ac:dyDescent="0.25"/>
    <row r="42075" s="12" customFormat="1" x14ac:dyDescent="0.25"/>
    <row r="42076" s="12" customFormat="1" x14ac:dyDescent="0.25"/>
    <row r="42077" s="12" customFormat="1" x14ac:dyDescent="0.25"/>
    <row r="42078" s="12" customFormat="1" x14ac:dyDescent="0.25"/>
    <row r="42079" s="12" customFormat="1" x14ac:dyDescent="0.25"/>
    <row r="42080" s="12" customFormat="1" x14ac:dyDescent="0.25"/>
    <row r="42081" s="12" customFormat="1" x14ac:dyDescent="0.25"/>
    <row r="42082" s="12" customFormat="1" x14ac:dyDescent="0.25"/>
    <row r="42083" s="12" customFormat="1" x14ac:dyDescent="0.25"/>
    <row r="42084" s="12" customFormat="1" x14ac:dyDescent="0.25"/>
    <row r="42085" s="12" customFormat="1" x14ac:dyDescent="0.25"/>
    <row r="42086" s="12" customFormat="1" x14ac:dyDescent="0.25"/>
    <row r="42087" s="12" customFormat="1" x14ac:dyDescent="0.25"/>
    <row r="42088" s="12" customFormat="1" x14ac:dyDescent="0.25"/>
    <row r="42089" s="12" customFormat="1" x14ac:dyDescent="0.25"/>
    <row r="42090" s="12" customFormat="1" x14ac:dyDescent="0.25"/>
    <row r="42091" s="12" customFormat="1" x14ac:dyDescent="0.25"/>
    <row r="42092" s="12" customFormat="1" x14ac:dyDescent="0.25"/>
    <row r="42093" s="12" customFormat="1" x14ac:dyDescent="0.25"/>
    <row r="42094" s="12" customFormat="1" x14ac:dyDescent="0.25"/>
    <row r="42095" s="12" customFormat="1" x14ac:dyDescent="0.25"/>
    <row r="42096" s="12" customFormat="1" x14ac:dyDescent="0.25"/>
    <row r="42097" s="12" customFormat="1" x14ac:dyDescent="0.25"/>
    <row r="42098" s="12" customFormat="1" x14ac:dyDescent="0.25"/>
    <row r="42099" s="12" customFormat="1" x14ac:dyDescent="0.25"/>
    <row r="42100" s="12" customFormat="1" x14ac:dyDescent="0.25"/>
    <row r="42101" s="12" customFormat="1" x14ac:dyDescent="0.25"/>
    <row r="42102" s="12" customFormat="1" x14ac:dyDescent="0.25"/>
    <row r="42103" s="12" customFormat="1" x14ac:dyDescent="0.25"/>
    <row r="42104" s="12" customFormat="1" x14ac:dyDescent="0.25"/>
    <row r="42105" s="12" customFormat="1" x14ac:dyDescent="0.25"/>
    <row r="42106" s="12" customFormat="1" x14ac:dyDescent="0.25"/>
    <row r="42107" s="12" customFormat="1" x14ac:dyDescent="0.25"/>
    <row r="42108" s="12" customFormat="1" x14ac:dyDescent="0.25"/>
    <row r="42109" s="12" customFormat="1" x14ac:dyDescent="0.25"/>
    <row r="42110" s="12" customFormat="1" x14ac:dyDescent="0.25"/>
    <row r="42111" s="12" customFormat="1" x14ac:dyDescent="0.25"/>
    <row r="42112" s="12" customFormat="1" x14ac:dyDescent="0.25"/>
    <row r="42113" s="12" customFormat="1" x14ac:dyDescent="0.25"/>
    <row r="42114" s="12" customFormat="1" x14ac:dyDescent="0.25"/>
    <row r="42115" s="12" customFormat="1" x14ac:dyDescent="0.25"/>
    <row r="42116" s="12" customFormat="1" x14ac:dyDescent="0.25"/>
    <row r="42117" s="12" customFormat="1" x14ac:dyDescent="0.25"/>
    <row r="42118" s="12" customFormat="1" x14ac:dyDescent="0.25"/>
    <row r="42119" s="12" customFormat="1" x14ac:dyDescent="0.25"/>
    <row r="42120" s="12" customFormat="1" x14ac:dyDescent="0.25"/>
    <row r="42121" s="12" customFormat="1" x14ac:dyDescent="0.25"/>
    <row r="42122" s="12" customFormat="1" x14ac:dyDescent="0.25"/>
    <row r="42123" s="12" customFormat="1" x14ac:dyDescent="0.25"/>
    <row r="42124" s="12" customFormat="1" x14ac:dyDescent="0.25"/>
    <row r="42125" s="12" customFormat="1" x14ac:dyDescent="0.25"/>
    <row r="42126" s="12" customFormat="1" x14ac:dyDescent="0.25"/>
    <row r="42127" s="12" customFormat="1" x14ac:dyDescent="0.25"/>
    <row r="42128" s="12" customFormat="1" x14ac:dyDescent="0.25"/>
    <row r="42129" s="12" customFormat="1" x14ac:dyDescent="0.25"/>
    <row r="42130" s="12" customFormat="1" x14ac:dyDescent="0.25"/>
    <row r="42131" s="12" customFormat="1" x14ac:dyDescent="0.25"/>
    <row r="42132" s="12" customFormat="1" x14ac:dyDescent="0.25"/>
    <row r="42133" s="12" customFormat="1" x14ac:dyDescent="0.25"/>
    <row r="42134" s="12" customFormat="1" x14ac:dyDescent="0.25"/>
    <row r="42135" s="12" customFormat="1" x14ac:dyDescent="0.25"/>
    <row r="42136" s="12" customFormat="1" x14ac:dyDescent="0.25"/>
    <row r="42137" s="12" customFormat="1" x14ac:dyDescent="0.25"/>
    <row r="42138" s="12" customFormat="1" x14ac:dyDescent="0.25"/>
    <row r="42139" s="12" customFormat="1" x14ac:dyDescent="0.25"/>
    <row r="42140" s="12" customFormat="1" x14ac:dyDescent="0.25"/>
    <row r="42141" s="12" customFormat="1" x14ac:dyDescent="0.25"/>
    <row r="42142" s="12" customFormat="1" x14ac:dyDescent="0.25"/>
    <row r="42143" s="12" customFormat="1" x14ac:dyDescent="0.25"/>
    <row r="42144" s="12" customFormat="1" x14ac:dyDescent="0.25"/>
    <row r="42145" s="12" customFormat="1" x14ac:dyDescent="0.25"/>
    <row r="42146" s="12" customFormat="1" x14ac:dyDescent="0.25"/>
    <row r="42147" s="12" customFormat="1" x14ac:dyDescent="0.25"/>
    <row r="42148" s="12" customFormat="1" x14ac:dyDescent="0.25"/>
    <row r="42149" s="12" customFormat="1" x14ac:dyDescent="0.25"/>
    <row r="42150" s="12" customFormat="1" x14ac:dyDescent="0.25"/>
    <row r="42151" s="12" customFormat="1" x14ac:dyDescent="0.25"/>
    <row r="42152" s="12" customFormat="1" x14ac:dyDescent="0.25"/>
    <row r="42153" s="12" customFormat="1" x14ac:dyDescent="0.25"/>
    <row r="42154" s="12" customFormat="1" x14ac:dyDescent="0.25"/>
    <row r="42155" s="12" customFormat="1" x14ac:dyDescent="0.25"/>
    <row r="42156" s="12" customFormat="1" x14ac:dyDescent="0.25"/>
    <row r="42157" s="12" customFormat="1" x14ac:dyDescent="0.25"/>
    <row r="42158" s="12" customFormat="1" x14ac:dyDescent="0.25"/>
    <row r="42159" s="12" customFormat="1" x14ac:dyDescent="0.25"/>
    <row r="42160" s="12" customFormat="1" x14ac:dyDescent="0.25"/>
    <row r="42161" s="12" customFormat="1" x14ac:dyDescent="0.25"/>
    <row r="42162" s="12" customFormat="1" x14ac:dyDescent="0.25"/>
    <row r="42163" s="12" customFormat="1" x14ac:dyDescent="0.25"/>
    <row r="42164" s="12" customFormat="1" x14ac:dyDescent="0.25"/>
    <row r="42165" s="12" customFormat="1" x14ac:dyDescent="0.25"/>
    <row r="42166" s="12" customFormat="1" x14ac:dyDescent="0.25"/>
    <row r="42167" s="12" customFormat="1" x14ac:dyDescent="0.25"/>
    <row r="42168" s="12" customFormat="1" x14ac:dyDescent="0.25"/>
    <row r="42169" s="12" customFormat="1" x14ac:dyDescent="0.25"/>
    <row r="42170" s="12" customFormat="1" x14ac:dyDescent="0.25"/>
    <row r="42171" s="12" customFormat="1" x14ac:dyDescent="0.25"/>
    <row r="42172" s="12" customFormat="1" x14ac:dyDescent="0.25"/>
    <row r="42173" s="12" customFormat="1" x14ac:dyDescent="0.25"/>
    <row r="42174" s="12" customFormat="1" x14ac:dyDescent="0.25"/>
    <row r="42175" s="12" customFormat="1" x14ac:dyDescent="0.25"/>
    <row r="42176" s="12" customFormat="1" x14ac:dyDescent="0.25"/>
    <row r="42177" s="12" customFormat="1" x14ac:dyDescent="0.25"/>
    <row r="42178" s="12" customFormat="1" x14ac:dyDescent="0.25"/>
    <row r="42179" s="12" customFormat="1" x14ac:dyDescent="0.25"/>
    <row r="42180" s="12" customFormat="1" x14ac:dyDescent="0.25"/>
    <row r="42181" s="12" customFormat="1" x14ac:dyDescent="0.25"/>
    <row r="42182" s="12" customFormat="1" x14ac:dyDescent="0.25"/>
    <row r="42183" s="12" customFormat="1" x14ac:dyDescent="0.25"/>
    <row r="42184" s="12" customFormat="1" x14ac:dyDescent="0.25"/>
    <row r="42185" s="12" customFormat="1" x14ac:dyDescent="0.25"/>
    <row r="42186" s="12" customFormat="1" x14ac:dyDescent="0.25"/>
    <row r="42187" s="12" customFormat="1" x14ac:dyDescent="0.25"/>
    <row r="42188" s="12" customFormat="1" x14ac:dyDescent="0.25"/>
    <row r="42189" s="12" customFormat="1" x14ac:dyDescent="0.25"/>
    <row r="42190" s="12" customFormat="1" x14ac:dyDescent="0.25"/>
    <row r="42191" s="12" customFormat="1" x14ac:dyDescent="0.25"/>
    <row r="42192" s="12" customFormat="1" x14ac:dyDescent="0.25"/>
    <row r="42193" s="12" customFormat="1" x14ac:dyDescent="0.25"/>
    <row r="42194" s="12" customFormat="1" x14ac:dyDescent="0.25"/>
    <row r="42195" s="12" customFormat="1" x14ac:dyDescent="0.25"/>
    <row r="42196" s="12" customFormat="1" x14ac:dyDescent="0.25"/>
    <row r="42197" s="12" customFormat="1" x14ac:dyDescent="0.25"/>
    <row r="42198" s="12" customFormat="1" x14ac:dyDescent="0.25"/>
    <row r="42199" s="12" customFormat="1" x14ac:dyDescent="0.25"/>
    <row r="42200" s="12" customFormat="1" x14ac:dyDescent="0.25"/>
    <row r="42201" s="12" customFormat="1" x14ac:dyDescent="0.25"/>
    <row r="42202" s="12" customFormat="1" x14ac:dyDescent="0.25"/>
    <row r="42203" s="12" customFormat="1" x14ac:dyDescent="0.25"/>
    <row r="42204" s="12" customFormat="1" x14ac:dyDescent="0.25"/>
    <row r="42205" s="12" customFormat="1" x14ac:dyDescent="0.25"/>
    <row r="42206" s="12" customFormat="1" x14ac:dyDescent="0.25"/>
    <row r="42207" s="12" customFormat="1" x14ac:dyDescent="0.25"/>
    <row r="42208" s="12" customFormat="1" x14ac:dyDescent="0.25"/>
    <row r="42209" s="12" customFormat="1" x14ac:dyDescent="0.25"/>
    <row r="42210" s="12" customFormat="1" x14ac:dyDescent="0.25"/>
    <row r="42211" s="12" customFormat="1" x14ac:dyDescent="0.25"/>
    <row r="42212" s="12" customFormat="1" x14ac:dyDescent="0.25"/>
    <row r="42213" s="12" customFormat="1" x14ac:dyDescent="0.25"/>
    <row r="42214" s="12" customFormat="1" x14ac:dyDescent="0.25"/>
    <row r="42215" s="12" customFormat="1" x14ac:dyDescent="0.25"/>
    <row r="42216" s="12" customFormat="1" x14ac:dyDescent="0.25"/>
    <row r="42217" s="12" customFormat="1" x14ac:dyDescent="0.25"/>
    <row r="42218" s="12" customFormat="1" x14ac:dyDescent="0.25"/>
    <row r="42219" s="12" customFormat="1" x14ac:dyDescent="0.25"/>
    <row r="42220" s="12" customFormat="1" x14ac:dyDescent="0.25"/>
    <row r="42221" s="12" customFormat="1" x14ac:dyDescent="0.25"/>
    <row r="42222" s="12" customFormat="1" x14ac:dyDescent="0.25"/>
    <row r="42223" s="12" customFormat="1" x14ac:dyDescent="0.25"/>
    <row r="42224" s="12" customFormat="1" x14ac:dyDescent="0.25"/>
    <row r="42225" s="12" customFormat="1" x14ac:dyDescent="0.25"/>
    <row r="42226" s="12" customFormat="1" x14ac:dyDescent="0.25"/>
    <row r="42227" s="12" customFormat="1" x14ac:dyDescent="0.25"/>
    <row r="42228" s="12" customFormat="1" x14ac:dyDescent="0.25"/>
    <row r="42229" s="12" customFormat="1" x14ac:dyDescent="0.25"/>
    <row r="42230" s="12" customFormat="1" x14ac:dyDescent="0.25"/>
    <row r="42231" s="12" customFormat="1" x14ac:dyDescent="0.25"/>
    <row r="42232" s="12" customFormat="1" x14ac:dyDescent="0.25"/>
    <row r="42233" s="12" customFormat="1" x14ac:dyDescent="0.25"/>
    <row r="42234" s="12" customFormat="1" x14ac:dyDescent="0.25"/>
    <row r="42235" s="12" customFormat="1" x14ac:dyDescent="0.25"/>
    <row r="42236" s="12" customFormat="1" x14ac:dyDescent="0.25"/>
    <row r="42237" s="12" customFormat="1" x14ac:dyDescent="0.25"/>
    <row r="42238" s="12" customFormat="1" x14ac:dyDescent="0.25"/>
    <row r="42239" s="12" customFormat="1" x14ac:dyDescent="0.25"/>
    <row r="42240" s="12" customFormat="1" x14ac:dyDescent="0.25"/>
    <row r="42241" s="12" customFormat="1" x14ac:dyDescent="0.25"/>
    <row r="42242" s="12" customFormat="1" x14ac:dyDescent="0.25"/>
    <row r="42243" s="12" customFormat="1" x14ac:dyDescent="0.25"/>
    <row r="42244" s="12" customFormat="1" x14ac:dyDescent="0.25"/>
    <row r="42245" s="12" customFormat="1" x14ac:dyDescent="0.25"/>
    <row r="42246" s="12" customFormat="1" x14ac:dyDescent="0.25"/>
    <row r="42247" s="12" customFormat="1" x14ac:dyDescent="0.25"/>
    <row r="42248" s="12" customFormat="1" x14ac:dyDescent="0.25"/>
    <row r="42249" s="12" customFormat="1" x14ac:dyDescent="0.25"/>
    <row r="42250" s="12" customFormat="1" x14ac:dyDescent="0.25"/>
    <row r="42251" s="12" customFormat="1" x14ac:dyDescent="0.25"/>
    <row r="42252" s="12" customFormat="1" x14ac:dyDescent="0.25"/>
    <row r="42253" s="12" customFormat="1" x14ac:dyDescent="0.25"/>
    <row r="42254" s="12" customFormat="1" x14ac:dyDescent="0.25"/>
    <row r="42255" s="12" customFormat="1" x14ac:dyDescent="0.25"/>
    <row r="42256" s="12" customFormat="1" x14ac:dyDescent="0.25"/>
    <row r="42257" s="12" customFormat="1" x14ac:dyDescent="0.25"/>
    <row r="42258" s="12" customFormat="1" x14ac:dyDescent="0.25"/>
    <row r="42259" s="12" customFormat="1" x14ac:dyDescent="0.25"/>
    <row r="42260" s="12" customFormat="1" x14ac:dyDescent="0.25"/>
    <row r="42261" s="12" customFormat="1" x14ac:dyDescent="0.25"/>
    <row r="42262" s="12" customFormat="1" x14ac:dyDescent="0.25"/>
    <row r="42263" s="12" customFormat="1" x14ac:dyDescent="0.25"/>
    <row r="42264" s="12" customFormat="1" x14ac:dyDescent="0.25"/>
    <row r="42265" s="12" customFormat="1" x14ac:dyDescent="0.25"/>
    <row r="42266" s="12" customFormat="1" x14ac:dyDescent="0.25"/>
    <row r="42267" s="12" customFormat="1" x14ac:dyDescent="0.25"/>
    <row r="42268" s="12" customFormat="1" x14ac:dyDescent="0.25"/>
    <row r="42269" s="12" customFormat="1" x14ac:dyDescent="0.25"/>
    <row r="42270" s="12" customFormat="1" x14ac:dyDescent="0.25"/>
    <row r="42271" s="12" customFormat="1" x14ac:dyDescent="0.25"/>
    <row r="42272" s="12" customFormat="1" x14ac:dyDescent="0.25"/>
    <row r="42273" s="12" customFormat="1" x14ac:dyDescent="0.25"/>
    <row r="42274" s="12" customFormat="1" x14ac:dyDescent="0.25"/>
    <row r="42275" s="12" customFormat="1" x14ac:dyDescent="0.25"/>
    <row r="42276" s="12" customFormat="1" x14ac:dyDescent="0.25"/>
    <row r="42277" s="12" customFormat="1" x14ac:dyDescent="0.25"/>
    <row r="42278" s="12" customFormat="1" x14ac:dyDescent="0.25"/>
    <row r="42279" s="12" customFormat="1" x14ac:dyDescent="0.25"/>
    <row r="42280" s="12" customFormat="1" x14ac:dyDescent="0.25"/>
    <row r="42281" s="12" customFormat="1" x14ac:dyDescent="0.25"/>
    <row r="42282" s="12" customFormat="1" x14ac:dyDescent="0.25"/>
    <row r="42283" s="12" customFormat="1" x14ac:dyDescent="0.25"/>
    <row r="42284" s="12" customFormat="1" x14ac:dyDescent="0.25"/>
    <row r="42285" s="12" customFormat="1" x14ac:dyDescent="0.25"/>
    <row r="42286" s="12" customFormat="1" x14ac:dyDescent="0.25"/>
    <row r="42287" s="12" customFormat="1" x14ac:dyDescent="0.25"/>
    <row r="42288" s="12" customFormat="1" x14ac:dyDescent="0.25"/>
    <row r="42289" s="12" customFormat="1" x14ac:dyDescent="0.25"/>
    <row r="42290" s="12" customFormat="1" x14ac:dyDescent="0.25"/>
    <row r="42291" s="12" customFormat="1" x14ac:dyDescent="0.25"/>
    <row r="42292" s="12" customFormat="1" x14ac:dyDescent="0.25"/>
    <row r="42293" s="12" customFormat="1" x14ac:dyDescent="0.25"/>
    <row r="42294" s="12" customFormat="1" x14ac:dyDescent="0.25"/>
    <row r="42295" s="12" customFormat="1" x14ac:dyDescent="0.25"/>
    <row r="42296" s="12" customFormat="1" x14ac:dyDescent="0.25"/>
    <row r="42297" s="12" customFormat="1" x14ac:dyDescent="0.25"/>
    <row r="42298" s="12" customFormat="1" x14ac:dyDescent="0.25"/>
    <row r="42299" s="12" customFormat="1" x14ac:dyDescent="0.25"/>
    <row r="42300" s="12" customFormat="1" x14ac:dyDescent="0.25"/>
    <row r="42301" s="12" customFormat="1" x14ac:dyDescent="0.25"/>
    <row r="42302" s="12" customFormat="1" x14ac:dyDescent="0.25"/>
    <row r="42303" s="12" customFormat="1" x14ac:dyDescent="0.25"/>
    <row r="42304" s="12" customFormat="1" x14ac:dyDescent="0.25"/>
    <row r="42305" s="12" customFormat="1" x14ac:dyDescent="0.25"/>
    <row r="42306" s="12" customFormat="1" x14ac:dyDescent="0.25"/>
    <row r="42307" s="12" customFormat="1" x14ac:dyDescent="0.25"/>
    <row r="42308" s="12" customFormat="1" x14ac:dyDescent="0.25"/>
    <row r="42309" s="12" customFormat="1" x14ac:dyDescent="0.25"/>
    <row r="42310" s="12" customFormat="1" x14ac:dyDescent="0.25"/>
    <row r="42311" s="12" customFormat="1" x14ac:dyDescent="0.25"/>
    <row r="42312" s="12" customFormat="1" x14ac:dyDescent="0.25"/>
    <row r="42313" s="12" customFormat="1" x14ac:dyDescent="0.25"/>
    <row r="42314" s="12" customFormat="1" x14ac:dyDescent="0.25"/>
    <row r="42315" s="12" customFormat="1" x14ac:dyDescent="0.25"/>
    <row r="42316" s="12" customFormat="1" x14ac:dyDescent="0.25"/>
    <row r="42317" s="12" customFormat="1" x14ac:dyDescent="0.25"/>
    <row r="42318" s="12" customFormat="1" x14ac:dyDescent="0.25"/>
    <row r="42319" s="12" customFormat="1" x14ac:dyDescent="0.25"/>
    <row r="42320" s="12" customFormat="1" x14ac:dyDescent="0.25"/>
    <row r="42321" s="12" customFormat="1" x14ac:dyDescent="0.25"/>
    <row r="42322" s="12" customFormat="1" x14ac:dyDescent="0.25"/>
    <row r="42323" s="12" customFormat="1" x14ac:dyDescent="0.25"/>
    <row r="42324" s="12" customFormat="1" x14ac:dyDescent="0.25"/>
    <row r="42325" s="12" customFormat="1" x14ac:dyDescent="0.25"/>
    <row r="42326" s="12" customFormat="1" x14ac:dyDescent="0.25"/>
    <row r="42327" s="12" customFormat="1" x14ac:dyDescent="0.25"/>
    <row r="42328" s="12" customFormat="1" x14ac:dyDescent="0.25"/>
    <row r="42329" s="12" customFormat="1" x14ac:dyDescent="0.25"/>
    <row r="42330" s="12" customFormat="1" x14ac:dyDescent="0.25"/>
    <row r="42331" s="12" customFormat="1" x14ac:dyDescent="0.25"/>
    <row r="42332" s="12" customFormat="1" x14ac:dyDescent="0.25"/>
    <row r="42333" s="12" customFormat="1" x14ac:dyDescent="0.25"/>
    <row r="42334" s="12" customFormat="1" x14ac:dyDescent="0.25"/>
    <row r="42335" s="12" customFormat="1" x14ac:dyDescent="0.25"/>
    <row r="42336" s="12" customFormat="1" x14ac:dyDescent="0.25"/>
    <row r="42337" s="12" customFormat="1" x14ac:dyDescent="0.25"/>
    <row r="42338" s="12" customFormat="1" x14ac:dyDescent="0.25"/>
    <row r="42339" s="12" customFormat="1" x14ac:dyDescent="0.25"/>
    <row r="42340" s="12" customFormat="1" x14ac:dyDescent="0.25"/>
    <row r="42341" s="12" customFormat="1" x14ac:dyDescent="0.25"/>
    <row r="42342" s="12" customFormat="1" x14ac:dyDescent="0.25"/>
    <row r="42343" s="12" customFormat="1" x14ac:dyDescent="0.25"/>
    <row r="42344" s="12" customFormat="1" x14ac:dyDescent="0.25"/>
    <row r="42345" s="12" customFormat="1" x14ac:dyDescent="0.25"/>
    <row r="42346" s="12" customFormat="1" x14ac:dyDescent="0.25"/>
    <row r="42347" s="12" customFormat="1" x14ac:dyDescent="0.25"/>
    <row r="42348" s="12" customFormat="1" x14ac:dyDescent="0.25"/>
    <row r="42349" s="12" customFormat="1" x14ac:dyDescent="0.25"/>
    <row r="42350" s="12" customFormat="1" x14ac:dyDescent="0.25"/>
    <row r="42351" s="12" customFormat="1" x14ac:dyDescent="0.25"/>
    <row r="42352" s="12" customFormat="1" x14ac:dyDescent="0.25"/>
    <row r="42353" s="12" customFormat="1" x14ac:dyDescent="0.25"/>
    <row r="42354" s="12" customFormat="1" x14ac:dyDescent="0.25"/>
    <row r="42355" s="12" customFormat="1" x14ac:dyDescent="0.25"/>
    <row r="42356" s="12" customFormat="1" x14ac:dyDescent="0.25"/>
    <row r="42357" s="12" customFormat="1" x14ac:dyDescent="0.25"/>
    <row r="42358" s="12" customFormat="1" x14ac:dyDescent="0.25"/>
    <row r="42359" s="12" customFormat="1" x14ac:dyDescent="0.25"/>
    <row r="42360" s="12" customFormat="1" x14ac:dyDescent="0.25"/>
    <row r="42361" s="12" customFormat="1" x14ac:dyDescent="0.25"/>
    <row r="42362" s="12" customFormat="1" x14ac:dyDescent="0.25"/>
    <row r="42363" s="12" customFormat="1" x14ac:dyDescent="0.25"/>
    <row r="42364" s="12" customFormat="1" x14ac:dyDescent="0.25"/>
    <row r="42365" s="12" customFormat="1" x14ac:dyDescent="0.25"/>
    <row r="42366" s="12" customFormat="1" x14ac:dyDescent="0.25"/>
    <row r="42367" s="12" customFormat="1" x14ac:dyDescent="0.25"/>
    <row r="42368" s="12" customFormat="1" x14ac:dyDescent="0.25"/>
    <row r="42369" s="12" customFormat="1" x14ac:dyDescent="0.25"/>
    <row r="42370" s="12" customFormat="1" x14ac:dyDescent="0.25"/>
    <row r="42371" s="12" customFormat="1" x14ac:dyDescent="0.25"/>
    <row r="42372" s="12" customFormat="1" x14ac:dyDescent="0.25"/>
    <row r="42373" s="12" customFormat="1" x14ac:dyDescent="0.25"/>
    <row r="42374" s="12" customFormat="1" x14ac:dyDescent="0.25"/>
    <row r="42375" s="12" customFormat="1" x14ac:dyDescent="0.25"/>
    <row r="42376" s="12" customFormat="1" x14ac:dyDescent="0.25"/>
    <row r="42377" s="12" customFormat="1" x14ac:dyDescent="0.25"/>
    <row r="42378" s="12" customFormat="1" x14ac:dyDescent="0.25"/>
    <row r="42379" s="12" customFormat="1" x14ac:dyDescent="0.25"/>
    <row r="42380" s="12" customFormat="1" x14ac:dyDescent="0.25"/>
    <row r="42381" s="12" customFormat="1" x14ac:dyDescent="0.25"/>
    <row r="42382" s="12" customFormat="1" x14ac:dyDescent="0.25"/>
    <row r="42383" s="12" customFormat="1" x14ac:dyDescent="0.25"/>
    <row r="42384" s="12" customFormat="1" x14ac:dyDescent="0.25"/>
    <row r="42385" s="12" customFormat="1" x14ac:dyDescent="0.25"/>
    <row r="42386" s="12" customFormat="1" x14ac:dyDescent="0.25"/>
    <row r="42387" s="12" customFormat="1" x14ac:dyDescent="0.25"/>
    <row r="42388" s="12" customFormat="1" x14ac:dyDescent="0.25"/>
    <row r="42389" s="12" customFormat="1" x14ac:dyDescent="0.25"/>
    <row r="42390" s="12" customFormat="1" x14ac:dyDescent="0.25"/>
    <row r="42391" s="12" customFormat="1" x14ac:dyDescent="0.25"/>
    <row r="42392" s="12" customFormat="1" x14ac:dyDescent="0.25"/>
    <row r="42393" s="12" customFormat="1" x14ac:dyDescent="0.25"/>
    <row r="42394" s="12" customFormat="1" x14ac:dyDescent="0.25"/>
    <row r="42395" s="12" customFormat="1" x14ac:dyDescent="0.25"/>
    <row r="42396" s="12" customFormat="1" x14ac:dyDescent="0.25"/>
    <row r="42397" s="12" customFormat="1" x14ac:dyDescent="0.25"/>
    <row r="42398" s="12" customFormat="1" x14ac:dyDescent="0.25"/>
    <row r="42399" s="12" customFormat="1" x14ac:dyDescent="0.25"/>
    <row r="42400" s="12" customFormat="1" x14ac:dyDescent="0.25"/>
    <row r="42401" s="12" customFormat="1" x14ac:dyDescent="0.25"/>
    <row r="42402" s="12" customFormat="1" x14ac:dyDescent="0.25"/>
    <row r="42403" s="12" customFormat="1" x14ac:dyDescent="0.25"/>
    <row r="42404" s="12" customFormat="1" x14ac:dyDescent="0.25"/>
    <row r="42405" s="12" customFormat="1" x14ac:dyDescent="0.25"/>
    <row r="42406" s="12" customFormat="1" x14ac:dyDescent="0.25"/>
    <row r="42407" s="12" customFormat="1" x14ac:dyDescent="0.25"/>
    <row r="42408" s="12" customFormat="1" x14ac:dyDescent="0.25"/>
    <row r="42409" s="12" customFormat="1" x14ac:dyDescent="0.25"/>
    <row r="42410" s="12" customFormat="1" x14ac:dyDescent="0.25"/>
    <row r="42411" s="12" customFormat="1" x14ac:dyDescent="0.25"/>
    <row r="42412" s="12" customFormat="1" x14ac:dyDescent="0.25"/>
    <row r="42413" s="12" customFormat="1" x14ac:dyDescent="0.25"/>
    <row r="42414" s="12" customFormat="1" x14ac:dyDescent="0.25"/>
    <row r="42415" s="12" customFormat="1" x14ac:dyDescent="0.25"/>
    <row r="42416" s="12" customFormat="1" x14ac:dyDescent="0.25"/>
    <row r="42417" s="12" customFormat="1" x14ac:dyDescent="0.25"/>
    <row r="42418" s="12" customFormat="1" x14ac:dyDescent="0.25"/>
    <row r="42419" s="12" customFormat="1" x14ac:dyDescent="0.25"/>
    <row r="42420" s="12" customFormat="1" x14ac:dyDescent="0.25"/>
    <row r="42421" s="12" customFormat="1" x14ac:dyDescent="0.25"/>
    <row r="42422" s="12" customFormat="1" x14ac:dyDescent="0.25"/>
    <row r="42423" s="12" customFormat="1" x14ac:dyDescent="0.25"/>
    <row r="42424" s="12" customFormat="1" x14ac:dyDescent="0.25"/>
    <row r="42425" s="12" customFormat="1" x14ac:dyDescent="0.25"/>
    <row r="42426" s="12" customFormat="1" x14ac:dyDescent="0.25"/>
    <row r="42427" s="12" customFormat="1" x14ac:dyDescent="0.25"/>
    <row r="42428" s="12" customFormat="1" x14ac:dyDescent="0.25"/>
    <row r="42429" s="12" customFormat="1" x14ac:dyDescent="0.25"/>
    <row r="42430" s="12" customFormat="1" x14ac:dyDescent="0.25"/>
    <row r="42431" s="12" customFormat="1" x14ac:dyDescent="0.25"/>
    <row r="42432" s="12" customFormat="1" x14ac:dyDescent="0.25"/>
    <row r="42433" s="12" customFormat="1" x14ac:dyDescent="0.25"/>
    <row r="42434" s="12" customFormat="1" x14ac:dyDescent="0.25"/>
    <row r="42435" s="12" customFormat="1" x14ac:dyDescent="0.25"/>
    <row r="42436" s="12" customFormat="1" x14ac:dyDescent="0.25"/>
    <row r="42437" s="12" customFormat="1" x14ac:dyDescent="0.25"/>
    <row r="42438" s="12" customFormat="1" x14ac:dyDescent="0.25"/>
    <row r="42439" s="12" customFormat="1" x14ac:dyDescent="0.25"/>
    <row r="42440" s="12" customFormat="1" x14ac:dyDescent="0.25"/>
    <row r="42441" s="12" customFormat="1" x14ac:dyDescent="0.25"/>
    <row r="42442" s="12" customFormat="1" x14ac:dyDescent="0.25"/>
    <row r="42443" s="12" customFormat="1" x14ac:dyDescent="0.25"/>
    <row r="42444" s="12" customFormat="1" x14ac:dyDescent="0.25"/>
    <row r="42445" s="12" customFormat="1" x14ac:dyDescent="0.25"/>
    <row r="42446" s="12" customFormat="1" x14ac:dyDescent="0.25"/>
    <row r="42447" s="12" customFormat="1" x14ac:dyDescent="0.25"/>
    <row r="42448" s="12" customFormat="1" x14ac:dyDescent="0.25"/>
    <row r="42449" s="12" customFormat="1" x14ac:dyDescent="0.25"/>
    <row r="42450" s="12" customFormat="1" x14ac:dyDescent="0.25"/>
    <row r="42451" s="12" customFormat="1" x14ac:dyDescent="0.25"/>
    <row r="42452" s="12" customFormat="1" x14ac:dyDescent="0.25"/>
    <row r="42453" s="12" customFormat="1" x14ac:dyDescent="0.25"/>
    <row r="42454" s="12" customFormat="1" x14ac:dyDescent="0.25"/>
    <row r="42455" s="12" customFormat="1" x14ac:dyDescent="0.25"/>
    <row r="42456" s="12" customFormat="1" x14ac:dyDescent="0.25"/>
    <row r="42457" s="12" customFormat="1" x14ac:dyDescent="0.25"/>
    <row r="42458" s="12" customFormat="1" x14ac:dyDescent="0.25"/>
    <row r="42459" s="12" customFormat="1" x14ac:dyDescent="0.25"/>
    <row r="42460" s="12" customFormat="1" x14ac:dyDescent="0.25"/>
    <row r="42461" s="12" customFormat="1" x14ac:dyDescent="0.25"/>
    <row r="42462" s="12" customFormat="1" x14ac:dyDescent="0.25"/>
    <row r="42463" s="12" customFormat="1" x14ac:dyDescent="0.25"/>
    <row r="42464" s="12" customFormat="1" x14ac:dyDescent="0.25"/>
    <row r="42465" s="12" customFormat="1" x14ac:dyDescent="0.25"/>
    <row r="42466" s="12" customFormat="1" x14ac:dyDescent="0.25"/>
    <row r="42467" s="12" customFormat="1" x14ac:dyDescent="0.25"/>
    <row r="42468" s="12" customFormat="1" x14ac:dyDescent="0.25"/>
    <row r="42469" s="12" customFormat="1" x14ac:dyDescent="0.25"/>
    <row r="42470" s="12" customFormat="1" x14ac:dyDescent="0.25"/>
    <row r="42471" s="12" customFormat="1" x14ac:dyDescent="0.25"/>
    <row r="42472" s="12" customFormat="1" x14ac:dyDescent="0.25"/>
    <row r="42473" s="12" customFormat="1" x14ac:dyDescent="0.25"/>
    <row r="42474" s="12" customFormat="1" x14ac:dyDescent="0.25"/>
    <row r="42475" s="12" customFormat="1" x14ac:dyDescent="0.25"/>
    <row r="42476" s="12" customFormat="1" x14ac:dyDescent="0.25"/>
    <row r="42477" s="12" customFormat="1" x14ac:dyDescent="0.25"/>
    <row r="42478" s="12" customFormat="1" x14ac:dyDescent="0.25"/>
    <row r="42479" s="12" customFormat="1" x14ac:dyDescent="0.25"/>
    <row r="42480" s="12" customFormat="1" x14ac:dyDescent="0.25"/>
    <row r="42481" s="12" customFormat="1" x14ac:dyDescent="0.25"/>
    <row r="42482" s="12" customFormat="1" x14ac:dyDescent="0.25"/>
    <row r="42483" s="12" customFormat="1" x14ac:dyDescent="0.25"/>
    <row r="42484" s="12" customFormat="1" x14ac:dyDescent="0.25"/>
    <row r="42485" s="12" customFormat="1" x14ac:dyDescent="0.25"/>
    <row r="42486" s="12" customFormat="1" x14ac:dyDescent="0.25"/>
    <row r="42487" s="12" customFormat="1" x14ac:dyDescent="0.25"/>
    <row r="42488" s="12" customFormat="1" x14ac:dyDescent="0.25"/>
    <row r="42489" s="12" customFormat="1" x14ac:dyDescent="0.25"/>
    <row r="42490" s="12" customFormat="1" x14ac:dyDescent="0.25"/>
    <row r="42491" s="12" customFormat="1" x14ac:dyDescent="0.25"/>
    <row r="42492" s="12" customFormat="1" x14ac:dyDescent="0.25"/>
    <row r="42493" s="12" customFormat="1" x14ac:dyDescent="0.25"/>
    <row r="42494" s="12" customFormat="1" x14ac:dyDescent="0.25"/>
    <row r="42495" s="12" customFormat="1" x14ac:dyDescent="0.25"/>
    <row r="42496" s="12" customFormat="1" x14ac:dyDescent="0.25"/>
    <row r="42497" s="12" customFormat="1" x14ac:dyDescent="0.25"/>
    <row r="42498" s="12" customFormat="1" x14ac:dyDescent="0.25"/>
    <row r="42499" s="12" customFormat="1" x14ac:dyDescent="0.25"/>
    <row r="42500" s="12" customFormat="1" x14ac:dyDescent="0.25"/>
    <row r="42501" s="12" customFormat="1" x14ac:dyDescent="0.25"/>
    <row r="42502" s="12" customFormat="1" x14ac:dyDescent="0.25"/>
    <row r="42503" s="12" customFormat="1" x14ac:dyDescent="0.25"/>
    <row r="42504" s="12" customFormat="1" x14ac:dyDescent="0.25"/>
    <row r="42505" s="12" customFormat="1" x14ac:dyDescent="0.25"/>
    <row r="42506" s="12" customFormat="1" x14ac:dyDescent="0.25"/>
    <row r="42507" s="12" customFormat="1" x14ac:dyDescent="0.25"/>
    <row r="42508" s="12" customFormat="1" x14ac:dyDescent="0.25"/>
    <row r="42509" s="12" customFormat="1" x14ac:dyDescent="0.25"/>
    <row r="42510" s="12" customFormat="1" x14ac:dyDescent="0.25"/>
    <row r="42511" s="12" customFormat="1" x14ac:dyDescent="0.25"/>
    <row r="42512" s="12" customFormat="1" x14ac:dyDescent="0.25"/>
    <row r="42513" s="12" customFormat="1" x14ac:dyDescent="0.25"/>
    <row r="42514" s="12" customFormat="1" x14ac:dyDescent="0.25"/>
    <row r="42515" s="12" customFormat="1" x14ac:dyDescent="0.25"/>
    <row r="42516" s="12" customFormat="1" x14ac:dyDescent="0.25"/>
    <row r="42517" s="12" customFormat="1" x14ac:dyDescent="0.25"/>
    <row r="42518" s="12" customFormat="1" x14ac:dyDescent="0.25"/>
    <row r="42519" s="12" customFormat="1" x14ac:dyDescent="0.25"/>
    <row r="42520" s="12" customFormat="1" x14ac:dyDescent="0.25"/>
    <row r="42521" s="12" customFormat="1" x14ac:dyDescent="0.25"/>
    <row r="42522" s="12" customFormat="1" x14ac:dyDescent="0.25"/>
    <row r="42523" s="12" customFormat="1" x14ac:dyDescent="0.25"/>
    <row r="42524" s="12" customFormat="1" x14ac:dyDescent="0.25"/>
    <row r="42525" s="12" customFormat="1" x14ac:dyDescent="0.25"/>
    <row r="42526" s="12" customFormat="1" x14ac:dyDescent="0.25"/>
    <row r="42527" s="12" customFormat="1" x14ac:dyDescent="0.25"/>
    <row r="42528" s="12" customFormat="1" x14ac:dyDescent="0.25"/>
    <row r="42529" s="12" customFormat="1" x14ac:dyDescent="0.25"/>
    <row r="42530" s="12" customFormat="1" x14ac:dyDescent="0.25"/>
    <row r="42531" s="12" customFormat="1" x14ac:dyDescent="0.25"/>
    <row r="42532" s="12" customFormat="1" x14ac:dyDescent="0.25"/>
    <row r="42533" s="12" customFormat="1" x14ac:dyDescent="0.25"/>
    <row r="42534" s="12" customFormat="1" x14ac:dyDescent="0.25"/>
    <row r="42535" s="12" customFormat="1" x14ac:dyDescent="0.25"/>
    <row r="42536" s="12" customFormat="1" x14ac:dyDescent="0.25"/>
    <row r="42537" s="12" customFormat="1" x14ac:dyDescent="0.25"/>
    <row r="42538" s="12" customFormat="1" x14ac:dyDescent="0.25"/>
    <row r="42539" s="12" customFormat="1" x14ac:dyDescent="0.25"/>
    <row r="42540" s="12" customFormat="1" x14ac:dyDescent="0.25"/>
    <row r="42541" s="12" customFormat="1" x14ac:dyDescent="0.25"/>
    <row r="42542" s="12" customFormat="1" x14ac:dyDescent="0.25"/>
    <row r="42543" s="12" customFormat="1" x14ac:dyDescent="0.25"/>
    <row r="42544" s="12" customFormat="1" x14ac:dyDescent="0.25"/>
    <row r="42545" s="12" customFormat="1" x14ac:dyDescent="0.25"/>
    <row r="42546" s="12" customFormat="1" x14ac:dyDescent="0.25"/>
    <row r="42547" s="12" customFormat="1" x14ac:dyDescent="0.25"/>
    <row r="42548" s="12" customFormat="1" x14ac:dyDescent="0.25"/>
    <row r="42549" s="12" customFormat="1" x14ac:dyDescent="0.25"/>
    <row r="42550" s="12" customFormat="1" x14ac:dyDescent="0.25"/>
    <row r="42551" s="12" customFormat="1" x14ac:dyDescent="0.25"/>
    <row r="42552" s="12" customFormat="1" x14ac:dyDescent="0.25"/>
    <row r="42553" s="12" customFormat="1" x14ac:dyDescent="0.25"/>
    <row r="42554" s="12" customFormat="1" x14ac:dyDescent="0.25"/>
    <row r="42555" s="12" customFormat="1" x14ac:dyDescent="0.25"/>
    <row r="42556" s="12" customFormat="1" x14ac:dyDescent="0.25"/>
    <row r="42557" s="12" customFormat="1" x14ac:dyDescent="0.25"/>
    <row r="42558" s="12" customFormat="1" x14ac:dyDescent="0.25"/>
    <row r="42559" s="12" customFormat="1" x14ac:dyDescent="0.25"/>
    <row r="42560" s="12" customFormat="1" x14ac:dyDescent="0.25"/>
    <row r="42561" s="12" customFormat="1" x14ac:dyDescent="0.25"/>
    <row r="42562" s="12" customFormat="1" x14ac:dyDescent="0.25"/>
    <row r="42563" s="12" customFormat="1" x14ac:dyDescent="0.25"/>
    <row r="42564" s="12" customFormat="1" x14ac:dyDescent="0.25"/>
    <row r="42565" s="12" customFormat="1" x14ac:dyDescent="0.25"/>
    <row r="42566" s="12" customFormat="1" x14ac:dyDescent="0.25"/>
    <row r="42567" s="12" customFormat="1" x14ac:dyDescent="0.25"/>
    <row r="42568" s="12" customFormat="1" x14ac:dyDescent="0.25"/>
    <row r="42569" s="12" customFormat="1" x14ac:dyDescent="0.25"/>
    <row r="42570" s="12" customFormat="1" x14ac:dyDescent="0.25"/>
    <row r="42571" s="12" customFormat="1" x14ac:dyDescent="0.25"/>
    <row r="42572" s="12" customFormat="1" x14ac:dyDescent="0.25"/>
    <row r="42573" s="12" customFormat="1" x14ac:dyDescent="0.25"/>
    <row r="42574" s="12" customFormat="1" x14ac:dyDescent="0.25"/>
    <row r="42575" s="12" customFormat="1" x14ac:dyDescent="0.25"/>
    <row r="42576" s="12" customFormat="1" x14ac:dyDescent="0.25"/>
    <row r="42577" s="12" customFormat="1" x14ac:dyDescent="0.25"/>
    <row r="42578" s="12" customFormat="1" x14ac:dyDescent="0.25"/>
    <row r="42579" s="12" customFormat="1" x14ac:dyDescent="0.25"/>
    <row r="42580" s="12" customFormat="1" x14ac:dyDescent="0.25"/>
    <row r="42581" s="12" customFormat="1" x14ac:dyDescent="0.25"/>
    <row r="42582" s="12" customFormat="1" x14ac:dyDescent="0.25"/>
    <row r="42583" s="12" customFormat="1" x14ac:dyDescent="0.25"/>
    <row r="42584" s="12" customFormat="1" x14ac:dyDescent="0.25"/>
    <row r="42585" s="12" customFormat="1" x14ac:dyDescent="0.25"/>
    <row r="42586" s="12" customFormat="1" x14ac:dyDescent="0.25"/>
    <row r="42587" s="12" customFormat="1" x14ac:dyDescent="0.25"/>
    <row r="42588" s="12" customFormat="1" x14ac:dyDescent="0.25"/>
    <row r="42589" s="12" customFormat="1" x14ac:dyDescent="0.25"/>
    <row r="42590" s="12" customFormat="1" x14ac:dyDescent="0.25"/>
    <row r="42591" s="12" customFormat="1" x14ac:dyDescent="0.25"/>
    <row r="42592" s="12" customFormat="1" x14ac:dyDescent="0.25"/>
    <row r="42593" s="12" customFormat="1" x14ac:dyDescent="0.25"/>
    <row r="42594" s="12" customFormat="1" x14ac:dyDescent="0.25"/>
    <row r="42595" s="12" customFormat="1" x14ac:dyDescent="0.25"/>
    <row r="42596" s="12" customFormat="1" x14ac:dyDescent="0.25"/>
    <row r="42597" s="12" customFormat="1" x14ac:dyDescent="0.25"/>
    <row r="42598" s="12" customFormat="1" x14ac:dyDescent="0.25"/>
    <row r="42599" s="12" customFormat="1" x14ac:dyDescent="0.25"/>
    <row r="42600" s="12" customFormat="1" x14ac:dyDescent="0.25"/>
    <row r="42601" s="12" customFormat="1" x14ac:dyDescent="0.25"/>
    <row r="42602" s="12" customFormat="1" x14ac:dyDescent="0.25"/>
    <row r="42603" s="12" customFormat="1" x14ac:dyDescent="0.25"/>
    <row r="42604" s="12" customFormat="1" x14ac:dyDescent="0.25"/>
    <row r="42605" s="12" customFormat="1" x14ac:dyDescent="0.25"/>
    <row r="42606" s="12" customFormat="1" x14ac:dyDescent="0.25"/>
    <row r="42607" s="12" customFormat="1" x14ac:dyDescent="0.25"/>
    <row r="42608" s="12" customFormat="1" x14ac:dyDescent="0.25"/>
    <row r="42609" s="12" customFormat="1" x14ac:dyDescent="0.25"/>
    <row r="42610" s="12" customFormat="1" x14ac:dyDescent="0.25"/>
    <row r="42611" s="12" customFormat="1" x14ac:dyDescent="0.25"/>
    <row r="42612" s="12" customFormat="1" x14ac:dyDescent="0.25"/>
    <row r="42613" s="12" customFormat="1" x14ac:dyDescent="0.25"/>
    <row r="42614" s="12" customFormat="1" x14ac:dyDescent="0.25"/>
    <row r="42615" s="12" customFormat="1" x14ac:dyDescent="0.25"/>
    <row r="42616" s="12" customFormat="1" x14ac:dyDescent="0.25"/>
    <row r="42617" s="12" customFormat="1" x14ac:dyDescent="0.25"/>
    <row r="42618" s="12" customFormat="1" x14ac:dyDescent="0.25"/>
    <row r="42619" s="12" customFormat="1" x14ac:dyDescent="0.25"/>
    <row r="42620" s="12" customFormat="1" x14ac:dyDescent="0.25"/>
    <row r="42621" s="12" customFormat="1" x14ac:dyDescent="0.25"/>
    <row r="42622" s="12" customFormat="1" x14ac:dyDescent="0.25"/>
    <row r="42623" s="12" customFormat="1" x14ac:dyDescent="0.25"/>
    <row r="42624" s="12" customFormat="1" x14ac:dyDescent="0.25"/>
    <row r="42625" s="12" customFormat="1" x14ac:dyDescent="0.25"/>
    <row r="42626" s="12" customFormat="1" x14ac:dyDescent="0.25"/>
    <row r="42627" s="12" customFormat="1" x14ac:dyDescent="0.25"/>
    <row r="42628" s="12" customFormat="1" x14ac:dyDescent="0.25"/>
    <row r="42629" s="12" customFormat="1" x14ac:dyDescent="0.25"/>
    <row r="42630" s="12" customFormat="1" x14ac:dyDescent="0.25"/>
    <row r="42631" s="12" customFormat="1" x14ac:dyDescent="0.25"/>
    <row r="42632" s="12" customFormat="1" x14ac:dyDescent="0.25"/>
    <row r="42633" s="12" customFormat="1" x14ac:dyDescent="0.25"/>
    <row r="42634" s="12" customFormat="1" x14ac:dyDescent="0.25"/>
    <row r="42635" s="12" customFormat="1" x14ac:dyDescent="0.25"/>
    <row r="42636" s="12" customFormat="1" x14ac:dyDescent="0.25"/>
    <row r="42637" s="12" customFormat="1" x14ac:dyDescent="0.25"/>
    <row r="42638" s="12" customFormat="1" x14ac:dyDescent="0.25"/>
    <row r="42639" s="12" customFormat="1" x14ac:dyDescent="0.25"/>
    <row r="42640" s="12" customFormat="1" x14ac:dyDescent="0.25"/>
    <row r="42641" s="12" customFormat="1" x14ac:dyDescent="0.25"/>
    <row r="42642" s="12" customFormat="1" x14ac:dyDescent="0.25"/>
    <row r="42643" s="12" customFormat="1" x14ac:dyDescent="0.25"/>
    <row r="42644" s="12" customFormat="1" x14ac:dyDescent="0.25"/>
    <row r="42645" s="12" customFormat="1" x14ac:dyDescent="0.25"/>
    <row r="42646" s="12" customFormat="1" x14ac:dyDescent="0.25"/>
    <row r="42647" s="12" customFormat="1" x14ac:dyDescent="0.25"/>
    <row r="42648" s="12" customFormat="1" x14ac:dyDescent="0.25"/>
    <row r="42649" s="12" customFormat="1" x14ac:dyDescent="0.25"/>
    <row r="42650" s="12" customFormat="1" x14ac:dyDescent="0.25"/>
    <row r="42651" s="12" customFormat="1" x14ac:dyDescent="0.25"/>
    <row r="42652" s="12" customFormat="1" x14ac:dyDescent="0.25"/>
    <row r="42653" s="12" customFormat="1" x14ac:dyDescent="0.25"/>
    <row r="42654" s="12" customFormat="1" x14ac:dyDescent="0.25"/>
    <row r="42655" s="12" customFormat="1" x14ac:dyDescent="0.25"/>
    <row r="42656" s="12" customFormat="1" x14ac:dyDescent="0.25"/>
    <row r="42657" s="12" customFormat="1" x14ac:dyDescent="0.25"/>
    <row r="42658" s="12" customFormat="1" x14ac:dyDescent="0.25"/>
    <row r="42659" s="12" customFormat="1" x14ac:dyDescent="0.25"/>
    <row r="42660" s="12" customFormat="1" x14ac:dyDescent="0.25"/>
    <row r="42661" s="12" customFormat="1" x14ac:dyDescent="0.25"/>
    <row r="42662" s="12" customFormat="1" x14ac:dyDescent="0.25"/>
    <row r="42663" s="12" customFormat="1" x14ac:dyDescent="0.25"/>
    <row r="42664" s="12" customFormat="1" x14ac:dyDescent="0.25"/>
    <row r="42665" s="12" customFormat="1" x14ac:dyDescent="0.25"/>
    <row r="42666" s="12" customFormat="1" x14ac:dyDescent="0.25"/>
    <row r="42667" s="12" customFormat="1" x14ac:dyDescent="0.25"/>
    <row r="42668" s="12" customFormat="1" x14ac:dyDescent="0.25"/>
    <row r="42669" s="12" customFormat="1" x14ac:dyDescent="0.25"/>
    <row r="42670" s="12" customFormat="1" x14ac:dyDescent="0.25"/>
    <row r="42671" s="12" customFormat="1" x14ac:dyDescent="0.25"/>
    <row r="42672" s="12" customFormat="1" x14ac:dyDescent="0.25"/>
    <row r="42673" s="12" customFormat="1" x14ac:dyDescent="0.25"/>
    <row r="42674" s="12" customFormat="1" x14ac:dyDescent="0.25"/>
    <row r="42675" s="12" customFormat="1" x14ac:dyDescent="0.25"/>
    <row r="42676" s="12" customFormat="1" x14ac:dyDescent="0.25"/>
    <row r="42677" s="12" customFormat="1" x14ac:dyDescent="0.25"/>
    <row r="42678" s="12" customFormat="1" x14ac:dyDescent="0.25"/>
    <row r="42679" s="12" customFormat="1" x14ac:dyDescent="0.25"/>
    <row r="42680" s="12" customFormat="1" x14ac:dyDescent="0.25"/>
    <row r="42681" s="12" customFormat="1" x14ac:dyDescent="0.25"/>
    <row r="42682" s="12" customFormat="1" x14ac:dyDescent="0.25"/>
    <row r="42683" s="12" customFormat="1" x14ac:dyDescent="0.25"/>
    <row r="42684" s="12" customFormat="1" x14ac:dyDescent="0.25"/>
    <row r="42685" s="12" customFormat="1" x14ac:dyDescent="0.25"/>
    <row r="42686" s="12" customFormat="1" x14ac:dyDescent="0.25"/>
    <row r="42687" s="12" customFormat="1" x14ac:dyDescent="0.25"/>
    <row r="42688" s="12" customFormat="1" x14ac:dyDescent="0.25"/>
    <row r="42689" s="12" customFormat="1" x14ac:dyDescent="0.25"/>
    <row r="42690" s="12" customFormat="1" x14ac:dyDescent="0.25"/>
    <row r="42691" s="12" customFormat="1" x14ac:dyDescent="0.25"/>
    <row r="42692" s="12" customFormat="1" x14ac:dyDescent="0.25"/>
    <row r="42693" s="12" customFormat="1" x14ac:dyDescent="0.25"/>
    <row r="42694" s="12" customFormat="1" x14ac:dyDescent="0.25"/>
    <row r="42695" s="12" customFormat="1" x14ac:dyDescent="0.25"/>
    <row r="42696" s="12" customFormat="1" x14ac:dyDescent="0.25"/>
    <row r="42697" s="12" customFormat="1" x14ac:dyDescent="0.25"/>
    <row r="42698" s="12" customFormat="1" x14ac:dyDescent="0.25"/>
    <row r="42699" s="12" customFormat="1" x14ac:dyDescent="0.25"/>
    <row r="42700" s="12" customFormat="1" x14ac:dyDescent="0.25"/>
    <row r="42701" s="12" customFormat="1" x14ac:dyDescent="0.25"/>
    <row r="42702" s="12" customFormat="1" x14ac:dyDescent="0.25"/>
    <row r="42703" s="12" customFormat="1" x14ac:dyDescent="0.25"/>
    <row r="42704" s="12" customFormat="1" x14ac:dyDescent="0.25"/>
    <row r="42705" s="12" customFormat="1" x14ac:dyDescent="0.25"/>
    <row r="42706" s="12" customFormat="1" x14ac:dyDescent="0.25"/>
    <row r="42707" s="12" customFormat="1" x14ac:dyDescent="0.25"/>
    <row r="42708" s="12" customFormat="1" x14ac:dyDescent="0.25"/>
    <row r="42709" s="12" customFormat="1" x14ac:dyDescent="0.25"/>
    <row r="42710" s="12" customFormat="1" x14ac:dyDescent="0.25"/>
    <row r="42711" s="12" customFormat="1" x14ac:dyDescent="0.25"/>
    <row r="42712" s="12" customFormat="1" x14ac:dyDescent="0.25"/>
    <row r="42713" s="12" customFormat="1" x14ac:dyDescent="0.25"/>
    <row r="42714" s="12" customFormat="1" x14ac:dyDescent="0.25"/>
    <row r="42715" s="12" customFormat="1" x14ac:dyDescent="0.25"/>
    <row r="42716" s="12" customFormat="1" x14ac:dyDescent="0.25"/>
    <row r="42717" s="12" customFormat="1" x14ac:dyDescent="0.25"/>
    <row r="42718" s="12" customFormat="1" x14ac:dyDescent="0.25"/>
    <row r="42719" s="12" customFormat="1" x14ac:dyDescent="0.25"/>
    <row r="42720" s="12" customFormat="1" x14ac:dyDescent="0.25"/>
    <row r="42721" s="12" customFormat="1" x14ac:dyDescent="0.25"/>
    <row r="42722" s="12" customFormat="1" x14ac:dyDescent="0.25"/>
    <row r="42723" s="12" customFormat="1" x14ac:dyDescent="0.25"/>
    <row r="42724" s="12" customFormat="1" x14ac:dyDescent="0.25"/>
    <row r="42725" s="12" customFormat="1" x14ac:dyDescent="0.25"/>
    <row r="42726" s="12" customFormat="1" x14ac:dyDescent="0.25"/>
    <row r="42727" s="12" customFormat="1" x14ac:dyDescent="0.25"/>
    <row r="42728" s="12" customFormat="1" x14ac:dyDescent="0.25"/>
    <row r="42729" s="12" customFormat="1" x14ac:dyDescent="0.25"/>
    <row r="42730" s="12" customFormat="1" x14ac:dyDescent="0.25"/>
    <row r="42731" s="12" customFormat="1" x14ac:dyDescent="0.25"/>
    <row r="42732" s="12" customFormat="1" x14ac:dyDescent="0.25"/>
    <row r="42733" s="12" customFormat="1" x14ac:dyDescent="0.25"/>
    <row r="42734" s="12" customFormat="1" x14ac:dyDescent="0.25"/>
    <row r="42735" s="12" customFormat="1" x14ac:dyDescent="0.25"/>
    <row r="42736" s="12" customFormat="1" x14ac:dyDescent="0.25"/>
    <row r="42737" s="12" customFormat="1" x14ac:dyDescent="0.25"/>
    <row r="42738" s="12" customFormat="1" x14ac:dyDescent="0.25"/>
    <row r="42739" s="12" customFormat="1" x14ac:dyDescent="0.25"/>
    <row r="42740" s="12" customFormat="1" x14ac:dyDescent="0.25"/>
    <row r="42741" s="12" customFormat="1" x14ac:dyDescent="0.25"/>
    <row r="42742" s="12" customFormat="1" x14ac:dyDescent="0.25"/>
    <row r="42743" s="12" customFormat="1" x14ac:dyDescent="0.25"/>
    <row r="42744" s="12" customFormat="1" x14ac:dyDescent="0.25"/>
    <row r="42745" s="12" customFormat="1" x14ac:dyDescent="0.25"/>
    <row r="42746" s="12" customFormat="1" x14ac:dyDescent="0.25"/>
    <row r="42747" s="12" customFormat="1" x14ac:dyDescent="0.25"/>
    <row r="42748" s="12" customFormat="1" x14ac:dyDescent="0.25"/>
    <row r="42749" s="12" customFormat="1" x14ac:dyDescent="0.25"/>
    <row r="42750" s="12" customFormat="1" x14ac:dyDescent="0.25"/>
    <row r="42751" s="12" customFormat="1" x14ac:dyDescent="0.25"/>
    <row r="42752" s="12" customFormat="1" x14ac:dyDescent="0.25"/>
    <row r="42753" s="12" customFormat="1" x14ac:dyDescent="0.25"/>
    <row r="42754" s="12" customFormat="1" x14ac:dyDescent="0.25"/>
    <row r="42755" s="12" customFormat="1" x14ac:dyDescent="0.25"/>
    <row r="42756" s="12" customFormat="1" x14ac:dyDescent="0.25"/>
    <row r="42757" s="12" customFormat="1" x14ac:dyDescent="0.25"/>
    <row r="42758" s="12" customFormat="1" x14ac:dyDescent="0.25"/>
    <row r="42759" s="12" customFormat="1" x14ac:dyDescent="0.25"/>
    <row r="42760" s="12" customFormat="1" x14ac:dyDescent="0.25"/>
    <row r="42761" s="12" customFormat="1" x14ac:dyDescent="0.25"/>
    <row r="42762" s="12" customFormat="1" x14ac:dyDescent="0.25"/>
    <row r="42763" s="12" customFormat="1" x14ac:dyDescent="0.25"/>
    <row r="42764" s="12" customFormat="1" x14ac:dyDescent="0.25"/>
    <row r="42765" s="12" customFormat="1" x14ac:dyDescent="0.25"/>
    <row r="42766" s="12" customFormat="1" x14ac:dyDescent="0.25"/>
    <row r="42767" s="12" customFormat="1" x14ac:dyDescent="0.25"/>
    <row r="42768" s="12" customFormat="1" x14ac:dyDescent="0.25"/>
    <row r="42769" s="12" customFormat="1" x14ac:dyDescent="0.25"/>
    <row r="42770" s="12" customFormat="1" x14ac:dyDescent="0.25"/>
    <row r="42771" s="12" customFormat="1" x14ac:dyDescent="0.25"/>
    <row r="42772" s="12" customFormat="1" x14ac:dyDescent="0.25"/>
    <row r="42773" s="12" customFormat="1" x14ac:dyDescent="0.25"/>
    <row r="42774" s="12" customFormat="1" x14ac:dyDescent="0.25"/>
    <row r="42775" s="12" customFormat="1" x14ac:dyDescent="0.25"/>
    <row r="42776" s="12" customFormat="1" x14ac:dyDescent="0.25"/>
    <row r="42777" s="12" customFormat="1" x14ac:dyDescent="0.25"/>
    <row r="42778" s="12" customFormat="1" x14ac:dyDescent="0.25"/>
    <row r="42779" s="12" customFormat="1" x14ac:dyDescent="0.25"/>
    <row r="42780" s="12" customFormat="1" x14ac:dyDescent="0.25"/>
    <row r="42781" s="12" customFormat="1" x14ac:dyDescent="0.25"/>
    <row r="42782" s="12" customFormat="1" x14ac:dyDescent="0.25"/>
    <row r="42783" s="12" customFormat="1" x14ac:dyDescent="0.25"/>
    <row r="42784" s="12" customFormat="1" x14ac:dyDescent="0.25"/>
    <row r="42785" s="12" customFormat="1" x14ac:dyDescent="0.25"/>
    <row r="42786" s="12" customFormat="1" x14ac:dyDescent="0.25"/>
    <row r="42787" s="12" customFormat="1" x14ac:dyDescent="0.25"/>
    <row r="42788" s="12" customFormat="1" x14ac:dyDescent="0.25"/>
    <row r="42789" s="12" customFormat="1" x14ac:dyDescent="0.25"/>
    <row r="42790" s="12" customFormat="1" x14ac:dyDescent="0.25"/>
    <row r="42791" s="12" customFormat="1" x14ac:dyDescent="0.25"/>
    <row r="42792" s="12" customFormat="1" x14ac:dyDescent="0.25"/>
    <row r="42793" s="12" customFormat="1" x14ac:dyDescent="0.25"/>
    <row r="42794" s="12" customFormat="1" x14ac:dyDescent="0.25"/>
    <row r="42795" s="12" customFormat="1" x14ac:dyDescent="0.25"/>
    <row r="42796" s="12" customFormat="1" x14ac:dyDescent="0.25"/>
    <row r="42797" s="12" customFormat="1" x14ac:dyDescent="0.25"/>
    <row r="42798" s="12" customFormat="1" x14ac:dyDescent="0.25"/>
    <row r="42799" s="12" customFormat="1" x14ac:dyDescent="0.25"/>
    <row r="42800" s="12" customFormat="1" x14ac:dyDescent="0.25"/>
    <row r="42801" s="12" customFormat="1" x14ac:dyDescent="0.25"/>
    <row r="42802" s="12" customFormat="1" x14ac:dyDescent="0.25"/>
    <row r="42803" s="12" customFormat="1" x14ac:dyDescent="0.25"/>
    <row r="42804" s="12" customFormat="1" x14ac:dyDescent="0.25"/>
    <row r="42805" s="12" customFormat="1" x14ac:dyDescent="0.25"/>
    <row r="42806" s="12" customFormat="1" x14ac:dyDescent="0.25"/>
    <row r="42807" s="12" customFormat="1" x14ac:dyDescent="0.25"/>
    <row r="42808" s="12" customFormat="1" x14ac:dyDescent="0.25"/>
    <row r="42809" s="12" customFormat="1" x14ac:dyDescent="0.25"/>
    <row r="42810" s="12" customFormat="1" x14ac:dyDescent="0.25"/>
    <row r="42811" s="12" customFormat="1" x14ac:dyDescent="0.25"/>
    <row r="42812" s="12" customFormat="1" x14ac:dyDescent="0.25"/>
    <row r="42813" s="12" customFormat="1" x14ac:dyDescent="0.25"/>
    <row r="42814" s="12" customFormat="1" x14ac:dyDescent="0.25"/>
    <row r="42815" s="12" customFormat="1" x14ac:dyDescent="0.25"/>
    <row r="42816" s="12" customFormat="1" x14ac:dyDescent="0.25"/>
    <row r="42817" s="12" customFormat="1" x14ac:dyDescent="0.25"/>
    <row r="42818" s="12" customFormat="1" x14ac:dyDescent="0.25"/>
    <row r="42819" s="12" customFormat="1" x14ac:dyDescent="0.25"/>
    <row r="42820" s="12" customFormat="1" x14ac:dyDescent="0.25"/>
    <row r="42821" s="12" customFormat="1" x14ac:dyDescent="0.25"/>
    <row r="42822" s="12" customFormat="1" x14ac:dyDescent="0.25"/>
    <row r="42823" s="12" customFormat="1" x14ac:dyDescent="0.25"/>
    <row r="42824" s="12" customFormat="1" x14ac:dyDescent="0.25"/>
    <row r="42825" s="12" customFormat="1" x14ac:dyDescent="0.25"/>
    <row r="42826" s="12" customFormat="1" x14ac:dyDescent="0.25"/>
    <row r="42827" s="12" customFormat="1" x14ac:dyDescent="0.25"/>
    <row r="42828" s="12" customFormat="1" x14ac:dyDescent="0.25"/>
    <row r="42829" s="12" customFormat="1" x14ac:dyDescent="0.25"/>
    <row r="42830" s="12" customFormat="1" x14ac:dyDescent="0.25"/>
    <row r="42831" s="12" customFormat="1" x14ac:dyDescent="0.25"/>
    <row r="42832" s="12" customFormat="1" x14ac:dyDescent="0.25"/>
    <row r="42833" s="12" customFormat="1" x14ac:dyDescent="0.25"/>
    <row r="42834" s="12" customFormat="1" x14ac:dyDescent="0.25"/>
    <row r="42835" s="12" customFormat="1" x14ac:dyDescent="0.25"/>
    <row r="42836" s="12" customFormat="1" x14ac:dyDescent="0.25"/>
    <row r="42837" s="12" customFormat="1" x14ac:dyDescent="0.25"/>
    <row r="42838" s="12" customFormat="1" x14ac:dyDescent="0.25"/>
    <row r="42839" s="12" customFormat="1" x14ac:dyDescent="0.25"/>
    <row r="42840" s="12" customFormat="1" x14ac:dyDescent="0.25"/>
    <row r="42841" s="12" customFormat="1" x14ac:dyDescent="0.25"/>
    <row r="42842" s="12" customFormat="1" x14ac:dyDescent="0.25"/>
    <row r="42843" s="12" customFormat="1" x14ac:dyDescent="0.25"/>
    <row r="42844" s="12" customFormat="1" x14ac:dyDescent="0.25"/>
    <row r="42845" s="12" customFormat="1" x14ac:dyDescent="0.25"/>
    <row r="42846" s="12" customFormat="1" x14ac:dyDescent="0.25"/>
    <row r="42847" s="12" customFormat="1" x14ac:dyDescent="0.25"/>
    <row r="42848" s="12" customFormat="1" x14ac:dyDescent="0.25"/>
    <row r="42849" s="12" customFormat="1" x14ac:dyDescent="0.25"/>
    <row r="42850" s="12" customFormat="1" x14ac:dyDescent="0.25"/>
    <row r="42851" s="12" customFormat="1" x14ac:dyDescent="0.25"/>
    <row r="42852" s="12" customFormat="1" x14ac:dyDescent="0.25"/>
    <row r="42853" s="12" customFormat="1" x14ac:dyDescent="0.25"/>
    <row r="42854" s="12" customFormat="1" x14ac:dyDescent="0.25"/>
    <row r="42855" s="12" customFormat="1" x14ac:dyDescent="0.25"/>
    <row r="42856" s="12" customFormat="1" x14ac:dyDescent="0.25"/>
    <row r="42857" s="12" customFormat="1" x14ac:dyDescent="0.25"/>
    <row r="42858" s="12" customFormat="1" x14ac:dyDescent="0.25"/>
    <row r="42859" s="12" customFormat="1" x14ac:dyDescent="0.25"/>
    <row r="42860" s="12" customFormat="1" x14ac:dyDescent="0.25"/>
    <row r="42861" s="12" customFormat="1" x14ac:dyDescent="0.25"/>
    <row r="42862" s="12" customFormat="1" x14ac:dyDescent="0.25"/>
    <row r="42863" s="12" customFormat="1" x14ac:dyDescent="0.25"/>
    <row r="42864" s="12" customFormat="1" x14ac:dyDescent="0.25"/>
    <row r="42865" s="12" customFormat="1" x14ac:dyDescent="0.25"/>
    <row r="42866" s="12" customFormat="1" x14ac:dyDescent="0.25"/>
    <row r="42867" s="12" customFormat="1" x14ac:dyDescent="0.25"/>
    <row r="42868" s="12" customFormat="1" x14ac:dyDescent="0.25"/>
    <row r="42869" s="12" customFormat="1" x14ac:dyDescent="0.25"/>
    <row r="42870" s="12" customFormat="1" x14ac:dyDescent="0.25"/>
    <row r="42871" s="12" customFormat="1" x14ac:dyDescent="0.25"/>
    <row r="42872" s="12" customFormat="1" x14ac:dyDescent="0.25"/>
    <row r="42873" s="12" customFormat="1" x14ac:dyDescent="0.25"/>
    <row r="42874" s="12" customFormat="1" x14ac:dyDescent="0.25"/>
    <row r="42875" s="12" customFormat="1" x14ac:dyDescent="0.25"/>
    <row r="42876" s="12" customFormat="1" x14ac:dyDescent="0.25"/>
    <row r="42877" s="12" customFormat="1" x14ac:dyDescent="0.25"/>
    <row r="42878" s="12" customFormat="1" x14ac:dyDescent="0.25"/>
    <row r="42879" s="12" customFormat="1" x14ac:dyDescent="0.25"/>
    <row r="42880" s="12" customFormat="1" x14ac:dyDescent="0.25"/>
    <row r="42881" s="12" customFormat="1" x14ac:dyDescent="0.25"/>
    <row r="42882" s="12" customFormat="1" x14ac:dyDescent="0.25"/>
    <row r="42883" s="12" customFormat="1" x14ac:dyDescent="0.25"/>
    <row r="42884" s="12" customFormat="1" x14ac:dyDescent="0.25"/>
    <row r="42885" s="12" customFormat="1" x14ac:dyDescent="0.25"/>
    <row r="42886" s="12" customFormat="1" x14ac:dyDescent="0.25"/>
    <row r="42887" s="12" customFormat="1" x14ac:dyDescent="0.25"/>
    <row r="42888" s="12" customFormat="1" x14ac:dyDescent="0.25"/>
    <row r="42889" s="12" customFormat="1" x14ac:dyDescent="0.25"/>
    <row r="42890" s="12" customFormat="1" x14ac:dyDescent="0.25"/>
    <row r="42891" s="12" customFormat="1" x14ac:dyDescent="0.25"/>
    <row r="42892" s="12" customFormat="1" x14ac:dyDescent="0.25"/>
    <row r="42893" s="12" customFormat="1" x14ac:dyDescent="0.25"/>
    <row r="42894" s="12" customFormat="1" x14ac:dyDescent="0.25"/>
    <row r="42895" s="12" customFormat="1" x14ac:dyDescent="0.25"/>
    <row r="42896" s="12" customFormat="1" x14ac:dyDescent="0.25"/>
    <row r="42897" s="12" customFormat="1" x14ac:dyDescent="0.25"/>
    <row r="42898" s="12" customFormat="1" x14ac:dyDescent="0.25"/>
    <row r="42899" s="12" customFormat="1" x14ac:dyDescent="0.25"/>
    <row r="42900" s="12" customFormat="1" x14ac:dyDescent="0.25"/>
    <row r="42901" s="12" customFormat="1" x14ac:dyDescent="0.25"/>
    <row r="42902" s="12" customFormat="1" x14ac:dyDescent="0.25"/>
    <row r="42903" s="12" customFormat="1" x14ac:dyDescent="0.25"/>
    <row r="42904" s="12" customFormat="1" x14ac:dyDescent="0.25"/>
    <row r="42905" s="12" customFormat="1" x14ac:dyDescent="0.25"/>
    <row r="42906" s="12" customFormat="1" x14ac:dyDescent="0.25"/>
    <row r="42907" s="12" customFormat="1" x14ac:dyDescent="0.25"/>
    <row r="42908" s="12" customFormat="1" x14ac:dyDescent="0.25"/>
    <row r="42909" s="12" customFormat="1" x14ac:dyDescent="0.25"/>
    <row r="42910" s="12" customFormat="1" x14ac:dyDescent="0.25"/>
    <row r="42911" s="12" customFormat="1" x14ac:dyDescent="0.25"/>
    <row r="42912" s="12" customFormat="1" x14ac:dyDescent="0.25"/>
    <row r="42913" s="12" customFormat="1" x14ac:dyDescent="0.25"/>
    <row r="42914" s="12" customFormat="1" x14ac:dyDescent="0.25"/>
    <row r="42915" s="12" customFormat="1" x14ac:dyDescent="0.25"/>
    <row r="42916" s="12" customFormat="1" x14ac:dyDescent="0.25"/>
    <row r="42917" s="12" customFormat="1" x14ac:dyDescent="0.25"/>
    <row r="42918" s="12" customFormat="1" x14ac:dyDescent="0.25"/>
    <row r="42919" s="12" customFormat="1" x14ac:dyDescent="0.25"/>
    <row r="42920" s="12" customFormat="1" x14ac:dyDescent="0.25"/>
    <row r="42921" s="12" customFormat="1" x14ac:dyDescent="0.25"/>
    <row r="42922" s="12" customFormat="1" x14ac:dyDescent="0.25"/>
    <row r="42923" s="12" customFormat="1" x14ac:dyDescent="0.25"/>
    <row r="42924" s="12" customFormat="1" x14ac:dyDescent="0.25"/>
    <row r="42925" s="12" customFormat="1" x14ac:dyDescent="0.25"/>
    <row r="42926" s="12" customFormat="1" x14ac:dyDescent="0.25"/>
    <row r="42927" s="12" customFormat="1" x14ac:dyDescent="0.25"/>
    <row r="42928" s="12" customFormat="1" x14ac:dyDescent="0.25"/>
    <row r="42929" s="12" customFormat="1" x14ac:dyDescent="0.25"/>
    <row r="42930" s="12" customFormat="1" x14ac:dyDescent="0.25"/>
    <row r="42931" s="12" customFormat="1" x14ac:dyDescent="0.25"/>
    <row r="42932" s="12" customFormat="1" x14ac:dyDescent="0.25"/>
    <row r="42933" s="12" customFormat="1" x14ac:dyDescent="0.25"/>
    <row r="42934" s="12" customFormat="1" x14ac:dyDescent="0.25"/>
    <row r="42935" s="12" customFormat="1" x14ac:dyDescent="0.25"/>
    <row r="42936" s="12" customFormat="1" x14ac:dyDescent="0.25"/>
    <row r="42937" s="12" customFormat="1" x14ac:dyDescent="0.25"/>
    <row r="42938" s="12" customFormat="1" x14ac:dyDescent="0.25"/>
    <row r="42939" s="12" customFormat="1" x14ac:dyDescent="0.25"/>
    <row r="42940" s="12" customFormat="1" x14ac:dyDescent="0.25"/>
    <row r="42941" s="12" customFormat="1" x14ac:dyDescent="0.25"/>
    <row r="42942" s="12" customFormat="1" x14ac:dyDescent="0.25"/>
    <row r="42943" s="12" customFormat="1" x14ac:dyDescent="0.25"/>
    <row r="42944" s="12" customFormat="1" x14ac:dyDescent="0.25"/>
    <row r="42945" s="12" customFormat="1" x14ac:dyDescent="0.25"/>
    <row r="42946" s="12" customFormat="1" x14ac:dyDescent="0.25"/>
    <row r="42947" s="12" customFormat="1" x14ac:dyDescent="0.25"/>
    <row r="42948" s="12" customFormat="1" x14ac:dyDescent="0.25"/>
    <row r="42949" s="12" customFormat="1" x14ac:dyDescent="0.25"/>
    <row r="42950" s="12" customFormat="1" x14ac:dyDescent="0.25"/>
    <row r="42951" s="12" customFormat="1" x14ac:dyDescent="0.25"/>
    <row r="42952" s="12" customFormat="1" x14ac:dyDescent="0.25"/>
    <row r="42953" s="12" customFormat="1" x14ac:dyDescent="0.25"/>
    <row r="42954" s="12" customFormat="1" x14ac:dyDescent="0.25"/>
    <row r="42955" s="12" customFormat="1" x14ac:dyDescent="0.25"/>
    <row r="42956" s="12" customFormat="1" x14ac:dyDescent="0.25"/>
    <row r="42957" s="12" customFormat="1" x14ac:dyDescent="0.25"/>
    <row r="42958" s="12" customFormat="1" x14ac:dyDescent="0.25"/>
    <row r="42959" s="12" customFormat="1" x14ac:dyDescent="0.25"/>
    <row r="42960" s="12" customFormat="1" x14ac:dyDescent="0.25"/>
    <row r="42961" s="12" customFormat="1" x14ac:dyDescent="0.25"/>
    <row r="42962" s="12" customFormat="1" x14ac:dyDescent="0.25"/>
    <row r="42963" s="12" customFormat="1" x14ac:dyDescent="0.25"/>
    <row r="42964" s="12" customFormat="1" x14ac:dyDescent="0.25"/>
    <row r="42965" s="12" customFormat="1" x14ac:dyDescent="0.25"/>
    <row r="42966" s="12" customFormat="1" x14ac:dyDescent="0.25"/>
    <row r="42967" s="12" customFormat="1" x14ac:dyDescent="0.25"/>
    <row r="42968" s="12" customFormat="1" x14ac:dyDescent="0.25"/>
    <row r="42969" s="12" customFormat="1" x14ac:dyDescent="0.25"/>
    <row r="42970" s="12" customFormat="1" x14ac:dyDescent="0.25"/>
    <row r="42971" s="12" customFormat="1" x14ac:dyDescent="0.25"/>
    <row r="42972" s="12" customFormat="1" x14ac:dyDescent="0.25"/>
    <row r="42973" s="12" customFormat="1" x14ac:dyDescent="0.25"/>
    <row r="42974" s="12" customFormat="1" x14ac:dyDescent="0.25"/>
    <row r="42975" s="12" customFormat="1" x14ac:dyDescent="0.25"/>
    <row r="42976" s="12" customFormat="1" x14ac:dyDescent="0.25"/>
    <row r="42977" s="12" customFormat="1" x14ac:dyDescent="0.25"/>
    <row r="42978" s="12" customFormat="1" x14ac:dyDescent="0.25"/>
    <row r="42979" s="12" customFormat="1" x14ac:dyDescent="0.25"/>
    <row r="42980" s="12" customFormat="1" x14ac:dyDescent="0.25"/>
    <row r="42981" s="12" customFormat="1" x14ac:dyDescent="0.25"/>
    <row r="42982" s="12" customFormat="1" x14ac:dyDescent="0.25"/>
    <row r="42983" s="12" customFormat="1" x14ac:dyDescent="0.25"/>
    <row r="42984" s="12" customFormat="1" x14ac:dyDescent="0.25"/>
    <row r="42985" s="12" customFormat="1" x14ac:dyDescent="0.25"/>
    <row r="42986" s="12" customFormat="1" x14ac:dyDescent="0.25"/>
    <row r="42987" s="12" customFormat="1" x14ac:dyDescent="0.25"/>
    <row r="42988" s="12" customFormat="1" x14ac:dyDescent="0.25"/>
    <row r="42989" s="12" customFormat="1" x14ac:dyDescent="0.25"/>
    <row r="42990" s="12" customFormat="1" x14ac:dyDescent="0.25"/>
    <row r="42991" s="12" customFormat="1" x14ac:dyDescent="0.25"/>
    <row r="42992" s="12" customFormat="1" x14ac:dyDescent="0.25"/>
    <row r="42993" s="12" customFormat="1" x14ac:dyDescent="0.25"/>
    <row r="42994" s="12" customFormat="1" x14ac:dyDescent="0.25"/>
    <row r="42995" s="12" customFormat="1" x14ac:dyDescent="0.25"/>
    <row r="42996" s="12" customFormat="1" x14ac:dyDescent="0.25"/>
    <row r="42997" s="12" customFormat="1" x14ac:dyDescent="0.25"/>
    <row r="42998" s="12" customFormat="1" x14ac:dyDescent="0.25"/>
    <row r="42999" s="12" customFormat="1" x14ac:dyDescent="0.25"/>
    <row r="43000" s="12" customFormat="1" x14ac:dyDescent="0.25"/>
    <row r="43001" s="12" customFormat="1" x14ac:dyDescent="0.25"/>
    <row r="43002" s="12" customFormat="1" x14ac:dyDescent="0.25"/>
    <row r="43003" s="12" customFormat="1" x14ac:dyDescent="0.25"/>
    <row r="43004" s="12" customFormat="1" x14ac:dyDescent="0.25"/>
    <row r="43005" s="12" customFormat="1" x14ac:dyDescent="0.25"/>
    <row r="43006" s="12" customFormat="1" x14ac:dyDescent="0.25"/>
    <row r="43007" s="12" customFormat="1" x14ac:dyDescent="0.25"/>
    <row r="43008" s="12" customFormat="1" x14ac:dyDescent="0.25"/>
    <row r="43009" s="12" customFormat="1" x14ac:dyDescent="0.25"/>
    <row r="43010" s="12" customFormat="1" x14ac:dyDescent="0.25"/>
    <row r="43011" s="12" customFormat="1" x14ac:dyDescent="0.25"/>
    <row r="43012" s="12" customFormat="1" x14ac:dyDescent="0.25"/>
    <row r="43013" s="12" customFormat="1" x14ac:dyDescent="0.25"/>
    <row r="43014" s="12" customFormat="1" x14ac:dyDescent="0.25"/>
    <row r="43015" s="12" customFormat="1" x14ac:dyDescent="0.25"/>
    <row r="43016" s="12" customFormat="1" x14ac:dyDescent="0.25"/>
    <row r="43017" s="12" customFormat="1" x14ac:dyDescent="0.25"/>
    <row r="43018" s="12" customFormat="1" x14ac:dyDescent="0.25"/>
    <row r="43019" s="12" customFormat="1" x14ac:dyDescent="0.25"/>
    <row r="43020" s="12" customFormat="1" x14ac:dyDescent="0.25"/>
    <row r="43021" s="12" customFormat="1" x14ac:dyDescent="0.25"/>
    <row r="43022" s="12" customFormat="1" x14ac:dyDescent="0.25"/>
    <row r="43023" s="12" customFormat="1" x14ac:dyDescent="0.25"/>
    <row r="43024" s="12" customFormat="1" x14ac:dyDescent="0.25"/>
    <row r="43025" s="12" customFormat="1" x14ac:dyDescent="0.25"/>
    <row r="43026" s="12" customFormat="1" x14ac:dyDescent="0.25"/>
    <row r="43027" s="12" customFormat="1" x14ac:dyDescent="0.25"/>
    <row r="43028" s="12" customFormat="1" x14ac:dyDescent="0.25"/>
    <row r="43029" s="12" customFormat="1" x14ac:dyDescent="0.25"/>
    <row r="43030" s="12" customFormat="1" x14ac:dyDescent="0.25"/>
    <row r="43031" s="12" customFormat="1" x14ac:dyDescent="0.25"/>
    <row r="43032" s="12" customFormat="1" x14ac:dyDescent="0.25"/>
    <row r="43033" s="12" customFormat="1" x14ac:dyDescent="0.25"/>
    <row r="43034" s="12" customFormat="1" x14ac:dyDescent="0.25"/>
    <row r="43035" s="12" customFormat="1" x14ac:dyDescent="0.25"/>
    <row r="43036" s="12" customFormat="1" x14ac:dyDescent="0.25"/>
    <row r="43037" s="12" customFormat="1" x14ac:dyDescent="0.25"/>
    <row r="43038" s="12" customFormat="1" x14ac:dyDescent="0.25"/>
    <row r="43039" s="12" customFormat="1" x14ac:dyDescent="0.25"/>
    <row r="43040" s="12" customFormat="1" x14ac:dyDescent="0.25"/>
    <row r="43041" s="12" customFormat="1" x14ac:dyDescent="0.25"/>
    <row r="43042" s="12" customFormat="1" x14ac:dyDescent="0.25"/>
    <row r="43043" s="12" customFormat="1" x14ac:dyDescent="0.25"/>
    <row r="43044" s="12" customFormat="1" x14ac:dyDescent="0.25"/>
    <row r="43045" s="12" customFormat="1" x14ac:dyDescent="0.25"/>
    <row r="43046" s="12" customFormat="1" x14ac:dyDescent="0.25"/>
    <row r="43047" s="12" customFormat="1" x14ac:dyDescent="0.25"/>
    <row r="43048" s="12" customFormat="1" x14ac:dyDescent="0.25"/>
    <row r="43049" s="12" customFormat="1" x14ac:dyDescent="0.25"/>
    <row r="43050" s="12" customFormat="1" x14ac:dyDescent="0.25"/>
    <row r="43051" s="12" customFormat="1" x14ac:dyDescent="0.25"/>
    <row r="43052" s="12" customFormat="1" x14ac:dyDescent="0.25"/>
    <row r="43053" s="12" customFormat="1" x14ac:dyDescent="0.25"/>
    <row r="43054" s="12" customFormat="1" x14ac:dyDescent="0.25"/>
    <row r="43055" s="12" customFormat="1" x14ac:dyDescent="0.25"/>
    <row r="43056" s="12" customFormat="1" x14ac:dyDescent="0.25"/>
    <row r="43057" s="12" customFormat="1" x14ac:dyDescent="0.25"/>
    <row r="43058" s="12" customFormat="1" x14ac:dyDescent="0.25"/>
    <row r="43059" s="12" customFormat="1" x14ac:dyDescent="0.25"/>
    <row r="43060" s="12" customFormat="1" x14ac:dyDescent="0.25"/>
    <row r="43061" s="12" customFormat="1" x14ac:dyDescent="0.25"/>
    <row r="43062" s="12" customFormat="1" x14ac:dyDescent="0.25"/>
    <row r="43063" s="12" customFormat="1" x14ac:dyDescent="0.25"/>
    <row r="43064" s="12" customFormat="1" x14ac:dyDescent="0.25"/>
    <row r="43065" s="12" customFormat="1" x14ac:dyDescent="0.25"/>
    <row r="43066" s="12" customFormat="1" x14ac:dyDescent="0.25"/>
    <row r="43067" s="12" customFormat="1" x14ac:dyDescent="0.25"/>
    <row r="43068" s="12" customFormat="1" x14ac:dyDescent="0.25"/>
    <row r="43069" s="12" customFormat="1" x14ac:dyDescent="0.25"/>
    <row r="43070" s="12" customFormat="1" x14ac:dyDescent="0.25"/>
    <row r="43071" s="12" customFormat="1" x14ac:dyDescent="0.25"/>
    <row r="43072" s="12" customFormat="1" x14ac:dyDescent="0.25"/>
    <row r="43073" s="12" customFormat="1" x14ac:dyDescent="0.25"/>
    <row r="43074" s="12" customFormat="1" x14ac:dyDescent="0.25"/>
    <row r="43075" s="12" customFormat="1" x14ac:dyDescent="0.25"/>
    <row r="43076" s="12" customFormat="1" x14ac:dyDescent="0.25"/>
    <row r="43077" s="12" customFormat="1" x14ac:dyDescent="0.25"/>
    <row r="43078" s="12" customFormat="1" x14ac:dyDescent="0.25"/>
    <row r="43079" s="12" customFormat="1" x14ac:dyDescent="0.25"/>
    <row r="43080" s="12" customFormat="1" x14ac:dyDescent="0.25"/>
    <row r="43081" s="12" customFormat="1" x14ac:dyDescent="0.25"/>
    <row r="43082" s="12" customFormat="1" x14ac:dyDescent="0.25"/>
    <row r="43083" s="12" customFormat="1" x14ac:dyDescent="0.25"/>
    <row r="43084" s="12" customFormat="1" x14ac:dyDescent="0.25"/>
    <row r="43085" s="12" customFormat="1" x14ac:dyDescent="0.25"/>
    <row r="43086" s="12" customFormat="1" x14ac:dyDescent="0.25"/>
    <row r="43087" s="12" customFormat="1" x14ac:dyDescent="0.25"/>
    <row r="43088" s="12" customFormat="1" x14ac:dyDescent="0.25"/>
    <row r="43089" s="12" customFormat="1" x14ac:dyDescent="0.25"/>
    <row r="43090" s="12" customFormat="1" x14ac:dyDescent="0.25"/>
    <row r="43091" s="12" customFormat="1" x14ac:dyDescent="0.25"/>
    <row r="43092" s="12" customFormat="1" x14ac:dyDescent="0.25"/>
    <row r="43093" s="12" customFormat="1" x14ac:dyDescent="0.25"/>
    <row r="43094" s="12" customFormat="1" x14ac:dyDescent="0.25"/>
    <row r="43095" s="12" customFormat="1" x14ac:dyDescent="0.25"/>
    <row r="43096" s="12" customFormat="1" x14ac:dyDescent="0.25"/>
    <row r="43097" s="12" customFormat="1" x14ac:dyDescent="0.25"/>
    <row r="43098" s="12" customFormat="1" x14ac:dyDescent="0.25"/>
    <row r="43099" s="12" customFormat="1" x14ac:dyDescent="0.25"/>
    <row r="43100" s="12" customFormat="1" x14ac:dyDescent="0.25"/>
    <row r="43101" s="12" customFormat="1" x14ac:dyDescent="0.25"/>
    <row r="43102" s="12" customFormat="1" x14ac:dyDescent="0.25"/>
    <row r="43103" s="12" customFormat="1" x14ac:dyDescent="0.25"/>
    <row r="43104" s="12" customFormat="1" x14ac:dyDescent="0.25"/>
    <row r="43105" s="12" customFormat="1" x14ac:dyDescent="0.25"/>
    <row r="43106" s="12" customFormat="1" x14ac:dyDescent="0.25"/>
    <row r="43107" s="12" customFormat="1" x14ac:dyDescent="0.25"/>
    <row r="43108" s="12" customFormat="1" x14ac:dyDescent="0.25"/>
    <row r="43109" s="12" customFormat="1" x14ac:dyDescent="0.25"/>
    <row r="43110" s="12" customFormat="1" x14ac:dyDescent="0.25"/>
    <row r="43111" s="12" customFormat="1" x14ac:dyDescent="0.25"/>
    <row r="43112" s="12" customFormat="1" x14ac:dyDescent="0.25"/>
    <row r="43113" s="12" customFormat="1" x14ac:dyDescent="0.25"/>
    <row r="43114" s="12" customFormat="1" x14ac:dyDescent="0.25"/>
    <row r="43115" s="12" customFormat="1" x14ac:dyDescent="0.25"/>
    <row r="43116" s="12" customFormat="1" x14ac:dyDescent="0.25"/>
    <row r="43117" s="12" customFormat="1" x14ac:dyDescent="0.25"/>
    <row r="43118" s="12" customFormat="1" x14ac:dyDescent="0.25"/>
    <row r="43119" s="12" customFormat="1" x14ac:dyDescent="0.25"/>
    <row r="43120" s="12" customFormat="1" x14ac:dyDescent="0.25"/>
    <row r="43121" s="12" customFormat="1" x14ac:dyDescent="0.25"/>
    <row r="43122" s="12" customFormat="1" x14ac:dyDescent="0.25"/>
    <row r="43123" s="12" customFormat="1" x14ac:dyDescent="0.25"/>
    <row r="43124" s="12" customFormat="1" x14ac:dyDescent="0.25"/>
    <row r="43125" s="12" customFormat="1" x14ac:dyDescent="0.25"/>
    <row r="43126" s="12" customFormat="1" x14ac:dyDescent="0.25"/>
    <row r="43127" s="12" customFormat="1" x14ac:dyDescent="0.25"/>
    <row r="43128" s="12" customFormat="1" x14ac:dyDescent="0.25"/>
    <row r="43129" s="12" customFormat="1" x14ac:dyDescent="0.25"/>
    <row r="43130" s="12" customFormat="1" x14ac:dyDescent="0.25"/>
    <row r="43131" s="12" customFormat="1" x14ac:dyDescent="0.25"/>
    <row r="43132" s="12" customFormat="1" x14ac:dyDescent="0.25"/>
    <row r="43133" s="12" customFormat="1" x14ac:dyDescent="0.25"/>
    <row r="43134" s="12" customFormat="1" x14ac:dyDescent="0.25"/>
    <row r="43135" s="12" customFormat="1" x14ac:dyDescent="0.25"/>
    <row r="43136" s="12" customFormat="1" x14ac:dyDescent="0.25"/>
    <row r="43137" s="12" customFormat="1" x14ac:dyDescent="0.25"/>
    <row r="43138" s="12" customFormat="1" x14ac:dyDescent="0.25"/>
    <row r="43139" s="12" customFormat="1" x14ac:dyDescent="0.25"/>
    <row r="43140" s="12" customFormat="1" x14ac:dyDescent="0.25"/>
    <row r="43141" s="12" customFormat="1" x14ac:dyDescent="0.25"/>
    <row r="43142" s="12" customFormat="1" x14ac:dyDescent="0.25"/>
    <row r="43143" s="12" customFormat="1" x14ac:dyDescent="0.25"/>
    <row r="43144" s="12" customFormat="1" x14ac:dyDescent="0.25"/>
    <row r="43145" s="12" customFormat="1" x14ac:dyDescent="0.25"/>
    <row r="43146" s="12" customFormat="1" x14ac:dyDescent="0.25"/>
    <row r="43147" s="12" customFormat="1" x14ac:dyDescent="0.25"/>
    <row r="43148" s="12" customFormat="1" x14ac:dyDescent="0.25"/>
    <row r="43149" s="12" customFormat="1" x14ac:dyDescent="0.25"/>
    <row r="43150" s="12" customFormat="1" x14ac:dyDescent="0.25"/>
    <row r="43151" s="12" customFormat="1" x14ac:dyDescent="0.25"/>
    <row r="43152" s="12" customFormat="1" x14ac:dyDescent="0.25"/>
    <row r="43153" s="12" customFormat="1" x14ac:dyDescent="0.25"/>
    <row r="43154" s="12" customFormat="1" x14ac:dyDescent="0.25"/>
    <row r="43155" s="12" customFormat="1" x14ac:dyDescent="0.25"/>
    <row r="43156" s="12" customFormat="1" x14ac:dyDescent="0.25"/>
    <row r="43157" s="12" customFormat="1" x14ac:dyDescent="0.25"/>
    <row r="43158" s="12" customFormat="1" x14ac:dyDescent="0.25"/>
    <row r="43159" s="12" customFormat="1" x14ac:dyDescent="0.25"/>
    <row r="43160" s="12" customFormat="1" x14ac:dyDescent="0.25"/>
    <row r="43161" s="12" customFormat="1" x14ac:dyDescent="0.25"/>
    <row r="43162" s="12" customFormat="1" x14ac:dyDescent="0.25"/>
    <row r="43163" s="12" customFormat="1" x14ac:dyDescent="0.25"/>
    <row r="43164" s="12" customFormat="1" x14ac:dyDescent="0.25"/>
    <row r="43165" s="12" customFormat="1" x14ac:dyDescent="0.25"/>
    <row r="43166" s="12" customFormat="1" x14ac:dyDescent="0.25"/>
    <row r="43167" s="12" customFormat="1" x14ac:dyDescent="0.25"/>
    <row r="43168" s="12" customFormat="1" x14ac:dyDescent="0.25"/>
    <row r="43169" s="12" customFormat="1" x14ac:dyDescent="0.25"/>
    <row r="43170" s="12" customFormat="1" x14ac:dyDescent="0.25"/>
    <row r="43171" s="12" customFormat="1" x14ac:dyDescent="0.25"/>
    <row r="43172" s="12" customFormat="1" x14ac:dyDescent="0.25"/>
    <row r="43173" s="12" customFormat="1" x14ac:dyDescent="0.25"/>
    <row r="43174" s="12" customFormat="1" x14ac:dyDescent="0.25"/>
    <row r="43175" s="12" customFormat="1" x14ac:dyDescent="0.25"/>
    <row r="43176" s="12" customFormat="1" x14ac:dyDescent="0.25"/>
    <row r="43177" s="12" customFormat="1" x14ac:dyDescent="0.25"/>
    <row r="43178" s="12" customFormat="1" x14ac:dyDescent="0.25"/>
    <row r="43179" s="12" customFormat="1" x14ac:dyDescent="0.25"/>
    <row r="43180" s="12" customFormat="1" x14ac:dyDescent="0.25"/>
    <row r="43181" s="12" customFormat="1" x14ac:dyDescent="0.25"/>
    <row r="43182" s="12" customFormat="1" x14ac:dyDescent="0.25"/>
    <row r="43183" s="12" customFormat="1" x14ac:dyDescent="0.25"/>
    <row r="43184" s="12" customFormat="1" x14ac:dyDescent="0.25"/>
    <row r="43185" s="12" customFormat="1" x14ac:dyDescent="0.25"/>
    <row r="43186" s="12" customFormat="1" x14ac:dyDescent="0.25"/>
    <row r="43187" s="12" customFormat="1" x14ac:dyDescent="0.25"/>
    <row r="43188" s="12" customFormat="1" x14ac:dyDescent="0.25"/>
    <row r="43189" s="12" customFormat="1" x14ac:dyDescent="0.25"/>
    <row r="43190" s="12" customFormat="1" x14ac:dyDescent="0.25"/>
    <row r="43191" s="12" customFormat="1" x14ac:dyDescent="0.25"/>
    <row r="43192" s="12" customFormat="1" x14ac:dyDescent="0.25"/>
    <row r="43193" s="12" customFormat="1" x14ac:dyDescent="0.25"/>
    <row r="43194" s="12" customFormat="1" x14ac:dyDescent="0.25"/>
    <row r="43195" s="12" customFormat="1" x14ac:dyDescent="0.25"/>
    <row r="43196" s="12" customFormat="1" x14ac:dyDescent="0.25"/>
    <row r="43197" s="12" customFormat="1" x14ac:dyDescent="0.25"/>
    <row r="43198" s="12" customFormat="1" x14ac:dyDescent="0.25"/>
    <row r="43199" s="12" customFormat="1" x14ac:dyDescent="0.25"/>
    <row r="43200" s="12" customFormat="1" x14ac:dyDescent="0.25"/>
    <row r="43201" s="12" customFormat="1" x14ac:dyDescent="0.25"/>
    <row r="43202" s="12" customFormat="1" x14ac:dyDescent="0.25"/>
    <row r="43203" s="12" customFormat="1" x14ac:dyDescent="0.25"/>
    <row r="43204" s="12" customFormat="1" x14ac:dyDescent="0.25"/>
    <row r="43205" s="12" customFormat="1" x14ac:dyDescent="0.25"/>
    <row r="43206" s="12" customFormat="1" x14ac:dyDescent="0.25"/>
    <row r="43207" s="12" customFormat="1" x14ac:dyDescent="0.25"/>
    <row r="43208" s="12" customFormat="1" x14ac:dyDescent="0.25"/>
    <row r="43209" s="12" customFormat="1" x14ac:dyDescent="0.25"/>
    <row r="43210" s="12" customFormat="1" x14ac:dyDescent="0.25"/>
    <row r="43211" s="12" customFormat="1" x14ac:dyDescent="0.25"/>
    <row r="43212" s="12" customFormat="1" x14ac:dyDescent="0.25"/>
    <row r="43213" s="12" customFormat="1" x14ac:dyDescent="0.25"/>
    <row r="43214" s="12" customFormat="1" x14ac:dyDescent="0.25"/>
    <row r="43215" s="12" customFormat="1" x14ac:dyDescent="0.25"/>
    <row r="43216" s="12" customFormat="1" x14ac:dyDescent="0.25"/>
    <row r="43217" s="12" customFormat="1" x14ac:dyDescent="0.25"/>
    <row r="43218" s="12" customFormat="1" x14ac:dyDescent="0.25"/>
    <row r="43219" s="12" customFormat="1" x14ac:dyDescent="0.25"/>
    <row r="43220" s="12" customFormat="1" x14ac:dyDescent="0.25"/>
    <row r="43221" s="12" customFormat="1" x14ac:dyDescent="0.25"/>
    <row r="43222" s="12" customFormat="1" x14ac:dyDescent="0.25"/>
    <row r="43223" s="12" customFormat="1" x14ac:dyDescent="0.25"/>
    <row r="43224" s="12" customFormat="1" x14ac:dyDescent="0.25"/>
    <row r="43225" s="12" customFormat="1" x14ac:dyDescent="0.25"/>
    <row r="43226" s="12" customFormat="1" x14ac:dyDescent="0.25"/>
    <row r="43227" s="12" customFormat="1" x14ac:dyDescent="0.25"/>
    <row r="43228" s="12" customFormat="1" x14ac:dyDescent="0.25"/>
    <row r="43229" s="12" customFormat="1" x14ac:dyDescent="0.25"/>
    <row r="43230" s="12" customFormat="1" x14ac:dyDescent="0.25"/>
    <row r="43231" s="12" customFormat="1" x14ac:dyDescent="0.25"/>
    <row r="43232" s="12" customFormat="1" x14ac:dyDescent="0.25"/>
    <row r="43233" s="12" customFormat="1" x14ac:dyDescent="0.25"/>
    <row r="43234" s="12" customFormat="1" x14ac:dyDescent="0.25"/>
    <row r="43235" s="12" customFormat="1" x14ac:dyDescent="0.25"/>
    <row r="43236" s="12" customFormat="1" x14ac:dyDescent="0.25"/>
    <row r="43237" s="12" customFormat="1" x14ac:dyDescent="0.25"/>
    <row r="43238" s="12" customFormat="1" x14ac:dyDescent="0.25"/>
    <row r="43239" s="12" customFormat="1" x14ac:dyDescent="0.25"/>
    <row r="43240" s="12" customFormat="1" x14ac:dyDescent="0.25"/>
    <row r="43241" s="12" customFormat="1" x14ac:dyDescent="0.25"/>
    <row r="43242" s="12" customFormat="1" x14ac:dyDescent="0.25"/>
    <row r="43243" s="12" customFormat="1" x14ac:dyDescent="0.25"/>
    <row r="43244" s="12" customFormat="1" x14ac:dyDescent="0.25"/>
    <row r="43245" s="12" customFormat="1" x14ac:dyDescent="0.25"/>
    <row r="43246" s="12" customFormat="1" x14ac:dyDescent="0.25"/>
    <row r="43247" s="12" customFormat="1" x14ac:dyDescent="0.25"/>
    <row r="43248" s="12" customFormat="1" x14ac:dyDescent="0.25"/>
    <row r="43249" s="12" customFormat="1" x14ac:dyDescent="0.25"/>
    <row r="43250" s="12" customFormat="1" x14ac:dyDescent="0.25"/>
    <row r="43251" s="12" customFormat="1" x14ac:dyDescent="0.25"/>
    <row r="43252" s="12" customFormat="1" x14ac:dyDescent="0.25"/>
    <row r="43253" s="12" customFormat="1" x14ac:dyDescent="0.25"/>
    <row r="43254" s="12" customFormat="1" x14ac:dyDescent="0.25"/>
    <row r="43255" s="12" customFormat="1" x14ac:dyDescent="0.25"/>
    <row r="43256" s="12" customFormat="1" x14ac:dyDescent="0.25"/>
    <row r="43257" s="12" customFormat="1" x14ac:dyDescent="0.25"/>
    <row r="43258" s="12" customFormat="1" x14ac:dyDescent="0.25"/>
    <row r="43259" s="12" customFormat="1" x14ac:dyDescent="0.25"/>
    <row r="43260" s="12" customFormat="1" x14ac:dyDescent="0.25"/>
    <row r="43261" s="12" customFormat="1" x14ac:dyDescent="0.25"/>
    <row r="43262" s="12" customFormat="1" x14ac:dyDescent="0.25"/>
    <row r="43263" s="12" customFormat="1" x14ac:dyDescent="0.25"/>
    <row r="43264" s="12" customFormat="1" x14ac:dyDescent="0.25"/>
    <row r="43265" s="12" customFormat="1" x14ac:dyDescent="0.25"/>
    <row r="43266" s="12" customFormat="1" x14ac:dyDescent="0.25"/>
    <row r="43267" s="12" customFormat="1" x14ac:dyDescent="0.25"/>
    <row r="43268" s="12" customFormat="1" x14ac:dyDescent="0.25"/>
    <row r="43269" s="12" customFormat="1" x14ac:dyDescent="0.25"/>
    <row r="43270" s="12" customFormat="1" x14ac:dyDescent="0.25"/>
    <row r="43271" s="12" customFormat="1" x14ac:dyDescent="0.25"/>
    <row r="43272" s="12" customFormat="1" x14ac:dyDescent="0.25"/>
    <row r="43273" s="12" customFormat="1" x14ac:dyDescent="0.25"/>
    <row r="43274" s="12" customFormat="1" x14ac:dyDescent="0.25"/>
    <row r="43275" s="12" customFormat="1" x14ac:dyDescent="0.25"/>
    <row r="43276" s="12" customFormat="1" x14ac:dyDescent="0.25"/>
    <row r="43277" s="12" customFormat="1" x14ac:dyDescent="0.25"/>
    <row r="43278" s="12" customFormat="1" x14ac:dyDescent="0.25"/>
    <row r="43279" s="12" customFormat="1" x14ac:dyDescent="0.25"/>
    <row r="43280" s="12" customFormat="1" x14ac:dyDescent="0.25"/>
    <row r="43281" s="12" customFormat="1" x14ac:dyDescent="0.25"/>
    <row r="43282" s="12" customFormat="1" x14ac:dyDescent="0.25"/>
    <row r="43283" s="12" customFormat="1" x14ac:dyDescent="0.25"/>
    <row r="43284" s="12" customFormat="1" x14ac:dyDescent="0.25"/>
    <row r="43285" s="12" customFormat="1" x14ac:dyDescent="0.25"/>
    <row r="43286" s="12" customFormat="1" x14ac:dyDescent="0.25"/>
    <row r="43287" s="12" customFormat="1" x14ac:dyDescent="0.25"/>
    <row r="43288" s="12" customFormat="1" x14ac:dyDescent="0.25"/>
    <row r="43289" s="12" customFormat="1" x14ac:dyDescent="0.25"/>
    <row r="43290" s="12" customFormat="1" x14ac:dyDescent="0.25"/>
    <row r="43291" s="12" customFormat="1" x14ac:dyDescent="0.25"/>
    <row r="43292" s="12" customFormat="1" x14ac:dyDescent="0.25"/>
    <row r="43293" s="12" customFormat="1" x14ac:dyDescent="0.25"/>
    <row r="43294" s="12" customFormat="1" x14ac:dyDescent="0.25"/>
    <row r="43295" s="12" customFormat="1" x14ac:dyDescent="0.25"/>
    <row r="43296" s="12" customFormat="1" x14ac:dyDescent="0.25"/>
    <row r="43297" s="12" customFormat="1" x14ac:dyDescent="0.25"/>
    <row r="43298" s="12" customFormat="1" x14ac:dyDescent="0.25"/>
    <row r="43299" s="12" customFormat="1" x14ac:dyDescent="0.25"/>
    <row r="43300" s="12" customFormat="1" x14ac:dyDescent="0.25"/>
    <row r="43301" s="12" customFormat="1" x14ac:dyDescent="0.25"/>
    <row r="43302" s="12" customFormat="1" x14ac:dyDescent="0.25"/>
    <row r="43303" s="12" customFormat="1" x14ac:dyDescent="0.25"/>
    <row r="43304" s="12" customFormat="1" x14ac:dyDescent="0.25"/>
    <row r="43305" s="12" customFormat="1" x14ac:dyDescent="0.25"/>
    <row r="43306" s="12" customFormat="1" x14ac:dyDescent="0.25"/>
    <row r="43307" s="12" customFormat="1" x14ac:dyDescent="0.25"/>
    <row r="43308" s="12" customFormat="1" x14ac:dyDescent="0.25"/>
    <row r="43309" s="12" customFormat="1" x14ac:dyDescent="0.25"/>
    <row r="43310" s="12" customFormat="1" x14ac:dyDescent="0.25"/>
    <row r="43311" s="12" customFormat="1" x14ac:dyDescent="0.25"/>
    <row r="43312" s="12" customFormat="1" x14ac:dyDescent="0.25"/>
    <row r="43313" s="12" customFormat="1" x14ac:dyDescent="0.25"/>
    <row r="43314" s="12" customFormat="1" x14ac:dyDescent="0.25"/>
    <row r="43315" s="12" customFormat="1" x14ac:dyDescent="0.25"/>
    <row r="43316" s="12" customFormat="1" x14ac:dyDescent="0.25"/>
    <row r="43317" s="12" customFormat="1" x14ac:dyDescent="0.25"/>
    <row r="43318" s="12" customFormat="1" x14ac:dyDescent="0.25"/>
    <row r="43319" s="12" customFormat="1" x14ac:dyDescent="0.25"/>
    <row r="43320" s="12" customFormat="1" x14ac:dyDescent="0.25"/>
    <row r="43321" s="12" customFormat="1" x14ac:dyDescent="0.25"/>
    <row r="43322" s="12" customFormat="1" x14ac:dyDescent="0.25"/>
    <row r="43323" s="12" customFormat="1" x14ac:dyDescent="0.25"/>
    <row r="43324" s="12" customFormat="1" x14ac:dyDescent="0.25"/>
    <row r="43325" s="12" customFormat="1" x14ac:dyDescent="0.25"/>
    <row r="43326" s="12" customFormat="1" x14ac:dyDescent="0.25"/>
    <row r="43327" s="12" customFormat="1" x14ac:dyDescent="0.25"/>
    <row r="43328" s="12" customFormat="1" x14ac:dyDescent="0.25"/>
    <row r="43329" s="12" customFormat="1" x14ac:dyDescent="0.25"/>
    <row r="43330" s="12" customFormat="1" x14ac:dyDescent="0.25"/>
    <row r="43331" s="12" customFormat="1" x14ac:dyDescent="0.25"/>
    <row r="43332" s="12" customFormat="1" x14ac:dyDescent="0.25"/>
    <row r="43333" s="12" customFormat="1" x14ac:dyDescent="0.25"/>
    <row r="43334" s="12" customFormat="1" x14ac:dyDescent="0.25"/>
    <row r="43335" s="12" customFormat="1" x14ac:dyDescent="0.25"/>
    <row r="43336" s="12" customFormat="1" x14ac:dyDescent="0.25"/>
    <row r="43337" s="12" customFormat="1" x14ac:dyDescent="0.25"/>
    <row r="43338" s="12" customFormat="1" x14ac:dyDescent="0.25"/>
    <row r="43339" s="12" customFormat="1" x14ac:dyDescent="0.25"/>
    <row r="43340" s="12" customFormat="1" x14ac:dyDescent="0.25"/>
    <row r="43341" s="12" customFormat="1" x14ac:dyDescent="0.25"/>
    <row r="43342" s="12" customFormat="1" x14ac:dyDescent="0.25"/>
    <row r="43343" s="12" customFormat="1" x14ac:dyDescent="0.25"/>
    <row r="43344" s="12" customFormat="1" x14ac:dyDescent="0.25"/>
    <row r="43345" s="12" customFormat="1" x14ac:dyDescent="0.25"/>
    <row r="43346" s="12" customFormat="1" x14ac:dyDescent="0.25"/>
    <row r="43347" s="12" customFormat="1" x14ac:dyDescent="0.25"/>
    <row r="43348" s="12" customFormat="1" x14ac:dyDescent="0.25"/>
    <row r="43349" s="12" customFormat="1" x14ac:dyDescent="0.25"/>
    <row r="43350" s="12" customFormat="1" x14ac:dyDescent="0.25"/>
    <row r="43351" s="12" customFormat="1" x14ac:dyDescent="0.25"/>
    <row r="43352" s="12" customFormat="1" x14ac:dyDescent="0.25"/>
    <row r="43353" s="12" customFormat="1" x14ac:dyDescent="0.25"/>
    <row r="43354" s="12" customFormat="1" x14ac:dyDescent="0.25"/>
    <row r="43355" s="12" customFormat="1" x14ac:dyDescent="0.25"/>
    <row r="43356" s="12" customFormat="1" x14ac:dyDescent="0.25"/>
    <row r="43357" s="12" customFormat="1" x14ac:dyDescent="0.25"/>
    <row r="43358" s="12" customFormat="1" x14ac:dyDescent="0.25"/>
    <row r="43359" s="12" customFormat="1" x14ac:dyDescent="0.25"/>
    <row r="43360" s="12" customFormat="1" x14ac:dyDescent="0.25"/>
    <row r="43361" s="12" customFormat="1" x14ac:dyDescent="0.25"/>
    <row r="43362" s="12" customFormat="1" x14ac:dyDescent="0.25"/>
    <row r="43363" s="12" customFormat="1" x14ac:dyDescent="0.25"/>
    <row r="43364" s="12" customFormat="1" x14ac:dyDescent="0.25"/>
    <row r="43365" s="12" customFormat="1" x14ac:dyDescent="0.25"/>
    <row r="43366" s="12" customFormat="1" x14ac:dyDescent="0.25"/>
    <row r="43367" s="12" customFormat="1" x14ac:dyDescent="0.25"/>
    <row r="43368" s="12" customFormat="1" x14ac:dyDescent="0.25"/>
    <row r="43369" s="12" customFormat="1" x14ac:dyDescent="0.25"/>
    <row r="43370" s="12" customFormat="1" x14ac:dyDescent="0.25"/>
    <row r="43371" s="12" customFormat="1" x14ac:dyDescent="0.25"/>
    <row r="43372" s="12" customFormat="1" x14ac:dyDescent="0.25"/>
    <row r="43373" s="12" customFormat="1" x14ac:dyDescent="0.25"/>
    <row r="43374" s="12" customFormat="1" x14ac:dyDescent="0.25"/>
    <row r="43375" s="12" customFormat="1" x14ac:dyDescent="0.25"/>
    <row r="43376" s="12" customFormat="1" x14ac:dyDescent="0.25"/>
    <row r="43377" s="12" customFormat="1" x14ac:dyDescent="0.25"/>
    <row r="43378" s="12" customFormat="1" x14ac:dyDescent="0.25"/>
    <row r="43379" s="12" customFormat="1" x14ac:dyDescent="0.25"/>
    <row r="43380" s="12" customFormat="1" x14ac:dyDescent="0.25"/>
    <row r="43381" s="12" customFormat="1" x14ac:dyDescent="0.25"/>
    <row r="43382" s="12" customFormat="1" x14ac:dyDescent="0.25"/>
    <row r="43383" s="12" customFormat="1" x14ac:dyDescent="0.25"/>
    <row r="43384" s="12" customFormat="1" x14ac:dyDescent="0.25"/>
    <row r="43385" s="12" customFormat="1" x14ac:dyDescent="0.25"/>
    <row r="43386" s="12" customFormat="1" x14ac:dyDescent="0.25"/>
    <row r="43387" s="12" customFormat="1" x14ac:dyDescent="0.25"/>
    <row r="43388" s="12" customFormat="1" x14ac:dyDescent="0.25"/>
    <row r="43389" s="12" customFormat="1" x14ac:dyDescent="0.25"/>
    <row r="43390" s="12" customFormat="1" x14ac:dyDescent="0.25"/>
    <row r="43391" s="12" customFormat="1" x14ac:dyDescent="0.25"/>
    <row r="43392" s="12" customFormat="1" x14ac:dyDescent="0.25"/>
    <row r="43393" s="12" customFormat="1" x14ac:dyDescent="0.25"/>
    <row r="43394" s="12" customFormat="1" x14ac:dyDescent="0.25"/>
    <row r="43395" s="12" customFormat="1" x14ac:dyDescent="0.25"/>
    <row r="43396" s="12" customFormat="1" x14ac:dyDescent="0.25"/>
    <row r="43397" s="12" customFormat="1" x14ac:dyDescent="0.25"/>
    <row r="43398" s="12" customFormat="1" x14ac:dyDescent="0.25"/>
    <row r="43399" s="12" customFormat="1" x14ac:dyDescent="0.25"/>
    <row r="43400" s="12" customFormat="1" x14ac:dyDescent="0.25"/>
    <row r="43401" s="12" customFormat="1" x14ac:dyDescent="0.25"/>
    <row r="43402" s="12" customFormat="1" x14ac:dyDescent="0.25"/>
    <row r="43403" s="12" customFormat="1" x14ac:dyDescent="0.25"/>
    <row r="43404" s="12" customFormat="1" x14ac:dyDescent="0.25"/>
    <row r="43405" s="12" customFormat="1" x14ac:dyDescent="0.25"/>
    <row r="43406" s="12" customFormat="1" x14ac:dyDescent="0.25"/>
    <row r="43407" s="12" customFormat="1" x14ac:dyDescent="0.25"/>
    <row r="43408" s="12" customFormat="1" x14ac:dyDescent="0.25"/>
    <row r="43409" s="12" customFormat="1" x14ac:dyDescent="0.25"/>
    <row r="43410" s="12" customFormat="1" x14ac:dyDescent="0.25"/>
    <row r="43411" s="12" customFormat="1" x14ac:dyDescent="0.25"/>
    <row r="43412" s="12" customFormat="1" x14ac:dyDescent="0.25"/>
    <row r="43413" s="12" customFormat="1" x14ac:dyDescent="0.25"/>
    <row r="43414" s="12" customFormat="1" x14ac:dyDescent="0.25"/>
    <row r="43415" s="12" customFormat="1" x14ac:dyDescent="0.25"/>
    <row r="43416" s="12" customFormat="1" x14ac:dyDescent="0.25"/>
    <row r="43417" s="12" customFormat="1" x14ac:dyDescent="0.25"/>
    <row r="43418" s="12" customFormat="1" x14ac:dyDescent="0.25"/>
    <row r="43419" s="12" customFormat="1" x14ac:dyDescent="0.25"/>
    <row r="43420" s="12" customFormat="1" x14ac:dyDescent="0.25"/>
    <row r="43421" s="12" customFormat="1" x14ac:dyDescent="0.25"/>
    <row r="43422" s="12" customFormat="1" x14ac:dyDescent="0.25"/>
    <row r="43423" s="12" customFormat="1" x14ac:dyDescent="0.25"/>
    <row r="43424" s="12" customFormat="1" x14ac:dyDescent="0.25"/>
    <row r="43425" s="12" customFormat="1" x14ac:dyDescent="0.25"/>
    <row r="43426" s="12" customFormat="1" x14ac:dyDescent="0.25"/>
    <row r="43427" s="12" customFormat="1" x14ac:dyDescent="0.25"/>
    <row r="43428" s="12" customFormat="1" x14ac:dyDescent="0.25"/>
    <row r="43429" s="12" customFormat="1" x14ac:dyDescent="0.25"/>
    <row r="43430" s="12" customFormat="1" x14ac:dyDescent="0.25"/>
    <row r="43431" s="12" customFormat="1" x14ac:dyDescent="0.25"/>
    <row r="43432" s="12" customFormat="1" x14ac:dyDescent="0.25"/>
    <row r="43433" s="12" customFormat="1" x14ac:dyDescent="0.25"/>
    <row r="43434" s="12" customFormat="1" x14ac:dyDescent="0.25"/>
    <row r="43435" s="12" customFormat="1" x14ac:dyDescent="0.25"/>
    <row r="43436" s="12" customFormat="1" x14ac:dyDescent="0.25"/>
    <row r="43437" s="12" customFormat="1" x14ac:dyDescent="0.25"/>
    <row r="43438" s="12" customFormat="1" x14ac:dyDescent="0.25"/>
    <row r="43439" s="12" customFormat="1" x14ac:dyDescent="0.25"/>
    <row r="43440" s="12" customFormat="1" x14ac:dyDescent="0.25"/>
    <row r="43441" s="12" customFormat="1" x14ac:dyDescent="0.25"/>
    <row r="43442" s="12" customFormat="1" x14ac:dyDescent="0.25"/>
    <row r="43443" s="12" customFormat="1" x14ac:dyDescent="0.25"/>
    <row r="43444" s="12" customFormat="1" x14ac:dyDescent="0.25"/>
    <row r="43445" s="12" customFormat="1" x14ac:dyDescent="0.25"/>
    <row r="43446" s="12" customFormat="1" x14ac:dyDescent="0.25"/>
    <row r="43447" s="12" customFormat="1" x14ac:dyDescent="0.25"/>
    <row r="43448" s="12" customFormat="1" x14ac:dyDescent="0.25"/>
    <row r="43449" s="12" customFormat="1" x14ac:dyDescent="0.25"/>
    <row r="43450" s="12" customFormat="1" x14ac:dyDescent="0.25"/>
    <row r="43451" s="12" customFormat="1" x14ac:dyDescent="0.25"/>
    <row r="43452" s="12" customFormat="1" x14ac:dyDescent="0.25"/>
    <row r="43453" s="12" customFormat="1" x14ac:dyDescent="0.25"/>
    <row r="43454" s="12" customFormat="1" x14ac:dyDescent="0.25"/>
    <row r="43455" s="12" customFormat="1" x14ac:dyDescent="0.25"/>
    <row r="43456" s="12" customFormat="1" x14ac:dyDescent="0.25"/>
    <row r="43457" s="12" customFormat="1" x14ac:dyDescent="0.25"/>
    <row r="43458" s="12" customFormat="1" x14ac:dyDescent="0.25"/>
    <row r="43459" s="12" customFormat="1" x14ac:dyDescent="0.25"/>
    <row r="43460" s="12" customFormat="1" x14ac:dyDescent="0.25"/>
    <row r="43461" s="12" customFormat="1" x14ac:dyDescent="0.25"/>
    <row r="43462" s="12" customFormat="1" x14ac:dyDescent="0.25"/>
    <row r="43463" s="12" customFormat="1" x14ac:dyDescent="0.25"/>
    <row r="43464" s="12" customFormat="1" x14ac:dyDescent="0.25"/>
    <row r="43465" s="12" customFormat="1" x14ac:dyDescent="0.25"/>
    <row r="43466" s="12" customFormat="1" x14ac:dyDescent="0.25"/>
    <row r="43467" s="12" customFormat="1" x14ac:dyDescent="0.25"/>
    <row r="43468" s="12" customFormat="1" x14ac:dyDescent="0.25"/>
    <row r="43469" s="12" customFormat="1" x14ac:dyDescent="0.25"/>
    <row r="43470" s="12" customFormat="1" x14ac:dyDescent="0.25"/>
    <row r="43471" s="12" customFormat="1" x14ac:dyDescent="0.25"/>
    <row r="43472" s="12" customFormat="1" x14ac:dyDescent="0.25"/>
    <row r="43473" s="12" customFormat="1" x14ac:dyDescent="0.25"/>
    <row r="43474" s="12" customFormat="1" x14ac:dyDescent="0.25"/>
    <row r="43475" s="12" customFormat="1" x14ac:dyDescent="0.25"/>
    <row r="43476" s="12" customFormat="1" x14ac:dyDescent="0.25"/>
    <row r="43477" s="12" customFormat="1" x14ac:dyDescent="0.25"/>
    <row r="43478" s="12" customFormat="1" x14ac:dyDescent="0.25"/>
    <row r="43479" s="12" customFormat="1" x14ac:dyDescent="0.25"/>
    <row r="43480" s="12" customFormat="1" x14ac:dyDescent="0.25"/>
    <row r="43481" s="12" customFormat="1" x14ac:dyDescent="0.25"/>
    <row r="43482" s="12" customFormat="1" x14ac:dyDescent="0.25"/>
    <row r="43483" s="12" customFormat="1" x14ac:dyDescent="0.25"/>
    <row r="43484" s="12" customFormat="1" x14ac:dyDescent="0.25"/>
    <row r="43485" s="12" customFormat="1" x14ac:dyDescent="0.25"/>
    <row r="43486" s="12" customFormat="1" x14ac:dyDescent="0.25"/>
    <row r="43487" s="12" customFormat="1" x14ac:dyDescent="0.25"/>
    <row r="43488" s="12" customFormat="1" x14ac:dyDescent="0.25"/>
    <row r="43489" s="12" customFormat="1" x14ac:dyDescent="0.25"/>
    <row r="43490" s="12" customFormat="1" x14ac:dyDescent="0.25"/>
    <row r="43491" s="12" customFormat="1" x14ac:dyDescent="0.25"/>
    <row r="43492" s="12" customFormat="1" x14ac:dyDescent="0.25"/>
    <row r="43493" s="12" customFormat="1" x14ac:dyDescent="0.25"/>
    <row r="43494" s="12" customFormat="1" x14ac:dyDescent="0.25"/>
    <row r="43495" s="12" customFormat="1" x14ac:dyDescent="0.25"/>
    <row r="43496" s="12" customFormat="1" x14ac:dyDescent="0.25"/>
    <row r="43497" s="12" customFormat="1" x14ac:dyDescent="0.25"/>
    <row r="43498" s="12" customFormat="1" x14ac:dyDescent="0.25"/>
    <row r="43499" s="12" customFormat="1" x14ac:dyDescent="0.25"/>
    <row r="43500" s="12" customFormat="1" x14ac:dyDescent="0.25"/>
    <row r="43501" s="12" customFormat="1" x14ac:dyDescent="0.25"/>
    <row r="43502" s="12" customFormat="1" x14ac:dyDescent="0.25"/>
    <row r="43503" s="12" customFormat="1" x14ac:dyDescent="0.25"/>
    <row r="43504" s="12" customFormat="1" x14ac:dyDescent="0.25"/>
    <row r="43505" s="12" customFormat="1" x14ac:dyDescent="0.25"/>
    <row r="43506" s="12" customFormat="1" x14ac:dyDescent="0.25"/>
    <row r="43507" s="12" customFormat="1" x14ac:dyDescent="0.25"/>
    <row r="43508" s="12" customFormat="1" x14ac:dyDescent="0.25"/>
    <row r="43509" s="12" customFormat="1" x14ac:dyDescent="0.25"/>
    <row r="43510" s="12" customFormat="1" x14ac:dyDescent="0.25"/>
    <row r="43511" s="12" customFormat="1" x14ac:dyDescent="0.25"/>
    <row r="43512" s="12" customFormat="1" x14ac:dyDescent="0.25"/>
    <row r="43513" s="12" customFormat="1" x14ac:dyDescent="0.25"/>
    <row r="43514" s="12" customFormat="1" x14ac:dyDescent="0.25"/>
    <row r="43515" s="12" customFormat="1" x14ac:dyDescent="0.25"/>
    <row r="43516" s="12" customFormat="1" x14ac:dyDescent="0.25"/>
    <row r="43517" s="12" customFormat="1" x14ac:dyDescent="0.25"/>
    <row r="43518" s="12" customFormat="1" x14ac:dyDescent="0.25"/>
    <row r="43519" s="12" customFormat="1" x14ac:dyDescent="0.25"/>
    <row r="43520" s="12" customFormat="1" x14ac:dyDescent="0.25"/>
    <row r="43521" s="12" customFormat="1" x14ac:dyDescent="0.25"/>
    <row r="43522" s="12" customFormat="1" x14ac:dyDescent="0.25"/>
    <row r="43523" s="12" customFormat="1" x14ac:dyDescent="0.25"/>
    <row r="43524" s="12" customFormat="1" x14ac:dyDescent="0.25"/>
    <row r="43525" s="12" customFormat="1" x14ac:dyDescent="0.25"/>
    <row r="43526" s="12" customFormat="1" x14ac:dyDescent="0.25"/>
    <row r="43527" s="12" customFormat="1" x14ac:dyDescent="0.25"/>
    <row r="43528" s="12" customFormat="1" x14ac:dyDescent="0.25"/>
    <row r="43529" s="12" customFormat="1" x14ac:dyDescent="0.25"/>
    <row r="43530" s="12" customFormat="1" x14ac:dyDescent="0.25"/>
    <row r="43531" s="12" customFormat="1" x14ac:dyDescent="0.25"/>
    <row r="43532" s="12" customFormat="1" x14ac:dyDescent="0.25"/>
    <row r="43533" s="12" customFormat="1" x14ac:dyDescent="0.25"/>
    <row r="43534" s="12" customFormat="1" x14ac:dyDescent="0.25"/>
    <row r="43535" s="12" customFormat="1" x14ac:dyDescent="0.25"/>
    <row r="43536" s="12" customFormat="1" x14ac:dyDescent="0.25"/>
    <row r="43537" s="12" customFormat="1" x14ac:dyDescent="0.25"/>
    <row r="43538" s="12" customFormat="1" x14ac:dyDescent="0.25"/>
    <row r="43539" s="12" customFormat="1" x14ac:dyDescent="0.25"/>
    <row r="43540" s="12" customFormat="1" x14ac:dyDescent="0.25"/>
    <row r="43541" s="12" customFormat="1" x14ac:dyDescent="0.25"/>
    <row r="43542" s="12" customFormat="1" x14ac:dyDescent="0.25"/>
    <row r="43543" s="12" customFormat="1" x14ac:dyDescent="0.25"/>
    <row r="43544" s="12" customFormat="1" x14ac:dyDescent="0.25"/>
    <row r="43545" s="12" customFormat="1" x14ac:dyDescent="0.25"/>
    <row r="43546" s="12" customFormat="1" x14ac:dyDescent="0.25"/>
    <row r="43547" s="12" customFormat="1" x14ac:dyDescent="0.25"/>
    <row r="43548" s="12" customFormat="1" x14ac:dyDescent="0.25"/>
    <row r="43549" s="12" customFormat="1" x14ac:dyDescent="0.25"/>
    <row r="43550" s="12" customFormat="1" x14ac:dyDescent="0.25"/>
    <row r="43551" s="12" customFormat="1" x14ac:dyDescent="0.25"/>
    <row r="43552" s="12" customFormat="1" x14ac:dyDescent="0.25"/>
    <row r="43553" s="12" customFormat="1" x14ac:dyDescent="0.25"/>
    <row r="43554" s="12" customFormat="1" x14ac:dyDescent="0.25"/>
    <row r="43555" s="12" customFormat="1" x14ac:dyDescent="0.25"/>
    <row r="43556" s="12" customFormat="1" x14ac:dyDescent="0.25"/>
    <row r="43557" s="12" customFormat="1" x14ac:dyDescent="0.25"/>
    <row r="43558" s="12" customFormat="1" x14ac:dyDescent="0.25"/>
    <row r="43559" s="12" customFormat="1" x14ac:dyDescent="0.25"/>
    <row r="43560" s="12" customFormat="1" x14ac:dyDescent="0.25"/>
    <row r="43561" s="12" customFormat="1" x14ac:dyDescent="0.25"/>
    <row r="43562" s="12" customFormat="1" x14ac:dyDescent="0.25"/>
    <row r="43563" s="12" customFormat="1" x14ac:dyDescent="0.25"/>
    <row r="43564" s="12" customFormat="1" x14ac:dyDescent="0.25"/>
    <row r="43565" s="12" customFormat="1" x14ac:dyDescent="0.25"/>
    <row r="43566" s="12" customFormat="1" x14ac:dyDescent="0.25"/>
    <row r="43567" s="12" customFormat="1" x14ac:dyDescent="0.25"/>
    <row r="43568" s="12" customFormat="1" x14ac:dyDescent="0.25"/>
    <row r="43569" s="12" customFormat="1" x14ac:dyDescent="0.25"/>
    <row r="43570" s="12" customFormat="1" x14ac:dyDescent="0.25"/>
    <row r="43571" s="12" customFormat="1" x14ac:dyDescent="0.25"/>
    <row r="43572" s="12" customFormat="1" x14ac:dyDescent="0.25"/>
    <row r="43573" s="12" customFormat="1" x14ac:dyDescent="0.25"/>
    <row r="43574" s="12" customFormat="1" x14ac:dyDescent="0.25"/>
    <row r="43575" s="12" customFormat="1" x14ac:dyDescent="0.25"/>
    <row r="43576" s="12" customFormat="1" x14ac:dyDescent="0.25"/>
    <row r="43577" s="12" customFormat="1" x14ac:dyDescent="0.25"/>
    <row r="43578" s="12" customFormat="1" x14ac:dyDescent="0.25"/>
    <row r="43579" s="12" customFormat="1" x14ac:dyDescent="0.25"/>
    <row r="43580" s="12" customFormat="1" x14ac:dyDescent="0.25"/>
    <row r="43581" s="12" customFormat="1" x14ac:dyDescent="0.25"/>
    <row r="43582" s="12" customFormat="1" x14ac:dyDescent="0.25"/>
    <row r="43583" s="12" customFormat="1" x14ac:dyDescent="0.25"/>
    <row r="43584" s="12" customFormat="1" x14ac:dyDescent="0.25"/>
    <row r="43585" s="12" customFormat="1" x14ac:dyDescent="0.25"/>
    <row r="43586" s="12" customFormat="1" x14ac:dyDescent="0.25"/>
    <row r="43587" s="12" customFormat="1" x14ac:dyDescent="0.25"/>
    <row r="43588" s="12" customFormat="1" x14ac:dyDescent="0.25"/>
    <row r="43589" s="12" customFormat="1" x14ac:dyDescent="0.25"/>
    <row r="43590" s="12" customFormat="1" x14ac:dyDescent="0.25"/>
    <row r="43591" s="12" customFormat="1" x14ac:dyDescent="0.25"/>
    <row r="43592" s="12" customFormat="1" x14ac:dyDescent="0.25"/>
    <row r="43593" s="12" customFormat="1" x14ac:dyDescent="0.25"/>
    <row r="43594" s="12" customFormat="1" x14ac:dyDescent="0.25"/>
    <row r="43595" s="12" customFormat="1" x14ac:dyDescent="0.25"/>
    <row r="43596" s="12" customFormat="1" x14ac:dyDescent="0.25"/>
    <row r="43597" s="12" customFormat="1" x14ac:dyDescent="0.25"/>
    <row r="43598" s="12" customFormat="1" x14ac:dyDescent="0.25"/>
    <row r="43599" s="12" customFormat="1" x14ac:dyDescent="0.25"/>
    <row r="43600" s="12" customFormat="1" x14ac:dyDescent="0.25"/>
    <row r="43601" s="12" customFormat="1" x14ac:dyDescent="0.25"/>
    <row r="43602" s="12" customFormat="1" x14ac:dyDescent="0.25"/>
    <row r="43603" s="12" customFormat="1" x14ac:dyDescent="0.25"/>
    <row r="43604" s="12" customFormat="1" x14ac:dyDescent="0.25"/>
    <row r="43605" s="12" customFormat="1" x14ac:dyDescent="0.25"/>
    <row r="43606" s="12" customFormat="1" x14ac:dyDescent="0.25"/>
    <row r="43607" s="12" customFormat="1" x14ac:dyDescent="0.25"/>
    <row r="43608" s="12" customFormat="1" x14ac:dyDescent="0.25"/>
    <row r="43609" s="12" customFormat="1" x14ac:dyDescent="0.25"/>
    <row r="43610" s="12" customFormat="1" x14ac:dyDescent="0.25"/>
    <row r="43611" s="12" customFormat="1" x14ac:dyDescent="0.25"/>
    <row r="43612" s="12" customFormat="1" x14ac:dyDescent="0.25"/>
    <row r="43613" s="12" customFormat="1" x14ac:dyDescent="0.25"/>
    <row r="43614" s="12" customFormat="1" x14ac:dyDescent="0.25"/>
    <row r="43615" s="12" customFormat="1" x14ac:dyDescent="0.25"/>
    <row r="43616" s="12" customFormat="1" x14ac:dyDescent="0.25"/>
    <row r="43617" s="12" customFormat="1" x14ac:dyDescent="0.25"/>
    <row r="43618" s="12" customFormat="1" x14ac:dyDescent="0.25"/>
    <row r="43619" s="12" customFormat="1" x14ac:dyDescent="0.25"/>
    <row r="43620" s="12" customFormat="1" x14ac:dyDescent="0.25"/>
    <row r="43621" s="12" customFormat="1" x14ac:dyDescent="0.25"/>
    <row r="43622" s="12" customFormat="1" x14ac:dyDescent="0.25"/>
    <row r="43623" s="12" customFormat="1" x14ac:dyDescent="0.25"/>
    <row r="43624" s="12" customFormat="1" x14ac:dyDescent="0.25"/>
    <row r="43625" s="12" customFormat="1" x14ac:dyDescent="0.25"/>
    <row r="43626" s="12" customFormat="1" x14ac:dyDescent="0.25"/>
    <row r="43627" s="12" customFormat="1" x14ac:dyDescent="0.25"/>
    <row r="43628" s="12" customFormat="1" x14ac:dyDescent="0.25"/>
    <row r="43629" s="12" customFormat="1" x14ac:dyDescent="0.25"/>
    <row r="43630" s="12" customFormat="1" x14ac:dyDescent="0.25"/>
    <row r="43631" s="12" customFormat="1" x14ac:dyDescent="0.25"/>
    <row r="43632" s="12" customFormat="1" x14ac:dyDescent="0.25"/>
    <row r="43633" s="12" customFormat="1" x14ac:dyDescent="0.25"/>
    <row r="43634" s="12" customFormat="1" x14ac:dyDescent="0.25"/>
    <row r="43635" s="12" customFormat="1" x14ac:dyDescent="0.25"/>
    <row r="43636" s="12" customFormat="1" x14ac:dyDescent="0.25"/>
    <row r="43637" s="12" customFormat="1" x14ac:dyDescent="0.25"/>
    <row r="43638" s="12" customFormat="1" x14ac:dyDescent="0.25"/>
    <row r="43639" s="12" customFormat="1" x14ac:dyDescent="0.25"/>
    <row r="43640" s="12" customFormat="1" x14ac:dyDescent="0.25"/>
    <row r="43641" s="12" customFormat="1" x14ac:dyDescent="0.25"/>
    <row r="43642" s="12" customFormat="1" x14ac:dyDescent="0.25"/>
    <row r="43643" s="12" customFormat="1" x14ac:dyDescent="0.25"/>
    <row r="43644" s="12" customFormat="1" x14ac:dyDescent="0.25"/>
    <row r="43645" s="12" customFormat="1" x14ac:dyDescent="0.25"/>
    <row r="43646" s="12" customFormat="1" x14ac:dyDescent="0.25"/>
    <row r="43647" s="12" customFormat="1" x14ac:dyDescent="0.25"/>
    <row r="43648" s="12" customFormat="1" x14ac:dyDescent="0.25"/>
    <row r="43649" s="12" customFormat="1" x14ac:dyDescent="0.25"/>
    <row r="43650" s="12" customFormat="1" x14ac:dyDescent="0.25"/>
    <row r="43651" s="12" customFormat="1" x14ac:dyDescent="0.25"/>
    <row r="43652" s="12" customFormat="1" x14ac:dyDescent="0.25"/>
    <row r="43653" s="12" customFormat="1" x14ac:dyDescent="0.25"/>
    <row r="43654" s="12" customFormat="1" x14ac:dyDescent="0.25"/>
    <row r="43655" s="12" customFormat="1" x14ac:dyDescent="0.25"/>
    <row r="43656" s="12" customFormat="1" x14ac:dyDescent="0.25"/>
    <row r="43657" s="12" customFormat="1" x14ac:dyDescent="0.25"/>
    <row r="43658" s="12" customFormat="1" x14ac:dyDescent="0.25"/>
    <row r="43659" s="12" customFormat="1" x14ac:dyDescent="0.25"/>
    <row r="43660" s="12" customFormat="1" x14ac:dyDescent="0.25"/>
    <row r="43661" s="12" customFormat="1" x14ac:dyDescent="0.25"/>
    <row r="43662" s="12" customFormat="1" x14ac:dyDescent="0.25"/>
    <row r="43663" s="12" customFormat="1" x14ac:dyDescent="0.25"/>
    <row r="43664" s="12" customFormat="1" x14ac:dyDescent="0.25"/>
    <row r="43665" s="12" customFormat="1" x14ac:dyDescent="0.25"/>
    <row r="43666" s="12" customFormat="1" x14ac:dyDescent="0.25"/>
    <row r="43667" s="12" customFormat="1" x14ac:dyDescent="0.25"/>
    <row r="43668" s="12" customFormat="1" x14ac:dyDescent="0.25"/>
    <row r="43669" s="12" customFormat="1" x14ac:dyDescent="0.25"/>
    <row r="43670" s="12" customFormat="1" x14ac:dyDescent="0.25"/>
    <row r="43671" s="12" customFormat="1" x14ac:dyDescent="0.25"/>
    <row r="43672" s="12" customFormat="1" x14ac:dyDescent="0.25"/>
    <row r="43673" s="12" customFormat="1" x14ac:dyDescent="0.25"/>
    <row r="43674" s="12" customFormat="1" x14ac:dyDescent="0.25"/>
    <row r="43675" s="12" customFormat="1" x14ac:dyDescent="0.25"/>
    <row r="43676" s="12" customFormat="1" x14ac:dyDescent="0.25"/>
    <row r="43677" s="12" customFormat="1" x14ac:dyDescent="0.25"/>
    <row r="43678" s="12" customFormat="1" x14ac:dyDescent="0.25"/>
    <row r="43679" s="12" customFormat="1" x14ac:dyDescent="0.25"/>
    <row r="43680" s="12" customFormat="1" x14ac:dyDescent="0.25"/>
    <row r="43681" s="12" customFormat="1" x14ac:dyDescent="0.25"/>
    <row r="43682" s="12" customFormat="1" x14ac:dyDescent="0.25"/>
    <row r="43683" s="12" customFormat="1" x14ac:dyDescent="0.25"/>
    <row r="43684" s="12" customFormat="1" x14ac:dyDescent="0.25"/>
    <row r="43685" s="12" customFormat="1" x14ac:dyDescent="0.25"/>
    <row r="43686" s="12" customFormat="1" x14ac:dyDescent="0.25"/>
    <row r="43687" s="12" customFormat="1" x14ac:dyDescent="0.25"/>
    <row r="43688" s="12" customFormat="1" x14ac:dyDescent="0.25"/>
    <row r="43689" s="12" customFormat="1" x14ac:dyDescent="0.25"/>
    <row r="43690" s="12" customFormat="1" x14ac:dyDescent="0.25"/>
    <row r="43691" s="12" customFormat="1" x14ac:dyDescent="0.25"/>
    <row r="43692" s="12" customFormat="1" x14ac:dyDescent="0.25"/>
    <row r="43693" s="12" customFormat="1" x14ac:dyDescent="0.25"/>
    <row r="43694" s="12" customFormat="1" x14ac:dyDescent="0.25"/>
    <row r="43695" s="12" customFormat="1" x14ac:dyDescent="0.25"/>
    <row r="43696" s="12" customFormat="1" x14ac:dyDescent="0.25"/>
    <row r="43697" s="12" customFormat="1" x14ac:dyDescent="0.25"/>
    <row r="43698" s="12" customFormat="1" x14ac:dyDescent="0.25"/>
    <row r="43699" s="12" customFormat="1" x14ac:dyDescent="0.25"/>
    <row r="43700" s="12" customFormat="1" x14ac:dyDescent="0.25"/>
    <row r="43701" s="12" customFormat="1" x14ac:dyDescent="0.25"/>
    <row r="43702" s="12" customFormat="1" x14ac:dyDescent="0.25"/>
    <row r="43703" s="12" customFormat="1" x14ac:dyDescent="0.25"/>
    <row r="43704" s="12" customFormat="1" x14ac:dyDescent="0.25"/>
    <row r="43705" s="12" customFormat="1" x14ac:dyDescent="0.25"/>
    <row r="43706" s="12" customFormat="1" x14ac:dyDescent="0.25"/>
    <row r="43707" s="12" customFormat="1" x14ac:dyDescent="0.25"/>
    <row r="43708" s="12" customFormat="1" x14ac:dyDescent="0.25"/>
    <row r="43709" s="12" customFormat="1" x14ac:dyDescent="0.25"/>
    <row r="43710" s="12" customFormat="1" x14ac:dyDescent="0.25"/>
    <row r="43711" s="12" customFormat="1" x14ac:dyDescent="0.25"/>
    <row r="43712" s="12" customFormat="1" x14ac:dyDescent="0.25"/>
    <row r="43713" s="12" customFormat="1" x14ac:dyDescent="0.25"/>
    <row r="43714" s="12" customFormat="1" x14ac:dyDescent="0.25"/>
    <row r="43715" s="12" customFormat="1" x14ac:dyDescent="0.25"/>
    <row r="43716" s="12" customFormat="1" x14ac:dyDescent="0.25"/>
    <row r="43717" s="12" customFormat="1" x14ac:dyDescent="0.25"/>
    <row r="43718" s="12" customFormat="1" x14ac:dyDescent="0.25"/>
    <row r="43719" s="12" customFormat="1" x14ac:dyDescent="0.25"/>
    <row r="43720" s="12" customFormat="1" x14ac:dyDescent="0.25"/>
    <row r="43721" s="12" customFormat="1" x14ac:dyDescent="0.25"/>
    <row r="43722" s="12" customFormat="1" x14ac:dyDescent="0.25"/>
    <row r="43723" s="12" customFormat="1" x14ac:dyDescent="0.25"/>
    <row r="43724" s="12" customFormat="1" x14ac:dyDescent="0.25"/>
    <row r="43725" s="12" customFormat="1" x14ac:dyDescent="0.25"/>
    <row r="43726" s="12" customFormat="1" x14ac:dyDescent="0.25"/>
    <row r="43727" s="12" customFormat="1" x14ac:dyDescent="0.25"/>
    <row r="43728" s="12" customFormat="1" x14ac:dyDescent="0.25"/>
    <row r="43729" s="12" customFormat="1" x14ac:dyDescent="0.25"/>
    <row r="43730" s="12" customFormat="1" x14ac:dyDescent="0.25"/>
    <row r="43731" s="12" customFormat="1" x14ac:dyDescent="0.25"/>
    <row r="43732" s="12" customFormat="1" x14ac:dyDescent="0.25"/>
    <row r="43733" s="12" customFormat="1" x14ac:dyDescent="0.25"/>
    <row r="43734" s="12" customFormat="1" x14ac:dyDescent="0.25"/>
    <row r="43735" s="12" customFormat="1" x14ac:dyDescent="0.25"/>
    <row r="43736" s="12" customFormat="1" x14ac:dyDescent="0.25"/>
    <row r="43737" s="12" customFormat="1" x14ac:dyDescent="0.25"/>
    <row r="43738" s="12" customFormat="1" x14ac:dyDescent="0.25"/>
    <row r="43739" s="12" customFormat="1" x14ac:dyDescent="0.25"/>
    <row r="43740" s="12" customFormat="1" x14ac:dyDescent="0.25"/>
    <row r="43741" s="12" customFormat="1" x14ac:dyDescent="0.25"/>
    <row r="43742" s="12" customFormat="1" x14ac:dyDescent="0.25"/>
    <row r="43743" s="12" customFormat="1" x14ac:dyDescent="0.25"/>
    <row r="43744" s="12" customFormat="1" x14ac:dyDescent="0.25"/>
    <row r="43745" s="12" customFormat="1" x14ac:dyDescent="0.25"/>
    <row r="43746" s="12" customFormat="1" x14ac:dyDescent="0.25"/>
    <row r="43747" s="12" customFormat="1" x14ac:dyDescent="0.25"/>
    <row r="43748" s="12" customFormat="1" x14ac:dyDescent="0.25"/>
    <row r="43749" s="12" customFormat="1" x14ac:dyDescent="0.25"/>
    <row r="43750" s="12" customFormat="1" x14ac:dyDescent="0.25"/>
    <row r="43751" s="12" customFormat="1" x14ac:dyDescent="0.25"/>
    <row r="43752" s="12" customFormat="1" x14ac:dyDescent="0.25"/>
    <row r="43753" s="12" customFormat="1" x14ac:dyDescent="0.25"/>
    <row r="43754" s="12" customFormat="1" x14ac:dyDescent="0.25"/>
    <row r="43755" s="12" customFormat="1" x14ac:dyDescent="0.25"/>
    <row r="43756" s="12" customFormat="1" x14ac:dyDescent="0.25"/>
    <row r="43757" s="12" customFormat="1" x14ac:dyDescent="0.25"/>
    <row r="43758" s="12" customFormat="1" x14ac:dyDescent="0.25"/>
    <row r="43759" s="12" customFormat="1" x14ac:dyDescent="0.25"/>
    <row r="43760" s="12" customFormat="1" x14ac:dyDescent="0.25"/>
    <row r="43761" s="12" customFormat="1" x14ac:dyDescent="0.25"/>
    <row r="43762" s="12" customFormat="1" x14ac:dyDescent="0.25"/>
    <row r="43763" s="12" customFormat="1" x14ac:dyDescent="0.25"/>
    <row r="43764" s="12" customFormat="1" x14ac:dyDescent="0.25"/>
    <row r="43765" s="12" customFormat="1" x14ac:dyDescent="0.25"/>
    <row r="43766" s="12" customFormat="1" x14ac:dyDescent="0.25"/>
    <row r="43767" s="12" customFormat="1" x14ac:dyDescent="0.25"/>
    <row r="43768" s="12" customFormat="1" x14ac:dyDescent="0.25"/>
    <row r="43769" s="12" customFormat="1" x14ac:dyDescent="0.25"/>
    <row r="43770" s="12" customFormat="1" x14ac:dyDescent="0.25"/>
    <row r="43771" s="12" customFormat="1" x14ac:dyDescent="0.25"/>
    <row r="43772" s="12" customFormat="1" x14ac:dyDescent="0.25"/>
    <row r="43773" s="12" customFormat="1" x14ac:dyDescent="0.25"/>
    <row r="43774" s="12" customFormat="1" x14ac:dyDescent="0.25"/>
    <row r="43775" s="12" customFormat="1" x14ac:dyDescent="0.25"/>
    <row r="43776" s="12" customFormat="1" x14ac:dyDescent="0.25"/>
    <row r="43777" s="12" customFormat="1" x14ac:dyDescent="0.25"/>
    <row r="43778" s="12" customFormat="1" x14ac:dyDescent="0.25"/>
    <row r="43779" s="12" customFormat="1" x14ac:dyDescent="0.25"/>
    <row r="43780" s="12" customFormat="1" x14ac:dyDescent="0.25"/>
    <row r="43781" s="12" customFormat="1" x14ac:dyDescent="0.25"/>
    <row r="43782" s="12" customFormat="1" x14ac:dyDescent="0.25"/>
    <row r="43783" s="12" customFormat="1" x14ac:dyDescent="0.25"/>
    <row r="43784" s="12" customFormat="1" x14ac:dyDescent="0.25"/>
    <row r="43785" s="12" customFormat="1" x14ac:dyDescent="0.25"/>
    <row r="43786" s="12" customFormat="1" x14ac:dyDescent="0.25"/>
    <row r="43787" s="12" customFormat="1" x14ac:dyDescent="0.25"/>
    <row r="43788" s="12" customFormat="1" x14ac:dyDescent="0.25"/>
    <row r="43789" s="12" customFormat="1" x14ac:dyDescent="0.25"/>
    <row r="43790" s="12" customFormat="1" x14ac:dyDescent="0.25"/>
    <row r="43791" s="12" customFormat="1" x14ac:dyDescent="0.25"/>
    <row r="43792" s="12" customFormat="1" x14ac:dyDescent="0.25"/>
    <row r="43793" s="12" customFormat="1" x14ac:dyDescent="0.25"/>
    <row r="43794" s="12" customFormat="1" x14ac:dyDescent="0.25"/>
    <row r="43795" s="12" customFormat="1" x14ac:dyDescent="0.25"/>
    <row r="43796" s="12" customFormat="1" x14ac:dyDescent="0.25"/>
    <row r="43797" s="12" customFormat="1" x14ac:dyDescent="0.25"/>
    <row r="43798" s="12" customFormat="1" x14ac:dyDescent="0.25"/>
    <row r="43799" s="12" customFormat="1" x14ac:dyDescent="0.25"/>
    <row r="43800" s="12" customFormat="1" x14ac:dyDescent="0.25"/>
    <row r="43801" s="12" customFormat="1" x14ac:dyDescent="0.25"/>
    <row r="43802" s="12" customFormat="1" x14ac:dyDescent="0.25"/>
    <row r="43803" s="12" customFormat="1" x14ac:dyDescent="0.25"/>
    <row r="43804" s="12" customFormat="1" x14ac:dyDescent="0.25"/>
    <row r="43805" s="12" customFormat="1" x14ac:dyDescent="0.25"/>
    <row r="43806" s="12" customFormat="1" x14ac:dyDescent="0.25"/>
    <row r="43807" s="12" customFormat="1" x14ac:dyDescent="0.25"/>
    <row r="43808" s="12" customFormat="1" x14ac:dyDescent="0.25"/>
    <row r="43809" s="12" customFormat="1" x14ac:dyDescent="0.25"/>
    <row r="43810" s="12" customFormat="1" x14ac:dyDescent="0.25"/>
    <row r="43811" s="12" customFormat="1" x14ac:dyDescent="0.25"/>
    <row r="43812" s="12" customFormat="1" x14ac:dyDescent="0.25"/>
    <row r="43813" s="12" customFormat="1" x14ac:dyDescent="0.25"/>
    <row r="43814" s="12" customFormat="1" x14ac:dyDescent="0.25"/>
    <row r="43815" s="12" customFormat="1" x14ac:dyDescent="0.25"/>
    <row r="43816" s="12" customFormat="1" x14ac:dyDescent="0.25"/>
    <row r="43817" s="12" customFormat="1" x14ac:dyDescent="0.25"/>
    <row r="43818" s="12" customFormat="1" x14ac:dyDescent="0.25"/>
    <row r="43819" s="12" customFormat="1" x14ac:dyDescent="0.25"/>
    <row r="43820" s="12" customFormat="1" x14ac:dyDescent="0.25"/>
    <row r="43821" s="12" customFormat="1" x14ac:dyDescent="0.25"/>
    <row r="43822" s="12" customFormat="1" x14ac:dyDescent="0.25"/>
    <row r="43823" s="12" customFormat="1" x14ac:dyDescent="0.25"/>
    <row r="43824" s="12" customFormat="1" x14ac:dyDescent="0.25"/>
    <row r="43825" s="12" customFormat="1" x14ac:dyDescent="0.25"/>
    <row r="43826" s="12" customFormat="1" x14ac:dyDescent="0.25"/>
    <row r="43827" s="12" customFormat="1" x14ac:dyDescent="0.25"/>
    <row r="43828" s="12" customFormat="1" x14ac:dyDescent="0.25"/>
    <row r="43829" s="12" customFormat="1" x14ac:dyDescent="0.25"/>
    <row r="43830" s="12" customFormat="1" x14ac:dyDescent="0.25"/>
    <row r="43831" s="12" customFormat="1" x14ac:dyDescent="0.25"/>
    <row r="43832" s="12" customFormat="1" x14ac:dyDescent="0.25"/>
    <row r="43833" s="12" customFormat="1" x14ac:dyDescent="0.25"/>
    <row r="43834" s="12" customFormat="1" x14ac:dyDescent="0.25"/>
    <row r="43835" s="12" customFormat="1" x14ac:dyDescent="0.25"/>
    <row r="43836" s="12" customFormat="1" x14ac:dyDescent="0.25"/>
    <row r="43837" s="12" customFormat="1" x14ac:dyDescent="0.25"/>
    <row r="43838" s="12" customFormat="1" x14ac:dyDescent="0.25"/>
    <row r="43839" s="12" customFormat="1" x14ac:dyDescent="0.25"/>
    <row r="43840" s="12" customFormat="1" x14ac:dyDescent="0.25"/>
    <row r="43841" s="12" customFormat="1" x14ac:dyDescent="0.25"/>
    <row r="43842" s="12" customFormat="1" x14ac:dyDescent="0.25"/>
    <row r="43843" s="12" customFormat="1" x14ac:dyDescent="0.25"/>
    <row r="43844" s="12" customFormat="1" x14ac:dyDescent="0.25"/>
    <row r="43845" s="12" customFormat="1" x14ac:dyDescent="0.25"/>
    <row r="43846" s="12" customFormat="1" x14ac:dyDescent="0.25"/>
    <row r="43847" s="12" customFormat="1" x14ac:dyDescent="0.25"/>
    <row r="43848" s="12" customFormat="1" x14ac:dyDescent="0.25"/>
    <row r="43849" s="12" customFormat="1" x14ac:dyDescent="0.25"/>
    <row r="43850" s="12" customFormat="1" x14ac:dyDescent="0.25"/>
    <row r="43851" s="12" customFormat="1" x14ac:dyDescent="0.25"/>
    <row r="43852" s="12" customFormat="1" x14ac:dyDescent="0.25"/>
    <row r="43853" s="12" customFormat="1" x14ac:dyDescent="0.25"/>
    <row r="43854" s="12" customFormat="1" x14ac:dyDescent="0.25"/>
    <row r="43855" s="12" customFormat="1" x14ac:dyDescent="0.25"/>
    <row r="43856" s="12" customFormat="1" x14ac:dyDescent="0.25"/>
    <row r="43857" s="12" customFormat="1" x14ac:dyDescent="0.25"/>
    <row r="43858" s="12" customFormat="1" x14ac:dyDescent="0.25"/>
    <row r="43859" s="12" customFormat="1" x14ac:dyDescent="0.25"/>
    <row r="43860" s="12" customFormat="1" x14ac:dyDescent="0.25"/>
    <row r="43861" s="12" customFormat="1" x14ac:dyDescent="0.25"/>
    <row r="43862" s="12" customFormat="1" x14ac:dyDescent="0.25"/>
    <row r="43863" s="12" customFormat="1" x14ac:dyDescent="0.25"/>
    <row r="43864" s="12" customFormat="1" x14ac:dyDescent="0.25"/>
    <row r="43865" s="12" customFormat="1" x14ac:dyDescent="0.25"/>
    <row r="43866" s="12" customFormat="1" x14ac:dyDescent="0.25"/>
    <row r="43867" s="12" customFormat="1" x14ac:dyDescent="0.25"/>
    <row r="43868" s="12" customFormat="1" x14ac:dyDescent="0.25"/>
    <row r="43869" s="12" customFormat="1" x14ac:dyDescent="0.25"/>
    <row r="43870" s="12" customFormat="1" x14ac:dyDescent="0.25"/>
    <row r="43871" s="12" customFormat="1" x14ac:dyDescent="0.25"/>
    <row r="43872" s="12" customFormat="1" x14ac:dyDescent="0.25"/>
    <row r="43873" s="12" customFormat="1" x14ac:dyDescent="0.25"/>
    <row r="43874" s="12" customFormat="1" x14ac:dyDescent="0.25"/>
    <row r="43875" s="12" customFormat="1" x14ac:dyDescent="0.25"/>
    <row r="43876" s="12" customFormat="1" x14ac:dyDescent="0.25"/>
    <row r="43877" s="12" customFormat="1" x14ac:dyDescent="0.25"/>
    <row r="43878" s="12" customFormat="1" x14ac:dyDescent="0.25"/>
    <row r="43879" s="12" customFormat="1" x14ac:dyDescent="0.25"/>
    <row r="43880" s="12" customFormat="1" x14ac:dyDescent="0.25"/>
    <row r="43881" s="12" customFormat="1" x14ac:dyDescent="0.25"/>
    <row r="43882" s="12" customFormat="1" x14ac:dyDescent="0.25"/>
    <row r="43883" s="12" customFormat="1" x14ac:dyDescent="0.25"/>
    <row r="43884" s="12" customFormat="1" x14ac:dyDescent="0.25"/>
    <row r="43885" s="12" customFormat="1" x14ac:dyDescent="0.25"/>
    <row r="43886" s="12" customFormat="1" x14ac:dyDescent="0.25"/>
    <row r="43887" s="12" customFormat="1" x14ac:dyDescent="0.25"/>
    <row r="43888" s="12" customFormat="1" x14ac:dyDescent="0.25"/>
    <row r="43889" s="12" customFormat="1" x14ac:dyDescent="0.25"/>
    <row r="43890" s="12" customFormat="1" x14ac:dyDescent="0.25"/>
    <row r="43891" s="12" customFormat="1" x14ac:dyDescent="0.25"/>
    <row r="43892" s="12" customFormat="1" x14ac:dyDescent="0.25"/>
    <row r="43893" s="12" customFormat="1" x14ac:dyDescent="0.25"/>
    <row r="43894" s="12" customFormat="1" x14ac:dyDescent="0.25"/>
    <row r="43895" s="12" customFormat="1" x14ac:dyDescent="0.25"/>
    <row r="43896" s="12" customFormat="1" x14ac:dyDescent="0.25"/>
    <row r="43897" s="12" customFormat="1" x14ac:dyDescent="0.25"/>
    <row r="43898" s="12" customFormat="1" x14ac:dyDescent="0.25"/>
    <row r="43899" s="12" customFormat="1" x14ac:dyDescent="0.25"/>
    <row r="43900" s="12" customFormat="1" x14ac:dyDescent="0.25"/>
    <row r="43901" s="12" customFormat="1" x14ac:dyDescent="0.25"/>
    <row r="43902" s="12" customFormat="1" x14ac:dyDescent="0.25"/>
    <row r="43903" s="12" customFormat="1" x14ac:dyDescent="0.25"/>
    <row r="43904" s="12" customFormat="1" x14ac:dyDescent="0.25"/>
    <row r="43905" s="12" customFormat="1" x14ac:dyDescent="0.25"/>
    <row r="43906" s="12" customFormat="1" x14ac:dyDescent="0.25"/>
    <row r="43907" s="12" customFormat="1" x14ac:dyDescent="0.25"/>
    <row r="43908" s="12" customFormat="1" x14ac:dyDescent="0.25"/>
    <row r="43909" s="12" customFormat="1" x14ac:dyDescent="0.25"/>
    <row r="43910" s="12" customFormat="1" x14ac:dyDescent="0.25"/>
    <row r="43911" s="12" customFormat="1" x14ac:dyDescent="0.25"/>
    <row r="43912" s="12" customFormat="1" x14ac:dyDescent="0.25"/>
    <row r="43913" s="12" customFormat="1" x14ac:dyDescent="0.25"/>
    <row r="43914" s="12" customFormat="1" x14ac:dyDescent="0.25"/>
    <row r="43915" s="12" customFormat="1" x14ac:dyDescent="0.25"/>
    <row r="43916" s="12" customFormat="1" x14ac:dyDescent="0.25"/>
    <row r="43917" s="12" customFormat="1" x14ac:dyDescent="0.25"/>
    <row r="43918" s="12" customFormat="1" x14ac:dyDescent="0.25"/>
    <row r="43919" s="12" customFormat="1" x14ac:dyDescent="0.25"/>
    <row r="43920" s="12" customFormat="1" x14ac:dyDescent="0.25"/>
    <row r="43921" s="12" customFormat="1" x14ac:dyDescent="0.25"/>
    <row r="43922" s="12" customFormat="1" x14ac:dyDescent="0.25"/>
    <row r="43923" s="12" customFormat="1" x14ac:dyDescent="0.25"/>
    <row r="43924" s="12" customFormat="1" x14ac:dyDescent="0.25"/>
    <row r="43925" s="12" customFormat="1" x14ac:dyDescent="0.25"/>
    <row r="43926" s="12" customFormat="1" x14ac:dyDescent="0.25"/>
    <row r="43927" s="12" customFormat="1" x14ac:dyDescent="0.25"/>
    <row r="43928" s="12" customFormat="1" x14ac:dyDescent="0.25"/>
    <row r="43929" s="12" customFormat="1" x14ac:dyDescent="0.25"/>
    <row r="43930" s="12" customFormat="1" x14ac:dyDescent="0.25"/>
    <row r="43931" s="12" customFormat="1" x14ac:dyDescent="0.25"/>
    <row r="43932" s="12" customFormat="1" x14ac:dyDescent="0.25"/>
    <row r="43933" s="12" customFormat="1" x14ac:dyDescent="0.25"/>
    <row r="43934" s="12" customFormat="1" x14ac:dyDescent="0.25"/>
    <row r="43935" s="12" customFormat="1" x14ac:dyDescent="0.25"/>
    <row r="43936" s="12" customFormat="1" x14ac:dyDescent="0.25"/>
    <row r="43937" s="12" customFormat="1" x14ac:dyDescent="0.25"/>
    <row r="43938" s="12" customFormat="1" x14ac:dyDescent="0.25"/>
    <row r="43939" s="12" customFormat="1" x14ac:dyDescent="0.25"/>
    <row r="43940" s="12" customFormat="1" x14ac:dyDescent="0.25"/>
    <row r="43941" s="12" customFormat="1" x14ac:dyDescent="0.25"/>
    <row r="43942" s="12" customFormat="1" x14ac:dyDescent="0.25"/>
    <row r="43943" s="12" customFormat="1" x14ac:dyDescent="0.25"/>
    <row r="43944" s="12" customFormat="1" x14ac:dyDescent="0.25"/>
    <row r="43945" s="12" customFormat="1" x14ac:dyDescent="0.25"/>
    <row r="43946" s="12" customFormat="1" x14ac:dyDescent="0.25"/>
    <row r="43947" s="12" customFormat="1" x14ac:dyDescent="0.25"/>
    <row r="43948" s="12" customFormat="1" x14ac:dyDescent="0.25"/>
    <row r="43949" s="12" customFormat="1" x14ac:dyDescent="0.25"/>
    <row r="43950" s="12" customFormat="1" x14ac:dyDescent="0.25"/>
    <row r="43951" s="12" customFormat="1" x14ac:dyDescent="0.25"/>
    <row r="43952" s="12" customFormat="1" x14ac:dyDescent="0.25"/>
    <row r="43953" s="12" customFormat="1" x14ac:dyDescent="0.25"/>
    <row r="43954" s="12" customFormat="1" x14ac:dyDescent="0.25"/>
    <row r="43955" s="12" customFormat="1" x14ac:dyDescent="0.25"/>
    <row r="43956" s="12" customFormat="1" x14ac:dyDescent="0.25"/>
    <row r="43957" s="12" customFormat="1" x14ac:dyDescent="0.25"/>
    <row r="43958" s="12" customFormat="1" x14ac:dyDescent="0.25"/>
    <row r="43959" s="12" customFormat="1" x14ac:dyDescent="0.25"/>
    <row r="43960" s="12" customFormat="1" x14ac:dyDescent="0.25"/>
    <row r="43961" s="12" customFormat="1" x14ac:dyDescent="0.25"/>
    <row r="43962" s="12" customFormat="1" x14ac:dyDescent="0.25"/>
    <row r="43963" s="12" customFormat="1" x14ac:dyDescent="0.25"/>
    <row r="43964" s="12" customFormat="1" x14ac:dyDescent="0.25"/>
    <row r="43965" s="12" customFormat="1" x14ac:dyDescent="0.25"/>
    <row r="43966" s="12" customFormat="1" x14ac:dyDescent="0.25"/>
    <row r="43967" s="12" customFormat="1" x14ac:dyDescent="0.25"/>
    <row r="43968" s="12" customFormat="1" x14ac:dyDescent="0.25"/>
    <row r="43969" s="12" customFormat="1" x14ac:dyDescent="0.25"/>
    <row r="43970" s="12" customFormat="1" x14ac:dyDescent="0.25"/>
    <row r="43971" s="12" customFormat="1" x14ac:dyDescent="0.25"/>
    <row r="43972" s="12" customFormat="1" x14ac:dyDescent="0.25"/>
    <row r="43973" s="12" customFormat="1" x14ac:dyDescent="0.25"/>
    <row r="43974" s="12" customFormat="1" x14ac:dyDescent="0.25"/>
    <row r="43975" s="12" customFormat="1" x14ac:dyDescent="0.25"/>
    <row r="43976" s="12" customFormat="1" x14ac:dyDescent="0.25"/>
    <row r="43977" s="12" customFormat="1" x14ac:dyDescent="0.25"/>
    <row r="43978" s="12" customFormat="1" x14ac:dyDescent="0.25"/>
    <row r="43979" s="12" customFormat="1" x14ac:dyDescent="0.25"/>
    <row r="43980" s="12" customFormat="1" x14ac:dyDescent="0.25"/>
    <row r="43981" s="12" customFormat="1" x14ac:dyDescent="0.25"/>
    <row r="43982" s="12" customFormat="1" x14ac:dyDescent="0.25"/>
    <row r="43983" s="12" customFormat="1" x14ac:dyDescent="0.25"/>
    <row r="43984" s="12" customFormat="1" x14ac:dyDescent="0.25"/>
    <row r="43985" s="12" customFormat="1" x14ac:dyDescent="0.25"/>
    <row r="43986" s="12" customFormat="1" x14ac:dyDescent="0.25"/>
    <row r="43987" s="12" customFormat="1" x14ac:dyDescent="0.25"/>
    <row r="43988" s="12" customFormat="1" x14ac:dyDescent="0.25"/>
    <row r="43989" s="12" customFormat="1" x14ac:dyDescent="0.25"/>
    <row r="43990" s="12" customFormat="1" x14ac:dyDescent="0.25"/>
    <row r="43991" s="12" customFormat="1" x14ac:dyDescent="0.25"/>
    <row r="43992" s="12" customFormat="1" x14ac:dyDescent="0.25"/>
    <row r="43993" s="12" customFormat="1" x14ac:dyDescent="0.25"/>
    <row r="43994" s="12" customFormat="1" x14ac:dyDescent="0.25"/>
    <row r="43995" s="12" customFormat="1" x14ac:dyDescent="0.25"/>
    <row r="43996" s="12" customFormat="1" x14ac:dyDescent="0.25"/>
    <row r="43997" s="12" customFormat="1" x14ac:dyDescent="0.25"/>
    <row r="43998" s="12" customFormat="1" x14ac:dyDescent="0.25"/>
    <row r="43999" s="12" customFormat="1" x14ac:dyDescent="0.25"/>
    <row r="44000" s="12" customFormat="1" x14ac:dyDescent="0.25"/>
    <row r="44001" s="12" customFormat="1" x14ac:dyDescent="0.25"/>
    <row r="44002" s="12" customFormat="1" x14ac:dyDescent="0.25"/>
    <row r="44003" s="12" customFormat="1" x14ac:dyDescent="0.25"/>
    <row r="44004" s="12" customFormat="1" x14ac:dyDescent="0.25"/>
    <row r="44005" s="12" customFormat="1" x14ac:dyDescent="0.25"/>
    <row r="44006" s="12" customFormat="1" x14ac:dyDescent="0.25"/>
    <row r="44007" s="12" customFormat="1" x14ac:dyDescent="0.25"/>
    <row r="44008" s="12" customFormat="1" x14ac:dyDescent="0.25"/>
    <row r="44009" s="12" customFormat="1" x14ac:dyDescent="0.25"/>
    <row r="44010" s="12" customFormat="1" x14ac:dyDescent="0.25"/>
    <row r="44011" s="12" customFormat="1" x14ac:dyDescent="0.25"/>
    <row r="44012" s="12" customFormat="1" x14ac:dyDescent="0.25"/>
    <row r="44013" s="12" customFormat="1" x14ac:dyDescent="0.25"/>
    <row r="44014" s="12" customFormat="1" x14ac:dyDescent="0.25"/>
    <row r="44015" s="12" customFormat="1" x14ac:dyDescent="0.25"/>
    <row r="44016" s="12" customFormat="1" x14ac:dyDescent="0.25"/>
    <row r="44017" s="12" customFormat="1" x14ac:dyDescent="0.25"/>
    <row r="44018" s="12" customFormat="1" x14ac:dyDescent="0.25"/>
    <row r="44019" s="12" customFormat="1" x14ac:dyDescent="0.25"/>
    <row r="44020" s="12" customFormat="1" x14ac:dyDescent="0.25"/>
    <row r="44021" s="12" customFormat="1" x14ac:dyDescent="0.25"/>
    <row r="44022" s="12" customFormat="1" x14ac:dyDescent="0.25"/>
    <row r="44023" s="12" customFormat="1" x14ac:dyDescent="0.25"/>
    <row r="44024" s="12" customFormat="1" x14ac:dyDescent="0.25"/>
    <row r="44025" s="12" customFormat="1" x14ac:dyDescent="0.25"/>
    <row r="44026" s="12" customFormat="1" x14ac:dyDescent="0.25"/>
    <row r="44027" s="12" customFormat="1" x14ac:dyDescent="0.25"/>
    <row r="44028" s="12" customFormat="1" x14ac:dyDescent="0.25"/>
    <row r="44029" s="12" customFormat="1" x14ac:dyDescent="0.25"/>
    <row r="44030" s="12" customFormat="1" x14ac:dyDescent="0.25"/>
    <row r="44031" s="12" customFormat="1" x14ac:dyDescent="0.25"/>
    <row r="44032" s="12" customFormat="1" x14ac:dyDescent="0.25"/>
    <row r="44033" s="12" customFormat="1" x14ac:dyDescent="0.25"/>
    <row r="44034" s="12" customFormat="1" x14ac:dyDescent="0.25"/>
    <row r="44035" s="12" customFormat="1" x14ac:dyDescent="0.25"/>
    <row r="44036" s="12" customFormat="1" x14ac:dyDescent="0.25"/>
    <row r="44037" s="12" customFormat="1" x14ac:dyDescent="0.25"/>
    <row r="44038" s="12" customFormat="1" x14ac:dyDescent="0.25"/>
    <row r="44039" s="12" customFormat="1" x14ac:dyDescent="0.25"/>
    <row r="44040" s="12" customFormat="1" x14ac:dyDescent="0.25"/>
    <row r="44041" s="12" customFormat="1" x14ac:dyDescent="0.25"/>
    <row r="44042" s="12" customFormat="1" x14ac:dyDescent="0.25"/>
    <row r="44043" s="12" customFormat="1" x14ac:dyDescent="0.25"/>
    <row r="44044" s="12" customFormat="1" x14ac:dyDescent="0.25"/>
    <row r="44045" s="12" customFormat="1" x14ac:dyDescent="0.25"/>
    <row r="44046" s="12" customFormat="1" x14ac:dyDescent="0.25"/>
    <row r="44047" s="12" customFormat="1" x14ac:dyDescent="0.25"/>
    <row r="44048" s="12" customFormat="1" x14ac:dyDescent="0.25"/>
    <row r="44049" s="12" customFormat="1" x14ac:dyDescent="0.25"/>
    <row r="44050" s="12" customFormat="1" x14ac:dyDescent="0.25"/>
    <row r="44051" s="12" customFormat="1" x14ac:dyDescent="0.25"/>
    <row r="44052" s="12" customFormat="1" x14ac:dyDescent="0.25"/>
    <row r="44053" s="12" customFormat="1" x14ac:dyDescent="0.25"/>
    <row r="44054" s="12" customFormat="1" x14ac:dyDescent="0.25"/>
    <row r="44055" s="12" customFormat="1" x14ac:dyDescent="0.25"/>
    <row r="44056" s="12" customFormat="1" x14ac:dyDescent="0.25"/>
    <row r="44057" s="12" customFormat="1" x14ac:dyDescent="0.25"/>
    <row r="44058" s="12" customFormat="1" x14ac:dyDescent="0.25"/>
    <row r="44059" s="12" customFormat="1" x14ac:dyDescent="0.25"/>
    <row r="44060" s="12" customFormat="1" x14ac:dyDescent="0.25"/>
    <row r="44061" s="12" customFormat="1" x14ac:dyDescent="0.25"/>
    <row r="44062" s="12" customFormat="1" x14ac:dyDescent="0.25"/>
    <row r="44063" s="12" customFormat="1" x14ac:dyDescent="0.25"/>
    <row r="44064" s="12" customFormat="1" x14ac:dyDescent="0.25"/>
    <row r="44065" s="12" customFormat="1" x14ac:dyDescent="0.25"/>
    <row r="44066" s="12" customFormat="1" x14ac:dyDescent="0.25"/>
    <row r="44067" s="12" customFormat="1" x14ac:dyDescent="0.25"/>
    <row r="44068" s="12" customFormat="1" x14ac:dyDescent="0.25"/>
    <row r="44069" s="12" customFormat="1" x14ac:dyDescent="0.25"/>
    <row r="44070" s="12" customFormat="1" x14ac:dyDescent="0.25"/>
    <row r="44071" s="12" customFormat="1" x14ac:dyDescent="0.25"/>
    <row r="44072" s="12" customFormat="1" x14ac:dyDescent="0.25"/>
    <row r="44073" s="12" customFormat="1" x14ac:dyDescent="0.25"/>
    <row r="44074" s="12" customFormat="1" x14ac:dyDescent="0.25"/>
    <row r="44075" s="12" customFormat="1" x14ac:dyDescent="0.25"/>
    <row r="44076" s="12" customFormat="1" x14ac:dyDescent="0.25"/>
    <row r="44077" s="12" customFormat="1" x14ac:dyDescent="0.25"/>
    <row r="44078" s="12" customFormat="1" x14ac:dyDescent="0.25"/>
    <row r="44079" s="12" customFormat="1" x14ac:dyDescent="0.25"/>
    <row r="44080" s="12" customFormat="1" x14ac:dyDescent="0.25"/>
    <row r="44081" s="12" customFormat="1" x14ac:dyDescent="0.25"/>
    <row r="44082" s="12" customFormat="1" x14ac:dyDescent="0.25"/>
    <row r="44083" s="12" customFormat="1" x14ac:dyDescent="0.25"/>
    <row r="44084" s="12" customFormat="1" x14ac:dyDescent="0.25"/>
    <row r="44085" s="12" customFormat="1" x14ac:dyDescent="0.25"/>
    <row r="44086" s="12" customFormat="1" x14ac:dyDescent="0.25"/>
    <row r="44087" s="12" customFormat="1" x14ac:dyDescent="0.25"/>
    <row r="44088" s="12" customFormat="1" x14ac:dyDescent="0.25"/>
    <row r="44089" s="12" customFormat="1" x14ac:dyDescent="0.25"/>
    <row r="44090" s="12" customFormat="1" x14ac:dyDescent="0.25"/>
    <row r="44091" s="12" customFormat="1" x14ac:dyDescent="0.25"/>
    <row r="44092" s="12" customFormat="1" x14ac:dyDescent="0.25"/>
    <row r="44093" s="12" customFormat="1" x14ac:dyDescent="0.25"/>
    <row r="44094" s="12" customFormat="1" x14ac:dyDescent="0.25"/>
    <row r="44095" s="12" customFormat="1" x14ac:dyDescent="0.25"/>
    <row r="44096" s="12" customFormat="1" x14ac:dyDescent="0.25"/>
    <row r="44097" s="12" customFormat="1" x14ac:dyDescent="0.25"/>
    <row r="44098" s="12" customFormat="1" x14ac:dyDescent="0.25"/>
    <row r="44099" s="12" customFormat="1" x14ac:dyDescent="0.25"/>
    <row r="44100" s="12" customFormat="1" x14ac:dyDescent="0.25"/>
    <row r="44101" s="12" customFormat="1" x14ac:dyDescent="0.25"/>
    <row r="44102" s="12" customFormat="1" x14ac:dyDescent="0.25"/>
    <row r="44103" s="12" customFormat="1" x14ac:dyDescent="0.25"/>
    <row r="44104" s="12" customFormat="1" x14ac:dyDescent="0.25"/>
    <row r="44105" s="12" customFormat="1" x14ac:dyDescent="0.25"/>
    <row r="44106" s="12" customFormat="1" x14ac:dyDescent="0.25"/>
    <row r="44107" s="12" customFormat="1" x14ac:dyDescent="0.25"/>
    <row r="44108" s="12" customFormat="1" x14ac:dyDescent="0.25"/>
    <row r="44109" s="12" customFormat="1" x14ac:dyDescent="0.25"/>
    <row r="44110" s="12" customFormat="1" x14ac:dyDescent="0.25"/>
    <row r="44111" s="12" customFormat="1" x14ac:dyDescent="0.25"/>
    <row r="44112" s="12" customFormat="1" x14ac:dyDescent="0.25"/>
    <row r="44113" s="12" customFormat="1" x14ac:dyDescent="0.25"/>
    <row r="44114" s="12" customFormat="1" x14ac:dyDescent="0.25"/>
    <row r="44115" s="12" customFormat="1" x14ac:dyDescent="0.25"/>
    <row r="44116" s="12" customFormat="1" x14ac:dyDescent="0.25"/>
    <row r="44117" s="12" customFormat="1" x14ac:dyDescent="0.25"/>
    <row r="44118" s="12" customFormat="1" x14ac:dyDescent="0.25"/>
    <row r="44119" s="12" customFormat="1" x14ac:dyDescent="0.25"/>
    <row r="44120" s="12" customFormat="1" x14ac:dyDescent="0.25"/>
    <row r="44121" s="12" customFormat="1" x14ac:dyDescent="0.25"/>
    <row r="44122" s="12" customFormat="1" x14ac:dyDescent="0.25"/>
    <row r="44123" s="12" customFormat="1" x14ac:dyDescent="0.25"/>
    <row r="44124" s="12" customFormat="1" x14ac:dyDescent="0.25"/>
    <row r="44125" s="12" customFormat="1" x14ac:dyDescent="0.25"/>
    <row r="44126" s="12" customFormat="1" x14ac:dyDescent="0.25"/>
    <row r="44127" s="12" customFormat="1" x14ac:dyDescent="0.25"/>
    <row r="44128" s="12" customFormat="1" x14ac:dyDescent="0.25"/>
    <row r="44129" s="12" customFormat="1" x14ac:dyDescent="0.25"/>
    <row r="44130" s="12" customFormat="1" x14ac:dyDescent="0.25"/>
    <row r="44131" s="12" customFormat="1" x14ac:dyDescent="0.25"/>
    <row r="44132" s="12" customFormat="1" x14ac:dyDescent="0.25"/>
    <row r="44133" s="12" customFormat="1" x14ac:dyDescent="0.25"/>
    <row r="44134" s="12" customFormat="1" x14ac:dyDescent="0.25"/>
    <row r="44135" s="12" customFormat="1" x14ac:dyDescent="0.25"/>
    <row r="44136" s="12" customFormat="1" x14ac:dyDescent="0.25"/>
    <row r="44137" s="12" customFormat="1" x14ac:dyDescent="0.25"/>
    <row r="44138" s="12" customFormat="1" x14ac:dyDescent="0.25"/>
    <row r="44139" s="12" customFormat="1" x14ac:dyDescent="0.25"/>
    <row r="44140" s="12" customFormat="1" x14ac:dyDescent="0.25"/>
    <row r="44141" s="12" customFormat="1" x14ac:dyDescent="0.25"/>
    <row r="44142" s="12" customFormat="1" x14ac:dyDescent="0.25"/>
    <row r="44143" s="12" customFormat="1" x14ac:dyDescent="0.25"/>
    <row r="44144" s="12" customFormat="1" x14ac:dyDescent="0.25"/>
    <row r="44145" s="12" customFormat="1" x14ac:dyDescent="0.25"/>
    <row r="44146" s="12" customFormat="1" x14ac:dyDescent="0.25"/>
    <row r="44147" s="12" customFormat="1" x14ac:dyDescent="0.25"/>
    <row r="44148" s="12" customFormat="1" x14ac:dyDescent="0.25"/>
    <row r="44149" s="12" customFormat="1" x14ac:dyDescent="0.25"/>
    <row r="44150" s="12" customFormat="1" x14ac:dyDescent="0.25"/>
    <row r="44151" s="12" customFormat="1" x14ac:dyDescent="0.25"/>
    <row r="44152" s="12" customFormat="1" x14ac:dyDescent="0.25"/>
    <row r="44153" s="12" customFormat="1" x14ac:dyDescent="0.25"/>
    <row r="44154" s="12" customFormat="1" x14ac:dyDescent="0.25"/>
    <row r="44155" s="12" customFormat="1" x14ac:dyDescent="0.25"/>
    <row r="44156" s="12" customFormat="1" x14ac:dyDescent="0.25"/>
    <row r="44157" s="12" customFormat="1" x14ac:dyDescent="0.25"/>
    <row r="44158" s="12" customFormat="1" x14ac:dyDescent="0.25"/>
    <row r="44159" s="12" customFormat="1" x14ac:dyDescent="0.25"/>
    <row r="44160" s="12" customFormat="1" x14ac:dyDescent="0.25"/>
    <row r="44161" s="12" customFormat="1" x14ac:dyDescent="0.25"/>
    <row r="44162" s="12" customFormat="1" x14ac:dyDescent="0.25"/>
    <row r="44163" s="12" customFormat="1" x14ac:dyDescent="0.25"/>
    <row r="44164" s="12" customFormat="1" x14ac:dyDescent="0.25"/>
    <row r="44165" s="12" customFormat="1" x14ac:dyDescent="0.25"/>
    <row r="44166" s="12" customFormat="1" x14ac:dyDescent="0.25"/>
    <row r="44167" s="12" customFormat="1" x14ac:dyDescent="0.25"/>
    <row r="44168" s="12" customFormat="1" x14ac:dyDescent="0.25"/>
    <row r="44169" s="12" customFormat="1" x14ac:dyDescent="0.25"/>
    <row r="44170" s="12" customFormat="1" x14ac:dyDescent="0.25"/>
    <row r="44171" s="12" customFormat="1" x14ac:dyDescent="0.25"/>
    <row r="44172" s="12" customFormat="1" x14ac:dyDescent="0.25"/>
    <row r="44173" s="12" customFormat="1" x14ac:dyDescent="0.25"/>
    <row r="44174" s="12" customFormat="1" x14ac:dyDescent="0.25"/>
    <row r="44175" s="12" customFormat="1" x14ac:dyDescent="0.25"/>
    <row r="44176" s="12" customFormat="1" x14ac:dyDescent="0.25"/>
    <row r="44177" s="12" customFormat="1" x14ac:dyDescent="0.25"/>
    <row r="44178" s="12" customFormat="1" x14ac:dyDescent="0.25"/>
    <row r="44179" s="12" customFormat="1" x14ac:dyDescent="0.25"/>
    <row r="44180" s="12" customFormat="1" x14ac:dyDescent="0.25"/>
    <row r="44181" s="12" customFormat="1" x14ac:dyDescent="0.25"/>
    <row r="44182" s="12" customFormat="1" x14ac:dyDescent="0.25"/>
    <row r="44183" s="12" customFormat="1" x14ac:dyDescent="0.25"/>
    <row r="44184" s="12" customFormat="1" x14ac:dyDescent="0.25"/>
    <row r="44185" s="12" customFormat="1" x14ac:dyDescent="0.25"/>
    <row r="44186" s="12" customFormat="1" x14ac:dyDescent="0.25"/>
    <row r="44187" s="12" customFormat="1" x14ac:dyDescent="0.25"/>
    <row r="44188" s="12" customFormat="1" x14ac:dyDescent="0.25"/>
    <row r="44189" s="12" customFormat="1" x14ac:dyDescent="0.25"/>
    <row r="44190" s="12" customFormat="1" x14ac:dyDescent="0.25"/>
    <row r="44191" s="12" customFormat="1" x14ac:dyDescent="0.25"/>
    <row r="44192" s="12" customFormat="1" x14ac:dyDescent="0.25"/>
    <row r="44193" s="12" customFormat="1" x14ac:dyDescent="0.25"/>
    <row r="44194" s="12" customFormat="1" x14ac:dyDescent="0.25"/>
    <row r="44195" s="12" customFormat="1" x14ac:dyDescent="0.25"/>
    <row r="44196" s="12" customFormat="1" x14ac:dyDescent="0.25"/>
    <row r="44197" s="12" customFormat="1" x14ac:dyDescent="0.25"/>
    <row r="44198" s="12" customFormat="1" x14ac:dyDescent="0.25"/>
    <row r="44199" s="12" customFormat="1" x14ac:dyDescent="0.25"/>
    <row r="44200" s="12" customFormat="1" x14ac:dyDescent="0.25"/>
    <row r="44201" s="12" customFormat="1" x14ac:dyDescent="0.25"/>
    <row r="44202" s="12" customFormat="1" x14ac:dyDescent="0.25"/>
    <row r="44203" s="12" customFormat="1" x14ac:dyDescent="0.25"/>
    <row r="44204" s="12" customFormat="1" x14ac:dyDescent="0.25"/>
    <row r="44205" s="12" customFormat="1" x14ac:dyDescent="0.25"/>
    <row r="44206" s="12" customFormat="1" x14ac:dyDescent="0.25"/>
    <row r="44207" s="12" customFormat="1" x14ac:dyDescent="0.25"/>
    <row r="44208" s="12" customFormat="1" x14ac:dyDescent="0.25"/>
    <row r="44209" s="12" customFormat="1" x14ac:dyDescent="0.25"/>
    <row r="44210" s="12" customFormat="1" x14ac:dyDescent="0.25"/>
    <row r="44211" s="12" customFormat="1" x14ac:dyDescent="0.25"/>
    <row r="44212" s="12" customFormat="1" x14ac:dyDescent="0.25"/>
    <row r="44213" s="12" customFormat="1" x14ac:dyDescent="0.25"/>
    <row r="44214" s="12" customFormat="1" x14ac:dyDescent="0.25"/>
    <row r="44215" s="12" customFormat="1" x14ac:dyDescent="0.25"/>
    <row r="44216" s="12" customFormat="1" x14ac:dyDescent="0.25"/>
    <row r="44217" s="12" customFormat="1" x14ac:dyDescent="0.25"/>
    <row r="44218" s="12" customFormat="1" x14ac:dyDescent="0.25"/>
    <row r="44219" s="12" customFormat="1" x14ac:dyDescent="0.25"/>
    <row r="44220" s="12" customFormat="1" x14ac:dyDescent="0.25"/>
    <row r="44221" s="12" customFormat="1" x14ac:dyDescent="0.25"/>
    <row r="44222" s="12" customFormat="1" x14ac:dyDescent="0.25"/>
    <row r="44223" s="12" customFormat="1" x14ac:dyDescent="0.25"/>
    <row r="44224" s="12" customFormat="1" x14ac:dyDescent="0.25"/>
    <row r="44225" s="12" customFormat="1" x14ac:dyDescent="0.25"/>
    <row r="44226" s="12" customFormat="1" x14ac:dyDescent="0.25"/>
    <row r="44227" s="12" customFormat="1" x14ac:dyDescent="0.25"/>
    <row r="44228" s="12" customFormat="1" x14ac:dyDescent="0.25"/>
    <row r="44229" s="12" customFormat="1" x14ac:dyDescent="0.25"/>
    <row r="44230" s="12" customFormat="1" x14ac:dyDescent="0.25"/>
    <row r="44231" s="12" customFormat="1" x14ac:dyDescent="0.25"/>
    <row r="44232" s="12" customFormat="1" x14ac:dyDescent="0.25"/>
    <row r="44233" s="12" customFormat="1" x14ac:dyDescent="0.25"/>
    <row r="44234" s="12" customFormat="1" x14ac:dyDescent="0.25"/>
    <row r="44235" s="12" customFormat="1" x14ac:dyDescent="0.25"/>
    <row r="44236" s="12" customFormat="1" x14ac:dyDescent="0.25"/>
    <row r="44237" s="12" customFormat="1" x14ac:dyDescent="0.25"/>
    <row r="44238" s="12" customFormat="1" x14ac:dyDescent="0.25"/>
    <row r="44239" s="12" customFormat="1" x14ac:dyDescent="0.25"/>
    <row r="44240" s="12" customFormat="1" x14ac:dyDescent="0.25"/>
    <row r="44241" s="12" customFormat="1" x14ac:dyDescent="0.25"/>
    <row r="44242" s="12" customFormat="1" x14ac:dyDescent="0.25"/>
    <row r="44243" s="12" customFormat="1" x14ac:dyDescent="0.25"/>
    <row r="44244" s="12" customFormat="1" x14ac:dyDescent="0.25"/>
    <row r="44245" s="12" customFormat="1" x14ac:dyDescent="0.25"/>
    <row r="44246" s="12" customFormat="1" x14ac:dyDescent="0.25"/>
    <row r="44247" s="12" customFormat="1" x14ac:dyDescent="0.25"/>
    <row r="44248" s="12" customFormat="1" x14ac:dyDescent="0.25"/>
    <row r="44249" s="12" customFormat="1" x14ac:dyDescent="0.25"/>
    <row r="44250" s="12" customFormat="1" x14ac:dyDescent="0.25"/>
    <row r="44251" s="12" customFormat="1" x14ac:dyDescent="0.25"/>
    <row r="44252" s="12" customFormat="1" x14ac:dyDescent="0.25"/>
    <row r="44253" s="12" customFormat="1" x14ac:dyDescent="0.25"/>
    <row r="44254" s="12" customFormat="1" x14ac:dyDescent="0.25"/>
    <row r="44255" s="12" customFormat="1" x14ac:dyDescent="0.25"/>
    <row r="44256" s="12" customFormat="1" x14ac:dyDescent="0.25"/>
    <row r="44257" s="12" customFormat="1" x14ac:dyDescent="0.25"/>
    <row r="44258" s="12" customFormat="1" x14ac:dyDescent="0.25"/>
    <row r="44259" s="12" customFormat="1" x14ac:dyDescent="0.25"/>
    <row r="44260" s="12" customFormat="1" x14ac:dyDescent="0.25"/>
    <row r="44261" s="12" customFormat="1" x14ac:dyDescent="0.25"/>
    <row r="44262" s="12" customFormat="1" x14ac:dyDescent="0.25"/>
    <row r="44263" s="12" customFormat="1" x14ac:dyDescent="0.25"/>
    <row r="44264" s="12" customFormat="1" x14ac:dyDescent="0.25"/>
    <row r="44265" s="12" customFormat="1" x14ac:dyDescent="0.25"/>
    <row r="44266" s="12" customFormat="1" x14ac:dyDescent="0.25"/>
    <row r="44267" s="12" customFormat="1" x14ac:dyDescent="0.25"/>
    <row r="44268" s="12" customFormat="1" x14ac:dyDescent="0.25"/>
    <row r="44269" s="12" customFormat="1" x14ac:dyDescent="0.25"/>
    <row r="44270" s="12" customFormat="1" x14ac:dyDescent="0.25"/>
    <row r="44271" s="12" customFormat="1" x14ac:dyDescent="0.25"/>
    <row r="44272" s="12" customFormat="1" x14ac:dyDescent="0.25"/>
    <row r="44273" s="12" customFormat="1" x14ac:dyDescent="0.25"/>
    <row r="44274" s="12" customFormat="1" x14ac:dyDescent="0.25"/>
    <row r="44275" s="12" customFormat="1" x14ac:dyDescent="0.25"/>
    <row r="44276" s="12" customFormat="1" x14ac:dyDescent="0.25"/>
    <row r="44277" s="12" customFormat="1" x14ac:dyDescent="0.25"/>
    <row r="44278" s="12" customFormat="1" x14ac:dyDescent="0.25"/>
    <row r="44279" s="12" customFormat="1" x14ac:dyDescent="0.25"/>
    <row r="44280" s="12" customFormat="1" x14ac:dyDescent="0.25"/>
    <row r="44281" s="12" customFormat="1" x14ac:dyDescent="0.25"/>
    <row r="44282" s="12" customFormat="1" x14ac:dyDescent="0.25"/>
    <row r="44283" s="12" customFormat="1" x14ac:dyDescent="0.25"/>
    <row r="44284" s="12" customFormat="1" x14ac:dyDescent="0.25"/>
    <row r="44285" s="12" customFormat="1" x14ac:dyDescent="0.25"/>
    <row r="44286" s="12" customFormat="1" x14ac:dyDescent="0.25"/>
    <row r="44287" s="12" customFormat="1" x14ac:dyDescent="0.25"/>
    <row r="44288" s="12" customFormat="1" x14ac:dyDescent="0.25"/>
    <row r="44289" s="12" customFormat="1" x14ac:dyDescent="0.25"/>
    <row r="44290" s="12" customFormat="1" x14ac:dyDescent="0.25"/>
    <row r="44291" s="12" customFormat="1" x14ac:dyDescent="0.25"/>
    <row r="44292" s="12" customFormat="1" x14ac:dyDescent="0.25"/>
    <row r="44293" s="12" customFormat="1" x14ac:dyDescent="0.25"/>
    <row r="44294" s="12" customFormat="1" x14ac:dyDescent="0.25"/>
    <row r="44295" s="12" customFormat="1" x14ac:dyDescent="0.25"/>
    <row r="44296" s="12" customFormat="1" x14ac:dyDescent="0.25"/>
    <row r="44297" s="12" customFormat="1" x14ac:dyDescent="0.25"/>
    <row r="44298" s="12" customFormat="1" x14ac:dyDescent="0.25"/>
    <row r="44299" s="12" customFormat="1" x14ac:dyDescent="0.25"/>
    <row r="44300" s="12" customFormat="1" x14ac:dyDescent="0.25"/>
    <row r="44301" s="12" customFormat="1" x14ac:dyDescent="0.25"/>
    <row r="44302" s="12" customFormat="1" x14ac:dyDescent="0.25"/>
    <row r="44303" s="12" customFormat="1" x14ac:dyDescent="0.25"/>
    <row r="44304" s="12" customFormat="1" x14ac:dyDescent="0.25"/>
    <row r="44305" s="12" customFormat="1" x14ac:dyDescent="0.25"/>
    <row r="44306" s="12" customFormat="1" x14ac:dyDescent="0.25"/>
    <row r="44307" s="12" customFormat="1" x14ac:dyDescent="0.25"/>
    <row r="44308" s="12" customFormat="1" x14ac:dyDescent="0.25"/>
    <row r="44309" s="12" customFormat="1" x14ac:dyDescent="0.25"/>
    <row r="44310" s="12" customFormat="1" x14ac:dyDescent="0.25"/>
    <row r="44311" s="12" customFormat="1" x14ac:dyDescent="0.25"/>
    <row r="44312" s="12" customFormat="1" x14ac:dyDescent="0.25"/>
    <row r="44313" s="12" customFormat="1" x14ac:dyDescent="0.25"/>
    <row r="44314" s="12" customFormat="1" x14ac:dyDescent="0.25"/>
    <row r="44315" s="12" customFormat="1" x14ac:dyDescent="0.25"/>
    <row r="44316" s="12" customFormat="1" x14ac:dyDescent="0.25"/>
    <row r="44317" s="12" customFormat="1" x14ac:dyDescent="0.25"/>
    <row r="44318" s="12" customFormat="1" x14ac:dyDescent="0.25"/>
    <row r="44319" s="12" customFormat="1" x14ac:dyDescent="0.25"/>
    <row r="44320" s="12" customFormat="1" x14ac:dyDescent="0.25"/>
    <row r="44321" s="12" customFormat="1" x14ac:dyDescent="0.25"/>
    <row r="44322" s="12" customFormat="1" x14ac:dyDescent="0.25"/>
    <row r="44323" s="12" customFormat="1" x14ac:dyDescent="0.25"/>
    <row r="44324" s="12" customFormat="1" x14ac:dyDescent="0.25"/>
    <row r="44325" s="12" customFormat="1" x14ac:dyDescent="0.25"/>
    <row r="44326" s="12" customFormat="1" x14ac:dyDescent="0.25"/>
    <row r="44327" s="12" customFormat="1" x14ac:dyDescent="0.25"/>
    <row r="44328" s="12" customFormat="1" x14ac:dyDescent="0.25"/>
    <row r="44329" s="12" customFormat="1" x14ac:dyDescent="0.25"/>
    <row r="44330" s="12" customFormat="1" x14ac:dyDescent="0.25"/>
    <row r="44331" s="12" customFormat="1" x14ac:dyDescent="0.25"/>
    <row r="44332" s="12" customFormat="1" x14ac:dyDescent="0.25"/>
    <row r="44333" s="12" customFormat="1" x14ac:dyDescent="0.25"/>
    <row r="44334" s="12" customFormat="1" x14ac:dyDescent="0.25"/>
    <row r="44335" s="12" customFormat="1" x14ac:dyDescent="0.25"/>
    <row r="44336" s="12" customFormat="1" x14ac:dyDescent="0.25"/>
    <row r="44337" s="12" customFormat="1" x14ac:dyDescent="0.25"/>
    <row r="44338" s="12" customFormat="1" x14ac:dyDescent="0.25"/>
    <row r="44339" s="12" customFormat="1" x14ac:dyDescent="0.25"/>
    <row r="44340" s="12" customFormat="1" x14ac:dyDescent="0.25"/>
    <row r="44341" s="12" customFormat="1" x14ac:dyDescent="0.25"/>
    <row r="44342" s="12" customFormat="1" x14ac:dyDescent="0.25"/>
    <row r="44343" s="12" customFormat="1" x14ac:dyDescent="0.25"/>
    <row r="44344" s="12" customFormat="1" x14ac:dyDescent="0.25"/>
    <row r="44345" s="12" customFormat="1" x14ac:dyDescent="0.25"/>
    <row r="44346" s="12" customFormat="1" x14ac:dyDescent="0.25"/>
    <row r="44347" s="12" customFormat="1" x14ac:dyDescent="0.25"/>
    <row r="44348" s="12" customFormat="1" x14ac:dyDescent="0.25"/>
    <row r="44349" s="12" customFormat="1" x14ac:dyDescent="0.25"/>
    <row r="44350" s="12" customFormat="1" x14ac:dyDescent="0.25"/>
    <row r="44351" s="12" customFormat="1" x14ac:dyDescent="0.25"/>
    <row r="44352" s="12" customFormat="1" x14ac:dyDescent="0.25"/>
    <row r="44353" s="12" customFormat="1" x14ac:dyDescent="0.25"/>
    <row r="44354" s="12" customFormat="1" x14ac:dyDescent="0.25"/>
    <row r="44355" s="12" customFormat="1" x14ac:dyDescent="0.25"/>
    <row r="44356" s="12" customFormat="1" x14ac:dyDescent="0.25"/>
    <row r="44357" s="12" customFormat="1" x14ac:dyDescent="0.25"/>
    <row r="44358" s="12" customFormat="1" x14ac:dyDescent="0.25"/>
    <row r="44359" s="12" customFormat="1" x14ac:dyDescent="0.25"/>
    <row r="44360" s="12" customFormat="1" x14ac:dyDescent="0.25"/>
    <row r="44361" s="12" customFormat="1" x14ac:dyDescent="0.25"/>
    <row r="44362" s="12" customFormat="1" x14ac:dyDescent="0.25"/>
    <row r="44363" s="12" customFormat="1" x14ac:dyDescent="0.25"/>
    <row r="44364" s="12" customFormat="1" x14ac:dyDescent="0.25"/>
    <row r="44365" s="12" customFormat="1" x14ac:dyDescent="0.25"/>
    <row r="44366" s="12" customFormat="1" x14ac:dyDescent="0.25"/>
    <row r="44367" s="12" customFormat="1" x14ac:dyDescent="0.25"/>
    <row r="44368" s="12" customFormat="1" x14ac:dyDescent="0.25"/>
    <row r="44369" s="12" customFormat="1" x14ac:dyDescent="0.25"/>
    <row r="44370" s="12" customFormat="1" x14ac:dyDescent="0.25"/>
    <row r="44371" s="12" customFormat="1" x14ac:dyDescent="0.25"/>
    <row r="44372" s="12" customFormat="1" x14ac:dyDescent="0.25"/>
    <row r="44373" s="12" customFormat="1" x14ac:dyDescent="0.25"/>
    <row r="44374" s="12" customFormat="1" x14ac:dyDescent="0.25"/>
    <row r="44375" s="12" customFormat="1" x14ac:dyDescent="0.25"/>
    <row r="44376" s="12" customFormat="1" x14ac:dyDescent="0.25"/>
    <row r="44377" s="12" customFormat="1" x14ac:dyDescent="0.25"/>
    <row r="44378" s="12" customFormat="1" x14ac:dyDescent="0.25"/>
    <row r="44379" s="12" customFormat="1" x14ac:dyDescent="0.25"/>
    <row r="44380" s="12" customFormat="1" x14ac:dyDescent="0.25"/>
    <row r="44381" s="12" customFormat="1" x14ac:dyDescent="0.25"/>
    <row r="44382" s="12" customFormat="1" x14ac:dyDescent="0.25"/>
    <row r="44383" s="12" customFormat="1" x14ac:dyDescent="0.25"/>
    <row r="44384" s="12" customFormat="1" x14ac:dyDescent="0.25"/>
    <row r="44385" s="12" customFormat="1" x14ac:dyDescent="0.25"/>
    <row r="44386" s="12" customFormat="1" x14ac:dyDescent="0.25"/>
    <row r="44387" s="12" customFormat="1" x14ac:dyDescent="0.25"/>
    <row r="44388" s="12" customFormat="1" x14ac:dyDescent="0.25"/>
    <row r="44389" s="12" customFormat="1" x14ac:dyDescent="0.25"/>
    <row r="44390" s="12" customFormat="1" x14ac:dyDescent="0.25"/>
    <row r="44391" s="12" customFormat="1" x14ac:dyDescent="0.25"/>
    <row r="44392" s="12" customFormat="1" x14ac:dyDescent="0.25"/>
    <row r="44393" s="12" customFormat="1" x14ac:dyDescent="0.25"/>
    <row r="44394" s="12" customFormat="1" x14ac:dyDescent="0.25"/>
    <row r="44395" s="12" customFormat="1" x14ac:dyDescent="0.25"/>
    <row r="44396" s="12" customFormat="1" x14ac:dyDescent="0.25"/>
    <row r="44397" s="12" customFormat="1" x14ac:dyDescent="0.25"/>
    <row r="44398" s="12" customFormat="1" x14ac:dyDescent="0.25"/>
    <row r="44399" s="12" customFormat="1" x14ac:dyDescent="0.25"/>
    <row r="44400" s="12" customFormat="1" x14ac:dyDescent="0.25"/>
    <row r="44401" s="12" customFormat="1" x14ac:dyDescent="0.25"/>
    <row r="44402" s="12" customFormat="1" x14ac:dyDescent="0.25"/>
    <row r="44403" s="12" customFormat="1" x14ac:dyDescent="0.25"/>
    <row r="44404" s="12" customFormat="1" x14ac:dyDescent="0.25"/>
    <row r="44405" s="12" customFormat="1" x14ac:dyDescent="0.25"/>
    <row r="44406" s="12" customFormat="1" x14ac:dyDescent="0.25"/>
    <row r="44407" s="12" customFormat="1" x14ac:dyDescent="0.25"/>
    <row r="44408" s="12" customFormat="1" x14ac:dyDescent="0.25"/>
    <row r="44409" s="12" customFormat="1" x14ac:dyDescent="0.25"/>
    <row r="44410" s="12" customFormat="1" x14ac:dyDescent="0.25"/>
    <row r="44411" s="12" customFormat="1" x14ac:dyDescent="0.25"/>
    <row r="44412" s="12" customFormat="1" x14ac:dyDescent="0.25"/>
    <row r="44413" s="12" customFormat="1" x14ac:dyDescent="0.25"/>
    <row r="44414" s="12" customFormat="1" x14ac:dyDescent="0.25"/>
    <row r="44415" s="12" customFormat="1" x14ac:dyDescent="0.25"/>
    <row r="44416" s="12" customFormat="1" x14ac:dyDescent="0.25"/>
    <row r="44417" s="12" customFormat="1" x14ac:dyDescent="0.25"/>
    <row r="44418" s="12" customFormat="1" x14ac:dyDescent="0.25"/>
    <row r="44419" s="12" customFormat="1" x14ac:dyDescent="0.25"/>
    <row r="44420" s="12" customFormat="1" x14ac:dyDescent="0.25"/>
    <row r="44421" s="12" customFormat="1" x14ac:dyDescent="0.25"/>
    <row r="44422" s="12" customFormat="1" x14ac:dyDescent="0.25"/>
    <row r="44423" s="12" customFormat="1" x14ac:dyDescent="0.25"/>
    <row r="44424" s="12" customFormat="1" x14ac:dyDescent="0.25"/>
    <row r="44425" s="12" customFormat="1" x14ac:dyDescent="0.25"/>
    <row r="44426" s="12" customFormat="1" x14ac:dyDescent="0.25"/>
    <row r="44427" s="12" customFormat="1" x14ac:dyDescent="0.25"/>
    <row r="44428" s="12" customFormat="1" x14ac:dyDescent="0.25"/>
    <row r="44429" s="12" customFormat="1" x14ac:dyDescent="0.25"/>
    <row r="44430" s="12" customFormat="1" x14ac:dyDescent="0.25"/>
    <row r="44431" s="12" customFormat="1" x14ac:dyDescent="0.25"/>
    <row r="44432" s="12" customFormat="1" x14ac:dyDescent="0.25"/>
    <row r="44433" s="12" customFormat="1" x14ac:dyDescent="0.25"/>
    <row r="44434" s="12" customFormat="1" x14ac:dyDescent="0.25"/>
    <row r="44435" s="12" customFormat="1" x14ac:dyDescent="0.25"/>
    <row r="44436" s="12" customFormat="1" x14ac:dyDescent="0.25"/>
    <row r="44437" s="12" customFormat="1" x14ac:dyDescent="0.25"/>
    <row r="44438" s="12" customFormat="1" x14ac:dyDescent="0.25"/>
    <row r="44439" s="12" customFormat="1" x14ac:dyDescent="0.25"/>
    <row r="44440" s="12" customFormat="1" x14ac:dyDescent="0.25"/>
    <row r="44441" s="12" customFormat="1" x14ac:dyDescent="0.25"/>
    <row r="44442" s="12" customFormat="1" x14ac:dyDescent="0.25"/>
    <row r="44443" s="12" customFormat="1" x14ac:dyDescent="0.25"/>
    <row r="44444" s="12" customFormat="1" x14ac:dyDescent="0.25"/>
    <row r="44445" s="12" customFormat="1" x14ac:dyDescent="0.25"/>
    <row r="44446" s="12" customFormat="1" x14ac:dyDescent="0.25"/>
    <row r="44447" s="12" customFormat="1" x14ac:dyDescent="0.25"/>
    <row r="44448" s="12" customFormat="1" x14ac:dyDescent="0.25"/>
    <row r="44449" s="12" customFormat="1" x14ac:dyDescent="0.25"/>
    <row r="44450" s="12" customFormat="1" x14ac:dyDescent="0.25"/>
    <row r="44451" s="12" customFormat="1" x14ac:dyDescent="0.25"/>
    <row r="44452" s="12" customFormat="1" x14ac:dyDescent="0.25"/>
    <row r="44453" s="12" customFormat="1" x14ac:dyDescent="0.25"/>
    <row r="44454" s="12" customFormat="1" x14ac:dyDescent="0.25"/>
    <row r="44455" s="12" customFormat="1" x14ac:dyDescent="0.25"/>
    <row r="44456" s="12" customFormat="1" x14ac:dyDescent="0.25"/>
    <row r="44457" s="12" customFormat="1" x14ac:dyDescent="0.25"/>
    <row r="44458" s="12" customFormat="1" x14ac:dyDescent="0.25"/>
    <row r="44459" s="12" customFormat="1" x14ac:dyDescent="0.25"/>
    <row r="44460" s="12" customFormat="1" x14ac:dyDescent="0.25"/>
    <row r="44461" s="12" customFormat="1" x14ac:dyDescent="0.25"/>
    <row r="44462" s="12" customFormat="1" x14ac:dyDescent="0.25"/>
    <row r="44463" s="12" customFormat="1" x14ac:dyDescent="0.25"/>
    <row r="44464" s="12" customFormat="1" x14ac:dyDescent="0.25"/>
    <row r="44465" s="12" customFormat="1" x14ac:dyDescent="0.25"/>
    <row r="44466" s="12" customFormat="1" x14ac:dyDescent="0.25"/>
    <row r="44467" s="12" customFormat="1" x14ac:dyDescent="0.25"/>
    <row r="44468" s="12" customFormat="1" x14ac:dyDescent="0.25"/>
    <row r="44469" s="12" customFormat="1" x14ac:dyDescent="0.25"/>
    <row r="44470" s="12" customFormat="1" x14ac:dyDescent="0.25"/>
    <row r="44471" s="12" customFormat="1" x14ac:dyDescent="0.25"/>
    <row r="44472" s="12" customFormat="1" x14ac:dyDescent="0.25"/>
    <row r="44473" s="12" customFormat="1" x14ac:dyDescent="0.25"/>
    <row r="44474" s="12" customFormat="1" x14ac:dyDescent="0.25"/>
    <row r="44475" s="12" customFormat="1" x14ac:dyDescent="0.25"/>
    <row r="44476" s="12" customFormat="1" x14ac:dyDescent="0.25"/>
    <row r="44477" s="12" customFormat="1" x14ac:dyDescent="0.25"/>
    <row r="44478" s="12" customFormat="1" x14ac:dyDescent="0.25"/>
    <row r="44479" s="12" customFormat="1" x14ac:dyDescent="0.25"/>
    <row r="44480" s="12" customFormat="1" x14ac:dyDescent="0.25"/>
    <row r="44481" s="12" customFormat="1" x14ac:dyDescent="0.25"/>
    <row r="44482" s="12" customFormat="1" x14ac:dyDescent="0.25"/>
    <row r="44483" s="12" customFormat="1" x14ac:dyDescent="0.25"/>
    <row r="44484" s="12" customFormat="1" x14ac:dyDescent="0.25"/>
    <row r="44485" s="12" customFormat="1" x14ac:dyDescent="0.25"/>
    <row r="44486" s="12" customFormat="1" x14ac:dyDescent="0.25"/>
    <row r="44487" s="12" customFormat="1" x14ac:dyDescent="0.25"/>
    <row r="44488" s="12" customFormat="1" x14ac:dyDescent="0.25"/>
    <row r="44489" s="12" customFormat="1" x14ac:dyDescent="0.25"/>
    <row r="44490" s="12" customFormat="1" x14ac:dyDescent="0.25"/>
    <row r="44491" s="12" customFormat="1" x14ac:dyDescent="0.25"/>
    <row r="44492" s="12" customFormat="1" x14ac:dyDescent="0.25"/>
    <row r="44493" s="12" customFormat="1" x14ac:dyDescent="0.25"/>
    <row r="44494" s="12" customFormat="1" x14ac:dyDescent="0.25"/>
    <row r="44495" s="12" customFormat="1" x14ac:dyDescent="0.25"/>
    <row r="44496" s="12" customFormat="1" x14ac:dyDescent="0.25"/>
    <row r="44497" s="12" customFormat="1" x14ac:dyDescent="0.25"/>
    <row r="44498" s="12" customFormat="1" x14ac:dyDescent="0.25"/>
    <row r="44499" s="12" customFormat="1" x14ac:dyDescent="0.25"/>
    <row r="44500" s="12" customFormat="1" x14ac:dyDescent="0.25"/>
    <row r="44501" s="12" customFormat="1" x14ac:dyDescent="0.25"/>
    <row r="44502" s="12" customFormat="1" x14ac:dyDescent="0.25"/>
    <row r="44503" s="12" customFormat="1" x14ac:dyDescent="0.25"/>
    <row r="44504" s="12" customFormat="1" x14ac:dyDescent="0.25"/>
    <row r="44505" s="12" customFormat="1" x14ac:dyDescent="0.25"/>
    <row r="44506" s="12" customFormat="1" x14ac:dyDescent="0.25"/>
    <row r="44507" s="12" customFormat="1" x14ac:dyDescent="0.25"/>
    <row r="44508" s="12" customFormat="1" x14ac:dyDescent="0.25"/>
    <row r="44509" s="12" customFormat="1" x14ac:dyDescent="0.25"/>
    <row r="44510" s="12" customFormat="1" x14ac:dyDescent="0.25"/>
    <row r="44511" s="12" customFormat="1" x14ac:dyDescent="0.25"/>
    <row r="44512" s="12" customFormat="1" x14ac:dyDescent="0.25"/>
    <row r="44513" s="12" customFormat="1" x14ac:dyDescent="0.25"/>
    <row r="44514" s="12" customFormat="1" x14ac:dyDescent="0.25"/>
    <row r="44515" s="12" customFormat="1" x14ac:dyDescent="0.25"/>
    <row r="44516" s="12" customFormat="1" x14ac:dyDescent="0.25"/>
    <row r="44517" s="12" customFormat="1" x14ac:dyDescent="0.25"/>
    <row r="44518" s="12" customFormat="1" x14ac:dyDescent="0.25"/>
    <row r="44519" s="12" customFormat="1" x14ac:dyDescent="0.25"/>
    <row r="44520" s="12" customFormat="1" x14ac:dyDescent="0.25"/>
    <row r="44521" s="12" customFormat="1" x14ac:dyDescent="0.25"/>
    <row r="44522" s="12" customFormat="1" x14ac:dyDescent="0.25"/>
    <row r="44523" s="12" customFormat="1" x14ac:dyDescent="0.25"/>
    <row r="44524" s="12" customFormat="1" x14ac:dyDescent="0.25"/>
    <row r="44525" s="12" customFormat="1" x14ac:dyDescent="0.25"/>
    <row r="44526" s="12" customFormat="1" x14ac:dyDescent="0.25"/>
    <row r="44527" s="12" customFormat="1" x14ac:dyDescent="0.25"/>
    <row r="44528" s="12" customFormat="1" x14ac:dyDescent="0.25"/>
    <row r="44529" s="12" customFormat="1" x14ac:dyDescent="0.25"/>
    <row r="44530" s="12" customFormat="1" x14ac:dyDescent="0.25"/>
    <row r="44531" s="12" customFormat="1" x14ac:dyDescent="0.25"/>
    <row r="44532" s="12" customFormat="1" x14ac:dyDescent="0.25"/>
    <row r="44533" s="12" customFormat="1" x14ac:dyDescent="0.25"/>
    <row r="44534" s="12" customFormat="1" x14ac:dyDescent="0.25"/>
    <row r="44535" s="12" customFormat="1" x14ac:dyDescent="0.25"/>
    <row r="44536" s="12" customFormat="1" x14ac:dyDescent="0.25"/>
    <row r="44537" s="12" customFormat="1" x14ac:dyDescent="0.25"/>
    <row r="44538" s="12" customFormat="1" x14ac:dyDescent="0.25"/>
    <row r="44539" s="12" customFormat="1" x14ac:dyDescent="0.25"/>
    <row r="44540" s="12" customFormat="1" x14ac:dyDescent="0.25"/>
    <row r="44541" s="12" customFormat="1" x14ac:dyDescent="0.25"/>
    <row r="44542" s="12" customFormat="1" x14ac:dyDescent="0.25"/>
    <row r="44543" s="12" customFormat="1" x14ac:dyDescent="0.25"/>
    <row r="44544" s="12" customFormat="1" x14ac:dyDescent="0.25"/>
    <row r="44545" s="12" customFormat="1" x14ac:dyDescent="0.25"/>
    <row r="44546" s="12" customFormat="1" x14ac:dyDescent="0.25"/>
    <row r="44547" s="12" customFormat="1" x14ac:dyDescent="0.25"/>
    <row r="44548" s="12" customFormat="1" x14ac:dyDescent="0.25"/>
    <row r="44549" s="12" customFormat="1" x14ac:dyDescent="0.25"/>
    <row r="44550" s="12" customFormat="1" x14ac:dyDescent="0.25"/>
    <row r="44551" s="12" customFormat="1" x14ac:dyDescent="0.25"/>
    <row r="44552" s="12" customFormat="1" x14ac:dyDescent="0.25"/>
    <row r="44553" s="12" customFormat="1" x14ac:dyDescent="0.25"/>
    <row r="44554" s="12" customFormat="1" x14ac:dyDescent="0.25"/>
    <row r="44555" s="12" customFormat="1" x14ac:dyDescent="0.25"/>
    <row r="44556" s="12" customFormat="1" x14ac:dyDescent="0.25"/>
    <row r="44557" s="12" customFormat="1" x14ac:dyDescent="0.25"/>
    <row r="44558" s="12" customFormat="1" x14ac:dyDescent="0.25"/>
    <row r="44559" s="12" customFormat="1" x14ac:dyDescent="0.25"/>
    <row r="44560" s="12" customFormat="1" x14ac:dyDescent="0.25"/>
    <row r="44561" s="12" customFormat="1" x14ac:dyDescent="0.25"/>
    <row r="44562" s="12" customFormat="1" x14ac:dyDescent="0.25"/>
    <row r="44563" s="12" customFormat="1" x14ac:dyDescent="0.25"/>
    <row r="44564" s="12" customFormat="1" x14ac:dyDescent="0.25"/>
    <row r="44565" s="12" customFormat="1" x14ac:dyDescent="0.25"/>
    <row r="44566" s="12" customFormat="1" x14ac:dyDescent="0.25"/>
    <row r="44567" s="12" customFormat="1" x14ac:dyDescent="0.25"/>
    <row r="44568" s="12" customFormat="1" x14ac:dyDescent="0.25"/>
    <row r="44569" s="12" customFormat="1" x14ac:dyDescent="0.25"/>
    <row r="44570" s="12" customFormat="1" x14ac:dyDescent="0.25"/>
    <row r="44571" s="12" customFormat="1" x14ac:dyDescent="0.25"/>
    <row r="44572" s="12" customFormat="1" x14ac:dyDescent="0.25"/>
    <row r="44573" s="12" customFormat="1" x14ac:dyDescent="0.25"/>
    <row r="44574" s="12" customFormat="1" x14ac:dyDescent="0.25"/>
    <row r="44575" s="12" customFormat="1" x14ac:dyDescent="0.25"/>
    <row r="44576" s="12" customFormat="1" x14ac:dyDescent="0.25"/>
    <row r="44577" s="12" customFormat="1" x14ac:dyDescent="0.25"/>
    <row r="44578" s="12" customFormat="1" x14ac:dyDescent="0.25"/>
    <row r="44579" s="12" customFormat="1" x14ac:dyDescent="0.25"/>
    <row r="44580" s="12" customFormat="1" x14ac:dyDescent="0.25"/>
    <row r="44581" s="12" customFormat="1" x14ac:dyDescent="0.25"/>
    <row r="44582" s="12" customFormat="1" x14ac:dyDescent="0.25"/>
    <row r="44583" s="12" customFormat="1" x14ac:dyDescent="0.25"/>
    <row r="44584" s="12" customFormat="1" x14ac:dyDescent="0.25"/>
    <row r="44585" s="12" customFormat="1" x14ac:dyDescent="0.25"/>
    <row r="44586" s="12" customFormat="1" x14ac:dyDescent="0.25"/>
    <row r="44587" s="12" customFormat="1" x14ac:dyDescent="0.25"/>
    <row r="44588" s="12" customFormat="1" x14ac:dyDescent="0.25"/>
    <row r="44589" s="12" customFormat="1" x14ac:dyDescent="0.25"/>
    <row r="44590" s="12" customFormat="1" x14ac:dyDescent="0.25"/>
    <row r="44591" s="12" customFormat="1" x14ac:dyDescent="0.25"/>
    <row r="44592" s="12" customFormat="1" x14ac:dyDescent="0.25"/>
    <row r="44593" s="12" customFormat="1" x14ac:dyDescent="0.25"/>
    <row r="44594" s="12" customFormat="1" x14ac:dyDescent="0.25"/>
    <row r="44595" s="12" customFormat="1" x14ac:dyDescent="0.25"/>
    <row r="44596" s="12" customFormat="1" x14ac:dyDescent="0.25"/>
    <row r="44597" s="12" customFormat="1" x14ac:dyDescent="0.25"/>
    <row r="44598" s="12" customFormat="1" x14ac:dyDescent="0.25"/>
    <row r="44599" s="12" customFormat="1" x14ac:dyDescent="0.25"/>
    <row r="44600" s="12" customFormat="1" x14ac:dyDescent="0.25"/>
    <row r="44601" s="12" customFormat="1" x14ac:dyDescent="0.25"/>
    <row r="44602" s="12" customFormat="1" x14ac:dyDescent="0.25"/>
    <row r="44603" s="12" customFormat="1" x14ac:dyDescent="0.25"/>
    <row r="44604" s="12" customFormat="1" x14ac:dyDescent="0.25"/>
    <row r="44605" s="12" customFormat="1" x14ac:dyDescent="0.25"/>
    <row r="44606" s="12" customFormat="1" x14ac:dyDescent="0.25"/>
    <row r="44607" s="12" customFormat="1" x14ac:dyDescent="0.25"/>
    <row r="44608" s="12" customFormat="1" x14ac:dyDescent="0.25"/>
    <row r="44609" s="12" customFormat="1" x14ac:dyDescent="0.25"/>
    <row r="44610" s="12" customFormat="1" x14ac:dyDescent="0.25"/>
    <row r="44611" s="12" customFormat="1" x14ac:dyDescent="0.25"/>
    <row r="44612" s="12" customFormat="1" x14ac:dyDescent="0.25"/>
    <row r="44613" s="12" customFormat="1" x14ac:dyDescent="0.25"/>
    <row r="44614" s="12" customFormat="1" x14ac:dyDescent="0.25"/>
    <row r="44615" s="12" customFormat="1" x14ac:dyDescent="0.25"/>
    <row r="44616" s="12" customFormat="1" x14ac:dyDescent="0.25"/>
    <row r="44617" s="12" customFormat="1" x14ac:dyDescent="0.25"/>
    <row r="44618" s="12" customFormat="1" x14ac:dyDescent="0.25"/>
    <row r="44619" s="12" customFormat="1" x14ac:dyDescent="0.25"/>
    <row r="44620" s="12" customFormat="1" x14ac:dyDescent="0.25"/>
    <row r="44621" s="12" customFormat="1" x14ac:dyDescent="0.25"/>
    <row r="44622" s="12" customFormat="1" x14ac:dyDescent="0.25"/>
    <row r="44623" s="12" customFormat="1" x14ac:dyDescent="0.25"/>
    <row r="44624" s="12" customFormat="1" x14ac:dyDescent="0.25"/>
    <row r="44625" s="12" customFormat="1" x14ac:dyDescent="0.25"/>
    <row r="44626" s="12" customFormat="1" x14ac:dyDescent="0.25"/>
    <row r="44627" s="12" customFormat="1" x14ac:dyDescent="0.25"/>
    <row r="44628" s="12" customFormat="1" x14ac:dyDescent="0.25"/>
    <row r="44629" s="12" customFormat="1" x14ac:dyDescent="0.25"/>
    <row r="44630" s="12" customFormat="1" x14ac:dyDescent="0.25"/>
    <row r="44631" s="12" customFormat="1" x14ac:dyDescent="0.25"/>
    <row r="44632" s="12" customFormat="1" x14ac:dyDescent="0.25"/>
    <row r="44633" s="12" customFormat="1" x14ac:dyDescent="0.25"/>
    <row r="44634" s="12" customFormat="1" x14ac:dyDescent="0.25"/>
    <row r="44635" s="12" customFormat="1" x14ac:dyDescent="0.25"/>
    <row r="44636" s="12" customFormat="1" x14ac:dyDescent="0.25"/>
    <row r="44637" s="12" customFormat="1" x14ac:dyDescent="0.25"/>
    <row r="44638" s="12" customFormat="1" x14ac:dyDescent="0.25"/>
    <row r="44639" s="12" customFormat="1" x14ac:dyDescent="0.25"/>
    <row r="44640" s="12" customFormat="1" x14ac:dyDescent="0.25"/>
    <row r="44641" s="12" customFormat="1" x14ac:dyDescent="0.25"/>
    <row r="44642" s="12" customFormat="1" x14ac:dyDescent="0.25"/>
    <row r="44643" s="12" customFormat="1" x14ac:dyDescent="0.25"/>
    <row r="44644" s="12" customFormat="1" x14ac:dyDescent="0.25"/>
    <row r="44645" s="12" customFormat="1" x14ac:dyDescent="0.25"/>
    <row r="44646" s="12" customFormat="1" x14ac:dyDescent="0.25"/>
    <row r="44647" s="12" customFormat="1" x14ac:dyDescent="0.25"/>
    <row r="44648" s="12" customFormat="1" x14ac:dyDescent="0.25"/>
    <row r="44649" s="12" customFormat="1" x14ac:dyDescent="0.25"/>
    <row r="44650" s="12" customFormat="1" x14ac:dyDescent="0.25"/>
    <row r="44651" s="12" customFormat="1" x14ac:dyDescent="0.25"/>
    <row r="44652" s="12" customFormat="1" x14ac:dyDescent="0.25"/>
    <row r="44653" s="12" customFormat="1" x14ac:dyDescent="0.25"/>
    <row r="44654" s="12" customFormat="1" x14ac:dyDescent="0.25"/>
    <row r="44655" s="12" customFormat="1" x14ac:dyDescent="0.25"/>
    <row r="44656" s="12" customFormat="1" x14ac:dyDescent="0.25"/>
    <row r="44657" s="12" customFormat="1" x14ac:dyDescent="0.25"/>
    <row r="44658" s="12" customFormat="1" x14ac:dyDescent="0.25"/>
    <row r="44659" s="12" customFormat="1" x14ac:dyDescent="0.25"/>
    <row r="44660" s="12" customFormat="1" x14ac:dyDescent="0.25"/>
    <row r="44661" s="12" customFormat="1" x14ac:dyDescent="0.25"/>
    <row r="44662" s="12" customFormat="1" x14ac:dyDescent="0.25"/>
    <row r="44663" s="12" customFormat="1" x14ac:dyDescent="0.25"/>
    <row r="44664" s="12" customFormat="1" x14ac:dyDescent="0.25"/>
    <row r="44665" s="12" customFormat="1" x14ac:dyDescent="0.25"/>
    <row r="44666" s="12" customFormat="1" x14ac:dyDescent="0.25"/>
    <row r="44667" s="12" customFormat="1" x14ac:dyDescent="0.25"/>
    <row r="44668" s="12" customFormat="1" x14ac:dyDescent="0.25"/>
    <row r="44669" s="12" customFormat="1" x14ac:dyDescent="0.25"/>
    <row r="44670" s="12" customFormat="1" x14ac:dyDescent="0.25"/>
    <row r="44671" s="12" customFormat="1" x14ac:dyDescent="0.25"/>
    <row r="44672" s="12" customFormat="1" x14ac:dyDescent="0.25"/>
    <row r="44673" s="12" customFormat="1" x14ac:dyDescent="0.25"/>
    <row r="44674" s="12" customFormat="1" x14ac:dyDescent="0.25"/>
    <row r="44675" s="12" customFormat="1" x14ac:dyDescent="0.25"/>
    <row r="44676" s="12" customFormat="1" x14ac:dyDescent="0.25"/>
    <row r="44677" s="12" customFormat="1" x14ac:dyDescent="0.25"/>
    <row r="44678" s="12" customFormat="1" x14ac:dyDescent="0.25"/>
    <row r="44679" s="12" customFormat="1" x14ac:dyDescent="0.25"/>
    <row r="44680" s="12" customFormat="1" x14ac:dyDescent="0.25"/>
    <row r="44681" s="12" customFormat="1" x14ac:dyDescent="0.25"/>
    <row r="44682" s="12" customFormat="1" x14ac:dyDescent="0.25"/>
    <row r="44683" s="12" customFormat="1" x14ac:dyDescent="0.25"/>
    <row r="44684" s="12" customFormat="1" x14ac:dyDescent="0.25"/>
    <row r="44685" s="12" customFormat="1" x14ac:dyDescent="0.25"/>
    <row r="44686" s="12" customFormat="1" x14ac:dyDescent="0.25"/>
    <row r="44687" s="12" customFormat="1" x14ac:dyDescent="0.25"/>
    <row r="44688" s="12" customFormat="1" x14ac:dyDescent="0.25"/>
    <row r="44689" s="12" customFormat="1" x14ac:dyDescent="0.25"/>
    <row r="44690" s="12" customFormat="1" x14ac:dyDescent="0.25"/>
    <row r="44691" s="12" customFormat="1" x14ac:dyDescent="0.25"/>
    <row r="44692" s="12" customFormat="1" x14ac:dyDescent="0.25"/>
    <row r="44693" s="12" customFormat="1" x14ac:dyDescent="0.25"/>
    <row r="44694" s="12" customFormat="1" x14ac:dyDescent="0.25"/>
    <row r="44695" s="12" customFormat="1" x14ac:dyDescent="0.25"/>
    <row r="44696" s="12" customFormat="1" x14ac:dyDescent="0.25"/>
    <row r="44697" s="12" customFormat="1" x14ac:dyDescent="0.25"/>
    <row r="44698" s="12" customFormat="1" x14ac:dyDescent="0.25"/>
    <row r="44699" s="12" customFormat="1" x14ac:dyDescent="0.25"/>
    <row r="44700" s="12" customFormat="1" x14ac:dyDescent="0.25"/>
    <row r="44701" s="12" customFormat="1" x14ac:dyDescent="0.25"/>
    <row r="44702" s="12" customFormat="1" x14ac:dyDescent="0.25"/>
    <row r="44703" s="12" customFormat="1" x14ac:dyDescent="0.25"/>
    <row r="44704" s="12" customFormat="1" x14ac:dyDescent="0.25"/>
    <row r="44705" s="12" customFormat="1" x14ac:dyDescent="0.25"/>
    <row r="44706" s="12" customFormat="1" x14ac:dyDescent="0.25"/>
    <row r="44707" s="12" customFormat="1" x14ac:dyDescent="0.25"/>
    <row r="44708" s="12" customFormat="1" x14ac:dyDescent="0.25"/>
    <row r="44709" s="12" customFormat="1" x14ac:dyDescent="0.25"/>
    <row r="44710" s="12" customFormat="1" x14ac:dyDescent="0.25"/>
    <row r="44711" s="12" customFormat="1" x14ac:dyDescent="0.25"/>
    <row r="44712" s="12" customFormat="1" x14ac:dyDescent="0.25"/>
    <row r="44713" s="12" customFormat="1" x14ac:dyDescent="0.25"/>
    <row r="44714" s="12" customFormat="1" x14ac:dyDescent="0.25"/>
    <row r="44715" s="12" customFormat="1" x14ac:dyDescent="0.25"/>
    <row r="44716" s="12" customFormat="1" x14ac:dyDescent="0.25"/>
    <row r="44717" s="12" customFormat="1" x14ac:dyDescent="0.25"/>
    <row r="44718" s="12" customFormat="1" x14ac:dyDescent="0.25"/>
    <row r="44719" s="12" customFormat="1" x14ac:dyDescent="0.25"/>
    <row r="44720" s="12" customFormat="1" x14ac:dyDescent="0.25"/>
    <row r="44721" s="12" customFormat="1" x14ac:dyDescent="0.25"/>
    <row r="44722" s="12" customFormat="1" x14ac:dyDescent="0.25"/>
    <row r="44723" s="12" customFormat="1" x14ac:dyDescent="0.25"/>
    <row r="44724" s="12" customFormat="1" x14ac:dyDescent="0.25"/>
    <row r="44725" s="12" customFormat="1" x14ac:dyDescent="0.25"/>
    <row r="44726" s="12" customFormat="1" x14ac:dyDescent="0.25"/>
    <row r="44727" s="12" customFormat="1" x14ac:dyDescent="0.25"/>
    <row r="44728" s="12" customFormat="1" x14ac:dyDescent="0.25"/>
    <row r="44729" s="12" customFormat="1" x14ac:dyDescent="0.25"/>
    <row r="44730" s="12" customFormat="1" x14ac:dyDescent="0.25"/>
    <row r="44731" s="12" customFormat="1" x14ac:dyDescent="0.25"/>
    <row r="44732" s="12" customFormat="1" x14ac:dyDescent="0.25"/>
    <row r="44733" s="12" customFormat="1" x14ac:dyDescent="0.25"/>
    <row r="44734" s="12" customFormat="1" x14ac:dyDescent="0.25"/>
    <row r="44735" s="12" customFormat="1" x14ac:dyDescent="0.25"/>
    <row r="44736" s="12" customFormat="1" x14ac:dyDescent="0.25"/>
    <row r="44737" s="12" customFormat="1" x14ac:dyDescent="0.25"/>
    <row r="44738" s="12" customFormat="1" x14ac:dyDescent="0.25"/>
    <row r="44739" s="12" customFormat="1" x14ac:dyDescent="0.25"/>
    <row r="44740" s="12" customFormat="1" x14ac:dyDescent="0.25"/>
    <row r="44741" s="12" customFormat="1" x14ac:dyDescent="0.25"/>
    <row r="44742" s="12" customFormat="1" x14ac:dyDescent="0.25"/>
    <row r="44743" s="12" customFormat="1" x14ac:dyDescent="0.25"/>
    <row r="44744" s="12" customFormat="1" x14ac:dyDescent="0.25"/>
    <row r="44745" s="12" customFormat="1" x14ac:dyDescent="0.25"/>
    <row r="44746" s="12" customFormat="1" x14ac:dyDescent="0.25"/>
    <row r="44747" s="12" customFormat="1" x14ac:dyDescent="0.25"/>
    <row r="44748" s="12" customFormat="1" x14ac:dyDescent="0.25"/>
    <row r="44749" s="12" customFormat="1" x14ac:dyDescent="0.25"/>
    <row r="44750" s="12" customFormat="1" x14ac:dyDescent="0.25"/>
    <row r="44751" s="12" customFormat="1" x14ac:dyDescent="0.25"/>
    <row r="44752" s="12" customFormat="1" x14ac:dyDescent="0.25"/>
    <row r="44753" s="12" customFormat="1" x14ac:dyDescent="0.25"/>
    <row r="44754" s="12" customFormat="1" x14ac:dyDescent="0.25"/>
    <row r="44755" s="12" customFormat="1" x14ac:dyDescent="0.25"/>
    <row r="44756" s="12" customFormat="1" x14ac:dyDescent="0.25"/>
    <row r="44757" s="12" customFormat="1" x14ac:dyDescent="0.25"/>
    <row r="44758" s="12" customFormat="1" x14ac:dyDescent="0.25"/>
    <row r="44759" s="12" customFormat="1" x14ac:dyDescent="0.25"/>
    <row r="44760" s="12" customFormat="1" x14ac:dyDescent="0.25"/>
    <row r="44761" s="12" customFormat="1" x14ac:dyDescent="0.25"/>
    <row r="44762" s="12" customFormat="1" x14ac:dyDescent="0.25"/>
    <row r="44763" s="12" customFormat="1" x14ac:dyDescent="0.25"/>
    <row r="44764" s="12" customFormat="1" x14ac:dyDescent="0.25"/>
    <row r="44765" s="12" customFormat="1" x14ac:dyDescent="0.25"/>
    <row r="44766" s="12" customFormat="1" x14ac:dyDescent="0.25"/>
    <row r="44767" s="12" customFormat="1" x14ac:dyDescent="0.25"/>
    <row r="44768" s="12" customFormat="1" x14ac:dyDescent="0.25"/>
    <row r="44769" s="12" customFormat="1" x14ac:dyDescent="0.25"/>
    <row r="44770" s="12" customFormat="1" x14ac:dyDescent="0.25"/>
    <row r="44771" s="12" customFormat="1" x14ac:dyDescent="0.25"/>
    <row r="44772" s="12" customFormat="1" x14ac:dyDescent="0.25"/>
    <row r="44773" s="12" customFormat="1" x14ac:dyDescent="0.25"/>
    <row r="44774" s="12" customFormat="1" x14ac:dyDescent="0.25"/>
    <row r="44775" s="12" customFormat="1" x14ac:dyDescent="0.25"/>
    <row r="44776" s="12" customFormat="1" x14ac:dyDescent="0.25"/>
    <row r="44777" s="12" customFormat="1" x14ac:dyDescent="0.25"/>
    <row r="44778" s="12" customFormat="1" x14ac:dyDescent="0.25"/>
    <row r="44779" s="12" customFormat="1" x14ac:dyDescent="0.25"/>
    <row r="44780" s="12" customFormat="1" x14ac:dyDescent="0.25"/>
    <row r="44781" s="12" customFormat="1" x14ac:dyDescent="0.25"/>
    <row r="44782" s="12" customFormat="1" x14ac:dyDescent="0.25"/>
    <row r="44783" s="12" customFormat="1" x14ac:dyDescent="0.25"/>
    <row r="44784" s="12" customFormat="1" x14ac:dyDescent="0.25"/>
    <row r="44785" s="12" customFormat="1" x14ac:dyDescent="0.25"/>
    <row r="44786" s="12" customFormat="1" x14ac:dyDescent="0.25"/>
    <row r="44787" s="12" customFormat="1" x14ac:dyDescent="0.25"/>
    <row r="44788" s="12" customFormat="1" x14ac:dyDescent="0.25"/>
    <row r="44789" s="12" customFormat="1" x14ac:dyDescent="0.25"/>
    <row r="44790" s="12" customFormat="1" x14ac:dyDescent="0.25"/>
    <row r="44791" s="12" customFormat="1" x14ac:dyDescent="0.25"/>
    <row r="44792" s="12" customFormat="1" x14ac:dyDescent="0.25"/>
    <row r="44793" s="12" customFormat="1" x14ac:dyDescent="0.25"/>
    <row r="44794" s="12" customFormat="1" x14ac:dyDescent="0.25"/>
    <row r="44795" s="12" customFormat="1" x14ac:dyDescent="0.25"/>
    <row r="44796" s="12" customFormat="1" x14ac:dyDescent="0.25"/>
    <row r="44797" s="12" customFormat="1" x14ac:dyDescent="0.25"/>
    <row r="44798" s="12" customFormat="1" x14ac:dyDescent="0.25"/>
    <row r="44799" s="12" customFormat="1" x14ac:dyDescent="0.25"/>
    <row r="44800" s="12" customFormat="1" x14ac:dyDescent="0.25"/>
    <row r="44801" s="12" customFormat="1" x14ac:dyDescent="0.25"/>
    <row r="44802" s="12" customFormat="1" x14ac:dyDescent="0.25"/>
    <row r="44803" s="12" customFormat="1" x14ac:dyDescent="0.25"/>
    <row r="44804" s="12" customFormat="1" x14ac:dyDescent="0.25"/>
    <row r="44805" s="12" customFormat="1" x14ac:dyDescent="0.25"/>
    <row r="44806" s="12" customFormat="1" x14ac:dyDescent="0.25"/>
    <row r="44807" s="12" customFormat="1" x14ac:dyDescent="0.25"/>
    <row r="44808" s="12" customFormat="1" x14ac:dyDescent="0.25"/>
    <row r="44809" s="12" customFormat="1" x14ac:dyDescent="0.25"/>
    <row r="44810" s="12" customFormat="1" x14ac:dyDescent="0.25"/>
    <row r="44811" s="12" customFormat="1" x14ac:dyDescent="0.25"/>
    <row r="44812" s="12" customFormat="1" x14ac:dyDescent="0.25"/>
    <row r="44813" s="12" customFormat="1" x14ac:dyDescent="0.25"/>
    <row r="44814" s="12" customFormat="1" x14ac:dyDescent="0.25"/>
    <row r="44815" s="12" customFormat="1" x14ac:dyDescent="0.25"/>
    <row r="44816" s="12" customFormat="1" x14ac:dyDescent="0.25"/>
    <row r="44817" s="12" customFormat="1" x14ac:dyDescent="0.25"/>
    <row r="44818" s="12" customFormat="1" x14ac:dyDescent="0.25"/>
    <row r="44819" s="12" customFormat="1" x14ac:dyDescent="0.25"/>
    <row r="44820" s="12" customFormat="1" x14ac:dyDescent="0.25"/>
    <row r="44821" s="12" customFormat="1" x14ac:dyDescent="0.25"/>
    <row r="44822" s="12" customFormat="1" x14ac:dyDescent="0.25"/>
    <row r="44823" s="12" customFormat="1" x14ac:dyDescent="0.25"/>
    <row r="44824" s="12" customFormat="1" x14ac:dyDescent="0.25"/>
    <row r="44825" s="12" customFormat="1" x14ac:dyDescent="0.25"/>
    <row r="44826" s="12" customFormat="1" x14ac:dyDescent="0.25"/>
    <row r="44827" s="12" customFormat="1" x14ac:dyDescent="0.25"/>
    <row r="44828" s="12" customFormat="1" x14ac:dyDescent="0.25"/>
    <row r="44829" s="12" customFormat="1" x14ac:dyDescent="0.25"/>
    <row r="44830" s="12" customFormat="1" x14ac:dyDescent="0.25"/>
    <row r="44831" s="12" customFormat="1" x14ac:dyDescent="0.25"/>
    <row r="44832" s="12" customFormat="1" x14ac:dyDescent="0.25"/>
    <row r="44833" s="12" customFormat="1" x14ac:dyDescent="0.25"/>
    <row r="44834" s="12" customFormat="1" x14ac:dyDescent="0.25"/>
    <row r="44835" s="12" customFormat="1" x14ac:dyDescent="0.25"/>
    <row r="44836" s="12" customFormat="1" x14ac:dyDescent="0.25"/>
    <row r="44837" s="12" customFormat="1" x14ac:dyDescent="0.25"/>
    <row r="44838" s="12" customFormat="1" x14ac:dyDescent="0.25"/>
    <row r="44839" s="12" customFormat="1" x14ac:dyDescent="0.25"/>
    <row r="44840" s="12" customFormat="1" x14ac:dyDescent="0.25"/>
    <row r="44841" s="12" customFormat="1" x14ac:dyDescent="0.25"/>
    <row r="44842" s="12" customFormat="1" x14ac:dyDescent="0.25"/>
    <row r="44843" s="12" customFormat="1" x14ac:dyDescent="0.25"/>
    <row r="44844" s="12" customFormat="1" x14ac:dyDescent="0.25"/>
    <row r="44845" s="12" customFormat="1" x14ac:dyDescent="0.25"/>
    <row r="44846" s="12" customFormat="1" x14ac:dyDescent="0.25"/>
    <row r="44847" s="12" customFormat="1" x14ac:dyDescent="0.25"/>
    <row r="44848" s="12" customFormat="1" x14ac:dyDescent="0.25"/>
    <row r="44849" s="12" customFormat="1" x14ac:dyDescent="0.25"/>
    <row r="44850" s="12" customFormat="1" x14ac:dyDescent="0.25"/>
    <row r="44851" s="12" customFormat="1" x14ac:dyDescent="0.25"/>
    <row r="44852" s="12" customFormat="1" x14ac:dyDescent="0.25"/>
    <row r="44853" s="12" customFormat="1" x14ac:dyDescent="0.25"/>
    <row r="44854" s="12" customFormat="1" x14ac:dyDescent="0.25"/>
    <row r="44855" s="12" customFormat="1" x14ac:dyDescent="0.25"/>
    <row r="44856" s="12" customFormat="1" x14ac:dyDescent="0.25"/>
    <row r="44857" s="12" customFormat="1" x14ac:dyDescent="0.25"/>
    <row r="44858" s="12" customFormat="1" x14ac:dyDescent="0.25"/>
    <row r="44859" s="12" customFormat="1" x14ac:dyDescent="0.25"/>
    <row r="44860" s="12" customFormat="1" x14ac:dyDescent="0.25"/>
    <row r="44861" s="12" customFormat="1" x14ac:dyDescent="0.25"/>
    <row r="44862" s="12" customFormat="1" x14ac:dyDescent="0.25"/>
    <row r="44863" s="12" customFormat="1" x14ac:dyDescent="0.25"/>
    <row r="44864" s="12" customFormat="1" x14ac:dyDescent="0.25"/>
    <row r="44865" s="12" customFormat="1" x14ac:dyDescent="0.25"/>
    <row r="44866" s="12" customFormat="1" x14ac:dyDescent="0.25"/>
    <row r="44867" s="12" customFormat="1" x14ac:dyDescent="0.25"/>
    <row r="44868" s="12" customFormat="1" x14ac:dyDescent="0.25"/>
    <row r="44869" s="12" customFormat="1" x14ac:dyDescent="0.25"/>
    <row r="44870" s="12" customFormat="1" x14ac:dyDescent="0.25"/>
    <row r="44871" s="12" customFormat="1" x14ac:dyDescent="0.25"/>
    <row r="44872" s="12" customFormat="1" x14ac:dyDescent="0.25"/>
    <row r="44873" s="12" customFormat="1" x14ac:dyDescent="0.25"/>
    <row r="44874" s="12" customFormat="1" x14ac:dyDescent="0.25"/>
    <row r="44875" s="12" customFormat="1" x14ac:dyDescent="0.25"/>
    <row r="44876" s="12" customFormat="1" x14ac:dyDescent="0.25"/>
    <row r="44877" s="12" customFormat="1" x14ac:dyDescent="0.25"/>
    <row r="44878" s="12" customFormat="1" x14ac:dyDescent="0.25"/>
    <row r="44879" s="12" customFormat="1" x14ac:dyDescent="0.25"/>
    <row r="44880" s="12" customFormat="1" x14ac:dyDescent="0.25"/>
    <row r="44881" s="12" customFormat="1" x14ac:dyDescent="0.25"/>
    <row r="44882" s="12" customFormat="1" x14ac:dyDescent="0.25"/>
    <row r="44883" s="12" customFormat="1" x14ac:dyDescent="0.25"/>
    <row r="44884" s="12" customFormat="1" x14ac:dyDescent="0.25"/>
    <row r="44885" s="12" customFormat="1" x14ac:dyDescent="0.25"/>
    <row r="44886" s="12" customFormat="1" x14ac:dyDescent="0.25"/>
    <row r="44887" s="12" customFormat="1" x14ac:dyDescent="0.25"/>
    <row r="44888" s="12" customFormat="1" x14ac:dyDescent="0.25"/>
    <row r="44889" s="12" customFormat="1" x14ac:dyDescent="0.25"/>
    <row r="44890" s="12" customFormat="1" x14ac:dyDescent="0.25"/>
    <row r="44891" s="12" customFormat="1" x14ac:dyDescent="0.25"/>
    <row r="44892" s="12" customFormat="1" x14ac:dyDescent="0.25"/>
    <row r="44893" s="12" customFormat="1" x14ac:dyDescent="0.25"/>
    <row r="44894" s="12" customFormat="1" x14ac:dyDescent="0.25"/>
    <row r="44895" s="12" customFormat="1" x14ac:dyDescent="0.25"/>
    <row r="44896" s="12" customFormat="1" x14ac:dyDescent="0.25"/>
    <row r="44897" s="12" customFormat="1" x14ac:dyDescent="0.25"/>
    <row r="44898" s="12" customFormat="1" x14ac:dyDescent="0.25"/>
    <row r="44899" s="12" customFormat="1" x14ac:dyDescent="0.25"/>
    <row r="44900" s="12" customFormat="1" x14ac:dyDescent="0.25"/>
    <row r="44901" s="12" customFormat="1" x14ac:dyDescent="0.25"/>
    <row r="44902" s="12" customFormat="1" x14ac:dyDescent="0.25"/>
    <row r="44903" s="12" customFormat="1" x14ac:dyDescent="0.25"/>
    <row r="44904" s="12" customFormat="1" x14ac:dyDescent="0.25"/>
    <row r="44905" s="12" customFormat="1" x14ac:dyDescent="0.25"/>
    <row r="44906" s="12" customFormat="1" x14ac:dyDescent="0.25"/>
    <row r="44907" s="12" customFormat="1" x14ac:dyDescent="0.25"/>
    <row r="44908" s="12" customFormat="1" x14ac:dyDescent="0.25"/>
    <row r="44909" s="12" customFormat="1" x14ac:dyDescent="0.25"/>
    <row r="44910" s="12" customFormat="1" x14ac:dyDescent="0.25"/>
    <row r="44911" s="12" customFormat="1" x14ac:dyDescent="0.25"/>
    <row r="44912" s="12" customFormat="1" x14ac:dyDescent="0.25"/>
    <row r="44913" s="12" customFormat="1" x14ac:dyDescent="0.25"/>
    <row r="44914" s="12" customFormat="1" x14ac:dyDescent="0.25"/>
    <row r="44915" s="12" customFormat="1" x14ac:dyDescent="0.25"/>
    <row r="44916" s="12" customFormat="1" x14ac:dyDescent="0.25"/>
    <row r="44917" s="12" customFormat="1" x14ac:dyDescent="0.25"/>
    <row r="44918" s="12" customFormat="1" x14ac:dyDescent="0.25"/>
    <row r="44919" s="12" customFormat="1" x14ac:dyDescent="0.25"/>
    <row r="44920" s="12" customFormat="1" x14ac:dyDescent="0.25"/>
    <row r="44921" s="12" customFormat="1" x14ac:dyDescent="0.25"/>
    <row r="44922" s="12" customFormat="1" x14ac:dyDescent="0.25"/>
    <row r="44923" s="12" customFormat="1" x14ac:dyDescent="0.25"/>
    <row r="44924" s="12" customFormat="1" x14ac:dyDescent="0.25"/>
    <row r="44925" s="12" customFormat="1" x14ac:dyDescent="0.25"/>
    <row r="44926" s="12" customFormat="1" x14ac:dyDescent="0.25"/>
    <row r="44927" s="12" customFormat="1" x14ac:dyDescent="0.25"/>
    <row r="44928" s="12" customFormat="1" x14ac:dyDescent="0.25"/>
    <row r="44929" s="12" customFormat="1" x14ac:dyDescent="0.25"/>
    <row r="44930" s="12" customFormat="1" x14ac:dyDescent="0.25"/>
    <row r="44931" s="12" customFormat="1" x14ac:dyDescent="0.25"/>
    <row r="44932" s="12" customFormat="1" x14ac:dyDescent="0.25"/>
    <row r="44933" s="12" customFormat="1" x14ac:dyDescent="0.25"/>
    <row r="44934" s="12" customFormat="1" x14ac:dyDescent="0.25"/>
    <row r="44935" s="12" customFormat="1" x14ac:dyDescent="0.25"/>
    <row r="44936" s="12" customFormat="1" x14ac:dyDescent="0.25"/>
    <row r="44937" s="12" customFormat="1" x14ac:dyDescent="0.25"/>
    <row r="44938" s="12" customFormat="1" x14ac:dyDescent="0.25"/>
    <row r="44939" s="12" customFormat="1" x14ac:dyDescent="0.25"/>
    <row r="44940" s="12" customFormat="1" x14ac:dyDescent="0.25"/>
    <row r="44941" s="12" customFormat="1" x14ac:dyDescent="0.25"/>
    <row r="44942" s="12" customFormat="1" x14ac:dyDescent="0.25"/>
    <row r="44943" s="12" customFormat="1" x14ac:dyDescent="0.25"/>
    <row r="44944" s="12" customFormat="1" x14ac:dyDescent="0.25"/>
    <row r="44945" s="12" customFormat="1" x14ac:dyDescent="0.25"/>
    <row r="44946" s="12" customFormat="1" x14ac:dyDescent="0.25"/>
    <row r="44947" s="12" customFormat="1" x14ac:dyDescent="0.25"/>
    <row r="44948" s="12" customFormat="1" x14ac:dyDescent="0.25"/>
    <row r="44949" s="12" customFormat="1" x14ac:dyDescent="0.25"/>
    <row r="44950" s="12" customFormat="1" x14ac:dyDescent="0.25"/>
    <row r="44951" s="12" customFormat="1" x14ac:dyDescent="0.25"/>
    <row r="44952" s="12" customFormat="1" x14ac:dyDescent="0.25"/>
    <row r="44953" s="12" customFormat="1" x14ac:dyDescent="0.25"/>
    <row r="44954" s="12" customFormat="1" x14ac:dyDescent="0.25"/>
    <row r="44955" s="12" customFormat="1" x14ac:dyDescent="0.25"/>
    <row r="44956" s="12" customFormat="1" x14ac:dyDescent="0.25"/>
    <row r="44957" s="12" customFormat="1" x14ac:dyDescent="0.25"/>
    <row r="44958" s="12" customFormat="1" x14ac:dyDescent="0.25"/>
    <row r="44959" s="12" customFormat="1" x14ac:dyDescent="0.25"/>
    <row r="44960" s="12" customFormat="1" x14ac:dyDescent="0.25"/>
    <row r="44961" s="12" customFormat="1" x14ac:dyDescent="0.25"/>
    <row r="44962" s="12" customFormat="1" x14ac:dyDescent="0.25"/>
    <row r="44963" s="12" customFormat="1" x14ac:dyDescent="0.25"/>
    <row r="44964" s="12" customFormat="1" x14ac:dyDescent="0.25"/>
    <row r="44965" s="12" customFormat="1" x14ac:dyDescent="0.25"/>
    <row r="44966" s="12" customFormat="1" x14ac:dyDescent="0.25"/>
    <row r="44967" s="12" customFormat="1" x14ac:dyDescent="0.25"/>
    <row r="44968" s="12" customFormat="1" x14ac:dyDescent="0.25"/>
    <row r="44969" s="12" customFormat="1" x14ac:dyDescent="0.25"/>
    <row r="44970" s="12" customFormat="1" x14ac:dyDescent="0.25"/>
    <row r="44971" s="12" customFormat="1" x14ac:dyDescent="0.25"/>
    <row r="44972" s="12" customFormat="1" x14ac:dyDescent="0.25"/>
    <row r="44973" s="12" customFormat="1" x14ac:dyDescent="0.25"/>
    <row r="44974" s="12" customFormat="1" x14ac:dyDescent="0.25"/>
    <row r="44975" s="12" customFormat="1" x14ac:dyDescent="0.25"/>
    <row r="44976" s="12" customFormat="1" x14ac:dyDescent="0.25"/>
    <row r="44977" s="12" customFormat="1" x14ac:dyDescent="0.25"/>
    <row r="44978" s="12" customFormat="1" x14ac:dyDescent="0.25"/>
    <row r="44979" s="12" customFormat="1" x14ac:dyDescent="0.25"/>
    <row r="44980" s="12" customFormat="1" x14ac:dyDescent="0.25"/>
    <row r="44981" s="12" customFormat="1" x14ac:dyDescent="0.25"/>
    <row r="44982" s="12" customFormat="1" x14ac:dyDescent="0.25"/>
    <row r="44983" s="12" customFormat="1" x14ac:dyDescent="0.25"/>
    <row r="44984" s="12" customFormat="1" x14ac:dyDescent="0.25"/>
    <row r="44985" s="12" customFormat="1" x14ac:dyDescent="0.25"/>
    <row r="44986" s="12" customFormat="1" x14ac:dyDescent="0.25"/>
    <row r="44987" s="12" customFormat="1" x14ac:dyDescent="0.25"/>
    <row r="44988" s="12" customFormat="1" x14ac:dyDescent="0.25"/>
    <row r="44989" s="12" customFormat="1" x14ac:dyDescent="0.25"/>
    <row r="44990" s="12" customFormat="1" x14ac:dyDescent="0.25"/>
    <row r="44991" s="12" customFormat="1" x14ac:dyDescent="0.25"/>
    <row r="44992" s="12" customFormat="1" x14ac:dyDescent="0.25"/>
    <row r="44993" s="12" customFormat="1" x14ac:dyDescent="0.25"/>
    <row r="44994" s="12" customFormat="1" x14ac:dyDescent="0.25"/>
    <row r="44995" s="12" customFormat="1" x14ac:dyDescent="0.25"/>
    <row r="44996" s="12" customFormat="1" x14ac:dyDescent="0.25"/>
    <row r="44997" s="12" customFormat="1" x14ac:dyDescent="0.25"/>
    <row r="44998" s="12" customFormat="1" x14ac:dyDescent="0.25"/>
    <row r="44999" s="12" customFormat="1" x14ac:dyDescent="0.25"/>
    <row r="45000" s="12" customFormat="1" x14ac:dyDescent="0.25"/>
    <row r="45001" s="12" customFormat="1" x14ac:dyDescent="0.25"/>
    <row r="45002" s="12" customFormat="1" x14ac:dyDescent="0.25"/>
    <row r="45003" s="12" customFormat="1" x14ac:dyDescent="0.25"/>
    <row r="45004" s="12" customFormat="1" x14ac:dyDescent="0.25"/>
    <row r="45005" s="12" customFormat="1" x14ac:dyDescent="0.25"/>
    <row r="45006" s="12" customFormat="1" x14ac:dyDescent="0.25"/>
    <row r="45007" s="12" customFormat="1" x14ac:dyDescent="0.25"/>
    <row r="45008" s="12" customFormat="1" x14ac:dyDescent="0.25"/>
    <row r="45009" s="12" customFormat="1" x14ac:dyDescent="0.25"/>
    <row r="45010" s="12" customFormat="1" x14ac:dyDescent="0.25"/>
    <row r="45011" s="12" customFormat="1" x14ac:dyDescent="0.25"/>
    <row r="45012" s="12" customFormat="1" x14ac:dyDescent="0.25"/>
    <row r="45013" s="12" customFormat="1" x14ac:dyDescent="0.25"/>
    <row r="45014" s="12" customFormat="1" x14ac:dyDescent="0.25"/>
    <row r="45015" s="12" customFormat="1" x14ac:dyDescent="0.25"/>
    <row r="45016" s="12" customFormat="1" x14ac:dyDescent="0.25"/>
    <row r="45017" s="12" customFormat="1" x14ac:dyDescent="0.25"/>
    <row r="45018" s="12" customFormat="1" x14ac:dyDescent="0.25"/>
    <row r="45019" s="12" customFormat="1" x14ac:dyDescent="0.25"/>
    <row r="45020" s="12" customFormat="1" x14ac:dyDescent="0.25"/>
    <row r="45021" s="12" customFormat="1" x14ac:dyDescent="0.25"/>
    <row r="45022" s="12" customFormat="1" x14ac:dyDescent="0.25"/>
    <row r="45023" s="12" customFormat="1" x14ac:dyDescent="0.25"/>
    <row r="45024" s="12" customFormat="1" x14ac:dyDescent="0.25"/>
    <row r="45025" s="12" customFormat="1" x14ac:dyDescent="0.25"/>
    <row r="45026" s="12" customFormat="1" x14ac:dyDescent="0.25"/>
    <row r="45027" s="12" customFormat="1" x14ac:dyDescent="0.25"/>
    <row r="45028" s="12" customFormat="1" x14ac:dyDescent="0.25"/>
    <row r="45029" s="12" customFormat="1" x14ac:dyDescent="0.25"/>
    <row r="45030" s="12" customFormat="1" x14ac:dyDescent="0.25"/>
    <row r="45031" s="12" customFormat="1" x14ac:dyDescent="0.25"/>
    <row r="45032" s="12" customFormat="1" x14ac:dyDescent="0.25"/>
    <row r="45033" s="12" customFormat="1" x14ac:dyDescent="0.25"/>
    <row r="45034" s="12" customFormat="1" x14ac:dyDescent="0.25"/>
    <row r="45035" s="12" customFormat="1" x14ac:dyDescent="0.25"/>
    <row r="45036" s="12" customFormat="1" x14ac:dyDescent="0.25"/>
    <row r="45037" s="12" customFormat="1" x14ac:dyDescent="0.25"/>
    <row r="45038" s="12" customFormat="1" x14ac:dyDescent="0.25"/>
    <row r="45039" s="12" customFormat="1" x14ac:dyDescent="0.25"/>
    <row r="45040" s="12" customFormat="1" x14ac:dyDescent="0.25"/>
    <row r="45041" s="12" customFormat="1" x14ac:dyDescent="0.25"/>
    <row r="45042" s="12" customFormat="1" x14ac:dyDescent="0.25"/>
    <row r="45043" s="12" customFormat="1" x14ac:dyDescent="0.25"/>
    <row r="45044" s="12" customFormat="1" x14ac:dyDescent="0.25"/>
    <row r="45045" s="12" customFormat="1" x14ac:dyDescent="0.25"/>
    <row r="45046" s="12" customFormat="1" x14ac:dyDescent="0.25"/>
    <row r="45047" s="12" customFormat="1" x14ac:dyDescent="0.25"/>
    <row r="45048" s="12" customFormat="1" x14ac:dyDescent="0.25"/>
    <row r="45049" s="12" customFormat="1" x14ac:dyDescent="0.25"/>
    <row r="45050" s="12" customFormat="1" x14ac:dyDescent="0.25"/>
    <row r="45051" s="12" customFormat="1" x14ac:dyDescent="0.25"/>
    <row r="45052" s="12" customFormat="1" x14ac:dyDescent="0.25"/>
    <row r="45053" s="12" customFormat="1" x14ac:dyDescent="0.25"/>
    <row r="45054" s="12" customFormat="1" x14ac:dyDescent="0.25"/>
    <row r="45055" s="12" customFormat="1" x14ac:dyDescent="0.25"/>
    <row r="45056" s="12" customFormat="1" x14ac:dyDescent="0.25"/>
    <row r="45057" s="12" customFormat="1" x14ac:dyDescent="0.25"/>
    <row r="45058" s="12" customFormat="1" x14ac:dyDescent="0.25"/>
    <row r="45059" s="12" customFormat="1" x14ac:dyDescent="0.25"/>
    <row r="45060" s="12" customFormat="1" x14ac:dyDescent="0.25"/>
    <row r="45061" s="12" customFormat="1" x14ac:dyDescent="0.25"/>
    <row r="45062" s="12" customFormat="1" x14ac:dyDescent="0.25"/>
    <row r="45063" s="12" customFormat="1" x14ac:dyDescent="0.25"/>
    <row r="45064" s="12" customFormat="1" x14ac:dyDescent="0.25"/>
    <row r="45065" s="12" customFormat="1" x14ac:dyDescent="0.25"/>
    <row r="45066" s="12" customFormat="1" x14ac:dyDescent="0.25"/>
    <row r="45067" s="12" customFormat="1" x14ac:dyDescent="0.25"/>
    <row r="45068" s="12" customFormat="1" x14ac:dyDescent="0.25"/>
    <row r="45069" s="12" customFormat="1" x14ac:dyDescent="0.25"/>
    <row r="45070" s="12" customFormat="1" x14ac:dyDescent="0.25"/>
    <row r="45071" s="12" customFormat="1" x14ac:dyDescent="0.25"/>
    <row r="45072" s="12" customFormat="1" x14ac:dyDescent="0.25"/>
    <row r="45073" s="12" customFormat="1" x14ac:dyDescent="0.25"/>
    <row r="45074" s="12" customFormat="1" x14ac:dyDescent="0.25"/>
    <row r="45075" s="12" customFormat="1" x14ac:dyDescent="0.25"/>
    <row r="45076" s="12" customFormat="1" x14ac:dyDescent="0.25"/>
    <row r="45077" s="12" customFormat="1" x14ac:dyDescent="0.25"/>
    <row r="45078" s="12" customFormat="1" x14ac:dyDescent="0.25"/>
    <row r="45079" s="12" customFormat="1" x14ac:dyDescent="0.25"/>
    <row r="45080" s="12" customFormat="1" x14ac:dyDescent="0.25"/>
    <row r="45081" s="12" customFormat="1" x14ac:dyDescent="0.25"/>
    <row r="45082" s="12" customFormat="1" x14ac:dyDescent="0.25"/>
    <row r="45083" s="12" customFormat="1" x14ac:dyDescent="0.25"/>
    <row r="45084" s="12" customFormat="1" x14ac:dyDescent="0.25"/>
    <row r="45085" s="12" customFormat="1" x14ac:dyDescent="0.25"/>
    <row r="45086" s="12" customFormat="1" x14ac:dyDescent="0.25"/>
    <row r="45087" s="12" customFormat="1" x14ac:dyDescent="0.25"/>
    <row r="45088" s="12" customFormat="1" x14ac:dyDescent="0.25"/>
    <row r="45089" s="12" customFormat="1" x14ac:dyDescent="0.25"/>
    <row r="45090" s="12" customFormat="1" x14ac:dyDescent="0.25"/>
    <row r="45091" s="12" customFormat="1" x14ac:dyDescent="0.25"/>
    <row r="45092" s="12" customFormat="1" x14ac:dyDescent="0.25"/>
    <row r="45093" s="12" customFormat="1" x14ac:dyDescent="0.25"/>
    <row r="45094" s="12" customFormat="1" x14ac:dyDescent="0.25"/>
    <row r="45095" s="12" customFormat="1" x14ac:dyDescent="0.25"/>
    <row r="45096" s="12" customFormat="1" x14ac:dyDescent="0.25"/>
    <row r="45097" s="12" customFormat="1" x14ac:dyDescent="0.25"/>
    <row r="45098" s="12" customFormat="1" x14ac:dyDescent="0.25"/>
    <row r="45099" s="12" customFormat="1" x14ac:dyDescent="0.25"/>
    <row r="45100" s="12" customFormat="1" x14ac:dyDescent="0.25"/>
    <row r="45101" s="12" customFormat="1" x14ac:dyDescent="0.25"/>
    <row r="45102" s="12" customFormat="1" x14ac:dyDescent="0.25"/>
    <row r="45103" s="12" customFormat="1" x14ac:dyDescent="0.25"/>
    <row r="45104" s="12" customFormat="1" x14ac:dyDescent="0.25"/>
    <row r="45105" s="12" customFormat="1" x14ac:dyDescent="0.25"/>
    <row r="45106" s="12" customFormat="1" x14ac:dyDescent="0.25"/>
    <row r="45107" s="12" customFormat="1" x14ac:dyDescent="0.25"/>
    <row r="45108" s="12" customFormat="1" x14ac:dyDescent="0.25"/>
    <row r="45109" s="12" customFormat="1" x14ac:dyDescent="0.25"/>
    <row r="45110" s="12" customFormat="1" x14ac:dyDescent="0.25"/>
    <row r="45111" s="12" customFormat="1" x14ac:dyDescent="0.25"/>
    <row r="45112" s="12" customFormat="1" x14ac:dyDescent="0.25"/>
    <row r="45113" s="12" customFormat="1" x14ac:dyDescent="0.25"/>
    <row r="45114" s="12" customFormat="1" x14ac:dyDescent="0.25"/>
    <row r="45115" s="12" customFormat="1" x14ac:dyDescent="0.25"/>
    <row r="45116" s="12" customFormat="1" x14ac:dyDescent="0.25"/>
    <row r="45117" s="12" customFormat="1" x14ac:dyDescent="0.25"/>
    <row r="45118" s="12" customFormat="1" x14ac:dyDescent="0.25"/>
    <row r="45119" s="12" customFormat="1" x14ac:dyDescent="0.25"/>
    <row r="45120" s="12" customFormat="1" x14ac:dyDescent="0.25"/>
    <row r="45121" s="12" customFormat="1" x14ac:dyDescent="0.25"/>
    <row r="45122" s="12" customFormat="1" x14ac:dyDescent="0.25"/>
    <row r="45123" s="12" customFormat="1" x14ac:dyDescent="0.25"/>
    <row r="45124" s="12" customFormat="1" x14ac:dyDescent="0.25"/>
    <row r="45125" s="12" customFormat="1" x14ac:dyDescent="0.25"/>
    <row r="45126" s="12" customFormat="1" x14ac:dyDescent="0.25"/>
    <row r="45127" s="12" customFormat="1" x14ac:dyDescent="0.25"/>
    <row r="45128" s="12" customFormat="1" x14ac:dyDescent="0.25"/>
    <row r="45129" s="12" customFormat="1" x14ac:dyDescent="0.25"/>
    <row r="45130" s="12" customFormat="1" x14ac:dyDescent="0.25"/>
    <row r="45131" s="12" customFormat="1" x14ac:dyDescent="0.25"/>
    <row r="45132" s="12" customFormat="1" x14ac:dyDescent="0.25"/>
    <row r="45133" s="12" customFormat="1" x14ac:dyDescent="0.25"/>
    <row r="45134" s="12" customFormat="1" x14ac:dyDescent="0.25"/>
    <row r="45135" s="12" customFormat="1" x14ac:dyDescent="0.25"/>
    <row r="45136" s="12" customFormat="1" x14ac:dyDescent="0.25"/>
    <row r="45137" s="12" customFormat="1" x14ac:dyDescent="0.25"/>
    <row r="45138" s="12" customFormat="1" x14ac:dyDescent="0.25"/>
    <row r="45139" s="12" customFormat="1" x14ac:dyDescent="0.25"/>
    <row r="45140" s="12" customFormat="1" x14ac:dyDescent="0.25"/>
    <row r="45141" s="12" customFormat="1" x14ac:dyDescent="0.25"/>
    <row r="45142" s="12" customFormat="1" x14ac:dyDescent="0.25"/>
    <row r="45143" s="12" customFormat="1" x14ac:dyDescent="0.25"/>
    <row r="45144" s="12" customFormat="1" x14ac:dyDescent="0.25"/>
    <row r="45145" s="12" customFormat="1" x14ac:dyDescent="0.25"/>
    <row r="45146" s="12" customFormat="1" x14ac:dyDescent="0.25"/>
    <row r="45147" s="12" customFormat="1" x14ac:dyDescent="0.25"/>
    <row r="45148" s="12" customFormat="1" x14ac:dyDescent="0.25"/>
    <row r="45149" s="12" customFormat="1" x14ac:dyDescent="0.25"/>
    <row r="45150" s="12" customFormat="1" x14ac:dyDescent="0.25"/>
    <row r="45151" s="12" customFormat="1" x14ac:dyDescent="0.25"/>
    <row r="45152" s="12" customFormat="1" x14ac:dyDescent="0.25"/>
    <row r="45153" s="12" customFormat="1" x14ac:dyDescent="0.25"/>
    <row r="45154" s="12" customFormat="1" x14ac:dyDescent="0.25"/>
    <row r="45155" s="12" customFormat="1" x14ac:dyDescent="0.25"/>
    <row r="45156" s="12" customFormat="1" x14ac:dyDescent="0.25"/>
    <row r="45157" s="12" customFormat="1" x14ac:dyDescent="0.25"/>
    <row r="45158" s="12" customFormat="1" x14ac:dyDescent="0.25"/>
    <row r="45159" s="12" customFormat="1" x14ac:dyDescent="0.25"/>
    <row r="45160" s="12" customFormat="1" x14ac:dyDescent="0.25"/>
    <row r="45161" s="12" customFormat="1" x14ac:dyDescent="0.25"/>
    <row r="45162" s="12" customFormat="1" x14ac:dyDescent="0.25"/>
    <row r="45163" s="12" customFormat="1" x14ac:dyDescent="0.25"/>
    <row r="45164" s="12" customFormat="1" x14ac:dyDescent="0.25"/>
    <row r="45165" s="12" customFormat="1" x14ac:dyDescent="0.25"/>
    <row r="45166" s="12" customFormat="1" x14ac:dyDescent="0.25"/>
    <row r="45167" s="12" customFormat="1" x14ac:dyDescent="0.25"/>
    <row r="45168" s="12" customFormat="1" x14ac:dyDescent="0.25"/>
    <row r="45169" s="12" customFormat="1" x14ac:dyDescent="0.25"/>
    <row r="45170" s="12" customFormat="1" x14ac:dyDescent="0.25"/>
    <row r="45171" s="12" customFormat="1" x14ac:dyDescent="0.25"/>
    <row r="45172" s="12" customFormat="1" x14ac:dyDescent="0.25"/>
    <row r="45173" s="12" customFormat="1" x14ac:dyDescent="0.25"/>
    <row r="45174" s="12" customFormat="1" x14ac:dyDescent="0.25"/>
    <row r="45175" s="12" customFormat="1" x14ac:dyDescent="0.25"/>
    <row r="45176" s="12" customFormat="1" x14ac:dyDescent="0.25"/>
    <row r="45177" s="12" customFormat="1" x14ac:dyDescent="0.25"/>
    <row r="45178" s="12" customFormat="1" x14ac:dyDescent="0.25"/>
    <row r="45179" s="12" customFormat="1" x14ac:dyDescent="0.25"/>
    <row r="45180" s="12" customFormat="1" x14ac:dyDescent="0.25"/>
    <row r="45181" s="12" customFormat="1" x14ac:dyDescent="0.25"/>
    <row r="45182" s="12" customFormat="1" x14ac:dyDescent="0.25"/>
    <row r="45183" s="12" customFormat="1" x14ac:dyDescent="0.25"/>
    <row r="45184" s="12" customFormat="1" x14ac:dyDescent="0.25"/>
    <row r="45185" s="12" customFormat="1" x14ac:dyDescent="0.25"/>
    <row r="45186" s="12" customFormat="1" x14ac:dyDescent="0.25"/>
    <row r="45187" s="12" customFormat="1" x14ac:dyDescent="0.25"/>
    <row r="45188" s="12" customFormat="1" x14ac:dyDescent="0.25"/>
    <row r="45189" s="12" customFormat="1" x14ac:dyDescent="0.25"/>
    <row r="45190" s="12" customFormat="1" x14ac:dyDescent="0.25"/>
    <row r="45191" s="12" customFormat="1" x14ac:dyDescent="0.25"/>
    <row r="45192" s="12" customFormat="1" x14ac:dyDescent="0.25"/>
    <row r="45193" s="12" customFormat="1" x14ac:dyDescent="0.25"/>
    <row r="45194" s="12" customFormat="1" x14ac:dyDescent="0.25"/>
    <row r="45195" s="12" customFormat="1" x14ac:dyDescent="0.25"/>
    <row r="45196" s="12" customFormat="1" x14ac:dyDescent="0.25"/>
    <row r="45197" s="12" customFormat="1" x14ac:dyDescent="0.25"/>
    <row r="45198" s="12" customFormat="1" x14ac:dyDescent="0.25"/>
    <row r="45199" s="12" customFormat="1" x14ac:dyDescent="0.25"/>
    <row r="45200" s="12" customFormat="1" x14ac:dyDescent="0.25"/>
    <row r="45201" s="12" customFormat="1" x14ac:dyDescent="0.25"/>
    <row r="45202" s="12" customFormat="1" x14ac:dyDescent="0.25"/>
    <row r="45203" s="12" customFormat="1" x14ac:dyDescent="0.25"/>
    <row r="45204" s="12" customFormat="1" x14ac:dyDescent="0.25"/>
    <row r="45205" s="12" customFormat="1" x14ac:dyDescent="0.25"/>
    <row r="45206" s="12" customFormat="1" x14ac:dyDescent="0.25"/>
    <row r="45207" s="12" customFormat="1" x14ac:dyDescent="0.25"/>
    <row r="45208" s="12" customFormat="1" x14ac:dyDescent="0.25"/>
    <row r="45209" s="12" customFormat="1" x14ac:dyDescent="0.25"/>
    <row r="45210" s="12" customFormat="1" x14ac:dyDescent="0.25"/>
    <row r="45211" s="12" customFormat="1" x14ac:dyDescent="0.25"/>
    <row r="45212" s="12" customFormat="1" x14ac:dyDescent="0.25"/>
    <row r="45213" s="12" customFormat="1" x14ac:dyDescent="0.25"/>
    <row r="45214" s="12" customFormat="1" x14ac:dyDescent="0.25"/>
    <row r="45215" s="12" customFormat="1" x14ac:dyDescent="0.25"/>
    <row r="45216" s="12" customFormat="1" x14ac:dyDescent="0.25"/>
    <row r="45217" s="12" customFormat="1" x14ac:dyDescent="0.25"/>
    <row r="45218" s="12" customFormat="1" x14ac:dyDescent="0.25"/>
    <row r="45219" s="12" customFormat="1" x14ac:dyDescent="0.25"/>
    <row r="45220" s="12" customFormat="1" x14ac:dyDescent="0.25"/>
    <row r="45221" s="12" customFormat="1" x14ac:dyDescent="0.25"/>
    <row r="45222" s="12" customFormat="1" x14ac:dyDescent="0.25"/>
    <row r="45223" s="12" customFormat="1" x14ac:dyDescent="0.25"/>
    <row r="45224" s="12" customFormat="1" x14ac:dyDescent="0.25"/>
    <row r="45225" s="12" customFormat="1" x14ac:dyDescent="0.25"/>
    <row r="45226" s="12" customFormat="1" x14ac:dyDescent="0.25"/>
    <row r="45227" s="12" customFormat="1" x14ac:dyDescent="0.25"/>
    <row r="45228" s="12" customFormat="1" x14ac:dyDescent="0.25"/>
    <row r="45229" s="12" customFormat="1" x14ac:dyDescent="0.25"/>
    <row r="45230" s="12" customFormat="1" x14ac:dyDescent="0.25"/>
    <row r="45231" s="12" customFormat="1" x14ac:dyDescent="0.25"/>
    <row r="45232" s="12" customFormat="1" x14ac:dyDescent="0.25"/>
    <row r="45233" s="12" customFormat="1" x14ac:dyDescent="0.25"/>
    <row r="45234" s="12" customFormat="1" x14ac:dyDescent="0.25"/>
    <row r="45235" s="12" customFormat="1" x14ac:dyDescent="0.25"/>
    <row r="45236" s="12" customFormat="1" x14ac:dyDescent="0.25"/>
    <row r="45237" s="12" customFormat="1" x14ac:dyDescent="0.25"/>
    <row r="45238" s="12" customFormat="1" x14ac:dyDescent="0.25"/>
    <row r="45239" s="12" customFormat="1" x14ac:dyDescent="0.25"/>
    <row r="45240" s="12" customFormat="1" x14ac:dyDescent="0.25"/>
    <row r="45241" s="12" customFormat="1" x14ac:dyDescent="0.25"/>
    <row r="45242" s="12" customFormat="1" x14ac:dyDescent="0.25"/>
    <row r="45243" s="12" customFormat="1" x14ac:dyDescent="0.25"/>
    <row r="45244" s="12" customFormat="1" x14ac:dyDescent="0.25"/>
    <row r="45245" s="12" customFormat="1" x14ac:dyDescent="0.25"/>
    <row r="45246" s="12" customFormat="1" x14ac:dyDescent="0.25"/>
    <row r="45247" s="12" customFormat="1" x14ac:dyDescent="0.25"/>
    <row r="45248" s="12" customFormat="1" x14ac:dyDescent="0.25"/>
    <row r="45249" s="12" customFormat="1" x14ac:dyDescent="0.25"/>
    <row r="45250" s="12" customFormat="1" x14ac:dyDescent="0.25"/>
    <row r="45251" s="12" customFormat="1" x14ac:dyDescent="0.25"/>
    <row r="45252" s="12" customFormat="1" x14ac:dyDescent="0.25"/>
    <row r="45253" s="12" customFormat="1" x14ac:dyDescent="0.25"/>
    <row r="45254" s="12" customFormat="1" x14ac:dyDescent="0.25"/>
    <row r="45255" s="12" customFormat="1" x14ac:dyDescent="0.25"/>
    <row r="45256" s="12" customFormat="1" x14ac:dyDescent="0.25"/>
    <row r="45257" s="12" customFormat="1" x14ac:dyDescent="0.25"/>
    <row r="45258" s="12" customFormat="1" x14ac:dyDescent="0.25"/>
    <row r="45259" s="12" customFormat="1" x14ac:dyDescent="0.25"/>
    <row r="45260" s="12" customFormat="1" x14ac:dyDescent="0.25"/>
    <row r="45261" s="12" customFormat="1" x14ac:dyDescent="0.25"/>
    <row r="45262" s="12" customFormat="1" x14ac:dyDescent="0.25"/>
    <row r="45263" s="12" customFormat="1" x14ac:dyDescent="0.25"/>
    <row r="45264" s="12" customFormat="1" x14ac:dyDescent="0.25"/>
    <row r="45265" s="12" customFormat="1" x14ac:dyDescent="0.25"/>
    <row r="45266" s="12" customFormat="1" x14ac:dyDescent="0.25"/>
    <row r="45267" s="12" customFormat="1" x14ac:dyDescent="0.25"/>
    <row r="45268" s="12" customFormat="1" x14ac:dyDescent="0.25"/>
    <row r="45269" s="12" customFormat="1" x14ac:dyDescent="0.25"/>
    <row r="45270" s="12" customFormat="1" x14ac:dyDescent="0.25"/>
    <row r="45271" s="12" customFormat="1" x14ac:dyDescent="0.25"/>
    <row r="45272" s="12" customFormat="1" x14ac:dyDescent="0.25"/>
    <row r="45273" s="12" customFormat="1" x14ac:dyDescent="0.25"/>
    <row r="45274" s="12" customFormat="1" x14ac:dyDescent="0.25"/>
    <row r="45275" s="12" customFormat="1" x14ac:dyDescent="0.25"/>
    <row r="45276" s="12" customFormat="1" x14ac:dyDescent="0.25"/>
    <row r="45277" s="12" customFormat="1" x14ac:dyDescent="0.25"/>
    <row r="45278" s="12" customFormat="1" x14ac:dyDescent="0.25"/>
    <row r="45279" s="12" customFormat="1" x14ac:dyDescent="0.25"/>
    <row r="45280" s="12" customFormat="1" x14ac:dyDescent="0.25"/>
    <row r="45281" s="12" customFormat="1" x14ac:dyDescent="0.25"/>
    <row r="45282" s="12" customFormat="1" x14ac:dyDescent="0.25"/>
    <row r="45283" s="12" customFormat="1" x14ac:dyDescent="0.25"/>
    <row r="45284" s="12" customFormat="1" x14ac:dyDescent="0.25"/>
    <row r="45285" s="12" customFormat="1" x14ac:dyDescent="0.25"/>
    <row r="45286" s="12" customFormat="1" x14ac:dyDescent="0.25"/>
    <row r="45287" s="12" customFormat="1" x14ac:dyDescent="0.25"/>
    <row r="45288" s="12" customFormat="1" x14ac:dyDescent="0.25"/>
    <row r="45289" s="12" customFormat="1" x14ac:dyDescent="0.25"/>
    <row r="45290" s="12" customFormat="1" x14ac:dyDescent="0.25"/>
    <row r="45291" s="12" customFormat="1" x14ac:dyDescent="0.25"/>
    <row r="45292" s="12" customFormat="1" x14ac:dyDescent="0.25"/>
    <row r="45293" s="12" customFormat="1" x14ac:dyDescent="0.25"/>
    <row r="45294" s="12" customFormat="1" x14ac:dyDescent="0.25"/>
    <row r="45295" s="12" customFormat="1" x14ac:dyDescent="0.25"/>
    <row r="45296" s="12" customFormat="1" x14ac:dyDescent="0.25"/>
    <row r="45297" s="12" customFormat="1" x14ac:dyDescent="0.25"/>
    <row r="45298" s="12" customFormat="1" x14ac:dyDescent="0.25"/>
    <row r="45299" s="12" customFormat="1" x14ac:dyDescent="0.25"/>
    <row r="45300" s="12" customFormat="1" x14ac:dyDescent="0.25"/>
    <row r="45301" s="12" customFormat="1" x14ac:dyDescent="0.25"/>
    <row r="45302" s="12" customFormat="1" x14ac:dyDescent="0.25"/>
    <row r="45303" s="12" customFormat="1" x14ac:dyDescent="0.25"/>
    <row r="45304" s="12" customFormat="1" x14ac:dyDescent="0.25"/>
    <row r="45305" s="12" customFormat="1" x14ac:dyDescent="0.25"/>
    <row r="45306" s="12" customFormat="1" x14ac:dyDescent="0.25"/>
    <row r="45307" s="12" customFormat="1" x14ac:dyDescent="0.25"/>
    <row r="45308" s="12" customFormat="1" x14ac:dyDescent="0.25"/>
    <row r="45309" s="12" customFormat="1" x14ac:dyDescent="0.25"/>
    <row r="45310" s="12" customFormat="1" x14ac:dyDescent="0.25"/>
    <row r="45311" s="12" customFormat="1" x14ac:dyDescent="0.25"/>
    <row r="45312" s="12" customFormat="1" x14ac:dyDescent="0.25"/>
    <row r="45313" s="12" customFormat="1" x14ac:dyDescent="0.25"/>
    <row r="45314" s="12" customFormat="1" x14ac:dyDescent="0.25"/>
    <row r="45315" s="12" customFormat="1" x14ac:dyDescent="0.25"/>
    <row r="45316" s="12" customFormat="1" x14ac:dyDescent="0.25"/>
    <row r="45317" s="12" customFormat="1" x14ac:dyDescent="0.25"/>
    <row r="45318" s="12" customFormat="1" x14ac:dyDescent="0.25"/>
    <row r="45319" s="12" customFormat="1" x14ac:dyDescent="0.25"/>
    <row r="45320" s="12" customFormat="1" x14ac:dyDescent="0.25"/>
    <row r="45321" s="12" customFormat="1" x14ac:dyDescent="0.25"/>
    <row r="45322" s="12" customFormat="1" x14ac:dyDescent="0.25"/>
    <row r="45323" s="12" customFormat="1" x14ac:dyDescent="0.25"/>
    <row r="45324" s="12" customFormat="1" x14ac:dyDescent="0.25"/>
    <row r="45325" s="12" customFormat="1" x14ac:dyDescent="0.25"/>
    <row r="45326" s="12" customFormat="1" x14ac:dyDescent="0.25"/>
    <row r="45327" s="12" customFormat="1" x14ac:dyDescent="0.25"/>
    <row r="45328" s="12" customFormat="1" x14ac:dyDescent="0.25"/>
    <row r="45329" s="12" customFormat="1" x14ac:dyDescent="0.25"/>
    <row r="45330" s="12" customFormat="1" x14ac:dyDescent="0.25"/>
    <row r="45331" s="12" customFormat="1" x14ac:dyDescent="0.25"/>
    <row r="45332" s="12" customFormat="1" x14ac:dyDescent="0.25"/>
    <row r="45333" s="12" customFormat="1" x14ac:dyDescent="0.25"/>
    <row r="45334" s="12" customFormat="1" x14ac:dyDescent="0.25"/>
    <row r="45335" s="12" customFormat="1" x14ac:dyDescent="0.25"/>
    <row r="45336" s="12" customFormat="1" x14ac:dyDescent="0.25"/>
    <row r="45337" s="12" customFormat="1" x14ac:dyDescent="0.25"/>
    <row r="45338" s="12" customFormat="1" x14ac:dyDescent="0.25"/>
    <row r="45339" s="12" customFormat="1" x14ac:dyDescent="0.25"/>
    <row r="45340" s="12" customFormat="1" x14ac:dyDescent="0.25"/>
    <row r="45341" s="12" customFormat="1" x14ac:dyDescent="0.25"/>
    <row r="45342" s="12" customFormat="1" x14ac:dyDescent="0.25"/>
    <row r="45343" s="12" customFormat="1" x14ac:dyDescent="0.25"/>
    <row r="45344" s="12" customFormat="1" x14ac:dyDescent="0.25"/>
    <row r="45345" s="12" customFormat="1" x14ac:dyDescent="0.25"/>
    <row r="45346" s="12" customFormat="1" x14ac:dyDescent="0.25"/>
    <row r="45347" s="12" customFormat="1" x14ac:dyDescent="0.25"/>
    <row r="45348" s="12" customFormat="1" x14ac:dyDescent="0.25"/>
    <row r="45349" s="12" customFormat="1" x14ac:dyDescent="0.25"/>
    <row r="45350" s="12" customFormat="1" x14ac:dyDescent="0.25"/>
    <row r="45351" s="12" customFormat="1" x14ac:dyDescent="0.25"/>
    <row r="45352" s="12" customFormat="1" x14ac:dyDescent="0.25"/>
    <row r="45353" s="12" customFormat="1" x14ac:dyDescent="0.25"/>
    <row r="45354" s="12" customFormat="1" x14ac:dyDescent="0.25"/>
    <row r="45355" s="12" customFormat="1" x14ac:dyDescent="0.25"/>
    <row r="45356" s="12" customFormat="1" x14ac:dyDescent="0.25"/>
    <row r="45357" s="12" customFormat="1" x14ac:dyDescent="0.25"/>
    <row r="45358" s="12" customFormat="1" x14ac:dyDescent="0.25"/>
    <row r="45359" s="12" customFormat="1" x14ac:dyDescent="0.25"/>
    <row r="45360" s="12" customFormat="1" x14ac:dyDescent="0.25"/>
    <row r="45361" s="12" customFormat="1" x14ac:dyDescent="0.25"/>
    <row r="45362" s="12" customFormat="1" x14ac:dyDescent="0.25"/>
    <row r="45363" s="12" customFormat="1" x14ac:dyDescent="0.25"/>
    <row r="45364" s="12" customFormat="1" x14ac:dyDescent="0.25"/>
    <row r="45365" s="12" customFormat="1" x14ac:dyDescent="0.25"/>
    <row r="45366" s="12" customFormat="1" x14ac:dyDescent="0.25"/>
    <row r="45367" s="12" customFormat="1" x14ac:dyDescent="0.25"/>
    <row r="45368" s="12" customFormat="1" x14ac:dyDescent="0.25"/>
    <row r="45369" s="12" customFormat="1" x14ac:dyDescent="0.25"/>
    <row r="45370" s="12" customFormat="1" x14ac:dyDescent="0.25"/>
    <row r="45371" s="12" customFormat="1" x14ac:dyDescent="0.25"/>
    <row r="45372" s="12" customFormat="1" x14ac:dyDescent="0.25"/>
    <row r="45373" s="12" customFormat="1" x14ac:dyDescent="0.25"/>
    <row r="45374" s="12" customFormat="1" x14ac:dyDescent="0.25"/>
    <row r="45375" s="12" customFormat="1" x14ac:dyDescent="0.25"/>
    <row r="45376" s="12" customFormat="1" x14ac:dyDescent="0.25"/>
    <row r="45377" s="12" customFormat="1" x14ac:dyDescent="0.25"/>
    <row r="45378" s="12" customFormat="1" x14ac:dyDescent="0.25"/>
    <row r="45379" s="12" customFormat="1" x14ac:dyDescent="0.25"/>
    <row r="45380" s="12" customFormat="1" x14ac:dyDescent="0.25"/>
    <row r="45381" s="12" customFormat="1" x14ac:dyDescent="0.25"/>
    <row r="45382" s="12" customFormat="1" x14ac:dyDescent="0.25"/>
    <row r="45383" s="12" customFormat="1" x14ac:dyDescent="0.25"/>
    <row r="45384" s="12" customFormat="1" x14ac:dyDescent="0.25"/>
    <row r="45385" s="12" customFormat="1" x14ac:dyDescent="0.25"/>
    <row r="45386" s="12" customFormat="1" x14ac:dyDescent="0.25"/>
    <row r="45387" s="12" customFormat="1" x14ac:dyDescent="0.25"/>
    <row r="45388" s="12" customFormat="1" x14ac:dyDescent="0.25"/>
    <row r="45389" s="12" customFormat="1" x14ac:dyDescent="0.25"/>
    <row r="45390" s="12" customFormat="1" x14ac:dyDescent="0.25"/>
    <row r="45391" s="12" customFormat="1" x14ac:dyDescent="0.25"/>
    <row r="45392" s="12" customFormat="1" x14ac:dyDescent="0.25"/>
    <row r="45393" s="12" customFormat="1" x14ac:dyDescent="0.25"/>
    <row r="45394" s="12" customFormat="1" x14ac:dyDescent="0.25"/>
    <row r="45395" s="12" customFormat="1" x14ac:dyDescent="0.25"/>
    <row r="45396" s="12" customFormat="1" x14ac:dyDescent="0.25"/>
    <row r="45397" s="12" customFormat="1" x14ac:dyDescent="0.25"/>
    <row r="45398" s="12" customFormat="1" x14ac:dyDescent="0.25"/>
    <row r="45399" s="12" customFormat="1" x14ac:dyDescent="0.25"/>
    <row r="45400" s="12" customFormat="1" x14ac:dyDescent="0.25"/>
    <row r="45401" s="12" customFormat="1" x14ac:dyDescent="0.25"/>
    <row r="45402" s="12" customFormat="1" x14ac:dyDescent="0.25"/>
    <row r="45403" s="12" customFormat="1" x14ac:dyDescent="0.25"/>
    <row r="45404" s="12" customFormat="1" x14ac:dyDescent="0.25"/>
    <row r="45405" s="12" customFormat="1" x14ac:dyDescent="0.25"/>
    <row r="45406" s="12" customFormat="1" x14ac:dyDescent="0.25"/>
    <row r="45407" s="12" customFormat="1" x14ac:dyDescent="0.25"/>
    <row r="45408" s="12" customFormat="1" x14ac:dyDescent="0.25"/>
    <row r="45409" s="12" customFormat="1" x14ac:dyDescent="0.25"/>
    <row r="45410" s="12" customFormat="1" x14ac:dyDescent="0.25"/>
    <row r="45411" s="12" customFormat="1" x14ac:dyDescent="0.25"/>
    <row r="45412" s="12" customFormat="1" x14ac:dyDescent="0.25"/>
    <row r="45413" s="12" customFormat="1" x14ac:dyDescent="0.25"/>
    <row r="45414" s="12" customFormat="1" x14ac:dyDescent="0.25"/>
    <row r="45415" s="12" customFormat="1" x14ac:dyDescent="0.25"/>
    <row r="45416" s="12" customFormat="1" x14ac:dyDescent="0.25"/>
    <row r="45417" s="12" customFormat="1" x14ac:dyDescent="0.25"/>
    <row r="45418" s="12" customFormat="1" x14ac:dyDescent="0.25"/>
    <row r="45419" s="12" customFormat="1" x14ac:dyDescent="0.25"/>
    <row r="45420" s="12" customFormat="1" x14ac:dyDescent="0.25"/>
    <row r="45421" s="12" customFormat="1" x14ac:dyDescent="0.25"/>
    <row r="45422" s="12" customFormat="1" x14ac:dyDescent="0.25"/>
    <row r="45423" s="12" customFormat="1" x14ac:dyDescent="0.25"/>
    <row r="45424" s="12" customFormat="1" x14ac:dyDescent="0.25"/>
    <row r="45425" s="12" customFormat="1" x14ac:dyDescent="0.25"/>
    <row r="45426" s="12" customFormat="1" x14ac:dyDescent="0.25"/>
    <row r="45427" s="12" customFormat="1" x14ac:dyDescent="0.25"/>
    <row r="45428" s="12" customFormat="1" x14ac:dyDescent="0.25"/>
    <row r="45429" s="12" customFormat="1" x14ac:dyDescent="0.25"/>
    <row r="45430" s="12" customFormat="1" x14ac:dyDescent="0.25"/>
    <row r="45431" s="12" customFormat="1" x14ac:dyDescent="0.25"/>
    <row r="45432" s="12" customFormat="1" x14ac:dyDescent="0.25"/>
    <row r="45433" s="12" customFormat="1" x14ac:dyDescent="0.25"/>
    <row r="45434" s="12" customFormat="1" x14ac:dyDescent="0.25"/>
    <row r="45435" s="12" customFormat="1" x14ac:dyDescent="0.25"/>
    <row r="45436" s="12" customFormat="1" x14ac:dyDescent="0.25"/>
    <row r="45437" s="12" customFormat="1" x14ac:dyDescent="0.25"/>
    <row r="45438" s="12" customFormat="1" x14ac:dyDescent="0.25"/>
    <row r="45439" s="12" customFormat="1" x14ac:dyDescent="0.25"/>
    <row r="45440" s="12" customFormat="1" x14ac:dyDescent="0.25"/>
    <row r="45441" s="12" customFormat="1" x14ac:dyDescent="0.25"/>
    <row r="45442" s="12" customFormat="1" x14ac:dyDescent="0.25"/>
    <row r="45443" s="12" customFormat="1" x14ac:dyDescent="0.25"/>
    <row r="45444" s="12" customFormat="1" x14ac:dyDescent="0.25"/>
    <row r="45445" s="12" customFormat="1" x14ac:dyDescent="0.25"/>
    <row r="45446" s="12" customFormat="1" x14ac:dyDescent="0.25"/>
    <row r="45447" s="12" customFormat="1" x14ac:dyDescent="0.25"/>
    <row r="45448" s="12" customFormat="1" x14ac:dyDescent="0.25"/>
    <row r="45449" s="12" customFormat="1" x14ac:dyDescent="0.25"/>
    <row r="45450" s="12" customFormat="1" x14ac:dyDescent="0.25"/>
    <row r="45451" s="12" customFormat="1" x14ac:dyDescent="0.25"/>
    <row r="45452" s="12" customFormat="1" x14ac:dyDescent="0.25"/>
    <row r="45453" s="12" customFormat="1" x14ac:dyDescent="0.25"/>
    <row r="45454" s="12" customFormat="1" x14ac:dyDescent="0.25"/>
    <row r="45455" s="12" customFormat="1" x14ac:dyDescent="0.25"/>
    <row r="45456" s="12" customFormat="1" x14ac:dyDescent="0.25"/>
    <row r="45457" s="12" customFormat="1" x14ac:dyDescent="0.25"/>
    <row r="45458" s="12" customFormat="1" x14ac:dyDescent="0.25"/>
    <row r="45459" s="12" customFormat="1" x14ac:dyDescent="0.25"/>
    <row r="45460" s="12" customFormat="1" x14ac:dyDescent="0.25"/>
    <row r="45461" s="12" customFormat="1" x14ac:dyDescent="0.25"/>
    <row r="45462" s="12" customFormat="1" x14ac:dyDescent="0.25"/>
    <row r="45463" s="12" customFormat="1" x14ac:dyDescent="0.25"/>
    <row r="45464" s="12" customFormat="1" x14ac:dyDescent="0.25"/>
    <row r="45465" s="12" customFormat="1" x14ac:dyDescent="0.25"/>
    <row r="45466" s="12" customFormat="1" x14ac:dyDescent="0.25"/>
    <row r="45467" s="12" customFormat="1" x14ac:dyDescent="0.25"/>
    <row r="45468" s="12" customFormat="1" x14ac:dyDescent="0.25"/>
    <row r="45469" s="12" customFormat="1" x14ac:dyDescent="0.25"/>
    <row r="45470" s="12" customFormat="1" x14ac:dyDescent="0.25"/>
    <row r="45471" s="12" customFormat="1" x14ac:dyDescent="0.25"/>
    <row r="45472" s="12" customFormat="1" x14ac:dyDescent="0.25"/>
    <row r="45473" s="12" customFormat="1" x14ac:dyDescent="0.25"/>
    <row r="45474" s="12" customFormat="1" x14ac:dyDescent="0.25"/>
    <row r="45475" s="12" customFormat="1" x14ac:dyDescent="0.25"/>
    <row r="45476" s="12" customFormat="1" x14ac:dyDescent="0.25"/>
    <row r="45477" s="12" customFormat="1" x14ac:dyDescent="0.25"/>
    <row r="45478" s="12" customFormat="1" x14ac:dyDescent="0.25"/>
    <row r="45479" s="12" customFormat="1" x14ac:dyDescent="0.25"/>
    <row r="45480" s="12" customFormat="1" x14ac:dyDescent="0.25"/>
    <row r="45481" s="12" customFormat="1" x14ac:dyDescent="0.25"/>
    <row r="45482" s="12" customFormat="1" x14ac:dyDescent="0.25"/>
    <row r="45483" s="12" customFormat="1" x14ac:dyDescent="0.25"/>
    <row r="45484" s="12" customFormat="1" x14ac:dyDescent="0.25"/>
    <row r="45485" s="12" customFormat="1" x14ac:dyDescent="0.25"/>
    <row r="45486" s="12" customFormat="1" x14ac:dyDescent="0.25"/>
    <row r="45487" s="12" customFormat="1" x14ac:dyDescent="0.25"/>
    <row r="45488" s="12" customFormat="1" x14ac:dyDescent="0.25"/>
    <row r="45489" s="12" customFormat="1" x14ac:dyDescent="0.25"/>
    <row r="45490" s="12" customFormat="1" x14ac:dyDescent="0.25"/>
    <row r="45491" s="12" customFormat="1" x14ac:dyDescent="0.25"/>
    <row r="45492" s="12" customFormat="1" x14ac:dyDescent="0.25"/>
    <row r="45493" s="12" customFormat="1" x14ac:dyDescent="0.25"/>
    <row r="45494" s="12" customFormat="1" x14ac:dyDescent="0.25"/>
    <row r="45495" s="12" customFormat="1" x14ac:dyDescent="0.25"/>
    <row r="45496" s="12" customFormat="1" x14ac:dyDescent="0.25"/>
    <row r="45497" s="12" customFormat="1" x14ac:dyDescent="0.25"/>
    <row r="45498" s="12" customFormat="1" x14ac:dyDescent="0.25"/>
    <row r="45499" s="12" customFormat="1" x14ac:dyDescent="0.25"/>
    <row r="45500" s="12" customFormat="1" x14ac:dyDescent="0.25"/>
    <row r="45501" s="12" customFormat="1" x14ac:dyDescent="0.25"/>
    <row r="45502" s="12" customFormat="1" x14ac:dyDescent="0.25"/>
    <row r="45503" s="12" customFormat="1" x14ac:dyDescent="0.25"/>
    <row r="45504" s="12" customFormat="1" x14ac:dyDescent="0.25"/>
    <row r="45505" s="12" customFormat="1" x14ac:dyDescent="0.25"/>
    <row r="45506" s="12" customFormat="1" x14ac:dyDescent="0.25"/>
    <row r="45507" s="12" customFormat="1" x14ac:dyDescent="0.25"/>
    <row r="45508" s="12" customFormat="1" x14ac:dyDescent="0.25"/>
    <row r="45509" s="12" customFormat="1" x14ac:dyDescent="0.25"/>
    <row r="45510" s="12" customFormat="1" x14ac:dyDescent="0.25"/>
    <row r="45511" s="12" customFormat="1" x14ac:dyDescent="0.25"/>
    <row r="45512" s="12" customFormat="1" x14ac:dyDescent="0.25"/>
    <row r="45513" s="12" customFormat="1" x14ac:dyDescent="0.25"/>
    <row r="45514" s="12" customFormat="1" x14ac:dyDescent="0.25"/>
    <row r="45515" s="12" customFormat="1" x14ac:dyDescent="0.25"/>
    <row r="45516" s="12" customFormat="1" x14ac:dyDescent="0.25"/>
    <row r="45517" s="12" customFormat="1" x14ac:dyDescent="0.25"/>
    <row r="45518" s="12" customFormat="1" x14ac:dyDescent="0.25"/>
    <row r="45519" s="12" customFormat="1" x14ac:dyDescent="0.25"/>
    <row r="45520" s="12" customFormat="1" x14ac:dyDescent="0.25"/>
    <row r="45521" s="12" customFormat="1" x14ac:dyDescent="0.25"/>
    <row r="45522" s="12" customFormat="1" x14ac:dyDescent="0.25"/>
    <row r="45523" s="12" customFormat="1" x14ac:dyDescent="0.25"/>
    <row r="45524" s="12" customFormat="1" x14ac:dyDescent="0.25"/>
    <row r="45525" s="12" customFormat="1" x14ac:dyDescent="0.25"/>
    <row r="45526" s="12" customFormat="1" x14ac:dyDescent="0.25"/>
    <row r="45527" s="12" customFormat="1" x14ac:dyDescent="0.25"/>
    <row r="45528" s="12" customFormat="1" x14ac:dyDescent="0.25"/>
    <row r="45529" s="12" customFormat="1" x14ac:dyDescent="0.25"/>
    <row r="45530" s="12" customFormat="1" x14ac:dyDescent="0.25"/>
    <row r="45531" s="12" customFormat="1" x14ac:dyDescent="0.25"/>
    <row r="45532" s="12" customFormat="1" x14ac:dyDescent="0.25"/>
    <row r="45533" s="12" customFormat="1" x14ac:dyDescent="0.25"/>
    <row r="45534" s="12" customFormat="1" x14ac:dyDescent="0.25"/>
    <row r="45535" s="12" customFormat="1" x14ac:dyDescent="0.25"/>
    <row r="45536" s="12" customFormat="1" x14ac:dyDescent="0.25"/>
    <row r="45537" s="12" customFormat="1" x14ac:dyDescent="0.25"/>
    <row r="45538" s="12" customFormat="1" x14ac:dyDescent="0.25"/>
    <row r="45539" s="12" customFormat="1" x14ac:dyDescent="0.25"/>
    <row r="45540" s="12" customFormat="1" x14ac:dyDescent="0.25"/>
    <row r="45541" s="12" customFormat="1" x14ac:dyDescent="0.25"/>
    <row r="45542" s="12" customFormat="1" x14ac:dyDescent="0.25"/>
    <row r="45543" s="12" customFormat="1" x14ac:dyDescent="0.25"/>
    <row r="45544" s="12" customFormat="1" x14ac:dyDescent="0.25"/>
    <row r="45545" s="12" customFormat="1" x14ac:dyDescent="0.25"/>
    <row r="45546" s="12" customFormat="1" x14ac:dyDescent="0.25"/>
    <row r="45547" s="12" customFormat="1" x14ac:dyDescent="0.25"/>
    <row r="45548" s="12" customFormat="1" x14ac:dyDescent="0.25"/>
    <row r="45549" s="12" customFormat="1" x14ac:dyDescent="0.25"/>
    <row r="45550" s="12" customFormat="1" x14ac:dyDescent="0.25"/>
    <row r="45551" s="12" customFormat="1" x14ac:dyDescent="0.25"/>
    <row r="45552" s="12" customFormat="1" x14ac:dyDescent="0.25"/>
    <row r="45553" s="12" customFormat="1" x14ac:dyDescent="0.25"/>
    <row r="45554" s="12" customFormat="1" x14ac:dyDescent="0.25"/>
    <row r="45555" s="12" customFormat="1" x14ac:dyDescent="0.25"/>
    <row r="45556" s="12" customFormat="1" x14ac:dyDescent="0.25"/>
    <row r="45557" s="12" customFormat="1" x14ac:dyDescent="0.25"/>
    <row r="45558" s="12" customFormat="1" x14ac:dyDescent="0.25"/>
    <row r="45559" s="12" customFormat="1" x14ac:dyDescent="0.25"/>
    <row r="45560" s="12" customFormat="1" x14ac:dyDescent="0.25"/>
    <row r="45561" s="12" customFormat="1" x14ac:dyDescent="0.25"/>
    <row r="45562" s="12" customFormat="1" x14ac:dyDescent="0.25"/>
    <row r="45563" s="12" customFormat="1" x14ac:dyDescent="0.25"/>
    <row r="45564" s="12" customFormat="1" x14ac:dyDescent="0.25"/>
    <row r="45565" s="12" customFormat="1" x14ac:dyDescent="0.25"/>
    <row r="45566" s="12" customFormat="1" x14ac:dyDescent="0.25"/>
    <row r="45567" s="12" customFormat="1" x14ac:dyDescent="0.25"/>
    <row r="45568" s="12" customFormat="1" x14ac:dyDescent="0.25"/>
    <row r="45569" s="12" customFormat="1" x14ac:dyDescent="0.25"/>
    <row r="45570" s="12" customFormat="1" x14ac:dyDescent="0.25"/>
    <row r="45571" s="12" customFormat="1" x14ac:dyDescent="0.25"/>
    <row r="45572" s="12" customFormat="1" x14ac:dyDescent="0.25"/>
    <row r="45573" s="12" customFormat="1" x14ac:dyDescent="0.25"/>
    <row r="45574" s="12" customFormat="1" x14ac:dyDescent="0.25"/>
    <row r="45575" s="12" customFormat="1" x14ac:dyDescent="0.25"/>
    <row r="45576" s="12" customFormat="1" x14ac:dyDescent="0.25"/>
    <row r="45577" s="12" customFormat="1" x14ac:dyDescent="0.25"/>
    <row r="45578" s="12" customFormat="1" x14ac:dyDescent="0.25"/>
    <row r="45579" s="12" customFormat="1" x14ac:dyDescent="0.25"/>
    <row r="45580" s="12" customFormat="1" x14ac:dyDescent="0.25"/>
    <row r="45581" s="12" customFormat="1" x14ac:dyDescent="0.25"/>
    <row r="45582" s="12" customFormat="1" x14ac:dyDescent="0.25"/>
    <row r="45583" s="12" customFormat="1" x14ac:dyDescent="0.25"/>
    <row r="45584" s="12" customFormat="1" x14ac:dyDescent="0.25"/>
    <row r="45585" s="12" customFormat="1" x14ac:dyDescent="0.25"/>
    <row r="45586" s="12" customFormat="1" x14ac:dyDescent="0.25"/>
    <row r="45587" s="12" customFormat="1" x14ac:dyDescent="0.25"/>
    <row r="45588" s="12" customFormat="1" x14ac:dyDescent="0.25"/>
    <row r="45589" s="12" customFormat="1" x14ac:dyDescent="0.25"/>
    <row r="45590" s="12" customFormat="1" x14ac:dyDescent="0.25"/>
    <row r="45591" s="12" customFormat="1" x14ac:dyDescent="0.25"/>
    <row r="45592" s="12" customFormat="1" x14ac:dyDescent="0.25"/>
    <row r="45593" s="12" customFormat="1" x14ac:dyDescent="0.25"/>
    <row r="45594" s="12" customFormat="1" x14ac:dyDescent="0.25"/>
    <row r="45595" s="12" customFormat="1" x14ac:dyDescent="0.25"/>
    <row r="45596" s="12" customFormat="1" x14ac:dyDescent="0.25"/>
    <row r="45597" s="12" customFormat="1" x14ac:dyDescent="0.25"/>
    <row r="45598" s="12" customFormat="1" x14ac:dyDescent="0.25"/>
    <row r="45599" s="12" customFormat="1" x14ac:dyDescent="0.25"/>
    <row r="45600" s="12" customFormat="1" x14ac:dyDescent="0.25"/>
    <row r="45601" s="12" customFormat="1" x14ac:dyDescent="0.25"/>
    <row r="45602" s="12" customFormat="1" x14ac:dyDescent="0.25"/>
    <row r="45603" s="12" customFormat="1" x14ac:dyDescent="0.25"/>
    <row r="45604" s="12" customFormat="1" x14ac:dyDescent="0.25"/>
    <row r="45605" s="12" customFormat="1" x14ac:dyDescent="0.25"/>
    <row r="45606" s="12" customFormat="1" x14ac:dyDescent="0.25"/>
    <row r="45607" s="12" customFormat="1" x14ac:dyDescent="0.25"/>
    <row r="45608" s="12" customFormat="1" x14ac:dyDescent="0.25"/>
    <row r="45609" s="12" customFormat="1" x14ac:dyDescent="0.25"/>
    <row r="45610" s="12" customFormat="1" x14ac:dyDescent="0.25"/>
    <row r="45611" s="12" customFormat="1" x14ac:dyDescent="0.25"/>
    <row r="45612" s="12" customFormat="1" x14ac:dyDescent="0.25"/>
    <row r="45613" s="12" customFormat="1" x14ac:dyDescent="0.25"/>
    <row r="45614" s="12" customFormat="1" x14ac:dyDescent="0.25"/>
    <row r="45615" s="12" customFormat="1" x14ac:dyDescent="0.25"/>
    <row r="45616" s="12" customFormat="1" x14ac:dyDescent="0.25"/>
    <row r="45617" s="12" customFormat="1" x14ac:dyDescent="0.25"/>
    <row r="45618" s="12" customFormat="1" x14ac:dyDescent="0.25"/>
    <row r="45619" s="12" customFormat="1" x14ac:dyDescent="0.25"/>
    <row r="45620" s="12" customFormat="1" x14ac:dyDescent="0.25"/>
    <row r="45621" s="12" customFormat="1" x14ac:dyDescent="0.25"/>
    <row r="45622" s="12" customFormat="1" x14ac:dyDescent="0.25"/>
    <row r="45623" s="12" customFormat="1" x14ac:dyDescent="0.25"/>
    <row r="45624" s="12" customFormat="1" x14ac:dyDescent="0.25"/>
    <row r="45625" s="12" customFormat="1" x14ac:dyDescent="0.25"/>
    <row r="45626" s="12" customFormat="1" x14ac:dyDescent="0.25"/>
    <row r="45627" s="12" customFormat="1" x14ac:dyDescent="0.25"/>
    <row r="45628" s="12" customFormat="1" x14ac:dyDescent="0.25"/>
    <row r="45629" s="12" customFormat="1" x14ac:dyDescent="0.25"/>
    <row r="45630" s="12" customFormat="1" x14ac:dyDescent="0.25"/>
    <row r="45631" s="12" customFormat="1" x14ac:dyDescent="0.25"/>
    <row r="45632" s="12" customFormat="1" x14ac:dyDescent="0.25"/>
    <row r="45633" s="12" customFormat="1" x14ac:dyDescent="0.25"/>
    <row r="45634" s="12" customFormat="1" x14ac:dyDescent="0.25"/>
    <row r="45635" s="12" customFormat="1" x14ac:dyDescent="0.25"/>
    <row r="45636" s="12" customFormat="1" x14ac:dyDescent="0.25"/>
    <row r="45637" s="12" customFormat="1" x14ac:dyDescent="0.25"/>
    <row r="45638" s="12" customFormat="1" x14ac:dyDescent="0.25"/>
    <row r="45639" s="12" customFormat="1" x14ac:dyDescent="0.25"/>
    <row r="45640" s="12" customFormat="1" x14ac:dyDescent="0.25"/>
    <row r="45641" s="12" customFormat="1" x14ac:dyDescent="0.25"/>
    <row r="45642" s="12" customFormat="1" x14ac:dyDescent="0.25"/>
    <row r="45643" s="12" customFormat="1" x14ac:dyDescent="0.25"/>
    <row r="45644" s="12" customFormat="1" x14ac:dyDescent="0.25"/>
    <row r="45645" s="12" customFormat="1" x14ac:dyDescent="0.25"/>
    <row r="45646" s="12" customFormat="1" x14ac:dyDescent="0.25"/>
    <row r="45647" s="12" customFormat="1" x14ac:dyDescent="0.25"/>
    <row r="45648" s="12" customFormat="1" x14ac:dyDescent="0.25"/>
    <row r="45649" s="12" customFormat="1" x14ac:dyDescent="0.25"/>
    <row r="45650" s="12" customFormat="1" x14ac:dyDescent="0.25"/>
    <row r="45651" s="12" customFormat="1" x14ac:dyDescent="0.25"/>
    <row r="45652" s="12" customFormat="1" x14ac:dyDescent="0.25"/>
    <row r="45653" s="12" customFormat="1" x14ac:dyDescent="0.25"/>
    <row r="45654" s="12" customFormat="1" x14ac:dyDescent="0.25"/>
    <row r="45655" s="12" customFormat="1" x14ac:dyDescent="0.25"/>
    <row r="45656" s="12" customFormat="1" x14ac:dyDescent="0.25"/>
    <row r="45657" s="12" customFormat="1" x14ac:dyDescent="0.25"/>
    <row r="45658" s="12" customFormat="1" x14ac:dyDescent="0.25"/>
    <row r="45659" s="12" customFormat="1" x14ac:dyDescent="0.25"/>
    <row r="45660" s="12" customFormat="1" x14ac:dyDescent="0.25"/>
    <row r="45661" s="12" customFormat="1" x14ac:dyDescent="0.25"/>
    <row r="45662" s="12" customFormat="1" x14ac:dyDescent="0.25"/>
    <row r="45663" s="12" customFormat="1" x14ac:dyDescent="0.25"/>
    <row r="45664" s="12" customFormat="1" x14ac:dyDescent="0.25"/>
    <row r="45665" s="12" customFormat="1" x14ac:dyDescent="0.25"/>
    <row r="45666" s="12" customFormat="1" x14ac:dyDescent="0.25"/>
    <row r="45667" s="12" customFormat="1" x14ac:dyDescent="0.25"/>
    <row r="45668" s="12" customFormat="1" x14ac:dyDescent="0.25"/>
    <row r="45669" s="12" customFormat="1" x14ac:dyDescent="0.25"/>
    <row r="45670" s="12" customFormat="1" x14ac:dyDescent="0.25"/>
    <row r="45671" s="12" customFormat="1" x14ac:dyDescent="0.25"/>
    <row r="45672" s="12" customFormat="1" x14ac:dyDescent="0.25"/>
    <row r="45673" s="12" customFormat="1" x14ac:dyDescent="0.25"/>
    <row r="45674" s="12" customFormat="1" x14ac:dyDescent="0.25"/>
    <row r="45675" s="12" customFormat="1" x14ac:dyDescent="0.25"/>
    <row r="45676" s="12" customFormat="1" x14ac:dyDescent="0.25"/>
    <row r="45677" s="12" customFormat="1" x14ac:dyDescent="0.25"/>
    <row r="45678" s="12" customFormat="1" x14ac:dyDescent="0.25"/>
    <row r="45679" s="12" customFormat="1" x14ac:dyDescent="0.25"/>
    <row r="45680" s="12" customFormat="1" x14ac:dyDescent="0.25"/>
    <row r="45681" s="12" customFormat="1" x14ac:dyDescent="0.25"/>
    <row r="45682" s="12" customFormat="1" x14ac:dyDescent="0.25"/>
    <row r="45683" s="12" customFormat="1" x14ac:dyDescent="0.25"/>
    <row r="45684" s="12" customFormat="1" x14ac:dyDescent="0.25"/>
    <row r="45685" s="12" customFormat="1" x14ac:dyDescent="0.25"/>
    <row r="45686" s="12" customFormat="1" x14ac:dyDescent="0.25"/>
    <row r="45687" s="12" customFormat="1" x14ac:dyDescent="0.25"/>
    <row r="45688" s="12" customFormat="1" x14ac:dyDescent="0.25"/>
    <row r="45689" s="12" customFormat="1" x14ac:dyDescent="0.25"/>
    <row r="45690" s="12" customFormat="1" x14ac:dyDescent="0.25"/>
    <row r="45691" s="12" customFormat="1" x14ac:dyDescent="0.25"/>
    <row r="45692" s="12" customFormat="1" x14ac:dyDescent="0.25"/>
    <row r="45693" s="12" customFormat="1" x14ac:dyDescent="0.25"/>
    <row r="45694" s="12" customFormat="1" x14ac:dyDescent="0.25"/>
    <row r="45695" s="12" customFormat="1" x14ac:dyDescent="0.25"/>
    <row r="45696" s="12" customFormat="1" x14ac:dyDescent="0.25"/>
    <row r="45697" s="12" customFormat="1" x14ac:dyDescent="0.25"/>
    <row r="45698" s="12" customFormat="1" x14ac:dyDescent="0.25"/>
    <row r="45699" s="12" customFormat="1" x14ac:dyDescent="0.25"/>
    <row r="45700" s="12" customFormat="1" x14ac:dyDescent="0.25"/>
    <row r="45701" s="12" customFormat="1" x14ac:dyDescent="0.25"/>
    <row r="45702" s="12" customFormat="1" x14ac:dyDescent="0.25"/>
    <row r="45703" s="12" customFormat="1" x14ac:dyDescent="0.25"/>
    <row r="45704" s="12" customFormat="1" x14ac:dyDescent="0.25"/>
    <row r="45705" s="12" customFormat="1" x14ac:dyDescent="0.25"/>
    <row r="45706" s="12" customFormat="1" x14ac:dyDescent="0.25"/>
    <row r="45707" s="12" customFormat="1" x14ac:dyDescent="0.25"/>
    <row r="45708" s="12" customFormat="1" x14ac:dyDescent="0.25"/>
    <row r="45709" s="12" customFormat="1" x14ac:dyDescent="0.25"/>
    <row r="45710" s="12" customFormat="1" x14ac:dyDescent="0.25"/>
    <row r="45711" s="12" customFormat="1" x14ac:dyDescent="0.25"/>
    <row r="45712" s="12" customFormat="1" x14ac:dyDescent="0.25"/>
    <row r="45713" s="12" customFormat="1" x14ac:dyDescent="0.25"/>
    <row r="45714" s="12" customFormat="1" x14ac:dyDescent="0.25"/>
    <row r="45715" s="12" customFormat="1" x14ac:dyDescent="0.25"/>
    <row r="45716" s="12" customFormat="1" x14ac:dyDescent="0.25"/>
    <row r="45717" s="12" customFormat="1" x14ac:dyDescent="0.25"/>
    <row r="45718" s="12" customFormat="1" x14ac:dyDescent="0.25"/>
    <row r="45719" s="12" customFormat="1" x14ac:dyDescent="0.25"/>
    <row r="45720" s="12" customFormat="1" x14ac:dyDescent="0.25"/>
    <row r="45721" s="12" customFormat="1" x14ac:dyDescent="0.25"/>
    <row r="45722" s="12" customFormat="1" x14ac:dyDescent="0.25"/>
    <row r="45723" s="12" customFormat="1" x14ac:dyDescent="0.25"/>
    <row r="45724" s="12" customFormat="1" x14ac:dyDescent="0.25"/>
    <row r="45725" s="12" customFormat="1" x14ac:dyDescent="0.25"/>
    <row r="45726" s="12" customFormat="1" x14ac:dyDescent="0.25"/>
    <row r="45727" s="12" customFormat="1" x14ac:dyDescent="0.25"/>
    <row r="45728" s="12" customFormat="1" x14ac:dyDescent="0.25"/>
    <row r="45729" s="12" customFormat="1" x14ac:dyDescent="0.25"/>
    <row r="45730" s="12" customFormat="1" x14ac:dyDescent="0.25"/>
    <row r="45731" s="12" customFormat="1" x14ac:dyDescent="0.25"/>
    <row r="45732" s="12" customFormat="1" x14ac:dyDescent="0.25"/>
    <row r="45733" s="12" customFormat="1" x14ac:dyDescent="0.25"/>
    <row r="45734" s="12" customFormat="1" x14ac:dyDescent="0.25"/>
    <row r="45735" s="12" customFormat="1" x14ac:dyDescent="0.25"/>
    <row r="45736" s="12" customFormat="1" x14ac:dyDescent="0.25"/>
    <row r="45737" s="12" customFormat="1" x14ac:dyDescent="0.25"/>
    <row r="45738" s="12" customFormat="1" x14ac:dyDescent="0.25"/>
    <row r="45739" s="12" customFormat="1" x14ac:dyDescent="0.25"/>
    <row r="45740" s="12" customFormat="1" x14ac:dyDescent="0.25"/>
    <row r="45741" s="12" customFormat="1" x14ac:dyDescent="0.25"/>
    <row r="45742" s="12" customFormat="1" x14ac:dyDescent="0.25"/>
    <row r="45743" s="12" customFormat="1" x14ac:dyDescent="0.25"/>
    <row r="45744" s="12" customFormat="1" x14ac:dyDescent="0.25"/>
    <row r="45745" s="12" customFormat="1" x14ac:dyDescent="0.25"/>
    <row r="45746" s="12" customFormat="1" x14ac:dyDescent="0.25"/>
    <row r="45747" s="12" customFormat="1" x14ac:dyDescent="0.25"/>
    <row r="45748" s="12" customFormat="1" x14ac:dyDescent="0.25"/>
    <row r="45749" s="12" customFormat="1" x14ac:dyDescent="0.25"/>
    <row r="45750" s="12" customFormat="1" x14ac:dyDescent="0.25"/>
    <row r="45751" s="12" customFormat="1" x14ac:dyDescent="0.25"/>
    <row r="45752" s="12" customFormat="1" x14ac:dyDescent="0.25"/>
    <row r="45753" s="12" customFormat="1" x14ac:dyDescent="0.25"/>
    <row r="45754" s="12" customFormat="1" x14ac:dyDescent="0.25"/>
    <row r="45755" s="12" customFormat="1" x14ac:dyDescent="0.25"/>
    <row r="45756" s="12" customFormat="1" x14ac:dyDescent="0.25"/>
    <row r="45757" s="12" customFormat="1" x14ac:dyDescent="0.25"/>
    <row r="45758" s="12" customFormat="1" x14ac:dyDescent="0.25"/>
    <row r="45759" s="12" customFormat="1" x14ac:dyDescent="0.25"/>
    <row r="45760" s="12" customFormat="1" x14ac:dyDescent="0.25"/>
    <row r="45761" s="12" customFormat="1" x14ac:dyDescent="0.25"/>
    <row r="45762" s="12" customFormat="1" x14ac:dyDescent="0.25"/>
    <row r="45763" s="12" customFormat="1" x14ac:dyDescent="0.25"/>
    <row r="45764" s="12" customFormat="1" x14ac:dyDescent="0.25"/>
    <row r="45765" s="12" customFormat="1" x14ac:dyDescent="0.25"/>
    <row r="45766" s="12" customFormat="1" x14ac:dyDescent="0.25"/>
    <row r="45767" s="12" customFormat="1" x14ac:dyDescent="0.25"/>
    <row r="45768" s="12" customFormat="1" x14ac:dyDescent="0.25"/>
    <row r="45769" s="12" customFormat="1" x14ac:dyDescent="0.25"/>
    <row r="45770" s="12" customFormat="1" x14ac:dyDescent="0.25"/>
    <row r="45771" s="12" customFormat="1" x14ac:dyDescent="0.25"/>
    <row r="45772" s="12" customFormat="1" x14ac:dyDescent="0.25"/>
    <row r="45773" s="12" customFormat="1" x14ac:dyDescent="0.25"/>
    <row r="45774" s="12" customFormat="1" x14ac:dyDescent="0.25"/>
    <row r="45775" s="12" customFormat="1" x14ac:dyDescent="0.25"/>
    <row r="45776" s="12" customFormat="1" x14ac:dyDescent="0.25"/>
    <row r="45777" s="12" customFormat="1" x14ac:dyDescent="0.25"/>
    <row r="45778" s="12" customFormat="1" x14ac:dyDescent="0.25"/>
    <row r="45779" s="12" customFormat="1" x14ac:dyDescent="0.25"/>
    <row r="45780" s="12" customFormat="1" x14ac:dyDescent="0.25"/>
    <row r="45781" s="12" customFormat="1" x14ac:dyDescent="0.25"/>
    <row r="45782" s="12" customFormat="1" x14ac:dyDescent="0.25"/>
    <row r="45783" s="12" customFormat="1" x14ac:dyDescent="0.25"/>
    <row r="45784" s="12" customFormat="1" x14ac:dyDescent="0.25"/>
    <row r="45785" s="12" customFormat="1" x14ac:dyDescent="0.25"/>
    <row r="45786" s="12" customFormat="1" x14ac:dyDescent="0.25"/>
    <row r="45787" s="12" customFormat="1" x14ac:dyDescent="0.25"/>
    <row r="45788" s="12" customFormat="1" x14ac:dyDescent="0.25"/>
    <row r="45789" s="12" customFormat="1" x14ac:dyDescent="0.25"/>
    <row r="45790" s="12" customFormat="1" x14ac:dyDescent="0.25"/>
    <row r="45791" s="12" customFormat="1" x14ac:dyDescent="0.25"/>
    <row r="45792" s="12" customFormat="1" x14ac:dyDescent="0.25"/>
    <row r="45793" s="12" customFormat="1" x14ac:dyDescent="0.25"/>
    <row r="45794" s="12" customFormat="1" x14ac:dyDescent="0.25"/>
    <row r="45795" s="12" customFormat="1" x14ac:dyDescent="0.25"/>
    <row r="45796" s="12" customFormat="1" x14ac:dyDescent="0.25"/>
    <row r="45797" s="12" customFormat="1" x14ac:dyDescent="0.25"/>
    <row r="45798" s="12" customFormat="1" x14ac:dyDescent="0.25"/>
    <row r="45799" s="12" customFormat="1" x14ac:dyDescent="0.25"/>
    <row r="45800" s="12" customFormat="1" x14ac:dyDescent="0.25"/>
    <row r="45801" s="12" customFormat="1" x14ac:dyDescent="0.25"/>
    <row r="45802" s="12" customFormat="1" x14ac:dyDescent="0.25"/>
    <row r="45803" s="12" customFormat="1" x14ac:dyDescent="0.25"/>
    <row r="45804" s="12" customFormat="1" x14ac:dyDescent="0.25"/>
    <row r="45805" s="12" customFormat="1" x14ac:dyDescent="0.25"/>
    <row r="45806" s="12" customFormat="1" x14ac:dyDescent="0.25"/>
    <row r="45807" s="12" customFormat="1" x14ac:dyDescent="0.25"/>
    <row r="45808" s="12" customFormat="1" x14ac:dyDescent="0.25"/>
    <row r="45809" s="12" customFormat="1" x14ac:dyDescent="0.25"/>
    <row r="45810" s="12" customFormat="1" x14ac:dyDescent="0.25"/>
    <row r="45811" s="12" customFormat="1" x14ac:dyDescent="0.25"/>
    <row r="45812" s="12" customFormat="1" x14ac:dyDescent="0.25"/>
    <row r="45813" s="12" customFormat="1" x14ac:dyDescent="0.25"/>
    <row r="45814" s="12" customFormat="1" x14ac:dyDescent="0.25"/>
    <row r="45815" s="12" customFormat="1" x14ac:dyDescent="0.25"/>
    <row r="45816" s="12" customFormat="1" x14ac:dyDescent="0.25"/>
    <row r="45817" s="12" customFormat="1" x14ac:dyDescent="0.25"/>
    <row r="45818" s="12" customFormat="1" x14ac:dyDescent="0.25"/>
    <row r="45819" s="12" customFormat="1" x14ac:dyDescent="0.25"/>
    <row r="45820" s="12" customFormat="1" x14ac:dyDescent="0.25"/>
    <row r="45821" s="12" customFormat="1" x14ac:dyDescent="0.25"/>
    <row r="45822" s="12" customFormat="1" x14ac:dyDescent="0.25"/>
    <row r="45823" s="12" customFormat="1" x14ac:dyDescent="0.25"/>
    <row r="45824" s="12" customFormat="1" x14ac:dyDescent="0.25"/>
    <row r="45825" s="12" customFormat="1" x14ac:dyDescent="0.25"/>
    <row r="45826" s="12" customFormat="1" x14ac:dyDescent="0.25"/>
    <row r="45827" s="12" customFormat="1" x14ac:dyDescent="0.25"/>
    <row r="45828" s="12" customFormat="1" x14ac:dyDescent="0.25"/>
    <row r="45829" s="12" customFormat="1" x14ac:dyDescent="0.25"/>
    <row r="45830" s="12" customFormat="1" x14ac:dyDescent="0.25"/>
    <row r="45831" s="12" customFormat="1" x14ac:dyDescent="0.25"/>
    <row r="45832" s="12" customFormat="1" x14ac:dyDescent="0.25"/>
    <row r="45833" s="12" customFormat="1" x14ac:dyDescent="0.25"/>
    <row r="45834" s="12" customFormat="1" x14ac:dyDescent="0.25"/>
    <row r="45835" s="12" customFormat="1" x14ac:dyDescent="0.25"/>
    <row r="45836" s="12" customFormat="1" x14ac:dyDescent="0.25"/>
    <row r="45837" s="12" customFormat="1" x14ac:dyDescent="0.25"/>
    <row r="45838" s="12" customFormat="1" x14ac:dyDescent="0.25"/>
    <row r="45839" s="12" customFormat="1" x14ac:dyDescent="0.25"/>
    <row r="45840" s="12" customFormat="1" x14ac:dyDescent="0.25"/>
    <row r="45841" s="12" customFormat="1" x14ac:dyDescent="0.25"/>
    <row r="45842" s="12" customFormat="1" x14ac:dyDescent="0.25"/>
    <row r="45843" s="12" customFormat="1" x14ac:dyDescent="0.25"/>
    <row r="45844" s="12" customFormat="1" x14ac:dyDescent="0.25"/>
    <row r="45845" s="12" customFormat="1" x14ac:dyDescent="0.25"/>
    <row r="45846" s="12" customFormat="1" x14ac:dyDescent="0.25"/>
    <row r="45847" s="12" customFormat="1" x14ac:dyDescent="0.25"/>
    <row r="45848" s="12" customFormat="1" x14ac:dyDescent="0.25"/>
    <row r="45849" s="12" customFormat="1" x14ac:dyDescent="0.25"/>
    <row r="45850" s="12" customFormat="1" x14ac:dyDescent="0.25"/>
    <row r="45851" s="12" customFormat="1" x14ac:dyDescent="0.25"/>
    <row r="45852" s="12" customFormat="1" x14ac:dyDescent="0.25"/>
    <row r="45853" s="12" customFormat="1" x14ac:dyDescent="0.25"/>
    <row r="45854" s="12" customFormat="1" x14ac:dyDescent="0.25"/>
    <row r="45855" s="12" customFormat="1" x14ac:dyDescent="0.25"/>
    <row r="45856" s="12" customFormat="1" x14ac:dyDescent="0.25"/>
    <row r="45857" s="12" customFormat="1" x14ac:dyDescent="0.25"/>
    <row r="45858" s="12" customFormat="1" x14ac:dyDescent="0.25"/>
    <row r="45859" s="12" customFormat="1" x14ac:dyDescent="0.25"/>
    <row r="45860" s="12" customFormat="1" x14ac:dyDescent="0.25"/>
    <row r="45861" s="12" customFormat="1" x14ac:dyDescent="0.25"/>
    <row r="45862" s="12" customFormat="1" x14ac:dyDescent="0.25"/>
    <row r="45863" s="12" customFormat="1" x14ac:dyDescent="0.25"/>
    <row r="45864" s="12" customFormat="1" x14ac:dyDescent="0.25"/>
    <row r="45865" s="12" customFormat="1" x14ac:dyDescent="0.25"/>
    <row r="45866" s="12" customFormat="1" x14ac:dyDescent="0.25"/>
    <row r="45867" s="12" customFormat="1" x14ac:dyDescent="0.25"/>
    <row r="45868" s="12" customFormat="1" x14ac:dyDescent="0.25"/>
    <row r="45869" s="12" customFormat="1" x14ac:dyDescent="0.25"/>
    <row r="45870" s="12" customFormat="1" x14ac:dyDescent="0.25"/>
    <row r="45871" s="12" customFormat="1" x14ac:dyDescent="0.25"/>
    <row r="45872" s="12" customFormat="1" x14ac:dyDescent="0.25"/>
    <row r="45873" s="12" customFormat="1" x14ac:dyDescent="0.25"/>
    <row r="45874" s="12" customFormat="1" x14ac:dyDescent="0.25"/>
    <row r="45875" s="12" customFormat="1" x14ac:dyDescent="0.25"/>
    <row r="45876" s="12" customFormat="1" x14ac:dyDescent="0.25"/>
    <row r="45877" s="12" customFormat="1" x14ac:dyDescent="0.25"/>
    <row r="45878" s="12" customFormat="1" x14ac:dyDescent="0.25"/>
    <row r="45879" s="12" customFormat="1" x14ac:dyDescent="0.25"/>
    <row r="45880" s="12" customFormat="1" x14ac:dyDescent="0.25"/>
    <row r="45881" s="12" customFormat="1" x14ac:dyDescent="0.25"/>
    <row r="45882" s="12" customFormat="1" x14ac:dyDescent="0.25"/>
    <row r="45883" s="12" customFormat="1" x14ac:dyDescent="0.25"/>
    <row r="45884" s="12" customFormat="1" x14ac:dyDescent="0.25"/>
    <row r="45885" s="12" customFormat="1" x14ac:dyDescent="0.25"/>
    <row r="45886" s="12" customFormat="1" x14ac:dyDescent="0.25"/>
    <row r="45887" s="12" customFormat="1" x14ac:dyDescent="0.25"/>
    <row r="45888" s="12" customFormat="1" x14ac:dyDescent="0.25"/>
    <row r="45889" s="12" customFormat="1" x14ac:dyDescent="0.25"/>
    <row r="45890" s="12" customFormat="1" x14ac:dyDescent="0.25"/>
    <row r="45891" s="12" customFormat="1" x14ac:dyDescent="0.25"/>
    <row r="45892" s="12" customFormat="1" x14ac:dyDescent="0.25"/>
    <row r="45893" s="12" customFormat="1" x14ac:dyDescent="0.25"/>
    <row r="45894" s="12" customFormat="1" x14ac:dyDescent="0.25"/>
    <row r="45895" s="12" customFormat="1" x14ac:dyDescent="0.25"/>
    <row r="45896" s="12" customFormat="1" x14ac:dyDescent="0.25"/>
    <row r="45897" s="12" customFormat="1" x14ac:dyDescent="0.25"/>
    <row r="45898" s="12" customFormat="1" x14ac:dyDescent="0.25"/>
    <row r="45899" s="12" customFormat="1" x14ac:dyDescent="0.25"/>
    <row r="45900" s="12" customFormat="1" x14ac:dyDescent="0.25"/>
    <row r="45901" s="12" customFormat="1" x14ac:dyDescent="0.25"/>
    <row r="45902" s="12" customFormat="1" x14ac:dyDescent="0.25"/>
    <row r="45903" s="12" customFormat="1" x14ac:dyDescent="0.25"/>
    <row r="45904" s="12" customFormat="1" x14ac:dyDescent="0.25"/>
    <row r="45905" s="12" customFormat="1" x14ac:dyDescent="0.25"/>
    <row r="45906" s="12" customFormat="1" x14ac:dyDescent="0.25"/>
    <row r="45907" s="12" customFormat="1" x14ac:dyDescent="0.25"/>
    <row r="45908" s="12" customFormat="1" x14ac:dyDescent="0.25"/>
    <row r="45909" s="12" customFormat="1" x14ac:dyDescent="0.25"/>
    <row r="45910" s="12" customFormat="1" x14ac:dyDescent="0.25"/>
    <row r="45911" s="12" customFormat="1" x14ac:dyDescent="0.25"/>
    <row r="45912" s="12" customFormat="1" x14ac:dyDescent="0.25"/>
    <row r="45913" s="12" customFormat="1" x14ac:dyDescent="0.25"/>
    <row r="45914" s="12" customFormat="1" x14ac:dyDescent="0.25"/>
    <row r="45915" s="12" customFormat="1" x14ac:dyDescent="0.25"/>
    <row r="45916" s="12" customFormat="1" x14ac:dyDescent="0.25"/>
    <row r="45917" s="12" customFormat="1" x14ac:dyDescent="0.25"/>
    <row r="45918" s="12" customFormat="1" x14ac:dyDescent="0.25"/>
    <row r="45919" s="12" customFormat="1" x14ac:dyDescent="0.25"/>
    <row r="45920" s="12" customFormat="1" x14ac:dyDescent="0.25"/>
    <row r="45921" s="12" customFormat="1" x14ac:dyDescent="0.25"/>
    <row r="45922" s="12" customFormat="1" x14ac:dyDescent="0.25"/>
    <row r="45923" s="12" customFormat="1" x14ac:dyDescent="0.25"/>
    <row r="45924" s="12" customFormat="1" x14ac:dyDescent="0.25"/>
    <row r="45925" s="12" customFormat="1" x14ac:dyDescent="0.25"/>
    <row r="45926" s="12" customFormat="1" x14ac:dyDescent="0.25"/>
    <row r="45927" s="12" customFormat="1" x14ac:dyDescent="0.25"/>
    <row r="45928" s="12" customFormat="1" x14ac:dyDescent="0.25"/>
    <row r="45929" s="12" customFormat="1" x14ac:dyDescent="0.25"/>
    <row r="45930" s="12" customFormat="1" x14ac:dyDescent="0.25"/>
    <row r="45931" s="12" customFormat="1" x14ac:dyDescent="0.25"/>
    <row r="45932" s="12" customFormat="1" x14ac:dyDescent="0.25"/>
    <row r="45933" s="12" customFormat="1" x14ac:dyDescent="0.25"/>
    <row r="45934" s="12" customFormat="1" x14ac:dyDescent="0.25"/>
    <row r="45935" s="12" customFormat="1" x14ac:dyDescent="0.25"/>
    <row r="45936" s="12" customFormat="1" x14ac:dyDescent="0.25"/>
    <row r="45937" s="12" customFormat="1" x14ac:dyDescent="0.25"/>
    <row r="45938" s="12" customFormat="1" x14ac:dyDescent="0.25"/>
    <row r="45939" s="12" customFormat="1" x14ac:dyDescent="0.25"/>
    <row r="45940" s="12" customFormat="1" x14ac:dyDescent="0.25"/>
    <row r="45941" s="12" customFormat="1" x14ac:dyDescent="0.25"/>
    <row r="45942" s="12" customFormat="1" x14ac:dyDescent="0.25"/>
    <row r="45943" s="12" customFormat="1" x14ac:dyDescent="0.25"/>
    <row r="45944" s="12" customFormat="1" x14ac:dyDescent="0.25"/>
    <row r="45945" s="12" customFormat="1" x14ac:dyDescent="0.25"/>
    <row r="45946" s="12" customFormat="1" x14ac:dyDescent="0.25"/>
    <row r="45947" s="12" customFormat="1" x14ac:dyDescent="0.25"/>
    <row r="45948" s="12" customFormat="1" x14ac:dyDescent="0.25"/>
    <row r="45949" s="12" customFormat="1" x14ac:dyDescent="0.25"/>
    <row r="45950" s="12" customFormat="1" x14ac:dyDescent="0.25"/>
    <row r="45951" s="12" customFormat="1" x14ac:dyDescent="0.25"/>
    <row r="45952" s="12" customFormat="1" x14ac:dyDescent="0.25"/>
    <row r="45953" s="12" customFormat="1" x14ac:dyDescent="0.25"/>
    <row r="45954" s="12" customFormat="1" x14ac:dyDescent="0.25"/>
    <row r="45955" s="12" customFormat="1" x14ac:dyDescent="0.25"/>
    <row r="45956" s="12" customFormat="1" x14ac:dyDescent="0.25"/>
    <row r="45957" s="12" customFormat="1" x14ac:dyDescent="0.25"/>
    <row r="45958" s="12" customFormat="1" x14ac:dyDescent="0.25"/>
    <row r="45959" s="12" customFormat="1" x14ac:dyDescent="0.25"/>
    <row r="45960" s="12" customFormat="1" x14ac:dyDescent="0.25"/>
    <row r="45961" s="12" customFormat="1" x14ac:dyDescent="0.25"/>
    <row r="45962" s="12" customFormat="1" x14ac:dyDescent="0.25"/>
    <row r="45963" s="12" customFormat="1" x14ac:dyDescent="0.25"/>
    <row r="45964" s="12" customFormat="1" x14ac:dyDescent="0.25"/>
    <row r="45965" s="12" customFormat="1" x14ac:dyDescent="0.25"/>
    <row r="45966" s="12" customFormat="1" x14ac:dyDescent="0.25"/>
    <row r="45967" s="12" customFormat="1" x14ac:dyDescent="0.25"/>
    <row r="45968" s="12" customFormat="1" x14ac:dyDescent="0.25"/>
    <row r="45969" s="12" customFormat="1" x14ac:dyDescent="0.25"/>
    <row r="45970" s="12" customFormat="1" x14ac:dyDescent="0.25"/>
    <row r="45971" s="12" customFormat="1" x14ac:dyDescent="0.25"/>
    <row r="45972" s="12" customFormat="1" x14ac:dyDescent="0.25"/>
    <row r="45973" s="12" customFormat="1" x14ac:dyDescent="0.25"/>
    <row r="45974" s="12" customFormat="1" x14ac:dyDescent="0.25"/>
    <row r="45975" s="12" customFormat="1" x14ac:dyDescent="0.25"/>
    <row r="45976" s="12" customFormat="1" x14ac:dyDescent="0.25"/>
    <row r="45977" s="12" customFormat="1" x14ac:dyDescent="0.25"/>
    <row r="45978" s="12" customFormat="1" x14ac:dyDescent="0.25"/>
    <row r="45979" s="12" customFormat="1" x14ac:dyDescent="0.25"/>
    <row r="45980" s="12" customFormat="1" x14ac:dyDescent="0.25"/>
    <row r="45981" s="12" customFormat="1" x14ac:dyDescent="0.25"/>
    <row r="45982" s="12" customFormat="1" x14ac:dyDescent="0.25"/>
    <row r="45983" s="12" customFormat="1" x14ac:dyDescent="0.25"/>
    <row r="45984" s="12" customFormat="1" x14ac:dyDescent="0.25"/>
    <row r="45985" s="12" customFormat="1" x14ac:dyDescent="0.25"/>
    <row r="45986" s="12" customFormat="1" x14ac:dyDescent="0.25"/>
    <row r="45987" s="12" customFormat="1" x14ac:dyDescent="0.25"/>
    <row r="45988" s="12" customFormat="1" x14ac:dyDescent="0.25"/>
    <row r="45989" s="12" customFormat="1" x14ac:dyDescent="0.25"/>
    <row r="45990" s="12" customFormat="1" x14ac:dyDescent="0.25"/>
    <row r="45991" s="12" customFormat="1" x14ac:dyDescent="0.25"/>
    <row r="45992" s="12" customFormat="1" x14ac:dyDescent="0.25"/>
    <row r="45993" s="12" customFormat="1" x14ac:dyDescent="0.25"/>
    <row r="45994" s="12" customFormat="1" x14ac:dyDescent="0.25"/>
    <row r="45995" s="12" customFormat="1" x14ac:dyDescent="0.25"/>
    <row r="45996" s="12" customFormat="1" x14ac:dyDescent="0.25"/>
    <row r="45997" s="12" customFormat="1" x14ac:dyDescent="0.25"/>
    <row r="45998" s="12" customFormat="1" x14ac:dyDescent="0.25"/>
    <row r="45999" s="12" customFormat="1" x14ac:dyDescent="0.25"/>
    <row r="46000" s="12" customFormat="1" x14ac:dyDescent="0.25"/>
    <row r="46001" s="12" customFormat="1" x14ac:dyDescent="0.25"/>
    <row r="46002" s="12" customFormat="1" x14ac:dyDescent="0.25"/>
    <row r="46003" s="12" customFormat="1" x14ac:dyDescent="0.25"/>
    <row r="46004" s="12" customFormat="1" x14ac:dyDescent="0.25"/>
    <row r="46005" s="12" customFormat="1" x14ac:dyDescent="0.25"/>
    <row r="46006" s="12" customFormat="1" x14ac:dyDescent="0.25"/>
    <row r="46007" s="12" customFormat="1" x14ac:dyDescent="0.25"/>
    <row r="46008" s="12" customFormat="1" x14ac:dyDescent="0.25"/>
    <row r="46009" s="12" customFormat="1" x14ac:dyDescent="0.25"/>
    <row r="46010" s="12" customFormat="1" x14ac:dyDescent="0.25"/>
    <row r="46011" s="12" customFormat="1" x14ac:dyDescent="0.25"/>
    <row r="46012" s="12" customFormat="1" x14ac:dyDescent="0.25"/>
    <row r="46013" s="12" customFormat="1" x14ac:dyDescent="0.25"/>
    <row r="46014" s="12" customFormat="1" x14ac:dyDescent="0.25"/>
    <row r="46015" s="12" customFormat="1" x14ac:dyDescent="0.25"/>
    <row r="46016" s="12" customFormat="1" x14ac:dyDescent="0.25"/>
    <row r="46017" s="12" customFormat="1" x14ac:dyDescent="0.25"/>
    <row r="46018" s="12" customFormat="1" x14ac:dyDescent="0.25"/>
    <row r="46019" s="12" customFormat="1" x14ac:dyDescent="0.25"/>
    <row r="46020" s="12" customFormat="1" x14ac:dyDescent="0.25"/>
    <row r="46021" s="12" customFormat="1" x14ac:dyDescent="0.25"/>
    <row r="46022" s="12" customFormat="1" x14ac:dyDescent="0.25"/>
    <row r="46023" s="12" customFormat="1" x14ac:dyDescent="0.25"/>
    <row r="46024" s="12" customFormat="1" x14ac:dyDescent="0.25"/>
    <row r="46025" s="12" customFormat="1" x14ac:dyDescent="0.25"/>
    <row r="46026" s="12" customFormat="1" x14ac:dyDescent="0.25"/>
    <row r="46027" s="12" customFormat="1" x14ac:dyDescent="0.25"/>
    <row r="46028" s="12" customFormat="1" x14ac:dyDescent="0.25"/>
    <row r="46029" s="12" customFormat="1" x14ac:dyDescent="0.25"/>
    <row r="46030" s="12" customFormat="1" x14ac:dyDescent="0.25"/>
    <row r="46031" s="12" customFormat="1" x14ac:dyDescent="0.25"/>
    <row r="46032" s="12" customFormat="1" x14ac:dyDescent="0.25"/>
    <row r="46033" s="12" customFormat="1" x14ac:dyDescent="0.25"/>
    <row r="46034" s="12" customFormat="1" x14ac:dyDescent="0.25"/>
    <row r="46035" s="12" customFormat="1" x14ac:dyDescent="0.25"/>
    <row r="46036" s="12" customFormat="1" x14ac:dyDescent="0.25"/>
    <row r="46037" s="12" customFormat="1" x14ac:dyDescent="0.25"/>
    <row r="46038" s="12" customFormat="1" x14ac:dyDescent="0.25"/>
    <row r="46039" s="12" customFormat="1" x14ac:dyDescent="0.25"/>
    <row r="46040" s="12" customFormat="1" x14ac:dyDescent="0.25"/>
    <row r="46041" s="12" customFormat="1" x14ac:dyDescent="0.25"/>
    <row r="46042" s="12" customFormat="1" x14ac:dyDescent="0.25"/>
    <row r="46043" s="12" customFormat="1" x14ac:dyDescent="0.25"/>
    <row r="46044" s="12" customFormat="1" x14ac:dyDescent="0.25"/>
    <row r="46045" s="12" customFormat="1" x14ac:dyDescent="0.25"/>
    <row r="46046" s="12" customFormat="1" x14ac:dyDescent="0.25"/>
    <row r="46047" s="12" customFormat="1" x14ac:dyDescent="0.25"/>
    <row r="46048" s="12" customFormat="1" x14ac:dyDescent="0.25"/>
    <row r="46049" s="12" customFormat="1" x14ac:dyDescent="0.25"/>
    <row r="46050" s="12" customFormat="1" x14ac:dyDescent="0.25"/>
    <row r="46051" s="12" customFormat="1" x14ac:dyDescent="0.25"/>
    <row r="46052" s="12" customFormat="1" x14ac:dyDescent="0.25"/>
    <row r="46053" s="12" customFormat="1" x14ac:dyDescent="0.25"/>
    <row r="46054" s="12" customFormat="1" x14ac:dyDescent="0.25"/>
    <row r="46055" s="12" customFormat="1" x14ac:dyDescent="0.25"/>
    <row r="46056" s="12" customFormat="1" x14ac:dyDescent="0.25"/>
    <row r="46057" s="12" customFormat="1" x14ac:dyDescent="0.25"/>
    <row r="46058" s="12" customFormat="1" x14ac:dyDescent="0.25"/>
    <row r="46059" s="12" customFormat="1" x14ac:dyDescent="0.25"/>
    <row r="46060" s="12" customFormat="1" x14ac:dyDescent="0.25"/>
    <row r="46061" s="12" customFormat="1" x14ac:dyDescent="0.25"/>
    <row r="46062" s="12" customFormat="1" x14ac:dyDescent="0.25"/>
    <row r="46063" s="12" customFormat="1" x14ac:dyDescent="0.25"/>
    <row r="46064" s="12" customFormat="1" x14ac:dyDescent="0.25"/>
    <row r="46065" s="12" customFormat="1" x14ac:dyDescent="0.25"/>
    <row r="46066" s="12" customFormat="1" x14ac:dyDescent="0.25"/>
    <row r="46067" s="12" customFormat="1" x14ac:dyDescent="0.25"/>
    <row r="46068" s="12" customFormat="1" x14ac:dyDescent="0.25"/>
    <row r="46069" s="12" customFormat="1" x14ac:dyDescent="0.25"/>
    <row r="46070" s="12" customFormat="1" x14ac:dyDescent="0.25"/>
    <row r="46071" s="12" customFormat="1" x14ac:dyDescent="0.25"/>
    <row r="46072" s="12" customFormat="1" x14ac:dyDescent="0.25"/>
    <row r="46073" s="12" customFormat="1" x14ac:dyDescent="0.25"/>
    <row r="46074" s="12" customFormat="1" x14ac:dyDescent="0.25"/>
    <row r="46075" s="12" customFormat="1" x14ac:dyDescent="0.25"/>
    <row r="46076" s="12" customFormat="1" x14ac:dyDescent="0.25"/>
    <row r="46077" s="12" customFormat="1" x14ac:dyDescent="0.25"/>
    <row r="46078" s="12" customFormat="1" x14ac:dyDescent="0.25"/>
    <row r="46079" s="12" customFormat="1" x14ac:dyDescent="0.25"/>
    <row r="46080" s="12" customFormat="1" x14ac:dyDescent="0.25"/>
    <row r="46081" s="12" customFormat="1" x14ac:dyDescent="0.25"/>
    <row r="46082" s="12" customFormat="1" x14ac:dyDescent="0.25"/>
    <row r="46083" s="12" customFormat="1" x14ac:dyDescent="0.25"/>
    <row r="46084" s="12" customFormat="1" x14ac:dyDescent="0.25"/>
    <row r="46085" s="12" customFormat="1" x14ac:dyDescent="0.25"/>
    <row r="46086" s="12" customFormat="1" x14ac:dyDescent="0.25"/>
    <row r="46087" s="12" customFormat="1" x14ac:dyDescent="0.25"/>
    <row r="46088" s="12" customFormat="1" x14ac:dyDescent="0.25"/>
    <row r="46089" s="12" customFormat="1" x14ac:dyDescent="0.25"/>
    <row r="46090" s="12" customFormat="1" x14ac:dyDescent="0.25"/>
    <row r="46091" s="12" customFormat="1" x14ac:dyDescent="0.25"/>
    <row r="46092" s="12" customFormat="1" x14ac:dyDescent="0.25"/>
    <row r="46093" s="12" customFormat="1" x14ac:dyDescent="0.25"/>
    <row r="46094" s="12" customFormat="1" x14ac:dyDescent="0.25"/>
    <row r="46095" s="12" customFormat="1" x14ac:dyDescent="0.25"/>
    <row r="46096" s="12" customFormat="1" x14ac:dyDescent="0.25"/>
    <row r="46097" s="12" customFormat="1" x14ac:dyDescent="0.25"/>
    <row r="46098" s="12" customFormat="1" x14ac:dyDescent="0.25"/>
    <row r="46099" s="12" customFormat="1" x14ac:dyDescent="0.25"/>
    <row r="46100" s="12" customFormat="1" x14ac:dyDescent="0.25"/>
    <row r="46101" s="12" customFormat="1" x14ac:dyDescent="0.25"/>
    <row r="46102" s="12" customFormat="1" x14ac:dyDescent="0.25"/>
    <row r="46103" s="12" customFormat="1" x14ac:dyDescent="0.25"/>
    <row r="46104" s="12" customFormat="1" x14ac:dyDescent="0.25"/>
    <row r="46105" s="12" customFormat="1" x14ac:dyDescent="0.25"/>
    <row r="46106" s="12" customFormat="1" x14ac:dyDescent="0.25"/>
    <row r="46107" s="12" customFormat="1" x14ac:dyDescent="0.25"/>
    <row r="46108" s="12" customFormat="1" x14ac:dyDescent="0.25"/>
    <row r="46109" s="12" customFormat="1" x14ac:dyDescent="0.25"/>
    <row r="46110" s="12" customFormat="1" x14ac:dyDescent="0.25"/>
    <row r="46111" s="12" customFormat="1" x14ac:dyDescent="0.25"/>
    <row r="46112" s="12" customFormat="1" x14ac:dyDescent="0.25"/>
    <row r="46113" s="12" customFormat="1" x14ac:dyDescent="0.25"/>
    <row r="46114" s="12" customFormat="1" x14ac:dyDescent="0.25"/>
    <row r="46115" s="12" customFormat="1" x14ac:dyDescent="0.25"/>
    <row r="46116" s="12" customFormat="1" x14ac:dyDescent="0.25"/>
    <row r="46117" s="12" customFormat="1" x14ac:dyDescent="0.25"/>
    <row r="46118" s="12" customFormat="1" x14ac:dyDescent="0.25"/>
    <row r="46119" s="12" customFormat="1" x14ac:dyDescent="0.25"/>
    <row r="46120" s="12" customFormat="1" x14ac:dyDescent="0.25"/>
    <row r="46121" s="12" customFormat="1" x14ac:dyDescent="0.25"/>
    <row r="46122" s="12" customFormat="1" x14ac:dyDescent="0.25"/>
    <row r="46123" s="12" customFormat="1" x14ac:dyDescent="0.25"/>
    <row r="46124" s="12" customFormat="1" x14ac:dyDescent="0.25"/>
    <row r="46125" s="12" customFormat="1" x14ac:dyDescent="0.25"/>
    <row r="46126" s="12" customFormat="1" x14ac:dyDescent="0.25"/>
    <row r="46127" s="12" customFormat="1" x14ac:dyDescent="0.25"/>
    <row r="46128" s="12" customFormat="1" x14ac:dyDescent="0.25"/>
    <row r="46129" s="12" customFormat="1" x14ac:dyDescent="0.25"/>
    <row r="46130" s="12" customFormat="1" x14ac:dyDescent="0.25"/>
    <row r="46131" s="12" customFormat="1" x14ac:dyDescent="0.25"/>
    <row r="46132" s="12" customFormat="1" x14ac:dyDescent="0.25"/>
    <row r="46133" s="12" customFormat="1" x14ac:dyDescent="0.25"/>
    <row r="46134" s="12" customFormat="1" x14ac:dyDescent="0.25"/>
    <row r="46135" s="12" customFormat="1" x14ac:dyDescent="0.25"/>
    <row r="46136" s="12" customFormat="1" x14ac:dyDescent="0.25"/>
    <row r="46137" s="12" customFormat="1" x14ac:dyDescent="0.25"/>
    <row r="46138" s="12" customFormat="1" x14ac:dyDescent="0.25"/>
    <row r="46139" s="12" customFormat="1" x14ac:dyDescent="0.25"/>
    <row r="46140" s="12" customFormat="1" x14ac:dyDescent="0.25"/>
    <row r="46141" s="12" customFormat="1" x14ac:dyDescent="0.25"/>
    <row r="46142" s="12" customFormat="1" x14ac:dyDescent="0.25"/>
    <row r="46143" s="12" customFormat="1" x14ac:dyDescent="0.25"/>
    <row r="46144" s="12" customFormat="1" x14ac:dyDescent="0.25"/>
    <row r="46145" s="12" customFormat="1" x14ac:dyDescent="0.25"/>
    <row r="46146" s="12" customFormat="1" x14ac:dyDescent="0.25"/>
    <row r="46147" s="12" customFormat="1" x14ac:dyDescent="0.25"/>
    <row r="46148" s="12" customFormat="1" x14ac:dyDescent="0.25"/>
    <row r="46149" s="12" customFormat="1" x14ac:dyDescent="0.25"/>
    <row r="46150" s="12" customFormat="1" x14ac:dyDescent="0.25"/>
    <row r="46151" s="12" customFormat="1" x14ac:dyDescent="0.25"/>
    <row r="46152" s="12" customFormat="1" x14ac:dyDescent="0.25"/>
    <row r="46153" s="12" customFormat="1" x14ac:dyDescent="0.25"/>
    <row r="46154" s="12" customFormat="1" x14ac:dyDescent="0.25"/>
    <row r="46155" s="12" customFormat="1" x14ac:dyDescent="0.25"/>
    <row r="46156" s="12" customFormat="1" x14ac:dyDescent="0.25"/>
    <row r="46157" s="12" customFormat="1" x14ac:dyDescent="0.25"/>
    <row r="46158" s="12" customFormat="1" x14ac:dyDescent="0.25"/>
    <row r="46159" s="12" customFormat="1" x14ac:dyDescent="0.25"/>
    <row r="46160" s="12" customFormat="1" x14ac:dyDescent="0.25"/>
    <row r="46161" s="12" customFormat="1" x14ac:dyDescent="0.25"/>
    <row r="46162" s="12" customFormat="1" x14ac:dyDescent="0.25"/>
    <row r="46163" s="12" customFormat="1" x14ac:dyDescent="0.25"/>
    <row r="46164" s="12" customFormat="1" x14ac:dyDescent="0.25"/>
    <row r="46165" s="12" customFormat="1" x14ac:dyDescent="0.25"/>
    <row r="46166" s="12" customFormat="1" x14ac:dyDescent="0.25"/>
    <row r="46167" s="12" customFormat="1" x14ac:dyDescent="0.25"/>
    <row r="46168" s="12" customFormat="1" x14ac:dyDescent="0.25"/>
    <row r="46169" s="12" customFormat="1" x14ac:dyDescent="0.25"/>
    <row r="46170" s="12" customFormat="1" x14ac:dyDescent="0.25"/>
    <row r="46171" s="12" customFormat="1" x14ac:dyDescent="0.25"/>
    <row r="46172" s="12" customFormat="1" x14ac:dyDescent="0.25"/>
    <row r="46173" s="12" customFormat="1" x14ac:dyDescent="0.25"/>
    <row r="46174" s="12" customFormat="1" x14ac:dyDescent="0.25"/>
    <row r="46175" s="12" customFormat="1" x14ac:dyDescent="0.25"/>
    <row r="46176" s="12" customFormat="1" x14ac:dyDescent="0.25"/>
    <row r="46177" s="12" customFormat="1" x14ac:dyDescent="0.25"/>
    <row r="46178" s="12" customFormat="1" x14ac:dyDescent="0.25"/>
    <row r="46179" s="12" customFormat="1" x14ac:dyDescent="0.25"/>
    <row r="46180" s="12" customFormat="1" x14ac:dyDescent="0.25"/>
    <row r="46181" s="12" customFormat="1" x14ac:dyDescent="0.25"/>
    <row r="46182" s="12" customFormat="1" x14ac:dyDescent="0.25"/>
    <row r="46183" s="12" customFormat="1" x14ac:dyDescent="0.25"/>
    <row r="46184" s="12" customFormat="1" x14ac:dyDescent="0.25"/>
    <row r="46185" s="12" customFormat="1" x14ac:dyDescent="0.25"/>
    <row r="46186" s="12" customFormat="1" x14ac:dyDescent="0.25"/>
    <row r="46187" s="12" customFormat="1" x14ac:dyDescent="0.25"/>
    <row r="46188" s="12" customFormat="1" x14ac:dyDescent="0.25"/>
    <row r="46189" s="12" customFormat="1" x14ac:dyDescent="0.25"/>
    <row r="46190" s="12" customFormat="1" x14ac:dyDescent="0.25"/>
    <row r="46191" s="12" customFormat="1" x14ac:dyDescent="0.25"/>
    <row r="46192" s="12" customFormat="1" x14ac:dyDescent="0.25"/>
    <row r="46193" s="12" customFormat="1" x14ac:dyDescent="0.25"/>
    <row r="46194" s="12" customFormat="1" x14ac:dyDescent="0.25"/>
    <row r="46195" s="12" customFormat="1" x14ac:dyDescent="0.25"/>
    <row r="46196" s="12" customFormat="1" x14ac:dyDescent="0.25"/>
    <row r="46197" s="12" customFormat="1" x14ac:dyDescent="0.25"/>
    <row r="46198" s="12" customFormat="1" x14ac:dyDescent="0.25"/>
    <row r="46199" s="12" customFormat="1" x14ac:dyDescent="0.25"/>
    <row r="46200" s="12" customFormat="1" x14ac:dyDescent="0.25"/>
    <row r="46201" s="12" customFormat="1" x14ac:dyDescent="0.25"/>
    <row r="46202" s="12" customFormat="1" x14ac:dyDescent="0.25"/>
    <row r="46203" s="12" customFormat="1" x14ac:dyDescent="0.25"/>
    <row r="46204" s="12" customFormat="1" x14ac:dyDescent="0.25"/>
    <row r="46205" s="12" customFormat="1" x14ac:dyDescent="0.25"/>
    <row r="46206" s="12" customFormat="1" x14ac:dyDescent="0.25"/>
    <row r="46207" s="12" customFormat="1" x14ac:dyDescent="0.25"/>
    <row r="46208" s="12" customFormat="1" x14ac:dyDescent="0.25"/>
    <row r="46209" s="12" customFormat="1" x14ac:dyDescent="0.25"/>
    <row r="46210" s="12" customFormat="1" x14ac:dyDescent="0.25"/>
    <row r="46211" s="12" customFormat="1" x14ac:dyDescent="0.25"/>
    <row r="46212" s="12" customFormat="1" x14ac:dyDescent="0.25"/>
    <row r="46213" s="12" customFormat="1" x14ac:dyDescent="0.25"/>
    <row r="46214" s="12" customFormat="1" x14ac:dyDescent="0.25"/>
    <row r="46215" s="12" customFormat="1" x14ac:dyDescent="0.25"/>
    <row r="46216" s="12" customFormat="1" x14ac:dyDescent="0.25"/>
    <row r="46217" s="12" customFormat="1" x14ac:dyDescent="0.25"/>
    <row r="46218" s="12" customFormat="1" x14ac:dyDescent="0.25"/>
    <row r="46219" s="12" customFormat="1" x14ac:dyDescent="0.25"/>
    <row r="46220" s="12" customFormat="1" x14ac:dyDescent="0.25"/>
    <row r="46221" s="12" customFormat="1" x14ac:dyDescent="0.25"/>
    <row r="46222" s="12" customFormat="1" x14ac:dyDescent="0.25"/>
    <row r="46223" s="12" customFormat="1" x14ac:dyDescent="0.25"/>
    <row r="46224" s="12" customFormat="1" x14ac:dyDescent="0.25"/>
    <row r="46225" s="12" customFormat="1" x14ac:dyDescent="0.25"/>
    <row r="46226" s="12" customFormat="1" x14ac:dyDescent="0.25"/>
    <row r="46227" s="12" customFormat="1" x14ac:dyDescent="0.25"/>
    <row r="46228" s="12" customFormat="1" x14ac:dyDescent="0.25"/>
    <row r="46229" s="12" customFormat="1" x14ac:dyDescent="0.25"/>
    <row r="46230" s="12" customFormat="1" x14ac:dyDescent="0.25"/>
    <row r="46231" s="12" customFormat="1" x14ac:dyDescent="0.25"/>
    <row r="46232" s="12" customFormat="1" x14ac:dyDescent="0.25"/>
    <row r="46233" s="12" customFormat="1" x14ac:dyDescent="0.25"/>
    <row r="46234" s="12" customFormat="1" x14ac:dyDescent="0.25"/>
    <row r="46235" s="12" customFormat="1" x14ac:dyDescent="0.25"/>
    <row r="46236" s="12" customFormat="1" x14ac:dyDescent="0.25"/>
    <row r="46237" s="12" customFormat="1" x14ac:dyDescent="0.25"/>
    <row r="46238" s="12" customFormat="1" x14ac:dyDescent="0.25"/>
    <row r="46239" s="12" customFormat="1" x14ac:dyDescent="0.25"/>
    <row r="46240" s="12" customFormat="1" x14ac:dyDescent="0.25"/>
    <row r="46241" s="12" customFormat="1" x14ac:dyDescent="0.25"/>
    <row r="46242" s="12" customFormat="1" x14ac:dyDescent="0.25"/>
    <row r="46243" s="12" customFormat="1" x14ac:dyDescent="0.25"/>
    <row r="46244" s="12" customFormat="1" x14ac:dyDescent="0.25"/>
    <row r="46245" s="12" customFormat="1" x14ac:dyDescent="0.25"/>
    <row r="46246" s="12" customFormat="1" x14ac:dyDescent="0.25"/>
    <row r="46247" s="12" customFormat="1" x14ac:dyDescent="0.25"/>
    <row r="46248" s="12" customFormat="1" x14ac:dyDescent="0.25"/>
    <row r="46249" s="12" customFormat="1" x14ac:dyDescent="0.25"/>
    <row r="46250" s="12" customFormat="1" x14ac:dyDescent="0.25"/>
    <row r="46251" s="12" customFormat="1" x14ac:dyDescent="0.25"/>
    <row r="46252" s="12" customFormat="1" x14ac:dyDescent="0.25"/>
    <row r="46253" s="12" customFormat="1" x14ac:dyDescent="0.25"/>
    <row r="46254" s="12" customFormat="1" x14ac:dyDescent="0.25"/>
    <row r="46255" s="12" customFormat="1" x14ac:dyDescent="0.25"/>
    <row r="46256" s="12" customFormat="1" x14ac:dyDescent="0.25"/>
    <row r="46257" s="12" customFormat="1" x14ac:dyDescent="0.25"/>
    <row r="46258" s="12" customFormat="1" x14ac:dyDescent="0.25"/>
    <row r="46259" s="12" customFormat="1" x14ac:dyDescent="0.25"/>
    <row r="46260" s="12" customFormat="1" x14ac:dyDescent="0.25"/>
    <row r="46261" s="12" customFormat="1" x14ac:dyDescent="0.25"/>
    <row r="46262" s="12" customFormat="1" x14ac:dyDescent="0.25"/>
    <row r="46263" s="12" customFormat="1" x14ac:dyDescent="0.25"/>
    <row r="46264" s="12" customFormat="1" x14ac:dyDescent="0.25"/>
    <row r="46265" s="12" customFormat="1" x14ac:dyDescent="0.25"/>
    <row r="46266" s="12" customFormat="1" x14ac:dyDescent="0.25"/>
    <row r="46267" s="12" customFormat="1" x14ac:dyDescent="0.25"/>
    <row r="46268" s="12" customFormat="1" x14ac:dyDescent="0.25"/>
    <row r="46269" s="12" customFormat="1" x14ac:dyDescent="0.25"/>
    <row r="46270" s="12" customFormat="1" x14ac:dyDescent="0.25"/>
    <row r="46271" s="12" customFormat="1" x14ac:dyDescent="0.25"/>
    <row r="46272" s="12" customFormat="1" x14ac:dyDescent="0.25"/>
    <row r="46273" s="12" customFormat="1" x14ac:dyDescent="0.25"/>
    <row r="46274" s="12" customFormat="1" x14ac:dyDescent="0.25"/>
    <row r="46275" s="12" customFormat="1" x14ac:dyDescent="0.25"/>
    <row r="46276" s="12" customFormat="1" x14ac:dyDescent="0.25"/>
    <row r="46277" s="12" customFormat="1" x14ac:dyDescent="0.25"/>
    <row r="46278" s="12" customFormat="1" x14ac:dyDescent="0.25"/>
    <row r="46279" s="12" customFormat="1" x14ac:dyDescent="0.25"/>
    <row r="46280" s="12" customFormat="1" x14ac:dyDescent="0.25"/>
    <row r="46281" s="12" customFormat="1" x14ac:dyDescent="0.25"/>
    <row r="46282" s="12" customFormat="1" x14ac:dyDescent="0.25"/>
    <row r="46283" s="12" customFormat="1" x14ac:dyDescent="0.25"/>
    <row r="46284" s="12" customFormat="1" x14ac:dyDescent="0.25"/>
    <row r="46285" s="12" customFormat="1" x14ac:dyDescent="0.25"/>
    <row r="46286" s="12" customFormat="1" x14ac:dyDescent="0.25"/>
    <row r="46287" s="12" customFormat="1" x14ac:dyDescent="0.25"/>
    <row r="46288" s="12" customFormat="1" x14ac:dyDescent="0.25"/>
    <row r="46289" s="12" customFormat="1" x14ac:dyDescent="0.25"/>
    <row r="46290" s="12" customFormat="1" x14ac:dyDescent="0.25"/>
    <row r="46291" s="12" customFormat="1" x14ac:dyDescent="0.25"/>
    <row r="46292" s="12" customFormat="1" x14ac:dyDescent="0.25"/>
    <row r="46293" s="12" customFormat="1" x14ac:dyDescent="0.25"/>
    <row r="46294" s="12" customFormat="1" x14ac:dyDescent="0.25"/>
    <row r="46295" s="12" customFormat="1" x14ac:dyDescent="0.25"/>
    <row r="46296" s="12" customFormat="1" x14ac:dyDescent="0.25"/>
    <row r="46297" s="12" customFormat="1" x14ac:dyDescent="0.25"/>
    <row r="46298" s="12" customFormat="1" x14ac:dyDescent="0.25"/>
    <row r="46299" s="12" customFormat="1" x14ac:dyDescent="0.25"/>
    <row r="46300" s="12" customFormat="1" x14ac:dyDescent="0.25"/>
    <row r="46301" s="12" customFormat="1" x14ac:dyDescent="0.25"/>
    <row r="46302" s="12" customFormat="1" x14ac:dyDescent="0.25"/>
    <row r="46303" s="12" customFormat="1" x14ac:dyDescent="0.25"/>
    <row r="46304" s="12" customFormat="1" x14ac:dyDescent="0.25"/>
    <row r="46305" s="12" customFormat="1" x14ac:dyDescent="0.25"/>
    <row r="46306" s="12" customFormat="1" x14ac:dyDescent="0.25"/>
    <row r="46307" s="12" customFormat="1" x14ac:dyDescent="0.25"/>
    <row r="46308" s="12" customFormat="1" x14ac:dyDescent="0.25"/>
    <row r="46309" s="12" customFormat="1" x14ac:dyDescent="0.25"/>
    <row r="46310" s="12" customFormat="1" x14ac:dyDescent="0.25"/>
    <row r="46311" s="12" customFormat="1" x14ac:dyDescent="0.25"/>
    <row r="46312" s="12" customFormat="1" x14ac:dyDescent="0.25"/>
    <row r="46313" s="12" customFormat="1" x14ac:dyDescent="0.25"/>
    <row r="46314" s="12" customFormat="1" x14ac:dyDescent="0.25"/>
    <row r="46315" s="12" customFormat="1" x14ac:dyDescent="0.25"/>
    <row r="46316" s="12" customFormat="1" x14ac:dyDescent="0.25"/>
    <row r="46317" s="12" customFormat="1" x14ac:dyDescent="0.25"/>
    <row r="46318" s="12" customFormat="1" x14ac:dyDescent="0.25"/>
    <row r="46319" s="12" customFormat="1" x14ac:dyDescent="0.25"/>
    <row r="46320" s="12" customFormat="1" x14ac:dyDescent="0.25"/>
    <row r="46321" s="12" customFormat="1" x14ac:dyDescent="0.25"/>
    <row r="46322" s="12" customFormat="1" x14ac:dyDescent="0.25"/>
    <row r="46323" s="12" customFormat="1" x14ac:dyDescent="0.25"/>
    <row r="46324" s="12" customFormat="1" x14ac:dyDescent="0.25"/>
    <row r="46325" s="12" customFormat="1" x14ac:dyDescent="0.25"/>
    <row r="46326" s="12" customFormat="1" x14ac:dyDescent="0.25"/>
    <row r="46327" s="12" customFormat="1" x14ac:dyDescent="0.25"/>
    <row r="46328" s="12" customFormat="1" x14ac:dyDescent="0.25"/>
    <row r="46329" s="12" customFormat="1" x14ac:dyDescent="0.25"/>
    <row r="46330" s="12" customFormat="1" x14ac:dyDescent="0.25"/>
    <row r="46331" s="12" customFormat="1" x14ac:dyDescent="0.25"/>
    <row r="46332" s="12" customFormat="1" x14ac:dyDescent="0.25"/>
    <row r="46333" s="12" customFormat="1" x14ac:dyDescent="0.25"/>
    <row r="46334" s="12" customFormat="1" x14ac:dyDescent="0.25"/>
    <row r="46335" s="12" customFormat="1" x14ac:dyDescent="0.25"/>
    <row r="46336" s="12" customFormat="1" x14ac:dyDescent="0.25"/>
    <row r="46337" s="12" customFormat="1" x14ac:dyDescent="0.25"/>
    <row r="46338" s="12" customFormat="1" x14ac:dyDescent="0.25"/>
    <row r="46339" s="12" customFormat="1" x14ac:dyDescent="0.25"/>
    <row r="46340" s="12" customFormat="1" x14ac:dyDescent="0.25"/>
    <row r="46341" s="12" customFormat="1" x14ac:dyDescent="0.25"/>
    <row r="46342" s="12" customFormat="1" x14ac:dyDescent="0.25"/>
    <row r="46343" s="12" customFormat="1" x14ac:dyDescent="0.25"/>
    <row r="46344" s="12" customFormat="1" x14ac:dyDescent="0.25"/>
    <row r="46345" s="12" customFormat="1" x14ac:dyDescent="0.25"/>
    <row r="46346" s="12" customFormat="1" x14ac:dyDescent="0.25"/>
    <row r="46347" s="12" customFormat="1" x14ac:dyDescent="0.25"/>
    <row r="46348" s="12" customFormat="1" x14ac:dyDescent="0.25"/>
    <row r="46349" s="12" customFormat="1" x14ac:dyDescent="0.25"/>
    <row r="46350" s="12" customFormat="1" x14ac:dyDescent="0.25"/>
    <row r="46351" s="12" customFormat="1" x14ac:dyDescent="0.25"/>
    <row r="46352" s="12" customFormat="1" x14ac:dyDescent="0.25"/>
    <row r="46353" s="12" customFormat="1" x14ac:dyDescent="0.25"/>
    <row r="46354" s="12" customFormat="1" x14ac:dyDescent="0.25"/>
    <row r="46355" s="12" customFormat="1" x14ac:dyDescent="0.25"/>
    <row r="46356" s="12" customFormat="1" x14ac:dyDescent="0.25"/>
    <row r="46357" s="12" customFormat="1" x14ac:dyDescent="0.25"/>
    <row r="46358" s="12" customFormat="1" x14ac:dyDescent="0.25"/>
    <row r="46359" s="12" customFormat="1" x14ac:dyDescent="0.25"/>
    <row r="46360" s="12" customFormat="1" x14ac:dyDescent="0.25"/>
    <row r="46361" s="12" customFormat="1" x14ac:dyDescent="0.25"/>
    <row r="46362" s="12" customFormat="1" x14ac:dyDescent="0.25"/>
    <row r="46363" s="12" customFormat="1" x14ac:dyDescent="0.25"/>
    <row r="46364" s="12" customFormat="1" x14ac:dyDescent="0.25"/>
    <row r="46365" s="12" customFormat="1" x14ac:dyDescent="0.25"/>
    <row r="46366" s="12" customFormat="1" x14ac:dyDescent="0.25"/>
    <row r="46367" s="12" customFormat="1" x14ac:dyDescent="0.25"/>
    <row r="46368" s="12" customFormat="1" x14ac:dyDescent="0.25"/>
    <row r="46369" s="12" customFormat="1" x14ac:dyDescent="0.25"/>
    <row r="46370" s="12" customFormat="1" x14ac:dyDescent="0.25"/>
    <row r="46371" s="12" customFormat="1" x14ac:dyDescent="0.25"/>
    <row r="46372" s="12" customFormat="1" x14ac:dyDescent="0.25"/>
    <row r="46373" s="12" customFormat="1" x14ac:dyDescent="0.25"/>
    <row r="46374" s="12" customFormat="1" x14ac:dyDescent="0.25"/>
    <row r="46375" s="12" customFormat="1" x14ac:dyDescent="0.25"/>
    <row r="46376" s="12" customFormat="1" x14ac:dyDescent="0.25"/>
    <row r="46377" s="12" customFormat="1" x14ac:dyDescent="0.25"/>
    <row r="46378" s="12" customFormat="1" x14ac:dyDescent="0.25"/>
    <row r="46379" s="12" customFormat="1" x14ac:dyDescent="0.25"/>
    <row r="46380" s="12" customFormat="1" x14ac:dyDescent="0.25"/>
    <row r="46381" s="12" customFormat="1" x14ac:dyDescent="0.25"/>
    <row r="46382" s="12" customFormat="1" x14ac:dyDescent="0.25"/>
    <row r="46383" s="12" customFormat="1" x14ac:dyDescent="0.25"/>
    <row r="46384" s="12" customFormat="1" x14ac:dyDescent="0.25"/>
    <row r="46385" s="12" customFormat="1" x14ac:dyDescent="0.25"/>
    <row r="46386" s="12" customFormat="1" x14ac:dyDescent="0.25"/>
    <row r="46387" s="12" customFormat="1" x14ac:dyDescent="0.25"/>
    <row r="46388" s="12" customFormat="1" x14ac:dyDescent="0.25"/>
    <row r="46389" s="12" customFormat="1" x14ac:dyDescent="0.25"/>
    <row r="46390" s="12" customFormat="1" x14ac:dyDescent="0.25"/>
    <row r="46391" s="12" customFormat="1" x14ac:dyDescent="0.25"/>
    <row r="46392" s="12" customFormat="1" x14ac:dyDescent="0.25"/>
    <row r="46393" s="12" customFormat="1" x14ac:dyDescent="0.25"/>
    <row r="46394" s="12" customFormat="1" x14ac:dyDescent="0.25"/>
    <row r="46395" s="12" customFormat="1" x14ac:dyDescent="0.25"/>
    <row r="46396" s="12" customFormat="1" x14ac:dyDescent="0.25"/>
    <row r="46397" s="12" customFormat="1" x14ac:dyDescent="0.25"/>
    <row r="46398" s="12" customFormat="1" x14ac:dyDescent="0.25"/>
    <row r="46399" s="12" customFormat="1" x14ac:dyDescent="0.25"/>
    <row r="46400" s="12" customFormat="1" x14ac:dyDescent="0.25"/>
    <row r="46401" s="12" customFormat="1" x14ac:dyDescent="0.25"/>
    <row r="46402" s="12" customFormat="1" x14ac:dyDescent="0.25"/>
    <row r="46403" s="12" customFormat="1" x14ac:dyDescent="0.25"/>
    <row r="46404" s="12" customFormat="1" x14ac:dyDescent="0.25"/>
    <row r="46405" s="12" customFormat="1" x14ac:dyDescent="0.25"/>
    <row r="46406" s="12" customFormat="1" x14ac:dyDescent="0.25"/>
    <row r="46407" s="12" customFormat="1" x14ac:dyDescent="0.25"/>
    <row r="46408" s="12" customFormat="1" x14ac:dyDescent="0.25"/>
    <row r="46409" s="12" customFormat="1" x14ac:dyDescent="0.25"/>
    <row r="46410" s="12" customFormat="1" x14ac:dyDescent="0.25"/>
    <row r="46411" s="12" customFormat="1" x14ac:dyDescent="0.25"/>
    <row r="46412" s="12" customFormat="1" x14ac:dyDescent="0.25"/>
    <row r="46413" s="12" customFormat="1" x14ac:dyDescent="0.25"/>
    <row r="46414" s="12" customFormat="1" x14ac:dyDescent="0.25"/>
    <row r="46415" s="12" customFormat="1" x14ac:dyDescent="0.25"/>
    <row r="46416" s="12" customFormat="1" x14ac:dyDescent="0.25"/>
    <row r="46417" s="12" customFormat="1" x14ac:dyDescent="0.25"/>
    <row r="46418" s="12" customFormat="1" x14ac:dyDescent="0.25"/>
    <row r="46419" s="12" customFormat="1" x14ac:dyDescent="0.25"/>
    <row r="46420" s="12" customFormat="1" x14ac:dyDescent="0.25"/>
    <row r="46421" s="12" customFormat="1" x14ac:dyDescent="0.25"/>
    <row r="46422" s="12" customFormat="1" x14ac:dyDescent="0.25"/>
    <row r="46423" s="12" customFormat="1" x14ac:dyDescent="0.25"/>
    <row r="46424" s="12" customFormat="1" x14ac:dyDescent="0.25"/>
    <row r="46425" s="12" customFormat="1" x14ac:dyDescent="0.25"/>
    <row r="46426" s="12" customFormat="1" x14ac:dyDescent="0.25"/>
    <row r="46427" s="12" customFormat="1" x14ac:dyDescent="0.25"/>
    <row r="46428" s="12" customFormat="1" x14ac:dyDescent="0.25"/>
    <row r="46429" s="12" customFormat="1" x14ac:dyDescent="0.25"/>
    <row r="46430" s="12" customFormat="1" x14ac:dyDescent="0.25"/>
    <row r="46431" s="12" customFormat="1" x14ac:dyDescent="0.25"/>
    <row r="46432" s="12" customFormat="1" x14ac:dyDescent="0.25"/>
    <row r="46433" s="12" customFormat="1" x14ac:dyDescent="0.25"/>
    <row r="46434" s="12" customFormat="1" x14ac:dyDescent="0.25"/>
    <row r="46435" s="12" customFormat="1" x14ac:dyDescent="0.25"/>
    <row r="46436" s="12" customFormat="1" x14ac:dyDescent="0.25"/>
    <row r="46437" s="12" customFormat="1" x14ac:dyDescent="0.25"/>
    <row r="46438" s="12" customFormat="1" x14ac:dyDescent="0.25"/>
    <row r="46439" s="12" customFormat="1" x14ac:dyDescent="0.25"/>
    <row r="46440" s="12" customFormat="1" x14ac:dyDescent="0.25"/>
    <row r="46441" s="12" customFormat="1" x14ac:dyDescent="0.25"/>
    <row r="46442" s="12" customFormat="1" x14ac:dyDescent="0.25"/>
    <row r="46443" s="12" customFormat="1" x14ac:dyDescent="0.25"/>
    <row r="46444" s="12" customFormat="1" x14ac:dyDescent="0.25"/>
    <row r="46445" s="12" customFormat="1" x14ac:dyDescent="0.25"/>
    <row r="46446" s="12" customFormat="1" x14ac:dyDescent="0.25"/>
    <row r="46447" s="12" customFormat="1" x14ac:dyDescent="0.25"/>
    <row r="46448" s="12" customFormat="1" x14ac:dyDescent="0.25"/>
    <row r="46449" s="12" customFormat="1" x14ac:dyDescent="0.25"/>
    <row r="46450" s="12" customFormat="1" x14ac:dyDescent="0.25"/>
    <row r="46451" s="12" customFormat="1" x14ac:dyDescent="0.25"/>
    <row r="46452" s="12" customFormat="1" x14ac:dyDescent="0.25"/>
    <row r="46453" s="12" customFormat="1" x14ac:dyDescent="0.25"/>
    <row r="46454" s="12" customFormat="1" x14ac:dyDescent="0.25"/>
    <row r="46455" s="12" customFormat="1" x14ac:dyDescent="0.25"/>
    <row r="46456" s="12" customFormat="1" x14ac:dyDescent="0.25"/>
    <row r="46457" s="12" customFormat="1" x14ac:dyDescent="0.25"/>
    <row r="46458" s="12" customFormat="1" x14ac:dyDescent="0.25"/>
    <row r="46459" s="12" customFormat="1" x14ac:dyDescent="0.25"/>
    <row r="46460" s="12" customFormat="1" x14ac:dyDescent="0.25"/>
    <row r="46461" s="12" customFormat="1" x14ac:dyDescent="0.25"/>
    <row r="46462" s="12" customFormat="1" x14ac:dyDescent="0.25"/>
    <row r="46463" s="12" customFormat="1" x14ac:dyDescent="0.25"/>
    <row r="46464" s="12" customFormat="1" x14ac:dyDescent="0.25"/>
    <row r="46465" s="12" customFormat="1" x14ac:dyDescent="0.25"/>
    <row r="46466" s="12" customFormat="1" x14ac:dyDescent="0.25"/>
    <row r="46467" s="12" customFormat="1" x14ac:dyDescent="0.25"/>
    <row r="46468" s="12" customFormat="1" x14ac:dyDescent="0.25"/>
    <row r="46469" s="12" customFormat="1" x14ac:dyDescent="0.25"/>
    <row r="46470" s="12" customFormat="1" x14ac:dyDescent="0.25"/>
    <row r="46471" s="12" customFormat="1" x14ac:dyDescent="0.25"/>
    <row r="46472" s="12" customFormat="1" x14ac:dyDescent="0.25"/>
    <row r="46473" s="12" customFormat="1" x14ac:dyDescent="0.25"/>
    <row r="46474" s="12" customFormat="1" x14ac:dyDescent="0.25"/>
    <row r="46475" s="12" customFormat="1" x14ac:dyDescent="0.25"/>
    <row r="46476" s="12" customFormat="1" x14ac:dyDescent="0.25"/>
    <row r="46477" s="12" customFormat="1" x14ac:dyDescent="0.25"/>
    <row r="46478" s="12" customFormat="1" x14ac:dyDescent="0.25"/>
    <row r="46479" s="12" customFormat="1" x14ac:dyDescent="0.25"/>
    <row r="46480" s="12" customFormat="1" x14ac:dyDescent="0.25"/>
    <row r="46481" s="12" customFormat="1" x14ac:dyDescent="0.25"/>
    <row r="46482" s="12" customFormat="1" x14ac:dyDescent="0.25"/>
    <row r="46483" s="12" customFormat="1" x14ac:dyDescent="0.25"/>
    <row r="46484" s="12" customFormat="1" x14ac:dyDescent="0.25"/>
    <row r="46485" s="12" customFormat="1" x14ac:dyDescent="0.25"/>
    <row r="46486" s="12" customFormat="1" x14ac:dyDescent="0.25"/>
    <row r="46487" s="12" customFormat="1" x14ac:dyDescent="0.25"/>
    <row r="46488" s="12" customFormat="1" x14ac:dyDescent="0.25"/>
    <row r="46489" s="12" customFormat="1" x14ac:dyDescent="0.25"/>
    <row r="46490" s="12" customFormat="1" x14ac:dyDescent="0.25"/>
    <row r="46491" s="12" customFormat="1" x14ac:dyDescent="0.25"/>
    <row r="46492" s="12" customFormat="1" x14ac:dyDescent="0.25"/>
    <row r="46493" s="12" customFormat="1" x14ac:dyDescent="0.25"/>
    <row r="46494" s="12" customFormat="1" x14ac:dyDescent="0.25"/>
    <row r="46495" s="12" customFormat="1" x14ac:dyDescent="0.25"/>
    <row r="46496" s="12" customFormat="1" x14ac:dyDescent="0.25"/>
    <row r="46497" s="12" customFormat="1" x14ac:dyDescent="0.25"/>
    <row r="46498" s="12" customFormat="1" x14ac:dyDescent="0.25"/>
    <row r="46499" s="12" customFormat="1" x14ac:dyDescent="0.25"/>
    <row r="46500" s="12" customFormat="1" x14ac:dyDescent="0.25"/>
    <row r="46501" s="12" customFormat="1" x14ac:dyDescent="0.25"/>
    <row r="46502" s="12" customFormat="1" x14ac:dyDescent="0.25"/>
    <row r="46503" s="12" customFormat="1" x14ac:dyDescent="0.25"/>
    <row r="46504" s="12" customFormat="1" x14ac:dyDescent="0.25"/>
    <row r="46505" s="12" customFormat="1" x14ac:dyDescent="0.25"/>
    <row r="46506" s="12" customFormat="1" x14ac:dyDescent="0.25"/>
    <row r="46507" s="12" customFormat="1" x14ac:dyDescent="0.25"/>
    <row r="46508" s="12" customFormat="1" x14ac:dyDescent="0.25"/>
    <row r="46509" s="12" customFormat="1" x14ac:dyDescent="0.25"/>
    <row r="46510" s="12" customFormat="1" x14ac:dyDescent="0.25"/>
    <row r="46511" s="12" customFormat="1" x14ac:dyDescent="0.25"/>
    <row r="46512" s="12" customFormat="1" x14ac:dyDescent="0.25"/>
    <row r="46513" s="12" customFormat="1" x14ac:dyDescent="0.25"/>
    <row r="46514" s="12" customFormat="1" x14ac:dyDescent="0.25"/>
    <row r="46515" s="12" customFormat="1" x14ac:dyDescent="0.25"/>
    <row r="46516" s="12" customFormat="1" x14ac:dyDescent="0.25"/>
    <row r="46517" s="12" customFormat="1" x14ac:dyDescent="0.25"/>
    <row r="46518" s="12" customFormat="1" x14ac:dyDescent="0.25"/>
    <row r="46519" s="12" customFormat="1" x14ac:dyDescent="0.25"/>
    <row r="46520" s="12" customFormat="1" x14ac:dyDescent="0.25"/>
    <row r="46521" s="12" customFormat="1" x14ac:dyDescent="0.25"/>
    <row r="46522" s="12" customFormat="1" x14ac:dyDescent="0.25"/>
    <row r="46523" s="12" customFormat="1" x14ac:dyDescent="0.25"/>
    <row r="46524" s="12" customFormat="1" x14ac:dyDescent="0.25"/>
    <row r="46525" s="12" customFormat="1" x14ac:dyDescent="0.25"/>
    <row r="46526" s="12" customFormat="1" x14ac:dyDescent="0.25"/>
    <row r="46527" s="12" customFormat="1" x14ac:dyDescent="0.25"/>
    <row r="46528" s="12" customFormat="1" x14ac:dyDescent="0.25"/>
    <row r="46529" s="12" customFormat="1" x14ac:dyDescent="0.25"/>
    <row r="46530" s="12" customFormat="1" x14ac:dyDescent="0.25"/>
    <row r="46531" s="12" customFormat="1" x14ac:dyDescent="0.25"/>
    <row r="46532" s="12" customFormat="1" x14ac:dyDescent="0.25"/>
    <row r="46533" s="12" customFormat="1" x14ac:dyDescent="0.25"/>
    <row r="46534" s="12" customFormat="1" x14ac:dyDescent="0.25"/>
    <row r="46535" s="12" customFormat="1" x14ac:dyDescent="0.25"/>
    <row r="46536" s="12" customFormat="1" x14ac:dyDescent="0.25"/>
    <row r="46537" s="12" customFormat="1" x14ac:dyDescent="0.25"/>
    <row r="46538" s="12" customFormat="1" x14ac:dyDescent="0.25"/>
    <row r="46539" s="12" customFormat="1" x14ac:dyDescent="0.25"/>
    <row r="46540" s="12" customFormat="1" x14ac:dyDescent="0.25"/>
    <row r="46541" s="12" customFormat="1" x14ac:dyDescent="0.25"/>
    <row r="46542" s="12" customFormat="1" x14ac:dyDescent="0.25"/>
    <row r="46543" s="12" customFormat="1" x14ac:dyDescent="0.25"/>
    <row r="46544" s="12" customFormat="1" x14ac:dyDescent="0.25"/>
    <row r="46545" s="12" customFormat="1" x14ac:dyDescent="0.25"/>
    <row r="46546" s="12" customFormat="1" x14ac:dyDescent="0.25"/>
    <row r="46547" s="12" customFormat="1" x14ac:dyDescent="0.25"/>
    <row r="46548" s="12" customFormat="1" x14ac:dyDescent="0.25"/>
    <row r="46549" s="12" customFormat="1" x14ac:dyDescent="0.25"/>
    <row r="46550" s="12" customFormat="1" x14ac:dyDescent="0.25"/>
    <row r="46551" s="12" customFormat="1" x14ac:dyDescent="0.25"/>
    <row r="46552" s="12" customFormat="1" x14ac:dyDescent="0.25"/>
    <row r="46553" s="12" customFormat="1" x14ac:dyDescent="0.25"/>
    <row r="46554" s="12" customFormat="1" x14ac:dyDescent="0.25"/>
    <row r="46555" s="12" customFormat="1" x14ac:dyDescent="0.25"/>
    <row r="46556" s="12" customFormat="1" x14ac:dyDescent="0.25"/>
    <row r="46557" s="12" customFormat="1" x14ac:dyDescent="0.25"/>
    <row r="46558" s="12" customFormat="1" x14ac:dyDescent="0.25"/>
    <row r="46559" s="12" customFormat="1" x14ac:dyDescent="0.25"/>
    <row r="46560" s="12" customFormat="1" x14ac:dyDescent="0.25"/>
    <row r="46561" s="12" customFormat="1" x14ac:dyDescent="0.25"/>
    <row r="46562" s="12" customFormat="1" x14ac:dyDescent="0.25"/>
    <row r="46563" s="12" customFormat="1" x14ac:dyDescent="0.25"/>
    <row r="46564" s="12" customFormat="1" x14ac:dyDescent="0.25"/>
    <row r="46565" s="12" customFormat="1" x14ac:dyDescent="0.25"/>
    <row r="46566" s="12" customFormat="1" x14ac:dyDescent="0.25"/>
    <row r="46567" s="12" customFormat="1" x14ac:dyDescent="0.25"/>
    <row r="46568" s="12" customFormat="1" x14ac:dyDescent="0.25"/>
    <row r="46569" s="12" customFormat="1" x14ac:dyDescent="0.25"/>
    <row r="46570" s="12" customFormat="1" x14ac:dyDescent="0.25"/>
    <row r="46571" s="12" customFormat="1" x14ac:dyDescent="0.25"/>
    <row r="46572" s="12" customFormat="1" x14ac:dyDescent="0.25"/>
    <row r="46573" s="12" customFormat="1" x14ac:dyDescent="0.25"/>
    <row r="46574" s="12" customFormat="1" x14ac:dyDescent="0.25"/>
    <row r="46575" s="12" customFormat="1" x14ac:dyDescent="0.25"/>
    <row r="46576" s="12" customFormat="1" x14ac:dyDescent="0.25"/>
    <row r="46577" s="12" customFormat="1" x14ac:dyDescent="0.25"/>
    <row r="46578" s="12" customFormat="1" x14ac:dyDescent="0.25"/>
    <row r="46579" s="12" customFormat="1" x14ac:dyDescent="0.25"/>
    <row r="46580" s="12" customFormat="1" x14ac:dyDescent="0.25"/>
    <row r="46581" s="12" customFormat="1" x14ac:dyDescent="0.25"/>
    <row r="46582" s="12" customFormat="1" x14ac:dyDescent="0.25"/>
    <row r="46583" s="12" customFormat="1" x14ac:dyDescent="0.25"/>
    <row r="46584" s="12" customFormat="1" x14ac:dyDescent="0.25"/>
    <row r="46585" s="12" customFormat="1" x14ac:dyDescent="0.25"/>
    <row r="46586" s="12" customFormat="1" x14ac:dyDescent="0.25"/>
    <row r="46587" s="12" customFormat="1" x14ac:dyDescent="0.25"/>
    <row r="46588" s="12" customFormat="1" x14ac:dyDescent="0.25"/>
    <row r="46589" s="12" customFormat="1" x14ac:dyDescent="0.25"/>
    <row r="46590" s="12" customFormat="1" x14ac:dyDescent="0.25"/>
    <row r="46591" s="12" customFormat="1" x14ac:dyDescent="0.25"/>
    <row r="46592" s="12" customFormat="1" x14ac:dyDescent="0.25"/>
    <row r="46593" s="12" customFormat="1" x14ac:dyDescent="0.25"/>
    <row r="46594" s="12" customFormat="1" x14ac:dyDescent="0.25"/>
    <row r="46595" s="12" customFormat="1" x14ac:dyDescent="0.25"/>
    <row r="46596" s="12" customFormat="1" x14ac:dyDescent="0.25"/>
    <row r="46597" s="12" customFormat="1" x14ac:dyDescent="0.25"/>
    <row r="46598" s="12" customFormat="1" x14ac:dyDescent="0.25"/>
    <row r="46599" s="12" customFormat="1" x14ac:dyDescent="0.25"/>
    <row r="46600" s="12" customFormat="1" x14ac:dyDescent="0.25"/>
    <row r="46601" s="12" customFormat="1" x14ac:dyDescent="0.25"/>
    <row r="46602" s="12" customFormat="1" x14ac:dyDescent="0.25"/>
    <row r="46603" s="12" customFormat="1" x14ac:dyDescent="0.25"/>
    <row r="46604" s="12" customFormat="1" x14ac:dyDescent="0.25"/>
    <row r="46605" s="12" customFormat="1" x14ac:dyDescent="0.25"/>
    <row r="46606" s="12" customFormat="1" x14ac:dyDescent="0.25"/>
    <row r="46607" s="12" customFormat="1" x14ac:dyDescent="0.25"/>
    <row r="46608" s="12" customFormat="1" x14ac:dyDescent="0.25"/>
    <row r="46609" s="12" customFormat="1" x14ac:dyDescent="0.25"/>
    <row r="46610" s="12" customFormat="1" x14ac:dyDescent="0.25"/>
    <row r="46611" s="12" customFormat="1" x14ac:dyDescent="0.25"/>
    <row r="46612" s="12" customFormat="1" x14ac:dyDescent="0.25"/>
    <row r="46613" s="12" customFormat="1" x14ac:dyDescent="0.25"/>
    <row r="46614" s="12" customFormat="1" x14ac:dyDescent="0.25"/>
    <row r="46615" s="12" customFormat="1" x14ac:dyDescent="0.25"/>
    <row r="46616" s="12" customFormat="1" x14ac:dyDescent="0.25"/>
    <row r="46617" s="12" customFormat="1" x14ac:dyDescent="0.25"/>
    <row r="46618" s="12" customFormat="1" x14ac:dyDescent="0.25"/>
    <row r="46619" s="12" customFormat="1" x14ac:dyDescent="0.25"/>
    <row r="46620" s="12" customFormat="1" x14ac:dyDescent="0.25"/>
    <row r="46621" s="12" customFormat="1" x14ac:dyDescent="0.25"/>
    <row r="46622" s="12" customFormat="1" x14ac:dyDescent="0.25"/>
    <row r="46623" s="12" customFormat="1" x14ac:dyDescent="0.25"/>
    <row r="46624" s="12" customFormat="1" x14ac:dyDescent="0.25"/>
    <row r="46625" s="12" customFormat="1" x14ac:dyDescent="0.25"/>
    <row r="46626" s="12" customFormat="1" x14ac:dyDescent="0.25"/>
    <row r="46627" s="12" customFormat="1" x14ac:dyDescent="0.25"/>
    <row r="46628" s="12" customFormat="1" x14ac:dyDescent="0.25"/>
    <row r="46629" s="12" customFormat="1" x14ac:dyDescent="0.25"/>
    <row r="46630" s="12" customFormat="1" x14ac:dyDescent="0.25"/>
    <row r="46631" s="12" customFormat="1" x14ac:dyDescent="0.25"/>
    <row r="46632" s="12" customFormat="1" x14ac:dyDescent="0.25"/>
    <row r="46633" s="12" customFormat="1" x14ac:dyDescent="0.25"/>
    <row r="46634" s="12" customFormat="1" x14ac:dyDescent="0.25"/>
    <row r="46635" s="12" customFormat="1" x14ac:dyDescent="0.25"/>
    <row r="46636" s="12" customFormat="1" x14ac:dyDescent="0.25"/>
    <row r="46637" s="12" customFormat="1" x14ac:dyDescent="0.25"/>
    <row r="46638" s="12" customFormat="1" x14ac:dyDescent="0.25"/>
    <row r="46639" s="12" customFormat="1" x14ac:dyDescent="0.25"/>
    <row r="46640" s="12" customFormat="1" x14ac:dyDescent="0.25"/>
    <row r="46641" s="12" customFormat="1" x14ac:dyDescent="0.25"/>
    <row r="46642" s="12" customFormat="1" x14ac:dyDescent="0.25"/>
    <row r="46643" s="12" customFormat="1" x14ac:dyDescent="0.25"/>
    <row r="46644" s="12" customFormat="1" x14ac:dyDescent="0.25"/>
    <row r="46645" s="12" customFormat="1" x14ac:dyDescent="0.25"/>
    <row r="46646" s="12" customFormat="1" x14ac:dyDescent="0.25"/>
    <row r="46647" s="12" customFormat="1" x14ac:dyDescent="0.25"/>
    <row r="46648" s="12" customFormat="1" x14ac:dyDescent="0.25"/>
    <row r="46649" s="12" customFormat="1" x14ac:dyDescent="0.25"/>
    <row r="46650" s="12" customFormat="1" x14ac:dyDescent="0.25"/>
    <row r="46651" s="12" customFormat="1" x14ac:dyDescent="0.25"/>
    <row r="46652" s="12" customFormat="1" x14ac:dyDescent="0.25"/>
    <row r="46653" s="12" customFormat="1" x14ac:dyDescent="0.25"/>
    <row r="46654" s="12" customFormat="1" x14ac:dyDescent="0.25"/>
    <row r="46655" s="12" customFormat="1" x14ac:dyDescent="0.25"/>
    <row r="46656" s="12" customFormat="1" x14ac:dyDescent="0.25"/>
    <row r="46657" s="12" customFormat="1" x14ac:dyDescent="0.25"/>
    <row r="46658" s="12" customFormat="1" x14ac:dyDescent="0.25"/>
    <row r="46659" s="12" customFormat="1" x14ac:dyDescent="0.25"/>
    <row r="46660" s="12" customFormat="1" x14ac:dyDescent="0.25"/>
    <row r="46661" s="12" customFormat="1" x14ac:dyDescent="0.25"/>
    <row r="46662" s="12" customFormat="1" x14ac:dyDescent="0.25"/>
    <row r="46663" s="12" customFormat="1" x14ac:dyDescent="0.25"/>
    <row r="46664" s="12" customFormat="1" x14ac:dyDescent="0.25"/>
    <row r="46665" s="12" customFormat="1" x14ac:dyDescent="0.25"/>
    <row r="46666" s="12" customFormat="1" x14ac:dyDescent="0.25"/>
    <row r="46667" s="12" customFormat="1" x14ac:dyDescent="0.25"/>
    <row r="46668" s="12" customFormat="1" x14ac:dyDescent="0.25"/>
    <row r="46669" s="12" customFormat="1" x14ac:dyDescent="0.25"/>
    <row r="46670" s="12" customFormat="1" x14ac:dyDescent="0.25"/>
    <row r="46671" s="12" customFormat="1" x14ac:dyDescent="0.25"/>
    <row r="46672" s="12" customFormat="1" x14ac:dyDescent="0.25"/>
    <row r="46673" s="12" customFormat="1" x14ac:dyDescent="0.25"/>
    <row r="46674" s="12" customFormat="1" x14ac:dyDescent="0.25"/>
    <row r="46675" s="12" customFormat="1" x14ac:dyDescent="0.25"/>
    <row r="46676" s="12" customFormat="1" x14ac:dyDescent="0.25"/>
    <row r="46677" s="12" customFormat="1" x14ac:dyDescent="0.25"/>
    <row r="46678" s="12" customFormat="1" x14ac:dyDescent="0.25"/>
    <row r="46679" s="12" customFormat="1" x14ac:dyDescent="0.25"/>
    <row r="46680" s="12" customFormat="1" x14ac:dyDescent="0.25"/>
    <row r="46681" s="12" customFormat="1" x14ac:dyDescent="0.25"/>
    <row r="46682" s="12" customFormat="1" x14ac:dyDescent="0.25"/>
    <row r="46683" s="12" customFormat="1" x14ac:dyDescent="0.25"/>
    <row r="46684" s="12" customFormat="1" x14ac:dyDescent="0.25"/>
    <row r="46685" s="12" customFormat="1" x14ac:dyDescent="0.25"/>
    <row r="46686" s="12" customFormat="1" x14ac:dyDescent="0.25"/>
    <row r="46687" s="12" customFormat="1" x14ac:dyDescent="0.25"/>
    <row r="46688" s="12" customFormat="1" x14ac:dyDescent="0.25"/>
    <row r="46689" s="12" customFormat="1" x14ac:dyDescent="0.25"/>
    <row r="46690" s="12" customFormat="1" x14ac:dyDescent="0.25"/>
    <row r="46691" s="12" customFormat="1" x14ac:dyDescent="0.25"/>
    <row r="46692" s="12" customFormat="1" x14ac:dyDescent="0.25"/>
    <row r="46693" s="12" customFormat="1" x14ac:dyDescent="0.25"/>
    <row r="46694" s="12" customFormat="1" x14ac:dyDescent="0.25"/>
    <row r="46695" s="12" customFormat="1" x14ac:dyDescent="0.25"/>
    <row r="46696" s="12" customFormat="1" x14ac:dyDescent="0.25"/>
    <row r="46697" s="12" customFormat="1" x14ac:dyDescent="0.25"/>
    <row r="46698" s="12" customFormat="1" x14ac:dyDescent="0.25"/>
    <row r="46699" s="12" customFormat="1" x14ac:dyDescent="0.25"/>
    <row r="46700" s="12" customFormat="1" x14ac:dyDescent="0.25"/>
    <row r="46701" s="12" customFormat="1" x14ac:dyDescent="0.25"/>
    <row r="46702" s="12" customFormat="1" x14ac:dyDescent="0.25"/>
    <row r="46703" s="12" customFormat="1" x14ac:dyDescent="0.25"/>
    <row r="46704" s="12" customFormat="1" x14ac:dyDescent="0.25"/>
    <row r="46705" s="12" customFormat="1" x14ac:dyDescent="0.25"/>
    <row r="46706" s="12" customFormat="1" x14ac:dyDescent="0.25"/>
    <row r="46707" s="12" customFormat="1" x14ac:dyDescent="0.25"/>
    <row r="46708" s="12" customFormat="1" x14ac:dyDescent="0.25"/>
    <row r="46709" s="12" customFormat="1" x14ac:dyDescent="0.25"/>
    <row r="46710" s="12" customFormat="1" x14ac:dyDescent="0.25"/>
    <row r="46711" s="12" customFormat="1" x14ac:dyDescent="0.25"/>
    <row r="46712" s="12" customFormat="1" x14ac:dyDescent="0.25"/>
    <row r="46713" s="12" customFormat="1" x14ac:dyDescent="0.25"/>
    <row r="46714" s="12" customFormat="1" x14ac:dyDescent="0.25"/>
    <row r="46715" s="12" customFormat="1" x14ac:dyDescent="0.25"/>
    <row r="46716" s="12" customFormat="1" x14ac:dyDescent="0.25"/>
    <row r="46717" s="12" customFormat="1" x14ac:dyDescent="0.25"/>
    <row r="46718" s="12" customFormat="1" x14ac:dyDescent="0.25"/>
    <row r="46719" s="12" customFormat="1" x14ac:dyDescent="0.25"/>
    <row r="46720" s="12" customFormat="1" x14ac:dyDescent="0.25"/>
    <row r="46721" s="12" customFormat="1" x14ac:dyDescent="0.25"/>
    <row r="46722" s="12" customFormat="1" x14ac:dyDescent="0.25"/>
    <row r="46723" s="12" customFormat="1" x14ac:dyDescent="0.25"/>
    <row r="46724" s="12" customFormat="1" x14ac:dyDescent="0.25"/>
    <row r="46725" s="12" customFormat="1" x14ac:dyDescent="0.25"/>
    <row r="46726" s="12" customFormat="1" x14ac:dyDescent="0.25"/>
    <row r="46727" s="12" customFormat="1" x14ac:dyDescent="0.25"/>
    <row r="46728" s="12" customFormat="1" x14ac:dyDescent="0.25"/>
    <row r="46729" s="12" customFormat="1" x14ac:dyDescent="0.25"/>
    <row r="46730" s="12" customFormat="1" x14ac:dyDescent="0.25"/>
    <row r="46731" s="12" customFormat="1" x14ac:dyDescent="0.25"/>
    <row r="46732" s="12" customFormat="1" x14ac:dyDescent="0.25"/>
    <row r="46733" s="12" customFormat="1" x14ac:dyDescent="0.25"/>
    <row r="46734" s="12" customFormat="1" x14ac:dyDescent="0.25"/>
    <row r="46735" s="12" customFormat="1" x14ac:dyDescent="0.25"/>
    <row r="46736" s="12" customFormat="1" x14ac:dyDescent="0.25"/>
    <row r="46737" s="12" customFormat="1" x14ac:dyDescent="0.25"/>
    <row r="46738" s="12" customFormat="1" x14ac:dyDescent="0.25"/>
    <row r="46739" s="12" customFormat="1" x14ac:dyDescent="0.25"/>
    <row r="46740" s="12" customFormat="1" x14ac:dyDescent="0.25"/>
    <row r="46741" s="12" customFormat="1" x14ac:dyDescent="0.25"/>
    <row r="46742" s="12" customFormat="1" x14ac:dyDescent="0.25"/>
    <row r="46743" s="12" customFormat="1" x14ac:dyDescent="0.25"/>
    <row r="46744" s="12" customFormat="1" x14ac:dyDescent="0.25"/>
    <row r="46745" s="12" customFormat="1" x14ac:dyDescent="0.25"/>
    <row r="46746" s="12" customFormat="1" x14ac:dyDescent="0.25"/>
    <row r="46747" s="12" customFormat="1" x14ac:dyDescent="0.25"/>
    <row r="46748" s="12" customFormat="1" x14ac:dyDescent="0.25"/>
    <row r="46749" s="12" customFormat="1" x14ac:dyDescent="0.25"/>
    <row r="46750" s="12" customFormat="1" x14ac:dyDescent="0.25"/>
    <row r="46751" s="12" customFormat="1" x14ac:dyDescent="0.25"/>
    <row r="46752" s="12" customFormat="1" x14ac:dyDescent="0.25"/>
    <row r="46753" s="12" customFormat="1" x14ac:dyDescent="0.25"/>
    <row r="46754" s="12" customFormat="1" x14ac:dyDescent="0.25"/>
    <row r="46755" s="12" customFormat="1" x14ac:dyDescent="0.25"/>
    <row r="46756" s="12" customFormat="1" x14ac:dyDescent="0.25"/>
    <row r="46757" s="12" customFormat="1" x14ac:dyDescent="0.25"/>
    <row r="46758" s="12" customFormat="1" x14ac:dyDescent="0.25"/>
    <row r="46759" s="12" customFormat="1" x14ac:dyDescent="0.25"/>
    <row r="46760" s="12" customFormat="1" x14ac:dyDescent="0.25"/>
    <row r="46761" s="12" customFormat="1" x14ac:dyDescent="0.25"/>
    <row r="46762" s="12" customFormat="1" x14ac:dyDescent="0.25"/>
    <row r="46763" s="12" customFormat="1" x14ac:dyDescent="0.25"/>
    <row r="46764" s="12" customFormat="1" x14ac:dyDescent="0.25"/>
    <row r="46765" s="12" customFormat="1" x14ac:dyDescent="0.25"/>
    <row r="46766" s="12" customFormat="1" x14ac:dyDescent="0.25"/>
    <row r="46767" s="12" customFormat="1" x14ac:dyDescent="0.25"/>
    <row r="46768" s="12" customFormat="1" x14ac:dyDescent="0.25"/>
    <row r="46769" s="12" customFormat="1" x14ac:dyDescent="0.25"/>
    <row r="46770" s="12" customFormat="1" x14ac:dyDescent="0.25"/>
    <row r="46771" s="12" customFormat="1" x14ac:dyDescent="0.25"/>
    <row r="46772" s="12" customFormat="1" x14ac:dyDescent="0.25"/>
    <row r="46773" s="12" customFormat="1" x14ac:dyDescent="0.25"/>
    <row r="46774" s="12" customFormat="1" x14ac:dyDescent="0.25"/>
    <row r="46775" s="12" customFormat="1" x14ac:dyDescent="0.25"/>
    <row r="46776" s="12" customFormat="1" x14ac:dyDescent="0.25"/>
    <row r="46777" s="12" customFormat="1" x14ac:dyDescent="0.25"/>
    <row r="46778" s="12" customFormat="1" x14ac:dyDescent="0.25"/>
    <row r="46779" s="12" customFormat="1" x14ac:dyDescent="0.25"/>
    <row r="46780" s="12" customFormat="1" x14ac:dyDescent="0.25"/>
    <row r="46781" s="12" customFormat="1" x14ac:dyDescent="0.25"/>
    <row r="46782" s="12" customFormat="1" x14ac:dyDescent="0.25"/>
    <row r="46783" s="12" customFormat="1" x14ac:dyDescent="0.25"/>
    <row r="46784" s="12" customFormat="1" x14ac:dyDescent="0.25"/>
    <row r="46785" s="12" customFormat="1" x14ac:dyDescent="0.25"/>
    <row r="46786" s="12" customFormat="1" x14ac:dyDescent="0.25"/>
    <row r="46787" s="12" customFormat="1" x14ac:dyDescent="0.25"/>
    <row r="46788" s="12" customFormat="1" x14ac:dyDescent="0.25"/>
    <row r="46789" s="12" customFormat="1" x14ac:dyDescent="0.25"/>
    <row r="46790" s="12" customFormat="1" x14ac:dyDescent="0.25"/>
    <row r="46791" s="12" customFormat="1" x14ac:dyDescent="0.25"/>
    <row r="46792" s="12" customFormat="1" x14ac:dyDescent="0.25"/>
    <row r="46793" s="12" customFormat="1" x14ac:dyDescent="0.25"/>
    <row r="46794" s="12" customFormat="1" x14ac:dyDescent="0.25"/>
    <row r="46795" s="12" customFormat="1" x14ac:dyDescent="0.25"/>
    <row r="46796" s="12" customFormat="1" x14ac:dyDescent="0.25"/>
    <row r="46797" s="12" customFormat="1" x14ac:dyDescent="0.25"/>
    <row r="46798" s="12" customFormat="1" x14ac:dyDescent="0.25"/>
    <row r="46799" s="12" customFormat="1" x14ac:dyDescent="0.25"/>
    <row r="46800" s="12" customFormat="1" x14ac:dyDescent="0.25"/>
    <row r="46801" s="12" customFormat="1" x14ac:dyDescent="0.25"/>
    <row r="46802" s="12" customFormat="1" x14ac:dyDescent="0.25"/>
    <row r="46803" s="12" customFormat="1" x14ac:dyDescent="0.25"/>
    <row r="46804" s="12" customFormat="1" x14ac:dyDescent="0.25"/>
    <row r="46805" s="12" customFormat="1" x14ac:dyDescent="0.25"/>
    <row r="46806" s="12" customFormat="1" x14ac:dyDescent="0.25"/>
    <row r="46807" s="12" customFormat="1" x14ac:dyDescent="0.25"/>
    <row r="46808" s="12" customFormat="1" x14ac:dyDescent="0.25"/>
    <row r="46809" s="12" customFormat="1" x14ac:dyDescent="0.25"/>
    <row r="46810" s="12" customFormat="1" x14ac:dyDescent="0.25"/>
    <row r="46811" s="12" customFormat="1" x14ac:dyDescent="0.25"/>
    <row r="46812" s="12" customFormat="1" x14ac:dyDescent="0.25"/>
    <row r="46813" s="12" customFormat="1" x14ac:dyDescent="0.25"/>
    <row r="46814" s="12" customFormat="1" x14ac:dyDescent="0.25"/>
    <row r="46815" s="12" customFormat="1" x14ac:dyDescent="0.25"/>
    <row r="46816" s="12" customFormat="1" x14ac:dyDescent="0.25"/>
    <row r="46817" s="12" customFormat="1" x14ac:dyDescent="0.25"/>
    <row r="46818" s="12" customFormat="1" x14ac:dyDescent="0.25"/>
    <row r="46819" s="12" customFormat="1" x14ac:dyDescent="0.25"/>
    <row r="46820" s="12" customFormat="1" x14ac:dyDescent="0.25"/>
    <row r="46821" s="12" customFormat="1" x14ac:dyDescent="0.25"/>
    <row r="46822" s="12" customFormat="1" x14ac:dyDescent="0.25"/>
    <row r="46823" s="12" customFormat="1" x14ac:dyDescent="0.25"/>
    <row r="46824" s="12" customFormat="1" x14ac:dyDescent="0.25"/>
    <row r="46825" s="12" customFormat="1" x14ac:dyDescent="0.25"/>
    <row r="46826" s="12" customFormat="1" x14ac:dyDescent="0.25"/>
    <row r="46827" s="12" customFormat="1" x14ac:dyDescent="0.25"/>
    <row r="46828" s="12" customFormat="1" x14ac:dyDescent="0.25"/>
    <row r="46829" s="12" customFormat="1" x14ac:dyDescent="0.25"/>
    <row r="46830" s="12" customFormat="1" x14ac:dyDescent="0.25"/>
    <row r="46831" s="12" customFormat="1" x14ac:dyDescent="0.25"/>
    <row r="46832" s="12" customFormat="1" x14ac:dyDescent="0.25"/>
    <row r="46833" s="12" customFormat="1" x14ac:dyDescent="0.25"/>
    <row r="46834" s="12" customFormat="1" x14ac:dyDescent="0.25"/>
    <row r="46835" s="12" customFormat="1" x14ac:dyDescent="0.25"/>
    <row r="46836" s="12" customFormat="1" x14ac:dyDescent="0.25"/>
    <row r="46837" s="12" customFormat="1" x14ac:dyDescent="0.25"/>
    <row r="46838" s="12" customFormat="1" x14ac:dyDescent="0.25"/>
    <row r="46839" s="12" customFormat="1" x14ac:dyDescent="0.25"/>
    <row r="46840" s="12" customFormat="1" x14ac:dyDescent="0.25"/>
    <row r="46841" s="12" customFormat="1" x14ac:dyDescent="0.25"/>
    <row r="46842" s="12" customFormat="1" x14ac:dyDescent="0.25"/>
    <row r="46843" s="12" customFormat="1" x14ac:dyDescent="0.25"/>
    <row r="46844" s="12" customFormat="1" x14ac:dyDescent="0.25"/>
    <row r="46845" s="12" customFormat="1" x14ac:dyDescent="0.25"/>
    <row r="46846" s="12" customFormat="1" x14ac:dyDescent="0.25"/>
    <row r="46847" s="12" customFormat="1" x14ac:dyDescent="0.25"/>
    <row r="46848" s="12" customFormat="1" x14ac:dyDescent="0.25"/>
    <row r="46849" s="12" customFormat="1" x14ac:dyDescent="0.25"/>
    <row r="46850" s="12" customFormat="1" x14ac:dyDescent="0.25"/>
    <row r="46851" s="12" customFormat="1" x14ac:dyDescent="0.25"/>
    <row r="46852" s="12" customFormat="1" x14ac:dyDescent="0.25"/>
    <row r="46853" s="12" customFormat="1" x14ac:dyDescent="0.25"/>
    <row r="46854" s="12" customFormat="1" x14ac:dyDescent="0.25"/>
    <row r="46855" s="12" customFormat="1" x14ac:dyDescent="0.25"/>
    <row r="46856" s="12" customFormat="1" x14ac:dyDescent="0.25"/>
    <row r="46857" s="12" customFormat="1" x14ac:dyDescent="0.25"/>
    <row r="46858" s="12" customFormat="1" x14ac:dyDescent="0.25"/>
    <row r="46859" s="12" customFormat="1" x14ac:dyDescent="0.25"/>
    <row r="46860" s="12" customFormat="1" x14ac:dyDescent="0.25"/>
    <row r="46861" s="12" customFormat="1" x14ac:dyDescent="0.25"/>
    <row r="46862" s="12" customFormat="1" x14ac:dyDescent="0.25"/>
    <row r="46863" s="12" customFormat="1" x14ac:dyDescent="0.25"/>
    <row r="46864" s="12" customFormat="1" x14ac:dyDescent="0.25"/>
    <row r="46865" s="12" customFormat="1" x14ac:dyDescent="0.25"/>
    <row r="46866" s="12" customFormat="1" x14ac:dyDescent="0.25"/>
    <row r="46867" s="12" customFormat="1" x14ac:dyDescent="0.25"/>
    <row r="46868" s="12" customFormat="1" x14ac:dyDescent="0.25"/>
    <row r="46869" s="12" customFormat="1" x14ac:dyDescent="0.25"/>
    <row r="46870" s="12" customFormat="1" x14ac:dyDescent="0.25"/>
    <row r="46871" s="12" customFormat="1" x14ac:dyDescent="0.25"/>
    <row r="46872" s="12" customFormat="1" x14ac:dyDescent="0.25"/>
    <row r="46873" s="12" customFormat="1" x14ac:dyDescent="0.25"/>
    <row r="46874" s="12" customFormat="1" x14ac:dyDescent="0.25"/>
    <row r="46875" s="12" customFormat="1" x14ac:dyDescent="0.25"/>
    <row r="46876" s="12" customFormat="1" x14ac:dyDescent="0.25"/>
    <row r="46877" s="12" customFormat="1" x14ac:dyDescent="0.25"/>
    <row r="46878" s="12" customFormat="1" x14ac:dyDescent="0.25"/>
    <row r="46879" s="12" customFormat="1" x14ac:dyDescent="0.25"/>
    <row r="46880" s="12" customFormat="1" x14ac:dyDescent="0.25"/>
    <row r="46881" s="12" customFormat="1" x14ac:dyDescent="0.25"/>
    <row r="46882" s="12" customFormat="1" x14ac:dyDescent="0.25"/>
    <row r="46883" s="12" customFormat="1" x14ac:dyDescent="0.25"/>
    <row r="46884" s="12" customFormat="1" x14ac:dyDescent="0.25"/>
    <row r="46885" s="12" customFormat="1" x14ac:dyDescent="0.25"/>
    <row r="46886" s="12" customFormat="1" x14ac:dyDescent="0.25"/>
    <row r="46887" s="12" customFormat="1" x14ac:dyDescent="0.25"/>
    <row r="46888" s="12" customFormat="1" x14ac:dyDescent="0.25"/>
    <row r="46889" s="12" customFormat="1" x14ac:dyDescent="0.25"/>
    <row r="46890" s="12" customFormat="1" x14ac:dyDescent="0.25"/>
    <row r="46891" s="12" customFormat="1" x14ac:dyDescent="0.25"/>
    <row r="46892" s="12" customFormat="1" x14ac:dyDescent="0.25"/>
    <row r="46893" s="12" customFormat="1" x14ac:dyDescent="0.25"/>
    <row r="46894" s="12" customFormat="1" x14ac:dyDescent="0.25"/>
    <row r="46895" s="12" customFormat="1" x14ac:dyDescent="0.25"/>
    <row r="46896" s="12" customFormat="1" x14ac:dyDescent="0.25"/>
    <row r="46897" s="12" customFormat="1" x14ac:dyDescent="0.25"/>
    <row r="46898" s="12" customFormat="1" x14ac:dyDescent="0.25"/>
    <row r="46899" s="12" customFormat="1" x14ac:dyDescent="0.25"/>
    <row r="46900" s="12" customFormat="1" x14ac:dyDescent="0.25"/>
    <row r="46901" s="12" customFormat="1" x14ac:dyDescent="0.25"/>
    <row r="46902" s="12" customFormat="1" x14ac:dyDescent="0.25"/>
    <row r="46903" s="12" customFormat="1" x14ac:dyDescent="0.25"/>
    <row r="46904" s="12" customFormat="1" x14ac:dyDescent="0.25"/>
    <row r="46905" s="12" customFormat="1" x14ac:dyDescent="0.25"/>
    <row r="46906" s="12" customFormat="1" x14ac:dyDescent="0.25"/>
    <row r="46907" s="12" customFormat="1" x14ac:dyDescent="0.25"/>
    <row r="46908" s="12" customFormat="1" x14ac:dyDescent="0.25"/>
    <row r="46909" s="12" customFormat="1" x14ac:dyDescent="0.25"/>
    <row r="46910" s="12" customFormat="1" x14ac:dyDescent="0.25"/>
    <row r="46911" s="12" customFormat="1" x14ac:dyDescent="0.25"/>
    <row r="46912" s="12" customFormat="1" x14ac:dyDescent="0.25"/>
    <row r="46913" s="12" customFormat="1" x14ac:dyDescent="0.25"/>
    <row r="46914" s="12" customFormat="1" x14ac:dyDescent="0.25"/>
    <row r="46915" s="12" customFormat="1" x14ac:dyDescent="0.25"/>
    <row r="46916" s="12" customFormat="1" x14ac:dyDescent="0.25"/>
    <row r="46917" s="12" customFormat="1" x14ac:dyDescent="0.25"/>
    <row r="46918" s="12" customFormat="1" x14ac:dyDescent="0.25"/>
    <row r="46919" s="12" customFormat="1" x14ac:dyDescent="0.25"/>
    <row r="46920" s="12" customFormat="1" x14ac:dyDescent="0.25"/>
    <row r="46921" s="12" customFormat="1" x14ac:dyDescent="0.25"/>
    <row r="46922" s="12" customFormat="1" x14ac:dyDescent="0.25"/>
    <row r="46923" s="12" customFormat="1" x14ac:dyDescent="0.25"/>
    <row r="46924" s="12" customFormat="1" x14ac:dyDescent="0.25"/>
    <row r="46925" s="12" customFormat="1" x14ac:dyDescent="0.25"/>
    <row r="46926" s="12" customFormat="1" x14ac:dyDescent="0.25"/>
    <row r="46927" s="12" customFormat="1" x14ac:dyDescent="0.25"/>
    <row r="46928" s="12" customFormat="1" x14ac:dyDescent="0.25"/>
    <row r="46929" s="12" customFormat="1" x14ac:dyDescent="0.25"/>
    <row r="46930" s="12" customFormat="1" x14ac:dyDescent="0.25"/>
    <row r="46931" s="12" customFormat="1" x14ac:dyDescent="0.25"/>
    <row r="46932" s="12" customFormat="1" x14ac:dyDescent="0.25"/>
    <row r="46933" s="12" customFormat="1" x14ac:dyDescent="0.25"/>
    <row r="46934" s="12" customFormat="1" x14ac:dyDescent="0.25"/>
    <row r="46935" s="12" customFormat="1" x14ac:dyDescent="0.25"/>
    <row r="46936" s="12" customFormat="1" x14ac:dyDescent="0.25"/>
    <row r="46937" s="12" customFormat="1" x14ac:dyDescent="0.25"/>
    <row r="46938" s="12" customFormat="1" x14ac:dyDescent="0.25"/>
    <row r="46939" s="12" customFormat="1" x14ac:dyDescent="0.25"/>
    <row r="46940" s="12" customFormat="1" x14ac:dyDescent="0.25"/>
    <row r="46941" s="12" customFormat="1" x14ac:dyDescent="0.25"/>
    <row r="46942" s="12" customFormat="1" x14ac:dyDescent="0.25"/>
    <row r="46943" s="12" customFormat="1" x14ac:dyDescent="0.25"/>
    <row r="46944" s="12" customFormat="1" x14ac:dyDescent="0.25"/>
    <row r="46945" s="12" customFormat="1" x14ac:dyDescent="0.25"/>
    <row r="46946" s="12" customFormat="1" x14ac:dyDescent="0.25"/>
    <row r="46947" s="12" customFormat="1" x14ac:dyDescent="0.25"/>
    <row r="46948" s="12" customFormat="1" x14ac:dyDescent="0.25"/>
    <row r="46949" s="12" customFormat="1" x14ac:dyDescent="0.25"/>
    <row r="46950" s="12" customFormat="1" x14ac:dyDescent="0.25"/>
    <row r="46951" s="12" customFormat="1" x14ac:dyDescent="0.25"/>
    <row r="46952" s="12" customFormat="1" x14ac:dyDescent="0.25"/>
    <row r="46953" s="12" customFormat="1" x14ac:dyDescent="0.25"/>
    <row r="46954" s="12" customFormat="1" x14ac:dyDescent="0.25"/>
    <row r="46955" s="12" customFormat="1" x14ac:dyDescent="0.25"/>
    <row r="46956" s="12" customFormat="1" x14ac:dyDescent="0.25"/>
    <row r="46957" s="12" customFormat="1" x14ac:dyDescent="0.25"/>
    <row r="46958" s="12" customFormat="1" x14ac:dyDescent="0.25"/>
    <row r="46959" s="12" customFormat="1" x14ac:dyDescent="0.25"/>
    <row r="46960" s="12" customFormat="1" x14ac:dyDescent="0.25"/>
    <row r="46961" s="12" customFormat="1" x14ac:dyDescent="0.25"/>
    <row r="46962" s="12" customFormat="1" x14ac:dyDescent="0.25"/>
    <row r="46963" s="12" customFormat="1" x14ac:dyDescent="0.25"/>
    <row r="46964" s="12" customFormat="1" x14ac:dyDescent="0.25"/>
    <row r="46965" s="12" customFormat="1" x14ac:dyDescent="0.25"/>
    <row r="46966" s="12" customFormat="1" x14ac:dyDescent="0.25"/>
    <row r="46967" s="12" customFormat="1" x14ac:dyDescent="0.25"/>
    <row r="46968" s="12" customFormat="1" x14ac:dyDescent="0.25"/>
    <row r="46969" s="12" customFormat="1" x14ac:dyDescent="0.25"/>
    <row r="46970" s="12" customFormat="1" x14ac:dyDescent="0.25"/>
    <row r="46971" s="12" customFormat="1" x14ac:dyDescent="0.25"/>
    <row r="46972" s="12" customFormat="1" x14ac:dyDescent="0.25"/>
    <row r="46973" s="12" customFormat="1" x14ac:dyDescent="0.25"/>
    <row r="46974" s="12" customFormat="1" x14ac:dyDescent="0.25"/>
    <row r="46975" s="12" customFormat="1" x14ac:dyDescent="0.25"/>
    <row r="46976" s="12" customFormat="1" x14ac:dyDescent="0.25"/>
    <row r="46977" s="12" customFormat="1" x14ac:dyDescent="0.25"/>
    <row r="46978" s="12" customFormat="1" x14ac:dyDescent="0.25"/>
    <row r="46979" s="12" customFormat="1" x14ac:dyDescent="0.25"/>
    <row r="46980" s="12" customFormat="1" x14ac:dyDescent="0.25"/>
    <row r="46981" s="12" customFormat="1" x14ac:dyDescent="0.25"/>
    <row r="46982" s="12" customFormat="1" x14ac:dyDescent="0.25"/>
    <row r="46983" s="12" customFormat="1" x14ac:dyDescent="0.25"/>
    <row r="46984" s="12" customFormat="1" x14ac:dyDescent="0.25"/>
    <row r="46985" s="12" customFormat="1" x14ac:dyDescent="0.25"/>
    <row r="46986" s="12" customFormat="1" x14ac:dyDescent="0.25"/>
    <row r="46987" s="12" customFormat="1" x14ac:dyDescent="0.25"/>
    <row r="46988" s="12" customFormat="1" x14ac:dyDescent="0.25"/>
    <row r="46989" s="12" customFormat="1" x14ac:dyDescent="0.25"/>
    <row r="46990" s="12" customFormat="1" x14ac:dyDescent="0.25"/>
    <row r="46991" s="12" customFormat="1" x14ac:dyDescent="0.25"/>
    <row r="46992" s="12" customFormat="1" x14ac:dyDescent="0.25"/>
    <row r="46993" s="12" customFormat="1" x14ac:dyDescent="0.25"/>
    <row r="46994" s="12" customFormat="1" x14ac:dyDescent="0.25"/>
    <row r="46995" s="12" customFormat="1" x14ac:dyDescent="0.25"/>
    <row r="46996" s="12" customFormat="1" x14ac:dyDescent="0.25"/>
    <row r="46997" s="12" customFormat="1" x14ac:dyDescent="0.25"/>
    <row r="46998" s="12" customFormat="1" x14ac:dyDescent="0.25"/>
    <row r="46999" s="12" customFormat="1" x14ac:dyDescent="0.25"/>
    <row r="47000" s="12" customFormat="1" x14ac:dyDescent="0.25"/>
    <row r="47001" s="12" customFormat="1" x14ac:dyDescent="0.25"/>
    <row r="47002" s="12" customFormat="1" x14ac:dyDescent="0.25"/>
    <row r="47003" s="12" customFormat="1" x14ac:dyDescent="0.25"/>
    <row r="47004" s="12" customFormat="1" x14ac:dyDescent="0.25"/>
    <row r="47005" s="12" customFormat="1" x14ac:dyDescent="0.25"/>
    <row r="47006" s="12" customFormat="1" x14ac:dyDescent="0.25"/>
    <row r="47007" s="12" customFormat="1" x14ac:dyDescent="0.25"/>
    <row r="47008" s="12" customFormat="1" x14ac:dyDescent="0.25"/>
    <row r="47009" s="12" customFormat="1" x14ac:dyDescent="0.25"/>
    <row r="47010" s="12" customFormat="1" x14ac:dyDescent="0.25"/>
    <row r="47011" s="12" customFormat="1" x14ac:dyDescent="0.25"/>
    <row r="47012" s="12" customFormat="1" x14ac:dyDescent="0.25"/>
    <row r="47013" s="12" customFormat="1" x14ac:dyDescent="0.25"/>
    <row r="47014" s="12" customFormat="1" x14ac:dyDescent="0.25"/>
    <row r="47015" s="12" customFormat="1" x14ac:dyDescent="0.25"/>
    <row r="47016" s="12" customFormat="1" x14ac:dyDescent="0.25"/>
    <row r="47017" s="12" customFormat="1" x14ac:dyDescent="0.25"/>
    <row r="47018" s="12" customFormat="1" x14ac:dyDescent="0.25"/>
    <row r="47019" s="12" customFormat="1" x14ac:dyDescent="0.25"/>
    <row r="47020" s="12" customFormat="1" x14ac:dyDescent="0.25"/>
    <row r="47021" s="12" customFormat="1" x14ac:dyDescent="0.25"/>
    <row r="47022" s="12" customFormat="1" x14ac:dyDescent="0.25"/>
    <row r="47023" s="12" customFormat="1" x14ac:dyDescent="0.25"/>
    <row r="47024" s="12" customFormat="1" x14ac:dyDescent="0.25"/>
    <row r="47025" s="12" customFormat="1" x14ac:dyDescent="0.25"/>
    <row r="47026" s="12" customFormat="1" x14ac:dyDescent="0.25"/>
    <row r="47027" s="12" customFormat="1" x14ac:dyDescent="0.25"/>
    <row r="47028" s="12" customFormat="1" x14ac:dyDescent="0.25"/>
    <row r="47029" s="12" customFormat="1" x14ac:dyDescent="0.25"/>
    <row r="47030" s="12" customFormat="1" x14ac:dyDescent="0.25"/>
    <row r="47031" s="12" customFormat="1" x14ac:dyDescent="0.25"/>
    <row r="47032" s="12" customFormat="1" x14ac:dyDescent="0.25"/>
    <row r="47033" s="12" customFormat="1" x14ac:dyDescent="0.25"/>
    <row r="47034" s="12" customFormat="1" x14ac:dyDescent="0.25"/>
    <row r="47035" s="12" customFormat="1" x14ac:dyDescent="0.25"/>
    <row r="47036" s="12" customFormat="1" x14ac:dyDescent="0.25"/>
    <row r="47037" s="12" customFormat="1" x14ac:dyDescent="0.25"/>
    <row r="47038" s="12" customFormat="1" x14ac:dyDescent="0.25"/>
    <row r="47039" s="12" customFormat="1" x14ac:dyDescent="0.25"/>
    <row r="47040" s="12" customFormat="1" x14ac:dyDescent="0.25"/>
    <row r="47041" s="12" customFormat="1" x14ac:dyDescent="0.25"/>
    <row r="47042" s="12" customFormat="1" x14ac:dyDescent="0.25"/>
    <row r="47043" s="12" customFormat="1" x14ac:dyDescent="0.25"/>
    <row r="47044" s="12" customFormat="1" x14ac:dyDescent="0.25"/>
    <row r="47045" s="12" customFormat="1" x14ac:dyDescent="0.25"/>
    <row r="47046" s="12" customFormat="1" x14ac:dyDescent="0.25"/>
    <row r="47047" s="12" customFormat="1" x14ac:dyDescent="0.25"/>
    <row r="47048" s="12" customFormat="1" x14ac:dyDescent="0.25"/>
    <row r="47049" s="12" customFormat="1" x14ac:dyDescent="0.25"/>
    <row r="47050" s="12" customFormat="1" x14ac:dyDescent="0.25"/>
    <row r="47051" s="12" customFormat="1" x14ac:dyDescent="0.25"/>
    <row r="47052" s="12" customFormat="1" x14ac:dyDescent="0.25"/>
    <row r="47053" s="12" customFormat="1" x14ac:dyDescent="0.25"/>
    <row r="47054" s="12" customFormat="1" x14ac:dyDescent="0.25"/>
    <row r="47055" s="12" customFormat="1" x14ac:dyDescent="0.25"/>
    <row r="47056" s="12" customFormat="1" x14ac:dyDescent="0.25"/>
    <row r="47057" s="12" customFormat="1" x14ac:dyDescent="0.25"/>
    <row r="47058" s="12" customFormat="1" x14ac:dyDescent="0.25"/>
    <row r="47059" s="12" customFormat="1" x14ac:dyDescent="0.25"/>
    <row r="47060" s="12" customFormat="1" x14ac:dyDescent="0.25"/>
    <row r="47061" s="12" customFormat="1" x14ac:dyDescent="0.25"/>
    <row r="47062" s="12" customFormat="1" x14ac:dyDescent="0.25"/>
    <row r="47063" s="12" customFormat="1" x14ac:dyDescent="0.25"/>
    <row r="47064" s="12" customFormat="1" x14ac:dyDescent="0.25"/>
    <row r="47065" s="12" customFormat="1" x14ac:dyDescent="0.25"/>
    <row r="47066" s="12" customFormat="1" x14ac:dyDescent="0.25"/>
    <row r="47067" s="12" customFormat="1" x14ac:dyDescent="0.25"/>
    <row r="47068" s="12" customFormat="1" x14ac:dyDescent="0.25"/>
    <row r="47069" s="12" customFormat="1" x14ac:dyDescent="0.25"/>
    <row r="47070" s="12" customFormat="1" x14ac:dyDescent="0.25"/>
    <row r="47071" s="12" customFormat="1" x14ac:dyDescent="0.25"/>
    <row r="47072" s="12" customFormat="1" x14ac:dyDescent="0.25"/>
    <row r="47073" s="12" customFormat="1" x14ac:dyDescent="0.25"/>
    <row r="47074" s="12" customFormat="1" x14ac:dyDescent="0.25"/>
    <row r="47075" s="12" customFormat="1" x14ac:dyDescent="0.25"/>
    <row r="47076" s="12" customFormat="1" x14ac:dyDescent="0.25"/>
    <row r="47077" s="12" customFormat="1" x14ac:dyDescent="0.25"/>
    <row r="47078" s="12" customFormat="1" x14ac:dyDescent="0.25"/>
    <row r="47079" s="12" customFormat="1" x14ac:dyDescent="0.25"/>
    <row r="47080" s="12" customFormat="1" x14ac:dyDescent="0.25"/>
    <row r="47081" s="12" customFormat="1" x14ac:dyDescent="0.25"/>
    <row r="47082" s="12" customFormat="1" x14ac:dyDescent="0.25"/>
    <row r="47083" s="12" customFormat="1" x14ac:dyDescent="0.25"/>
    <row r="47084" s="12" customFormat="1" x14ac:dyDescent="0.25"/>
    <row r="47085" s="12" customFormat="1" x14ac:dyDescent="0.25"/>
    <row r="47086" s="12" customFormat="1" x14ac:dyDescent="0.25"/>
    <row r="47087" s="12" customFormat="1" x14ac:dyDescent="0.25"/>
    <row r="47088" s="12" customFormat="1" x14ac:dyDescent="0.25"/>
    <row r="47089" s="12" customFormat="1" x14ac:dyDescent="0.25"/>
    <row r="47090" s="12" customFormat="1" x14ac:dyDescent="0.25"/>
    <row r="47091" s="12" customFormat="1" x14ac:dyDescent="0.25"/>
    <row r="47092" s="12" customFormat="1" x14ac:dyDescent="0.25"/>
    <row r="47093" s="12" customFormat="1" x14ac:dyDescent="0.25"/>
    <row r="47094" s="12" customFormat="1" x14ac:dyDescent="0.25"/>
    <row r="47095" s="12" customFormat="1" x14ac:dyDescent="0.25"/>
    <row r="47096" s="12" customFormat="1" x14ac:dyDescent="0.25"/>
    <row r="47097" s="12" customFormat="1" x14ac:dyDescent="0.25"/>
    <row r="47098" s="12" customFormat="1" x14ac:dyDescent="0.25"/>
    <row r="47099" s="12" customFormat="1" x14ac:dyDescent="0.25"/>
    <row r="47100" s="12" customFormat="1" x14ac:dyDescent="0.25"/>
    <row r="47101" s="12" customFormat="1" x14ac:dyDescent="0.25"/>
    <row r="47102" s="12" customFormat="1" x14ac:dyDescent="0.25"/>
    <row r="47103" s="12" customFormat="1" x14ac:dyDescent="0.25"/>
    <row r="47104" s="12" customFormat="1" x14ac:dyDescent="0.25"/>
    <row r="47105" s="12" customFormat="1" x14ac:dyDescent="0.25"/>
    <row r="47106" s="12" customFormat="1" x14ac:dyDescent="0.25"/>
    <row r="47107" s="12" customFormat="1" x14ac:dyDescent="0.25"/>
    <row r="47108" s="12" customFormat="1" x14ac:dyDescent="0.25"/>
    <row r="47109" s="12" customFormat="1" x14ac:dyDescent="0.25"/>
    <row r="47110" s="12" customFormat="1" x14ac:dyDescent="0.25"/>
    <row r="47111" s="12" customFormat="1" x14ac:dyDescent="0.25"/>
    <row r="47112" s="12" customFormat="1" x14ac:dyDescent="0.25"/>
    <row r="47113" s="12" customFormat="1" x14ac:dyDescent="0.25"/>
    <row r="47114" s="12" customFormat="1" x14ac:dyDescent="0.25"/>
    <row r="47115" s="12" customFormat="1" x14ac:dyDescent="0.25"/>
    <row r="47116" s="12" customFormat="1" x14ac:dyDescent="0.25"/>
    <row r="47117" s="12" customFormat="1" x14ac:dyDescent="0.25"/>
    <row r="47118" s="12" customFormat="1" x14ac:dyDescent="0.25"/>
    <row r="47119" s="12" customFormat="1" x14ac:dyDescent="0.25"/>
    <row r="47120" s="12" customFormat="1" x14ac:dyDescent="0.25"/>
    <row r="47121" s="12" customFormat="1" x14ac:dyDescent="0.25"/>
    <row r="47122" s="12" customFormat="1" x14ac:dyDescent="0.25"/>
    <row r="47123" s="12" customFormat="1" x14ac:dyDescent="0.25"/>
    <row r="47124" s="12" customFormat="1" x14ac:dyDescent="0.25"/>
    <row r="47125" s="12" customFormat="1" x14ac:dyDescent="0.25"/>
    <row r="47126" s="12" customFormat="1" x14ac:dyDescent="0.25"/>
    <row r="47127" s="12" customFormat="1" x14ac:dyDescent="0.25"/>
    <row r="47128" s="12" customFormat="1" x14ac:dyDescent="0.25"/>
    <row r="47129" s="12" customFormat="1" x14ac:dyDescent="0.25"/>
    <row r="47130" s="12" customFormat="1" x14ac:dyDescent="0.25"/>
    <row r="47131" s="12" customFormat="1" x14ac:dyDescent="0.25"/>
    <row r="47132" s="12" customFormat="1" x14ac:dyDescent="0.25"/>
    <row r="47133" s="12" customFormat="1" x14ac:dyDescent="0.25"/>
    <row r="47134" s="12" customFormat="1" x14ac:dyDescent="0.25"/>
    <row r="47135" s="12" customFormat="1" x14ac:dyDescent="0.25"/>
    <row r="47136" s="12" customFormat="1" x14ac:dyDescent="0.25"/>
    <row r="47137" s="12" customFormat="1" x14ac:dyDescent="0.25"/>
    <row r="47138" s="12" customFormat="1" x14ac:dyDescent="0.25"/>
    <row r="47139" s="12" customFormat="1" x14ac:dyDescent="0.25"/>
    <row r="47140" s="12" customFormat="1" x14ac:dyDescent="0.25"/>
    <row r="47141" s="12" customFormat="1" x14ac:dyDescent="0.25"/>
    <row r="47142" s="12" customFormat="1" x14ac:dyDescent="0.25"/>
    <row r="47143" s="12" customFormat="1" x14ac:dyDescent="0.25"/>
    <row r="47144" s="12" customFormat="1" x14ac:dyDescent="0.25"/>
    <row r="47145" s="12" customFormat="1" x14ac:dyDescent="0.25"/>
    <row r="47146" s="12" customFormat="1" x14ac:dyDescent="0.25"/>
    <row r="47147" s="12" customFormat="1" x14ac:dyDescent="0.25"/>
    <row r="47148" s="12" customFormat="1" x14ac:dyDescent="0.25"/>
    <row r="47149" s="12" customFormat="1" x14ac:dyDescent="0.25"/>
    <row r="47150" s="12" customFormat="1" x14ac:dyDescent="0.25"/>
    <row r="47151" s="12" customFormat="1" x14ac:dyDescent="0.25"/>
    <row r="47152" s="12" customFormat="1" x14ac:dyDescent="0.25"/>
    <row r="47153" s="12" customFormat="1" x14ac:dyDescent="0.25"/>
    <row r="47154" s="12" customFormat="1" x14ac:dyDescent="0.25"/>
    <row r="47155" s="12" customFormat="1" x14ac:dyDescent="0.25"/>
    <row r="47156" s="12" customFormat="1" x14ac:dyDescent="0.25"/>
    <row r="47157" s="12" customFormat="1" x14ac:dyDescent="0.25"/>
    <row r="47158" s="12" customFormat="1" x14ac:dyDescent="0.25"/>
    <row r="47159" s="12" customFormat="1" x14ac:dyDescent="0.25"/>
    <row r="47160" s="12" customFormat="1" x14ac:dyDescent="0.25"/>
    <row r="47161" s="12" customFormat="1" x14ac:dyDescent="0.25"/>
    <row r="47162" s="12" customFormat="1" x14ac:dyDescent="0.25"/>
    <row r="47163" s="12" customFormat="1" x14ac:dyDescent="0.25"/>
    <row r="47164" s="12" customFormat="1" x14ac:dyDescent="0.25"/>
    <row r="47165" s="12" customFormat="1" x14ac:dyDescent="0.25"/>
    <row r="47166" s="12" customFormat="1" x14ac:dyDescent="0.25"/>
    <row r="47167" s="12" customFormat="1" x14ac:dyDescent="0.25"/>
    <row r="47168" s="12" customFormat="1" x14ac:dyDescent="0.25"/>
    <row r="47169" s="12" customFormat="1" x14ac:dyDescent="0.25"/>
    <row r="47170" s="12" customFormat="1" x14ac:dyDescent="0.25"/>
    <row r="47171" s="12" customFormat="1" x14ac:dyDescent="0.25"/>
    <row r="47172" s="12" customFormat="1" x14ac:dyDescent="0.25"/>
    <row r="47173" s="12" customFormat="1" x14ac:dyDescent="0.25"/>
    <row r="47174" s="12" customFormat="1" x14ac:dyDescent="0.25"/>
    <row r="47175" s="12" customFormat="1" x14ac:dyDescent="0.25"/>
    <row r="47176" s="12" customFormat="1" x14ac:dyDescent="0.25"/>
    <row r="47177" s="12" customFormat="1" x14ac:dyDescent="0.25"/>
    <row r="47178" s="12" customFormat="1" x14ac:dyDescent="0.25"/>
    <row r="47179" s="12" customFormat="1" x14ac:dyDescent="0.25"/>
    <row r="47180" s="12" customFormat="1" x14ac:dyDescent="0.25"/>
    <row r="47181" s="12" customFormat="1" x14ac:dyDescent="0.25"/>
    <row r="47182" s="12" customFormat="1" x14ac:dyDescent="0.25"/>
    <row r="47183" s="12" customFormat="1" x14ac:dyDescent="0.25"/>
    <row r="47184" s="12" customFormat="1" x14ac:dyDescent="0.25"/>
    <row r="47185" s="12" customFormat="1" x14ac:dyDescent="0.25"/>
    <row r="47186" s="12" customFormat="1" x14ac:dyDescent="0.25"/>
    <row r="47187" s="12" customFormat="1" x14ac:dyDescent="0.25"/>
    <row r="47188" s="12" customFormat="1" x14ac:dyDescent="0.25"/>
    <row r="47189" s="12" customFormat="1" x14ac:dyDescent="0.25"/>
    <row r="47190" s="12" customFormat="1" x14ac:dyDescent="0.25"/>
    <row r="47191" s="12" customFormat="1" x14ac:dyDescent="0.25"/>
    <row r="47192" s="12" customFormat="1" x14ac:dyDescent="0.25"/>
    <row r="47193" s="12" customFormat="1" x14ac:dyDescent="0.25"/>
    <row r="47194" s="12" customFormat="1" x14ac:dyDescent="0.25"/>
    <row r="47195" s="12" customFormat="1" x14ac:dyDescent="0.25"/>
    <row r="47196" s="12" customFormat="1" x14ac:dyDescent="0.25"/>
    <row r="47197" s="12" customFormat="1" x14ac:dyDescent="0.25"/>
    <row r="47198" s="12" customFormat="1" x14ac:dyDescent="0.25"/>
    <row r="47199" s="12" customFormat="1" x14ac:dyDescent="0.25"/>
    <row r="47200" s="12" customFormat="1" x14ac:dyDescent="0.25"/>
    <row r="47201" s="12" customFormat="1" x14ac:dyDescent="0.25"/>
    <row r="47202" s="12" customFormat="1" x14ac:dyDescent="0.25"/>
    <row r="47203" s="12" customFormat="1" x14ac:dyDescent="0.25"/>
    <row r="47204" s="12" customFormat="1" x14ac:dyDescent="0.25"/>
    <row r="47205" s="12" customFormat="1" x14ac:dyDescent="0.25"/>
    <row r="47206" s="12" customFormat="1" x14ac:dyDescent="0.25"/>
    <row r="47207" s="12" customFormat="1" x14ac:dyDescent="0.25"/>
    <row r="47208" s="12" customFormat="1" x14ac:dyDescent="0.25"/>
    <row r="47209" s="12" customFormat="1" x14ac:dyDescent="0.25"/>
    <row r="47210" s="12" customFormat="1" x14ac:dyDescent="0.25"/>
    <row r="47211" s="12" customFormat="1" x14ac:dyDescent="0.25"/>
    <row r="47212" s="12" customFormat="1" x14ac:dyDescent="0.25"/>
    <row r="47213" s="12" customFormat="1" x14ac:dyDescent="0.25"/>
    <row r="47214" s="12" customFormat="1" x14ac:dyDescent="0.25"/>
    <row r="47215" s="12" customFormat="1" x14ac:dyDescent="0.25"/>
    <row r="47216" s="12" customFormat="1" x14ac:dyDescent="0.25"/>
    <row r="47217" s="12" customFormat="1" x14ac:dyDescent="0.25"/>
    <row r="47218" s="12" customFormat="1" x14ac:dyDescent="0.25"/>
    <row r="47219" s="12" customFormat="1" x14ac:dyDescent="0.25"/>
    <row r="47220" s="12" customFormat="1" x14ac:dyDescent="0.25"/>
    <row r="47221" s="12" customFormat="1" x14ac:dyDescent="0.25"/>
    <row r="47222" s="12" customFormat="1" x14ac:dyDescent="0.25"/>
    <row r="47223" s="12" customFormat="1" x14ac:dyDescent="0.25"/>
    <row r="47224" s="12" customFormat="1" x14ac:dyDescent="0.25"/>
    <row r="47225" s="12" customFormat="1" x14ac:dyDescent="0.25"/>
    <row r="47226" s="12" customFormat="1" x14ac:dyDescent="0.25"/>
    <row r="47227" s="12" customFormat="1" x14ac:dyDescent="0.25"/>
    <row r="47228" s="12" customFormat="1" x14ac:dyDescent="0.25"/>
    <row r="47229" s="12" customFormat="1" x14ac:dyDescent="0.25"/>
    <row r="47230" s="12" customFormat="1" x14ac:dyDescent="0.25"/>
    <row r="47231" s="12" customFormat="1" x14ac:dyDescent="0.25"/>
    <row r="47232" s="12" customFormat="1" x14ac:dyDescent="0.25"/>
    <row r="47233" s="12" customFormat="1" x14ac:dyDescent="0.25"/>
    <row r="47234" s="12" customFormat="1" x14ac:dyDescent="0.25"/>
    <row r="47235" s="12" customFormat="1" x14ac:dyDescent="0.25"/>
    <row r="47236" s="12" customFormat="1" x14ac:dyDescent="0.25"/>
    <row r="47237" s="12" customFormat="1" x14ac:dyDescent="0.25"/>
    <row r="47238" s="12" customFormat="1" x14ac:dyDescent="0.25"/>
    <row r="47239" s="12" customFormat="1" x14ac:dyDescent="0.25"/>
    <row r="47240" s="12" customFormat="1" x14ac:dyDescent="0.25"/>
    <row r="47241" s="12" customFormat="1" x14ac:dyDescent="0.25"/>
    <row r="47242" s="12" customFormat="1" x14ac:dyDescent="0.25"/>
    <row r="47243" s="12" customFormat="1" x14ac:dyDescent="0.25"/>
    <row r="47244" s="12" customFormat="1" x14ac:dyDescent="0.25"/>
    <row r="47245" s="12" customFormat="1" x14ac:dyDescent="0.25"/>
    <row r="47246" s="12" customFormat="1" x14ac:dyDescent="0.25"/>
    <row r="47247" s="12" customFormat="1" x14ac:dyDescent="0.25"/>
    <row r="47248" s="12" customFormat="1" x14ac:dyDescent="0.25"/>
    <row r="47249" s="12" customFormat="1" x14ac:dyDescent="0.25"/>
    <row r="47250" s="12" customFormat="1" x14ac:dyDescent="0.25"/>
    <row r="47251" s="12" customFormat="1" x14ac:dyDescent="0.25"/>
    <row r="47252" s="12" customFormat="1" x14ac:dyDescent="0.25"/>
    <row r="47253" s="12" customFormat="1" x14ac:dyDescent="0.25"/>
    <row r="47254" s="12" customFormat="1" x14ac:dyDescent="0.25"/>
    <row r="47255" s="12" customFormat="1" x14ac:dyDescent="0.25"/>
    <row r="47256" s="12" customFormat="1" x14ac:dyDescent="0.25"/>
    <row r="47257" s="12" customFormat="1" x14ac:dyDescent="0.25"/>
    <row r="47258" s="12" customFormat="1" x14ac:dyDescent="0.25"/>
    <row r="47259" s="12" customFormat="1" x14ac:dyDescent="0.25"/>
    <row r="47260" s="12" customFormat="1" x14ac:dyDescent="0.25"/>
    <row r="47261" s="12" customFormat="1" x14ac:dyDescent="0.25"/>
    <row r="47262" s="12" customFormat="1" x14ac:dyDescent="0.25"/>
    <row r="47263" s="12" customFormat="1" x14ac:dyDescent="0.25"/>
    <row r="47264" s="12" customFormat="1" x14ac:dyDescent="0.25"/>
    <row r="47265" s="12" customFormat="1" x14ac:dyDescent="0.25"/>
    <row r="47266" s="12" customFormat="1" x14ac:dyDescent="0.25"/>
    <row r="47267" s="12" customFormat="1" x14ac:dyDescent="0.25"/>
    <row r="47268" s="12" customFormat="1" x14ac:dyDescent="0.25"/>
    <row r="47269" s="12" customFormat="1" x14ac:dyDescent="0.25"/>
    <row r="47270" s="12" customFormat="1" x14ac:dyDescent="0.25"/>
    <row r="47271" s="12" customFormat="1" x14ac:dyDescent="0.25"/>
    <row r="47272" s="12" customFormat="1" x14ac:dyDescent="0.25"/>
    <row r="47273" s="12" customFormat="1" x14ac:dyDescent="0.25"/>
    <row r="47274" s="12" customFormat="1" x14ac:dyDescent="0.25"/>
    <row r="47275" s="12" customFormat="1" x14ac:dyDescent="0.25"/>
    <row r="47276" s="12" customFormat="1" x14ac:dyDescent="0.25"/>
    <row r="47277" s="12" customFormat="1" x14ac:dyDescent="0.25"/>
    <row r="47278" s="12" customFormat="1" x14ac:dyDescent="0.25"/>
    <row r="47279" s="12" customFormat="1" x14ac:dyDescent="0.25"/>
    <row r="47280" s="12" customFormat="1" x14ac:dyDescent="0.25"/>
    <row r="47281" s="12" customFormat="1" x14ac:dyDescent="0.25"/>
    <row r="47282" s="12" customFormat="1" x14ac:dyDescent="0.25"/>
    <row r="47283" s="12" customFormat="1" x14ac:dyDescent="0.25"/>
    <row r="47284" s="12" customFormat="1" x14ac:dyDescent="0.25"/>
    <row r="47285" s="12" customFormat="1" x14ac:dyDescent="0.25"/>
    <row r="47286" s="12" customFormat="1" x14ac:dyDescent="0.25"/>
    <row r="47287" s="12" customFormat="1" x14ac:dyDescent="0.25"/>
    <row r="47288" s="12" customFormat="1" x14ac:dyDescent="0.25"/>
    <row r="47289" s="12" customFormat="1" x14ac:dyDescent="0.25"/>
    <row r="47290" s="12" customFormat="1" x14ac:dyDescent="0.25"/>
    <row r="47291" s="12" customFormat="1" x14ac:dyDescent="0.25"/>
    <row r="47292" s="12" customFormat="1" x14ac:dyDescent="0.25"/>
    <row r="47293" s="12" customFormat="1" x14ac:dyDescent="0.25"/>
    <row r="47294" s="12" customFormat="1" x14ac:dyDescent="0.25"/>
    <row r="47295" s="12" customFormat="1" x14ac:dyDescent="0.25"/>
    <row r="47296" s="12" customFormat="1" x14ac:dyDescent="0.25"/>
    <row r="47297" s="12" customFormat="1" x14ac:dyDescent="0.25"/>
    <row r="47298" s="12" customFormat="1" x14ac:dyDescent="0.25"/>
    <row r="47299" s="12" customFormat="1" x14ac:dyDescent="0.25"/>
    <row r="47300" s="12" customFormat="1" x14ac:dyDescent="0.25"/>
    <row r="47301" s="12" customFormat="1" x14ac:dyDescent="0.25"/>
    <row r="47302" s="12" customFormat="1" x14ac:dyDescent="0.25"/>
    <row r="47303" s="12" customFormat="1" x14ac:dyDescent="0.25"/>
    <row r="47304" s="12" customFormat="1" x14ac:dyDescent="0.25"/>
    <row r="47305" s="12" customFormat="1" x14ac:dyDescent="0.25"/>
    <row r="47306" s="12" customFormat="1" x14ac:dyDescent="0.25"/>
    <row r="47307" s="12" customFormat="1" x14ac:dyDescent="0.25"/>
    <row r="47308" s="12" customFormat="1" x14ac:dyDescent="0.25"/>
    <row r="47309" s="12" customFormat="1" x14ac:dyDescent="0.25"/>
    <row r="47310" s="12" customFormat="1" x14ac:dyDescent="0.25"/>
    <row r="47311" s="12" customFormat="1" x14ac:dyDescent="0.25"/>
    <row r="47312" s="12" customFormat="1" x14ac:dyDescent="0.25"/>
    <row r="47313" s="12" customFormat="1" x14ac:dyDescent="0.25"/>
    <row r="47314" s="12" customFormat="1" x14ac:dyDescent="0.25"/>
    <row r="47315" s="12" customFormat="1" x14ac:dyDescent="0.25"/>
    <row r="47316" s="12" customFormat="1" x14ac:dyDescent="0.25"/>
    <row r="47317" s="12" customFormat="1" x14ac:dyDescent="0.25"/>
    <row r="47318" s="12" customFormat="1" x14ac:dyDescent="0.25"/>
    <row r="47319" s="12" customFormat="1" x14ac:dyDescent="0.25"/>
    <row r="47320" s="12" customFormat="1" x14ac:dyDescent="0.25"/>
    <row r="47321" s="12" customFormat="1" x14ac:dyDescent="0.25"/>
    <row r="47322" s="12" customFormat="1" x14ac:dyDescent="0.25"/>
    <row r="47323" s="12" customFormat="1" x14ac:dyDescent="0.25"/>
    <row r="47324" s="12" customFormat="1" x14ac:dyDescent="0.25"/>
    <row r="47325" s="12" customFormat="1" x14ac:dyDescent="0.25"/>
    <row r="47326" s="12" customFormat="1" x14ac:dyDescent="0.25"/>
    <row r="47327" s="12" customFormat="1" x14ac:dyDescent="0.25"/>
    <row r="47328" s="12" customFormat="1" x14ac:dyDescent="0.25"/>
    <row r="47329" s="12" customFormat="1" x14ac:dyDescent="0.25"/>
    <row r="47330" s="12" customFormat="1" x14ac:dyDescent="0.25"/>
    <row r="47331" s="12" customFormat="1" x14ac:dyDescent="0.25"/>
    <row r="47332" s="12" customFormat="1" x14ac:dyDescent="0.25"/>
    <row r="47333" s="12" customFormat="1" x14ac:dyDescent="0.25"/>
    <row r="47334" s="12" customFormat="1" x14ac:dyDescent="0.25"/>
    <row r="47335" s="12" customFormat="1" x14ac:dyDescent="0.25"/>
    <row r="47336" s="12" customFormat="1" x14ac:dyDescent="0.25"/>
    <row r="47337" s="12" customFormat="1" x14ac:dyDescent="0.25"/>
    <row r="47338" s="12" customFormat="1" x14ac:dyDescent="0.25"/>
    <row r="47339" s="12" customFormat="1" x14ac:dyDescent="0.25"/>
    <row r="47340" s="12" customFormat="1" x14ac:dyDescent="0.25"/>
    <row r="47341" s="12" customFormat="1" x14ac:dyDescent="0.25"/>
    <row r="47342" s="12" customFormat="1" x14ac:dyDescent="0.25"/>
    <row r="47343" s="12" customFormat="1" x14ac:dyDescent="0.25"/>
    <row r="47344" s="12" customFormat="1" x14ac:dyDescent="0.25"/>
    <row r="47345" s="12" customFormat="1" x14ac:dyDescent="0.25"/>
    <row r="47346" s="12" customFormat="1" x14ac:dyDescent="0.25"/>
    <row r="47347" s="12" customFormat="1" x14ac:dyDescent="0.25"/>
    <row r="47348" s="12" customFormat="1" x14ac:dyDescent="0.25"/>
    <row r="47349" s="12" customFormat="1" x14ac:dyDescent="0.25"/>
    <row r="47350" s="12" customFormat="1" x14ac:dyDescent="0.25"/>
    <row r="47351" s="12" customFormat="1" x14ac:dyDescent="0.25"/>
    <row r="47352" s="12" customFormat="1" x14ac:dyDescent="0.25"/>
    <row r="47353" s="12" customFormat="1" x14ac:dyDescent="0.25"/>
    <row r="47354" s="12" customFormat="1" x14ac:dyDescent="0.25"/>
    <row r="47355" s="12" customFormat="1" x14ac:dyDescent="0.25"/>
    <row r="47356" s="12" customFormat="1" x14ac:dyDescent="0.25"/>
    <row r="47357" s="12" customFormat="1" x14ac:dyDescent="0.25"/>
    <row r="47358" s="12" customFormat="1" x14ac:dyDescent="0.25"/>
    <row r="47359" s="12" customFormat="1" x14ac:dyDescent="0.25"/>
    <row r="47360" s="12" customFormat="1" x14ac:dyDescent="0.25"/>
    <row r="47361" s="12" customFormat="1" x14ac:dyDescent="0.25"/>
    <row r="47362" s="12" customFormat="1" x14ac:dyDescent="0.25"/>
    <row r="47363" s="12" customFormat="1" x14ac:dyDescent="0.25"/>
    <row r="47364" s="12" customFormat="1" x14ac:dyDescent="0.25"/>
    <row r="47365" s="12" customFormat="1" x14ac:dyDescent="0.25"/>
    <row r="47366" s="12" customFormat="1" x14ac:dyDescent="0.25"/>
    <row r="47367" s="12" customFormat="1" x14ac:dyDescent="0.25"/>
    <row r="47368" s="12" customFormat="1" x14ac:dyDescent="0.25"/>
    <row r="47369" s="12" customFormat="1" x14ac:dyDescent="0.25"/>
    <row r="47370" s="12" customFormat="1" x14ac:dyDescent="0.25"/>
    <row r="47371" s="12" customFormat="1" x14ac:dyDescent="0.25"/>
    <row r="47372" s="12" customFormat="1" x14ac:dyDescent="0.25"/>
    <row r="47373" s="12" customFormat="1" x14ac:dyDescent="0.25"/>
    <row r="47374" s="12" customFormat="1" x14ac:dyDescent="0.25"/>
    <row r="47375" s="12" customFormat="1" x14ac:dyDescent="0.25"/>
    <row r="47376" s="12" customFormat="1" x14ac:dyDescent="0.25"/>
    <row r="47377" s="12" customFormat="1" x14ac:dyDescent="0.25"/>
    <row r="47378" s="12" customFormat="1" x14ac:dyDescent="0.25"/>
    <row r="47379" s="12" customFormat="1" x14ac:dyDescent="0.25"/>
    <row r="47380" s="12" customFormat="1" x14ac:dyDescent="0.25"/>
    <row r="47381" s="12" customFormat="1" x14ac:dyDescent="0.25"/>
    <row r="47382" s="12" customFormat="1" x14ac:dyDescent="0.25"/>
    <row r="47383" s="12" customFormat="1" x14ac:dyDescent="0.25"/>
    <row r="47384" s="12" customFormat="1" x14ac:dyDescent="0.25"/>
    <row r="47385" s="12" customFormat="1" x14ac:dyDescent="0.25"/>
    <row r="47386" s="12" customFormat="1" x14ac:dyDescent="0.25"/>
    <row r="47387" s="12" customFormat="1" x14ac:dyDescent="0.25"/>
    <row r="47388" s="12" customFormat="1" x14ac:dyDescent="0.25"/>
    <row r="47389" s="12" customFormat="1" x14ac:dyDescent="0.25"/>
    <row r="47390" s="12" customFormat="1" x14ac:dyDescent="0.25"/>
    <row r="47391" s="12" customFormat="1" x14ac:dyDescent="0.25"/>
    <row r="47392" s="12" customFormat="1" x14ac:dyDescent="0.25"/>
    <row r="47393" s="12" customFormat="1" x14ac:dyDescent="0.25"/>
    <row r="47394" s="12" customFormat="1" x14ac:dyDescent="0.25"/>
    <row r="47395" s="12" customFormat="1" x14ac:dyDescent="0.25"/>
    <row r="47396" s="12" customFormat="1" x14ac:dyDescent="0.25"/>
    <row r="47397" s="12" customFormat="1" x14ac:dyDescent="0.25"/>
    <row r="47398" s="12" customFormat="1" x14ac:dyDescent="0.25"/>
    <row r="47399" s="12" customFormat="1" x14ac:dyDescent="0.25"/>
    <row r="47400" s="12" customFormat="1" x14ac:dyDescent="0.25"/>
    <row r="47401" s="12" customFormat="1" x14ac:dyDescent="0.25"/>
    <row r="47402" s="12" customFormat="1" x14ac:dyDescent="0.25"/>
    <row r="47403" s="12" customFormat="1" x14ac:dyDescent="0.25"/>
    <row r="47404" s="12" customFormat="1" x14ac:dyDescent="0.25"/>
    <row r="47405" s="12" customFormat="1" x14ac:dyDescent="0.25"/>
    <row r="47406" s="12" customFormat="1" x14ac:dyDescent="0.25"/>
    <row r="47407" s="12" customFormat="1" x14ac:dyDescent="0.25"/>
    <row r="47408" s="12" customFormat="1" x14ac:dyDescent="0.25"/>
    <row r="47409" s="12" customFormat="1" x14ac:dyDescent="0.25"/>
    <row r="47410" s="12" customFormat="1" x14ac:dyDescent="0.25"/>
    <row r="47411" s="12" customFormat="1" x14ac:dyDescent="0.25"/>
    <row r="47412" s="12" customFormat="1" x14ac:dyDescent="0.25"/>
    <row r="47413" s="12" customFormat="1" x14ac:dyDescent="0.25"/>
    <row r="47414" s="12" customFormat="1" x14ac:dyDescent="0.25"/>
    <row r="47415" s="12" customFormat="1" x14ac:dyDescent="0.25"/>
    <row r="47416" s="12" customFormat="1" x14ac:dyDescent="0.25"/>
    <row r="47417" s="12" customFormat="1" x14ac:dyDescent="0.25"/>
    <row r="47418" s="12" customFormat="1" x14ac:dyDescent="0.25"/>
    <row r="47419" s="12" customFormat="1" x14ac:dyDescent="0.25"/>
    <row r="47420" s="12" customFormat="1" x14ac:dyDescent="0.25"/>
    <row r="47421" s="12" customFormat="1" x14ac:dyDescent="0.25"/>
    <row r="47422" s="12" customFormat="1" x14ac:dyDescent="0.25"/>
    <row r="47423" s="12" customFormat="1" x14ac:dyDescent="0.25"/>
    <row r="47424" s="12" customFormat="1" x14ac:dyDescent="0.25"/>
    <row r="47425" s="12" customFormat="1" x14ac:dyDescent="0.25"/>
    <row r="47426" s="12" customFormat="1" x14ac:dyDescent="0.25"/>
    <row r="47427" s="12" customFormat="1" x14ac:dyDescent="0.25"/>
    <row r="47428" s="12" customFormat="1" x14ac:dyDescent="0.25"/>
    <row r="47429" s="12" customFormat="1" x14ac:dyDescent="0.25"/>
    <row r="47430" s="12" customFormat="1" x14ac:dyDescent="0.25"/>
    <row r="47431" s="12" customFormat="1" x14ac:dyDescent="0.25"/>
    <row r="47432" s="12" customFormat="1" x14ac:dyDescent="0.25"/>
    <row r="47433" s="12" customFormat="1" x14ac:dyDescent="0.25"/>
    <row r="47434" s="12" customFormat="1" x14ac:dyDescent="0.25"/>
    <row r="47435" s="12" customFormat="1" x14ac:dyDescent="0.25"/>
    <row r="47436" s="12" customFormat="1" x14ac:dyDescent="0.25"/>
    <row r="47437" s="12" customFormat="1" x14ac:dyDescent="0.25"/>
    <row r="47438" s="12" customFormat="1" x14ac:dyDescent="0.25"/>
    <row r="47439" s="12" customFormat="1" x14ac:dyDescent="0.25"/>
    <row r="47440" s="12" customFormat="1" x14ac:dyDescent="0.25"/>
    <row r="47441" s="12" customFormat="1" x14ac:dyDescent="0.25"/>
    <row r="47442" s="12" customFormat="1" x14ac:dyDescent="0.25"/>
    <row r="47443" s="12" customFormat="1" x14ac:dyDescent="0.25"/>
    <row r="47444" s="12" customFormat="1" x14ac:dyDescent="0.25"/>
    <row r="47445" s="12" customFormat="1" x14ac:dyDescent="0.25"/>
    <row r="47446" s="12" customFormat="1" x14ac:dyDescent="0.25"/>
    <row r="47447" s="12" customFormat="1" x14ac:dyDescent="0.25"/>
    <row r="47448" s="12" customFormat="1" x14ac:dyDescent="0.25"/>
    <row r="47449" s="12" customFormat="1" x14ac:dyDescent="0.25"/>
    <row r="47450" s="12" customFormat="1" x14ac:dyDescent="0.25"/>
    <row r="47451" s="12" customFormat="1" x14ac:dyDescent="0.25"/>
    <row r="47452" s="12" customFormat="1" x14ac:dyDescent="0.25"/>
    <row r="47453" s="12" customFormat="1" x14ac:dyDescent="0.25"/>
    <row r="47454" s="12" customFormat="1" x14ac:dyDescent="0.25"/>
    <row r="47455" s="12" customFormat="1" x14ac:dyDescent="0.25"/>
    <row r="47456" s="12" customFormat="1" x14ac:dyDescent="0.25"/>
    <row r="47457" s="12" customFormat="1" x14ac:dyDescent="0.25"/>
    <row r="47458" s="12" customFormat="1" x14ac:dyDescent="0.25"/>
    <row r="47459" s="12" customFormat="1" x14ac:dyDescent="0.25"/>
    <row r="47460" s="12" customFormat="1" x14ac:dyDescent="0.25"/>
    <row r="47461" s="12" customFormat="1" x14ac:dyDescent="0.25"/>
    <row r="47462" s="12" customFormat="1" x14ac:dyDescent="0.25"/>
    <row r="47463" s="12" customFormat="1" x14ac:dyDescent="0.25"/>
    <row r="47464" s="12" customFormat="1" x14ac:dyDescent="0.25"/>
    <row r="47465" s="12" customFormat="1" x14ac:dyDescent="0.25"/>
    <row r="47466" s="12" customFormat="1" x14ac:dyDescent="0.25"/>
    <row r="47467" s="12" customFormat="1" x14ac:dyDescent="0.25"/>
    <row r="47468" s="12" customFormat="1" x14ac:dyDescent="0.25"/>
    <row r="47469" s="12" customFormat="1" x14ac:dyDescent="0.25"/>
    <row r="47470" s="12" customFormat="1" x14ac:dyDescent="0.25"/>
    <row r="47471" s="12" customFormat="1" x14ac:dyDescent="0.25"/>
    <row r="47472" s="12" customFormat="1" x14ac:dyDescent="0.25"/>
    <row r="47473" s="12" customFormat="1" x14ac:dyDescent="0.25"/>
    <row r="47474" s="12" customFormat="1" x14ac:dyDescent="0.25"/>
    <row r="47475" s="12" customFormat="1" x14ac:dyDescent="0.25"/>
    <row r="47476" s="12" customFormat="1" x14ac:dyDescent="0.25"/>
    <row r="47477" s="12" customFormat="1" x14ac:dyDescent="0.25"/>
    <row r="47478" s="12" customFormat="1" x14ac:dyDescent="0.25"/>
    <row r="47479" s="12" customFormat="1" x14ac:dyDescent="0.25"/>
    <row r="47480" s="12" customFormat="1" x14ac:dyDescent="0.25"/>
    <row r="47481" s="12" customFormat="1" x14ac:dyDescent="0.25"/>
    <row r="47482" s="12" customFormat="1" x14ac:dyDescent="0.25"/>
    <row r="47483" s="12" customFormat="1" x14ac:dyDescent="0.25"/>
    <row r="47484" s="12" customFormat="1" x14ac:dyDescent="0.25"/>
    <row r="47485" s="12" customFormat="1" x14ac:dyDescent="0.25"/>
    <row r="47486" s="12" customFormat="1" x14ac:dyDescent="0.25"/>
    <row r="47487" s="12" customFormat="1" x14ac:dyDescent="0.25"/>
    <row r="47488" s="12" customFormat="1" x14ac:dyDescent="0.25"/>
    <row r="47489" s="12" customFormat="1" x14ac:dyDescent="0.25"/>
    <row r="47490" s="12" customFormat="1" x14ac:dyDescent="0.25"/>
    <row r="47491" s="12" customFormat="1" x14ac:dyDescent="0.25"/>
    <row r="47492" s="12" customFormat="1" x14ac:dyDescent="0.25"/>
    <row r="47493" s="12" customFormat="1" x14ac:dyDescent="0.25"/>
    <row r="47494" s="12" customFormat="1" x14ac:dyDescent="0.25"/>
    <row r="47495" s="12" customFormat="1" x14ac:dyDescent="0.25"/>
    <row r="47496" s="12" customFormat="1" x14ac:dyDescent="0.25"/>
    <row r="47497" s="12" customFormat="1" x14ac:dyDescent="0.25"/>
    <row r="47498" s="12" customFormat="1" x14ac:dyDescent="0.25"/>
    <row r="47499" s="12" customFormat="1" x14ac:dyDescent="0.25"/>
    <row r="47500" s="12" customFormat="1" x14ac:dyDescent="0.25"/>
    <row r="47501" s="12" customFormat="1" x14ac:dyDescent="0.25"/>
    <row r="47502" s="12" customFormat="1" x14ac:dyDescent="0.25"/>
    <row r="47503" s="12" customFormat="1" x14ac:dyDescent="0.25"/>
    <row r="47504" s="12" customFormat="1" x14ac:dyDescent="0.25"/>
    <row r="47505" s="12" customFormat="1" x14ac:dyDescent="0.25"/>
    <row r="47506" s="12" customFormat="1" x14ac:dyDescent="0.25"/>
    <row r="47507" s="12" customFormat="1" x14ac:dyDescent="0.25"/>
    <row r="47508" s="12" customFormat="1" x14ac:dyDescent="0.25"/>
    <row r="47509" s="12" customFormat="1" x14ac:dyDescent="0.25"/>
    <row r="47510" s="12" customFormat="1" x14ac:dyDescent="0.25"/>
    <row r="47511" s="12" customFormat="1" x14ac:dyDescent="0.25"/>
    <row r="47512" s="12" customFormat="1" x14ac:dyDescent="0.25"/>
    <row r="47513" s="12" customFormat="1" x14ac:dyDescent="0.25"/>
    <row r="47514" s="12" customFormat="1" x14ac:dyDescent="0.25"/>
    <row r="47515" s="12" customFormat="1" x14ac:dyDescent="0.25"/>
    <row r="47516" s="12" customFormat="1" x14ac:dyDescent="0.25"/>
    <row r="47517" s="12" customFormat="1" x14ac:dyDescent="0.25"/>
    <row r="47518" s="12" customFormat="1" x14ac:dyDescent="0.25"/>
    <row r="47519" s="12" customFormat="1" x14ac:dyDescent="0.25"/>
    <row r="47520" s="12" customFormat="1" x14ac:dyDescent="0.25"/>
    <row r="47521" s="12" customFormat="1" x14ac:dyDescent="0.25"/>
    <row r="47522" s="12" customFormat="1" x14ac:dyDescent="0.25"/>
    <row r="47523" s="12" customFormat="1" x14ac:dyDescent="0.25"/>
    <row r="47524" s="12" customFormat="1" x14ac:dyDescent="0.25"/>
    <row r="47525" s="12" customFormat="1" x14ac:dyDescent="0.25"/>
    <row r="47526" s="12" customFormat="1" x14ac:dyDescent="0.25"/>
    <row r="47527" s="12" customFormat="1" x14ac:dyDescent="0.25"/>
    <row r="47528" s="12" customFormat="1" x14ac:dyDescent="0.25"/>
    <row r="47529" s="12" customFormat="1" x14ac:dyDescent="0.25"/>
    <row r="47530" s="12" customFormat="1" x14ac:dyDescent="0.25"/>
    <row r="47531" s="12" customFormat="1" x14ac:dyDescent="0.25"/>
    <row r="47532" s="12" customFormat="1" x14ac:dyDescent="0.25"/>
    <row r="47533" s="12" customFormat="1" x14ac:dyDescent="0.25"/>
    <row r="47534" s="12" customFormat="1" x14ac:dyDescent="0.25"/>
    <row r="47535" s="12" customFormat="1" x14ac:dyDescent="0.25"/>
    <row r="47536" s="12" customFormat="1" x14ac:dyDescent="0.25"/>
    <row r="47537" s="12" customFormat="1" x14ac:dyDescent="0.25"/>
    <row r="47538" s="12" customFormat="1" x14ac:dyDescent="0.25"/>
    <row r="47539" s="12" customFormat="1" x14ac:dyDescent="0.25"/>
    <row r="47540" s="12" customFormat="1" x14ac:dyDescent="0.25"/>
    <row r="47541" s="12" customFormat="1" x14ac:dyDescent="0.25"/>
    <row r="47542" s="12" customFormat="1" x14ac:dyDescent="0.25"/>
    <row r="47543" s="12" customFormat="1" x14ac:dyDescent="0.25"/>
    <row r="47544" s="12" customFormat="1" x14ac:dyDescent="0.25"/>
    <row r="47545" s="12" customFormat="1" x14ac:dyDescent="0.25"/>
    <row r="47546" s="12" customFormat="1" x14ac:dyDescent="0.25"/>
    <row r="47547" s="12" customFormat="1" x14ac:dyDescent="0.25"/>
    <row r="47548" s="12" customFormat="1" x14ac:dyDescent="0.25"/>
    <row r="47549" s="12" customFormat="1" x14ac:dyDescent="0.25"/>
    <row r="47550" s="12" customFormat="1" x14ac:dyDescent="0.25"/>
    <row r="47551" s="12" customFormat="1" x14ac:dyDescent="0.25"/>
    <row r="47552" s="12" customFormat="1" x14ac:dyDescent="0.25"/>
    <row r="47553" s="12" customFormat="1" x14ac:dyDescent="0.25"/>
    <row r="47554" s="12" customFormat="1" x14ac:dyDescent="0.25"/>
    <row r="47555" s="12" customFormat="1" x14ac:dyDescent="0.25"/>
    <row r="47556" s="12" customFormat="1" x14ac:dyDescent="0.25"/>
    <row r="47557" s="12" customFormat="1" x14ac:dyDescent="0.25"/>
    <row r="47558" s="12" customFormat="1" x14ac:dyDescent="0.25"/>
    <row r="47559" s="12" customFormat="1" x14ac:dyDescent="0.25"/>
    <row r="47560" s="12" customFormat="1" x14ac:dyDescent="0.25"/>
    <row r="47561" s="12" customFormat="1" x14ac:dyDescent="0.25"/>
    <row r="47562" s="12" customFormat="1" x14ac:dyDescent="0.25"/>
    <row r="47563" s="12" customFormat="1" x14ac:dyDescent="0.25"/>
    <row r="47564" s="12" customFormat="1" x14ac:dyDescent="0.25"/>
    <row r="47565" s="12" customFormat="1" x14ac:dyDescent="0.25"/>
    <row r="47566" s="12" customFormat="1" x14ac:dyDescent="0.25"/>
    <row r="47567" s="12" customFormat="1" x14ac:dyDescent="0.25"/>
    <row r="47568" s="12" customFormat="1" x14ac:dyDescent="0.25"/>
    <row r="47569" s="12" customFormat="1" x14ac:dyDescent="0.25"/>
    <row r="47570" s="12" customFormat="1" x14ac:dyDescent="0.25"/>
    <row r="47571" s="12" customFormat="1" x14ac:dyDescent="0.25"/>
    <row r="47572" s="12" customFormat="1" x14ac:dyDescent="0.25"/>
    <row r="47573" s="12" customFormat="1" x14ac:dyDescent="0.25"/>
    <row r="47574" s="12" customFormat="1" x14ac:dyDescent="0.25"/>
    <row r="47575" s="12" customFormat="1" x14ac:dyDescent="0.25"/>
    <row r="47576" s="12" customFormat="1" x14ac:dyDescent="0.25"/>
    <row r="47577" s="12" customFormat="1" x14ac:dyDescent="0.25"/>
    <row r="47578" s="12" customFormat="1" x14ac:dyDescent="0.25"/>
    <row r="47579" s="12" customFormat="1" x14ac:dyDescent="0.25"/>
    <row r="47580" s="12" customFormat="1" x14ac:dyDescent="0.25"/>
    <row r="47581" s="12" customFormat="1" x14ac:dyDescent="0.25"/>
    <row r="47582" s="12" customFormat="1" x14ac:dyDescent="0.25"/>
    <row r="47583" s="12" customFormat="1" x14ac:dyDescent="0.25"/>
    <row r="47584" s="12" customFormat="1" x14ac:dyDescent="0.25"/>
    <row r="47585" s="12" customFormat="1" x14ac:dyDescent="0.25"/>
    <row r="47586" s="12" customFormat="1" x14ac:dyDescent="0.25"/>
    <row r="47587" s="12" customFormat="1" x14ac:dyDescent="0.25"/>
    <row r="47588" s="12" customFormat="1" x14ac:dyDescent="0.25"/>
    <row r="47589" s="12" customFormat="1" x14ac:dyDescent="0.25"/>
    <row r="47590" s="12" customFormat="1" x14ac:dyDescent="0.25"/>
    <row r="47591" s="12" customFormat="1" x14ac:dyDescent="0.25"/>
    <row r="47592" s="12" customFormat="1" x14ac:dyDescent="0.25"/>
    <row r="47593" s="12" customFormat="1" x14ac:dyDescent="0.25"/>
    <row r="47594" s="12" customFormat="1" x14ac:dyDescent="0.25"/>
    <row r="47595" s="12" customFormat="1" x14ac:dyDescent="0.25"/>
    <row r="47596" s="12" customFormat="1" x14ac:dyDescent="0.25"/>
    <row r="47597" s="12" customFormat="1" x14ac:dyDescent="0.25"/>
    <row r="47598" s="12" customFormat="1" x14ac:dyDescent="0.25"/>
    <row r="47599" s="12" customFormat="1" x14ac:dyDescent="0.25"/>
    <row r="47600" s="12" customFormat="1" x14ac:dyDescent="0.25"/>
    <row r="47601" s="12" customFormat="1" x14ac:dyDescent="0.25"/>
    <row r="47602" s="12" customFormat="1" x14ac:dyDescent="0.25"/>
    <row r="47603" s="12" customFormat="1" x14ac:dyDescent="0.25"/>
    <row r="47604" s="12" customFormat="1" x14ac:dyDescent="0.25"/>
    <row r="47605" s="12" customFormat="1" x14ac:dyDescent="0.25"/>
    <row r="47606" s="12" customFormat="1" x14ac:dyDescent="0.25"/>
    <row r="47607" s="12" customFormat="1" x14ac:dyDescent="0.25"/>
    <row r="47608" s="12" customFormat="1" x14ac:dyDescent="0.25"/>
    <row r="47609" s="12" customFormat="1" x14ac:dyDescent="0.25"/>
    <row r="47610" s="12" customFormat="1" x14ac:dyDescent="0.25"/>
    <row r="47611" s="12" customFormat="1" x14ac:dyDescent="0.25"/>
    <row r="47612" s="12" customFormat="1" x14ac:dyDescent="0.25"/>
    <row r="47613" s="12" customFormat="1" x14ac:dyDescent="0.25"/>
    <row r="47614" s="12" customFormat="1" x14ac:dyDescent="0.25"/>
    <row r="47615" s="12" customFormat="1" x14ac:dyDescent="0.25"/>
    <row r="47616" s="12" customFormat="1" x14ac:dyDescent="0.25"/>
    <row r="47617" s="12" customFormat="1" x14ac:dyDescent="0.25"/>
    <row r="47618" s="12" customFormat="1" x14ac:dyDescent="0.25"/>
    <row r="47619" s="12" customFormat="1" x14ac:dyDescent="0.25"/>
    <row r="47620" s="12" customFormat="1" x14ac:dyDescent="0.25"/>
    <row r="47621" s="12" customFormat="1" x14ac:dyDescent="0.25"/>
    <row r="47622" s="12" customFormat="1" x14ac:dyDescent="0.25"/>
    <row r="47623" s="12" customFormat="1" x14ac:dyDescent="0.25"/>
    <row r="47624" s="12" customFormat="1" x14ac:dyDescent="0.25"/>
    <row r="47625" s="12" customFormat="1" x14ac:dyDescent="0.25"/>
    <row r="47626" s="12" customFormat="1" x14ac:dyDescent="0.25"/>
    <row r="47627" s="12" customFormat="1" x14ac:dyDescent="0.25"/>
    <row r="47628" s="12" customFormat="1" x14ac:dyDescent="0.25"/>
    <row r="47629" s="12" customFormat="1" x14ac:dyDescent="0.25"/>
    <row r="47630" s="12" customFormat="1" x14ac:dyDescent="0.25"/>
    <row r="47631" s="12" customFormat="1" x14ac:dyDescent="0.25"/>
    <row r="47632" s="12" customFormat="1" x14ac:dyDescent="0.25"/>
    <row r="47633" s="12" customFormat="1" x14ac:dyDescent="0.25"/>
    <row r="47634" s="12" customFormat="1" x14ac:dyDescent="0.25"/>
    <row r="47635" s="12" customFormat="1" x14ac:dyDescent="0.25"/>
    <row r="47636" s="12" customFormat="1" x14ac:dyDescent="0.25"/>
    <row r="47637" s="12" customFormat="1" x14ac:dyDescent="0.25"/>
    <row r="47638" s="12" customFormat="1" x14ac:dyDescent="0.25"/>
    <row r="47639" s="12" customFormat="1" x14ac:dyDescent="0.25"/>
    <row r="47640" s="12" customFormat="1" x14ac:dyDescent="0.25"/>
    <row r="47641" s="12" customFormat="1" x14ac:dyDescent="0.25"/>
    <row r="47642" s="12" customFormat="1" x14ac:dyDescent="0.25"/>
    <row r="47643" s="12" customFormat="1" x14ac:dyDescent="0.25"/>
    <row r="47644" s="12" customFormat="1" x14ac:dyDescent="0.25"/>
    <row r="47645" s="12" customFormat="1" x14ac:dyDescent="0.25"/>
    <row r="47646" s="12" customFormat="1" x14ac:dyDescent="0.25"/>
    <row r="47647" s="12" customFormat="1" x14ac:dyDescent="0.25"/>
    <row r="47648" s="12" customFormat="1" x14ac:dyDescent="0.25"/>
    <row r="47649" s="12" customFormat="1" x14ac:dyDescent="0.25"/>
    <row r="47650" s="12" customFormat="1" x14ac:dyDescent="0.25"/>
    <row r="47651" s="12" customFormat="1" x14ac:dyDescent="0.25"/>
    <row r="47652" s="12" customFormat="1" x14ac:dyDescent="0.25"/>
    <row r="47653" s="12" customFormat="1" x14ac:dyDescent="0.25"/>
    <row r="47654" s="12" customFormat="1" x14ac:dyDescent="0.25"/>
    <row r="47655" s="12" customFormat="1" x14ac:dyDescent="0.25"/>
    <row r="47656" s="12" customFormat="1" x14ac:dyDescent="0.25"/>
    <row r="47657" s="12" customFormat="1" x14ac:dyDescent="0.25"/>
    <row r="47658" s="12" customFormat="1" x14ac:dyDescent="0.25"/>
    <row r="47659" s="12" customFormat="1" x14ac:dyDescent="0.25"/>
    <row r="47660" s="12" customFormat="1" x14ac:dyDescent="0.25"/>
    <row r="47661" s="12" customFormat="1" x14ac:dyDescent="0.25"/>
    <row r="47662" s="12" customFormat="1" x14ac:dyDescent="0.25"/>
    <row r="47663" s="12" customFormat="1" x14ac:dyDescent="0.25"/>
    <row r="47664" s="12" customFormat="1" x14ac:dyDescent="0.25"/>
    <row r="47665" s="12" customFormat="1" x14ac:dyDescent="0.25"/>
    <row r="47666" s="12" customFormat="1" x14ac:dyDescent="0.25"/>
    <row r="47667" s="12" customFormat="1" x14ac:dyDescent="0.25"/>
    <row r="47668" s="12" customFormat="1" x14ac:dyDescent="0.25"/>
    <row r="47669" s="12" customFormat="1" x14ac:dyDescent="0.25"/>
    <row r="47670" s="12" customFormat="1" x14ac:dyDescent="0.25"/>
    <row r="47671" s="12" customFormat="1" x14ac:dyDescent="0.25"/>
    <row r="47672" s="12" customFormat="1" x14ac:dyDescent="0.25"/>
    <row r="47673" s="12" customFormat="1" x14ac:dyDescent="0.25"/>
    <row r="47674" s="12" customFormat="1" x14ac:dyDescent="0.25"/>
    <row r="47675" s="12" customFormat="1" x14ac:dyDescent="0.25"/>
    <row r="47676" s="12" customFormat="1" x14ac:dyDescent="0.25"/>
    <row r="47677" s="12" customFormat="1" x14ac:dyDescent="0.25"/>
    <row r="47678" s="12" customFormat="1" x14ac:dyDescent="0.25"/>
    <row r="47679" s="12" customFormat="1" x14ac:dyDescent="0.25"/>
    <row r="47680" s="12" customFormat="1" x14ac:dyDescent="0.25"/>
    <row r="47681" s="12" customFormat="1" x14ac:dyDescent="0.25"/>
    <row r="47682" s="12" customFormat="1" x14ac:dyDescent="0.25"/>
    <row r="47683" s="12" customFormat="1" x14ac:dyDescent="0.25"/>
    <row r="47684" s="12" customFormat="1" x14ac:dyDescent="0.25"/>
    <row r="47685" s="12" customFormat="1" x14ac:dyDescent="0.25"/>
    <row r="47686" s="12" customFormat="1" x14ac:dyDescent="0.25"/>
    <row r="47687" s="12" customFormat="1" x14ac:dyDescent="0.25"/>
    <row r="47688" s="12" customFormat="1" x14ac:dyDescent="0.25"/>
    <row r="47689" s="12" customFormat="1" x14ac:dyDescent="0.25"/>
    <row r="47690" s="12" customFormat="1" x14ac:dyDescent="0.25"/>
    <row r="47691" s="12" customFormat="1" x14ac:dyDescent="0.25"/>
    <row r="47692" s="12" customFormat="1" x14ac:dyDescent="0.25"/>
    <row r="47693" s="12" customFormat="1" x14ac:dyDescent="0.25"/>
    <row r="47694" s="12" customFormat="1" x14ac:dyDescent="0.25"/>
    <row r="47695" s="12" customFormat="1" x14ac:dyDescent="0.25"/>
    <row r="47696" s="12" customFormat="1" x14ac:dyDescent="0.25"/>
    <row r="47697" s="12" customFormat="1" x14ac:dyDescent="0.25"/>
    <row r="47698" s="12" customFormat="1" x14ac:dyDescent="0.25"/>
    <row r="47699" s="12" customFormat="1" x14ac:dyDescent="0.25"/>
    <row r="47700" s="12" customFormat="1" x14ac:dyDescent="0.25"/>
    <row r="47701" s="12" customFormat="1" x14ac:dyDescent="0.25"/>
    <row r="47702" s="12" customFormat="1" x14ac:dyDescent="0.25"/>
    <row r="47703" s="12" customFormat="1" x14ac:dyDescent="0.25"/>
    <row r="47704" s="12" customFormat="1" x14ac:dyDescent="0.25"/>
    <row r="47705" s="12" customFormat="1" x14ac:dyDescent="0.25"/>
    <row r="47706" s="12" customFormat="1" x14ac:dyDescent="0.25"/>
    <row r="47707" s="12" customFormat="1" x14ac:dyDescent="0.25"/>
    <row r="47708" s="12" customFormat="1" x14ac:dyDescent="0.25"/>
    <row r="47709" s="12" customFormat="1" x14ac:dyDescent="0.25"/>
    <row r="47710" s="12" customFormat="1" x14ac:dyDescent="0.25"/>
    <row r="47711" s="12" customFormat="1" x14ac:dyDescent="0.25"/>
    <row r="47712" s="12" customFormat="1" x14ac:dyDescent="0.25"/>
    <row r="47713" s="12" customFormat="1" x14ac:dyDescent="0.25"/>
    <row r="47714" s="12" customFormat="1" x14ac:dyDescent="0.25"/>
    <row r="47715" s="12" customFormat="1" x14ac:dyDescent="0.25"/>
    <row r="47716" s="12" customFormat="1" x14ac:dyDescent="0.25"/>
    <row r="47717" s="12" customFormat="1" x14ac:dyDescent="0.25"/>
    <row r="47718" s="12" customFormat="1" x14ac:dyDescent="0.25"/>
    <row r="47719" s="12" customFormat="1" x14ac:dyDescent="0.25"/>
    <row r="47720" s="12" customFormat="1" x14ac:dyDescent="0.25"/>
    <row r="47721" s="12" customFormat="1" x14ac:dyDescent="0.25"/>
    <row r="47722" s="12" customFormat="1" x14ac:dyDescent="0.25"/>
    <row r="47723" s="12" customFormat="1" x14ac:dyDescent="0.25"/>
    <row r="47724" s="12" customFormat="1" x14ac:dyDescent="0.25"/>
    <row r="47725" s="12" customFormat="1" x14ac:dyDescent="0.25"/>
    <row r="47726" s="12" customFormat="1" x14ac:dyDescent="0.25"/>
    <row r="47727" s="12" customFormat="1" x14ac:dyDescent="0.25"/>
    <row r="47728" s="12" customFormat="1" x14ac:dyDescent="0.25"/>
    <row r="47729" s="12" customFormat="1" x14ac:dyDescent="0.25"/>
    <row r="47730" s="12" customFormat="1" x14ac:dyDescent="0.25"/>
    <row r="47731" s="12" customFormat="1" x14ac:dyDescent="0.25"/>
    <row r="47732" s="12" customFormat="1" x14ac:dyDescent="0.25"/>
    <row r="47733" s="12" customFormat="1" x14ac:dyDescent="0.25"/>
    <row r="47734" s="12" customFormat="1" x14ac:dyDescent="0.25"/>
    <row r="47735" s="12" customFormat="1" x14ac:dyDescent="0.25"/>
    <row r="47736" s="12" customFormat="1" x14ac:dyDescent="0.25"/>
    <row r="47737" s="12" customFormat="1" x14ac:dyDescent="0.25"/>
    <row r="47738" s="12" customFormat="1" x14ac:dyDescent="0.25"/>
    <row r="47739" s="12" customFormat="1" x14ac:dyDescent="0.25"/>
    <row r="47740" s="12" customFormat="1" x14ac:dyDescent="0.25"/>
    <row r="47741" s="12" customFormat="1" x14ac:dyDescent="0.25"/>
    <row r="47742" s="12" customFormat="1" x14ac:dyDescent="0.25"/>
    <row r="47743" s="12" customFormat="1" x14ac:dyDescent="0.25"/>
    <row r="47744" s="12" customFormat="1" x14ac:dyDescent="0.25"/>
    <row r="47745" s="12" customFormat="1" x14ac:dyDescent="0.25"/>
    <row r="47746" s="12" customFormat="1" x14ac:dyDescent="0.25"/>
    <row r="47747" s="12" customFormat="1" x14ac:dyDescent="0.25"/>
    <row r="47748" s="12" customFormat="1" x14ac:dyDescent="0.25"/>
    <row r="47749" s="12" customFormat="1" x14ac:dyDescent="0.25"/>
    <row r="47750" s="12" customFormat="1" x14ac:dyDescent="0.25"/>
    <row r="47751" s="12" customFormat="1" x14ac:dyDescent="0.25"/>
    <row r="47752" s="12" customFormat="1" x14ac:dyDescent="0.25"/>
    <row r="47753" s="12" customFormat="1" x14ac:dyDescent="0.25"/>
    <row r="47754" s="12" customFormat="1" x14ac:dyDescent="0.25"/>
    <row r="47755" s="12" customFormat="1" x14ac:dyDescent="0.25"/>
    <row r="47756" s="12" customFormat="1" x14ac:dyDescent="0.25"/>
    <row r="47757" s="12" customFormat="1" x14ac:dyDescent="0.25"/>
    <row r="47758" s="12" customFormat="1" x14ac:dyDescent="0.25"/>
    <row r="47759" s="12" customFormat="1" x14ac:dyDescent="0.25"/>
    <row r="47760" s="12" customFormat="1" x14ac:dyDescent="0.25"/>
    <row r="47761" s="12" customFormat="1" x14ac:dyDescent="0.25"/>
    <row r="47762" s="12" customFormat="1" x14ac:dyDescent="0.25"/>
    <row r="47763" s="12" customFormat="1" x14ac:dyDescent="0.25"/>
    <row r="47764" s="12" customFormat="1" x14ac:dyDescent="0.25"/>
    <row r="47765" s="12" customFormat="1" x14ac:dyDescent="0.25"/>
    <row r="47766" s="12" customFormat="1" x14ac:dyDescent="0.25"/>
    <row r="47767" s="12" customFormat="1" x14ac:dyDescent="0.25"/>
    <row r="47768" s="12" customFormat="1" x14ac:dyDescent="0.25"/>
    <row r="47769" s="12" customFormat="1" x14ac:dyDescent="0.25"/>
    <row r="47770" s="12" customFormat="1" x14ac:dyDescent="0.25"/>
    <row r="47771" s="12" customFormat="1" x14ac:dyDescent="0.25"/>
    <row r="47772" s="12" customFormat="1" x14ac:dyDescent="0.25"/>
    <row r="47773" s="12" customFormat="1" x14ac:dyDescent="0.25"/>
    <row r="47774" s="12" customFormat="1" x14ac:dyDescent="0.25"/>
    <row r="47775" s="12" customFormat="1" x14ac:dyDescent="0.25"/>
    <row r="47776" s="12" customFormat="1" x14ac:dyDescent="0.25"/>
    <row r="47777" s="12" customFormat="1" x14ac:dyDescent="0.25"/>
    <row r="47778" s="12" customFormat="1" x14ac:dyDescent="0.25"/>
    <row r="47779" s="12" customFormat="1" x14ac:dyDescent="0.25"/>
    <row r="47780" s="12" customFormat="1" x14ac:dyDescent="0.25"/>
    <row r="47781" s="12" customFormat="1" x14ac:dyDescent="0.25"/>
    <row r="47782" s="12" customFormat="1" x14ac:dyDescent="0.25"/>
    <row r="47783" s="12" customFormat="1" x14ac:dyDescent="0.25"/>
    <row r="47784" s="12" customFormat="1" x14ac:dyDescent="0.25"/>
    <row r="47785" s="12" customFormat="1" x14ac:dyDescent="0.25"/>
    <row r="47786" s="12" customFormat="1" x14ac:dyDescent="0.25"/>
    <row r="47787" s="12" customFormat="1" x14ac:dyDescent="0.25"/>
    <row r="47788" s="12" customFormat="1" x14ac:dyDescent="0.25"/>
    <row r="47789" s="12" customFormat="1" x14ac:dyDescent="0.25"/>
    <row r="47790" s="12" customFormat="1" x14ac:dyDescent="0.25"/>
    <row r="47791" s="12" customFormat="1" x14ac:dyDescent="0.25"/>
    <row r="47792" s="12" customFormat="1" x14ac:dyDescent="0.25"/>
    <row r="47793" s="12" customFormat="1" x14ac:dyDescent="0.25"/>
    <row r="47794" s="12" customFormat="1" x14ac:dyDescent="0.25"/>
    <row r="47795" s="12" customFormat="1" x14ac:dyDescent="0.25"/>
    <row r="47796" s="12" customFormat="1" x14ac:dyDescent="0.25"/>
    <row r="47797" s="12" customFormat="1" x14ac:dyDescent="0.25"/>
    <row r="47798" s="12" customFormat="1" x14ac:dyDescent="0.25"/>
    <row r="47799" s="12" customFormat="1" x14ac:dyDescent="0.25"/>
    <row r="47800" s="12" customFormat="1" x14ac:dyDescent="0.25"/>
    <row r="47801" s="12" customFormat="1" x14ac:dyDescent="0.25"/>
    <row r="47802" s="12" customFormat="1" x14ac:dyDescent="0.25"/>
    <row r="47803" s="12" customFormat="1" x14ac:dyDescent="0.25"/>
    <row r="47804" s="12" customFormat="1" x14ac:dyDescent="0.25"/>
    <row r="47805" s="12" customFormat="1" x14ac:dyDescent="0.25"/>
    <row r="47806" s="12" customFormat="1" x14ac:dyDescent="0.25"/>
    <row r="47807" s="12" customFormat="1" x14ac:dyDescent="0.25"/>
    <row r="47808" s="12" customFormat="1" x14ac:dyDescent="0.25"/>
    <row r="47809" s="12" customFormat="1" x14ac:dyDescent="0.25"/>
    <row r="47810" s="12" customFormat="1" x14ac:dyDescent="0.25"/>
    <row r="47811" s="12" customFormat="1" x14ac:dyDescent="0.25"/>
    <row r="47812" s="12" customFormat="1" x14ac:dyDescent="0.25"/>
    <row r="47813" s="12" customFormat="1" x14ac:dyDescent="0.25"/>
    <row r="47814" s="12" customFormat="1" x14ac:dyDescent="0.25"/>
    <row r="47815" s="12" customFormat="1" x14ac:dyDescent="0.25"/>
    <row r="47816" s="12" customFormat="1" x14ac:dyDescent="0.25"/>
    <row r="47817" s="12" customFormat="1" x14ac:dyDescent="0.25"/>
    <row r="47818" s="12" customFormat="1" x14ac:dyDescent="0.25"/>
    <row r="47819" s="12" customFormat="1" x14ac:dyDescent="0.25"/>
    <row r="47820" s="12" customFormat="1" x14ac:dyDescent="0.25"/>
    <row r="47821" s="12" customFormat="1" x14ac:dyDescent="0.25"/>
    <row r="47822" s="12" customFormat="1" x14ac:dyDescent="0.25"/>
    <row r="47823" s="12" customFormat="1" x14ac:dyDescent="0.25"/>
    <row r="47824" s="12" customFormat="1" x14ac:dyDescent="0.25"/>
    <row r="47825" s="12" customFormat="1" x14ac:dyDescent="0.25"/>
    <row r="47826" s="12" customFormat="1" x14ac:dyDescent="0.25"/>
    <row r="47827" s="12" customFormat="1" x14ac:dyDescent="0.25"/>
    <row r="47828" s="12" customFormat="1" x14ac:dyDescent="0.25"/>
    <row r="47829" s="12" customFormat="1" x14ac:dyDescent="0.25"/>
    <row r="47830" s="12" customFormat="1" x14ac:dyDescent="0.25"/>
    <row r="47831" s="12" customFormat="1" x14ac:dyDescent="0.25"/>
    <row r="47832" s="12" customFormat="1" x14ac:dyDescent="0.25"/>
    <row r="47833" s="12" customFormat="1" x14ac:dyDescent="0.25"/>
    <row r="47834" s="12" customFormat="1" x14ac:dyDescent="0.25"/>
    <row r="47835" s="12" customFormat="1" x14ac:dyDescent="0.25"/>
    <row r="47836" s="12" customFormat="1" x14ac:dyDescent="0.25"/>
    <row r="47837" s="12" customFormat="1" x14ac:dyDescent="0.25"/>
    <row r="47838" s="12" customFormat="1" x14ac:dyDescent="0.25"/>
    <row r="47839" s="12" customFormat="1" x14ac:dyDescent="0.25"/>
    <row r="47840" s="12" customFormat="1" x14ac:dyDescent="0.25"/>
    <row r="47841" s="12" customFormat="1" x14ac:dyDescent="0.25"/>
    <row r="47842" s="12" customFormat="1" x14ac:dyDescent="0.25"/>
    <row r="47843" s="12" customFormat="1" x14ac:dyDescent="0.25"/>
    <row r="47844" s="12" customFormat="1" x14ac:dyDescent="0.25"/>
    <row r="47845" s="12" customFormat="1" x14ac:dyDescent="0.25"/>
    <row r="47846" s="12" customFormat="1" x14ac:dyDescent="0.25"/>
    <row r="47847" s="12" customFormat="1" x14ac:dyDescent="0.25"/>
    <row r="47848" s="12" customFormat="1" x14ac:dyDescent="0.25"/>
    <row r="47849" s="12" customFormat="1" x14ac:dyDescent="0.25"/>
    <row r="47850" s="12" customFormat="1" x14ac:dyDescent="0.25"/>
    <row r="47851" s="12" customFormat="1" x14ac:dyDescent="0.25"/>
    <row r="47852" s="12" customFormat="1" x14ac:dyDescent="0.25"/>
    <row r="47853" s="12" customFormat="1" x14ac:dyDescent="0.25"/>
    <row r="47854" s="12" customFormat="1" x14ac:dyDescent="0.25"/>
    <row r="47855" s="12" customFormat="1" x14ac:dyDescent="0.25"/>
    <row r="47856" s="12" customFormat="1" x14ac:dyDescent="0.25"/>
    <row r="47857" s="12" customFormat="1" x14ac:dyDescent="0.25"/>
    <row r="47858" s="12" customFormat="1" x14ac:dyDescent="0.25"/>
    <row r="47859" s="12" customFormat="1" x14ac:dyDescent="0.25"/>
    <row r="47860" s="12" customFormat="1" x14ac:dyDescent="0.25"/>
    <row r="47861" s="12" customFormat="1" x14ac:dyDescent="0.25"/>
    <row r="47862" s="12" customFormat="1" x14ac:dyDescent="0.25"/>
    <row r="47863" s="12" customFormat="1" x14ac:dyDescent="0.25"/>
    <row r="47864" s="12" customFormat="1" x14ac:dyDescent="0.25"/>
    <row r="47865" s="12" customFormat="1" x14ac:dyDescent="0.25"/>
    <row r="47866" s="12" customFormat="1" x14ac:dyDescent="0.25"/>
    <row r="47867" s="12" customFormat="1" x14ac:dyDescent="0.25"/>
    <row r="47868" s="12" customFormat="1" x14ac:dyDescent="0.25"/>
    <row r="47869" s="12" customFormat="1" x14ac:dyDescent="0.25"/>
    <row r="47870" s="12" customFormat="1" x14ac:dyDescent="0.25"/>
    <row r="47871" s="12" customFormat="1" x14ac:dyDescent="0.25"/>
    <row r="47872" s="12" customFormat="1" x14ac:dyDescent="0.25"/>
    <row r="47873" s="12" customFormat="1" x14ac:dyDescent="0.25"/>
    <row r="47874" s="12" customFormat="1" x14ac:dyDescent="0.25"/>
    <row r="47875" s="12" customFormat="1" x14ac:dyDescent="0.25"/>
    <row r="47876" s="12" customFormat="1" x14ac:dyDescent="0.25"/>
    <row r="47877" s="12" customFormat="1" x14ac:dyDescent="0.25"/>
    <row r="47878" s="12" customFormat="1" x14ac:dyDescent="0.25"/>
    <row r="47879" s="12" customFormat="1" x14ac:dyDescent="0.25"/>
    <row r="47880" s="12" customFormat="1" x14ac:dyDescent="0.25"/>
    <row r="47881" s="12" customFormat="1" x14ac:dyDescent="0.25"/>
    <row r="47882" s="12" customFormat="1" x14ac:dyDescent="0.25"/>
    <row r="47883" s="12" customFormat="1" x14ac:dyDescent="0.25"/>
    <row r="47884" s="12" customFormat="1" x14ac:dyDescent="0.25"/>
    <row r="47885" s="12" customFormat="1" x14ac:dyDescent="0.25"/>
    <row r="47886" s="12" customFormat="1" x14ac:dyDescent="0.25"/>
    <row r="47887" s="12" customFormat="1" x14ac:dyDescent="0.25"/>
    <row r="47888" s="12" customFormat="1" x14ac:dyDescent="0.25"/>
    <row r="47889" s="12" customFormat="1" x14ac:dyDescent="0.25"/>
    <row r="47890" s="12" customFormat="1" x14ac:dyDescent="0.25"/>
    <row r="47891" s="12" customFormat="1" x14ac:dyDescent="0.25"/>
    <row r="47892" s="12" customFormat="1" x14ac:dyDescent="0.25"/>
    <row r="47893" s="12" customFormat="1" x14ac:dyDescent="0.25"/>
    <row r="47894" s="12" customFormat="1" x14ac:dyDescent="0.25"/>
    <row r="47895" s="12" customFormat="1" x14ac:dyDescent="0.25"/>
    <row r="47896" s="12" customFormat="1" x14ac:dyDescent="0.25"/>
    <row r="47897" s="12" customFormat="1" x14ac:dyDescent="0.25"/>
    <row r="47898" s="12" customFormat="1" x14ac:dyDescent="0.25"/>
    <row r="47899" s="12" customFormat="1" x14ac:dyDescent="0.25"/>
    <row r="47900" s="12" customFormat="1" x14ac:dyDescent="0.25"/>
    <row r="47901" s="12" customFormat="1" x14ac:dyDescent="0.25"/>
    <row r="47902" s="12" customFormat="1" x14ac:dyDescent="0.25"/>
    <row r="47903" s="12" customFormat="1" x14ac:dyDescent="0.25"/>
    <row r="47904" s="12" customFormat="1" x14ac:dyDescent="0.25"/>
    <row r="47905" s="12" customFormat="1" x14ac:dyDescent="0.25"/>
    <row r="47906" s="12" customFormat="1" x14ac:dyDescent="0.25"/>
    <row r="47907" s="12" customFormat="1" x14ac:dyDescent="0.25"/>
    <row r="47908" s="12" customFormat="1" x14ac:dyDescent="0.25"/>
    <row r="47909" s="12" customFormat="1" x14ac:dyDescent="0.25"/>
    <row r="47910" s="12" customFormat="1" x14ac:dyDescent="0.25"/>
    <row r="47911" s="12" customFormat="1" x14ac:dyDescent="0.25"/>
    <row r="47912" s="12" customFormat="1" x14ac:dyDescent="0.25"/>
    <row r="47913" s="12" customFormat="1" x14ac:dyDescent="0.25"/>
    <row r="47914" s="12" customFormat="1" x14ac:dyDescent="0.25"/>
    <row r="47915" s="12" customFormat="1" x14ac:dyDescent="0.25"/>
    <row r="47916" s="12" customFormat="1" x14ac:dyDescent="0.25"/>
    <row r="47917" s="12" customFormat="1" x14ac:dyDescent="0.25"/>
    <row r="47918" s="12" customFormat="1" x14ac:dyDescent="0.25"/>
    <row r="47919" s="12" customFormat="1" x14ac:dyDescent="0.25"/>
    <row r="47920" s="12" customFormat="1" x14ac:dyDescent="0.25"/>
    <row r="47921" s="12" customFormat="1" x14ac:dyDescent="0.25"/>
    <row r="47922" s="12" customFormat="1" x14ac:dyDescent="0.25"/>
    <row r="47923" s="12" customFormat="1" x14ac:dyDescent="0.25"/>
    <row r="47924" s="12" customFormat="1" x14ac:dyDescent="0.25"/>
    <row r="47925" s="12" customFormat="1" x14ac:dyDescent="0.25"/>
    <row r="47926" s="12" customFormat="1" x14ac:dyDescent="0.25"/>
    <row r="47927" s="12" customFormat="1" x14ac:dyDescent="0.25"/>
    <row r="47928" s="12" customFormat="1" x14ac:dyDescent="0.25"/>
    <row r="47929" s="12" customFormat="1" x14ac:dyDescent="0.25"/>
    <row r="47930" s="12" customFormat="1" x14ac:dyDescent="0.25"/>
    <row r="47931" s="12" customFormat="1" x14ac:dyDescent="0.25"/>
    <row r="47932" s="12" customFormat="1" x14ac:dyDescent="0.25"/>
    <row r="47933" s="12" customFormat="1" x14ac:dyDescent="0.25"/>
    <row r="47934" s="12" customFormat="1" x14ac:dyDescent="0.25"/>
    <row r="47935" s="12" customFormat="1" x14ac:dyDescent="0.25"/>
    <row r="47936" s="12" customFormat="1" x14ac:dyDescent="0.25"/>
    <row r="47937" s="12" customFormat="1" x14ac:dyDescent="0.25"/>
    <row r="47938" s="12" customFormat="1" x14ac:dyDescent="0.25"/>
    <row r="47939" s="12" customFormat="1" x14ac:dyDescent="0.25"/>
    <row r="47940" s="12" customFormat="1" x14ac:dyDescent="0.25"/>
    <row r="47941" s="12" customFormat="1" x14ac:dyDescent="0.25"/>
    <row r="47942" s="12" customFormat="1" x14ac:dyDescent="0.25"/>
    <row r="47943" s="12" customFormat="1" x14ac:dyDescent="0.25"/>
    <row r="47944" s="12" customFormat="1" x14ac:dyDescent="0.25"/>
    <row r="47945" s="12" customFormat="1" x14ac:dyDescent="0.25"/>
    <row r="47946" s="12" customFormat="1" x14ac:dyDescent="0.25"/>
    <row r="47947" s="12" customFormat="1" x14ac:dyDescent="0.25"/>
    <row r="47948" s="12" customFormat="1" x14ac:dyDescent="0.25"/>
    <row r="47949" s="12" customFormat="1" x14ac:dyDescent="0.25"/>
    <row r="47950" s="12" customFormat="1" x14ac:dyDescent="0.25"/>
    <row r="47951" s="12" customFormat="1" x14ac:dyDescent="0.25"/>
    <row r="47952" s="12" customFormat="1" x14ac:dyDescent="0.25"/>
    <row r="47953" s="12" customFormat="1" x14ac:dyDescent="0.25"/>
    <row r="47954" s="12" customFormat="1" x14ac:dyDescent="0.25"/>
    <row r="47955" s="12" customFormat="1" x14ac:dyDescent="0.25"/>
    <row r="47956" s="12" customFormat="1" x14ac:dyDescent="0.25"/>
    <row r="47957" s="12" customFormat="1" x14ac:dyDescent="0.25"/>
    <row r="47958" s="12" customFormat="1" x14ac:dyDescent="0.25"/>
    <row r="47959" s="12" customFormat="1" x14ac:dyDescent="0.25"/>
    <row r="47960" s="12" customFormat="1" x14ac:dyDescent="0.25"/>
    <row r="47961" s="12" customFormat="1" x14ac:dyDescent="0.25"/>
    <row r="47962" s="12" customFormat="1" x14ac:dyDescent="0.25"/>
    <row r="47963" s="12" customFormat="1" x14ac:dyDescent="0.25"/>
    <row r="47964" s="12" customFormat="1" x14ac:dyDescent="0.25"/>
    <row r="47965" s="12" customFormat="1" x14ac:dyDescent="0.25"/>
    <row r="47966" s="12" customFormat="1" x14ac:dyDescent="0.25"/>
    <row r="47967" s="12" customFormat="1" x14ac:dyDescent="0.25"/>
    <row r="47968" s="12" customFormat="1" x14ac:dyDescent="0.25"/>
    <row r="47969" s="12" customFormat="1" x14ac:dyDescent="0.25"/>
    <row r="47970" s="12" customFormat="1" x14ac:dyDescent="0.25"/>
    <row r="47971" s="12" customFormat="1" x14ac:dyDescent="0.25"/>
    <row r="47972" s="12" customFormat="1" x14ac:dyDescent="0.25"/>
    <row r="47973" s="12" customFormat="1" x14ac:dyDescent="0.25"/>
    <row r="47974" s="12" customFormat="1" x14ac:dyDescent="0.25"/>
    <row r="47975" s="12" customFormat="1" x14ac:dyDescent="0.25"/>
    <row r="47976" s="12" customFormat="1" x14ac:dyDescent="0.25"/>
    <row r="47977" s="12" customFormat="1" x14ac:dyDescent="0.25"/>
    <row r="47978" s="12" customFormat="1" x14ac:dyDescent="0.25"/>
    <row r="47979" s="12" customFormat="1" x14ac:dyDescent="0.25"/>
    <row r="47980" s="12" customFormat="1" x14ac:dyDescent="0.25"/>
    <row r="47981" s="12" customFormat="1" x14ac:dyDescent="0.25"/>
    <row r="47982" s="12" customFormat="1" x14ac:dyDescent="0.25"/>
    <row r="47983" s="12" customFormat="1" x14ac:dyDescent="0.25"/>
    <row r="47984" s="12" customFormat="1" x14ac:dyDescent="0.25"/>
    <row r="47985" s="12" customFormat="1" x14ac:dyDescent="0.25"/>
    <row r="47986" s="12" customFormat="1" x14ac:dyDescent="0.25"/>
    <row r="47987" s="12" customFormat="1" x14ac:dyDescent="0.25"/>
    <row r="47988" s="12" customFormat="1" x14ac:dyDescent="0.25"/>
    <row r="47989" s="12" customFormat="1" x14ac:dyDescent="0.25"/>
    <row r="47990" s="12" customFormat="1" x14ac:dyDescent="0.25"/>
    <row r="47991" s="12" customFormat="1" x14ac:dyDescent="0.25"/>
    <row r="47992" s="12" customFormat="1" x14ac:dyDescent="0.25"/>
    <row r="47993" s="12" customFormat="1" x14ac:dyDescent="0.25"/>
    <row r="47994" s="12" customFormat="1" x14ac:dyDescent="0.25"/>
    <row r="47995" s="12" customFormat="1" x14ac:dyDescent="0.25"/>
    <row r="47996" s="12" customFormat="1" x14ac:dyDescent="0.25"/>
    <row r="47997" s="12" customFormat="1" x14ac:dyDescent="0.25"/>
    <row r="47998" s="12" customFormat="1" x14ac:dyDescent="0.25"/>
    <row r="47999" s="12" customFormat="1" x14ac:dyDescent="0.25"/>
    <row r="48000" s="12" customFormat="1" x14ac:dyDescent="0.25"/>
    <row r="48001" s="12" customFormat="1" x14ac:dyDescent="0.25"/>
    <row r="48002" s="12" customFormat="1" x14ac:dyDescent="0.25"/>
    <row r="48003" s="12" customFormat="1" x14ac:dyDescent="0.25"/>
    <row r="48004" s="12" customFormat="1" x14ac:dyDescent="0.25"/>
    <row r="48005" s="12" customFormat="1" x14ac:dyDescent="0.25"/>
    <row r="48006" s="12" customFormat="1" x14ac:dyDescent="0.25"/>
    <row r="48007" s="12" customFormat="1" x14ac:dyDescent="0.25"/>
    <row r="48008" s="12" customFormat="1" x14ac:dyDescent="0.25"/>
    <row r="48009" s="12" customFormat="1" x14ac:dyDescent="0.25"/>
    <row r="48010" s="12" customFormat="1" x14ac:dyDescent="0.25"/>
    <row r="48011" s="12" customFormat="1" x14ac:dyDescent="0.25"/>
    <row r="48012" s="12" customFormat="1" x14ac:dyDescent="0.25"/>
    <row r="48013" s="12" customFormat="1" x14ac:dyDescent="0.25"/>
    <row r="48014" s="12" customFormat="1" x14ac:dyDescent="0.25"/>
    <row r="48015" s="12" customFormat="1" x14ac:dyDescent="0.25"/>
    <row r="48016" s="12" customFormat="1" x14ac:dyDescent="0.25"/>
    <row r="48017" s="12" customFormat="1" x14ac:dyDescent="0.25"/>
    <row r="48018" s="12" customFormat="1" x14ac:dyDescent="0.25"/>
    <row r="48019" s="12" customFormat="1" x14ac:dyDescent="0.25"/>
    <row r="48020" s="12" customFormat="1" x14ac:dyDescent="0.25"/>
    <row r="48021" s="12" customFormat="1" x14ac:dyDescent="0.25"/>
    <row r="48022" s="12" customFormat="1" x14ac:dyDescent="0.25"/>
    <row r="48023" s="12" customFormat="1" x14ac:dyDescent="0.25"/>
    <row r="48024" s="12" customFormat="1" x14ac:dyDescent="0.25"/>
    <row r="48025" s="12" customFormat="1" x14ac:dyDescent="0.25"/>
    <row r="48026" s="12" customFormat="1" x14ac:dyDescent="0.25"/>
    <row r="48027" s="12" customFormat="1" x14ac:dyDescent="0.25"/>
    <row r="48028" s="12" customFormat="1" x14ac:dyDescent="0.25"/>
    <row r="48029" s="12" customFormat="1" x14ac:dyDescent="0.25"/>
    <row r="48030" s="12" customFormat="1" x14ac:dyDescent="0.25"/>
    <row r="48031" s="12" customFormat="1" x14ac:dyDescent="0.25"/>
    <row r="48032" s="12" customFormat="1" x14ac:dyDescent="0.25"/>
    <row r="48033" s="12" customFormat="1" x14ac:dyDescent="0.25"/>
    <row r="48034" s="12" customFormat="1" x14ac:dyDescent="0.25"/>
    <row r="48035" s="12" customFormat="1" x14ac:dyDescent="0.25"/>
    <row r="48036" s="12" customFormat="1" x14ac:dyDescent="0.25"/>
    <row r="48037" s="12" customFormat="1" x14ac:dyDescent="0.25"/>
    <row r="48038" s="12" customFormat="1" x14ac:dyDescent="0.25"/>
    <row r="48039" s="12" customFormat="1" x14ac:dyDescent="0.25"/>
    <row r="48040" s="12" customFormat="1" x14ac:dyDescent="0.25"/>
    <row r="48041" s="12" customFormat="1" x14ac:dyDescent="0.25"/>
    <row r="48042" s="12" customFormat="1" x14ac:dyDescent="0.25"/>
    <row r="48043" s="12" customFormat="1" x14ac:dyDescent="0.25"/>
    <row r="48044" s="12" customFormat="1" x14ac:dyDescent="0.25"/>
    <row r="48045" s="12" customFormat="1" x14ac:dyDescent="0.25"/>
    <row r="48046" s="12" customFormat="1" x14ac:dyDescent="0.25"/>
    <row r="48047" s="12" customFormat="1" x14ac:dyDescent="0.25"/>
    <row r="48048" s="12" customFormat="1" x14ac:dyDescent="0.25"/>
    <row r="48049" s="12" customFormat="1" x14ac:dyDescent="0.25"/>
    <row r="48050" s="12" customFormat="1" x14ac:dyDescent="0.25"/>
    <row r="48051" s="12" customFormat="1" x14ac:dyDescent="0.25"/>
    <row r="48052" s="12" customFormat="1" x14ac:dyDescent="0.25"/>
    <row r="48053" s="12" customFormat="1" x14ac:dyDescent="0.25"/>
    <row r="48054" s="12" customFormat="1" x14ac:dyDescent="0.25"/>
    <row r="48055" s="12" customFormat="1" x14ac:dyDescent="0.25"/>
    <row r="48056" s="12" customFormat="1" x14ac:dyDescent="0.25"/>
    <row r="48057" s="12" customFormat="1" x14ac:dyDescent="0.25"/>
    <row r="48058" s="12" customFormat="1" x14ac:dyDescent="0.25"/>
    <row r="48059" s="12" customFormat="1" x14ac:dyDescent="0.25"/>
    <row r="48060" s="12" customFormat="1" x14ac:dyDescent="0.25"/>
    <row r="48061" s="12" customFormat="1" x14ac:dyDescent="0.25"/>
    <row r="48062" s="12" customFormat="1" x14ac:dyDescent="0.25"/>
    <row r="48063" s="12" customFormat="1" x14ac:dyDescent="0.25"/>
    <row r="48064" s="12" customFormat="1" x14ac:dyDescent="0.25"/>
    <row r="48065" s="12" customFormat="1" x14ac:dyDescent="0.25"/>
    <row r="48066" s="12" customFormat="1" x14ac:dyDescent="0.25"/>
    <row r="48067" s="12" customFormat="1" x14ac:dyDescent="0.25"/>
    <row r="48068" s="12" customFormat="1" x14ac:dyDescent="0.25"/>
    <row r="48069" s="12" customFormat="1" x14ac:dyDescent="0.25"/>
    <row r="48070" s="12" customFormat="1" x14ac:dyDescent="0.25"/>
    <row r="48071" s="12" customFormat="1" x14ac:dyDescent="0.25"/>
    <row r="48072" s="12" customFormat="1" x14ac:dyDescent="0.25"/>
    <row r="48073" s="12" customFormat="1" x14ac:dyDescent="0.25"/>
    <row r="48074" s="12" customFormat="1" x14ac:dyDescent="0.25"/>
    <row r="48075" s="12" customFormat="1" x14ac:dyDescent="0.25"/>
    <row r="48076" s="12" customFormat="1" x14ac:dyDescent="0.25"/>
    <row r="48077" s="12" customFormat="1" x14ac:dyDescent="0.25"/>
    <row r="48078" s="12" customFormat="1" x14ac:dyDescent="0.25"/>
    <row r="48079" s="12" customFormat="1" x14ac:dyDescent="0.25"/>
    <row r="48080" s="12" customFormat="1" x14ac:dyDescent="0.25"/>
    <row r="48081" s="12" customFormat="1" x14ac:dyDescent="0.25"/>
    <row r="48082" s="12" customFormat="1" x14ac:dyDescent="0.25"/>
    <row r="48083" s="12" customFormat="1" x14ac:dyDescent="0.25"/>
    <row r="48084" s="12" customFormat="1" x14ac:dyDescent="0.25"/>
    <row r="48085" s="12" customFormat="1" x14ac:dyDescent="0.25"/>
    <row r="48086" s="12" customFormat="1" x14ac:dyDescent="0.25"/>
    <row r="48087" s="12" customFormat="1" x14ac:dyDescent="0.25"/>
    <row r="48088" s="12" customFormat="1" x14ac:dyDescent="0.25"/>
    <row r="48089" s="12" customFormat="1" x14ac:dyDescent="0.25"/>
    <row r="48090" s="12" customFormat="1" x14ac:dyDescent="0.25"/>
    <row r="48091" s="12" customFormat="1" x14ac:dyDescent="0.25"/>
    <row r="48092" s="12" customFormat="1" x14ac:dyDescent="0.25"/>
    <row r="48093" s="12" customFormat="1" x14ac:dyDescent="0.25"/>
    <row r="48094" s="12" customFormat="1" x14ac:dyDescent="0.25"/>
    <row r="48095" s="12" customFormat="1" x14ac:dyDescent="0.25"/>
    <row r="48096" s="12" customFormat="1" x14ac:dyDescent="0.25"/>
    <row r="48097" s="12" customFormat="1" x14ac:dyDescent="0.25"/>
    <row r="48098" s="12" customFormat="1" x14ac:dyDescent="0.25"/>
    <row r="48099" s="12" customFormat="1" x14ac:dyDescent="0.25"/>
    <row r="48100" s="12" customFormat="1" x14ac:dyDescent="0.25"/>
    <row r="48101" s="12" customFormat="1" x14ac:dyDescent="0.25"/>
    <row r="48102" s="12" customFormat="1" x14ac:dyDescent="0.25"/>
    <row r="48103" s="12" customFormat="1" x14ac:dyDescent="0.25"/>
    <row r="48104" s="12" customFormat="1" x14ac:dyDescent="0.25"/>
    <row r="48105" s="12" customFormat="1" x14ac:dyDescent="0.25"/>
    <row r="48106" s="12" customFormat="1" x14ac:dyDescent="0.25"/>
    <row r="48107" s="12" customFormat="1" x14ac:dyDescent="0.25"/>
    <row r="48108" s="12" customFormat="1" x14ac:dyDescent="0.25"/>
    <row r="48109" s="12" customFormat="1" x14ac:dyDescent="0.25"/>
    <row r="48110" s="12" customFormat="1" x14ac:dyDescent="0.25"/>
    <row r="48111" s="12" customFormat="1" x14ac:dyDescent="0.25"/>
    <row r="48112" s="12" customFormat="1" x14ac:dyDescent="0.25"/>
    <row r="48113" s="12" customFormat="1" x14ac:dyDescent="0.25"/>
    <row r="48114" s="12" customFormat="1" x14ac:dyDescent="0.25"/>
    <row r="48115" s="12" customFormat="1" x14ac:dyDescent="0.25"/>
    <row r="48116" s="12" customFormat="1" x14ac:dyDescent="0.25"/>
    <row r="48117" s="12" customFormat="1" x14ac:dyDescent="0.25"/>
    <row r="48118" s="12" customFormat="1" x14ac:dyDescent="0.25"/>
    <row r="48119" s="12" customFormat="1" x14ac:dyDescent="0.25"/>
    <row r="48120" s="12" customFormat="1" x14ac:dyDescent="0.25"/>
    <row r="48121" s="12" customFormat="1" x14ac:dyDescent="0.25"/>
    <row r="48122" s="12" customFormat="1" x14ac:dyDescent="0.25"/>
    <row r="48123" s="12" customFormat="1" x14ac:dyDescent="0.25"/>
    <row r="48124" s="12" customFormat="1" x14ac:dyDescent="0.25"/>
    <row r="48125" s="12" customFormat="1" x14ac:dyDescent="0.25"/>
    <row r="48126" s="12" customFormat="1" x14ac:dyDescent="0.25"/>
    <row r="48127" s="12" customFormat="1" x14ac:dyDescent="0.25"/>
    <row r="48128" s="12" customFormat="1" x14ac:dyDescent="0.25"/>
    <row r="48129" s="12" customFormat="1" x14ac:dyDescent="0.25"/>
    <row r="48130" s="12" customFormat="1" x14ac:dyDescent="0.25"/>
    <row r="48131" s="12" customFormat="1" x14ac:dyDescent="0.25"/>
    <row r="48132" s="12" customFormat="1" x14ac:dyDescent="0.25"/>
    <row r="48133" s="12" customFormat="1" x14ac:dyDescent="0.25"/>
    <row r="48134" s="12" customFormat="1" x14ac:dyDescent="0.25"/>
    <row r="48135" s="12" customFormat="1" x14ac:dyDescent="0.25"/>
    <row r="48136" s="12" customFormat="1" x14ac:dyDescent="0.25"/>
    <row r="48137" s="12" customFormat="1" x14ac:dyDescent="0.25"/>
    <row r="48138" s="12" customFormat="1" x14ac:dyDescent="0.25"/>
    <row r="48139" s="12" customFormat="1" x14ac:dyDescent="0.25"/>
    <row r="48140" s="12" customFormat="1" x14ac:dyDescent="0.25"/>
    <row r="48141" s="12" customFormat="1" x14ac:dyDescent="0.25"/>
    <row r="48142" s="12" customFormat="1" x14ac:dyDescent="0.25"/>
    <row r="48143" s="12" customFormat="1" x14ac:dyDescent="0.25"/>
    <row r="48144" s="12" customFormat="1" x14ac:dyDescent="0.25"/>
    <row r="48145" s="12" customFormat="1" x14ac:dyDescent="0.25"/>
    <row r="48146" s="12" customFormat="1" x14ac:dyDescent="0.25"/>
    <row r="48147" s="12" customFormat="1" x14ac:dyDescent="0.25"/>
    <row r="48148" s="12" customFormat="1" x14ac:dyDescent="0.25"/>
    <row r="48149" s="12" customFormat="1" x14ac:dyDescent="0.25"/>
    <row r="48150" s="12" customFormat="1" x14ac:dyDescent="0.25"/>
    <row r="48151" s="12" customFormat="1" x14ac:dyDescent="0.25"/>
    <row r="48152" s="12" customFormat="1" x14ac:dyDescent="0.25"/>
    <row r="48153" s="12" customFormat="1" x14ac:dyDescent="0.25"/>
    <row r="48154" s="12" customFormat="1" x14ac:dyDescent="0.25"/>
    <row r="48155" s="12" customFormat="1" x14ac:dyDescent="0.25"/>
    <row r="48156" s="12" customFormat="1" x14ac:dyDescent="0.25"/>
    <row r="48157" s="12" customFormat="1" x14ac:dyDescent="0.25"/>
    <row r="48158" s="12" customFormat="1" x14ac:dyDescent="0.25"/>
    <row r="48159" s="12" customFormat="1" x14ac:dyDescent="0.25"/>
    <row r="48160" s="12" customFormat="1" x14ac:dyDescent="0.25"/>
    <row r="48161" s="12" customFormat="1" x14ac:dyDescent="0.25"/>
    <row r="48162" s="12" customFormat="1" x14ac:dyDescent="0.25"/>
    <row r="48163" s="12" customFormat="1" x14ac:dyDescent="0.25"/>
    <row r="48164" s="12" customFormat="1" x14ac:dyDescent="0.25"/>
    <row r="48165" s="12" customFormat="1" x14ac:dyDescent="0.25"/>
    <row r="48166" s="12" customFormat="1" x14ac:dyDescent="0.25"/>
    <row r="48167" s="12" customFormat="1" x14ac:dyDescent="0.25"/>
    <row r="48168" s="12" customFormat="1" x14ac:dyDescent="0.25"/>
    <row r="48169" s="12" customFormat="1" x14ac:dyDescent="0.25"/>
    <row r="48170" s="12" customFormat="1" x14ac:dyDescent="0.25"/>
    <row r="48171" s="12" customFormat="1" x14ac:dyDescent="0.25"/>
    <row r="48172" s="12" customFormat="1" x14ac:dyDescent="0.25"/>
    <row r="48173" s="12" customFormat="1" x14ac:dyDescent="0.25"/>
    <row r="48174" s="12" customFormat="1" x14ac:dyDescent="0.25"/>
    <row r="48175" s="12" customFormat="1" x14ac:dyDescent="0.25"/>
    <row r="48176" s="12" customFormat="1" x14ac:dyDescent="0.25"/>
    <row r="48177" s="12" customFormat="1" x14ac:dyDescent="0.25"/>
    <row r="48178" s="12" customFormat="1" x14ac:dyDescent="0.25"/>
    <row r="48179" s="12" customFormat="1" x14ac:dyDescent="0.25"/>
    <row r="48180" s="12" customFormat="1" x14ac:dyDescent="0.25"/>
    <row r="48181" s="12" customFormat="1" x14ac:dyDescent="0.25"/>
    <row r="48182" s="12" customFormat="1" x14ac:dyDescent="0.25"/>
    <row r="48183" s="12" customFormat="1" x14ac:dyDescent="0.25"/>
    <row r="48184" s="12" customFormat="1" x14ac:dyDescent="0.25"/>
    <row r="48185" s="12" customFormat="1" x14ac:dyDescent="0.25"/>
    <row r="48186" s="12" customFormat="1" x14ac:dyDescent="0.25"/>
    <row r="48187" s="12" customFormat="1" x14ac:dyDescent="0.25"/>
    <row r="48188" s="12" customFormat="1" x14ac:dyDescent="0.25"/>
    <row r="48189" s="12" customFormat="1" x14ac:dyDescent="0.25"/>
    <row r="48190" s="12" customFormat="1" x14ac:dyDescent="0.25"/>
    <row r="48191" s="12" customFormat="1" x14ac:dyDescent="0.25"/>
    <row r="48192" s="12" customFormat="1" x14ac:dyDescent="0.25"/>
    <row r="48193" s="12" customFormat="1" x14ac:dyDescent="0.25"/>
    <row r="48194" s="12" customFormat="1" x14ac:dyDescent="0.25"/>
    <row r="48195" s="12" customFormat="1" x14ac:dyDescent="0.25"/>
    <row r="48196" s="12" customFormat="1" x14ac:dyDescent="0.25"/>
    <row r="48197" s="12" customFormat="1" x14ac:dyDescent="0.25"/>
    <row r="48198" s="12" customFormat="1" x14ac:dyDescent="0.25"/>
    <row r="48199" s="12" customFormat="1" x14ac:dyDescent="0.25"/>
    <row r="48200" s="12" customFormat="1" x14ac:dyDescent="0.25"/>
    <row r="48201" s="12" customFormat="1" x14ac:dyDescent="0.25"/>
    <row r="48202" s="12" customFormat="1" x14ac:dyDescent="0.25"/>
    <row r="48203" s="12" customFormat="1" x14ac:dyDescent="0.25"/>
    <row r="48204" s="12" customFormat="1" x14ac:dyDescent="0.25"/>
    <row r="48205" s="12" customFormat="1" x14ac:dyDescent="0.25"/>
    <row r="48206" s="12" customFormat="1" x14ac:dyDescent="0.25"/>
    <row r="48207" s="12" customFormat="1" x14ac:dyDescent="0.25"/>
    <row r="48208" s="12" customFormat="1" x14ac:dyDescent="0.25"/>
    <row r="48209" s="12" customFormat="1" x14ac:dyDescent="0.25"/>
    <row r="48210" s="12" customFormat="1" x14ac:dyDescent="0.25"/>
    <row r="48211" s="12" customFormat="1" x14ac:dyDescent="0.25"/>
    <row r="48212" s="12" customFormat="1" x14ac:dyDescent="0.25"/>
    <row r="48213" s="12" customFormat="1" x14ac:dyDescent="0.25"/>
    <row r="48214" s="12" customFormat="1" x14ac:dyDescent="0.25"/>
    <row r="48215" s="12" customFormat="1" x14ac:dyDescent="0.25"/>
    <row r="48216" s="12" customFormat="1" x14ac:dyDescent="0.25"/>
    <row r="48217" s="12" customFormat="1" x14ac:dyDescent="0.25"/>
    <row r="48218" s="12" customFormat="1" x14ac:dyDescent="0.25"/>
    <row r="48219" s="12" customFormat="1" x14ac:dyDescent="0.25"/>
    <row r="48220" s="12" customFormat="1" x14ac:dyDescent="0.25"/>
    <row r="48221" s="12" customFormat="1" x14ac:dyDescent="0.25"/>
    <row r="48222" s="12" customFormat="1" x14ac:dyDescent="0.25"/>
    <row r="48223" s="12" customFormat="1" x14ac:dyDescent="0.25"/>
    <row r="48224" s="12" customFormat="1" x14ac:dyDescent="0.25"/>
    <row r="48225" s="12" customFormat="1" x14ac:dyDescent="0.25"/>
    <row r="48226" s="12" customFormat="1" x14ac:dyDescent="0.25"/>
    <row r="48227" s="12" customFormat="1" x14ac:dyDescent="0.25"/>
    <row r="48228" s="12" customFormat="1" x14ac:dyDescent="0.25"/>
    <row r="48229" s="12" customFormat="1" x14ac:dyDescent="0.25"/>
    <row r="48230" s="12" customFormat="1" x14ac:dyDescent="0.25"/>
    <row r="48231" s="12" customFormat="1" x14ac:dyDescent="0.25"/>
    <row r="48232" s="12" customFormat="1" x14ac:dyDescent="0.25"/>
    <row r="48233" s="12" customFormat="1" x14ac:dyDescent="0.25"/>
    <row r="48234" s="12" customFormat="1" x14ac:dyDescent="0.25"/>
    <row r="48235" s="12" customFormat="1" x14ac:dyDescent="0.25"/>
    <row r="48236" s="12" customFormat="1" x14ac:dyDescent="0.25"/>
    <row r="48237" s="12" customFormat="1" x14ac:dyDescent="0.25"/>
    <row r="48238" s="12" customFormat="1" x14ac:dyDescent="0.25"/>
    <row r="48239" s="12" customFormat="1" x14ac:dyDescent="0.25"/>
    <row r="48240" s="12" customFormat="1" x14ac:dyDescent="0.25"/>
    <row r="48241" s="12" customFormat="1" x14ac:dyDescent="0.25"/>
    <row r="48242" s="12" customFormat="1" x14ac:dyDescent="0.25"/>
    <row r="48243" s="12" customFormat="1" x14ac:dyDescent="0.25"/>
    <row r="48244" s="12" customFormat="1" x14ac:dyDescent="0.25"/>
    <row r="48245" s="12" customFormat="1" x14ac:dyDescent="0.25"/>
    <row r="48246" s="12" customFormat="1" x14ac:dyDescent="0.25"/>
    <row r="48247" s="12" customFormat="1" x14ac:dyDescent="0.25"/>
    <row r="48248" s="12" customFormat="1" x14ac:dyDescent="0.25"/>
    <row r="48249" s="12" customFormat="1" x14ac:dyDescent="0.25"/>
    <row r="48250" s="12" customFormat="1" x14ac:dyDescent="0.25"/>
    <row r="48251" s="12" customFormat="1" x14ac:dyDescent="0.25"/>
    <row r="48252" s="12" customFormat="1" x14ac:dyDescent="0.25"/>
    <row r="48253" s="12" customFormat="1" x14ac:dyDescent="0.25"/>
    <row r="48254" s="12" customFormat="1" x14ac:dyDescent="0.25"/>
    <row r="48255" s="12" customFormat="1" x14ac:dyDescent="0.25"/>
    <row r="48256" s="12" customFormat="1" x14ac:dyDescent="0.25"/>
    <row r="48257" s="12" customFormat="1" x14ac:dyDescent="0.25"/>
    <row r="48258" s="12" customFormat="1" x14ac:dyDescent="0.25"/>
    <row r="48259" s="12" customFormat="1" x14ac:dyDescent="0.25"/>
    <row r="48260" s="12" customFormat="1" x14ac:dyDescent="0.25"/>
    <row r="48261" s="12" customFormat="1" x14ac:dyDescent="0.25"/>
    <row r="48262" s="12" customFormat="1" x14ac:dyDescent="0.25"/>
    <row r="48263" s="12" customFormat="1" x14ac:dyDescent="0.25"/>
    <row r="48264" s="12" customFormat="1" x14ac:dyDescent="0.25"/>
    <row r="48265" s="12" customFormat="1" x14ac:dyDescent="0.25"/>
    <row r="48266" s="12" customFormat="1" x14ac:dyDescent="0.25"/>
    <row r="48267" s="12" customFormat="1" x14ac:dyDescent="0.25"/>
    <row r="48268" s="12" customFormat="1" x14ac:dyDescent="0.25"/>
    <row r="48269" s="12" customFormat="1" x14ac:dyDescent="0.25"/>
    <row r="48270" s="12" customFormat="1" x14ac:dyDescent="0.25"/>
    <row r="48271" s="12" customFormat="1" x14ac:dyDescent="0.25"/>
    <row r="48272" s="12" customFormat="1" x14ac:dyDescent="0.25"/>
    <row r="48273" s="12" customFormat="1" x14ac:dyDescent="0.25"/>
    <row r="48274" s="12" customFormat="1" x14ac:dyDescent="0.25"/>
    <row r="48275" s="12" customFormat="1" x14ac:dyDescent="0.25"/>
    <row r="48276" s="12" customFormat="1" x14ac:dyDescent="0.25"/>
    <row r="48277" s="12" customFormat="1" x14ac:dyDescent="0.25"/>
    <row r="48278" s="12" customFormat="1" x14ac:dyDescent="0.25"/>
    <row r="48279" s="12" customFormat="1" x14ac:dyDescent="0.25"/>
    <row r="48280" s="12" customFormat="1" x14ac:dyDescent="0.25"/>
    <row r="48281" s="12" customFormat="1" x14ac:dyDescent="0.25"/>
    <row r="48282" s="12" customFormat="1" x14ac:dyDescent="0.25"/>
    <row r="48283" s="12" customFormat="1" x14ac:dyDescent="0.25"/>
    <row r="48284" s="12" customFormat="1" x14ac:dyDescent="0.25"/>
    <row r="48285" s="12" customFormat="1" x14ac:dyDescent="0.25"/>
    <row r="48286" s="12" customFormat="1" x14ac:dyDescent="0.25"/>
    <row r="48287" s="12" customFormat="1" x14ac:dyDescent="0.25"/>
    <row r="48288" s="12" customFormat="1" x14ac:dyDescent="0.25"/>
    <row r="48289" s="12" customFormat="1" x14ac:dyDescent="0.25"/>
    <row r="48290" s="12" customFormat="1" x14ac:dyDescent="0.25"/>
    <row r="48291" s="12" customFormat="1" x14ac:dyDescent="0.25"/>
    <row r="48292" s="12" customFormat="1" x14ac:dyDescent="0.25"/>
    <row r="48293" s="12" customFormat="1" x14ac:dyDescent="0.25"/>
    <row r="48294" s="12" customFormat="1" x14ac:dyDescent="0.25"/>
    <row r="48295" s="12" customFormat="1" x14ac:dyDescent="0.25"/>
    <row r="48296" s="12" customFormat="1" x14ac:dyDescent="0.25"/>
    <row r="48297" s="12" customFormat="1" x14ac:dyDescent="0.25"/>
    <row r="48298" s="12" customFormat="1" x14ac:dyDescent="0.25"/>
    <row r="48299" s="12" customFormat="1" x14ac:dyDescent="0.25"/>
    <row r="48300" s="12" customFormat="1" x14ac:dyDescent="0.25"/>
    <row r="48301" s="12" customFormat="1" x14ac:dyDescent="0.25"/>
    <row r="48302" s="12" customFormat="1" x14ac:dyDescent="0.25"/>
    <row r="48303" s="12" customFormat="1" x14ac:dyDescent="0.25"/>
    <row r="48304" s="12" customFormat="1" x14ac:dyDescent="0.25"/>
    <row r="48305" s="12" customFormat="1" x14ac:dyDescent="0.25"/>
    <row r="48306" s="12" customFormat="1" x14ac:dyDescent="0.25"/>
    <row r="48307" s="12" customFormat="1" x14ac:dyDescent="0.25"/>
    <row r="48308" s="12" customFormat="1" x14ac:dyDescent="0.25"/>
    <row r="48309" s="12" customFormat="1" x14ac:dyDescent="0.25"/>
    <row r="48310" s="12" customFormat="1" x14ac:dyDescent="0.25"/>
    <row r="48311" s="12" customFormat="1" x14ac:dyDescent="0.25"/>
    <row r="48312" s="12" customFormat="1" x14ac:dyDescent="0.25"/>
    <row r="48313" s="12" customFormat="1" x14ac:dyDescent="0.25"/>
    <row r="48314" s="12" customFormat="1" x14ac:dyDescent="0.25"/>
    <row r="48315" s="12" customFormat="1" x14ac:dyDescent="0.25"/>
    <row r="48316" s="12" customFormat="1" x14ac:dyDescent="0.25"/>
    <row r="48317" s="12" customFormat="1" x14ac:dyDescent="0.25"/>
    <row r="48318" s="12" customFormat="1" x14ac:dyDescent="0.25"/>
    <row r="48319" s="12" customFormat="1" x14ac:dyDescent="0.25"/>
    <row r="48320" s="12" customFormat="1" x14ac:dyDescent="0.25"/>
    <row r="48321" s="12" customFormat="1" x14ac:dyDescent="0.25"/>
    <row r="48322" s="12" customFormat="1" x14ac:dyDescent="0.25"/>
    <row r="48323" s="12" customFormat="1" x14ac:dyDescent="0.25"/>
    <row r="48324" s="12" customFormat="1" x14ac:dyDescent="0.25"/>
    <row r="48325" s="12" customFormat="1" x14ac:dyDescent="0.25"/>
    <row r="48326" s="12" customFormat="1" x14ac:dyDescent="0.25"/>
    <row r="48327" s="12" customFormat="1" x14ac:dyDescent="0.25"/>
    <row r="48328" s="12" customFormat="1" x14ac:dyDescent="0.25"/>
    <row r="48329" s="12" customFormat="1" x14ac:dyDescent="0.25"/>
    <row r="48330" s="12" customFormat="1" x14ac:dyDescent="0.25"/>
    <row r="48331" s="12" customFormat="1" x14ac:dyDescent="0.25"/>
    <row r="48332" s="12" customFormat="1" x14ac:dyDescent="0.25"/>
    <row r="48333" s="12" customFormat="1" x14ac:dyDescent="0.25"/>
    <row r="48334" s="12" customFormat="1" x14ac:dyDescent="0.25"/>
    <row r="48335" s="12" customFormat="1" x14ac:dyDescent="0.25"/>
    <row r="48336" s="12" customFormat="1" x14ac:dyDescent="0.25"/>
    <row r="48337" s="12" customFormat="1" x14ac:dyDescent="0.25"/>
    <row r="48338" s="12" customFormat="1" x14ac:dyDescent="0.25"/>
    <row r="48339" s="12" customFormat="1" x14ac:dyDescent="0.25"/>
    <row r="48340" s="12" customFormat="1" x14ac:dyDescent="0.25"/>
    <row r="48341" s="12" customFormat="1" x14ac:dyDescent="0.25"/>
    <row r="48342" s="12" customFormat="1" x14ac:dyDescent="0.25"/>
    <row r="48343" s="12" customFormat="1" x14ac:dyDescent="0.25"/>
    <row r="48344" s="12" customFormat="1" x14ac:dyDescent="0.25"/>
    <row r="48345" s="12" customFormat="1" x14ac:dyDescent="0.25"/>
    <row r="48346" s="12" customFormat="1" x14ac:dyDescent="0.25"/>
    <row r="48347" s="12" customFormat="1" x14ac:dyDescent="0.25"/>
    <row r="48348" s="12" customFormat="1" x14ac:dyDescent="0.25"/>
    <row r="48349" s="12" customFormat="1" x14ac:dyDescent="0.25"/>
    <row r="48350" s="12" customFormat="1" x14ac:dyDescent="0.25"/>
    <row r="48351" s="12" customFormat="1" x14ac:dyDescent="0.25"/>
    <row r="48352" s="12" customFormat="1" x14ac:dyDescent="0.25"/>
    <row r="48353" s="12" customFormat="1" x14ac:dyDescent="0.25"/>
    <row r="48354" s="12" customFormat="1" x14ac:dyDescent="0.25"/>
    <row r="48355" s="12" customFormat="1" x14ac:dyDescent="0.25"/>
    <row r="48356" s="12" customFormat="1" x14ac:dyDescent="0.25"/>
    <row r="48357" s="12" customFormat="1" x14ac:dyDescent="0.25"/>
    <row r="48358" s="12" customFormat="1" x14ac:dyDescent="0.25"/>
    <row r="48359" s="12" customFormat="1" x14ac:dyDescent="0.25"/>
    <row r="48360" s="12" customFormat="1" x14ac:dyDescent="0.25"/>
    <row r="48361" s="12" customFormat="1" x14ac:dyDescent="0.25"/>
    <row r="48362" s="12" customFormat="1" x14ac:dyDescent="0.25"/>
    <row r="48363" s="12" customFormat="1" x14ac:dyDescent="0.25"/>
    <row r="48364" s="12" customFormat="1" x14ac:dyDescent="0.25"/>
    <row r="48365" s="12" customFormat="1" x14ac:dyDescent="0.25"/>
    <row r="48366" s="12" customFormat="1" x14ac:dyDescent="0.25"/>
    <row r="48367" s="12" customFormat="1" x14ac:dyDescent="0.25"/>
    <row r="48368" s="12" customFormat="1" x14ac:dyDescent="0.25"/>
    <row r="48369" s="12" customFormat="1" x14ac:dyDescent="0.25"/>
    <row r="48370" s="12" customFormat="1" x14ac:dyDescent="0.25"/>
    <row r="48371" s="12" customFormat="1" x14ac:dyDescent="0.25"/>
    <row r="48372" s="12" customFormat="1" x14ac:dyDescent="0.25"/>
    <row r="48373" s="12" customFormat="1" x14ac:dyDescent="0.25"/>
    <row r="48374" s="12" customFormat="1" x14ac:dyDescent="0.25"/>
    <row r="48375" s="12" customFormat="1" x14ac:dyDescent="0.25"/>
    <row r="48376" s="12" customFormat="1" x14ac:dyDescent="0.25"/>
    <row r="48377" s="12" customFormat="1" x14ac:dyDescent="0.25"/>
    <row r="48378" s="12" customFormat="1" x14ac:dyDescent="0.25"/>
    <row r="48379" s="12" customFormat="1" x14ac:dyDescent="0.25"/>
    <row r="48380" s="12" customFormat="1" x14ac:dyDescent="0.25"/>
    <row r="48381" s="12" customFormat="1" x14ac:dyDescent="0.25"/>
    <row r="48382" s="12" customFormat="1" x14ac:dyDescent="0.25"/>
    <row r="48383" s="12" customFormat="1" x14ac:dyDescent="0.25"/>
    <row r="48384" s="12" customFormat="1" x14ac:dyDescent="0.25"/>
    <row r="48385" s="12" customFormat="1" x14ac:dyDescent="0.25"/>
    <row r="48386" s="12" customFormat="1" x14ac:dyDescent="0.25"/>
    <row r="48387" s="12" customFormat="1" x14ac:dyDescent="0.25"/>
    <row r="48388" s="12" customFormat="1" x14ac:dyDescent="0.25"/>
    <row r="48389" s="12" customFormat="1" x14ac:dyDescent="0.25"/>
    <row r="48390" s="12" customFormat="1" x14ac:dyDescent="0.25"/>
    <row r="48391" s="12" customFormat="1" x14ac:dyDescent="0.25"/>
    <row r="48392" s="12" customFormat="1" x14ac:dyDescent="0.25"/>
    <row r="48393" s="12" customFormat="1" x14ac:dyDescent="0.25"/>
    <row r="48394" s="12" customFormat="1" x14ac:dyDescent="0.25"/>
    <row r="48395" s="12" customFormat="1" x14ac:dyDescent="0.25"/>
    <row r="48396" s="12" customFormat="1" x14ac:dyDescent="0.25"/>
    <row r="48397" s="12" customFormat="1" x14ac:dyDescent="0.25"/>
    <row r="48398" s="12" customFormat="1" x14ac:dyDescent="0.25"/>
    <row r="48399" s="12" customFormat="1" x14ac:dyDescent="0.25"/>
    <row r="48400" s="12" customFormat="1" x14ac:dyDescent="0.25"/>
    <row r="48401" s="12" customFormat="1" x14ac:dyDescent="0.25"/>
    <row r="48402" s="12" customFormat="1" x14ac:dyDescent="0.25"/>
    <row r="48403" s="12" customFormat="1" x14ac:dyDescent="0.25"/>
    <row r="48404" s="12" customFormat="1" x14ac:dyDescent="0.25"/>
    <row r="48405" s="12" customFormat="1" x14ac:dyDescent="0.25"/>
    <row r="48406" s="12" customFormat="1" x14ac:dyDescent="0.25"/>
    <row r="48407" s="12" customFormat="1" x14ac:dyDescent="0.25"/>
    <row r="48408" s="12" customFormat="1" x14ac:dyDescent="0.25"/>
    <row r="48409" s="12" customFormat="1" x14ac:dyDescent="0.25"/>
    <row r="48410" s="12" customFormat="1" x14ac:dyDescent="0.25"/>
    <row r="48411" s="12" customFormat="1" x14ac:dyDescent="0.25"/>
    <row r="48412" s="12" customFormat="1" x14ac:dyDescent="0.25"/>
    <row r="48413" s="12" customFormat="1" x14ac:dyDescent="0.25"/>
    <row r="48414" s="12" customFormat="1" x14ac:dyDescent="0.25"/>
    <row r="48415" s="12" customFormat="1" x14ac:dyDescent="0.25"/>
    <row r="48416" s="12" customFormat="1" x14ac:dyDescent="0.25"/>
    <row r="48417" s="12" customFormat="1" x14ac:dyDescent="0.25"/>
    <row r="48418" s="12" customFormat="1" x14ac:dyDescent="0.25"/>
    <row r="48419" s="12" customFormat="1" x14ac:dyDescent="0.25"/>
    <row r="48420" s="12" customFormat="1" x14ac:dyDescent="0.25"/>
    <row r="48421" s="12" customFormat="1" x14ac:dyDescent="0.25"/>
    <row r="48422" s="12" customFormat="1" x14ac:dyDescent="0.25"/>
    <row r="48423" s="12" customFormat="1" x14ac:dyDescent="0.25"/>
    <row r="48424" s="12" customFormat="1" x14ac:dyDescent="0.25"/>
    <row r="48425" s="12" customFormat="1" x14ac:dyDescent="0.25"/>
    <row r="48426" s="12" customFormat="1" x14ac:dyDescent="0.25"/>
    <row r="48427" s="12" customFormat="1" x14ac:dyDescent="0.25"/>
    <row r="48428" s="12" customFormat="1" x14ac:dyDescent="0.25"/>
    <row r="48429" s="12" customFormat="1" x14ac:dyDescent="0.25"/>
    <row r="48430" s="12" customFormat="1" x14ac:dyDescent="0.25"/>
    <row r="48431" s="12" customFormat="1" x14ac:dyDescent="0.25"/>
    <row r="48432" s="12" customFormat="1" x14ac:dyDescent="0.25"/>
    <row r="48433" s="12" customFormat="1" x14ac:dyDescent="0.25"/>
    <row r="48434" s="12" customFormat="1" x14ac:dyDescent="0.25"/>
    <row r="48435" s="12" customFormat="1" x14ac:dyDescent="0.25"/>
    <row r="48436" s="12" customFormat="1" x14ac:dyDescent="0.25"/>
    <row r="48437" s="12" customFormat="1" x14ac:dyDescent="0.25"/>
    <row r="48438" s="12" customFormat="1" x14ac:dyDescent="0.25"/>
    <row r="48439" s="12" customFormat="1" x14ac:dyDescent="0.25"/>
    <row r="48440" s="12" customFormat="1" x14ac:dyDescent="0.25"/>
    <row r="48441" s="12" customFormat="1" x14ac:dyDescent="0.25"/>
    <row r="48442" s="12" customFormat="1" x14ac:dyDescent="0.25"/>
    <row r="48443" s="12" customFormat="1" x14ac:dyDescent="0.25"/>
    <row r="48444" s="12" customFormat="1" x14ac:dyDescent="0.25"/>
    <row r="48445" s="12" customFormat="1" x14ac:dyDescent="0.25"/>
    <row r="48446" s="12" customFormat="1" x14ac:dyDescent="0.25"/>
    <row r="48447" s="12" customFormat="1" x14ac:dyDescent="0.25"/>
    <row r="48448" s="12" customFormat="1" x14ac:dyDescent="0.25"/>
    <row r="48449" s="12" customFormat="1" x14ac:dyDescent="0.25"/>
    <row r="48450" s="12" customFormat="1" x14ac:dyDescent="0.25"/>
    <row r="48451" s="12" customFormat="1" x14ac:dyDescent="0.25"/>
    <row r="48452" s="12" customFormat="1" x14ac:dyDescent="0.25"/>
    <row r="48453" s="12" customFormat="1" x14ac:dyDescent="0.25"/>
    <row r="48454" s="12" customFormat="1" x14ac:dyDescent="0.25"/>
    <row r="48455" s="12" customFormat="1" x14ac:dyDescent="0.25"/>
    <row r="48456" s="12" customFormat="1" x14ac:dyDescent="0.25"/>
    <row r="48457" s="12" customFormat="1" x14ac:dyDescent="0.25"/>
    <row r="48458" s="12" customFormat="1" x14ac:dyDescent="0.25"/>
    <row r="48459" s="12" customFormat="1" x14ac:dyDescent="0.25"/>
    <row r="48460" s="12" customFormat="1" x14ac:dyDescent="0.25"/>
    <row r="48461" s="12" customFormat="1" x14ac:dyDescent="0.25"/>
    <row r="48462" s="12" customFormat="1" x14ac:dyDescent="0.25"/>
    <row r="48463" s="12" customFormat="1" x14ac:dyDescent="0.25"/>
    <row r="48464" s="12" customFormat="1" x14ac:dyDescent="0.25"/>
    <row r="48465" s="12" customFormat="1" x14ac:dyDescent="0.25"/>
    <row r="48466" s="12" customFormat="1" x14ac:dyDescent="0.25"/>
    <row r="48467" s="12" customFormat="1" x14ac:dyDescent="0.25"/>
    <row r="48468" s="12" customFormat="1" x14ac:dyDescent="0.25"/>
    <row r="48469" s="12" customFormat="1" x14ac:dyDescent="0.25"/>
    <row r="48470" s="12" customFormat="1" x14ac:dyDescent="0.25"/>
    <row r="48471" s="12" customFormat="1" x14ac:dyDescent="0.25"/>
    <row r="48472" s="12" customFormat="1" x14ac:dyDescent="0.25"/>
    <row r="48473" s="12" customFormat="1" x14ac:dyDescent="0.25"/>
    <row r="48474" s="12" customFormat="1" x14ac:dyDescent="0.25"/>
    <row r="48475" s="12" customFormat="1" x14ac:dyDescent="0.25"/>
    <row r="48476" s="12" customFormat="1" x14ac:dyDescent="0.25"/>
    <row r="48477" s="12" customFormat="1" x14ac:dyDescent="0.25"/>
    <row r="48478" s="12" customFormat="1" x14ac:dyDescent="0.25"/>
    <row r="48479" s="12" customFormat="1" x14ac:dyDescent="0.25"/>
    <row r="48480" s="12" customFormat="1" x14ac:dyDescent="0.25"/>
    <row r="48481" s="12" customFormat="1" x14ac:dyDescent="0.25"/>
    <row r="48482" s="12" customFormat="1" x14ac:dyDescent="0.25"/>
    <row r="48483" s="12" customFormat="1" x14ac:dyDescent="0.25"/>
    <row r="48484" s="12" customFormat="1" x14ac:dyDescent="0.25"/>
    <row r="48485" s="12" customFormat="1" x14ac:dyDescent="0.25"/>
    <row r="48486" s="12" customFormat="1" x14ac:dyDescent="0.25"/>
    <row r="48487" s="12" customFormat="1" x14ac:dyDescent="0.25"/>
    <row r="48488" s="12" customFormat="1" x14ac:dyDescent="0.25"/>
    <row r="48489" s="12" customFormat="1" x14ac:dyDescent="0.25"/>
    <row r="48490" s="12" customFormat="1" x14ac:dyDescent="0.25"/>
    <row r="48491" s="12" customFormat="1" x14ac:dyDescent="0.25"/>
    <row r="48492" s="12" customFormat="1" x14ac:dyDescent="0.25"/>
    <row r="48493" s="12" customFormat="1" x14ac:dyDescent="0.25"/>
    <row r="48494" s="12" customFormat="1" x14ac:dyDescent="0.25"/>
    <row r="48495" s="12" customFormat="1" x14ac:dyDescent="0.25"/>
    <row r="48496" s="12" customFormat="1" x14ac:dyDescent="0.25"/>
    <row r="48497" s="12" customFormat="1" x14ac:dyDescent="0.25"/>
    <row r="48498" s="12" customFormat="1" x14ac:dyDescent="0.25"/>
    <row r="48499" s="12" customFormat="1" x14ac:dyDescent="0.25"/>
    <row r="48500" s="12" customFormat="1" x14ac:dyDescent="0.25"/>
    <row r="48501" s="12" customFormat="1" x14ac:dyDescent="0.25"/>
    <row r="48502" s="12" customFormat="1" x14ac:dyDescent="0.25"/>
    <row r="48503" s="12" customFormat="1" x14ac:dyDescent="0.25"/>
    <row r="48504" s="12" customFormat="1" x14ac:dyDescent="0.25"/>
    <row r="48505" s="12" customFormat="1" x14ac:dyDescent="0.25"/>
    <row r="48506" s="12" customFormat="1" x14ac:dyDescent="0.25"/>
    <row r="48507" s="12" customFormat="1" x14ac:dyDescent="0.25"/>
    <row r="48508" s="12" customFormat="1" x14ac:dyDescent="0.25"/>
    <row r="48509" s="12" customFormat="1" x14ac:dyDescent="0.25"/>
    <row r="48510" s="12" customFormat="1" x14ac:dyDescent="0.25"/>
    <row r="48511" s="12" customFormat="1" x14ac:dyDescent="0.25"/>
    <row r="48512" s="12" customFormat="1" x14ac:dyDescent="0.25"/>
    <row r="48513" s="12" customFormat="1" x14ac:dyDescent="0.25"/>
    <row r="48514" s="12" customFormat="1" x14ac:dyDescent="0.25"/>
    <row r="48515" s="12" customFormat="1" x14ac:dyDescent="0.25"/>
    <row r="48516" s="12" customFormat="1" x14ac:dyDescent="0.25"/>
    <row r="48517" s="12" customFormat="1" x14ac:dyDescent="0.25"/>
    <row r="48518" s="12" customFormat="1" x14ac:dyDescent="0.25"/>
    <row r="48519" s="12" customFormat="1" x14ac:dyDescent="0.25"/>
    <row r="48520" s="12" customFormat="1" x14ac:dyDescent="0.25"/>
    <row r="48521" s="12" customFormat="1" x14ac:dyDescent="0.25"/>
    <row r="48522" s="12" customFormat="1" x14ac:dyDescent="0.25"/>
    <row r="48523" s="12" customFormat="1" x14ac:dyDescent="0.25"/>
    <row r="48524" s="12" customFormat="1" x14ac:dyDescent="0.25"/>
    <row r="48525" s="12" customFormat="1" x14ac:dyDescent="0.25"/>
    <row r="48526" s="12" customFormat="1" x14ac:dyDescent="0.25"/>
    <row r="48527" s="12" customFormat="1" x14ac:dyDescent="0.25"/>
    <row r="48528" s="12" customFormat="1" x14ac:dyDescent="0.25"/>
    <row r="48529" s="12" customFormat="1" x14ac:dyDescent="0.25"/>
    <row r="48530" s="12" customFormat="1" x14ac:dyDescent="0.25"/>
    <row r="48531" s="12" customFormat="1" x14ac:dyDescent="0.25"/>
    <row r="48532" s="12" customFormat="1" x14ac:dyDescent="0.25"/>
    <row r="48533" s="12" customFormat="1" x14ac:dyDescent="0.25"/>
    <row r="48534" s="12" customFormat="1" x14ac:dyDescent="0.25"/>
    <row r="48535" s="12" customFormat="1" x14ac:dyDescent="0.25"/>
    <row r="48536" s="12" customFormat="1" x14ac:dyDescent="0.25"/>
    <row r="48537" s="12" customFormat="1" x14ac:dyDescent="0.25"/>
    <row r="48538" s="12" customFormat="1" x14ac:dyDescent="0.25"/>
    <row r="48539" s="12" customFormat="1" x14ac:dyDescent="0.25"/>
    <row r="48540" s="12" customFormat="1" x14ac:dyDescent="0.25"/>
    <row r="48541" s="12" customFormat="1" x14ac:dyDescent="0.25"/>
    <row r="48542" s="12" customFormat="1" x14ac:dyDescent="0.25"/>
    <row r="48543" s="12" customFormat="1" x14ac:dyDescent="0.25"/>
    <row r="48544" s="12" customFormat="1" x14ac:dyDescent="0.25"/>
    <row r="48545" s="12" customFormat="1" x14ac:dyDescent="0.25"/>
    <row r="48546" s="12" customFormat="1" x14ac:dyDescent="0.25"/>
    <row r="48547" s="12" customFormat="1" x14ac:dyDescent="0.25"/>
    <row r="48548" s="12" customFormat="1" x14ac:dyDescent="0.25"/>
    <row r="48549" s="12" customFormat="1" x14ac:dyDescent="0.25"/>
    <row r="48550" s="12" customFormat="1" x14ac:dyDescent="0.25"/>
    <row r="48551" s="12" customFormat="1" x14ac:dyDescent="0.25"/>
    <row r="48552" s="12" customFormat="1" x14ac:dyDescent="0.25"/>
    <row r="48553" s="12" customFormat="1" x14ac:dyDescent="0.25"/>
    <row r="48554" s="12" customFormat="1" x14ac:dyDescent="0.25"/>
    <row r="48555" s="12" customFormat="1" x14ac:dyDescent="0.25"/>
    <row r="48556" s="12" customFormat="1" x14ac:dyDescent="0.25"/>
    <row r="48557" s="12" customFormat="1" x14ac:dyDescent="0.25"/>
    <row r="48558" s="12" customFormat="1" x14ac:dyDescent="0.25"/>
    <row r="48559" s="12" customFormat="1" x14ac:dyDescent="0.25"/>
    <row r="48560" s="12" customFormat="1" x14ac:dyDescent="0.25"/>
    <row r="48561" s="12" customFormat="1" x14ac:dyDescent="0.25"/>
    <row r="48562" s="12" customFormat="1" x14ac:dyDescent="0.25"/>
    <row r="48563" s="12" customFormat="1" x14ac:dyDescent="0.25"/>
    <row r="48564" s="12" customFormat="1" x14ac:dyDescent="0.25"/>
    <row r="48565" s="12" customFormat="1" x14ac:dyDescent="0.25"/>
    <row r="48566" s="12" customFormat="1" x14ac:dyDescent="0.25"/>
    <row r="48567" s="12" customFormat="1" x14ac:dyDescent="0.25"/>
    <row r="48568" s="12" customFormat="1" x14ac:dyDescent="0.25"/>
    <row r="48569" s="12" customFormat="1" x14ac:dyDescent="0.25"/>
    <row r="48570" s="12" customFormat="1" x14ac:dyDescent="0.25"/>
    <row r="48571" s="12" customFormat="1" x14ac:dyDescent="0.25"/>
    <row r="48572" s="12" customFormat="1" x14ac:dyDescent="0.25"/>
    <row r="48573" s="12" customFormat="1" x14ac:dyDescent="0.25"/>
    <row r="48574" s="12" customFormat="1" x14ac:dyDescent="0.25"/>
    <row r="48575" s="12" customFormat="1" x14ac:dyDescent="0.25"/>
    <row r="48576" s="12" customFormat="1" x14ac:dyDescent="0.25"/>
    <row r="48577" s="12" customFormat="1" x14ac:dyDescent="0.25"/>
    <row r="48578" s="12" customFormat="1" x14ac:dyDescent="0.25"/>
    <row r="48579" s="12" customFormat="1" x14ac:dyDescent="0.25"/>
    <row r="48580" s="12" customFormat="1" x14ac:dyDescent="0.25"/>
    <row r="48581" s="12" customFormat="1" x14ac:dyDescent="0.25"/>
    <row r="48582" s="12" customFormat="1" x14ac:dyDescent="0.25"/>
    <row r="48583" s="12" customFormat="1" x14ac:dyDescent="0.25"/>
    <row r="48584" s="12" customFormat="1" x14ac:dyDescent="0.25"/>
    <row r="48585" s="12" customFormat="1" x14ac:dyDescent="0.25"/>
    <row r="48586" s="12" customFormat="1" x14ac:dyDescent="0.25"/>
    <row r="48587" s="12" customFormat="1" x14ac:dyDescent="0.25"/>
    <row r="48588" s="12" customFormat="1" x14ac:dyDescent="0.25"/>
    <row r="48589" s="12" customFormat="1" x14ac:dyDescent="0.25"/>
    <row r="48590" s="12" customFormat="1" x14ac:dyDescent="0.25"/>
    <row r="48591" s="12" customFormat="1" x14ac:dyDescent="0.25"/>
    <row r="48592" s="12" customFormat="1" x14ac:dyDescent="0.25"/>
    <row r="48593" s="12" customFormat="1" x14ac:dyDescent="0.25"/>
    <row r="48594" s="12" customFormat="1" x14ac:dyDescent="0.25"/>
    <row r="48595" s="12" customFormat="1" x14ac:dyDescent="0.25"/>
    <row r="48596" s="12" customFormat="1" x14ac:dyDescent="0.25"/>
    <row r="48597" s="12" customFormat="1" x14ac:dyDescent="0.25"/>
    <row r="48598" s="12" customFormat="1" x14ac:dyDescent="0.25"/>
    <row r="48599" s="12" customFormat="1" x14ac:dyDescent="0.25"/>
    <row r="48600" s="12" customFormat="1" x14ac:dyDescent="0.25"/>
    <row r="48601" s="12" customFormat="1" x14ac:dyDescent="0.25"/>
    <row r="48602" s="12" customFormat="1" x14ac:dyDescent="0.25"/>
    <row r="48603" s="12" customFormat="1" x14ac:dyDescent="0.25"/>
    <row r="48604" s="12" customFormat="1" x14ac:dyDescent="0.25"/>
    <row r="48605" s="12" customFormat="1" x14ac:dyDescent="0.25"/>
    <row r="48606" s="12" customFormat="1" x14ac:dyDescent="0.25"/>
    <row r="48607" s="12" customFormat="1" x14ac:dyDescent="0.25"/>
    <row r="48608" s="12" customFormat="1" x14ac:dyDescent="0.25"/>
    <row r="48609" s="12" customFormat="1" x14ac:dyDescent="0.25"/>
    <row r="48610" s="12" customFormat="1" x14ac:dyDescent="0.25"/>
    <row r="48611" s="12" customFormat="1" x14ac:dyDescent="0.25"/>
    <row r="48612" s="12" customFormat="1" x14ac:dyDescent="0.25"/>
    <row r="48613" s="12" customFormat="1" x14ac:dyDescent="0.25"/>
    <row r="48614" s="12" customFormat="1" x14ac:dyDescent="0.25"/>
    <row r="48615" s="12" customFormat="1" x14ac:dyDescent="0.25"/>
    <row r="48616" s="12" customFormat="1" x14ac:dyDescent="0.25"/>
    <row r="48617" s="12" customFormat="1" x14ac:dyDescent="0.25"/>
    <row r="48618" s="12" customFormat="1" x14ac:dyDescent="0.25"/>
    <row r="48619" s="12" customFormat="1" x14ac:dyDescent="0.25"/>
    <row r="48620" s="12" customFormat="1" x14ac:dyDescent="0.25"/>
    <row r="48621" s="12" customFormat="1" x14ac:dyDescent="0.25"/>
    <row r="48622" s="12" customFormat="1" x14ac:dyDescent="0.25"/>
    <row r="48623" s="12" customFormat="1" x14ac:dyDescent="0.25"/>
    <row r="48624" s="12" customFormat="1" x14ac:dyDescent="0.25"/>
    <row r="48625" s="12" customFormat="1" x14ac:dyDescent="0.25"/>
    <row r="48626" s="12" customFormat="1" x14ac:dyDescent="0.25"/>
    <row r="48627" s="12" customFormat="1" x14ac:dyDescent="0.25"/>
    <row r="48628" s="12" customFormat="1" x14ac:dyDescent="0.25"/>
    <row r="48629" s="12" customFormat="1" x14ac:dyDescent="0.25"/>
    <row r="48630" s="12" customFormat="1" x14ac:dyDescent="0.25"/>
    <row r="48631" s="12" customFormat="1" x14ac:dyDescent="0.25"/>
    <row r="48632" s="12" customFormat="1" x14ac:dyDescent="0.25"/>
    <row r="48633" s="12" customFormat="1" x14ac:dyDescent="0.25"/>
    <row r="48634" s="12" customFormat="1" x14ac:dyDescent="0.25"/>
    <row r="48635" s="12" customFormat="1" x14ac:dyDescent="0.25"/>
    <row r="48636" s="12" customFormat="1" x14ac:dyDescent="0.25"/>
    <row r="48637" s="12" customFormat="1" x14ac:dyDescent="0.25"/>
    <row r="48638" s="12" customFormat="1" x14ac:dyDescent="0.25"/>
    <row r="48639" s="12" customFormat="1" x14ac:dyDescent="0.25"/>
    <row r="48640" s="12" customFormat="1" x14ac:dyDescent="0.25"/>
    <row r="48641" s="12" customFormat="1" x14ac:dyDescent="0.25"/>
    <row r="48642" s="12" customFormat="1" x14ac:dyDescent="0.25"/>
    <row r="48643" s="12" customFormat="1" x14ac:dyDescent="0.25"/>
    <row r="48644" s="12" customFormat="1" x14ac:dyDescent="0.25"/>
    <row r="48645" s="12" customFormat="1" x14ac:dyDescent="0.25"/>
    <row r="48646" s="12" customFormat="1" x14ac:dyDescent="0.25"/>
    <row r="48647" s="12" customFormat="1" x14ac:dyDescent="0.25"/>
    <row r="48648" s="12" customFormat="1" x14ac:dyDescent="0.25"/>
    <row r="48649" s="12" customFormat="1" x14ac:dyDescent="0.25"/>
    <row r="48650" s="12" customFormat="1" x14ac:dyDescent="0.25"/>
    <row r="48651" s="12" customFormat="1" x14ac:dyDescent="0.25"/>
    <row r="48652" s="12" customFormat="1" x14ac:dyDescent="0.25"/>
    <row r="48653" s="12" customFormat="1" x14ac:dyDescent="0.25"/>
    <row r="48654" s="12" customFormat="1" x14ac:dyDescent="0.25"/>
    <row r="48655" s="12" customFormat="1" x14ac:dyDescent="0.25"/>
    <row r="48656" s="12" customFormat="1" x14ac:dyDescent="0.25"/>
    <row r="48657" s="12" customFormat="1" x14ac:dyDescent="0.25"/>
    <row r="48658" s="12" customFormat="1" x14ac:dyDescent="0.25"/>
    <row r="48659" s="12" customFormat="1" x14ac:dyDescent="0.25"/>
    <row r="48660" s="12" customFormat="1" x14ac:dyDescent="0.25"/>
    <row r="48661" s="12" customFormat="1" x14ac:dyDescent="0.25"/>
    <row r="48662" s="12" customFormat="1" x14ac:dyDescent="0.25"/>
    <row r="48663" s="12" customFormat="1" x14ac:dyDescent="0.25"/>
    <row r="48664" s="12" customFormat="1" x14ac:dyDescent="0.25"/>
    <row r="48665" s="12" customFormat="1" x14ac:dyDescent="0.25"/>
    <row r="48666" s="12" customFormat="1" x14ac:dyDescent="0.25"/>
    <row r="48667" s="12" customFormat="1" x14ac:dyDescent="0.25"/>
    <row r="48668" s="12" customFormat="1" x14ac:dyDescent="0.25"/>
    <row r="48669" s="12" customFormat="1" x14ac:dyDescent="0.25"/>
    <row r="48670" s="12" customFormat="1" x14ac:dyDescent="0.25"/>
    <row r="48671" s="12" customFormat="1" x14ac:dyDescent="0.25"/>
    <row r="48672" s="12" customFormat="1" x14ac:dyDescent="0.25"/>
    <row r="48673" s="12" customFormat="1" x14ac:dyDescent="0.25"/>
    <row r="48674" s="12" customFormat="1" x14ac:dyDescent="0.25"/>
    <row r="48675" s="12" customFormat="1" x14ac:dyDescent="0.25"/>
    <row r="48676" s="12" customFormat="1" x14ac:dyDescent="0.25"/>
    <row r="48677" s="12" customFormat="1" x14ac:dyDescent="0.25"/>
    <row r="48678" s="12" customFormat="1" x14ac:dyDescent="0.25"/>
    <row r="48679" s="12" customFormat="1" x14ac:dyDescent="0.25"/>
    <row r="48680" s="12" customFormat="1" x14ac:dyDescent="0.25"/>
    <row r="48681" s="12" customFormat="1" x14ac:dyDescent="0.25"/>
    <row r="48682" s="12" customFormat="1" x14ac:dyDescent="0.25"/>
    <row r="48683" s="12" customFormat="1" x14ac:dyDescent="0.25"/>
    <row r="48684" s="12" customFormat="1" x14ac:dyDescent="0.25"/>
    <row r="48685" s="12" customFormat="1" x14ac:dyDescent="0.25"/>
    <row r="48686" s="12" customFormat="1" x14ac:dyDescent="0.25"/>
    <row r="48687" s="12" customFormat="1" x14ac:dyDescent="0.25"/>
    <row r="48688" s="12" customFormat="1" x14ac:dyDescent="0.25"/>
    <row r="48689" s="12" customFormat="1" x14ac:dyDescent="0.25"/>
    <row r="48690" s="12" customFormat="1" x14ac:dyDescent="0.25"/>
    <row r="48691" s="12" customFormat="1" x14ac:dyDescent="0.25"/>
    <row r="48692" s="12" customFormat="1" x14ac:dyDescent="0.25"/>
    <row r="48693" s="12" customFormat="1" x14ac:dyDescent="0.25"/>
    <row r="48694" s="12" customFormat="1" x14ac:dyDescent="0.25"/>
    <row r="48695" s="12" customFormat="1" x14ac:dyDescent="0.25"/>
    <row r="48696" s="12" customFormat="1" x14ac:dyDescent="0.25"/>
    <row r="48697" s="12" customFormat="1" x14ac:dyDescent="0.25"/>
    <row r="48698" s="12" customFormat="1" x14ac:dyDescent="0.25"/>
    <row r="48699" s="12" customFormat="1" x14ac:dyDescent="0.25"/>
    <row r="48700" s="12" customFormat="1" x14ac:dyDescent="0.25"/>
    <row r="48701" s="12" customFormat="1" x14ac:dyDescent="0.25"/>
    <row r="48702" s="12" customFormat="1" x14ac:dyDescent="0.25"/>
    <row r="48703" s="12" customFormat="1" x14ac:dyDescent="0.25"/>
    <row r="48704" s="12" customFormat="1" x14ac:dyDescent="0.25"/>
    <row r="48705" s="12" customFormat="1" x14ac:dyDescent="0.25"/>
    <row r="48706" s="12" customFormat="1" x14ac:dyDescent="0.25"/>
    <row r="48707" s="12" customFormat="1" x14ac:dyDescent="0.25"/>
    <row r="48708" s="12" customFormat="1" x14ac:dyDescent="0.25"/>
    <row r="48709" s="12" customFormat="1" x14ac:dyDescent="0.25"/>
    <row r="48710" s="12" customFormat="1" x14ac:dyDescent="0.25"/>
    <row r="48711" s="12" customFormat="1" x14ac:dyDescent="0.25"/>
    <row r="48712" s="12" customFormat="1" x14ac:dyDescent="0.25"/>
    <row r="48713" s="12" customFormat="1" x14ac:dyDescent="0.25"/>
    <row r="48714" s="12" customFormat="1" x14ac:dyDescent="0.25"/>
    <row r="48715" s="12" customFormat="1" x14ac:dyDescent="0.25"/>
    <row r="48716" s="12" customFormat="1" x14ac:dyDescent="0.25"/>
    <row r="48717" s="12" customFormat="1" x14ac:dyDescent="0.25"/>
    <row r="48718" s="12" customFormat="1" x14ac:dyDescent="0.25"/>
    <row r="48719" s="12" customFormat="1" x14ac:dyDescent="0.25"/>
    <row r="48720" s="12" customFormat="1" x14ac:dyDescent="0.25"/>
    <row r="48721" s="12" customFormat="1" x14ac:dyDescent="0.25"/>
    <row r="48722" s="12" customFormat="1" x14ac:dyDescent="0.25"/>
    <row r="48723" s="12" customFormat="1" x14ac:dyDescent="0.25"/>
    <row r="48724" s="12" customFormat="1" x14ac:dyDescent="0.25"/>
    <row r="48725" s="12" customFormat="1" x14ac:dyDescent="0.25"/>
    <row r="48726" s="12" customFormat="1" x14ac:dyDescent="0.25"/>
    <row r="48727" s="12" customFormat="1" x14ac:dyDescent="0.25"/>
    <row r="48728" s="12" customFormat="1" x14ac:dyDescent="0.25"/>
    <row r="48729" s="12" customFormat="1" x14ac:dyDescent="0.25"/>
    <row r="48730" s="12" customFormat="1" x14ac:dyDescent="0.25"/>
    <row r="48731" s="12" customFormat="1" x14ac:dyDescent="0.25"/>
    <row r="48732" s="12" customFormat="1" x14ac:dyDescent="0.25"/>
    <row r="48733" s="12" customFormat="1" x14ac:dyDescent="0.25"/>
    <row r="48734" s="12" customFormat="1" x14ac:dyDescent="0.25"/>
    <row r="48735" s="12" customFormat="1" x14ac:dyDescent="0.25"/>
    <row r="48736" s="12" customFormat="1" x14ac:dyDescent="0.25"/>
    <row r="48737" s="12" customFormat="1" x14ac:dyDescent="0.25"/>
    <row r="48738" s="12" customFormat="1" x14ac:dyDescent="0.25"/>
    <row r="48739" s="12" customFormat="1" x14ac:dyDescent="0.25"/>
    <row r="48740" s="12" customFormat="1" x14ac:dyDescent="0.25"/>
    <row r="48741" s="12" customFormat="1" x14ac:dyDescent="0.25"/>
    <row r="48742" s="12" customFormat="1" x14ac:dyDescent="0.25"/>
    <row r="48743" s="12" customFormat="1" x14ac:dyDescent="0.25"/>
    <row r="48744" s="12" customFormat="1" x14ac:dyDescent="0.25"/>
    <row r="48745" s="12" customFormat="1" x14ac:dyDescent="0.25"/>
    <row r="48746" s="12" customFormat="1" x14ac:dyDescent="0.25"/>
    <row r="48747" s="12" customFormat="1" x14ac:dyDescent="0.25"/>
    <row r="48748" s="12" customFormat="1" x14ac:dyDescent="0.25"/>
    <row r="48749" s="12" customFormat="1" x14ac:dyDescent="0.25"/>
    <row r="48750" s="12" customFormat="1" x14ac:dyDescent="0.25"/>
    <row r="48751" s="12" customFormat="1" x14ac:dyDescent="0.25"/>
    <row r="48752" s="12" customFormat="1" x14ac:dyDescent="0.25"/>
    <row r="48753" s="12" customFormat="1" x14ac:dyDescent="0.25"/>
    <row r="48754" s="12" customFormat="1" x14ac:dyDescent="0.25"/>
    <row r="48755" s="12" customFormat="1" x14ac:dyDescent="0.25"/>
    <row r="48756" s="12" customFormat="1" x14ac:dyDescent="0.25"/>
    <row r="48757" s="12" customFormat="1" x14ac:dyDescent="0.25"/>
    <row r="48758" s="12" customFormat="1" x14ac:dyDescent="0.25"/>
    <row r="48759" s="12" customFormat="1" x14ac:dyDescent="0.25"/>
    <row r="48760" s="12" customFormat="1" x14ac:dyDescent="0.25"/>
    <row r="48761" s="12" customFormat="1" x14ac:dyDescent="0.25"/>
    <row r="48762" s="12" customFormat="1" x14ac:dyDescent="0.25"/>
    <row r="48763" s="12" customFormat="1" x14ac:dyDescent="0.25"/>
    <row r="48764" s="12" customFormat="1" x14ac:dyDescent="0.25"/>
    <row r="48765" s="12" customFormat="1" x14ac:dyDescent="0.25"/>
    <row r="48766" s="12" customFormat="1" x14ac:dyDescent="0.25"/>
    <row r="48767" s="12" customFormat="1" x14ac:dyDescent="0.25"/>
    <row r="48768" s="12" customFormat="1" x14ac:dyDescent="0.25"/>
    <row r="48769" s="12" customFormat="1" x14ac:dyDescent="0.25"/>
    <row r="48770" s="12" customFormat="1" x14ac:dyDescent="0.25"/>
    <row r="48771" s="12" customFormat="1" x14ac:dyDescent="0.25"/>
    <row r="48772" s="12" customFormat="1" x14ac:dyDescent="0.25"/>
    <row r="48773" s="12" customFormat="1" x14ac:dyDescent="0.25"/>
    <row r="48774" s="12" customFormat="1" x14ac:dyDescent="0.25"/>
    <row r="48775" s="12" customFormat="1" x14ac:dyDescent="0.25"/>
    <row r="48776" s="12" customFormat="1" x14ac:dyDescent="0.25"/>
    <row r="48777" s="12" customFormat="1" x14ac:dyDescent="0.25"/>
    <row r="48778" s="12" customFormat="1" x14ac:dyDescent="0.25"/>
    <row r="48779" s="12" customFormat="1" x14ac:dyDescent="0.25"/>
    <row r="48780" s="12" customFormat="1" x14ac:dyDescent="0.25"/>
    <row r="48781" s="12" customFormat="1" x14ac:dyDescent="0.25"/>
    <row r="48782" s="12" customFormat="1" x14ac:dyDescent="0.25"/>
    <row r="48783" s="12" customFormat="1" x14ac:dyDescent="0.25"/>
    <row r="48784" s="12" customFormat="1" x14ac:dyDescent="0.25"/>
    <row r="48785" s="12" customFormat="1" x14ac:dyDescent="0.25"/>
    <row r="48786" s="12" customFormat="1" x14ac:dyDescent="0.25"/>
    <row r="48787" s="12" customFormat="1" x14ac:dyDescent="0.25"/>
    <row r="48788" s="12" customFormat="1" x14ac:dyDescent="0.25"/>
    <row r="48789" s="12" customFormat="1" x14ac:dyDescent="0.25"/>
    <row r="48790" s="12" customFormat="1" x14ac:dyDescent="0.25"/>
    <row r="48791" s="12" customFormat="1" x14ac:dyDescent="0.25"/>
    <row r="48792" s="12" customFormat="1" x14ac:dyDescent="0.25"/>
    <row r="48793" s="12" customFormat="1" x14ac:dyDescent="0.25"/>
    <row r="48794" s="12" customFormat="1" x14ac:dyDescent="0.25"/>
    <row r="48795" s="12" customFormat="1" x14ac:dyDescent="0.25"/>
    <row r="48796" s="12" customFormat="1" x14ac:dyDescent="0.25"/>
    <row r="48797" s="12" customFormat="1" x14ac:dyDescent="0.25"/>
    <row r="48798" s="12" customFormat="1" x14ac:dyDescent="0.25"/>
    <row r="48799" s="12" customFormat="1" x14ac:dyDescent="0.25"/>
    <row r="48800" s="12" customFormat="1" x14ac:dyDescent="0.25"/>
    <row r="48801" s="12" customFormat="1" x14ac:dyDescent="0.25"/>
    <row r="48802" s="12" customFormat="1" x14ac:dyDescent="0.25"/>
    <row r="48803" s="12" customFormat="1" x14ac:dyDescent="0.25"/>
    <row r="48804" s="12" customFormat="1" x14ac:dyDescent="0.25"/>
    <row r="48805" s="12" customFormat="1" x14ac:dyDescent="0.25"/>
    <row r="48806" s="12" customFormat="1" x14ac:dyDescent="0.25"/>
    <row r="48807" s="12" customFormat="1" x14ac:dyDescent="0.25"/>
    <row r="48808" s="12" customFormat="1" x14ac:dyDescent="0.25"/>
    <row r="48809" s="12" customFormat="1" x14ac:dyDescent="0.25"/>
    <row r="48810" s="12" customFormat="1" x14ac:dyDescent="0.25"/>
    <row r="48811" s="12" customFormat="1" x14ac:dyDescent="0.25"/>
    <row r="48812" s="12" customFormat="1" x14ac:dyDescent="0.25"/>
    <row r="48813" s="12" customFormat="1" x14ac:dyDescent="0.25"/>
    <row r="48814" s="12" customFormat="1" x14ac:dyDescent="0.25"/>
    <row r="48815" s="12" customFormat="1" x14ac:dyDescent="0.25"/>
    <row r="48816" s="12" customFormat="1" x14ac:dyDescent="0.25"/>
    <row r="48817" s="12" customFormat="1" x14ac:dyDescent="0.25"/>
    <row r="48818" s="12" customFormat="1" x14ac:dyDescent="0.25"/>
    <row r="48819" s="12" customFormat="1" x14ac:dyDescent="0.25"/>
    <row r="48820" s="12" customFormat="1" x14ac:dyDescent="0.25"/>
    <row r="48821" s="12" customFormat="1" x14ac:dyDescent="0.25"/>
    <row r="48822" s="12" customFormat="1" x14ac:dyDescent="0.25"/>
    <row r="48823" s="12" customFormat="1" x14ac:dyDescent="0.25"/>
    <row r="48824" s="12" customFormat="1" x14ac:dyDescent="0.25"/>
    <row r="48825" s="12" customFormat="1" x14ac:dyDescent="0.25"/>
    <row r="48826" s="12" customFormat="1" x14ac:dyDescent="0.25"/>
    <row r="48827" s="12" customFormat="1" x14ac:dyDescent="0.25"/>
    <row r="48828" s="12" customFormat="1" x14ac:dyDescent="0.25"/>
    <row r="48829" s="12" customFormat="1" x14ac:dyDescent="0.25"/>
    <row r="48830" s="12" customFormat="1" x14ac:dyDescent="0.25"/>
    <row r="48831" s="12" customFormat="1" x14ac:dyDescent="0.25"/>
    <row r="48832" s="12" customFormat="1" x14ac:dyDescent="0.25"/>
    <row r="48833" s="12" customFormat="1" x14ac:dyDescent="0.25"/>
    <row r="48834" s="12" customFormat="1" x14ac:dyDescent="0.25"/>
    <row r="48835" s="12" customFormat="1" x14ac:dyDescent="0.25"/>
    <row r="48836" s="12" customFormat="1" x14ac:dyDescent="0.25"/>
    <row r="48837" s="12" customFormat="1" x14ac:dyDescent="0.25"/>
    <row r="48838" s="12" customFormat="1" x14ac:dyDescent="0.25"/>
    <row r="48839" s="12" customFormat="1" x14ac:dyDescent="0.25"/>
    <row r="48840" s="12" customFormat="1" x14ac:dyDescent="0.25"/>
    <row r="48841" s="12" customFormat="1" x14ac:dyDescent="0.25"/>
    <row r="48842" s="12" customFormat="1" x14ac:dyDescent="0.25"/>
    <row r="48843" s="12" customFormat="1" x14ac:dyDescent="0.25"/>
    <row r="48844" s="12" customFormat="1" x14ac:dyDescent="0.25"/>
    <row r="48845" s="12" customFormat="1" x14ac:dyDescent="0.25"/>
    <row r="48846" s="12" customFormat="1" x14ac:dyDescent="0.25"/>
    <row r="48847" s="12" customFormat="1" x14ac:dyDescent="0.25"/>
    <row r="48848" s="12" customFormat="1" x14ac:dyDescent="0.25"/>
    <row r="48849" s="12" customFormat="1" x14ac:dyDescent="0.25"/>
    <row r="48850" s="12" customFormat="1" x14ac:dyDescent="0.25"/>
    <row r="48851" s="12" customFormat="1" x14ac:dyDescent="0.25"/>
    <row r="48852" s="12" customFormat="1" x14ac:dyDescent="0.25"/>
    <row r="48853" s="12" customFormat="1" x14ac:dyDescent="0.25"/>
    <row r="48854" s="12" customFormat="1" x14ac:dyDescent="0.25"/>
    <row r="48855" s="12" customFormat="1" x14ac:dyDescent="0.25"/>
    <row r="48856" s="12" customFormat="1" x14ac:dyDescent="0.25"/>
    <row r="48857" s="12" customFormat="1" x14ac:dyDescent="0.25"/>
    <row r="48858" s="12" customFormat="1" x14ac:dyDescent="0.25"/>
    <row r="48859" s="12" customFormat="1" x14ac:dyDescent="0.25"/>
    <row r="48860" s="12" customFormat="1" x14ac:dyDescent="0.25"/>
    <row r="48861" s="12" customFormat="1" x14ac:dyDescent="0.25"/>
    <row r="48862" s="12" customFormat="1" x14ac:dyDescent="0.25"/>
    <row r="48863" s="12" customFormat="1" x14ac:dyDescent="0.25"/>
    <row r="48864" s="12" customFormat="1" x14ac:dyDescent="0.25"/>
    <row r="48865" s="12" customFormat="1" x14ac:dyDescent="0.25"/>
    <row r="48866" s="12" customFormat="1" x14ac:dyDescent="0.25"/>
    <row r="48867" s="12" customFormat="1" x14ac:dyDescent="0.25"/>
    <row r="48868" s="12" customFormat="1" x14ac:dyDescent="0.25"/>
    <row r="48869" s="12" customFormat="1" x14ac:dyDescent="0.25"/>
    <row r="48870" s="12" customFormat="1" x14ac:dyDescent="0.25"/>
    <row r="48871" s="12" customFormat="1" x14ac:dyDescent="0.25"/>
    <row r="48872" s="12" customFormat="1" x14ac:dyDescent="0.25"/>
    <row r="48873" s="12" customFormat="1" x14ac:dyDescent="0.25"/>
    <row r="48874" s="12" customFormat="1" x14ac:dyDescent="0.25"/>
    <row r="48875" s="12" customFormat="1" x14ac:dyDescent="0.25"/>
    <row r="48876" s="12" customFormat="1" x14ac:dyDescent="0.25"/>
    <row r="48877" s="12" customFormat="1" x14ac:dyDescent="0.25"/>
    <row r="48878" s="12" customFormat="1" x14ac:dyDescent="0.25"/>
    <row r="48879" s="12" customFormat="1" x14ac:dyDescent="0.25"/>
    <row r="48880" s="12" customFormat="1" x14ac:dyDescent="0.25"/>
    <row r="48881" s="12" customFormat="1" x14ac:dyDescent="0.25"/>
    <row r="48882" s="12" customFormat="1" x14ac:dyDescent="0.25"/>
    <row r="48883" s="12" customFormat="1" x14ac:dyDescent="0.25"/>
    <row r="48884" s="12" customFormat="1" x14ac:dyDescent="0.25"/>
    <row r="48885" s="12" customFormat="1" x14ac:dyDescent="0.25"/>
    <row r="48886" s="12" customFormat="1" x14ac:dyDescent="0.25"/>
    <row r="48887" s="12" customFormat="1" x14ac:dyDescent="0.25"/>
    <row r="48888" s="12" customFormat="1" x14ac:dyDescent="0.25"/>
    <row r="48889" s="12" customFormat="1" x14ac:dyDescent="0.25"/>
    <row r="48890" s="12" customFormat="1" x14ac:dyDescent="0.25"/>
    <row r="48891" s="12" customFormat="1" x14ac:dyDescent="0.25"/>
    <row r="48892" s="12" customFormat="1" x14ac:dyDescent="0.25"/>
    <row r="48893" s="12" customFormat="1" x14ac:dyDescent="0.25"/>
    <row r="48894" s="12" customFormat="1" x14ac:dyDescent="0.25"/>
    <row r="48895" s="12" customFormat="1" x14ac:dyDescent="0.25"/>
    <row r="48896" s="12" customFormat="1" x14ac:dyDescent="0.25"/>
    <row r="48897" s="12" customFormat="1" x14ac:dyDescent="0.25"/>
    <row r="48898" s="12" customFormat="1" x14ac:dyDescent="0.25"/>
    <row r="48899" s="12" customFormat="1" x14ac:dyDescent="0.25"/>
    <row r="48900" s="12" customFormat="1" x14ac:dyDescent="0.25"/>
    <row r="48901" s="12" customFormat="1" x14ac:dyDescent="0.25"/>
    <row r="48902" s="12" customFormat="1" x14ac:dyDescent="0.25"/>
    <row r="48903" s="12" customFormat="1" x14ac:dyDescent="0.25"/>
    <row r="48904" s="12" customFormat="1" x14ac:dyDescent="0.25"/>
    <row r="48905" s="12" customFormat="1" x14ac:dyDescent="0.25"/>
    <row r="48906" s="12" customFormat="1" x14ac:dyDescent="0.25"/>
    <row r="48907" s="12" customFormat="1" x14ac:dyDescent="0.25"/>
    <row r="48908" s="12" customFormat="1" x14ac:dyDescent="0.25"/>
    <row r="48909" s="12" customFormat="1" x14ac:dyDescent="0.25"/>
    <row r="48910" s="12" customFormat="1" x14ac:dyDescent="0.25"/>
    <row r="48911" s="12" customFormat="1" x14ac:dyDescent="0.25"/>
    <row r="48912" s="12" customFormat="1" x14ac:dyDescent="0.25"/>
    <row r="48913" s="12" customFormat="1" x14ac:dyDescent="0.25"/>
    <row r="48914" s="12" customFormat="1" x14ac:dyDescent="0.25"/>
    <row r="48915" s="12" customFormat="1" x14ac:dyDescent="0.25"/>
    <row r="48916" s="12" customFormat="1" x14ac:dyDescent="0.25"/>
    <row r="48917" s="12" customFormat="1" x14ac:dyDescent="0.25"/>
    <row r="48918" s="12" customFormat="1" x14ac:dyDescent="0.25"/>
    <row r="48919" s="12" customFormat="1" x14ac:dyDescent="0.25"/>
    <row r="48920" s="12" customFormat="1" x14ac:dyDescent="0.25"/>
    <row r="48921" s="12" customFormat="1" x14ac:dyDescent="0.25"/>
    <row r="48922" s="12" customFormat="1" x14ac:dyDescent="0.25"/>
    <row r="48923" s="12" customFormat="1" x14ac:dyDescent="0.25"/>
    <row r="48924" s="12" customFormat="1" x14ac:dyDescent="0.25"/>
    <row r="48925" s="12" customFormat="1" x14ac:dyDescent="0.25"/>
    <row r="48926" s="12" customFormat="1" x14ac:dyDescent="0.25"/>
    <row r="48927" s="12" customFormat="1" x14ac:dyDescent="0.25"/>
    <row r="48928" s="12" customFormat="1" x14ac:dyDescent="0.25"/>
    <row r="48929" s="12" customFormat="1" x14ac:dyDescent="0.25"/>
    <row r="48930" s="12" customFormat="1" x14ac:dyDescent="0.25"/>
    <row r="48931" s="12" customFormat="1" x14ac:dyDescent="0.25"/>
    <row r="48932" s="12" customFormat="1" x14ac:dyDescent="0.25"/>
    <row r="48933" s="12" customFormat="1" x14ac:dyDescent="0.25"/>
    <row r="48934" s="12" customFormat="1" x14ac:dyDescent="0.25"/>
    <row r="48935" s="12" customFormat="1" x14ac:dyDescent="0.25"/>
    <row r="48936" s="12" customFormat="1" x14ac:dyDescent="0.25"/>
    <row r="48937" s="12" customFormat="1" x14ac:dyDescent="0.25"/>
    <row r="48938" s="12" customFormat="1" x14ac:dyDescent="0.25"/>
    <row r="48939" s="12" customFormat="1" x14ac:dyDescent="0.25"/>
    <row r="48940" s="12" customFormat="1" x14ac:dyDescent="0.25"/>
    <row r="48941" s="12" customFormat="1" x14ac:dyDescent="0.25"/>
    <row r="48942" s="12" customFormat="1" x14ac:dyDescent="0.25"/>
    <row r="48943" s="12" customFormat="1" x14ac:dyDescent="0.25"/>
    <row r="48944" s="12" customFormat="1" x14ac:dyDescent="0.25"/>
    <row r="48945" s="12" customFormat="1" x14ac:dyDescent="0.25"/>
    <row r="48946" s="12" customFormat="1" x14ac:dyDescent="0.25"/>
    <row r="48947" s="12" customFormat="1" x14ac:dyDescent="0.25"/>
    <row r="48948" s="12" customFormat="1" x14ac:dyDescent="0.25"/>
    <row r="48949" s="12" customFormat="1" x14ac:dyDescent="0.25"/>
    <row r="48950" s="12" customFormat="1" x14ac:dyDescent="0.25"/>
    <row r="48951" s="12" customFormat="1" x14ac:dyDescent="0.25"/>
    <row r="48952" s="12" customFormat="1" x14ac:dyDescent="0.25"/>
    <row r="48953" s="12" customFormat="1" x14ac:dyDescent="0.25"/>
    <row r="48954" s="12" customFormat="1" x14ac:dyDescent="0.25"/>
    <row r="48955" s="12" customFormat="1" x14ac:dyDescent="0.25"/>
    <row r="48956" s="12" customFormat="1" x14ac:dyDescent="0.25"/>
    <row r="48957" s="12" customFormat="1" x14ac:dyDescent="0.25"/>
    <row r="48958" s="12" customFormat="1" x14ac:dyDescent="0.25"/>
    <row r="48959" s="12" customFormat="1" x14ac:dyDescent="0.25"/>
    <row r="48960" s="12" customFormat="1" x14ac:dyDescent="0.25"/>
    <row r="48961" s="12" customFormat="1" x14ac:dyDescent="0.25"/>
    <row r="48962" s="12" customFormat="1" x14ac:dyDescent="0.25"/>
    <row r="48963" s="12" customFormat="1" x14ac:dyDescent="0.25"/>
    <row r="48964" s="12" customFormat="1" x14ac:dyDescent="0.25"/>
    <row r="48965" s="12" customFormat="1" x14ac:dyDescent="0.25"/>
    <row r="48966" s="12" customFormat="1" x14ac:dyDescent="0.25"/>
    <row r="48967" s="12" customFormat="1" x14ac:dyDescent="0.25"/>
    <row r="48968" s="12" customFormat="1" x14ac:dyDescent="0.25"/>
    <row r="48969" s="12" customFormat="1" x14ac:dyDescent="0.25"/>
    <row r="48970" s="12" customFormat="1" x14ac:dyDescent="0.25"/>
    <row r="48971" s="12" customFormat="1" x14ac:dyDescent="0.25"/>
    <row r="48972" s="12" customFormat="1" x14ac:dyDescent="0.25"/>
    <row r="48973" s="12" customFormat="1" x14ac:dyDescent="0.25"/>
    <row r="48974" s="12" customFormat="1" x14ac:dyDescent="0.25"/>
    <row r="48975" s="12" customFormat="1" x14ac:dyDescent="0.25"/>
    <row r="48976" s="12" customFormat="1" x14ac:dyDescent="0.25"/>
    <row r="48977" s="12" customFormat="1" x14ac:dyDescent="0.25"/>
    <row r="48978" s="12" customFormat="1" x14ac:dyDescent="0.25"/>
    <row r="48979" s="12" customFormat="1" x14ac:dyDescent="0.25"/>
    <row r="48980" s="12" customFormat="1" x14ac:dyDescent="0.25"/>
    <row r="48981" s="12" customFormat="1" x14ac:dyDescent="0.25"/>
    <row r="48982" s="12" customFormat="1" x14ac:dyDescent="0.25"/>
    <row r="48983" s="12" customFormat="1" x14ac:dyDescent="0.25"/>
    <row r="48984" s="12" customFormat="1" x14ac:dyDescent="0.25"/>
    <row r="48985" s="12" customFormat="1" x14ac:dyDescent="0.25"/>
    <row r="48986" s="12" customFormat="1" x14ac:dyDescent="0.25"/>
    <row r="48987" s="12" customFormat="1" x14ac:dyDescent="0.25"/>
    <row r="48988" s="12" customFormat="1" x14ac:dyDescent="0.25"/>
    <row r="48989" s="12" customFormat="1" x14ac:dyDescent="0.25"/>
    <row r="48990" s="12" customFormat="1" x14ac:dyDescent="0.25"/>
    <row r="48991" s="12" customFormat="1" x14ac:dyDescent="0.25"/>
    <row r="48992" s="12" customFormat="1" x14ac:dyDescent="0.25"/>
    <row r="48993" s="12" customFormat="1" x14ac:dyDescent="0.25"/>
    <row r="48994" s="12" customFormat="1" x14ac:dyDescent="0.25"/>
    <row r="48995" s="12" customFormat="1" x14ac:dyDescent="0.25"/>
    <row r="48996" s="12" customFormat="1" x14ac:dyDescent="0.25"/>
    <row r="48997" s="12" customFormat="1" x14ac:dyDescent="0.25"/>
    <row r="48998" s="12" customFormat="1" x14ac:dyDescent="0.25"/>
    <row r="48999" s="12" customFormat="1" x14ac:dyDescent="0.25"/>
    <row r="49000" s="12" customFormat="1" x14ac:dyDescent="0.25"/>
    <row r="49001" s="12" customFormat="1" x14ac:dyDescent="0.25"/>
    <row r="49002" s="12" customFormat="1" x14ac:dyDescent="0.25"/>
    <row r="49003" s="12" customFormat="1" x14ac:dyDescent="0.25"/>
    <row r="49004" s="12" customFormat="1" x14ac:dyDescent="0.25"/>
    <row r="49005" s="12" customFormat="1" x14ac:dyDescent="0.25"/>
    <row r="49006" s="12" customFormat="1" x14ac:dyDescent="0.25"/>
    <row r="49007" s="12" customFormat="1" x14ac:dyDescent="0.25"/>
    <row r="49008" s="12" customFormat="1" x14ac:dyDescent="0.25"/>
    <row r="49009" s="12" customFormat="1" x14ac:dyDescent="0.25"/>
    <row r="49010" s="12" customFormat="1" x14ac:dyDescent="0.25"/>
    <row r="49011" s="12" customFormat="1" x14ac:dyDescent="0.25"/>
    <row r="49012" s="12" customFormat="1" x14ac:dyDescent="0.25"/>
    <row r="49013" s="12" customFormat="1" x14ac:dyDescent="0.25"/>
    <row r="49014" s="12" customFormat="1" x14ac:dyDescent="0.25"/>
    <row r="49015" s="12" customFormat="1" x14ac:dyDescent="0.25"/>
    <row r="49016" s="12" customFormat="1" x14ac:dyDescent="0.25"/>
    <row r="49017" s="12" customFormat="1" x14ac:dyDescent="0.25"/>
    <row r="49018" s="12" customFormat="1" x14ac:dyDescent="0.25"/>
    <row r="49019" s="12" customFormat="1" x14ac:dyDescent="0.25"/>
    <row r="49020" s="12" customFormat="1" x14ac:dyDescent="0.25"/>
    <row r="49021" s="12" customFormat="1" x14ac:dyDescent="0.25"/>
    <row r="49022" s="12" customFormat="1" x14ac:dyDescent="0.25"/>
    <row r="49023" s="12" customFormat="1" x14ac:dyDescent="0.25"/>
    <row r="49024" s="12" customFormat="1" x14ac:dyDescent="0.25"/>
    <row r="49025" s="12" customFormat="1" x14ac:dyDescent="0.25"/>
    <row r="49026" s="12" customFormat="1" x14ac:dyDescent="0.25"/>
    <row r="49027" s="12" customFormat="1" x14ac:dyDescent="0.25"/>
    <row r="49028" s="12" customFormat="1" x14ac:dyDescent="0.25"/>
    <row r="49029" s="12" customFormat="1" x14ac:dyDescent="0.25"/>
    <row r="49030" s="12" customFormat="1" x14ac:dyDescent="0.25"/>
    <row r="49031" s="12" customFormat="1" x14ac:dyDescent="0.25"/>
    <row r="49032" s="12" customFormat="1" x14ac:dyDescent="0.25"/>
    <row r="49033" s="12" customFormat="1" x14ac:dyDescent="0.25"/>
    <row r="49034" s="12" customFormat="1" x14ac:dyDescent="0.25"/>
    <row r="49035" s="12" customFormat="1" x14ac:dyDescent="0.25"/>
    <row r="49036" s="12" customFormat="1" x14ac:dyDescent="0.25"/>
    <row r="49037" s="12" customFormat="1" x14ac:dyDescent="0.25"/>
    <row r="49038" s="12" customFormat="1" x14ac:dyDescent="0.25"/>
    <row r="49039" s="12" customFormat="1" x14ac:dyDescent="0.25"/>
    <row r="49040" s="12" customFormat="1" x14ac:dyDescent="0.25"/>
    <row r="49041" s="12" customFormat="1" x14ac:dyDescent="0.25"/>
    <row r="49042" s="12" customFormat="1" x14ac:dyDescent="0.25"/>
    <row r="49043" s="12" customFormat="1" x14ac:dyDescent="0.25"/>
    <row r="49044" s="12" customFormat="1" x14ac:dyDescent="0.25"/>
    <row r="49045" s="12" customFormat="1" x14ac:dyDescent="0.25"/>
    <row r="49046" s="12" customFormat="1" x14ac:dyDescent="0.25"/>
    <row r="49047" s="12" customFormat="1" x14ac:dyDescent="0.25"/>
    <row r="49048" s="12" customFormat="1" x14ac:dyDescent="0.25"/>
    <row r="49049" s="12" customFormat="1" x14ac:dyDescent="0.25"/>
    <row r="49050" s="12" customFormat="1" x14ac:dyDescent="0.25"/>
    <row r="49051" s="12" customFormat="1" x14ac:dyDescent="0.25"/>
    <row r="49052" s="12" customFormat="1" x14ac:dyDescent="0.25"/>
    <row r="49053" s="12" customFormat="1" x14ac:dyDescent="0.25"/>
    <row r="49054" s="12" customFormat="1" x14ac:dyDescent="0.25"/>
    <row r="49055" s="12" customFormat="1" x14ac:dyDescent="0.25"/>
    <row r="49056" s="12" customFormat="1" x14ac:dyDescent="0.25"/>
    <row r="49057" s="12" customFormat="1" x14ac:dyDescent="0.25"/>
    <row r="49058" s="12" customFormat="1" x14ac:dyDescent="0.25"/>
    <row r="49059" s="12" customFormat="1" x14ac:dyDescent="0.25"/>
    <row r="49060" s="12" customFormat="1" x14ac:dyDescent="0.25"/>
    <row r="49061" s="12" customFormat="1" x14ac:dyDescent="0.25"/>
    <row r="49062" s="12" customFormat="1" x14ac:dyDescent="0.25"/>
    <row r="49063" s="12" customFormat="1" x14ac:dyDescent="0.25"/>
    <row r="49064" s="12" customFormat="1" x14ac:dyDescent="0.25"/>
    <row r="49065" s="12" customFormat="1" x14ac:dyDescent="0.25"/>
    <row r="49066" s="12" customFormat="1" x14ac:dyDescent="0.25"/>
    <row r="49067" s="12" customFormat="1" x14ac:dyDescent="0.25"/>
    <row r="49068" s="12" customFormat="1" x14ac:dyDescent="0.25"/>
    <row r="49069" s="12" customFormat="1" x14ac:dyDescent="0.25"/>
    <row r="49070" s="12" customFormat="1" x14ac:dyDescent="0.25"/>
    <row r="49071" s="12" customFormat="1" x14ac:dyDescent="0.25"/>
    <row r="49072" s="12" customFormat="1" x14ac:dyDescent="0.25"/>
    <row r="49073" s="12" customFormat="1" x14ac:dyDescent="0.25"/>
    <row r="49074" s="12" customFormat="1" x14ac:dyDescent="0.25"/>
    <row r="49075" s="12" customFormat="1" x14ac:dyDescent="0.25"/>
    <row r="49076" s="12" customFormat="1" x14ac:dyDescent="0.25"/>
    <row r="49077" s="12" customFormat="1" x14ac:dyDescent="0.25"/>
    <row r="49078" s="12" customFormat="1" x14ac:dyDescent="0.25"/>
    <row r="49079" s="12" customFormat="1" x14ac:dyDescent="0.25"/>
    <row r="49080" s="12" customFormat="1" x14ac:dyDescent="0.25"/>
    <row r="49081" s="12" customFormat="1" x14ac:dyDescent="0.25"/>
    <row r="49082" s="12" customFormat="1" x14ac:dyDescent="0.25"/>
    <row r="49083" s="12" customFormat="1" x14ac:dyDescent="0.25"/>
    <row r="49084" s="12" customFormat="1" x14ac:dyDescent="0.25"/>
    <row r="49085" s="12" customFormat="1" x14ac:dyDescent="0.25"/>
    <row r="49086" s="12" customFormat="1" x14ac:dyDescent="0.25"/>
    <row r="49087" s="12" customFormat="1" x14ac:dyDescent="0.25"/>
    <row r="49088" s="12" customFormat="1" x14ac:dyDescent="0.25"/>
    <row r="49089" s="12" customFormat="1" x14ac:dyDescent="0.25"/>
    <row r="49090" s="12" customFormat="1" x14ac:dyDescent="0.25"/>
    <row r="49091" s="12" customFormat="1" x14ac:dyDescent="0.25"/>
    <row r="49092" s="12" customFormat="1" x14ac:dyDescent="0.25"/>
    <row r="49093" s="12" customFormat="1" x14ac:dyDescent="0.25"/>
    <row r="49094" s="12" customFormat="1" x14ac:dyDescent="0.25"/>
    <row r="49095" s="12" customFormat="1" x14ac:dyDescent="0.25"/>
    <row r="49096" s="12" customFormat="1" x14ac:dyDescent="0.25"/>
    <row r="49097" s="12" customFormat="1" x14ac:dyDescent="0.25"/>
    <row r="49098" s="12" customFormat="1" x14ac:dyDescent="0.25"/>
    <row r="49099" s="12" customFormat="1" x14ac:dyDescent="0.25"/>
    <row r="49100" s="12" customFormat="1" x14ac:dyDescent="0.25"/>
    <row r="49101" s="12" customFormat="1" x14ac:dyDescent="0.25"/>
    <row r="49102" s="12" customFormat="1" x14ac:dyDescent="0.25"/>
    <row r="49103" s="12" customFormat="1" x14ac:dyDescent="0.25"/>
    <row r="49104" s="12" customFormat="1" x14ac:dyDescent="0.25"/>
    <row r="49105" s="12" customFormat="1" x14ac:dyDescent="0.25"/>
    <row r="49106" s="12" customFormat="1" x14ac:dyDescent="0.25"/>
    <row r="49107" s="12" customFormat="1" x14ac:dyDescent="0.25"/>
    <row r="49108" s="12" customFormat="1" x14ac:dyDescent="0.25"/>
    <row r="49109" s="12" customFormat="1" x14ac:dyDescent="0.25"/>
    <row r="49110" s="12" customFormat="1" x14ac:dyDescent="0.25"/>
    <row r="49111" s="12" customFormat="1" x14ac:dyDescent="0.25"/>
    <row r="49112" s="12" customFormat="1" x14ac:dyDescent="0.25"/>
    <row r="49113" s="12" customFormat="1" x14ac:dyDescent="0.25"/>
    <row r="49114" s="12" customFormat="1" x14ac:dyDescent="0.25"/>
    <row r="49115" s="12" customFormat="1" x14ac:dyDescent="0.25"/>
    <row r="49116" s="12" customFormat="1" x14ac:dyDescent="0.25"/>
    <row r="49117" s="12" customFormat="1" x14ac:dyDescent="0.25"/>
    <row r="49118" s="12" customFormat="1" x14ac:dyDescent="0.25"/>
    <row r="49119" s="12" customFormat="1" x14ac:dyDescent="0.25"/>
    <row r="49120" s="12" customFormat="1" x14ac:dyDescent="0.25"/>
    <row r="49121" s="12" customFormat="1" x14ac:dyDescent="0.25"/>
    <row r="49122" s="12" customFormat="1" x14ac:dyDescent="0.25"/>
    <row r="49123" s="12" customFormat="1" x14ac:dyDescent="0.25"/>
    <row r="49124" s="12" customFormat="1" x14ac:dyDescent="0.25"/>
    <row r="49125" s="12" customFormat="1" x14ac:dyDescent="0.25"/>
    <row r="49126" s="12" customFormat="1" x14ac:dyDescent="0.25"/>
    <row r="49127" s="12" customFormat="1" x14ac:dyDescent="0.25"/>
    <row r="49128" s="12" customFormat="1" x14ac:dyDescent="0.25"/>
    <row r="49129" s="12" customFormat="1" x14ac:dyDescent="0.25"/>
    <row r="49130" s="12" customFormat="1" x14ac:dyDescent="0.25"/>
    <row r="49131" s="12" customFormat="1" x14ac:dyDescent="0.25"/>
    <row r="49132" s="12" customFormat="1" x14ac:dyDescent="0.25"/>
    <row r="49133" s="12" customFormat="1" x14ac:dyDescent="0.25"/>
    <row r="49134" s="12" customFormat="1" x14ac:dyDescent="0.25"/>
    <row r="49135" s="12" customFormat="1" x14ac:dyDescent="0.25"/>
    <row r="49136" s="12" customFormat="1" x14ac:dyDescent="0.25"/>
    <row r="49137" s="12" customFormat="1" x14ac:dyDescent="0.25"/>
    <row r="49138" s="12" customFormat="1" x14ac:dyDescent="0.25"/>
    <row r="49139" s="12" customFormat="1" x14ac:dyDescent="0.25"/>
    <row r="49140" s="12" customFormat="1" x14ac:dyDescent="0.25"/>
    <row r="49141" s="12" customFormat="1" x14ac:dyDescent="0.25"/>
    <row r="49142" s="12" customFormat="1" x14ac:dyDescent="0.25"/>
    <row r="49143" s="12" customFormat="1" x14ac:dyDescent="0.25"/>
    <row r="49144" s="12" customFormat="1" x14ac:dyDescent="0.25"/>
    <row r="49145" s="12" customFormat="1" x14ac:dyDescent="0.25"/>
    <row r="49146" s="12" customFormat="1" x14ac:dyDescent="0.25"/>
    <row r="49147" s="12" customFormat="1" x14ac:dyDescent="0.25"/>
    <row r="49148" s="12" customFormat="1" x14ac:dyDescent="0.25"/>
    <row r="49149" s="12" customFormat="1" x14ac:dyDescent="0.25"/>
    <row r="49150" s="12" customFormat="1" x14ac:dyDescent="0.25"/>
    <row r="49151" s="12" customFormat="1" x14ac:dyDescent="0.25"/>
    <row r="49152" s="12" customFormat="1" x14ac:dyDescent="0.25"/>
    <row r="49153" s="12" customFormat="1" x14ac:dyDescent="0.25"/>
    <row r="49154" s="12" customFormat="1" x14ac:dyDescent="0.25"/>
    <row r="49155" s="12" customFormat="1" x14ac:dyDescent="0.25"/>
    <row r="49156" s="12" customFormat="1" x14ac:dyDescent="0.25"/>
    <row r="49157" s="12" customFormat="1" x14ac:dyDescent="0.25"/>
    <row r="49158" s="12" customFormat="1" x14ac:dyDescent="0.25"/>
    <row r="49159" s="12" customFormat="1" x14ac:dyDescent="0.25"/>
    <row r="49160" s="12" customFormat="1" x14ac:dyDescent="0.25"/>
    <row r="49161" s="12" customFormat="1" x14ac:dyDescent="0.25"/>
    <row r="49162" s="12" customFormat="1" x14ac:dyDescent="0.25"/>
    <row r="49163" s="12" customFormat="1" x14ac:dyDescent="0.25"/>
    <row r="49164" s="12" customFormat="1" x14ac:dyDescent="0.25"/>
    <row r="49165" s="12" customFormat="1" x14ac:dyDescent="0.25"/>
    <row r="49166" s="12" customFormat="1" x14ac:dyDescent="0.25"/>
    <row r="49167" s="12" customFormat="1" x14ac:dyDescent="0.25"/>
    <row r="49168" s="12" customFormat="1" x14ac:dyDescent="0.25"/>
    <row r="49169" s="12" customFormat="1" x14ac:dyDescent="0.25"/>
    <row r="49170" s="12" customFormat="1" x14ac:dyDescent="0.25"/>
    <row r="49171" s="12" customFormat="1" x14ac:dyDescent="0.25"/>
    <row r="49172" s="12" customFormat="1" x14ac:dyDescent="0.25"/>
    <row r="49173" s="12" customFormat="1" x14ac:dyDescent="0.25"/>
    <row r="49174" s="12" customFormat="1" x14ac:dyDescent="0.25"/>
    <row r="49175" s="12" customFormat="1" x14ac:dyDescent="0.25"/>
    <row r="49176" s="12" customFormat="1" x14ac:dyDescent="0.25"/>
    <row r="49177" s="12" customFormat="1" x14ac:dyDescent="0.25"/>
    <row r="49178" s="12" customFormat="1" x14ac:dyDescent="0.25"/>
    <row r="49179" s="12" customFormat="1" x14ac:dyDescent="0.25"/>
    <row r="49180" s="12" customFormat="1" x14ac:dyDescent="0.25"/>
    <row r="49181" s="12" customFormat="1" x14ac:dyDescent="0.25"/>
    <row r="49182" s="12" customFormat="1" x14ac:dyDescent="0.25"/>
    <row r="49183" s="12" customFormat="1" x14ac:dyDescent="0.25"/>
    <row r="49184" s="12" customFormat="1" x14ac:dyDescent="0.25"/>
    <row r="49185" s="12" customFormat="1" x14ac:dyDescent="0.25"/>
    <row r="49186" s="12" customFormat="1" x14ac:dyDescent="0.25"/>
    <row r="49187" s="12" customFormat="1" x14ac:dyDescent="0.25"/>
    <row r="49188" s="12" customFormat="1" x14ac:dyDescent="0.25"/>
    <row r="49189" s="12" customFormat="1" x14ac:dyDescent="0.25"/>
    <row r="49190" s="12" customFormat="1" x14ac:dyDescent="0.25"/>
    <row r="49191" s="12" customFormat="1" x14ac:dyDescent="0.25"/>
    <row r="49192" s="12" customFormat="1" x14ac:dyDescent="0.25"/>
    <row r="49193" s="12" customFormat="1" x14ac:dyDescent="0.25"/>
    <row r="49194" s="12" customFormat="1" x14ac:dyDescent="0.25"/>
    <row r="49195" s="12" customFormat="1" x14ac:dyDescent="0.25"/>
    <row r="49196" s="12" customFormat="1" x14ac:dyDescent="0.25"/>
    <row r="49197" s="12" customFormat="1" x14ac:dyDescent="0.25"/>
    <row r="49198" s="12" customFormat="1" x14ac:dyDescent="0.25"/>
    <row r="49199" s="12" customFormat="1" x14ac:dyDescent="0.25"/>
    <row r="49200" s="12" customFormat="1" x14ac:dyDescent="0.25"/>
    <row r="49201" s="12" customFormat="1" x14ac:dyDescent="0.25"/>
    <row r="49202" s="12" customFormat="1" x14ac:dyDescent="0.25"/>
    <row r="49203" s="12" customFormat="1" x14ac:dyDescent="0.25"/>
    <row r="49204" s="12" customFormat="1" x14ac:dyDescent="0.25"/>
    <row r="49205" s="12" customFormat="1" x14ac:dyDescent="0.25"/>
    <row r="49206" s="12" customFormat="1" x14ac:dyDescent="0.25"/>
    <row r="49207" s="12" customFormat="1" x14ac:dyDescent="0.25"/>
    <row r="49208" s="12" customFormat="1" x14ac:dyDescent="0.25"/>
    <row r="49209" s="12" customFormat="1" x14ac:dyDescent="0.25"/>
    <row r="49210" s="12" customFormat="1" x14ac:dyDescent="0.25"/>
    <row r="49211" s="12" customFormat="1" x14ac:dyDescent="0.25"/>
    <row r="49212" s="12" customFormat="1" x14ac:dyDescent="0.25"/>
    <row r="49213" s="12" customFormat="1" x14ac:dyDescent="0.25"/>
    <row r="49214" s="12" customFormat="1" x14ac:dyDescent="0.25"/>
    <row r="49215" s="12" customFormat="1" x14ac:dyDescent="0.25"/>
    <row r="49216" s="12" customFormat="1" x14ac:dyDescent="0.25"/>
    <row r="49217" s="12" customFormat="1" x14ac:dyDescent="0.25"/>
    <row r="49218" s="12" customFormat="1" x14ac:dyDescent="0.25"/>
    <row r="49219" s="12" customFormat="1" x14ac:dyDescent="0.25"/>
    <row r="49220" s="12" customFormat="1" x14ac:dyDescent="0.25"/>
    <row r="49221" s="12" customFormat="1" x14ac:dyDescent="0.25"/>
    <row r="49222" s="12" customFormat="1" x14ac:dyDescent="0.25"/>
    <row r="49223" s="12" customFormat="1" x14ac:dyDescent="0.25"/>
    <row r="49224" s="12" customFormat="1" x14ac:dyDescent="0.25"/>
    <row r="49225" s="12" customFormat="1" x14ac:dyDescent="0.25"/>
    <row r="49226" s="12" customFormat="1" x14ac:dyDescent="0.25"/>
    <row r="49227" s="12" customFormat="1" x14ac:dyDescent="0.25"/>
    <row r="49228" s="12" customFormat="1" x14ac:dyDescent="0.25"/>
    <row r="49229" s="12" customFormat="1" x14ac:dyDescent="0.25"/>
    <row r="49230" s="12" customFormat="1" x14ac:dyDescent="0.25"/>
    <row r="49231" s="12" customFormat="1" x14ac:dyDescent="0.25"/>
    <row r="49232" s="12" customFormat="1" x14ac:dyDescent="0.25"/>
    <row r="49233" s="12" customFormat="1" x14ac:dyDescent="0.25"/>
    <row r="49234" s="12" customFormat="1" x14ac:dyDescent="0.25"/>
    <row r="49235" s="12" customFormat="1" x14ac:dyDescent="0.25"/>
    <row r="49236" s="12" customFormat="1" x14ac:dyDescent="0.25"/>
    <row r="49237" s="12" customFormat="1" x14ac:dyDescent="0.25"/>
    <row r="49238" s="12" customFormat="1" x14ac:dyDescent="0.25"/>
    <row r="49239" s="12" customFormat="1" x14ac:dyDescent="0.25"/>
    <row r="49240" s="12" customFormat="1" x14ac:dyDescent="0.25"/>
    <row r="49241" s="12" customFormat="1" x14ac:dyDescent="0.25"/>
    <row r="49242" s="12" customFormat="1" x14ac:dyDescent="0.25"/>
    <row r="49243" s="12" customFormat="1" x14ac:dyDescent="0.25"/>
    <row r="49244" s="12" customFormat="1" x14ac:dyDescent="0.25"/>
    <row r="49245" s="12" customFormat="1" x14ac:dyDescent="0.25"/>
    <row r="49246" s="12" customFormat="1" x14ac:dyDescent="0.25"/>
    <row r="49247" s="12" customFormat="1" x14ac:dyDescent="0.25"/>
    <row r="49248" s="12" customFormat="1" x14ac:dyDescent="0.25"/>
    <row r="49249" s="12" customFormat="1" x14ac:dyDescent="0.25"/>
    <row r="49250" s="12" customFormat="1" x14ac:dyDescent="0.25"/>
    <row r="49251" s="12" customFormat="1" x14ac:dyDescent="0.25"/>
    <row r="49252" s="12" customFormat="1" x14ac:dyDescent="0.25"/>
    <row r="49253" s="12" customFormat="1" x14ac:dyDescent="0.25"/>
    <row r="49254" s="12" customFormat="1" x14ac:dyDescent="0.25"/>
    <row r="49255" s="12" customFormat="1" x14ac:dyDescent="0.25"/>
    <row r="49256" s="12" customFormat="1" x14ac:dyDescent="0.25"/>
    <row r="49257" s="12" customFormat="1" x14ac:dyDescent="0.25"/>
    <row r="49258" s="12" customFormat="1" x14ac:dyDescent="0.25"/>
    <row r="49259" s="12" customFormat="1" x14ac:dyDescent="0.25"/>
    <row r="49260" s="12" customFormat="1" x14ac:dyDescent="0.25"/>
    <row r="49261" s="12" customFormat="1" x14ac:dyDescent="0.25"/>
    <row r="49262" s="12" customFormat="1" x14ac:dyDescent="0.25"/>
    <row r="49263" s="12" customFormat="1" x14ac:dyDescent="0.25"/>
    <row r="49264" s="12" customFormat="1" x14ac:dyDescent="0.25"/>
    <row r="49265" s="12" customFormat="1" x14ac:dyDescent="0.25"/>
    <row r="49266" s="12" customFormat="1" x14ac:dyDescent="0.25"/>
    <row r="49267" s="12" customFormat="1" x14ac:dyDescent="0.25"/>
    <row r="49268" s="12" customFormat="1" x14ac:dyDescent="0.25"/>
    <row r="49269" s="12" customFormat="1" x14ac:dyDescent="0.25"/>
    <row r="49270" s="12" customFormat="1" x14ac:dyDescent="0.25"/>
    <row r="49271" s="12" customFormat="1" x14ac:dyDescent="0.25"/>
    <row r="49272" s="12" customFormat="1" x14ac:dyDescent="0.25"/>
    <row r="49273" s="12" customFormat="1" x14ac:dyDescent="0.25"/>
    <row r="49274" s="12" customFormat="1" x14ac:dyDescent="0.25"/>
    <row r="49275" s="12" customFormat="1" x14ac:dyDescent="0.25"/>
    <row r="49276" s="12" customFormat="1" x14ac:dyDescent="0.25"/>
    <row r="49277" s="12" customFormat="1" x14ac:dyDescent="0.25"/>
    <row r="49278" s="12" customFormat="1" x14ac:dyDescent="0.25"/>
    <row r="49279" s="12" customFormat="1" x14ac:dyDescent="0.25"/>
    <row r="49280" s="12" customFormat="1" x14ac:dyDescent="0.25"/>
    <row r="49281" s="12" customFormat="1" x14ac:dyDescent="0.25"/>
    <row r="49282" s="12" customFormat="1" x14ac:dyDescent="0.25"/>
    <row r="49283" s="12" customFormat="1" x14ac:dyDescent="0.25"/>
    <row r="49284" s="12" customFormat="1" x14ac:dyDescent="0.25"/>
    <row r="49285" s="12" customFormat="1" x14ac:dyDescent="0.25"/>
    <row r="49286" s="12" customFormat="1" x14ac:dyDescent="0.25"/>
    <row r="49287" s="12" customFormat="1" x14ac:dyDescent="0.25"/>
    <row r="49288" s="12" customFormat="1" x14ac:dyDescent="0.25"/>
    <row r="49289" s="12" customFormat="1" x14ac:dyDescent="0.25"/>
    <row r="49290" s="12" customFormat="1" x14ac:dyDescent="0.25"/>
    <row r="49291" s="12" customFormat="1" x14ac:dyDescent="0.25"/>
    <row r="49292" s="12" customFormat="1" x14ac:dyDescent="0.25"/>
    <row r="49293" s="12" customFormat="1" x14ac:dyDescent="0.25"/>
    <row r="49294" s="12" customFormat="1" x14ac:dyDescent="0.25"/>
    <row r="49295" s="12" customFormat="1" x14ac:dyDescent="0.25"/>
    <row r="49296" s="12" customFormat="1" x14ac:dyDescent="0.25"/>
    <row r="49297" s="12" customFormat="1" x14ac:dyDescent="0.25"/>
    <row r="49298" s="12" customFormat="1" x14ac:dyDescent="0.25"/>
    <row r="49299" s="12" customFormat="1" x14ac:dyDescent="0.25"/>
    <row r="49300" s="12" customFormat="1" x14ac:dyDescent="0.25"/>
    <row r="49301" s="12" customFormat="1" x14ac:dyDescent="0.25"/>
    <row r="49302" s="12" customFormat="1" x14ac:dyDescent="0.25"/>
    <row r="49303" s="12" customFormat="1" x14ac:dyDescent="0.25"/>
    <row r="49304" s="12" customFormat="1" x14ac:dyDescent="0.25"/>
    <row r="49305" s="12" customFormat="1" x14ac:dyDescent="0.25"/>
    <row r="49306" s="12" customFormat="1" x14ac:dyDescent="0.25"/>
    <row r="49307" s="12" customFormat="1" x14ac:dyDescent="0.25"/>
    <row r="49308" s="12" customFormat="1" x14ac:dyDescent="0.25"/>
    <row r="49309" s="12" customFormat="1" x14ac:dyDescent="0.25"/>
    <row r="49310" s="12" customFormat="1" x14ac:dyDescent="0.25"/>
    <row r="49311" s="12" customFormat="1" x14ac:dyDescent="0.25"/>
    <row r="49312" s="12" customFormat="1" x14ac:dyDescent="0.25"/>
    <row r="49313" s="12" customFormat="1" x14ac:dyDescent="0.25"/>
    <row r="49314" s="12" customFormat="1" x14ac:dyDescent="0.25"/>
    <row r="49315" s="12" customFormat="1" x14ac:dyDescent="0.25"/>
    <row r="49316" s="12" customFormat="1" x14ac:dyDescent="0.25"/>
    <row r="49317" s="12" customFormat="1" x14ac:dyDescent="0.25"/>
    <row r="49318" s="12" customFormat="1" x14ac:dyDescent="0.25"/>
    <row r="49319" s="12" customFormat="1" x14ac:dyDescent="0.25"/>
    <row r="49320" s="12" customFormat="1" x14ac:dyDescent="0.25"/>
    <row r="49321" s="12" customFormat="1" x14ac:dyDescent="0.25"/>
    <row r="49322" s="12" customFormat="1" x14ac:dyDescent="0.25"/>
    <row r="49323" s="12" customFormat="1" x14ac:dyDescent="0.25"/>
    <row r="49324" s="12" customFormat="1" x14ac:dyDescent="0.25"/>
    <row r="49325" s="12" customFormat="1" x14ac:dyDescent="0.25"/>
    <row r="49326" s="12" customFormat="1" x14ac:dyDescent="0.25"/>
    <row r="49327" s="12" customFormat="1" x14ac:dyDescent="0.25"/>
    <row r="49328" s="12" customFormat="1" x14ac:dyDescent="0.25"/>
    <row r="49329" s="12" customFormat="1" x14ac:dyDescent="0.25"/>
    <row r="49330" s="12" customFormat="1" x14ac:dyDescent="0.25"/>
    <row r="49331" s="12" customFormat="1" x14ac:dyDescent="0.25"/>
    <row r="49332" s="12" customFormat="1" x14ac:dyDescent="0.25"/>
    <row r="49333" s="12" customFormat="1" x14ac:dyDescent="0.25"/>
    <row r="49334" s="12" customFormat="1" x14ac:dyDescent="0.25"/>
    <row r="49335" s="12" customFormat="1" x14ac:dyDescent="0.25"/>
    <row r="49336" s="12" customFormat="1" x14ac:dyDescent="0.25"/>
    <row r="49337" s="12" customFormat="1" x14ac:dyDescent="0.25"/>
    <row r="49338" s="12" customFormat="1" x14ac:dyDescent="0.25"/>
    <row r="49339" s="12" customFormat="1" x14ac:dyDescent="0.25"/>
    <row r="49340" s="12" customFormat="1" x14ac:dyDescent="0.25"/>
    <row r="49341" s="12" customFormat="1" x14ac:dyDescent="0.25"/>
    <row r="49342" s="12" customFormat="1" x14ac:dyDescent="0.25"/>
    <row r="49343" s="12" customFormat="1" x14ac:dyDescent="0.25"/>
    <row r="49344" s="12" customFormat="1" x14ac:dyDescent="0.25"/>
    <row r="49345" s="12" customFormat="1" x14ac:dyDescent="0.25"/>
    <row r="49346" s="12" customFormat="1" x14ac:dyDescent="0.25"/>
    <row r="49347" s="12" customFormat="1" x14ac:dyDescent="0.25"/>
    <row r="49348" s="12" customFormat="1" x14ac:dyDescent="0.25"/>
    <row r="49349" s="12" customFormat="1" x14ac:dyDescent="0.25"/>
    <row r="49350" s="12" customFormat="1" x14ac:dyDescent="0.25"/>
    <row r="49351" s="12" customFormat="1" x14ac:dyDescent="0.25"/>
    <row r="49352" s="12" customFormat="1" x14ac:dyDescent="0.25"/>
    <row r="49353" s="12" customFormat="1" x14ac:dyDescent="0.25"/>
    <row r="49354" s="12" customFormat="1" x14ac:dyDescent="0.25"/>
    <row r="49355" s="12" customFormat="1" x14ac:dyDescent="0.25"/>
    <row r="49356" s="12" customFormat="1" x14ac:dyDescent="0.25"/>
    <row r="49357" s="12" customFormat="1" x14ac:dyDescent="0.25"/>
    <row r="49358" s="12" customFormat="1" x14ac:dyDescent="0.25"/>
    <row r="49359" s="12" customFormat="1" x14ac:dyDescent="0.25"/>
    <row r="49360" s="12" customFormat="1" x14ac:dyDescent="0.25"/>
    <row r="49361" s="12" customFormat="1" x14ac:dyDescent="0.25"/>
    <row r="49362" s="12" customFormat="1" x14ac:dyDescent="0.25"/>
    <row r="49363" s="12" customFormat="1" x14ac:dyDescent="0.25"/>
    <row r="49364" s="12" customFormat="1" x14ac:dyDescent="0.25"/>
    <row r="49365" s="12" customFormat="1" x14ac:dyDescent="0.25"/>
    <row r="49366" s="12" customFormat="1" x14ac:dyDescent="0.25"/>
    <row r="49367" s="12" customFormat="1" x14ac:dyDescent="0.25"/>
    <row r="49368" s="12" customFormat="1" x14ac:dyDescent="0.25"/>
    <row r="49369" s="12" customFormat="1" x14ac:dyDescent="0.25"/>
    <row r="49370" s="12" customFormat="1" x14ac:dyDescent="0.25"/>
    <row r="49371" s="12" customFormat="1" x14ac:dyDescent="0.25"/>
    <row r="49372" s="12" customFormat="1" x14ac:dyDescent="0.25"/>
    <row r="49373" s="12" customFormat="1" x14ac:dyDescent="0.25"/>
    <row r="49374" s="12" customFormat="1" x14ac:dyDescent="0.25"/>
    <row r="49375" s="12" customFormat="1" x14ac:dyDescent="0.25"/>
    <row r="49376" s="12" customFormat="1" x14ac:dyDescent="0.25"/>
    <row r="49377" s="12" customFormat="1" x14ac:dyDescent="0.25"/>
    <row r="49378" s="12" customFormat="1" x14ac:dyDescent="0.25"/>
    <row r="49379" s="12" customFormat="1" x14ac:dyDescent="0.25"/>
    <row r="49380" s="12" customFormat="1" x14ac:dyDescent="0.25"/>
    <row r="49381" s="12" customFormat="1" x14ac:dyDescent="0.25"/>
    <row r="49382" s="12" customFormat="1" x14ac:dyDescent="0.25"/>
    <row r="49383" s="12" customFormat="1" x14ac:dyDescent="0.25"/>
    <row r="49384" s="12" customFormat="1" x14ac:dyDescent="0.25"/>
    <row r="49385" s="12" customFormat="1" x14ac:dyDescent="0.25"/>
    <row r="49386" s="12" customFormat="1" x14ac:dyDescent="0.25"/>
    <row r="49387" s="12" customFormat="1" x14ac:dyDescent="0.25"/>
    <row r="49388" s="12" customFormat="1" x14ac:dyDescent="0.25"/>
    <row r="49389" s="12" customFormat="1" x14ac:dyDescent="0.25"/>
    <row r="49390" s="12" customFormat="1" x14ac:dyDescent="0.25"/>
    <row r="49391" s="12" customFormat="1" x14ac:dyDescent="0.25"/>
    <row r="49392" s="12" customFormat="1" x14ac:dyDescent="0.25"/>
    <row r="49393" s="12" customFormat="1" x14ac:dyDescent="0.25"/>
    <row r="49394" s="12" customFormat="1" x14ac:dyDescent="0.25"/>
    <row r="49395" s="12" customFormat="1" x14ac:dyDescent="0.25"/>
    <row r="49396" s="12" customFormat="1" x14ac:dyDescent="0.25"/>
    <row r="49397" s="12" customFormat="1" x14ac:dyDescent="0.25"/>
    <row r="49398" s="12" customFormat="1" x14ac:dyDescent="0.25"/>
    <row r="49399" s="12" customFormat="1" x14ac:dyDescent="0.25"/>
    <row r="49400" s="12" customFormat="1" x14ac:dyDescent="0.25"/>
    <row r="49401" s="12" customFormat="1" x14ac:dyDescent="0.25"/>
    <row r="49402" s="12" customFormat="1" x14ac:dyDescent="0.25"/>
    <row r="49403" s="12" customFormat="1" x14ac:dyDescent="0.25"/>
    <row r="49404" s="12" customFormat="1" x14ac:dyDescent="0.25"/>
    <row r="49405" s="12" customFormat="1" x14ac:dyDescent="0.25"/>
    <row r="49406" s="12" customFormat="1" x14ac:dyDescent="0.25"/>
    <row r="49407" s="12" customFormat="1" x14ac:dyDescent="0.25"/>
    <row r="49408" s="12" customFormat="1" x14ac:dyDescent="0.25"/>
    <row r="49409" s="12" customFormat="1" x14ac:dyDescent="0.25"/>
    <row r="49410" s="12" customFormat="1" x14ac:dyDescent="0.25"/>
    <row r="49411" s="12" customFormat="1" x14ac:dyDescent="0.25"/>
    <row r="49412" s="12" customFormat="1" x14ac:dyDescent="0.25"/>
    <row r="49413" s="12" customFormat="1" x14ac:dyDescent="0.25"/>
    <row r="49414" s="12" customFormat="1" x14ac:dyDescent="0.25"/>
    <row r="49415" s="12" customFormat="1" x14ac:dyDescent="0.25"/>
    <row r="49416" s="12" customFormat="1" x14ac:dyDescent="0.25"/>
    <row r="49417" s="12" customFormat="1" x14ac:dyDescent="0.25"/>
    <row r="49418" s="12" customFormat="1" x14ac:dyDescent="0.25"/>
    <row r="49419" s="12" customFormat="1" x14ac:dyDescent="0.25"/>
    <row r="49420" s="12" customFormat="1" x14ac:dyDescent="0.25"/>
    <row r="49421" s="12" customFormat="1" x14ac:dyDescent="0.25"/>
    <row r="49422" s="12" customFormat="1" x14ac:dyDescent="0.25"/>
    <row r="49423" s="12" customFormat="1" x14ac:dyDescent="0.25"/>
    <row r="49424" s="12" customFormat="1" x14ac:dyDescent="0.25"/>
    <row r="49425" s="12" customFormat="1" x14ac:dyDescent="0.25"/>
    <row r="49426" s="12" customFormat="1" x14ac:dyDescent="0.25"/>
    <row r="49427" s="12" customFormat="1" x14ac:dyDescent="0.25"/>
    <row r="49428" s="12" customFormat="1" x14ac:dyDescent="0.25"/>
    <row r="49429" s="12" customFormat="1" x14ac:dyDescent="0.25"/>
    <row r="49430" s="12" customFormat="1" x14ac:dyDescent="0.25"/>
    <row r="49431" s="12" customFormat="1" x14ac:dyDescent="0.25"/>
    <row r="49432" s="12" customFormat="1" x14ac:dyDescent="0.25"/>
    <row r="49433" s="12" customFormat="1" x14ac:dyDescent="0.25"/>
    <row r="49434" s="12" customFormat="1" x14ac:dyDescent="0.25"/>
    <row r="49435" s="12" customFormat="1" x14ac:dyDescent="0.25"/>
    <row r="49436" s="12" customFormat="1" x14ac:dyDescent="0.25"/>
    <row r="49437" s="12" customFormat="1" x14ac:dyDescent="0.25"/>
    <row r="49438" s="12" customFormat="1" x14ac:dyDescent="0.25"/>
    <row r="49439" s="12" customFormat="1" x14ac:dyDescent="0.25"/>
    <row r="49440" s="12" customFormat="1" x14ac:dyDescent="0.25"/>
    <row r="49441" s="12" customFormat="1" x14ac:dyDescent="0.25"/>
    <row r="49442" s="12" customFormat="1" x14ac:dyDescent="0.25"/>
    <row r="49443" s="12" customFormat="1" x14ac:dyDescent="0.25"/>
    <row r="49444" s="12" customFormat="1" x14ac:dyDescent="0.25"/>
    <row r="49445" s="12" customFormat="1" x14ac:dyDescent="0.25"/>
    <row r="49446" s="12" customFormat="1" x14ac:dyDescent="0.25"/>
    <row r="49447" s="12" customFormat="1" x14ac:dyDescent="0.25"/>
    <row r="49448" s="12" customFormat="1" x14ac:dyDescent="0.25"/>
    <row r="49449" s="12" customFormat="1" x14ac:dyDescent="0.25"/>
    <row r="49450" s="12" customFormat="1" x14ac:dyDescent="0.25"/>
    <row r="49451" s="12" customFormat="1" x14ac:dyDescent="0.25"/>
    <row r="49452" s="12" customFormat="1" x14ac:dyDescent="0.25"/>
    <row r="49453" s="12" customFormat="1" x14ac:dyDescent="0.25"/>
    <row r="49454" s="12" customFormat="1" x14ac:dyDescent="0.25"/>
    <row r="49455" s="12" customFormat="1" x14ac:dyDescent="0.25"/>
    <row r="49456" s="12" customFormat="1" x14ac:dyDescent="0.25"/>
    <row r="49457" s="12" customFormat="1" x14ac:dyDescent="0.25"/>
    <row r="49458" s="12" customFormat="1" x14ac:dyDescent="0.25"/>
    <row r="49459" s="12" customFormat="1" x14ac:dyDescent="0.25"/>
    <row r="49460" s="12" customFormat="1" x14ac:dyDescent="0.25"/>
    <row r="49461" s="12" customFormat="1" x14ac:dyDescent="0.25"/>
    <row r="49462" s="12" customFormat="1" x14ac:dyDescent="0.25"/>
    <row r="49463" s="12" customFormat="1" x14ac:dyDescent="0.25"/>
    <row r="49464" s="12" customFormat="1" x14ac:dyDescent="0.25"/>
    <row r="49465" s="12" customFormat="1" x14ac:dyDescent="0.25"/>
    <row r="49466" s="12" customFormat="1" x14ac:dyDescent="0.25"/>
    <row r="49467" s="12" customFormat="1" x14ac:dyDescent="0.25"/>
    <row r="49468" s="12" customFormat="1" x14ac:dyDescent="0.25"/>
    <row r="49469" s="12" customFormat="1" x14ac:dyDescent="0.25"/>
    <row r="49470" s="12" customFormat="1" x14ac:dyDescent="0.25"/>
    <row r="49471" s="12" customFormat="1" x14ac:dyDescent="0.25"/>
    <row r="49472" s="12" customFormat="1" x14ac:dyDescent="0.25"/>
    <row r="49473" s="12" customFormat="1" x14ac:dyDescent="0.25"/>
    <row r="49474" s="12" customFormat="1" x14ac:dyDescent="0.25"/>
    <row r="49475" s="12" customFormat="1" x14ac:dyDescent="0.25"/>
    <row r="49476" s="12" customFormat="1" x14ac:dyDescent="0.25"/>
    <row r="49477" s="12" customFormat="1" x14ac:dyDescent="0.25"/>
    <row r="49478" s="12" customFormat="1" x14ac:dyDescent="0.25"/>
    <row r="49479" s="12" customFormat="1" x14ac:dyDescent="0.25"/>
    <row r="49480" s="12" customFormat="1" x14ac:dyDescent="0.25"/>
    <row r="49481" s="12" customFormat="1" x14ac:dyDescent="0.25"/>
    <row r="49482" s="12" customFormat="1" x14ac:dyDescent="0.25"/>
    <row r="49483" s="12" customFormat="1" x14ac:dyDescent="0.25"/>
    <row r="49484" s="12" customFormat="1" x14ac:dyDescent="0.25"/>
    <row r="49485" s="12" customFormat="1" x14ac:dyDescent="0.25"/>
    <row r="49486" s="12" customFormat="1" x14ac:dyDescent="0.25"/>
    <row r="49487" s="12" customFormat="1" x14ac:dyDescent="0.25"/>
    <row r="49488" s="12" customFormat="1" x14ac:dyDescent="0.25"/>
    <row r="49489" s="12" customFormat="1" x14ac:dyDescent="0.25"/>
    <row r="49490" s="12" customFormat="1" x14ac:dyDescent="0.25"/>
    <row r="49491" s="12" customFormat="1" x14ac:dyDescent="0.25"/>
    <row r="49492" s="12" customFormat="1" x14ac:dyDescent="0.25"/>
    <row r="49493" s="12" customFormat="1" x14ac:dyDescent="0.25"/>
    <row r="49494" s="12" customFormat="1" x14ac:dyDescent="0.25"/>
    <row r="49495" s="12" customFormat="1" x14ac:dyDescent="0.25"/>
    <row r="49496" s="12" customFormat="1" x14ac:dyDescent="0.25"/>
    <row r="49497" s="12" customFormat="1" x14ac:dyDescent="0.25"/>
    <row r="49498" s="12" customFormat="1" x14ac:dyDescent="0.25"/>
    <row r="49499" s="12" customFormat="1" x14ac:dyDescent="0.25"/>
    <row r="49500" s="12" customFormat="1" x14ac:dyDescent="0.25"/>
    <row r="49501" s="12" customFormat="1" x14ac:dyDescent="0.25"/>
    <row r="49502" s="12" customFormat="1" x14ac:dyDescent="0.25"/>
    <row r="49503" s="12" customFormat="1" x14ac:dyDescent="0.25"/>
    <row r="49504" s="12" customFormat="1" x14ac:dyDescent="0.25"/>
    <row r="49505" s="12" customFormat="1" x14ac:dyDescent="0.25"/>
    <row r="49506" s="12" customFormat="1" x14ac:dyDescent="0.25"/>
    <row r="49507" s="12" customFormat="1" x14ac:dyDescent="0.25"/>
    <row r="49508" s="12" customFormat="1" x14ac:dyDescent="0.25"/>
    <row r="49509" s="12" customFormat="1" x14ac:dyDescent="0.25"/>
    <row r="49510" s="12" customFormat="1" x14ac:dyDescent="0.25"/>
    <row r="49511" s="12" customFormat="1" x14ac:dyDescent="0.25"/>
    <row r="49512" s="12" customFormat="1" x14ac:dyDescent="0.25"/>
    <row r="49513" s="12" customFormat="1" x14ac:dyDescent="0.25"/>
    <row r="49514" s="12" customFormat="1" x14ac:dyDescent="0.25"/>
    <row r="49515" s="12" customFormat="1" x14ac:dyDescent="0.25"/>
    <row r="49516" s="12" customFormat="1" x14ac:dyDescent="0.25"/>
    <row r="49517" s="12" customFormat="1" x14ac:dyDescent="0.25"/>
    <row r="49518" s="12" customFormat="1" x14ac:dyDescent="0.25"/>
    <row r="49519" s="12" customFormat="1" x14ac:dyDescent="0.25"/>
    <row r="49520" s="12" customFormat="1" x14ac:dyDescent="0.25"/>
    <row r="49521" s="12" customFormat="1" x14ac:dyDescent="0.25"/>
    <row r="49522" s="12" customFormat="1" x14ac:dyDescent="0.25"/>
    <row r="49523" s="12" customFormat="1" x14ac:dyDescent="0.25"/>
    <row r="49524" s="12" customFormat="1" x14ac:dyDescent="0.25"/>
    <row r="49525" s="12" customFormat="1" x14ac:dyDescent="0.25"/>
    <row r="49526" s="12" customFormat="1" x14ac:dyDescent="0.25"/>
    <row r="49527" s="12" customFormat="1" x14ac:dyDescent="0.25"/>
    <row r="49528" s="12" customFormat="1" x14ac:dyDescent="0.25"/>
    <row r="49529" s="12" customFormat="1" x14ac:dyDescent="0.25"/>
    <row r="49530" s="12" customFormat="1" x14ac:dyDescent="0.25"/>
    <row r="49531" s="12" customFormat="1" x14ac:dyDescent="0.25"/>
    <row r="49532" s="12" customFormat="1" x14ac:dyDescent="0.25"/>
    <row r="49533" s="12" customFormat="1" x14ac:dyDescent="0.25"/>
    <row r="49534" s="12" customFormat="1" x14ac:dyDescent="0.25"/>
    <row r="49535" s="12" customFormat="1" x14ac:dyDescent="0.25"/>
    <row r="49536" s="12" customFormat="1" x14ac:dyDescent="0.25"/>
    <row r="49537" s="12" customFormat="1" x14ac:dyDescent="0.25"/>
    <row r="49538" s="12" customFormat="1" x14ac:dyDescent="0.25"/>
    <row r="49539" s="12" customFormat="1" x14ac:dyDescent="0.25"/>
    <row r="49540" s="12" customFormat="1" x14ac:dyDescent="0.25"/>
    <row r="49541" s="12" customFormat="1" x14ac:dyDescent="0.25"/>
    <row r="49542" s="12" customFormat="1" x14ac:dyDescent="0.25"/>
    <row r="49543" s="12" customFormat="1" x14ac:dyDescent="0.25"/>
    <row r="49544" s="12" customFormat="1" x14ac:dyDescent="0.25"/>
    <row r="49545" s="12" customFormat="1" x14ac:dyDescent="0.25"/>
    <row r="49546" s="12" customFormat="1" x14ac:dyDescent="0.25"/>
    <row r="49547" s="12" customFormat="1" x14ac:dyDescent="0.25"/>
    <row r="49548" s="12" customFormat="1" x14ac:dyDescent="0.25"/>
    <row r="49549" s="12" customFormat="1" x14ac:dyDescent="0.25"/>
    <row r="49550" s="12" customFormat="1" x14ac:dyDescent="0.25"/>
    <row r="49551" s="12" customFormat="1" x14ac:dyDescent="0.25"/>
    <row r="49552" s="12" customFormat="1" x14ac:dyDescent="0.25"/>
    <row r="49553" s="12" customFormat="1" x14ac:dyDescent="0.25"/>
    <row r="49554" s="12" customFormat="1" x14ac:dyDescent="0.25"/>
    <row r="49555" s="12" customFormat="1" x14ac:dyDescent="0.25"/>
    <row r="49556" s="12" customFormat="1" x14ac:dyDescent="0.25"/>
    <row r="49557" s="12" customFormat="1" x14ac:dyDescent="0.25"/>
    <row r="49558" s="12" customFormat="1" x14ac:dyDescent="0.25"/>
    <row r="49559" s="12" customFormat="1" x14ac:dyDescent="0.25"/>
    <row r="49560" s="12" customFormat="1" x14ac:dyDescent="0.25"/>
    <row r="49561" s="12" customFormat="1" x14ac:dyDescent="0.25"/>
    <row r="49562" s="12" customFormat="1" x14ac:dyDescent="0.25"/>
    <row r="49563" s="12" customFormat="1" x14ac:dyDescent="0.25"/>
    <row r="49564" s="12" customFormat="1" x14ac:dyDescent="0.25"/>
    <row r="49565" s="12" customFormat="1" x14ac:dyDescent="0.25"/>
    <row r="49566" s="12" customFormat="1" x14ac:dyDescent="0.25"/>
    <row r="49567" s="12" customFormat="1" x14ac:dyDescent="0.25"/>
    <row r="49568" s="12" customFormat="1" x14ac:dyDescent="0.25"/>
    <row r="49569" s="12" customFormat="1" x14ac:dyDescent="0.25"/>
    <row r="49570" s="12" customFormat="1" x14ac:dyDescent="0.25"/>
    <row r="49571" s="12" customFormat="1" x14ac:dyDescent="0.25"/>
    <row r="49572" s="12" customFormat="1" x14ac:dyDescent="0.25"/>
    <row r="49573" s="12" customFormat="1" x14ac:dyDescent="0.25"/>
    <row r="49574" s="12" customFormat="1" x14ac:dyDescent="0.25"/>
    <row r="49575" s="12" customFormat="1" x14ac:dyDescent="0.25"/>
    <row r="49576" s="12" customFormat="1" x14ac:dyDescent="0.25"/>
    <row r="49577" s="12" customFormat="1" x14ac:dyDescent="0.25"/>
    <row r="49578" s="12" customFormat="1" x14ac:dyDescent="0.25"/>
    <row r="49579" s="12" customFormat="1" x14ac:dyDescent="0.25"/>
    <row r="49580" s="12" customFormat="1" x14ac:dyDescent="0.25"/>
    <row r="49581" s="12" customFormat="1" x14ac:dyDescent="0.25"/>
    <row r="49582" s="12" customFormat="1" x14ac:dyDescent="0.25"/>
    <row r="49583" s="12" customFormat="1" x14ac:dyDescent="0.25"/>
    <row r="49584" s="12" customFormat="1" x14ac:dyDescent="0.25"/>
    <row r="49585" s="12" customFormat="1" x14ac:dyDescent="0.25"/>
    <row r="49586" s="12" customFormat="1" x14ac:dyDescent="0.25"/>
    <row r="49587" s="12" customFormat="1" x14ac:dyDescent="0.25"/>
    <row r="49588" s="12" customFormat="1" x14ac:dyDescent="0.25"/>
    <row r="49589" s="12" customFormat="1" x14ac:dyDescent="0.25"/>
    <row r="49590" s="12" customFormat="1" x14ac:dyDescent="0.25"/>
    <row r="49591" s="12" customFormat="1" x14ac:dyDescent="0.25"/>
    <row r="49592" s="12" customFormat="1" x14ac:dyDescent="0.25"/>
    <row r="49593" s="12" customFormat="1" x14ac:dyDescent="0.25"/>
    <row r="49594" s="12" customFormat="1" x14ac:dyDescent="0.25"/>
    <row r="49595" s="12" customFormat="1" x14ac:dyDescent="0.25"/>
    <row r="49596" s="12" customFormat="1" x14ac:dyDescent="0.25"/>
    <row r="49597" s="12" customFormat="1" x14ac:dyDescent="0.25"/>
    <row r="49598" s="12" customFormat="1" x14ac:dyDescent="0.25"/>
    <row r="49599" s="12" customFormat="1" x14ac:dyDescent="0.25"/>
    <row r="49600" s="12" customFormat="1" x14ac:dyDescent="0.25"/>
    <row r="49601" s="12" customFormat="1" x14ac:dyDescent="0.25"/>
    <row r="49602" s="12" customFormat="1" x14ac:dyDescent="0.25"/>
    <row r="49603" s="12" customFormat="1" x14ac:dyDescent="0.25"/>
    <row r="49604" s="12" customFormat="1" x14ac:dyDescent="0.25"/>
    <row r="49605" s="12" customFormat="1" x14ac:dyDescent="0.25"/>
    <row r="49606" s="12" customFormat="1" x14ac:dyDescent="0.25"/>
    <row r="49607" s="12" customFormat="1" x14ac:dyDescent="0.25"/>
    <row r="49608" s="12" customFormat="1" x14ac:dyDescent="0.25"/>
    <row r="49609" s="12" customFormat="1" x14ac:dyDescent="0.25"/>
    <row r="49610" s="12" customFormat="1" x14ac:dyDescent="0.25"/>
    <row r="49611" s="12" customFormat="1" x14ac:dyDescent="0.25"/>
    <row r="49612" s="12" customFormat="1" x14ac:dyDescent="0.25"/>
    <row r="49613" s="12" customFormat="1" x14ac:dyDescent="0.25"/>
    <row r="49614" s="12" customFormat="1" x14ac:dyDescent="0.25"/>
    <row r="49615" s="12" customFormat="1" x14ac:dyDescent="0.25"/>
    <row r="49616" s="12" customFormat="1" x14ac:dyDescent="0.25"/>
    <row r="49617" s="12" customFormat="1" x14ac:dyDescent="0.25"/>
    <row r="49618" s="12" customFormat="1" x14ac:dyDescent="0.25"/>
    <row r="49619" s="12" customFormat="1" x14ac:dyDescent="0.25"/>
    <row r="49620" s="12" customFormat="1" x14ac:dyDescent="0.25"/>
    <row r="49621" s="12" customFormat="1" x14ac:dyDescent="0.25"/>
    <row r="49622" s="12" customFormat="1" x14ac:dyDescent="0.25"/>
    <row r="49623" s="12" customFormat="1" x14ac:dyDescent="0.25"/>
    <row r="49624" s="12" customFormat="1" x14ac:dyDescent="0.25"/>
    <row r="49625" s="12" customFormat="1" x14ac:dyDescent="0.25"/>
    <row r="49626" s="12" customFormat="1" x14ac:dyDescent="0.25"/>
    <row r="49627" s="12" customFormat="1" x14ac:dyDescent="0.25"/>
    <row r="49628" s="12" customFormat="1" x14ac:dyDescent="0.25"/>
    <row r="49629" s="12" customFormat="1" x14ac:dyDescent="0.25"/>
    <row r="49630" s="12" customFormat="1" x14ac:dyDescent="0.25"/>
    <row r="49631" s="12" customFormat="1" x14ac:dyDescent="0.25"/>
    <row r="49632" s="12" customFormat="1" x14ac:dyDescent="0.25"/>
    <row r="49633" s="12" customFormat="1" x14ac:dyDescent="0.25"/>
    <row r="49634" s="12" customFormat="1" x14ac:dyDescent="0.25"/>
    <row r="49635" s="12" customFormat="1" x14ac:dyDescent="0.25"/>
    <row r="49636" s="12" customFormat="1" x14ac:dyDescent="0.25"/>
    <row r="49637" s="12" customFormat="1" x14ac:dyDescent="0.25"/>
    <row r="49638" s="12" customFormat="1" x14ac:dyDescent="0.25"/>
    <row r="49639" s="12" customFormat="1" x14ac:dyDescent="0.25"/>
    <row r="49640" s="12" customFormat="1" x14ac:dyDescent="0.25"/>
    <row r="49641" s="12" customFormat="1" x14ac:dyDescent="0.25"/>
    <row r="49642" s="12" customFormat="1" x14ac:dyDescent="0.25"/>
    <row r="49643" s="12" customFormat="1" x14ac:dyDescent="0.25"/>
    <row r="49644" s="12" customFormat="1" x14ac:dyDescent="0.25"/>
    <row r="49645" s="12" customFormat="1" x14ac:dyDescent="0.25"/>
    <row r="49646" s="12" customFormat="1" x14ac:dyDescent="0.25"/>
    <row r="49647" s="12" customFormat="1" x14ac:dyDescent="0.25"/>
    <row r="49648" s="12" customFormat="1" x14ac:dyDescent="0.25"/>
    <row r="49649" s="12" customFormat="1" x14ac:dyDescent="0.25"/>
    <row r="49650" s="12" customFormat="1" x14ac:dyDescent="0.25"/>
    <row r="49651" s="12" customFormat="1" x14ac:dyDescent="0.25"/>
    <row r="49652" s="12" customFormat="1" x14ac:dyDescent="0.25"/>
    <row r="49653" s="12" customFormat="1" x14ac:dyDescent="0.25"/>
    <row r="49654" s="12" customFormat="1" x14ac:dyDescent="0.25"/>
    <row r="49655" s="12" customFormat="1" x14ac:dyDescent="0.25"/>
    <row r="49656" s="12" customFormat="1" x14ac:dyDescent="0.25"/>
    <row r="49657" s="12" customFormat="1" x14ac:dyDescent="0.25"/>
    <row r="49658" s="12" customFormat="1" x14ac:dyDescent="0.25"/>
    <row r="49659" s="12" customFormat="1" x14ac:dyDescent="0.25"/>
    <row r="49660" s="12" customFormat="1" x14ac:dyDescent="0.25"/>
    <row r="49661" s="12" customFormat="1" x14ac:dyDescent="0.25"/>
    <row r="49662" s="12" customFormat="1" x14ac:dyDescent="0.25"/>
    <row r="49663" s="12" customFormat="1" x14ac:dyDescent="0.25"/>
    <row r="49664" s="12" customFormat="1" x14ac:dyDescent="0.25"/>
    <row r="49665" s="12" customFormat="1" x14ac:dyDescent="0.25"/>
    <row r="49666" s="12" customFormat="1" x14ac:dyDescent="0.25"/>
    <row r="49667" s="12" customFormat="1" x14ac:dyDescent="0.25"/>
    <row r="49668" s="12" customFormat="1" x14ac:dyDescent="0.25"/>
    <row r="49669" s="12" customFormat="1" x14ac:dyDescent="0.25"/>
    <row r="49670" s="12" customFormat="1" x14ac:dyDescent="0.25"/>
    <row r="49671" s="12" customFormat="1" x14ac:dyDescent="0.25"/>
    <row r="49672" s="12" customFormat="1" x14ac:dyDescent="0.25"/>
    <row r="49673" s="12" customFormat="1" x14ac:dyDescent="0.25"/>
    <row r="49674" s="12" customFormat="1" x14ac:dyDescent="0.25"/>
    <row r="49675" s="12" customFormat="1" x14ac:dyDescent="0.25"/>
    <row r="49676" s="12" customFormat="1" x14ac:dyDescent="0.25"/>
    <row r="49677" s="12" customFormat="1" x14ac:dyDescent="0.25"/>
    <row r="49678" s="12" customFormat="1" x14ac:dyDescent="0.25"/>
    <row r="49679" s="12" customFormat="1" x14ac:dyDescent="0.25"/>
    <row r="49680" s="12" customFormat="1" x14ac:dyDescent="0.25"/>
    <row r="49681" s="12" customFormat="1" x14ac:dyDescent="0.25"/>
    <row r="49682" s="12" customFormat="1" x14ac:dyDescent="0.25"/>
    <row r="49683" s="12" customFormat="1" x14ac:dyDescent="0.25"/>
    <row r="49684" s="12" customFormat="1" x14ac:dyDescent="0.25"/>
    <row r="49685" s="12" customFormat="1" x14ac:dyDescent="0.25"/>
    <row r="49686" s="12" customFormat="1" x14ac:dyDescent="0.25"/>
    <row r="49687" s="12" customFormat="1" x14ac:dyDescent="0.25"/>
    <row r="49688" s="12" customFormat="1" x14ac:dyDescent="0.25"/>
    <row r="49689" s="12" customFormat="1" x14ac:dyDescent="0.25"/>
    <row r="49690" s="12" customFormat="1" x14ac:dyDescent="0.25"/>
    <row r="49691" s="12" customFormat="1" x14ac:dyDescent="0.25"/>
    <row r="49692" s="12" customFormat="1" x14ac:dyDescent="0.25"/>
    <row r="49693" s="12" customFormat="1" x14ac:dyDescent="0.25"/>
    <row r="49694" s="12" customFormat="1" x14ac:dyDescent="0.25"/>
    <row r="49695" s="12" customFormat="1" x14ac:dyDescent="0.25"/>
    <row r="49696" s="12" customFormat="1" x14ac:dyDescent="0.25"/>
    <row r="49697" s="12" customFormat="1" x14ac:dyDescent="0.25"/>
    <row r="49698" s="12" customFormat="1" x14ac:dyDescent="0.25"/>
    <row r="49699" s="12" customFormat="1" x14ac:dyDescent="0.25"/>
    <row r="49700" s="12" customFormat="1" x14ac:dyDescent="0.25"/>
    <row r="49701" s="12" customFormat="1" x14ac:dyDescent="0.25"/>
    <row r="49702" s="12" customFormat="1" x14ac:dyDescent="0.25"/>
    <row r="49703" s="12" customFormat="1" x14ac:dyDescent="0.25"/>
    <row r="49704" s="12" customFormat="1" x14ac:dyDescent="0.25"/>
    <row r="49705" s="12" customFormat="1" x14ac:dyDescent="0.25"/>
    <row r="49706" s="12" customFormat="1" x14ac:dyDescent="0.25"/>
    <row r="49707" s="12" customFormat="1" x14ac:dyDescent="0.25"/>
    <row r="49708" s="12" customFormat="1" x14ac:dyDescent="0.25"/>
    <row r="49709" s="12" customFormat="1" x14ac:dyDescent="0.25"/>
    <row r="49710" s="12" customFormat="1" x14ac:dyDescent="0.25"/>
    <row r="49711" s="12" customFormat="1" x14ac:dyDescent="0.25"/>
    <row r="49712" s="12" customFormat="1" x14ac:dyDescent="0.25"/>
    <row r="49713" s="12" customFormat="1" x14ac:dyDescent="0.25"/>
    <row r="49714" s="12" customFormat="1" x14ac:dyDescent="0.25"/>
    <row r="49715" s="12" customFormat="1" x14ac:dyDescent="0.25"/>
    <row r="49716" s="12" customFormat="1" x14ac:dyDescent="0.25"/>
    <row r="49717" s="12" customFormat="1" x14ac:dyDescent="0.25"/>
    <row r="49718" s="12" customFormat="1" x14ac:dyDescent="0.25"/>
    <row r="49719" s="12" customFormat="1" x14ac:dyDescent="0.25"/>
    <row r="49720" s="12" customFormat="1" x14ac:dyDescent="0.25"/>
    <row r="49721" s="12" customFormat="1" x14ac:dyDescent="0.25"/>
    <row r="49722" s="12" customFormat="1" x14ac:dyDescent="0.25"/>
    <row r="49723" s="12" customFormat="1" x14ac:dyDescent="0.25"/>
    <row r="49724" s="12" customFormat="1" x14ac:dyDescent="0.25"/>
    <row r="49725" s="12" customFormat="1" x14ac:dyDescent="0.25"/>
    <row r="49726" s="12" customFormat="1" x14ac:dyDescent="0.25"/>
    <row r="49727" s="12" customFormat="1" x14ac:dyDescent="0.25"/>
    <row r="49728" s="12" customFormat="1" x14ac:dyDescent="0.25"/>
    <row r="49729" s="12" customFormat="1" x14ac:dyDescent="0.25"/>
    <row r="49730" s="12" customFormat="1" x14ac:dyDescent="0.25"/>
    <row r="49731" s="12" customFormat="1" x14ac:dyDescent="0.25"/>
    <row r="49732" s="12" customFormat="1" x14ac:dyDescent="0.25"/>
    <row r="49733" s="12" customFormat="1" x14ac:dyDescent="0.25"/>
    <row r="49734" s="12" customFormat="1" x14ac:dyDescent="0.25"/>
    <row r="49735" s="12" customFormat="1" x14ac:dyDescent="0.25"/>
    <row r="49736" s="12" customFormat="1" x14ac:dyDescent="0.25"/>
    <row r="49737" s="12" customFormat="1" x14ac:dyDescent="0.25"/>
    <row r="49738" s="12" customFormat="1" x14ac:dyDescent="0.25"/>
    <row r="49739" s="12" customFormat="1" x14ac:dyDescent="0.25"/>
    <row r="49740" s="12" customFormat="1" x14ac:dyDescent="0.25"/>
    <row r="49741" s="12" customFormat="1" x14ac:dyDescent="0.25"/>
    <row r="49742" s="12" customFormat="1" x14ac:dyDescent="0.25"/>
    <row r="49743" s="12" customFormat="1" x14ac:dyDescent="0.25"/>
    <row r="49744" s="12" customFormat="1" x14ac:dyDescent="0.25"/>
    <row r="49745" s="12" customFormat="1" x14ac:dyDescent="0.25"/>
    <row r="49746" s="12" customFormat="1" x14ac:dyDescent="0.25"/>
    <row r="49747" s="12" customFormat="1" x14ac:dyDescent="0.25"/>
    <row r="49748" s="12" customFormat="1" x14ac:dyDescent="0.25"/>
    <row r="49749" s="12" customFormat="1" x14ac:dyDescent="0.25"/>
    <row r="49750" s="12" customFormat="1" x14ac:dyDescent="0.25"/>
    <row r="49751" s="12" customFormat="1" x14ac:dyDescent="0.25"/>
    <row r="49752" s="12" customFormat="1" x14ac:dyDescent="0.25"/>
    <row r="49753" s="12" customFormat="1" x14ac:dyDescent="0.25"/>
    <row r="49754" s="12" customFormat="1" x14ac:dyDescent="0.25"/>
    <row r="49755" s="12" customFormat="1" x14ac:dyDescent="0.25"/>
    <row r="49756" s="12" customFormat="1" x14ac:dyDescent="0.25"/>
    <row r="49757" s="12" customFormat="1" x14ac:dyDescent="0.25"/>
    <row r="49758" s="12" customFormat="1" x14ac:dyDescent="0.25"/>
    <row r="49759" s="12" customFormat="1" x14ac:dyDescent="0.25"/>
    <row r="49760" s="12" customFormat="1" x14ac:dyDescent="0.25"/>
    <row r="49761" s="12" customFormat="1" x14ac:dyDescent="0.25"/>
    <row r="49762" s="12" customFormat="1" x14ac:dyDescent="0.25"/>
    <row r="49763" s="12" customFormat="1" x14ac:dyDescent="0.25"/>
    <row r="49764" s="12" customFormat="1" x14ac:dyDescent="0.25"/>
    <row r="49765" s="12" customFormat="1" x14ac:dyDescent="0.25"/>
    <row r="49766" s="12" customFormat="1" x14ac:dyDescent="0.25"/>
    <row r="49767" s="12" customFormat="1" x14ac:dyDescent="0.25"/>
    <row r="49768" s="12" customFormat="1" x14ac:dyDescent="0.25"/>
    <row r="49769" s="12" customFormat="1" x14ac:dyDescent="0.25"/>
    <row r="49770" s="12" customFormat="1" x14ac:dyDescent="0.25"/>
    <row r="49771" s="12" customFormat="1" x14ac:dyDescent="0.25"/>
    <row r="49772" s="12" customFormat="1" x14ac:dyDescent="0.25"/>
    <row r="49773" s="12" customFormat="1" x14ac:dyDescent="0.25"/>
    <row r="49774" s="12" customFormat="1" x14ac:dyDescent="0.25"/>
    <row r="49775" s="12" customFormat="1" x14ac:dyDescent="0.25"/>
    <row r="49776" s="12" customFormat="1" x14ac:dyDescent="0.25"/>
    <row r="49777" s="12" customFormat="1" x14ac:dyDescent="0.25"/>
    <row r="49778" s="12" customFormat="1" x14ac:dyDescent="0.25"/>
    <row r="49779" s="12" customFormat="1" x14ac:dyDescent="0.25"/>
    <row r="49780" s="12" customFormat="1" x14ac:dyDescent="0.25"/>
    <row r="49781" s="12" customFormat="1" x14ac:dyDescent="0.25"/>
    <row r="49782" s="12" customFormat="1" x14ac:dyDescent="0.25"/>
    <row r="49783" s="12" customFormat="1" x14ac:dyDescent="0.25"/>
    <row r="49784" s="12" customFormat="1" x14ac:dyDescent="0.25"/>
    <row r="49785" s="12" customFormat="1" x14ac:dyDescent="0.25"/>
    <row r="49786" s="12" customFormat="1" x14ac:dyDescent="0.25"/>
    <row r="49787" s="12" customFormat="1" x14ac:dyDescent="0.25"/>
    <row r="49788" s="12" customFormat="1" x14ac:dyDescent="0.25"/>
    <row r="49789" s="12" customFormat="1" x14ac:dyDescent="0.25"/>
    <row r="49790" s="12" customFormat="1" x14ac:dyDescent="0.25"/>
    <row r="49791" s="12" customFormat="1" x14ac:dyDescent="0.25"/>
    <row r="49792" s="12" customFormat="1" x14ac:dyDescent="0.25"/>
    <row r="49793" s="12" customFormat="1" x14ac:dyDescent="0.25"/>
    <row r="49794" s="12" customFormat="1" x14ac:dyDescent="0.25"/>
    <row r="49795" s="12" customFormat="1" x14ac:dyDescent="0.25"/>
    <row r="49796" s="12" customFormat="1" x14ac:dyDescent="0.25"/>
    <row r="49797" s="12" customFormat="1" x14ac:dyDescent="0.25"/>
    <row r="49798" s="12" customFormat="1" x14ac:dyDescent="0.25"/>
    <row r="49799" s="12" customFormat="1" x14ac:dyDescent="0.25"/>
    <row r="49800" s="12" customFormat="1" x14ac:dyDescent="0.25"/>
    <row r="49801" s="12" customFormat="1" x14ac:dyDescent="0.25"/>
    <row r="49802" s="12" customFormat="1" x14ac:dyDescent="0.25"/>
    <row r="49803" s="12" customFormat="1" x14ac:dyDescent="0.25"/>
    <row r="49804" s="12" customFormat="1" x14ac:dyDescent="0.25"/>
    <row r="49805" s="12" customFormat="1" x14ac:dyDescent="0.25"/>
    <row r="49806" s="12" customFormat="1" x14ac:dyDescent="0.25"/>
    <row r="49807" s="12" customFormat="1" x14ac:dyDescent="0.25"/>
    <row r="49808" s="12" customFormat="1" x14ac:dyDescent="0.25"/>
    <row r="49809" s="12" customFormat="1" x14ac:dyDescent="0.25"/>
    <row r="49810" s="12" customFormat="1" x14ac:dyDescent="0.25"/>
    <row r="49811" s="12" customFormat="1" x14ac:dyDescent="0.25"/>
    <row r="49812" s="12" customFormat="1" x14ac:dyDescent="0.25"/>
    <row r="49813" s="12" customFormat="1" x14ac:dyDescent="0.25"/>
    <row r="49814" s="12" customFormat="1" x14ac:dyDescent="0.25"/>
    <row r="49815" s="12" customFormat="1" x14ac:dyDescent="0.25"/>
    <row r="49816" s="12" customFormat="1" x14ac:dyDescent="0.25"/>
    <row r="49817" s="12" customFormat="1" x14ac:dyDescent="0.25"/>
    <row r="49818" s="12" customFormat="1" x14ac:dyDescent="0.25"/>
    <row r="49819" s="12" customFormat="1" x14ac:dyDescent="0.25"/>
    <row r="49820" s="12" customFormat="1" x14ac:dyDescent="0.25"/>
    <row r="49821" s="12" customFormat="1" x14ac:dyDescent="0.25"/>
    <row r="49822" s="12" customFormat="1" x14ac:dyDescent="0.25"/>
    <row r="49823" s="12" customFormat="1" x14ac:dyDescent="0.25"/>
    <row r="49824" s="12" customFormat="1" x14ac:dyDescent="0.25"/>
    <row r="49825" s="12" customFormat="1" x14ac:dyDescent="0.25"/>
    <row r="49826" s="12" customFormat="1" x14ac:dyDescent="0.25"/>
    <row r="49827" s="12" customFormat="1" x14ac:dyDescent="0.25"/>
    <row r="49828" s="12" customFormat="1" x14ac:dyDescent="0.25"/>
    <row r="49829" s="12" customFormat="1" x14ac:dyDescent="0.25"/>
    <row r="49830" s="12" customFormat="1" x14ac:dyDescent="0.25"/>
    <row r="49831" s="12" customFormat="1" x14ac:dyDescent="0.25"/>
    <row r="49832" s="12" customFormat="1" x14ac:dyDescent="0.25"/>
    <row r="49833" s="12" customFormat="1" x14ac:dyDescent="0.25"/>
    <row r="49834" s="12" customFormat="1" x14ac:dyDescent="0.25"/>
    <row r="49835" s="12" customFormat="1" x14ac:dyDescent="0.25"/>
    <row r="49836" s="12" customFormat="1" x14ac:dyDescent="0.25"/>
    <row r="49837" s="12" customFormat="1" x14ac:dyDescent="0.25"/>
    <row r="49838" s="12" customFormat="1" x14ac:dyDescent="0.25"/>
    <row r="49839" s="12" customFormat="1" x14ac:dyDescent="0.25"/>
    <row r="49840" s="12" customFormat="1" x14ac:dyDescent="0.25"/>
    <row r="49841" s="12" customFormat="1" x14ac:dyDescent="0.25"/>
    <row r="49842" s="12" customFormat="1" x14ac:dyDescent="0.25"/>
    <row r="49843" s="12" customFormat="1" x14ac:dyDescent="0.25"/>
    <row r="49844" s="12" customFormat="1" x14ac:dyDescent="0.25"/>
    <row r="49845" s="12" customFormat="1" x14ac:dyDescent="0.25"/>
    <row r="49846" s="12" customFormat="1" x14ac:dyDescent="0.25"/>
    <row r="49847" s="12" customFormat="1" x14ac:dyDescent="0.25"/>
    <row r="49848" s="12" customFormat="1" x14ac:dyDescent="0.25"/>
    <row r="49849" s="12" customFormat="1" x14ac:dyDescent="0.25"/>
    <row r="49850" s="12" customFormat="1" x14ac:dyDescent="0.25"/>
    <row r="49851" s="12" customFormat="1" x14ac:dyDescent="0.25"/>
    <row r="49852" s="12" customFormat="1" x14ac:dyDescent="0.25"/>
    <row r="49853" s="12" customFormat="1" x14ac:dyDescent="0.25"/>
    <row r="49854" s="12" customFormat="1" x14ac:dyDescent="0.25"/>
    <row r="49855" s="12" customFormat="1" x14ac:dyDescent="0.25"/>
    <row r="49856" s="12" customFormat="1" x14ac:dyDescent="0.25"/>
    <row r="49857" s="12" customFormat="1" x14ac:dyDescent="0.25"/>
    <row r="49858" s="12" customFormat="1" x14ac:dyDescent="0.25"/>
    <row r="49859" s="12" customFormat="1" x14ac:dyDescent="0.25"/>
    <row r="49860" s="12" customFormat="1" x14ac:dyDescent="0.25"/>
    <row r="49861" s="12" customFormat="1" x14ac:dyDescent="0.25"/>
    <row r="49862" s="12" customFormat="1" x14ac:dyDescent="0.25"/>
    <row r="49863" s="12" customFormat="1" x14ac:dyDescent="0.25"/>
    <row r="49864" s="12" customFormat="1" x14ac:dyDescent="0.25"/>
    <row r="49865" s="12" customFormat="1" x14ac:dyDescent="0.25"/>
    <row r="49866" s="12" customFormat="1" x14ac:dyDescent="0.25"/>
    <row r="49867" s="12" customFormat="1" x14ac:dyDescent="0.25"/>
    <row r="49868" s="12" customFormat="1" x14ac:dyDescent="0.25"/>
    <row r="49869" s="12" customFormat="1" x14ac:dyDescent="0.25"/>
    <row r="49870" s="12" customFormat="1" x14ac:dyDescent="0.25"/>
    <row r="49871" s="12" customFormat="1" x14ac:dyDescent="0.25"/>
    <row r="49872" s="12" customFormat="1" x14ac:dyDescent="0.25"/>
    <row r="49873" s="12" customFormat="1" x14ac:dyDescent="0.25"/>
    <row r="49874" s="12" customFormat="1" x14ac:dyDescent="0.25"/>
    <row r="49875" s="12" customFormat="1" x14ac:dyDescent="0.25"/>
    <row r="49876" s="12" customFormat="1" x14ac:dyDescent="0.25"/>
    <row r="49877" s="12" customFormat="1" x14ac:dyDescent="0.25"/>
    <row r="49878" s="12" customFormat="1" x14ac:dyDescent="0.25"/>
    <row r="49879" s="12" customFormat="1" x14ac:dyDescent="0.25"/>
    <row r="49880" s="12" customFormat="1" x14ac:dyDescent="0.25"/>
    <row r="49881" s="12" customFormat="1" x14ac:dyDescent="0.25"/>
    <row r="49882" s="12" customFormat="1" x14ac:dyDescent="0.25"/>
    <row r="49883" s="12" customFormat="1" x14ac:dyDescent="0.25"/>
    <row r="49884" s="12" customFormat="1" x14ac:dyDescent="0.25"/>
    <row r="49885" s="12" customFormat="1" x14ac:dyDescent="0.25"/>
    <row r="49886" s="12" customFormat="1" x14ac:dyDescent="0.25"/>
    <row r="49887" s="12" customFormat="1" x14ac:dyDescent="0.25"/>
    <row r="49888" s="12" customFormat="1" x14ac:dyDescent="0.25"/>
    <row r="49889" s="12" customFormat="1" x14ac:dyDescent="0.25"/>
    <row r="49890" s="12" customFormat="1" x14ac:dyDescent="0.25"/>
    <row r="49891" s="12" customFormat="1" x14ac:dyDescent="0.25"/>
    <row r="49892" s="12" customFormat="1" x14ac:dyDescent="0.25"/>
    <row r="49893" s="12" customFormat="1" x14ac:dyDescent="0.25"/>
    <row r="49894" s="12" customFormat="1" x14ac:dyDescent="0.25"/>
    <row r="49895" s="12" customFormat="1" x14ac:dyDescent="0.25"/>
    <row r="49896" s="12" customFormat="1" x14ac:dyDescent="0.25"/>
    <row r="49897" s="12" customFormat="1" x14ac:dyDescent="0.25"/>
    <row r="49898" s="12" customFormat="1" x14ac:dyDescent="0.25"/>
    <row r="49899" s="12" customFormat="1" x14ac:dyDescent="0.25"/>
    <row r="49900" s="12" customFormat="1" x14ac:dyDescent="0.25"/>
    <row r="49901" s="12" customFormat="1" x14ac:dyDescent="0.25"/>
    <row r="49902" s="12" customFormat="1" x14ac:dyDescent="0.25"/>
    <row r="49903" s="12" customFormat="1" x14ac:dyDescent="0.25"/>
    <row r="49904" s="12" customFormat="1" x14ac:dyDescent="0.25"/>
    <row r="49905" s="12" customFormat="1" x14ac:dyDescent="0.25"/>
    <row r="49906" s="12" customFormat="1" x14ac:dyDescent="0.25"/>
    <row r="49907" s="12" customFormat="1" x14ac:dyDescent="0.25"/>
    <row r="49908" s="12" customFormat="1" x14ac:dyDescent="0.25"/>
    <row r="49909" s="12" customFormat="1" x14ac:dyDescent="0.25"/>
    <row r="49910" s="12" customFormat="1" x14ac:dyDescent="0.25"/>
    <row r="49911" s="12" customFormat="1" x14ac:dyDescent="0.25"/>
    <row r="49912" s="12" customFormat="1" x14ac:dyDescent="0.25"/>
    <row r="49913" s="12" customFormat="1" x14ac:dyDescent="0.25"/>
    <row r="49914" s="12" customFormat="1" x14ac:dyDescent="0.25"/>
    <row r="49915" s="12" customFormat="1" x14ac:dyDescent="0.25"/>
    <row r="49916" s="12" customFormat="1" x14ac:dyDescent="0.25"/>
    <row r="49917" s="12" customFormat="1" x14ac:dyDescent="0.25"/>
    <row r="49918" s="12" customFormat="1" x14ac:dyDescent="0.25"/>
    <row r="49919" s="12" customFormat="1" x14ac:dyDescent="0.25"/>
    <row r="49920" s="12" customFormat="1" x14ac:dyDescent="0.25"/>
    <row r="49921" s="12" customFormat="1" x14ac:dyDescent="0.25"/>
    <row r="49922" s="12" customFormat="1" x14ac:dyDescent="0.25"/>
    <row r="49923" s="12" customFormat="1" x14ac:dyDescent="0.25"/>
    <row r="49924" s="12" customFormat="1" x14ac:dyDescent="0.25"/>
    <row r="49925" s="12" customFormat="1" x14ac:dyDescent="0.25"/>
    <row r="49926" s="12" customFormat="1" x14ac:dyDescent="0.25"/>
    <row r="49927" s="12" customFormat="1" x14ac:dyDescent="0.25"/>
    <row r="49928" s="12" customFormat="1" x14ac:dyDescent="0.25"/>
    <row r="49929" s="12" customFormat="1" x14ac:dyDescent="0.25"/>
    <row r="49930" s="12" customFormat="1" x14ac:dyDescent="0.25"/>
    <row r="49931" s="12" customFormat="1" x14ac:dyDescent="0.25"/>
    <row r="49932" s="12" customFormat="1" x14ac:dyDescent="0.25"/>
    <row r="49933" s="12" customFormat="1" x14ac:dyDescent="0.25"/>
    <row r="49934" s="12" customFormat="1" x14ac:dyDescent="0.25"/>
    <row r="49935" s="12" customFormat="1" x14ac:dyDescent="0.25"/>
    <row r="49936" s="12" customFormat="1" x14ac:dyDescent="0.25"/>
    <row r="49937" s="12" customFormat="1" x14ac:dyDescent="0.25"/>
    <row r="49938" s="12" customFormat="1" x14ac:dyDescent="0.25"/>
    <row r="49939" s="12" customFormat="1" x14ac:dyDescent="0.25"/>
    <row r="49940" s="12" customFormat="1" x14ac:dyDescent="0.25"/>
    <row r="49941" s="12" customFormat="1" x14ac:dyDescent="0.25"/>
    <row r="49942" s="12" customFormat="1" x14ac:dyDescent="0.25"/>
    <row r="49943" s="12" customFormat="1" x14ac:dyDescent="0.25"/>
    <row r="49944" s="12" customFormat="1" x14ac:dyDescent="0.25"/>
    <row r="49945" s="12" customFormat="1" x14ac:dyDescent="0.25"/>
    <row r="49946" s="12" customFormat="1" x14ac:dyDescent="0.25"/>
    <row r="49947" s="12" customFormat="1" x14ac:dyDescent="0.25"/>
    <row r="49948" s="12" customFormat="1" x14ac:dyDescent="0.25"/>
    <row r="49949" s="12" customFormat="1" x14ac:dyDescent="0.25"/>
    <row r="49950" s="12" customFormat="1" x14ac:dyDescent="0.25"/>
    <row r="49951" s="12" customFormat="1" x14ac:dyDescent="0.25"/>
    <row r="49952" s="12" customFormat="1" x14ac:dyDescent="0.25"/>
    <row r="49953" s="12" customFormat="1" x14ac:dyDescent="0.25"/>
    <row r="49954" s="12" customFormat="1" x14ac:dyDescent="0.25"/>
    <row r="49955" s="12" customFormat="1" x14ac:dyDescent="0.25"/>
    <row r="49956" s="12" customFormat="1" x14ac:dyDescent="0.25"/>
    <row r="49957" s="12" customFormat="1" x14ac:dyDescent="0.25"/>
    <row r="49958" s="12" customFormat="1" x14ac:dyDescent="0.25"/>
    <row r="49959" s="12" customFormat="1" x14ac:dyDescent="0.25"/>
    <row r="49960" s="12" customFormat="1" x14ac:dyDescent="0.25"/>
    <row r="49961" s="12" customFormat="1" x14ac:dyDescent="0.25"/>
    <row r="49962" s="12" customFormat="1" x14ac:dyDescent="0.25"/>
    <row r="49963" s="12" customFormat="1" x14ac:dyDescent="0.25"/>
    <row r="49964" s="12" customFormat="1" x14ac:dyDescent="0.25"/>
    <row r="49965" s="12" customFormat="1" x14ac:dyDescent="0.25"/>
    <row r="49966" s="12" customFormat="1" x14ac:dyDescent="0.25"/>
    <row r="49967" s="12" customFormat="1" x14ac:dyDescent="0.25"/>
    <row r="49968" s="12" customFormat="1" x14ac:dyDescent="0.25"/>
    <row r="49969" s="12" customFormat="1" x14ac:dyDescent="0.25"/>
    <row r="49970" s="12" customFormat="1" x14ac:dyDescent="0.25"/>
    <row r="49971" s="12" customFormat="1" x14ac:dyDescent="0.25"/>
    <row r="49972" s="12" customFormat="1" x14ac:dyDescent="0.25"/>
    <row r="49973" s="12" customFormat="1" x14ac:dyDescent="0.25"/>
    <row r="49974" s="12" customFormat="1" x14ac:dyDescent="0.25"/>
    <row r="49975" s="12" customFormat="1" x14ac:dyDescent="0.25"/>
    <row r="49976" s="12" customFormat="1" x14ac:dyDescent="0.25"/>
    <row r="49977" s="12" customFormat="1" x14ac:dyDescent="0.25"/>
    <row r="49978" s="12" customFormat="1" x14ac:dyDescent="0.25"/>
    <row r="49979" s="12" customFormat="1" x14ac:dyDescent="0.25"/>
    <row r="49980" s="12" customFormat="1" x14ac:dyDescent="0.25"/>
    <row r="49981" s="12" customFormat="1" x14ac:dyDescent="0.25"/>
    <row r="49982" s="12" customFormat="1" x14ac:dyDescent="0.25"/>
    <row r="49983" s="12" customFormat="1" x14ac:dyDescent="0.25"/>
    <row r="49984" s="12" customFormat="1" x14ac:dyDescent="0.25"/>
    <row r="49985" s="12" customFormat="1" x14ac:dyDescent="0.25"/>
    <row r="49986" s="12" customFormat="1" x14ac:dyDescent="0.25"/>
    <row r="49987" s="12" customFormat="1" x14ac:dyDescent="0.25"/>
    <row r="49988" s="12" customFormat="1" x14ac:dyDescent="0.25"/>
    <row r="49989" s="12" customFormat="1" x14ac:dyDescent="0.25"/>
    <row r="49990" s="12" customFormat="1" x14ac:dyDescent="0.25"/>
    <row r="49991" s="12" customFormat="1" x14ac:dyDescent="0.25"/>
    <row r="49992" s="12" customFormat="1" x14ac:dyDescent="0.25"/>
    <row r="49993" s="12" customFormat="1" x14ac:dyDescent="0.25"/>
    <row r="49994" s="12" customFormat="1" x14ac:dyDescent="0.25"/>
    <row r="49995" s="12" customFormat="1" x14ac:dyDescent="0.25"/>
    <row r="49996" s="12" customFormat="1" x14ac:dyDescent="0.25"/>
    <row r="49997" s="12" customFormat="1" x14ac:dyDescent="0.25"/>
    <row r="49998" s="12" customFormat="1" x14ac:dyDescent="0.25"/>
    <row r="49999" s="12" customFormat="1" x14ac:dyDescent="0.25"/>
    <row r="50000" s="12" customFormat="1" x14ac:dyDescent="0.25"/>
    <row r="50001" s="12" customFormat="1" x14ac:dyDescent="0.25"/>
    <row r="50002" s="12" customFormat="1" x14ac:dyDescent="0.25"/>
    <row r="50003" s="12" customFormat="1" x14ac:dyDescent="0.25"/>
    <row r="50004" s="12" customFormat="1" x14ac:dyDescent="0.25"/>
    <row r="50005" s="12" customFormat="1" x14ac:dyDescent="0.25"/>
    <row r="50006" s="12" customFormat="1" x14ac:dyDescent="0.25"/>
    <row r="50007" s="12" customFormat="1" x14ac:dyDescent="0.25"/>
    <row r="50008" s="12" customFormat="1" x14ac:dyDescent="0.25"/>
    <row r="50009" s="12" customFormat="1" x14ac:dyDescent="0.25"/>
    <row r="50010" s="12" customFormat="1" x14ac:dyDescent="0.25"/>
    <row r="50011" s="12" customFormat="1" x14ac:dyDescent="0.25"/>
    <row r="50012" s="12" customFormat="1" x14ac:dyDescent="0.25"/>
    <row r="50013" s="12" customFormat="1" x14ac:dyDescent="0.25"/>
    <row r="50014" s="12" customFormat="1" x14ac:dyDescent="0.25"/>
    <row r="50015" s="12" customFormat="1" x14ac:dyDescent="0.25"/>
    <row r="50016" s="12" customFormat="1" x14ac:dyDescent="0.25"/>
    <row r="50017" s="12" customFormat="1" x14ac:dyDescent="0.25"/>
    <row r="50018" s="12" customFormat="1" x14ac:dyDescent="0.25"/>
    <row r="50019" s="12" customFormat="1" x14ac:dyDescent="0.25"/>
    <row r="50020" s="12" customFormat="1" x14ac:dyDescent="0.25"/>
    <row r="50021" s="12" customFormat="1" x14ac:dyDescent="0.25"/>
    <row r="50022" s="12" customFormat="1" x14ac:dyDescent="0.25"/>
    <row r="50023" s="12" customFormat="1" x14ac:dyDescent="0.25"/>
    <row r="50024" s="12" customFormat="1" x14ac:dyDescent="0.25"/>
    <row r="50025" s="12" customFormat="1" x14ac:dyDescent="0.25"/>
    <row r="50026" s="12" customFormat="1" x14ac:dyDescent="0.25"/>
    <row r="50027" s="12" customFormat="1" x14ac:dyDescent="0.25"/>
    <row r="50028" s="12" customFormat="1" x14ac:dyDescent="0.25"/>
    <row r="50029" s="12" customFormat="1" x14ac:dyDescent="0.25"/>
    <row r="50030" s="12" customFormat="1" x14ac:dyDescent="0.25"/>
    <row r="50031" s="12" customFormat="1" x14ac:dyDescent="0.25"/>
    <row r="50032" s="12" customFormat="1" x14ac:dyDescent="0.25"/>
    <row r="50033" s="12" customFormat="1" x14ac:dyDescent="0.25"/>
    <row r="50034" s="12" customFormat="1" x14ac:dyDescent="0.25"/>
    <row r="50035" s="12" customFormat="1" x14ac:dyDescent="0.25"/>
    <row r="50036" s="12" customFormat="1" x14ac:dyDescent="0.25"/>
    <row r="50037" s="12" customFormat="1" x14ac:dyDescent="0.25"/>
    <row r="50038" s="12" customFormat="1" x14ac:dyDescent="0.25"/>
    <row r="50039" s="12" customFormat="1" x14ac:dyDescent="0.25"/>
    <row r="50040" s="12" customFormat="1" x14ac:dyDescent="0.25"/>
    <row r="50041" s="12" customFormat="1" x14ac:dyDescent="0.25"/>
    <row r="50042" s="12" customFormat="1" x14ac:dyDescent="0.25"/>
    <row r="50043" s="12" customFormat="1" x14ac:dyDescent="0.25"/>
    <row r="50044" s="12" customFormat="1" x14ac:dyDescent="0.25"/>
    <row r="50045" s="12" customFormat="1" x14ac:dyDescent="0.25"/>
    <row r="50046" s="12" customFormat="1" x14ac:dyDescent="0.25"/>
    <row r="50047" s="12" customFormat="1" x14ac:dyDescent="0.25"/>
    <row r="50048" s="12" customFormat="1" x14ac:dyDescent="0.25"/>
    <row r="50049" s="12" customFormat="1" x14ac:dyDescent="0.25"/>
    <row r="50050" s="12" customFormat="1" x14ac:dyDescent="0.25"/>
    <row r="50051" s="12" customFormat="1" x14ac:dyDescent="0.25"/>
    <row r="50052" s="12" customFormat="1" x14ac:dyDescent="0.25"/>
    <row r="50053" s="12" customFormat="1" x14ac:dyDescent="0.25"/>
    <row r="50054" s="12" customFormat="1" x14ac:dyDescent="0.25"/>
    <row r="50055" s="12" customFormat="1" x14ac:dyDescent="0.25"/>
    <row r="50056" s="12" customFormat="1" x14ac:dyDescent="0.25"/>
    <row r="50057" s="12" customFormat="1" x14ac:dyDescent="0.25"/>
    <row r="50058" s="12" customFormat="1" x14ac:dyDescent="0.25"/>
    <row r="50059" s="12" customFormat="1" x14ac:dyDescent="0.25"/>
    <row r="50060" s="12" customFormat="1" x14ac:dyDescent="0.25"/>
    <row r="50061" s="12" customFormat="1" x14ac:dyDescent="0.25"/>
    <row r="50062" s="12" customFormat="1" x14ac:dyDescent="0.25"/>
    <row r="50063" s="12" customFormat="1" x14ac:dyDescent="0.25"/>
    <row r="50064" s="12" customFormat="1" x14ac:dyDescent="0.25"/>
    <row r="50065" s="12" customFormat="1" x14ac:dyDescent="0.25"/>
    <row r="50066" s="12" customFormat="1" x14ac:dyDescent="0.25"/>
    <row r="50067" s="12" customFormat="1" x14ac:dyDescent="0.25"/>
    <row r="50068" s="12" customFormat="1" x14ac:dyDescent="0.25"/>
    <row r="50069" s="12" customFormat="1" x14ac:dyDescent="0.25"/>
    <row r="50070" s="12" customFormat="1" x14ac:dyDescent="0.25"/>
    <row r="50071" s="12" customFormat="1" x14ac:dyDescent="0.25"/>
    <row r="50072" s="12" customFormat="1" x14ac:dyDescent="0.25"/>
    <row r="50073" s="12" customFormat="1" x14ac:dyDescent="0.25"/>
    <row r="50074" s="12" customFormat="1" x14ac:dyDescent="0.25"/>
    <row r="50075" s="12" customFormat="1" x14ac:dyDescent="0.25"/>
    <row r="50076" s="12" customFormat="1" x14ac:dyDescent="0.25"/>
    <row r="50077" s="12" customFormat="1" x14ac:dyDescent="0.25"/>
    <row r="50078" s="12" customFormat="1" x14ac:dyDescent="0.25"/>
    <row r="50079" s="12" customFormat="1" x14ac:dyDescent="0.25"/>
    <row r="50080" s="12" customFormat="1" x14ac:dyDescent="0.25"/>
    <row r="50081" s="12" customFormat="1" x14ac:dyDescent="0.25"/>
    <row r="50082" s="12" customFormat="1" x14ac:dyDescent="0.25"/>
    <row r="50083" s="12" customFormat="1" x14ac:dyDescent="0.25"/>
    <row r="50084" s="12" customFormat="1" x14ac:dyDescent="0.25"/>
    <row r="50085" s="12" customFormat="1" x14ac:dyDescent="0.25"/>
    <row r="50086" s="12" customFormat="1" x14ac:dyDescent="0.25"/>
    <row r="50087" s="12" customFormat="1" x14ac:dyDescent="0.25"/>
    <row r="50088" s="12" customFormat="1" x14ac:dyDescent="0.25"/>
    <row r="50089" s="12" customFormat="1" x14ac:dyDescent="0.25"/>
    <row r="50090" s="12" customFormat="1" x14ac:dyDescent="0.25"/>
    <row r="50091" s="12" customFormat="1" x14ac:dyDescent="0.25"/>
    <row r="50092" s="12" customFormat="1" x14ac:dyDescent="0.25"/>
    <row r="50093" s="12" customFormat="1" x14ac:dyDescent="0.25"/>
    <row r="50094" s="12" customFormat="1" x14ac:dyDescent="0.25"/>
    <row r="50095" s="12" customFormat="1" x14ac:dyDescent="0.25"/>
    <row r="50096" s="12" customFormat="1" x14ac:dyDescent="0.25"/>
    <row r="50097" s="12" customFormat="1" x14ac:dyDescent="0.25"/>
    <row r="50098" s="12" customFormat="1" x14ac:dyDescent="0.25"/>
    <row r="50099" s="12" customFormat="1" x14ac:dyDescent="0.25"/>
    <row r="50100" s="12" customFormat="1" x14ac:dyDescent="0.25"/>
    <row r="50101" s="12" customFormat="1" x14ac:dyDescent="0.25"/>
    <row r="50102" s="12" customFormat="1" x14ac:dyDescent="0.25"/>
    <row r="50103" s="12" customFormat="1" x14ac:dyDescent="0.25"/>
    <row r="50104" s="12" customFormat="1" x14ac:dyDescent="0.25"/>
    <row r="50105" s="12" customFormat="1" x14ac:dyDescent="0.25"/>
    <row r="50106" s="12" customFormat="1" x14ac:dyDescent="0.25"/>
    <row r="50107" s="12" customFormat="1" x14ac:dyDescent="0.25"/>
    <row r="50108" s="12" customFormat="1" x14ac:dyDescent="0.25"/>
    <row r="50109" s="12" customFormat="1" x14ac:dyDescent="0.25"/>
    <row r="50110" s="12" customFormat="1" x14ac:dyDescent="0.25"/>
    <row r="50111" s="12" customFormat="1" x14ac:dyDescent="0.25"/>
    <row r="50112" s="12" customFormat="1" x14ac:dyDescent="0.25"/>
    <row r="50113" s="12" customFormat="1" x14ac:dyDescent="0.25"/>
    <row r="50114" s="12" customFormat="1" x14ac:dyDescent="0.25"/>
    <row r="50115" s="12" customFormat="1" x14ac:dyDescent="0.25"/>
    <row r="50116" s="12" customFormat="1" x14ac:dyDescent="0.25"/>
    <row r="50117" s="12" customFormat="1" x14ac:dyDescent="0.25"/>
    <row r="50118" s="12" customFormat="1" x14ac:dyDescent="0.25"/>
    <row r="50119" s="12" customFormat="1" x14ac:dyDescent="0.25"/>
    <row r="50120" s="12" customFormat="1" x14ac:dyDescent="0.25"/>
    <row r="50121" s="12" customFormat="1" x14ac:dyDescent="0.25"/>
    <row r="50122" s="12" customFormat="1" x14ac:dyDescent="0.25"/>
    <row r="50123" s="12" customFormat="1" x14ac:dyDescent="0.25"/>
    <row r="50124" s="12" customFormat="1" x14ac:dyDescent="0.25"/>
    <row r="50125" s="12" customFormat="1" x14ac:dyDescent="0.25"/>
    <row r="50126" s="12" customFormat="1" x14ac:dyDescent="0.25"/>
    <row r="50127" s="12" customFormat="1" x14ac:dyDescent="0.25"/>
    <row r="50128" s="12" customFormat="1" x14ac:dyDescent="0.25"/>
    <row r="50129" s="12" customFormat="1" x14ac:dyDescent="0.25"/>
    <row r="50130" s="12" customFormat="1" x14ac:dyDescent="0.25"/>
    <row r="50131" s="12" customFormat="1" x14ac:dyDescent="0.25"/>
    <row r="50132" s="12" customFormat="1" x14ac:dyDescent="0.25"/>
    <row r="50133" s="12" customFormat="1" x14ac:dyDescent="0.25"/>
    <row r="50134" s="12" customFormat="1" x14ac:dyDescent="0.25"/>
    <row r="50135" s="12" customFormat="1" x14ac:dyDescent="0.25"/>
    <row r="50136" s="12" customFormat="1" x14ac:dyDescent="0.25"/>
    <row r="50137" s="12" customFormat="1" x14ac:dyDescent="0.25"/>
    <row r="50138" s="12" customFormat="1" x14ac:dyDescent="0.25"/>
    <row r="50139" s="12" customFormat="1" x14ac:dyDescent="0.25"/>
    <row r="50140" s="12" customFormat="1" x14ac:dyDescent="0.25"/>
    <row r="50141" s="12" customFormat="1" x14ac:dyDescent="0.25"/>
    <row r="50142" s="12" customFormat="1" x14ac:dyDescent="0.25"/>
    <row r="50143" s="12" customFormat="1" x14ac:dyDescent="0.25"/>
    <row r="50144" s="12" customFormat="1" x14ac:dyDescent="0.25"/>
    <row r="50145" s="12" customFormat="1" x14ac:dyDescent="0.25"/>
    <row r="50146" s="12" customFormat="1" x14ac:dyDescent="0.25"/>
    <row r="50147" s="12" customFormat="1" x14ac:dyDescent="0.25"/>
    <row r="50148" s="12" customFormat="1" x14ac:dyDescent="0.25"/>
    <row r="50149" s="12" customFormat="1" x14ac:dyDescent="0.25"/>
    <row r="50150" s="12" customFormat="1" x14ac:dyDescent="0.25"/>
    <row r="50151" s="12" customFormat="1" x14ac:dyDescent="0.25"/>
    <row r="50152" s="12" customFormat="1" x14ac:dyDescent="0.25"/>
    <row r="50153" s="12" customFormat="1" x14ac:dyDescent="0.25"/>
    <row r="50154" s="12" customFormat="1" x14ac:dyDescent="0.25"/>
    <row r="50155" s="12" customFormat="1" x14ac:dyDescent="0.25"/>
    <row r="50156" s="12" customFormat="1" x14ac:dyDescent="0.25"/>
    <row r="50157" s="12" customFormat="1" x14ac:dyDescent="0.25"/>
    <row r="50158" s="12" customFormat="1" x14ac:dyDescent="0.25"/>
    <row r="50159" s="12" customFormat="1" x14ac:dyDescent="0.25"/>
    <row r="50160" s="12" customFormat="1" x14ac:dyDescent="0.25"/>
    <row r="50161" s="12" customFormat="1" x14ac:dyDescent="0.25"/>
    <row r="50162" s="12" customFormat="1" x14ac:dyDescent="0.25"/>
    <row r="50163" s="12" customFormat="1" x14ac:dyDescent="0.25"/>
    <row r="50164" s="12" customFormat="1" x14ac:dyDescent="0.25"/>
    <row r="50165" s="12" customFormat="1" x14ac:dyDescent="0.25"/>
    <row r="50166" s="12" customFormat="1" x14ac:dyDescent="0.25"/>
    <row r="50167" s="12" customFormat="1" x14ac:dyDescent="0.25"/>
    <row r="50168" s="12" customFormat="1" x14ac:dyDescent="0.25"/>
    <row r="50169" s="12" customFormat="1" x14ac:dyDescent="0.25"/>
    <row r="50170" s="12" customFormat="1" x14ac:dyDescent="0.25"/>
    <row r="50171" s="12" customFormat="1" x14ac:dyDescent="0.25"/>
    <row r="50172" s="12" customFormat="1" x14ac:dyDescent="0.25"/>
    <row r="50173" s="12" customFormat="1" x14ac:dyDescent="0.25"/>
    <row r="50174" s="12" customFormat="1" x14ac:dyDescent="0.25"/>
    <row r="50175" s="12" customFormat="1" x14ac:dyDescent="0.25"/>
    <row r="50176" s="12" customFormat="1" x14ac:dyDescent="0.25"/>
    <row r="50177" s="12" customFormat="1" x14ac:dyDescent="0.25"/>
    <row r="50178" s="12" customFormat="1" x14ac:dyDescent="0.25"/>
    <row r="50179" s="12" customFormat="1" x14ac:dyDescent="0.25"/>
    <row r="50180" s="12" customFormat="1" x14ac:dyDescent="0.25"/>
    <row r="50181" s="12" customFormat="1" x14ac:dyDescent="0.25"/>
    <row r="50182" s="12" customFormat="1" x14ac:dyDescent="0.25"/>
    <row r="50183" s="12" customFormat="1" x14ac:dyDescent="0.25"/>
    <row r="50184" s="12" customFormat="1" x14ac:dyDescent="0.25"/>
    <row r="50185" s="12" customFormat="1" x14ac:dyDescent="0.25"/>
    <row r="50186" s="12" customFormat="1" x14ac:dyDescent="0.25"/>
    <row r="50187" s="12" customFormat="1" x14ac:dyDescent="0.25"/>
    <row r="50188" s="12" customFormat="1" x14ac:dyDescent="0.25"/>
    <row r="50189" s="12" customFormat="1" x14ac:dyDescent="0.25"/>
    <row r="50190" s="12" customFormat="1" x14ac:dyDescent="0.25"/>
    <row r="50191" s="12" customFormat="1" x14ac:dyDescent="0.25"/>
    <row r="50192" s="12" customFormat="1" x14ac:dyDescent="0.25"/>
    <row r="50193" s="12" customFormat="1" x14ac:dyDescent="0.25"/>
    <row r="50194" s="12" customFormat="1" x14ac:dyDescent="0.25"/>
    <row r="50195" s="12" customFormat="1" x14ac:dyDescent="0.25"/>
    <row r="50196" s="12" customFormat="1" x14ac:dyDescent="0.25"/>
    <row r="50197" s="12" customFormat="1" x14ac:dyDescent="0.25"/>
    <row r="50198" s="12" customFormat="1" x14ac:dyDescent="0.25"/>
    <row r="50199" s="12" customFormat="1" x14ac:dyDescent="0.25"/>
    <row r="50200" s="12" customFormat="1" x14ac:dyDescent="0.25"/>
    <row r="50201" s="12" customFormat="1" x14ac:dyDescent="0.25"/>
    <row r="50202" s="12" customFormat="1" x14ac:dyDescent="0.25"/>
    <row r="50203" s="12" customFormat="1" x14ac:dyDescent="0.25"/>
    <row r="50204" s="12" customFormat="1" x14ac:dyDescent="0.25"/>
    <row r="50205" s="12" customFormat="1" x14ac:dyDescent="0.25"/>
    <row r="50206" s="12" customFormat="1" x14ac:dyDescent="0.25"/>
    <row r="50207" s="12" customFormat="1" x14ac:dyDescent="0.25"/>
    <row r="50208" s="12" customFormat="1" x14ac:dyDescent="0.25"/>
    <row r="50209" s="12" customFormat="1" x14ac:dyDescent="0.25"/>
    <row r="50210" s="12" customFormat="1" x14ac:dyDescent="0.25"/>
    <row r="50211" s="12" customFormat="1" x14ac:dyDescent="0.25"/>
    <row r="50212" s="12" customFormat="1" x14ac:dyDescent="0.25"/>
    <row r="50213" s="12" customFormat="1" x14ac:dyDescent="0.25"/>
    <row r="50214" s="12" customFormat="1" x14ac:dyDescent="0.25"/>
    <row r="50215" s="12" customFormat="1" x14ac:dyDescent="0.25"/>
    <row r="50216" s="12" customFormat="1" x14ac:dyDescent="0.25"/>
    <row r="50217" s="12" customFormat="1" x14ac:dyDescent="0.25"/>
    <row r="50218" s="12" customFormat="1" x14ac:dyDescent="0.25"/>
    <row r="50219" s="12" customFormat="1" x14ac:dyDescent="0.25"/>
    <row r="50220" s="12" customFormat="1" x14ac:dyDescent="0.25"/>
    <row r="50221" s="12" customFormat="1" x14ac:dyDescent="0.25"/>
    <row r="50222" s="12" customFormat="1" x14ac:dyDescent="0.25"/>
    <row r="50223" s="12" customFormat="1" x14ac:dyDescent="0.25"/>
    <row r="50224" s="12" customFormat="1" x14ac:dyDescent="0.25"/>
    <row r="50225" s="12" customFormat="1" x14ac:dyDescent="0.25"/>
    <row r="50226" s="12" customFormat="1" x14ac:dyDescent="0.25"/>
    <row r="50227" s="12" customFormat="1" x14ac:dyDescent="0.25"/>
    <row r="50228" s="12" customFormat="1" x14ac:dyDescent="0.25"/>
    <row r="50229" s="12" customFormat="1" x14ac:dyDescent="0.25"/>
    <row r="50230" s="12" customFormat="1" x14ac:dyDescent="0.25"/>
    <row r="50231" s="12" customFormat="1" x14ac:dyDescent="0.25"/>
    <row r="50232" s="12" customFormat="1" x14ac:dyDescent="0.25"/>
    <row r="50233" s="12" customFormat="1" x14ac:dyDescent="0.25"/>
    <row r="50234" s="12" customFormat="1" x14ac:dyDescent="0.25"/>
    <row r="50235" s="12" customFormat="1" x14ac:dyDescent="0.25"/>
    <row r="50236" s="12" customFormat="1" x14ac:dyDescent="0.25"/>
    <row r="50237" s="12" customFormat="1" x14ac:dyDescent="0.25"/>
    <row r="50238" s="12" customFormat="1" x14ac:dyDescent="0.25"/>
    <row r="50239" s="12" customFormat="1" x14ac:dyDescent="0.25"/>
    <row r="50240" s="12" customFormat="1" x14ac:dyDescent="0.25"/>
    <row r="50241" s="12" customFormat="1" x14ac:dyDescent="0.25"/>
    <row r="50242" s="12" customFormat="1" x14ac:dyDescent="0.25"/>
    <row r="50243" s="12" customFormat="1" x14ac:dyDescent="0.25"/>
    <row r="50244" s="12" customFormat="1" x14ac:dyDescent="0.25"/>
    <row r="50245" s="12" customFormat="1" x14ac:dyDescent="0.25"/>
    <row r="50246" s="12" customFormat="1" x14ac:dyDescent="0.25"/>
    <row r="50247" s="12" customFormat="1" x14ac:dyDescent="0.25"/>
    <row r="50248" s="12" customFormat="1" x14ac:dyDescent="0.25"/>
    <row r="50249" s="12" customFormat="1" x14ac:dyDescent="0.25"/>
    <row r="50250" s="12" customFormat="1" x14ac:dyDescent="0.25"/>
    <row r="50251" s="12" customFormat="1" x14ac:dyDescent="0.25"/>
    <row r="50252" s="12" customFormat="1" x14ac:dyDescent="0.25"/>
    <row r="50253" s="12" customFormat="1" x14ac:dyDescent="0.25"/>
    <row r="50254" s="12" customFormat="1" x14ac:dyDescent="0.25"/>
    <row r="50255" s="12" customFormat="1" x14ac:dyDescent="0.25"/>
    <row r="50256" s="12" customFormat="1" x14ac:dyDescent="0.25"/>
    <row r="50257" s="12" customFormat="1" x14ac:dyDescent="0.25"/>
    <row r="50258" s="12" customFormat="1" x14ac:dyDescent="0.25"/>
    <row r="50259" s="12" customFormat="1" x14ac:dyDescent="0.25"/>
    <row r="50260" s="12" customFormat="1" x14ac:dyDescent="0.25"/>
    <row r="50261" s="12" customFormat="1" x14ac:dyDescent="0.25"/>
    <row r="50262" s="12" customFormat="1" x14ac:dyDescent="0.25"/>
    <row r="50263" s="12" customFormat="1" x14ac:dyDescent="0.25"/>
    <row r="50264" s="12" customFormat="1" x14ac:dyDescent="0.25"/>
    <row r="50265" s="12" customFormat="1" x14ac:dyDescent="0.25"/>
    <row r="50266" s="12" customFormat="1" x14ac:dyDescent="0.25"/>
    <row r="50267" s="12" customFormat="1" x14ac:dyDescent="0.25"/>
    <row r="50268" s="12" customFormat="1" x14ac:dyDescent="0.25"/>
    <row r="50269" s="12" customFormat="1" x14ac:dyDescent="0.25"/>
    <row r="50270" s="12" customFormat="1" x14ac:dyDescent="0.25"/>
    <row r="50271" s="12" customFormat="1" x14ac:dyDescent="0.25"/>
    <row r="50272" s="12" customFormat="1" x14ac:dyDescent="0.25"/>
    <row r="50273" s="12" customFormat="1" x14ac:dyDescent="0.25"/>
    <row r="50274" s="12" customFormat="1" x14ac:dyDescent="0.25"/>
    <row r="50275" s="12" customFormat="1" x14ac:dyDescent="0.25"/>
    <row r="50276" s="12" customFormat="1" x14ac:dyDescent="0.25"/>
    <row r="50277" s="12" customFormat="1" x14ac:dyDescent="0.25"/>
    <row r="50278" s="12" customFormat="1" x14ac:dyDescent="0.25"/>
    <row r="50279" s="12" customFormat="1" x14ac:dyDescent="0.25"/>
    <row r="50280" s="12" customFormat="1" x14ac:dyDescent="0.25"/>
    <row r="50281" s="12" customFormat="1" x14ac:dyDescent="0.25"/>
    <row r="50282" s="12" customFormat="1" x14ac:dyDescent="0.25"/>
    <row r="50283" s="12" customFormat="1" x14ac:dyDescent="0.25"/>
    <row r="50284" s="12" customFormat="1" x14ac:dyDescent="0.25"/>
    <row r="50285" s="12" customFormat="1" x14ac:dyDescent="0.25"/>
    <row r="50286" s="12" customFormat="1" x14ac:dyDescent="0.25"/>
    <row r="50287" s="12" customFormat="1" x14ac:dyDescent="0.25"/>
    <row r="50288" s="12" customFormat="1" x14ac:dyDescent="0.25"/>
    <row r="50289" s="12" customFormat="1" x14ac:dyDescent="0.25"/>
    <row r="50290" s="12" customFormat="1" x14ac:dyDescent="0.25"/>
    <row r="50291" s="12" customFormat="1" x14ac:dyDescent="0.25"/>
    <row r="50292" s="12" customFormat="1" x14ac:dyDescent="0.25"/>
    <row r="50293" s="12" customFormat="1" x14ac:dyDescent="0.25"/>
    <row r="50294" s="12" customFormat="1" x14ac:dyDescent="0.25"/>
    <row r="50295" s="12" customFormat="1" x14ac:dyDescent="0.25"/>
    <row r="50296" s="12" customFormat="1" x14ac:dyDescent="0.25"/>
    <row r="50297" s="12" customFormat="1" x14ac:dyDescent="0.25"/>
    <row r="50298" s="12" customFormat="1" x14ac:dyDescent="0.25"/>
    <row r="50299" s="12" customFormat="1" x14ac:dyDescent="0.25"/>
    <row r="50300" s="12" customFormat="1" x14ac:dyDescent="0.25"/>
    <row r="50301" s="12" customFormat="1" x14ac:dyDescent="0.25"/>
    <row r="50302" s="12" customFormat="1" x14ac:dyDescent="0.25"/>
    <row r="50303" s="12" customFormat="1" x14ac:dyDescent="0.25"/>
    <row r="50304" s="12" customFormat="1" x14ac:dyDescent="0.25"/>
    <row r="50305" s="12" customFormat="1" x14ac:dyDescent="0.25"/>
    <row r="50306" s="12" customFormat="1" x14ac:dyDescent="0.25"/>
    <row r="50307" s="12" customFormat="1" x14ac:dyDescent="0.25"/>
    <row r="50308" s="12" customFormat="1" x14ac:dyDescent="0.25"/>
    <row r="50309" s="12" customFormat="1" x14ac:dyDescent="0.25"/>
    <row r="50310" s="12" customFormat="1" x14ac:dyDescent="0.25"/>
    <row r="50311" s="12" customFormat="1" x14ac:dyDescent="0.25"/>
    <row r="50312" s="12" customFormat="1" x14ac:dyDescent="0.25"/>
    <row r="50313" s="12" customFormat="1" x14ac:dyDescent="0.25"/>
    <row r="50314" s="12" customFormat="1" x14ac:dyDescent="0.25"/>
    <row r="50315" s="12" customFormat="1" x14ac:dyDescent="0.25"/>
    <row r="50316" s="12" customFormat="1" x14ac:dyDescent="0.25"/>
    <row r="50317" s="12" customFormat="1" x14ac:dyDescent="0.25"/>
    <row r="50318" s="12" customFormat="1" x14ac:dyDescent="0.25"/>
    <row r="50319" s="12" customFormat="1" x14ac:dyDescent="0.25"/>
    <row r="50320" s="12" customFormat="1" x14ac:dyDescent="0.25"/>
    <row r="50321" s="12" customFormat="1" x14ac:dyDescent="0.25"/>
    <row r="50322" s="12" customFormat="1" x14ac:dyDescent="0.25"/>
    <row r="50323" s="12" customFormat="1" x14ac:dyDescent="0.25"/>
    <row r="50324" s="12" customFormat="1" x14ac:dyDescent="0.25"/>
    <row r="50325" s="12" customFormat="1" x14ac:dyDescent="0.25"/>
    <row r="50326" s="12" customFormat="1" x14ac:dyDescent="0.25"/>
    <row r="50327" s="12" customFormat="1" x14ac:dyDescent="0.25"/>
    <row r="50328" s="12" customFormat="1" x14ac:dyDescent="0.25"/>
    <row r="50329" s="12" customFormat="1" x14ac:dyDescent="0.25"/>
    <row r="50330" s="12" customFormat="1" x14ac:dyDescent="0.25"/>
    <row r="50331" s="12" customFormat="1" x14ac:dyDescent="0.25"/>
    <row r="50332" s="12" customFormat="1" x14ac:dyDescent="0.25"/>
    <row r="50333" s="12" customFormat="1" x14ac:dyDescent="0.25"/>
    <row r="50334" s="12" customFormat="1" x14ac:dyDescent="0.25"/>
    <row r="50335" s="12" customFormat="1" x14ac:dyDescent="0.25"/>
    <row r="50336" s="12" customFormat="1" x14ac:dyDescent="0.25"/>
    <row r="50337" s="12" customFormat="1" x14ac:dyDescent="0.25"/>
    <row r="50338" s="12" customFormat="1" x14ac:dyDescent="0.25"/>
    <row r="50339" s="12" customFormat="1" x14ac:dyDescent="0.25"/>
    <row r="50340" s="12" customFormat="1" x14ac:dyDescent="0.25"/>
    <row r="50341" s="12" customFormat="1" x14ac:dyDescent="0.25"/>
    <row r="50342" s="12" customFormat="1" x14ac:dyDescent="0.25"/>
    <row r="50343" s="12" customFormat="1" x14ac:dyDescent="0.25"/>
    <row r="50344" s="12" customFormat="1" x14ac:dyDescent="0.25"/>
    <row r="50345" s="12" customFormat="1" x14ac:dyDescent="0.25"/>
    <row r="50346" s="12" customFormat="1" x14ac:dyDescent="0.25"/>
    <row r="50347" s="12" customFormat="1" x14ac:dyDescent="0.25"/>
    <row r="50348" s="12" customFormat="1" x14ac:dyDescent="0.25"/>
    <row r="50349" s="12" customFormat="1" x14ac:dyDescent="0.25"/>
    <row r="50350" s="12" customFormat="1" x14ac:dyDescent="0.25"/>
    <row r="50351" s="12" customFormat="1" x14ac:dyDescent="0.25"/>
    <row r="50352" s="12" customFormat="1" x14ac:dyDescent="0.25"/>
    <row r="50353" s="12" customFormat="1" x14ac:dyDescent="0.25"/>
    <row r="50354" s="12" customFormat="1" x14ac:dyDescent="0.25"/>
    <row r="50355" s="12" customFormat="1" x14ac:dyDescent="0.25"/>
    <row r="50356" s="12" customFormat="1" x14ac:dyDescent="0.25"/>
    <row r="50357" s="12" customFormat="1" x14ac:dyDescent="0.25"/>
    <row r="50358" s="12" customFormat="1" x14ac:dyDescent="0.25"/>
    <row r="50359" s="12" customFormat="1" x14ac:dyDescent="0.25"/>
    <row r="50360" s="12" customFormat="1" x14ac:dyDescent="0.25"/>
    <row r="50361" s="12" customFormat="1" x14ac:dyDescent="0.25"/>
    <row r="50362" s="12" customFormat="1" x14ac:dyDescent="0.25"/>
    <row r="50363" s="12" customFormat="1" x14ac:dyDescent="0.25"/>
    <row r="50364" s="12" customFormat="1" x14ac:dyDescent="0.25"/>
    <row r="50365" s="12" customFormat="1" x14ac:dyDescent="0.25"/>
    <row r="50366" s="12" customFormat="1" x14ac:dyDescent="0.25"/>
    <row r="50367" s="12" customFormat="1" x14ac:dyDescent="0.25"/>
    <row r="50368" s="12" customFormat="1" x14ac:dyDescent="0.25"/>
    <row r="50369" s="12" customFormat="1" x14ac:dyDescent="0.25"/>
    <row r="50370" s="12" customFormat="1" x14ac:dyDescent="0.25"/>
    <row r="50371" s="12" customFormat="1" x14ac:dyDescent="0.25"/>
    <row r="50372" s="12" customFormat="1" x14ac:dyDescent="0.25"/>
    <row r="50373" s="12" customFormat="1" x14ac:dyDescent="0.25"/>
    <row r="50374" s="12" customFormat="1" x14ac:dyDescent="0.25"/>
    <row r="50375" s="12" customFormat="1" x14ac:dyDescent="0.25"/>
    <row r="50376" s="12" customFormat="1" x14ac:dyDescent="0.25"/>
    <row r="50377" s="12" customFormat="1" x14ac:dyDescent="0.25"/>
    <row r="50378" s="12" customFormat="1" x14ac:dyDescent="0.25"/>
    <row r="50379" s="12" customFormat="1" x14ac:dyDescent="0.25"/>
    <row r="50380" s="12" customFormat="1" x14ac:dyDescent="0.25"/>
    <row r="50381" s="12" customFormat="1" x14ac:dyDescent="0.25"/>
    <row r="50382" s="12" customFormat="1" x14ac:dyDescent="0.25"/>
    <row r="50383" s="12" customFormat="1" x14ac:dyDescent="0.25"/>
    <row r="50384" s="12" customFormat="1" x14ac:dyDescent="0.25"/>
    <row r="50385" s="12" customFormat="1" x14ac:dyDescent="0.25"/>
    <row r="50386" s="12" customFormat="1" x14ac:dyDescent="0.25"/>
    <row r="50387" s="12" customFormat="1" x14ac:dyDescent="0.25"/>
    <row r="50388" s="12" customFormat="1" x14ac:dyDescent="0.25"/>
    <row r="50389" s="12" customFormat="1" x14ac:dyDescent="0.25"/>
    <row r="50390" s="12" customFormat="1" x14ac:dyDescent="0.25"/>
    <row r="50391" s="12" customFormat="1" x14ac:dyDescent="0.25"/>
    <row r="50392" s="12" customFormat="1" x14ac:dyDescent="0.25"/>
    <row r="50393" s="12" customFormat="1" x14ac:dyDescent="0.25"/>
    <row r="50394" s="12" customFormat="1" x14ac:dyDescent="0.25"/>
    <row r="50395" s="12" customFormat="1" x14ac:dyDescent="0.25"/>
    <row r="50396" s="12" customFormat="1" x14ac:dyDescent="0.25"/>
    <row r="50397" s="12" customFormat="1" x14ac:dyDescent="0.25"/>
    <row r="50398" s="12" customFormat="1" x14ac:dyDescent="0.25"/>
    <row r="50399" s="12" customFormat="1" x14ac:dyDescent="0.25"/>
    <row r="50400" s="12" customFormat="1" x14ac:dyDescent="0.25"/>
    <row r="50401" s="12" customFormat="1" x14ac:dyDescent="0.25"/>
    <row r="50402" s="12" customFormat="1" x14ac:dyDescent="0.25"/>
    <row r="50403" s="12" customFormat="1" x14ac:dyDescent="0.25"/>
    <row r="50404" s="12" customFormat="1" x14ac:dyDescent="0.25"/>
    <row r="50405" s="12" customFormat="1" x14ac:dyDescent="0.25"/>
    <row r="50406" s="12" customFormat="1" x14ac:dyDescent="0.25"/>
    <row r="50407" s="12" customFormat="1" x14ac:dyDescent="0.25"/>
    <row r="50408" s="12" customFormat="1" x14ac:dyDescent="0.25"/>
    <row r="50409" s="12" customFormat="1" x14ac:dyDescent="0.25"/>
    <row r="50410" s="12" customFormat="1" x14ac:dyDescent="0.25"/>
    <row r="50411" s="12" customFormat="1" x14ac:dyDescent="0.25"/>
    <row r="50412" s="12" customFormat="1" x14ac:dyDescent="0.25"/>
    <row r="50413" s="12" customFormat="1" x14ac:dyDescent="0.25"/>
    <row r="50414" s="12" customFormat="1" x14ac:dyDescent="0.25"/>
    <row r="50415" s="12" customFormat="1" x14ac:dyDescent="0.25"/>
    <row r="50416" s="12" customFormat="1" x14ac:dyDescent="0.25"/>
    <row r="50417" s="12" customFormat="1" x14ac:dyDescent="0.25"/>
    <row r="50418" s="12" customFormat="1" x14ac:dyDescent="0.25"/>
    <row r="50419" s="12" customFormat="1" x14ac:dyDescent="0.25"/>
    <row r="50420" s="12" customFormat="1" x14ac:dyDescent="0.25"/>
    <row r="50421" s="12" customFormat="1" x14ac:dyDescent="0.25"/>
    <row r="50422" s="12" customFormat="1" x14ac:dyDescent="0.25"/>
    <row r="50423" s="12" customFormat="1" x14ac:dyDescent="0.25"/>
    <row r="50424" s="12" customFormat="1" x14ac:dyDescent="0.25"/>
    <row r="50425" s="12" customFormat="1" x14ac:dyDescent="0.25"/>
    <row r="50426" s="12" customFormat="1" x14ac:dyDescent="0.25"/>
    <row r="50427" s="12" customFormat="1" x14ac:dyDescent="0.25"/>
    <row r="50428" s="12" customFormat="1" x14ac:dyDescent="0.25"/>
    <row r="50429" s="12" customFormat="1" x14ac:dyDescent="0.25"/>
    <row r="50430" s="12" customFormat="1" x14ac:dyDescent="0.25"/>
    <row r="50431" s="12" customFormat="1" x14ac:dyDescent="0.25"/>
    <row r="50432" s="12" customFormat="1" x14ac:dyDescent="0.25"/>
    <row r="50433" s="12" customFormat="1" x14ac:dyDescent="0.25"/>
    <row r="50434" s="12" customFormat="1" x14ac:dyDescent="0.25"/>
    <row r="50435" s="12" customFormat="1" x14ac:dyDescent="0.25"/>
    <row r="50436" s="12" customFormat="1" x14ac:dyDescent="0.25"/>
    <row r="50437" s="12" customFormat="1" x14ac:dyDescent="0.25"/>
    <row r="50438" s="12" customFormat="1" x14ac:dyDescent="0.25"/>
    <row r="50439" s="12" customFormat="1" x14ac:dyDescent="0.25"/>
    <row r="50440" s="12" customFormat="1" x14ac:dyDescent="0.25"/>
    <row r="50441" s="12" customFormat="1" x14ac:dyDescent="0.25"/>
    <row r="50442" s="12" customFormat="1" x14ac:dyDescent="0.25"/>
    <row r="50443" s="12" customFormat="1" x14ac:dyDescent="0.25"/>
    <row r="50444" s="12" customFormat="1" x14ac:dyDescent="0.25"/>
    <row r="50445" s="12" customFormat="1" x14ac:dyDescent="0.25"/>
    <row r="50446" s="12" customFormat="1" x14ac:dyDescent="0.25"/>
    <row r="50447" s="12" customFormat="1" x14ac:dyDescent="0.25"/>
    <row r="50448" s="12" customFormat="1" x14ac:dyDescent="0.25"/>
    <row r="50449" s="12" customFormat="1" x14ac:dyDescent="0.25"/>
    <row r="50450" s="12" customFormat="1" x14ac:dyDescent="0.25"/>
    <row r="50451" s="12" customFormat="1" x14ac:dyDescent="0.25"/>
    <row r="50452" s="12" customFormat="1" x14ac:dyDescent="0.25"/>
    <row r="50453" s="12" customFormat="1" x14ac:dyDescent="0.25"/>
    <row r="50454" s="12" customFormat="1" x14ac:dyDescent="0.25"/>
    <row r="50455" s="12" customFormat="1" x14ac:dyDescent="0.25"/>
    <row r="50456" s="12" customFormat="1" x14ac:dyDescent="0.25"/>
    <row r="50457" s="12" customFormat="1" x14ac:dyDescent="0.25"/>
    <row r="50458" s="12" customFormat="1" x14ac:dyDescent="0.25"/>
    <row r="50459" s="12" customFormat="1" x14ac:dyDescent="0.25"/>
    <row r="50460" s="12" customFormat="1" x14ac:dyDescent="0.25"/>
    <row r="50461" s="12" customFormat="1" x14ac:dyDescent="0.25"/>
    <row r="50462" s="12" customFormat="1" x14ac:dyDescent="0.25"/>
    <row r="50463" s="12" customFormat="1" x14ac:dyDescent="0.25"/>
    <row r="50464" s="12" customFormat="1" x14ac:dyDescent="0.25"/>
    <row r="50465" s="12" customFormat="1" x14ac:dyDescent="0.25"/>
    <row r="50466" s="12" customFormat="1" x14ac:dyDescent="0.25"/>
    <row r="50467" s="12" customFormat="1" x14ac:dyDescent="0.25"/>
    <row r="50468" s="12" customFormat="1" x14ac:dyDescent="0.25"/>
    <row r="50469" s="12" customFormat="1" x14ac:dyDescent="0.25"/>
    <row r="50470" s="12" customFormat="1" x14ac:dyDescent="0.25"/>
    <row r="50471" s="12" customFormat="1" x14ac:dyDescent="0.25"/>
    <row r="50472" s="12" customFormat="1" x14ac:dyDescent="0.25"/>
    <row r="50473" s="12" customFormat="1" x14ac:dyDescent="0.25"/>
    <row r="50474" s="12" customFormat="1" x14ac:dyDescent="0.25"/>
    <row r="50475" s="12" customFormat="1" x14ac:dyDescent="0.25"/>
    <row r="50476" s="12" customFormat="1" x14ac:dyDescent="0.25"/>
    <row r="50477" s="12" customFormat="1" x14ac:dyDescent="0.25"/>
    <row r="50478" s="12" customFormat="1" x14ac:dyDescent="0.25"/>
    <row r="50479" s="12" customFormat="1" x14ac:dyDescent="0.25"/>
    <row r="50480" s="12" customFormat="1" x14ac:dyDescent="0.25"/>
    <row r="50481" s="12" customFormat="1" x14ac:dyDescent="0.25"/>
    <row r="50482" s="12" customFormat="1" x14ac:dyDescent="0.25"/>
    <row r="50483" s="12" customFormat="1" x14ac:dyDescent="0.25"/>
    <row r="50484" s="12" customFormat="1" x14ac:dyDescent="0.25"/>
    <row r="50485" s="12" customFormat="1" x14ac:dyDescent="0.25"/>
    <row r="50486" s="12" customFormat="1" x14ac:dyDescent="0.25"/>
    <row r="50487" s="12" customFormat="1" x14ac:dyDescent="0.25"/>
    <row r="50488" s="12" customFormat="1" x14ac:dyDescent="0.25"/>
    <row r="50489" s="12" customFormat="1" x14ac:dyDescent="0.25"/>
    <row r="50490" s="12" customFormat="1" x14ac:dyDescent="0.25"/>
    <row r="50491" s="12" customFormat="1" x14ac:dyDescent="0.25"/>
    <row r="50492" s="12" customFormat="1" x14ac:dyDescent="0.25"/>
    <row r="50493" s="12" customFormat="1" x14ac:dyDescent="0.25"/>
    <row r="50494" s="12" customFormat="1" x14ac:dyDescent="0.25"/>
    <row r="50495" s="12" customFormat="1" x14ac:dyDescent="0.25"/>
    <row r="50496" s="12" customFormat="1" x14ac:dyDescent="0.25"/>
    <row r="50497" s="12" customFormat="1" x14ac:dyDescent="0.25"/>
    <row r="50498" s="12" customFormat="1" x14ac:dyDescent="0.25"/>
    <row r="50499" s="12" customFormat="1" x14ac:dyDescent="0.25"/>
    <row r="50500" s="12" customFormat="1" x14ac:dyDescent="0.25"/>
    <row r="50501" s="12" customFormat="1" x14ac:dyDescent="0.25"/>
    <row r="50502" s="12" customFormat="1" x14ac:dyDescent="0.25"/>
    <row r="50503" s="12" customFormat="1" x14ac:dyDescent="0.25"/>
    <row r="50504" s="12" customFormat="1" x14ac:dyDescent="0.25"/>
    <row r="50505" s="12" customFormat="1" x14ac:dyDescent="0.25"/>
    <row r="50506" s="12" customFormat="1" x14ac:dyDescent="0.25"/>
    <row r="50507" s="12" customFormat="1" x14ac:dyDescent="0.25"/>
    <row r="50508" s="12" customFormat="1" x14ac:dyDescent="0.25"/>
    <row r="50509" s="12" customFormat="1" x14ac:dyDescent="0.25"/>
    <row r="50510" s="12" customFormat="1" x14ac:dyDescent="0.25"/>
    <row r="50511" s="12" customFormat="1" x14ac:dyDescent="0.25"/>
    <row r="50512" s="12" customFormat="1" x14ac:dyDescent="0.25"/>
    <row r="50513" s="12" customFormat="1" x14ac:dyDescent="0.25"/>
    <row r="50514" s="12" customFormat="1" x14ac:dyDescent="0.25"/>
    <row r="50515" s="12" customFormat="1" x14ac:dyDescent="0.25"/>
    <row r="50516" s="12" customFormat="1" x14ac:dyDescent="0.25"/>
    <row r="50517" s="12" customFormat="1" x14ac:dyDescent="0.25"/>
    <row r="50518" s="12" customFormat="1" x14ac:dyDescent="0.25"/>
    <row r="50519" s="12" customFormat="1" x14ac:dyDescent="0.25"/>
    <row r="50520" s="12" customFormat="1" x14ac:dyDescent="0.25"/>
    <row r="50521" s="12" customFormat="1" x14ac:dyDescent="0.25"/>
    <row r="50522" s="12" customFormat="1" x14ac:dyDescent="0.25"/>
    <row r="50523" s="12" customFormat="1" x14ac:dyDescent="0.25"/>
    <row r="50524" s="12" customFormat="1" x14ac:dyDescent="0.25"/>
    <row r="50525" s="12" customFormat="1" x14ac:dyDescent="0.25"/>
    <row r="50526" s="12" customFormat="1" x14ac:dyDescent="0.25"/>
    <row r="50527" s="12" customFormat="1" x14ac:dyDescent="0.25"/>
    <row r="50528" s="12" customFormat="1" x14ac:dyDescent="0.25"/>
    <row r="50529" s="12" customFormat="1" x14ac:dyDescent="0.25"/>
    <row r="50530" s="12" customFormat="1" x14ac:dyDescent="0.25"/>
    <row r="50531" s="12" customFormat="1" x14ac:dyDescent="0.25"/>
    <row r="50532" s="12" customFormat="1" x14ac:dyDescent="0.25"/>
    <row r="50533" s="12" customFormat="1" x14ac:dyDescent="0.25"/>
    <row r="50534" s="12" customFormat="1" x14ac:dyDescent="0.25"/>
    <row r="50535" s="12" customFormat="1" x14ac:dyDescent="0.25"/>
    <row r="50536" s="12" customFormat="1" x14ac:dyDescent="0.25"/>
    <row r="50537" s="12" customFormat="1" x14ac:dyDescent="0.25"/>
    <row r="50538" s="12" customFormat="1" x14ac:dyDescent="0.25"/>
    <row r="50539" s="12" customFormat="1" x14ac:dyDescent="0.25"/>
    <row r="50540" s="12" customFormat="1" x14ac:dyDescent="0.25"/>
    <row r="50541" s="12" customFormat="1" x14ac:dyDescent="0.25"/>
    <row r="50542" s="12" customFormat="1" x14ac:dyDescent="0.25"/>
    <row r="50543" s="12" customFormat="1" x14ac:dyDescent="0.25"/>
    <row r="50544" s="12" customFormat="1" x14ac:dyDescent="0.25"/>
    <row r="50545" s="12" customFormat="1" x14ac:dyDescent="0.25"/>
    <row r="50546" s="12" customFormat="1" x14ac:dyDescent="0.25"/>
    <row r="50547" s="12" customFormat="1" x14ac:dyDescent="0.25"/>
    <row r="50548" s="12" customFormat="1" x14ac:dyDescent="0.25"/>
    <row r="50549" s="12" customFormat="1" x14ac:dyDescent="0.25"/>
    <row r="50550" s="12" customFormat="1" x14ac:dyDescent="0.25"/>
    <row r="50551" s="12" customFormat="1" x14ac:dyDescent="0.25"/>
    <row r="50552" s="12" customFormat="1" x14ac:dyDescent="0.25"/>
    <row r="50553" s="12" customFormat="1" x14ac:dyDescent="0.25"/>
    <row r="50554" s="12" customFormat="1" x14ac:dyDescent="0.25"/>
    <row r="50555" s="12" customFormat="1" x14ac:dyDescent="0.25"/>
    <row r="50556" s="12" customFormat="1" x14ac:dyDescent="0.25"/>
    <row r="50557" s="12" customFormat="1" x14ac:dyDescent="0.25"/>
    <row r="50558" s="12" customFormat="1" x14ac:dyDescent="0.25"/>
    <row r="50559" s="12" customFormat="1" x14ac:dyDescent="0.25"/>
    <row r="50560" s="12" customFormat="1" x14ac:dyDescent="0.25"/>
    <row r="50561" s="12" customFormat="1" x14ac:dyDescent="0.25"/>
    <row r="50562" s="12" customFormat="1" x14ac:dyDescent="0.25"/>
    <row r="50563" s="12" customFormat="1" x14ac:dyDescent="0.25"/>
    <row r="50564" s="12" customFormat="1" x14ac:dyDescent="0.25"/>
    <row r="50565" s="12" customFormat="1" x14ac:dyDescent="0.25"/>
    <row r="50566" s="12" customFormat="1" x14ac:dyDescent="0.25"/>
    <row r="50567" s="12" customFormat="1" x14ac:dyDescent="0.25"/>
    <row r="50568" s="12" customFormat="1" x14ac:dyDescent="0.25"/>
    <row r="50569" s="12" customFormat="1" x14ac:dyDescent="0.25"/>
    <row r="50570" s="12" customFormat="1" x14ac:dyDescent="0.25"/>
    <row r="50571" s="12" customFormat="1" x14ac:dyDescent="0.25"/>
    <row r="50572" s="12" customFormat="1" x14ac:dyDescent="0.25"/>
    <row r="50573" s="12" customFormat="1" x14ac:dyDescent="0.25"/>
    <row r="50574" s="12" customFormat="1" x14ac:dyDescent="0.25"/>
    <row r="50575" s="12" customFormat="1" x14ac:dyDescent="0.25"/>
    <row r="50576" s="12" customFormat="1" x14ac:dyDescent="0.25"/>
    <row r="50577" s="12" customFormat="1" x14ac:dyDescent="0.25"/>
    <row r="50578" s="12" customFormat="1" x14ac:dyDescent="0.25"/>
    <row r="50579" s="12" customFormat="1" x14ac:dyDescent="0.25"/>
    <row r="50580" s="12" customFormat="1" x14ac:dyDescent="0.25"/>
    <row r="50581" s="12" customFormat="1" x14ac:dyDescent="0.25"/>
    <row r="50582" s="12" customFormat="1" x14ac:dyDescent="0.25"/>
    <row r="50583" s="12" customFormat="1" x14ac:dyDescent="0.25"/>
    <row r="50584" s="12" customFormat="1" x14ac:dyDescent="0.25"/>
    <row r="50585" s="12" customFormat="1" x14ac:dyDescent="0.25"/>
    <row r="50586" s="12" customFormat="1" x14ac:dyDescent="0.25"/>
    <row r="50587" s="12" customFormat="1" x14ac:dyDescent="0.25"/>
    <row r="50588" s="12" customFormat="1" x14ac:dyDescent="0.25"/>
    <row r="50589" s="12" customFormat="1" x14ac:dyDescent="0.25"/>
    <row r="50590" s="12" customFormat="1" x14ac:dyDescent="0.25"/>
    <row r="50591" s="12" customFormat="1" x14ac:dyDescent="0.25"/>
    <row r="50592" s="12" customFormat="1" x14ac:dyDescent="0.25"/>
    <row r="50593" s="12" customFormat="1" x14ac:dyDescent="0.25"/>
    <row r="50594" s="12" customFormat="1" x14ac:dyDescent="0.25"/>
    <row r="50595" s="12" customFormat="1" x14ac:dyDescent="0.25"/>
    <row r="50596" s="12" customFormat="1" x14ac:dyDescent="0.25"/>
    <row r="50597" s="12" customFormat="1" x14ac:dyDescent="0.25"/>
    <row r="50598" s="12" customFormat="1" x14ac:dyDescent="0.25"/>
    <row r="50599" s="12" customFormat="1" x14ac:dyDescent="0.25"/>
    <row r="50600" s="12" customFormat="1" x14ac:dyDescent="0.25"/>
    <row r="50601" s="12" customFormat="1" x14ac:dyDescent="0.25"/>
    <row r="50602" s="12" customFormat="1" x14ac:dyDescent="0.25"/>
    <row r="50603" s="12" customFormat="1" x14ac:dyDescent="0.25"/>
    <row r="50604" s="12" customFormat="1" x14ac:dyDescent="0.25"/>
    <row r="50605" s="12" customFormat="1" x14ac:dyDescent="0.25"/>
    <row r="50606" s="12" customFormat="1" x14ac:dyDescent="0.25"/>
    <row r="50607" s="12" customFormat="1" x14ac:dyDescent="0.25"/>
    <row r="50608" s="12" customFormat="1" x14ac:dyDescent="0.25"/>
    <row r="50609" s="12" customFormat="1" x14ac:dyDescent="0.25"/>
    <row r="50610" s="12" customFormat="1" x14ac:dyDescent="0.25"/>
    <row r="50611" s="12" customFormat="1" x14ac:dyDescent="0.25"/>
    <row r="50612" s="12" customFormat="1" x14ac:dyDescent="0.25"/>
    <row r="50613" s="12" customFormat="1" x14ac:dyDescent="0.25"/>
    <row r="50614" s="12" customFormat="1" x14ac:dyDescent="0.25"/>
    <row r="50615" s="12" customFormat="1" x14ac:dyDescent="0.25"/>
    <row r="50616" s="12" customFormat="1" x14ac:dyDescent="0.25"/>
    <row r="50617" s="12" customFormat="1" x14ac:dyDescent="0.25"/>
    <row r="50618" s="12" customFormat="1" x14ac:dyDescent="0.25"/>
    <row r="50619" s="12" customFormat="1" x14ac:dyDescent="0.25"/>
    <row r="50620" s="12" customFormat="1" x14ac:dyDescent="0.25"/>
    <row r="50621" s="12" customFormat="1" x14ac:dyDescent="0.25"/>
    <row r="50622" s="12" customFormat="1" x14ac:dyDescent="0.25"/>
    <row r="50623" s="12" customFormat="1" x14ac:dyDescent="0.25"/>
    <row r="50624" s="12" customFormat="1" x14ac:dyDescent="0.25"/>
    <row r="50625" s="12" customFormat="1" x14ac:dyDescent="0.25"/>
    <row r="50626" s="12" customFormat="1" x14ac:dyDescent="0.25"/>
    <row r="50627" s="12" customFormat="1" x14ac:dyDescent="0.25"/>
    <row r="50628" s="12" customFormat="1" x14ac:dyDescent="0.25"/>
    <row r="50629" s="12" customFormat="1" x14ac:dyDescent="0.25"/>
    <row r="50630" s="12" customFormat="1" x14ac:dyDescent="0.25"/>
    <row r="50631" s="12" customFormat="1" x14ac:dyDescent="0.25"/>
    <row r="50632" s="12" customFormat="1" x14ac:dyDescent="0.25"/>
    <row r="50633" s="12" customFormat="1" x14ac:dyDescent="0.25"/>
    <row r="50634" s="12" customFormat="1" x14ac:dyDescent="0.25"/>
    <row r="50635" s="12" customFormat="1" x14ac:dyDescent="0.25"/>
    <row r="50636" s="12" customFormat="1" x14ac:dyDescent="0.25"/>
    <row r="50637" s="12" customFormat="1" x14ac:dyDescent="0.25"/>
    <row r="50638" s="12" customFormat="1" x14ac:dyDescent="0.25"/>
    <row r="50639" s="12" customFormat="1" x14ac:dyDescent="0.25"/>
    <row r="50640" s="12" customFormat="1" x14ac:dyDescent="0.25"/>
    <row r="50641" s="12" customFormat="1" x14ac:dyDescent="0.25"/>
    <row r="50642" s="12" customFormat="1" x14ac:dyDescent="0.25"/>
    <row r="50643" s="12" customFormat="1" x14ac:dyDescent="0.25"/>
    <row r="50644" s="12" customFormat="1" x14ac:dyDescent="0.25"/>
    <row r="50645" s="12" customFormat="1" x14ac:dyDescent="0.25"/>
    <row r="50646" s="12" customFormat="1" x14ac:dyDescent="0.25"/>
    <row r="50647" s="12" customFormat="1" x14ac:dyDescent="0.25"/>
    <row r="50648" s="12" customFormat="1" x14ac:dyDescent="0.25"/>
    <row r="50649" s="12" customFormat="1" x14ac:dyDescent="0.25"/>
    <row r="50650" s="12" customFormat="1" x14ac:dyDescent="0.25"/>
    <row r="50651" s="12" customFormat="1" x14ac:dyDescent="0.25"/>
    <row r="50652" s="12" customFormat="1" x14ac:dyDescent="0.25"/>
    <row r="50653" s="12" customFormat="1" x14ac:dyDescent="0.25"/>
    <row r="50654" s="12" customFormat="1" x14ac:dyDescent="0.25"/>
    <row r="50655" s="12" customFormat="1" x14ac:dyDescent="0.25"/>
    <row r="50656" s="12" customFormat="1" x14ac:dyDescent="0.25"/>
    <row r="50657" s="12" customFormat="1" x14ac:dyDescent="0.25"/>
    <row r="50658" s="12" customFormat="1" x14ac:dyDescent="0.25"/>
    <row r="50659" s="12" customFormat="1" x14ac:dyDescent="0.25"/>
    <row r="50660" s="12" customFormat="1" x14ac:dyDescent="0.25"/>
    <row r="50661" s="12" customFormat="1" x14ac:dyDescent="0.25"/>
    <row r="50662" s="12" customFormat="1" x14ac:dyDescent="0.25"/>
    <row r="50663" s="12" customFormat="1" x14ac:dyDescent="0.25"/>
    <row r="50664" s="12" customFormat="1" x14ac:dyDescent="0.25"/>
    <row r="50665" s="12" customFormat="1" x14ac:dyDescent="0.25"/>
    <row r="50666" s="12" customFormat="1" x14ac:dyDescent="0.25"/>
    <row r="50667" s="12" customFormat="1" x14ac:dyDescent="0.25"/>
    <row r="50668" s="12" customFormat="1" x14ac:dyDescent="0.25"/>
    <row r="50669" s="12" customFormat="1" x14ac:dyDescent="0.25"/>
    <row r="50670" s="12" customFormat="1" x14ac:dyDescent="0.25"/>
    <row r="50671" s="12" customFormat="1" x14ac:dyDescent="0.25"/>
    <row r="50672" s="12" customFormat="1" x14ac:dyDescent="0.25"/>
    <row r="50673" s="12" customFormat="1" x14ac:dyDescent="0.25"/>
    <row r="50674" s="12" customFormat="1" x14ac:dyDescent="0.25"/>
    <row r="50675" s="12" customFormat="1" x14ac:dyDescent="0.25"/>
    <row r="50676" s="12" customFormat="1" x14ac:dyDescent="0.25"/>
    <row r="50677" s="12" customFormat="1" x14ac:dyDescent="0.25"/>
    <row r="50678" s="12" customFormat="1" x14ac:dyDescent="0.25"/>
    <row r="50679" s="12" customFormat="1" x14ac:dyDescent="0.25"/>
    <row r="50680" s="12" customFormat="1" x14ac:dyDescent="0.25"/>
    <row r="50681" s="12" customFormat="1" x14ac:dyDescent="0.25"/>
    <row r="50682" s="12" customFormat="1" x14ac:dyDescent="0.25"/>
    <row r="50683" s="12" customFormat="1" x14ac:dyDescent="0.25"/>
    <row r="50684" s="12" customFormat="1" x14ac:dyDescent="0.25"/>
    <row r="50685" s="12" customFormat="1" x14ac:dyDescent="0.25"/>
    <row r="50686" s="12" customFormat="1" x14ac:dyDescent="0.25"/>
    <row r="50687" s="12" customFormat="1" x14ac:dyDescent="0.25"/>
    <row r="50688" s="12" customFormat="1" x14ac:dyDescent="0.25"/>
    <row r="50689" s="12" customFormat="1" x14ac:dyDescent="0.25"/>
    <row r="50690" s="12" customFormat="1" x14ac:dyDescent="0.25"/>
    <row r="50691" s="12" customFormat="1" x14ac:dyDescent="0.25"/>
    <row r="50692" s="12" customFormat="1" x14ac:dyDescent="0.25"/>
    <row r="50693" s="12" customFormat="1" x14ac:dyDescent="0.25"/>
    <row r="50694" s="12" customFormat="1" x14ac:dyDescent="0.25"/>
    <row r="50695" s="12" customFormat="1" x14ac:dyDescent="0.25"/>
    <row r="50696" s="12" customFormat="1" x14ac:dyDescent="0.25"/>
    <row r="50697" s="12" customFormat="1" x14ac:dyDescent="0.25"/>
    <row r="50698" s="12" customFormat="1" x14ac:dyDescent="0.25"/>
    <row r="50699" s="12" customFormat="1" x14ac:dyDescent="0.25"/>
    <row r="50700" s="12" customFormat="1" x14ac:dyDescent="0.25"/>
    <row r="50701" s="12" customFormat="1" x14ac:dyDescent="0.25"/>
    <row r="50702" s="12" customFormat="1" x14ac:dyDescent="0.25"/>
    <row r="50703" s="12" customFormat="1" x14ac:dyDescent="0.25"/>
    <row r="50704" s="12" customFormat="1" x14ac:dyDescent="0.25"/>
    <row r="50705" s="12" customFormat="1" x14ac:dyDescent="0.25"/>
    <row r="50706" s="12" customFormat="1" x14ac:dyDescent="0.25"/>
    <row r="50707" s="12" customFormat="1" x14ac:dyDescent="0.25"/>
    <row r="50708" s="12" customFormat="1" x14ac:dyDescent="0.25"/>
    <row r="50709" s="12" customFormat="1" x14ac:dyDescent="0.25"/>
    <row r="50710" s="12" customFormat="1" x14ac:dyDescent="0.25"/>
    <row r="50711" s="12" customFormat="1" x14ac:dyDescent="0.25"/>
    <row r="50712" s="12" customFormat="1" x14ac:dyDescent="0.25"/>
    <row r="50713" s="12" customFormat="1" x14ac:dyDescent="0.25"/>
    <row r="50714" s="12" customFormat="1" x14ac:dyDescent="0.25"/>
    <row r="50715" s="12" customFormat="1" x14ac:dyDescent="0.25"/>
    <row r="50716" s="12" customFormat="1" x14ac:dyDescent="0.25"/>
    <row r="50717" s="12" customFormat="1" x14ac:dyDescent="0.25"/>
    <row r="50718" s="12" customFormat="1" x14ac:dyDescent="0.25"/>
    <row r="50719" s="12" customFormat="1" x14ac:dyDescent="0.25"/>
    <row r="50720" s="12" customFormat="1" x14ac:dyDescent="0.25"/>
    <row r="50721" s="12" customFormat="1" x14ac:dyDescent="0.25"/>
    <row r="50722" s="12" customFormat="1" x14ac:dyDescent="0.25"/>
    <row r="50723" s="12" customFormat="1" x14ac:dyDescent="0.25"/>
    <row r="50724" s="12" customFormat="1" x14ac:dyDescent="0.25"/>
    <row r="50725" s="12" customFormat="1" x14ac:dyDescent="0.25"/>
    <row r="50726" s="12" customFormat="1" x14ac:dyDescent="0.25"/>
    <row r="50727" s="12" customFormat="1" x14ac:dyDescent="0.25"/>
    <row r="50728" s="12" customFormat="1" x14ac:dyDescent="0.25"/>
    <row r="50729" s="12" customFormat="1" x14ac:dyDescent="0.25"/>
    <row r="50730" s="12" customFormat="1" x14ac:dyDescent="0.25"/>
    <row r="50731" s="12" customFormat="1" x14ac:dyDescent="0.25"/>
    <row r="50732" s="12" customFormat="1" x14ac:dyDescent="0.25"/>
    <row r="50733" s="12" customFormat="1" x14ac:dyDescent="0.25"/>
    <row r="50734" s="12" customFormat="1" x14ac:dyDescent="0.25"/>
    <row r="50735" s="12" customFormat="1" x14ac:dyDescent="0.25"/>
    <row r="50736" s="12" customFormat="1" x14ac:dyDescent="0.25"/>
    <row r="50737" s="12" customFormat="1" x14ac:dyDescent="0.25"/>
    <row r="50738" s="12" customFormat="1" x14ac:dyDescent="0.25"/>
    <row r="50739" s="12" customFormat="1" x14ac:dyDescent="0.25"/>
    <row r="50740" s="12" customFormat="1" x14ac:dyDescent="0.25"/>
    <row r="50741" s="12" customFormat="1" x14ac:dyDescent="0.25"/>
    <row r="50742" s="12" customFormat="1" x14ac:dyDescent="0.25"/>
    <row r="50743" s="12" customFormat="1" x14ac:dyDescent="0.25"/>
    <row r="50744" s="12" customFormat="1" x14ac:dyDescent="0.25"/>
    <row r="50745" s="12" customFormat="1" x14ac:dyDescent="0.25"/>
    <row r="50746" s="12" customFormat="1" x14ac:dyDescent="0.25"/>
    <row r="50747" s="12" customFormat="1" x14ac:dyDescent="0.25"/>
    <row r="50748" s="12" customFormat="1" x14ac:dyDescent="0.25"/>
    <row r="50749" s="12" customFormat="1" x14ac:dyDescent="0.25"/>
    <row r="50750" s="12" customFormat="1" x14ac:dyDescent="0.25"/>
    <row r="50751" s="12" customFormat="1" x14ac:dyDescent="0.25"/>
    <row r="50752" s="12" customFormat="1" x14ac:dyDescent="0.25"/>
    <row r="50753" s="12" customFormat="1" x14ac:dyDescent="0.25"/>
    <row r="50754" s="12" customFormat="1" x14ac:dyDescent="0.25"/>
    <row r="50755" s="12" customFormat="1" x14ac:dyDescent="0.25"/>
    <row r="50756" s="12" customFormat="1" x14ac:dyDescent="0.25"/>
    <row r="50757" s="12" customFormat="1" x14ac:dyDescent="0.25"/>
    <row r="50758" s="12" customFormat="1" x14ac:dyDescent="0.25"/>
    <row r="50759" s="12" customFormat="1" x14ac:dyDescent="0.25"/>
    <row r="50760" s="12" customFormat="1" x14ac:dyDescent="0.25"/>
    <row r="50761" s="12" customFormat="1" x14ac:dyDescent="0.25"/>
    <row r="50762" s="12" customFormat="1" x14ac:dyDescent="0.25"/>
    <row r="50763" s="12" customFormat="1" x14ac:dyDescent="0.25"/>
    <row r="50764" s="12" customFormat="1" x14ac:dyDescent="0.25"/>
    <row r="50765" s="12" customFormat="1" x14ac:dyDescent="0.25"/>
    <row r="50766" s="12" customFormat="1" x14ac:dyDescent="0.25"/>
    <row r="50767" s="12" customFormat="1" x14ac:dyDescent="0.25"/>
    <row r="50768" s="12" customFormat="1" x14ac:dyDescent="0.25"/>
    <row r="50769" s="12" customFormat="1" x14ac:dyDescent="0.25"/>
    <row r="50770" s="12" customFormat="1" x14ac:dyDescent="0.25"/>
    <row r="50771" s="12" customFormat="1" x14ac:dyDescent="0.25"/>
    <row r="50772" s="12" customFormat="1" x14ac:dyDescent="0.25"/>
    <row r="50773" s="12" customFormat="1" x14ac:dyDescent="0.25"/>
    <row r="50774" s="12" customFormat="1" x14ac:dyDescent="0.25"/>
    <row r="50775" s="12" customFormat="1" x14ac:dyDescent="0.25"/>
    <row r="50776" s="12" customFormat="1" x14ac:dyDescent="0.25"/>
    <row r="50777" s="12" customFormat="1" x14ac:dyDescent="0.25"/>
    <row r="50778" s="12" customFormat="1" x14ac:dyDescent="0.25"/>
    <row r="50779" s="12" customFormat="1" x14ac:dyDescent="0.25"/>
    <row r="50780" s="12" customFormat="1" x14ac:dyDescent="0.25"/>
    <row r="50781" s="12" customFormat="1" x14ac:dyDescent="0.25"/>
    <row r="50782" s="12" customFormat="1" x14ac:dyDescent="0.25"/>
    <row r="50783" s="12" customFormat="1" x14ac:dyDescent="0.25"/>
    <row r="50784" s="12" customFormat="1" x14ac:dyDescent="0.25"/>
    <row r="50785" s="12" customFormat="1" x14ac:dyDescent="0.25"/>
    <row r="50786" s="12" customFormat="1" x14ac:dyDescent="0.25"/>
    <row r="50787" s="12" customFormat="1" x14ac:dyDescent="0.25"/>
    <row r="50788" s="12" customFormat="1" x14ac:dyDescent="0.25"/>
    <row r="50789" s="12" customFormat="1" x14ac:dyDescent="0.25"/>
    <row r="50790" s="12" customFormat="1" x14ac:dyDescent="0.25"/>
    <row r="50791" s="12" customFormat="1" x14ac:dyDescent="0.25"/>
    <row r="50792" s="12" customFormat="1" x14ac:dyDescent="0.25"/>
    <row r="50793" s="12" customFormat="1" x14ac:dyDescent="0.25"/>
    <row r="50794" s="12" customFormat="1" x14ac:dyDescent="0.25"/>
    <row r="50795" s="12" customFormat="1" x14ac:dyDescent="0.25"/>
    <row r="50796" s="12" customFormat="1" x14ac:dyDescent="0.25"/>
    <row r="50797" s="12" customFormat="1" x14ac:dyDescent="0.25"/>
    <row r="50798" s="12" customFormat="1" x14ac:dyDescent="0.25"/>
    <row r="50799" s="12" customFormat="1" x14ac:dyDescent="0.25"/>
    <row r="50800" s="12" customFormat="1" x14ac:dyDescent="0.25"/>
    <row r="50801" s="12" customFormat="1" x14ac:dyDescent="0.25"/>
    <row r="50802" s="12" customFormat="1" x14ac:dyDescent="0.25"/>
    <row r="50803" s="12" customFormat="1" x14ac:dyDescent="0.25"/>
    <row r="50804" s="12" customFormat="1" x14ac:dyDescent="0.25"/>
    <row r="50805" s="12" customFormat="1" x14ac:dyDescent="0.25"/>
    <row r="50806" s="12" customFormat="1" x14ac:dyDescent="0.25"/>
    <row r="50807" s="12" customFormat="1" x14ac:dyDescent="0.25"/>
    <row r="50808" s="12" customFormat="1" x14ac:dyDescent="0.25"/>
    <row r="50809" s="12" customFormat="1" x14ac:dyDescent="0.25"/>
    <row r="50810" s="12" customFormat="1" x14ac:dyDescent="0.25"/>
    <row r="50811" s="12" customFormat="1" x14ac:dyDescent="0.25"/>
    <row r="50812" s="12" customFormat="1" x14ac:dyDescent="0.25"/>
    <row r="50813" s="12" customFormat="1" x14ac:dyDescent="0.25"/>
    <row r="50814" s="12" customFormat="1" x14ac:dyDescent="0.25"/>
    <row r="50815" s="12" customFormat="1" x14ac:dyDescent="0.25"/>
    <row r="50816" s="12" customFormat="1" x14ac:dyDescent="0.25"/>
    <row r="50817" s="12" customFormat="1" x14ac:dyDescent="0.25"/>
    <row r="50818" s="12" customFormat="1" x14ac:dyDescent="0.25"/>
    <row r="50819" s="12" customFormat="1" x14ac:dyDescent="0.25"/>
    <row r="50820" s="12" customFormat="1" x14ac:dyDescent="0.25"/>
    <row r="50821" s="12" customFormat="1" x14ac:dyDescent="0.25"/>
    <row r="50822" s="12" customFormat="1" x14ac:dyDescent="0.25"/>
    <row r="50823" s="12" customFormat="1" x14ac:dyDescent="0.25"/>
    <row r="50824" s="12" customFormat="1" x14ac:dyDescent="0.25"/>
    <row r="50825" s="12" customFormat="1" x14ac:dyDescent="0.25"/>
    <row r="50826" s="12" customFormat="1" x14ac:dyDescent="0.25"/>
    <row r="50827" s="12" customFormat="1" x14ac:dyDescent="0.25"/>
    <row r="50828" s="12" customFormat="1" x14ac:dyDescent="0.25"/>
    <row r="50829" s="12" customFormat="1" x14ac:dyDescent="0.25"/>
    <row r="50830" s="12" customFormat="1" x14ac:dyDescent="0.25"/>
    <row r="50831" s="12" customFormat="1" x14ac:dyDescent="0.25"/>
    <row r="50832" s="12" customFormat="1" x14ac:dyDescent="0.25"/>
    <row r="50833" s="12" customFormat="1" x14ac:dyDescent="0.25"/>
    <row r="50834" s="12" customFormat="1" x14ac:dyDescent="0.25"/>
    <row r="50835" s="12" customFormat="1" x14ac:dyDescent="0.25"/>
    <row r="50836" s="12" customFormat="1" x14ac:dyDescent="0.25"/>
    <row r="50837" s="12" customFormat="1" x14ac:dyDescent="0.25"/>
    <row r="50838" s="12" customFormat="1" x14ac:dyDescent="0.25"/>
    <row r="50839" s="12" customFormat="1" x14ac:dyDescent="0.25"/>
    <row r="50840" s="12" customFormat="1" x14ac:dyDescent="0.25"/>
    <row r="50841" s="12" customFormat="1" x14ac:dyDescent="0.25"/>
    <row r="50842" s="12" customFormat="1" x14ac:dyDescent="0.25"/>
    <row r="50843" s="12" customFormat="1" x14ac:dyDescent="0.25"/>
    <row r="50844" s="12" customFormat="1" x14ac:dyDescent="0.25"/>
    <row r="50845" s="12" customFormat="1" x14ac:dyDescent="0.25"/>
    <row r="50846" s="12" customFormat="1" x14ac:dyDescent="0.25"/>
    <row r="50847" s="12" customFormat="1" x14ac:dyDescent="0.25"/>
    <row r="50848" s="12" customFormat="1" x14ac:dyDescent="0.25"/>
    <row r="50849" s="12" customFormat="1" x14ac:dyDescent="0.25"/>
    <row r="50850" s="12" customFormat="1" x14ac:dyDescent="0.25"/>
    <row r="50851" s="12" customFormat="1" x14ac:dyDescent="0.25"/>
    <row r="50852" s="12" customFormat="1" x14ac:dyDescent="0.25"/>
    <row r="50853" s="12" customFormat="1" x14ac:dyDescent="0.25"/>
    <row r="50854" s="12" customFormat="1" x14ac:dyDescent="0.25"/>
    <row r="50855" s="12" customFormat="1" x14ac:dyDescent="0.25"/>
    <row r="50856" s="12" customFormat="1" x14ac:dyDescent="0.25"/>
    <row r="50857" s="12" customFormat="1" x14ac:dyDescent="0.25"/>
    <row r="50858" s="12" customFormat="1" x14ac:dyDescent="0.25"/>
    <row r="50859" s="12" customFormat="1" x14ac:dyDescent="0.25"/>
    <row r="50860" s="12" customFormat="1" x14ac:dyDescent="0.25"/>
    <row r="50861" s="12" customFormat="1" x14ac:dyDescent="0.25"/>
    <row r="50862" s="12" customFormat="1" x14ac:dyDescent="0.25"/>
    <row r="50863" s="12" customFormat="1" x14ac:dyDescent="0.25"/>
    <row r="50864" s="12" customFormat="1" x14ac:dyDescent="0.25"/>
    <row r="50865" s="12" customFormat="1" x14ac:dyDescent="0.25"/>
    <row r="50866" s="12" customFormat="1" x14ac:dyDescent="0.25"/>
    <row r="50867" s="12" customFormat="1" x14ac:dyDescent="0.25"/>
    <row r="50868" s="12" customFormat="1" x14ac:dyDescent="0.25"/>
    <row r="50869" s="12" customFormat="1" x14ac:dyDescent="0.25"/>
    <row r="50870" s="12" customFormat="1" x14ac:dyDescent="0.25"/>
    <row r="50871" s="12" customFormat="1" x14ac:dyDescent="0.25"/>
    <row r="50872" s="12" customFormat="1" x14ac:dyDescent="0.25"/>
    <row r="50873" s="12" customFormat="1" x14ac:dyDescent="0.25"/>
    <row r="50874" s="12" customFormat="1" x14ac:dyDescent="0.25"/>
    <row r="50875" s="12" customFormat="1" x14ac:dyDescent="0.25"/>
    <row r="50876" s="12" customFormat="1" x14ac:dyDescent="0.25"/>
    <row r="50877" s="12" customFormat="1" x14ac:dyDescent="0.25"/>
    <row r="50878" s="12" customFormat="1" x14ac:dyDescent="0.25"/>
    <row r="50879" s="12" customFormat="1" x14ac:dyDescent="0.25"/>
    <row r="50880" s="12" customFormat="1" x14ac:dyDescent="0.25"/>
    <row r="50881" s="12" customFormat="1" x14ac:dyDescent="0.25"/>
    <row r="50882" s="12" customFormat="1" x14ac:dyDescent="0.25"/>
    <row r="50883" s="12" customFormat="1" x14ac:dyDescent="0.25"/>
    <row r="50884" s="12" customFormat="1" x14ac:dyDescent="0.25"/>
    <row r="50885" s="12" customFormat="1" x14ac:dyDescent="0.25"/>
    <row r="50886" s="12" customFormat="1" x14ac:dyDescent="0.25"/>
    <row r="50887" s="12" customFormat="1" x14ac:dyDescent="0.25"/>
    <row r="50888" s="12" customFormat="1" x14ac:dyDescent="0.25"/>
    <row r="50889" s="12" customFormat="1" x14ac:dyDescent="0.25"/>
    <row r="50890" s="12" customFormat="1" x14ac:dyDescent="0.25"/>
    <row r="50891" s="12" customFormat="1" x14ac:dyDescent="0.25"/>
    <row r="50892" s="12" customFormat="1" x14ac:dyDescent="0.25"/>
    <row r="50893" s="12" customFormat="1" x14ac:dyDescent="0.25"/>
    <row r="50894" s="12" customFormat="1" x14ac:dyDescent="0.25"/>
    <row r="50895" s="12" customFormat="1" x14ac:dyDescent="0.25"/>
    <row r="50896" s="12" customFormat="1" x14ac:dyDescent="0.25"/>
    <row r="50897" s="12" customFormat="1" x14ac:dyDescent="0.25"/>
    <row r="50898" s="12" customFormat="1" x14ac:dyDescent="0.25"/>
    <row r="50899" s="12" customFormat="1" x14ac:dyDescent="0.25"/>
    <row r="50900" s="12" customFormat="1" x14ac:dyDescent="0.25"/>
    <row r="50901" s="12" customFormat="1" x14ac:dyDescent="0.25"/>
    <row r="50902" s="12" customFormat="1" x14ac:dyDescent="0.25"/>
    <row r="50903" s="12" customFormat="1" x14ac:dyDescent="0.25"/>
    <row r="50904" s="12" customFormat="1" x14ac:dyDescent="0.25"/>
    <row r="50905" s="12" customFormat="1" x14ac:dyDescent="0.25"/>
    <row r="50906" s="12" customFormat="1" x14ac:dyDescent="0.25"/>
    <row r="50907" s="12" customFormat="1" x14ac:dyDescent="0.25"/>
    <row r="50908" s="12" customFormat="1" x14ac:dyDescent="0.25"/>
    <row r="50909" s="12" customFormat="1" x14ac:dyDescent="0.25"/>
    <row r="50910" s="12" customFormat="1" x14ac:dyDescent="0.25"/>
    <row r="50911" s="12" customFormat="1" x14ac:dyDescent="0.25"/>
    <row r="50912" s="12" customFormat="1" x14ac:dyDescent="0.25"/>
    <row r="50913" s="12" customFormat="1" x14ac:dyDescent="0.25"/>
    <row r="50914" s="12" customFormat="1" x14ac:dyDescent="0.25"/>
    <row r="50915" s="12" customFormat="1" x14ac:dyDescent="0.25"/>
    <row r="50916" s="12" customFormat="1" x14ac:dyDescent="0.25"/>
    <row r="50917" s="12" customFormat="1" x14ac:dyDescent="0.25"/>
    <row r="50918" s="12" customFormat="1" x14ac:dyDescent="0.25"/>
    <row r="50919" s="12" customFormat="1" x14ac:dyDescent="0.25"/>
    <row r="50920" s="12" customFormat="1" x14ac:dyDescent="0.25"/>
    <row r="50921" s="12" customFormat="1" x14ac:dyDescent="0.25"/>
    <row r="50922" s="12" customFormat="1" x14ac:dyDescent="0.25"/>
    <row r="50923" s="12" customFormat="1" x14ac:dyDescent="0.25"/>
    <row r="50924" s="12" customFormat="1" x14ac:dyDescent="0.25"/>
    <row r="50925" s="12" customFormat="1" x14ac:dyDescent="0.25"/>
    <row r="50926" s="12" customFormat="1" x14ac:dyDescent="0.25"/>
    <row r="50927" s="12" customFormat="1" x14ac:dyDescent="0.25"/>
    <row r="50928" s="12" customFormat="1" x14ac:dyDescent="0.25"/>
    <row r="50929" s="12" customFormat="1" x14ac:dyDescent="0.25"/>
    <row r="50930" s="12" customFormat="1" x14ac:dyDescent="0.25"/>
    <row r="50931" s="12" customFormat="1" x14ac:dyDescent="0.25"/>
    <row r="50932" s="12" customFormat="1" x14ac:dyDescent="0.25"/>
    <row r="50933" s="12" customFormat="1" x14ac:dyDescent="0.25"/>
    <row r="50934" s="12" customFormat="1" x14ac:dyDescent="0.25"/>
    <row r="50935" s="12" customFormat="1" x14ac:dyDescent="0.25"/>
    <row r="50936" s="12" customFormat="1" x14ac:dyDescent="0.25"/>
    <row r="50937" s="12" customFormat="1" x14ac:dyDescent="0.25"/>
    <row r="50938" s="12" customFormat="1" x14ac:dyDescent="0.25"/>
    <row r="50939" s="12" customFormat="1" x14ac:dyDescent="0.25"/>
    <row r="50940" s="12" customFormat="1" x14ac:dyDescent="0.25"/>
    <row r="50941" s="12" customFormat="1" x14ac:dyDescent="0.25"/>
    <row r="50942" s="12" customFormat="1" x14ac:dyDescent="0.25"/>
    <row r="50943" s="12" customFormat="1" x14ac:dyDescent="0.25"/>
    <row r="50944" s="12" customFormat="1" x14ac:dyDescent="0.25"/>
    <row r="50945" s="12" customFormat="1" x14ac:dyDescent="0.25"/>
    <row r="50946" s="12" customFormat="1" x14ac:dyDescent="0.25"/>
    <row r="50947" s="12" customFormat="1" x14ac:dyDescent="0.25"/>
    <row r="50948" s="12" customFormat="1" x14ac:dyDescent="0.25"/>
    <row r="50949" s="12" customFormat="1" x14ac:dyDescent="0.25"/>
    <row r="50950" s="12" customFormat="1" x14ac:dyDescent="0.25"/>
    <row r="50951" s="12" customFormat="1" x14ac:dyDescent="0.25"/>
    <row r="50952" s="12" customFormat="1" x14ac:dyDescent="0.25"/>
    <row r="50953" s="12" customFormat="1" x14ac:dyDescent="0.25"/>
    <row r="50954" s="12" customFormat="1" x14ac:dyDescent="0.25"/>
    <row r="50955" s="12" customFormat="1" x14ac:dyDescent="0.25"/>
    <row r="50956" s="12" customFormat="1" x14ac:dyDescent="0.25"/>
    <row r="50957" s="12" customFormat="1" x14ac:dyDescent="0.25"/>
    <row r="50958" s="12" customFormat="1" x14ac:dyDescent="0.25"/>
    <row r="50959" s="12" customFormat="1" x14ac:dyDescent="0.25"/>
    <row r="50960" s="12" customFormat="1" x14ac:dyDescent="0.25"/>
    <row r="50961" s="12" customFormat="1" x14ac:dyDescent="0.25"/>
    <row r="50962" s="12" customFormat="1" x14ac:dyDescent="0.25"/>
    <row r="50963" s="12" customFormat="1" x14ac:dyDescent="0.25"/>
    <row r="50964" s="12" customFormat="1" x14ac:dyDescent="0.25"/>
    <row r="50965" s="12" customFormat="1" x14ac:dyDescent="0.25"/>
    <row r="50966" s="12" customFormat="1" x14ac:dyDescent="0.25"/>
    <row r="50967" s="12" customFormat="1" x14ac:dyDescent="0.25"/>
    <row r="50968" s="12" customFormat="1" x14ac:dyDescent="0.25"/>
    <row r="50969" s="12" customFormat="1" x14ac:dyDescent="0.25"/>
    <row r="50970" s="12" customFormat="1" x14ac:dyDescent="0.25"/>
    <row r="50971" s="12" customFormat="1" x14ac:dyDescent="0.25"/>
    <row r="50972" s="12" customFormat="1" x14ac:dyDescent="0.25"/>
    <row r="50973" s="12" customFormat="1" x14ac:dyDescent="0.25"/>
    <row r="50974" s="12" customFormat="1" x14ac:dyDescent="0.25"/>
    <row r="50975" s="12" customFormat="1" x14ac:dyDescent="0.25"/>
    <row r="50976" s="12" customFormat="1" x14ac:dyDescent="0.25"/>
    <row r="50977" s="12" customFormat="1" x14ac:dyDescent="0.25"/>
    <row r="50978" s="12" customFormat="1" x14ac:dyDescent="0.25"/>
    <row r="50979" s="12" customFormat="1" x14ac:dyDescent="0.25"/>
    <row r="50980" s="12" customFormat="1" x14ac:dyDescent="0.25"/>
    <row r="50981" s="12" customFormat="1" x14ac:dyDescent="0.25"/>
    <row r="50982" s="12" customFormat="1" x14ac:dyDescent="0.25"/>
    <row r="50983" s="12" customFormat="1" x14ac:dyDescent="0.25"/>
    <row r="50984" s="12" customFormat="1" x14ac:dyDescent="0.25"/>
    <row r="50985" s="12" customFormat="1" x14ac:dyDescent="0.25"/>
    <row r="50986" s="12" customFormat="1" x14ac:dyDescent="0.25"/>
    <row r="50987" s="12" customFormat="1" x14ac:dyDescent="0.25"/>
    <row r="50988" s="12" customFormat="1" x14ac:dyDescent="0.25"/>
    <row r="50989" s="12" customFormat="1" x14ac:dyDescent="0.25"/>
    <row r="50990" s="12" customFormat="1" x14ac:dyDescent="0.25"/>
    <row r="50991" s="12" customFormat="1" x14ac:dyDescent="0.25"/>
    <row r="50992" s="12" customFormat="1" x14ac:dyDescent="0.25"/>
    <row r="50993" s="12" customFormat="1" x14ac:dyDescent="0.25"/>
    <row r="50994" s="12" customFormat="1" x14ac:dyDescent="0.25"/>
    <row r="50995" s="12" customFormat="1" x14ac:dyDescent="0.25"/>
    <row r="50996" s="12" customFormat="1" x14ac:dyDescent="0.25"/>
    <row r="50997" s="12" customFormat="1" x14ac:dyDescent="0.25"/>
    <row r="50998" s="12" customFormat="1" x14ac:dyDescent="0.25"/>
    <row r="50999" s="12" customFormat="1" x14ac:dyDescent="0.25"/>
    <row r="51000" s="12" customFormat="1" x14ac:dyDescent="0.25"/>
    <row r="51001" s="12" customFormat="1" x14ac:dyDescent="0.25"/>
    <row r="51002" s="12" customFormat="1" x14ac:dyDescent="0.25"/>
    <row r="51003" s="12" customFormat="1" x14ac:dyDescent="0.25"/>
    <row r="51004" s="12" customFormat="1" x14ac:dyDescent="0.25"/>
    <row r="51005" s="12" customFormat="1" x14ac:dyDescent="0.25"/>
    <row r="51006" s="12" customFormat="1" x14ac:dyDescent="0.25"/>
    <row r="51007" s="12" customFormat="1" x14ac:dyDescent="0.25"/>
    <row r="51008" s="12" customFormat="1" x14ac:dyDescent="0.25"/>
    <row r="51009" s="12" customFormat="1" x14ac:dyDescent="0.25"/>
    <row r="51010" s="12" customFormat="1" x14ac:dyDescent="0.25"/>
    <row r="51011" s="12" customFormat="1" x14ac:dyDescent="0.25"/>
    <row r="51012" s="12" customFormat="1" x14ac:dyDescent="0.25"/>
    <row r="51013" s="12" customFormat="1" x14ac:dyDescent="0.25"/>
    <row r="51014" s="12" customFormat="1" x14ac:dyDescent="0.25"/>
    <row r="51015" s="12" customFormat="1" x14ac:dyDescent="0.25"/>
    <row r="51016" s="12" customFormat="1" x14ac:dyDescent="0.25"/>
    <row r="51017" s="12" customFormat="1" x14ac:dyDescent="0.25"/>
    <row r="51018" s="12" customFormat="1" x14ac:dyDescent="0.25"/>
    <row r="51019" s="12" customFormat="1" x14ac:dyDescent="0.25"/>
    <row r="51020" s="12" customFormat="1" x14ac:dyDescent="0.25"/>
    <row r="51021" s="12" customFormat="1" x14ac:dyDescent="0.25"/>
    <row r="51022" s="12" customFormat="1" x14ac:dyDescent="0.25"/>
    <row r="51023" s="12" customFormat="1" x14ac:dyDescent="0.25"/>
    <row r="51024" s="12" customFormat="1" x14ac:dyDescent="0.25"/>
    <row r="51025" s="12" customFormat="1" x14ac:dyDescent="0.25"/>
    <row r="51026" s="12" customFormat="1" x14ac:dyDescent="0.25"/>
    <row r="51027" s="12" customFormat="1" x14ac:dyDescent="0.25"/>
    <row r="51028" s="12" customFormat="1" x14ac:dyDescent="0.25"/>
    <row r="51029" s="12" customFormat="1" x14ac:dyDescent="0.25"/>
    <row r="51030" s="12" customFormat="1" x14ac:dyDescent="0.25"/>
    <row r="51031" s="12" customFormat="1" x14ac:dyDescent="0.25"/>
    <row r="51032" s="12" customFormat="1" x14ac:dyDescent="0.25"/>
    <row r="51033" s="12" customFormat="1" x14ac:dyDescent="0.25"/>
    <row r="51034" s="12" customFormat="1" x14ac:dyDescent="0.25"/>
    <row r="51035" s="12" customFormat="1" x14ac:dyDescent="0.25"/>
    <row r="51036" s="12" customFormat="1" x14ac:dyDescent="0.25"/>
    <row r="51037" s="12" customFormat="1" x14ac:dyDescent="0.25"/>
    <row r="51038" s="12" customFormat="1" x14ac:dyDescent="0.25"/>
    <row r="51039" s="12" customFormat="1" x14ac:dyDescent="0.25"/>
    <row r="51040" s="12" customFormat="1" x14ac:dyDescent="0.25"/>
    <row r="51041" s="12" customFormat="1" x14ac:dyDescent="0.25"/>
    <row r="51042" s="12" customFormat="1" x14ac:dyDescent="0.25"/>
    <row r="51043" s="12" customFormat="1" x14ac:dyDescent="0.25"/>
    <row r="51044" s="12" customFormat="1" x14ac:dyDescent="0.25"/>
    <row r="51045" s="12" customFormat="1" x14ac:dyDescent="0.25"/>
    <row r="51046" s="12" customFormat="1" x14ac:dyDescent="0.25"/>
    <row r="51047" s="12" customFormat="1" x14ac:dyDescent="0.25"/>
    <row r="51048" s="12" customFormat="1" x14ac:dyDescent="0.25"/>
    <row r="51049" s="12" customFormat="1" x14ac:dyDescent="0.25"/>
    <row r="51050" s="12" customFormat="1" x14ac:dyDescent="0.25"/>
    <row r="51051" s="12" customFormat="1" x14ac:dyDescent="0.25"/>
    <row r="51052" s="12" customFormat="1" x14ac:dyDescent="0.25"/>
    <row r="51053" s="12" customFormat="1" x14ac:dyDescent="0.25"/>
    <row r="51054" s="12" customFormat="1" x14ac:dyDescent="0.25"/>
    <row r="51055" s="12" customFormat="1" x14ac:dyDescent="0.25"/>
    <row r="51056" s="12" customFormat="1" x14ac:dyDescent="0.25"/>
    <row r="51057" s="12" customFormat="1" x14ac:dyDescent="0.25"/>
    <row r="51058" s="12" customFormat="1" x14ac:dyDescent="0.25"/>
    <row r="51059" s="12" customFormat="1" x14ac:dyDescent="0.25"/>
    <row r="51060" s="12" customFormat="1" x14ac:dyDescent="0.25"/>
    <row r="51061" s="12" customFormat="1" x14ac:dyDescent="0.25"/>
    <row r="51062" s="12" customFormat="1" x14ac:dyDescent="0.25"/>
    <row r="51063" s="12" customFormat="1" x14ac:dyDescent="0.25"/>
    <row r="51064" s="12" customFormat="1" x14ac:dyDescent="0.25"/>
    <row r="51065" s="12" customFormat="1" x14ac:dyDescent="0.25"/>
    <row r="51066" s="12" customFormat="1" x14ac:dyDescent="0.25"/>
    <row r="51067" s="12" customFormat="1" x14ac:dyDescent="0.25"/>
    <row r="51068" s="12" customFormat="1" x14ac:dyDescent="0.25"/>
    <row r="51069" s="12" customFormat="1" x14ac:dyDescent="0.25"/>
    <row r="51070" s="12" customFormat="1" x14ac:dyDescent="0.25"/>
    <row r="51071" s="12" customFormat="1" x14ac:dyDescent="0.25"/>
    <row r="51072" s="12" customFormat="1" x14ac:dyDescent="0.25"/>
    <row r="51073" s="12" customFormat="1" x14ac:dyDescent="0.25"/>
    <row r="51074" s="12" customFormat="1" x14ac:dyDescent="0.25"/>
    <row r="51075" s="12" customFormat="1" x14ac:dyDescent="0.25"/>
    <row r="51076" s="12" customFormat="1" x14ac:dyDescent="0.25"/>
    <row r="51077" s="12" customFormat="1" x14ac:dyDescent="0.25"/>
    <row r="51078" s="12" customFormat="1" x14ac:dyDescent="0.25"/>
    <row r="51079" s="12" customFormat="1" x14ac:dyDescent="0.25"/>
    <row r="51080" s="12" customFormat="1" x14ac:dyDescent="0.25"/>
    <row r="51081" s="12" customFormat="1" x14ac:dyDescent="0.25"/>
    <row r="51082" s="12" customFormat="1" x14ac:dyDescent="0.25"/>
    <row r="51083" s="12" customFormat="1" x14ac:dyDescent="0.25"/>
    <row r="51084" s="12" customFormat="1" x14ac:dyDescent="0.25"/>
    <row r="51085" s="12" customFormat="1" x14ac:dyDescent="0.25"/>
    <row r="51086" s="12" customFormat="1" x14ac:dyDescent="0.25"/>
    <row r="51087" s="12" customFormat="1" x14ac:dyDescent="0.25"/>
    <row r="51088" s="12" customFormat="1" x14ac:dyDescent="0.25"/>
    <row r="51089" s="12" customFormat="1" x14ac:dyDescent="0.25"/>
    <row r="51090" s="12" customFormat="1" x14ac:dyDescent="0.25"/>
    <row r="51091" s="12" customFormat="1" x14ac:dyDescent="0.25"/>
    <row r="51092" s="12" customFormat="1" x14ac:dyDescent="0.25"/>
    <row r="51093" s="12" customFormat="1" x14ac:dyDescent="0.25"/>
    <row r="51094" s="12" customFormat="1" x14ac:dyDescent="0.25"/>
    <row r="51095" s="12" customFormat="1" x14ac:dyDescent="0.25"/>
    <row r="51096" s="12" customFormat="1" x14ac:dyDescent="0.25"/>
    <row r="51097" s="12" customFormat="1" x14ac:dyDescent="0.25"/>
    <row r="51098" s="12" customFormat="1" x14ac:dyDescent="0.25"/>
    <row r="51099" s="12" customFormat="1" x14ac:dyDescent="0.25"/>
    <row r="51100" s="12" customFormat="1" x14ac:dyDescent="0.25"/>
    <row r="51101" s="12" customFormat="1" x14ac:dyDescent="0.25"/>
    <row r="51102" s="12" customFormat="1" x14ac:dyDescent="0.25"/>
    <row r="51103" s="12" customFormat="1" x14ac:dyDescent="0.25"/>
    <row r="51104" s="12" customFormat="1" x14ac:dyDescent="0.25"/>
    <row r="51105" s="12" customFormat="1" x14ac:dyDescent="0.25"/>
    <row r="51106" s="12" customFormat="1" x14ac:dyDescent="0.25"/>
    <row r="51107" s="12" customFormat="1" x14ac:dyDescent="0.25"/>
    <row r="51108" s="12" customFormat="1" x14ac:dyDescent="0.25"/>
    <row r="51109" s="12" customFormat="1" x14ac:dyDescent="0.25"/>
    <row r="51110" s="12" customFormat="1" x14ac:dyDescent="0.25"/>
    <row r="51111" s="12" customFormat="1" x14ac:dyDescent="0.25"/>
    <row r="51112" s="12" customFormat="1" x14ac:dyDescent="0.25"/>
    <row r="51113" s="12" customFormat="1" x14ac:dyDescent="0.25"/>
    <row r="51114" s="12" customFormat="1" x14ac:dyDescent="0.25"/>
    <row r="51115" s="12" customFormat="1" x14ac:dyDescent="0.25"/>
    <row r="51116" s="12" customFormat="1" x14ac:dyDescent="0.25"/>
    <row r="51117" s="12" customFormat="1" x14ac:dyDescent="0.25"/>
    <row r="51118" s="12" customFormat="1" x14ac:dyDescent="0.25"/>
    <row r="51119" s="12" customFormat="1" x14ac:dyDescent="0.25"/>
    <row r="51120" s="12" customFormat="1" x14ac:dyDescent="0.25"/>
    <row r="51121" s="12" customFormat="1" x14ac:dyDescent="0.25"/>
    <row r="51122" s="12" customFormat="1" x14ac:dyDescent="0.25"/>
    <row r="51123" s="12" customFormat="1" x14ac:dyDescent="0.25"/>
    <row r="51124" s="12" customFormat="1" x14ac:dyDescent="0.25"/>
    <row r="51125" s="12" customFormat="1" x14ac:dyDescent="0.25"/>
    <row r="51126" s="12" customFormat="1" x14ac:dyDescent="0.25"/>
    <row r="51127" s="12" customFormat="1" x14ac:dyDescent="0.25"/>
    <row r="51128" s="12" customFormat="1" x14ac:dyDescent="0.25"/>
    <row r="51129" s="12" customFormat="1" x14ac:dyDescent="0.25"/>
    <row r="51130" s="12" customFormat="1" x14ac:dyDescent="0.25"/>
    <row r="51131" s="12" customFormat="1" x14ac:dyDescent="0.25"/>
    <row r="51132" s="12" customFormat="1" x14ac:dyDescent="0.25"/>
    <row r="51133" s="12" customFormat="1" x14ac:dyDescent="0.25"/>
    <row r="51134" s="12" customFormat="1" x14ac:dyDescent="0.25"/>
    <row r="51135" s="12" customFormat="1" x14ac:dyDescent="0.25"/>
    <row r="51136" s="12" customFormat="1" x14ac:dyDescent="0.25"/>
    <row r="51137" s="12" customFormat="1" x14ac:dyDescent="0.25"/>
    <row r="51138" s="12" customFormat="1" x14ac:dyDescent="0.25"/>
    <row r="51139" s="12" customFormat="1" x14ac:dyDescent="0.25"/>
    <row r="51140" s="12" customFormat="1" x14ac:dyDescent="0.25"/>
    <row r="51141" s="12" customFormat="1" x14ac:dyDescent="0.25"/>
    <row r="51142" s="12" customFormat="1" x14ac:dyDescent="0.25"/>
    <row r="51143" s="12" customFormat="1" x14ac:dyDescent="0.25"/>
    <row r="51144" s="12" customFormat="1" x14ac:dyDescent="0.25"/>
    <row r="51145" s="12" customFormat="1" x14ac:dyDescent="0.25"/>
    <row r="51146" s="12" customFormat="1" x14ac:dyDescent="0.25"/>
    <row r="51147" s="12" customFormat="1" x14ac:dyDescent="0.25"/>
    <row r="51148" s="12" customFormat="1" x14ac:dyDescent="0.25"/>
    <row r="51149" s="12" customFormat="1" x14ac:dyDescent="0.25"/>
    <row r="51150" s="12" customFormat="1" x14ac:dyDescent="0.25"/>
    <row r="51151" s="12" customFormat="1" x14ac:dyDescent="0.25"/>
    <row r="51152" s="12" customFormat="1" x14ac:dyDescent="0.25"/>
    <row r="51153" s="12" customFormat="1" x14ac:dyDescent="0.25"/>
    <row r="51154" s="12" customFormat="1" x14ac:dyDescent="0.25"/>
    <row r="51155" s="12" customFormat="1" x14ac:dyDescent="0.25"/>
    <row r="51156" s="12" customFormat="1" x14ac:dyDescent="0.25"/>
    <row r="51157" s="12" customFormat="1" x14ac:dyDescent="0.25"/>
    <row r="51158" s="12" customFormat="1" x14ac:dyDescent="0.25"/>
    <row r="51159" s="12" customFormat="1" x14ac:dyDescent="0.25"/>
    <row r="51160" s="12" customFormat="1" x14ac:dyDescent="0.25"/>
    <row r="51161" s="12" customFormat="1" x14ac:dyDescent="0.25"/>
    <row r="51162" s="12" customFormat="1" x14ac:dyDescent="0.25"/>
    <row r="51163" s="12" customFormat="1" x14ac:dyDescent="0.25"/>
    <row r="51164" s="12" customFormat="1" x14ac:dyDescent="0.25"/>
    <row r="51165" s="12" customFormat="1" x14ac:dyDescent="0.25"/>
    <row r="51166" s="12" customFormat="1" x14ac:dyDescent="0.25"/>
    <row r="51167" s="12" customFormat="1" x14ac:dyDescent="0.25"/>
    <row r="51168" s="12" customFormat="1" x14ac:dyDescent="0.25"/>
    <row r="51169" s="12" customFormat="1" x14ac:dyDescent="0.25"/>
    <row r="51170" s="12" customFormat="1" x14ac:dyDescent="0.25"/>
    <row r="51171" s="12" customFormat="1" x14ac:dyDescent="0.25"/>
    <row r="51172" s="12" customFormat="1" x14ac:dyDescent="0.25"/>
    <row r="51173" s="12" customFormat="1" x14ac:dyDescent="0.25"/>
    <row r="51174" s="12" customFormat="1" x14ac:dyDescent="0.25"/>
    <row r="51175" s="12" customFormat="1" x14ac:dyDescent="0.25"/>
    <row r="51176" s="12" customFormat="1" x14ac:dyDescent="0.25"/>
    <row r="51177" s="12" customFormat="1" x14ac:dyDescent="0.25"/>
    <row r="51178" s="12" customFormat="1" x14ac:dyDescent="0.25"/>
    <row r="51179" s="12" customFormat="1" x14ac:dyDescent="0.25"/>
    <row r="51180" s="12" customFormat="1" x14ac:dyDescent="0.25"/>
    <row r="51181" s="12" customFormat="1" x14ac:dyDescent="0.25"/>
    <row r="51182" s="12" customFormat="1" x14ac:dyDescent="0.25"/>
    <row r="51183" s="12" customFormat="1" x14ac:dyDescent="0.25"/>
    <row r="51184" s="12" customFormat="1" x14ac:dyDescent="0.25"/>
    <row r="51185" s="12" customFormat="1" x14ac:dyDescent="0.25"/>
    <row r="51186" s="12" customFormat="1" x14ac:dyDescent="0.25"/>
    <row r="51187" s="12" customFormat="1" x14ac:dyDescent="0.25"/>
    <row r="51188" s="12" customFormat="1" x14ac:dyDescent="0.25"/>
    <row r="51189" s="12" customFormat="1" x14ac:dyDescent="0.25"/>
    <row r="51190" s="12" customFormat="1" x14ac:dyDescent="0.25"/>
    <row r="51191" s="12" customFormat="1" x14ac:dyDescent="0.25"/>
    <row r="51192" s="12" customFormat="1" x14ac:dyDescent="0.25"/>
    <row r="51193" s="12" customFormat="1" x14ac:dyDescent="0.25"/>
    <row r="51194" s="12" customFormat="1" x14ac:dyDescent="0.25"/>
    <row r="51195" s="12" customFormat="1" x14ac:dyDescent="0.25"/>
    <row r="51196" s="12" customFormat="1" x14ac:dyDescent="0.25"/>
    <row r="51197" s="12" customFormat="1" x14ac:dyDescent="0.25"/>
    <row r="51198" s="12" customFormat="1" x14ac:dyDescent="0.25"/>
    <row r="51199" s="12" customFormat="1" x14ac:dyDescent="0.25"/>
    <row r="51200" s="12" customFormat="1" x14ac:dyDescent="0.25"/>
    <row r="51201" s="12" customFormat="1" x14ac:dyDescent="0.25"/>
    <row r="51202" s="12" customFormat="1" x14ac:dyDescent="0.25"/>
    <row r="51203" s="12" customFormat="1" x14ac:dyDescent="0.25"/>
    <row r="51204" s="12" customFormat="1" x14ac:dyDescent="0.25"/>
    <row r="51205" s="12" customFormat="1" x14ac:dyDescent="0.25"/>
    <row r="51206" s="12" customFormat="1" x14ac:dyDescent="0.25"/>
    <row r="51207" s="12" customFormat="1" x14ac:dyDescent="0.25"/>
    <row r="51208" s="12" customFormat="1" x14ac:dyDescent="0.25"/>
    <row r="51209" s="12" customFormat="1" x14ac:dyDescent="0.25"/>
    <row r="51210" s="12" customFormat="1" x14ac:dyDescent="0.25"/>
    <row r="51211" s="12" customFormat="1" x14ac:dyDescent="0.25"/>
    <row r="51212" s="12" customFormat="1" x14ac:dyDescent="0.25"/>
    <row r="51213" s="12" customFormat="1" x14ac:dyDescent="0.25"/>
    <row r="51214" s="12" customFormat="1" x14ac:dyDescent="0.25"/>
    <row r="51215" s="12" customFormat="1" x14ac:dyDescent="0.25"/>
    <row r="51216" s="12" customFormat="1" x14ac:dyDescent="0.25"/>
    <row r="51217" s="12" customFormat="1" x14ac:dyDescent="0.25"/>
    <row r="51218" s="12" customFormat="1" x14ac:dyDescent="0.25"/>
    <row r="51219" s="12" customFormat="1" x14ac:dyDescent="0.25"/>
    <row r="51220" s="12" customFormat="1" x14ac:dyDescent="0.25"/>
    <row r="51221" s="12" customFormat="1" x14ac:dyDescent="0.25"/>
    <row r="51222" s="12" customFormat="1" x14ac:dyDescent="0.25"/>
    <row r="51223" s="12" customFormat="1" x14ac:dyDescent="0.25"/>
    <row r="51224" s="12" customFormat="1" x14ac:dyDescent="0.25"/>
    <row r="51225" s="12" customFormat="1" x14ac:dyDescent="0.25"/>
    <row r="51226" s="12" customFormat="1" x14ac:dyDescent="0.25"/>
    <row r="51227" s="12" customFormat="1" x14ac:dyDescent="0.25"/>
    <row r="51228" s="12" customFormat="1" x14ac:dyDescent="0.25"/>
    <row r="51229" s="12" customFormat="1" x14ac:dyDescent="0.25"/>
    <row r="51230" s="12" customFormat="1" x14ac:dyDescent="0.25"/>
    <row r="51231" s="12" customFormat="1" x14ac:dyDescent="0.25"/>
    <row r="51232" s="12" customFormat="1" x14ac:dyDescent="0.25"/>
    <row r="51233" s="12" customFormat="1" x14ac:dyDescent="0.25"/>
    <row r="51234" s="12" customFormat="1" x14ac:dyDescent="0.25"/>
    <row r="51235" s="12" customFormat="1" x14ac:dyDescent="0.25"/>
    <row r="51236" s="12" customFormat="1" x14ac:dyDescent="0.25"/>
    <row r="51237" s="12" customFormat="1" x14ac:dyDescent="0.25"/>
    <row r="51238" s="12" customFormat="1" x14ac:dyDescent="0.25"/>
    <row r="51239" s="12" customFormat="1" x14ac:dyDescent="0.25"/>
    <row r="51240" s="12" customFormat="1" x14ac:dyDescent="0.25"/>
    <row r="51241" s="12" customFormat="1" x14ac:dyDescent="0.25"/>
    <row r="51242" s="12" customFormat="1" x14ac:dyDescent="0.25"/>
    <row r="51243" s="12" customFormat="1" x14ac:dyDescent="0.25"/>
    <row r="51244" s="12" customFormat="1" x14ac:dyDescent="0.25"/>
    <row r="51245" s="12" customFormat="1" x14ac:dyDescent="0.25"/>
    <row r="51246" s="12" customFormat="1" x14ac:dyDescent="0.25"/>
    <row r="51247" s="12" customFormat="1" x14ac:dyDescent="0.25"/>
    <row r="51248" s="12" customFormat="1" x14ac:dyDescent="0.25"/>
    <row r="51249" s="12" customFormat="1" x14ac:dyDescent="0.25"/>
    <row r="51250" s="12" customFormat="1" x14ac:dyDescent="0.25"/>
    <row r="51251" s="12" customFormat="1" x14ac:dyDescent="0.25"/>
    <row r="51252" s="12" customFormat="1" x14ac:dyDescent="0.25"/>
    <row r="51253" s="12" customFormat="1" x14ac:dyDescent="0.25"/>
    <row r="51254" s="12" customFormat="1" x14ac:dyDescent="0.25"/>
    <row r="51255" s="12" customFormat="1" x14ac:dyDescent="0.25"/>
    <row r="51256" s="12" customFormat="1" x14ac:dyDescent="0.25"/>
    <row r="51257" s="12" customFormat="1" x14ac:dyDescent="0.25"/>
    <row r="51258" s="12" customFormat="1" x14ac:dyDescent="0.25"/>
    <row r="51259" s="12" customFormat="1" x14ac:dyDescent="0.25"/>
    <row r="51260" s="12" customFormat="1" x14ac:dyDescent="0.25"/>
    <row r="51261" s="12" customFormat="1" x14ac:dyDescent="0.25"/>
    <row r="51262" s="12" customFormat="1" x14ac:dyDescent="0.25"/>
    <row r="51263" s="12" customFormat="1" x14ac:dyDescent="0.25"/>
    <row r="51264" s="12" customFormat="1" x14ac:dyDescent="0.25"/>
    <row r="51265" s="12" customFormat="1" x14ac:dyDescent="0.25"/>
    <row r="51266" s="12" customFormat="1" x14ac:dyDescent="0.25"/>
    <row r="51267" s="12" customFormat="1" x14ac:dyDescent="0.25"/>
    <row r="51268" s="12" customFormat="1" x14ac:dyDescent="0.25"/>
    <row r="51269" s="12" customFormat="1" x14ac:dyDescent="0.25"/>
    <row r="51270" s="12" customFormat="1" x14ac:dyDescent="0.25"/>
    <row r="51271" s="12" customFormat="1" x14ac:dyDescent="0.25"/>
    <row r="51272" s="12" customFormat="1" x14ac:dyDescent="0.25"/>
    <row r="51273" s="12" customFormat="1" x14ac:dyDescent="0.25"/>
    <row r="51274" s="12" customFormat="1" x14ac:dyDescent="0.25"/>
    <row r="51275" s="12" customFormat="1" x14ac:dyDescent="0.25"/>
    <row r="51276" s="12" customFormat="1" x14ac:dyDescent="0.25"/>
    <row r="51277" s="12" customFormat="1" x14ac:dyDescent="0.25"/>
    <row r="51278" s="12" customFormat="1" x14ac:dyDescent="0.25"/>
    <row r="51279" s="12" customFormat="1" x14ac:dyDescent="0.25"/>
    <row r="51280" s="12" customFormat="1" x14ac:dyDescent="0.25"/>
    <row r="51281" s="12" customFormat="1" x14ac:dyDescent="0.25"/>
    <row r="51282" s="12" customFormat="1" x14ac:dyDescent="0.25"/>
    <row r="51283" s="12" customFormat="1" x14ac:dyDescent="0.25"/>
    <row r="51284" s="12" customFormat="1" x14ac:dyDescent="0.25"/>
    <row r="51285" s="12" customFormat="1" x14ac:dyDescent="0.25"/>
    <row r="51286" s="12" customFormat="1" x14ac:dyDescent="0.25"/>
    <row r="51287" s="12" customFormat="1" x14ac:dyDescent="0.25"/>
    <row r="51288" s="12" customFormat="1" x14ac:dyDescent="0.25"/>
    <row r="51289" s="12" customFormat="1" x14ac:dyDescent="0.25"/>
    <row r="51290" s="12" customFormat="1" x14ac:dyDescent="0.25"/>
    <row r="51291" s="12" customFormat="1" x14ac:dyDescent="0.25"/>
    <row r="51292" s="12" customFormat="1" x14ac:dyDescent="0.25"/>
    <row r="51293" s="12" customFormat="1" x14ac:dyDescent="0.25"/>
    <row r="51294" s="12" customFormat="1" x14ac:dyDescent="0.25"/>
    <row r="51295" s="12" customFormat="1" x14ac:dyDescent="0.25"/>
    <row r="51296" s="12" customFormat="1" x14ac:dyDescent="0.25"/>
    <row r="51297" s="12" customFormat="1" x14ac:dyDescent="0.25"/>
    <row r="51298" s="12" customFormat="1" x14ac:dyDescent="0.25"/>
    <row r="51299" s="12" customFormat="1" x14ac:dyDescent="0.25"/>
    <row r="51300" s="12" customFormat="1" x14ac:dyDescent="0.25"/>
    <row r="51301" s="12" customFormat="1" x14ac:dyDescent="0.25"/>
    <row r="51302" s="12" customFormat="1" x14ac:dyDescent="0.25"/>
    <row r="51303" s="12" customFormat="1" x14ac:dyDescent="0.25"/>
    <row r="51304" s="12" customFormat="1" x14ac:dyDescent="0.25"/>
    <row r="51305" s="12" customFormat="1" x14ac:dyDescent="0.25"/>
    <row r="51306" s="12" customFormat="1" x14ac:dyDescent="0.25"/>
    <row r="51307" s="12" customFormat="1" x14ac:dyDescent="0.25"/>
    <row r="51308" s="12" customFormat="1" x14ac:dyDescent="0.25"/>
    <row r="51309" s="12" customFormat="1" x14ac:dyDescent="0.25"/>
    <row r="51310" s="12" customFormat="1" x14ac:dyDescent="0.25"/>
    <row r="51311" s="12" customFormat="1" x14ac:dyDescent="0.25"/>
    <row r="51312" s="12" customFormat="1" x14ac:dyDescent="0.25"/>
    <row r="51313" s="12" customFormat="1" x14ac:dyDescent="0.25"/>
    <row r="51314" s="12" customFormat="1" x14ac:dyDescent="0.25"/>
    <row r="51315" s="12" customFormat="1" x14ac:dyDescent="0.25"/>
    <row r="51316" s="12" customFormat="1" x14ac:dyDescent="0.25"/>
    <row r="51317" s="12" customFormat="1" x14ac:dyDescent="0.25"/>
    <row r="51318" s="12" customFormat="1" x14ac:dyDescent="0.25"/>
    <row r="51319" s="12" customFormat="1" x14ac:dyDescent="0.25"/>
    <row r="51320" s="12" customFormat="1" x14ac:dyDescent="0.25"/>
    <row r="51321" s="12" customFormat="1" x14ac:dyDescent="0.25"/>
    <row r="51322" s="12" customFormat="1" x14ac:dyDescent="0.25"/>
    <row r="51323" s="12" customFormat="1" x14ac:dyDescent="0.25"/>
    <row r="51324" s="12" customFormat="1" x14ac:dyDescent="0.25"/>
    <row r="51325" s="12" customFormat="1" x14ac:dyDescent="0.25"/>
    <row r="51326" s="12" customFormat="1" x14ac:dyDescent="0.25"/>
    <row r="51327" s="12" customFormat="1" x14ac:dyDescent="0.25"/>
    <row r="51328" s="12" customFormat="1" x14ac:dyDescent="0.25"/>
    <row r="51329" s="12" customFormat="1" x14ac:dyDescent="0.25"/>
    <row r="51330" s="12" customFormat="1" x14ac:dyDescent="0.25"/>
    <row r="51331" s="12" customFormat="1" x14ac:dyDescent="0.25"/>
    <row r="51332" s="12" customFormat="1" x14ac:dyDescent="0.25"/>
    <row r="51333" s="12" customFormat="1" x14ac:dyDescent="0.25"/>
    <row r="51334" s="12" customFormat="1" x14ac:dyDescent="0.25"/>
    <row r="51335" s="12" customFormat="1" x14ac:dyDescent="0.25"/>
    <row r="51336" s="12" customFormat="1" x14ac:dyDescent="0.25"/>
    <row r="51337" s="12" customFormat="1" x14ac:dyDescent="0.25"/>
    <row r="51338" s="12" customFormat="1" x14ac:dyDescent="0.25"/>
    <row r="51339" s="12" customFormat="1" x14ac:dyDescent="0.25"/>
    <row r="51340" s="12" customFormat="1" x14ac:dyDescent="0.25"/>
    <row r="51341" s="12" customFormat="1" x14ac:dyDescent="0.25"/>
    <row r="51342" s="12" customFormat="1" x14ac:dyDescent="0.25"/>
    <row r="51343" s="12" customFormat="1" x14ac:dyDescent="0.25"/>
    <row r="51344" s="12" customFormat="1" x14ac:dyDescent="0.25"/>
    <row r="51345" s="12" customFormat="1" x14ac:dyDescent="0.25"/>
    <row r="51346" s="12" customFormat="1" x14ac:dyDescent="0.25"/>
    <row r="51347" s="12" customFormat="1" x14ac:dyDescent="0.25"/>
    <row r="51348" s="12" customFormat="1" x14ac:dyDescent="0.25"/>
    <row r="51349" s="12" customFormat="1" x14ac:dyDescent="0.25"/>
    <row r="51350" s="12" customFormat="1" x14ac:dyDescent="0.25"/>
    <row r="51351" s="12" customFormat="1" x14ac:dyDescent="0.25"/>
    <row r="51352" s="12" customFormat="1" x14ac:dyDescent="0.25"/>
    <row r="51353" s="12" customFormat="1" x14ac:dyDescent="0.25"/>
    <row r="51354" s="12" customFormat="1" x14ac:dyDescent="0.25"/>
    <row r="51355" s="12" customFormat="1" x14ac:dyDescent="0.25"/>
    <row r="51356" s="12" customFormat="1" x14ac:dyDescent="0.25"/>
    <row r="51357" s="12" customFormat="1" x14ac:dyDescent="0.25"/>
    <row r="51358" s="12" customFormat="1" x14ac:dyDescent="0.25"/>
    <row r="51359" s="12" customFormat="1" x14ac:dyDescent="0.25"/>
    <row r="51360" s="12" customFormat="1" x14ac:dyDescent="0.25"/>
    <row r="51361" s="12" customFormat="1" x14ac:dyDescent="0.25"/>
    <row r="51362" s="12" customFormat="1" x14ac:dyDescent="0.25"/>
    <row r="51363" s="12" customFormat="1" x14ac:dyDescent="0.25"/>
    <row r="51364" s="12" customFormat="1" x14ac:dyDescent="0.25"/>
    <row r="51365" s="12" customFormat="1" x14ac:dyDescent="0.25"/>
    <row r="51366" s="12" customFormat="1" x14ac:dyDescent="0.25"/>
    <row r="51367" s="12" customFormat="1" x14ac:dyDescent="0.25"/>
    <row r="51368" s="12" customFormat="1" x14ac:dyDescent="0.25"/>
    <row r="51369" s="12" customFormat="1" x14ac:dyDescent="0.25"/>
    <row r="51370" s="12" customFormat="1" x14ac:dyDescent="0.25"/>
    <row r="51371" s="12" customFormat="1" x14ac:dyDescent="0.25"/>
    <row r="51372" s="12" customFormat="1" x14ac:dyDescent="0.25"/>
    <row r="51373" s="12" customFormat="1" x14ac:dyDescent="0.25"/>
    <row r="51374" s="12" customFormat="1" x14ac:dyDescent="0.25"/>
    <row r="51375" s="12" customFormat="1" x14ac:dyDescent="0.25"/>
    <row r="51376" s="12" customFormat="1" x14ac:dyDescent="0.25"/>
    <row r="51377" s="12" customFormat="1" x14ac:dyDescent="0.25"/>
    <row r="51378" s="12" customFormat="1" x14ac:dyDescent="0.25"/>
    <row r="51379" s="12" customFormat="1" x14ac:dyDescent="0.25"/>
    <row r="51380" s="12" customFormat="1" x14ac:dyDescent="0.25"/>
    <row r="51381" s="12" customFormat="1" x14ac:dyDescent="0.25"/>
    <row r="51382" s="12" customFormat="1" x14ac:dyDescent="0.25"/>
    <row r="51383" s="12" customFormat="1" x14ac:dyDescent="0.25"/>
    <row r="51384" s="12" customFormat="1" x14ac:dyDescent="0.25"/>
    <row r="51385" s="12" customFormat="1" x14ac:dyDescent="0.25"/>
    <row r="51386" s="12" customFormat="1" x14ac:dyDescent="0.25"/>
    <row r="51387" s="12" customFormat="1" x14ac:dyDescent="0.25"/>
    <row r="51388" s="12" customFormat="1" x14ac:dyDescent="0.25"/>
    <row r="51389" s="12" customFormat="1" x14ac:dyDescent="0.25"/>
    <row r="51390" s="12" customFormat="1" x14ac:dyDescent="0.25"/>
    <row r="51391" s="12" customFormat="1" x14ac:dyDescent="0.25"/>
    <row r="51392" s="12" customFormat="1" x14ac:dyDescent="0.25"/>
    <row r="51393" s="12" customFormat="1" x14ac:dyDescent="0.25"/>
    <row r="51394" s="12" customFormat="1" x14ac:dyDescent="0.25"/>
    <row r="51395" s="12" customFormat="1" x14ac:dyDescent="0.25"/>
    <row r="51396" s="12" customFormat="1" x14ac:dyDescent="0.25"/>
    <row r="51397" s="12" customFormat="1" x14ac:dyDescent="0.25"/>
    <row r="51398" s="12" customFormat="1" x14ac:dyDescent="0.25"/>
    <row r="51399" s="12" customFormat="1" x14ac:dyDescent="0.25"/>
    <row r="51400" s="12" customFormat="1" x14ac:dyDescent="0.25"/>
    <row r="51401" s="12" customFormat="1" x14ac:dyDescent="0.25"/>
    <row r="51402" s="12" customFormat="1" x14ac:dyDescent="0.25"/>
    <row r="51403" s="12" customFormat="1" x14ac:dyDescent="0.25"/>
    <row r="51404" s="12" customFormat="1" x14ac:dyDescent="0.25"/>
    <row r="51405" s="12" customFormat="1" x14ac:dyDescent="0.25"/>
    <row r="51406" s="12" customFormat="1" x14ac:dyDescent="0.25"/>
    <row r="51407" s="12" customFormat="1" x14ac:dyDescent="0.25"/>
    <row r="51408" s="12" customFormat="1" x14ac:dyDescent="0.25"/>
    <row r="51409" s="12" customFormat="1" x14ac:dyDescent="0.25"/>
    <row r="51410" s="12" customFormat="1" x14ac:dyDescent="0.25"/>
    <row r="51411" s="12" customFormat="1" x14ac:dyDescent="0.25"/>
    <row r="51412" s="12" customFormat="1" x14ac:dyDescent="0.25"/>
    <row r="51413" s="12" customFormat="1" x14ac:dyDescent="0.25"/>
    <row r="51414" s="12" customFormat="1" x14ac:dyDescent="0.25"/>
    <row r="51415" s="12" customFormat="1" x14ac:dyDescent="0.25"/>
    <row r="51416" s="12" customFormat="1" x14ac:dyDescent="0.25"/>
    <row r="51417" s="12" customFormat="1" x14ac:dyDescent="0.25"/>
    <row r="51418" s="12" customFormat="1" x14ac:dyDescent="0.25"/>
    <row r="51419" s="12" customFormat="1" x14ac:dyDescent="0.25"/>
    <row r="51420" s="12" customFormat="1" x14ac:dyDescent="0.25"/>
    <row r="51421" s="12" customFormat="1" x14ac:dyDescent="0.25"/>
    <row r="51422" s="12" customFormat="1" x14ac:dyDescent="0.25"/>
    <row r="51423" s="12" customFormat="1" x14ac:dyDescent="0.25"/>
    <row r="51424" s="12" customFormat="1" x14ac:dyDescent="0.25"/>
    <row r="51425" s="12" customFormat="1" x14ac:dyDescent="0.25"/>
    <row r="51426" s="12" customFormat="1" x14ac:dyDescent="0.25"/>
    <row r="51427" s="12" customFormat="1" x14ac:dyDescent="0.25"/>
    <row r="51428" s="12" customFormat="1" x14ac:dyDescent="0.25"/>
    <row r="51429" s="12" customFormat="1" x14ac:dyDescent="0.25"/>
    <row r="51430" s="12" customFormat="1" x14ac:dyDescent="0.25"/>
    <row r="51431" s="12" customFormat="1" x14ac:dyDescent="0.25"/>
    <row r="51432" s="12" customFormat="1" x14ac:dyDescent="0.25"/>
    <row r="51433" s="12" customFormat="1" x14ac:dyDescent="0.25"/>
    <row r="51434" s="12" customFormat="1" x14ac:dyDescent="0.25"/>
    <row r="51435" s="12" customFormat="1" x14ac:dyDescent="0.25"/>
    <row r="51436" s="12" customFormat="1" x14ac:dyDescent="0.25"/>
    <row r="51437" s="12" customFormat="1" x14ac:dyDescent="0.25"/>
    <row r="51438" s="12" customFormat="1" x14ac:dyDescent="0.25"/>
    <row r="51439" s="12" customFormat="1" x14ac:dyDescent="0.25"/>
    <row r="51440" s="12" customFormat="1" x14ac:dyDescent="0.25"/>
    <row r="51441" s="12" customFormat="1" x14ac:dyDescent="0.25"/>
    <row r="51442" s="12" customFormat="1" x14ac:dyDescent="0.25"/>
    <row r="51443" s="12" customFormat="1" x14ac:dyDescent="0.25"/>
    <row r="51444" s="12" customFormat="1" x14ac:dyDescent="0.25"/>
    <row r="51445" s="12" customFormat="1" x14ac:dyDescent="0.25"/>
    <row r="51446" s="12" customFormat="1" x14ac:dyDescent="0.25"/>
    <row r="51447" s="12" customFormat="1" x14ac:dyDescent="0.25"/>
    <row r="51448" s="12" customFormat="1" x14ac:dyDescent="0.25"/>
    <row r="51449" s="12" customFormat="1" x14ac:dyDescent="0.25"/>
    <row r="51450" s="12" customFormat="1" x14ac:dyDescent="0.25"/>
    <row r="51451" s="12" customFormat="1" x14ac:dyDescent="0.25"/>
    <row r="51452" s="12" customFormat="1" x14ac:dyDescent="0.25"/>
    <row r="51453" s="12" customFormat="1" x14ac:dyDescent="0.25"/>
    <row r="51454" s="12" customFormat="1" x14ac:dyDescent="0.25"/>
    <row r="51455" s="12" customFormat="1" x14ac:dyDescent="0.25"/>
    <row r="51456" s="12" customFormat="1" x14ac:dyDescent="0.25"/>
    <row r="51457" s="12" customFormat="1" x14ac:dyDescent="0.25"/>
    <row r="51458" s="12" customFormat="1" x14ac:dyDescent="0.25"/>
    <row r="51459" s="12" customFormat="1" x14ac:dyDescent="0.25"/>
    <row r="51460" s="12" customFormat="1" x14ac:dyDescent="0.25"/>
    <row r="51461" s="12" customFormat="1" x14ac:dyDescent="0.25"/>
    <row r="51462" s="12" customFormat="1" x14ac:dyDescent="0.25"/>
    <row r="51463" s="12" customFormat="1" x14ac:dyDescent="0.25"/>
    <row r="51464" s="12" customFormat="1" x14ac:dyDescent="0.25"/>
    <row r="51465" s="12" customFormat="1" x14ac:dyDescent="0.25"/>
    <row r="51466" s="12" customFormat="1" x14ac:dyDescent="0.25"/>
    <row r="51467" s="12" customFormat="1" x14ac:dyDescent="0.25"/>
    <row r="51468" s="12" customFormat="1" x14ac:dyDescent="0.25"/>
    <row r="51469" s="12" customFormat="1" x14ac:dyDescent="0.25"/>
    <row r="51470" s="12" customFormat="1" x14ac:dyDescent="0.25"/>
    <row r="51471" s="12" customFormat="1" x14ac:dyDescent="0.25"/>
    <row r="51472" s="12" customFormat="1" x14ac:dyDescent="0.25"/>
    <row r="51473" s="12" customFormat="1" x14ac:dyDescent="0.25"/>
    <row r="51474" s="12" customFormat="1" x14ac:dyDescent="0.25"/>
    <row r="51475" s="12" customFormat="1" x14ac:dyDescent="0.25"/>
    <row r="51476" s="12" customFormat="1" x14ac:dyDescent="0.25"/>
    <row r="51477" s="12" customFormat="1" x14ac:dyDescent="0.25"/>
    <row r="51478" s="12" customFormat="1" x14ac:dyDescent="0.25"/>
    <row r="51479" s="12" customFormat="1" x14ac:dyDescent="0.25"/>
    <row r="51480" s="12" customFormat="1" x14ac:dyDescent="0.25"/>
    <row r="51481" s="12" customFormat="1" x14ac:dyDescent="0.25"/>
    <row r="51482" s="12" customFormat="1" x14ac:dyDescent="0.25"/>
    <row r="51483" s="12" customFormat="1" x14ac:dyDescent="0.25"/>
    <row r="51484" s="12" customFormat="1" x14ac:dyDescent="0.25"/>
    <row r="51485" s="12" customFormat="1" x14ac:dyDescent="0.25"/>
    <row r="51486" s="12" customFormat="1" x14ac:dyDescent="0.25"/>
    <row r="51487" s="12" customFormat="1" x14ac:dyDescent="0.25"/>
    <row r="51488" s="12" customFormat="1" x14ac:dyDescent="0.25"/>
    <row r="51489" s="12" customFormat="1" x14ac:dyDescent="0.25"/>
    <row r="51490" s="12" customFormat="1" x14ac:dyDescent="0.25"/>
    <row r="51491" s="12" customFormat="1" x14ac:dyDescent="0.25"/>
    <row r="51492" s="12" customFormat="1" x14ac:dyDescent="0.25"/>
    <row r="51493" s="12" customFormat="1" x14ac:dyDescent="0.25"/>
    <row r="51494" s="12" customFormat="1" x14ac:dyDescent="0.25"/>
    <row r="51495" s="12" customFormat="1" x14ac:dyDescent="0.25"/>
    <row r="51496" s="12" customFormat="1" x14ac:dyDescent="0.25"/>
    <row r="51497" s="12" customFormat="1" x14ac:dyDescent="0.25"/>
    <row r="51498" s="12" customFormat="1" x14ac:dyDescent="0.25"/>
    <row r="51499" s="12" customFormat="1" x14ac:dyDescent="0.25"/>
    <row r="51500" s="12" customFormat="1" x14ac:dyDescent="0.25"/>
    <row r="51501" s="12" customFormat="1" x14ac:dyDescent="0.25"/>
    <row r="51502" s="12" customFormat="1" x14ac:dyDescent="0.25"/>
    <row r="51503" s="12" customFormat="1" x14ac:dyDescent="0.25"/>
    <row r="51504" s="12" customFormat="1" x14ac:dyDescent="0.25"/>
    <row r="51505" s="12" customFormat="1" x14ac:dyDescent="0.25"/>
    <row r="51506" s="12" customFormat="1" x14ac:dyDescent="0.25"/>
    <row r="51507" s="12" customFormat="1" x14ac:dyDescent="0.25"/>
    <row r="51508" s="12" customFormat="1" x14ac:dyDescent="0.25"/>
    <row r="51509" s="12" customFormat="1" x14ac:dyDescent="0.25"/>
    <row r="51510" s="12" customFormat="1" x14ac:dyDescent="0.25"/>
    <row r="51511" s="12" customFormat="1" x14ac:dyDescent="0.25"/>
    <row r="51512" s="12" customFormat="1" x14ac:dyDescent="0.25"/>
    <row r="51513" s="12" customFormat="1" x14ac:dyDescent="0.25"/>
    <row r="51514" s="12" customFormat="1" x14ac:dyDescent="0.25"/>
    <row r="51515" s="12" customFormat="1" x14ac:dyDescent="0.25"/>
    <row r="51516" s="12" customFormat="1" x14ac:dyDescent="0.25"/>
    <row r="51517" s="12" customFormat="1" x14ac:dyDescent="0.25"/>
    <row r="51518" s="12" customFormat="1" x14ac:dyDescent="0.25"/>
    <row r="51519" s="12" customFormat="1" x14ac:dyDescent="0.25"/>
    <row r="51520" s="12" customFormat="1" x14ac:dyDescent="0.25"/>
    <row r="51521" s="12" customFormat="1" x14ac:dyDescent="0.25"/>
    <row r="51522" s="12" customFormat="1" x14ac:dyDescent="0.25"/>
    <row r="51523" s="12" customFormat="1" x14ac:dyDescent="0.25"/>
    <row r="51524" s="12" customFormat="1" x14ac:dyDescent="0.25"/>
    <row r="51525" s="12" customFormat="1" x14ac:dyDescent="0.25"/>
    <row r="51526" s="12" customFormat="1" x14ac:dyDescent="0.25"/>
    <row r="51527" s="12" customFormat="1" x14ac:dyDescent="0.25"/>
    <row r="51528" s="12" customFormat="1" x14ac:dyDescent="0.25"/>
    <row r="51529" s="12" customFormat="1" x14ac:dyDescent="0.25"/>
    <row r="51530" s="12" customFormat="1" x14ac:dyDescent="0.25"/>
    <row r="51531" s="12" customFormat="1" x14ac:dyDescent="0.25"/>
    <row r="51532" s="12" customFormat="1" x14ac:dyDescent="0.25"/>
    <row r="51533" s="12" customFormat="1" x14ac:dyDescent="0.25"/>
    <row r="51534" s="12" customFormat="1" x14ac:dyDescent="0.25"/>
    <row r="51535" s="12" customFormat="1" x14ac:dyDescent="0.25"/>
    <row r="51536" s="12" customFormat="1" x14ac:dyDescent="0.25"/>
    <row r="51537" s="12" customFormat="1" x14ac:dyDescent="0.25"/>
    <row r="51538" s="12" customFormat="1" x14ac:dyDescent="0.25"/>
    <row r="51539" s="12" customFormat="1" x14ac:dyDescent="0.25"/>
    <row r="51540" s="12" customFormat="1" x14ac:dyDescent="0.25"/>
    <row r="51541" s="12" customFormat="1" x14ac:dyDescent="0.25"/>
    <row r="51542" s="12" customFormat="1" x14ac:dyDescent="0.25"/>
    <row r="51543" s="12" customFormat="1" x14ac:dyDescent="0.25"/>
    <row r="51544" s="12" customFormat="1" x14ac:dyDescent="0.25"/>
    <row r="51545" s="12" customFormat="1" x14ac:dyDescent="0.25"/>
    <row r="51546" s="12" customFormat="1" x14ac:dyDescent="0.25"/>
    <row r="51547" s="12" customFormat="1" x14ac:dyDescent="0.25"/>
    <row r="51548" s="12" customFormat="1" x14ac:dyDescent="0.25"/>
    <row r="51549" s="12" customFormat="1" x14ac:dyDescent="0.25"/>
    <row r="51550" s="12" customFormat="1" x14ac:dyDescent="0.25"/>
    <row r="51551" s="12" customFormat="1" x14ac:dyDescent="0.25"/>
    <row r="51552" s="12" customFormat="1" x14ac:dyDescent="0.25"/>
    <row r="51553" s="12" customFormat="1" x14ac:dyDescent="0.25"/>
    <row r="51554" s="12" customFormat="1" x14ac:dyDescent="0.25"/>
    <row r="51555" s="12" customFormat="1" x14ac:dyDescent="0.25"/>
    <row r="51556" s="12" customFormat="1" x14ac:dyDescent="0.25"/>
    <row r="51557" s="12" customFormat="1" x14ac:dyDescent="0.25"/>
    <row r="51558" s="12" customFormat="1" x14ac:dyDescent="0.25"/>
    <row r="51559" s="12" customFormat="1" x14ac:dyDescent="0.25"/>
    <row r="51560" s="12" customFormat="1" x14ac:dyDescent="0.25"/>
    <row r="51561" s="12" customFormat="1" x14ac:dyDescent="0.25"/>
    <row r="51562" s="12" customFormat="1" x14ac:dyDescent="0.25"/>
    <row r="51563" s="12" customFormat="1" x14ac:dyDescent="0.25"/>
    <row r="51564" s="12" customFormat="1" x14ac:dyDescent="0.25"/>
    <row r="51565" s="12" customFormat="1" x14ac:dyDescent="0.25"/>
    <row r="51566" s="12" customFormat="1" x14ac:dyDescent="0.25"/>
    <row r="51567" s="12" customFormat="1" x14ac:dyDescent="0.25"/>
    <row r="51568" s="12" customFormat="1" x14ac:dyDescent="0.25"/>
    <row r="51569" s="12" customFormat="1" x14ac:dyDescent="0.25"/>
    <row r="51570" s="12" customFormat="1" x14ac:dyDescent="0.25"/>
    <row r="51571" s="12" customFormat="1" x14ac:dyDescent="0.25"/>
    <row r="51572" s="12" customFormat="1" x14ac:dyDescent="0.25"/>
    <row r="51573" s="12" customFormat="1" x14ac:dyDescent="0.25"/>
    <row r="51574" s="12" customFormat="1" x14ac:dyDescent="0.25"/>
    <row r="51575" s="12" customFormat="1" x14ac:dyDescent="0.25"/>
    <row r="51576" s="12" customFormat="1" x14ac:dyDescent="0.25"/>
    <row r="51577" s="12" customFormat="1" x14ac:dyDescent="0.25"/>
    <row r="51578" s="12" customFormat="1" x14ac:dyDescent="0.25"/>
    <row r="51579" s="12" customFormat="1" x14ac:dyDescent="0.25"/>
    <row r="51580" s="12" customFormat="1" x14ac:dyDescent="0.25"/>
    <row r="51581" s="12" customFormat="1" x14ac:dyDescent="0.25"/>
    <row r="51582" s="12" customFormat="1" x14ac:dyDescent="0.25"/>
    <row r="51583" s="12" customFormat="1" x14ac:dyDescent="0.25"/>
    <row r="51584" s="12" customFormat="1" x14ac:dyDescent="0.25"/>
    <row r="51585" s="12" customFormat="1" x14ac:dyDescent="0.25"/>
    <row r="51586" s="12" customFormat="1" x14ac:dyDescent="0.25"/>
    <row r="51587" s="12" customFormat="1" x14ac:dyDescent="0.25"/>
    <row r="51588" s="12" customFormat="1" x14ac:dyDescent="0.25"/>
    <row r="51589" s="12" customFormat="1" x14ac:dyDescent="0.25"/>
    <row r="51590" s="12" customFormat="1" x14ac:dyDescent="0.25"/>
    <row r="51591" s="12" customFormat="1" x14ac:dyDescent="0.25"/>
    <row r="51592" s="12" customFormat="1" x14ac:dyDescent="0.25"/>
    <row r="51593" s="12" customFormat="1" x14ac:dyDescent="0.25"/>
    <row r="51594" s="12" customFormat="1" x14ac:dyDescent="0.25"/>
    <row r="51595" s="12" customFormat="1" x14ac:dyDescent="0.25"/>
    <row r="51596" s="12" customFormat="1" x14ac:dyDescent="0.25"/>
    <row r="51597" s="12" customFormat="1" x14ac:dyDescent="0.25"/>
    <row r="51598" s="12" customFormat="1" x14ac:dyDescent="0.25"/>
    <row r="51599" s="12" customFormat="1" x14ac:dyDescent="0.25"/>
    <row r="51600" s="12" customFormat="1" x14ac:dyDescent="0.25"/>
    <row r="51601" s="12" customFormat="1" x14ac:dyDescent="0.25"/>
    <row r="51602" s="12" customFormat="1" x14ac:dyDescent="0.25"/>
    <row r="51603" s="12" customFormat="1" x14ac:dyDescent="0.25"/>
    <row r="51604" s="12" customFormat="1" x14ac:dyDescent="0.25"/>
    <row r="51605" s="12" customFormat="1" x14ac:dyDescent="0.25"/>
    <row r="51606" s="12" customFormat="1" x14ac:dyDescent="0.25"/>
    <row r="51607" s="12" customFormat="1" x14ac:dyDescent="0.25"/>
    <row r="51608" s="12" customFormat="1" x14ac:dyDescent="0.25"/>
    <row r="51609" s="12" customFormat="1" x14ac:dyDescent="0.25"/>
    <row r="51610" s="12" customFormat="1" x14ac:dyDescent="0.25"/>
    <row r="51611" s="12" customFormat="1" x14ac:dyDescent="0.25"/>
    <row r="51612" s="12" customFormat="1" x14ac:dyDescent="0.25"/>
    <row r="51613" s="12" customFormat="1" x14ac:dyDescent="0.25"/>
    <row r="51614" s="12" customFormat="1" x14ac:dyDescent="0.25"/>
    <row r="51615" s="12" customFormat="1" x14ac:dyDescent="0.25"/>
    <row r="51616" s="12" customFormat="1" x14ac:dyDescent="0.25"/>
    <row r="51617" s="12" customFormat="1" x14ac:dyDescent="0.25"/>
    <row r="51618" s="12" customFormat="1" x14ac:dyDescent="0.25"/>
    <row r="51619" s="12" customFormat="1" x14ac:dyDescent="0.25"/>
    <row r="51620" s="12" customFormat="1" x14ac:dyDescent="0.25"/>
    <row r="51621" s="12" customFormat="1" x14ac:dyDescent="0.25"/>
    <row r="51622" s="12" customFormat="1" x14ac:dyDescent="0.25"/>
    <row r="51623" s="12" customFormat="1" x14ac:dyDescent="0.25"/>
    <row r="51624" s="12" customFormat="1" x14ac:dyDescent="0.25"/>
    <row r="51625" s="12" customFormat="1" x14ac:dyDescent="0.25"/>
    <row r="51626" s="12" customFormat="1" x14ac:dyDescent="0.25"/>
    <row r="51627" s="12" customFormat="1" x14ac:dyDescent="0.25"/>
    <row r="51628" s="12" customFormat="1" x14ac:dyDescent="0.25"/>
    <row r="51629" s="12" customFormat="1" x14ac:dyDescent="0.25"/>
    <row r="51630" s="12" customFormat="1" x14ac:dyDescent="0.25"/>
    <row r="51631" s="12" customFormat="1" x14ac:dyDescent="0.25"/>
    <row r="51632" s="12" customFormat="1" x14ac:dyDescent="0.25"/>
    <row r="51633" s="12" customFormat="1" x14ac:dyDescent="0.25"/>
    <row r="51634" s="12" customFormat="1" x14ac:dyDescent="0.25"/>
    <row r="51635" s="12" customFormat="1" x14ac:dyDescent="0.25"/>
    <row r="51636" s="12" customFormat="1" x14ac:dyDescent="0.25"/>
    <row r="51637" s="12" customFormat="1" x14ac:dyDescent="0.25"/>
    <row r="51638" s="12" customFormat="1" x14ac:dyDescent="0.25"/>
    <row r="51639" s="12" customFormat="1" x14ac:dyDescent="0.25"/>
    <row r="51640" s="12" customFormat="1" x14ac:dyDescent="0.25"/>
    <row r="51641" s="12" customFormat="1" x14ac:dyDescent="0.25"/>
    <row r="51642" s="12" customFormat="1" x14ac:dyDescent="0.25"/>
    <row r="51643" s="12" customFormat="1" x14ac:dyDescent="0.25"/>
    <row r="51644" s="12" customFormat="1" x14ac:dyDescent="0.25"/>
    <row r="51645" s="12" customFormat="1" x14ac:dyDescent="0.25"/>
    <row r="51646" s="12" customFormat="1" x14ac:dyDescent="0.25"/>
    <row r="51647" s="12" customFormat="1" x14ac:dyDescent="0.25"/>
    <row r="51648" s="12" customFormat="1" x14ac:dyDescent="0.25"/>
    <row r="51649" s="12" customFormat="1" x14ac:dyDescent="0.25"/>
    <row r="51650" s="12" customFormat="1" x14ac:dyDescent="0.25"/>
    <row r="51651" s="12" customFormat="1" x14ac:dyDescent="0.25"/>
    <row r="51652" s="12" customFormat="1" x14ac:dyDescent="0.25"/>
    <row r="51653" s="12" customFormat="1" x14ac:dyDescent="0.25"/>
    <row r="51654" s="12" customFormat="1" x14ac:dyDescent="0.25"/>
    <row r="51655" s="12" customFormat="1" x14ac:dyDescent="0.25"/>
    <row r="51656" s="12" customFormat="1" x14ac:dyDescent="0.25"/>
    <row r="51657" s="12" customFormat="1" x14ac:dyDescent="0.25"/>
    <row r="51658" s="12" customFormat="1" x14ac:dyDescent="0.25"/>
    <row r="51659" s="12" customFormat="1" x14ac:dyDescent="0.25"/>
    <row r="51660" s="12" customFormat="1" x14ac:dyDescent="0.25"/>
    <row r="51661" s="12" customFormat="1" x14ac:dyDescent="0.25"/>
    <row r="51662" s="12" customFormat="1" x14ac:dyDescent="0.25"/>
    <row r="51663" s="12" customFormat="1" x14ac:dyDescent="0.25"/>
    <row r="51664" s="12" customFormat="1" x14ac:dyDescent="0.25"/>
    <row r="51665" s="12" customFormat="1" x14ac:dyDescent="0.25"/>
    <row r="51666" s="12" customFormat="1" x14ac:dyDescent="0.25"/>
    <row r="51667" s="12" customFormat="1" x14ac:dyDescent="0.25"/>
    <row r="51668" s="12" customFormat="1" x14ac:dyDescent="0.25"/>
    <row r="51669" s="12" customFormat="1" x14ac:dyDescent="0.25"/>
    <row r="51670" s="12" customFormat="1" x14ac:dyDescent="0.25"/>
    <row r="51671" s="12" customFormat="1" x14ac:dyDescent="0.25"/>
    <row r="51672" s="12" customFormat="1" x14ac:dyDescent="0.25"/>
    <row r="51673" s="12" customFormat="1" x14ac:dyDescent="0.25"/>
    <row r="51674" s="12" customFormat="1" x14ac:dyDescent="0.25"/>
    <row r="51675" s="12" customFormat="1" x14ac:dyDescent="0.25"/>
    <row r="51676" s="12" customFormat="1" x14ac:dyDescent="0.25"/>
    <row r="51677" s="12" customFormat="1" x14ac:dyDescent="0.25"/>
    <row r="51678" s="12" customFormat="1" x14ac:dyDescent="0.25"/>
    <row r="51679" s="12" customFormat="1" x14ac:dyDescent="0.25"/>
    <row r="51680" s="12" customFormat="1" x14ac:dyDescent="0.25"/>
    <row r="51681" s="12" customFormat="1" x14ac:dyDescent="0.25"/>
    <row r="51682" s="12" customFormat="1" x14ac:dyDescent="0.25"/>
    <row r="51683" s="12" customFormat="1" x14ac:dyDescent="0.25"/>
    <row r="51684" s="12" customFormat="1" x14ac:dyDescent="0.25"/>
    <row r="51685" s="12" customFormat="1" x14ac:dyDescent="0.25"/>
    <row r="51686" s="12" customFormat="1" x14ac:dyDescent="0.25"/>
    <row r="51687" s="12" customFormat="1" x14ac:dyDescent="0.25"/>
    <row r="51688" s="12" customFormat="1" x14ac:dyDescent="0.25"/>
    <row r="51689" s="12" customFormat="1" x14ac:dyDescent="0.25"/>
    <row r="51690" s="12" customFormat="1" x14ac:dyDescent="0.25"/>
    <row r="51691" s="12" customFormat="1" x14ac:dyDescent="0.25"/>
    <row r="51692" s="12" customFormat="1" x14ac:dyDescent="0.25"/>
    <row r="51693" s="12" customFormat="1" x14ac:dyDescent="0.25"/>
    <row r="51694" s="12" customFormat="1" x14ac:dyDescent="0.25"/>
    <row r="51695" s="12" customFormat="1" x14ac:dyDescent="0.25"/>
    <row r="51696" s="12" customFormat="1" x14ac:dyDescent="0.25"/>
    <row r="51697" s="12" customFormat="1" x14ac:dyDescent="0.25"/>
    <row r="51698" s="12" customFormat="1" x14ac:dyDescent="0.25"/>
    <row r="51699" s="12" customFormat="1" x14ac:dyDescent="0.25"/>
    <row r="51700" s="12" customFormat="1" x14ac:dyDescent="0.25"/>
    <row r="51701" s="12" customFormat="1" x14ac:dyDescent="0.25"/>
    <row r="51702" s="12" customFormat="1" x14ac:dyDescent="0.25"/>
    <row r="51703" s="12" customFormat="1" x14ac:dyDescent="0.25"/>
    <row r="51704" s="12" customFormat="1" x14ac:dyDescent="0.25"/>
    <row r="51705" s="12" customFormat="1" x14ac:dyDescent="0.25"/>
    <row r="51706" s="12" customFormat="1" x14ac:dyDescent="0.25"/>
    <row r="51707" s="12" customFormat="1" x14ac:dyDescent="0.25"/>
    <row r="51708" s="12" customFormat="1" x14ac:dyDescent="0.25"/>
    <row r="51709" s="12" customFormat="1" x14ac:dyDescent="0.25"/>
    <row r="51710" s="12" customFormat="1" x14ac:dyDescent="0.25"/>
    <row r="51711" s="12" customFormat="1" x14ac:dyDescent="0.25"/>
    <row r="51712" s="12" customFormat="1" x14ac:dyDescent="0.25"/>
    <row r="51713" s="12" customFormat="1" x14ac:dyDescent="0.25"/>
    <row r="51714" s="12" customFormat="1" x14ac:dyDescent="0.25"/>
    <row r="51715" s="12" customFormat="1" x14ac:dyDescent="0.25"/>
    <row r="51716" s="12" customFormat="1" x14ac:dyDescent="0.25"/>
    <row r="51717" s="12" customFormat="1" x14ac:dyDescent="0.25"/>
    <row r="51718" s="12" customFormat="1" x14ac:dyDescent="0.25"/>
    <row r="51719" s="12" customFormat="1" x14ac:dyDescent="0.25"/>
    <row r="51720" s="12" customFormat="1" x14ac:dyDescent="0.25"/>
    <row r="51721" s="12" customFormat="1" x14ac:dyDescent="0.25"/>
    <row r="51722" s="12" customFormat="1" x14ac:dyDescent="0.25"/>
    <row r="51723" s="12" customFormat="1" x14ac:dyDescent="0.25"/>
    <row r="51724" s="12" customFormat="1" x14ac:dyDescent="0.25"/>
    <row r="51725" s="12" customFormat="1" x14ac:dyDescent="0.25"/>
    <row r="51726" s="12" customFormat="1" x14ac:dyDescent="0.25"/>
    <row r="51727" s="12" customFormat="1" x14ac:dyDescent="0.25"/>
    <row r="51728" s="12" customFormat="1" x14ac:dyDescent="0.25"/>
    <row r="51729" s="12" customFormat="1" x14ac:dyDescent="0.25"/>
    <row r="51730" s="12" customFormat="1" x14ac:dyDescent="0.25"/>
    <row r="51731" s="12" customFormat="1" x14ac:dyDescent="0.25"/>
    <row r="51732" s="12" customFormat="1" x14ac:dyDescent="0.25"/>
    <row r="51733" s="12" customFormat="1" x14ac:dyDescent="0.25"/>
    <row r="51734" s="12" customFormat="1" x14ac:dyDescent="0.25"/>
    <row r="51735" s="12" customFormat="1" x14ac:dyDescent="0.25"/>
    <row r="51736" s="12" customFormat="1" x14ac:dyDescent="0.25"/>
    <row r="51737" s="12" customFormat="1" x14ac:dyDescent="0.25"/>
    <row r="51738" s="12" customFormat="1" x14ac:dyDescent="0.25"/>
    <row r="51739" s="12" customFormat="1" x14ac:dyDescent="0.25"/>
    <row r="51740" s="12" customFormat="1" x14ac:dyDescent="0.25"/>
    <row r="51741" s="12" customFormat="1" x14ac:dyDescent="0.25"/>
    <row r="51742" s="12" customFormat="1" x14ac:dyDescent="0.25"/>
    <row r="51743" s="12" customFormat="1" x14ac:dyDescent="0.25"/>
    <row r="51744" s="12" customFormat="1" x14ac:dyDescent="0.25"/>
    <row r="51745" s="12" customFormat="1" x14ac:dyDescent="0.25"/>
    <row r="51746" s="12" customFormat="1" x14ac:dyDescent="0.25"/>
    <row r="51747" s="12" customFormat="1" x14ac:dyDescent="0.25"/>
    <row r="51748" s="12" customFormat="1" x14ac:dyDescent="0.25"/>
    <row r="51749" s="12" customFormat="1" x14ac:dyDescent="0.25"/>
    <row r="51750" s="12" customFormat="1" x14ac:dyDescent="0.25"/>
    <row r="51751" s="12" customFormat="1" x14ac:dyDescent="0.25"/>
    <row r="51752" s="12" customFormat="1" x14ac:dyDescent="0.25"/>
    <row r="51753" s="12" customFormat="1" x14ac:dyDescent="0.25"/>
    <row r="51754" s="12" customFormat="1" x14ac:dyDescent="0.25"/>
    <row r="51755" s="12" customFormat="1" x14ac:dyDescent="0.25"/>
    <row r="51756" s="12" customFormat="1" x14ac:dyDescent="0.25"/>
    <row r="51757" s="12" customFormat="1" x14ac:dyDescent="0.25"/>
    <row r="51758" s="12" customFormat="1" x14ac:dyDescent="0.25"/>
    <row r="51759" s="12" customFormat="1" x14ac:dyDescent="0.25"/>
    <row r="51760" s="12" customFormat="1" x14ac:dyDescent="0.25"/>
    <row r="51761" s="12" customFormat="1" x14ac:dyDescent="0.25"/>
    <row r="51762" s="12" customFormat="1" x14ac:dyDescent="0.25"/>
    <row r="51763" s="12" customFormat="1" x14ac:dyDescent="0.25"/>
    <row r="51764" s="12" customFormat="1" x14ac:dyDescent="0.25"/>
    <row r="51765" s="12" customFormat="1" x14ac:dyDescent="0.25"/>
    <row r="51766" s="12" customFormat="1" x14ac:dyDescent="0.25"/>
    <row r="51767" s="12" customFormat="1" x14ac:dyDescent="0.25"/>
    <row r="51768" s="12" customFormat="1" x14ac:dyDescent="0.25"/>
    <row r="51769" s="12" customFormat="1" x14ac:dyDescent="0.25"/>
    <row r="51770" s="12" customFormat="1" x14ac:dyDescent="0.25"/>
    <row r="51771" s="12" customFormat="1" x14ac:dyDescent="0.25"/>
    <row r="51772" s="12" customFormat="1" x14ac:dyDescent="0.25"/>
    <row r="51773" s="12" customFormat="1" x14ac:dyDescent="0.25"/>
    <row r="51774" s="12" customFormat="1" x14ac:dyDescent="0.25"/>
    <row r="51775" s="12" customFormat="1" x14ac:dyDescent="0.25"/>
    <row r="51776" s="12" customFormat="1" x14ac:dyDescent="0.25"/>
    <row r="51777" s="12" customFormat="1" x14ac:dyDescent="0.25"/>
    <row r="51778" s="12" customFormat="1" x14ac:dyDescent="0.25"/>
    <row r="51779" s="12" customFormat="1" x14ac:dyDescent="0.25"/>
    <row r="51780" s="12" customFormat="1" x14ac:dyDescent="0.25"/>
    <row r="51781" s="12" customFormat="1" x14ac:dyDescent="0.25"/>
    <row r="51782" s="12" customFormat="1" x14ac:dyDescent="0.25"/>
    <row r="51783" s="12" customFormat="1" x14ac:dyDescent="0.25"/>
    <row r="51784" s="12" customFormat="1" x14ac:dyDescent="0.25"/>
    <row r="51785" s="12" customFormat="1" x14ac:dyDescent="0.25"/>
    <row r="51786" s="12" customFormat="1" x14ac:dyDescent="0.25"/>
    <row r="51787" s="12" customFormat="1" x14ac:dyDescent="0.25"/>
    <row r="51788" s="12" customFormat="1" x14ac:dyDescent="0.25"/>
    <row r="51789" s="12" customFormat="1" x14ac:dyDescent="0.25"/>
    <row r="51790" s="12" customFormat="1" x14ac:dyDescent="0.25"/>
    <row r="51791" s="12" customFormat="1" x14ac:dyDescent="0.25"/>
    <row r="51792" s="12" customFormat="1" x14ac:dyDescent="0.25"/>
    <row r="51793" s="12" customFormat="1" x14ac:dyDescent="0.25"/>
    <row r="51794" s="12" customFormat="1" x14ac:dyDescent="0.25"/>
    <row r="51795" s="12" customFormat="1" x14ac:dyDescent="0.25"/>
    <row r="51796" s="12" customFormat="1" x14ac:dyDescent="0.25"/>
    <row r="51797" s="12" customFormat="1" x14ac:dyDescent="0.25"/>
    <row r="51798" s="12" customFormat="1" x14ac:dyDescent="0.25"/>
    <row r="51799" s="12" customFormat="1" x14ac:dyDescent="0.25"/>
    <row r="51800" s="12" customFormat="1" x14ac:dyDescent="0.25"/>
    <row r="51801" s="12" customFormat="1" x14ac:dyDescent="0.25"/>
    <row r="51802" s="12" customFormat="1" x14ac:dyDescent="0.25"/>
    <row r="51803" s="12" customFormat="1" x14ac:dyDescent="0.25"/>
    <row r="51804" s="12" customFormat="1" x14ac:dyDescent="0.25"/>
    <row r="51805" s="12" customFormat="1" x14ac:dyDescent="0.25"/>
    <row r="51806" s="12" customFormat="1" x14ac:dyDescent="0.25"/>
    <row r="51807" s="12" customFormat="1" x14ac:dyDescent="0.25"/>
    <row r="51808" s="12" customFormat="1" x14ac:dyDescent="0.25"/>
    <row r="51809" s="12" customFormat="1" x14ac:dyDescent="0.25"/>
    <row r="51810" s="12" customFormat="1" x14ac:dyDescent="0.25"/>
    <row r="51811" s="12" customFormat="1" x14ac:dyDescent="0.25"/>
    <row r="51812" s="12" customFormat="1" x14ac:dyDescent="0.25"/>
    <row r="51813" s="12" customFormat="1" x14ac:dyDescent="0.25"/>
    <row r="51814" s="12" customFormat="1" x14ac:dyDescent="0.25"/>
    <row r="51815" s="12" customFormat="1" x14ac:dyDescent="0.25"/>
    <row r="51816" s="12" customFormat="1" x14ac:dyDescent="0.25"/>
    <row r="51817" s="12" customFormat="1" x14ac:dyDescent="0.25"/>
    <row r="51818" s="12" customFormat="1" x14ac:dyDescent="0.25"/>
    <row r="51819" s="12" customFormat="1" x14ac:dyDescent="0.25"/>
    <row r="51820" s="12" customFormat="1" x14ac:dyDescent="0.25"/>
    <row r="51821" s="12" customFormat="1" x14ac:dyDescent="0.25"/>
    <row r="51822" s="12" customFormat="1" x14ac:dyDescent="0.25"/>
    <row r="51823" s="12" customFormat="1" x14ac:dyDescent="0.25"/>
    <row r="51824" s="12" customFormat="1" x14ac:dyDescent="0.25"/>
    <row r="51825" s="12" customFormat="1" x14ac:dyDescent="0.25"/>
    <row r="51826" s="12" customFormat="1" x14ac:dyDescent="0.25"/>
    <row r="51827" s="12" customFormat="1" x14ac:dyDescent="0.25"/>
    <row r="51828" s="12" customFormat="1" x14ac:dyDescent="0.25"/>
    <row r="51829" s="12" customFormat="1" x14ac:dyDescent="0.25"/>
    <row r="51830" s="12" customFormat="1" x14ac:dyDescent="0.25"/>
    <row r="51831" s="12" customFormat="1" x14ac:dyDescent="0.25"/>
    <row r="51832" s="12" customFormat="1" x14ac:dyDescent="0.25"/>
    <row r="51833" s="12" customFormat="1" x14ac:dyDescent="0.25"/>
    <row r="51834" s="12" customFormat="1" x14ac:dyDescent="0.25"/>
    <row r="51835" s="12" customFormat="1" x14ac:dyDescent="0.25"/>
    <row r="51836" s="12" customFormat="1" x14ac:dyDescent="0.25"/>
    <row r="51837" s="12" customFormat="1" x14ac:dyDescent="0.25"/>
    <row r="51838" s="12" customFormat="1" x14ac:dyDescent="0.25"/>
    <row r="51839" s="12" customFormat="1" x14ac:dyDescent="0.25"/>
    <row r="51840" s="12" customFormat="1" x14ac:dyDescent="0.25"/>
    <row r="51841" s="12" customFormat="1" x14ac:dyDescent="0.25"/>
    <row r="51842" s="12" customFormat="1" x14ac:dyDescent="0.25"/>
    <row r="51843" s="12" customFormat="1" x14ac:dyDescent="0.25"/>
    <row r="51844" s="12" customFormat="1" x14ac:dyDescent="0.25"/>
    <row r="51845" s="12" customFormat="1" x14ac:dyDescent="0.25"/>
    <row r="51846" s="12" customFormat="1" x14ac:dyDescent="0.25"/>
    <row r="51847" s="12" customFormat="1" x14ac:dyDescent="0.25"/>
    <row r="51848" s="12" customFormat="1" x14ac:dyDescent="0.25"/>
    <row r="51849" s="12" customFormat="1" x14ac:dyDescent="0.25"/>
    <row r="51850" s="12" customFormat="1" x14ac:dyDescent="0.25"/>
    <row r="51851" s="12" customFormat="1" x14ac:dyDescent="0.25"/>
    <row r="51852" s="12" customFormat="1" x14ac:dyDescent="0.25"/>
    <row r="51853" s="12" customFormat="1" x14ac:dyDescent="0.25"/>
    <row r="51854" s="12" customFormat="1" x14ac:dyDescent="0.25"/>
    <row r="51855" s="12" customFormat="1" x14ac:dyDescent="0.25"/>
    <row r="51856" s="12" customFormat="1" x14ac:dyDescent="0.25"/>
    <row r="51857" s="12" customFormat="1" x14ac:dyDescent="0.25"/>
    <row r="51858" s="12" customFormat="1" x14ac:dyDescent="0.25"/>
    <row r="51859" s="12" customFormat="1" x14ac:dyDescent="0.25"/>
    <row r="51860" s="12" customFormat="1" x14ac:dyDescent="0.25"/>
    <row r="51861" s="12" customFormat="1" x14ac:dyDescent="0.25"/>
    <row r="51862" s="12" customFormat="1" x14ac:dyDescent="0.25"/>
    <row r="51863" s="12" customFormat="1" x14ac:dyDescent="0.25"/>
    <row r="51864" s="12" customFormat="1" x14ac:dyDescent="0.25"/>
    <row r="51865" s="12" customFormat="1" x14ac:dyDescent="0.25"/>
    <row r="51866" s="12" customFormat="1" x14ac:dyDescent="0.25"/>
    <row r="51867" s="12" customFormat="1" x14ac:dyDescent="0.25"/>
    <row r="51868" s="12" customFormat="1" x14ac:dyDescent="0.25"/>
    <row r="51869" s="12" customFormat="1" x14ac:dyDescent="0.25"/>
    <row r="51870" s="12" customFormat="1" x14ac:dyDescent="0.25"/>
    <row r="51871" s="12" customFormat="1" x14ac:dyDescent="0.25"/>
    <row r="51872" s="12" customFormat="1" x14ac:dyDescent="0.25"/>
    <row r="51873" s="12" customFormat="1" x14ac:dyDescent="0.25"/>
    <row r="51874" s="12" customFormat="1" x14ac:dyDescent="0.25"/>
    <row r="51875" s="12" customFormat="1" x14ac:dyDescent="0.25"/>
    <row r="51876" s="12" customFormat="1" x14ac:dyDescent="0.25"/>
    <row r="51877" s="12" customFormat="1" x14ac:dyDescent="0.25"/>
    <row r="51878" s="12" customFormat="1" x14ac:dyDescent="0.25"/>
    <row r="51879" s="12" customFormat="1" x14ac:dyDescent="0.25"/>
    <row r="51880" s="12" customFormat="1" x14ac:dyDescent="0.25"/>
    <row r="51881" s="12" customFormat="1" x14ac:dyDescent="0.25"/>
    <row r="51882" s="12" customFormat="1" x14ac:dyDescent="0.25"/>
    <row r="51883" s="12" customFormat="1" x14ac:dyDescent="0.25"/>
    <row r="51884" s="12" customFormat="1" x14ac:dyDescent="0.25"/>
    <row r="51885" s="12" customFormat="1" x14ac:dyDescent="0.25"/>
    <row r="51886" s="12" customFormat="1" x14ac:dyDescent="0.25"/>
    <row r="51887" s="12" customFormat="1" x14ac:dyDescent="0.25"/>
    <row r="51888" s="12" customFormat="1" x14ac:dyDescent="0.25"/>
    <row r="51889" s="12" customFormat="1" x14ac:dyDescent="0.25"/>
    <row r="51890" s="12" customFormat="1" x14ac:dyDescent="0.25"/>
    <row r="51891" s="12" customFormat="1" x14ac:dyDescent="0.25"/>
    <row r="51892" s="12" customFormat="1" x14ac:dyDescent="0.25"/>
    <row r="51893" s="12" customFormat="1" x14ac:dyDescent="0.25"/>
    <row r="51894" s="12" customFormat="1" x14ac:dyDescent="0.25"/>
    <row r="51895" s="12" customFormat="1" x14ac:dyDescent="0.25"/>
    <row r="51896" s="12" customFormat="1" x14ac:dyDescent="0.25"/>
    <row r="51897" s="12" customFormat="1" x14ac:dyDescent="0.25"/>
    <row r="51898" s="12" customFormat="1" x14ac:dyDescent="0.25"/>
    <row r="51899" s="12" customFormat="1" x14ac:dyDescent="0.25"/>
    <row r="51900" s="12" customFormat="1" x14ac:dyDescent="0.25"/>
    <row r="51901" s="12" customFormat="1" x14ac:dyDescent="0.25"/>
    <row r="51902" s="12" customFormat="1" x14ac:dyDescent="0.25"/>
    <row r="51903" s="12" customFormat="1" x14ac:dyDescent="0.25"/>
    <row r="51904" s="12" customFormat="1" x14ac:dyDescent="0.25"/>
    <row r="51905" s="12" customFormat="1" x14ac:dyDescent="0.25"/>
    <row r="51906" s="12" customFormat="1" x14ac:dyDescent="0.25"/>
    <row r="51907" s="12" customFormat="1" x14ac:dyDescent="0.25"/>
    <row r="51908" s="12" customFormat="1" x14ac:dyDescent="0.25"/>
    <row r="51909" s="12" customFormat="1" x14ac:dyDescent="0.25"/>
    <row r="51910" s="12" customFormat="1" x14ac:dyDescent="0.25"/>
    <row r="51911" s="12" customFormat="1" x14ac:dyDescent="0.25"/>
    <row r="51912" s="12" customFormat="1" x14ac:dyDescent="0.25"/>
    <row r="51913" s="12" customFormat="1" x14ac:dyDescent="0.25"/>
    <row r="51914" s="12" customFormat="1" x14ac:dyDescent="0.25"/>
    <row r="51915" s="12" customFormat="1" x14ac:dyDescent="0.25"/>
    <row r="51916" s="12" customFormat="1" x14ac:dyDescent="0.25"/>
    <row r="51917" s="12" customFormat="1" x14ac:dyDescent="0.25"/>
    <row r="51918" s="12" customFormat="1" x14ac:dyDescent="0.25"/>
    <row r="51919" s="12" customFormat="1" x14ac:dyDescent="0.25"/>
    <row r="51920" s="12" customFormat="1" x14ac:dyDescent="0.25"/>
    <row r="51921" s="12" customFormat="1" x14ac:dyDescent="0.25"/>
    <row r="51922" s="12" customFormat="1" x14ac:dyDescent="0.25"/>
    <row r="51923" s="12" customFormat="1" x14ac:dyDescent="0.25"/>
    <row r="51924" s="12" customFormat="1" x14ac:dyDescent="0.25"/>
    <row r="51925" s="12" customFormat="1" x14ac:dyDescent="0.25"/>
    <row r="51926" s="12" customFormat="1" x14ac:dyDescent="0.25"/>
    <row r="51927" s="12" customFormat="1" x14ac:dyDescent="0.25"/>
    <row r="51928" s="12" customFormat="1" x14ac:dyDescent="0.25"/>
    <row r="51929" s="12" customFormat="1" x14ac:dyDescent="0.25"/>
    <row r="51930" s="12" customFormat="1" x14ac:dyDescent="0.25"/>
    <row r="51931" s="12" customFormat="1" x14ac:dyDescent="0.25"/>
    <row r="51932" s="12" customFormat="1" x14ac:dyDescent="0.25"/>
    <row r="51933" s="12" customFormat="1" x14ac:dyDescent="0.25"/>
    <row r="51934" s="12" customFormat="1" x14ac:dyDescent="0.25"/>
    <row r="51935" s="12" customFormat="1" x14ac:dyDescent="0.25"/>
    <row r="51936" s="12" customFormat="1" x14ac:dyDescent="0.25"/>
    <row r="51937" s="12" customFormat="1" x14ac:dyDescent="0.25"/>
    <row r="51938" s="12" customFormat="1" x14ac:dyDescent="0.25"/>
    <row r="51939" s="12" customFormat="1" x14ac:dyDescent="0.25"/>
    <row r="51940" s="12" customFormat="1" x14ac:dyDescent="0.25"/>
    <row r="51941" s="12" customFormat="1" x14ac:dyDescent="0.25"/>
    <row r="51942" s="12" customFormat="1" x14ac:dyDescent="0.25"/>
    <row r="51943" s="12" customFormat="1" x14ac:dyDescent="0.25"/>
    <row r="51944" s="12" customFormat="1" x14ac:dyDescent="0.25"/>
    <row r="51945" s="12" customFormat="1" x14ac:dyDescent="0.25"/>
    <row r="51946" s="12" customFormat="1" x14ac:dyDescent="0.25"/>
    <row r="51947" s="12" customFormat="1" x14ac:dyDescent="0.25"/>
    <row r="51948" s="12" customFormat="1" x14ac:dyDescent="0.25"/>
    <row r="51949" s="12" customFormat="1" x14ac:dyDescent="0.25"/>
    <row r="51950" s="12" customFormat="1" x14ac:dyDescent="0.25"/>
    <row r="51951" s="12" customFormat="1" x14ac:dyDescent="0.25"/>
    <row r="51952" s="12" customFormat="1" x14ac:dyDescent="0.25"/>
    <row r="51953" s="12" customFormat="1" x14ac:dyDescent="0.25"/>
    <row r="51954" s="12" customFormat="1" x14ac:dyDescent="0.25"/>
    <row r="51955" s="12" customFormat="1" x14ac:dyDescent="0.25"/>
    <row r="51956" s="12" customFormat="1" x14ac:dyDescent="0.25"/>
    <row r="51957" s="12" customFormat="1" x14ac:dyDescent="0.25"/>
    <row r="51958" s="12" customFormat="1" x14ac:dyDescent="0.25"/>
    <row r="51959" s="12" customFormat="1" x14ac:dyDescent="0.25"/>
    <row r="51960" s="12" customFormat="1" x14ac:dyDescent="0.25"/>
    <row r="51961" s="12" customFormat="1" x14ac:dyDescent="0.25"/>
    <row r="51962" s="12" customFormat="1" x14ac:dyDescent="0.25"/>
    <row r="51963" s="12" customFormat="1" x14ac:dyDescent="0.25"/>
    <row r="51964" s="12" customFormat="1" x14ac:dyDescent="0.25"/>
    <row r="51965" s="12" customFormat="1" x14ac:dyDescent="0.25"/>
    <row r="51966" s="12" customFormat="1" x14ac:dyDescent="0.25"/>
    <row r="51967" s="12" customFormat="1" x14ac:dyDescent="0.25"/>
    <row r="51968" s="12" customFormat="1" x14ac:dyDescent="0.25"/>
    <row r="51969" s="12" customFormat="1" x14ac:dyDescent="0.25"/>
    <row r="51970" s="12" customFormat="1" x14ac:dyDescent="0.25"/>
    <row r="51971" s="12" customFormat="1" x14ac:dyDescent="0.25"/>
    <row r="51972" s="12" customFormat="1" x14ac:dyDescent="0.25"/>
    <row r="51973" s="12" customFormat="1" x14ac:dyDescent="0.25"/>
    <row r="51974" s="12" customFormat="1" x14ac:dyDescent="0.25"/>
    <row r="51975" s="12" customFormat="1" x14ac:dyDescent="0.25"/>
    <row r="51976" s="12" customFormat="1" x14ac:dyDescent="0.25"/>
    <row r="51977" s="12" customFormat="1" x14ac:dyDescent="0.25"/>
    <row r="51978" s="12" customFormat="1" x14ac:dyDescent="0.25"/>
    <row r="51979" s="12" customFormat="1" x14ac:dyDescent="0.25"/>
    <row r="51980" s="12" customFormat="1" x14ac:dyDescent="0.25"/>
    <row r="51981" s="12" customFormat="1" x14ac:dyDescent="0.25"/>
    <row r="51982" s="12" customFormat="1" x14ac:dyDescent="0.25"/>
    <row r="51983" s="12" customFormat="1" x14ac:dyDescent="0.25"/>
    <row r="51984" s="12" customFormat="1" x14ac:dyDescent="0.25"/>
    <row r="51985" s="12" customFormat="1" x14ac:dyDescent="0.25"/>
    <row r="51986" s="12" customFormat="1" x14ac:dyDescent="0.25"/>
    <row r="51987" s="12" customFormat="1" x14ac:dyDescent="0.25"/>
    <row r="51988" s="12" customFormat="1" x14ac:dyDescent="0.25"/>
    <row r="51989" s="12" customFormat="1" x14ac:dyDescent="0.25"/>
    <row r="51990" s="12" customFormat="1" x14ac:dyDescent="0.25"/>
    <row r="51991" s="12" customFormat="1" x14ac:dyDescent="0.25"/>
    <row r="51992" s="12" customFormat="1" x14ac:dyDescent="0.25"/>
    <row r="51993" s="12" customFormat="1" x14ac:dyDescent="0.25"/>
    <row r="51994" s="12" customFormat="1" x14ac:dyDescent="0.25"/>
    <row r="51995" s="12" customFormat="1" x14ac:dyDescent="0.25"/>
    <row r="51996" s="12" customFormat="1" x14ac:dyDescent="0.25"/>
    <row r="51997" s="12" customFormat="1" x14ac:dyDescent="0.25"/>
    <row r="51998" s="12" customFormat="1" x14ac:dyDescent="0.25"/>
    <row r="51999" s="12" customFormat="1" x14ac:dyDescent="0.25"/>
    <row r="52000" s="12" customFormat="1" x14ac:dyDescent="0.25"/>
    <row r="52001" s="12" customFormat="1" x14ac:dyDescent="0.25"/>
    <row r="52002" s="12" customFormat="1" x14ac:dyDescent="0.25"/>
    <row r="52003" s="12" customFormat="1" x14ac:dyDescent="0.25"/>
    <row r="52004" s="12" customFormat="1" x14ac:dyDescent="0.25"/>
    <row r="52005" s="12" customFormat="1" x14ac:dyDescent="0.25"/>
    <row r="52006" s="12" customFormat="1" x14ac:dyDescent="0.25"/>
    <row r="52007" s="12" customFormat="1" x14ac:dyDescent="0.25"/>
    <row r="52008" s="12" customFormat="1" x14ac:dyDescent="0.25"/>
    <row r="52009" s="12" customFormat="1" x14ac:dyDescent="0.25"/>
    <row r="52010" s="12" customFormat="1" x14ac:dyDescent="0.25"/>
    <row r="52011" s="12" customFormat="1" x14ac:dyDescent="0.25"/>
    <row r="52012" s="12" customFormat="1" x14ac:dyDescent="0.25"/>
    <row r="52013" s="12" customFormat="1" x14ac:dyDescent="0.25"/>
    <row r="52014" s="12" customFormat="1" x14ac:dyDescent="0.25"/>
    <row r="52015" s="12" customFormat="1" x14ac:dyDescent="0.25"/>
    <row r="52016" s="12" customFormat="1" x14ac:dyDescent="0.25"/>
    <row r="52017" s="12" customFormat="1" x14ac:dyDescent="0.25"/>
    <row r="52018" s="12" customFormat="1" x14ac:dyDescent="0.25"/>
    <row r="52019" s="12" customFormat="1" x14ac:dyDescent="0.25"/>
    <row r="52020" s="12" customFormat="1" x14ac:dyDescent="0.25"/>
    <row r="52021" s="12" customFormat="1" x14ac:dyDescent="0.25"/>
    <row r="52022" s="12" customFormat="1" x14ac:dyDescent="0.25"/>
    <row r="52023" s="12" customFormat="1" x14ac:dyDescent="0.25"/>
    <row r="52024" s="12" customFormat="1" x14ac:dyDescent="0.25"/>
    <row r="52025" s="12" customFormat="1" x14ac:dyDescent="0.25"/>
    <row r="52026" s="12" customFormat="1" x14ac:dyDescent="0.25"/>
    <row r="52027" s="12" customFormat="1" x14ac:dyDescent="0.25"/>
    <row r="52028" s="12" customFormat="1" x14ac:dyDescent="0.25"/>
    <row r="52029" s="12" customFormat="1" x14ac:dyDescent="0.25"/>
    <row r="52030" s="12" customFormat="1" x14ac:dyDescent="0.25"/>
    <row r="52031" s="12" customFormat="1" x14ac:dyDescent="0.25"/>
    <row r="52032" s="12" customFormat="1" x14ac:dyDescent="0.25"/>
    <row r="52033" s="12" customFormat="1" x14ac:dyDescent="0.25"/>
    <row r="52034" s="12" customFormat="1" x14ac:dyDescent="0.25"/>
    <row r="52035" s="12" customFormat="1" x14ac:dyDescent="0.25"/>
    <row r="52036" s="12" customFormat="1" x14ac:dyDescent="0.25"/>
    <row r="52037" s="12" customFormat="1" x14ac:dyDescent="0.25"/>
    <row r="52038" s="12" customFormat="1" x14ac:dyDescent="0.25"/>
    <row r="52039" s="12" customFormat="1" x14ac:dyDescent="0.25"/>
    <row r="52040" s="12" customFormat="1" x14ac:dyDescent="0.25"/>
    <row r="52041" s="12" customFormat="1" x14ac:dyDescent="0.25"/>
    <row r="52042" s="12" customFormat="1" x14ac:dyDescent="0.25"/>
    <row r="52043" s="12" customFormat="1" x14ac:dyDescent="0.25"/>
    <row r="52044" s="12" customFormat="1" x14ac:dyDescent="0.25"/>
    <row r="52045" s="12" customFormat="1" x14ac:dyDescent="0.25"/>
    <row r="52046" s="12" customFormat="1" x14ac:dyDescent="0.25"/>
    <row r="52047" s="12" customFormat="1" x14ac:dyDescent="0.25"/>
    <row r="52048" s="12" customFormat="1" x14ac:dyDescent="0.25"/>
    <row r="52049" s="12" customFormat="1" x14ac:dyDescent="0.25"/>
    <row r="52050" s="12" customFormat="1" x14ac:dyDescent="0.25"/>
    <row r="52051" s="12" customFormat="1" x14ac:dyDescent="0.25"/>
    <row r="52052" s="12" customFormat="1" x14ac:dyDescent="0.25"/>
    <row r="52053" s="12" customFormat="1" x14ac:dyDescent="0.25"/>
    <row r="52054" s="12" customFormat="1" x14ac:dyDescent="0.25"/>
    <row r="52055" s="12" customFormat="1" x14ac:dyDescent="0.25"/>
    <row r="52056" s="12" customFormat="1" x14ac:dyDescent="0.25"/>
    <row r="52057" s="12" customFormat="1" x14ac:dyDescent="0.25"/>
    <row r="52058" s="12" customFormat="1" x14ac:dyDescent="0.25"/>
    <row r="52059" s="12" customFormat="1" x14ac:dyDescent="0.25"/>
    <row r="52060" s="12" customFormat="1" x14ac:dyDescent="0.25"/>
    <row r="52061" s="12" customFormat="1" x14ac:dyDescent="0.25"/>
    <row r="52062" s="12" customFormat="1" x14ac:dyDescent="0.25"/>
    <row r="52063" s="12" customFormat="1" x14ac:dyDescent="0.25"/>
    <row r="52064" s="12" customFormat="1" x14ac:dyDescent="0.25"/>
    <row r="52065" s="12" customFormat="1" x14ac:dyDescent="0.25"/>
    <row r="52066" s="12" customFormat="1" x14ac:dyDescent="0.25"/>
    <row r="52067" s="12" customFormat="1" x14ac:dyDescent="0.25"/>
    <row r="52068" s="12" customFormat="1" x14ac:dyDescent="0.25"/>
    <row r="52069" s="12" customFormat="1" x14ac:dyDescent="0.25"/>
    <row r="52070" s="12" customFormat="1" x14ac:dyDescent="0.25"/>
    <row r="52071" s="12" customFormat="1" x14ac:dyDescent="0.25"/>
    <row r="52072" s="12" customFormat="1" x14ac:dyDescent="0.25"/>
    <row r="52073" s="12" customFormat="1" x14ac:dyDescent="0.25"/>
    <row r="52074" s="12" customFormat="1" x14ac:dyDescent="0.25"/>
    <row r="52075" s="12" customFormat="1" x14ac:dyDescent="0.25"/>
    <row r="52076" s="12" customFormat="1" x14ac:dyDescent="0.25"/>
    <row r="52077" s="12" customFormat="1" x14ac:dyDescent="0.25"/>
    <row r="52078" s="12" customFormat="1" x14ac:dyDescent="0.25"/>
    <row r="52079" s="12" customFormat="1" x14ac:dyDescent="0.25"/>
    <row r="52080" s="12" customFormat="1" x14ac:dyDescent="0.25"/>
    <row r="52081" s="12" customFormat="1" x14ac:dyDescent="0.25"/>
    <row r="52082" s="12" customFormat="1" x14ac:dyDescent="0.25"/>
    <row r="52083" s="12" customFormat="1" x14ac:dyDescent="0.25"/>
    <row r="52084" s="12" customFormat="1" x14ac:dyDescent="0.25"/>
    <row r="52085" s="12" customFormat="1" x14ac:dyDescent="0.25"/>
    <row r="52086" s="12" customFormat="1" x14ac:dyDescent="0.25"/>
    <row r="52087" s="12" customFormat="1" x14ac:dyDescent="0.25"/>
    <row r="52088" s="12" customFormat="1" x14ac:dyDescent="0.25"/>
    <row r="52089" s="12" customFormat="1" x14ac:dyDescent="0.25"/>
    <row r="52090" s="12" customFormat="1" x14ac:dyDescent="0.25"/>
    <row r="52091" s="12" customFormat="1" x14ac:dyDescent="0.25"/>
    <row r="52092" s="12" customFormat="1" x14ac:dyDescent="0.25"/>
    <row r="52093" s="12" customFormat="1" x14ac:dyDescent="0.25"/>
    <row r="52094" s="12" customFormat="1" x14ac:dyDescent="0.25"/>
    <row r="52095" s="12" customFormat="1" x14ac:dyDescent="0.25"/>
    <row r="52096" s="12" customFormat="1" x14ac:dyDescent="0.25"/>
    <row r="52097" s="12" customFormat="1" x14ac:dyDescent="0.25"/>
    <row r="52098" s="12" customFormat="1" x14ac:dyDescent="0.25"/>
    <row r="52099" s="12" customFormat="1" x14ac:dyDescent="0.25"/>
    <row r="52100" s="12" customFormat="1" x14ac:dyDescent="0.25"/>
    <row r="52101" s="12" customFormat="1" x14ac:dyDescent="0.25"/>
    <row r="52102" s="12" customFormat="1" x14ac:dyDescent="0.25"/>
    <row r="52103" s="12" customFormat="1" x14ac:dyDescent="0.25"/>
    <row r="52104" s="12" customFormat="1" x14ac:dyDescent="0.25"/>
    <row r="52105" s="12" customFormat="1" x14ac:dyDescent="0.25"/>
    <row r="52106" s="12" customFormat="1" x14ac:dyDescent="0.25"/>
    <row r="52107" s="12" customFormat="1" x14ac:dyDescent="0.25"/>
    <row r="52108" s="12" customFormat="1" x14ac:dyDescent="0.25"/>
    <row r="52109" s="12" customFormat="1" x14ac:dyDescent="0.25"/>
    <row r="52110" s="12" customFormat="1" x14ac:dyDescent="0.25"/>
    <row r="52111" s="12" customFormat="1" x14ac:dyDescent="0.25"/>
    <row r="52112" s="12" customFormat="1" x14ac:dyDescent="0.25"/>
    <row r="52113" s="12" customFormat="1" x14ac:dyDescent="0.25"/>
    <row r="52114" s="12" customFormat="1" x14ac:dyDescent="0.25"/>
    <row r="52115" s="12" customFormat="1" x14ac:dyDescent="0.25"/>
    <row r="52116" s="12" customFormat="1" x14ac:dyDescent="0.25"/>
    <row r="52117" s="12" customFormat="1" x14ac:dyDescent="0.25"/>
    <row r="52118" s="12" customFormat="1" x14ac:dyDescent="0.25"/>
    <row r="52119" s="12" customFormat="1" x14ac:dyDescent="0.25"/>
    <row r="52120" s="12" customFormat="1" x14ac:dyDescent="0.25"/>
    <row r="52121" s="12" customFormat="1" x14ac:dyDescent="0.25"/>
    <row r="52122" s="12" customFormat="1" x14ac:dyDescent="0.25"/>
    <row r="52123" s="12" customFormat="1" x14ac:dyDescent="0.25"/>
    <row r="52124" s="12" customFormat="1" x14ac:dyDescent="0.25"/>
    <row r="52125" s="12" customFormat="1" x14ac:dyDescent="0.25"/>
    <row r="52126" s="12" customFormat="1" x14ac:dyDescent="0.25"/>
    <row r="52127" s="12" customFormat="1" x14ac:dyDescent="0.25"/>
    <row r="52128" s="12" customFormat="1" x14ac:dyDescent="0.25"/>
    <row r="52129" s="12" customFormat="1" x14ac:dyDescent="0.25"/>
    <row r="52130" s="12" customFormat="1" x14ac:dyDescent="0.25"/>
    <row r="52131" s="12" customFormat="1" x14ac:dyDescent="0.25"/>
    <row r="52132" s="12" customFormat="1" x14ac:dyDescent="0.25"/>
    <row r="52133" s="12" customFormat="1" x14ac:dyDescent="0.25"/>
    <row r="52134" s="12" customFormat="1" x14ac:dyDescent="0.25"/>
    <row r="52135" s="12" customFormat="1" x14ac:dyDescent="0.25"/>
    <row r="52136" s="12" customFormat="1" x14ac:dyDescent="0.25"/>
    <row r="52137" s="12" customFormat="1" x14ac:dyDescent="0.25"/>
    <row r="52138" s="12" customFormat="1" x14ac:dyDescent="0.25"/>
    <row r="52139" s="12" customFormat="1" x14ac:dyDescent="0.25"/>
    <row r="52140" s="12" customFormat="1" x14ac:dyDescent="0.25"/>
    <row r="52141" s="12" customFormat="1" x14ac:dyDescent="0.25"/>
    <row r="52142" s="12" customFormat="1" x14ac:dyDescent="0.25"/>
    <row r="52143" s="12" customFormat="1" x14ac:dyDescent="0.25"/>
    <row r="52144" s="12" customFormat="1" x14ac:dyDescent="0.25"/>
    <row r="52145" s="12" customFormat="1" x14ac:dyDescent="0.25"/>
    <row r="52146" s="12" customFormat="1" x14ac:dyDescent="0.25"/>
    <row r="52147" s="12" customFormat="1" x14ac:dyDescent="0.25"/>
    <row r="52148" s="12" customFormat="1" x14ac:dyDescent="0.25"/>
    <row r="52149" s="12" customFormat="1" x14ac:dyDescent="0.25"/>
    <row r="52150" s="12" customFormat="1" x14ac:dyDescent="0.25"/>
    <row r="52151" s="12" customFormat="1" x14ac:dyDescent="0.25"/>
    <row r="52152" s="12" customFormat="1" x14ac:dyDescent="0.25"/>
    <row r="52153" s="12" customFormat="1" x14ac:dyDescent="0.25"/>
    <row r="52154" s="12" customFormat="1" x14ac:dyDescent="0.25"/>
    <row r="52155" s="12" customFormat="1" x14ac:dyDescent="0.25"/>
    <row r="52156" s="12" customFormat="1" x14ac:dyDescent="0.25"/>
    <row r="52157" s="12" customFormat="1" x14ac:dyDescent="0.25"/>
    <row r="52158" s="12" customFormat="1" x14ac:dyDescent="0.25"/>
    <row r="52159" s="12" customFormat="1" x14ac:dyDescent="0.25"/>
    <row r="52160" s="12" customFormat="1" x14ac:dyDescent="0.25"/>
    <row r="52161" s="12" customFormat="1" x14ac:dyDescent="0.25"/>
    <row r="52162" s="12" customFormat="1" x14ac:dyDescent="0.25"/>
    <row r="52163" s="12" customFormat="1" x14ac:dyDescent="0.25"/>
    <row r="52164" s="12" customFormat="1" x14ac:dyDescent="0.25"/>
    <row r="52165" s="12" customFormat="1" x14ac:dyDescent="0.25"/>
    <row r="52166" s="12" customFormat="1" x14ac:dyDescent="0.25"/>
    <row r="52167" s="12" customFormat="1" x14ac:dyDescent="0.25"/>
    <row r="52168" s="12" customFormat="1" x14ac:dyDescent="0.25"/>
    <row r="52169" s="12" customFormat="1" x14ac:dyDescent="0.25"/>
    <row r="52170" s="12" customFormat="1" x14ac:dyDescent="0.25"/>
    <row r="52171" s="12" customFormat="1" x14ac:dyDescent="0.25"/>
    <row r="52172" s="12" customFormat="1" x14ac:dyDescent="0.25"/>
    <row r="52173" s="12" customFormat="1" x14ac:dyDescent="0.25"/>
    <row r="52174" s="12" customFormat="1" x14ac:dyDescent="0.25"/>
    <row r="52175" s="12" customFormat="1" x14ac:dyDescent="0.25"/>
    <row r="52176" s="12" customFormat="1" x14ac:dyDescent="0.25"/>
    <row r="52177" s="12" customFormat="1" x14ac:dyDescent="0.25"/>
    <row r="52178" s="12" customFormat="1" x14ac:dyDescent="0.25"/>
    <row r="52179" s="12" customFormat="1" x14ac:dyDescent="0.25"/>
    <row r="52180" s="12" customFormat="1" x14ac:dyDescent="0.25"/>
    <row r="52181" s="12" customFormat="1" x14ac:dyDescent="0.25"/>
    <row r="52182" s="12" customFormat="1" x14ac:dyDescent="0.25"/>
    <row r="52183" s="12" customFormat="1" x14ac:dyDescent="0.25"/>
    <row r="52184" s="12" customFormat="1" x14ac:dyDescent="0.25"/>
    <row r="52185" s="12" customFormat="1" x14ac:dyDescent="0.25"/>
    <row r="52186" s="12" customFormat="1" x14ac:dyDescent="0.25"/>
    <row r="52187" s="12" customFormat="1" x14ac:dyDescent="0.25"/>
    <row r="52188" s="12" customFormat="1" x14ac:dyDescent="0.25"/>
    <row r="52189" s="12" customFormat="1" x14ac:dyDescent="0.25"/>
    <row r="52190" s="12" customFormat="1" x14ac:dyDescent="0.25"/>
    <row r="52191" s="12" customFormat="1" x14ac:dyDescent="0.25"/>
    <row r="52192" s="12" customFormat="1" x14ac:dyDescent="0.25"/>
    <row r="52193" s="12" customFormat="1" x14ac:dyDescent="0.25"/>
    <row r="52194" s="12" customFormat="1" x14ac:dyDescent="0.25"/>
    <row r="52195" s="12" customFormat="1" x14ac:dyDescent="0.25"/>
    <row r="52196" s="12" customFormat="1" x14ac:dyDescent="0.25"/>
    <row r="52197" s="12" customFormat="1" x14ac:dyDescent="0.25"/>
    <row r="52198" s="12" customFormat="1" x14ac:dyDescent="0.25"/>
    <row r="52199" s="12" customFormat="1" x14ac:dyDescent="0.25"/>
    <row r="52200" s="12" customFormat="1" x14ac:dyDescent="0.25"/>
    <row r="52201" s="12" customFormat="1" x14ac:dyDescent="0.25"/>
    <row r="52202" s="12" customFormat="1" x14ac:dyDescent="0.25"/>
    <row r="52203" s="12" customFormat="1" x14ac:dyDescent="0.25"/>
    <row r="52204" s="12" customFormat="1" x14ac:dyDescent="0.25"/>
    <row r="52205" s="12" customFormat="1" x14ac:dyDescent="0.25"/>
    <row r="52206" s="12" customFormat="1" x14ac:dyDescent="0.25"/>
    <row r="52207" s="12" customFormat="1" x14ac:dyDescent="0.25"/>
    <row r="52208" s="12" customFormat="1" x14ac:dyDescent="0.25"/>
    <row r="52209" s="12" customFormat="1" x14ac:dyDescent="0.25"/>
    <row r="52210" s="12" customFormat="1" x14ac:dyDescent="0.25"/>
    <row r="52211" s="12" customFormat="1" x14ac:dyDescent="0.25"/>
    <row r="52212" s="12" customFormat="1" x14ac:dyDescent="0.25"/>
    <row r="52213" s="12" customFormat="1" x14ac:dyDescent="0.25"/>
    <row r="52214" s="12" customFormat="1" x14ac:dyDescent="0.25"/>
    <row r="52215" s="12" customFormat="1" x14ac:dyDescent="0.25"/>
    <row r="52216" s="12" customFormat="1" x14ac:dyDescent="0.25"/>
    <row r="52217" s="12" customFormat="1" x14ac:dyDescent="0.25"/>
    <row r="52218" s="12" customFormat="1" x14ac:dyDescent="0.25"/>
    <row r="52219" s="12" customFormat="1" x14ac:dyDescent="0.25"/>
    <row r="52220" s="12" customFormat="1" x14ac:dyDescent="0.25"/>
    <row r="52221" s="12" customFormat="1" x14ac:dyDescent="0.25"/>
    <row r="52222" s="12" customFormat="1" x14ac:dyDescent="0.25"/>
    <row r="52223" s="12" customFormat="1" x14ac:dyDescent="0.25"/>
    <row r="52224" s="12" customFormat="1" x14ac:dyDescent="0.25"/>
    <row r="52225" s="12" customFormat="1" x14ac:dyDescent="0.25"/>
    <row r="52226" s="12" customFormat="1" x14ac:dyDescent="0.25"/>
    <row r="52227" s="12" customFormat="1" x14ac:dyDescent="0.25"/>
    <row r="52228" s="12" customFormat="1" x14ac:dyDescent="0.25"/>
    <row r="52229" s="12" customFormat="1" x14ac:dyDescent="0.25"/>
    <row r="52230" s="12" customFormat="1" x14ac:dyDescent="0.25"/>
    <row r="52231" s="12" customFormat="1" x14ac:dyDescent="0.25"/>
    <row r="52232" s="12" customFormat="1" x14ac:dyDescent="0.25"/>
    <row r="52233" s="12" customFormat="1" x14ac:dyDescent="0.25"/>
    <row r="52234" s="12" customFormat="1" x14ac:dyDescent="0.25"/>
    <row r="52235" s="12" customFormat="1" x14ac:dyDescent="0.25"/>
    <row r="52236" s="12" customFormat="1" x14ac:dyDescent="0.25"/>
    <row r="52237" s="12" customFormat="1" x14ac:dyDescent="0.25"/>
    <row r="52238" s="12" customFormat="1" x14ac:dyDescent="0.25"/>
    <row r="52239" s="12" customFormat="1" x14ac:dyDescent="0.25"/>
    <row r="52240" s="12" customFormat="1" x14ac:dyDescent="0.25"/>
    <row r="52241" s="12" customFormat="1" x14ac:dyDescent="0.25"/>
    <row r="52242" s="12" customFormat="1" x14ac:dyDescent="0.25"/>
    <row r="52243" s="12" customFormat="1" x14ac:dyDescent="0.25"/>
    <row r="52244" s="12" customFormat="1" x14ac:dyDescent="0.25"/>
    <row r="52245" s="12" customFormat="1" x14ac:dyDescent="0.25"/>
    <row r="52246" s="12" customFormat="1" x14ac:dyDescent="0.25"/>
    <row r="52247" s="12" customFormat="1" x14ac:dyDescent="0.25"/>
    <row r="52248" s="12" customFormat="1" x14ac:dyDescent="0.25"/>
    <row r="52249" s="12" customFormat="1" x14ac:dyDescent="0.25"/>
    <row r="52250" s="12" customFormat="1" x14ac:dyDescent="0.25"/>
    <row r="52251" s="12" customFormat="1" x14ac:dyDescent="0.25"/>
    <row r="52252" s="12" customFormat="1" x14ac:dyDescent="0.25"/>
    <row r="52253" s="12" customFormat="1" x14ac:dyDescent="0.25"/>
    <row r="52254" s="12" customFormat="1" x14ac:dyDescent="0.25"/>
    <row r="52255" s="12" customFormat="1" x14ac:dyDescent="0.25"/>
    <row r="52256" s="12" customFormat="1" x14ac:dyDescent="0.25"/>
    <row r="52257" s="12" customFormat="1" x14ac:dyDescent="0.25"/>
    <row r="52258" s="12" customFormat="1" x14ac:dyDescent="0.25"/>
    <row r="52259" s="12" customFormat="1" x14ac:dyDescent="0.25"/>
    <row r="52260" s="12" customFormat="1" x14ac:dyDescent="0.25"/>
    <row r="52261" s="12" customFormat="1" x14ac:dyDescent="0.25"/>
    <row r="52262" s="12" customFormat="1" x14ac:dyDescent="0.25"/>
    <row r="52263" s="12" customFormat="1" x14ac:dyDescent="0.25"/>
    <row r="52264" s="12" customFormat="1" x14ac:dyDescent="0.25"/>
    <row r="52265" s="12" customFormat="1" x14ac:dyDescent="0.25"/>
    <row r="52266" s="12" customFormat="1" x14ac:dyDescent="0.25"/>
    <row r="52267" s="12" customFormat="1" x14ac:dyDescent="0.25"/>
    <row r="52268" s="12" customFormat="1" x14ac:dyDescent="0.25"/>
    <row r="52269" s="12" customFormat="1" x14ac:dyDescent="0.25"/>
    <row r="52270" s="12" customFormat="1" x14ac:dyDescent="0.25"/>
    <row r="52271" s="12" customFormat="1" x14ac:dyDescent="0.25"/>
    <row r="52272" s="12" customFormat="1" x14ac:dyDescent="0.25"/>
    <row r="52273" s="12" customFormat="1" x14ac:dyDescent="0.25"/>
    <row r="52274" s="12" customFormat="1" x14ac:dyDescent="0.25"/>
    <row r="52275" s="12" customFormat="1" x14ac:dyDescent="0.25"/>
    <row r="52276" s="12" customFormat="1" x14ac:dyDescent="0.25"/>
    <row r="52277" s="12" customFormat="1" x14ac:dyDescent="0.25"/>
    <row r="52278" s="12" customFormat="1" x14ac:dyDescent="0.25"/>
    <row r="52279" s="12" customFormat="1" x14ac:dyDescent="0.25"/>
    <row r="52280" s="12" customFormat="1" x14ac:dyDescent="0.25"/>
    <row r="52281" s="12" customFormat="1" x14ac:dyDescent="0.25"/>
    <row r="52282" s="12" customFormat="1" x14ac:dyDescent="0.25"/>
    <row r="52283" s="12" customFormat="1" x14ac:dyDescent="0.25"/>
    <row r="52284" s="12" customFormat="1" x14ac:dyDescent="0.25"/>
    <row r="52285" s="12" customFormat="1" x14ac:dyDescent="0.25"/>
    <row r="52286" s="12" customFormat="1" x14ac:dyDescent="0.25"/>
    <row r="52287" s="12" customFormat="1" x14ac:dyDescent="0.25"/>
    <row r="52288" s="12" customFormat="1" x14ac:dyDescent="0.25"/>
    <row r="52289" s="12" customFormat="1" x14ac:dyDescent="0.25"/>
    <row r="52290" s="12" customFormat="1" x14ac:dyDescent="0.25"/>
    <row r="52291" s="12" customFormat="1" x14ac:dyDescent="0.25"/>
    <row r="52292" s="12" customFormat="1" x14ac:dyDescent="0.25"/>
    <row r="52293" s="12" customFormat="1" x14ac:dyDescent="0.25"/>
    <row r="52294" s="12" customFormat="1" x14ac:dyDescent="0.25"/>
    <row r="52295" s="12" customFormat="1" x14ac:dyDescent="0.25"/>
    <row r="52296" s="12" customFormat="1" x14ac:dyDescent="0.25"/>
    <row r="52297" s="12" customFormat="1" x14ac:dyDescent="0.25"/>
    <row r="52298" s="12" customFormat="1" x14ac:dyDescent="0.25"/>
    <row r="52299" s="12" customFormat="1" x14ac:dyDescent="0.25"/>
    <row r="52300" s="12" customFormat="1" x14ac:dyDescent="0.25"/>
    <row r="52301" s="12" customFormat="1" x14ac:dyDescent="0.25"/>
    <row r="52302" s="12" customFormat="1" x14ac:dyDescent="0.25"/>
    <row r="52303" s="12" customFormat="1" x14ac:dyDescent="0.25"/>
    <row r="52304" s="12" customFormat="1" x14ac:dyDescent="0.25"/>
    <row r="52305" s="12" customFormat="1" x14ac:dyDescent="0.25"/>
    <row r="52306" s="12" customFormat="1" x14ac:dyDescent="0.25"/>
    <row r="52307" s="12" customFormat="1" x14ac:dyDescent="0.25"/>
    <row r="52308" s="12" customFormat="1" x14ac:dyDescent="0.25"/>
    <row r="52309" s="12" customFormat="1" x14ac:dyDescent="0.25"/>
    <row r="52310" s="12" customFormat="1" x14ac:dyDescent="0.25"/>
    <row r="52311" s="12" customFormat="1" x14ac:dyDescent="0.25"/>
    <row r="52312" s="12" customFormat="1" x14ac:dyDescent="0.25"/>
    <row r="52313" s="12" customFormat="1" x14ac:dyDescent="0.25"/>
    <row r="52314" s="12" customFormat="1" x14ac:dyDescent="0.25"/>
    <row r="52315" s="12" customFormat="1" x14ac:dyDescent="0.25"/>
    <row r="52316" s="12" customFormat="1" x14ac:dyDescent="0.25"/>
    <row r="52317" s="12" customFormat="1" x14ac:dyDescent="0.25"/>
    <row r="52318" s="12" customFormat="1" x14ac:dyDescent="0.25"/>
    <row r="52319" s="12" customFormat="1" x14ac:dyDescent="0.25"/>
    <row r="52320" s="12" customFormat="1" x14ac:dyDescent="0.25"/>
    <row r="52321" s="12" customFormat="1" x14ac:dyDescent="0.25"/>
    <row r="52322" s="12" customFormat="1" x14ac:dyDescent="0.25"/>
    <row r="52323" s="12" customFormat="1" x14ac:dyDescent="0.25"/>
    <row r="52324" s="12" customFormat="1" x14ac:dyDescent="0.25"/>
    <row r="52325" s="12" customFormat="1" x14ac:dyDescent="0.25"/>
    <row r="52326" s="12" customFormat="1" x14ac:dyDescent="0.25"/>
    <row r="52327" s="12" customFormat="1" x14ac:dyDescent="0.25"/>
    <row r="52328" s="12" customFormat="1" x14ac:dyDescent="0.25"/>
    <row r="52329" s="12" customFormat="1" x14ac:dyDescent="0.25"/>
    <row r="52330" s="12" customFormat="1" x14ac:dyDescent="0.25"/>
    <row r="52331" s="12" customFormat="1" x14ac:dyDescent="0.25"/>
    <row r="52332" s="12" customFormat="1" x14ac:dyDescent="0.25"/>
    <row r="52333" s="12" customFormat="1" x14ac:dyDescent="0.25"/>
    <row r="52334" s="12" customFormat="1" x14ac:dyDescent="0.25"/>
    <row r="52335" s="12" customFormat="1" x14ac:dyDescent="0.25"/>
    <row r="52336" s="12" customFormat="1" x14ac:dyDescent="0.25"/>
    <row r="52337" s="12" customFormat="1" x14ac:dyDescent="0.25"/>
    <row r="52338" s="12" customFormat="1" x14ac:dyDescent="0.25"/>
    <row r="52339" s="12" customFormat="1" x14ac:dyDescent="0.25"/>
    <row r="52340" s="12" customFormat="1" x14ac:dyDescent="0.25"/>
    <row r="52341" s="12" customFormat="1" x14ac:dyDescent="0.25"/>
    <row r="52342" s="12" customFormat="1" x14ac:dyDescent="0.25"/>
    <row r="52343" s="12" customFormat="1" x14ac:dyDescent="0.25"/>
    <row r="52344" s="12" customFormat="1" x14ac:dyDescent="0.25"/>
    <row r="52345" s="12" customFormat="1" x14ac:dyDescent="0.25"/>
    <row r="52346" s="12" customFormat="1" x14ac:dyDescent="0.25"/>
    <row r="52347" s="12" customFormat="1" x14ac:dyDescent="0.25"/>
    <row r="52348" s="12" customFormat="1" x14ac:dyDescent="0.25"/>
    <row r="52349" s="12" customFormat="1" x14ac:dyDescent="0.25"/>
    <row r="52350" s="12" customFormat="1" x14ac:dyDescent="0.25"/>
    <row r="52351" s="12" customFormat="1" x14ac:dyDescent="0.25"/>
    <row r="52352" s="12" customFormat="1" x14ac:dyDescent="0.25"/>
    <row r="52353" s="12" customFormat="1" x14ac:dyDescent="0.25"/>
    <row r="52354" s="12" customFormat="1" x14ac:dyDescent="0.25"/>
    <row r="52355" s="12" customFormat="1" x14ac:dyDescent="0.25"/>
    <row r="52356" s="12" customFormat="1" x14ac:dyDescent="0.25"/>
    <row r="52357" s="12" customFormat="1" x14ac:dyDescent="0.25"/>
    <row r="52358" s="12" customFormat="1" x14ac:dyDescent="0.25"/>
    <row r="52359" s="12" customFormat="1" x14ac:dyDescent="0.25"/>
    <row r="52360" s="12" customFormat="1" x14ac:dyDescent="0.25"/>
    <row r="52361" s="12" customFormat="1" x14ac:dyDescent="0.25"/>
    <row r="52362" s="12" customFormat="1" x14ac:dyDescent="0.25"/>
    <row r="52363" s="12" customFormat="1" x14ac:dyDescent="0.25"/>
    <row r="52364" s="12" customFormat="1" x14ac:dyDescent="0.25"/>
    <row r="52365" s="12" customFormat="1" x14ac:dyDescent="0.25"/>
    <row r="52366" s="12" customFormat="1" x14ac:dyDescent="0.25"/>
    <row r="52367" s="12" customFormat="1" x14ac:dyDescent="0.25"/>
    <row r="52368" s="12" customFormat="1" x14ac:dyDescent="0.25"/>
    <row r="52369" s="12" customFormat="1" x14ac:dyDescent="0.25"/>
    <row r="52370" s="12" customFormat="1" x14ac:dyDescent="0.25"/>
    <row r="52371" s="12" customFormat="1" x14ac:dyDescent="0.25"/>
    <row r="52372" s="12" customFormat="1" x14ac:dyDescent="0.25"/>
    <row r="52373" s="12" customFormat="1" x14ac:dyDescent="0.25"/>
    <row r="52374" s="12" customFormat="1" x14ac:dyDescent="0.25"/>
    <row r="52375" s="12" customFormat="1" x14ac:dyDescent="0.25"/>
    <row r="52376" s="12" customFormat="1" x14ac:dyDescent="0.25"/>
    <row r="52377" s="12" customFormat="1" x14ac:dyDescent="0.25"/>
    <row r="52378" s="12" customFormat="1" x14ac:dyDescent="0.25"/>
    <row r="52379" s="12" customFormat="1" x14ac:dyDescent="0.25"/>
    <row r="52380" s="12" customFormat="1" x14ac:dyDescent="0.25"/>
    <row r="52381" s="12" customFormat="1" x14ac:dyDescent="0.25"/>
    <row r="52382" s="12" customFormat="1" x14ac:dyDescent="0.25"/>
    <row r="52383" s="12" customFormat="1" x14ac:dyDescent="0.25"/>
    <row r="52384" s="12" customFormat="1" x14ac:dyDescent="0.25"/>
    <row r="52385" s="12" customFormat="1" x14ac:dyDescent="0.25"/>
    <row r="52386" s="12" customFormat="1" x14ac:dyDescent="0.25"/>
    <row r="52387" s="12" customFormat="1" x14ac:dyDescent="0.25"/>
    <row r="52388" s="12" customFormat="1" x14ac:dyDescent="0.25"/>
    <row r="52389" s="12" customFormat="1" x14ac:dyDescent="0.25"/>
    <row r="52390" s="12" customFormat="1" x14ac:dyDescent="0.25"/>
    <row r="52391" s="12" customFormat="1" x14ac:dyDescent="0.25"/>
    <row r="52392" s="12" customFormat="1" x14ac:dyDescent="0.25"/>
    <row r="52393" s="12" customFormat="1" x14ac:dyDescent="0.25"/>
    <row r="52394" s="12" customFormat="1" x14ac:dyDescent="0.25"/>
    <row r="52395" s="12" customFormat="1" x14ac:dyDescent="0.25"/>
    <row r="52396" s="12" customFormat="1" x14ac:dyDescent="0.25"/>
    <row r="52397" s="12" customFormat="1" x14ac:dyDescent="0.25"/>
    <row r="52398" s="12" customFormat="1" x14ac:dyDescent="0.25"/>
    <row r="52399" s="12" customFormat="1" x14ac:dyDescent="0.25"/>
    <row r="52400" s="12" customFormat="1" x14ac:dyDescent="0.25"/>
    <row r="52401" s="12" customFormat="1" x14ac:dyDescent="0.25"/>
    <row r="52402" s="12" customFormat="1" x14ac:dyDescent="0.25"/>
    <row r="52403" s="12" customFormat="1" x14ac:dyDescent="0.25"/>
    <row r="52404" s="12" customFormat="1" x14ac:dyDescent="0.25"/>
    <row r="52405" s="12" customFormat="1" x14ac:dyDescent="0.25"/>
    <row r="52406" s="12" customFormat="1" x14ac:dyDescent="0.25"/>
    <row r="52407" s="12" customFormat="1" x14ac:dyDescent="0.25"/>
    <row r="52408" s="12" customFormat="1" x14ac:dyDescent="0.25"/>
    <row r="52409" s="12" customFormat="1" x14ac:dyDescent="0.25"/>
    <row r="52410" s="12" customFormat="1" x14ac:dyDescent="0.25"/>
    <row r="52411" s="12" customFormat="1" x14ac:dyDescent="0.25"/>
    <row r="52412" s="12" customFormat="1" x14ac:dyDescent="0.25"/>
    <row r="52413" s="12" customFormat="1" x14ac:dyDescent="0.25"/>
    <row r="52414" s="12" customFormat="1" x14ac:dyDescent="0.25"/>
    <row r="52415" s="12" customFormat="1" x14ac:dyDescent="0.25"/>
    <row r="52416" s="12" customFormat="1" x14ac:dyDescent="0.25"/>
    <row r="52417" s="12" customFormat="1" x14ac:dyDescent="0.25"/>
    <row r="52418" s="12" customFormat="1" x14ac:dyDescent="0.25"/>
    <row r="52419" s="12" customFormat="1" x14ac:dyDescent="0.25"/>
    <row r="52420" s="12" customFormat="1" x14ac:dyDescent="0.25"/>
    <row r="52421" s="12" customFormat="1" x14ac:dyDescent="0.25"/>
    <row r="52422" s="12" customFormat="1" x14ac:dyDescent="0.25"/>
    <row r="52423" s="12" customFormat="1" x14ac:dyDescent="0.25"/>
    <row r="52424" s="12" customFormat="1" x14ac:dyDescent="0.25"/>
    <row r="52425" s="12" customFormat="1" x14ac:dyDescent="0.25"/>
    <row r="52426" s="12" customFormat="1" x14ac:dyDescent="0.25"/>
    <row r="52427" s="12" customFormat="1" x14ac:dyDescent="0.25"/>
    <row r="52428" s="12" customFormat="1" x14ac:dyDescent="0.25"/>
    <row r="52429" s="12" customFormat="1" x14ac:dyDescent="0.25"/>
    <row r="52430" s="12" customFormat="1" x14ac:dyDescent="0.25"/>
    <row r="52431" s="12" customFormat="1" x14ac:dyDescent="0.25"/>
    <row r="52432" s="12" customFormat="1" x14ac:dyDescent="0.25"/>
    <row r="52433" s="12" customFormat="1" x14ac:dyDescent="0.25"/>
    <row r="52434" s="12" customFormat="1" x14ac:dyDescent="0.25"/>
    <row r="52435" s="12" customFormat="1" x14ac:dyDescent="0.25"/>
    <row r="52436" s="12" customFormat="1" x14ac:dyDescent="0.25"/>
    <row r="52437" s="12" customFormat="1" x14ac:dyDescent="0.25"/>
    <row r="52438" s="12" customFormat="1" x14ac:dyDescent="0.25"/>
    <row r="52439" s="12" customFormat="1" x14ac:dyDescent="0.25"/>
    <row r="52440" s="12" customFormat="1" x14ac:dyDescent="0.25"/>
    <row r="52441" s="12" customFormat="1" x14ac:dyDescent="0.25"/>
    <row r="52442" s="12" customFormat="1" x14ac:dyDescent="0.25"/>
    <row r="52443" s="12" customFormat="1" x14ac:dyDescent="0.25"/>
    <row r="52444" s="12" customFormat="1" x14ac:dyDescent="0.25"/>
    <row r="52445" s="12" customFormat="1" x14ac:dyDescent="0.25"/>
    <row r="52446" s="12" customFormat="1" x14ac:dyDescent="0.25"/>
    <row r="52447" s="12" customFormat="1" x14ac:dyDescent="0.25"/>
    <row r="52448" s="12" customFormat="1" x14ac:dyDescent="0.25"/>
    <row r="52449" s="12" customFormat="1" x14ac:dyDescent="0.25"/>
    <row r="52450" s="12" customFormat="1" x14ac:dyDescent="0.25"/>
    <row r="52451" s="12" customFormat="1" x14ac:dyDescent="0.25"/>
    <row r="52452" s="12" customFormat="1" x14ac:dyDescent="0.25"/>
    <row r="52453" s="12" customFormat="1" x14ac:dyDescent="0.25"/>
    <row r="52454" s="12" customFormat="1" x14ac:dyDescent="0.25"/>
    <row r="52455" s="12" customFormat="1" x14ac:dyDescent="0.25"/>
    <row r="52456" s="12" customFormat="1" x14ac:dyDescent="0.25"/>
    <row r="52457" s="12" customFormat="1" x14ac:dyDescent="0.25"/>
    <row r="52458" s="12" customFormat="1" x14ac:dyDescent="0.25"/>
    <row r="52459" s="12" customFormat="1" x14ac:dyDescent="0.25"/>
    <row r="52460" s="12" customFormat="1" x14ac:dyDescent="0.25"/>
    <row r="52461" s="12" customFormat="1" x14ac:dyDescent="0.25"/>
    <row r="52462" s="12" customFormat="1" x14ac:dyDescent="0.25"/>
    <row r="52463" s="12" customFormat="1" x14ac:dyDescent="0.25"/>
    <row r="52464" s="12" customFormat="1" x14ac:dyDescent="0.25"/>
    <row r="52465" s="12" customFormat="1" x14ac:dyDescent="0.25"/>
    <row r="52466" s="12" customFormat="1" x14ac:dyDescent="0.25"/>
    <row r="52467" s="12" customFormat="1" x14ac:dyDescent="0.25"/>
    <row r="52468" s="12" customFormat="1" x14ac:dyDescent="0.25"/>
    <row r="52469" s="12" customFormat="1" x14ac:dyDescent="0.25"/>
    <row r="52470" s="12" customFormat="1" x14ac:dyDescent="0.25"/>
    <row r="52471" s="12" customFormat="1" x14ac:dyDescent="0.25"/>
    <row r="52472" s="12" customFormat="1" x14ac:dyDescent="0.25"/>
    <row r="52473" s="12" customFormat="1" x14ac:dyDescent="0.25"/>
    <row r="52474" s="12" customFormat="1" x14ac:dyDescent="0.25"/>
    <row r="52475" s="12" customFormat="1" x14ac:dyDescent="0.25"/>
    <row r="52476" s="12" customFormat="1" x14ac:dyDescent="0.25"/>
    <row r="52477" s="12" customFormat="1" x14ac:dyDescent="0.25"/>
    <row r="52478" s="12" customFormat="1" x14ac:dyDescent="0.25"/>
    <row r="52479" s="12" customFormat="1" x14ac:dyDescent="0.25"/>
    <row r="52480" s="12" customFormat="1" x14ac:dyDescent="0.25"/>
    <row r="52481" s="12" customFormat="1" x14ac:dyDescent="0.25"/>
    <row r="52482" s="12" customFormat="1" x14ac:dyDescent="0.25"/>
    <row r="52483" s="12" customFormat="1" x14ac:dyDescent="0.25"/>
    <row r="52484" s="12" customFormat="1" x14ac:dyDescent="0.25"/>
    <row r="52485" s="12" customFormat="1" x14ac:dyDescent="0.25"/>
    <row r="52486" s="12" customFormat="1" x14ac:dyDescent="0.25"/>
    <row r="52487" s="12" customFormat="1" x14ac:dyDescent="0.25"/>
    <row r="52488" s="12" customFormat="1" x14ac:dyDescent="0.25"/>
    <row r="52489" s="12" customFormat="1" x14ac:dyDescent="0.25"/>
    <row r="52490" s="12" customFormat="1" x14ac:dyDescent="0.25"/>
    <row r="52491" s="12" customFormat="1" x14ac:dyDescent="0.25"/>
    <row r="52492" s="12" customFormat="1" x14ac:dyDescent="0.25"/>
    <row r="52493" s="12" customFormat="1" x14ac:dyDescent="0.25"/>
    <row r="52494" s="12" customFormat="1" x14ac:dyDescent="0.25"/>
    <row r="52495" s="12" customFormat="1" x14ac:dyDescent="0.25"/>
    <row r="52496" s="12" customFormat="1" x14ac:dyDescent="0.25"/>
    <row r="52497" s="12" customFormat="1" x14ac:dyDescent="0.25"/>
    <row r="52498" s="12" customFormat="1" x14ac:dyDescent="0.25"/>
    <row r="52499" s="12" customFormat="1" x14ac:dyDescent="0.25"/>
    <row r="52500" s="12" customFormat="1" x14ac:dyDescent="0.25"/>
    <row r="52501" s="12" customFormat="1" x14ac:dyDescent="0.25"/>
    <row r="52502" s="12" customFormat="1" x14ac:dyDescent="0.25"/>
    <row r="52503" s="12" customFormat="1" x14ac:dyDescent="0.25"/>
    <row r="52504" s="12" customFormat="1" x14ac:dyDescent="0.25"/>
    <row r="52505" s="12" customFormat="1" x14ac:dyDescent="0.25"/>
    <row r="52506" s="12" customFormat="1" x14ac:dyDescent="0.25"/>
    <row r="52507" s="12" customFormat="1" x14ac:dyDescent="0.25"/>
    <row r="52508" s="12" customFormat="1" x14ac:dyDescent="0.25"/>
    <row r="52509" s="12" customFormat="1" x14ac:dyDescent="0.25"/>
    <row r="52510" s="12" customFormat="1" x14ac:dyDescent="0.25"/>
    <row r="52511" s="12" customFormat="1" x14ac:dyDescent="0.25"/>
    <row r="52512" s="12" customFormat="1" x14ac:dyDescent="0.25"/>
    <row r="52513" s="12" customFormat="1" x14ac:dyDescent="0.25"/>
    <row r="52514" s="12" customFormat="1" x14ac:dyDescent="0.25"/>
    <row r="52515" s="12" customFormat="1" x14ac:dyDescent="0.25"/>
    <row r="52516" s="12" customFormat="1" x14ac:dyDescent="0.25"/>
    <row r="52517" s="12" customFormat="1" x14ac:dyDescent="0.25"/>
    <row r="52518" s="12" customFormat="1" x14ac:dyDescent="0.25"/>
    <row r="52519" s="12" customFormat="1" x14ac:dyDescent="0.25"/>
    <row r="52520" s="12" customFormat="1" x14ac:dyDescent="0.25"/>
    <row r="52521" s="12" customFormat="1" x14ac:dyDescent="0.25"/>
    <row r="52522" s="12" customFormat="1" x14ac:dyDescent="0.25"/>
    <row r="52523" s="12" customFormat="1" x14ac:dyDescent="0.25"/>
    <row r="52524" s="12" customFormat="1" x14ac:dyDescent="0.25"/>
    <row r="52525" s="12" customFormat="1" x14ac:dyDescent="0.25"/>
    <row r="52526" s="12" customFormat="1" x14ac:dyDescent="0.25"/>
    <row r="52527" s="12" customFormat="1" x14ac:dyDescent="0.25"/>
    <row r="52528" s="12" customFormat="1" x14ac:dyDescent="0.25"/>
    <row r="52529" s="12" customFormat="1" x14ac:dyDescent="0.25"/>
    <row r="52530" s="12" customFormat="1" x14ac:dyDescent="0.25"/>
    <row r="52531" s="12" customFormat="1" x14ac:dyDescent="0.25"/>
    <row r="52532" s="12" customFormat="1" x14ac:dyDescent="0.25"/>
    <row r="52533" s="12" customFormat="1" x14ac:dyDescent="0.25"/>
    <row r="52534" s="12" customFormat="1" x14ac:dyDescent="0.25"/>
    <row r="52535" s="12" customFormat="1" x14ac:dyDescent="0.25"/>
    <row r="52536" s="12" customFormat="1" x14ac:dyDescent="0.25"/>
    <row r="52537" s="12" customFormat="1" x14ac:dyDescent="0.25"/>
    <row r="52538" s="12" customFormat="1" x14ac:dyDescent="0.25"/>
    <row r="52539" s="12" customFormat="1" x14ac:dyDescent="0.25"/>
    <row r="52540" s="12" customFormat="1" x14ac:dyDescent="0.25"/>
    <row r="52541" s="12" customFormat="1" x14ac:dyDescent="0.25"/>
    <row r="52542" s="12" customFormat="1" x14ac:dyDescent="0.25"/>
    <row r="52543" s="12" customFormat="1" x14ac:dyDescent="0.25"/>
    <row r="52544" s="12" customFormat="1" x14ac:dyDescent="0.25"/>
    <row r="52545" s="12" customFormat="1" x14ac:dyDescent="0.25"/>
    <row r="52546" s="12" customFormat="1" x14ac:dyDescent="0.25"/>
    <row r="52547" s="12" customFormat="1" x14ac:dyDescent="0.25"/>
    <row r="52548" s="12" customFormat="1" x14ac:dyDescent="0.25"/>
    <row r="52549" s="12" customFormat="1" x14ac:dyDescent="0.25"/>
    <row r="52550" s="12" customFormat="1" x14ac:dyDescent="0.25"/>
    <row r="52551" s="12" customFormat="1" x14ac:dyDescent="0.25"/>
    <row r="52552" s="12" customFormat="1" x14ac:dyDescent="0.25"/>
    <row r="52553" s="12" customFormat="1" x14ac:dyDescent="0.25"/>
    <row r="52554" s="12" customFormat="1" x14ac:dyDescent="0.25"/>
    <row r="52555" s="12" customFormat="1" x14ac:dyDescent="0.25"/>
    <row r="52556" s="12" customFormat="1" x14ac:dyDescent="0.25"/>
    <row r="52557" s="12" customFormat="1" x14ac:dyDescent="0.25"/>
    <row r="52558" s="12" customFormat="1" x14ac:dyDescent="0.25"/>
    <row r="52559" s="12" customFormat="1" x14ac:dyDescent="0.25"/>
    <row r="52560" s="12" customFormat="1" x14ac:dyDescent="0.25"/>
    <row r="52561" s="12" customFormat="1" x14ac:dyDescent="0.25"/>
    <row r="52562" s="12" customFormat="1" x14ac:dyDescent="0.25"/>
    <row r="52563" s="12" customFormat="1" x14ac:dyDescent="0.25"/>
    <row r="52564" s="12" customFormat="1" x14ac:dyDescent="0.25"/>
    <row r="52565" s="12" customFormat="1" x14ac:dyDescent="0.25"/>
    <row r="52566" s="12" customFormat="1" x14ac:dyDescent="0.25"/>
    <row r="52567" s="12" customFormat="1" x14ac:dyDescent="0.25"/>
    <row r="52568" s="12" customFormat="1" x14ac:dyDescent="0.25"/>
    <row r="52569" s="12" customFormat="1" x14ac:dyDescent="0.25"/>
    <row r="52570" s="12" customFormat="1" x14ac:dyDescent="0.25"/>
    <row r="52571" s="12" customFormat="1" x14ac:dyDescent="0.25"/>
    <row r="52572" s="12" customFormat="1" x14ac:dyDescent="0.25"/>
    <row r="52573" s="12" customFormat="1" x14ac:dyDescent="0.25"/>
    <row r="52574" s="12" customFormat="1" x14ac:dyDescent="0.25"/>
    <row r="52575" s="12" customFormat="1" x14ac:dyDescent="0.25"/>
    <row r="52576" s="12" customFormat="1" x14ac:dyDescent="0.25"/>
    <row r="52577" s="12" customFormat="1" x14ac:dyDescent="0.25"/>
    <row r="52578" s="12" customFormat="1" x14ac:dyDescent="0.25"/>
    <row r="52579" s="12" customFormat="1" x14ac:dyDescent="0.25"/>
    <row r="52580" s="12" customFormat="1" x14ac:dyDescent="0.25"/>
    <row r="52581" s="12" customFormat="1" x14ac:dyDescent="0.25"/>
    <row r="52582" s="12" customFormat="1" x14ac:dyDescent="0.25"/>
    <row r="52583" s="12" customFormat="1" x14ac:dyDescent="0.25"/>
    <row r="52584" s="12" customFormat="1" x14ac:dyDescent="0.25"/>
    <row r="52585" s="12" customFormat="1" x14ac:dyDescent="0.25"/>
    <row r="52586" s="12" customFormat="1" x14ac:dyDescent="0.25"/>
    <row r="52587" s="12" customFormat="1" x14ac:dyDescent="0.25"/>
    <row r="52588" s="12" customFormat="1" x14ac:dyDescent="0.25"/>
    <row r="52589" s="12" customFormat="1" x14ac:dyDescent="0.25"/>
    <row r="52590" s="12" customFormat="1" x14ac:dyDescent="0.25"/>
    <row r="52591" s="12" customFormat="1" x14ac:dyDescent="0.25"/>
    <row r="52592" s="12" customFormat="1" x14ac:dyDescent="0.25"/>
    <row r="52593" s="12" customFormat="1" x14ac:dyDescent="0.25"/>
    <row r="52594" s="12" customFormat="1" x14ac:dyDescent="0.25"/>
    <row r="52595" s="12" customFormat="1" x14ac:dyDescent="0.25"/>
    <row r="52596" s="12" customFormat="1" x14ac:dyDescent="0.25"/>
    <row r="52597" s="12" customFormat="1" x14ac:dyDescent="0.25"/>
    <row r="52598" s="12" customFormat="1" x14ac:dyDescent="0.25"/>
    <row r="52599" s="12" customFormat="1" x14ac:dyDescent="0.25"/>
    <row r="52600" s="12" customFormat="1" x14ac:dyDescent="0.25"/>
    <row r="52601" s="12" customFormat="1" x14ac:dyDescent="0.25"/>
    <row r="52602" s="12" customFormat="1" x14ac:dyDescent="0.25"/>
    <row r="52603" s="12" customFormat="1" x14ac:dyDescent="0.25"/>
    <row r="52604" s="12" customFormat="1" x14ac:dyDescent="0.25"/>
    <row r="52605" s="12" customFormat="1" x14ac:dyDescent="0.25"/>
    <row r="52606" s="12" customFormat="1" x14ac:dyDescent="0.25"/>
    <row r="52607" s="12" customFormat="1" x14ac:dyDescent="0.25"/>
    <row r="52608" s="12" customFormat="1" x14ac:dyDescent="0.25"/>
    <row r="52609" s="12" customFormat="1" x14ac:dyDescent="0.25"/>
    <row r="52610" s="12" customFormat="1" x14ac:dyDescent="0.25"/>
    <row r="52611" s="12" customFormat="1" x14ac:dyDescent="0.25"/>
    <row r="52612" s="12" customFormat="1" x14ac:dyDescent="0.25"/>
    <row r="52613" s="12" customFormat="1" x14ac:dyDescent="0.25"/>
    <row r="52614" s="12" customFormat="1" x14ac:dyDescent="0.25"/>
    <row r="52615" s="12" customFormat="1" x14ac:dyDescent="0.25"/>
    <row r="52616" s="12" customFormat="1" x14ac:dyDescent="0.25"/>
    <row r="52617" s="12" customFormat="1" x14ac:dyDescent="0.25"/>
    <row r="52618" s="12" customFormat="1" x14ac:dyDescent="0.25"/>
    <row r="52619" s="12" customFormat="1" x14ac:dyDescent="0.25"/>
    <row r="52620" s="12" customFormat="1" x14ac:dyDescent="0.25"/>
    <row r="52621" s="12" customFormat="1" x14ac:dyDescent="0.25"/>
    <row r="52622" s="12" customFormat="1" x14ac:dyDescent="0.25"/>
    <row r="52623" s="12" customFormat="1" x14ac:dyDescent="0.25"/>
    <row r="52624" s="12" customFormat="1" x14ac:dyDescent="0.25"/>
    <row r="52625" s="12" customFormat="1" x14ac:dyDescent="0.25"/>
    <row r="52626" s="12" customFormat="1" x14ac:dyDescent="0.25"/>
    <row r="52627" s="12" customFormat="1" x14ac:dyDescent="0.25"/>
    <row r="52628" s="12" customFormat="1" x14ac:dyDescent="0.25"/>
    <row r="52629" s="12" customFormat="1" x14ac:dyDescent="0.25"/>
    <row r="52630" s="12" customFormat="1" x14ac:dyDescent="0.25"/>
    <row r="52631" s="12" customFormat="1" x14ac:dyDescent="0.25"/>
    <row r="52632" s="12" customFormat="1" x14ac:dyDescent="0.25"/>
    <row r="52633" s="12" customFormat="1" x14ac:dyDescent="0.25"/>
    <row r="52634" s="12" customFormat="1" x14ac:dyDescent="0.25"/>
    <row r="52635" s="12" customFormat="1" x14ac:dyDescent="0.25"/>
    <row r="52636" s="12" customFormat="1" x14ac:dyDescent="0.25"/>
    <row r="52637" s="12" customFormat="1" x14ac:dyDescent="0.25"/>
    <row r="52638" s="12" customFormat="1" x14ac:dyDescent="0.25"/>
    <row r="52639" s="12" customFormat="1" x14ac:dyDescent="0.25"/>
    <row r="52640" s="12" customFormat="1" x14ac:dyDescent="0.25"/>
    <row r="52641" s="12" customFormat="1" x14ac:dyDescent="0.25"/>
    <row r="52642" s="12" customFormat="1" x14ac:dyDescent="0.25"/>
    <row r="52643" s="12" customFormat="1" x14ac:dyDescent="0.25"/>
    <row r="52644" s="12" customFormat="1" x14ac:dyDescent="0.25"/>
    <row r="52645" s="12" customFormat="1" x14ac:dyDescent="0.25"/>
    <row r="52646" s="12" customFormat="1" x14ac:dyDescent="0.25"/>
    <row r="52647" s="12" customFormat="1" x14ac:dyDescent="0.25"/>
    <row r="52648" s="12" customFormat="1" x14ac:dyDescent="0.25"/>
    <row r="52649" s="12" customFormat="1" x14ac:dyDescent="0.25"/>
    <row r="52650" s="12" customFormat="1" x14ac:dyDescent="0.25"/>
    <row r="52651" s="12" customFormat="1" x14ac:dyDescent="0.25"/>
    <row r="52652" s="12" customFormat="1" x14ac:dyDescent="0.25"/>
    <row r="52653" s="12" customFormat="1" x14ac:dyDescent="0.25"/>
    <row r="52654" s="12" customFormat="1" x14ac:dyDescent="0.25"/>
    <row r="52655" s="12" customFormat="1" x14ac:dyDescent="0.25"/>
    <row r="52656" s="12" customFormat="1" x14ac:dyDescent="0.25"/>
    <row r="52657" s="12" customFormat="1" x14ac:dyDescent="0.25"/>
    <row r="52658" s="12" customFormat="1" x14ac:dyDescent="0.25"/>
    <row r="52659" s="12" customFormat="1" x14ac:dyDescent="0.25"/>
    <row r="52660" s="12" customFormat="1" x14ac:dyDescent="0.25"/>
    <row r="52661" s="12" customFormat="1" x14ac:dyDescent="0.25"/>
    <row r="52662" s="12" customFormat="1" x14ac:dyDescent="0.25"/>
    <row r="52663" s="12" customFormat="1" x14ac:dyDescent="0.25"/>
    <row r="52664" s="12" customFormat="1" x14ac:dyDescent="0.25"/>
    <row r="52665" s="12" customFormat="1" x14ac:dyDescent="0.25"/>
    <row r="52666" s="12" customFormat="1" x14ac:dyDescent="0.25"/>
    <row r="52667" s="12" customFormat="1" x14ac:dyDescent="0.25"/>
    <row r="52668" s="12" customFormat="1" x14ac:dyDescent="0.25"/>
    <row r="52669" s="12" customFormat="1" x14ac:dyDescent="0.25"/>
    <row r="52670" s="12" customFormat="1" x14ac:dyDescent="0.25"/>
    <row r="52671" s="12" customFormat="1" x14ac:dyDescent="0.25"/>
    <row r="52672" s="12" customFormat="1" x14ac:dyDescent="0.25"/>
    <row r="52673" s="12" customFormat="1" x14ac:dyDescent="0.25"/>
    <row r="52674" s="12" customFormat="1" x14ac:dyDescent="0.25"/>
    <row r="52675" s="12" customFormat="1" x14ac:dyDescent="0.25"/>
    <row r="52676" s="12" customFormat="1" x14ac:dyDescent="0.25"/>
    <row r="52677" s="12" customFormat="1" x14ac:dyDescent="0.25"/>
    <row r="52678" s="12" customFormat="1" x14ac:dyDescent="0.25"/>
    <row r="52679" s="12" customFormat="1" x14ac:dyDescent="0.25"/>
    <row r="52680" s="12" customFormat="1" x14ac:dyDescent="0.25"/>
    <row r="52681" s="12" customFormat="1" x14ac:dyDescent="0.25"/>
    <row r="52682" s="12" customFormat="1" x14ac:dyDescent="0.25"/>
    <row r="52683" s="12" customFormat="1" x14ac:dyDescent="0.25"/>
    <row r="52684" s="12" customFormat="1" x14ac:dyDescent="0.25"/>
    <row r="52685" s="12" customFormat="1" x14ac:dyDescent="0.25"/>
    <row r="52686" s="12" customFormat="1" x14ac:dyDescent="0.25"/>
    <row r="52687" s="12" customFormat="1" x14ac:dyDescent="0.25"/>
    <row r="52688" s="12" customFormat="1" x14ac:dyDescent="0.25"/>
    <row r="52689" s="12" customFormat="1" x14ac:dyDescent="0.25"/>
    <row r="52690" s="12" customFormat="1" x14ac:dyDescent="0.25"/>
    <row r="52691" s="12" customFormat="1" x14ac:dyDescent="0.25"/>
    <row r="52692" s="12" customFormat="1" x14ac:dyDescent="0.25"/>
    <row r="52693" s="12" customFormat="1" x14ac:dyDescent="0.25"/>
    <row r="52694" s="12" customFormat="1" x14ac:dyDescent="0.25"/>
    <row r="52695" s="12" customFormat="1" x14ac:dyDescent="0.25"/>
    <row r="52696" s="12" customFormat="1" x14ac:dyDescent="0.25"/>
    <row r="52697" s="12" customFormat="1" x14ac:dyDescent="0.25"/>
    <row r="52698" s="12" customFormat="1" x14ac:dyDescent="0.25"/>
    <row r="52699" s="12" customFormat="1" x14ac:dyDescent="0.25"/>
    <row r="52700" s="12" customFormat="1" x14ac:dyDescent="0.25"/>
    <row r="52701" s="12" customFormat="1" x14ac:dyDescent="0.25"/>
    <row r="52702" s="12" customFormat="1" x14ac:dyDescent="0.25"/>
    <row r="52703" s="12" customFormat="1" x14ac:dyDescent="0.25"/>
    <row r="52704" s="12" customFormat="1" x14ac:dyDescent="0.25"/>
    <row r="52705" s="12" customFormat="1" x14ac:dyDescent="0.25"/>
    <row r="52706" s="12" customFormat="1" x14ac:dyDescent="0.25"/>
    <row r="52707" s="12" customFormat="1" x14ac:dyDescent="0.25"/>
    <row r="52708" s="12" customFormat="1" x14ac:dyDescent="0.25"/>
    <row r="52709" s="12" customFormat="1" x14ac:dyDescent="0.25"/>
    <row r="52710" s="12" customFormat="1" x14ac:dyDescent="0.25"/>
    <row r="52711" s="12" customFormat="1" x14ac:dyDescent="0.25"/>
    <row r="52712" s="12" customFormat="1" x14ac:dyDescent="0.25"/>
    <row r="52713" s="12" customFormat="1" x14ac:dyDescent="0.25"/>
    <row r="52714" s="12" customFormat="1" x14ac:dyDescent="0.25"/>
    <row r="52715" s="12" customFormat="1" x14ac:dyDescent="0.25"/>
    <row r="52716" s="12" customFormat="1" x14ac:dyDescent="0.25"/>
    <row r="52717" s="12" customFormat="1" x14ac:dyDescent="0.25"/>
    <row r="52718" s="12" customFormat="1" x14ac:dyDescent="0.25"/>
    <row r="52719" s="12" customFormat="1" x14ac:dyDescent="0.25"/>
    <row r="52720" s="12" customFormat="1" x14ac:dyDescent="0.25"/>
    <row r="52721" s="12" customFormat="1" x14ac:dyDescent="0.25"/>
    <row r="52722" s="12" customFormat="1" x14ac:dyDescent="0.25"/>
    <row r="52723" s="12" customFormat="1" x14ac:dyDescent="0.25"/>
    <row r="52724" s="12" customFormat="1" x14ac:dyDescent="0.25"/>
    <row r="52725" s="12" customFormat="1" x14ac:dyDescent="0.25"/>
    <row r="52726" s="12" customFormat="1" x14ac:dyDescent="0.25"/>
    <row r="52727" s="12" customFormat="1" x14ac:dyDescent="0.25"/>
    <row r="52728" s="12" customFormat="1" x14ac:dyDescent="0.25"/>
    <row r="52729" s="12" customFormat="1" x14ac:dyDescent="0.25"/>
    <row r="52730" s="12" customFormat="1" x14ac:dyDescent="0.25"/>
    <row r="52731" s="12" customFormat="1" x14ac:dyDescent="0.25"/>
    <row r="52732" s="12" customFormat="1" x14ac:dyDescent="0.25"/>
    <row r="52733" s="12" customFormat="1" x14ac:dyDescent="0.25"/>
    <row r="52734" s="12" customFormat="1" x14ac:dyDescent="0.25"/>
    <row r="52735" s="12" customFormat="1" x14ac:dyDescent="0.25"/>
    <row r="52736" s="12" customFormat="1" x14ac:dyDescent="0.25"/>
    <row r="52737" s="12" customFormat="1" x14ac:dyDescent="0.25"/>
    <row r="52738" s="12" customFormat="1" x14ac:dyDescent="0.25"/>
    <row r="52739" s="12" customFormat="1" x14ac:dyDescent="0.25"/>
    <row r="52740" s="12" customFormat="1" x14ac:dyDescent="0.25"/>
    <row r="52741" s="12" customFormat="1" x14ac:dyDescent="0.25"/>
    <row r="52742" s="12" customFormat="1" x14ac:dyDescent="0.25"/>
    <row r="52743" s="12" customFormat="1" x14ac:dyDescent="0.25"/>
    <row r="52744" s="12" customFormat="1" x14ac:dyDescent="0.25"/>
    <row r="52745" s="12" customFormat="1" x14ac:dyDescent="0.25"/>
    <row r="52746" s="12" customFormat="1" x14ac:dyDescent="0.25"/>
    <row r="52747" s="12" customFormat="1" x14ac:dyDescent="0.25"/>
    <row r="52748" s="12" customFormat="1" x14ac:dyDescent="0.25"/>
    <row r="52749" s="12" customFormat="1" x14ac:dyDescent="0.25"/>
    <row r="52750" s="12" customFormat="1" x14ac:dyDescent="0.25"/>
    <row r="52751" s="12" customFormat="1" x14ac:dyDescent="0.25"/>
    <row r="52752" s="12" customFormat="1" x14ac:dyDescent="0.25"/>
    <row r="52753" s="12" customFormat="1" x14ac:dyDescent="0.25"/>
    <row r="52754" s="12" customFormat="1" x14ac:dyDescent="0.25"/>
    <row r="52755" s="12" customFormat="1" x14ac:dyDescent="0.25"/>
    <row r="52756" s="12" customFormat="1" x14ac:dyDescent="0.25"/>
    <row r="52757" s="12" customFormat="1" x14ac:dyDescent="0.25"/>
    <row r="52758" s="12" customFormat="1" x14ac:dyDescent="0.25"/>
    <row r="52759" s="12" customFormat="1" x14ac:dyDescent="0.25"/>
    <row r="52760" s="12" customFormat="1" x14ac:dyDescent="0.25"/>
    <row r="52761" s="12" customFormat="1" x14ac:dyDescent="0.25"/>
    <row r="52762" s="12" customFormat="1" x14ac:dyDescent="0.25"/>
    <row r="52763" s="12" customFormat="1" x14ac:dyDescent="0.25"/>
    <row r="52764" s="12" customFormat="1" x14ac:dyDescent="0.25"/>
    <row r="52765" s="12" customFormat="1" x14ac:dyDescent="0.25"/>
    <row r="52766" s="12" customFormat="1" x14ac:dyDescent="0.25"/>
    <row r="52767" s="12" customFormat="1" x14ac:dyDescent="0.25"/>
    <row r="52768" s="12" customFormat="1" x14ac:dyDescent="0.25"/>
    <row r="52769" s="12" customFormat="1" x14ac:dyDescent="0.25"/>
    <row r="52770" s="12" customFormat="1" x14ac:dyDescent="0.25"/>
    <row r="52771" s="12" customFormat="1" x14ac:dyDescent="0.25"/>
    <row r="52772" s="12" customFormat="1" x14ac:dyDescent="0.25"/>
    <row r="52773" s="12" customFormat="1" x14ac:dyDescent="0.25"/>
    <row r="52774" s="12" customFormat="1" x14ac:dyDescent="0.25"/>
    <row r="52775" s="12" customFormat="1" x14ac:dyDescent="0.25"/>
    <row r="52776" s="12" customFormat="1" x14ac:dyDescent="0.25"/>
    <row r="52777" s="12" customFormat="1" x14ac:dyDescent="0.25"/>
    <row r="52778" s="12" customFormat="1" x14ac:dyDescent="0.25"/>
    <row r="52779" s="12" customFormat="1" x14ac:dyDescent="0.25"/>
    <row r="52780" s="12" customFormat="1" x14ac:dyDescent="0.25"/>
    <row r="52781" s="12" customFormat="1" x14ac:dyDescent="0.25"/>
    <row r="52782" s="12" customFormat="1" x14ac:dyDescent="0.25"/>
    <row r="52783" s="12" customFormat="1" x14ac:dyDescent="0.25"/>
    <row r="52784" s="12" customFormat="1" x14ac:dyDescent="0.25"/>
    <row r="52785" s="12" customFormat="1" x14ac:dyDescent="0.25"/>
    <row r="52786" s="12" customFormat="1" x14ac:dyDescent="0.25"/>
    <row r="52787" s="12" customFormat="1" x14ac:dyDescent="0.25"/>
    <row r="52788" s="12" customFormat="1" x14ac:dyDescent="0.25"/>
    <row r="52789" s="12" customFormat="1" x14ac:dyDescent="0.25"/>
    <row r="52790" s="12" customFormat="1" x14ac:dyDescent="0.25"/>
    <row r="52791" s="12" customFormat="1" x14ac:dyDescent="0.25"/>
    <row r="52792" s="12" customFormat="1" x14ac:dyDescent="0.25"/>
    <row r="52793" s="12" customFormat="1" x14ac:dyDescent="0.25"/>
    <row r="52794" s="12" customFormat="1" x14ac:dyDescent="0.25"/>
    <row r="52795" s="12" customFormat="1" x14ac:dyDescent="0.25"/>
    <row r="52796" s="12" customFormat="1" x14ac:dyDescent="0.25"/>
    <row r="52797" s="12" customFormat="1" x14ac:dyDescent="0.25"/>
    <row r="52798" s="12" customFormat="1" x14ac:dyDescent="0.25"/>
    <row r="52799" s="12" customFormat="1" x14ac:dyDescent="0.25"/>
    <row r="52800" s="12" customFormat="1" x14ac:dyDescent="0.25"/>
    <row r="52801" s="12" customFormat="1" x14ac:dyDescent="0.25"/>
    <row r="52802" s="12" customFormat="1" x14ac:dyDescent="0.25"/>
    <row r="52803" s="12" customFormat="1" x14ac:dyDescent="0.25"/>
    <row r="52804" s="12" customFormat="1" x14ac:dyDescent="0.25"/>
    <row r="52805" s="12" customFormat="1" x14ac:dyDescent="0.25"/>
    <row r="52806" s="12" customFormat="1" x14ac:dyDescent="0.25"/>
    <row r="52807" s="12" customFormat="1" x14ac:dyDescent="0.25"/>
    <row r="52808" s="12" customFormat="1" x14ac:dyDescent="0.25"/>
    <row r="52809" s="12" customFormat="1" x14ac:dyDescent="0.25"/>
    <row r="52810" s="12" customFormat="1" x14ac:dyDescent="0.25"/>
    <row r="52811" s="12" customFormat="1" x14ac:dyDescent="0.25"/>
    <row r="52812" s="12" customFormat="1" x14ac:dyDescent="0.25"/>
    <row r="52813" s="12" customFormat="1" x14ac:dyDescent="0.25"/>
    <row r="52814" s="12" customFormat="1" x14ac:dyDescent="0.25"/>
    <row r="52815" s="12" customFormat="1" x14ac:dyDescent="0.25"/>
    <row r="52816" s="12" customFormat="1" x14ac:dyDescent="0.25"/>
    <row r="52817" s="12" customFormat="1" x14ac:dyDescent="0.25"/>
    <row r="52818" s="12" customFormat="1" x14ac:dyDescent="0.25"/>
    <row r="52819" s="12" customFormat="1" x14ac:dyDescent="0.25"/>
    <row r="52820" s="12" customFormat="1" x14ac:dyDescent="0.25"/>
    <row r="52821" s="12" customFormat="1" x14ac:dyDescent="0.25"/>
    <row r="52822" s="12" customFormat="1" x14ac:dyDescent="0.25"/>
    <row r="52823" s="12" customFormat="1" x14ac:dyDescent="0.25"/>
    <row r="52824" s="12" customFormat="1" x14ac:dyDescent="0.25"/>
    <row r="52825" s="12" customFormat="1" x14ac:dyDescent="0.25"/>
    <row r="52826" s="12" customFormat="1" x14ac:dyDescent="0.25"/>
    <row r="52827" s="12" customFormat="1" x14ac:dyDescent="0.25"/>
    <row r="52828" s="12" customFormat="1" x14ac:dyDescent="0.25"/>
    <row r="52829" s="12" customFormat="1" x14ac:dyDescent="0.25"/>
    <row r="52830" s="12" customFormat="1" x14ac:dyDescent="0.25"/>
    <row r="52831" s="12" customFormat="1" x14ac:dyDescent="0.25"/>
    <row r="52832" s="12" customFormat="1" x14ac:dyDescent="0.25"/>
    <row r="52833" s="12" customFormat="1" x14ac:dyDescent="0.25"/>
    <row r="52834" s="12" customFormat="1" x14ac:dyDescent="0.25"/>
    <row r="52835" s="12" customFormat="1" x14ac:dyDescent="0.25"/>
    <row r="52836" s="12" customFormat="1" x14ac:dyDescent="0.25"/>
    <row r="52837" s="12" customFormat="1" x14ac:dyDescent="0.25"/>
    <row r="52838" s="12" customFormat="1" x14ac:dyDescent="0.25"/>
    <row r="52839" s="12" customFormat="1" x14ac:dyDescent="0.25"/>
    <row r="52840" s="12" customFormat="1" x14ac:dyDescent="0.25"/>
    <row r="52841" s="12" customFormat="1" x14ac:dyDescent="0.25"/>
    <row r="52842" s="12" customFormat="1" x14ac:dyDescent="0.25"/>
    <row r="52843" s="12" customFormat="1" x14ac:dyDescent="0.25"/>
    <row r="52844" s="12" customFormat="1" x14ac:dyDescent="0.25"/>
    <row r="52845" s="12" customFormat="1" x14ac:dyDescent="0.25"/>
    <row r="52846" s="12" customFormat="1" x14ac:dyDescent="0.25"/>
    <row r="52847" s="12" customFormat="1" x14ac:dyDescent="0.25"/>
    <row r="52848" s="12" customFormat="1" x14ac:dyDescent="0.25"/>
    <row r="52849" s="12" customFormat="1" x14ac:dyDescent="0.25"/>
    <row r="52850" s="12" customFormat="1" x14ac:dyDescent="0.25"/>
    <row r="52851" s="12" customFormat="1" x14ac:dyDescent="0.25"/>
    <row r="52852" s="12" customFormat="1" x14ac:dyDescent="0.25"/>
    <row r="52853" s="12" customFormat="1" x14ac:dyDescent="0.25"/>
    <row r="52854" s="12" customFormat="1" x14ac:dyDescent="0.25"/>
    <row r="52855" s="12" customFormat="1" x14ac:dyDescent="0.25"/>
    <row r="52856" s="12" customFormat="1" x14ac:dyDescent="0.25"/>
    <row r="52857" s="12" customFormat="1" x14ac:dyDescent="0.25"/>
    <row r="52858" s="12" customFormat="1" x14ac:dyDescent="0.25"/>
    <row r="52859" s="12" customFormat="1" x14ac:dyDescent="0.25"/>
    <row r="52860" s="12" customFormat="1" x14ac:dyDescent="0.25"/>
    <row r="52861" s="12" customFormat="1" x14ac:dyDescent="0.25"/>
    <row r="52862" s="12" customFormat="1" x14ac:dyDescent="0.25"/>
    <row r="52863" s="12" customFormat="1" x14ac:dyDescent="0.25"/>
    <row r="52864" s="12" customFormat="1" x14ac:dyDescent="0.25"/>
    <row r="52865" s="12" customFormat="1" x14ac:dyDescent="0.25"/>
    <row r="52866" s="12" customFormat="1" x14ac:dyDescent="0.25"/>
    <row r="52867" s="12" customFormat="1" x14ac:dyDescent="0.25"/>
    <row r="52868" s="12" customFormat="1" x14ac:dyDescent="0.25"/>
    <row r="52869" s="12" customFormat="1" x14ac:dyDescent="0.25"/>
    <row r="52870" s="12" customFormat="1" x14ac:dyDescent="0.25"/>
    <row r="52871" s="12" customFormat="1" x14ac:dyDescent="0.25"/>
    <row r="52872" s="12" customFormat="1" x14ac:dyDescent="0.25"/>
    <row r="52873" s="12" customFormat="1" x14ac:dyDescent="0.25"/>
    <row r="52874" s="12" customFormat="1" x14ac:dyDescent="0.25"/>
    <row r="52875" s="12" customFormat="1" x14ac:dyDescent="0.25"/>
    <row r="52876" s="12" customFormat="1" x14ac:dyDescent="0.25"/>
    <row r="52877" s="12" customFormat="1" x14ac:dyDescent="0.25"/>
    <row r="52878" s="12" customFormat="1" x14ac:dyDescent="0.25"/>
    <row r="52879" s="12" customFormat="1" x14ac:dyDescent="0.25"/>
    <row r="52880" s="12" customFormat="1" x14ac:dyDescent="0.25"/>
    <row r="52881" s="12" customFormat="1" x14ac:dyDescent="0.25"/>
    <row r="52882" s="12" customFormat="1" x14ac:dyDescent="0.25"/>
    <row r="52883" s="12" customFormat="1" x14ac:dyDescent="0.25"/>
    <row r="52884" s="12" customFormat="1" x14ac:dyDescent="0.25"/>
    <row r="52885" s="12" customFormat="1" x14ac:dyDescent="0.25"/>
    <row r="52886" s="12" customFormat="1" x14ac:dyDescent="0.25"/>
    <row r="52887" s="12" customFormat="1" x14ac:dyDescent="0.25"/>
    <row r="52888" s="12" customFormat="1" x14ac:dyDescent="0.25"/>
    <row r="52889" s="12" customFormat="1" x14ac:dyDescent="0.25"/>
    <row r="52890" s="12" customFormat="1" x14ac:dyDescent="0.25"/>
    <row r="52891" s="12" customFormat="1" x14ac:dyDescent="0.25"/>
    <row r="52892" s="12" customFormat="1" x14ac:dyDescent="0.25"/>
    <row r="52893" s="12" customFormat="1" x14ac:dyDescent="0.25"/>
    <row r="52894" s="12" customFormat="1" x14ac:dyDescent="0.25"/>
    <row r="52895" s="12" customFormat="1" x14ac:dyDescent="0.25"/>
    <row r="52896" s="12" customFormat="1" x14ac:dyDescent="0.25"/>
    <row r="52897" s="12" customFormat="1" x14ac:dyDescent="0.25"/>
    <row r="52898" s="12" customFormat="1" x14ac:dyDescent="0.25"/>
    <row r="52899" s="12" customFormat="1" x14ac:dyDescent="0.25"/>
    <row r="52900" s="12" customFormat="1" x14ac:dyDescent="0.25"/>
    <row r="52901" s="12" customFormat="1" x14ac:dyDescent="0.25"/>
    <row r="52902" s="12" customFormat="1" x14ac:dyDescent="0.25"/>
    <row r="52903" s="12" customFormat="1" x14ac:dyDescent="0.25"/>
    <row r="52904" s="12" customFormat="1" x14ac:dyDescent="0.25"/>
    <row r="52905" s="12" customFormat="1" x14ac:dyDescent="0.25"/>
    <row r="52906" s="12" customFormat="1" x14ac:dyDescent="0.25"/>
    <row r="52907" s="12" customFormat="1" x14ac:dyDescent="0.25"/>
    <row r="52908" s="12" customFormat="1" x14ac:dyDescent="0.25"/>
    <row r="52909" s="12" customFormat="1" x14ac:dyDescent="0.25"/>
    <row r="52910" s="12" customFormat="1" x14ac:dyDescent="0.25"/>
    <row r="52911" s="12" customFormat="1" x14ac:dyDescent="0.25"/>
    <row r="52912" s="12" customFormat="1" x14ac:dyDescent="0.25"/>
    <row r="52913" s="12" customFormat="1" x14ac:dyDescent="0.25"/>
    <row r="52914" s="12" customFormat="1" x14ac:dyDescent="0.25"/>
    <row r="52915" s="12" customFormat="1" x14ac:dyDescent="0.25"/>
    <row r="52916" s="12" customFormat="1" x14ac:dyDescent="0.25"/>
    <row r="52917" s="12" customFormat="1" x14ac:dyDescent="0.25"/>
    <row r="52918" s="12" customFormat="1" x14ac:dyDescent="0.25"/>
    <row r="52919" s="12" customFormat="1" x14ac:dyDescent="0.25"/>
    <row r="52920" s="12" customFormat="1" x14ac:dyDescent="0.25"/>
    <row r="52921" s="12" customFormat="1" x14ac:dyDescent="0.25"/>
    <row r="52922" s="12" customFormat="1" x14ac:dyDescent="0.25"/>
    <row r="52923" s="12" customFormat="1" x14ac:dyDescent="0.25"/>
    <row r="52924" s="12" customFormat="1" x14ac:dyDescent="0.25"/>
    <row r="52925" s="12" customFormat="1" x14ac:dyDescent="0.25"/>
    <row r="52926" s="12" customFormat="1" x14ac:dyDescent="0.25"/>
    <row r="52927" s="12" customFormat="1" x14ac:dyDescent="0.25"/>
    <row r="52928" s="12" customFormat="1" x14ac:dyDescent="0.25"/>
    <row r="52929" s="12" customFormat="1" x14ac:dyDescent="0.25"/>
    <row r="52930" s="12" customFormat="1" x14ac:dyDescent="0.25"/>
    <row r="52931" s="12" customFormat="1" x14ac:dyDescent="0.25"/>
    <row r="52932" s="12" customFormat="1" x14ac:dyDescent="0.25"/>
    <row r="52933" s="12" customFormat="1" x14ac:dyDescent="0.25"/>
    <row r="52934" s="12" customFormat="1" x14ac:dyDescent="0.25"/>
    <row r="52935" s="12" customFormat="1" x14ac:dyDescent="0.25"/>
    <row r="52936" s="12" customFormat="1" x14ac:dyDescent="0.25"/>
    <row r="52937" s="12" customFormat="1" x14ac:dyDescent="0.25"/>
    <row r="52938" s="12" customFormat="1" x14ac:dyDescent="0.25"/>
    <row r="52939" s="12" customFormat="1" x14ac:dyDescent="0.25"/>
    <row r="52940" s="12" customFormat="1" x14ac:dyDescent="0.25"/>
    <row r="52941" s="12" customFormat="1" x14ac:dyDescent="0.25"/>
    <row r="52942" s="12" customFormat="1" x14ac:dyDescent="0.25"/>
    <row r="52943" s="12" customFormat="1" x14ac:dyDescent="0.25"/>
    <row r="52944" s="12" customFormat="1" x14ac:dyDescent="0.25"/>
    <row r="52945" s="12" customFormat="1" x14ac:dyDescent="0.25"/>
    <row r="52946" s="12" customFormat="1" x14ac:dyDescent="0.25"/>
    <row r="52947" s="12" customFormat="1" x14ac:dyDescent="0.25"/>
    <row r="52948" s="12" customFormat="1" x14ac:dyDescent="0.25"/>
    <row r="52949" s="12" customFormat="1" x14ac:dyDescent="0.25"/>
    <row r="52950" s="12" customFormat="1" x14ac:dyDescent="0.25"/>
    <row r="52951" s="12" customFormat="1" x14ac:dyDescent="0.25"/>
    <row r="52952" s="12" customFormat="1" x14ac:dyDescent="0.25"/>
    <row r="52953" s="12" customFormat="1" x14ac:dyDescent="0.25"/>
    <row r="52954" s="12" customFormat="1" x14ac:dyDescent="0.25"/>
    <row r="52955" s="12" customFormat="1" x14ac:dyDescent="0.25"/>
    <row r="52956" s="12" customFormat="1" x14ac:dyDescent="0.25"/>
    <row r="52957" s="12" customFormat="1" x14ac:dyDescent="0.25"/>
    <row r="52958" s="12" customFormat="1" x14ac:dyDescent="0.25"/>
    <row r="52959" s="12" customFormat="1" x14ac:dyDescent="0.25"/>
    <row r="52960" s="12" customFormat="1" x14ac:dyDescent="0.25"/>
    <row r="52961" s="12" customFormat="1" x14ac:dyDescent="0.25"/>
    <row r="52962" s="12" customFormat="1" x14ac:dyDescent="0.25"/>
    <row r="52963" s="12" customFormat="1" x14ac:dyDescent="0.25"/>
    <row r="52964" s="12" customFormat="1" x14ac:dyDescent="0.25"/>
    <row r="52965" s="12" customFormat="1" x14ac:dyDescent="0.25"/>
    <row r="52966" s="12" customFormat="1" x14ac:dyDescent="0.25"/>
    <row r="52967" s="12" customFormat="1" x14ac:dyDescent="0.25"/>
    <row r="52968" s="12" customFormat="1" x14ac:dyDescent="0.25"/>
    <row r="52969" s="12" customFormat="1" x14ac:dyDescent="0.25"/>
    <row r="52970" s="12" customFormat="1" x14ac:dyDescent="0.25"/>
    <row r="52971" s="12" customFormat="1" x14ac:dyDescent="0.25"/>
    <row r="52972" s="12" customFormat="1" x14ac:dyDescent="0.25"/>
    <row r="52973" s="12" customFormat="1" x14ac:dyDescent="0.25"/>
    <row r="52974" s="12" customFormat="1" x14ac:dyDescent="0.25"/>
    <row r="52975" s="12" customFormat="1" x14ac:dyDescent="0.25"/>
    <row r="52976" s="12" customFormat="1" x14ac:dyDescent="0.25"/>
    <row r="52977" s="12" customFormat="1" x14ac:dyDescent="0.25"/>
    <row r="52978" s="12" customFormat="1" x14ac:dyDescent="0.25"/>
    <row r="52979" s="12" customFormat="1" x14ac:dyDescent="0.25"/>
    <row r="52980" s="12" customFormat="1" x14ac:dyDescent="0.25"/>
    <row r="52981" s="12" customFormat="1" x14ac:dyDescent="0.25"/>
    <row r="52982" s="12" customFormat="1" x14ac:dyDescent="0.25"/>
    <row r="52983" s="12" customFormat="1" x14ac:dyDescent="0.25"/>
    <row r="52984" s="12" customFormat="1" x14ac:dyDescent="0.25"/>
    <row r="52985" s="12" customFormat="1" x14ac:dyDescent="0.25"/>
    <row r="52986" s="12" customFormat="1" x14ac:dyDescent="0.25"/>
    <row r="52987" s="12" customFormat="1" x14ac:dyDescent="0.25"/>
    <row r="52988" s="12" customFormat="1" x14ac:dyDescent="0.25"/>
    <row r="52989" s="12" customFormat="1" x14ac:dyDescent="0.25"/>
    <row r="52990" s="12" customFormat="1" x14ac:dyDescent="0.25"/>
    <row r="52991" s="12" customFormat="1" x14ac:dyDescent="0.25"/>
    <row r="52992" s="12" customFormat="1" x14ac:dyDescent="0.25"/>
    <row r="52993" s="12" customFormat="1" x14ac:dyDescent="0.25"/>
    <row r="52994" s="12" customFormat="1" x14ac:dyDescent="0.25"/>
    <row r="52995" s="12" customFormat="1" x14ac:dyDescent="0.25"/>
    <row r="52996" s="12" customFormat="1" x14ac:dyDescent="0.25"/>
    <row r="52997" s="12" customFormat="1" x14ac:dyDescent="0.25"/>
    <row r="52998" s="12" customFormat="1" x14ac:dyDescent="0.25"/>
    <row r="52999" s="12" customFormat="1" x14ac:dyDescent="0.25"/>
    <row r="53000" s="12" customFormat="1" x14ac:dyDescent="0.25"/>
    <row r="53001" s="12" customFormat="1" x14ac:dyDescent="0.25"/>
    <row r="53002" s="12" customFormat="1" x14ac:dyDescent="0.25"/>
    <row r="53003" s="12" customFormat="1" x14ac:dyDescent="0.25"/>
    <row r="53004" s="12" customFormat="1" x14ac:dyDescent="0.25"/>
    <row r="53005" s="12" customFormat="1" x14ac:dyDescent="0.25"/>
    <row r="53006" s="12" customFormat="1" x14ac:dyDescent="0.25"/>
    <row r="53007" s="12" customFormat="1" x14ac:dyDescent="0.25"/>
    <row r="53008" s="12" customFormat="1" x14ac:dyDescent="0.25"/>
    <row r="53009" s="12" customFormat="1" x14ac:dyDescent="0.25"/>
    <row r="53010" s="12" customFormat="1" x14ac:dyDescent="0.25"/>
    <row r="53011" s="12" customFormat="1" x14ac:dyDescent="0.25"/>
    <row r="53012" s="12" customFormat="1" x14ac:dyDescent="0.25"/>
    <row r="53013" s="12" customFormat="1" x14ac:dyDescent="0.25"/>
    <row r="53014" s="12" customFormat="1" x14ac:dyDescent="0.25"/>
    <row r="53015" s="12" customFormat="1" x14ac:dyDescent="0.25"/>
    <row r="53016" s="12" customFormat="1" x14ac:dyDescent="0.25"/>
    <row r="53017" s="12" customFormat="1" x14ac:dyDescent="0.25"/>
    <row r="53018" s="12" customFormat="1" x14ac:dyDescent="0.25"/>
    <row r="53019" s="12" customFormat="1" x14ac:dyDescent="0.25"/>
    <row r="53020" s="12" customFormat="1" x14ac:dyDescent="0.25"/>
    <row r="53021" s="12" customFormat="1" x14ac:dyDescent="0.25"/>
    <row r="53022" s="12" customFormat="1" x14ac:dyDescent="0.25"/>
    <row r="53023" s="12" customFormat="1" x14ac:dyDescent="0.25"/>
    <row r="53024" s="12" customFormat="1" x14ac:dyDescent="0.25"/>
    <row r="53025" s="12" customFormat="1" x14ac:dyDescent="0.25"/>
    <row r="53026" s="12" customFormat="1" x14ac:dyDescent="0.25"/>
    <row r="53027" s="12" customFormat="1" x14ac:dyDescent="0.25"/>
    <row r="53028" s="12" customFormat="1" x14ac:dyDescent="0.25"/>
    <row r="53029" s="12" customFormat="1" x14ac:dyDescent="0.25"/>
    <row r="53030" s="12" customFormat="1" x14ac:dyDescent="0.25"/>
    <row r="53031" s="12" customFormat="1" x14ac:dyDescent="0.25"/>
    <row r="53032" s="12" customFormat="1" x14ac:dyDescent="0.25"/>
    <row r="53033" s="12" customFormat="1" x14ac:dyDescent="0.25"/>
    <row r="53034" s="12" customFormat="1" x14ac:dyDescent="0.25"/>
    <row r="53035" s="12" customFormat="1" x14ac:dyDescent="0.25"/>
    <row r="53036" s="12" customFormat="1" x14ac:dyDescent="0.25"/>
    <row r="53037" s="12" customFormat="1" x14ac:dyDescent="0.25"/>
    <row r="53038" s="12" customFormat="1" x14ac:dyDescent="0.25"/>
    <row r="53039" s="12" customFormat="1" x14ac:dyDescent="0.25"/>
    <row r="53040" s="12" customFormat="1" x14ac:dyDescent="0.25"/>
    <row r="53041" s="12" customFormat="1" x14ac:dyDescent="0.25"/>
    <row r="53042" s="12" customFormat="1" x14ac:dyDescent="0.25"/>
    <row r="53043" s="12" customFormat="1" x14ac:dyDescent="0.25"/>
    <row r="53044" s="12" customFormat="1" x14ac:dyDescent="0.25"/>
    <row r="53045" s="12" customFormat="1" x14ac:dyDescent="0.25"/>
    <row r="53046" s="12" customFormat="1" x14ac:dyDescent="0.25"/>
    <row r="53047" s="12" customFormat="1" x14ac:dyDescent="0.25"/>
    <row r="53048" s="12" customFormat="1" x14ac:dyDescent="0.25"/>
    <row r="53049" s="12" customFormat="1" x14ac:dyDescent="0.25"/>
    <row r="53050" s="12" customFormat="1" x14ac:dyDescent="0.25"/>
    <row r="53051" s="12" customFormat="1" x14ac:dyDescent="0.25"/>
    <row r="53052" s="12" customFormat="1" x14ac:dyDescent="0.25"/>
    <row r="53053" s="12" customFormat="1" x14ac:dyDescent="0.25"/>
    <row r="53054" s="12" customFormat="1" x14ac:dyDescent="0.25"/>
    <row r="53055" s="12" customFormat="1" x14ac:dyDescent="0.25"/>
    <row r="53056" s="12" customFormat="1" x14ac:dyDescent="0.25"/>
    <row r="53057" s="12" customFormat="1" x14ac:dyDescent="0.25"/>
    <row r="53058" s="12" customFormat="1" x14ac:dyDescent="0.25"/>
    <row r="53059" s="12" customFormat="1" x14ac:dyDescent="0.25"/>
    <row r="53060" s="12" customFormat="1" x14ac:dyDescent="0.25"/>
    <row r="53061" s="12" customFormat="1" x14ac:dyDescent="0.25"/>
    <row r="53062" s="12" customFormat="1" x14ac:dyDescent="0.25"/>
    <row r="53063" s="12" customFormat="1" x14ac:dyDescent="0.25"/>
    <row r="53064" s="12" customFormat="1" x14ac:dyDescent="0.25"/>
    <row r="53065" s="12" customFormat="1" x14ac:dyDescent="0.25"/>
    <row r="53066" s="12" customFormat="1" x14ac:dyDescent="0.25"/>
    <row r="53067" s="12" customFormat="1" x14ac:dyDescent="0.25"/>
    <row r="53068" s="12" customFormat="1" x14ac:dyDescent="0.25"/>
    <row r="53069" s="12" customFormat="1" x14ac:dyDescent="0.25"/>
    <row r="53070" s="12" customFormat="1" x14ac:dyDescent="0.25"/>
    <row r="53071" s="12" customFormat="1" x14ac:dyDescent="0.25"/>
    <row r="53072" s="12" customFormat="1" x14ac:dyDescent="0.25"/>
    <row r="53073" s="12" customFormat="1" x14ac:dyDescent="0.25"/>
    <row r="53074" s="12" customFormat="1" x14ac:dyDescent="0.25"/>
    <row r="53075" s="12" customFormat="1" x14ac:dyDescent="0.25"/>
    <row r="53076" s="12" customFormat="1" x14ac:dyDescent="0.25"/>
    <row r="53077" s="12" customFormat="1" x14ac:dyDescent="0.25"/>
    <row r="53078" s="12" customFormat="1" x14ac:dyDescent="0.25"/>
    <row r="53079" s="12" customFormat="1" x14ac:dyDescent="0.25"/>
    <row r="53080" s="12" customFormat="1" x14ac:dyDescent="0.25"/>
    <row r="53081" s="12" customFormat="1" x14ac:dyDescent="0.25"/>
    <row r="53082" s="12" customFormat="1" x14ac:dyDescent="0.25"/>
    <row r="53083" s="12" customFormat="1" x14ac:dyDescent="0.25"/>
    <row r="53084" s="12" customFormat="1" x14ac:dyDescent="0.25"/>
    <row r="53085" s="12" customFormat="1" x14ac:dyDescent="0.25"/>
    <row r="53086" s="12" customFormat="1" x14ac:dyDescent="0.25"/>
    <row r="53087" s="12" customFormat="1" x14ac:dyDescent="0.25"/>
    <row r="53088" s="12" customFormat="1" x14ac:dyDescent="0.25"/>
    <row r="53089" s="12" customFormat="1" x14ac:dyDescent="0.25"/>
    <row r="53090" s="12" customFormat="1" x14ac:dyDescent="0.25"/>
    <row r="53091" s="12" customFormat="1" x14ac:dyDescent="0.25"/>
    <row r="53092" s="12" customFormat="1" x14ac:dyDescent="0.25"/>
    <row r="53093" s="12" customFormat="1" x14ac:dyDescent="0.25"/>
    <row r="53094" s="12" customFormat="1" x14ac:dyDescent="0.25"/>
    <row r="53095" s="12" customFormat="1" x14ac:dyDescent="0.25"/>
    <row r="53096" s="12" customFormat="1" x14ac:dyDescent="0.25"/>
    <row r="53097" s="12" customFormat="1" x14ac:dyDescent="0.25"/>
    <row r="53098" s="12" customFormat="1" x14ac:dyDescent="0.25"/>
    <row r="53099" s="12" customFormat="1" x14ac:dyDescent="0.25"/>
    <row r="53100" s="12" customFormat="1" x14ac:dyDescent="0.25"/>
    <row r="53101" s="12" customFormat="1" x14ac:dyDescent="0.25"/>
    <row r="53102" s="12" customFormat="1" x14ac:dyDescent="0.25"/>
    <row r="53103" s="12" customFormat="1" x14ac:dyDescent="0.25"/>
    <row r="53104" s="12" customFormat="1" x14ac:dyDescent="0.25"/>
    <row r="53105" s="12" customFormat="1" x14ac:dyDescent="0.25"/>
    <row r="53106" s="12" customFormat="1" x14ac:dyDescent="0.25"/>
    <row r="53107" s="12" customFormat="1" x14ac:dyDescent="0.25"/>
    <row r="53108" s="12" customFormat="1" x14ac:dyDescent="0.25"/>
    <row r="53109" s="12" customFormat="1" x14ac:dyDescent="0.25"/>
    <row r="53110" s="12" customFormat="1" x14ac:dyDescent="0.25"/>
    <row r="53111" s="12" customFormat="1" x14ac:dyDescent="0.25"/>
    <row r="53112" s="12" customFormat="1" x14ac:dyDescent="0.25"/>
    <row r="53113" s="12" customFormat="1" x14ac:dyDescent="0.25"/>
    <row r="53114" s="12" customFormat="1" x14ac:dyDescent="0.25"/>
    <row r="53115" s="12" customFormat="1" x14ac:dyDescent="0.25"/>
    <row r="53116" s="12" customFormat="1" x14ac:dyDescent="0.25"/>
    <row r="53117" s="12" customFormat="1" x14ac:dyDescent="0.25"/>
    <row r="53118" s="12" customFormat="1" x14ac:dyDescent="0.25"/>
    <row r="53119" s="12" customFormat="1" x14ac:dyDescent="0.25"/>
    <row r="53120" s="12" customFormat="1" x14ac:dyDescent="0.25"/>
    <row r="53121" s="12" customFormat="1" x14ac:dyDescent="0.25"/>
    <row r="53122" s="12" customFormat="1" x14ac:dyDescent="0.25"/>
    <row r="53123" s="12" customFormat="1" x14ac:dyDescent="0.25"/>
    <row r="53124" s="12" customFormat="1" x14ac:dyDescent="0.25"/>
    <row r="53125" s="12" customFormat="1" x14ac:dyDescent="0.25"/>
    <row r="53126" s="12" customFormat="1" x14ac:dyDescent="0.25"/>
    <row r="53127" s="12" customFormat="1" x14ac:dyDescent="0.25"/>
    <row r="53128" s="12" customFormat="1" x14ac:dyDescent="0.25"/>
    <row r="53129" s="12" customFormat="1" x14ac:dyDescent="0.25"/>
    <row r="53130" s="12" customFormat="1" x14ac:dyDescent="0.25"/>
    <row r="53131" s="12" customFormat="1" x14ac:dyDescent="0.25"/>
    <row r="53132" s="12" customFormat="1" x14ac:dyDescent="0.25"/>
    <row r="53133" s="12" customFormat="1" x14ac:dyDescent="0.25"/>
    <row r="53134" s="12" customFormat="1" x14ac:dyDescent="0.25"/>
    <row r="53135" s="12" customFormat="1" x14ac:dyDescent="0.25"/>
    <row r="53136" s="12" customFormat="1" x14ac:dyDescent="0.25"/>
    <row r="53137" s="12" customFormat="1" x14ac:dyDescent="0.25"/>
    <row r="53138" s="12" customFormat="1" x14ac:dyDescent="0.25"/>
    <row r="53139" s="12" customFormat="1" x14ac:dyDescent="0.25"/>
    <row r="53140" s="12" customFormat="1" x14ac:dyDescent="0.25"/>
    <row r="53141" s="12" customFormat="1" x14ac:dyDescent="0.25"/>
    <row r="53142" s="12" customFormat="1" x14ac:dyDescent="0.25"/>
    <row r="53143" s="12" customFormat="1" x14ac:dyDescent="0.25"/>
    <row r="53144" s="12" customFormat="1" x14ac:dyDescent="0.25"/>
    <row r="53145" s="12" customFormat="1" x14ac:dyDescent="0.25"/>
    <row r="53146" s="12" customFormat="1" x14ac:dyDescent="0.25"/>
    <row r="53147" s="12" customFormat="1" x14ac:dyDescent="0.25"/>
    <row r="53148" s="12" customFormat="1" x14ac:dyDescent="0.25"/>
    <row r="53149" s="12" customFormat="1" x14ac:dyDescent="0.25"/>
    <row r="53150" s="12" customFormat="1" x14ac:dyDescent="0.25"/>
    <row r="53151" s="12" customFormat="1" x14ac:dyDescent="0.25"/>
    <row r="53152" s="12" customFormat="1" x14ac:dyDescent="0.25"/>
    <row r="53153" s="12" customFormat="1" x14ac:dyDescent="0.25"/>
    <row r="53154" s="12" customFormat="1" x14ac:dyDescent="0.25"/>
    <row r="53155" s="12" customFormat="1" x14ac:dyDescent="0.25"/>
    <row r="53156" s="12" customFormat="1" x14ac:dyDescent="0.25"/>
    <row r="53157" s="12" customFormat="1" x14ac:dyDescent="0.25"/>
    <row r="53158" s="12" customFormat="1" x14ac:dyDescent="0.25"/>
    <row r="53159" s="12" customFormat="1" x14ac:dyDescent="0.25"/>
    <row r="53160" s="12" customFormat="1" x14ac:dyDescent="0.25"/>
    <row r="53161" s="12" customFormat="1" x14ac:dyDescent="0.25"/>
    <row r="53162" s="12" customFormat="1" x14ac:dyDescent="0.25"/>
    <row r="53163" s="12" customFormat="1" x14ac:dyDescent="0.25"/>
    <row r="53164" s="12" customFormat="1" x14ac:dyDescent="0.25"/>
    <row r="53165" s="12" customFormat="1" x14ac:dyDescent="0.25"/>
    <row r="53166" s="12" customFormat="1" x14ac:dyDescent="0.25"/>
    <row r="53167" s="12" customFormat="1" x14ac:dyDescent="0.25"/>
    <row r="53168" s="12" customFormat="1" x14ac:dyDescent="0.25"/>
    <row r="53169" s="12" customFormat="1" x14ac:dyDescent="0.25"/>
    <row r="53170" s="12" customFormat="1" x14ac:dyDescent="0.25"/>
    <row r="53171" s="12" customFormat="1" x14ac:dyDescent="0.25"/>
    <row r="53172" s="12" customFormat="1" x14ac:dyDescent="0.25"/>
    <row r="53173" s="12" customFormat="1" x14ac:dyDescent="0.25"/>
    <row r="53174" s="12" customFormat="1" x14ac:dyDescent="0.25"/>
    <row r="53175" s="12" customFormat="1" x14ac:dyDescent="0.25"/>
    <row r="53176" s="12" customFormat="1" x14ac:dyDescent="0.25"/>
    <row r="53177" s="12" customFormat="1" x14ac:dyDescent="0.25"/>
    <row r="53178" s="12" customFormat="1" x14ac:dyDescent="0.25"/>
    <row r="53179" s="12" customFormat="1" x14ac:dyDescent="0.25"/>
    <row r="53180" s="12" customFormat="1" x14ac:dyDescent="0.25"/>
    <row r="53181" s="12" customFormat="1" x14ac:dyDescent="0.25"/>
    <row r="53182" s="12" customFormat="1" x14ac:dyDescent="0.25"/>
    <row r="53183" s="12" customFormat="1" x14ac:dyDescent="0.25"/>
    <row r="53184" s="12" customFormat="1" x14ac:dyDescent="0.25"/>
    <row r="53185" s="12" customFormat="1" x14ac:dyDescent="0.25"/>
    <row r="53186" s="12" customFormat="1" x14ac:dyDescent="0.25"/>
    <row r="53187" s="12" customFormat="1" x14ac:dyDescent="0.25"/>
    <row r="53188" s="12" customFormat="1" x14ac:dyDescent="0.25"/>
    <row r="53189" s="12" customFormat="1" x14ac:dyDescent="0.25"/>
    <row r="53190" s="12" customFormat="1" x14ac:dyDescent="0.25"/>
    <row r="53191" s="12" customFormat="1" x14ac:dyDescent="0.25"/>
    <row r="53192" s="12" customFormat="1" x14ac:dyDescent="0.25"/>
    <row r="53193" s="12" customFormat="1" x14ac:dyDescent="0.25"/>
    <row r="53194" s="12" customFormat="1" x14ac:dyDescent="0.25"/>
    <row r="53195" s="12" customFormat="1" x14ac:dyDescent="0.25"/>
    <row r="53196" s="12" customFormat="1" x14ac:dyDescent="0.25"/>
    <row r="53197" s="12" customFormat="1" x14ac:dyDescent="0.25"/>
    <row r="53198" s="12" customFormat="1" x14ac:dyDescent="0.25"/>
    <row r="53199" s="12" customFormat="1" x14ac:dyDescent="0.25"/>
    <row r="53200" s="12" customFormat="1" x14ac:dyDescent="0.25"/>
    <row r="53201" s="12" customFormat="1" x14ac:dyDescent="0.25"/>
    <row r="53202" s="12" customFormat="1" x14ac:dyDescent="0.25"/>
    <row r="53203" s="12" customFormat="1" x14ac:dyDescent="0.25"/>
    <row r="53204" s="12" customFormat="1" x14ac:dyDescent="0.25"/>
    <row r="53205" s="12" customFormat="1" x14ac:dyDescent="0.25"/>
    <row r="53206" s="12" customFormat="1" x14ac:dyDescent="0.25"/>
    <row r="53207" s="12" customFormat="1" x14ac:dyDescent="0.25"/>
    <row r="53208" s="12" customFormat="1" x14ac:dyDescent="0.25"/>
    <row r="53209" s="12" customFormat="1" x14ac:dyDescent="0.25"/>
    <row r="53210" s="12" customFormat="1" x14ac:dyDescent="0.25"/>
    <row r="53211" s="12" customFormat="1" x14ac:dyDescent="0.25"/>
    <row r="53212" s="12" customFormat="1" x14ac:dyDescent="0.25"/>
    <row r="53213" s="12" customFormat="1" x14ac:dyDescent="0.25"/>
    <row r="53214" s="12" customFormat="1" x14ac:dyDescent="0.25"/>
    <row r="53215" s="12" customFormat="1" x14ac:dyDescent="0.25"/>
    <row r="53216" s="12" customFormat="1" x14ac:dyDescent="0.25"/>
    <row r="53217" s="12" customFormat="1" x14ac:dyDescent="0.25"/>
    <row r="53218" s="12" customFormat="1" x14ac:dyDescent="0.25"/>
    <row r="53219" s="12" customFormat="1" x14ac:dyDescent="0.25"/>
    <row r="53220" s="12" customFormat="1" x14ac:dyDescent="0.25"/>
    <row r="53221" s="12" customFormat="1" x14ac:dyDescent="0.25"/>
    <row r="53222" s="12" customFormat="1" x14ac:dyDescent="0.25"/>
    <row r="53223" s="12" customFormat="1" x14ac:dyDescent="0.25"/>
    <row r="53224" s="12" customFormat="1" x14ac:dyDescent="0.25"/>
    <row r="53225" s="12" customFormat="1" x14ac:dyDescent="0.25"/>
    <row r="53226" s="12" customFormat="1" x14ac:dyDescent="0.25"/>
    <row r="53227" s="12" customFormat="1" x14ac:dyDescent="0.25"/>
    <row r="53228" s="12" customFormat="1" x14ac:dyDescent="0.25"/>
    <row r="53229" s="12" customFormat="1" x14ac:dyDescent="0.25"/>
    <row r="53230" s="12" customFormat="1" x14ac:dyDescent="0.25"/>
    <row r="53231" s="12" customFormat="1" x14ac:dyDescent="0.25"/>
    <row r="53232" s="12" customFormat="1" x14ac:dyDescent="0.25"/>
    <row r="53233" s="12" customFormat="1" x14ac:dyDescent="0.25"/>
    <row r="53234" s="12" customFormat="1" x14ac:dyDescent="0.25"/>
    <row r="53235" s="12" customFormat="1" x14ac:dyDescent="0.25"/>
    <row r="53236" s="12" customFormat="1" x14ac:dyDescent="0.25"/>
    <row r="53237" s="12" customFormat="1" x14ac:dyDescent="0.25"/>
    <row r="53238" s="12" customFormat="1" x14ac:dyDescent="0.25"/>
    <row r="53239" s="12" customFormat="1" x14ac:dyDescent="0.25"/>
    <row r="53240" s="12" customFormat="1" x14ac:dyDescent="0.25"/>
    <row r="53241" s="12" customFormat="1" x14ac:dyDescent="0.25"/>
    <row r="53242" s="12" customFormat="1" x14ac:dyDescent="0.25"/>
    <row r="53243" s="12" customFormat="1" x14ac:dyDescent="0.25"/>
    <row r="53244" s="12" customFormat="1" x14ac:dyDescent="0.25"/>
    <row r="53245" s="12" customFormat="1" x14ac:dyDescent="0.25"/>
    <row r="53246" s="12" customFormat="1" x14ac:dyDescent="0.25"/>
    <row r="53247" s="12" customFormat="1" x14ac:dyDescent="0.25"/>
    <row r="53248" s="12" customFormat="1" x14ac:dyDescent="0.25"/>
    <row r="53249" s="12" customFormat="1" x14ac:dyDescent="0.25"/>
    <row r="53250" s="12" customFormat="1" x14ac:dyDescent="0.25"/>
    <row r="53251" s="12" customFormat="1" x14ac:dyDescent="0.25"/>
    <row r="53252" s="12" customFormat="1" x14ac:dyDescent="0.25"/>
    <row r="53253" s="12" customFormat="1" x14ac:dyDescent="0.25"/>
    <row r="53254" s="12" customFormat="1" x14ac:dyDescent="0.25"/>
    <row r="53255" s="12" customFormat="1" x14ac:dyDescent="0.25"/>
    <row r="53256" s="12" customFormat="1" x14ac:dyDescent="0.25"/>
    <row r="53257" s="12" customFormat="1" x14ac:dyDescent="0.25"/>
    <row r="53258" s="12" customFormat="1" x14ac:dyDescent="0.25"/>
    <row r="53259" s="12" customFormat="1" x14ac:dyDescent="0.25"/>
    <row r="53260" s="12" customFormat="1" x14ac:dyDescent="0.25"/>
    <row r="53261" s="12" customFormat="1" x14ac:dyDescent="0.25"/>
    <row r="53262" s="12" customFormat="1" x14ac:dyDescent="0.25"/>
    <row r="53263" s="12" customFormat="1" x14ac:dyDescent="0.25"/>
    <row r="53264" s="12" customFormat="1" x14ac:dyDescent="0.25"/>
    <row r="53265" s="12" customFormat="1" x14ac:dyDescent="0.25"/>
    <row r="53266" s="12" customFormat="1" x14ac:dyDescent="0.25"/>
    <row r="53267" s="12" customFormat="1" x14ac:dyDescent="0.25"/>
    <row r="53268" s="12" customFormat="1" x14ac:dyDescent="0.25"/>
    <row r="53269" s="12" customFormat="1" x14ac:dyDescent="0.25"/>
    <row r="53270" s="12" customFormat="1" x14ac:dyDescent="0.25"/>
    <row r="53271" s="12" customFormat="1" x14ac:dyDescent="0.25"/>
    <row r="53272" s="12" customFormat="1" x14ac:dyDescent="0.25"/>
    <row r="53273" s="12" customFormat="1" x14ac:dyDescent="0.25"/>
    <row r="53274" s="12" customFormat="1" x14ac:dyDescent="0.25"/>
    <row r="53275" s="12" customFormat="1" x14ac:dyDescent="0.25"/>
    <row r="53276" s="12" customFormat="1" x14ac:dyDescent="0.25"/>
    <row r="53277" s="12" customFormat="1" x14ac:dyDescent="0.25"/>
    <row r="53278" s="12" customFormat="1" x14ac:dyDescent="0.25"/>
    <row r="53279" s="12" customFormat="1" x14ac:dyDescent="0.25"/>
    <row r="53280" s="12" customFormat="1" x14ac:dyDescent="0.25"/>
    <row r="53281" s="12" customFormat="1" x14ac:dyDescent="0.25"/>
    <row r="53282" s="12" customFormat="1" x14ac:dyDescent="0.25"/>
    <row r="53283" s="12" customFormat="1" x14ac:dyDescent="0.25"/>
    <row r="53284" s="12" customFormat="1" x14ac:dyDescent="0.25"/>
    <row r="53285" s="12" customFormat="1" x14ac:dyDescent="0.25"/>
    <row r="53286" s="12" customFormat="1" x14ac:dyDescent="0.25"/>
    <row r="53287" s="12" customFormat="1" x14ac:dyDescent="0.25"/>
    <row r="53288" s="12" customFormat="1" x14ac:dyDescent="0.25"/>
    <row r="53289" s="12" customFormat="1" x14ac:dyDescent="0.25"/>
    <row r="53290" s="12" customFormat="1" x14ac:dyDescent="0.25"/>
    <row r="53291" s="12" customFormat="1" x14ac:dyDescent="0.25"/>
    <row r="53292" s="12" customFormat="1" x14ac:dyDescent="0.25"/>
    <row r="53293" s="12" customFormat="1" x14ac:dyDescent="0.25"/>
    <row r="53294" s="12" customFormat="1" x14ac:dyDescent="0.25"/>
    <row r="53295" s="12" customFormat="1" x14ac:dyDescent="0.25"/>
    <row r="53296" s="12" customFormat="1" x14ac:dyDescent="0.25"/>
    <row r="53297" s="12" customFormat="1" x14ac:dyDescent="0.25"/>
    <row r="53298" s="12" customFormat="1" x14ac:dyDescent="0.25"/>
    <row r="53299" s="12" customFormat="1" x14ac:dyDescent="0.25"/>
    <row r="53300" s="12" customFormat="1" x14ac:dyDescent="0.25"/>
    <row r="53301" s="12" customFormat="1" x14ac:dyDescent="0.25"/>
    <row r="53302" s="12" customFormat="1" x14ac:dyDescent="0.25"/>
    <row r="53303" s="12" customFormat="1" x14ac:dyDescent="0.25"/>
    <row r="53304" s="12" customFormat="1" x14ac:dyDescent="0.25"/>
    <row r="53305" s="12" customFormat="1" x14ac:dyDescent="0.25"/>
    <row r="53306" s="12" customFormat="1" x14ac:dyDescent="0.25"/>
    <row r="53307" s="12" customFormat="1" x14ac:dyDescent="0.25"/>
    <row r="53308" s="12" customFormat="1" x14ac:dyDescent="0.25"/>
    <row r="53309" s="12" customFormat="1" x14ac:dyDescent="0.25"/>
    <row r="53310" s="12" customFormat="1" x14ac:dyDescent="0.25"/>
    <row r="53311" s="12" customFormat="1" x14ac:dyDescent="0.25"/>
    <row r="53312" s="12" customFormat="1" x14ac:dyDescent="0.25"/>
    <row r="53313" s="12" customFormat="1" x14ac:dyDescent="0.25"/>
    <row r="53314" s="12" customFormat="1" x14ac:dyDescent="0.25"/>
    <row r="53315" s="12" customFormat="1" x14ac:dyDescent="0.25"/>
    <row r="53316" s="12" customFormat="1" x14ac:dyDescent="0.25"/>
    <row r="53317" s="12" customFormat="1" x14ac:dyDescent="0.25"/>
    <row r="53318" s="12" customFormat="1" x14ac:dyDescent="0.25"/>
    <row r="53319" s="12" customFormat="1" x14ac:dyDescent="0.25"/>
    <row r="53320" s="12" customFormat="1" x14ac:dyDescent="0.25"/>
    <row r="53321" s="12" customFormat="1" x14ac:dyDescent="0.25"/>
    <row r="53322" s="12" customFormat="1" x14ac:dyDescent="0.25"/>
    <row r="53323" s="12" customFormat="1" x14ac:dyDescent="0.25"/>
    <row r="53324" s="12" customFormat="1" x14ac:dyDescent="0.25"/>
    <row r="53325" s="12" customFormat="1" x14ac:dyDescent="0.25"/>
    <row r="53326" s="12" customFormat="1" x14ac:dyDescent="0.25"/>
    <row r="53327" s="12" customFormat="1" x14ac:dyDescent="0.25"/>
    <row r="53328" s="12" customFormat="1" x14ac:dyDescent="0.25"/>
    <row r="53329" s="12" customFormat="1" x14ac:dyDescent="0.25"/>
    <row r="53330" s="12" customFormat="1" x14ac:dyDescent="0.25"/>
    <row r="53331" s="12" customFormat="1" x14ac:dyDescent="0.25"/>
    <row r="53332" s="12" customFormat="1" x14ac:dyDescent="0.25"/>
    <row r="53333" s="12" customFormat="1" x14ac:dyDescent="0.25"/>
    <row r="53334" s="12" customFormat="1" x14ac:dyDescent="0.25"/>
    <row r="53335" s="12" customFormat="1" x14ac:dyDescent="0.25"/>
    <row r="53336" s="12" customFormat="1" x14ac:dyDescent="0.25"/>
    <row r="53337" s="12" customFormat="1" x14ac:dyDescent="0.25"/>
    <row r="53338" s="12" customFormat="1" x14ac:dyDescent="0.25"/>
    <row r="53339" s="12" customFormat="1" x14ac:dyDescent="0.25"/>
    <row r="53340" s="12" customFormat="1" x14ac:dyDescent="0.25"/>
    <row r="53341" s="12" customFormat="1" x14ac:dyDescent="0.25"/>
    <row r="53342" s="12" customFormat="1" x14ac:dyDescent="0.25"/>
    <row r="53343" s="12" customFormat="1" x14ac:dyDescent="0.25"/>
    <row r="53344" s="12" customFormat="1" x14ac:dyDescent="0.25"/>
    <row r="53345" s="12" customFormat="1" x14ac:dyDescent="0.25"/>
    <row r="53346" s="12" customFormat="1" x14ac:dyDescent="0.25"/>
    <row r="53347" s="12" customFormat="1" x14ac:dyDescent="0.25"/>
    <row r="53348" s="12" customFormat="1" x14ac:dyDescent="0.25"/>
    <row r="53349" s="12" customFormat="1" x14ac:dyDescent="0.25"/>
    <row r="53350" s="12" customFormat="1" x14ac:dyDescent="0.25"/>
    <row r="53351" s="12" customFormat="1" x14ac:dyDescent="0.25"/>
    <row r="53352" s="12" customFormat="1" x14ac:dyDescent="0.25"/>
    <row r="53353" s="12" customFormat="1" x14ac:dyDescent="0.25"/>
    <row r="53354" s="12" customFormat="1" x14ac:dyDescent="0.25"/>
    <row r="53355" s="12" customFormat="1" x14ac:dyDescent="0.25"/>
    <row r="53356" s="12" customFormat="1" x14ac:dyDescent="0.25"/>
    <row r="53357" s="12" customFormat="1" x14ac:dyDescent="0.25"/>
    <row r="53358" s="12" customFormat="1" x14ac:dyDescent="0.25"/>
    <row r="53359" s="12" customFormat="1" x14ac:dyDescent="0.25"/>
    <row r="53360" s="12" customFormat="1" x14ac:dyDescent="0.25"/>
    <row r="53361" s="12" customFormat="1" x14ac:dyDescent="0.25"/>
    <row r="53362" s="12" customFormat="1" x14ac:dyDescent="0.25"/>
    <row r="53363" s="12" customFormat="1" x14ac:dyDescent="0.25"/>
    <row r="53364" s="12" customFormat="1" x14ac:dyDescent="0.25"/>
    <row r="53365" s="12" customFormat="1" x14ac:dyDescent="0.25"/>
    <row r="53366" s="12" customFormat="1" x14ac:dyDescent="0.25"/>
    <row r="53367" s="12" customFormat="1" x14ac:dyDescent="0.25"/>
    <row r="53368" s="12" customFormat="1" x14ac:dyDescent="0.25"/>
    <row r="53369" s="12" customFormat="1" x14ac:dyDescent="0.25"/>
    <row r="53370" s="12" customFormat="1" x14ac:dyDescent="0.25"/>
    <row r="53371" s="12" customFormat="1" x14ac:dyDescent="0.25"/>
    <row r="53372" s="12" customFormat="1" x14ac:dyDescent="0.25"/>
    <row r="53373" s="12" customFormat="1" x14ac:dyDescent="0.25"/>
    <row r="53374" s="12" customFormat="1" x14ac:dyDescent="0.25"/>
    <row r="53375" s="12" customFormat="1" x14ac:dyDescent="0.25"/>
    <row r="53376" s="12" customFormat="1" x14ac:dyDescent="0.25"/>
    <row r="53377" s="12" customFormat="1" x14ac:dyDescent="0.25"/>
    <row r="53378" s="12" customFormat="1" x14ac:dyDescent="0.25"/>
    <row r="53379" s="12" customFormat="1" x14ac:dyDescent="0.25"/>
    <row r="53380" s="12" customFormat="1" x14ac:dyDescent="0.25"/>
    <row r="53381" s="12" customFormat="1" x14ac:dyDescent="0.25"/>
    <row r="53382" s="12" customFormat="1" x14ac:dyDescent="0.25"/>
    <row r="53383" s="12" customFormat="1" x14ac:dyDescent="0.25"/>
    <row r="53384" s="12" customFormat="1" x14ac:dyDescent="0.25"/>
    <row r="53385" s="12" customFormat="1" x14ac:dyDescent="0.25"/>
    <row r="53386" s="12" customFormat="1" x14ac:dyDescent="0.25"/>
    <row r="53387" s="12" customFormat="1" x14ac:dyDescent="0.25"/>
    <row r="53388" s="12" customFormat="1" x14ac:dyDescent="0.25"/>
    <row r="53389" s="12" customFormat="1" x14ac:dyDescent="0.25"/>
    <row r="53390" s="12" customFormat="1" x14ac:dyDescent="0.25"/>
    <row r="53391" s="12" customFormat="1" x14ac:dyDescent="0.25"/>
    <row r="53392" s="12" customFormat="1" x14ac:dyDescent="0.25"/>
    <row r="53393" s="12" customFormat="1" x14ac:dyDescent="0.25"/>
    <row r="53394" s="12" customFormat="1" x14ac:dyDescent="0.25"/>
    <row r="53395" s="12" customFormat="1" x14ac:dyDescent="0.25"/>
    <row r="53396" s="12" customFormat="1" x14ac:dyDescent="0.25"/>
    <row r="53397" s="12" customFormat="1" x14ac:dyDescent="0.25"/>
    <row r="53398" s="12" customFormat="1" x14ac:dyDescent="0.25"/>
    <row r="53399" s="12" customFormat="1" x14ac:dyDescent="0.25"/>
    <row r="53400" s="12" customFormat="1" x14ac:dyDescent="0.25"/>
    <row r="53401" s="12" customFormat="1" x14ac:dyDescent="0.25"/>
    <row r="53402" s="12" customFormat="1" x14ac:dyDescent="0.25"/>
    <row r="53403" s="12" customFormat="1" x14ac:dyDescent="0.25"/>
    <row r="53404" s="12" customFormat="1" x14ac:dyDescent="0.25"/>
    <row r="53405" s="12" customFormat="1" x14ac:dyDescent="0.25"/>
    <row r="53406" s="12" customFormat="1" x14ac:dyDescent="0.25"/>
    <row r="53407" s="12" customFormat="1" x14ac:dyDescent="0.25"/>
    <row r="53408" s="12" customFormat="1" x14ac:dyDescent="0.25"/>
    <row r="53409" s="12" customFormat="1" x14ac:dyDescent="0.25"/>
    <row r="53410" s="12" customFormat="1" x14ac:dyDescent="0.25"/>
    <row r="53411" s="12" customFormat="1" x14ac:dyDescent="0.25"/>
    <row r="53412" s="12" customFormat="1" x14ac:dyDescent="0.25"/>
    <row r="53413" s="12" customFormat="1" x14ac:dyDescent="0.25"/>
    <row r="53414" s="12" customFormat="1" x14ac:dyDescent="0.25"/>
    <row r="53415" s="12" customFormat="1" x14ac:dyDescent="0.25"/>
    <row r="53416" s="12" customFormat="1" x14ac:dyDescent="0.25"/>
    <row r="53417" s="12" customFormat="1" x14ac:dyDescent="0.25"/>
    <row r="53418" s="12" customFormat="1" x14ac:dyDescent="0.25"/>
    <row r="53419" s="12" customFormat="1" x14ac:dyDescent="0.25"/>
    <row r="53420" s="12" customFormat="1" x14ac:dyDescent="0.25"/>
    <row r="53421" s="12" customFormat="1" x14ac:dyDescent="0.25"/>
    <row r="53422" s="12" customFormat="1" x14ac:dyDescent="0.25"/>
    <row r="53423" s="12" customFormat="1" x14ac:dyDescent="0.25"/>
    <row r="53424" s="12" customFormat="1" x14ac:dyDescent="0.25"/>
    <row r="53425" s="12" customFormat="1" x14ac:dyDescent="0.25"/>
    <row r="53426" s="12" customFormat="1" x14ac:dyDescent="0.25"/>
    <row r="53427" s="12" customFormat="1" x14ac:dyDescent="0.25"/>
    <row r="53428" s="12" customFormat="1" x14ac:dyDescent="0.25"/>
    <row r="53429" s="12" customFormat="1" x14ac:dyDescent="0.25"/>
    <row r="53430" s="12" customFormat="1" x14ac:dyDescent="0.25"/>
    <row r="53431" s="12" customFormat="1" x14ac:dyDescent="0.25"/>
    <row r="53432" s="12" customFormat="1" x14ac:dyDescent="0.25"/>
    <row r="53433" s="12" customFormat="1" x14ac:dyDescent="0.25"/>
    <row r="53434" s="12" customFormat="1" x14ac:dyDescent="0.25"/>
    <row r="53435" s="12" customFormat="1" x14ac:dyDescent="0.25"/>
    <row r="53436" s="12" customFormat="1" x14ac:dyDescent="0.25"/>
    <row r="53437" s="12" customFormat="1" x14ac:dyDescent="0.25"/>
    <row r="53438" s="12" customFormat="1" x14ac:dyDescent="0.25"/>
    <row r="53439" s="12" customFormat="1" x14ac:dyDescent="0.25"/>
    <row r="53440" s="12" customFormat="1" x14ac:dyDescent="0.25"/>
    <row r="53441" s="12" customFormat="1" x14ac:dyDescent="0.25"/>
    <row r="53442" s="12" customFormat="1" x14ac:dyDescent="0.25"/>
    <row r="53443" s="12" customFormat="1" x14ac:dyDescent="0.25"/>
    <row r="53444" s="12" customFormat="1" x14ac:dyDescent="0.25"/>
    <row r="53445" s="12" customFormat="1" x14ac:dyDescent="0.25"/>
    <row r="53446" s="12" customFormat="1" x14ac:dyDescent="0.25"/>
    <row r="53447" s="12" customFormat="1" x14ac:dyDescent="0.25"/>
    <row r="53448" s="12" customFormat="1" x14ac:dyDescent="0.25"/>
    <row r="53449" s="12" customFormat="1" x14ac:dyDescent="0.25"/>
    <row r="53450" s="12" customFormat="1" x14ac:dyDescent="0.25"/>
    <row r="53451" s="12" customFormat="1" x14ac:dyDescent="0.25"/>
    <row r="53452" s="12" customFormat="1" x14ac:dyDescent="0.25"/>
    <row r="53453" s="12" customFormat="1" x14ac:dyDescent="0.25"/>
    <row r="53454" s="12" customFormat="1" x14ac:dyDescent="0.25"/>
    <row r="53455" s="12" customFormat="1" x14ac:dyDescent="0.25"/>
    <row r="53456" s="12" customFormat="1" x14ac:dyDescent="0.25"/>
    <row r="53457" s="12" customFormat="1" x14ac:dyDescent="0.25"/>
    <row r="53458" s="12" customFormat="1" x14ac:dyDescent="0.25"/>
    <row r="53459" s="12" customFormat="1" x14ac:dyDescent="0.25"/>
    <row r="53460" s="12" customFormat="1" x14ac:dyDescent="0.25"/>
    <row r="53461" s="12" customFormat="1" x14ac:dyDescent="0.25"/>
    <row r="53462" s="12" customFormat="1" x14ac:dyDescent="0.25"/>
    <row r="53463" s="12" customFormat="1" x14ac:dyDescent="0.25"/>
    <row r="53464" s="12" customFormat="1" x14ac:dyDescent="0.25"/>
    <row r="53465" s="12" customFormat="1" x14ac:dyDescent="0.25"/>
    <row r="53466" s="12" customFormat="1" x14ac:dyDescent="0.25"/>
    <row r="53467" s="12" customFormat="1" x14ac:dyDescent="0.25"/>
    <row r="53468" s="12" customFormat="1" x14ac:dyDescent="0.25"/>
    <row r="53469" s="12" customFormat="1" x14ac:dyDescent="0.25"/>
    <row r="53470" s="12" customFormat="1" x14ac:dyDescent="0.25"/>
    <row r="53471" s="12" customFormat="1" x14ac:dyDescent="0.25"/>
    <row r="53472" s="12" customFormat="1" x14ac:dyDescent="0.25"/>
    <row r="53473" s="12" customFormat="1" x14ac:dyDescent="0.25"/>
    <row r="53474" s="12" customFormat="1" x14ac:dyDescent="0.25"/>
    <row r="53475" s="12" customFormat="1" x14ac:dyDescent="0.25"/>
    <row r="53476" s="12" customFormat="1" x14ac:dyDescent="0.25"/>
    <row r="53477" s="12" customFormat="1" x14ac:dyDescent="0.25"/>
    <row r="53478" s="12" customFormat="1" x14ac:dyDescent="0.25"/>
    <row r="53479" s="12" customFormat="1" x14ac:dyDescent="0.25"/>
    <row r="53480" s="12" customFormat="1" x14ac:dyDescent="0.25"/>
    <row r="53481" s="12" customFormat="1" x14ac:dyDescent="0.25"/>
    <row r="53482" s="12" customFormat="1" x14ac:dyDescent="0.25"/>
    <row r="53483" s="12" customFormat="1" x14ac:dyDescent="0.25"/>
    <row r="53484" s="12" customFormat="1" x14ac:dyDescent="0.25"/>
    <row r="53485" s="12" customFormat="1" x14ac:dyDescent="0.25"/>
    <row r="53486" s="12" customFormat="1" x14ac:dyDescent="0.25"/>
    <row r="53487" s="12" customFormat="1" x14ac:dyDescent="0.25"/>
    <row r="53488" s="12" customFormat="1" x14ac:dyDescent="0.25"/>
    <row r="53489" s="12" customFormat="1" x14ac:dyDescent="0.25"/>
    <row r="53490" s="12" customFormat="1" x14ac:dyDescent="0.25"/>
    <row r="53491" s="12" customFormat="1" x14ac:dyDescent="0.25"/>
    <row r="53492" s="12" customFormat="1" x14ac:dyDescent="0.25"/>
    <row r="53493" s="12" customFormat="1" x14ac:dyDescent="0.25"/>
    <row r="53494" s="12" customFormat="1" x14ac:dyDescent="0.25"/>
    <row r="53495" s="12" customFormat="1" x14ac:dyDescent="0.25"/>
    <row r="53496" s="12" customFormat="1" x14ac:dyDescent="0.25"/>
    <row r="53497" s="12" customFormat="1" x14ac:dyDescent="0.25"/>
    <row r="53498" s="12" customFormat="1" x14ac:dyDescent="0.25"/>
    <row r="53499" s="12" customFormat="1" x14ac:dyDescent="0.25"/>
    <row r="53500" s="12" customFormat="1" x14ac:dyDescent="0.25"/>
    <row r="53501" s="12" customFormat="1" x14ac:dyDescent="0.25"/>
    <row r="53502" s="12" customFormat="1" x14ac:dyDescent="0.25"/>
    <row r="53503" s="12" customFormat="1" x14ac:dyDescent="0.25"/>
    <row r="53504" s="12" customFormat="1" x14ac:dyDescent="0.25"/>
    <row r="53505" s="12" customFormat="1" x14ac:dyDescent="0.25"/>
    <row r="53506" s="12" customFormat="1" x14ac:dyDescent="0.25"/>
    <row r="53507" s="12" customFormat="1" x14ac:dyDescent="0.25"/>
    <row r="53508" s="12" customFormat="1" x14ac:dyDescent="0.25"/>
    <row r="53509" s="12" customFormat="1" x14ac:dyDescent="0.25"/>
    <row r="53510" s="12" customFormat="1" x14ac:dyDescent="0.25"/>
    <row r="53511" s="12" customFormat="1" x14ac:dyDescent="0.25"/>
    <row r="53512" s="12" customFormat="1" x14ac:dyDescent="0.25"/>
    <row r="53513" s="12" customFormat="1" x14ac:dyDescent="0.25"/>
    <row r="53514" s="12" customFormat="1" x14ac:dyDescent="0.25"/>
    <row r="53515" s="12" customFormat="1" x14ac:dyDescent="0.25"/>
    <row r="53516" s="12" customFormat="1" x14ac:dyDescent="0.25"/>
    <row r="53517" s="12" customFormat="1" x14ac:dyDescent="0.25"/>
    <row r="53518" s="12" customFormat="1" x14ac:dyDescent="0.25"/>
    <row r="53519" s="12" customFormat="1" x14ac:dyDescent="0.25"/>
    <row r="53520" s="12" customFormat="1" x14ac:dyDescent="0.25"/>
    <row r="53521" s="12" customFormat="1" x14ac:dyDescent="0.25"/>
    <row r="53522" s="12" customFormat="1" x14ac:dyDescent="0.25"/>
    <row r="53523" s="12" customFormat="1" x14ac:dyDescent="0.25"/>
    <row r="53524" s="12" customFormat="1" x14ac:dyDescent="0.25"/>
    <row r="53525" s="12" customFormat="1" x14ac:dyDescent="0.25"/>
    <row r="53526" s="12" customFormat="1" x14ac:dyDescent="0.25"/>
    <row r="53527" s="12" customFormat="1" x14ac:dyDescent="0.25"/>
    <row r="53528" s="12" customFormat="1" x14ac:dyDescent="0.25"/>
    <row r="53529" s="12" customFormat="1" x14ac:dyDescent="0.25"/>
    <row r="53530" s="12" customFormat="1" x14ac:dyDescent="0.25"/>
    <row r="53531" s="12" customFormat="1" x14ac:dyDescent="0.25"/>
    <row r="53532" s="12" customFormat="1" x14ac:dyDescent="0.25"/>
    <row r="53533" s="12" customFormat="1" x14ac:dyDescent="0.25"/>
    <row r="53534" s="12" customFormat="1" x14ac:dyDescent="0.25"/>
    <row r="53535" s="12" customFormat="1" x14ac:dyDescent="0.25"/>
    <row r="53536" s="12" customFormat="1" x14ac:dyDescent="0.25"/>
    <row r="53537" s="12" customFormat="1" x14ac:dyDescent="0.25"/>
    <row r="53538" s="12" customFormat="1" x14ac:dyDescent="0.25"/>
    <row r="53539" s="12" customFormat="1" x14ac:dyDescent="0.25"/>
    <row r="53540" s="12" customFormat="1" x14ac:dyDescent="0.25"/>
    <row r="53541" s="12" customFormat="1" x14ac:dyDescent="0.25"/>
    <row r="53542" s="12" customFormat="1" x14ac:dyDescent="0.25"/>
    <row r="53543" s="12" customFormat="1" x14ac:dyDescent="0.25"/>
    <row r="53544" s="12" customFormat="1" x14ac:dyDescent="0.25"/>
    <row r="53545" s="12" customFormat="1" x14ac:dyDescent="0.25"/>
    <row r="53546" s="12" customFormat="1" x14ac:dyDescent="0.25"/>
    <row r="53547" s="12" customFormat="1" x14ac:dyDescent="0.25"/>
    <row r="53548" s="12" customFormat="1" x14ac:dyDescent="0.25"/>
    <row r="53549" s="12" customFormat="1" x14ac:dyDescent="0.25"/>
    <row r="53550" s="12" customFormat="1" x14ac:dyDescent="0.25"/>
    <row r="53551" s="12" customFormat="1" x14ac:dyDescent="0.25"/>
    <row r="53552" s="12" customFormat="1" x14ac:dyDescent="0.25"/>
    <row r="53553" s="12" customFormat="1" x14ac:dyDescent="0.25"/>
    <row r="53554" s="12" customFormat="1" x14ac:dyDescent="0.25"/>
    <row r="53555" s="12" customFormat="1" x14ac:dyDescent="0.25"/>
    <row r="53556" s="12" customFormat="1" x14ac:dyDescent="0.25"/>
    <row r="53557" s="12" customFormat="1" x14ac:dyDescent="0.25"/>
    <row r="53558" s="12" customFormat="1" x14ac:dyDescent="0.25"/>
    <row r="53559" s="12" customFormat="1" x14ac:dyDescent="0.25"/>
    <row r="53560" s="12" customFormat="1" x14ac:dyDescent="0.25"/>
    <row r="53561" s="12" customFormat="1" x14ac:dyDescent="0.25"/>
    <row r="53562" s="12" customFormat="1" x14ac:dyDescent="0.25"/>
    <row r="53563" s="12" customFormat="1" x14ac:dyDescent="0.25"/>
    <row r="53564" s="12" customFormat="1" x14ac:dyDescent="0.25"/>
    <row r="53565" s="12" customFormat="1" x14ac:dyDescent="0.25"/>
    <row r="53566" s="12" customFormat="1" x14ac:dyDescent="0.25"/>
    <row r="53567" s="12" customFormat="1" x14ac:dyDescent="0.25"/>
    <row r="53568" s="12" customFormat="1" x14ac:dyDescent="0.25"/>
    <row r="53569" s="12" customFormat="1" x14ac:dyDescent="0.25"/>
    <row r="53570" s="12" customFormat="1" x14ac:dyDescent="0.25"/>
    <row r="53571" s="12" customFormat="1" x14ac:dyDescent="0.25"/>
    <row r="53572" s="12" customFormat="1" x14ac:dyDescent="0.25"/>
    <row r="53573" s="12" customFormat="1" x14ac:dyDescent="0.25"/>
    <row r="53574" s="12" customFormat="1" x14ac:dyDescent="0.25"/>
    <row r="53575" s="12" customFormat="1" x14ac:dyDescent="0.25"/>
    <row r="53576" s="12" customFormat="1" x14ac:dyDescent="0.25"/>
    <row r="53577" s="12" customFormat="1" x14ac:dyDescent="0.25"/>
    <row r="53578" s="12" customFormat="1" x14ac:dyDescent="0.25"/>
    <row r="53579" s="12" customFormat="1" x14ac:dyDescent="0.25"/>
    <row r="53580" s="12" customFormat="1" x14ac:dyDescent="0.25"/>
    <row r="53581" s="12" customFormat="1" x14ac:dyDescent="0.25"/>
    <row r="53582" s="12" customFormat="1" x14ac:dyDescent="0.25"/>
    <row r="53583" s="12" customFormat="1" x14ac:dyDescent="0.25"/>
    <row r="53584" s="12" customFormat="1" x14ac:dyDescent="0.25"/>
    <row r="53585" s="12" customFormat="1" x14ac:dyDescent="0.25"/>
    <row r="53586" s="12" customFormat="1" x14ac:dyDescent="0.25"/>
    <row r="53587" s="12" customFormat="1" x14ac:dyDescent="0.25"/>
    <row r="53588" s="12" customFormat="1" x14ac:dyDescent="0.25"/>
    <row r="53589" s="12" customFormat="1" x14ac:dyDescent="0.25"/>
    <row r="53590" s="12" customFormat="1" x14ac:dyDescent="0.25"/>
    <row r="53591" s="12" customFormat="1" x14ac:dyDescent="0.25"/>
    <row r="53592" s="12" customFormat="1" x14ac:dyDescent="0.25"/>
    <row r="53593" s="12" customFormat="1" x14ac:dyDescent="0.25"/>
    <row r="53594" s="12" customFormat="1" x14ac:dyDescent="0.25"/>
    <row r="53595" s="12" customFormat="1" x14ac:dyDescent="0.25"/>
    <row r="53596" s="12" customFormat="1" x14ac:dyDescent="0.25"/>
    <row r="53597" s="12" customFormat="1" x14ac:dyDescent="0.25"/>
    <row r="53598" s="12" customFormat="1" x14ac:dyDescent="0.25"/>
    <row r="53599" s="12" customFormat="1" x14ac:dyDescent="0.25"/>
    <row r="53600" s="12" customFormat="1" x14ac:dyDescent="0.25"/>
    <row r="53601" s="12" customFormat="1" x14ac:dyDescent="0.25"/>
    <row r="53602" s="12" customFormat="1" x14ac:dyDescent="0.25"/>
    <row r="53603" s="12" customFormat="1" x14ac:dyDescent="0.25"/>
    <row r="53604" s="12" customFormat="1" x14ac:dyDescent="0.25"/>
    <row r="53605" s="12" customFormat="1" x14ac:dyDescent="0.25"/>
    <row r="53606" s="12" customFormat="1" x14ac:dyDescent="0.25"/>
    <row r="53607" s="12" customFormat="1" x14ac:dyDescent="0.25"/>
    <row r="53608" s="12" customFormat="1" x14ac:dyDescent="0.25"/>
    <row r="53609" s="12" customFormat="1" x14ac:dyDescent="0.25"/>
    <row r="53610" s="12" customFormat="1" x14ac:dyDescent="0.25"/>
    <row r="53611" s="12" customFormat="1" x14ac:dyDescent="0.25"/>
    <row r="53612" s="12" customFormat="1" x14ac:dyDescent="0.25"/>
    <row r="53613" s="12" customFormat="1" x14ac:dyDescent="0.25"/>
    <row r="53614" s="12" customFormat="1" x14ac:dyDescent="0.25"/>
    <row r="53615" s="12" customFormat="1" x14ac:dyDescent="0.25"/>
    <row r="53616" s="12" customFormat="1" x14ac:dyDescent="0.25"/>
    <row r="53617" s="12" customFormat="1" x14ac:dyDescent="0.25"/>
    <row r="53618" s="12" customFormat="1" x14ac:dyDescent="0.25"/>
    <row r="53619" s="12" customFormat="1" x14ac:dyDescent="0.25"/>
    <row r="53620" s="12" customFormat="1" x14ac:dyDescent="0.25"/>
    <row r="53621" s="12" customFormat="1" x14ac:dyDescent="0.25"/>
    <row r="53622" s="12" customFormat="1" x14ac:dyDescent="0.25"/>
    <row r="53623" s="12" customFormat="1" x14ac:dyDescent="0.25"/>
    <row r="53624" s="12" customFormat="1" x14ac:dyDescent="0.25"/>
    <row r="53625" s="12" customFormat="1" x14ac:dyDescent="0.25"/>
    <row r="53626" s="12" customFormat="1" x14ac:dyDescent="0.25"/>
    <row r="53627" s="12" customFormat="1" x14ac:dyDescent="0.25"/>
    <row r="53628" s="12" customFormat="1" x14ac:dyDescent="0.25"/>
    <row r="53629" s="12" customFormat="1" x14ac:dyDescent="0.25"/>
    <row r="53630" s="12" customFormat="1" x14ac:dyDescent="0.25"/>
    <row r="53631" s="12" customFormat="1" x14ac:dyDescent="0.25"/>
    <row r="53632" s="12" customFormat="1" x14ac:dyDescent="0.25"/>
    <row r="53633" s="12" customFormat="1" x14ac:dyDescent="0.25"/>
    <row r="53634" s="12" customFormat="1" x14ac:dyDescent="0.25"/>
    <row r="53635" s="12" customFormat="1" x14ac:dyDescent="0.25"/>
    <row r="53636" s="12" customFormat="1" x14ac:dyDescent="0.25"/>
    <row r="53637" s="12" customFormat="1" x14ac:dyDescent="0.25"/>
    <row r="53638" s="12" customFormat="1" x14ac:dyDescent="0.25"/>
    <row r="53639" s="12" customFormat="1" x14ac:dyDescent="0.25"/>
    <row r="53640" s="12" customFormat="1" x14ac:dyDescent="0.25"/>
    <row r="53641" s="12" customFormat="1" x14ac:dyDescent="0.25"/>
    <row r="53642" s="12" customFormat="1" x14ac:dyDescent="0.25"/>
    <row r="53643" s="12" customFormat="1" x14ac:dyDescent="0.25"/>
    <row r="53644" s="12" customFormat="1" x14ac:dyDescent="0.25"/>
    <row r="53645" s="12" customFormat="1" x14ac:dyDescent="0.25"/>
    <row r="53646" s="12" customFormat="1" x14ac:dyDescent="0.25"/>
    <row r="53647" s="12" customFormat="1" x14ac:dyDescent="0.25"/>
    <row r="53648" s="12" customFormat="1" x14ac:dyDescent="0.25"/>
    <row r="53649" s="12" customFormat="1" x14ac:dyDescent="0.25"/>
    <row r="53650" s="12" customFormat="1" x14ac:dyDescent="0.25"/>
    <row r="53651" s="12" customFormat="1" x14ac:dyDescent="0.25"/>
    <row r="53652" s="12" customFormat="1" x14ac:dyDescent="0.25"/>
    <row r="53653" s="12" customFormat="1" x14ac:dyDescent="0.25"/>
    <row r="53654" s="12" customFormat="1" x14ac:dyDescent="0.25"/>
    <row r="53655" s="12" customFormat="1" x14ac:dyDescent="0.25"/>
    <row r="53656" s="12" customFormat="1" x14ac:dyDescent="0.25"/>
    <row r="53657" s="12" customFormat="1" x14ac:dyDescent="0.25"/>
    <row r="53658" s="12" customFormat="1" x14ac:dyDescent="0.25"/>
    <row r="53659" s="12" customFormat="1" x14ac:dyDescent="0.25"/>
    <row r="53660" s="12" customFormat="1" x14ac:dyDescent="0.25"/>
    <row r="53661" s="12" customFormat="1" x14ac:dyDescent="0.25"/>
    <row r="53662" s="12" customFormat="1" x14ac:dyDescent="0.25"/>
    <row r="53663" s="12" customFormat="1" x14ac:dyDescent="0.25"/>
    <row r="53664" s="12" customFormat="1" x14ac:dyDescent="0.25"/>
    <row r="53665" s="12" customFormat="1" x14ac:dyDescent="0.25"/>
    <row r="53666" s="12" customFormat="1" x14ac:dyDescent="0.25"/>
    <row r="53667" s="12" customFormat="1" x14ac:dyDescent="0.25"/>
    <row r="53668" s="12" customFormat="1" x14ac:dyDescent="0.25"/>
    <row r="53669" s="12" customFormat="1" x14ac:dyDescent="0.25"/>
    <row r="53670" s="12" customFormat="1" x14ac:dyDescent="0.25"/>
    <row r="53671" s="12" customFormat="1" x14ac:dyDescent="0.25"/>
    <row r="53672" s="12" customFormat="1" x14ac:dyDescent="0.25"/>
    <row r="53673" s="12" customFormat="1" x14ac:dyDescent="0.25"/>
    <row r="53674" s="12" customFormat="1" x14ac:dyDescent="0.25"/>
    <row r="53675" s="12" customFormat="1" x14ac:dyDescent="0.25"/>
    <row r="53676" s="12" customFormat="1" x14ac:dyDescent="0.25"/>
    <row r="53677" s="12" customFormat="1" x14ac:dyDescent="0.25"/>
    <row r="53678" s="12" customFormat="1" x14ac:dyDescent="0.25"/>
    <row r="53679" s="12" customFormat="1" x14ac:dyDescent="0.25"/>
    <row r="53680" s="12" customFormat="1" x14ac:dyDescent="0.25"/>
    <row r="53681" s="12" customFormat="1" x14ac:dyDescent="0.25"/>
    <row r="53682" s="12" customFormat="1" x14ac:dyDescent="0.25"/>
    <row r="53683" s="12" customFormat="1" x14ac:dyDescent="0.25"/>
    <row r="53684" s="12" customFormat="1" x14ac:dyDescent="0.25"/>
    <row r="53685" s="12" customFormat="1" x14ac:dyDescent="0.25"/>
    <row r="53686" s="12" customFormat="1" x14ac:dyDescent="0.25"/>
    <row r="53687" s="12" customFormat="1" x14ac:dyDescent="0.25"/>
    <row r="53688" s="12" customFormat="1" x14ac:dyDescent="0.25"/>
    <row r="53689" s="12" customFormat="1" x14ac:dyDescent="0.25"/>
    <row r="53690" s="12" customFormat="1" x14ac:dyDescent="0.25"/>
    <row r="53691" s="12" customFormat="1" x14ac:dyDescent="0.25"/>
    <row r="53692" s="12" customFormat="1" x14ac:dyDescent="0.25"/>
    <row r="53693" s="12" customFormat="1" x14ac:dyDescent="0.25"/>
    <row r="53694" s="12" customFormat="1" x14ac:dyDescent="0.25"/>
    <row r="53695" s="12" customFormat="1" x14ac:dyDescent="0.25"/>
    <row r="53696" s="12" customFormat="1" x14ac:dyDescent="0.25"/>
    <row r="53697" s="12" customFormat="1" x14ac:dyDescent="0.25"/>
    <row r="53698" s="12" customFormat="1" x14ac:dyDescent="0.25"/>
    <row r="53699" s="12" customFormat="1" x14ac:dyDescent="0.25"/>
    <row r="53700" s="12" customFormat="1" x14ac:dyDescent="0.25"/>
    <row r="53701" s="12" customFormat="1" x14ac:dyDescent="0.25"/>
    <row r="53702" s="12" customFormat="1" x14ac:dyDescent="0.25"/>
    <row r="53703" s="12" customFormat="1" x14ac:dyDescent="0.25"/>
    <row r="53704" s="12" customFormat="1" x14ac:dyDescent="0.25"/>
    <row r="53705" s="12" customFormat="1" x14ac:dyDescent="0.25"/>
    <row r="53706" s="12" customFormat="1" x14ac:dyDescent="0.25"/>
    <row r="53707" s="12" customFormat="1" x14ac:dyDescent="0.25"/>
    <row r="53708" s="12" customFormat="1" x14ac:dyDescent="0.25"/>
    <row r="53709" s="12" customFormat="1" x14ac:dyDescent="0.25"/>
    <row r="53710" s="12" customFormat="1" x14ac:dyDescent="0.25"/>
    <row r="53711" s="12" customFormat="1" x14ac:dyDescent="0.25"/>
    <row r="53712" s="12" customFormat="1" x14ac:dyDescent="0.25"/>
    <row r="53713" s="12" customFormat="1" x14ac:dyDescent="0.25"/>
    <row r="53714" s="12" customFormat="1" x14ac:dyDescent="0.25"/>
    <row r="53715" s="12" customFormat="1" x14ac:dyDescent="0.25"/>
    <row r="53716" s="12" customFormat="1" x14ac:dyDescent="0.25"/>
    <row r="53717" s="12" customFormat="1" x14ac:dyDescent="0.25"/>
    <row r="53718" s="12" customFormat="1" x14ac:dyDescent="0.25"/>
    <row r="53719" s="12" customFormat="1" x14ac:dyDescent="0.25"/>
    <row r="53720" s="12" customFormat="1" x14ac:dyDescent="0.25"/>
    <row r="53721" s="12" customFormat="1" x14ac:dyDescent="0.25"/>
    <row r="53722" s="12" customFormat="1" x14ac:dyDescent="0.25"/>
    <row r="53723" s="12" customFormat="1" x14ac:dyDescent="0.25"/>
    <row r="53724" s="12" customFormat="1" x14ac:dyDescent="0.25"/>
    <row r="53725" s="12" customFormat="1" x14ac:dyDescent="0.25"/>
    <row r="53726" s="12" customFormat="1" x14ac:dyDescent="0.25"/>
    <row r="53727" s="12" customFormat="1" x14ac:dyDescent="0.25"/>
    <row r="53728" s="12" customFormat="1" x14ac:dyDescent="0.25"/>
    <row r="53729" s="12" customFormat="1" x14ac:dyDescent="0.25"/>
    <row r="53730" s="12" customFormat="1" x14ac:dyDescent="0.25"/>
    <row r="53731" s="12" customFormat="1" x14ac:dyDescent="0.25"/>
    <row r="53732" s="12" customFormat="1" x14ac:dyDescent="0.25"/>
    <row r="53733" s="12" customFormat="1" x14ac:dyDescent="0.25"/>
    <row r="53734" s="12" customFormat="1" x14ac:dyDescent="0.25"/>
    <row r="53735" s="12" customFormat="1" x14ac:dyDescent="0.25"/>
    <row r="53736" s="12" customFormat="1" x14ac:dyDescent="0.25"/>
    <row r="53737" s="12" customFormat="1" x14ac:dyDescent="0.25"/>
    <row r="53738" s="12" customFormat="1" x14ac:dyDescent="0.25"/>
    <row r="53739" s="12" customFormat="1" x14ac:dyDescent="0.25"/>
    <row r="53740" s="12" customFormat="1" x14ac:dyDescent="0.25"/>
    <row r="53741" s="12" customFormat="1" x14ac:dyDescent="0.25"/>
    <row r="53742" s="12" customFormat="1" x14ac:dyDescent="0.25"/>
    <row r="53743" s="12" customFormat="1" x14ac:dyDescent="0.25"/>
    <row r="53744" s="12" customFormat="1" x14ac:dyDescent="0.25"/>
    <row r="53745" s="12" customFormat="1" x14ac:dyDescent="0.25"/>
    <row r="53746" s="12" customFormat="1" x14ac:dyDescent="0.25"/>
    <row r="53747" s="12" customFormat="1" x14ac:dyDescent="0.25"/>
    <row r="53748" s="12" customFormat="1" x14ac:dyDescent="0.25"/>
    <row r="53749" s="12" customFormat="1" x14ac:dyDescent="0.25"/>
    <row r="53750" s="12" customFormat="1" x14ac:dyDescent="0.25"/>
    <row r="53751" s="12" customFormat="1" x14ac:dyDescent="0.25"/>
    <row r="53752" s="12" customFormat="1" x14ac:dyDescent="0.25"/>
    <row r="53753" s="12" customFormat="1" x14ac:dyDescent="0.25"/>
    <row r="53754" s="12" customFormat="1" x14ac:dyDescent="0.25"/>
    <row r="53755" s="12" customFormat="1" x14ac:dyDescent="0.25"/>
    <row r="53756" s="12" customFormat="1" x14ac:dyDescent="0.25"/>
    <row r="53757" s="12" customFormat="1" x14ac:dyDescent="0.25"/>
    <row r="53758" s="12" customFormat="1" x14ac:dyDescent="0.25"/>
    <row r="53759" s="12" customFormat="1" x14ac:dyDescent="0.25"/>
    <row r="53760" s="12" customFormat="1" x14ac:dyDescent="0.25"/>
    <row r="53761" s="12" customFormat="1" x14ac:dyDescent="0.25"/>
    <row r="53762" s="12" customFormat="1" x14ac:dyDescent="0.25"/>
    <row r="53763" s="12" customFormat="1" x14ac:dyDescent="0.25"/>
    <row r="53764" s="12" customFormat="1" x14ac:dyDescent="0.25"/>
    <row r="53765" s="12" customFormat="1" x14ac:dyDescent="0.25"/>
    <row r="53766" s="12" customFormat="1" x14ac:dyDescent="0.25"/>
    <row r="53767" s="12" customFormat="1" x14ac:dyDescent="0.25"/>
    <row r="53768" s="12" customFormat="1" x14ac:dyDescent="0.25"/>
    <row r="53769" s="12" customFormat="1" x14ac:dyDescent="0.25"/>
    <row r="53770" s="12" customFormat="1" x14ac:dyDescent="0.25"/>
    <row r="53771" s="12" customFormat="1" x14ac:dyDescent="0.25"/>
    <row r="53772" s="12" customFormat="1" x14ac:dyDescent="0.25"/>
    <row r="53773" s="12" customFormat="1" x14ac:dyDescent="0.25"/>
    <row r="53774" s="12" customFormat="1" x14ac:dyDescent="0.25"/>
    <row r="53775" s="12" customFormat="1" x14ac:dyDescent="0.25"/>
    <row r="53776" s="12" customFormat="1" x14ac:dyDescent="0.25"/>
    <row r="53777" s="12" customFormat="1" x14ac:dyDescent="0.25"/>
    <row r="53778" s="12" customFormat="1" x14ac:dyDescent="0.25"/>
    <row r="53779" s="12" customFormat="1" x14ac:dyDescent="0.25"/>
    <row r="53780" s="12" customFormat="1" x14ac:dyDescent="0.25"/>
    <row r="53781" s="12" customFormat="1" x14ac:dyDescent="0.25"/>
    <row r="53782" s="12" customFormat="1" x14ac:dyDescent="0.25"/>
    <row r="53783" s="12" customFormat="1" x14ac:dyDescent="0.25"/>
    <row r="53784" s="12" customFormat="1" x14ac:dyDescent="0.25"/>
    <row r="53785" s="12" customFormat="1" x14ac:dyDescent="0.25"/>
    <row r="53786" s="12" customFormat="1" x14ac:dyDescent="0.25"/>
    <row r="53787" s="12" customFormat="1" x14ac:dyDescent="0.25"/>
    <row r="53788" s="12" customFormat="1" x14ac:dyDescent="0.25"/>
    <row r="53789" s="12" customFormat="1" x14ac:dyDescent="0.25"/>
    <row r="53790" s="12" customFormat="1" x14ac:dyDescent="0.25"/>
    <row r="53791" s="12" customFormat="1" x14ac:dyDescent="0.25"/>
    <row r="53792" s="12" customFormat="1" x14ac:dyDescent="0.25"/>
    <row r="53793" s="12" customFormat="1" x14ac:dyDescent="0.25"/>
    <row r="53794" s="12" customFormat="1" x14ac:dyDescent="0.25"/>
    <row r="53795" s="12" customFormat="1" x14ac:dyDescent="0.25"/>
    <row r="53796" s="12" customFormat="1" x14ac:dyDescent="0.25"/>
    <row r="53797" s="12" customFormat="1" x14ac:dyDescent="0.25"/>
    <row r="53798" s="12" customFormat="1" x14ac:dyDescent="0.25"/>
    <row r="53799" s="12" customFormat="1" x14ac:dyDescent="0.25"/>
    <row r="53800" s="12" customFormat="1" x14ac:dyDescent="0.25"/>
    <row r="53801" s="12" customFormat="1" x14ac:dyDescent="0.25"/>
    <row r="53802" s="12" customFormat="1" x14ac:dyDescent="0.25"/>
    <row r="53803" s="12" customFormat="1" x14ac:dyDescent="0.25"/>
    <row r="53804" s="12" customFormat="1" x14ac:dyDescent="0.25"/>
    <row r="53805" s="12" customFormat="1" x14ac:dyDescent="0.25"/>
    <row r="53806" s="12" customFormat="1" x14ac:dyDescent="0.25"/>
    <row r="53807" s="12" customFormat="1" x14ac:dyDescent="0.25"/>
    <row r="53808" s="12" customFormat="1" x14ac:dyDescent="0.25"/>
    <row r="53809" s="12" customFormat="1" x14ac:dyDescent="0.25"/>
    <row r="53810" s="12" customFormat="1" x14ac:dyDescent="0.25"/>
    <row r="53811" s="12" customFormat="1" x14ac:dyDescent="0.25"/>
    <row r="53812" s="12" customFormat="1" x14ac:dyDescent="0.25"/>
    <row r="53813" s="12" customFormat="1" x14ac:dyDescent="0.25"/>
    <row r="53814" s="12" customFormat="1" x14ac:dyDescent="0.25"/>
    <row r="53815" s="12" customFormat="1" x14ac:dyDescent="0.25"/>
    <row r="53816" s="12" customFormat="1" x14ac:dyDescent="0.25"/>
    <row r="53817" s="12" customFormat="1" x14ac:dyDescent="0.25"/>
    <row r="53818" s="12" customFormat="1" x14ac:dyDescent="0.25"/>
    <row r="53819" s="12" customFormat="1" x14ac:dyDescent="0.25"/>
    <row r="53820" s="12" customFormat="1" x14ac:dyDescent="0.25"/>
    <row r="53821" s="12" customFormat="1" x14ac:dyDescent="0.25"/>
    <row r="53822" s="12" customFormat="1" x14ac:dyDescent="0.25"/>
    <row r="53823" s="12" customFormat="1" x14ac:dyDescent="0.25"/>
    <row r="53824" s="12" customFormat="1" x14ac:dyDescent="0.25"/>
    <row r="53825" s="12" customFormat="1" x14ac:dyDescent="0.25"/>
    <row r="53826" s="12" customFormat="1" x14ac:dyDescent="0.25"/>
    <row r="53827" s="12" customFormat="1" x14ac:dyDescent="0.25"/>
    <row r="53828" s="12" customFormat="1" x14ac:dyDescent="0.25"/>
    <row r="53829" s="12" customFormat="1" x14ac:dyDescent="0.25"/>
    <row r="53830" s="12" customFormat="1" x14ac:dyDescent="0.25"/>
    <row r="53831" s="12" customFormat="1" x14ac:dyDescent="0.25"/>
    <row r="53832" s="12" customFormat="1" x14ac:dyDescent="0.25"/>
    <row r="53833" s="12" customFormat="1" x14ac:dyDescent="0.25"/>
    <row r="53834" s="12" customFormat="1" x14ac:dyDescent="0.25"/>
    <row r="53835" s="12" customFormat="1" x14ac:dyDescent="0.25"/>
    <row r="53836" s="12" customFormat="1" x14ac:dyDescent="0.25"/>
    <row r="53837" s="12" customFormat="1" x14ac:dyDescent="0.25"/>
    <row r="53838" s="12" customFormat="1" x14ac:dyDescent="0.25"/>
    <row r="53839" s="12" customFormat="1" x14ac:dyDescent="0.25"/>
    <row r="53840" s="12" customFormat="1" x14ac:dyDescent="0.25"/>
    <row r="53841" s="12" customFormat="1" x14ac:dyDescent="0.25"/>
    <row r="53842" s="12" customFormat="1" x14ac:dyDescent="0.25"/>
    <row r="53843" s="12" customFormat="1" x14ac:dyDescent="0.25"/>
    <row r="53844" s="12" customFormat="1" x14ac:dyDescent="0.25"/>
    <row r="53845" s="12" customFormat="1" x14ac:dyDescent="0.25"/>
    <row r="53846" s="12" customFormat="1" x14ac:dyDescent="0.25"/>
    <row r="53847" s="12" customFormat="1" x14ac:dyDescent="0.25"/>
    <row r="53848" s="12" customFormat="1" x14ac:dyDescent="0.25"/>
    <row r="53849" s="12" customFormat="1" x14ac:dyDescent="0.25"/>
    <row r="53850" s="12" customFormat="1" x14ac:dyDescent="0.25"/>
    <row r="53851" s="12" customFormat="1" x14ac:dyDescent="0.25"/>
    <row r="53852" s="12" customFormat="1" x14ac:dyDescent="0.25"/>
    <row r="53853" s="12" customFormat="1" x14ac:dyDescent="0.25"/>
    <row r="53854" s="12" customFormat="1" x14ac:dyDescent="0.25"/>
    <row r="53855" s="12" customFormat="1" x14ac:dyDescent="0.25"/>
    <row r="53856" s="12" customFormat="1" x14ac:dyDescent="0.25"/>
    <row r="53857" s="12" customFormat="1" x14ac:dyDescent="0.25"/>
    <row r="53858" s="12" customFormat="1" x14ac:dyDescent="0.25"/>
    <row r="53859" s="12" customFormat="1" x14ac:dyDescent="0.25"/>
    <row r="53860" s="12" customFormat="1" x14ac:dyDescent="0.25"/>
    <row r="53861" s="12" customFormat="1" x14ac:dyDescent="0.25"/>
    <row r="53862" s="12" customFormat="1" x14ac:dyDescent="0.25"/>
    <row r="53863" s="12" customFormat="1" x14ac:dyDescent="0.25"/>
    <row r="53864" s="12" customFormat="1" x14ac:dyDescent="0.25"/>
    <row r="53865" s="12" customFormat="1" x14ac:dyDescent="0.25"/>
    <row r="53866" s="12" customFormat="1" x14ac:dyDescent="0.25"/>
    <row r="53867" s="12" customFormat="1" x14ac:dyDescent="0.25"/>
    <row r="53868" s="12" customFormat="1" x14ac:dyDescent="0.25"/>
    <row r="53869" s="12" customFormat="1" x14ac:dyDescent="0.25"/>
    <row r="53870" s="12" customFormat="1" x14ac:dyDescent="0.25"/>
    <row r="53871" s="12" customFormat="1" x14ac:dyDescent="0.25"/>
    <row r="53872" s="12" customFormat="1" x14ac:dyDescent="0.25"/>
    <row r="53873" s="12" customFormat="1" x14ac:dyDescent="0.25"/>
    <row r="53874" s="12" customFormat="1" x14ac:dyDescent="0.25"/>
    <row r="53875" s="12" customFormat="1" x14ac:dyDescent="0.25"/>
    <row r="53876" s="12" customFormat="1" x14ac:dyDescent="0.25"/>
    <row r="53877" s="12" customFormat="1" x14ac:dyDescent="0.25"/>
    <row r="53878" s="12" customFormat="1" x14ac:dyDescent="0.25"/>
    <row r="53879" s="12" customFormat="1" x14ac:dyDescent="0.25"/>
    <row r="53880" s="12" customFormat="1" x14ac:dyDescent="0.25"/>
    <row r="53881" s="12" customFormat="1" x14ac:dyDescent="0.25"/>
    <row r="53882" s="12" customFormat="1" x14ac:dyDescent="0.25"/>
    <row r="53883" s="12" customFormat="1" x14ac:dyDescent="0.25"/>
    <row r="53884" s="12" customFormat="1" x14ac:dyDescent="0.25"/>
    <row r="53885" s="12" customFormat="1" x14ac:dyDescent="0.25"/>
    <row r="53886" s="12" customFormat="1" x14ac:dyDescent="0.25"/>
    <row r="53887" s="12" customFormat="1" x14ac:dyDescent="0.25"/>
    <row r="53888" s="12" customFormat="1" x14ac:dyDescent="0.25"/>
    <row r="53889" s="12" customFormat="1" x14ac:dyDescent="0.25"/>
    <row r="53890" s="12" customFormat="1" x14ac:dyDescent="0.25"/>
    <row r="53891" s="12" customFormat="1" x14ac:dyDescent="0.25"/>
    <row r="53892" s="12" customFormat="1" x14ac:dyDescent="0.25"/>
    <row r="53893" s="12" customFormat="1" x14ac:dyDescent="0.25"/>
    <row r="53894" s="12" customFormat="1" x14ac:dyDescent="0.25"/>
    <row r="53895" s="12" customFormat="1" x14ac:dyDescent="0.25"/>
    <row r="53896" s="12" customFormat="1" x14ac:dyDescent="0.25"/>
    <row r="53897" s="12" customFormat="1" x14ac:dyDescent="0.25"/>
    <row r="53898" s="12" customFormat="1" x14ac:dyDescent="0.25"/>
    <row r="53899" s="12" customFormat="1" x14ac:dyDescent="0.25"/>
    <row r="53900" s="12" customFormat="1" x14ac:dyDescent="0.25"/>
    <row r="53901" s="12" customFormat="1" x14ac:dyDescent="0.25"/>
    <row r="53902" s="12" customFormat="1" x14ac:dyDescent="0.25"/>
    <row r="53903" s="12" customFormat="1" x14ac:dyDescent="0.25"/>
    <row r="53904" s="12" customFormat="1" x14ac:dyDescent="0.25"/>
    <row r="53905" s="12" customFormat="1" x14ac:dyDescent="0.25"/>
    <row r="53906" s="12" customFormat="1" x14ac:dyDescent="0.25"/>
    <row r="53907" s="12" customFormat="1" x14ac:dyDescent="0.25"/>
    <row r="53908" s="12" customFormat="1" x14ac:dyDescent="0.25"/>
    <row r="53909" s="12" customFormat="1" x14ac:dyDescent="0.25"/>
    <row r="53910" s="12" customFormat="1" x14ac:dyDescent="0.25"/>
    <row r="53911" s="12" customFormat="1" x14ac:dyDescent="0.25"/>
    <row r="53912" s="12" customFormat="1" x14ac:dyDescent="0.25"/>
    <row r="53913" s="12" customFormat="1" x14ac:dyDescent="0.25"/>
    <row r="53914" s="12" customFormat="1" x14ac:dyDescent="0.25"/>
    <row r="53915" s="12" customFormat="1" x14ac:dyDescent="0.25"/>
    <row r="53916" s="12" customFormat="1" x14ac:dyDescent="0.25"/>
    <row r="53917" s="12" customFormat="1" x14ac:dyDescent="0.25"/>
    <row r="53918" s="12" customFormat="1" x14ac:dyDescent="0.25"/>
    <row r="53919" s="12" customFormat="1" x14ac:dyDescent="0.25"/>
    <row r="53920" s="12" customFormat="1" x14ac:dyDescent="0.25"/>
    <row r="53921" s="12" customFormat="1" x14ac:dyDescent="0.25"/>
    <row r="53922" s="12" customFormat="1" x14ac:dyDescent="0.25"/>
    <row r="53923" s="12" customFormat="1" x14ac:dyDescent="0.25"/>
    <row r="53924" s="12" customFormat="1" x14ac:dyDescent="0.25"/>
    <row r="53925" s="12" customFormat="1" x14ac:dyDescent="0.25"/>
    <row r="53926" s="12" customFormat="1" x14ac:dyDescent="0.25"/>
    <row r="53927" s="12" customFormat="1" x14ac:dyDescent="0.25"/>
    <row r="53928" s="12" customFormat="1" x14ac:dyDescent="0.25"/>
    <row r="53929" s="12" customFormat="1" x14ac:dyDescent="0.25"/>
    <row r="53930" s="12" customFormat="1" x14ac:dyDescent="0.25"/>
    <row r="53931" s="12" customFormat="1" x14ac:dyDescent="0.25"/>
    <row r="53932" s="12" customFormat="1" x14ac:dyDescent="0.25"/>
    <row r="53933" s="12" customFormat="1" x14ac:dyDescent="0.25"/>
    <row r="53934" s="12" customFormat="1" x14ac:dyDescent="0.25"/>
    <row r="53935" s="12" customFormat="1" x14ac:dyDescent="0.25"/>
    <row r="53936" s="12" customFormat="1" x14ac:dyDescent="0.25"/>
    <row r="53937" s="12" customFormat="1" x14ac:dyDescent="0.25"/>
    <row r="53938" s="12" customFormat="1" x14ac:dyDescent="0.25"/>
    <row r="53939" s="12" customFormat="1" x14ac:dyDescent="0.25"/>
    <row r="53940" s="12" customFormat="1" x14ac:dyDescent="0.25"/>
    <row r="53941" s="12" customFormat="1" x14ac:dyDescent="0.25"/>
    <row r="53942" s="12" customFormat="1" x14ac:dyDescent="0.25"/>
    <row r="53943" s="12" customFormat="1" x14ac:dyDescent="0.25"/>
    <row r="53944" s="12" customFormat="1" x14ac:dyDescent="0.25"/>
    <row r="53945" s="12" customFormat="1" x14ac:dyDescent="0.25"/>
    <row r="53946" s="12" customFormat="1" x14ac:dyDescent="0.25"/>
    <row r="53947" s="12" customFormat="1" x14ac:dyDescent="0.25"/>
    <row r="53948" s="12" customFormat="1" x14ac:dyDescent="0.25"/>
    <row r="53949" s="12" customFormat="1" x14ac:dyDescent="0.25"/>
    <row r="53950" s="12" customFormat="1" x14ac:dyDescent="0.25"/>
    <row r="53951" s="12" customFormat="1" x14ac:dyDescent="0.25"/>
    <row r="53952" s="12" customFormat="1" x14ac:dyDescent="0.25"/>
    <row r="53953" s="12" customFormat="1" x14ac:dyDescent="0.25"/>
    <row r="53954" s="12" customFormat="1" x14ac:dyDescent="0.25"/>
    <row r="53955" s="12" customFormat="1" x14ac:dyDescent="0.25"/>
    <row r="53956" s="12" customFormat="1" x14ac:dyDescent="0.25"/>
    <row r="53957" s="12" customFormat="1" x14ac:dyDescent="0.25"/>
    <row r="53958" s="12" customFormat="1" x14ac:dyDescent="0.25"/>
    <row r="53959" s="12" customFormat="1" x14ac:dyDescent="0.25"/>
    <row r="53960" s="12" customFormat="1" x14ac:dyDescent="0.25"/>
    <row r="53961" s="12" customFormat="1" x14ac:dyDescent="0.25"/>
    <row r="53962" s="12" customFormat="1" x14ac:dyDescent="0.25"/>
    <row r="53963" s="12" customFormat="1" x14ac:dyDescent="0.25"/>
    <row r="53964" s="12" customFormat="1" x14ac:dyDescent="0.25"/>
    <row r="53965" s="12" customFormat="1" x14ac:dyDescent="0.25"/>
    <row r="53966" s="12" customFormat="1" x14ac:dyDescent="0.25"/>
    <row r="53967" s="12" customFormat="1" x14ac:dyDescent="0.25"/>
    <row r="53968" s="12" customFormat="1" x14ac:dyDescent="0.25"/>
    <row r="53969" s="12" customFormat="1" x14ac:dyDescent="0.25"/>
    <row r="53970" s="12" customFormat="1" x14ac:dyDescent="0.25"/>
    <row r="53971" s="12" customFormat="1" x14ac:dyDescent="0.25"/>
    <row r="53972" s="12" customFormat="1" x14ac:dyDescent="0.25"/>
    <row r="53973" s="12" customFormat="1" x14ac:dyDescent="0.25"/>
    <row r="53974" s="12" customFormat="1" x14ac:dyDescent="0.25"/>
    <row r="53975" s="12" customFormat="1" x14ac:dyDescent="0.25"/>
    <row r="53976" s="12" customFormat="1" x14ac:dyDescent="0.25"/>
    <row r="53977" s="12" customFormat="1" x14ac:dyDescent="0.25"/>
    <row r="53978" s="12" customFormat="1" x14ac:dyDescent="0.25"/>
    <row r="53979" s="12" customFormat="1" x14ac:dyDescent="0.25"/>
    <row r="53980" s="12" customFormat="1" x14ac:dyDescent="0.25"/>
    <row r="53981" s="12" customFormat="1" x14ac:dyDescent="0.25"/>
    <row r="53982" s="12" customFormat="1" x14ac:dyDescent="0.25"/>
    <row r="53983" s="12" customFormat="1" x14ac:dyDescent="0.25"/>
    <row r="53984" s="12" customFormat="1" x14ac:dyDescent="0.25"/>
    <row r="53985" s="12" customFormat="1" x14ac:dyDescent="0.25"/>
    <row r="53986" s="12" customFormat="1" x14ac:dyDescent="0.25"/>
    <row r="53987" s="12" customFormat="1" x14ac:dyDescent="0.25"/>
    <row r="53988" s="12" customFormat="1" x14ac:dyDescent="0.25"/>
    <row r="53989" s="12" customFormat="1" x14ac:dyDescent="0.25"/>
    <row r="53990" s="12" customFormat="1" x14ac:dyDescent="0.25"/>
    <row r="53991" s="12" customFormat="1" x14ac:dyDescent="0.25"/>
    <row r="53992" s="12" customFormat="1" x14ac:dyDescent="0.25"/>
    <row r="53993" s="12" customFormat="1" x14ac:dyDescent="0.25"/>
    <row r="53994" s="12" customFormat="1" x14ac:dyDescent="0.25"/>
    <row r="53995" s="12" customFormat="1" x14ac:dyDescent="0.25"/>
    <row r="53996" s="12" customFormat="1" x14ac:dyDescent="0.25"/>
    <row r="53997" s="12" customFormat="1" x14ac:dyDescent="0.25"/>
    <row r="53998" s="12" customFormat="1" x14ac:dyDescent="0.25"/>
    <row r="53999" s="12" customFormat="1" x14ac:dyDescent="0.25"/>
    <row r="54000" s="12" customFormat="1" x14ac:dyDescent="0.25"/>
    <row r="54001" s="12" customFormat="1" x14ac:dyDescent="0.25"/>
    <row r="54002" s="12" customFormat="1" x14ac:dyDescent="0.25"/>
    <row r="54003" s="12" customFormat="1" x14ac:dyDescent="0.25"/>
    <row r="54004" s="12" customFormat="1" x14ac:dyDescent="0.25"/>
    <row r="54005" s="12" customFormat="1" x14ac:dyDescent="0.25"/>
    <row r="54006" s="12" customFormat="1" x14ac:dyDescent="0.25"/>
    <row r="54007" s="12" customFormat="1" x14ac:dyDescent="0.25"/>
    <row r="54008" s="12" customFormat="1" x14ac:dyDescent="0.25"/>
    <row r="54009" s="12" customFormat="1" x14ac:dyDescent="0.25"/>
    <row r="54010" s="12" customFormat="1" x14ac:dyDescent="0.25"/>
    <row r="54011" s="12" customFormat="1" x14ac:dyDescent="0.25"/>
    <row r="54012" s="12" customFormat="1" x14ac:dyDescent="0.25"/>
    <row r="54013" s="12" customFormat="1" x14ac:dyDescent="0.25"/>
    <row r="54014" s="12" customFormat="1" x14ac:dyDescent="0.25"/>
    <row r="54015" s="12" customFormat="1" x14ac:dyDescent="0.25"/>
    <row r="54016" s="12" customFormat="1" x14ac:dyDescent="0.25"/>
    <row r="54017" s="12" customFormat="1" x14ac:dyDescent="0.25"/>
    <row r="54018" s="12" customFormat="1" x14ac:dyDescent="0.25"/>
    <row r="54019" s="12" customFormat="1" x14ac:dyDescent="0.25"/>
    <row r="54020" s="12" customFormat="1" x14ac:dyDescent="0.25"/>
    <row r="54021" s="12" customFormat="1" x14ac:dyDescent="0.25"/>
    <row r="54022" s="12" customFormat="1" x14ac:dyDescent="0.25"/>
    <row r="54023" s="12" customFormat="1" x14ac:dyDescent="0.25"/>
    <row r="54024" s="12" customFormat="1" x14ac:dyDescent="0.25"/>
    <row r="54025" s="12" customFormat="1" x14ac:dyDescent="0.25"/>
    <row r="54026" s="12" customFormat="1" x14ac:dyDescent="0.25"/>
    <row r="54027" s="12" customFormat="1" x14ac:dyDescent="0.25"/>
    <row r="54028" s="12" customFormat="1" x14ac:dyDescent="0.25"/>
    <row r="54029" s="12" customFormat="1" x14ac:dyDescent="0.25"/>
    <row r="54030" s="12" customFormat="1" x14ac:dyDescent="0.25"/>
    <row r="54031" s="12" customFormat="1" x14ac:dyDescent="0.25"/>
    <row r="54032" s="12" customFormat="1" x14ac:dyDescent="0.25"/>
    <row r="54033" s="12" customFormat="1" x14ac:dyDescent="0.25"/>
    <row r="54034" s="12" customFormat="1" x14ac:dyDescent="0.25"/>
    <row r="54035" s="12" customFormat="1" x14ac:dyDescent="0.25"/>
    <row r="54036" s="12" customFormat="1" x14ac:dyDescent="0.25"/>
    <row r="54037" s="12" customFormat="1" x14ac:dyDescent="0.25"/>
    <row r="54038" s="12" customFormat="1" x14ac:dyDescent="0.25"/>
    <row r="54039" s="12" customFormat="1" x14ac:dyDescent="0.25"/>
    <row r="54040" s="12" customFormat="1" x14ac:dyDescent="0.25"/>
    <row r="54041" s="12" customFormat="1" x14ac:dyDescent="0.25"/>
    <row r="54042" s="12" customFormat="1" x14ac:dyDescent="0.25"/>
    <row r="54043" s="12" customFormat="1" x14ac:dyDescent="0.25"/>
    <row r="54044" s="12" customFormat="1" x14ac:dyDescent="0.25"/>
    <row r="54045" s="12" customFormat="1" x14ac:dyDescent="0.25"/>
    <row r="54046" s="12" customFormat="1" x14ac:dyDescent="0.25"/>
    <row r="54047" s="12" customFormat="1" x14ac:dyDescent="0.25"/>
    <row r="54048" s="12" customFormat="1" x14ac:dyDescent="0.25"/>
    <row r="54049" s="12" customFormat="1" x14ac:dyDescent="0.25"/>
    <row r="54050" s="12" customFormat="1" x14ac:dyDescent="0.25"/>
    <row r="54051" s="12" customFormat="1" x14ac:dyDescent="0.25"/>
    <row r="54052" s="12" customFormat="1" x14ac:dyDescent="0.25"/>
    <row r="54053" s="12" customFormat="1" x14ac:dyDescent="0.25"/>
    <row r="54054" s="12" customFormat="1" x14ac:dyDescent="0.25"/>
    <row r="54055" s="12" customFormat="1" x14ac:dyDescent="0.25"/>
    <row r="54056" s="12" customFormat="1" x14ac:dyDescent="0.25"/>
    <row r="54057" s="12" customFormat="1" x14ac:dyDescent="0.25"/>
    <row r="54058" s="12" customFormat="1" x14ac:dyDescent="0.25"/>
    <row r="54059" s="12" customFormat="1" x14ac:dyDescent="0.25"/>
    <row r="54060" s="12" customFormat="1" x14ac:dyDescent="0.25"/>
    <row r="54061" s="12" customFormat="1" x14ac:dyDescent="0.25"/>
    <row r="54062" s="12" customFormat="1" x14ac:dyDescent="0.25"/>
    <row r="54063" s="12" customFormat="1" x14ac:dyDescent="0.25"/>
    <row r="54064" s="12" customFormat="1" x14ac:dyDescent="0.25"/>
    <row r="54065" s="12" customFormat="1" x14ac:dyDescent="0.25"/>
    <row r="54066" s="12" customFormat="1" x14ac:dyDescent="0.25"/>
    <row r="54067" s="12" customFormat="1" x14ac:dyDescent="0.25"/>
    <row r="54068" s="12" customFormat="1" x14ac:dyDescent="0.25"/>
    <row r="54069" s="12" customFormat="1" x14ac:dyDescent="0.25"/>
    <row r="54070" s="12" customFormat="1" x14ac:dyDescent="0.25"/>
    <row r="54071" s="12" customFormat="1" x14ac:dyDescent="0.25"/>
    <row r="54072" s="12" customFormat="1" x14ac:dyDescent="0.25"/>
    <row r="54073" s="12" customFormat="1" x14ac:dyDescent="0.25"/>
    <row r="54074" s="12" customFormat="1" x14ac:dyDescent="0.25"/>
    <row r="54075" s="12" customFormat="1" x14ac:dyDescent="0.25"/>
    <row r="54076" s="12" customFormat="1" x14ac:dyDescent="0.25"/>
    <row r="54077" s="12" customFormat="1" x14ac:dyDescent="0.25"/>
    <row r="54078" s="12" customFormat="1" x14ac:dyDescent="0.25"/>
    <row r="54079" s="12" customFormat="1" x14ac:dyDescent="0.25"/>
    <row r="54080" s="12" customFormat="1" x14ac:dyDescent="0.25"/>
    <row r="54081" s="12" customFormat="1" x14ac:dyDescent="0.25"/>
    <row r="54082" s="12" customFormat="1" x14ac:dyDescent="0.25"/>
    <row r="54083" s="12" customFormat="1" x14ac:dyDescent="0.25"/>
    <row r="54084" s="12" customFormat="1" x14ac:dyDescent="0.25"/>
    <row r="54085" s="12" customFormat="1" x14ac:dyDescent="0.25"/>
    <row r="54086" s="12" customFormat="1" x14ac:dyDescent="0.25"/>
    <row r="54087" s="12" customFormat="1" x14ac:dyDescent="0.25"/>
    <row r="54088" s="12" customFormat="1" x14ac:dyDescent="0.25"/>
    <row r="54089" s="12" customFormat="1" x14ac:dyDescent="0.25"/>
    <row r="54090" s="12" customFormat="1" x14ac:dyDescent="0.25"/>
    <row r="54091" s="12" customFormat="1" x14ac:dyDescent="0.25"/>
    <row r="54092" s="12" customFormat="1" x14ac:dyDescent="0.25"/>
    <row r="54093" s="12" customFormat="1" x14ac:dyDescent="0.25"/>
    <row r="54094" s="12" customFormat="1" x14ac:dyDescent="0.25"/>
    <row r="54095" s="12" customFormat="1" x14ac:dyDescent="0.25"/>
    <row r="54096" s="12" customFormat="1" x14ac:dyDescent="0.25"/>
    <row r="54097" s="12" customFormat="1" x14ac:dyDescent="0.25"/>
    <row r="54098" s="12" customFormat="1" x14ac:dyDescent="0.25"/>
    <row r="54099" s="12" customFormat="1" x14ac:dyDescent="0.25"/>
    <row r="54100" s="12" customFormat="1" x14ac:dyDescent="0.25"/>
    <row r="54101" s="12" customFormat="1" x14ac:dyDescent="0.25"/>
    <row r="54102" s="12" customFormat="1" x14ac:dyDescent="0.25"/>
    <row r="54103" s="12" customFormat="1" x14ac:dyDescent="0.25"/>
    <row r="54104" s="12" customFormat="1" x14ac:dyDescent="0.25"/>
    <row r="54105" s="12" customFormat="1" x14ac:dyDescent="0.25"/>
    <row r="54106" s="12" customFormat="1" x14ac:dyDescent="0.25"/>
    <row r="54107" s="12" customFormat="1" x14ac:dyDescent="0.25"/>
    <row r="54108" s="12" customFormat="1" x14ac:dyDescent="0.25"/>
    <row r="54109" s="12" customFormat="1" x14ac:dyDescent="0.25"/>
    <row r="54110" s="12" customFormat="1" x14ac:dyDescent="0.25"/>
    <row r="54111" s="12" customFormat="1" x14ac:dyDescent="0.25"/>
    <row r="54112" s="12" customFormat="1" x14ac:dyDescent="0.25"/>
    <row r="54113" s="12" customFormat="1" x14ac:dyDescent="0.25"/>
    <row r="54114" s="12" customFormat="1" x14ac:dyDescent="0.25"/>
    <row r="54115" s="12" customFormat="1" x14ac:dyDescent="0.25"/>
    <row r="54116" s="12" customFormat="1" x14ac:dyDescent="0.25"/>
    <row r="54117" s="12" customFormat="1" x14ac:dyDescent="0.25"/>
    <row r="54118" s="12" customFormat="1" x14ac:dyDescent="0.25"/>
    <row r="54119" s="12" customFormat="1" x14ac:dyDescent="0.25"/>
    <row r="54120" s="12" customFormat="1" x14ac:dyDescent="0.25"/>
    <row r="54121" s="12" customFormat="1" x14ac:dyDescent="0.25"/>
    <row r="54122" s="12" customFormat="1" x14ac:dyDescent="0.25"/>
    <row r="54123" s="12" customFormat="1" x14ac:dyDescent="0.25"/>
    <row r="54124" s="12" customFormat="1" x14ac:dyDescent="0.25"/>
    <row r="54125" s="12" customFormat="1" x14ac:dyDescent="0.25"/>
    <row r="54126" s="12" customFormat="1" x14ac:dyDescent="0.25"/>
    <row r="54127" s="12" customFormat="1" x14ac:dyDescent="0.25"/>
    <row r="54128" s="12" customFormat="1" x14ac:dyDescent="0.25"/>
    <row r="54129" s="12" customFormat="1" x14ac:dyDescent="0.25"/>
    <row r="54130" s="12" customFormat="1" x14ac:dyDescent="0.25"/>
    <row r="54131" s="12" customFormat="1" x14ac:dyDescent="0.25"/>
    <row r="54132" s="12" customFormat="1" x14ac:dyDescent="0.25"/>
    <row r="54133" s="12" customFormat="1" x14ac:dyDescent="0.25"/>
    <row r="54134" s="12" customFormat="1" x14ac:dyDescent="0.25"/>
    <row r="54135" s="12" customFormat="1" x14ac:dyDescent="0.25"/>
    <row r="54136" s="12" customFormat="1" x14ac:dyDescent="0.25"/>
    <row r="54137" s="12" customFormat="1" x14ac:dyDescent="0.25"/>
    <row r="54138" s="12" customFormat="1" x14ac:dyDescent="0.25"/>
    <row r="54139" s="12" customFormat="1" x14ac:dyDescent="0.25"/>
    <row r="54140" s="12" customFormat="1" x14ac:dyDescent="0.25"/>
    <row r="54141" s="12" customFormat="1" x14ac:dyDescent="0.25"/>
    <row r="54142" s="12" customFormat="1" x14ac:dyDescent="0.25"/>
    <row r="54143" s="12" customFormat="1" x14ac:dyDescent="0.25"/>
    <row r="54144" s="12" customFormat="1" x14ac:dyDescent="0.25"/>
    <row r="54145" s="12" customFormat="1" x14ac:dyDescent="0.25"/>
    <row r="54146" s="12" customFormat="1" x14ac:dyDescent="0.25"/>
    <row r="54147" s="12" customFormat="1" x14ac:dyDescent="0.25"/>
    <row r="54148" s="12" customFormat="1" x14ac:dyDescent="0.25"/>
    <row r="54149" s="12" customFormat="1" x14ac:dyDescent="0.25"/>
    <row r="54150" s="12" customFormat="1" x14ac:dyDescent="0.25"/>
    <row r="54151" s="12" customFormat="1" x14ac:dyDescent="0.25"/>
    <row r="54152" s="12" customFormat="1" x14ac:dyDescent="0.25"/>
    <row r="54153" s="12" customFormat="1" x14ac:dyDescent="0.25"/>
    <row r="54154" s="12" customFormat="1" x14ac:dyDescent="0.25"/>
    <row r="54155" s="12" customFormat="1" x14ac:dyDescent="0.25"/>
    <row r="54156" s="12" customFormat="1" x14ac:dyDescent="0.25"/>
    <row r="54157" s="12" customFormat="1" x14ac:dyDescent="0.25"/>
    <row r="54158" s="12" customFormat="1" x14ac:dyDescent="0.25"/>
    <row r="54159" s="12" customFormat="1" x14ac:dyDescent="0.25"/>
    <row r="54160" s="12" customFormat="1" x14ac:dyDescent="0.25"/>
    <row r="54161" s="12" customFormat="1" x14ac:dyDescent="0.25"/>
    <row r="54162" s="12" customFormat="1" x14ac:dyDescent="0.25"/>
    <row r="54163" s="12" customFormat="1" x14ac:dyDescent="0.25"/>
    <row r="54164" s="12" customFormat="1" x14ac:dyDescent="0.25"/>
    <row r="54165" s="12" customFormat="1" x14ac:dyDescent="0.25"/>
    <row r="54166" s="12" customFormat="1" x14ac:dyDescent="0.25"/>
    <row r="54167" s="12" customFormat="1" x14ac:dyDescent="0.25"/>
    <row r="54168" s="12" customFormat="1" x14ac:dyDescent="0.25"/>
    <row r="54169" s="12" customFormat="1" x14ac:dyDescent="0.25"/>
    <row r="54170" s="12" customFormat="1" x14ac:dyDescent="0.25"/>
    <row r="54171" s="12" customFormat="1" x14ac:dyDescent="0.25"/>
    <row r="54172" s="12" customFormat="1" x14ac:dyDescent="0.25"/>
    <row r="54173" s="12" customFormat="1" x14ac:dyDescent="0.25"/>
    <row r="54174" s="12" customFormat="1" x14ac:dyDescent="0.25"/>
    <row r="54175" s="12" customFormat="1" x14ac:dyDescent="0.25"/>
    <row r="54176" s="12" customFormat="1" x14ac:dyDescent="0.25"/>
    <row r="54177" s="12" customFormat="1" x14ac:dyDescent="0.25"/>
    <row r="54178" s="12" customFormat="1" x14ac:dyDescent="0.25"/>
    <row r="54179" s="12" customFormat="1" x14ac:dyDescent="0.25"/>
    <row r="54180" s="12" customFormat="1" x14ac:dyDescent="0.25"/>
    <row r="54181" s="12" customFormat="1" x14ac:dyDescent="0.25"/>
    <row r="54182" s="12" customFormat="1" x14ac:dyDescent="0.25"/>
    <row r="54183" s="12" customFormat="1" x14ac:dyDescent="0.25"/>
    <row r="54184" s="12" customFormat="1" x14ac:dyDescent="0.25"/>
    <row r="54185" s="12" customFormat="1" x14ac:dyDescent="0.25"/>
    <row r="54186" s="12" customFormat="1" x14ac:dyDescent="0.25"/>
    <row r="54187" s="12" customFormat="1" x14ac:dyDescent="0.25"/>
    <row r="54188" s="12" customFormat="1" x14ac:dyDescent="0.25"/>
    <row r="54189" s="12" customFormat="1" x14ac:dyDescent="0.25"/>
    <row r="54190" s="12" customFormat="1" x14ac:dyDescent="0.25"/>
    <row r="54191" s="12" customFormat="1" x14ac:dyDescent="0.25"/>
    <row r="54192" s="12" customFormat="1" x14ac:dyDescent="0.25"/>
    <row r="54193" s="12" customFormat="1" x14ac:dyDescent="0.25"/>
    <row r="54194" s="12" customFormat="1" x14ac:dyDescent="0.25"/>
    <row r="54195" s="12" customFormat="1" x14ac:dyDescent="0.25"/>
    <row r="54196" s="12" customFormat="1" x14ac:dyDescent="0.25"/>
    <row r="54197" s="12" customFormat="1" x14ac:dyDescent="0.25"/>
    <row r="54198" s="12" customFormat="1" x14ac:dyDescent="0.25"/>
    <row r="54199" s="12" customFormat="1" x14ac:dyDescent="0.25"/>
    <row r="54200" s="12" customFormat="1" x14ac:dyDescent="0.25"/>
    <row r="54201" s="12" customFormat="1" x14ac:dyDescent="0.25"/>
    <row r="54202" s="12" customFormat="1" x14ac:dyDescent="0.25"/>
    <row r="54203" s="12" customFormat="1" x14ac:dyDescent="0.25"/>
    <row r="54204" s="12" customFormat="1" x14ac:dyDescent="0.25"/>
    <row r="54205" s="12" customFormat="1" x14ac:dyDescent="0.25"/>
    <row r="54206" s="12" customFormat="1" x14ac:dyDescent="0.25"/>
    <row r="54207" s="12" customFormat="1" x14ac:dyDescent="0.25"/>
    <row r="54208" s="12" customFormat="1" x14ac:dyDescent="0.25"/>
    <row r="54209" s="12" customFormat="1" x14ac:dyDescent="0.25"/>
    <row r="54210" s="12" customFormat="1" x14ac:dyDescent="0.25"/>
    <row r="54211" s="12" customFormat="1" x14ac:dyDescent="0.25"/>
    <row r="54212" s="12" customFormat="1" x14ac:dyDescent="0.25"/>
    <row r="54213" s="12" customFormat="1" x14ac:dyDescent="0.25"/>
    <row r="54214" s="12" customFormat="1" x14ac:dyDescent="0.25"/>
    <row r="54215" s="12" customFormat="1" x14ac:dyDescent="0.25"/>
    <row r="54216" s="12" customFormat="1" x14ac:dyDescent="0.25"/>
    <row r="54217" s="12" customFormat="1" x14ac:dyDescent="0.25"/>
    <row r="54218" s="12" customFormat="1" x14ac:dyDescent="0.25"/>
    <row r="54219" s="12" customFormat="1" x14ac:dyDescent="0.25"/>
    <row r="54220" s="12" customFormat="1" x14ac:dyDescent="0.25"/>
    <row r="54221" s="12" customFormat="1" x14ac:dyDescent="0.25"/>
    <row r="54222" s="12" customFormat="1" x14ac:dyDescent="0.25"/>
    <row r="54223" s="12" customFormat="1" x14ac:dyDescent="0.25"/>
    <row r="54224" s="12" customFormat="1" x14ac:dyDescent="0.25"/>
    <row r="54225" s="12" customFormat="1" x14ac:dyDescent="0.25"/>
    <row r="54226" s="12" customFormat="1" x14ac:dyDescent="0.25"/>
    <row r="54227" s="12" customFormat="1" x14ac:dyDescent="0.25"/>
    <row r="54228" s="12" customFormat="1" x14ac:dyDescent="0.25"/>
    <row r="54229" s="12" customFormat="1" x14ac:dyDescent="0.25"/>
    <row r="54230" s="12" customFormat="1" x14ac:dyDescent="0.25"/>
    <row r="54231" s="12" customFormat="1" x14ac:dyDescent="0.25"/>
    <row r="54232" s="12" customFormat="1" x14ac:dyDescent="0.25"/>
    <row r="54233" s="12" customFormat="1" x14ac:dyDescent="0.25"/>
    <row r="54234" s="12" customFormat="1" x14ac:dyDescent="0.25"/>
    <row r="54235" s="12" customFormat="1" x14ac:dyDescent="0.25"/>
    <row r="54236" s="12" customFormat="1" x14ac:dyDescent="0.25"/>
    <row r="54237" s="12" customFormat="1" x14ac:dyDescent="0.25"/>
    <row r="54238" s="12" customFormat="1" x14ac:dyDescent="0.25"/>
    <row r="54239" s="12" customFormat="1" x14ac:dyDescent="0.25"/>
    <row r="54240" s="12" customFormat="1" x14ac:dyDescent="0.25"/>
    <row r="54241" s="12" customFormat="1" x14ac:dyDescent="0.25"/>
    <row r="54242" s="12" customFormat="1" x14ac:dyDescent="0.25"/>
    <row r="54243" s="12" customFormat="1" x14ac:dyDescent="0.25"/>
    <row r="54244" s="12" customFormat="1" x14ac:dyDescent="0.25"/>
    <row r="54245" s="12" customFormat="1" x14ac:dyDescent="0.25"/>
    <row r="54246" s="12" customFormat="1" x14ac:dyDescent="0.25"/>
    <row r="54247" s="12" customFormat="1" x14ac:dyDescent="0.25"/>
    <row r="54248" s="12" customFormat="1" x14ac:dyDescent="0.25"/>
    <row r="54249" s="12" customFormat="1" x14ac:dyDescent="0.25"/>
    <row r="54250" s="12" customFormat="1" x14ac:dyDescent="0.25"/>
    <row r="54251" s="12" customFormat="1" x14ac:dyDescent="0.25"/>
    <row r="54252" s="12" customFormat="1" x14ac:dyDescent="0.25"/>
    <row r="54253" s="12" customFormat="1" x14ac:dyDescent="0.25"/>
    <row r="54254" s="12" customFormat="1" x14ac:dyDescent="0.25"/>
    <row r="54255" s="12" customFormat="1" x14ac:dyDescent="0.25"/>
    <row r="54256" s="12" customFormat="1" x14ac:dyDescent="0.25"/>
    <row r="54257" s="12" customFormat="1" x14ac:dyDescent="0.25"/>
    <row r="54258" s="12" customFormat="1" x14ac:dyDescent="0.25"/>
    <row r="54259" s="12" customFormat="1" x14ac:dyDescent="0.25"/>
    <row r="54260" s="12" customFormat="1" x14ac:dyDescent="0.25"/>
    <row r="54261" s="12" customFormat="1" x14ac:dyDescent="0.25"/>
    <row r="54262" s="12" customFormat="1" x14ac:dyDescent="0.25"/>
    <row r="54263" s="12" customFormat="1" x14ac:dyDescent="0.25"/>
    <row r="54264" s="12" customFormat="1" x14ac:dyDescent="0.25"/>
    <row r="54265" s="12" customFormat="1" x14ac:dyDescent="0.25"/>
    <row r="54266" s="12" customFormat="1" x14ac:dyDescent="0.25"/>
    <row r="54267" s="12" customFormat="1" x14ac:dyDescent="0.25"/>
    <row r="54268" s="12" customFormat="1" x14ac:dyDescent="0.25"/>
    <row r="54269" s="12" customFormat="1" x14ac:dyDescent="0.25"/>
    <row r="54270" s="12" customFormat="1" x14ac:dyDescent="0.25"/>
    <row r="54271" s="12" customFormat="1" x14ac:dyDescent="0.25"/>
    <row r="54272" s="12" customFormat="1" x14ac:dyDescent="0.25"/>
    <row r="54273" s="12" customFormat="1" x14ac:dyDescent="0.25"/>
    <row r="54274" s="12" customFormat="1" x14ac:dyDescent="0.25"/>
    <row r="54275" s="12" customFormat="1" x14ac:dyDescent="0.25"/>
    <row r="54276" s="12" customFormat="1" x14ac:dyDescent="0.25"/>
    <row r="54277" s="12" customFormat="1" x14ac:dyDescent="0.25"/>
    <row r="54278" s="12" customFormat="1" x14ac:dyDescent="0.25"/>
    <row r="54279" s="12" customFormat="1" x14ac:dyDescent="0.25"/>
    <row r="54280" s="12" customFormat="1" x14ac:dyDescent="0.25"/>
    <row r="54281" s="12" customFormat="1" x14ac:dyDescent="0.25"/>
    <row r="54282" s="12" customFormat="1" x14ac:dyDescent="0.25"/>
    <row r="54283" s="12" customFormat="1" x14ac:dyDescent="0.25"/>
    <row r="54284" s="12" customFormat="1" x14ac:dyDescent="0.25"/>
    <row r="54285" s="12" customFormat="1" x14ac:dyDescent="0.25"/>
    <row r="54286" s="12" customFormat="1" x14ac:dyDescent="0.25"/>
    <row r="54287" s="12" customFormat="1" x14ac:dyDescent="0.25"/>
    <row r="54288" s="12" customFormat="1" x14ac:dyDescent="0.25"/>
    <row r="54289" s="12" customFormat="1" x14ac:dyDescent="0.25"/>
    <row r="54290" s="12" customFormat="1" x14ac:dyDescent="0.25"/>
    <row r="54291" s="12" customFormat="1" x14ac:dyDescent="0.25"/>
    <row r="54292" s="12" customFormat="1" x14ac:dyDescent="0.25"/>
    <row r="54293" s="12" customFormat="1" x14ac:dyDescent="0.25"/>
    <row r="54294" s="12" customFormat="1" x14ac:dyDescent="0.25"/>
    <row r="54295" s="12" customFormat="1" x14ac:dyDescent="0.25"/>
    <row r="54296" s="12" customFormat="1" x14ac:dyDescent="0.25"/>
    <row r="54297" s="12" customFormat="1" x14ac:dyDescent="0.25"/>
    <row r="54298" s="12" customFormat="1" x14ac:dyDescent="0.25"/>
    <row r="54299" s="12" customFormat="1" x14ac:dyDescent="0.25"/>
    <row r="54300" s="12" customFormat="1" x14ac:dyDescent="0.25"/>
    <row r="54301" s="12" customFormat="1" x14ac:dyDescent="0.25"/>
    <row r="54302" s="12" customFormat="1" x14ac:dyDescent="0.25"/>
    <row r="54303" s="12" customFormat="1" x14ac:dyDescent="0.25"/>
    <row r="54304" s="12" customFormat="1" x14ac:dyDescent="0.25"/>
    <row r="54305" s="12" customFormat="1" x14ac:dyDescent="0.25"/>
    <row r="54306" s="12" customFormat="1" x14ac:dyDescent="0.25"/>
    <row r="54307" s="12" customFormat="1" x14ac:dyDescent="0.25"/>
    <row r="54308" s="12" customFormat="1" x14ac:dyDescent="0.25"/>
    <row r="54309" s="12" customFormat="1" x14ac:dyDescent="0.25"/>
    <row r="54310" s="12" customFormat="1" x14ac:dyDescent="0.25"/>
    <row r="54311" s="12" customFormat="1" x14ac:dyDescent="0.25"/>
    <row r="54312" s="12" customFormat="1" x14ac:dyDescent="0.25"/>
    <row r="54313" s="12" customFormat="1" x14ac:dyDescent="0.25"/>
    <row r="54314" s="12" customFormat="1" x14ac:dyDescent="0.25"/>
    <row r="54315" s="12" customFormat="1" x14ac:dyDescent="0.25"/>
    <row r="54316" s="12" customFormat="1" x14ac:dyDescent="0.25"/>
    <row r="54317" s="12" customFormat="1" x14ac:dyDescent="0.25"/>
    <row r="54318" s="12" customFormat="1" x14ac:dyDescent="0.25"/>
    <row r="54319" s="12" customFormat="1" x14ac:dyDescent="0.25"/>
    <row r="54320" s="12" customFormat="1" x14ac:dyDescent="0.25"/>
    <row r="54321" s="12" customFormat="1" x14ac:dyDescent="0.25"/>
    <row r="54322" s="12" customFormat="1" x14ac:dyDescent="0.25"/>
    <row r="54323" s="12" customFormat="1" x14ac:dyDescent="0.25"/>
    <row r="54324" s="12" customFormat="1" x14ac:dyDescent="0.25"/>
    <row r="54325" s="12" customFormat="1" x14ac:dyDescent="0.25"/>
    <row r="54326" s="12" customFormat="1" x14ac:dyDescent="0.25"/>
    <row r="54327" s="12" customFormat="1" x14ac:dyDescent="0.25"/>
    <row r="54328" s="12" customFormat="1" x14ac:dyDescent="0.25"/>
    <row r="54329" s="12" customFormat="1" x14ac:dyDescent="0.25"/>
    <row r="54330" s="12" customFormat="1" x14ac:dyDescent="0.25"/>
    <row r="54331" s="12" customFormat="1" x14ac:dyDescent="0.25"/>
    <row r="54332" s="12" customFormat="1" x14ac:dyDescent="0.25"/>
    <row r="54333" s="12" customFormat="1" x14ac:dyDescent="0.25"/>
    <row r="54334" s="12" customFormat="1" x14ac:dyDescent="0.25"/>
    <row r="54335" s="12" customFormat="1" x14ac:dyDescent="0.25"/>
    <row r="54336" s="12" customFormat="1" x14ac:dyDescent="0.25"/>
    <row r="54337" s="12" customFormat="1" x14ac:dyDescent="0.25"/>
    <row r="54338" s="12" customFormat="1" x14ac:dyDescent="0.25"/>
    <row r="54339" s="12" customFormat="1" x14ac:dyDescent="0.25"/>
    <row r="54340" s="12" customFormat="1" x14ac:dyDescent="0.25"/>
    <row r="54341" s="12" customFormat="1" x14ac:dyDescent="0.25"/>
    <row r="54342" s="12" customFormat="1" x14ac:dyDescent="0.25"/>
    <row r="54343" s="12" customFormat="1" x14ac:dyDescent="0.25"/>
    <row r="54344" s="12" customFormat="1" x14ac:dyDescent="0.25"/>
    <row r="54345" s="12" customFormat="1" x14ac:dyDescent="0.25"/>
    <row r="54346" s="12" customFormat="1" x14ac:dyDescent="0.25"/>
    <row r="54347" s="12" customFormat="1" x14ac:dyDescent="0.25"/>
    <row r="54348" s="12" customFormat="1" x14ac:dyDescent="0.25"/>
    <row r="54349" s="12" customFormat="1" x14ac:dyDescent="0.25"/>
    <row r="54350" s="12" customFormat="1" x14ac:dyDescent="0.25"/>
    <row r="54351" s="12" customFormat="1" x14ac:dyDescent="0.25"/>
    <row r="54352" s="12" customFormat="1" x14ac:dyDescent="0.25"/>
    <row r="54353" s="12" customFormat="1" x14ac:dyDescent="0.25"/>
    <row r="54354" s="12" customFormat="1" x14ac:dyDescent="0.25"/>
    <row r="54355" s="12" customFormat="1" x14ac:dyDescent="0.25"/>
    <row r="54356" s="12" customFormat="1" x14ac:dyDescent="0.25"/>
    <row r="54357" s="12" customFormat="1" x14ac:dyDescent="0.25"/>
    <row r="54358" s="12" customFormat="1" x14ac:dyDescent="0.25"/>
    <row r="54359" s="12" customFormat="1" x14ac:dyDescent="0.25"/>
    <row r="54360" s="12" customFormat="1" x14ac:dyDescent="0.25"/>
    <row r="54361" s="12" customFormat="1" x14ac:dyDescent="0.25"/>
    <row r="54362" s="12" customFormat="1" x14ac:dyDescent="0.25"/>
    <row r="54363" s="12" customFormat="1" x14ac:dyDescent="0.25"/>
    <row r="54364" s="12" customFormat="1" x14ac:dyDescent="0.25"/>
    <row r="54365" s="12" customFormat="1" x14ac:dyDescent="0.25"/>
    <row r="54366" s="12" customFormat="1" x14ac:dyDescent="0.25"/>
    <row r="54367" s="12" customFormat="1" x14ac:dyDescent="0.25"/>
    <row r="54368" s="12" customFormat="1" x14ac:dyDescent="0.25"/>
    <row r="54369" s="12" customFormat="1" x14ac:dyDescent="0.25"/>
    <row r="54370" s="12" customFormat="1" x14ac:dyDescent="0.25"/>
    <row r="54371" s="12" customFormat="1" x14ac:dyDescent="0.25"/>
    <row r="54372" s="12" customFormat="1" x14ac:dyDescent="0.25"/>
    <row r="54373" s="12" customFormat="1" x14ac:dyDescent="0.25"/>
    <row r="54374" s="12" customFormat="1" x14ac:dyDescent="0.25"/>
    <row r="54375" s="12" customFormat="1" x14ac:dyDescent="0.25"/>
    <row r="54376" s="12" customFormat="1" x14ac:dyDescent="0.25"/>
    <row r="54377" s="12" customFormat="1" x14ac:dyDescent="0.25"/>
    <row r="54378" s="12" customFormat="1" x14ac:dyDescent="0.25"/>
    <row r="54379" s="12" customFormat="1" x14ac:dyDescent="0.25"/>
    <row r="54380" s="12" customFormat="1" x14ac:dyDescent="0.25"/>
    <row r="54381" s="12" customFormat="1" x14ac:dyDescent="0.25"/>
    <row r="54382" s="12" customFormat="1" x14ac:dyDescent="0.25"/>
    <row r="54383" s="12" customFormat="1" x14ac:dyDescent="0.25"/>
    <row r="54384" s="12" customFormat="1" x14ac:dyDescent="0.25"/>
    <row r="54385" s="12" customFormat="1" x14ac:dyDescent="0.25"/>
    <row r="54386" s="12" customFormat="1" x14ac:dyDescent="0.25"/>
    <row r="54387" s="12" customFormat="1" x14ac:dyDescent="0.25"/>
    <row r="54388" s="12" customFormat="1" x14ac:dyDescent="0.25"/>
    <row r="54389" s="12" customFormat="1" x14ac:dyDescent="0.25"/>
    <row r="54390" s="12" customFormat="1" x14ac:dyDescent="0.25"/>
    <row r="54391" s="12" customFormat="1" x14ac:dyDescent="0.25"/>
    <row r="54392" s="12" customFormat="1" x14ac:dyDescent="0.25"/>
    <row r="54393" s="12" customFormat="1" x14ac:dyDescent="0.25"/>
    <row r="54394" s="12" customFormat="1" x14ac:dyDescent="0.25"/>
    <row r="54395" s="12" customFormat="1" x14ac:dyDescent="0.25"/>
    <row r="54396" s="12" customFormat="1" x14ac:dyDescent="0.25"/>
    <row r="54397" s="12" customFormat="1" x14ac:dyDescent="0.25"/>
    <row r="54398" s="12" customFormat="1" x14ac:dyDescent="0.25"/>
    <row r="54399" s="12" customFormat="1" x14ac:dyDescent="0.25"/>
    <row r="54400" s="12" customFormat="1" x14ac:dyDescent="0.25"/>
    <row r="54401" s="12" customFormat="1" x14ac:dyDescent="0.25"/>
    <row r="54402" s="12" customFormat="1" x14ac:dyDescent="0.25"/>
    <row r="54403" s="12" customFormat="1" x14ac:dyDescent="0.25"/>
    <row r="54404" s="12" customFormat="1" x14ac:dyDescent="0.25"/>
    <row r="54405" s="12" customFormat="1" x14ac:dyDescent="0.25"/>
    <row r="54406" s="12" customFormat="1" x14ac:dyDescent="0.25"/>
    <row r="54407" s="12" customFormat="1" x14ac:dyDescent="0.25"/>
    <row r="54408" s="12" customFormat="1" x14ac:dyDescent="0.25"/>
    <row r="54409" s="12" customFormat="1" x14ac:dyDescent="0.25"/>
    <row r="54410" s="12" customFormat="1" x14ac:dyDescent="0.25"/>
    <row r="54411" s="12" customFormat="1" x14ac:dyDescent="0.25"/>
    <row r="54412" s="12" customFormat="1" x14ac:dyDescent="0.25"/>
    <row r="54413" s="12" customFormat="1" x14ac:dyDescent="0.25"/>
    <row r="54414" s="12" customFormat="1" x14ac:dyDescent="0.25"/>
    <row r="54415" s="12" customFormat="1" x14ac:dyDescent="0.25"/>
    <row r="54416" s="12" customFormat="1" x14ac:dyDescent="0.25"/>
    <row r="54417" s="12" customFormat="1" x14ac:dyDescent="0.25"/>
    <row r="54418" s="12" customFormat="1" x14ac:dyDescent="0.25"/>
    <row r="54419" s="12" customFormat="1" x14ac:dyDescent="0.25"/>
    <row r="54420" s="12" customFormat="1" x14ac:dyDescent="0.25"/>
    <row r="54421" s="12" customFormat="1" x14ac:dyDescent="0.25"/>
    <row r="54422" s="12" customFormat="1" x14ac:dyDescent="0.25"/>
    <row r="54423" s="12" customFormat="1" x14ac:dyDescent="0.25"/>
    <row r="54424" s="12" customFormat="1" x14ac:dyDescent="0.25"/>
    <row r="54425" s="12" customFormat="1" x14ac:dyDescent="0.25"/>
    <row r="54426" s="12" customFormat="1" x14ac:dyDescent="0.25"/>
    <row r="54427" s="12" customFormat="1" x14ac:dyDescent="0.25"/>
    <row r="54428" s="12" customFormat="1" x14ac:dyDescent="0.25"/>
    <row r="54429" s="12" customFormat="1" x14ac:dyDescent="0.25"/>
    <row r="54430" s="12" customFormat="1" x14ac:dyDescent="0.25"/>
    <row r="54431" s="12" customFormat="1" x14ac:dyDescent="0.25"/>
    <row r="54432" s="12" customFormat="1" x14ac:dyDescent="0.25"/>
    <row r="54433" s="12" customFormat="1" x14ac:dyDescent="0.25"/>
    <row r="54434" s="12" customFormat="1" x14ac:dyDescent="0.25"/>
    <row r="54435" s="12" customFormat="1" x14ac:dyDescent="0.25"/>
    <row r="54436" s="12" customFormat="1" x14ac:dyDescent="0.25"/>
    <row r="54437" s="12" customFormat="1" x14ac:dyDescent="0.25"/>
    <row r="54438" s="12" customFormat="1" x14ac:dyDescent="0.25"/>
    <row r="54439" s="12" customFormat="1" x14ac:dyDescent="0.25"/>
    <row r="54440" s="12" customFormat="1" x14ac:dyDescent="0.25"/>
    <row r="54441" s="12" customFormat="1" x14ac:dyDescent="0.25"/>
    <row r="54442" s="12" customFormat="1" x14ac:dyDescent="0.25"/>
    <row r="54443" s="12" customFormat="1" x14ac:dyDescent="0.25"/>
    <row r="54444" s="12" customFormat="1" x14ac:dyDescent="0.25"/>
    <row r="54445" s="12" customFormat="1" x14ac:dyDescent="0.25"/>
    <row r="54446" s="12" customFormat="1" x14ac:dyDescent="0.25"/>
    <row r="54447" s="12" customFormat="1" x14ac:dyDescent="0.25"/>
    <row r="54448" s="12" customFormat="1" x14ac:dyDescent="0.25"/>
    <row r="54449" s="12" customFormat="1" x14ac:dyDescent="0.25"/>
    <row r="54450" s="12" customFormat="1" x14ac:dyDescent="0.25"/>
    <row r="54451" s="12" customFormat="1" x14ac:dyDescent="0.25"/>
    <row r="54452" s="12" customFormat="1" x14ac:dyDescent="0.25"/>
    <row r="54453" s="12" customFormat="1" x14ac:dyDescent="0.25"/>
    <row r="54454" s="12" customFormat="1" x14ac:dyDescent="0.25"/>
    <row r="54455" s="12" customFormat="1" x14ac:dyDescent="0.25"/>
    <row r="54456" s="12" customFormat="1" x14ac:dyDescent="0.25"/>
    <row r="54457" s="12" customFormat="1" x14ac:dyDescent="0.25"/>
    <row r="54458" s="12" customFormat="1" x14ac:dyDescent="0.25"/>
    <row r="54459" s="12" customFormat="1" x14ac:dyDescent="0.25"/>
    <row r="54460" s="12" customFormat="1" x14ac:dyDescent="0.25"/>
    <row r="54461" s="12" customFormat="1" x14ac:dyDescent="0.25"/>
    <row r="54462" s="12" customFormat="1" x14ac:dyDescent="0.25"/>
    <row r="54463" s="12" customFormat="1" x14ac:dyDescent="0.25"/>
    <row r="54464" s="12" customFormat="1" x14ac:dyDescent="0.25"/>
    <row r="54465" s="12" customFormat="1" x14ac:dyDescent="0.25"/>
    <row r="54466" s="12" customFormat="1" x14ac:dyDescent="0.25"/>
    <row r="54467" s="12" customFormat="1" x14ac:dyDescent="0.25"/>
    <row r="54468" s="12" customFormat="1" x14ac:dyDescent="0.25"/>
    <row r="54469" s="12" customFormat="1" x14ac:dyDescent="0.25"/>
    <row r="54470" s="12" customFormat="1" x14ac:dyDescent="0.25"/>
    <row r="54471" s="12" customFormat="1" x14ac:dyDescent="0.25"/>
    <row r="54472" s="12" customFormat="1" x14ac:dyDescent="0.25"/>
    <row r="54473" s="12" customFormat="1" x14ac:dyDescent="0.25"/>
    <row r="54474" s="12" customFormat="1" x14ac:dyDescent="0.25"/>
    <row r="54475" s="12" customFormat="1" x14ac:dyDescent="0.25"/>
    <row r="54476" s="12" customFormat="1" x14ac:dyDescent="0.25"/>
    <row r="54477" s="12" customFormat="1" x14ac:dyDescent="0.25"/>
    <row r="54478" s="12" customFormat="1" x14ac:dyDescent="0.25"/>
    <row r="54479" s="12" customFormat="1" x14ac:dyDescent="0.25"/>
    <row r="54480" s="12" customFormat="1" x14ac:dyDescent="0.25"/>
    <row r="54481" s="12" customFormat="1" x14ac:dyDescent="0.25"/>
    <row r="54482" s="12" customFormat="1" x14ac:dyDescent="0.25"/>
    <row r="54483" s="12" customFormat="1" x14ac:dyDescent="0.25"/>
    <row r="54484" s="12" customFormat="1" x14ac:dyDescent="0.25"/>
    <row r="54485" s="12" customFormat="1" x14ac:dyDescent="0.25"/>
    <row r="54486" s="12" customFormat="1" x14ac:dyDescent="0.25"/>
    <row r="54487" s="12" customFormat="1" x14ac:dyDescent="0.25"/>
    <row r="54488" s="12" customFormat="1" x14ac:dyDescent="0.25"/>
    <row r="54489" s="12" customFormat="1" x14ac:dyDescent="0.25"/>
    <row r="54490" s="12" customFormat="1" x14ac:dyDescent="0.25"/>
    <row r="54491" s="12" customFormat="1" x14ac:dyDescent="0.25"/>
    <row r="54492" s="12" customFormat="1" x14ac:dyDescent="0.25"/>
    <row r="54493" s="12" customFormat="1" x14ac:dyDescent="0.25"/>
    <row r="54494" s="12" customFormat="1" x14ac:dyDescent="0.25"/>
    <row r="54495" s="12" customFormat="1" x14ac:dyDescent="0.25"/>
    <row r="54496" s="12" customFormat="1" x14ac:dyDescent="0.25"/>
    <row r="54497" s="12" customFormat="1" x14ac:dyDescent="0.25"/>
    <row r="54498" s="12" customFormat="1" x14ac:dyDescent="0.25"/>
    <row r="54499" s="12" customFormat="1" x14ac:dyDescent="0.25"/>
    <row r="54500" s="12" customFormat="1" x14ac:dyDescent="0.25"/>
    <row r="54501" s="12" customFormat="1" x14ac:dyDescent="0.25"/>
    <row r="54502" s="12" customFormat="1" x14ac:dyDescent="0.25"/>
    <row r="54503" s="12" customFormat="1" x14ac:dyDescent="0.25"/>
    <row r="54504" s="12" customFormat="1" x14ac:dyDescent="0.25"/>
    <row r="54505" s="12" customFormat="1" x14ac:dyDescent="0.25"/>
    <row r="54506" s="12" customFormat="1" x14ac:dyDescent="0.25"/>
    <row r="54507" s="12" customFormat="1" x14ac:dyDescent="0.25"/>
    <row r="54508" s="12" customFormat="1" x14ac:dyDescent="0.25"/>
    <row r="54509" s="12" customFormat="1" x14ac:dyDescent="0.25"/>
    <row r="54510" s="12" customFormat="1" x14ac:dyDescent="0.25"/>
    <row r="54511" s="12" customFormat="1" x14ac:dyDescent="0.25"/>
    <row r="54512" s="12" customFormat="1" x14ac:dyDescent="0.25"/>
    <row r="54513" s="12" customFormat="1" x14ac:dyDescent="0.25"/>
    <row r="54514" s="12" customFormat="1" x14ac:dyDescent="0.25"/>
    <row r="54515" s="12" customFormat="1" x14ac:dyDescent="0.25"/>
    <row r="54516" s="12" customFormat="1" x14ac:dyDescent="0.25"/>
    <row r="54517" s="12" customFormat="1" x14ac:dyDescent="0.25"/>
    <row r="54518" s="12" customFormat="1" x14ac:dyDescent="0.25"/>
    <row r="54519" s="12" customFormat="1" x14ac:dyDescent="0.25"/>
    <row r="54520" s="12" customFormat="1" x14ac:dyDescent="0.25"/>
    <row r="54521" s="12" customFormat="1" x14ac:dyDescent="0.25"/>
    <row r="54522" s="12" customFormat="1" x14ac:dyDescent="0.25"/>
    <row r="54523" s="12" customFormat="1" x14ac:dyDescent="0.25"/>
    <row r="54524" s="12" customFormat="1" x14ac:dyDescent="0.25"/>
    <row r="54525" s="12" customFormat="1" x14ac:dyDescent="0.25"/>
    <row r="54526" s="12" customFormat="1" x14ac:dyDescent="0.25"/>
    <row r="54527" s="12" customFormat="1" x14ac:dyDescent="0.25"/>
    <row r="54528" s="12" customFormat="1" x14ac:dyDescent="0.25"/>
    <row r="54529" s="12" customFormat="1" x14ac:dyDescent="0.25"/>
    <row r="54530" s="12" customFormat="1" x14ac:dyDescent="0.25"/>
    <row r="54531" s="12" customFormat="1" x14ac:dyDescent="0.25"/>
    <row r="54532" s="12" customFormat="1" x14ac:dyDescent="0.25"/>
    <row r="54533" s="12" customFormat="1" x14ac:dyDescent="0.25"/>
    <row r="54534" s="12" customFormat="1" x14ac:dyDescent="0.25"/>
    <row r="54535" s="12" customFormat="1" x14ac:dyDescent="0.25"/>
    <row r="54536" s="12" customFormat="1" x14ac:dyDescent="0.25"/>
    <row r="54537" s="12" customFormat="1" x14ac:dyDescent="0.25"/>
    <row r="54538" s="12" customFormat="1" x14ac:dyDescent="0.25"/>
    <row r="54539" s="12" customFormat="1" x14ac:dyDescent="0.25"/>
    <row r="54540" s="12" customFormat="1" x14ac:dyDescent="0.25"/>
    <row r="54541" s="12" customFormat="1" x14ac:dyDescent="0.25"/>
    <row r="54542" s="12" customFormat="1" x14ac:dyDescent="0.25"/>
    <row r="54543" s="12" customFormat="1" x14ac:dyDescent="0.25"/>
    <row r="54544" s="12" customFormat="1" x14ac:dyDescent="0.25"/>
    <row r="54545" s="12" customFormat="1" x14ac:dyDescent="0.25"/>
    <row r="54546" s="12" customFormat="1" x14ac:dyDescent="0.25"/>
    <row r="54547" s="12" customFormat="1" x14ac:dyDescent="0.25"/>
    <row r="54548" s="12" customFormat="1" x14ac:dyDescent="0.25"/>
    <row r="54549" s="12" customFormat="1" x14ac:dyDescent="0.25"/>
    <row r="54550" s="12" customFormat="1" x14ac:dyDescent="0.25"/>
    <row r="54551" s="12" customFormat="1" x14ac:dyDescent="0.25"/>
    <row r="54552" s="12" customFormat="1" x14ac:dyDescent="0.25"/>
    <row r="54553" s="12" customFormat="1" x14ac:dyDescent="0.25"/>
    <row r="54554" s="12" customFormat="1" x14ac:dyDescent="0.25"/>
    <row r="54555" s="12" customFormat="1" x14ac:dyDescent="0.25"/>
    <row r="54556" s="12" customFormat="1" x14ac:dyDescent="0.25"/>
    <row r="54557" s="12" customFormat="1" x14ac:dyDescent="0.25"/>
    <row r="54558" s="12" customFormat="1" x14ac:dyDescent="0.25"/>
    <row r="54559" s="12" customFormat="1" x14ac:dyDescent="0.25"/>
    <row r="54560" s="12" customFormat="1" x14ac:dyDescent="0.25"/>
    <row r="54561" s="12" customFormat="1" x14ac:dyDescent="0.25"/>
    <row r="54562" s="12" customFormat="1" x14ac:dyDescent="0.25"/>
    <row r="54563" s="12" customFormat="1" x14ac:dyDescent="0.25"/>
    <row r="54564" s="12" customFormat="1" x14ac:dyDescent="0.25"/>
    <row r="54565" s="12" customFormat="1" x14ac:dyDescent="0.25"/>
    <row r="54566" s="12" customFormat="1" x14ac:dyDescent="0.25"/>
    <row r="54567" s="12" customFormat="1" x14ac:dyDescent="0.25"/>
    <row r="54568" s="12" customFormat="1" x14ac:dyDescent="0.25"/>
    <row r="54569" s="12" customFormat="1" x14ac:dyDescent="0.25"/>
    <row r="54570" s="12" customFormat="1" x14ac:dyDescent="0.25"/>
    <row r="54571" s="12" customFormat="1" x14ac:dyDescent="0.25"/>
    <row r="54572" s="12" customFormat="1" x14ac:dyDescent="0.25"/>
    <row r="54573" s="12" customFormat="1" x14ac:dyDescent="0.25"/>
    <row r="54574" s="12" customFormat="1" x14ac:dyDescent="0.25"/>
    <row r="54575" s="12" customFormat="1" x14ac:dyDescent="0.25"/>
    <row r="54576" s="12" customFormat="1" x14ac:dyDescent="0.25"/>
    <row r="54577" s="12" customFormat="1" x14ac:dyDescent="0.25"/>
    <row r="54578" s="12" customFormat="1" x14ac:dyDescent="0.25"/>
    <row r="54579" s="12" customFormat="1" x14ac:dyDescent="0.25"/>
    <row r="54580" s="12" customFormat="1" x14ac:dyDescent="0.25"/>
    <row r="54581" s="12" customFormat="1" x14ac:dyDescent="0.25"/>
    <row r="54582" s="12" customFormat="1" x14ac:dyDescent="0.25"/>
    <row r="54583" s="12" customFormat="1" x14ac:dyDescent="0.25"/>
    <row r="54584" s="12" customFormat="1" x14ac:dyDescent="0.25"/>
    <row r="54585" s="12" customFormat="1" x14ac:dyDescent="0.25"/>
    <row r="54586" s="12" customFormat="1" x14ac:dyDescent="0.25"/>
    <row r="54587" s="12" customFormat="1" x14ac:dyDescent="0.25"/>
    <row r="54588" s="12" customFormat="1" x14ac:dyDescent="0.25"/>
    <row r="54589" s="12" customFormat="1" x14ac:dyDescent="0.25"/>
    <row r="54590" s="12" customFormat="1" x14ac:dyDescent="0.25"/>
    <row r="54591" s="12" customFormat="1" x14ac:dyDescent="0.25"/>
    <row r="54592" s="12" customFormat="1" x14ac:dyDescent="0.25"/>
    <row r="54593" s="12" customFormat="1" x14ac:dyDescent="0.25"/>
    <row r="54594" s="12" customFormat="1" x14ac:dyDescent="0.25"/>
    <row r="54595" s="12" customFormat="1" x14ac:dyDescent="0.25"/>
    <row r="54596" s="12" customFormat="1" x14ac:dyDescent="0.25"/>
    <row r="54597" s="12" customFormat="1" x14ac:dyDescent="0.25"/>
    <row r="54598" s="12" customFormat="1" x14ac:dyDescent="0.25"/>
    <row r="54599" s="12" customFormat="1" x14ac:dyDescent="0.25"/>
    <row r="54600" s="12" customFormat="1" x14ac:dyDescent="0.25"/>
    <row r="54601" s="12" customFormat="1" x14ac:dyDescent="0.25"/>
    <row r="54602" s="12" customFormat="1" x14ac:dyDescent="0.25"/>
    <row r="54603" s="12" customFormat="1" x14ac:dyDescent="0.25"/>
    <row r="54604" s="12" customFormat="1" x14ac:dyDescent="0.25"/>
    <row r="54605" s="12" customFormat="1" x14ac:dyDescent="0.25"/>
    <row r="54606" s="12" customFormat="1" x14ac:dyDescent="0.25"/>
    <row r="54607" s="12" customFormat="1" x14ac:dyDescent="0.25"/>
    <row r="54608" s="12" customFormat="1" x14ac:dyDescent="0.25"/>
    <row r="54609" s="12" customFormat="1" x14ac:dyDescent="0.25"/>
    <row r="54610" s="12" customFormat="1" x14ac:dyDescent="0.25"/>
    <row r="54611" s="12" customFormat="1" x14ac:dyDescent="0.25"/>
    <row r="54612" s="12" customFormat="1" x14ac:dyDescent="0.25"/>
    <row r="54613" s="12" customFormat="1" x14ac:dyDescent="0.25"/>
    <row r="54614" s="12" customFormat="1" x14ac:dyDescent="0.25"/>
    <row r="54615" s="12" customFormat="1" x14ac:dyDescent="0.25"/>
    <row r="54616" s="12" customFormat="1" x14ac:dyDescent="0.25"/>
    <row r="54617" s="12" customFormat="1" x14ac:dyDescent="0.25"/>
    <row r="54618" s="12" customFormat="1" x14ac:dyDescent="0.25"/>
    <row r="54619" s="12" customFormat="1" x14ac:dyDescent="0.25"/>
    <row r="54620" s="12" customFormat="1" x14ac:dyDescent="0.25"/>
    <row r="54621" s="12" customFormat="1" x14ac:dyDescent="0.25"/>
    <row r="54622" s="12" customFormat="1" x14ac:dyDescent="0.25"/>
    <row r="54623" s="12" customFormat="1" x14ac:dyDescent="0.25"/>
    <row r="54624" s="12" customFormat="1" x14ac:dyDescent="0.25"/>
    <row r="54625" s="12" customFormat="1" x14ac:dyDescent="0.25"/>
    <row r="54626" s="12" customFormat="1" x14ac:dyDescent="0.25"/>
    <row r="54627" s="12" customFormat="1" x14ac:dyDescent="0.25"/>
    <row r="54628" s="12" customFormat="1" x14ac:dyDescent="0.25"/>
    <row r="54629" s="12" customFormat="1" x14ac:dyDescent="0.25"/>
    <row r="54630" s="12" customFormat="1" x14ac:dyDescent="0.25"/>
    <row r="54631" s="12" customFormat="1" x14ac:dyDescent="0.25"/>
    <row r="54632" s="12" customFormat="1" x14ac:dyDescent="0.25"/>
    <row r="54633" s="12" customFormat="1" x14ac:dyDescent="0.25"/>
    <row r="54634" s="12" customFormat="1" x14ac:dyDescent="0.25"/>
    <row r="54635" s="12" customFormat="1" x14ac:dyDescent="0.25"/>
    <row r="54636" s="12" customFormat="1" x14ac:dyDescent="0.25"/>
    <row r="54637" s="12" customFormat="1" x14ac:dyDescent="0.25"/>
    <row r="54638" s="12" customFormat="1" x14ac:dyDescent="0.25"/>
    <row r="54639" s="12" customFormat="1" x14ac:dyDescent="0.25"/>
    <row r="54640" s="12" customFormat="1" x14ac:dyDescent="0.25"/>
    <row r="54641" s="12" customFormat="1" x14ac:dyDescent="0.25"/>
    <row r="54642" s="12" customFormat="1" x14ac:dyDescent="0.25"/>
    <row r="54643" s="12" customFormat="1" x14ac:dyDescent="0.25"/>
    <row r="54644" s="12" customFormat="1" x14ac:dyDescent="0.25"/>
    <row r="54645" s="12" customFormat="1" x14ac:dyDescent="0.25"/>
    <row r="54646" s="12" customFormat="1" x14ac:dyDescent="0.25"/>
    <row r="54647" s="12" customFormat="1" x14ac:dyDescent="0.25"/>
    <row r="54648" s="12" customFormat="1" x14ac:dyDescent="0.25"/>
    <row r="54649" s="12" customFormat="1" x14ac:dyDescent="0.25"/>
    <row r="54650" s="12" customFormat="1" x14ac:dyDescent="0.25"/>
    <row r="54651" s="12" customFormat="1" x14ac:dyDescent="0.25"/>
    <row r="54652" s="12" customFormat="1" x14ac:dyDescent="0.25"/>
    <row r="54653" s="12" customFormat="1" x14ac:dyDescent="0.25"/>
    <row r="54654" s="12" customFormat="1" x14ac:dyDescent="0.25"/>
    <row r="54655" s="12" customFormat="1" x14ac:dyDescent="0.25"/>
    <row r="54656" s="12" customFormat="1" x14ac:dyDescent="0.25"/>
    <row r="54657" s="12" customFormat="1" x14ac:dyDescent="0.25"/>
    <row r="54658" s="12" customFormat="1" x14ac:dyDescent="0.25"/>
    <row r="54659" s="12" customFormat="1" x14ac:dyDescent="0.25"/>
    <row r="54660" s="12" customFormat="1" x14ac:dyDescent="0.25"/>
    <row r="54661" s="12" customFormat="1" x14ac:dyDescent="0.25"/>
    <row r="54662" s="12" customFormat="1" x14ac:dyDescent="0.25"/>
    <row r="54663" s="12" customFormat="1" x14ac:dyDescent="0.25"/>
    <row r="54664" s="12" customFormat="1" x14ac:dyDescent="0.25"/>
    <row r="54665" s="12" customFormat="1" x14ac:dyDescent="0.25"/>
    <row r="54666" s="12" customFormat="1" x14ac:dyDescent="0.25"/>
    <row r="54667" s="12" customFormat="1" x14ac:dyDescent="0.25"/>
    <row r="54668" s="12" customFormat="1" x14ac:dyDescent="0.25"/>
    <row r="54669" s="12" customFormat="1" x14ac:dyDescent="0.25"/>
    <row r="54670" s="12" customFormat="1" x14ac:dyDescent="0.25"/>
    <row r="54671" s="12" customFormat="1" x14ac:dyDescent="0.25"/>
    <row r="54672" s="12" customFormat="1" x14ac:dyDescent="0.25"/>
    <row r="54673" s="12" customFormat="1" x14ac:dyDescent="0.25"/>
    <row r="54674" s="12" customFormat="1" x14ac:dyDescent="0.25"/>
    <row r="54675" s="12" customFormat="1" x14ac:dyDescent="0.25"/>
    <row r="54676" s="12" customFormat="1" x14ac:dyDescent="0.25"/>
    <row r="54677" s="12" customFormat="1" x14ac:dyDescent="0.25"/>
    <row r="54678" s="12" customFormat="1" x14ac:dyDescent="0.25"/>
    <row r="54679" s="12" customFormat="1" x14ac:dyDescent="0.25"/>
    <row r="54680" s="12" customFormat="1" x14ac:dyDescent="0.25"/>
    <row r="54681" s="12" customFormat="1" x14ac:dyDescent="0.25"/>
    <row r="54682" s="12" customFormat="1" x14ac:dyDescent="0.25"/>
    <row r="54683" s="12" customFormat="1" x14ac:dyDescent="0.25"/>
    <row r="54684" s="12" customFormat="1" x14ac:dyDescent="0.25"/>
    <row r="54685" s="12" customFormat="1" x14ac:dyDescent="0.25"/>
    <row r="54686" s="12" customFormat="1" x14ac:dyDescent="0.25"/>
    <row r="54687" s="12" customFormat="1" x14ac:dyDescent="0.25"/>
    <row r="54688" s="12" customFormat="1" x14ac:dyDescent="0.25"/>
    <row r="54689" s="12" customFormat="1" x14ac:dyDescent="0.25"/>
    <row r="54690" s="12" customFormat="1" x14ac:dyDescent="0.25"/>
    <row r="54691" s="12" customFormat="1" x14ac:dyDescent="0.25"/>
    <row r="54692" s="12" customFormat="1" x14ac:dyDescent="0.25"/>
    <row r="54693" s="12" customFormat="1" x14ac:dyDescent="0.25"/>
    <row r="54694" s="12" customFormat="1" x14ac:dyDescent="0.25"/>
    <row r="54695" s="12" customFormat="1" x14ac:dyDescent="0.25"/>
    <row r="54696" s="12" customFormat="1" x14ac:dyDescent="0.25"/>
    <row r="54697" s="12" customFormat="1" x14ac:dyDescent="0.25"/>
    <row r="54698" s="12" customFormat="1" x14ac:dyDescent="0.25"/>
    <row r="54699" s="12" customFormat="1" x14ac:dyDescent="0.25"/>
    <row r="54700" s="12" customFormat="1" x14ac:dyDescent="0.25"/>
    <row r="54701" s="12" customFormat="1" x14ac:dyDescent="0.25"/>
    <row r="54702" s="12" customFormat="1" x14ac:dyDescent="0.25"/>
    <row r="54703" s="12" customFormat="1" x14ac:dyDescent="0.25"/>
    <row r="54704" s="12" customFormat="1" x14ac:dyDescent="0.25"/>
    <row r="54705" s="12" customFormat="1" x14ac:dyDescent="0.25"/>
    <row r="54706" s="12" customFormat="1" x14ac:dyDescent="0.25"/>
    <row r="54707" s="12" customFormat="1" x14ac:dyDescent="0.25"/>
    <row r="54708" s="12" customFormat="1" x14ac:dyDescent="0.25"/>
    <row r="54709" s="12" customFormat="1" x14ac:dyDescent="0.25"/>
    <row r="54710" s="12" customFormat="1" x14ac:dyDescent="0.25"/>
    <row r="54711" s="12" customFormat="1" x14ac:dyDescent="0.25"/>
    <row r="54712" s="12" customFormat="1" x14ac:dyDescent="0.25"/>
    <row r="54713" s="12" customFormat="1" x14ac:dyDescent="0.25"/>
    <row r="54714" s="12" customFormat="1" x14ac:dyDescent="0.25"/>
    <row r="54715" s="12" customFormat="1" x14ac:dyDescent="0.25"/>
    <row r="54716" s="12" customFormat="1" x14ac:dyDescent="0.25"/>
    <row r="54717" s="12" customFormat="1" x14ac:dyDescent="0.25"/>
    <row r="54718" s="12" customFormat="1" x14ac:dyDescent="0.25"/>
    <row r="54719" s="12" customFormat="1" x14ac:dyDescent="0.25"/>
    <row r="54720" s="12" customFormat="1" x14ac:dyDescent="0.25"/>
    <row r="54721" s="12" customFormat="1" x14ac:dyDescent="0.25"/>
    <row r="54722" s="12" customFormat="1" x14ac:dyDescent="0.25"/>
    <row r="54723" s="12" customFormat="1" x14ac:dyDescent="0.25"/>
    <row r="54724" s="12" customFormat="1" x14ac:dyDescent="0.25"/>
    <row r="54725" s="12" customFormat="1" x14ac:dyDescent="0.25"/>
    <row r="54726" s="12" customFormat="1" x14ac:dyDescent="0.25"/>
    <row r="54727" s="12" customFormat="1" x14ac:dyDescent="0.25"/>
    <row r="54728" s="12" customFormat="1" x14ac:dyDescent="0.25"/>
    <row r="54729" s="12" customFormat="1" x14ac:dyDescent="0.25"/>
    <row r="54730" s="12" customFormat="1" x14ac:dyDescent="0.25"/>
    <row r="54731" s="12" customFormat="1" x14ac:dyDescent="0.25"/>
    <row r="54732" s="12" customFormat="1" x14ac:dyDescent="0.25"/>
    <row r="54733" s="12" customFormat="1" x14ac:dyDescent="0.25"/>
    <row r="54734" s="12" customFormat="1" x14ac:dyDescent="0.25"/>
    <row r="54735" s="12" customFormat="1" x14ac:dyDescent="0.25"/>
    <row r="54736" s="12" customFormat="1" x14ac:dyDescent="0.25"/>
    <row r="54737" s="12" customFormat="1" x14ac:dyDescent="0.25"/>
    <row r="54738" s="12" customFormat="1" x14ac:dyDescent="0.25"/>
    <row r="54739" s="12" customFormat="1" x14ac:dyDescent="0.25"/>
    <row r="54740" s="12" customFormat="1" x14ac:dyDescent="0.25"/>
    <row r="54741" s="12" customFormat="1" x14ac:dyDescent="0.25"/>
    <row r="54742" s="12" customFormat="1" x14ac:dyDescent="0.25"/>
    <row r="54743" s="12" customFormat="1" x14ac:dyDescent="0.25"/>
    <row r="54744" s="12" customFormat="1" x14ac:dyDescent="0.25"/>
    <row r="54745" s="12" customFormat="1" x14ac:dyDescent="0.25"/>
    <row r="54746" s="12" customFormat="1" x14ac:dyDescent="0.25"/>
    <row r="54747" s="12" customFormat="1" x14ac:dyDescent="0.25"/>
    <row r="54748" s="12" customFormat="1" x14ac:dyDescent="0.25"/>
    <row r="54749" s="12" customFormat="1" x14ac:dyDescent="0.25"/>
    <row r="54750" s="12" customFormat="1" x14ac:dyDescent="0.25"/>
    <row r="54751" s="12" customFormat="1" x14ac:dyDescent="0.25"/>
    <row r="54752" s="12" customFormat="1" x14ac:dyDescent="0.25"/>
    <row r="54753" s="12" customFormat="1" x14ac:dyDescent="0.25"/>
    <row r="54754" s="12" customFormat="1" x14ac:dyDescent="0.25"/>
    <row r="54755" s="12" customFormat="1" x14ac:dyDescent="0.25"/>
    <row r="54756" s="12" customFormat="1" x14ac:dyDescent="0.25"/>
    <row r="54757" s="12" customFormat="1" x14ac:dyDescent="0.25"/>
    <row r="54758" s="12" customFormat="1" x14ac:dyDescent="0.25"/>
    <row r="54759" s="12" customFormat="1" x14ac:dyDescent="0.25"/>
    <row r="54760" s="12" customFormat="1" x14ac:dyDescent="0.25"/>
    <row r="54761" s="12" customFormat="1" x14ac:dyDescent="0.25"/>
    <row r="54762" s="12" customFormat="1" x14ac:dyDescent="0.25"/>
    <row r="54763" s="12" customFormat="1" x14ac:dyDescent="0.25"/>
    <row r="54764" s="12" customFormat="1" x14ac:dyDescent="0.25"/>
    <row r="54765" s="12" customFormat="1" x14ac:dyDescent="0.25"/>
    <row r="54766" s="12" customFormat="1" x14ac:dyDescent="0.25"/>
    <row r="54767" s="12" customFormat="1" x14ac:dyDescent="0.25"/>
    <row r="54768" s="12" customFormat="1" x14ac:dyDescent="0.25"/>
    <row r="54769" s="12" customFormat="1" x14ac:dyDescent="0.25"/>
    <row r="54770" s="12" customFormat="1" x14ac:dyDescent="0.25"/>
    <row r="54771" s="12" customFormat="1" x14ac:dyDescent="0.25"/>
    <row r="54772" s="12" customFormat="1" x14ac:dyDescent="0.25"/>
    <row r="54773" s="12" customFormat="1" x14ac:dyDescent="0.25"/>
    <row r="54774" s="12" customFormat="1" x14ac:dyDescent="0.25"/>
    <row r="54775" s="12" customFormat="1" x14ac:dyDescent="0.25"/>
    <row r="54776" s="12" customFormat="1" x14ac:dyDescent="0.25"/>
    <row r="54777" s="12" customFormat="1" x14ac:dyDescent="0.25"/>
    <row r="54778" s="12" customFormat="1" x14ac:dyDescent="0.25"/>
    <row r="54779" s="12" customFormat="1" x14ac:dyDescent="0.25"/>
    <row r="54780" s="12" customFormat="1" x14ac:dyDescent="0.25"/>
    <row r="54781" s="12" customFormat="1" x14ac:dyDescent="0.25"/>
    <row r="54782" s="12" customFormat="1" x14ac:dyDescent="0.25"/>
    <row r="54783" s="12" customFormat="1" x14ac:dyDescent="0.25"/>
    <row r="54784" s="12" customFormat="1" x14ac:dyDescent="0.25"/>
    <row r="54785" s="12" customFormat="1" x14ac:dyDescent="0.25"/>
    <row r="54786" s="12" customFormat="1" x14ac:dyDescent="0.25"/>
    <row r="54787" s="12" customFormat="1" x14ac:dyDescent="0.25"/>
    <row r="54788" s="12" customFormat="1" x14ac:dyDescent="0.25"/>
    <row r="54789" s="12" customFormat="1" x14ac:dyDescent="0.25"/>
    <row r="54790" s="12" customFormat="1" x14ac:dyDescent="0.25"/>
    <row r="54791" s="12" customFormat="1" x14ac:dyDescent="0.25"/>
    <row r="54792" s="12" customFormat="1" x14ac:dyDescent="0.25"/>
    <row r="54793" s="12" customFormat="1" x14ac:dyDescent="0.25"/>
    <row r="54794" s="12" customFormat="1" x14ac:dyDescent="0.25"/>
    <row r="54795" s="12" customFormat="1" x14ac:dyDescent="0.25"/>
    <row r="54796" s="12" customFormat="1" x14ac:dyDescent="0.25"/>
    <row r="54797" s="12" customFormat="1" x14ac:dyDescent="0.25"/>
    <row r="54798" s="12" customFormat="1" x14ac:dyDescent="0.25"/>
    <row r="54799" s="12" customFormat="1" x14ac:dyDescent="0.25"/>
    <row r="54800" s="12" customFormat="1" x14ac:dyDescent="0.25"/>
    <row r="54801" s="12" customFormat="1" x14ac:dyDescent="0.25"/>
    <row r="54802" s="12" customFormat="1" x14ac:dyDescent="0.25"/>
    <row r="54803" s="12" customFormat="1" x14ac:dyDescent="0.25"/>
    <row r="54804" s="12" customFormat="1" x14ac:dyDescent="0.25"/>
    <row r="54805" s="12" customFormat="1" x14ac:dyDescent="0.25"/>
    <row r="54806" s="12" customFormat="1" x14ac:dyDescent="0.25"/>
    <row r="54807" s="12" customFormat="1" x14ac:dyDescent="0.25"/>
    <row r="54808" s="12" customFormat="1" x14ac:dyDescent="0.25"/>
    <row r="54809" s="12" customFormat="1" x14ac:dyDescent="0.25"/>
    <row r="54810" s="12" customFormat="1" x14ac:dyDescent="0.25"/>
    <row r="54811" s="12" customFormat="1" x14ac:dyDescent="0.25"/>
    <row r="54812" s="12" customFormat="1" x14ac:dyDescent="0.25"/>
    <row r="54813" s="12" customFormat="1" x14ac:dyDescent="0.25"/>
    <row r="54814" s="12" customFormat="1" x14ac:dyDescent="0.25"/>
    <row r="54815" s="12" customFormat="1" x14ac:dyDescent="0.25"/>
    <row r="54816" s="12" customFormat="1" x14ac:dyDescent="0.25"/>
    <row r="54817" s="12" customFormat="1" x14ac:dyDescent="0.25"/>
    <row r="54818" s="12" customFormat="1" x14ac:dyDescent="0.25"/>
    <row r="54819" s="12" customFormat="1" x14ac:dyDescent="0.25"/>
    <row r="54820" s="12" customFormat="1" x14ac:dyDescent="0.25"/>
    <row r="54821" s="12" customFormat="1" x14ac:dyDescent="0.25"/>
    <row r="54822" s="12" customFormat="1" x14ac:dyDescent="0.25"/>
    <row r="54823" s="12" customFormat="1" x14ac:dyDescent="0.25"/>
    <row r="54824" s="12" customFormat="1" x14ac:dyDescent="0.25"/>
    <row r="54825" s="12" customFormat="1" x14ac:dyDescent="0.25"/>
    <row r="54826" s="12" customFormat="1" x14ac:dyDescent="0.25"/>
    <row r="54827" s="12" customFormat="1" x14ac:dyDescent="0.25"/>
    <row r="54828" s="12" customFormat="1" x14ac:dyDescent="0.25"/>
    <row r="54829" s="12" customFormat="1" x14ac:dyDescent="0.25"/>
    <row r="54830" s="12" customFormat="1" x14ac:dyDescent="0.25"/>
    <row r="54831" s="12" customFormat="1" x14ac:dyDescent="0.25"/>
    <row r="54832" s="12" customFormat="1" x14ac:dyDescent="0.25"/>
    <row r="54833" s="12" customFormat="1" x14ac:dyDescent="0.25"/>
    <row r="54834" s="12" customFormat="1" x14ac:dyDescent="0.25"/>
    <row r="54835" s="12" customFormat="1" x14ac:dyDescent="0.25"/>
    <row r="54836" s="12" customFormat="1" x14ac:dyDescent="0.25"/>
    <row r="54837" s="12" customFormat="1" x14ac:dyDescent="0.25"/>
    <row r="54838" s="12" customFormat="1" x14ac:dyDescent="0.25"/>
    <row r="54839" s="12" customFormat="1" x14ac:dyDescent="0.25"/>
    <row r="54840" s="12" customFormat="1" x14ac:dyDescent="0.25"/>
    <row r="54841" s="12" customFormat="1" x14ac:dyDescent="0.25"/>
    <row r="54842" s="12" customFormat="1" x14ac:dyDescent="0.25"/>
    <row r="54843" s="12" customFormat="1" x14ac:dyDescent="0.25"/>
    <row r="54844" s="12" customFormat="1" x14ac:dyDescent="0.25"/>
    <row r="54845" s="12" customFormat="1" x14ac:dyDescent="0.25"/>
    <row r="54846" s="12" customFormat="1" x14ac:dyDescent="0.25"/>
    <row r="54847" s="12" customFormat="1" x14ac:dyDescent="0.25"/>
    <row r="54848" s="12" customFormat="1" x14ac:dyDescent="0.25"/>
    <row r="54849" s="12" customFormat="1" x14ac:dyDescent="0.25"/>
    <row r="54850" s="12" customFormat="1" x14ac:dyDescent="0.25"/>
    <row r="54851" s="12" customFormat="1" x14ac:dyDescent="0.25"/>
    <row r="54852" s="12" customFormat="1" x14ac:dyDescent="0.25"/>
    <row r="54853" s="12" customFormat="1" x14ac:dyDescent="0.25"/>
    <row r="54854" s="12" customFormat="1" x14ac:dyDescent="0.25"/>
    <row r="54855" s="12" customFormat="1" x14ac:dyDescent="0.25"/>
    <row r="54856" s="12" customFormat="1" x14ac:dyDescent="0.25"/>
    <row r="54857" s="12" customFormat="1" x14ac:dyDescent="0.25"/>
    <row r="54858" s="12" customFormat="1" x14ac:dyDescent="0.25"/>
    <row r="54859" s="12" customFormat="1" x14ac:dyDescent="0.25"/>
    <row r="54860" s="12" customFormat="1" x14ac:dyDescent="0.25"/>
    <row r="54861" s="12" customFormat="1" x14ac:dyDescent="0.25"/>
    <row r="54862" s="12" customFormat="1" x14ac:dyDescent="0.25"/>
    <row r="54863" s="12" customFormat="1" x14ac:dyDescent="0.25"/>
    <row r="54864" s="12" customFormat="1" x14ac:dyDescent="0.25"/>
    <row r="54865" s="12" customFormat="1" x14ac:dyDescent="0.25"/>
    <row r="54866" s="12" customFormat="1" x14ac:dyDescent="0.25"/>
    <row r="54867" s="12" customFormat="1" x14ac:dyDescent="0.25"/>
    <row r="54868" s="12" customFormat="1" x14ac:dyDescent="0.25"/>
    <row r="54869" s="12" customFormat="1" x14ac:dyDescent="0.25"/>
    <row r="54870" s="12" customFormat="1" x14ac:dyDescent="0.25"/>
    <row r="54871" s="12" customFormat="1" x14ac:dyDescent="0.25"/>
    <row r="54872" s="12" customFormat="1" x14ac:dyDescent="0.25"/>
    <row r="54873" s="12" customFormat="1" x14ac:dyDescent="0.25"/>
    <row r="54874" s="12" customFormat="1" x14ac:dyDescent="0.25"/>
    <row r="54875" s="12" customFormat="1" x14ac:dyDescent="0.25"/>
    <row r="54876" s="12" customFormat="1" x14ac:dyDescent="0.25"/>
    <row r="54877" s="12" customFormat="1" x14ac:dyDescent="0.25"/>
    <row r="54878" s="12" customFormat="1" x14ac:dyDescent="0.25"/>
    <row r="54879" s="12" customFormat="1" x14ac:dyDescent="0.25"/>
    <row r="54880" s="12" customFormat="1" x14ac:dyDescent="0.25"/>
    <row r="54881" s="12" customFormat="1" x14ac:dyDescent="0.25"/>
    <row r="54882" s="12" customFormat="1" x14ac:dyDescent="0.25"/>
    <row r="54883" s="12" customFormat="1" x14ac:dyDescent="0.25"/>
    <row r="54884" s="12" customFormat="1" x14ac:dyDescent="0.25"/>
    <row r="54885" s="12" customFormat="1" x14ac:dyDescent="0.25"/>
    <row r="54886" s="12" customFormat="1" x14ac:dyDescent="0.25"/>
    <row r="54887" s="12" customFormat="1" x14ac:dyDescent="0.25"/>
    <row r="54888" s="12" customFormat="1" x14ac:dyDescent="0.25"/>
    <row r="54889" s="12" customFormat="1" x14ac:dyDescent="0.25"/>
    <row r="54890" s="12" customFormat="1" x14ac:dyDescent="0.25"/>
    <row r="54891" s="12" customFormat="1" x14ac:dyDescent="0.25"/>
    <row r="54892" s="12" customFormat="1" x14ac:dyDescent="0.25"/>
    <row r="54893" s="12" customFormat="1" x14ac:dyDescent="0.25"/>
    <row r="54894" s="12" customFormat="1" x14ac:dyDescent="0.25"/>
    <row r="54895" s="12" customFormat="1" x14ac:dyDescent="0.25"/>
    <row r="54896" s="12" customFormat="1" x14ac:dyDescent="0.25"/>
    <row r="54897" s="12" customFormat="1" x14ac:dyDescent="0.25"/>
    <row r="54898" s="12" customFormat="1" x14ac:dyDescent="0.25"/>
    <row r="54899" s="12" customFormat="1" x14ac:dyDescent="0.25"/>
    <row r="54900" s="12" customFormat="1" x14ac:dyDescent="0.25"/>
    <row r="54901" s="12" customFormat="1" x14ac:dyDescent="0.25"/>
    <row r="54902" s="12" customFormat="1" x14ac:dyDescent="0.25"/>
    <row r="54903" s="12" customFormat="1" x14ac:dyDescent="0.25"/>
    <row r="54904" s="12" customFormat="1" x14ac:dyDescent="0.25"/>
    <row r="54905" s="12" customFormat="1" x14ac:dyDescent="0.25"/>
    <row r="54906" s="12" customFormat="1" x14ac:dyDescent="0.25"/>
    <row r="54907" s="12" customFormat="1" x14ac:dyDescent="0.25"/>
    <row r="54908" s="12" customFormat="1" x14ac:dyDescent="0.25"/>
    <row r="54909" s="12" customFormat="1" x14ac:dyDescent="0.25"/>
    <row r="54910" s="12" customFormat="1" x14ac:dyDescent="0.25"/>
    <row r="54911" s="12" customFormat="1" x14ac:dyDescent="0.25"/>
    <row r="54912" s="12" customFormat="1" x14ac:dyDescent="0.25"/>
    <row r="54913" s="12" customFormat="1" x14ac:dyDescent="0.25"/>
    <row r="54914" s="12" customFormat="1" x14ac:dyDescent="0.25"/>
    <row r="54915" s="12" customFormat="1" x14ac:dyDescent="0.25"/>
    <row r="54916" s="12" customFormat="1" x14ac:dyDescent="0.25"/>
    <row r="54917" s="12" customFormat="1" x14ac:dyDescent="0.25"/>
    <row r="54918" s="12" customFormat="1" x14ac:dyDescent="0.25"/>
    <row r="54919" s="12" customFormat="1" x14ac:dyDescent="0.25"/>
    <row r="54920" s="12" customFormat="1" x14ac:dyDescent="0.25"/>
    <row r="54921" s="12" customFormat="1" x14ac:dyDescent="0.25"/>
    <row r="54922" s="12" customFormat="1" x14ac:dyDescent="0.25"/>
    <row r="54923" s="12" customFormat="1" x14ac:dyDescent="0.25"/>
    <row r="54924" s="12" customFormat="1" x14ac:dyDescent="0.25"/>
    <row r="54925" s="12" customFormat="1" x14ac:dyDescent="0.25"/>
    <row r="54926" s="12" customFormat="1" x14ac:dyDescent="0.25"/>
    <row r="54927" s="12" customFormat="1" x14ac:dyDescent="0.25"/>
    <row r="54928" s="12" customFormat="1" x14ac:dyDescent="0.25"/>
    <row r="54929" s="12" customFormat="1" x14ac:dyDescent="0.25"/>
    <row r="54930" s="12" customFormat="1" x14ac:dyDescent="0.25"/>
    <row r="54931" s="12" customFormat="1" x14ac:dyDescent="0.25"/>
    <row r="54932" s="12" customFormat="1" x14ac:dyDescent="0.25"/>
    <row r="54933" s="12" customFormat="1" x14ac:dyDescent="0.25"/>
    <row r="54934" s="12" customFormat="1" x14ac:dyDescent="0.25"/>
    <row r="54935" s="12" customFormat="1" x14ac:dyDescent="0.25"/>
    <row r="54936" s="12" customFormat="1" x14ac:dyDescent="0.25"/>
    <row r="54937" s="12" customFormat="1" x14ac:dyDescent="0.25"/>
    <row r="54938" s="12" customFormat="1" x14ac:dyDescent="0.25"/>
    <row r="54939" s="12" customFormat="1" x14ac:dyDescent="0.25"/>
    <row r="54940" s="12" customFormat="1" x14ac:dyDescent="0.25"/>
    <row r="54941" s="12" customFormat="1" x14ac:dyDescent="0.25"/>
    <row r="54942" s="12" customFormat="1" x14ac:dyDescent="0.25"/>
    <row r="54943" s="12" customFormat="1" x14ac:dyDescent="0.25"/>
    <row r="54944" s="12" customFormat="1" x14ac:dyDescent="0.25"/>
    <row r="54945" s="12" customFormat="1" x14ac:dyDescent="0.25"/>
    <row r="54946" s="12" customFormat="1" x14ac:dyDescent="0.25"/>
    <row r="54947" s="12" customFormat="1" x14ac:dyDescent="0.25"/>
    <row r="54948" s="12" customFormat="1" x14ac:dyDescent="0.25"/>
    <row r="54949" s="12" customFormat="1" x14ac:dyDescent="0.25"/>
    <row r="54950" s="12" customFormat="1" x14ac:dyDescent="0.25"/>
    <row r="54951" s="12" customFormat="1" x14ac:dyDescent="0.25"/>
    <row r="54952" s="12" customFormat="1" x14ac:dyDescent="0.25"/>
    <row r="54953" s="12" customFormat="1" x14ac:dyDescent="0.25"/>
    <row r="54954" s="12" customFormat="1" x14ac:dyDescent="0.25"/>
    <row r="54955" s="12" customFormat="1" x14ac:dyDescent="0.25"/>
    <row r="54956" s="12" customFormat="1" x14ac:dyDescent="0.25"/>
    <row r="54957" s="12" customFormat="1" x14ac:dyDescent="0.25"/>
    <row r="54958" s="12" customFormat="1" x14ac:dyDescent="0.25"/>
    <row r="54959" s="12" customFormat="1" x14ac:dyDescent="0.25"/>
    <row r="54960" s="12" customFormat="1" x14ac:dyDescent="0.25"/>
    <row r="54961" s="12" customFormat="1" x14ac:dyDescent="0.25"/>
    <row r="54962" s="12" customFormat="1" x14ac:dyDescent="0.25"/>
    <row r="54963" s="12" customFormat="1" x14ac:dyDescent="0.25"/>
    <row r="54964" s="12" customFormat="1" x14ac:dyDescent="0.25"/>
    <row r="54965" s="12" customFormat="1" x14ac:dyDescent="0.25"/>
    <row r="54966" s="12" customFormat="1" x14ac:dyDescent="0.25"/>
    <row r="54967" s="12" customFormat="1" x14ac:dyDescent="0.25"/>
    <row r="54968" s="12" customFormat="1" x14ac:dyDescent="0.25"/>
    <row r="54969" s="12" customFormat="1" x14ac:dyDescent="0.25"/>
    <row r="54970" s="12" customFormat="1" x14ac:dyDescent="0.25"/>
    <row r="54971" s="12" customFormat="1" x14ac:dyDescent="0.25"/>
    <row r="54972" s="12" customFormat="1" x14ac:dyDescent="0.25"/>
    <row r="54973" s="12" customFormat="1" x14ac:dyDescent="0.25"/>
    <row r="54974" s="12" customFormat="1" x14ac:dyDescent="0.25"/>
    <row r="54975" s="12" customFormat="1" x14ac:dyDescent="0.25"/>
    <row r="54976" s="12" customFormat="1" x14ac:dyDescent="0.25"/>
    <row r="54977" s="12" customFormat="1" x14ac:dyDescent="0.25"/>
    <row r="54978" s="12" customFormat="1" x14ac:dyDescent="0.25"/>
    <row r="54979" s="12" customFormat="1" x14ac:dyDescent="0.25"/>
    <row r="54980" s="12" customFormat="1" x14ac:dyDescent="0.25"/>
    <row r="54981" s="12" customFormat="1" x14ac:dyDescent="0.25"/>
    <row r="54982" s="12" customFormat="1" x14ac:dyDescent="0.25"/>
    <row r="54983" s="12" customFormat="1" x14ac:dyDescent="0.25"/>
    <row r="54984" s="12" customFormat="1" x14ac:dyDescent="0.25"/>
    <row r="54985" s="12" customFormat="1" x14ac:dyDescent="0.25"/>
    <row r="54986" s="12" customFormat="1" x14ac:dyDescent="0.25"/>
    <row r="54987" s="12" customFormat="1" x14ac:dyDescent="0.25"/>
    <row r="54988" s="12" customFormat="1" x14ac:dyDescent="0.25"/>
    <row r="54989" s="12" customFormat="1" x14ac:dyDescent="0.25"/>
    <row r="54990" s="12" customFormat="1" x14ac:dyDescent="0.25"/>
    <row r="54991" s="12" customFormat="1" x14ac:dyDescent="0.25"/>
    <row r="54992" s="12" customFormat="1" x14ac:dyDescent="0.25"/>
    <row r="54993" s="12" customFormat="1" x14ac:dyDescent="0.25"/>
    <row r="54994" s="12" customFormat="1" x14ac:dyDescent="0.25"/>
    <row r="54995" s="12" customFormat="1" x14ac:dyDescent="0.25"/>
    <row r="54996" s="12" customFormat="1" x14ac:dyDescent="0.25"/>
    <row r="54997" s="12" customFormat="1" x14ac:dyDescent="0.25"/>
    <row r="54998" s="12" customFormat="1" x14ac:dyDescent="0.25"/>
    <row r="54999" s="12" customFormat="1" x14ac:dyDescent="0.25"/>
    <row r="55000" s="12" customFormat="1" x14ac:dyDescent="0.25"/>
    <row r="55001" s="12" customFormat="1" x14ac:dyDescent="0.25"/>
    <row r="55002" s="12" customFormat="1" x14ac:dyDescent="0.25"/>
    <row r="55003" s="12" customFormat="1" x14ac:dyDescent="0.25"/>
    <row r="55004" s="12" customFormat="1" x14ac:dyDescent="0.25"/>
    <row r="55005" s="12" customFormat="1" x14ac:dyDescent="0.25"/>
    <row r="55006" s="12" customFormat="1" x14ac:dyDescent="0.25"/>
    <row r="55007" s="12" customFormat="1" x14ac:dyDescent="0.25"/>
    <row r="55008" s="12" customFormat="1" x14ac:dyDescent="0.25"/>
    <row r="55009" s="12" customFormat="1" x14ac:dyDescent="0.25"/>
    <row r="55010" s="12" customFormat="1" x14ac:dyDescent="0.25"/>
    <row r="55011" s="12" customFormat="1" x14ac:dyDescent="0.25"/>
    <row r="55012" s="12" customFormat="1" x14ac:dyDescent="0.25"/>
    <row r="55013" s="12" customFormat="1" x14ac:dyDescent="0.25"/>
    <row r="55014" s="12" customFormat="1" x14ac:dyDescent="0.25"/>
    <row r="55015" s="12" customFormat="1" x14ac:dyDescent="0.25"/>
    <row r="55016" s="12" customFormat="1" x14ac:dyDescent="0.25"/>
    <row r="55017" s="12" customFormat="1" x14ac:dyDescent="0.25"/>
    <row r="55018" s="12" customFormat="1" x14ac:dyDescent="0.25"/>
    <row r="55019" s="12" customFormat="1" x14ac:dyDescent="0.25"/>
    <row r="55020" s="12" customFormat="1" x14ac:dyDescent="0.25"/>
    <row r="55021" s="12" customFormat="1" x14ac:dyDescent="0.25"/>
    <row r="55022" s="12" customFormat="1" x14ac:dyDescent="0.25"/>
    <row r="55023" s="12" customFormat="1" x14ac:dyDescent="0.25"/>
    <row r="55024" s="12" customFormat="1" x14ac:dyDescent="0.25"/>
    <row r="55025" s="12" customFormat="1" x14ac:dyDescent="0.25"/>
    <row r="55026" s="12" customFormat="1" x14ac:dyDescent="0.25"/>
    <row r="55027" s="12" customFormat="1" x14ac:dyDescent="0.25"/>
    <row r="55028" s="12" customFormat="1" x14ac:dyDescent="0.25"/>
    <row r="55029" s="12" customFormat="1" x14ac:dyDescent="0.25"/>
    <row r="55030" s="12" customFormat="1" x14ac:dyDescent="0.25"/>
    <row r="55031" s="12" customFormat="1" x14ac:dyDescent="0.25"/>
    <row r="55032" s="12" customFormat="1" x14ac:dyDescent="0.25"/>
    <row r="55033" s="12" customFormat="1" x14ac:dyDescent="0.25"/>
    <row r="55034" s="12" customFormat="1" x14ac:dyDescent="0.25"/>
    <row r="55035" s="12" customFormat="1" x14ac:dyDescent="0.25"/>
    <row r="55036" s="12" customFormat="1" x14ac:dyDescent="0.25"/>
    <row r="55037" s="12" customFormat="1" x14ac:dyDescent="0.25"/>
    <row r="55038" s="12" customFormat="1" x14ac:dyDescent="0.25"/>
    <row r="55039" s="12" customFormat="1" x14ac:dyDescent="0.25"/>
    <row r="55040" s="12" customFormat="1" x14ac:dyDescent="0.25"/>
    <row r="55041" s="12" customFormat="1" x14ac:dyDescent="0.25"/>
    <row r="55042" s="12" customFormat="1" x14ac:dyDescent="0.25"/>
    <row r="55043" s="12" customFormat="1" x14ac:dyDescent="0.25"/>
    <row r="55044" s="12" customFormat="1" x14ac:dyDescent="0.25"/>
    <row r="55045" s="12" customFormat="1" x14ac:dyDescent="0.25"/>
    <row r="55046" s="12" customFormat="1" x14ac:dyDescent="0.25"/>
    <row r="55047" s="12" customFormat="1" x14ac:dyDescent="0.25"/>
    <row r="55048" s="12" customFormat="1" x14ac:dyDescent="0.25"/>
    <row r="55049" s="12" customFormat="1" x14ac:dyDescent="0.25"/>
    <row r="55050" s="12" customFormat="1" x14ac:dyDescent="0.25"/>
    <row r="55051" s="12" customFormat="1" x14ac:dyDescent="0.25"/>
    <row r="55052" s="12" customFormat="1" x14ac:dyDescent="0.25"/>
    <row r="55053" s="12" customFormat="1" x14ac:dyDescent="0.25"/>
    <row r="55054" s="12" customFormat="1" x14ac:dyDescent="0.25"/>
    <row r="55055" s="12" customFormat="1" x14ac:dyDescent="0.25"/>
    <row r="55056" s="12" customFormat="1" x14ac:dyDescent="0.25"/>
    <row r="55057" s="12" customFormat="1" x14ac:dyDescent="0.25"/>
    <row r="55058" s="12" customFormat="1" x14ac:dyDescent="0.25"/>
    <row r="55059" s="12" customFormat="1" x14ac:dyDescent="0.25"/>
    <row r="55060" s="12" customFormat="1" x14ac:dyDescent="0.25"/>
    <row r="55061" s="12" customFormat="1" x14ac:dyDescent="0.25"/>
    <row r="55062" s="12" customFormat="1" x14ac:dyDescent="0.25"/>
    <row r="55063" s="12" customFormat="1" x14ac:dyDescent="0.25"/>
    <row r="55064" s="12" customFormat="1" x14ac:dyDescent="0.25"/>
    <row r="55065" s="12" customFormat="1" x14ac:dyDescent="0.25"/>
    <row r="55066" s="12" customFormat="1" x14ac:dyDescent="0.25"/>
    <row r="55067" s="12" customFormat="1" x14ac:dyDescent="0.25"/>
    <row r="55068" s="12" customFormat="1" x14ac:dyDescent="0.25"/>
    <row r="55069" s="12" customFormat="1" x14ac:dyDescent="0.25"/>
    <row r="55070" s="12" customFormat="1" x14ac:dyDescent="0.25"/>
    <row r="55071" s="12" customFormat="1" x14ac:dyDescent="0.25"/>
    <row r="55072" s="12" customFormat="1" x14ac:dyDescent="0.25"/>
    <row r="55073" s="12" customFormat="1" x14ac:dyDescent="0.25"/>
    <row r="55074" s="12" customFormat="1" x14ac:dyDescent="0.25"/>
    <row r="55075" s="12" customFormat="1" x14ac:dyDescent="0.25"/>
    <row r="55076" s="12" customFormat="1" x14ac:dyDescent="0.25"/>
    <row r="55077" s="12" customFormat="1" x14ac:dyDescent="0.25"/>
    <row r="55078" s="12" customFormat="1" x14ac:dyDescent="0.25"/>
    <row r="55079" s="12" customFormat="1" x14ac:dyDescent="0.25"/>
    <row r="55080" s="12" customFormat="1" x14ac:dyDescent="0.25"/>
    <row r="55081" s="12" customFormat="1" x14ac:dyDescent="0.25"/>
    <row r="55082" s="12" customFormat="1" x14ac:dyDescent="0.25"/>
    <row r="55083" s="12" customFormat="1" x14ac:dyDescent="0.25"/>
    <row r="55084" s="12" customFormat="1" x14ac:dyDescent="0.25"/>
    <row r="55085" s="12" customFormat="1" x14ac:dyDescent="0.25"/>
    <row r="55086" s="12" customFormat="1" x14ac:dyDescent="0.25"/>
    <row r="55087" s="12" customFormat="1" x14ac:dyDescent="0.25"/>
    <row r="55088" s="12" customFormat="1" x14ac:dyDescent="0.25"/>
    <row r="55089" s="12" customFormat="1" x14ac:dyDescent="0.25"/>
    <row r="55090" s="12" customFormat="1" x14ac:dyDescent="0.25"/>
    <row r="55091" s="12" customFormat="1" x14ac:dyDescent="0.25"/>
    <row r="55092" s="12" customFormat="1" x14ac:dyDescent="0.25"/>
    <row r="55093" s="12" customFormat="1" x14ac:dyDescent="0.25"/>
    <row r="55094" s="12" customFormat="1" x14ac:dyDescent="0.25"/>
    <row r="55095" s="12" customFormat="1" x14ac:dyDescent="0.25"/>
    <row r="55096" s="12" customFormat="1" x14ac:dyDescent="0.25"/>
    <row r="55097" s="12" customFormat="1" x14ac:dyDescent="0.25"/>
    <row r="55098" s="12" customFormat="1" x14ac:dyDescent="0.25"/>
    <row r="55099" s="12" customFormat="1" x14ac:dyDescent="0.25"/>
    <row r="55100" s="12" customFormat="1" x14ac:dyDescent="0.25"/>
    <row r="55101" s="12" customFormat="1" x14ac:dyDescent="0.25"/>
    <row r="55102" s="12" customFormat="1" x14ac:dyDescent="0.25"/>
    <row r="55103" s="12" customFormat="1" x14ac:dyDescent="0.25"/>
    <row r="55104" s="12" customFormat="1" x14ac:dyDescent="0.25"/>
    <row r="55105" s="12" customFormat="1" x14ac:dyDescent="0.25"/>
    <row r="55106" s="12" customFormat="1" x14ac:dyDescent="0.25"/>
    <row r="55107" s="12" customFormat="1" x14ac:dyDescent="0.25"/>
    <row r="55108" s="12" customFormat="1" x14ac:dyDescent="0.25"/>
    <row r="55109" s="12" customFormat="1" x14ac:dyDescent="0.25"/>
    <row r="55110" s="12" customFormat="1" x14ac:dyDescent="0.25"/>
    <row r="55111" s="12" customFormat="1" x14ac:dyDescent="0.25"/>
    <row r="55112" s="12" customFormat="1" x14ac:dyDescent="0.25"/>
    <row r="55113" s="12" customFormat="1" x14ac:dyDescent="0.25"/>
    <row r="55114" s="12" customFormat="1" x14ac:dyDescent="0.25"/>
    <row r="55115" s="12" customFormat="1" x14ac:dyDescent="0.25"/>
    <row r="55116" s="12" customFormat="1" x14ac:dyDescent="0.25"/>
    <row r="55117" s="12" customFormat="1" x14ac:dyDescent="0.25"/>
    <row r="55118" s="12" customFormat="1" x14ac:dyDescent="0.25"/>
    <row r="55119" s="12" customFormat="1" x14ac:dyDescent="0.25"/>
    <row r="55120" s="12" customFormat="1" x14ac:dyDescent="0.25"/>
    <row r="55121" s="12" customFormat="1" x14ac:dyDescent="0.25"/>
    <row r="55122" s="12" customFormat="1" x14ac:dyDescent="0.25"/>
    <row r="55123" s="12" customFormat="1" x14ac:dyDescent="0.25"/>
    <row r="55124" s="12" customFormat="1" x14ac:dyDescent="0.25"/>
    <row r="55125" s="12" customFormat="1" x14ac:dyDescent="0.25"/>
    <row r="55126" s="12" customFormat="1" x14ac:dyDescent="0.25"/>
    <row r="55127" s="12" customFormat="1" x14ac:dyDescent="0.25"/>
    <row r="55128" s="12" customFormat="1" x14ac:dyDescent="0.25"/>
    <row r="55129" s="12" customFormat="1" x14ac:dyDescent="0.25"/>
    <row r="55130" s="12" customFormat="1" x14ac:dyDescent="0.25"/>
    <row r="55131" s="12" customFormat="1" x14ac:dyDescent="0.25"/>
    <row r="55132" s="12" customFormat="1" x14ac:dyDescent="0.25"/>
    <row r="55133" s="12" customFormat="1" x14ac:dyDescent="0.25"/>
    <row r="55134" s="12" customFormat="1" x14ac:dyDescent="0.25"/>
    <row r="55135" s="12" customFormat="1" x14ac:dyDescent="0.25"/>
    <row r="55136" s="12" customFormat="1" x14ac:dyDescent="0.25"/>
    <row r="55137" s="12" customFormat="1" x14ac:dyDescent="0.25"/>
    <row r="55138" s="12" customFormat="1" x14ac:dyDescent="0.25"/>
    <row r="55139" s="12" customFormat="1" x14ac:dyDescent="0.25"/>
    <row r="55140" s="12" customFormat="1" x14ac:dyDescent="0.25"/>
    <row r="55141" s="12" customFormat="1" x14ac:dyDescent="0.25"/>
    <row r="55142" s="12" customFormat="1" x14ac:dyDescent="0.25"/>
    <row r="55143" s="12" customFormat="1" x14ac:dyDescent="0.25"/>
    <row r="55144" s="12" customFormat="1" x14ac:dyDescent="0.25"/>
    <row r="55145" s="12" customFormat="1" x14ac:dyDescent="0.25"/>
    <row r="55146" s="12" customFormat="1" x14ac:dyDescent="0.25"/>
    <row r="55147" s="12" customFormat="1" x14ac:dyDescent="0.25"/>
    <row r="55148" s="12" customFormat="1" x14ac:dyDescent="0.25"/>
    <row r="55149" s="12" customFormat="1" x14ac:dyDescent="0.25"/>
    <row r="55150" s="12" customFormat="1" x14ac:dyDescent="0.25"/>
    <row r="55151" s="12" customFormat="1" x14ac:dyDescent="0.25"/>
    <row r="55152" s="12" customFormat="1" x14ac:dyDescent="0.25"/>
    <row r="55153" s="12" customFormat="1" x14ac:dyDescent="0.25"/>
    <row r="55154" s="12" customFormat="1" x14ac:dyDescent="0.25"/>
    <row r="55155" s="12" customFormat="1" x14ac:dyDescent="0.25"/>
    <row r="55156" s="12" customFormat="1" x14ac:dyDescent="0.25"/>
    <row r="55157" s="12" customFormat="1" x14ac:dyDescent="0.25"/>
    <row r="55158" s="12" customFormat="1" x14ac:dyDescent="0.25"/>
    <row r="55159" s="12" customFormat="1" x14ac:dyDescent="0.25"/>
    <row r="55160" s="12" customFormat="1" x14ac:dyDescent="0.25"/>
    <row r="55161" s="12" customFormat="1" x14ac:dyDescent="0.25"/>
    <row r="55162" s="12" customFormat="1" x14ac:dyDescent="0.25"/>
    <row r="55163" s="12" customFormat="1" x14ac:dyDescent="0.25"/>
    <row r="55164" s="12" customFormat="1" x14ac:dyDescent="0.25"/>
    <row r="55165" s="12" customFormat="1" x14ac:dyDescent="0.25"/>
    <row r="55166" s="12" customFormat="1" x14ac:dyDescent="0.25"/>
    <row r="55167" s="12" customFormat="1" x14ac:dyDescent="0.25"/>
    <row r="55168" s="12" customFormat="1" x14ac:dyDescent="0.25"/>
    <row r="55169" s="12" customFormat="1" x14ac:dyDescent="0.25"/>
    <row r="55170" s="12" customFormat="1" x14ac:dyDescent="0.25"/>
    <row r="55171" s="12" customFormat="1" x14ac:dyDescent="0.25"/>
    <row r="55172" s="12" customFormat="1" x14ac:dyDescent="0.25"/>
    <row r="55173" s="12" customFormat="1" x14ac:dyDescent="0.25"/>
    <row r="55174" s="12" customFormat="1" x14ac:dyDescent="0.25"/>
    <row r="55175" s="12" customFormat="1" x14ac:dyDescent="0.25"/>
    <row r="55176" s="12" customFormat="1" x14ac:dyDescent="0.25"/>
    <row r="55177" s="12" customFormat="1" x14ac:dyDescent="0.25"/>
    <row r="55178" s="12" customFormat="1" x14ac:dyDescent="0.25"/>
    <row r="55179" s="12" customFormat="1" x14ac:dyDescent="0.25"/>
    <row r="55180" s="12" customFormat="1" x14ac:dyDescent="0.25"/>
    <row r="55181" s="12" customFormat="1" x14ac:dyDescent="0.25"/>
    <row r="55182" s="12" customFormat="1" x14ac:dyDescent="0.25"/>
    <row r="55183" s="12" customFormat="1" x14ac:dyDescent="0.25"/>
    <row r="55184" s="12" customFormat="1" x14ac:dyDescent="0.25"/>
    <row r="55185" s="12" customFormat="1" x14ac:dyDescent="0.25"/>
    <row r="55186" s="12" customFormat="1" x14ac:dyDescent="0.25"/>
    <row r="55187" s="12" customFormat="1" x14ac:dyDescent="0.25"/>
    <row r="55188" s="12" customFormat="1" x14ac:dyDescent="0.25"/>
    <row r="55189" s="12" customFormat="1" x14ac:dyDescent="0.25"/>
    <row r="55190" s="12" customFormat="1" x14ac:dyDescent="0.25"/>
    <row r="55191" s="12" customFormat="1" x14ac:dyDescent="0.25"/>
    <row r="55192" s="12" customFormat="1" x14ac:dyDescent="0.25"/>
    <row r="55193" s="12" customFormat="1" x14ac:dyDescent="0.25"/>
    <row r="55194" s="12" customFormat="1" x14ac:dyDescent="0.25"/>
    <row r="55195" s="12" customFormat="1" x14ac:dyDescent="0.25"/>
    <row r="55196" s="12" customFormat="1" x14ac:dyDescent="0.25"/>
    <row r="55197" s="12" customFormat="1" x14ac:dyDescent="0.25"/>
    <row r="55198" s="12" customFormat="1" x14ac:dyDescent="0.25"/>
    <row r="55199" s="12" customFormat="1" x14ac:dyDescent="0.25"/>
    <row r="55200" s="12" customFormat="1" x14ac:dyDescent="0.25"/>
    <row r="55201" s="12" customFormat="1" x14ac:dyDescent="0.25"/>
    <row r="55202" s="12" customFormat="1" x14ac:dyDescent="0.25"/>
    <row r="55203" s="12" customFormat="1" x14ac:dyDescent="0.25"/>
    <row r="55204" s="12" customFormat="1" x14ac:dyDescent="0.25"/>
    <row r="55205" s="12" customFormat="1" x14ac:dyDescent="0.25"/>
    <row r="55206" s="12" customFormat="1" x14ac:dyDescent="0.25"/>
    <row r="55207" s="12" customFormat="1" x14ac:dyDescent="0.25"/>
    <row r="55208" s="12" customFormat="1" x14ac:dyDescent="0.25"/>
    <row r="55209" s="12" customFormat="1" x14ac:dyDescent="0.25"/>
    <row r="55210" s="12" customFormat="1" x14ac:dyDescent="0.25"/>
    <row r="55211" s="12" customFormat="1" x14ac:dyDescent="0.25"/>
    <row r="55212" s="12" customFormat="1" x14ac:dyDescent="0.25"/>
    <row r="55213" s="12" customFormat="1" x14ac:dyDescent="0.25"/>
    <row r="55214" s="12" customFormat="1" x14ac:dyDescent="0.25"/>
    <row r="55215" s="12" customFormat="1" x14ac:dyDescent="0.25"/>
    <row r="55216" s="12" customFormat="1" x14ac:dyDescent="0.25"/>
    <row r="55217" s="12" customFormat="1" x14ac:dyDescent="0.25"/>
    <row r="55218" s="12" customFormat="1" x14ac:dyDescent="0.25"/>
    <row r="55219" s="12" customFormat="1" x14ac:dyDescent="0.25"/>
    <row r="55220" s="12" customFormat="1" x14ac:dyDescent="0.25"/>
    <row r="55221" s="12" customFormat="1" x14ac:dyDescent="0.25"/>
    <row r="55222" s="12" customFormat="1" x14ac:dyDescent="0.25"/>
    <row r="55223" s="12" customFormat="1" x14ac:dyDescent="0.25"/>
    <row r="55224" s="12" customFormat="1" x14ac:dyDescent="0.25"/>
    <row r="55225" s="12" customFormat="1" x14ac:dyDescent="0.25"/>
    <row r="55226" s="12" customFormat="1" x14ac:dyDescent="0.25"/>
    <row r="55227" s="12" customFormat="1" x14ac:dyDescent="0.25"/>
    <row r="55228" s="12" customFormat="1" x14ac:dyDescent="0.25"/>
    <row r="55229" s="12" customFormat="1" x14ac:dyDescent="0.25"/>
    <row r="55230" s="12" customFormat="1" x14ac:dyDescent="0.25"/>
    <row r="55231" s="12" customFormat="1" x14ac:dyDescent="0.25"/>
    <row r="55232" s="12" customFormat="1" x14ac:dyDescent="0.25"/>
    <row r="55233" s="12" customFormat="1" x14ac:dyDescent="0.25"/>
    <row r="55234" s="12" customFormat="1" x14ac:dyDescent="0.25"/>
    <row r="55235" s="12" customFormat="1" x14ac:dyDescent="0.25"/>
    <row r="55236" s="12" customFormat="1" x14ac:dyDescent="0.25"/>
    <row r="55237" s="12" customFormat="1" x14ac:dyDescent="0.25"/>
    <row r="55238" s="12" customFormat="1" x14ac:dyDescent="0.25"/>
    <row r="55239" s="12" customFormat="1" x14ac:dyDescent="0.25"/>
    <row r="55240" s="12" customFormat="1" x14ac:dyDescent="0.25"/>
    <row r="55241" s="12" customFormat="1" x14ac:dyDescent="0.25"/>
    <row r="55242" s="12" customFormat="1" x14ac:dyDescent="0.25"/>
    <row r="55243" s="12" customFormat="1" x14ac:dyDescent="0.25"/>
    <row r="55244" s="12" customFormat="1" x14ac:dyDescent="0.25"/>
    <row r="55245" s="12" customFormat="1" x14ac:dyDescent="0.25"/>
    <row r="55246" s="12" customFormat="1" x14ac:dyDescent="0.25"/>
    <row r="55247" s="12" customFormat="1" x14ac:dyDescent="0.25"/>
    <row r="55248" s="12" customFormat="1" x14ac:dyDescent="0.25"/>
    <row r="55249" s="12" customFormat="1" x14ac:dyDescent="0.25"/>
    <row r="55250" s="12" customFormat="1" x14ac:dyDescent="0.25"/>
    <row r="55251" s="12" customFormat="1" x14ac:dyDescent="0.25"/>
    <row r="55252" s="12" customFormat="1" x14ac:dyDescent="0.25"/>
    <row r="55253" s="12" customFormat="1" x14ac:dyDescent="0.25"/>
    <row r="55254" s="12" customFormat="1" x14ac:dyDescent="0.25"/>
    <row r="55255" s="12" customFormat="1" x14ac:dyDescent="0.25"/>
    <row r="55256" s="12" customFormat="1" x14ac:dyDescent="0.25"/>
    <row r="55257" s="12" customFormat="1" x14ac:dyDescent="0.25"/>
    <row r="55258" s="12" customFormat="1" x14ac:dyDescent="0.25"/>
    <row r="55259" s="12" customFormat="1" x14ac:dyDescent="0.25"/>
    <row r="55260" s="12" customFormat="1" x14ac:dyDescent="0.25"/>
    <row r="55261" s="12" customFormat="1" x14ac:dyDescent="0.25"/>
    <row r="55262" s="12" customFormat="1" x14ac:dyDescent="0.25"/>
    <row r="55263" s="12" customFormat="1" x14ac:dyDescent="0.25"/>
    <row r="55264" s="12" customFormat="1" x14ac:dyDescent="0.25"/>
    <row r="55265" s="12" customFormat="1" x14ac:dyDescent="0.25"/>
    <row r="55266" s="12" customFormat="1" x14ac:dyDescent="0.25"/>
    <row r="55267" s="12" customFormat="1" x14ac:dyDescent="0.25"/>
    <row r="55268" s="12" customFormat="1" x14ac:dyDescent="0.25"/>
    <row r="55269" s="12" customFormat="1" x14ac:dyDescent="0.25"/>
    <row r="55270" s="12" customFormat="1" x14ac:dyDescent="0.25"/>
    <row r="55271" s="12" customFormat="1" x14ac:dyDescent="0.25"/>
    <row r="55272" s="12" customFormat="1" x14ac:dyDescent="0.25"/>
    <row r="55273" s="12" customFormat="1" x14ac:dyDescent="0.25"/>
    <row r="55274" s="12" customFormat="1" x14ac:dyDescent="0.25"/>
    <row r="55275" s="12" customFormat="1" x14ac:dyDescent="0.25"/>
    <row r="55276" s="12" customFormat="1" x14ac:dyDescent="0.25"/>
    <row r="55277" s="12" customFormat="1" x14ac:dyDescent="0.25"/>
    <row r="55278" s="12" customFormat="1" x14ac:dyDescent="0.25"/>
    <row r="55279" s="12" customFormat="1" x14ac:dyDescent="0.25"/>
    <row r="55280" s="12" customFormat="1" x14ac:dyDescent="0.25"/>
    <row r="55281" s="12" customFormat="1" x14ac:dyDescent="0.25"/>
    <row r="55282" s="12" customFormat="1" x14ac:dyDescent="0.25"/>
    <row r="55283" s="12" customFormat="1" x14ac:dyDescent="0.25"/>
    <row r="55284" s="12" customFormat="1" x14ac:dyDescent="0.25"/>
    <row r="55285" s="12" customFormat="1" x14ac:dyDescent="0.25"/>
    <row r="55286" s="12" customFormat="1" x14ac:dyDescent="0.25"/>
    <row r="55287" s="12" customFormat="1" x14ac:dyDescent="0.25"/>
    <row r="55288" s="12" customFormat="1" x14ac:dyDescent="0.25"/>
    <row r="55289" s="12" customFormat="1" x14ac:dyDescent="0.25"/>
    <row r="55290" s="12" customFormat="1" x14ac:dyDescent="0.25"/>
    <row r="55291" s="12" customFormat="1" x14ac:dyDescent="0.25"/>
    <row r="55292" s="12" customFormat="1" x14ac:dyDescent="0.25"/>
    <row r="55293" s="12" customFormat="1" x14ac:dyDescent="0.25"/>
    <row r="55294" s="12" customFormat="1" x14ac:dyDescent="0.25"/>
    <row r="55295" s="12" customFormat="1" x14ac:dyDescent="0.25"/>
    <row r="55296" s="12" customFormat="1" x14ac:dyDescent="0.25"/>
    <row r="55297" s="12" customFormat="1" x14ac:dyDescent="0.25"/>
    <row r="55298" s="12" customFormat="1" x14ac:dyDescent="0.25"/>
    <row r="55299" s="12" customFormat="1" x14ac:dyDescent="0.25"/>
    <row r="55300" s="12" customFormat="1" x14ac:dyDescent="0.25"/>
    <row r="55301" s="12" customFormat="1" x14ac:dyDescent="0.25"/>
    <row r="55302" s="12" customFormat="1" x14ac:dyDescent="0.25"/>
    <row r="55303" s="12" customFormat="1" x14ac:dyDescent="0.25"/>
    <row r="55304" s="12" customFormat="1" x14ac:dyDescent="0.25"/>
    <row r="55305" s="12" customFormat="1" x14ac:dyDescent="0.25"/>
    <row r="55306" s="12" customFormat="1" x14ac:dyDescent="0.25"/>
    <row r="55307" s="12" customFormat="1" x14ac:dyDescent="0.25"/>
    <row r="55308" s="12" customFormat="1" x14ac:dyDescent="0.25"/>
    <row r="55309" s="12" customFormat="1" x14ac:dyDescent="0.25"/>
    <row r="55310" s="12" customFormat="1" x14ac:dyDescent="0.25"/>
    <row r="55311" s="12" customFormat="1" x14ac:dyDescent="0.25"/>
    <row r="55312" s="12" customFormat="1" x14ac:dyDescent="0.25"/>
    <row r="55313" s="12" customFormat="1" x14ac:dyDescent="0.25"/>
    <row r="55314" s="12" customFormat="1" x14ac:dyDescent="0.25"/>
    <row r="55315" s="12" customFormat="1" x14ac:dyDescent="0.25"/>
    <row r="55316" s="12" customFormat="1" x14ac:dyDescent="0.25"/>
    <row r="55317" s="12" customFormat="1" x14ac:dyDescent="0.25"/>
    <row r="55318" s="12" customFormat="1" x14ac:dyDescent="0.25"/>
    <row r="55319" s="12" customFormat="1" x14ac:dyDescent="0.25"/>
    <row r="55320" s="12" customFormat="1" x14ac:dyDescent="0.25"/>
    <row r="55321" s="12" customFormat="1" x14ac:dyDescent="0.25"/>
    <row r="55322" s="12" customFormat="1" x14ac:dyDescent="0.25"/>
    <row r="55323" s="12" customFormat="1" x14ac:dyDescent="0.25"/>
    <row r="55324" s="12" customFormat="1" x14ac:dyDescent="0.25"/>
    <row r="55325" s="12" customFormat="1" x14ac:dyDescent="0.25"/>
    <row r="55326" s="12" customFormat="1" x14ac:dyDescent="0.25"/>
    <row r="55327" s="12" customFormat="1" x14ac:dyDescent="0.25"/>
    <row r="55328" s="12" customFormat="1" x14ac:dyDescent="0.25"/>
    <row r="55329" s="12" customFormat="1" x14ac:dyDescent="0.25"/>
    <row r="55330" s="12" customFormat="1" x14ac:dyDescent="0.25"/>
    <row r="55331" s="12" customFormat="1" x14ac:dyDescent="0.25"/>
    <row r="55332" s="12" customFormat="1" x14ac:dyDescent="0.25"/>
    <row r="55333" s="12" customFormat="1" x14ac:dyDescent="0.25"/>
    <row r="55334" s="12" customFormat="1" x14ac:dyDescent="0.25"/>
    <row r="55335" s="12" customFormat="1" x14ac:dyDescent="0.25"/>
    <row r="55336" s="12" customFormat="1" x14ac:dyDescent="0.25"/>
    <row r="55337" s="12" customFormat="1" x14ac:dyDescent="0.25"/>
    <row r="55338" s="12" customFormat="1" x14ac:dyDescent="0.25"/>
    <row r="55339" s="12" customFormat="1" x14ac:dyDescent="0.25"/>
    <row r="55340" s="12" customFormat="1" x14ac:dyDescent="0.25"/>
    <row r="55341" s="12" customFormat="1" x14ac:dyDescent="0.25"/>
    <row r="55342" s="12" customFormat="1" x14ac:dyDescent="0.25"/>
    <row r="55343" s="12" customFormat="1" x14ac:dyDescent="0.25"/>
    <row r="55344" s="12" customFormat="1" x14ac:dyDescent="0.25"/>
    <row r="55345" s="12" customFormat="1" x14ac:dyDescent="0.25"/>
    <row r="55346" s="12" customFormat="1" x14ac:dyDescent="0.25"/>
    <row r="55347" s="12" customFormat="1" x14ac:dyDescent="0.25"/>
    <row r="55348" s="12" customFormat="1" x14ac:dyDescent="0.25"/>
    <row r="55349" s="12" customFormat="1" x14ac:dyDescent="0.25"/>
    <row r="55350" s="12" customFormat="1" x14ac:dyDescent="0.25"/>
    <row r="55351" s="12" customFormat="1" x14ac:dyDescent="0.25"/>
    <row r="55352" s="12" customFormat="1" x14ac:dyDescent="0.25"/>
    <row r="55353" s="12" customFormat="1" x14ac:dyDescent="0.25"/>
    <row r="55354" s="12" customFormat="1" x14ac:dyDescent="0.25"/>
    <row r="55355" s="12" customFormat="1" x14ac:dyDescent="0.25"/>
    <row r="55356" s="12" customFormat="1" x14ac:dyDescent="0.25"/>
    <row r="55357" s="12" customFormat="1" x14ac:dyDescent="0.25"/>
    <row r="55358" s="12" customFormat="1" x14ac:dyDescent="0.25"/>
    <row r="55359" s="12" customFormat="1" x14ac:dyDescent="0.25"/>
    <row r="55360" s="12" customFormat="1" x14ac:dyDescent="0.25"/>
    <row r="55361" s="12" customFormat="1" x14ac:dyDescent="0.25"/>
    <row r="55362" s="12" customFormat="1" x14ac:dyDescent="0.25"/>
    <row r="55363" s="12" customFormat="1" x14ac:dyDescent="0.25"/>
    <row r="55364" s="12" customFormat="1" x14ac:dyDescent="0.25"/>
    <row r="55365" s="12" customFormat="1" x14ac:dyDescent="0.25"/>
    <row r="55366" s="12" customFormat="1" x14ac:dyDescent="0.25"/>
    <row r="55367" s="12" customFormat="1" x14ac:dyDescent="0.25"/>
    <row r="55368" s="12" customFormat="1" x14ac:dyDescent="0.25"/>
    <row r="55369" s="12" customFormat="1" x14ac:dyDescent="0.25"/>
    <row r="55370" s="12" customFormat="1" x14ac:dyDescent="0.25"/>
    <row r="55371" s="12" customFormat="1" x14ac:dyDescent="0.25"/>
    <row r="55372" s="12" customFormat="1" x14ac:dyDescent="0.25"/>
    <row r="55373" s="12" customFormat="1" x14ac:dyDescent="0.25"/>
    <row r="55374" s="12" customFormat="1" x14ac:dyDescent="0.25"/>
    <row r="55375" s="12" customFormat="1" x14ac:dyDescent="0.25"/>
    <row r="55376" s="12" customFormat="1" x14ac:dyDescent="0.25"/>
    <row r="55377" s="12" customFormat="1" x14ac:dyDescent="0.25"/>
    <row r="55378" s="12" customFormat="1" x14ac:dyDescent="0.25"/>
    <row r="55379" s="12" customFormat="1" x14ac:dyDescent="0.25"/>
    <row r="55380" s="12" customFormat="1" x14ac:dyDescent="0.25"/>
    <row r="55381" s="12" customFormat="1" x14ac:dyDescent="0.25"/>
    <row r="55382" s="12" customFormat="1" x14ac:dyDescent="0.25"/>
    <row r="55383" s="12" customFormat="1" x14ac:dyDescent="0.25"/>
    <row r="55384" s="12" customFormat="1" x14ac:dyDescent="0.25"/>
    <row r="55385" s="12" customFormat="1" x14ac:dyDescent="0.25"/>
    <row r="55386" s="12" customFormat="1" x14ac:dyDescent="0.25"/>
    <row r="55387" s="12" customFormat="1" x14ac:dyDescent="0.25"/>
    <row r="55388" s="12" customFormat="1" x14ac:dyDescent="0.25"/>
    <row r="55389" s="12" customFormat="1" x14ac:dyDescent="0.25"/>
    <row r="55390" s="12" customFormat="1" x14ac:dyDescent="0.25"/>
    <row r="55391" s="12" customFormat="1" x14ac:dyDescent="0.25"/>
    <row r="55392" s="12" customFormat="1" x14ac:dyDescent="0.25"/>
    <row r="55393" s="12" customFormat="1" x14ac:dyDescent="0.25"/>
    <row r="55394" s="12" customFormat="1" x14ac:dyDescent="0.25"/>
    <row r="55395" s="12" customFormat="1" x14ac:dyDescent="0.25"/>
    <row r="55396" s="12" customFormat="1" x14ac:dyDescent="0.25"/>
    <row r="55397" s="12" customFormat="1" x14ac:dyDescent="0.25"/>
    <row r="55398" s="12" customFormat="1" x14ac:dyDescent="0.25"/>
    <row r="55399" s="12" customFormat="1" x14ac:dyDescent="0.25"/>
    <row r="55400" s="12" customFormat="1" x14ac:dyDescent="0.25"/>
    <row r="55401" s="12" customFormat="1" x14ac:dyDescent="0.25"/>
    <row r="55402" s="12" customFormat="1" x14ac:dyDescent="0.25"/>
    <row r="55403" s="12" customFormat="1" x14ac:dyDescent="0.25"/>
    <row r="55404" s="12" customFormat="1" x14ac:dyDescent="0.25"/>
    <row r="55405" s="12" customFormat="1" x14ac:dyDescent="0.25"/>
    <row r="55406" s="12" customFormat="1" x14ac:dyDescent="0.25"/>
    <row r="55407" s="12" customFormat="1" x14ac:dyDescent="0.25"/>
    <row r="55408" s="12" customFormat="1" x14ac:dyDescent="0.25"/>
    <row r="55409" s="12" customFormat="1" x14ac:dyDescent="0.25"/>
    <row r="55410" s="12" customFormat="1" x14ac:dyDescent="0.25"/>
    <row r="55411" s="12" customFormat="1" x14ac:dyDescent="0.25"/>
    <row r="55412" s="12" customFormat="1" x14ac:dyDescent="0.25"/>
    <row r="55413" s="12" customFormat="1" x14ac:dyDescent="0.25"/>
    <row r="55414" s="12" customFormat="1" x14ac:dyDescent="0.25"/>
    <row r="55415" s="12" customFormat="1" x14ac:dyDescent="0.25"/>
    <row r="55416" s="12" customFormat="1" x14ac:dyDescent="0.25"/>
    <row r="55417" s="12" customFormat="1" x14ac:dyDescent="0.25"/>
    <row r="55418" s="12" customFormat="1" x14ac:dyDescent="0.25"/>
    <row r="55419" s="12" customFormat="1" x14ac:dyDescent="0.25"/>
    <row r="55420" s="12" customFormat="1" x14ac:dyDescent="0.25"/>
    <row r="55421" s="12" customFormat="1" x14ac:dyDescent="0.25"/>
    <row r="55422" s="12" customFormat="1" x14ac:dyDescent="0.25"/>
    <row r="55423" s="12" customFormat="1" x14ac:dyDescent="0.25"/>
    <row r="55424" s="12" customFormat="1" x14ac:dyDescent="0.25"/>
    <row r="55425" s="12" customFormat="1" x14ac:dyDescent="0.25"/>
    <row r="55426" s="12" customFormat="1" x14ac:dyDescent="0.25"/>
    <row r="55427" s="12" customFormat="1" x14ac:dyDescent="0.25"/>
    <row r="55428" s="12" customFormat="1" x14ac:dyDescent="0.25"/>
    <row r="55429" s="12" customFormat="1" x14ac:dyDescent="0.25"/>
    <row r="55430" s="12" customFormat="1" x14ac:dyDescent="0.25"/>
    <row r="55431" s="12" customFormat="1" x14ac:dyDescent="0.25"/>
    <row r="55432" s="12" customFormat="1" x14ac:dyDescent="0.25"/>
    <row r="55433" s="12" customFormat="1" x14ac:dyDescent="0.25"/>
    <row r="55434" s="12" customFormat="1" x14ac:dyDescent="0.25"/>
    <row r="55435" s="12" customFormat="1" x14ac:dyDescent="0.25"/>
    <row r="55436" s="12" customFormat="1" x14ac:dyDescent="0.25"/>
    <row r="55437" s="12" customFormat="1" x14ac:dyDescent="0.25"/>
    <row r="55438" s="12" customFormat="1" x14ac:dyDescent="0.25"/>
    <row r="55439" s="12" customFormat="1" x14ac:dyDescent="0.25"/>
    <row r="55440" s="12" customFormat="1" x14ac:dyDescent="0.25"/>
    <row r="55441" s="12" customFormat="1" x14ac:dyDescent="0.25"/>
    <row r="55442" s="12" customFormat="1" x14ac:dyDescent="0.25"/>
    <row r="55443" s="12" customFormat="1" x14ac:dyDescent="0.25"/>
    <row r="55444" s="12" customFormat="1" x14ac:dyDescent="0.25"/>
    <row r="55445" s="12" customFormat="1" x14ac:dyDescent="0.25"/>
    <row r="55446" s="12" customFormat="1" x14ac:dyDescent="0.25"/>
    <row r="55447" s="12" customFormat="1" x14ac:dyDescent="0.25"/>
    <row r="55448" s="12" customFormat="1" x14ac:dyDescent="0.25"/>
    <row r="55449" s="12" customFormat="1" x14ac:dyDescent="0.25"/>
    <row r="55450" s="12" customFormat="1" x14ac:dyDescent="0.25"/>
    <row r="55451" s="12" customFormat="1" x14ac:dyDescent="0.25"/>
    <row r="55452" s="12" customFormat="1" x14ac:dyDescent="0.25"/>
    <row r="55453" s="12" customFormat="1" x14ac:dyDescent="0.25"/>
    <row r="55454" s="12" customFormat="1" x14ac:dyDescent="0.25"/>
    <row r="55455" s="12" customFormat="1" x14ac:dyDescent="0.25"/>
    <row r="55456" s="12" customFormat="1" x14ac:dyDescent="0.25"/>
    <row r="55457" s="12" customFormat="1" x14ac:dyDescent="0.25"/>
    <row r="55458" s="12" customFormat="1" x14ac:dyDescent="0.25"/>
    <row r="55459" s="12" customFormat="1" x14ac:dyDescent="0.25"/>
    <row r="55460" s="12" customFormat="1" x14ac:dyDescent="0.25"/>
    <row r="55461" s="12" customFormat="1" x14ac:dyDescent="0.25"/>
    <row r="55462" s="12" customFormat="1" x14ac:dyDescent="0.25"/>
    <row r="55463" s="12" customFormat="1" x14ac:dyDescent="0.25"/>
    <row r="55464" s="12" customFormat="1" x14ac:dyDescent="0.25"/>
    <row r="55465" s="12" customFormat="1" x14ac:dyDescent="0.25"/>
    <row r="55466" s="12" customFormat="1" x14ac:dyDescent="0.25"/>
    <row r="55467" s="12" customFormat="1" x14ac:dyDescent="0.25"/>
    <row r="55468" s="12" customFormat="1" x14ac:dyDescent="0.25"/>
    <row r="55469" s="12" customFormat="1" x14ac:dyDescent="0.25"/>
    <row r="55470" s="12" customFormat="1" x14ac:dyDescent="0.25"/>
    <row r="55471" s="12" customFormat="1" x14ac:dyDescent="0.25"/>
    <row r="55472" s="12" customFormat="1" x14ac:dyDescent="0.25"/>
    <row r="55473" s="12" customFormat="1" x14ac:dyDescent="0.25"/>
    <row r="55474" s="12" customFormat="1" x14ac:dyDescent="0.25"/>
    <row r="55475" s="12" customFormat="1" x14ac:dyDescent="0.25"/>
    <row r="55476" s="12" customFormat="1" x14ac:dyDescent="0.25"/>
    <row r="55477" s="12" customFormat="1" x14ac:dyDescent="0.25"/>
    <row r="55478" s="12" customFormat="1" x14ac:dyDescent="0.25"/>
    <row r="55479" s="12" customFormat="1" x14ac:dyDescent="0.25"/>
    <row r="55480" s="12" customFormat="1" x14ac:dyDescent="0.25"/>
    <row r="55481" s="12" customFormat="1" x14ac:dyDescent="0.25"/>
    <row r="55482" s="12" customFormat="1" x14ac:dyDescent="0.25"/>
    <row r="55483" s="12" customFormat="1" x14ac:dyDescent="0.25"/>
    <row r="55484" s="12" customFormat="1" x14ac:dyDescent="0.25"/>
    <row r="55485" s="12" customFormat="1" x14ac:dyDescent="0.25"/>
    <row r="55486" s="12" customFormat="1" x14ac:dyDescent="0.25"/>
    <row r="55487" s="12" customFormat="1" x14ac:dyDescent="0.25"/>
    <row r="55488" s="12" customFormat="1" x14ac:dyDescent="0.25"/>
    <row r="55489" s="12" customFormat="1" x14ac:dyDescent="0.25"/>
    <row r="55490" s="12" customFormat="1" x14ac:dyDescent="0.25"/>
    <row r="55491" s="12" customFormat="1" x14ac:dyDescent="0.25"/>
    <row r="55492" s="12" customFormat="1" x14ac:dyDescent="0.25"/>
    <row r="55493" s="12" customFormat="1" x14ac:dyDescent="0.25"/>
    <row r="55494" s="12" customFormat="1" x14ac:dyDescent="0.25"/>
    <row r="55495" s="12" customFormat="1" x14ac:dyDescent="0.25"/>
    <row r="55496" s="12" customFormat="1" x14ac:dyDescent="0.25"/>
    <row r="55497" s="12" customFormat="1" x14ac:dyDescent="0.25"/>
    <row r="55498" s="12" customFormat="1" x14ac:dyDescent="0.25"/>
    <row r="55499" s="12" customFormat="1" x14ac:dyDescent="0.25"/>
    <row r="55500" s="12" customFormat="1" x14ac:dyDescent="0.25"/>
    <row r="55501" s="12" customFormat="1" x14ac:dyDescent="0.25"/>
    <row r="55502" s="12" customFormat="1" x14ac:dyDescent="0.25"/>
    <row r="55503" s="12" customFormat="1" x14ac:dyDescent="0.25"/>
    <row r="55504" s="12" customFormat="1" x14ac:dyDescent="0.25"/>
    <row r="55505" s="12" customFormat="1" x14ac:dyDescent="0.25"/>
    <row r="55506" s="12" customFormat="1" x14ac:dyDescent="0.25"/>
    <row r="55507" s="12" customFormat="1" x14ac:dyDescent="0.25"/>
    <row r="55508" s="12" customFormat="1" x14ac:dyDescent="0.25"/>
    <row r="55509" s="12" customFormat="1" x14ac:dyDescent="0.25"/>
    <row r="55510" s="12" customFormat="1" x14ac:dyDescent="0.25"/>
    <row r="55511" s="12" customFormat="1" x14ac:dyDescent="0.25"/>
    <row r="55512" s="12" customFormat="1" x14ac:dyDescent="0.25"/>
    <row r="55513" s="12" customFormat="1" x14ac:dyDescent="0.25"/>
    <row r="55514" s="12" customFormat="1" x14ac:dyDescent="0.25"/>
    <row r="55515" s="12" customFormat="1" x14ac:dyDescent="0.25"/>
    <row r="55516" s="12" customFormat="1" x14ac:dyDescent="0.25"/>
    <row r="55517" s="12" customFormat="1" x14ac:dyDescent="0.25"/>
    <row r="55518" s="12" customFormat="1" x14ac:dyDescent="0.25"/>
    <row r="55519" s="12" customFormat="1" x14ac:dyDescent="0.25"/>
    <row r="55520" s="12" customFormat="1" x14ac:dyDescent="0.25"/>
    <row r="55521" s="12" customFormat="1" x14ac:dyDescent="0.25"/>
    <row r="55522" s="12" customFormat="1" x14ac:dyDescent="0.25"/>
    <row r="55523" s="12" customFormat="1" x14ac:dyDescent="0.25"/>
    <row r="55524" s="12" customFormat="1" x14ac:dyDescent="0.25"/>
    <row r="55525" s="12" customFormat="1" x14ac:dyDescent="0.25"/>
    <row r="55526" s="12" customFormat="1" x14ac:dyDescent="0.25"/>
    <row r="55527" s="12" customFormat="1" x14ac:dyDescent="0.25"/>
    <row r="55528" s="12" customFormat="1" x14ac:dyDescent="0.25"/>
    <row r="55529" s="12" customFormat="1" x14ac:dyDescent="0.25"/>
    <row r="55530" s="12" customFormat="1" x14ac:dyDescent="0.25"/>
    <row r="55531" s="12" customFormat="1" x14ac:dyDescent="0.25"/>
    <row r="55532" s="12" customFormat="1" x14ac:dyDescent="0.25"/>
    <row r="55533" s="12" customFormat="1" x14ac:dyDescent="0.25"/>
    <row r="55534" s="12" customFormat="1" x14ac:dyDescent="0.25"/>
    <row r="55535" s="12" customFormat="1" x14ac:dyDescent="0.25"/>
    <row r="55536" s="12" customFormat="1" x14ac:dyDescent="0.25"/>
    <row r="55537" s="12" customFormat="1" x14ac:dyDescent="0.25"/>
    <row r="55538" s="12" customFormat="1" x14ac:dyDescent="0.25"/>
    <row r="55539" s="12" customFormat="1" x14ac:dyDescent="0.25"/>
    <row r="55540" s="12" customFormat="1" x14ac:dyDescent="0.25"/>
    <row r="55541" s="12" customFormat="1" x14ac:dyDescent="0.25"/>
    <row r="55542" s="12" customFormat="1" x14ac:dyDescent="0.25"/>
    <row r="55543" s="12" customFormat="1" x14ac:dyDescent="0.25"/>
    <row r="55544" s="12" customFormat="1" x14ac:dyDescent="0.25"/>
    <row r="55545" s="12" customFormat="1" x14ac:dyDescent="0.25"/>
    <row r="55546" s="12" customFormat="1" x14ac:dyDescent="0.25"/>
    <row r="55547" s="12" customFormat="1" x14ac:dyDescent="0.25"/>
    <row r="55548" s="12" customFormat="1" x14ac:dyDescent="0.25"/>
    <row r="55549" s="12" customFormat="1" x14ac:dyDescent="0.25"/>
    <row r="55550" s="12" customFormat="1" x14ac:dyDescent="0.25"/>
    <row r="55551" s="12" customFormat="1" x14ac:dyDescent="0.25"/>
    <row r="55552" s="12" customFormat="1" x14ac:dyDescent="0.25"/>
    <row r="55553" s="12" customFormat="1" x14ac:dyDescent="0.25"/>
    <row r="55554" s="12" customFormat="1" x14ac:dyDescent="0.25"/>
    <row r="55555" s="12" customFormat="1" x14ac:dyDescent="0.25"/>
    <row r="55556" s="12" customFormat="1" x14ac:dyDescent="0.25"/>
    <row r="55557" s="12" customFormat="1" x14ac:dyDescent="0.25"/>
    <row r="55558" s="12" customFormat="1" x14ac:dyDescent="0.25"/>
    <row r="55559" s="12" customFormat="1" x14ac:dyDescent="0.25"/>
    <row r="55560" s="12" customFormat="1" x14ac:dyDescent="0.25"/>
    <row r="55561" s="12" customFormat="1" x14ac:dyDescent="0.25"/>
    <row r="55562" s="12" customFormat="1" x14ac:dyDescent="0.25"/>
    <row r="55563" s="12" customFormat="1" x14ac:dyDescent="0.25"/>
    <row r="55564" s="12" customFormat="1" x14ac:dyDescent="0.25"/>
    <row r="55565" s="12" customFormat="1" x14ac:dyDescent="0.25"/>
    <row r="55566" s="12" customFormat="1" x14ac:dyDescent="0.25"/>
    <row r="55567" s="12" customFormat="1" x14ac:dyDescent="0.25"/>
    <row r="55568" s="12" customFormat="1" x14ac:dyDescent="0.25"/>
    <row r="55569" s="12" customFormat="1" x14ac:dyDescent="0.25"/>
    <row r="55570" s="12" customFormat="1" x14ac:dyDescent="0.25"/>
    <row r="55571" s="12" customFormat="1" x14ac:dyDescent="0.25"/>
    <row r="55572" s="12" customFormat="1" x14ac:dyDescent="0.25"/>
    <row r="55573" s="12" customFormat="1" x14ac:dyDescent="0.25"/>
    <row r="55574" s="12" customFormat="1" x14ac:dyDescent="0.25"/>
    <row r="55575" s="12" customFormat="1" x14ac:dyDescent="0.25"/>
    <row r="55576" s="12" customFormat="1" x14ac:dyDescent="0.25"/>
    <row r="55577" s="12" customFormat="1" x14ac:dyDescent="0.25"/>
    <row r="55578" s="12" customFormat="1" x14ac:dyDescent="0.25"/>
    <row r="55579" s="12" customFormat="1" x14ac:dyDescent="0.25"/>
    <row r="55580" s="12" customFormat="1" x14ac:dyDescent="0.25"/>
    <row r="55581" s="12" customFormat="1" x14ac:dyDescent="0.25"/>
    <row r="55582" s="12" customFormat="1" x14ac:dyDescent="0.25"/>
    <row r="55583" s="12" customFormat="1" x14ac:dyDescent="0.25"/>
    <row r="55584" s="12" customFormat="1" x14ac:dyDescent="0.25"/>
    <row r="55585" s="12" customFormat="1" x14ac:dyDescent="0.25"/>
    <row r="55586" s="12" customFormat="1" x14ac:dyDescent="0.25"/>
    <row r="55587" s="12" customFormat="1" x14ac:dyDescent="0.25"/>
    <row r="55588" s="12" customFormat="1" x14ac:dyDescent="0.25"/>
    <row r="55589" s="12" customFormat="1" x14ac:dyDescent="0.25"/>
    <row r="55590" s="12" customFormat="1" x14ac:dyDescent="0.25"/>
    <row r="55591" s="12" customFormat="1" x14ac:dyDescent="0.25"/>
    <row r="55592" s="12" customFormat="1" x14ac:dyDescent="0.25"/>
    <row r="55593" s="12" customFormat="1" x14ac:dyDescent="0.25"/>
    <row r="55594" s="12" customFormat="1" x14ac:dyDescent="0.25"/>
    <row r="55595" s="12" customFormat="1" x14ac:dyDescent="0.25"/>
    <row r="55596" s="12" customFormat="1" x14ac:dyDescent="0.25"/>
    <row r="55597" s="12" customFormat="1" x14ac:dyDescent="0.25"/>
    <row r="55598" s="12" customFormat="1" x14ac:dyDescent="0.25"/>
    <row r="55599" s="12" customFormat="1" x14ac:dyDescent="0.25"/>
    <row r="55600" s="12" customFormat="1" x14ac:dyDescent="0.25"/>
    <row r="55601" s="12" customFormat="1" x14ac:dyDescent="0.25"/>
    <row r="55602" s="12" customFormat="1" x14ac:dyDescent="0.25"/>
    <row r="55603" s="12" customFormat="1" x14ac:dyDescent="0.25"/>
    <row r="55604" s="12" customFormat="1" x14ac:dyDescent="0.25"/>
    <row r="55605" s="12" customFormat="1" x14ac:dyDescent="0.25"/>
    <row r="55606" s="12" customFormat="1" x14ac:dyDescent="0.25"/>
    <row r="55607" s="12" customFormat="1" x14ac:dyDescent="0.25"/>
    <row r="55608" s="12" customFormat="1" x14ac:dyDescent="0.25"/>
    <row r="55609" s="12" customFormat="1" x14ac:dyDescent="0.25"/>
    <row r="55610" s="12" customFormat="1" x14ac:dyDescent="0.25"/>
    <row r="55611" s="12" customFormat="1" x14ac:dyDescent="0.25"/>
    <row r="55612" s="12" customFormat="1" x14ac:dyDescent="0.25"/>
    <row r="55613" s="12" customFormat="1" x14ac:dyDescent="0.25"/>
    <row r="55614" s="12" customFormat="1" x14ac:dyDescent="0.25"/>
    <row r="55615" s="12" customFormat="1" x14ac:dyDescent="0.25"/>
    <row r="55616" s="12" customFormat="1" x14ac:dyDescent="0.25"/>
    <row r="55617" s="12" customFormat="1" x14ac:dyDescent="0.25"/>
    <row r="55618" s="12" customFormat="1" x14ac:dyDescent="0.25"/>
    <row r="55619" s="12" customFormat="1" x14ac:dyDescent="0.25"/>
    <row r="55620" s="12" customFormat="1" x14ac:dyDescent="0.25"/>
    <row r="55621" s="12" customFormat="1" x14ac:dyDescent="0.25"/>
    <row r="55622" s="12" customFormat="1" x14ac:dyDescent="0.25"/>
    <row r="55623" s="12" customFormat="1" x14ac:dyDescent="0.25"/>
    <row r="55624" s="12" customFormat="1" x14ac:dyDescent="0.25"/>
    <row r="55625" s="12" customFormat="1" x14ac:dyDescent="0.25"/>
    <row r="55626" s="12" customFormat="1" x14ac:dyDescent="0.25"/>
    <row r="55627" s="12" customFormat="1" x14ac:dyDescent="0.25"/>
    <row r="55628" s="12" customFormat="1" x14ac:dyDescent="0.25"/>
    <row r="55629" s="12" customFormat="1" x14ac:dyDescent="0.25"/>
    <row r="55630" s="12" customFormat="1" x14ac:dyDescent="0.25"/>
    <row r="55631" s="12" customFormat="1" x14ac:dyDescent="0.25"/>
    <row r="55632" s="12" customFormat="1" x14ac:dyDescent="0.25"/>
    <row r="55633" s="12" customFormat="1" x14ac:dyDescent="0.25"/>
    <row r="55634" s="12" customFormat="1" x14ac:dyDescent="0.25"/>
    <row r="55635" s="12" customFormat="1" x14ac:dyDescent="0.25"/>
    <row r="55636" s="12" customFormat="1" x14ac:dyDescent="0.25"/>
    <row r="55637" s="12" customFormat="1" x14ac:dyDescent="0.25"/>
    <row r="55638" s="12" customFormat="1" x14ac:dyDescent="0.25"/>
    <row r="55639" s="12" customFormat="1" x14ac:dyDescent="0.25"/>
    <row r="55640" s="12" customFormat="1" x14ac:dyDescent="0.25"/>
    <row r="55641" s="12" customFormat="1" x14ac:dyDescent="0.25"/>
    <row r="55642" s="12" customFormat="1" x14ac:dyDescent="0.25"/>
    <row r="55643" s="12" customFormat="1" x14ac:dyDescent="0.25"/>
    <row r="55644" s="12" customFormat="1" x14ac:dyDescent="0.25"/>
    <row r="55645" s="12" customFormat="1" x14ac:dyDescent="0.25"/>
    <row r="55646" s="12" customFormat="1" x14ac:dyDescent="0.25"/>
    <row r="55647" s="12" customFormat="1" x14ac:dyDescent="0.25"/>
    <row r="55648" s="12" customFormat="1" x14ac:dyDescent="0.25"/>
    <row r="55649" s="12" customFormat="1" x14ac:dyDescent="0.25"/>
    <row r="55650" s="12" customFormat="1" x14ac:dyDescent="0.25"/>
    <row r="55651" s="12" customFormat="1" x14ac:dyDescent="0.25"/>
    <row r="55652" s="12" customFormat="1" x14ac:dyDescent="0.25"/>
    <row r="55653" s="12" customFormat="1" x14ac:dyDescent="0.25"/>
    <row r="55654" s="12" customFormat="1" x14ac:dyDescent="0.25"/>
    <row r="55655" s="12" customFormat="1" x14ac:dyDescent="0.25"/>
    <row r="55656" s="12" customFormat="1" x14ac:dyDescent="0.25"/>
    <row r="55657" s="12" customFormat="1" x14ac:dyDescent="0.25"/>
    <row r="55658" s="12" customFormat="1" x14ac:dyDescent="0.25"/>
    <row r="55659" s="12" customFormat="1" x14ac:dyDescent="0.25"/>
    <row r="55660" s="12" customFormat="1" x14ac:dyDescent="0.25"/>
    <row r="55661" s="12" customFormat="1" x14ac:dyDescent="0.25"/>
    <row r="55662" s="12" customFormat="1" x14ac:dyDescent="0.25"/>
    <row r="55663" s="12" customFormat="1" x14ac:dyDescent="0.25"/>
    <row r="55664" s="12" customFormat="1" x14ac:dyDescent="0.25"/>
    <row r="55665" s="12" customFormat="1" x14ac:dyDescent="0.25"/>
    <row r="55666" s="12" customFormat="1" x14ac:dyDescent="0.25"/>
    <row r="55667" s="12" customFormat="1" x14ac:dyDescent="0.25"/>
    <row r="55668" s="12" customFormat="1" x14ac:dyDescent="0.25"/>
    <row r="55669" s="12" customFormat="1" x14ac:dyDescent="0.25"/>
    <row r="55670" s="12" customFormat="1" x14ac:dyDescent="0.25"/>
    <row r="55671" s="12" customFormat="1" x14ac:dyDescent="0.25"/>
    <row r="55672" s="12" customFormat="1" x14ac:dyDescent="0.25"/>
    <row r="55673" s="12" customFormat="1" x14ac:dyDescent="0.25"/>
    <row r="55674" s="12" customFormat="1" x14ac:dyDescent="0.25"/>
    <row r="55675" s="12" customFormat="1" x14ac:dyDescent="0.25"/>
    <row r="55676" s="12" customFormat="1" x14ac:dyDescent="0.25"/>
    <row r="55677" s="12" customFormat="1" x14ac:dyDescent="0.25"/>
    <row r="55678" s="12" customFormat="1" x14ac:dyDescent="0.25"/>
    <row r="55679" s="12" customFormat="1" x14ac:dyDescent="0.25"/>
    <row r="55680" s="12" customFormat="1" x14ac:dyDescent="0.25"/>
    <row r="55681" s="12" customFormat="1" x14ac:dyDescent="0.25"/>
    <row r="55682" s="12" customFormat="1" x14ac:dyDescent="0.25"/>
    <row r="55683" s="12" customFormat="1" x14ac:dyDescent="0.25"/>
    <row r="55684" s="12" customFormat="1" x14ac:dyDescent="0.25"/>
    <row r="55685" s="12" customFormat="1" x14ac:dyDescent="0.25"/>
    <row r="55686" s="12" customFormat="1" x14ac:dyDescent="0.25"/>
    <row r="55687" s="12" customFormat="1" x14ac:dyDescent="0.25"/>
    <row r="55688" s="12" customFormat="1" x14ac:dyDescent="0.25"/>
    <row r="55689" s="12" customFormat="1" x14ac:dyDescent="0.25"/>
    <row r="55690" s="12" customFormat="1" x14ac:dyDescent="0.25"/>
    <row r="55691" s="12" customFormat="1" x14ac:dyDescent="0.25"/>
    <row r="55692" s="12" customFormat="1" x14ac:dyDescent="0.25"/>
    <row r="55693" s="12" customFormat="1" x14ac:dyDescent="0.25"/>
    <row r="55694" s="12" customFormat="1" x14ac:dyDescent="0.25"/>
    <row r="55695" s="12" customFormat="1" x14ac:dyDescent="0.25"/>
    <row r="55696" s="12" customFormat="1" x14ac:dyDescent="0.25"/>
    <row r="55697" s="12" customFormat="1" x14ac:dyDescent="0.25"/>
    <row r="55698" s="12" customFormat="1" x14ac:dyDescent="0.25"/>
    <row r="55699" s="12" customFormat="1" x14ac:dyDescent="0.25"/>
    <row r="55700" s="12" customFormat="1" x14ac:dyDescent="0.25"/>
    <row r="55701" s="12" customFormat="1" x14ac:dyDescent="0.25"/>
    <row r="55702" s="12" customFormat="1" x14ac:dyDescent="0.25"/>
    <row r="55703" s="12" customFormat="1" x14ac:dyDescent="0.25"/>
    <row r="55704" s="12" customFormat="1" x14ac:dyDescent="0.25"/>
    <row r="55705" s="12" customFormat="1" x14ac:dyDescent="0.25"/>
    <row r="55706" s="12" customFormat="1" x14ac:dyDescent="0.25"/>
    <row r="55707" s="12" customFormat="1" x14ac:dyDescent="0.25"/>
    <row r="55708" s="12" customFormat="1" x14ac:dyDescent="0.25"/>
    <row r="55709" s="12" customFormat="1" x14ac:dyDescent="0.25"/>
    <row r="55710" s="12" customFormat="1" x14ac:dyDescent="0.25"/>
    <row r="55711" s="12" customFormat="1" x14ac:dyDescent="0.25"/>
    <row r="55712" s="12" customFormat="1" x14ac:dyDescent="0.25"/>
    <row r="55713" s="12" customFormat="1" x14ac:dyDescent="0.25"/>
    <row r="55714" s="12" customFormat="1" x14ac:dyDescent="0.25"/>
    <row r="55715" s="12" customFormat="1" x14ac:dyDescent="0.25"/>
    <row r="55716" s="12" customFormat="1" x14ac:dyDescent="0.25"/>
    <row r="55717" s="12" customFormat="1" x14ac:dyDescent="0.25"/>
    <row r="55718" s="12" customFormat="1" x14ac:dyDescent="0.25"/>
    <row r="55719" s="12" customFormat="1" x14ac:dyDescent="0.25"/>
    <row r="55720" s="12" customFormat="1" x14ac:dyDescent="0.25"/>
    <row r="55721" s="12" customFormat="1" x14ac:dyDescent="0.25"/>
    <row r="55722" s="12" customFormat="1" x14ac:dyDescent="0.25"/>
    <row r="55723" s="12" customFormat="1" x14ac:dyDescent="0.25"/>
    <row r="55724" s="12" customFormat="1" x14ac:dyDescent="0.25"/>
    <row r="55725" s="12" customFormat="1" x14ac:dyDescent="0.25"/>
    <row r="55726" s="12" customFormat="1" x14ac:dyDescent="0.25"/>
    <row r="55727" s="12" customFormat="1" x14ac:dyDescent="0.25"/>
    <row r="55728" s="12" customFormat="1" x14ac:dyDescent="0.25"/>
    <row r="55729" s="12" customFormat="1" x14ac:dyDescent="0.25"/>
    <row r="55730" s="12" customFormat="1" x14ac:dyDescent="0.25"/>
    <row r="55731" s="12" customFormat="1" x14ac:dyDescent="0.25"/>
    <row r="55732" s="12" customFormat="1" x14ac:dyDescent="0.25"/>
    <row r="55733" s="12" customFormat="1" x14ac:dyDescent="0.25"/>
    <row r="55734" s="12" customFormat="1" x14ac:dyDescent="0.25"/>
    <row r="55735" s="12" customFormat="1" x14ac:dyDescent="0.25"/>
    <row r="55736" s="12" customFormat="1" x14ac:dyDescent="0.25"/>
    <row r="55737" s="12" customFormat="1" x14ac:dyDescent="0.25"/>
    <row r="55738" s="12" customFormat="1" x14ac:dyDescent="0.25"/>
    <row r="55739" s="12" customFormat="1" x14ac:dyDescent="0.25"/>
    <row r="55740" s="12" customFormat="1" x14ac:dyDescent="0.25"/>
    <row r="55741" s="12" customFormat="1" x14ac:dyDescent="0.25"/>
    <row r="55742" s="12" customFormat="1" x14ac:dyDescent="0.25"/>
    <row r="55743" s="12" customFormat="1" x14ac:dyDescent="0.25"/>
    <row r="55744" s="12" customFormat="1" x14ac:dyDescent="0.25"/>
    <row r="55745" s="12" customFormat="1" x14ac:dyDescent="0.25"/>
    <row r="55746" s="12" customFormat="1" x14ac:dyDescent="0.25"/>
    <row r="55747" s="12" customFormat="1" x14ac:dyDescent="0.25"/>
    <row r="55748" s="12" customFormat="1" x14ac:dyDescent="0.25"/>
    <row r="55749" s="12" customFormat="1" x14ac:dyDescent="0.25"/>
    <row r="55750" s="12" customFormat="1" x14ac:dyDescent="0.25"/>
    <row r="55751" s="12" customFormat="1" x14ac:dyDescent="0.25"/>
    <row r="55752" s="12" customFormat="1" x14ac:dyDescent="0.25"/>
    <row r="55753" s="12" customFormat="1" x14ac:dyDescent="0.25"/>
    <row r="55754" s="12" customFormat="1" x14ac:dyDescent="0.25"/>
    <row r="55755" s="12" customFormat="1" x14ac:dyDescent="0.25"/>
    <row r="55756" s="12" customFormat="1" x14ac:dyDescent="0.25"/>
    <row r="55757" s="12" customFormat="1" x14ac:dyDescent="0.25"/>
    <row r="55758" s="12" customFormat="1" x14ac:dyDescent="0.25"/>
    <row r="55759" s="12" customFormat="1" x14ac:dyDescent="0.25"/>
    <row r="55760" s="12" customFormat="1" x14ac:dyDescent="0.25"/>
    <row r="55761" s="12" customFormat="1" x14ac:dyDescent="0.25"/>
    <row r="55762" s="12" customFormat="1" x14ac:dyDescent="0.25"/>
    <row r="55763" s="12" customFormat="1" x14ac:dyDescent="0.25"/>
    <row r="55764" s="12" customFormat="1" x14ac:dyDescent="0.25"/>
    <row r="55765" s="12" customFormat="1" x14ac:dyDescent="0.25"/>
    <row r="55766" s="12" customFormat="1" x14ac:dyDescent="0.25"/>
    <row r="55767" s="12" customFormat="1" x14ac:dyDescent="0.25"/>
    <row r="55768" s="12" customFormat="1" x14ac:dyDescent="0.25"/>
    <row r="55769" s="12" customFormat="1" x14ac:dyDescent="0.25"/>
    <row r="55770" s="12" customFormat="1" x14ac:dyDescent="0.25"/>
    <row r="55771" s="12" customFormat="1" x14ac:dyDescent="0.25"/>
    <row r="55772" s="12" customFormat="1" x14ac:dyDescent="0.25"/>
    <row r="55773" s="12" customFormat="1" x14ac:dyDescent="0.25"/>
    <row r="55774" s="12" customFormat="1" x14ac:dyDescent="0.25"/>
    <row r="55775" s="12" customFormat="1" x14ac:dyDescent="0.25"/>
    <row r="55776" s="12" customFormat="1" x14ac:dyDescent="0.25"/>
    <row r="55777" s="12" customFormat="1" x14ac:dyDescent="0.25"/>
    <row r="55778" s="12" customFormat="1" x14ac:dyDescent="0.25"/>
    <row r="55779" s="12" customFormat="1" x14ac:dyDescent="0.25"/>
    <row r="55780" s="12" customFormat="1" x14ac:dyDescent="0.25"/>
    <row r="55781" s="12" customFormat="1" x14ac:dyDescent="0.25"/>
    <row r="55782" s="12" customFormat="1" x14ac:dyDescent="0.25"/>
    <row r="55783" s="12" customFormat="1" x14ac:dyDescent="0.25"/>
    <row r="55784" s="12" customFormat="1" x14ac:dyDescent="0.25"/>
    <row r="55785" s="12" customFormat="1" x14ac:dyDescent="0.25"/>
    <row r="55786" s="12" customFormat="1" x14ac:dyDescent="0.25"/>
    <row r="55787" s="12" customFormat="1" x14ac:dyDescent="0.25"/>
    <row r="55788" s="12" customFormat="1" x14ac:dyDescent="0.25"/>
    <row r="55789" s="12" customFormat="1" x14ac:dyDescent="0.25"/>
    <row r="55790" s="12" customFormat="1" x14ac:dyDescent="0.25"/>
    <row r="55791" s="12" customFormat="1" x14ac:dyDescent="0.25"/>
    <row r="55792" s="12" customFormat="1" x14ac:dyDescent="0.25"/>
    <row r="55793" s="12" customFormat="1" x14ac:dyDescent="0.25"/>
    <row r="55794" s="12" customFormat="1" x14ac:dyDescent="0.25"/>
    <row r="55795" s="12" customFormat="1" x14ac:dyDescent="0.25"/>
    <row r="55796" s="12" customFormat="1" x14ac:dyDescent="0.25"/>
    <row r="55797" s="12" customFormat="1" x14ac:dyDescent="0.25"/>
    <row r="55798" s="12" customFormat="1" x14ac:dyDescent="0.25"/>
    <row r="55799" s="12" customFormat="1" x14ac:dyDescent="0.25"/>
    <row r="55800" s="12" customFormat="1" x14ac:dyDescent="0.25"/>
    <row r="55801" s="12" customFormat="1" x14ac:dyDescent="0.25"/>
    <row r="55802" s="12" customFormat="1" x14ac:dyDescent="0.25"/>
    <row r="55803" s="12" customFormat="1" x14ac:dyDescent="0.25"/>
    <row r="55804" s="12" customFormat="1" x14ac:dyDescent="0.25"/>
    <row r="55805" s="12" customFormat="1" x14ac:dyDescent="0.25"/>
    <row r="55806" s="12" customFormat="1" x14ac:dyDescent="0.25"/>
    <row r="55807" s="12" customFormat="1" x14ac:dyDescent="0.25"/>
    <row r="55808" s="12" customFormat="1" x14ac:dyDescent="0.25"/>
    <row r="55809" s="12" customFormat="1" x14ac:dyDescent="0.25"/>
    <row r="55810" s="12" customFormat="1" x14ac:dyDescent="0.25"/>
    <row r="55811" s="12" customFormat="1" x14ac:dyDescent="0.25"/>
    <row r="55812" s="12" customFormat="1" x14ac:dyDescent="0.25"/>
    <row r="55813" s="12" customFormat="1" x14ac:dyDescent="0.25"/>
    <row r="55814" s="12" customFormat="1" x14ac:dyDescent="0.25"/>
    <row r="55815" s="12" customFormat="1" x14ac:dyDescent="0.25"/>
    <row r="55816" s="12" customFormat="1" x14ac:dyDescent="0.25"/>
    <row r="55817" s="12" customFormat="1" x14ac:dyDescent="0.25"/>
    <row r="55818" s="12" customFormat="1" x14ac:dyDescent="0.25"/>
    <row r="55819" s="12" customFormat="1" x14ac:dyDescent="0.25"/>
    <row r="55820" s="12" customFormat="1" x14ac:dyDescent="0.25"/>
    <row r="55821" s="12" customFormat="1" x14ac:dyDescent="0.25"/>
    <row r="55822" s="12" customFormat="1" x14ac:dyDescent="0.25"/>
    <row r="55823" s="12" customFormat="1" x14ac:dyDescent="0.25"/>
    <row r="55824" s="12" customFormat="1" x14ac:dyDescent="0.25"/>
    <row r="55825" s="12" customFormat="1" x14ac:dyDescent="0.25"/>
    <row r="55826" s="12" customFormat="1" x14ac:dyDescent="0.25"/>
    <row r="55827" s="12" customFormat="1" x14ac:dyDescent="0.25"/>
    <row r="55828" s="12" customFormat="1" x14ac:dyDescent="0.25"/>
    <row r="55829" s="12" customFormat="1" x14ac:dyDescent="0.25"/>
    <row r="55830" s="12" customFormat="1" x14ac:dyDescent="0.25"/>
    <row r="55831" s="12" customFormat="1" x14ac:dyDescent="0.25"/>
    <row r="55832" s="12" customFormat="1" x14ac:dyDescent="0.25"/>
    <row r="55833" s="12" customFormat="1" x14ac:dyDescent="0.25"/>
    <row r="55834" s="12" customFormat="1" x14ac:dyDescent="0.25"/>
    <row r="55835" s="12" customFormat="1" x14ac:dyDescent="0.25"/>
    <row r="55836" s="12" customFormat="1" x14ac:dyDescent="0.25"/>
    <row r="55837" s="12" customFormat="1" x14ac:dyDescent="0.25"/>
    <row r="55838" s="12" customFormat="1" x14ac:dyDescent="0.25"/>
    <row r="55839" s="12" customFormat="1" x14ac:dyDescent="0.25"/>
    <row r="55840" s="12" customFormat="1" x14ac:dyDescent="0.25"/>
    <row r="55841" s="12" customFormat="1" x14ac:dyDescent="0.25"/>
    <row r="55842" s="12" customFormat="1" x14ac:dyDescent="0.25"/>
    <row r="55843" s="12" customFormat="1" x14ac:dyDescent="0.25"/>
    <row r="55844" s="12" customFormat="1" x14ac:dyDescent="0.25"/>
    <row r="55845" s="12" customFormat="1" x14ac:dyDescent="0.25"/>
    <row r="55846" s="12" customFormat="1" x14ac:dyDescent="0.25"/>
    <row r="55847" s="12" customFormat="1" x14ac:dyDescent="0.25"/>
    <row r="55848" s="12" customFormat="1" x14ac:dyDescent="0.25"/>
    <row r="55849" s="12" customFormat="1" x14ac:dyDescent="0.25"/>
    <row r="55850" s="12" customFormat="1" x14ac:dyDescent="0.25"/>
    <row r="55851" s="12" customFormat="1" x14ac:dyDescent="0.25"/>
    <row r="55852" s="12" customFormat="1" x14ac:dyDescent="0.25"/>
    <row r="55853" s="12" customFormat="1" x14ac:dyDescent="0.25"/>
    <row r="55854" s="12" customFormat="1" x14ac:dyDescent="0.25"/>
    <row r="55855" s="12" customFormat="1" x14ac:dyDescent="0.25"/>
    <row r="55856" s="12" customFormat="1" x14ac:dyDescent="0.25"/>
    <row r="55857" s="12" customFormat="1" x14ac:dyDescent="0.25"/>
    <row r="55858" s="12" customFormat="1" x14ac:dyDescent="0.25"/>
    <row r="55859" s="12" customFormat="1" x14ac:dyDescent="0.25"/>
    <row r="55860" s="12" customFormat="1" x14ac:dyDescent="0.25"/>
    <row r="55861" s="12" customFormat="1" x14ac:dyDescent="0.25"/>
    <row r="55862" s="12" customFormat="1" x14ac:dyDescent="0.25"/>
    <row r="55863" s="12" customFormat="1" x14ac:dyDescent="0.25"/>
    <row r="55864" s="12" customFormat="1" x14ac:dyDescent="0.25"/>
    <row r="55865" s="12" customFormat="1" x14ac:dyDescent="0.25"/>
    <row r="55866" s="12" customFormat="1" x14ac:dyDescent="0.25"/>
    <row r="55867" s="12" customFormat="1" x14ac:dyDescent="0.25"/>
    <row r="55868" s="12" customFormat="1" x14ac:dyDescent="0.25"/>
    <row r="55869" s="12" customFormat="1" x14ac:dyDescent="0.25"/>
    <row r="55870" s="12" customFormat="1" x14ac:dyDescent="0.25"/>
    <row r="55871" s="12" customFormat="1" x14ac:dyDescent="0.25"/>
    <row r="55872" s="12" customFormat="1" x14ac:dyDescent="0.25"/>
    <row r="55873" s="12" customFormat="1" x14ac:dyDescent="0.25"/>
    <row r="55874" s="12" customFormat="1" x14ac:dyDescent="0.25"/>
    <row r="55875" s="12" customFormat="1" x14ac:dyDescent="0.25"/>
    <row r="55876" s="12" customFormat="1" x14ac:dyDescent="0.25"/>
    <row r="55877" s="12" customFormat="1" x14ac:dyDescent="0.25"/>
    <row r="55878" s="12" customFormat="1" x14ac:dyDescent="0.25"/>
    <row r="55879" s="12" customFormat="1" x14ac:dyDescent="0.25"/>
    <row r="55880" s="12" customFormat="1" x14ac:dyDescent="0.25"/>
    <row r="55881" s="12" customFormat="1" x14ac:dyDescent="0.25"/>
    <row r="55882" s="12" customFormat="1" x14ac:dyDescent="0.25"/>
    <row r="55883" s="12" customFormat="1" x14ac:dyDescent="0.25"/>
    <row r="55884" s="12" customFormat="1" x14ac:dyDescent="0.25"/>
    <row r="55885" s="12" customFormat="1" x14ac:dyDescent="0.25"/>
    <row r="55886" s="12" customFormat="1" x14ac:dyDescent="0.25"/>
    <row r="55887" s="12" customFormat="1" x14ac:dyDescent="0.25"/>
    <row r="55888" s="12" customFormat="1" x14ac:dyDescent="0.25"/>
    <row r="55889" s="12" customFormat="1" x14ac:dyDescent="0.25"/>
    <row r="55890" s="12" customFormat="1" x14ac:dyDescent="0.25"/>
    <row r="55891" s="12" customFormat="1" x14ac:dyDescent="0.25"/>
    <row r="55892" s="12" customFormat="1" x14ac:dyDescent="0.25"/>
    <row r="55893" s="12" customFormat="1" x14ac:dyDescent="0.25"/>
    <row r="55894" s="12" customFormat="1" x14ac:dyDescent="0.25"/>
    <row r="55895" s="12" customFormat="1" x14ac:dyDescent="0.25"/>
    <row r="55896" s="12" customFormat="1" x14ac:dyDescent="0.25"/>
    <row r="55897" s="12" customFormat="1" x14ac:dyDescent="0.25"/>
    <row r="55898" s="12" customFormat="1" x14ac:dyDescent="0.25"/>
    <row r="55899" s="12" customFormat="1" x14ac:dyDescent="0.25"/>
    <row r="55900" s="12" customFormat="1" x14ac:dyDescent="0.25"/>
    <row r="55901" s="12" customFormat="1" x14ac:dyDescent="0.25"/>
    <row r="55902" s="12" customFormat="1" x14ac:dyDescent="0.25"/>
    <row r="55903" s="12" customFormat="1" x14ac:dyDescent="0.25"/>
    <row r="55904" s="12" customFormat="1" x14ac:dyDescent="0.25"/>
    <row r="55905" s="12" customFormat="1" x14ac:dyDescent="0.25"/>
    <row r="55906" s="12" customFormat="1" x14ac:dyDescent="0.25"/>
    <row r="55907" s="12" customFormat="1" x14ac:dyDescent="0.25"/>
    <row r="55908" s="12" customFormat="1" x14ac:dyDescent="0.25"/>
    <row r="55909" s="12" customFormat="1" x14ac:dyDescent="0.25"/>
    <row r="55910" s="12" customFormat="1" x14ac:dyDescent="0.25"/>
    <row r="55911" s="12" customFormat="1" x14ac:dyDescent="0.25"/>
    <row r="55912" s="12" customFormat="1" x14ac:dyDescent="0.25"/>
    <row r="55913" s="12" customFormat="1" x14ac:dyDescent="0.25"/>
    <row r="55914" s="12" customFormat="1" x14ac:dyDescent="0.25"/>
    <row r="55915" s="12" customFormat="1" x14ac:dyDescent="0.25"/>
    <row r="55916" s="12" customFormat="1" x14ac:dyDescent="0.25"/>
    <row r="55917" s="12" customFormat="1" x14ac:dyDescent="0.25"/>
    <row r="55918" s="12" customFormat="1" x14ac:dyDescent="0.25"/>
    <row r="55919" s="12" customFormat="1" x14ac:dyDescent="0.25"/>
    <row r="55920" s="12" customFormat="1" x14ac:dyDescent="0.25"/>
    <row r="55921" s="12" customFormat="1" x14ac:dyDescent="0.25"/>
    <row r="55922" s="12" customFormat="1" x14ac:dyDescent="0.25"/>
    <row r="55923" s="12" customFormat="1" x14ac:dyDescent="0.25"/>
    <row r="55924" s="12" customFormat="1" x14ac:dyDescent="0.25"/>
    <row r="55925" s="12" customFormat="1" x14ac:dyDescent="0.25"/>
    <row r="55926" s="12" customFormat="1" x14ac:dyDescent="0.25"/>
    <row r="55927" s="12" customFormat="1" x14ac:dyDescent="0.25"/>
    <row r="55928" s="12" customFormat="1" x14ac:dyDescent="0.25"/>
    <row r="55929" s="12" customFormat="1" x14ac:dyDescent="0.25"/>
    <row r="55930" s="12" customFormat="1" x14ac:dyDescent="0.25"/>
    <row r="55931" s="12" customFormat="1" x14ac:dyDescent="0.25"/>
    <row r="55932" s="12" customFormat="1" x14ac:dyDescent="0.25"/>
    <row r="55933" s="12" customFormat="1" x14ac:dyDescent="0.25"/>
    <row r="55934" s="12" customFormat="1" x14ac:dyDescent="0.25"/>
    <row r="55935" s="12" customFormat="1" x14ac:dyDescent="0.25"/>
    <row r="55936" s="12" customFormat="1" x14ac:dyDescent="0.25"/>
    <row r="55937" s="12" customFormat="1" x14ac:dyDescent="0.25"/>
    <row r="55938" s="12" customFormat="1" x14ac:dyDescent="0.25"/>
    <row r="55939" s="12" customFormat="1" x14ac:dyDescent="0.25"/>
    <row r="55940" s="12" customFormat="1" x14ac:dyDescent="0.25"/>
    <row r="55941" s="12" customFormat="1" x14ac:dyDescent="0.25"/>
    <row r="55942" s="12" customFormat="1" x14ac:dyDescent="0.25"/>
    <row r="55943" s="12" customFormat="1" x14ac:dyDescent="0.25"/>
    <row r="55944" s="12" customFormat="1" x14ac:dyDescent="0.25"/>
    <row r="55945" s="12" customFormat="1" x14ac:dyDescent="0.25"/>
    <row r="55946" s="12" customFormat="1" x14ac:dyDescent="0.25"/>
    <row r="55947" s="12" customFormat="1" x14ac:dyDescent="0.25"/>
    <row r="55948" s="12" customFormat="1" x14ac:dyDescent="0.25"/>
    <row r="55949" s="12" customFormat="1" x14ac:dyDescent="0.25"/>
    <row r="55950" s="12" customFormat="1" x14ac:dyDescent="0.25"/>
    <row r="55951" s="12" customFormat="1" x14ac:dyDescent="0.25"/>
    <row r="55952" s="12" customFormat="1" x14ac:dyDescent="0.25"/>
    <row r="55953" s="12" customFormat="1" x14ac:dyDescent="0.25"/>
    <row r="55954" s="12" customFormat="1" x14ac:dyDescent="0.25"/>
    <row r="55955" s="12" customFormat="1" x14ac:dyDescent="0.25"/>
    <row r="55956" s="12" customFormat="1" x14ac:dyDescent="0.25"/>
    <row r="55957" s="12" customFormat="1" x14ac:dyDescent="0.25"/>
    <row r="55958" s="12" customFormat="1" x14ac:dyDescent="0.25"/>
    <row r="55959" s="12" customFormat="1" x14ac:dyDescent="0.25"/>
    <row r="55960" s="12" customFormat="1" x14ac:dyDescent="0.25"/>
    <row r="55961" s="12" customFormat="1" x14ac:dyDescent="0.25"/>
    <row r="55962" s="12" customFormat="1" x14ac:dyDescent="0.25"/>
    <row r="55963" s="12" customFormat="1" x14ac:dyDescent="0.25"/>
    <row r="55964" s="12" customFormat="1" x14ac:dyDescent="0.25"/>
    <row r="55965" s="12" customFormat="1" x14ac:dyDescent="0.25"/>
    <row r="55966" s="12" customFormat="1" x14ac:dyDescent="0.25"/>
    <row r="55967" s="12" customFormat="1" x14ac:dyDescent="0.25"/>
    <row r="55968" s="12" customFormat="1" x14ac:dyDescent="0.25"/>
    <row r="55969" s="12" customFormat="1" x14ac:dyDescent="0.25"/>
    <row r="55970" s="12" customFormat="1" x14ac:dyDescent="0.25"/>
    <row r="55971" s="12" customFormat="1" x14ac:dyDescent="0.25"/>
    <row r="55972" s="12" customFormat="1" x14ac:dyDescent="0.25"/>
    <row r="55973" s="12" customFormat="1" x14ac:dyDescent="0.25"/>
    <row r="55974" s="12" customFormat="1" x14ac:dyDescent="0.25"/>
    <row r="55975" s="12" customFormat="1" x14ac:dyDescent="0.25"/>
    <row r="55976" s="12" customFormat="1" x14ac:dyDescent="0.25"/>
    <row r="55977" s="12" customFormat="1" x14ac:dyDescent="0.25"/>
    <row r="55978" s="12" customFormat="1" x14ac:dyDescent="0.25"/>
    <row r="55979" s="12" customFormat="1" x14ac:dyDescent="0.25"/>
    <row r="55980" s="12" customFormat="1" x14ac:dyDescent="0.25"/>
    <row r="55981" s="12" customFormat="1" x14ac:dyDescent="0.25"/>
    <row r="55982" s="12" customFormat="1" x14ac:dyDescent="0.25"/>
    <row r="55983" s="12" customFormat="1" x14ac:dyDescent="0.25"/>
    <row r="55984" s="12" customFormat="1" x14ac:dyDescent="0.25"/>
    <row r="55985" s="12" customFormat="1" x14ac:dyDescent="0.25"/>
    <row r="55986" s="12" customFormat="1" x14ac:dyDescent="0.25"/>
    <row r="55987" s="12" customFormat="1" x14ac:dyDescent="0.25"/>
    <row r="55988" s="12" customFormat="1" x14ac:dyDescent="0.25"/>
    <row r="55989" s="12" customFormat="1" x14ac:dyDescent="0.25"/>
    <row r="55990" s="12" customFormat="1" x14ac:dyDescent="0.25"/>
    <row r="55991" s="12" customFormat="1" x14ac:dyDescent="0.25"/>
    <row r="55992" s="12" customFormat="1" x14ac:dyDescent="0.25"/>
    <row r="55993" s="12" customFormat="1" x14ac:dyDescent="0.25"/>
    <row r="55994" s="12" customFormat="1" x14ac:dyDescent="0.25"/>
    <row r="55995" s="12" customFormat="1" x14ac:dyDescent="0.25"/>
    <row r="55996" s="12" customFormat="1" x14ac:dyDescent="0.25"/>
    <row r="55997" s="12" customFormat="1" x14ac:dyDescent="0.25"/>
    <row r="55998" s="12" customFormat="1" x14ac:dyDescent="0.25"/>
    <row r="55999" s="12" customFormat="1" x14ac:dyDescent="0.25"/>
    <row r="56000" s="12" customFormat="1" x14ac:dyDescent="0.25"/>
    <row r="56001" s="12" customFormat="1" x14ac:dyDescent="0.25"/>
    <row r="56002" s="12" customFormat="1" x14ac:dyDescent="0.25"/>
    <row r="56003" s="12" customFormat="1" x14ac:dyDescent="0.25"/>
    <row r="56004" s="12" customFormat="1" x14ac:dyDescent="0.25"/>
    <row r="56005" s="12" customFormat="1" x14ac:dyDescent="0.25"/>
    <row r="56006" s="12" customFormat="1" x14ac:dyDescent="0.25"/>
    <row r="56007" s="12" customFormat="1" x14ac:dyDescent="0.25"/>
    <row r="56008" s="12" customFormat="1" x14ac:dyDescent="0.25"/>
    <row r="56009" s="12" customFormat="1" x14ac:dyDescent="0.25"/>
    <row r="56010" s="12" customFormat="1" x14ac:dyDescent="0.25"/>
    <row r="56011" s="12" customFormat="1" x14ac:dyDescent="0.25"/>
    <row r="56012" s="12" customFormat="1" x14ac:dyDescent="0.25"/>
    <row r="56013" s="12" customFormat="1" x14ac:dyDescent="0.25"/>
    <row r="56014" s="12" customFormat="1" x14ac:dyDescent="0.25"/>
    <row r="56015" s="12" customFormat="1" x14ac:dyDescent="0.25"/>
    <row r="56016" s="12" customFormat="1" x14ac:dyDescent="0.25"/>
    <row r="56017" s="12" customFormat="1" x14ac:dyDescent="0.25"/>
    <row r="56018" s="12" customFormat="1" x14ac:dyDescent="0.25"/>
    <row r="56019" s="12" customFormat="1" x14ac:dyDescent="0.25"/>
    <row r="56020" s="12" customFormat="1" x14ac:dyDescent="0.25"/>
    <row r="56021" s="12" customFormat="1" x14ac:dyDescent="0.25"/>
    <row r="56022" s="12" customFormat="1" x14ac:dyDescent="0.25"/>
    <row r="56023" s="12" customFormat="1" x14ac:dyDescent="0.25"/>
    <row r="56024" s="12" customFormat="1" x14ac:dyDescent="0.25"/>
    <row r="56025" s="12" customFormat="1" x14ac:dyDescent="0.25"/>
    <row r="56026" s="12" customFormat="1" x14ac:dyDescent="0.25"/>
    <row r="56027" s="12" customFormat="1" x14ac:dyDescent="0.25"/>
    <row r="56028" s="12" customFormat="1" x14ac:dyDescent="0.25"/>
    <row r="56029" s="12" customFormat="1" x14ac:dyDescent="0.25"/>
    <row r="56030" s="12" customFormat="1" x14ac:dyDescent="0.25"/>
    <row r="56031" s="12" customFormat="1" x14ac:dyDescent="0.25"/>
    <row r="56032" s="12" customFormat="1" x14ac:dyDescent="0.25"/>
    <row r="56033" s="12" customFormat="1" x14ac:dyDescent="0.25"/>
    <row r="56034" s="12" customFormat="1" x14ac:dyDescent="0.25"/>
    <row r="56035" s="12" customFormat="1" x14ac:dyDescent="0.25"/>
    <row r="56036" s="12" customFormat="1" x14ac:dyDescent="0.25"/>
    <row r="56037" s="12" customFormat="1" x14ac:dyDescent="0.25"/>
    <row r="56038" s="12" customFormat="1" x14ac:dyDescent="0.25"/>
    <row r="56039" s="12" customFormat="1" x14ac:dyDescent="0.25"/>
    <row r="56040" s="12" customFormat="1" x14ac:dyDescent="0.25"/>
    <row r="56041" s="12" customFormat="1" x14ac:dyDescent="0.25"/>
    <row r="56042" s="12" customFormat="1" x14ac:dyDescent="0.25"/>
    <row r="56043" s="12" customFormat="1" x14ac:dyDescent="0.25"/>
    <row r="56044" s="12" customFormat="1" x14ac:dyDescent="0.25"/>
    <row r="56045" s="12" customFormat="1" x14ac:dyDescent="0.25"/>
    <row r="56046" s="12" customFormat="1" x14ac:dyDescent="0.25"/>
    <row r="56047" s="12" customFormat="1" x14ac:dyDescent="0.25"/>
    <row r="56048" s="12" customFormat="1" x14ac:dyDescent="0.25"/>
    <row r="56049" s="12" customFormat="1" x14ac:dyDescent="0.25"/>
    <row r="56050" s="12" customFormat="1" x14ac:dyDescent="0.25"/>
    <row r="56051" s="12" customFormat="1" x14ac:dyDescent="0.25"/>
    <row r="56052" s="12" customFormat="1" x14ac:dyDescent="0.25"/>
    <row r="56053" s="12" customFormat="1" x14ac:dyDescent="0.25"/>
    <row r="56054" s="12" customFormat="1" x14ac:dyDescent="0.25"/>
    <row r="56055" s="12" customFormat="1" x14ac:dyDescent="0.25"/>
    <row r="56056" s="12" customFormat="1" x14ac:dyDescent="0.25"/>
    <row r="56057" s="12" customFormat="1" x14ac:dyDescent="0.25"/>
    <row r="56058" s="12" customFormat="1" x14ac:dyDescent="0.25"/>
    <row r="56059" s="12" customFormat="1" x14ac:dyDescent="0.25"/>
    <row r="56060" s="12" customFormat="1" x14ac:dyDescent="0.25"/>
    <row r="56061" s="12" customFormat="1" x14ac:dyDescent="0.25"/>
    <row r="56062" s="12" customFormat="1" x14ac:dyDescent="0.25"/>
    <row r="56063" s="12" customFormat="1" x14ac:dyDescent="0.25"/>
    <row r="56064" s="12" customFormat="1" x14ac:dyDescent="0.25"/>
    <row r="56065" s="12" customFormat="1" x14ac:dyDescent="0.25"/>
    <row r="56066" s="12" customFormat="1" x14ac:dyDescent="0.25"/>
    <row r="56067" s="12" customFormat="1" x14ac:dyDescent="0.25"/>
    <row r="56068" s="12" customFormat="1" x14ac:dyDescent="0.25"/>
    <row r="56069" s="12" customFormat="1" x14ac:dyDescent="0.25"/>
    <row r="56070" s="12" customFormat="1" x14ac:dyDescent="0.25"/>
    <row r="56071" s="12" customFormat="1" x14ac:dyDescent="0.25"/>
    <row r="56072" s="12" customFormat="1" x14ac:dyDescent="0.25"/>
    <row r="56073" s="12" customFormat="1" x14ac:dyDescent="0.25"/>
    <row r="56074" s="12" customFormat="1" x14ac:dyDescent="0.25"/>
    <row r="56075" s="12" customFormat="1" x14ac:dyDescent="0.25"/>
    <row r="56076" s="12" customFormat="1" x14ac:dyDescent="0.25"/>
    <row r="56077" s="12" customFormat="1" x14ac:dyDescent="0.25"/>
    <row r="56078" s="12" customFormat="1" x14ac:dyDescent="0.25"/>
    <row r="56079" s="12" customFormat="1" x14ac:dyDescent="0.25"/>
    <row r="56080" s="12" customFormat="1" x14ac:dyDescent="0.25"/>
    <row r="56081" s="12" customFormat="1" x14ac:dyDescent="0.25"/>
    <row r="56082" s="12" customFormat="1" x14ac:dyDescent="0.25"/>
    <row r="56083" s="12" customFormat="1" x14ac:dyDescent="0.25"/>
    <row r="56084" s="12" customFormat="1" x14ac:dyDescent="0.25"/>
    <row r="56085" s="12" customFormat="1" x14ac:dyDescent="0.25"/>
    <row r="56086" s="12" customFormat="1" x14ac:dyDescent="0.25"/>
    <row r="56087" s="12" customFormat="1" x14ac:dyDescent="0.25"/>
    <row r="56088" s="12" customFormat="1" x14ac:dyDescent="0.25"/>
    <row r="56089" s="12" customFormat="1" x14ac:dyDescent="0.25"/>
    <row r="56090" s="12" customFormat="1" x14ac:dyDescent="0.25"/>
    <row r="56091" s="12" customFormat="1" x14ac:dyDescent="0.25"/>
    <row r="56092" s="12" customFormat="1" x14ac:dyDescent="0.25"/>
    <row r="56093" s="12" customFormat="1" x14ac:dyDescent="0.25"/>
    <row r="56094" s="12" customFormat="1" x14ac:dyDescent="0.25"/>
    <row r="56095" s="12" customFormat="1" x14ac:dyDescent="0.25"/>
    <row r="56096" s="12" customFormat="1" x14ac:dyDescent="0.25"/>
    <row r="56097" s="12" customFormat="1" x14ac:dyDescent="0.25"/>
    <row r="56098" s="12" customFormat="1" x14ac:dyDescent="0.25"/>
    <row r="56099" s="12" customFormat="1" x14ac:dyDescent="0.25"/>
    <row r="56100" s="12" customFormat="1" x14ac:dyDescent="0.25"/>
    <row r="56101" s="12" customFormat="1" x14ac:dyDescent="0.25"/>
    <row r="56102" s="12" customFormat="1" x14ac:dyDescent="0.25"/>
    <row r="56103" s="12" customFormat="1" x14ac:dyDescent="0.25"/>
    <row r="56104" s="12" customFormat="1" x14ac:dyDescent="0.25"/>
    <row r="56105" s="12" customFormat="1" x14ac:dyDescent="0.25"/>
    <row r="56106" s="12" customFormat="1" x14ac:dyDescent="0.25"/>
    <row r="56107" s="12" customFormat="1" x14ac:dyDescent="0.25"/>
    <row r="56108" s="12" customFormat="1" x14ac:dyDescent="0.25"/>
    <row r="56109" s="12" customFormat="1" x14ac:dyDescent="0.25"/>
    <row r="56110" s="12" customFormat="1" x14ac:dyDescent="0.25"/>
    <row r="56111" s="12" customFormat="1" x14ac:dyDescent="0.25"/>
    <row r="56112" s="12" customFormat="1" x14ac:dyDescent="0.25"/>
    <row r="56113" s="12" customFormat="1" x14ac:dyDescent="0.25"/>
    <row r="56114" s="12" customFormat="1" x14ac:dyDescent="0.25"/>
    <row r="56115" s="12" customFormat="1" x14ac:dyDescent="0.25"/>
    <row r="56116" s="12" customFormat="1" x14ac:dyDescent="0.25"/>
    <row r="56117" s="12" customFormat="1" x14ac:dyDescent="0.25"/>
    <row r="56118" s="12" customFormat="1" x14ac:dyDescent="0.25"/>
    <row r="56119" s="12" customFormat="1" x14ac:dyDescent="0.25"/>
    <row r="56120" s="12" customFormat="1" x14ac:dyDescent="0.25"/>
    <row r="56121" s="12" customFormat="1" x14ac:dyDescent="0.25"/>
    <row r="56122" s="12" customFormat="1" x14ac:dyDescent="0.25"/>
    <row r="56123" s="12" customFormat="1" x14ac:dyDescent="0.25"/>
    <row r="56124" s="12" customFormat="1" x14ac:dyDescent="0.25"/>
    <row r="56125" s="12" customFormat="1" x14ac:dyDescent="0.25"/>
    <row r="56126" s="12" customFormat="1" x14ac:dyDescent="0.25"/>
    <row r="56127" s="12" customFormat="1" x14ac:dyDescent="0.25"/>
    <row r="56128" s="12" customFormat="1" x14ac:dyDescent="0.25"/>
    <row r="56129" s="12" customFormat="1" x14ac:dyDescent="0.25"/>
    <row r="56130" s="12" customFormat="1" x14ac:dyDescent="0.25"/>
    <row r="56131" s="12" customFormat="1" x14ac:dyDescent="0.25"/>
    <row r="56132" s="12" customFormat="1" x14ac:dyDescent="0.25"/>
    <row r="56133" s="12" customFormat="1" x14ac:dyDescent="0.25"/>
    <row r="56134" s="12" customFormat="1" x14ac:dyDescent="0.25"/>
    <row r="56135" s="12" customFormat="1" x14ac:dyDescent="0.25"/>
    <row r="56136" s="12" customFormat="1" x14ac:dyDescent="0.25"/>
    <row r="56137" s="12" customFormat="1" x14ac:dyDescent="0.25"/>
    <row r="56138" s="12" customFormat="1" x14ac:dyDescent="0.25"/>
    <row r="56139" s="12" customFormat="1" x14ac:dyDescent="0.25"/>
    <row r="56140" s="12" customFormat="1" x14ac:dyDescent="0.25"/>
    <row r="56141" s="12" customFormat="1" x14ac:dyDescent="0.25"/>
    <row r="56142" s="12" customFormat="1" x14ac:dyDescent="0.25"/>
    <row r="56143" s="12" customFormat="1" x14ac:dyDescent="0.25"/>
    <row r="56144" s="12" customFormat="1" x14ac:dyDescent="0.25"/>
    <row r="56145" s="12" customFormat="1" x14ac:dyDescent="0.25"/>
    <row r="56146" s="12" customFormat="1" x14ac:dyDescent="0.25"/>
    <row r="56147" s="12" customFormat="1" x14ac:dyDescent="0.25"/>
    <row r="56148" s="12" customFormat="1" x14ac:dyDescent="0.25"/>
    <row r="56149" s="12" customFormat="1" x14ac:dyDescent="0.25"/>
    <row r="56150" s="12" customFormat="1" x14ac:dyDescent="0.25"/>
    <row r="56151" s="12" customFormat="1" x14ac:dyDescent="0.25"/>
    <row r="56152" s="12" customFormat="1" x14ac:dyDescent="0.25"/>
    <row r="56153" s="12" customFormat="1" x14ac:dyDescent="0.25"/>
    <row r="56154" s="12" customFormat="1" x14ac:dyDescent="0.25"/>
    <row r="56155" s="12" customFormat="1" x14ac:dyDescent="0.25"/>
    <row r="56156" s="12" customFormat="1" x14ac:dyDescent="0.25"/>
    <row r="56157" s="12" customFormat="1" x14ac:dyDescent="0.25"/>
    <row r="56158" s="12" customFormat="1" x14ac:dyDescent="0.25"/>
    <row r="56159" s="12" customFormat="1" x14ac:dyDescent="0.25"/>
    <row r="56160" s="12" customFormat="1" x14ac:dyDescent="0.25"/>
    <row r="56161" s="12" customFormat="1" x14ac:dyDescent="0.25"/>
    <row r="56162" s="12" customFormat="1" x14ac:dyDescent="0.25"/>
    <row r="56163" s="12" customFormat="1" x14ac:dyDescent="0.25"/>
    <row r="56164" s="12" customFormat="1" x14ac:dyDescent="0.25"/>
    <row r="56165" s="12" customFormat="1" x14ac:dyDescent="0.25"/>
    <row r="56166" s="12" customFormat="1" x14ac:dyDescent="0.25"/>
    <row r="56167" s="12" customFormat="1" x14ac:dyDescent="0.25"/>
    <row r="56168" s="12" customFormat="1" x14ac:dyDescent="0.25"/>
    <row r="56169" s="12" customFormat="1" x14ac:dyDescent="0.25"/>
    <row r="56170" s="12" customFormat="1" x14ac:dyDescent="0.25"/>
    <row r="56171" s="12" customFormat="1" x14ac:dyDescent="0.25"/>
    <row r="56172" s="12" customFormat="1" x14ac:dyDescent="0.25"/>
    <row r="56173" s="12" customFormat="1" x14ac:dyDescent="0.25"/>
    <row r="56174" s="12" customFormat="1" x14ac:dyDescent="0.25"/>
    <row r="56175" s="12" customFormat="1" x14ac:dyDescent="0.25"/>
    <row r="56176" s="12" customFormat="1" x14ac:dyDescent="0.25"/>
    <row r="56177" s="12" customFormat="1" x14ac:dyDescent="0.25"/>
    <row r="56178" s="12" customFormat="1" x14ac:dyDescent="0.25"/>
    <row r="56179" s="12" customFormat="1" x14ac:dyDescent="0.25"/>
    <row r="56180" s="12" customFormat="1" x14ac:dyDescent="0.25"/>
    <row r="56181" s="12" customFormat="1" x14ac:dyDescent="0.25"/>
    <row r="56182" s="12" customFormat="1" x14ac:dyDescent="0.25"/>
    <row r="56183" s="12" customFormat="1" x14ac:dyDescent="0.25"/>
    <row r="56184" s="12" customFormat="1" x14ac:dyDescent="0.25"/>
    <row r="56185" s="12" customFormat="1" x14ac:dyDescent="0.25"/>
    <row r="56186" s="12" customFormat="1" x14ac:dyDescent="0.25"/>
    <row r="56187" s="12" customFormat="1" x14ac:dyDescent="0.25"/>
    <row r="56188" s="12" customFormat="1" x14ac:dyDescent="0.25"/>
    <row r="56189" s="12" customFormat="1" x14ac:dyDescent="0.25"/>
    <row r="56190" s="12" customFormat="1" x14ac:dyDescent="0.25"/>
    <row r="56191" s="12" customFormat="1" x14ac:dyDescent="0.25"/>
    <row r="56192" s="12" customFormat="1" x14ac:dyDescent="0.25"/>
    <row r="56193" s="12" customFormat="1" x14ac:dyDescent="0.25"/>
    <row r="56194" s="12" customFormat="1" x14ac:dyDescent="0.25"/>
    <row r="56195" s="12" customFormat="1" x14ac:dyDescent="0.25"/>
    <row r="56196" s="12" customFormat="1" x14ac:dyDescent="0.25"/>
    <row r="56197" s="12" customFormat="1" x14ac:dyDescent="0.25"/>
    <row r="56198" s="12" customFormat="1" x14ac:dyDescent="0.25"/>
    <row r="56199" s="12" customFormat="1" x14ac:dyDescent="0.25"/>
    <row r="56200" s="12" customFormat="1" x14ac:dyDescent="0.25"/>
    <row r="56201" s="12" customFormat="1" x14ac:dyDescent="0.25"/>
    <row r="56202" s="12" customFormat="1" x14ac:dyDescent="0.25"/>
    <row r="56203" s="12" customFormat="1" x14ac:dyDescent="0.25"/>
    <row r="56204" s="12" customFormat="1" x14ac:dyDescent="0.25"/>
    <row r="56205" s="12" customFormat="1" x14ac:dyDescent="0.25"/>
    <row r="56206" s="12" customFormat="1" x14ac:dyDescent="0.25"/>
    <row r="56207" s="12" customFormat="1" x14ac:dyDescent="0.25"/>
    <row r="56208" s="12" customFormat="1" x14ac:dyDescent="0.25"/>
    <row r="56209" s="12" customFormat="1" x14ac:dyDescent="0.25"/>
    <row r="56210" s="12" customFormat="1" x14ac:dyDescent="0.25"/>
    <row r="56211" s="12" customFormat="1" x14ac:dyDescent="0.25"/>
    <row r="56212" s="12" customFormat="1" x14ac:dyDescent="0.25"/>
    <row r="56213" s="12" customFormat="1" x14ac:dyDescent="0.25"/>
    <row r="56214" s="12" customFormat="1" x14ac:dyDescent="0.25"/>
    <row r="56215" s="12" customFormat="1" x14ac:dyDescent="0.25"/>
    <row r="56216" s="12" customFormat="1" x14ac:dyDescent="0.25"/>
    <row r="56217" s="12" customFormat="1" x14ac:dyDescent="0.25"/>
    <row r="56218" s="12" customFormat="1" x14ac:dyDescent="0.25"/>
    <row r="56219" s="12" customFormat="1" x14ac:dyDescent="0.25"/>
    <row r="56220" s="12" customFormat="1" x14ac:dyDescent="0.25"/>
    <row r="56221" s="12" customFormat="1" x14ac:dyDescent="0.25"/>
    <row r="56222" s="12" customFormat="1" x14ac:dyDescent="0.25"/>
    <row r="56223" s="12" customFormat="1" x14ac:dyDescent="0.25"/>
    <row r="56224" s="12" customFormat="1" x14ac:dyDescent="0.25"/>
    <row r="56225" s="12" customFormat="1" x14ac:dyDescent="0.25"/>
    <row r="56226" s="12" customFormat="1" x14ac:dyDescent="0.25"/>
    <row r="56227" s="12" customFormat="1" x14ac:dyDescent="0.25"/>
    <row r="56228" s="12" customFormat="1" x14ac:dyDescent="0.25"/>
    <row r="56229" s="12" customFormat="1" x14ac:dyDescent="0.25"/>
    <row r="56230" s="12" customFormat="1" x14ac:dyDescent="0.25"/>
    <row r="56231" s="12" customFormat="1" x14ac:dyDescent="0.25"/>
    <row r="56232" s="12" customFormat="1" x14ac:dyDescent="0.25"/>
    <row r="56233" s="12" customFormat="1" x14ac:dyDescent="0.25"/>
    <row r="56234" s="12" customFormat="1" x14ac:dyDescent="0.25"/>
    <row r="56235" s="12" customFormat="1" x14ac:dyDescent="0.25"/>
    <row r="56236" s="12" customFormat="1" x14ac:dyDescent="0.25"/>
    <row r="56237" s="12" customFormat="1" x14ac:dyDescent="0.25"/>
    <row r="56238" s="12" customFormat="1" x14ac:dyDescent="0.25"/>
    <row r="56239" s="12" customFormat="1" x14ac:dyDescent="0.25"/>
    <row r="56240" s="12" customFormat="1" x14ac:dyDescent="0.25"/>
    <row r="56241" s="12" customFormat="1" x14ac:dyDescent="0.25"/>
    <row r="56242" s="12" customFormat="1" x14ac:dyDescent="0.25"/>
    <row r="56243" s="12" customFormat="1" x14ac:dyDescent="0.25"/>
    <row r="56244" s="12" customFormat="1" x14ac:dyDescent="0.25"/>
    <row r="56245" s="12" customFormat="1" x14ac:dyDescent="0.25"/>
    <row r="56246" s="12" customFormat="1" x14ac:dyDescent="0.25"/>
    <row r="56247" s="12" customFormat="1" x14ac:dyDescent="0.25"/>
    <row r="56248" s="12" customFormat="1" x14ac:dyDescent="0.25"/>
    <row r="56249" s="12" customFormat="1" x14ac:dyDescent="0.25"/>
    <row r="56250" s="12" customFormat="1" x14ac:dyDescent="0.25"/>
    <row r="56251" s="12" customFormat="1" x14ac:dyDescent="0.25"/>
    <row r="56252" s="12" customFormat="1" x14ac:dyDescent="0.25"/>
    <row r="56253" s="12" customFormat="1" x14ac:dyDescent="0.25"/>
    <row r="56254" s="12" customFormat="1" x14ac:dyDescent="0.25"/>
    <row r="56255" s="12" customFormat="1" x14ac:dyDescent="0.25"/>
    <row r="56256" s="12" customFormat="1" x14ac:dyDescent="0.25"/>
    <row r="56257" s="12" customFormat="1" x14ac:dyDescent="0.25"/>
    <row r="56258" s="12" customFormat="1" x14ac:dyDescent="0.25"/>
    <row r="56259" s="12" customFormat="1" x14ac:dyDescent="0.25"/>
    <row r="56260" s="12" customFormat="1" x14ac:dyDescent="0.25"/>
    <row r="56261" s="12" customFormat="1" x14ac:dyDescent="0.25"/>
    <row r="56262" s="12" customFormat="1" x14ac:dyDescent="0.25"/>
    <row r="56263" s="12" customFormat="1" x14ac:dyDescent="0.25"/>
    <row r="56264" s="12" customFormat="1" x14ac:dyDescent="0.25"/>
    <row r="56265" s="12" customFormat="1" x14ac:dyDescent="0.25"/>
    <row r="56266" s="12" customFormat="1" x14ac:dyDescent="0.25"/>
    <row r="56267" s="12" customFormat="1" x14ac:dyDescent="0.25"/>
    <row r="56268" s="12" customFormat="1" x14ac:dyDescent="0.25"/>
    <row r="56269" s="12" customFormat="1" x14ac:dyDescent="0.25"/>
    <row r="56270" s="12" customFormat="1" x14ac:dyDescent="0.25"/>
    <row r="56271" s="12" customFormat="1" x14ac:dyDescent="0.25"/>
    <row r="56272" s="12" customFormat="1" x14ac:dyDescent="0.25"/>
    <row r="56273" s="12" customFormat="1" x14ac:dyDescent="0.25"/>
    <row r="56274" s="12" customFormat="1" x14ac:dyDescent="0.25"/>
    <row r="56275" s="12" customFormat="1" x14ac:dyDescent="0.25"/>
    <row r="56276" s="12" customFormat="1" x14ac:dyDescent="0.25"/>
    <row r="56277" s="12" customFormat="1" x14ac:dyDescent="0.25"/>
    <row r="56278" s="12" customFormat="1" x14ac:dyDescent="0.25"/>
    <row r="56279" s="12" customFormat="1" x14ac:dyDescent="0.25"/>
    <row r="56280" s="12" customFormat="1" x14ac:dyDescent="0.25"/>
    <row r="56281" s="12" customFormat="1" x14ac:dyDescent="0.25"/>
    <row r="56282" s="12" customFormat="1" x14ac:dyDescent="0.25"/>
    <row r="56283" s="12" customFormat="1" x14ac:dyDescent="0.25"/>
    <row r="56284" s="12" customFormat="1" x14ac:dyDescent="0.25"/>
    <row r="56285" s="12" customFormat="1" x14ac:dyDescent="0.25"/>
    <row r="56286" s="12" customFormat="1" x14ac:dyDescent="0.25"/>
    <row r="56287" s="12" customFormat="1" x14ac:dyDescent="0.25"/>
    <row r="56288" s="12" customFormat="1" x14ac:dyDescent="0.25"/>
    <row r="56289" s="12" customFormat="1" x14ac:dyDescent="0.25"/>
    <row r="56290" s="12" customFormat="1" x14ac:dyDescent="0.25"/>
    <row r="56291" s="12" customFormat="1" x14ac:dyDescent="0.25"/>
    <row r="56292" s="12" customFormat="1" x14ac:dyDescent="0.25"/>
    <row r="56293" s="12" customFormat="1" x14ac:dyDescent="0.25"/>
    <row r="56294" s="12" customFormat="1" x14ac:dyDescent="0.25"/>
    <row r="56295" s="12" customFormat="1" x14ac:dyDescent="0.25"/>
    <row r="56296" s="12" customFormat="1" x14ac:dyDescent="0.25"/>
    <row r="56297" s="12" customFormat="1" x14ac:dyDescent="0.25"/>
    <row r="56298" s="12" customFormat="1" x14ac:dyDescent="0.25"/>
    <row r="56299" s="12" customFormat="1" x14ac:dyDescent="0.25"/>
    <row r="56300" s="12" customFormat="1" x14ac:dyDescent="0.25"/>
    <row r="56301" s="12" customFormat="1" x14ac:dyDescent="0.25"/>
    <row r="56302" s="12" customFormat="1" x14ac:dyDescent="0.25"/>
    <row r="56303" s="12" customFormat="1" x14ac:dyDescent="0.25"/>
    <row r="56304" s="12" customFormat="1" x14ac:dyDescent="0.25"/>
    <row r="56305" s="12" customFormat="1" x14ac:dyDescent="0.25"/>
    <row r="56306" s="12" customFormat="1" x14ac:dyDescent="0.25"/>
    <row r="56307" s="12" customFormat="1" x14ac:dyDescent="0.25"/>
    <row r="56308" s="12" customFormat="1" x14ac:dyDescent="0.25"/>
    <row r="56309" s="12" customFormat="1" x14ac:dyDescent="0.25"/>
    <row r="56310" s="12" customFormat="1" x14ac:dyDescent="0.25"/>
    <row r="56311" s="12" customFormat="1" x14ac:dyDescent="0.25"/>
    <row r="56312" s="12" customFormat="1" x14ac:dyDescent="0.25"/>
    <row r="56313" s="12" customFormat="1" x14ac:dyDescent="0.25"/>
    <row r="56314" s="12" customFormat="1" x14ac:dyDescent="0.25"/>
    <row r="56315" s="12" customFormat="1" x14ac:dyDescent="0.25"/>
    <row r="56316" s="12" customFormat="1" x14ac:dyDescent="0.25"/>
    <row r="56317" s="12" customFormat="1" x14ac:dyDescent="0.25"/>
    <row r="56318" s="12" customFormat="1" x14ac:dyDescent="0.25"/>
    <row r="56319" s="12" customFormat="1" x14ac:dyDescent="0.25"/>
    <row r="56320" s="12" customFormat="1" x14ac:dyDescent="0.25"/>
    <row r="56321" s="12" customFormat="1" x14ac:dyDescent="0.25"/>
    <row r="56322" s="12" customFormat="1" x14ac:dyDescent="0.25"/>
    <row r="56323" s="12" customFormat="1" x14ac:dyDescent="0.25"/>
    <row r="56324" s="12" customFormat="1" x14ac:dyDescent="0.25"/>
    <row r="56325" s="12" customFormat="1" x14ac:dyDescent="0.25"/>
    <row r="56326" s="12" customFormat="1" x14ac:dyDescent="0.25"/>
    <row r="56327" s="12" customFormat="1" x14ac:dyDescent="0.25"/>
    <row r="56328" s="12" customFormat="1" x14ac:dyDescent="0.25"/>
    <row r="56329" s="12" customFormat="1" x14ac:dyDescent="0.25"/>
    <row r="56330" s="12" customFormat="1" x14ac:dyDescent="0.25"/>
    <row r="56331" s="12" customFormat="1" x14ac:dyDescent="0.25"/>
    <row r="56332" s="12" customFormat="1" x14ac:dyDescent="0.25"/>
    <row r="56333" s="12" customFormat="1" x14ac:dyDescent="0.25"/>
    <row r="56334" s="12" customFormat="1" x14ac:dyDescent="0.25"/>
    <row r="56335" s="12" customFormat="1" x14ac:dyDescent="0.25"/>
    <row r="56336" s="12" customFormat="1" x14ac:dyDescent="0.25"/>
    <row r="56337" s="12" customFormat="1" x14ac:dyDescent="0.25"/>
    <row r="56338" s="12" customFormat="1" x14ac:dyDescent="0.25"/>
    <row r="56339" s="12" customFormat="1" x14ac:dyDescent="0.25"/>
    <row r="56340" s="12" customFormat="1" x14ac:dyDescent="0.25"/>
    <row r="56341" s="12" customFormat="1" x14ac:dyDescent="0.25"/>
    <row r="56342" s="12" customFormat="1" x14ac:dyDescent="0.25"/>
    <row r="56343" s="12" customFormat="1" x14ac:dyDescent="0.25"/>
    <row r="56344" s="12" customFormat="1" x14ac:dyDescent="0.25"/>
    <row r="56345" s="12" customFormat="1" x14ac:dyDescent="0.25"/>
    <row r="56346" s="12" customFormat="1" x14ac:dyDescent="0.25"/>
    <row r="56347" s="12" customFormat="1" x14ac:dyDescent="0.25"/>
    <row r="56348" s="12" customFormat="1" x14ac:dyDescent="0.25"/>
    <row r="56349" s="12" customFormat="1" x14ac:dyDescent="0.25"/>
    <row r="56350" s="12" customFormat="1" x14ac:dyDescent="0.25"/>
    <row r="56351" s="12" customFormat="1" x14ac:dyDescent="0.25"/>
    <row r="56352" s="12" customFormat="1" x14ac:dyDescent="0.25"/>
    <row r="56353" s="12" customFormat="1" x14ac:dyDescent="0.25"/>
    <row r="56354" s="12" customFormat="1" x14ac:dyDescent="0.25"/>
    <row r="56355" s="12" customFormat="1" x14ac:dyDescent="0.25"/>
    <row r="56356" s="12" customFormat="1" x14ac:dyDescent="0.25"/>
    <row r="56357" s="12" customFormat="1" x14ac:dyDescent="0.25"/>
    <row r="56358" s="12" customFormat="1" x14ac:dyDescent="0.25"/>
    <row r="56359" s="12" customFormat="1" x14ac:dyDescent="0.25"/>
    <row r="56360" s="12" customFormat="1" x14ac:dyDescent="0.25"/>
    <row r="56361" s="12" customFormat="1" x14ac:dyDescent="0.25"/>
    <row r="56362" s="12" customFormat="1" x14ac:dyDescent="0.25"/>
    <row r="56363" s="12" customFormat="1" x14ac:dyDescent="0.25"/>
    <row r="56364" s="12" customFormat="1" x14ac:dyDescent="0.25"/>
    <row r="56365" s="12" customFormat="1" x14ac:dyDescent="0.25"/>
    <row r="56366" s="12" customFormat="1" x14ac:dyDescent="0.25"/>
    <row r="56367" s="12" customFormat="1" x14ac:dyDescent="0.25"/>
    <row r="56368" s="12" customFormat="1" x14ac:dyDescent="0.25"/>
    <row r="56369" s="12" customFormat="1" x14ac:dyDescent="0.25"/>
    <row r="56370" s="12" customFormat="1" x14ac:dyDescent="0.25"/>
    <row r="56371" s="12" customFormat="1" x14ac:dyDescent="0.25"/>
    <row r="56372" s="12" customFormat="1" x14ac:dyDescent="0.25"/>
    <row r="56373" s="12" customFormat="1" x14ac:dyDescent="0.25"/>
    <row r="56374" s="12" customFormat="1" x14ac:dyDescent="0.25"/>
    <row r="56375" s="12" customFormat="1" x14ac:dyDescent="0.25"/>
    <row r="56376" s="12" customFormat="1" x14ac:dyDescent="0.25"/>
    <row r="56377" s="12" customFormat="1" x14ac:dyDescent="0.25"/>
    <row r="56378" s="12" customFormat="1" x14ac:dyDescent="0.25"/>
    <row r="56379" s="12" customFormat="1" x14ac:dyDescent="0.25"/>
    <row r="56380" s="12" customFormat="1" x14ac:dyDescent="0.25"/>
    <row r="56381" s="12" customFormat="1" x14ac:dyDescent="0.25"/>
    <row r="56382" s="12" customFormat="1" x14ac:dyDescent="0.25"/>
    <row r="56383" s="12" customFormat="1" x14ac:dyDescent="0.25"/>
    <row r="56384" s="12" customFormat="1" x14ac:dyDescent="0.25"/>
    <row r="56385" s="12" customFormat="1" x14ac:dyDescent="0.25"/>
    <row r="56386" s="12" customFormat="1" x14ac:dyDescent="0.25"/>
    <row r="56387" s="12" customFormat="1" x14ac:dyDescent="0.25"/>
    <row r="56388" s="12" customFormat="1" x14ac:dyDescent="0.25"/>
    <row r="56389" s="12" customFormat="1" x14ac:dyDescent="0.25"/>
    <row r="56390" s="12" customFormat="1" x14ac:dyDescent="0.25"/>
    <row r="56391" s="12" customFormat="1" x14ac:dyDescent="0.25"/>
    <row r="56392" s="12" customFormat="1" x14ac:dyDescent="0.25"/>
    <row r="56393" s="12" customFormat="1" x14ac:dyDescent="0.25"/>
    <row r="56394" s="12" customFormat="1" x14ac:dyDescent="0.25"/>
    <row r="56395" s="12" customFormat="1" x14ac:dyDescent="0.25"/>
    <row r="56396" s="12" customFormat="1" x14ac:dyDescent="0.25"/>
    <row r="56397" s="12" customFormat="1" x14ac:dyDescent="0.25"/>
    <row r="56398" s="12" customFormat="1" x14ac:dyDescent="0.25"/>
    <row r="56399" s="12" customFormat="1" x14ac:dyDescent="0.25"/>
    <row r="56400" s="12" customFormat="1" x14ac:dyDescent="0.25"/>
    <row r="56401" s="12" customFormat="1" x14ac:dyDescent="0.25"/>
    <row r="56402" s="12" customFormat="1" x14ac:dyDescent="0.25"/>
    <row r="56403" s="12" customFormat="1" x14ac:dyDescent="0.25"/>
    <row r="56404" s="12" customFormat="1" x14ac:dyDescent="0.25"/>
    <row r="56405" s="12" customFormat="1" x14ac:dyDescent="0.25"/>
    <row r="56406" s="12" customFormat="1" x14ac:dyDescent="0.25"/>
    <row r="56407" s="12" customFormat="1" x14ac:dyDescent="0.25"/>
    <row r="56408" s="12" customFormat="1" x14ac:dyDescent="0.25"/>
    <row r="56409" s="12" customFormat="1" x14ac:dyDescent="0.25"/>
    <row r="56410" s="12" customFormat="1" x14ac:dyDescent="0.25"/>
    <row r="56411" s="12" customFormat="1" x14ac:dyDescent="0.25"/>
    <row r="56412" s="12" customFormat="1" x14ac:dyDescent="0.25"/>
    <row r="56413" s="12" customFormat="1" x14ac:dyDescent="0.25"/>
    <row r="56414" s="12" customFormat="1" x14ac:dyDescent="0.25"/>
    <row r="56415" s="12" customFormat="1" x14ac:dyDescent="0.25"/>
    <row r="56416" s="12" customFormat="1" x14ac:dyDescent="0.25"/>
    <row r="56417" s="12" customFormat="1" x14ac:dyDescent="0.25"/>
    <row r="56418" s="12" customFormat="1" x14ac:dyDescent="0.25"/>
    <row r="56419" s="12" customFormat="1" x14ac:dyDescent="0.25"/>
    <row r="56420" s="12" customFormat="1" x14ac:dyDescent="0.25"/>
    <row r="56421" s="12" customFormat="1" x14ac:dyDescent="0.25"/>
    <row r="56422" s="12" customFormat="1" x14ac:dyDescent="0.25"/>
    <row r="56423" s="12" customFormat="1" x14ac:dyDescent="0.25"/>
    <row r="56424" s="12" customFormat="1" x14ac:dyDescent="0.25"/>
    <row r="56425" s="12" customFormat="1" x14ac:dyDescent="0.25"/>
    <row r="56426" s="12" customFormat="1" x14ac:dyDescent="0.25"/>
    <row r="56427" s="12" customFormat="1" x14ac:dyDescent="0.25"/>
    <row r="56428" s="12" customFormat="1" x14ac:dyDescent="0.25"/>
    <row r="56429" s="12" customFormat="1" x14ac:dyDescent="0.25"/>
    <row r="56430" s="12" customFormat="1" x14ac:dyDescent="0.25"/>
    <row r="56431" s="12" customFormat="1" x14ac:dyDescent="0.25"/>
    <row r="56432" s="12" customFormat="1" x14ac:dyDescent="0.25"/>
    <row r="56433" s="12" customFormat="1" x14ac:dyDescent="0.25"/>
    <row r="56434" s="12" customFormat="1" x14ac:dyDescent="0.25"/>
    <row r="56435" s="12" customFormat="1" x14ac:dyDescent="0.25"/>
    <row r="56436" s="12" customFormat="1" x14ac:dyDescent="0.25"/>
    <row r="56437" s="12" customFormat="1" x14ac:dyDescent="0.25"/>
    <row r="56438" s="12" customFormat="1" x14ac:dyDescent="0.25"/>
    <row r="56439" s="12" customFormat="1" x14ac:dyDescent="0.25"/>
    <row r="56440" s="12" customFormat="1" x14ac:dyDescent="0.25"/>
    <row r="56441" s="12" customFormat="1" x14ac:dyDescent="0.25"/>
    <row r="56442" s="12" customFormat="1" x14ac:dyDescent="0.25"/>
    <row r="56443" s="12" customFormat="1" x14ac:dyDescent="0.25"/>
    <row r="56444" s="12" customFormat="1" x14ac:dyDescent="0.25"/>
    <row r="56445" s="12" customFormat="1" x14ac:dyDescent="0.25"/>
    <row r="56446" s="12" customFormat="1" x14ac:dyDescent="0.25"/>
    <row r="56447" s="12" customFormat="1" x14ac:dyDescent="0.25"/>
    <row r="56448" s="12" customFormat="1" x14ac:dyDescent="0.25"/>
    <row r="56449" s="12" customFormat="1" x14ac:dyDescent="0.25"/>
    <row r="56450" s="12" customFormat="1" x14ac:dyDescent="0.25"/>
    <row r="56451" s="12" customFormat="1" x14ac:dyDescent="0.25"/>
    <row r="56452" s="12" customFormat="1" x14ac:dyDescent="0.25"/>
    <row r="56453" s="12" customFormat="1" x14ac:dyDescent="0.25"/>
    <row r="56454" s="12" customFormat="1" x14ac:dyDescent="0.25"/>
    <row r="56455" s="12" customFormat="1" x14ac:dyDescent="0.25"/>
    <row r="56456" s="12" customFormat="1" x14ac:dyDescent="0.25"/>
    <row r="56457" s="12" customFormat="1" x14ac:dyDescent="0.25"/>
    <row r="56458" s="12" customFormat="1" x14ac:dyDescent="0.25"/>
    <row r="56459" s="12" customFormat="1" x14ac:dyDescent="0.25"/>
    <row r="56460" s="12" customFormat="1" x14ac:dyDescent="0.25"/>
    <row r="56461" s="12" customFormat="1" x14ac:dyDescent="0.25"/>
    <row r="56462" s="12" customFormat="1" x14ac:dyDescent="0.25"/>
    <row r="56463" s="12" customFormat="1" x14ac:dyDescent="0.25"/>
    <row r="56464" s="12" customFormat="1" x14ac:dyDescent="0.25"/>
    <row r="56465" s="12" customFormat="1" x14ac:dyDescent="0.25"/>
    <row r="56466" s="12" customFormat="1" x14ac:dyDescent="0.25"/>
    <row r="56467" s="12" customFormat="1" x14ac:dyDescent="0.25"/>
    <row r="56468" s="12" customFormat="1" x14ac:dyDescent="0.25"/>
    <row r="56469" s="12" customFormat="1" x14ac:dyDescent="0.25"/>
    <row r="56470" s="12" customFormat="1" x14ac:dyDescent="0.25"/>
    <row r="56471" s="12" customFormat="1" x14ac:dyDescent="0.25"/>
    <row r="56472" s="12" customFormat="1" x14ac:dyDescent="0.25"/>
    <row r="56473" s="12" customFormat="1" x14ac:dyDescent="0.25"/>
    <row r="56474" s="12" customFormat="1" x14ac:dyDescent="0.25"/>
    <row r="56475" s="12" customFormat="1" x14ac:dyDescent="0.25"/>
    <row r="56476" s="12" customFormat="1" x14ac:dyDescent="0.25"/>
    <row r="56477" s="12" customFormat="1" x14ac:dyDescent="0.25"/>
    <row r="56478" s="12" customFormat="1" x14ac:dyDescent="0.25"/>
    <row r="56479" s="12" customFormat="1" x14ac:dyDescent="0.25"/>
    <row r="56480" s="12" customFormat="1" x14ac:dyDescent="0.25"/>
    <row r="56481" s="12" customFormat="1" x14ac:dyDescent="0.25"/>
    <row r="56482" s="12" customFormat="1" x14ac:dyDescent="0.25"/>
    <row r="56483" s="12" customFormat="1" x14ac:dyDescent="0.25"/>
    <row r="56484" s="12" customFormat="1" x14ac:dyDescent="0.25"/>
    <row r="56485" s="12" customFormat="1" x14ac:dyDescent="0.25"/>
    <row r="56486" s="12" customFormat="1" x14ac:dyDescent="0.25"/>
    <row r="56487" s="12" customFormat="1" x14ac:dyDescent="0.25"/>
    <row r="56488" s="12" customFormat="1" x14ac:dyDescent="0.25"/>
    <row r="56489" s="12" customFormat="1" x14ac:dyDescent="0.25"/>
    <row r="56490" s="12" customFormat="1" x14ac:dyDescent="0.25"/>
    <row r="56491" s="12" customFormat="1" x14ac:dyDescent="0.25"/>
    <row r="56492" s="12" customFormat="1" x14ac:dyDescent="0.25"/>
    <row r="56493" s="12" customFormat="1" x14ac:dyDescent="0.25"/>
    <row r="56494" s="12" customFormat="1" x14ac:dyDescent="0.25"/>
    <row r="56495" s="12" customFormat="1" x14ac:dyDescent="0.25"/>
    <row r="56496" s="12" customFormat="1" x14ac:dyDescent="0.25"/>
    <row r="56497" s="12" customFormat="1" x14ac:dyDescent="0.25"/>
    <row r="56498" s="12" customFormat="1" x14ac:dyDescent="0.25"/>
    <row r="56499" s="12" customFormat="1" x14ac:dyDescent="0.25"/>
    <row r="56500" s="12" customFormat="1" x14ac:dyDescent="0.25"/>
    <row r="56501" s="12" customFormat="1" x14ac:dyDescent="0.25"/>
    <row r="56502" s="12" customFormat="1" x14ac:dyDescent="0.25"/>
    <row r="56503" s="12" customFormat="1" x14ac:dyDescent="0.25"/>
    <row r="56504" s="12" customFormat="1" x14ac:dyDescent="0.25"/>
    <row r="56505" s="12" customFormat="1" x14ac:dyDescent="0.25"/>
    <row r="56506" s="12" customFormat="1" x14ac:dyDescent="0.25"/>
    <row r="56507" s="12" customFormat="1" x14ac:dyDescent="0.25"/>
    <row r="56508" s="12" customFormat="1" x14ac:dyDescent="0.25"/>
    <row r="56509" s="12" customFormat="1" x14ac:dyDescent="0.25"/>
    <row r="56510" s="12" customFormat="1" x14ac:dyDescent="0.25"/>
    <row r="56511" s="12" customFormat="1" x14ac:dyDescent="0.25"/>
    <row r="56512" s="12" customFormat="1" x14ac:dyDescent="0.25"/>
    <row r="56513" s="12" customFormat="1" x14ac:dyDescent="0.25"/>
    <row r="56514" s="12" customFormat="1" x14ac:dyDescent="0.25"/>
    <row r="56515" s="12" customFormat="1" x14ac:dyDescent="0.25"/>
    <row r="56516" s="12" customFormat="1" x14ac:dyDescent="0.25"/>
    <row r="56517" s="12" customFormat="1" x14ac:dyDescent="0.25"/>
    <row r="56518" s="12" customFormat="1" x14ac:dyDescent="0.25"/>
    <row r="56519" s="12" customFormat="1" x14ac:dyDescent="0.25"/>
    <row r="56520" s="12" customFormat="1" x14ac:dyDescent="0.25"/>
    <row r="56521" s="12" customFormat="1" x14ac:dyDescent="0.25"/>
    <row r="56522" s="12" customFormat="1" x14ac:dyDescent="0.25"/>
    <row r="56523" s="12" customFormat="1" x14ac:dyDescent="0.25"/>
    <row r="56524" s="12" customFormat="1" x14ac:dyDescent="0.25"/>
    <row r="56525" s="12" customFormat="1" x14ac:dyDescent="0.25"/>
    <row r="56526" s="12" customFormat="1" x14ac:dyDescent="0.25"/>
    <row r="56527" s="12" customFormat="1" x14ac:dyDescent="0.25"/>
    <row r="56528" s="12" customFormat="1" x14ac:dyDescent="0.25"/>
    <row r="56529" s="12" customFormat="1" x14ac:dyDescent="0.25"/>
    <row r="56530" s="12" customFormat="1" x14ac:dyDescent="0.25"/>
    <row r="56531" s="12" customFormat="1" x14ac:dyDescent="0.25"/>
    <row r="56532" s="12" customFormat="1" x14ac:dyDescent="0.25"/>
    <row r="56533" s="12" customFormat="1" x14ac:dyDescent="0.25"/>
    <row r="56534" s="12" customFormat="1" x14ac:dyDescent="0.25"/>
    <row r="56535" s="12" customFormat="1" x14ac:dyDescent="0.25"/>
    <row r="56536" s="12" customFormat="1" x14ac:dyDescent="0.25"/>
    <row r="56537" s="12" customFormat="1" x14ac:dyDescent="0.25"/>
    <row r="56538" s="12" customFormat="1" x14ac:dyDescent="0.25"/>
    <row r="56539" s="12" customFormat="1" x14ac:dyDescent="0.25"/>
    <row r="56540" s="12" customFormat="1" x14ac:dyDescent="0.25"/>
    <row r="56541" s="12" customFormat="1" x14ac:dyDescent="0.25"/>
    <row r="56542" s="12" customFormat="1" x14ac:dyDescent="0.25"/>
    <row r="56543" s="12" customFormat="1" x14ac:dyDescent="0.25"/>
    <row r="56544" s="12" customFormat="1" x14ac:dyDescent="0.25"/>
    <row r="56545" s="12" customFormat="1" x14ac:dyDescent="0.25"/>
    <row r="56546" s="12" customFormat="1" x14ac:dyDescent="0.25"/>
    <row r="56547" s="12" customFormat="1" x14ac:dyDescent="0.25"/>
    <row r="56548" s="12" customFormat="1" x14ac:dyDescent="0.25"/>
    <row r="56549" s="12" customFormat="1" x14ac:dyDescent="0.25"/>
    <row r="56550" s="12" customFormat="1" x14ac:dyDescent="0.25"/>
    <row r="56551" s="12" customFormat="1" x14ac:dyDescent="0.25"/>
    <row r="56552" s="12" customFormat="1" x14ac:dyDescent="0.25"/>
    <row r="56553" s="12" customFormat="1" x14ac:dyDescent="0.25"/>
    <row r="56554" s="12" customFormat="1" x14ac:dyDescent="0.25"/>
    <row r="56555" s="12" customFormat="1" x14ac:dyDescent="0.25"/>
    <row r="56556" s="12" customFormat="1" x14ac:dyDescent="0.25"/>
    <row r="56557" s="12" customFormat="1" x14ac:dyDescent="0.25"/>
    <row r="56558" s="12" customFormat="1" x14ac:dyDescent="0.25"/>
    <row r="56559" s="12" customFormat="1" x14ac:dyDescent="0.25"/>
    <row r="56560" s="12" customFormat="1" x14ac:dyDescent="0.25"/>
    <row r="56561" s="12" customFormat="1" x14ac:dyDescent="0.25"/>
    <row r="56562" s="12" customFormat="1" x14ac:dyDescent="0.25"/>
    <row r="56563" s="12" customFormat="1" x14ac:dyDescent="0.25"/>
    <row r="56564" s="12" customFormat="1" x14ac:dyDescent="0.25"/>
    <row r="56565" s="12" customFormat="1" x14ac:dyDescent="0.25"/>
    <row r="56566" s="12" customFormat="1" x14ac:dyDescent="0.25"/>
    <row r="56567" s="12" customFormat="1" x14ac:dyDescent="0.25"/>
    <row r="56568" s="12" customFormat="1" x14ac:dyDescent="0.25"/>
    <row r="56569" s="12" customFormat="1" x14ac:dyDescent="0.25"/>
    <row r="56570" s="12" customFormat="1" x14ac:dyDescent="0.25"/>
    <row r="56571" s="12" customFormat="1" x14ac:dyDescent="0.25"/>
    <row r="56572" s="12" customFormat="1" x14ac:dyDescent="0.25"/>
    <row r="56573" s="12" customFormat="1" x14ac:dyDescent="0.25"/>
    <row r="56574" s="12" customFormat="1" x14ac:dyDescent="0.25"/>
    <row r="56575" s="12" customFormat="1" x14ac:dyDescent="0.25"/>
    <row r="56576" s="12" customFormat="1" x14ac:dyDescent="0.25"/>
    <row r="56577" s="12" customFormat="1" x14ac:dyDescent="0.25"/>
    <row r="56578" s="12" customFormat="1" x14ac:dyDescent="0.25"/>
    <row r="56579" s="12" customFormat="1" x14ac:dyDescent="0.25"/>
    <row r="56580" s="12" customFormat="1" x14ac:dyDescent="0.25"/>
    <row r="56581" s="12" customFormat="1" x14ac:dyDescent="0.25"/>
    <row r="56582" s="12" customFormat="1" x14ac:dyDescent="0.25"/>
    <row r="56583" s="12" customFormat="1" x14ac:dyDescent="0.25"/>
    <row r="56584" s="12" customFormat="1" x14ac:dyDescent="0.25"/>
    <row r="56585" s="12" customFormat="1" x14ac:dyDescent="0.25"/>
    <row r="56586" s="12" customFormat="1" x14ac:dyDescent="0.25"/>
    <row r="56587" s="12" customFormat="1" x14ac:dyDescent="0.25"/>
    <row r="56588" s="12" customFormat="1" x14ac:dyDescent="0.25"/>
    <row r="56589" s="12" customFormat="1" x14ac:dyDescent="0.25"/>
    <row r="56590" s="12" customFormat="1" x14ac:dyDescent="0.25"/>
    <row r="56591" s="12" customFormat="1" x14ac:dyDescent="0.25"/>
    <row r="56592" s="12" customFormat="1" x14ac:dyDescent="0.25"/>
    <row r="56593" s="12" customFormat="1" x14ac:dyDescent="0.25"/>
    <row r="56594" s="12" customFormat="1" x14ac:dyDescent="0.25"/>
    <row r="56595" s="12" customFormat="1" x14ac:dyDescent="0.25"/>
    <row r="56596" s="12" customFormat="1" x14ac:dyDescent="0.25"/>
    <row r="56597" s="12" customFormat="1" x14ac:dyDescent="0.25"/>
    <row r="56598" s="12" customFormat="1" x14ac:dyDescent="0.25"/>
    <row r="56599" s="12" customFormat="1" x14ac:dyDescent="0.25"/>
    <row r="56600" s="12" customFormat="1" x14ac:dyDescent="0.25"/>
    <row r="56601" s="12" customFormat="1" x14ac:dyDescent="0.25"/>
    <row r="56602" s="12" customFormat="1" x14ac:dyDescent="0.25"/>
    <row r="56603" s="12" customFormat="1" x14ac:dyDescent="0.25"/>
    <row r="56604" s="12" customFormat="1" x14ac:dyDescent="0.25"/>
    <row r="56605" s="12" customFormat="1" x14ac:dyDescent="0.25"/>
    <row r="56606" s="12" customFormat="1" x14ac:dyDescent="0.25"/>
    <row r="56607" s="12" customFormat="1" x14ac:dyDescent="0.25"/>
    <row r="56608" s="12" customFormat="1" x14ac:dyDescent="0.25"/>
    <row r="56609" s="12" customFormat="1" x14ac:dyDescent="0.25"/>
    <row r="56610" s="12" customFormat="1" x14ac:dyDescent="0.25"/>
    <row r="56611" s="12" customFormat="1" x14ac:dyDescent="0.25"/>
    <row r="56612" s="12" customFormat="1" x14ac:dyDescent="0.25"/>
    <row r="56613" s="12" customFormat="1" x14ac:dyDescent="0.25"/>
    <row r="56614" s="12" customFormat="1" x14ac:dyDescent="0.25"/>
    <row r="56615" s="12" customFormat="1" x14ac:dyDescent="0.25"/>
    <row r="56616" s="12" customFormat="1" x14ac:dyDescent="0.25"/>
    <row r="56617" s="12" customFormat="1" x14ac:dyDescent="0.25"/>
    <row r="56618" s="12" customFormat="1" x14ac:dyDescent="0.25"/>
    <row r="56619" s="12" customFormat="1" x14ac:dyDescent="0.25"/>
    <row r="56620" s="12" customFormat="1" x14ac:dyDescent="0.25"/>
    <row r="56621" s="12" customFormat="1" x14ac:dyDescent="0.25"/>
    <row r="56622" s="12" customFormat="1" x14ac:dyDescent="0.25"/>
    <row r="56623" s="12" customFormat="1" x14ac:dyDescent="0.25"/>
    <row r="56624" s="12" customFormat="1" x14ac:dyDescent="0.25"/>
    <row r="56625" s="12" customFormat="1" x14ac:dyDescent="0.25"/>
    <row r="56626" s="12" customFormat="1" x14ac:dyDescent="0.25"/>
    <row r="56627" s="12" customFormat="1" x14ac:dyDescent="0.25"/>
    <row r="56628" s="12" customFormat="1" x14ac:dyDescent="0.25"/>
    <row r="56629" s="12" customFormat="1" x14ac:dyDescent="0.25"/>
    <row r="56630" s="12" customFormat="1" x14ac:dyDescent="0.25"/>
    <row r="56631" s="12" customFormat="1" x14ac:dyDescent="0.25"/>
    <row r="56632" s="12" customFormat="1" x14ac:dyDescent="0.25"/>
    <row r="56633" s="12" customFormat="1" x14ac:dyDescent="0.25"/>
    <row r="56634" s="12" customFormat="1" x14ac:dyDescent="0.25"/>
    <row r="56635" s="12" customFormat="1" x14ac:dyDescent="0.25"/>
    <row r="56636" s="12" customFormat="1" x14ac:dyDescent="0.25"/>
    <row r="56637" s="12" customFormat="1" x14ac:dyDescent="0.25"/>
    <row r="56638" s="12" customFormat="1" x14ac:dyDescent="0.25"/>
    <row r="56639" s="12" customFormat="1" x14ac:dyDescent="0.25"/>
    <row r="56640" s="12" customFormat="1" x14ac:dyDescent="0.25"/>
    <row r="56641" s="12" customFormat="1" x14ac:dyDescent="0.25"/>
    <row r="56642" s="12" customFormat="1" x14ac:dyDescent="0.25"/>
    <row r="56643" s="12" customFormat="1" x14ac:dyDescent="0.25"/>
    <row r="56644" s="12" customFormat="1" x14ac:dyDescent="0.25"/>
    <row r="56645" s="12" customFormat="1" x14ac:dyDescent="0.25"/>
    <row r="56646" s="12" customFormat="1" x14ac:dyDescent="0.25"/>
    <row r="56647" s="12" customFormat="1" x14ac:dyDescent="0.25"/>
    <row r="56648" s="12" customFormat="1" x14ac:dyDescent="0.25"/>
    <row r="56649" s="12" customFormat="1" x14ac:dyDescent="0.25"/>
    <row r="56650" s="12" customFormat="1" x14ac:dyDescent="0.25"/>
    <row r="56651" s="12" customFormat="1" x14ac:dyDescent="0.25"/>
    <row r="56652" s="12" customFormat="1" x14ac:dyDescent="0.25"/>
    <row r="56653" s="12" customFormat="1" x14ac:dyDescent="0.25"/>
    <row r="56654" s="12" customFormat="1" x14ac:dyDescent="0.25"/>
    <row r="56655" s="12" customFormat="1" x14ac:dyDescent="0.25"/>
    <row r="56656" s="12" customFormat="1" x14ac:dyDescent="0.25"/>
    <row r="56657" s="12" customFormat="1" x14ac:dyDescent="0.25"/>
    <row r="56658" s="12" customFormat="1" x14ac:dyDescent="0.25"/>
    <row r="56659" s="12" customFormat="1" x14ac:dyDescent="0.25"/>
    <row r="56660" s="12" customFormat="1" x14ac:dyDescent="0.25"/>
    <row r="56661" s="12" customFormat="1" x14ac:dyDescent="0.25"/>
    <row r="56662" s="12" customFormat="1" x14ac:dyDescent="0.25"/>
    <row r="56663" s="12" customFormat="1" x14ac:dyDescent="0.25"/>
    <row r="56664" s="12" customFormat="1" x14ac:dyDescent="0.25"/>
    <row r="56665" s="12" customFormat="1" x14ac:dyDescent="0.25"/>
    <row r="56666" s="12" customFormat="1" x14ac:dyDescent="0.25"/>
    <row r="56667" s="12" customFormat="1" x14ac:dyDescent="0.25"/>
    <row r="56668" s="12" customFormat="1" x14ac:dyDescent="0.25"/>
    <row r="56669" s="12" customFormat="1" x14ac:dyDescent="0.25"/>
    <row r="56670" s="12" customFormat="1" x14ac:dyDescent="0.25"/>
    <row r="56671" s="12" customFormat="1" x14ac:dyDescent="0.25"/>
    <row r="56672" s="12" customFormat="1" x14ac:dyDescent="0.25"/>
    <row r="56673" s="12" customFormat="1" x14ac:dyDescent="0.25"/>
    <row r="56674" s="12" customFormat="1" x14ac:dyDescent="0.25"/>
    <row r="56675" s="12" customFormat="1" x14ac:dyDescent="0.25"/>
    <row r="56676" s="12" customFormat="1" x14ac:dyDescent="0.25"/>
    <row r="56677" s="12" customFormat="1" x14ac:dyDescent="0.25"/>
    <row r="56678" s="12" customFormat="1" x14ac:dyDescent="0.25"/>
    <row r="56679" s="12" customFormat="1" x14ac:dyDescent="0.25"/>
    <row r="56680" s="12" customFormat="1" x14ac:dyDescent="0.25"/>
    <row r="56681" s="12" customFormat="1" x14ac:dyDescent="0.25"/>
    <row r="56682" s="12" customFormat="1" x14ac:dyDescent="0.25"/>
    <row r="56683" s="12" customFormat="1" x14ac:dyDescent="0.25"/>
    <row r="56684" s="12" customFormat="1" x14ac:dyDescent="0.25"/>
    <row r="56685" s="12" customFormat="1" x14ac:dyDescent="0.25"/>
    <row r="56686" s="12" customFormat="1" x14ac:dyDescent="0.25"/>
    <row r="56687" s="12" customFormat="1" x14ac:dyDescent="0.25"/>
    <row r="56688" s="12" customFormat="1" x14ac:dyDescent="0.25"/>
    <row r="56689" s="12" customFormat="1" x14ac:dyDescent="0.25"/>
    <row r="56690" s="12" customFormat="1" x14ac:dyDescent="0.25"/>
    <row r="56691" s="12" customFormat="1" x14ac:dyDescent="0.25"/>
    <row r="56692" s="12" customFormat="1" x14ac:dyDescent="0.25"/>
    <row r="56693" s="12" customFormat="1" x14ac:dyDescent="0.25"/>
    <row r="56694" s="12" customFormat="1" x14ac:dyDescent="0.25"/>
    <row r="56695" s="12" customFormat="1" x14ac:dyDescent="0.25"/>
    <row r="56696" s="12" customFormat="1" x14ac:dyDescent="0.25"/>
    <row r="56697" s="12" customFormat="1" x14ac:dyDescent="0.25"/>
    <row r="56698" s="12" customFormat="1" x14ac:dyDescent="0.25"/>
    <row r="56699" s="12" customFormat="1" x14ac:dyDescent="0.25"/>
    <row r="56700" s="12" customFormat="1" x14ac:dyDescent="0.25"/>
    <row r="56701" s="12" customFormat="1" x14ac:dyDescent="0.25"/>
    <row r="56702" s="12" customFormat="1" x14ac:dyDescent="0.25"/>
    <row r="56703" s="12" customFormat="1" x14ac:dyDescent="0.25"/>
    <row r="56704" s="12" customFormat="1" x14ac:dyDescent="0.25"/>
    <row r="56705" s="12" customFormat="1" x14ac:dyDescent="0.25"/>
    <row r="56706" s="12" customFormat="1" x14ac:dyDescent="0.25"/>
    <row r="56707" s="12" customFormat="1" x14ac:dyDescent="0.25"/>
    <row r="56708" s="12" customFormat="1" x14ac:dyDescent="0.25"/>
    <row r="56709" s="12" customFormat="1" x14ac:dyDescent="0.25"/>
    <row r="56710" s="12" customFormat="1" x14ac:dyDescent="0.25"/>
    <row r="56711" s="12" customFormat="1" x14ac:dyDescent="0.25"/>
    <row r="56712" s="12" customFormat="1" x14ac:dyDescent="0.25"/>
    <row r="56713" s="12" customFormat="1" x14ac:dyDescent="0.25"/>
    <row r="56714" s="12" customFormat="1" x14ac:dyDescent="0.25"/>
    <row r="56715" s="12" customFormat="1" x14ac:dyDescent="0.25"/>
    <row r="56716" s="12" customFormat="1" x14ac:dyDescent="0.25"/>
    <row r="56717" s="12" customFormat="1" x14ac:dyDescent="0.25"/>
    <row r="56718" s="12" customFormat="1" x14ac:dyDescent="0.25"/>
    <row r="56719" s="12" customFormat="1" x14ac:dyDescent="0.25"/>
    <row r="56720" s="12" customFormat="1" x14ac:dyDescent="0.25"/>
    <row r="56721" s="12" customFormat="1" x14ac:dyDescent="0.25"/>
    <row r="56722" s="12" customFormat="1" x14ac:dyDescent="0.25"/>
    <row r="56723" s="12" customFormat="1" x14ac:dyDescent="0.25"/>
    <row r="56724" s="12" customFormat="1" x14ac:dyDescent="0.25"/>
    <row r="56725" s="12" customFormat="1" x14ac:dyDescent="0.25"/>
    <row r="56726" s="12" customFormat="1" x14ac:dyDescent="0.25"/>
    <row r="56727" s="12" customFormat="1" x14ac:dyDescent="0.25"/>
    <row r="56728" s="12" customFormat="1" x14ac:dyDescent="0.25"/>
    <row r="56729" s="12" customFormat="1" x14ac:dyDescent="0.25"/>
    <row r="56730" s="12" customFormat="1" x14ac:dyDescent="0.25"/>
    <row r="56731" s="12" customFormat="1" x14ac:dyDescent="0.25"/>
    <row r="56732" s="12" customFormat="1" x14ac:dyDescent="0.25"/>
    <row r="56733" s="12" customFormat="1" x14ac:dyDescent="0.25"/>
    <row r="56734" s="12" customFormat="1" x14ac:dyDescent="0.25"/>
    <row r="56735" s="12" customFormat="1" x14ac:dyDescent="0.25"/>
    <row r="56736" s="12" customFormat="1" x14ac:dyDescent="0.25"/>
    <row r="56737" s="12" customFormat="1" x14ac:dyDescent="0.25"/>
    <row r="56738" s="12" customFormat="1" x14ac:dyDescent="0.25"/>
    <row r="56739" s="12" customFormat="1" x14ac:dyDescent="0.25"/>
    <row r="56740" s="12" customFormat="1" x14ac:dyDescent="0.25"/>
    <row r="56741" s="12" customFormat="1" x14ac:dyDescent="0.25"/>
    <row r="56742" s="12" customFormat="1" x14ac:dyDescent="0.25"/>
    <row r="56743" s="12" customFormat="1" x14ac:dyDescent="0.25"/>
    <row r="56744" s="12" customFormat="1" x14ac:dyDescent="0.25"/>
    <row r="56745" s="12" customFormat="1" x14ac:dyDescent="0.25"/>
    <row r="56746" s="12" customFormat="1" x14ac:dyDescent="0.25"/>
    <row r="56747" s="12" customFormat="1" x14ac:dyDescent="0.25"/>
    <row r="56748" s="12" customFormat="1" x14ac:dyDescent="0.25"/>
    <row r="56749" s="12" customFormat="1" x14ac:dyDescent="0.25"/>
    <row r="56750" s="12" customFormat="1" x14ac:dyDescent="0.25"/>
    <row r="56751" s="12" customFormat="1" x14ac:dyDescent="0.25"/>
    <row r="56752" s="12" customFormat="1" x14ac:dyDescent="0.25"/>
    <row r="56753" s="12" customFormat="1" x14ac:dyDescent="0.25"/>
    <row r="56754" s="12" customFormat="1" x14ac:dyDescent="0.25"/>
    <row r="56755" s="12" customFormat="1" x14ac:dyDescent="0.25"/>
    <row r="56756" s="12" customFormat="1" x14ac:dyDescent="0.25"/>
    <row r="56757" s="12" customFormat="1" x14ac:dyDescent="0.25"/>
    <row r="56758" s="12" customFormat="1" x14ac:dyDescent="0.25"/>
    <row r="56759" s="12" customFormat="1" x14ac:dyDescent="0.25"/>
    <row r="56760" s="12" customFormat="1" x14ac:dyDescent="0.25"/>
    <row r="56761" s="12" customFormat="1" x14ac:dyDescent="0.25"/>
    <row r="56762" s="12" customFormat="1" x14ac:dyDescent="0.25"/>
    <row r="56763" s="12" customFormat="1" x14ac:dyDescent="0.25"/>
    <row r="56764" s="12" customFormat="1" x14ac:dyDescent="0.25"/>
    <row r="56765" s="12" customFormat="1" x14ac:dyDescent="0.25"/>
    <row r="56766" s="12" customFormat="1" x14ac:dyDescent="0.25"/>
    <row r="56767" s="12" customFormat="1" x14ac:dyDescent="0.25"/>
    <row r="56768" s="12" customFormat="1" x14ac:dyDescent="0.25"/>
    <row r="56769" s="12" customFormat="1" x14ac:dyDescent="0.25"/>
    <row r="56770" s="12" customFormat="1" x14ac:dyDescent="0.25"/>
    <row r="56771" s="12" customFormat="1" x14ac:dyDescent="0.25"/>
    <row r="56772" s="12" customFormat="1" x14ac:dyDescent="0.25"/>
    <row r="56773" s="12" customFormat="1" x14ac:dyDescent="0.25"/>
    <row r="56774" s="12" customFormat="1" x14ac:dyDescent="0.25"/>
    <row r="56775" s="12" customFormat="1" x14ac:dyDescent="0.25"/>
    <row r="56776" s="12" customFormat="1" x14ac:dyDescent="0.25"/>
    <row r="56777" s="12" customFormat="1" x14ac:dyDescent="0.25"/>
    <row r="56778" s="12" customFormat="1" x14ac:dyDescent="0.25"/>
    <row r="56779" s="12" customFormat="1" x14ac:dyDescent="0.25"/>
    <row r="56780" s="12" customFormat="1" x14ac:dyDescent="0.25"/>
    <row r="56781" s="12" customFormat="1" x14ac:dyDescent="0.25"/>
    <row r="56782" s="12" customFormat="1" x14ac:dyDescent="0.25"/>
    <row r="56783" s="12" customFormat="1" x14ac:dyDescent="0.25"/>
    <row r="56784" s="12" customFormat="1" x14ac:dyDescent="0.25"/>
    <row r="56785" s="12" customFormat="1" x14ac:dyDescent="0.25"/>
    <row r="56786" s="12" customFormat="1" x14ac:dyDescent="0.25"/>
    <row r="56787" s="12" customFormat="1" x14ac:dyDescent="0.25"/>
    <row r="56788" s="12" customFormat="1" x14ac:dyDescent="0.25"/>
    <row r="56789" s="12" customFormat="1" x14ac:dyDescent="0.25"/>
    <row r="56790" s="12" customFormat="1" x14ac:dyDescent="0.25"/>
    <row r="56791" s="12" customFormat="1" x14ac:dyDescent="0.25"/>
    <row r="56792" s="12" customFormat="1" x14ac:dyDescent="0.25"/>
    <row r="56793" s="12" customFormat="1" x14ac:dyDescent="0.25"/>
    <row r="56794" s="12" customFormat="1" x14ac:dyDescent="0.25"/>
    <row r="56795" s="12" customFormat="1" x14ac:dyDescent="0.25"/>
    <row r="56796" s="12" customFormat="1" x14ac:dyDescent="0.25"/>
    <row r="56797" s="12" customFormat="1" x14ac:dyDescent="0.25"/>
    <row r="56798" s="12" customFormat="1" x14ac:dyDescent="0.25"/>
    <row r="56799" s="12" customFormat="1" x14ac:dyDescent="0.25"/>
    <row r="56800" s="12" customFormat="1" x14ac:dyDescent="0.25"/>
    <row r="56801" s="12" customFormat="1" x14ac:dyDescent="0.25"/>
    <row r="56802" s="12" customFormat="1" x14ac:dyDescent="0.25"/>
    <row r="56803" s="12" customFormat="1" x14ac:dyDescent="0.25"/>
    <row r="56804" s="12" customFormat="1" x14ac:dyDescent="0.25"/>
    <row r="56805" s="12" customFormat="1" x14ac:dyDescent="0.25"/>
    <row r="56806" s="12" customFormat="1" x14ac:dyDescent="0.25"/>
    <row r="56807" s="12" customFormat="1" x14ac:dyDescent="0.25"/>
    <row r="56808" s="12" customFormat="1" x14ac:dyDescent="0.25"/>
    <row r="56809" s="12" customFormat="1" x14ac:dyDescent="0.25"/>
    <row r="56810" s="12" customFormat="1" x14ac:dyDescent="0.25"/>
    <row r="56811" s="12" customFormat="1" x14ac:dyDescent="0.25"/>
    <row r="56812" s="12" customFormat="1" x14ac:dyDescent="0.25"/>
    <row r="56813" s="12" customFormat="1" x14ac:dyDescent="0.25"/>
    <row r="56814" s="12" customFormat="1" x14ac:dyDescent="0.25"/>
    <row r="56815" s="12" customFormat="1" x14ac:dyDescent="0.25"/>
    <row r="56816" s="12" customFormat="1" x14ac:dyDescent="0.25"/>
    <row r="56817" s="12" customFormat="1" x14ac:dyDescent="0.25"/>
    <row r="56818" s="12" customFormat="1" x14ac:dyDescent="0.25"/>
    <row r="56819" s="12" customFormat="1" x14ac:dyDescent="0.25"/>
    <row r="56820" s="12" customFormat="1" x14ac:dyDescent="0.25"/>
    <row r="56821" s="12" customFormat="1" x14ac:dyDescent="0.25"/>
    <row r="56822" s="12" customFormat="1" x14ac:dyDescent="0.25"/>
    <row r="56823" s="12" customFormat="1" x14ac:dyDescent="0.25"/>
    <row r="56824" s="12" customFormat="1" x14ac:dyDescent="0.25"/>
    <row r="56825" s="12" customFormat="1" x14ac:dyDescent="0.25"/>
    <row r="56826" s="12" customFormat="1" x14ac:dyDescent="0.25"/>
    <row r="56827" s="12" customFormat="1" x14ac:dyDescent="0.25"/>
    <row r="56828" s="12" customFormat="1" x14ac:dyDescent="0.25"/>
    <row r="56829" s="12" customFormat="1" x14ac:dyDescent="0.25"/>
    <row r="56830" s="12" customFormat="1" x14ac:dyDescent="0.25"/>
    <row r="56831" s="12" customFormat="1" x14ac:dyDescent="0.25"/>
    <row r="56832" s="12" customFormat="1" x14ac:dyDescent="0.25"/>
    <row r="56833" s="12" customFormat="1" x14ac:dyDescent="0.25"/>
    <row r="56834" s="12" customFormat="1" x14ac:dyDescent="0.25"/>
    <row r="56835" s="12" customFormat="1" x14ac:dyDescent="0.25"/>
    <row r="56836" s="12" customFormat="1" x14ac:dyDescent="0.25"/>
    <row r="56837" s="12" customFormat="1" x14ac:dyDescent="0.25"/>
    <row r="56838" s="12" customFormat="1" x14ac:dyDescent="0.25"/>
    <row r="56839" s="12" customFormat="1" x14ac:dyDescent="0.25"/>
    <row r="56840" s="12" customFormat="1" x14ac:dyDescent="0.25"/>
    <row r="56841" s="12" customFormat="1" x14ac:dyDescent="0.25"/>
    <row r="56842" s="12" customFormat="1" x14ac:dyDescent="0.25"/>
    <row r="56843" s="12" customFormat="1" x14ac:dyDescent="0.25"/>
    <row r="56844" s="12" customFormat="1" x14ac:dyDescent="0.25"/>
    <row r="56845" s="12" customFormat="1" x14ac:dyDescent="0.25"/>
    <row r="56846" s="12" customFormat="1" x14ac:dyDescent="0.25"/>
    <row r="56847" s="12" customFormat="1" x14ac:dyDescent="0.25"/>
    <row r="56848" s="12" customFormat="1" x14ac:dyDescent="0.25"/>
    <row r="56849" s="12" customFormat="1" x14ac:dyDescent="0.25"/>
    <row r="56850" s="12" customFormat="1" x14ac:dyDescent="0.25"/>
    <row r="56851" s="12" customFormat="1" x14ac:dyDescent="0.25"/>
    <row r="56852" s="12" customFormat="1" x14ac:dyDescent="0.25"/>
    <row r="56853" s="12" customFormat="1" x14ac:dyDescent="0.25"/>
    <row r="56854" s="12" customFormat="1" x14ac:dyDescent="0.25"/>
    <row r="56855" s="12" customFormat="1" x14ac:dyDescent="0.25"/>
    <row r="56856" s="12" customFormat="1" x14ac:dyDescent="0.25"/>
    <row r="56857" s="12" customFormat="1" x14ac:dyDescent="0.25"/>
    <row r="56858" s="12" customFormat="1" x14ac:dyDescent="0.25"/>
    <row r="56859" s="12" customFormat="1" x14ac:dyDescent="0.25"/>
    <row r="56860" s="12" customFormat="1" x14ac:dyDescent="0.25"/>
    <row r="56861" s="12" customFormat="1" x14ac:dyDescent="0.25"/>
    <row r="56862" s="12" customFormat="1" x14ac:dyDescent="0.25"/>
    <row r="56863" s="12" customFormat="1" x14ac:dyDescent="0.25"/>
    <row r="56864" s="12" customFormat="1" x14ac:dyDescent="0.25"/>
    <row r="56865" s="12" customFormat="1" x14ac:dyDescent="0.25"/>
    <row r="56866" s="12" customFormat="1" x14ac:dyDescent="0.25"/>
    <row r="56867" s="12" customFormat="1" x14ac:dyDescent="0.25"/>
    <row r="56868" s="12" customFormat="1" x14ac:dyDescent="0.25"/>
    <row r="56869" s="12" customFormat="1" x14ac:dyDescent="0.25"/>
    <row r="56870" s="12" customFormat="1" x14ac:dyDescent="0.25"/>
    <row r="56871" s="12" customFormat="1" x14ac:dyDescent="0.25"/>
    <row r="56872" s="12" customFormat="1" x14ac:dyDescent="0.25"/>
    <row r="56873" s="12" customFormat="1" x14ac:dyDescent="0.25"/>
    <row r="56874" s="12" customFormat="1" x14ac:dyDescent="0.25"/>
    <row r="56875" s="12" customFormat="1" x14ac:dyDescent="0.25"/>
    <row r="56876" s="12" customFormat="1" x14ac:dyDescent="0.25"/>
    <row r="56877" s="12" customFormat="1" x14ac:dyDescent="0.25"/>
    <row r="56878" s="12" customFormat="1" x14ac:dyDescent="0.25"/>
    <row r="56879" s="12" customFormat="1" x14ac:dyDescent="0.25"/>
    <row r="56880" s="12" customFormat="1" x14ac:dyDescent="0.25"/>
    <row r="56881" s="12" customFormat="1" x14ac:dyDescent="0.25"/>
    <row r="56882" s="12" customFormat="1" x14ac:dyDescent="0.25"/>
    <row r="56883" s="12" customFormat="1" x14ac:dyDescent="0.25"/>
    <row r="56884" s="12" customFormat="1" x14ac:dyDescent="0.25"/>
    <row r="56885" s="12" customFormat="1" x14ac:dyDescent="0.25"/>
    <row r="56886" s="12" customFormat="1" x14ac:dyDescent="0.25"/>
    <row r="56887" s="12" customFormat="1" x14ac:dyDescent="0.25"/>
    <row r="56888" s="12" customFormat="1" x14ac:dyDescent="0.25"/>
    <row r="56889" s="12" customFormat="1" x14ac:dyDescent="0.25"/>
    <row r="56890" s="12" customFormat="1" x14ac:dyDescent="0.25"/>
    <row r="56891" s="12" customFormat="1" x14ac:dyDescent="0.25"/>
    <row r="56892" s="12" customFormat="1" x14ac:dyDescent="0.25"/>
    <row r="56893" s="12" customFormat="1" x14ac:dyDescent="0.25"/>
    <row r="56894" s="12" customFormat="1" x14ac:dyDescent="0.25"/>
    <row r="56895" s="12" customFormat="1" x14ac:dyDescent="0.25"/>
    <row r="56896" s="12" customFormat="1" x14ac:dyDescent="0.25"/>
    <row r="56897" s="12" customFormat="1" x14ac:dyDescent="0.25"/>
    <row r="56898" s="12" customFormat="1" x14ac:dyDescent="0.25"/>
    <row r="56899" s="12" customFormat="1" x14ac:dyDescent="0.25"/>
    <row r="56900" s="12" customFormat="1" x14ac:dyDescent="0.25"/>
    <row r="56901" s="12" customFormat="1" x14ac:dyDescent="0.25"/>
    <row r="56902" s="12" customFormat="1" x14ac:dyDescent="0.25"/>
    <row r="56903" s="12" customFormat="1" x14ac:dyDescent="0.25"/>
    <row r="56904" s="12" customFormat="1" x14ac:dyDescent="0.25"/>
    <row r="56905" s="12" customFormat="1" x14ac:dyDescent="0.25"/>
    <row r="56906" s="12" customFormat="1" x14ac:dyDescent="0.25"/>
    <row r="56907" s="12" customFormat="1" x14ac:dyDescent="0.25"/>
    <row r="56908" s="12" customFormat="1" x14ac:dyDescent="0.25"/>
    <row r="56909" s="12" customFormat="1" x14ac:dyDescent="0.25"/>
    <row r="56910" s="12" customFormat="1" x14ac:dyDescent="0.25"/>
    <row r="56911" s="12" customFormat="1" x14ac:dyDescent="0.25"/>
    <row r="56912" s="12" customFormat="1" x14ac:dyDescent="0.25"/>
    <row r="56913" s="12" customFormat="1" x14ac:dyDescent="0.25"/>
    <row r="56914" s="12" customFormat="1" x14ac:dyDescent="0.25"/>
    <row r="56915" s="12" customFormat="1" x14ac:dyDescent="0.25"/>
    <row r="56916" s="12" customFormat="1" x14ac:dyDescent="0.25"/>
    <row r="56917" s="12" customFormat="1" x14ac:dyDescent="0.25"/>
    <row r="56918" s="12" customFormat="1" x14ac:dyDescent="0.25"/>
    <row r="56919" s="12" customFormat="1" x14ac:dyDescent="0.25"/>
    <row r="56920" s="12" customFormat="1" x14ac:dyDescent="0.25"/>
    <row r="56921" s="12" customFormat="1" x14ac:dyDescent="0.25"/>
    <row r="56922" s="12" customFormat="1" x14ac:dyDescent="0.25"/>
    <row r="56923" s="12" customFormat="1" x14ac:dyDescent="0.25"/>
    <row r="56924" s="12" customFormat="1" x14ac:dyDescent="0.25"/>
    <row r="56925" s="12" customFormat="1" x14ac:dyDescent="0.25"/>
    <row r="56926" s="12" customFormat="1" x14ac:dyDescent="0.25"/>
    <row r="56927" s="12" customFormat="1" x14ac:dyDescent="0.25"/>
    <row r="56928" s="12" customFormat="1" x14ac:dyDescent="0.25"/>
    <row r="56929" s="12" customFormat="1" x14ac:dyDescent="0.25"/>
    <row r="56930" s="12" customFormat="1" x14ac:dyDescent="0.25"/>
    <row r="56931" s="12" customFormat="1" x14ac:dyDescent="0.25"/>
    <row r="56932" s="12" customFormat="1" x14ac:dyDescent="0.25"/>
    <row r="56933" s="12" customFormat="1" x14ac:dyDescent="0.25"/>
    <row r="56934" s="12" customFormat="1" x14ac:dyDescent="0.25"/>
    <row r="56935" s="12" customFormat="1" x14ac:dyDescent="0.25"/>
    <row r="56936" s="12" customFormat="1" x14ac:dyDescent="0.25"/>
    <row r="56937" s="12" customFormat="1" x14ac:dyDescent="0.25"/>
    <row r="56938" s="12" customFormat="1" x14ac:dyDescent="0.25"/>
    <row r="56939" s="12" customFormat="1" x14ac:dyDescent="0.25"/>
    <row r="56940" s="12" customFormat="1" x14ac:dyDescent="0.25"/>
    <row r="56941" s="12" customFormat="1" x14ac:dyDescent="0.25"/>
    <row r="56942" s="12" customFormat="1" x14ac:dyDescent="0.25"/>
    <row r="56943" s="12" customFormat="1" x14ac:dyDescent="0.25"/>
    <row r="56944" s="12" customFormat="1" x14ac:dyDescent="0.25"/>
    <row r="56945" s="12" customFormat="1" x14ac:dyDescent="0.25"/>
    <row r="56946" s="12" customFormat="1" x14ac:dyDescent="0.25"/>
    <row r="56947" s="12" customFormat="1" x14ac:dyDescent="0.25"/>
    <row r="56948" s="12" customFormat="1" x14ac:dyDescent="0.25"/>
    <row r="56949" s="12" customFormat="1" x14ac:dyDescent="0.25"/>
    <row r="56950" s="12" customFormat="1" x14ac:dyDescent="0.25"/>
    <row r="56951" s="12" customFormat="1" x14ac:dyDescent="0.25"/>
    <row r="56952" s="12" customFormat="1" x14ac:dyDescent="0.25"/>
    <row r="56953" s="12" customFormat="1" x14ac:dyDescent="0.25"/>
    <row r="56954" s="12" customFormat="1" x14ac:dyDescent="0.25"/>
    <row r="56955" s="12" customFormat="1" x14ac:dyDescent="0.25"/>
    <row r="56956" s="12" customFormat="1" x14ac:dyDescent="0.25"/>
    <row r="56957" s="12" customFormat="1" x14ac:dyDescent="0.25"/>
    <row r="56958" s="12" customFormat="1" x14ac:dyDescent="0.25"/>
    <row r="56959" s="12" customFormat="1" x14ac:dyDescent="0.25"/>
    <row r="56960" s="12" customFormat="1" x14ac:dyDescent="0.25"/>
    <row r="56961" s="12" customFormat="1" x14ac:dyDescent="0.25"/>
    <row r="56962" s="12" customFormat="1" x14ac:dyDescent="0.25"/>
    <row r="56963" s="12" customFormat="1" x14ac:dyDescent="0.25"/>
    <row r="56964" s="12" customFormat="1" x14ac:dyDescent="0.25"/>
    <row r="56965" s="12" customFormat="1" x14ac:dyDescent="0.25"/>
    <row r="56966" s="12" customFormat="1" x14ac:dyDescent="0.25"/>
    <row r="56967" s="12" customFormat="1" x14ac:dyDescent="0.25"/>
    <row r="56968" s="12" customFormat="1" x14ac:dyDescent="0.25"/>
    <row r="56969" s="12" customFormat="1" x14ac:dyDescent="0.25"/>
    <row r="56970" s="12" customFormat="1" x14ac:dyDescent="0.25"/>
    <row r="56971" s="12" customFormat="1" x14ac:dyDescent="0.25"/>
    <row r="56972" s="12" customFormat="1" x14ac:dyDescent="0.25"/>
    <row r="56973" s="12" customFormat="1" x14ac:dyDescent="0.25"/>
    <row r="56974" s="12" customFormat="1" x14ac:dyDescent="0.25"/>
    <row r="56975" s="12" customFormat="1" x14ac:dyDescent="0.25"/>
    <row r="56976" s="12" customFormat="1" x14ac:dyDescent="0.25"/>
    <row r="56977" s="12" customFormat="1" x14ac:dyDescent="0.25"/>
    <row r="56978" s="12" customFormat="1" x14ac:dyDescent="0.25"/>
    <row r="56979" s="12" customFormat="1" x14ac:dyDescent="0.25"/>
    <row r="56980" s="12" customFormat="1" x14ac:dyDescent="0.25"/>
    <row r="56981" s="12" customFormat="1" x14ac:dyDescent="0.25"/>
    <row r="56982" s="12" customFormat="1" x14ac:dyDescent="0.25"/>
    <row r="56983" s="12" customFormat="1" x14ac:dyDescent="0.25"/>
    <row r="56984" s="12" customFormat="1" x14ac:dyDescent="0.25"/>
    <row r="56985" s="12" customFormat="1" x14ac:dyDescent="0.25"/>
    <row r="56986" s="12" customFormat="1" x14ac:dyDescent="0.25"/>
    <row r="56987" s="12" customFormat="1" x14ac:dyDescent="0.25"/>
    <row r="56988" s="12" customFormat="1" x14ac:dyDescent="0.25"/>
    <row r="56989" s="12" customFormat="1" x14ac:dyDescent="0.25"/>
    <row r="56990" s="12" customFormat="1" x14ac:dyDescent="0.25"/>
    <row r="56991" s="12" customFormat="1" x14ac:dyDescent="0.25"/>
    <row r="56992" s="12" customFormat="1" x14ac:dyDescent="0.25"/>
    <row r="56993" s="12" customFormat="1" x14ac:dyDescent="0.25"/>
    <row r="56994" s="12" customFormat="1" x14ac:dyDescent="0.25"/>
    <row r="56995" s="12" customFormat="1" x14ac:dyDescent="0.25"/>
    <row r="56996" s="12" customFormat="1" x14ac:dyDescent="0.25"/>
    <row r="56997" s="12" customFormat="1" x14ac:dyDescent="0.25"/>
    <row r="56998" s="12" customFormat="1" x14ac:dyDescent="0.25"/>
    <row r="56999" s="12" customFormat="1" x14ac:dyDescent="0.25"/>
    <row r="57000" s="12" customFormat="1" x14ac:dyDescent="0.25"/>
    <row r="57001" s="12" customFormat="1" x14ac:dyDescent="0.25"/>
    <row r="57002" s="12" customFormat="1" x14ac:dyDescent="0.25"/>
    <row r="57003" s="12" customFormat="1" x14ac:dyDescent="0.25"/>
    <row r="57004" s="12" customFormat="1" x14ac:dyDescent="0.25"/>
    <row r="57005" s="12" customFormat="1" x14ac:dyDescent="0.25"/>
    <row r="57006" s="12" customFormat="1" x14ac:dyDescent="0.25"/>
    <row r="57007" s="12" customFormat="1" x14ac:dyDescent="0.25"/>
    <row r="57008" s="12" customFormat="1" x14ac:dyDescent="0.25"/>
    <row r="57009" s="12" customFormat="1" x14ac:dyDescent="0.25"/>
    <row r="57010" s="12" customFormat="1" x14ac:dyDescent="0.25"/>
    <row r="57011" s="12" customFormat="1" x14ac:dyDescent="0.25"/>
    <row r="57012" s="12" customFormat="1" x14ac:dyDescent="0.25"/>
    <row r="57013" s="12" customFormat="1" x14ac:dyDescent="0.25"/>
    <row r="57014" s="12" customFormat="1" x14ac:dyDescent="0.25"/>
    <row r="57015" s="12" customFormat="1" x14ac:dyDescent="0.25"/>
    <row r="57016" s="12" customFormat="1" x14ac:dyDescent="0.25"/>
    <row r="57017" s="12" customFormat="1" x14ac:dyDescent="0.25"/>
    <row r="57018" s="12" customFormat="1" x14ac:dyDescent="0.25"/>
    <row r="57019" s="12" customFormat="1" x14ac:dyDescent="0.25"/>
    <row r="57020" s="12" customFormat="1" x14ac:dyDescent="0.25"/>
    <row r="57021" s="12" customFormat="1" x14ac:dyDescent="0.25"/>
    <row r="57022" s="12" customFormat="1" x14ac:dyDescent="0.25"/>
    <row r="57023" s="12" customFormat="1" x14ac:dyDescent="0.25"/>
    <row r="57024" s="12" customFormat="1" x14ac:dyDescent="0.25"/>
    <row r="57025" s="12" customFormat="1" x14ac:dyDescent="0.25"/>
    <row r="57026" s="12" customFormat="1" x14ac:dyDescent="0.25"/>
    <row r="57027" s="12" customFormat="1" x14ac:dyDescent="0.25"/>
    <row r="57028" s="12" customFormat="1" x14ac:dyDescent="0.25"/>
    <row r="57029" s="12" customFormat="1" x14ac:dyDescent="0.25"/>
    <row r="57030" s="12" customFormat="1" x14ac:dyDescent="0.25"/>
    <row r="57031" s="12" customFormat="1" x14ac:dyDescent="0.25"/>
    <row r="57032" s="12" customFormat="1" x14ac:dyDescent="0.25"/>
    <row r="57033" s="12" customFormat="1" x14ac:dyDescent="0.25"/>
    <row r="57034" s="12" customFormat="1" x14ac:dyDescent="0.25"/>
    <row r="57035" s="12" customFormat="1" x14ac:dyDescent="0.25"/>
    <row r="57036" s="12" customFormat="1" x14ac:dyDescent="0.25"/>
    <row r="57037" s="12" customFormat="1" x14ac:dyDescent="0.25"/>
    <row r="57038" s="12" customFormat="1" x14ac:dyDescent="0.25"/>
    <row r="57039" s="12" customFormat="1" x14ac:dyDescent="0.25"/>
    <row r="57040" s="12" customFormat="1" x14ac:dyDescent="0.25"/>
    <row r="57041" s="12" customFormat="1" x14ac:dyDescent="0.25"/>
    <row r="57042" s="12" customFormat="1" x14ac:dyDescent="0.25"/>
    <row r="57043" s="12" customFormat="1" x14ac:dyDescent="0.25"/>
    <row r="57044" s="12" customFormat="1" x14ac:dyDescent="0.25"/>
    <row r="57045" s="12" customFormat="1" x14ac:dyDescent="0.25"/>
    <row r="57046" s="12" customFormat="1" x14ac:dyDescent="0.25"/>
    <row r="57047" s="12" customFormat="1" x14ac:dyDescent="0.25"/>
    <row r="57048" s="12" customFormat="1" x14ac:dyDescent="0.25"/>
    <row r="57049" s="12" customFormat="1" x14ac:dyDescent="0.25"/>
    <row r="57050" s="12" customFormat="1" x14ac:dyDescent="0.25"/>
    <row r="57051" s="12" customFormat="1" x14ac:dyDescent="0.25"/>
    <row r="57052" s="12" customFormat="1" x14ac:dyDescent="0.25"/>
    <row r="57053" s="12" customFormat="1" x14ac:dyDescent="0.25"/>
    <row r="57054" s="12" customFormat="1" x14ac:dyDescent="0.25"/>
    <row r="57055" s="12" customFormat="1" x14ac:dyDescent="0.25"/>
    <row r="57056" s="12" customFormat="1" x14ac:dyDescent="0.25"/>
    <row r="57057" s="12" customFormat="1" x14ac:dyDescent="0.25"/>
    <row r="57058" s="12" customFormat="1" x14ac:dyDescent="0.25"/>
    <row r="57059" s="12" customFormat="1" x14ac:dyDescent="0.25"/>
    <row r="57060" s="12" customFormat="1" x14ac:dyDescent="0.25"/>
    <row r="57061" s="12" customFormat="1" x14ac:dyDescent="0.25"/>
    <row r="57062" s="12" customFormat="1" x14ac:dyDescent="0.25"/>
    <row r="57063" s="12" customFormat="1" x14ac:dyDescent="0.25"/>
    <row r="57064" s="12" customFormat="1" x14ac:dyDescent="0.25"/>
    <row r="57065" s="12" customFormat="1" x14ac:dyDescent="0.25"/>
    <row r="57066" s="12" customFormat="1" x14ac:dyDescent="0.25"/>
    <row r="57067" s="12" customFormat="1" x14ac:dyDescent="0.25"/>
    <row r="57068" s="12" customFormat="1" x14ac:dyDescent="0.25"/>
    <row r="57069" s="12" customFormat="1" x14ac:dyDescent="0.25"/>
    <row r="57070" s="12" customFormat="1" x14ac:dyDescent="0.25"/>
    <row r="57071" s="12" customFormat="1" x14ac:dyDescent="0.25"/>
    <row r="57072" s="12" customFormat="1" x14ac:dyDescent="0.25"/>
    <row r="57073" s="12" customFormat="1" x14ac:dyDescent="0.25"/>
    <row r="57074" s="12" customFormat="1" x14ac:dyDescent="0.25"/>
    <row r="57075" s="12" customFormat="1" x14ac:dyDescent="0.25"/>
    <row r="57076" s="12" customFormat="1" x14ac:dyDescent="0.25"/>
    <row r="57077" s="12" customFormat="1" x14ac:dyDescent="0.25"/>
    <row r="57078" s="12" customFormat="1" x14ac:dyDescent="0.25"/>
    <row r="57079" s="12" customFormat="1" x14ac:dyDescent="0.25"/>
    <row r="57080" s="12" customFormat="1" x14ac:dyDescent="0.25"/>
    <row r="57081" s="12" customFormat="1" x14ac:dyDescent="0.25"/>
    <row r="57082" s="12" customFormat="1" x14ac:dyDescent="0.25"/>
    <row r="57083" s="12" customFormat="1" x14ac:dyDescent="0.25"/>
    <row r="57084" s="12" customFormat="1" x14ac:dyDescent="0.25"/>
    <row r="57085" s="12" customFormat="1" x14ac:dyDescent="0.25"/>
    <row r="57086" s="12" customFormat="1" x14ac:dyDescent="0.25"/>
    <row r="57087" s="12" customFormat="1" x14ac:dyDescent="0.25"/>
    <row r="57088" s="12" customFormat="1" x14ac:dyDescent="0.25"/>
    <row r="57089" s="12" customFormat="1" x14ac:dyDescent="0.25"/>
    <row r="57090" s="12" customFormat="1" x14ac:dyDescent="0.25"/>
    <row r="57091" s="12" customFormat="1" x14ac:dyDescent="0.25"/>
    <row r="57092" s="12" customFormat="1" x14ac:dyDescent="0.25"/>
    <row r="57093" s="12" customFormat="1" x14ac:dyDescent="0.25"/>
    <row r="57094" s="12" customFormat="1" x14ac:dyDescent="0.25"/>
    <row r="57095" s="12" customFormat="1" x14ac:dyDescent="0.25"/>
    <row r="57096" s="12" customFormat="1" x14ac:dyDescent="0.25"/>
    <row r="57097" s="12" customFormat="1" x14ac:dyDescent="0.25"/>
    <row r="57098" s="12" customFormat="1" x14ac:dyDescent="0.25"/>
    <row r="57099" s="12" customFormat="1" x14ac:dyDescent="0.25"/>
    <row r="57100" s="12" customFormat="1" x14ac:dyDescent="0.25"/>
    <row r="57101" s="12" customFormat="1" x14ac:dyDescent="0.25"/>
    <row r="57102" s="12" customFormat="1" x14ac:dyDescent="0.25"/>
    <row r="57103" s="12" customFormat="1" x14ac:dyDescent="0.25"/>
    <row r="57104" s="12" customFormat="1" x14ac:dyDescent="0.25"/>
    <row r="57105" s="12" customFormat="1" x14ac:dyDescent="0.25"/>
    <row r="57106" s="12" customFormat="1" x14ac:dyDescent="0.25"/>
    <row r="57107" s="12" customFormat="1" x14ac:dyDescent="0.25"/>
    <row r="57108" s="12" customFormat="1" x14ac:dyDescent="0.25"/>
    <row r="57109" s="12" customFormat="1" x14ac:dyDescent="0.25"/>
    <row r="57110" s="12" customFormat="1" x14ac:dyDescent="0.25"/>
    <row r="57111" s="12" customFormat="1" x14ac:dyDescent="0.25"/>
    <row r="57112" s="12" customFormat="1" x14ac:dyDescent="0.25"/>
    <row r="57113" s="12" customFormat="1" x14ac:dyDescent="0.25"/>
    <row r="57114" s="12" customFormat="1" x14ac:dyDescent="0.25"/>
    <row r="57115" s="12" customFormat="1" x14ac:dyDescent="0.25"/>
    <row r="57116" s="12" customFormat="1" x14ac:dyDescent="0.25"/>
    <row r="57117" s="12" customFormat="1" x14ac:dyDescent="0.25"/>
    <row r="57118" s="12" customFormat="1" x14ac:dyDescent="0.25"/>
    <row r="57119" s="12" customFormat="1" x14ac:dyDescent="0.25"/>
    <row r="57120" s="12" customFormat="1" x14ac:dyDescent="0.25"/>
    <row r="57121" s="12" customFormat="1" x14ac:dyDescent="0.25"/>
    <row r="57122" s="12" customFormat="1" x14ac:dyDescent="0.25"/>
    <row r="57123" s="12" customFormat="1" x14ac:dyDescent="0.25"/>
    <row r="57124" s="12" customFormat="1" x14ac:dyDescent="0.25"/>
    <row r="57125" s="12" customFormat="1" x14ac:dyDescent="0.25"/>
    <row r="57126" s="12" customFormat="1" x14ac:dyDescent="0.25"/>
    <row r="57127" s="12" customFormat="1" x14ac:dyDescent="0.25"/>
    <row r="57128" s="12" customFormat="1" x14ac:dyDescent="0.25"/>
    <row r="57129" s="12" customFormat="1" x14ac:dyDescent="0.25"/>
    <row r="57130" s="12" customFormat="1" x14ac:dyDescent="0.25"/>
    <row r="57131" s="12" customFormat="1" x14ac:dyDescent="0.25"/>
    <row r="57132" s="12" customFormat="1" x14ac:dyDescent="0.25"/>
    <row r="57133" s="12" customFormat="1" x14ac:dyDescent="0.25"/>
    <row r="57134" s="12" customFormat="1" x14ac:dyDescent="0.25"/>
    <row r="57135" s="12" customFormat="1" x14ac:dyDescent="0.25"/>
    <row r="57136" s="12" customFormat="1" x14ac:dyDescent="0.25"/>
    <row r="57137" s="12" customFormat="1" x14ac:dyDescent="0.25"/>
    <row r="57138" s="12" customFormat="1" x14ac:dyDescent="0.25"/>
    <row r="57139" s="12" customFormat="1" x14ac:dyDescent="0.25"/>
    <row r="57140" s="12" customFormat="1" x14ac:dyDescent="0.25"/>
    <row r="57141" s="12" customFormat="1" x14ac:dyDescent="0.25"/>
    <row r="57142" s="12" customFormat="1" x14ac:dyDescent="0.25"/>
    <row r="57143" s="12" customFormat="1" x14ac:dyDescent="0.25"/>
    <row r="57144" s="12" customFormat="1" x14ac:dyDescent="0.25"/>
    <row r="57145" s="12" customFormat="1" x14ac:dyDescent="0.25"/>
    <row r="57146" s="12" customFormat="1" x14ac:dyDescent="0.25"/>
    <row r="57147" s="12" customFormat="1" x14ac:dyDescent="0.25"/>
    <row r="57148" s="12" customFormat="1" x14ac:dyDescent="0.25"/>
    <row r="57149" s="12" customFormat="1" x14ac:dyDescent="0.25"/>
    <row r="57150" s="12" customFormat="1" x14ac:dyDescent="0.25"/>
    <row r="57151" s="12" customFormat="1" x14ac:dyDescent="0.25"/>
    <row r="57152" s="12" customFormat="1" x14ac:dyDescent="0.25"/>
    <row r="57153" s="12" customFormat="1" x14ac:dyDescent="0.25"/>
    <row r="57154" s="12" customFormat="1" x14ac:dyDescent="0.25"/>
    <row r="57155" s="12" customFormat="1" x14ac:dyDescent="0.25"/>
    <row r="57156" s="12" customFormat="1" x14ac:dyDescent="0.25"/>
    <row r="57157" s="12" customFormat="1" x14ac:dyDescent="0.25"/>
    <row r="57158" s="12" customFormat="1" x14ac:dyDescent="0.25"/>
    <row r="57159" s="12" customFormat="1" x14ac:dyDescent="0.25"/>
    <row r="57160" s="12" customFormat="1" x14ac:dyDescent="0.25"/>
    <row r="57161" s="12" customFormat="1" x14ac:dyDescent="0.25"/>
    <row r="57162" s="12" customFormat="1" x14ac:dyDescent="0.25"/>
    <row r="57163" s="12" customFormat="1" x14ac:dyDescent="0.25"/>
    <row r="57164" s="12" customFormat="1" x14ac:dyDescent="0.25"/>
    <row r="57165" s="12" customFormat="1" x14ac:dyDescent="0.25"/>
    <row r="57166" s="12" customFormat="1" x14ac:dyDescent="0.25"/>
    <row r="57167" s="12" customFormat="1" x14ac:dyDescent="0.25"/>
    <row r="57168" s="12" customFormat="1" x14ac:dyDescent="0.25"/>
    <row r="57169" s="12" customFormat="1" x14ac:dyDescent="0.25"/>
    <row r="57170" s="12" customFormat="1" x14ac:dyDescent="0.25"/>
    <row r="57171" s="12" customFormat="1" x14ac:dyDescent="0.25"/>
    <row r="57172" s="12" customFormat="1" x14ac:dyDescent="0.25"/>
    <row r="57173" s="12" customFormat="1" x14ac:dyDescent="0.25"/>
    <row r="57174" s="12" customFormat="1" x14ac:dyDescent="0.25"/>
    <row r="57175" s="12" customFormat="1" x14ac:dyDescent="0.25"/>
    <row r="57176" s="12" customFormat="1" x14ac:dyDescent="0.25"/>
    <row r="57177" s="12" customFormat="1" x14ac:dyDescent="0.25"/>
    <row r="57178" s="12" customFormat="1" x14ac:dyDescent="0.25"/>
    <row r="57179" s="12" customFormat="1" x14ac:dyDescent="0.25"/>
    <row r="57180" s="12" customFormat="1" x14ac:dyDescent="0.25"/>
    <row r="57181" s="12" customFormat="1" x14ac:dyDescent="0.25"/>
    <row r="57182" s="12" customFormat="1" x14ac:dyDescent="0.25"/>
    <row r="57183" s="12" customFormat="1" x14ac:dyDescent="0.25"/>
    <row r="57184" s="12" customFormat="1" x14ac:dyDescent="0.25"/>
    <row r="57185" s="12" customFormat="1" x14ac:dyDescent="0.25"/>
    <row r="57186" s="12" customFormat="1" x14ac:dyDescent="0.25"/>
    <row r="57187" s="12" customFormat="1" x14ac:dyDescent="0.25"/>
    <row r="57188" s="12" customFormat="1" x14ac:dyDescent="0.25"/>
    <row r="57189" s="12" customFormat="1" x14ac:dyDescent="0.25"/>
    <row r="57190" s="12" customFormat="1" x14ac:dyDescent="0.25"/>
    <row r="57191" s="12" customFormat="1" x14ac:dyDescent="0.25"/>
    <row r="57192" s="12" customFormat="1" x14ac:dyDescent="0.25"/>
    <row r="57193" s="12" customFormat="1" x14ac:dyDescent="0.25"/>
    <row r="57194" s="12" customFormat="1" x14ac:dyDescent="0.25"/>
    <row r="57195" s="12" customFormat="1" x14ac:dyDescent="0.25"/>
    <row r="57196" s="12" customFormat="1" x14ac:dyDescent="0.25"/>
    <row r="57197" s="12" customFormat="1" x14ac:dyDescent="0.25"/>
    <row r="57198" s="12" customFormat="1" x14ac:dyDescent="0.25"/>
    <row r="57199" s="12" customFormat="1" x14ac:dyDescent="0.25"/>
    <row r="57200" s="12" customFormat="1" x14ac:dyDescent="0.25"/>
    <row r="57201" s="12" customFormat="1" x14ac:dyDescent="0.25"/>
    <row r="57202" s="12" customFormat="1" x14ac:dyDescent="0.25"/>
    <row r="57203" s="12" customFormat="1" x14ac:dyDescent="0.25"/>
    <row r="57204" s="12" customFormat="1" x14ac:dyDescent="0.25"/>
    <row r="57205" s="12" customFormat="1" x14ac:dyDescent="0.25"/>
    <row r="57206" s="12" customFormat="1" x14ac:dyDescent="0.25"/>
    <row r="57207" s="12" customFormat="1" x14ac:dyDescent="0.25"/>
    <row r="57208" s="12" customFormat="1" x14ac:dyDescent="0.25"/>
    <row r="57209" s="12" customFormat="1" x14ac:dyDescent="0.25"/>
    <row r="57210" s="12" customFormat="1" x14ac:dyDescent="0.25"/>
    <row r="57211" s="12" customFormat="1" x14ac:dyDescent="0.25"/>
    <row r="57212" s="12" customFormat="1" x14ac:dyDescent="0.25"/>
    <row r="57213" s="12" customFormat="1" x14ac:dyDescent="0.25"/>
    <row r="57214" s="12" customFormat="1" x14ac:dyDescent="0.25"/>
    <row r="57215" s="12" customFormat="1" x14ac:dyDescent="0.25"/>
    <row r="57216" s="12" customFormat="1" x14ac:dyDescent="0.25"/>
    <row r="57217" s="12" customFormat="1" x14ac:dyDescent="0.25"/>
    <row r="57218" s="12" customFormat="1" x14ac:dyDescent="0.25"/>
    <row r="57219" s="12" customFormat="1" x14ac:dyDescent="0.25"/>
    <row r="57220" s="12" customFormat="1" x14ac:dyDescent="0.25"/>
    <row r="57221" s="12" customFormat="1" x14ac:dyDescent="0.25"/>
    <row r="57222" s="12" customFormat="1" x14ac:dyDescent="0.25"/>
    <row r="57223" s="12" customFormat="1" x14ac:dyDescent="0.25"/>
    <row r="57224" s="12" customFormat="1" x14ac:dyDescent="0.25"/>
    <row r="57225" s="12" customFormat="1" x14ac:dyDescent="0.25"/>
    <row r="57226" s="12" customFormat="1" x14ac:dyDescent="0.25"/>
    <row r="57227" s="12" customFormat="1" x14ac:dyDescent="0.25"/>
    <row r="57228" s="12" customFormat="1" x14ac:dyDescent="0.25"/>
    <row r="57229" s="12" customFormat="1" x14ac:dyDescent="0.25"/>
    <row r="57230" s="12" customFormat="1" x14ac:dyDescent="0.25"/>
    <row r="57231" s="12" customFormat="1" x14ac:dyDescent="0.25"/>
    <row r="57232" s="12" customFormat="1" x14ac:dyDescent="0.25"/>
    <row r="57233" s="12" customFormat="1" x14ac:dyDescent="0.25"/>
    <row r="57234" s="12" customFormat="1" x14ac:dyDescent="0.25"/>
    <row r="57235" s="12" customFormat="1" x14ac:dyDescent="0.25"/>
    <row r="57236" s="12" customFormat="1" x14ac:dyDescent="0.25"/>
    <row r="57237" s="12" customFormat="1" x14ac:dyDescent="0.25"/>
    <row r="57238" s="12" customFormat="1" x14ac:dyDescent="0.25"/>
    <row r="57239" s="12" customFormat="1" x14ac:dyDescent="0.25"/>
    <row r="57240" s="12" customFormat="1" x14ac:dyDescent="0.25"/>
    <row r="57241" s="12" customFormat="1" x14ac:dyDescent="0.25"/>
    <row r="57242" s="12" customFormat="1" x14ac:dyDescent="0.25"/>
    <row r="57243" s="12" customFormat="1" x14ac:dyDescent="0.25"/>
    <row r="57244" s="12" customFormat="1" x14ac:dyDescent="0.25"/>
    <row r="57245" s="12" customFormat="1" x14ac:dyDescent="0.25"/>
    <row r="57246" s="12" customFormat="1" x14ac:dyDescent="0.25"/>
    <row r="57247" s="12" customFormat="1" x14ac:dyDescent="0.25"/>
    <row r="57248" s="12" customFormat="1" x14ac:dyDescent="0.25"/>
    <row r="57249" s="12" customFormat="1" x14ac:dyDescent="0.25"/>
    <row r="57250" s="12" customFormat="1" x14ac:dyDescent="0.25"/>
    <row r="57251" s="12" customFormat="1" x14ac:dyDescent="0.25"/>
    <row r="57252" s="12" customFormat="1" x14ac:dyDescent="0.25"/>
    <row r="57253" s="12" customFormat="1" x14ac:dyDescent="0.25"/>
    <row r="57254" s="12" customFormat="1" x14ac:dyDescent="0.25"/>
    <row r="57255" s="12" customFormat="1" x14ac:dyDescent="0.25"/>
    <row r="57256" s="12" customFormat="1" x14ac:dyDescent="0.25"/>
    <row r="57257" s="12" customFormat="1" x14ac:dyDescent="0.25"/>
    <row r="57258" s="12" customFormat="1" x14ac:dyDescent="0.25"/>
    <row r="57259" s="12" customFormat="1" x14ac:dyDescent="0.25"/>
    <row r="57260" s="12" customFormat="1" x14ac:dyDescent="0.25"/>
    <row r="57261" s="12" customFormat="1" x14ac:dyDescent="0.25"/>
    <row r="57262" s="12" customFormat="1" x14ac:dyDescent="0.25"/>
    <row r="57263" s="12" customFormat="1" x14ac:dyDescent="0.25"/>
    <row r="57264" s="12" customFormat="1" x14ac:dyDescent="0.25"/>
    <row r="57265" s="12" customFormat="1" x14ac:dyDescent="0.25"/>
    <row r="57266" s="12" customFormat="1" x14ac:dyDescent="0.25"/>
    <row r="57267" s="12" customFormat="1" x14ac:dyDescent="0.25"/>
    <row r="57268" s="12" customFormat="1" x14ac:dyDescent="0.25"/>
    <row r="57269" s="12" customFormat="1" x14ac:dyDescent="0.25"/>
    <row r="57270" s="12" customFormat="1" x14ac:dyDescent="0.25"/>
    <row r="57271" s="12" customFormat="1" x14ac:dyDescent="0.25"/>
    <row r="57272" s="12" customFormat="1" x14ac:dyDescent="0.25"/>
    <row r="57273" s="12" customFormat="1" x14ac:dyDescent="0.25"/>
    <row r="57274" s="12" customFormat="1" x14ac:dyDescent="0.25"/>
    <row r="57275" s="12" customFormat="1" x14ac:dyDescent="0.25"/>
    <row r="57276" s="12" customFormat="1" x14ac:dyDescent="0.25"/>
    <row r="57277" s="12" customFormat="1" x14ac:dyDescent="0.25"/>
    <row r="57278" s="12" customFormat="1" x14ac:dyDescent="0.25"/>
    <row r="57279" s="12" customFormat="1" x14ac:dyDescent="0.25"/>
    <row r="57280" s="12" customFormat="1" x14ac:dyDescent="0.25"/>
    <row r="57281" s="12" customFormat="1" x14ac:dyDescent="0.25"/>
    <row r="57282" s="12" customFormat="1" x14ac:dyDescent="0.25"/>
    <row r="57283" s="12" customFormat="1" x14ac:dyDescent="0.25"/>
    <row r="57284" s="12" customFormat="1" x14ac:dyDescent="0.25"/>
    <row r="57285" s="12" customFormat="1" x14ac:dyDescent="0.25"/>
    <row r="57286" s="12" customFormat="1" x14ac:dyDescent="0.25"/>
    <row r="57287" s="12" customFormat="1" x14ac:dyDescent="0.25"/>
    <row r="57288" s="12" customFormat="1" x14ac:dyDescent="0.25"/>
    <row r="57289" s="12" customFormat="1" x14ac:dyDescent="0.25"/>
    <row r="57290" s="12" customFormat="1" x14ac:dyDescent="0.25"/>
    <row r="57291" s="12" customFormat="1" x14ac:dyDescent="0.25"/>
    <row r="57292" s="12" customFormat="1" x14ac:dyDescent="0.25"/>
    <row r="57293" s="12" customFormat="1" x14ac:dyDescent="0.25"/>
    <row r="57294" s="12" customFormat="1" x14ac:dyDescent="0.25"/>
    <row r="57295" s="12" customFormat="1" x14ac:dyDescent="0.25"/>
    <row r="57296" s="12" customFormat="1" x14ac:dyDescent="0.25"/>
    <row r="57297" s="12" customFormat="1" x14ac:dyDescent="0.25"/>
    <row r="57298" s="12" customFormat="1" x14ac:dyDescent="0.25"/>
    <row r="57299" s="12" customFormat="1" x14ac:dyDescent="0.25"/>
    <row r="57300" s="12" customFormat="1" x14ac:dyDescent="0.25"/>
    <row r="57301" s="12" customFormat="1" x14ac:dyDescent="0.25"/>
    <row r="57302" s="12" customFormat="1" x14ac:dyDescent="0.25"/>
    <row r="57303" s="12" customFormat="1" x14ac:dyDescent="0.25"/>
    <row r="57304" s="12" customFormat="1" x14ac:dyDescent="0.25"/>
    <row r="57305" s="12" customFormat="1" x14ac:dyDescent="0.25"/>
    <row r="57306" s="12" customFormat="1" x14ac:dyDescent="0.25"/>
    <row r="57307" s="12" customFormat="1" x14ac:dyDescent="0.25"/>
    <row r="57308" s="12" customFormat="1" x14ac:dyDescent="0.25"/>
    <row r="57309" s="12" customFormat="1" x14ac:dyDescent="0.25"/>
    <row r="57310" s="12" customFormat="1" x14ac:dyDescent="0.25"/>
    <row r="57311" s="12" customFormat="1" x14ac:dyDescent="0.25"/>
    <row r="57312" s="12" customFormat="1" x14ac:dyDescent="0.25"/>
    <row r="57313" s="12" customFormat="1" x14ac:dyDescent="0.25"/>
    <row r="57314" s="12" customFormat="1" x14ac:dyDescent="0.25"/>
    <row r="57315" s="12" customFormat="1" x14ac:dyDescent="0.25"/>
    <row r="57316" s="12" customFormat="1" x14ac:dyDescent="0.25"/>
    <row r="57317" s="12" customFormat="1" x14ac:dyDescent="0.25"/>
    <row r="57318" s="12" customFormat="1" x14ac:dyDescent="0.25"/>
    <row r="57319" s="12" customFormat="1" x14ac:dyDescent="0.25"/>
    <row r="57320" s="12" customFormat="1" x14ac:dyDescent="0.25"/>
    <row r="57321" s="12" customFormat="1" x14ac:dyDescent="0.25"/>
    <row r="57322" s="12" customFormat="1" x14ac:dyDescent="0.25"/>
    <row r="57323" s="12" customFormat="1" x14ac:dyDescent="0.25"/>
    <row r="57324" s="12" customFormat="1" x14ac:dyDescent="0.25"/>
    <row r="57325" s="12" customFormat="1" x14ac:dyDescent="0.25"/>
    <row r="57326" s="12" customFormat="1" x14ac:dyDescent="0.25"/>
    <row r="57327" s="12" customFormat="1" x14ac:dyDescent="0.25"/>
    <row r="57328" s="12" customFormat="1" x14ac:dyDescent="0.25"/>
    <row r="57329" s="12" customFormat="1" x14ac:dyDescent="0.25"/>
    <row r="57330" s="12" customFormat="1" x14ac:dyDescent="0.25"/>
    <row r="57331" s="12" customFormat="1" x14ac:dyDescent="0.25"/>
    <row r="57332" s="12" customFormat="1" x14ac:dyDescent="0.25"/>
    <row r="57333" s="12" customFormat="1" x14ac:dyDescent="0.25"/>
    <row r="57334" s="12" customFormat="1" x14ac:dyDescent="0.25"/>
    <row r="57335" s="12" customFormat="1" x14ac:dyDescent="0.25"/>
    <row r="57336" s="12" customFormat="1" x14ac:dyDescent="0.25"/>
    <row r="57337" s="12" customFormat="1" x14ac:dyDescent="0.25"/>
    <row r="57338" s="12" customFormat="1" x14ac:dyDescent="0.25"/>
    <row r="57339" s="12" customFormat="1" x14ac:dyDescent="0.25"/>
    <row r="57340" s="12" customFormat="1" x14ac:dyDescent="0.25"/>
    <row r="57341" s="12" customFormat="1" x14ac:dyDescent="0.25"/>
    <row r="57342" s="12" customFormat="1" x14ac:dyDescent="0.25"/>
    <row r="57343" s="12" customFormat="1" x14ac:dyDescent="0.25"/>
    <row r="57344" s="12" customFormat="1" x14ac:dyDescent="0.25"/>
    <row r="57345" s="12" customFormat="1" x14ac:dyDescent="0.25"/>
    <row r="57346" s="12" customFormat="1" x14ac:dyDescent="0.25"/>
    <row r="57347" s="12" customFormat="1" x14ac:dyDescent="0.25"/>
    <row r="57348" s="12" customFormat="1" x14ac:dyDescent="0.25"/>
    <row r="57349" s="12" customFormat="1" x14ac:dyDescent="0.25"/>
    <row r="57350" s="12" customFormat="1" x14ac:dyDescent="0.25"/>
    <row r="57351" s="12" customFormat="1" x14ac:dyDescent="0.25"/>
    <row r="57352" s="12" customFormat="1" x14ac:dyDescent="0.25"/>
    <row r="57353" s="12" customFormat="1" x14ac:dyDescent="0.25"/>
    <row r="57354" s="12" customFormat="1" x14ac:dyDescent="0.25"/>
    <row r="57355" s="12" customFormat="1" x14ac:dyDescent="0.25"/>
    <row r="57356" s="12" customFormat="1" x14ac:dyDescent="0.25"/>
    <row r="57357" s="12" customFormat="1" x14ac:dyDescent="0.25"/>
    <row r="57358" s="12" customFormat="1" x14ac:dyDescent="0.25"/>
    <row r="57359" s="12" customFormat="1" x14ac:dyDescent="0.25"/>
    <row r="57360" s="12" customFormat="1" x14ac:dyDescent="0.25"/>
    <row r="57361" s="12" customFormat="1" x14ac:dyDescent="0.25"/>
    <row r="57362" s="12" customFormat="1" x14ac:dyDescent="0.25"/>
    <row r="57363" s="12" customFormat="1" x14ac:dyDescent="0.25"/>
    <row r="57364" s="12" customFormat="1" x14ac:dyDescent="0.25"/>
    <row r="57365" s="12" customFormat="1" x14ac:dyDescent="0.25"/>
    <row r="57366" s="12" customFormat="1" x14ac:dyDescent="0.25"/>
    <row r="57367" s="12" customFormat="1" x14ac:dyDescent="0.25"/>
    <row r="57368" s="12" customFormat="1" x14ac:dyDescent="0.25"/>
    <row r="57369" s="12" customFormat="1" x14ac:dyDescent="0.25"/>
    <row r="57370" s="12" customFormat="1" x14ac:dyDescent="0.25"/>
    <row r="57371" s="12" customFormat="1" x14ac:dyDescent="0.25"/>
    <row r="57372" s="12" customFormat="1" x14ac:dyDescent="0.25"/>
    <row r="57373" s="12" customFormat="1" x14ac:dyDescent="0.25"/>
    <row r="57374" s="12" customFormat="1" x14ac:dyDescent="0.25"/>
    <row r="57375" s="12" customFormat="1" x14ac:dyDescent="0.25"/>
    <row r="57376" s="12" customFormat="1" x14ac:dyDescent="0.25"/>
    <row r="57377" s="12" customFormat="1" x14ac:dyDescent="0.25"/>
    <row r="57378" s="12" customFormat="1" x14ac:dyDescent="0.25"/>
    <row r="57379" s="12" customFormat="1" x14ac:dyDescent="0.25"/>
    <row r="57380" s="12" customFormat="1" x14ac:dyDescent="0.25"/>
    <row r="57381" s="12" customFormat="1" x14ac:dyDescent="0.25"/>
    <row r="57382" s="12" customFormat="1" x14ac:dyDescent="0.25"/>
    <row r="57383" s="12" customFormat="1" x14ac:dyDescent="0.25"/>
    <row r="57384" s="12" customFormat="1" x14ac:dyDescent="0.25"/>
    <row r="57385" s="12" customFormat="1" x14ac:dyDescent="0.25"/>
    <row r="57386" s="12" customFormat="1" x14ac:dyDescent="0.25"/>
    <row r="57387" s="12" customFormat="1" x14ac:dyDescent="0.25"/>
    <row r="57388" s="12" customFormat="1" x14ac:dyDescent="0.25"/>
    <row r="57389" s="12" customFormat="1" x14ac:dyDescent="0.25"/>
    <row r="57390" s="12" customFormat="1" x14ac:dyDescent="0.25"/>
    <row r="57391" s="12" customFormat="1" x14ac:dyDescent="0.25"/>
    <row r="57392" s="12" customFormat="1" x14ac:dyDescent="0.25"/>
    <row r="57393" s="12" customFormat="1" x14ac:dyDescent="0.25"/>
    <row r="57394" s="12" customFormat="1" x14ac:dyDescent="0.25"/>
    <row r="57395" s="12" customFormat="1" x14ac:dyDescent="0.25"/>
    <row r="57396" s="12" customFormat="1" x14ac:dyDescent="0.25"/>
    <row r="57397" s="12" customFormat="1" x14ac:dyDescent="0.25"/>
    <row r="57398" s="12" customFormat="1" x14ac:dyDescent="0.25"/>
    <row r="57399" s="12" customFormat="1" x14ac:dyDescent="0.25"/>
    <row r="57400" s="12" customFormat="1" x14ac:dyDescent="0.25"/>
    <row r="57401" s="12" customFormat="1" x14ac:dyDescent="0.25"/>
    <row r="57402" s="12" customFormat="1" x14ac:dyDescent="0.25"/>
    <row r="57403" s="12" customFormat="1" x14ac:dyDescent="0.25"/>
    <row r="57404" s="12" customFormat="1" x14ac:dyDescent="0.25"/>
    <row r="57405" s="12" customFormat="1" x14ac:dyDescent="0.25"/>
    <row r="57406" s="12" customFormat="1" x14ac:dyDescent="0.25"/>
    <row r="57407" s="12" customFormat="1" x14ac:dyDescent="0.25"/>
    <row r="57408" s="12" customFormat="1" x14ac:dyDescent="0.25"/>
    <row r="57409" s="12" customFormat="1" x14ac:dyDescent="0.25"/>
    <row r="57410" s="12" customFormat="1" x14ac:dyDescent="0.25"/>
    <row r="57411" s="12" customFormat="1" x14ac:dyDescent="0.25"/>
    <row r="57412" s="12" customFormat="1" x14ac:dyDescent="0.25"/>
    <row r="57413" s="12" customFormat="1" x14ac:dyDescent="0.25"/>
    <row r="57414" s="12" customFormat="1" x14ac:dyDescent="0.25"/>
    <row r="57415" s="12" customFormat="1" x14ac:dyDescent="0.25"/>
    <row r="57416" s="12" customFormat="1" x14ac:dyDescent="0.25"/>
    <row r="57417" s="12" customFormat="1" x14ac:dyDescent="0.25"/>
    <row r="57418" s="12" customFormat="1" x14ac:dyDescent="0.25"/>
    <row r="57419" s="12" customFormat="1" x14ac:dyDescent="0.25"/>
    <row r="57420" s="12" customFormat="1" x14ac:dyDescent="0.25"/>
    <row r="57421" s="12" customFormat="1" x14ac:dyDescent="0.25"/>
    <row r="57422" s="12" customFormat="1" x14ac:dyDescent="0.25"/>
    <row r="57423" s="12" customFormat="1" x14ac:dyDescent="0.25"/>
    <row r="57424" s="12" customFormat="1" x14ac:dyDescent="0.25"/>
    <row r="57425" s="12" customFormat="1" x14ac:dyDescent="0.25"/>
    <row r="57426" s="12" customFormat="1" x14ac:dyDescent="0.25"/>
    <row r="57427" s="12" customFormat="1" x14ac:dyDescent="0.25"/>
    <row r="57428" s="12" customFormat="1" x14ac:dyDescent="0.25"/>
    <row r="57429" s="12" customFormat="1" x14ac:dyDescent="0.25"/>
    <row r="57430" s="12" customFormat="1" x14ac:dyDescent="0.25"/>
    <row r="57431" s="12" customFormat="1" x14ac:dyDescent="0.25"/>
    <row r="57432" s="12" customFormat="1" x14ac:dyDescent="0.25"/>
    <row r="57433" s="12" customFormat="1" x14ac:dyDescent="0.25"/>
    <row r="57434" s="12" customFormat="1" x14ac:dyDescent="0.25"/>
    <row r="57435" s="12" customFormat="1" x14ac:dyDescent="0.25"/>
    <row r="57436" s="12" customFormat="1" x14ac:dyDescent="0.25"/>
    <row r="57437" s="12" customFormat="1" x14ac:dyDescent="0.25"/>
    <row r="57438" s="12" customFormat="1" x14ac:dyDescent="0.25"/>
    <row r="57439" s="12" customFormat="1" x14ac:dyDescent="0.25"/>
    <row r="57440" s="12" customFormat="1" x14ac:dyDescent="0.25"/>
    <row r="57441" s="12" customFormat="1" x14ac:dyDescent="0.25"/>
    <row r="57442" s="12" customFormat="1" x14ac:dyDescent="0.25"/>
    <row r="57443" s="12" customFormat="1" x14ac:dyDescent="0.25"/>
    <row r="57444" s="12" customFormat="1" x14ac:dyDescent="0.25"/>
    <row r="57445" s="12" customFormat="1" x14ac:dyDescent="0.25"/>
    <row r="57446" s="12" customFormat="1" x14ac:dyDescent="0.25"/>
    <row r="57447" s="12" customFormat="1" x14ac:dyDescent="0.25"/>
    <row r="57448" s="12" customFormat="1" x14ac:dyDescent="0.25"/>
    <row r="57449" s="12" customFormat="1" x14ac:dyDescent="0.25"/>
    <row r="57450" s="12" customFormat="1" x14ac:dyDescent="0.25"/>
    <row r="57451" s="12" customFormat="1" x14ac:dyDescent="0.25"/>
    <row r="57452" s="12" customFormat="1" x14ac:dyDescent="0.25"/>
    <row r="57453" s="12" customFormat="1" x14ac:dyDescent="0.25"/>
    <row r="57454" s="12" customFormat="1" x14ac:dyDescent="0.25"/>
    <row r="57455" s="12" customFormat="1" x14ac:dyDescent="0.25"/>
    <row r="57456" s="12" customFormat="1" x14ac:dyDescent="0.25"/>
    <row r="57457" s="12" customFormat="1" x14ac:dyDescent="0.25"/>
    <row r="57458" s="12" customFormat="1" x14ac:dyDescent="0.25"/>
    <row r="57459" s="12" customFormat="1" x14ac:dyDescent="0.25"/>
    <row r="57460" s="12" customFormat="1" x14ac:dyDescent="0.25"/>
    <row r="57461" s="12" customFormat="1" x14ac:dyDescent="0.25"/>
    <row r="57462" s="12" customFormat="1" x14ac:dyDescent="0.25"/>
    <row r="57463" s="12" customFormat="1" x14ac:dyDescent="0.25"/>
    <row r="57464" s="12" customFormat="1" x14ac:dyDescent="0.25"/>
    <row r="57465" s="12" customFormat="1" x14ac:dyDescent="0.25"/>
    <row r="57466" s="12" customFormat="1" x14ac:dyDescent="0.25"/>
    <row r="57467" s="12" customFormat="1" x14ac:dyDescent="0.25"/>
    <row r="57468" s="12" customFormat="1" x14ac:dyDescent="0.25"/>
    <row r="57469" s="12" customFormat="1" x14ac:dyDescent="0.25"/>
    <row r="57470" s="12" customFormat="1" x14ac:dyDescent="0.25"/>
    <row r="57471" s="12" customFormat="1" x14ac:dyDescent="0.25"/>
    <row r="57472" s="12" customFormat="1" x14ac:dyDescent="0.25"/>
    <row r="57473" s="12" customFormat="1" x14ac:dyDescent="0.25"/>
    <row r="57474" s="12" customFormat="1" x14ac:dyDescent="0.25"/>
    <row r="57475" s="12" customFormat="1" x14ac:dyDescent="0.25"/>
    <row r="57476" s="12" customFormat="1" x14ac:dyDescent="0.25"/>
    <row r="57477" s="12" customFormat="1" x14ac:dyDescent="0.25"/>
    <row r="57478" s="12" customFormat="1" x14ac:dyDescent="0.25"/>
    <row r="57479" s="12" customFormat="1" x14ac:dyDescent="0.25"/>
    <row r="57480" s="12" customFormat="1" x14ac:dyDescent="0.25"/>
    <row r="57481" s="12" customFormat="1" x14ac:dyDescent="0.25"/>
    <row r="57482" s="12" customFormat="1" x14ac:dyDescent="0.25"/>
    <row r="57483" s="12" customFormat="1" x14ac:dyDescent="0.25"/>
    <row r="57484" s="12" customFormat="1" x14ac:dyDescent="0.25"/>
    <row r="57485" s="12" customFormat="1" x14ac:dyDescent="0.25"/>
    <row r="57486" s="12" customFormat="1" x14ac:dyDescent="0.25"/>
    <row r="57487" s="12" customFormat="1" x14ac:dyDescent="0.25"/>
    <row r="57488" s="12" customFormat="1" x14ac:dyDescent="0.25"/>
    <row r="57489" s="12" customFormat="1" x14ac:dyDescent="0.25"/>
    <row r="57490" s="12" customFormat="1" x14ac:dyDescent="0.25"/>
    <row r="57491" s="12" customFormat="1" x14ac:dyDescent="0.25"/>
    <row r="57492" s="12" customFormat="1" x14ac:dyDescent="0.25"/>
    <row r="57493" s="12" customFormat="1" x14ac:dyDescent="0.25"/>
    <row r="57494" s="12" customFormat="1" x14ac:dyDescent="0.25"/>
    <row r="57495" s="12" customFormat="1" x14ac:dyDescent="0.25"/>
    <row r="57496" s="12" customFormat="1" x14ac:dyDescent="0.25"/>
    <row r="57497" s="12" customFormat="1" x14ac:dyDescent="0.25"/>
    <row r="57498" s="12" customFormat="1" x14ac:dyDescent="0.25"/>
    <row r="57499" s="12" customFormat="1" x14ac:dyDescent="0.25"/>
    <row r="57500" s="12" customFormat="1" x14ac:dyDescent="0.25"/>
    <row r="57501" s="12" customFormat="1" x14ac:dyDescent="0.25"/>
    <row r="57502" s="12" customFormat="1" x14ac:dyDescent="0.25"/>
    <row r="57503" s="12" customFormat="1" x14ac:dyDescent="0.25"/>
    <row r="57504" s="12" customFormat="1" x14ac:dyDescent="0.25"/>
    <row r="57505" s="12" customFormat="1" x14ac:dyDescent="0.25"/>
    <row r="57506" s="12" customFormat="1" x14ac:dyDescent="0.25"/>
    <row r="57507" s="12" customFormat="1" x14ac:dyDescent="0.25"/>
    <row r="57508" s="12" customFormat="1" x14ac:dyDescent="0.25"/>
    <row r="57509" s="12" customFormat="1" x14ac:dyDescent="0.25"/>
    <row r="57510" s="12" customFormat="1" x14ac:dyDescent="0.25"/>
    <row r="57511" s="12" customFormat="1" x14ac:dyDescent="0.25"/>
    <row r="57512" s="12" customFormat="1" x14ac:dyDescent="0.25"/>
    <row r="57513" s="12" customFormat="1" x14ac:dyDescent="0.25"/>
    <row r="57514" s="12" customFormat="1" x14ac:dyDescent="0.25"/>
    <row r="57515" s="12" customFormat="1" x14ac:dyDescent="0.25"/>
    <row r="57516" s="12" customFormat="1" x14ac:dyDescent="0.25"/>
    <row r="57517" s="12" customFormat="1" x14ac:dyDescent="0.25"/>
    <row r="57518" s="12" customFormat="1" x14ac:dyDescent="0.25"/>
    <row r="57519" s="12" customFormat="1" x14ac:dyDescent="0.25"/>
    <row r="57520" s="12" customFormat="1" x14ac:dyDescent="0.25"/>
    <row r="57521" s="12" customFormat="1" x14ac:dyDescent="0.25"/>
    <row r="57522" s="12" customFormat="1" x14ac:dyDescent="0.25"/>
    <row r="57523" s="12" customFormat="1" x14ac:dyDescent="0.25"/>
    <row r="57524" s="12" customFormat="1" x14ac:dyDescent="0.25"/>
    <row r="57525" s="12" customFormat="1" x14ac:dyDescent="0.25"/>
    <row r="57526" s="12" customFormat="1" x14ac:dyDescent="0.25"/>
    <row r="57527" s="12" customFormat="1" x14ac:dyDescent="0.25"/>
    <row r="57528" s="12" customFormat="1" x14ac:dyDescent="0.25"/>
    <row r="57529" s="12" customFormat="1" x14ac:dyDescent="0.25"/>
    <row r="57530" s="12" customFormat="1" x14ac:dyDescent="0.25"/>
    <row r="57531" s="12" customFormat="1" x14ac:dyDescent="0.25"/>
    <row r="57532" s="12" customFormat="1" x14ac:dyDescent="0.25"/>
    <row r="57533" s="12" customFormat="1" x14ac:dyDescent="0.25"/>
    <row r="57534" s="12" customFormat="1" x14ac:dyDescent="0.25"/>
    <row r="57535" s="12" customFormat="1" x14ac:dyDescent="0.25"/>
    <row r="57536" s="12" customFormat="1" x14ac:dyDescent="0.25"/>
    <row r="57537" s="12" customFormat="1" x14ac:dyDescent="0.25"/>
    <row r="57538" s="12" customFormat="1" x14ac:dyDescent="0.25"/>
    <row r="57539" s="12" customFormat="1" x14ac:dyDescent="0.25"/>
    <row r="57540" s="12" customFormat="1" x14ac:dyDescent="0.25"/>
    <row r="57541" s="12" customFormat="1" x14ac:dyDescent="0.25"/>
    <row r="57542" s="12" customFormat="1" x14ac:dyDescent="0.25"/>
    <row r="57543" s="12" customFormat="1" x14ac:dyDescent="0.25"/>
    <row r="57544" s="12" customFormat="1" x14ac:dyDescent="0.25"/>
    <row r="57545" s="12" customFormat="1" x14ac:dyDescent="0.25"/>
    <row r="57546" s="12" customFormat="1" x14ac:dyDescent="0.25"/>
    <row r="57547" s="12" customFormat="1" x14ac:dyDescent="0.25"/>
    <row r="57548" s="12" customFormat="1" x14ac:dyDescent="0.25"/>
    <row r="57549" s="12" customFormat="1" x14ac:dyDescent="0.25"/>
    <row r="57550" s="12" customFormat="1" x14ac:dyDescent="0.25"/>
    <row r="57551" s="12" customFormat="1" x14ac:dyDescent="0.25"/>
    <row r="57552" s="12" customFormat="1" x14ac:dyDescent="0.25"/>
    <row r="57553" s="12" customFormat="1" x14ac:dyDescent="0.25"/>
    <row r="57554" s="12" customFormat="1" x14ac:dyDescent="0.25"/>
    <row r="57555" s="12" customFormat="1" x14ac:dyDescent="0.25"/>
    <row r="57556" s="12" customFormat="1" x14ac:dyDescent="0.25"/>
    <row r="57557" s="12" customFormat="1" x14ac:dyDescent="0.25"/>
    <row r="57558" s="12" customFormat="1" x14ac:dyDescent="0.25"/>
    <row r="57559" s="12" customFormat="1" x14ac:dyDescent="0.25"/>
    <row r="57560" s="12" customFormat="1" x14ac:dyDescent="0.25"/>
    <row r="57561" s="12" customFormat="1" x14ac:dyDescent="0.25"/>
    <row r="57562" s="12" customFormat="1" x14ac:dyDescent="0.25"/>
    <row r="57563" s="12" customFormat="1" x14ac:dyDescent="0.25"/>
    <row r="57564" s="12" customFormat="1" x14ac:dyDescent="0.25"/>
    <row r="57565" s="12" customFormat="1" x14ac:dyDescent="0.25"/>
    <row r="57566" s="12" customFormat="1" x14ac:dyDescent="0.25"/>
    <row r="57567" s="12" customFormat="1" x14ac:dyDescent="0.25"/>
    <row r="57568" s="12" customFormat="1" x14ac:dyDescent="0.25"/>
    <row r="57569" s="12" customFormat="1" x14ac:dyDescent="0.25"/>
    <row r="57570" s="12" customFormat="1" x14ac:dyDescent="0.25"/>
    <row r="57571" s="12" customFormat="1" x14ac:dyDescent="0.25"/>
    <row r="57572" s="12" customFormat="1" x14ac:dyDescent="0.25"/>
    <row r="57573" s="12" customFormat="1" x14ac:dyDescent="0.25"/>
    <row r="57574" s="12" customFormat="1" x14ac:dyDescent="0.25"/>
    <row r="57575" s="12" customFormat="1" x14ac:dyDescent="0.25"/>
    <row r="57576" s="12" customFormat="1" x14ac:dyDescent="0.25"/>
    <row r="57577" s="12" customFormat="1" x14ac:dyDescent="0.25"/>
    <row r="57578" s="12" customFormat="1" x14ac:dyDescent="0.25"/>
    <row r="57579" s="12" customFormat="1" x14ac:dyDescent="0.25"/>
    <row r="57580" s="12" customFormat="1" x14ac:dyDescent="0.25"/>
    <row r="57581" s="12" customFormat="1" x14ac:dyDescent="0.25"/>
    <row r="57582" s="12" customFormat="1" x14ac:dyDescent="0.25"/>
    <row r="57583" s="12" customFormat="1" x14ac:dyDescent="0.25"/>
    <row r="57584" s="12" customFormat="1" x14ac:dyDescent="0.25"/>
    <row r="57585" s="12" customFormat="1" x14ac:dyDescent="0.25"/>
    <row r="57586" s="12" customFormat="1" x14ac:dyDescent="0.25"/>
    <row r="57587" s="12" customFormat="1" x14ac:dyDescent="0.25"/>
    <row r="57588" s="12" customFormat="1" x14ac:dyDescent="0.25"/>
    <row r="57589" s="12" customFormat="1" x14ac:dyDescent="0.25"/>
    <row r="57590" s="12" customFormat="1" x14ac:dyDescent="0.25"/>
    <row r="57591" s="12" customFormat="1" x14ac:dyDescent="0.25"/>
    <row r="57592" s="12" customFormat="1" x14ac:dyDescent="0.25"/>
    <row r="57593" s="12" customFormat="1" x14ac:dyDescent="0.25"/>
    <row r="57594" s="12" customFormat="1" x14ac:dyDescent="0.25"/>
    <row r="57595" s="12" customFormat="1" x14ac:dyDescent="0.25"/>
    <row r="57596" s="12" customFormat="1" x14ac:dyDescent="0.25"/>
    <row r="57597" s="12" customFormat="1" x14ac:dyDescent="0.25"/>
    <row r="57598" s="12" customFormat="1" x14ac:dyDescent="0.25"/>
    <row r="57599" s="12" customFormat="1" x14ac:dyDescent="0.25"/>
    <row r="57600" s="12" customFormat="1" x14ac:dyDescent="0.25"/>
    <row r="57601" s="12" customFormat="1" x14ac:dyDescent="0.25"/>
    <row r="57602" s="12" customFormat="1" x14ac:dyDescent="0.25"/>
    <row r="57603" s="12" customFormat="1" x14ac:dyDescent="0.25"/>
    <row r="57604" s="12" customFormat="1" x14ac:dyDescent="0.25"/>
    <row r="57605" s="12" customFormat="1" x14ac:dyDescent="0.25"/>
    <row r="57606" s="12" customFormat="1" x14ac:dyDescent="0.25"/>
    <row r="57607" s="12" customFormat="1" x14ac:dyDescent="0.25"/>
    <row r="57608" s="12" customFormat="1" x14ac:dyDescent="0.25"/>
    <row r="57609" s="12" customFormat="1" x14ac:dyDescent="0.25"/>
    <row r="57610" s="12" customFormat="1" x14ac:dyDescent="0.25"/>
    <row r="57611" s="12" customFormat="1" x14ac:dyDescent="0.25"/>
    <row r="57612" s="12" customFormat="1" x14ac:dyDescent="0.25"/>
    <row r="57613" s="12" customFormat="1" x14ac:dyDescent="0.25"/>
    <row r="57614" s="12" customFormat="1" x14ac:dyDescent="0.25"/>
    <row r="57615" s="12" customFormat="1" x14ac:dyDescent="0.25"/>
    <row r="57616" s="12" customFormat="1" x14ac:dyDescent="0.25"/>
    <row r="57617" s="12" customFormat="1" x14ac:dyDescent="0.25"/>
    <row r="57618" s="12" customFormat="1" x14ac:dyDescent="0.25"/>
    <row r="57619" s="12" customFormat="1" x14ac:dyDescent="0.25"/>
    <row r="57620" s="12" customFormat="1" x14ac:dyDescent="0.25"/>
    <row r="57621" s="12" customFormat="1" x14ac:dyDescent="0.25"/>
    <row r="57622" s="12" customFormat="1" x14ac:dyDescent="0.25"/>
    <row r="57623" s="12" customFormat="1" x14ac:dyDescent="0.25"/>
    <row r="57624" s="12" customFormat="1" x14ac:dyDescent="0.25"/>
    <row r="57625" s="12" customFormat="1" x14ac:dyDescent="0.25"/>
    <row r="57626" s="12" customFormat="1" x14ac:dyDescent="0.25"/>
    <row r="57627" s="12" customFormat="1" x14ac:dyDescent="0.25"/>
    <row r="57628" s="12" customFormat="1" x14ac:dyDescent="0.25"/>
    <row r="57629" s="12" customFormat="1" x14ac:dyDescent="0.25"/>
    <row r="57630" s="12" customFormat="1" x14ac:dyDescent="0.25"/>
    <row r="57631" s="12" customFormat="1" x14ac:dyDescent="0.25"/>
    <row r="57632" s="12" customFormat="1" x14ac:dyDescent="0.25"/>
    <row r="57633" s="12" customFormat="1" x14ac:dyDescent="0.25"/>
    <row r="57634" s="12" customFormat="1" x14ac:dyDescent="0.25"/>
    <row r="57635" s="12" customFormat="1" x14ac:dyDescent="0.25"/>
    <row r="57636" s="12" customFormat="1" x14ac:dyDescent="0.25"/>
    <row r="57637" s="12" customFormat="1" x14ac:dyDescent="0.25"/>
    <row r="57638" s="12" customFormat="1" x14ac:dyDescent="0.25"/>
    <row r="57639" s="12" customFormat="1" x14ac:dyDescent="0.25"/>
    <row r="57640" s="12" customFormat="1" x14ac:dyDescent="0.25"/>
    <row r="57641" s="12" customFormat="1" x14ac:dyDescent="0.25"/>
    <row r="57642" s="12" customFormat="1" x14ac:dyDescent="0.25"/>
    <row r="57643" s="12" customFormat="1" x14ac:dyDescent="0.25"/>
    <row r="57644" s="12" customFormat="1" x14ac:dyDescent="0.25"/>
    <row r="57645" s="12" customFormat="1" x14ac:dyDescent="0.25"/>
    <row r="57646" s="12" customFormat="1" x14ac:dyDescent="0.25"/>
    <row r="57647" s="12" customFormat="1" x14ac:dyDescent="0.25"/>
    <row r="57648" s="12" customFormat="1" x14ac:dyDescent="0.25"/>
    <row r="57649" s="12" customFormat="1" x14ac:dyDescent="0.25"/>
    <row r="57650" s="12" customFormat="1" x14ac:dyDescent="0.25"/>
    <row r="57651" s="12" customFormat="1" x14ac:dyDescent="0.25"/>
    <row r="57652" s="12" customFormat="1" x14ac:dyDescent="0.25"/>
    <row r="57653" s="12" customFormat="1" x14ac:dyDescent="0.25"/>
    <row r="57654" s="12" customFormat="1" x14ac:dyDescent="0.25"/>
    <row r="57655" s="12" customFormat="1" x14ac:dyDescent="0.25"/>
    <row r="57656" s="12" customFormat="1" x14ac:dyDescent="0.25"/>
    <row r="57657" s="12" customFormat="1" x14ac:dyDescent="0.25"/>
    <row r="57658" s="12" customFormat="1" x14ac:dyDescent="0.25"/>
    <row r="57659" s="12" customFormat="1" x14ac:dyDescent="0.25"/>
    <row r="57660" s="12" customFormat="1" x14ac:dyDescent="0.25"/>
    <row r="57661" s="12" customFormat="1" x14ac:dyDescent="0.25"/>
    <row r="57662" s="12" customFormat="1" x14ac:dyDescent="0.25"/>
    <row r="57663" s="12" customFormat="1" x14ac:dyDescent="0.25"/>
    <row r="57664" s="12" customFormat="1" x14ac:dyDescent="0.25"/>
    <row r="57665" s="12" customFormat="1" x14ac:dyDescent="0.25"/>
    <row r="57666" s="12" customFormat="1" x14ac:dyDescent="0.25"/>
    <row r="57667" s="12" customFormat="1" x14ac:dyDescent="0.25"/>
    <row r="57668" s="12" customFormat="1" x14ac:dyDescent="0.25"/>
    <row r="57669" s="12" customFormat="1" x14ac:dyDescent="0.25"/>
    <row r="57670" s="12" customFormat="1" x14ac:dyDescent="0.25"/>
    <row r="57671" s="12" customFormat="1" x14ac:dyDescent="0.25"/>
    <row r="57672" s="12" customFormat="1" x14ac:dyDescent="0.25"/>
    <row r="57673" s="12" customFormat="1" x14ac:dyDescent="0.25"/>
    <row r="57674" s="12" customFormat="1" x14ac:dyDescent="0.25"/>
    <row r="57675" s="12" customFormat="1" x14ac:dyDescent="0.25"/>
    <row r="57676" s="12" customFormat="1" x14ac:dyDescent="0.25"/>
    <row r="57677" s="12" customFormat="1" x14ac:dyDescent="0.25"/>
    <row r="57678" s="12" customFormat="1" x14ac:dyDescent="0.25"/>
    <row r="57679" s="12" customFormat="1" x14ac:dyDescent="0.25"/>
    <row r="57680" s="12" customFormat="1" x14ac:dyDescent="0.25"/>
    <row r="57681" s="12" customFormat="1" x14ac:dyDescent="0.25"/>
    <row r="57682" s="12" customFormat="1" x14ac:dyDescent="0.25"/>
    <row r="57683" s="12" customFormat="1" x14ac:dyDescent="0.25"/>
    <row r="57684" s="12" customFormat="1" x14ac:dyDescent="0.25"/>
    <row r="57685" s="12" customFormat="1" x14ac:dyDescent="0.25"/>
    <row r="57686" s="12" customFormat="1" x14ac:dyDescent="0.25"/>
    <row r="57687" s="12" customFormat="1" x14ac:dyDescent="0.25"/>
    <row r="57688" s="12" customFormat="1" x14ac:dyDescent="0.25"/>
    <row r="57689" s="12" customFormat="1" x14ac:dyDescent="0.25"/>
    <row r="57690" s="12" customFormat="1" x14ac:dyDescent="0.25"/>
    <row r="57691" s="12" customFormat="1" x14ac:dyDescent="0.25"/>
    <row r="57692" s="12" customFormat="1" x14ac:dyDescent="0.25"/>
    <row r="57693" s="12" customFormat="1" x14ac:dyDescent="0.25"/>
    <row r="57694" s="12" customFormat="1" x14ac:dyDescent="0.25"/>
    <row r="57695" s="12" customFormat="1" x14ac:dyDescent="0.25"/>
    <row r="57696" s="12" customFormat="1" x14ac:dyDescent="0.25"/>
    <row r="57697" s="12" customFormat="1" x14ac:dyDescent="0.25"/>
    <row r="57698" s="12" customFormat="1" x14ac:dyDescent="0.25"/>
    <row r="57699" s="12" customFormat="1" x14ac:dyDescent="0.25"/>
    <row r="57700" s="12" customFormat="1" x14ac:dyDescent="0.25"/>
    <row r="57701" s="12" customFormat="1" x14ac:dyDescent="0.25"/>
    <row r="57702" s="12" customFormat="1" x14ac:dyDescent="0.25"/>
    <row r="57703" s="12" customFormat="1" x14ac:dyDescent="0.25"/>
    <row r="57704" s="12" customFormat="1" x14ac:dyDescent="0.25"/>
    <row r="57705" s="12" customFormat="1" x14ac:dyDescent="0.25"/>
    <row r="57706" s="12" customFormat="1" x14ac:dyDescent="0.25"/>
    <row r="57707" s="12" customFormat="1" x14ac:dyDescent="0.25"/>
    <row r="57708" s="12" customFormat="1" x14ac:dyDescent="0.25"/>
    <row r="57709" s="12" customFormat="1" x14ac:dyDescent="0.25"/>
    <row r="57710" s="12" customFormat="1" x14ac:dyDescent="0.25"/>
    <row r="57711" s="12" customFormat="1" x14ac:dyDescent="0.25"/>
    <row r="57712" s="12" customFormat="1" x14ac:dyDescent="0.25"/>
    <row r="57713" s="12" customFormat="1" x14ac:dyDescent="0.25"/>
    <row r="57714" s="12" customFormat="1" x14ac:dyDescent="0.25"/>
    <row r="57715" s="12" customFormat="1" x14ac:dyDescent="0.25"/>
    <row r="57716" s="12" customFormat="1" x14ac:dyDescent="0.25"/>
    <row r="57717" s="12" customFormat="1" x14ac:dyDescent="0.25"/>
    <row r="57718" s="12" customFormat="1" x14ac:dyDescent="0.25"/>
    <row r="57719" s="12" customFormat="1" x14ac:dyDescent="0.25"/>
    <row r="57720" s="12" customFormat="1" x14ac:dyDescent="0.25"/>
    <row r="57721" s="12" customFormat="1" x14ac:dyDescent="0.25"/>
    <row r="57722" s="12" customFormat="1" x14ac:dyDescent="0.25"/>
    <row r="57723" s="12" customFormat="1" x14ac:dyDescent="0.25"/>
    <row r="57724" s="12" customFormat="1" x14ac:dyDescent="0.25"/>
    <row r="57725" s="12" customFormat="1" x14ac:dyDescent="0.25"/>
    <row r="57726" s="12" customFormat="1" x14ac:dyDescent="0.25"/>
    <row r="57727" s="12" customFormat="1" x14ac:dyDescent="0.25"/>
    <row r="57728" s="12" customFormat="1" x14ac:dyDescent="0.25"/>
    <row r="57729" s="12" customFormat="1" x14ac:dyDescent="0.25"/>
    <row r="57730" s="12" customFormat="1" x14ac:dyDescent="0.25"/>
    <row r="57731" s="12" customFormat="1" x14ac:dyDescent="0.25"/>
    <row r="57732" s="12" customFormat="1" x14ac:dyDescent="0.25"/>
    <row r="57733" s="12" customFormat="1" x14ac:dyDescent="0.25"/>
    <row r="57734" s="12" customFormat="1" x14ac:dyDescent="0.25"/>
    <row r="57735" s="12" customFormat="1" x14ac:dyDescent="0.25"/>
    <row r="57736" s="12" customFormat="1" x14ac:dyDescent="0.25"/>
    <row r="57737" s="12" customFormat="1" x14ac:dyDescent="0.25"/>
    <row r="57738" s="12" customFormat="1" x14ac:dyDescent="0.25"/>
    <row r="57739" s="12" customFormat="1" x14ac:dyDescent="0.25"/>
    <row r="57740" s="12" customFormat="1" x14ac:dyDescent="0.25"/>
    <row r="57741" s="12" customFormat="1" x14ac:dyDescent="0.25"/>
    <row r="57742" s="12" customFormat="1" x14ac:dyDescent="0.25"/>
    <row r="57743" s="12" customFormat="1" x14ac:dyDescent="0.25"/>
    <row r="57744" s="12" customFormat="1" x14ac:dyDescent="0.25"/>
    <row r="57745" s="12" customFormat="1" x14ac:dyDescent="0.25"/>
    <row r="57746" s="12" customFormat="1" x14ac:dyDescent="0.25"/>
    <row r="57747" s="12" customFormat="1" x14ac:dyDescent="0.25"/>
    <row r="57748" s="12" customFormat="1" x14ac:dyDescent="0.25"/>
    <row r="57749" s="12" customFormat="1" x14ac:dyDescent="0.25"/>
    <row r="57750" s="12" customFormat="1" x14ac:dyDescent="0.25"/>
    <row r="57751" s="12" customFormat="1" x14ac:dyDescent="0.25"/>
    <row r="57752" s="12" customFormat="1" x14ac:dyDescent="0.25"/>
    <row r="57753" s="12" customFormat="1" x14ac:dyDescent="0.25"/>
    <row r="57754" s="12" customFormat="1" x14ac:dyDescent="0.25"/>
    <row r="57755" s="12" customFormat="1" x14ac:dyDescent="0.25"/>
    <row r="57756" s="12" customFormat="1" x14ac:dyDescent="0.25"/>
    <row r="57757" s="12" customFormat="1" x14ac:dyDescent="0.25"/>
    <row r="57758" s="12" customFormat="1" x14ac:dyDescent="0.25"/>
    <row r="57759" s="12" customFormat="1" x14ac:dyDescent="0.25"/>
    <row r="57760" s="12" customFormat="1" x14ac:dyDescent="0.25"/>
    <row r="57761" s="12" customFormat="1" x14ac:dyDescent="0.25"/>
    <row r="57762" s="12" customFormat="1" x14ac:dyDescent="0.25"/>
    <row r="57763" s="12" customFormat="1" x14ac:dyDescent="0.25"/>
    <row r="57764" s="12" customFormat="1" x14ac:dyDescent="0.25"/>
    <row r="57765" s="12" customFormat="1" x14ac:dyDescent="0.25"/>
    <row r="57766" s="12" customFormat="1" x14ac:dyDescent="0.25"/>
    <row r="57767" s="12" customFormat="1" x14ac:dyDescent="0.25"/>
    <row r="57768" s="12" customFormat="1" x14ac:dyDescent="0.25"/>
    <row r="57769" s="12" customFormat="1" x14ac:dyDescent="0.25"/>
    <row r="57770" s="12" customFormat="1" x14ac:dyDescent="0.25"/>
    <row r="57771" s="12" customFormat="1" x14ac:dyDescent="0.25"/>
    <row r="57772" s="12" customFormat="1" x14ac:dyDescent="0.25"/>
    <row r="57773" s="12" customFormat="1" x14ac:dyDescent="0.25"/>
    <row r="57774" s="12" customFormat="1" x14ac:dyDescent="0.25"/>
    <row r="57775" s="12" customFormat="1" x14ac:dyDescent="0.25"/>
    <row r="57776" s="12" customFormat="1" x14ac:dyDescent="0.25"/>
    <row r="57777" s="12" customFormat="1" x14ac:dyDescent="0.25"/>
    <row r="57778" s="12" customFormat="1" x14ac:dyDescent="0.25"/>
    <row r="57779" s="12" customFormat="1" x14ac:dyDescent="0.25"/>
    <row r="57780" s="12" customFormat="1" x14ac:dyDescent="0.25"/>
    <row r="57781" s="12" customFormat="1" x14ac:dyDescent="0.25"/>
    <row r="57782" s="12" customFormat="1" x14ac:dyDescent="0.25"/>
    <row r="57783" s="12" customFormat="1" x14ac:dyDescent="0.25"/>
    <row r="57784" s="12" customFormat="1" x14ac:dyDescent="0.25"/>
    <row r="57785" s="12" customFormat="1" x14ac:dyDescent="0.25"/>
    <row r="57786" s="12" customFormat="1" x14ac:dyDescent="0.25"/>
    <row r="57787" s="12" customFormat="1" x14ac:dyDescent="0.25"/>
    <row r="57788" s="12" customFormat="1" x14ac:dyDescent="0.25"/>
    <row r="57789" s="12" customFormat="1" x14ac:dyDescent="0.25"/>
    <row r="57790" s="12" customFormat="1" x14ac:dyDescent="0.25"/>
    <row r="57791" s="12" customFormat="1" x14ac:dyDescent="0.25"/>
    <row r="57792" s="12" customFormat="1" x14ac:dyDescent="0.25"/>
    <row r="57793" s="12" customFormat="1" x14ac:dyDescent="0.25"/>
    <row r="57794" s="12" customFormat="1" x14ac:dyDescent="0.25"/>
    <row r="57795" s="12" customFormat="1" x14ac:dyDescent="0.25"/>
    <row r="57796" s="12" customFormat="1" x14ac:dyDescent="0.25"/>
    <row r="57797" s="12" customFormat="1" x14ac:dyDescent="0.25"/>
    <row r="57798" s="12" customFormat="1" x14ac:dyDescent="0.25"/>
    <row r="57799" s="12" customFormat="1" x14ac:dyDescent="0.25"/>
    <row r="57800" s="12" customFormat="1" x14ac:dyDescent="0.25"/>
    <row r="57801" s="12" customFormat="1" x14ac:dyDescent="0.25"/>
    <row r="57802" s="12" customFormat="1" x14ac:dyDescent="0.25"/>
    <row r="57803" s="12" customFormat="1" x14ac:dyDescent="0.25"/>
    <row r="57804" s="12" customFormat="1" x14ac:dyDescent="0.25"/>
    <row r="57805" s="12" customFormat="1" x14ac:dyDescent="0.25"/>
    <row r="57806" s="12" customFormat="1" x14ac:dyDescent="0.25"/>
    <row r="57807" s="12" customFormat="1" x14ac:dyDescent="0.25"/>
    <row r="57808" s="12" customFormat="1" x14ac:dyDescent="0.25"/>
    <row r="57809" s="12" customFormat="1" x14ac:dyDescent="0.25"/>
    <row r="57810" s="12" customFormat="1" x14ac:dyDescent="0.25"/>
    <row r="57811" s="12" customFormat="1" x14ac:dyDescent="0.25"/>
    <row r="57812" s="12" customFormat="1" x14ac:dyDescent="0.25"/>
    <row r="57813" s="12" customFormat="1" x14ac:dyDescent="0.25"/>
    <row r="57814" s="12" customFormat="1" x14ac:dyDescent="0.25"/>
    <row r="57815" s="12" customFormat="1" x14ac:dyDescent="0.25"/>
    <row r="57816" s="12" customFormat="1" x14ac:dyDescent="0.25"/>
    <row r="57817" s="12" customFormat="1" x14ac:dyDescent="0.25"/>
    <row r="57818" s="12" customFormat="1" x14ac:dyDescent="0.25"/>
    <row r="57819" s="12" customFormat="1" x14ac:dyDescent="0.25"/>
    <row r="57820" s="12" customFormat="1" x14ac:dyDescent="0.25"/>
    <row r="57821" s="12" customFormat="1" x14ac:dyDescent="0.25"/>
    <row r="57822" s="12" customFormat="1" x14ac:dyDescent="0.25"/>
    <row r="57823" s="12" customFormat="1" x14ac:dyDescent="0.25"/>
    <row r="57824" s="12" customFormat="1" x14ac:dyDescent="0.25"/>
    <row r="57825" s="12" customFormat="1" x14ac:dyDescent="0.25"/>
    <row r="57826" s="12" customFormat="1" x14ac:dyDescent="0.25"/>
    <row r="57827" s="12" customFormat="1" x14ac:dyDescent="0.25"/>
    <row r="57828" s="12" customFormat="1" x14ac:dyDescent="0.25"/>
    <row r="57829" s="12" customFormat="1" x14ac:dyDescent="0.25"/>
    <row r="57830" s="12" customFormat="1" x14ac:dyDescent="0.25"/>
    <row r="57831" s="12" customFormat="1" x14ac:dyDescent="0.25"/>
    <row r="57832" s="12" customFormat="1" x14ac:dyDescent="0.25"/>
    <row r="57833" s="12" customFormat="1" x14ac:dyDescent="0.25"/>
    <row r="57834" s="12" customFormat="1" x14ac:dyDescent="0.25"/>
    <row r="57835" s="12" customFormat="1" x14ac:dyDescent="0.25"/>
    <row r="57836" s="12" customFormat="1" x14ac:dyDescent="0.25"/>
    <row r="57837" s="12" customFormat="1" x14ac:dyDescent="0.25"/>
    <row r="57838" s="12" customFormat="1" x14ac:dyDescent="0.25"/>
    <row r="57839" s="12" customFormat="1" x14ac:dyDescent="0.25"/>
    <row r="57840" s="12" customFormat="1" x14ac:dyDescent="0.25"/>
    <row r="57841" s="12" customFormat="1" x14ac:dyDescent="0.25"/>
    <row r="57842" s="12" customFormat="1" x14ac:dyDescent="0.25"/>
    <row r="57843" s="12" customFormat="1" x14ac:dyDescent="0.25"/>
    <row r="57844" s="12" customFormat="1" x14ac:dyDescent="0.25"/>
    <row r="57845" s="12" customFormat="1" x14ac:dyDescent="0.25"/>
    <row r="57846" s="12" customFormat="1" x14ac:dyDescent="0.25"/>
    <row r="57847" s="12" customFormat="1" x14ac:dyDescent="0.25"/>
    <row r="57848" s="12" customFormat="1" x14ac:dyDescent="0.25"/>
    <row r="57849" s="12" customFormat="1" x14ac:dyDescent="0.25"/>
    <row r="57850" s="12" customFormat="1" x14ac:dyDescent="0.25"/>
    <row r="57851" s="12" customFormat="1" x14ac:dyDescent="0.25"/>
    <row r="57852" s="12" customFormat="1" x14ac:dyDescent="0.25"/>
    <row r="57853" s="12" customFormat="1" x14ac:dyDescent="0.25"/>
    <row r="57854" s="12" customFormat="1" x14ac:dyDescent="0.25"/>
    <row r="57855" s="12" customFormat="1" x14ac:dyDescent="0.25"/>
    <row r="57856" s="12" customFormat="1" x14ac:dyDescent="0.25"/>
    <row r="57857" s="12" customFormat="1" x14ac:dyDescent="0.25"/>
    <row r="57858" s="12" customFormat="1" x14ac:dyDescent="0.25"/>
    <row r="57859" s="12" customFormat="1" x14ac:dyDescent="0.25"/>
    <row r="57860" s="12" customFormat="1" x14ac:dyDescent="0.25"/>
    <row r="57861" s="12" customFormat="1" x14ac:dyDescent="0.25"/>
    <row r="57862" s="12" customFormat="1" x14ac:dyDescent="0.25"/>
    <row r="57863" s="12" customFormat="1" x14ac:dyDescent="0.25"/>
    <row r="57864" s="12" customFormat="1" x14ac:dyDescent="0.25"/>
    <row r="57865" s="12" customFormat="1" x14ac:dyDescent="0.25"/>
    <row r="57866" s="12" customFormat="1" x14ac:dyDescent="0.25"/>
    <row r="57867" s="12" customFormat="1" x14ac:dyDescent="0.25"/>
    <row r="57868" s="12" customFormat="1" x14ac:dyDescent="0.25"/>
    <row r="57869" s="12" customFormat="1" x14ac:dyDescent="0.25"/>
    <row r="57870" s="12" customFormat="1" x14ac:dyDescent="0.25"/>
    <row r="57871" s="12" customFormat="1" x14ac:dyDescent="0.25"/>
    <row r="57872" s="12" customFormat="1" x14ac:dyDescent="0.25"/>
    <row r="57873" s="12" customFormat="1" x14ac:dyDescent="0.25"/>
    <row r="57874" s="12" customFormat="1" x14ac:dyDescent="0.25"/>
    <row r="57875" s="12" customFormat="1" x14ac:dyDescent="0.25"/>
    <row r="57876" s="12" customFormat="1" x14ac:dyDescent="0.25"/>
    <row r="57877" s="12" customFormat="1" x14ac:dyDescent="0.25"/>
    <row r="57878" s="12" customFormat="1" x14ac:dyDescent="0.25"/>
    <row r="57879" s="12" customFormat="1" x14ac:dyDescent="0.25"/>
    <row r="57880" s="12" customFormat="1" x14ac:dyDescent="0.25"/>
    <row r="57881" s="12" customFormat="1" x14ac:dyDescent="0.25"/>
    <row r="57882" s="12" customFormat="1" x14ac:dyDescent="0.25"/>
    <row r="57883" s="12" customFormat="1" x14ac:dyDescent="0.25"/>
    <row r="57884" s="12" customFormat="1" x14ac:dyDescent="0.25"/>
    <row r="57885" s="12" customFormat="1" x14ac:dyDescent="0.25"/>
    <row r="57886" s="12" customFormat="1" x14ac:dyDescent="0.25"/>
    <row r="57887" s="12" customFormat="1" x14ac:dyDescent="0.25"/>
    <row r="57888" s="12" customFormat="1" x14ac:dyDescent="0.25"/>
    <row r="57889" s="12" customFormat="1" x14ac:dyDescent="0.25"/>
    <row r="57890" s="12" customFormat="1" x14ac:dyDescent="0.25"/>
    <row r="57891" s="12" customFormat="1" x14ac:dyDescent="0.25"/>
    <row r="57892" s="12" customFormat="1" x14ac:dyDescent="0.25"/>
    <row r="57893" s="12" customFormat="1" x14ac:dyDescent="0.25"/>
    <row r="57894" s="12" customFormat="1" x14ac:dyDescent="0.25"/>
    <row r="57895" s="12" customFormat="1" x14ac:dyDescent="0.25"/>
    <row r="57896" s="12" customFormat="1" x14ac:dyDescent="0.25"/>
    <row r="57897" s="12" customFormat="1" x14ac:dyDescent="0.25"/>
    <row r="57898" s="12" customFormat="1" x14ac:dyDescent="0.25"/>
    <row r="57899" s="12" customFormat="1" x14ac:dyDescent="0.25"/>
    <row r="57900" s="12" customFormat="1" x14ac:dyDescent="0.25"/>
    <row r="57901" s="12" customFormat="1" x14ac:dyDescent="0.25"/>
    <row r="57902" s="12" customFormat="1" x14ac:dyDescent="0.25"/>
    <row r="57903" s="12" customFormat="1" x14ac:dyDescent="0.25"/>
    <row r="57904" s="12" customFormat="1" x14ac:dyDescent="0.25"/>
    <row r="57905" s="12" customFormat="1" x14ac:dyDescent="0.25"/>
    <row r="57906" s="12" customFormat="1" x14ac:dyDescent="0.25"/>
    <row r="57907" s="12" customFormat="1" x14ac:dyDescent="0.25"/>
    <row r="57908" s="12" customFormat="1" x14ac:dyDescent="0.25"/>
    <row r="57909" s="12" customFormat="1" x14ac:dyDescent="0.25"/>
    <row r="57910" s="12" customFormat="1" x14ac:dyDescent="0.25"/>
    <row r="57911" s="12" customFormat="1" x14ac:dyDescent="0.25"/>
    <row r="57912" s="12" customFormat="1" x14ac:dyDescent="0.25"/>
    <row r="57913" s="12" customFormat="1" x14ac:dyDescent="0.25"/>
    <row r="57914" s="12" customFormat="1" x14ac:dyDescent="0.25"/>
    <row r="57915" s="12" customFormat="1" x14ac:dyDescent="0.25"/>
    <row r="57916" s="12" customFormat="1" x14ac:dyDescent="0.25"/>
    <row r="57917" s="12" customFormat="1" x14ac:dyDescent="0.25"/>
    <row r="57918" s="12" customFormat="1" x14ac:dyDescent="0.25"/>
    <row r="57919" s="12" customFormat="1" x14ac:dyDescent="0.25"/>
    <row r="57920" s="12" customFormat="1" x14ac:dyDescent="0.25"/>
    <row r="57921" s="12" customFormat="1" x14ac:dyDescent="0.25"/>
    <row r="57922" s="12" customFormat="1" x14ac:dyDescent="0.25"/>
    <row r="57923" s="12" customFormat="1" x14ac:dyDescent="0.25"/>
    <row r="57924" s="12" customFormat="1" x14ac:dyDescent="0.25"/>
    <row r="57925" s="12" customFormat="1" x14ac:dyDescent="0.25"/>
    <row r="57926" s="12" customFormat="1" x14ac:dyDescent="0.25"/>
    <row r="57927" s="12" customFormat="1" x14ac:dyDescent="0.25"/>
    <row r="57928" s="12" customFormat="1" x14ac:dyDescent="0.25"/>
    <row r="57929" s="12" customFormat="1" x14ac:dyDescent="0.25"/>
    <row r="57930" s="12" customFormat="1" x14ac:dyDescent="0.25"/>
    <row r="57931" s="12" customFormat="1" x14ac:dyDescent="0.25"/>
    <row r="57932" s="12" customFormat="1" x14ac:dyDescent="0.25"/>
    <row r="57933" s="12" customFormat="1" x14ac:dyDescent="0.25"/>
    <row r="57934" s="12" customFormat="1" x14ac:dyDescent="0.25"/>
    <row r="57935" s="12" customFormat="1" x14ac:dyDescent="0.25"/>
    <row r="57936" s="12" customFormat="1" x14ac:dyDescent="0.25"/>
    <row r="57937" s="12" customFormat="1" x14ac:dyDescent="0.25"/>
    <row r="57938" s="12" customFormat="1" x14ac:dyDescent="0.25"/>
    <row r="57939" s="12" customFormat="1" x14ac:dyDescent="0.25"/>
    <row r="57940" s="12" customFormat="1" x14ac:dyDescent="0.25"/>
    <row r="57941" s="12" customFormat="1" x14ac:dyDescent="0.25"/>
    <row r="57942" s="12" customFormat="1" x14ac:dyDescent="0.25"/>
    <row r="57943" s="12" customFormat="1" x14ac:dyDescent="0.25"/>
    <row r="57944" s="12" customFormat="1" x14ac:dyDescent="0.25"/>
    <row r="57945" s="12" customFormat="1" x14ac:dyDescent="0.25"/>
    <row r="57946" s="12" customFormat="1" x14ac:dyDescent="0.25"/>
    <row r="57947" s="12" customFormat="1" x14ac:dyDescent="0.25"/>
    <row r="57948" s="12" customFormat="1" x14ac:dyDescent="0.25"/>
    <row r="57949" s="12" customFormat="1" x14ac:dyDescent="0.25"/>
    <row r="57950" s="12" customFormat="1" x14ac:dyDescent="0.25"/>
    <row r="57951" s="12" customFormat="1" x14ac:dyDescent="0.25"/>
    <row r="57952" s="12" customFormat="1" x14ac:dyDescent="0.25"/>
    <row r="57953" s="12" customFormat="1" x14ac:dyDescent="0.25"/>
    <row r="57954" s="12" customFormat="1" x14ac:dyDescent="0.25"/>
    <row r="57955" s="12" customFormat="1" x14ac:dyDescent="0.25"/>
    <row r="57956" s="12" customFormat="1" x14ac:dyDescent="0.25"/>
    <row r="57957" s="12" customFormat="1" x14ac:dyDescent="0.25"/>
    <row r="57958" s="12" customFormat="1" x14ac:dyDescent="0.25"/>
    <row r="57959" s="12" customFormat="1" x14ac:dyDescent="0.25"/>
    <row r="57960" s="12" customFormat="1" x14ac:dyDescent="0.25"/>
    <row r="57961" s="12" customFormat="1" x14ac:dyDescent="0.25"/>
    <row r="57962" s="12" customFormat="1" x14ac:dyDescent="0.25"/>
    <row r="57963" s="12" customFormat="1" x14ac:dyDescent="0.25"/>
    <row r="57964" s="12" customFormat="1" x14ac:dyDescent="0.25"/>
    <row r="57965" s="12" customFormat="1" x14ac:dyDescent="0.25"/>
    <row r="57966" s="12" customFormat="1" x14ac:dyDescent="0.25"/>
    <row r="57967" s="12" customFormat="1" x14ac:dyDescent="0.25"/>
    <row r="57968" s="12" customFormat="1" x14ac:dyDescent="0.25"/>
    <row r="57969" s="12" customFormat="1" x14ac:dyDescent="0.25"/>
    <row r="57970" s="12" customFormat="1" x14ac:dyDescent="0.25"/>
    <row r="57971" s="12" customFormat="1" x14ac:dyDescent="0.25"/>
    <row r="57972" s="12" customFormat="1" x14ac:dyDescent="0.25"/>
    <row r="57973" s="12" customFormat="1" x14ac:dyDescent="0.25"/>
    <row r="57974" s="12" customFormat="1" x14ac:dyDescent="0.25"/>
    <row r="57975" s="12" customFormat="1" x14ac:dyDescent="0.25"/>
    <row r="57976" s="12" customFormat="1" x14ac:dyDescent="0.25"/>
    <row r="57977" s="12" customFormat="1" x14ac:dyDescent="0.25"/>
    <row r="57978" s="12" customFormat="1" x14ac:dyDescent="0.25"/>
    <row r="57979" s="12" customFormat="1" x14ac:dyDescent="0.25"/>
    <row r="57980" s="12" customFormat="1" x14ac:dyDescent="0.25"/>
    <row r="57981" s="12" customFormat="1" x14ac:dyDescent="0.25"/>
    <row r="57982" s="12" customFormat="1" x14ac:dyDescent="0.25"/>
    <row r="57983" s="12" customFormat="1" x14ac:dyDescent="0.25"/>
    <row r="57984" s="12" customFormat="1" x14ac:dyDescent="0.25"/>
    <row r="57985" s="12" customFormat="1" x14ac:dyDescent="0.25"/>
    <row r="57986" s="12" customFormat="1" x14ac:dyDescent="0.25"/>
    <row r="57987" s="12" customFormat="1" x14ac:dyDescent="0.25"/>
    <row r="57988" s="12" customFormat="1" x14ac:dyDescent="0.25"/>
    <row r="57989" s="12" customFormat="1" x14ac:dyDescent="0.25"/>
    <row r="57990" s="12" customFormat="1" x14ac:dyDescent="0.25"/>
    <row r="57991" s="12" customFormat="1" x14ac:dyDescent="0.25"/>
    <row r="57992" s="12" customFormat="1" x14ac:dyDescent="0.25"/>
    <row r="57993" s="12" customFormat="1" x14ac:dyDescent="0.25"/>
    <row r="57994" s="12" customFormat="1" x14ac:dyDescent="0.25"/>
    <row r="57995" s="12" customFormat="1" x14ac:dyDescent="0.25"/>
    <row r="57996" s="12" customFormat="1" x14ac:dyDescent="0.25"/>
    <row r="57997" s="12" customFormat="1" x14ac:dyDescent="0.25"/>
    <row r="57998" s="12" customFormat="1" x14ac:dyDescent="0.25"/>
    <row r="57999" s="12" customFormat="1" x14ac:dyDescent="0.25"/>
    <row r="58000" s="12" customFormat="1" x14ac:dyDescent="0.25"/>
    <row r="58001" s="12" customFormat="1" x14ac:dyDescent="0.25"/>
    <row r="58002" s="12" customFormat="1" x14ac:dyDescent="0.25"/>
    <row r="58003" s="12" customFormat="1" x14ac:dyDescent="0.25"/>
    <row r="58004" s="12" customFormat="1" x14ac:dyDescent="0.25"/>
    <row r="58005" s="12" customFormat="1" x14ac:dyDescent="0.25"/>
    <row r="58006" s="12" customFormat="1" x14ac:dyDescent="0.25"/>
    <row r="58007" s="12" customFormat="1" x14ac:dyDescent="0.25"/>
    <row r="58008" s="12" customFormat="1" x14ac:dyDescent="0.25"/>
    <row r="58009" s="12" customFormat="1" x14ac:dyDescent="0.25"/>
    <row r="58010" s="12" customFormat="1" x14ac:dyDescent="0.25"/>
    <row r="58011" s="12" customFormat="1" x14ac:dyDescent="0.25"/>
    <row r="58012" s="12" customFormat="1" x14ac:dyDescent="0.25"/>
    <row r="58013" s="12" customFormat="1" x14ac:dyDescent="0.25"/>
    <row r="58014" s="12" customFormat="1" x14ac:dyDescent="0.25"/>
    <row r="58015" s="12" customFormat="1" x14ac:dyDescent="0.25"/>
    <row r="58016" s="12" customFormat="1" x14ac:dyDescent="0.25"/>
    <row r="58017" s="12" customFormat="1" x14ac:dyDescent="0.25"/>
    <row r="58018" s="12" customFormat="1" x14ac:dyDescent="0.25"/>
    <row r="58019" s="12" customFormat="1" x14ac:dyDescent="0.25"/>
    <row r="58020" s="12" customFormat="1" x14ac:dyDescent="0.25"/>
    <row r="58021" s="12" customFormat="1" x14ac:dyDescent="0.25"/>
    <row r="58022" s="12" customFormat="1" x14ac:dyDescent="0.25"/>
    <row r="58023" s="12" customFormat="1" x14ac:dyDescent="0.25"/>
    <row r="58024" s="12" customFormat="1" x14ac:dyDescent="0.25"/>
    <row r="58025" s="12" customFormat="1" x14ac:dyDescent="0.25"/>
    <row r="58026" s="12" customFormat="1" x14ac:dyDescent="0.25"/>
    <row r="58027" s="12" customFormat="1" x14ac:dyDescent="0.25"/>
    <row r="58028" s="12" customFormat="1" x14ac:dyDescent="0.25"/>
    <row r="58029" s="12" customFormat="1" x14ac:dyDescent="0.25"/>
    <row r="58030" s="12" customFormat="1" x14ac:dyDescent="0.25"/>
    <row r="58031" s="12" customFormat="1" x14ac:dyDescent="0.25"/>
    <row r="58032" s="12" customFormat="1" x14ac:dyDescent="0.25"/>
    <row r="58033" s="12" customFormat="1" x14ac:dyDescent="0.25"/>
    <row r="58034" s="12" customFormat="1" x14ac:dyDescent="0.25"/>
    <row r="58035" s="12" customFormat="1" x14ac:dyDescent="0.25"/>
    <row r="58036" s="12" customFormat="1" x14ac:dyDescent="0.25"/>
    <row r="58037" s="12" customFormat="1" x14ac:dyDescent="0.25"/>
    <row r="58038" s="12" customFormat="1" x14ac:dyDescent="0.25"/>
    <row r="58039" s="12" customFormat="1" x14ac:dyDescent="0.25"/>
    <row r="58040" s="12" customFormat="1" x14ac:dyDescent="0.25"/>
    <row r="58041" s="12" customFormat="1" x14ac:dyDescent="0.25"/>
    <row r="58042" s="12" customFormat="1" x14ac:dyDescent="0.25"/>
    <row r="58043" s="12" customFormat="1" x14ac:dyDescent="0.25"/>
    <row r="58044" s="12" customFormat="1" x14ac:dyDescent="0.25"/>
    <row r="58045" s="12" customFormat="1" x14ac:dyDescent="0.25"/>
    <row r="58046" s="12" customFormat="1" x14ac:dyDescent="0.25"/>
    <row r="58047" s="12" customFormat="1" x14ac:dyDescent="0.25"/>
    <row r="58048" s="12" customFormat="1" x14ac:dyDescent="0.25"/>
    <row r="58049" s="12" customFormat="1" x14ac:dyDescent="0.25"/>
    <row r="58050" s="12" customFormat="1" x14ac:dyDescent="0.25"/>
    <row r="58051" s="12" customFormat="1" x14ac:dyDescent="0.25"/>
    <row r="58052" s="12" customFormat="1" x14ac:dyDescent="0.25"/>
    <row r="58053" s="12" customFormat="1" x14ac:dyDescent="0.25"/>
    <row r="58054" s="12" customFormat="1" x14ac:dyDescent="0.25"/>
    <row r="58055" s="12" customFormat="1" x14ac:dyDescent="0.25"/>
    <row r="58056" s="12" customFormat="1" x14ac:dyDescent="0.25"/>
    <row r="58057" s="12" customFormat="1" x14ac:dyDescent="0.25"/>
    <row r="58058" s="12" customFormat="1" x14ac:dyDescent="0.25"/>
    <row r="58059" s="12" customFormat="1" x14ac:dyDescent="0.25"/>
    <row r="58060" s="12" customFormat="1" x14ac:dyDescent="0.25"/>
    <row r="58061" s="12" customFormat="1" x14ac:dyDescent="0.25"/>
    <row r="58062" s="12" customFormat="1" x14ac:dyDescent="0.25"/>
    <row r="58063" s="12" customFormat="1" x14ac:dyDescent="0.25"/>
    <row r="58064" s="12" customFormat="1" x14ac:dyDescent="0.25"/>
    <row r="58065" s="12" customFormat="1" x14ac:dyDescent="0.25"/>
    <row r="58066" s="12" customFormat="1" x14ac:dyDescent="0.25"/>
    <row r="58067" s="12" customFormat="1" x14ac:dyDescent="0.25"/>
    <row r="58068" s="12" customFormat="1" x14ac:dyDescent="0.25"/>
    <row r="58069" s="12" customFormat="1" x14ac:dyDescent="0.25"/>
    <row r="58070" s="12" customFormat="1" x14ac:dyDescent="0.25"/>
    <row r="58071" s="12" customFormat="1" x14ac:dyDescent="0.25"/>
    <row r="58072" s="12" customFormat="1" x14ac:dyDescent="0.25"/>
    <row r="58073" s="12" customFormat="1" x14ac:dyDescent="0.25"/>
    <row r="58074" s="12" customFormat="1" x14ac:dyDescent="0.25"/>
    <row r="58075" s="12" customFormat="1" x14ac:dyDescent="0.25"/>
    <row r="58076" s="12" customFormat="1" x14ac:dyDescent="0.25"/>
    <row r="58077" s="12" customFormat="1" x14ac:dyDescent="0.25"/>
    <row r="58078" s="12" customFormat="1" x14ac:dyDescent="0.25"/>
    <row r="58079" s="12" customFormat="1" x14ac:dyDescent="0.25"/>
    <row r="58080" s="12" customFormat="1" x14ac:dyDescent="0.25"/>
    <row r="58081" s="12" customFormat="1" x14ac:dyDescent="0.25"/>
    <row r="58082" s="12" customFormat="1" x14ac:dyDescent="0.25"/>
    <row r="58083" s="12" customFormat="1" x14ac:dyDescent="0.25"/>
    <row r="58084" s="12" customFormat="1" x14ac:dyDescent="0.25"/>
    <row r="58085" s="12" customFormat="1" x14ac:dyDescent="0.25"/>
    <row r="58086" s="12" customFormat="1" x14ac:dyDescent="0.25"/>
    <row r="58087" s="12" customFormat="1" x14ac:dyDescent="0.25"/>
    <row r="58088" s="12" customFormat="1" x14ac:dyDescent="0.25"/>
    <row r="58089" s="12" customFormat="1" x14ac:dyDescent="0.25"/>
    <row r="58090" s="12" customFormat="1" x14ac:dyDescent="0.25"/>
    <row r="58091" s="12" customFormat="1" x14ac:dyDescent="0.25"/>
    <row r="58092" s="12" customFormat="1" x14ac:dyDescent="0.25"/>
    <row r="58093" s="12" customFormat="1" x14ac:dyDescent="0.25"/>
    <row r="58094" s="12" customFormat="1" x14ac:dyDescent="0.25"/>
    <row r="58095" s="12" customFormat="1" x14ac:dyDescent="0.25"/>
    <row r="58096" s="12" customFormat="1" x14ac:dyDescent="0.25"/>
    <row r="58097" s="12" customFormat="1" x14ac:dyDescent="0.25"/>
    <row r="58098" s="12" customFormat="1" x14ac:dyDescent="0.25"/>
    <row r="58099" s="12" customFormat="1" x14ac:dyDescent="0.25"/>
    <row r="58100" s="12" customFormat="1" x14ac:dyDescent="0.25"/>
    <row r="58101" s="12" customFormat="1" x14ac:dyDescent="0.25"/>
    <row r="58102" s="12" customFormat="1" x14ac:dyDescent="0.25"/>
    <row r="58103" s="12" customFormat="1" x14ac:dyDescent="0.25"/>
    <row r="58104" s="12" customFormat="1" x14ac:dyDescent="0.25"/>
    <row r="58105" s="12" customFormat="1" x14ac:dyDescent="0.25"/>
    <row r="58106" s="12" customFormat="1" x14ac:dyDescent="0.25"/>
    <row r="58107" s="12" customFormat="1" x14ac:dyDescent="0.25"/>
    <row r="58108" s="12" customFormat="1" x14ac:dyDescent="0.25"/>
    <row r="58109" s="12" customFormat="1" x14ac:dyDescent="0.25"/>
    <row r="58110" s="12" customFormat="1" x14ac:dyDescent="0.25"/>
    <row r="58111" s="12" customFormat="1" x14ac:dyDescent="0.25"/>
    <row r="58112" s="12" customFormat="1" x14ac:dyDescent="0.25"/>
    <row r="58113" s="12" customFormat="1" x14ac:dyDescent="0.25"/>
    <row r="58114" s="12" customFormat="1" x14ac:dyDescent="0.25"/>
    <row r="58115" s="12" customFormat="1" x14ac:dyDescent="0.25"/>
    <row r="58116" s="12" customFormat="1" x14ac:dyDescent="0.25"/>
    <row r="58117" s="12" customFormat="1" x14ac:dyDescent="0.25"/>
    <row r="58118" s="12" customFormat="1" x14ac:dyDescent="0.25"/>
    <row r="58119" s="12" customFormat="1" x14ac:dyDescent="0.25"/>
    <row r="58120" s="12" customFormat="1" x14ac:dyDescent="0.25"/>
    <row r="58121" s="12" customFormat="1" x14ac:dyDescent="0.25"/>
    <row r="58122" s="12" customFormat="1" x14ac:dyDescent="0.25"/>
    <row r="58123" s="12" customFormat="1" x14ac:dyDescent="0.25"/>
    <row r="58124" s="12" customFormat="1" x14ac:dyDescent="0.25"/>
    <row r="58125" s="12" customFormat="1" x14ac:dyDescent="0.25"/>
    <row r="58126" s="12" customFormat="1" x14ac:dyDescent="0.25"/>
    <row r="58127" s="12" customFormat="1" x14ac:dyDescent="0.25"/>
    <row r="58128" s="12" customFormat="1" x14ac:dyDescent="0.25"/>
    <row r="58129" s="12" customFormat="1" x14ac:dyDescent="0.25"/>
    <row r="58130" s="12" customFormat="1" x14ac:dyDescent="0.25"/>
    <row r="58131" s="12" customFormat="1" x14ac:dyDescent="0.25"/>
    <row r="58132" s="12" customFormat="1" x14ac:dyDescent="0.25"/>
    <row r="58133" s="12" customFormat="1" x14ac:dyDescent="0.25"/>
    <row r="58134" s="12" customFormat="1" x14ac:dyDescent="0.25"/>
    <row r="58135" s="12" customFormat="1" x14ac:dyDescent="0.25"/>
    <row r="58136" s="12" customFormat="1" x14ac:dyDescent="0.25"/>
    <row r="58137" s="12" customFormat="1" x14ac:dyDescent="0.25"/>
    <row r="58138" s="12" customFormat="1" x14ac:dyDescent="0.25"/>
    <row r="58139" s="12" customFormat="1" x14ac:dyDescent="0.25"/>
    <row r="58140" s="12" customFormat="1" x14ac:dyDescent="0.25"/>
    <row r="58141" s="12" customFormat="1" x14ac:dyDescent="0.25"/>
    <row r="58142" s="12" customFormat="1" x14ac:dyDescent="0.25"/>
    <row r="58143" s="12" customFormat="1" x14ac:dyDescent="0.25"/>
    <row r="58144" s="12" customFormat="1" x14ac:dyDescent="0.25"/>
    <row r="58145" s="12" customFormat="1" x14ac:dyDescent="0.25"/>
    <row r="58146" s="12" customFormat="1" x14ac:dyDescent="0.25"/>
    <row r="58147" s="12" customFormat="1" x14ac:dyDescent="0.25"/>
    <row r="58148" s="12" customFormat="1" x14ac:dyDescent="0.25"/>
    <row r="58149" s="12" customFormat="1" x14ac:dyDescent="0.25"/>
    <row r="58150" s="12" customFormat="1" x14ac:dyDescent="0.25"/>
    <row r="58151" s="12" customFormat="1" x14ac:dyDescent="0.25"/>
    <row r="58152" s="12" customFormat="1" x14ac:dyDescent="0.25"/>
    <row r="58153" s="12" customFormat="1" x14ac:dyDescent="0.25"/>
    <row r="58154" s="12" customFormat="1" x14ac:dyDescent="0.25"/>
    <row r="58155" s="12" customFormat="1" x14ac:dyDescent="0.25"/>
    <row r="58156" s="12" customFormat="1" x14ac:dyDescent="0.25"/>
    <row r="58157" s="12" customFormat="1" x14ac:dyDescent="0.25"/>
    <row r="58158" s="12" customFormat="1" x14ac:dyDescent="0.25"/>
    <row r="58159" s="12" customFormat="1" x14ac:dyDescent="0.25"/>
    <row r="58160" s="12" customFormat="1" x14ac:dyDescent="0.25"/>
    <row r="58161" s="12" customFormat="1" x14ac:dyDescent="0.25"/>
    <row r="58162" s="12" customFormat="1" x14ac:dyDescent="0.25"/>
    <row r="58163" s="12" customFormat="1" x14ac:dyDescent="0.25"/>
    <row r="58164" s="12" customFormat="1" x14ac:dyDescent="0.25"/>
    <row r="58165" s="12" customFormat="1" x14ac:dyDescent="0.25"/>
    <row r="58166" s="12" customFormat="1" x14ac:dyDescent="0.25"/>
    <row r="58167" s="12" customFormat="1" x14ac:dyDescent="0.25"/>
    <row r="58168" s="12" customFormat="1" x14ac:dyDescent="0.25"/>
    <row r="58169" s="12" customFormat="1" x14ac:dyDescent="0.25"/>
    <row r="58170" s="12" customFormat="1" x14ac:dyDescent="0.25"/>
    <row r="58171" s="12" customFormat="1" x14ac:dyDescent="0.25"/>
    <row r="58172" s="12" customFormat="1" x14ac:dyDescent="0.25"/>
    <row r="58173" s="12" customFormat="1" x14ac:dyDescent="0.25"/>
    <row r="58174" s="12" customFormat="1" x14ac:dyDescent="0.25"/>
    <row r="58175" s="12" customFormat="1" x14ac:dyDescent="0.25"/>
    <row r="58176" s="12" customFormat="1" x14ac:dyDescent="0.25"/>
    <row r="58177" s="12" customFormat="1" x14ac:dyDescent="0.25"/>
    <row r="58178" s="12" customFormat="1" x14ac:dyDescent="0.25"/>
    <row r="58179" s="12" customFormat="1" x14ac:dyDescent="0.25"/>
    <row r="58180" s="12" customFormat="1" x14ac:dyDescent="0.25"/>
    <row r="58181" s="12" customFormat="1" x14ac:dyDescent="0.25"/>
    <row r="58182" s="12" customFormat="1" x14ac:dyDescent="0.25"/>
    <row r="58183" s="12" customFormat="1" x14ac:dyDescent="0.25"/>
    <row r="58184" s="12" customFormat="1" x14ac:dyDescent="0.25"/>
    <row r="58185" s="12" customFormat="1" x14ac:dyDescent="0.25"/>
    <row r="58186" s="12" customFormat="1" x14ac:dyDescent="0.25"/>
    <row r="58187" s="12" customFormat="1" x14ac:dyDescent="0.25"/>
    <row r="58188" s="12" customFormat="1" x14ac:dyDescent="0.25"/>
    <row r="58189" s="12" customFormat="1" x14ac:dyDescent="0.25"/>
    <row r="58190" s="12" customFormat="1" x14ac:dyDescent="0.25"/>
    <row r="58191" s="12" customFormat="1" x14ac:dyDescent="0.25"/>
    <row r="58192" s="12" customFormat="1" x14ac:dyDescent="0.25"/>
    <row r="58193" s="12" customFormat="1" x14ac:dyDescent="0.25"/>
    <row r="58194" s="12" customFormat="1" x14ac:dyDescent="0.25"/>
    <row r="58195" s="12" customFormat="1" x14ac:dyDescent="0.25"/>
    <row r="58196" s="12" customFormat="1" x14ac:dyDescent="0.25"/>
    <row r="58197" s="12" customFormat="1" x14ac:dyDescent="0.25"/>
    <row r="58198" s="12" customFormat="1" x14ac:dyDescent="0.25"/>
    <row r="58199" s="12" customFormat="1" x14ac:dyDescent="0.25"/>
    <row r="58200" s="12" customFormat="1" x14ac:dyDescent="0.25"/>
    <row r="58201" s="12" customFormat="1" x14ac:dyDescent="0.25"/>
    <row r="58202" s="12" customFormat="1" x14ac:dyDescent="0.25"/>
    <row r="58203" s="12" customFormat="1" x14ac:dyDescent="0.25"/>
    <row r="58204" s="12" customFormat="1" x14ac:dyDescent="0.25"/>
    <row r="58205" s="12" customFormat="1" x14ac:dyDescent="0.25"/>
    <row r="58206" s="12" customFormat="1" x14ac:dyDescent="0.25"/>
    <row r="58207" s="12" customFormat="1" x14ac:dyDescent="0.25"/>
    <row r="58208" s="12" customFormat="1" x14ac:dyDescent="0.25"/>
    <row r="58209" s="12" customFormat="1" x14ac:dyDescent="0.25"/>
    <row r="58210" s="12" customFormat="1" x14ac:dyDescent="0.25"/>
    <row r="58211" s="12" customFormat="1" x14ac:dyDescent="0.25"/>
    <row r="58212" s="12" customFormat="1" x14ac:dyDescent="0.25"/>
    <row r="58213" s="12" customFormat="1" x14ac:dyDescent="0.25"/>
    <row r="58214" s="12" customFormat="1" x14ac:dyDescent="0.25"/>
    <row r="58215" s="12" customFormat="1" x14ac:dyDescent="0.25"/>
    <row r="58216" s="12" customFormat="1" x14ac:dyDescent="0.25"/>
    <row r="58217" s="12" customFormat="1" x14ac:dyDescent="0.25"/>
    <row r="58218" s="12" customFormat="1" x14ac:dyDescent="0.25"/>
    <row r="58219" s="12" customFormat="1" x14ac:dyDescent="0.25"/>
    <row r="58220" s="12" customFormat="1" x14ac:dyDescent="0.25"/>
    <row r="58221" s="12" customFormat="1" x14ac:dyDescent="0.25"/>
    <row r="58222" s="12" customFormat="1" x14ac:dyDescent="0.25"/>
    <row r="58223" s="12" customFormat="1" x14ac:dyDescent="0.25"/>
    <row r="58224" s="12" customFormat="1" x14ac:dyDescent="0.25"/>
    <row r="58225" s="12" customFormat="1" x14ac:dyDescent="0.25"/>
    <row r="58226" s="12" customFormat="1" x14ac:dyDescent="0.25"/>
    <row r="58227" s="12" customFormat="1" x14ac:dyDescent="0.25"/>
    <row r="58228" s="12" customFormat="1" x14ac:dyDescent="0.25"/>
    <row r="58229" s="12" customFormat="1" x14ac:dyDescent="0.25"/>
    <row r="58230" s="12" customFormat="1" x14ac:dyDescent="0.25"/>
    <row r="58231" s="12" customFormat="1" x14ac:dyDescent="0.25"/>
    <row r="58232" s="12" customFormat="1" x14ac:dyDescent="0.25"/>
    <row r="58233" s="12" customFormat="1" x14ac:dyDescent="0.25"/>
    <row r="58234" s="12" customFormat="1" x14ac:dyDescent="0.25"/>
    <row r="58235" s="12" customFormat="1" x14ac:dyDescent="0.25"/>
    <row r="58236" s="12" customFormat="1" x14ac:dyDescent="0.25"/>
    <row r="58237" s="12" customFormat="1" x14ac:dyDescent="0.25"/>
    <row r="58238" s="12" customFormat="1" x14ac:dyDescent="0.25"/>
    <row r="58239" s="12" customFormat="1" x14ac:dyDescent="0.25"/>
    <row r="58240" s="12" customFormat="1" x14ac:dyDescent="0.25"/>
    <row r="58241" s="12" customFormat="1" x14ac:dyDescent="0.25"/>
    <row r="58242" s="12" customFormat="1" x14ac:dyDescent="0.25"/>
    <row r="58243" s="12" customFormat="1" x14ac:dyDescent="0.25"/>
    <row r="58244" s="12" customFormat="1" x14ac:dyDescent="0.25"/>
    <row r="58245" s="12" customFormat="1" x14ac:dyDescent="0.25"/>
    <row r="58246" s="12" customFormat="1" x14ac:dyDescent="0.25"/>
    <row r="58247" s="12" customFormat="1" x14ac:dyDescent="0.25"/>
    <row r="58248" s="12" customFormat="1" x14ac:dyDescent="0.25"/>
    <row r="58249" s="12" customFormat="1" x14ac:dyDescent="0.25"/>
    <row r="58250" s="12" customFormat="1" x14ac:dyDescent="0.25"/>
    <row r="58251" s="12" customFormat="1" x14ac:dyDescent="0.25"/>
    <row r="58252" s="12" customFormat="1" x14ac:dyDescent="0.25"/>
    <row r="58253" s="12" customFormat="1" x14ac:dyDescent="0.25"/>
    <row r="58254" s="12" customFormat="1" x14ac:dyDescent="0.25"/>
    <row r="58255" s="12" customFormat="1" x14ac:dyDescent="0.25"/>
    <row r="58256" s="12" customFormat="1" x14ac:dyDescent="0.25"/>
    <row r="58257" s="12" customFormat="1" x14ac:dyDescent="0.25"/>
    <row r="58258" s="12" customFormat="1" x14ac:dyDescent="0.25"/>
    <row r="58259" s="12" customFormat="1" x14ac:dyDescent="0.25"/>
    <row r="58260" s="12" customFormat="1" x14ac:dyDescent="0.25"/>
    <row r="58261" s="12" customFormat="1" x14ac:dyDescent="0.25"/>
    <row r="58262" s="12" customFormat="1" x14ac:dyDescent="0.25"/>
    <row r="58263" s="12" customFormat="1" x14ac:dyDescent="0.25"/>
    <row r="58264" s="12" customFormat="1" x14ac:dyDescent="0.25"/>
    <row r="58265" s="12" customFormat="1" x14ac:dyDescent="0.25"/>
    <row r="58266" s="12" customFormat="1" x14ac:dyDescent="0.25"/>
    <row r="58267" s="12" customFormat="1" x14ac:dyDescent="0.25"/>
    <row r="58268" s="12" customFormat="1" x14ac:dyDescent="0.25"/>
    <row r="58269" s="12" customFormat="1" x14ac:dyDescent="0.25"/>
    <row r="58270" s="12" customFormat="1" x14ac:dyDescent="0.25"/>
    <row r="58271" s="12" customFormat="1" x14ac:dyDescent="0.25"/>
    <row r="58272" s="12" customFormat="1" x14ac:dyDescent="0.25"/>
    <row r="58273" s="12" customFormat="1" x14ac:dyDescent="0.25"/>
    <row r="58274" s="12" customFormat="1" x14ac:dyDescent="0.25"/>
    <row r="58275" s="12" customFormat="1" x14ac:dyDescent="0.25"/>
    <row r="58276" s="12" customFormat="1" x14ac:dyDescent="0.25"/>
    <row r="58277" s="12" customFormat="1" x14ac:dyDescent="0.25"/>
    <row r="58278" s="12" customFormat="1" x14ac:dyDescent="0.25"/>
    <row r="58279" s="12" customFormat="1" x14ac:dyDescent="0.25"/>
    <row r="58280" s="12" customFormat="1" x14ac:dyDescent="0.25"/>
    <row r="58281" s="12" customFormat="1" x14ac:dyDescent="0.25"/>
    <row r="58282" s="12" customFormat="1" x14ac:dyDescent="0.25"/>
    <row r="58283" s="12" customFormat="1" x14ac:dyDescent="0.25"/>
    <row r="58284" s="12" customFormat="1" x14ac:dyDescent="0.25"/>
    <row r="58285" s="12" customFormat="1" x14ac:dyDescent="0.25"/>
    <row r="58286" s="12" customFormat="1" x14ac:dyDescent="0.25"/>
    <row r="58287" s="12" customFormat="1" x14ac:dyDescent="0.25"/>
    <row r="58288" s="12" customFormat="1" x14ac:dyDescent="0.25"/>
    <row r="58289" s="12" customFormat="1" x14ac:dyDescent="0.25"/>
    <row r="58290" s="12" customFormat="1" x14ac:dyDescent="0.25"/>
    <row r="58291" s="12" customFormat="1" x14ac:dyDescent="0.25"/>
    <row r="58292" s="12" customFormat="1" x14ac:dyDescent="0.25"/>
    <row r="58293" s="12" customFormat="1" x14ac:dyDescent="0.25"/>
    <row r="58294" s="12" customFormat="1" x14ac:dyDescent="0.25"/>
    <row r="58295" s="12" customFormat="1" x14ac:dyDescent="0.25"/>
    <row r="58296" s="12" customFormat="1" x14ac:dyDescent="0.25"/>
    <row r="58297" s="12" customFormat="1" x14ac:dyDescent="0.25"/>
    <row r="58298" s="12" customFormat="1" x14ac:dyDescent="0.25"/>
    <row r="58299" s="12" customFormat="1" x14ac:dyDescent="0.25"/>
    <row r="58300" s="12" customFormat="1" x14ac:dyDescent="0.25"/>
    <row r="58301" s="12" customFormat="1" x14ac:dyDescent="0.25"/>
    <row r="58302" s="12" customFormat="1" x14ac:dyDescent="0.25"/>
    <row r="58303" s="12" customFormat="1" x14ac:dyDescent="0.25"/>
    <row r="58304" s="12" customFormat="1" x14ac:dyDescent="0.25"/>
    <row r="58305" s="12" customFormat="1" x14ac:dyDescent="0.25"/>
    <row r="58306" s="12" customFormat="1" x14ac:dyDescent="0.25"/>
    <row r="58307" s="12" customFormat="1" x14ac:dyDescent="0.25"/>
    <row r="58308" s="12" customFormat="1" x14ac:dyDescent="0.25"/>
    <row r="58309" s="12" customFormat="1" x14ac:dyDescent="0.25"/>
    <row r="58310" s="12" customFormat="1" x14ac:dyDescent="0.25"/>
    <row r="58311" s="12" customFormat="1" x14ac:dyDescent="0.25"/>
    <row r="58312" s="12" customFormat="1" x14ac:dyDescent="0.25"/>
    <row r="58313" s="12" customFormat="1" x14ac:dyDescent="0.25"/>
    <row r="58314" s="12" customFormat="1" x14ac:dyDescent="0.25"/>
    <row r="58315" s="12" customFormat="1" x14ac:dyDescent="0.25"/>
    <row r="58316" s="12" customFormat="1" x14ac:dyDescent="0.25"/>
    <row r="58317" s="12" customFormat="1" x14ac:dyDescent="0.25"/>
    <row r="58318" s="12" customFormat="1" x14ac:dyDescent="0.25"/>
    <row r="58319" s="12" customFormat="1" x14ac:dyDescent="0.25"/>
    <row r="58320" s="12" customFormat="1" x14ac:dyDescent="0.25"/>
    <row r="58321" s="12" customFormat="1" x14ac:dyDescent="0.25"/>
    <row r="58322" s="12" customFormat="1" x14ac:dyDescent="0.25"/>
    <row r="58323" s="12" customFormat="1" x14ac:dyDescent="0.25"/>
    <row r="58324" s="12" customFormat="1" x14ac:dyDescent="0.25"/>
    <row r="58325" s="12" customFormat="1" x14ac:dyDescent="0.25"/>
    <row r="58326" s="12" customFormat="1" x14ac:dyDescent="0.25"/>
    <row r="58327" s="12" customFormat="1" x14ac:dyDescent="0.25"/>
    <row r="58328" s="12" customFormat="1" x14ac:dyDescent="0.25"/>
    <row r="58329" s="12" customFormat="1" x14ac:dyDescent="0.25"/>
    <row r="58330" s="12" customFormat="1" x14ac:dyDescent="0.25"/>
    <row r="58331" s="12" customFormat="1" x14ac:dyDescent="0.25"/>
    <row r="58332" s="12" customFormat="1" x14ac:dyDescent="0.25"/>
    <row r="58333" s="12" customFormat="1" x14ac:dyDescent="0.25"/>
    <row r="58334" s="12" customFormat="1" x14ac:dyDescent="0.25"/>
    <row r="58335" s="12" customFormat="1" x14ac:dyDescent="0.25"/>
    <row r="58336" s="12" customFormat="1" x14ac:dyDescent="0.25"/>
    <row r="58337" s="12" customFormat="1" x14ac:dyDescent="0.25"/>
    <row r="58338" s="12" customFormat="1" x14ac:dyDescent="0.25"/>
    <row r="58339" s="12" customFormat="1" x14ac:dyDescent="0.25"/>
    <row r="58340" s="12" customFormat="1" x14ac:dyDescent="0.25"/>
    <row r="58341" s="12" customFormat="1" x14ac:dyDescent="0.25"/>
    <row r="58342" s="12" customFormat="1" x14ac:dyDescent="0.25"/>
    <row r="58343" s="12" customFormat="1" x14ac:dyDescent="0.25"/>
    <row r="58344" s="12" customFormat="1" x14ac:dyDescent="0.25"/>
    <row r="58345" s="12" customFormat="1" x14ac:dyDescent="0.25"/>
    <row r="58346" s="12" customFormat="1" x14ac:dyDescent="0.25"/>
    <row r="58347" s="12" customFormat="1" x14ac:dyDescent="0.25"/>
    <row r="58348" s="12" customFormat="1" x14ac:dyDescent="0.25"/>
    <row r="58349" s="12" customFormat="1" x14ac:dyDescent="0.25"/>
    <row r="58350" s="12" customFormat="1" x14ac:dyDescent="0.25"/>
    <row r="58351" s="12" customFormat="1" x14ac:dyDescent="0.25"/>
    <row r="58352" s="12" customFormat="1" x14ac:dyDescent="0.25"/>
    <row r="58353" s="12" customFormat="1" x14ac:dyDescent="0.25"/>
    <row r="58354" s="12" customFormat="1" x14ac:dyDescent="0.25"/>
    <row r="58355" s="12" customFormat="1" x14ac:dyDescent="0.25"/>
    <row r="58356" s="12" customFormat="1" x14ac:dyDescent="0.25"/>
    <row r="58357" s="12" customFormat="1" x14ac:dyDescent="0.25"/>
    <row r="58358" s="12" customFormat="1" x14ac:dyDescent="0.25"/>
    <row r="58359" s="12" customFormat="1" x14ac:dyDescent="0.25"/>
    <row r="58360" s="12" customFormat="1" x14ac:dyDescent="0.25"/>
    <row r="58361" s="12" customFormat="1" x14ac:dyDescent="0.25"/>
    <row r="58362" s="12" customFormat="1" x14ac:dyDescent="0.25"/>
    <row r="58363" s="12" customFormat="1" x14ac:dyDescent="0.25"/>
    <row r="58364" s="12" customFormat="1" x14ac:dyDescent="0.25"/>
    <row r="58365" s="12" customFormat="1" x14ac:dyDescent="0.25"/>
    <row r="58366" s="12" customFormat="1" x14ac:dyDescent="0.25"/>
    <row r="58367" s="12" customFormat="1" x14ac:dyDescent="0.25"/>
    <row r="58368" s="12" customFormat="1" x14ac:dyDescent="0.25"/>
    <row r="58369" s="12" customFormat="1" x14ac:dyDescent="0.25"/>
    <row r="58370" s="12" customFormat="1" x14ac:dyDescent="0.25"/>
    <row r="58371" s="12" customFormat="1" x14ac:dyDescent="0.25"/>
    <row r="58372" s="12" customFormat="1" x14ac:dyDescent="0.25"/>
    <row r="58373" s="12" customFormat="1" x14ac:dyDescent="0.25"/>
    <row r="58374" s="12" customFormat="1" x14ac:dyDescent="0.25"/>
    <row r="58375" s="12" customFormat="1" x14ac:dyDescent="0.25"/>
    <row r="58376" s="12" customFormat="1" x14ac:dyDescent="0.25"/>
    <row r="58377" s="12" customFormat="1" x14ac:dyDescent="0.25"/>
    <row r="58378" s="12" customFormat="1" x14ac:dyDescent="0.25"/>
    <row r="58379" s="12" customFormat="1" x14ac:dyDescent="0.25"/>
    <row r="58380" s="12" customFormat="1" x14ac:dyDescent="0.25"/>
    <row r="58381" s="12" customFormat="1" x14ac:dyDescent="0.25"/>
    <row r="58382" s="12" customFormat="1" x14ac:dyDescent="0.25"/>
    <row r="58383" s="12" customFormat="1" x14ac:dyDescent="0.25"/>
    <row r="58384" s="12" customFormat="1" x14ac:dyDescent="0.25"/>
    <row r="58385" s="12" customFormat="1" x14ac:dyDescent="0.25"/>
    <row r="58386" s="12" customFormat="1" x14ac:dyDescent="0.25"/>
    <row r="58387" s="12" customFormat="1" x14ac:dyDescent="0.25"/>
    <row r="58388" s="12" customFormat="1" x14ac:dyDescent="0.25"/>
    <row r="58389" s="12" customFormat="1" x14ac:dyDescent="0.25"/>
    <row r="58390" s="12" customFormat="1" x14ac:dyDescent="0.25"/>
    <row r="58391" s="12" customFormat="1" x14ac:dyDescent="0.25"/>
    <row r="58392" s="12" customFormat="1" x14ac:dyDescent="0.25"/>
    <row r="58393" s="12" customFormat="1" x14ac:dyDescent="0.25"/>
    <row r="58394" s="12" customFormat="1" x14ac:dyDescent="0.25"/>
    <row r="58395" s="12" customFormat="1" x14ac:dyDescent="0.25"/>
    <row r="58396" s="12" customFormat="1" x14ac:dyDescent="0.25"/>
    <row r="58397" s="12" customFormat="1" x14ac:dyDescent="0.25"/>
    <row r="58398" s="12" customFormat="1" x14ac:dyDescent="0.25"/>
    <row r="58399" s="12" customFormat="1" x14ac:dyDescent="0.25"/>
    <row r="58400" s="12" customFormat="1" x14ac:dyDescent="0.25"/>
    <row r="58401" s="12" customFormat="1" x14ac:dyDescent="0.25"/>
    <row r="58402" s="12" customFormat="1" x14ac:dyDescent="0.25"/>
    <row r="58403" s="12" customFormat="1" x14ac:dyDescent="0.25"/>
    <row r="58404" s="12" customFormat="1" x14ac:dyDescent="0.25"/>
    <row r="58405" s="12" customFormat="1" x14ac:dyDescent="0.25"/>
    <row r="58406" s="12" customFormat="1" x14ac:dyDescent="0.25"/>
    <row r="58407" s="12" customFormat="1" x14ac:dyDescent="0.25"/>
    <row r="58408" s="12" customFormat="1" x14ac:dyDescent="0.25"/>
    <row r="58409" s="12" customFormat="1" x14ac:dyDescent="0.25"/>
    <row r="58410" s="12" customFormat="1" x14ac:dyDescent="0.25"/>
    <row r="58411" s="12" customFormat="1" x14ac:dyDescent="0.25"/>
    <row r="58412" s="12" customFormat="1" x14ac:dyDescent="0.25"/>
    <row r="58413" s="12" customFormat="1" x14ac:dyDescent="0.25"/>
    <row r="58414" s="12" customFormat="1" x14ac:dyDescent="0.25"/>
    <row r="58415" s="12" customFormat="1" x14ac:dyDescent="0.25"/>
    <row r="58416" s="12" customFormat="1" x14ac:dyDescent="0.25"/>
    <row r="58417" s="12" customFormat="1" x14ac:dyDescent="0.25"/>
    <row r="58418" s="12" customFormat="1" x14ac:dyDescent="0.25"/>
    <row r="58419" s="12" customFormat="1" x14ac:dyDescent="0.25"/>
    <row r="58420" s="12" customFormat="1" x14ac:dyDescent="0.25"/>
    <row r="58421" s="12" customFormat="1" x14ac:dyDescent="0.25"/>
    <row r="58422" s="12" customFormat="1" x14ac:dyDescent="0.25"/>
    <row r="58423" s="12" customFormat="1" x14ac:dyDescent="0.25"/>
    <row r="58424" s="12" customFormat="1" x14ac:dyDescent="0.25"/>
    <row r="58425" s="12" customFormat="1" x14ac:dyDescent="0.25"/>
    <row r="58426" s="12" customFormat="1" x14ac:dyDescent="0.25"/>
    <row r="58427" s="12" customFormat="1" x14ac:dyDescent="0.25"/>
    <row r="58428" s="12" customFormat="1" x14ac:dyDescent="0.25"/>
    <row r="58429" s="12" customFormat="1" x14ac:dyDescent="0.25"/>
    <row r="58430" s="12" customFormat="1" x14ac:dyDescent="0.25"/>
    <row r="58431" s="12" customFormat="1" x14ac:dyDescent="0.25"/>
    <row r="58432" s="12" customFormat="1" x14ac:dyDescent="0.25"/>
    <row r="58433" s="12" customFormat="1" x14ac:dyDescent="0.25"/>
    <row r="58434" s="12" customFormat="1" x14ac:dyDescent="0.25"/>
    <row r="58435" s="12" customFormat="1" x14ac:dyDescent="0.25"/>
    <row r="58436" s="12" customFormat="1" x14ac:dyDescent="0.25"/>
    <row r="58437" s="12" customFormat="1" x14ac:dyDescent="0.25"/>
    <row r="58438" s="12" customFormat="1" x14ac:dyDescent="0.25"/>
    <row r="58439" s="12" customFormat="1" x14ac:dyDescent="0.25"/>
    <row r="58440" s="12" customFormat="1" x14ac:dyDescent="0.25"/>
    <row r="58441" s="12" customFormat="1" x14ac:dyDescent="0.25"/>
    <row r="58442" s="12" customFormat="1" x14ac:dyDescent="0.25"/>
    <row r="58443" s="12" customFormat="1" x14ac:dyDescent="0.25"/>
    <row r="58444" s="12" customFormat="1" x14ac:dyDescent="0.25"/>
    <row r="58445" s="12" customFormat="1" x14ac:dyDescent="0.25"/>
    <row r="58446" s="12" customFormat="1" x14ac:dyDescent="0.25"/>
    <row r="58447" s="12" customFormat="1" x14ac:dyDescent="0.25"/>
    <row r="58448" s="12" customFormat="1" x14ac:dyDescent="0.25"/>
    <row r="58449" s="12" customFormat="1" x14ac:dyDescent="0.25"/>
    <row r="58450" s="12" customFormat="1" x14ac:dyDescent="0.25"/>
    <row r="58451" s="12" customFormat="1" x14ac:dyDescent="0.25"/>
    <row r="58452" s="12" customFormat="1" x14ac:dyDescent="0.25"/>
    <row r="58453" s="12" customFormat="1" x14ac:dyDescent="0.25"/>
    <row r="58454" s="12" customFormat="1" x14ac:dyDescent="0.25"/>
    <row r="58455" s="12" customFormat="1" x14ac:dyDescent="0.25"/>
    <row r="58456" s="12" customFormat="1" x14ac:dyDescent="0.25"/>
    <row r="58457" s="12" customFormat="1" x14ac:dyDescent="0.25"/>
    <row r="58458" s="12" customFormat="1" x14ac:dyDescent="0.25"/>
    <row r="58459" s="12" customFormat="1" x14ac:dyDescent="0.25"/>
    <row r="58460" s="12" customFormat="1" x14ac:dyDescent="0.25"/>
    <row r="58461" s="12" customFormat="1" x14ac:dyDescent="0.25"/>
    <row r="58462" s="12" customFormat="1" x14ac:dyDescent="0.25"/>
    <row r="58463" s="12" customFormat="1" x14ac:dyDescent="0.25"/>
    <row r="58464" s="12" customFormat="1" x14ac:dyDescent="0.25"/>
    <row r="58465" s="12" customFormat="1" x14ac:dyDescent="0.25"/>
    <row r="58466" s="12" customFormat="1" x14ac:dyDescent="0.25"/>
    <row r="58467" s="12" customFormat="1" x14ac:dyDescent="0.25"/>
    <row r="58468" s="12" customFormat="1" x14ac:dyDescent="0.25"/>
    <row r="58469" s="12" customFormat="1" x14ac:dyDescent="0.25"/>
    <row r="58470" s="12" customFormat="1" x14ac:dyDescent="0.25"/>
    <row r="58471" s="12" customFormat="1" x14ac:dyDescent="0.25"/>
    <row r="58472" s="12" customFormat="1" x14ac:dyDescent="0.25"/>
    <row r="58473" s="12" customFormat="1" x14ac:dyDescent="0.25"/>
    <row r="58474" s="12" customFormat="1" x14ac:dyDescent="0.25"/>
    <row r="58475" s="12" customFormat="1" x14ac:dyDescent="0.25"/>
    <row r="58476" s="12" customFormat="1" x14ac:dyDescent="0.25"/>
    <row r="58477" s="12" customFormat="1" x14ac:dyDescent="0.25"/>
    <row r="58478" s="12" customFormat="1" x14ac:dyDescent="0.25"/>
    <row r="58479" s="12" customFormat="1" x14ac:dyDescent="0.25"/>
    <row r="58480" s="12" customFormat="1" x14ac:dyDescent="0.25"/>
    <row r="58481" s="12" customFormat="1" x14ac:dyDescent="0.25"/>
    <row r="58482" s="12" customFormat="1" x14ac:dyDescent="0.25"/>
    <row r="58483" s="12" customFormat="1" x14ac:dyDescent="0.25"/>
    <row r="58484" s="12" customFormat="1" x14ac:dyDescent="0.25"/>
    <row r="58485" s="12" customFormat="1" x14ac:dyDescent="0.25"/>
    <row r="58486" s="12" customFormat="1" x14ac:dyDescent="0.25"/>
    <row r="58487" s="12" customFormat="1" x14ac:dyDescent="0.25"/>
    <row r="58488" s="12" customFormat="1" x14ac:dyDescent="0.25"/>
    <row r="58489" s="12" customFormat="1" x14ac:dyDescent="0.25"/>
    <row r="58490" s="12" customFormat="1" x14ac:dyDescent="0.25"/>
    <row r="58491" s="12" customFormat="1" x14ac:dyDescent="0.25"/>
    <row r="58492" s="12" customFormat="1" x14ac:dyDescent="0.25"/>
    <row r="58493" s="12" customFormat="1" x14ac:dyDescent="0.25"/>
    <row r="58494" s="12" customFormat="1" x14ac:dyDescent="0.25"/>
    <row r="58495" s="12" customFormat="1" x14ac:dyDescent="0.25"/>
    <row r="58496" s="12" customFormat="1" x14ac:dyDescent="0.25"/>
    <row r="58497" s="12" customFormat="1" x14ac:dyDescent="0.25"/>
    <row r="58498" s="12" customFormat="1" x14ac:dyDescent="0.25"/>
    <row r="58499" s="12" customFormat="1" x14ac:dyDescent="0.25"/>
    <row r="58500" s="12" customFormat="1" x14ac:dyDescent="0.25"/>
    <row r="58501" s="12" customFormat="1" x14ac:dyDescent="0.25"/>
    <row r="58502" s="12" customFormat="1" x14ac:dyDescent="0.25"/>
    <row r="58503" s="12" customFormat="1" x14ac:dyDescent="0.25"/>
    <row r="58504" s="12" customFormat="1" x14ac:dyDescent="0.25"/>
    <row r="58505" s="12" customFormat="1" x14ac:dyDescent="0.25"/>
    <row r="58506" s="12" customFormat="1" x14ac:dyDescent="0.25"/>
    <row r="58507" s="12" customFormat="1" x14ac:dyDescent="0.25"/>
    <row r="58508" s="12" customFormat="1" x14ac:dyDescent="0.25"/>
    <row r="58509" s="12" customFormat="1" x14ac:dyDescent="0.25"/>
    <row r="58510" s="12" customFormat="1" x14ac:dyDescent="0.25"/>
    <row r="58511" s="12" customFormat="1" x14ac:dyDescent="0.25"/>
    <row r="58512" s="12" customFormat="1" x14ac:dyDescent="0.25"/>
    <row r="58513" s="12" customFormat="1" x14ac:dyDescent="0.25"/>
    <row r="58514" s="12" customFormat="1" x14ac:dyDescent="0.25"/>
    <row r="58515" s="12" customFormat="1" x14ac:dyDescent="0.25"/>
    <row r="58516" s="12" customFormat="1" x14ac:dyDescent="0.25"/>
    <row r="58517" s="12" customFormat="1" x14ac:dyDescent="0.25"/>
    <row r="58518" s="12" customFormat="1" x14ac:dyDescent="0.25"/>
    <row r="58519" s="12" customFormat="1" x14ac:dyDescent="0.25"/>
    <row r="58520" s="12" customFormat="1" x14ac:dyDescent="0.25"/>
    <row r="58521" s="12" customFormat="1" x14ac:dyDescent="0.25"/>
    <row r="58522" s="12" customFormat="1" x14ac:dyDescent="0.25"/>
    <row r="58523" s="12" customFormat="1" x14ac:dyDescent="0.25"/>
    <row r="58524" s="12" customFormat="1" x14ac:dyDescent="0.25"/>
    <row r="58525" s="12" customFormat="1" x14ac:dyDescent="0.25"/>
    <row r="58526" s="12" customFormat="1" x14ac:dyDescent="0.25"/>
    <row r="58527" s="12" customFormat="1" x14ac:dyDescent="0.25"/>
    <row r="58528" s="12" customFormat="1" x14ac:dyDescent="0.25"/>
    <row r="58529" s="12" customFormat="1" x14ac:dyDescent="0.25"/>
    <row r="58530" s="12" customFormat="1" x14ac:dyDescent="0.25"/>
    <row r="58531" s="12" customFormat="1" x14ac:dyDescent="0.25"/>
    <row r="58532" s="12" customFormat="1" x14ac:dyDescent="0.25"/>
    <row r="58533" s="12" customFormat="1" x14ac:dyDescent="0.25"/>
    <row r="58534" s="12" customFormat="1" x14ac:dyDescent="0.25"/>
    <row r="58535" s="12" customFormat="1" x14ac:dyDescent="0.25"/>
    <row r="58536" s="12" customFormat="1" x14ac:dyDescent="0.25"/>
    <row r="58537" s="12" customFormat="1" x14ac:dyDescent="0.25"/>
    <row r="58538" s="12" customFormat="1" x14ac:dyDescent="0.25"/>
    <row r="58539" s="12" customFormat="1" x14ac:dyDescent="0.25"/>
    <row r="58540" s="12" customFormat="1" x14ac:dyDescent="0.25"/>
    <row r="58541" s="12" customFormat="1" x14ac:dyDescent="0.25"/>
    <row r="58542" s="12" customFormat="1" x14ac:dyDescent="0.25"/>
    <row r="58543" s="12" customFormat="1" x14ac:dyDescent="0.25"/>
    <row r="58544" s="12" customFormat="1" x14ac:dyDescent="0.25"/>
    <row r="58545" s="12" customFormat="1" x14ac:dyDescent="0.25"/>
    <row r="58546" s="12" customFormat="1" x14ac:dyDescent="0.25"/>
    <row r="58547" s="12" customFormat="1" x14ac:dyDescent="0.25"/>
    <row r="58548" s="12" customFormat="1" x14ac:dyDescent="0.25"/>
    <row r="58549" s="12" customFormat="1" x14ac:dyDescent="0.25"/>
    <row r="58550" s="12" customFormat="1" x14ac:dyDescent="0.25"/>
    <row r="58551" s="12" customFormat="1" x14ac:dyDescent="0.25"/>
    <row r="58552" s="12" customFormat="1" x14ac:dyDescent="0.25"/>
    <row r="58553" s="12" customFormat="1" x14ac:dyDescent="0.25"/>
    <row r="58554" s="12" customFormat="1" x14ac:dyDescent="0.25"/>
    <row r="58555" s="12" customFormat="1" x14ac:dyDescent="0.25"/>
    <row r="58556" s="12" customFormat="1" x14ac:dyDescent="0.25"/>
    <row r="58557" s="12" customFormat="1" x14ac:dyDescent="0.25"/>
    <row r="58558" s="12" customFormat="1" x14ac:dyDescent="0.25"/>
    <row r="58559" s="12" customFormat="1" x14ac:dyDescent="0.25"/>
    <row r="58560" s="12" customFormat="1" x14ac:dyDescent="0.25"/>
    <row r="58561" s="12" customFormat="1" x14ac:dyDescent="0.25"/>
    <row r="58562" s="12" customFormat="1" x14ac:dyDescent="0.25"/>
    <row r="58563" s="12" customFormat="1" x14ac:dyDescent="0.25"/>
    <row r="58564" s="12" customFormat="1" x14ac:dyDescent="0.25"/>
    <row r="58565" s="12" customFormat="1" x14ac:dyDescent="0.25"/>
    <row r="58566" s="12" customFormat="1" x14ac:dyDescent="0.25"/>
    <row r="58567" s="12" customFormat="1" x14ac:dyDescent="0.25"/>
    <row r="58568" s="12" customFormat="1" x14ac:dyDescent="0.25"/>
    <row r="58569" s="12" customFormat="1" x14ac:dyDescent="0.25"/>
    <row r="58570" s="12" customFormat="1" x14ac:dyDescent="0.25"/>
    <row r="58571" s="12" customFormat="1" x14ac:dyDescent="0.25"/>
    <row r="58572" s="12" customFormat="1" x14ac:dyDescent="0.25"/>
    <row r="58573" s="12" customFormat="1" x14ac:dyDescent="0.25"/>
    <row r="58574" s="12" customFormat="1" x14ac:dyDescent="0.25"/>
    <row r="58575" s="12" customFormat="1" x14ac:dyDescent="0.25"/>
    <row r="58576" s="12" customFormat="1" x14ac:dyDescent="0.25"/>
    <row r="58577" s="12" customFormat="1" x14ac:dyDescent="0.25"/>
    <row r="58578" s="12" customFormat="1" x14ac:dyDescent="0.25"/>
    <row r="58579" s="12" customFormat="1" x14ac:dyDescent="0.25"/>
    <row r="58580" s="12" customFormat="1" x14ac:dyDescent="0.25"/>
    <row r="58581" s="12" customFormat="1" x14ac:dyDescent="0.25"/>
    <row r="58582" s="12" customFormat="1" x14ac:dyDescent="0.25"/>
    <row r="58583" s="12" customFormat="1" x14ac:dyDescent="0.25"/>
    <row r="58584" s="12" customFormat="1" x14ac:dyDescent="0.25"/>
    <row r="58585" s="12" customFormat="1" x14ac:dyDescent="0.25"/>
    <row r="58586" s="12" customFormat="1" x14ac:dyDescent="0.25"/>
    <row r="58587" s="12" customFormat="1" x14ac:dyDescent="0.25"/>
    <row r="58588" s="12" customFormat="1" x14ac:dyDescent="0.25"/>
    <row r="58589" s="12" customFormat="1" x14ac:dyDescent="0.25"/>
    <row r="58590" s="12" customFormat="1" x14ac:dyDescent="0.25"/>
    <row r="58591" s="12" customFormat="1" x14ac:dyDescent="0.25"/>
    <row r="58592" s="12" customFormat="1" x14ac:dyDescent="0.25"/>
    <row r="58593" s="12" customFormat="1" x14ac:dyDescent="0.25"/>
    <row r="58594" s="12" customFormat="1" x14ac:dyDescent="0.25"/>
    <row r="58595" s="12" customFormat="1" x14ac:dyDescent="0.25"/>
    <row r="58596" s="12" customFormat="1" x14ac:dyDescent="0.25"/>
    <row r="58597" s="12" customFormat="1" x14ac:dyDescent="0.25"/>
    <row r="58598" s="12" customFormat="1" x14ac:dyDescent="0.25"/>
    <row r="58599" s="12" customFormat="1" x14ac:dyDescent="0.25"/>
    <row r="58600" s="12" customFormat="1" x14ac:dyDescent="0.25"/>
    <row r="58601" s="12" customFormat="1" x14ac:dyDescent="0.25"/>
    <row r="58602" s="12" customFormat="1" x14ac:dyDescent="0.25"/>
    <row r="58603" s="12" customFormat="1" x14ac:dyDescent="0.25"/>
    <row r="58604" s="12" customFormat="1" x14ac:dyDescent="0.25"/>
    <row r="58605" s="12" customFormat="1" x14ac:dyDescent="0.25"/>
    <row r="58606" s="12" customFormat="1" x14ac:dyDescent="0.25"/>
    <row r="58607" s="12" customFormat="1" x14ac:dyDescent="0.25"/>
    <row r="58608" s="12" customFormat="1" x14ac:dyDescent="0.25"/>
    <row r="58609" s="12" customFormat="1" x14ac:dyDescent="0.25"/>
    <row r="58610" s="12" customFormat="1" x14ac:dyDescent="0.25"/>
    <row r="58611" s="12" customFormat="1" x14ac:dyDescent="0.25"/>
    <row r="58612" s="12" customFormat="1" x14ac:dyDescent="0.25"/>
    <row r="58613" s="12" customFormat="1" x14ac:dyDescent="0.25"/>
    <row r="58614" s="12" customFormat="1" x14ac:dyDescent="0.25"/>
    <row r="58615" s="12" customFormat="1" x14ac:dyDescent="0.25"/>
    <row r="58616" s="12" customFormat="1" x14ac:dyDescent="0.25"/>
    <row r="58617" s="12" customFormat="1" x14ac:dyDescent="0.25"/>
    <row r="58618" s="12" customFormat="1" x14ac:dyDescent="0.25"/>
    <row r="58619" s="12" customFormat="1" x14ac:dyDescent="0.25"/>
    <row r="58620" s="12" customFormat="1" x14ac:dyDescent="0.25"/>
    <row r="58621" s="12" customFormat="1" x14ac:dyDescent="0.25"/>
    <row r="58622" s="12" customFormat="1" x14ac:dyDescent="0.25"/>
    <row r="58623" s="12" customFormat="1" x14ac:dyDescent="0.25"/>
    <row r="58624" s="12" customFormat="1" x14ac:dyDescent="0.25"/>
    <row r="58625" s="12" customFormat="1" x14ac:dyDescent="0.25"/>
    <row r="58626" s="12" customFormat="1" x14ac:dyDescent="0.25"/>
    <row r="58627" s="12" customFormat="1" x14ac:dyDescent="0.25"/>
    <row r="58628" s="12" customFormat="1" x14ac:dyDescent="0.25"/>
    <row r="58629" s="12" customFormat="1" x14ac:dyDescent="0.25"/>
    <row r="58630" s="12" customFormat="1" x14ac:dyDescent="0.25"/>
    <row r="58631" s="12" customFormat="1" x14ac:dyDescent="0.25"/>
    <row r="58632" s="12" customFormat="1" x14ac:dyDescent="0.25"/>
    <row r="58633" s="12" customFormat="1" x14ac:dyDescent="0.25"/>
    <row r="58634" s="12" customFormat="1" x14ac:dyDescent="0.25"/>
    <row r="58635" s="12" customFormat="1" x14ac:dyDescent="0.25"/>
    <row r="58636" s="12" customFormat="1" x14ac:dyDescent="0.25"/>
    <row r="58637" s="12" customFormat="1" x14ac:dyDescent="0.25"/>
    <row r="58638" s="12" customFormat="1" x14ac:dyDescent="0.25"/>
    <row r="58639" s="12" customFormat="1" x14ac:dyDescent="0.25"/>
    <row r="58640" s="12" customFormat="1" x14ac:dyDescent="0.25"/>
    <row r="58641" s="12" customFormat="1" x14ac:dyDescent="0.25"/>
    <row r="58642" s="12" customFormat="1" x14ac:dyDescent="0.25"/>
    <row r="58643" s="12" customFormat="1" x14ac:dyDescent="0.25"/>
    <row r="58644" s="12" customFormat="1" x14ac:dyDescent="0.25"/>
    <row r="58645" s="12" customFormat="1" x14ac:dyDescent="0.25"/>
    <row r="58646" s="12" customFormat="1" x14ac:dyDescent="0.25"/>
    <row r="58647" s="12" customFormat="1" x14ac:dyDescent="0.25"/>
    <row r="58648" s="12" customFormat="1" x14ac:dyDescent="0.25"/>
    <row r="58649" s="12" customFormat="1" x14ac:dyDescent="0.25"/>
    <row r="58650" s="12" customFormat="1" x14ac:dyDescent="0.25"/>
    <row r="58651" s="12" customFormat="1" x14ac:dyDescent="0.25"/>
    <row r="58652" s="12" customFormat="1" x14ac:dyDescent="0.25"/>
    <row r="58653" s="12" customFormat="1" x14ac:dyDescent="0.25"/>
    <row r="58654" s="12" customFormat="1" x14ac:dyDescent="0.25"/>
    <row r="58655" s="12" customFormat="1" x14ac:dyDescent="0.25"/>
    <row r="58656" s="12" customFormat="1" x14ac:dyDescent="0.25"/>
    <row r="58657" s="12" customFormat="1" x14ac:dyDescent="0.25"/>
    <row r="58658" s="12" customFormat="1" x14ac:dyDescent="0.25"/>
    <row r="58659" s="12" customFormat="1" x14ac:dyDescent="0.25"/>
    <row r="58660" s="12" customFormat="1" x14ac:dyDescent="0.25"/>
    <row r="58661" s="12" customFormat="1" x14ac:dyDescent="0.25"/>
    <row r="58662" s="12" customFormat="1" x14ac:dyDescent="0.25"/>
    <row r="58663" s="12" customFormat="1" x14ac:dyDescent="0.25"/>
    <row r="58664" s="12" customFormat="1" x14ac:dyDescent="0.25"/>
    <row r="58665" s="12" customFormat="1" x14ac:dyDescent="0.25"/>
    <row r="58666" s="12" customFormat="1" x14ac:dyDescent="0.25"/>
    <row r="58667" s="12" customFormat="1" x14ac:dyDescent="0.25"/>
    <row r="58668" s="12" customFormat="1" x14ac:dyDescent="0.25"/>
    <row r="58669" s="12" customFormat="1" x14ac:dyDescent="0.25"/>
    <row r="58670" s="12" customFormat="1" x14ac:dyDescent="0.25"/>
    <row r="58671" s="12" customFormat="1" x14ac:dyDescent="0.25"/>
    <row r="58672" s="12" customFormat="1" x14ac:dyDescent="0.25"/>
    <row r="58673" s="12" customFormat="1" x14ac:dyDescent="0.25"/>
    <row r="58674" s="12" customFormat="1" x14ac:dyDescent="0.25"/>
    <row r="58675" s="12" customFormat="1" x14ac:dyDescent="0.25"/>
    <row r="58676" s="12" customFormat="1" x14ac:dyDescent="0.25"/>
    <row r="58677" s="12" customFormat="1" x14ac:dyDescent="0.25"/>
    <row r="58678" s="12" customFormat="1" x14ac:dyDescent="0.25"/>
    <row r="58679" s="12" customFormat="1" x14ac:dyDescent="0.25"/>
    <row r="58680" s="12" customFormat="1" x14ac:dyDescent="0.25"/>
    <row r="58681" s="12" customFormat="1" x14ac:dyDescent="0.25"/>
    <row r="58682" s="12" customFormat="1" x14ac:dyDescent="0.25"/>
    <row r="58683" s="12" customFormat="1" x14ac:dyDescent="0.25"/>
    <row r="58684" s="12" customFormat="1" x14ac:dyDescent="0.25"/>
    <row r="58685" s="12" customFormat="1" x14ac:dyDescent="0.25"/>
    <row r="58686" s="12" customFormat="1" x14ac:dyDescent="0.25"/>
    <row r="58687" s="12" customFormat="1" x14ac:dyDescent="0.25"/>
    <row r="58688" s="12" customFormat="1" x14ac:dyDescent="0.25"/>
    <row r="58689" s="12" customFormat="1" x14ac:dyDescent="0.25"/>
    <row r="58690" s="12" customFormat="1" x14ac:dyDescent="0.25"/>
    <row r="58691" s="12" customFormat="1" x14ac:dyDescent="0.25"/>
    <row r="58692" s="12" customFormat="1" x14ac:dyDescent="0.25"/>
    <row r="58693" s="12" customFormat="1" x14ac:dyDescent="0.25"/>
    <row r="58694" s="12" customFormat="1" x14ac:dyDescent="0.25"/>
    <row r="58695" s="12" customFormat="1" x14ac:dyDescent="0.25"/>
    <row r="58696" s="12" customFormat="1" x14ac:dyDescent="0.25"/>
    <row r="58697" s="12" customFormat="1" x14ac:dyDescent="0.25"/>
    <row r="58698" s="12" customFormat="1" x14ac:dyDescent="0.25"/>
    <row r="58699" s="12" customFormat="1" x14ac:dyDescent="0.25"/>
    <row r="58700" s="12" customFormat="1" x14ac:dyDescent="0.25"/>
    <row r="58701" s="12" customFormat="1" x14ac:dyDescent="0.25"/>
    <row r="58702" s="12" customFormat="1" x14ac:dyDescent="0.25"/>
    <row r="58703" s="12" customFormat="1" x14ac:dyDescent="0.25"/>
    <row r="58704" s="12" customFormat="1" x14ac:dyDescent="0.25"/>
    <row r="58705" s="12" customFormat="1" x14ac:dyDescent="0.25"/>
    <row r="58706" s="12" customFormat="1" x14ac:dyDescent="0.25"/>
    <row r="58707" s="12" customFormat="1" x14ac:dyDescent="0.25"/>
    <row r="58708" s="12" customFormat="1" x14ac:dyDescent="0.25"/>
    <row r="58709" s="12" customFormat="1" x14ac:dyDescent="0.25"/>
    <row r="58710" s="12" customFormat="1" x14ac:dyDescent="0.25"/>
    <row r="58711" s="12" customFormat="1" x14ac:dyDescent="0.25"/>
    <row r="58712" s="12" customFormat="1" x14ac:dyDescent="0.25"/>
    <row r="58713" s="12" customFormat="1" x14ac:dyDescent="0.25"/>
    <row r="58714" s="12" customFormat="1" x14ac:dyDescent="0.25"/>
    <row r="58715" s="12" customFormat="1" x14ac:dyDescent="0.25"/>
    <row r="58716" s="12" customFormat="1" x14ac:dyDescent="0.25"/>
    <row r="58717" s="12" customFormat="1" x14ac:dyDescent="0.25"/>
    <row r="58718" s="12" customFormat="1" x14ac:dyDescent="0.25"/>
    <row r="58719" s="12" customFormat="1" x14ac:dyDescent="0.25"/>
    <row r="58720" s="12" customFormat="1" x14ac:dyDescent="0.25"/>
    <row r="58721" s="12" customFormat="1" x14ac:dyDescent="0.25"/>
    <row r="58722" s="12" customFormat="1" x14ac:dyDescent="0.25"/>
    <row r="58723" s="12" customFormat="1" x14ac:dyDescent="0.25"/>
    <row r="58724" s="12" customFormat="1" x14ac:dyDescent="0.25"/>
    <row r="58725" s="12" customFormat="1" x14ac:dyDescent="0.25"/>
    <row r="58726" s="12" customFormat="1" x14ac:dyDescent="0.25"/>
    <row r="58727" s="12" customFormat="1" x14ac:dyDescent="0.25"/>
    <row r="58728" s="12" customFormat="1" x14ac:dyDescent="0.25"/>
    <row r="58729" s="12" customFormat="1" x14ac:dyDescent="0.25"/>
    <row r="58730" s="12" customFormat="1" x14ac:dyDescent="0.25"/>
    <row r="58731" s="12" customFormat="1" x14ac:dyDescent="0.25"/>
    <row r="58732" s="12" customFormat="1" x14ac:dyDescent="0.25"/>
    <row r="58733" s="12" customFormat="1" x14ac:dyDescent="0.25"/>
    <row r="58734" s="12" customFormat="1" x14ac:dyDescent="0.25"/>
    <row r="58735" s="12" customFormat="1" x14ac:dyDescent="0.25"/>
    <row r="58736" s="12" customFormat="1" x14ac:dyDescent="0.25"/>
    <row r="58737" s="12" customFormat="1" x14ac:dyDescent="0.25"/>
    <row r="58738" s="12" customFormat="1" x14ac:dyDescent="0.25"/>
    <row r="58739" s="12" customFormat="1" x14ac:dyDescent="0.25"/>
    <row r="58740" s="12" customFormat="1" x14ac:dyDescent="0.25"/>
    <row r="58741" s="12" customFormat="1" x14ac:dyDescent="0.25"/>
    <row r="58742" s="12" customFormat="1" x14ac:dyDescent="0.25"/>
    <row r="58743" s="12" customFormat="1" x14ac:dyDescent="0.25"/>
    <row r="58744" s="12" customFormat="1" x14ac:dyDescent="0.25"/>
    <row r="58745" s="12" customFormat="1" x14ac:dyDescent="0.25"/>
    <row r="58746" s="12" customFormat="1" x14ac:dyDescent="0.25"/>
    <row r="58747" s="12" customFormat="1" x14ac:dyDescent="0.25"/>
    <row r="58748" s="12" customFormat="1" x14ac:dyDescent="0.25"/>
    <row r="58749" s="12" customFormat="1" x14ac:dyDescent="0.25"/>
    <row r="58750" s="12" customFormat="1" x14ac:dyDescent="0.25"/>
    <row r="58751" s="12" customFormat="1" x14ac:dyDescent="0.25"/>
    <row r="58752" s="12" customFormat="1" x14ac:dyDescent="0.25"/>
    <row r="58753" s="12" customFormat="1" x14ac:dyDescent="0.25"/>
    <row r="58754" s="12" customFormat="1" x14ac:dyDescent="0.25"/>
    <row r="58755" s="12" customFormat="1" x14ac:dyDescent="0.25"/>
    <row r="58756" s="12" customFormat="1" x14ac:dyDescent="0.25"/>
    <row r="58757" s="12" customFormat="1" x14ac:dyDescent="0.25"/>
    <row r="58758" s="12" customFormat="1" x14ac:dyDescent="0.25"/>
    <row r="58759" s="12" customFormat="1" x14ac:dyDescent="0.25"/>
    <row r="58760" s="12" customFormat="1" x14ac:dyDescent="0.25"/>
    <row r="58761" s="12" customFormat="1" x14ac:dyDescent="0.25"/>
    <row r="58762" s="12" customFormat="1" x14ac:dyDescent="0.25"/>
    <row r="58763" s="12" customFormat="1" x14ac:dyDescent="0.25"/>
    <row r="58764" s="12" customFormat="1" x14ac:dyDescent="0.25"/>
    <row r="58765" s="12" customFormat="1" x14ac:dyDescent="0.25"/>
    <row r="58766" s="12" customFormat="1" x14ac:dyDescent="0.25"/>
    <row r="58767" s="12" customFormat="1" x14ac:dyDescent="0.25"/>
    <row r="58768" s="12" customFormat="1" x14ac:dyDescent="0.25"/>
    <row r="58769" s="12" customFormat="1" x14ac:dyDescent="0.25"/>
    <row r="58770" s="12" customFormat="1" x14ac:dyDescent="0.25"/>
    <row r="58771" s="12" customFormat="1" x14ac:dyDescent="0.25"/>
    <row r="58772" s="12" customFormat="1" x14ac:dyDescent="0.25"/>
    <row r="58773" s="12" customFormat="1" x14ac:dyDescent="0.25"/>
    <row r="58774" s="12" customFormat="1" x14ac:dyDescent="0.25"/>
    <row r="58775" s="12" customFormat="1" x14ac:dyDescent="0.25"/>
    <row r="58776" s="12" customFormat="1" x14ac:dyDescent="0.25"/>
    <row r="58777" s="12" customFormat="1" x14ac:dyDescent="0.25"/>
    <row r="58778" s="12" customFormat="1" x14ac:dyDescent="0.25"/>
    <row r="58779" s="12" customFormat="1" x14ac:dyDescent="0.25"/>
    <row r="58780" s="12" customFormat="1" x14ac:dyDescent="0.25"/>
    <row r="58781" s="12" customFormat="1" x14ac:dyDescent="0.25"/>
    <row r="58782" s="12" customFormat="1" x14ac:dyDescent="0.25"/>
    <row r="58783" s="12" customFormat="1" x14ac:dyDescent="0.25"/>
    <row r="58784" s="12" customFormat="1" x14ac:dyDescent="0.25"/>
    <row r="58785" s="12" customFormat="1" x14ac:dyDescent="0.25"/>
    <row r="58786" s="12" customFormat="1" x14ac:dyDescent="0.25"/>
    <row r="58787" s="12" customFormat="1" x14ac:dyDescent="0.25"/>
    <row r="58788" s="12" customFormat="1" x14ac:dyDescent="0.25"/>
    <row r="58789" s="12" customFormat="1" x14ac:dyDescent="0.25"/>
    <row r="58790" s="12" customFormat="1" x14ac:dyDescent="0.25"/>
    <row r="58791" s="12" customFormat="1" x14ac:dyDescent="0.25"/>
    <row r="58792" s="12" customFormat="1" x14ac:dyDescent="0.25"/>
    <row r="58793" s="12" customFormat="1" x14ac:dyDescent="0.25"/>
    <row r="58794" s="12" customFormat="1" x14ac:dyDescent="0.25"/>
    <row r="58795" s="12" customFormat="1" x14ac:dyDescent="0.25"/>
    <row r="58796" s="12" customFormat="1" x14ac:dyDescent="0.25"/>
    <row r="58797" s="12" customFormat="1" x14ac:dyDescent="0.25"/>
    <row r="58798" s="12" customFormat="1" x14ac:dyDescent="0.25"/>
    <row r="58799" s="12" customFormat="1" x14ac:dyDescent="0.25"/>
    <row r="58800" s="12" customFormat="1" x14ac:dyDescent="0.25"/>
    <row r="58801" s="12" customFormat="1" x14ac:dyDescent="0.25"/>
    <row r="58802" s="12" customFormat="1" x14ac:dyDescent="0.25"/>
    <row r="58803" s="12" customFormat="1" x14ac:dyDescent="0.25"/>
    <row r="58804" s="12" customFormat="1" x14ac:dyDescent="0.25"/>
    <row r="58805" s="12" customFormat="1" x14ac:dyDescent="0.25"/>
    <row r="58806" s="12" customFormat="1" x14ac:dyDescent="0.25"/>
    <row r="58807" s="12" customFormat="1" x14ac:dyDescent="0.25"/>
    <row r="58808" s="12" customFormat="1" x14ac:dyDescent="0.25"/>
    <row r="58809" s="12" customFormat="1" x14ac:dyDescent="0.25"/>
    <row r="58810" s="12" customFormat="1" x14ac:dyDescent="0.25"/>
    <row r="58811" s="12" customFormat="1" x14ac:dyDescent="0.25"/>
    <row r="58812" s="12" customFormat="1" x14ac:dyDescent="0.25"/>
    <row r="58813" s="12" customFormat="1" x14ac:dyDescent="0.25"/>
    <row r="58814" s="12" customFormat="1" x14ac:dyDescent="0.25"/>
    <row r="58815" s="12" customFormat="1" x14ac:dyDescent="0.25"/>
    <row r="58816" s="12" customFormat="1" x14ac:dyDescent="0.25"/>
    <row r="58817" s="12" customFormat="1" x14ac:dyDescent="0.25"/>
    <row r="58818" s="12" customFormat="1" x14ac:dyDescent="0.25"/>
    <row r="58819" s="12" customFormat="1" x14ac:dyDescent="0.25"/>
    <row r="58820" s="12" customFormat="1" x14ac:dyDescent="0.25"/>
    <row r="58821" s="12" customFormat="1" x14ac:dyDescent="0.25"/>
    <row r="58822" s="12" customFormat="1" x14ac:dyDescent="0.25"/>
    <row r="58823" s="12" customFormat="1" x14ac:dyDescent="0.25"/>
    <row r="58824" s="12" customFormat="1" x14ac:dyDescent="0.25"/>
    <row r="58825" s="12" customFormat="1" x14ac:dyDescent="0.25"/>
    <row r="58826" s="12" customFormat="1" x14ac:dyDescent="0.25"/>
    <row r="58827" s="12" customFormat="1" x14ac:dyDescent="0.25"/>
    <row r="58828" s="12" customFormat="1" x14ac:dyDescent="0.25"/>
    <row r="58829" s="12" customFormat="1" x14ac:dyDescent="0.25"/>
    <row r="58830" s="12" customFormat="1" x14ac:dyDescent="0.25"/>
    <row r="58831" s="12" customFormat="1" x14ac:dyDescent="0.25"/>
    <row r="58832" s="12" customFormat="1" x14ac:dyDescent="0.25"/>
    <row r="58833" s="12" customFormat="1" x14ac:dyDescent="0.25"/>
    <row r="58834" s="12" customFormat="1" x14ac:dyDescent="0.25"/>
    <row r="58835" s="12" customFormat="1" x14ac:dyDescent="0.25"/>
    <row r="58836" s="12" customFormat="1" x14ac:dyDescent="0.25"/>
    <row r="58837" s="12" customFormat="1" x14ac:dyDescent="0.25"/>
    <row r="58838" s="12" customFormat="1" x14ac:dyDescent="0.25"/>
    <row r="58839" s="12" customFormat="1" x14ac:dyDescent="0.25"/>
    <row r="58840" s="12" customFormat="1" x14ac:dyDescent="0.25"/>
    <row r="58841" s="12" customFormat="1" x14ac:dyDescent="0.25"/>
    <row r="58842" s="12" customFormat="1" x14ac:dyDescent="0.25"/>
    <row r="58843" s="12" customFormat="1" x14ac:dyDescent="0.25"/>
    <row r="58844" s="12" customFormat="1" x14ac:dyDescent="0.25"/>
    <row r="58845" s="12" customFormat="1" x14ac:dyDescent="0.25"/>
    <row r="58846" s="12" customFormat="1" x14ac:dyDescent="0.25"/>
    <row r="58847" s="12" customFormat="1" x14ac:dyDescent="0.25"/>
    <row r="58848" s="12" customFormat="1" x14ac:dyDescent="0.25"/>
    <row r="58849" s="12" customFormat="1" x14ac:dyDescent="0.25"/>
    <row r="58850" s="12" customFormat="1" x14ac:dyDescent="0.25"/>
    <row r="58851" s="12" customFormat="1" x14ac:dyDescent="0.25"/>
    <row r="58852" s="12" customFormat="1" x14ac:dyDescent="0.25"/>
    <row r="58853" s="12" customFormat="1" x14ac:dyDescent="0.25"/>
    <row r="58854" s="12" customFormat="1" x14ac:dyDescent="0.25"/>
    <row r="58855" s="12" customFormat="1" x14ac:dyDescent="0.25"/>
    <row r="58856" s="12" customFormat="1" x14ac:dyDescent="0.25"/>
    <row r="58857" s="12" customFormat="1" x14ac:dyDescent="0.25"/>
    <row r="58858" s="12" customFormat="1" x14ac:dyDescent="0.25"/>
    <row r="58859" s="12" customFormat="1" x14ac:dyDescent="0.25"/>
    <row r="58860" s="12" customFormat="1" x14ac:dyDescent="0.25"/>
    <row r="58861" s="12" customFormat="1" x14ac:dyDescent="0.25"/>
    <row r="58862" s="12" customFormat="1" x14ac:dyDescent="0.25"/>
    <row r="58863" s="12" customFormat="1" x14ac:dyDescent="0.25"/>
    <row r="58864" s="12" customFormat="1" x14ac:dyDescent="0.25"/>
    <row r="58865" s="12" customFormat="1" x14ac:dyDescent="0.25"/>
    <row r="58866" s="12" customFormat="1" x14ac:dyDescent="0.25"/>
    <row r="58867" s="12" customFormat="1" x14ac:dyDescent="0.25"/>
    <row r="58868" s="12" customFormat="1" x14ac:dyDescent="0.25"/>
    <row r="58869" s="12" customFormat="1" x14ac:dyDescent="0.25"/>
    <row r="58870" s="12" customFormat="1" x14ac:dyDescent="0.25"/>
    <row r="58871" s="12" customFormat="1" x14ac:dyDescent="0.25"/>
    <row r="58872" s="12" customFormat="1" x14ac:dyDescent="0.25"/>
    <row r="58873" s="12" customFormat="1" x14ac:dyDescent="0.25"/>
    <row r="58874" s="12" customFormat="1" x14ac:dyDescent="0.25"/>
    <row r="58875" s="12" customFormat="1" x14ac:dyDescent="0.25"/>
    <row r="58876" s="12" customFormat="1" x14ac:dyDescent="0.25"/>
    <row r="58877" s="12" customFormat="1" x14ac:dyDescent="0.25"/>
    <row r="58878" s="12" customFormat="1" x14ac:dyDescent="0.25"/>
    <row r="58879" s="12" customFormat="1" x14ac:dyDescent="0.25"/>
    <row r="58880" s="12" customFormat="1" x14ac:dyDescent="0.25"/>
    <row r="58881" s="12" customFormat="1" x14ac:dyDescent="0.25"/>
    <row r="58882" s="12" customFormat="1" x14ac:dyDescent="0.25"/>
    <row r="58883" s="12" customFormat="1" x14ac:dyDescent="0.25"/>
    <row r="58884" s="12" customFormat="1" x14ac:dyDescent="0.25"/>
    <row r="58885" s="12" customFormat="1" x14ac:dyDescent="0.25"/>
    <row r="58886" s="12" customFormat="1" x14ac:dyDescent="0.25"/>
    <row r="58887" s="12" customFormat="1" x14ac:dyDescent="0.25"/>
    <row r="58888" s="12" customFormat="1" x14ac:dyDescent="0.25"/>
    <row r="58889" s="12" customFormat="1" x14ac:dyDescent="0.25"/>
    <row r="58890" s="12" customFormat="1" x14ac:dyDescent="0.25"/>
    <row r="58891" s="12" customFormat="1" x14ac:dyDescent="0.25"/>
    <row r="58892" s="12" customFormat="1" x14ac:dyDescent="0.25"/>
    <row r="58893" s="12" customFormat="1" x14ac:dyDescent="0.25"/>
    <row r="58894" s="12" customFormat="1" x14ac:dyDescent="0.25"/>
    <row r="58895" s="12" customFormat="1" x14ac:dyDescent="0.25"/>
    <row r="58896" s="12" customFormat="1" x14ac:dyDescent="0.25"/>
    <row r="58897" s="12" customFormat="1" x14ac:dyDescent="0.25"/>
    <row r="58898" s="12" customFormat="1" x14ac:dyDescent="0.25"/>
    <row r="58899" s="12" customFormat="1" x14ac:dyDescent="0.25"/>
    <row r="58900" s="12" customFormat="1" x14ac:dyDescent="0.25"/>
    <row r="58901" s="12" customFormat="1" x14ac:dyDescent="0.25"/>
    <row r="58902" s="12" customFormat="1" x14ac:dyDescent="0.25"/>
    <row r="58903" s="12" customFormat="1" x14ac:dyDescent="0.25"/>
    <row r="58904" s="12" customFormat="1" x14ac:dyDescent="0.25"/>
    <row r="58905" s="12" customFormat="1" x14ac:dyDescent="0.25"/>
    <row r="58906" s="12" customFormat="1" x14ac:dyDescent="0.25"/>
    <row r="58907" s="12" customFormat="1" x14ac:dyDescent="0.25"/>
    <row r="58908" s="12" customFormat="1" x14ac:dyDescent="0.25"/>
    <row r="58909" s="12" customFormat="1" x14ac:dyDescent="0.25"/>
    <row r="58910" s="12" customFormat="1" x14ac:dyDescent="0.25"/>
    <row r="58911" s="12" customFormat="1" x14ac:dyDescent="0.25"/>
    <row r="58912" s="12" customFormat="1" x14ac:dyDescent="0.25"/>
    <row r="58913" s="12" customFormat="1" x14ac:dyDescent="0.25"/>
    <row r="58914" s="12" customFormat="1" x14ac:dyDescent="0.25"/>
    <row r="58915" s="12" customFormat="1" x14ac:dyDescent="0.25"/>
    <row r="58916" s="12" customFormat="1" x14ac:dyDescent="0.25"/>
    <row r="58917" s="12" customFormat="1" x14ac:dyDescent="0.25"/>
    <row r="58918" s="12" customFormat="1" x14ac:dyDescent="0.25"/>
    <row r="58919" s="12" customFormat="1" x14ac:dyDescent="0.25"/>
    <row r="58920" s="12" customFormat="1" x14ac:dyDescent="0.25"/>
    <row r="58921" s="12" customFormat="1" x14ac:dyDescent="0.25"/>
    <row r="58922" s="12" customFormat="1" x14ac:dyDescent="0.25"/>
    <row r="58923" s="12" customFormat="1" x14ac:dyDescent="0.25"/>
    <row r="58924" s="12" customFormat="1" x14ac:dyDescent="0.25"/>
    <row r="58925" s="12" customFormat="1" x14ac:dyDescent="0.25"/>
    <row r="58926" s="12" customFormat="1" x14ac:dyDescent="0.25"/>
    <row r="58927" s="12" customFormat="1" x14ac:dyDescent="0.25"/>
    <row r="58928" s="12" customFormat="1" x14ac:dyDescent="0.25"/>
    <row r="58929" s="12" customFormat="1" x14ac:dyDescent="0.25"/>
    <row r="58930" s="12" customFormat="1" x14ac:dyDescent="0.25"/>
    <row r="58931" s="12" customFormat="1" x14ac:dyDescent="0.25"/>
    <row r="58932" s="12" customFormat="1" x14ac:dyDescent="0.25"/>
    <row r="58933" s="12" customFormat="1" x14ac:dyDescent="0.25"/>
    <row r="58934" s="12" customFormat="1" x14ac:dyDescent="0.25"/>
    <row r="58935" s="12" customFormat="1" x14ac:dyDescent="0.25"/>
    <row r="58936" s="12" customFormat="1" x14ac:dyDescent="0.25"/>
    <row r="58937" s="12" customFormat="1" x14ac:dyDescent="0.25"/>
    <row r="58938" s="12" customFormat="1" x14ac:dyDescent="0.25"/>
    <row r="58939" s="12" customFormat="1" x14ac:dyDescent="0.25"/>
    <row r="58940" s="12" customFormat="1" x14ac:dyDescent="0.25"/>
    <row r="58941" s="12" customFormat="1" x14ac:dyDescent="0.25"/>
    <row r="58942" s="12" customFormat="1" x14ac:dyDescent="0.25"/>
    <row r="58943" s="12" customFormat="1" x14ac:dyDescent="0.25"/>
    <row r="58944" s="12" customFormat="1" x14ac:dyDescent="0.25"/>
    <row r="58945" s="12" customFormat="1" x14ac:dyDescent="0.25"/>
    <row r="58946" s="12" customFormat="1" x14ac:dyDescent="0.25"/>
    <row r="58947" s="12" customFormat="1" x14ac:dyDescent="0.25"/>
    <row r="58948" s="12" customFormat="1" x14ac:dyDescent="0.25"/>
    <row r="58949" s="12" customFormat="1" x14ac:dyDescent="0.25"/>
    <row r="58950" s="12" customFormat="1" x14ac:dyDescent="0.25"/>
    <row r="58951" s="12" customFormat="1" x14ac:dyDescent="0.25"/>
    <row r="58952" s="12" customFormat="1" x14ac:dyDescent="0.25"/>
    <row r="58953" s="12" customFormat="1" x14ac:dyDescent="0.25"/>
    <row r="58954" s="12" customFormat="1" x14ac:dyDescent="0.25"/>
    <row r="58955" s="12" customFormat="1" x14ac:dyDescent="0.25"/>
    <row r="58956" s="12" customFormat="1" x14ac:dyDescent="0.25"/>
    <row r="58957" s="12" customFormat="1" x14ac:dyDescent="0.25"/>
    <row r="58958" s="12" customFormat="1" x14ac:dyDescent="0.25"/>
    <row r="58959" s="12" customFormat="1" x14ac:dyDescent="0.25"/>
    <row r="58960" s="12" customFormat="1" x14ac:dyDescent="0.25"/>
    <row r="58961" s="12" customFormat="1" x14ac:dyDescent="0.25"/>
    <row r="58962" s="12" customFormat="1" x14ac:dyDescent="0.25"/>
    <row r="58963" s="12" customFormat="1" x14ac:dyDescent="0.25"/>
    <row r="58964" s="12" customFormat="1" x14ac:dyDescent="0.25"/>
    <row r="58965" s="12" customFormat="1" x14ac:dyDescent="0.25"/>
    <row r="58966" s="12" customFormat="1" x14ac:dyDescent="0.25"/>
    <row r="58967" s="12" customFormat="1" x14ac:dyDescent="0.25"/>
    <row r="58968" s="12" customFormat="1" x14ac:dyDescent="0.25"/>
    <row r="58969" s="12" customFormat="1" x14ac:dyDescent="0.25"/>
    <row r="58970" s="12" customFormat="1" x14ac:dyDescent="0.25"/>
    <row r="58971" s="12" customFormat="1" x14ac:dyDescent="0.25"/>
    <row r="58972" s="12" customFormat="1" x14ac:dyDescent="0.25"/>
    <row r="58973" s="12" customFormat="1" x14ac:dyDescent="0.25"/>
    <row r="58974" s="12" customFormat="1" x14ac:dyDescent="0.25"/>
    <row r="58975" s="12" customFormat="1" x14ac:dyDescent="0.25"/>
    <row r="58976" s="12" customFormat="1" x14ac:dyDescent="0.25"/>
    <row r="58977" s="12" customFormat="1" x14ac:dyDescent="0.25"/>
    <row r="58978" s="12" customFormat="1" x14ac:dyDescent="0.25"/>
    <row r="58979" s="12" customFormat="1" x14ac:dyDescent="0.25"/>
    <row r="58980" s="12" customFormat="1" x14ac:dyDescent="0.25"/>
    <row r="58981" s="12" customFormat="1" x14ac:dyDescent="0.25"/>
    <row r="58982" s="12" customFormat="1" x14ac:dyDescent="0.25"/>
    <row r="58983" s="12" customFormat="1" x14ac:dyDescent="0.25"/>
    <row r="58984" s="12" customFormat="1" x14ac:dyDescent="0.25"/>
    <row r="58985" s="12" customFormat="1" x14ac:dyDescent="0.25"/>
    <row r="58986" s="12" customFormat="1" x14ac:dyDescent="0.25"/>
    <row r="58987" s="12" customFormat="1" x14ac:dyDescent="0.25"/>
    <row r="58988" s="12" customFormat="1" x14ac:dyDescent="0.25"/>
    <row r="58989" s="12" customFormat="1" x14ac:dyDescent="0.25"/>
    <row r="58990" s="12" customFormat="1" x14ac:dyDescent="0.25"/>
    <row r="58991" s="12" customFormat="1" x14ac:dyDescent="0.25"/>
    <row r="58992" s="12" customFormat="1" x14ac:dyDescent="0.25"/>
    <row r="58993" s="12" customFormat="1" x14ac:dyDescent="0.25"/>
    <row r="58994" s="12" customFormat="1" x14ac:dyDescent="0.25"/>
    <row r="58995" s="12" customFormat="1" x14ac:dyDescent="0.25"/>
    <row r="58996" s="12" customFormat="1" x14ac:dyDescent="0.25"/>
    <row r="58997" s="12" customFormat="1" x14ac:dyDescent="0.25"/>
    <row r="58998" s="12" customFormat="1" x14ac:dyDescent="0.25"/>
    <row r="58999" s="12" customFormat="1" x14ac:dyDescent="0.25"/>
    <row r="59000" s="12" customFormat="1" x14ac:dyDescent="0.25"/>
    <row r="59001" s="12" customFormat="1" x14ac:dyDescent="0.25"/>
    <row r="59002" s="12" customFormat="1" x14ac:dyDescent="0.25"/>
    <row r="59003" s="12" customFormat="1" x14ac:dyDescent="0.25"/>
    <row r="59004" s="12" customFormat="1" x14ac:dyDescent="0.25"/>
    <row r="59005" s="12" customFormat="1" x14ac:dyDescent="0.25"/>
    <row r="59006" s="12" customFormat="1" x14ac:dyDescent="0.25"/>
    <row r="59007" s="12" customFormat="1" x14ac:dyDescent="0.25"/>
    <row r="59008" s="12" customFormat="1" x14ac:dyDescent="0.25"/>
    <row r="59009" s="12" customFormat="1" x14ac:dyDescent="0.25"/>
    <row r="59010" s="12" customFormat="1" x14ac:dyDescent="0.25"/>
    <row r="59011" s="12" customFormat="1" x14ac:dyDescent="0.25"/>
    <row r="59012" s="12" customFormat="1" x14ac:dyDescent="0.25"/>
    <row r="59013" s="12" customFormat="1" x14ac:dyDescent="0.25"/>
    <row r="59014" s="12" customFormat="1" x14ac:dyDescent="0.25"/>
    <row r="59015" s="12" customFormat="1" x14ac:dyDescent="0.25"/>
    <row r="59016" s="12" customFormat="1" x14ac:dyDescent="0.25"/>
    <row r="59017" s="12" customFormat="1" x14ac:dyDescent="0.25"/>
    <row r="59018" s="12" customFormat="1" x14ac:dyDescent="0.25"/>
    <row r="59019" s="12" customFormat="1" x14ac:dyDescent="0.25"/>
    <row r="59020" s="12" customFormat="1" x14ac:dyDescent="0.25"/>
    <row r="59021" s="12" customFormat="1" x14ac:dyDescent="0.25"/>
    <row r="59022" s="12" customFormat="1" x14ac:dyDescent="0.25"/>
    <row r="59023" s="12" customFormat="1" x14ac:dyDescent="0.25"/>
    <row r="59024" s="12" customFormat="1" x14ac:dyDescent="0.25"/>
    <row r="59025" s="12" customFormat="1" x14ac:dyDescent="0.25"/>
    <row r="59026" s="12" customFormat="1" x14ac:dyDescent="0.25"/>
    <row r="59027" s="12" customFormat="1" x14ac:dyDescent="0.25"/>
    <row r="59028" s="12" customFormat="1" x14ac:dyDescent="0.25"/>
    <row r="59029" s="12" customFormat="1" x14ac:dyDescent="0.25"/>
    <row r="59030" s="12" customFormat="1" x14ac:dyDescent="0.25"/>
    <row r="59031" s="12" customFormat="1" x14ac:dyDescent="0.25"/>
    <row r="59032" s="12" customFormat="1" x14ac:dyDescent="0.25"/>
    <row r="59033" s="12" customFormat="1" x14ac:dyDescent="0.25"/>
    <row r="59034" s="12" customFormat="1" x14ac:dyDescent="0.25"/>
    <row r="59035" s="12" customFormat="1" x14ac:dyDescent="0.25"/>
    <row r="59036" s="12" customFormat="1" x14ac:dyDescent="0.25"/>
    <row r="59037" s="12" customFormat="1" x14ac:dyDescent="0.25"/>
    <row r="59038" s="12" customFormat="1" x14ac:dyDescent="0.25"/>
    <row r="59039" s="12" customFormat="1" x14ac:dyDescent="0.25"/>
    <row r="59040" s="12" customFormat="1" x14ac:dyDescent="0.25"/>
    <row r="59041" s="12" customFormat="1" x14ac:dyDescent="0.25"/>
    <row r="59042" s="12" customFormat="1" x14ac:dyDescent="0.25"/>
    <row r="59043" s="12" customFormat="1" x14ac:dyDescent="0.25"/>
    <row r="59044" s="12" customFormat="1" x14ac:dyDescent="0.25"/>
    <row r="59045" s="12" customFormat="1" x14ac:dyDescent="0.25"/>
    <row r="59046" s="12" customFormat="1" x14ac:dyDescent="0.25"/>
    <row r="59047" s="12" customFormat="1" x14ac:dyDescent="0.25"/>
    <row r="59048" s="12" customFormat="1" x14ac:dyDescent="0.25"/>
    <row r="59049" s="12" customFormat="1" x14ac:dyDescent="0.25"/>
    <row r="59050" s="12" customFormat="1" x14ac:dyDescent="0.25"/>
    <row r="59051" s="12" customFormat="1" x14ac:dyDescent="0.25"/>
    <row r="59052" s="12" customFormat="1" x14ac:dyDescent="0.25"/>
    <row r="59053" s="12" customFormat="1" x14ac:dyDescent="0.25"/>
    <row r="59054" s="12" customFormat="1" x14ac:dyDescent="0.25"/>
    <row r="59055" s="12" customFormat="1" x14ac:dyDescent="0.25"/>
    <row r="59056" s="12" customFormat="1" x14ac:dyDescent="0.25"/>
    <row r="59057" s="12" customFormat="1" x14ac:dyDescent="0.25"/>
    <row r="59058" s="12" customFormat="1" x14ac:dyDescent="0.25"/>
    <row r="59059" s="12" customFormat="1" x14ac:dyDescent="0.25"/>
    <row r="59060" s="12" customFormat="1" x14ac:dyDescent="0.25"/>
    <row r="59061" s="12" customFormat="1" x14ac:dyDescent="0.25"/>
    <row r="59062" s="12" customFormat="1" x14ac:dyDescent="0.25"/>
    <row r="59063" s="12" customFormat="1" x14ac:dyDescent="0.25"/>
    <row r="59064" s="12" customFormat="1" x14ac:dyDescent="0.25"/>
    <row r="59065" s="12" customFormat="1" x14ac:dyDescent="0.25"/>
    <row r="59066" s="12" customFormat="1" x14ac:dyDescent="0.25"/>
    <row r="59067" s="12" customFormat="1" x14ac:dyDescent="0.25"/>
    <row r="59068" s="12" customFormat="1" x14ac:dyDescent="0.25"/>
    <row r="59069" s="12" customFormat="1" x14ac:dyDescent="0.25"/>
    <row r="59070" s="12" customFormat="1" x14ac:dyDescent="0.25"/>
    <row r="59071" s="12" customFormat="1" x14ac:dyDescent="0.25"/>
    <row r="59072" s="12" customFormat="1" x14ac:dyDescent="0.25"/>
    <row r="59073" s="12" customFormat="1" x14ac:dyDescent="0.25"/>
    <row r="59074" s="12" customFormat="1" x14ac:dyDescent="0.25"/>
    <row r="59075" s="12" customFormat="1" x14ac:dyDescent="0.25"/>
    <row r="59076" s="12" customFormat="1" x14ac:dyDescent="0.25"/>
    <row r="59077" s="12" customFormat="1" x14ac:dyDescent="0.25"/>
    <row r="59078" s="12" customFormat="1" x14ac:dyDescent="0.25"/>
    <row r="59079" s="12" customFormat="1" x14ac:dyDescent="0.25"/>
    <row r="59080" s="12" customFormat="1" x14ac:dyDescent="0.25"/>
    <row r="59081" s="12" customFormat="1" x14ac:dyDescent="0.25"/>
    <row r="59082" s="12" customFormat="1" x14ac:dyDescent="0.25"/>
    <row r="59083" s="12" customFormat="1" x14ac:dyDescent="0.25"/>
    <row r="59084" s="12" customFormat="1" x14ac:dyDescent="0.25"/>
    <row r="59085" s="12" customFormat="1" x14ac:dyDescent="0.25"/>
    <row r="59086" s="12" customFormat="1" x14ac:dyDescent="0.25"/>
    <row r="59087" s="12" customFormat="1" x14ac:dyDescent="0.25"/>
    <row r="59088" s="12" customFormat="1" x14ac:dyDescent="0.25"/>
    <row r="59089" s="12" customFormat="1" x14ac:dyDescent="0.25"/>
    <row r="59090" s="12" customFormat="1" x14ac:dyDescent="0.25"/>
    <row r="59091" s="12" customFormat="1" x14ac:dyDescent="0.25"/>
    <row r="59092" s="12" customFormat="1" x14ac:dyDescent="0.25"/>
    <row r="59093" s="12" customFormat="1" x14ac:dyDescent="0.25"/>
    <row r="59094" s="12" customFormat="1" x14ac:dyDescent="0.25"/>
    <row r="59095" s="12" customFormat="1" x14ac:dyDescent="0.25"/>
    <row r="59096" s="12" customFormat="1" x14ac:dyDescent="0.25"/>
    <row r="59097" s="12" customFormat="1" x14ac:dyDescent="0.25"/>
    <row r="59098" s="12" customFormat="1" x14ac:dyDescent="0.25"/>
    <row r="59099" s="12" customFormat="1" x14ac:dyDescent="0.25"/>
    <row r="59100" s="12" customFormat="1" x14ac:dyDescent="0.25"/>
    <row r="59101" s="12" customFormat="1" x14ac:dyDescent="0.25"/>
    <row r="59102" s="12" customFormat="1" x14ac:dyDescent="0.25"/>
    <row r="59103" s="12" customFormat="1" x14ac:dyDescent="0.25"/>
    <row r="59104" s="12" customFormat="1" x14ac:dyDescent="0.25"/>
    <row r="59105" s="12" customFormat="1" x14ac:dyDescent="0.25"/>
    <row r="59106" s="12" customFormat="1" x14ac:dyDescent="0.25"/>
    <row r="59107" s="12" customFormat="1" x14ac:dyDescent="0.25"/>
    <row r="59108" s="12" customFormat="1" x14ac:dyDescent="0.25"/>
    <row r="59109" s="12" customFormat="1" x14ac:dyDescent="0.25"/>
    <row r="59110" s="12" customFormat="1" x14ac:dyDescent="0.25"/>
    <row r="59111" s="12" customFormat="1" x14ac:dyDescent="0.25"/>
    <row r="59112" s="12" customFormat="1" x14ac:dyDescent="0.25"/>
    <row r="59113" s="12" customFormat="1" x14ac:dyDescent="0.25"/>
    <row r="59114" s="12" customFormat="1" x14ac:dyDescent="0.25"/>
    <row r="59115" s="12" customFormat="1" x14ac:dyDescent="0.25"/>
    <row r="59116" s="12" customFormat="1" x14ac:dyDescent="0.25"/>
    <row r="59117" s="12" customFormat="1" x14ac:dyDescent="0.25"/>
    <row r="59118" s="12" customFormat="1" x14ac:dyDescent="0.25"/>
    <row r="59119" s="12" customFormat="1" x14ac:dyDescent="0.25"/>
    <row r="59120" s="12" customFormat="1" x14ac:dyDescent="0.25"/>
    <row r="59121" s="12" customFormat="1" x14ac:dyDescent="0.25"/>
    <row r="59122" s="12" customFormat="1" x14ac:dyDescent="0.25"/>
    <row r="59123" s="12" customFormat="1" x14ac:dyDescent="0.25"/>
    <row r="59124" s="12" customFormat="1" x14ac:dyDescent="0.25"/>
    <row r="59125" s="12" customFormat="1" x14ac:dyDescent="0.25"/>
    <row r="59126" s="12" customFormat="1" x14ac:dyDescent="0.25"/>
    <row r="59127" s="12" customFormat="1" x14ac:dyDescent="0.25"/>
    <row r="59128" s="12" customFormat="1" x14ac:dyDescent="0.25"/>
    <row r="59129" s="12" customFormat="1" x14ac:dyDescent="0.25"/>
    <row r="59130" s="12" customFormat="1" x14ac:dyDescent="0.25"/>
    <row r="59131" s="12" customFormat="1" x14ac:dyDescent="0.25"/>
    <row r="59132" s="12" customFormat="1" x14ac:dyDescent="0.25"/>
    <row r="59133" s="12" customFormat="1" x14ac:dyDescent="0.25"/>
    <row r="59134" s="12" customFormat="1" x14ac:dyDescent="0.25"/>
    <row r="59135" s="12" customFormat="1" x14ac:dyDescent="0.25"/>
    <row r="59136" s="12" customFormat="1" x14ac:dyDescent="0.25"/>
    <row r="59137" s="12" customFormat="1" x14ac:dyDescent="0.25"/>
    <row r="59138" s="12" customFormat="1" x14ac:dyDescent="0.25"/>
    <row r="59139" s="12" customFormat="1" x14ac:dyDescent="0.25"/>
    <row r="59140" s="12" customFormat="1" x14ac:dyDescent="0.25"/>
    <row r="59141" s="12" customFormat="1" x14ac:dyDescent="0.25"/>
    <row r="59142" s="12" customFormat="1" x14ac:dyDescent="0.25"/>
    <row r="59143" s="12" customFormat="1" x14ac:dyDescent="0.25"/>
    <row r="59144" s="12" customFormat="1" x14ac:dyDescent="0.25"/>
    <row r="59145" s="12" customFormat="1" x14ac:dyDescent="0.25"/>
    <row r="59146" s="12" customFormat="1" x14ac:dyDescent="0.25"/>
    <row r="59147" s="12" customFormat="1" x14ac:dyDescent="0.25"/>
    <row r="59148" s="12" customFormat="1" x14ac:dyDescent="0.25"/>
    <row r="59149" s="12" customFormat="1" x14ac:dyDescent="0.25"/>
    <row r="59150" s="12" customFormat="1" x14ac:dyDescent="0.25"/>
    <row r="59151" s="12" customFormat="1" x14ac:dyDescent="0.25"/>
    <row r="59152" s="12" customFormat="1" x14ac:dyDescent="0.25"/>
    <row r="59153" s="12" customFormat="1" x14ac:dyDescent="0.25"/>
    <row r="59154" s="12" customFormat="1" x14ac:dyDescent="0.25"/>
    <row r="59155" s="12" customFormat="1" x14ac:dyDescent="0.25"/>
    <row r="59156" s="12" customFormat="1" x14ac:dyDescent="0.25"/>
    <row r="59157" s="12" customFormat="1" x14ac:dyDescent="0.25"/>
    <row r="59158" s="12" customFormat="1" x14ac:dyDescent="0.25"/>
    <row r="59159" s="12" customFormat="1" x14ac:dyDescent="0.25"/>
    <row r="59160" s="12" customFormat="1" x14ac:dyDescent="0.25"/>
    <row r="59161" s="12" customFormat="1" x14ac:dyDescent="0.25"/>
    <row r="59162" s="12" customFormat="1" x14ac:dyDescent="0.25"/>
    <row r="59163" s="12" customFormat="1" x14ac:dyDescent="0.25"/>
    <row r="59164" s="12" customFormat="1" x14ac:dyDescent="0.25"/>
    <row r="59165" s="12" customFormat="1" x14ac:dyDescent="0.25"/>
    <row r="59166" s="12" customFormat="1" x14ac:dyDescent="0.25"/>
    <row r="59167" s="12" customFormat="1" x14ac:dyDescent="0.25"/>
    <row r="59168" s="12" customFormat="1" x14ac:dyDescent="0.25"/>
    <row r="59169" s="12" customFormat="1" x14ac:dyDescent="0.25"/>
    <row r="59170" s="12" customFormat="1" x14ac:dyDescent="0.25"/>
    <row r="59171" s="12" customFormat="1" x14ac:dyDescent="0.25"/>
    <row r="59172" s="12" customFormat="1" x14ac:dyDescent="0.25"/>
    <row r="59173" s="12" customFormat="1" x14ac:dyDescent="0.25"/>
    <row r="59174" s="12" customFormat="1" x14ac:dyDescent="0.25"/>
    <row r="59175" s="12" customFormat="1" x14ac:dyDescent="0.25"/>
    <row r="59176" s="12" customFormat="1" x14ac:dyDescent="0.25"/>
    <row r="59177" s="12" customFormat="1" x14ac:dyDescent="0.25"/>
    <row r="59178" s="12" customFormat="1" x14ac:dyDescent="0.25"/>
    <row r="59179" s="12" customFormat="1" x14ac:dyDescent="0.25"/>
    <row r="59180" s="12" customFormat="1" x14ac:dyDescent="0.25"/>
    <row r="59181" s="12" customFormat="1" x14ac:dyDescent="0.25"/>
    <row r="59182" s="12" customFormat="1" x14ac:dyDescent="0.25"/>
    <row r="59183" s="12" customFormat="1" x14ac:dyDescent="0.25"/>
    <row r="59184" s="12" customFormat="1" x14ac:dyDescent="0.25"/>
    <row r="59185" s="12" customFormat="1" x14ac:dyDescent="0.25"/>
    <row r="59186" s="12" customFormat="1" x14ac:dyDescent="0.25"/>
    <row r="59187" s="12" customFormat="1" x14ac:dyDescent="0.25"/>
    <row r="59188" s="12" customFormat="1" x14ac:dyDescent="0.25"/>
    <row r="59189" s="12" customFormat="1" x14ac:dyDescent="0.25"/>
    <row r="59190" s="12" customFormat="1" x14ac:dyDescent="0.25"/>
    <row r="59191" s="12" customFormat="1" x14ac:dyDescent="0.25"/>
    <row r="59192" s="12" customFormat="1" x14ac:dyDescent="0.25"/>
    <row r="59193" s="12" customFormat="1" x14ac:dyDescent="0.25"/>
    <row r="59194" s="12" customFormat="1" x14ac:dyDescent="0.25"/>
    <row r="59195" s="12" customFormat="1" x14ac:dyDescent="0.25"/>
    <row r="59196" s="12" customFormat="1" x14ac:dyDescent="0.25"/>
    <row r="59197" s="12" customFormat="1" x14ac:dyDescent="0.25"/>
    <row r="59198" s="12" customFormat="1" x14ac:dyDescent="0.25"/>
    <row r="59199" s="12" customFormat="1" x14ac:dyDescent="0.25"/>
    <row r="59200" s="12" customFormat="1" x14ac:dyDescent="0.25"/>
    <row r="59201" s="12" customFormat="1" x14ac:dyDescent="0.25"/>
    <row r="59202" s="12" customFormat="1" x14ac:dyDescent="0.25"/>
    <row r="59203" s="12" customFormat="1" x14ac:dyDescent="0.25"/>
    <row r="59204" s="12" customFormat="1" x14ac:dyDescent="0.25"/>
    <row r="59205" s="12" customFormat="1" x14ac:dyDescent="0.25"/>
    <row r="59206" s="12" customFormat="1" x14ac:dyDescent="0.25"/>
    <row r="59207" s="12" customFormat="1" x14ac:dyDescent="0.25"/>
    <row r="59208" s="12" customFormat="1" x14ac:dyDescent="0.25"/>
    <row r="59209" s="12" customFormat="1" x14ac:dyDescent="0.25"/>
    <row r="59210" s="12" customFormat="1" x14ac:dyDescent="0.25"/>
    <row r="59211" s="12" customFormat="1" x14ac:dyDescent="0.25"/>
    <row r="59212" s="12" customFormat="1" x14ac:dyDescent="0.25"/>
    <row r="59213" s="12" customFormat="1" x14ac:dyDescent="0.25"/>
    <row r="59214" s="12" customFormat="1" x14ac:dyDescent="0.25"/>
    <row r="59215" s="12" customFormat="1" x14ac:dyDescent="0.25"/>
    <row r="59216" s="12" customFormat="1" x14ac:dyDescent="0.25"/>
    <row r="59217" s="12" customFormat="1" x14ac:dyDescent="0.25"/>
    <row r="59218" s="12" customFormat="1" x14ac:dyDescent="0.25"/>
    <row r="59219" s="12" customFormat="1" x14ac:dyDescent="0.25"/>
    <row r="59220" s="12" customFormat="1" x14ac:dyDescent="0.25"/>
    <row r="59221" s="12" customFormat="1" x14ac:dyDescent="0.25"/>
    <row r="59222" s="12" customFormat="1" x14ac:dyDescent="0.25"/>
    <row r="59223" s="12" customFormat="1" x14ac:dyDescent="0.25"/>
    <row r="59224" s="12" customFormat="1" x14ac:dyDescent="0.25"/>
    <row r="59225" s="12" customFormat="1" x14ac:dyDescent="0.25"/>
    <row r="59226" s="12" customFormat="1" x14ac:dyDescent="0.25"/>
    <row r="59227" s="12" customFormat="1" x14ac:dyDescent="0.25"/>
    <row r="59228" s="12" customFormat="1" x14ac:dyDescent="0.25"/>
    <row r="59229" s="12" customFormat="1" x14ac:dyDescent="0.25"/>
    <row r="59230" s="12" customFormat="1" x14ac:dyDescent="0.25"/>
    <row r="59231" s="12" customFormat="1" x14ac:dyDescent="0.25"/>
    <row r="59232" s="12" customFormat="1" x14ac:dyDescent="0.25"/>
    <row r="59233" s="12" customFormat="1" x14ac:dyDescent="0.25"/>
    <row r="59234" s="12" customFormat="1" x14ac:dyDescent="0.25"/>
    <row r="59235" s="12" customFormat="1" x14ac:dyDescent="0.25"/>
    <row r="59236" s="12" customFormat="1" x14ac:dyDescent="0.25"/>
    <row r="59237" s="12" customFormat="1" x14ac:dyDescent="0.25"/>
    <row r="59238" s="12" customFormat="1" x14ac:dyDescent="0.25"/>
    <row r="59239" s="12" customFormat="1" x14ac:dyDescent="0.25"/>
    <row r="59240" s="12" customFormat="1" x14ac:dyDescent="0.25"/>
    <row r="59241" s="12" customFormat="1" x14ac:dyDescent="0.25"/>
    <row r="59242" s="12" customFormat="1" x14ac:dyDescent="0.25"/>
    <row r="59243" s="12" customFormat="1" x14ac:dyDescent="0.25"/>
    <row r="59244" s="12" customFormat="1" x14ac:dyDescent="0.25"/>
    <row r="59245" s="12" customFormat="1" x14ac:dyDescent="0.25"/>
    <row r="59246" s="12" customFormat="1" x14ac:dyDescent="0.25"/>
    <row r="59247" s="12" customFormat="1" x14ac:dyDescent="0.25"/>
    <row r="59248" s="12" customFormat="1" x14ac:dyDescent="0.25"/>
    <row r="59249" s="12" customFormat="1" x14ac:dyDescent="0.25"/>
    <row r="59250" s="12" customFormat="1" x14ac:dyDescent="0.25"/>
    <row r="59251" s="12" customFormat="1" x14ac:dyDescent="0.25"/>
    <row r="59252" s="12" customFormat="1" x14ac:dyDescent="0.25"/>
    <row r="59253" s="12" customFormat="1" x14ac:dyDescent="0.25"/>
    <row r="59254" s="12" customFormat="1" x14ac:dyDescent="0.25"/>
    <row r="59255" s="12" customFormat="1" x14ac:dyDescent="0.25"/>
    <row r="59256" s="12" customFormat="1" x14ac:dyDescent="0.25"/>
    <row r="59257" s="12" customFormat="1" x14ac:dyDescent="0.25"/>
    <row r="59258" s="12" customFormat="1" x14ac:dyDescent="0.25"/>
    <row r="59259" s="12" customFormat="1" x14ac:dyDescent="0.25"/>
    <row r="59260" s="12" customFormat="1" x14ac:dyDescent="0.25"/>
    <row r="59261" s="12" customFormat="1" x14ac:dyDescent="0.25"/>
    <row r="59262" s="12" customFormat="1" x14ac:dyDescent="0.25"/>
    <row r="59263" s="12" customFormat="1" x14ac:dyDescent="0.25"/>
    <row r="59264" s="12" customFormat="1" x14ac:dyDescent="0.25"/>
    <row r="59265" s="12" customFormat="1" x14ac:dyDescent="0.25"/>
    <row r="59266" s="12" customFormat="1" x14ac:dyDescent="0.25"/>
    <row r="59267" s="12" customFormat="1" x14ac:dyDescent="0.25"/>
    <row r="59268" s="12" customFormat="1" x14ac:dyDescent="0.25"/>
    <row r="59269" s="12" customFormat="1" x14ac:dyDescent="0.25"/>
    <row r="59270" s="12" customFormat="1" x14ac:dyDescent="0.25"/>
    <row r="59271" s="12" customFormat="1" x14ac:dyDescent="0.25"/>
    <row r="59272" s="12" customFormat="1" x14ac:dyDescent="0.25"/>
    <row r="59273" s="12" customFormat="1" x14ac:dyDescent="0.25"/>
    <row r="59274" s="12" customFormat="1" x14ac:dyDescent="0.25"/>
    <row r="59275" s="12" customFormat="1" x14ac:dyDescent="0.25"/>
    <row r="59276" s="12" customFormat="1" x14ac:dyDescent="0.25"/>
    <row r="59277" s="12" customFormat="1" x14ac:dyDescent="0.25"/>
    <row r="59278" s="12" customFormat="1" x14ac:dyDescent="0.25"/>
    <row r="59279" s="12" customFormat="1" x14ac:dyDescent="0.25"/>
    <row r="59280" s="12" customFormat="1" x14ac:dyDescent="0.25"/>
    <row r="59281" s="12" customFormat="1" x14ac:dyDescent="0.25"/>
    <row r="59282" s="12" customFormat="1" x14ac:dyDescent="0.25"/>
    <row r="59283" s="12" customFormat="1" x14ac:dyDescent="0.25"/>
    <row r="59284" s="12" customFormat="1" x14ac:dyDescent="0.25"/>
    <row r="59285" s="12" customFormat="1" x14ac:dyDescent="0.25"/>
    <row r="59286" s="12" customFormat="1" x14ac:dyDescent="0.25"/>
    <row r="59287" s="12" customFormat="1" x14ac:dyDescent="0.25"/>
    <row r="59288" s="12" customFormat="1" x14ac:dyDescent="0.25"/>
    <row r="59289" s="12" customFormat="1" x14ac:dyDescent="0.25"/>
    <row r="59290" s="12" customFormat="1" x14ac:dyDescent="0.25"/>
    <row r="59291" s="12" customFormat="1" x14ac:dyDescent="0.25"/>
    <row r="59292" s="12" customFormat="1" x14ac:dyDescent="0.25"/>
    <row r="59293" s="12" customFormat="1" x14ac:dyDescent="0.25"/>
    <row r="59294" s="12" customFormat="1" x14ac:dyDescent="0.25"/>
    <row r="59295" s="12" customFormat="1" x14ac:dyDescent="0.25"/>
    <row r="59296" s="12" customFormat="1" x14ac:dyDescent="0.25"/>
    <row r="59297" s="12" customFormat="1" x14ac:dyDescent="0.25"/>
    <row r="59298" s="12" customFormat="1" x14ac:dyDescent="0.25"/>
    <row r="59299" s="12" customFormat="1" x14ac:dyDescent="0.25"/>
    <row r="59300" s="12" customFormat="1" x14ac:dyDescent="0.25"/>
    <row r="59301" s="12" customFormat="1" x14ac:dyDescent="0.25"/>
    <row r="59302" s="12" customFormat="1" x14ac:dyDescent="0.25"/>
    <row r="59303" s="12" customFormat="1" x14ac:dyDescent="0.25"/>
    <row r="59304" s="12" customFormat="1" x14ac:dyDescent="0.25"/>
    <row r="59305" s="12" customFormat="1" x14ac:dyDescent="0.25"/>
    <row r="59306" s="12" customFormat="1" x14ac:dyDescent="0.25"/>
    <row r="59307" s="12" customFormat="1" x14ac:dyDescent="0.25"/>
    <row r="59308" s="12" customFormat="1" x14ac:dyDescent="0.25"/>
    <row r="59309" s="12" customFormat="1" x14ac:dyDescent="0.25"/>
    <row r="59310" s="12" customFormat="1" x14ac:dyDescent="0.25"/>
    <row r="59311" s="12" customFormat="1" x14ac:dyDescent="0.25"/>
    <row r="59312" s="12" customFormat="1" x14ac:dyDescent="0.25"/>
    <row r="59313" s="12" customFormat="1" x14ac:dyDescent="0.25"/>
    <row r="59314" s="12" customFormat="1" x14ac:dyDescent="0.25"/>
    <row r="59315" s="12" customFormat="1" x14ac:dyDescent="0.25"/>
    <row r="59316" s="12" customFormat="1" x14ac:dyDescent="0.25"/>
    <row r="59317" s="12" customFormat="1" x14ac:dyDescent="0.25"/>
    <row r="59318" s="12" customFormat="1" x14ac:dyDescent="0.25"/>
    <row r="59319" s="12" customFormat="1" x14ac:dyDescent="0.25"/>
    <row r="59320" s="12" customFormat="1" x14ac:dyDescent="0.25"/>
    <row r="59321" s="12" customFormat="1" x14ac:dyDescent="0.25"/>
    <row r="59322" s="12" customFormat="1" x14ac:dyDescent="0.25"/>
    <row r="59323" s="12" customFormat="1" x14ac:dyDescent="0.25"/>
    <row r="59324" s="12" customFormat="1" x14ac:dyDescent="0.25"/>
    <row r="59325" s="12" customFormat="1" x14ac:dyDescent="0.25"/>
    <row r="59326" s="12" customFormat="1" x14ac:dyDescent="0.25"/>
    <row r="59327" s="12" customFormat="1" x14ac:dyDescent="0.25"/>
    <row r="59328" s="12" customFormat="1" x14ac:dyDescent="0.25"/>
    <row r="59329" s="12" customFormat="1" x14ac:dyDescent="0.25"/>
    <row r="59330" s="12" customFormat="1" x14ac:dyDescent="0.25"/>
    <row r="59331" s="12" customFormat="1" x14ac:dyDescent="0.25"/>
    <row r="59332" s="12" customFormat="1" x14ac:dyDescent="0.25"/>
    <row r="59333" s="12" customFormat="1" x14ac:dyDescent="0.25"/>
    <row r="59334" s="12" customFormat="1" x14ac:dyDescent="0.25"/>
    <row r="59335" s="12" customFormat="1" x14ac:dyDescent="0.25"/>
    <row r="59336" s="12" customFormat="1" x14ac:dyDescent="0.25"/>
    <row r="59337" s="12" customFormat="1" x14ac:dyDescent="0.25"/>
    <row r="59338" s="12" customFormat="1" x14ac:dyDescent="0.25"/>
    <row r="59339" s="12" customFormat="1" x14ac:dyDescent="0.25"/>
    <row r="59340" s="12" customFormat="1" x14ac:dyDescent="0.25"/>
    <row r="59341" s="12" customFormat="1" x14ac:dyDescent="0.25"/>
    <row r="59342" s="12" customFormat="1" x14ac:dyDescent="0.25"/>
    <row r="59343" s="12" customFormat="1" x14ac:dyDescent="0.25"/>
    <row r="59344" s="12" customFormat="1" x14ac:dyDescent="0.25"/>
    <row r="59345" s="12" customFormat="1" x14ac:dyDescent="0.25"/>
    <row r="59346" s="12" customFormat="1" x14ac:dyDescent="0.25"/>
    <row r="59347" s="12" customFormat="1" x14ac:dyDescent="0.25"/>
    <row r="59348" s="12" customFormat="1" x14ac:dyDescent="0.25"/>
    <row r="59349" s="12" customFormat="1" x14ac:dyDescent="0.25"/>
    <row r="59350" s="12" customFormat="1" x14ac:dyDescent="0.25"/>
    <row r="59351" s="12" customFormat="1" x14ac:dyDescent="0.25"/>
    <row r="59352" s="12" customFormat="1" x14ac:dyDescent="0.25"/>
    <row r="59353" s="12" customFormat="1" x14ac:dyDescent="0.25"/>
    <row r="59354" s="12" customFormat="1" x14ac:dyDescent="0.25"/>
    <row r="59355" s="12" customFormat="1" x14ac:dyDescent="0.25"/>
    <row r="59356" s="12" customFormat="1" x14ac:dyDescent="0.25"/>
    <row r="59357" s="12" customFormat="1" x14ac:dyDescent="0.25"/>
    <row r="59358" s="12" customFormat="1" x14ac:dyDescent="0.25"/>
    <row r="59359" s="12" customFormat="1" x14ac:dyDescent="0.25"/>
    <row r="59360" s="12" customFormat="1" x14ac:dyDescent="0.25"/>
    <row r="59361" s="12" customFormat="1" x14ac:dyDescent="0.25"/>
    <row r="59362" s="12" customFormat="1" x14ac:dyDescent="0.25"/>
    <row r="59363" s="12" customFormat="1" x14ac:dyDescent="0.25"/>
    <row r="59364" s="12" customFormat="1" x14ac:dyDescent="0.25"/>
    <row r="59365" s="12" customFormat="1" x14ac:dyDescent="0.25"/>
    <row r="59366" s="12" customFormat="1" x14ac:dyDescent="0.25"/>
    <row r="59367" s="12" customFormat="1" x14ac:dyDescent="0.25"/>
    <row r="59368" s="12" customFormat="1" x14ac:dyDescent="0.25"/>
    <row r="59369" s="12" customFormat="1" x14ac:dyDescent="0.25"/>
    <row r="59370" s="12" customFormat="1" x14ac:dyDescent="0.25"/>
    <row r="59371" s="12" customFormat="1" x14ac:dyDescent="0.25"/>
    <row r="59372" s="12" customFormat="1" x14ac:dyDescent="0.25"/>
    <row r="59373" s="12" customFormat="1" x14ac:dyDescent="0.25"/>
    <row r="59374" s="12" customFormat="1" x14ac:dyDescent="0.25"/>
    <row r="59375" s="12" customFormat="1" x14ac:dyDescent="0.25"/>
    <row r="59376" s="12" customFormat="1" x14ac:dyDescent="0.25"/>
    <row r="59377" s="12" customFormat="1" x14ac:dyDescent="0.25"/>
    <row r="59378" s="12" customFormat="1" x14ac:dyDescent="0.25"/>
    <row r="59379" s="12" customFormat="1" x14ac:dyDescent="0.25"/>
    <row r="59380" s="12" customFormat="1" x14ac:dyDescent="0.25"/>
    <row r="59381" s="12" customFormat="1" x14ac:dyDescent="0.25"/>
    <row r="59382" s="12" customFormat="1" x14ac:dyDescent="0.25"/>
    <row r="59383" s="12" customFormat="1" x14ac:dyDescent="0.25"/>
    <row r="59384" s="12" customFormat="1" x14ac:dyDescent="0.25"/>
    <row r="59385" s="12" customFormat="1" x14ac:dyDescent="0.25"/>
    <row r="59386" s="12" customFormat="1" x14ac:dyDescent="0.25"/>
    <row r="59387" s="12" customFormat="1" x14ac:dyDescent="0.25"/>
    <row r="59388" s="12" customFormat="1" x14ac:dyDescent="0.25"/>
    <row r="59389" s="12" customFormat="1" x14ac:dyDescent="0.25"/>
    <row r="59390" s="12" customFormat="1" x14ac:dyDescent="0.25"/>
    <row r="59391" s="12" customFormat="1" x14ac:dyDescent="0.25"/>
    <row r="59392" s="12" customFormat="1" x14ac:dyDescent="0.25"/>
    <row r="59393" s="12" customFormat="1" x14ac:dyDescent="0.25"/>
    <row r="59394" s="12" customFormat="1" x14ac:dyDescent="0.25"/>
    <row r="59395" s="12" customFormat="1" x14ac:dyDescent="0.25"/>
    <row r="59396" s="12" customFormat="1" x14ac:dyDescent="0.25"/>
    <row r="59397" s="12" customFormat="1" x14ac:dyDescent="0.25"/>
    <row r="59398" s="12" customFormat="1" x14ac:dyDescent="0.25"/>
    <row r="59399" s="12" customFormat="1" x14ac:dyDescent="0.25"/>
    <row r="59400" s="12" customFormat="1" x14ac:dyDescent="0.25"/>
    <row r="59401" s="12" customFormat="1" x14ac:dyDescent="0.25"/>
    <row r="59402" s="12" customFormat="1" x14ac:dyDescent="0.25"/>
    <row r="59403" s="12" customFormat="1" x14ac:dyDescent="0.25"/>
    <row r="59404" s="12" customFormat="1" x14ac:dyDescent="0.25"/>
    <row r="59405" s="12" customFormat="1" x14ac:dyDescent="0.25"/>
    <row r="59406" s="12" customFormat="1" x14ac:dyDescent="0.25"/>
    <row r="59407" s="12" customFormat="1" x14ac:dyDescent="0.25"/>
    <row r="59408" s="12" customFormat="1" x14ac:dyDescent="0.25"/>
    <row r="59409" s="12" customFormat="1" x14ac:dyDescent="0.25"/>
    <row r="59410" s="12" customFormat="1" x14ac:dyDescent="0.25"/>
    <row r="59411" s="12" customFormat="1" x14ac:dyDescent="0.25"/>
    <row r="59412" s="12" customFormat="1" x14ac:dyDescent="0.25"/>
    <row r="59413" s="12" customFormat="1" x14ac:dyDescent="0.25"/>
    <row r="59414" s="12" customFormat="1" x14ac:dyDescent="0.25"/>
    <row r="59415" s="12" customFormat="1" x14ac:dyDescent="0.25"/>
    <row r="59416" s="12" customFormat="1" x14ac:dyDescent="0.25"/>
    <row r="59417" s="12" customFormat="1" x14ac:dyDescent="0.25"/>
    <row r="59418" s="12" customFormat="1" x14ac:dyDescent="0.25"/>
    <row r="59419" s="12" customFormat="1" x14ac:dyDescent="0.25"/>
    <row r="59420" s="12" customFormat="1" x14ac:dyDescent="0.25"/>
    <row r="59421" s="12" customFormat="1" x14ac:dyDescent="0.25"/>
    <row r="59422" s="12" customFormat="1" x14ac:dyDescent="0.25"/>
    <row r="59423" s="12" customFormat="1" x14ac:dyDescent="0.25"/>
    <row r="59424" s="12" customFormat="1" x14ac:dyDescent="0.25"/>
    <row r="59425" s="12" customFormat="1" x14ac:dyDescent="0.25"/>
    <row r="59426" s="12" customFormat="1" x14ac:dyDescent="0.25"/>
    <row r="59427" s="12" customFormat="1" x14ac:dyDescent="0.25"/>
    <row r="59428" s="12" customFormat="1" x14ac:dyDescent="0.25"/>
    <row r="59429" s="12" customFormat="1" x14ac:dyDescent="0.25"/>
    <row r="59430" s="12" customFormat="1" x14ac:dyDescent="0.25"/>
    <row r="59431" s="12" customFormat="1" x14ac:dyDescent="0.25"/>
    <row r="59432" s="12" customFormat="1" x14ac:dyDescent="0.25"/>
    <row r="59433" s="12" customFormat="1" x14ac:dyDescent="0.25"/>
    <row r="59434" s="12" customFormat="1" x14ac:dyDescent="0.25"/>
    <row r="59435" s="12" customFormat="1" x14ac:dyDescent="0.25"/>
    <row r="59436" s="12" customFormat="1" x14ac:dyDescent="0.25"/>
    <row r="59437" s="12" customFormat="1" x14ac:dyDescent="0.25"/>
    <row r="59438" s="12" customFormat="1" x14ac:dyDescent="0.25"/>
    <row r="59439" s="12" customFormat="1" x14ac:dyDescent="0.25"/>
    <row r="59440" s="12" customFormat="1" x14ac:dyDescent="0.25"/>
    <row r="59441" s="12" customFormat="1" x14ac:dyDescent="0.25"/>
    <row r="59442" s="12" customFormat="1" x14ac:dyDescent="0.25"/>
    <row r="59443" s="12" customFormat="1" x14ac:dyDescent="0.25"/>
    <row r="59444" s="12" customFormat="1" x14ac:dyDescent="0.25"/>
    <row r="59445" s="12" customFormat="1" x14ac:dyDescent="0.25"/>
    <row r="59446" s="12" customFormat="1" x14ac:dyDescent="0.25"/>
    <row r="59447" s="12" customFormat="1" x14ac:dyDescent="0.25"/>
    <row r="59448" s="12" customFormat="1" x14ac:dyDescent="0.25"/>
    <row r="59449" s="12" customFormat="1" x14ac:dyDescent="0.25"/>
    <row r="59450" s="12" customFormat="1" x14ac:dyDescent="0.25"/>
    <row r="59451" s="12" customFormat="1" x14ac:dyDescent="0.25"/>
    <row r="59452" s="12" customFormat="1" x14ac:dyDescent="0.25"/>
    <row r="59453" s="12" customFormat="1" x14ac:dyDescent="0.25"/>
    <row r="59454" s="12" customFormat="1" x14ac:dyDescent="0.25"/>
    <row r="59455" s="12" customFormat="1" x14ac:dyDescent="0.25"/>
    <row r="59456" s="12" customFormat="1" x14ac:dyDescent="0.25"/>
    <row r="59457" s="12" customFormat="1" x14ac:dyDescent="0.25"/>
    <row r="59458" s="12" customFormat="1" x14ac:dyDescent="0.25"/>
    <row r="59459" s="12" customFormat="1" x14ac:dyDescent="0.25"/>
    <row r="59460" s="12" customFormat="1" x14ac:dyDescent="0.25"/>
    <row r="59461" s="12" customFormat="1" x14ac:dyDescent="0.25"/>
    <row r="59462" s="12" customFormat="1" x14ac:dyDescent="0.25"/>
    <row r="59463" s="12" customFormat="1" x14ac:dyDescent="0.25"/>
    <row r="59464" s="12" customFormat="1" x14ac:dyDescent="0.25"/>
    <row r="59465" s="12" customFormat="1" x14ac:dyDescent="0.25"/>
    <row r="59466" s="12" customFormat="1" x14ac:dyDescent="0.25"/>
    <row r="59467" s="12" customFormat="1" x14ac:dyDescent="0.25"/>
    <row r="59468" s="12" customFormat="1" x14ac:dyDescent="0.25"/>
    <row r="59469" s="12" customFormat="1" x14ac:dyDescent="0.25"/>
    <row r="59470" s="12" customFormat="1" x14ac:dyDescent="0.25"/>
    <row r="59471" s="12" customFormat="1" x14ac:dyDescent="0.25"/>
    <row r="59472" s="12" customFormat="1" x14ac:dyDescent="0.25"/>
    <row r="59473" s="12" customFormat="1" x14ac:dyDescent="0.25"/>
    <row r="59474" s="12" customFormat="1" x14ac:dyDescent="0.25"/>
    <row r="59475" s="12" customFormat="1" x14ac:dyDescent="0.25"/>
    <row r="59476" s="12" customFormat="1" x14ac:dyDescent="0.25"/>
    <row r="59477" s="12" customFormat="1" x14ac:dyDescent="0.25"/>
    <row r="59478" s="12" customFormat="1" x14ac:dyDescent="0.25"/>
    <row r="59479" s="12" customFormat="1" x14ac:dyDescent="0.25"/>
    <row r="59480" s="12" customFormat="1" x14ac:dyDescent="0.25"/>
    <row r="59481" s="12" customFormat="1" x14ac:dyDescent="0.25"/>
    <row r="59482" s="12" customFormat="1" x14ac:dyDescent="0.25"/>
    <row r="59483" s="12" customFormat="1" x14ac:dyDescent="0.25"/>
    <row r="59484" s="12" customFormat="1" x14ac:dyDescent="0.25"/>
    <row r="59485" s="12" customFormat="1" x14ac:dyDescent="0.25"/>
    <row r="59486" s="12" customFormat="1" x14ac:dyDescent="0.25"/>
    <row r="59487" s="12" customFormat="1" x14ac:dyDescent="0.25"/>
    <row r="59488" s="12" customFormat="1" x14ac:dyDescent="0.25"/>
    <row r="59489" s="12" customFormat="1" x14ac:dyDescent="0.25"/>
    <row r="59490" s="12" customFormat="1" x14ac:dyDescent="0.25"/>
    <row r="59491" s="12" customFormat="1" x14ac:dyDescent="0.25"/>
    <row r="59492" s="12" customFormat="1" x14ac:dyDescent="0.25"/>
    <row r="59493" s="12" customFormat="1" x14ac:dyDescent="0.25"/>
    <row r="59494" s="12" customFormat="1" x14ac:dyDescent="0.25"/>
    <row r="59495" s="12" customFormat="1" x14ac:dyDescent="0.25"/>
    <row r="59496" s="12" customFormat="1" x14ac:dyDescent="0.25"/>
    <row r="59497" s="12" customFormat="1" x14ac:dyDescent="0.25"/>
    <row r="59498" s="12" customFormat="1" x14ac:dyDescent="0.25"/>
    <row r="59499" s="12" customFormat="1" x14ac:dyDescent="0.25"/>
    <row r="59500" s="12" customFormat="1" x14ac:dyDescent="0.25"/>
    <row r="59501" s="12" customFormat="1" x14ac:dyDescent="0.25"/>
    <row r="59502" s="12" customFormat="1" x14ac:dyDescent="0.25"/>
    <row r="59503" s="12" customFormat="1" x14ac:dyDescent="0.25"/>
    <row r="59504" s="12" customFormat="1" x14ac:dyDescent="0.25"/>
    <row r="59505" s="12" customFormat="1" x14ac:dyDescent="0.25"/>
    <row r="59506" s="12" customFormat="1" x14ac:dyDescent="0.25"/>
    <row r="59507" s="12" customFormat="1" x14ac:dyDescent="0.25"/>
    <row r="59508" s="12" customFormat="1" x14ac:dyDescent="0.25"/>
    <row r="59509" s="12" customFormat="1" x14ac:dyDescent="0.25"/>
    <row r="59510" s="12" customFormat="1" x14ac:dyDescent="0.25"/>
    <row r="59511" s="12" customFormat="1" x14ac:dyDescent="0.25"/>
    <row r="59512" s="12" customFormat="1" x14ac:dyDescent="0.25"/>
    <row r="59513" s="12" customFormat="1" x14ac:dyDescent="0.25"/>
    <row r="59514" s="12" customFormat="1" x14ac:dyDescent="0.25"/>
    <row r="59515" s="12" customFormat="1" x14ac:dyDescent="0.25"/>
    <row r="59516" s="12" customFormat="1" x14ac:dyDescent="0.25"/>
    <row r="59517" s="12" customFormat="1" x14ac:dyDescent="0.25"/>
    <row r="59518" s="12" customFormat="1" x14ac:dyDescent="0.25"/>
    <row r="59519" s="12" customFormat="1" x14ac:dyDescent="0.25"/>
    <row r="59520" s="12" customFormat="1" x14ac:dyDescent="0.25"/>
    <row r="59521" s="12" customFormat="1" x14ac:dyDescent="0.25"/>
    <row r="59522" s="12" customFormat="1" x14ac:dyDescent="0.25"/>
    <row r="59523" s="12" customFormat="1" x14ac:dyDescent="0.25"/>
    <row r="59524" s="12" customFormat="1" x14ac:dyDescent="0.25"/>
    <row r="59525" s="12" customFormat="1" x14ac:dyDescent="0.25"/>
    <row r="59526" s="12" customFormat="1" x14ac:dyDescent="0.25"/>
    <row r="59527" s="12" customFormat="1" x14ac:dyDescent="0.25"/>
    <row r="59528" s="12" customFormat="1" x14ac:dyDescent="0.25"/>
    <row r="59529" s="12" customFormat="1" x14ac:dyDescent="0.25"/>
    <row r="59530" s="12" customFormat="1" x14ac:dyDescent="0.25"/>
    <row r="59531" s="12" customFormat="1" x14ac:dyDescent="0.25"/>
    <row r="59532" s="12" customFormat="1" x14ac:dyDescent="0.25"/>
    <row r="59533" s="12" customFormat="1" x14ac:dyDescent="0.25"/>
    <row r="59534" s="12" customFormat="1" x14ac:dyDescent="0.25"/>
    <row r="59535" s="12" customFormat="1" x14ac:dyDescent="0.25"/>
    <row r="59536" s="12" customFormat="1" x14ac:dyDescent="0.25"/>
    <row r="59537" s="12" customFormat="1" x14ac:dyDescent="0.25"/>
    <row r="59538" s="12" customFormat="1" x14ac:dyDescent="0.25"/>
    <row r="59539" s="12" customFormat="1" x14ac:dyDescent="0.25"/>
    <row r="59540" s="12" customFormat="1" x14ac:dyDescent="0.25"/>
    <row r="59541" s="12" customFormat="1" x14ac:dyDescent="0.25"/>
    <row r="59542" s="12" customFormat="1" x14ac:dyDescent="0.25"/>
    <row r="59543" s="12" customFormat="1" x14ac:dyDescent="0.25"/>
    <row r="59544" s="12" customFormat="1" x14ac:dyDescent="0.25"/>
    <row r="59545" s="12" customFormat="1" x14ac:dyDescent="0.25"/>
    <row r="59546" s="12" customFormat="1" x14ac:dyDescent="0.25"/>
    <row r="59547" s="12" customFormat="1" x14ac:dyDescent="0.25"/>
    <row r="59548" s="12" customFormat="1" x14ac:dyDescent="0.25"/>
    <row r="59549" s="12" customFormat="1" x14ac:dyDescent="0.25"/>
    <row r="59550" s="12" customFormat="1" x14ac:dyDescent="0.25"/>
    <row r="59551" s="12" customFormat="1" x14ac:dyDescent="0.25"/>
    <row r="59552" s="12" customFormat="1" x14ac:dyDescent="0.25"/>
    <row r="59553" s="12" customFormat="1" x14ac:dyDescent="0.25"/>
    <row r="59554" s="12" customFormat="1" x14ac:dyDescent="0.25"/>
    <row r="59555" s="12" customFormat="1" x14ac:dyDescent="0.25"/>
    <row r="59556" s="12" customFormat="1" x14ac:dyDescent="0.25"/>
    <row r="59557" s="12" customFormat="1" x14ac:dyDescent="0.25"/>
    <row r="59558" s="12" customFormat="1" x14ac:dyDescent="0.25"/>
    <row r="59559" s="12" customFormat="1" x14ac:dyDescent="0.25"/>
    <row r="59560" s="12" customFormat="1" x14ac:dyDescent="0.25"/>
    <row r="59561" s="12" customFormat="1" x14ac:dyDescent="0.25"/>
    <row r="59562" s="12" customFormat="1" x14ac:dyDescent="0.25"/>
    <row r="59563" s="12" customFormat="1" x14ac:dyDescent="0.25"/>
    <row r="59564" s="12" customFormat="1" x14ac:dyDescent="0.25"/>
    <row r="59565" s="12" customFormat="1" x14ac:dyDescent="0.25"/>
    <row r="59566" s="12" customFormat="1" x14ac:dyDescent="0.25"/>
    <row r="59567" s="12" customFormat="1" x14ac:dyDescent="0.25"/>
    <row r="59568" s="12" customFormat="1" x14ac:dyDescent="0.25"/>
    <row r="59569" s="12" customFormat="1" x14ac:dyDescent="0.25"/>
    <row r="59570" s="12" customFormat="1" x14ac:dyDescent="0.25"/>
    <row r="59571" s="12" customFormat="1" x14ac:dyDescent="0.25"/>
    <row r="59572" s="12" customFormat="1" x14ac:dyDescent="0.25"/>
    <row r="59573" s="12" customFormat="1" x14ac:dyDescent="0.25"/>
    <row r="59574" s="12" customFormat="1" x14ac:dyDescent="0.25"/>
    <row r="59575" s="12" customFormat="1" x14ac:dyDescent="0.25"/>
    <row r="59576" s="12" customFormat="1" x14ac:dyDescent="0.25"/>
    <row r="59577" s="12" customFormat="1" x14ac:dyDescent="0.25"/>
    <row r="59578" s="12" customFormat="1" x14ac:dyDescent="0.25"/>
    <row r="59579" s="12" customFormat="1" x14ac:dyDescent="0.25"/>
    <row r="59580" s="12" customFormat="1" x14ac:dyDescent="0.25"/>
    <row r="59581" s="12" customFormat="1" x14ac:dyDescent="0.25"/>
    <row r="59582" s="12" customFormat="1" x14ac:dyDescent="0.25"/>
    <row r="59583" s="12" customFormat="1" x14ac:dyDescent="0.25"/>
    <row r="59584" s="12" customFormat="1" x14ac:dyDescent="0.25"/>
    <row r="59585" s="12" customFormat="1" x14ac:dyDescent="0.25"/>
    <row r="59586" s="12" customFormat="1" x14ac:dyDescent="0.25"/>
    <row r="59587" s="12" customFormat="1" x14ac:dyDescent="0.25"/>
    <row r="59588" s="12" customFormat="1" x14ac:dyDescent="0.25"/>
    <row r="59589" s="12" customFormat="1" x14ac:dyDescent="0.25"/>
    <row r="59590" s="12" customFormat="1" x14ac:dyDescent="0.25"/>
    <row r="59591" s="12" customFormat="1" x14ac:dyDescent="0.25"/>
    <row r="59592" s="12" customFormat="1" x14ac:dyDescent="0.25"/>
    <row r="59593" s="12" customFormat="1" x14ac:dyDescent="0.25"/>
    <row r="59594" s="12" customFormat="1" x14ac:dyDescent="0.25"/>
    <row r="59595" s="12" customFormat="1" x14ac:dyDescent="0.25"/>
    <row r="59596" s="12" customFormat="1" x14ac:dyDescent="0.25"/>
    <row r="59597" s="12" customFormat="1" x14ac:dyDescent="0.25"/>
    <row r="59598" s="12" customFormat="1" x14ac:dyDescent="0.25"/>
    <row r="59599" s="12" customFormat="1" x14ac:dyDescent="0.25"/>
    <row r="59600" s="12" customFormat="1" x14ac:dyDescent="0.25"/>
    <row r="59601" s="12" customFormat="1" x14ac:dyDescent="0.25"/>
    <row r="59602" s="12" customFormat="1" x14ac:dyDescent="0.25"/>
    <row r="59603" s="12" customFormat="1" x14ac:dyDescent="0.25"/>
    <row r="59604" s="12" customFormat="1" x14ac:dyDescent="0.25"/>
    <row r="59605" s="12" customFormat="1" x14ac:dyDescent="0.25"/>
    <row r="59606" s="12" customFormat="1" x14ac:dyDescent="0.25"/>
    <row r="59607" s="12" customFormat="1" x14ac:dyDescent="0.25"/>
    <row r="59608" s="12" customFormat="1" x14ac:dyDescent="0.25"/>
    <row r="59609" s="12" customFormat="1" x14ac:dyDescent="0.25"/>
    <row r="59610" s="12" customFormat="1" x14ac:dyDescent="0.25"/>
    <row r="59611" s="12" customFormat="1" x14ac:dyDescent="0.25"/>
    <row r="59612" s="12" customFormat="1" x14ac:dyDescent="0.25"/>
    <row r="59613" s="12" customFormat="1" x14ac:dyDescent="0.25"/>
    <row r="59614" s="12" customFormat="1" x14ac:dyDescent="0.25"/>
    <row r="59615" s="12" customFormat="1" x14ac:dyDescent="0.25"/>
    <row r="59616" s="12" customFormat="1" x14ac:dyDescent="0.25"/>
    <row r="59617" s="12" customFormat="1" x14ac:dyDescent="0.25"/>
    <row r="59618" s="12" customFormat="1" x14ac:dyDescent="0.25"/>
    <row r="59619" s="12" customFormat="1" x14ac:dyDescent="0.25"/>
    <row r="59620" s="12" customFormat="1" x14ac:dyDescent="0.25"/>
    <row r="59621" s="12" customFormat="1" x14ac:dyDescent="0.25"/>
    <row r="59622" s="12" customFormat="1" x14ac:dyDescent="0.25"/>
    <row r="59623" s="12" customFormat="1" x14ac:dyDescent="0.25"/>
    <row r="59624" s="12" customFormat="1" x14ac:dyDescent="0.25"/>
    <row r="59625" s="12" customFormat="1" x14ac:dyDescent="0.25"/>
    <row r="59626" s="12" customFormat="1" x14ac:dyDescent="0.25"/>
    <row r="59627" s="12" customFormat="1" x14ac:dyDescent="0.25"/>
    <row r="59628" s="12" customFormat="1" x14ac:dyDescent="0.25"/>
    <row r="59629" s="12" customFormat="1" x14ac:dyDescent="0.25"/>
    <row r="59630" s="12" customFormat="1" x14ac:dyDescent="0.25"/>
    <row r="59631" s="12" customFormat="1" x14ac:dyDescent="0.25"/>
    <row r="59632" s="12" customFormat="1" x14ac:dyDescent="0.25"/>
    <row r="59633" s="12" customFormat="1" x14ac:dyDescent="0.25"/>
    <row r="59634" s="12" customFormat="1" x14ac:dyDescent="0.25"/>
    <row r="59635" s="12" customFormat="1" x14ac:dyDescent="0.25"/>
    <row r="59636" s="12" customFormat="1" x14ac:dyDescent="0.25"/>
    <row r="59637" s="12" customFormat="1" x14ac:dyDescent="0.25"/>
    <row r="59638" s="12" customFormat="1" x14ac:dyDescent="0.25"/>
    <row r="59639" s="12" customFormat="1" x14ac:dyDescent="0.25"/>
    <row r="59640" s="12" customFormat="1" x14ac:dyDescent="0.25"/>
    <row r="59641" s="12" customFormat="1" x14ac:dyDescent="0.25"/>
    <row r="59642" s="12" customFormat="1" x14ac:dyDescent="0.25"/>
    <row r="59643" s="12" customFormat="1" x14ac:dyDescent="0.25"/>
    <row r="59644" s="12" customFormat="1" x14ac:dyDescent="0.25"/>
    <row r="59645" s="12" customFormat="1" x14ac:dyDescent="0.25"/>
    <row r="59646" s="12" customFormat="1" x14ac:dyDescent="0.25"/>
    <row r="59647" s="12" customFormat="1" x14ac:dyDescent="0.25"/>
    <row r="59648" s="12" customFormat="1" x14ac:dyDescent="0.25"/>
    <row r="59649" s="12" customFormat="1" x14ac:dyDescent="0.25"/>
    <row r="59650" s="12" customFormat="1" x14ac:dyDescent="0.25"/>
    <row r="59651" s="12" customFormat="1" x14ac:dyDescent="0.25"/>
    <row r="59652" s="12" customFormat="1" x14ac:dyDescent="0.25"/>
    <row r="59653" s="12" customFormat="1" x14ac:dyDescent="0.25"/>
    <row r="59654" s="12" customFormat="1" x14ac:dyDescent="0.25"/>
    <row r="59655" s="12" customFormat="1" x14ac:dyDescent="0.25"/>
    <row r="59656" s="12" customFormat="1" x14ac:dyDescent="0.25"/>
    <row r="59657" s="12" customFormat="1" x14ac:dyDescent="0.25"/>
    <row r="59658" s="12" customFormat="1" x14ac:dyDescent="0.25"/>
    <row r="59659" s="12" customFormat="1" x14ac:dyDescent="0.25"/>
    <row r="59660" s="12" customFormat="1" x14ac:dyDescent="0.25"/>
    <row r="59661" s="12" customFormat="1" x14ac:dyDescent="0.25"/>
    <row r="59662" s="12" customFormat="1" x14ac:dyDescent="0.25"/>
    <row r="59663" s="12" customFormat="1" x14ac:dyDescent="0.25"/>
    <row r="59664" s="12" customFormat="1" x14ac:dyDescent="0.25"/>
    <row r="59665" s="12" customFormat="1" x14ac:dyDescent="0.25"/>
    <row r="59666" s="12" customFormat="1" x14ac:dyDescent="0.25"/>
    <row r="59667" s="12" customFormat="1" x14ac:dyDescent="0.25"/>
    <row r="59668" s="12" customFormat="1" x14ac:dyDescent="0.25"/>
    <row r="59669" s="12" customFormat="1" x14ac:dyDescent="0.25"/>
    <row r="59670" s="12" customFormat="1" x14ac:dyDescent="0.25"/>
    <row r="59671" s="12" customFormat="1" x14ac:dyDescent="0.25"/>
    <row r="59672" s="12" customFormat="1" x14ac:dyDescent="0.25"/>
    <row r="59673" s="12" customFormat="1" x14ac:dyDescent="0.25"/>
    <row r="59674" s="12" customFormat="1" x14ac:dyDescent="0.25"/>
    <row r="59675" s="12" customFormat="1" x14ac:dyDescent="0.25"/>
    <row r="59676" s="12" customFormat="1" x14ac:dyDescent="0.25"/>
    <row r="59677" s="12" customFormat="1" x14ac:dyDescent="0.25"/>
    <row r="59678" s="12" customFormat="1" x14ac:dyDescent="0.25"/>
    <row r="59679" s="12" customFormat="1" x14ac:dyDescent="0.25"/>
    <row r="59680" s="12" customFormat="1" x14ac:dyDescent="0.25"/>
    <row r="59681" s="12" customFormat="1" x14ac:dyDescent="0.25"/>
    <row r="59682" s="12" customFormat="1" x14ac:dyDescent="0.25"/>
    <row r="59683" s="12" customFormat="1" x14ac:dyDescent="0.25"/>
    <row r="59684" s="12" customFormat="1" x14ac:dyDescent="0.25"/>
    <row r="59685" s="12" customFormat="1" x14ac:dyDescent="0.25"/>
    <row r="59686" s="12" customFormat="1" x14ac:dyDescent="0.25"/>
    <row r="59687" s="12" customFormat="1" x14ac:dyDescent="0.25"/>
    <row r="59688" s="12" customFormat="1" x14ac:dyDescent="0.25"/>
    <row r="59689" s="12" customFormat="1" x14ac:dyDescent="0.25"/>
    <row r="59690" s="12" customFormat="1" x14ac:dyDescent="0.25"/>
    <row r="59691" s="12" customFormat="1" x14ac:dyDescent="0.25"/>
    <row r="59692" s="12" customFormat="1" x14ac:dyDescent="0.25"/>
    <row r="59693" s="12" customFormat="1" x14ac:dyDescent="0.25"/>
    <row r="59694" s="12" customFormat="1" x14ac:dyDescent="0.25"/>
    <row r="59695" s="12" customFormat="1" x14ac:dyDescent="0.25"/>
    <row r="59696" s="12" customFormat="1" x14ac:dyDescent="0.25"/>
    <row r="59697" s="12" customFormat="1" x14ac:dyDescent="0.25"/>
    <row r="59698" s="12" customFormat="1" x14ac:dyDescent="0.25"/>
    <row r="59699" s="12" customFormat="1" x14ac:dyDescent="0.25"/>
    <row r="59700" s="12" customFormat="1" x14ac:dyDescent="0.25"/>
    <row r="59701" s="12" customFormat="1" x14ac:dyDescent="0.25"/>
    <row r="59702" s="12" customFormat="1" x14ac:dyDescent="0.25"/>
    <row r="59703" s="12" customFormat="1" x14ac:dyDescent="0.25"/>
    <row r="59704" s="12" customFormat="1" x14ac:dyDescent="0.25"/>
    <row r="59705" s="12" customFormat="1" x14ac:dyDescent="0.25"/>
    <row r="59706" s="12" customFormat="1" x14ac:dyDescent="0.25"/>
    <row r="59707" s="12" customFormat="1" x14ac:dyDescent="0.25"/>
    <row r="59708" s="12" customFormat="1" x14ac:dyDescent="0.25"/>
    <row r="59709" s="12" customFormat="1" x14ac:dyDescent="0.25"/>
    <row r="59710" s="12" customFormat="1" x14ac:dyDescent="0.25"/>
    <row r="59711" s="12" customFormat="1" x14ac:dyDescent="0.25"/>
    <row r="59712" s="12" customFormat="1" x14ac:dyDescent="0.25"/>
    <row r="59713" s="12" customFormat="1" x14ac:dyDescent="0.25"/>
    <row r="59714" s="12" customFormat="1" x14ac:dyDescent="0.25"/>
    <row r="59715" s="12" customFormat="1" x14ac:dyDescent="0.25"/>
    <row r="59716" s="12" customFormat="1" x14ac:dyDescent="0.25"/>
    <row r="59717" s="12" customFormat="1" x14ac:dyDescent="0.25"/>
    <row r="59718" s="12" customFormat="1" x14ac:dyDescent="0.25"/>
    <row r="59719" s="12" customFormat="1" x14ac:dyDescent="0.25"/>
    <row r="59720" s="12" customFormat="1" x14ac:dyDescent="0.25"/>
    <row r="59721" s="12" customFormat="1" x14ac:dyDescent="0.25"/>
    <row r="59722" s="12" customFormat="1" x14ac:dyDescent="0.25"/>
    <row r="59723" s="12" customFormat="1" x14ac:dyDescent="0.25"/>
    <row r="59724" s="12" customFormat="1" x14ac:dyDescent="0.25"/>
    <row r="59725" s="12" customFormat="1" x14ac:dyDescent="0.25"/>
    <row r="59726" s="12" customFormat="1" x14ac:dyDescent="0.25"/>
    <row r="59727" s="12" customFormat="1" x14ac:dyDescent="0.25"/>
    <row r="59728" s="12" customFormat="1" x14ac:dyDescent="0.25"/>
    <row r="59729" s="12" customFormat="1" x14ac:dyDescent="0.25"/>
    <row r="59730" s="12" customFormat="1" x14ac:dyDescent="0.25"/>
    <row r="59731" s="12" customFormat="1" x14ac:dyDescent="0.25"/>
    <row r="59732" s="12" customFormat="1" x14ac:dyDescent="0.25"/>
    <row r="59733" s="12" customFormat="1" x14ac:dyDescent="0.25"/>
    <row r="59734" s="12" customFormat="1" x14ac:dyDescent="0.25"/>
    <row r="59735" s="12" customFormat="1" x14ac:dyDescent="0.25"/>
    <row r="59736" s="12" customFormat="1" x14ac:dyDescent="0.25"/>
    <row r="59737" s="12" customFormat="1" x14ac:dyDescent="0.25"/>
    <row r="59738" s="12" customFormat="1" x14ac:dyDescent="0.25"/>
    <row r="59739" s="12" customFormat="1" x14ac:dyDescent="0.25"/>
    <row r="59740" s="12" customFormat="1" x14ac:dyDescent="0.25"/>
    <row r="59741" s="12" customFormat="1" x14ac:dyDescent="0.25"/>
    <row r="59742" s="12" customFormat="1" x14ac:dyDescent="0.25"/>
    <row r="59743" s="12" customFormat="1" x14ac:dyDescent="0.25"/>
    <row r="59744" s="12" customFormat="1" x14ac:dyDescent="0.25"/>
    <row r="59745" s="12" customFormat="1" x14ac:dyDescent="0.25"/>
    <row r="59746" s="12" customFormat="1" x14ac:dyDescent="0.25"/>
    <row r="59747" s="12" customFormat="1" x14ac:dyDescent="0.25"/>
    <row r="59748" s="12" customFormat="1" x14ac:dyDescent="0.25"/>
    <row r="59749" s="12" customFormat="1" x14ac:dyDescent="0.25"/>
    <row r="59750" s="12" customFormat="1" x14ac:dyDescent="0.25"/>
    <row r="59751" s="12" customFormat="1" x14ac:dyDescent="0.25"/>
    <row r="59752" s="12" customFormat="1" x14ac:dyDescent="0.25"/>
    <row r="59753" s="12" customFormat="1" x14ac:dyDescent="0.25"/>
    <row r="59754" s="12" customFormat="1" x14ac:dyDescent="0.25"/>
    <row r="59755" s="12" customFormat="1" x14ac:dyDescent="0.25"/>
    <row r="59756" s="12" customFormat="1" x14ac:dyDescent="0.25"/>
    <row r="59757" s="12" customFormat="1" x14ac:dyDescent="0.25"/>
    <row r="59758" s="12" customFormat="1" x14ac:dyDescent="0.25"/>
    <row r="59759" s="12" customFormat="1" x14ac:dyDescent="0.25"/>
    <row r="59760" s="12" customFormat="1" x14ac:dyDescent="0.25"/>
    <row r="59761" s="12" customFormat="1" x14ac:dyDescent="0.25"/>
    <row r="59762" s="12" customFormat="1" x14ac:dyDescent="0.25"/>
    <row r="59763" s="12" customFormat="1" x14ac:dyDescent="0.25"/>
    <row r="59764" s="12" customFormat="1" x14ac:dyDescent="0.25"/>
    <row r="59765" s="12" customFormat="1" x14ac:dyDescent="0.25"/>
    <row r="59766" s="12" customFormat="1" x14ac:dyDescent="0.25"/>
    <row r="59767" s="12" customFormat="1" x14ac:dyDescent="0.25"/>
    <row r="59768" s="12" customFormat="1" x14ac:dyDescent="0.25"/>
    <row r="59769" s="12" customFormat="1" x14ac:dyDescent="0.25"/>
    <row r="59770" s="12" customFormat="1" x14ac:dyDescent="0.25"/>
    <row r="59771" s="12" customFormat="1" x14ac:dyDescent="0.25"/>
    <row r="59772" s="12" customFormat="1" x14ac:dyDescent="0.25"/>
    <row r="59773" s="12" customFormat="1" x14ac:dyDescent="0.25"/>
    <row r="59774" s="12" customFormat="1" x14ac:dyDescent="0.25"/>
    <row r="59775" s="12" customFormat="1" x14ac:dyDescent="0.25"/>
    <row r="59776" s="12" customFormat="1" x14ac:dyDescent="0.25"/>
    <row r="59777" s="12" customFormat="1" x14ac:dyDescent="0.25"/>
    <row r="59778" s="12" customFormat="1" x14ac:dyDescent="0.25"/>
    <row r="59779" s="12" customFormat="1" x14ac:dyDescent="0.25"/>
    <row r="59780" s="12" customFormat="1" x14ac:dyDescent="0.25"/>
    <row r="59781" s="12" customFormat="1" x14ac:dyDescent="0.25"/>
    <row r="59782" s="12" customFormat="1" x14ac:dyDescent="0.25"/>
    <row r="59783" s="12" customFormat="1" x14ac:dyDescent="0.25"/>
    <row r="59784" s="12" customFormat="1" x14ac:dyDescent="0.25"/>
    <row r="59785" s="12" customFormat="1" x14ac:dyDescent="0.25"/>
    <row r="59786" s="12" customFormat="1" x14ac:dyDescent="0.25"/>
    <row r="59787" s="12" customFormat="1" x14ac:dyDescent="0.25"/>
    <row r="59788" s="12" customFormat="1" x14ac:dyDescent="0.25"/>
    <row r="59789" s="12" customFormat="1" x14ac:dyDescent="0.25"/>
    <row r="59790" s="12" customFormat="1" x14ac:dyDescent="0.25"/>
    <row r="59791" s="12" customFormat="1" x14ac:dyDescent="0.25"/>
    <row r="59792" s="12" customFormat="1" x14ac:dyDescent="0.25"/>
    <row r="59793" s="12" customFormat="1" x14ac:dyDescent="0.25"/>
    <row r="59794" s="12" customFormat="1" x14ac:dyDescent="0.25"/>
    <row r="59795" s="12" customFormat="1" x14ac:dyDescent="0.25"/>
    <row r="59796" s="12" customFormat="1" x14ac:dyDescent="0.25"/>
    <row r="59797" s="12" customFormat="1" x14ac:dyDescent="0.25"/>
    <row r="59798" s="12" customFormat="1" x14ac:dyDescent="0.25"/>
    <row r="59799" s="12" customFormat="1" x14ac:dyDescent="0.25"/>
    <row r="59800" s="12" customFormat="1" x14ac:dyDescent="0.25"/>
    <row r="59801" s="12" customFormat="1" x14ac:dyDescent="0.25"/>
    <row r="59802" s="12" customFormat="1" x14ac:dyDescent="0.25"/>
    <row r="59803" s="12" customFormat="1" x14ac:dyDescent="0.25"/>
    <row r="59804" s="12" customFormat="1" x14ac:dyDescent="0.25"/>
    <row r="59805" s="12" customFormat="1" x14ac:dyDescent="0.25"/>
    <row r="59806" s="12" customFormat="1" x14ac:dyDescent="0.25"/>
    <row r="59807" s="12" customFormat="1" x14ac:dyDescent="0.25"/>
    <row r="59808" s="12" customFormat="1" x14ac:dyDescent="0.25"/>
    <row r="59809" s="12" customFormat="1" x14ac:dyDescent="0.25"/>
    <row r="59810" s="12" customFormat="1" x14ac:dyDescent="0.25"/>
    <row r="59811" s="12" customFormat="1" x14ac:dyDescent="0.25"/>
    <row r="59812" s="12" customFormat="1" x14ac:dyDescent="0.25"/>
    <row r="59813" s="12" customFormat="1" x14ac:dyDescent="0.25"/>
    <row r="59814" s="12" customFormat="1" x14ac:dyDescent="0.25"/>
    <row r="59815" s="12" customFormat="1" x14ac:dyDescent="0.25"/>
    <row r="59816" s="12" customFormat="1" x14ac:dyDescent="0.25"/>
    <row r="59817" s="12" customFormat="1" x14ac:dyDescent="0.25"/>
    <row r="59818" s="12" customFormat="1" x14ac:dyDescent="0.25"/>
    <row r="59819" s="12" customFormat="1" x14ac:dyDescent="0.25"/>
    <row r="59820" s="12" customFormat="1" x14ac:dyDescent="0.25"/>
    <row r="59821" s="12" customFormat="1" x14ac:dyDescent="0.25"/>
    <row r="59822" s="12" customFormat="1" x14ac:dyDescent="0.25"/>
    <row r="59823" s="12" customFormat="1" x14ac:dyDescent="0.25"/>
    <row r="59824" s="12" customFormat="1" x14ac:dyDescent="0.25"/>
    <row r="59825" s="12" customFormat="1" x14ac:dyDescent="0.25"/>
    <row r="59826" s="12" customFormat="1" x14ac:dyDescent="0.25"/>
    <row r="59827" s="12" customFormat="1" x14ac:dyDescent="0.25"/>
    <row r="59828" s="12" customFormat="1" x14ac:dyDescent="0.25"/>
    <row r="59829" s="12" customFormat="1" x14ac:dyDescent="0.25"/>
    <row r="59830" s="12" customFormat="1" x14ac:dyDescent="0.25"/>
    <row r="59831" s="12" customFormat="1" x14ac:dyDescent="0.25"/>
    <row r="59832" s="12" customFormat="1" x14ac:dyDescent="0.25"/>
    <row r="59833" s="12" customFormat="1" x14ac:dyDescent="0.25"/>
    <row r="59834" s="12" customFormat="1" x14ac:dyDescent="0.25"/>
    <row r="59835" s="12" customFormat="1" x14ac:dyDescent="0.25"/>
    <row r="59836" s="12" customFormat="1" x14ac:dyDescent="0.25"/>
    <row r="59837" s="12" customFormat="1" x14ac:dyDescent="0.25"/>
    <row r="59838" s="12" customFormat="1" x14ac:dyDescent="0.25"/>
    <row r="59839" s="12" customFormat="1" x14ac:dyDescent="0.25"/>
    <row r="59840" s="12" customFormat="1" x14ac:dyDescent="0.25"/>
    <row r="59841" s="12" customFormat="1" x14ac:dyDescent="0.25"/>
    <row r="59842" s="12" customFormat="1" x14ac:dyDescent="0.25"/>
    <row r="59843" s="12" customFormat="1" x14ac:dyDescent="0.25"/>
    <row r="59844" s="12" customFormat="1" x14ac:dyDescent="0.25"/>
    <row r="59845" s="12" customFormat="1" x14ac:dyDescent="0.25"/>
    <row r="59846" s="12" customFormat="1" x14ac:dyDescent="0.25"/>
    <row r="59847" s="12" customFormat="1" x14ac:dyDescent="0.25"/>
    <row r="59848" s="12" customFormat="1" x14ac:dyDescent="0.25"/>
    <row r="59849" s="12" customFormat="1" x14ac:dyDescent="0.25"/>
    <row r="59850" s="12" customFormat="1" x14ac:dyDescent="0.25"/>
    <row r="59851" s="12" customFormat="1" x14ac:dyDescent="0.25"/>
    <row r="59852" s="12" customFormat="1" x14ac:dyDescent="0.25"/>
    <row r="59853" s="12" customFormat="1" x14ac:dyDescent="0.25"/>
    <row r="59854" s="12" customFormat="1" x14ac:dyDescent="0.25"/>
    <row r="59855" s="12" customFormat="1" x14ac:dyDescent="0.25"/>
    <row r="59856" s="12" customFormat="1" x14ac:dyDescent="0.25"/>
    <row r="59857" s="12" customFormat="1" x14ac:dyDescent="0.25"/>
    <row r="59858" s="12" customFormat="1" x14ac:dyDescent="0.25"/>
    <row r="59859" s="12" customFormat="1" x14ac:dyDescent="0.25"/>
    <row r="59860" s="12" customFormat="1" x14ac:dyDescent="0.25"/>
    <row r="59861" s="12" customFormat="1" x14ac:dyDescent="0.25"/>
    <row r="59862" s="12" customFormat="1" x14ac:dyDescent="0.25"/>
    <row r="59863" s="12" customFormat="1" x14ac:dyDescent="0.25"/>
    <row r="59864" s="12" customFormat="1" x14ac:dyDescent="0.25"/>
    <row r="59865" s="12" customFormat="1" x14ac:dyDescent="0.25"/>
    <row r="59866" s="12" customFormat="1" x14ac:dyDescent="0.25"/>
    <row r="59867" s="12" customFormat="1" x14ac:dyDescent="0.25"/>
    <row r="59868" s="12" customFormat="1" x14ac:dyDescent="0.25"/>
    <row r="59869" s="12" customFormat="1" x14ac:dyDescent="0.25"/>
    <row r="59870" s="12" customFormat="1" x14ac:dyDescent="0.25"/>
    <row r="59871" s="12" customFormat="1" x14ac:dyDescent="0.25"/>
    <row r="59872" s="12" customFormat="1" x14ac:dyDescent="0.25"/>
    <row r="59873" s="12" customFormat="1" x14ac:dyDescent="0.25"/>
    <row r="59874" s="12" customFormat="1" x14ac:dyDescent="0.25"/>
    <row r="59875" s="12" customFormat="1" x14ac:dyDescent="0.25"/>
    <row r="59876" s="12" customFormat="1" x14ac:dyDescent="0.25"/>
    <row r="59877" s="12" customFormat="1" x14ac:dyDescent="0.25"/>
    <row r="59878" s="12" customFormat="1" x14ac:dyDescent="0.25"/>
    <row r="59879" s="12" customFormat="1" x14ac:dyDescent="0.25"/>
    <row r="59880" s="12" customFormat="1" x14ac:dyDescent="0.25"/>
    <row r="59881" s="12" customFormat="1" x14ac:dyDescent="0.25"/>
    <row r="59882" s="12" customFormat="1" x14ac:dyDescent="0.25"/>
    <row r="59883" s="12" customFormat="1" x14ac:dyDescent="0.25"/>
    <row r="59884" s="12" customFormat="1" x14ac:dyDescent="0.25"/>
    <row r="59885" s="12" customFormat="1" x14ac:dyDescent="0.25"/>
    <row r="59886" s="12" customFormat="1" x14ac:dyDescent="0.25"/>
    <row r="59887" s="12" customFormat="1" x14ac:dyDescent="0.25"/>
    <row r="59888" s="12" customFormat="1" x14ac:dyDescent="0.25"/>
    <row r="59889" s="12" customFormat="1" x14ac:dyDescent="0.25"/>
    <row r="59890" s="12" customFormat="1" x14ac:dyDescent="0.25"/>
    <row r="59891" s="12" customFormat="1" x14ac:dyDescent="0.25"/>
    <row r="59892" s="12" customFormat="1" x14ac:dyDescent="0.25"/>
    <row r="59893" s="12" customFormat="1" x14ac:dyDescent="0.25"/>
    <row r="59894" s="12" customFormat="1" x14ac:dyDescent="0.25"/>
    <row r="59895" s="12" customFormat="1" x14ac:dyDescent="0.25"/>
    <row r="59896" s="12" customFormat="1" x14ac:dyDescent="0.25"/>
    <row r="59897" s="12" customFormat="1" x14ac:dyDescent="0.25"/>
    <row r="59898" s="12" customFormat="1" x14ac:dyDescent="0.25"/>
    <row r="59899" s="12" customFormat="1" x14ac:dyDescent="0.25"/>
    <row r="59900" s="12" customFormat="1" x14ac:dyDescent="0.25"/>
    <row r="59901" s="12" customFormat="1" x14ac:dyDescent="0.25"/>
    <row r="59902" s="12" customFormat="1" x14ac:dyDescent="0.25"/>
    <row r="59903" s="12" customFormat="1" x14ac:dyDescent="0.25"/>
    <row r="59904" s="12" customFormat="1" x14ac:dyDescent="0.25"/>
    <row r="59905" s="12" customFormat="1" x14ac:dyDescent="0.25"/>
    <row r="59906" s="12" customFormat="1" x14ac:dyDescent="0.25"/>
    <row r="59907" s="12" customFormat="1" x14ac:dyDescent="0.25"/>
    <row r="59908" s="12" customFormat="1" x14ac:dyDescent="0.25"/>
    <row r="59909" s="12" customFormat="1" x14ac:dyDescent="0.25"/>
    <row r="59910" s="12" customFormat="1" x14ac:dyDescent="0.25"/>
    <row r="59911" s="12" customFormat="1" x14ac:dyDescent="0.25"/>
    <row r="59912" s="12" customFormat="1" x14ac:dyDescent="0.25"/>
    <row r="59913" s="12" customFormat="1" x14ac:dyDescent="0.25"/>
    <row r="59914" s="12" customFormat="1" x14ac:dyDescent="0.25"/>
    <row r="59915" s="12" customFormat="1" x14ac:dyDescent="0.25"/>
    <row r="59916" s="12" customFormat="1" x14ac:dyDescent="0.25"/>
    <row r="59917" s="12" customFormat="1" x14ac:dyDescent="0.25"/>
    <row r="59918" s="12" customFormat="1" x14ac:dyDescent="0.25"/>
    <row r="59919" s="12" customFormat="1" x14ac:dyDescent="0.25"/>
    <row r="59920" s="12" customFormat="1" x14ac:dyDescent="0.25"/>
    <row r="59921" s="12" customFormat="1" x14ac:dyDescent="0.25"/>
    <row r="59922" s="12" customFormat="1" x14ac:dyDescent="0.25"/>
    <row r="59923" s="12" customFormat="1" x14ac:dyDescent="0.25"/>
    <row r="59924" s="12" customFormat="1" x14ac:dyDescent="0.25"/>
    <row r="59925" s="12" customFormat="1" x14ac:dyDescent="0.25"/>
    <row r="59926" s="12" customFormat="1" x14ac:dyDescent="0.25"/>
    <row r="59927" s="12" customFormat="1" x14ac:dyDescent="0.25"/>
    <row r="59928" s="12" customFormat="1" x14ac:dyDescent="0.25"/>
    <row r="59929" s="12" customFormat="1" x14ac:dyDescent="0.25"/>
    <row r="59930" s="12" customFormat="1" x14ac:dyDescent="0.25"/>
    <row r="59931" s="12" customFormat="1" x14ac:dyDescent="0.25"/>
    <row r="59932" s="12" customFormat="1" x14ac:dyDescent="0.25"/>
    <row r="59933" s="12" customFormat="1" x14ac:dyDescent="0.25"/>
    <row r="59934" s="12" customFormat="1" x14ac:dyDescent="0.25"/>
    <row r="59935" s="12" customFormat="1" x14ac:dyDescent="0.25"/>
    <row r="59936" s="12" customFormat="1" x14ac:dyDescent="0.25"/>
    <row r="59937" s="12" customFormat="1" x14ac:dyDescent="0.25"/>
    <row r="59938" s="12" customFormat="1" x14ac:dyDescent="0.25"/>
    <row r="59939" s="12" customFormat="1" x14ac:dyDescent="0.25"/>
    <row r="59940" s="12" customFormat="1" x14ac:dyDescent="0.25"/>
    <row r="59941" s="12" customFormat="1" x14ac:dyDescent="0.25"/>
    <row r="59942" s="12" customFormat="1" x14ac:dyDescent="0.25"/>
    <row r="59943" s="12" customFormat="1" x14ac:dyDescent="0.25"/>
    <row r="59944" s="12" customFormat="1" x14ac:dyDescent="0.25"/>
    <row r="59945" s="12" customFormat="1" x14ac:dyDescent="0.25"/>
    <row r="59946" s="12" customFormat="1" x14ac:dyDescent="0.25"/>
    <row r="59947" s="12" customFormat="1" x14ac:dyDescent="0.25"/>
    <row r="59948" s="12" customFormat="1" x14ac:dyDescent="0.25"/>
    <row r="59949" s="12" customFormat="1" x14ac:dyDescent="0.25"/>
    <row r="59950" s="12" customFormat="1" x14ac:dyDescent="0.25"/>
    <row r="59951" s="12" customFormat="1" x14ac:dyDescent="0.25"/>
    <row r="59952" s="12" customFormat="1" x14ac:dyDescent="0.25"/>
    <row r="59953" s="12" customFormat="1" x14ac:dyDescent="0.25"/>
    <row r="59954" s="12" customFormat="1" x14ac:dyDescent="0.25"/>
    <row r="59955" s="12" customFormat="1" x14ac:dyDescent="0.25"/>
    <row r="59956" s="12" customFormat="1" x14ac:dyDescent="0.25"/>
    <row r="59957" s="12" customFormat="1" x14ac:dyDescent="0.25"/>
    <row r="59958" s="12" customFormat="1" x14ac:dyDescent="0.25"/>
    <row r="59959" s="12" customFormat="1" x14ac:dyDescent="0.25"/>
    <row r="59960" s="12" customFormat="1" x14ac:dyDescent="0.25"/>
    <row r="59961" s="12" customFormat="1" x14ac:dyDescent="0.25"/>
    <row r="59962" s="12" customFormat="1" x14ac:dyDescent="0.25"/>
    <row r="59963" s="12" customFormat="1" x14ac:dyDescent="0.25"/>
    <row r="59964" s="12" customFormat="1" x14ac:dyDescent="0.25"/>
    <row r="59965" s="12" customFormat="1" x14ac:dyDescent="0.25"/>
    <row r="59966" s="12" customFormat="1" x14ac:dyDescent="0.25"/>
    <row r="59967" s="12" customFormat="1" x14ac:dyDescent="0.25"/>
    <row r="59968" s="12" customFormat="1" x14ac:dyDescent="0.25"/>
    <row r="59969" s="12" customFormat="1" x14ac:dyDescent="0.25"/>
    <row r="59970" s="12" customFormat="1" x14ac:dyDescent="0.25"/>
    <row r="59971" s="12" customFormat="1" x14ac:dyDescent="0.25"/>
    <row r="59972" s="12" customFormat="1" x14ac:dyDescent="0.25"/>
    <row r="59973" s="12" customFormat="1" x14ac:dyDescent="0.25"/>
    <row r="59974" s="12" customFormat="1" x14ac:dyDescent="0.25"/>
    <row r="59975" s="12" customFormat="1" x14ac:dyDescent="0.25"/>
    <row r="59976" s="12" customFormat="1" x14ac:dyDescent="0.25"/>
    <row r="59977" s="12" customFormat="1" x14ac:dyDescent="0.25"/>
    <row r="59978" s="12" customFormat="1" x14ac:dyDescent="0.25"/>
    <row r="59979" s="12" customFormat="1" x14ac:dyDescent="0.25"/>
    <row r="59980" s="12" customFormat="1" x14ac:dyDescent="0.25"/>
    <row r="59981" s="12" customFormat="1" x14ac:dyDescent="0.25"/>
    <row r="59982" s="12" customFormat="1" x14ac:dyDescent="0.25"/>
    <row r="59983" s="12" customFormat="1" x14ac:dyDescent="0.25"/>
    <row r="59984" s="12" customFormat="1" x14ac:dyDescent="0.25"/>
    <row r="59985" s="12" customFormat="1" x14ac:dyDescent="0.25"/>
    <row r="59986" s="12" customFormat="1" x14ac:dyDescent="0.25"/>
    <row r="59987" s="12" customFormat="1" x14ac:dyDescent="0.25"/>
    <row r="59988" s="12" customFormat="1" x14ac:dyDescent="0.25"/>
    <row r="59989" s="12" customFormat="1" x14ac:dyDescent="0.25"/>
    <row r="59990" s="12" customFormat="1" x14ac:dyDescent="0.25"/>
    <row r="59991" s="12" customFormat="1" x14ac:dyDescent="0.25"/>
    <row r="59992" s="12" customFormat="1" x14ac:dyDescent="0.25"/>
    <row r="59993" s="12" customFormat="1" x14ac:dyDescent="0.25"/>
    <row r="59994" s="12" customFormat="1" x14ac:dyDescent="0.25"/>
    <row r="59995" s="12" customFormat="1" x14ac:dyDescent="0.25"/>
    <row r="59996" s="12" customFormat="1" x14ac:dyDescent="0.25"/>
    <row r="59997" s="12" customFormat="1" x14ac:dyDescent="0.25"/>
    <row r="59998" s="12" customFormat="1" x14ac:dyDescent="0.25"/>
    <row r="59999" s="12" customFormat="1" x14ac:dyDescent="0.25"/>
    <row r="60000" s="12" customFormat="1" x14ac:dyDescent="0.25"/>
    <row r="60001" s="12" customFormat="1" x14ac:dyDescent="0.25"/>
    <row r="60002" s="12" customFormat="1" x14ac:dyDescent="0.25"/>
    <row r="60003" s="12" customFormat="1" x14ac:dyDescent="0.25"/>
    <row r="60004" s="12" customFormat="1" x14ac:dyDescent="0.25"/>
    <row r="60005" s="12" customFormat="1" x14ac:dyDescent="0.25"/>
    <row r="60006" s="12" customFormat="1" x14ac:dyDescent="0.25"/>
    <row r="60007" s="12" customFormat="1" x14ac:dyDescent="0.25"/>
    <row r="60008" s="12" customFormat="1" x14ac:dyDescent="0.25"/>
    <row r="60009" s="12" customFormat="1" x14ac:dyDescent="0.25"/>
    <row r="60010" s="12" customFormat="1" x14ac:dyDescent="0.25"/>
    <row r="60011" s="12" customFormat="1" x14ac:dyDescent="0.25"/>
    <row r="60012" s="12" customFormat="1" x14ac:dyDescent="0.25"/>
    <row r="60013" s="12" customFormat="1" x14ac:dyDescent="0.25"/>
    <row r="60014" s="12" customFormat="1" x14ac:dyDescent="0.25"/>
    <row r="60015" s="12" customFormat="1" x14ac:dyDescent="0.25"/>
    <row r="60016" s="12" customFormat="1" x14ac:dyDescent="0.25"/>
    <row r="60017" s="12" customFormat="1" x14ac:dyDescent="0.25"/>
    <row r="60018" s="12" customFormat="1" x14ac:dyDescent="0.25"/>
    <row r="60019" s="12" customFormat="1" x14ac:dyDescent="0.25"/>
    <row r="60020" s="12" customFormat="1" x14ac:dyDescent="0.25"/>
    <row r="60021" s="12" customFormat="1" x14ac:dyDescent="0.25"/>
    <row r="60022" s="12" customFormat="1" x14ac:dyDescent="0.25"/>
    <row r="60023" s="12" customFormat="1" x14ac:dyDescent="0.25"/>
    <row r="60024" s="12" customFormat="1" x14ac:dyDescent="0.25"/>
    <row r="60025" s="12" customFormat="1" x14ac:dyDescent="0.25"/>
    <row r="60026" s="12" customFormat="1" x14ac:dyDescent="0.25"/>
    <row r="60027" s="12" customFormat="1" x14ac:dyDescent="0.25"/>
    <row r="60028" s="12" customFormat="1" x14ac:dyDescent="0.25"/>
    <row r="60029" s="12" customFormat="1" x14ac:dyDescent="0.25"/>
    <row r="60030" s="12" customFormat="1" x14ac:dyDescent="0.25"/>
    <row r="60031" s="12" customFormat="1" x14ac:dyDescent="0.25"/>
    <row r="60032" s="12" customFormat="1" x14ac:dyDescent="0.25"/>
    <row r="60033" s="12" customFormat="1" x14ac:dyDescent="0.25"/>
    <row r="60034" s="12" customFormat="1" x14ac:dyDescent="0.25"/>
    <row r="60035" s="12" customFormat="1" x14ac:dyDescent="0.25"/>
    <row r="60036" s="12" customFormat="1" x14ac:dyDescent="0.25"/>
    <row r="60037" s="12" customFormat="1" x14ac:dyDescent="0.25"/>
    <row r="60038" s="12" customFormat="1" x14ac:dyDescent="0.25"/>
    <row r="60039" s="12" customFormat="1" x14ac:dyDescent="0.25"/>
    <row r="60040" s="12" customFormat="1" x14ac:dyDescent="0.25"/>
    <row r="60041" s="12" customFormat="1" x14ac:dyDescent="0.25"/>
    <row r="60042" s="12" customFormat="1" x14ac:dyDescent="0.25"/>
    <row r="60043" s="12" customFormat="1" x14ac:dyDescent="0.25"/>
    <row r="60044" s="12" customFormat="1" x14ac:dyDescent="0.25"/>
    <row r="60045" s="12" customFormat="1" x14ac:dyDescent="0.25"/>
    <row r="60046" s="12" customFormat="1" x14ac:dyDescent="0.25"/>
    <row r="60047" s="12" customFormat="1" x14ac:dyDescent="0.25"/>
    <row r="60048" s="12" customFormat="1" x14ac:dyDescent="0.25"/>
    <row r="60049" s="12" customFormat="1" x14ac:dyDescent="0.25"/>
    <row r="60050" s="12" customFormat="1" x14ac:dyDescent="0.25"/>
    <row r="60051" s="12" customFormat="1" x14ac:dyDescent="0.25"/>
    <row r="60052" s="12" customFormat="1" x14ac:dyDescent="0.25"/>
    <row r="60053" s="12" customFormat="1" x14ac:dyDescent="0.25"/>
    <row r="60054" s="12" customFormat="1" x14ac:dyDescent="0.25"/>
    <row r="60055" s="12" customFormat="1" x14ac:dyDescent="0.25"/>
    <row r="60056" s="12" customFormat="1" x14ac:dyDescent="0.25"/>
    <row r="60057" s="12" customFormat="1" x14ac:dyDescent="0.25"/>
    <row r="60058" s="12" customFormat="1" x14ac:dyDescent="0.25"/>
    <row r="60059" s="12" customFormat="1" x14ac:dyDescent="0.25"/>
    <row r="60060" s="12" customFormat="1" x14ac:dyDescent="0.25"/>
    <row r="60061" s="12" customFormat="1" x14ac:dyDescent="0.25"/>
    <row r="60062" s="12" customFormat="1" x14ac:dyDescent="0.25"/>
    <row r="60063" s="12" customFormat="1" x14ac:dyDescent="0.25"/>
    <row r="60064" s="12" customFormat="1" x14ac:dyDescent="0.25"/>
    <row r="60065" s="12" customFormat="1" x14ac:dyDescent="0.25"/>
    <row r="60066" s="12" customFormat="1" x14ac:dyDescent="0.25"/>
    <row r="60067" s="12" customFormat="1" x14ac:dyDescent="0.25"/>
    <row r="60068" s="12" customFormat="1" x14ac:dyDescent="0.25"/>
    <row r="60069" s="12" customFormat="1" x14ac:dyDescent="0.25"/>
    <row r="60070" s="12" customFormat="1" x14ac:dyDescent="0.25"/>
    <row r="60071" s="12" customFormat="1" x14ac:dyDescent="0.25"/>
    <row r="60072" s="12" customFormat="1" x14ac:dyDescent="0.25"/>
    <row r="60073" s="12" customFormat="1" x14ac:dyDescent="0.25"/>
    <row r="60074" s="12" customFormat="1" x14ac:dyDescent="0.25"/>
    <row r="60075" s="12" customFormat="1" x14ac:dyDescent="0.25"/>
    <row r="60076" s="12" customFormat="1" x14ac:dyDescent="0.25"/>
    <row r="60077" s="12" customFormat="1" x14ac:dyDescent="0.25"/>
    <row r="60078" s="12" customFormat="1" x14ac:dyDescent="0.25"/>
    <row r="60079" s="12" customFormat="1" x14ac:dyDescent="0.25"/>
    <row r="60080" s="12" customFormat="1" x14ac:dyDescent="0.25"/>
    <row r="60081" s="12" customFormat="1" x14ac:dyDescent="0.25"/>
    <row r="60082" s="12" customFormat="1" x14ac:dyDescent="0.25"/>
    <row r="60083" s="12" customFormat="1" x14ac:dyDescent="0.25"/>
    <row r="60084" s="12" customFormat="1" x14ac:dyDescent="0.25"/>
    <row r="60085" s="12" customFormat="1" x14ac:dyDescent="0.25"/>
    <row r="60086" s="12" customFormat="1" x14ac:dyDescent="0.25"/>
    <row r="60087" s="12" customFormat="1" x14ac:dyDescent="0.25"/>
    <row r="60088" s="12" customFormat="1" x14ac:dyDescent="0.25"/>
    <row r="60089" s="12" customFormat="1" x14ac:dyDescent="0.25"/>
    <row r="60090" s="12" customFormat="1" x14ac:dyDescent="0.25"/>
    <row r="60091" s="12" customFormat="1" x14ac:dyDescent="0.25"/>
    <row r="60092" s="12" customFormat="1" x14ac:dyDescent="0.25"/>
    <row r="60093" s="12" customFormat="1" x14ac:dyDescent="0.25"/>
    <row r="60094" s="12" customFormat="1" x14ac:dyDescent="0.25"/>
    <row r="60095" s="12" customFormat="1" x14ac:dyDescent="0.25"/>
    <row r="60096" s="12" customFormat="1" x14ac:dyDescent="0.25"/>
    <row r="60097" s="12" customFormat="1" x14ac:dyDescent="0.25"/>
    <row r="60098" s="12" customFormat="1" x14ac:dyDescent="0.25"/>
    <row r="60099" s="12" customFormat="1" x14ac:dyDescent="0.25"/>
    <row r="60100" s="12" customFormat="1" x14ac:dyDescent="0.25"/>
    <row r="60101" s="12" customFormat="1" x14ac:dyDescent="0.25"/>
    <row r="60102" s="12" customFormat="1" x14ac:dyDescent="0.25"/>
    <row r="60103" s="12" customFormat="1" x14ac:dyDescent="0.25"/>
    <row r="60104" s="12" customFormat="1" x14ac:dyDescent="0.25"/>
    <row r="60105" s="12" customFormat="1" x14ac:dyDescent="0.25"/>
    <row r="60106" s="12" customFormat="1" x14ac:dyDescent="0.25"/>
    <row r="60107" s="12" customFormat="1" x14ac:dyDescent="0.25"/>
    <row r="60108" s="12" customFormat="1" x14ac:dyDescent="0.25"/>
    <row r="60109" s="12" customFormat="1" x14ac:dyDescent="0.25"/>
    <row r="60110" s="12" customFormat="1" x14ac:dyDescent="0.25"/>
    <row r="60111" s="12" customFormat="1" x14ac:dyDescent="0.25"/>
    <row r="60112" s="12" customFormat="1" x14ac:dyDescent="0.25"/>
    <row r="60113" s="12" customFormat="1" x14ac:dyDescent="0.25"/>
    <row r="60114" s="12" customFormat="1" x14ac:dyDescent="0.25"/>
    <row r="60115" s="12" customFormat="1" x14ac:dyDescent="0.25"/>
    <row r="60116" s="12" customFormat="1" x14ac:dyDescent="0.25"/>
    <row r="60117" s="12" customFormat="1" x14ac:dyDescent="0.25"/>
    <row r="60118" s="12" customFormat="1" x14ac:dyDescent="0.25"/>
    <row r="60119" s="12" customFormat="1" x14ac:dyDescent="0.25"/>
    <row r="60120" s="12" customFormat="1" x14ac:dyDescent="0.25"/>
    <row r="60121" s="12" customFormat="1" x14ac:dyDescent="0.25"/>
    <row r="60122" s="12" customFormat="1" x14ac:dyDescent="0.25"/>
    <row r="60123" s="12" customFormat="1" x14ac:dyDescent="0.25"/>
    <row r="60124" s="12" customFormat="1" x14ac:dyDescent="0.25"/>
    <row r="60125" s="12" customFormat="1" x14ac:dyDescent="0.25"/>
    <row r="60126" s="12" customFormat="1" x14ac:dyDescent="0.25"/>
    <row r="60127" s="12" customFormat="1" x14ac:dyDescent="0.25"/>
    <row r="60128" s="12" customFormat="1" x14ac:dyDescent="0.25"/>
    <row r="60129" s="12" customFormat="1" x14ac:dyDescent="0.25"/>
    <row r="60130" s="12" customFormat="1" x14ac:dyDescent="0.25"/>
    <row r="60131" s="12" customFormat="1" x14ac:dyDescent="0.25"/>
    <row r="60132" s="12" customFormat="1" x14ac:dyDescent="0.25"/>
    <row r="60133" s="12" customFormat="1" x14ac:dyDescent="0.25"/>
    <row r="60134" s="12" customFormat="1" x14ac:dyDescent="0.25"/>
    <row r="60135" s="12" customFormat="1" x14ac:dyDescent="0.25"/>
    <row r="60136" s="12" customFormat="1" x14ac:dyDescent="0.25"/>
    <row r="60137" s="12" customFormat="1" x14ac:dyDescent="0.25"/>
    <row r="60138" s="12" customFormat="1" x14ac:dyDescent="0.25"/>
    <row r="60139" s="12" customFormat="1" x14ac:dyDescent="0.25"/>
    <row r="60140" s="12" customFormat="1" x14ac:dyDescent="0.25"/>
    <row r="60141" s="12" customFormat="1" x14ac:dyDescent="0.25"/>
    <row r="60142" s="12" customFormat="1" x14ac:dyDescent="0.25"/>
    <row r="60143" s="12" customFormat="1" x14ac:dyDescent="0.25"/>
    <row r="60144" s="12" customFormat="1" x14ac:dyDescent="0.25"/>
    <row r="60145" s="12" customFormat="1" x14ac:dyDescent="0.25"/>
    <row r="60146" s="12" customFormat="1" x14ac:dyDescent="0.25"/>
    <row r="60147" s="12" customFormat="1" x14ac:dyDescent="0.25"/>
    <row r="60148" s="12" customFormat="1" x14ac:dyDescent="0.25"/>
    <row r="60149" s="12" customFormat="1" x14ac:dyDescent="0.25"/>
    <row r="60150" s="12" customFormat="1" x14ac:dyDescent="0.25"/>
    <row r="60151" s="12" customFormat="1" x14ac:dyDescent="0.25"/>
    <row r="60152" s="12" customFormat="1" x14ac:dyDescent="0.25"/>
    <row r="60153" s="12" customFormat="1" x14ac:dyDescent="0.25"/>
    <row r="60154" s="12" customFormat="1" x14ac:dyDescent="0.25"/>
    <row r="60155" s="12" customFormat="1" x14ac:dyDescent="0.25"/>
    <row r="60156" s="12" customFormat="1" x14ac:dyDescent="0.25"/>
    <row r="60157" s="12" customFormat="1" x14ac:dyDescent="0.25"/>
    <row r="60158" s="12" customFormat="1" x14ac:dyDescent="0.25"/>
    <row r="60159" s="12" customFormat="1" x14ac:dyDescent="0.25"/>
    <row r="60160" s="12" customFormat="1" x14ac:dyDescent="0.25"/>
    <row r="60161" s="12" customFormat="1" x14ac:dyDescent="0.25"/>
    <row r="60162" s="12" customFormat="1" x14ac:dyDescent="0.25"/>
    <row r="60163" s="12" customFormat="1" x14ac:dyDescent="0.25"/>
    <row r="60164" s="12" customFormat="1" x14ac:dyDescent="0.25"/>
    <row r="60165" s="12" customFormat="1" x14ac:dyDescent="0.25"/>
    <row r="60166" s="12" customFormat="1" x14ac:dyDescent="0.25"/>
    <row r="60167" s="12" customFormat="1" x14ac:dyDescent="0.25"/>
    <row r="60168" s="12" customFormat="1" x14ac:dyDescent="0.25"/>
    <row r="60169" s="12" customFormat="1" x14ac:dyDescent="0.25"/>
    <row r="60170" s="12" customFormat="1" x14ac:dyDescent="0.25"/>
    <row r="60171" s="12" customFormat="1" x14ac:dyDescent="0.25"/>
    <row r="60172" s="12" customFormat="1" x14ac:dyDescent="0.25"/>
    <row r="60173" s="12" customFormat="1" x14ac:dyDescent="0.25"/>
    <row r="60174" s="12" customFormat="1" x14ac:dyDescent="0.25"/>
    <row r="60175" s="12" customFormat="1" x14ac:dyDescent="0.25"/>
    <row r="60176" s="12" customFormat="1" x14ac:dyDescent="0.25"/>
    <row r="60177" s="12" customFormat="1" x14ac:dyDescent="0.25"/>
    <row r="60178" s="12" customFormat="1" x14ac:dyDescent="0.25"/>
    <row r="60179" s="12" customFormat="1" x14ac:dyDescent="0.25"/>
    <row r="60180" s="12" customFormat="1" x14ac:dyDescent="0.25"/>
    <row r="60181" s="12" customFormat="1" x14ac:dyDescent="0.25"/>
    <row r="60182" s="12" customFormat="1" x14ac:dyDescent="0.25"/>
    <row r="60183" s="12" customFormat="1" x14ac:dyDescent="0.25"/>
    <row r="60184" s="12" customFormat="1" x14ac:dyDescent="0.25"/>
    <row r="60185" s="12" customFormat="1" x14ac:dyDescent="0.25"/>
    <row r="60186" s="12" customFormat="1" x14ac:dyDescent="0.25"/>
    <row r="60187" s="12" customFormat="1" x14ac:dyDescent="0.25"/>
    <row r="60188" s="12" customFormat="1" x14ac:dyDescent="0.25"/>
    <row r="60189" s="12" customFormat="1" x14ac:dyDescent="0.25"/>
    <row r="60190" s="12" customFormat="1" x14ac:dyDescent="0.25"/>
    <row r="60191" s="12" customFormat="1" x14ac:dyDescent="0.25"/>
    <row r="60192" s="12" customFormat="1" x14ac:dyDescent="0.25"/>
    <row r="60193" s="12" customFormat="1" x14ac:dyDescent="0.25"/>
    <row r="60194" s="12" customFormat="1" x14ac:dyDescent="0.25"/>
    <row r="60195" s="12" customFormat="1" x14ac:dyDescent="0.25"/>
    <row r="60196" s="12" customFormat="1" x14ac:dyDescent="0.25"/>
    <row r="60197" s="12" customFormat="1" x14ac:dyDescent="0.25"/>
    <row r="60198" s="12" customFormat="1" x14ac:dyDescent="0.25"/>
    <row r="60199" s="12" customFormat="1" x14ac:dyDescent="0.25"/>
    <row r="60200" s="12" customFormat="1" x14ac:dyDescent="0.25"/>
    <row r="60201" s="12" customFormat="1" x14ac:dyDescent="0.25"/>
    <row r="60202" s="12" customFormat="1" x14ac:dyDescent="0.25"/>
    <row r="60203" s="12" customFormat="1" x14ac:dyDescent="0.25"/>
    <row r="60204" s="12" customFormat="1" x14ac:dyDescent="0.25"/>
    <row r="60205" s="12" customFormat="1" x14ac:dyDescent="0.25"/>
    <row r="60206" s="12" customFormat="1" x14ac:dyDescent="0.25"/>
    <row r="60207" s="12" customFormat="1" x14ac:dyDescent="0.25"/>
    <row r="60208" s="12" customFormat="1" x14ac:dyDescent="0.25"/>
    <row r="60209" s="12" customFormat="1" x14ac:dyDescent="0.25"/>
    <row r="60210" s="12" customFormat="1" x14ac:dyDescent="0.25"/>
    <row r="60211" s="12" customFormat="1" x14ac:dyDescent="0.25"/>
    <row r="60212" s="12" customFormat="1" x14ac:dyDescent="0.25"/>
    <row r="60213" s="12" customFormat="1" x14ac:dyDescent="0.25"/>
    <row r="60214" s="12" customFormat="1" x14ac:dyDescent="0.25"/>
    <row r="60215" s="12" customFormat="1" x14ac:dyDescent="0.25"/>
    <row r="60216" s="12" customFormat="1" x14ac:dyDescent="0.25"/>
    <row r="60217" s="12" customFormat="1" x14ac:dyDescent="0.25"/>
    <row r="60218" s="12" customFormat="1" x14ac:dyDescent="0.25"/>
    <row r="60219" s="12" customFormat="1" x14ac:dyDescent="0.25"/>
    <row r="60220" s="12" customFormat="1" x14ac:dyDescent="0.25"/>
    <row r="60221" s="12" customFormat="1" x14ac:dyDescent="0.25"/>
    <row r="60222" s="12" customFormat="1" x14ac:dyDescent="0.25"/>
    <row r="60223" s="12" customFormat="1" x14ac:dyDescent="0.25"/>
    <row r="60224" s="12" customFormat="1" x14ac:dyDescent="0.25"/>
    <row r="60225" s="12" customFormat="1" x14ac:dyDescent="0.25"/>
    <row r="60226" s="12" customFormat="1" x14ac:dyDescent="0.25"/>
    <row r="60227" s="12" customFormat="1" x14ac:dyDescent="0.25"/>
    <row r="60228" s="12" customFormat="1" x14ac:dyDescent="0.25"/>
    <row r="60229" s="12" customFormat="1" x14ac:dyDescent="0.25"/>
    <row r="60230" s="12" customFormat="1" x14ac:dyDescent="0.25"/>
    <row r="60231" s="12" customFormat="1" x14ac:dyDescent="0.25"/>
    <row r="60232" s="12" customFormat="1" x14ac:dyDescent="0.25"/>
    <row r="60233" s="12" customFormat="1" x14ac:dyDescent="0.25"/>
    <row r="60234" s="12" customFormat="1" x14ac:dyDescent="0.25"/>
    <row r="60235" s="12" customFormat="1" x14ac:dyDescent="0.25"/>
    <row r="60236" s="12" customFormat="1" x14ac:dyDescent="0.25"/>
    <row r="60237" s="12" customFormat="1" x14ac:dyDescent="0.25"/>
    <row r="60238" s="12" customFormat="1" x14ac:dyDescent="0.25"/>
    <row r="60239" s="12" customFormat="1" x14ac:dyDescent="0.25"/>
    <row r="60240" s="12" customFormat="1" x14ac:dyDescent="0.25"/>
    <row r="60241" s="12" customFormat="1" x14ac:dyDescent="0.25"/>
    <row r="60242" s="12" customFormat="1" x14ac:dyDescent="0.25"/>
    <row r="60243" s="12" customFormat="1" x14ac:dyDescent="0.25"/>
    <row r="60244" s="12" customFormat="1" x14ac:dyDescent="0.25"/>
    <row r="60245" s="12" customFormat="1" x14ac:dyDescent="0.25"/>
    <row r="60246" s="12" customFormat="1" x14ac:dyDescent="0.25"/>
    <row r="60247" s="12" customFormat="1" x14ac:dyDescent="0.25"/>
    <row r="60248" s="12" customFormat="1" x14ac:dyDescent="0.25"/>
    <row r="60249" s="12" customFormat="1" x14ac:dyDescent="0.25"/>
    <row r="60250" s="12" customFormat="1" x14ac:dyDescent="0.25"/>
    <row r="60251" s="12" customFormat="1" x14ac:dyDescent="0.25"/>
    <row r="60252" s="12" customFormat="1" x14ac:dyDescent="0.25"/>
    <row r="60253" s="12" customFormat="1" x14ac:dyDescent="0.25"/>
    <row r="60254" s="12" customFormat="1" x14ac:dyDescent="0.25"/>
    <row r="60255" s="12" customFormat="1" x14ac:dyDescent="0.25"/>
    <row r="60256" s="12" customFormat="1" x14ac:dyDescent="0.25"/>
    <row r="60257" s="12" customFormat="1" x14ac:dyDescent="0.25"/>
    <row r="60258" s="12" customFormat="1" x14ac:dyDescent="0.25"/>
    <row r="60259" s="12" customFormat="1" x14ac:dyDescent="0.25"/>
    <row r="60260" s="12" customFormat="1" x14ac:dyDescent="0.25"/>
    <row r="60261" s="12" customFormat="1" x14ac:dyDescent="0.25"/>
    <row r="60262" s="12" customFormat="1" x14ac:dyDescent="0.25"/>
    <row r="60263" s="12" customFormat="1" x14ac:dyDescent="0.25"/>
    <row r="60264" s="12" customFormat="1" x14ac:dyDescent="0.25"/>
    <row r="60265" s="12" customFormat="1" x14ac:dyDescent="0.25"/>
    <row r="60266" s="12" customFormat="1" x14ac:dyDescent="0.25"/>
    <row r="60267" s="12" customFormat="1" x14ac:dyDescent="0.25"/>
    <row r="60268" s="12" customFormat="1" x14ac:dyDescent="0.25"/>
    <row r="60269" s="12" customFormat="1" x14ac:dyDescent="0.25"/>
    <row r="60270" s="12" customFormat="1" x14ac:dyDescent="0.25"/>
    <row r="60271" s="12" customFormat="1" x14ac:dyDescent="0.25"/>
    <row r="60272" s="12" customFormat="1" x14ac:dyDescent="0.25"/>
    <row r="60273" s="12" customFormat="1" x14ac:dyDescent="0.25"/>
    <row r="60274" s="12" customFormat="1" x14ac:dyDescent="0.25"/>
    <row r="60275" s="12" customFormat="1" x14ac:dyDescent="0.25"/>
    <row r="60276" s="12" customFormat="1" x14ac:dyDescent="0.25"/>
    <row r="60277" s="12" customFormat="1" x14ac:dyDescent="0.25"/>
    <row r="60278" s="12" customFormat="1" x14ac:dyDescent="0.25"/>
    <row r="60279" s="12" customFormat="1" x14ac:dyDescent="0.25"/>
    <row r="60280" s="12" customFormat="1" x14ac:dyDescent="0.25"/>
    <row r="60281" s="12" customFormat="1" x14ac:dyDescent="0.25"/>
    <row r="60282" s="12" customFormat="1" x14ac:dyDescent="0.25"/>
    <row r="60283" s="12" customFormat="1" x14ac:dyDescent="0.25"/>
    <row r="60284" s="12" customFormat="1" x14ac:dyDescent="0.25"/>
    <row r="60285" s="12" customFormat="1" x14ac:dyDescent="0.25"/>
    <row r="60286" s="12" customFormat="1" x14ac:dyDescent="0.25"/>
    <row r="60287" s="12" customFormat="1" x14ac:dyDescent="0.25"/>
    <row r="60288" s="12" customFormat="1" x14ac:dyDescent="0.25"/>
    <row r="60289" s="12" customFormat="1" x14ac:dyDescent="0.25"/>
    <row r="60290" s="12" customFormat="1" x14ac:dyDescent="0.25"/>
    <row r="60291" s="12" customFormat="1" x14ac:dyDescent="0.25"/>
    <row r="60292" s="12" customFormat="1" x14ac:dyDescent="0.25"/>
    <row r="60293" s="12" customFormat="1" x14ac:dyDescent="0.25"/>
    <row r="60294" s="12" customFormat="1" x14ac:dyDescent="0.25"/>
    <row r="60295" s="12" customFormat="1" x14ac:dyDescent="0.25"/>
    <row r="60296" s="12" customFormat="1" x14ac:dyDescent="0.25"/>
    <row r="60297" s="12" customFormat="1" x14ac:dyDescent="0.25"/>
    <row r="60298" s="12" customFormat="1" x14ac:dyDescent="0.25"/>
    <row r="60299" s="12" customFormat="1" x14ac:dyDescent="0.25"/>
    <row r="60300" s="12" customFormat="1" x14ac:dyDescent="0.25"/>
    <row r="60301" s="12" customFormat="1" x14ac:dyDescent="0.25"/>
    <row r="60302" s="12" customFormat="1" x14ac:dyDescent="0.25"/>
    <row r="60303" s="12" customFormat="1" x14ac:dyDescent="0.25"/>
    <row r="60304" s="12" customFormat="1" x14ac:dyDescent="0.25"/>
    <row r="60305" s="12" customFormat="1" x14ac:dyDescent="0.25"/>
    <row r="60306" s="12" customFormat="1" x14ac:dyDescent="0.25"/>
    <row r="60307" s="12" customFormat="1" x14ac:dyDescent="0.25"/>
    <row r="60308" s="12" customFormat="1" x14ac:dyDescent="0.25"/>
    <row r="60309" s="12" customFormat="1" x14ac:dyDescent="0.25"/>
    <row r="60310" s="12" customFormat="1" x14ac:dyDescent="0.25"/>
    <row r="60311" s="12" customFormat="1" x14ac:dyDescent="0.25"/>
    <row r="60312" s="12" customFormat="1" x14ac:dyDescent="0.25"/>
    <row r="60313" s="12" customFormat="1" x14ac:dyDescent="0.25"/>
    <row r="60314" s="12" customFormat="1" x14ac:dyDescent="0.25"/>
    <row r="60315" s="12" customFormat="1" x14ac:dyDescent="0.25"/>
    <row r="60316" s="12" customFormat="1" x14ac:dyDescent="0.25"/>
    <row r="60317" s="12" customFormat="1" x14ac:dyDescent="0.25"/>
    <row r="60318" s="12" customFormat="1" x14ac:dyDescent="0.25"/>
    <row r="60319" s="12" customFormat="1" x14ac:dyDescent="0.25"/>
    <row r="60320" s="12" customFormat="1" x14ac:dyDescent="0.25"/>
    <row r="60321" s="12" customFormat="1" x14ac:dyDescent="0.25"/>
    <row r="60322" s="12" customFormat="1" x14ac:dyDescent="0.25"/>
    <row r="60323" s="12" customFormat="1" x14ac:dyDescent="0.25"/>
    <row r="60324" s="12" customFormat="1" x14ac:dyDescent="0.25"/>
    <row r="60325" s="12" customFormat="1" x14ac:dyDescent="0.25"/>
    <row r="60326" s="12" customFormat="1" x14ac:dyDescent="0.25"/>
    <row r="60327" s="12" customFormat="1" x14ac:dyDescent="0.25"/>
    <row r="60328" s="12" customFormat="1" x14ac:dyDescent="0.25"/>
    <row r="60329" s="12" customFormat="1" x14ac:dyDescent="0.25"/>
    <row r="60330" s="12" customFormat="1" x14ac:dyDescent="0.25"/>
    <row r="60331" s="12" customFormat="1" x14ac:dyDescent="0.25"/>
    <row r="60332" s="12" customFormat="1" x14ac:dyDescent="0.25"/>
    <row r="60333" s="12" customFormat="1" x14ac:dyDescent="0.25"/>
    <row r="60334" s="12" customFormat="1" x14ac:dyDescent="0.25"/>
    <row r="60335" s="12" customFormat="1" x14ac:dyDescent="0.25"/>
    <row r="60336" s="12" customFormat="1" x14ac:dyDescent="0.25"/>
    <row r="60337" s="12" customFormat="1" x14ac:dyDescent="0.25"/>
    <row r="60338" s="12" customFormat="1" x14ac:dyDescent="0.25"/>
    <row r="60339" s="12" customFormat="1" x14ac:dyDescent="0.25"/>
    <row r="60340" s="12" customFormat="1" x14ac:dyDescent="0.25"/>
    <row r="60341" s="12" customFormat="1" x14ac:dyDescent="0.25"/>
    <row r="60342" s="12" customFormat="1" x14ac:dyDescent="0.25"/>
    <row r="60343" s="12" customFormat="1" x14ac:dyDescent="0.25"/>
    <row r="60344" s="12" customFormat="1" x14ac:dyDescent="0.25"/>
    <row r="60345" s="12" customFormat="1" x14ac:dyDescent="0.25"/>
    <row r="60346" s="12" customFormat="1" x14ac:dyDescent="0.25"/>
    <row r="60347" s="12" customFormat="1" x14ac:dyDescent="0.25"/>
    <row r="60348" s="12" customFormat="1" x14ac:dyDescent="0.25"/>
    <row r="60349" s="12" customFormat="1" x14ac:dyDescent="0.25"/>
    <row r="60350" s="12" customFormat="1" x14ac:dyDescent="0.25"/>
    <row r="60351" s="12" customFormat="1" x14ac:dyDescent="0.25"/>
    <row r="60352" s="12" customFormat="1" x14ac:dyDescent="0.25"/>
    <row r="60353" s="12" customFormat="1" x14ac:dyDescent="0.25"/>
    <row r="60354" s="12" customFormat="1" x14ac:dyDescent="0.25"/>
    <row r="60355" s="12" customFormat="1" x14ac:dyDescent="0.25"/>
    <row r="60356" s="12" customFormat="1" x14ac:dyDescent="0.25"/>
    <row r="60357" s="12" customFormat="1" x14ac:dyDescent="0.25"/>
    <row r="60358" s="12" customFormat="1" x14ac:dyDescent="0.25"/>
    <row r="60359" s="12" customFormat="1" x14ac:dyDescent="0.25"/>
    <row r="60360" s="12" customFormat="1" x14ac:dyDescent="0.25"/>
    <row r="60361" s="12" customFormat="1" x14ac:dyDescent="0.25"/>
    <row r="60362" s="12" customFormat="1" x14ac:dyDescent="0.25"/>
    <row r="60363" s="12" customFormat="1" x14ac:dyDescent="0.25"/>
    <row r="60364" s="12" customFormat="1" x14ac:dyDescent="0.25"/>
    <row r="60365" s="12" customFormat="1" x14ac:dyDescent="0.25"/>
    <row r="60366" s="12" customFormat="1" x14ac:dyDescent="0.25"/>
    <row r="60367" s="12" customFormat="1" x14ac:dyDescent="0.25"/>
    <row r="60368" s="12" customFormat="1" x14ac:dyDescent="0.25"/>
    <row r="60369" s="12" customFormat="1" x14ac:dyDescent="0.25"/>
    <row r="60370" s="12" customFormat="1" x14ac:dyDescent="0.25"/>
    <row r="60371" s="12" customFormat="1" x14ac:dyDescent="0.25"/>
    <row r="60372" s="12" customFormat="1" x14ac:dyDescent="0.25"/>
    <row r="60373" s="12" customFormat="1" x14ac:dyDescent="0.25"/>
    <row r="60374" s="12" customFormat="1" x14ac:dyDescent="0.25"/>
    <row r="60375" s="12" customFormat="1" x14ac:dyDescent="0.25"/>
    <row r="60376" s="12" customFormat="1" x14ac:dyDescent="0.25"/>
    <row r="60377" s="12" customFormat="1" x14ac:dyDescent="0.25"/>
    <row r="60378" s="12" customFormat="1" x14ac:dyDescent="0.25"/>
    <row r="60379" s="12" customFormat="1" x14ac:dyDescent="0.25"/>
    <row r="60380" s="12" customFormat="1" x14ac:dyDescent="0.25"/>
    <row r="60381" s="12" customFormat="1" x14ac:dyDescent="0.25"/>
    <row r="60382" s="12" customFormat="1" x14ac:dyDescent="0.25"/>
    <row r="60383" s="12" customFormat="1" x14ac:dyDescent="0.25"/>
    <row r="60384" s="12" customFormat="1" x14ac:dyDescent="0.25"/>
    <row r="60385" s="12" customFormat="1" x14ac:dyDescent="0.25"/>
    <row r="60386" s="12" customFormat="1" x14ac:dyDescent="0.25"/>
    <row r="60387" s="12" customFormat="1" x14ac:dyDescent="0.25"/>
    <row r="60388" s="12" customFormat="1" x14ac:dyDescent="0.25"/>
    <row r="60389" s="12" customFormat="1" x14ac:dyDescent="0.25"/>
    <row r="60390" s="12" customFormat="1" x14ac:dyDescent="0.25"/>
    <row r="60391" s="12" customFormat="1" x14ac:dyDescent="0.25"/>
    <row r="60392" s="12" customFormat="1" x14ac:dyDescent="0.25"/>
    <row r="60393" s="12" customFormat="1" x14ac:dyDescent="0.25"/>
    <row r="60394" s="12" customFormat="1" x14ac:dyDescent="0.25"/>
    <row r="60395" s="12" customFormat="1" x14ac:dyDescent="0.25"/>
    <row r="60396" s="12" customFormat="1" x14ac:dyDescent="0.25"/>
    <row r="60397" s="12" customFormat="1" x14ac:dyDescent="0.25"/>
    <row r="60398" s="12" customFormat="1" x14ac:dyDescent="0.25"/>
    <row r="60399" s="12" customFormat="1" x14ac:dyDescent="0.25"/>
    <row r="60400" s="12" customFormat="1" x14ac:dyDescent="0.25"/>
    <row r="60401" s="12" customFormat="1" x14ac:dyDescent="0.25"/>
    <row r="60402" s="12" customFormat="1" x14ac:dyDescent="0.25"/>
    <row r="60403" s="12" customFormat="1" x14ac:dyDescent="0.25"/>
    <row r="60404" s="12" customFormat="1" x14ac:dyDescent="0.25"/>
    <row r="60405" s="12" customFormat="1" x14ac:dyDescent="0.25"/>
    <row r="60406" s="12" customFormat="1" x14ac:dyDescent="0.25"/>
    <row r="60407" s="12" customFormat="1" x14ac:dyDescent="0.25"/>
    <row r="60408" s="12" customFormat="1" x14ac:dyDescent="0.25"/>
    <row r="60409" s="12" customFormat="1" x14ac:dyDescent="0.25"/>
    <row r="60410" s="12" customFormat="1" x14ac:dyDescent="0.25"/>
    <row r="60411" s="12" customFormat="1" x14ac:dyDescent="0.25"/>
    <row r="60412" s="12" customFormat="1" x14ac:dyDescent="0.25"/>
    <row r="60413" s="12" customFormat="1" x14ac:dyDescent="0.25"/>
    <row r="60414" s="12" customFormat="1" x14ac:dyDescent="0.25"/>
    <row r="60415" s="12" customFormat="1" x14ac:dyDescent="0.25"/>
    <row r="60416" s="12" customFormat="1" x14ac:dyDescent="0.25"/>
    <row r="60417" s="12" customFormat="1" x14ac:dyDescent="0.25"/>
    <row r="60418" s="12" customFormat="1" x14ac:dyDescent="0.25"/>
    <row r="60419" s="12" customFormat="1" x14ac:dyDescent="0.25"/>
    <row r="60420" s="12" customFormat="1" x14ac:dyDescent="0.25"/>
    <row r="60421" s="12" customFormat="1" x14ac:dyDescent="0.25"/>
    <row r="60422" s="12" customFormat="1" x14ac:dyDescent="0.25"/>
    <row r="60423" s="12" customFormat="1" x14ac:dyDescent="0.25"/>
    <row r="60424" s="12" customFormat="1" x14ac:dyDescent="0.25"/>
    <row r="60425" s="12" customFormat="1" x14ac:dyDescent="0.25"/>
    <row r="60426" s="12" customFormat="1" x14ac:dyDescent="0.25"/>
    <row r="60427" s="12" customFormat="1" x14ac:dyDescent="0.25"/>
    <row r="60428" s="12" customFormat="1" x14ac:dyDescent="0.25"/>
    <row r="60429" s="12" customFormat="1" x14ac:dyDescent="0.25"/>
    <row r="60430" s="12" customFormat="1" x14ac:dyDescent="0.25"/>
    <row r="60431" s="12" customFormat="1" x14ac:dyDescent="0.25"/>
    <row r="60432" s="12" customFormat="1" x14ac:dyDescent="0.25"/>
    <row r="60433" s="12" customFormat="1" x14ac:dyDescent="0.25"/>
    <row r="60434" s="12" customFormat="1" x14ac:dyDescent="0.25"/>
    <row r="60435" s="12" customFormat="1" x14ac:dyDescent="0.25"/>
    <row r="60436" s="12" customFormat="1" x14ac:dyDescent="0.25"/>
    <row r="60437" s="12" customFormat="1" x14ac:dyDescent="0.25"/>
    <row r="60438" s="12" customFormat="1" x14ac:dyDescent="0.25"/>
    <row r="60439" s="12" customFormat="1" x14ac:dyDescent="0.25"/>
    <row r="60440" s="12" customFormat="1" x14ac:dyDescent="0.25"/>
    <row r="60441" s="12" customFormat="1" x14ac:dyDescent="0.25"/>
    <row r="60442" s="12" customFormat="1" x14ac:dyDescent="0.25"/>
    <row r="60443" s="12" customFormat="1" x14ac:dyDescent="0.25"/>
    <row r="60444" s="12" customFormat="1" x14ac:dyDescent="0.25"/>
    <row r="60445" s="12" customFormat="1" x14ac:dyDescent="0.25"/>
    <row r="60446" s="12" customFormat="1" x14ac:dyDescent="0.25"/>
    <row r="60447" s="12" customFormat="1" x14ac:dyDescent="0.25"/>
    <row r="60448" s="12" customFormat="1" x14ac:dyDescent="0.25"/>
    <row r="60449" s="12" customFormat="1" x14ac:dyDescent="0.25"/>
    <row r="60450" s="12" customFormat="1" x14ac:dyDescent="0.25"/>
    <row r="60451" s="12" customFormat="1" x14ac:dyDescent="0.25"/>
    <row r="60452" s="12" customFormat="1" x14ac:dyDescent="0.25"/>
    <row r="60453" s="12" customFormat="1" x14ac:dyDescent="0.25"/>
    <row r="60454" s="12" customFormat="1" x14ac:dyDescent="0.25"/>
    <row r="60455" s="12" customFormat="1" x14ac:dyDescent="0.25"/>
    <row r="60456" s="12" customFormat="1" x14ac:dyDescent="0.25"/>
    <row r="60457" s="12" customFormat="1" x14ac:dyDescent="0.25"/>
    <row r="60458" s="12" customFormat="1" x14ac:dyDescent="0.25"/>
    <row r="60459" s="12" customFormat="1" x14ac:dyDescent="0.25"/>
    <row r="60460" s="12" customFormat="1" x14ac:dyDescent="0.25"/>
    <row r="60461" s="12" customFormat="1" x14ac:dyDescent="0.25"/>
    <row r="60462" s="12" customFormat="1" x14ac:dyDescent="0.25"/>
    <row r="60463" s="12" customFormat="1" x14ac:dyDescent="0.25"/>
    <row r="60464" s="12" customFormat="1" x14ac:dyDescent="0.25"/>
    <row r="60465" s="12" customFormat="1" x14ac:dyDescent="0.25"/>
    <row r="60466" s="12" customFormat="1" x14ac:dyDescent="0.25"/>
    <row r="60467" s="12" customFormat="1" x14ac:dyDescent="0.25"/>
    <row r="60468" s="12" customFormat="1" x14ac:dyDescent="0.25"/>
    <row r="60469" s="12" customFormat="1" x14ac:dyDescent="0.25"/>
    <row r="60470" s="12" customFormat="1" x14ac:dyDescent="0.25"/>
    <row r="60471" s="12" customFormat="1" x14ac:dyDescent="0.25"/>
    <row r="60472" s="12" customFormat="1" x14ac:dyDescent="0.25"/>
    <row r="60473" s="12" customFormat="1" x14ac:dyDescent="0.25"/>
    <row r="60474" s="12" customFormat="1" x14ac:dyDescent="0.25"/>
    <row r="60475" s="12" customFormat="1" x14ac:dyDescent="0.25"/>
    <row r="60476" s="12" customFormat="1" x14ac:dyDescent="0.25"/>
    <row r="60477" s="12" customFormat="1" x14ac:dyDescent="0.25"/>
    <row r="60478" s="12" customFormat="1" x14ac:dyDescent="0.25"/>
    <row r="60479" s="12" customFormat="1" x14ac:dyDescent="0.25"/>
    <row r="60480" s="12" customFormat="1" x14ac:dyDescent="0.25"/>
    <row r="60481" s="12" customFormat="1" x14ac:dyDescent="0.25"/>
    <row r="60482" s="12" customFormat="1" x14ac:dyDescent="0.25"/>
    <row r="60483" s="12" customFormat="1" x14ac:dyDescent="0.25"/>
    <row r="60484" s="12" customFormat="1" x14ac:dyDescent="0.25"/>
    <row r="60485" s="12" customFormat="1" x14ac:dyDescent="0.25"/>
    <row r="60486" s="12" customFormat="1" x14ac:dyDescent="0.25"/>
    <row r="60487" s="12" customFormat="1" x14ac:dyDescent="0.25"/>
    <row r="60488" s="12" customFormat="1" x14ac:dyDescent="0.25"/>
    <row r="60489" s="12" customFormat="1" x14ac:dyDescent="0.25"/>
    <row r="60490" s="12" customFormat="1" x14ac:dyDescent="0.25"/>
    <row r="60491" s="12" customFormat="1" x14ac:dyDescent="0.25"/>
    <row r="60492" s="12" customFormat="1" x14ac:dyDescent="0.25"/>
    <row r="60493" s="12" customFormat="1" x14ac:dyDescent="0.25"/>
    <row r="60494" s="12" customFormat="1" x14ac:dyDescent="0.25"/>
    <row r="60495" s="12" customFormat="1" x14ac:dyDescent="0.25"/>
    <row r="60496" s="12" customFormat="1" x14ac:dyDescent="0.25"/>
    <row r="60497" s="12" customFormat="1" x14ac:dyDescent="0.25"/>
    <row r="60498" s="12" customFormat="1" x14ac:dyDescent="0.25"/>
    <row r="60499" s="12" customFormat="1" x14ac:dyDescent="0.25"/>
    <row r="60500" s="12" customFormat="1" x14ac:dyDescent="0.25"/>
    <row r="60501" s="12" customFormat="1" x14ac:dyDescent="0.25"/>
    <row r="60502" s="12" customFormat="1" x14ac:dyDescent="0.25"/>
    <row r="60503" s="12" customFormat="1" x14ac:dyDescent="0.25"/>
    <row r="60504" s="12" customFormat="1" x14ac:dyDescent="0.25"/>
    <row r="60505" s="12" customFormat="1" x14ac:dyDescent="0.25"/>
    <row r="60506" s="12" customFormat="1" x14ac:dyDescent="0.25"/>
    <row r="60507" s="12" customFormat="1" x14ac:dyDescent="0.25"/>
    <row r="60508" s="12" customFormat="1" x14ac:dyDescent="0.25"/>
    <row r="60509" s="12" customFormat="1" x14ac:dyDescent="0.25"/>
    <row r="60510" s="12" customFormat="1" x14ac:dyDescent="0.25"/>
    <row r="60511" s="12" customFormat="1" x14ac:dyDescent="0.25"/>
    <row r="60512" s="12" customFormat="1" x14ac:dyDescent="0.25"/>
    <row r="60513" s="12" customFormat="1" x14ac:dyDescent="0.25"/>
    <row r="60514" s="12" customFormat="1" x14ac:dyDescent="0.25"/>
    <row r="60515" s="12" customFormat="1" x14ac:dyDescent="0.25"/>
    <row r="60516" s="12" customFormat="1" x14ac:dyDescent="0.25"/>
    <row r="60517" s="12" customFormat="1" x14ac:dyDescent="0.25"/>
    <row r="60518" s="12" customFormat="1" x14ac:dyDescent="0.25"/>
    <row r="60519" s="12" customFormat="1" x14ac:dyDescent="0.25"/>
    <row r="60520" s="12" customFormat="1" x14ac:dyDescent="0.25"/>
    <row r="60521" s="12" customFormat="1" x14ac:dyDescent="0.25"/>
    <row r="60522" s="12" customFormat="1" x14ac:dyDescent="0.25"/>
    <row r="60523" s="12" customFormat="1" x14ac:dyDescent="0.25"/>
    <row r="60524" s="12" customFormat="1" x14ac:dyDescent="0.25"/>
    <row r="60525" s="12" customFormat="1" x14ac:dyDescent="0.25"/>
    <row r="60526" s="12" customFormat="1" x14ac:dyDescent="0.25"/>
    <row r="60527" s="12" customFormat="1" x14ac:dyDescent="0.25"/>
    <row r="60528" s="12" customFormat="1" x14ac:dyDescent="0.25"/>
    <row r="60529" s="12" customFormat="1" x14ac:dyDescent="0.25"/>
    <row r="60530" s="12" customFormat="1" x14ac:dyDescent="0.25"/>
    <row r="60531" s="12" customFormat="1" x14ac:dyDescent="0.25"/>
    <row r="60532" s="12" customFormat="1" x14ac:dyDescent="0.25"/>
    <row r="60533" s="12" customFormat="1" x14ac:dyDescent="0.25"/>
    <row r="60534" s="12" customFormat="1" x14ac:dyDescent="0.25"/>
    <row r="60535" s="12" customFormat="1" x14ac:dyDescent="0.25"/>
    <row r="60536" s="12" customFormat="1" x14ac:dyDescent="0.25"/>
    <row r="60537" s="12" customFormat="1" x14ac:dyDescent="0.25"/>
    <row r="60538" s="12" customFormat="1" x14ac:dyDescent="0.25"/>
    <row r="60539" s="12" customFormat="1" x14ac:dyDescent="0.25"/>
    <row r="60540" s="12" customFormat="1" x14ac:dyDescent="0.25"/>
    <row r="60541" s="12" customFormat="1" x14ac:dyDescent="0.25"/>
    <row r="60542" s="12" customFormat="1" x14ac:dyDescent="0.25"/>
    <row r="60543" s="12" customFormat="1" x14ac:dyDescent="0.25"/>
    <row r="60544" s="12" customFormat="1" x14ac:dyDescent="0.25"/>
    <row r="60545" s="12" customFormat="1" x14ac:dyDescent="0.25"/>
    <row r="60546" s="12" customFormat="1" x14ac:dyDescent="0.25"/>
    <row r="60547" s="12" customFormat="1" x14ac:dyDescent="0.25"/>
    <row r="60548" s="12" customFormat="1" x14ac:dyDescent="0.25"/>
    <row r="60549" s="12" customFormat="1" x14ac:dyDescent="0.25"/>
    <row r="60550" s="12" customFormat="1" x14ac:dyDescent="0.25"/>
    <row r="60551" s="12" customFormat="1" x14ac:dyDescent="0.25"/>
    <row r="60552" s="12" customFormat="1" x14ac:dyDescent="0.25"/>
    <row r="60553" s="12" customFormat="1" x14ac:dyDescent="0.25"/>
    <row r="60554" s="12" customFormat="1" x14ac:dyDescent="0.25"/>
    <row r="60555" s="12" customFormat="1" x14ac:dyDescent="0.25"/>
    <row r="60556" s="12" customFormat="1" x14ac:dyDescent="0.25"/>
    <row r="60557" s="12" customFormat="1" x14ac:dyDescent="0.25"/>
    <row r="60558" s="12" customFormat="1" x14ac:dyDescent="0.25"/>
    <row r="60559" s="12" customFormat="1" x14ac:dyDescent="0.25"/>
    <row r="60560" s="12" customFormat="1" x14ac:dyDescent="0.25"/>
    <row r="60561" s="12" customFormat="1" x14ac:dyDescent="0.25"/>
    <row r="60562" s="12" customFormat="1" x14ac:dyDescent="0.25"/>
    <row r="60563" s="12" customFormat="1" x14ac:dyDescent="0.25"/>
    <row r="60564" s="12" customFormat="1" x14ac:dyDescent="0.25"/>
    <row r="60565" s="12" customFormat="1" x14ac:dyDescent="0.25"/>
    <row r="60566" s="12" customFormat="1" x14ac:dyDescent="0.25"/>
    <row r="60567" s="12" customFormat="1" x14ac:dyDescent="0.25"/>
    <row r="60568" s="12" customFormat="1" x14ac:dyDescent="0.25"/>
    <row r="60569" s="12" customFormat="1" x14ac:dyDescent="0.25"/>
    <row r="60570" s="12" customFormat="1" x14ac:dyDescent="0.25"/>
    <row r="60571" s="12" customFormat="1" x14ac:dyDescent="0.25"/>
    <row r="60572" s="12" customFormat="1" x14ac:dyDescent="0.25"/>
    <row r="60573" s="12" customFormat="1" x14ac:dyDescent="0.25"/>
    <row r="60574" s="12" customFormat="1" x14ac:dyDescent="0.25"/>
    <row r="60575" s="12" customFormat="1" x14ac:dyDescent="0.25"/>
    <row r="60576" s="12" customFormat="1" x14ac:dyDescent="0.25"/>
    <row r="60577" s="12" customFormat="1" x14ac:dyDescent="0.25"/>
    <row r="60578" s="12" customFormat="1" x14ac:dyDescent="0.25"/>
    <row r="60579" s="12" customFormat="1" x14ac:dyDescent="0.25"/>
    <row r="60580" s="12" customFormat="1" x14ac:dyDescent="0.25"/>
    <row r="60581" s="12" customFormat="1" x14ac:dyDescent="0.25"/>
    <row r="60582" s="12" customFormat="1" x14ac:dyDescent="0.25"/>
    <row r="60583" s="12" customFormat="1" x14ac:dyDescent="0.25"/>
    <row r="60584" s="12" customFormat="1" x14ac:dyDescent="0.25"/>
    <row r="60585" s="12" customFormat="1" x14ac:dyDescent="0.25"/>
    <row r="60586" s="12" customFormat="1" x14ac:dyDescent="0.25"/>
    <row r="60587" s="12" customFormat="1" x14ac:dyDescent="0.25"/>
    <row r="60588" s="12" customFormat="1" x14ac:dyDescent="0.25"/>
    <row r="60589" s="12" customFormat="1" x14ac:dyDescent="0.25"/>
    <row r="60590" s="12" customFormat="1" x14ac:dyDescent="0.25"/>
    <row r="60591" s="12" customFormat="1" x14ac:dyDescent="0.25"/>
    <row r="60592" s="12" customFormat="1" x14ac:dyDescent="0.25"/>
    <row r="60593" s="12" customFormat="1" x14ac:dyDescent="0.25"/>
    <row r="60594" s="12" customFormat="1" x14ac:dyDescent="0.25"/>
    <row r="60595" s="12" customFormat="1" x14ac:dyDescent="0.25"/>
    <row r="60596" s="12" customFormat="1" x14ac:dyDescent="0.25"/>
    <row r="60597" s="12" customFormat="1" x14ac:dyDescent="0.25"/>
    <row r="60598" s="12" customFormat="1" x14ac:dyDescent="0.25"/>
    <row r="60599" s="12" customFormat="1" x14ac:dyDescent="0.25"/>
    <row r="60600" s="12" customFormat="1" x14ac:dyDescent="0.25"/>
    <row r="60601" s="12" customFormat="1" x14ac:dyDescent="0.25"/>
    <row r="60602" s="12" customFormat="1" x14ac:dyDescent="0.25"/>
    <row r="60603" s="12" customFormat="1" x14ac:dyDescent="0.25"/>
    <row r="60604" s="12" customFormat="1" x14ac:dyDescent="0.25"/>
    <row r="60605" s="12" customFormat="1" x14ac:dyDescent="0.25"/>
    <row r="60606" s="12" customFormat="1" x14ac:dyDescent="0.25"/>
    <row r="60607" s="12" customFormat="1" x14ac:dyDescent="0.25"/>
    <row r="60608" s="12" customFormat="1" x14ac:dyDescent="0.25"/>
    <row r="60609" s="12" customFormat="1" x14ac:dyDescent="0.25"/>
    <row r="60610" s="12" customFormat="1" x14ac:dyDescent="0.25"/>
    <row r="60611" s="12" customFormat="1" x14ac:dyDescent="0.25"/>
    <row r="60612" s="12" customFormat="1" x14ac:dyDescent="0.25"/>
    <row r="60613" s="12" customFormat="1" x14ac:dyDescent="0.25"/>
    <row r="60614" s="12" customFormat="1" x14ac:dyDescent="0.25"/>
    <row r="60615" s="12" customFormat="1" x14ac:dyDescent="0.25"/>
    <row r="60616" s="12" customFormat="1" x14ac:dyDescent="0.25"/>
    <row r="60617" s="12" customFormat="1" x14ac:dyDescent="0.25"/>
    <row r="60618" s="12" customFormat="1" x14ac:dyDescent="0.25"/>
    <row r="60619" s="12" customFormat="1" x14ac:dyDescent="0.25"/>
    <row r="60620" s="12" customFormat="1" x14ac:dyDescent="0.25"/>
    <row r="60621" s="12" customFormat="1" x14ac:dyDescent="0.25"/>
    <row r="60622" s="12" customFormat="1" x14ac:dyDescent="0.25"/>
    <row r="60623" s="12" customFormat="1" x14ac:dyDescent="0.25"/>
    <row r="60624" s="12" customFormat="1" x14ac:dyDescent="0.25"/>
    <row r="60625" s="12" customFormat="1" x14ac:dyDescent="0.25"/>
    <row r="60626" s="12" customFormat="1" x14ac:dyDescent="0.25"/>
    <row r="60627" s="12" customFormat="1" x14ac:dyDescent="0.25"/>
    <row r="60628" s="12" customFormat="1" x14ac:dyDescent="0.25"/>
    <row r="60629" s="12" customFormat="1" x14ac:dyDescent="0.25"/>
    <row r="60630" s="12" customFormat="1" x14ac:dyDescent="0.25"/>
    <row r="60631" s="12" customFormat="1" x14ac:dyDescent="0.25"/>
    <row r="60632" s="12" customFormat="1" x14ac:dyDescent="0.25"/>
    <row r="60633" s="12" customFormat="1" x14ac:dyDescent="0.25"/>
    <row r="60634" s="12" customFormat="1" x14ac:dyDescent="0.25"/>
    <row r="60635" s="12" customFormat="1" x14ac:dyDescent="0.25"/>
    <row r="60636" s="12" customFormat="1" x14ac:dyDescent="0.25"/>
    <row r="60637" s="12" customFormat="1" x14ac:dyDescent="0.25"/>
    <row r="60638" s="12" customFormat="1" x14ac:dyDescent="0.25"/>
    <row r="60639" s="12" customFormat="1" x14ac:dyDescent="0.25"/>
    <row r="60640" s="12" customFormat="1" x14ac:dyDescent="0.25"/>
    <row r="60641" s="12" customFormat="1" x14ac:dyDescent="0.25"/>
    <row r="60642" s="12" customFormat="1" x14ac:dyDescent="0.25"/>
    <row r="60643" s="12" customFormat="1" x14ac:dyDescent="0.25"/>
    <row r="60644" s="12" customFormat="1" x14ac:dyDescent="0.25"/>
    <row r="60645" s="12" customFormat="1" x14ac:dyDescent="0.25"/>
    <row r="60646" s="12" customFormat="1" x14ac:dyDescent="0.25"/>
    <row r="60647" s="12" customFormat="1" x14ac:dyDescent="0.25"/>
    <row r="60648" s="12" customFormat="1" x14ac:dyDescent="0.25"/>
    <row r="60649" s="12" customFormat="1" x14ac:dyDescent="0.25"/>
    <row r="60650" s="12" customFormat="1" x14ac:dyDescent="0.25"/>
    <row r="60651" s="12" customFormat="1" x14ac:dyDescent="0.25"/>
    <row r="60652" s="12" customFormat="1" x14ac:dyDescent="0.25"/>
    <row r="60653" s="12" customFormat="1" x14ac:dyDescent="0.25"/>
    <row r="60654" s="12" customFormat="1" x14ac:dyDescent="0.25"/>
    <row r="60655" s="12" customFormat="1" x14ac:dyDescent="0.25"/>
    <row r="60656" s="12" customFormat="1" x14ac:dyDescent="0.25"/>
    <row r="60657" s="12" customFormat="1" x14ac:dyDescent="0.25"/>
    <row r="60658" s="12" customFormat="1" x14ac:dyDescent="0.25"/>
    <row r="60659" s="12" customFormat="1" x14ac:dyDescent="0.25"/>
    <row r="60660" s="12" customFormat="1" x14ac:dyDescent="0.25"/>
    <row r="60661" s="12" customFormat="1" x14ac:dyDescent="0.25"/>
    <row r="60662" s="12" customFormat="1" x14ac:dyDescent="0.25"/>
    <row r="60663" s="12" customFormat="1" x14ac:dyDescent="0.25"/>
    <row r="60664" s="12" customFormat="1" x14ac:dyDescent="0.25"/>
    <row r="60665" s="12" customFormat="1" x14ac:dyDescent="0.25"/>
    <row r="60666" s="12" customFormat="1" x14ac:dyDescent="0.25"/>
    <row r="60667" s="12" customFormat="1" x14ac:dyDescent="0.25"/>
    <row r="60668" s="12" customFormat="1" x14ac:dyDescent="0.25"/>
    <row r="60669" s="12" customFormat="1" x14ac:dyDescent="0.25"/>
    <row r="60670" s="12" customFormat="1" x14ac:dyDescent="0.25"/>
    <row r="60671" s="12" customFormat="1" x14ac:dyDescent="0.25"/>
    <row r="60672" s="12" customFormat="1" x14ac:dyDescent="0.25"/>
    <row r="60673" s="12" customFormat="1" x14ac:dyDescent="0.25"/>
    <row r="60674" s="12" customFormat="1" x14ac:dyDescent="0.25"/>
    <row r="60675" s="12" customFormat="1" x14ac:dyDescent="0.25"/>
    <row r="60676" s="12" customFormat="1" x14ac:dyDescent="0.25"/>
    <row r="60677" s="12" customFormat="1" x14ac:dyDescent="0.25"/>
    <row r="60678" s="12" customFormat="1" x14ac:dyDescent="0.25"/>
    <row r="60679" s="12" customFormat="1" x14ac:dyDescent="0.25"/>
    <row r="60680" s="12" customFormat="1" x14ac:dyDescent="0.25"/>
    <row r="60681" s="12" customFormat="1" x14ac:dyDescent="0.25"/>
    <row r="60682" s="12" customFormat="1" x14ac:dyDescent="0.25"/>
    <row r="60683" s="12" customFormat="1" x14ac:dyDescent="0.25"/>
    <row r="60684" s="12" customFormat="1" x14ac:dyDescent="0.25"/>
    <row r="60685" s="12" customFormat="1" x14ac:dyDescent="0.25"/>
    <row r="60686" s="12" customFormat="1" x14ac:dyDescent="0.25"/>
    <row r="60687" s="12" customFormat="1" x14ac:dyDescent="0.25"/>
    <row r="60688" s="12" customFormat="1" x14ac:dyDescent="0.25"/>
    <row r="60689" s="12" customFormat="1" x14ac:dyDescent="0.25"/>
    <row r="60690" s="12" customFormat="1" x14ac:dyDescent="0.25"/>
    <row r="60691" s="12" customFormat="1" x14ac:dyDescent="0.25"/>
    <row r="60692" s="12" customFormat="1" x14ac:dyDescent="0.25"/>
    <row r="60693" s="12" customFormat="1" x14ac:dyDescent="0.25"/>
    <row r="60694" s="12" customFormat="1" x14ac:dyDescent="0.25"/>
    <row r="60695" s="12" customFormat="1" x14ac:dyDescent="0.25"/>
    <row r="60696" s="12" customFormat="1" x14ac:dyDescent="0.25"/>
    <row r="60697" s="12" customFormat="1" x14ac:dyDescent="0.25"/>
    <row r="60698" s="12" customFormat="1" x14ac:dyDescent="0.25"/>
    <row r="60699" s="12" customFormat="1" x14ac:dyDescent="0.25"/>
    <row r="60700" s="12" customFormat="1" x14ac:dyDescent="0.25"/>
    <row r="60701" s="12" customFormat="1" x14ac:dyDescent="0.25"/>
    <row r="60702" s="12" customFormat="1" x14ac:dyDescent="0.25"/>
    <row r="60703" s="12" customFormat="1" x14ac:dyDescent="0.25"/>
    <row r="60704" s="12" customFormat="1" x14ac:dyDescent="0.25"/>
    <row r="60705" s="12" customFormat="1" x14ac:dyDescent="0.25"/>
    <row r="60706" s="12" customFormat="1" x14ac:dyDescent="0.25"/>
    <row r="60707" s="12" customFormat="1" x14ac:dyDescent="0.25"/>
    <row r="60708" s="12" customFormat="1" x14ac:dyDescent="0.25"/>
    <row r="60709" s="12" customFormat="1" x14ac:dyDescent="0.25"/>
    <row r="60710" s="12" customFormat="1" x14ac:dyDescent="0.25"/>
    <row r="60711" s="12" customFormat="1" x14ac:dyDescent="0.25"/>
    <row r="60712" s="12" customFormat="1" x14ac:dyDescent="0.25"/>
    <row r="60713" s="12" customFormat="1" x14ac:dyDescent="0.25"/>
    <row r="60714" s="12" customFormat="1" x14ac:dyDescent="0.25"/>
    <row r="60715" s="12" customFormat="1" x14ac:dyDescent="0.25"/>
    <row r="60716" s="12" customFormat="1" x14ac:dyDescent="0.25"/>
    <row r="60717" s="12" customFormat="1" x14ac:dyDescent="0.25"/>
    <row r="60718" s="12" customFormat="1" x14ac:dyDescent="0.25"/>
    <row r="60719" s="12" customFormat="1" x14ac:dyDescent="0.25"/>
    <row r="60720" s="12" customFormat="1" x14ac:dyDescent="0.25"/>
    <row r="60721" s="12" customFormat="1" x14ac:dyDescent="0.25"/>
    <row r="60722" s="12" customFormat="1" x14ac:dyDescent="0.25"/>
    <row r="60723" s="12" customFormat="1" x14ac:dyDescent="0.25"/>
    <row r="60724" s="12" customFormat="1" x14ac:dyDescent="0.25"/>
    <row r="60725" s="12" customFormat="1" x14ac:dyDescent="0.25"/>
    <row r="60726" s="12" customFormat="1" x14ac:dyDescent="0.25"/>
    <row r="60727" s="12" customFormat="1" x14ac:dyDescent="0.25"/>
    <row r="60728" s="12" customFormat="1" x14ac:dyDescent="0.25"/>
    <row r="60729" s="12" customFormat="1" x14ac:dyDescent="0.25"/>
    <row r="60730" s="12" customFormat="1" x14ac:dyDescent="0.25"/>
    <row r="60731" s="12" customFormat="1" x14ac:dyDescent="0.25"/>
    <row r="60732" s="12" customFormat="1" x14ac:dyDescent="0.25"/>
    <row r="60733" s="12" customFormat="1" x14ac:dyDescent="0.25"/>
    <row r="60734" s="12" customFormat="1" x14ac:dyDescent="0.25"/>
    <row r="60735" s="12" customFormat="1" x14ac:dyDescent="0.25"/>
    <row r="60736" s="12" customFormat="1" x14ac:dyDescent="0.25"/>
    <row r="60737" s="12" customFormat="1" x14ac:dyDescent="0.25"/>
    <row r="60738" s="12" customFormat="1" x14ac:dyDescent="0.25"/>
    <row r="60739" s="12" customFormat="1" x14ac:dyDescent="0.25"/>
    <row r="60740" s="12" customFormat="1" x14ac:dyDescent="0.25"/>
    <row r="60741" s="12" customFormat="1" x14ac:dyDescent="0.25"/>
    <row r="60742" s="12" customFormat="1" x14ac:dyDescent="0.25"/>
    <row r="60743" s="12" customFormat="1" x14ac:dyDescent="0.25"/>
    <row r="60744" s="12" customFormat="1" x14ac:dyDescent="0.25"/>
    <row r="60745" s="12" customFormat="1" x14ac:dyDescent="0.25"/>
    <row r="60746" s="12" customFormat="1" x14ac:dyDescent="0.25"/>
    <row r="60747" s="12" customFormat="1" x14ac:dyDescent="0.25"/>
    <row r="60748" s="12" customFormat="1" x14ac:dyDescent="0.25"/>
    <row r="60749" s="12" customFormat="1" x14ac:dyDescent="0.25"/>
    <row r="60750" s="12" customFormat="1" x14ac:dyDescent="0.25"/>
    <row r="60751" s="12" customFormat="1" x14ac:dyDescent="0.25"/>
    <row r="60752" s="12" customFormat="1" x14ac:dyDescent="0.25"/>
    <row r="60753" s="12" customFormat="1" x14ac:dyDescent="0.25"/>
    <row r="60754" s="12" customFormat="1" x14ac:dyDescent="0.25"/>
    <row r="60755" s="12" customFormat="1" x14ac:dyDescent="0.25"/>
    <row r="60756" s="12" customFormat="1" x14ac:dyDescent="0.25"/>
    <row r="60757" s="12" customFormat="1" x14ac:dyDescent="0.25"/>
    <row r="60758" s="12" customFormat="1" x14ac:dyDescent="0.25"/>
    <row r="60759" s="12" customFormat="1" x14ac:dyDescent="0.25"/>
    <row r="60760" s="12" customFormat="1" x14ac:dyDescent="0.25"/>
    <row r="60761" s="12" customFormat="1" x14ac:dyDescent="0.25"/>
    <row r="60762" s="12" customFormat="1" x14ac:dyDescent="0.25"/>
    <row r="60763" s="12" customFormat="1" x14ac:dyDescent="0.25"/>
    <row r="60764" s="12" customFormat="1" x14ac:dyDescent="0.25"/>
    <row r="60765" s="12" customFormat="1" x14ac:dyDescent="0.25"/>
    <row r="60766" s="12" customFormat="1" x14ac:dyDescent="0.25"/>
    <row r="60767" s="12" customFormat="1" x14ac:dyDescent="0.25"/>
    <row r="60768" s="12" customFormat="1" x14ac:dyDescent="0.25"/>
    <row r="60769" s="12" customFormat="1" x14ac:dyDescent="0.25"/>
    <row r="60770" s="12" customFormat="1" x14ac:dyDescent="0.25"/>
    <row r="60771" s="12" customFormat="1" x14ac:dyDescent="0.25"/>
    <row r="60772" s="12" customFormat="1" x14ac:dyDescent="0.25"/>
    <row r="60773" s="12" customFormat="1" x14ac:dyDescent="0.25"/>
    <row r="60774" s="12" customFormat="1" x14ac:dyDescent="0.25"/>
    <row r="60775" s="12" customFormat="1" x14ac:dyDescent="0.25"/>
    <row r="60776" s="12" customFormat="1" x14ac:dyDescent="0.25"/>
    <row r="60777" s="12" customFormat="1" x14ac:dyDescent="0.25"/>
    <row r="60778" s="12" customFormat="1" x14ac:dyDescent="0.25"/>
    <row r="60779" s="12" customFormat="1" x14ac:dyDescent="0.25"/>
    <row r="60780" s="12" customFormat="1" x14ac:dyDescent="0.25"/>
    <row r="60781" s="12" customFormat="1" x14ac:dyDescent="0.25"/>
    <row r="60782" s="12" customFormat="1" x14ac:dyDescent="0.25"/>
    <row r="60783" s="12" customFormat="1" x14ac:dyDescent="0.25"/>
    <row r="60784" s="12" customFormat="1" x14ac:dyDescent="0.25"/>
    <row r="60785" s="12" customFormat="1" x14ac:dyDescent="0.25"/>
    <row r="60786" s="12" customFormat="1" x14ac:dyDescent="0.25"/>
    <row r="60787" s="12" customFormat="1" x14ac:dyDescent="0.25"/>
    <row r="60788" s="12" customFormat="1" x14ac:dyDescent="0.25"/>
    <row r="60789" s="12" customFormat="1" x14ac:dyDescent="0.25"/>
    <row r="60790" s="12" customFormat="1" x14ac:dyDescent="0.25"/>
    <row r="60791" s="12" customFormat="1" x14ac:dyDescent="0.25"/>
    <row r="60792" s="12" customFormat="1" x14ac:dyDescent="0.25"/>
    <row r="60793" s="12" customFormat="1" x14ac:dyDescent="0.25"/>
    <row r="60794" s="12" customFormat="1" x14ac:dyDescent="0.25"/>
    <row r="60795" s="12" customFormat="1" x14ac:dyDescent="0.25"/>
    <row r="60796" s="12" customFormat="1" x14ac:dyDescent="0.25"/>
    <row r="60797" s="12" customFormat="1" x14ac:dyDescent="0.25"/>
    <row r="60798" s="12" customFormat="1" x14ac:dyDescent="0.25"/>
    <row r="60799" s="12" customFormat="1" x14ac:dyDescent="0.25"/>
    <row r="60800" s="12" customFormat="1" x14ac:dyDescent="0.25"/>
    <row r="60801" s="12" customFormat="1" x14ac:dyDescent="0.25"/>
    <row r="60802" s="12" customFormat="1" x14ac:dyDescent="0.25"/>
    <row r="60803" s="12" customFormat="1" x14ac:dyDescent="0.25"/>
    <row r="60804" s="12" customFormat="1" x14ac:dyDescent="0.25"/>
    <row r="60805" s="12" customFormat="1" x14ac:dyDescent="0.25"/>
    <row r="60806" s="12" customFormat="1" x14ac:dyDescent="0.25"/>
    <row r="60807" s="12" customFormat="1" x14ac:dyDescent="0.25"/>
    <row r="60808" s="12" customFormat="1" x14ac:dyDescent="0.25"/>
    <row r="60809" s="12" customFormat="1" x14ac:dyDescent="0.25"/>
    <row r="60810" s="12" customFormat="1" x14ac:dyDescent="0.25"/>
    <row r="60811" s="12" customFormat="1" x14ac:dyDescent="0.25"/>
    <row r="60812" s="12" customFormat="1" x14ac:dyDescent="0.25"/>
    <row r="60813" s="12" customFormat="1" x14ac:dyDescent="0.25"/>
    <row r="60814" s="12" customFormat="1" x14ac:dyDescent="0.25"/>
    <row r="60815" s="12" customFormat="1" x14ac:dyDescent="0.25"/>
    <row r="60816" s="12" customFormat="1" x14ac:dyDescent="0.25"/>
    <row r="60817" s="12" customFormat="1" x14ac:dyDescent="0.25"/>
    <row r="60818" s="12" customFormat="1" x14ac:dyDescent="0.25"/>
    <row r="60819" s="12" customFormat="1" x14ac:dyDescent="0.25"/>
    <row r="60820" s="12" customFormat="1" x14ac:dyDescent="0.25"/>
    <row r="60821" s="12" customFormat="1" x14ac:dyDescent="0.25"/>
    <row r="60822" s="12" customFormat="1" x14ac:dyDescent="0.25"/>
    <row r="60823" s="12" customFormat="1" x14ac:dyDescent="0.25"/>
    <row r="60824" s="12" customFormat="1" x14ac:dyDescent="0.25"/>
    <row r="60825" s="12" customFormat="1" x14ac:dyDescent="0.25"/>
    <row r="60826" s="12" customFormat="1" x14ac:dyDescent="0.25"/>
    <row r="60827" s="12" customFormat="1" x14ac:dyDescent="0.25"/>
    <row r="60828" s="12" customFormat="1" x14ac:dyDescent="0.25"/>
    <row r="60829" s="12" customFormat="1" x14ac:dyDescent="0.25"/>
    <row r="60830" s="12" customFormat="1" x14ac:dyDescent="0.25"/>
    <row r="60831" s="12" customFormat="1" x14ac:dyDescent="0.25"/>
    <row r="60832" s="12" customFormat="1" x14ac:dyDescent="0.25"/>
    <row r="60833" s="12" customFormat="1" x14ac:dyDescent="0.25"/>
    <row r="60834" s="12" customFormat="1" x14ac:dyDescent="0.25"/>
    <row r="60835" s="12" customFormat="1" x14ac:dyDescent="0.25"/>
    <row r="60836" s="12" customFormat="1" x14ac:dyDescent="0.25"/>
    <row r="60837" s="12" customFormat="1" x14ac:dyDescent="0.25"/>
    <row r="60838" s="12" customFormat="1" x14ac:dyDescent="0.25"/>
    <row r="60839" s="12" customFormat="1" x14ac:dyDescent="0.25"/>
    <row r="60840" s="12" customFormat="1" x14ac:dyDescent="0.25"/>
    <row r="60841" s="12" customFormat="1" x14ac:dyDescent="0.25"/>
    <row r="60842" s="12" customFormat="1" x14ac:dyDescent="0.25"/>
    <row r="60843" s="12" customFormat="1" x14ac:dyDescent="0.25"/>
    <row r="60844" s="12" customFormat="1" x14ac:dyDescent="0.25"/>
    <row r="60845" s="12" customFormat="1" x14ac:dyDescent="0.25"/>
    <row r="60846" s="12" customFormat="1" x14ac:dyDescent="0.25"/>
    <row r="60847" s="12" customFormat="1" x14ac:dyDescent="0.25"/>
    <row r="60848" s="12" customFormat="1" x14ac:dyDescent="0.25"/>
    <row r="60849" s="12" customFormat="1" x14ac:dyDescent="0.25"/>
    <row r="60850" s="12" customFormat="1" x14ac:dyDescent="0.25"/>
    <row r="60851" s="12" customFormat="1" x14ac:dyDescent="0.25"/>
    <row r="60852" s="12" customFormat="1" x14ac:dyDescent="0.25"/>
    <row r="60853" s="12" customFormat="1" x14ac:dyDescent="0.25"/>
    <row r="60854" s="12" customFormat="1" x14ac:dyDescent="0.25"/>
    <row r="60855" s="12" customFormat="1" x14ac:dyDescent="0.25"/>
    <row r="60856" s="12" customFormat="1" x14ac:dyDescent="0.25"/>
    <row r="60857" s="12" customFormat="1" x14ac:dyDescent="0.25"/>
    <row r="60858" s="12" customFormat="1" x14ac:dyDescent="0.25"/>
    <row r="60859" s="12" customFormat="1" x14ac:dyDescent="0.25"/>
    <row r="60860" s="12" customFormat="1" x14ac:dyDescent="0.25"/>
    <row r="60861" s="12" customFormat="1" x14ac:dyDescent="0.25"/>
    <row r="60862" s="12" customFormat="1" x14ac:dyDescent="0.25"/>
    <row r="60863" s="12" customFormat="1" x14ac:dyDescent="0.25"/>
    <row r="60864" s="12" customFormat="1" x14ac:dyDescent="0.25"/>
    <row r="60865" s="12" customFormat="1" x14ac:dyDescent="0.25"/>
    <row r="60866" s="12" customFormat="1" x14ac:dyDescent="0.25"/>
    <row r="60867" s="12" customFormat="1" x14ac:dyDescent="0.25"/>
    <row r="60868" s="12" customFormat="1" x14ac:dyDescent="0.25"/>
    <row r="60869" s="12" customFormat="1" x14ac:dyDescent="0.25"/>
    <row r="60870" s="12" customFormat="1" x14ac:dyDescent="0.25"/>
    <row r="60871" s="12" customFormat="1" x14ac:dyDescent="0.25"/>
    <row r="60872" s="12" customFormat="1" x14ac:dyDescent="0.25"/>
    <row r="60873" s="12" customFormat="1" x14ac:dyDescent="0.25"/>
    <row r="60874" s="12" customFormat="1" x14ac:dyDescent="0.25"/>
    <row r="60875" s="12" customFormat="1" x14ac:dyDescent="0.25"/>
    <row r="60876" s="12" customFormat="1" x14ac:dyDescent="0.25"/>
    <row r="60877" s="12" customFormat="1" x14ac:dyDescent="0.25"/>
    <row r="60878" s="12" customFormat="1" x14ac:dyDescent="0.25"/>
    <row r="60879" s="12" customFormat="1" x14ac:dyDescent="0.25"/>
    <row r="60880" s="12" customFormat="1" x14ac:dyDescent="0.25"/>
    <row r="60881" s="12" customFormat="1" x14ac:dyDescent="0.25"/>
    <row r="60882" s="12" customFormat="1" x14ac:dyDescent="0.25"/>
    <row r="60883" s="12" customFormat="1" x14ac:dyDescent="0.25"/>
    <row r="60884" s="12" customFormat="1" x14ac:dyDescent="0.25"/>
    <row r="60885" s="12" customFormat="1" x14ac:dyDescent="0.25"/>
    <row r="60886" s="12" customFormat="1" x14ac:dyDescent="0.25"/>
    <row r="60887" s="12" customFormat="1" x14ac:dyDescent="0.25"/>
    <row r="60888" s="12" customFormat="1" x14ac:dyDescent="0.25"/>
    <row r="60889" s="12" customFormat="1" x14ac:dyDescent="0.25"/>
    <row r="60890" s="12" customFormat="1" x14ac:dyDescent="0.25"/>
    <row r="60891" s="12" customFormat="1" x14ac:dyDescent="0.25"/>
    <row r="60892" s="12" customFormat="1" x14ac:dyDescent="0.25"/>
    <row r="60893" s="12" customFormat="1" x14ac:dyDescent="0.25"/>
    <row r="60894" s="12" customFormat="1" x14ac:dyDescent="0.25"/>
    <row r="60895" s="12" customFormat="1" x14ac:dyDescent="0.25"/>
    <row r="60896" s="12" customFormat="1" x14ac:dyDescent="0.25"/>
    <row r="60897" s="12" customFormat="1" x14ac:dyDescent="0.25"/>
    <row r="60898" s="12" customFormat="1" x14ac:dyDescent="0.25"/>
    <row r="60899" s="12" customFormat="1" x14ac:dyDescent="0.25"/>
    <row r="60900" s="12" customFormat="1" x14ac:dyDescent="0.25"/>
    <row r="60901" s="12" customFormat="1" x14ac:dyDescent="0.25"/>
    <row r="60902" s="12" customFormat="1" x14ac:dyDescent="0.25"/>
    <row r="60903" s="12" customFormat="1" x14ac:dyDescent="0.25"/>
    <row r="60904" s="12" customFormat="1" x14ac:dyDescent="0.25"/>
    <row r="60905" s="12" customFormat="1" x14ac:dyDescent="0.25"/>
    <row r="60906" s="12" customFormat="1" x14ac:dyDescent="0.25"/>
    <row r="60907" s="12" customFormat="1" x14ac:dyDescent="0.25"/>
    <row r="60908" s="12" customFormat="1" x14ac:dyDescent="0.25"/>
    <row r="60909" s="12" customFormat="1" x14ac:dyDescent="0.25"/>
    <row r="60910" s="12" customFormat="1" x14ac:dyDescent="0.25"/>
    <row r="60911" s="12" customFormat="1" x14ac:dyDescent="0.25"/>
    <row r="60912" s="12" customFormat="1" x14ac:dyDescent="0.25"/>
    <row r="60913" s="12" customFormat="1" x14ac:dyDescent="0.25"/>
    <row r="60914" s="12" customFormat="1" x14ac:dyDescent="0.25"/>
    <row r="60915" s="12" customFormat="1" x14ac:dyDescent="0.25"/>
    <row r="60916" s="12" customFormat="1" x14ac:dyDescent="0.25"/>
    <row r="60917" s="12" customFormat="1" x14ac:dyDescent="0.25"/>
    <row r="60918" s="12" customFormat="1" x14ac:dyDescent="0.25"/>
    <row r="60919" s="12" customFormat="1" x14ac:dyDescent="0.25"/>
    <row r="60920" s="12" customFormat="1" x14ac:dyDescent="0.25"/>
    <row r="60921" s="12" customFormat="1" x14ac:dyDescent="0.25"/>
    <row r="60922" s="12" customFormat="1" x14ac:dyDescent="0.25"/>
    <row r="60923" s="12" customFormat="1" x14ac:dyDescent="0.25"/>
    <row r="60924" s="12" customFormat="1" x14ac:dyDescent="0.25"/>
    <row r="60925" s="12" customFormat="1" x14ac:dyDescent="0.25"/>
    <row r="60926" s="12" customFormat="1" x14ac:dyDescent="0.25"/>
    <row r="60927" s="12" customFormat="1" x14ac:dyDescent="0.25"/>
    <row r="60928" s="12" customFormat="1" x14ac:dyDescent="0.25"/>
    <row r="60929" s="12" customFormat="1" x14ac:dyDescent="0.25"/>
    <row r="60930" s="12" customFormat="1" x14ac:dyDescent="0.25"/>
    <row r="60931" s="12" customFormat="1" x14ac:dyDescent="0.25"/>
    <row r="60932" s="12" customFormat="1" x14ac:dyDescent="0.25"/>
    <row r="60933" s="12" customFormat="1" x14ac:dyDescent="0.25"/>
    <row r="60934" s="12" customFormat="1" x14ac:dyDescent="0.25"/>
    <row r="60935" s="12" customFormat="1" x14ac:dyDescent="0.25"/>
    <row r="60936" s="12" customFormat="1" x14ac:dyDescent="0.25"/>
    <row r="60937" s="12" customFormat="1" x14ac:dyDescent="0.25"/>
    <row r="60938" s="12" customFormat="1" x14ac:dyDescent="0.25"/>
    <row r="60939" s="12" customFormat="1" x14ac:dyDescent="0.25"/>
    <row r="60940" s="12" customFormat="1" x14ac:dyDescent="0.25"/>
    <row r="60941" s="12" customFormat="1" x14ac:dyDescent="0.25"/>
    <row r="60942" s="12" customFormat="1" x14ac:dyDescent="0.25"/>
    <row r="60943" s="12" customFormat="1" x14ac:dyDescent="0.25"/>
    <row r="60944" s="12" customFormat="1" x14ac:dyDescent="0.25"/>
    <row r="60945" s="12" customFormat="1" x14ac:dyDescent="0.25"/>
    <row r="60946" s="12" customFormat="1" x14ac:dyDescent="0.25"/>
    <row r="60947" s="12" customFormat="1" x14ac:dyDescent="0.25"/>
    <row r="60948" s="12" customFormat="1" x14ac:dyDescent="0.25"/>
    <row r="60949" s="12" customFormat="1" x14ac:dyDescent="0.25"/>
    <row r="60950" s="12" customFormat="1" x14ac:dyDescent="0.25"/>
    <row r="60951" s="12" customFormat="1" x14ac:dyDescent="0.25"/>
    <row r="60952" s="12" customFormat="1" x14ac:dyDescent="0.25"/>
    <row r="60953" s="12" customFormat="1" x14ac:dyDescent="0.25"/>
    <row r="60954" s="12" customFormat="1" x14ac:dyDescent="0.25"/>
    <row r="60955" s="12" customFormat="1" x14ac:dyDescent="0.25"/>
    <row r="60956" s="12" customFormat="1" x14ac:dyDescent="0.25"/>
    <row r="60957" s="12" customFormat="1" x14ac:dyDescent="0.25"/>
    <row r="60958" s="12" customFormat="1" x14ac:dyDescent="0.25"/>
    <row r="60959" s="12" customFormat="1" x14ac:dyDescent="0.25"/>
    <row r="60960" s="12" customFormat="1" x14ac:dyDescent="0.25"/>
    <row r="60961" s="12" customFormat="1" x14ac:dyDescent="0.25"/>
    <row r="60962" s="12" customFormat="1" x14ac:dyDescent="0.25"/>
    <row r="60963" s="12" customFormat="1" x14ac:dyDescent="0.25"/>
    <row r="60964" s="12" customFormat="1" x14ac:dyDescent="0.25"/>
    <row r="60965" s="12" customFormat="1" x14ac:dyDescent="0.25"/>
    <row r="60966" s="12" customFormat="1" x14ac:dyDescent="0.25"/>
    <row r="60967" s="12" customFormat="1" x14ac:dyDescent="0.25"/>
    <row r="60968" s="12" customFormat="1" x14ac:dyDescent="0.25"/>
    <row r="60969" s="12" customFormat="1" x14ac:dyDescent="0.25"/>
    <row r="60970" s="12" customFormat="1" x14ac:dyDescent="0.25"/>
    <row r="60971" s="12" customFormat="1" x14ac:dyDescent="0.25"/>
    <row r="60972" s="12" customFormat="1" x14ac:dyDescent="0.25"/>
    <row r="60973" s="12" customFormat="1" x14ac:dyDescent="0.25"/>
    <row r="60974" s="12" customFormat="1" x14ac:dyDescent="0.25"/>
    <row r="60975" s="12" customFormat="1" x14ac:dyDescent="0.25"/>
    <row r="60976" s="12" customFormat="1" x14ac:dyDescent="0.25"/>
    <row r="60977" s="12" customFormat="1" x14ac:dyDescent="0.25"/>
    <row r="60978" s="12" customFormat="1" x14ac:dyDescent="0.25"/>
    <row r="60979" s="12" customFormat="1" x14ac:dyDescent="0.25"/>
    <row r="60980" s="12" customFormat="1" x14ac:dyDescent="0.25"/>
    <row r="60981" s="12" customFormat="1" x14ac:dyDescent="0.25"/>
    <row r="60982" s="12" customFormat="1" x14ac:dyDescent="0.25"/>
    <row r="60983" s="12" customFormat="1" x14ac:dyDescent="0.25"/>
    <row r="60984" s="12" customFormat="1" x14ac:dyDescent="0.25"/>
    <row r="60985" s="12" customFormat="1" x14ac:dyDescent="0.25"/>
    <row r="60986" s="12" customFormat="1" x14ac:dyDescent="0.25"/>
    <row r="60987" s="12" customFormat="1" x14ac:dyDescent="0.25"/>
    <row r="60988" s="12" customFormat="1" x14ac:dyDescent="0.25"/>
    <row r="60989" s="12" customFormat="1" x14ac:dyDescent="0.25"/>
    <row r="60990" s="12" customFormat="1" x14ac:dyDescent="0.25"/>
    <row r="60991" s="12" customFormat="1" x14ac:dyDescent="0.25"/>
    <row r="60992" s="12" customFormat="1" x14ac:dyDescent="0.25"/>
    <row r="60993" s="12" customFormat="1" x14ac:dyDescent="0.25"/>
    <row r="60994" s="12" customFormat="1" x14ac:dyDescent="0.25"/>
    <row r="60995" s="12" customFormat="1" x14ac:dyDescent="0.25"/>
    <row r="60996" s="12" customFormat="1" x14ac:dyDescent="0.25"/>
    <row r="60997" s="12" customFormat="1" x14ac:dyDescent="0.25"/>
    <row r="60998" s="12" customFormat="1" x14ac:dyDescent="0.25"/>
    <row r="60999" s="12" customFormat="1" x14ac:dyDescent="0.25"/>
    <row r="61000" s="12" customFormat="1" x14ac:dyDescent="0.25"/>
    <row r="61001" s="12" customFormat="1" x14ac:dyDescent="0.25"/>
    <row r="61002" s="12" customFormat="1" x14ac:dyDescent="0.25"/>
    <row r="61003" s="12" customFormat="1" x14ac:dyDescent="0.25"/>
    <row r="61004" s="12" customFormat="1" x14ac:dyDescent="0.25"/>
    <row r="61005" s="12" customFormat="1" x14ac:dyDescent="0.25"/>
    <row r="61006" s="12" customFormat="1" x14ac:dyDescent="0.25"/>
    <row r="61007" s="12" customFormat="1" x14ac:dyDescent="0.25"/>
    <row r="61008" s="12" customFormat="1" x14ac:dyDescent="0.25"/>
    <row r="61009" s="12" customFormat="1" x14ac:dyDescent="0.25"/>
    <row r="61010" s="12" customFormat="1" x14ac:dyDescent="0.25"/>
    <row r="61011" s="12" customFormat="1" x14ac:dyDescent="0.25"/>
    <row r="61012" s="12" customFormat="1" x14ac:dyDescent="0.25"/>
    <row r="61013" s="12" customFormat="1" x14ac:dyDescent="0.25"/>
    <row r="61014" s="12" customFormat="1" x14ac:dyDescent="0.25"/>
    <row r="61015" s="12" customFormat="1" x14ac:dyDescent="0.25"/>
    <row r="61016" s="12" customFormat="1" x14ac:dyDescent="0.25"/>
    <row r="61017" s="12" customFormat="1" x14ac:dyDescent="0.25"/>
    <row r="61018" s="12" customFormat="1" x14ac:dyDescent="0.25"/>
    <row r="61019" s="12" customFormat="1" x14ac:dyDescent="0.25"/>
    <row r="61020" s="12" customFormat="1" x14ac:dyDescent="0.25"/>
    <row r="61021" s="12" customFormat="1" x14ac:dyDescent="0.25"/>
    <row r="61022" s="12" customFormat="1" x14ac:dyDescent="0.25"/>
    <row r="61023" s="12" customFormat="1" x14ac:dyDescent="0.25"/>
    <row r="61024" s="12" customFormat="1" x14ac:dyDescent="0.25"/>
    <row r="61025" s="12" customFormat="1" x14ac:dyDescent="0.25"/>
    <row r="61026" s="12" customFormat="1" x14ac:dyDescent="0.25"/>
    <row r="61027" s="12" customFormat="1" x14ac:dyDescent="0.25"/>
    <row r="61028" s="12" customFormat="1" x14ac:dyDescent="0.25"/>
    <row r="61029" s="12" customFormat="1" x14ac:dyDescent="0.25"/>
    <row r="61030" s="12" customFormat="1" x14ac:dyDescent="0.25"/>
    <row r="61031" s="12" customFormat="1" x14ac:dyDescent="0.25"/>
    <row r="61032" s="12" customFormat="1" x14ac:dyDescent="0.25"/>
    <row r="61033" s="12" customFormat="1" x14ac:dyDescent="0.25"/>
    <row r="61034" s="12" customFormat="1" x14ac:dyDescent="0.25"/>
    <row r="61035" s="12" customFormat="1" x14ac:dyDescent="0.25"/>
    <row r="61036" s="12" customFormat="1" x14ac:dyDescent="0.25"/>
    <row r="61037" s="12" customFormat="1" x14ac:dyDescent="0.25"/>
    <row r="61038" s="12" customFormat="1" x14ac:dyDescent="0.25"/>
    <row r="61039" s="12" customFormat="1" x14ac:dyDescent="0.25"/>
    <row r="61040" s="12" customFormat="1" x14ac:dyDescent="0.25"/>
    <row r="61041" s="12" customFormat="1" x14ac:dyDescent="0.25"/>
    <row r="61042" s="12" customFormat="1" x14ac:dyDescent="0.25"/>
    <row r="61043" s="12" customFormat="1" x14ac:dyDescent="0.25"/>
    <row r="61044" s="12" customFormat="1" x14ac:dyDescent="0.25"/>
    <row r="61045" s="12" customFormat="1" x14ac:dyDescent="0.25"/>
    <row r="61046" s="12" customFormat="1" x14ac:dyDescent="0.25"/>
    <row r="61047" s="12" customFormat="1" x14ac:dyDescent="0.25"/>
    <row r="61048" s="12" customFormat="1" x14ac:dyDescent="0.25"/>
    <row r="61049" s="12" customFormat="1" x14ac:dyDescent="0.25"/>
    <row r="61050" s="12" customFormat="1" x14ac:dyDescent="0.25"/>
    <row r="61051" s="12" customFormat="1" x14ac:dyDescent="0.25"/>
    <row r="61052" s="12" customFormat="1" x14ac:dyDescent="0.25"/>
    <row r="61053" s="12" customFormat="1" x14ac:dyDescent="0.25"/>
    <row r="61054" s="12" customFormat="1" x14ac:dyDescent="0.25"/>
    <row r="61055" s="12" customFormat="1" x14ac:dyDescent="0.25"/>
    <row r="61056" s="12" customFormat="1" x14ac:dyDescent="0.25"/>
    <row r="61057" s="12" customFormat="1" x14ac:dyDescent="0.25"/>
    <row r="61058" s="12" customFormat="1" x14ac:dyDescent="0.25"/>
    <row r="61059" s="12" customFormat="1" x14ac:dyDescent="0.25"/>
    <row r="61060" s="12" customFormat="1" x14ac:dyDescent="0.25"/>
    <row r="61061" s="12" customFormat="1" x14ac:dyDescent="0.25"/>
    <row r="61062" s="12" customFormat="1" x14ac:dyDescent="0.25"/>
    <row r="61063" s="12" customFormat="1" x14ac:dyDescent="0.25"/>
    <row r="61064" s="12" customFormat="1" x14ac:dyDescent="0.25"/>
    <row r="61065" s="12" customFormat="1" x14ac:dyDescent="0.25"/>
    <row r="61066" s="12" customFormat="1" x14ac:dyDescent="0.25"/>
    <row r="61067" s="12" customFormat="1" x14ac:dyDescent="0.25"/>
    <row r="61068" s="12" customFormat="1" x14ac:dyDescent="0.25"/>
    <row r="61069" s="12" customFormat="1" x14ac:dyDescent="0.25"/>
    <row r="61070" s="12" customFormat="1" x14ac:dyDescent="0.25"/>
    <row r="61071" s="12" customFormat="1" x14ac:dyDescent="0.25"/>
    <row r="61072" s="12" customFormat="1" x14ac:dyDescent="0.25"/>
    <row r="61073" s="12" customFormat="1" x14ac:dyDescent="0.25"/>
    <row r="61074" s="12" customFormat="1" x14ac:dyDescent="0.25"/>
    <row r="61075" s="12" customFormat="1" x14ac:dyDescent="0.25"/>
    <row r="61076" s="12" customFormat="1" x14ac:dyDescent="0.25"/>
    <row r="61077" s="12" customFormat="1" x14ac:dyDescent="0.25"/>
    <row r="61078" s="12" customFormat="1" x14ac:dyDescent="0.25"/>
    <row r="61079" s="12" customFormat="1" x14ac:dyDescent="0.25"/>
    <row r="61080" s="12" customFormat="1" x14ac:dyDescent="0.25"/>
    <row r="61081" s="12" customFormat="1" x14ac:dyDescent="0.25"/>
    <row r="61082" s="12" customFormat="1" x14ac:dyDescent="0.25"/>
    <row r="61083" s="12" customFormat="1" x14ac:dyDescent="0.25"/>
    <row r="61084" s="12" customFormat="1" x14ac:dyDescent="0.25"/>
    <row r="61085" s="12" customFormat="1" x14ac:dyDescent="0.25"/>
    <row r="61086" s="12" customFormat="1" x14ac:dyDescent="0.25"/>
    <row r="61087" s="12" customFormat="1" x14ac:dyDescent="0.25"/>
    <row r="61088" s="12" customFormat="1" x14ac:dyDescent="0.25"/>
    <row r="61089" s="12" customFormat="1" x14ac:dyDescent="0.25"/>
    <row r="61090" s="12" customFormat="1" x14ac:dyDescent="0.25"/>
    <row r="61091" s="12" customFormat="1" x14ac:dyDescent="0.25"/>
    <row r="61092" s="12" customFormat="1" x14ac:dyDescent="0.25"/>
    <row r="61093" s="12" customFormat="1" x14ac:dyDescent="0.25"/>
    <row r="61094" s="12" customFormat="1" x14ac:dyDescent="0.25"/>
    <row r="61095" s="12" customFormat="1" x14ac:dyDescent="0.25"/>
    <row r="61096" s="12" customFormat="1" x14ac:dyDescent="0.25"/>
    <row r="61097" s="12" customFormat="1" x14ac:dyDescent="0.25"/>
    <row r="61098" s="12" customFormat="1" x14ac:dyDescent="0.25"/>
    <row r="61099" s="12" customFormat="1" x14ac:dyDescent="0.25"/>
    <row r="61100" s="12" customFormat="1" x14ac:dyDescent="0.25"/>
    <row r="61101" s="12" customFormat="1" x14ac:dyDescent="0.25"/>
    <row r="61102" s="12" customFormat="1" x14ac:dyDescent="0.25"/>
    <row r="61103" s="12" customFormat="1" x14ac:dyDescent="0.25"/>
    <row r="61104" s="12" customFormat="1" x14ac:dyDescent="0.25"/>
    <row r="61105" s="12" customFormat="1" x14ac:dyDescent="0.25"/>
    <row r="61106" s="12" customFormat="1" x14ac:dyDescent="0.25"/>
    <row r="61107" s="12" customFormat="1" x14ac:dyDescent="0.25"/>
    <row r="61108" s="12" customFormat="1" x14ac:dyDescent="0.25"/>
    <row r="61109" s="12" customFormat="1" x14ac:dyDescent="0.25"/>
    <row r="61110" s="12" customFormat="1" x14ac:dyDescent="0.25"/>
    <row r="61111" s="12" customFormat="1" x14ac:dyDescent="0.25"/>
    <row r="61112" s="12" customFormat="1" x14ac:dyDescent="0.25"/>
    <row r="61113" s="12" customFormat="1" x14ac:dyDescent="0.25"/>
    <row r="61114" s="12" customFormat="1" x14ac:dyDescent="0.25"/>
    <row r="61115" s="12" customFormat="1" x14ac:dyDescent="0.25"/>
    <row r="61116" s="12" customFormat="1" x14ac:dyDescent="0.25"/>
    <row r="61117" s="12" customFormat="1" x14ac:dyDescent="0.25"/>
    <row r="61118" s="12" customFormat="1" x14ac:dyDescent="0.25"/>
    <row r="61119" s="12" customFormat="1" x14ac:dyDescent="0.25"/>
    <row r="61120" s="12" customFormat="1" x14ac:dyDescent="0.25"/>
    <row r="61121" s="12" customFormat="1" x14ac:dyDescent="0.25"/>
    <row r="61122" s="12" customFormat="1" x14ac:dyDescent="0.25"/>
    <row r="61123" s="12" customFormat="1" x14ac:dyDescent="0.25"/>
    <row r="61124" s="12" customFormat="1" x14ac:dyDescent="0.25"/>
    <row r="61125" s="12" customFormat="1" x14ac:dyDescent="0.25"/>
    <row r="61126" s="12" customFormat="1" x14ac:dyDescent="0.25"/>
    <row r="61127" s="12" customFormat="1" x14ac:dyDescent="0.25"/>
    <row r="61128" s="12" customFormat="1" x14ac:dyDescent="0.25"/>
    <row r="61129" s="12" customFormat="1" x14ac:dyDescent="0.25"/>
    <row r="61130" s="12" customFormat="1" x14ac:dyDescent="0.25"/>
    <row r="61131" s="12" customFormat="1" x14ac:dyDescent="0.25"/>
    <row r="61132" s="12" customFormat="1" x14ac:dyDescent="0.25"/>
    <row r="61133" s="12" customFormat="1" x14ac:dyDescent="0.25"/>
    <row r="61134" s="12" customFormat="1" x14ac:dyDescent="0.25"/>
    <row r="61135" s="12" customFormat="1" x14ac:dyDescent="0.25"/>
    <row r="61136" s="12" customFormat="1" x14ac:dyDescent="0.25"/>
    <row r="61137" s="12" customFormat="1" x14ac:dyDescent="0.25"/>
    <row r="61138" s="12" customFormat="1" x14ac:dyDescent="0.25"/>
    <row r="61139" s="12" customFormat="1" x14ac:dyDescent="0.25"/>
    <row r="61140" s="12" customFormat="1" x14ac:dyDescent="0.25"/>
    <row r="61141" s="12" customFormat="1" x14ac:dyDescent="0.25"/>
    <row r="61142" s="12" customFormat="1" x14ac:dyDescent="0.25"/>
    <row r="61143" s="12" customFormat="1" x14ac:dyDescent="0.25"/>
    <row r="61144" s="12" customFormat="1" x14ac:dyDescent="0.25"/>
    <row r="61145" s="12" customFormat="1" x14ac:dyDescent="0.25"/>
    <row r="61146" s="12" customFormat="1" x14ac:dyDescent="0.25"/>
    <row r="61147" s="12" customFormat="1" x14ac:dyDescent="0.25"/>
    <row r="61148" s="12" customFormat="1" x14ac:dyDescent="0.25"/>
    <row r="61149" s="12" customFormat="1" x14ac:dyDescent="0.25"/>
    <row r="61150" s="12" customFormat="1" x14ac:dyDescent="0.25"/>
    <row r="61151" s="12" customFormat="1" x14ac:dyDescent="0.25"/>
    <row r="61152" s="12" customFormat="1" x14ac:dyDescent="0.25"/>
    <row r="61153" s="12" customFormat="1" x14ac:dyDescent="0.25"/>
    <row r="61154" s="12" customFormat="1" x14ac:dyDescent="0.25"/>
    <row r="61155" s="12" customFormat="1" x14ac:dyDescent="0.25"/>
    <row r="61156" s="12" customFormat="1" x14ac:dyDescent="0.25"/>
    <row r="61157" s="12" customFormat="1" x14ac:dyDescent="0.25"/>
    <row r="61158" s="12" customFormat="1" x14ac:dyDescent="0.25"/>
    <row r="61159" s="12" customFormat="1" x14ac:dyDescent="0.25"/>
    <row r="61160" s="12" customFormat="1" x14ac:dyDescent="0.25"/>
    <row r="61161" s="12" customFormat="1" x14ac:dyDescent="0.25"/>
    <row r="61162" s="12" customFormat="1" x14ac:dyDescent="0.25"/>
    <row r="61163" s="12" customFormat="1" x14ac:dyDescent="0.25"/>
    <row r="61164" s="12" customFormat="1" x14ac:dyDescent="0.25"/>
    <row r="61165" s="12" customFormat="1" x14ac:dyDescent="0.25"/>
    <row r="61166" s="12" customFormat="1" x14ac:dyDescent="0.25"/>
    <row r="61167" s="12" customFormat="1" x14ac:dyDescent="0.25"/>
    <row r="61168" s="12" customFormat="1" x14ac:dyDescent="0.25"/>
    <row r="61169" s="12" customFormat="1" x14ac:dyDescent="0.25"/>
    <row r="61170" s="12" customFormat="1" x14ac:dyDescent="0.25"/>
    <row r="61171" s="12" customFormat="1" x14ac:dyDescent="0.25"/>
    <row r="61172" s="12" customFormat="1" x14ac:dyDescent="0.25"/>
    <row r="61173" s="12" customFormat="1" x14ac:dyDescent="0.25"/>
    <row r="61174" s="12" customFormat="1" x14ac:dyDescent="0.25"/>
    <row r="61175" s="12" customFormat="1" x14ac:dyDescent="0.25"/>
    <row r="61176" s="12" customFormat="1" x14ac:dyDescent="0.25"/>
    <row r="61177" s="12" customFormat="1" x14ac:dyDescent="0.25"/>
    <row r="61178" s="12" customFormat="1" x14ac:dyDescent="0.25"/>
    <row r="61179" s="12" customFormat="1" x14ac:dyDescent="0.25"/>
    <row r="61180" s="12" customFormat="1" x14ac:dyDescent="0.25"/>
    <row r="61181" s="12" customFormat="1" x14ac:dyDescent="0.25"/>
    <row r="61182" s="12" customFormat="1" x14ac:dyDescent="0.25"/>
    <row r="61183" s="12" customFormat="1" x14ac:dyDescent="0.25"/>
    <row r="61184" s="12" customFormat="1" x14ac:dyDescent="0.25"/>
    <row r="61185" s="12" customFormat="1" x14ac:dyDescent="0.25"/>
    <row r="61186" s="12" customFormat="1" x14ac:dyDescent="0.25"/>
    <row r="61187" s="12" customFormat="1" x14ac:dyDescent="0.25"/>
    <row r="61188" s="12" customFormat="1" x14ac:dyDescent="0.25"/>
    <row r="61189" s="12" customFormat="1" x14ac:dyDescent="0.25"/>
    <row r="61190" s="12" customFormat="1" x14ac:dyDescent="0.25"/>
    <row r="61191" s="12" customFormat="1" x14ac:dyDescent="0.25"/>
    <row r="61192" s="12" customFormat="1" x14ac:dyDescent="0.25"/>
    <row r="61193" s="12" customFormat="1" x14ac:dyDescent="0.25"/>
    <row r="61194" s="12" customFormat="1" x14ac:dyDescent="0.25"/>
    <row r="61195" s="12" customFormat="1" x14ac:dyDescent="0.25"/>
    <row r="61196" s="12" customFormat="1" x14ac:dyDescent="0.25"/>
    <row r="61197" s="12" customFormat="1" x14ac:dyDescent="0.25"/>
    <row r="61198" s="12" customFormat="1" x14ac:dyDescent="0.25"/>
    <row r="61199" s="12" customFormat="1" x14ac:dyDescent="0.25"/>
    <row r="61200" s="12" customFormat="1" x14ac:dyDescent="0.25"/>
    <row r="61201" s="12" customFormat="1" x14ac:dyDescent="0.25"/>
    <row r="61202" s="12" customFormat="1" x14ac:dyDescent="0.25"/>
    <row r="61203" s="12" customFormat="1" x14ac:dyDescent="0.25"/>
    <row r="61204" s="12" customFormat="1" x14ac:dyDescent="0.25"/>
    <row r="61205" s="12" customFormat="1" x14ac:dyDescent="0.25"/>
    <row r="61206" s="12" customFormat="1" x14ac:dyDescent="0.25"/>
    <row r="61207" s="12" customFormat="1" x14ac:dyDescent="0.25"/>
    <row r="61208" s="12" customFormat="1" x14ac:dyDescent="0.25"/>
    <row r="61209" s="12" customFormat="1" x14ac:dyDescent="0.25"/>
    <row r="61210" s="12" customFormat="1" x14ac:dyDescent="0.25"/>
    <row r="61211" s="12" customFormat="1" x14ac:dyDescent="0.25"/>
    <row r="61212" s="12" customFormat="1" x14ac:dyDescent="0.25"/>
    <row r="61213" s="12" customFormat="1" x14ac:dyDescent="0.25"/>
    <row r="61214" s="12" customFormat="1" x14ac:dyDescent="0.25"/>
    <row r="61215" s="12" customFormat="1" x14ac:dyDescent="0.25"/>
    <row r="61216" s="12" customFormat="1" x14ac:dyDescent="0.25"/>
    <row r="61217" s="12" customFormat="1" x14ac:dyDescent="0.25"/>
    <row r="61218" s="12" customFormat="1" x14ac:dyDescent="0.25"/>
    <row r="61219" s="12" customFormat="1" x14ac:dyDescent="0.25"/>
    <row r="61220" s="12" customFormat="1" x14ac:dyDescent="0.25"/>
    <row r="61221" s="12" customFormat="1" x14ac:dyDescent="0.25"/>
    <row r="61222" s="12" customFormat="1" x14ac:dyDescent="0.25"/>
    <row r="61223" s="12" customFormat="1" x14ac:dyDescent="0.25"/>
    <row r="61224" s="12" customFormat="1" x14ac:dyDescent="0.25"/>
    <row r="61225" s="12" customFormat="1" x14ac:dyDescent="0.25"/>
    <row r="61226" s="12" customFormat="1" x14ac:dyDescent="0.25"/>
    <row r="61227" s="12" customFormat="1" x14ac:dyDescent="0.25"/>
    <row r="61228" s="12" customFormat="1" x14ac:dyDescent="0.25"/>
    <row r="61229" s="12" customFormat="1" x14ac:dyDescent="0.25"/>
    <row r="61230" s="12" customFormat="1" x14ac:dyDescent="0.25"/>
    <row r="61231" s="12" customFormat="1" x14ac:dyDescent="0.25"/>
    <row r="61232" s="12" customFormat="1" x14ac:dyDescent="0.25"/>
    <row r="61233" s="12" customFormat="1" x14ac:dyDescent="0.25"/>
    <row r="61234" s="12" customFormat="1" x14ac:dyDescent="0.25"/>
    <row r="61235" s="12" customFormat="1" x14ac:dyDescent="0.25"/>
    <row r="61236" s="12" customFormat="1" x14ac:dyDescent="0.25"/>
    <row r="61237" s="12" customFormat="1" x14ac:dyDescent="0.25"/>
    <row r="61238" s="12" customFormat="1" x14ac:dyDescent="0.25"/>
    <row r="61239" s="12" customFormat="1" x14ac:dyDescent="0.25"/>
    <row r="61240" s="12" customFormat="1" x14ac:dyDescent="0.25"/>
    <row r="61241" s="12" customFormat="1" x14ac:dyDescent="0.25"/>
    <row r="61242" s="12" customFormat="1" x14ac:dyDescent="0.25"/>
    <row r="61243" s="12" customFormat="1" x14ac:dyDescent="0.25"/>
    <row r="61244" s="12" customFormat="1" x14ac:dyDescent="0.25"/>
    <row r="61245" s="12" customFormat="1" x14ac:dyDescent="0.25"/>
    <row r="61246" s="12" customFormat="1" x14ac:dyDescent="0.25"/>
    <row r="61247" s="12" customFormat="1" x14ac:dyDescent="0.25"/>
    <row r="61248" s="12" customFormat="1" x14ac:dyDescent="0.25"/>
    <row r="61249" s="12" customFormat="1" x14ac:dyDescent="0.25"/>
    <row r="61250" s="12" customFormat="1" x14ac:dyDescent="0.25"/>
    <row r="61251" s="12" customFormat="1" x14ac:dyDescent="0.25"/>
    <row r="61252" s="12" customFormat="1" x14ac:dyDescent="0.25"/>
    <row r="61253" s="12" customFormat="1" x14ac:dyDescent="0.25"/>
    <row r="61254" s="12" customFormat="1" x14ac:dyDescent="0.25"/>
    <row r="61255" s="12" customFormat="1" x14ac:dyDescent="0.25"/>
    <row r="61256" s="12" customFormat="1" x14ac:dyDescent="0.25"/>
    <row r="61257" s="12" customFormat="1" x14ac:dyDescent="0.25"/>
    <row r="61258" s="12" customFormat="1" x14ac:dyDescent="0.25"/>
    <row r="61259" s="12" customFormat="1" x14ac:dyDescent="0.25"/>
    <row r="61260" s="12" customFormat="1" x14ac:dyDescent="0.25"/>
    <row r="61261" s="12" customFormat="1" x14ac:dyDescent="0.25"/>
    <row r="61262" s="12" customFormat="1" x14ac:dyDescent="0.25"/>
    <row r="61263" s="12" customFormat="1" x14ac:dyDescent="0.25"/>
    <row r="61264" s="12" customFormat="1" x14ac:dyDescent="0.25"/>
    <row r="61265" s="12" customFormat="1" x14ac:dyDescent="0.25"/>
    <row r="61266" s="12" customFormat="1" x14ac:dyDescent="0.25"/>
    <row r="61267" s="12" customFormat="1" x14ac:dyDescent="0.25"/>
    <row r="61268" s="12" customFormat="1" x14ac:dyDescent="0.25"/>
    <row r="61269" s="12" customFormat="1" x14ac:dyDescent="0.25"/>
    <row r="61270" s="12" customFormat="1" x14ac:dyDescent="0.25"/>
    <row r="61271" s="12" customFormat="1" x14ac:dyDescent="0.25"/>
    <row r="61272" s="12" customFormat="1" x14ac:dyDescent="0.25"/>
    <row r="61273" s="12" customFormat="1" x14ac:dyDescent="0.25"/>
    <row r="61274" s="12" customFormat="1" x14ac:dyDescent="0.25"/>
    <row r="61275" s="12" customFormat="1" x14ac:dyDescent="0.25"/>
    <row r="61276" s="12" customFormat="1" x14ac:dyDescent="0.25"/>
    <row r="61277" s="12" customFormat="1" x14ac:dyDescent="0.25"/>
    <row r="61278" s="12" customFormat="1" x14ac:dyDescent="0.25"/>
    <row r="61279" s="12" customFormat="1" x14ac:dyDescent="0.25"/>
    <row r="61280" s="12" customFormat="1" x14ac:dyDescent="0.25"/>
    <row r="61281" s="12" customFormat="1" x14ac:dyDescent="0.25"/>
    <row r="61282" s="12" customFormat="1" x14ac:dyDescent="0.25"/>
    <row r="61283" s="12" customFormat="1" x14ac:dyDescent="0.25"/>
    <row r="61284" s="12" customFormat="1" x14ac:dyDescent="0.25"/>
    <row r="61285" s="12" customFormat="1" x14ac:dyDescent="0.25"/>
    <row r="61286" s="12" customFormat="1" x14ac:dyDescent="0.25"/>
    <row r="61287" s="12" customFormat="1" x14ac:dyDescent="0.25"/>
    <row r="61288" s="12" customFormat="1" x14ac:dyDescent="0.25"/>
    <row r="61289" s="12" customFormat="1" x14ac:dyDescent="0.25"/>
    <row r="61290" s="12" customFormat="1" x14ac:dyDescent="0.25"/>
    <row r="61291" s="12" customFormat="1" x14ac:dyDescent="0.25"/>
    <row r="61292" s="12" customFormat="1" x14ac:dyDescent="0.25"/>
    <row r="61293" s="12" customFormat="1" x14ac:dyDescent="0.25"/>
    <row r="61294" s="12" customFormat="1" x14ac:dyDescent="0.25"/>
    <row r="61295" s="12" customFormat="1" x14ac:dyDescent="0.25"/>
    <row r="61296" s="12" customFormat="1" x14ac:dyDescent="0.25"/>
    <row r="61297" s="12" customFormat="1" x14ac:dyDescent="0.25"/>
    <row r="61298" s="12" customFormat="1" x14ac:dyDescent="0.25"/>
    <row r="61299" s="12" customFormat="1" x14ac:dyDescent="0.25"/>
    <row r="61300" s="12" customFormat="1" x14ac:dyDescent="0.25"/>
    <row r="61301" s="12" customFormat="1" x14ac:dyDescent="0.25"/>
    <row r="61302" s="12" customFormat="1" x14ac:dyDescent="0.25"/>
    <row r="61303" s="12" customFormat="1" x14ac:dyDescent="0.25"/>
    <row r="61304" s="12" customFormat="1" x14ac:dyDescent="0.25"/>
    <row r="61305" s="12" customFormat="1" x14ac:dyDescent="0.25"/>
    <row r="61306" s="12" customFormat="1" x14ac:dyDescent="0.25"/>
    <row r="61307" s="12" customFormat="1" x14ac:dyDescent="0.25"/>
    <row r="61308" s="12" customFormat="1" x14ac:dyDescent="0.25"/>
    <row r="61309" s="12" customFormat="1" x14ac:dyDescent="0.25"/>
    <row r="61310" s="12" customFormat="1" x14ac:dyDescent="0.25"/>
    <row r="61311" s="12" customFormat="1" x14ac:dyDescent="0.25"/>
    <row r="61312" s="12" customFormat="1" x14ac:dyDescent="0.25"/>
    <row r="61313" s="12" customFormat="1" x14ac:dyDescent="0.25"/>
    <row r="61314" s="12" customFormat="1" x14ac:dyDescent="0.25"/>
    <row r="61315" s="12" customFormat="1" x14ac:dyDescent="0.25"/>
    <row r="61316" s="12" customFormat="1" x14ac:dyDescent="0.25"/>
    <row r="61317" s="12" customFormat="1" x14ac:dyDescent="0.25"/>
    <row r="61318" s="12" customFormat="1" x14ac:dyDescent="0.25"/>
    <row r="61319" s="12" customFormat="1" x14ac:dyDescent="0.25"/>
    <row r="61320" s="12" customFormat="1" x14ac:dyDescent="0.25"/>
    <row r="61321" s="12" customFormat="1" x14ac:dyDescent="0.25"/>
    <row r="61322" s="12" customFormat="1" x14ac:dyDescent="0.25"/>
    <row r="61323" s="12" customFormat="1" x14ac:dyDescent="0.25"/>
    <row r="61324" s="12" customFormat="1" x14ac:dyDescent="0.25"/>
    <row r="61325" s="12" customFormat="1" x14ac:dyDescent="0.25"/>
    <row r="61326" s="12" customFormat="1" x14ac:dyDescent="0.25"/>
    <row r="61327" s="12" customFormat="1" x14ac:dyDescent="0.25"/>
    <row r="61328" s="12" customFormat="1" x14ac:dyDescent="0.25"/>
    <row r="61329" s="12" customFormat="1" x14ac:dyDescent="0.25"/>
    <row r="61330" s="12" customFormat="1" x14ac:dyDescent="0.25"/>
    <row r="61331" s="12" customFormat="1" x14ac:dyDescent="0.25"/>
    <row r="61332" s="12" customFormat="1" x14ac:dyDescent="0.25"/>
    <row r="61333" s="12" customFormat="1" x14ac:dyDescent="0.25"/>
    <row r="61334" s="12" customFormat="1" x14ac:dyDescent="0.25"/>
    <row r="61335" s="12" customFormat="1" x14ac:dyDescent="0.25"/>
    <row r="61336" s="12" customFormat="1" x14ac:dyDescent="0.25"/>
    <row r="61337" s="12" customFormat="1" x14ac:dyDescent="0.25"/>
    <row r="61338" s="12" customFormat="1" x14ac:dyDescent="0.25"/>
    <row r="61339" s="12" customFormat="1" x14ac:dyDescent="0.25"/>
    <row r="61340" s="12" customFormat="1" x14ac:dyDescent="0.25"/>
    <row r="61341" s="12" customFormat="1" x14ac:dyDescent="0.25"/>
    <row r="61342" s="12" customFormat="1" x14ac:dyDescent="0.25"/>
    <row r="61343" s="12" customFormat="1" x14ac:dyDescent="0.25"/>
    <row r="61344" s="12" customFormat="1" x14ac:dyDescent="0.25"/>
    <row r="61345" s="12" customFormat="1" x14ac:dyDescent="0.25"/>
    <row r="61346" s="12" customFormat="1" x14ac:dyDescent="0.25"/>
    <row r="61347" s="12" customFormat="1" x14ac:dyDescent="0.25"/>
    <row r="61348" s="12" customFormat="1" x14ac:dyDescent="0.25"/>
    <row r="61349" s="12" customFormat="1" x14ac:dyDescent="0.25"/>
    <row r="61350" s="12" customFormat="1" x14ac:dyDescent="0.25"/>
    <row r="61351" s="12" customFormat="1" x14ac:dyDescent="0.25"/>
    <row r="61352" s="12" customFormat="1" x14ac:dyDescent="0.25"/>
    <row r="61353" s="12" customFormat="1" x14ac:dyDescent="0.25"/>
    <row r="61354" s="12" customFormat="1" x14ac:dyDescent="0.25"/>
    <row r="61355" s="12" customFormat="1" x14ac:dyDescent="0.25"/>
    <row r="61356" s="12" customFormat="1" x14ac:dyDescent="0.25"/>
    <row r="61357" s="12" customFormat="1" x14ac:dyDescent="0.25"/>
    <row r="61358" s="12" customFormat="1" x14ac:dyDescent="0.25"/>
    <row r="61359" s="12" customFormat="1" x14ac:dyDescent="0.25"/>
    <row r="61360" s="12" customFormat="1" x14ac:dyDescent="0.25"/>
    <row r="61361" s="12" customFormat="1" x14ac:dyDescent="0.25"/>
    <row r="61362" s="12" customFormat="1" x14ac:dyDescent="0.25"/>
    <row r="61363" s="12" customFormat="1" x14ac:dyDescent="0.25"/>
    <row r="61364" s="12" customFormat="1" x14ac:dyDescent="0.25"/>
    <row r="61365" s="12" customFormat="1" x14ac:dyDescent="0.25"/>
    <row r="61366" s="12" customFormat="1" x14ac:dyDescent="0.25"/>
    <row r="61367" s="12" customFormat="1" x14ac:dyDescent="0.25"/>
    <row r="61368" s="12" customFormat="1" x14ac:dyDescent="0.25"/>
    <row r="61369" s="12" customFormat="1" x14ac:dyDescent="0.25"/>
    <row r="61370" s="12" customFormat="1" x14ac:dyDescent="0.25"/>
    <row r="61371" s="12" customFormat="1" x14ac:dyDescent="0.25"/>
    <row r="61372" s="12" customFormat="1" x14ac:dyDescent="0.25"/>
    <row r="61373" s="12" customFormat="1" x14ac:dyDescent="0.25"/>
    <row r="61374" s="12" customFormat="1" x14ac:dyDescent="0.25"/>
    <row r="61375" s="12" customFormat="1" x14ac:dyDescent="0.25"/>
    <row r="61376" s="12" customFormat="1" x14ac:dyDescent="0.25"/>
    <row r="61377" s="12" customFormat="1" x14ac:dyDescent="0.25"/>
    <row r="61378" s="12" customFormat="1" x14ac:dyDescent="0.25"/>
    <row r="61379" s="12" customFormat="1" x14ac:dyDescent="0.25"/>
    <row r="61380" s="12" customFormat="1" x14ac:dyDescent="0.25"/>
    <row r="61381" s="12" customFormat="1" x14ac:dyDescent="0.25"/>
    <row r="61382" s="12" customFormat="1" x14ac:dyDescent="0.25"/>
    <row r="61383" s="12" customFormat="1" x14ac:dyDescent="0.25"/>
    <row r="61384" s="12" customFormat="1" x14ac:dyDescent="0.25"/>
    <row r="61385" s="12" customFormat="1" x14ac:dyDescent="0.25"/>
    <row r="61386" s="12" customFormat="1" x14ac:dyDescent="0.25"/>
    <row r="61387" s="12" customFormat="1" x14ac:dyDescent="0.25"/>
    <row r="61388" s="12" customFormat="1" x14ac:dyDescent="0.25"/>
    <row r="61389" s="12" customFormat="1" x14ac:dyDescent="0.25"/>
    <row r="61390" s="12" customFormat="1" x14ac:dyDescent="0.25"/>
    <row r="61391" s="12" customFormat="1" x14ac:dyDescent="0.25"/>
    <row r="61392" s="12" customFormat="1" x14ac:dyDescent="0.25"/>
    <row r="61393" s="12" customFormat="1" x14ac:dyDescent="0.25"/>
    <row r="61394" s="12" customFormat="1" x14ac:dyDescent="0.25"/>
    <row r="61395" s="12" customFormat="1" x14ac:dyDescent="0.25"/>
    <row r="61396" s="12" customFormat="1" x14ac:dyDescent="0.25"/>
    <row r="61397" s="12" customFormat="1" x14ac:dyDescent="0.25"/>
    <row r="61398" s="12" customFormat="1" x14ac:dyDescent="0.25"/>
    <row r="61399" s="12" customFormat="1" x14ac:dyDescent="0.25"/>
    <row r="61400" s="12" customFormat="1" x14ac:dyDescent="0.25"/>
    <row r="61401" s="12" customFormat="1" x14ac:dyDescent="0.25"/>
    <row r="61402" s="12" customFormat="1" x14ac:dyDescent="0.25"/>
    <row r="61403" s="12" customFormat="1" x14ac:dyDescent="0.25"/>
    <row r="61404" s="12" customFormat="1" x14ac:dyDescent="0.25"/>
    <row r="61405" s="12" customFormat="1" x14ac:dyDescent="0.25"/>
    <row r="61406" s="12" customFormat="1" x14ac:dyDescent="0.25"/>
    <row r="61407" s="12" customFormat="1" x14ac:dyDescent="0.25"/>
    <row r="61408" s="12" customFormat="1" x14ac:dyDescent="0.25"/>
    <row r="61409" s="12" customFormat="1" x14ac:dyDescent="0.25"/>
    <row r="61410" s="12" customFormat="1" x14ac:dyDescent="0.25"/>
    <row r="61411" s="12" customFormat="1" x14ac:dyDescent="0.25"/>
    <row r="61412" s="12" customFormat="1" x14ac:dyDescent="0.25"/>
    <row r="61413" s="12" customFormat="1" x14ac:dyDescent="0.25"/>
    <row r="61414" s="12" customFormat="1" x14ac:dyDescent="0.25"/>
    <row r="61415" s="12" customFormat="1" x14ac:dyDescent="0.25"/>
    <row r="61416" s="12" customFormat="1" x14ac:dyDescent="0.25"/>
    <row r="61417" s="12" customFormat="1" x14ac:dyDescent="0.25"/>
    <row r="61418" s="12" customFormat="1" x14ac:dyDescent="0.25"/>
    <row r="61419" s="12" customFormat="1" x14ac:dyDescent="0.25"/>
    <row r="61420" s="12" customFormat="1" x14ac:dyDescent="0.25"/>
    <row r="61421" s="12" customFormat="1" x14ac:dyDescent="0.25"/>
    <row r="61422" s="12" customFormat="1" x14ac:dyDescent="0.25"/>
    <row r="61423" s="12" customFormat="1" x14ac:dyDescent="0.25"/>
    <row r="61424" s="12" customFormat="1" x14ac:dyDescent="0.25"/>
    <row r="61425" s="12" customFormat="1" x14ac:dyDescent="0.25"/>
    <row r="61426" s="12" customFormat="1" x14ac:dyDescent="0.25"/>
    <row r="61427" s="12" customFormat="1" x14ac:dyDescent="0.25"/>
    <row r="61428" s="12" customFormat="1" x14ac:dyDescent="0.25"/>
    <row r="61429" s="12" customFormat="1" x14ac:dyDescent="0.25"/>
    <row r="61430" s="12" customFormat="1" x14ac:dyDescent="0.25"/>
    <row r="61431" s="12" customFormat="1" x14ac:dyDescent="0.25"/>
    <row r="61432" s="12" customFormat="1" x14ac:dyDescent="0.25"/>
    <row r="61433" s="12" customFormat="1" x14ac:dyDescent="0.25"/>
    <row r="61434" s="12" customFormat="1" x14ac:dyDescent="0.25"/>
    <row r="61435" s="12" customFormat="1" x14ac:dyDescent="0.25"/>
    <row r="61436" s="12" customFormat="1" x14ac:dyDescent="0.25"/>
    <row r="61437" s="12" customFormat="1" x14ac:dyDescent="0.25"/>
    <row r="61438" s="12" customFormat="1" x14ac:dyDescent="0.25"/>
    <row r="61439" s="12" customFormat="1" x14ac:dyDescent="0.25"/>
    <row r="61440" s="12" customFormat="1" x14ac:dyDescent="0.25"/>
    <row r="61441" s="12" customFormat="1" x14ac:dyDescent="0.25"/>
    <row r="61442" s="12" customFormat="1" x14ac:dyDescent="0.25"/>
    <row r="61443" s="12" customFormat="1" x14ac:dyDescent="0.25"/>
    <row r="61444" s="12" customFormat="1" x14ac:dyDescent="0.25"/>
    <row r="61445" s="12" customFormat="1" x14ac:dyDescent="0.25"/>
    <row r="61446" s="12" customFormat="1" x14ac:dyDescent="0.25"/>
    <row r="61447" s="12" customFormat="1" x14ac:dyDescent="0.25"/>
    <row r="61448" s="12" customFormat="1" x14ac:dyDescent="0.25"/>
    <row r="61449" s="12" customFormat="1" x14ac:dyDescent="0.25"/>
    <row r="61450" s="12" customFormat="1" x14ac:dyDescent="0.25"/>
    <row r="61451" s="12" customFormat="1" x14ac:dyDescent="0.25"/>
    <row r="61452" s="12" customFormat="1" x14ac:dyDescent="0.25"/>
    <row r="61453" s="12" customFormat="1" x14ac:dyDescent="0.25"/>
    <row r="61454" s="12" customFormat="1" x14ac:dyDescent="0.25"/>
    <row r="61455" s="12" customFormat="1" x14ac:dyDescent="0.25"/>
    <row r="61456" s="12" customFormat="1" x14ac:dyDescent="0.25"/>
    <row r="61457" s="12" customFormat="1" x14ac:dyDescent="0.25"/>
    <row r="61458" s="12" customFormat="1" x14ac:dyDescent="0.25"/>
    <row r="61459" s="12" customFormat="1" x14ac:dyDescent="0.25"/>
    <row r="61460" s="12" customFormat="1" x14ac:dyDescent="0.25"/>
    <row r="61461" s="12" customFormat="1" x14ac:dyDescent="0.25"/>
    <row r="61462" s="12" customFormat="1" x14ac:dyDescent="0.25"/>
    <row r="61463" s="12" customFormat="1" x14ac:dyDescent="0.25"/>
    <row r="61464" s="12" customFormat="1" x14ac:dyDescent="0.25"/>
    <row r="61465" s="12" customFormat="1" x14ac:dyDescent="0.25"/>
    <row r="61466" s="12" customFormat="1" x14ac:dyDescent="0.25"/>
    <row r="61467" s="12" customFormat="1" x14ac:dyDescent="0.25"/>
    <row r="61468" s="12" customFormat="1" x14ac:dyDescent="0.25"/>
    <row r="61469" s="12" customFormat="1" x14ac:dyDescent="0.25"/>
    <row r="61470" s="12" customFormat="1" x14ac:dyDescent="0.25"/>
    <row r="61471" s="12" customFormat="1" x14ac:dyDescent="0.25"/>
    <row r="61472" s="12" customFormat="1" x14ac:dyDescent="0.25"/>
    <row r="61473" s="12" customFormat="1" x14ac:dyDescent="0.25"/>
    <row r="61474" s="12" customFormat="1" x14ac:dyDescent="0.25"/>
    <row r="61475" s="12" customFormat="1" x14ac:dyDescent="0.25"/>
    <row r="61476" s="12" customFormat="1" x14ac:dyDescent="0.25"/>
    <row r="61477" s="12" customFormat="1" x14ac:dyDescent="0.25"/>
    <row r="61478" s="12" customFormat="1" x14ac:dyDescent="0.25"/>
    <row r="61479" s="12" customFormat="1" x14ac:dyDescent="0.25"/>
    <row r="61480" s="12" customFormat="1" x14ac:dyDescent="0.25"/>
    <row r="61481" s="12" customFormat="1" x14ac:dyDescent="0.25"/>
    <row r="61482" s="12" customFormat="1" x14ac:dyDescent="0.25"/>
    <row r="61483" s="12" customFormat="1" x14ac:dyDescent="0.25"/>
    <row r="61484" s="12" customFormat="1" x14ac:dyDescent="0.25"/>
    <row r="61485" s="12" customFormat="1" x14ac:dyDescent="0.25"/>
    <row r="61486" s="12" customFormat="1" x14ac:dyDescent="0.25"/>
    <row r="61487" s="12" customFormat="1" x14ac:dyDescent="0.25"/>
    <row r="61488" s="12" customFormat="1" x14ac:dyDescent="0.25"/>
    <row r="61489" s="12" customFormat="1" x14ac:dyDescent="0.25"/>
    <row r="61490" s="12" customFormat="1" x14ac:dyDescent="0.25"/>
    <row r="61491" s="12" customFormat="1" x14ac:dyDescent="0.25"/>
    <row r="61492" s="12" customFormat="1" x14ac:dyDescent="0.25"/>
    <row r="61493" s="12" customFormat="1" x14ac:dyDescent="0.25"/>
    <row r="61494" s="12" customFormat="1" x14ac:dyDescent="0.25"/>
    <row r="61495" s="12" customFormat="1" x14ac:dyDescent="0.25"/>
    <row r="61496" s="12" customFormat="1" x14ac:dyDescent="0.25"/>
    <row r="61497" s="12" customFormat="1" x14ac:dyDescent="0.25"/>
    <row r="61498" s="12" customFormat="1" x14ac:dyDescent="0.25"/>
    <row r="61499" s="12" customFormat="1" x14ac:dyDescent="0.25"/>
    <row r="61500" s="12" customFormat="1" x14ac:dyDescent="0.25"/>
    <row r="61501" s="12" customFormat="1" x14ac:dyDescent="0.25"/>
    <row r="61502" s="12" customFormat="1" x14ac:dyDescent="0.25"/>
    <row r="61503" s="12" customFormat="1" x14ac:dyDescent="0.25"/>
    <row r="61504" s="12" customFormat="1" x14ac:dyDescent="0.25"/>
    <row r="61505" s="12" customFormat="1" x14ac:dyDescent="0.25"/>
    <row r="61506" s="12" customFormat="1" x14ac:dyDescent="0.25"/>
    <row r="61507" s="12" customFormat="1" x14ac:dyDescent="0.25"/>
    <row r="61508" s="12" customFormat="1" x14ac:dyDescent="0.25"/>
    <row r="61509" s="12" customFormat="1" x14ac:dyDescent="0.25"/>
    <row r="61510" s="12" customFormat="1" x14ac:dyDescent="0.25"/>
    <row r="61511" s="12" customFormat="1" x14ac:dyDescent="0.25"/>
    <row r="61512" s="12" customFormat="1" x14ac:dyDescent="0.25"/>
    <row r="61513" s="12" customFormat="1" x14ac:dyDescent="0.25"/>
    <row r="61514" s="12" customFormat="1" x14ac:dyDescent="0.25"/>
    <row r="61515" s="12" customFormat="1" x14ac:dyDescent="0.25"/>
    <row r="61516" s="12" customFormat="1" x14ac:dyDescent="0.25"/>
    <row r="61517" s="12" customFormat="1" x14ac:dyDescent="0.25"/>
    <row r="61518" s="12" customFormat="1" x14ac:dyDescent="0.25"/>
    <row r="61519" s="12" customFormat="1" x14ac:dyDescent="0.25"/>
    <row r="61520" s="12" customFormat="1" x14ac:dyDescent="0.25"/>
    <row r="61521" s="12" customFormat="1" x14ac:dyDescent="0.25"/>
    <row r="61522" s="12" customFormat="1" x14ac:dyDescent="0.25"/>
    <row r="61523" s="12" customFormat="1" x14ac:dyDescent="0.25"/>
    <row r="61524" s="12" customFormat="1" x14ac:dyDescent="0.25"/>
    <row r="61525" s="12" customFormat="1" x14ac:dyDescent="0.25"/>
    <row r="61526" s="12" customFormat="1" x14ac:dyDescent="0.25"/>
    <row r="61527" s="12" customFormat="1" x14ac:dyDescent="0.25"/>
    <row r="61528" s="12" customFormat="1" x14ac:dyDescent="0.25"/>
    <row r="61529" s="12" customFormat="1" x14ac:dyDescent="0.25"/>
    <row r="61530" s="12" customFormat="1" x14ac:dyDescent="0.25"/>
    <row r="61531" s="12" customFormat="1" x14ac:dyDescent="0.25"/>
    <row r="61532" s="12" customFormat="1" x14ac:dyDescent="0.25"/>
    <row r="61533" s="12" customFormat="1" x14ac:dyDescent="0.25"/>
    <row r="61534" s="12" customFormat="1" x14ac:dyDescent="0.25"/>
    <row r="61535" s="12" customFormat="1" x14ac:dyDescent="0.25"/>
    <row r="61536" s="12" customFormat="1" x14ac:dyDescent="0.25"/>
    <row r="61537" s="12" customFormat="1" x14ac:dyDescent="0.25"/>
    <row r="61538" s="12" customFormat="1" x14ac:dyDescent="0.25"/>
    <row r="61539" s="12" customFormat="1" x14ac:dyDescent="0.25"/>
    <row r="61540" s="12" customFormat="1" x14ac:dyDescent="0.25"/>
    <row r="61541" s="12" customFormat="1" x14ac:dyDescent="0.25"/>
    <row r="61542" s="12" customFormat="1" x14ac:dyDescent="0.25"/>
    <row r="61543" s="12" customFormat="1" x14ac:dyDescent="0.25"/>
    <row r="61544" s="12" customFormat="1" x14ac:dyDescent="0.25"/>
    <row r="61545" s="12" customFormat="1" x14ac:dyDescent="0.25"/>
    <row r="61546" s="12" customFormat="1" x14ac:dyDescent="0.25"/>
    <row r="61547" s="12" customFormat="1" x14ac:dyDescent="0.25"/>
    <row r="61548" s="12" customFormat="1" x14ac:dyDescent="0.25"/>
    <row r="61549" s="12" customFormat="1" x14ac:dyDescent="0.25"/>
    <row r="61550" s="12" customFormat="1" x14ac:dyDescent="0.25"/>
    <row r="61551" s="12" customFormat="1" x14ac:dyDescent="0.25"/>
    <row r="61552" s="12" customFormat="1" x14ac:dyDescent="0.25"/>
    <row r="61553" s="12" customFormat="1" x14ac:dyDescent="0.25"/>
    <row r="61554" s="12" customFormat="1" x14ac:dyDescent="0.25"/>
    <row r="61555" s="12" customFormat="1" x14ac:dyDescent="0.25"/>
    <row r="61556" s="12" customFormat="1" x14ac:dyDescent="0.25"/>
    <row r="61557" s="12" customFormat="1" x14ac:dyDescent="0.25"/>
    <row r="61558" s="12" customFormat="1" x14ac:dyDescent="0.25"/>
    <row r="61559" s="12" customFormat="1" x14ac:dyDescent="0.25"/>
    <row r="61560" s="12" customFormat="1" x14ac:dyDescent="0.25"/>
    <row r="61561" s="12" customFormat="1" x14ac:dyDescent="0.25"/>
    <row r="61562" s="12" customFormat="1" x14ac:dyDescent="0.25"/>
    <row r="61563" s="12" customFormat="1" x14ac:dyDescent="0.25"/>
    <row r="61564" s="12" customFormat="1" x14ac:dyDescent="0.25"/>
    <row r="61565" s="12" customFormat="1" x14ac:dyDescent="0.25"/>
    <row r="61566" s="12" customFormat="1" x14ac:dyDescent="0.25"/>
    <row r="61567" s="12" customFormat="1" x14ac:dyDescent="0.25"/>
    <row r="61568" s="12" customFormat="1" x14ac:dyDescent="0.25"/>
    <row r="61569" s="12" customFormat="1" x14ac:dyDescent="0.25"/>
    <row r="61570" s="12" customFormat="1" x14ac:dyDescent="0.25"/>
    <row r="61571" s="12" customFormat="1" x14ac:dyDescent="0.25"/>
    <row r="61572" s="12" customFormat="1" x14ac:dyDescent="0.25"/>
    <row r="61573" s="12" customFormat="1" x14ac:dyDescent="0.25"/>
    <row r="61574" s="12" customFormat="1" x14ac:dyDescent="0.25"/>
    <row r="61575" s="12" customFormat="1" x14ac:dyDescent="0.25"/>
    <row r="61576" s="12" customFormat="1" x14ac:dyDescent="0.25"/>
    <row r="61577" s="12" customFormat="1" x14ac:dyDescent="0.25"/>
    <row r="61578" s="12" customFormat="1" x14ac:dyDescent="0.25"/>
    <row r="61579" s="12" customFormat="1" x14ac:dyDescent="0.25"/>
    <row r="61580" s="12" customFormat="1" x14ac:dyDescent="0.25"/>
    <row r="61581" s="12" customFormat="1" x14ac:dyDescent="0.25"/>
    <row r="61582" s="12" customFormat="1" x14ac:dyDescent="0.25"/>
    <row r="61583" s="12" customFormat="1" x14ac:dyDescent="0.25"/>
    <row r="61584" s="12" customFormat="1" x14ac:dyDescent="0.25"/>
    <row r="61585" s="12" customFormat="1" x14ac:dyDescent="0.25"/>
    <row r="61586" s="12" customFormat="1" x14ac:dyDescent="0.25"/>
    <row r="61587" s="12" customFormat="1" x14ac:dyDescent="0.25"/>
    <row r="61588" s="12" customFormat="1" x14ac:dyDescent="0.25"/>
    <row r="61589" s="12" customFormat="1" x14ac:dyDescent="0.25"/>
    <row r="61590" s="12" customFormat="1" x14ac:dyDescent="0.25"/>
    <row r="61591" s="12" customFormat="1" x14ac:dyDescent="0.25"/>
    <row r="61592" s="12" customFormat="1" x14ac:dyDescent="0.25"/>
    <row r="61593" s="12" customFormat="1" x14ac:dyDescent="0.25"/>
    <row r="61594" s="12" customFormat="1" x14ac:dyDescent="0.25"/>
    <row r="61595" s="12" customFormat="1" x14ac:dyDescent="0.25"/>
    <row r="61596" s="12" customFormat="1" x14ac:dyDescent="0.25"/>
    <row r="61597" s="12" customFormat="1" x14ac:dyDescent="0.25"/>
    <row r="61598" s="12" customFormat="1" x14ac:dyDescent="0.25"/>
    <row r="61599" s="12" customFormat="1" x14ac:dyDescent="0.25"/>
    <row r="61600" s="12" customFormat="1" x14ac:dyDescent="0.25"/>
    <row r="61601" s="12" customFormat="1" x14ac:dyDescent="0.25"/>
    <row r="61602" s="12" customFormat="1" x14ac:dyDescent="0.25"/>
    <row r="61603" s="12" customFormat="1" x14ac:dyDescent="0.25"/>
    <row r="61604" s="12" customFormat="1" x14ac:dyDescent="0.25"/>
    <row r="61605" s="12" customFormat="1" x14ac:dyDescent="0.25"/>
    <row r="61606" s="12" customFormat="1" x14ac:dyDescent="0.25"/>
    <row r="61607" s="12" customFormat="1" x14ac:dyDescent="0.25"/>
    <row r="61608" s="12" customFormat="1" x14ac:dyDescent="0.25"/>
    <row r="61609" s="12" customFormat="1" x14ac:dyDescent="0.25"/>
    <row r="61610" s="12" customFormat="1" x14ac:dyDescent="0.25"/>
    <row r="61611" s="12" customFormat="1" x14ac:dyDescent="0.25"/>
    <row r="61612" s="12" customFormat="1" x14ac:dyDescent="0.25"/>
    <row r="61613" s="12" customFormat="1" x14ac:dyDescent="0.25"/>
    <row r="61614" s="12" customFormat="1" x14ac:dyDescent="0.25"/>
    <row r="61615" s="12" customFormat="1" x14ac:dyDescent="0.25"/>
    <row r="61616" s="12" customFormat="1" x14ac:dyDescent="0.25"/>
    <row r="61617" s="12" customFormat="1" x14ac:dyDescent="0.25"/>
    <row r="61618" s="12" customFormat="1" x14ac:dyDescent="0.25"/>
    <row r="61619" s="12" customFormat="1" x14ac:dyDescent="0.25"/>
    <row r="61620" s="12" customFormat="1" x14ac:dyDescent="0.25"/>
    <row r="61621" s="12" customFormat="1" x14ac:dyDescent="0.25"/>
    <row r="61622" s="12" customFormat="1" x14ac:dyDescent="0.25"/>
    <row r="61623" s="12" customFormat="1" x14ac:dyDescent="0.25"/>
    <row r="61624" s="12" customFormat="1" x14ac:dyDescent="0.25"/>
    <row r="61625" s="12" customFormat="1" x14ac:dyDescent="0.25"/>
    <row r="61626" s="12" customFormat="1" x14ac:dyDescent="0.25"/>
    <row r="61627" s="12" customFormat="1" x14ac:dyDescent="0.25"/>
    <row r="61628" s="12" customFormat="1" x14ac:dyDescent="0.25"/>
    <row r="61629" s="12" customFormat="1" x14ac:dyDescent="0.25"/>
    <row r="61630" s="12" customFormat="1" x14ac:dyDescent="0.25"/>
    <row r="61631" s="12" customFormat="1" x14ac:dyDescent="0.25"/>
    <row r="61632" s="12" customFormat="1" x14ac:dyDescent="0.25"/>
    <row r="61633" s="12" customFormat="1" x14ac:dyDescent="0.25"/>
    <row r="61634" s="12" customFormat="1" x14ac:dyDescent="0.25"/>
    <row r="61635" s="12" customFormat="1" x14ac:dyDescent="0.25"/>
    <row r="61636" s="12" customFormat="1" x14ac:dyDescent="0.25"/>
    <row r="61637" s="12" customFormat="1" x14ac:dyDescent="0.25"/>
    <row r="61638" s="12" customFormat="1" x14ac:dyDescent="0.25"/>
    <row r="61639" s="12" customFormat="1" x14ac:dyDescent="0.25"/>
    <row r="61640" s="12" customFormat="1" x14ac:dyDescent="0.25"/>
    <row r="61641" s="12" customFormat="1" x14ac:dyDescent="0.25"/>
    <row r="61642" s="12" customFormat="1" x14ac:dyDescent="0.25"/>
    <row r="61643" s="12" customFormat="1" x14ac:dyDescent="0.25"/>
    <row r="61644" s="12" customFormat="1" x14ac:dyDescent="0.25"/>
    <row r="61645" s="12" customFormat="1" x14ac:dyDescent="0.25"/>
    <row r="61646" s="12" customFormat="1" x14ac:dyDescent="0.25"/>
    <row r="61647" s="12" customFormat="1" x14ac:dyDescent="0.25"/>
    <row r="61648" s="12" customFormat="1" x14ac:dyDescent="0.25"/>
    <row r="61649" s="12" customFormat="1" x14ac:dyDescent="0.25"/>
    <row r="61650" s="12" customFormat="1" x14ac:dyDescent="0.25"/>
    <row r="61651" s="12" customFormat="1" x14ac:dyDescent="0.25"/>
    <row r="61652" s="12" customFormat="1" x14ac:dyDescent="0.25"/>
    <row r="61653" s="12" customFormat="1" x14ac:dyDescent="0.25"/>
    <row r="61654" s="12" customFormat="1" x14ac:dyDescent="0.25"/>
    <row r="61655" s="12" customFormat="1" x14ac:dyDescent="0.25"/>
    <row r="61656" s="12" customFormat="1" x14ac:dyDescent="0.25"/>
    <row r="61657" s="12" customFormat="1" x14ac:dyDescent="0.25"/>
    <row r="61658" s="12" customFormat="1" x14ac:dyDescent="0.25"/>
    <row r="61659" s="12" customFormat="1" x14ac:dyDescent="0.25"/>
    <row r="61660" s="12" customFormat="1" x14ac:dyDescent="0.25"/>
    <row r="61661" s="12" customFormat="1" x14ac:dyDescent="0.25"/>
    <row r="61662" s="12" customFormat="1" x14ac:dyDescent="0.25"/>
    <row r="61663" s="12" customFormat="1" x14ac:dyDescent="0.25"/>
    <row r="61664" s="12" customFormat="1" x14ac:dyDescent="0.25"/>
    <row r="61665" s="12" customFormat="1" x14ac:dyDescent="0.25"/>
    <row r="61666" s="12" customFormat="1" x14ac:dyDescent="0.25"/>
    <row r="61667" s="12" customFormat="1" x14ac:dyDescent="0.25"/>
    <row r="61668" s="12" customFormat="1" x14ac:dyDescent="0.25"/>
    <row r="61669" s="12" customFormat="1" x14ac:dyDescent="0.25"/>
    <row r="61670" s="12" customFormat="1" x14ac:dyDescent="0.25"/>
    <row r="61671" s="12" customFormat="1" x14ac:dyDescent="0.25"/>
    <row r="61672" s="12" customFormat="1" x14ac:dyDescent="0.25"/>
    <row r="61673" s="12" customFormat="1" x14ac:dyDescent="0.25"/>
    <row r="61674" s="12" customFormat="1" x14ac:dyDescent="0.25"/>
    <row r="61675" s="12" customFormat="1" x14ac:dyDescent="0.25"/>
    <row r="61676" s="12" customFormat="1" x14ac:dyDescent="0.25"/>
    <row r="61677" s="12" customFormat="1" x14ac:dyDescent="0.25"/>
    <row r="61678" s="12" customFormat="1" x14ac:dyDescent="0.25"/>
    <row r="61679" s="12" customFormat="1" x14ac:dyDescent="0.25"/>
    <row r="61680" s="12" customFormat="1" x14ac:dyDescent="0.25"/>
    <row r="61681" s="12" customFormat="1" x14ac:dyDescent="0.25"/>
    <row r="61682" s="12" customFormat="1" x14ac:dyDescent="0.25"/>
    <row r="61683" s="12" customFormat="1" x14ac:dyDescent="0.25"/>
    <row r="61684" s="12" customFormat="1" x14ac:dyDescent="0.25"/>
    <row r="61685" s="12" customFormat="1" x14ac:dyDescent="0.25"/>
    <row r="61686" s="12" customFormat="1" x14ac:dyDescent="0.25"/>
    <row r="61687" s="12" customFormat="1" x14ac:dyDescent="0.25"/>
    <row r="61688" s="12" customFormat="1" x14ac:dyDescent="0.25"/>
    <row r="61689" s="12" customFormat="1" x14ac:dyDescent="0.25"/>
    <row r="61690" s="12" customFormat="1" x14ac:dyDescent="0.25"/>
    <row r="61691" s="12" customFormat="1" x14ac:dyDescent="0.25"/>
    <row r="61692" s="12" customFormat="1" x14ac:dyDescent="0.25"/>
    <row r="61693" s="12" customFormat="1" x14ac:dyDescent="0.25"/>
    <row r="61694" s="12" customFormat="1" x14ac:dyDescent="0.25"/>
    <row r="61695" s="12" customFormat="1" x14ac:dyDescent="0.25"/>
    <row r="61696" s="12" customFormat="1" x14ac:dyDescent="0.25"/>
    <row r="61697" s="12" customFormat="1" x14ac:dyDescent="0.25"/>
    <row r="61698" s="12" customFormat="1" x14ac:dyDescent="0.25"/>
    <row r="61699" s="12" customFormat="1" x14ac:dyDescent="0.25"/>
    <row r="61700" s="12" customFormat="1" x14ac:dyDescent="0.25"/>
    <row r="61701" s="12" customFormat="1" x14ac:dyDescent="0.25"/>
    <row r="61702" s="12" customFormat="1" x14ac:dyDescent="0.25"/>
    <row r="61703" s="12" customFormat="1" x14ac:dyDescent="0.25"/>
    <row r="61704" s="12" customFormat="1" x14ac:dyDescent="0.25"/>
    <row r="61705" s="12" customFormat="1" x14ac:dyDescent="0.25"/>
    <row r="61706" s="12" customFormat="1" x14ac:dyDescent="0.25"/>
    <row r="61707" s="12" customFormat="1" x14ac:dyDescent="0.25"/>
    <row r="61708" s="12" customFormat="1" x14ac:dyDescent="0.25"/>
    <row r="61709" s="12" customFormat="1" x14ac:dyDescent="0.25"/>
    <row r="61710" s="12" customFormat="1" x14ac:dyDescent="0.25"/>
    <row r="61711" s="12" customFormat="1" x14ac:dyDescent="0.25"/>
    <row r="61712" s="12" customFormat="1" x14ac:dyDescent="0.25"/>
    <row r="61713" s="12" customFormat="1" x14ac:dyDescent="0.25"/>
    <row r="61714" s="12" customFormat="1" x14ac:dyDescent="0.25"/>
    <row r="61715" s="12" customFormat="1" x14ac:dyDescent="0.25"/>
    <row r="61716" s="12" customFormat="1" x14ac:dyDescent="0.25"/>
    <row r="61717" s="12" customFormat="1" x14ac:dyDescent="0.25"/>
    <row r="61718" s="12" customFormat="1" x14ac:dyDescent="0.25"/>
    <row r="61719" s="12" customFormat="1" x14ac:dyDescent="0.25"/>
    <row r="61720" s="12" customFormat="1" x14ac:dyDescent="0.25"/>
    <row r="61721" s="12" customFormat="1" x14ac:dyDescent="0.25"/>
    <row r="61722" s="12" customFormat="1" x14ac:dyDescent="0.25"/>
    <row r="61723" s="12" customFormat="1" x14ac:dyDescent="0.25"/>
    <row r="61724" s="12" customFormat="1" x14ac:dyDescent="0.25"/>
    <row r="61725" s="12" customFormat="1" x14ac:dyDescent="0.25"/>
    <row r="61726" s="12" customFormat="1" x14ac:dyDescent="0.25"/>
    <row r="61727" s="12" customFormat="1" x14ac:dyDescent="0.25"/>
    <row r="61728" s="12" customFormat="1" x14ac:dyDescent="0.25"/>
    <row r="61729" s="12" customFormat="1" x14ac:dyDescent="0.25"/>
    <row r="61730" s="12" customFormat="1" x14ac:dyDescent="0.25"/>
    <row r="61731" s="12" customFormat="1" x14ac:dyDescent="0.25"/>
    <row r="61732" s="12" customFormat="1" x14ac:dyDescent="0.25"/>
    <row r="61733" s="12" customFormat="1" x14ac:dyDescent="0.25"/>
    <row r="61734" s="12" customFormat="1" x14ac:dyDescent="0.25"/>
    <row r="61735" s="12" customFormat="1" x14ac:dyDescent="0.25"/>
    <row r="61736" s="12" customFormat="1" x14ac:dyDescent="0.25"/>
    <row r="61737" s="12" customFormat="1" x14ac:dyDescent="0.25"/>
    <row r="61738" s="12" customFormat="1" x14ac:dyDescent="0.25"/>
    <row r="61739" s="12" customFormat="1" x14ac:dyDescent="0.25"/>
    <row r="61740" s="12" customFormat="1" x14ac:dyDescent="0.25"/>
    <row r="61741" s="12" customFormat="1" x14ac:dyDescent="0.25"/>
    <row r="61742" s="12" customFormat="1" x14ac:dyDescent="0.25"/>
    <row r="61743" s="12" customFormat="1" x14ac:dyDescent="0.25"/>
    <row r="61744" s="12" customFormat="1" x14ac:dyDescent="0.25"/>
    <row r="61745" s="12" customFormat="1" x14ac:dyDescent="0.25"/>
    <row r="61746" s="12" customFormat="1" x14ac:dyDescent="0.25"/>
    <row r="61747" s="12" customFormat="1" x14ac:dyDescent="0.25"/>
    <row r="61748" s="12" customFormat="1" x14ac:dyDescent="0.25"/>
    <row r="61749" s="12" customFormat="1" x14ac:dyDescent="0.25"/>
    <row r="61750" s="12" customFormat="1" x14ac:dyDescent="0.25"/>
    <row r="61751" s="12" customFormat="1" x14ac:dyDescent="0.25"/>
    <row r="61752" s="12" customFormat="1" x14ac:dyDescent="0.25"/>
    <row r="61753" s="12" customFormat="1" x14ac:dyDescent="0.25"/>
    <row r="61754" s="12" customFormat="1" x14ac:dyDescent="0.25"/>
    <row r="61755" s="12" customFormat="1" x14ac:dyDescent="0.25"/>
    <row r="61756" s="12" customFormat="1" x14ac:dyDescent="0.25"/>
    <row r="61757" s="12" customFormat="1" x14ac:dyDescent="0.25"/>
    <row r="61758" s="12" customFormat="1" x14ac:dyDescent="0.25"/>
    <row r="61759" s="12" customFormat="1" x14ac:dyDescent="0.25"/>
    <row r="61760" s="12" customFormat="1" x14ac:dyDescent="0.25"/>
    <row r="61761" s="12" customFormat="1" x14ac:dyDescent="0.25"/>
    <row r="61762" s="12" customFormat="1" x14ac:dyDescent="0.25"/>
    <row r="61763" s="12" customFormat="1" x14ac:dyDescent="0.25"/>
    <row r="61764" s="12" customFormat="1" x14ac:dyDescent="0.25"/>
    <row r="61765" s="12" customFormat="1" x14ac:dyDescent="0.25"/>
    <row r="61766" s="12" customFormat="1" x14ac:dyDescent="0.25"/>
    <row r="61767" s="12" customFormat="1" x14ac:dyDescent="0.25"/>
    <row r="61768" s="12" customFormat="1" x14ac:dyDescent="0.25"/>
    <row r="61769" s="12" customFormat="1" x14ac:dyDescent="0.25"/>
    <row r="61770" s="12" customFormat="1" x14ac:dyDescent="0.25"/>
    <row r="61771" s="12" customFormat="1" x14ac:dyDescent="0.25"/>
    <row r="61772" s="12" customFormat="1" x14ac:dyDescent="0.25"/>
    <row r="61773" s="12" customFormat="1" x14ac:dyDescent="0.25"/>
    <row r="61774" s="12" customFormat="1" x14ac:dyDescent="0.25"/>
    <row r="61775" s="12" customFormat="1" x14ac:dyDescent="0.25"/>
    <row r="61776" s="12" customFormat="1" x14ac:dyDescent="0.25"/>
    <row r="61777" s="12" customFormat="1" x14ac:dyDescent="0.25"/>
    <row r="61778" s="12" customFormat="1" x14ac:dyDescent="0.25"/>
    <row r="61779" s="12" customFormat="1" x14ac:dyDescent="0.25"/>
    <row r="61780" s="12" customFormat="1" x14ac:dyDescent="0.25"/>
    <row r="61781" s="12" customFormat="1" x14ac:dyDescent="0.25"/>
    <row r="61782" s="12" customFormat="1" x14ac:dyDescent="0.25"/>
    <row r="61783" s="12" customFormat="1" x14ac:dyDescent="0.25"/>
    <row r="61784" s="12" customFormat="1" x14ac:dyDescent="0.25"/>
    <row r="61785" s="12" customFormat="1" x14ac:dyDescent="0.25"/>
    <row r="61786" s="12" customFormat="1" x14ac:dyDescent="0.25"/>
    <row r="61787" s="12" customFormat="1" x14ac:dyDescent="0.25"/>
    <row r="61788" s="12" customFormat="1" x14ac:dyDescent="0.25"/>
    <row r="61789" s="12" customFormat="1" x14ac:dyDescent="0.25"/>
    <row r="61790" s="12" customFormat="1" x14ac:dyDescent="0.25"/>
    <row r="61791" s="12" customFormat="1" x14ac:dyDescent="0.25"/>
    <row r="61792" s="12" customFormat="1" x14ac:dyDescent="0.25"/>
    <row r="61793" s="12" customFormat="1" x14ac:dyDescent="0.25"/>
    <row r="61794" s="12" customFormat="1" x14ac:dyDescent="0.25"/>
    <row r="61795" s="12" customFormat="1" x14ac:dyDescent="0.25"/>
    <row r="61796" s="12" customFormat="1" x14ac:dyDescent="0.25"/>
    <row r="61797" s="12" customFormat="1" x14ac:dyDescent="0.25"/>
    <row r="61798" s="12" customFormat="1" x14ac:dyDescent="0.25"/>
    <row r="61799" s="12" customFormat="1" x14ac:dyDescent="0.25"/>
    <row r="61800" s="12" customFormat="1" x14ac:dyDescent="0.25"/>
    <row r="61801" s="12" customFormat="1" x14ac:dyDescent="0.25"/>
    <row r="61802" s="12" customFormat="1" x14ac:dyDescent="0.25"/>
    <row r="61803" s="12" customFormat="1" x14ac:dyDescent="0.25"/>
    <row r="61804" s="12" customFormat="1" x14ac:dyDescent="0.25"/>
    <row r="61805" s="12" customFormat="1" x14ac:dyDescent="0.25"/>
    <row r="61806" s="12" customFormat="1" x14ac:dyDescent="0.25"/>
    <row r="61807" s="12" customFormat="1" x14ac:dyDescent="0.25"/>
    <row r="61808" s="12" customFormat="1" x14ac:dyDescent="0.25"/>
    <row r="61809" s="12" customFormat="1" x14ac:dyDescent="0.25"/>
    <row r="61810" s="12" customFormat="1" x14ac:dyDescent="0.25"/>
    <row r="61811" s="12" customFormat="1" x14ac:dyDescent="0.25"/>
    <row r="61812" s="12" customFormat="1" x14ac:dyDescent="0.25"/>
    <row r="61813" s="12" customFormat="1" x14ac:dyDescent="0.25"/>
    <row r="61814" s="12" customFormat="1" x14ac:dyDescent="0.25"/>
    <row r="61815" s="12" customFormat="1" x14ac:dyDescent="0.25"/>
    <row r="61816" s="12" customFormat="1" x14ac:dyDescent="0.25"/>
    <row r="61817" s="12" customFormat="1" x14ac:dyDescent="0.25"/>
    <row r="61818" s="12" customFormat="1" x14ac:dyDescent="0.25"/>
    <row r="61819" s="12" customFormat="1" x14ac:dyDescent="0.25"/>
    <row r="61820" s="12" customFormat="1" x14ac:dyDescent="0.25"/>
    <row r="61821" s="12" customFormat="1" x14ac:dyDescent="0.25"/>
    <row r="61822" s="12" customFormat="1" x14ac:dyDescent="0.25"/>
    <row r="61823" s="12" customFormat="1" x14ac:dyDescent="0.25"/>
    <row r="61824" s="12" customFormat="1" x14ac:dyDescent="0.25"/>
    <row r="61825" s="12" customFormat="1" x14ac:dyDescent="0.25"/>
    <row r="61826" s="12" customFormat="1" x14ac:dyDescent="0.25"/>
    <row r="61827" s="12" customFormat="1" x14ac:dyDescent="0.25"/>
    <row r="61828" s="12" customFormat="1" x14ac:dyDescent="0.25"/>
    <row r="61829" s="12" customFormat="1" x14ac:dyDescent="0.25"/>
    <row r="61830" s="12" customFormat="1" x14ac:dyDescent="0.25"/>
    <row r="61831" s="12" customFormat="1" x14ac:dyDescent="0.25"/>
    <row r="61832" s="12" customFormat="1" x14ac:dyDescent="0.25"/>
    <row r="61833" s="12" customFormat="1" x14ac:dyDescent="0.25"/>
    <row r="61834" s="12" customFormat="1" x14ac:dyDescent="0.25"/>
    <row r="61835" s="12" customFormat="1" x14ac:dyDescent="0.25"/>
    <row r="61836" s="12" customFormat="1" x14ac:dyDescent="0.25"/>
    <row r="61837" s="12" customFormat="1" x14ac:dyDescent="0.25"/>
    <row r="61838" s="12" customFormat="1" x14ac:dyDescent="0.25"/>
    <row r="61839" s="12" customFormat="1" x14ac:dyDescent="0.25"/>
    <row r="61840" s="12" customFormat="1" x14ac:dyDescent="0.25"/>
    <row r="61841" s="12" customFormat="1" x14ac:dyDescent="0.25"/>
    <row r="61842" s="12" customFormat="1" x14ac:dyDescent="0.25"/>
    <row r="61843" s="12" customFormat="1" x14ac:dyDescent="0.25"/>
    <row r="61844" s="12" customFormat="1" x14ac:dyDescent="0.25"/>
    <row r="61845" s="12" customFormat="1" x14ac:dyDescent="0.25"/>
    <row r="61846" s="12" customFormat="1" x14ac:dyDescent="0.25"/>
    <row r="61847" s="12" customFormat="1" x14ac:dyDescent="0.25"/>
    <row r="61848" s="12" customFormat="1" x14ac:dyDescent="0.25"/>
    <row r="61849" s="12" customFormat="1" x14ac:dyDescent="0.25"/>
    <row r="61850" s="12" customFormat="1" x14ac:dyDescent="0.25"/>
    <row r="61851" s="12" customFormat="1" x14ac:dyDescent="0.25"/>
    <row r="61852" s="12" customFormat="1" x14ac:dyDescent="0.25"/>
    <row r="61853" s="12" customFormat="1" x14ac:dyDescent="0.25"/>
    <row r="61854" s="12" customFormat="1" x14ac:dyDescent="0.25"/>
    <row r="61855" s="12" customFormat="1" x14ac:dyDescent="0.25"/>
    <row r="61856" s="12" customFormat="1" x14ac:dyDescent="0.25"/>
    <row r="61857" s="12" customFormat="1" x14ac:dyDescent="0.25"/>
    <row r="61858" s="12" customFormat="1" x14ac:dyDescent="0.25"/>
    <row r="61859" s="12" customFormat="1" x14ac:dyDescent="0.25"/>
    <row r="61860" s="12" customFormat="1" x14ac:dyDescent="0.25"/>
    <row r="61861" s="12" customFormat="1" x14ac:dyDescent="0.25"/>
    <row r="61862" s="12" customFormat="1" x14ac:dyDescent="0.25"/>
    <row r="61863" s="12" customFormat="1" x14ac:dyDescent="0.25"/>
    <row r="61864" s="12" customFormat="1" x14ac:dyDescent="0.25"/>
    <row r="61865" s="12" customFormat="1" x14ac:dyDescent="0.25"/>
    <row r="61866" s="12" customFormat="1" x14ac:dyDescent="0.25"/>
    <row r="61867" s="12" customFormat="1" x14ac:dyDescent="0.25"/>
    <row r="61868" s="12" customFormat="1" x14ac:dyDescent="0.25"/>
    <row r="61869" s="12" customFormat="1" x14ac:dyDescent="0.25"/>
    <row r="61870" s="12" customFormat="1" x14ac:dyDescent="0.25"/>
    <row r="61871" s="12" customFormat="1" x14ac:dyDescent="0.25"/>
    <row r="61872" s="12" customFormat="1" x14ac:dyDescent="0.25"/>
    <row r="61873" s="12" customFormat="1" x14ac:dyDescent="0.25"/>
    <row r="61874" s="12" customFormat="1" x14ac:dyDescent="0.25"/>
    <row r="61875" s="12" customFormat="1" x14ac:dyDescent="0.25"/>
    <row r="61876" s="12" customFormat="1" x14ac:dyDescent="0.25"/>
    <row r="61877" s="12" customFormat="1" x14ac:dyDescent="0.25"/>
    <row r="61878" s="12" customFormat="1" x14ac:dyDescent="0.25"/>
    <row r="61879" s="12" customFormat="1" x14ac:dyDescent="0.25"/>
    <row r="61880" s="12" customFormat="1" x14ac:dyDescent="0.25"/>
    <row r="61881" s="12" customFormat="1" x14ac:dyDescent="0.25"/>
    <row r="61882" s="12" customFormat="1" x14ac:dyDescent="0.25"/>
    <row r="61883" s="12" customFormat="1" x14ac:dyDescent="0.25"/>
    <row r="61884" s="12" customFormat="1" x14ac:dyDescent="0.25"/>
    <row r="61885" s="12" customFormat="1" x14ac:dyDescent="0.25"/>
    <row r="61886" s="12" customFormat="1" x14ac:dyDescent="0.25"/>
    <row r="61887" s="12" customFormat="1" x14ac:dyDescent="0.25"/>
    <row r="61888" s="12" customFormat="1" x14ac:dyDescent="0.25"/>
    <row r="61889" s="12" customFormat="1" x14ac:dyDescent="0.25"/>
    <row r="61890" s="12" customFormat="1" x14ac:dyDescent="0.25"/>
    <row r="61891" s="12" customFormat="1" x14ac:dyDescent="0.25"/>
    <row r="61892" s="12" customFormat="1" x14ac:dyDescent="0.25"/>
    <row r="61893" s="12" customFormat="1" x14ac:dyDescent="0.25"/>
    <row r="61894" s="12" customFormat="1" x14ac:dyDescent="0.25"/>
    <row r="61895" s="12" customFormat="1" x14ac:dyDescent="0.25"/>
    <row r="61896" s="12" customFormat="1" x14ac:dyDescent="0.25"/>
    <row r="61897" s="12" customFormat="1" x14ac:dyDescent="0.25"/>
    <row r="61898" s="12" customFormat="1" x14ac:dyDescent="0.25"/>
    <row r="61899" s="12" customFormat="1" x14ac:dyDescent="0.25"/>
    <row r="61900" s="12" customFormat="1" x14ac:dyDescent="0.25"/>
    <row r="61901" s="12" customFormat="1" x14ac:dyDescent="0.25"/>
    <row r="61902" s="12" customFormat="1" x14ac:dyDescent="0.25"/>
    <row r="61903" s="12" customFormat="1" x14ac:dyDescent="0.25"/>
    <row r="61904" s="12" customFormat="1" x14ac:dyDescent="0.25"/>
    <row r="61905" s="12" customFormat="1" x14ac:dyDescent="0.25"/>
    <row r="61906" s="12" customFormat="1" x14ac:dyDescent="0.25"/>
    <row r="61907" s="12" customFormat="1" x14ac:dyDescent="0.25"/>
    <row r="61908" s="12" customFormat="1" x14ac:dyDescent="0.25"/>
    <row r="61909" s="12" customFormat="1" x14ac:dyDescent="0.25"/>
    <row r="61910" s="12" customFormat="1" x14ac:dyDescent="0.25"/>
    <row r="61911" s="12" customFormat="1" x14ac:dyDescent="0.25"/>
    <row r="61912" s="12" customFormat="1" x14ac:dyDescent="0.25"/>
    <row r="61913" s="12" customFormat="1" x14ac:dyDescent="0.25"/>
    <row r="61914" s="12" customFormat="1" x14ac:dyDescent="0.25"/>
    <row r="61915" s="12" customFormat="1" x14ac:dyDescent="0.25"/>
    <row r="61916" s="12" customFormat="1" x14ac:dyDescent="0.25"/>
    <row r="61917" s="12" customFormat="1" x14ac:dyDescent="0.25"/>
    <row r="61918" s="12" customFormat="1" x14ac:dyDescent="0.25"/>
    <row r="61919" s="12" customFormat="1" x14ac:dyDescent="0.25"/>
    <row r="61920" s="12" customFormat="1" x14ac:dyDescent="0.25"/>
    <row r="61921" s="12" customFormat="1" x14ac:dyDescent="0.25"/>
    <row r="61922" s="12" customFormat="1" x14ac:dyDescent="0.25"/>
    <row r="61923" s="12" customFormat="1" x14ac:dyDescent="0.25"/>
    <row r="61924" s="12" customFormat="1" x14ac:dyDescent="0.25"/>
    <row r="61925" s="12" customFormat="1" x14ac:dyDescent="0.25"/>
    <row r="61926" s="12" customFormat="1" x14ac:dyDescent="0.25"/>
    <row r="61927" s="12" customFormat="1" x14ac:dyDescent="0.25"/>
    <row r="61928" s="12" customFormat="1" x14ac:dyDescent="0.25"/>
    <row r="61929" s="12" customFormat="1" x14ac:dyDescent="0.25"/>
    <row r="61930" s="12" customFormat="1" x14ac:dyDescent="0.25"/>
    <row r="61931" s="12" customFormat="1" x14ac:dyDescent="0.25"/>
    <row r="61932" s="12" customFormat="1" x14ac:dyDescent="0.25"/>
    <row r="61933" s="12" customFormat="1" x14ac:dyDescent="0.25"/>
    <row r="61934" s="12" customFormat="1" x14ac:dyDescent="0.25"/>
    <row r="61935" s="12" customFormat="1" x14ac:dyDescent="0.25"/>
    <row r="61936" s="12" customFormat="1" x14ac:dyDescent="0.25"/>
    <row r="61937" s="12" customFormat="1" x14ac:dyDescent="0.25"/>
    <row r="61938" s="12" customFormat="1" x14ac:dyDescent="0.25"/>
    <row r="61939" s="12" customFormat="1" x14ac:dyDescent="0.25"/>
    <row r="61940" s="12" customFormat="1" x14ac:dyDescent="0.25"/>
    <row r="61941" s="12" customFormat="1" x14ac:dyDescent="0.25"/>
    <row r="61942" s="12" customFormat="1" x14ac:dyDescent="0.25"/>
    <row r="61943" s="12" customFormat="1" x14ac:dyDescent="0.25"/>
    <row r="61944" s="12" customFormat="1" x14ac:dyDescent="0.25"/>
    <row r="61945" s="12" customFormat="1" x14ac:dyDescent="0.25"/>
    <row r="61946" s="12" customFormat="1" x14ac:dyDescent="0.25"/>
    <row r="61947" s="12" customFormat="1" x14ac:dyDescent="0.25"/>
    <row r="61948" s="12" customFormat="1" x14ac:dyDescent="0.25"/>
    <row r="61949" s="12" customFormat="1" x14ac:dyDescent="0.25"/>
    <row r="61950" s="12" customFormat="1" x14ac:dyDescent="0.25"/>
    <row r="61951" s="12" customFormat="1" x14ac:dyDescent="0.25"/>
    <row r="61952" s="12" customFormat="1" x14ac:dyDescent="0.25"/>
    <row r="61953" s="12" customFormat="1" x14ac:dyDescent="0.25"/>
    <row r="61954" s="12" customFormat="1" x14ac:dyDescent="0.25"/>
    <row r="61955" s="12" customFormat="1" x14ac:dyDescent="0.25"/>
    <row r="61956" s="12" customFormat="1" x14ac:dyDescent="0.25"/>
    <row r="61957" s="12" customFormat="1" x14ac:dyDescent="0.25"/>
    <row r="61958" s="12" customFormat="1" x14ac:dyDescent="0.25"/>
    <row r="61959" s="12" customFormat="1" x14ac:dyDescent="0.25"/>
    <row r="61960" s="12" customFormat="1" x14ac:dyDescent="0.25"/>
    <row r="61961" s="12" customFormat="1" x14ac:dyDescent="0.25"/>
    <row r="61962" s="12" customFormat="1" x14ac:dyDescent="0.25"/>
    <row r="61963" s="12" customFormat="1" x14ac:dyDescent="0.25"/>
    <row r="61964" s="12" customFormat="1" x14ac:dyDescent="0.25"/>
    <row r="61965" s="12" customFormat="1" x14ac:dyDescent="0.25"/>
    <row r="61966" s="12" customFormat="1" x14ac:dyDescent="0.25"/>
    <row r="61967" s="12" customFormat="1" x14ac:dyDescent="0.25"/>
    <row r="61968" s="12" customFormat="1" x14ac:dyDescent="0.25"/>
    <row r="61969" s="12" customFormat="1" x14ac:dyDescent="0.25"/>
    <row r="61970" s="12" customFormat="1" x14ac:dyDescent="0.25"/>
    <row r="61971" s="12" customFormat="1" x14ac:dyDescent="0.25"/>
    <row r="61972" s="12" customFormat="1" x14ac:dyDescent="0.25"/>
    <row r="61973" s="12" customFormat="1" x14ac:dyDescent="0.25"/>
    <row r="61974" s="12" customFormat="1" x14ac:dyDescent="0.25"/>
    <row r="61975" s="12" customFormat="1" x14ac:dyDescent="0.25"/>
    <row r="61976" s="12" customFormat="1" x14ac:dyDescent="0.25"/>
    <row r="61977" s="12" customFormat="1" x14ac:dyDescent="0.25"/>
    <row r="61978" s="12" customFormat="1" x14ac:dyDescent="0.25"/>
    <row r="61979" s="12" customFormat="1" x14ac:dyDescent="0.25"/>
    <row r="61980" s="12" customFormat="1" x14ac:dyDescent="0.25"/>
    <row r="61981" s="12" customFormat="1" x14ac:dyDescent="0.25"/>
    <row r="61982" s="12" customFormat="1" x14ac:dyDescent="0.25"/>
    <row r="61983" s="12" customFormat="1" x14ac:dyDescent="0.25"/>
    <row r="61984" s="12" customFormat="1" x14ac:dyDescent="0.25"/>
    <row r="61985" s="12" customFormat="1" x14ac:dyDescent="0.25"/>
    <row r="61986" s="12" customFormat="1" x14ac:dyDescent="0.25"/>
    <row r="61987" s="12" customFormat="1" x14ac:dyDescent="0.25"/>
    <row r="61988" s="12" customFormat="1" x14ac:dyDescent="0.25"/>
    <row r="61989" s="12" customFormat="1" x14ac:dyDescent="0.25"/>
    <row r="61990" s="12" customFormat="1" x14ac:dyDescent="0.25"/>
    <row r="61991" s="12" customFormat="1" x14ac:dyDescent="0.25"/>
    <row r="61992" s="12" customFormat="1" x14ac:dyDescent="0.25"/>
    <row r="61993" s="12" customFormat="1" x14ac:dyDescent="0.25"/>
    <row r="61994" s="12" customFormat="1" x14ac:dyDescent="0.25"/>
    <row r="61995" s="12" customFormat="1" x14ac:dyDescent="0.25"/>
    <row r="61996" s="12" customFormat="1" x14ac:dyDescent="0.25"/>
    <row r="61997" s="12" customFormat="1" x14ac:dyDescent="0.25"/>
    <row r="61998" s="12" customFormat="1" x14ac:dyDescent="0.25"/>
    <row r="61999" s="12" customFormat="1" x14ac:dyDescent="0.25"/>
    <row r="62000" s="12" customFormat="1" x14ac:dyDescent="0.25"/>
    <row r="62001" s="12" customFormat="1" x14ac:dyDescent="0.25"/>
    <row r="62002" s="12" customFormat="1" x14ac:dyDescent="0.25"/>
    <row r="62003" s="12" customFormat="1" x14ac:dyDescent="0.25"/>
    <row r="62004" s="12" customFormat="1" x14ac:dyDescent="0.25"/>
    <row r="62005" s="12" customFormat="1" x14ac:dyDescent="0.25"/>
    <row r="62006" s="12" customFormat="1" x14ac:dyDescent="0.25"/>
    <row r="62007" s="12" customFormat="1" x14ac:dyDescent="0.25"/>
    <row r="62008" s="12" customFormat="1" x14ac:dyDescent="0.25"/>
    <row r="62009" s="12" customFormat="1" x14ac:dyDescent="0.25"/>
    <row r="62010" s="12" customFormat="1" x14ac:dyDescent="0.25"/>
    <row r="62011" s="12" customFormat="1" x14ac:dyDescent="0.25"/>
    <row r="62012" s="12" customFormat="1" x14ac:dyDescent="0.25"/>
    <row r="62013" s="12" customFormat="1" x14ac:dyDescent="0.25"/>
    <row r="62014" s="12" customFormat="1" x14ac:dyDescent="0.25"/>
    <row r="62015" s="12" customFormat="1" x14ac:dyDescent="0.25"/>
    <row r="62016" s="12" customFormat="1" x14ac:dyDescent="0.25"/>
    <row r="62017" s="12" customFormat="1" x14ac:dyDescent="0.25"/>
    <row r="62018" s="12" customFormat="1" x14ac:dyDescent="0.25"/>
    <row r="62019" s="12" customFormat="1" x14ac:dyDescent="0.25"/>
    <row r="62020" s="12" customFormat="1" x14ac:dyDescent="0.25"/>
    <row r="62021" s="12" customFormat="1" x14ac:dyDescent="0.25"/>
    <row r="62022" s="12" customFormat="1" x14ac:dyDescent="0.25"/>
    <row r="62023" s="12" customFormat="1" x14ac:dyDescent="0.25"/>
    <row r="62024" s="12" customFormat="1" x14ac:dyDescent="0.25"/>
    <row r="62025" s="12" customFormat="1" x14ac:dyDescent="0.25"/>
    <row r="62026" s="12" customFormat="1" x14ac:dyDescent="0.25"/>
    <row r="62027" s="12" customFormat="1" x14ac:dyDescent="0.25"/>
    <row r="62028" s="12" customFormat="1" x14ac:dyDescent="0.25"/>
    <row r="62029" s="12" customFormat="1" x14ac:dyDescent="0.25"/>
    <row r="62030" s="12" customFormat="1" x14ac:dyDescent="0.25"/>
    <row r="62031" s="12" customFormat="1" x14ac:dyDescent="0.25"/>
    <row r="62032" s="12" customFormat="1" x14ac:dyDescent="0.25"/>
    <row r="62033" s="12" customFormat="1" x14ac:dyDescent="0.25"/>
    <row r="62034" s="12" customFormat="1" x14ac:dyDescent="0.25"/>
    <row r="62035" s="12" customFormat="1" x14ac:dyDescent="0.25"/>
    <row r="62036" s="12" customFormat="1" x14ac:dyDescent="0.25"/>
    <row r="62037" s="12" customFormat="1" x14ac:dyDescent="0.25"/>
    <row r="62038" s="12" customFormat="1" x14ac:dyDescent="0.25"/>
    <row r="62039" s="12" customFormat="1" x14ac:dyDescent="0.25"/>
    <row r="62040" s="12" customFormat="1" x14ac:dyDescent="0.25"/>
    <row r="62041" s="12" customFormat="1" x14ac:dyDescent="0.25"/>
    <row r="62042" s="12" customFormat="1" x14ac:dyDescent="0.25"/>
    <row r="62043" s="12" customFormat="1" x14ac:dyDescent="0.25"/>
    <row r="62044" s="12" customFormat="1" x14ac:dyDescent="0.25"/>
    <row r="62045" s="12" customFormat="1" x14ac:dyDescent="0.25"/>
    <row r="62046" s="12" customFormat="1" x14ac:dyDescent="0.25"/>
    <row r="62047" s="12" customFormat="1" x14ac:dyDescent="0.25"/>
    <row r="62048" s="12" customFormat="1" x14ac:dyDescent="0.25"/>
    <row r="62049" s="12" customFormat="1" x14ac:dyDescent="0.25"/>
    <row r="62050" s="12" customFormat="1" x14ac:dyDescent="0.25"/>
    <row r="62051" s="12" customFormat="1" x14ac:dyDescent="0.25"/>
    <row r="62052" s="12" customFormat="1" x14ac:dyDescent="0.25"/>
    <row r="62053" s="12" customFormat="1" x14ac:dyDescent="0.25"/>
    <row r="62054" s="12" customFormat="1" x14ac:dyDescent="0.25"/>
    <row r="62055" s="12" customFormat="1" x14ac:dyDescent="0.25"/>
    <row r="62056" s="12" customFormat="1" x14ac:dyDescent="0.25"/>
    <row r="62057" s="12" customFormat="1" x14ac:dyDescent="0.25"/>
    <row r="62058" s="12" customFormat="1" x14ac:dyDescent="0.25"/>
    <row r="62059" s="12" customFormat="1" x14ac:dyDescent="0.25"/>
    <row r="62060" s="12" customFormat="1" x14ac:dyDescent="0.25"/>
    <row r="62061" s="12" customFormat="1" x14ac:dyDescent="0.25"/>
    <row r="62062" s="12" customFormat="1" x14ac:dyDescent="0.25"/>
    <row r="62063" s="12" customFormat="1" x14ac:dyDescent="0.25"/>
    <row r="62064" s="12" customFormat="1" x14ac:dyDescent="0.25"/>
    <row r="62065" s="12" customFormat="1" x14ac:dyDescent="0.25"/>
    <row r="62066" s="12" customFormat="1" x14ac:dyDescent="0.25"/>
    <row r="62067" s="12" customFormat="1" x14ac:dyDescent="0.25"/>
    <row r="62068" s="12" customFormat="1" x14ac:dyDescent="0.25"/>
    <row r="62069" s="12" customFormat="1" x14ac:dyDescent="0.25"/>
    <row r="62070" s="12" customFormat="1" x14ac:dyDescent="0.25"/>
    <row r="62071" s="12" customFormat="1" x14ac:dyDescent="0.25"/>
    <row r="62072" s="12" customFormat="1" x14ac:dyDescent="0.25"/>
    <row r="62073" s="12" customFormat="1" x14ac:dyDescent="0.25"/>
    <row r="62074" s="12" customFormat="1" x14ac:dyDescent="0.25"/>
    <row r="62075" s="12" customFormat="1" x14ac:dyDescent="0.25"/>
    <row r="62076" s="12" customFormat="1" x14ac:dyDescent="0.25"/>
    <row r="62077" s="12" customFormat="1" x14ac:dyDescent="0.25"/>
    <row r="62078" s="12" customFormat="1" x14ac:dyDescent="0.25"/>
    <row r="62079" s="12" customFormat="1" x14ac:dyDescent="0.25"/>
    <row r="62080" s="12" customFormat="1" x14ac:dyDescent="0.25"/>
    <row r="62081" s="12" customFormat="1" x14ac:dyDescent="0.25"/>
    <row r="62082" s="12" customFormat="1" x14ac:dyDescent="0.25"/>
    <row r="62083" s="12" customFormat="1" x14ac:dyDescent="0.25"/>
    <row r="62084" s="12" customFormat="1" x14ac:dyDescent="0.25"/>
    <row r="62085" s="12" customFormat="1" x14ac:dyDescent="0.25"/>
    <row r="62086" s="12" customFormat="1" x14ac:dyDescent="0.25"/>
    <row r="62087" s="12" customFormat="1" x14ac:dyDescent="0.25"/>
    <row r="62088" s="12" customFormat="1" x14ac:dyDescent="0.25"/>
    <row r="62089" s="12" customFormat="1" x14ac:dyDescent="0.25"/>
    <row r="62090" s="12" customFormat="1" x14ac:dyDescent="0.25"/>
    <row r="62091" s="12" customFormat="1" x14ac:dyDescent="0.25"/>
    <row r="62092" s="12" customFormat="1" x14ac:dyDescent="0.25"/>
    <row r="62093" s="12" customFormat="1" x14ac:dyDescent="0.25"/>
    <row r="62094" s="12" customFormat="1" x14ac:dyDescent="0.25"/>
    <row r="62095" s="12" customFormat="1" x14ac:dyDescent="0.25"/>
    <row r="62096" s="12" customFormat="1" x14ac:dyDescent="0.25"/>
    <row r="62097" s="12" customFormat="1" x14ac:dyDescent="0.25"/>
    <row r="62098" s="12" customFormat="1" x14ac:dyDescent="0.25"/>
    <row r="62099" s="12" customFormat="1" x14ac:dyDescent="0.25"/>
    <row r="62100" s="12" customFormat="1" x14ac:dyDescent="0.25"/>
    <row r="62101" s="12" customFormat="1" x14ac:dyDescent="0.25"/>
    <row r="62102" s="12" customFormat="1" x14ac:dyDescent="0.25"/>
    <row r="62103" s="12" customFormat="1" x14ac:dyDescent="0.25"/>
    <row r="62104" s="12" customFormat="1" x14ac:dyDescent="0.25"/>
    <row r="62105" s="12" customFormat="1" x14ac:dyDescent="0.25"/>
    <row r="62106" s="12" customFormat="1" x14ac:dyDescent="0.25"/>
    <row r="62107" s="12" customFormat="1" x14ac:dyDescent="0.25"/>
    <row r="62108" s="12" customFormat="1" x14ac:dyDescent="0.25"/>
    <row r="62109" s="12" customFormat="1" x14ac:dyDescent="0.25"/>
    <row r="62110" s="12" customFormat="1" x14ac:dyDescent="0.25"/>
    <row r="62111" s="12" customFormat="1" x14ac:dyDescent="0.25"/>
    <row r="62112" s="12" customFormat="1" x14ac:dyDescent="0.25"/>
    <row r="62113" s="12" customFormat="1" x14ac:dyDescent="0.25"/>
    <row r="62114" s="12" customFormat="1" x14ac:dyDescent="0.25"/>
    <row r="62115" s="12" customFormat="1" x14ac:dyDescent="0.25"/>
    <row r="62116" s="12" customFormat="1" x14ac:dyDescent="0.25"/>
    <row r="62117" s="12" customFormat="1" x14ac:dyDescent="0.25"/>
    <row r="62118" s="12" customFormat="1" x14ac:dyDescent="0.25"/>
    <row r="62119" s="12" customFormat="1" x14ac:dyDescent="0.25"/>
    <row r="62120" s="12" customFormat="1" x14ac:dyDescent="0.25"/>
    <row r="62121" s="12" customFormat="1" x14ac:dyDescent="0.25"/>
    <row r="62122" s="12" customFormat="1" x14ac:dyDescent="0.25"/>
    <row r="62123" s="12" customFormat="1" x14ac:dyDescent="0.25"/>
    <row r="62124" s="12" customFormat="1" x14ac:dyDescent="0.25"/>
    <row r="62125" s="12" customFormat="1" x14ac:dyDescent="0.25"/>
    <row r="62126" s="12" customFormat="1" x14ac:dyDescent="0.25"/>
    <row r="62127" s="12" customFormat="1" x14ac:dyDescent="0.25"/>
    <row r="62128" s="12" customFormat="1" x14ac:dyDescent="0.25"/>
    <row r="62129" s="12" customFormat="1" x14ac:dyDescent="0.25"/>
    <row r="62130" s="12" customFormat="1" x14ac:dyDescent="0.25"/>
    <row r="62131" s="12" customFormat="1" x14ac:dyDescent="0.25"/>
    <row r="62132" s="12" customFormat="1" x14ac:dyDescent="0.25"/>
    <row r="62133" s="12" customFormat="1" x14ac:dyDescent="0.25"/>
    <row r="62134" s="12" customFormat="1" x14ac:dyDescent="0.25"/>
    <row r="62135" s="12" customFormat="1" x14ac:dyDescent="0.25"/>
    <row r="62136" s="12" customFormat="1" x14ac:dyDescent="0.25"/>
    <row r="62137" s="12" customFormat="1" x14ac:dyDescent="0.25"/>
    <row r="62138" s="12" customFormat="1" x14ac:dyDescent="0.25"/>
    <row r="62139" s="12" customFormat="1" x14ac:dyDescent="0.25"/>
    <row r="62140" s="12" customFormat="1" x14ac:dyDescent="0.25"/>
    <row r="62141" s="12" customFormat="1" x14ac:dyDescent="0.25"/>
    <row r="62142" s="12" customFormat="1" x14ac:dyDescent="0.25"/>
    <row r="62143" s="12" customFormat="1" x14ac:dyDescent="0.25"/>
    <row r="62144" s="12" customFormat="1" x14ac:dyDescent="0.25"/>
    <row r="62145" s="12" customFormat="1" x14ac:dyDescent="0.25"/>
    <row r="62146" s="12" customFormat="1" x14ac:dyDescent="0.25"/>
    <row r="62147" s="12" customFormat="1" x14ac:dyDescent="0.25"/>
    <row r="62148" s="12" customFormat="1" x14ac:dyDescent="0.25"/>
    <row r="62149" s="12" customFormat="1" x14ac:dyDescent="0.25"/>
    <row r="62150" s="12" customFormat="1" x14ac:dyDescent="0.25"/>
    <row r="62151" s="12" customFormat="1" x14ac:dyDescent="0.25"/>
    <row r="62152" s="12" customFormat="1" x14ac:dyDescent="0.25"/>
    <row r="62153" s="12" customFormat="1" x14ac:dyDescent="0.25"/>
    <row r="62154" s="12" customFormat="1" x14ac:dyDescent="0.25"/>
    <row r="62155" s="12" customFormat="1" x14ac:dyDescent="0.25"/>
    <row r="62156" s="12" customFormat="1" x14ac:dyDescent="0.25"/>
    <row r="62157" s="12" customFormat="1" x14ac:dyDescent="0.25"/>
    <row r="62158" s="12" customFormat="1" x14ac:dyDescent="0.25"/>
    <row r="62159" s="12" customFormat="1" x14ac:dyDescent="0.25"/>
    <row r="62160" s="12" customFormat="1" x14ac:dyDescent="0.25"/>
    <row r="62161" s="12" customFormat="1" x14ac:dyDescent="0.25"/>
    <row r="62162" s="12" customFormat="1" x14ac:dyDescent="0.25"/>
    <row r="62163" s="12" customFormat="1" x14ac:dyDescent="0.25"/>
    <row r="62164" s="12" customFormat="1" x14ac:dyDescent="0.25"/>
    <row r="62165" s="12" customFormat="1" x14ac:dyDescent="0.25"/>
    <row r="62166" s="12" customFormat="1" x14ac:dyDescent="0.25"/>
    <row r="62167" s="12" customFormat="1" x14ac:dyDescent="0.25"/>
    <row r="62168" s="12" customFormat="1" x14ac:dyDescent="0.25"/>
    <row r="62169" s="12" customFormat="1" x14ac:dyDescent="0.25"/>
    <row r="62170" s="12" customFormat="1" x14ac:dyDescent="0.25"/>
    <row r="62171" s="12" customFormat="1" x14ac:dyDescent="0.25"/>
    <row r="62172" s="12" customFormat="1" x14ac:dyDescent="0.25"/>
    <row r="62173" s="12" customFormat="1" x14ac:dyDescent="0.25"/>
    <row r="62174" s="12" customFormat="1" x14ac:dyDescent="0.25"/>
    <row r="62175" s="12" customFormat="1" x14ac:dyDescent="0.25"/>
    <row r="62176" s="12" customFormat="1" x14ac:dyDescent="0.25"/>
    <row r="62177" s="12" customFormat="1" x14ac:dyDescent="0.25"/>
    <row r="62178" s="12" customFormat="1" x14ac:dyDescent="0.25"/>
    <row r="62179" s="12" customFormat="1" x14ac:dyDescent="0.25"/>
    <row r="62180" s="12" customFormat="1" x14ac:dyDescent="0.25"/>
    <row r="62181" s="12" customFormat="1" x14ac:dyDescent="0.25"/>
    <row r="62182" s="12" customFormat="1" x14ac:dyDescent="0.25"/>
    <row r="62183" s="12" customFormat="1" x14ac:dyDescent="0.25"/>
    <row r="62184" s="12" customFormat="1" x14ac:dyDescent="0.25"/>
    <row r="62185" s="12" customFormat="1" x14ac:dyDescent="0.25"/>
    <row r="62186" s="12" customFormat="1" x14ac:dyDescent="0.25"/>
    <row r="62187" s="12" customFormat="1" x14ac:dyDescent="0.25"/>
    <row r="62188" s="12" customFormat="1" x14ac:dyDescent="0.25"/>
    <row r="62189" s="12" customFormat="1" x14ac:dyDescent="0.25"/>
    <row r="62190" s="12" customFormat="1" x14ac:dyDescent="0.25"/>
    <row r="62191" s="12" customFormat="1" x14ac:dyDescent="0.25"/>
    <row r="62192" s="12" customFormat="1" x14ac:dyDescent="0.25"/>
    <row r="62193" s="12" customFormat="1" x14ac:dyDescent="0.25"/>
    <row r="62194" s="12" customFormat="1" x14ac:dyDescent="0.25"/>
    <row r="62195" s="12" customFormat="1" x14ac:dyDescent="0.25"/>
    <row r="62196" s="12" customFormat="1" x14ac:dyDescent="0.25"/>
    <row r="62197" s="12" customFormat="1" x14ac:dyDescent="0.25"/>
    <row r="62198" s="12" customFormat="1" x14ac:dyDescent="0.25"/>
    <row r="62199" s="12" customFormat="1" x14ac:dyDescent="0.25"/>
    <row r="62200" s="12" customFormat="1" x14ac:dyDescent="0.25"/>
    <row r="62201" s="12" customFormat="1" x14ac:dyDescent="0.25"/>
    <row r="62202" s="12" customFormat="1" x14ac:dyDescent="0.25"/>
    <row r="62203" s="12" customFormat="1" x14ac:dyDescent="0.25"/>
    <row r="62204" s="12" customFormat="1" x14ac:dyDescent="0.25"/>
    <row r="62205" s="12" customFormat="1" x14ac:dyDescent="0.25"/>
    <row r="62206" s="12" customFormat="1" x14ac:dyDescent="0.25"/>
    <row r="62207" s="12" customFormat="1" x14ac:dyDescent="0.25"/>
    <row r="62208" s="12" customFormat="1" x14ac:dyDescent="0.25"/>
    <row r="62209" s="12" customFormat="1" x14ac:dyDescent="0.25"/>
    <row r="62210" s="12" customFormat="1" x14ac:dyDescent="0.25"/>
    <row r="62211" s="12" customFormat="1" x14ac:dyDescent="0.25"/>
    <row r="62212" s="12" customFormat="1" x14ac:dyDescent="0.25"/>
    <row r="62213" s="12" customFormat="1" x14ac:dyDescent="0.25"/>
    <row r="62214" s="12" customFormat="1" x14ac:dyDescent="0.25"/>
    <row r="62215" s="12" customFormat="1" x14ac:dyDescent="0.25"/>
    <row r="62216" s="12" customFormat="1" x14ac:dyDescent="0.25"/>
    <row r="62217" s="12" customFormat="1" x14ac:dyDescent="0.25"/>
    <row r="62218" s="12" customFormat="1" x14ac:dyDescent="0.25"/>
    <row r="62219" s="12" customFormat="1" x14ac:dyDescent="0.25"/>
    <row r="62220" s="12" customFormat="1" x14ac:dyDescent="0.25"/>
    <row r="62221" s="12" customFormat="1" x14ac:dyDescent="0.25"/>
    <row r="62222" s="12" customFormat="1" x14ac:dyDescent="0.25"/>
    <row r="62223" s="12" customFormat="1" x14ac:dyDescent="0.25"/>
    <row r="62224" s="12" customFormat="1" x14ac:dyDescent="0.25"/>
    <row r="62225" s="12" customFormat="1" x14ac:dyDescent="0.25"/>
    <row r="62226" s="12" customFormat="1" x14ac:dyDescent="0.25"/>
    <row r="62227" s="12" customFormat="1" x14ac:dyDescent="0.25"/>
    <row r="62228" s="12" customFormat="1" x14ac:dyDescent="0.25"/>
    <row r="62229" s="12" customFormat="1" x14ac:dyDescent="0.25"/>
    <row r="62230" s="12" customFormat="1" x14ac:dyDescent="0.25"/>
    <row r="62231" s="12" customFormat="1" x14ac:dyDescent="0.25"/>
    <row r="62232" s="12" customFormat="1" x14ac:dyDescent="0.25"/>
    <row r="62233" s="12" customFormat="1" x14ac:dyDescent="0.25"/>
    <row r="62234" s="12" customFormat="1" x14ac:dyDescent="0.25"/>
    <row r="62235" s="12" customFormat="1" x14ac:dyDescent="0.25"/>
    <row r="62236" s="12" customFormat="1" x14ac:dyDescent="0.25"/>
    <row r="62237" s="12" customFormat="1" x14ac:dyDescent="0.25"/>
    <row r="62238" s="12" customFormat="1" x14ac:dyDescent="0.25"/>
    <row r="62239" s="12" customFormat="1" x14ac:dyDescent="0.25"/>
    <row r="62240" s="12" customFormat="1" x14ac:dyDescent="0.25"/>
    <row r="62241" s="12" customFormat="1" x14ac:dyDescent="0.25"/>
    <row r="62242" s="12" customFormat="1" x14ac:dyDescent="0.25"/>
    <row r="62243" s="12" customFormat="1" x14ac:dyDescent="0.25"/>
    <row r="62244" s="12" customFormat="1" x14ac:dyDescent="0.25"/>
    <row r="62245" s="12" customFormat="1" x14ac:dyDescent="0.25"/>
    <row r="62246" s="12" customFormat="1" x14ac:dyDescent="0.25"/>
    <row r="62247" s="12" customFormat="1" x14ac:dyDescent="0.25"/>
    <row r="62248" s="12" customFormat="1" x14ac:dyDescent="0.25"/>
    <row r="62249" s="12" customFormat="1" x14ac:dyDescent="0.25"/>
    <row r="62250" s="12" customFormat="1" x14ac:dyDescent="0.25"/>
    <row r="62251" s="12" customFormat="1" x14ac:dyDescent="0.25"/>
    <row r="62252" s="12" customFormat="1" x14ac:dyDescent="0.25"/>
    <row r="62253" s="12" customFormat="1" x14ac:dyDescent="0.25"/>
    <row r="62254" s="12" customFormat="1" x14ac:dyDescent="0.25"/>
    <row r="62255" s="12" customFormat="1" x14ac:dyDescent="0.25"/>
    <row r="62256" s="12" customFormat="1" x14ac:dyDescent="0.25"/>
    <row r="62257" s="12" customFormat="1" x14ac:dyDescent="0.25"/>
    <row r="62258" s="12" customFormat="1" x14ac:dyDescent="0.25"/>
    <row r="62259" s="12" customFormat="1" x14ac:dyDescent="0.25"/>
    <row r="62260" s="12" customFormat="1" x14ac:dyDescent="0.25"/>
    <row r="62261" s="12" customFormat="1" x14ac:dyDescent="0.25"/>
    <row r="62262" s="12" customFormat="1" x14ac:dyDescent="0.25"/>
    <row r="62263" s="12" customFormat="1" x14ac:dyDescent="0.25"/>
    <row r="62264" s="12" customFormat="1" x14ac:dyDescent="0.25"/>
    <row r="62265" s="12" customFormat="1" x14ac:dyDescent="0.25"/>
    <row r="62266" s="12" customFormat="1" x14ac:dyDescent="0.25"/>
    <row r="62267" s="12" customFormat="1" x14ac:dyDescent="0.25"/>
    <row r="62268" s="12" customFormat="1" x14ac:dyDescent="0.25"/>
    <row r="62269" s="12" customFormat="1" x14ac:dyDescent="0.25"/>
    <row r="62270" s="12" customFormat="1" x14ac:dyDescent="0.25"/>
    <row r="62271" s="12" customFormat="1" x14ac:dyDescent="0.25"/>
    <row r="62272" s="12" customFormat="1" x14ac:dyDescent="0.25"/>
    <row r="62273" s="12" customFormat="1" x14ac:dyDescent="0.25"/>
    <row r="62274" s="12" customFormat="1" x14ac:dyDescent="0.25"/>
    <row r="62275" s="12" customFormat="1" x14ac:dyDescent="0.25"/>
    <row r="62276" s="12" customFormat="1" x14ac:dyDescent="0.25"/>
    <row r="62277" s="12" customFormat="1" x14ac:dyDescent="0.25"/>
    <row r="62278" s="12" customFormat="1" x14ac:dyDescent="0.25"/>
    <row r="62279" s="12" customFormat="1" x14ac:dyDescent="0.25"/>
    <row r="62280" s="12" customFormat="1" x14ac:dyDescent="0.25"/>
    <row r="62281" s="12" customFormat="1" x14ac:dyDescent="0.25"/>
    <row r="62282" s="12" customFormat="1" x14ac:dyDescent="0.25"/>
    <row r="62283" s="12" customFormat="1" x14ac:dyDescent="0.25"/>
    <row r="62284" s="12" customFormat="1" x14ac:dyDescent="0.25"/>
    <row r="62285" s="12" customFormat="1" x14ac:dyDescent="0.25"/>
    <row r="62286" s="12" customFormat="1" x14ac:dyDescent="0.25"/>
    <row r="62287" s="12" customFormat="1" x14ac:dyDescent="0.25"/>
    <row r="62288" s="12" customFormat="1" x14ac:dyDescent="0.25"/>
    <row r="62289" s="12" customFormat="1" x14ac:dyDescent="0.25"/>
    <row r="62290" s="12" customFormat="1" x14ac:dyDescent="0.25"/>
    <row r="62291" s="12" customFormat="1" x14ac:dyDescent="0.25"/>
    <row r="62292" s="12" customFormat="1" x14ac:dyDescent="0.25"/>
    <row r="62293" s="12" customFormat="1" x14ac:dyDescent="0.25"/>
    <row r="62294" s="12" customFormat="1" x14ac:dyDescent="0.25"/>
    <row r="62295" s="12" customFormat="1" x14ac:dyDescent="0.25"/>
    <row r="62296" s="12" customFormat="1" x14ac:dyDescent="0.25"/>
    <row r="62297" s="12" customFormat="1" x14ac:dyDescent="0.25"/>
    <row r="62298" s="12" customFormat="1" x14ac:dyDescent="0.25"/>
    <row r="62299" s="12" customFormat="1" x14ac:dyDescent="0.25"/>
    <row r="62300" s="12" customFormat="1" x14ac:dyDescent="0.25"/>
    <row r="62301" s="12" customFormat="1" x14ac:dyDescent="0.25"/>
    <row r="62302" s="12" customFormat="1" x14ac:dyDescent="0.25"/>
    <row r="62303" s="12" customFormat="1" x14ac:dyDescent="0.25"/>
    <row r="62304" s="12" customFormat="1" x14ac:dyDescent="0.25"/>
    <row r="62305" s="12" customFormat="1" x14ac:dyDescent="0.25"/>
    <row r="62306" s="12" customFormat="1" x14ac:dyDescent="0.25"/>
    <row r="62307" s="12" customFormat="1" x14ac:dyDescent="0.25"/>
    <row r="62308" s="12" customFormat="1" x14ac:dyDescent="0.25"/>
    <row r="62309" s="12" customFormat="1" x14ac:dyDescent="0.25"/>
    <row r="62310" s="12" customFormat="1" x14ac:dyDescent="0.25"/>
    <row r="62311" s="12" customFormat="1" x14ac:dyDescent="0.25"/>
    <row r="62312" s="12" customFormat="1" x14ac:dyDescent="0.25"/>
    <row r="62313" s="12" customFormat="1" x14ac:dyDescent="0.25"/>
    <row r="62314" s="12" customFormat="1" x14ac:dyDescent="0.25"/>
    <row r="62315" s="12" customFormat="1" x14ac:dyDescent="0.25"/>
    <row r="62316" s="12" customFormat="1" x14ac:dyDescent="0.25"/>
    <row r="62317" s="12" customFormat="1" x14ac:dyDescent="0.25"/>
    <row r="62318" s="12" customFormat="1" x14ac:dyDescent="0.25"/>
    <row r="62319" s="12" customFormat="1" x14ac:dyDescent="0.25"/>
    <row r="62320" s="12" customFormat="1" x14ac:dyDescent="0.25"/>
    <row r="62321" s="12" customFormat="1" x14ac:dyDescent="0.25"/>
    <row r="62322" s="12" customFormat="1" x14ac:dyDescent="0.25"/>
    <row r="62323" s="12" customFormat="1" x14ac:dyDescent="0.25"/>
    <row r="62324" s="12" customFormat="1" x14ac:dyDescent="0.25"/>
    <row r="62325" s="12" customFormat="1" x14ac:dyDescent="0.25"/>
    <row r="62326" s="12" customFormat="1" x14ac:dyDescent="0.25"/>
    <row r="62327" s="12" customFormat="1" x14ac:dyDescent="0.25"/>
    <row r="62328" s="12" customFormat="1" x14ac:dyDescent="0.25"/>
    <row r="62329" s="12" customFormat="1" x14ac:dyDescent="0.25"/>
    <row r="62330" s="12" customFormat="1" x14ac:dyDescent="0.25"/>
    <row r="62331" s="12" customFormat="1" x14ac:dyDescent="0.25"/>
    <row r="62332" s="12" customFormat="1" x14ac:dyDescent="0.25"/>
    <row r="62333" s="12" customFormat="1" x14ac:dyDescent="0.25"/>
    <row r="62334" s="12" customFormat="1" x14ac:dyDescent="0.25"/>
    <row r="62335" s="12" customFormat="1" x14ac:dyDescent="0.25"/>
    <row r="62336" s="12" customFormat="1" x14ac:dyDescent="0.25"/>
    <row r="62337" s="12" customFormat="1" x14ac:dyDescent="0.25"/>
    <row r="62338" s="12" customFormat="1" x14ac:dyDescent="0.25"/>
    <row r="62339" s="12" customFormat="1" x14ac:dyDescent="0.25"/>
    <row r="62340" s="12" customFormat="1" x14ac:dyDescent="0.25"/>
    <row r="62341" s="12" customFormat="1" x14ac:dyDescent="0.25"/>
    <row r="62342" s="12" customFormat="1" x14ac:dyDescent="0.25"/>
    <row r="62343" s="12" customFormat="1" x14ac:dyDescent="0.25"/>
    <row r="62344" s="12" customFormat="1" x14ac:dyDescent="0.25"/>
    <row r="62345" s="12" customFormat="1" x14ac:dyDescent="0.25"/>
    <row r="62346" s="12" customFormat="1" x14ac:dyDescent="0.25"/>
    <row r="62347" s="12" customFormat="1" x14ac:dyDescent="0.25"/>
    <row r="62348" s="12" customFormat="1" x14ac:dyDescent="0.25"/>
    <row r="62349" s="12" customFormat="1" x14ac:dyDescent="0.25"/>
    <row r="62350" s="12" customFormat="1" x14ac:dyDescent="0.25"/>
    <row r="62351" s="12" customFormat="1" x14ac:dyDescent="0.25"/>
    <row r="62352" s="12" customFormat="1" x14ac:dyDescent="0.25"/>
    <row r="62353" s="12" customFormat="1" x14ac:dyDescent="0.25"/>
    <row r="62354" s="12" customFormat="1" x14ac:dyDescent="0.25"/>
    <row r="62355" s="12" customFormat="1" x14ac:dyDescent="0.25"/>
    <row r="62356" s="12" customFormat="1" x14ac:dyDescent="0.25"/>
    <row r="62357" s="12" customFormat="1" x14ac:dyDescent="0.25"/>
    <row r="62358" s="12" customFormat="1" x14ac:dyDescent="0.25"/>
    <row r="62359" s="12" customFormat="1" x14ac:dyDescent="0.25"/>
    <row r="62360" s="12" customFormat="1" x14ac:dyDescent="0.25"/>
    <row r="62361" s="12" customFormat="1" x14ac:dyDescent="0.25"/>
    <row r="62362" s="12" customFormat="1" x14ac:dyDescent="0.25"/>
    <row r="62363" s="12" customFormat="1" x14ac:dyDescent="0.25"/>
    <row r="62364" s="12" customFormat="1" x14ac:dyDescent="0.25"/>
    <row r="62365" s="12" customFormat="1" x14ac:dyDescent="0.25"/>
    <row r="62366" s="12" customFormat="1" x14ac:dyDescent="0.25"/>
    <row r="62367" s="12" customFormat="1" x14ac:dyDescent="0.25"/>
    <row r="62368" s="12" customFormat="1" x14ac:dyDescent="0.25"/>
    <row r="62369" s="12" customFormat="1" x14ac:dyDescent="0.25"/>
    <row r="62370" s="12" customFormat="1" x14ac:dyDescent="0.25"/>
    <row r="62371" s="12" customFormat="1" x14ac:dyDescent="0.25"/>
    <row r="62372" s="12" customFormat="1" x14ac:dyDescent="0.25"/>
    <row r="62373" s="12" customFormat="1" x14ac:dyDescent="0.25"/>
    <row r="62374" s="12" customFormat="1" x14ac:dyDescent="0.25"/>
    <row r="62375" s="12" customFormat="1" x14ac:dyDescent="0.25"/>
    <row r="62376" s="12" customFormat="1" x14ac:dyDescent="0.25"/>
    <row r="62377" s="12" customFormat="1" x14ac:dyDescent="0.25"/>
    <row r="62378" s="12" customFormat="1" x14ac:dyDescent="0.25"/>
    <row r="62379" s="12" customFormat="1" x14ac:dyDescent="0.25"/>
    <row r="62380" s="12" customFormat="1" x14ac:dyDescent="0.25"/>
    <row r="62381" s="12" customFormat="1" x14ac:dyDescent="0.25"/>
    <row r="62382" s="12" customFormat="1" x14ac:dyDescent="0.25"/>
    <row r="62383" s="12" customFormat="1" x14ac:dyDescent="0.25"/>
    <row r="62384" s="12" customFormat="1" x14ac:dyDescent="0.25"/>
    <row r="62385" s="12" customFormat="1" x14ac:dyDescent="0.25"/>
    <row r="62386" s="12" customFormat="1" x14ac:dyDescent="0.25"/>
    <row r="62387" s="12" customFormat="1" x14ac:dyDescent="0.25"/>
    <row r="62388" s="12" customFormat="1" x14ac:dyDescent="0.25"/>
    <row r="62389" s="12" customFormat="1" x14ac:dyDescent="0.25"/>
    <row r="62390" s="12" customFormat="1" x14ac:dyDescent="0.25"/>
    <row r="62391" s="12" customFormat="1" x14ac:dyDescent="0.25"/>
    <row r="62392" s="12" customFormat="1" x14ac:dyDescent="0.25"/>
    <row r="62393" s="12" customFormat="1" x14ac:dyDescent="0.25"/>
    <row r="62394" s="12" customFormat="1" x14ac:dyDescent="0.25"/>
    <row r="62395" s="12" customFormat="1" x14ac:dyDescent="0.25"/>
    <row r="62396" s="12" customFormat="1" x14ac:dyDescent="0.25"/>
    <row r="62397" s="12" customFormat="1" x14ac:dyDescent="0.25"/>
    <row r="62398" s="12" customFormat="1" x14ac:dyDescent="0.25"/>
    <row r="62399" s="12" customFormat="1" x14ac:dyDescent="0.25"/>
    <row r="62400" s="12" customFormat="1" x14ac:dyDescent="0.25"/>
    <row r="62401" s="12" customFormat="1" x14ac:dyDescent="0.25"/>
    <row r="62402" s="12" customFormat="1" x14ac:dyDescent="0.25"/>
    <row r="62403" s="12" customFormat="1" x14ac:dyDescent="0.25"/>
    <row r="62404" s="12" customFormat="1" x14ac:dyDescent="0.25"/>
    <row r="62405" s="12" customFormat="1" x14ac:dyDescent="0.25"/>
    <row r="62406" s="12" customFormat="1" x14ac:dyDescent="0.25"/>
    <row r="62407" s="12" customFormat="1" x14ac:dyDescent="0.25"/>
    <row r="62408" s="12" customFormat="1" x14ac:dyDescent="0.25"/>
    <row r="62409" s="12" customFormat="1" x14ac:dyDescent="0.25"/>
    <row r="62410" s="12" customFormat="1" x14ac:dyDescent="0.25"/>
    <row r="62411" s="12" customFormat="1" x14ac:dyDescent="0.25"/>
    <row r="62412" s="12" customFormat="1" x14ac:dyDescent="0.25"/>
    <row r="62413" s="12" customFormat="1" x14ac:dyDescent="0.25"/>
    <row r="62414" s="12" customFormat="1" x14ac:dyDescent="0.25"/>
    <row r="62415" s="12" customFormat="1" x14ac:dyDescent="0.25"/>
    <row r="62416" s="12" customFormat="1" x14ac:dyDescent="0.25"/>
    <row r="62417" s="12" customFormat="1" x14ac:dyDescent="0.25"/>
    <row r="62418" s="12" customFormat="1" x14ac:dyDescent="0.25"/>
    <row r="62419" s="12" customFormat="1" x14ac:dyDescent="0.25"/>
    <row r="62420" s="12" customFormat="1" x14ac:dyDescent="0.25"/>
    <row r="62421" s="12" customFormat="1" x14ac:dyDescent="0.25"/>
    <row r="62422" s="12" customFormat="1" x14ac:dyDescent="0.25"/>
    <row r="62423" s="12" customFormat="1" x14ac:dyDescent="0.25"/>
    <row r="62424" s="12" customFormat="1" x14ac:dyDescent="0.25"/>
    <row r="62425" s="12" customFormat="1" x14ac:dyDescent="0.25"/>
    <row r="62426" s="12" customFormat="1" x14ac:dyDescent="0.25"/>
    <row r="62427" s="12" customFormat="1" x14ac:dyDescent="0.25"/>
    <row r="62428" s="12" customFormat="1" x14ac:dyDescent="0.25"/>
    <row r="62429" s="12" customFormat="1" x14ac:dyDescent="0.25"/>
    <row r="62430" s="12" customFormat="1" x14ac:dyDescent="0.25"/>
    <row r="62431" s="12" customFormat="1" x14ac:dyDescent="0.25"/>
    <row r="62432" s="12" customFormat="1" x14ac:dyDescent="0.25"/>
    <row r="62433" s="12" customFormat="1" x14ac:dyDescent="0.25"/>
    <row r="62434" s="12" customFormat="1" x14ac:dyDescent="0.25"/>
    <row r="62435" s="12" customFormat="1" x14ac:dyDescent="0.25"/>
    <row r="62436" s="12" customFormat="1" x14ac:dyDescent="0.25"/>
    <row r="62437" s="12" customFormat="1" x14ac:dyDescent="0.25"/>
    <row r="62438" s="12" customFormat="1" x14ac:dyDescent="0.25"/>
    <row r="62439" s="12" customFormat="1" x14ac:dyDescent="0.25"/>
    <row r="62440" s="12" customFormat="1" x14ac:dyDescent="0.25"/>
    <row r="62441" s="12" customFormat="1" x14ac:dyDescent="0.25"/>
    <row r="62442" s="12" customFormat="1" x14ac:dyDescent="0.25"/>
    <row r="62443" s="12" customFormat="1" x14ac:dyDescent="0.25"/>
    <row r="62444" s="12" customFormat="1" x14ac:dyDescent="0.25"/>
    <row r="62445" s="12" customFormat="1" x14ac:dyDescent="0.25"/>
    <row r="62446" s="12" customFormat="1" x14ac:dyDescent="0.25"/>
    <row r="62447" s="12" customFormat="1" x14ac:dyDescent="0.25"/>
    <row r="62448" s="12" customFormat="1" x14ac:dyDescent="0.25"/>
    <row r="62449" s="12" customFormat="1" x14ac:dyDescent="0.25"/>
    <row r="62450" s="12" customFormat="1" x14ac:dyDescent="0.25"/>
    <row r="62451" s="12" customFormat="1" x14ac:dyDescent="0.25"/>
    <row r="62452" s="12" customFormat="1" x14ac:dyDescent="0.25"/>
    <row r="62453" s="12" customFormat="1" x14ac:dyDescent="0.25"/>
    <row r="62454" s="12" customFormat="1" x14ac:dyDescent="0.25"/>
    <row r="62455" s="12" customFormat="1" x14ac:dyDescent="0.25"/>
    <row r="62456" s="12" customFormat="1" x14ac:dyDescent="0.25"/>
    <row r="62457" s="12" customFormat="1" x14ac:dyDescent="0.25"/>
    <row r="62458" s="12" customFormat="1" x14ac:dyDescent="0.25"/>
    <row r="62459" s="12" customFormat="1" x14ac:dyDescent="0.25"/>
    <row r="62460" s="12" customFormat="1" x14ac:dyDescent="0.25"/>
    <row r="62461" s="12" customFormat="1" x14ac:dyDescent="0.25"/>
    <row r="62462" s="12" customFormat="1" x14ac:dyDescent="0.25"/>
    <row r="62463" s="12" customFormat="1" x14ac:dyDescent="0.25"/>
    <row r="62464" s="12" customFormat="1" x14ac:dyDescent="0.25"/>
    <row r="62465" s="12" customFormat="1" x14ac:dyDescent="0.25"/>
    <row r="62466" s="12" customFormat="1" x14ac:dyDescent="0.25"/>
    <row r="62467" s="12" customFormat="1" x14ac:dyDescent="0.25"/>
    <row r="62468" s="12" customFormat="1" x14ac:dyDescent="0.25"/>
    <row r="62469" s="12" customFormat="1" x14ac:dyDescent="0.25"/>
    <row r="62470" s="12" customFormat="1" x14ac:dyDescent="0.25"/>
    <row r="62471" s="12" customFormat="1" x14ac:dyDescent="0.25"/>
    <row r="62472" s="12" customFormat="1" x14ac:dyDescent="0.25"/>
    <row r="62473" s="12" customFormat="1" x14ac:dyDescent="0.25"/>
    <row r="62474" s="12" customFormat="1" x14ac:dyDescent="0.25"/>
    <row r="62475" s="12" customFormat="1" x14ac:dyDescent="0.25"/>
    <row r="62476" s="12" customFormat="1" x14ac:dyDescent="0.25"/>
    <row r="62477" s="12" customFormat="1" x14ac:dyDescent="0.25"/>
    <row r="62478" s="12" customFormat="1" x14ac:dyDescent="0.25"/>
    <row r="62479" s="12" customFormat="1" x14ac:dyDescent="0.25"/>
    <row r="62480" s="12" customFormat="1" x14ac:dyDescent="0.25"/>
    <row r="62481" s="12" customFormat="1" x14ac:dyDescent="0.25"/>
    <row r="62482" s="12" customFormat="1" x14ac:dyDescent="0.25"/>
    <row r="62483" s="12" customFormat="1" x14ac:dyDescent="0.25"/>
    <row r="62484" s="12" customFormat="1" x14ac:dyDescent="0.25"/>
    <row r="62485" s="12" customFormat="1" x14ac:dyDescent="0.25"/>
    <row r="62486" s="12" customFormat="1" x14ac:dyDescent="0.25"/>
    <row r="62487" s="12" customFormat="1" x14ac:dyDescent="0.25"/>
    <row r="62488" s="12" customFormat="1" x14ac:dyDescent="0.25"/>
    <row r="62489" s="12" customFormat="1" x14ac:dyDescent="0.25"/>
    <row r="62490" s="12" customFormat="1" x14ac:dyDescent="0.25"/>
    <row r="62491" s="12" customFormat="1" x14ac:dyDescent="0.25"/>
    <row r="62492" s="12" customFormat="1" x14ac:dyDescent="0.25"/>
    <row r="62493" s="12" customFormat="1" x14ac:dyDescent="0.25"/>
    <row r="62494" s="12" customFormat="1" x14ac:dyDescent="0.25"/>
    <row r="62495" s="12" customFormat="1" x14ac:dyDescent="0.25"/>
    <row r="62496" s="12" customFormat="1" x14ac:dyDescent="0.25"/>
    <row r="62497" s="12" customFormat="1" x14ac:dyDescent="0.25"/>
    <row r="62498" s="12" customFormat="1" x14ac:dyDescent="0.25"/>
    <row r="62499" s="12" customFormat="1" x14ac:dyDescent="0.25"/>
    <row r="62500" s="12" customFormat="1" x14ac:dyDescent="0.25"/>
    <row r="62501" s="12" customFormat="1" x14ac:dyDescent="0.25"/>
    <row r="62502" s="12" customFormat="1" x14ac:dyDescent="0.25"/>
    <row r="62503" s="12" customFormat="1" x14ac:dyDescent="0.25"/>
    <row r="62504" s="12" customFormat="1" x14ac:dyDescent="0.25"/>
    <row r="62505" s="12" customFormat="1" x14ac:dyDescent="0.25"/>
    <row r="62506" s="12" customFormat="1" x14ac:dyDescent="0.25"/>
    <row r="62507" s="12" customFormat="1" x14ac:dyDescent="0.25"/>
    <row r="62508" s="12" customFormat="1" x14ac:dyDescent="0.25"/>
    <row r="62509" s="12" customFormat="1" x14ac:dyDescent="0.25"/>
    <row r="62510" s="12" customFormat="1" x14ac:dyDescent="0.25"/>
    <row r="62511" s="12" customFormat="1" x14ac:dyDescent="0.25"/>
    <row r="62512" s="12" customFormat="1" x14ac:dyDescent="0.25"/>
    <row r="62513" s="12" customFormat="1" x14ac:dyDescent="0.25"/>
    <row r="62514" s="12" customFormat="1" x14ac:dyDescent="0.25"/>
    <row r="62515" s="12" customFormat="1" x14ac:dyDescent="0.25"/>
    <row r="62516" s="12" customFormat="1" x14ac:dyDescent="0.25"/>
    <row r="62517" s="12" customFormat="1" x14ac:dyDescent="0.25"/>
    <row r="62518" s="12" customFormat="1" x14ac:dyDescent="0.25"/>
    <row r="62519" s="12" customFormat="1" x14ac:dyDescent="0.25"/>
    <row r="62520" s="12" customFormat="1" x14ac:dyDescent="0.25"/>
    <row r="62521" s="12" customFormat="1" x14ac:dyDescent="0.25"/>
    <row r="62522" s="12" customFormat="1" x14ac:dyDescent="0.25"/>
    <row r="62523" s="12" customFormat="1" x14ac:dyDescent="0.25"/>
    <row r="62524" s="12" customFormat="1" x14ac:dyDescent="0.25"/>
    <row r="62525" s="12" customFormat="1" x14ac:dyDescent="0.25"/>
    <row r="62526" s="12" customFormat="1" x14ac:dyDescent="0.25"/>
    <row r="62527" s="12" customFormat="1" x14ac:dyDescent="0.25"/>
    <row r="62528" s="12" customFormat="1" x14ac:dyDescent="0.25"/>
    <row r="62529" s="12" customFormat="1" x14ac:dyDescent="0.25"/>
    <row r="62530" s="12" customFormat="1" x14ac:dyDescent="0.25"/>
    <row r="62531" s="12" customFormat="1" x14ac:dyDescent="0.25"/>
    <row r="62532" s="12" customFormat="1" x14ac:dyDescent="0.25"/>
    <row r="62533" s="12" customFormat="1" x14ac:dyDescent="0.25"/>
    <row r="62534" s="12" customFormat="1" x14ac:dyDescent="0.25"/>
    <row r="62535" s="12" customFormat="1" x14ac:dyDescent="0.25"/>
    <row r="62536" s="12" customFormat="1" x14ac:dyDescent="0.25"/>
    <row r="62537" s="12" customFormat="1" x14ac:dyDescent="0.25"/>
    <row r="62538" s="12" customFormat="1" x14ac:dyDescent="0.25"/>
    <row r="62539" s="12" customFormat="1" x14ac:dyDescent="0.25"/>
    <row r="62540" s="12" customFormat="1" x14ac:dyDescent="0.25"/>
    <row r="62541" s="12" customFormat="1" x14ac:dyDescent="0.25"/>
    <row r="62542" s="12" customFormat="1" x14ac:dyDescent="0.25"/>
    <row r="62543" s="12" customFormat="1" x14ac:dyDescent="0.25"/>
    <row r="62544" s="12" customFormat="1" x14ac:dyDescent="0.25"/>
    <row r="62545" s="12" customFormat="1" x14ac:dyDescent="0.25"/>
    <row r="62546" s="12" customFormat="1" x14ac:dyDescent="0.25"/>
    <row r="62547" s="12" customFormat="1" x14ac:dyDescent="0.25"/>
    <row r="62548" s="12" customFormat="1" x14ac:dyDescent="0.25"/>
    <row r="62549" s="12" customFormat="1" x14ac:dyDescent="0.25"/>
    <row r="62550" s="12" customFormat="1" x14ac:dyDescent="0.25"/>
    <row r="62551" s="12" customFormat="1" x14ac:dyDescent="0.25"/>
    <row r="62552" s="12" customFormat="1" x14ac:dyDescent="0.25"/>
    <row r="62553" s="12" customFormat="1" x14ac:dyDescent="0.25"/>
    <row r="62554" s="12" customFormat="1" x14ac:dyDescent="0.25"/>
    <row r="62555" s="12" customFormat="1" x14ac:dyDescent="0.25"/>
    <row r="62556" s="12" customFormat="1" x14ac:dyDescent="0.25"/>
    <row r="62557" s="12" customFormat="1" x14ac:dyDescent="0.25"/>
    <row r="62558" s="12" customFormat="1" x14ac:dyDescent="0.25"/>
    <row r="62559" s="12" customFormat="1" x14ac:dyDescent="0.25"/>
    <row r="62560" s="12" customFormat="1" x14ac:dyDescent="0.25"/>
    <row r="62561" s="12" customFormat="1" x14ac:dyDescent="0.25"/>
    <row r="62562" s="12" customFormat="1" x14ac:dyDescent="0.25"/>
    <row r="62563" s="12" customFormat="1" x14ac:dyDescent="0.25"/>
    <row r="62564" s="12" customFormat="1" x14ac:dyDescent="0.25"/>
    <row r="62565" s="12" customFormat="1" x14ac:dyDescent="0.25"/>
    <row r="62566" s="12" customFormat="1" x14ac:dyDescent="0.25"/>
    <row r="62567" s="12" customFormat="1" x14ac:dyDescent="0.25"/>
    <row r="62568" s="12" customFormat="1" x14ac:dyDescent="0.25"/>
    <row r="62569" s="12" customFormat="1" x14ac:dyDescent="0.25"/>
    <row r="62570" s="12" customFormat="1" x14ac:dyDescent="0.25"/>
    <row r="62571" s="12" customFormat="1" x14ac:dyDescent="0.25"/>
    <row r="62572" s="12" customFormat="1" x14ac:dyDescent="0.25"/>
    <row r="62573" s="12" customFormat="1" x14ac:dyDescent="0.25"/>
    <row r="62574" s="12" customFormat="1" x14ac:dyDescent="0.25"/>
    <row r="62575" s="12" customFormat="1" x14ac:dyDescent="0.25"/>
    <row r="62576" s="12" customFormat="1" x14ac:dyDescent="0.25"/>
    <row r="62577" s="12" customFormat="1" x14ac:dyDescent="0.25"/>
    <row r="62578" s="12" customFormat="1" x14ac:dyDescent="0.25"/>
    <row r="62579" s="12" customFormat="1" x14ac:dyDescent="0.25"/>
    <row r="62580" s="12" customFormat="1" x14ac:dyDescent="0.25"/>
    <row r="62581" s="12" customFormat="1" x14ac:dyDescent="0.25"/>
    <row r="62582" s="12" customFormat="1" x14ac:dyDescent="0.25"/>
    <row r="62583" s="12" customFormat="1" x14ac:dyDescent="0.25"/>
    <row r="62584" s="12" customFormat="1" x14ac:dyDescent="0.25"/>
    <row r="62585" s="12" customFormat="1" x14ac:dyDescent="0.25"/>
    <row r="62586" s="12" customFormat="1" x14ac:dyDescent="0.25"/>
    <row r="62587" s="12" customFormat="1" x14ac:dyDescent="0.25"/>
    <row r="62588" s="12" customFormat="1" x14ac:dyDescent="0.25"/>
    <row r="62589" s="12" customFormat="1" x14ac:dyDescent="0.25"/>
    <row r="62590" s="12" customFormat="1" x14ac:dyDescent="0.25"/>
    <row r="62591" s="12" customFormat="1" x14ac:dyDescent="0.25"/>
    <row r="62592" s="12" customFormat="1" x14ac:dyDescent="0.25"/>
    <row r="62593" s="12" customFormat="1" x14ac:dyDescent="0.25"/>
    <row r="62594" s="12" customFormat="1" x14ac:dyDescent="0.25"/>
    <row r="62595" s="12" customFormat="1" x14ac:dyDescent="0.25"/>
    <row r="62596" s="12" customFormat="1" x14ac:dyDescent="0.25"/>
    <row r="62597" s="12" customFormat="1" x14ac:dyDescent="0.25"/>
    <row r="62598" s="12" customFormat="1" x14ac:dyDescent="0.25"/>
    <row r="62599" s="12" customFormat="1" x14ac:dyDescent="0.25"/>
    <row r="62600" s="12" customFormat="1" x14ac:dyDescent="0.25"/>
    <row r="62601" s="12" customFormat="1" x14ac:dyDescent="0.25"/>
    <row r="62602" s="12" customFormat="1" x14ac:dyDescent="0.25"/>
    <row r="62603" s="12" customFormat="1" x14ac:dyDescent="0.25"/>
    <row r="62604" s="12" customFormat="1" x14ac:dyDescent="0.25"/>
    <row r="62605" s="12" customFormat="1" x14ac:dyDescent="0.25"/>
    <row r="62606" s="12" customFormat="1" x14ac:dyDescent="0.25"/>
    <row r="62607" s="12" customFormat="1" x14ac:dyDescent="0.25"/>
    <row r="62608" s="12" customFormat="1" x14ac:dyDescent="0.25"/>
    <row r="62609" s="12" customFormat="1" x14ac:dyDescent="0.25"/>
    <row r="62610" s="12" customFormat="1" x14ac:dyDescent="0.25"/>
    <row r="62611" s="12" customFormat="1" x14ac:dyDescent="0.25"/>
    <row r="62612" s="12" customFormat="1" x14ac:dyDescent="0.25"/>
    <row r="62613" s="12" customFormat="1" x14ac:dyDescent="0.25"/>
    <row r="62614" s="12" customFormat="1" x14ac:dyDescent="0.25"/>
    <row r="62615" s="12" customFormat="1" x14ac:dyDescent="0.25"/>
    <row r="62616" s="12" customFormat="1" x14ac:dyDescent="0.25"/>
    <row r="62617" s="12" customFormat="1" x14ac:dyDescent="0.25"/>
    <row r="62618" s="12" customFormat="1" x14ac:dyDescent="0.25"/>
    <row r="62619" s="12" customFormat="1" x14ac:dyDescent="0.25"/>
    <row r="62620" s="12" customFormat="1" x14ac:dyDescent="0.25"/>
    <row r="62621" s="12" customFormat="1" x14ac:dyDescent="0.25"/>
    <row r="62622" s="12" customFormat="1" x14ac:dyDescent="0.25"/>
    <row r="62623" s="12" customFormat="1" x14ac:dyDescent="0.25"/>
    <row r="62624" s="12" customFormat="1" x14ac:dyDescent="0.25"/>
    <row r="62625" s="12" customFormat="1" x14ac:dyDescent="0.25"/>
    <row r="62626" s="12" customFormat="1" x14ac:dyDescent="0.25"/>
    <row r="62627" s="12" customFormat="1" x14ac:dyDescent="0.25"/>
    <row r="62628" s="12" customFormat="1" x14ac:dyDescent="0.25"/>
    <row r="62629" s="12" customFormat="1" x14ac:dyDescent="0.25"/>
    <row r="62630" s="12" customFormat="1" x14ac:dyDescent="0.25"/>
    <row r="62631" s="12" customFormat="1" x14ac:dyDescent="0.25"/>
    <row r="62632" s="12" customFormat="1" x14ac:dyDescent="0.25"/>
    <row r="62633" s="12" customFormat="1" x14ac:dyDescent="0.25"/>
    <row r="62634" s="12" customFormat="1" x14ac:dyDescent="0.25"/>
    <row r="62635" s="12" customFormat="1" x14ac:dyDescent="0.25"/>
    <row r="62636" s="12" customFormat="1" x14ac:dyDescent="0.25"/>
    <row r="62637" s="12" customFormat="1" x14ac:dyDescent="0.25"/>
    <row r="62638" s="12" customFormat="1" x14ac:dyDescent="0.25"/>
    <row r="62639" s="12" customFormat="1" x14ac:dyDescent="0.25"/>
    <row r="62640" s="12" customFormat="1" x14ac:dyDescent="0.25"/>
    <row r="62641" s="12" customFormat="1" x14ac:dyDescent="0.25"/>
    <row r="62642" s="12" customFormat="1" x14ac:dyDescent="0.25"/>
    <row r="62643" s="12" customFormat="1" x14ac:dyDescent="0.25"/>
    <row r="62644" s="12" customFormat="1" x14ac:dyDescent="0.25"/>
    <row r="62645" s="12" customFormat="1" x14ac:dyDescent="0.25"/>
    <row r="62646" s="12" customFormat="1" x14ac:dyDescent="0.25"/>
    <row r="62647" s="12" customFormat="1" x14ac:dyDescent="0.25"/>
    <row r="62648" s="12" customFormat="1" x14ac:dyDescent="0.25"/>
    <row r="62649" s="12" customFormat="1" x14ac:dyDescent="0.25"/>
    <row r="62650" s="12" customFormat="1" x14ac:dyDescent="0.25"/>
    <row r="62651" s="12" customFormat="1" x14ac:dyDescent="0.25"/>
    <row r="62652" s="12" customFormat="1" x14ac:dyDescent="0.25"/>
    <row r="62653" s="12" customFormat="1" x14ac:dyDescent="0.25"/>
    <row r="62654" s="12" customFormat="1" x14ac:dyDescent="0.25"/>
    <row r="62655" s="12" customFormat="1" x14ac:dyDescent="0.25"/>
    <row r="62656" s="12" customFormat="1" x14ac:dyDescent="0.25"/>
    <row r="62657" s="12" customFormat="1" x14ac:dyDescent="0.25"/>
    <row r="62658" s="12" customFormat="1" x14ac:dyDescent="0.25"/>
    <row r="62659" s="12" customFormat="1" x14ac:dyDescent="0.25"/>
    <row r="62660" s="12" customFormat="1" x14ac:dyDescent="0.25"/>
    <row r="62661" s="12" customFormat="1" x14ac:dyDescent="0.25"/>
    <row r="62662" s="12" customFormat="1" x14ac:dyDescent="0.25"/>
    <row r="62663" s="12" customFormat="1" x14ac:dyDescent="0.25"/>
    <row r="62664" s="12" customFormat="1" x14ac:dyDescent="0.25"/>
    <row r="62665" s="12" customFormat="1" x14ac:dyDescent="0.25"/>
    <row r="62666" s="12" customFormat="1" x14ac:dyDescent="0.25"/>
    <row r="62667" s="12" customFormat="1" x14ac:dyDescent="0.25"/>
    <row r="62668" s="12" customFormat="1" x14ac:dyDescent="0.25"/>
    <row r="62669" s="12" customFormat="1" x14ac:dyDescent="0.25"/>
    <row r="62670" s="12" customFormat="1" x14ac:dyDescent="0.25"/>
    <row r="62671" s="12" customFormat="1" x14ac:dyDescent="0.25"/>
    <row r="62672" s="12" customFormat="1" x14ac:dyDescent="0.25"/>
    <row r="62673" s="12" customFormat="1" x14ac:dyDescent="0.25"/>
    <row r="62674" s="12" customFormat="1" x14ac:dyDescent="0.25"/>
    <row r="62675" s="12" customFormat="1" x14ac:dyDescent="0.25"/>
    <row r="62676" s="12" customFormat="1" x14ac:dyDescent="0.25"/>
    <row r="62677" s="12" customFormat="1" x14ac:dyDescent="0.25"/>
    <row r="62678" s="12" customFormat="1" x14ac:dyDescent="0.25"/>
    <row r="62679" s="12" customFormat="1" x14ac:dyDescent="0.25"/>
    <row r="62680" s="12" customFormat="1" x14ac:dyDescent="0.25"/>
    <row r="62681" s="12" customFormat="1" x14ac:dyDescent="0.25"/>
    <row r="62682" s="12" customFormat="1" x14ac:dyDescent="0.25"/>
    <row r="62683" s="12" customFormat="1" x14ac:dyDescent="0.25"/>
    <row r="62684" s="12" customFormat="1" x14ac:dyDescent="0.25"/>
    <row r="62685" s="12" customFormat="1" x14ac:dyDescent="0.25"/>
    <row r="62686" s="12" customFormat="1" x14ac:dyDescent="0.25"/>
    <row r="62687" s="12" customFormat="1" x14ac:dyDescent="0.25"/>
    <row r="62688" s="12" customFormat="1" x14ac:dyDescent="0.25"/>
    <row r="62689" s="12" customFormat="1" x14ac:dyDescent="0.25"/>
    <row r="62690" s="12" customFormat="1" x14ac:dyDescent="0.25"/>
    <row r="62691" s="12" customFormat="1" x14ac:dyDescent="0.25"/>
    <row r="62692" s="12" customFormat="1" x14ac:dyDescent="0.25"/>
    <row r="62693" s="12" customFormat="1" x14ac:dyDescent="0.25"/>
    <row r="62694" s="12" customFormat="1" x14ac:dyDescent="0.25"/>
    <row r="62695" s="12" customFormat="1" x14ac:dyDescent="0.25"/>
    <row r="62696" s="12" customFormat="1" x14ac:dyDescent="0.25"/>
    <row r="62697" s="12" customFormat="1" x14ac:dyDescent="0.25"/>
    <row r="62698" s="12" customFormat="1" x14ac:dyDescent="0.25"/>
    <row r="62699" s="12" customFormat="1" x14ac:dyDescent="0.25"/>
    <row r="62700" s="12" customFormat="1" x14ac:dyDescent="0.25"/>
    <row r="62701" s="12" customFormat="1" x14ac:dyDescent="0.25"/>
    <row r="62702" s="12" customFormat="1" x14ac:dyDescent="0.25"/>
    <row r="62703" s="12" customFormat="1" x14ac:dyDescent="0.25"/>
    <row r="62704" s="12" customFormat="1" x14ac:dyDescent="0.25"/>
    <row r="62705" s="12" customFormat="1" x14ac:dyDescent="0.25"/>
    <row r="62706" s="12" customFormat="1" x14ac:dyDescent="0.25"/>
    <row r="62707" s="12" customFormat="1" x14ac:dyDescent="0.25"/>
    <row r="62708" s="12" customFormat="1" x14ac:dyDescent="0.25"/>
    <row r="62709" s="12" customFormat="1" x14ac:dyDescent="0.25"/>
    <row r="62710" s="12" customFormat="1" x14ac:dyDescent="0.25"/>
    <row r="62711" s="12" customFormat="1" x14ac:dyDescent="0.25"/>
    <row r="62712" s="12" customFormat="1" x14ac:dyDescent="0.25"/>
    <row r="62713" s="12" customFormat="1" x14ac:dyDescent="0.25"/>
    <row r="62714" s="12" customFormat="1" x14ac:dyDescent="0.25"/>
    <row r="62715" s="12" customFormat="1" x14ac:dyDescent="0.25"/>
    <row r="62716" s="12" customFormat="1" x14ac:dyDescent="0.25"/>
    <row r="62717" s="12" customFormat="1" x14ac:dyDescent="0.25"/>
    <row r="62718" s="12" customFormat="1" x14ac:dyDescent="0.25"/>
    <row r="62719" s="12" customFormat="1" x14ac:dyDescent="0.25"/>
    <row r="62720" s="12" customFormat="1" x14ac:dyDescent="0.25"/>
    <row r="62721" s="12" customFormat="1" x14ac:dyDescent="0.25"/>
    <row r="62722" s="12" customFormat="1" x14ac:dyDescent="0.25"/>
    <row r="62723" s="12" customFormat="1" x14ac:dyDescent="0.25"/>
    <row r="62724" s="12" customFormat="1" x14ac:dyDescent="0.25"/>
    <row r="62725" s="12" customFormat="1" x14ac:dyDescent="0.25"/>
    <row r="62726" s="12" customFormat="1" x14ac:dyDescent="0.25"/>
    <row r="62727" s="12" customFormat="1" x14ac:dyDescent="0.25"/>
    <row r="62728" s="12" customFormat="1" x14ac:dyDescent="0.25"/>
    <row r="62729" s="12" customFormat="1" x14ac:dyDescent="0.25"/>
    <row r="62730" s="12" customFormat="1" x14ac:dyDescent="0.25"/>
    <row r="62731" s="12" customFormat="1" x14ac:dyDescent="0.25"/>
    <row r="62732" s="12" customFormat="1" x14ac:dyDescent="0.25"/>
    <row r="62733" s="12" customFormat="1" x14ac:dyDescent="0.25"/>
    <row r="62734" s="12" customFormat="1" x14ac:dyDescent="0.25"/>
    <row r="62735" s="12" customFormat="1" x14ac:dyDescent="0.25"/>
    <row r="62736" s="12" customFormat="1" x14ac:dyDescent="0.25"/>
    <row r="62737" s="12" customFormat="1" x14ac:dyDescent="0.25"/>
    <row r="62738" s="12" customFormat="1" x14ac:dyDescent="0.25"/>
    <row r="62739" s="12" customFormat="1" x14ac:dyDescent="0.25"/>
    <row r="62740" s="12" customFormat="1" x14ac:dyDescent="0.25"/>
    <row r="62741" s="12" customFormat="1" x14ac:dyDescent="0.25"/>
    <row r="62742" s="12" customFormat="1" x14ac:dyDescent="0.25"/>
    <row r="62743" s="12" customFormat="1" x14ac:dyDescent="0.25"/>
    <row r="62744" s="12" customFormat="1" x14ac:dyDescent="0.25"/>
    <row r="62745" s="12" customFormat="1" x14ac:dyDescent="0.25"/>
    <row r="62746" s="12" customFormat="1" x14ac:dyDescent="0.25"/>
    <row r="62747" s="12" customFormat="1" x14ac:dyDescent="0.25"/>
    <row r="62748" s="12" customFormat="1" x14ac:dyDescent="0.25"/>
    <row r="62749" s="12" customFormat="1" x14ac:dyDescent="0.25"/>
    <row r="62750" s="12" customFormat="1" x14ac:dyDescent="0.25"/>
    <row r="62751" s="12" customFormat="1" x14ac:dyDescent="0.25"/>
    <row r="62752" s="12" customFormat="1" x14ac:dyDescent="0.25"/>
    <row r="62753" s="12" customFormat="1" x14ac:dyDescent="0.25"/>
    <row r="62754" s="12" customFormat="1" x14ac:dyDescent="0.25"/>
    <row r="62755" s="12" customFormat="1" x14ac:dyDescent="0.25"/>
    <row r="62756" s="12" customFormat="1" x14ac:dyDescent="0.25"/>
    <row r="62757" s="12" customFormat="1" x14ac:dyDescent="0.25"/>
    <row r="62758" s="12" customFormat="1" x14ac:dyDescent="0.25"/>
    <row r="62759" s="12" customFormat="1" x14ac:dyDescent="0.25"/>
    <row r="62760" s="12" customFormat="1" x14ac:dyDescent="0.25"/>
    <row r="62761" s="12" customFormat="1" x14ac:dyDescent="0.25"/>
    <row r="62762" s="12" customFormat="1" x14ac:dyDescent="0.25"/>
    <row r="62763" s="12" customFormat="1" x14ac:dyDescent="0.25"/>
    <row r="62764" s="12" customFormat="1" x14ac:dyDescent="0.25"/>
    <row r="62765" s="12" customFormat="1" x14ac:dyDescent="0.25"/>
    <row r="62766" s="12" customFormat="1" x14ac:dyDescent="0.25"/>
    <row r="62767" s="12" customFormat="1" x14ac:dyDescent="0.25"/>
    <row r="62768" s="12" customFormat="1" x14ac:dyDescent="0.25"/>
    <row r="62769" s="12" customFormat="1" x14ac:dyDescent="0.25"/>
    <row r="62770" s="12" customFormat="1" x14ac:dyDescent="0.25"/>
    <row r="62771" s="12" customFormat="1" x14ac:dyDescent="0.25"/>
    <row r="62772" s="12" customFormat="1" x14ac:dyDescent="0.25"/>
    <row r="62773" s="12" customFormat="1" x14ac:dyDescent="0.25"/>
    <row r="62774" s="12" customFormat="1" x14ac:dyDescent="0.25"/>
    <row r="62775" s="12" customFormat="1" x14ac:dyDescent="0.25"/>
    <row r="62776" s="12" customFormat="1" x14ac:dyDescent="0.25"/>
    <row r="62777" s="12" customFormat="1" x14ac:dyDescent="0.25"/>
    <row r="62778" s="12" customFormat="1" x14ac:dyDescent="0.25"/>
    <row r="62779" s="12" customFormat="1" x14ac:dyDescent="0.25"/>
    <row r="62780" s="12" customFormat="1" x14ac:dyDescent="0.25"/>
    <row r="62781" s="12" customFormat="1" x14ac:dyDescent="0.25"/>
    <row r="62782" s="12" customFormat="1" x14ac:dyDescent="0.25"/>
    <row r="62783" s="12" customFormat="1" x14ac:dyDescent="0.25"/>
    <row r="62784" s="12" customFormat="1" x14ac:dyDescent="0.25"/>
    <row r="62785" s="12" customFormat="1" x14ac:dyDescent="0.25"/>
    <row r="62786" s="12" customFormat="1" x14ac:dyDescent="0.25"/>
    <row r="62787" s="12" customFormat="1" x14ac:dyDescent="0.25"/>
    <row r="62788" s="12" customFormat="1" x14ac:dyDescent="0.25"/>
    <row r="62789" s="12" customFormat="1" x14ac:dyDescent="0.25"/>
    <row r="62790" s="12" customFormat="1" x14ac:dyDescent="0.25"/>
    <row r="62791" s="12" customFormat="1" x14ac:dyDescent="0.25"/>
    <row r="62792" s="12" customFormat="1" x14ac:dyDescent="0.25"/>
    <row r="62793" s="12" customFormat="1" x14ac:dyDescent="0.25"/>
    <row r="62794" s="12" customFormat="1" x14ac:dyDescent="0.25"/>
    <row r="62795" s="12" customFormat="1" x14ac:dyDescent="0.25"/>
    <row r="62796" s="12" customFormat="1" x14ac:dyDescent="0.25"/>
    <row r="62797" s="12" customFormat="1" x14ac:dyDescent="0.25"/>
    <row r="62798" s="12" customFormat="1" x14ac:dyDescent="0.25"/>
    <row r="62799" s="12" customFormat="1" x14ac:dyDescent="0.25"/>
    <row r="62800" s="12" customFormat="1" x14ac:dyDescent="0.25"/>
    <row r="62801" s="12" customFormat="1" x14ac:dyDescent="0.25"/>
    <row r="62802" s="12" customFormat="1" x14ac:dyDescent="0.25"/>
    <row r="62803" s="12" customFormat="1" x14ac:dyDescent="0.25"/>
    <row r="62804" s="12" customFormat="1" x14ac:dyDescent="0.25"/>
    <row r="62805" s="12" customFormat="1" x14ac:dyDescent="0.25"/>
    <row r="62806" s="12" customFormat="1" x14ac:dyDescent="0.25"/>
    <row r="62807" s="12" customFormat="1" x14ac:dyDescent="0.25"/>
    <row r="62808" s="12" customFormat="1" x14ac:dyDescent="0.25"/>
    <row r="62809" s="12" customFormat="1" x14ac:dyDescent="0.25"/>
    <row r="62810" s="12" customFormat="1" x14ac:dyDescent="0.25"/>
    <row r="62811" s="12" customFormat="1" x14ac:dyDescent="0.25"/>
    <row r="62812" s="12" customFormat="1" x14ac:dyDescent="0.25"/>
    <row r="62813" s="12" customFormat="1" x14ac:dyDescent="0.25"/>
    <row r="62814" s="12" customFormat="1" x14ac:dyDescent="0.25"/>
    <row r="62815" s="12" customFormat="1" x14ac:dyDescent="0.25"/>
    <row r="62816" s="12" customFormat="1" x14ac:dyDescent="0.25"/>
    <row r="62817" s="12" customFormat="1" x14ac:dyDescent="0.25"/>
    <row r="62818" s="12" customFormat="1" x14ac:dyDescent="0.25"/>
    <row r="62819" s="12" customFormat="1" x14ac:dyDescent="0.25"/>
    <row r="62820" s="12" customFormat="1" x14ac:dyDescent="0.25"/>
    <row r="62821" s="12" customFormat="1" x14ac:dyDescent="0.25"/>
    <row r="62822" s="12" customFormat="1" x14ac:dyDescent="0.25"/>
    <row r="62823" s="12" customFormat="1" x14ac:dyDescent="0.25"/>
    <row r="62824" s="12" customFormat="1" x14ac:dyDescent="0.25"/>
    <row r="62825" s="12" customFormat="1" x14ac:dyDescent="0.25"/>
    <row r="62826" s="12" customFormat="1" x14ac:dyDescent="0.25"/>
    <row r="62827" s="12" customFormat="1" x14ac:dyDescent="0.25"/>
    <row r="62828" s="12" customFormat="1" x14ac:dyDescent="0.25"/>
    <row r="62829" s="12" customFormat="1" x14ac:dyDescent="0.25"/>
    <row r="62830" s="12" customFormat="1" x14ac:dyDescent="0.25"/>
    <row r="62831" s="12" customFormat="1" x14ac:dyDescent="0.25"/>
    <row r="62832" s="12" customFormat="1" x14ac:dyDescent="0.25"/>
    <row r="62833" s="12" customFormat="1" x14ac:dyDescent="0.25"/>
    <row r="62834" s="12" customFormat="1" x14ac:dyDescent="0.25"/>
    <row r="62835" s="12" customFormat="1" x14ac:dyDescent="0.25"/>
    <row r="62836" s="12" customFormat="1" x14ac:dyDescent="0.25"/>
    <row r="62837" s="12" customFormat="1" x14ac:dyDescent="0.25"/>
    <row r="62838" s="12" customFormat="1" x14ac:dyDescent="0.25"/>
    <row r="62839" s="12" customFormat="1" x14ac:dyDescent="0.25"/>
    <row r="62840" s="12" customFormat="1" x14ac:dyDescent="0.25"/>
    <row r="62841" s="12" customFormat="1" x14ac:dyDescent="0.25"/>
    <row r="62842" s="12" customFormat="1" x14ac:dyDescent="0.25"/>
    <row r="62843" s="12" customFormat="1" x14ac:dyDescent="0.25"/>
    <row r="62844" s="12" customFormat="1" x14ac:dyDescent="0.25"/>
    <row r="62845" s="12" customFormat="1" x14ac:dyDescent="0.25"/>
    <row r="62846" s="12" customFormat="1" x14ac:dyDescent="0.25"/>
    <row r="62847" s="12" customFormat="1" x14ac:dyDescent="0.25"/>
    <row r="62848" s="12" customFormat="1" x14ac:dyDescent="0.25"/>
    <row r="62849" s="12" customFormat="1" x14ac:dyDescent="0.25"/>
    <row r="62850" s="12" customFormat="1" x14ac:dyDescent="0.25"/>
    <row r="62851" s="12" customFormat="1" x14ac:dyDescent="0.25"/>
    <row r="62852" s="12" customFormat="1" x14ac:dyDescent="0.25"/>
    <row r="62853" s="12" customFormat="1" x14ac:dyDescent="0.25"/>
    <row r="62854" s="12" customFormat="1" x14ac:dyDescent="0.25"/>
    <row r="62855" s="12" customFormat="1" x14ac:dyDescent="0.25"/>
    <row r="62856" s="12" customFormat="1" x14ac:dyDescent="0.25"/>
    <row r="62857" s="12" customFormat="1" x14ac:dyDescent="0.25"/>
    <row r="62858" s="12" customFormat="1" x14ac:dyDescent="0.25"/>
    <row r="62859" s="12" customFormat="1" x14ac:dyDescent="0.25"/>
    <row r="62860" s="12" customFormat="1" x14ac:dyDescent="0.25"/>
    <row r="62861" s="12" customFormat="1" x14ac:dyDescent="0.25"/>
    <row r="62862" s="12" customFormat="1" x14ac:dyDescent="0.25"/>
    <row r="62863" s="12" customFormat="1" x14ac:dyDescent="0.25"/>
    <row r="62864" s="12" customFormat="1" x14ac:dyDescent="0.25"/>
    <row r="62865" s="12" customFormat="1" x14ac:dyDescent="0.25"/>
    <row r="62866" s="12" customFormat="1" x14ac:dyDescent="0.25"/>
    <row r="62867" s="12" customFormat="1" x14ac:dyDescent="0.25"/>
    <row r="62868" s="12" customFormat="1" x14ac:dyDescent="0.25"/>
    <row r="62869" s="12" customFormat="1" x14ac:dyDescent="0.25"/>
    <row r="62870" s="12" customFormat="1" x14ac:dyDescent="0.25"/>
    <row r="62871" s="12" customFormat="1" x14ac:dyDescent="0.25"/>
    <row r="62872" s="12" customFormat="1" x14ac:dyDescent="0.25"/>
    <row r="62873" s="12" customFormat="1" x14ac:dyDescent="0.25"/>
    <row r="62874" s="12" customFormat="1" x14ac:dyDescent="0.25"/>
    <row r="62875" s="12" customFormat="1" x14ac:dyDescent="0.25"/>
    <row r="62876" s="12" customFormat="1" x14ac:dyDescent="0.25"/>
    <row r="62877" s="12" customFormat="1" x14ac:dyDescent="0.25"/>
    <row r="62878" s="12" customFormat="1" x14ac:dyDescent="0.25"/>
    <row r="62879" s="12" customFormat="1" x14ac:dyDescent="0.25"/>
    <row r="62880" s="12" customFormat="1" x14ac:dyDescent="0.25"/>
    <row r="62881" s="12" customFormat="1" x14ac:dyDescent="0.25"/>
    <row r="62882" s="12" customFormat="1" x14ac:dyDescent="0.25"/>
    <row r="62883" s="12" customFormat="1" x14ac:dyDescent="0.25"/>
    <row r="62884" s="12" customFormat="1" x14ac:dyDescent="0.25"/>
    <row r="62885" s="12" customFormat="1" x14ac:dyDescent="0.25"/>
    <row r="62886" s="12" customFormat="1" x14ac:dyDescent="0.25"/>
    <row r="62887" s="12" customFormat="1" x14ac:dyDescent="0.25"/>
    <row r="62888" s="12" customFormat="1" x14ac:dyDescent="0.25"/>
    <row r="62889" s="12" customFormat="1" x14ac:dyDescent="0.25"/>
    <row r="62890" s="12" customFormat="1" x14ac:dyDescent="0.25"/>
    <row r="62891" s="12" customFormat="1" x14ac:dyDescent="0.25"/>
    <row r="62892" s="12" customFormat="1" x14ac:dyDescent="0.25"/>
    <row r="62893" s="12" customFormat="1" x14ac:dyDescent="0.25"/>
    <row r="62894" s="12" customFormat="1" x14ac:dyDescent="0.25"/>
    <row r="62895" s="12" customFormat="1" x14ac:dyDescent="0.25"/>
    <row r="62896" s="12" customFormat="1" x14ac:dyDescent="0.25"/>
    <row r="62897" s="12" customFormat="1" x14ac:dyDescent="0.25"/>
    <row r="62898" s="12" customFormat="1" x14ac:dyDescent="0.25"/>
    <row r="62899" s="12" customFormat="1" x14ac:dyDescent="0.25"/>
    <row r="62900" s="12" customFormat="1" x14ac:dyDescent="0.25"/>
    <row r="62901" s="12" customFormat="1" x14ac:dyDescent="0.25"/>
    <row r="62902" s="12" customFormat="1" x14ac:dyDescent="0.25"/>
    <row r="62903" s="12" customFormat="1" x14ac:dyDescent="0.25"/>
    <row r="62904" s="12" customFormat="1" x14ac:dyDescent="0.25"/>
    <row r="62905" s="12" customFormat="1" x14ac:dyDescent="0.25"/>
    <row r="62906" s="12" customFormat="1" x14ac:dyDescent="0.25"/>
    <row r="62907" s="12" customFormat="1" x14ac:dyDescent="0.25"/>
    <row r="62908" s="12" customFormat="1" x14ac:dyDescent="0.25"/>
    <row r="62909" s="12" customFormat="1" x14ac:dyDescent="0.25"/>
    <row r="62910" s="12" customFormat="1" x14ac:dyDescent="0.25"/>
    <row r="62911" s="12" customFormat="1" x14ac:dyDescent="0.25"/>
    <row r="62912" s="12" customFormat="1" x14ac:dyDescent="0.25"/>
    <row r="62913" s="12" customFormat="1" x14ac:dyDescent="0.25"/>
    <row r="62914" s="12" customFormat="1" x14ac:dyDescent="0.25"/>
    <row r="62915" s="12" customFormat="1" x14ac:dyDescent="0.25"/>
    <row r="62916" s="12" customFormat="1" x14ac:dyDescent="0.25"/>
    <row r="62917" s="12" customFormat="1" x14ac:dyDescent="0.25"/>
    <row r="62918" s="12" customFormat="1" x14ac:dyDescent="0.25"/>
    <row r="62919" s="12" customFormat="1" x14ac:dyDescent="0.25"/>
    <row r="62920" s="12" customFormat="1" x14ac:dyDescent="0.25"/>
    <row r="62921" s="12" customFormat="1" x14ac:dyDescent="0.25"/>
    <row r="62922" s="12" customFormat="1" x14ac:dyDescent="0.25"/>
    <row r="62923" s="12" customFormat="1" x14ac:dyDescent="0.25"/>
    <row r="62924" s="12" customFormat="1" x14ac:dyDescent="0.25"/>
    <row r="62925" s="12" customFormat="1" x14ac:dyDescent="0.25"/>
    <row r="62926" s="12" customFormat="1" x14ac:dyDescent="0.25"/>
    <row r="62927" s="12" customFormat="1" x14ac:dyDescent="0.25"/>
    <row r="62928" s="12" customFormat="1" x14ac:dyDescent="0.25"/>
    <row r="62929" s="12" customFormat="1" x14ac:dyDescent="0.25"/>
    <row r="62930" s="12" customFormat="1" x14ac:dyDescent="0.25"/>
    <row r="62931" s="12" customFormat="1" x14ac:dyDescent="0.25"/>
    <row r="62932" s="12" customFormat="1" x14ac:dyDescent="0.25"/>
    <row r="62933" s="12" customFormat="1" x14ac:dyDescent="0.25"/>
    <row r="62934" s="12" customFormat="1" x14ac:dyDescent="0.25"/>
    <row r="62935" s="12" customFormat="1" x14ac:dyDescent="0.25"/>
    <row r="62936" s="12" customFormat="1" x14ac:dyDescent="0.25"/>
    <row r="62937" s="12" customFormat="1" x14ac:dyDescent="0.25"/>
    <row r="62938" s="12" customFormat="1" x14ac:dyDescent="0.25"/>
    <row r="62939" s="12" customFormat="1" x14ac:dyDescent="0.25"/>
    <row r="62940" s="12" customFormat="1" x14ac:dyDescent="0.25"/>
    <row r="62941" s="12" customFormat="1" x14ac:dyDescent="0.25"/>
    <row r="62942" s="12" customFormat="1" x14ac:dyDescent="0.25"/>
    <row r="62943" s="12" customFormat="1" x14ac:dyDescent="0.25"/>
    <row r="62944" s="12" customFormat="1" x14ac:dyDescent="0.25"/>
    <row r="62945" s="12" customFormat="1" x14ac:dyDescent="0.25"/>
    <row r="62946" s="12" customFormat="1" x14ac:dyDescent="0.25"/>
    <row r="62947" s="12" customFormat="1" x14ac:dyDescent="0.25"/>
    <row r="62948" s="12" customFormat="1" x14ac:dyDescent="0.25"/>
    <row r="62949" s="12" customFormat="1" x14ac:dyDescent="0.25"/>
    <row r="62950" s="12" customFormat="1" x14ac:dyDescent="0.25"/>
    <row r="62951" s="12" customFormat="1" x14ac:dyDescent="0.25"/>
    <row r="62952" s="12" customFormat="1" x14ac:dyDescent="0.25"/>
    <row r="62953" s="12" customFormat="1" x14ac:dyDescent="0.25"/>
    <row r="62954" s="12" customFormat="1" x14ac:dyDescent="0.25"/>
    <row r="62955" s="12" customFormat="1" x14ac:dyDescent="0.25"/>
    <row r="62956" s="12" customFormat="1" x14ac:dyDescent="0.25"/>
    <row r="62957" s="12" customFormat="1" x14ac:dyDescent="0.25"/>
    <row r="62958" s="12" customFormat="1" x14ac:dyDescent="0.25"/>
    <row r="62959" s="12" customFormat="1" x14ac:dyDescent="0.25"/>
    <row r="62960" s="12" customFormat="1" x14ac:dyDescent="0.25"/>
    <row r="62961" s="12" customFormat="1" x14ac:dyDescent="0.25"/>
    <row r="62962" s="12" customFormat="1" x14ac:dyDescent="0.25"/>
    <row r="62963" s="12" customFormat="1" x14ac:dyDescent="0.25"/>
    <row r="62964" s="12" customFormat="1" x14ac:dyDescent="0.25"/>
    <row r="62965" s="12" customFormat="1" x14ac:dyDescent="0.25"/>
    <row r="62966" s="12" customFormat="1" x14ac:dyDescent="0.25"/>
    <row r="62967" s="12" customFormat="1" x14ac:dyDescent="0.25"/>
    <row r="62968" s="12" customFormat="1" x14ac:dyDescent="0.25"/>
    <row r="62969" s="12" customFormat="1" x14ac:dyDescent="0.25"/>
    <row r="62970" s="12" customFormat="1" x14ac:dyDescent="0.25"/>
    <row r="62971" s="12" customFormat="1" x14ac:dyDescent="0.25"/>
    <row r="62972" s="12" customFormat="1" x14ac:dyDescent="0.25"/>
    <row r="62973" s="12" customFormat="1" x14ac:dyDescent="0.25"/>
    <row r="62974" s="12" customFormat="1" x14ac:dyDescent="0.25"/>
    <row r="62975" s="12" customFormat="1" x14ac:dyDescent="0.25"/>
    <row r="62976" s="12" customFormat="1" x14ac:dyDescent="0.25"/>
    <row r="62977" s="12" customFormat="1" x14ac:dyDescent="0.25"/>
    <row r="62978" s="12" customFormat="1" x14ac:dyDescent="0.25"/>
    <row r="62979" s="12" customFormat="1" x14ac:dyDescent="0.25"/>
    <row r="62980" s="12" customFormat="1" x14ac:dyDescent="0.25"/>
    <row r="62981" s="12" customFormat="1" x14ac:dyDescent="0.25"/>
    <row r="62982" s="12" customFormat="1" x14ac:dyDescent="0.25"/>
    <row r="62983" s="12" customFormat="1" x14ac:dyDescent="0.25"/>
    <row r="62984" s="12" customFormat="1" x14ac:dyDescent="0.25"/>
    <row r="62985" s="12" customFormat="1" x14ac:dyDescent="0.25"/>
    <row r="62986" s="12" customFormat="1" x14ac:dyDescent="0.25"/>
    <row r="62987" s="12" customFormat="1" x14ac:dyDescent="0.25"/>
    <row r="62988" s="12" customFormat="1" x14ac:dyDescent="0.25"/>
    <row r="62989" s="12" customFormat="1" x14ac:dyDescent="0.25"/>
    <row r="62990" s="12" customFormat="1" x14ac:dyDescent="0.25"/>
    <row r="62991" s="12" customFormat="1" x14ac:dyDescent="0.25"/>
    <row r="62992" s="12" customFormat="1" x14ac:dyDescent="0.25"/>
    <row r="62993" s="12" customFormat="1" x14ac:dyDescent="0.25"/>
    <row r="62994" s="12" customFormat="1" x14ac:dyDescent="0.25"/>
    <row r="62995" s="12" customFormat="1" x14ac:dyDescent="0.25"/>
    <row r="62996" s="12" customFormat="1" x14ac:dyDescent="0.25"/>
    <row r="62997" s="12" customFormat="1" x14ac:dyDescent="0.25"/>
    <row r="62998" s="12" customFormat="1" x14ac:dyDescent="0.25"/>
    <row r="62999" s="12" customFormat="1" x14ac:dyDescent="0.25"/>
    <row r="63000" s="12" customFormat="1" x14ac:dyDescent="0.25"/>
    <row r="63001" s="12" customFormat="1" x14ac:dyDescent="0.25"/>
    <row r="63002" s="12" customFormat="1" x14ac:dyDescent="0.25"/>
    <row r="63003" s="12" customFormat="1" x14ac:dyDescent="0.25"/>
    <row r="63004" s="12" customFormat="1" x14ac:dyDescent="0.25"/>
    <row r="63005" s="12" customFormat="1" x14ac:dyDescent="0.25"/>
    <row r="63006" s="12" customFormat="1" x14ac:dyDescent="0.25"/>
    <row r="63007" s="12" customFormat="1" x14ac:dyDescent="0.25"/>
    <row r="63008" s="12" customFormat="1" x14ac:dyDescent="0.25"/>
    <row r="63009" s="12" customFormat="1" x14ac:dyDescent="0.25"/>
    <row r="63010" s="12" customFormat="1" x14ac:dyDescent="0.25"/>
    <row r="63011" s="12" customFormat="1" x14ac:dyDescent="0.25"/>
    <row r="63012" s="12" customFormat="1" x14ac:dyDescent="0.25"/>
    <row r="63013" s="12" customFormat="1" x14ac:dyDescent="0.25"/>
    <row r="63014" s="12" customFormat="1" x14ac:dyDescent="0.25"/>
    <row r="63015" s="12" customFormat="1" x14ac:dyDescent="0.25"/>
    <row r="63016" s="12" customFormat="1" x14ac:dyDescent="0.25"/>
    <row r="63017" s="12" customFormat="1" x14ac:dyDescent="0.25"/>
    <row r="63018" s="12" customFormat="1" x14ac:dyDescent="0.25"/>
    <row r="63019" s="12" customFormat="1" x14ac:dyDescent="0.25"/>
    <row r="63020" s="12" customFormat="1" x14ac:dyDescent="0.25"/>
    <row r="63021" s="12" customFormat="1" x14ac:dyDescent="0.25"/>
    <row r="63022" s="12" customFormat="1" x14ac:dyDescent="0.25"/>
    <row r="63023" s="12" customFormat="1" x14ac:dyDescent="0.25"/>
    <row r="63024" s="12" customFormat="1" x14ac:dyDescent="0.25"/>
    <row r="63025" s="12" customFormat="1" x14ac:dyDescent="0.25"/>
    <row r="63026" s="12" customFormat="1" x14ac:dyDescent="0.25"/>
    <row r="63027" s="12" customFormat="1" x14ac:dyDescent="0.25"/>
    <row r="63028" s="12" customFormat="1" x14ac:dyDescent="0.25"/>
    <row r="63029" s="12" customFormat="1" x14ac:dyDescent="0.25"/>
    <row r="63030" s="12" customFormat="1" x14ac:dyDescent="0.25"/>
    <row r="63031" s="12" customFormat="1" x14ac:dyDescent="0.25"/>
    <row r="63032" s="12" customFormat="1" x14ac:dyDescent="0.25"/>
    <row r="63033" s="12" customFormat="1" x14ac:dyDescent="0.25"/>
    <row r="63034" s="12" customFormat="1" x14ac:dyDescent="0.25"/>
    <row r="63035" s="12" customFormat="1" x14ac:dyDescent="0.25"/>
    <row r="63036" s="12" customFormat="1" x14ac:dyDescent="0.25"/>
    <row r="63037" s="12" customFormat="1" x14ac:dyDescent="0.25"/>
    <row r="63038" s="12" customFormat="1" x14ac:dyDescent="0.25"/>
    <row r="63039" s="12" customFormat="1" x14ac:dyDescent="0.25"/>
    <row r="63040" s="12" customFormat="1" x14ac:dyDescent="0.25"/>
    <row r="63041" s="12" customFormat="1" x14ac:dyDescent="0.25"/>
    <row r="63042" s="12" customFormat="1" x14ac:dyDescent="0.25"/>
    <row r="63043" s="12" customFormat="1" x14ac:dyDescent="0.25"/>
    <row r="63044" s="12" customFormat="1" x14ac:dyDescent="0.25"/>
    <row r="63045" s="12" customFormat="1" x14ac:dyDescent="0.25"/>
    <row r="63046" s="12" customFormat="1" x14ac:dyDescent="0.25"/>
    <row r="63047" s="12" customFormat="1" x14ac:dyDescent="0.25"/>
    <row r="63048" s="12" customFormat="1" x14ac:dyDescent="0.25"/>
    <row r="63049" s="12" customFormat="1" x14ac:dyDescent="0.25"/>
    <row r="63050" s="12" customFormat="1" x14ac:dyDescent="0.25"/>
    <row r="63051" s="12" customFormat="1" x14ac:dyDescent="0.25"/>
    <row r="63052" s="12" customFormat="1" x14ac:dyDescent="0.25"/>
    <row r="63053" s="12" customFormat="1" x14ac:dyDescent="0.25"/>
    <row r="63054" s="12" customFormat="1" x14ac:dyDescent="0.25"/>
    <row r="63055" s="12" customFormat="1" x14ac:dyDescent="0.25"/>
    <row r="63056" s="12" customFormat="1" x14ac:dyDescent="0.25"/>
    <row r="63057" s="12" customFormat="1" x14ac:dyDescent="0.25"/>
    <row r="63058" s="12" customFormat="1" x14ac:dyDescent="0.25"/>
    <row r="63059" s="12" customFormat="1" x14ac:dyDescent="0.25"/>
    <row r="63060" s="12" customFormat="1" x14ac:dyDescent="0.25"/>
    <row r="63061" s="12" customFormat="1" x14ac:dyDescent="0.25"/>
    <row r="63062" s="12" customFormat="1" x14ac:dyDescent="0.25"/>
    <row r="63063" s="12" customFormat="1" x14ac:dyDescent="0.25"/>
    <row r="63064" s="12" customFormat="1" x14ac:dyDescent="0.25"/>
    <row r="63065" s="12" customFormat="1" x14ac:dyDescent="0.25"/>
    <row r="63066" s="12" customFormat="1" x14ac:dyDescent="0.25"/>
    <row r="63067" s="12" customFormat="1" x14ac:dyDescent="0.25"/>
    <row r="63068" s="12" customFormat="1" x14ac:dyDescent="0.25"/>
    <row r="63069" s="12" customFormat="1" x14ac:dyDescent="0.25"/>
    <row r="63070" s="12" customFormat="1" x14ac:dyDescent="0.25"/>
    <row r="63071" s="12" customFormat="1" x14ac:dyDescent="0.25"/>
    <row r="63072" s="12" customFormat="1" x14ac:dyDescent="0.25"/>
    <row r="63073" s="12" customFormat="1" x14ac:dyDescent="0.25"/>
    <row r="63074" s="12" customFormat="1" x14ac:dyDescent="0.25"/>
    <row r="63075" s="12" customFormat="1" x14ac:dyDescent="0.25"/>
    <row r="63076" s="12" customFormat="1" x14ac:dyDescent="0.25"/>
    <row r="63077" s="12" customFormat="1" x14ac:dyDescent="0.25"/>
    <row r="63078" s="12" customFormat="1" x14ac:dyDescent="0.25"/>
    <row r="63079" s="12" customFormat="1" x14ac:dyDescent="0.25"/>
    <row r="63080" s="12" customFormat="1" x14ac:dyDescent="0.25"/>
    <row r="63081" s="12" customFormat="1" x14ac:dyDescent="0.25"/>
    <row r="63082" s="12" customFormat="1" x14ac:dyDescent="0.25"/>
    <row r="63083" s="12" customFormat="1" x14ac:dyDescent="0.25"/>
    <row r="63084" s="12" customFormat="1" x14ac:dyDescent="0.25"/>
    <row r="63085" s="12" customFormat="1" x14ac:dyDescent="0.25"/>
    <row r="63086" s="12" customFormat="1" x14ac:dyDescent="0.25"/>
    <row r="63087" s="12" customFormat="1" x14ac:dyDescent="0.25"/>
    <row r="63088" s="12" customFormat="1" x14ac:dyDescent="0.25"/>
    <row r="63089" s="12" customFormat="1" x14ac:dyDescent="0.25"/>
    <row r="63090" s="12" customFormat="1" x14ac:dyDescent="0.25"/>
    <row r="63091" s="12" customFormat="1" x14ac:dyDescent="0.25"/>
    <row r="63092" s="12" customFormat="1" x14ac:dyDescent="0.25"/>
    <row r="63093" s="12" customFormat="1" x14ac:dyDescent="0.25"/>
    <row r="63094" s="12" customFormat="1" x14ac:dyDescent="0.25"/>
    <row r="63095" s="12" customFormat="1" x14ac:dyDescent="0.25"/>
    <row r="63096" s="12" customFormat="1" x14ac:dyDescent="0.25"/>
    <row r="63097" s="12" customFormat="1" x14ac:dyDescent="0.25"/>
    <row r="63098" s="12" customFormat="1" x14ac:dyDescent="0.25"/>
    <row r="63099" s="12" customFormat="1" x14ac:dyDescent="0.25"/>
    <row r="63100" s="12" customFormat="1" x14ac:dyDescent="0.25"/>
    <row r="63101" s="12" customFormat="1" x14ac:dyDescent="0.25"/>
    <row r="63102" s="12" customFormat="1" x14ac:dyDescent="0.25"/>
    <row r="63103" s="12" customFormat="1" x14ac:dyDescent="0.25"/>
    <row r="63104" s="12" customFormat="1" x14ac:dyDescent="0.25"/>
    <row r="63105" s="12" customFormat="1" x14ac:dyDescent="0.25"/>
    <row r="63106" s="12" customFormat="1" x14ac:dyDescent="0.25"/>
    <row r="63107" s="12" customFormat="1" x14ac:dyDescent="0.25"/>
    <row r="63108" s="12" customFormat="1" x14ac:dyDescent="0.25"/>
    <row r="63109" s="12" customFormat="1" x14ac:dyDescent="0.25"/>
    <row r="63110" s="12" customFormat="1" x14ac:dyDescent="0.25"/>
    <row r="63111" s="12" customFormat="1" x14ac:dyDescent="0.25"/>
    <row r="63112" s="12" customFormat="1" x14ac:dyDescent="0.25"/>
    <row r="63113" s="12" customFormat="1" x14ac:dyDescent="0.25"/>
    <row r="63114" s="12" customFormat="1" x14ac:dyDescent="0.25"/>
    <row r="63115" s="12" customFormat="1" x14ac:dyDescent="0.25"/>
    <row r="63116" s="12" customFormat="1" x14ac:dyDescent="0.25"/>
    <row r="63117" s="12" customFormat="1" x14ac:dyDescent="0.25"/>
    <row r="63118" s="12" customFormat="1" x14ac:dyDescent="0.25"/>
    <row r="63119" s="12" customFormat="1" x14ac:dyDescent="0.25"/>
    <row r="63120" s="12" customFormat="1" x14ac:dyDescent="0.25"/>
    <row r="63121" s="12" customFormat="1" x14ac:dyDescent="0.25"/>
    <row r="63122" s="12" customFormat="1" x14ac:dyDescent="0.25"/>
    <row r="63123" s="12" customFormat="1" x14ac:dyDescent="0.25"/>
    <row r="63124" s="12" customFormat="1" x14ac:dyDescent="0.25"/>
    <row r="63125" s="12" customFormat="1" x14ac:dyDescent="0.25"/>
    <row r="63126" s="12" customFormat="1" x14ac:dyDescent="0.25"/>
    <row r="63127" s="12" customFormat="1" x14ac:dyDescent="0.25"/>
    <row r="63128" s="12" customFormat="1" x14ac:dyDescent="0.25"/>
    <row r="63129" s="12" customFormat="1" x14ac:dyDescent="0.25"/>
    <row r="63130" s="12" customFormat="1" x14ac:dyDescent="0.25"/>
    <row r="63131" s="12" customFormat="1" x14ac:dyDescent="0.25"/>
    <row r="63132" s="12" customFormat="1" x14ac:dyDescent="0.25"/>
    <row r="63133" s="12" customFormat="1" x14ac:dyDescent="0.25"/>
    <row r="63134" s="12" customFormat="1" x14ac:dyDescent="0.25"/>
    <row r="63135" s="12" customFormat="1" x14ac:dyDescent="0.25"/>
    <row r="63136" s="12" customFormat="1" x14ac:dyDescent="0.25"/>
    <row r="63137" s="12" customFormat="1" x14ac:dyDescent="0.25"/>
    <row r="63138" s="12" customFormat="1" x14ac:dyDescent="0.25"/>
    <row r="63139" s="12" customFormat="1" x14ac:dyDescent="0.25"/>
    <row r="63140" s="12" customFormat="1" x14ac:dyDescent="0.25"/>
    <row r="63141" s="12" customFormat="1" x14ac:dyDescent="0.25"/>
    <row r="63142" s="12" customFormat="1" x14ac:dyDescent="0.25"/>
    <row r="63143" s="12" customFormat="1" x14ac:dyDescent="0.25"/>
    <row r="63144" s="12" customFormat="1" x14ac:dyDescent="0.25"/>
    <row r="63145" s="12" customFormat="1" x14ac:dyDescent="0.25"/>
    <row r="63146" s="12" customFormat="1" x14ac:dyDescent="0.25"/>
    <row r="63147" s="12" customFormat="1" x14ac:dyDescent="0.25"/>
    <row r="63148" s="12" customFormat="1" x14ac:dyDescent="0.25"/>
    <row r="63149" s="12" customFormat="1" x14ac:dyDescent="0.25"/>
    <row r="63150" s="12" customFormat="1" x14ac:dyDescent="0.25"/>
    <row r="63151" s="12" customFormat="1" x14ac:dyDescent="0.25"/>
    <row r="63152" s="12" customFormat="1" x14ac:dyDescent="0.25"/>
    <row r="63153" s="12" customFormat="1" x14ac:dyDescent="0.25"/>
    <row r="63154" s="12" customFormat="1" x14ac:dyDescent="0.25"/>
    <row r="63155" s="12" customFormat="1" x14ac:dyDescent="0.25"/>
    <row r="63156" s="12" customFormat="1" x14ac:dyDescent="0.25"/>
    <row r="63157" s="12" customFormat="1" x14ac:dyDescent="0.25"/>
    <row r="63158" s="12" customFormat="1" x14ac:dyDescent="0.25"/>
    <row r="63159" s="12" customFormat="1" x14ac:dyDescent="0.25"/>
    <row r="63160" s="12" customFormat="1" x14ac:dyDescent="0.25"/>
    <row r="63161" s="12" customFormat="1" x14ac:dyDescent="0.25"/>
    <row r="63162" s="12" customFormat="1" x14ac:dyDescent="0.25"/>
    <row r="63163" s="12" customFormat="1" x14ac:dyDescent="0.25"/>
    <row r="63164" s="12" customFormat="1" x14ac:dyDescent="0.25"/>
    <row r="63165" s="12" customFormat="1" x14ac:dyDescent="0.25"/>
    <row r="63166" s="12" customFormat="1" x14ac:dyDescent="0.25"/>
    <row r="63167" s="12" customFormat="1" x14ac:dyDescent="0.25"/>
    <row r="63168" s="12" customFormat="1" x14ac:dyDescent="0.25"/>
    <row r="63169" s="12" customFormat="1" x14ac:dyDescent="0.25"/>
    <row r="63170" s="12" customFormat="1" x14ac:dyDescent="0.25"/>
    <row r="63171" s="12" customFormat="1" x14ac:dyDescent="0.25"/>
    <row r="63172" s="12" customFormat="1" x14ac:dyDescent="0.25"/>
    <row r="63173" s="12" customFormat="1" x14ac:dyDescent="0.25"/>
    <row r="63174" s="12" customFormat="1" x14ac:dyDescent="0.25"/>
    <row r="63175" s="12" customFormat="1" x14ac:dyDescent="0.25"/>
    <row r="63176" s="12" customFormat="1" x14ac:dyDescent="0.25"/>
    <row r="63177" s="12" customFormat="1" x14ac:dyDescent="0.25"/>
    <row r="63178" s="12" customFormat="1" x14ac:dyDescent="0.25"/>
    <row r="63179" s="12" customFormat="1" x14ac:dyDescent="0.25"/>
    <row r="63180" s="12" customFormat="1" x14ac:dyDescent="0.25"/>
    <row r="63181" s="12" customFormat="1" x14ac:dyDescent="0.25"/>
    <row r="63182" s="12" customFormat="1" x14ac:dyDescent="0.25"/>
    <row r="63183" s="12" customFormat="1" x14ac:dyDescent="0.25"/>
    <row r="63184" s="12" customFormat="1" x14ac:dyDescent="0.25"/>
    <row r="63185" s="12" customFormat="1" x14ac:dyDescent="0.25"/>
    <row r="63186" s="12" customFormat="1" x14ac:dyDescent="0.25"/>
    <row r="63187" s="12" customFormat="1" x14ac:dyDescent="0.25"/>
    <row r="63188" s="12" customFormat="1" x14ac:dyDescent="0.25"/>
    <row r="63189" s="12" customFormat="1" x14ac:dyDescent="0.25"/>
    <row r="63190" s="12" customFormat="1" x14ac:dyDescent="0.25"/>
    <row r="63191" s="12" customFormat="1" x14ac:dyDescent="0.25"/>
    <row r="63192" s="12" customFormat="1" x14ac:dyDescent="0.25"/>
    <row r="63193" s="12" customFormat="1" x14ac:dyDescent="0.25"/>
    <row r="63194" s="12" customFormat="1" x14ac:dyDescent="0.25"/>
    <row r="63195" s="12" customFormat="1" x14ac:dyDescent="0.25"/>
    <row r="63196" s="12" customFormat="1" x14ac:dyDescent="0.25"/>
    <row r="63197" s="12" customFormat="1" x14ac:dyDescent="0.25"/>
    <row r="63198" s="12" customFormat="1" x14ac:dyDescent="0.25"/>
    <row r="63199" s="12" customFormat="1" x14ac:dyDescent="0.25"/>
    <row r="63200" s="12" customFormat="1" x14ac:dyDescent="0.25"/>
    <row r="63201" s="12" customFormat="1" x14ac:dyDescent="0.25"/>
    <row r="63202" s="12" customFormat="1" x14ac:dyDescent="0.25"/>
    <row r="63203" s="12" customFormat="1" x14ac:dyDescent="0.25"/>
    <row r="63204" s="12" customFormat="1" x14ac:dyDescent="0.25"/>
    <row r="63205" s="12" customFormat="1" x14ac:dyDescent="0.25"/>
    <row r="63206" s="12" customFormat="1" x14ac:dyDescent="0.25"/>
    <row r="63207" s="12" customFormat="1" x14ac:dyDescent="0.25"/>
    <row r="63208" s="12" customFormat="1" x14ac:dyDescent="0.25"/>
    <row r="63209" s="12" customFormat="1" x14ac:dyDescent="0.25"/>
    <row r="63210" s="12" customFormat="1" x14ac:dyDescent="0.25"/>
    <row r="63211" s="12" customFormat="1" x14ac:dyDescent="0.25"/>
    <row r="63212" s="12" customFormat="1" x14ac:dyDescent="0.25"/>
    <row r="63213" s="12" customFormat="1" x14ac:dyDescent="0.25"/>
    <row r="63214" s="12" customFormat="1" x14ac:dyDescent="0.25"/>
    <row r="63215" s="12" customFormat="1" x14ac:dyDescent="0.25"/>
    <row r="63216" s="12" customFormat="1" x14ac:dyDescent="0.25"/>
    <row r="63217" s="12" customFormat="1" x14ac:dyDescent="0.25"/>
    <row r="63218" s="12" customFormat="1" x14ac:dyDescent="0.25"/>
    <row r="63219" s="12" customFormat="1" x14ac:dyDescent="0.25"/>
    <row r="63220" s="12" customFormat="1" x14ac:dyDescent="0.25"/>
    <row r="63221" s="12" customFormat="1" x14ac:dyDescent="0.25"/>
    <row r="63222" s="12" customFormat="1" x14ac:dyDescent="0.25"/>
    <row r="63223" s="12" customFormat="1" x14ac:dyDescent="0.25"/>
    <row r="63224" s="12" customFormat="1" x14ac:dyDescent="0.25"/>
    <row r="63225" s="12" customFormat="1" x14ac:dyDescent="0.25"/>
    <row r="63226" s="12" customFormat="1" x14ac:dyDescent="0.25"/>
    <row r="63227" s="12" customFormat="1" x14ac:dyDescent="0.25"/>
    <row r="63228" s="12" customFormat="1" x14ac:dyDescent="0.25"/>
    <row r="63229" s="12" customFormat="1" x14ac:dyDescent="0.25"/>
    <row r="63230" s="12" customFormat="1" x14ac:dyDescent="0.25"/>
    <row r="63231" s="12" customFormat="1" x14ac:dyDescent="0.25"/>
    <row r="63232" s="12" customFormat="1" x14ac:dyDescent="0.25"/>
    <row r="63233" s="12" customFormat="1" x14ac:dyDescent="0.25"/>
    <row r="63234" s="12" customFormat="1" x14ac:dyDescent="0.25"/>
    <row r="63235" s="12" customFormat="1" x14ac:dyDescent="0.25"/>
    <row r="63236" s="12" customFormat="1" x14ac:dyDescent="0.25"/>
    <row r="63237" s="12" customFormat="1" x14ac:dyDescent="0.25"/>
    <row r="63238" s="12" customFormat="1" x14ac:dyDescent="0.25"/>
    <row r="63239" s="12" customFormat="1" x14ac:dyDescent="0.25"/>
    <row r="63240" s="12" customFormat="1" x14ac:dyDescent="0.25"/>
    <row r="63241" s="12" customFormat="1" x14ac:dyDescent="0.25"/>
    <row r="63242" s="12" customFormat="1" x14ac:dyDescent="0.25"/>
    <row r="63243" s="12" customFormat="1" x14ac:dyDescent="0.25"/>
    <row r="63244" s="12" customFormat="1" x14ac:dyDescent="0.25"/>
    <row r="63245" s="12" customFormat="1" x14ac:dyDescent="0.25"/>
    <row r="63246" s="12" customFormat="1" x14ac:dyDescent="0.25"/>
    <row r="63247" s="12" customFormat="1" x14ac:dyDescent="0.25"/>
    <row r="63248" s="12" customFormat="1" x14ac:dyDescent="0.25"/>
    <row r="63249" s="12" customFormat="1" x14ac:dyDescent="0.25"/>
    <row r="63250" s="12" customFormat="1" x14ac:dyDescent="0.25"/>
    <row r="63251" s="12" customFormat="1" x14ac:dyDescent="0.25"/>
    <row r="63252" s="12" customFormat="1" x14ac:dyDescent="0.25"/>
    <row r="63253" s="12" customFormat="1" x14ac:dyDescent="0.25"/>
    <row r="63254" s="12" customFormat="1" x14ac:dyDescent="0.25"/>
    <row r="63255" s="12" customFormat="1" x14ac:dyDescent="0.25"/>
    <row r="63256" s="12" customFormat="1" x14ac:dyDescent="0.25"/>
    <row r="63257" s="12" customFormat="1" x14ac:dyDescent="0.25"/>
    <row r="63258" s="12" customFormat="1" x14ac:dyDescent="0.25"/>
    <row r="63259" s="12" customFormat="1" x14ac:dyDescent="0.25"/>
    <row r="63260" s="12" customFormat="1" x14ac:dyDescent="0.25"/>
    <row r="63261" s="12" customFormat="1" x14ac:dyDescent="0.25"/>
    <row r="63262" s="12" customFormat="1" x14ac:dyDescent="0.25"/>
    <row r="63263" s="12" customFormat="1" x14ac:dyDescent="0.25"/>
    <row r="63264" s="12" customFormat="1" x14ac:dyDescent="0.25"/>
    <row r="63265" s="12" customFormat="1" x14ac:dyDescent="0.25"/>
    <row r="63266" s="12" customFormat="1" x14ac:dyDescent="0.25"/>
    <row r="63267" s="12" customFormat="1" x14ac:dyDescent="0.25"/>
    <row r="63268" s="12" customFormat="1" x14ac:dyDescent="0.25"/>
    <row r="63269" s="12" customFormat="1" x14ac:dyDescent="0.25"/>
    <row r="63270" s="12" customFormat="1" x14ac:dyDescent="0.25"/>
    <row r="63271" s="12" customFormat="1" x14ac:dyDescent="0.25"/>
    <row r="63272" s="12" customFormat="1" x14ac:dyDescent="0.25"/>
    <row r="63273" s="12" customFormat="1" x14ac:dyDescent="0.25"/>
    <row r="63274" s="12" customFormat="1" x14ac:dyDescent="0.25"/>
    <row r="63275" s="12" customFormat="1" x14ac:dyDescent="0.25"/>
    <row r="63276" s="12" customFormat="1" x14ac:dyDescent="0.25"/>
    <row r="63277" s="12" customFormat="1" x14ac:dyDescent="0.25"/>
    <row r="63278" s="12" customFormat="1" x14ac:dyDescent="0.25"/>
    <row r="63279" s="12" customFormat="1" x14ac:dyDescent="0.25"/>
    <row r="63280" s="12" customFormat="1" x14ac:dyDescent="0.25"/>
    <row r="63281" s="12" customFormat="1" x14ac:dyDescent="0.25"/>
    <row r="63282" s="12" customFormat="1" x14ac:dyDescent="0.25"/>
    <row r="63283" s="12" customFormat="1" x14ac:dyDescent="0.25"/>
    <row r="63284" s="12" customFormat="1" x14ac:dyDescent="0.25"/>
    <row r="63285" s="12" customFormat="1" x14ac:dyDescent="0.25"/>
    <row r="63286" s="12" customFormat="1" x14ac:dyDescent="0.25"/>
    <row r="63287" s="12" customFormat="1" x14ac:dyDescent="0.25"/>
    <row r="63288" s="12" customFormat="1" x14ac:dyDescent="0.25"/>
    <row r="63289" s="12" customFormat="1" x14ac:dyDescent="0.25"/>
    <row r="63290" s="12" customFormat="1" x14ac:dyDescent="0.25"/>
    <row r="63291" s="12" customFormat="1" x14ac:dyDescent="0.25"/>
    <row r="63292" s="12" customFormat="1" x14ac:dyDescent="0.25"/>
    <row r="63293" s="12" customFormat="1" x14ac:dyDescent="0.25"/>
    <row r="63294" s="12" customFormat="1" x14ac:dyDescent="0.25"/>
    <row r="63295" s="12" customFormat="1" x14ac:dyDescent="0.25"/>
    <row r="63296" s="12" customFormat="1" x14ac:dyDescent="0.25"/>
    <row r="63297" s="12" customFormat="1" x14ac:dyDescent="0.25"/>
    <row r="63298" s="12" customFormat="1" x14ac:dyDescent="0.25"/>
    <row r="63299" s="12" customFormat="1" x14ac:dyDescent="0.25"/>
    <row r="63300" s="12" customFormat="1" x14ac:dyDescent="0.25"/>
    <row r="63301" s="12" customFormat="1" x14ac:dyDescent="0.25"/>
    <row r="63302" s="12" customFormat="1" x14ac:dyDescent="0.25"/>
    <row r="63303" s="12" customFormat="1" x14ac:dyDescent="0.25"/>
    <row r="63304" s="12" customFormat="1" x14ac:dyDescent="0.25"/>
    <row r="63305" s="12" customFormat="1" x14ac:dyDescent="0.25"/>
    <row r="63306" s="12" customFormat="1" x14ac:dyDescent="0.25"/>
    <row r="63307" s="12" customFormat="1" x14ac:dyDescent="0.25"/>
    <row r="63308" s="12" customFormat="1" x14ac:dyDescent="0.25"/>
    <row r="63309" s="12" customFormat="1" x14ac:dyDescent="0.25"/>
    <row r="63310" s="12" customFormat="1" x14ac:dyDescent="0.25"/>
    <row r="63311" s="12" customFormat="1" x14ac:dyDescent="0.25"/>
    <row r="63312" s="12" customFormat="1" x14ac:dyDescent="0.25"/>
    <row r="63313" s="12" customFormat="1" x14ac:dyDescent="0.25"/>
    <row r="63314" s="12" customFormat="1" x14ac:dyDescent="0.25"/>
    <row r="63315" s="12" customFormat="1" x14ac:dyDescent="0.25"/>
    <row r="63316" s="12" customFormat="1" x14ac:dyDescent="0.25"/>
    <row r="63317" s="12" customFormat="1" x14ac:dyDescent="0.25"/>
    <row r="63318" s="12" customFormat="1" x14ac:dyDescent="0.25"/>
    <row r="63319" s="12" customFormat="1" x14ac:dyDescent="0.25"/>
    <row r="63320" s="12" customFormat="1" x14ac:dyDescent="0.25"/>
    <row r="63321" s="12" customFormat="1" x14ac:dyDescent="0.25"/>
    <row r="63322" s="12" customFormat="1" x14ac:dyDescent="0.25"/>
    <row r="63323" s="12" customFormat="1" x14ac:dyDescent="0.25"/>
    <row r="63324" s="12" customFormat="1" x14ac:dyDescent="0.25"/>
    <row r="63325" s="12" customFormat="1" x14ac:dyDescent="0.25"/>
    <row r="63326" s="12" customFormat="1" x14ac:dyDescent="0.25"/>
    <row r="63327" s="12" customFormat="1" x14ac:dyDescent="0.25"/>
    <row r="63328" s="12" customFormat="1" x14ac:dyDescent="0.25"/>
    <row r="63329" s="12" customFormat="1" x14ac:dyDescent="0.25"/>
    <row r="63330" s="12" customFormat="1" x14ac:dyDescent="0.25"/>
    <row r="63331" s="12" customFormat="1" x14ac:dyDescent="0.25"/>
    <row r="63332" s="12" customFormat="1" x14ac:dyDescent="0.25"/>
    <row r="63333" s="12" customFormat="1" x14ac:dyDescent="0.25"/>
    <row r="63334" s="12" customFormat="1" x14ac:dyDescent="0.25"/>
    <row r="63335" s="12" customFormat="1" x14ac:dyDescent="0.25"/>
    <row r="63336" s="12" customFormat="1" x14ac:dyDescent="0.25"/>
    <row r="63337" s="12" customFormat="1" x14ac:dyDescent="0.25"/>
    <row r="63338" s="12" customFormat="1" x14ac:dyDescent="0.25"/>
    <row r="63339" s="12" customFormat="1" x14ac:dyDescent="0.25"/>
    <row r="63340" s="12" customFormat="1" x14ac:dyDescent="0.25"/>
    <row r="63341" s="12" customFormat="1" x14ac:dyDescent="0.25"/>
    <row r="63342" s="12" customFormat="1" x14ac:dyDescent="0.25"/>
    <row r="63343" s="12" customFormat="1" x14ac:dyDescent="0.25"/>
    <row r="63344" s="12" customFormat="1" x14ac:dyDescent="0.25"/>
    <row r="63345" s="12" customFormat="1" x14ac:dyDescent="0.25"/>
    <row r="63346" s="12" customFormat="1" x14ac:dyDescent="0.25"/>
    <row r="63347" s="12" customFormat="1" x14ac:dyDescent="0.25"/>
    <row r="63348" s="12" customFormat="1" x14ac:dyDescent="0.25"/>
    <row r="63349" s="12" customFormat="1" x14ac:dyDescent="0.25"/>
    <row r="63350" s="12" customFormat="1" x14ac:dyDescent="0.25"/>
    <row r="63351" s="12" customFormat="1" x14ac:dyDescent="0.25"/>
    <row r="63352" s="12" customFormat="1" x14ac:dyDescent="0.25"/>
    <row r="63353" s="12" customFormat="1" x14ac:dyDescent="0.25"/>
    <row r="63354" s="12" customFormat="1" x14ac:dyDescent="0.25"/>
    <row r="63355" s="12" customFormat="1" x14ac:dyDescent="0.25"/>
    <row r="63356" s="12" customFormat="1" x14ac:dyDescent="0.25"/>
    <row r="63357" s="12" customFormat="1" x14ac:dyDescent="0.25"/>
    <row r="63358" s="12" customFormat="1" x14ac:dyDescent="0.25"/>
    <row r="63359" s="12" customFormat="1" x14ac:dyDescent="0.25"/>
    <row r="63360" s="12" customFormat="1" x14ac:dyDescent="0.25"/>
    <row r="63361" s="12" customFormat="1" x14ac:dyDescent="0.25"/>
    <row r="63362" s="12" customFormat="1" x14ac:dyDescent="0.25"/>
    <row r="63363" s="12" customFormat="1" x14ac:dyDescent="0.25"/>
    <row r="63364" s="12" customFormat="1" x14ac:dyDescent="0.25"/>
    <row r="63365" s="12" customFormat="1" x14ac:dyDescent="0.25"/>
    <row r="63366" s="12" customFormat="1" x14ac:dyDescent="0.25"/>
    <row r="63367" s="12" customFormat="1" x14ac:dyDescent="0.25"/>
    <row r="63368" s="12" customFormat="1" x14ac:dyDescent="0.25"/>
    <row r="63369" s="12" customFormat="1" x14ac:dyDescent="0.25"/>
    <row r="63370" s="12" customFormat="1" x14ac:dyDescent="0.25"/>
    <row r="63371" s="12" customFormat="1" x14ac:dyDescent="0.25"/>
    <row r="63372" s="12" customFormat="1" x14ac:dyDescent="0.25"/>
    <row r="63373" s="12" customFormat="1" x14ac:dyDescent="0.25"/>
    <row r="63374" s="12" customFormat="1" x14ac:dyDescent="0.25"/>
    <row r="63375" s="12" customFormat="1" x14ac:dyDescent="0.25"/>
    <row r="63376" s="12" customFormat="1" x14ac:dyDescent="0.25"/>
    <row r="63377" s="12" customFormat="1" x14ac:dyDescent="0.25"/>
    <row r="63378" s="12" customFormat="1" x14ac:dyDescent="0.25"/>
    <row r="63379" s="12" customFormat="1" x14ac:dyDescent="0.25"/>
    <row r="63380" s="12" customFormat="1" x14ac:dyDescent="0.25"/>
    <row r="63381" s="12" customFormat="1" x14ac:dyDescent="0.25"/>
    <row r="63382" s="12" customFormat="1" x14ac:dyDescent="0.25"/>
    <row r="63383" s="12" customFormat="1" x14ac:dyDescent="0.25"/>
    <row r="63384" s="12" customFormat="1" x14ac:dyDescent="0.25"/>
    <row r="63385" s="12" customFormat="1" x14ac:dyDescent="0.25"/>
    <row r="63386" s="12" customFormat="1" x14ac:dyDescent="0.25"/>
    <row r="63387" s="12" customFormat="1" x14ac:dyDescent="0.25"/>
    <row r="63388" s="12" customFormat="1" x14ac:dyDescent="0.25"/>
    <row r="63389" s="12" customFormat="1" x14ac:dyDescent="0.25"/>
    <row r="63390" s="12" customFormat="1" x14ac:dyDescent="0.25"/>
    <row r="63391" s="12" customFormat="1" x14ac:dyDescent="0.25"/>
    <row r="63392" s="12" customFormat="1" x14ac:dyDescent="0.25"/>
    <row r="63393" s="12" customFormat="1" x14ac:dyDescent="0.25"/>
    <row r="63394" s="12" customFormat="1" x14ac:dyDescent="0.25"/>
    <row r="63395" s="12" customFormat="1" x14ac:dyDescent="0.25"/>
    <row r="63396" s="12" customFormat="1" x14ac:dyDescent="0.25"/>
    <row r="63397" s="12" customFormat="1" x14ac:dyDescent="0.25"/>
    <row r="63398" s="12" customFormat="1" x14ac:dyDescent="0.25"/>
    <row r="63399" s="12" customFormat="1" x14ac:dyDescent="0.25"/>
    <row r="63400" s="12" customFormat="1" x14ac:dyDescent="0.25"/>
    <row r="63401" s="12" customFormat="1" x14ac:dyDescent="0.25"/>
    <row r="63402" s="12" customFormat="1" x14ac:dyDescent="0.25"/>
    <row r="63403" s="12" customFormat="1" x14ac:dyDescent="0.25"/>
    <row r="63404" s="12" customFormat="1" x14ac:dyDescent="0.25"/>
    <row r="63405" s="12" customFormat="1" x14ac:dyDescent="0.25"/>
    <row r="63406" s="12" customFormat="1" x14ac:dyDescent="0.25"/>
    <row r="63407" s="12" customFormat="1" x14ac:dyDescent="0.25"/>
    <row r="63408" s="12" customFormat="1" x14ac:dyDescent="0.25"/>
    <row r="63409" s="12" customFormat="1" x14ac:dyDescent="0.25"/>
    <row r="63410" s="12" customFormat="1" x14ac:dyDescent="0.25"/>
    <row r="63411" s="12" customFormat="1" x14ac:dyDescent="0.25"/>
    <row r="63412" s="12" customFormat="1" x14ac:dyDescent="0.25"/>
    <row r="63413" s="12" customFormat="1" x14ac:dyDescent="0.25"/>
    <row r="63414" s="12" customFormat="1" x14ac:dyDescent="0.25"/>
    <row r="63415" s="12" customFormat="1" x14ac:dyDescent="0.25"/>
    <row r="63416" s="12" customFormat="1" x14ac:dyDescent="0.25"/>
    <row r="63417" s="12" customFormat="1" x14ac:dyDescent="0.25"/>
    <row r="63418" s="12" customFormat="1" x14ac:dyDescent="0.25"/>
    <row r="63419" s="12" customFormat="1" x14ac:dyDescent="0.25"/>
    <row r="63420" s="12" customFormat="1" x14ac:dyDescent="0.25"/>
    <row r="63421" s="12" customFormat="1" x14ac:dyDescent="0.25"/>
    <row r="63422" s="12" customFormat="1" x14ac:dyDescent="0.25"/>
    <row r="63423" s="12" customFormat="1" x14ac:dyDescent="0.25"/>
    <row r="63424" s="12" customFormat="1" x14ac:dyDescent="0.25"/>
    <row r="63425" s="12" customFormat="1" x14ac:dyDescent="0.25"/>
    <row r="63426" s="12" customFormat="1" x14ac:dyDescent="0.25"/>
    <row r="63427" s="12" customFormat="1" x14ac:dyDescent="0.25"/>
    <row r="63428" s="12" customFormat="1" x14ac:dyDescent="0.25"/>
    <row r="63429" s="12" customFormat="1" x14ac:dyDescent="0.25"/>
    <row r="63430" s="12" customFormat="1" x14ac:dyDescent="0.25"/>
    <row r="63431" s="12" customFormat="1" x14ac:dyDescent="0.25"/>
    <row r="63432" s="12" customFormat="1" x14ac:dyDescent="0.25"/>
    <row r="63433" s="12" customFormat="1" x14ac:dyDescent="0.25"/>
    <row r="63434" s="12" customFormat="1" x14ac:dyDescent="0.25"/>
    <row r="63435" s="12" customFormat="1" x14ac:dyDescent="0.25"/>
    <row r="63436" s="12" customFormat="1" x14ac:dyDescent="0.25"/>
    <row r="63437" s="12" customFormat="1" x14ac:dyDescent="0.25"/>
    <row r="63438" s="12" customFormat="1" x14ac:dyDescent="0.25"/>
    <row r="63439" s="12" customFormat="1" x14ac:dyDescent="0.25"/>
    <row r="63440" s="12" customFormat="1" x14ac:dyDescent="0.25"/>
    <row r="63441" s="12" customFormat="1" x14ac:dyDescent="0.25"/>
    <row r="63442" s="12" customFormat="1" x14ac:dyDescent="0.25"/>
    <row r="63443" s="12" customFormat="1" x14ac:dyDescent="0.25"/>
    <row r="63444" s="12" customFormat="1" x14ac:dyDescent="0.25"/>
    <row r="63445" s="12" customFormat="1" x14ac:dyDescent="0.25"/>
    <row r="63446" s="12" customFormat="1" x14ac:dyDescent="0.25"/>
    <row r="63447" s="12" customFormat="1" x14ac:dyDescent="0.25"/>
    <row r="63448" s="12" customFormat="1" x14ac:dyDescent="0.25"/>
    <row r="63449" s="12" customFormat="1" x14ac:dyDescent="0.25"/>
    <row r="63450" s="12" customFormat="1" x14ac:dyDescent="0.25"/>
    <row r="63451" s="12" customFormat="1" x14ac:dyDescent="0.25"/>
    <row r="63452" s="12" customFormat="1" x14ac:dyDescent="0.25"/>
    <row r="63453" s="12" customFormat="1" x14ac:dyDescent="0.25"/>
    <row r="63454" s="12" customFormat="1" x14ac:dyDescent="0.25"/>
    <row r="63455" s="12" customFormat="1" x14ac:dyDescent="0.25"/>
    <row r="63456" s="12" customFormat="1" x14ac:dyDescent="0.25"/>
    <row r="63457" s="12" customFormat="1" x14ac:dyDescent="0.25"/>
    <row r="63458" s="12" customFormat="1" x14ac:dyDescent="0.25"/>
    <row r="63459" s="12" customFormat="1" x14ac:dyDescent="0.25"/>
    <row r="63460" s="12" customFormat="1" x14ac:dyDescent="0.25"/>
    <row r="63461" s="12" customFormat="1" x14ac:dyDescent="0.25"/>
    <row r="63462" s="12" customFormat="1" x14ac:dyDescent="0.25"/>
    <row r="63463" s="12" customFormat="1" x14ac:dyDescent="0.25"/>
    <row r="63464" s="12" customFormat="1" x14ac:dyDescent="0.25"/>
    <row r="63465" s="12" customFormat="1" x14ac:dyDescent="0.25"/>
    <row r="63466" s="12" customFormat="1" x14ac:dyDescent="0.25"/>
    <row r="63467" s="12" customFormat="1" x14ac:dyDescent="0.25"/>
    <row r="63468" s="12" customFormat="1" x14ac:dyDescent="0.25"/>
    <row r="63469" s="12" customFormat="1" x14ac:dyDescent="0.25"/>
    <row r="63470" s="12" customFormat="1" x14ac:dyDescent="0.25"/>
    <row r="63471" s="12" customFormat="1" x14ac:dyDescent="0.25"/>
    <row r="63472" s="12" customFormat="1" x14ac:dyDescent="0.25"/>
    <row r="63473" s="12" customFormat="1" x14ac:dyDescent="0.25"/>
    <row r="63474" s="12" customFormat="1" x14ac:dyDescent="0.25"/>
    <row r="63475" s="12" customFormat="1" x14ac:dyDescent="0.25"/>
    <row r="63476" s="12" customFormat="1" x14ac:dyDescent="0.25"/>
    <row r="63477" s="12" customFormat="1" x14ac:dyDescent="0.25"/>
    <row r="63478" s="12" customFormat="1" x14ac:dyDescent="0.25"/>
    <row r="63479" s="12" customFormat="1" x14ac:dyDescent="0.25"/>
    <row r="63480" s="12" customFormat="1" x14ac:dyDescent="0.25"/>
    <row r="63481" s="12" customFormat="1" x14ac:dyDescent="0.25"/>
    <row r="63482" s="12" customFormat="1" x14ac:dyDescent="0.25"/>
    <row r="63483" s="12" customFormat="1" x14ac:dyDescent="0.25"/>
    <row r="63484" s="12" customFormat="1" x14ac:dyDescent="0.25"/>
    <row r="63485" s="12" customFormat="1" x14ac:dyDescent="0.25"/>
    <row r="63486" s="12" customFormat="1" x14ac:dyDescent="0.25"/>
    <row r="63487" s="12" customFormat="1" x14ac:dyDescent="0.25"/>
    <row r="63488" s="12" customFormat="1" x14ac:dyDescent="0.25"/>
    <row r="63489" s="12" customFormat="1" x14ac:dyDescent="0.25"/>
    <row r="63490" s="12" customFormat="1" x14ac:dyDescent="0.25"/>
    <row r="63491" s="12" customFormat="1" x14ac:dyDescent="0.25"/>
    <row r="63492" s="12" customFormat="1" x14ac:dyDescent="0.25"/>
    <row r="63493" s="12" customFormat="1" x14ac:dyDescent="0.25"/>
    <row r="63494" s="12" customFormat="1" x14ac:dyDescent="0.25"/>
    <row r="63495" s="12" customFormat="1" x14ac:dyDescent="0.25"/>
    <row r="63496" s="12" customFormat="1" x14ac:dyDescent="0.25"/>
    <row r="63497" s="12" customFormat="1" x14ac:dyDescent="0.25"/>
    <row r="63498" s="12" customFormat="1" x14ac:dyDescent="0.25"/>
    <row r="63499" s="12" customFormat="1" x14ac:dyDescent="0.25"/>
    <row r="63500" s="12" customFormat="1" x14ac:dyDescent="0.25"/>
    <row r="63501" s="12" customFormat="1" x14ac:dyDescent="0.25"/>
    <row r="63502" s="12" customFormat="1" x14ac:dyDescent="0.25"/>
    <row r="63503" s="12" customFormat="1" x14ac:dyDescent="0.25"/>
    <row r="63504" s="12" customFormat="1" x14ac:dyDescent="0.25"/>
    <row r="63505" s="12" customFormat="1" x14ac:dyDescent="0.25"/>
    <row r="63506" s="12" customFormat="1" x14ac:dyDescent="0.25"/>
    <row r="63507" s="12" customFormat="1" x14ac:dyDescent="0.25"/>
    <row r="63508" s="12" customFormat="1" x14ac:dyDescent="0.25"/>
    <row r="63509" s="12" customFormat="1" x14ac:dyDescent="0.25"/>
    <row r="63510" s="12" customFormat="1" x14ac:dyDescent="0.25"/>
    <row r="63511" s="12" customFormat="1" x14ac:dyDescent="0.25"/>
    <row r="63512" s="12" customFormat="1" x14ac:dyDescent="0.25"/>
    <row r="63513" s="12" customFormat="1" x14ac:dyDescent="0.25"/>
    <row r="63514" s="12" customFormat="1" x14ac:dyDescent="0.25"/>
    <row r="63515" s="12" customFormat="1" x14ac:dyDescent="0.25"/>
    <row r="63516" s="12" customFormat="1" x14ac:dyDescent="0.25"/>
    <row r="63517" s="12" customFormat="1" x14ac:dyDescent="0.25"/>
    <row r="63518" s="12" customFormat="1" x14ac:dyDescent="0.25"/>
    <row r="63519" s="12" customFormat="1" x14ac:dyDescent="0.25"/>
    <row r="63520" s="12" customFormat="1" x14ac:dyDescent="0.25"/>
    <row r="63521" s="12" customFormat="1" x14ac:dyDescent="0.25"/>
    <row r="63522" s="12" customFormat="1" x14ac:dyDescent="0.25"/>
    <row r="63523" s="12" customFormat="1" x14ac:dyDescent="0.25"/>
    <row r="63524" s="12" customFormat="1" x14ac:dyDescent="0.25"/>
    <row r="63525" s="12" customFormat="1" x14ac:dyDescent="0.25"/>
    <row r="63526" s="12" customFormat="1" x14ac:dyDescent="0.25"/>
    <row r="63527" s="12" customFormat="1" x14ac:dyDescent="0.25"/>
    <row r="63528" s="12" customFormat="1" x14ac:dyDescent="0.25"/>
    <row r="63529" s="12" customFormat="1" x14ac:dyDescent="0.25"/>
    <row r="63530" s="12" customFormat="1" x14ac:dyDescent="0.25"/>
    <row r="63531" s="12" customFormat="1" x14ac:dyDescent="0.25"/>
    <row r="63532" s="12" customFormat="1" x14ac:dyDescent="0.25"/>
    <row r="63533" s="12" customFormat="1" x14ac:dyDescent="0.25"/>
    <row r="63534" s="12" customFormat="1" x14ac:dyDescent="0.25"/>
    <row r="63535" s="12" customFormat="1" x14ac:dyDescent="0.25"/>
    <row r="63536" s="12" customFormat="1" x14ac:dyDescent="0.25"/>
    <row r="63537" s="12" customFormat="1" x14ac:dyDescent="0.25"/>
    <row r="63538" s="12" customFormat="1" x14ac:dyDescent="0.25"/>
    <row r="63539" s="12" customFormat="1" x14ac:dyDescent="0.25"/>
    <row r="63540" s="12" customFormat="1" x14ac:dyDescent="0.25"/>
    <row r="63541" s="12" customFormat="1" x14ac:dyDescent="0.25"/>
    <row r="63542" s="12" customFormat="1" x14ac:dyDescent="0.25"/>
    <row r="63543" s="12" customFormat="1" x14ac:dyDescent="0.25"/>
    <row r="63544" s="12" customFormat="1" x14ac:dyDescent="0.25"/>
    <row r="63545" s="12" customFormat="1" x14ac:dyDescent="0.25"/>
    <row r="63546" s="12" customFormat="1" x14ac:dyDescent="0.25"/>
    <row r="63547" s="12" customFormat="1" x14ac:dyDescent="0.25"/>
    <row r="63548" s="12" customFormat="1" x14ac:dyDescent="0.25"/>
    <row r="63549" s="12" customFormat="1" x14ac:dyDescent="0.25"/>
    <row r="63550" s="12" customFormat="1" x14ac:dyDescent="0.25"/>
    <row r="63551" s="12" customFormat="1" x14ac:dyDescent="0.25"/>
    <row r="63552" s="12" customFormat="1" x14ac:dyDescent="0.25"/>
    <row r="63553" s="12" customFormat="1" x14ac:dyDescent="0.25"/>
    <row r="63554" s="12" customFormat="1" x14ac:dyDescent="0.25"/>
    <row r="63555" s="12" customFormat="1" x14ac:dyDescent="0.25"/>
    <row r="63556" s="12" customFormat="1" x14ac:dyDescent="0.25"/>
    <row r="63557" s="12" customFormat="1" x14ac:dyDescent="0.25"/>
    <row r="63558" s="12" customFormat="1" x14ac:dyDescent="0.25"/>
    <row r="63559" s="12" customFormat="1" x14ac:dyDescent="0.25"/>
    <row r="63560" s="12" customFormat="1" x14ac:dyDescent="0.25"/>
    <row r="63561" s="12" customFormat="1" x14ac:dyDescent="0.25"/>
    <row r="63562" s="12" customFormat="1" x14ac:dyDescent="0.25"/>
    <row r="63563" s="12" customFormat="1" x14ac:dyDescent="0.25"/>
    <row r="63564" s="12" customFormat="1" x14ac:dyDescent="0.25"/>
    <row r="63565" s="12" customFormat="1" x14ac:dyDescent="0.25"/>
    <row r="63566" s="12" customFormat="1" x14ac:dyDescent="0.25"/>
    <row r="63567" s="12" customFormat="1" x14ac:dyDescent="0.25"/>
    <row r="63568" s="12" customFormat="1" x14ac:dyDescent="0.25"/>
    <row r="63569" s="12" customFormat="1" x14ac:dyDescent="0.25"/>
    <row r="63570" s="12" customFormat="1" x14ac:dyDescent="0.25"/>
    <row r="63571" s="12" customFormat="1" x14ac:dyDescent="0.25"/>
    <row r="63572" s="12" customFormat="1" x14ac:dyDescent="0.25"/>
    <row r="63573" s="12" customFormat="1" x14ac:dyDescent="0.25"/>
    <row r="63574" s="12" customFormat="1" x14ac:dyDescent="0.25"/>
    <row r="63575" s="12" customFormat="1" x14ac:dyDescent="0.25"/>
    <row r="63576" s="12" customFormat="1" x14ac:dyDescent="0.25"/>
    <row r="63577" s="12" customFormat="1" x14ac:dyDescent="0.25"/>
    <row r="63578" s="12" customFormat="1" x14ac:dyDescent="0.25"/>
    <row r="63579" s="12" customFormat="1" x14ac:dyDescent="0.25"/>
    <row r="63580" s="12" customFormat="1" x14ac:dyDescent="0.25"/>
    <row r="63581" s="12" customFormat="1" x14ac:dyDescent="0.25"/>
    <row r="63582" s="12" customFormat="1" x14ac:dyDescent="0.25"/>
    <row r="63583" s="12" customFormat="1" x14ac:dyDescent="0.25"/>
    <row r="63584" s="12" customFormat="1" x14ac:dyDescent="0.25"/>
    <row r="63585" s="12" customFormat="1" x14ac:dyDescent="0.25"/>
    <row r="63586" s="12" customFormat="1" x14ac:dyDescent="0.25"/>
    <row r="63587" s="12" customFormat="1" x14ac:dyDescent="0.25"/>
    <row r="63588" s="12" customFormat="1" x14ac:dyDescent="0.25"/>
    <row r="63589" s="12" customFormat="1" x14ac:dyDescent="0.25"/>
    <row r="63590" s="12" customFormat="1" x14ac:dyDescent="0.25"/>
    <row r="63591" s="12" customFormat="1" x14ac:dyDescent="0.25"/>
    <row r="63592" s="12" customFormat="1" x14ac:dyDescent="0.25"/>
    <row r="63593" s="12" customFormat="1" x14ac:dyDescent="0.25"/>
    <row r="63594" s="12" customFormat="1" x14ac:dyDescent="0.25"/>
    <row r="63595" s="12" customFormat="1" x14ac:dyDescent="0.25"/>
    <row r="63596" s="12" customFormat="1" x14ac:dyDescent="0.25"/>
    <row r="63597" s="12" customFormat="1" x14ac:dyDescent="0.25"/>
    <row r="63598" s="12" customFormat="1" x14ac:dyDescent="0.25"/>
    <row r="63599" s="12" customFormat="1" x14ac:dyDescent="0.25"/>
    <row r="63600" s="12" customFormat="1" x14ac:dyDescent="0.25"/>
    <row r="63601" s="12" customFormat="1" x14ac:dyDescent="0.25"/>
    <row r="63602" s="12" customFormat="1" x14ac:dyDescent="0.25"/>
    <row r="63603" s="12" customFormat="1" x14ac:dyDescent="0.25"/>
    <row r="63604" s="12" customFormat="1" x14ac:dyDescent="0.25"/>
    <row r="63605" s="12" customFormat="1" x14ac:dyDescent="0.25"/>
    <row r="63606" s="12" customFormat="1" x14ac:dyDescent="0.25"/>
    <row r="63607" s="12" customFormat="1" x14ac:dyDescent="0.25"/>
    <row r="63608" s="12" customFormat="1" x14ac:dyDescent="0.25"/>
    <row r="63609" s="12" customFormat="1" x14ac:dyDescent="0.25"/>
    <row r="63610" s="12" customFormat="1" x14ac:dyDescent="0.25"/>
    <row r="63611" s="12" customFormat="1" x14ac:dyDescent="0.25"/>
    <row r="63612" s="12" customFormat="1" x14ac:dyDescent="0.25"/>
    <row r="63613" s="12" customFormat="1" x14ac:dyDescent="0.25"/>
    <row r="63614" s="12" customFormat="1" x14ac:dyDescent="0.25"/>
    <row r="63615" s="12" customFormat="1" x14ac:dyDescent="0.25"/>
    <row r="63616" s="12" customFormat="1" x14ac:dyDescent="0.25"/>
    <row r="63617" s="12" customFormat="1" x14ac:dyDescent="0.25"/>
    <row r="63618" s="12" customFormat="1" x14ac:dyDescent="0.25"/>
    <row r="63619" s="12" customFormat="1" x14ac:dyDescent="0.25"/>
    <row r="63620" s="12" customFormat="1" x14ac:dyDescent="0.25"/>
    <row r="63621" s="12" customFormat="1" x14ac:dyDescent="0.25"/>
    <row r="63622" s="12" customFormat="1" x14ac:dyDescent="0.25"/>
    <row r="63623" s="12" customFormat="1" x14ac:dyDescent="0.25"/>
    <row r="63624" s="12" customFormat="1" x14ac:dyDescent="0.25"/>
    <row r="63625" s="12" customFormat="1" x14ac:dyDescent="0.25"/>
    <row r="63626" s="12" customFormat="1" x14ac:dyDescent="0.25"/>
    <row r="63627" s="12" customFormat="1" x14ac:dyDescent="0.25"/>
    <row r="63628" s="12" customFormat="1" x14ac:dyDescent="0.25"/>
    <row r="63629" s="12" customFormat="1" x14ac:dyDescent="0.25"/>
    <row r="63630" s="12" customFormat="1" x14ac:dyDescent="0.25"/>
    <row r="63631" s="12" customFormat="1" x14ac:dyDescent="0.25"/>
    <row r="63632" s="12" customFormat="1" x14ac:dyDescent="0.25"/>
    <row r="63633" s="12" customFormat="1" x14ac:dyDescent="0.25"/>
    <row r="63634" s="12" customFormat="1" x14ac:dyDescent="0.25"/>
    <row r="63635" s="12" customFormat="1" x14ac:dyDescent="0.25"/>
    <row r="63636" s="12" customFormat="1" x14ac:dyDescent="0.25"/>
    <row r="63637" s="12" customFormat="1" x14ac:dyDescent="0.25"/>
    <row r="63638" s="12" customFormat="1" x14ac:dyDescent="0.25"/>
    <row r="63639" s="12" customFormat="1" x14ac:dyDescent="0.25"/>
    <row r="63640" s="12" customFormat="1" x14ac:dyDescent="0.25"/>
    <row r="63641" s="12" customFormat="1" x14ac:dyDescent="0.25"/>
    <row r="63642" s="12" customFormat="1" x14ac:dyDescent="0.25"/>
    <row r="63643" s="12" customFormat="1" x14ac:dyDescent="0.25"/>
    <row r="63644" s="12" customFormat="1" x14ac:dyDescent="0.25"/>
    <row r="63645" s="12" customFormat="1" x14ac:dyDescent="0.25"/>
    <row r="63646" s="12" customFormat="1" x14ac:dyDescent="0.25"/>
    <row r="63647" s="12" customFormat="1" x14ac:dyDescent="0.25"/>
    <row r="63648" s="12" customFormat="1" x14ac:dyDescent="0.25"/>
    <row r="63649" s="12" customFormat="1" x14ac:dyDescent="0.25"/>
    <row r="63650" s="12" customFormat="1" x14ac:dyDescent="0.25"/>
    <row r="63651" s="12" customFormat="1" x14ac:dyDescent="0.25"/>
    <row r="63652" s="12" customFormat="1" x14ac:dyDescent="0.25"/>
    <row r="63653" s="12" customFormat="1" x14ac:dyDescent="0.25"/>
    <row r="63654" s="12" customFormat="1" x14ac:dyDescent="0.25"/>
    <row r="63655" s="12" customFormat="1" x14ac:dyDescent="0.25"/>
    <row r="63656" s="12" customFormat="1" x14ac:dyDescent="0.25"/>
    <row r="63657" s="12" customFormat="1" x14ac:dyDescent="0.25"/>
    <row r="63658" s="12" customFormat="1" x14ac:dyDescent="0.25"/>
    <row r="63659" s="12" customFormat="1" x14ac:dyDescent="0.25"/>
    <row r="63660" s="12" customFormat="1" x14ac:dyDescent="0.25"/>
    <row r="63661" s="12" customFormat="1" x14ac:dyDescent="0.25"/>
    <row r="63662" s="12" customFormat="1" x14ac:dyDescent="0.25"/>
    <row r="63663" s="12" customFormat="1" x14ac:dyDescent="0.25"/>
    <row r="63664" s="12" customFormat="1" x14ac:dyDescent="0.25"/>
    <row r="63665" s="12" customFormat="1" x14ac:dyDescent="0.25"/>
    <row r="63666" s="12" customFormat="1" x14ac:dyDescent="0.25"/>
    <row r="63667" s="12" customFormat="1" x14ac:dyDescent="0.25"/>
    <row r="63668" s="12" customFormat="1" x14ac:dyDescent="0.25"/>
    <row r="63669" s="12" customFormat="1" x14ac:dyDescent="0.25"/>
    <row r="63670" s="12" customFormat="1" x14ac:dyDescent="0.25"/>
    <row r="63671" s="12" customFormat="1" x14ac:dyDescent="0.25"/>
    <row r="63672" s="12" customFormat="1" x14ac:dyDescent="0.25"/>
    <row r="63673" s="12" customFormat="1" x14ac:dyDescent="0.25"/>
    <row r="63674" s="12" customFormat="1" x14ac:dyDescent="0.25"/>
    <row r="63675" s="12" customFormat="1" x14ac:dyDescent="0.25"/>
    <row r="63676" s="12" customFormat="1" x14ac:dyDescent="0.25"/>
    <row r="63677" s="12" customFormat="1" x14ac:dyDescent="0.25"/>
    <row r="63678" s="12" customFormat="1" x14ac:dyDescent="0.25"/>
    <row r="63679" s="12" customFormat="1" x14ac:dyDescent="0.25"/>
    <row r="63680" s="12" customFormat="1" x14ac:dyDescent="0.25"/>
    <row r="63681" s="12" customFormat="1" x14ac:dyDescent="0.25"/>
    <row r="63682" s="12" customFormat="1" x14ac:dyDescent="0.25"/>
    <row r="63683" s="12" customFormat="1" x14ac:dyDescent="0.25"/>
    <row r="63684" s="12" customFormat="1" x14ac:dyDescent="0.25"/>
    <row r="63685" s="12" customFormat="1" x14ac:dyDescent="0.25"/>
    <row r="63686" s="12" customFormat="1" x14ac:dyDescent="0.25"/>
    <row r="63687" s="12" customFormat="1" x14ac:dyDescent="0.25"/>
    <row r="63688" s="12" customFormat="1" x14ac:dyDescent="0.25"/>
    <row r="63689" s="12" customFormat="1" x14ac:dyDescent="0.25"/>
    <row r="63690" s="12" customFormat="1" x14ac:dyDescent="0.25"/>
    <row r="63691" s="12" customFormat="1" x14ac:dyDescent="0.25"/>
    <row r="63692" s="12" customFormat="1" x14ac:dyDescent="0.25"/>
    <row r="63693" s="12" customFormat="1" x14ac:dyDescent="0.25"/>
    <row r="63694" s="12" customFormat="1" x14ac:dyDescent="0.25"/>
    <row r="63695" s="12" customFormat="1" x14ac:dyDescent="0.25"/>
    <row r="63696" s="12" customFormat="1" x14ac:dyDescent="0.25"/>
    <row r="63697" s="12" customFormat="1" x14ac:dyDescent="0.25"/>
    <row r="63698" s="12" customFormat="1" x14ac:dyDescent="0.25"/>
    <row r="63699" s="12" customFormat="1" x14ac:dyDescent="0.25"/>
    <row r="63700" s="12" customFormat="1" x14ac:dyDescent="0.25"/>
    <row r="63701" s="12" customFormat="1" x14ac:dyDescent="0.25"/>
    <row r="63702" s="12" customFormat="1" x14ac:dyDescent="0.25"/>
    <row r="63703" s="12" customFormat="1" x14ac:dyDescent="0.25"/>
    <row r="63704" s="12" customFormat="1" x14ac:dyDescent="0.25"/>
    <row r="63705" s="12" customFormat="1" x14ac:dyDescent="0.25"/>
    <row r="63706" s="12" customFormat="1" x14ac:dyDescent="0.25"/>
    <row r="63707" s="12" customFormat="1" x14ac:dyDescent="0.25"/>
    <row r="63708" s="12" customFormat="1" x14ac:dyDescent="0.25"/>
    <row r="63709" s="12" customFormat="1" x14ac:dyDescent="0.25"/>
    <row r="63710" s="12" customFormat="1" x14ac:dyDescent="0.25"/>
    <row r="63711" s="12" customFormat="1" x14ac:dyDescent="0.25"/>
    <row r="63712" s="12" customFormat="1" x14ac:dyDescent="0.25"/>
    <row r="63713" s="12" customFormat="1" x14ac:dyDescent="0.25"/>
    <row r="63714" s="12" customFormat="1" x14ac:dyDescent="0.25"/>
    <row r="63715" s="12" customFormat="1" x14ac:dyDescent="0.25"/>
    <row r="63716" s="12" customFormat="1" x14ac:dyDescent="0.25"/>
    <row r="63717" s="12" customFormat="1" x14ac:dyDescent="0.25"/>
    <row r="63718" s="12" customFormat="1" x14ac:dyDescent="0.25"/>
    <row r="63719" s="12" customFormat="1" x14ac:dyDescent="0.25"/>
    <row r="63720" s="12" customFormat="1" x14ac:dyDescent="0.25"/>
    <row r="63721" s="12" customFormat="1" x14ac:dyDescent="0.25"/>
    <row r="63722" s="12" customFormat="1" x14ac:dyDescent="0.25"/>
    <row r="63723" s="12" customFormat="1" x14ac:dyDescent="0.25"/>
    <row r="63724" s="12" customFormat="1" x14ac:dyDescent="0.25"/>
    <row r="63725" s="12" customFormat="1" x14ac:dyDescent="0.25"/>
    <row r="63726" s="12" customFormat="1" x14ac:dyDescent="0.25"/>
    <row r="63727" s="12" customFormat="1" x14ac:dyDescent="0.25"/>
    <row r="63728" s="12" customFormat="1" x14ac:dyDescent="0.25"/>
    <row r="63729" s="12" customFormat="1" x14ac:dyDescent="0.25"/>
    <row r="63730" s="12" customFormat="1" x14ac:dyDescent="0.25"/>
    <row r="63731" s="12" customFormat="1" x14ac:dyDescent="0.25"/>
    <row r="63732" s="12" customFormat="1" x14ac:dyDescent="0.25"/>
    <row r="63733" s="12" customFormat="1" x14ac:dyDescent="0.25"/>
    <row r="63734" s="12" customFormat="1" x14ac:dyDescent="0.25"/>
    <row r="63735" s="12" customFormat="1" x14ac:dyDescent="0.25"/>
    <row r="63736" s="12" customFormat="1" x14ac:dyDescent="0.25"/>
    <row r="63737" s="12" customFormat="1" x14ac:dyDescent="0.25"/>
    <row r="63738" s="12" customFormat="1" x14ac:dyDescent="0.25"/>
    <row r="63739" s="12" customFormat="1" x14ac:dyDescent="0.25"/>
    <row r="63740" s="12" customFormat="1" x14ac:dyDescent="0.25"/>
    <row r="63741" s="12" customFormat="1" x14ac:dyDescent="0.25"/>
    <row r="63742" s="12" customFormat="1" x14ac:dyDescent="0.25"/>
    <row r="63743" s="12" customFormat="1" x14ac:dyDescent="0.25"/>
    <row r="63744" s="12" customFormat="1" x14ac:dyDescent="0.25"/>
    <row r="63745" s="12" customFormat="1" x14ac:dyDescent="0.25"/>
    <row r="63746" s="12" customFormat="1" x14ac:dyDescent="0.25"/>
    <row r="63747" s="12" customFormat="1" x14ac:dyDescent="0.25"/>
    <row r="63748" s="12" customFormat="1" x14ac:dyDescent="0.25"/>
    <row r="63749" s="12" customFormat="1" x14ac:dyDescent="0.25"/>
    <row r="63750" s="12" customFormat="1" x14ac:dyDescent="0.25"/>
    <row r="63751" s="12" customFormat="1" x14ac:dyDescent="0.25"/>
    <row r="63752" s="12" customFormat="1" x14ac:dyDescent="0.25"/>
    <row r="63753" s="12" customFormat="1" x14ac:dyDescent="0.25"/>
    <row r="63754" s="12" customFormat="1" x14ac:dyDescent="0.25"/>
    <row r="63755" s="12" customFormat="1" x14ac:dyDescent="0.25"/>
    <row r="63756" s="12" customFormat="1" x14ac:dyDescent="0.25"/>
    <row r="63757" s="12" customFormat="1" x14ac:dyDescent="0.25"/>
    <row r="63758" s="12" customFormat="1" x14ac:dyDescent="0.25"/>
    <row r="63759" s="12" customFormat="1" x14ac:dyDescent="0.25"/>
    <row r="63760" s="12" customFormat="1" x14ac:dyDescent="0.25"/>
    <row r="63761" s="12" customFormat="1" x14ac:dyDescent="0.25"/>
    <row r="63762" s="12" customFormat="1" x14ac:dyDescent="0.25"/>
    <row r="63763" s="12" customFormat="1" x14ac:dyDescent="0.25"/>
    <row r="63764" s="12" customFormat="1" x14ac:dyDescent="0.25"/>
    <row r="63765" s="12" customFormat="1" x14ac:dyDescent="0.25"/>
    <row r="63766" s="12" customFormat="1" x14ac:dyDescent="0.25"/>
    <row r="63767" s="12" customFormat="1" x14ac:dyDescent="0.25"/>
    <row r="63768" s="12" customFormat="1" x14ac:dyDescent="0.25"/>
    <row r="63769" s="12" customFormat="1" x14ac:dyDescent="0.25"/>
    <row r="63770" s="12" customFormat="1" x14ac:dyDescent="0.25"/>
    <row r="63771" s="12" customFormat="1" x14ac:dyDescent="0.25"/>
    <row r="63772" s="12" customFormat="1" x14ac:dyDescent="0.25"/>
    <row r="63773" s="12" customFormat="1" x14ac:dyDescent="0.25"/>
    <row r="63774" s="12" customFormat="1" x14ac:dyDescent="0.25"/>
    <row r="63775" s="12" customFormat="1" x14ac:dyDescent="0.25"/>
    <row r="63776" s="12" customFormat="1" x14ac:dyDescent="0.25"/>
    <row r="63777" s="12" customFormat="1" x14ac:dyDescent="0.25"/>
    <row r="63778" s="12" customFormat="1" x14ac:dyDescent="0.25"/>
    <row r="63779" s="12" customFormat="1" x14ac:dyDescent="0.25"/>
    <row r="63780" s="12" customFormat="1" x14ac:dyDescent="0.25"/>
    <row r="63781" s="12" customFormat="1" x14ac:dyDescent="0.25"/>
    <row r="63782" s="12" customFormat="1" x14ac:dyDescent="0.25"/>
    <row r="63783" s="12" customFormat="1" x14ac:dyDescent="0.25"/>
    <row r="63784" s="12" customFormat="1" x14ac:dyDescent="0.25"/>
    <row r="63785" s="12" customFormat="1" x14ac:dyDescent="0.25"/>
    <row r="63786" s="12" customFormat="1" x14ac:dyDescent="0.25"/>
    <row r="63787" s="12" customFormat="1" x14ac:dyDescent="0.25"/>
    <row r="63788" s="12" customFormat="1" x14ac:dyDescent="0.25"/>
    <row r="63789" s="12" customFormat="1" x14ac:dyDescent="0.25"/>
    <row r="63790" s="12" customFormat="1" x14ac:dyDescent="0.25"/>
    <row r="63791" s="12" customFormat="1" x14ac:dyDescent="0.25"/>
    <row r="63792" s="12" customFormat="1" x14ac:dyDescent="0.25"/>
    <row r="63793" s="12" customFormat="1" x14ac:dyDescent="0.25"/>
    <row r="63794" s="12" customFormat="1" x14ac:dyDescent="0.25"/>
    <row r="63795" s="12" customFormat="1" x14ac:dyDescent="0.25"/>
    <row r="63796" s="12" customFormat="1" x14ac:dyDescent="0.25"/>
    <row r="63797" s="12" customFormat="1" x14ac:dyDescent="0.25"/>
    <row r="63798" s="12" customFormat="1" x14ac:dyDescent="0.25"/>
    <row r="63799" s="12" customFormat="1" x14ac:dyDescent="0.25"/>
    <row r="63800" s="12" customFormat="1" x14ac:dyDescent="0.25"/>
    <row r="63801" s="12" customFormat="1" x14ac:dyDescent="0.25"/>
    <row r="63802" s="12" customFormat="1" x14ac:dyDescent="0.25"/>
    <row r="63803" s="12" customFormat="1" x14ac:dyDescent="0.25"/>
    <row r="63804" s="12" customFormat="1" x14ac:dyDescent="0.25"/>
    <row r="63805" s="12" customFormat="1" x14ac:dyDescent="0.25"/>
    <row r="63806" s="12" customFormat="1" x14ac:dyDescent="0.25"/>
    <row r="63807" s="12" customFormat="1" x14ac:dyDescent="0.25"/>
    <row r="63808" s="12" customFormat="1" x14ac:dyDescent="0.25"/>
    <row r="63809" s="12" customFormat="1" x14ac:dyDescent="0.25"/>
    <row r="63810" s="12" customFormat="1" x14ac:dyDescent="0.25"/>
    <row r="63811" s="12" customFormat="1" x14ac:dyDescent="0.25"/>
    <row r="63812" s="12" customFormat="1" x14ac:dyDescent="0.25"/>
    <row r="63813" s="12" customFormat="1" x14ac:dyDescent="0.25"/>
    <row r="63814" s="12" customFormat="1" x14ac:dyDescent="0.25"/>
    <row r="63815" s="12" customFormat="1" x14ac:dyDescent="0.25"/>
    <row r="63816" s="12" customFormat="1" x14ac:dyDescent="0.25"/>
    <row r="63817" s="12" customFormat="1" x14ac:dyDescent="0.25"/>
    <row r="63818" s="12" customFormat="1" x14ac:dyDescent="0.25"/>
    <row r="63819" s="12" customFormat="1" x14ac:dyDescent="0.25"/>
    <row r="63820" s="12" customFormat="1" x14ac:dyDescent="0.25"/>
    <row r="63821" s="12" customFormat="1" x14ac:dyDescent="0.25"/>
    <row r="63822" s="12" customFormat="1" x14ac:dyDescent="0.25"/>
    <row r="63823" s="12" customFormat="1" x14ac:dyDescent="0.25"/>
    <row r="63824" s="12" customFormat="1" x14ac:dyDescent="0.25"/>
    <row r="63825" s="12" customFormat="1" x14ac:dyDescent="0.25"/>
    <row r="63826" s="12" customFormat="1" x14ac:dyDescent="0.25"/>
    <row r="63827" s="12" customFormat="1" x14ac:dyDescent="0.25"/>
    <row r="63828" s="12" customFormat="1" x14ac:dyDescent="0.25"/>
    <row r="63829" s="12" customFormat="1" x14ac:dyDescent="0.25"/>
    <row r="63830" s="12" customFormat="1" x14ac:dyDescent="0.25"/>
    <row r="63831" s="12" customFormat="1" x14ac:dyDescent="0.25"/>
    <row r="63832" s="12" customFormat="1" x14ac:dyDescent="0.25"/>
    <row r="63833" s="12" customFormat="1" x14ac:dyDescent="0.25"/>
    <row r="63834" s="12" customFormat="1" x14ac:dyDescent="0.25"/>
    <row r="63835" s="12" customFormat="1" x14ac:dyDescent="0.25"/>
    <row r="63836" s="12" customFormat="1" x14ac:dyDescent="0.25"/>
    <row r="63837" s="12" customFormat="1" x14ac:dyDescent="0.25"/>
    <row r="63838" s="12" customFormat="1" x14ac:dyDescent="0.25"/>
    <row r="63839" s="12" customFormat="1" x14ac:dyDescent="0.25"/>
    <row r="63840" s="12" customFormat="1" x14ac:dyDescent="0.25"/>
    <row r="63841" s="12" customFormat="1" x14ac:dyDescent="0.25"/>
    <row r="63842" s="12" customFormat="1" x14ac:dyDescent="0.25"/>
    <row r="63843" s="12" customFormat="1" x14ac:dyDescent="0.25"/>
    <row r="63844" s="12" customFormat="1" x14ac:dyDescent="0.25"/>
    <row r="63845" s="12" customFormat="1" x14ac:dyDescent="0.25"/>
    <row r="63846" s="12" customFormat="1" x14ac:dyDescent="0.25"/>
    <row r="63847" s="12" customFormat="1" x14ac:dyDescent="0.25"/>
    <row r="63848" s="12" customFormat="1" x14ac:dyDescent="0.25"/>
    <row r="63849" s="12" customFormat="1" x14ac:dyDescent="0.25"/>
    <row r="63850" s="12" customFormat="1" x14ac:dyDescent="0.25"/>
    <row r="63851" s="12" customFormat="1" x14ac:dyDescent="0.25"/>
    <row r="63852" s="12" customFormat="1" x14ac:dyDescent="0.25"/>
    <row r="63853" s="12" customFormat="1" x14ac:dyDescent="0.25"/>
    <row r="63854" s="12" customFormat="1" x14ac:dyDescent="0.25"/>
    <row r="63855" s="12" customFormat="1" x14ac:dyDescent="0.25"/>
    <row r="63856" s="12" customFormat="1" x14ac:dyDescent="0.25"/>
    <row r="63857" s="12" customFormat="1" x14ac:dyDescent="0.25"/>
    <row r="63858" s="12" customFormat="1" x14ac:dyDescent="0.25"/>
    <row r="63859" s="12" customFormat="1" x14ac:dyDescent="0.25"/>
    <row r="63860" s="12" customFormat="1" x14ac:dyDescent="0.25"/>
    <row r="63861" s="12" customFormat="1" x14ac:dyDescent="0.25"/>
    <row r="63862" s="12" customFormat="1" x14ac:dyDescent="0.25"/>
    <row r="63863" s="12" customFormat="1" x14ac:dyDescent="0.25"/>
    <row r="63864" s="12" customFormat="1" x14ac:dyDescent="0.25"/>
    <row r="63865" s="12" customFormat="1" x14ac:dyDescent="0.25"/>
    <row r="63866" s="12" customFormat="1" x14ac:dyDescent="0.25"/>
    <row r="63867" s="12" customFormat="1" x14ac:dyDescent="0.25"/>
    <row r="63868" s="12" customFormat="1" x14ac:dyDescent="0.25"/>
    <row r="63869" s="12" customFormat="1" x14ac:dyDescent="0.25"/>
    <row r="63870" s="12" customFormat="1" x14ac:dyDescent="0.25"/>
    <row r="63871" s="12" customFormat="1" x14ac:dyDescent="0.25"/>
    <row r="63872" s="12" customFormat="1" x14ac:dyDescent="0.25"/>
    <row r="63873" s="12" customFormat="1" x14ac:dyDescent="0.25"/>
    <row r="63874" s="12" customFormat="1" x14ac:dyDescent="0.25"/>
    <row r="63875" s="12" customFormat="1" x14ac:dyDescent="0.25"/>
    <row r="63876" s="12" customFormat="1" x14ac:dyDescent="0.25"/>
    <row r="63877" s="12" customFormat="1" x14ac:dyDescent="0.25"/>
    <row r="63878" s="12" customFormat="1" x14ac:dyDescent="0.25"/>
    <row r="63879" s="12" customFormat="1" x14ac:dyDescent="0.25"/>
    <row r="63880" s="12" customFormat="1" x14ac:dyDescent="0.25"/>
    <row r="63881" s="12" customFormat="1" x14ac:dyDescent="0.25"/>
    <row r="63882" s="12" customFormat="1" x14ac:dyDescent="0.25"/>
    <row r="63883" s="12" customFormat="1" x14ac:dyDescent="0.25"/>
    <row r="63884" s="12" customFormat="1" x14ac:dyDescent="0.25"/>
    <row r="63885" s="12" customFormat="1" x14ac:dyDescent="0.25"/>
    <row r="63886" s="12" customFormat="1" x14ac:dyDescent="0.25"/>
    <row r="63887" s="12" customFormat="1" x14ac:dyDescent="0.25"/>
    <row r="63888" s="12" customFormat="1" x14ac:dyDescent="0.25"/>
    <row r="63889" s="12" customFormat="1" x14ac:dyDescent="0.25"/>
    <row r="63890" s="12" customFormat="1" x14ac:dyDescent="0.25"/>
    <row r="63891" s="12" customFormat="1" x14ac:dyDescent="0.25"/>
    <row r="63892" s="12" customFormat="1" x14ac:dyDescent="0.25"/>
    <row r="63893" s="12" customFormat="1" x14ac:dyDescent="0.25"/>
    <row r="63894" s="12" customFormat="1" x14ac:dyDescent="0.25"/>
    <row r="63895" s="12" customFormat="1" x14ac:dyDescent="0.25"/>
    <row r="63896" s="12" customFormat="1" x14ac:dyDescent="0.25"/>
    <row r="63897" s="12" customFormat="1" x14ac:dyDescent="0.25"/>
    <row r="63898" s="12" customFormat="1" x14ac:dyDescent="0.25"/>
    <row r="63899" s="12" customFormat="1" x14ac:dyDescent="0.25"/>
    <row r="63900" s="12" customFormat="1" x14ac:dyDescent="0.25"/>
    <row r="63901" s="12" customFormat="1" x14ac:dyDescent="0.25"/>
    <row r="63902" s="12" customFormat="1" x14ac:dyDescent="0.25"/>
    <row r="63903" s="12" customFormat="1" x14ac:dyDescent="0.25"/>
    <row r="63904" s="12" customFormat="1" x14ac:dyDescent="0.25"/>
    <row r="63905" s="12" customFormat="1" x14ac:dyDescent="0.25"/>
    <row r="63906" s="12" customFormat="1" x14ac:dyDescent="0.25"/>
    <row r="63907" s="12" customFormat="1" x14ac:dyDescent="0.25"/>
    <row r="63908" s="12" customFormat="1" x14ac:dyDescent="0.25"/>
    <row r="63909" s="12" customFormat="1" x14ac:dyDescent="0.25"/>
    <row r="63910" s="12" customFormat="1" x14ac:dyDescent="0.25"/>
    <row r="63911" s="12" customFormat="1" x14ac:dyDescent="0.25"/>
    <row r="63912" s="12" customFormat="1" x14ac:dyDescent="0.25"/>
    <row r="63913" s="12" customFormat="1" x14ac:dyDescent="0.25"/>
    <row r="63914" s="12" customFormat="1" x14ac:dyDescent="0.25"/>
    <row r="63915" s="12" customFormat="1" x14ac:dyDescent="0.25"/>
    <row r="63916" s="12" customFormat="1" x14ac:dyDescent="0.25"/>
    <row r="63917" s="12" customFormat="1" x14ac:dyDescent="0.25"/>
    <row r="63918" s="12" customFormat="1" x14ac:dyDescent="0.25"/>
    <row r="63919" s="12" customFormat="1" x14ac:dyDescent="0.25"/>
    <row r="63920" s="12" customFormat="1" x14ac:dyDescent="0.25"/>
    <row r="63921" s="12" customFormat="1" x14ac:dyDescent="0.25"/>
    <row r="63922" s="12" customFormat="1" x14ac:dyDescent="0.25"/>
    <row r="63923" s="12" customFormat="1" x14ac:dyDescent="0.25"/>
    <row r="63924" s="12" customFormat="1" x14ac:dyDescent="0.25"/>
    <row r="63925" s="12" customFormat="1" x14ac:dyDescent="0.25"/>
    <row r="63926" s="12" customFormat="1" x14ac:dyDescent="0.25"/>
    <row r="63927" s="12" customFormat="1" x14ac:dyDescent="0.25"/>
    <row r="63928" s="12" customFormat="1" x14ac:dyDescent="0.25"/>
    <row r="63929" s="12" customFormat="1" x14ac:dyDescent="0.25"/>
    <row r="63930" s="12" customFormat="1" x14ac:dyDescent="0.25"/>
    <row r="63931" s="12" customFormat="1" x14ac:dyDescent="0.25"/>
    <row r="63932" s="12" customFormat="1" x14ac:dyDescent="0.25"/>
    <row r="63933" s="12" customFormat="1" x14ac:dyDescent="0.25"/>
    <row r="63934" s="12" customFormat="1" x14ac:dyDescent="0.25"/>
    <row r="63935" s="12" customFormat="1" x14ac:dyDescent="0.25"/>
    <row r="63936" s="12" customFormat="1" x14ac:dyDescent="0.25"/>
    <row r="63937" s="12" customFormat="1" x14ac:dyDescent="0.25"/>
    <row r="63938" s="12" customFormat="1" x14ac:dyDescent="0.25"/>
    <row r="63939" s="12" customFormat="1" x14ac:dyDescent="0.25"/>
    <row r="63940" s="12" customFormat="1" x14ac:dyDescent="0.25"/>
    <row r="63941" s="12" customFormat="1" x14ac:dyDescent="0.25"/>
    <row r="63942" s="12" customFormat="1" x14ac:dyDescent="0.25"/>
    <row r="63943" s="12" customFormat="1" x14ac:dyDescent="0.25"/>
    <row r="63944" s="12" customFormat="1" x14ac:dyDescent="0.25"/>
    <row r="63945" s="12" customFormat="1" x14ac:dyDescent="0.25"/>
    <row r="63946" s="12" customFormat="1" x14ac:dyDescent="0.25"/>
    <row r="63947" s="12" customFormat="1" x14ac:dyDescent="0.25"/>
    <row r="63948" s="12" customFormat="1" x14ac:dyDescent="0.25"/>
    <row r="63949" s="12" customFormat="1" x14ac:dyDescent="0.25"/>
    <row r="63950" s="12" customFormat="1" x14ac:dyDescent="0.25"/>
    <row r="63951" s="12" customFormat="1" x14ac:dyDescent="0.25"/>
    <row r="63952" s="12" customFormat="1" x14ac:dyDescent="0.25"/>
    <row r="63953" s="12" customFormat="1" x14ac:dyDescent="0.25"/>
    <row r="63954" s="12" customFormat="1" x14ac:dyDescent="0.25"/>
    <row r="63955" s="12" customFormat="1" x14ac:dyDescent="0.25"/>
    <row r="63956" s="12" customFormat="1" x14ac:dyDescent="0.25"/>
    <row r="63957" s="12" customFormat="1" x14ac:dyDescent="0.25"/>
    <row r="63958" s="12" customFormat="1" x14ac:dyDescent="0.25"/>
    <row r="63959" s="12" customFormat="1" x14ac:dyDescent="0.25"/>
    <row r="63960" s="12" customFormat="1" x14ac:dyDescent="0.25"/>
    <row r="63961" s="12" customFormat="1" x14ac:dyDescent="0.25"/>
    <row r="63962" s="12" customFormat="1" x14ac:dyDescent="0.25"/>
    <row r="63963" s="12" customFormat="1" x14ac:dyDescent="0.25"/>
    <row r="63964" s="12" customFormat="1" x14ac:dyDescent="0.25"/>
    <row r="63965" s="12" customFormat="1" x14ac:dyDescent="0.25"/>
    <row r="63966" s="12" customFormat="1" x14ac:dyDescent="0.25"/>
    <row r="63967" s="12" customFormat="1" x14ac:dyDescent="0.25"/>
    <row r="63968" s="12" customFormat="1" x14ac:dyDescent="0.25"/>
    <row r="63969" s="12" customFormat="1" x14ac:dyDescent="0.25"/>
    <row r="63970" s="12" customFormat="1" x14ac:dyDescent="0.25"/>
    <row r="63971" s="12" customFormat="1" x14ac:dyDescent="0.25"/>
    <row r="63972" s="12" customFormat="1" x14ac:dyDescent="0.25"/>
    <row r="63973" s="12" customFormat="1" x14ac:dyDescent="0.25"/>
    <row r="63974" s="12" customFormat="1" x14ac:dyDescent="0.25"/>
    <row r="63975" s="12" customFormat="1" x14ac:dyDescent="0.25"/>
    <row r="63976" s="12" customFormat="1" x14ac:dyDescent="0.25"/>
    <row r="63977" s="12" customFormat="1" x14ac:dyDescent="0.25"/>
    <row r="63978" s="12" customFormat="1" x14ac:dyDescent="0.25"/>
    <row r="63979" s="12" customFormat="1" x14ac:dyDescent="0.25"/>
    <row r="63980" s="12" customFormat="1" x14ac:dyDescent="0.25"/>
    <row r="63981" s="12" customFormat="1" x14ac:dyDescent="0.25"/>
    <row r="63982" s="12" customFormat="1" x14ac:dyDescent="0.25"/>
    <row r="63983" s="12" customFormat="1" x14ac:dyDescent="0.25"/>
    <row r="63984" s="12" customFormat="1" x14ac:dyDescent="0.25"/>
    <row r="63985" s="12" customFormat="1" x14ac:dyDescent="0.25"/>
    <row r="63986" s="12" customFormat="1" x14ac:dyDescent="0.25"/>
    <row r="63987" s="12" customFormat="1" x14ac:dyDescent="0.25"/>
    <row r="63988" s="12" customFormat="1" x14ac:dyDescent="0.25"/>
    <row r="63989" s="12" customFormat="1" x14ac:dyDescent="0.25"/>
    <row r="63990" s="12" customFormat="1" x14ac:dyDescent="0.25"/>
    <row r="63991" s="12" customFormat="1" x14ac:dyDescent="0.25"/>
    <row r="63992" s="12" customFormat="1" x14ac:dyDescent="0.25"/>
    <row r="63993" s="12" customFormat="1" x14ac:dyDescent="0.25"/>
    <row r="63994" s="12" customFormat="1" x14ac:dyDescent="0.25"/>
    <row r="63995" s="12" customFormat="1" x14ac:dyDescent="0.25"/>
    <row r="63996" s="12" customFormat="1" x14ac:dyDescent="0.25"/>
    <row r="63997" s="12" customFormat="1" x14ac:dyDescent="0.25"/>
    <row r="63998" s="12" customFormat="1" x14ac:dyDescent="0.25"/>
    <row r="63999" s="12" customFormat="1" x14ac:dyDescent="0.25"/>
    <row r="64000" s="12" customFormat="1" x14ac:dyDescent="0.25"/>
    <row r="64001" s="12" customFormat="1" x14ac:dyDescent="0.25"/>
    <row r="64002" s="12" customFormat="1" x14ac:dyDescent="0.25"/>
    <row r="64003" s="12" customFormat="1" x14ac:dyDescent="0.25"/>
    <row r="64004" s="12" customFormat="1" x14ac:dyDescent="0.25"/>
    <row r="64005" s="12" customFormat="1" x14ac:dyDescent="0.25"/>
    <row r="64006" s="12" customFormat="1" x14ac:dyDescent="0.25"/>
    <row r="64007" s="12" customFormat="1" x14ac:dyDescent="0.25"/>
    <row r="64008" s="12" customFormat="1" x14ac:dyDescent="0.25"/>
    <row r="64009" s="12" customFormat="1" x14ac:dyDescent="0.25"/>
    <row r="64010" s="12" customFormat="1" x14ac:dyDescent="0.25"/>
    <row r="64011" s="12" customFormat="1" x14ac:dyDescent="0.25"/>
    <row r="64012" s="12" customFormat="1" x14ac:dyDescent="0.25"/>
    <row r="64013" s="12" customFormat="1" x14ac:dyDescent="0.25"/>
    <row r="64014" s="12" customFormat="1" x14ac:dyDescent="0.25"/>
    <row r="64015" s="12" customFormat="1" x14ac:dyDescent="0.25"/>
    <row r="64016" s="12" customFormat="1" x14ac:dyDescent="0.25"/>
    <row r="64017" s="12" customFormat="1" x14ac:dyDescent="0.25"/>
    <row r="64018" s="12" customFormat="1" x14ac:dyDescent="0.25"/>
    <row r="64019" s="12" customFormat="1" x14ac:dyDescent="0.25"/>
    <row r="64020" s="12" customFormat="1" x14ac:dyDescent="0.25"/>
    <row r="64021" s="12" customFormat="1" x14ac:dyDescent="0.25"/>
    <row r="64022" s="12" customFormat="1" x14ac:dyDescent="0.25"/>
    <row r="64023" s="12" customFormat="1" x14ac:dyDescent="0.25"/>
    <row r="64024" s="12" customFormat="1" x14ac:dyDescent="0.25"/>
    <row r="64025" s="12" customFormat="1" x14ac:dyDescent="0.25"/>
    <row r="64026" s="12" customFormat="1" x14ac:dyDescent="0.25"/>
    <row r="64027" s="12" customFormat="1" x14ac:dyDescent="0.25"/>
    <row r="64028" s="12" customFormat="1" x14ac:dyDescent="0.25"/>
    <row r="64029" s="12" customFormat="1" x14ac:dyDescent="0.25"/>
    <row r="64030" s="12" customFormat="1" x14ac:dyDescent="0.25"/>
    <row r="64031" s="12" customFormat="1" x14ac:dyDescent="0.25"/>
    <row r="64032" s="12" customFormat="1" x14ac:dyDescent="0.25"/>
    <row r="64033" s="12" customFormat="1" x14ac:dyDescent="0.25"/>
    <row r="64034" s="12" customFormat="1" x14ac:dyDescent="0.25"/>
    <row r="64035" s="12" customFormat="1" x14ac:dyDescent="0.25"/>
    <row r="64036" s="12" customFormat="1" x14ac:dyDescent="0.25"/>
    <row r="64037" s="12" customFormat="1" x14ac:dyDescent="0.25"/>
    <row r="64038" s="12" customFormat="1" x14ac:dyDescent="0.25"/>
    <row r="64039" s="12" customFormat="1" x14ac:dyDescent="0.25"/>
    <row r="64040" s="12" customFormat="1" x14ac:dyDescent="0.25"/>
    <row r="64041" s="12" customFormat="1" x14ac:dyDescent="0.25"/>
    <row r="64042" s="12" customFormat="1" x14ac:dyDescent="0.25"/>
    <row r="64043" s="12" customFormat="1" x14ac:dyDescent="0.25"/>
    <row r="64044" s="12" customFormat="1" x14ac:dyDescent="0.25"/>
    <row r="64045" s="12" customFormat="1" x14ac:dyDescent="0.25"/>
    <row r="64046" s="12" customFormat="1" x14ac:dyDescent="0.25"/>
    <row r="64047" s="12" customFormat="1" x14ac:dyDescent="0.25"/>
    <row r="64048" s="12" customFormat="1" x14ac:dyDescent="0.25"/>
    <row r="64049" s="12" customFormat="1" x14ac:dyDescent="0.25"/>
    <row r="64050" s="12" customFormat="1" x14ac:dyDescent="0.25"/>
    <row r="64051" s="12" customFormat="1" x14ac:dyDescent="0.25"/>
    <row r="64052" s="12" customFormat="1" x14ac:dyDescent="0.25"/>
    <row r="64053" s="12" customFormat="1" x14ac:dyDescent="0.25"/>
    <row r="64054" s="12" customFormat="1" x14ac:dyDescent="0.25"/>
    <row r="64055" s="12" customFormat="1" x14ac:dyDescent="0.25"/>
    <row r="64056" s="12" customFormat="1" x14ac:dyDescent="0.25"/>
    <row r="64057" s="12" customFormat="1" x14ac:dyDescent="0.25"/>
    <row r="64058" s="12" customFormat="1" x14ac:dyDescent="0.25"/>
    <row r="64059" s="12" customFormat="1" x14ac:dyDescent="0.25"/>
    <row r="64060" s="12" customFormat="1" x14ac:dyDescent="0.25"/>
    <row r="64061" s="12" customFormat="1" x14ac:dyDescent="0.25"/>
    <row r="64062" s="12" customFormat="1" x14ac:dyDescent="0.25"/>
    <row r="64063" s="12" customFormat="1" x14ac:dyDescent="0.25"/>
    <row r="64064" s="12" customFormat="1" x14ac:dyDescent="0.25"/>
    <row r="64065" s="12" customFormat="1" x14ac:dyDescent="0.25"/>
    <row r="64066" s="12" customFormat="1" x14ac:dyDescent="0.25"/>
    <row r="64067" s="12" customFormat="1" x14ac:dyDescent="0.25"/>
    <row r="64068" s="12" customFormat="1" x14ac:dyDescent="0.25"/>
    <row r="64069" s="12" customFormat="1" x14ac:dyDescent="0.25"/>
    <row r="64070" s="12" customFormat="1" x14ac:dyDescent="0.25"/>
    <row r="64071" s="12" customFormat="1" x14ac:dyDescent="0.25"/>
    <row r="64072" s="12" customFormat="1" x14ac:dyDescent="0.25"/>
    <row r="64073" s="12" customFormat="1" x14ac:dyDescent="0.25"/>
    <row r="64074" s="12" customFormat="1" x14ac:dyDescent="0.25"/>
    <row r="64075" s="12" customFormat="1" x14ac:dyDescent="0.25"/>
    <row r="64076" s="12" customFormat="1" x14ac:dyDescent="0.25"/>
    <row r="64077" s="12" customFormat="1" x14ac:dyDescent="0.25"/>
    <row r="64078" s="12" customFormat="1" x14ac:dyDescent="0.25"/>
    <row r="64079" s="12" customFormat="1" x14ac:dyDescent="0.25"/>
    <row r="64080" s="12" customFormat="1" x14ac:dyDescent="0.25"/>
    <row r="64081" s="12" customFormat="1" x14ac:dyDescent="0.25"/>
    <row r="64082" s="12" customFormat="1" x14ac:dyDescent="0.25"/>
    <row r="64083" s="12" customFormat="1" x14ac:dyDescent="0.25"/>
    <row r="64084" s="12" customFormat="1" x14ac:dyDescent="0.25"/>
    <row r="64085" s="12" customFormat="1" x14ac:dyDescent="0.25"/>
    <row r="64086" s="12" customFormat="1" x14ac:dyDescent="0.25"/>
    <row r="64087" s="12" customFormat="1" x14ac:dyDescent="0.25"/>
    <row r="64088" s="12" customFormat="1" x14ac:dyDescent="0.25"/>
    <row r="64089" s="12" customFormat="1" x14ac:dyDescent="0.25"/>
    <row r="64090" s="12" customFormat="1" x14ac:dyDescent="0.25"/>
    <row r="64091" s="12" customFormat="1" x14ac:dyDescent="0.25"/>
    <row r="64092" s="12" customFormat="1" x14ac:dyDescent="0.25"/>
    <row r="64093" s="12" customFormat="1" x14ac:dyDescent="0.25"/>
    <row r="64094" s="12" customFormat="1" x14ac:dyDescent="0.25"/>
    <row r="64095" s="12" customFormat="1" x14ac:dyDescent="0.25"/>
    <row r="64096" s="12" customFormat="1" x14ac:dyDescent="0.25"/>
    <row r="64097" s="12" customFormat="1" x14ac:dyDescent="0.25"/>
    <row r="64098" s="12" customFormat="1" x14ac:dyDescent="0.25"/>
    <row r="64099" s="12" customFormat="1" x14ac:dyDescent="0.25"/>
    <row r="64100" s="12" customFormat="1" x14ac:dyDescent="0.25"/>
    <row r="64101" s="12" customFormat="1" x14ac:dyDescent="0.25"/>
    <row r="64102" s="12" customFormat="1" x14ac:dyDescent="0.25"/>
    <row r="64103" s="12" customFormat="1" x14ac:dyDescent="0.25"/>
    <row r="64104" s="12" customFormat="1" x14ac:dyDescent="0.25"/>
    <row r="64105" s="12" customFormat="1" x14ac:dyDescent="0.25"/>
    <row r="64106" s="12" customFormat="1" x14ac:dyDescent="0.25"/>
    <row r="64107" s="12" customFormat="1" x14ac:dyDescent="0.25"/>
    <row r="64108" s="12" customFormat="1" x14ac:dyDescent="0.25"/>
    <row r="64109" s="12" customFormat="1" x14ac:dyDescent="0.25"/>
    <row r="64110" s="12" customFormat="1" x14ac:dyDescent="0.25"/>
    <row r="64111" s="12" customFormat="1" x14ac:dyDescent="0.25"/>
    <row r="64112" s="12" customFormat="1" x14ac:dyDescent="0.25"/>
    <row r="64113" s="12" customFormat="1" x14ac:dyDescent="0.25"/>
    <row r="64114" s="12" customFormat="1" x14ac:dyDescent="0.25"/>
    <row r="64115" s="12" customFormat="1" x14ac:dyDescent="0.25"/>
    <row r="64116" s="12" customFormat="1" x14ac:dyDescent="0.25"/>
    <row r="64117" s="12" customFormat="1" x14ac:dyDescent="0.25"/>
    <row r="64118" s="12" customFormat="1" x14ac:dyDescent="0.25"/>
    <row r="64119" s="12" customFormat="1" x14ac:dyDescent="0.25"/>
    <row r="64120" s="12" customFormat="1" x14ac:dyDescent="0.25"/>
    <row r="64121" s="12" customFormat="1" x14ac:dyDescent="0.25"/>
    <row r="64122" s="12" customFormat="1" x14ac:dyDescent="0.25"/>
    <row r="64123" s="12" customFormat="1" x14ac:dyDescent="0.25"/>
    <row r="64124" s="12" customFormat="1" x14ac:dyDescent="0.25"/>
    <row r="64125" s="12" customFormat="1" x14ac:dyDescent="0.25"/>
    <row r="64126" s="12" customFormat="1" x14ac:dyDescent="0.25"/>
    <row r="64127" s="12" customFormat="1" x14ac:dyDescent="0.25"/>
    <row r="64128" s="12" customFormat="1" x14ac:dyDescent="0.25"/>
    <row r="64129" s="12" customFormat="1" x14ac:dyDescent="0.25"/>
    <row r="64130" s="12" customFormat="1" x14ac:dyDescent="0.25"/>
    <row r="64131" s="12" customFormat="1" x14ac:dyDescent="0.25"/>
    <row r="64132" s="12" customFormat="1" x14ac:dyDescent="0.25"/>
    <row r="64133" s="12" customFormat="1" x14ac:dyDescent="0.25"/>
    <row r="64134" s="12" customFormat="1" x14ac:dyDescent="0.25"/>
    <row r="64135" s="12" customFormat="1" x14ac:dyDescent="0.25"/>
    <row r="64136" s="12" customFormat="1" x14ac:dyDescent="0.25"/>
    <row r="64137" s="12" customFormat="1" x14ac:dyDescent="0.25"/>
    <row r="64138" s="12" customFormat="1" x14ac:dyDescent="0.25"/>
    <row r="64139" s="12" customFormat="1" x14ac:dyDescent="0.25"/>
    <row r="64140" s="12" customFormat="1" x14ac:dyDescent="0.25"/>
    <row r="64141" s="12" customFormat="1" x14ac:dyDescent="0.25"/>
    <row r="64142" s="12" customFormat="1" x14ac:dyDescent="0.25"/>
    <row r="64143" s="12" customFormat="1" x14ac:dyDescent="0.25"/>
    <row r="64144" s="12" customFormat="1" x14ac:dyDescent="0.25"/>
    <row r="64145" s="12" customFormat="1" x14ac:dyDescent="0.25"/>
    <row r="64146" s="12" customFormat="1" x14ac:dyDescent="0.25"/>
    <row r="64147" s="12" customFormat="1" x14ac:dyDescent="0.25"/>
    <row r="64148" s="12" customFormat="1" x14ac:dyDescent="0.25"/>
    <row r="64149" s="12" customFormat="1" x14ac:dyDescent="0.25"/>
    <row r="64150" s="12" customFormat="1" x14ac:dyDescent="0.25"/>
    <row r="64151" s="12" customFormat="1" x14ac:dyDescent="0.25"/>
    <row r="64152" s="12" customFormat="1" x14ac:dyDescent="0.25"/>
    <row r="64153" s="12" customFormat="1" x14ac:dyDescent="0.25"/>
    <row r="64154" s="12" customFormat="1" x14ac:dyDescent="0.25"/>
    <row r="64155" s="12" customFormat="1" x14ac:dyDescent="0.25"/>
    <row r="64156" s="12" customFormat="1" x14ac:dyDescent="0.25"/>
    <row r="64157" s="12" customFormat="1" x14ac:dyDescent="0.25"/>
    <row r="64158" s="12" customFormat="1" x14ac:dyDescent="0.25"/>
    <row r="64159" s="12" customFormat="1" x14ac:dyDescent="0.25"/>
    <row r="64160" s="12" customFormat="1" x14ac:dyDescent="0.25"/>
    <row r="64161" s="12" customFormat="1" x14ac:dyDescent="0.25"/>
    <row r="64162" s="12" customFormat="1" x14ac:dyDescent="0.25"/>
    <row r="64163" s="12" customFormat="1" x14ac:dyDescent="0.25"/>
    <row r="64164" s="12" customFormat="1" x14ac:dyDescent="0.25"/>
    <row r="64165" s="12" customFormat="1" x14ac:dyDescent="0.25"/>
    <row r="64166" s="12" customFormat="1" x14ac:dyDescent="0.25"/>
    <row r="64167" s="12" customFormat="1" x14ac:dyDescent="0.25"/>
    <row r="64168" s="12" customFormat="1" x14ac:dyDescent="0.25"/>
    <row r="64169" s="12" customFormat="1" x14ac:dyDescent="0.25"/>
    <row r="64170" s="12" customFormat="1" x14ac:dyDescent="0.25"/>
    <row r="64171" s="12" customFormat="1" x14ac:dyDescent="0.25"/>
    <row r="64172" s="12" customFormat="1" x14ac:dyDescent="0.25"/>
    <row r="64173" s="12" customFormat="1" x14ac:dyDescent="0.25"/>
    <row r="64174" s="12" customFormat="1" x14ac:dyDescent="0.25"/>
    <row r="64175" s="12" customFormat="1" x14ac:dyDescent="0.25"/>
    <row r="64176" s="12" customFormat="1" x14ac:dyDescent="0.25"/>
    <row r="64177" s="12" customFormat="1" x14ac:dyDescent="0.25"/>
    <row r="64178" s="12" customFormat="1" x14ac:dyDescent="0.25"/>
    <row r="64179" s="12" customFormat="1" x14ac:dyDescent="0.25"/>
    <row r="64180" s="12" customFormat="1" x14ac:dyDescent="0.25"/>
    <row r="64181" s="12" customFormat="1" x14ac:dyDescent="0.25"/>
    <row r="64182" s="12" customFormat="1" x14ac:dyDescent="0.25"/>
    <row r="64183" s="12" customFormat="1" x14ac:dyDescent="0.25"/>
    <row r="64184" s="12" customFormat="1" x14ac:dyDescent="0.25"/>
    <row r="64185" s="12" customFormat="1" x14ac:dyDescent="0.25"/>
    <row r="64186" s="12" customFormat="1" x14ac:dyDescent="0.25"/>
    <row r="64187" s="12" customFormat="1" x14ac:dyDescent="0.25"/>
    <row r="64188" s="12" customFormat="1" x14ac:dyDescent="0.25"/>
    <row r="64189" s="12" customFormat="1" x14ac:dyDescent="0.25"/>
    <row r="64190" s="12" customFormat="1" x14ac:dyDescent="0.25"/>
    <row r="64191" s="12" customFormat="1" x14ac:dyDescent="0.25"/>
    <row r="64192" s="12" customFormat="1" x14ac:dyDescent="0.25"/>
    <row r="64193" s="12" customFormat="1" x14ac:dyDescent="0.25"/>
    <row r="64194" s="12" customFormat="1" x14ac:dyDescent="0.25"/>
    <row r="64195" s="12" customFormat="1" x14ac:dyDescent="0.25"/>
    <row r="64196" s="12" customFormat="1" x14ac:dyDescent="0.25"/>
    <row r="64197" s="12" customFormat="1" x14ac:dyDescent="0.25"/>
    <row r="64198" s="12" customFormat="1" x14ac:dyDescent="0.25"/>
    <row r="64199" s="12" customFormat="1" x14ac:dyDescent="0.25"/>
    <row r="64200" s="12" customFormat="1" x14ac:dyDescent="0.25"/>
    <row r="64201" s="12" customFormat="1" x14ac:dyDescent="0.25"/>
    <row r="64202" s="12" customFormat="1" x14ac:dyDescent="0.25"/>
    <row r="64203" s="12" customFormat="1" x14ac:dyDescent="0.25"/>
    <row r="64204" s="12" customFormat="1" x14ac:dyDescent="0.25"/>
    <row r="64205" s="12" customFormat="1" x14ac:dyDescent="0.25"/>
    <row r="64206" s="12" customFormat="1" x14ac:dyDescent="0.25"/>
    <row r="64207" s="12" customFormat="1" x14ac:dyDescent="0.25"/>
    <row r="64208" s="12" customFormat="1" x14ac:dyDescent="0.25"/>
    <row r="64209" s="12" customFormat="1" x14ac:dyDescent="0.25"/>
    <row r="64210" s="12" customFormat="1" x14ac:dyDescent="0.25"/>
    <row r="64211" s="12" customFormat="1" x14ac:dyDescent="0.25"/>
    <row r="64212" s="12" customFormat="1" x14ac:dyDescent="0.25"/>
    <row r="64213" s="12" customFormat="1" x14ac:dyDescent="0.25"/>
    <row r="64214" s="12" customFormat="1" x14ac:dyDescent="0.25"/>
    <row r="64215" s="12" customFormat="1" x14ac:dyDescent="0.25"/>
    <row r="64216" s="12" customFormat="1" x14ac:dyDescent="0.25"/>
    <row r="64217" s="12" customFormat="1" x14ac:dyDescent="0.25"/>
    <row r="64218" s="12" customFormat="1" x14ac:dyDescent="0.25"/>
    <row r="64219" s="12" customFormat="1" x14ac:dyDescent="0.25"/>
    <row r="64220" s="12" customFormat="1" x14ac:dyDescent="0.25"/>
    <row r="64221" s="12" customFormat="1" x14ac:dyDescent="0.25"/>
    <row r="64222" s="12" customFormat="1" x14ac:dyDescent="0.25"/>
    <row r="64223" s="12" customFormat="1" x14ac:dyDescent="0.25"/>
    <row r="64224" s="12" customFormat="1" x14ac:dyDescent="0.25"/>
    <row r="64225" s="12" customFormat="1" x14ac:dyDescent="0.25"/>
    <row r="64226" s="12" customFormat="1" x14ac:dyDescent="0.25"/>
    <row r="64227" s="12" customFormat="1" x14ac:dyDescent="0.25"/>
    <row r="64228" s="12" customFormat="1" x14ac:dyDescent="0.25"/>
    <row r="64229" s="12" customFormat="1" x14ac:dyDescent="0.25"/>
    <row r="64230" s="12" customFormat="1" x14ac:dyDescent="0.25"/>
    <row r="64231" s="12" customFormat="1" x14ac:dyDescent="0.25"/>
    <row r="64232" s="12" customFormat="1" x14ac:dyDescent="0.25"/>
    <row r="64233" s="12" customFormat="1" x14ac:dyDescent="0.25"/>
    <row r="64234" s="12" customFormat="1" x14ac:dyDescent="0.25"/>
    <row r="64235" s="12" customFormat="1" x14ac:dyDescent="0.25"/>
    <row r="64236" s="12" customFormat="1" x14ac:dyDescent="0.25"/>
    <row r="64237" s="12" customFormat="1" x14ac:dyDescent="0.25"/>
    <row r="64238" s="12" customFormat="1" x14ac:dyDescent="0.25"/>
    <row r="64239" s="12" customFormat="1" x14ac:dyDescent="0.25"/>
    <row r="64240" s="12" customFormat="1" x14ac:dyDescent="0.25"/>
    <row r="64241" s="12" customFormat="1" x14ac:dyDescent="0.25"/>
    <row r="64242" s="12" customFormat="1" x14ac:dyDescent="0.25"/>
    <row r="64243" s="12" customFormat="1" x14ac:dyDescent="0.25"/>
    <row r="64244" s="12" customFormat="1" x14ac:dyDescent="0.25"/>
    <row r="64245" s="12" customFormat="1" x14ac:dyDescent="0.25"/>
    <row r="64246" s="12" customFormat="1" x14ac:dyDescent="0.25"/>
    <row r="64247" s="12" customFormat="1" x14ac:dyDescent="0.25"/>
    <row r="64248" s="12" customFormat="1" x14ac:dyDescent="0.25"/>
    <row r="64249" s="12" customFormat="1" x14ac:dyDescent="0.25"/>
    <row r="64250" s="12" customFormat="1" x14ac:dyDescent="0.25"/>
    <row r="64251" s="12" customFormat="1" x14ac:dyDescent="0.25"/>
    <row r="64252" s="12" customFormat="1" x14ac:dyDescent="0.25"/>
    <row r="64253" s="12" customFormat="1" x14ac:dyDescent="0.25"/>
    <row r="64254" s="12" customFormat="1" x14ac:dyDescent="0.25"/>
    <row r="64255" s="12" customFormat="1" x14ac:dyDescent="0.25"/>
    <row r="64256" s="12" customFormat="1" x14ac:dyDescent="0.25"/>
    <row r="64257" s="12" customFormat="1" x14ac:dyDescent="0.25"/>
    <row r="64258" s="12" customFormat="1" x14ac:dyDescent="0.25"/>
    <row r="64259" s="12" customFormat="1" x14ac:dyDescent="0.25"/>
    <row r="64260" s="12" customFormat="1" x14ac:dyDescent="0.25"/>
    <row r="64261" s="12" customFormat="1" x14ac:dyDescent="0.25"/>
    <row r="64262" s="12" customFormat="1" x14ac:dyDescent="0.25"/>
    <row r="64263" s="12" customFormat="1" x14ac:dyDescent="0.25"/>
    <row r="64264" s="12" customFormat="1" x14ac:dyDescent="0.25"/>
    <row r="64265" s="12" customFormat="1" x14ac:dyDescent="0.25"/>
    <row r="64266" s="12" customFormat="1" x14ac:dyDescent="0.25"/>
    <row r="64267" s="12" customFormat="1" x14ac:dyDescent="0.25"/>
    <row r="64268" s="12" customFormat="1" x14ac:dyDescent="0.25"/>
    <row r="64269" s="12" customFormat="1" x14ac:dyDescent="0.25"/>
    <row r="64270" s="12" customFormat="1" x14ac:dyDescent="0.25"/>
    <row r="64271" s="12" customFormat="1" x14ac:dyDescent="0.25"/>
    <row r="64272" s="12" customFormat="1" x14ac:dyDescent="0.25"/>
    <row r="64273" s="12" customFormat="1" x14ac:dyDescent="0.25"/>
    <row r="64274" s="12" customFormat="1" x14ac:dyDescent="0.25"/>
    <row r="64275" s="12" customFormat="1" x14ac:dyDescent="0.25"/>
    <row r="64276" s="12" customFormat="1" x14ac:dyDescent="0.25"/>
    <row r="64277" s="12" customFormat="1" x14ac:dyDescent="0.25"/>
    <row r="64278" s="12" customFormat="1" x14ac:dyDescent="0.25"/>
    <row r="64279" s="12" customFormat="1" x14ac:dyDescent="0.25"/>
    <row r="64280" s="12" customFormat="1" x14ac:dyDescent="0.25"/>
    <row r="64281" s="12" customFormat="1" x14ac:dyDescent="0.25"/>
    <row r="64282" s="12" customFormat="1" x14ac:dyDescent="0.25"/>
    <row r="64283" s="12" customFormat="1" x14ac:dyDescent="0.25"/>
    <row r="64284" s="12" customFormat="1" x14ac:dyDescent="0.25"/>
    <row r="64285" s="12" customFormat="1" x14ac:dyDescent="0.25"/>
    <row r="64286" s="12" customFormat="1" x14ac:dyDescent="0.25"/>
    <row r="64287" s="12" customFormat="1" x14ac:dyDescent="0.25"/>
    <row r="64288" s="12" customFormat="1" x14ac:dyDescent="0.25"/>
    <row r="64289" s="12" customFormat="1" x14ac:dyDescent="0.25"/>
    <row r="64290" s="12" customFormat="1" x14ac:dyDescent="0.25"/>
    <row r="64291" s="12" customFormat="1" x14ac:dyDescent="0.25"/>
    <row r="64292" s="12" customFormat="1" x14ac:dyDescent="0.25"/>
    <row r="64293" s="12" customFormat="1" x14ac:dyDescent="0.25"/>
    <row r="64294" s="12" customFormat="1" x14ac:dyDescent="0.25"/>
    <row r="64295" s="12" customFormat="1" x14ac:dyDescent="0.25"/>
    <row r="64296" s="12" customFormat="1" x14ac:dyDescent="0.25"/>
    <row r="64297" s="12" customFormat="1" x14ac:dyDescent="0.25"/>
    <row r="64298" s="12" customFormat="1" x14ac:dyDescent="0.25"/>
    <row r="64299" s="12" customFormat="1" x14ac:dyDescent="0.25"/>
    <row r="64300" s="12" customFormat="1" x14ac:dyDescent="0.25"/>
    <row r="64301" s="12" customFormat="1" x14ac:dyDescent="0.25"/>
    <row r="64302" s="12" customFormat="1" x14ac:dyDescent="0.25"/>
    <row r="64303" s="12" customFormat="1" x14ac:dyDescent="0.25"/>
    <row r="64304" s="12" customFormat="1" x14ac:dyDescent="0.25"/>
    <row r="64305" s="12" customFormat="1" x14ac:dyDescent="0.25"/>
    <row r="64306" s="12" customFormat="1" x14ac:dyDescent="0.25"/>
    <row r="64307" s="12" customFormat="1" x14ac:dyDescent="0.25"/>
    <row r="64308" s="12" customFormat="1" x14ac:dyDescent="0.25"/>
    <row r="64309" s="12" customFormat="1" x14ac:dyDescent="0.25"/>
    <row r="64310" s="12" customFormat="1" x14ac:dyDescent="0.25"/>
    <row r="64311" s="12" customFormat="1" x14ac:dyDescent="0.25"/>
    <row r="64312" s="12" customFormat="1" x14ac:dyDescent="0.25"/>
    <row r="64313" s="12" customFormat="1" x14ac:dyDescent="0.25"/>
    <row r="64314" s="12" customFormat="1" x14ac:dyDescent="0.25"/>
    <row r="64315" s="12" customFormat="1" x14ac:dyDescent="0.25"/>
    <row r="64316" s="12" customFormat="1" x14ac:dyDescent="0.25"/>
    <row r="64317" s="12" customFormat="1" x14ac:dyDescent="0.25"/>
    <row r="64318" s="12" customFormat="1" x14ac:dyDescent="0.25"/>
    <row r="64319" s="12" customFormat="1" x14ac:dyDescent="0.25"/>
    <row r="64320" s="12" customFormat="1" x14ac:dyDescent="0.25"/>
    <row r="64321" s="12" customFormat="1" x14ac:dyDescent="0.25"/>
    <row r="64322" s="12" customFormat="1" x14ac:dyDescent="0.25"/>
    <row r="64323" s="12" customFormat="1" x14ac:dyDescent="0.25"/>
    <row r="64324" s="12" customFormat="1" x14ac:dyDescent="0.25"/>
    <row r="64325" s="12" customFormat="1" x14ac:dyDescent="0.25"/>
    <row r="64326" s="12" customFormat="1" x14ac:dyDescent="0.25"/>
    <row r="64327" s="12" customFormat="1" x14ac:dyDescent="0.25"/>
    <row r="64328" s="12" customFormat="1" x14ac:dyDescent="0.25"/>
    <row r="64329" s="12" customFormat="1" x14ac:dyDescent="0.25"/>
    <row r="64330" s="12" customFormat="1" x14ac:dyDescent="0.25"/>
    <row r="64331" s="12" customFormat="1" x14ac:dyDescent="0.25"/>
    <row r="64332" s="12" customFormat="1" x14ac:dyDescent="0.25"/>
    <row r="64333" s="12" customFormat="1" x14ac:dyDescent="0.25"/>
    <row r="64334" s="12" customFormat="1" x14ac:dyDescent="0.25"/>
    <row r="64335" s="12" customFormat="1" x14ac:dyDescent="0.25"/>
    <row r="64336" s="12" customFormat="1" x14ac:dyDescent="0.25"/>
    <row r="64337" s="12" customFormat="1" x14ac:dyDescent="0.25"/>
    <row r="64338" s="12" customFormat="1" x14ac:dyDescent="0.25"/>
    <row r="64339" s="12" customFormat="1" x14ac:dyDescent="0.25"/>
    <row r="64340" s="12" customFormat="1" x14ac:dyDescent="0.25"/>
    <row r="64341" s="12" customFormat="1" x14ac:dyDescent="0.25"/>
    <row r="64342" s="12" customFormat="1" x14ac:dyDescent="0.25"/>
    <row r="64343" s="12" customFormat="1" x14ac:dyDescent="0.25"/>
    <row r="64344" s="12" customFormat="1" x14ac:dyDescent="0.25"/>
    <row r="64345" s="12" customFormat="1" x14ac:dyDescent="0.25"/>
    <row r="64346" s="12" customFormat="1" x14ac:dyDescent="0.25"/>
    <row r="64347" s="12" customFormat="1" x14ac:dyDescent="0.25"/>
    <row r="64348" s="12" customFormat="1" x14ac:dyDescent="0.25"/>
    <row r="64349" s="12" customFormat="1" x14ac:dyDescent="0.25"/>
    <row r="64350" s="12" customFormat="1" x14ac:dyDescent="0.25"/>
    <row r="64351" s="12" customFormat="1" x14ac:dyDescent="0.25"/>
    <row r="64352" s="12" customFormat="1" x14ac:dyDescent="0.25"/>
    <row r="64353" s="12" customFormat="1" x14ac:dyDescent="0.25"/>
    <row r="64354" s="12" customFormat="1" x14ac:dyDescent="0.25"/>
    <row r="64355" s="12" customFormat="1" x14ac:dyDescent="0.25"/>
    <row r="64356" s="12" customFormat="1" x14ac:dyDescent="0.25"/>
    <row r="64357" s="12" customFormat="1" x14ac:dyDescent="0.25"/>
    <row r="64358" s="12" customFormat="1" x14ac:dyDescent="0.25"/>
    <row r="64359" s="12" customFormat="1" x14ac:dyDescent="0.25"/>
    <row r="64360" s="12" customFormat="1" x14ac:dyDescent="0.25"/>
    <row r="64361" s="12" customFormat="1" x14ac:dyDescent="0.25"/>
    <row r="64362" s="12" customFormat="1" x14ac:dyDescent="0.25"/>
    <row r="64363" s="12" customFormat="1" x14ac:dyDescent="0.25"/>
    <row r="64364" s="12" customFormat="1" x14ac:dyDescent="0.25"/>
    <row r="64365" s="12" customFormat="1" x14ac:dyDescent="0.25"/>
    <row r="64366" s="12" customFormat="1" x14ac:dyDescent="0.25"/>
    <row r="64367" s="12" customFormat="1" x14ac:dyDescent="0.25"/>
    <row r="64368" s="12" customFormat="1" x14ac:dyDescent="0.25"/>
    <row r="64369" s="12" customFormat="1" x14ac:dyDescent="0.25"/>
    <row r="64370" s="12" customFormat="1" x14ac:dyDescent="0.25"/>
    <row r="64371" s="12" customFormat="1" x14ac:dyDescent="0.25"/>
    <row r="64372" s="12" customFormat="1" x14ac:dyDescent="0.25"/>
    <row r="64373" s="12" customFormat="1" x14ac:dyDescent="0.25"/>
    <row r="64374" s="12" customFormat="1" x14ac:dyDescent="0.25"/>
    <row r="64375" s="12" customFormat="1" x14ac:dyDescent="0.25"/>
    <row r="64376" s="12" customFormat="1" x14ac:dyDescent="0.25"/>
    <row r="64377" s="12" customFormat="1" x14ac:dyDescent="0.25"/>
    <row r="64378" s="12" customFormat="1" x14ac:dyDescent="0.25"/>
    <row r="64379" s="12" customFormat="1" x14ac:dyDescent="0.25"/>
    <row r="64380" s="12" customFormat="1" x14ac:dyDescent="0.25"/>
    <row r="64381" s="12" customFormat="1" x14ac:dyDescent="0.25"/>
    <row r="64382" s="12" customFormat="1" x14ac:dyDescent="0.25"/>
    <row r="64383" s="12" customFormat="1" x14ac:dyDescent="0.25"/>
    <row r="64384" s="12" customFormat="1" x14ac:dyDescent="0.25"/>
    <row r="64385" s="12" customFormat="1" x14ac:dyDescent="0.25"/>
    <row r="64386" s="12" customFormat="1" x14ac:dyDescent="0.25"/>
    <row r="64387" s="12" customFormat="1" x14ac:dyDescent="0.25"/>
    <row r="64388" s="12" customFormat="1" x14ac:dyDescent="0.25"/>
    <row r="64389" s="12" customFormat="1" x14ac:dyDescent="0.25"/>
    <row r="64390" s="12" customFormat="1" x14ac:dyDescent="0.25"/>
    <row r="64391" s="12" customFormat="1" x14ac:dyDescent="0.25"/>
    <row r="64392" s="12" customFormat="1" x14ac:dyDescent="0.25"/>
    <row r="64393" s="12" customFormat="1" x14ac:dyDescent="0.25"/>
    <row r="64394" s="12" customFormat="1" x14ac:dyDescent="0.25"/>
    <row r="64395" s="12" customFormat="1" x14ac:dyDescent="0.25"/>
    <row r="64396" s="12" customFormat="1" x14ac:dyDescent="0.25"/>
    <row r="64397" s="12" customFormat="1" x14ac:dyDescent="0.25"/>
    <row r="64398" s="12" customFormat="1" x14ac:dyDescent="0.25"/>
    <row r="64399" s="12" customFormat="1" x14ac:dyDescent="0.25"/>
    <row r="64400" s="12" customFormat="1" x14ac:dyDescent="0.25"/>
    <row r="64401" s="12" customFormat="1" x14ac:dyDescent="0.25"/>
    <row r="64402" s="12" customFormat="1" x14ac:dyDescent="0.25"/>
    <row r="64403" s="12" customFormat="1" x14ac:dyDescent="0.25"/>
    <row r="64404" s="12" customFormat="1" x14ac:dyDescent="0.25"/>
    <row r="64405" s="12" customFormat="1" x14ac:dyDescent="0.25"/>
    <row r="64406" s="12" customFormat="1" x14ac:dyDescent="0.25"/>
    <row r="64407" s="12" customFormat="1" x14ac:dyDescent="0.25"/>
    <row r="64408" s="12" customFormat="1" x14ac:dyDescent="0.25"/>
    <row r="64409" s="12" customFormat="1" x14ac:dyDescent="0.25"/>
    <row r="64410" s="12" customFormat="1" x14ac:dyDescent="0.25"/>
    <row r="64411" s="12" customFormat="1" x14ac:dyDescent="0.25"/>
    <row r="64412" s="12" customFormat="1" x14ac:dyDescent="0.25"/>
    <row r="64413" s="12" customFormat="1" x14ac:dyDescent="0.25"/>
    <row r="64414" s="12" customFormat="1" x14ac:dyDescent="0.25"/>
    <row r="64415" s="12" customFormat="1" x14ac:dyDescent="0.25"/>
    <row r="64416" s="12" customFormat="1" x14ac:dyDescent="0.25"/>
    <row r="64417" s="12" customFormat="1" x14ac:dyDescent="0.25"/>
    <row r="64418" s="12" customFormat="1" x14ac:dyDescent="0.25"/>
    <row r="64419" s="12" customFormat="1" x14ac:dyDescent="0.25"/>
    <row r="64420" s="12" customFormat="1" x14ac:dyDescent="0.25"/>
    <row r="64421" s="12" customFormat="1" x14ac:dyDescent="0.25"/>
    <row r="64422" s="12" customFormat="1" x14ac:dyDescent="0.25"/>
    <row r="64423" s="12" customFormat="1" x14ac:dyDescent="0.25"/>
    <row r="64424" s="12" customFormat="1" x14ac:dyDescent="0.25"/>
    <row r="64425" s="12" customFormat="1" x14ac:dyDescent="0.25"/>
    <row r="64426" s="12" customFormat="1" x14ac:dyDescent="0.25"/>
    <row r="64427" s="12" customFormat="1" x14ac:dyDescent="0.25"/>
    <row r="64428" s="12" customFormat="1" x14ac:dyDescent="0.25"/>
    <row r="64429" s="12" customFormat="1" x14ac:dyDescent="0.25"/>
    <row r="64430" s="12" customFormat="1" x14ac:dyDescent="0.25"/>
    <row r="64431" s="12" customFormat="1" x14ac:dyDescent="0.25"/>
    <row r="64432" s="12" customFormat="1" x14ac:dyDescent="0.25"/>
    <row r="64433" s="12" customFormat="1" x14ac:dyDescent="0.25"/>
    <row r="64434" s="12" customFormat="1" x14ac:dyDescent="0.25"/>
    <row r="64435" s="12" customFormat="1" x14ac:dyDescent="0.25"/>
    <row r="64436" s="12" customFormat="1" x14ac:dyDescent="0.25"/>
    <row r="64437" s="12" customFormat="1" x14ac:dyDescent="0.25"/>
    <row r="64438" s="12" customFormat="1" x14ac:dyDescent="0.25"/>
    <row r="64439" s="12" customFormat="1" x14ac:dyDescent="0.25"/>
    <row r="64440" s="12" customFormat="1" x14ac:dyDescent="0.25"/>
    <row r="64441" s="12" customFormat="1" x14ac:dyDescent="0.25"/>
    <row r="64442" s="12" customFormat="1" x14ac:dyDescent="0.25"/>
    <row r="64443" s="12" customFormat="1" x14ac:dyDescent="0.25"/>
    <row r="64444" s="12" customFormat="1" x14ac:dyDescent="0.25"/>
    <row r="64445" s="12" customFormat="1" x14ac:dyDescent="0.25"/>
    <row r="64446" s="12" customFormat="1" x14ac:dyDescent="0.25"/>
    <row r="64447" s="12" customFormat="1" x14ac:dyDescent="0.25"/>
    <row r="64448" s="12" customFormat="1" x14ac:dyDescent="0.25"/>
    <row r="64449" s="12" customFormat="1" x14ac:dyDescent="0.25"/>
    <row r="64450" s="12" customFormat="1" x14ac:dyDescent="0.25"/>
    <row r="64451" s="12" customFormat="1" x14ac:dyDescent="0.25"/>
    <row r="64452" s="12" customFormat="1" x14ac:dyDescent="0.25"/>
    <row r="64453" s="12" customFormat="1" x14ac:dyDescent="0.25"/>
    <row r="64454" s="12" customFormat="1" x14ac:dyDescent="0.25"/>
    <row r="64455" s="12" customFormat="1" x14ac:dyDescent="0.25"/>
    <row r="64456" s="12" customFormat="1" x14ac:dyDescent="0.25"/>
    <row r="64457" s="12" customFormat="1" x14ac:dyDescent="0.25"/>
    <row r="64458" s="12" customFormat="1" x14ac:dyDescent="0.25"/>
    <row r="64459" s="12" customFormat="1" x14ac:dyDescent="0.25"/>
    <row r="64460" s="12" customFormat="1" x14ac:dyDescent="0.25"/>
    <row r="64461" s="12" customFormat="1" x14ac:dyDescent="0.25"/>
    <row r="64462" s="12" customFormat="1" x14ac:dyDescent="0.25"/>
    <row r="64463" s="12" customFormat="1" x14ac:dyDescent="0.25"/>
    <row r="64464" s="12" customFormat="1" x14ac:dyDescent="0.25"/>
    <row r="64465" s="12" customFormat="1" x14ac:dyDescent="0.25"/>
    <row r="64466" s="12" customFormat="1" x14ac:dyDescent="0.25"/>
    <row r="64467" s="12" customFormat="1" x14ac:dyDescent="0.25"/>
    <row r="64468" s="12" customFormat="1" x14ac:dyDescent="0.25"/>
    <row r="64469" s="12" customFormat="1" x14ac:dyDescent="0.25"/>
    <row r="64470" s="12" customFormat="1" x14ac:dyDescent="0.25"/>
    <row r="64471" s="12" customFormat="1" x14ac:dyDescent="0.25"/>
    <row r="64472" s="12" customFormat="1" x14ac:dyDescent="0.25"/>
    <row r="64473" s="12" customFormat="1" x14ac:dyDescent="0.25"/>
    <row r="64474" s="12" customFormat="1" x14ac:dyDescent="0.25"/>
    <row r="64475" s="12" customFormat="1" x14ac:dyDescent="0.25"/>
    <row r="64476" s="12" customFormat="1" x14ac:dyDescent="0.25"/>
    <row r="64477" s="12" customFormat="1" x14ac:dyDescent="0.25"/>
    <row r="64478" s="12" customFormat="1" x14ac:dyDescent="0.25"/>
    <row r="64479" s="12" customFormat="1" x14ac:dyDescent="0.25"/>
    <row r="64480" s="12" customFormat="1" x14ac:dyDescent="0.25"/>
    <row r="64481" s="12" customFormat="1" x14ac:dyDescent="0.25"/>
    <row r="64482" s="12" customFormat="1" x14ac:dyDescent="0.25"/>
    <row r="64483" s="12" customFormat="1" x14ac:dyDescent="0.25"/>
    <row r="64484" s="12" customFormat="1" x14ac:dyDescent="0.25"/>
    <row r="64485" s="12" customFormat="1" x14ac:dyDescent="0.25"/>
    <row r="64486" s="12" customFormat="1" x14ac:dyDescent="0.25"/>
    <row r="64487" s="12" customFormat="1" x14ac:dyDescent="0.25"/>
    <row r="64488" s="12" customFormat="1" x14ac:dyDescent="0.25"/>
    <row r="64489" s="12" customFormat="1" x14ac:dyDescent="0.25"/>
    <row r="64490" s="12" customFormat="1" x14ac:dyDescent="0.25"/>
    <row r="64491" s="12" customFormat="1" x14ac:dyDescent="0.25"/>
    <row r="64492" s="12" customFormat="1" x14ac:dyDescent="0.25"/>
    <row r="64493" s="12" customFormat="1" x14ac:dyDescent="0.25"/>
    <row r="64494" s="12" customFormat="1" x14ac:dyDescent="0.25"/>
    <row r="64495" s="12" customFormat="1" x14ac:dyDescent="0.25"/>
    <row r="64496" s="12" customFormat="1" x14ac:dyDescent="0.25"/>
    <row r="64497" s="12" customFormat="1" x14ac:dyDescent="0.25"/>
    <row r="64498" s="12" customFormat="1" x14ac:dyDescent="0.25"/>
    <row r="64499" s="12" customFormat="1" x14ac:dyDescent="0.25"/>
    <row r="64500" s="12" customFormat="1" x14ac:dyDescent="0.25"/>
    <row r="64501" s="12" customFormat="1" x14ac:dyDescent="0.25"/>
    <row r="64502" s="12" customFormat="1" x14ac:dyDescent="0.25"/>
    <row r="64503" s="12" customFormat="1" x14ac:dyDescent="0.25"/>
    <row r="64504" s="12" customFormat="1" x14ac:dyDescent="0.25"/>
    <row r="64505" s="12" customFormat="1" x14ac:dyDescent="0.25"/>
    <row r="64506" s="12" customFormat="1" x14ac:dyDescent="0.25"/>
    <row r="64507" s="12" customFormat="1" x14ac:dyDescent="0.25"/>
    <row r="64508" s="12" customFormat="1" x14ac:dyDescent="0.25"/>
    <row r="64509" s="12" customFormat="1" x14ac:dyDescent="0.25"/>
    <row r="64510" s="12" customFormat="1" x14ac:dyDescent="0.25"/>
    <row r="64511" s="12" customFormat="1" x14ac:dyDescent="0.25"/>
    <row r="64512" s="12" customFormat="1" x14ac:dyDescent="0.25"/>
    <row r="64513" s="12" customFormat="1" x14ac:dyDescent="0.25"/>
    <row r="64514" s="12" customFormat="1" x14ac:dyDescent="0.25"/>
    <row r="64515" s="12" customFormat="1" x14ac:dyDescent="0.25"/>
    <row r="64516" s="12" customFormat="1" x14ac:dyDescent="0.25"/>
    <row r="64517" s="12" customFormat="1" x14ac:dyDescent="0.25"/>
    <row r="64518" s="12" customFormat="1" x14ac:dyDescent="0.25"/>
    <row r="64519" s="12" customFormat="1" x14ac:dyDescent="0.25"/>
    <row r="64520" s="12" customFormat="1" x14ac:dyDescent="0.25"/>
    <row r="64521" s="12" customFormat="1" x14ac:dyDescent="0.25"/>
    <row r="64522" s="12" customFormat="1" x14ac:dyDescent="0.25"/>
    <row r="64523" s="12" customFormat="1" x14ac:dyDescent="0.25"/>
    <row r="64524" s="12" customFormat="1" x14ac:dyDescent="0.25"/>
    <row r="64525" s="12" customFormat="1" x14ac:dyDescent="0.25"/>
    <row r="64526" s="12" customFormat="1" x14ac:dyDescent="0.25"/>
    <row r="64527" s="12" customFormat="1" x14ac:dyDescent="0.25"/>
    <row r="64528" s="12" customFormat="1" x14ac:dyDescent="0.25"/>
    <row r="64529" s="12" customFormat="1" x14ac:dyDescent="0.25"/>
    <row r="64530" s="12" customFormat="1" x14ac:dyDescent="0.25"/>
    <row r="64531" s="12" customFormat="1" x14ac:dyDescent="0.25"/>
    <row r="64532" s="12" customFormat="1" x14ac:dyDescent="0.25"/>
    <row r="64533" s="12" customFormat="1" x14ac:dyDescent="0.25"/>
    <row r="64534" s="12" customFormat="1" x14ac:dyDescent="0.25"/>
    <row r="64535" s="12" customFormat="1" x14ac:dyDescent="0.25"/>
    <row r="64536" s="12" customFormat="1" x14ac:dyDescent="0.25"/>
    <row r="64537" s="12" customFormat="1" x14ac:dyDescent="0.25"/>
    <row r="64538" s="12" customFormat="1" x14ac:dyDescent="0.25"/>
    <row r="64539" s="12" customFormat="1" x14ac:dyDescent="0.25"/>
    <row r="64540" s="12" customFormat="1" x14ac:dyDescent="0.25"/>
    <row r="64541" s="12" customFormat="1" x14ac:dyDescent="0.25"/>
    <row r="64542" s="12" customFormat="1" x14ac:dyDescent="0.25"/>
    <row r="64543" s="12" customFormat="1" x14ac:dyDescent="0.25"/>
    <row r="64544" s="12" customFormat="1" x14ac:dyDescent="0.25"/>
    <row r="64545" s="12" customFormat="1" x14ac:dyDescent="0.25"/>
    <row r="64546" s="12" customFormat="1" x14ac:dyDescent="0.25"/>
    <row r="64547" s="12" customFormat="1" x14ac:dyDescent="0.25"/>
    <row r="64548" s="12" customFormat="1" x14ac:dyDescent="0.25"/>
    <row r="64549" s="12" customFormat="1" x14ac:dyDescent="0.25"/>
    <row r="64550" s="12" customFormat="1" x14ac:dyDescent="0.25"/>
    <row r="64551" s="12" customFormat="1" x14ac:dyDescent="0.25"/>
    <row r="64552" s="12" customFormat="1" x14ac:dyDescent="0.25"/>
    <row r="64553" s="12" customFormat="1" x14ac:dyDescent="0.25"/>
    <row r="64554" s="12" customFormat="1" x14ac:dyDescent="0.25"/>
    <row r="64555" s="12" customFormat="1" x14ac:dyDescent="0.25"/>
    <row r="64556" s="12" customFormat="1" x14ac:dyDescent="0.25"/>
    <row r="64557" s="12" customFormat="1" x14ac:dyDescent="0.25"/>
    <row r="64558" s="12" customFormat="1" x14ac:dyDescent="0.25"/>
    <row r="64559" s="12" customFormat="1" x14ac:dyDescent="0.25"/>
    <row r="64560" s="12" customFormat="1" x14ac:dyDescent="0.25"/>
    <row r="64561" s="12" customFormat="1" x14ac:dyDescent="0.25"/>
    <row r="64562" s="12" customFormat="1" x14ac:dyDescent="0.25"/>
    <row r="64563" s="12" customFormat="1" x14ac:dyDescent="0.25"/>
    <row r="64564" s="12" customFormat="1" x14ac:dyDescent="0.25"/>
    <row r="64565" s="12" customFormat="1" x14ac:dyDescent="0.25"/>
    <row r="64566" s="12" customFormat="1" x14ac:dyDescent="0.25"/>
    <row r="64567" s="12" customFormat="1" x14ac:dyDescent="0.25"/>
    <row r="64568" s="12" customFormat="1" x14ac:dyDescent="0.25"/>
    <row r="64569" s="12" customFormat="1" x14ac:dyDescent="0.25"/>
    <row r="64570" s="12" customFormat="1" x14ac:dyDescent="0.25"/>
    <row r="64571" s="12" customFormat="1" x14ac:dyDescent="0.25"/>
    <row r="64572" s="12" customFormat="1" x14ac:dyDescent="0.25"/>
    <row r="64573" s="12" customFormat="1" x14ac:dyDescent="0.25"/>
    <row r="64574" s="12" customFormat="1" x14ac:dyDescent="0.25"/>
    <row r="64575" s="12" customFormat="1" x14ac:dyDescent="0.25"/>
    <row r="64576" s="12" customFormat="1" x14ac:dyDescent="0.25"/>
    <row r="64577" s="12" customFormat="1" x14ac:dyDescent="0.25"/>
    <row r="64578" s="12" customFormat="1" x14ac:dyDescent="0.25"/>
    <row r="64579" s="12" customFormat="1" x14ac:dyDescent="0.25"/>
    <row r="64580" s="12" customFormat="1" x14ac:dyDescent="0.25"/>
    <row r="64581" s="12" customFormat="1" x14ac:dyDescent="0.25"/>
    <row r="64582" s="12" customFormat="1" x14ac:dyDescent="0.25"/>
    <row r="64583" s="12" customFormat="1" x14ac:dyDescent="0.25"/>
    <row r="64584" s="12" customFormat="1" x14ac:dyDescent="0.25"/>
    <row r="64585" s="12" customFormat="1" x14ac:dyDescent="0.25"/>
    <row r="64586" s="12" customFormat="1" x14ac:dyDescent="0.25"/>
    <row r="64587" s="12" customFormat="1" x14ac:dyDescent="0.25"/>
    <row r="64588" s="12" customFormat="1" x14ac:dyDescent="0.25"/>
    <row r="64589" s="12" customFormat="1" x14ac:dyDescent="0.25"/>
    <row r="64590" s="12" customFormat="1" x14ac:dyDescent="0.25"/>
    <row r="64591" s="12" customFormat="1" x14ac:dyDescent="0.25"/>
    <row r="64592" s="12" customFormat="1" x14ac:dyDescent="0.25"/>
    <row r="64593" s="12" customFormat="1" x14ac:dyDescent="0.25"/>
    <row r="64594" s="12" customFormat="1" x14ac:dyDescent="0.25"/>
    <row r="64595" s="12" customFormat="1" x14ac:dyDescent="0.25"/>
    <row r="64596" s="12" customFormat="1" x14ac:dyDescent="0.25"/>
    <row r="64597" s="12" customFormat="1" x14ac:dyDescent="0.25"/>
    <row r="64598" s="12" customFormat="1" x14ac:dyDescent="0.25"/>
    <row r="64599" s="12" customFormat="1" x14ac:dyDescent="0.25"/>
    <row r="64600" s="12" customFormat="1" x14ac:dyDescent="0.25"/>
    <row r="64601" s="12" customFormat="1" x14ac:dyDescent="0.25"/>
    <row r="64602" s="12" customFormat="1" x14ac:dyDescent="0.25"/>
    <row r="64603" s="12" customFormat="1" x14ac:dyDescent="0.25"/>
    <row r="64604" s="12" customFormat="1" x14ac:dyDescent="0.25"/>
    <row r="64605" s="12" customFormat="1" x14ac:dyDescent="0.25"/>
    <row r="64606" s="12" customFormat="1" x14ac:dyDescent="0.25"/>
    <row r="64607" s="12" customFormat="1" x14ac:dyDescent="0.25"/>
    <row r="64608" s="12" customFormat="1" x14ac:dyDescent="0.25"/>
    <row r="64609" s="12" customFormat="1" x14ac:dyDescent="0.25"/>
    <row r="64610" s="12" customFormat="1" x14ac:dyDescent="0.25"/>
    <row r="64611" s="12" customFormat="1" x14ac:dyDescent="0.25"/>
    <row r="64612" s="12" customFormat="1" x14ac:dyDescent="0.25"/>
    <row r="64613" s="12" customFormat="1" x14ac:dyDescent="0.25"/>
    <row r="64614" s="12" customFormat="1" x14ac:dyDescent="0.25"/>
    <row r="64615" s="12" customFormat="1" x14ac:dyDescent="0.25"/>
    <row r="64616" s="12" customFormat="1" x14ac:dyDescent="0.25"/>
    <row r="64617" s="12" customFormat="1" x14ac:dyDescent="0.25"/>
    <row r="64618" s="12" customFormat="1" x14ac:dyDescent="0.25"/>
    <row r="64619" s="12" customFormat="1" x14ac:dyDescent="0.25"/>
    <row r="64620" s="12" customFormat="1" x14ac:dyDescent="0.25"/>
    <row r="64621" s="12" customFormat="1" x14ac:dyDescent="0.25"/>
    <row r="64622" s="12" customFormat="1" x14ac:dyDescent="0.25"/>
    <row r="64623" s="12" customFormat="1" x14ac:dyDescent="0.25"/>
    <row r="64624" s="12" customFormat="1" x14ac:dyDescent="0.25"/>
    <row r="64625" s="12" customFormat="1" x14ac:dyDescent="0.25"/>
    <row r="64626" s="12" customFormat="1" x14ac:dyDescent="0.25"/>
    <row r="64627" s="12" customFormat="1" x14ac:dyDescent="0.25"/>
    <row r="64628" s="12" customFormat="1" x14ac:dyDescent="0.25"/>
    <row r="64629" s="12" customFormat="1" x14ac:dyDescent="0.25"/>
    <row r="64630" s="12" customFormat="1" x14ac:dyDescent="0.25"/>
    <row r="64631" s="12" customFormat="1" x14ac:dyDescent="0.25"/>
    <row r="64632" s="12" customFormat="1" x14ac:dyDescent="0.25"/>
    <row r="64633" s="12" customFormat="1" x14ac:dyDescent="0.25"/>
    <row r="64634" s="12" customFormat="1" x14ac:dyDescent="0.25"/>
    <row r="64635" s="12" customFormat="1" x14ac:dyDescent="0.25"/>
    <row r="64636" s="12" customFormat="1" x14ac:dyDescent="0.25"/>
    <row r="64637" s="12" customFormat="1" x14ac:dyDescent="0.25"/>
    <row r="64638" s="12" customFormat="1" x14ac:dyDescent="0.25"/>
    <row r="64639" s="12" customFormat="1" x14ac:dyDescent="0.25"/>
    <row r="64640" s="12" customFormat="1" x14ac:dyDescent="0.25"/>
    <row r="64641" s="12" customFormat="1" x14ac:dyDescent="0.25"/>
    <row r="64642" s="12" customFormat="1" x14ac:dyDescent="0.25"/>
    <row r="64643" s="12" customFormat="1" x14ac:dyDescent="0.25"/>
    <row r="64644" s="12" customFormat="1" x14ac:dyDescent="0.25"/>
    <row r="64645" s="12" customFormat="1" x14ac:dyDescent="0.25"/>
    <row r="64646" s="12" customFormat="1" x14ac:dyDescent="0.25"/>
    <row r="64647" s="12" customFormat="1" x14ac:dyDescent="0.25"/>
    <row r="64648" s="12" customFormat="1" x14ac:dyDescent="0.25"/>
    <row r="64649" s="12" customFormat="1" x14ac:dyDescent="0.25"/>
    <row r="64650" s="12" customFormat="1" x14ac:dyDescent="0.25"/>
    <row r="64651" s="12" customFormat="1" x14ac:dyDescent="0.25"/>
    <row r="64652" s="12" customFormat="1" x14ac:dyDescent="0.25"/>
    <row r="64653" s="12" customFormat="1" x14ac:dyDescent="0.25"/>
    <row r="64654" s="12" customFormat="1" x14ac:dyDescent="0.25"/>
    <row r="64655" s="12" customFormat="1" x14ac:dyDescent="0.25"/>
    <row r="64656" s="12" customFormat="1" x14ac:dyDescent="0.25"/>
    <row r="64657" s="12" customFormat="1" x14ac:dyDescent="0.25"/>
    <row r="64658" s="12" customFormat="1" x14ac:dyDescent="0.25"/>
    <row r="64659" s="12" customFormat="1" x14ac:dyDescent="0.25"/>
    <row r="64660" s="12" customFormat="1" x14ac:dyDescent="0.25"/>
    <row r="64661" s="12" customFormat="1" x14ac:dyDescent="0.25"/>
    <row r="64662" s="12" customFormat="1" x14ac:dyDescent="0.25"/>
    <row r="64663" s="12" customFormat="1" x14ac:dyDescent="0.25"/>
    <row r="64664" s="12" customFormat="1" x14ac:dyDescent="0.25"/>
    <row r="64665" s="12" customFormat="1" x14ac:dyDescent="0.25"/>
    <row r="64666" s="12" customFormat="1" x14ac:dyDescent="0.25"/>
    <row r="64667" s="12" customFormat="1" x14ac:dyDescent="0.25"/>
    <row r="64668" s="12" customFormat="1" x14ac:dyDescent="0.25"/>
    <row r="64669" s="12" customFormat="1" x14ac:dyDescent="0.25"/>
    <row r="64670" s="12" customFormat="1" x14ac:dyDescent="0.25"/>
    <row r="64671" s="12" customFormat="1" x14ac:dyDescent="0.25"/>
    <row r="64672" s="12" customFormat="1" x14ac:dyDescent="0.25"/>
    <row r="64673" s="12" customFormat="1" x14ac:dyDescent="0.25"/>
    <row r="64674" s="12" customFormat="1" x14ac:dyDescent="0.25"/>
    <row r="64675" s="12" customFormat="1" x14ac:dyDescent="0.25"/>
    <row r="64676" s="12" customFormat="1" x14ac:dyDescent="0.25"/>
    <row r="64677" s="12" customFormat="1" x14ac:dyDescent="0.25"/>
    <row r="64678" s="12" customFormat="1" x14ac:dyDescent="0.25"/>
    <row r="64679" s="12" customFormat="1" x14ac:dyDescent="0.25"/>
    <row r="64680" s="12" customFormat="1" x14ac:dyDescent="0.25"/>
    <row r="64681" s="12" customFormat="1" x14ac:dyDescent="0.25"/>
    <row r="64682" s="12" customFormat="1" x14ac:dyDescent="0.25"/>
    <row r="64683" s="12" customFormat="1" x14ac:dyDescent="0.25"/>
    <row r="64684" s="12" customFormat="1" x14ac:dyDescent="0.25"/>
    <row r="64685" s="12" customFormat="1" x14ac:dyDescent="0.25"/>
    <row r="64686" s="12" customFormat="1" x14ac:dyDescent="0.25"/>
    <row r="64687" s="12" customFormat="1" x14ac:dyDescent="0.25"/>
    <row r="64688" s="12" customFormat="1" x14ac:dyDescent="0.25"/>
    <row r="64689" s="12" customFormat="1" x14ac:dyDescent="0.25"/>
    <row r="64690" s="12" customFormat="1" x14ac:dyDescent="0.25"/>
    <row r="64691" s="12" customFormat="1" x14ac:dyDescent="0.25"/>
    <row r="64692" s="12" customFormat="1" x14ac:dyDescent="0.25"/>
    <row r="64693" s="12" customFormat="1" x14ac:dyDescent="0.25"/>
    <row r="64694" s="12" customFormat="1" x14ac:dyDescent="0.25"/>
    <row r="64695" s="12" customFormat="1" x14ac:dyDescent="0.25"/>
    <row r="64696" s="12" customFormat="1" x14ac:dyDescent="0.25"/>
    <row r="64697" s="12" customFormat="1" x14ac:dyDescent="0.25"/>
    <row r="64698" s="12" customFormat="1" x14ac:dyDescent="0.25"/>
    <row r="64699" s="12" customFormat="1" x14ac:dyDescent="0.25"/>
    <row r="64700" s="12" customFormat="1" x14ac:dyDescent="0.25"/>
    <row r="64701" s="12" customFormat="1" x14ac:dyDescent="0.25"/>
    <row r="64702" s="12" customFormat="1" x14ac:dyDescent="0.25"/>
    <row r="64703" s="12" customFormat="1" x14ac:dyDescent="0.25"/>
    <row r="64704" s="12" customFormat="1" x14ac:dyDescent="0.25"/>
    <row r="64705" s="12" customFormat="1" x14ac:dyDescent="0.25"/>
    <row r="64706" s="12" customFormat="1" x14ac:dyDescent="0.25"/>
    <row r="64707" s="12" customFormat="1" x14ac:dyDescent="0.25"/>
    <row r="64708" s="12" customFormat="1" x14ac:dyDescent="0.25"/>
    <row r="64709" s="12" customFormat="1" x14ac:dyDescent="0.25"/>
    <row r="64710" s="12" customFormat="1" x14ac:dyDescent="0.25"/>
    <row r="64711" s="12" customFormat="1" x14ac:dyDescent="0.25"/>
    <row r="64712" s="12" customFormat="1" x14ac:dyDescent="0.25"/>
    <row r="64713" s="12" customFormat="1" x14ac:dyDescent="0.25"/>
    <row r="64714" s="12" customFormat="1" x14ac:dyDescent="0.25"/>
    <row r="64715" s="12" customFormat="1" x14ac:dyDescent="0.25"/>
    <row r="64716" s="12" customFormat="1" x14ac:dyDescent="0.25"/>
    <row r="64717" s="12" customFormat="1" x14ac:dyDescent="0.25"/>
    <row r="64718" s="12" customFormat="1" x14ac:dyDescent="0.25"/>
    <row r="64719" s="12" customFormat="1" x14ac:dyDescent="0.25"/>
    <row r="64720" s="12" customFormat="1" x14ac:dyDescent="0.25"/>
    <row r="64721" s="12" customFormat="1" x14ac:dyDescent="0.25"/>
    <row r="64722" s="12" customFormat="1" x14ac:dyDescent="0.25"/>
    <row r="64723" s="12" customFormat="1" x14ac:dyDescent="0.25"/>
    <row r="64724" s="12" customFormat="1" x14ac:dyDescent="0.25"/>
    <row r="64725" s="12" customFormat="1" x14ac:dyDescent="0.25"/>
    <row r="64726" s="12" customFormat="1" x14ac:dyDescent="0.25"/>
    <row r="64727" s="12" customFormat="1" x14ac:dyDescent="0.25"/>
    <row r="64728" s="12" customFormat="1" x14ac:dyDescent="0.25"/>
    <row r="64729" s="12" customFormat="1" x14ac:dyDescent="0.25"/>
    <row r="64730" s="12" customFormat="1" x14ac:dyDescent="0.25"/>
    <row r="64731" s="12" customFormat="1" x14ac:dyDescent="0.25"/>
    <row r="64732" s="12" customFormat="1" x14ac:dyDescent="0.25"/>
    <row r="64733" s="12" customFormat="1" x14ac:dyDescent="0.25"/>
    <row r="64734" s="12" customFormat="1" x14ac:dyDescent="0.25"/>
    <row r="64735" s="12" customFormat="1" x14ac:dyDescent="0.25"/>
    <row r="64736" s="12" customFormat="1" x14ac:dyDescent="0.25"/>
    <row r="64737" s="12" customFormat="1" x14ac:dyDescent="0.25"/>
    <row r="64738" s="12" customFormat="1" x14ac:dyDescent="0.25"/>
    <row r="64739" s="12" customFormat="1" x14ac:dyDescent="0.25"/>
    <row r="64740" s="12" customFormat="1" x14ac:dyDescent="0.25"/>
    <row r="64741" s="12" customFormat="1" x14ac:dyDescent="0.25"/>
    <row r="64742" s="12" customFormat="1" x14ac:dyDescent="0.25"/>
    <row r="64743" s="12" customFormat="1" x14ac:dyDescent="0.25"/>
    <row r="64744" s="12" customFormat="1" x14ac:dyDescent="0.25"/>
    <row r="64745" s="12" customFormat="1" x14ac:dyDescent="0.25"/>
    <row r="64746" s="12" customFormat="1" x14ac:dyDescent="0.25"/>
    <row r="64747" s="12" customFormat="1" x14ac:dyDescent="0.25"/>
    <row r="64748" s="12" customFormat="1" x14ac:dyDescent="0.25"/>
    <row r="64749" s="12" customFormat="1" x14ac:dyDescent="0.25"/>
    <row r="64750" s="12" customFormat="1" x14ac:dyDescent="0.25"/>
    <row r="64751" s="12" customFormat="1" x14ac:dyDescent="0.25"/>
    <row r="64752" s="12" customFormat="1" x14ac:dyDescent="0.25"/>
    <row r="64753" s="12" customFormat="1" x14ac:dyDescent="0.25"/>
    <row r="64754" s="12" customFormat="1" x14ac:dyDescent="0.25"/>
    <row r="64755" s="12" customFormat="1" x14ac:dyDescent="0.25"/>
    <row r="64756" s="12" customFormat="1" x14ac:dyDescent="0.25"/>
    <row r="64757" s="12" customFormat="1" x14ac:dyDescent="0.25"/>
    <row r="64758" s="12" customFormat="1" x14ac:dyDescent="0.25"/>
    <row r="64759" s="12" customFormat="1" x14ac:dyDescent="0.25"/>
    <row r="64760" s="12" customFormat="1" x14ac:dyDescent="0.25"/>
    <row r="64761" s="12" customFormat="1" x14ac:dyDescent="0.25"/>
    <row r="64762" s="12" customFormat="1" x14ac:dyDescent="0.25"/>
    <row r="64763" s="12" customFormat="1" x14ac:dyDescent="0.25"/>
    <row r="64764" s="12" customFormat="1" x14ac:dyDescent="0.25"/>
    <row r="64765" s="12" customFormat="1" x14ac:dyDescent="0.25"/>
    <row r="64766" s="12" customFormat="1" x14ac:dyDescent="0.25"/>
    <row r="64767" s="12" customFormat="1" x14ac:dyDescent="0.25"/>
    <row r="64768" s="12" customFormat="1" x14ac:dyDescent="0.25"/>
    <row r="64769" s="12" customFormat="1" x14ac:dyDescent="0.25"/>
    <row r="64770" s="12" customFormat="1" x14ac:dyDescent="0.25"/>
    <row r="64771" s="12" customFormat="1" x14ac:dyDescent="0.25"/>
    <row r="64772" s="12" customFormat="1" x14ac:dyDescent="0.25"/>
    <row r="64773" s="12" customFormat="1" x14ac:dyDescent="0.25"/>
    <row r="64774" s="12" customFormat="1" x14ac:dyDescent="0.25"/>
    <row r="64775" s="12" customFormat="1" x14ac:dyDescent="0.25"/>
    <row r="64776" s="12" customFormat="1" x14ac:dyDescent="0.25"/>
    <row r="64777" s="12" customFormat="1" x14ac:dyDescent="0.25"/>
    <row r="64778" s="12" customFormat="1" x14ac:dyDescent="0.25"/>
    <row r="64779" s="12" customFormat="1" x14ac:dyDescent="0.25"/>
    <row r="64780" s="12" customFormat="1" x14ac:dyDescent="0.25"/>
    <row r="64781" s="12" customFormat="1" x14ac:dyDescent="0.25"/>
    <row r="64782" s="12" customFormat="1" x14ac:dyDescent="0.25"/>
    <row r="64783" s="12" customFormat="1" x14ac:dyDescent="0.25"/>
    <row r="64784" s="12" customFormat="1" x14ac:dyDescent="0.25"/>
    <row r="64785" s="12" customFormat="1" x14ac:dyDescent="0.25"/>
    <row r="64786" s="12" customFormat="1" x14ac:dyDescent="0.25"/>
    <row r="64787" s="12" customFormat="1" x14ac:dyDescent="0.25"/>
    <row r="64788" s="12" customFormat="1" x14ac:dyDescent="0.25"/>
    <row r="64789" s="12" customFormat="1" x14ac:dyDescent="0.25"/>
    <row r="64790" s="12" customFormat="1" x14ac:dyDescent="0.25"/>
    <row r="64791" s="12" customFormat="1" x14ac:dyDescent="0.25"/>
    <row r="64792" s="12" customFormat="1" x14ac:dyDescent="0.25"/>
    <row r="64793" s="12" customFormat="1" x14ac:dyDescent="0.25"/>
    <row r="64794" s="12" customFormat="1" x14ac:dyDescent="0.25"/>
    <row r="64795" s="12" customFormat="1" x14ac:dyDescent="0.25"/>
    <row r="64796" s="12" customFormat="1" x14ac:dyDescent="0.25"/>
    <row r="64797" s="12" customFormat="1" x14ac:dyDescent="0.25"/>
    <row r="64798" s="12" customFormat="1" x14ac:dyDescent="0.25"/>
    <row r="64799" s="12" customFormat="1" x14ac:dyDescent="0.25"/>
    <row r="64800" s="12" customFormat="1" x14ac:dyDescent="0.25"/>
    <row r="64801" s="12" customFormat="1" x14ac:dyDescent="0.25"/>
    <row r="64802" s="12" customFormat="1" x14ac:dyDescent="0.25"/>
    <row r="64803" s="12" customFormat="1" x14ac:dyDescent="0.25"/>
    <row r="64804" s="12" customFormat="1" x14ac:dyDescent="0.25"/>
    <row r="64805" s="12" customFormat="1" x14ac:dyDescent="0.25"/>
    <row r="64806" s="12" customFormat="1" x14ac:dyDescent="0.25"/>
    <row r="64807" s="12" customFormat="1" x14ac:dyDescent="0.25"/>
    <row r="64808" s="12" customFormat="1" x14ac:dyDescent="0.25"/>
    <row r="64809" s="12" customFormat="1" x14ac:dyDescent="0.25"/>
    <row r="64810" s="12" customFormat="1" x14ac:dyDescent="0.25"/>
    <row r="64811" s="12" customFormat="1" x14ac:dyDescent="0.25"/>
    <row r="64812" s="12" customFormat="1" x14ac:dyDescent="0.25"/>
    <row r="64813" s="12" customFormat="1" x14ac:dyDescent="0.25"/>
    <row r="64814" s="12" customFormat="1" x14ac:dyDescent="0.25"/>
    <row r="64815" s="12" customFormat="1" x14ac:dyDescent="0.25"/>
    <row r="64816" s="12" customFormat="1" x14ac:dyDescent="0.25"/>
    <row r="64817" s="12" customFormat="1" x14ac:dyDescent="0.25"/>
    <row r="64818" s="12" customFormat="1" x14ac:dyDescent="0.25"/>
    <row r="64819" s="12" customFormat="1" x14ac:dyDescent="0.25"/>
    <row r="64820" s="12" customFormat="1" x14ac:dyDescent="0.25"/>
    <row r="64821" s="12" customFormat="1" x14ac:dyDescent="0.25"/>
    <row r="64822" s="12" customFormat="1" x14ac:dyDescent="0.25"/>
    <row r="64823" s="12" customFormat="1" x14ac:dyDescent="0.25"/>
    <row r="64824" s="12" customFormat="1" x14ac:dyDescent="0.25"/>
    <row r="64825" s="12" customFormat="1" x14ac:dyDescent="0.25"/>
    <row r="64826" s="12" customFormat="1" x14ac:dyDescent="0.25"/>
    <row r="64827" s="12" customFormat="1" x14ac:dyDescent="0.25"/>
    <row r="64828" s="12" customFormat="1" x14ac:dyDescent="0.25"/>
    <row r="64829" s="12" customFormat="1" x14ac:dyDescent="0.25"/>
    <row r="64830" s="12" customFormat="1" x14ac:dyDescent="0.25"/>
    <row r="64831" s="12" customFormat="1" x14ac:dyDescent="0.25"/>
    <row r="64832" s="12" customFormat="1" x14ac:dyDescent="0.25"/>
    <row r="64833" s="12" customFormat="1" x14ac:dyDescent="0.25"/>
    <row r="64834" s="12" customFormat="1" x14ac:dyDescent="0.25"/>
    <row r="64835" s="12" customFormat="1" x14ac:dyDescent="0.25"/>
    <row r="64836" s="12" customFormat="1" x14ac:dyDescent="0.25"/>
    <row r="64837" s="12" customFormat="1" x14ac:dyDescent="0.25"/>
    <row r="64838" s="12" customFormat="1" x14ac:dyDescent="0.25"/>
    <row r="64839" s="12" customFormat="1" x14ac:dyDescent="0.25"/>
    <row r="64840" s="12" customFormat="1" x14ac:dyDescent="0.25"/>
    <row r="64841" s="12" customFormat="1" x14ac:dyDescent="0.25"/>
    <row r="64842" s="12" customFormat="1" x14ac:dyDescent="0.25"/>
    <row r="64843" s="12" customFormat="1" x14ac:dyDescent="0.25"/>
    <row r="64844" s="12" customFormat="1" x14ac:dyDescent="0.25"/>
    <row r="64845" s="12" customFormat="1" x14ac:dyDescent="0.25"/>
    <row r="64846" s="12" customFormat="1" x14ac:dyDescent="0.25"/>
    <row r="64847" s="12" customFormat="1" x14ac:dyDescent="0.25"/>
    <row r="64848" s="12" customFormat="1" x14ac:dyDescent="0.25"/>
    <row r="64849" s="12" customFormat="1" x14ac:dyDescent="0.25"/>
    <row r="64850" s="12" customFormat="1" x14ac:dyDescent="0.25"/>
    <row r="64851" s="12" customFormat="1" x14ac:dyDescent="0.25"/>
    <row r="64852" s="12" customFormat="1" x14ac:dyDescent="0.25"/>
    <row r="64853" s="12" customFormat="1" x14ac:dyDescent="0.25"/>
    <row r="64854" s="12" customFormat="1" x14ac:dyDescent="0.25"/>
    <row r="64855" s="12" customFormat="1" x14ac:dyDescent="0.25"/>
    <row r="64856" s="12" customFormat="1" x14ac:dyDescent="0.25"/>
    <row r="64857" s="12" customFormat="1" x14ac:dyDescent="0.25"/>
    <row r="64858" s="12" customFormat="1" x14ac:dyDescent="0.25"/>
    <row r="64859" s="12" customFormat="1" x14ac:dyDescent="0.25"/>
    <row r="64860" s="12" customFormat="1" x14ac:dyDescent="0.25"/>
    <row r="64861" s="12" customFormat="1" x14ac:dyDescent="0.25"/>
    <row r="64862" s="12" customFormat="1" x14ac:dyDescent="0.25"/>
    <row r="64863" s="12" customFormat="1" x14ac:dyDescent="0.25"/>
    <row r="64864" s="12" customFormat="1" x14ac:dyDescent="0.25"/>
    <row r="64865" s="12" customFormat="1" x14ac:dyDescent="0.25"/>
    <row r="64866" s="12" customFormat="1" x14ac:dyDescent="0.25"/>
    <row r="64867" s="12" customFormat="1" x14ac:dyDescent="0.25"/>
    <row r="64868" s="12" customFormat="1" x14ac:dyDescent="0.25"/>
    <row r="64869" s="12" customFormat="1" x14ac:dyDescent="0.25"/>
    <row r="64870" s="12" customFormat="1" x14ac:dyDescent="0.25"/>
    <row r="64871" s="12" customFormat="1" x14ac:dyDescent="0.25"/>
    <row r="64872" s="12" customFormat="1" x14ac:dyDescent="0.25"/>
    <row r="64873" s="12" customFormat="1" x14ac:dyDescent="0.25"/>
    <row r="64874" s="12" customFormat="1" x14ac:dyDescent="0.25"/>
    <row r="64875" s="12" customFormat="1" x14ac:dyDescent="0.25"/>
    <row r="64876" s="12" customFormat="1" x14ac:dyDescent="0.25"/>
    <row r="64877" s="12" customFormat="1" x14ac:dyDescent="0.25"/>
    <row r="64878" s="12" customFormat="1" x14ac:dyDescent="0.25"/>
    <row r="64879" s="12" customFormat="1" x14ac:dyDescent="0.25"/>
    <row r="64880" s="12" customFormat="1" x14ac:dyDescent="0.25"/>
    <row r="64881" s="12" customFormat="1" x14ac:dyDescent="0.25"/>
    <row r="64882" s="12" customFormat="1" x14ac:dyDescent="0.25"/>
    <row r="64883" s="12" customFormat="1" x14ac:dyDescent="0.25"/>
    <row r="64884" s="12" customFormat="1" x14ac:dyDescent="0.25"/>
    <row r="64885" s="12" customFormat="1" x14ac:dyDescent="0.25"/>
    <row r="64886" s="12" customFormat="1" x14ac:dyDescent="0.25"/>
    <row r="64887" s="12" customFormat="1" x14ac:dyDescent="0.25"/>
    <row r="64888" s="12" customFormat="1" x14ac:dyDescent="0.25"/>
    <row r="64889" s="12" customFormat="1" x14ac:dyDescent="0.25"/>
    <row r="64890" s="12" customFormat="1" x14ac:dyDescent="0.25"/>
    <row r="64891" s="12" customFormat="1" x14ac:dyDescent="0.25"/>
    <row r="64892" s="12" customFormat="1" x14ac:dyDescent="0.25"/>
    <row r="64893" s="12" customFormat="1" x14ac:dyDescent="0.25"/>
    <row r="64894" s="12" customFormat="1" x14ac:dyDescent="0.25"/>
    <row r="64895" s="12" customFormat="1" x14ac:dyDescent="0.25"/>
    <row r="64896" s="12" customFormat="1" x14ac:dyDescent="0.25"/>
    <row r="64897" s="12" customFormat="1" x14ac:dyDescent="0.25"/>
    <row r="64898" s="12" customFormat="1" x14ac:dyDescent="0.25"/>
    <row r="64899" s="12" customFormat="1" x14ac:dyDescent="0.25"/>
    <row r="64900" s="12" customFormat="1" x14ac:dyDescent="0.25"/>
    <row r="64901" s="12" customFormat="1" x14ac:dyDescent="0.25"/>
    <row r="64902" s="12" customFormat="1" x14ac:dyDescent="0.25"/>
    <row r="64903" s="12" customFormat="1" x14ac:dyDescent="0.25"/>
    <row r="64904" s="12" customFormat="1" x14ac:dyDescent="0.25"/>
    <row r="64905" s="12" customFormat="1" x14ac:dyDescent="0.25"/>
    <row r="64906" s="12" customFormat="1" x14ac:dyDescent="0.25"/>
    <row r="64907" s="12" customFormat="1" x14ac:dyDescent="0.25"/>
    <row r="64908" s="12" customFormat="1" x14ac:dyDescent="0.25"/>
    <row r="64909" s="12" customFormat="1" x14ac:dyDescent="0.25"/>
    <row r="64910" s="12" customFormat="1" x14ac:dyDescent="0.25"/>
    <row r="64911" s="12" customFormat="1" x14ac:dyDescent="0.25"/>
    <row r="64912" s="12" customFormat="1" x14ac:dyDescent="0.25"/>
    <row r="64913" s="12" customFormat="1" x14ac:dyDescent="0.25"/>
    <row r="64914" s="12" customFormat="1" x14ac:dyDescent="0.25"/>
    <row r="64915" s="12" customFormat="1" x14ac:dyDescent="0.25"/>
    <row r="64916" s="12" customFormat="1" x14ac:dyDescent="0.25"/>
    <row r="64917" s="12" customFormat="1" x14ac:dyDescent="0.25"/>
    <row r="64918" s="12" customFormat="1" x14ac:dyDescent="0.25"/>
    <row r="64919" s="12" customFormat="1" x14ac:dyDescent="0.25"/>
    <row r="64920" s="12" customFormat="1" x14ac:dyDescent="0.25"/>
    <row r="64921" s="12" customFormat="1" x14ac:dyDescent="0.25"/>
    <row r="64922" s="12" customFormat="1" x14ac:dyDescent="0.25"/>
    <row r="64923" s="12" customFormat="1" x14ac:dyDescent="0.25"/>
    <row r="64924" s="12" customFormat="1" x14ac:dyDescent="0.25"/>
    <row r="64925" s="12" customFormat="1" x14ac:dyDescent="0.25"/>
    <row r="64926" s="12" customFormat="1" x14ac:dyDescent="0.25"/>
    <row r="64927" s="12" customFormat="1" x14ac:dyDescent="0.25"/>
    <row r="64928" s="12" customFormat="1" x14ac:dyDescent="0.25"/>
    <row r="64929" s="12" customFormat="1" x14ac:dyDescent="0.25"/>
    <row r="64930" s="12" customFormat="1" x14ac:dyDescent="0.25"/>
    <row r="64931" s="12" customFormat="1" x14ac:dyDescent="0.25"/>
    <row r="64932" s="12" customFormat="1" x14ac:dyDescent="0.25"/>
    <row r="64933" s="12" customFormat="1" x14ac:dyDescent="0.25"/>
    <row r="64934" s="12" customFormat="1" x14ac:dyDescent="0.25"/>
    <row r="64935" s="12" customFormat="1" x14ac:dyDescent="0.25"/>
    <row r="64936" s="12" customFormat="1" x14ac:dyDescent="0.25"/>
    <row r="64937" s="12" customFormat="1" x14ac:dyDescent="0.25"/>
    <row r="64938" s="12" customFormat="1" x14ac:dyDescent="0.25"/>
    <row r="64939" s="12" customFormat="1" x14ac:dyDescent="0.25"/>
    <row r="64940" s="12" customFormat="1" x14ac:dyDescent="0.25"/>
    <row r="64941" s="12" customFormat="1" x14ac:dyDescent="0.25"/>
    <row r="64942" s="12" customFormat="1" x14ac:dyDescent="0.25"/>
    <row r="64943" s="12" customFormat="1" x14ac:dyDescent="0.25"/>
    <row r="64944" s="12" customFormat="1" x14ac:dyDescent="0.25"/>
    <row r="64945" s="12" customFormat="1" x14ac:dyDescent="0.25"/>
    <row r="64946" s="12" customFormat="1" x14ac:dyDescent="0.25"/>
    <row r="64947" s="12" customFormat="1" x14ac:dyDescent="0.25"/>
    <row r="64948" s="12" customFormat="1" x14ac:dyDescent="0.25"/>
    <row r="64949" s="12" customFormat="1" x14ac:dyDescent="0.25"/>
    <row r="64950" s="12" customFormat="1" x14ac:dyDescent="0.25"/>
    <row r="64951" s="12" customFormat="1" x14ac:dyDescent="0.25"/>
    <row r="64952" s="12" customFormat="1" x14ac:dyDescent="0.25"/>
    <row r="64953" s="12" customFormat="1" x14ac:dyDescent="0.25"/>
    <row r="64954" s="12" customFormat="1" x14ac:dyDescent="0.25"/>
    <row r="64955" s="12" customFormat="1" x14ac:dyDescent="0.25"/>
    <row r="64956" s="12" customFormat="1" x14ac:dyDescent="0.25"/>
    <row r="64957" s="12" customFormat="1" x14ac:dyDescent="0.25"/>
    <row r="64958" s="12" customFormat="1" x14ac:dyDescent="0.25"/>
    <row r="64959" s="12" customFormat="1" x14ac:dyDescent="0.25"/>
    <row r="64960" s="12" customFormat="1" x14ac:dyDescent="0.25"/>
    <row r="64961" s="12" customFormat="1" x14ac:dyDescent="0.25"/>
    <row r="64962" s="12" customFormat="1" x14ac:dyDescent="0.25"/>
    <row r="64963" s="12" customFormat="1" x14ac:dyDescent="0.25"/>
    <row r="64964" s="12" customFormat="1" x14ac:dyDescent="0.25"/>
    <row r="64965" s="12" customFormat="1" x14ac:dyDescent="0.25"/>
    <row r="64966" s="12" customFormat="1" x14ac:dyDescent="0.25"/>
    <row r="64967" s="12" customFormat="1" x14ac:dyDescent="0.25"/>
    <row r="64968" s="12" customFormat="1" x14ac:dyDescent="0.25"/>
    <row r="64969" s="12" customFormat="1" x14ac:dyDescent="0.25"/>
    <row r="64970" s="12" customFormat="1" x14ac:dyDescent="0.25"/>
    <row r="64971" s="12" customFormat="1" x14ac:dyDescent="0.25"/>
    <row r="64972" s="12" customFormat="1" x14ac:dyDescent="0.25"/>
    <row r="64973" s="12" customFormat="1" x14ac:dyDescent="0.25"/>
    <row r="64974" s="12" customFormat="1" x14ac:dyDescent="0.25"/>
    <row r="64975" s="12" customFormat="1" x14ac:dyDescent="0.25"/>
    <row r="64976" s="12" customFormat="1" x14ac:dyDescent="0.25"/>
    <row r="64977" s="12" customFormat="1" x14ac:dyDescent="0.25"/>
    <row r="64978" s="12" customFormat="1" x14ac:dyDescent="0.25"/>
    <row r="64979" s="12" customFormat="1" x14ac:dyDescent="0.25"/>
    <row r="64980" s="12" customFormat="1" x14ac:dyDescent="0.25"/>
    <row r="64981" s="12" customFormat="1" x14ac:dyDescent="0.25"/>
    <row r="64982" s="12" customFormat="1" x14ac:dyDescent="0.25"/>
    <row r="64983" s="12" customFormat="1" x14ac:dyDescent="0.25"/>
    <row r="64984" s="12" customFormat="1" x14ac:dyDescent="0.25"/>
    <row r="64985" s="12" customFormat="1" x14ac:dyDescent="0.25"/>
    <row r="64986" s="12" customFormat="1" x14ac:dyDescent="0.25"/>
    <row r="64987" s="12" customFormat="1" x14ac:dyDescent="0.25"/>
    <row r="64988" s="12" customFormat="1" x14ac:dyDescent="0.25"/>
    <row r="64989" s="12" customFormat="1" x14ac:dyDescent="0.25"/>
    <row r="64990" s="12" customFormat="1" x14ac:dyDescent="0.25"/>
    <row r="64991" s="12" customFormat="1" x14ac:dyDescent="0.25"/>
    <row r="64992" s="12" customFormat="1" x14ac:dyDescent="0.25"/>
    <row r="64993" s="12" customFormat="1" x14ac:dyDescent="0.25"/>
    <row r="64994" s="12" customFormat="1" x14ac:dyDescent="0.25"/>
    <row r="64995" s="12" customFormat="1" x14ac:dyDescent="0.25"/>
    <row r="64996" s="12" customFormat="1" x14ac:dyDescent="0.25"/>
    <row r="64997" s="12" customFormat="1" x14ac:dyDescent="0.25"/>
    <row r="64998" s="12" customFormat="1" x14ac:dyDescent="0.25"/>
    <row r="64999" s="12" customFormat="1" x14ac:dyDescent="0.25"/>
    <row r="65000" s="12" customFormat="1" x14ac:dyDescent="0.25"/>
    <row r="65001" s="12" customFormat="1" x14ac:dyDescent="0.25"/>
    <row r="65002" s="12" customFormat="1" x14ac:dyDescent="0.25"/>
    <row r="65003" s="12" customFormat="1" x14ac:dyDescent="0.25"/>
    <row r="65004" s="12" customFormat="1" x14ac:dyDescent="0.25"/>
    <row r="65005" s="12" customFormat="1" x14ac:dyDescent="0.25"/>
    <row r="65006" s="12" customFormat="1" x14ac:dyDescent="0.25"/>
    <row r="65007" s="12" customFormat="1" x14ac:dyDescent="0.25"/>
    <row r="65008" s="12" customFormat="1" x14ac:dyDescent="0.25"/>
    <row r="65009" s="12" customFormat="1" x14ac:dyDescent="0.25"/>
    <row r="65010" s="12" customFormat="1" x14ac:dyDescent="0.25"/>
    <row r="65011" s="12" customFormat="1" x14ac:dyDescent="0.25"/>
    <row r="65012" s="12" customFormat="1" x14ac:dyDescent="0.25"/>
    <row r="65013" s="12" customFormat="1" x14ac:dyDescent="0.25"/>
    <row r="65014" s="12" customFormat="1" x14ac:dyDescent="0.25"/>
    <row r="65015" s="12" customFormat="1" x14ac:dyDescent="0.25"/>
    <row r="65016" s="12" customFormat="1" x14ac:dyDescent="0.25"/>
    <row r="65017" s="12" customFormat="1" x14ac:dyDescent="0.25"/>
    <row r="65018" s="12" customFormat="1" x14ac:dyDescent="0.25"/>
    <row r="65019" s="12" customFormat="1" x14ac:dyDescent="0.25"/>
    <row r="65020" s="12" customFormat="1" x14ac:dyDescent="0.25"/>
    <row r="65021" s="12" customFormat="1" x14ac:dyDescent="0.25"/>
    <row r="65022" s="12" customFormat="1" x14ac:dyDescent="0.25"/>
    <row r="65023" s="12" customFormat="1" x14ac:dyDescent="0.25"/>
    <row r="65024" s="12" customFormat="1" x14ac:dyDescent="0.25"/>
    <row r="65025" s="12" customFormat="1" x14ac:dyDescent="0.25"/>
    <row r="65026" s="12" customFormat="1" x14ac:dyDescent="0.25"/>
    <row r="65027" s="12" customFormat="1" x14ac:dyDescent="0.25"/>
    <row r="65028" s="12" customFormat="1" x14ac:dyDescent="0.25"/>
    <row r="65029" s="12" customFormat="1" x14ac:dyDescent="0.25"/>
    <row r="65030" s="12" customFormat="1" x14ac:dyDescent="0.25"/>
    <row r="65031" s="12" customFormat="1" x14ac:dyDescent="0.25"/>
    <row r="65032" s="12" customFormat="1" x14ac:dyDescent="0.25"/>
    <row r="65033" s="12" customFormat="1" x14ac:dyDescent="0.25"/>
    <row r="65034" s="12" customFormat="1" x14ac:dyDescent="0.25"/>
    <row r="65035" s="12" customFormat="1" x14ac:dyDescent="0.25"/>
    <row r="65036" s="12" customFormat="1" x14ac:dyDescent="0.25"/>
    <row r="65037" s="12" customFormat="1" x14ac:dyDescent="0.25"/>
    <row r="65038" s="12" customFormat="1" x14ac:dyDescent="0.25"/>
    <row r="65039" s="12" customFormat="1" x14ac:dyDescent="0.25"/>
    <row r="65040" s="12" customFormat="1" x14ac:dyDescent="0.25"/>
    <row r="65041" s="12" customFormat="1" x14ac:dyDescent="0.25"/>
    <row r="65042" s="12" customFormat="1" x14ac:dyDescent="0.25"/>
    <row r="65043" s="12" customFormat="1" x14ac:dyDescent="0.25"/>
    <row r="65044" s="12" customFormat="1" x14ac:dyDescent="0.25"/>
    <row r="65045" s="12" customFormat="1" x14ac:dyDescent="0.25"/>
    <row r="65046" s="12" customFormat="1" x14ac:dyDescent="0.25"/>
    <row r="65047" s="12" customFormat="1" x14ac:dyDescent="0.25"/>
    <row r="65048" s="12" customFormat="1" x14ac:dyDescent="0.25"/>
    <row r="65049" s="12" customFormat="1" x14ac:dyDescent="0.25"/>
    <row r="65050" s="12" customFormat="1" x14ac:dyDescent="0.25"/>
    <row r="65051" s="12" customFormat="1" x14ac:dyDescent="0.25"/>
    <row r="65052" s="12" customFormat="1" x14ac:dyDescent="0.25"/>
    <row r="65053" s="12" customFormat="1" x14ac:dyDescent="0.25"/>
    <row r="65054" s="12" customFormat="1" x14ac:dyDescent="0.25"/>
    <row r="65055" s="12" customFormat="1" x14ac:dyDescent="0.25"/>
    <row r="65056" s="12" customFormat="1" x14ac:dyDescent="0.25"/>
    <row r="65057" s="12" customFormat="1" x14ac:dyDescent="0.25"/>
    <row r="65058" s="12" customFormat="1" x14ac:dyDescent="0.25"/>
    <row r="65059" s="12" customFormat="1" x14ac:dyDescent="0.25"/>
    <row r="65060" s="12" customFormat="1" x14ac:dyDescent="0.25"/>
    <row r="65061" s="12" customFormat="1" x14ac:dyDescent="0.25"/>
    <row r="65062" s="12" customFormat="1" x14ac:dyDescent="0.25"/>
    <row r="65063" s="12" customFormat="1" x14ac:dyDescent="0.25"/>
    <row r="65064" s="12" customFormat="1" x14ac:dyDescent="0.25"/>
    <row r="65065" s="12" customFormat="1" x14ac:dyDescent="0.25"/>
    <row r="65066" s="12" customFormat="1" x14ac:dyDescent="0.25"/>
    <row r="65067" s="12" customFormat="1" x14ac:dyDescent="0.25"/>
    <row r="65068" s="12" customFormat="1" x14ac:dyDescent="0.25"/>
    <row r="65069" s="12" customFormat="1" x14ac:dyDescent="0.25"/>
    <row r="65070" s="12" customFormat="1" x14ac:dyDescent="0.25"/>
    <row r="65071" s="12" customFormat="1" x14ac:dyDescent="0.25"/>
    <row r="65072" s="12" customFormat="1" x14ac:dyDescent="0.25"/>
    <row r="65073" s="12" customFormat="1" x14ac:dyDescent="0.25"/>
    <row r="65074" s="12" customFormat="1" x14ac:dyDescent="0.25"/>
    <row r="65075" s="12" customFormat="1" x14ac:dyDescent="0.25"/>
    <row r="65076" s="12" customFormat="1" x14ac:dyDescent="0.25"/>
    <row r="65077" s="12" customFormat="1" x14ac:dyDescent="0.25"/>
    <row r="65078" s="12" customFormat="1" x14ac:dyDescent="0.25"/>
    <row r="65079" s="12" customFormat="1" x14ac:dyDescent="0.25"/>
    <row r="65080" s="12" customFormat="1" x14ac:dyDescent="0.25"/>
    <row r="65081" s="12" customFormat="1" x14ac:dyDescent="0.25"/>
    <row r="65082" s="12" customFormat="1" x14ac:dyDescent="0.25"/>
    <row r="65083" s="12" customFormat="1" x14ac:dyDescent="0.25"/>
    <row r="65084" s="12" customFormat="1" x14ac:dyDescent="0.25"/>
    <row r="65085" s="12" customFormat="1" x14ac:dyDescent="0.25"/>
    <row r="65086" s="12" customFormat="1" x14ac:dyDescent="0.25"/>
    <row r="65087" s="12" customFormat="1" x14ac:dyDescent="0.25"/>
    <row r="65088" s="12" customFormat="1" x14ac:dyDescent="0.25"/>
    <row r="65089" s="12" customFormat="1" x14ac:dyDescent="0.25"/>
    <row r="65090" s="12" customFormat="1" x14ac:dyDescent="0.25"/>
    <row r="65091" s="12" customFormat="1" x14ac:dyDescent="0.25"/>
    <row r="65092" s="12" customFormat="1" x14ac:dyDescent="0.25"/>
    <row r="65093" s="12" customFormat="1" x14ac:dyDescent="0.25"/>
    <row r="65094" s="12" customFormat="1" x14ac:dyDescent="0.25"/>
    <row r="65095" s="12" customFormat="1" x14ac:dyDescent="0.25"/>
    <row r="65096" s="12" customFormat="1" x14ac:dyDescent="0.25"/>
    <row r="65097" s="12" customFormat="1" x14ac:dyDescent="0.25"/>
    <row r="65098" s="12" customFormat="1" x14ac:dyDescent="0.25"/>
    <row r="65099" s="12" customFormat="1" x14ac:dyDescent="0.25"/>
    <row r="65100" s="12" customFormat="1" x14ac:dyDescent="0.25"/>
    <row r="65101" s="12" customFormat="1" x14ac:dyDescent="0.25"/>
    <row r="65102" s="12" customFormat="1" x14ac:dyDescent="0.25"/>
    <row r="65103" s="12" customFormat="1" x14ac:dyDescent="0.25"/>
    <row r="65104" s="12" customFormat="1" x14ac:dyDescent="0.25"/>
    <row r="65105" s="12" customFormat="1" x14ac:dyDescent="0.25"/>
    <row r="65106" s="12" customFormat="1" x14ac:dyDescent="0.25"/>
    <row r="65107" s="12" customFormat="1" x14ac:dyDescent="0.25"/>
    <row r="65108" s="12" customFormat="1" x14ac:dyDescent="0.25"/>
    <row r="65109" s="12" customFormat="1" x14ac:dyDescent="0.25"/>
    <row r="65110" s="12" customFormat="1" x14ac:dyDescent="0.25"/>
    <row r="65111" s="12" customFormat="1" x14ac:dyDescent="0.25"/>
    <row r="65112" s="12" customFormat="1" x14ac:dyDescent="0.25"/>
    <row r="65113" s="12" customFormat="1" x14ac:dyDescent="0.25"/>
    <row r="65114" s="12" customFormat="1" x14ac:dyDescent="0.25"/>
    <row r="65115" s="12" customFormat="1" x14ac:dyDescent="0.25"/>
    <row r="65116" s="12" customFormat="1" x14ac:dyDescent="0.25"/>
    <row r="65117" s="12" customFormat="1" x14ac:dyDescent="0.25"/>
    <row r="65118" s="12" customFormat="1" x14ac:dyDescent="0.25"/>
    <row r="65119" s="12" customFormat="1" x14ac:dyDescent="0.25"/>
    <row r="65120" s="12" customFormat="1" x14ac:dyDescent="0.25"/>
    <row r="65121" s="12" customFormat="1" x14ac:dyDescent="0.25"/>
    <row r="65122" s="12" customFormat="1" x14ac:dyDescent="0.25"/>
    <row r="65123" s="12" customFormat="1" x14ac:dyDescent="0.25"/>
    <row r="65124" s="12" customFormat="1" x14ac:dyDescent="0.25"/>
    <row r="65125" s="12" customFormat="1" x14ac:dyDescent="0.25"/>
    <row r="65126" s="12" customFormat="1" x14ac:dyDescent="0.25"/>
    <row r="65127" s="12" customFormat="1" x14ac:dyDescent="0.25"/>
    <row r="65128" s="12" customFormat="1" x14ac:dyDescent="0.25"/>
    <row r="65129" s="12" customFormat="1" x14ac:dyDescent="0.25"/>
    <row r="65130" s="12" customFormat="1" x14ac:dyDescent="0.25"/>
    <row r="65131" s="12" customFormat="1" x14ac:dyDescent="0.25"/>
    <row r="65132" s="12" customFormat="1" x14ac:dyDescent="0.25"/>
    <row r="65133" s="12" customFormat="1" x14ac:dyDescent="0.25"/>
    <row r="65134" s="12" customFormat="1" x14ac:dyDescent="0.25"/>
    <row r="65135" s="12" customFormat="1" x14ac:dyDescent="0.25"/>
    <row r="65136" s="12" customFormat="1" x14ac:dyDescent="0.25"/>
    <row r="65137" s="12" customFormat="1" x14ac:dyDescent="0.25"/>
    <row r="65138" s="12" customFormat="1" x14ac:dyDescent="0.25"/>
    <row r="65139" s="12" customFormat="1" x14ac:dyDescent="0.25"/>
    <row r="65140" s="12" customFormat="1" x14ac:dyDescent="0.25"/>
    <row r="65141" s="12" customFormat="1" x14ac:dyDescent="0.25"/>
    <row r="65142" s="12" customFormat="1" x14ac:dyDescent="0.25"/>
    <row r="65143" s="12" customFormat="1" x14ac:dyDescent="0.25"/>
    <row r="65144" s="12" customFormat="1" x14ac:dyDescent="0.25"/>
    <row r="65145" s="12" customFormat="1" x14ac:dyDescent="0.25"/>
    <row r="65146" s="12" customFormat="1" x14ac:dyDescent="0.25"/>
    <row r="65147" s="12" customFormat="1" x14ac:dyDescent="0.25"/>
    <row r="65148" s="12" customFormat="1" x14ac:dyDescent="0.25"/>
    <row r="65149" s="12" customFormat="1" x14ac:dyDescent="0.25"/>
    <row r="65150" s="12" customFormat="1" x14ac:dyDescent="0.25"/>
    <row r="65151" s="12" customFormat="1" x14ac:dyDescent="0.25"/>
    <row r="65152" s="12" customFormat="1" x14ac:dyDescent="0.25"/>
    <row r="65153" s="12" customFormat="1" x14ac:dyDescent="0.25"/>
    <row r="65154" s="12" customFormat="1" x14ac:dyDescent="0.25"/>
    <row r="65155" s="12" customFormat="1" x14ac:dyDescent="0.25"/>
    <row r="65156" s="12" customFormat="1" x14ac:dyDescent="0.25"/>
    <row r="65157" s="12" customFormat="1" x14ac:dyDescent="0.25"/>
    <row r="65158" s="12" customFormat="1" x14ac:dyDescent="0.25"/>
    <row r="65159" s="12" customFormat="1" x14ac:dyDescent="0.25"/>
    <row r="65160" s="12" customFormat="1" x14ac:dyDescent="0.25"/>
    <row r="65161" s="12" customFormat="1" x14ac:dyDescent="0.25"/>
    <row r="65162" s="12" customFormat="1" x14ac:dyDescent="0.25"/>
    <row r="65163" s="12" customFormat="1" x14ac:dyDescent="0.25"/>
    <row r="65164" s="12" customFormat="1" x14ac:dyDescent="0.25"/>
    <row r="65165" s="12" customFormat="1" x14ac:dyDescent="0.25"/>
    <row r="65166" s="12" customFormat="1" x14ac:dyDescent="0.25"/>
    <row r="65167" s="12" customFormat="1" x14ac:dyDescent="0.25"/>
    <row r="65168" s="12" customFormat="1" x14ac:dyDescent="0.25"/>
    <row r="65169" s="12" customFormat="1" x14ac:dyDescent="0.25"/>
    <row r="65170" s="12" customFormat="1" x14ac:dyDescent="0.25"/>
    <row r="65171" s="12" customFormat="1" x14ac:dyDescent="0.25"/>
    <row r="65172" s="12" customFormat="1" x14ac:dyDescent="0.25"/>
    <row r="65173" s="12" customFormat="1" x14ac:dyDescent="0.25"/>
    <row r="65174" s="12" customFormat="1" x14ac:dyDescent="0.25"/>
    <row r="65175" s="12" customFormat="1" x14ac:dyDescent="0.25"/>
    <row r="65176" s="12" customFormat="1" x14ac:dyDescent="0.25"/>
    <row r="65177" s="12" customFormat="1" x14ac:dyDescent="0.25"/>
    <row r="65178" s="12" customFormat="1" x14ac:dyDescent="0.25"/>
    <row r="65179" s="12" customFormat="1" x14ac:dyDescent="0.25"/>
    <row r="65180" s="12" customFormat="1" x14ac:dyDescent="0.25"/>
    <row r="65181" s="12" customFormat="1" x14ac:dyDescent="0.25"/>
    <row r="65182" s="12" customFormat="1" x14ac:dyDescent="0.25"/>
    <row r="65183" s="12" customFormat="1" x14ac:dyDescent="0.25"/>
    <row r="65184" s="12" customFormat="1" x14ac:dyDescent="0.25"/>
    <row r="65185" s="12" customFormat="1" x14ac:dyDescent="0.25"/>
    <row r="65186" s="12" customFormat="1" x14ac:dyDescent="0.25"/>
    <row r="65187" s="12" customFormat="1" x14ac:dyDescent="0.25"/>
    <row r="65188" s="12" customFormat="1" x14ac:dyDescent="0.25"/>
    <row r="65189" s="12" customFormat="1" x14ac:dyDescent="0.25"/>
    <row r="65190" s="12" customFormat="1" x14ac:dyDescent="0.25"/>
    <row r="65191" s="12" customFormat="1" x14ac:dyDescent="0.25"/>
    <row r="65192" s="12" customFormat="1" x14ac:dyDescent="0.25"/>
    <row r="65193" s="12" customFormat="1" x14ac:dyDescent="0.25"/>
    <row r="65194" s="12" customFormat="1" x14ac:dyDescent="0.25"/>
    <row r="65195" s="12" customFormat="1" x14ac:dyDescent="0.25"/>
    <row r="65196" s="12" customFormat="1" x14ac:dyDescent="0.25"/>
    <row r="65197" s="12" customFormat="1" x14ac:dyDescent="0.25"/>
    <row r="65198" s="12" customFormat="1" x14ac:dyDescent="0.25"/>
    <row r="65199" s="12" customFormat="1" x14ac:dyDescent="0.25"/>
    <row r="65200" s="12" customFormat="1" x14ac:dyDescent="0.25"/>
    <row r="65201" s="12" customFormat="1" x14ac:dyDescent="0.25"/>
    <row r="65202" s="12" customFormat="1" x14ac:dyDescent="0.25"/>
    <row r="65203" s="12" customFormat="1" x14ac:dyDescent="0.25"/>
    <row r="65204" s="12" customFormat="1" x14ac:dyDescent="0.25"/>
    <row r="65205" s="12" customFormat="1" x14ac:dyDescent="0.25"/>
    <row r="65206" s="12" customFormat="1" x14ac:dyDescent="0.25"/>
    <row r="65207" s="12" customFormat="1" x14ac:dyDescent="0.25"/>
    <row r="65208" s="12" customFormat="1" x14ac:dyDescent="0.25"/>
    <row r="65209" s="12" customFormat="1" x14ac:dyDescent="0.25"/>
    <row r="65210" s="12" customFormat="1" x14ac:dyDescent="0.25"/>
    <row r="65211" s="12" customFormat="1" x14ac:dyDescent="0.25"/>
    <row r="65212" s="12" customFormat="1" x14ac:dyDescent="0.25"/>
    <row r="65213" s="12" customFormat="1" x14ac:dyDescent="0.25"/>
    <row r="65214" s="12" customFormat="1" x14ac:dyDescent="0.25"/>
    <row r="65215" s="12" customFormat="1" x14ac:dyDescent="0.25"/>
    <row r="65216" s="12" customFormat="1" x14ac:dyDescent="0.25"/>
    <row r="65217" s="12" customFormat="1" x14ac:dyDescent="0.25"/>
    <row r="65218" s="12" customFormat="1" x14ac:dyDescent="0.25"/>
    <row r="65219" s="12" customFormat="1" x14ac:dyDescent="0.25"/>
    <row r="65220" s="12" customFormat="1" x14ac:dyDescent="0.25"/>
    <row r="65221" s="12" customFormat="1" x14ac:dyDescent="0.25"/>
    <row r="65222" s="12" customFormat="1" x14ac:dyDescent="0.25"/>
    <row r="65223" s="12" customFormat="1" x14ac:dyDescent="0.25"/>
    <row r="65224" s="12" customFormat="1" x14ac:dyDescent="0.25"/>
    <row r="65225" s="12" customFormat="1" x14ac:dyDescent="0.25"/>
    <row r="65226" s="12" customFormat="1" x14ac:dyDescent="0.25"/>
    <row r="65227" s="12" customFormat="1" x14ac:dyDescent="0.25"/>
    <row r="65228" s="12" customFormat="1" x14ac:dyDescent="0.25"/>
    <row r="65229" s="12" customFormat="1" x14ac:dyDescent="0.25"/>
    <row r="65230" s="12" customFormat="1" x14ac:dyDescent="0.25"/>
    <row r="65231" s="12" customFormat="1" x14ac:dyDescent="0.25"/>
    <row r="65232" s="12" customFormat="1" x14ac:dyDescent="0.25"/>
    <row r="65233" s="12" customFormat="1" x14ac:dyDescent="0.25"/>
    <row r="65234" s="12" customFormat="1" x14ac:dyDescent="0.25"/>
    <row r="65235" s="12" customFormat="1" x14ac:dyDescent="0.25"/>
    <row r="65236" s="12" customFormat="1" x14ac:dyDescent="0.25"/>
    <row r="65237" s="12" customFormat="1" x14ac:dyDescent="0.25"/>
    <row r="65238" s="12" customFormat="1" x14ac:dyDescent="0.25"/>
    <row r="65239" s="12" customFormat="1" x14ac:dyDescent="0.25"/>
    <row r="65240" s="12" customFormat="1" x14ac:dyDescent="0.25"/>
    <row r="65241" s="12" customFormat="1" x14ac:dyDescent="0.25"/>
    <row r="65242" s="12" customFormat="1" x14ac:dyDescent="0.25"/>
    <row r="65243" s="12" customFormat="1" x14ac:dyDescent="0.25"/>
    <row r="65244" s="12" customFormat="1" x14ac:dyDescent="0.25"/>
    <row r="65245" s="12" customFormat="1" x14ac:dyDescent="0.25"/>
    <row r="65246" s="12" customFormat="1" x14ac:dyDescent="0.25"/>
    <row r="65247" s="12" customFormat="1" x14ac:dyDescent="0.25"/>
    <row r="65248" s="12" customFormat="1" x14ac:dyDescent="0.25"/>
    <row r="65249" s="12" customFormat="1" x14ac:dyDescent="0.25"/>
    <row r="65250" s="12" customFormat="1" x14ac:dyDescent="0.25"/>
    <row r="65251" s="12" customFormat="1" x14ac:dyDescent="0.25"/>
    <row r="65252" s="12" customFormat="1" x14ac:dyDescent="0.25"/>
    <row r="65253" s="12" customFormat="1" x14ac:dyDescent="0.25"/>
    <row r="65254" s="12" customFormat="1" x14ac:dyDescent="0.25"/>
    <row r="65255" s="12" customFormat="1" x14ac:dyDescent="0.25"/>
    <row r="65256" s="12" customFormat="1" x14ac:dyDescent="0.25"/>
    <row r="65257" s="12" customFormat="1" x14ac:dyDescent="0.25"/>
    <row r="65258" s="12" customFormat="1" x14ac:dyDescent="0.25"/>
    <row r="65259" s="12" customFormat="1" x14ac:dyDescent="0.25"/>
    <row r="65260" s="12" customFormat="1" x14ac:dyDescent="0.25"/>
    <row r="65261" s="12" customFormat="1" x14ac:dyDescent="0.25"/>
    <row r="65262" s="12" customFormat="1" x14ac:dyDescent="0.25"/>
    <row r="65263" s="12" customFormat="1" x14ac:dyDescent="0.25"/>
    <row r="65264" s="12" customFormat="1" x14ac:dyDescent="0.25"/>
    <row r="65265" s="12" customFormat="1" x14ac:dyDescent="0.25"/>
    <row r="65266" s="12" customFormat="1" x14ac:dyDescent="0.25"/>
    <row r="65267" s="12" customFormat="1" x14ac:dyDescent="0.25"/>
    <row r="65268" s="12" customFormat="1" x14ac:dyDescent="0.25"/>
    <row r="65269" s="12" customFormat="1" x14ac:dyDescent="0.25"/>
    <row r="65270" s="12" customFormat="1" x14ac:dyDescent="0.25"/>
    <row r="65271" s="12" customFormat="1" x14ac:dyDescent="0.25"/>
    <row r="65272" s="12" customFormat="1" x14ac:dyDescent="0.25"/>
    <row r="65273" s="12" customFormat="1" x14ac:dyDescent="0.25"/>
    <row r="65274" s="12" customFormat="1" x14ac:dyDescent="0.25"/>
    <row r="65275" s="12" customFormat="1" x14ac:dyDescent="0.25"/>
    <row r="65276" s="12" customFormat="1" x14ac:dyDescent="0.25"/>
    <row r="65277" s="12" customFormat="1" x14ac:dyDescent="0.25"/>
    <row r="65278" s="12" customFormat="1" x14ac:dyDescent="0.25"/>
    <row r="65279" s="12" customFormat="1" x14ac:dyDescent="0.25"/>
    <row r="65280" s="12" customFormat="1" x14ac:dyDescent="0.25"/>
    <row r="65281" s="12" customFormat="1" x14ac:dyDescent="0.25"/>
    <row r="65282" s="12" customFormat="1" x14ac:dyDescent="0.25"/>
    <row r="65283" s="12" customFormat="1" x14ac:dyDescent="0.25"/>
    <row r="65284" s="12" customFormat="1" x14ac:dyDescent="0.25"/>
    <row r="65285" s="12" customFormat="1" x14ac:dyDescent="0.25"/>
    <row r="65286" s="12" customFormat="1" x14ac:dyDescent="0.25"/>
    <row r="65287" s="12" customFormat="1" x14ac:dyDescent="0.25"/>
    <row r="65288" s="12" customFormat="1" x14ac:dyDescent="0.25"/>
    <row r="65289" s="12" customFormat="1" x14ac:dyDescent="0.25"/>
    <row r="65290" s="12" customFormat="1" x14ac:dyDescent="0.25"/>
    <row r="65291" s="12" customFormat="1" x14ac:dyDescent="0.25"/>
    <row r="65292" s="12" customFormat="1" x14ac:dyDescent="0.25"/>
    <row r="65293" s="12" customFormat="1" x14ac:dyDescent="0.25"/>
    <row r="65294" s="12" customFormat="1" x14ac:dyDescent="0.25"/>
    <row r="65295" s="12" customFormat="1" x14ac:dyDescent="0.25"/>
    <row r="65296" s="12" customFormat="1" x14ac:dyDescent="0.25"/>
    <row r="65297" s="12" customFormat="1" x14ac:dyDescent="0.25"/>
    <row r="65298" s="12" customFormat="1" x14ac:dyDescent="0.25"/>
    <row r="65299" s="12" customFormat="1" x14ac:dyDescent="0.25"/>
    <row r="65300" s="12" customFormat="1" x14ac:dyDescent="0.25"/>
    <row r="65301" s="12" customFormat="1" x14ac:dyDescent="0.25"/>
    <row r="65302" s="12" customFormat="1" x14ac:dyDescent="0.25"/>
    <row r="65303" s="12" customFormat="1" x14ac:dyDescent="0.25"/>
    <row r="65304" s="12" customFormat="1" x14ac:dyDescent="0.25"/>
    <row r="65305" s="12" customFormat="1" x14ac:dyDescent="0.25"/>
    <row r="65306" s="12" customFormat="1" x14ac:dyDescent="0.25"/>
    <row r="65307" s="12" customFormat="1" x14ac:dyDescent="0.25"/>
    <row r="65308" s="12" customFormat="1" x14ac:dyDescent="0.25"/>
    <row r="65309" s="12" customFormat="1" x14ac:dyDescent="0.25"/>
    <row r="65310" s="12" customFormat="1" x14ac:dyDescent="0.25"/>
    <row r="65311" s="12" customFormat="1" x14ac:dyDescent="0.25"/>
    <row r="65312" s="12" customFormat="1" x14ac:dyDescent="0.25"/>
    <row r="65313" s="12" customFormat="1" x14ac:dyDescent="0.25"/>
    <row r="65314" s="12" customFormat="1" x14ac:dyDescent="0.25"/>
    <row r="65315" s="12" customFormat="1" x14ac:dyDescent="0.25"/>
    <row r="65316" s="12" customFormat="1" x14ac:dyDescent="0.25"/>
    <row r="65317" s="12" customFormat="1" x14ac:dyDescent="0.25"/>
    <row r="65318" s="12" customFormat="1" x14ac:dyDescent="0.25"/>
    <row r="65319" s="12" customFormat="1" x14ac:dyDescent="0.25"/>
    <row r="65320" s="12" customFormat="1" x14ac:dyDescent="0.25"/>
    <row r="65321" s="12" customFormat="1" x14ac:dyDescent="0.25"/>
    <row r="65322" s="12" customFormat="1" x14ac:dyDescent="0.25"/>
    <row r="65323" s="12" customFormat="1" x14ac:dyDescent="0.25"/>
    <row r="65324" s="12" customFormat="1" x14ac:dyDescent="0.25"/>
    <row r="65325" s="12" customFormat="1" x14ac:dyDescent="0.25"/>
    <row r="65326" s="12" customFormat="1" x14ac:dyDescent="0.25"/>
    <row r="65327" s="12" customFormat="1" x14ac:dyDescent="0.25"/>
    <row r="65328" s="12" customFormat="1" x14ac:dyDescent="0.25"/>
    <row r="65329" s="12" customFormat="1" x14ac:dyDescent="0.25"/>
    <row r="65330" s="12" customFormat="1" x14ac:dyDescent="0.25"/>
    <row r="65331" s="12" customFormat="1" x14ac:dyDescent="0.25"/>
    <row r="65332" s="12" customFormat="1" x14ac:dyDescent="0.25"/>
    <row r="65333" s="12" customFormat="1" x14ac:dyDescent="0.25"/>
    <row r="65334" s="12" customFormat="1" x14ac:dyDescent="0.25"/>
    <row r="65335" s="12" customFormat="1" x14ac:dyDescent="0.25"/>
    <row r="65336" s="12" customFormat="1" x14ac:dyDescent="0.25"/>
    <row r="65337" s="12" customFormat="1" x14ac:dyDescent="0.25"/>
    <row r="65338" s="12" customFormat="1" x14ac:dyDescent="0.25"/>
    <row r="65339" s="12" customFormat="1" x14ac:dyDescent="0.25"/>
    <row r="65340" s="12" customFormat="1" x14ac:dyDescent="0.25"/>
    <row r="65341" s="12" customFormat="1" x14ac:dyDescent="0.25"/>
    <row r="65342" s="12" customFormat="1" x14ac:dyDescent="0.25"/>
    <row r="65343" s="12" customFormat="1" x14ac:dyDescent="0.25"/>
    <row r="65344" s="12" customFormat="1" x14ac:dyDescent="0.25"/>
    <row r="65345" s="12" customFormat="1" x14ac:dyDescent="0.25"/>
    <row r="65346" s="12" customFormat="1" x14ac:dyDescent="0.25"/>
    <row r="65347" s="12" customFormat="1" x14ac:dyDescent="0.25"/>
    <row r="65348" s="12" customFormat="1" x14ac:dyDescent="0.25"/>
    <row r="65349" s="12" customFormat="1" x14ac:dyDescent="0.25"/>
    <row r="65350" s="12" customFormat="1" x14ac:dyDescent="0.25"/>
    <row r="65351" s="12" customFormat="1" x14ac:dyDescent="0.25"/>
    <row r="65352" s="12" customFormat="1" x14ac:dyDescent="0.25"/>
    <row r="65353" s="12" customFormat="1" x14ac:dyDescent="0.25"/>
    <row r="65354" s="12" customFormat="1" x14ac:dyDescent="0.25"/>
    <row r="65355" s="12" customFormat="1" x14ac:dyDescent="0.25"/>
    <row r="65356" s="12" customFormat="1" x14ac:dyDescent="0.25"/>
    <row r="65357" s="12" customFormat="1" x14ac:dyDescent="0.25"/>
    <row r="65358" s="12" customFormat="1" x14ac:dyDescent="0.25"/>
    <row r="65359" s="12" customFormat="1" x14ac:dyDescent="0.25"/>
    <row r="65360" s="12" customFormat="1" x14ac:dyDescent="0.25"/>
    <row r="65361" s="12" customFormat="1" x14ac:dyDescent="0.25"/>
    <row r="65362" s="12" customFormat="1" x14ac:dyDescent="0.25"/>
    <row r="65363" s="12" customFormat="1" x14ac:dyDescent="0.25"/>
    <row r="65364" s="12" customFormat="1" x14ac:dyDescent="0.25"/>
    <row r="65365" s="12" customFormat="1" x14ac:dyDescent="0.25"/>
    <row r="65366" s="12" customFormat="1" x14ac:dyDescent="0.25"/>
    <row r="65367" s="12" customFormat="1" x14ac:dyDescent="0.25"/>
    <row r="65368" s="12" customFormat="1" x14ac:dyDescent="0.25"/>
    <row r="65369" s="12" customFormat="1" x14ac:dyDescent="0.25"/>
    <row r="65370" s="12" customFormat="1" x14ac:dyDescent="0.25"/>
    <row r="65371" s="12" customFormat="1" x14ac:dyDescent="0.25"/>
    <row r="65372" s="12" customFormat="1" x14ac:dyDescent="0.25"/>
    <row r="65373" s="12" customFormat="1" x14ac:dyDescent="0.25"/>
    <row r="65374" s="12" customFormat="1" x14ac:dyDescent="0.25"/>
    <row r="65375" s="12" customFormat="1" x14ac:dyDescent="0.25"/>
    <row r="65376" s="12" customFormat="1" x14ac:dyDescent="0.25"/>
    <row r="65377" s="12" customFormat="1" x14ac:dyDescent="0.25"/>
    <row r="65378" s="12" customFormat="1" x14ac:dyDescent="0.25"/>
    <row r="65379" s="12" customFormat="1" x14ac:dyDescent="0.25"/>
    <row r="65380" s="12" customFormat="1" x14ac:dyDescent="0.25"/>
    <row r="65381" s="12" customFormat="1" x14ac:dyDescent="0.25"/>
    <row r="65382" s="12" customFormat="1" x14ac:dyDescent="0.25"/>
    <row r="65383" s="12" customFormat="1" x14ac:dyDescent="0.25"/>
    <row r="65384" s="12" customFormat="1" x14ac:dyDescent="0.25"/>
    <row r="65385" s="12" customFormat="1" x14ac:dyDescent="0.25"/>
    <row r="65386" s="12" customFormat="1" x14ac:dyDescent="0.25"/>
    <row r="65387" s="12" customFormat="1" x14ac:dyDescent="0.25"/>
    <row r="65388" s="12" customFormat="1" x14ac:dyDescent="0.25"/>
    <row r="65389" s="12" customFormat="1" x14ac:dyDescent="0.25"/>
    <row r="65390" s="12" customFormat="1" x14ac:dyDescent="0.25"/>
    <row r="65391" s="12" customFormat="1" x14ac:dyDescent="0.25"/>
    <row r="65392" s="12" customFormat="1" x14ac:dyDescent="0.25"/>
    <row r="65393" s="12" customFormat="1" x14ac:dyDescent="0.25"/>
    <row r="65394" s="12" customFormat="1" x14ac:dyDescent="0.25"/>
    <row r="65395" s="12" customFormat="1" x14ac:dyDescent="0.25"/>
    <row r="65396" s="12" customFormat="1" x14ac:dyDescent="0.25"/>
    <row r="65397" s="12" customFormat="1" x14ac:dyDescent="0.25"/>
    <row r="65398" s="12" customFormat="1" x14ac:dyDescent="0.25"/>
    <row r="65399" s="12" customFormat="1" x14ac:dyDescent="0.25"/>
    <row r="65400" s="12" customFormat="1" x14ac:dyDescent="0.25"/>
    <row r="65401" s="12" customFormat="1" x14ac:dyDescent="0.25"/>
    <row r="65402" s="12" customFormat="1" x14ac:dyDescent="0.25"/>
    <row r="65403" s="12" customFormat="1" x14ac:dyDescent="0.25"/>
    <row r="65404" s="12" customFormat="1" x14ac:dyDescent="0.25"/>
    <row r="65405" s="12" customFormat="1" x14ac:dyDescent="0.25"/>
    <row r="65406" s="12" customFormat="1" x14ac:dyDescent="0.25"/>
    <row r="65407" s="12" customFormat="1" x14ac:dyDescent="0.25"/>
    <row r="65408" s="12" customFormat="1" x14ac:dyDescent="0.25"/>
    <row r="65409" s="12" customFormat="1" x14ac:dyDescent="0.25"/>
    <row r="65410" s="12" customFormat="1" x14ac:dyDescent="0.25"/>
    <row r="65411" s="12" customFormat="1" x14ac:dyDescent="0.25"/>
    <row r="65412" s="12" customFormat="1" x14ac:dyDescent="0.25"/>
    <row r="65413" s="12" customFormat="1" x14ac:dyDescent="0.25"/>
    <row r="65414" s="12" customFormat="1" x14ac:dyDescent="0.25"/>
    <row r="65415" s="12" customFormat="1" x14ac:dyDescent="0.25"/>
    <row r="65416" s="12" customFormat="1" x14ac:dyDescent="0.25"/>
    <row r="65417" s="12" customFormat="1" x14ac:dyDescent="0.25"/>
    <row r="65418" s="12" customFormat="1" x14ac:dyDescent="0.25"/>
    <row r="65419" s="12" customFormat="1" x14ac:dyDescent="0.25"/>
    <row r="65420" s="12" customFormat="1" x14ac:dyDescent="0.25"/>
    <row r="65421" s="12" customFormat="1" x14ac:dyDescent="0.25"/>
    <row r="65422" s="12" customFormat="1" x14ac:dyDescent="0.25"/>
    <row r="65423" s="12" customFormat="1" x14ac:dyDescent="0.25"/>
    <row r="65424" s="12" customFormat="1" x14ac:dyDescent="0.25"/>
    <row r="65425" s="12" customFormat="1" x14ac:dyDescent="0.25"/>
    <row r="65426" s="12" customFormat="1" x14ac:dyDescent="0.25"/>
    <row r="65427" s="12" customFormat="1" x14ac:dyDescent="0.25"/>
    <row r="65428" s="12" customFormat="1" x14ac:dyDescent="0.25"/>
    <row r="65429" s="12" customFormat="1" x14ac:dyDescent="0.25"/>
    <row r="65430" s="12" customFormat="1" x14ac:dyDescent="0.25"/>
    <row r="65431" s="12" customFormat="1" x14ac:dyDescent="0.25"/>
    <row r="65432" s="12" customFormat="1" x14ac:dyDescent="0.25"/>
    <row r="65433" s="12" customFormat="1" x14ac:dyDescent="0.25"/>
    <row r="65434" s="12" customFormat="1" x14ac:dyDescent="0.25"/>
    <row r="65435" s="12" customFormat="1" x14ac:dyDescent="0.25"/>
    <row r="65436" s="12" customFormat="1" x14ac:dyDescent="0.25"/>
    <row r="65437" s="12" customFormat="1" x14ac:dyDescent="0.25"/>
    <row r="65438" s="12" customFormat="1" x14ac:dyDescent="0.25"/>
    <row r="65439" s="12" customFormat="1" x14ac:dyDescent="0.25"/>
    <row r="65440" s="12" customFormat="1" x14ac:dyDescent="0.25"/>
    <row r="65441" s="12" customFormat="1" x14ac:dyDescent="0.25"/>
    <row r="65442" s="12" customFormat="1" x14ac:dyDescent="0.25"/>
    <row r="65443" s="12" customFormat="1" x14ac:dyDescent="0.25"/>
    <row r="65444" s="12" customFormat="1" x14ac:dyDescent="0.25"/>
    <row r="65445" s="12" customFormat="1" x14ac:dyDescent="0.25"/>
    <row r="65446" s="12" customFormat="1" x14ac:dyDescent="0.25"/>
    <row r="65447" s="12" customFormat="1" x14ac:dyDescent="0.25"/>
    <row r="65448" s="12" customFormat="1" x14ac:dyDescent="0.25"/>
    <row r="65449" s="12" customFormat="1" x14ac:dyDescent="0.25"/>
    <row r="65450" s="12" customFormat="1" x14ac:dyDescent="0.25"/>
    <row r="65451" s="12" customFormat="1" x14ac:dyDescent="0.25"/>
    <row r="65452" s="12" customFormat="1" x14ac:dyDescent="0.25"/>
    <row r="65453" s="12" customFormat="1" x14ac:dyDescent="0.25"/>
    <row r="65454" s="12" customFormat="1" x14ac:dyDescent="0.25"/>
    <row r="65455" s="12" customFormat="1" x14ac:dyDescent="0.25"/>
    <row r="65456" s="12" customFormat="1" x14ac:dyDescent="0.25"/>
    <row r="65457" s="12" customFormat="1" x14ac:dyDescent="0.25"/>
    <row r="65458" s="12" customFormat="1" x14ac:dyDescent="0.25"/>
    <row r="65459" s="12" customFormat="1" x14ac:dyDescent="0.25"/>
    <row r="65460" s="12" customFormat="1" x14ac:dyDescent="0.25"/>
    <row r="65461" s="12" customFormat="1" x14ac:dyDescent="0.25"/>
    <row r="65462" s="12" customFormat="1" x14ac:dyDescent="0.25"/>
    <row r="65463" s="12" customFormat="1" x14ac:dyDescent="0.25"/>
    <row r="65464" s="12" customFormat="1" x14ac:dyDescent="0.25"/>
    <row r="65465" s="12" customFormat="1" x14ac:dyDescent="0.25"/>
    <row r="65466" s="12" customFormat="1" x14ac:dyDescent="0.25"/>
    <row r="65467" s="12" customFormat="1" x14ac:dyDescent="0.25"/>
    <row r="65468" s="12" customFormat="1" x14ac:dyDescent="0.25"/>
    <row r="65469" s="12" customFormat="1" x14ac:dyDescent="0.25"/>
    <row r="65470" s="12" customFormat="1" x14ac:dyDescent="0.25"/>
    <row r="65471" s="12" customFormat="1" x14ac:dyDescent="0.25"/>
    <row r="65472" s="12" customFormat="1" x14ac:dyDescent="0.25"/>
    <row r="65473" s="12" customFormat="1" x14ac:dyDescent="0.25"/>
    <row r="65474" s="12" customFormat="1" x14ac:dyDescent="0.25"/>
    <row r="65475" s="12" customFormat="1" x14ac:dyDescent="0.25"/>
    <row r="65476" s="12" customFormat="1" x14ac:dyDescent="0.25"/>
    <row r="65477" s="12" customFormat="1" x14ac:dyDescent="0.25"/>
    <row r="65478" s="12" customFormat="1" x14ac:dyDescent="0.25"/>
    <row r="65479" s="12" customFormat="1" x14ac:dyDescent="0.25"/>
    <row r="65480" s="12" customFormat="1" x14ac:dyDescent="0.25"/>
    <row r="65481" s="12" customFormat="1" x14ac:dyDescent="0.25"/>
    <row r="65482" s="12" customFormat="1" x14ac:dyDescent="0.25"/>
    <row r="65483" s="12" customFormat="1" x14ac:dyDescent="0.25"/>
    <row r="65484" s="12" customFormat="1" x14ac:dyDescent="0.25"/>
    <row r="65485" s="12" customFormat="1" x14ac:dyDescent="0.25"/>
    <row r="65486" s="12" customFormat="1" x14ac:dyDescent="0.25"/>
    <row r="65487" s="12" customFormat="1" x14ac:dyDescent="0.25"/>
    <row r="65488" s="12" customFormat="1" x14ac:dyDescent="0.25"/>
    <row r="65489" s="12" customFormat="1" x14ac:dyDescent="0.25"/>
    <row r="65490" s="12" customFormat="1" x14ac:dyDescent="0.25"/>
    <row r="65491" s="12" customFormat="1" x14ac:dyDescent="0.25"/>
    <row r="65492" s="12" customFormat="1" x14ac:dyDescent="0.25"/>
    <row r="65493" s="12" customFormat="1" x14ac:dyDescent="0.25"/>
    <row r="65494" s="12" customFormat="1" x14ac:dyDescent="0.25"/>
    <row r="65495" s="12" customFormat="1" x14ac:dyDescent="0.25"/>
    <row r="65496" s="12" customFormat="1" x14ac:dyDescent="0.25"/>
    <row r="65497" s="12" customFormat="1" x14ac:dyDescent="0.25"/>
    <row r="65498" s="12" customFormat="1" x14ac:dyDescent="0.25"/>
    <row r="65499" s="12" customFormat="1" x14ac:dyDescent="0.25"/>
    <row r="65500" s="12" customFormat="1" x14ac:dyDescent="0.25"/>
    <row r="65501" s="12" customFormat="1" x14ac:dyDescent="0.25"/>
    <row r="65502" s="12" customFormat="1" x14ac:dyDescent="0.25"/>
    <row r="65503" s="12" customFormat="1" x14ac:dyDescent="0.25"/>
    <row r="65504" s="12" customFormat="1" x14ac:dyDescent="0.25"/>
    <row r="65505" s="12" customFormat="1" x14ac:dyDescent="0.25"/>
    <row r="65506" s="12" customFormat="1" x14ac:dyDescent="0.25"/>
    <row r="65507" s="12" customFormat="1" x14ac:dyDescent="0.25"/>
    <row r="65508" s="12" customFormat="1" x14ac:dyDescent="0.25"/>
    <row r="65509" s="12" customFormat="1" x14ac:dyDescent="0.25"/>
    <row r="65510" s="12" customFormat="1" x14ac:dyDescent="0.25"/>
    <row r="65511" s="12" customFormat="1" x14ac:dyDescent="0.25"/>
    <row r="65512" s="12" customFormat="1" x14ac:dyDescent="0.25"/>
    <row r="65513" s="12" customFormat="1" x14ac:dyDescent="0.25"/>
    <row r="65514" s="12" customFormat="1" x14ac:dyDescent="0.25"/>
    <row r="65515" s="12" customFormat="1" x14ac:dyDescent="0.25"/>
    <row r="65516" s="12" customFormat="1" x14ac:dyDescent="0.25"/>
    <row r="65517" s="12" customFormat="1" x14ac:dyDescent="0.25"/>
    <row r="65518" s="12" customFormat="1" x14ac:dyDescent="0.25"/>
    <row r="65519" s="12" customFormat="1" x14ac:dyDescent="0.25"/>
    <row r="65520" s="12" customFormat="1" x14ac:dyDescent="0.25"/>
    <row r="65521" s="12" customFormat="1" x14ac:dyDescent="0.25"/>
    <row r="65522" s="12" customFormat="1" x14ac:dyDescent="0.25"/>
    <row r="65523" s="12" customFormat="1" x14ac:dyDescent="0.25"/>
    <row r="65524" s="12" customFormat="1" x14ac:dyDescent="0.25"/>
    <row r="65525" s="12" customFormat="1" x14ac:dyDescent="0.25"/>
    <row r="65526" s="12" customFormat="1" x14ac:dyDescent="0.25"/>
    <row r="65527" s="12" customFormat="1" x14ac:dyDescent="0.25"/>
    <row r="65528" s="12" customFormat="1" x14ac:dyDescent="0.25"/>
    <row r="65529" s="12" customFormat="1" x14ac:dyDescent="0.25"/>
    <row r="65530" s="12" customFormat="1" x14ac:dyDescent="0.25"/>
    <row r="65531" s="12" customFormat="1" x14ac:dyDescent="0.25"/>
    <row r="65532" s="12" customFormat="1" x14ac:dyDescent="0.25"/>
    <row r="65533" s="12" customFormat="1" x14ac:dyDescent="0.25"/>
    <row r="65534" s="12" customFormat="1" x14ac:dyDescent="0.25"/>
    <row r="65535" s="12" customFormat="1" x14ac:dyDescent="0.25"/>
    <row r="65536" s="12" customFormat="1" x14ac:dyDescent="0.25"/>
    <row r="65537" s="12" customFormat="1" x14ac:dyDescent="0.25"/>
    <row r="65538" s="12" customFormat="1" x14ac:dyDescent="0.25"/>
    <row r="65539" s="12" customFormat="1" x14ac:dyDescent="0.25"/>
    <row r="65540" s="12" customFormat="1" x14ac:dyDescent="0.25"/>
    <row r="65541" s="12" customFormat="1" x14ac:dyDescent="0.25"/>
    <row r="65542" s="12" customFormat="1" x14ac:dyDescent="0.25"/>
    <row r="65543" s="12" customFormat="1" x14ac:dyDescent="0.25"/>
    <row r="65544" s="12" customFormat="1" x14ac:dyDescent="0.25"/>
    <row r="65545" s="12" customFormat="1" x14ac:dyDescent="0.25"/>
    <row r="65546" s="12" customFormat="1" x14ac:dyDescent="0.25"/>
    <row r="65547" s="12" customFormat="1" x14ac:dyDescent="0.25"/>
    <row r="65548" s="12" customFormat="1" x14ac:dyDescent="0.25"/>
    <row r="65549" s="12" customFormat="1" x14ac:dyDescent="0.25"/>
    <row r="65550" s="12" customFormat="1" x14ac:dyDescent="0.25"/>
    <row r="65551" s="12" customFormat="1" x14ac:dyDescent="0.25"/>
    <row r="65552" s="12" customFormat="1" x14ac:dyDescent="0.25"/>
    <row r="65553" s="12" customFormat="1" x14ac:dyDescent="0.25"/>
    <row r="65554" s="12" customFormat="1" x14ac:dyDescent="0.25"/>
    <row r="65555" s="12" customFormat="1" x14ac:dyDescent="0.25"/>
    <row r="65556" s="12" customFormat="1" x14ac:dyDescent="0.25"/>
    <row r="65557" s="12" customFormat="1" x14ac:dyDescent="0.25"/>
    <row r="65558" s="12" customFormat="1" x14ac:dyDescent="0.25"/>
    <row r="65559" s="12" customFormat="1" x14ac:dyDescent="0.25"/>
    <row r="65560" s="12" customFormat="1" x14ac:dyDescent="0.25"/>
    <row r="65561" s="12" customFormat="1" x14ac:dyDescent="0.25"/>
    <row r="65562" s="12" customFormat="1" x14ac:dyDescent="0.25"/>
    <row r="65563" s="12" customFormat="1" x14ac:dyDescent="0.25"/>
    <row r="65564" s="12" customFormat="1" x14ac:dyDescent="0.25"/>
    <row r="65565" s="12" customFormat="1" x14ac:dyDescent="0.25"/>
    <row r="65566" s="12" customFormat="1" x14ac:dyDescent="0.25"/>
    <row r="65567" s="12" customFormat="1" x14ac:dyDescent="0.25"/>
    <row r="65568" s="12" customFormat="1" x14ac:dyDescent="0.25"/>
    <row r="65569" s="12" customFormat="1" x14ac:dyDescent="0.25"/>
    <row r="65570" s="12" customFormat="1" x14ac:dyDescent="0.25"/>
    <row r="65571" s="12" customFormat="1" x14ac:dyDescent="0.25"/>
    <row r="65572" s="12" customFormat="1" x14ac:dyDescent="0.25"/>
    <row r="65573" s="12" customFormat="1" x14ac:dyDescent="0.25"/>
    <row r="65574" s="12" customFormat="1" x14ac:dyDescent="0.25"/>
    <row r="65575" s="12" customFormat="1" x14ac:dyDescent="0.25"/>
    <row r="65576" s="12" customFormat="1" x14ac:dyDescent="0.25"/>
    <row r="65577" s="12" customFormat="1" x14ac:dyDescent="0.25"/>
    <row r="65578" s="12" customFormat="1" x14ac:dyDescent="0.25"/>
    <row r="65579" s="12" customFormat="1" x14ac:dyDescent="0.25"/>
    <row r="65580" s="12" customFormat="1" x14ac:dyDescent="0.25"/>
    <row r="65581" s="12" customFormat="1" x14ac:dyDescent="0.25"/>
    <row r="65582" s="12" customFormat="1" x14ac:dyDescent="0.25"/>
    <row r="65583" s="12" customFormat="1" x14ac:dyDescent="0.25"/>
    <row r="65584" s="12" customFormat="1" x14ac:dyDescent="0.25"/>
    <row r="65585" s="12" customFormat="1" x14ac:dyDescent="0.25"/>
    <row r="65586" s="12" customFormat="1" x14ac:dyDescent="0.25"/>
    <row r="65587" s="12" customFormat="1" x14ac:dyDescent="0.25"/>
    <row r="65588" s="12" customFormat="1" x14ac:dyDescent="0.25"/>
    <row r="65589" s="12" customFormat="1" x14ac:dyDescent="0.25"/>
    <row r="65590" s="12" customFormat="1" x14ac:dyDescent="0.25"/>
    <row r="65591" s="12" customFormat="1" x14ac:dyDescent="0.25"/>
    <row r="65592" s="12" customFormat="1" x14ac:dyDescent="0.25"/>
    <row r="65593" s="12" customFormat="1" x14ac:dyDescent="0.25"/>
    <row r="65594" s="12" customFormat="1" x14ac:dyDescent="0.25"/>
    <row r="65595" s="12" customFormat="1" x14ac:dyDescent="0.25"/>
    <row r="65596" s="12" customFormat="1" x14ac:dyDescent="0.25"/>
    <row r="65597" s="12" customFormat="1" x14ac:dyDescent="0.25"/>
    <row r="65598" s="12" customFormat="1" x14ac:dyDescent="0.25"/>
    <row r="65599" s="12" customFormat="1" x14ac:dyDescent="0.25"/>
    <row r="65600" s="12" customFormat="1" x14ac:dyDescent="0.25"/>
    <row r="65601" s="12" customFormat="1" x14ac:dyDescent="0.25"/>
    <row r="65602" s="12" customFormat="1" x14ac:dyDescent="0.25"/>
    <row r="65603" s="12" customFormat="1" x14ac:dyDescent="0.25"/>
    <row r="65604" s="12" customFormat="1" x14ac:dyDescent="0.25"/>
    <row r="65605" s="12" customFormat="1" x14ac:dyDescent="0.25"/>
    <row r="65606" s="12" customFormat="1" x14ac:dyDescent="0.25"/>
    <row r="65607" s="12" customFormat="1" x14ac:dyDescent="0.25"/>
    <row r="65608" s="12" customFormat="1" x14ac:dyDescent="0.25"/>
    <row r="65609" s="12" customFormat="1" x14ac:dyDescent="0.25"/>
    <row r="65610" s="12" customFormat="1" x14ac:dyDescent="0.25"/>
    <row r="65611" s="12" customFormat="1" x14ac:dyDescent="0.25"/>
    <row r="65612" s="12" customFormat="1" x14ac:dyDescent="0.25"/>
    <row r="65613" s="12" customFormat="1" x14ac:dyDescent="0.25"/>
    <row r="65614" s="12" customFormat="1" x14ac:dyDescent="0.25"/>
    <row r="65615" s="12" customFormat="1" x14ac:dyDescent="0.25"/>
    <row r="65616" s="12" customFormat="1" x14ac:dyDescent="0.25"/>
    <row r="65617" s="12" customFormat="1" x14ac:dyDescent="0.25"/>
    <row r="65618" s="12" customFormat="1" x14ac:dyDescent="0.25"/>
    <row r="65619" s="12" customFormat="1" x14ac:dyDescent="0.25"/>
    <row r="65620" s="12" customFormat="1" x14ac:dyDescent="0.25"/>
    <row r="65621" s="12" customFormat="1" x14ac:dyDescent="0.25"/>
    <row r="65622" s="12" customFormat="1" x14ac:dyDescent="0.25"/>
    <row r="65623" s="12" customFormat="1" x14ac:dyDescent="0.25"/>
    <row r="65624" s="12" customFormat="1" x14ac:dyDescent="0.25"/>
    <row r="65625" s="12" customFormat="1" x14ac:dyDescent="0.25"/>
    <row r="65626" s="12" customFormat="1" x14ac:dyDescent="0.25"/>
    <row r="65627" s="12" customFormat="1" x14ac:dyDescent="0.25"/>
    <row r="65628" s="12" customFormat="1" x14ac:dyDescent="0.25"/>
    <row r="65629" s="12" customFormat="1" x14ac:dyDescent="0.25"/>
    <row r="65630" s="12" customFormat="1" x14ac:dyDescent="0.25"/>
    <row r="65631" s="12" customFormat="1" x14ac:dyDescent="0.25"/>
    <row r="65632" s="12" customFormat="1" x14ac:dyDescent="0.25"/>
    <row r="65633" s="12" customFormat="1" x14ac:dyDescent="0.25"/>
    <row r="65634" s="12" customFormat="1" x14ac:dyDescent="0.25"/>
    <row r="65635" s="12" customFormat="1" x14ac:dyDescent="0.25"/>
    <row r="65636" s="12" customFormat="1" x14ac:dyDescent="0.25"/>
    <row r="65637" s="12" customFormat="1" x14ac:dyDescent="0.25"/>
    <row r="65638" s="12" customFormat="1" x14ac:dyDescent="0.25"/>
    <row r="65639" s="12" customFormat="1" x14ac:dyDescent="0.25"/>
    <row r="65640" s="12" customFormat="1" x14ac:dyDescent="0.25"/>
    <row r="65641" s="12" customFormat="1" x14ac:dyDescent="0.25"/>
    <row r="65642" s="12" customFormat="1" x14ac:dyDescent="0.25"/>
    <row r="65643" s="12" customFormat="1" x14ac:dyDescent="0.25"/>
    <row r="65644" s="12" customFormat="1" x14ac:dyDescent="0.25"/>
    <row r="65645" s="12" customFormat="1" x14ac:dyDescent="0.25"/>
    <row r="65646" s="12" customFormat="1" x14ac:dyDescent="0.25"/>
    <row r="65647" s="12" customFormat="1" x14ac:dyDescent="0.25"/>
    <row r="65648" s="12" customFormat="1" x14ac:dyDescent="0.25"/>
    <row r="65649" s="12" customFormat="1" x14ac:dyDescent="0.25"/>
    <row r="65650" s="12" customFormat="1" x14ac:dyDescent="0.25"/>
    <row r="65651" s="12" customFormat="1" x14ac:dyDescent="0.25"/>
    <row r="65652" s="12" customFormat="1" x14ac:dyDescent="0.25"/>
    <row r="65653" s="12" customFormat="1" x14ac:dyDescent="0.25"/>
    <row r="65654" s="12" customFormat="1" x14ac:dyDescent="0.25"/>
    <row r="65655" s="12" customFormat="1" x14ac:dyDescent="0.25"/>
    <row r="65656" s="12" customFormat="1" x14ac:dyDescent="0.25"/>
    <row r="65657" s="12" customFormat="1" x14ac:dyDescent="0.25"/>
    <row r="65658" s="12" customFormat="1" x14ac:dyDescent="0.25"/>
    <row r="65659" s="12" customFormat="1" x14ac:dyDescent="0.25"/>
    <row r="65660" s="12" customFormat="1" x14ac:dyDescent="0.25"/>
    <row r="65661" s="12" customFormat="1" x14ac:dyDescent="0.25"/>
    <row r="65662" s="12" customFormat="1" x14ac:dyDescent="0.25"/>
    <row r="65663" s="12" customFormat="1" x14ac:dyDescent="0.25"/>
    <row r="65664" s="12" customFormat="1" x14ac:dyDescent="0.25"/>
    <row r="65665" s="12" customFormat="1" x14ac:dyDescent="0.25"/>
    <row r="65666" s="12" customFormat="1" x14ac:dyDescent="0.25"/>
    <row r="65667" s="12" customFormat="1" x14ac:dyDescent="0.25"/>
    <row r="65668" s="12" customFormat="1" x14ac:dyDescent="0.25"/>
    <row r="65669" s="12" customFormat="1" x14ac:dyDescent="0.25"/>
    <row r="65670" s="12" customFormat="1" x14ac:dyDescent="0.25"/>
    <row r="65671" s="12" customFormat="1" x14ac:dyDescent="0.25"/>
    <row r="65672" s="12" customFormat="1" x14ac:dyDescent="0.25"/>
    <row r="65673" s="12" customFormat="1" x14ac:dyDescent="0.25"/>
    <row r="65674" s="12" customFormat="1" x14ac:dyDescent="0.25"/>
    <row r="65675" s="12" customFormat="1" x14ac:dyDescent="0.25"/>
    <row r="65676" s="12" customFormat="1" x14ac:dyDescent="0.25"/>
    <row r="65677" s="12" customFormat="1" x14ac:dyDescent="0.25"/>
    <row r="65678" s="12" customFormat="1" x14ac:dyDescent="0.25"/>
    <row r="65679" s="12" customFormat="1" x14ac:dyDescent="0.25"/>
    <row r="65680" s="12" customFormat="1" x14ac:dyDescent="0.25"/>
    <row r="65681" s="12" customFormat="1" x14ac:dyDescent="0.25"/>
    <row r="65682" s="12" customFormat="1" x14ac:dyDescent="0.25"/>
    <row r="65683" s="12" customFormat="1" x14ac:dyDescent="0.25"/>
    <row r="65684" s="12" customFormat="1" x14ac:dyDescent="0.25"/>
    <row r="65685" s="12" customFormat="1" x14ac:dyDescent="0.25"/>
    <row r="65686" s="12" customFormat="1" x14ac:dyDescent="0.25"/>
    <row r="65687" s="12" customFormat="1" x14ac:dyDescent="0.25"/>
    <row r="65688" s="12" customFormat="1" x14ac:dyDescent="0.25"/>
    <row r="65689" s="12" customFormat="1" x14ac:dyDescent="0.25"/>
    <row r="65690" s="12" customFormat="1" x14ac:dyDescent="0.25"/>
    <row r="65691" s="12" customFormat="1" x14ac:dyDescent="0.25"/>
    <row r="65692" s="12" customFormat="1" x14ac:dyDescent="0.25"/>
    <row r="65693" s="12" customFormat="1" x14ac:dyDescent="0.25"/>
    <row r="65694" s="12" customFormat="1" x14ac:dyDescent="0.25"/>
    <row r="65695" s="12" customFormat="1" x14ac:dyDescent="0.25"/>
    <row r="65696" s="12" customFormat="1" x14ac:dyDescent="0.25"/>
    <row r="65697" s="12" customFormat="1" x14ac:dyDescent="0.25"/>
    <row r="65698" s="12" customFormat="1" x14ac:dyDescent="0.25"/>
    <row r="65699" s="12" customFormat="1" x14ac:dyDescent="0.25"/>
    <row r="65700" s="12" customFormat="1" x14ac:dyDescent="0.25"/>
    <row r="65701" s="12" customFormat="1" x14ac:dyDescent="0.25"/>
    <row r="65702" s="12" customFormat="1" x14ac:dyDescent="0.25"/>
    <row r="65703" s="12" customFormat="1" x14ac:dyDescent="0.25"/>
    <row r="65704" s="12" customFormat="1" x14ac:dyDescent="0.25"/>
    <row r="65705" s="12" customFormat="1" x14ac:dyDescent="0.25"/>
    <row r="65706" s="12" customFormat="1" x14ac:dyDescent="0.25"/>
    <row r="65707" s="12" customFormat="1" x14ac:dyDescent="0.25"/>
    <row r="65708" s="12" customFormat="1" x14ac:dyDescent="0.25"/>
    <row r="65709" s="12" customFormat="1" x14ac:dyDescent="0.25"/>
    <row r="65710" s="12" customFormat="1" x14ac:dyDescent="0.25"/>
    <row r="65711" s="12" customFormat="1" x14ac:dyDescent="0.25"/>
    <row r="65712" s="12" customFormat="1" x14ac:dyDescent="0.25"/>
    <row r="65713" s="12" customFormat="1" x14ac:dyDescent="0.25"/>
    <row r="65714" s="12" customFormat="1" x14ac:dyDescent="0.25"/>
    <row r="65715" s="12" customFormat="1" x14ac:dyDescent="0.25"/>
    <row r="65716" s="12" customFormat="1" x14ac:dyDescent="0.25"/>
    <row r="65717" s="12" customFormat="1" x14ac:dyDescent="0.25"/>
    <row r="65718" s="12" customFormat="1" x14ac:dyDescent="0.25"/>
    <row r="65719" s="12" customFormat="1" x14ac:dyDescent="0.25"/>
    <row r="65720" s="12" customFormat="1" x14ac:dyDescent="0.25"/>
    <row r="65721" s="12" customFormat="1" x14ac:dyDescent="0.25"/>
    <row r="65722" s="12" customFormat="1" x14ac:dyDescent="0.25"/>
    <row r="65723" s="12" customFormat="1" x14ac:dyDescent="0.25"/>
    <row r="65724" s="12" customFormat="1" x14ac:dyDescent="0.25"/>
    <row r="65725" s="12" customFormat="1" x14ac:dyDescent="0.25"/>
    <row r="65726" s="12" customFormat="1" x14ac:dyDescent="0.25"/>
    <row r="65727" s="12" customFormat="1" x14ac:dyDescent="0.25"/>
    <row r="65728" s="12" customFormat="1" x14ac:dyDescent="0.25"/>
    <row r="65729" s="12" customFormat="1" x14ac:dyDescent="0.25"/>
    <row r="65730" s="12" customFormat="1" x14ac:dyDescent="0.25"/>
    <row r="65731" s="12" customFormat="1" x14ac:dyDescent="0.25"/>
    <row r="65732" s="12" customFormat="1" x14ac:dyDescent="0.25"/>
    <row r="65733" s="12" customFormat="1" x14ac:dyDescent="0.25"/>
    <row r="65734" s="12" customFormat="1" x14ac:dyDescent="0.25"/>
    <row r="65735" s="12" customFormat="1" x14ac:dyDescent="0.25"/>
    <row r="65736" s="12" customFormat="1" x14ac:dyDescent="0.25"/>
    <row r="65737" s="12" customFormat="1" x14ac:dyDescent="0.25"/>
    <row r="65738" s="12" customFormat="1" x14ac:dyDescent="0.25"/>
    <row r="65739" s="12" customFormat="1" x14ac:dyDescent="0.25"/>
    <row r="65740" s="12" customFormat="1" x14ac:dyDescent="0.25"/>
    <row r="65741" s="12" customFormat="1" x14ac:dyDescent="0.25"/>
    <row r="65742" s="12" customFormat="1" x14ac:dyDescent="0.25"/>
    <row r="65743" s="12" customFormat="1" x14ac:dyDescent="0.25"/>
    <row r="65744" s="12" customFormat="1" x14ac:dyDescent="0.25"/>
    <row r="65745" s="12" customFormat="1" x14ac:dyDescent="0.25"/>
    <row r="65746" s="12" customFormat="1" x14ac:dyDescent="0.25"/>
    <row r="65747" s="12" customFormat="1" x14ac:dyDescent="0.25"/>
    <row r="65748" s="12" customFormat="1" x14ac:dyDescent="0.25"/>
    <row r="65749" s="12" customFormat="1" x14ac:dyDescent="0.25"/>
    <row r="65750" s="12" customFormat="1" x14ac:dyDescent="0.25"/>
    <row r="65751" s="12" customFormat="1" x14ac:dyDescent="0.25"/>
    <row r="65752" s="12" customFormat="1" x14ac:dyDescent="0.25"/>
    <row r="65753" s="12" customFormat="1" x14ac:dyDescent="0.25"/>
    <row r="65754" s="12" customFormat="1" x14ac:dyDescent="0.25"/>
    <row r="65755" s="12" customFormat="1" x14ac:dyDescent="0.25"/>
    <row r="65756" s="12" customFormat="1" x14ac:dyDescent="0.25"/>
    <row r="65757" s="12" customFormat="1" x14ac:dyDescent="0.25"/>
    <row r="65758" s="12" customFormat="1" x14ac:dyDescent="0.25"/>
    <row r="65759" s="12" customFormat="1" x14ac:dyDescent="0.25"/>
    <row r="65760" s="12" customFormat="1" x14ac:dyDescent="0.25"/>
    <row r="65761" s="12" customFormat="1" x14ac:dyDescent="0.25"/>
    <row r="65762" s="12" customFormat="1" x14ac:dyDescent="0.25"/>
    <row r="65763" s="12" customFormat="1" x14ac:dyDescent="0.25"/>
    <row r="65764" s="12" customFormat="1" x14ac:dyDescent="0.25"/>
    <row r="65765" s="12" customFormat="1" x14ac:dyDescent="0.25"/>
    <row r="65766" s="12" customFormat="1" x14ac:dyDescent="0.25"/>
    <row r="65767" s="12" customFormat="1" x14ac:dyDescent="0.25"/>
    <row r="65768" s="12" customFormat="1" x14ac:dyDescent="0.25"/>
    <row r="65769" s="12" customFormat="1" x14ac:dyDescent="0.25"/>
    <row r="65770" s="12" customFormat="1" x14ac:dyDescent="0.25"/>
    <row r="65771" s="12" customFormat="1" x14ac:dyDescent="0.25"/>
    <row r="65772" s="12" customFormat="1" x14ac:dyDescent="0.25"/>
    <row r="65773" s="12" customFormat="1" x14ac:dyDescent="0.25"/>
    <row r="65774" s="12" customFormat="1" x14ac:dyDescent="0.25"/>
    <row r="65775" s="12" customFormat="1" x14ac:dyDescent="0.25"/>
    <row r="65776" s="12" customFormat="1" x14ac:dyDescent="0.25"/>
    <row r="65777" s="12" customFormat="1" x14ac:dyDescent="0.25"/>
    <row r="65778" s="12" customFormat="1" x14ac:dyDescent="0.25"/>
    <row r="65779" s="12" customFormat="1" x14ac:dyDescent="0.25"/>
    <row r="65780" s="12" customFormat="1" x14ac:dyDescent="0.25"/>
    <row r="65781" s="12" customFormat="1" x14ac:dyDescent="0.25"/>
    <row r="65782" s="12" customFormat="1" x14ac:dyDescent="0.25"/>
    <row r="65783" s="12" customFormat="1" x14ac:dyDescent="0.25"/>
    <row r="65784" s="12" customFormat="1" x14ac:dyDescent="0.25"/>
    <row r="65785" s="12" customFormat="1" x14ac:dyDescent="0.25"/>
    <row r="65786" s="12" customFormat="1" x14ac:dyDescent="0.25"/>
    <row r="65787" s="12" customFormat="1" x14ac:dyDescent="0.25"/>
    <row r="65788" s="12" customFormat="1" x14ac:dyDescent="0.25"/>
    <row r="65789" s="12" customFormat="1" x14ac:dyDescent="0.25"/>
    <row r="65790" s="12" customFormat="1" x14ac:dyDescent="0.25"/>
    <row r="65791" s="12" customFormat="1" x14ac:dyDescent="0.25"/>
    <row r="65792" s="12" customFormat="1" x14ac:dyDescent="0.25"/>
    <row r="65793" s="12" customFormat="1" x14ac:dyDescent="0.25"/>
    <row r="65794" s="12" customFormat="1" x14ac:dyDescent="0.25"/>
    <row r="65795" s="12" customFormat="1" x14ac:dyDescent="0.25"/>
    <row r="65796" s="12" customFormat="1" x14ac:dyDescent="0.25"/>
    <row r="65797" s="12" customFormat="1" x14ac:dyDescent="0.25"/>
    <row r="65798" s="12" customFormat="1" x14ac:dyDescent="0.25"/>
    <row r="65799" s="12" customFormat="1" x14ac:dyDescent="0.25"/>
    <row r="65800" s="12" customFormat="1" x14ac:dyDescent="0.25"/>
    <row r="65801" s="12" customFormat="1" x14ac:dyDescent="0.25"/>
    <row r="65802" s="12" customFormat="1" x14ac:dyDescent="0.25"/>
    <row r="65803" s="12" customFormat="1" x14ac:dyDescent="0.25"/>
    <row r="65804" s="12" customFormat="1" x14ac:dyDescent="0.25"/>
    <row r="65805" s="12" customFormat="1" x14ac:dyDescent="0.25"/>
    <row r="65806" s="12" customFormat="1" x14ac:dyDescent="0.25"/>
    <row r="65807" s="12" customFormat="1" x14ac:dyDescent="0.25"/>
    <row r="65808" s="12" customFormat="1" x14ac:dyDescent="0.25"/>
    <row r="65809" s="12" customFormat="1" x14ac:dyDescent="0.25"/>
    <row r="65810" s="12" customFormat="1" x14ac:dyDescent="0.25"/>
    <row r="65811" s="12" customFormat="1" x14ac:dyDescent="0.25"/>
    <row r="65812" s="12" customFormat="1" x14ac:dyDescent="0.25"/>
    <row r="65813" s="12" customFormat="1" x14ac:dyDescent="0.25"/>
    <row r="65814" s="12" customFormat="1" x14ac:dyDescent="0.25"/>
    <row r="65815" s="12" customFormat="1" x14ac:dyDescent="0.25"/>
    <row r="65816" s="12" customFormat="1" x14ac:dyDescent="0.25"/>
    <row r="65817" s="12" customFormat="1" x14ac:dyDescent="0.25"/>
    <row r="65818" s="12" customFormat="1" x14ac:dyDescent="0.25"/>
    <row r="65819" s="12" customFormat="1" x14ac:dyDescent="0.25"/>
    <row r="65820" s="12" customFormat="1" x14ac:dyDescent="0.25"/>
    <row r="65821" s="12" customFormat="1" x14ac:dyDescent="0.25"/>
    <row r="65822" s="12" customFormat="1" x14ac:dyDescent="0.25"/>
    <row r="65823" s="12" customFormat="1" x14ac:dyDescent="0.25"/>
    <row r="65824" s="12" customFormat="1" x14ac:dyDescent="0.25"/>
    <row r="65825" s="12" customFormat="1" x14ac:dyDescent="0.25"/>
    <row r="65826" s="12" customFormat="1" x14ac:dyDescent="0.25"/>
    <row r="65827" s="12" customFormat="1" x14ac:dyDescent="0.25"/>
    <row r="65828" s="12" customFormat="1" x14ac:dyDescent="0.25"/>
    <row r="65829" s="12" customFormat="1" x14ac:dyDescent="0.25"/>
    <row r="65830" s="12" customFormat="1" x14ac:dyDescent="0.25"/>
    <row r="65831" s="12" customFormat="1" x14ac:dyDescent="0.25"/>
    <row r="65832" s="12" customFormat="1" x14ac:dyDescent="0.25"/>
    <row r="65833" s="12" customFormat="1" x14ac:dyDescent="0.25"/>
    <row r="65834" s="12" customFormat="1" x14ac:dyDescent="0.25"/>
    <row r="65835" s="12" customFormat="1" x14ac:dyDescent="0.25"/>
    <row r="65836" s="12" customFormat="1" x14ac:dyDescent="0.25"/>
    <row r="65837" s="12" customFormat="1" x14ac:dyDescent="0.25"/>
    <row r="65838" s="12" customFormat="1" x14ac:dyDescent="0.25"/>
    <row r="65839" s="12" customFormat="1" x14ac:dyDescent="0.25"/>
    <row r="65840" s="12" customFormat="1" x14ac:dyDescent="0.25"/>
    <row r="65841" s="12" customFormat="1" x14ac:dyDescent="0.25"/>
    <row r="65842" s="12" customFormat="1" x14ac:dyDescent="0.25"/>
    <row r="65843" s="12" customFormat="1" x14ac:dyDescent="0.25"/>
    <row r="65844" s="12" customFormat="1" x14ac:dyDescent="0.25"/>
    <row r="65845" s="12" customFormat="1" x14ac:dyDescent="0.25"/>
    <row r="65846" s="12" customFormat="1" x14ac:dyDescent="0.25"/>
    <row r="65847" s="12" customFormat="1" x14ac:dyDescent="0.25"/>
    <row r="65848" s="12" customFormat="1" x14ac:dyDescent="0.25"/>
    <row r="65849" s="12" customFormat="1" x14ac:dyDescent="0.25"/>
    <row r="65850" s="12" customFormat="1" x14ac:dyDescent="0.25"/>
    <row r="65851" s="12" customFormat="1" x14ac:dyDescent="0.25"/>
    <row r="65852" s="12" customFormat="1" x14ac:dyDescent="0.25"/>
    <row r="65853" s="12" customFormat="1" x14ac:dyDescent="0.25"/>
    <row r="65854" s="12" customFormat="1" x14ac:dyDescent="0.25"/>
    <row r="65855" s="12" customFormat="1" x14ac:dyDescent="0.25"/>
    <row r="65856" s="12" customFormat="1" x14ac:dyDescent="0.25"/>
    <row r="65857" s="12" customFormat="1" x14ac:dyDescent="0.25"/>
    <row r="65858" s="12" customFormat="1" x14ac:dyDescent="0.25"/>
    <row r="65859" s="12" customFormat="1" x14ac:dyDescent="0.25"/>
    <row r="65860" s="12" customFormat="1" x14ac:dyDescent="0.25"/>
    <row r="65861" s="12" customFormat="1" x14ac:dyDescent="0.25"/>
    <row r="65862" s="12" customFormat="1" x14ac:dyDescent="0.25"/>
    <row r="65863" s="12" customFormat="1" x14ac:dyDescent="0.25"/>
    <row r="65864" s="12" customFormat="1" x14ac:dyDescent="0.25"/>
    <row r="65865" s="12" customFormat="1" x14ac:dyDescent="0.25"/>
    <row r="65866" s="12" customFormat="1" x14ac:dyDescent="0.25"/>
    <row r="65867" s="12" customFormat="1" x14ac:dyDescent="0.25"/>
    <row r="65868" s="12" customFormat="1" x14ac:dyDescent="0.25"/>
    <row r="65869" s="12" customFormat="1" x14ac:dyDescent="0.25"/>
    <row r="65870" s="12" customFormat="1" x14ac:dyDescent="0.25"/>
    <row r="65871" s="12" customFormat="1" x14ac:dyDescent="0.25"/>
    <row r="65872" s="12" customFormat="1" x14ac:dyDescent="0.25"/>
    <row r="65873" s="12" customFormat="1" x14ac:dyDescent="0.25"/>
    <row r="65874" s="12" customFormat="1" x14ac:dyDescent="0.25"/>
    <row r="65875" s="12" customFormat="1" x14ac:dyDescent="0.25"/>
    <row r="65876" s="12" customFormat="1" x14ac:dyDescent="0.25"/>
    <row r="65877" s="12" customFormat="1" x14ac:dyDescent="0.25"/>
    <row r="65878" s="12" customFormat="1" x14ac:dyDescent="0.25"/>
    <row r="65879" s="12" customFormat="1" x14ac:dyDescent="0.25"/>
    <row r="65880" s="12" customFormat="1" x14ac:dyDescent="0.25"/>
    <row r="65881" s="12" customFormat="1" x14ac:dyDescent="0.25"/>
    <row r="65882" s="12" customFormat="1" x14ac:dyDescent="0.25"/>
    <row r="65883" s="12" customFormat="1" x14ac:dyDescent="0.25"/>
    <row r="65884" s="12" customFormat="1" x14ac:dyDescent="0.25"/>
    <row r="65885" s="12" customFormat="1" x14ac:dyDescent="0.25"/>
    <row r="65886" s="12" customFormat="1" x14ac:dyDescent="0.25"/>
    <row r="65887" s="12" customFormat="1" x14ac:dyDescent="0.25"/>
    <row r="65888" s="12" customFormat="1" x14ac:dyDescent="0.25"/>
    <row r="65889" s="12" customFormat="1" x14ac:dyDescent="0.25"/>
    <row r="65890" s="12" customFormat="1" x14ac:dyDescent="0.25"/>
    <row r="65891" s="12" customFormat="1" x14ac:dyDescent="0.25"/>
    <row r="65892" s="12" customFormat="1" x14ac:dyDescent="0.25"/>
    <row r="65893" s="12" customFormat="1" x14ac:dyDescent="0.25"/>
    <row r="65894" s="12" customFormat="1" x14ac:dyDescent="0.25"/>
    <row r="65895" s="12" customFormat="1" x14ac:dyDescent="0.25"/>
    <row r="65896" s="12" customFormat="1" x14ac:dyDescent="0.25"/>
    <row r="65897" s="12" customFormat="1" x14ac:dyDescent="0.25"/>
    <row r="65898" s="12" customFormat="1" x14ac:dyDescent="0.25"/>
    <row r="65899" s="12" customFormat="1" x14ac:dyDescent="0.25"/>
    <row r="65900" s="12" customFormat="1" x14ac:dyDescent="0.25"/>
    <row r="65901" s="12" customFormat="1" x14ac:dyDescent="0.25"/>
    <row r="65902" s="12" customFormat="1" x14ac:dyDescent="0.25"/>
    <row r="65903" s="12" customFormat="1" x14ac:dyDescent="0.25"/>
    <row r="65904" s="12" customFormat="1" x14ac:dyDescent="0.25"/>
    <row r="65905" s="12" customFormat="1" x14ac:dyDescent="0.25"/>
    <row r="65906" s="12" customFormat="1" x14ac:dyDescent="0.25"/>
    <row r="65907" s="12" customFormat="1" x14ac:dyDescent="0.25"/>
    <row r="65908" s="12" customFormat="1" x14ac:dyDescent="0.25"/>
    <row r="65909" s="12" customFormat="1" x14ac:dyDescent="0.25"/>
    <row r="65910" s="12" customFormat="1" x14ac:dyDescent="0.25"/>
    <row r="65911" s="12" customFormat="1" x14ac:dyDescent="0.25"/>
    <row r="65912" s="12" customFormat="1" x14ac:dyDescent="0.25"/>
    <row r="65913" s="12" customFormat="1" x14ac:dyDescent="0.25"/>
    <row r="65914" s="12" customFormat="1" x14ac:dyDescent="0.25"/>
    <row r="65915" s="12" customFormat="1" x14ac:dyDescent="0.25"/>
    <row r="65916" s="12" customFormat="1" x14ac:dyDescent="0.25"/>
    <row r="65917" s="12" customFormat="1" x14ac:dyDescent="0.25"/>
    <row r="65918" s="12" customFormat="1" x14ac:dyDescent="0.25"/>
    <row r="65919" s="12" customFormat="1" x14ac:dyDescent="0.25"/>
    <row r="65920" s="12" customFormat="1" x14ac:dyDescent="0.25"/>
    <row r="65921" s="12" customFormat="1" x14ac:dyDescent="0.25"/>
    <row r="65922" s="12" customFormat="1" x14ac:dyDescent="0.25"/>
    <row r="65923" s="12" customFormat="1" x14ac:dyDescent="0.25"/>
    <row r="65924" s="12" customFormat="1" x14ac:dyDescent="0.25"/>
    <row r="65925" s="12" customFormat="1" x14ac:dyDescent="0.25"/>
    <row r="65926" s="12" customFormat="1" x14ac:dyDescent="0.25"/>
    <row r="65927" s="12" customFormat="1" x14ac:dyDescent="0.25"/>
    <row r="65928" s="12" customFormat="1" x14ac:dyDescent="0.25"/>
    <row r="65929" s="12" customFormat="1" x14ac:dyDescent="0.25"/>
    <row r="65930" s="12" customFormat="1" x14ac:dyDescent="0.25"/>
    <row r="65931" s="12" customFormat="1" x14ac:dyDescent="0.25"/>
    <row r="65932" s="12" customFormat="1" x14ac:dyDescent="0.25"/>
    <row r="65933" s="12" customFormat="1" x14ac:dyDescent="0.25"/>
    <row r="65934" s="12" customFormat="1" x14ac:dyDescent="0.25"/>
    <row r="65935" s="12" customFormat="1" x14ac:dyDescent="0.25"/>
    <row r="65936" s="12" customFormat="1" x14ac:dyDescent="0.25"/>
    <row r="65937" s="12" customFormat="1" x14ac:dyDescent="0.25"/>
    <row r="65938" s="12" customFormat="1" x14ac:dyDescent="0.25"/>
    <row r="65939" s="12" customFormat="1" x14ac:dyDescent="0.25"/>
    <row r="65940" s="12" customFormat="1" x14ac:dyDescent="0.25"/>
    <row r="65941" s="12" customFormat="1" x14ac:dyDescent="0.25"/>
    <row r="65942" s="12" customFormat="1" x14ac:dyDescent="0.25"/>
    <row r="65943" s="12" customFormat="1" x14ac:dyDescent="0.25"/>
    <row r="65944" s="12" customFormat="1" x14ac:dyDescent="0.25"/>
    <row r="65945" s="12" customFormat="1" x14ac:dyDescent="0.25"/>
    <row r="65946" s="12" customFormat="1" x14ac:dyDescent="0.25"/>
    <row r="65947" s="12" customFormat="1" x14ac:dyDescent="0.25"/>
    <row r="65948" s="12" customFormat="1" x14ac:dyDescent="0.25"/>
    <row r="65949" s="12" customFormat="1" x14ac:dyDescent="0.25"/>
    <row r="65950" s="12" customFormat="1" x14ac:dyDescent="0.25"/>
    <row r="65951" s="12" customFormat="1" x14ac:dyDescent="0.25"/>
    <row r="65952" s="12" customFormat="1" x14ac:dyDescent="0.25"/>
    <row r="65953" s="12" customFormat="1" x14ac:dyDescent="0.25"/>
    <row r="65954" s="12" customFormat="1" x14ac:dyDescent="0.25"/>
    <row r="65955" s="12" customFormat="1" x14ac:dyDescent="0.25"/>
    <row r="65956" s="12" customFormat="1" x14ac:dyDescent="0.25"/>
    <row r="65957" s="12" customFormat="1" x14ac:dyDescent="0.25"/>
    <row r="65958" s="12" customFormat="1" x14ac:dyDescent="0.25"/>
    <row r="65959" s="12" customFormat="1" x14ac:dyDescent="0.25"/>
    <row r="65960" s="12" customFormat="1" x14ac:dyDescent="0.25"/>
    <row r="65961" s="12" customFormat="1" x14ac:dyDescent="0.25"/>
    <row r="65962" s="12" customFormat="1" x14ac:dyDescent="0.25"/>
    <row r="65963" s="12" customFormat="1" x14ac:dyDescent="0.25"/>
    <row r="65964" s="12" customFormat="1" x14ac:dyDescent="0.25"/>
    <row r="65965" s="12" customFormat="1" x14ac:dyDescent="0.25"/>
    <row r="65966" s="12" customFormat="1" x14ac:dyDescent="0.25"/>
    <row r="65967" s="12" customFormat="1" x14ac:dyDescent="0.25"/>
    <row r="65968" s="12" customFormat="1" x14ac:dyDescent="0.25"/>
    <row r="65969" s="12" customFormat="1" x14ac:dyDescent="0.25"/>
    <row r="65970" s="12" customFormat="1" x14ac:dyDescent="0.25"/>
    <row r="65971" s="12" customFormat="1" x14ac:dyDescent="0.25"/>
    <row r="65972" s="12" customFormat="1" x14ac:dyDescent="0.25"/>
    <row r="65973" s="12" customFormat="1" x14ac:dyDescent="0.25"/>
    <row r="65974" s="12" customFormat="1" x14ac:dyDescent="0.25"/>
    <row r="65975" s="12" customFormat="1" x14ac:dyDescent="0.25"/>
    <row r="65976" s="12" customFormat="1" x14ac:dyDescent="0.25"/>
    <row r="65977" s="12" customFormat="1" x14ac:dyDescent="0.25"/>
    <row r="65978" s="12" customFormat="1" x14ac:dyDescent="0.25"/>
    <row r="65979" s="12" customFormat="1" x14ac:dyDescent="0.25"/>
    <row r="65980" s="12" customFormat="1" x14ac:dyDescent="0.25"/>
    <row r="65981" s="12" customFormat="1" x14ac:dyDescent="0.25"/>
    <row r="65982" s="12" customFormat="1" x14ac:dyDescent="0.25"/>
    <row r="65983" s="12" customFormat="1" x14ac:dyDescent="0.25"/>
    <row r="65984" s="12" customFormat="1" x14ac:dyDescent="0.25"/>
    <row r="65985" s="12" customFormat="1" x14ac:dyDescent="0.25"/>
    <row r="65986" s="12" customFormat="1" x14ac:dyDescent="0.25"/>
    <row r="65987" s="12" customFormat="1" x14ac:dyDescent="0.25"/>
    <row r="65988" s="12" customFormat="1" x14ac:dyDescent="0.25"/>
    <row r="65989" s="12" customFormat="1" x14ac:dyDescent="0.25"/>
    <row r="65990" s="12" customFormat="1" x14ac:dyDescent="0.25"/>
    <row r="65991" s="12" customFormat="1" x14ac:dyDescent="0.25"/>
    <row r="65992" s="12" customFormat="1" x14ac:dyDescent="0.25"/>
    <row r="65993" s="12" customFormat="1" x14ac:dyDescent="0.25"/>
    <row r="65994" s="12" customFormat="1" x14ac:dyDescent="0.25"/>
    <row r="65995" s="12" customFormat="1" x14ac:dyDescent="0.25"/>
    <row r="65996" s="12" customFormat="1" x14ac:dyDescent="0.25"/>
    <row r="65997" s="12" customFormat="1" x14ac:dyDescent="0.25"/>
    <row r="65998" s="12" customFormat="1" x14ac:dyDescent="0.25"/>
    <row r="65999" s="12" customFormat="1" x14ac:dyDescent="0.25"/>
    <row r="66000" s="12" customFormat="1" x14ac:dyDescent="0.25"/>
    <row r="66001" s="12" customFormat="1" x14ac:dyDescent="0.25"/>
    <row r="66002" s="12" customFormat="1" x14ac:dyDescent="0.25"/>
    <row r="66003" s="12" customFormat="1" x14ac:dyDescent="0.25"/>
    <row r="66004" s="12" customFormat="1" x14ac:dyDescent="0.25"/>
    <row r="66005" s="12" customFormat="1" x14ac:dyDescent="0.25"/>
    <row r="66006" s="12" customFormat="1" x14ac:dyDescent="0.25"/>
    <row r="66007" s="12" customFormat="1" x14ac:dyDescent="0.25"/>
    <row r="66008" s="12" customFormat="1" x14ac:dyDescent="0.25"/>
    <row r="66009" s="12" customFormat="1" x14ac:dyDescent="0.25"/>
    <row r="66010" s="12" customFormat="1" x14ac:dyDescent="0.25"/>
    <row r="66011" s="12" customFormat="1" x14ac:dyDescent="0.25"/>
    <row r="66012" s="12" customFormat="1" x14ac:dyDescent="0.25"/>
    <row r="66013" s="12" customFormat="1" x14ac:dyDescent="0.25"/>
    <row r="66014" s="12" customFormat="1" x14ac:dyDescent="0.25"/>
    <row r="66015" s="12" customFormat="1" x14ac:dyDescent="0.25"/>
    <row r="66016" s="12" customFormat="1" x14ac:dyDescent="0.25"/>
    <row r="66017" s="12" customFormat="1" x14ac:dyDescent="0.25"/>
    <row r="66018" s="12" customFormat="1" x14ac:dyDescent="0.25"/>
    <row r="66019" s="12" customFormat="1" x14ac:dyDescent="0.25"/>
    <row r="66020" s="12" customFormat="1" x14ac:dyDescent="0.25"/>
    <row r="66021" s="12" customFormat="1" x14ac:dyDescent="0.25"/>
    <row r="66022" s="12" customFormat="1" x14ac:dyDescent="0.25"/>
    <row r="66023" s="12" customFormat="1" x14ac:dyDescent="0.25"/>
    <row r="66024" s="12" customFormat="1" x14ac:dyDescent="0.25"/>
    <row r="66025" s="12" customFormat="1" x14ac:dyDescent="0.25"/>
    <row r="66026" s="12" customFormat="1" x14ac:dyDescent="0.25"/>
    <row r="66027" s="12" customFormat="1" x14ac:dyDescent="0.25"/>
    <row r="66028" s="12" customFormat="1" x14ac:dyDescent="0.25"/>
    <row r="66029" s="12" customFormat="1" x14ac:dyDescent="0.25"/>
    <row r="66030" s="12" customFormat="1" x14ac:dyDescent="0.25"/>
    <row r="66031" s="12" customFormat="1" x14ac:dyDescent="0.25"/>
    <row r="66032" s="12" customFormat="1" x14ac:dyDescent="0.25"/>
    <row r="66033" s="12" customFormat="1" x14ac:dyDescent="0.25"/>
    <row r="66034" s="12" customFormat="1" x14ac:dyDescent="0.25"/>
    <row r="66035" s="12" customFormat="1" x14ac:dyDescent="0.25"/>
    <row r="66036" s="12" customFormat="1" x14ac:dyDescent="0.25"/>
    <row r="66037" s="12" customFormat="1" x14ac:dyDescent="0.25"/>
    <row r="66038" s="12" customFormat="1" x14ac:dyDescent="0.25"/>
    <row r="66039" s="12" customFormat="1" x14ac:dyDescent="0.25"/>
    <row r="66040" s="12" customFormat="1" x14ac:dyDescent="0.25"/>
    <row r="66041" s="12" customFormat="1" x14ac:dyDescent="0.25"/>
    <row r="66042" s="12" customFormat="1" x14ac:dyDescent="0.25"/>
    <row r="66043" s="12" customFormat="1" x14ac:dyDescent="0.25"/>
    <row r="66044" s="12" customFormat="1" x14ac:dyDescent="0.25"/>
    <row r="66045" s="12" customFormat="1" x14ac:dyDescent="0.25"/>
    <row r="66046" s="12" customFormat="1" x14ac:dyDescent="0.25"/>
    <row r="66047" s="12" customFormat="1" x14ac:dyDescent="0.25"/>
    <row r="66048" s="12" customFormat="1" x14ac:dyDescent="0.25"/>
    <row r="66049" s="12" customFormat="1" x14ac:dyDescent="0.25"/>
    <row r="66050" s="12" customFormat="1" x14ac:dyDescent="0.25"/>
    <row r="66051" s="12" customFormat="1" x14ac:dyDescent="0.25"/>
    <row r="66052" s="12" customFormat="1" x14ac:dyDescent="0.25"/>
    <row r="66053" s="12" customFormat="1" x14ac:dyDescent="0.25"/>
    <row r="66054" s="12" customFormat="1" x14ac:dyDescent="0.25"/>
    <row r="66055" s="12" customFormat="1" x14ac:dyDescent="0.25"/>
    <row r="66056" s="12" customFormat="1" x14ac:dyDescent="0.25"/>
    <row r="66057" s="12" customFormat="1" x14ac:dyDescent="0.25"/>
    <row r="66058" s="12" customFormat="1" x14ac:dyDescent="0.25"/>
    <row r="66059" s="12" customFormat="1" x14ac:dyDescent="0.25"/>
    <row r="66060" s="12" customFormat="1" x14ac:dyDescent="0.25"/>
    <row r="66061" s="12" customFormat="1" x14ac:dyDescent="0.25"/>
    <row r="66062" s="12" customFormat="1" x14ac:dyDescent="0.25"/>
    <row r="66063" s="12" customFormat="1" x14ac:dyDescent="0.25"/>
    <row r="66064" s="12" customFormat="1" x14ac:dyDescent="0.25"/>
    <row r="66065" s="12" customFormat="1" x14ac:dyDescent="0.25"/>
    <row r="66066" s="12" customFormat="1" x14ac:dyDescent="0.25"/>
    <row r="66067" s="12" customFormat="1" x14ac:dyDescent="0.25"/>
    <row r="66068" s="12" customFormat="1" x14ac:dyDescent="0.25"/>
    <row r="66069" s="12" customFormat="1" x14ac:dyDescent="0.25"/>
    <row r="66070" s="12" customFormat="1" x14ac:dyDescent="0.25"/>
    <row r="66071" s="12" customFormat="1" x14ac:dyDescent="0.25"/>
    <row r="66072" s="12" customFormat="1" x14ac:dyDescent="0.25"/>
    <row r="66073" s="12" customFormat="1" x14ac:dyDescent="0.25"/>
    <row r="66074" s="12" customFormat="1" x14ac:dyDescent="0.25"/>
    <row r="66075" s="12" customFormat="1" x14ac:dyDescent="0.25"/>
    <row r="66076" s="12" customFormat="1" x14ac:dyDescent="0.25"/>
    <row r="66077" s="12" customFormat="1" x14ac:dyDescent="0.25"/>
    <row r="66078" s="12" customFormat="1" x14ac:dyDescent="0.25"/>
    <row r="66079" s="12" customFormat="1" x14ac:dyDescent="0.25"/>
    <row r="66080" s="12" customFormat="1" x14ac:dyDescent="0.25"/>
    <row r="66081" s="12" customFormat="1" x14ac:dyDescent="0.25"/>
    <row r="66082" s="12" customFormat="1" x14ac:dyDescent="0.25"/>
    <row r="66083" s="12" customFormat="1" x14ac:dyDescent="0.25"/>
    <row r="66084" s="12" customFormat="1" x14ac:dyDescent="0.25"/>
    <row r="66085" s="12" customFormat="1" x14ac:dyDescent="0.25"/>
    <row r="66086" s="12" customFormat="1" x14ac:dyDescent="0.25"/>
    <row r="66087" s="12" customFormat="1" x14ac:dyDescent="0.25"/>
    <row r="66088" s="12" customFormat="1" x14ac:dyDescent="0.25"/>
    <row r="66089" s="12" customFormat="1" x14ac:dyDescent="0.25"/>
    <row r="66090" s="12" customFormat="1" x14ac:dyDescent="0.25"/>
    <row r="66091" s="12" customFormat="1" x14ac:dyDescent="0.25"/>
    <row r="66092" s="12" customFormat="1" x14ac:dyDescent="0.25"/>
    <row r="66093" s="12" customFormat="1" x14ac:dyDescent="0.25"/>
    <row r="66094" s="12" customFormat="1" x14ac:dyDescent="0.25"/>
    <row r="66095" s="12" customFormat="1" x14ac:dyDescent="0.25"/>
    <row r="66096" s="12" customFormat="1" x14ac:dyDescent="0.25"/>
    <row r="66097" s="12" customFormat="1" x14ac:dyDescent="0.25"/>
    <row r="66098" s="12" customFormat="1" x14ac:dyDescent="0.25"/>
    <row r="66099" s="12" customFormat="1" x14ac:dyDescent="0.25"/>
    <row r="66100" s="12" customFormat="1" x14ac:dyDescent="0.25"/>
    <row r="66101" s="12" customFormat="1" x14ac:dyDescent="0.25"/>
    <row r="66102" s="12" customFormat="1" x14ac:dyDescent="0.25"/>
    <row r="66103" s="12" customFormat="1" x14ac:dyDescent="0.25"/>
    <row r="66104" s="12" customFormat="1" x14ac:dyDescent="0.25"/>
    <row r="66105" s="12" customFormat="1" x14ac:dyDescent="0.25"/>
    <row r="66106" s="12" customFormat="1" x14ac:dyDescent="0.25"/>
    <row r="66107" s="12" customFormat="1" x14ac:dyDescent="0.25"/>
    <row r="66108" s="12" customFormat="1" x14ac:dyDescent="0.25"/>
    <row r="66109" s="12" customFormat="1" x14ac:dyDescent="0.25"/>
    <row r="66110" s="12" customFormat="1" x14ac:dyDescent="0.25"/>
    <row r="66111" s="12" customFormat="1" x14ac:dyDescent="0.25"/>
    <row r="66112" s="12" customFormat="1" x14ac:dyDescent="0.25"/>
    <row r="66113" s="12" customFormat="1" x14ac:dyDescent="0.25"/>
    <row r="66114" s="12" customFormat="1" x14ac:dyDescent="0.25"/>
    <row r="66115" s="12" customFormat="1" x14ac:dyDescent="0.25"/>
    <row r="66116" s="12" customFormat="1" x14ac:dyDescent="0.25"/>
    <row r="66117" s="12" customFormat="1" x14ac:dyDescent="0.25"/>
    <row r="66118" s="12" customFormat="1" x14ac:dyDescent="0.25"/>
    <row r="66119" s="12" customFormat="1" x14ac:dyDescent="0.25"/>
    <row r="66120" s="12" customFormat="1" x14ac:dyDescent="0.25"/>
    <row r="66121" s="12" customFormat="1" x14ac:dyDescent="0.25"/>
    <row r="66122" s="12" customFormat="1" x14ac:dyDescent="0.25"/>
    <row r="66123" s="12" customFormat="1" x14ac:dyDescent="0.25"/>
    <row r="66124" s="12" customFormat="1" x14ac:dyDescent="0.25"/>
    <row r="66125" s="12" customFormat="1" x14ac:dyDescent="0.25"/>
    <row r="66126" s="12" customFormat="1" x14ac:dyDescent="0.25"/>
    <row r="66127" s="12" customFormat="1" x14ac:dyDescent="0.25"/>
    <row r="66128" s="12" customFormat="1" x14ac:dyDescent="0.25"/>
    <row r="66129" s="12" customFormat="1" x14ac:dyDescent="0.25"/>
    <row r="66130" s="12" customFormat="1" x14ac:dyDescent="0.25"/>
    <row r="66131" s="12" customFormat="1" x14ac:dyDescent="0.25"/>
    <row r="66132" s="12" customFormat="1" x14ac:dyDescent="0.25"/>
    <row r="66133" s="12" customFormat="1" x14ac:dyDescent="0.25"/>
    <row r="66134" s="12" customFormat="1" x14ac:dyDescent="0.25"/>
    <row r="66135" s="12" customFormat="1" x14ac:dyDescent="0.25"/>
    <row r="66136" s="12" customFormat="1" x14ac:dyDescent="0.25"/>
    <row r="66137" s="12" customFormat="1" x14ac:dyDescent="0.25"/>
    <row r="66138" s="12" customFormat="1" x14ac:dyDescent="0.25"/>
    <row r="66139" s="12" customFormat="1" x14ac:dyDescent="0.25"/>
    <row r="66140" s="12" customFormat="1" x14ac:dyDescent="0.25"/>
    <row r="66141" s="12" customFormat="1" x14ac:dyDescent="0.25"/>
    <row r="66142" s="12" customFormat="1" x14ac:dyDescent="0.25"/>
    <row r="66143" s="12" customFormat="1" x14ac:dyDescent="0.25"/>
    <row r="66144" s="12" customFormat="1" x14ac:dyDescent="0.25"/>
    <row r="66145" s="12" customFormat="1" x14ac:dyDescent="0.25"/>
    <row r="66146" s="12" customFormat="1" x14ac:dyDescent="0.25"/>
    <row r="66147" s="12" customFormat="1" x14ac:dyDescent="0.25"/>
    <row r="66148" s="12" customFormat="1" x14ac:dyDescent="0.25"/>
    <row r="66149" s="12" customFormat="1" x14ac:dyDescent="0.25"/>
    <row r="66150" s="12" customFormat="1" x14ac:dyDescent="0.25"/>
    <row r="66151" s="12" customFormat="1" x14ac:dyDescent="0.25"/>
    <row r="66152" s="12" customFormat="1" x14ac:dyDescent="0.25"/>
    <row r="66153" s="12" customFormat="1" x14ac:dyDescent="0.25"/>
    <row r="66154" s="12" customFormat="1" x14ac:dyDescent="0.25"/>
    <row r="66155" s="12" customFormat="1" x14ac:dyDescent="0.25"/>
    <row r="66156" s="12" customFormat="1" x14ac:dyDescent="0.25"/>
    <row r="66157" s="12" customFormat="1" x14ac:dyDescent="0.25"/>
    <row r="66158" s="12" customFormat="1" x14ac:dyDescent="0.25"/>
    <row r="66159" s="12" customFormat="1" x14ac:dyDescent="0.25"/>
    <row r="66160" s="12" customFormat="1" x14ac:dyDescent="0.25"/>
    <row r="66161" s="12" customFormat="1" x14ac:dyDescent="0.25"/>
    <row r="66162" s="12" customFormat="1" x14ac:dyDescent="0.25"/>
    <row r="66163" s="12" customFormat="1" x14ac:dyDescent="0.25"/>
    <row r="66164" s="12" customFormat="1" x14ac:dyDescent="0.25"/>
    <row r="66165" s="12" customFormat="1" x14ac:dyDescent="0.25"/>
    <row r="66166" s="12" customFormat="1" x14ac:dyDescent="0.25"/>
    <row r="66167" s="12" customFormat="1" x14ac:dyDescent="0.25"/>
    <row r="66168" s="12" customFormat="1" x14ac:dyDescent="0.25"/>
    <row r="66169" s="12" customFormat="1" x14ac:dyDescent="0.25"/>
    <row r="66170" s="12" customFormat="1" x14ac:dyDescent="0.25"/>
    <row r="66171" s="12" customFormat="1" x14ac:dyDescent="0.25"/>
    <row r="66172" s="12" customFormat="1" x14ac:dyDescent="0.25"/>
    <row r="66173" s="12" customFormat="1" x14ac:dyDescent="0.25"/>
    <row r="66174" s="12" customFormat="1" x14ac:dyDescent="0.25"/>
    <row r="66175" s="12" customFormat="1" x14ac:dyDescent="0.25"/>
    <row r="66176" s="12" customFormat="1" x14ac:dyDescent="0.25"/>
    <row r="66177" s="12" customFormat="1" x14ac:dyDescent="0.25"/>
    <row r="66178" s="12" customFormat="1" x14ac:dyDescent="0.25"/>
    <row r="66179" s="12" customFormat="1" x14ac:dyDescent="0.25"/>
    <row r="66180" s="12" customFormat="1" x14ac:dyDescent="0.25"/>
    <row r="66181" s="12" customFormat="1" x14ac:dyDescent="0.25"/>
    <row r="66182" s="12" customFormat="1" x14ac:dyDescent="0.25"/>
    <row r="66183" s="12" customFormat="1" x14ac:dyDescent="0.25"/>
    <row r="66184" s="12" customFormat="1" x14ac:dyDescent="0.25"/>
    <row r="66185" s="12" customFormat="1" x14ac:dyDescent="0.25"/>
    <row r="66186" s="12" customFormat="1" x14ac:dyDescent="0.25"/>
    <row r="66187" s="12" customFormat="1" x14ac:dyDescent="0.25"/>
    <row r="66188" s="12" customFormat="1" x14ac:dyDescent="0.25"/>
    <row r="66189" s="12" customFormat="1" x14ac:dyDescent="0.25"/>
    <row r="66190" s="12" customFormat="1" x14ac:dyDescent="0.25"/>
    <row r="66191" s="12" customFormat="1" x14ac:dyDescent="0.25"/>
    <row r="66192" s="12" customFormat="1" x14ac:dyDescent="0.25"/>
    <row r="66193" s="12" customFormat="1" x14ac:dyDescent="0.25"/>
    <row r="66194" s="12" customFormat="1" x14ac:dyDescent="0.25"/>
    <row r="66195" s="12" customFormat="1" x14ac:dyDescent="0.25"/>
    <row r="66196" s="12" customFormat="1" x14ac:dyDescent="0.25"/>
    <row r="66197" s="12" customFormat="1" x14ac:dyDescent="0.25"/>
    <row r="66198" s="12" customFormat="1" x14ac:dyDescent="0.25"/>
    <row r="66199" s="12" customFormat="1" x14ac:dyDescent="0.25"/>
    <row r="66200" s="12" customFormat="1" x14ac:dyDescent="0.25"/>
    <row r="66201" s="12" customFormat="1" x14ac:dyDescent="0.25"/>
    <row r="66202" s="12" customFormat="1" x14ac:dyDescent="0.25"/>
    <row r="66203" s="12" customFormat="1" x14ac:dyDescent="0.25"/>
    <row r="66204" s="12" customFormat="1" x14ac:dyDescent="0.25"/>
    <row r="66205" s="12" customFormat="1" x14ac:dyDescent="0.25"/>
    <row r="66206" s="12" customFormat="1" x14ac:dyDescent="0.25"/>
    <row r="66207" s="12" customFormat="1" x14ac:dyDescent="0.25"/>
    <row r="66208" s="12" customFormat="1" x14ac:dyDescent="0.25"/>
    <row r="66209" s="12" customFormat="1" x14ac:dyDescent="0.25"/>
    <row r="66210" s="12" customFormat="1" x14ac:dyDescent="0.25"/>
    <row r="66211" s="12" customFormat="1" x14ac:dyDescent="0.25"/>
    <row r="66212" s="12" customFormat="1" x14ac:dyDescent="0.25"/>
    <row r="66213" s="12" customFormat="1" x14ac:dyDescent="0.25"/>
    <row r="66214" s="12" customFormat="1" x14ac:dyDescent="0.25"/>
    <row r="66215" s="12" customFormat="1" x14ac:dyDescent="0.25"/>
    <row r="66216" s="12" customFormat="1" x14ac:dyDescent="0.25"/>
    <row r="66217" s="12" customFormat="1" x14ac:dyDescent="0.25"/>
    <row r="66218" s="12" customFormat="1" x14ac:dyDescent="0.25"/>
    <row r="66219" s="12" customFormat="1" x14ac:dyDescent="0.25"/>
    <row r="66220" s="12" customFormat="1" x14ac:dyDescent="0.25"/>
    <row r="66221" s="12" customFormat="1" x14ac:dyDescent="0.25"/>
    <row r="66222" s="12" customFormat="1" x14ac:dyDescent="0.25"/>
    <row r="66223" s="12" customFormat="1" x14ac:dyDescent="0.25"/>
    <row r="66224" s="12" customFormat="1" x14ac:dyDescent="0.25"/>
    <row r="66225" s="12" customFormat="1" x14ac:dyDescent="0.25"/>
    <row r="66226" s="12" customFormat="1" x14ac:dyDescent="0.25"/>
    <row r="66227" s="12" customFormat="1" x14ac:dyDescent="0.25"/>
    <row r="66228" s="12" customFormat="1" x14ac:dyDescent="0.25"/>
    <row r="66229" s="12" customFormat="1" x14ac:dyDescent="0.25"/>
    <row r="66230" s="12" customFormat="1" x14ac:dyDescent="0.25"/>
    <row r="66231" s="12" customFormat="1" x14ac:dyDescent="0.25"/>
    <row r="66232" s="12" customFormat="1" x14ac:dyDescent="0.25"/>
    <row r="66233" s="12" customFormat="1" x14ac:dyDescent="0.25"/>
    <row r="66234" s="12" customFormat="1" x14ac:dyDescent="0.25"/>
    <row r="66235" s="12" customFormat="1" x14ac:dyDescent="0.25"/>
    <row r="66236" s="12" customFormat="1" x14ac:dyDescent="0.25"/>
    <row r="66237" s="12" customFormat="1" x14ac:dyDescent="0.25"/>
    <row r="66238" s="12" customFormat="1" x14ac:dyDescent="0.25"/>
    <row r="66239" s="12" customFormat="1" x14ac:dyDescent="0.25"/>
    <row r="66240" s="12" customFormat="1" x14ac:dyDescent="0.25"/>
    <row r="66241" s="12" customFormat="1" x14ac:dyDescent="0.25"/>
    <row r="66242" s="12" customFormat="1" x14ac:dyDescent="0.25"/>
    <row r="66243" s="12" customFormat="1" x14ac:dyDescent="0.25"/>
    <row r="66244" s="12" customFormat="1" x14ac:dyDescent="0.25"/>
    <row r="66245" s="12" customFormat="1" x14ac:dyDescent="0.25"/>
    <row r="66246" s="12" customFormat="1" x14ac:dyDescent="0.25"/>
    <row r="66247" s="12" customFormat="1" x14ac:dyDescent="0.25"/>
    <row r="66248" s="12" customFormat="1" x14ac:dyDescent="0.25"/>
    <row r="66249" s="12" customFormat="1" x14ac:dyDescent="0.25"/>
    <row r="66250" s="12" customFormat="1" x14ac:dyDescent="0.25"/>
    <row r="66251" s="12" customFormat="1" x14ac:dyDescent="0.25"/>
    <row r="66252" s="12" customFormat="1" x14ac:dyDescent="0.25"/>
    <row r="66253" s="12" customFormat="1" x14ac:dyDescent="0.25"/>
    <row r="66254" s="12" customFormat="1" x14ac:dyDescent="0.25"/>
    <row r="66255" s="12" customFormat="1" x14ac:dyDescent="0.25"/>
    <row r="66256" s="12" customFormat="1" x14ac:dyDescent="0.25"/>
    <row r="66257" s="12" customFormat="1" x14ac:dyDescent="0.25"/>
    <row r="66258" s="12" customFormat="1" x14ac:dyDescent="0.25"/>
    <row r="66259" s="12" customFormat="1" x14ac:dyDescent="0.25"/>
    <row r="66260" s="12" customFormat="1" x14ac:dyDescent="0.25"/>
    <row r="66261" s="12" customFormat="1" x14ac:dyDescent="0.25"/>
    <row r="66262" s="12" customFormat="1" x14ac:dyDescent="0.25"/>
    <row r="66263" s="12" customFormat="1" x14ac:dyDescent="0.25"/>
    <row r="66264" s="12" customFormat="1" x14ac:dyDescent="0.25"/>
    <row r="66265" s="12" customFormat="1" x14ac:dyDescent="0.25"/>
    <row r="66266" s="12" customFormat="1" x14ac:dyDescent="0.25"/>
    <row r="66267" s="12" customFormat="1" x14ac:dyDescent="0.25"/>
    <row r="66268" s="12" customFormat="1" x14ac:dyDescent="0.25"/>
    <row r="66269" s="12" customFormat="1" x14ac:dyDescent="0.25"/>
    <row r="66270" s="12" customFormat="1" x14ac:dyDescent="0.25"/>
    <row r="66271" s="12" customFormat="1" x14ac:dyDescent="0.25"/>
    <row r="66272" s="12" customFormat="1" x14ac:dyDescent="0.25"/>
    <row r="66273" s="12" customFormat="1" x14ac:dyDescent="0.25"/>
    <row r="66274" s="12" customFormat="1" x14ac:dyDescent="0.25"/>
    <row r="66275" s="12" customFormat="1" x14ac:dyDescent="0.25"/>
    <row r="66276" s="12" customFormat="1" x14ac:dyDescent="0.25"/>
    <row r="66277" s="12" customFormat="1" x14ac:dyDescent="0.25"/>
    <row r="66278" s="12" customFormat="1" x14ac:dyDescent="0.25"/>
    <row r="66279" s="12" customFormat="1" x14ac:dyDescent="0.25"/>
    <row r="66280" s="12" customFormat="1" x14ac:dyDescent="0.25"/>
    <row r="66281" s="12" customFormat="1" x14ac:dyDescent="0.25"/>
    <row r="66282" s="12" customFormat="1" x14ac:dyDescent="0.25"/>
    <row r="66283" s="12" customFormat="1" x14ac:dyDescent="0.25"/>
    <row r="66284" s="12" customFormat="1" x14ac:dyDescent="0.25"/>
    <row r="66285" s="12" customFormat="1" x14ac:dyDescent="0.25"/>
    <row r="66286" s="12" customFormat="1" x14ac:dyDescent="0.25"/>
    <row r="66287" s="12" customFormat="1" x14ac:dyDescent="0.25"/>
    <row r="66288" s="12" customFormat="1" x14ac:dyDescent="0.25"/>
    <row r="66289" s="12" customFormat="1" x14ac:dyDescent="0.25"/>
    <row r="66290" s="12" customFormat="1" x14ac:dyDescent="0.25"/>
    <row r="66291" s="12" customFormat="1" x14ac:dyDescent="0.25"/>
    <row r="66292" s="12" customFormat="1" x14ac:dyDescent="0.25"/>
    <row r="66293" s="12" customFormat="1" x14ac:dyDescent="0.25"/>
    <row r="66294" s="12" customFormat="1" x14ac:dyDescent="0.25"/>
    <row r="66295" s="12" customFormat="1" x14ac:dyDescent="0.25"/>
    <row r="66296" s="12" customFormat="1" x14ac:dyDescent="0.25"/>
    <row r="66297" s="12" customFormat="1" x14ac:dyDescent="0.25"/>
    <row r="66298" s="12" customFormat="1" x14ac:dyDescent="0.25"/>
    <row r="66299" s="12" customFormat="1" x14ac:dyDescent="0.25"/>
    <row r="66300" s="12" customFormat="1" x14ac:dyDescent="0.25"/>
    <row r="66301" s="12" customFormat="1" x14ac:dyDescent="0.25"/>
    <row r="66302" s="12" customFormat="1" x14ac:dyDescent="0.25"/>
    <row r="66303" s="12" customFormat="1" x14ac:dyDescent="0.25"/>
    <row r="66304" s="12" customFormat="1" x14ac:dyDescent="0.25"/>
    <row r="66305" s="12" customFormat="1" x14ac:dyDescent="0.25"/>
    <row r="66306" s="12" customFormat="1" x14ac:dyDescent="0.25"/>
    <row r="66307" s="12" customFormat="1" x14ac:dyDescent="0.25"/>
    <row r="66308" s="12" customFormat="1" x14ac:dyDescent="0.25"/>
    <row r="66309" s="12" customFormat="1" x14ac:dyDescent="0.25"/>
    <row r="66310" s="12" customFormat="1" x14ac:dyDescent="0.25"/>
    <row r="66311" s="12" customFormat="1" x14ac:dyDescent="0.25"/>
    <row r="66312" s="12" customFormat="1" x14ac:dyDescent="0.25"/>
    <row r="66313" s="12" customFormat="1" x14ac:dyDescent="0.25"/>
    <row r="66314" s="12" customFormat="1" x14ac:dyDescent="0.25"/>
    <row r="66315" s="12" customFormat="1" x14ac:dyDescent="0.25"/>
    <row r="66316" s="12" customFormat="1" x14ac:dyDescent="0.25"/>
    <row r="66317" s="12" customFormat="1" x14ac:dyDescent="0.25"/>
    <row r="66318" s="12" customFormat="1" x14ac:dyDescent="0.25"/>
    <row r="66319" s="12" customFormat="1" x14ac:dyDescent="0.25"/>
    <row r="66320" s="12" customFormat="1" x14ac:dyDescent="0.25"/>
    <row r="66321" s="12" customFormat="1" x14ac:dyDescent="0.25"/>
    <row r="66322" s="12" customFormat="1" x14ac:dyDescent="0.25"/>
    <row r="66323" s="12" customFormat="1" x14ac:dyDescent="0.25"/>
    <row r="66324" s="12" customFormat="1" x14ac:dyDescent="0.25"/>
    <row r="66325" s="12" customFormat="1" x14ac:dyDescent="0.25"/>
    <row r="66326" s="12" customFormat="1" x14ac:dyDescent="0.25"/>
    <row r="66327" s="12" customFormat="1" x14ac:dyDescent="0.25"/>
    <row r="66328" s="12" customFormat="1" x14ac:dyDescent="0.25"/>
    <row r="66329" s="12" customFormat="1" x14ac:dyDescent="0.25"/>
    <row r="66330" s="12" customFormat="1" x14ac:dyDescent="0.25"/>
    <row r="66331" s="12" customFormat="1" x14ac:dyDescent="0.25"/>
    <row r="66332" s="12" customFormat="1" x14ac:dyDescent="0.25"/>
    <row r="66333" s="12" customFormat="1" x14ac:dyDescent="0.25"/>
    <row r="66334" s="12" customFormat="1" x14ac:dyDescent="0.25"/>
    <row r="66335" s="12" customFormat="1" x14ac:dyDescent="0.25"/>
    <row r="66336" s="12" customFormat="1" x14ac:dyDescent="0.25"/>
    <row r="66337" s="12" customFormat="1" x14ac:dyDescent="0.25"/>
    <row r="66338" s="12" customFormat="1" x14ac:dyDescent="0.25"/>
    <row r="66339" s="12" customFormat="1" x14ac:dyDescent="0.25"/>
    <row r="66340" s="12" customFormat="1" x14ac:dyDescent="0.25"/>
    <row r="66341" s="12" customFormat="1" x14ac:dyDescent="0.25"/>
    <row r="66342" s="12" customFormat="1" x14ac:dyDescent="0.25"/>
    <row r="66343" s="12" customFormat="1" x14ac:dyDescent="0.25"/>
    <row r="66344" s="12" customFormat="1" x14ac:dyDescent="0.25"/>
    <row r="66345" s="12" customFormat="1" x14ac:dyDescent="0.25"/>
    <row r="66346" s="12" customFormat="1" x14ac:dyDescent="0.25"/>
    <row r="66347" s="12" customFormat="1" x14ac:dyDescent="0.25"/>
    <row r="66348" s="12" customFormat="1" x14ac:dyDescent="0.25"/>
    <row r="66349" s="12" customFormat="1" x14ac:dyDescent="0.25"/>
    <row r="66350" s="12" customFormat="1" x14ac:dyDescent="0.25"/>
    <row r="66351" s="12" customFormat="1" x14ac:dyDescent="0.25"/>
    <row r="66352" s="12" customFormat="1" x14ac:dyDescent="0.25"/>
    <row r="66353" s="12" customFormat="1" x14ac:dyDescent="0.25"/>
    <row r="66354" s="12" customFormat="1" x14ac:dyDescent="0.25"/>
    <row r="66355" s="12" customFormat="1" x14ac:dyDescent="0.25"/>
    <row r="66356" s="12" customFormat="1" x14ac:dyDescent="0.25"/>
    <row r="66357" s="12" customFormat="1" x14ac:dyDescent="0.25"/>
    <row r="66358" s="12" customFormat="1" x14ac:dyDescent="0.25"/>
    <row r="66359" s="12" customFormat="1" x14ac:dyDescent="0.25"/>
    <row r="66360" s="12" customFormat="1" x14ac:dyDescent="0.25"/>
    <row r="66361" s="12" customFormat="1" x14ac:dyDescent="0.25"/>
    <row r="66362" s="12" customFormat="1" x14ac:dyDescent="0.25"/>
    <row r="66363" s="12" customFormat="1" x14ac:dyDescent="0.25"/>
    <row r="66364" s="12" customFormat="1" x14ac:dyDescent="0.25"/>
    <row r="66365" s="12" customFormat="1" x14ac:dyDescent="0.25"/>
    <row r="66366" s="12" customFormat="1" x14ac:dyDescent="0.25"/>
    <row r="66367" s="12" customFormat="1" x14ac:dyDescent="0.25"/>
    <row r="66368" s="12" customFormat="1" x14ac:dyDescent="0.25"/>
    <row r="66369" s="12" customFormat="1" x14ac:dyDescent="0.25"/>
    <row r="66370" s="12" customFormat="1" x14ac:dyDescent="0.25"/>
    <row r="66371" s="12" customFormat="1" x14ac:dyDescent="0.25"/>
    <row r="66372" s="12" customFormat="1" x14ac:dyDescent="0.25"/>
    <row r="66373" s="12" customFormat="1" x14ac:dyDescent="0.25"/>
    <row r="66374" s="12" customFormat="1" x14ac:dyDescent="0.25"/>
    <row r="66375" s="12" customFormat="1" x14ac:dyDescent="0.25"/>
    <row r="66376" s="12" customFormat="1" x14ac:dyDescent="0.25"/>
    <row r="66377" s="12" customFormat="1" x14ac:dyDescent="0.25"/>
    <row r="66378" s="12" customFormat="1" x14ac:dyDescent="0.25"/>
    <row r="66379" s="12" customFormat="1" x14ac:dyDescent="0.25"/>
    <row r="66380" s="12" customFormat="1" x14ac:dyDescent="0.25"/>
    <row r="66381" s="12" customFormat="1" x14ac:dyDescent="0.25"/>
    <row r="66382" s="12" customFormat="1" x14ac:dyDescent="0.25"/>
    <row r="66383" s="12" customFormat="1" x14ac:dyDescent="0.25"/>
    <row r="66384" s="12" customFormat="1" x14ac:dyDescent="0.25"/>
    <row r="66385" s="12" customFormat="1" x14ac:dyDescent="0.25"/>
    <row r="66386" s="12" customFormat="1" x14ac:dyDescent="0.25"/>
    <row r="66387" s="12" customFormat="1" x14ac:dyDescent="0.25"/>
    <row r="66388" s="12" customFormat="1" x14ac:dyDescent="0.25"/>
    <row r="66389" s="12" customFormat="1" x14ac:dyDescent="0.25"/>
    <row r="66390" s="12" customFormat="1" x14ac:dyDescent="0.25"/>
    <row r="66391" s="12" customFormat="1" x14ac:dyDescent="0.25"/>
    <row r="66392" s="12" customFormat="1" x14ac:dyDescent="0.25"/>
    <row r="66393" s="12" customFormat="1" x14ac:dyDescent="0.25"/>
    <row r="66394" s="12" customFormat="1" x14ac:dyDescent="0.25"/>
    <row r="66395" s="12" customFormat="1" x14ac:dyDescent="0.25"/>
    <row r="66396" s="12" customFormat="1" x14ac:dyDescent="0.25"/>
    <row r="66397" s="12" customFormat="1" x14ac:dyDescent="0.25"/>
    <row r="66398" s="12" customFormat="1" x14ac:dyDescent="0.25"/>
    <row r="66399" s="12" customFormat="1" x14ac:dyDescent="0.25"/>
    <row r="66400" s="12" customFormat="1" x14ac:dyDescent="0.25"/>
    <row r="66401" s="12" customFormat="1" x14ac:dyDescent="0.25"/>
    <row r="66402" s="12" customFormat="1" x14ac:dyDescent="0.25"/>
    <row r="66403" s="12" customFormat="1" x14ac:dyDescent="0.25"/>
    <row r="66404" s="12" customFormat="1" x14ac:dyDescent="0.25"/>
    <row r="66405" s="12" customFormat="1" x14ac:dyDescent="0.25"/>
    <row r="66406" s="12" customFormat="1" x14ac:dyDescent="0.25"/>
    <row r="66407" s="12" customFormat="1" x14ac:dyDescent="0.25"/>
    <row r="66408" s="12" customFormat="1" x14ac:dyDescent="0.25"/>
    <row r="66409" s="12" customFormat="1" x14ac:dyDescent="0.25"/>
    <row r="66410" s="12" customFormat="1" x14ac:dyDescent="0.25"/>
    <row r="66411" s="12" customFormat="1" x14ac:dyDescent="0.25"/>
    <row r="66412" s="12" customFormat="1" x14ac:dyDescent="0.25"/>
    <row r="66413" s="12" customFormat="1" x14ac:dyDescent="0.25"/>
    <row r="66414" s="12" customFormat="1" x14ac:dyDescent="0.25"/>
    <row r="66415" s="12" customFormat="1" x14ac:dyDescent="0.25"/>
    <row r="66416" s="12" customFormat="1" x14ac:dyDescent="0.25"/>
    <row r="66417" s="12" customFormat="1" x14ac:dyDescent="0.25"/>
    <row r="66418" s="12" customFormat="1" x14ac:dyDescent="0.25"/>
    <row r="66419" s="12" customFormat="1" x14ac:dyDescent="0.25"/>
    <row r="66420" s="12" customFormat="1" x14ac:dyDescent="0.25"/>
    <row r="66421" s="12" customFormat="1" x14ac:dyDescent="0.25"/>
    <row r="66422" s="12" customFormat="1" x14ac:dyDescent="0.25"/>
    <row r="66423" s="12" customFormat="1" x14ac:dyDescent="0.25"/>
    <row r="66424" s="12" customFormat="1" x14ac:dyDescent="0.25"/>
    <row r="66425" s="12" customFormat="1" x14ac:dyDescent="0.25"/>
    <row r="66426" s="12" customFormat="1" x14ac:dyDescent="0.25"/>
    <row r="66427" s="12" customFormat="1" x14ac:dyDescent="0.25"/>
    <row r="66428" s="12" customFormat="1" x14ac:dyDescent="0.25"/>
    <row r="66429" s="12" customFormat="1" x14ac:dyDescent="0.25"/>
    <row r="66430" s="12" customFormat="1" x14ac:dyDescent="0.25"/>
    <row r="66431" s="12" customFormat="1" x14ac:dyDescent="0.25"/>
    <row r="66432" s="12" customFormat="1" x14ac:dyDescent="0.25"/>
    <row r="66433" s="12" customFormat="1" x14ac:dyDescent="0.25"/>
    <row r="66434" s="12" customFormat="1" x14ac:dyDescent="0.25"/>
    <row r="66435" s="12" customFormat="1" x14ac:dyDescent="0.25"/>
    <row r="66436" s="12" customFormat="1" x14ac:dyDescent="0.25"/>
    <row r="66437" s="12" customFormat="1" x14ac:dyDescent="0.25"/>
    <row r="66438" s="12" customFormat="1" x14ac:dyDescent="0.25"/>
    <row r="66439" s="12" customFormat="1" x14ac:dyDescent="0.25"/>
    <row r="66440" s="12" customFormat="1" x14ac:dyDescent="0.25"/>
    <row r="66441" s="12" customFormat="1" x14ac:dyDescent="0.25"/>
    <row r="66442" s="12" customFormat="1" x14ac:dyDescent="0.25"/>
    <row r="66443" s="12" customFormat="1" x14ac:dyDescent="0.25"/>
    <row r="66444" s="12" customFormat="1" x14ac:dyDescent="0.25"/>
    <row r="66445" s="12" customFormat="1" x14ac:dyDescent="0.25"/>
    <row r="66446" s="12" customFormat="1" x14ac:dyDescent="0.25"/>
    <row r="66447" s="12" customFormat="1" x14ac:dyDescent="0.25"/>
    <row r="66448" s="12" customFormat="1" x14ac:dyDescent="0.25"/>
    <row r="66449" s="12" customFormat="1" x14ac:dyDescent="0.25"/>
    <row r="66450" s="12" customFormat="1" x14ac:dyDescent="0.25"/>
    <row r="66451" s="12" customFormat="1" x14ac:dyDescent="0.25"/>
    <row r="66452" s="12" customFormat="1" x14ac:dyDescent="0.25"/>
    <row r="66453" s="12" customFormat="1" x14ac:dyDescent="0.25"/>
    <row r="66454" s="12" customFormat="1" x14ac:dyDescent="0.25"/>
    <row r="66455" s="12" customFormat="1" x14ac:dyDescent="0.25"/>
    <row r="66456" s="12" customFormat="1" x14ac:dyDescent="0.25"/>
    <row r="66457" s="12" customFormat="1" x14ac:dyDescent="0.25"/>
    <row r="66458" s="12" customFormat="1" x14ac:dyDescent="0.25"/>
    <row r="66459" s="12" customFormat="1" x14ac:dyDescent="0.25"/>
    <row r="66460" s="12" customFormat="1" x14ac:dyDescent="0.25"/>
    <row r="66461" s="12" customFormat="1" x14ac:dyDescent="0.25"/>
    <row r="66462" s="12" customFormat="1" x14ac:dyDescent="0.25"/>
    <row r="66463" s="12" customFormat="1" x14ac:dyDescent="0.25"/>
    <row r="66464" s="12" customFormat="1" x14ac:dyDescent="0.25"/>
    <row r="66465" s="12" customFormat="1" x14ac:dyDescent="0.25"/>
    <row r="66466" s="12" customFormat="1" x14ac:dyDescent="0.25"/>
    <row r="66467" s="12" customFormat="1" x14ac:dyDescent="0.25"/>
    <row r="66468" s="12" customFormat="1" x14ac:dyDescent="0.25"/>
    <row r="66469" s="12" customFormat="1" x14ac:dyDescent="0.25"/>
    <row r="66470" s="12" customFormat="1" x14ac:dyDescent="0.25"/>
    <row r="66471" s="12" customFormat="1" x14ac:dyDescent="0.25"/>
    <row r="66472" s="12" customFormat="1" x14ac:dyDescent="0.25"/>
    <row r="66473" s="12" customFormat="1" x14ac:dyDescent="0.25"/>
    <row r="66474" s="12" customFormat="1" x14ac:dyDescent="0.25"/>
    <row r="66475" s="12" customFormat="1" x14ac:dyDescent="0.25"/>
    <row r="66476" s="12" customFormat="1" x14ac:dyDescent="0.25"/>
    <row r="66477" s="12" customFormat="1" x14ac:dyDescent="0.25"/>
    <row r="66478" s="12" customFormat="1" x14ac:dyDescent="0.25"/>
    <row r="66479" s="12" customFormat="1" x14ac:dyDescent="0.25"/>
    <row r="66480" s="12" customFormat="1" x14ac:dyDescent="0.25"/>
    <row r="66481" s="12" customFormat="1" x14ac:dyDescent="0.25"/>
    <row r="66482" s="12" customFormat="1" x14ac:dyDescent="0.25"/>
    <row r="66483" s="12" customFormat="1" x14ac:dyDescent="0.25"/>
    <row r="66484" s="12" customFormat="1" x14ac:dyDescent="0.25"/>
    <row r="66485" s="12" customFormat="1" x14ac:dyDescent="0.25"/>
    <row r="66486" s="12" customFormat="1" x14ac:dyDescent="0.25"/>
    <row r="66487" s="12" customFormat="1" x14ac:dyDescent="0.25"/>
    <row r="66488" s="12" customFormat="1" x14ac:dyDescent="0.25"/>
    <row r="66489" s="12" customFormat="1" x14ac:dyDescent="0.25"/>
    <row r="66490" s="12" customFormat="1" x14ac:dyDescent="0.25"/>
    <row r="66491" s="12" customFormat="1" x14ac:dyDescent="0.25"/>
    <row r="66492" s="12" customFormat="1" x14ac:dyDescent="0.25"/>
    <row r="66493" s="12" customFormat="1" x14ac:dyDescent="0.25"/>
    <row r="66494" s="12" customFormat="1" x14ac:dyDescent="0.25"/>
    <row r="66495" s="12" customFormat="1" x14ac:dyDescent="0.25"/>
    <row r="66496" s="12" customFormat="1" x14ac:dyDescent="0.25"/>
    <row r="66497" s="12" customFormat="1" x14ac:dyDescent="0.25"/>
    <row r="66498" s="12" customFormat="1" x14ac:dyDescent="0.25"/>
    <row r="66499" s="12" customFormat="1" x14ac:dyDescent="0.25"/>
    <row r="66500" s="12" customFormat="1" x14ac:dyDescent="0.25"/>
    <row r="66501" s="12" customFormat="1" x14ac:dyDescent="0.25"/>
    <row r="66502" s="12" customFormat="1" x14ac:dyDescent="0.25"/>
    <row r="66503" s="12" customFormat="1" x14ac:dyDescent="0.25"/>
    <row r="66504" s="12" customFormat="1" x14ac:dyDescent="0.25"/>
    <row r="66505" s="12" customFormat="1" x14ac:dyDescent="0.25"/>
    <row r="66506" s="12" customFormat="1" x14ac:dyDescent="0.25"/>
    <row r="66507" s="12" customFormat="1" x14ac:dyDescent="0.25"/>
    <row r="66508" s="12" customFormat="1" x14ac:dyDescent="0.25"/>
    <row r="66509" s="12" customFormat="1" x14ac:dyDescent="0.25"/>
    <row r="66510" s="12" customFormat="1" x14ac:dyDescent="0.25"/>
    <row r="66511" s="12" customFormat="1" x14ac:dyDescent="0.25"/>
    <row r="66512" s="12" customFormat="1" x14ac:dyDescent="0.25"/>
    <row r="66513" s="12" customFormat="1" x14ac:dyDescent="0.25"/>
    <row r="66514" s="12" customFormat="1" x14ac:dyDescent="0.25"/>
    <row r="66515" s="12" customFormat="1" x14ac:dyDescent="0.25"/>
    <row r="66516" s="12" customFormat="1" x14ac:dyDescent="0.25"/>
    <row r="66517" s="12" customFormat="1" x14ac:dyDescent="0.25"/>
    <row r="66518" s="12" customFormat="1" x14ac:dyDescent="0.25"/>
    <row r="66519" s="12" customFormat="1" x14ac:dyDescent="0.25"/>
    <row r="66520" s="12" customFormat="1" x14ac:dyDescent="0.25"/>
    <row r="66521" s="12" customFormat="1" x14ac:dyDescent="0.25"/>
    <row r="66522" s="12" customFormat="1" x14ac:dyDescent="0.25"/>
    <row r="66523" s="12" customFormat="1" x14ac:dyDescent="0.25"/>
    <row r="66524" s="12" customFormat="1" x14ac:dyDescent="0.25"/>
    <row r="66525" s="12" customFormat="1" x14ac:dyDescent="0.25"/>
    <row r="66526" s="12" customFormat="1" x14ac:dyDescent="0.25"/>
    <row r="66527" s="12" customFormat="1" x14ac:dyDescent="0.25"/>
    <row r="66528" s="12" customFormat="1" x14ac:dyDescent="0.25"/>
    <row r="66529" s="12" customFormat="1" x14ac:dyDescent="0.25"/>
    <row r="66530" s="12" customFormat="1" x14ac:dyDescent="0.25"/>
    <row r="66531" s="12" customFormat="1" x14ac:dyDescent="0.25"/>
    <row r="66532" s="12" customFormat="1" x14ac:dyDescent="0.25"/>
    <row r="66533" s="12" customFormat="1" x14ac:dyDescent="0.25"/>
    <row r="66534" s="12" customFormat="1" x14ac:dyDescent="0.25"/>
    <row r="66535" s="12" customFormat="1" x14ac:dyDescent="0.25"/>
    <row r="66536" s="12" customFormat="1" x14ac:dyDescent="0.25"/>
    <row r="66537" s="12" customFormat="1" x14ac:dyDescent="0.25"/>
    <row r="66538" s="12" customFormat="1" x14ac:dyDescent="0.25"/>
    <row r="66539" s="12" customFormat="1" x14ac:dyDescent="0.25"/>
    <row r="66540" s="12" customFormat="1" x14ac:dyDescent="0.25"/>
    <row r="66541" s="12" customFormat="1" x14ac:dyDescent="0.25"/>
    <row r="66542" s="12" customFormat="1" x14ac:dyDescent="0.25"/>
    <row r="66543" s="12" customFormat="1" x14ac:dyDescent="0.25"/>
    <row r="66544" s="12" customFormat="1" x14ac:dyDescent="0.25"/>
    <row r="66545" s="12" customFormat="1" x14ac:dyDescent="0.25"/>
    <row r="66546" s="12" customFormat="1" x14ac:dyDescent="0.25"/>
    <row r="66547" s="12" customFormat="1" x14ac:dyDescent="0.25"/>
    <row r="66548" s="12" customFormat="1" x14ac:dyDescent="0.25"/>
    <row r="66549" s="12" customFormat="1" x14ac:dyDescent="0.25"/>
    <row r="66550" s="12" customFormat="1" x14ac:dyDescent="0.25"/>
    <row r="66551" s="12" customFormat="1" x14ac:dyDescent="0.25"/>
    <row r="66552" s="12" customFormat="1" x14ac:dyDescent="0.25"/>
    <row r="66553" s="12" customFormat="1" x14ac:dyDescent="0.25"/>
    <row r="66554" s="12" customFormat="1" x14ac:dyDescent="0.25"/>
    <row r="66555" s="12" customFormat="1" x14ac:dyDescent="0.25"/>
    <row r="66556" s="12" customFormat="1" x14ac:dyDescent="0.25"/>
    <row r="66557" s="12" customFormat="1" x14ac:dyDescent="0.25"/>
    <row r="66558" s="12" customFormat="1" x14ac:dyDescent="0.25"/>
    <row r="66559" s="12" customFormat="1" x14ac:dyDescent="0.25"/>
    <row r="66560" s="12" customFormat="1" x14ac:dyDescent="0.25"/>
    <row r="66561" s="12" customFormat="1" x14ac:dyDescent="0.25"/>
    <row r="66562" s="12" customFormat="1" x14ac:dyDescent="0.25"/>
    <row r="66563" s="12" customFormat="1" x14ac:dyDescent="0.25"/>
    <row r="66564" s="12" customFormat="1" x14ac:dyDescent="0.25"/>
    <row r="66565" s="12" customFormat="1" x14ac:dyDescent="0.25"/>
    <row r="66566" s="12" customFormat="1" x14ac:dyDescent="0.25"/>
    <row r="66567" s="12" customFormat="1" x14ac:dyDescent="0.25"/>
    <row r="66568" s="12" customFormat="1" x14ac:dyDescent="0.25"/>
    <row r="66569" s="12" customFormat="1" x14ac:dyDescent="0.25"/>
    <row r="66570" s="12" customFormat="1" x14ac:dyDescent="0.25"/>
    <row r="66571" s="12" customFormat="1" x14ac:dyDescent="0.25"/>
    <row r="66572" s="12" customFormat="1" x14ac:dyDescent="0.25"/>
    <row r="66573" s="12" customFormat="1" x14ac:dyDescent="0.25"/>
    <row r="66574" s="12" customFormat="1" x14ac:dyDescent="0.25"/>
    <row r="66575" s="12" customFormat="1" x14ac:dyDescent="0.25"/>
    <row r="66576" s="12" customFormat="1" x14ac:dyDescent="0.25"/>
    <row r="66577" s="12" customFormat="1" x14ac:dyDescent="0.25"/>
    <row r="66578" s="12" customFormat="1" x14ac:dyDescent="0.25"/>
    <row r="66579" s="12" customFormat="1" x14ac:dyDescent="0.25"/>
    <row r="66580" s="12" customFormat="1" x14ac:dyDescent="0.25"/>
    <row r="66581" s="12" customFormat="1" x14ac:dyDescent="0.25"/>
    <row r="66582" s="12" customFormat="1" x14ac:dyDescent="0.25"/>
    <row r="66583" s="12" customFormat="1" x14ac:dyDescent="0.25"/>
    <row r="66584" s="12" customFormat="1" x14ac:dyDescent="0.25"/>
    <row r="66585" s="12" customFormat="1" x14ac:dyDescent="0.25"/>
    <row r="66586" s="12" customFormat="1" x14ac:dyDescent="0.25"/>
    <row r="66587" s="12" customFormat="1" x14ac:dyDescent="0.25"/>
    <row r="66588" s="12" customFormat="1" x14ac:dyDescent="0.25"/>
    <row r="66589" s="12" customFormat="1" x14ac:dyDescent="0.25"/>
    <row r="66590" s="12" customFormat="1" x14ac:dyDescent="0.25"/>
    <row r="66591" s="12" customFormat="1" x14ac:dyDescent="0.25"/>
    <row r="66592" s="12" customFormat="1" x14ac:dyDescent="0.25"/>
    <row r="66593" s="12" customFormat="1" x14ac:dyDescent="0.25"/>
    <row r="66594" s="12" customFormat="1" x14ac:dyDescent="0.25"/>
    <row r="66595" s="12" customFormat="1" x14ac:dyDescent="0.25"/>
    <row r="66596" s="12" customFormat="1" x14ac:dyDescent="0.25"/>
    <row r="66597" s="12" customFormat="1" x14ac:dyDescent="0.25"/>
    <row r="66598" s="12" customFormat="1" x14ac:dyDescent="0.25"/>
    <row r="66599" s="12" customFormat="1" x14ac:dyDescent="0.25"/>
    <row r="66600" s="12" customFormat="1" x14ac:dyDescent="0.25"/>
    <row r="66601" s="12" customFormat="1" x14ac:dyDescent="0.25"/>
    <row r="66602" s="12" customFormat="1" x14ac:dyDescent="0.25"/>
    <row r="66603" s="12" customFormat="1" x14ac:dyDescent="0.25"/>
    <row r="66604" s="12" customFormat="1" x14ac:dyDescent="0.25"/>
    <row r="66605" s="12" customFormat="1" x14ac:dyDescent="0.25"/>
    <row r="66606" s="12" customFormat="1" x14ac:dyDescent="0.25"/>
    <row r="66607" s="12" customFormat="1" x14ac:dyDescent="0.25"/>
    <row r="66608" s="12" customFormat="1" x14ac:dyDescent="0.25"/>
    <row r="66609" s="12" customFormat="1" x14ac:dyDescent="0.25"/>
    <row r="66610" s="12" customFormat="1" x14ac:dyDescent="0.25"/>
    <row r="66611" s="12" customFormat="1" x14ac:dyDescent="0.25"/>
    <row r="66612" s="12" customFormat="1" x14ac:dyDescent="0.25"/>
    <row r="66613" s="12" customFormat="1" x14ac:dyDescent="0.25"/>
    <row r="66614" s="12" customFormat="1" x14ac:dyDescent="0.25"/>
    <row r="66615" s="12" customFormat="1" x14ac:dyDescent="0.25"/>
    <row r="66616" s="12" customFormat="1" x14ac:dyDescent="0.25"/>
    <row r="66617" s="12" customFormat="1" x14ac:dyDescent="0.25"/>
    <row r="66618" s="12" customFormat="1" x14ac:dyDescent="0.25"/>
    <row r="66619" s="12" customFormat="1" x14ac:dyDescent="0.25"/>
    <row r="66620" s="12" customFormat="1" x14ac:dyDescent="0.25"/>
    <row r="66621" s="12" customFormat="1" x14ac:dyDescent="0.25"/>
    <row r="66622" s="12" customFormat="1" x14ac:dyDescent="0.25"/>
    <row r="66623" s="12" customFormat="1" x14ac:dyDescent="0.25"/>
    <row r="66624" s="12" customFormat="1" x14ac:dyDescent="0.25"/>
    <row r="66625" s="12" customFormat="1" x14ac:dyDescent="0.25"/>
    <row r="66626" s="12" customFormat="1" x14ac:dyDescent="0.25"/>
    <row r="66627" s="12" customFormat="1" x14ac:dyDescent="0.25"/>
    <row r="66628" s="12" customFormat="1" x14ac:dyDescent="0.25"/>
    <row r="66629" s="12" customFormat="1" x14ac:dyDescent="0.25"/>
    <row r="66630" s="12" customFormat="1" x14ac:dyDescent="0.25"/>
    <row r="66631" s="12" customFormat="1" x14ac:dyDescent="0.25"/>
    <row r="66632" s="12" customFormat="1" x14ac:dyDescent="0.25"/>
    <row r="66633" s="12" customFormat="1" x14ac:dyDescent="0.25"/>
    <row r="66634" s="12" customFormat="1" x14ac:dyDescent="0.25"/>
    <row r="66635" s="12" customFormat="1" x14ac:dyDescent="0.25"/>
    <row r="66636" s="12" customFormat="1" x14ac:dyDescent="0.25"/>
    <row r="66637" s="12" customFormat="1" x14ac:dyDescent="0.25"/>
    <row r="66638" s="12" customFormat="1" x14ac:dyDescent="0.25"/>
    <row r="66639" s="12" customFormat="1" x14ac:dyDescent="0.25"/>
    <row r="66640" s="12" customFormat="1" x14ac:dyDescent="0.25"/>
    <row r="66641" s="12" customFormat="1" x14ac:dyDescent="0.25"/>
    <row r="66642" s="12" customFormat="1" x14ac:dyDescent="0.25"/>
    <row r="66643" s="12" customFormat="1" x14ac:dyDescent="0.25"/>
    <row r="66644" s="12" customFormat="1" x14ac:dyDescent="0.25"/>
    <row r="66645" s="12" customFormat="1" x14ac:dyDescent="0.25"/>
    <row r="66646" s="12" customFormat="1" x14ac:dyDescent="0.25"/>
    <row r="66647" s="12" customFormat="1" x14ac:dyDescent="0.25"/>
    <row r="66648" s="12" customFormat="1" x14ac:dyDescent="0.25"/>
    <row r="66649" s="12" customFormat="1" x14ac:dyDescent="0.25"/>
    <row r="66650" s="12" customFormat="1" x14ac:dyDescent="0.25"/>
    <row r="66651" s="12" customFormat="1" x14ac:dyDescent="0.25"/>
    <row r="66652" s="12" customFormat="1" x14ac:dyDescent="0.25"/>
    <row r="66653" s="12" customFormat="1" x14ac:dyDescent="0.25"/>
    <row r="66654" s="12" customFormat="1" x14ac:dyDescent="0.25"/>
    <row r="66655" s="12" customFormat="1" x14ac:dyDescent="0.25"/>
    <row r="66656" s="12" customFormat="1" x14ac:dyDescent="0.25"/>
    <row r="66657" s="12" customFormat="1" x14ac:dyDescent="0.25"/>
    <row r="66658" s="12" customFormat="1" x14ac:dyDescent="0.25"/>
    <row r="66659" s="12" customFormat="1" x14ac:dyDescent="0.25"/>
    <row r="66660" s="12" customFormat="1" x14ac:dyDescent="0.25"/>
    <row r="66661" s="12" customFormat="1" x14ac:dyDescent="0.25"/>
    <row r="66662" s="12" customFormat="1" x14ac:dyDescent="0.25"/>
    <row r="66663" s="12" customFormat="1" x14ac:dyDescent="0.25"/>
    <row r="66664" s="12" customFormat="1" x14ac:dyDescent="0.25"/>
    <row r="66665" s="12" customFormat="1" x14ac:dyDescent="0.25"/>
    <row r="66666" s="12" customFormat="1" x14ac:dyDescent="0.25"/>
    <row r="66667" s="12" customFormat="1" x14ac:dyDescent="0.25"/>
    <row r="66668" s="12" customFormat="1" x14ac:dyDescent="0.25"/>
    <row r="66669" s="12" customFormat="1" x14ac:dyDescent="0.25"/>
    <row r="66670" s="12" customFormat="1" x14ac:dyDescent="0.25"/>
    <row r="66671" s="12" customFormat="1" x14ac:dyDescent="0.25"/>
    <row r="66672" s="12" customFormat="1" x14ac:dyDescent="0.25"/>
    <row r="66673" s="12" customFormat="1" x14ac:dyDescent="0.25"/>
    <row r="66674" s="12" customFormat="1" x14ac:dyDescent="0.25"/>
    <row r="66675" s="12" customFormat="1" x14ac:dyDescent="0.25"/>
    <row r="66676" s="12" customFormat="1" x14ac:dyDescent="0.25"/>
    <row r="66677" s="12" customFormat="1" x14ac:dyDescent="0.25"/>
    <row r="66678" s="12" customFormat="1" x14ac:dyDescent="0.25"/>
    <row r="66679" s="12" customFormat="1" x14ac:dyDescent="0.25"/>
    <row r="66680" s="12" customFormat="1" x14ac:dyDescent="0.25"/>
    <row r="66681" s="12" customFormat="1" x14ac:dyDescent="0.25"/>
    <row r="66682" s="12" customFormat="1" x14ac:dyDescent="0.25"/>
    <row r="66683" s="12" customFormat="1" x14ac:dyDescent="0.25"/>
    <row r="66684" s="12" customFormat="1" x14ac:dyDescent="0.25"/>
    <row r="66685" s="12" customFormat="1" x14ac:dyDescent="0.25"/>
    <row r="66686" s="12" customFormat="1" x14ac:dyDescent="0.25"/>
    <row r="66687" s="12" customFormat="1" x14ac:dyDescent="0.25"/>
    <row r="66688" s="12" customFormat="1" x14ac:dyDescent="0.25"/>
    <row r="66689" s="12" customFormat="1" x14ac:dyDescent="0.25"/>
    <row r="66690" s="12" customFormat="1" x14ac:dyDescent="0.25"/>
    <row r="66691" s="12" customFormat="1" x14ac:dyDescent="0.25"/>
    <row r="66692" s="12" customFormat="1" x14ac:dyDescent="0.25"/>
    <row r="66693" s="12" customFormat="1" x14ac:dyDescent="0.25"/>
    <row r="66694" s="12" customFormat="1" x14ac:dyDescent="0.25"/>
    <row r="66695" s="12" customFormat="1" x14ac:dyDescent="0.25"/>
    <row r="66696" s="12" customFormat="1" x14ac:dyDescent="0.25"/>
    <row r="66697" s="12" customFormat="1" x14ac:dyDescent="0.25"/>
    <row r="66698" s="12" customFormat="1" x14ac:dyDescent="0.25"/>
    <row r="66699" s="12" customFormat="1" x14ac:dyDescent="0.25"/>
    <row r="66700" s="12" customFormat="1" x14ac:dyDescent="0.25"/>
    <row r="66701" s="12" customFormat="1" x14ac:dyDescent="0.25"/>
    <row r="66702" s="12" customFormat="1" x14ac:dyDescent="0.25"/>
    <row r="66703" s="12" customFormat="1" x14ac:dyDescent="0.25"/>
    <row r="66704" s="12" customFormat="1" x14ac:dyDescent="0.25"/>
    <row r="66705" s="12" customFormat="1" x14ac:dyDescent="0.25"/>
    <row r="66706" s="12" customFormat="1" x14ac:dyDescent="0.25"/>
    <row r="66707" s="12" customFormat="1" x14ac:dyDescent="0.25"/>
    <row r="66708" s="12" customFormat="1" x14ac:dyDescent="0.25"/>
    <row r="66709" s="12" customFormat="1" x14ac:dyDescent="0.25"/>
    <row r="66710" s="12" customFormat="1" x14ac:dyDescent="0.25"/>
    <row r="66711" s="12" customFormat="1" x14ac:dyDescent="0.25"/>
    <row r="66712" s="12" customFormat="1" x14ac:dyDescent="0.25"/>
    <row r="66713" s="12" customFormat="1" x14ac:dyDescent="0.25"/>
    <row r="66714" s="12" customFormat="1" x14ac:dyDescent="0.25"/>
    <row r="66715" s="12" customFormat="1" x14ac:dyDescent="0.25"/>
    <row r="66716" s="12" customFormat="1" x14ac:dyDescent="0.25"/>
    <row r="66717" s="12" customFormat="1" x14ac:dyDescent="0.25"/>
    <row r="66718" s="12" customFormat="1" x14ac:dyDescent="0.25"/>
    <row r="66719" s="12" customFormat="1" x14ac:dyDescent="0.25"/>
    <row r="66720" s="12" customFormat="1" x14ac:dyDescent="0.25"/>
    <row r="66721" s="12" customFormat="1" x14ac:dyDescent="0.25"/>
    <row r="66722" s="12" customFormat="1" x14ac:dyDescent="0.25"/>
    <row r="66723" s="12" customFormat="1" x14ac:dyDescent="0.25"/>
    <row r="66724" s="12" customFormat="1" x14ac:dyDescent="0.25"/>
    <row r="66725" s="12" customFormat="1" x14ac:dyDescent="0.25"/>
    <row r="66726" s="12" customFormat="1" x14ac:dyDescent="0.25"/>
    <row r="66727" s="12" customFormat="1" x14ac:dyDescent="0.25"/>
    <row r="66728" s="12" customFormat="1" x14ac:dyDescent="0.25"/>
    <row r="66729" s="12" customFormat="1" x14ac:dyDescent="0.25"/>
    <row r="66730" s="12" customFormat="1" x14ac:dyDescent="0.25"/>
    <row r="66731" s="12" customFormat="1" x14ac:dyDescent="0.25"/>
    <row r="66732" s="12" customFormat="1" x14ac:dyDescent="0.25"/>
    <row r="66733" s="12" customFormat="1" x14ac:dyDescent="0.25"/>
    <row r="66734" s="12" customFormat="1" x14ac:dyDescent="0.25"/>
    <row r="66735" s="12" customFormat="1" x14ac:dyDescent="0.25"/>
    <row r="66736" s="12" customFormat="1" x14ac:dyDescent="0.25"/>
    <row r="66737" s="12" customFormat="1" x14ac:dyDescent="0.25"/>
    <row r="66738" s="12" customFormat="1" x14ac:dyDescent="0.25"/>
    <row r="66739" s="12" customFormat="1" x14ac:dyDescent="0.25"/>
    <row r="66740" s="12" customFormat="1" x14ac:dyDescent="0.25"/>
    <row r="66741" s="12" customFormat="1" x14ac:dyDescent="0.25"/>
    <row r="66742" s="12" customFormat="1" x14ac:dyDescent="0.25"/>
    <row r="66743" s="12" customFormat="1" x14ac:dyDescent="0.25"/>
    <row r="66744" s="12" customFormat="1" x14ac:dyDescent="0.25"/>
    <row r="66745" s="12" customFormat="1" x14ac:dyDescent="0.25"/>
    <row r="66746" s="12" customFormat="1" x14ac:dyDescent="0.25"/>
    <row r="66747" s="12" customFormat="1" x14ac:dyDescent="0.25"/>
    <row r="66748" s="12" customFormat="1" x14ac:dyDescent="0.25"/>
    <row r="66749" s="12" customFormat="1" x14ac:dyDescent="0.25"/>
    <row r="66750" s="12" customFormat="1" x14ac:dyDescent="0.25"/>
    <row r="66751" s="12" customFormat="1" x14ac:dyDescent="0.25"/>
    <row r="66752" s="12" customFormat="1" x14ac:dyDescent="0.25"/>
    <row r="66753" s="12" customFormat="1" x14ac:dyDescent="0.25"/>
    <row r="66754" s="12" customFormat="1" x14ac:dyDescent="0.25"/>
    <row r="66755" s="12" customFormat="1" x14ac:dyDescent="0.25"/>
    <row r="66756" s="12" customFormat="1" x14ac:dyDescent="0.25"/>
    <row r="66757" s="12" customFormat="1" x14ac:dyDescent="0.25"/>
    <row r="66758" s="12" customFormat="1" x14ac:dyDescent="0.25"/>
    <row r="66759" s="12" customFormat="1" x14ac:dyDescent="0.25"/>
    <row r="66760" s="12" customFormat="1" x14ac:dyDescent="0.25"/>
    <row r="66761" s="12" customFormat="1" x14ac:dyDescent="0.25"/>
    <row r="66762" s="12" customFormat="1" x14ac:dyDescent="0.25"/>
    <row r="66763" s="12" customFormat="1" x14ac:dyDescent="0.25"/>
    <row r="66764" s="12" customFormat="1" x14ac:dyDescent="0.25"/>
    <row r="66765" s="12" customFormat="1" x14ac:dyDescent="0.25"/>
    <row r="66766" s="12" customFormat="1" x14ac:dyDescent="0.25"/>
    <row r="66767" s="12" customFormat="1" x14ac:dyDescent="0.25"/>
    <row r="66768" s="12" customFormat="1" x14ac:dyDescent="0.25"/>
    <row r="66769" s="12" customFormat="1" x14ac:dyDescent="0.25"/>
    <row r="66770" s="12" customFormat="1" x14ac:dyDescent="0.25"/>
    <row r="66771" s="12" customFormat="1" x14ac:dyDescent="0.25"/>
    <row r="66772" s="12" customFormat="1" x14ac:dyDescent="0.25"/>
    <row r="66773" s="12" customFormat="1" x14ac:dyDescent="0.25"/>
    <row r="66774" s="12" customFormat="1" x14ac:dyDescent="0.25"/>
    <row r="66775" s="12" customFormat="1" x14ac:dyDescent="0.25"/>
    <row r="66776" s="12" customFormat="1" x14ac:dyDescent="0.25"/>
    <row r="66777" s="12" customFormat="1" x14ac:dyDescent="0.25"/>
    <row r="66778" s="12" customFormat="1" x14ac:dyDescent="0.25"/>
    <row r="66779" s="12" customFormat="1" x14ac:dyDescent="0.25"/>
    <row r="66780" s="12" customFormat="1" x14ac:dyDescent="0.25"/>
    <row r="66781" s="12" customFormat="1" x14ac:dyDescent="0.25"/>
    <row r="66782" s="12" customFormat="1" x14ac:dyDescent="0.25"/>
    <row r="66783" s="12" customFormat="1" x14ac:dyDescent="0.25"/>
    <row r="66784" s="12" customFormat="1" x14ac:dyDescent="0.25"/>
    <row r="66785" s="12" customFormat="1" x14ac:dyDescent="0.25"/>
    <row r="66786" s="12" customFormat="1" x14ac:dyDescent="0.25"/>
    <row r="66787" s="12" customFormat="1" x14ac:dyDescent="0.25"/>
    <row r="66788" s="12" customFormat="1" x14ac:dyDescent="0.25"/>
    <row r="66789" s="12" customFormat="1" x14ac:dyDescent="0.25"/>
    <row r="66790" s="12" customFormat="1" x14ac:dyDescent="0.25"/>
    <row r="66791" s="12" customFormat="1" x14ac:dyDescent="0.25"/>
    <row r="66792" s="12" customFormat="1" x14ac:dyDescent="0.25"/>
    <row r="66793" s="12" customFormat="1" x14ac:dyDescent="0.25"/>
    <row r="66794" s="12" customFormat="1" x14ac:dyDescent="0.25"/>
    <row r="66795" s="12" customFormat="1" x14ac:dyDescent="0.25"/>
    <row r="66796" s="12" customFormat="1" x14ac:dyDescent="0.25"/>
    <row r="66797" s="12" customFormat="1" x14ac:dyDescent="0.25"/>
    <row r="66798" s="12" customFormat="1" x14ac:dyDescent="0.25"/>
    <row r="66799" s="12" customFormat="1" x14ac:dyDescent="0.25"/>
    <row r="66800" s="12" customFormat="1" x14ac:dyDescent="0.25"/>
    <row r="66801" s="12" customFormat="1" x14ac:dyDescent="0.25"/>
    <row r="66802" s="12" customFormat="1" x14ac:dyDescent="0.25"/>
    <row r="66803" s="12" customFormat="1" x14ac:dyDescent="0.25"/>
    <row r="66804" s="12" customFormat="1" x14ac:dyDescent="0.25"/>
    <row r="66805" s="12" customFormat="1" x14ac:dyDescent="0.25"/>
    <row r="66806" s="12" customFormat="1" x14ac:dyDescent="0.25"/>
    <row r="66807" s="12" customFormat="1" x14ac:dyDescent="0.25"/>
    <row r="66808" s="12" customFormat="1" x14ac:dyDescent="0.25"/>
    <row r="66809" s="12" customFormat="1" x14ac:dyDescent="0.25"/>
    <row r="66810" s="12" customFormat="1" x14ac:dyDescent="0.25"/>
    <row r="66811" s="12" customFormat="1" x14ac:dyDescent="0.25"/>
    <row r="66812" s="12" customFormat="1" x14ac:dyDescent="0.25"/>
    <row r="66813" s="12" customFormat="1" x14ac:dyDescent="0.25"/>
    <row r="66814" s="12" customFormat="1" x14ac:dyDescent="0.25"/>
    <row r="66815" s="12" customFormat="1" x14ac:dyDescent="0.25"/>
    <row r="66816" s="12" customFormat="1" x14ac:dyDescent="0.25"/>
    <row r="66817" s="12" customFormat="1" x14ac:dyDescent="0.25"/>
    <row r="66818" s="12" customFormat="1" x14ac:dyDescent="0.25"/>
    <row r="66819" s="12" customFormat="1" x14ac:dyDescent="0.25"/>
    <row r="66820" s="12" customFormat="1" x14ac:dyDescent="0.25"/>
    <row r="66821" s="12" customFormat="1" x14ac:dyDescent="0.25"/>
    <row r="66822" s="12" customFormat="1" x14ac:dyDescent="0.25"/>
    <row r="66823" s="12" customFormat="1" x14ac:dyDescent="0.25"/>
    <row r="66824" s="12" customFormat="1" x14ac:dyDescent="0.25"/>
    <row r="66825" s="12" customFormat="1" x14ac:dyDescent="0.25"/>
    <row r="66826" s="12" customFormat="1" x14ac:dyDescent="0.25"/>
    <row r="66827" s="12" customFormat="1" x14ac:dyDescent="0.25"/>
    <row r="66828" s="12" customFormat="1" x14ac:dyDescent="0.25"/>
    <row r="66829" s="12" customFormat="1" x14ac:dyDescent="0.25"/>
    <row r="66830" s="12" customFormat="1" x14ac:dyDescent="0.25"/>
    <row r="66831" s="12" customFormat="1" x14ac:dyDescent="0.25"/>
    <row r="66832" s="12" customFormat="1" x14ac:dyDescent="0.25"/>
    <row r="66833" s="12" customFormat="1" x14ac:dyDescent="0.25"/>
    <row r="66834" s="12" customFormat="1" x14ac:dyDescent="0.25"/>
    <row r="66835" s="12" customFormat="1" x14ac:dyDescent="0.25"/>
    <row r="66836" s="12" customFormat="1" x14ac:dyDescent="0.25"/>
    <row r="66837" s="12" customFormat="1" x14ac:dyDescent="0.25"/>
    <row r="66838" s="12" customFormat="1" x14ac:dyDescent="0.25"/>
    <row r="66839" s="12" customFormat="1" x14ac:dyDescent="0.25"/>
    <row r="66840" s="12" customFormat="1" x14ac:dyDescent="0.25"/>
    <row r="66841" s="12" customFormat="1" x14ac:dyDescent="0.25"/>
    <row r="66842" s="12" customFormat="1" x14ac:dyDescent="0.25"/>
    <row r="66843" s="12" customFormat="1" x14ac:dyDescent="0.25"/>
    <row r="66844" s="12" customFormat="1" x14ac:dyDescent="0.25"/>
    <row r="66845" s="12" customFormat="1" x14ac:dyDescent="0.25"/>
    <row r="66846" s="12" customFormat="1" x14ac:dyDescent="0.25"/>
    <row r="66847" s="12" customFormat="1" x14ac:dyDescent="0.25"/>
    <row r="66848" s="12" customFormat="1" x14ac:dyDescent="0.25"/>
    <row r="66849" s="12" customFormat="1" x14ac:dyDescent="0.25"/>
    <row r="66850" s="12" customFormat="1" x14ac:dyDescent="0.25"/>
    <row r="66851" s="12" customFormat="1" x14ac:dyDescent="0.25"/>
    <row r="66852" s="12" customFormat="1" x14ac:dyDescent="0.25"/>
    <row r="66853" s="12" customFormat="1" x14ac:dyDescent="0.25"/>
    <row r="66854" s="12" customFormat="1" x14ac:dyDescent="0.25"/>
    <row r="66855" s="12" customFormat="1" x14ac:dyDescent="0.25"/>
    <row r="66856" s="12" customFormat="1" x14ac:dyDescent="0.25"/>
    <row r="66857" s="12" customFormat="1" x14ac:dyDescent="0.25"/>
    <row r="66858" s="12" customFormat="1" x14ac:dyDescent="0.25"/>
    <row r="66859" s="12" customFormat="1" x14ac:dyDescent="0.25"/>
    <row r="66860" s="12" customFormat="1" x14ac:dyDescent="0.25"/>
    <row r="66861" s="12" customFormat="1" x14ac:dyDescent="0.25"/>
    <row r="66862" s="12" customFormat="1" x14ac:dyDescent="0.25"/>
    <row r="66863" s="12" customFormat="1" x14ac:dyDescent="0.25"/>
    <row r="66864" s="12" customFormat="1" x14ac:dyDescent="0.25"/>
    <row r="66865" s="12" customFormat="1" x14ac:dyDescent="0.25"/>
    <row r="66866" s="12" customFormat="1" x14ac:dyDescent="0.25"/>
    <row r="66867" s="12" customFormat="1" x14ac:dyDescent="0.25"/>
    <row r="66868" s="12" customFormat="1" x14ac:dyDescent="0.25"/>
    <row r="66869" s="12" customFormat="1" x14ac:dyDescent="0.25"/>
    <row r="66870" s="12" customFormat="1" x14ac:dyDescent="0.25"/>
    <row r="66871" s="12" customFormat="1" x14ac:dyDescent="0.25"/>
    <row r="66872" s="12" customFormat="1" x14ac:dyDescent="0.25"/>
    <row r="66873" s="12" customFormat="1" x14ac:dyDescent="0.25"/>
    <row r="66874" s="12" customFormat="1" x14ac:dyDescent="0.25"/>
    <row r="66875" s="12" customFormat="1" x14ac:dyDescent="0.25"/>
    <row r="66876" s="12" customFormat="1" x14ac:dyDescent="0.25"/>
    <row r="66877" s="12" customFormat="1" x14ac:dyDescent="0.25"/>
    <row r="66878" s="12" customFormat="1" x14ac:dyDescent="0.25"/>
    <row r="66879" s="12" customFormat="1" x14ac:dyDescent="0.25"/>
    <row r="66880" s="12" customFormat="1" x14ac:dyDescent="0.25"/>
    <row r="66881" s="12" customFormat="1" x14ac:dyDescent="0.25"/>
    <row r="66882" s="12" customFormat="1" x14ac:dyDescent="0.25"/>
    <row r="66883" s="12" customFormat="1" x14ac:dyDescent="0.25"/>
    <row r="66884" s="12" customFormat="1" x14ac:dyDescent="0.25"/>
    <row r="66885" s="12" customFormat="1" x14ac:dyDescent="0.25"/>
    <row r="66886" s="12" customFormat="1" x14ac:dyDescent="0.25"/>
    <row r="66887" s="12" customFormat="1" x14ac:dyDescent="0.25"/>
    <row r="66888" s="12" customFormat="1" x14ac:dyDescent="0.25"/>
    <row r="66889" s="12" customFormat="1" x14ac:dyDescent="0.25"/>
    <row r="66890" s="12" customFormat="1" x14ac:dyDescent="0.25"/>
    <row r="66891" s="12" customFormat="1" x14ac:dyDescent="0.25"/>
    <row r="66892" s="12" customFormat="1" x14ac:dyDescent="0.25"/>
    <row r="66893" s="12" customFormat="1" x14ac:dyDescent="0.25"/>
    <row r="66894" s="12" customFormat="1" x14ac:dyDescent="0.25"/>
    <row r="66895" s="12" customFormat="1" x14ac:dyDescent="0.25"/>
    <row r="66896" s="12" customFormat="1" x14ac:dyDescent="0.25"/>
    <row r="66897" s="12" customFormat="1" x14ac:dyDescent="0.25"/>
    <row r="66898" s="12" customFormat="1" x14ac:dyDescent="0.25"/>
    <row r="66899" s="12" customFormat="1" x14ac:dyDescent="0.25"/>
    <row r="66900" s="12" customFormat="1" x14ac:dyDescent="0.25"/>
    <row r="66901" s="12" customFormat="1" x14ac:dyDescent="0.25"/>
    <row r="66902" s="12" customFormat="1" x14ac:dyDescent="0.25"/>
    <row r="66903" s="12" customFormat="1" x14ac:dyDescent="0.25"/>
    <row r="66904" s="12" customFormat="1" x14ac:dyDescent="0.25"/>
    <row r="66905" s="12" customFormat="1" x14ac:dyDescent="0.25"/>
    <row r="66906" s="12" customFormat="1" x14ac:dyDescent="0.25"/>
    <row r="66907" s="12" customFormat="1" x14ac:dyDescent="0.25"/>
    <row r="66908" s="12" customFormat="1" x14ac:dyDescent="0.25"/>
    <row r="66909" s="12" customFormat="1" x14ac:dyDescent="0.25"/>
    <row r="66910" s="12" customFormat="1" x14ac:dyDescent="0.25"/>
    <row r="66911" s="12" customFormat="1" x14ac:dyDescent="0.25"/>
    <row r="66912" s="12" customFormat="1" x14ac:dyDescent="0.25"/>
    <row r="66913" s="12" customFormat="1" x14ac:dyDescent="0.25"/>
    <row r="66914" s="12" customFormat="1" x14ac:dyDescent="0.25"/>
    <row r="66915" s="12" customFormat="1" x14ac:dyDescent="0.25"/>
    <row r="66916" s="12" customFormat="1" x14ac:dyDescent="0.25"/>
    <row r="66917" s="12" customFormat="1" x14ac:dyDescent="0.25"/>
    <row r="66918" s="12" customFormat="1" x14ac:dyDescent="0.25"/>
    <row r="66919" s="12" customFormat="1" x14ac:dyDescent="0.25"/>
    <row r="66920" s="12" customFormat="1" x14ac:dyDescent="0.25"/>
    <row r="66921" s="12" customFormat="1" x14ac:dyDescent="0.25"/>
    <row r="66922" s="12" customFormat="1" x14ac:dyDescent="0.25"/>
    <row r="66923" s="12" customFormat="1" x14ac:dyDescent="0.25"/>
    <row r="66924" s="12" customFormat="1" x14ac:dyDescent="0.25"/>
    <row r="66925" s="12" customFormat="1" x14ac:dyDescent="0.25"/>
    <row r="66926" s="12" customFormat="1" x14ac:dyDescent="0.25"/>
    <row r="66927" s="12" customFormat="1" x14ac:dyDescent="0.25"/>
    <row r="66928" s="12" customFormat="1" x14ac:dyDescent="0.25"/>
    <row r="66929" s="12" customFormat="1" x14ac:dyDescent="0.25"/>
    <row r="66930" s="12" customFormat="1" x14ac:dyDescent="0.25"/>
    <row r="66931" s="12" customFormat="1" x14ac:dyDescent="0.25"/>
    <row r="66932" s="12" customFormat="1" x14ac:dyDescent="0.25"/>
    <row r="66933" s="12" customFormat="1" x14ac:dyDescent="0.25"/>
    <row r="66934" s="12" customFormat="1" x14ac:dyDescent="0.25"/>
    <row r="66935" s="12" customFormat="1" x14ac:dyDescent="0.25"/>
    <row r="66936" s="12" customFormat="1" x14ac:dyDescent="0.25"/>
    <row r="66937" s="12" customFormat="1" x14ac:dyDescent="0.25"/>
    <row r="66938" s="12" customFormat="1" x14ac:dyDescent="0.25"/>
    <row r="66939" s="12" customFormat="1" x14ac:dyDescent="0.25"/>
    <row r="66940" s="12" customFormat="1" x14ac:dyDescent="0.25"/>
    <row r="66941" s="12" customFormat="1" x14ac:dyDescent="0.25"/>
    <row r="66942" s="12" customFormat="1" x14ac:dyDescent="0.25"/>
    <row r="66943" s="12" customFormat="1" x14ac:dyDescent="0.25"/>
    <row r="66944" s="12" customFormat="1" x14ac:dyDescent="0.25"/>
    <row r="66945" s="12" customFormat="1" x14ac:dyDescent="0.25"/>
    <row r="66946" s="12" customFormat="1" x14ac:dyDescent="0.25"/>
    <row r="66947" s="12" customFormat="1" x14ac:dyDescent="0.25"/>
    <row r="66948" s="12" customFormat="1" x14ac:dyDescent="0.25"/>
    <row r="66949" s="12" customFormat="1" x14ac:dyDescent="0.25"/>
    <row r="66950" s="12" customFormat="1" x14ac:dyDescent="0.25"/>
    <row r="66951" s="12" customFormat="1" x14ac:dyDescent="0.25"/>
    <row r="66952" s="12" customFormat="1" x14ac:dyDescent="0.25"/>
    <row r="66953" s="12" customFormat="1" x14ac:dyDescent="0.25"/>
    <row r="66954" s="12" customFormat="1" x14ac:dyDescent="0.25"/>
    <row r="66955" s="12" customFormat="1" x14ac:dyDescent="0.25"/>
    <row r="66956" s="12" customFormat="1" x14ac:dyDescent="0.25"/>
    <row r="66957" s="12" customFormat="1" x14ac:dyDescent="0.25"/>
    <row r="66958" s="12" customFormat="1" x14ac:dyDescent="0.25"/>
    <row r="66959" s="12" customFormat="1" x14ac:dyDescent="0.25"/>
    <row r="66960" s="12" customFormat="1" x14ac:dyDescent="0.25"/>
    <row r="66961" s="12" customFormat="1" x14ac:dyDescent="0.25"/>
    <row r="66962" s="12" customFormat="1" x14ac:dyDescent="0.25"/>
    <row r="66963" s="12" customFormat="1" x14ac:dyDescent="0.25"/>
    <row r="66964" s="12" customFormat="1" x14ac:dyDescent="0.25"/>
    <row r="66965" s="12" customFormat="1" x14ac:dyDescent="0.25"/>
    <row r="66966" s="12" customFormat="1" x14ac:dyDescent="0.25"/>
    <row r="66967" s="12" customFormat="1" x14ac:dyDescent="0.25"/>
    <row r="66968" s="12" customFormat="1" x14ac:dyDescent="0.25"/>
    <row r="66969" s="12" customFormat="1" x14ac:dyDescent="0.25"/>
    <row r="66970" s="12" customFormat="1" x14ac:dyDescent="0.25"/>
    <row r="66971" s="12" customFormat="1" x14ac:dyDescent="0.25"/>
    <row r="66972" s="12" customFormat="1" x14ac:dyDescent="0.25"/>
    <row r="66973" s="12" customFormat="1" x14ac:dyDescent="0.25"/>
    <row r="66974" s="12" customFormat="1" x14ac:dyDescent="0.25"/>
    <row r="66975" s="12" customFormat="1" x14ac:dyDescent="0.25"/>
    <row r="66976" s="12" customFormat="1" x14ac:dyDescent="0.25"/>
    <row r="66977" s="12" customFormat="1" x14ac:dyDescent="0.25"/>
    <row r="66978" s="12" customFormat="1" x14ac:dyDescent="0.25"/>
    <row r="66979" s="12" customFormat="1" x14ac:dyDescent="0.25"/>
    <row r="66980" s="12" customFormat="1" x14ac:dyDescent="0.25"/>
    <row r="66981" s="12" customFormat="1" x14ac:dyDescent="0.25"/>
    <row r="66982" s="12" customFormat="1" x14ac:dyDescent="0.25"/>
    <row r="66983" s="12" customFormat="1" x14ac:dyDescent="0.25"/>
    <row r="66984" s="12" customFormat="1" x14ac:dyDescent="0.25"/>
    <row r="66985" s="12" customFormat="1" x14ac:dyDescent="0.25"/>
    <row r="66986" s="12" customFormat="1" x14ac:dyDescent="0.25"/>
    <row r="66987" s="12" customFormat="1" x14ac:dyDescent="0.25"/>
    <row r="66988" s="12" customFormat="1" x14ac:dyDescent="0.25"/>
    <row r="66989" s="12" customFormat="1" x14ac:dyDescent="0.25"/>
    <row r="66990" s="12" customFormat="1" x14ac:dyDescent="0.25"/>
    <row r="66991" s="12" customFormat="1" x14ac:dyDescent="0.25"/>
    <row r="66992" s="12" customFormat="1" x14ac:dyDescent="0.25"/>
    <row r="66993" s="12" customFormat="1" x14ac:dyDescent="0.25"/>
    <row r="66994" s="12" customFormat="1" x14ac:dyDescent="0.25"/>
    <row r="66995" s="12" customFormat="1" x14ac:dyDescent="0.25"/>
    <row r="66996" s="12" customFormat="1" x14ac:dyDescent="0.25"/>
    <row r="66997" s="12" customFormat="1" x14ac:dyDescent="0.25"/>
    <row r="66998" s="12" customFormat="1" x14ac:dyDescent="0.25"/>
    <row r="66999" s="12" customFormat="1" x14ac:dyDescent="0.25"/>
    <row r="67000" s="12" customFormat="1" x14ac:dyDescent="0.25"/>
    <row r="67001" s="12" customFormat="1" x14ac:dyDescent="0.25"/>
    <row r="67002" s="12" customFormat="1" x14ac:dyDescent="0.25"/>
    <row r="67003" s="12" customFormat="1" x14ac:dyDescent="0.25"/>
    <row r="67004" s="12" customFormat="1" x14ac:dyDescent="0.25"/>
    <row r="67005" s="12" customFormat="1" x14ac:dyDescent="0.25"/>
    <row r="67006" s="12" customFormat="1" x14ac:dyDescent="0.25"/>
    <row r="67007" s="12" customFormat="1" x14ac:dyDescent="0.25"/>
    <row r="67008" s="12" customFormat="1" x14ac:dyDescent="0.25"/>
    <row r="67009" s="12" customFormat="1" x14ac:dyDescent="0.25"/>
    <row r="67010" s="12" customFormat="1" x14ac:dyDescent="0.25"/>
    <row r="67011" s="12" customFormat="1" x14ac:dyDescent="0.25"/>
    <row r="67012" s="12" customFormat="1" x14ac:dyDescent="0.25"/>
    <row r="67013" s="12" customFormat="1" x14ac:dyDescent="0.25"/>
    <row r="67014" s="12" customFormat="1" x14ac:dyDescent="0.25"/>
    <row r="67015" s="12" customFormat="1" x14ac:dyDescent="0.25"/>
    <row r="67016" s="12" customFormat="1" x14ac:dyDescent="0.25"/>
    <row r="67017" s="12" customFormat="1" x14ac:dyDescent="0.25"/>
    <row r="67018" s="12" customFormat="1" x14ac:dyDescent="0.25"/>
    <row r="67019" s="12" customFormat="1" x14ac:dyDescent="0.25"/>
    <row r="67020" s="12" customFormat="1" x14ac:dyDescent="0.25"/>
    <row r="67021" s="12" customFormat="1" x14ac:dyDescent="0.25"/>
    <row r="67022" s="12" customFormat="1" x14ac:dyDescent="0.25"/>
    <row r="67023" s="12" customFormat="1" x14ac:dyDescent="0.25"/>
    <row r="67024" s="12" customFormat="1" x14ac:dyDescent="0.25"/>
    <row r="67025" s="12" customFormat="1" x14ac:dyDescent="0.25"/>
    <row r="67026" s="12" customFormat="1" x14ac:dyDescent="0.25"/>
    <row r="67027" s="12" customFormat="1" x14ac:dyDescent="0.25"/>
    <row r="67028" s="12" customFormat="1" x14ac:dyDescent="0.25"/>
    <row r="67029" s="12" customFormat="1" x14ac:dyDescent="0.25"/>
    <row r="67030" s="12" customFormat="1" x14ac:dyDescent="0.25"/>
    <row r="67031" s="12" customFormat="1" x14ac:dyDescent="0.25"/>
    <row r="67032" s="12" customFormat="1" x14ac:dyDescent="0.25"/>
    <row r="67033" s="12" customFormat="1" x14ac:dyDescent="0.25"/>
    <row r="67034" s="12" customFormat="1" x14ac:dyDescent="0.25"/>
    <row r="67035" s="12" customFormat="1" x14ac:dyDescent="0.25"/>
    <row r="67036" s="12" customFormat="1" x14ac:dyDescent="0.25"/>
    <row r="67037" s="12" customFormat="1" x14ac:dyDescent="0.25"/>
    <row r="67038" s="12" customFormat="1" x14ac:dyDescent="0.25"/>
    <row r="67039" s="12" customFormat="1" x14ac:dyDescent="0.25"/>
    <row r="67040" s="12" customFormat="1" x14ac:dyDescent="0.25"/>
    <row r="67041" s="12" customFormat="1" x14ac:dyDescent="0.25"/>
    <row r="67042" s="12" customFormat="1" x14ac:dyDescent="0.25"/>
    <row r="67043" s="12" customFormat="1" x14ac:dyDescent="0.25"/>
    <row r="67044" s="12" customFormat="1" x14ac:dyDescent="0.25"/>
    <row r="67045" s="12" customFormat="1" x14ac:dyDescent="0.25"/>
    <row r="67046" s="12" customFormat="1" x14ac:dyDescent="0.25"/>
    <row r="67047" s="12" customFormat="1" x14ac:dyDescent="0.25"/>
    <row r="67048" s="12" customFormat="1" x14ac:dyDescent="0.25"/>
    <row r="67049" s="12" customFormat="1" x14ac:dyDescent="0.25"/>
    <row r="67050" s="12" customFormat="1" x14ac:dyDescent="0.25"/>
    <row r="67051" s="12" customFormat="1" x14ac:dyDescent="0.25"/>
    <row r="67052" s="12" customFormat="1" x14ac:dyDescent="0.25"/>
    <row r="67053" s="12" customFormat="1" x14ac:dyDescent="0.25"/>
    <row r="67054" s="12" customFormat="1" x14ac:dyDescent="0.25"/>
    <row r="67055" s="12" customFormat="1" x14ac:dyDescent="0.25"/>
    <row r="67056" s="12" customFormat="1" x14ac:dyDescent="0.25"/>
    <row r="67057" s="12" customFormat="1" x14ac:dyDescent="0.25"/>
    <row r="67058" s="12" customFormat="1" x14ac:dyDescent="0.25"/>
    <row r="67059" s="12" customFormat="1" x14ac:dyDescent="0.25"/>
    <row r="67060" s="12" customFormat="1" x14ac:dyDescent="0.25"/>
    <row r="67061" s="12" customFormat="1" x14ac:dyDescent="0.25"/>
    <row r="67062" s="12" customFormat="1" x14ac:dyDescent="0.25"/>
    <row r="67063" s="12" customFormat="1" x14ac:dyDescent="0.25"/>
    <row r="67064" s="12" customFormat="1" x14ac:dyDescent="0.25"/>
    <row r="67065" s="12" customFormat="1" x14ac:dyDescent="0.25"/>
    <row r="67066" s="12" customFormat="1" x14ac:dyDescent="0.25"/>
    <row r="67067" s="12" customFormat="1" x14ac:dyDescent="0.25"/>
    <row r="67068" s="12" customFormat="1" x14ac:dyDescent="0.25"/>
    <row r="67069" s="12" customFormat="1" x14ac:dyDescent="0.25"/>
    <row r="67070" s="12" customFormat="1" x14ac:dyDescent="0.25"/>
    <row r="67071" s="12" customFormat="1" x14ac:dyDescent="0.25"/>
    <row r="67072" s="12" customFormat="1" x14ac:dyDescent="0.25"/>
    <row r="67073" s="12" customFormat="1" x14ac:dyDescent="0.25"/>
    <row r="67074" s="12" customFormat="1" x14ac:dyDescent="0.25"/>
    <row r="67075" s="12" customFormat="1" x14ac:dyDescent="0.25"/>
    <row r="67076" s="12" customFormat="1" x14ac:dyDescent="0.25"/>
    <row r="67077" s="12" customFormat="1" x14ac:dyDescent="0.25"/>
    <row r="67078" s="12" customFormat="1" x14ac:dyDescent="0.25"/>
    <row r="67079" s="12" customFormat="1" x14ac:dyDescent="0.25"/>
    <row r="67080" s="12" customFormat="1" x14ac:dyDescent="0.25"/>
    <row r="67081" s="12" customFormat="1" x14ac:dyDescent="0.25"/>
    <row r="67082" s="12" customFormat="1" x14ac:dyDescent="0.25"/>
    <row r="67083" s="12" customFormat="1" x14ac:dyDescent="0.25"/>
    <row r="67084" s="12" customFormat="1" x14ac:dyDescent="0.25"/>
    <row r="67085" s="12" customFormat="1" x14ac:dyDescent="0.25"/>
    <row r="67086" s="12" customFormat="1" x14ac:dyDescent="0.25"/>
    <row r="67087" s="12" customFormat="1" x14ac:dyDescent="0.25"/>
    <row r="67088" s="12" customFormat="1" x14ac:dyDescent="0.25"/>
    <row r="67089" s="12" customFormat="1" x14ac:dyDescent="0.25"/>
    <row r="67090" s="12" customFormat="1" x14ac:dyDescent="0.25"/>
    <row r="67091" s="12" customFormat="1" x14ac:dyDescent="0.25"/>
    <row r="67092" s="12" customFormat="1" x14ac:dyDescent="0.25"/>
    <row r="67093" s="12" customFormat="1" x14ac:dyDescent="0.25"/>
    <row r="67094" s="12" customFormat="1" x14ac:dyDescent="0.25"/>
    <row r="67095" s="12" customFormat="1" x14ac:dyDescent="0.25"/>
    <row r="67096" s="12" customFormat="1" x14ac:dyDescent="0.25"/>
    <row r="67097" s="12" customFormat="1" x14ac:dyDescent="0.25"/>
    <row r="67098" s="12" customFormat="1" x14ac:dyDescent="0.25"/>
    <row r="67099" s="12" customFormat="1" x14ac:dyDescent="0.25"/>
    <row r="67100" s="12" customFormat="1" x14ac:dyDescent="0.25"/>
    <row r="67101" s="12" customFormat="1" x14ac:dyDescent="0.25"/>
    <row r="67102" s="12" customFormat="1" x14ac:dyDescent="0.25"/>
    <row r="67103" s="12" customFormat="1" x14ac:dyDescent="0.25"/>
    <row r="67104" s="12" customFormat="1" x14ac:dyDescent="0.25"/>
    <row r="67105" s="12" customFormat="1" x14ac:dyDescent="0.25"/>
    <row r="67106" s="12" customFormat="1" x14ac:dyDescent="0.25"/>
    <row r="67107" s="12" customFormat="1" x14ac:dyDescent="0.25"/>
    <row r="67108" s="12" customFormat="1" x14ac:dyDescent="0.25"/>
    <row r="67109" s="12" customFormat="1" x14ac:dyDescent="0.25"/>
    <row r="67110" s="12" customFormat="1" x14ac:dyDescent="0.25"/>
    <row r="67111" s="12" customFormat="1" x14ac:dyDescent="0.25"/>
    <row r="67112" s="12" customFormat="1" x14ac:dyDescent="0.25"/>
    <row r="67113" s="12" customFormat="1" x14ac:dyDescent="0.25"/>
    <row r="67114" s="12" customFormat="1" x14ac:dyDescent="0.25"/>
    <row r="67115" s="12" customFormat="1" x14ac:dyDescent="0.25"/>
    <row r="67116" s="12" customFormat="1" x14ac:dyDescent="0.25"/>
    <row r="67117" s="12" customFormat="1" x14ac:dyDescent="0.25"/>
    <row r="67118" s="12" customFormat="1" x14ac:dyDescent="0.25"/>
    <row r="67119" s="12" customFormat="1" x14ac:dyDescent="0.25"/>
    <row r="67120" s="12" customFormat="1" x14ac:dyDescent="0.25"/>
    <row r="67121" s="12" customFormat="1" x14ac:dyDescent="0.25"/>
    <row r="67122" s="12" customFormat="1" x14ac:dyDescent="0.25"/>
    <row r="67123" s="12" customFormat="1" x14ac:dyDescent="0.25"/>
    <row r="67124" s="12" customFormat="1" x14ac:dyDescent="0.25"/>
    <row r="67125" s="12" customFormat="1" x14ac:dyDescent="0.25"/>
    <row r="67126" s="12" customFormat="1" x14ac:dyDescent="0.25"/>
    <row r="67127" s="12" customFormat="1" x14ac:dyDescent="0.25"/>
    <row r="67128" s="12" customFormat="1" x14ac:dyDescent="0.25"/>
    <row r="67129" s="12" customFormat="1" x14ac:dyDescent="0.25"/>
    <row r="67130" s="12" customFormat="1" x14ac:dyDescent="0.25"/>
    <row r="67131" s="12" customFormat="1" x14ac:dyDescent="0.25"/>
    <row r="67132" s="12" customFormat="1" x14ac:dyDescent="0.25"/>
    <row r="67133" s="12" customFormat="1" x14ac:dyDescent="0.25"/>
    <row r="67134" s="12" customFormat="1" x14ac:dyDescent="0.25"/>
    <row r="67135" s="12" customFormat="1" x14ac:dyDescent="0.25"/>
    <row r="67136" s="12" customFormat="1" x14ac:dyDescent="0.25"/>
    <row r="67137" s="12" customFormat="1" x14ac:dyDescent="0.25"/>
    <row r="67138" s="12" customFormat="1" x14ac:dyDescent="0.25"/>
    <row r="67139" s="12" customFormat="1" x14ac:dyDescent="0.25"/>
    <row r="67140" s="12" customFormat="1" x14ac:dyDescent="0.25"/>
    <row r="67141" s="12" customFormat="1" x14ac:dyDescent="0.25"/>
    <row r="67142" s="12" customFormat="1" x14ac:dyDescent="0.25"/>
    <row r="67143" s="12" customFormat="1" x14ac:dyDescent="0.25"/>
    <row r="67144" s="12" customFormat="1" x14ac:dyDescent="0.25"/>
    <row r="67145" s="12" customFormat="1" x14ac:dyDescent="0.25"/>
    <row r="67146" s="12" customFormat="1" x14ac:dyDescent="0.25"/>
    <row r="67147" s="12" customFormat="1" x14ac:dyDescent="0.25"/>
    <row r="67148" s="12" customFormat="1" x14ac:dyDescent="0.25"/>
    <row r="67149" s="12" customFormat="1" x14ac:dyDescent="0.25"/>
    <row r="67150" s="12" customFormat="1" x14ac:dyDescent="0.25"/>
    <row r="67151" s="12" customFormat="1" x14ac:dyDescent="0.25"/>
    <row r="67152" s="12" customFormat="1" x14ac:dyDescent="0.25"/>
    <row r="67153" s="12" customFormat="1" x14ac:dyDescent="0.25"/>
    <row r="67154" s="12" customFormat="1" x14ac:dyDescent="0.25"/>
    <row r="67155" s="12" customFormat="1" x14ac:dyDescent="0.25"/>
    <row r="67156" s="12" customFormat="1" x14ac:dyDescent="0.25"/>
    <row r="67157" s="12" customFormat="1" x14ac:dyDescent="0.25"/>
    <row r="67158" s="12" customFormat="1" x14ac:dyDescent="0.25"/>
    <row r="67159" s="12" customFormat="1" x14ac:dyDescent="0.25"/>
    <row r="67160" s="12" customFormat="1" x14ac:dyDescent="0.25"/>
    <row r="67161" s="12" customFormat="1" x14ac:dyDescent="0.25"/>
    <row r="67162" s="12" customFormat="1" x14ac:dyDescent="0.25"/>
    <row r="67163" s="12" customFormat="1" x14ac:dyDescent="0.25"/>
    <row r="67164" s="12" customFormat="1" x14ac:dyDescent="0.25"/>
    <row r="67165" s="12" customFormat="1" x14ac:dyDescent="0.25"/>
    <row r="67166" s="12" customFormat="1" x14ac:dyDescent="0.25"/>
    <row r="67167" s="12" customFormat="1" x14ac:dyDescent="0.25"/>
    <row r="67168" s="12" customFormat="1" x14ac:dyDescent="0.25"/>
    <row r="67169" s="12" customFormat="1" x14ac:dyDescent="0.25"/>
    <row r="67170" s="12" customFormat="1" x14ac:dyDescent="0.25"/>
    <row r="67171" s="12" customFormat="1" x14ac:dyDescent="0.25"/>
    <row r="67172" s="12" customFormat="1" x14ac:dyDescent="0.25"/>
    <row r="67173" s="12" customFormat="1" x14ac:dyDescent="0.25"/>
    <row r="67174" s="12" customFormat="1" x14ac:dyDescent="0.25"/>
    <row r="67175" s="12" customFormat="1" x14ac:dyDescent="0.25"/>
    <row r="67176" s="12" customFormat="1" x14ac:dyDescent="0.25"/>
    <row r="67177" s="12" customFormat="1" x14ac:dyDescent="0.25"/>
    <row r="67178" s="12" customFormat="1" x14ac:dyDescent="0.25"/>
    <row r="67179" s="12" customFormat="1" x14ac:dyDescent="0.25"/>
    <row r="67180" s="12" customFormat="1" x14ac:dyDescent="0.25"/>
    <row r="67181" s="12" customFormat="1" x14ac:dyDescent="0.25"/>
    <row r="67182" s="12" customFormat="1" x14ac:dyDescent="0.25"/>
    <row r="67183" s="12" customFormat="1" x14ac:dyDescent="0.25"/>
    <row r="67184" s="12" customFormat="1" x14ac:dyDescent="0.25"/>
    <row r="67185" s="12" customFormat="1" x14ac:dyDescent="0.25"/>
    <row r="67186" s="12" customFormat="1" x14ac:dyDescent="0.25"/>
    <row r="67187" s="12" customFormat="1" x14ac:dyDescent="0.25"/>
    <row r="67188" s="12" customFormat="1" x14ac:dyDescent="0.25"/>
    <row r="67189" s="12" customFormat="1" x14ac:dyDescent="0.25"/>
    <row r="67190" s="12" customFormat="1" x14ac:dyDescent="0.25"/>
    <row r="67191" s="12" customFormat="1" x14ac:dyDescent="0.25"/>
    <row r="67192" s="12" customFormat="1" x14ac:dyDescent="0.25"/>
    <row r="67193" s="12" customFormat="1" x14ac:dyDescent="0.25"/>
    <row r="67194" s="12" customFormat="1" x14ac:dyDescent="0.25"/>
    <row r="67195" s="12" customFormat="1" x14ac:dyDescent="0.25"/>
    <row r="67196" s="12" customFormat="1" x14ac:dyDescent="0.25"/>
    <row r="67197" s="12" customFormat="1" x14ac:dyDescent="0.25"/>
    <row r="67198" s="12" customFormat="1" x14ac:dyDescent="0.25"/>
    <row r="67199" s="12" customFormat="1" x14ac:dyDescent="0.25"/>
    <row r="67200" s="12" customFormat="1" x14ac:dyDescent="0.25"/>
    <row r="67201" s="12" customFormat="1" x14ac:dyDescent="0.25"/>
    <row r="67202" s="12" customFormat="1" x14ac:dyDescent="0.25"/>
    <row r="67203" s="12" customFormat="1" x14ac:dyDescent="0.25"/>
    <row r="67204" s="12" customFormat="1" x14ac:dyDescent="0.25"/>
    <row r="67205" s="12" customFormat="1" x14ac:dyDescent="0.25"/>
    <row r="67206" s="12" customFormat="1" x14ac:dyDescent="0.25"/>
    <row r="67207" s="12" customFormat="1" x14ac:dyDescent="0.25"/>
    <row r="67208" s="12" customFormat="1" x14ac:dyDescent="0.25"/>
    <row r="67209" s="12" customFormat="1" x14ac:dyDescent="0.25"/>
    <row r="67210" s="12" customFormat="1" x14ac:dyDescent="0.25"/>
    <row r="67211" s="12" customFormat="1" x14ac:dyDescent="0.25"/>
    <row r="67212" s="12" customFormat="1" x14ac:dyDescent="0.25"/>
    <row r="67213" s="12" customFormat="1" x14ac:dyDescent="0.25"/>
    <row r="67214" s="12" customFormat="1" x14ac:dyDescent="0.25"/>
    <row r="67215" s="12" customFormat="1" x14ac:dyDescent="0.25"/>
    <row r="67216" s="12" customFormat="1" x14ac:dyDescent="0.25"/>
    <row r="67217" s="12" customFormat="1" x14ac:dyDescent="0.25"/>
    <row r="67218" s="12" customFormat="1" x14ac:dyDescent="0.25"/>
    <row r="67219" s="12" customFormat="1" x14ac:dyDescent="0.25"/>
    <row r="67220" s="12" customFormat="1" x14ac:dyDescent="0.25"/>
    <row r="67221" s="12" customFormat="1" x14ac:dyDescent="0.25"/>
    <row r="67222" s="12" customFormat="1" x14ac:dyDescent="0.25"/>
    <row r="67223" s="12" customFormat="1" x14ac:dyDescent="0.25"/>
    <row r="67224" s="12" customFormat="1" x14ac:dyDescent="0.25"/>
    <row r="67225" s="12" customFormat="1" x14ac:dyDescent="0.25"/>
    <row r="67226" s="12" customFormat="1" x14ac:dyDescent="0.25"/>
    <row r="67227" s="12" customFormat="1" x14ac:dyDescent="0.25"/>
    <row r="67228" s="12" customFormat="1" x14ac:dyDescent="0.25"/>
    <row r="67229" s="12" customFormat="1" x14ac:dyDescent="0.25"/>
    <row r="67230" s="12" customFormat="1" x14ac:dyDescent="0.25"/>
    <row r="67231" s="12" customFormat="1" x14ac:dyDescent="0.25"/>
    <row r="67232" s="12" customFormat="1" x14ac:dyDescent="0.25"/>
    <row r="67233" s="12" customFormat="1" x14ac:dyDescent="0.25"/>
    <row r="67234" s="12" customFormat="1" x14ac:dyDescent="0.25"/>
    <row r="67235" s="12" customFormat="1" x14ac:dyDescent="0.25"/>
    <row r="67236" s="12" customFormat="1" x14ac:dyDescent="0.25"/>
    <row r="67237" s="12" customFormat="1" x14ac:dyDescent="0.25"/>
    <row r="67238" s="12" customFormat="1" x14ac:dyDescent="0.25"/>
    <row r="67239" s="12" customFormat="1" x14ac:dyDescent="0.25"/>
    <row r="67240" s="12" customFormat="1" x14ac:dyDescent="0.25"/>
    <row r="67241" s="12" customFormat="1" x14ac:dyDescent="0.25"/>
    <row r="67242" s="12" customFormat="1" x14ac:dyDescent="0.25"/>
    <row r="67243" s="12" customFormat="1" x14ac:dyDescent="0.25"/>
    <row r="67244" s="12" customFormat="1" x14ac:dyDescent="0.25"/>
    <row r="67245" s="12" customFormat="1" x14ac:dyDescent="0.25"/>
    <row r="67246" s="12" customFormat="1" x14ac:dyDescent="0.25"/>
    <row r="67247" s="12" customFormat="1" x14ac:dyDescent="0.25"/>
    <row r="67248" s="12" customFormat="1" x14ac:dyDescent="0.25"/>
    <row r="67249" s="12" customFormat="1" x14ac:dyDescent="0.25"/>
    <row r="67250" s="12" customFormat="1" x14ac:dyDescent="0.25"/>
    <row r="67251" s="12" customFormat="1" x14ac:dyDescent="0.25"/>
    <row r="67252" s="12" customFormat="1" x14ac:dyDescent="0.25"/>
    <row r="67253" s="12" customFormat="1" x14ac:dyDescent="0.25"/>
    <row r="67254" s="12" customFormat="1" x14ac:dyDescent="0.25"/>
    <row r="67255" s="12" customFormat="1" x14ac:dyDescent="0.25"/>
    <row r="67256" s="12" customFormat="1" x14ac:dyDescent="0.25"/>
    <row r="67257" s="12" customFormat="1" x14ac:dyDescent="0.25"/>
    <row r="67258" s="12" customFormat="1" x14ac:dyDescent="0.25"/>
    <row r="67259" s="12" customFormat="1" x14ac:dyDescent="0.25"/>
    <row r="67260" s="12" customFormat="1" x14ac:dyDescent="0.25"/>
    <row r="67261" s="12" customFormat="1" x14ac:dyDescent="0.25"/>
    <row r="67262" s="12" customFormat="1" x14ac:dyDescent="0.25"/>
    <row r="67263" s="12" customFormat="1" x14ac:dyDescent="0.25"/>
    <row r="67264" s="12" customFormat="1" x14ac:dyDescent="0.25"/>
    <row r="67265" s="12" customFormat="1" x14ac:dyDescent="0.25"/>
    <row r="67266" s="12" customFormat="1" x14ac:dyDescent="0.25"/>
    <row r="67267" s="12" customFormat="1" x14ac:dyDescent="0.25"/>
    <row r="67268" s="12" customFormat="1" x14ac:dyDescent="0.25"/>
    <row r="67269" s="12" customFormat="1" x14ac:dyDescent="0.25"/>
    <row r="67270" s="12" customFormat="1" x14ac:dyDescent="0.25"/>
    <row r="67271" s="12" customFormat="1" x14ac:dyDescent="0.25"/>
    <row r="67272" s="12" customFormat="1" x14ac:dyDescent="0.25"/>
    <row r="67273" s="12" customFormat="1" x14ac:dyDescent="0.25"/>
    <row r="67274" s="12" customFormat="1" x14ac:dyDescent="0.25"/>
    <row r="67275" s="12" customFormat="1" x14ac:dyDescent="0.25"/>
    <row r="67276" s="12" customFormat="1" x14ac:dyDescent="0.25"/>
    <row r="67277" s="12" customFormat="1" x14ac:dyDescent="0.25"/>
    <row r="67278" s="12" customFormat="1" x14ac:dyDescent="0.25"/>
    <row r="67279" s="12" customFormat="1" x14ac:dyDescent="0.25"/>
    <row r="67280" s="12" customFormat="1" x14ac:dyDescent="0.25"/>
    <row r="67281" s="12" customFormat="1" x14ac:dyDescent="0.25"/>
    <row r="67282" s="12" customFormat="1" x14ac:dyDescent="0.25"/>
    <row r="67283" s="12" customFormat="1" x14ac:dyDescent="0.25"/>
    <row r="67284" s="12" customFormat="1" x14ac:dyDescent="0.25"/>
    <row r="67285" s="12" customFormat="1" x14ac:dyDescent="0.25"/>
    <row r="67286" s="12" customFormat="1" x14ac:dyDescent="0.25"/>
    <row r="67287" s="12" customFormat="1" x14ac:dyDescent="0.25"/>
    <row r="67288" s="12" customFormat="1" x14ac:dyDescent="0.25"/>
    <row r="67289" s="12" customFormat="1" x14ac:dyDescent="0.25"/>
    <row r="67290" s="12" customFormat="1" x14ac:dyDescent="0.25"/>
    <row r="67291" s="12" customFormat="1" x14ac:dyDescent="0.25"/>
    <row r="67292" s="12" customFormat="1" x14ac:dyDescent="0.25"/>
    <row r="67293" s="12" customFormat="1" x14ac:dyDescent="0.25"/>
    <row r="67294" s="12" customFormat="1" x14ac:dyDescent="0.25"/>
    <row r="67295" s="12" customFormat="1" x14ac:dyDescent="0.25"/>
    <row r="67296" s="12" customFormat="1" x14ac:dyDescent="0.25"/>
    <row r="67297" s="12" customFormat="1" x14ac:dyDescent="0.25"/>
    <row r="67298" s="12" customFormat="1" x14ac:dyDescent="0.25"/>
    <row r="67299" s="12" customFormat="1" x14ac:dyDescent="0.25"/>
    <row r="67300" s="12" customFormat="1" x14ac:dyDescent="0.25"/>
    <row r="67301" s="12" customFormat="1" x14ac:dyDescent="0.25"/>
    <row r="67302" s="12" customFormat="1" x14ac:dyDescent="0.25"/>
    <row r="67303" s="12" customFormat="1" x14ac:dyDescent="0.25"/>
    <row r="67304" s="12" customFormat="1" x14ac:dyDescent="0.25"/>
    <row r="67305" s="12" customFormat="1" x14ac:dyDescent="0.25"/>
    <row r="67306" s="12" customFormat="1" x14ac:dyDescent="0.25"/>
    <row r="67307" s="12" customFormat="1" x14ac:dyDescent="0.25"/>
    <row r="67308" s="12" customFormat="1" x14ac:dyDescent="0.25"/>
    <row r="67309" s="12" customFormat="1" x14ac:dyDescent="0.25"/>
    <row r="67310" s="12" customFormat="1" x14ac:dyDescent="0.25"/>
    <row r="67311" s="12" customFormat="1" x14ac:dyDescent="0.25"/>
    <row r="67312" s="12" customFormat="1" x14ac:dyDescent="0.25"/>
    <row r="67313" s="12" customFormat="1" x14ac:dyDescent="0.25"/>
    <row r="67314" s="12" customFormat="1" x14ac:dyDescent="0.25"/>
    <row r="67315" s="12" customFormat="1" x14ac:dyDescent="0.25"/>
    <row r="67316" s="12" customFormat="1" x14ac:dyDescent="0.25"/>
    <row r="67317" s="12" customFormat="1" x14ac:dyDescent="0.25"/>
    <row r="67318" s="12" customFormat="1" x14ac:dyDescent="0.25"/>
    <row r="67319" s="12" customFormat="1" x14ac:dyDescent="0.25"/>
    <row r="67320" s="12" customFormat="1" x14ac:dyDescent="0.25"/>
    <row r="67321" s="12" customFormat="1" x14ac:dyDescent="0.25"/>
    <row r="67322" s="12" customFormat="1" x14ac:dyDescent="0.25"/>
    <row r="67323" s="12" customFormat="1" x14ac:dyDescent="0.25"/>
    <row r="67324" s="12" customFormat="1" x14ac:dyDescent="0.25"/>
    <row r="67325" s="12" customFormat="1" x14ac:dyDescent="0.25"/>
    <row r="67326" s="12" customFormat="1" x14ac:dyDescent="0.25"/>
    <row r="67327" s="12" customFormat="1" x14ac:dyDescent="0.25"/>
    <row r="67328" s="12" customFormat="1" x14ac:dyDescent="0.25"/>
    <row r="67329" s="12" customFormat="1" x14ac:dyDescent="0.25"/>
    <row r="67330" s="12" customFormat="1" x14ac:dyDescent="0.25"/>
    <row r="67331" s="12" customFormat="1" x14ac:dyDescent="0.25"/>
    <row r="67332" s="12" customFormat="1" x14ac:dyDescent="0.25"/>
    <row r="67333" s="12" customFormat="1" x14ac:dyDescent="0.25"/>
    <row r="67334" s="12" customFormat="1" x14ac:dyDescent="0.25"/>
    <row r="67335" s="12" customFormat="1" x14ac:dyDescent="0.25"/>
    <row r="67336" s="12" customFormat="1" x14ac:dyDescent="0.25"/>
    <row r="67337" s="12" customFormat="1" x14ac:dyDescent="0.25"/>
    <row r="67338" s="12" customFormat="1" x14ac:dyDescent="0.25"/>
    <row r="67339" s="12" customFormat="1" x14ac:dyDescent="0.25"/>
    <row r="67340" s="12" customFormat="1" x14ac:dyDescent="0.25"/>
    <row r="67341" s="12" customFormat="1" x14ac:dyDescent="0.25"/>
    <row r="67342" s="12" customFormat="1" x14ac:dyDescent="0.25"/>
    <row r="67343" s="12" customFormat="1" x14ac:dyDescent="0.25"/>
    <row r="67344" s="12" customFormat="1" x14ac:dyDescent="0.25"/>
    <row r="67345" s="12" customFormat="1" x14ac:dyDescent="0.25"/>
    <row r="67346" s="12" customFormat="1" x14ac:dyDescent="0.25"/>
    <row r="67347" s="12" customFormat="1" x14ac:dyDescent="0.25"/>
    <row r="67348" s="12" customFormat="1" x14ac:dyDescent="0.25"/>
    <row r="67349" s="12" customFormat="1" x14ac:dyDescent="0.25"/>
    <row r="67350" s="12" customFormat="1" x14ac:dyDescent="0.25"/>
    <row r="67351" s="12" customFormat="1" x14ac:dyDescent="0.25"/>
    <row r="67352" s="12" customFormat="1" x14ac:dyDescent="0.25"/>
    <row r="67353" s="12" customFormat="1" x14ac:dyDescent="0.25"/>
    <row r="67354" s="12" customFormat="1" x14ac:dyDescent="0.25"/>
    <row r="67355" s="12" customFormat="1" x14ac:dyDescent="0.25"/>
    <row r="67356" s="12" customFormat="1" x14ac:dyDescent="0.25"/>
    <row r="67357" s="12" customFormat="1" x14ac:dyDescent="0.25"/>
    <row r="67358" s="12" customFormat="1" x14ac:dyDescent="0.25"/>
    <row r="67359" s="12" customFormat="1" x14ac:dyDescent="0.25"/>
    <row r="67360" s="12" customFormat="1" x14ac:dyDescent="0.25"/>
    <row r="67361" s="12" customFormat="1" x14ac:dyDescent="0.25"/>
    <row r="67362" s="12" customFormat="1" x14ac:dyDescent="0.25"/>
    <row r="67363" s="12" customFormat="1" x14ac:dyDescent="0.25"/>
    <row r="67364" s="12" customFormat="1" x14ac:dyDescent="0.25"/>
    <row r="67365" s="12" customFormat="1" x14ac:dyDescent="0.25"/>
    <row r="67366" s="12" customFormat="1" x14ac:dyDescent="0.25"/>
    <row r="67367" s="12" customFormat="1" x14ac:dyDescent="0.25"/>
    <row r="67368" s="12" customFormat="1" x14ac:dyDescent="0.25"/>
    <row r="67369" s="12" customFormat="1" x14ac:dyDescent="0.25"/>
    <row r="67370" s="12" customFormat="1" x14ac:dyDescent="0.25"/>
    <row r="67371" s="12" customFormat="1" x14ac:dyDescent="0.25"/>
    <row r="67372" s="12" customFormat="1" x14ac:dyDescent="0.25"/>
    <row r="67373" s="12" customFormat="1" x14ac:dyDescent="0.25"/>
    <row r="67374" s="12" customFormat="1" x14ac:dyDescent="0.25"/>
    <row r="67375" s="12" customFormat="1" x14ac:dyDescent="0.25"/>
    <row r="67376" s="12" customFormat="1" x14ac:dyDescent="0.25"/>
    <row r="67377" s="12" customFormat="1" x14ac:dyDescent="0.25"/>
    <row r="67378" s="12" customFormat="1" x14ac:dyDescent="0.25"/>
    <row r="67379" s="12" customFormat="1" x14ac:dyDescent="0.25"/>
    <row r="67380" s="12" customFormat="1" x14ac:dyDescent="0.25"/>
    <row r="67381" s="12" customFormat="1" x14ac:dyDescent="0.25"/>
    <row r="67382" s="12" customFormat="1" x14ac:dyDescent="0.25"/>
    <row r="67383" s="12" customFormat="1" x14ac:dyDescent="0.25"/>
    <row r="67384" s="12" customFormat="1" x14ac:dyDescent="0.25"/>
    <row r="67385" s="12" customFormat="1" x14ac:dyDescent="0.25"/>
    <row r="67386" s="12" customFormat="1" x14ac:dyDescent="0.25"/>
    <row r="67387" s="12" customFormat="1" x14ac:dyDescent="0.25"/>
    <row r="67388" s="12" customFormat="1" x14ac:dyDescent="0.25"/>
    <row r="67389" s="12" customFormat="1" x14ac:dyDescent="0.25"/>
    <row r="67390" s="12" customFormat="1" x14ac:dyDescent="0.25"/>
    <row r="67391" s="12" customFormat="1" x14ac:dyDescent="0.25"/>
    <row r="67392" s="12" customFormat="1" x14ac:dyDescent="0.25"/>
    <row r="67393" s="12" customFormat="1" x14ac:dyDescent="0.25"/>
    <row r="67394" s="12" customFormat="1" x14ac:dyDescent="0.25"/>
    <row r="67395" s="12" customFormat="1" x14ac:dyDescent="0.25"/>
    <row r="67396" s="12" customFormat="1" x14ac:dyDescent="0.25"/>
    <row r="67397" s="12" customFormat="1" x14ac:dyDescent="0.25"/>
    <row r="67398" s="12" customFormat="1" x14ac:dyDescent="0.25"/>
    <row r="67399" s="12" customFormat="1" x14ac:dyDescent="0.25"/>
    <row r="67400" s="12" customFormat="1" x14ac:dyDescent="0.25"/>
    <row r="67401" s="12" customFormat="1" x14ac:dyDescent="0.25"/>
    <row r="67402" s="12" customFormat="1" x14ac:dyDescent="0.25"/>
    <row r="67403" s="12" customFormat="1" x14ac:dyDescent="0.25"/>
    <row r="67404" s="12" customFormat="1" x14ac:dyDescent="0.25"/>
    <row r="67405" s="12" customFormat="1" x14ac:dyDescent="0.25"/>
    <row r="67406" s="12" customFormat="1" x14ac:dyDescent="0.25"/>
    <row r="67407" s="12" customFormat="1" x14ac:dyDescent="0.25"/>
    <row r="67408" s="12" customFormat="1" x14ac:dyDescent="0.25"/>
    <row r="67409" s="12" customFormat="1" x14ac:dyDescent="0.25"/>
    <row r="67410" s="12" customFormat="1" x14ac:dyDescent="0.25"/>
    <row r="67411" s="12" customFormat="1" x14ac:dyDescent="0.25"/>
    <row r="67412" s="12" customFormat="1" x14ac:dyDescent="0.25"/>
    <row r="67413" s="12" customFormat="1" x14ac:dyDescent="0.25"/>
    <row r="67414" s="12" customFormat="1" x14ac:dyDescent="0.25"/>
    <row r="67415" s="12" customFormat="1" x14ac:dyDescent="0.25"/>
    <row r="67416" s="12" customFormat="1" x14ac:dyDescent="0.25"/>
    <row r="67417" s="12" customFormat="1" x14ac:dyDescent="0.25"/>
    <row r="67418" s="12" customFormat="1" x14ac:dyDescent="0.25"/>
    <row r="67419" s="12" customFormat="1" x14ac:dyDescent="0.25"/>
    <row r="67420" s="12" customFormat="1" x14ac:dyDescent="0.25"/>
    <row r="67421" s="12" customFormat="1" x14ac:dyDescent="0.25"/>
    <row r="67422" s="12" customFormat="1" x14ac:dyDescent="0.25"/>
    <row r="67423" s="12" customFormat="1" x14ac:dyDescent="0.25"/>
    <row r="67424" s="12" customFormat="1" x14ac:dyDescent="0.25"/>
    <row r="67425" s="12" customFormat="1" x14ac:dyDescent="0.25"/>
    <row r="67426" s="12" customFormat="1" x14ac:dyDescent="0.25"/>
    <row r="67427" s="12" customFormat="1" x14ac:dyDescent="0.25"/>
    <row r="67428" s="12" customFormat="1" x14ac:dyDescent="0.25"/>
    <row r="67429" s="12" customFormat="1" x14ac:dyDescent="0.25"/>
    <row r="67430" s="12" customFormat="1" x14ac:dyDescent="0.25"/>
    <row r="67431" s="12" customFormat="1" x14ac:dyDescent="0.25"/>
    <row r="67432" s="12" customFormat="1" x14ac:dyDescent="0.25"/>
    <row r="67433" s="12" customFormat="1" x14ac:dyDescent="0.25"/>
    <row r="67434" s="12" customFormat="1" x14ac:dyDescent="0.25"/>
    <row r="67435" s="12" customFormat="1" x14ac:dyDescent="0.25"/>
    <row r="67436" s="12" customFormat="1" x14ac:dyDescent="0.25"/>
    <row r="67437" s="12" customFormat="1" x14ac:dyDescent="0.25"/>
    <row r="67438" s="12" customFormat="1" x14ac:dyDescent="0.25"/>
    <row r="67439" s="12" customFormat="1" x14ac:dyDescent="0.25"/>
    <row r="67440" s="12" customFormat="1" x14ac:dyDescent="0.25"/>
    <row r="67441" s="12" customFormat="1" x14ac:dyDescent="0.25"/>
    <row r="67442" s="12" customFormat="1" x14ac:dyDescent="0.25"/>
    <row r="67443" s="12" customFormat="1" x14ac:dyDescent="0.25"/>
    <row r="67444" s="12" customFormat="1" x14ac:dyDescent="0.25"/>
    <row r="67445" s="12" customFormat="1" x14ac:dyDescent="0.25"/>
    <row r="67446" s="12" customFormat="1" x14ac:dyDescent="0.25"/>
    <row r="67447" s="12" customFormat="1" x14ac:dyDescent="0.25"/>
    <row r="67448" s="12" customFormat="1" x14ac:dyDescent="0.25"/>
    <row r="67449" s="12" customFormat="1" x14ac:dyDescent="0.25"/>
    <row r="67450" s="12" customFormat="1" x14ac:dyDescent="0.25"/>
    <row r="67451" s="12" customFormat="1" x14ac:dyDescent="0.25"/>
    <row r="67452" s="12" customFormat="1" x14ac:dyDescent="0.25"/>
    <row r="67453" s="12" customFormat="1" x14ac:dyDescent="0.25"/>
    <row r="67454" s="12" customFormat="1" x14ac:dyDescent="0.25"/>
    <row r="67455" s="12" customFormat="1" x14ac:dyDescent="0.25"/>
    <row r="67456" s="12" customFormat="1" x14ac:dyDescent="0.25"/>
    <row r="67457" s="12" customFormat="1" x14ac:dyDescent="0.25"/>
    <row r="67458" s="12" customFormat="1" x14ac:dyDescent="0.25"/>
    <row r="67459" s="12" customFormat="1" x14ac:dyDescent="0.25"/>
    <row r="67460" s="12" customFormat="1" x14ac:dyDescent="0.25"/>
    <row r="67461" s="12" customFormat="1" x14ac:dyDescent="0.25"/>
    <row r="67462" s="12" customFormat="1" x14ac:dyDescent="0.25"/>
    <row r="67463" s="12" customFormat="1" x14ac:dyDescent="0.25"/>
    <row r="67464" s="12" customFormat="1" x14ac:dyDescent="0.25"/>
    <row r="67465" s="12" customFormat="1" x14ac:dyDescent="0.25"/>
    <row r="67466" s="12" customFormat="1" x14ac:dyDescent="0.25"/>
    <row r="67467" s="12" customFormat="1" x14ac:dyDescent="0.25"/>
    <row r="67468" s="12" customFormat="1" x14ac:dyDescent="0.25"/>
    <row r="67469" s="12" customFormat="1" x14ac:dyDescent="0.25"/>
    <row r="67470" s="12" customFormat="1" x14ac:dyDescent="0.25"/>
    <row r="67471" s="12" customFormat="1" x14ac:dyDescent="0.25"/>
    <row r="67472" s="12" customFormat="1" x14ac:dyDescent="0.25"/>
    <row r="67473" s="12" customFormat="1" x14ac:dyDescent="0.25"/>
    <row r="67474" s="12" customFormat="1" x14ac:dyDescent="0.25"/>
    <row r="67475" s="12" customFormat="1" x14ac:dyDescent="0.25"/>
    <row r="67476" s="12" customFormat="1" x14ac:dyDescent="0.25"/>
    <row r="67477" s="12" customFormat="1" x14ac:dyDescent="0.25"/>
    <row r="67478" s="12" customFormat="1" x14ac:dyDescent="0.25"/>
    <row r="67479" s="12" customFormat="1" x14ac:dyDescent="0.25"/>
    <row r="67480" s="12" customFormat="1" x14ac:dyDescent="0.25"/>
    <row r="67481" s="12" customFormat="1" x14ac:dyDescent="0.25"/>
    <row r="67482" s="12" customFormat="1" x14ac:dyDescent="0.25"/>
    <row r="67483" s="12" customFormat="1" x14ac:dyDescent="0.25"/>
    <row r="67484" s="12" customFormat="1" x14ac:dyDescent="0.25"/>
    <row r="67485" s="12" customFormat="1" x14ac:dyDescent="0.25"/>
    <row r="67486" s="12" customFormat="1" x14ac:dyDescent="0.25"/>
    <row r="67487" s="12" customFormat="1" x14ac:dyDescent="0.25"/>
    <row r="67488" s="12" customFormat="1" x14ac:dyDescent="0.25"/>
    <row r="67489" s="12" customFormat="1" x14ac:dyDescent="0.25"/>
    <row r="67490" s="12" customFormat="1" x14ac:dyDescent="0.25"/>
    <row r="67491" s="12" customFormat="1" x14ac:dyDescent="0.25"/>
    <row r="67492" s="12" customFormat="1" x14ac:dyDescent="0.25"/>
    <row r="67493" s="12" customFormat="1" x14ac:dyDescent="0.25"/>
    <row r="67494" s="12" customFormat="1" x14ac:dyDescent="0.25"/>
    <row r="67495" s="12" customFormat="1" x14ac:dyDescent="0.25"/>
    <row r="67496" s="12" customFormat="1" x14ac:dyDescent="0.25"/>
    <row r="67497" s="12" customFormat="1" x14ac:dyDescent="0.25"/>
    <row r="67498" s="12" customFormat="1" x14ac:dyDescent="0.25"/>
    <row r="67499" s="12" customFormat="1" x14ac:dyDescent="0.25"/>
    <row r="67500" s="12" customFormat="1" x14ac:dyDescent="0.25"/>
    <row r="67501" s="12" customFormat="1" x14ac:dyDescent="0.25"/>
    <row r="67502" s="12" customFormat="1" x14ac:dyDescent="0.25"/>
    <row r="67503" s="12" customFormat="1" x14ac:dyDescent="0.25"/>
    <row r="67504" s="12" customFormat="1" x14ac:dyDescent="0.25"/>
    <row r="67505" s="12" customFormat="1" x14ac:dyDescent="0.25"/>
    <row r="67506" s="12" customFormat="1" x14ac:dyDescent="0.25"/>
    <row r="67507" s="12" customFormat="1" x14ac:dyDescent="0.25"/>
    <row r="67508" s="12" customFormat="1" x14ac:dyDescent="0.25"/>
    <row r="67509" s="12" customFormat="1" x14ac:dyDescent="0.25"/>
    <row r="67510" s="12" customFormat="1" x14ac:dyDescent="0.25"/>
    <row r="67511" s="12" customFormat="1" x14ac:dyDescent="0.25"/>
    <row r="67512" s="12" customFormat="1" x14ac:dyDescent="0.25"/>
    <row r="67513" s="12" customFormat="1" x14ac:dyDescent="0.25"/>
    <row r="67514" s="12" customFormat="1" x14ac:dyDescent="0.25"/>
    <row r="67515" s="12" customFormat="1" x14ac:dyDescent="0.25"/>
    <row r="67516" s="12" customFormat="1" x14ac:dyDescent="0.25"/>
    <row r="67517" s="12" customFormat="1" x14ac:dyDescent="0.25"/>
    <row r="67518" s="12" customFormat="1" x14ac:dyDescent="0.25"/>
    <row r="67519" s="12" customFormat="1" x14ac:dyDescent="0.25"/>
    <row r="67520" s="12" customFormat="1" x14ac:dyDescent="0.25"/>
    <row r="67521" s="12" customFormat="1" x14ac:dyDescent="0.25"/>
    <row r="67522" s="12" customFormat="1" x14ac:dyDescent="0.25"/>
    <row r="67523" s="12" customFormat="1" x14ac:dyDescent="0.25"/>
    <row r="67524" s="12" customFormat="1" x14ac:dyDescent="0.25"/>
    <row r="67525" s="12" customFormat="1" x14ac:dyDescent="0.25"/>
    <row r="67526" s="12" customFormat="1" x14ac:dyDescent="0.25"/>
    <row r="67527" s="12" customFormat="1" x14ac:dyDescent="0.25"/>
    <row r="67528" s="12" customFormat="1" x14ac:dyDescent="0.25"/>
    <row r="67529" s="12" customFormat="1" x14ac:dyDescent="0.25"/>
    <row r="67530" s="12" customFormat="1" x14ac:dyDescent="0.25"/>
    <row r="67531" s="12" customFormat="1" x14ac:dyDescent="0.25"/>
    <row r="67532" s="12" customFormat="1" x14ac:dyDescent="0.25"/>
    <row r="67533" s="12" customFormat="1" x14ac:dyDescent="0.25"/>
    <row r="67534" s="12" customFormat="1" x14ac:dyDescent="0.25"/>
    <row r="67535" s="12" customFormat="1" x14ac:dyDescent="0.25"/>
    <row r="67536" s="12" customFormat="1" x14ac:dyDescent="0.25"/>
    <row r="67537" s="12" customFormat="1" x14ac:dyDescent="0.25"/>
    <row r="67538" s="12" customFormat="1" x14ac:dyDescent="0.25"/>
    <row r="67539" s="12" customFormat="1" x14ac:dyDescent="0.25"/>
    <row r="67540" s="12" customFormat="1" x14ac:dyDescent="0.25"/>
    <row r="67541" s="12" customFormat="1" x14ac:dyDescent="0.25"/>
    <row r="67542" s="12" customFormat="1" x14ac:dyDescent="0.25"/>
    <row r="67543" s="12" customFormat="1" x14ac:dyDescent="0.25"/>
    <row r="67544" s="12" customFormat="1" x14ac:dyDescent="0.25"/>
    <row r="67545" s="12" customFormat="1" x14ac:dyDescent="0.25"/>
    <row r="67546" s="12" customFormat="1" x14ac:dyDescent="0.25"/>
    <row r="67547" s="12" customFormat="1" x14ac:dyDescent="0.25"/>
    <row r="67548" s="12" customFormat="1" x14ac:dyDescent="0.25"/>
    <row r="67549" s="12" customFormat="1" x14ac:dyDescent="0.25"/>
    <row r="67550" s="12" customFormat="1" x14ac:dyDescent="0.25"/>
    <row r="67551" s="12" customFormat="1" x14ac:dyDescent="0.25"/>
    <row r="67552" s="12" customFormat="1" x14ac:dyDescent="0.25"/>
    <row r="67553" s="12" customFormat="1" x14ac:dyDescent="0.25"/>
    <row r="67554" s="12" customFormat="1" x14ac:dyDescent="0.25"/>
    <row r="67555" s="12" customFormat="1" x14ac:dyDescent="0.25"/>
    <row r="67556" s="12" customFormat="1" x14ac:dyDescent="0.25"/>
    <row r="67557" s="12" customFormat="1" x14ac:dyDescent="0.25"/>
    <row r="67558" s="12" customFormat="1" x14ac:dyDescent="0.25"/>
    <row r="67559" s="12" customFormat="1" x14ac:dyDescent="0.25"/>
    <row r="67560" s="12" customFormat="1" x14ac:dyDescent="0.25"/>
    <row r="67561" s="12" customFormat="1" x14ac:dyDescent="0.25"/>
    <row r="67562" s="12" customFormat="1" x14ac:dyDescent="0.25"/>
    <row r="67563" s="12" customFormat="1" x14ac:dyDescent="0.25"/>
    <row r="67564" s="12" customFormat="1" x14ac:dyDescent="0.25"/>
    <row r="67565" s="12" customFormat="1" x14ac:dyDescent="0.25"/>
    <row r="67566" s="12" customFormat="1" x14ac:dyDescent="0.25"/>
    <row r="67567" s="12" customFormat="1" x14ac:dyDescent="0.25"/>
    <row r="67568" s="12" customFormat="1" x14ac:dyDescent="0.25"/>
    <row r="67569" s="12" customFormat="1" x14ac:dyDescent="0.25"/>
    <row r="67570" s="12" customFormat="1" x14ac:dyDescent="0.25"/>
    <row r="67571" s="12" customFormat="1" x14ac:dyDescent="0.25"/>
    <row r="67572" s="12" customFormat="1" x14ac:dyDescent="0.25"/>
    <row r="67573" s="12" customFormat="1" x14ac:dyDescent="0.25"/>
    <row r="67574" s="12" customFormat="1" x14ac:dyDescent="0.25"/>
    <row r="67575" s="12" customFormat="1" x14ac:dyDescent="0.25"/>
    <row r="67576" s="12" customFormat="1" x14ac:dyDescent="0.25"/>
    <row r="67577" s="12" customFormat="1" x14ac:dyDescent="0.25"/>
    <row r="67578" s="12" customFormat="1" x14ac:dyDescent="0.25"/>
    <row r="67579" s="12" customFormat="1" x14ac:dyDescent="0.25"/>
    <row r="67580" s="12" customFormat="1" x14ac:dyDescent="0.25"/>
    <row r="67581" s="12" customFormat="1" x14ac:dyDescent="0.25"/>
    <row r="67582" s="12" customFormat="1" x14ac:dyDescent="0.25"/>
    <row r="67583" s="12" customFormat="1" x14ac:dyDescent="0.25"/>
    <row r="67584" s="12" customFormat="1" x14ac:dyDescent="0.25"/>
    <row r="67585" s="12" customFormat="1" x14ac:dyDescent="0.25"/>
    <row r="67586" s="12" customFormat="1" x14ac:dyDescent="0.25"/>
    <row r="67587" s="12" customFormat="1" x14ac:dyDescent="0.25"/>
    <row r="67588" s="12" customFormat="1" x14ac:dyDescent="0.25"/>
    <row r="67589" s="12" customFormat="1" x14ac:dyDescent="0.25"/>
    <row r="67590" s="12" customFormat="1" x14ac:dyDescent="0.25"/>
    <row r="67591" s="12" customFormat="1" x14ac:dyDescent="0.25"/>
    <row r="67592" s="12" customFormat="1" x14ac:dyDescent="0.25"/>
    <row r="67593" s="12" customFormat="1" x14ac:dyDescent="0.25"/>
    <row r="67594" s="12" customFormat="1" x14ac:dyDescent="0.25"/>
    <row r="67595" s="12" customFormat="1" x14ac:dyDescent="0.25"/>
    <row r="67596" s="12" customFormat="1" x14ac:dyDescent="0.25"/>
    <row r="67597" s="12" customFormat="1" x14ac:dyDescent="0.25"/>
    <row r="67598" s="12" customFormat="1" x14ac:dyDescent="0.25"/>
    <row r="67599" s="12" customFormat="1" x14ac:dyDescent="0.25"/>
    <row r="67600" s="12" customFormat="1" x14ac:dyDescent="0.25"/>
    <row r="67601" s="12" customFormat="1" x14ac:dyDescent="0.25"/>
    <row r="67602" s="12" customFormat="1" x14ac:dyDescent="0.25"/>
    <row r="67603" s="12" customFormat="1" x14ac:dyDescent="0.25"/>
    <row r="67604" s="12" customFormat="1" x14ac:dyDescent="0.25"/>
    <row r="67605" s="12" customFormat="1" x14ac:dyDescent="0.25"/>
    <row r="67606" s="12" customFormat="1" x14ac:dyDescent="0.25"/>
    <row r="67607" s="12" customFormat="1" x14ac:dyDescent="0.25"/>
    <row r="67608" s="12" customFormat="1" x14ac:dyDescent="0.25"/>
    <row r="67609" s="12" customFormat="1" x14ac:dyDescent="0.25"/>
    <row r="67610" s="12" customFormat="1" x14ac:dyDescent="0.25"/>
    <row r="67611" s="12" customFormat="1" x14ac:dyDescent="0.25"/>
    <row r="67612" s="12" customFormat="1" x14ac:dyDescent="0.25"/>
    <row r="67613" s="12" customFormat="1" x14ac:dyDescent="0.25"/>
    <row r="67614" s="12" customFormat="1" x14ac:dyDescent="0.25"/>
    <row r="67615" s="12" customFormat="1" x14ac:dyDescent="0.25"/>
    <row r="67616" s="12" customFormat="1" x14ac:dyDescent="0.25"/>
    <row r="67617" s="12" customFormat="1" x14ac:dyDescent="0.25"/>
    <row r="67618" s="12" customFormat="1" x14ac:dyDescent="0.25"/>
    <row r="67619" s="12" customFormat="1" x14ac:dyDescent="0.25"/>
    <row r="67620" s="12" customFormat="1" x14ac:dyDescent="0.25"/>
    <row r="67621" s="12" customFormat="1" x14ac:dyDescent="0.25"/>
    <row r="67622" s="12" customFormat="1" x14ac:dyDescent="0.25"/>
    <row r="67623" s="12" customFormat="1" x14ac:dyDescent="0.25"/>
    <row r="67624" s="12" customFormat="1" x14ac:dyDescent="0.25"/>
    <row r="67625" s="12" customFormat="1" x14ac:dyDescent="0.25"/>
    <row r="67626" s="12" customFormat="1" x14ac:dyDescent="0.25"/>
    <row r="67627" s="12" customFormat="1" x14ac:dyDescent="0.25"/>
    <row r="67628" s="12" customFormat="1" x14ac:dyDescent="0.25"/>
    <row r="67629" s="12" customFormat="1" x14ac:dyDescent="0.25"/>
    <row r="67630" s="12" customFormat="1" x14ac:dyDescent="0.25"/>
    <row r="67631" s="12" customFormat="1" x14ac:dyDescent="0.25"/>
    <row r="67632" s="12" customFormat="1" x14ac:dyDescent="0.25"/>
    <row r="67633" s="12" customFormat="1" x14ac:dyDescent="0.25"/>
    <row r="67634" s="12" customFormat="1" x14ac:dyDescent="0.25"/>
    <row r="67635" s="12" customFormat="1" x14ac:dyDescent="0.25"/>
    <row r="67636" s="12" customFormat="1" x14ac:dyDescent="0.25"/>
    <row r="67637" s="12" customFormat="1" x14ac:dyDescent="0.25"/>
    <row r="67638" s="12" customFormat="1" x14ac:dyDescent="0.25"/>
    <row r="67639" s="12" customFormat="1" x14ac:dyDescent="0.25"/>
    <row r="67640" s="12" customFormat="1" x14ac:dyDescent="0.25"/>
    <row r="67641" s="12" customFormat="1" x14ac:dyDescent="0.25"/>
    <row r="67642" s="12" customFormat="1" x14ac:dyDescent="0.25"/>
    <row r="67643" s="12" customFormat="1" x14ac:dyDescent="0.25"/>
    <row r="67644" s="12" customFormat="1" x14ac:dyDescent="0.25"/>
    <row r="67645" s="12" customFormat="1" x14ac:dyDescent="0.25"/>
    <row r="67646" s="12" customFormat="1" x14ac:dyDescent="0.25"/>
    <row r="67647" s="12" customFormat="1" x14ac:dyDescent="0.25"/>
    <row r="67648" s="12" customFormat="1" x14ac:dyDescent="0.25"/>
    <row r="67649" s="12" customFormat="1" x14ac:dyDescent="0.25"/>
    <row r="67650" s="12" customFormat="1" x14ac:dyDescent="0.25"/>
    <row r="67651" s="12" customFormat="1" x14ac:dyDescent="0.25"/>
    <row r="67652" s="12" customFormat="1" x14ac:dyDescent="0.25"/>
    <row r="67653" s="12" customFormat="1" x14ac:dyDescent="0.25"/>
    <row r="67654" s="12" customFormat="1" x14ac:dyDescent="0.25"/>
    <row r="67655" s="12" customFormat="1" x14ac:dyDescent="0.25"/>
    <row r="67656" s="12" customFormat="1" x14ac:dyDescent="0.25"/>
    <row r="67657" s="12" customFormat="1" x14ac:dyDescent="0.25"/>
    <row r="67658" s="12" customFormat="1" x14ac:dyDescent="0.25"/>
    <row r="67659" s="12" customFormat="1" x14ac:dyDescent="0.25"/>
    <row r="67660" s="12" customFormat="1" x14ac:dyDescent="0.25"/>
    <row r="67661" s="12" customFormat="1" x14ac:dyDescent="0.25"/>
    <row r="67662" s="12" customFormat="1" x14ac:dyDescent="0.25"/>
    <row r="67663" s="12" customFormat="1" x14ac:dyDescent="0.25"/>
    <row r="67664" s="12" customFormat="1" x14ac:dyDescent="0.25"/>
    <row r="67665" s="12" customFormat="1" x14ac:dyDescent="0.25"/>
    <row r="67666" s="12" customFormat="1" x14ac:dyDescent="0.25"/>
    <row r="67667" s="12" customFormat="1" x14ac:dyDescent="0.25"/>
    <row r="67668" s="12" customFormat="1" x14ac:dyDescent="0.25"/>
    <row r="67669" s="12" customFormat="1" x14ac:dyDescent="0.25"/>
    <row r="67670" s="12" customFormat="1" x14ac:dyDescent="0.25"/>
    <row r="67671" s="12" customFormat="1" x14ac:dyDescent="0.25"/>
    <row r="67672" s="12" customFormat="1" x14ac:dyDescent="0.25"/>
    <row r="67673" s="12" customFormat="1" x14ac:dyDescent="0.25"/>
    <row r="67674" s="12" customFormat="1" x14ac:dyDescent="0.25"/>
    <row r="67675" s="12" customFormat="1" x14ac:dyDescent="0.25"/>
    <row r="67676" s="12" customFormat="1" x14ac:dyDescent="0.25"/>
    <row r="67677" s="12" customFormat="1" x14ac:dyDescent="0.25"/>
    <row r="67678" s="12" customFormat="1" x14ac:dyDescent="0.25"/>
    <row r="67679" s="12" customFormat="1" x14ac:dyDescent="0.25"/>
    <row r="67680" s="12" customFormat="1" x14ac:dyDescent="0.25"/>
    <row r="67681" s="12" customFormat="1" x14ac:dyDescent="0.25"/>
    <row r="67682" s="12" customFormat="1" x14ac:dyDescent="0.25"/>
    <row r="67683" s="12" customFormat="1" x14ac:dyDescent="0.25"/>
    <row r="67684" s="12" customFormat="1" x14ac:dyDescent="0.25"/>
    <row r="67685" s="12" customFormat="1" x14ac:dyDescent="0.25"/>
    <row r="67686" s="12" customFormat="1" x14ac:dyDescent="0.25"/>
    <row r="67687" s="12" customFormat="1" x14ac:dyDescent="0.25"/>
    <row r="67688" s="12" customFormat="1" x14ac:dyDescent="0.25"/>
    <row r="67689" s="12" customFormat="1" x14ac:dyDescent="0.25"/>
    <row r="67690" s="12" customFormat="1" x14ac:dyDescent="0.25"/>
    <row r="67691" s="12" customFormat="1" x14ac:dyDescent="0.25"/>
    <row r="67692" s="12" customFormat="1" x14ac:dyDescent="0.25"/>
    <row r="67693" s="12" customFormat="1" x14ac:dyDescent="0.25"/>
    <row r="67694" s="12" customFormat="1" x14ac:dyDescent="0.25"/>
    <row r="67695" s="12" customFormat="1" x14ac:dyDescent="0.25"/>
    <row r="67696" s="12" customFormat="1" x14ac:dyDescent="0.25"/>
    <row r="67697" s="12" customFormat="1" x14ac:dyDescent="0.25"/>
    <row r="67698" s="12" customFormat="1" x14ac:dyDescent="0.25"/>
    <row r="67699" s="12" customFormat="1" x14ac:dyDescent="0.25"/>
    <row r="67700" s="12" customFormat="1" x14ac:dyDescent="0.25"/>
    <row r="67701" s="12" customFormat="1" x14ac:dyDescent="0.25"/>
    <row r="67702" s="12" customFormat="1" x14ac:dyDescent="0.25"/>
    <row r="67703" s="12" customFormat="1" x14ac:dyDescent="0.25"/>
    <row r="67704" s="12" customFormat="1" x14ac:dyDescent="0.25"/>
    <row r="67705" s="12" customFormat="1" x14ac:dyDescent="0.25"/>
    <row r="67706" s="12" customFormat="1" x14ac:dyDescent="0.25"/>
    <row r="67707" s="12" customFormat="1" x14ac:dyDescent="0.25"/>
    <row r="67708" s="12" customFormat="1" x14ac:dyDescent="0.25"/>
    <row r="67709" s="12" customFormat="1" x14ac:dyDescent="0.25"/>
    <row r="67710" s="12" customFormat="1" x14ac:dyDescent="0.25"/>
    <row r="67711" s="12" customFormat="1" x14ac:dyDescent="0.25"/>
    <row r="67712" s="12" customFormat="1" x14ac:dyDescent="0.25"/>
    <row r="67713" s="12" customFormat="1" x14ac:dyDescent="0.25"/>
    <row r="67714" s="12" customFormat="1" x14ac:dyDescent="0.25"/>
    <row r="67715" s="12" customFormat="1" x14ac:dyDescent="0.25"/>
    <row r="67716" s="12" customFormat="1" x14ac:dyDescent="0.25"/>
    <row r="67717" s="12" customFormat="1" x14ac:dyDescent="0.25"/>
    <row r="67718" s="12" customFormat="1" x14ac:dyDescent="0.25"/>
    <row r="67719" s="12" customFormat="1" x14ac:dyDescent="0.25"/>
    <row r="67720" s="12" customFormat="1" x14ac:dyDescent="0.25"/>
    <row r="67721" s="12" customFormat="1" x14ac:dyDescent="0.25"/>
    <row r="67722" s="12" customFormat="1" x14ac:dyDescent="0.25"/>
    <row r="67723" s="12" customFormat="1" x14ac:dyDescent="0.25"/>
    <row r="67724" s="12" customFormat="1" x14ac:dyDescent="0.25"/>
    <row r="67725" s="12" customFormat="1" x14ac:dyDescent="0.25"/>
    <row r="67726" s="12" customFormat="1" x14ac:dyDescent="0.25"/>
    <row r="67727" s="12" customFormat="1" x14ac:dyDescent="0.25"/>
    <row r="67728" s="12" customFormat="1" x14ac:dyDescent="0.25"/>
    <row r="67729" s="12" customFormat="1" x14ac:dyDescent="0.25"/>
    <row r="67730" s="12" customFormat="1" x14ac:dyDescent="0.25"/>
    <row r="67731" s="12" customFormat="1" x14ac:dyDescent="0.25"/>
    <row r="67732" s="12" customFormat="1" x14ac:dyDescent="0.25"/>
    <row r="67733" s="12" customFormat="1" x14ac:dyDescent="0.25"/>
    <row r="67734" s="12" customFormat="1" x14ac:dyDescent="0.25"/>
    <row r="67735" s="12" customFormat="1" x14ac:dyDescent="0.25"/>
    <row r="67736" s="12" customFormat="1" x14ac:dyDescent="0.25"/>
    <row r="67737" s="12" customFormat="1" x14ac:dyDescent="0.25"/>
    <row r="67738" s="12" customFormat="1" x14ac:dyDescent="0.25"/>
    <row r="67739" s="12" customFormat="1" x14ac:dyDescent="0.25"/>
    <row r="67740" s="12" customFormat="1" x14ac:dyDescent="0.25"/>
    <row r="67741" s="12" customFormat="1" x14ac:dyDescent="0.25"/>
    <row r="67742" s="12" customFormat="1" x14ac:dyDescent="0.25"/>
    <row r="67743" s="12" customFormat="1" x14ac:dyDescent="0.25"/>
    <row r="67744" s="12" customFormat="1" x14ac:dyDescent="0.25"/>
    <row r="67745" s="12" customFormat="1" x14ac:dyDescent="0.25"/>
    <row r="67746" s="12" customFormat="1" x14ac:dyDescent="0.25"/>
    <row r="67747" s="12" customFormat="1" x14ac:dyDescent="0.25"/>
    <row r="67748" s="12" customFormat="1" x14ac:dyDescent="0.25"/>
    <row r="67749" s="12" customFormat="1" x14ac:dyDescent="0.25"/>
    <row r="67750" s="12" customFormat="1" x14ac:dyDescent="0.25"/>
    <row r="67751" s="12" customFormat="1" x14ac:dyDescent="0.25"/>
    <row r="67752" s="12" customFormat="1" x14ac:dyDescent="0.25"/>
    <row r="67753" s="12" customFormat="1" x14ac:dyDescent="0.25"/>
    <row r="67754" s="12" customFormat="1" x14ac:dyDescent="0.25"/>
    <row r="67755" s="12" customFormat="1" x14ac:dyDescent="0.25"/>
    <row r="67756" s="12" customFormat="1" x14ac:dyDescent="0.25"/>
    <row r="67757" s="12" customFormat="1" x14ac:dyDescent="0.25"/>
    <row r="67758" s="12" customFormat="1" x14ac:dyDescent="0.25"/>
    <row r="67759" s="12" customFormat="1" x14ac:dyDescent="0.25"/>
    <row r="67760" s="12" customFormat="1" x14ac:dyDescent="0.25"/>
    <row r="67761" s="12" customFormat="1" x14ac:dyDescent="0.25"/>
    <row r="67762" s="12" customFormat="1" x14ac:dyDescent="0.25"/>
    <row r="67763" s="12" customFormat="1" x14ac:dyDescent="0.25"/>
    <row r="67764" s="12" customFormat="1" x14ac:dyDescent="0.25"/>
    <row r="67765" s="12" customFormat="1" x14ac:dyDescent="0.25"/>
    <row r="67766" s="12" customFormat="1" x14ac:dyDescent="0.25"/>
    <row r="67767" s="12" customFormat="1" x14ac:dyDescent="0.25"/>
    <row r="67768" s="12" customFormat="1" x14ac:dyDescent="0.25"/>
    <row r="67769" s="12" customFormat="1" x14ac:dyDescent="0.25"/>
    <row r="67770" s="12" customFormat="1" x14ac:dyDescent="0.25"/>
    <row r="67771" s="12" customFormat="1" x14ac:dyDescent="0.25"/>
    <row r="67772" s="12" customFormat="1" x14ac:dyDescent="0.25"/>
    <row r="67773" s="12" customFormat="1" x14ac:dyDescent="0.25"/>
    <row r="67774" s="12" customFormat="1" x14ac:dyDescent="0.25"/>
    <row r="67775" s="12" customFormat="1" x14ac:dyDescent="0.25"/>
    <row r="67776" s="12" customFormat="1" x14ac:dyDescent="0.25"/>
    <row r="67777" s="12" customFormat="1" x14ac:dyDescent="0.25"/>
    <row r="67778" s="12" customFormat="1" x14ac:dyDescent="0.25"/>
    <row r="67779" s="12" customFormat="1" x14ac:dyDescent="0.25"/>
    <row r="67780" s="12" customFormat="1" x14ac:dyDescent="0.25"/>
    <row r="67781" s="12" customFormat="1" x14ac:dyDescent="0.25"/>
    <row r="67782" s="12" customFormat="1" x14ac:dyDescent="0.25"/>
    <row r="67783" s="12" customFormat="1" x14ac:dyDescent="0.25"/>
    <row r="67784" s="12" customFormat="1" x14ac:dyDescent="0.25"/>
    <row r="67785" s="12" customFormat="1" x14ac:dyDescent="0.25"/>
    <row r="67786" s="12" customFormat="1" x14ac:dyDescent="0.25"/>
    <row r="67787" s="12" customFormat="1" x14ac:dyDescent="0.25"/>
    <row r="67788" s="12" customFormat="1" x14ac:dyDescent="0.25"/>
    <row r="67789" s="12" customFormat="1" x14ac:dyDescent="0.25"/>
    <row r="67790" s="12" customFormat="1" x14ac:dyDescent="0.25"/>
    <row r="67791" s="12" customFormat="1" x14ac:dyDescent="0.25"/>
    <row r="67792" s="12" customFormat="1" x14ac:dyDescent="0.25"/>
    <row r="67793" s="12" customFormat="1" x14ac:dyDescent="0.25"/>
    <row r="67794" s="12" customFormat="1" x14ac:dyDescent="0.25"/>
    <row r="67795" s="12" customFormat="1" x14ac:dyDescent="0.25"/>
    <row r="67796" s="12" customFormat="1" x14ac:dyDescent="0.25"/>
    <row r="67797" s="12" customFormat="1" x14ac:dyDescent="0.25"/>
    <row r="67798" s="12" customFormat="1" x14ac:dyDescent="0.25"/>
    <row r="67799" s="12" customFormat="1" x14ac:dyDescent="0.25"/>
    <row r="67800" s="12" customFormat="1" x14ac:dyDescent="0.25"/>
    <row r="67801" s="12" customFormat="1" x14ac:dyDescent="0.25"/>
    <row r="67802" s="12" customFormat="1" x14ac:dyDescent="0.25"/>
    <row r="67803" s="12" customFormat="1" x14ac:dyDescent="0.25"/>
    <row r="67804" s="12" customFormat="1" x14ac:dyDescent="0.25"/>
    <row r="67805" s="12" customFormat="1" x14ac:dyDescent="0.25"/>
    <row r="67806" s="12" customFormat="1" x14ac:dyDescent="0.25"/>
    <row r="67807" s="12" customFormat="1" x14ac:dyDescent="0.25"/>
    <row r="67808" s="12" customFormat="1" x14ac:dyDescent="0.25"/>
    <row r="67809" s="12" customFormat="1" x14ac:dyDescent="0.25"/>
    <row r="67810" s="12" customFormat="1" x14ac:dyDescent="0.25"/>
    <row r="67811" s="12" customFormat="1" x14ac:dyDescent="0.25"/>
    <row r="67812" s="12" customFormat="1" x14ac:dyDescent="0.25"/>
    <row r="67813" s="12" customFormat="1" x14ac:dyDescent="0.25"/>
    <row r="67814" s="12" customFormat="1" x14ac:dyDescent="0.25"/>
    <row r="67815" s="12" customFormat="1" x14ac:dyDescent="0.25"/>
    <row r="67816" s="12" customFormat="1" x14ac:dyDescent="0.25"/>
    <row r="67817" s="12" customFormat="1" x14ac:dyDescent="0.25"/>
    <row r="67818" s="12" customFormat="1" x14ac:dyDescent="0.25"/>
    <row r="67819" s="12" customFormat="1" x14ac:dyDescent="0.25"/>
    <row r="67820" s="12" customFormat="1" x14ac:dyDescent="0.25"/>
    <row r="67821" s="12" customFormat="1" x14ac:dyDescent="0.25"/>
    <row r="67822" s="12" customFormat="1" x14ac:dyDescent="0.25"/>
    <row r="67823" s="12" customFormat="1" x14ac:dyDescent="0.25"/>
    <row r="67824" s="12" customFormat="1" x14ac:dyDescent="0.25"/>
    <row r="67825" s="12" customFormat="1" x14ac:dyDescent="0.25"/>
    <row r="67826" s="12" customFormat="1" x14ac:dyDescent="0.25"/>
    <row r="67827" s="12" customFormat="1" x14ac:dyDescent="0.25"/>
    <row r="67828" s="12" customFormat="1" x14ac:dyDescent="0.25"/>
    <row r="67829" s="12" customFormat="1" x14ac:dyDescent="0.25"/>
    <row r="67830" s="12" customFormat="1" x14ac:dyDescent="0.25"/>
    <row r="67831" s="12" customFormat="1" x14ac:dyDescent="0.25"/>
    <row r="67832" s="12" customFormat="1" x14ac:dyDescent="0.25"/>
    <row r="67833" s="12" customFormat="1" x14ac:dyDescent="0.25"/>
    <row r="67834" s="12" customFormat="1" x14ac:dyDescent="0.25"/>
    <row r="67835" s="12" customFormat="1" x14ac:dyDescent="0.25"/>
    <row r="67836" s="12" customFormat="1" x14ac:dyDescent="0.25"/>
    <row r="67837" s="12" customFormat="1" x14ac:dyDescent="0.25"/>
    <row r="67838" s="12" customFormat="1" x14ac:dyDescent="0.25"/>
    <row r="67839" s="12" customFormat="1" x14ac:dyDescent="0.25"/>
    <row r="67840" s="12" customFormat="1" x14ac:dyDescent="0.25"/>
    <row r="67841" s="12" customFormat="1" x14ac:dyDescent="0.25"/>
    <row r="67842" s="12" customFormat="1" x14ac:dyDescent="0.25"/>
    <row r="67843" s="12" customFormat="1" x14ac:dyDescent="0.25"/>
    <row r="67844" s="12" customFormat="1" x14ac:dyDescent="0.25"/>
    <row r="67845" s="12" customFormat="1" x14ac:dyDescent="0.25"/>
    <row r="67846" s="12" customFormat="1" x14ac:dyDescent="0.25"/>
    <row r="67847" s="12" customFormat="1" x14ac:dyDescent="0.25"/>
    <row r="67848" s="12" customFormat="1" x14ac:dyDescent="0.25"/>
    <row r="67849" s="12" customFormat="1" x14ac:dyDescent="0.25"/>
    <row r="67850" s="12" customFormat="1" x14ac:dyDescent="0.25"/>
    <row r="67851" s="12" customFormat="1" x14ac:dyDescent="0.25"/>
    <row r="67852" s="12" customFormat="1" x14ac:dyDescent="0.25"/>
    <row r="67853" s="12" customFormat="1" x14ac:dyDescent="0.25"/>
    <row r="67854" s="12" customFormat="1" x14ac:dyDescent="0.25"/>
    <row r="67855" s="12" customFormat="1" x14ac:dyDescent="0.25"/>
    <row r="67856" s="12" customFormat="1" x14ac:dyDescent="0.25"/>
    <row r="67857" s="12" customFormat="1" x14ac:dyDescent="0.25"/>
    <row r="67858" s="12" customFormat="1" x14ac:dyDescent="0.25"/>
    <row r="67859" s="12" customFormat="1" x14ac:dyDescent="0.25"/>
    <row r="67860" s="12" customFormat="1" x14ac:dyDescent="0.25"/>
    <row r="67861" s="12" customFormat="1" x14ac:dyDescent="0.25"/>
    <row r="67862" s="12" customFormat="1" x14ac:dyDescent="0.25"/>
    <row r="67863" s="12" customFormat="1" x14ac:dyDescent="0.25"/>
    <row r="67864" s="12" customFormat="1" x14ac:dyDescent="0.25"/>
    <row r="67865" s="12" customFormat="1" x14ac:dyDescent="0.25"/>
    <row r="67866" s="12" customFormat="1" x14ac:dyDescent="0.25"/>
    <row r="67867" s="12" customFormat="1" x14ac:dyDescent="0.25"/>
    <row r="67868" s="12" customFormat="1" x14ac:dyDescent="0.25"/>
    <row r="67869" s="12" customFormat="1" x14ac:dyDescent="0.25"/>
    <row r="67870" s="12" customFormat="1" x14ac:dyDescent="0.25"/>
    <row r="67871" s="12" customFormat="1" x14ac:dyDescent="0.25"/>
    <row r="67872" s="12" customFormat="1" x14ac:dyDescent="0.25"/>
    <row r="67873" s="12" customFormat="1" x14ac:dyDescent="0.25"/>
    <row r="67874" s="12" customFormat="1" x14ac:dyDescent="0.25"/>
    <row r="67875" s="12" customFormat="1" x14ac:dyDescent="0.25"/>
    <row r="67876" s="12" customFormat="1" x14ac:dyDescent="0.25"/>
    <row r="67877" s="12" customFormat="1" x14ac:dyDescent="0.25"/>
    <row r="67878" s="12" customFormat="1" x14ac:dyDescent="0.25"/>
    <row r="67879" s="12" customFormat="1" x14ac:dyDescent="0.25"/>
    <row r="67880" s="12" customFormat="1" x14ac:dyDescent="0.25"/>
    <row r="67881" s="12" customFormat="1" x14ac:dyDescent="0.25"/>
    <row r="67882" s="12" customFormat="1" x14ac:dyDescent="0.25"/>
    <row r="67883" s="12" customFormat="1" x14ac:dyDescent="0.25"/>
    <row r="67884" s="12" customFormat="1" x14ac:dyDescent="0.25"/>
    <row r="67885" s="12" customFormat="1" x14ac:dyDescent="0.25"/>
    <row r="67886" s="12" customFormat="1" x14ac:dyDescent="0.25"/>
    <row r="67887" s="12" customFormat="1" x14ac:dyDescent="0.25"/>
    <row r="67888" s="12" customFormat="1" x14ac:dyDescent="0.25"/>
    <row r="67889" s="12" customFormat="1" x14ac:dyDescent="0.25"/>
    <row r="67890" s="12" customFormat="1" x14ac:dyDescent="0.25"/>
    <row r="67891" s="12" customFormat="1" x14ac:dyDescent="0.25"/>
    <row r="67892" s="12" customFormat="1" x14ac:dyDescent="0.25"/>
    <row r="67893" s="12" customFormat="1" x14ac:dyDescent="0.25"/>
    <row r="67894" s="12" customFormat="1" x14ac:dyDescent="0.25"/>
    <row r="67895" s="12" customFormat="1" x14ac:dyDescent="0.25"/>
    <row r="67896" s="12" customFormat="1" x14ac:dyDescent="0.25"/>
    <row r="67897" s="12" customFormat="1" x14ac:dyDescent="0.25"/>
    <row r="67898" s="12" customFormat="1" x14ac:dyDescent="0.25"/>
    <row r="67899" s="12" customFormat="1" x14ac:dyDescent="0.25"/>
    <row r="67900" s="12" customFormat="1" x14ac:dyDescent="0.25"/>
    <row r="67901" s="12" customFormat="1" x14ac:dyDescent="0.25"/>
    <row r="67902" s="12" customFormat="1" x14ac:dyDescent="0.25"/>
    <row r="67903" s="12" customFormat="1" x14ac:dyDescent="0.25"/>
    <row r="67904" s="12" customFormat="1" x14ac:dyDescent="0.25"/>
    <row r="67905" s="12" customFormat="1" x14ac:dyDescent="0.25"/>
    <row r="67906" s="12" customFormat="1" x14ac:dyDescent="0.25"/>
    <row r="67907" s="12" customFormat="1" x14ac:dyDescent="0.25"/>
    <row r="67908" s="12" customFormat="1" x14ac:dyDescent="0.25"/>
    <row r="67909" s="12" customFormat="1" x14ac:dyDescent="0.25"/>
    <row r="67910" s="12" customFormat="1" x14ac:dyDescent="0.25"/>
    <row r="67911" s="12" customFormat="1" x14ac:dyDescent="0.25"/>
    <row r="67912" s="12" customFormat="1" x14ac:dyDescent="0.25"/>
    <row r="67913" s="12" customFormat="1" x14ac:dyDescent="0.25"/>
    <row r="67914" s="12" customFormat="1" x14ac:dyDescent="0.25"/>
    <row r="67915" s="12" customFormat="1" x14ac:dyDescent="0.25"/>
    <row r="67916" s="12" customFormat="1" x14ac:dyDescent="0.25"/>
    <row r="67917" s="12" customFormat="1" x14ac:dyDescent="0.25"/>
    <row r="67918" s="12" customFormat="1" x14ac:dyDescent="0.25"/>
    <row r="67919" s="12" customFormat="1" x14ac:dyDescent="0.25"/>
    <row r="67920" s="12" customFormat="1" x14ac:dyDescent="0.25"/>
    <row r="67921" s="12" customFormat="1" x14ac:dyDescent="0.25"/>
    <row r="67922" s="12" customFormat="1" x14ac:dyDescent="0.25"/>
    <row r="67923" s="12" customFormat="1" x14ac:dyDescent="0.25"/>
    <row r="67924" s="12" customFormat="1" x14ac:dyDescent="0.25"/>
    <row r="67925" s="12" customFormat="1" x14ac:dyDescent="0.25"/>
    <row r="67926" s="12" customFormat="1" x14ac:dyDescent="0.25"/>
    <row r="67927" s="12" customFormat="1" x14ac:dyDescent="0.25"/>
    <row r="67928" s="12" customFormat="1" x14ac:dyDescent="0.25"/>
    <row r="67929" s="12" customFormat="1" x14ac:dyDescent="0.25"/>
    <row r="67930" s="12" customFormat="1" x14ac:dyDescent="0.25"/>
    <row r="67931" s="12" customFormat="1" x14ac:dyDescent="0.25"/>
    <row r="67932" s="12" customFormat="1" x14ac:dyDescent="0.25"/>
    <row r="67933" s="12" customFormat="1" x14ac:dyDescent="0.25"/>
    <row r="67934" s="12" customFormat="1" x14ac:dyDescent="0.25"/>
    <row r="67935" s="12" customFormat="1" x14ac:dyDescent="0.25"/>
    <row r="67936" s="12" customFormat="1" x14ac:dyDescent="0.25"/>
    <row r="67937" s="12" customFormat="1" x14ac:dyDescent="0.25"/>
    <row r="67938" s="12" customFormat="1" x14ac:dyDescent="0.25"/>
    <row r="67939" s="12" customFormat="1" x14ac:dyDescent="0.25"/>
    <row r="67940" s="12" customFormat="1" x14ac:dyDescent="0.25"/>
    <row r="67941" s="12" customFormat="1" x14ac:dyDescent="0.25"/>
    <row r="67942" s="12" customFormat="1" x14ac:dyDescent="0.25"/>
    <row r="67943" s="12" customFormat="1" x14ac:dyDescent="0.25"/>
    <row r="67944" s="12" customFormat="1" x14ac:dyDescent="0.25"/>
    <row r="67945" s="12" customFormat="1" x14ac:dyDescent="0.25"/>
    <row r="67946" s="12" customFormat="1" x14ac:dyDescent="0.25"/>
    <row r="67947" s="12" customFormat="1" x14ac:dyDescent="0.25"/>
    <row r="67948" s="12" customFormat="1" x14ac:dyDescent="0.25"/>
    <row r="67949" s="12" customFormat="1" x14ac:dyDescent="0.25"/>
    <row r="67950" s="12" customFormat="1" x14ac:dyDescent="0.25"/>
    <row r="67951" s="12" customFormat="1" x14ac:dyDescent="0.25"/>
    <row r="67952" s="12" customFormat="1" x14ac:dyDescent="0.25"/>
    <row r="67953" s="12" customFormat="1" x14ac:dyDescent="0.25"/>
    <row r="67954" s="12" customFormat="1" x14ac:dyDescent="0.25"/>
    <row r="67955" s="12" customFormat="1" x14ac:dyDescent="0.25"/>
    <row r="67956" s="12" customFormat="1" x14ac:dyDescent="0.25"/>
    <row r="67957" s="12" customFormat="1" x14ac:dyDescent="0.25"/>
    <row r="67958" s="12" customFormat="1" x14ac:dyDescent="0.25"/>
    <row r="67959" s="12" customFormat="1" x14ac:dyDescent="0.25"/>
    <row r="67960" s="12" customFormat="1" x14ac:dyDescent="0.25"/>
    <row r="67961" s="12" customFormat="1" x14ac:dyDescent="0.25"/>
    <row r="67962" s="12" customFormat="1" x14ac:dyDescent="0.25"/>
    <row r="67963" s="12" customFormat="1" x14ac:dyDescent="0.25"/>
    <row r="67964" s="12" customFormat="1" x14ac:dyDescent="0.25"/>
    <row r="67965" s="12" customFormat="1" x14ac:dyDescent="0.25"/>
    <row r="67966" s="12" customFormat="1" x14ac:dyDescent="0.25"/>
    <row r="67967" s="12" customFormat="1" x14ac:dyDescent="0.25"/>
    <row r="67968" s="12" customFormat="1" x14ac:dyDescent="0.25"/>
    <row r="67969" s="12" customFormat="1" x14ac:dyDescent="0.25"/>
    <row r="67970" s="12" customFormat="1" x14ac:dyDescent="0.25"/>
    <row r="67971" s="12" customFormat="1" x14ac:dyDescent="0.25"/>
    <row r="67972" s="12" customFormat="1" x14ac:dyDescent="0.25"/>
    <row r="67973" s="12" customFormat="1" x14ac:dyDescent="0.25"/>
    <row r="67974" s="12" customFormat="1" x14ac:dyDescent="0.25"/>
    <row r="67975" s="12" customFormat="1" x14ac:dyDescent="0.25"/>
    <row r="67976" s="12" customFormat="1" x14ac:dyDescent="0.25"/>
    <row r="67977" s="12" customFormat="1" x14ac:dyDescent="0.25"/>
    <row r="67978" s="12" customFormat="1" x14ac:dyDescent="0.25"/>
    <row r="67979" s="12" customFormat="1" x14ac:dyDescent="0.25"/>
    <row r="67980" s="12" customFormat="1" x14ac:dyDescent="0.25"/>
    <row r="67981" s="12" customFormat="1" x14ac:dyDescent="0.25"/>
    <row r="67982" s="12" customFormat="1" x14ac:dyDescent="0.25"/>
    <row r="67983" s="12" customFormat="1" x14ac:dyDescent="0.25"/>
    <row r="67984" s="12" customFormat="1" x14ac:dyDescent="0.25"/>
    <row r="67985" s="12" customFormat="1" x14ac:dyDescent="0.25"/>
    <row r="67986" s="12" customFormat="1" x14ac:dyDescent="0.25"/>
    <row r="67987" s="12" customFormat="1" x14ac:dyDescent="0.25"/>
    <row r="67988" s="12" customFormat="1" x14ac:dyDescent="0.25"/>
    <row r="67989" s="12" customFormat="1" x14ac:dyDescent="0.25"/>
    <row r="67990" s="12" customFormat="1" x14ac:dyDescent="0.25"/>
    <row r="67991" s="12" customFormat="1" x14ac:dyDescent="0.25"/>
    <row r="67992" s="12" customFormat="1" x14ac:dyDescent="0.25"/>
    <row r="67993" s="12" customFormat="1" x14ac:dyDescent="0.25"/>
    <row r="67994" s="12" customFormat="1" x14ac:dyDescent="0.25"/>
    <row r="67995" s="12" customFormat="1" x14ac:dyDescent="0.25"/>
    <row r="67996" s="12" customFormat="1" x14ac:dyDescent="0.25"/>
    <row r="67997" s="12" customFormat="1" x14ac:dyDescent="0.25"/>
    <row r="67998" s="12" customFormat="1" x14ac:dyDescent="0.25"/>
    <row r="67999" s="12" customFormat="1" x14ac:dyDescent="0.25"/>
    <row r="68000" s="12" customFormat="1" x14ac:dyDescent="0.25"/>
    <row r="68001" s="12" customFormat="1" x14ac:dyDescent="0.25"/>
    <row r="68002" s="12" customFormat="1" x14ac:dyDescent="0.25"/>
    <row r="68003" s="12" customFormat="1" x14ac:dyDescent="0.25"/>
    <row r="68004" s="12" customFormat="1" x14ac:dyDescent="0.25"/>
    <row r="68005" s="12" customFormat="1" x14ac:dyDescent="0.25"/>
    <row r="68006" s="12" customFormat="1" x14ac:dyDescent="0.25"/>
    <row r="68007" s="12" customFormat="1" x14ac:dyDescent="0.25"/>
    <row r="68008" s="12" customFormat="1" x14ac:dyDescent="0.25"/>
    <row r="68009" s="12" customFormat="1" x14ac:dyDescent="0.25"/>
    <row r="68010" s="12" customFormat="1" x14ac:dyDescent="0.25"/>
    <row r="68011" s="12" customFormat="1" x14ac:dyDescent="0.25"/>
    <row r="68012" s="12" customFormat="1" x14ac:dyDescent="0.25"/>
    <row r="68013" s="12" customFormat="1" x14ac:dyDescent="0.25"/>
    <row r="68014" s="12" customFormat="1" x14ac:dyDescent="0.25"/>
    <row r="68015" s="12" customFormat="1" x14ac:dyDescent="0.25"/>
    <row r="68016" s="12" customFormat="1" x14ac:dyDescent="0.25"/>
    <row r="68017" s="12" customFormat="1" x14ac:dyDescent="0.25"/>
    <row r="68018" s="12" customFormat="1" x14ac:dyDescent="0.25"/>
    <row r="68019" s="12" customFormat="1" x14ac:dyDescent="0.25"/>
    <row r="68020" s="12" customFormat="1" x14ac:dyDescent="0.25"/>
    <row r="68021" s="12" customFormat="1" x14ac:dyDescent="0.25"/>
    <row r="68022" s="12" customFormat="1" x14ac:dyDescent="0.25"/>
    <row r="68023" s="12" customFormat="1" x14ac:dyDescent="0.25"/>
    <row r="68024" s="12" customFormat="1" x14ac:dyDescent="0.25"/>
    <row r="68025" s="12" customFormat="1" x14ac:dyDescent="0.25"/>
    <row r="68026" s="12" customFormat="1" x14ac:dyDescent="0.25"/>
    <row r="68027" s="12" customFormat="1" x14ac:dyDescent="0.25"/>
    <row r="68028" s="12" customFormat="1" x14ac:dyDescent="0.25"/>
    <row r="68029" s="12" customFormat="1" x14ac:dyDescent="0.25"/>
    <row r="68030" s="12" customFormat="1" x14ac:dyDescent="0.25"/>
    <row r="68031" s="12" customFormat="1" x14ac:dyDescent="0.25"/>
    <row r="68032" s="12" customFormat="1" x14ac:dyDescent="0.25"/>
    <row r="68033" s="12" customFormat="1" x14ac:dyDescent="0.25"/>
    <row r="68034" s="12" customFormat="1" x14ac:dyDescent="0.25"/>
    <row r="68035" s="12" customFormat="1" x14ac:dyDescent="0.25"/>
    <row r="68036" s="12" customFormat="1" x14ac:dyDescent="0.25"/>
    <row r="68037" s="12" customFormat="1" x14ac:dyDescent="0.25"/>
    <row r="68038" s="12" customFormat="1" x14ac:dyDescent="0.25"/>
    <row r="68039" s="12" customFormat="1" x14ac:dyDescent="0.25"/>
    <row r="68040" s="12" customFormat="1" x14ac:dyDescent="0.25"/>
    <row r="68041" s="12" customFormat="1" x14ac:dyDescent="0.25"/>
    <row r="68042" s="12" customFormat="1" x14ac:dyDescent="0.25"/>
    <row r="68043" s="12" customFormat="1" x14ac:dyDescent="0.25"/>
    <row r="68044" s="12" customFormat="1" x14ac:dyDescent="0.25"/>
    <row r="68045" s="12" customFormat="1" x14ac:dyDescent="0.25"/>
    <row r="68046" s="12" customFormat="1" x14ac:dyDescent="0.25"/>
    <row r="68047" s="12" customFormat="1" x14ac:dyDescent="0.25"/>
    <row r="68048" s="12" customFormat="1" x14ac:dyDescent="0.25"/>
    <row r="68049" s="12" customFormat="1" x14ac:dyDescent="0.25"/>
    <row r="68050" s="12" customFormat="1" x14ac:dyDescent="0.25"/>
    <row r="68051" s="12" customFormat="1" x14ac:dyDescent="0.25"/>
    <row r="68052" s="12" customFormat="1" x14ac:dyDescent="0.25"/>
    <row r="68053" s="12" customFormat="1" x14ac:dyDescent="0.25"/>
    <row r="68054" s="12" customFormat="1" x14ac:dyDescent="0.25"/>
    <row r="68055" s="12" customFormat="1" x14ac:dyDescent="0.25"/>
    <row r="68056" s="12" customFormat="1" x14ac:dyDescent="0.25"/>
    <row r="68057" s="12" customFormat="1" x14ac:dyDescent="0.25"/>
    <row r="68058" s="12" customFormat="1" x14ac:dyDescent="0.25"/>
    <row r="68059" s="12" customFormat="1" x14ac:dyDescent="0.25"/>
    <row r="68060" s="12" customFormat="1" x14ac:dyDescent="0.25"/>
    <row r="68061" s="12" customFormat="1" x14ac:dyDescent="0.25"/>
    <row r="68062" s="12" customFormat="1" x14ac:dyDescent="0.25"/>
    <row r="68063" s="12" customFormat="1" x14ac:dyDescent="0.25"/>
    <row r="68064" s="12" customFormat="1" x14ac:dyDescent="0.25"/>
    <row r="68065" s="12" customFormat="1" x14ac:dyDescent="0.25"/>
    <row r="68066" s="12" customFormat="1" x14ac:dyDescent="0.25"/>
    <row r="68067" s="12" customFormat="1" x14ac:dyDescent="0.25"/>
    <row r="68068" s="12" customFormat="1" x14ac:dyDescent="0.25"/>
    <row r="68069" s="12" customFormat="1" x14ac:dyDescent="0.25"/>
    <row r="68070" s="12" customFormat="1" x14ac:dyDescent="0.25"/>
    <row r="68071" s="12" customFormat="1" x14ac:dyDescent="0.25"/>
    <row r="68072" s="12" customFormat="1" x14ac:dyDescent="0.25"/>
    <row r="68073" s="12" customFormat="1" x14ac:dyDescent="0.25"/>
    <row r="68074" s="12" customFormat="1" x14ac:dyDescent="0.25"/>
    <row r="68075" s="12" customFormat="1" x14ac:dyDescent="0.25"/>
    <row r="68076" s="12" customFormat="1" x14ac:dyDescent="0.25"/>
    <row r="68077" s="12" customFormat="1" x14ac:dyDescent="0.25"/>
    <row r="68078" s="12" customFormat="1" x14ac:dyDescent="0.25"/>
    <row r="68079" s="12" customFormat="1" x14ac:dyDescent="0.25"/>
    <row r="68080" s="12" customFormat="1" x14ac:dyDescent="0.25"/>
    <row r="68081" s="12" customFormat="1" x14ac:dyDescent="0.25"/>
    <row r="68082" s="12" customFormat="1" x14ac:dyDescent="0.25"/>
    <row r="68083" s="12" customFormat="1" x14ac:dyDescent="0.25"/>
    <row r="68084" s="12" customFormat="1" x14ac:dyDescent="0.25"/>
    <row r="68085" s="12" customFormat="1" x14ac:dyDescent="0.25"/>
    <row r="68086" s="12" customFormat="1" x14ac:dyDescent="0.25"/>
    <row r="68087" s="12" customFormat="1" x14ac:dyDescent="0.25"/>
    <row r="68088" s="12" customFormat="1" x14ac:dyDescent="0.25"/>
    <row r="68089" s="12" customFormat="1" x14ac:dyDescent="0.25"/>
    <row r="68090" s="12" customFormat="1" x14ac:dyDescent="0.25"/>
    <row r="68091" s="12" customFormat="1" x14ac:dyDescent="0.25"/>
    <row r="68092" s="12" customFormat="1" x14ac:dyDescent="0.25"/>
    <row r="68093" s="12" customFormat="1" x14ac:dyDescent="0.25"/>
    <row r="68094" s="12" customFormat="1" x14ac:dyDescent="0.25"/>
    <row r="68095" s="12" customFormat="1" x14ac:dyDescent="0.25"/>
    <row r="68096" s="12" customFormat="1" x14ac:dyDescent="0.25"/>
    <row r="68097" s="12" customFormat="1" x14ac:dyDescent="0.25"/>
    <row r="68098" s="12" customFormat="1" x14ac:dyDescent="0.25"/>
    <row r="68099" s="12" customFormat="1" x14ac:dyDescent="0.25"/>
    <row r="68100" s="12" customFormat="1" x14ac:dyDescent="0.25"/>
    <row r="68101" s="12" customFormat="1" x14ac:dyDescent="0.25"/>
    <row r="68102" s="12" customFormat="1" x14ac:dyDescent="0.25"/>
    <row r="68103" s="12" customFormat="1" x14ac:dyDescent="0.25"/>
    <row r="68104" s="12" customFormat="1" x14ac:dyDescent="0.25"/>
    <row r="68105" s="12" customFormat="1" x14ac:dyDescent="0.25"/>
    <row r="68106" s="12" customFormat="1" x14ac:dyDescent="0.25"/>
    <row r="68107" s="12" customFormat="1" x14ac:dyDescent="0.25"/>
    <row r="68108" s="12" customFormat="1" x14ac:dyDescent="0.25"/>
    <row r="68109" s="12" customFormat="1" x14ac:dyDescent="0.25"/>
    <row r="68110" s="12" customFormat="1" x14ac:dyDescent="0.25"/>
    <row r="68111" s="12" customFormat="1" x14ac:dyDescent="0.25"/>
    <row r="68112" s="12" customFormat="1" x14ac:dyDescent="0.25"/>
    <row r="68113" s="12" customFormat="1" x14ac:dyDescent="0.25"/>
    <row r="68114" s="12" customFormat="1" x14ac:dyDescent="0.25"/>
    <row r="68115" s="12" customFormat="1" x14ac:dyDescent="0.25"/>
    <row r="68116" s="12" customFormat="1" x14ac:dyDescent="0.25"/>
    <row r="68117" s="12" customFormat="1" x14ac:dyDescent="0.25"/>
    <row r="68118" s="12" customFormat="1" x14ac:dyDescent="0.25"/>
    <row r="68119" s="12" customFormat="1" x14ac:dyDescent="0.25"/>
    <row r="68120" s="12" customFormat="1" x14ac:dyDescent="0.25"/>
    <row r="68121" s="12" customFormat="1" x14ac:dyDescent="0.25"/>
    <row r="68122" s="12" customFormat="1" x14ac:dyDescent="0.25"/>
    <row r="68123" s="12" customFormat="1" x14ac:dyDescent="0.25"/>
    <row r="68124" s="12" customFormat="1" x14ac:dyDescent="0.25"/>
    <row r="68125" s="12" customFormat="1" x14ac:dyDescent="0.25"/>
    <row r="68126" s="12" customFormat="1" x14ac:dyDescent="0.25"/>
    <row r="68127" s="12" customFormat="1" x14ac:dyDescent="0.25"/>
    <row r="68128" s="12" customFormat="1" x14ac:dyDescent="0.25"/>
    <row r="68129" s="12" customFormat="1" x14ac:dyDescent="0.25"/>
    <row r="68130" s="12" customFormat="1" x14ac:dyDescent="0.25"/>
    <row r="68131" s="12" customFormat="1" x14ac:dyDescent="0.25"/>
    <row r="68132" s="12" customFormat="1" x14ac:dyDescent="0.25"/>
    <row r="68133" s="12" customFormat="1" x14ac:dyDescent="0.25"/>
    <row r="68134" s="12" customFormat="1" x14ac:dyDescent="0.25"/>
    <row r="68135" s="12" customFormat="1" x14ac:dyDescent="0.25"/>
    <row r="68136" s="12" customFormat="1" x14ac:dyDescent="0.25"/>
    <row r="68137" s="12" customFormat="1" x14ac:dyDescent="0.25"/>
    <row r="68138" s="12" customFormat="1" x14ac:dyDescent="0.25"/>
    <row r="68139" s="12" customFormat="1" x14ac:dyDescent="0.25"/>
    <row r="68140" s="12" customFormat="1" x14ac:dyDescent="0.25"/>
    <row r="68141" s="12" customFormat="1" x14ac:dyDescent="0.25"/>
    <row r="68142" s="12" customFormat="1" x14ac:dyDescent="0.25"/>
    <row r="68143" s="12" customFormat="1" x14ac:dyDescent="0.25"/>
    <row r="68144" s="12" customFormat="1" x14ac:dyDescent="0.25"/>
    <row r="68145" s="12" customFormat="1" x14ac:dyDescent="0.25"/>
    <row r="68146" s="12" customFormat="1" x14ac:dyDescent="0.25"/>
    <row r="68147" s="12" customFormat="1" x14ac:dyDescent="0.25"/>
    <row r="68148" s="12" customFormat="1" x14ac:dyDescent="0.25"/>
    <row r="68149" s="12" customFormat="1" x14ac:dyDescent="0.25"/>
    <row r="68150" s="12" customFormat="1" x14ac:dyDescent="0.25"/>
    <row r="68151" s="12" customFormat="1" x14ac:dyDescent="0.25"/>
    <row r="68152" s="12" customFormat="1" x14ac:dyDescent="0.25"/>
    <row r="68153" s="12" customFormat="1" x14ac:dyDescent="0.25"/>
    <row r="68154" s="12" customFormat="1" x14ac:dyDescent="0.25"/>
    <row r="68155" s="12" customFormat="1" x14ac:dyDescent="0.25"/>
    <row r="68156" s="12" customFormat="1" x14ac:dyDescent="0.25"/>
    <row r="68157" s="12" customFormat="1" x14ac:dyDescent="0.25"/>
    <row r="68158" s="12" customFormat="1" x14ac:dyDescent="0.25"/>
    <row r="68159" s="12" customFormat="1" x14ac:dyDescent="0.25"/>
    <row r="68160" s="12" customFormat="1" x14ac:dyDescent="0.25"/>
    <row r="68161" s="12" customFormat="1" x14ac:dyDescent="0.25"/>
    <row r="68162" s="12" customFormat="1" x14ac:dyDescent="0.25"/>
    <row r="68163" s="12" customFormat="1" x14ac:dyDescent="0.25"/>
    <row r="68164" s="12" customFormat="1" x14ac:dyDescent="0.25"/>
    <row r="68165" s="12" customFormat="1" x14ac:dyDescent="0.25"/>
    <row r="68166" s="12" customFormat="1" x14ac:dyDescent="0.25"/>
    <row r="68167" s="12" customFormat="1" x14ac:dyDescent="0.25"/>
    <row r="68168" s="12" customFormat="1" x14ac:dyDescent="0.25"/>
    <row r="68169" s="12" customFormat="1" x14ac:dyDescent="0.25"/>
    <row r="68170" s="12" customFormat="1" x14ac:dyDescent="0.25"/>
    <row r="68171" s="12" customFormat="1" x14ac:dyDescent="0.25"/>
    <row r="68172" s="12" customFormat="1" x14ac:dyDescent="0.25"/>
    <row r="68173" s="12" customFormat="1" x14ac:dyDescent="0.25"/>
    <row r="68174" s="12" customFormat="1" x14ac:dyDescent="0.25"/>
    <row r="68175" s="12" customFormat="1" x14ac:dyDescent="0.25"/>
    <row r="68176" s="12" customFormat="1" x14ac:dyDescent="0.25"/>
    <row r="68177" s="12" customFormat="1" x14ac:dyDescent="0.25"/>
    <row r="68178" s="12" customFormat="1" x14ac:dyDescent="0.25"/>
    <row r="68179" s="12" customFormat="1" x14ac:dyDescent="0.25"/>
    <row r="68180" s="12" customFormat="1" x14ac:dyDescent="0.25"/>
    <row r="68181" s="12" customFormat="1" x14ac:dyDescent="0.25"/>
    <row r="68182" s="12" customFormat="1" x14ac:dyDescent="0.25"/>
    <row r="68183" s="12" customFormat="1" x14ac:dyDescent="0.25"/>
    <row r="68184" s="12" customFormat="1" x14ac:dyDescent="0.25"/>
    <row r="68185" s="12" customFormat="1" x14ac:dyDescent="0.25"/>
    <row r="68186" s="12" customFormat="1" x14ac:dyDescent="0.25"/>
    <row r="68187" s="12" customFormat="1" x14ac:dyDescent="0.25"/>
    <row r="68188" s="12" customFormat="1" x14ac:dyDescent="0.25"/>
    <row r="68189" s="12" customFormat="1" x14ac:dyDescent="0.25"/>
    <row r="68190" s="12" customFormat="1" x14ac:dyDescent="0.25"/>
    <row r="68191" s="12" customFormat="1" x14ac:dyDescent="0.25"/>
    <row r="68192" s="12" customFormat="1" x14ac:dyDescent="0.25"/>
    <row r="68193" s="12" customFormat="1" x14ac:dyDescent="0.25"/>
    <row r="68194" s="12" customFormat="1" x14ac:dyDescent="0.25"/>
    <row r="68195" s="12" customFormat="1" x14ac:dyDescent="0.25"/>
    <row r="68196" s="12" customFormat="1" x14ac:dyDescent="0.25"/>
    <row r="68197" s="12" customFormat="1" x14ac:dyDescent="0.25"/>
    <row r="68198" s="12" customFormat="1" x14ac:dyDescent="0.25"/>
    <row r="68199" s="12" customFormat="1" x14ac:dyDescent="0.25"/>
    <row r="68200" s="12" customFormat="1" x14ac:dyDescent="0.25"/>
    <row r="68201" s="12" customFormat="1" x14ac:dyDescent="0.25"/>
    <row r="68202" s="12" customFormat="1" x14ac:dyDescent="0.25"/>
    <row r="68203" s="12" customFormat="1" x14ac:dyDescent="0.25"/>
    <row r="68204" s="12" customFormat="1" x14ac:dyDescent="0.25"/>
    <row r="68205" s="12" customFormat="1" x14ac:dyDescent="0.25"/>
    <row r="68206" s="12" customFormat="1" x14ac:dyDescent="0.25"/>
    <row r="68207" s="12" customFormat="1" x14ac:dyDescent="0.25"/>
    <row r="68208" s="12" customFormat="1" x14ac:dyDescent="0.25"/>
    <row r="68209" s="12" customFormat="1" x14ac:dyDescent="0.25"/>
    <row r="68210" s="12" customFormat="1" x14ac:dyDescent="0.25"/>
    <row r="68211" s="12" customFormat="1" x14ac:dyDescent="0.25"/>
    <row r="68212" s="12" customFormat="1" x14ac:dyDescent="0.25"/>
    <row r="68213" s="12" customFormat="1" x14ac:dyDescent="0.25"/>
    <row r="68214" s="12" customFormat="1" x14ac:dyDescent="0.25"/>
    <row r="68215" s="12" customFormat="1" x14ac:dyDescent="0.25"/>
    <row r="68216" s="12" customFormat="1" x14ac:dyDescent="0.25"/>
    <row r="68217" s="12" customFormat="1" x14ac:dyDescent="0.25"/>
    <row r="68218" s="12" customFormat="1" x14ac:dyDescent="0.25"/>
    <row r="68219" s="12" customFormat="1" x14ac:dyDescent="0.25"/>
    <row r="68220" s="12" customFormat="1" x14ac:dyDescent="0.25"/>
    <row r="68221" s="12" customFormat="1" x14ac:dyDescent="0.25"/>
    <row r="68222" s="12" customFormat="1" x14ac:dyDescent="0.25"/>
    <row r="68223" s="12" customFormat="1" x14ac:dyDescent="0.25"/>
    <row r="68224" s="12" customFormat="1" x14ac:dyDescent="0.25"/>
    <row r="68225" s="12" customFormat="1" x14ac:dyDescent="0.25"/>
    <row r="68226" s="12" customFormat="1" x14ac:dyDescent="0.25"/>
    <row r="68227" s="12" customFormat="1" x14ac:dyDescent="0.25"/>
    <row r="68228" s="12" customFormat="1" x14ac:dyDescent="0.25"/>
    <row r="68229" s="12" customFormat="1" x14ac:dyDescent="0.25"/>
    <row r="68230" s="12" customFormat="1" x14ac:dyDescent="0.25"/>
    <row r="68231" s="12" customFormat="1" x14ac:dyDescent="0.25"/>
    <row r="68232" s="12" customFormat="1" x14ac:dyDescent="0.25"/>
    <row r="68233" s="12" customFormat="1" x14ac:dyDescent="0.25"/>
    <row r="68234" s="12" customFormat="1" x14ac:dyDescent="0.25"/>
    <row r="68235" s="12" customFormat="1" x14ac:dyDescent="0.25"/>
    <row r="68236" s="12" customFormat="1" x14ac:dyDescent="0.25"/>
    <row r="68237" s="12" customFormat="1" x14ac:dyDescent="0.25"/>
    <row r="68238" s="12" customFormat="1" x14ac:dyDescent="0.25"/>
    <row r="68239" s="12" customFormat="1" x14ac:dyDescent="0.25"/>
    <row r="68240" s="12" customFormat="1" x14ac:dyDescent="0.25"/>
    <row r="68241" s="12" customFormat="1" x14ac:dyDescent="0.25"/>
    <row r="68242" s="12" customFormat="1" x14ac:dyDescent="0.25"/>
    <row r="68243" s="12" customFormat="1" x14ac:dyDescent="0.25"/>
    <row r="68244" s="12" customFormat="1" x14ac:dyDescent="0.25"/>
    <row r="68245" s="12" customFormat="1" x14ac:dyDescent="0.25"/>
    <row r="68246" s="12" customFormat="1" x14ac:dyDescent="0.25"/>
    <row r="68247" s="12" customFormat="1" x14ac:dyDescent="0.25"/>
    <row r="68248" s="12" customFormat="1" x14ac:dyDescent="0.25"/>
    <row r="68249" s="12" customFormat="1" x14ac:dyDescent="0.25"/>
    <row r="68250" s="12" customFormat="1" x14ac:dyDescent="0.25"/>
    <row r="68251" s="12" customFormat="1" x14ac:dyDescent="0.25"/>
    <row r="68252" s="12" customFormat="1" x14ac:dyDescent="0.25"/>
    <row r="68253" s="12" customFormat="1" x14ac:dyDescent="0.25"/>
    <row r="68254" s="12" customFormat="1" x14ac:dyDescent="0.25"/>
    <row r="68255" s="12" customFormat="1" x14ac:dyDescent="0.25"/>
    <row r="68256" s="12" customFormat="1" x14ac:dyDescent="0.25"/>
    <row r="68257" s="12" customFormat="1" x14ac:dyDescent="0.25"/>
    <row r="68258" s="12" customFormat="1" x14ac:dyDescent="0.25"/>
    <row r="68259" s="12" customFormat="1" x14ac:dyDescent="0.25"/>
    <row r="68260" s="12" customFormat="1" x14ac:dyDescent="0.25"/>
    <row r="68261" s="12" customFormat="1" x14ac:dyDescent="0.25"/>
    <row r="68262" s="12" customFormat="1" x14ac:dyDescent="0.25"/>
    <row r="68263" s="12" customFormat="1" x14ac:dyDescent="0.25"/>
    <row r="68264" s="12" customFormat="1" x14ac:dyDescent="0.25"/>
    <row r="68265" s="12" customFormat="1" x14ac:dyDescent="0.25"/>
    <row r="68266" s="12" customFormat="1" x14ac:dyDescent="0.25"/>
    <row r="68267" s="12" customFormat="1" x14ac:dyDescent="0.25"/>
    <row r="68268" s="12" customFormat="1" x14ac:dyDescent="0.25"/>
    <row r="68269" s="12" customFormat="1" x14ac:dyDescent="0.25"/>
    <row r="68270" s="12" customFormat="1" x14ac:dyDescent="0.25"/>
    <row r="68271" s="12" customFormat="1" x14ac:dyDescent="0.25"/>
    <row r="68272" s="12" customFormat="1" x14ac:dyDescent="0.25"/>
    <row r="68273" s="12" customFormat="1" x14ac:dyDescent="0.25"/>
    <row r="68274" s="12" customFormat="1" x14ac:dyDescent="0.25"/>
    <row r="68275" s="12" customFormat="1" x14ac:dyDescent="0.25"/>
    <row r="68276" s="12" customFormat="1" x14ac:dyDescent="0.25"/>
    <row r="68277" s="12" customFormat="1" x14ac:dyDescent="0.25"/>
    <row r="68278" s="12" customFormat="1" x14ac:dyDescent="0.25"/>
    <row r="68279" s="12" customFormat="1" x14ac:dyDescent="0.25"/>
    <row r="68280" s="12" customFormat="1" x14ac:dyDescent="0.25"/>
    <row r="68281" s="12" customFormat="1" x14ac:dyDescent="0.25"/>
    <row r="68282" s="12" customFormat="1" x14ac:dyDescent="0.25"/>
    <row r="68283" s="12" customFormat="1" x14ac:dyDescent="0.25"/>
    <row r="68284" s="12" customFormat="1" x14ac:dyDescent="0.25"/>
    <row r="68285" s="12" customFormat="1" x14ac:dyDescent="0.25"/>
    <row r="68286" s="12" customFormat="1" x14ac:dyDescent="0.25"/>
    <row r="68287" s="12" customFormat="1" x14ac:dyDescent="0.25"/>
    <row r="68288" s="12" customFormat="1" x14ac:dyDescent="0.25"/>
    <row r="68289" s="12" customFormat="1" x14ac:dyDescent="0.25"/>
    <row r="68290" s="12" customFormat="1" x14ac:dyDescent="0.25"/>
    <row r="68291" s="12" customFormat="1" x14ac:dyDescent="0.25"/>
    <row r="68292" s="12" customFormat="1" x14ac:dyDescent="0.25"/>
    <row r="68293" s="12" customFormat="1" x14ac:dyDescent="0.25"/>
    <row r="68294" s="12" customFormat="1" x14ac:dyDescent="0.25"/>
    <row r="68295" s="12" customFormat="1" x14ac:dyDescent="0.25"/>
    <row r="68296" s="12" customFormat="1" x14ac:dyDescent="0.25"/>
    <row r="68297" s="12" customFormat="1" x14ac:dyDescent="0.25"/>
    <row r="68298" s="12" customFormat="1" x14ac:dyDescent="0.25"/>
    <row r="68299" s="12" customFormat="1" x14ac:dyDescent="0.25"/>
    <row r="68300" s="12" customFormat="1" x14ac:dyDescent="0.25"/>
    <row r="68301" s="12" customFormat="1" x14ac:dyDescent="0.25"/>
    <row r="68302" s="12" customFormat="1" x14ac:dyDescent="0.25"/>
    <row r="68303" s="12" customFormat="1" x14ac:dyDescent="0.25"/>
    <row r="68304" s="12" customFormat="1" x14ac:dyDescent="0.25"/>
    <row r="68305" s="12" customFormat="1" x14ac:dyDescent="0.25"/>
    <row r="68306" s="12" customFormat="1" x14ac:dyDescent="0.25"/>
    <row r="68307" s="12" customFormat="1" x14ac:dyDescent="0.25"/>
    <row r="68308" s="12" customFormat="1" x14ac:dyDescent="0.25"/>
    <row r="68309" s="12" customFormat="1" x14ac:dyDescent="0.25"/>
    <row r="68310" s="12" customFormat="1" x14ac:dyDescent="0.25"/>
    <row r="68311" s="12" customFormat="1" x14ac:dyDescent="0.25"/>
    <row r="68312" s="12" customFormat="1" x14ac:dyDescent="0.25"/>
    <row r="68313" s="12" customFormat="1" x14ac:dyDescent="0.25"/>
    <row r="68314" s="12" customFormat="1" x14ac:dyDescent="0.25"/>
    <row r="68315" s="12" customFormat="1" x14ac:dyDescent="0.25"/>
    <row r="68316" s="12" customFormat="1" x14ac:dyDescent="0.25"/>
    <row r="68317" s="12" customFormat="1" x14ac:dyDescent="0.25"/>
    <row r="68318" s="12" customFormat="1" x14ac:dyDescent="0.25"/>
    <row r="68319" s="12" customFormat="1" x14ac:dyDescent="0.25"/>
    <row r="68320" s="12" customFormat="1" x14ac:dyDescent="0.25"/>
    <row r="68321" s="12" customFormat="1" x14ac:dyDescent="0.25"/>
    <row r="68322" s="12" customFormat="1" x14ac:dyDescent="0.25"/>
    <row r="68323" s="12" customFormat="1" x14ac:dyDescent="0.25"/>
    <row r="68324" s="12" customFormat="1" x14ac:dyDescent="0.25"/>
    <row r="68325" s="12" customFormat="1" x14ac:dyDescent="0.25"/>
    <row r="68326" s="12" customFormat="1" x14ac:dyDescent="0.25"/>
    <row r="68327" s="12" customFormat="1" x14ac:dyDescent="0.25"/>
    <row r="68328" s="12" customFormat="1" x14ac:dyDescent="0.25"/>
    <row r="68329" s="12" customFormat="1" x14ac:dyDescent="0.25"/>
    <row r="68330" s="12" customFormat="1" x14ac:dyDescent="0.25"/>
    <row r="68331" s="12" customFormat="1" x14ac:dyDescent="0.25"/>
    <row r="68332" s="12" customFormat="1" x14ac:dyDescent="0.25"/>
    <row r="68333" s="12" customFormat="1" x14ac:dyDescent="0.25"/>
    <row r="68334" s="12" customFormat="1" x14ac:dyDescent="0.25"/>
    <row r="68335" s="12" customFormat="1" x14ac:dyDescent="0.25"/>
    <row r="68336" s="12" customFormat="1" x14ac:dyDescent="0.25"/>
    <row r="68337" s="12" customFormat="1" x14ac:dyDescent="0.25"/>
    <row r="68338" s="12" customFormat="1" x14ac:dyDescent="0.25"/>
    <row r="68339" s="12" customFormat="1" x14ac:dyDescent="0.25"/>
    <row r="68340" s="12" customFormat="1" x14ac:dyDescent="0.25"/>
    <row r="68341" s="12" customFormat="1" x14ac:dyDescent="0.25"/>
    <row r="68342" s="12" customFormat="1" x14ac:dyDescent="0.25"/>
    <row r="68343" s="12" customFormat="1" x14ac:dyDescent="0.25"/>
    <row r="68344" s="12" customFormat="1" x14ac:dyDescent="0.25"/>
    <row r="68345" s="12" customFormat="1" x14ac:dyDescent="0.25"/>
    <row r="68346" s="12" customFormat="1" x14ac:dyDescent="0.25"/>
    <row r="68347" s="12" customFormat="1" x14ac:dyDescent="0.25"/>
    <row r="68348" s="12" customFormat="1" x14ac:dyDescent="0.25"/>
    <row r="68349" s="12" customFormat="1" x14ac:dyDescent="0.25"/>
    <row r="68350" s="12" customFormat="1" x14ac:dyDescent="0.25"/>
    <row r="68351" s="12" customFormat="1" x14ac:dyDescent="0.25"/>
    <row r="68352" s="12" customFormat="1" x14ac:dyDescent="0.25"/>
    <row r="68353" s="12" customFormat="1" x14ac:dyDescent="0.25"/>
    <row r="68354" s="12" customFormat="1" x14ac:dyDescent="0.25"/>
    <row r="68355" s="12" customFormat="1" x14ac:dyDescent="0.25"/>
    <row r="68356" s="12" customFormat="1" x14ac:dyDescent="0.25"/>
    <row r="68357" s="12" customFormat="1" x14ac:dyDescent="0.25"/>
    <row r="68358" s="12" customFormat="1" x14ac:dyDescent="0.25"/>
    <row r="68359" s="12" customFormat="1" x14ac:dyDescent="0.25"/>
    <row r="68360" s="12" customFormat="1" x14ac:dyDescent="0.25"/>
    <row r="68361" s="12" customFormat="1" x14ac:dyDescent="0.25"/>
    <row r="68362" s="12" customFormat="1" x14ac:dyDescent="0.25"/>
    <row r="68363" s="12" customFormat="1" x14ac:dyDescent="0.25"/>
    <row r="68364" s="12" customFormat="1" x14ac:dyDescent="0.25"/>
    <row r="68365" s="12" customFormat="1" x14ac:dyDescent="0.25"/>
    <row r="68366" s="12" customFormat="1" x14ac:dyDescent="0.25"/>
    <row r="68367" s="12" customFormat="1" x14ac:dyDescent="0.25"/>
    <row r="68368" s="12" customFormat="1" x14ac:dyDescent="0.25"/>
    <row r="68369" s="12" customFormat="1" x14ac:dyDescent="0.25"/>
    <row r="68370" s="12" customFormat="1" x14ac:dyDescent="0.25"/>
    <row r="68371" s="12" customFormat="1" x14ac:dyDescent="0.25"/>
    <row r="68372" s="12" customFormat="1" x14ac:dyDescent="0.25"/>
    <row r="68373" s="12" customFormat="1" x14ac:dyDescent="0.25"/>
    <row r="68374" s="12" customFormat="1" x14ac:dyDescent="0.25"/>
    <row r="68375" s="12" customFormat="1" x14ac:dyDescent="0.25"/>
    <row r="68376" s="12" customFormat="1" x14ac:dyDescent="0.25"/>
    <row r="68377" s="12" customFormat="1" x14ac:dyDescent="0.25"/>
    <row r="68378" s="12" customFormat="1" x14ac:dyDescent="0.25"/>
    <row r="68379" s="12" customFormat="1" x14ac:dyDescent="0.25"/>
    <row r="68380" s="12" customFormat="1" x14ac:dyDescent="0.25"/>
    <row r="68381" s="12" customFormat="1" x14ac:dyDescent="0.25"/>
    <row r="68382" s="12" customFormat="1" x14ac:dyDescent="0.25"/>
    <row r="68383" s="12" customFormat="1" x14ac:dyDescent="0.25"/>
    <row r="68384" s="12" customFormat="1" x14ac:dyDescent="0.25"/>
    <row r="68385" s="12" customFormat="1" x14ac:dyDescent="0.25"/>
    <row r="68386" s="12" customFormat="1" x14ac:dyDescent="0.25"/>
    <row r="68387" s="12" customFormat="1" x14ac:dyDescent="0.25"/>
    <row r="68388" s="12" customFormat="1" x14ac:dyDescent="0.25"/>
    <row r="68389" s="12" customFormat="1" x14ac:dyDescent="0.25"/>
    <row r="68390" s="12" customFormat="1" x14ac:dyDescent="0.25"/>
    <row r="68391" s="12" customFormat="1" x14ac:dyDescent="0.25"/>
    <row r="68392" s="12" customFormat="1" x14ac:dyDescent="0.25"/>
    <row r="68393" s="12" customFormat="1" x14ac:dyDescent="0.25"/>
    <row r="68394" s="12" customFormat="1" x14ac:dyDescent="0.25"/>
    <row r="68395" s="12" customFormat="1" x14ac:dyDescent="0.25"/>
    <row r="68396" s="12" customFormat="1" x14ac:dyDescent="0.25"/>
    <row r="68397" s="12" customFormat="1" x14ac:dyDescent="0.25"/>
    <row r="68398" s="12" customFormat="1" x14ac:dyDescent="0.25"/>
    <row r="68399" s="12" customFormat="1" x14ac:dyDescent="0.25"/>
    <row r="68400" s="12" customFormat="1" x14ac:dyDescent="0.25"/>
    <row r="68401" s="12" customFormat="1" x14ac:dyDescent="0.25"/>
    <row r="68402" s="12" customFormat="1" x14ac:dyDescent="0.25"/>
    <row r="68403" s="12" customFormat="1" x14ac:dyDescent="0.25"/>
    <row r="68404" s="12" customFormat="1" x14ac:dyDescent="0.25"/>
    <row r="68405" s="12" customFormat="1" x14ac:dyDescent="0.25"/>
    <row r="68406" s="12" customFormat="1" x14ac:dyDescent="0.25"/>
    <row r="68407" s="12" customFormat="1" x14ac:dyDescent="0.25"/>
    <row r="68408" s="12" customFormat="1" x14ac:dyDescent="0.25"/>
    <row r="68409" s="12" customFormat="1" x14ac:dyDescent="0.25"/>
    <row r="68410" s="12" customFormat="1" x14ac:dyDescent="0.25"/>
    <row r="68411" s="12" customFormat="1" x14ac:dyDescent="0.25"/>
    <row r="68412" s="12" customFormat="1" x14ac:dyDescent="0.25"/>
    <row r="68413" s="12" customFormat="1" x14ac:dyDescent="0.25"/>
    <row r="68414" s="12" customFormat="1" x14ac:dyDescent="0.25"/>
    <row r="68415" s="12" customFormat="1" x14ac:dyDescent="0.25"/>
    <row r="68416" s="12" customFormat="1" x14ac:dyDescent="0.25"/>
    <row r="68417" s="12" customFormat="1" x14ac:dyDescent="0.25"/>
    <row r="68418" s="12" customFormat="1" x14ac:dyDescent="0.25"/>
    <row r="68419" s="12" customFormat="1" x14ac:dyDescent="0.25"/>
    <row r="68420" s="12" customFormat="1" x14ac:dyDescent="0.25"/>
    <row r="68421" s="12" customFormat="1" x14ac:dyDescent="0.25"/>
    <row r="68422" s="12" customFormat="1" x14ac:dyDescent="0.25"/>
    <row r="68423" s="12" customFormat="1" x14ac:dyDescent="0.25"/>
    <row r="68424" s="12" customFormat="1" x14ac:dyDescent="0.25"/>
    <row r="68425" s="12" customFormat="1" x14ac:dyDescent="0.25"/>
    <row r="68426" s="12" customFormat="1" x14ac:dyDescent="0.25"/>
    <row r="68427" s="12" customFormat="1" x14ac:dyDescent="0.25"/>
    <row r="68428" s="12" customFormat="1" x14ac:dyDescent="0.25"/>
    <row r="68429" s="12" customFormat="1" x14ac:dyDescent="0.25"/>
    <row r="68430" s="12" customFormat="1" x14ac:dyDescent="0.25"/>
    <row r="68431" s="12" customFormat="1" x14ac:dyDescent="0.25"/>
    <row r="68432" s="12" customFormat="1" x14ac:dyDescent="0.25"/>
    <row r="68433" s="12" customFormat="1" x14ac:dyDescent="0.25"/>
    <row r="68434" s="12" customFormat="1" x14ac:dyDescent="0.25"/>
    <row r="68435" s="12" customFormat="1" x14ac:dyDescent="0.25"/>
    <row r="68436" s="12" customFormat="1" x14ac:dyDescent="0.25"/>
    <row r="68437" s="12" customFormat="1" x14ac:dyDescent="0.25"/>
    <row r="68438" s="12" customFormat="1" x14ac:dyDescent="0.25"/>
    <row r="68439" s="12" customFormat="1" x14ac:dyDescent="0.25"/>
    <row r="68440" s="12" customFormat="1" x14ac:dyDescent="0.25"/>
    <row r="68441" s="12" customFormat="1" x14ac:dyDescent="0.25"/>
    <row r="68442" s="12" customFormat="1" x14ac:dyDescent="0.25"/>
    <row r="68443" s="12" customFormat="1" x14ac:dyDescent="0.25"/>
    <row r="68444" s="12" customFormat="1" x14ac:dyDescent="0.25"/>
    <row r="68445" s="12" customFormat="1" x14ac:dyDescent="0.25"/>
    <row r="68446" s="12" customFormat="1" x14ac:dyDescent="0.25"/>
    <row r="68447" s="12" customFormat="1" x14ac:dyDescent="0.25"/>
    <row r="68448" s="12" customFormat="1" x14ac:dyDescent="0.25"/>
    <row r="68449" s="12" customFormat="1" x14ac:dyDescent="0.25"/>
    <row r="68450" s="12" customFormat="1" x14ac:dyDescent="0.25"/>
    <row r="68451" s="12" customFormat="1" x14ac:dyDescent="0.25"/>
    <row r="68452" s="12" customFormat="1" x14ac:dyDescent="0.25"/>
    <row r="68453" s="12" customFormat="1" x14ac:dyDescent="0.25"/>
    <row r="68454" s="12" customFormat="1" x14ac:dyDescent="0.25"/>
    <row r="68455" s="12" customFormat="1" x14ac:dyDescent="0.25"/>
    <row r="68456" s="12" customFormat="1" x14ac:dyDescent="0.25"/>
    <row r="68457" s="12" customFormat="1" x14ac:dyDescent="0.25"/>
    <row r="68458" s="12" customFormat="1" x14ac:dyDescent="0.25"/>
    <row r="68459" s="12" customFormat="1" x14ac:dyDescent="0.25"/>
    <row r="68460" s="12" customFormat="1" x14ac:dyDescent="0.25"/>
    <row r="68461" s="12" customFormat="1" x14ac:dyDescent="0.25"/>
    <row r="68462" s="12" customFormat="1" x14ac:dyDescent="0.25"/>
    <row r="68463" s="12" customFormat="1" x14ac:dyDescent="0.25"/>
    <row r="68464" s="12" customFormat="1" x14ac:dyDescent="0.25"/>
    <row r="68465" s="12" customFormat="1" x14ac:dyDescent="0.25"/>
    <row r="68466" s="12" customFormat="1" x14ac:dyDescent="0.25"/>
    <row r="68467" s="12" customFormat="1" x14ac:dyDescent="0.25"/>
    <row r="68468" s="12" customFormat="1" x14ac:dyDescent="0.25"/>
    <row r="68469" s="12" customFormat="1" x14ac:dyDescent="0.25"/>
    <row r="68470" s="12" customFormat="1" x14ac:dyDescent="0.25"/>
    <row r="68471" s="12" customFormat="1" x14ac:dyDescent="0.25"/>
    <row r="68472" s="12" customFormat="1" x14ac:dyDescent="0.25"/>
    <row r="68473" s="12" customFormat="1" x14ac:dyDescent="0.25"/>
    <row r="68474" s="12" customFormat="1" x14ac:dyDescent="0.25"/>
    <row r="68475" s="12" customFormat="1" x14ac:dyDescent="0.25"/>
    <row r="68476" s="12" customFormat="1" x14ac:dyDescent="0.25"/>
    <row r="68477" s="12" customFormat="1" x14ac:dyDescent="0.25"/>
    <row r="68478" s="12" customFormat="1" x14ac:dyDescent="0.25"/>
    <row r="68479" s="12" customFormat="1" x14ac:dyDescent="0.25"/>
    <row r="68480" s="12" customFormat="1" x14ac:dyDescent="0.25"/>
    <row r="68481" s="12" customFormat="1" x14ac:dyDescent="0.25"/>
    <row r="68482" s="12" customFormat="1" x14ac:dyDescent="0.25"/>
    <row r="68483" s="12" customFormat="1" x14ac:dyDescent="0.25"/>
    <row r="68484" s="12" customFormat="1" x14ac:dyDescent="0.25"/>
    <row r="68485" s="12" customFormat="1" x14ac:dyDescent="0.25"/>
    <row r="68486" s="12" customFormat="1" x14ac:dyDescent="0.25"/>
    <row r="68487" s="12" customFormat="1" x14ac:dyDescent="0.25"/>
    <row r="68488" s="12" customFormat="1" x14ac:dyDescent="0.25"/>
    <row r="68489" s="12" customFormat="1" x14ac:dyDescent="0.25"/>
    <row r="68490" s="12" customFormat="1" x14ac:dyDescent="0.25"/>
    <row r="68491" s="12" customFormat="1" x14ac:dyDescent="0.25"/>
    <row r="68492" s="12" customFormat="1" x14ac:dyDescent="0.25"/>
    <row r="68493" s="12" customFormat="1" x14ac:dyDescent="0.25"/>
    <row r="68494" s="12" customFormat="1" x14ac:dyDescent="0.25"/>
    <row r="68495" s="12" customFormat="1" x14ac:dyDescent="0.25"/>
    <row r="68496" s="12" customFormat="1" x14ac:dyDescent="0.25"/>
    <row r="68497" s="12" customFormat="1" x14ac:dyDescent="0.25"/>
    <row r="68498" s="12" customFormat="1" x14ac:dyDescent="0.25"/>
    <row r="68499" s="12" customFormat="1" x14ac:dyDescent="0.25"/>
    <row r="68500" s="12" customFormat="1" x14ac:dyDescent="0.25"/>
    <row r="68501" s="12" customFormat="1" x14ac:dyDescent="0.25"/>
    <row r="68502" s="12" customFormat="1" x14ac:dyDescent="0.25"/>
    <row r="68503" s="12" customFormat="1" x14ac:dyDescent="0.25"/>
    <row r="68504" s="12" customFormat="1" x14ac:dyDescent="0.25"/>
    <row r="68505" s="12" customFormat="1" x14ac:dyDescent="0.25"/>
    <row r="68506" s="12" customFormat="1" x14ac:dyDescent="0.25"/>
    <row r="68507" s="12" customFormat="1" x14ac:dyDescent="0.25"/>
    <row r="68508" s="12" customFormat="1" x14ac:dyDescent="0.25"/>
    <row r="68509" s="12" customFormat="1" x14ac:dyDescent="0.25"/>
    <row r="68510" s="12" customFormat="1" x14ac:dyDescent="0.25"/>
    <row r="68511" s="12" customFormat="1" x14ac:dyDescent="0.25"/>
    <row r="68512" s="12" customFormat="1" x14ac:dyDescent="0.25"/>
    <row r="68513" s="12" customFormat="1" x14ac:dyDescent="0.25"/>
    <row r="68514" s="12" customFormat="1" x14ac:dyDescent="0.25"/>
    <row r="68515" s="12" customFormat="1" x14ac:dyDescent="0.25"/>
    <row r="68516" s="12" customFormat="1" x14ac:dyDescent="0.25"/>
    <row r="68517" s="12" customFormat="1" x14ac:dyDescent="0.25"/>
    <row r="68518" s="12" customFormat="1" x14ac:dyDescent="0.25"/>
    <row r="68519" s="12" customFormat="1" x14ac:dyDescent="0.25"/>
    <row r="68520" s="12" customFormat="1" x14ac:dyDescent="0.25"/>
    <row r="68521" s="12" customFormat="1" x14ac:dyDescent="0.25"/>
    <row r="68522" s="12" customFormat="1" x14ac:dyDescent="0.25"/>
    <row r="68523" s="12" customFormat="1" x14ac:dyDescent="0.25"/>
    <row r="68524" s="12" customFormat="1" x14ac:dyDescent="0.25"/>
    <row r="68525" s="12" customFormat="1" x14ac:dyDescent="0.25"/>
    <row r="68526" s="12" customFormat="1" x14ac:dyDescent="0.25"/>
    <row r="68527" s="12" customFormat="1" x14ac:dyDescent="0.25"/>
    <row r="68528" s="12" customFormat="1" x14ac:dyDescent="0.25"/>
    <row r="68529" s="12" customFormat="1" x14ac:dyDescent="0.25"/>
    <row r="68530" s="12" customFormat="1" x14ac:dyDescent="0.25"/>
    <row r="68531" s="12" customFormat="1" x14ac:dyDescent="0.25"/>
    <row r="68532" s="12" customFormat="1" x14ac:dyDescent="0.25"/>
    <row r="68533" s="12" customFormat="1" x14ac:dyDescent="0.25"/>
    <row r="68534" s="12" customFormat="1" x14ac:dyDescent="0.25"/>
    <row r="68535" s="12" customFormat="1" x14ac:dyDescent="0.25"/>
    <row r="68536" s="12" customFormat="1" x14ac:dyDescent="0.25"/>
    <row r="68537" s="12" customFormat="1" x14ac:dyDescent="0.25"/>
    <row r="68538" s="12" customFormat="1" x14ac:dyDescent="0.25"/>
    <row r="68539" s="12" customFormat="1" x14ac:dyDescent="0.25"/>
    <row r="68540" s="12" customFormat="1" x14ac:dyDescent="0.25"/>
    <row r="68541" s="12" customFormat="1" x14ac:dyDescent="0.25"/>
    <row r="68542" s="12" customFormat="1" x14ac:dyDescent="0.25"/>
    <row r="68543" s="12" customFormat="1" x14ac:dyDescent="0.25"/>
    <row r="68544" s="12" customFormat="1" x14ac:dyDescent="0.25"/>
    <row r="68545" s="12" customFormat="1" x14ac:dyDescent="0.25"/>
    <row r="68546" s="12" customFormat="1" x14ac:dyDescent="0.25"/>
    <row r="68547" s="12" customFormat="1" x14ac:dyDescent="0.25"/>
    <row r="68548" s="12" customFormat="1" x14ac:dyDescent="0.25"/>
    <row r="68549" s="12" customFormat="1" x14ac:dyDescent="0.25"/>
    <row r="68550" s="12" customFormat="1" x14ac:dyDescent="0.25"/>
    <row r="68551" s="12" customFormat="1" x14ac:dyDescent="0.25"/>
    <row r="68552" s="12" customFormat="1" x14ac:dyDescent="0.25"/>
    <row r="68553" s="12" customFormat="1" x14ac:dyDescent="0.25"/>
    <row r="68554" s="12" customFormat="1" x14ac:dyDescent="0.25"/>
    <row r="68555" s="12" customFormat="1" x14ac:dyDescent="0.25"/>
    <row r="68556" s="12" customFormat="1" x14ac:dyDescent="0.25"/>
    <row r="68557" s="12" customFormat="1" x14ac:dyDescent="0.25"/>
    <row r="68558" s="12" customFormat="1" x14ac:dyDescent="0.25"/>
    <row r="68559" s="12" customFormat="1" x14ac:dyDescent="0.25"/>
    <row r="68560" s="12" customFormat="1" x14ac:dyDescent="0.25"/>
    <row r="68561" s="12" customFormat="1" x14ac:dyDescent="0.25"/>
    <row r="68562" s="12" customFormat="1" x14ac:dyDescent="0.25"/>
    <row r="68563" s="12" customFormat="1" x14ac:dyDescent="0.25"/>
    <row r="68564" s="12" customFormat="1" x14ac:dyDescent="0.25"/>
    <row r="68565" s="12" customFormat="1" x14ac:dyDescent="0.25"/>
    <row r="68566" s="12" customFormat="1" x14ac:dyDescent="0.25"/>
    <row r="68567" s="12" customFormat="1" x14ac:dyDescent="0.25"/>
    <row r="68568" s="12" customFormat="1" x14ac:dyDescent="0.25"/>
    <row r="68569" s="12" customFormat="1" x14ac:dyDescent="0.25"/>
    <row r="68570" s="12" customFormat="1" x14ac:dyDescent="0.25"/>
    <row r="68571" s="12" customFormat="1" x14ac:dyDescent="0.25"/>
    <row r="68572" s="12" customFormat="1" x14ac:dyDescent="0.25"/>
    <row r="68573" s="12" customFormat="1" x14ac:dyDescent="0.25"/>
    <row r="68574" s="12" customFormat="1" x14ac:dyDescent="0.25"/>
    <row r="68575" s="12" customFormat="1" x14ac:dyDescent="0.25"/>
    <row r="68576" s="12" customFormat="1" x14ac:dyDescent="0.25"/>
    <row r="68577" s="12" customFormat="1" x14ac:dyDescent="0.25"/>
    <row r="68578" s="12" customFormat="1" x14ac:dyDescent="0.25"/>
    <row r="68579" s="12" customFormat="1" x14ac:dyDescent="0.25"/>
    <row r="68580" s="12" customFormat="1" x14ac:dyDescent="0.25"/>
    <row r="68581" s="12" customFormat="1" x14ac:dyDescent="0.25"/>
    <row r="68582" s="12" customFormat="1" x14ac:dyDescent="0.25"/>
    <row r="68583" s="12" customFormat="1" x14ac:dyDescent="0.25"/>
    <row r="68584" s="12" customFormat="1" x14ac:dyDescent="0.25"/>
    <row r="68585" s="12" customFormat="1" x14ac:dyDescent="0.25"/>
    <row r="68586" s="12" customFormat="1" x14ac:dyDescent="0.25"/>
    <row r="68587" s="12" customFormat="1" x14ac:dyDescent="0.25"/>
    <row r="68588" s="12" customFormat="1" x14ac:dyDescent="0.25"/>
    <row r="68589" s="12" customFormat="1" x14ac:dyDescent="0.25"/>
    <row r="68590" s="12" customFormat="1" x14ac:dyDescent="0.25"/>
    <row r="68591" s="12" customFormat="1" x14ac:dyDescent="0.25"/>
    <row r="68592" s="12" customFormat="1" x14ac:dyDescent="0.25"/>
    <row r="68593" s="12" customFormat="1" x14ac:dyDescent="0.25"/>
    <row r="68594" s="12" customFormat="1" x14ac:dyDescent="0.25"/>
    <row r="68595" s="12" customFormat="1" x14ac:dyDescent="0.25"/>
    <row r="68596" s="12" customFormat="1" x14ac:dyDescent="0.25"/>
    <row r="68597" s="12" customFormat="1" x14ac:dyDescent="0.25"/>
    <row r="68598" s="12" customFormat="1" x14ac:dyDescent="0.25"/>
    <row r="68599" s="12" customFormat="1" x14ac:dyDescent="0.25"/>
    <row r="68600" s="12" customFormat="1" x14ac:dyDescent="0.25"/>
    <row r="68601" s="12" customFormat="1" x14ac:dyDescent="0.25"/>
    <row r="68602" s="12" customFormat="1" x14ac:dyDescent="0.25"/>
    <row r="68603" s="12" customFormat="1" x14ac:dyDescent="0.25"/>
    <row r="68604" s="12" customFormat="1" x14ac:dyDescent="0.25"/>
    <row r="68605" s="12" customFormat="1" x14ac:dyDescent="0.25"/>
    <row r="68606" s="12" customFormat="1" x14ac:dyDescent="0.25"/>
    <row r="68607" s="12" customFormat="1" x14ac:dyDescent="0.25"/>
    <row r="68608" s="12" customFormat="1" x14ac:dyDescent="0.25"/>
    <row r="68609" s="12" customFormat="1" x14ac:dyDescent="0.25"/>
    <row r="68610" s="12" customFormat="1" x14ac:dyDescent="0.25"/>
    <row r="68611" s="12" customFormat="1" x14ac:dyDescent="0.25"/>
    <row r="68612" s="12" customFormat="1" x14ac:dyDescent="0.25"/>
    <row r="68613" s="12" customFormat="1" x14ac:dyDescent="0.25"/>
    <row r="68614" s="12" customFormat="1" x14ac:dyDescent="0.25"/>
    <row r="68615" s="12" customFormat="1" x14ac:dyDescent="0.25"/>
    <row r="68616" s="12" customFormat="1" x14ac:dyDescent="0.25"/>
    <row r="68617" s="12" customFormat="1" x14ac:dyDescent="0.25"/>
    <row r="68618" s="12" customFormat="1" x14ac:dyDescent="0.25"/>
    <row r="68619" s="12" customFormat="1" x14ac:dyDescent="0.25"/>
    <row r="68620" s="12" customFormat="1" x14ac:dyDescent="0.25"/>
    <row r="68621" s="12" customFormat="1" x14ac:dyDescent="0.25"/>
    <row r="68622" s="12" customFormat="1" x14ac:dyDescent="0.25"/>
    <row r="68623" s="12" customFormat="1" x14ac:dyDescent="0.25"/>
    <row r="68624" s="12" customFormat="1" x14ac:dyDescent="0.25"/>
    <row r="68625" s="12" customFormat="1" x14ac:dyDescent="0.25"/>
    <row r="68626" s="12" customFormat="1" x14ac:dyDescent="0.25"/>
    <row r="68627" s="12" customFormat="1" x14ac:dyDescent="0.25"/>
    <row r="68628" s="12" customFormat="1" x14ac:dyDescent="0.25"/>
    <row r="68629" s="12" customFormat="1" x14ac:dyDescent="0.25"/>
    <row r="68630" s="12" customFormat="1" x14ac:dyDescent="0.25"/>
    <row r="68631" s="12" customFormat="1" x14ac:dyDescent="0.25"/>
    <row r="68632" s="12" customFormat="1" x14ac:dyDescent="0.25"/>
    <row r="68633" s="12" customFormat="1" x14ac:dyDescent="0.25"/>
    <row r="68634" s="12" customFormat="1" x14ac:dyDescent="0.25"/>
    <row r="68635" s="12" customFormat="1" x14ac:dyDescent="0.25"/>
    <row r="68636" s="12" customFormat="1" x14ac:dyDescent="0.25"/>
    <row r="68637" s="12" customFormat="1" x14ac:dyDescent="0.25"/>
    <row r="68638" s="12" customFormat="1" x14ac:dyDescent="0.25"/>
    <row r="68639" s="12" customFormat="1" x14ac:dyDescent="0.25"/>
    <row r="68640" s="12" customFormat="1" x14ac:dyDescent="0.25"/>
    <row r="68641" s="12" customFormat="1" x14ac:dyDescent="0.25"/>
    <row r="68642" s="12" customFormat="1" x14ac:dyDescent="0.25"/>
    <row r="68643" s="12" customFormat="1" x14ac:dyDescent="0.25"/>
    <row r="68644" s="12" customFormat="1" x14ac:dyDescent="0.25"/>
    <row r="68645" s="12" customFormat="1" x14ac:dyDescent="0.25"/>
    <row r="68646" s="12" customFormat="1" x14ac:dyDescent="0.25"/>
    <row r="68647" s="12" customFormat="1" x14ac:dyDescent="0.25"/>
    <row r="68648" s="12" customFormat="1" x14ac:dyDescent="0.25"/>
    <row r="68649" s="12" customFormat="1" x14ac:dyDescent="0.25"/>
    <row r="68650" s="12" customFormat="1" x14ac:dyDescent="0.25"/>
    <row r="68651" s="12" customFormat="1" x14ac:dyDescent="0.25"/>
    <row r="68652" s="12" customFormat="1" x14ac:dyDescent="0.25"/>
    <row r="68653" s="12" customFormat="1" x14ac:dyDescent="0.25"/>
    <row r="68654" s="12" customFormat="1" x14ac:dyDescent="0.25"/>
    <row r="68655" s="12" customFormat="1" x14ac:dyDescent="0.25"/>
    <row r="68656" s="12" customFormat="1" x14ac:dyDescent="0.25"/>
    <row r="68657" s="12" customFormat="1" x14ac:dyDescent="0.25"/>
    <row r="68658" s="12" customFormat="1" x14ac:dyDescent="0.25"/>
    <row r="68659" s="12" customFormat="1" x14ac:dyDescent="0.25"/>
    <row r="68660" s="12" customFormat="1" x14ac:dyDescent="0.25"/>
    <row r="68661" s="12" customFormat="1" x14ac:dyDescent="0.25"/>
    <row r="68662" s="12" customFormat="1" x14ac:dyDescent="0.25"/>
    <row r="68663" s="12" customFormat="1" x14ac:dyDescent="0.25"/>
    <row r="68664" s="12" customFormat="1" x14ac:dyDescent="0.25"/>
    <row r="68665" s="12" customFormat="1" x14ac:dyDescent="0.25"/>
    <row r="68666" s="12" customFormat="1" x14ac:dyDescent="0.25"/>
    <row r="68667" s="12" customFormat="1" x14ac:dyDescent="0.25"/>
    <row r="68668" s="12" customFormat="1" x14ac:dyDescent="0.25"/>
    <row r="68669" s="12" customFormat="1" x14ac:dyDescent="0.25"/>
    <row r="68670" s="12" customFormat="1" x14ac:dyDescent="0.25"/>
    <row r="68671" s="12" customFormat="1" x14ac:dyDescent="0.25"/>
    <row r="68672" s="12" customFormat="1" x14ac:dyDescent="0.25"/>
    <row r="68673" s="12" customFormat="1" x14ac:dyDescent="0.25"/>
    <row r="68674" s="12" customFormat="1" x14ac:dyDescent="0.25"/>
    <row r="68675" s="12" customFormat="1" x14ac:dyDescent="0.25"/>
    <row r="68676" s="12" customFormat="1" x14ac:dyDescent="0.25"/>
    <row r="68677" s="12" customFormat="1" x14ac:dyDescent="0.25"/>
    <row r="68678" s="12" customFormat="1" x14ac:dyDescent="0.25"/>
    <row r="68679" s="12" customFormat="1" x14ac:dyDescent="0.25"/>
    <row r="68680" s="12" customFormat="1" x14ac:dyDescent="0.25"/>
    <row r="68681" s="12" customFormat="1" x14ac:dyDescent="0.25"/>
    <row r="68682" s="12" customFormat="1" x14ac:dyDescent="0.25"/>
    <row r="68683" s="12" customFormat="1" x14ac:dyDescent="0.25"/>
    <row r="68684" s="12" customFormat="1" x14ac:dyDescent="0.25"/>
    <row r="68685" s="12" customFormat="1" x14ac:dyDescent="0.25"/>
    <row r="68686" s="12" customFormat="1" x14ac:dyDescent="0.25"/>
    <row r="68687" s="12" customFormat="1" x14ac:dyDescent="0.25"/>
    <row r="68688" s="12" customFormat="1" x14ac:dyDescent="0.25"/>
    <row r="68689" s="12" customFormat="1" x14ac:dyDescent="0.25"/>
    <row r="68690" s="12" customFormat="1" x14ac:dyDescent="0.25"/>
    <row r="68691" s="12" customFormat="1" x14ac:dyDescent="0.25"/>
    <row r="68692" s="12" customFormat="1" x14ac:dyDescent="0.25"/>
    <row r="68693" s="12" customFormat="1" x14ac:dyDescent="0.25"/>
    <row r="68694" s="12" customFormat="1" x14ac:dyDescent="0.25"/>
    <row r="68695" s="12" customFormat="1" x14ac:dyDescent="0.25"/>
    <row r="68696" s="12" customFormat="1" x14ac:dyDescent="0.25"/>
    <row r="68697" s="12" customFormat="1" x14ac:dyDescent="0.25"/>
    <row r="68698" s="12" customFormat="1" x14ac:dyDescent="0.25"/>
    <row r="68699" s="12" customFormat="1" x14ac:dyDescent="0.25"/>
    <row r="68700" s="12" customFormat="1" x14ac:dyDescent="0.25"/>
    <row r="68701" s="12" customFormat="1" x14ac:dyDescent="0.25"/>
    <row r="68702" s="12" customFormat="1" x14ac:dyDescent="0.25"/>
    <row r="68703" s="12" customFormat="1" x14ac:dyDescent="0.25"/>
    <row r="68704" s="12" customFormat="1" x14ac:dyDescent="0.25"/>
    <row r="68705" s="12" customFormat="1" x14ac:dyDescent="0.25"/>
    <row r="68706" s="12" customFormat="1" x14ac:dyDescent="0.25"/>
    <row r="68707" s="12" customFormat="1" x14ac:dyDescent="0.25"/>
    <row r="68708" s="12" customFormat="1" x14ac:dyDescent="0.25"/>
    <row r="68709" s="12" customFormat="1" x14ac:dyDescent="0.25"/>
    <row r="68710" s="12" customFormat="1" x14ac:dyDescent="0.25"/>
    <row r="68711" s="12" customFormat="1" x14ac:dyDescent="0.25"/>
    <row r="68712" s="12" customFormat="1" x14ac:dyDescent="0.25"/>
    <row r="68713" s="12" customFormat="1" x14ac:dyDescent="0.25"/>
    <row r="68714" s="12" customFormat="1" x14ac:dyDescent="0.25"/>
    <row r="68715" s="12" customFormat="1" x14ac:dyDescent="0.25"/>
    <row r="68716" s="12" customFormat="1" x14ac:dyDescent="0.25"/>
    <row r="68717" s="12" customFormat="1" x14ac:dyDescent="0.25"/>
    <row r="68718" s="12" customFormat="1" x14ac:dyDescent="0.25"/>
    <row r="68719" s="12" customFormat="1" x14ac:dyDescent="0.25"/>
    <row r="68720" s="12" customFormat="1" x14ac:dyDescent="0.25"/>
    <row r="68721" s="12" customFormat="1" x14ac:dyDescent="0.25"/>
    <row r="68722" s="12" customFormat="1" x14ac:dyDescent="0.25"/>
    <row r="68723" s="12" customFormat="1" x14ac:dyDescent="0.25"/>
    <row r="68724" s="12" customFormat="1" x14ac:dyDescent="0.25"/>
    <row r="68725" s="12" customFormat="1" x14ac:dyDescent="0.25"/>
    <row r="68726" s="12" customFormat="1" x14ac:dyDescent="0.25"/>
    <row r="68727" s="12" customFormat="1" x14ac:dyDescent="0.25"/>
    <row r="68728" s="12" customFormat="1" x14ac:dyDescent="0.25"/>
    <row r="68729" s="12" customFormat="1" x14ac:dyDescent="0.25"/>
    <row r="68730" s="12" customFormat="1" x14ac:dyDescent="0.25"/>
    <row r="68731" s="12" customFormat="1" x14ac:dyDescent="0.25"/>
    <row r="68732" s="12" customFormat="1" x14ac:dyDescent="0.25"/>
    <row r="68733" s="12" customFormat="1" x14ac:dyDescent="0.25"/>
    <row r="68734" s="12" customFormat="1" x14ac:dyDescent="0.25"/>
    <row r="68735" s="12" customFormat="1" x14ac:dyDescent="0.25"/>
    <row r="68736" s="12" customFormat="1" x14ac:dyDescent="0.25"/>
    <row r="68737" s="12" customFormat="1" x14ac:dyDescent="0.25"/>
    <row r="68738" s="12" customFormat="1" x14ac:dyDescent="0.25"/>
    <row r="68739" s="12" customFormat="1" x14ac:dyDescent="0.25"/>
    <row r="68740" s="12" customFormat="1" x14ac:dyDescent="0.25"/>
    <row r="68741" s="12" customFormat="1" x14ac:dyDescent="0.25"/>
    <row r="68742" s="12" customFormat="1" x14ac:dyDescent="0.25"/>
    <row r="68743" s="12" customFormat="1" x14ac:dyDescent="0.25"/>
    <row r="68744" s="12" customFormat="1" x14ac:dyDescent="0.25"/>
    <row r="68745" s="12" customFormat="1" x14ac:dyDescent="0.25"/>
    <row r="68746" s="12" customFormat="1" x14ac:dyDescent="0.25"/>
    <row r="68747" s="12" customFormat="1" x14ac:dyDescent="0.25"/>
    <row r="68748" s="12" customFormat="1" x14ac:dyDescent="0.25"/>
    <row r="68749" s="12" customFormat="1" x14ac:dyDescent="0.25"/>
    <row r="68750" s="12" customFormat="1" x14ac:dyDescent="0.25"/>
    <row r="68751" s="12" customFormat="1" x14ac:dyDescent="0.25"/>
    <row r="68752" s="12" customFormat="1" x14ac:dyDescent="0.25"/>
    <row r="68753" s="12" customFormat="1" x14ac:dyDescent="0.25"/>
    <row r="68754" s="12" customFormat="1" x14ac:dyDescent="0.25"/>
    <row r="68755" s="12" customFormat="1" x14ac:dyDescent="0.25"/>
    <row r="68756" s="12" customFormat="1" x14ac:dyDescent="0.25"/>
    <row r="68757" s="12" customFormat="1" x14ac:dyDescent="0.25"/>
    <row r="68758" s="12" customFormat="1" x14ac:dyDescent="0.25"/>
    <row r="68759" s="12" customFormat="1" x14ac:dyDescent="0.25"/>
    <row r="68760" s="12" customFormat="1" x14ac:dyDescent="0.25"/>
    <row r="68761" s="12" customFormat="1" x14ac:dyDescent="0.25"/>
    <row r="68762" s="12" customFormat="1" x14ac:dyDescent="0.25"/>
    <row r="68763" s="12" customFormat="1" x14ac:dyDescent="0.25"/>
    <row r="68764" s="12" customFormat="1" x14ac:dyDescent="0.25"/>
    <row r="68765" s="12" customFormat="1" x14ac:dyDescent="0.25"/>
    <row r="68766" s="12" customFormat="1" x14ac:dyDescent="0.25"/>
    <row r="68767" s="12" customFormat="1" x14ac:dyDescent="0.25"/>
    <row r="68768" s="12" customFormat="1" x14ac:dyDescent="0.25"/>
    <row r="68769" s="12" customFormat="1" x14ac:dyDescent="0.25"/>
    <row r="68770" s="12" customFormat="1" x14ac:dyDescent="0.25"/>
    <row r="68771" s="12" customFormat="1" x14ac:dyDescent="0.25"/>
    <row r="68772" s="12" customFormat="1" x14ac:dyDescent="0.25"/>
    <row r="68773" s="12" customFormat="1" x14ac:dyDescent="0.25"/>
    <row r="68774" s="12" customFormat="1" x14ac:dyDescent="0.25"/>
    <row r="68775" s="12" customFormat="1" x14ac:dyDescent="0.25"/>
    <row r="68776" s="12" customFormat="1" x14ac:dyDescent="0.25"/>
    <row r="68777" s="12" customFormat="1" x14ac:dyDescent="0.25"/>
    <row r="68778" s="12" customFormat="1" x14ac:dyDescent="0.25"/>
    <row r="68779" s="12" customFormat="1" x14ac:dyDescent="0.25"/>
    <row r="68780" s="12" customFormat="1" x14ac:dyDescent="0.25"/>
    <row r="68781" s="12" customFormat="1" x14ac:dyDescent="0.25"/>
    <row r="68782" s="12" customFormat="1" x14ac:dyDescent="0.25"/>
    <row r="68783" s="12" customFormat="1" x14ac:dyDescent="0.25"/>
    <row r="68784" s="12" customFormat="1" x14ac:dyDescent="0.25"/>
    <row r="68785" s="12" customFormat="1" x14ac:dyDescent="0.25"/>
    <row r="68786" s="12" customFormat="1" x14ac:dyDescent="0.25"/>
    <row r="68787" s="12" customFormat="1" x14ac:dyDescent="0.25"/>
    <row r="68788" s="12" customFormat="1" x14ac:dyDescent="0.25"/>
    <row r="68789" s="12" customFormat="1" x14ac:dyDescent="0.25"/>
    <row r="68790" s="12" customFormat="1" x14ac:dyDescent="0.25"/>
    <row r="68791" s="12" customFormat="1" x14ac:dyDescent="0.25"/>
    <row r="68792" s="12" customFormat="1" x14ac:dyDescent="0.25"/>
    <row r="68793" s="12" customFormat="1" x14ac:dyDescent="0.25"/>
    <row r="68794" s="12" customFormat="1" x14ac:dyDescent="0.25"/>
    <row r="68795" s="12" customFormat="1" x14ac:dyDescent="0.25"/>
    <row r="68796" s="12" customFormat="1" x14ac:dyDescent="0.25"/>
    <row r="68797" s="12" customFormat="1" x14ac:dyDescent="0.25"/>
    <row r="68798" s="12" customFormat="1" x14ac:dyDescent="0.25"/>
    <row r="68799" s="12" customFormat="1" x14ac:dyDescent="0.25"/>
    <row r="68800" s="12" customFormat="1" x14ac:dyDescent="0.25"/>
    <row r="68801" s="12" customFormat="1" x14ac:dyDescent="0.25"/>
    <row r="68802" s="12" customFormat="1" x14ac:dyDescent="0.25"/>
    <row r="68803" s="12" customFormat="1" x14ac:dyDescent="0.25"/>
    <row r="68804" s="12" customFormat="1" x14ac:dyDescent="0.25"/>
    <row r="68805" s="12" customFormat="1" x14ac:dyDescent="0.25"/>
    <row r="68806" s="12" customFormat="1" x14ac:dyDescent="0.25"/>
    <row r="68807" s="12" customFormat="1" x14ac:dyDescent="0.25"/>
    <row r="68808" s="12" customFormat="1" x14ac:dyDescent="0.25"/>
    <row r="68809" s="12" customFormat="1" x14ac:dyDescent="0.25"/>
    <row r="68810" s="12" customFormat="1" x14ac:dyDescent="0.25"/>
    <row r="68811" s="12" customFormat="1" x14ac:dyDescent="0.25"/>
    <row r="68812" s="12" customFormat="1" x14ac:dyDescent="0.25"/>
    <row r="68813" s="12" customFormat="1" x14ac:dyDescent="0.25"/>
    <row r="68814" s="12" customFormat="1" x14ac:dyDescent="0.25"/>
    <row r="68815" s="12" customFormat="1" x14ac:dyDescent="0.25"/>
    <row r="68816" s="12" customFormat="1" x14ac:dyDescent="0.25"/>
    <row r="68817" s="12" customFormat="1" x14ac:dyDescent="0.25"/>
    <row r="68818" s="12" customFormat="1" x14ac:dyDescent="0.25"/>
    <row r="68819" s="12" customFormat="1" x14ac:dyDescent="0.25"/>
    <row r="68820" s="12" customFormat="1" x14ac:dyDescent="0.25"/>
    <row r="68821" s="12" customFormat="1" x14ac:dyDescent="0.25"/>
    <row r="68822" s="12" customFormat="1" x14ac:dyDescent="0.25"/>
    <row r="68823" s="12" customFormat="1" x14ac:dyDescent="0.25"/>
    <row r="68824" s="12" customFormat="1" x14ac:dyDescent="0.25"/>
    <row r="68825" s="12" customFormat="1" x14ac:dyDescent="0.25"/>
    <row r="68826" s="12" customFormat="1" x14ac:dyDescent="0.25"/>
    <row r="68827" s="12" customFormat="1" x14ac:dyDescent="0.25"/>
    <row r="68828" s="12" customFormat="1" x14ac:dyDescent="0.25"/>
    <row r="68829" s="12" customFormat="1" x14ac:dyDescent="0.25"/>
    <row r="68830" s="12" customFormat="1" x14ac:dyDescent="0.25"/>
    <row r="68831" s="12" customFormat="1" x14ac:dyDescent="0.25"/>
    <row r="68832" s="12" customFormat="1" x14ac:dyDescent="0.25"/>
    <row r="68833" s="12" customFormat="1" x14ac:dyDescent="0.25"/>
    <row r="68834" s="12" customFormat="1" x14ac:dyDescent="0.25"/>
    <row r="68835" s="12" customFormat="1" x14ac:dyDescent="0.25"/>
    <row r="68836" s="12" customFormat="1" x14ac:dyDescent="0.25"/>
    <row r="68837" s="12" customFormat="1" x14ac:dyDescent="0.25"/>
    <row r="68838" s="12" customFormat="1" x14ac:dyDescent="0.25"/>
    <row r="68839" s="12" customFormat="1" x14ac:dyDescent="0.25"/>
    <row r="68840" s="12" customFormat="1" x14ac:dyDescent="0.25"/>
    <row r="68841" s="12" customFormat="1" x14ac:dyDescent="0.25"/>
    <row r="68842" s="12" customFormat="1" x14ac:dyDescent="0.25"/>
    <row r="68843" s="12" customFormat="1" x14ac:dyDescent="0.25"/>
    <row r="68844" s="12" customFormat="1" x14ac:dyDescent="0.25"/>
    <row r="68845" s="12" customFormat="1" x14ac:dyDescent="0.25"/>
    <row r="68846" s="12" customFormat="1" x14ac:dyDescent="0.25"/>
    <row r="68847" s="12" customFormat="1" x14ac:dyDescent="0.25"/>
    <row r="68848" s="12" customFormat="1" x14ac:dyDescent="0.25"/>
    <row r="68849" s="12" customFormat="1" x14ac:dyDescent="0.25"/>
    <row r="68850" s="12" customFormat="1" x14ac:dyDescent="0.25"/>
    <row r="68851" s="12" customFormat="1" x14ac:dyDescent="0.25"/>
    <row r="68852" s="12" customFormat="1" x14ac:dyDescent="0.25"/>
    <row r="68853" s="12" customFormat="1" x14ac:dyDescent="0.25"/>
    <row r="68854" s="12" customFormat="1" x14ac:dyDescent="0.25"/>
    <row r="68855" s="12" customFormat="1" x14ac:dyDescent="0.25"/>
    <row r="68856" s="12" customFormat="1" x14ac:dyDescent="0.25"/>
    <row r="68857" s="12" customFormat="1" x14ac:dyDescent="0.25"/>
    <row r="68858" s="12" customFormat="1" x14ac:dyDescent="0.25"/>
    <row r="68859" s="12" customFormat="1" x14ac:dyDescent="0.25"/>
    <row r="68860" s="12" customFormat="1" x14ac:dyDescent="0.25"/>
    <row r="68861" s="12" customFormat="1" x14ac:dyDescent="0.25"/>
    <row r="68862" s="12" customFormat="1" x14ac:dyDescent="0.25"/>
    <row r="68863" s="12" customFormat="1" x14ac:dyDescent="0.25"/>
    <row r="68864" s="12" customFormat="1" x14ac:dyDescent="0.25"/>
    <row r="68865" s="12" customFormat="1" x14ac:dyDescent="0.25"/>
    <row r="68866" s="12" customFormat="1" x14ac:dyDescent="0.25"/>
    <row r="68867" s="12" customFormat="1" x14ac:dyDescent="0.25"/>
    <row r="68868" s="12" customFormat="1" x14ac:dyDescent="0.25"/>
    <row r="68869" s="12" customFormat="1" x14ac:dyDescent="0.25"/>
    <row r="68870" s="12" customFormat="1" x14ac:dyDescent="0.25"/>
    <row r="68871" s="12" customFormat="1" x14ac:dyDescent="0.25"/>
    <row r="68872" s="12" customFormat="1" x14ac:dyDescent="0.25"/>
    <row r="68873" s="12" customFormat="1" x14ac:dyDescent="0.25"/>
    <row r="68874" s="12" customFormat="1" x14ac:dyDescent="0.25"/>
    <row r="68875" s="12" customFormat="1" x14ac:dyDescent="0.25"/>
    <row r="68876" s="12" customFormat="1" x14ac:dyDescent="0.25"/>
    <row r="68877" s="12" customFormat="1" x14ac:dyDescent="0.25"/>
    <row r="68878" s="12" customFormat="1" x14ac:dyDescent="0.25"/>
    <row r="68879" s="12" customFormat="1" x14ac:dyDescent="0.25"/>
    <row r="68880" s="12" customFormat="1" x14ac:dyDescent="0.25"/>
    <row r="68881" s="12" customFormat="1" x14ac:dyDescent="0.25"/>
    <row r="68882" s="12" customFormat="1" x14ac:dyDescent="0.25"/>
    <row r="68883" s="12" customFormat="1" x14ac:dyDescent="0.25"/>
    <row r="68884" s="12" customFormat="1" x14ac:dyDescent="0.25"/>
    <row r="68885" s="12" customFormat="1" x14ac:dyDescent="0.25"/>
    <row r="68886" s="12" customFormat="1" x14ac:dyDescent="0.25"/>
    <row r="68887" s="12" customFormat="1" x14ac:dyDescent="0.25"/>
    <row r="68888" s="12" customFormat="1" x14ac:dyDescent="0.25"/>
    <row r="68889" s="12" customFormat="1" x14ac:dyDescent="0.25"/>
    <row r="68890" s="12" customFormat="1" x14ac:dyDescent="0.25"/>
    <row r="68891" s="12" customFormat="1" x14ac:dyDescent="0.25"/>
    <row r="68892" s="12" customFormat="1" x14ac:dyDescent="0.25"/>
    <row r="68893" s="12" customFormat="1" x14ac:dyDescent="0.25"/>
    <row r="68894" s="12" customFormat="1" x14ac:dyDescent="0.25"/>
    <row r="68895" s="12" customFormat="1" x14ac:dyDescent="0.25"/>
    <row r="68896" s="12" customFormat="1" x14ac:dyDescent="0.25"/>
    <row r="68897" s="12" customFormat="1" x14ac:dyDescent="0.25"/>
    <row r="68898" s="12" customFormat="1" x14ac:dyDescent="0.25"/>
    <row r="68899" s="12" customFormat="1" x14ac:dyDescent="0.25"/>
    <row r="68900" s="12" customFormat="1" x14ac:dyDescent="0.25"/>
    <row r="68901" s="12" customFormat="1" x14ac:dyDescent="0.25"/>
    <row r="68902" s="12" customFormat="1" x14ac:dyDescent="0.25"/>
    <row r="68903" s="12" customFormat="1" x14ac:dyDescent="0.25"/>
    <row r="68904" s="12" customFormat="1" x14ac:dyDescent="0.25"/>
    <row r="68905" s="12" customFormat="1" x14ac:dyDescent="0.25"/>
    <row r="68906" s="12" customFormat="1" x14ac:dyDescent="0.25"/>
    <row r="68907" s="12" customFormat="1" x14ac:dyDescent="0.25"/>
    <row r="68908" s="12" customFormat="1" x14ac:dyDescent="0.25"/>
    <row r="68909" s="12" customFormat="1" x14ac:dyDescent="0.25"/>
    <row r="68910" s="12" customFormat="1" x14ac:dyDescent="0.25"/>
    <row r="68911" s="12" customFormat="1" x14ac:dyDescent="0.25"/>
    <row r="68912" s="12" customFormat="1" x14ac:dyDescent="0.25"/>
    <row r="68913" s="12" customFormat="1" x14ac:dyDescent="0.25"/>
    <row r="68914" s="12" customFormat="1" x14ac:dyDescent="0.25"/>
    <row r="68915" s="12" customFormat="1" x14ac:dyDescent="0.25"/>
    <row r="68916" s="12" customFormat="1" x14ac:dyDescent="0.25"/>
    <row r="68917" s="12" customFormat="1" x14ac:dyDescent="0.25"/>
    <row r="68918" s="12" customFormat="1" x14ac:dyDescent="0.25"/>
    <row r="68919" s="12" customFormat="1" x14ac:dyDescent="0.25"/>
    <row r="68920" s="12" customFormat="1" x14ac:dyDescent="0.25"/>
    <row r="68921" s="12" customFormat="1" x14ac:dyDescent="0.25"/>
    <row r="68922" s="12" customFormat="1" x14ac:dyDescent="0.25"/>
    <row r="68923" s="12" customFormat="1" x14ac:dyDescent="0.25"/>
    <row r="68924" s="12" customFormat="1" x14ac:dyDescent="0.25"/>
    <row r="68925" s="12" customFormat="1" x14ac:dyDescent="0.25"/>
    <row r="68926" s="12" customFormat="1" x14ac:dyDescent="0.25"/>
    <row r="68927" s="12" customFormat="1" x14ac:dyDescent="0.25"/>
    <row r="68928" s="12" customFormat="1" x14ac:dyDescent="0.25"/>
    <row r="68929" s="12" customFormat="1" x14ac:dyDescent="0.25"/>
    <row r="68930" s="12" customFormat="1" x14ac:dyDescent="0.25"/>
    <row r="68931" s="12" customFormat="1" x14ac:dyDescent="0.25"/>
    <row r="68932" s="12" customFormat="1" x14ac:dyDescent="0.25"/>
    <row r="68933" s="12" customFormat="1" x14ac:dyDescent="0.25"/>
    <row r="68934" s="12" customFormat="1" x14ac:dyDescent="0.25"/>
    <row r="68935" s="12" customFormat="1" x14ac:dyDescent="0.25"/>
    <row r="68936" s="12" customFormat="1" x14ac:dyDescent="0.25"/>
    <row r="68937" s="12" customFormat="1" x14ac:dyDescent="0.25"/>
    <row r="68938" s="12" customFormat="1" x14ac:dyDescent="0.25"/>
    <row r="68939" s="12" customFormat="1" x14ac:dyDescent="0.25"/>
    <row r="68940" s="12" customFormat="1" x14ac:dyDescent="0.25"/>
    <row r="68941" s="12" customFormat="1" x14ac:dyDescent="0.25"/>
    <row r="68942" s="12" customFormat="1" x14ac:dyDescent="0.25"/>
    <row r="68943" s="12" customFormat="1" x14ac:dyDescent="0.25"/>
    <row r="68944" s="12" customFormat="1" x14ac:dyDescent="0.25"/>
    <row r="68945" s="12" customFormat="1" x14ac:dyDescent="0.25"/>
    <row r="68946" s="12" customFormat="1" x14ac:dyDescent="0.25"/>
    <row r="68947" s="12" customFormat="1" x14ac:dyDescent="0.25"/>
    <row r="68948" s="12" customFormat="1" x14ac:dyDescent="0.25"/>
    <row r="68949" s="12" customFormat="1" x14ac:dyDescent="0.25"/>
    <row r="68950" s="12" customFormat="1" x14ac:dyDescent="0.25"/>
    <row r="68951" s="12" customFormat="1" x14ac:dyDescent="0.25"/>
    <row r="68952" s="12" customFormat="1" x14ac:dyDescent="0.25"/>
    <row r="68953" s="12" customFormat="1" x14ac:dyDescent="0.25"/>
    <row r="68954" s="12" customFormat="1" x14ac:dyDescent="0.25"/>
    <row r="68955" s="12" customFormat="1" x14ac:dyDescent="0.25"/>
    <row r="68956" s="12" customFormat="1" x14ac:dyDescent="0.25"/>
    <row r="68957" s="12" customFormat="1" x14ac:dyDescent="0.25"/>
    <row r="68958" s="12" customFormat="1" x14ac:dyDescent="0.25"/>
    <row r="68959" s="12" customFormat="1" x14ac:dyDescent="0.25"/>
    <row r="68960" s="12" customFormat="1" x14ac:dyDescent="0.25"/>
    <row r="68961" s="12" customFormat="1" x14ac:dyDescent="0.25"/>
    <row r="68962" s="12" customFormat="1" x14ac:dyDescent="0.25"/>
    <row r="68963" s="12" customFormat="1" x14ac:dyDescent="0.25"/>
    <row r="68964" s="12" customFormat="1" x14ac:dyDescent="0.25"/>
    <row r="68965" s="12" customFormat="1" x14ac:dyDescent="0.25"/>
    <row r="68966" s="12" customFormat="1" x14ac:dyDescent="0.25"/>
    <row r="68967" s="12" customFormat="1" x14ac:dyDescent="0.25"/>
    <row r="68968" s="12" customFormat="1" x14ac:dyDescent="0.25"/>
    <row r="68969" s="12" customFormat="1" x14ac:dyDescent="0.25"/>
    <row r="68970" s="12" customFormat="1" x14ac:dyDescent="0.25"/>
    <row r="68971" s="12" customFormat="1" x14ac:dyDescent="0.25"/>
    <row r="68972" s="12" customFormat="1" x14ac:dyDescent="0.25"/>
    <row r="68973" s="12" customFormat="1" x14ac:dyDescent="0.25"/>
    <row r="68974" s="12" customFormat="1" x14ac:dyDescent="0.25"/>
    <row r="68975" s="12" customFormat="1" x14ac:dyDescent="0.25"/>
    <row r="68976" s="12" customFormat="1" x14ac:dyDescent="0.25"/>
    <row r="68977" s="12" customFormat="1" x14ac:dyDescent="0.25"/>
    <row r="68978" s="12" customFormat="1" x14ac:dyDescent="0.25"/>
    <row r="68979" s="12" customFormat="1" x14ac:dyDescent="0.25"/>
    <row r="68980" s="12" customFormat="1" x14ac:dyDescent="0.25"/>
    <row r="68981" s="12" customFormat="1" x14ac:dyDescent="0.25"/>
    <row r="68982" s="12" customFormat="1" x14ac:dyDescent="0.25"/>
    <row r="68983" s="12" customFormat="1" x14ac:dyDescent="0.25"/>
    <row r="68984" s="12" customFormat="1" x14ac:dyDescent="0.25"/>
    <row r="68985" s="12" customFormat="1" x14ac:dyDescent="0.25"/>
    <row r="68986" s="12" customFormat="1" x14ac:dyDescent="0.25"/>
    <row r="68987" s="12" customFormat="1" x14ac:dyDescent="0.25"/>
    <row r="68988" s="12" customFormat="1" x14ac:dyDescent="0.25"/>
    <row r="68989" s="12" customFormat="1" x14ac:dyDescent="0.25"/>
    <row r="68990" s="12" customFormat="1" x14ac:dyDescent="0.25"/>
    <row r="68991" s="12" customFormat="1" x14ac:dyDescent="0.25"/>
    <row r="68992" s="12" customFormat="1" x14ac:dyDescent="0.25"/>
    <row r="68993" s="12" customFormat="1" x14ac:dyDescent="0.25"/>
    <row r="68994" s="12" customFormat="1" x14ac:dyDescent="0.25"/>
    <row r="68995" s="12" customFormat="1" x14ac:dyDescent="0.25"/>
    <row r="68996" s="12" customFormat="1" x14ac:dyDescent="0.25"/>
    <row r="68997" s="12" customFormat="1" x14ac:dyDescent="0.25"/>
    <row r="68998" s="12" customFormat="1" x14ac:dyDescent="0.25"/>
    <row r="68999" s="12" customFormat="1" x14ac:dyDescent="0.25"/>
    <row r="69000" s="12" customFormat="1" x14ac:dyDescent="0.25"/>
    <row r="69001" s="12" customFormat="1" x14ac:dyDescent="0.25"/>
    <row r="69002" s="12" customFormat="1" x14ac:dyDescent="0.25"/>
    <row r="69003" s="12" customFormat="1" x14ac:dyDescent="0.25"/>
    <row r="69004" s="12" customFormat="1" x14ac:dyDescent="0.25"/>
    <row r="69005" s="12" customFormat="1" x14ac:dyDescent="0.25"/>
    <row r="69006" s="12" customFormat="1" x14ac:dyDescent="0.25"/>
    <row r="69007" s="12" customFormat="1" x14ac:dyDescent="0.25"/>
    <row r="69008" s="12" customFormat="1" x14ac:dyDescent="0.25"/>
    <row r="69009" s="12" customFormat="1" x14ac:dyDescent="0.25"/>
    <row r="69010" s="12" customFormat="1" x14ac:dyDescent="0.25"/>
    <row r="69011" s="12" customFormat="1" x14ac:dyDescent="0.25"/>
    <row r="69012" s="12" customFormat="1" x14ac:dyDescent="0.25"/>
    <row r="69013" s="12" customFormat="1" x14ac:dyDescent="0.25"/>
    <row r="69014" s="12" customFormat="1" x14ac:dyDescent="0.25"/>
    <row r="69015" s="12" customFormat="1" x14ac:dyDescent="0.25"/>
    <row r="69016" s="12" customFormat="1" x14ac:dyDescent="0.25"/>
    <row r="69017" s="12" customFormat="1" x14ac:dyDescent="0.25"/>
    <row r="69018" s="12" customFormat="1" x14ac:dyDescent="0.25"/>
    <row r="69019" s="12" customFormat="1" x14ac:dyDescent="0.25"/>
    <row r="69020" s="12" customFormat="1" x14ac:dyDescent="0.25"/>
    <row r="69021" s="12" customFormat="1" x14ac:dyDescent="0.25"/>
    <row r="69022" s="12" customFormat="1" x14ac:dyDescent="0.25"/>
    <row r="69023" s="12" customFormat="1" x14ac:dyDescent="0.25"/>
    <row r="69024" s="12" customFormat="1" x14ac:dyDescent="0.25"/>
    <row r="69025" s="12" customFormat="1" x14ac:dyDescent="0.25"/>
    <row r="69026" s="12" customFormat="1" x14ac:dyDescent="0.25"/>
    <row r="69027" s="12" customFormat="1" x14ac:dyDescent="0.25"/>
    <row r="69028" s="12" customFormat="1" x14ac:dyDescent="0.25"/>
    <row r="69029" s="12" customFormat="1" x14ac:dyDescent="0.25"/>
    <row r="69030" s="12" customFormat="1" x14ac:dyDescent="0.25"/>
    <row r="69031" s="12" customFormat="1" x14ac:dyDescent="0.25"/>
    <row r="69032" s="12" customFormat="1" x14ac:dyDescent="0.25"/>
    <row r="69033" s="12" customFormat="1" x14ac:dyDescent="0.25"/>
    <row r="69034" s="12" customFormat="1" x14ac:dyDescent="0.25"/>
    <row r="69035" s="12" customFormat="1" x14ac:dyDescent="0.25"/>
    <row r="69036" s="12" customFormat="1" x14ac:dyDescent="0.25"/>
    <row r="69037" s="12" customFormat="1" x14ac:dyDescent="0.25"/>
    <row r="69038" s="12" customFormat="1" x14ac:dyDescent="0.25"/>
    <row r="69039" s="12" customFormat="1" x14ac:dyDescent="0.25"/>
    <row r="69040" s="12" customFormat="1" x14ac:dyDescent="0.25"/>
    <row r="69041" s="12" customFormat="1" x14ac:dyDescent="0.25"/>
    <row r="69042" s="12" customFormat="1" x14ac:dyDescent="0.25"/>
    <row r="69043" s="12" customFormat="1" x14ac:dyDescent="0.25"/>
    <row r="69044" s="12" customFormat="1" x14ac:dyDescent="0.25"/>
    <row r="69045" s="12" customFormat="1" x14ac:dyDescent="0.25"/>
    <row r="69046" s="12" customFormat="1" x14ac:dyDescent="0.25"/>
    <row r="69047" s="12" customFormat="1" x14ac:dyDescent="0.25"/>
    <row r="69048" s="12" customFormat="1" x14ac:dyDescent="0.25"/>
    <row r="69049" s="12" customFormat="1" x14ac:dyDescent="0.25"/>
    <row r="69050" s="12" customFormat="1" x14ac:dyDescent="0.25"/>
    <row r="69051" s="12" customFormat="1" x14ac:dyDescent="0.25"/>
    <row r="69052" s="12" customFormat="1" x14ac:dyDescent="0.25"/>
    <row r="69053" s="12" customFormat="1" x14ac:dyDescent="0.25"/>
    <row r="69054" s="12" customFormat="1" x14ac:dyDescent="0.25"/>
    <row r="69055" s="12" customFormat="1" x14ac:dyDescent="0.25"/>
    <row r="69056" s="12" customFormat="1" x14ac:dyDescent="0.25"/>
    <row r="69057" s="12" customFormat="1" x14ac:dyDescent="0.25"/>
    <row r="69058" s="12" customFormat="1" x14ac:dyDescent="0.25"/>
    <row r="69059" s="12" customFormat="1" x14ac:dyDescent="0.25"/>
    <row r="69060" s="12" customFormat="1" x14ac:dyDescent="0.25"/>
    <row r="69061" s="12" customFormat="1" x14ac:dyDescent="0.25"/>
    <row r="69062" s="12" customFormat="1" x14ac:dyDescent="0.25"/>
    <row r="69063" s="12" customFormat="1" x14ac:dyDescent="0.25"/>
    <row r="69064" s="12" customFormat="1" x14ac:dyDescent="0.25"/>
    <row r="69065" s="12" customFormat="1" x14ac:dyDescent="0.25"/>
    <row r="69066" s="12" customFormat="1" x14ac:dyDescent="0.25"/>
    <row r="69067" s="12" customFormat="1" x14ac:dyDescent="0.25"/>
    <row r="69068" s="12" customFormat="1" x14ac:dyDescent="0.25"/>
    <row r="69069" s="12" customFormat="1" x14ac:dyDescent="0.25"/>
    <row r="69070" s="12" customFormat="1" x14ac:dyDescent="0.25"/>
    <row r="69071" s="12" customFormat="1" x14ac:dyDescent="0.25"/>
    <row r="69072" s="12" customFormat="1" x14ac:dyDescent="0.25"/>
    <row r="69073" s="12" customFormat="1" x14ac:dyDescent="0.25"/>
    <row r="69074" s="12" customFormat="1" x14ac:dyDescent="0.25"/>
    <row r="69075" s="12" customFormat="1" x14ac:dyDescent="0.25"/>
    <row r="69076" s="12" customFormat="1" x14ac:dyDescent="0.25"/>
    <row r="69077" s="12" customFormat="1" x14ac:dyDescent="0.25"/>
    <row r="69078" s="12" customFormat="1" x14ac:dyDescent="0.25"/>
    <row r="69079" s="12" customFormat="1" x14ac:dyDescent="0.25"/>
    <row r="69080" s="12" customFormat="1" x14ac:dyDescent="0.25"/>
    <row r="69081" s="12" customFormat="1" x14ac:dyDescent="0.25"/>
    <row r="69082" s="12" customFormat="1" x14ac:dyDescent="0.25"/>
    <row r="69083" s="12" customFormat="1" x14ac:dyDescent="0.25"/>
    <row r="69084" s="12" customFormat="1" x14ac:dyDescent="0.25"/>
    <row r="69085" s="12" customFormat="1" x14ac:dyDescent="0.25"/>
    <row r="69086" s="12" customFormat="1" x14ac:dyDescent="0.25"/>
    <row r="69087" s="12" customFormat="1" x14ac:dyDescent="0.25"/>
    <row r="69088" s="12" customFormat="1" x14ac:dyDescent="0.25"/>
    <row r="69089" s="12" customFormat="1" x14ac:dyDescent="0.25"/>
    <row r="69090" s="12" customFormat="1" x14ac:dyDescent="0.25"/>
    <row r="69091" s="12" customFormat="1" x14ac:dyDescent="0.25"/>
    <row r="69092" s="12" customFormat="1" x14ac:dyDescent="0.25"/>
    <row r="69093" s="12" customFormat="1" x14ac:dyDescent="0.25"/>
    <row r="69094" s="12" customFormat="1" x14ac:dyDescent="0.25"/>
    <row r="69095" s="12" customFormat="1" x14ac:dyDescent="0.25"/>
    <row r="69096" s="12" customFormat="1" x14ac:dyDescent="0.25"/>
    <row r="69097" s="12" customFormat="1" x14ac:dyDescent="0.25"/>
    <row r="69098" s="12" customFormat="1" x14ac:dyDescent="0.25"/>
    <row r="69099" s="12" customFormat="1" x14ac:dyDescent="0.25"/>
    <row r="69100" s="12" customFormat="1" x14ac:dyDescent="0.25"/>
    <row r="69101" s="12" customFormat="1" x14ac:dyDescent="0.25"/>
    <row r="69102" s="12" customFormat="1" x14ac:dyDescent="0.25"/>
    <row r="69103" s="12" customFormat="1" x14ac:dyDescent="0.25"/>
    <row r="69104" s="12" customFormat="1" x14ac:dyDescent="0.25"/>
    <row r="69105" s="12" customFormat="1" x14ac:dyDescent="0.25"/>
    <row r="69106" s="12" customFormat="1" x14ac:dyDescent="0.25"/>
    <row r="69107" s="12" customFormat="1" x14ac:dyDescent="0.25"/>
    <row r="69108" s="12" customFormat="1" x14ac:dyDescent="0.25"/>
    <row r="69109" s="12" customFormat="1" x14ac:dyDescent="0.25"/>
    <row r="69110" s="12" customFormat="1" x14ac:dyDescent="0.25"/>
    <row r="69111" s="12" customFormat="1" x14ac:dyDescent="0.25"/>
    <row r="69112" s="12" customFormat="1" x14ac:dyDescent="0.25"/>
    <row r="69113" s="12" customFormat="1" x14ac:dyDescent="0.25"/>
    <row r="69114" s="12" customFormat="1" x14ac:dyDescent="0.25"/>
    <row r="69115" s="12" customFormat="1" x14ac:dyDescent="0.25"/>
    <row r="69116" s="12" customFormat="1" x14ac:dyDescent="0.25"/>
    <row r="69117" s="12" customFormat="1" x14ac:dyDescent="0.25"/>
    <row r="69118" s="12" customFormat="1" x14ac:dyDescent="0.25"/>
    <row r="69119" s="12" customFormat="1" x14ac:dyDescent="0.25"/>
    <row r="69120" s="12" customFormat="1" x14ac:dyDescent="0.25"/>
    <row r="69121" s="12" customFormat="1" x14ac:dyDescent="0.25"/>
    <row r="69122" s="12" customFormat="1" x14ac:dyDescent="0.25"/>
    <row r="69123" s="12" customFormat="1" x14ac:dyDescent="0.25"/>
    <row r="69124" s="12" customFormat="1" x14ac:dyDescent="0.25"/>
    <row r="69125" s="12" customFormat="1" x14ac:dyDescent="0.25"/>
    <row r="69126" s="12" customFormat="1" x14ac:dyDescent="0.25"/>
    <row r="69127" s="12" customFormat="1" x14ac:dyDescent="0.25"/>
    <row r="69128" s="12" customFormat="1" x14ac:dyDescent="0.25"/>
    <row r="69129" s="12" customFormat="1" x14ac:dyDescent="0.25"/>
    <row r="69130" s="12" customFormat="1" x14ac:dyDescent="0.25"/>
    <row r="69131" s="12" customFormat="1" x14ac:dyDescent="0.25"/>
    <row r="69132" s="12" customFormat="1" x14ac:dyDescent="0.25"/>
    <row r="69133" s="12" customFormat="1" x14ac:dyDescent="0.25"/>
    <row r="69134" s="12" customFormat="1" x14ac:dyDescent="0.25"/>
    <row r="69135" s="12" customFormat="1" x14ac:dyDescent="0.25"/>
    <row r="69136" s="12" customFormat="1" x14ac:dyDescent="0.25"/>
    <row r="69137" s="12" customFormat="1" x14ac:dyDescent="0.25"/>
    <row r="69138" s="12" customFormat="1" x14ac:dyDescent="0.25"/>
    <row r="69139" s="12" customFormat="1" x14ac:dyDescent="0.25"/>
    <row r="69140" s="12" customFormat="1" x14ac:dyDescent="0.25"/>
    <row r="69141" s="12" customFormat="1" x14ac:dyDescent="0.25"/>
    <row r="69142" s="12" customFormat="1" x14ac:dyDescent="0.25"/>
    <row r="69143" s="12" customFormat="1" x14ac:dyDescent="0.25"/>
    <row r="69144" s="12" customFormat="1" x14ac:dyDescent="0.25"/>
    <row r="69145" s="12" customFormat="1" x14ac:dyDescent="0.25"/>
    <row r="69146" s="12" customFormat="1" x14ac:dyDescent="0.25"/>
    <row r="69147" s="12" customFormat="1" x14ac:dyDescent="0.25"/>
    <row r="69148" s="12" customFormat="1" x14ac:dyDescent="0.25"/>
    <row r="69149" s="12" customFormat="1" x14ac:dyDescent="0.25"/>
    <row r="69150" s="12" customFormat="1" x14ac:dyDescent="0.25"/>
    <row r="69151" s="12" customFormat="1" x14ac:dyDescent="0.25"/>
    <row r="69152" s="12" customFormat="1" x14ac:dyDescent="0.25"/>
    <row r="69153" s="12" customFormat="1" x14ac:dyDescent="0.25"/>
    <row r="69154" s="12" customFormat="1" x14ac:dyDescent="0.25"/>
    <row r="69155" s="12" customFormat="1" x14ac:dyDescent="0.25"/>
    <row r="69156" s="12" customFormat="1" x14ac:dyDescent="0.25"/>
    <row r="69157" s="12" customFormat="1" x14ac:dyDescent="0.25"/>
    <row r="69158" s="12" customFormat="1" x14ac:dyDescent="0.25"/>
    <row r="69159" s="12" customFormat="1" x14ac:dyDescent="0.25"/>
    <row r="69160" s="12" customFormat="1" x14ac:dyDescent="0.25"/>
    <row r="69161" s="12" customFormat="1" x14ac:dyDescent="0.25"/>
    <row r="69162" s="12" customFormat="1" x14ac:dyDescent="0.25"/>
    <row r="69163" s="12" customFormat="1" x14ac:dyDescent="0.25"/>
    <row r="69164" s="12" customFormat="1" x14ac:dyDescent="0.25"/>
    <row r="69165" s="12" customFormat="1" x14ac:dyDescent="0.25"/>
    <row r="69166" s="12" customFormat="1" x14ac:dyDescent="0.25"/>
    <row r="69167" s="12" customFormat="1" x14ac:dyDescent="0.25"/>
    <row r="69168" s="12" customFormat="1" x14ac:dyDescent="0.25"/>
    <row r="69169" s="12" customFormat="1" x14ac:dyDescent="0.25"/>
    <row r="69170" s="12" customFormat="1" x14ac:dyDescent="0.25"/>
    <row r="69171" s="12" customFormat="1" x14ac:dyDescent="0.25"/>
    <row r="69172" s="12" customFormat="1" x14ac:dyDescent="0.25"/>
    <row r="69173" s="12" customFormat="1" x14ac:dyDescent="0.25"/>
    <row r="69174" s="12" customFormat="1" x14ac:dyDescent="0.25"/>
    <row r="69175" s="12" customFormat="1" x14ac:dyDescent="0.25"/>
    <row r="69176" s="12" customFormat="1" x14ac:dyDescent="0.25"/>
    <row r="69177" s="12" customFormat="1" x14ac:dyDescent="0.25"/>
    <row r="69178" s="12" customFormat="1" x14ac:dyDescent="0.25"/>
    <row r="69179" s="12" customFormat="1" x14ac:dyDescent="0.25"/>
    <row r="69180" s="12" customFormat="1" x14ac:dyDescent="0.25"/>
    <row r="69181" s="12" customFormat="1" x14ac:dyDescent="0.25"/>
    <row r="69182" s="12" customFormat="1" x14ac:dyDescent="0.25"/>
    <row r="69183" s="12" customFormat="1" x14ac:dyDescent="0.25"/>
    <row r="69184" s="12" customFormat="1" x14ac:dyDescent="0.25"/>
    <row r="69185" s="12" customFormat="1" x14ac:dyDescent="0.25"/>
    <row r="69186" s="12" customFormat="1" x14ac:dyDescent="0.25"/>
    <row r="69187" s="12" customFormat="1" x14ac:dyDescent="0.25"/>
    <row r="69188" s="12" customFormat="1" x14ac:dyDescent="0.25"/>
    <row r="69189" s="12" customFormat="1" x14ac:dyDescent="0.25"/>
    <row r="69190" s="12" customFormat="1" x14ac:dyDescent="0.25"/>
    <row r="69191" s="12" customFormat="1" x14ac:dyDescent="0.25"/>
    <row r="69192" s="12" customFormat="1" x14ac:dyDescent="0.25"/>
    <row r="69193" s="12" customFormat="1" x14ac:dyDescent="0.25"/>
    <row r="69194" s="12" customFormat="1" x14ac:dyDescent="0.25"/>
    <row r="69195" s="12" customFormat="1" x14ac:dyDescent="0.25"/>
    <row r="69196" s="12" customFormat="1" x14ac:dyDescent="0.25"/>
    <row r="69197" s="12" customFormat="1" x14ac:dyDescent="0.25"/>
    <row r="69198" s="12" customFormat="1" x14ac:dyDescent="0.25"/>
    <row r="69199" s="12" customFormat="1" x14ac:dyDescent="0.25"/>
    <row r="69200" s="12" customFormat="1" x14ac:dyDescent="0.25"/>
    <row r="69201" s="12" customFormat="1" x14ac:dyDescent="0.25"/>
    <row r="69202" s="12" customFormat="1" x14ac:dyDescent="0.25"/>
    <row r="69203" s="12" customFormat="1" x14ac:dyDescent="0.25"/>
    <row r="69204" s="12" customFormat="1" x14ac:dyDescent="0.25"/>
    <row r="69205" s="12" customFormat="1" x14ac:dyDescent="0.25"/>
    <row r="69206" s="12" customFormat="1" x14ac:dyDescent="0.25"/>
    <row r="69207" s="12" customFormat="1" x14ac:dyDescent="0.25"/>
    <row r="69208" s="12" customFormat="1" x14ac:dyDescent="0.25"/>
    <row r="69209" s="12" customFormat="1" x14ac:dyDescent="0.25"/>
    <row r="69210" s="12" customFormat="1" x14ac:dyDescent="0.25"/>
    <row r="69211" s="12" customFormat="1" x14ac:dyDescent="0.25"/>
    <row r="69212" s="12" customFormat="1" x14ac:dyDescent="0.25"/>
    <row r="69213" s="12" customFormat="1" x14ac:dyDescent="0.25"/>
    <row r="69214" s="12" customFormat="1" x14ac:dyDescent="0.25"/>
    <row r="69215" s="12" customFormat="1" x14ac:dyDescent="0.25"/>
    <row r="69216" s="12" customFormat="1" x14ac:dyDescent="0.25"/>
    <row r="69217" s="12" customFormat="1" x14ac:dyDescent="0.25"/>
    <row r="69218" s="12" customFormat="1" x14ac:dyDescent="0.25"/>
    <row r="69219" s="12" customFormat="1" x14ac:dyDescent="0.25"/>
    <row r="69220" s="12" customFormat="1" x14ac:dyDescent="0.25"/>
    <row r="69221" s="12" customFormat="1" x14ac:dyDescent="0.25"/>
    <row r="69222" s="12" customFormat="1" x14ac:dyDescent="0.25"/>
    <row r="69223" s="12" customFormat="1" x14ac:dyDescent="0.25"/>
    <row r="69224" s="12" customFormat="1" x14ac:dyDescent="0.25"/>
    <row r="69225" s="12" customFormat="1" x14ac:dyDescent="0.25"/>
    <row r="69226" s="12" customFormat="1" x14ac:dyDescent="0.25"/>
    <row r="69227" s="12" customFormat="1" x14ac:dyDescent="0.25"/>
    <row r="69228" s="12" customFormat="1" x14ac:dyDescent="0.25"/>
    <row r="69229" s="12" customFormat="1" x14ac:dyDescent="0.25"/>
    <row r="69230" s="12" customFormat="1" x14ac:dyDescent="0.25"/>
    <row r="69231" s="12" customFormat="1" x14ac:dyDescent="0.25"/>
    <row r="69232" s="12" customFormat="1" x14ac:dyDescent="0.25"/>
    <row r="69233" s="12" customFormat="1" x14ac:dyDescent="0.25"/>
    <row r="69234" s="12" customFormat="1" x14ac:dyDescent="0.25"/>
    <row r="69235" s="12" customFormat="1" x14ac:dyDescent="0.25"/>
    <row r="69236" s="12" customFormat="1" x14ac:dyDescent="0.25"/>
    <row r="69237" s="12" customFormat="1" x14ac:dyDescent="0.25"/>
    <row r="69238" s="12" customFormat="1" x14ac:dyDescent="0.25"/>
    <row r="69239" s="12" customFormat="1" x14ac:dyDescent="0.25"/>
    <row r="69240" s="12" customFormat="1" x14ac:dyDescent="0.25"/>
    <row r="69241" s="12" customFormat="1" x14ac:dyDescent="0.25"/>
    <row r="69242" s="12" customFormat="1" x14ac:dyDescent="0.25"/>
    <row r="69243" s="12" customFormat="1" x14ac:dyDescent="0.25"/>
    <row r="69244" s="12" customFormat="1" x14ac:dyDescent="0.25"/>
    <row r="69245" s="12" customFormat="1" x14ac:dyDescent="0.25"/>
    <row r="69246" s="12" customFormat="1" x14ac:dyDescent="0.25"/>
    <row r="69247" s="12" customFormat="1" x14ac:dyDescent="0.25"/>
    <row r="69248" s="12" customFormat="1" x14ac:dyDescent="0.25"/>
    <row r="69249" s="12" customFormat="1" x14ac:dyDescent="0.25"/>
    <row r="69250" s="12" customFormat="1" x14ac:dyDescent="0.25"/>
    <row r="69251" s="12" customFormat="1" x14ac:dyDescent="0.25"/>
    <row r="69252" s="12" customFormat="1" x14ac:dyDescent="0.25"/>
    <row r="69253" s="12" customFormat="1" x14ac:dyDescent="0.25"/>
    <row r="69254" s="12" customFormat="1" x14ac:dyDescent="0.25"/>
    <row r="69255" s="12" customFormat="1" x14ac:dyDescent="0.25"/>
    <row r="69256" s="12" customFormat="1" x14ac:dyDescent="0.25"/>
    <row r="69257" s="12" customFormat="1" x14ac:dyDescent="0.25"/>
    <row r="69258" s="12" customFormat="1" x14ac:dyDescent="0.25"/>
    <row r="69259" s="12" customFormat="1" x14ac:dyDescent="0.25"/>
    <row r="69260" s="12" customFormat="1" x14ac:dyDescent="0.25"/>
    <row r="69261" s="12" customFormat="1" x14ac:dyDescent="0.25"/>
    <row r="69262" s="12" customFormat="1" x14ac:dyDescent="0.25"/>
    <row r="69263" s="12" customFormat="1" x14ac:dyDescent="0.25"/>
    <row r="69264" s="12" customFormat="1" x14ac:dyDescent="0.25"/>
    <row r="69265" s="12" customFormat="1" x14ac:dyDescent="0.25"/>
    <row r="69266" s="12" customFormat="1" x14ac:dyDescent="0.25"/>
    <row r="69267" s="12" customFormat="1" x14ac:dyDescent="0.25"/>
    <row r="69268" s="12" customFormat="1" x14ac:dyDescent="0.25"/>
    <row r="69269" s="12" customFormat="1" x14ac:dyDescent="0.25"/>
    <row r="69270" s="12" customFormat="1" x14ac:dyDescent="0.25"/>
    <row r="69271" s="12" customFormat="1" x14ac:dyDescent="0.25"/>
    <row r="69272" s="12" customFormat="1" x14ac:dyDescent="0.25"/>
    <row r="69273" s="12" customFormat="1" x14ac:dyDescent="0.25"/>
    <row r="69274" s="12" customFormat="1" x14ac:dyDescent="0.25"/>
    <row r="69275" s="12" customFormat="1" x14ac:dyDescent="0.25"/>
    <row r="69276" s="12" customFormat="1" x14ac:dyDescent="0.25"/>
    <row r="69277" s="12" customFormat="1" x14ac:dyDescent="0.25"/>
    <row r="69278" s="12" customFormat="1" x14ac:dyDescent="0.25"/>
    <row r="69279" s="12" customFormat="1" x14ac:dyDescent="0.25"/>
    <row r="69280" s="12" customFormat="1" x14ac:dyDescent="0.25"/>
    <row r="69281" s="12" customFormat="1" x14ac:dyDescent="0.25"/>
    <row r="69282" s="12" customFormat="1" x14ac:dyDescent="0.25"/>
    <row r="69283" s="12" customFormat="1" x14ac:dyDescent="0.25"/>
    <row r="69284" s="12" customFormat="1" x14ac:dyDescent="0.25"/>
    <row r="69285" s="12" customFormat="1" x14ac:dyDescent="0.25"/>
    <row r="69286" s="12" customFormat="1" x14ac:dyDescent="0.25"/>
    <row r="69287" s="12" customFormat="1" x14ac:dyDescent="0.25"/>
    <row r="69288" s="12" customFormat="1" x14ac:dyDescent="0.25"/>
    <row r="69289" s="12" customFormat="1" x14ac:dyDescent="0.25"/>
    <row r="69290" s="12" customFormat="1" x14ac:dyDescent="0.25"/>
    <row r="69291" s="12" customFormat="1" x14ac:dyDescent="0.25"/>
    <row r="69292" s="12" customFormat="1" x14ac:dyDescent="0.25"/>
    <row r="69293" s="12" customFormat="1" x14ac:dyDescent="0.25"/>
    <row r="69294" s="12" customFormat="1" x14ac:dyDescent="0.25"/>
    <row r="69295" s="12" customFormat="1" x14ac:dyDescent="0.25"/>
    <row r="69296" s="12" customFormat="1" x14ac:dyDescent="0.25"/>
    <row r="69297" s="12" customFormat="1" x14ac:dyDescent="0.25"/>
    <row r="69298" s="12" customFormat="1" x14ac:dyDescent="0.25"/>
    <row r="69299" s="12" customFormat="1" x14ac:dyDescent="0.25"/>
    <row r="69300" s="12" customFormat="1" x14ac:dyDescent="0.25"/>
    <row r="69301" s="12" customFormat="1" x14ac:dyDescent="0.25"/>
    <row r="69302" s="12" customFormat="1" x14ac:dyDescent="0.25"/>
    <row r="69303" s="12" customFormat="1" x14ac:dyDescent="0.25"/>
    <row r="69304" s="12" customFormat="1" x14ac:dyDescent="0.25"/>
    <row r="69305" s="12" customFormat="1" x14ac:dyDescent="0.25"/>
    <row r="69306" s="12" customFormat="1" x14ac:dyDescent="0.25"/>
    <row r="69307" s="12" customFormat="1" x14ac:dyDescent="0.25"/>
    <row r="69308" s="12" customFormat="1" x14ac:dyDescent="0.25"/>
    <row r="69309" s="12" customFormat="1" x14ac:dyDescent="0.25"/>
    <row r="69310" s="12" customFormat="1" x14ac:dyDescent="0.25"/>
    <row r="69311" s="12" customFormat="1" x14ac:dyDescent="0.25"/>
    <row r="69312" s="12" customFormat="1" x14ac:dyDescent="0.25"/>
    <row r="69313" s="12" customFormat="1" x14ac:dyDescent="0.25"/>
    <row r="69314" s="12" customFormat="1" x14ac:dyDescent="0.25"/>
    <row r="69315" s="12" customFormat="1" x14ac:dyDescent="0.25"/>
    <row r="69316" s="12" customFormat="1" x14ac:dyDescent="0.25"/>
    <row r="69317" s="12" customFormat="1" x14ac:dyDescent="0.25"/>
    <row r="69318" s="12" customFormat="1" x14ac:dyDescent="0.25"/>
    <row r="69319" s="12" customFormat="1" x14ac:dyDescent="0.25"/>
    <row r="69320" s="12" customFormat="1" x14ac:dyDescent="0.25"/>
    <row r="69321" s="12" customFormat="1" x14ac:dyDescent="0.25"/>
    <row r="69322" s="12" customFormat="1" x14ac:dyDescent="0.25"/>
    <row r="69323" s="12" customFormat="1" x14ac:dyDescent="0.25"/>
    <row r="69324" s="12" customFormat="1" x14ac:dyDescent="0.25"/>
    <row r="69325" s="12" customFormat="1" x14ac:dyDescent="0.25"/>
    <row r="69326" s="12" customFormat="1" x14ac:dyDescent="0.25"/>
    <row r="69327" s="12" customFormat="1" x14ac:dyDescent="0.25"/>
    <row r="69328" s="12" customFormat="1" x14ac:dyDescent="0.25"/>
    <row r="69329" s="12" customFormat="1" x14ac:dyDescent="0.25"/>
    <row r="69330" s="12" customFormat="1" x14ac:dyDescent="0.25"/>
    <row r="69331" s="12" customFormat="1" x14ac:dyDescent="0.25"/>
    <row r="69332" s="12" customFormat="1" x14ac:dyDescent="0.25"/>
    <row r="69333" s="12" customFormat="1" x14ac:dyDescent="0.25"/>
    <row r="69334" s="12" customFormat="1" x14ac:dyDescent="0.25"/>
    <row r="69335" s="12" customFormat="1" x14ac:dyDescent="0.25"/>
    <row r="69336" s="12" customFormat="1" x14ac:dyDescent="0.25"/>
    <row r="69337" s="12" customFormat="1" x14ac:dyDescent="0.25"/>
    <row r="69338" s="12" customFormat="1" x14ac:dyDescent="0.25"/>
    <row r="69339" s="12" customFormat="1" x14ac:dyDescent="0.25"/>
    <row r="69340" s="12" customFormat="1" x14ac:dyDescent="0.25"/>
    <row r="69341" s="12" customFormat="1" x14ac:dyDescent="0.25"/>
    <row r="69342" s="12" customFormat="1" x14ac:dyDescent="0.25"/>
    <row r="69343" s="12" customFormat="1" x14ac:dyDescent="0.25"/>
    <row r="69344" s="12" customFormat="1" x14ac:dyDescent="0.25"/>
    <row r="69345" s="12" customFormat="1" x14ac:dyDescent="0.25"/>
    <row r="69346" s="12" customFormat="1" x14ac:dyDescent="0.25"/>
    <row r="69347" s="12" customFormat="1" x14ac:dyDescent="0.25"/>
    <row r="69348" s="12" customFormat="1" x14ac:dyDescent="0.25"/>
    <row r="69349" s="12" customFormat="1" x14ac:dyDescent="0.25"/>
    <row r="69350" s="12" customFormat="1" x14ac:dyDescent="0.25"/>
    <row r="69351" s="12" customFormat="1" x14ac:dyDescent="0.25"/>
    <row r="69352" s="12" customFormat="1" x14ac:dyDescent="0.25"/>
    <row r="69353" s="12" customFormat="1" x14ac:dyDescent="0.25"/>
    <row r="69354" s="12" customFormat="1" x14ac:dyDescent="0.25"/>
    <row r="69355" s="12" customFormat="1" x14ac:dyDescent="0.25"/>
    <row r="69356" s="12" customFormat="1" x14ac:dyDescent="0.25"/>
    <row r="69357" s="12" customFormat="1" x14ac:dyDescent="0.25"/>
    <row r="69358" s="12" customFormat="1" x14ac:dyDescent="0.25"/>
    <row r="69359" s="12" customFormat="1" x14ac:dyDescent="0.25"/>
    <row r="69360" s="12" customFormat="1" x14ac:dyDescent="0.25"/>
    <row r="69361" s="12" customFormat="1" x14ac:dyDescent="0.25"/>
    <row r="69362" s="12" customFormat="1" x14ac:dyDescent="0.25"/>
    <row r="69363" s="12" customFormat="1" x14ac:dyDescent="0.25"/>
    <row r="69364" s="12" customFormat="1" x14ac:dyDescent="0.25"/>
    <row r="69365" s="12" customFormat="1" x14ac:dyDescent="0.25"/>
    <row r="69366" s="12" customFormat="1" x14ac:dyDescent="0.25"/>
    <row r="69367" s="12" customFormat="1" x14ac:dyDescent="0.25"/>
    <row r="69368" s="12" customFormat="1" x14ac:dyDescent="0.25"/>
    <row r="69369" s="12" customFormat="1" x14ac:dyDescent="0.25"/>
    <row r="69370" s="12" customFormat="1" x14ac:dyDescent="0.25"/>
    <row r="69371" s="12" customFormat="1" x14ac:dyDescent="0.25"/>
    <row r="69372" s="12" customFormat="1" x14ac:dyDescent="0.25"/>
    <row r="69373" s="12" customFormat="1" x14ac:dyDescent="0.25"/>
    <row r="69374" s="12" customFormat="1" x14ac:dyDescent="0.25"/>
    <row r="69375" s="12" customFormat="1" x14ac:dyDescent="0.25"/>
    <row r="69376" s="12" customFormat="1" x14ac:dyDescent="0.25"/>
    <row r="69377" s="12" customFormat="1" x14ac:dyDescent="0.25"/>
    <row r="69378" s="12" customFormat="1" x14ac:dyDescent="0.25"/>
    <row r="69379" s="12" customFormat="1" x14ac:dyDescent="0.25"/>
    <row r="69380" s="12" customFormat="1" x14ac:dyDescent="0.25"/>
    <row r="69381" s="12" customFormat="1" x14ac:dyDescent="0.25"/>
    <row r="69382" s="12" customFormat="1" x14ac:dyDescent="0.25"/>
    <row r="69383" s="12" customFormat="1" x14ac:dyDescent="0.25"/>
    <row r="69384" s="12" customFormat="1" x14ac:dyDescent="0.25"/>
    <row r="69385" s="12" customFormat="1" x14ac:dyDescent="0.25"/>
    <row r="69386" s="12" customFormat="1" x14ac:dyDescent="0.25"/>
    <row r="69387" s="12" customFormat="1" x14ac:dyDescent="0.25"/>
    <row r="69388" s="12" customFormat="1" x14ac:dyDescent="0.25"/>
    <row r="69389" s="12" customFormat="1" x14ac:dyDescent="0.25"/>
    <row r="69390" s="12" customFormat="1" x14ac:dyDescent="0.25"/>
    <row r="69391" s="12" customFormat="1" x14ac:dyDescent="0.25"/>
    <row r="69392" s="12" customFormat="1" x14ac:dyDescent="0.25"/>
    <row r="69393" s="12" customFormat="1" x14ac:dyDescent="0.25"/>
    <row r="69394" s="12" customFormat="1" x14ac:dyDescent="0.25"/>
    <row r="69395" s="12" customFormat="1" x14ac:dyDescent="0.25"/>
    <row r="69396" s="12" customFormat="1" x14ac:dyDescent="0.25"/>
    <row r="69397" s="12" customFormat="1" x14ac:dyDescent="0.25"/>
    <row r="69398" s="12" customFormat="1" x14ac:dyDescent="0.25"/>
    <row r="69399" s="12" customFormat="1" x14ac:dyDescent="0.25"/>
    <row r="69400" s="12" customFormat="1" x14ac:dyDescent="0.25"/>
    <row r="69401" s="12" customFormat="1" x14ac:dyDescent="0.25"/>
    <row r="69402" s="12" customFormat="1" x14ac:dyDescent="0.25"/>
    <row r="69403" s="12" customFormat="1" x14ac:dyDescent="0.25"/>
    <row r="69404" s="12" customFormat="1" x14ac:dyDescent="0.25"/>
    <row r="69405" s="12" customFormat="1" x14ac:dyDescent="0.25"/>
    <row r="69406" s="12" customFormat="1" x14ac:dyDescent="0.25"/>
    <row r="69407" s="12" customFormat="1" x14ac:dyDescent="0.25"/>
    <row r="69408" s="12" customFormat="1" x14ac:dyDescent="0.25"/>
    <row r="69409" s="12" customFormat="1" x14ac:dyDescent="0.25"/>
    <row r="69410" s="12" customFormat="1" x14ac:dyDescent="0.25"/>
    <row r="69411" s="12" customFormat="1" x14ac:dyDescent="0.25"/>
    <row r="69412" s="12" customFormat="1" x14ac:dyDescent="0.25"/>
    <row r="69413" s="12" customFormat="1" x14ac:dyDescent="0.25"/>
    <row r="69414" s="12" customFormat="1" x14ac:dyDescent="0.25"/>
    <row r="69415" s="12" customFormat="1" x14ac:dyDescent="0.25"/>
    <row r="69416" s="12" customFormat="1" x14ac:dyDescent="0.25"/>
    <row r="69417" s="12" customFormat="1" x14ac:dyDescent="0.25"/>
    <row r="69418" s="12" customFormat="1" x14ac:dyDescent="0.25"/>
    <row r="69419" s="12" customFormat="1" x14ac:dyDescent="0.25"/>
    <row r="69420" s="12" customFormat="1" x14ac:dyDescent="0.25"/>
    <row r="69421" s="12" customFormat="1" x14ac:dyDescent="0.25"/>
    <row r="69422" s="12" customFormat="1" x14ac:dyDescent="0.25"/>
    <row r="69423" s="12" customFormat="1" x14ac:dyDescent="0.25"/>
    <row r="69424" s="12" customFormat="1" x14ac:dyDescent="0.25"/>
    <row r="69425" s="12" customFormat="1" x14ac:dyDescent="0.25"/>
    <row r="69426" s="12" customFormat="1" x14ac:dyDescent="0.25"/>
    <row r="69427" s="12" customFormat="1" x14ac:dyDescent="0.25"/>
    <row r="69428" s="12" customFormat="1" x14ac:dyDescent="0.25"/>
    <row r="69429" s="12" customFormat="1" x14ac:dyDescent="0.25"/>
    <row r="69430" s="12" customFormat="1" x14ac:dyDescent="0.25"/>
    <row r="69431" s="12" customFormat="1" x14ac:dyDescent="0.25"/>
    <row r="69432" s="12" customFormat="1" x14ac:dyDescent="0.25"/>
    <row r="69433" s="12" customFormat="1" x14ac:dyDescent="0.25"/>
    <row r="69434" s="12" customFormat="1" x14ac:dyDescent="0.25"/>
    <row r="69435" s="12" customFormat="1" x14ac:dyDescent="0.25"/>
    <row r="69436" s="12" customFormat="1" x14ac:dyDescent="0.25"/>
    <row r="69437" s="12" customFormat="1" x14ac:dyDescent="0.25"/>
    <row r="69438" s="12" customFormat="1" x14ac:dyDescent="0.25"/>
    <row r="69439" s="12" customFormat="1" x14ac:dyDescent="0.25"/>
    <row r="69440" s="12" customFormat="1" x14ac:dyDescent="0.25"/>
    <row r="69441" s="12" customFormat="1" x14ac:dyDescent="0.25"/>
    <row r="69442" s="12" customFormat="1" x14ac:dyDescent="0.25"/>
    <row r="69443" s="12" customFormat="1" x14ac:dyDescent="0.25"/>
    <row r="69444" s="12" customFormat="1" x14ac:dyDescent="0.25"/>
    <row r="69445" s="12" customFormat="1" x14ac:dyDescent="0.25"/>
    <row r="69446" s="12" customFormat="1" x14ac:dyDescent="0.25"/>
    <row r="69447" s="12" customFormat="1" x14ac:dyDescent="0.25"/>
    <row r="69448" s="12" customFormat="1" x14ac:dyDescent="0.25"/>
    <row r="69449" s="12" customFormat="1" x14ac:dyDescent="0.25"/>
    <row r="69450" s="12" customFormat="1" x14ac:dyDescent="0.25"/>
    <row r="69451" s="12" customFormat="1" x14ac:dyDescent="0.25"/>
    <row r="69452" s="12" customFormat="1" x14ac:dyDescent="0.25"/>
    <row r="69453" s="12" customFormat="1" x14ac:dyDescent="0.25"/>
    <row r="69454" s="12" customFormat="1" x14ac:dyDescent="0.25"/>
    <row r="69455" s="12" customFormat="1" x14ac:dyDescent="0.25"/>
    <row r="69456" s="12" customFormat="1" x14ac:dyDescent="0.25"/>
    <row r="69457" s="12" customFormat="1" x14ac:dyDescent="0.25"/>
    <row r="69458" s="12" customFormat="1" x14ac:dyDescent="0.25"/>
    <row r="69459" s="12" customFormat="1" x14ac:dyDescent="0.25"/>
    <row r="69460" s="12" customFormat="1" x14ac:dyDescent="0.25"/>
    <row r="69461" s="12" customFormat="1" x14ac:dyDescent="0.25"/>
    <row r="69462" s="12" customFormat="1" x14ac:dyDescent="0.25"/>
    <row r="69463" s="12" customFormat="1" x14ac:dyDescent="0.25"/>
    <row r="69464" s="12" customFormat="1" x14ac:dyDescent="0.25"/>
    <row r="69465" s="12" customFormat="1" x14ac:dyDescent="0.25"/>
    <row r="69466" s="12" customFormat="1" x14ac:dyDescent="0.25"/>
    <row r="69467" s="12" customFormat="1" x14ac:dyDescent="0.25"/>
    <row r="69468" s="12" customFormat="1" x14ac:dyDescent="0.25"/>
    <row r="69469" s="12" customFormat="1" x14ac:dyDescent="0.25"/>
    <row r="69470" s="12" customFormat="1" x14ac:dyDescent="0.25"/>
    <row r="69471" s="12" customFormat="1" x14ac:dyDescent="0.25"/>
    <row r="69472" s="12" customFormat="1" x14ac:dyDescent="0.25"/>
    <row r="69473" s="12" customFormat="1" x14ac:dyDescent="0.25"/>
    <row r="69474" s="12" customFormat="1" x14ac:dyDescent="0.25"/>
    <row r="69475" s="12" customFormat="1" x14ac:dyDescent="0.25"/>
    <row r="69476" s="12" customFormat="1" x14ac:dyDescent="0.25"/>
    <row r="69477" s="12" customFormat="1" x14ac:dyDescent="0.25"/>
    <row r="69478" s="12" customFormat="1" x14ac:dyDescent="0.25"/>
    <row r="69479" s="12" customFormat="1" x14ac:dyDescent="0.25"/>
    <row r="69480" s="12" customFormat="1" x14ac:dyDescent="0.25"/>
    <row r="69481" s="12" customFormat="1" x14ac:dyDescent="0.25"/>
    <row r="69482" s="12" customFormat="1" x14ac:dyDescent="0.25"/>
    <row r="69483" s="12" customFormat="1" x14ac:dyDescent="0.25"/>
    <row r="69484" s="12" customFormat="1" x14ac:dyDescent="0.25"/>
    <row r="69485" s="12" customFormat="1" x14ac:dyDescent="0.25"/>
    <row r="69486" s="12" customFormat="1" x14ac:dyDescent="0.25"/>
    <row r="69487" s="12" customFormat="1" x14ac:dyDescent="0.25"/>
    <row r="69488" s="12" customFormat="1" x14ac:dyDescent="0.25"/>
    <row r="69489" s="12" customFormat="1" x14ac:dyDescent="0.25"/>
    <row r="69490" s="12" customFormat="1" x14ac:dyDescent="0.25"/>
    <row r="69491" s="12" customFormat="1" x14ac:dyDescent="0.25"/>
    <row r="69492" s="12" customFormat="1" x14ac:dyDescent="0.25"/>
    <row r="69493" s="12" customFormat="1" x14ac:dyDescent="0.25"/>
    <row r="69494" s="12" customFormat="1" x14ac:dyDescent="0.25"/>
    <row r="69495" s="12" customFormat="1" x14ac:dyDescent="0.25"/>
    <row r="69496" s="12" customFormat="1" x14ac:dyDescent="0.25"/>
    <row r="69497" s="12" customFormat="1" x14ac:dyDescent="0.25"/>
    <row r="69498" s="12" customFormat="1" x14ac:dyDescent="0.25"/>
    <row r="69499" s="12" customFormat="1" x14ac:dyDescent="0.25"/>
    <row r="69500" s="12" customFormat="1" x14ac:dyDescent="0.25"/>
    <row r="69501" s="12" customFormat="1" x14ac:dyDescent="0.25"/>
    <row r="69502" s="12" customFormat="1" x14ac:dyDescent="0.25"/>
    <row r="69503" s="12" customFormat="1" x14ac:dyDescent="0.25"/>
    <row r="69504" s="12" customFormat="1" x14ac:dyDescent="0.25"/>
    <row r="69505" s="12" customFormat="1" x14ac:dyDescent="0.25"/>
    <row r="69506" s="12" customFormat="1" x14ac:dyDescent="0.25"/>
    <row r="69507" s="12" customFormat="1" x14ac:dyDescent="0.25"/>
    <row r="69508" s="12" customFormat="1" x14ac:dyDescent="0.25"/>
    <row r="69509" s="12" customFormat="1" x14ac:dyDescent="0.25"/>
    <row r="69510" s="12" customFormat="1" x14ac:dyDescent="0.25"/>
    <row r="69511" s="12" customFormat="1" x14ac:dyDescent="0.25"/>
    <row r="69512" s="12" customFormat="1" x14ac:dyDescent="0.25"/>
    <row r="69513" s="12" customFormat="1" x14ac:dyDescent="0.25"/>
    <row r="69514" s="12" customFormat="1" x14ac:dyDescent="0.25"/>
    <row r="69515" s="12" customFormat="1" x14ac:dyDescent="0.25"/>
    <row r="69516" s="12" customFormat="1" x14ac:dyDescent="0.25"/>
    <row r="69517" s="12" customFormat="1" x14ac:dyDescent="0.25"/>
    <row r="69518" s="12" customFormat="1" x14ac:dyDescent="0.25"/>
    <row r="69519" s="12" customFormat="1" x14ac:dyDescent="0.25"/>
    <row r="69520" s="12" customFormat="1" x14ac:dyDescent="0.25"/>
    <row r="69521" s="12" customFormat="1" x14ac:dyDescent="0.25"/>
    <row r="69522" s="12" customFormat="1" x14ac:dyDescent="0.25"/>
    <row r="69523" s="12" customFormat="1" x14ac:dyDescent="0.25"/>
    <row r="69524" s="12" customFormat="1" x14ac:dyDescent="0.25"/>
    <row r="69525" s="12" customFormat="1" x14ac:dyDescent="0.25"/>
    <row r="69526" s="12" customFormat="1" x14ac:dyDescent="0.25"/>
    <row r="69527" s="12" customFormat="1" x14ac:dyDescent="0.25"/>
    <row r="69528" s="12" customFormat="1" x14ac:dyDescent="0.25"/>
    <row r="69529" s="12" customFormat="1" x14ac:dyDescent="0.25"/>
    <row r="69530" s="12" customFormat="1" x14ac:dyDescent="0.25"/>
    <row r="69531" s="12" customFormat="1" x14ac:dyDescent="0.25"/>
    <row r="69532" s="12" customFormat="1" x14ac:dyDescent="0.25"/>
    <row r="69533" s="12" customFormat="1" x14ac:dyDescent="0.25"/>
    <row r="69534" s="12" customFormat="1" x14ac:dyDescent="0.25"/>
    <row r="69535" s="12" customFormat="1" x14ac:dyDescent="0.25"/>
    <row r="69536" s="12" customFormat="1" x14ac:dyDescent="0.25"/>
    <row r="69537" s="12" customFormat="1" x14ac:dyDescent="0.25"/>
    <row r="69538" s="12" customFormat="1" x14ac:dyDescent="0.25"/>
    <row r="69539" s="12" customFormat="1" x14ac:dyDescent="0.25"/>
    <row r="69540" s="12" customFormat="1" x14ac:dyDescent="0.25"/>
    <row r="69541" s="12" customFormat="1" x14ac:dyDescent="0.25"/>
    <row r="69542" s="12" customFormat="1" x14ac:dyDescent="0.25"/>
    <row r="69543" s="12" customFormat="1" x14ac:dyDescent="0.25"/>
    <row r="69544" s="12" customFormat="1" x14ac:dyDescent="0.25"/>
    <row r="69545" s="12" customFormat="1" x14ac:dyDescent="0.25"/>
    <row r="69546" s="12" customFormat="1" x14ac:dyDescent="0.25"/>
    <row r="69547" s="12" customFormat="1" x14ac:dyDescent="0.25"/>
    <row r="69548" s="12" customFormat="1" x14ac:dyDescent="0.25"/>
    <row r="69549" s="12" customFormat="1" x14ac:dyDescent="0.25"/>
    <row r="69550" s="12" customFormat="1" x14ac:dyDescent="0.25"/>
    <row r="69551" s="12" customFormat="1" x14ac:dyDescent="0.25"/>
    <row r="69552" s="12" customFormat="1" x14ac:dyDescent="0.25"/>
    <row r="69553" s="12" customFormat="1" x14ac:dyDescent="0.25"/>
    <row r="69554" s="12" customFormat="1" x14ac:dyDescent="0.25"/>
    <row r="69555" s="12" customFormat="1" x14ac:dyDescent="0.25"/>
    <row r="69556" s="12" customFormat="1" x14ac:dyDescent="0.25"/>
    <row r="69557" s="12" customFormat="1" x14ac:dyDescent="0.25"/>
    <row r="69558" s="12" customFormat="1" x14ac:dyDescent="0.25"/>
    <row r="69559" s="12" customFormat="1" x14ac:dyDescent="0.25"/>
    <row r="69560" s="12" customFormat="1" x14ac:dyDescent="0.25"/>
    <row r="69561" s="12" customFormat="1" x14ac:dyDescent="0.25"/>
    <row r="69562" s="12" customFormat="1" x14ac:dyDescent="0.25"/>
    <row r="69563" s="12" customFormat="1" x14ac:dyDescent="0.25"/>
    <row r="69564" s="12" customFormat="1" x14ac:dyDescent="0.25"/>
    <row r="69565" s="12" customFormat="1" x14ac:dyDescent="0.25"/>
    <row r="69566" s="12" customFormat="1" x14ac:dyDescent="0.25"/>
    <row r="69567" s="12" customFormat="1" x14ac:dyDescent="0.25"/>
    <row r="69568" s="12" customFormat="1" x14ac:dyDescent="0.25"/>
    <row r="69569" s="12" customFormat="1" x14ac:dyDescent="0.25"/>
    <row r="69570" s="12" customFormat="1" x14ac:dyDescent="0.25"/>
    <row r="69571" s="12" customFormat="1" x14ac:dyDescent="0.25"/>
    <row r="69572" s="12" customFormat="1" x14ac:dyDescent="0.25"/>
    <row r="69573" s="12" customFormat="1" x14ac:dyDescent="0.25"/>
    <row r="69574" s="12" customFormat="1" x14ac:dyDescent="0.25"/>
    <row r="69575" s="12" customFormat="1" x14ac:dyDescent="0.25"/>
    <row r="69576" s="12" customFormat="1" x14ac:dyDescent="0.25"/>
    <row r="69577" s="12" customFormat="1" x14ac:dyDescent="0.25"/>
    <row r="69578" s="12" customFormat="1" x14ac:dyDescent="0.25"/>
    <row r="69579" s="12" customFormat="1" x14ac:dyDescent="0.25"/>
    <row r="69580" s="12" customFormat="1" x14ac:dyDescent="0.25"/>
    <row r="69581" s="12" customFormat="1" x14ac:dyDescent="0.25"/>
    <row r="69582" s="12" customFormat="1" x14ac:dyDescent="0.25"/>
    <row r="69583" s="12" customFormat="1" x14ac:dyDescent="0.25"/>
    <row r="69584" s="12" customFormat="1" x14ac:dyDescent="0.25"/>
    <row r="69585" s="12" customFormat="1" x14ac:dyDescent="0.25"/>
    <row r="69586" s="12" customFormat="1" x14ac:dyDescent="0.25"/>
    <row r="69587" s="12" customFormat="1" x14ac:dyDescent="0.25"/>
    <row r="69588" s="12" customFormat="1" x14ac:dyDescent="0.25"/>
    <row r="69589" s="12" customFormat="1" x14ac:dyDescent="0.25"/>
    <row r="69590" s="12" customFormat="1" x14ac:dyDescent="0.25"/>
    <row r="69591" s="12" customFormat="1" x14ac:dyDescent="0.25"/>
    <row r="69592" s="12" customFormat="1" x14ac:dyDescent="0.25"/>
    <row r="69593" s="12" customFormat="1" x14ac:dyDescent="0.25"/>
    <row r="69594" s="12" customFormat="1" x14ac:dyDescent="0.25"/>
    <row r="69595" s="12" customFormat="1" x14ac:dyDescent="0.25"/>
    <row r="69596" s="12" customFormat="1" x14ac:dyDescent="0.25"/>
    <row r="69597" s="12" customFormat="1" x14ac:dyDescent="0.25"/>
    <row r="69598" s="12" customFormat="1" x14ac:dyDescent="0.25"/>
    <row r="69599" s="12" customFormat="1" x14ac:dyDescent="0.25"/>
    <row r="69600" s="12" customFormat="1" x14ac:dyDescent="0.25"/>
    <row r="69601" s="12" customFormat="1" x14ac:dyDescent="0.25"/>
    <row r="69602" s="12" customFormat="1" x14ac:dyDescent="0.25"/>
    <row r="69603" s="12" customFormat="1" x14ac:dyDescent="0.25"/>
    <row r="69604" s="12" customFormat="1" x14ac:dyDescent="0.25"/>
    <row r="69605" s="12" customFormat="1" x14ac:dyDescent="0.25"/>
    <row r="69606" s="12" customFormat="1" x14ac:dyDescent="0.25"/>
    <row r="69607" s="12" customFormat="1" x14ac:dyDescent="0.25"/>
    <row r="69608" s="12" customFormat="1" x14ac:dyDescent="0.25"/>
    <row r="69609" s="12" customFormat="1" x14ac:dyDescent="0.25"/>
    <row r="69610" s="12" customFormat="1" x14ac:dyDescent="0.25"/>
    <row r="69611" s="12" customFormat="1" x14ac:dyDescent="0.25"/>
    <row r="69612" s="12" customFormat="1" x14ac:dyDescent="0.25"/>
    <row r="69613" s="12" customFormat="1" x14ac:dyDescent="0.25"/>
    <row r="69614" s="12" customFormat="1" x14ac:dyDescent="0.25"/>
    <row r="69615" s="12" customFormat="1" x14ac:dyDescent="0.25"/>
    <row r="69616" s="12" customFormat="1" x14ac:dyDescent="0.25"/>
    <row r="69617" s="12" customFormat="1" x14ac:dyDescent="0.25"/>
    <row r="69618" s="12" customFormat="1" x14ac:dyDescent="0.25"/>
    <row r="69619" s="12" customFormat="1" x14ac:dyDescent="0.25"/>
    <row r="69620" s="12" customFormat="1" x14ac:dyDescent="0.25"/>
    <row r="69621" s="12" customFormat="1" x14ac:dyDescent="0.25"/>
    <row r="69622" s="12" customFormat="1" x14ac:dyDescent="0.25"/>
    <row r="69623" s="12" customFormat="1" x14ac:dyDescent="0.25"/>
    <row r="69624" s="12" customFormat="1" x14ac:dyDescent="0.25"/>
    <row r="69625" s="12" customFormat="1" x14ac:dyDescent="0.25"/>
    <row r="69626" s="12" customFormat="1" x14ac:dyDescent="0.25"/>
    <row r="69627" s="12" customFormat="1" x14ac:dyDescent="0.25"/>
    <row r="69628" s="12" customFormat="1" x14ac:dyDescent="0.25"/>
    <row r="69629" s="12" customFormat="1" x14ac:dyDescent="0.25"/>
    <row r="69630" s="12" customFormat="1" x14ac:dyDescent="0.25"/>
    <row r="69631" s="12" customFormat="1" x14ac:dyDescent="0.25"/>
    <row r="69632" s="12" customFormat="1" x14ac:dyDescent="0.25"/>
    <row r="69633" s="12" customFormat="1" x14ac:dyDescent="0.25"/>
    <row r="69634" s="12" customFormat="1" x14ac:dyDescent="0.25"/>
    <row r="69635" s="12" customFormat="1" x14ac:dyDescent="0.25"/>
    <row r="69636" s="12" customFormat="1" x14ac:dyDescent="0.25"/>
    <row r="69637" s="12" customFormat="1" x14ac:dyDescent="0.25"/>
    <row r="69638" s="12" customFormat="1" x14ac:dyDescent="0.25"/>
    <row r="69639" s="12" customFormat="1" x14ac:dyDescent="0.25"/>
    <row r="69640" s="12" customFormat="1" x14ac:dyDescent="0.25"/>
    <row r="69641" s="12" customFormat="1" x14ac:dyDescent="0.25"/>
    <row r="69642" s="12" customFormat="1" x14ac:dyDescent="0.25"/>
    <row r="69643" s="12" customFormat="1" x14ac:dyDescent="0.25"/>
    <row r="69644" s="12" customFormat="1" x14ac:dyDescent="0.25"/>
    <row r="69645" s="12" customFormat="1" x14ac:dyDescent="0.25"/>
    <row r="69646" s="12" customFormat="1" x14ac:dyDescent="0.25"/>
    <row r="69647" s="12" customFormat="1" x14ac:dyDescent="0.25"/>
    <row r="69648" s="12" customFormat="1" x14ac:dyDescent="0.25"/>
    <row r="69649" s="12" customFormat="1" x14ac:dyDescent="0.25"/>
    <row r="69650" s="12" customFormat="1" x14ac:dyDescent="0.25"/>
    <row r="69651" s="12" customFormat="1" x14ac:dyDescent="0.25"/>
    <row r="69652" s="12" customFormat="1" x14ac:dyDescent="0.25"/>
    <row r="69653" s="12" customFormat="1" x14ac:dyDescent="0.25"/>
    <row r="69654" s="12" customFormat="1" x14ac:dyDescent="0.25"/>
    <row r="69655" s="12" customFormat="1" x14ac:dyDescent="0.25"/>
    <row r="69656" s="12" customFormat="1" x14ac:dyDescent="0.25"/>
    <row r="69657" s="12" customFormat="1" x14ac:dyDescent="0.25"/>
    <row r="69658" s="12" customFormat="1" x14ac:dyDescent="0.25"/>
    <row r="69659" s="12" customFormat="1" x14ac:dyDescent="0.25"/>
    <row r="69660" s="12" customFormat="1" x14ac:dyDescent="0.25"/>
    <row r="69661" s="12" customFormat="1" x14ac:dyDescent="0.25"/>
    <row r="69662" s="12" customFormat="1" x14ac:dyDescent="0.25"/>
    <row r="69663" s="12" customFormat="1" x14ac:dyDescent="0.25"/>
    <row r="69664" s="12" customFormat="1" x14ac:dyDescent="0.25"/>
    <row r="69665" s="12" customFormat="1" x14ac:dyDescent="0.25"/>
    <row r="69666" s="12" customFormat="1" x14ac:dyDescent="0.25"/>
    <row r="69667" s="12" customFormat="1" x14ac:dyDescent="0.25"/>
    <row r="69668" s="12" customFormat="1" x14ac:dyDescent="0.25"/>
    <row r="69669" s="12" customFormat="1" x14ac:dyDescent="0.25"/>
    <row r="69670" s="12" customFormat="1" x14ac:dyDescent="0.25"/>
    <row r="69671" s="12" customFormat="1" x14ac:dyDescent="0.25"/>
    <row r="69672" s="12" customFormat="1" x14ac:dyDescent="0.25"/>
    <row r="69673" s="12" customFormat="1" x14ac:dyDescent="0.25"/>
    <row r="69674" s="12" customFormat="1" x14ac:dyDescent="0.25"/>
    <row r="69675" s="12" customFormat="1" x14ac:dyDescent="0.25"/>
    <row r="69676" s="12" customFormat="1" x14ac:dyDescent="0.25"/>
    <row r="69677" s="12" customFormat="1" x14ac:dyDescent="0.25"/>
    <row r="69678" s="12" customFormat="1" x14ac:dyDescent="0.25"/>
    <row r="69679" s="12" customFormat="1" x14ac:dyDescent="0.25"/>
    <row r="69680" s="12" customFormat="1" x14ac:dyDescent="0.25"/>
    <row r="69681" s="12" customFormat="1" x14ac:dyDescent="0.25"/>
    <row r="69682" s="12" customFormat="1" x14ac:dyDescent="0.25"/>
    <row r="69683" s="12" customFormat="1" x14ac:dyDescent="0.25"/>
    <row r="69684" s="12" customFormat="1" x14ac:dyDescent="0.25"/>
    <row r="69685" s="12" customFormat="1" x14ac:dyDescent="0.25"/>
    <row r="69686" s="12" customFormat="1" x14ac:dyDescent="0.25"/>
    <row r="69687" s="12" customFormat="1" x14ac:dyDescent="0.25"/>
    <row r="69688" s="12" customFormat="1" x14ac:dyDescent="0.25"/>
    <row r="69689" s="12" customFormat="1" x14ac:dyDescent="0.25"/>
    <row r="69690" s="12" customFormat="1" x14ac:dyDescent="0.25"/>
    <row r="69691" s="12" customFormat="1" x14ac:dyDescent="0.25"/>
    <row r="69692" s="12" customFormat="1" x14ac:dyDescent="0.25"/>
    <row r="69693" s="12" customFormat="1" x14ac:dyDescent="0.25"/>
    <row r="69694" s="12" customFormat="1" x14ac:dyDescent="0.25"/>
    <row r="69695" s="12" customFormat="1" x14ac:dyDescent="0.25"/>
    <row r="69696" s="12" customFormat="1" x14ac:dyDescent="0.25"/>
    <row r="69697" s="12" customFormat="1" x14ac:dyDescent="0.25"/>
    <row r="69698" s="12" customFormat="1" x14ac:dyDescent="0.25"/>
    <row r="69699" s="12" customFormat="1" x14ac:dyDescent="0.25"/>
    <row r="69700" s="12" customFormat="1" x14ac:dyDescent="0.25"/>
    <row r="69701" s="12" customFormat="1" x14ac:dyDescent="0.25"/>
    <row r="69702" s="12" customFormat="1" x14ac:dyDescent="0.25"/>
    <row r="69703" s="12" customFormat="1" x14ac:dyDescent="0.25"/>
    <row r="69704" s="12" customFormat="1" x14ac:dyDescent="0.25"/>
    <row r="69705" s="12" customFormat="1" x14ac:dyDescent="0.25"/>
    <row r="69706" s="12" customFormat="1" x14ac:dyDescent="0.25"/>
    <row r="69707" s="12" customFormat="1" x14ac:dyDescent="0.25"/>
    <row r="69708" s="12" customFormat="1" x14ac:dyDescent="0.25"/>
    <row r="69709" s="12" customFormat="1" x14ac:dyDescent="0.25"/>
    <row r="69710" s="12" customFormat="1" x14ac:dyDescent="0.25"/>
    <row r="69711" s="12" customFormat="1" x14ac:dyDescent="0.25"/>
    <row r="69712" s="12" customFormat="1" x14ac:dyDescent="0.25"/>
    <row r="69713" s="12" customFormat="1" x14ac:dyDescent="0.25"/>
    <row r="69714" s="12" customFormat="1" x14ac:dyDescent="0.25"/>
    <row r="69715" s="12" customFormat="1" x14ac:dyDescent="0.25"/>
    <row r="69716" s="12" customFormat="1" x14ac:dyDescent="0.25"/>
    <row r="69717" s="12" customFormat="1" x14ac:dyDescent="0.25"/>
    <row r="69718" s="12" customFormat="1" x14ac:dyDescent="0.25"/>
    <row r="69719" s="12" customFormat="1" x14ac:dyDescent="0.25"/>
    <row r="69720" s="12" customFormat="1" x14ac:dyDescent="0.25"/>
    <row r="69721" s="12" customFormat="1" x14ac:dyDescent="0.25"/>
    <row r="69722" s="12" customFormat="1" x14ac:dyDescent="0.25"/>
    <row r="69723" s="12" customFormat="1" x14ac:dyDescent="0.25"/>
    <row r="69724" s="12" customFormat="1" x14ac:dyDescent="0.25"/>
    <row r="69725" s="12" customFormat="1" x14ac:dyDescent="0.25"/>
    <row r="69726" s="12" customFormat="1" x14ac:dyDescent="0.25"/>
    <row r="69727" s="12" customFormat="1" x14ac:dyDescent="0.25"/>
    <row r="69728" s="12" customFormat="1" x14ac:dyDescent="0.25"/>
    <row r="69729" s="12" customFormat="1" x14ac:dyDescent="0.25"/>
    <row r="69730" s="12" customFormat="1" x14ac:dyDescent="0.25"/>
    <row r="69731" s="12" customFormat="1" x14ac:dyDescent="0.25"/>
    <row r="69732" s="12" customFormat="1" x14ac:dyDescent="0.25"/>
    <row r="69733" s="12" customFormat="1" x14ac:dyDescent="0.25"/>
    <row r="69734" s="12" customFormat="1" x14ac:dyDescent="0.25"/>
    <row r="69735" s="12" customFormat="1" x14ac:dyDescent="0.25"/>
    <row r="69736" s="12" customFormat="1" x14ac:dyDescent="0.25"/>
    <row r="69737" s="12" customFormat="1" x14ac:dyDescent="0.25"/>
    <row r="69738" s="12" customFormat="1" x14ac:dyDescent="0.25"/>
    <row r="69739" s="12" customFormat="1" x14ac:dyDescent="0.25"/>
    <row r="69740" s="12" customFormat="1" x14ac:dyDescent="0.25"/>
    <row r="69741" s="12" customFormat="1" x14ac:dyDescent="0.25"/>
    <row r="69742" s="12" customFormat="1" x14ac:dyDescent="0.25"/>
    <row r="69743" s="12" customFormat="1" x14ac:dyDescent="0.25"/>
    <row r="69744" s="12" customFormat="1" x14ac:dyDescent="0.25"/>
    <row r="69745" s="12" customFormat="1" x14ac:dyDescent="0.25"/>
    <row r="69746" s="12" customFormat="1" x14ac:dyDescent="0.25"/>
    <row r="69747" s="12" customFormat="1" x14ac:dyDescent="0.25"/>
    <row r="69748" s="12" customFormat="1" x14ac:dyDescent="0.25"/>
    <row r="69749" s="12" customFormat="1" x14ac:dyDescent="0.25"/>
    <row r="69750" s="12" customFormat="1" x14ac:dyDescent="0.25"/>
    <row r="69751" s="12" customFormat="1" x14ac:dyDescent="0.25"/>
    <row r="69752" s="12" customFormat="1" x14ac:dyDescent="0.25"/>
    <row r="69753" s="12" customFormat="1" x14ac:dyDescent="0.25"/>
    <row r="69754" s="12" customFormat="1" x14ac:dyDescent="0.25"/>
    <row r="69755" s="12" customFormat="1" x14ac:dyDescent="0.25"/>
    <row r="69756" s="12" customFormat="1" x14ac:dyDescent="0.25"/>
    <row r="69757" s="12" customFormat="1" x14ac:dyDescent="0.25"/>
    <row r="69758" s="12" customFormat="1" x14ac:dyDescent="0.25"/>
    <row r="69759" s="12" customFormat="1" x14ac:dyDescent="0.25"/>
    <row r="69760" s="12" customFormat="1" x14ac:dyDescent="0.25"/>
    <row r="69761" s="12" customFormat="1" x14ac:dyDescent="0.25"/>
    <row r="69762" s="12" customFormat="1" x14ac:dyDescent="0.25"/>
    <row r="69763" s="12" customFormat="1" x14ac:dyDescent="0.25"/>
    <row r="69764" s="12" customFormat="1" x14ac:dyDescent="0.25"/>
    <row r="69765" s="12" customFormat="1" x14ac:dyDescent="0.25"/>
    <row r="69766" s="12" customFormat="1" x14ac:dyDescent="0.25"/>
    <row r="69767" s="12" customFormat="1" x14ac:dyDescent="0.25"/>
    <row r="69768" s="12" customFormat="1" x14ac:dyDescent="0.25"/>
    <row r="69769" s="12" customFormat="1" x14ac:dyDescent="0.25"/>
    <row r="69770" s="12" customFormat="1" x14ac:dyDescent="0.25"/>
    <row r="69771" s="12" customFormat="1" x14ac:dyDescent="0.25"/>
    <row r="69772" s="12" customFormat="1" x14ac:dyDescent="0.25"/>
    <row r="69773" s="12" customFormat="1" x14ac:dyDescent="0.25"/>
    <row r="69774" s="12" customFormat="1" x14ac:dyDescent="0.25"/>
    <row r="69775" s="12" customFormat="1" x14ac:dyDescent="0.25"/>
    <row r="69776" s="12" customFormat="1" x14ac:dyDescent="0.25"/>
    <row r="69777" s="12" customFormat="1" x14ac:dyDescent="0.25"/>
    <row r="69778" s="12" customFormat="1" x14ac:dyDescent="0.25"/>
    <row r="69779" s="12" customFormat="1" x14ac:dyDescent="0.25"/>
    <row r="69780" s="12" customFormat="1" x14ac:dyDescent="0.25"/>
    <row r="69781" s="12" customFormat="1" x14ac:dyDescent="0.25"/>
    <row r="69782" s="12" customFormat="1" x14ac:dyDescent="0.25"/>
    <row r="69783" s="12" customFormat="1" x14ac:dyDescent="0.25"/>
    <row r="69784" s="12" customFormat="1" x14ac:dyDescent="0.25"/>
    <row r="69785" s="12" customFormat="1" x14ac:dyDescent="0.25"/>
    <row r="69786" s="12" customFormat="1" x14ac:dyDescent="0.25"/>
    <row r="69787" s="12" customFormat="1" x14ac:dyDescent="0.25"/>
    <row r="69788" s="12" customFormat="1" x14ac:dyDescent="0.25"/>
    <row r="69789" s="12" customFormat="1" x14ac:dyDescent="0.25"/>
    <row r="69790" s="12" customFormat="1" x14ac:dyDescent="0.25"/>
    <row r="69791" s="12" customFormat="1" x14ac:dyDescent="0.25"/>
    <row r="69792" s="12" customFormat="1" x14ac:dyDescent="0.25"/>
    <row r="69793" s="12" customFormat="1" x14ac:dyDescent="0.25"/>
    <row r="69794" s="12" customFormat="1" x14ac:dyDescent="0.25"/>
    <row r="69795" s="12" customFormat="1" x14ac:dyDescent="0.25"/>
    <row r="69796" s="12" customFormat="1" x14ac:dyDescent="0.25"/>
    <row r="69797" s="12" customFormat="1" x14ac:dyDescent="0.25"/>
    <row r="69798" s="12" customFormat="1" x14ac:dyDescent="0.25"/>
    <row r="69799" s="12" customFormat="1" x14ac:dyDescent="0.25"/>
    <row r="69800" s="12" customFormat="1" x14ac:dyDescent="0.25"/>
    <row r="69801" s="12" customFormat="1" x14ac:dyDescent="0.25"/>
    <row r="69802" s="12" customFormat="1" x14ac:dyDescent="0.25"/>
    <row r="69803" s="12" customFormat="1" x14ac:dyDescent="0.25"/>
    <row r="69804" s="12" customFormat="1" x14ac:dyDescent="0.25"/>
    <row r="69805" s="12" customFormat="1" x14ac:dyDescent="0.25"/>
    <row r="69806" s="12" customFormat="1" x14ac:dyDescent="0.25"/>
    <row r="69807" s="12" customFormat="1" x14ac:dyDescent="0.25"/>
    <row r="69808" s="12" customFormat="1" x14ac:dyDescent="0.25"/>
    <row r="69809" s="12" customFormat="1" x14ac:dyDescent="0.25"/>
    <row r="69810" s="12" customFormat="1" x14ac:dyDescent="0.25"/>
    <row r="69811" s="12" customFormat="1" x14ac:dyDescent="0.25"/>
    <row r="69812" s="12" customFormat="1" x14ac:dyDescent="0.25"/>
    <row r="69813" s="12" customFormat="1" x14ac:dyDescent="0.25"/>
    <row r="69814" s="12" customFormat="1" x14ac:dyDescent="0.25"/>
    <row r="69815" s="12" customFormat="1" x14ac:dyDescent="0.25"/>
    <row r="69816" s="12" customFormat="1" x14ac:dyDescent="0.25"/>
    <row r="69817" s="12" customFormat="1" x14ac:dyDescent="0.25"/>
    <row r="69818" s="12" customFormat="1" x14ac:dyDescent="0.25"/>
    <row r="69819" s="12" customFormat="1" x14ac:dyDescent="0.25"/>
    <row r="69820" s="12" customFormat="1" x14ac:dyDescent="0.25"/>
    <row r="69821" s="12" customFormat="1" x14ac:dyDescent="0.25"/>
    <row r="69822" s="12" customFormat="1" x14ac:dyDescent="0.25"/>
    <row r="69823" s="12" customFormat="1" x14ac:dyDescent="0.25"/>
    <row r="69824" s="12" customFormat="1" x14ac:dyDescent="0.25"/>
    <row r="69825" s="12" customFormat="1" x14ac:dyDescent="0.25"/>
    <row r="69826" s="12" customFormat="1" x14ac:dyDescent="0.25"/>
    <row r="69827" s="12" customFormat="1" x14ac:dyDescent="0.25"/>
    <row r="69828" s="12" customFormat="1" x14ac:dyDescent="0.25"/>
    <row r="69829" s="12" customFormat="1" x14ac:dyDescent="0.25"/>
    <row r="69830" s="12" customFormat="1" x14ac:dyDescent="0.25"/>
    <row r="69831" s="12" customFormat="1" x14ac:dyDescent="0.25"/>
    <row r="69832" s="12" customFormat="1" x14ac:dyDescent="0.25"/>
    <row r="69833" s="12" customFormat="1" x14ac:dyDescent="0.25"/>
    <row r="69834" s="12" customFormat="1" x14ac:dyDescent="0.25"/>
    <row r="69835" s="12" customFormat="1" x14ac:dyDescent="0.25"/>
    <row r="69836" s="12" customFormat="1" x14ac:dyDescent="0.25"/>
    <row r="69837" s="12" customFormat="1" x14ac:dyDescent="0.25"/>
    <row r="69838" s="12" customFormat="1" x14ac:dyDescent="0.25"/>
    <row r="69839" s="12" customFormat="1" x14ac:dyDescent="0.25"/>
    <row r="69840" s="12" customFormat="1" x14ac:dyDescent="0.25"/>
    <row r="69841" s="12" customFormat="1" x14ac:dyDescent="0.25"/>
    <row r="69842" s="12" customFormat="1" x14ac:dyDescent="0.25"/>
    <row r="69843" s="12" customFormat="1" x14ac:dyDescent="0.25"/>
    <row r="69844" s="12" customFormat="1" x14ac:dyDescent="0.25"/>
    <row r="69845" s="12" customFormat="1" x14ac:dyDescent="0.25"/>
    <row r="69846" s="12" customFormat="1" x14ac:dyDescent="0.25"/>
    <row r="69847" s="12" customFormat="1" x14ac:dyDescent="0.25"/>
    <row r="69848" s="12" customFormat="1" x14ac:dyDescent="0.25"/>
    <row r="69849" s="12" customFormat="1" x14ac:dyDescent="0.25"/>
    <row r="69850" s="12" customFormat="1" x14ac:dyDescent="0.25"/>
    <row r="69851" s="12" customFormat="1" x14ac:dyDescent="0.25"/>
    <row r="69852" s="12" customFormat="1" x14ac:dyDescent="0.25"/>
    <row r="69853" s="12" customFormat="1" x14ac:dyDescent="0.25"/>
    <row r="69854" s="12" customFormat="1" x14ac:dyDescent="0.25"/>
    <row r="69855" s="12" customFormat="1" x14ac:dyDescent="0.25"/>
    <row r="69856" s="12" customFormat="1" x14ac:dyDescent="0.25"/>
    <row r="69857" s="12" customFormat="1" x14ac:dyDescent="0.25"/>
    <row r="69858" s="12" customFormat="1" x14ac:dyDescent="0.25"/>
    <row r="69859" s="12" customFormat="1" x14ac:dyDescent="0.25"/>
    <row r="69860" s="12" customFormat="1" x14ac:dyDescent="0.25"/>
    <row r="69861" s="12" customFormat="1" x14ac:dyDescent="0.25"/>
    <row r="69862" s="12" customFormat="1" x14ac:dyDescent="0.25"/>
    <row r="69863" s="12" customFormat="1" x14ac:dyDescent="0.25"/>
    <row r="69864" s="12" customFormat="1" x14ac:dyDescent="0.25"/>
    <row r="69865" s="12" customFormat="1" x14ac:dyDescent="0.25"/>
    <row r="69866" s="12" customFormat="1" x14ac:dyDescent="0.25"/>
    <row r="69867" s="12" customFormat="1" x14ac:dyDescent="0.25"/>
    <row r="69868" s="12" customFormat="1" x14ac:dyDescent="0.25"/>
    <row r="69869" s="12" customFormat="1" x14ac:dyDescent="0.25"/>
    <row r="69870" s="12" customFormat="1" x14ac:dyDescent="0.25"/>
    <row r="69871" s="12" customFormat="1" x14ac:dyDescent="0.25"/>
    <row r="69872" s="12" customFormat="1" x14ac:dyDescent="0.25"/>
    <row r="69873" s="12" customFormat="1" x14ac:dyDescent="0.25"/>
    <row r="69874" s="12" customFormat="1" x14ac:dyDescent="0.25"/>
    <row r="69875" s="12" customFormat="1" x14ac:dyDescent="0.25"/>
    <row r="69876" s="12" customFormat="1" x14ac:dyDescent="0.25"/>
    <row r="69877" s="12" customFormat="1" x14ac:dyDescent="0.25"/>
    <row r="69878" s="12" customFormat="1" x14ac:dyDescent="0.25"/>
    <row r="69879" s="12" customFormat="1" x14ac:dyDescent="0.25"/>
    <row r="69880" s="12" customFormat="1" x14ac:dyDescent="0.25"/>
    <row r="69881" s="12" customFormat="1" x14ac:dyDescent="0.25"/>
    <row r="69882" s="12" customFormat="1" x14ac:dyDescent="0.25"/>
    <row r="69883" s="12" customFormat="1" x14ac:dyDescent="0.25"/>
    <row r="69884" s="12" customFormat="1" x14ac:dyDescent="0.25"/>
    <row r="69885" s="12" customFormat="1" x14ac:dyDescent="0.25"/>
    <row r="69886" s="12" customFormat="1" x14ac:dyDescent="0.25"/>
    <row r="69887" s="12" customFormat="1" x14ac:dyDescent="0.25"/>
    <row r="69888" s="12" customFormat="1" x14ac:dyDescent="0.25"/>
    <row r="69889" s="12" customFormat="1" x14ac:dyDescent="0.25"/>
    <row r="69890" s="12" customFormat="1" x14ac:dyDescent="0.25"/>
    <row r="69891" s="12" customFormat="1" x14ac:dyDescent="0.25"/>
    <row r="69892" s="12" customFormat="1" x14ac:dyDescent="0.25"/>
    <row r="69893" s="12" customFormat="1" x14ac:dyDescent="0.25"/>
    <row r="69894" s="12" customFormat="1" x14ac:dyDescent="0.25"/>
    <row r="69895" s="12" customFormat="1" x14ac:dyDescent="0.25"/>
    <row r="69896" s="12" customFormat="1" x14ac:dyDescent="0.25"/>
    <row r="69897" s="12" customFormat="1" x14ac:dyDescent="0.25"/>
    <row r="69898" s="12" customFormat="1" x14ac:dyDescent="0.25"/>
    <row r="69899" s="12" customFormat="1" x14ac:dyDescent="0.25"/>
    <row r="69900" s="12" customFormat="1" x14ac:dyDescent="0.25"/>
    <row r="69901" s="12" customFormat="1" x14ac:dyDescent="0.25"/>
    <row r="69902" s="12" customFormat="1" x14ac:dyDescent="0.25"/>
    <row r="69903" s="12" customFormat="1" x14ac:dyDescent="0.25"/>
    <row r="69904" s="12" customFormat="1" x14ac:dyDescent="0.25"/>
    <row r="69905" s="12" customFormat="1" x14ac:dyDescent="0.25"/>
    <row r="69906" s="12" customFormat="1" x14ac:dyDescent="0.25"/>
    <row r="69907" s="12" customFormat="1" x14ac:dyDescent="0.25"/>
    <row r="69908" s="12" customFormat="1" x14ac:dyDescent="0.25"/>
    <row r="69909" s="12" customFormat="1" x14ac:dyDescent="0.25"/>
    <row r="69910" s="12" customFormat="1" x14ac:dyDescent="0.25"/>
    <row r="69911" s="12" customFormat="1" x14ac:dyDescent="0.25"/>
    <row r="69912" s="12" customFormat="1" x14ac:dyDescent="0.25"/>
    <row r="69913" s="12" customFormat="1" x14ac:dyDescent="0.25"/>
    <row r="69914" s="12" customFormat="1" x14ac:dyDescent="0.25"/>
    <row r="69915" s="12" customFormat="1" x14ac:dyDescent="0.25"/>
    <row r="69916" s="12" customFormat="1" x14ac:dyDescent="0.25"/>
    <row r="69917" s="12" customFormat="1" x14ac:dyDescent="0.25"/>
    <row r="69918" s="12" customFormat="1" x14ac:dyDescent="0.25"/>
    <row r="69919" s="12" customFormat="1" x14ac:dyDescent="0.25"/>
    <row r="69920" s="12" customFormat="1" x14ac:dyDescent="0.25"/>
    <row r="69921" s="12" customFormat="1" x14ac:dyDescent="0.25"/>
    <row r="69922" s="12" customFormat="1" x14ac:dyDescent="0.25"/>
    <row r="69923" s="12" customFormat="1" x14ac:dyDescent="0.25"/>
    <row r="69924" s="12" customFormat="1" x14ac:dyDescent="0.25"/>
    <row r="69925" s="12" customFormat="1" x14ac:dyDescent="0.25"/>
    <row r="69926" s="12" customFormat="1" x14ac:dyDescent="0.25"/>
    <row r="69927" s="12" customFormat="1" x14ac:dyDescent="0.25"/>
    <row r="69928" s="12" customFormat="1" x14ac:dyDescent="0.25"/>
    <row r="69929" s="12" customFormat="1" x14ac:dyDescent="0.25"/>
    <row r="69930" s="12" customFormat="1" x14ac:dyDescent="0.25"/>
    <row r="69931" s="12" customFormat="1" x14ac:dyDescent="0.25"/>
    <row r="69932" s="12" customFormat="1" x14ac:dyDescent="0.25"/>
    <row r="69933" s="12" customFormat="1" x14ac:dyDescent="0.25"/>
    <row r="69934" s="12" customFormat="1" x14ac:dyDescent="0.25"/>
    <row r="69935" s="12" customFormat="1" x14ac:dyDescent="0.25"/>
    <row r="69936" s="12" customFormat="1" x14ac:dyDescent="0.25"/>
    <row r="69937" s="12" customFormat="1" x14ac:dyDescent="0.25"/>
    <row r="69938" s="12" customFormat="1" x14ac:dyDescent="0.25"/>
    <row r="69939" s="12" customFormat="1" x14ac:dyDescent="0.25"/>
    <row r="69940" s="12" customFormat="1" x14ac:dyDescent="0.25"/>
    <row r="69941" s="12" customFormat="1" x14ac:dyDescent="0.25"/>
    <row r="69942" s="12" customFormat="1" x14ac:dyDescent="0.25"/>
    <row r="69943" s="12" customFormat="1" x14ac:dyDescent="0.25"/>
    <row r="69944" s="12" customFormat="1" x14ac:dyDescent="0.25"/>
    <row r="69945" s="12" customFormat="1" x14ac:dyDescent="0.25"/>
    <row r="69946" s="12" customFormat="1" x14ac:dyDescent="0.25"/>
    <row r="69947" s="12" customFormat="1" x14ac:dyDescent="0.25"/>
    <row r="69948" s="12" customFormat="1" x14ac:dyDescent="0.25"/>
    <row r="69949" s="12" customFormat="1" x14ac:dyDescent="0.25"/>
    <row r="69950" s="12" customFormat="1" x14ac:dyDescent="0.25"/>
    <row r="69951" s="12" customFormat="1" x14ac:dyDescent="0.25"/>
    <row r="69952" s="12" customFormat="1" x14ac:dyDescent="0.25"/>
    <row r="69953" s="12" customFormat="1" x14ac:dyDescent="0.25"/>
    <row r="69954" s="12" customFormat="1" x14ac:dyDescent="0.25"/>
    <row r="69955" s="12" customFormat="1" x14ac:dyDescent="0.25"/>
    <row r="69956" s="12" customFormat="1" x14ac:dyDescent="0.25"/>
    <row r="69957" s="12" customFormat="1" x14ac:dyDescent="0.25"/>
    <row r="69958" s="12" customFormat="1" x14ac:dyDescent="0.25"/>
    <row r="69959" s="12" customFormat="1" x14ac:dyDescent="0.25"/>
    <row r="69960" s="12" customFormat="1" x14ac:dyDescent="0.25"/>
    <row r="69961" s="12" customFormat="1" x14ac:dyDescent="0.25"/>
    <row r="69962" s="12" customFormat="1" x14ac:dyDescent="0.25"/>
    <row r="69963" s="12" customFormat="1" x14ac:dyDescent="0.25"/>
    <row r="69964" s="12" customFormat="1" x14ac:dyDescent="0.25"/>
    <row r="69965" s="12" customFormat="1" x14ac:dyDescent="0.25"/>
    <row r="69966" s="12" customFormat="1" x14ac:dyDescent="0.25"/>
    <row r="69967" s="12" customFormat="1" x14ac:dyDescent="0.25"/>
    <row r="69968" s="12" customFormat="1" x14ac:dyDescent="0.25"/>
    <row r="69969" s="12" customFormat="1" x14ac:dyDescent="0.25"/>
    <row r="69970" s="12" customFormat="1" x14ac:dyDescent="0.25"/>
    <row r="69971" s="12" customFormat="1" x14ac:dyDescent="0.25"/>
    <row r="69972" s="12" customFormat="1" x14ac:dyDescent="0.25"/>
    <row r="69973" s="12" customFormat="1" x14ac:dyDescent="0.25"/>
    <row r="69974" s="12" customFormat="1" x14ac:dyDescent="0.25"/>
    <row r="69975" s="12" customFormat="1" x14ac:dyDescent="0.25"/>
    <row r="69976" s="12" customFormat="1" x14ac:dyDescent="0.25"/>
    <row r="69977" s="12" customFormat="1" x14ac:dyDescent="0.25"/>
    <row r="69978" s="12" customFormat="1" x14ac:dyDescent="0.25"/>
    <row r="69979" s="12" customFormat="1" x14ac:dyDescent="0.25"/>
    <row r="69980" s="12" customFormat="1" x14ac:dyDescent="0.25"/>
    <row r="69981" s="12" customFormat="1" x14ac:dyDescent="0.25"/>
    <row r="69982" s="12" customFormat="1" x14ac:dyDescent="0.25"/>
    <row r="69983" s="12" customFormat="1" x14ac:dyDescent="0.25"/>
    <row r="69984" s="12" customFormat="1" x14ac:dyDescent="0.25"/>
    <row r="69985" s="12" customFormat="1" x14ac:dyDescent="0.25"/>
    <row r="69986" s="12" customFormat="1" x14ac:dyDescent="0.25"/>
    <row r="69987" s="12" customFormat="1" x14ac:dyDescent="0.25"/>
    <row r="69988" s="12" customFormat="1" x14ac:dyDescent="0.25"/>
    <row r="69989" s="12" customFormat="1" x14ac:dyDescent="0.25"/>
    <row r="69990" s="12" customFormat="1" x14ac:dyDescent="0.25"/>
    <row r="69991" s="12" customFormat="1" x14ac:dyDescent="0.25"/>
    <row r="69992" s="12" customFormat="1" x14ac:dyDescent="0.25"/>
    <row r="69993" s="12" customFormat="1" x14ac:dyDescent="0.25"/>
    <row r="69994" s="12" customFormat="1" x14ac:dyDescent="0.25"/>
    <row r="69995" s="12" customFormat="1" x14ac:dyDescent="0.25"/>
    <row r="69996" s="12" customFormat="1" x14ac:dyDescent="0.25"/>
    <row r="69997" s="12" customFormat="1" x14ac:dyDescent="0.25"/>
    <row r="69998" s="12" customFormat="1" x14ac:dyDescent="0.25"/>
    <row r="69999" s="12" customFormat="1" x14ac:dyDescent="0.25"/>
    <row r="70000" s="12" customFormat="1" x14ac:dyDescent="0.25"/>
    <row r="70001" s="12" customFormat="1" x14ac:dyDescent="0.25"/>
    <row r="70002" s="12" customFormat="1" x14ac:dyDescent="0.25"/>
    <row r="70003" s="12" customFormat="1" x14ac:dyDescent="0.25"/>
    <row r="70004" s="12" customFormat="1" x14ac:dyDescent="0.25"/>
    <row r="70005" s="12" customFormat="1" x14ac:dyDescent="0.25"/>
    <row r="70006" s="12" customFormat="1" x14ac:dyDescent="0.25"/>
    <row r="70007" s="12" customFormat="1" x14ac:dyDescent="0.25"/>
    <row r="70008" s="12" customFormat="1" x14ac:dyDescent="0.25"/>
    <row r="70009" s="12" customFormat="1" x14ac:dyDescent="0.25"/>
    <row r="70010" s="12" customFormat="1" x14ac:dyDescent="0.25"/>
    <row r="70011" s="12" customFormat="1" x14ac:dyDescent="0.25"/>
    <row r="70012" s="12" customFormat="1" x14ac:dyDescent="0.25"/>
    <row r="70013" s="12" customFormat="1" x14ac:dyDescent="0.25"/>
    <row r="70014" s="12" customFormat="1" x14ac:dyDescent="0.25"/>
    <row r="70015" s="12" customFormat="1" x14ac:dyDescent="0.25"/>
    <row r="70016" s="12" customFormat="1" x14ac:dyDescent="0.25"/>
    <row r="70017" s="12" customFormat="1" x14ac:dyDescent="0.25"/>
    <row r="70018" s="12" customFormat="1" x14ac:dyDescent="0.25"/>
    <row r="70019" s="12" customFormat="1" x14ac:dyDescent="0.25"/>
    <row r="70020" s="12" customFormat="1" x14ac:dyDescent="0.25"/>
    <row r="70021" s="12" customFormat="1" x14ac:dyDescent="0.25"/>
    <row r="70022" s="12" customFormat="1" x14ac:dyDescent="0.25"/>
    <row r="70023" s="12" customFormat="1" x14ac:dyDescent="0.25"/>
    <row r="70024" s="12" customFormat="1" x14ac:dyDescent="0.25"/>
    <row r="70025" s="12" customFormat="1" x14ac:dyDescent="0.25"/>
    <row r="70026" s="12" customFormat="1" x14ac:dyDescent="0.25"/>
    <row r="70027" s="12" customFormat="1" x14ac:dyDescent="0.25"/>
    <row r="70028" s="12" customFormat="1" x14ac:dyDescent="0.25"/>
    <row r="70029" s="12" customFormat="1" x14ac:dyDescent="0.25"/>
    <row r="70030" s="12" customFormat="1" x14ac:dyDescent="0.25"/>
    <row r="70031" s="12" customFormat="1" x14ac:dyDescent="0.25"/>
    <row r="70032" s="12" customFormat="1" x14ac:dyDescent="0.25"/>
    <row r="70033" s="12" customFormat="1" x14ac:dyDescent="0.25"/>
    <row r="70034" s="12" customFormat="1" x14ac:dyDescent="0.25"/>
    <row r="70035" s="12" customFormat="1" x14ac:dyDescent="0.25"/>
    <row r="70036" s="12" customFormat="1" x14ac:dyDescent="0.25"/>
    <row r="70037" s="12" customFormat="1" x14ac:dyDescent="0.25"/>
    <row r="70038" s="12" customFormat="1" x14ac:dyDescent="0.25"/>
    <row r="70039" s="12" customFormat="1" x14ac:dyDescent="0.25"/>
    <row r="70040" s="12" customFormat="1" x14ac:dyDescent="0.25"/>
    <row r="70041" s="12" customFormat="1" x14ac:dyDescent="0.25"/>
    <row r="70042" s="12" customFormat="1" x14ac:dyDescent="0.25"/>
    <row r="70043" s="12" customFormat="1" x14ac:dyDescent="0.25"/>
    <row r="70044" s="12" customFormat="1" x14ac:dyDescent="0.25"/>
    <row r="70045" s="12" customFormat="1" x14ac:dyDescent="0.25"/>
    <row r="70046" s="12" customFormat="1" x14ac:dyDescent="0.25"/>
    <row r="70047" s="12" customFormat="1" x14ac:dyDescent="0.25"/>
    <row r="70048" s="12" customFormat="1" x14ac:dyDescent="0.25"/>
    <row r="70049" s="12" customFormat="1" x14ac:dyDescent="0.25"/>
    <row r="70050" s="12" customFormat="1" x14ac:dyDescent="0.25"/>
    <row r="70051" s="12" customFormat="1" x14ac:dyDescent="0.25"/>
    <row r="70052" s="12" customFormat="1" x14ac:dyDescent="0.25"/>
    <row r="70053" s="12" customFormat="1" x14ac:dyDescent="0.25"/>
    <row r="70054" s="12" customFormat="1" x14ac:dyDescent="0.25"/>
    <row r="70055" s="12" customFormat="1" x14ac:dyDescent="0.25"/>
    <row r="70056" s="12" customFormat="1" x14ac:dyDescent="0.25"/>
    <row r="70057" s="12" customFormat="1" x14ac:dyDescent="0.25"/>
    <row r="70058" s="12" customFormat="1" x14ac:dyDescent="0.25"/>
    <row r="70059" s="12" customFormat="1" x14ac:dyDescent="0.25"/>
    <row r="70060" s="12" customFormat="1" x14ac:dyDescent="0.25"/>
    <row r="70061" s="12" customFormat="1" x14ac:dyDescent="0.25"/>
    <row r="70062" s="12" customFormat="1" x14ac:dyDescent="0.25"/>
    <row r="70063" s="12" customFormat="1" x14ac:dyDescent="0.25"/>
    <row r="70064" s="12" customFormat="1" x14ac:dyDescent="0.25"/>
    <row r="70065" s="12" customFormat="1" x14ac:dyDescent="0.25"/>
    <row r="70066" s="12" customFormat="1" x14ac:dyDescent="0.25"/>
    <row r="70067" s="12" customFormat="1" x14ac:dyDescent="0.25"/>
    <row r="70068" s="12" customFormat="1" x14ac:dyDescent="0.25"/>
    <row r="70069" s="12" customFormat="1" x14ac:dyDescent="0.25"/>
    <row r="70070" s="12" customFormat="1" x14ac:dyDescent="0.25"/>
    <row r="70071" s="12" customFormat="1" x14ac:dyDescent="0.25"/>
    <row r="70072" s="12" customFormat="1" x14ac:dyDescent="0.25"/>
    <row r="70073" s="12" customFormat="1" x14ac:dyDescent="0.25"/>
    <row r="70074" s="12" customFormat="1" x14ac:dyDescent="0.25"/>
    <row r="70075" s="12" customFormat="1" x14ac:dyDescent="0.25"/>
    <row r="70076" s="12" customFormat="1" x14ac:dyDescent="0.25"/>
    <row r="70077" s="12" customFormat="1" x14ac:dyDescent="0.25"/>
    <row r="70078" s="12" customFormat="1" x14ac:dyDescent="0.25"/>
    <row r="70079" s="12" customFormat="1" x14ac:dyDescent="0.25"/>
    <row r="70080" s="12" customFormat="1" x14ac:dyDescent="0.25"/>
    <row r="70081" s="12" customFormat="1" x14ac:dyDescent="0.25"/>
    <row r="70082" s="12" customFormat="1" x14ac:dyDescent="0.25"/>
    <row r="70083" s="12" customFormat="1" x14ac:dyDescent="0.25"/>
    <row r="70084" s="12" customFormat="1" x14ac:dyDescent="0.25"/>
    <row r="70085" s="12" customFormat="1" x14ac:dyDescent="0.25"/>
    <row r="70086" s="12" customFormat="1" x14ac:dyDescent="0.25"/>
    <row r="70087" s="12" customFormat="1" x14ac:dyDescent="0.25"/>
    <row r="70088" s="12" customFormat="1" x14ac:dyDescent="0.25"/>
    <row r="70089" s="12" customFormat="1" x14ac:dyDescent="0.25"/>
    <row r="70090" s="12" customFormat="1" x14ac:dyDescent="0.25"/>
    <row r="70091" s="12" customFormat="1" x14ac:dyDescent="0.25"/>
    <row r="70092" s="12" customFormat="1" x14ac:dyDescent="0.25"/>
    <row r="70093" s="12" customFormat="1" x14ac:dyDescent="0.25"/>
    <row r="70094" s="12" customFormat="1" x14ac:dyDescent="0.25"/>
    <row r="70095" s="12" customFormat="1" x14ac:dyDescent="0.25"/>
    <row r="70096" s="12" customFormat="1" x14ac:dyDescent="0.25"/>
    <row r="70097" s="12" customFormat="1" x14ac:dyDescent="0.25"/>
    <row r="70098" s="12" customFormat="1" x14ac:dyDescent="0.25"/>
    <row r="70099" s="12" customFormat="1" x14ac:dyDescent="0.25"/>
    <row r="70100" s="12" customFormat="1" x14ac:dyDescent="0.25"/>
    <row r="70101" s="12" customFormat="1" x14ac:dyDescent="0.25"/>
    <row r="70102" s="12" customFormat="1" x14ac:dyDescent="0.25"/>
    <row r="70103" s="12" customFormat="1" x14ac:dyDescent="0.25"/>
    <row r="70104" s="12" customFormat="1" x14ac:dyDescent="0.25"/>
    <row r="70105" s="12" customFormat="1" x14ac:dyDescent="0.25"/>
    <row r="70106" s="12" customFormat="1" x14ac:dyDescent="0.25"/>
    <row r="70107" s="12" customFormat="1" x14ac:dyDescent="0.25"/>
    <row r="70108" s="12" customFormat="1" x14ac:dyDescent="0.25"/>
    <row r="70109" s="12" customFormat="1" x14ac:dyDescent="0.25"/>
    <row r="70110" s="12" customFormat="1" x14ac:dyDescent="0.25"/>
    <row r="70111" s="12" customFormat="1" x14ac:dyDescent="0.25"/>
    <row r="70112" s="12" customFormat="1" x14ac:dyDescent="0.25"/>
    <row r="70113" s="12" customFormat="1" x14ac:dyDescent="0.25"/>
    <row r="70114" s="12" customFormat="1" x14ac:dyDescent="0.25"/>
    <row r="70115" s="12" customFormat="1" x14ac:dyDescent="0.25"/>
    <row r="70116" s="12" customFormat="1" x14ac:dyDescent="0.25"/>
    <row r="70117" s="12" customFormat="1" x14ac:dyDescent="0.25"/>
    <row r="70118" s="12" customFormat="1" x14ac:dyDescent="0.25"/>
    <row r="70119" s="12" customFormat="1" x14ac:dyDescent="0.25"/>
    <row r="70120" s="12" customFormat="1" x14ac:dyDescent="0.25"/>
    <row r="70121" s="12" customFormat="1" x14ac:dyDescent="0.25"/>
    <row r="70122" s="12" customFormat="1" x14ac:dyDescent="0.25"/>
    <row r="70123" s="12" customFormat="1" x14ac:dyDescent="0.25"/>
    <row r="70124" s="12" customFormat="1" x14ac:dyDescent="0.25"/>
    <row r="70125" s="12" customFormat="1" x14ac:dyDescent="0.25"/>
    <row r="70126" s="12" customFormat="1" x14ac:dyDescent="0.25"/>
    <row r="70127" s="12" customFormat="1" x14ac:dyDescent="0.25"/>
    <row r="70128" s="12" customFormat="1" x14ac:dyDescent="0.25"/>
    <row r="70129" s="12" customFormat="1" x14ac:dyDescent="0.25"/>
    <row r="70130" s="12" customFormat="1" x14ac:dyDescent="0.25"/>
    <row r="70131" s="12" customFormat="1" x14ac:dyDescent="0.25"/>
    <row r="70132" s="12" customFormat="1" x14ac:dyDescent="0.25"/>
    <row r="70133" s="12" customFormat="1" x14ac:dyDescent="0.25"/>
    <row r="70134" s="12" customFormat="1" x14ac:dyDescent="0.25"/>
    <row r="70135" s="12" customFormat="1" x14ac:dyDescent="0.25"/>
    <row r="70136" s="12" customFormat="1" x14ac:dyDescent="0.25"/>
    <row r="70137" s="12" customFormat="1" x14ac:dyDescent="0.25"/>
    <row r="70138" s="12" customFormat="1" x14ac:dyDescent="0.25"/>
    <row r="70139" s="12" customFormat="1" x14ac:dyDescent="0.25"/>
    <row r="70140" s="12" customFormat="1" x14ac:dyDescent="0.25"/>
    <row r="70141" s="12" customFormat="1" x14ac:dyDescent="0.25"/>
    <row r="70142" s="12" customFormat="1" x14ac:dyDescent="0.25"/>
    <row r="70143" s="12" customFormat="1" x14ac:dyDescent="0.25"/>
    <row r="70144" s="12" customFormat="1" x14ac:dyDescent="0.25"/>
    <row r="70145" s="12" customFormat="1" x14ac:dyDescent="0.25"/>
    <row r="70146" s="12" customFormat="1" x14ac:dyDescent="0.25"/>
    <row r="70147" s="12" customFormat="1" x14ac:dyDescent="0.25"/>
    <row r="70148" s="12" customFormat="1" x14ac:dyDescent="0.25"/>
    <row r="70149" s="12" customFormat="1" x14ac:dyDescent="0.25"/>
    <row r="70150" s="12" customFormat="1" x14ac:dyDescent="0.25"/>
    <row r="70151" s="12" customFormat="1" x14ac:dyDescent="0.25"/>
    <row r="70152" s="12" customFormat="1" x14ac:dyDescent="0.25"/>
    <row r="70153" s="12" customFormat="1" x14ac:dyDescent="0.25"/>
    <row r="70154" s="12" customFormat="1" x14ac:dyDescent="0.25"/>
    <row r="70155" s="12" customFormat="1" x14ac:dyDescent="0.25"/>
    <row r="70156" s="12" customFormat="1" x14ac:dyDescent="0.25"/>
    <row r="70157" s="12" customFormat="1" x14ac:dyDescent="0.25"/>
    <row r="70158" s="12" customFormat="1" x14ac:dyDescent="0.25"/>
    <row r="70159" s="12" customFormat="1" x14ac:dyDescent="0.25"/>
    <row r="70160" s="12" customFormat="1" x14ac:dyDescent="0.25"/>
    <row r="70161" s="12" customFormat="1" x14ac:dyDescent="0.25"/>
    <row r="70162" s="12" customFormat="1" x14ac:dyDescent="0.25"/>
    <row r="70163" s="12" customFormat="1" x14ac:dyDescent="0.25"/>
    <row r="70164" s="12" customFormat="1" x14ac:dyDescent="0.25"/>
    <row r="70165" s="12" customFormat="1" x14ac:dyDescent="0.25"/>
    <row r="70166" s="12" customFormat="1" x14ac:dyDescent="0.25"/>
    <row r="70167" s="12" customFormat="1" x14ac:dyDescent="0.25"/>
    <row r="70168" s="12" customFormat="1" x14ac:dyDescent="0.25"/>
    <row r="70169" s="12" customFormat="1" x14ac:dyDescent="0.25"/>
    <row r="70170" s="12" customFormat="1" x14ac:dyDescent="0.25"/>
    <row r="70171" s="12" customFormat="1" x14ac:dyDescent="0.25"/>
    <row r="70172" s="12" customFormat="1" x14ac:dyDescent="0.25"/>
    <row r="70173" s="12" customFormat="1" x14ac:dyDescent="0.25"/>
    <row r="70174" s="12" customFormat="1" x14ac:dyDescent="0.25"/>
    <row r="70175" s="12" customFormat="1" x14ac:dyDescent="0.25"/>
    <row r="70176" s="12" customFormat="1" x14ac:dyDescent="0.25"/>
    <row r="70177" s="12" customFormat="1" x14ac:dyDescent="0.25"/>
    <row r="70178" s="12" customFormat="1" x14ac:dyDescent="0.25"/>
    <row r="70179" s="12" customFormat="1" x14ac:dyDescent="0.25"/>
    <row r="70180" s="12" customFormat="1" x14ac:dyDescent="0.25"/>
    <row r="70181" s="12" customFormat="1" x14ac:dyDescent="0.25"/>
    <row r="70182" s="12" customFormat="1" x14ac:dyDescent="0.25"/>
    <row r="70183" s="12" customFormat="1" x14ac:dyDescent="0.25"/>
    <row r="70184" s="12" customFormat="1" x14ac:dyDescent="0.25"/>
    <row r="70185" s="12" customFormat="1" x14ac:dyDescent="0.25"/>
    <row r="70186" s="12" customFormat="1" x14ac:dyDescent="0.25"/>
    <row r="70187" s="12" customFormat="1" x14ac:dyDescent="0.25"/>
    <row r="70188" s="12" customFormat="1" x14ac:dyDescent="0.25"/>
    <row r="70189" s="12" customFormat="1" x14ac:dyDescent="0.25"/>
    <row r="70190" s="12" customFormat="1" x14ac:dyDescent="0.25"/>
    <row r="70191" s="12" customFormat="1" x14ac:dyDescent="0.25"/>
    <row r="70192" s="12" customFormat="1" x14ac:dyDescent="0.25"/>
    <row r="70193" s="12" customFormat="1" x14ac:dyDescent="0.25"/>
    <row r="70194" s="12" customFormat="1" x14ac:dyDescent="0.25"/>
    <row r="70195" s="12" customFormat="1" x14ac:dyDescent="0.25"/>
    <row r="70196" s="12" customFormat="1" x14ac:dyDescent="0.25"/>
    <row r="70197" s="12" customFormat="1" x14ac:dyDescent="0.25"/>
    <row r="70198" s="12" customFormat="1" x14ac:dyDescent="0.25"/>
    <row r="70199" s="12" customFormat="1" x14ac:dyDescent="0.25"/>
    <row r="70200" s="12" customFormat="1" x14ac:dyDescent="0.25"/>
    <row r="70201" s="12" customFormat="1" x14ac:dyDescent="0.25"/>
    <row r="70202" s="12" customFormat="1" x14ac:dyDescent="0.25"/>
    <row r="70203" s="12" customFormat="1" x14ac:dyDescent="0.25"/>
    <row r="70204" s="12" customFormat="1" x14ac:dyDescent="0.25"/>
    <row r="70205" s="12" customFormat="1" x14ac:dyDescent="0.25"/>
    <row r="70206" s="12" customFormat="1" x14ac:dyDescent="0.25"/>
    <row r="70207" s="12" customFormat="1" x14ac:dyDescent="0.25"/>
    <row r="70208" s="12" customFormat="1" x14ac:dyDescent="0.25"/>
    <row r="70209" s="12" customFormat="1" x14ac:dyDescent="0.25"/>
    <row r="70210" s="12" customFormat="1" x14ac:dyDescent="0.25"/>
    <row r="70211" s="12" customFormat="1" x14ac:dyDescent="0.25"/>
    <row r="70212" s="12" customFormat="1" x14ac:dyDescent="0.25"/>
    <row r="70213" s="12" customFormat="1" x14ac:dyDescent="0.25"/>
    <row r="70214" s="12" customFormat="1" x14ac:dyDescent="0.25"/>
    <row r="70215" s="12" customFormat="1" x14ac:dyDescent="0.25"/>
    <row r="70216" s="12" customFormat="1" x14ac:dyDescent="0.25"/>
    <row r="70217" s="12" customFormat="1" x14ac:dyDescent="0.25"/>
    <row r="70218" s="12" customFormat="1" x14ac:dyDescent="0.25"/>
    <row r="70219" s="12" customFormat="1" x14ac:dyDescent="0.25"/>
    <row r="70220" s="12" customFormat="1" x14ac:dyDescent="0.25"/>
    <row r="70221" s="12" customFormat="1" x14ac:dyDescent="0.25"/>
    <row r="70222" s="12" customFormat="1" x14ac:dyDescent="0.25"/>
    <row r="70223" s="12" customFormat="1" x14ac:dyDescent="0.25"/>
    <row r="70224" s="12" customFormat="1" x14ac:dyDescent="0.25"/>
    <row r="70225" s="12" customFormat="1" x14ac:dyDescent="0.25"/>
    <row r="70226" s="12" customFormat="1" x14ac:dyDescent="0.25"/>
    <row r="70227" s="12" customFormat="1" x14ac:dyDescent="0.25"/>
    <row r="70228" s="12" customFormat="1" x14ac:dyDescent="0.25"/>
    <row r="70229" s="12" customFormat="1" x14ac:dyDescent="0.25"/>
    <row r="70230" s="12" customFormat="1" x14ac:dyDescent="0.25"/>
    <row r="70231" s="12" customFormat="1" x14ac:dyDescent="0.25"/>
    <row r="70232" s="12" customFormat="1" x14ac:dyDescent="0.25"/>
    <row r="70233" s="12" customFormat="1" x14ac:dyDescent="0.25"/>
    <row r="70234" s="12" customFormat="1" x14ac:dyDescent="0.25"/>
    <row r="70235" s="12" customFormat="1" x14ac:dyDescent="0.25"/>
    <row r="70236" s="12" customFormat="1" x14ac:dyDescent="0.25"/>
    <row r="70237" s="12" customFormat="1" x14ac:dyDescent="0.25"/>
    <row r="70238" s="12" customFormat="1" x14ac:dyDescent="0.25"/>
    <row r="70239" s="12" customFormat="1" x14ac:dyDescent="0.25"/>
    <row r="70240" s="12" customFormat="1" x14ac:dyDescent="0.25"/>
    <row r="70241" s="12" customFormat="1" x14ac:dyDescent="0.25"/>
    <row r="70242" s="12" customFormat="1" x14ac:dyDescent="0.25"/>
    <row r="70243" s="12" customFormat="1" x14ac:dyDescent="0.25"/>
    <row r="70244" s="12" customFormat="1" x14ac:dyDescent="0.25"/>
    <row r="70245" s="12" customFormat="1" x14ac:dyDescent="0.25"/>
    <row r="70246" s="12" customFormat="1" x14ac:dyDescent="0.25"/>
    <row r="70247" s="12" customFormat="1" x14ac:dyDescent="0.25"/>
    <row r="70248" s="12" customFormat="1" x14ac:dyDescent="0.25"/>
    <row r="70249" s="12" customFormat="1" x14ac:dyDescent="0.25"/>
    <row r="70250" s="12" customFormat="1" x14ac:dyDescent="0.25"/>
    <row r="70251" s="12" customFormat="1" x14ac:dyDescent="0.25"/>
    <row r="70252" s="12" customFormat="1" x14ac:dyDescent="0.25"/>
    <row r="70253" s="12" customFormat="1" x14ac:dyDescent="0.25"/>
    <row r="70254" s="12" customFormat="1" x14ac:dyDescent="0.25"/>
    <row r="70255" s="12" customFormat="1" x14ac:dyDescent="0.25"/>
    <row r="70256" s="12" customFormat="1" x14ac:dyDescent="0.25"/>
    <row r="70257" s="12" customFormat="1" x14ac:dyDescent="0.25"/>
    <row r="70258" s="12" customFormat="1" x14ac:dyDescent="0.25"/>
    <row r="70259" s="12" customFormat="1" x14ac:dyDescent="0.25"/>
    <row r="70260" s="12" customFormat="1" x14ac:dyDescent="0.25"/>
    <row r="70261" s="12" customFormat="1" x14ac:dyDescent="0.25"/>
    <row r="70262" s="12" customFormat="1" x14ac:dyDescent="0.25"/>
    <row r="70263" s="12" customFormat="1" x14ac:dyDescent="0.25"/>
    <row r="70264" s="12" customFormat="1" x14ac:dyDescent="0.25"/>
    <row r="70265" s="12" customFormat="1" x14ac:dyDescent="0.25"/>
    <row r="70266" s="12" customFormat="1" x14ac:dyDescent="0.25"/>
    <row r="70267" s="12" customFormat="1" x14ac:dyDescent="0.25"/>
    <row r="70268" s="12" customFormat="1" x14ac:dyDescent="0.25"/>
    <row r="70269" s="12" customFormat="1" x14ac:dyDescent="0.25"/>
    <row r="70270" s="12" customFormat="1" x14ac:dyDescent="0.25"/>
    <row r="70271" s="12" customFormat="1" x14ac:dyDescent="0.25"/>
    <row r="70272" s="12" customFormat="1" x14ac:dyDescent="0.25"/>
    <row r="70273" s="12" customFormat="1" x14ac:dyDescent="0.25"/>
    <row r="70274" s="12" customFormat="1" x14ac:dyDescent="0.25"/>
    <row r="70275" s="12" customFormat="1" x14ac:dyDescent="0.25"/>
    <row r="70276" s="12" customFormat="1" x14ac:dyDescent="0.25"/>
    <row r="70277" s="12" customFormat="1" x14ac:dyDescent="0.25"/>
    <row r="70278" s="12" customFormat="1" x14ac:dyDescent="0.25"/>
    <row r="70279" s="12" customFormat="1" x14ac:dyDescent="0.25"/>
    <row r="70280" s="12" customFormat="1" x14ac:dyDescent="0.25"/>
    <row r="70281" s="12" customFormat="1" x14ac:dyDescent="0.25"/>
    <row r="70282" s="12" customFormat="1" x14ac:dyDescent="0.25"/>
    <row r="70283" s="12" customFormat="1" x14ac:dyDescent="0.25"/>
    <row r="70284" s="12" customFormat="1" x14ac:dyDescent="0.25"/>
    <row r="70285" s="12" customFormat="1" x14ac:dyDescent="0.25"/>
    <row r="70286" s="12" customFormat="1" x14ac:dyDescent="0.25"/>
    <row r="70287" s="12" customFormat="1" x14ac:dyDescent="0.25"/>
    <row r="70288" s="12" customFormat="1" x14ac:dyDescent="0.25"/>
    <row r="70289" s="12" customFormat="1" x14ac:dyDescent="0.25"/>
    <row r="70290" s="12" customFormat="1" x14ac:dyDescent="0.25"/>
    <row r="70291" s="12" customFormat="1" x14ac:dyDescent="0.25"/>
    <row r="70292" s="12" customFormat="1" x14ac:dyDescent="0.25"/>
    <row r="70293" s="12" customFormat="1" x14ac:dyDescent="0.25"/>
    <row r="70294" s="12" customFormat="1" x14ac:dyDescent="0.25"/>
    <row r="70295" s="12" customFormat="1" x14ac:dyDescent="0.25"/>
    <row r="70296" s="12" customFormat="1" x14ac:dyDescent="0.25"/>
    <row r="70297" s="12" customFormat="1" x14ac:dyDescent="0.25"/>
    <row r="70298" s="12" customFormat="1" x14ac:dyDescent="0.25"/>
    <row r="70299" s="12" customFormat="1" x14ac:dyDescent="0.25"/>
    <row r="70300" s="12" customFormat="1" x14ac:dyDescent="0.25"/>
    <row r="70301" s="12" customFormat="1" x14ac:dyDescent="0.25"/>
    <row r="70302" s="12" customFormat="1" x14ac:dyDescent="0.25"/>
    <row r="70303" s="12" customFormat="1" x14ac:dyDescent="0.25"/>
    <row r="70304" s="12" customFormat="1" x14ac:dyDescent="0.25"/>
    <row r="70305" s="12" customFormat="1" x14ac:dyDescent="0.25"/>
    <row r="70306" s="12" customFormat="1" x14ac:dyDescent="0.25"/>
    <row r="70307" s="12" customFormat="1" x14ac:dyDescent="0.25"/>
    <row r="70308" s="12" customFormat="1" x14ac:dyDescent="0.25"/>
    <row r="70309" s="12" customFormat="1" x14ac:dyDescent="0.25"/>
    <row r="70310" s="12" customFormat="1" x14ac:dyDescent="0.25"/>
    <row r="70311" s="12" customFormat="1" x14ac:dyDescent="0.25"/>
    <row r="70312" s="12" customFormat="1" x14ac:dyDescent="0.25"/>
    <row r="70313" s="12" customFormat="1" x14ac:dyDescent="0.25"/>
    <row r="70314" s="12" customFormat="1" x14ac:dyDescent="0.25"/>
    <row r="70315" s="12" customFormat="1" x14ac:dyDescent="0.25"/>
    <row r="70316" s="12" customFormat="1" x14ac:dyDescent="0.25"/>
    <row r="70317" s="12" customFormat="1" x14ac:dyDescent="0.25"/>
    <row r="70318" s="12" customFormat="1" x14ac:dyDescent="0.25"/>
    <row r="70319" s="12" customFormat="1" x14ac:dyDescent="0.25"/>
    <row r="70320" s="12" customFormat="1" x14ac:dyDescent="0.25"/>
    <row r="70321" s="12" customFormat="1" x14ac:dyDescent="0.25"/>
    <row r="70322" s="12" customFormat="1" x14ac:dyDescent="0.25"/>
    <row r="70323" s="12" customFormat="1" x14ac:dyDescent="0.25"/>
    <row r="70324" s="12" customFormat="1" x14ac:dyDescent="0.25"/>
    <row r="70325" s="12" customFormat="1" x14ac:dyDescent="0.25"/>
    <row r="70326" s="12" customFormat="1" x14ac:dyDescent="0.25"/>
    <row r="70327" s="12" customFormat="1" x14ac:dyDescent="0.25"/>
    <row r="70328" s="12" customFormat="1" x14ac:dyDescent="0.25"/>
    <row r="70329" s="12" customFormat="1" x14ac:dyDescent="0.25"/>
    <row r="70330" s="12" customFormat="1" x14ac:dyDescent="0.25"/>
    <row r="70331" s="12" customFormat="1" x14ac:dyDescent="0.25"/>
    <row r="70332" s="12" customFormat="1" x14ac:dyDescent="0.25"/>
    <row r="70333" s="12" customFormat="1" x14ac:dyDescent="0.25"/>
    <row r="70334" s="12" customFormat="1" x14ac:dyDescent="0.25"/>
    <row r="70335" s="12" customFormat="1" x14ac:dyDescent="0.25"/>
    <row r="70336" s="12" customFormat="1" x14ac:dyDescent="0.25"/>
    <row r="70337" s="12" customFormat="1" x14ac:dyDescent="0.25"/>
    <row r="70338" s="12" customFormat="1" x14ac:dyDescent="0.25"/>
    <row r="70339" s="12" customFormat="1" x14ac:dyDescent="0.25"/>
    <row r="70340" s="12" customFormat="1" x14ac:dyDescent="0.25"/>
    <row r="70341" s="12" customFormat="1" x14ac:dyDescent="0.25"/>
    <row r="70342" s="12" customFormat="1" x14ac:dyDescent="0.25"/>
    <row r="70343" s="12" customFormat="1" x14ac:dyDescent="0.25"/>
    <row r="70344" s="12" customFormat="1" x14ac:dyDescent="0.25"/>
    <row r="70345" s="12" customFormat="1" x14ac:dyDescent="0.25"/>
    <row r="70346" s="12" customFormat="1" x14ac:dyDescent="0.25"/>
    <row r="70347" s="12" customFormat="1" x14ac:dyDescent="0.25"/>
    <row r="70348" s="12" customFormat="1" x14ac:dyDescent="0.25"/>
    <row r="70349" s="12" customFormat="1" x14ac:dyDescent="0.25"/>
    <row r="70350" s="12" customFormat="1" x14ac:dyDescent="0.25"/>
    <row r="70351" s="12" customFormat="1" x14ac:dyDescent="0.25"/>
    <row r="70352" s="12" customFormat="1" x14ac:dyDescent="0.25"/>
    <row r="70353" s="12" customFormat="1" x14ac:dyDescent="0.25"/>
    <row r="70354" s="12" customFormat="1" x14ac:dyDescent="0.25"/>
    <row r="70355" s="12" customFormat="1" x14ac:dyDescent="0.25"/>
    <row r="70356" s="12" customFormat="1" x14ac:dyDescent="0.25"/>
    <row r="70357" s="12" customFormat="1" x14ac:dyDescent="0.25"/>
    <row r="70358" s="12" customFormat="1" x14ac:dyDescent="0.25"/>
    <row r="70359" s="12" customFormat="1" x14ac:dyDescent="0.25"/>
    <row r="70360" s="12" customFormat="1" x14ac:dyDescent="0.25"/>
    <row r="70361" s="12" customFormat="1" x14ac:dyDescent="0.25"/>
    <row r="70362" s="12" customFormat="1" x14ac:dyDescent="0.25"/>
    <row r="70363" s="12" customFormat="1" x14ac:dyDescent="0.25"/>
    <row r="70364" s="12" customFormat="1" x14ac:dyDescent="0.25"/>
    <row r="70365" s="12" customFormat="1" x14ac:dyDescent="0.25"/>
    <row r="70366" s="12" customFormat="1" x14ac:dyDescent="0.25"/>
    <row r="70367" s="12" customFormat="1" x14ac:dyDescent="0.25"/>
    <row r="70368" s="12" customFormat="1" x14ac:dyDescent="0.25"/>
    <row r="70369" s="12" customFormat="1" x14ac:dyDescent="0.25"/>
    <row r="70370" s="12" customFormat="1" x14ac:dyDescent="0.25"/>
    <row r="70371" s="12" customFormat="1" x14ac:dyDescent="0.25"/>
    <row r="70372" s="12" customFormat="1" x14ac:dyDescent="0.25"/>
    <row r="70373" s="12" customFormat="1" x14ac:dyDescent="0.25"/>
    <row r="70374" s="12" customFormat="1" x14ac:dyDescent="0.25"/>
    <row r="70375" s="12" customFormat="1" x14ac:dyDescent="0.25"/>
    <row r="70376" s="12" customFormat="1" x14ac:dyDescent="0.25"/>
    <row r="70377" s="12" customFormat="1" x14ac:dyDescent="0.25"/>
    <row r="70378" s="12" customFormat="1" x14ac:dyDescent="0.25"/>
    <row r="70379" s="12" customFormat="1" x14ac:dyDescent="0.25"/>
    <row r="70380" s="12" customFormat="1" x14ac:dyDescent="0.25"/>
    <row r="70381" s="12" customFormat="1" x14ac:dyDescent="0.25"/>
    <row r="70382" s="12" customFormat="1" x14ac:dyDescent="0.25"/>
    <row r="70383" s="12" customFormat="1" x14ac:dyDescent="0.25"/>
    <row r="70384" s="12" customFormat="1" x14ac:dyDescent="0.25"/>
    <row r="70385" s="12" customFormat="1" x14ac:dyDescent="0.25"/>
    <row r="70386" s="12" customFormat="1" x14ac:dyDescent="0.25"/>
    <row r="70387" s="12" customFormat="1" x14ac:dyDescent="0.25"/>
    <row r="70388" s="12" customFormat="1" x14ac:dyDescent="0.25"/>
    <row r="70389" s="12" customFormat="1" x14ac:dyDescent="0.25"/>
    <row r="70390" s="12" customFormat="1" x14ac:dyDescent="0.25"/>
    <row r="70391" s="12" customFormat="1" x14ac:dyDescent="0.25"/>
    <row r="70392" s="12" customFormat="1" x14ac:dyDescent="0.25"/>
    <row r="70393" s="12" customFormat="1" x14ac:dyDescent="0.25"/>
    <row r="70394" s="12" customFormat="1" x14ac:dyDescent="0.25"/>
    <row r="70395" s="12" customFormat="1" x14ac:dyDescent="0.25"/>
    <row r="70396" s="12" customFormat="1" x14ac:dyDescent="0.25"/>
    <row r="70397" s="12" customFormat="1" x14ac:dyDescent="0.25"/>
    <row r="70398" s="12" customFormat="1" x14ac:dyDescent="0.25"/>
    <row r="70399" s="12" customFormat="1" x14ac:dyDescent="0.25"/>
    <row r="70400" s="12" customFormat="1" x14ac:dyDescent="0.25"/>
    <row r="70401" s="12" customFormat="1" x14ac:dyDescent="0.25"/>
    <row r="70402" s="12" customFormat="1" x14ac:dyDescent="0.25"/>
    <row r="70403" s="12" customFormat="1" x14ac:dyDescent="0.25"/>
    <row r="70404" s="12" customFormat="1" x14ac:dyDescent="0.25"/>
    <row r="70405" s="12" customFormat="1" x14ac:dyDescent="0.25"/>
    <row r="70406" s="12" customFormat="1" x14ac:dyDescent="0.25"/>
    <row r="70407" s="12" customFormat="1" x14ac:dyDescent="0.25"/>
    <row r="70408" s="12" customFormat="1" x14ac:dyDescent="0.25"/>
    <row r="70409" s="12" customFormat="1" x14ac:dyDescent="0.25"/>
    <row r="70410" s="12" customFormat="1" x14ac:dyDescent="0.25"/>
    <row r="70411" s="12" customFormat="1" x14ac:dyDescent="0.25"/>
    <row r="70412" s="12" customFormat="1" x14ac:dyDescent="0.25"/>
    <row r="70413" s="12" customFormat="1" x14ac:dyDescent="0.25"/>
    <row r="70414" s="12" customFormat="1" x14ac:dyDescent="0.25"/>
    <row r="70415" s="12" customFormat="1" x14ac:dyDescent="0.25"/>
    <row r="70416" s="12" customFormat="1" x14ac:dyDescent="0.25"/>
    <row r="70417" s="12" customFormat="1" x14ac:dyDescent="0.25"/>
    <row r="70418" s="12" customFormat="1" x14ac:dyDescent="0.25"/>
    <row r="70419" s="12" customFormat="1" x14ac:dyDescent="0.25"/>
    <row r="70420" s="12" customFormat="1" x14ac:dyDescent="0.25"/>
    <row r="70421" s="12" customFormat="1" x14ac:dyDescent="0.25"/>
    <row r="70422" s="12" customFormat="1" x14ac:dyDescent="0.25"/>
    <row r="70423" s="12" customFormat="1" x14ac:dyDescent="0.25"/>
    <row r="70424" s="12" customFormat="1" x14ac:dyDescent="0.25"/>
    <row r="70425" s="12" customFormat="1" x14ac:dyDescent="0.25"/>
    <row r="70426" s="12" customFormat="1" x14ac:dyDescent="0.25"/>
    <row r="70427" s="12" customFormat="1" x14ac:dyDescent="0.25"/>
    <row r="70428" s="12" customFormat="1" x14ac:dyDescent="0.25"/>
    <row r="70429" s="12" customFormat="1" x14ac:dyDescent="0.25"/>
    <row r="70430" s="12" customFormat="1" x14ac:dyDescent="0.25"/>
    <row r="70431" s="12" customFormat="1" x14ac:dyDescent="0.25"/>
    <row r="70432" s="12" customFormat="1" x14ac:dyDescent="0.25"/>
    <row r="70433" s="12" customFormat="1" x14ac:dyDescent="0.25"/>
    <row r="70434" s="12" customFormat="1" x14ac:dyDescent="0.25"/>
    <row r="70435" s="12" customFormat="1" x14ac:dyDescent="0.25"/>
    <row r="70436" s="12" customFormat="1" x14ac:dyDescent="0.25"/>
    <row r="70437" s="12" customFormat="1" x14ac:dyDescent="0.25"/>
    <row r="70438" s="12" customFormat="1" x14ac:dyDescent="0.25"/>
    <row r="70439" s="12" customFormat="1" x14ac:dyDescent="0.25"/>
    <row r="70440" s="12" customFormat="1" x14ac:dyDescent="0.25"/>
    <row r="70441" s="12" customFormat="1" x14ac:dyDescent="0.25"/>
    <row r="70442" s="12" customFormat="1" x14ac:dyDescent="0.25"/>
    <row r="70443" s="12" customFormat="1" x14ac:dyDescent="0.25"/>
    <row r="70444" s="12" customFormat="1" x14ac:dyDescent="0.25"/>
    <row r="70445" s="12" customFormat="1" x14ac:dyDescent="0.25"/>
    <row r="70446" s="12" customFormat="1" x14ac:dyDescent="0.25"/>
    <row r="70447" s="12" customFormat="1" x14ac:dyDescent="0.25"/>
    <row r="70448" s="12" customFormat="1" x14ac:dyDescent="0.25"/>
    <row r="70449" s="12" customFormat="1" x14ac:dyDescent="0.25"/>
    <row r="70450" s="12" customFormat="1" x14ac:dyDescent="0.25"/>
    <row r="70451" s="12" customFormat="1" x14ac:dyDescent="0.25"/>
    <row r="70452" s="12" customFormat="1" x14ac:dyDescent="0.25"/>
    <row r="70453" s="12" customFormat="1" x14ac:dyDescent="0.25"/>
    <row r="70454" s="12" customFormat="1" x14ac:dyDescent="0.25"/>
    <row r="70455" s="12" customFormat="1" x14ac:dyDescent="0.25"/>
    <row r="70456" s="12" customFormat="1" x14ac:dyDescent="0.25"/>
    <row r="70457" s="12" customFormat="1" x14ac:dyDescent="0.25"/>
    <row r="70458" s="12" customFormat="1" x14ac:dyDescent="0.25"/>
    <row r="70459" s="12" customFormat="1" x14ac:dyDescent="0.25"/>
    <row r="70460" s="12" customFormat="1" x14ac:dyDescent="0.25"/>
    <row r="70461" s="12" customFormat="1" x14ac:dyDescent="0.25"/>
    <row r="70462" s="12" customFormat="1" x14ac:dyDescent="0.25"/>
    <row r="70463" s="12" customFormat="1" x14ac:dyDescent="0.25"/>
    <row r="70464" s="12" customFormat="1" x14ac:dyDescent="0.25"/>
    <row r="70465" s="12" customFormat="1" x14ac:dyDescent="0.25"/>
    <row r="70466" s="12" customFormat="1" x14ac:dyDescent="0.25"/>
    <row r="70467" s="12" customFormat="1" x14ac:dyDescent="0.25"/>
    <row r="70468" s="12" customFormat="1" x14ac:dyDescent="0.25"/>
    <row r="70469" s="12" customFormat="1" x14ac:dyDescent="0.25"/>
    <row r="70470" s="12" customFormat="1" x14ac:dyDescent="0.25"/>
    <row r="70471" s="12" customFormat="1" x14ac:dyDescent="0.25"/>
    <row r="70472" s="12" customFormat="1" x14ac:dyDescent="0.25"/>
    <row r="70473" s="12" customFormat="1" x14ac:dyDescent="0.25"/>
    <row r="70474" s="12" customFormat="1" x14ac:dyDescent="0.25"/>
    <row r="70475" s="12" customFormat="1" x14ac:dyDescent="0.25"/>
    <row r="70476" s="12" customFormat="1" x14ac:dyDescent="0.25"/>
    <row r="70477" s="12" customFormat="1" x14ac:dyDescent="0.25"/>
    <row r="70478" s="12" customFormat="1" x14ac:dyDescent="0.25"/>
    <row r="70479" s="12" customFormat="1" x14ac:dyDescent="0.25"/>
    <row r="70480" s="12" customFormat="1" x14ac:dyDescent="0.25"/>
    <row r="70481" s="12" customFormat="1" x14ac:dyDescent="0.25"/>
    <row r="70482" s="12" customFormat="1" x14ac:dyDescent="0.25"/>
    <row r="70483" s="12" customFormat="1" x14ac:dyDescent="0.25"/>
    <row r="70484" s="12" customFormat="1" x14ac:dyDescent="0.25"/>
    <row r="70485" s="12" customFormat="1" x14ac:dyDescent="0.25"/>
    <row r="70486" s="12" customFormat="1" x14ac:dyDescent="0.25"/>
    <row r="70487" s="12" customFormat="1" x14ac:dyDescent="0.25"/>
    <row r="70488" s="12" customFormat="1" x14ac:dyDescent="0.25"/>
    <row r="70489" s="12" customFormat="1" x14ac:dyDescent="0.25"/>
    <row r="70490" s="12" customFormat="1" x14ac:dyDescent="0.25"/>
    <row r="70491" s="12" customFormat="1" x14ac:dyDescent="0.25"/>
    <row r="70492" s="12" customFormat="1" x14ac:dyDescent="0.25"/>
    <row r="70493" s="12" customFormat="1" x14ac:dyDescent="0.25"/>
    <row r="70494" s="12" customFormat="1" x14ac:dyDescent="0.25"/>
    <row r="70495" s="12" customFormat="1" x14ac:dyDescent="0.25"/>
    <row r="70496" s="12" customFormat="1" x14ac:dyDescent="0.25"/>
    <row r="70497" s="12" customFormat="1" x14ac:dyDescent="0.25"/>
    <row r="70498" s="12" customFormat="1" x14ac:dyDescent="0.25"/>
    <row r="70499" s="12" customFormat="1" x14ac:dyDescent="0.25"/>
    <row r="70500" s="12" customFormat="1" x14ac:dyDescent="0.25"/>
    <row r="70501" s="12" customFormat="1" x14ac:dyDescent="0.25"/>
    <row r="70502" s="12" customFormat="1" x14ac:dyDescent="0.25"/>
    <row r="70503" s="12" customFormat="1" x14ac:dyDescent="0.25"/>
    <row r="70504" s="12" customFormat="1" x14ac:dyDescent="0.25"/>
    <row r="70505" s="12" customFormat="1" x14ac:dyDescent="0.25"/>
    <row r="70506" s="12" customFormat="1" x14ac:dyDescent="0.25"/>
    <row r="70507" s="12" customFormat="1" x14ac:dyDescent="0.25"/>
    <row r="70508" s="12" customFormat="1" x14ac:dyDescent="0.25"/>
    <row r="70509" s="12" customFormat="1" x14ac:dyDescent="0.25"/>
    <row r="70510" s="12" customFormat="1" x14ac:dyDescent="0.25"/>
    <row r="70511" s="12" customFormat="1" x14ac:dyDescent="0.25"/>
    <row r="70512" s="12" customFormat="1" x14ac:dyDescent="0.25"/>
    <row r="70513" s="12" customFormat="1" x14ac:dyDescent="0.25"/>
    <row r="70514" s="12" customFormat="1" x14ac:dyDescent="0.25"/>
    <row r="70515" s="12" customFormat="1" x14ac:dyDescent="0.25"/>
    <row r="70516" s="12" customFormat="1" x14ac:dyDescent="0.25"/>
    <row r="70517" s="12" customFormat="1" x14ac:dyDescent="0.25"/>
    <row r="70518" s="12" customFormat="1" x14ac:dyDescent="0.25"/>
    <row r="70519" s="12" customFormat="1" x14ac:dyDescent="0.25"/>
    <row r="70520" s="12" customFormat="1" x14ac:dyDescent="0.25"/>
    <row r="70521" s="12" customFormat="1" x14ac:dyDescent="0.25"/>
    <row r="70522" s="12" customFormat="1" x14ac:dyDescent="0.25"/>
    <row r="70523" s="12" customFormat="1" x14ac:dyDescent="0.25"/>
    <row r="70524" s="12" customFormat="1" x14ac:dyDescent="0.25"/>
    <row r="70525" s="12" customFormat="1" x14ac:dyDescent="0.25"/>
    <row r="70526" s="12" customFormat="1" x14ac:dyDescent="0.25"/>
    <row r="70527" s="12" customFormat="1" x14ac:dyDescent="0.25"/>
    <row r="70528" s="12" customFormat="1" x14ac:dyDescent="0.25"/>
    <row r="70529" s="12" customFormat="1" x14ac:dyDescent="0.25"/>
    <row r="70530" s="12" customFormat="1" x14ac:dyDescent="0.25"/>
    <row r="70531" s="12" customFormat="1" x14ac:dyDescent="0.25"/>
    <row r="70532" s="12" customFormat="1" x14ac:dyDescent="0.25"/>
    <row r="70533" s="12" customFormat="1" x14ac:dyDescent="0.25"/>
    <row r="70534" s="12" customFormat="1" x14ac:dyDescent="0.25"/>
    <row r="70535" s="12" customFormat="1" x14ac:dyDescent="0.25"/>
    <row r="70536" s="12" customFormat="1" x14ac:dyDescent="0.25"/>
    <row r="70537" s="12" customFormat="1" x14ac:dyDescent="0.25"/>
    <row r="70538" s="12" customFormat="1" x14ac:dyDescent="0.25"/>
    <row r="70539" s="12" customFormat="1" x14ac:dyDescent="0.25"/>
    <row r="70540" s="12" customFormat="1" x14ac:dyDescent="0.25"/>
    <row r="70541" s="12" customFormat="1" x14ac:dyDescent="0.25"/>
    <row r="70542" s="12" customFormat="1" x14ac:dyDescent="0.25"/>
    <row r="70543" s="12" customFormat="1" x14ac:dyDescent="0.25"/>
    <row r="70544" s="12" customFormat="1" x14ac:dyDescent="0.25"/>
    <row r="70545" s="12" customFormat="1" x14ac:dyDescent="0.25"/>
    <row r="70546" s="12" customFormat="1" x14ac:dyDescent="0.25"/>
    <row r="70547" s="12" customFormat="1" x14ac:dyDescent="0.25"/>
    <row r="70548" s="12" customFormat="1" x14ac:dyDescent="0.25"/>
    <row r="70549" s="12" customFormat="1" x14ac:dyDescent="0.25"/>
    <row r="70550" s="12" customFormat="1" x14ac:dyDescent="0.25"/>
    <row r="70551" s="12" customFormat="1" x14ac:dyDescent="0.25"/>
    <row r="70552" s="12" customFormat="1" x14ac:dyDescent="0.25"/>
    <row r="70553" s="12" customFormat="1" x14ac:dyDescent="0.25"/>
    <row r="70554" s="12" customFormat="1" x14ac:dyDescent="0.25"/>
    <row r="70555" s="12" customFormat="1" x14ac:dyDescent="0.25"/>
    <row r="70556" s="12" customFormat="1" x14ac:dyDescent="0.25"/>
    <row r="70557" s="12" customFormat="1" x14ac:dyDescent="0.25"/>
    <row r="70558" s="12" customFormat="1" x14ac:dyDescent="0.25"/>
    <row r="70559" s="12" customFormat="1" x14ac:dyDescent="0.25"/>
    <row r="70560" s="12" customFormat="1" x14ac:dyDescent="0.25"/>
    <row r="70561" s="12" customFormat="1" x14ac:dyDescent="0.25"/>
    <row r="70562" s="12" customFormat="1" x14ac:dyDescent="0.25"/>
    <row r="70563" s="12" customFormat="1" x14ac:dyDescent="0.25"/>
    <row r="70564" s="12" customFormat="1" x14ac:dyDescent="0.25"/>
    <row r="70565" s="12" customFormat="1" x14ac:dyDescent="0.25"/>
    <row r="70566" s="12" customFormat="1" x14ac:dyDescent="0.25"/>
    <row r="70567" s="12" customFormat="1" x14ac:dyDescent="0.25"/>
    <row r="70568" s="12" customFormat="1" x14ac:dyDescent="0.25"/>
    <row r="70569" s="12" customFormat="1" x14ac:dyDescent="0.25"/>
    <row r="70570" s="12" customFormat="1" x14ac:dyDescent="0.25"/>
    <row r="70571" s="12" customFormat="1" x14ac:dyDescent="0.25"/>
    <row r="70572" s="12" customFormat="1" x14ac:dyDescent="0.25"/>
    <row r="70573" s="12" customFormat="1" x14ac:dyDescent="0.25"/>
    <row r="70574" s="12" customFormat="1" x14ac:dyDescent="0.25"/>
    <row r="70575" s="12" customFormat="1" x14ac:dyDescent="0.25"/>
    <row r="70576" s="12" customFormat="1" x14ac:dyDescent="0.25"/>
    <row r="70577" s="12" customFormat="1" x14ac:dyDescent="0.25"/>
    <row r="70578" s="12" customFormat="1" x14ac:dyDescent="0.25"/>
    <row r="70579" s="12" customFormat="1" x14ac:dyDescent="0.25"/>
    <row r="70580" s="12" customFormat="1" x14ac:dyDescent="0.25"/>
    <row r="70581" s="12" customFormat="1" x14ac:dyDescent="0.25"/>
    <row r="70582" s="12" customFormat="1" x14ac:dyDescent="0.25"/>
    <row r="70583" s="12" customFormat="1" x14ac:dyDescent="0.25"/>
    <row r="70584" s="12" customFormat="1" x14ac:dyDescent="0.25"/>
    <row r="70585" s="12" customFormat="1" x14ac:dyDescent="0.25"/>
    <row r="70586" s="12" customFormat="1" x14ac:dyDescent="0.25"/>
    <row r="70587" s="12" customFormat="1" x14ac:dyDescent="0.25"/>
    <row r="70588" s="12" customFormat="1" x14ac:dyDescent="0.25"/>
    <row r="70589" s="12" customFormat="1" x14ac:dyDescent="0.25"/>
    <row r="70590" s="12" customFormat="1" x14ac:dyDescent="0.25"/>
    <row r="70591" s="12" customFormat="1" x14ac:dyDescent="0.25"/>
    <row r="70592" s="12" customFormat="1" x14ac:dyDescent="0.25"/>
    <row r="70593" s="12" customFormat="1" x14ac:dyDescent="0.25"/>
    <row r="70594" s="12" customFormat="1" x14ac:dyDescent="0.25"/>
    <row r="70595" s="12" customFormat="1" x14ac:dyDescent="0.25"/>
    <row r="70596" s="12" customFormat="1" x14ac:dyDescent="0.25"/>
    <row r="70597" s="12" customFormat="1" x14ac:dyDescent="0.25"/>
    <row r="70598" s="12" customFormat="1" x14ac:dyDescent="0.25"/>
    <row r="70599" s="12" customFormat="1" x14ac:dyDescent="0.25"/>
    <row r="70600" s="12" customFormat="1" x14ac:dyDescent="0.25"/>
    <row r="70601" s="12" customFormat="1" x14ac:dyDescent="0.25"/>
    <row r="70602" s="12" customFormat="1" x14ac:dyDescent="0.25"/>
    <row r="70603" s="12" customFormat="1" x14ac:dyDescent="0.25"/>
    <row r="70604" s="12" customFormat="1" x14ac:dyDescent="0.25"/>
    <row r="70605" s="12" customFormat="1" x14ac:dyDescent="0.25"/>
    <row r="70606" s="12" customFormat="1" x14ac:dyDescent="0.25"/>
    <row r="70607" s="12" customFormat="1" x14ac:dyDescent="0.25"/>
    <row r="70608" s="12" customFormat="1" x14ac:dyDescent="0.25"/>
    <row r="70609" s="12" customFormat="1" x14ac:dyDescent="0.25"/>
    <row r="70610" s="12" customFormat="1" x14ac:dyDescent="0.25"/>
    <row r="70611" s="12" customFormat="1" x14ac:dyDescent="0.25"/>
    <row r="70612" s="12" customFormat="1" x14ac:dyDescent="0.25"/>
    <row r="70613" s="12" customFormat="1" x14ac:dyDescent="0.25"/>
    <row r="70614" s="12" customFormat="1" x14ac:dyDescent="0.25"/>
    <row r="70615" s="12" customFormat="1" x14ac:dyDescent="0.25"/>
    <row r="70616" s="12" customFormat="1" x14ac:dyDescent="0.25"/>
    <row r="70617" s="12" customFormat="1" x14ac:dyDescent="0.25"/>
    <row r="70618" s="12" customFormat="1" x14ac:dyDescent="0.25"/>
    <row r="70619" s="12" customFormat="1" x14ac:dyDescent="0.25"/>
    <row r="70620" s="12" customFormat="1" x14ac:dyDescent="0.25"/>
    <row r="70621" s="12" customFormat="1" x14ac:dyDescent="0.25"/>
    <row r="70622" s="12" customFormat="1" x14ac:dyDescent="0.25"/>
    <row r="70623" s="12" customFormat="1" x14ac:dyDescent="0.25"/>
    <row r="70624" s="12" customFormat="1" x14ac:dyDescent="0.25"/>
    <row r="70625" s="12" customFormat="1" x14ac:dyDescent="0.25"/>
    <row r="70626" s="12" customFormat="1" x14ac:dyDescent="0.25"/>
    <row r="70627" s="12" customFormat="1" x14ac:dyDescent="0.25"/>
    <row r="70628" s="12" customFormat="1" x14ac:dyDescent="0.25"/>
    <row r="70629" s="12" customFormat="1" x14ac:dyDescent="0.25"/>
    <row r="70630" s="12" customFormat="1" x14ac:dyDescent="0.25"/>
    <row r="70631" s="12" customFormat="1" x14ac:dyDescent="0.25"/>
    <row r="70632" s="12" customFormat="1" x14ac:dyDescent="0.25"/>
    <row r="70633" s="12" customFormat="1" x14ac:dyDescent="0.25"/>
    <row r="70634" s="12" customFormat="1" x14ac:dyDescent="0.25"/>
    <row r="70635" s="12" customFormat="1" x14ac:dyDescent="0.25"/>
    <row r="70636" s="12" customFormat="1" x14ac:dyDescent="0.25"/>
    <row r="70637" s="12" customFormat="1" x14ac:dyDescent="0.25"/>
    <row r="70638" s="12" customFormat="1" x14ac:dyDescent="0.25"/>
    <row r="70639" s="12" customFormat="1" x14ac:dyDescent="0.25"/>
    <row r="70640" s="12" customFormat="1" x14ac:dyDescent="0.25"/>
    <row r="70641" s="12" customFormat="1" x14ac:dyDescent="0.25"/>
    <row r="70642" s="12" customFormat="1" x14ac:dyDescent="0.25"/>
    <row r="70643" s="12" customFormat="1" x14ac:dyDescent="0.25"/>
    <row r="70644" s="12" customFormat="1" x14ac:dyDescent="0.25"/>
    <row r="70645" s="12" customFormat="1" x14ac:dyDescent="0.25"/>
    <row r="70646" s="12" customFormat="1" x14ac:dyDescent="0.25"/>
    <row r="70647" s="12" customFormat="1" x14ac:dyDescent="0.25"/>
    <row r="70648" s="12" customFormat="1" x14ac:dyDescent="0.25"/>
    <row r="70649" s="12" customFormat="1" x14ac:dyDescent="0.25"/>
    <row r="70650" s="12" customFormat="1" x14ac:dyDescent="0.25"/>
    <row r="70651" s="12" customFormat="1" x14ac:dyDescent="0.25"/>
    <row r="70652" s="12" customFormat="1" x14ac:dyDescent="0.25"/>
    <row r="70653" s="12" customFormat="1" x14ac:dyDescent="0.25"/>
    <row r="70654" s="12" customFormat="1" x14ac:dyDescent="0.25"/>
    <row r="70655" s="12" customFormat="1" x14ac:dyDescent="0.25"/>
    <row r="70656" s="12" customFormat="1" x14ac:dyDescent="0.25"/>
    <row r="70657" s="12" customFormat="1" x14ac:dyDescent="0.25"/>
    <row r="70658" s="12" customFormat="1" x14ac:dyDescent="0.25"/>
    <row r="70659" s="12" customFormat="1" x14ac:dyDescent="0.25"/>
    <row r="70660" s="12" customFormat="1" x14ac:dyDescent="0.25"/>
    <row r="70661" s="12" customFormat="1" x14ac:dyDescent="0.25"/>
    <row r="70662" s="12" customFormat="1" x14ac:dyDescent="0.25"/>
    <row r="70663" s="12" customFormat="1" x14ac:dyDescent="0.25"/>
    <row r="70664" s="12" customFormat="1" x14ac:dyDescent="0.25"/>
    <row r="70665" s="12" customFormat="1" x14ac:dyDescent="0.25"/>
    <row r="70666" s="12" customFormat="1" x14ac:dyDescent="0.25"/>
    <row r="70667" s="12" customFormat="1" x14ac:dyDescent="0.25"/>
    <row r="70668" s="12" customFormat="1" x14ac:dyDescent="0.25"/>
    <row r="70669" s="12" customFormat="1" x14ac:dyDescent="0.25"/>
    <row r="70670" s="12" customFormat="1" x14ac:dyDescent="0.25"/>
    <row r="70671" s="12" customFormat="1" x14ac:dyDescent="0.25"/>
    <row r="70672" s="12" customFormat="1" x14ac:dyDescent="0.25"/>
    <row r="70673" s="12" customFormat="1" x14ac:dyDescent="0.25"/>
    <row r="70674" s="12" customFormat="1" x14ac:dyDescent="0.25"/>
    <row r="70675" s="12" customFormat="1" x14ac:dyDescent="0.25"/>
    <row r="70676" s="12" customFormat="1" x14ac:dyDescent="0.25"/>
    <row r="70677" s="12" customFormat="1" x14ac:dyDescent="0.25"/>
    <row r="70678" s="12" customFormat="1" x14ac:dyDescent="0.25"/>
    <row r="70679" s="12" customFormat="1" x14ac:dyDescent="0.25"/>
    <row r="70680" s="12" customFormat="1" x14ac:dyDescent="0.25"/>
    <row r="70681" s="12" customFormat="1" x14ac:dyDescent="0.25"/>
    <row r="70682" s="12" customFormat="1" x14ac:dyDescent="0.25"/>
    <row r="70683" s="12" customFormat="1" x14ac:dyDescent="0.25"/>
    <row r="70684" s="12" customFormat="1" x14ac:dyDescent="0.25"/>
    <row r="70685" s="12" customFormat="1" x14ac:dyDescent="0.25"/>
    <row r="70686" s="12" customFormat="1" x14ac:dyDescent="0.25"/>
    <row r="70687" s="12" customFormat="1" x14ac:dyDescent="0.25"/>
    <row r="70688" s="12" customFormat="1" x14ac:dyDescent="0.25"/>
    <row r="70689" s="12" customFormat="1" x14ac:dyDescent="0.25"/>
    <row r="70690" s="12" customFormat="1" x14ac:dyDescent="0.25"/>
    <row r="70691" s="12" customFormat="1" x14ac:dyDescent="0.25"/>
    <row r="70692" s="12" customFormat="1" x14ac:dyDescent="0.25"/>
    <row r="70693" s="12" customFormat="1" x14ac:dyDescent="0.25"/>
    <row r="70694" s="12" customFormat="1" x14ac:dyDescent="0.25"/>
    <row r="70695" s="12" customFormat="1" x14ac:dyDescent="0.25"/>
    <row r="70696" s="12" customFormat="1" x14ac:dyDescent="0.25"/>
    <row r="70697" s="12" customFormat="1" x14ac:dyDescent="0.25"/>
    <row r="70698" s="12" customFormat="1" x14ac:dyDescent="0.25"/>
    <row r="70699" s="12" customFormat="1" x14ac:dyDescent="0.25"/>
    <row r="70700" s="12" customFormat="1" x14ac:dyDescent="0.25"/>
    <row r="70701" s="12" customFormat="1" x14ac:dyDescent="0.25"/>
    <row r="70702" s="12" customFormat="1" x14ac:dyDescent="0.25"/>
    <row r="70703" s="12" customFormat="1" x14ac:dyDescent="0.25"/>
    <row r="70704" s="12" customFormat="1" x14ac:dyDescent="0.25"/>
    <row r="70705" s="12" customFormat="1" x14ac:dyDescent="0.25"/>
    <row r="70706" s="12" customFormat="1" x14ac:dyDescent="0.25"/>
    <row r="70707" s="12" customFormat="1" x14ac:dyDescent="0.25"/>
    <row r="70708" s="12" customFormat="1" x14ac:dyDescent="0.25"/>
    <row r="70709" s="12" customFormat="1" x14ac:dyDescent="0.25"/>
    <row r="70710" s="12" customFormat="1" x14ac:dyDescent="0.25"/>
    <row r="70711" s="12" customFormat="1" x14ac:dyDescent="0.25"/>
    <row r="70712" s="12" customFormat="1" x14ac:dyDescent="0.25"/>
    <row r="70713" s="12" customFormat="1" x14ac:dyDescent="0.25"/>
    <row r="70714" s="12" customFormat="1" x14ac:dyDescent="0.25"/>
    <row r="70715" s="12" customFormat="1" x14ac:dyDescent="0.25"/>
    <row r="70716" s="12" customFormat="1" x14ac:dyDescent="0.25"/>
    <row r="70717" s="12" customFormat="1" x14ac:dyDescent="0.25"/>
    <row r="70718" s="12" customFormat="1" x14ac:dyDescent="0.25"/>
    <row r="70719" s="12" customFormat="1" x14ac:dyDescent="0.25"/>
    <row r="70720" s="12" customFormat="1" x14ac:dyDescent="0.25"/>
    <row r="70721" s="12" customFormat="1" x14ac:dyDescent="0.25"/>
    <row r="70722" s="12" customFormat="1" x14ac:dyDescent="0.25"/>
    <row r="70723" s="12" customFormat="1" x14ac:dyDescent="0.25"/>
    <row r="70724" s="12" customFormat="1" x14ac:dyDescent="0.25"/>
    <row r="70725" s="12" customFormat="1" x14ac:dyDescent="0.25"/>
    <row r="70726" s="12" customFormat="1" x14ac:dyDescent="0.25"/>
    <row r="70727" s="12" customFormat="1" x14ac:dyDescent="0.25"/>
    <row r="70728" s="12" customFormat="1" x14ac:dyDescent="0.25"/>
    <row r="70729" s="12" customFormat="1" x14ac:dyDescent="0.25"/>
    <row r="70730" s="12" customFormat="1" x14ac:dyDescent="0.25"/>
    <row r="70731" s="12" customFormat="1" x14ac:dyDescent="0.25"/>
    <row r="70732" s="12" customFormat="1" x14ac:dyDescent="0.25"/>
    <row r="70733" s="12" customFormat="1" x14ac:dyDescent="0.25"/>
    <row r="70734" s="12" customFormat="1" x14ac:dyDescent="0.25"/>
    <row r="70735" s="12" customFormat="1" x14ac:dyDescent="0.25"/>
    <row r="70736" s="12" customFormat="1" x14ac:dyDescent="0.25"/>
    <row r="70737" s="12" customFormat="1" x14ac:dyDescent="0.25"/>
    <row r="70738" s="12" customFormat="1" x14ac:dyDescent="0.25"/>
    <row r="70739" s="12" customFormat="1" x14ac:dyDescent="0.25"/>
    <row r="70740" s="12" customFormat="1" x14ac:dyDescent="0.25"/>
    <row r="70741" s="12" customFormat="1" x14ac:dyDescent="0.25"/>
    <row r="70742" s="12" customFormat="1" x14ac:dyDescent="0.25"/>
    <row r="70743" s="12" customFormat="1" x14ac:dyDescent="0.25"/>
    <row r="70744" s="12" customFormat="1" x14ac:dyDescent="0.25"/>
    <row r="70745" s="12" customFormat="1" x14ac:dyDescent="0.25"/>
    <row r="70746" s="12" customFormat="1" x14ac:dyDescent="0.25"/>
    <row r="70747" s="12" customFormat="1" x14ac:dyDescent="0.25"/>
    <row r="70748" s="12" customFormat="1" x14ac:dyDescent="0.25"/>
    <row r="70749" s="12" customFormat="1" x14ac:dyDescent="0.25"/>
    <row r="70750" s="12" customFormat="1" x14ac:dyDescent="0.25"/>
    <row r="70751" s="12" customFormat="1" x14ac:dyDescent="0.25"/>
    <row r="70752" s="12" customFormat="1" x14ac:dyDescent="0.25"/>
    <row r="70753" s="12" customFormat="1" x14ac:dyDescent="0.25"/>
    <row r="70754" s="12" customFormat="1" x14ac:dyDescent="0.25"/>
    <row r="70755" s="12" customFormat="1" x14ac:dyDescent="0.25"/>
    <row r="70756" s="12" customFormat="1" x14ac:dyDescent="0.25"/>
    <row r="70757" s="12" customFormat="1" x14ac:dyDescent="0.25"/>
    <row r="70758" s="12" customFormat="1" x14ac:dyDescent="0.25"/>
    <row r="70759" s="12" customFormat="1" x14ac:dyDescent="0.25"/>
    <row r="70760" s="12" customFormat="1" x14ac:dyDescent="0.25"/>
    <row r="70761" s="12" customFormat="1" x14ac:dyDescent="0.25"/>
    <row r="70762" s="12" customFormat="1" x14ac:dyDescent="0.25"/>
    <row r="70763" s="12" customFormat="1" x14ac:dyDescent="0.25"/>
    <row r="70764" s="12" customFormat="1" x14ac:dyDescent="0.25"/>
    <row r="70765" s="12" customFormat="1" x14ac:dyDescent="0.25"/>
    <row r="70766" s="12" customFormat="1" x14ac:dyDescent="0.25"/>
    <row r="70767" s="12" customFormat="1" x14ac:dyDescent="0.25"/>
    <row r="70768" s="12" customFormat="1" x14ac:dyDescent="0.25"/>
    <row r="70769" s="12" customFormat="1" x14ac:dyDescent="0.25"/>
    <row r="70770" s="12" customFormat="1" x14ac:dyDescent="0.25"/>
    <row r="70771" s="12" customFormat="1" x14ac:dyDescent="0.25"/>
    <row r="70772" s="12" customFormat="1" x14ac:dyDescent="0.25"/>
    <row r="70773" s="12" customFormat="1" x14ac:dyDescent="0.25"/>
    <row r="70774" s="12" customFormat="1" x14ac:dyDescent="0.25"/>
    <row r="70775" s="12" customFormat="1" x14ac:dyDescent="0.25"/>
    <row r="70776" s="12" customFormat="1" x14ac:dyDescent="0.25"/>
    <row r="70777" s="12" customFormat="1" x14ac:dyDescent="0.25"/>
    <row r="70778" s="12" customFormat="1" x14ac:dyDescent="0.25"/>
    <row r="70779" s="12" customFormat="1" x14ac:dyDescent="0.25"/>
    <row r="70780" s="12" customFormat="1" x14ac:dyDescent="0.25"/>
    <row r="70781" s="12" customFormat="1" x14ac:dyDescent="0.25"/>
    <row r="70782" s="12" customFormat="1" x14ac:dyDescent="0.25"/>
    <row r="70783" s="12" customFormat="1" x14ac:dyDescent="0.25"/>
    <row r="70784" s="12" customFormat="1" x14ac:dyDescent="0.25"/>
    <row r="70785" s="12" customFormat="1" x14ac:dyDescent="0.25"/>
    <row r="70786" s="12" customFormat="1" x14ac:dyDescent="0.25"/>
    <row r="70787" s="12" customFormat="1" x14ac:dyDescent="0.25"/>
    <row r="70788" s="12" customFormat="1" x14ac:dyDescent="0.25"/>
    <row r="70789" s="12" customFormat="1" x14ac:dyDescent="0.25"/>
    <row r="70790" s="12" customFormat="1" x14ac:dyDescent="0.25"/>
    <row r="70791" s="12" customFormat="1" x14ac:dyDescent="0.25"/>
    <row r="70792" s="12" customFormat="1" x14ac:dyDescent="0.25"/>
    <row r="70793" s="12" customFormat="1" x14ac:dyDescent="0.25"/>
    <row r="70794" s="12" customFormat="1" x14ac:dyDescent="0.25"/>
    <row r="70795" s="12" customFormat="1" x14ac:dyDescent="0.25"/>
    <row r="70796" s="12" customFormat="1" x14ac:dyDescent="0.25"/>
    <row r="70797" s="12" customFormat="1" x14ac:dyDescent="0.25"/>
    <row r="70798" s="12" customFormat="1" x14ac:dyDescent="0.25"/>
    <row r="70799" s="12" customFormat="1" x14ac:dyDescent="0.25"/>
    <row r="70800" s="12" customFormat="1" x14ac:dyDescent="0.25"/>
    <row r="70801" s="12" customFormat="1" x14ac:dyDescent="0.25"/>
    <row r="70802" s="12" customFormat="1" x14ac:dyDescent="0.25"/>
    <row r="70803" s="12" customFormat="1" x14ac:dyDescent="0.25"/>
    <row r="70804" s="12" customFormat="1" x14ac:dyDescent="0.25"/>
    <row r="70805" s="12" customFormat="1" x14ac:dyDescent="0.25"/>
    <row r="70806" s="12" customFormat="1" x14ac:dyDescent="0.25"/>
    <row r="70807" s="12" customFormat="1" x14ac:dyDescent="0.25"/>
    <row r="70808" s="12" customFormat="1" x14ac:dyDescent="0.25"/>
    <row r="70809" s="12" customFormat="1" x14ac:dyDescent="0.25"/>
    <row r="70810" s="12" customFormat="1" x14ac:dyDescent="0.25"/>
    <row r="70811" s="12" customFormat="1" x14ac:dyDescent="0.25"/>
    <row r="70812" s="12" customFormat="1" x14ac:dyDescent="0.25"/>
    <row r="70813" s="12" customFormat="1" x14ac:dyDescent="0.25"/>
    <row r="70814" s="12" customFormat="1" x14ac:dyDescent="0.25"/>
    <row r="70815" s="12" customFormat="1" x14ac:dyDescent="0.25"/>
    <row r="70816" s="12" customFormat="1" x14ac:dyDescent="0.25"/>
    <row r="70817" s="12" customFormat="1" x14ac:dyDescent="0.25"/>
    <row r="70818" s="12" customFormat="1" x14ac:dyDescent="0.25"/>
    <row r="70819" s="12" customFormat="1" x14ac:dyDescent="0.25"/>
    <row r="70820" s="12" customFormat="1" x14ac:dyDescent="0.25"/>
    <row r="70821" s="12" customFormat="1" x14ac:dyDescent="0.25"/>
    <row r="70822" s="12" customFormat="1" x14ac:dyDescent="0.25"/>
    <row r="70823" s="12" customFormat="1" x14ac:dyDescent="0.25"/>
    <row r="70824" s="12" customFormat="1" x14ac:dyDescent="0.25"/>
    <row r="70825" s="12" customFormat="1" x14ac:dyDescent="0.25"/>
    <row r="70826" s="12" customFormat="1" x14ac:dyDescent="0.25"/>
    <row r="70827" s="12" customFormat="1" x14ac:dyDescent="0.25"/>
    <row r="70828" s="12" customFormat="1" x14ac:dyDescent="0.25"/>
    <row r="70829" s="12" customFormat="1" x14ac:dyDescent="0.25"/>
    <row r="70830" s="12" customFormat="1" x14ac:dyDescent="0.25"/>
    <row r="70831" s="12" customFormat="1" x14ac:dyDescent="0.25"/>
    <row r="70832" s="12" customFormat="1" x14ac:dyDescent="0.25"/>
    <row r="70833" s="12" customFormat="1" x14ac:dyDescent="0.25"/>
    <row r="70834" s="12" customFormat="1" x14ac:dyDescent="0.25"/>
    <row r="70835" s="12" customFormat="1" x14ac:dyDescent="0.25"/>
    <row r="70836" s="12" customFormat="1" x14ac:dyDescent="0.25"/>
    <row r="70837" s="12" customFormat="1" x14ac:dyDescent="0.25"/>
    <row r="70838" s="12" customFormat="1" x14ac:dyDescent="0.25"/>
    <row r="70839" s="12" customFormat="1" x14ac:dyDescent="0.25"/>
    <row r="70840" s="12" customFormat="1" x14ac:dyDescent="0.25"/>
    <row r="70841" s="12" customFormat="1" x14ac:dyDescent="0.25"/>
    <row r="70842" s="12" customFormat="1" x14ac:dyDescent="0.25"/>
    <row r="70843" s="12" customFormat="1" x14ac:dyDescent="0.25"/>
    <row r="70844" s="12" customFormat="1" x14ac:dyDescent="0.25"/>
    <row r="70845" s="12" customFormat="1" x14ac:dyDescent="0.25"/>
    <row r="70846" s="12" customFormat="1" x14ac:dyDescent="0.25"/>
    <row r="70847" s="12" customFormat="1" x14ac:dyDescent="0.25"/>
    <row r="70848" s="12" customFormat="1" x14ac:dyDescent="0.25"/>
    <row r="70849" s="12" customFormat="1" x14ac:dyDescent="0.25"/>
    <row r="70850" s="12" customFormat="1" x14ac:dyDescent="0.25"/>
    <row r="70851" s="12" customFormat="1" x14ac:dyDescent="0.25"/>
    <row r="70852" s="12" customFormat="1" x14ac:dyDescent="0.25"/>
    <row r="70853" s="12" customFormat="1" x14ac:dyDescent="0.25"/>
    <row r="70854" s="12" customFormat="1" x14ac:dyDescent="0.25"/>
    <row r="70855" s="12" customFormat="1" x14ac:dyDescent="0.25"/>
    <row r="70856" s="12" customFormat="1" x14ac:dyDescent="0.25"/>
    <row r="70857" s="12" customFormat="1" x14ac:dyDescent="0.25"/>
    <row r="70858" s="12" customFormat="1" x14ac:dyDescent="0.25"/>
    <row r="70859" s="12" customFormat="1" x14ac:dyDescent="0.25"/>
    <row r="70860" s="12" customFormat="1" x14ac:dyDescent="0.25"/>
    <row r="70861" s="12" customFormat="1" x14ac:dyDescent="0.25"/>
    <row r="70862" s="12" customFormat="1" x14ac:dyDescent="0.25"/>
    <row r="70863" s="12" customFormat="1" x14ac:dyDescent="0.25"/>
    <row r="70864" s="12" customFormat="1" x14ac:dyDescent="0.25"/>
    <row r="70865" s="12" customFormat="1" x14ac:dyDescent="0.25"/>
    <row r="70866" s="12" customFormat="1" x14ac:dyDescent="0.25"/>
    <row r="70867" s="12" customFormat="1" x14ac:dyDescent="0.25"/>
    <row r="70868" s="12" customFormat="1" x14ac:dyDescent="0.25"/>
    <row r="70869" s="12" customFormat="1" x14ac:dyDescent="0.25"/>
    <row r="70870" s="12" customFormat="1" x14ac:dyDescent="0.25"/>
    <row r="70871" s="12" customFormat="1" x14ac:dyDescent="0.25"/>
    <row r="70872" s="12" customFormat="1" x14ac:dyDescent="0.25"/>
    <row r="70873" s="12" customFormat="1" x14ac:dyDescent="0.25"/>
    <row r="70874" s="12" customFormat="1" x14ac:dyDescent="0.25"/>
    <row r="70875" s="12" customFormat="1" x14ac:dyDescent="0.25"/>
    <row r="70876" s="12" customFormat="1" x14ac:dyDescent="0.25"/>
    <row r="70877" s="12" customFormat="1" x14ac:dyDescent="0.25"/>
    <row r="70878" s="12" customFormat="1" x14ac:dyDescent="0.25"/>
    <row r="70879" s="12" customFormat="1" x14ac:dyDescent="0.25"/>
    <row r="70880" s="12" customFormat="1" x14ac:dyDescent="0.25"/>
    <row r="70881" s="12" customFormat="1" x14ac:dyDescent="0.25"/>
    <row r="70882" s="12" customFormat="1" x14ac:dyDescent="0.25"/>
    <row r="70883" s="12" customFormat="1" x14ac:dyDescent="0.25"/>
    <row r="70884" s="12" customFormat="1" x14ac:dyDescent="0.25"/>
    <row r="70885" s="12" customFormat="1" x14ac:dyDescent="0.25"/>
    <row r="70886" s="12" customFormat="1" x14ac:dyDescent="0.25"/>
    <row r="70887" s="12" customFormat="1" x14ac:dyDescent="0.25"/>
    <row r="70888" s="12" customFormat="1" x14ac:dyDescent="0.25"/>
    <row r="70889" s="12" customFormat="1" x14ac:dyDescent="0.25"/>
    <row r="70890" s="12" customFormat="1" x14ac:dyDescent="0.25"/>
    <row r="70891" s="12" customFormat="1" x14ac:dyDescent="0.25"/>
    <row r="70892" s="12" customFormat="1" x14ac:dyDescent="0.25"/>
    <row r="70893" s="12" customFormat="1" x14ac:dyDescent="0.25"/>
    <row r="70894" s="12" customFormat="1" x14ac:dyDescent="0.25"/>
    <row r="70895" s="12" customFormat="1" x14ac:dyDescent="0.25"/>
    <row r="70896" s="12" customFormat="1" x14ac:dyDescent="0.25"/>
    <row r="70897" s="12" customFormat="1" x14ac:dyDescent="0.25"/>
    <row r="70898" s="12" customFormat="1" x14ac:dyDescent="0.25"/>
    <row r="70899" s="12" customFormat="1" x14ac:dyDescent="0.25"/>
    <row r="70900" s="12" customFormat="1" x14ac:dyDescent="0.25"/>
    <row r="70901" s="12" customFormat="1" x14ac:dyDescent="0.25"/>
    <row r="70902" s="12" customFormat="1" x14ac:dyDescent="0.25"/>
    <row r="70903" s="12" customFormat="1" x14ac:dyDescent="0.25"/>
    <row r="70904" s="12" customFormat="1" x14ac:dyDescent="0.25"/>
    <row r="70905" s="12" customFormat="1" x14ac:dyDescent="0.25"/>
    <row r="70906" s="12" customFormat="1" x14ac:dyDescent="0.25"/>
    <row r="70907" s="12" customFormat="1" x14ac:dyDescent="0.25"/>
    <row r="70908" s="12" customFormat="1" x14ac:dyDescent="0.25"/>
    <row r="70909" s="12" customFormat="1" x14ac:dyDescent="0.25"/>
    <row r="70910" s="12" customFormat="1" x14ac:dyDescent="0.25"/>
    <row r="70911" s="12" customFormat="1" x14ac:dyDescent="0.25"/>
    <row r="70912" s="12" customFormat="1" x14ac:dyDescent="0.25"/>
    <row r="70913" s="12" customFormat="1" x14ac:dyDescent="0.25"/>
    <row r="70914" s="12" customFormat="1" x14ac:dyDescent="0.25"/>
    <row r="70915" s="12" customFormat="1" x14ac:dyDescent="0.25"/>
    <row r="70916" s="12" customFormat="1" x14ac:dyDescent="0.25"/>
    <row r="70917" s="12" customFormat="1" x14ac:dyDescent="0.25"/>
    <row r="70918" s="12" customFormat="1" x14ac:dyDescent="0.25"/>
    <row r="70919" s="12" customFormat="1" x14ac:dyDescent="0.25"/>
    <row r="70920" s="12" customFormat="1" x14ac:dyDescent="0.25"/>
    <row r="70921" s="12" customFormat="1" x14ac:dyDescent="0.25"/>
    <row r="70922" s="12" customFormat="1" x14ac:dyDescent="0.25"/>
    <row r="70923" s="12" customFormat="1" x14ac:dyDescent="0.25"/>
    <row r="70924" s="12" customFormat="1" x14ac:dyDescent="0.25"/>
    <row r="70925" s="12" customFormat="1" x14ac:dyDescent="0.25"/>
    <row r="70926" s="12" customFormat="1" x14ac:dyDescent="0.25"/>
    <row r="70927" s="12" customFormat="1" x14ac:dyDescent="0.25"/>
    <row r="70928" s="12" customFormat="1" x14ac:dyDescent="0.25"/>
    <row r="70929" s="12" customFormat="1" x14ac:dyDescent="0.25"/>
    <row r="70930" s="12" customFormat="1" x14ac:dyDescent="0.25"/>
    <row r="70931" s="12" customFormat="1" x14ac:dyDescent="0.25"/>
    <row r="70932" s="12" customFormat="1" x14ac:dyDescent="0.25"/>
    <row r="70933" s="12" customFormat="1" x14ac:dyDescent="0.25"/>
    <row r="70934" s="12" customFormat="1" x14ac:dyDescent="0.25"/>
    <row r="70935" s="12" customFormat="1" x14ac:dyDescent="0.25"/>
    <row r="70936" s="12" customFormat="1" x14ac:dyDescent="0.25"/>
    <row r="70937" s="12" customFormat="1" x14ac:dyDescent="0.25"/>
    <row r="70938" s="12" customFormat="1" x14ac:dyDescent="0.25"/>
    <row r="70939" s="12" customFormat="1" x14ac:dyDescent="0.25"/>
    <row r="70940" s="12" customFormat="1" x14ac:dyDescent="0.25"/>
    <row r="70941" s="12" customFormat="1" x14ac:dyDescent="0.25"/>
    <row r="70942" s="12" customFormat="1" x14ac:dyDescent="0.25"/>
    <row r="70943" s="12" customFormat="1" x14ac:dyDescent="0.25"/>
    <row r="70944" s="12" customFormat="1" x14ac:dyDescent="0.25"/>
    <row r="70945" s="12" customFormat="1" x14ac:dyDescent="0.25"/>
    <row r="70946" s="12" customFormat="1" x14ac:dyDescent="0.25"/>
    <row r="70947" s="12" customFormat="1" x14ac:dyDescent="0.25"/>
    <row r="70948" s="12" customFormat="1" x14ac:dyDescent="0.25"/>
    <row r="70949" s="12" customFormat="1" x14ac:dyDescent="0.25"/>
    <row r="70950" s="12" customFormat="1" x14ac:dyDescent="0.25"/>
    <row r="70951" s="12" customFormat="1" x14ac:dyDescent="0.25"/>
    <row r="70952" s="12" customFormat="1" x14ac:dyDescent="0.25"/>
    <row r="70953" s="12" customFormat="1" x14ac:dyDescent="0.25"/>
    <row r="70954" s="12" customFormat="1" x14ac:dyDescent="0.25"/>
    <row r="70955" s="12" customFormat="1" x14ac:dyDescent="0.25"/>
    <row r="70956" s="12" customFormat="1" x14ac:dyDescent="0.25"/>
    <row r="70957" s="12" customFormat="1" x14ac:dyDescent="0.25"/>
    <row r="70958" s="12" customFormat="1" x14ac:dyDescent="0.25"/>
    <row r="70959" s="12" customFormat="1" x14ac:dyDescent="0.25"/>
    <row r="70960" s="12" customFormat="1" x14ac:dyDescent="0.25"/>
    <row r="70961" s="12" customFormat="1" x14ac:dyDescent="0.25"/>
    <row r="70962" s="12" customFormat="1" x14ac:dyDescent="0.25"/>
    <row r="70963" s="12" customFormat="1" x14ac:dyDescent="0.25"/>
    <row r="70964" s="12" customFormat="1" x14ac:dyDescent="0.25"/>
    <row r="70965" s="12" customFormat="1" x14ac:dyDescent="0.25"/>
    <row r="70966" s="12" customFormat="1" x14ac:dyDescent="0.25"/>
    <row r="70967" s="12" customFormat="1" x14ac:dyDescent="0.25"/>
    <row r="70968" s="12" customFormat="1" x14ac:dyDescent="0.25"/>
    <row r="70969" s="12" customFormat="1" x14ac:dyDescent="0.25"/>
    <row r="70970" s="12" customFormat="1" x14ac:dyDescent="0.25"/>
    <row r="70971" s="12" customFormat="1" x14ac:dyDescent="0.25"/>
    <row r="70972" s="12" customFormat="1" x14ac:dyDescent="0.25"/>
    <row r="70973" s="12" customFormat="1" x14ac:dyDescent="0.25"/>
    <row r="70974" s="12" customFormat="1" x14ac:dyDescent="0.25"/>
    <row r="70975" s="12" customFormat="1" x14ac:dyDescent="0.25"/>
    <row r="70976" s="12" customFormat="1" x14ac:dyDescent="0.25"/>
    <row r="70977" s="12" customFormat="1" x14ac:dyDescent="0.25"/>
    <row r="70978" s="12" customFormat="1" x14ac:dyDescent="0.25"/>
    <row r="70979" s="12" customFormat="1" x14ac:dyDescent="0.25"/>
    <row r="70980" s="12" customFormat="1" x14ac:dyDescent="0.25"/>
    <row r="70981" s="12" customFormat="1" x14ac:dyDescent="0.25"/>
    <row r="70982" s="12" customFormat="1" x14ac:dyDescent="0.25"/>
    <row r="70983" s="12" customFormat="1" x14ac:dyDescent="0.25"/>
    <row r="70984" s="12" customFormat="1" x14ac:dyDescent="0.25"/>
    <row r="70985" s="12" customFormat="1" x14ac:dyDescent="0.25"/>
    <row r="70986" s="12" customFormat="1" x14ac:dyDescent="0.25"/>
    <row r="70987" s="12" customFormat="1" x14ac:dyDescent="0.25"/>
    <row r="70988" s="12" customFormat="1" x14ac:dyDescent="0.25"/>
    <row r="70989" s="12" customFormat="1" x14ac:dyDescent="0.25"/>
    <row r="70990" s="12" customFormat="1" x14ac:dyDescent="0.25"/>
    <row r="70991" s="12" customFormat="1" x14ac:dyDescent="0.25"/>
    <row r="70992" s="12" customFormat="1" x14ac:dyDescent="0.25"/>
    <row r="70993" s="12" customFormat="1" x14ac:dyDescent="0.25"/>
    <row r="70994" s="12" customFormat="1" x14ac:dyDescent="0.25"/>
    <row r="70995" s="12" customFormat="1" x14ac:dyDescent="0.25"/>
    <row r="70996" s="12" customFormat="1" x14ac:dyDescent="0.25"/>
    <row r="70997" s="12" customFormat="1" x14ac:dyDescent="0.25"/>
    <row r="70998" s="12" customFormat="1" x14ac:dyDescent="0.25"/>
    <row r="70999" s="12" customFormat="1" x14ac:dyDescent="0.25"/>
    <row r="71000" s="12" customFormat="1" x14ac:dyDescent="0.25"/>
    <row r="71001" s="12" customFormat="1" x14ac:dyDescent="0.25"/>
    <row r="71002" s="12" customFormat="1" x14ac:dyDescent="0.25"/>
    <row r="71003" s="12" customFormat="1" x14ac:dyDescent="0.25"/>
    <row r="71004" s="12" customFormat="1" x14ac:dyDescent="0.25"/>
    <row r="71005" s="12" customFormat="1" x14ac:dyDescent="0.25"/>
    <row r="71006" s="12" customFormat="1" x14ac:dyDescent="0.25"/>
    <row r="71007" s="12" customFormat="1" x14ac:dyDescent="0.25"/>
    <row r="71008" s="12" customFormat="1" x14ac:dyDescent="0.25"/>
    <row r="71009" s="12" customFormat="1" x14ac:dyDescent="0.25"/>
    <row r="71010" s="12" customFormat="1" x14ac:dyDescent="0.25"/>
    <row r="71011" s="12" customFormat="1" x14ac:dyDescent="0.25"/>
    <row r="71012" s="12" customFormat="1" x14ac:dyDescent="0.25"/>
    <row r="71013" s="12" customFormat="1" x14ac:dyDescent="0.25"/>
    <row r="71014" s="12" customFormat="1" x14ac:dyDescent="0.25"/>
    <row r="71015" s="12" customFormat="1" x14ac:dyDescent="0.25"/>
    <row r="71016" s="12" customFormat="1" x14ac:dyDescent="0.25"/>
    <row r="71017" s="12" customFormat="1" x14ac:dyDescent="0.25"/>
    <row r="71018" s="12" customFormat="1" x14ac:dyDescent="0.25"/>
    <row r="71019" s="12" customFormat="1" x14ac:dyDescent="0.25"/>
    <row r="71020" s="12" customFormat="1" x14ac:dyDescent="0.25"/>
    <row r="71021" s="12" customFormat="1" x14ac:dyDescent="0.25"/>
    <row r="71022" s="12" customFormat="1" x14ac:dyDescent="0.25"/>
    <row r="71023" s="12" customFormat="1" x14ac:dyDescent="0.25"/>
    <row r="71024" s="12" customFormat="1" x14ac:dyDescent="0.25"/>
    <row r="71025" s="12" customFormat="1" x14ac:dyDescent="0.25"/>
    <row r="71026" s="12" customFormat="1" x14ac:dyDescent="0.25"/>
    <row r="71027" s="12" customFormat="1" x14ac:dyDescent="0.25"/>
    <row r="71028" s="12" customFormat="1" x14ac:dyDescent="0.25"/>
    <row r="71029" s="12" customFormat="1" x14ac:dyDescent="0.25"/>
    <row r="71030" s="12" customFormat="1" x14ac:dyDescent="0.25"/>
    <row r="71031" s="12" customFormat="1" x14ac:dyDescent="0.25"/>
    <row r="71032" s="12" customFormat="1" x14ac:dyDescent="0.25"/>
    <row r="71033" s="12" customFormat="1" x14ac:dyDescent="0.25"/>
    <row r="71034" s="12" customFormat="1" x14ac:dyDescent="0.25"/>
    <row r="71035" s="12" customFormat="1" x14ac:dyDescent="0.25"/>
    <row r="71036" s="12" customFormat="1" x14ac:dyDescent="0.25"/>
    <row r="71037" s="12" customFormat="1" x14ac:dyDescent="0.25"/>
    <row r="71038" s="12" customFormat="1" x14ac:dyDescent="0.25"/>
    <row r="71039" s="12" customFormat="1" x14ac:dyDescent="0.25"/>
    <row r="71040" s="12" customFormat="1" x14ac:dyDescent="0.25"/>
    <row r="71041" s="12" customFormat="1" x14ac:dyDescent="0.25"/>
    <row r="71042" s="12" customFormat="1" x14ac:dyDescent="0.25"/>
    <row r="71043" s="12" customFormat="1" x14ac:dyDescent="0.25"/>
    <row r="71044" s="12" customFormat="1" x14ac:dyDescent="0.25"/>
    <row r="71045" s="12" customFormat="1" x14ac:dyDescent="0.25"/>
    <row r="71046" s="12" customFormat="1" x14ac:dyDescent="0.25"/>
    <row r="71047" s="12" customFormat="1" x14ac:dyDescent="0.25"/>
    <row r="71048" s="12" customFormat="1" x14ac:dyDescent="0.25"/>
    <row r="71049" s="12" customFormat="1" x14ac:dyDescent="0.25"/>
    <row r="71050" s="12" customFormat="1" x14ac:dyDescent="0.25"/>
    <row r="71051" s="12" customFormat="1" x14ac:dyDescent="0.25"/>
    <row r="71052" s="12" customFormat="1" x14ac:dyDescent="0.25"/>
    <row r="71053" s="12" customFormat="1" x14ac:dyDescent="0.25"/>
    <row r="71054" s="12" customFormat="1" x14ac:dyDescent="0.25"/>
    <row r="71055" s="12" customFormat="1" x14ac:dyDescent="0.25"/>
    <row r="71056" s="12" customFormat="1" x14ac:dyDescent="0.25"/>
    <row r="71057" s="12" customFormat="1" x14ac:dyDescent="0.25"/>
    <row r="71058" s="12" customFormat="1" x14ac:dyDescent="0.25"/>
    <row r="71059" s="12" customFormat="1" x14ac:dyDescent="0.25"/>
    <row r="71060" s="12" customFormat="1" x14ac:dyDescent="0.25"/>
    <row r="71061" s="12" customFormat="1" x14ac:dyDescent="0.25"/>
    <row r="71062" s="12" customFormat="1" x14ac:dyDescent="0.25"/>
    <row r="71063" s="12" customFormat="1" x14ac:dyDescent="0.25"/>
    <row r="71064" s="12" customFormat="1" x14ac:dyDescent="0.25"/>
    <row r="71065" s="12" customFormat="1" x14ac:dyDescent="0.25"/>
    <row r="71066" s="12" customFormat="1" x14ac:dyDescent="0.25"/>
    <row r="71067" s="12" customFormat="1" x14ac:dyDescent="0.25"/>
    <row r="71068" s="12" customFormat="1" x14ac:dyDescent="0.25"/>
    <row r="71069" s="12" customFormat="1" x14ac:dyDescent="0.25"/>
    <row r="71070" s="12" customFormat="1" x14ac:dyDescent="0.25"/>
    <row r="71071" s="12" customFormat="1" x14ac:dyDescent="0.25"/>
    <row r="71072" s="12" customFormat="1" x14ac:dyDescent="0.25"/>
    <row r="71073" s="12" customFormat="1" x14ac:dyDescent="0.25"/>
    <row r="71074" s="12" customFormat="1" x14ac:dyDescent="0.25"/>
    <row r="71075" s="12" customFormat="1" x14ac:dyDescent="0.25"/>
    <row r="71076" s="12" customFormat="1" x14ac:dyDescent="0.25"/>
    <row r="71077" s="12" customFormat="1" x14ac:dyDescent="0.25"/>
    <row r="71078" s="12" customFormat="1" x14ac:dyDescent="0.25"/>
    <row r="71079" s="12" customFormat="1" x14ac:dyDescent="0.25"/>
    <row r="71080" s="12" customFormat="1" x14ac:dyDescent="0.25"/>
    <row r="71081" s="12" customFormat="1" x14ac:dyDescent="0.25"/>
    <row r="71082" s="12" customFormat="1" x14ac:dyDescent="0.25"/>
    <row r="71083" s="12" customFormat="1" x14ac:dyDescent="0.25"/>
    <row r="71084" s="12" customFormat="1" x14ac:dyDescent="0.25"/>
    <row r="71085" s="12" customFormat="1" x14ac:dyDescent="0.25"/>
    <row r="71086" s="12" customFormat="1" x14ac:dyDescent="0.25"/>
    <row r="71087" s="12" customFormat="1" x14ac:dyDescent="0.25"/>
    <row r="71088" s="12" customFormat="1" x14ac:dyDescent="0.25"/>
    <row r="71089" s="12" customFormat="1" x14ac:dyDescent="0.25"/>
    <row r="71090" s="12" customFormat="1" x14ac:dyDescent="0.25"/>
    <row r="71091" s="12" customFormat="1" x14ac:dyDescent="0.25"/>
    <row r="71092" s="12" customFormat="1" x14ac:dyDescent="0.25"/>
    <row r="71093" s="12" customFormat="1" x14ac:dyDescent="0.25"/>
    <row r="71094" s="12" customFormat="1" x14ac:dyDescent="0.25"/>
    <row r="71095" s="12" customFormat="1" x14ac:dyDescent="0.25"/>
    <row r="71096" s="12" customFormat="1" x14ac:dyDescent="0.25"/>
    <row r="71097" s="12" customFormat="1" x14ac:dyDescent="0.25"/>
    <row r="71098" s="12" customFormat="1" x14ac:dyDescent="0.25"/>
    <row r="71099" s="12" customFormat="1" x14ac:dyDescent="0.25"/>
    <row r="71100" s="12" customFormat="1" x14ac:dyDescent="0.25"/>
    <row r="71101" s="12" customFormat="1" x14ac:dyDescent="0.25"/>
    <row r="71102" s="12" customFormat="1" x14ac:dyDescent="0.25"/>
    <row r="71103" s="12" customFormat="1" x14ac:dyDescent="0.25"/>
    <row r="71104" s="12" customFormat="1" x14ac:dyDescent="0.25"/>
    <row r="71105" s="12" customFormat="1" x14ac:dyDescent="0.25"/>
    <row r="71106" s="12" customFormat="1" x14ac:dyDescent="0.25"/>
    <row r="71107" s="12" customFormat="1" x14ac:dyDescent="0.25"/>
    <row r="71108" s="12" customFormat="1" x14ac:dyDescent="0.25"/>
    <row r="71109" s="12" customFormat="1" x14ac:dyDescent="0.25"/>
    <row r="71110" s="12" customFormat="1" x14ac:dyDescent="0.25"/>
    <row r="71111" s="12" customFormat="1" x14ac:dyDescent="0.25"/>
    <row r="71112" s="12" customFormat="1" x14ac:dyDescent="0.25"/>
    <row r="71113" s="12" customFormat="1" x14ac:dyDescent="0.25"/>
    <row r="71114" s="12" customFormat="1" x14ac:dyDescent="0.25"/>
    <row r="71115" s="12" customFormat="1" x14ac:dyDescent="0.25"/>
    <row r="71116" s="12" customFormat="1" x14ac:dyDescent="0.25"/>
    <row r="71117" s="12" customFormat="1" x14ac:dyDescent="0.25"/>
    <row r="71118" s="12" customFormat="1" x14ac:dyDescent="0.25"/>
    <row r="71119" s="12" customFormat="1" x14ac:dyDescent="0.25"/>
    <row r="71120" s="12" customFormat="1" x14ac:dyDescent="0.25"/>
    <row r="71121" s="12" customFormat="1" x14ac:dyDescent="0.25"/>
    <row r="71122" s="12" customFormat="1" x14ac:dyDescent="0.25"/>
    <row r="71123" s="12" customFormat="1" x14ac:dyDescent="0.25"/>
    <row r="71124" s="12" customFormat="1" x14ac:dyDescent="0.25"/>
    <row r="71125" s="12" customFormat="1" x14ac:dyDescent="0.25"/>
    <row r="71126" s="12" customFormat="1" x14ac:dyDescent="0.25"/>
    <row r="71127" s="12" customFormat="1" x14ac:dyDescent="0.25"/>
    <row r="71128" s="12" customFormat="1" x14ac:dyDescent="0.25"/>
    <row r="71129" s="12" customFormat="1" x14ac:dyDescent="0.25"/>
    <row r="71130" s="12" customFormat="1" x14ac:dyDescent="0.25"/>
    <row r="71131" s="12" customFormat="1" x14ac:dyDescent="0.25"/>
    <row r="71132" s="12" customFormat="1" x14ac:dyDescent="0.25"/>
    <row r="71133" s="12" customFormat="1" x14ac:dyDescent="0.25"/>
    <row r="71134" s="12" customFormat="1" x14ac:dyDescent="0.25"/>
    <row r="71135" s="12" customFormat="1" x14ac:dyDescent="0.25"/>
    <row r="71136" s="12" customFormat="1" x14ac:dyDescent="0.25"/>
    <row r="71137" s="12" customFormat="1" x14ac:dyDescent="0.25"/>
    <row r="71138" s="12" customFormat="1" x14ac:dyDescent="0.25"/>
    <row r="71139" s="12" customFormat="1" x14ac:dyDescent="0.25"/>
    <row r="71140" s="12" customFormat="1" x14ac:dyDescent="0.25"/>
    <row r="71141" s="12" customFormat="1" x14ac:dyDescent="0.25"/>
    <row r="71142" s="12" customFormat="1" x14ac:dyDescent="0.25"/>
    <row r="71143" s="12" customFormat="1" x14ac:dyDescent="0.25"/>
    <row r="71144" s="12" customFormat="1" x14ac:dyDescent="0.25"/>
    <row r="71145" s="12" customFormat="1" x14ac:dyDescent="0.25"/>
    <row r="71146" s="12" customFormat="1" x14ac:dyDescent="0.25"/>
    <row r="71147" s="12" customFormat="1" x14ac:dyDescent="0.25"/>
    <row r="71148" s="12" customFormat="1" x14ac:dyDescent="0.25"/>
    <row r="71149" s="12" customFormat="1" x14ac:dyDescent="0.25"/>
    <row r="71150" s="12" customFormat="1" x14ac:dyDescent="0.25"/>
    <row r="71151" s="12" customFormat="1" x14ac:dyDescent="0.25"/>
    <row r="71152" s="12" customFormat="1" x14ac:dyDescent="0.25"/>
    <row r="71153" s="12" customFormat="1" x14ac:dyDescent="0.25"/>
    <row r="71154" s="12" customFormat="1" x14ac:dyDescent="0.25"/>
    <row r="71155" s="12" customFormat="1" x14ac:dyDescent="0.25"/>
    <row r="71156" s="12" customFormat="1" x14ac:dyDescent="0.25"/>
    <row r="71157" s="12" customFormat="1" x14ac:dyDescent="0.25"/>
    <row r="71158" s="12" customFormat="1" x14ac:dyDescent="0.25"/>
    <row r="71159" s="12" customFormat="1" x14ac:dyDescent="0.25"/>
    <row r="71160" s="12" customFormat="1" x14ac:dyDescent="0.25"/>
    <row r="71161" s="12" customFormat="1" x14ac:dyDescent="0.25"/>
    <row r="71162" s="12" customFormat="1" x14ac:dyDescent="0.25"/>
    <row r="71163" s="12" customFormat="1" x14ac:dyDescent="0.25"/>
    <row r="71164" s="12" customFormat="1" x14ac:dyDescent="0.25"/>
    <row r="71165" s="12" customFormat="1" x14ac:dyDescent="0.25"/>
    <row r="71166" s="12" customFormat="1" x14ac:dyDescent="0.25"/>
    <row r="71167" s="12" customFormat="1" x14ac:dyDescent="0.25"/>
    <row r="71168" s="12" customFormat="1" x14ac:dyDescent="0.25"/>
    <row r="71169" s="12" customFormat="1" x14ac:dyDescent="0.25"/>
    <row r="71170" s="12" customFormat="1" x14ac:dyDescent="0.25"/>
    <row r="71171" s="12" customFormat="1" x14ac:dyDescent="0.25"/>
    <row r="71172" s="12" customFormat="1" x14ac:dyDescent="0.25"/>
    <row r="71173" s="12" customFormat="1" x14ac:dyDescent="0.25"/>
    <row r="71174" s="12" customFormat="1" x14ac:dyDescent="0.25"/>
    <row r="71175" s="12" customFormat="1" x14ac:dyDescent="0.25"/>
    <row r="71176" s="12" customFormat="1" x14ac:dyDescent="0.25"/>
    <row r="71177" s="12" customFormat="1" x14ac:dyDescent="0.25"/>
    <row r="71178" s="12" customFormat="1" x14ac:dyDescent="0.25"/>
    <row r="71179" s="12" customFormat="1" x14ac:dyDescent="0.25"/>
    <row r="71180" s="12" customFormat="1" x14ac:dyDescent="0.25"/>
    <row r="71181" s="12" customFormat="1" x14ac:dyDescent="0.25"/>
    <row r="71182" s="12" customFormat="1" x14ac:dyDescent="0.25"/>
    <row r="71183" s="12" customFormat="1" x14ac:dyDescent="0.25"/>
    <row r="71184" s="12" customFormat="1" x14ac:dyDescent="0.25"/>
    <row r="71185" s="12" customFormat="1" x14ac:dyDescent="0.25"/>
    <row r="71186" s="12" customFormat="1" x14ac:dyDescent="0.25"/>
    <row r="71187" s="12" customFormat="1" x14ac:dyDescent="0.25"/>
    <row r="71188" s="12" customFormat="1" x14ac:dyDescent="0.25"/>
    <row r="71189" s="12" customFormat="1" x14ac:dyDescent="0.25"/>
    <row r="71190" s="12" customFormat="1" x14ac:dyDescent="0.25"/>
    <row r="71191" s="12" customFormat="1" x14ac:dyDescent="0.25"/>
    <row r="71192" s="12" customFormat="1" x14ac:dyDescent="0.25"/>
    <row r="71193" s="12" customFormat="1" x14ac:dyDescent="0.25"/>
    <row r="71194" s="12" customFormat="1" x14ac:dyDescent="0.25"/>
    <row r="71195" s="12" customFormat="1" x14ac:dyDescent="0.25"/>
    <row r="71196" s="12" customFormat="1" x14ac:dyDescent="0.25"/>
    <row r="71197" s="12" customFormat="1" x14ac:dyDescent="0.25"/>
    <row r="71198" s="12" customFormat="1" x14ac:dyDescent="0.25"/>
    <row r="71199" s="12" customFormat="1" x14ac:dyDescent="0.25"/>
    <row r="71200" s="12" customFormat="1" x14ac:dyDescent="0.25"/>
    <row r="71201" s="12" customFormat="1" x14ac:dyDescent="0.25"/>
    <row r="71202" s="12" customFormat="1" x14ac:dyDescent="0.25"/>
    <row r="71203" s="12" customFormat="1" x14ac:dyDescent="0.25"/>
    <row r="71204" s="12" customFormat="1" x14ac:dyDescent="0.25"/>
    <row r="71205" s="12" customFormat="1" x14ac:dyDescent="0.25"/>
    <row r="71206" s="12" customFormat="1" x14ac:dyDescent="0.25"/>
    <row r="71207" s="12" customFormat="1" x14ac:dyDescent="0.25"/>
    <row r="71208" s="12" customFormat="1" x14ac:dyDescent="0.25"/>
    <row r="71209" s="12" customFormat="1" x14ac:dyDescent="0.25"/>
    <row r="71210" s="12" customFormat="1" x14ac:dyDescent="0.25"/>
    <row r="71211" s="12" customFormat="1" x14ac:dyDescent="0.25"/>
    <row r="71212" s="12" customFormat="1" x14ac:dyDescent="0.25"/>
    <row r="71213" s="12" customFormat="1" x14ac:dyDescent="0.25"/>
    <row r="71214" s="12" customFormat="1" x14ac:dyDescent="0.25"/>
    <row r="71215" s="12" customFormat="1" x14ac:dyDescent="0.25"/>
    <row r="71216" s="12" customFormat="1" x14ac:dyDescent="0.25"/>
    <row r="71217" s="12" customFormat="1" x14ac:dyDescent="0.25"/>
    <row r="71218" s="12" customFormat="1" x14ac:dyDescent="0.25"/>
    <row r="71219" s="12" customFormat="1" x14ac:dyDescent="0.25"/>
    <row r="71220" s="12" customFormat="1" x14ac:dyDescent="0.25"/>
    <row r="71221" s="12" customFormat="1" x14ac:dyDescent="0.25"/>
    <row r="71222" s="12" customFormat="1" x14ac:dyDescent="0.25"/>
    <row r="71223" s="12" customFormat="1" x14ac:dyDescent="0.25"/>
    <row r="71224" s="12" customFormat="1" x14ac:dyDescent="0.25"/>
    <row r="71225" s="12" customFormat="1" x14ac:dyDescent="0.25"/>
    <row r="71226" s="12" customFormat="1" x14ac:dyDescent="0.25"/>
    <row r="71227" s="12" customFormat="1" x14ac:dyDescent="0.25"/>
    <row r="71228" s="12" customFormat="1" x14ac:dyDescent="0.25"/>
    <row r="71229" s="12" customFormat="1" x14ac:dyDescent="0.25"/>
    <row r="71230" s="12" customFormat="1" x14ac:dyDescent="0.25"/>
    <row r="71231" s="12" customFormat="1" x14ac:dyDescent="0.25"/>
    <row r="71232" s="12" customFormat="1" x14ac:dyDescent="0.25"/>
    <row r="71233" s="12" customFormat="1" x14ac:dyDescent="0.25"/>
    <row r="71234" s="12" customFormat="1" x14ac:dyDescent="0.25"/>
    <row r="71235" s="12" customFormat="1" x14ac:dyDescent="0.25"/>
    <row r="71236" s="12" customFormat="1" x14ac:dyDescent="0.25"/>
    <row r="71237" s="12" customFormat="1" x14ac:dyDescent="0.25"/>
    <row r="71238" s="12" customFormat="1" x14ac:dyDescent="0.25"/>
    <row r="71239" s="12" customFormat="1" x14ac:dyDescent="0.25"/>
    <row r="71240" s="12" customFormat="1" x14ac:dyDescent="0.25"/>
    <row r="71241" s="12" customFormat="1" x14ac:dyDescent="0.25"/>
    <row r="71242" s="12" customFormat="1" x14ac:dyDescent="0.25"/>
    <row r="71243" s="12" customFormat="1" x14ac:dyDescent="0.25"/>
    <row r="71244" s="12" customFormat="1" x14ac:dyDescent="0.25"/>
    <row r="71245" s="12" customFormat="1" x14ac:dyDescent="0.25"/>
    <row r="71246" s="12" customFormat="1" x14ac:dyDescent="0.25"/>
    <row r="71247" s="12" customFormat="1" x14ac:dyDescent="0.25"/>
    <row r="71248" s="12" customFormat="1" x14ac:dyDescent="0.25"/>
    <row r="71249" s="12" customFormat="1" x14ac:dyDescent="0.25"/>
    <row r="71250" s="12" customFormat="1" x14ac:dyDescent="0.25"/>
    <row r="71251" s="12" customFormat="1" x14ac:dyDescent="0.25"/>
    <row r="71252" s="12" customFormat="1" x14ac:dyDescent="0.25"/>
    <row r="71253" s="12" customFormat="1" x14ac:dyDescent="0.25"/>
    <row r="71254" s="12" customFormat="1" x14ac:dyDescent="0.25"/>
    <row r="71255" s="12" customFormat="1" x14ac:dyDescent="0.25"/>
    <row r="71256" s="12" customFormat="1" x14ac:dyDescent="0.25"/>
    <row r="71257" s="12" customFormat="1" x14ac:dyDescent="0.25"/>
    <row r="71258" s="12" customFormat="1" x14ac:dyDescent="0.25"/>
    <row r="71259" s="12" customFormat="1" x14ac:dyDescent="0.25"/>
    <row r="71260" s="12" customFormat="1" x14ac:dyDescent="0.25"/>
    <row r="71261" s="12" customFormat="1" x14ac:dyDescent="0.25"/>
    <row r="71262" s="12" customFormat="1" x14ac:dyDescent="0.25"/>
    <row r="71263" s="12" customFormat="1" x14ac:dyDescent="0.25"/>
    <row r="71264" s="12" customFormat="1" x14ac:dyDescent="0.25"/>
    <row r="71265" s="12" customFormat="1" x14ac:dyDescent="0.25"/>
    <row r="71266" s="12" customFormat="1" x14ac:dyDescent="0.25"/>
    <row r="71267" s="12" customFormat="1" x14ac:dyDescent="0.25"/>
    <row r="71268" s="12" customFormat="1" x14ac:dyDescent="0.25"/>
    <row r="71269" s="12" customFormat="1" x14ac:dyDescent="0.25"/>
    <row r="71270" s="12" customFormat="1" x14ac:dyDescent="0.25"/>
    <row r="71271" s="12" customFormat="1" x14ac:dyDescent="0.25"/>
    <row r="71272" s="12" customFormat="1" x14ac:dyDescent="0.25"/>
    <row r="71273" s="12" customFormat="1" x14ac:dyDescent="0.25"/>
    <row r="71274" s="12" customFormat="1" x14ac:dyDescent="0.25"/>
    <row r="71275" s="12" customFormat="1" x14ac:dyDescent="0.25"/>
    <row r="71276" s="12" customFormat="1" x14ac:dyDescent="0.25"/>
    <row r="71277" s="12" customFormat="1" x14ac:dyDescent="0.25"/>
    <row r="71278" s="12" customFormat="1" x14ac:dyDescent="0.25"/>
    <row r="71279" s="12" customFormat="1" x14ac:dyDescent="0.25"/>
    <row r="71280" s="12" customFormat="1" x14ac:dyDescent="0.25"/>
    <row r="71281" s="12" customFormat="1" x14ac:dyDescent="0.25"/>
    <row r="71282" s="12" customFormat="1" x14ac:dyDescent="0.25"/>
    <row r="71283" s="12" customFormat="1" x14ac:dyDescent="0.25"/>
    <row r="71284" s="12" customFormat="1" x14ac:dyDescent="0.25"/>
    <row r="71285" s="12" customFormat="1" x14ac:dyDescent="0.25"/>
    <row r="71286" s="12" customFormat="1" x14ac:dyDescent="0.25"/>
    <row r="71287" s="12" customFormat="1" x14ac:dyDescent="0.25"/>
    <row r="71288" s="12" customFormat="1" x14ac:dyDescent="0.25"/>
    <row r="71289" s="12" customFormat="1" x14ac:dyDescent="0.25"/>
    <row r="71290" s="12" customFormat="1" x14ac:dyDescent="0.25"/>
    <row r="71291" s="12" customFormat="1" x14ac:dyDescent="0.25"/>
    <row r="71292" s="12" customFormat="1" x14ac:dyDescent="0.25"/>
    <row r="71293" s="12" customFormat="1" x14ac:dyDescent="0.25"/>
    <row r="71294" s="12" customFormat="1" x14ac:dyDescent="0.25"/>
    <row r="71295" s="12" customFormat="1" x14ac:dyDescent="0.25"/>
    <row r="71296" s="12" customFormat="1" x14ac:dyDescent="0.25"/>
    <row r="71297" s="12" customFormat="1" x14ac:dyDescent="0.25"/>
    <row r="71298" s="12" customFormat="1" x14ac:dyDescent="0.25"/>
    <row r="71299" s="12" customFormat="1" x14ac:dyDescent="0.25"/>
    <row r="71300" s="12" customFormat="1" x14ac:dyDescent="0.25"/>
    <row r="71301" s="12" customFormat="1" x14ac:dyDescent="0.25"/>
    <row r="71302" s="12" customFormat="1" x14ac:dyDescent="0.25"/>
    <row r="71303" s="12" customFormat="1" x14ac:dyDescent="0.25"/>
    <row r="71304" s="12" customFormat="1" x14ac:dyDescent="0.25"/>
    <row r="71305" s="12" customFormat="1" x14ac:dyDescent="0.25"/>
    <row r="71306" s="12" customFormat="1" x14ac:dyDescent="0.25"/>
    <row r="71307" s="12" customFormat="1" x14ac:dyDescent="0.25"/>
    <row r="71308" s="12" customFormat="1" x14ac:dyDescent="0.25"/>
    <row r="71309" s="12" customFormat="1" x14ac:dyDescent="0.25"/>
    <row r="71310" s="12" customFormat="1" x14ac:dyDescent="0.25"/>
    <row r="71311" s="12" customFormat="1" x14ac:dyDescent="0.25"/>
    <row r="71312" s="12" customFormat="1" x14ac:dyDescent="0.25"/>
    <row r="71313" s="12" customFormat="1" x14ac:dyDescent="0.25"/>
    <row r="71314" s="12" customFormat="1" x14ac:dyDescent="0.25"/>
    <row r="71315" s="12" customFormat="1" x14ac:dyDescent="0.25"/>
    <row r="71316" s="12" customFormat="1" x14ac:dyDescent="0.25"/>
    <row r="71317" s="12" customFormat="1" x14ac:dyDescent="0.25"/>
    <row r="71318" s="12" customFormat="1" x14ac:dyDescent="0.25"/>
    <row r="71319" s="12" customFormat="1" x14ac:dyDescent="0.25"/>
    <row r="71320" s="12" customFormat="1" x14ac:dyDescent="0.25"/>
    <row r="71321" s="12" customFormat="1" x14ac:dyDescent="0.25"/>
    <row r="71322" s="12" customFormat="1" x14ac:dyDescent="0.25"/>
    <row r="71323" s="12" customFormat="1" x14ac:dyDescent="0.25"/>
    <row r="71324" s="12" customFormat="1" x14ac:dyDescent="0.25"/>
    <row r="71325" s="12" customFormat="1" x14ac:dyDescent="0.25"/>
    <row r="71326" s="12" customFormat="1" x14ac:dyDescent="0.25"/>
    <row r="71327" s="12" customFormat="1" x14ac:dyDescent="0.25"/>
    <row r="71328" s="12" customFormat="1" x14ac:dyDescent="0.25"/>
    <row r="71329" s="12" customFormat="1" x14ac:dyDescent="0.25"/>
    <row r="71330" s="12" customFormat="1" x14ac:dyDescent="0.25"/>
    <row r="71331" s="12" customFormat="1" x14ac:dyDescent="0.25"/>
    <row r="71332" s="12" customFormat="1" x14ac:dyDescent="0.25"/>
    <row r="71333" s="12" customFormat="1" x14ac:dyDescent="0.25"/>
    <row r="71334" s="12" customFormat="1" x14ac:dyDescent="0.25"/>
    <row r="71335" s="12" customFormat="1" x14ac:dyDescent="0.25"/>
    <row r="71336" s="12" customFormat="1" x14ac:dyDescent="0.25"/>
    <row r="71337" s="12" customFormat="1" x14ac:dyDescent="0.25"/>
    <row r="71338" s="12" customFormat="1" x14ac:dyDescent="0.25"/>
    <row r="71339" s="12" customFormat="1" x14ac:dyDescent="0.25"/>
    <row r="71340" s="12" customFormat="1" x14ac:dyDescent="0.25"/>
    <row r="71341" s="12" customFormat="1" x14ac:dyDescent="0.25"/>
    <row r="71342" s="12" customFormat="1" x14ac:dyDescent="0.25"/>
    <row r="71343" s="12" customFormat="1" x14ac:dyDescent="0.25"/>
    <row r="71344" s="12" customFormat="1" x14ac:dyDescent="0.25"/>
    <row r="71345" s="12" customFormat="1" x14ac:dyDescent="0.25"/>
    <row r="71346" s="12" customFormat="1" x14ac:dyDescent="0.25"/>
    <row r="71347" s="12" customFormat="1" x14ac:dyDescent="0.25"/>
    <row r="71348" s="12" customFormat="1" x14ac:dyDescent="0.25"/>
    <row r="71349" s="12" customFormat="1" x14ac:dyDescent="0.25"/>
    <row r="71350" s="12" customFormat="1" x14ac:dyDescent="0.25"/>
    <row r="71351" s="12" customFormat="1" x14ac:dyDescent="0.25"/>
    <row r="71352" s="12" customFormat="1" x14ac:dyDescent="0.25"/>
    <row r="71353" s="12" customFormat="1" x14ac:dyDescent="0.25"/>
    <row r="71354" s="12" customFormat="1" x14ac:dyDescent="0.25"/>
    <row r="71355" s="12" customFormat="1" x14ac:dyDescent="0.25"/>
    <row r="71356" s="12" customFormat="1" x14ac:dyDescent="0.25"/>
    <row r="71357" s="12" customFormat="1" x14ac:dyDescent="0.25"/>
    <row r="71358" s="12" customFormat="1" x14ac:dyDescent="0.25"/>
    <row r="71359" s="12" customFormat="1" x14ac:dyDescent="0.25"/>
    <row r="71360" s="12" customFormat="1" x14ac:dyDescent="0.25"/>
    <row r="71361" s="12" customFormat="1" x14ac:dyDescent="0.25"/>
    <row r="71362" s="12" customFormat="1" x14ac:dyDescent="0.25"/>
    <row r="71363" s="12" customFormat="1" x14ac:dyDescent="0.25"/>
    <row r="71364" s="12" customFormat="1" x14ac:dyDescent="0.25"/>
    <row r="71365" s="12" customFormat="1" x14ac:dyDescent="0.25"/>
    <row r="71366" s="12" customFormat="1" x14ac:dyDescent="0.25"/>
    <row r="71367" s="12" customFormat="1" x14ac:dyDescent="0.25"/>
    <row r="71368" s="12" customFormat="1" x14ac:dyDescent="0.25"/>
    <row r="71369" s="12" customFormat="1" x14ac:dyDescent="0.25"/>
    <row r="71370" s="12" customFormat="1" x14ac:dyDescent="0.25"/>
    <row r="71371" s="12" customFormat="1" x14ac:dyDescent="0.25"/>
    <row r="71372" s="12" customFormat="1" x14ac:dyDescent="0.25"/>
    <row r="71373" s="12" customFormat="1" x14ac:dyDescent="0.25"/>
    <row r="71374" s="12" customFormat="1" x14ac:dyDescent="0.25"/>
    <row r="71375" s="12" customFormat="1" x14ac:dyDescent="0.25"/>
    <row r="71376" s="12" customFormat="1" x14ac:dyDescent="0.25"/>
    <row r="71377" s="12" customFormat="1" x14ac:dyDescent="0.25"/>
    <row r="71378" s="12" customFormat="1" x14ac:dyDescent="0.25"/>
    <row r="71379" s="12" customFormat="1" x14ac:dyDescent="0.25"/>
    <row r="71380" s="12" customFormat="1" x14ac:dyDescent="0.25"/>
    <row r="71381" s="12" customFormat="1" x14ac:dyDescent="0.25"/>
    <row r="71382" s="12" customFormat="1" x14ac:dyDescent="0.25"/>
    <row r="71383" s="12" customFormat="1" x14ac:dyDescent="0.25"/>
    <row r="71384" s="12" customFormat="1" x14ac:dyDescent="0.25"/>
    <row r="71385" s="12" customFormat="1" x14ac:dyDescent="0.25"/>
    <row r="71386" s="12" customFormat="1" x14ac:dyDescent="0.25"/>
    <row r="71387" s="12" customFormat="1" x14ac:dyDescent="0.25"/>
    <row r="71388" s="12" customFormat="1" x14ac:dyDescent="0.25"/>
    <row r="71389" s="12" customFormat="1" x14ac:dyDescent="0.25"/>
    <row r="71390" s="12" customFormat="1" x14ac:dyDescent="0.25"/>
    <row r="71391" s="12" customFormat="1" x14ac:dyDescent="0.25"/>
    <row r="71392" s="12" customFormat="1" x14ac:dyDescent="0.25"/>
    <row r="71393" s="12" customFormat="1" x14ac:dyDescent="0.25"/>
    <row r="71394" s="12" customFormat="1" x14ac:dyDescent="0.25"/>
    <row r="71395" s="12" customFormat="1" x14ac:dyDescent="0.25"/>
    <row r="71396" s="12" customFormat="1" x14ac:dyDescent="0.25"/>
    <row r="71397" s="12" customFormat="1" x14ac:dyDescent="0.25"/>
    <row r="71398" s="12" customFormat="1" x14ac:dyDescent="0.25"/>
    <row r="71399" s="12" customFormat="1" x14ac:dyDescent="0.25"/>
    <row r="71400" s="12" customFormat="1" x14ac:dyDescent="0.25"/>
    <row r="71401" s="12" customFormat="1" x14ac:dyDescent="0.25"/>
    <row r="71402" s="12" customFormat="1" x14ac:dyDescent="0.25"/>
    <row r="71403" s="12" customFormat="1" x14ac:dyDescent="0.25"/>
    <row r="71404" s="12" customFormat="1" x14ac:dyDescent="0.25"/>
    <row r="71405" s="12" customFormat="1" x14ac:dyDescent="0.25"/>
    <row r="71406" s="12" customFormat="1" x14ac:dyDescent="0.25"/>
    <row r="71407" s="12" customFormat="1" x14ac:dyDescent="0.25"/>
    <row r="71408" s="12" customFormat="1" x14ac:dyDescent="0.25"/>
    <row r="71409" s="12" customFormat="1" x14ac:dyDescent="0.25"/>
    <row r="71410" s="12" customFormat="1" x14ac:dyDescent="0.25"/>
    <row r="71411" s="12" customFormat="1" x14ac:dyDescent="0.25"/>
    <row r="71412" s="12" customFormat="1" x14ac:dyDescent="0.25"/>
    <row r="71413" s="12" customFormat="1" x14ac:dyDescent="0.25"/>
    <row r="71414" s="12" customFormat="1" x14ac:dyDescent="0.25"/>
    <row r="71415" s="12" customFormat="1" x14ac:dyDescent="0.25"/>
    <row r="71416" s="12" customFormat="1" x14ac:dyDescent="0.25"/>
    <row r="71417" s="12" customFormat="1" x14ac:dyDescent="0.25"/>
    <row r="71418" s="12" customFormat="1" x14ac:dyDescent="0.25"/>
    <row r="71419" s="12" customFormat="1" x14ac:dyDescent="0.25"/>
    <row r="71420" s="12" customFormat="1" x14ac:dyDescent="0.25"/>
    <row r="71421" s="12" customFormat="1" x14ac:dyDescent="0.25"/>
    <row r="71422" s="12" customFormat="1" x14ac:dyDescent="0.25"/>
    <row r="71423" s="12" customFormat="1" x14ac:dyDescent="0.25"/>
    <row r="71424" s="12" customFormat="1" x14ac:dyDescent="0.25"/>
    <row r="71425" s="12" customFormat="1" x14ac:dyDescent="0.25"/>
    <row r="71426" s="12" customFormat="1" x14ac:dyDescent="0.25"/>
    <row r="71427" s="12" customFormat="1" x14ac:dyDescent="0.25"/>
    <row r="71428" s="12" customFormat="1" x14ac:dyDescent="0.25"/>
    <row r="71429" s="12" customFormat="1" x14ac:dyDescent="0.25"/>
    <row r="71430" s="12" customFormat="1" x14ac:dyDescent="0.25"/>
    <row r="71431" s="12" customFormat="1" x14ac:dyDescent="0.25"/>
    <row r="71432" s="12" customFormat="1" x14ac:dyDescent="0.25"/>
    <row r="71433" s="12" customFormat="1" x14ac:dyDescent="0.25"/>
    <row r="71434" s="12" customFormat="1" x14ac:dyDescent="0.25"/>
    <row r="71435" s="12" customFormat="1" x14ac:dyDescent="0.25"/>
    <row r="71436" s="12" customFormat="1" x14ac:dyDescent="0.25"/>
    <row r="71437" s="12" customFormat="1" x14ac:dyDescent="0.25"/>
    <row r="71438" s="12" customFormat="1" x14ac:dyDescent="0.25"/>
    <row r="71439" s="12" customFormat="1" x14ac:dyDescent="0.25"/>
    <row r="71440" s="12" customFormat="1" x14ac:dyDescent="0.25"/>
    <row r="71441" s="12" customFormat="1" x14ac:dyDescent="0.25"/>
    <row r="71442" s="12" customFormat="1" x14ac:dyDescent="0.25"/>
    <row r="71443" s="12" customFormat="1" x14ac:dyDescent="0.25"/>
    <row r="71444" s="12" customFormat="1" x14ac:dyDescent="0.25"/>
    <row r="71445" s="12" customFormat="1" x14ac:dyDescent="0.25"/>
    <row r="71446" s="12" customFormat="1" x14ac:dyDescent="0.25"/>
    <row r="71447" s="12" customFormat="1" x14ac:dyDescent="0.25"/>
    <row r="71448" s="12" customFormat="1" x14ac:dyDescent="0.25"/>
    <row r="71449" s="12" customFormat="1" x14ac:dyDescent="0.25"/>
    <row r="71450" s="12" customFormat="1" x14ac:dyDescent="0.25"/>
    <row r="71451" s="12" customFormat="1" x14ac:dyDescent="0.25"/>
    <row r="71452" s="12" customFormat="1" x14ac:dyDescent="0.25"/>
    <row r="71453" s="12" customFormat="1" x14ac:dyDescent="0.25"/>
    <row r="71454" s="12" customFormat="1" x14ac:dyDescent="0.25"/>
    <row r="71455" s="12" customFormat="1" x14ac:dyDescent="0.25"/>
    <row r="71456" s="12" customFormat="1" x14ac:dyDescent="0.25"/>
    <row r="71457" s="12" customFormat="1" x14ac:dyDescent="0.25"/>
    <row r="71458" s="12" customFormat="1" x14ac:dyDescent="0.25"/>
    <row r="71459" s="12" customFormat="1" x14ac:dyDescent="0.25"/>
    <row r="71460" s="12" customFormat="1" x14ac:dyDescent="0.25"/>
    <row r="71461" s="12" customFormat="1" x14ac:dyDescent="0.25"/>
    <row r="71462" s="12" customFormat="1" x14ac:dyDescent="0.25"/>
    <row r="71463" s="12" customFormat="1" x14ac:dyDescent="0.25"/>
    <row r="71464" s="12" customFormat="1" x14ac:dyDescent="0.25"/>
    <row r="71465" s="12" customFormat="1" x14ac:dyDescent="0.25"/>
    <row r="71466" s="12" customFormat="1" x14ac:dyDescent="0.25"/>
    <row r="71467" s="12" customFormat="1" x14ac:dyDescent="0.25"/>
    <row r="71468" s="12" customFormat="1" x14ac:dyDescent="0.25"/>
    <row r="71469" s="12" customFormat="1" x14ac:dyDescent="0.25"/>
    <row r="71470" s="12" customFormat="1" x14ac:dyDescent="0.25"/>
    <row r="71471" s="12" customFormat="1" x14ac:dyDescent="0.25"/>
    <row r="71472" s="12" customFormat="1" x14ac:dyDescent="0.25"/>
    <row r="71473" s="12" customFormat="1" x14ac:dyDescent="0.25"/>
    <row r="71474" s="12" customFormat="1" x14ac:dyDescent="0.25"/>
    <row r="71475" s="12" customFormat="1" x14ac:dyDescent="0.25"/>
    <row r="71476" s="12" customFormat="1" x14ac:dyDescent="0.25"/>
    <row r="71477" s="12" customFormat="1" x14ac:dyDescent="0.25"/>
    <row r="71478" s="12" customFormat="1" x14ac:dyDescent="0.25"/>
    <row r="71479" s="12" customFormat="1" x14ac:dyDescent="0.25"/>
    <row r="71480" s="12" customFormat="1" x14ac:dyDescent="0.25"/>
    <row r="71481" s="12" customFormat="1" x14ac:dyDescent="0.25"/>
    <row r="71482" s="12" customFormat="1" x14ac:dyDescent="0.25"/>
    <row r="71483" s="12" customFormat="1" x14ac:dyDescent="0.25"/>
    <row r="71484" s="12" customFormat="1" x14ac:dyDescent="0.25"/>
    <row r="71485" s="12" customFormat="1" x14ac:dyDescent="0.25"/>
    <row r="71486" s="12" customFormat="1" x14ac:dyDescent="0.25"/>
    <row r="71487" s="12" customFormat="1" x14ac:dyDescent="0.25"/>
    <row r="71488" s="12" customFormat="1" x14ac:dyDescent="0.25"/>
    <row r="71489" s="12" customFormat="1" x14ac:dyDescent="0.25"/>
    <row r="71490" s="12" customFormat="1" x14ac:dyDescent="0.25"/>
    <row r="71491" s="12" customFormat="1" x14ac:dyDescent="0.25"/>
    <row r="71492" s="12" customFormat="1" x14ac:dyDescent="0.25"/>
    <row r="71493" s="12" customFormat="1" x14ac:dyDescent="0.25"/>
    <row r="71494" s="12" customFormat="1" x14ac:dyDescent="0.25"/>
    <row r="71495" s="12" customFormat="1" x14ac:dyDescent="0.25"/>
    <row r="71496" s="12" customFormat="1" x14ac:dyDescent="0.25"/>
    <row r="71497" s="12" customFormat="1" x14ac:dyDescent="0.25"/>
    <row r="71498" s="12" customFormat="1" x14ac:dyDescent="0.25"/>
    <row r="71499" s="12" customFormat="1" x14ac:dyDescent="0.25"/>
    <row r="71500" s="12" customFormat="1" x14ac:dyDescent="0.25"/>
    <row r="71501" s="12" customFormat="1" x14ac:dyDescent="0.25"/>
    <row r="71502" s="12" customFormat="1" x14ac:dyDescent="0.25"/>
    <row r="71503" s="12" customFormat="1" x14ac:dyDescent="0.25"/>
    <row r="71504" s="12" customFormat="1" x14ac:dyDescent="0.25"/>
    <row r="71505" s="12" customFormat="1" x14ac:dyDescent="0.25"/>
    <row r="71506" s="12" customFormat="1" x14ac:dyDescent="0.25"/>
    <row r="71507" s="12" customFormat="1" x14ac:dyDescent="0.25"/>
    <row r="71508" s="12" customFormat="1" x14ac:dyDescent="0.25"/>
    <row r="71509" s="12" customFormat="1" x14ac:dyDescent="0.25"/>
    <row r="71510" s="12" customFormat="1" x14ac:dyDescent="0.25"/>
    <row r="71511" s="12" customFormat="1" x14ac:dyDescent="0.25"/>
    <row r="71512" s="12" customFormat="1" x14ac:dyDescent="0.25"/>
    <row r="71513" s="12" customFormat="1" x14ac:dyDescent="0.25"/>
    <row r="71514" s="12" customFormat="1" x14ac:dyDescent="0.25"/>
    <row r="71515" s="12" customFormat="1" x14ac:dyDescent="0.25"/>
    <row r="71516" s="12" customFormat="1" x14ac:dyDescent="0.25"/>
    <row r="71517" s="12" customFormat="1" x14ac:dyDescent="0.25"/>
    <row r="71518" s="12" customFormat="1" x14ac:dyDescent="0.25"/>
    <row r="71519" s="12" customFormat="1" x14ac:dyDescent="0.25"/>
    <row r="71520" s="12" customFormat="1" x14ac:dyDescent="0.25"/>
    <row r="71521" s="12" customFormat="1" x14ac:dyDescent="0.25"/>
    <row r="71522" s="12" customFormat="1" x14ac:dyDescent="0.25"/>
    <row r="71523" s="12" customFormat="1" x14ac:dyDescent="0.25"/>
    <row r="71524" s="12" customFormat="1" x14ac:dyDescent="0.25"/>
    <row r="71525" s="12" customFormat="1" x14ac:dyDescent="0.25"/>
    <row r="71526" s="12" customFormat="1" x14ac:dyDescent="0.25"/>
    <row r="71527" s="12" customFormat="1" x14ac:dyDescent="0.25"/>
    <row r="71528" s="12" customFormat="1" x14ac:dyDescent="0.25"/>
    <row r="71529" s="12" customFormat="1" x14ac:dyDescent="0.25"/>
    <row r="71530" s="12" customFormat="1" x14ac:dyDescent="0.25"/>
    <row r="71531" s="12" customFormat="1" x14ac:dyDescent="0.25"/>
    <row r="71532" s="12" customFormat="1" x14ac:dyDescent="0.25"/>
    <row r="71533" s="12" customFormat="1" x14ac:dyDescent="0.25"/>
    <row r="71534" s="12" customFormat="1" x14ac:dyDescent="0.25"/>
    <row r="71535" s="12" customFormat="1" x14ac:dyDescent="0.25"/>
    <row r="71536" s="12" customFormat="1" x14ac:dyDescent="0.25"/>
    <row r="71537" s="12" customFormat="1" x14ac:dyDescent="0.25"/>
    <row r="71538" s="12" customFormat="1" x14ac:dyDescent="0.25"/>
    <row r="71539" s="12" customFormat="1" x14ac:dyDescent="0.25"/>
    <row r="71540" s="12" customFormat="1" x14ac:dyDescent="0.25"/>
    <row r="71541" s="12" customFormat="1" x14ac:dyDescent="0.25"/>
    <row r="71542" s="12" customFormat="1" x14ac:dyDescent="0.25"/>
    <row r="71543" s="12" customFormat="1" x14ac:dyDescent="0.25"/>
    <row r="71544" s="12" customFormat="1" x14ac:dyDescent="0.25"/>
    <row r="71545" s="12" customFormat="1" x14ac:dyDescent="0.25"/>
    <row r="71546" s="12" customFormat="1" x14ac:dyDescent="0.25"/>
    <row r="71547" s="12" customFormat="1" x14ac:dyDescent="0.25"/>
    <row r="71548" s="12" customFormat="1" x14ac:dyDescent="0.25"/>
    <row r="71549" s="12" customFormat="1" x14ac:dyDescent="0.25"/>
    <row r="71550" s="12" customFormat="1" x14ac:dyDescent="0.25"/>
    <row r="71551" s="12" customFormat="1" x14ac:dyDescent="0.25"/>
    <row r="71552" s="12" customFormat="1" x14ac:dyDescent="0.25"/>
    <row r="71553" s="12" customFormat="1" x14ac:dyDescent="0.25"/>
    <row r="71554" s="12" customFormat="1" x14ac:dyDescent="0.25"/>
    <row r="71555" s="12" customFormat="1" x14ac:dyDescent="0.25"/>
    <row r="71556" s="12" customFormat="1" x14ac:dyDescent="0.25"/>
    <row r="71557" s="12" customFormat="1" x14ac:dyDescent="0.25"/>
    <row r="71558" s="12" customFormat="1" x14ac:dyDescent="0.25"/>
    <row r="71559" s="12" customFormat="1" x14ac:dyDescent="0.25"/>
    <row r="71560" s="12" customFormat="1" x14ac:dyDescent="0.25"/>
    <row r="71561" s="12" customFormat="1" x14ac:dyDescent="0.25"/>
    <row r="71562" s="12" customFormat="1" x14ac:dyDescent="0.25"/>
    <row r="71563" s="12" customFormat="1" x14ac:dyDescent="0.25"/>
    <row r="71564" s="12" customFormat="1" x14ac:dyDescent="0.25"/>
    <row r="71565" s="12" customFormat="1" x14ac:dyDescent="0.25"/>
    <row r="71566" s="12" customFormat="1" x14ac:dyDescent="0.25"/>
    <row r="71567" s="12" customFormat="1" x14ac:dyDescent="0.25"/>
    <row r="71568" s="12" customFormat="1" x14ac:dyDescent="0.25"/>
    <row r="71569" s="12" customFormat="1" x14ac:dyDescent="0.25"/>
    <row r="71570" s="12" customFormat="1" x14ac:dyDescent="0.25"/>
    <row r="71571" s="12" customFormat="1" x14ac:dyDescent="0.25"/>
    <row r="71572" s="12" customFormat="1" x14ac:dyDescent="0.25"/>
    <row r="71573" s="12" customFormat="1" x14ac:dyDescent="0.25"/>
    <row r="71574" s="12" customFormat="1" x14ac:dyDescent="0.25"/>
    <row r="71575" s="12" customFormat="1" x14ac:dyDescent="0.25"/>
    <row r="71576" s="12" customFormat="1" x14ac:dyDescent="0.25"/>
    <row r="71577" s="12" customFormat="1" x14ac:dyDescent="0.25"/>
    <row r="71578" s="12" customFormat="1" x14ac:dyDescent="0.25"/>
    <row r="71579" s="12" customFormat="1" x14ac:dyDescent="0.25"/>
    <row r="71580" s="12" customFormat="1" x14ac:dyDescent="0.25"/>
    <row r="71581" s="12" customFormat="1" x14ac:dyDescent="0.25"/>
    <row r="71582" s="12" customFormat="1" x14ac:dyDescent="0.25"/>
    <row r="71583" s="12" customFormat="1" x14ac:dyDescent="0.25"/>
    <row r="71584" s="12" customFormat="1" x14ac:dyDescent="0.25"/>
    <row r="71585" s="12" customFormat="1" x14ac:dyDescent="0.25"/>
    <row r="71586" s="12" customFormat="1" x14ac:dyDescent="0.25"/>
    <row r="71587" s="12" customFormat="1" x14ac:dyDescent="0.25"/>
    <row r="71588" s="12" customFormat="1" x14ac:dyDescent="0.25"/>
    <row r="71589" s="12" customFormat="1" x14ac:dyDescent="0.25"/>
    <row r="71590" s="12" customFormat="1" x14ac:dyDescent="0.25"/>
    <row r="71591" s="12" customFormat="1" x14ac:dyDescent="0.25"/>
    <row r="71592" s="12" customFormat="1" x14ac:dyDescent="0.25"/>
    <row r="71593" s="12" customFormat="1" x14ac:dyDescent="0.25"/>
    <row r="71594" s="12" customFormat="1" x14ac:dyDescent="0.25"/>
    <row r="71595" s="12" customFormat="1" x14ac:dyDescent="0.25"/>
    <row r="71596" s="12" customFormat="1" x14ac:dyDescent="0.25"/>
    <row r="71597" s="12" customFormat="1" x14ac:dyDescent="0.25"/>
    <row r="71598" s="12" customFormat="1" x14ac:dyDescent="0.25"/>
    <row r="71599" s="12" customFormat="1" x14ac:dyDescent="0.25"/>
    <row r="71600" s="12" customFormat="1" x14ac:dyDescent="0.25"/>
    <row r="71601" s="12" customFormat="1" x14ac:dyDescent="0.25"/>
    <row r="71602" s="12" customFormat="1" x14ac:dyDescent="0.25"/>
    <row r="71603" s="12" customFormat="1" x14ac:dyDescent="0.25"/>
    <row r="71604" s="12" customFormat="1" x14ac:dyDescent="0.25"/>
    <row r="71605" s="12" customFormat="1" x14ac:dyDescent="0.25"/>
    <row r="71606" s="12" customFormat="1" x14ac:dyDescent="0.25"/>
    <row r="71607" s="12" customFormat="1" x14ac:dyDescent="0.25"/>
    <row r="71608" s="12" customFormat="1" x14ac:dyDescent="0.25"/>
    <row r="71609" s="12" customFormat="1" x14ac:dyDescent="0.25"/>
    <row r="71610" s="12" customFormat="1" x14ac:dyDescent="0.25"/>
    <row r="71611" s="12" customFormat="1" x14ac:dyDescent="0.25"/>
    <row r="71612" s="12" customFormat="1" x14ac:dyDescent="0.25"/>
    <row r="71613" s="12" customFormat="1" x14ac:dyDescent="0.25"/>
    <row r="71614" s="12" customFormat="1" x14ac:dyDescent="0.25"/>
    <row r="71615" s="12" customFormat="1" x14ac:dyDescent="0.25"/>
    <row r="71616" s="12" customFormat="1" x14ac:dyDescent="0.25"/>
    <row r="71617" s="12" customFormat="1" x14ac:dyDescent="0.25"/>
    <row r="71618" s="12" customFormat="1" x14ac:dyDescent="0.25"/>
    <row r="71619" s="12" customFormat="1" x14ac:dyDescent="0.25"/>
    <row r="71620" s="12" customFormat="1" x14ac:dyDescent="0.25"/>
    <row r="71621" s="12" customFormat="1" x14ac:dyDescent="0.25"/>
    <row r="71622" s="12" customFormat="1" x14ac:dyDescent="0.25"/>
    <row r="71623" s="12" customFormat="1" x14ac:dyDescent="0.25"/>
    <row r="71624" s="12" customFormat="1" x14ac:dyDescent="0.25"/>
    <row r="71625" s="12" customFormat="1" x14ac:dyDescent="0.25"/>
    <row r="71626" s="12" customFormat="1" x14ac:dyDescent="0.25"/>
    <row r="71627" s="12" customFormat="1" x14ac:dyDescent="0.25"/>
    <row r="71628" s="12" customFormat="1" x14ac:dyDescent="0.25"/>
    <row r="71629" s="12" customFormat="1" x14ac:dyDescent="0.25"/>
    <row r="71630" s="12" customFormat="1" x14ac:dyDescent="0.25"/>
    <row r="71631" s="12" customFormat="1" x14ac:dyDescent="0.25"/>
    <row r="71632" s="12" customFormat="1" x14ac:dyDescent="0.25"/>
    <row r="71633" s="12" customFormat="1" x14ac:dyDescent="0.25"/>
    <row r="71634" s="12" customFormat="1" x14ac:dyDescent="0.25"/>
    <row r="71635" s="12" customFormat="1" x14ac:dyDescent="0.25"/>
    <row r="71636" s="12" customFormat="1" x14ac:dyDescent="0.25"/>
    <row r="71637" s="12" customFormat="1" x14ac:dyDescent="0.25"/>
    <row r="71638" s="12" customFormat="1" x14ac:dyDescent="0.25"/>
    <row r="71639" s="12" customFormat="1" x14ac:dyDescent="0.25"/>
    <row r="71640" s="12" customFormat="1" x14ac:dyDescent="0.25"/>
    <row r="71641" s="12" customFormat="1" x14ac:dyDescent="0.25"/>
    <row r="71642" s="12" customFormat="1" x14ac:dyDescent="0.25"/>
    <row r="71643" s="12" customFormat="1" x14ac:dyDescent="0.25"/>
    <row r="71644" s="12" customFormat="1" x14ac:dyDescent="0.25"/>
    <row r="71645" s="12" customFormat="1" x14ac:dyDescent="0.25"/>
    <row r="71646" s="12" customFormat="1" x14ac:dyDescent="0.25"/>
    <row r="71647" s="12" customFormat="1" x14ac:dyDescent="0.25"/>
    <row r="71648" s="12" customFormat="1" x14ac:dyDescent="0.25"/>
    <row r="71649" s="12" customFormat="1" x14ac:dyDescent="0.25"/>
    <row r="71650" s="12" customFormat="1" x14ac:dyDescent="0.25"/>
    <row r="71651" s="12" customFormat="1" x14ac:dyDescent="0.25"/>
    <row r="71652" s="12" customFormat="1" x14ac:dyDescent="0.25"/>
    <row r="71653" s="12" customFormat="1" x14ac:dyDescent="0.25"/>
    <row r="71654" s="12" customFormat="1" x14ac:dyDescent="0.25"/>
    <row r="71655" s="12" customFormat="1" x14ac:dyDescent="0.25"/>
    <row r="71656" s="12" customFormat="1" x14ac:dyDescent="0.25"/>
    <row r="71657" s="12" customFormat="1" x14ac:dyDescent="0.25"/>
    <row r="71658" s="12" customFormat="1" x14ac:dyDescent="0.25"/>
    <row r="71659" s="12" customFormat="1" x14ac:dyDescent="0.25"/>
    <row r="71660" s="12" customFormat="1" x14ac:dyDescent="0.25"/>
    <row r="71661" s="12" customFormat="1" x14ac:dyDescent="0.25"/>
    <row r="71662" s="12" customFormat="1" x14ac:dyDescent="0.25"/>
    <row r="71663" s="12" customFormat="1" x14ac:dyDescent="0.25"/>
    <row r="71664" s="12" customFormat="1" x14ac:dyDescent="0.25"/>
    <row r="71665" s="12" customFormat="1" x14ac:dyDescent="0.25"/>
    <row r="71666" s="12" customFormat="1" x14ac:dyDescent="0.25"/>
    <row r="71667" s="12" customFormat="1" x14ac:dyDescent="0.25"/>
    <row r="71668" s="12" customFormat="1" x14ac:dyDescent="0.25"/>
    <row r="71669" s="12" customFormat="1" x14ac:dyDescent="0.25"/>
    <row r="71670" s="12" customFormat="1" x14ac:dyDescent="0.25"/>
    <row r="71671" s="12" customFormat="1" x14ac:dyDescent="0.25"/>
    <row r="71672" s="12" customFormat="1" x14ac:dyDescent="0.25"/>
    <row r="71673" s="12" customFormat="1" x14ac:dyDescent="0.25"/>
    <row r="71674" s="12" customFormat="1" x14ac:dyDescent="0.25"/>
    <row r="71675" s="12" customFormat="1" x14ac:dyDescent="0.25"/>
    <row r="71676" s="12" customFormat="1" x14ac:dyDescent="0.25"/>
    <row r="71677" s="12" customFormat="1" x14ac:dyDescent="0.25"/>
    <row r="71678" s="12" customFormat="1" x14ac:dyDescent="0.25"/>
    <row r="71679" s="12" customFormat="1" x14ac:dyDescent="0.25"/>
    <row r="71680" s="12" customFormat="1" x14ac:dyDescent="0.25"/>
    <row r="71681" s="12" customFormat="1" x14ac:dyDescent="0.25"/>
    <row r="71682" s="12" customFormat="1" x14ac:dyDescent="0.25"/>
    <row r="71683" s="12" customFormat="1" x14ac:dyDescent="0.25"/>
    <row r="71684" s="12" customFormat="1" x14ac:dyDescent="0.25"/>
    <row r="71685" s="12" customFormat="1" x14ac:dyDescent="0.25"/>
    <row r="71686" s="12" customFormat="1" x14ac:dyDescent="0.25"/>
    <row r="71687" s="12" customFormat="1" x14ac:dyDescent="0.25"/>
    <row r="71688" s="12" customFormat="1" x14ac:dyDescent="0.25"/>
    <row r="71689" s="12" customFormat="1" x14ac:dyDescent="0.25"/>
    <row r="71690" s="12" customFormat="1" x14ac:dyDescent="0.25"/>
    <row r="71691" s="12" customFormat="1" x14ac:dyDescent="0.25"/>
    <row r="71692" s="12" customFormat="1" x14ac:dyDescent="0.25"/>
    <row r="71693" s="12" customFormat="1" x14ac:dyDescent="0.25"/>
    <row r="71694" s="12" customFormat="1" x14ac:dyDescent="0.25"/>
    <row r="71695" s="12" customFormat="1" x14ac:dyDescent="0.25"/>
    <row r="71696" s="12" customFormat="1" x14ac:dyDescent="0.25"/>
    <row r="71697" s="12" customFormat="1" x14ac:dyDescent="0.25"/>
    <row r="71698" s="12" customFormat="1" x14ac:dyDescent="0.25"/>
    <row r="71699" s="12" customFormat="1" x14ac:dyDescent="0.25"/>
    <row r="71700" s="12" customFormat="1" x14ac:dyDescent="0.25"/>
    <row r="71701" s="12" customFormat="1" x14ac:dyDescent="0.25"/>
    <row r="71702" s="12" customFormat="1" x14ac:dyDescent="0.25"/>
    <row r="71703" s="12" customFormat="1" x14ac:dyDescent="0.25"/>
    <row r="71704" s="12" customFormat="1" x14ac:dyDescent="0.25"/>
    <row r="71705" s="12" customFormat="1" x14ac:dyDescent="0.25"/>
    <row r="71706" s="12" customFormat="1" x14ac:dyDescent="0.25"/>
    <row r="71707" s="12" customFormat="1" x14ac:dyDescent="0.25"/>
    <row r="71708" s="12" customFormat="1" x14ac:dyDescent="0.25"/>
    <row r="71709" s="12" customFormat="1" x14ac:dyDescent="0.25"/>
    <row r="71710" s="12" customFormat="1" x14ac:dyDescent="0.25"/>
    <row r="71711" s="12" customFormat="1" x14ac:dyDescent="0.25"/>
    <row r="71712" s="12" customFormat="1" x14ac:dyDescent="0.25"/>
    <row r="71713" s="12" customFormat="1" x14ac:dyDescent="0.25"/>
    <row r="71714" s="12" customFormat="1" x14ac:dyDescent="0.25"/>
    <row r="71715" s="12" customFormat="1" x14ac:dyDescent="0.25"/>
    <row r="71716" s="12" customFormat="1" x14ac:dyDescent="0.25"/>
    <row r="71717" s="12" customFormat="1" x14ac:dyDescent="0.25"/>
    <row r="71718" s="12" customFormat="1" x14ac:dyDescent="0.25"/>
    <row r="71719" s="12" customFormat="1" x14ac:dyDescent="0.25"/>
    <row r="71720" s="12" customFormat="1" x14ac:dyDescent="0.25"/>
    <row r="71721" s="12" customFormat="1" x14ac:dyDescent="0.25"/>
    <row r="71722" s="12" customFormat="1" x14ac:dyDescent="0.25"/>
    <row r="71723" s="12" customFormat="1" x14ac:dyDescent="0.25"/>
    <row r="71724" s="12" customFormat="1" x14ac:dyDescent="0.25"/>
    <row r="71725" s="12" customFormat="1" x14ac:dyDescent="0.25"/>
    <row r="71726" s="12" customFormat="1" x14ac:dyDescent="0.25"/>
    <row r="71727" s="12" customFormat="1" x14ac:dyDescent="0.25"/>
    <row r="71728" s="12" customFormat="1" x14ac:dyDescent="0.25"/>
    <row r="71729" s="12" customFormat="1" x14ac:dyDescent="0.25"/>
    <row r="71730" s="12" customFormat="1" x14ac:dyDescent="0.25"/>
    <row r="71731" s="12" customFormat="1" x14ac:dyDescent="0.25"/>
    <row r="71732" s="12" customFormat="1" x14ac:dyDescent="0.25"/>
    <row r="71733" s="12" customFormat="1" x14ac:dyDescent="0.25"/>
    <row r="71734" s="12" customFormat="1" x14ac:dyDescent="0.25"/>
    <row r="71735" s="12" customFormat="1" x14ac:dyDescent="0.25"/>
    <row r="71736" s="12" customFormat="1" x14ac:dyDescent="0.25"/>
    <row r="71737" s="12" customFormat="1" x14ac:dyDescent="0.25"/>
    <row r="71738" s="12" customFormat="1" x14ac:dyDescent="0.25"/>
    <row r="71739" s="12" customFormat="1" x14ac:dyDescent="0.25"/>
    <row r="71740" s="12" customFormat="1" x14ac:dyDescent="0.25"/>
    <row r="71741" s="12" customFormat="1" x14ac:dyDescent="0.25"/>
    <row r="71742" s="12" customFormat="1" x14ac:dyDescent="0.25"/>
    <row r="71743" s="12" customFormat="1" x14ac:dyDescent="0.25"/>
    <row r="71744" s="12" customFormat="1" x14ac:dyDescent="0.25"/>
    <row r="71745" s="12" customFormat="1" x14ac:dyDescent="0.25"/>
    <row r="71746" s="12" customFormat="1" x14ac:dyDescent="0.25"/>
    <row r="71747" s="12" customFormat="1" x14ac:dyDescent="0.25"/>
    <row r="71748" s="12" customFormat="1" x14ac:dyDescent="0.25"/>
    <row r="71749" s="12" customFormat="1" x14ac:dyDescent="0.25"/>
    <row r="71750" s="12" customFormat="1" x14ac:dyDescent="0.25"/>
    <row r="71751" s="12" customFormat="1" x14ac:dyDescent="0.25"/>
    <row r="71752" s="12" customFormat="1" x14ac:dyDescent="0.25"/>
    <row r="71753" s="12" customFormat="1" x14ac:dyDescent="0.25"/>
    <row r="71754" s="12" customFormat="1" x14ac:dyDescent="0.25"/>
    <row r="71755" s="12" customFormat="1" x14ac:dyDescent="0.25"/>
    <row r="71756" s="12" customFormat="1" x14ac:dyDescent="0.25"/>
    <row r="71757" s="12" customFormat="1" x14ac:dyDescent="0.25"/>
    <row r="71758" s="12" customFormat="1" x14ac:dyDescent="0.25"/>
    <row r="71759" s="12" customFormat="1" x14ac:dyDescent="0.25"/>
    <row r="71760" s="12" customFormat="1" x14ac:dyDescent="0.25"/>
    <row r="71761" s="12" customFormat="1" x14ac:dyDescent="0.25"/>
    <row r="71762" s="12" customFormat="1" x14ac:dyDescent="0.25"/>
    <row r="71763" s="12" customFormat="1" x14ac:dyDescent="0.25"/>
    <row r="71764" s="12" customFormat="1" x14ac:dyDescent="0.25"/>
    <row r="71765" s="12" customFormat="1" x14ac:dyDescent="0.25"/>
    <row r="71766" s="12" customFormat="1" x14ac:dyDescent="0.25"/>
    <row r="71767" s="12" customFormat="1" x14ac:dyDescent="0.25"/>
    <row r="71768" s="12" customFormat="1" x14ac:dyDescent="0.25"/>
    <row r="71769" s="12" customFormat="1" x14ac:dyDescent="0.25"/>
    <row r="71770" s="12" customFormat="1" x14ac:dyDescent="0.25"/>
    <row r="71771" s="12" customFormat="1" x14ac:dyDescent="0.25"/>
    <row r="71772" s="12" customFormat="1" x14ac:dyDescent="0.25"/>
    <row r="71773" s="12" customFormat="1" x14ac:dyDescent="0.25"/>
    <row r="71774" s="12" customFormat="1" x14ac:dyDescent="0.25"/>
    <row r="71775" s="12" customFormat="1" x14ac:dyDescent="0.25"/>
    <row r="71776" s="12" customFormat="1" x14ac:dyDescent="0.25"/>
    <row r="71777" s="12" customFormat="1" x14ac:dyDescent="0.25"/>
    <row r="71778" s="12" customFormat="1" x14ac:dyDescent="0.25"/>
    <row r="71779" s="12" customFormat="1" x14ac:dyDescent="0.25"/>
    <row r="71780" s="12" customFormat="1" x14ac:dyDescent="0.25"/>
    <row r="71781" s="12" customFormat="1" x14ac:dyDescent="0.25"/>
    <row r="71782" s="12" customFormat="1" x14ac:dyDescent="0.25"/>
    <row r="71783" s="12" customFormat="1" x14ac:dyDescent="0.25"/>
    <row r="71784" s="12" customFormat="1" x14ac:dyDescent="0.25"/>
    <row r="71785" s="12" customFormat="1" x14ac:dyDescent="0.25"/>
    <row r="71786" s="12" customFormat="1" x14ac:dyDescent="0.25"/>
    <row r="71787" s="12" customFormat="1" x14ac:dyDescent="0.25"/>
    <row r="71788" s="12" customFormat="1" x14ac:dyDescent="0.25"/>
    <row r="71789" s="12" customFormat="1" x14ac:dyDescent="0.25"/>
    <row r="71790" s="12" customFormat="1" x14ac:dyDescent="0.25"/>
    <row r="71791" s="12" customFormat="1" x14ac:dyDescent="0.25"/>
    <row r="71792" s="12" customFormat="1" x14ac:dyDescent="0.25"/>
    <row r="71793" s="12" customFormat="1" x14ac:dyDescent="0.25"/>
    <row r="71794" s="12" customFormat="1" x14ac:dyDescent="0.25"/>
    <row r="71795" s="12" customFormat="1" x14ac:dyDescent="0.25"/>
    <row r="71796" s="12" customFormat="1" x14ac:dyDescent="0.25"/>
    <row r="71797" s="12" customFormat="1" x14ac:dyDescent="0.25"/>
    <row r="71798" s="12" customFormat="1" x14ac:dyDescent="0.25"/>
    <row r="71799" s="12" customFormat="1" x14ac:dyDescent="0.25"/>
    <row r="71800" s="12" customFormat="1" x14ac:dyDescent="0.25"/>
    <row r="71801" s="12" customFormat="1" x14ac:dyDescent="0.25"/>
    <row r="71802" s="12" customFormat="1" x14ac:dyDescent="0.25"/>
    <row r="71803" s="12" customFormat="1" x14ac:dyDescent="0.25"/>
    <row r="71804" s="12" customFormat="1" x14ac:dyDescent="0.25"/>
    <row r="71805" s="12" customFormat="1" x14ac:dyDescent="0.25"/>
    <row r="71806" s="12" customFormat="1" x14ac:dyDescent="0.25"/>
    <row r="71807" s="12" customFormat="1" x14ac:dyDescent="0.25"/>
    <row r="71808" s="12" customFormat="1" x14ac:dyDescent="0.25"/>
    <row r="71809" s="12" customFormat="1" x14ac:dyDescent="0.25"/>
    <row r="71810" s="12" customFormat="1" x14ac:dyDescent="0.25"/>
    <row r="71811" s="12" customFormat="1" x14ac:dyDescent="0.25"/>
    <row r="71812" s="12" customFormat="1" x14ac:dyDescent="0.25"/>
    <row r="71813" s="12" customFormat="1" x14ac:dyDescent="0.25"/>
    <row r="71814" s="12" customFormat="1" x14ac:dyDescent="0.25"/>
    <row r="71815" s="12" customFormat="1" x14ac:dyDescent="0.25"/>
    <row r="71816" s="12" customFormat="1" x14ac:dyDescent="0.25"/>
    <row r="71817" s="12" customFormat="1" x14ac:dyDescent="0.25"/>
    <row r="71818" s="12" customFormat="1" x14ac:dyDescent="0.25"/>
    <row r="71819" s="12" customFormat="1" x14ac:dyDescent="0.25"/>
    <row r="71820" s="12" customFormat="1" x14ac:dyDescent="0.25"/>
    <row r="71821" s="12" customFormat="1" x14ac:dyDescent="0.25"/>
    <row r="71822" s="12" customFormat="1" x14ac:dyDescent="0.25"/>
    <row r="71823" s="12" customFormat="1" x14ac:dyDescent="0.25"/>
    <row r="71824" s="12" customFormat="1" x14ac:dyDescent="0.25"/>
    <row r="71825" s="12" customFormat="1" x14ac:dyDescent="0.25"/>
    <row r="71826" s="12" customFormat="1" x14ac:dyDescent="0.25"/>
    <row r="71827" s="12" customFormat="1" x14ac:dyDescent="0.25"/>
    <row r="71828" s="12" customFormat="1" x14ac:dyDescent="0.25"/>
    <row r="71829" s="12" customFormat="1" x14ac:dyDescent="0.25"/>
    <row r="71830" s="12" customFormat="1" x14ac:dyDescent="0.25"/>
    <row r="71831" s="12" customFormat="1" x14ac:dyDescent="0.25"/>
    <row r="71832" s="12" customFormat="1" x14ac:dyDescent="0.25"/>
    <row r="71833" s="12" customFormat="1" x14ac:dyDescent="0.25"/>
    <row r="71834" s="12" customFormat="1" x14ac:dyDescent="0.25"/>
    <row r="71835" s="12" customFormat="1" x14ac:dyDescent="0.25"/>
    <row r="71836" s="12" customFormat="1" x14ac:dyDescent="0.25"/>
    <row r="71837" s="12" customFormat="1" x14ac:dyDescent="0.25"/>
    <row r="71838" s="12" customFormat="1" x14ac:dyDescent="0.25"/>
    <row r="71839" s="12" customFormat="1" x14ac:dyDescent="0.25"/>
    <row r="71840" s="12" customFormat="1" x14ac:dyDescent="0.25"/>
    <row r="71841" s="12" customFormat="1" x14ac:dyDescent="0.25"/>
    <row r="71842" s="12" customFormat="1" x14ac:dyDescent="0.25"/>
    <row r="71843" s="12" customFormat="1" x14ac:dyDescent="0.25"/>
    <row r="71844" s="12" customFormat="1" x14ac:dyDescent="0.25"/>
    <row r="71845" s="12" customFormat="1" x14ac:dyDescent="0.25"/>
    <row r="71846" s="12" customFormat="1" x14ac:dyDescent="0.25"/>
    <row r="71847" s="12" customFormat="1" x14ac:dyDescent="0.25"/>
    <row r="71848" s="12" customFormat="1" x14ac:dyDescent="0.25"/>
    <row r="71849" s="12" customFormat="1" x14ac:dyDescent="0.25"/>
    <row r="71850" s="12" customFormat="1" x14ac:dyDescent="0.25"/>
    <row r="71851" s="12" customFormat="1" x14ac:dyDescent="0.25"/>
    <row r="71852" s="12" customFormat="1" x14ac:dyDescent="0.25"/>
    <row r="71853" s="12" customFormat="1" x14ac:dyDescent="0.25"/>
    <row r="71854" s="12" customFormat="1" x14ac:dyDescent="0.25"/>
    <row r="71855" s="12" customFormat="1" x14ac:dyDescent="0.25"/>
    <row r="71856" s="12" customFormat="1" x14ac:dyDescent="0.25"/>
    <row r="71857" s="12" customFormat="1" x14ac:dyDescent="0.25"/>
    <row r="71858" s="12" customFormat="1" x14ac:dyDescent="0.25"/>
    <row r="71859" s="12" customFormat="1" x14ac:dyDescent="0.25"/>
    <row r="71860" s="12" customFormat="1" x14ac:dyDescent="0.25"/>
    <row r="71861" s="12" customFormat="1" x14ac:dyDescent="0.25"/>
    <row r="71862" s="12" customFormat="1" x14ac:dyDescent="0.25"/>
    <row r="71863" s="12" customFormat="1" x14ac:dyDescent="0.25"/>
    <row r="71864" s="12" customFormat="1" x14ac:dyDescent="0.25"/>
    <row r="71865" s="12" customFormat="1" x14ac:dyDescent="0.25"/>
    <row r="71866" s="12" customFormat="1" x14ac:dyDescent="0.25"/>
    <row r="71867" s="12" customFormat="1" x14ac:dyDescent="0.25"/>
    <row r="71868" s="12" customFormat="1" x14ac:dyDescent="0.25"/>
    <row r="71869" s="12" customFormat="1" x14ac:dyDescent="0.25"/>
    <row r="71870" s="12" customFormat="1" x14ac:dyDescent="0.25"/>
    <row r="71871" s="12" customFormat="1" x14ac:dyDescent="0.25"/>
    <row r="71872" s="12" customFormat="1" x14ac:dyDescent="0.25"/>
    <row r="71873" s="12" customFormat="1" x14ac:dyDescent="0.25"/>
    <row r="71874" s="12" customFormat="1" x14ac:dyDescent="0.25"/>
    <row r="71875" s="12" customFormat="1" x14ac:dyDescent="0.25"/>
    <row r="71876" s="12" customFormat="1" x14ac:dyDescent="0.25"/>
    <row r="71877" s="12" customFormat="1" x14ac:dyDescent="0.25"/>
    <row r="71878" s="12" customFormat="1" x14ac:dyDescent="0.25"/>
    <row r="71879" s="12" customFormat="1" x14ac:dyDescent="0.25"/>
    <row r="71880" s="12" customFormat="1" x14ac:dyDescent="0.25"/>
    <row r="71881" s="12" customFormat="1" x14ac:dyDescent="0.25"/>
    <row r="71882" s="12" customFormat="1" x14ac:dyDescent="0.25"/>
    <row r="71883" s="12" customFormat="1" x14ac:dyDescent="0.25"/>
    <row r="71884" s="12" customFormat="1" x14ac:dyDescent="0.25"/>
    <row r="71885" s="12" customFormat="1" x14ac:dyDescent="0.25"/>
    <row r="71886" s="12" customFormat="1" x14ac:dyDescent="0.25"/>
    <row r="71887" s="12" customFormat="1" x14ac:dyDescent="0.25"/>
    <row r="71888" s="12" customFormat="1" x14ac:dyDescent="0.25"/>
    <row r="71889" s="12" customFormat="1" x14ac:dyDescent="0.25"/>
    <row r="71890" s="12" customFormat="1" x14ac:dyDescent="0.25"/>
    <row r="71891" s="12" customFormat="1" x14ac:dyDescent="0.25"/>
    <row r="71892" s="12" customFormat="1" x14ac:dyDescent="0.25"/>
    <row r="71893" s="12" customFormat="1" x14ac:dyDescent="0.25"/>
    <row r="71894" s="12" customFormat="1" x14ac:dyDescent="0.25"/>
    <row r="71895" s="12" customFormat="1" x14ac:dyDescent="0.25"/>
    <row r="71896" s="12" customFormat="1" x14ac:dyDescent="0.25"/>
    <row r="71897" s="12" customFormat="1" x14ac:dyDescent="0.25"/>
    <row r="71898" s="12" customFormat="1" x14ac:dyDescent="0.25"/>
    <row r="71899" s="12" customFormat="1" x14ac:dyDescent="0.25"/>
    <row r="71900" s="12" customFormat="1" x14ac:dyDescent="0.25"/>
    <row r="71901" s="12" customFormat="1" x14ac:dyDescent="0.25"/>
    <row r="71902" s="12" customFormat="1" x14ac:dyDescent="0.25"/>
    <row r="71903" s="12" customFormat="1" x14ac:dyDescent="0.25"/>
    <row r="71904" s="12" customFormat="1" x14ac:dyDescent="0.25"/>
    <row r="71905" s="12" customFormat="1" x14ac:dyDescent="0.25"/>
    <row r="71906" s="12" customFormat="1" x14ac:dyDescent="0.25"/>
    <row r="71907" s="12" customFormat="1" x14ac:dyDescent="0.25"/>
    <row r="71908" s="12" customFormat="1" x14ac:dyDescent="0.25"/>
    <row r="71909" s="12" customFormat="1" x14ac:dyDescent="0.25"/>
    <row r="71910" s="12" customFormat="1" x14ac:dyDescent="0.25"/>
    <row r="71911" s="12" customFormat="1" x14ac:dyDescent="0.25"/>
    <row r="71912" s="12" customFormat="1" x14ac:dyDescent="0.25"/>
    <row r="71913" s="12" customFormat="1" x14ac:dyDescent="0.25"/>
    <row r="71914" s="12" customFormat="1" x14ac:dyDescent="0.25"/>
    <row r="71915" s="12" customFormat="1" x14ac:dyDescent="0.25"/>
    <row r="71916" s="12" customFormat="1" x14ac:dyDescent="0.25"/>
    <row r="71917" s="12" customFormat="1" x14ac:dyDescent="0.25"/>
    <row r="71918" s="12" customFormat="1" x14ac:dyDescent="0.25"/>
    <row r="71919" s="12" customFormat="1" x14ac:dyDescent="0.25"/>
    <row r="71920" s="12" customFormat="1" x14ac:dyDescent="0.25"/>
    <row r="71921" s="12" customFormat="1" x14ac:dyDescent="0.25"/>
    <row r="71922" s="12" customFormat="1" x14ac:dyDescent="0.25"/>
    <row r="71923" s="12" customFormat="1" x14ac:dyDescent="0.25"/>
    <row r="71924" s="12" customFormat="1" x14ac:dyDescent="0.25"/>
    <row r="71925" s="12" customFormat="1" x14ac:dyDescent="0.25"/>
    <row r="71926" s="12" customFormat="1" x14ac:dyDescent="0.25"/>
    <row r="71927" s="12" customFormat="1" x14ac:dyDescent="0.25"/>
    <row r="71928" s="12" customFormat="1" x14ac:dyDescent="0.25"/>
    <row r="71929" s="12" customFormat="1" x14ac:dyDescent="0.25"/>
    <row r="71930" s="12" customFormat="1" x14ac:dyDescent="0.25"/>
    <row r="71931" s="12" customFormat="1" x14ac:dyDescent="0.25"/>
    <row r="71932" s="12" customFormat="1" x14ac:dyDescent="0.25"/>
    <row r="71933" s="12" customFormat="1" x14ac:dyDescent="0.25"/>
    <row r="71934" s="12" customFormat="1" x14ac:dyDescent="0.25"/>
    <row r="71935" s="12" customFormat="1" x14ac:dyDescent="0.25"/>
    <row r="71936" s="12" customFormat="1" x14ac:dyDescent="0.25"/>
    <row r="71937" s="12" customFormat="1" x14ac:dyDescent="0.25"/>
    <row r="71938" s="12" customFormat="1" x14ac:dyDescent="0.25"/>
    <row r="71939" s="12" customFormat="1" x14ac:dyDescent="0.25"/>
    <row r="71940" s="12" customFormat="1" x14ac:dyDescent="0.25"/>
    <row r="71941" s="12" customFormat="1" x14ac:dyDescent="0.25"/>
    <row r="71942" s="12" customFormat="1" x14ac:dyDescent="0.25"/>
    <row r="71943" s="12" customFormat="1" x14ac:dyDescent="0.25"/>
    <row r="71944" s="12" customFormat="1" x14ac:dyDescent="0.25"/>
    <row r="71945" s="12" customFormat="1" x14ac:dyDescent="0.25"/>
    <row r="71946" s="12" customFormat="1" x14ac:dyDescent="0.25"/>
    <row r="71947" s="12" customFormat="1" x14ac:dyDescent="0.25"/>
    <row r="71948" s="12" customFormat="1" x14ac:dyDescent="0.25"/>
    <row r="71949" s="12" customFormat="1" x14ac:dyDescent="0.25"/>
    <row r="71950" s="12" customFormat="1" x14ac:dyDescent="0.25"/>
    <row r="71951" s="12" customFormat="1" x14ac:dyDescent="0.25"/>
    <row r="71952" s="12" customFormat="1" x14ac:dyDescent="0.25"/>
    <row r="71953" s="12" customFormat="1" x14ac:dyDescent="0.25"/>
    <row r="71954" s="12" customFormat="1" x14ac:dyDescent="0.25"/>
    <row r="71955" s="12" customFormat="1" x14ac:dyDescent="0.25"/>
    <row r="71956" s="12" customFormat="1" x14ac:dyDescent="0.25"/>
    <row r="71957" s="12" customFormat="1" x14ac:dyDescent="0.25"/>
    <row r="71958" s="12" customFormat="1" x14ac:dyDescent="0.25"/>
    <row r="71959" s="12" customFormat="1" x14ac:dyDescent="0.25"/>
    <row r="71960" s="12" customFormat="1" x14ac:dyDescent="0.25"/>
    <row r="71961" s="12" customFormat="1" x14ac:dyDescent="0.25"/>
    <row r="71962" s="12" customFormat="1" x14ac:dyDescent="0.25"/>
    <row r="71963" s="12" customFormat="1" x14ac:dyDescent="0.25"/>
    <row r="71964" s="12" customFormat="1" x14ac:dyDescent="0.25"/>
    <row r="71965" s="12" customFormat="1" x14ac:dyDescent="0.25"/>
    <row r="71966" s="12" customFormat="1" x14ac:dyDescent="0.25"/>
    <row r="71967" s="12" customFormat="1" x14ac:dyDescent="0.25"/>
    <row r="71968" s="12" customFormat="1" x14ac:dyDescent="0.25"/>
    <row r="71969" s="12" customFormat="1" x14ac:dyDescent="0.25"/>
    <row r="71970" s="12" customFormat="1" x14ac:dyDescent="0.25"/>
    <row r="71971" s="12" customFormat="1" x14ac:dyDescent="0.25"/>
    <row r="71972" s="12" customFormat="1" x14ac:dyDescent="0.25"/>
    <row r="71973" s="12" customFormat="1" x14ac:dyDescent="0.25"/>
    <row r="71974" s="12" customFormat="1" x14ac:dyDescent="0.25"/>
    <row r="71975" s="12" customFormat="1" x14ac:dyDescent="0.25"/>
    <row r="71976" s="12" customFormat="1" x14ac:dyDescent="0.25"/>
    <row r="71977" s="12" customFormat="1" x14ac:dyDescent="0.25"/>
    <row r="71978" s="12" customFormat="1" x14ac:dyDescent="0.25"/>
    <row r="71979" s="12" customFormat="1" x14ac:dyDescent="0.25"/>
    <row r="71980" s="12" customFormat="1" x14ac:dyDescent="0.25"/>
    <row r="71981" s="12" customFormat="1" x14ac:dyDescent="0.25"/>
    <row r="71982" s="12" customFormat="1" x14ac:dyDescent="0.25"/>
    <row r="71983" s="12" customFormat="1" x14ac:dyDescent="0.25"/>
    <row r="71984" s="12" customFormat="1" x14ac:dyDescent="0.25"/>
    <row r="71985" s="12" customFormat="1" x14ac:dyDescent="0.25"/>
    <row r="71986" s="12" customFormat="1" x14ac:dyDescent="0.25"/>
    <row r="71987" s="12" customFormat="1" x14ac:dyDescent="0.25"/>
    <row r="71988" s="12" customFormat="1" x14ac:dyDescent="0.25"/>
    <row r="71989" s="12" customFormat="1" x14ac:dyDescent="0.25"/>
    <row r="71990" s="12" customFormat="1" x14ac:dyDescent="0.25"/>
    <row r="71991" s="12" customFormat="1" x14ac:dyDescent="0.25"/>
    <row r="71992" s="12" customFormat="1" x14ac:dyDescent="0.25"/>
    <row r="71993" s="12" customFormat="1" x14ac:dyDescent="0.25"/>
    <row r="71994" s="12" customFormat="1" x14ac:dyDescent="0.25"/>
    <row r="71995" s="12" customFormat="1" x14ac:dyDescent="0.25"/>
    <row r="71996" s="12" customFormat="1" x14ac:dyDescent="0.25"/>
    <row r="71997" s="12" customFormat="1" x14ac:dyDescent="0.25"/>
    <row r="71998" s="12" customFormat="1" x14ac:dyDescent="0.25"/>
    <row r="71999" s="12" customFormat="1" x14ac:dyDescent="0.25"/>
    <row r="72000" s="12" customFormat="1" x14ac:dyDescent="0.25"/>
    <row r="72001" s="12" customFormat="1" x14ac:dyDescent="0.25"/>
    <row r="72002" s="12" customFormat="1" x14ac:dyDescent="0.25"/>
    <row r="72003" s="12" customFormat="1" x14ac:dyDescent="0.25"/>
    <row r="72004" s="12" customFormat="1" x14ac:dyDescent="0.25"/>
    <row r="72005" s="12" customFormat="1" x14ac:dyDescent="0.25"/>
    <row r="72006" s="12" customFormat="1" x14ac:dyDescent="0.25"/>
    <row r="72007" s="12" customFormat="1" x14ac:dyDescent="0.25"/>
    <row r="72008" s="12" customFormat="1" x14ac:dyDescent="0.25"/>
    <row r="72009" s="12" customFormat="1" x14ac:dyDescent="0.25"/>
    <row r="72010" s="12" customFormat="1" x14ac:dyDescent="0.25"/>
    <row r="72011" s="12" customFormat="1" x14ac:dyDescent="0.25"/>
    <row r="72012" s="12" customFormat="1" x14ac:dyDescent="0.25"/>
    <row r="72013" s="12" customFormat="1" x14ac:dyDescent="0.25"/>
    <row r="72014" s="12" customFormat="1" x14ac:dyDescent="0.25"/>
    <row r="72015" s="12" customFormat="1" x14ac:dyDescent="0.25"/>
    <row r="72016" s="12" customFormat="1" x14ac:dyDescent="0.25"/>
    <row r="72017" s="12" customFormat="1" x14ac:dyDescent="0.25"/>
    <row r="72018" s="12" customFormat="1" x14ac:dyDescent="0.25"/>
    <row r="72019" s="12" customFormat="1" x14ac:dyDescent="0.25"/>
    <row r="72020" s="12" customFormat="1" x14ac:dyDescent="0.25"/>
    <row r="72021" s="12" customFormat="1" x14ac:dyDescent="0.25"/>
    <row r="72022" s="12" customFormat="1" x14ac:dyDescent="0.25"/>
    <row r="72023" s="12" customFormat="1" x14ac:dyDescent="0.25"/>
    <row r="72024" s="12" customFormat="1" x14ac:dyDescent="0.25"/>
    <row r="72025" s="12" customFormat="1" x14ac:dyDescent="0.25"/>
    <row r="72026" s="12" customFormat="1" x14ac:dyDescent="0.25"/>
    <row r="72027" s="12" customFormat="1" x14ac:dyDescent="0.25"/>
    <row r="72028" s="12" customFormat="1" x14ac:dyDescent="0.25"/>
    <row r="72029" s="12" customFormat="1" x14ac:dyDescent="0.25"/>
    <row r="72030" s="12" customFormat="1" x14ac:dyDescent="0.25"/>
    <row r="72031" s="12" customFormat="1" x14ac:dyDescent="0.25"/>
    <row r="72032" s="12" customFormat="1" x14ac:dyDescent="0.25"/>
    <row r="72033" s="12" customFormat="1" x14ac:dyDescent="0.25"/>
    <row r="72034" s="12" customFormat="1" x14ac:dyDescent="0.25"/>
    <row r="72035" s="12" customFormat="1" x14ac:dyDescent="0.25"/>
    <row r="72036" s="12" customFormat="1" x14ac:dyDescent="0.25"/>
    <row r="72037" s="12" customFormat="1" x14ac:dyDescent="0.25"/>
    <row r="72038" s="12" customFormat="1" x14ac:dyDescent="0.25"/>
    <row r="72039" s="12" customFormat="1" x14ac:dyDescent="0.25"/>
    <row r="72040" s="12" customFormat="1" x14ac:dyDescent="0.25"/>
    <row r="72041" s="12" customFormat="1" x14ac:dyDescent="0.25"/>
    <row r="72042" s="12" customFormat="1" x14ac:dyDescent="0.25"/>
    <row r="72043" s="12" customFormat="1" x14ac:dyDescent="0.25"/>
    <row r="72044" s="12" customFormat="1" x14ac:dyDescent="0.25"/>
    <row r="72045" s="12" customFormat="1" x14ac:dyDescent="0.25"/>
    <row r="72046" s="12" customFormat="1" x14ac:dyDescent="0.25"/>
    <row r="72047" s="12" customFormat="1" x14ac:dyDescent="0.25"/>
    <row r="72048" s="12" customFormat="1" x14ac:dyDescent="0.25"/>
    <row r="72049" s="12" customFormat="1" x14ac:dyDescent="0.25"/>
    <row r="72050" s="12" customFormat="1" x14ac:dyDescent="0.25"/>
    <row r="72051" s="12" customFormat="1" x14ac:dyDescent="0.25"/>
    <row r="72052" s="12" customFormat="1" x14ac:dyDescent="0.25"/>
    <row r="72053" s="12" customFormat="1" x14ac:dyDescent="0.25"/>
    <row r="72054" s="12" customFormat="1" x14ac:dyDescent="0.25"/>
    <row r="72055" s="12" customFormat="1" x14ac:dyDescent="0.25"/>
    <row r="72056" s="12" customFormat="1" x14ac:dyDescent="0.25"/>
    <row r="72057" s="12" customFormat="1" x14ac:dyDescent="0.25"/>
    <row r="72058" s="12" customFormat="1" x14ac:dyDescent="0.25"/>
    <row r="72059" s="12" customFormat="1" x14ac:dyDescent="0.25"/>
    <row r="72060" s="12" customFormat="1" x14ac:dyDescent="0.25"/>
    <row r="72061" s="12" customFormat="1" x14ac:dyDescent="0.25"/>
    <row r="72062" s="12" customFormat="1" x14ac:dyDescent="0.25"/>
    <row r="72063" s="12" customFormat="1" x14ac:dyDescent="0.25"/>
    <row r="72064" s="12" customFormat="1" x14ac:dyDescent="0.25"/>
    <row r="72065" s="12" customFormat="1" x14ac:dyDescent="0.25"/>
    <row r="72066" s="12" customFormat="1" x14ac:dyDescent="0.25"/>
    <row r="72067" s="12" customFormat="1" x14ac:dyDescent="0.25"/>
    <row r="72068" s="12" customFormat="1" x14ac:dyDescent="0.25"/>
    <row r="72069" s="12" customFormat="1" x14ac:dyDescent="0.25"/>
    <row r="72070" s="12" customFormat="1" x14ac:dyDescent="0.25"/>
    <row r="72071" s="12" customFormat="1" x14ac:dyDescent="0.25"/>
    <row r="72072" s="12" customFormat="1" x14ac:dyDescent="0.25"/>
    <row r="72073" s="12" customFormat="1" x14ac:dyDescent="0.25"/>
    <row r="72074" s="12" customFormat="1" x14ac:dyDescent="0.25"/>
    <row r="72075" s="12" customFormat="1" x14ac:dyDescent="0.25"/>
    <row r="72076" s="12" customFormat="1" x14ac:dyDescent="0.25"/>
    <row r="72077" s="12" customFormat="1" x14ac:dyDescent="0.25"/>
    <row r="72078" s="12" customFormat="1" x14ac:dyDescent="0.25"/>
    <row r="72079" s="12" customFormat="1" x14ac:dyDescent="0.25"/>
    <row r="72080" s="12" customFormat="1" x14ac:dyDescent="0.25"/>
    <row r="72081" s="12" customFormat="1" x14ac:dyDescent="0.25"/>
    <row r="72082" s="12" customFormat="1" x14ac:dyDescent="0.25"/>
    <row r="72083" s="12" customFormat="1" x14ac:dyDescent="0.25"/>
    <row r="72084" s="12" customFormat="1" x14ac:dyDescent="0.25"/>
    <row r="72085" s="12" customFormat="1" x14ac:dyDescent="0.25"/>
    <row r="72086" s="12" customFormat="1" x14ac:dyDescent="0.25"/>
    <row r="72087" s="12" customFormat="1" x14ac:dyDescent="0.25"/>
    <row r="72088" s="12" customFormat="1" x14ac:dyDescent="0.25"/>
    <row r="72089" s="12" customFormat="1" x14ac:dyDescent="0.25"/>
    <row r="72090" s="12" customFormat="1" x14ac:dyDescent="0.25"/>
    <row r="72091" s="12" customFormat="1" x14ac:dyDescent="0.25"/>
    <row r="72092" s="12" customFormat="1" x14ac:dyDescent="0.25"/>
    <row r="72093" s="12" customFormat="1" x14ac:dyDescent="0.25"/>
    <row r="72094" s="12" customFormat="1" x14ac:dyDescent="0.25"/>
    <row r="72095" s="12" customFormat="1" x14ac:dyDescent="0.25"/>
    <row r="72096" s="12" customFormat="1" x14ac:dyDescent="0.25"/>
    <row r="72097" s="12" customFormat="1" x14ac:dyDescent="0.25"/>
    <row r="72098" s="12" customFormat="1" x14ac:dyDescent="0.25"/>
    <row r="72099" s="12" customFormat="1" x14ac:dyDescent="0.25"/>
    <row r="72100" s="12" customFormat="1" x14ac:dyDescent="0.25"/>
    <row r="72101" s="12" customFormat="1" x14ac:dyDescent="0.25"/>
    <row r="72102" s="12" customFormat="1" x14ac:dyDescent="0.25"/>
    <row r="72103" s="12" customFormat="1" x14ac:dyDescent="0.25"/>
    <row r="72104" s="12" customFormat="1" x14ac:dyDescent="0.25"/>
    <row r="72105" s="12" customFormat="1" x14ac:dyDescent="0.25"/>
    <row r="72106" s="12" customFormat="1" x14ac:dyDescent="0.25"/>
    <row r="72107" s="12" customFormat="1" x14ac:dyDescent="0.25"/>
    <row r="72108" s="12" customFormat="1" x14ac:dyDescent="0.25"/>
    <row r="72109" s="12" customFormat="1" x14ac:dyDescent="0.25"/>
    <row r="72110" s="12" customFormat="1" x14ac:dyDescent="0.25"/>
    <row r="72111" s="12" customFormat="1" x14ac:dyDescent="0.25"/>
    <row r="72112" s="12" customFormat="1" x14ac:dyDescent="0.25"/>
    <row r="72113" s="12" customFormat="1" x14ac:dyDescent="0.25"/>
    <row r="72114" s="12" customFormat="1" x14ac:dyDescent="0.25"/>
    <row r="72115" s="12" customFormat="1" x14ac:dyDescent="0.25"/>
    <row r="72116" s="12" customFormat="1" x14ac:dyDescent="0.25"/>
    <row r="72117" s="12" customFormat="1" x14ac:dyDescent="0.25"/>
    <row r="72118" s="12" customFormat="1" x14ac:dyDescent="0.25"/>
    <row r="72119" s="12" customFormat="1" x14ac:dyDescent="0.25"/>
    <row r="72120" s="12" customFormat="1" x14ac:dyDescent="0.25"/>
    <row r="72121" s="12" customFormat="1" x14ac:dyDescent="0.25"/>
    <row r="72122" s="12" customFormat="1" x14ac:dyDescent="0.25"/>
    <row r="72123" s="12" customFormat="1" x14ac:dyDescent="0.25"/>
    <row r="72124" s="12" customFormat="1" x14ac:dyDescent="0.25"/>
    <row r="72125" s="12" customFormat="1" x14ac:dyDescent="0.25"/>
    <row r="72126" s="12" customFormat="1" x14ac:dyDescent="0.25"/>
    <row r="72127" s="12" customFormat="1" x14ac:dyDescent="0.25"/>
    <row r="72128" s="12" customFormat="1" x14ac:dyDescent="0.25"/>
    <row r="72129" s="12" customFormat="1" x14ac:dyDescent="0.25"/>
    <row r="72130" s="12" customFormat="1" x14ac:dyDescent="0.25"/>
    <row r="72131" s="12" customFormat="1" x14ac:dyDescent="0.25"/>
    <row r="72132" s="12" customFormat="1" x14ac:dyDescent="0.25"/>
    <row r="72133" s="12" customFormat="1" x14ac:dyDescent="0.25"/>
    <row r="72134" s="12" customFormat="1" x14ac:dyDescent="0.25"/>
    <row r="72135" s="12" customFormat="1" x14ac:dyDescent="0.25"/>
    <row r="72136" s="12" customFormat="1" x14ac:dyDescent="0.25"/>
    <row r="72137" s="12" customFormat="1" x14ac:dyDescent="0.25"/>
    <row r="72138" s="12" customFormat="1" x14ac:dyDescent="0.25"/>
    <row r="72139" s="12" customFormat="1" x14ac:dyDescent="0.25"/>
    <row r="72140" s="12" customFormat="1" x14ac:dyDescent="0.25"/>
    <row r="72141" s="12" customFormat="1" x14ac:dyDescent="0.25"/>
    <row r="72142" s="12" customFormat="1" x14ac:dyDescent="0.25"/>
    <row r="72143" s="12" customFormat="1" x14ac:dyDescent="0.25"/>
    <row r="72144" s="12" customFormat="1" x14ac:dyDescent="0.25"/>
    <row r="72145" s="12" customFormat="1" x14ac:dyDescent="0.25"/>
    <row r="72146" s="12" customFormat="1" x14ac:dyDescent="0.25"/>
    <row r="72147" s="12" customFormat="1" x14ac:dyDescent="0.25"/>
    <row r="72148" s="12" customFormat="1" x14ac:dyDescent="0.25"/>
    <row r="72149" s="12" customFormat="1" x14ac:dyDescent="0.25"/>
    <row r="72150" s="12" customFormat="1" x14ac:dyDescent="0.25"/>
    <row r="72151" s="12" customFormat="1" x14ac:dyDescent="0.25"/>
    <row r="72152" s="12" customFormat="1" x14ac:dyDescent="0.25"/>
    <row r="72153" s="12" customFormat="1" x14ac:dyDescent="0.25"/>
    <row r="72154" s="12" customFormat="1" x14ac:dyDescent="0.25"/>
    <row r="72155" s="12" customFormat="1" x14ac:dyDescent="0.25"/>
    <row r="72156" s="12" customFormat="1" x14ac:dyDescent="0.25"/>
    <row r="72157" s="12" customFormat="1" x14ac:dyDescent="0.25"/>
    <row r="72158" s="12" customFormat="1" x14ac:dyDescent="0.25"/>
    <row r="72159" s="12" customFormat="1" x14ac:dyDescent="0.25"/>
    <row r="72160" s="12" customFormat="1" x14ac:dyDescent="0.25"/>
    <row r="72161" s="12" customFormat="1" x14ac:dyDescent="0.25"/>
    <row r="72162" s="12" customFormat="1" x14ac:dyDescent="0.25"/>
    <row r="72163" s="12" customFormat="1" x14ac:dyDescent="0.25"/>
    <row r="72164" s="12" customFormat="1" x14ac:dyDescent="0.25"/>
    <row r="72165" s="12" customFormat="1" x14ac:dyDescent="0.25"/>
    <row r="72166" s="12" customFormat="1" x14ac:dyDescent="0.25"/>
    <row r="72167" s="12" customFormat="1" x14ac:dyDescent="0.25"/>
    <row r="72168" s="12" customFormat="1" x14ac:dyDescent="0.25"/>
    <row r="72169" s="12" customFormat="1" x14ac:dyDescent="0.25"/>
    <row r="72170" s="12" customFormat="1" x14ac:dyDescent="0.25"/>
    <row r="72171" s="12" customFormat="1" x14ac:dyDescent="0.25"/>
    <row r="72172" s="12" customFormat="1" x14ac:dyDescent="0.25"/>
    <row r="72173" s="12" customFormat="1" x14ac:dyDescent="0.25"/>
    <row r="72174" s="12" customFormat="1" x14ac:dyDescent="0.25"/>
    <row r="72175" s="12" customFormat="1" x14ac:dyDescent="0.25"/>
    <row r="72176" s="12" customFormat="1" x14ac:dyDescent="0.25"/>
    <row r="72177" s="12" customFormat="1" x14ac:dyDescent="0.25"/>
    <row r="72178" s="12" customFormat="1" x14ac:dyDescent="0.25"/>
    <row r="72179" s="12" customFormat="1" x14ac:dyDescent="0.25"/>
    <row r="72180" s="12" customFormat="1" x14ac:dyDescent="0.25"/>
    <row r="72181" s="12" customFormat="1" x14ac:dyDescent="0.25"/>
    <row r="72182" s="12" customFormat="1" x14ac:dyDescent="0.25"/>
    <row r="72183" s="12" customFormat="1" x14ac:dyDescent="0.25"/>
    <row r="72184" s="12" customFormat="1" x14ac:dyDescent="0.25"/>
    <row r="72185" s="12" customFormat="1" x14ac:dyDescent="0.25"/>
    <row r="72186" s="12" customFormat="1" x14ac:dyDescent="0.25"/>
    <row r="72187" s="12" customFormat="1" x14ac:dyDescent="0.25"/>
    <row r="72188" s="12" customFormat="1" x14ac:dyDescent="0.25"/>
    <row r="72189" s="12" customFormat="1" x14ac:dyDescent="0.25"/>
    <row r="72190" s="12" customFormat="1" x14ac:dyDescent="0.25"/>
    <row r="72191" s="12" customFormat="1" x14ac:dyDescent="0.25"/>
    <row r="72192" s="12" customFormat="1" x14ac:dyDescent="0.25"/>
    <row r="72193" s="12" customFormat="1" x14ac:dyDescent="0.25"/>
    <row r="72194" s="12" customFormat="1" x14ac:dyDescent="0.25"/>
    <row r="72195" s="12" customFormat="1" x14ac:dyDescent="0.25"/>
    <row r="72196" s="12" customFormat="1" x14ac:dyDescent="0.25"/>
    <row r="72197" s="12" customFormat="1" x14ac:dyDescent="0.25"/>
    <row r="72198" s="12" customFormat="1" x14ac:dyDescent="0.25"/>
    <row r="72199" s="12" customFormat="1" x14ac:dyDescent="0.25"/>
    <row r="72200" s="12" customFormat="1" x14ac:dyDescent="0.25"/>
    <row r="72201" s="12" customFormat="1" x14ac:dyDescent="0.25"/>
    <row r="72202" s="12" customFormat="1" x14ac:dyDescent="0.25"/>
    <row r="72203" s="12" customFormat="1" x14ac:dyDescent="0.25"/>
    <row r="72204" s="12" customFormat="1" x14ac:dyDescent="0.25"/>
    <row r="72205" s="12" customFormat="1" x14ac:dyDescent="0.25"/>
    <row r="72206" s="12" customFormat="1" x14ac:dyDescent="0.25"/>
    <row r="72207" s="12" customFormat="1" x14ac:dyDescent="0.25"/>
    <row r="72208" s="12" customFormat="1" x14ac:dyDescent="0.25"/>
    <row r="72209" s="12" customFormat="1" x14ac:dyDescent="0.25"/>
    <row r="72210" s="12" customFormat="1" x14ac:dyDescent="0.25"/>
    <row r="72211" s="12" customFormat="1" x14ac:dyDescent="0.25"/>
    <row r="72212" s="12" customFormat="1" x14ac:dyDescent="0.25"/>
    <row r="72213" s="12" customFormat="1" x14ac:dyDescent="0.25"/>
    <row r="72214" s="12" customFormat="1" x14ac:dyDescent="0.25"/>
    <row r="72215" s="12" customFormat="1" x14ac:dyDescent="0.25"/>
    <row r="72216" s="12" customFormat="1" x14ac:dyDescent="0.25"/>
    <row r="72217" s="12" customFormat="1" x14ac:dyDescent="0.25"/>
    <row r="72218" s="12" customFormat="1" x14ac:dyDescent="0.25"/>
    <row r="72219" s="12" customFormat="1" x14ac:dyDescent="0.25"/>
    <row r="72220" s="12" customFormat="1" x14ac:dyDescent="0.25"/>
    <row r="72221" s="12" customFormat="1" x14ac:dyDescent="0.25"/>
    <row r="72222" s="12" customFormat="1" x14ac:dyDescent="0.25"/>
    <row r="72223" s="12" customFormat="1" x14ac:dyDescent="0.25"/>
    <row r="72224" s="12" customFormat="1" x14ac:dyDescent="0.25"/>
    <row r="72225" s="12" customFormat="1" x14ac:dyDescent="0.25"/>
    <row r="72226" s="12" customFormat="1" x14ac:dyDescent="0.25"/>
    <row r="72227" s="12" customFormat="1" x14ac:dyDescent="0.25"/>
    <row r="72228" s="12" customFormat="1" x14ac:dyDescent="0.25"/>
    <row r="72229" s="12" customFormat="1" x14ac:dyDescent="0.25"/>
    <row r="72230" s="12" customFormat="1" x14ac:dyDescent="0.25"/>
    <row r="72231" s="12" customFormat="1" x14ac:dyDescent="0.25"/>
    <row r="72232" s="12" customFormat="1" x14ac:dyDescent="0.25"/>
    <row r="72233" s="12" customFormat="1" x14ac:dyDescent="0.25"/>
    <row r="72234" s="12" customFormat="1" x14ac:dyDescent="0.25"/>
    <row r="72235" s="12" customFormat="1" x14ac:dyDescent="0.25"/>
    <row r="72236" s="12" customFormat="1" x14ac:dyDescent="0.25"/>
    <row r="72237" s="12" customFormat="1" x14ac:dyDescent="0.25"/>
    <row r="72238" s="12" customFormat="1" x14ac:dyDescent="0.25"/>
    <row r="72239" s="12" customFormat="1" x14ac:dyDescent="0.25"/>
    <row r="72240" s="12" customFormat="1" x14ac:dyDescent="0.25"/>
    <row r="72241" s="12" customFormat="1" x14ac:dyDescent="0.25"/>
    <row r="72242" s="12" customFormat="1" x14ac:dyDescent="0.25"/>
    <row r="72243" s="12" customFormat="1" x14ac:dyDescent="0.25"/>
    <row r="72244" s="12" customFormat="1" x14ac:dyDescent="0.25"/>
    <row r="72245" s="12" customFormat="1" x14ac:dyDescent="0.25"/>
    <row r="72246" s="12" customFormat="1" x14ac:dyDescent="0.25"/>
    <row r="72247" s="12" customFormat="1" x14ac:dyDescent="0.25"/>
    <row r="72248" s="12" customFormat="1" x14ac:dyDescent="0.25"/>
    <row r="72249" s="12" customFormat="1" x14ac:dyDescent="0.25"/>
    <row r="72250" s="12" customFormat="1" x14ac:dyDescent="0.25"/>
    <row r="72251" s="12" customFormat="1" x14ac:dyDescent="0.25"/>
    <row r="72252" s="12" customFormat="1" x14ac:dyDescent="0.25"/>
    <row r="72253" s="12" customFormat="1" x14ac:dyDescent="0.25"/>
    <row r="72254" s="12" customFormat="1" x14ac:dyDescent="0.25"/>
    <row r="72255" s="12" customFormat="1" x14ac:dyDescent="0.25"/>
    <row r="72256" s="12" customFormat="1" x14ac:dyDescent="0.25"/>
    <row r="72257" s="12" customFormat="1" x14ac:dyDescent="0.25"/>
    <row r="72258" s="12" customFormat="1" x14ac:dyDescent="0.25"/>
    <row r="72259" s="12" customFormat="1" x14ac:dyDescent="0.25"/>
    <row r="72260" s="12" customFormat="1" x14ac:dyDescent="0.25"/>
    <row r="72261" s="12" customFormat="1" x14ac:dyDescent="0.25"/>
    <row r="72262" s="12" customFormat="1" x14ac:dyDescent="0.25"/>
    <row r="72263" s="12" customFormat="1" x14ac:dyDescent="0.25"/>
    <row r="72264" s="12" customFormat="1" x14ac:dyDescent="0.25"/>
    <row r="72265" s="12" customFormat="1" x14ac:dyDescent="0.25"/>
    <row r="72266" s="12" customFormat="1" x14ac:dyDescent="0.25"/>
    <row r="72267" s="12" customFormat="1" x14ac:dyDescent="0.25"/>
    <row r="72268" s="12" customFormat="1" x14ac:dyDescent="0.25"/>
    <row r="72269" s="12" customFormat="1" x14ac:dyDescent="0.25"/>
    <row r="72270" s="12" customFormat="1" x14ac:dyDescent="0.25"/>
    <row r="72271" s="12" customFormat="1" x14ac:dyDescent="0.25"/>
    <row r="72272" s="12" customFormat="1" x14ac:dyDescent="0.25"/>
    <row r="72273" s="12" customFormat="1" x14ac:dyDescent="0.25"/>
    <row r="72274" s="12" customFormat="1" x14ac:dyDescent="0.25"/>
    <row r="72275" s="12" customFormat="1" x14ac:dyDescent="0.25"/>
    <row r="72276" s="12" customFormat="1" x14ac:dyDescent="0.25"/>
    <row r="72277" s="12" customFormat="1" x14ac:dyDescent="0.25"/>
    <row r="72278" s="12" customFormat="1" x14ac:dyDescent="0.25"/>
    <row r="72279" s="12" customFormat="1" x14ac:dyDescent="0.25"/>
    <row r="72280" s="12" customFormat="1" x14ac:dyDescent="0.25"/>
    <row r="72281" s="12" customFormat="1" x14ac:dyDescent="0.25"/>
    <row r="72282" s="12" customFormat="1" x14ac:dyDescent="0.25"/>
    <row r="72283" s="12" customFormat="1" x14ac:dyDescent="0.25"/>
    <row r="72284" s="12" customFormat="1" x14ac:dyDescent="0.25"/>
    <row r="72285" s="12" customFormat="1" x14ac:dyDescent="0.25"/>
    <row r="72286" s="12" customFormat="1" x14ac:dyDescent="0.25"/>
    <row r="72287" s="12" customFormat="1" x14ac:dyDescent="0.25"/>
    <row r="72288" s="12" customFormat="1" x14ac:dyDescent="0.25"/>
    <row r="72289" s="12" customFormat="1" x14ac:dyDescent="0.25"/>
    <row r="72290" s="12" customFormat="1" x14ac:dyDescent="0.25"/>
    <row r="72291" s="12" customFormat="1" x14ac:dyDescent="0.25"/>
    <row r="72292" s="12" customFormat="1" x14ac:dyDescent="0.25"/>
    <row r="72293" s="12" customFormat="1" x14ac:dyDescent="0.25"/>
    <row r="72294" s="12" customFormat="1" x14ac:dyDescent="0.25"/>
    <row r="72295" s="12" customFormat="1" x14ac:dyDescent="0.25"/>
    <row r="72296" s="12" customFormat="1" x14ac:dyDescent="0.25"/>
    <row r="72297" s="12" customFormat="1" x14ac:dyDescent="0.25"/>
    <row r="72298" s="12" customFormat="1" x14ac:dyDescent="0.25"/>
    <row r="72299" s="12" customFormat="1" x14ac:dyDescent="0.25"/>
    <row r="72300" s="12" customFormat="1" x14ac:dyDescent="0.25"/>
    <row r="72301" s="12" customFormat="1" x14ac:dyDescent="0.25"/>
    <row r="72302" s="12" customFormat="1" x14ac:dyDescent="0.25"/>
    <row r="72303" s="12" customFormat="1" x14ac:dyDescent="0.25"/>
    <row r="72304" s="12" customFormat="1" x14ac:dyDescent="0.25"/>
    <row r="72305" s="12" customFormat="1" x14ac:dyDescent="0.25"/>
    <row r="72306" s="12" customFormat="1" x14ac:dyDescent="0.25"/>
    <row r="72307" s="12" customFormat="1" x14ac:dyDescent="0.25"/>
    <row r="72308" s="12" customFormat="1" x14ac:dyDescent="0.25"/>
    <row r="72309" s="12" customFormat="1" x14ac:dyDescent="0.25"/>
    <row r="72310" s="12" customFormat="1" x14ac:dyDescent="0.25"/>
    <row r="72311" s="12" customFormat="1" x14ac:dyDescent="0.25"/>
    <row r="72312" s="12" customFormat="1" x14ac:dyDescent="0.25"/>
    <row r="72313" s="12" customFormat="1" x14ac:dyDescent="0.25"/>
    <row r="72314" s="12" customFormat="1" x14ac:dyDescent="0.25"/>
    <row r="72315" s="12" customFormat="1" x14ac:dyDescent="0.25"/>
    <row r="72316" s="12" customFormat="1" x14ac:dyDescent="0.25"/>
    <row r="72317" s="12" customFormat="1" x14ac:dyDescent="0.25"/>
    <row r="72318" s="12" customFormat="1" x14ac:dyDescent="0.25"/>
    <row r="72319" s="12" customFormat="1" x14ac:dyDescent="0.25"/>
    <row r="72320" s="12" customFormat="1" x14ac:dyDescent="0.25"/>
    <row r="72321" s="12" customFormat="1" x14ac:dyDescent="0.25"/>
    <row r="72322" s="12" customFormat="1" x14ac:dyDescent="0.25"/>
    <row r="72323" s="12" customFormat="1" x14ac:dyDescent="0.25"/>
    <row r="72324" s="12" customFormat="1" x14ac:dyDescent="0.25"/>
    <row r="72325" s="12" customFormat="1" x14ac:dyDescent="0.25"/>
    <row r="72326" s="12" customFormat="1" x14ac:dyDescent="0.25"/>
    <row r="72327" s="12" customFormat="1" x14ac:dyDescent="0.25"/>
    <row r="72328" s="12" customFormat="1" x14ac:dyDescent="0.25"/>
    <row r="72329" s="12" customFormat="1" x14ac:dyDescent="0.25"/>
    <row r="72330" s="12" customFormat="1" x14ac:dyDescent="0.25"/>
    <row r="72331" s="12" customFormat="1" x14ac:dyDescent="0.25"/>
    <row r="72332" s="12" customFormat="1" x14ac:dyDescent="0.25"/>
    <row r="72333" s="12" customFormat="1" x14ac:dyDescent="0.25"/>
    <row r="72334" s="12" customFormat="1" x14ac:dyDescent="0.25"/>
    <row r="72335" s="12" customFormat="1" x14ac:dyDescent="0.25"/>
    <row r="72336" s="12" customFormat="1" x14ac:dyDescent="0.25"/>
    <row r="72337" s="12" customFormat="1" x14ac:dyDescent="0.25"/>
    <row r="72338" s="12" customFormat="1" x14ac:dyDescent="0.25"/>
    <row r="72339" s="12" customFormat="1" x14ac:dyDescent="0.25"/>
    <row r="72340" s="12" customFormat="1" x14ac:dyDescent="0.25"/>
    <row r="72341" s="12" customFormat="1" x14ac:dyDescent="0.25"/>
    <row r="72342" s="12" customFormat="1" x14ac:dyDescent="0.25"/>
    <row r="72343" s="12" customFormat="1" x14ac:dyDescent="0.25"/>
    <row r="72344" s="12" customFormat="1" x14ac:dyDescent="0.25"/>
    <row r="72345" s="12" customFormat="1" x14ac:dyDescent="0.25"/>
    <row r="72346" s="12" customFormat="1" x14ac:dyDescent="0.25"/>
    <row r="72347" s="12" customFormat="1" x14ac:dyDescent="0.25"/>
    <row r="72348" s="12" customFormat="1" x14ac:dyDescent="0.25"/>
    <row r="72349" s="12" customFormat="1" x14ac:dyDescent="0.25"/>
    <row r="72350" s="12" customFormat="1" x14ac:dyDescent="0.25"/>
    <row r="72351" s="12" customFormat="1" x14ac:dyDescent="0.25"/>
    <row r="72352" s="12" customFormat="1" x14ac:dyDescent="0.25"/>
    <row r="72353" s="12" customFormat="1" x14ac:dyDescent="0.25"/>
    <row r="72354" s="12" customFormat="1" x14ac:dyDescent="0.25"/>
    <row r="72355" s="12" customFormat="1" x14ac:dyDescent="0.25"/>
    <row r="72356" s="12" customFormat="1" x14ac:dyDescent="0.25"/>
    <row r="72357" s="12" customFormat="1" x14ac:dyDescent="0.25"/>
    <row r="72358" s="12" customFormat="1" x14ac:dyDescent="0.25"/>
    <row r="72359" s="12" customFormat="1" x14ac:dyDescent="0.25"/>
    <row r="72360" s="12" customFormat="1" x14ac:dyDescent="0.25"/>
    <row r="72361" s="12" customFormat="1" x14ac:dyDescent="0.25"/>
    <row r="72362" s="12" customFormat="1" x14ac:dyDescent="0.25"/>
    <row r="72363" s="12" customFormat="1" x14ac:dyDescent="0.25"/>
    <row r="72364" s="12" customFormat="1" x14ac:dyDescent="0.25"/>
    <row r="72365" s="12" customFormat="1" x14ac:dyDescent="0.25"/>
    <row r="72366" s="12" customFormat="1" x14ac:dyDescent="0.25"/>
    <row r="72367" s="12" customFormat="1" x14ac:dyDescent="0.25"/>
    <row r="72368" s="12" customFormat="1" x14ac:dyDescent="0.25"/>
    <row r="72369" s="12" customFormat="1" x14ac:dyDescent="0.25"/>
    <row r="72370" s="12" customFormat="1" x14ac:dyDescent="0.25"/>
    <row r="72371" s="12" customFormat="1" x14ac:dyDescent="0.25"/>
    <row r="72372" s="12" customFormat="1" x14ac:dyDescent="0.25"/>
    <row r="72373" s="12" customFormat="1" x14ac:dyDescent="0.25"/>
    <row r="72374" s="12" customFormat="1" x14ac:dyDescent="0.25"/>
    <row r="72375" s="12" customFormat="1" x14ac:dyDescent="0.25"/>
    <row r="72376" s="12" customFormat="1" x14ac:dyDescent="0.25"/>
    <row r="72377" s="12" customFormat="1" x14ac:dyDescent="0.25"/>
    <row r="72378" s="12" customFormat="1" x14ac:dyDescent="0.25"/>
    <row r="72379" s="12" customFormat="1" x14ac:dyDescent="0.25"/>
    <row r="72380" s="12" customFormat="1" x14ac:dyDescent="0.25"/>
    <row r="72381" s="12" customFormat="1" x14ac:dyDescent="0.25"/>
    <row r="72382" s="12" customFormat="1" x14ac:dyDescent="0.25"/>
    <row r="72383" s="12" customFormat="1" x14ac:dyDescent="0.25"/>
    <row r="72384" s="12" customFormat="1" x14ac:dyDescent="0.25"/>
    <row r="72385" s="12" customFormat="1" x14ac:dyDescent="0.25"/>
    <row r="72386" s="12" customFormat="1" x14ac:dyDescent="0.25"/>
    <row r="72387" s="12" customFormat="1" x14ac:dyDescent="0.25"/>
    <row r="72388" s="12" customFormat="1" x14ac:dyDescent="0.25"/>
    <row r="72389" s="12" customFormat="1" x14ac:dyDescent="0.25"/>
    <row r="72390" s="12" customFormat="1" x14ac:dyDescent="0.25"/>
    <row r="72391" s="12" customFormat="1" x14ac:dyDescent="0.25"/>
    <row r="72392" s="12" customFormat="1" x14ac:dyDescent="0.25"/>
    <row r="72393" s="12" customFormat="1" x14ac:dyDescent="0.25"/>
    <row r="72394" s="12" customFormat="1" x14ac:dyDescent="0.25"/>
    <row r="72395" s="12" customFormat="1" x14ac:dyDescent="0.25"/>
    <row r="72396" s="12" customFormat="1" x14ac:dyDescent="0.25"/>
    <row r="72397" s="12" customFormat="1" x14ac:dyDescent="0.25"/>
    <row r="72398" s="12" customFormat="1" x14ac:dyDescent="0.25"/>
    <row r="72399" s="12" customFormat="1" x14ac:dyDescent="0.25"/>
    <row r="72400" s="12" customFormat="1" x14ac:dyDescent="0.25"/>
    <row r="72401" s="12" customFormat="1" x14ac:dyDescent="0.25"/>
    <row r="72402" s="12" customFormat="1" x14ac:dyDescent="0.25"/>
    <row r="72403" s="12" customFormat="1" x14ac:dyDescent="0.25"/>
    <row r="72404" s="12" customFormat="1" x14ac:dyDescent="0.25"/>
    <row r="72405" s="12" customFormat="1" x14ac:dyDescent="0.25"/>
    <row r="72406" s="12" customFormat="1" x14ac:dyDescent="0.25"/>
    <row r="72407" s="12" customFormat="1" x14ac:dyDescent="0.25"/>
    <row r="72408" s="12" customFormat="1" x14ac:dyDescent="0.25"/>
    <row r="72409" s="12" customFormat="1" x14ac:dyDescent="0.25"/>
    <row r="72410" s="12" customFormat="1" x14ac:dyDescent="0.25"/>
    <row r="72411" s="12" customFormat="1" x14ac:dyDescent="0.25"/>
    <row r="72412" s="12" customFormat="1" x14ac:dyDescent="0.25"/>
    <row r="72413" s="12" customFormat="1" x14ac:dyDescent="0.25"/>
    <row r="72414" s="12" customFormat="1" x14ac:dyDescent="0.25"/>
    <row r="72415" s="12" customFormat="1" x14ac:dyDescent="0.25"/>
    <row r="72416" s="12" customFormat="1" x14ac:dyDescent="0.25"/>
    <row r="72417" s="12" customFormat="1" x14ac:dyDescent="0.25"/>
    <row r="72418" s="12" customFormat="1" x14ac:dyDescent="0.25"/>
    <row r="72419" s="12" customFormat="1" x14ac:dyDescent="0.25"/>
    <row r="72420" s="12" customFormat="1" x14ac:dyDescent="0.25"/>
    <row r="72421" s="12" customFormat="1" x14ac:dyDescent="0.25"/>
    <row r="72422" s="12" customFormat="1" x14ac:dyDescent="0.25"/>
    <row r="72423" s="12" customFormat="1" x14ac:dyDescent="0.25"/>
    <row r="72424" s="12" customFormat="1" x14ac:dyDescent="0.25"/>
    <row r="72425" s="12" customFormat="1" x14ac:dyDescent="0.25"/>
    <row r="72426" s="12" customFormat="1" x14ac:dyDescent="0.25"/>
    <row r="72427" s="12" customFormat="1" x14ac:dyDescent="0.25"/>
    <row r="72428" s="12" customFormat="1" x14ac:dyDescent="0.25"/>
    <row r="72429" s="12" customFormat="1" x14ac:dyDescent="0.25"/>
    <row r="72430" s="12" customFormat="1" x14ac:dyDescent="0.25"/>
    <row r="72431" s="12" customFormat="1" x14ac:dyDescent="0.25"/>
    <row r="72432" s="12" customFormat="1" x14ac:dyDescent="0.25"/>
    <row r="72433" s="12" customFormat="1" x14ac:dyDescent="0.25"/>
    <row r="72434" s="12" customFormat="1" x14ac:dyDescent="0.25"/>
    <row r="72435" s="12" customFormat="1" x14ac:dyDescent="0.25"/>
    <row r="72436" s="12" customFormat="1" x14ac:dyDescent="0.25"/>
    <row r="72437" s="12" customFormat="1" x14ac:dyDescent="0.25"/>
    <row r="72438" s="12" customFormat="1" x14ac:dyDescent="0.25"/>
    <row r="72439" s="12" customFormat="1" x14ac:dyDescent="0.25"/>
    <row r="72440" s="12" customFormat="1" x14ac:dyDescent="0.25"/>
    <row r="72441" s="12" customFormat="1" x14ac:dyDescent="0.25"/>
    <row r="72442" s="12" customFormat="1" x14ac:dyDescent="0.25"/>
    <row r="72443" s="12" customFormat="1" x14ac:dyDescent="0.25"/>
    <row r="72444" s="12" customFormat="1" x14ac:dyDescent="0.25"/>
    <row r="72445" s="12" customFormat="1" x14ac:dyDescent="0.25"/>
    <row r="72446" s="12" customFormat="1" x14ac:dyDescent="0.25"/>
    <row r="72447" s="12" customFormat="1" x14ac:dyDescent="0.25"/>
    <row r="72448" s="12" customFormat="1" x14ac:dyDescent="0.25"/>
    <row r="72449" s="12" customFormat="1" x14ac:dyDescent="0.25"/>
    <row r="72450" s="12" customFormat="1" x14ac:dyDescent="0.25"/>
    <row r="72451" s="12" customFormat="1" x14ac:dyDescent="0.25"/>
    <row r="72452" s="12" customFormat="1" x14ac:dyDescent="0.25"/>
    <row r="72453" s="12" customFormat="1" x14ac:dyDescent="0.25"/>
    <row r="72454" s="12" customFormat="1" x14ac:dyDescent="0.25"/>
    <row r="72455" s="12" customFormat="1" x14ac:dyDescent="0.25"/>
    <row r="72456" s="12" customFormat="1" x14ac:dyDescent="0.25"/>
    <row r="72457" s="12" customFormat="1" x14ac:dyDescent="0.25"/>
    <row r="72458" s="12" customFormat="1" x14ac:dyDescent="0.25"/>
    <row r="72459" s="12" customFormat="1" x14ac:dyDescent="0.25"/>
    <row r="72460" s="12" customFormat="1" x14ac:dyDescent="0.25"/>
    <row r="72461" s="12" customFormat="1" x14ac:dyDescent="0.25"/>
    <row r="72462" s="12" customFormat="1" x14ac:dyDescent="0.25"/>
    <row r="72463" s="12" customFormat="1" x14ac:dyDescent="0.25"/>
    <row r="72464" s="12" customFormat="1" x14ac:dyDescent="0.25"/>
    <row r="72465" s="12" customFormat="1" x14ac:dyDescent="0.25"/>
    <row r="72466" s="12" customFormat="1" x14ac:dyDescent="0.25"/>
    <row r="72467" s="12" customFormat="1" x14ac:dyDescent="0.25"/>
    <row r="72468" s="12" customFormat="1" x14ac:dyDescent="0.25"/>
    <row r="72469" s="12" customFormat="1" x14ac:dyDescent="0.25"/>
    <row r="72470" s="12" customFormat="1" x14ac:dyDescent="0.25"/>
    <row r="72471" s="12" customFormat="1" x14ac:dyDescent="0.25"/>
    <row r="72472" s="12" customFormat="1" x14ac:dyDescent="0.25"/>
    <row r="72473" s="12" customFormat="1" x14ac:dyDescent="0.25"/>
    <row r="72474" s="12" customFormat="1" x14ac:dyDescent="0.25"/>
    <row r="72475" s="12" customFormat="1" x14ac:dyDescent="0.25"/>
    <row r="72476" s="12" customFormat="1" x14ac:dyDescent="0.25"/>
    <row r="72477" s="12" customFormat="1" x14ac:dyDescent="0.25"/>
    <row r="72478" s="12" customFormat="1" x14ac:dyDescent="0.25"/>
    <row r="72479" s="12" customFormat="1" x14ac:dyDescent="0.25"/>
    <row r="72480" s="12" customFormat="1" x14ac:dyDescent="0.25"/>
    <row r="72481" s="12" customFormat="1" x14ac:dyDescent="0.25"/>
    <row r="72482" s="12" customFormat="1" x14ac:dyDescent="0.25"/>
    <row r="72483" s="12" customFormat="1" x14ac:dyDescent="0.25"/>
    <row r="72484" s="12" customFormat="1" x14ac:dyDescent="0.25"/>
    <row r="72485" s="12" customFormat="1" x14ac:dyDescent="0.25"/>
    <row r="72486" s="12" customFormat="1" x14ac:dyDescent="0.25"/>
    <row r="72487" s="12" customFormat="1" x14ac:dyDescent="0.25"/>
    <row r="72488" s="12" customFormat="1" x14ac:dyDescent="0.25"/>
    <row r="72489" s="12" customFormat="1" x14ac:dyDescent="0.25"/>
    <row r="72490" s="12" customFormat="1" x14ac:dyDescent="0.25"/>
    <row r="72491" s="12" customFormat="1" x14ac:dyDescent="0.25"/>
    <row r="72492" s="12" customFormat="1" x14ac:dyDescent="0.25"/>
    <row r="72493" s="12" customFormat="1" x14ac:dyDescent="0.25"/>
    <row r="72494" s="12" customFormat="1" x14ac:dyDescent="0.25"/>
    <row r="72495" s="12" customFormat="1" x14ac:dyDescent="0.25"/>
    <row r="72496" s="12" customFormat="1" x14ac:dyDescent="0.25"/>
    <row r="72497" s="12" customFormat="1" x14ac:dyDescent="0.25"/>
    <row r="72498" s="12" customFormat="1" x14ac:dyDescent="0.25"/>
    <row r="72499" s="12" customFormat="1" x14ac:dyDescent="0.25"/>
    <row r="72500" s="12" customFormat="1" x14ac:dyDescent="0.25"/>
    <row r="72501" s="12" customFormat="1" x14ac:dyDescent="0.25"/>
    <row r="72502" s="12" customFormat="1" x14ac:dyDescent="0.25"/>
    <row r="72503" s="12" customFormat="1" x14ac:dyDescent="0.25"/>
    <row r="72504" s="12" customFormat="1" x14ac:dyDescent="0.25"/>
    <row r="72505" s="12" customFormat="1" x14ac:dyDescent="0.25"/>
    <row r="72506" s="12" customFormat="1" x14ac:dyDescent="0.25"/>
    <row r="72507" s="12" customFormat="1" x14ac:dyDescent="0.25"/>
    <row r="72508" s="12" customFormat="1" x14ac:dyDescent="0.25"/>
    <row r="72509" s="12" customFormat="1" x14ac:dyDescent="0.25"/>
    <row r="72510" s="12" customFormat="1" x14ac:dyDescent="0.25"/>
    <row r="72511" s="12" customFormat="1" x14ac:dyDescent="0.25"/>
    <row r="72512" s="12" customFormat="1" x14ac:dyDescent="0.25"/>
    <row r="72513" s="12" customFormat="1" x14ac:dyDescent="0.25"/>
    <row r="72514" s="12" customFormat="1" x14ac:dyDescent="0.25"/>
    <row r="72515" s="12" customFormat="1" x14ac:dyDescent="0.25"/>
    <row r="72516" s="12" customFormat="1" x14ac:dyDescent="0.25"/>
    <row r="72517" s="12" customFormat="1" x14ac:dyDescent="0.25"/>
    <row r="72518" s="12" customFormat="1" x14ac:dyDescent="0.25"/>
    <row r="72519" s="12" customFormat="1" x14ac:dyDescent="0.25"/>
    <row r="72520" s="12" customFormat="1" x14ac:dyDescent="0.25"/>
    <row r="72521" s="12" customFormat="1" x14ac:dyDescent="0.25"/>
    <row r="72522" s="12" customFormat="1" x14ac:dyDescent="0.25"/>
    <row r="72523" s="12" customFormat="1" x14ac:dyDescent="0.25"/>
    <row r="72524" s="12" customFormat="1" x14ac:dyDescent="0.25"/>
    <row r="72525" s="12" customFormat="1" x14ac:dyDescent="0.25"/>
    <row r="72526" s="12" customFormat="1" x14ac:dyDescent="0.25"/>
    <row r="72527" s="12" customFormat="1" x14ac:dyDescent="0.25"/>
    <row r="72528" s="12" customFormat="1" x14ac:dyDescent="0.25"/>
    <row r="72529" s="12" customFormat="1" x14ac:dyDescent="0.25"/>
    <row r="72530" s="12" customFormat="1" x14ac:dyDescent="0.25"/>
    <row r="72531" s="12" customFormat="1" x14ac:dyDescent="0.25"/>
    <row r="72532" s="12" customFormat="1" x14ac:dyDescent="0.25"/>
    <row r="72533" s="12" customFormat="1" x14ac:dyDescent="0.25"/>
    <row r="72534" s="12" customFormat="1" x14ac:dyDescent="0.25"/>
    <row r="72535" s="12" customFormat="1" x14ac:dyDescent="0.25"/>
    <row r="72536" s="12" customFormat="1" x14ac:dyDescent="0.25"/>
    <row r="72537" s="12" customFormat="1" x14ac:dyDescent="0.25"/>
    <row r="72538" s="12" customFormat="1" x14ac:dyDescent="0.25"/>
    <row r="72539" s="12" customFormat="1" x14ac:dyDescent="0.25"/>
    <row r="72540" s="12" customFormat="1" x14ac:dyDescent="0.25"/>
    <row r="72541" s="12" customFormat="1" x14ac:dyDescent="0.25"/>
    <row r="72542" s="12" customFormat="1" x14ac:dyDescent="0.25"/>
    <row r="72543" s="12" customFormat="1" x14ac:dyDescent="0.25"/>
    <row r="72544" s="12" customFormat="1" x14ac:dyDescent="0.25"/>
    <row r="72545" s="12" customFormat="1" x14ac:dyDescent="0.25"/>
    <row r="72546" s="12" customFormat="1" x14ac:dyDescent="0.25"/>
    <row r="72547" s="12" customFormat="1" x14ac:dyDescent="0.25"/>
    <row r="72548" s="12" customFormat="1" x14ac:dyDescent="0.25"/>
    <row r="72549" s="12" customFormat="1" x14ac:dyDescent="0.25"/>
    <row r="72550" s="12" customFormat="1" x14ac:dyDescent="0.25"/>
    <row r="72551" s="12" customFormat="1" x14ac:dyDescent="0.25"/>
    <row r="72552" s="12" customFormat="1" x14ac:dyDescent="0.25"/>
    <row r="72553" s="12" customFormat="1" x14ac:dyDescent="0.25"/>
    <row r="72554" s="12" customFormat="1" x14ac:dyDescent="0.25"/>
    <row r="72555" s="12" customFormat="1" x14ac:dyDescent="0.25"/>
    <row r="72556" s="12" customFormat="1" x14ac:dyDescent="0.25"/>
    <row r="72557" s="12" customFormat="1" x14ac:dyDescent="0.25"/>
    <row r="72558" s="12" customFormat="1" x14ac:dyDescent="0.25"/>
    <row r="72559" s="12" customFormat="1" x14ac:dyDescent="0.25"/>
    <row r="72560" s="12" customFormat="1" x14ac:dyDescent="0.25"/>
    <row r="72561" s="12" customFormat="1" x14ac:dyDescent="0.25"/>
    <row r="72562" s="12" customFormat="1" x14ac:dyDescent="0.25"/>
    <row r="72563" s="12" customFormat="1" x14ac:dyDescent="0.25"/>
    <row r="72564" s="12" customFormat="1" x14ac:dyDescent="0.25"/>
    <row r="72565" s="12" customFormat="1" x14ac:dyDescent="0.25"/>
    <row r="72566" s="12" customFormat="1" x14ac:dyDescent="0.25"/>
    <row r="72567" s="12" customFormat="1" x14ac:dyDescent="0.25"/>
    <row r="72568" s="12" customFormat="1" x14ac:dyDescent="0.25"/>
    <row r="72569" s="12" customFormat="1" x14ac:dyDescent="0.25"/>
    <row r="72570" s="12" customFormat="1" x14ac:dyDescent="0.25"/>
    <row r="72571" s="12" customFormat="1" x14ac:dyDescent="0.25"/>
    <row r="72572" s="12" customFormat="1" x14ac:dyDescent="0.25"/>
    <row r="72573" s="12" customFormat="1" x14ac:dyDescent="0.25"/>
    <row r="72574" s="12" customFormat="1" x14ac:dyDescent="0.25"/>
    <row r="72575" s="12" customFormat="1" x14ac:dyDescent="0.25"/>
    <row r="72576" s="12" customFormat="1" x14ac:dyDescent="0.25"/>
    <row r="72577" s="12" customFormat="1" x14ac:dyDescent="0.25"/>
    <row r="72578" s="12" customFormat="1" x14ac:dyDescent="0.25"/>
    <row r="72579" s="12" customFormat="1" x14ac:dyDescent="0.25"/>
    <row r="72580" s="12" customFormat="1" x14ac:dyDescent="0.25"/>
    <row r="72581" s="12" customFormat="1" x14ac:dyDescent="0.25"/>
    <row r="72582" s="12" customFormat="1" x14ac:dyDescent="0.25"/>
    <row r="72583" s="12" customFormat="1" x14ac:dyDescent="0.25"/>
    <row r="72584" s="12" customFormat="1" x14ac:dyDescent="0.25"/>
    <row r="72585" s="12" customFormat="1" x14ac:dyDescent="0.25"/>
    <row r="72586" s="12" customFormat="1" x14ac:dyDescent="0.25"/>
    <row r="72587" s="12" customFormat="1" x14ac:dyDescent="0.25"/>
    <row r="72588" s="12" customFormat="1" x14ac:dyDescent="0.25"/>
    <row r="72589" s="12" customFormat="1" x14ac:dyDescent="0.25"/>
    <row r="72590" s="12" customFormat="1" x14ac:dyDescent="0.25"/>
    <row r="72591" s="12" customFormat="1" x14ac:dyDescent="0.25"/>
    <row r="72592" s="12" customFormat="1" x14ac:dyDescent="0.25"/>
    <row r="72593" s="12" customFormat="1" x14ac:dyDescent="0.25"/>
    <row r="72594" s="12" customFormat="1" x14ac:dyDescent="0.25"/>
    <row r="72595" s="12" customFormat="1" x14ac:dyDescent="0.25"/>
    <row r="72596" s="12" customFormat="1" x14ac:dyDescent="0.25"/>
    <row r="72597" s="12" customFormat="1" x14ac:dyDescent="0.25"/>
    <row r="72598" s="12" customFormat="1" x14ac:dyDescent="0.25"/>
    <row r="72599" s="12" customFormat="1" x14ac:dyDescent="0.25"/>
    <row r="72600" s="12" customFormat="1" x14ac:dyDescent="0.25"/>
    <row r="72601" s="12" customFormat="1" x14ac:dyDescent="0.25"/>
    <row r="72602" s="12" customFormat="1" x14ac:dyDescent="0.25"/>
    <row r="72603" s="12" customFormat="1" x14ac:dyDescent="0.25"/>
    <row r="72604" s="12" customFormat="1" x14ac:dyDescent="0.25"/>
    <row r="72605" s="12" customFormat="1" x14ac:dyDescent="0.25"/>
    <row r="72606" s="12" customFormat="1" x14ac:dyDescent="0.25"/>
    <row r="72607" s="12" customFormat="1" x14ac:dyDescent="0.25"/>
    <row r="72608" s="12" customFormat="1" x14ac:dyDescent="0.25"/>
    <row r="72609" s="12" customFormat="1" x14ac:dyDescent="0.25"/>
    <row r="72610" s="12" customFormat="1" x14ac:dyDescent="0.25"/>
    <row r="72611" s="12" customFormat="1" x14ac:dyDescent="0.25"/>
    <row r="72612" s="12" customFormat="1" x14ac:dyDescent="0.25"/>
    <row r="72613" s="12" customFormat="1" x14ac:dyDescent="0.25"/>
    <row r="72614" s="12" customFormat="1" x14ac:dyDescent="0.25"/>
    <row r="72615" s="12" customFormat="1" x14ac:dyDescent="0.25"/>
    <row r="72616" s="12" customFormat="1" x14ac:dyDescent="0.25"/>
    <row r="72617" s="12" customFormat="1" x14ac:dyDescent="0.25"/>
    <row r="72618" s="12" customFormat="1" x14ac:dyDescent="0.25"/>
    <row r="72619" s="12" customFormat="1" x14ac:dyDescent="0.25"/>
    <row r="72620" s="12" customFormat="1" x14ac:dyDescent="0.25"/>
    <row r="72621" s="12" customFormat="1" x14ac:dyDescent="0.25"/>
    <row r="72622" s="12" customFormat="1" x14ac:dyDescent="0.25"/>
    <row r="72623" s="12" customFormat="1" x14ac:dyDescent="0.25"/>
    <row r="72624" s="12" customFormat="1" x14ac:dyDescent="0.25"/>
    <row r="72625" s="12" customFormat="1" x14ac:dyDescent="0.25"/>
    <row r="72626" s="12" customFormat="1" x14ac:dyDescent="0.25"/>
    <row r="72627" s="12" customFormat="1" x14ac:dyDescent="0.25"/>
    <row r="72628" s="12" customFormat="1" x14ac:dyDescent="0.25"/>
    <row r="72629" s="12" customFormat="1" x14ac:dyDescent="0.25"/>
    <row r="72630" s="12" customFormat="1" x14ac:dyDescent="0.25"/>
    <row r="72631" s="12" customFormat="1" x14ac:dyDescent="0.25"/>
    <row r="72632" s="12" customFormat="1" x14ac:dyDescent="0.25"/>
    <row r="72633" s="12" customFormat="1" x14ac:dyDescent="0.25"/>
    <row r="72634" s="12" customFormat="1" x14ac:dyDescent="0.25"/>
    <row r="72635" s="12" customFormat="1" x14ac:dyDescent="0.25"/>
    <row r="72636" s="12" customFormat="1" x14ac:dyDescent="0.25"/>
    <row r="72637" s="12" customFormat="1" x14ac:dyDescent="0.25"/>
    <row r="72638" s="12" customFormat="1" x14ac:dyDescent="0.25"/>
    <row r="72639" s="12" customFormat="1" x14ac:dyDescent="0.25"/>
    <row r="72640" s="12" customFormat="1" x14ac:dyDescent="0.25"/>
    <row r="72641" s="12" customFormat="1" x14ac:dyDescent="0.25"/>
    <row r="72642" s="12" customFormat="1" x14ac:dyDescent="0.25"/>
    <row r="72643" s="12" customFormat="1" x14ac:dyDescent="0.25"/>
    <row r="72644" s="12" customFormat="1" x14ac:dyDescent="0.25"/>
    <row r="72645" s="12" customFormat="1" x14ac:dyDescent="0.25"/>
    <row r="72646" s="12" customFormat="1" x14ac:dyDescent="0.25"/>
    <row r="72647" s="12" customFormat="1" x14ac:dyDescent="0.25"/>
    <row r="72648" s="12" customFormat="1" x14ac:dyDescent="0.25"/>
    <row r="72649" s="12" customFormat="1" x14ac:dyDescent="0.25"/>
    <row r="72650" s="12" customFormat="1" x14ac:dyDescent="0.25"/>
    <row r="72651" s="12" customFormat="1" x14ac:dyDescent="0.25"/>
    <row r="72652" s="12" customFormat="1" x14ac:dyDescent="0.25"/>
    <row r="72653" s="12" customFormat="1" x14ac:dyDescent="0.25"/>
    <row r="72654" s="12" customFormat="1" x14ac:dyDescent="0.25"/>
    <row r="72655" s="12" customFormat="1" x14ac:dyDescent="0.25"/>
    <row r="72656" s="12" customFormat="1" x14ac:dyDescent="0.25"/>
    <row r="72657" s="12" customFormat="1" x14ac:dyDescent="0.25"/>
    <row r="72658" s="12" customFormat="1" x14ac:dyDescent="0.25"/>
    <row r="72659" s="12" customFormat="1" x14ac:dyDescent="0.25"/>
    <row r="72660" s="12" customFormat="1" x14ac:dyDescent="0.25"/>
    <row r="72661" s="12" customFormat="1" x14ac:dyDescent="0.25"/>
    <row r="72662" s="12" customFormat="1" x14ac:dyDescent="0.25"/>
    <row r="72663" s="12" customFormat="1" x14ac:dyDescent="0.25"/>
    <row r="72664" s="12" customFormat="1" x14ac:dyDescent="0.25"/>
    <row r="72665" s="12" customFormat="1" x14ac:dyDescent="0.25"/>
    <row r="72666" s="12" customFormat="1" x14ac:dyDescent="0.25"/>
    <row r="72667" s="12" customFormat="1" x14ac:dyDescent="0.25"/>
    <row r="72668" s="12" customFormat="1" x14ac:dyDescent="0.25"/>
    <row r="72669" s="12" customFormat="1" x14ac:dyDescent="0.25"/>
    <row r="72670" s="12" customFormat="1" x14ac:dyDescent="0.25"/>
    <row r="72671" s="12" customFormat="1" x14ac:dyDescent="0.25"/>
    <row r="72672" s="12" customFormat="1" x14ac:dyDescent="0.25"/>
    <row r="72673" s="12" customFormat="1" x14ac:dyDescent="0.25"/>
    <row r="72674" s="12" customFormat="1" x14ac:dyDescent="0.25"/>
    <row r="72675" s="12" customFormat="1" x14ac:dyDescent="0.25"/>
    <row r="72676" s="12" customFormat="1" x14ac:dyDescent="0.25"/>
    <row r="72677" s="12" customFormat="1" x14ac:dyDescent="0.25"/>
    <row r="72678" s="12" customFormat="1" x14ac:dyDescent="0.25"/>
    <row r="72679" s="12" customFormat="1" x14ac:dyDescent="0.25"/>
    <row r="72680" s="12" customFormat="1" x14ac:dyDescent="0.25"/>
    <row r="72681" s="12" customFormat="1" x14ac:dyDescent="0.25"/>
    <row r="72682" s="12" customFormat="1" x14ac:dyDescent="0.25"/>
    <row r="72683" s="12" customFormat="1" x14ac:dyDescent="0.25"/>
    <row r="72684" s="12" customFormat="1" x14ac:dyDescent="0.25"/>
    <row r="72685" s="12" customFormat="1" x14ac:dyDescent="0.25"/>
    <row r="72686" s="12" customFormat="1" x14ac:dyDescent="0.25"/>
    <row r="72687" s="12" customFormat="1" x14ac:dyDescent="0.25"/>
    <row r="72688" s="12" customFormat="1" x14ac:dyDescent="0.25"/>
    <row r="72689" s="12" customFormat="1" x14ac:dyDescent="0.25"/>
    <row r="72690" s="12" customFormat="1" x14ac:dyDescent="0.25"/>
    <row r="72691" s="12" customFormat="1" x14ac:dyDescent="0.25"/>
    <row r="72692" s="12" customFormat="1" x14ac:dyDescent="0.25"/>
    <row r="72693" s="12" customFormat="1" x14ac:dyDescent="0.25"/>
    <row r="72694" s="12" customFormat="1" x14ac:dyDescent="0.25"/>
    <row r="72695" s="12" customFormat="1" x14ac:dyDescent="0.25"/>
    <row r="72696" s="12" customFormat="1" x14ac:dyDescent="0.25"/>
    <row r="72697" s="12" customFormat="1" x14ac:dyDescent="0.25"/>
    <row r="72698" s="12" customFormat="1" x14ac:dyDescent="0.25"/>
    <row r="72699" s="12" customFormat="1" x14ac:dyDescent="0.25"/>
    <row r="72700" s="12" customFormat="1" x14ac:dyDescent="0.25"/>
    <row r="72701" s="12" customFormat="1" x14ac:dyDescent="0.25"/>
    <row r="72702" s="12" customFormat="1" x14ac:dyDescent="0.25"/>
    <row r="72703" s="12" customFormat="1" x14ac:dyDescent="0.25"/>
    <row r="72704" s="12" customFormat="1" x14ac:dyDescent="0.25"/>
    <row r="72705" s="12" customFormat="1" x14ac:dyDescent="0.25"/>
    <row r="72706" s="12" customFormat="1" x14ac:dyDescent="0.25"/>
    <row r="72707" s="12" customFormat="1" x14ac:dyDescent="0.25"/>
    <row r="72708" s="12" customFormat="1" x14ac:dyDescent="0.25"/>
    <row r="72709" s="12" customFormat="1" x14ac:dyDescent="0.25"/>
    <row r="72710" s="12" customFormat="1" x14ac:dyDescent="0.25"/>
    <row r="72711" s="12" customFormat="1" x14ac:dyDescent="0.25"/>
    <row r="72712" s="12" customFormat="1" x14ac:dyDescent="0.25"/>
    <row r="72713" s="12" customFormat="1" x14ac:dyDescent="0.25"/>
    <row r="72714" s="12" customFormat="1" x14ac:dyDescent="0.25"/>
    <row r="72715" s="12" customFormat="1" x14ac:dyDescent="0.25"/>
    <row r="72716" s="12" customFormat="1" x14ac:dyDescent="0.25"/>
    <row r="72717" s="12" customFormat="1" x14ac:dyDescent="0.25"/>
    <row r="72718" s="12" customFormat="1" x14ac:dyDescent="0.25"/>
    <row r="72719" s="12" customFormat="1" x14ac:dyDescent="0.25"/>
    <row r="72720" s="12" customFormat="1" x14ac:dyDescent="0.25"/>
    <row r="72721" s="12" customFormat="1" x14ac:dyDescent="0.25"/>
    <row r="72722" s="12" customFormat="1" x14ac:dyDescent="0.25"/>
    <row r="72723" s="12" customFormat="1" x14ac:dyDescent="0.25"/>
    <row r="72724" s="12" customFormat="1" x14ac:dyDescent="0.25"/>
    <row r="72725" s="12" customFormat="1" x14ac:dyDescent="0.25"/>
    <row r="72726" s="12" customFormat="1" x14ac:dyDescent="0.25"/>
    <row r="72727" s="12" customFormat="1" x14ac:dyDescent="0.25"/>
    <row r="72728" s="12" customFormat="1" x14ac:dyDescent="0.25"/>
    <row r="72729" s="12" customFormat="1" x14ac:dyDescent="0.25"/>
    <row r="72730" s="12" customFormat="1" x14ac:dyDescent="0.25"/>
    <row r="72731" s="12" customFormat="1" x14ac:dyDescent="0.25"/>
    <row r="72732" s="12" customFormat="1" x14ac:dyDescent="0.25"/>
    <row r="72733" s="12" customFormat="1" x14ac:dyDescent="0.25"/>
    <row r="72734" s="12" customFormat="1" x14ac:dyDescent="0.25"/>
    <row r="72735" s="12" customFormat="1" x14ac:dyDescent="0.25"/>
    <row r="72736" s="12" customFormat="1" x14ac:dyDescent="0.25"/>
    <row r="72737" s="12" customFormat="1" x14ac:dyDescent="0.25"/>
    <row r="72738" s="12" customFormat="1" x14ac:dyDescent="0.25"/>
    <row r="72739" s="12" customFormat="1" x14ac:dyDescent="0.25"/>
    <row r="72740" s="12" customFormat="1" x14ac:dyDescent="0.25"/>
    <row r="72741" s="12" customFormat="1" x14ac:dyDescent="0.25"/>
    <row r="72742" s="12" customFormat="1" x14ac:dyDescent="0.25"/>
    <row r="72743" s="12" customFormat="1" x14ac:dyDescent="0.25"/>
    <row r="72744" s="12" customFormat="1" x14ac:dyDescent="0.25"/>
    <row r="72745" s="12" customFormat="1" x14ac:dyDescent="0.25"/>
    <row r="72746" s="12" customFormat="1" x14ac:dyDescent="0.25"/>
    <row r="72747" s="12" customFormat="1" x14ac:dyDescent="0.25"/>
    <row r="72748" s="12" customFormat="1" x14ac:dyDescent="0.25"/>
    <row r="72749" s="12" customFormat="1" x14ac:dyDescent="0.25"/>
    <row r="72750" s="12" customFormat="1" x14ac:dyDescent="0.25"/>
    <row r="72751" s="12" customFormat="1" x14ac:dyDescent="0.25"/>
    <row r="72752" s="12" customFormat="1" x14ac:dyDescent="0.25"/>
    <row r="72753" s="12" customFormat="1" x14ac:dyDescent="0.25"/>
    <row r="72754" s="12" customFormat="1" x14ac:dyDescent="0.25"/>
    <row r="72755" s="12" customFormat="1" x14ac:dyDescent="0.25"/>
    <row r="72756" s="12" customFormat="1" x14ac:dyDescent="0.25"/>
    <row r="72757" s="12" customFormat="1" x14ac:dyDescent="0.25"/>
    <row r="72758" s="12" customFormat="1" x14ac:dyDescent="0.25"/>
    <row r="72759" s="12" customFormat="1" x14ac:dyDescent="0.25"/>
    <row r="72760" s="12" customFormat="1" x14ac:dyDescent="0.25"/>
    <row r="72761" s="12" customFormat="1" x14ac:dyDescent="0.25"/>
    <row r="72762" s="12" customFormat="1" x14ac:dyDescent="0.25"/>
    <row r="72763" s="12" customFormat="1" x14ac:dyDescent="0.25"/>
    <row r="72764" s="12" customFormat="1" x14ac:dyDescent="0.25"/>
    <row r="72765" s="12" customFormat="1" x14ac:dyDescent="0.25"/>
    <row r="72766" s="12" customFormat="1" x14ac:dyDescent="0.25"/>
    <row r="72767" s="12" customFormat="1" x14ac:dyDescent="0.25"/>
    <row r="72768" s="12" customFormat="1" x14ac:dyDescent="0.25"/>
    <row r="72769" s="12" customFormat="1" x14ac:dyDescent="0.25"/>
    <row r="72770" s="12" customFormat="1" x14ac:dyDescent="0.25"/>
    <row r="72771" s="12" customFormat="1" x14ac:dyDescent="0.25"/>
    <row r="72772" s="12" customFormat="1" x14ac:dyDescent="0.25"/>
    <row r="72773" s="12" customFormat="1" x14ac:dyDescent="0.25"/>
    <row r="72774" s="12" customFormat="1" x14ac:dyDescent="0.25"/>
    <row r="72775" s="12" customFormat="1" x14ac:dyDescent="0.25"/>
    <row r="72776" s="12" customFormat="1" x14ac:dyDescent="0.25"/>
    <row r="72777" s="12" customFormat="1" x14ac:dyDescent="0.25"/>
    <row r="72778" s="12" customFormat="1" x14ac:dyDescent="0.25"/>
    <row r="72779" s="12" customFormat="1" x14ac:dyDescent="0.25"/>
    <row r="72780" s="12" customFormat="1" x14ac:dyDescent="0.25"/>
    <row r="72781" s="12" customFormat="1" x14ac:dyDescent="0.25"/>
    <row r="72782" s="12" customFormat="1" x14ac:dyDescent="0.25"/>
    <row r="72783" s="12" customFormat="1" x14ac:dyDescent="0.25"/>
    <row r="72784" s="12" customFormat="1" x14ac:dyDescent="0.25"/>
    <row r="72785" s="12" customFormat="1" x14ac:dyDescent="0.25"/>
    <row r="72786" s="12" customFormat="1" x14ac:dyDescent="0.25"/>
    <row r="72787" s="12" customFormat="1" x14ac:dyDescent="0.25"/>
    <row r="72788" s="12" customFormat="1" x14ac:dyDescent="0.25"/>
    <row r="72789" s="12" customFormat="1" x14ac:dyDescent="0.25"/>
    <row r="72790" s="12" customFormat="1" x14ac:dyDescent="0.25"/>
    <row r="72791" s="12" customFormat="1" x14ac:dyDescent="0.25"/>
    <row r="72792" s="12" customFormat="1" x14ac:dyDescent="0.25"/>
    <row r="72793" s="12" customFormat="1" x14ac:dyDescent="0.25"/>
    <row r="72794" s="12" customFormat="1" x14ac:dyDescent="0.25"/>
    <row r="72795" s="12" customFormat="1" x14ac:dyDescent="0.25"/>
    <row r="72796" s="12" customFormat="1" x14ac:dyDescent="0.25"/>
    <row r="72797" s="12" customFormat="1" x14ac:dyDescent="0.25"/>
    <row r="72798" s="12" customFormat="1" x14ac:dyDescent="0.25"/>
    <row r="72799" s="12" customFormat="1" x14ac:dyDescent="0.25"/>
    <row r="72800" s="12" customFormat="1" x14ac:dyDescent="0.25"/>
    <row r="72801" s="12" customFormat="1" x14ac:dyDescent="0.25"/>
    <row r="72802" s="12" customFormat="1" x14ac:dyDescent="0.25"/>
    <row r="72803" s="12" customFormat="1" x14ac:dyDescent="0.25"/>
    <row r="72804" s="12" customFormat="1" x14ac:dyDescent="0.25"/>
    <row r="72805" s="12" customFormat="1" x14ac:dyDescent="0.25"/>
    <row r="72806" s="12" customFormat="1" x14ac:dyDescent="0.25"/>
    <row r="72807" s="12" customFormat="1" x14ac:dyDescent="0.25"/>
    <row r="72808" s="12" customFormat="1" x14ac:dyDescent="0.25"/>
    <row r="72809" s="12" customFormat="1" x14ac:dyDescent="0.25"/>
    <row r="72810" s="12" customFormat="1" x14ac:dyDescent="0.25"/>
    <row r="72811" s="12" customFormat="1" x14ac:dyDescent="0.25"/>
    <row r="72812" s="12" customFormat="1" x14ac:dyDescent="0.25"/>
    <row r="72813" s="12" customFormat="1" x14ac:dyDescent="0.25"/>
    <row r="72814" s="12" customFormat="1" x14ac:dyDescent="0.25"/>
    <row r="72815" s="12" customFormat="1" x14ac:dyDescent="0.25"/>
    <row r="72816" s="12" customFormat="1" x14ac:dyDescent="0.25"/>
    <row r="72817" s="12" customFormat="1" x14ac:dyDescent="0.25"/>
    <row r="72818" s="12" customFormat="1" x14ac:dyDescent="0.25"/>
    <row r="72819" s="12" customFormat="1" x14ac:dyDescent="0.25"/>
    <row r="72820" s="12" customFormat="1" x14ac:dyDescent="0.25"/>
    <row r="72821" s="12" customFormat="1" x14ac:dyDescent="0.25"/>
    <row r="72822" s="12" customFormat="1" x14ac:dyDescent="0.25"/>
    <row r="72823" s="12" customFormat="1" x14ac:dyDescent="0.25"/>
    <row r="72824" s="12" customFormat="1" x14ac:dyDescent="0.25"/>
    <row r="72825" s="12" customFormat="1" x14ac:dyDescent="0.25"/>
    <row r="72826" s="12" customFormat="1" x14ac:dyDescent="0.25"/>
    <row r="72827" s="12" customFormat="1" x14ac:dyDescent="0.25"/>
    <row r="72828" s="12" customFormat="1" x14ac:dyDescent="0.25"/>
    <row r="72829" s="12" customFormat="1" x14ac:dyDescent="0.25"/>
    <row r="72830" s="12" customFormat="1" x14ac:dyDescent="0.25"/>
    <row r="72831" s="12" customFormat="1" x14ac:dyDescent="0.25"/>
    <row r="72832" s="12" customFormat="1" x14ac:dyDescent="0.25"/>
    <row r="72833" s="12" customFormat="1" x14ac:dyDescent="0.25"/>
    <row r="72834" s="12" customFormat="1" x14ac:dyDescent="0.25"/>
    <row r="72835" s="12" customFormat="1" x14ac:dyDescent="0.25"/>
    <row r="72836" s="12" customFormat="1" x14ac:dyDescent="0.25"/>
    <row r="72837" s="12" customFormat="1" x14ac:dyDescent="0.25"/>
    <row r="72838" s="12" customFormat="1" x14ac:dyDescent="0.25"/>
    <row r="72839" s="12" customFormat="1" x14ac:dyDescent="0.25"/>
    <row r="72840" s="12" customFormat="1" x14ac:dyDescent="0.25"/>
    <row r="72841" s="12" customFormat="1" x14ac:dyDescent="0.25"/>
    <row r="72842" s="12" customFormat="1" x14ac:dyDescent="0.25"/>
    <row r="72843" s="12" customFormat="1" x14ac:dyDescent="0.25"/>
    <row r="72844" s="12" customFormat="1" x14ac:dyDescent="0.25"/>
    <row r="72845" s="12" customFormat="1" x14ac:dyDescent="0.25"/>
    <row r="72846" s="12" customFormat="1" x14ac:dyDescent="0.25"/>
    <row r="72847" s="12" customFormat="1" x14ac:dyDescent="0.25"/>
    <row r="72848" s="12" customFormat="1" x14ac:dyDescent="0.25"/>
    <row r="72849" s="12" customFormat="1" x14ac:dyDescent="0.25"/>
    <row r="72850" s="12" customFormat="1" x14ac:dyDescent="0.25"/>
    <row r="72851" s="12" customFormat="1" x14ac:dyDescent="0.25"/>
    <row r="72852" s="12" customFormat="1" x14ac:dyDescent="0.25"/>
    <row r="72853" s="12" customFormat="1" x14ac:dyDescent="0.25"/>
    <row r="72854" s="12" customFormat="1" x14ac:dyDescent="0.25"/>
    <row r="72855" s="12" customFormat="1" x14ac:dyDescent="0.25"/>
    <row r="72856" s="12" customFormat="1" x14ac:dyDescent="0.25"/>
    <row r="72857" s="12" customFormat="1" x14ac:dyDescent="0.25"/>
    <row r="72858" s="12" customFormat="1" x14ac:dyDescent="0.25"/>
    <row r="72859" s="12" customFormat="1" x14ac:dyDescent="0.25"/>
    <row r="72860" s="12" customFormat="1" x14ac:dyDescent="0.25"/>
    <row r="72861" s="12" customFormat="1" x14ac:dyDescent="0.25"/>
    <row r="72862" s="12" customFormat="1" x14ac:dyDescent="0.25"/>
    <row r="72863" s="12" customFormat="1" x14ac:dyDescent="0.25"/>
    <row r="72864" s="12" customFormat="1" x14ac:dyDescent="0.25"/>
    <row r="72865" s="12" customFormat="1" x14ac:dyDescent="0.25"/>
    <row r="72866" s="12" customFormat="1" x14ac:dyDescent="0.25"/>
    <row r="72867" s="12" customFormat="1" x14ac:dyDescent="0.25"/>
    <row r="72868" s="12" customFormat="1" x14ac:dyDescent="0.25"/>
    <row r="72869" s="12" customFormat="1" x14ac:dyDescent="0.25"/>
    <row r="72870" s="12" customFormat="1" x14ac:dyDescent="0.25"/>
    <row r="72871" s="12" customFormat="1" x14ac:dyDescent="0.25"/>
    <row r="72872" s="12" customFormat="1" x14ac:dyDescent="0.25"/>
    <row r="72873" s="12" customFormat="1" x14ac:dyDescent="0.25"/>
    <row r="72874" s="12" customFormat="1" x14ac:dyDescent="0.25"/>
    <row r="72875" s="12" customFormat="1" x14ac:dyDescent="0.25"/>
    <row r="72876" s="12" customFormat="1" x14ac:dyDescent="0.25"/>
    <row r="72877" s="12" customFormat="1" x14ac:dyDescent="0.25"/>
    <row r="72878" s="12" customFormat="1" x14ac:dyDescent="0.25"/>
    <row r="72879" s="12" customFormat="1" x14ac:dyDescent="0.25"/>
    <row r="72880" s="12" customFormat="1" x14ac:dyDescent="0.25"/>
    <row r="72881" s="12" customFormat="1" x14ac:dyDescent="0.25"/>
    <row r="72882" s="12" customFormat="1" x14ac:dyDescent="0.25"/>
    <row r="72883" s="12" customFormat="1" x14ac:dyDescent="0.25"/>
    <row r="72884" s="12" customFormat="1" x14ac:dyDescent="0.25"/>
    <row r="72885" s="12" customFormat="1" x14ac:dyDescent="0.25"/>
    <row r="72886" s="12" customFormat="1" x14ac:dyDescent="0.25"/>
    <row r="72887" s="12" customFormat="1" x14ac:dyDescent="0.25"/>
    <row r="72888" s="12" customFormat="1" x14ac:dyDescent="0.25"/>
    <row r="72889" s="12" customFormat="1" x14ac:dyDescent="0.25"/>
    <row r="72890" s="12" customFormat="1" x14ac:dyDescent="0.25"/>
    <row r="72891" s="12" customFormat="1" x14ac:dyDescent="0.25"/>
    <row r="72892" s="12" customFormat="1" x14ac:dyDescent="0.25"/>
    <row r="72893" s="12" customFormat="1" x14ac:dyDescent="0.25"/>
    <row r="72894" s="12" customFormat="1" x14ac:dyDescent="0.25"/>
    <row r="72895" s="12" customFormat="1" x14ac:dyDescent="0.25"/>
    <row r="72896" s="12" customFormat="1" x14ac:dyDescent="0.25"/>
    <row r="72897" s="12" customFormat="1" x14ac:dyDescent="0.25"/>
    <row r="72898" s="12" customFormat="1" x14ac:dyDescent="0.25"/>
    <row r="72899" s="12" customFormat="1" x14ac:dyDescent="0.25"/>
    <row r="72900" s="12" customFormat="1" x14ac:dyDescent="0.25"/>
    <row r="72901" s="12" customFormat="1" x14ac:dyDescent="0.25"/>
    <row r="72902" s="12" customFormat="1" x14ac:dyDescent="0.25"/>
    <row r="72903" s="12" customFormat="1" x14ac:dyDescent="0.25"/>
    <row r="72904" s="12" customFormat="1" x14ac:dyDescent="0.25"/>
    <row r="72905" s="12" customFormat="1" x14ac:dyDescent="0.25"/>
    <row r="72906" s="12" customFormat="1" x14ac:dyDescent="0.25"/>
    <row r="72907" s="12" customFormat="1" x14ac:dyDescent="0.25"/>
    <row r="72908" s="12" customFormat="1" x14ac:dyDescent="0.25"/>
    <row r="72909" s="12" customFormat="1" x14ac:dyDescent="0.25"/>
    <row r="72910" s="12" customFormat="1" x14ac:dyDescent="0.25"/>
    <row r="72911" s="12" customFormat="1" x14ac:dyDescent="0.25"/>
    <row r="72912" s="12" customFormat="1" x14ac:dyDescent="0.25"/>
    <row r="72913" s="12" customFormat="1" x14ac:dyDescent="0.25"/>
    <row r="72914" s="12" customFormat="1" x14ac:dyDescent="0.25"/>
    <row r="72915" s="12" customFormat="1" x14ac:dyDescent="0.25"/>
    <row r="72916" s="12" customFormat="1" x14ac:dyDescent="0.25"/>
    <row r="72917" s="12" customFormat="1" x14ac:dyDescent="0.25"/>
    <row r="72918" s="12" customFormat="1" x14ac:dyDescent="0.25"/>
    <row r="72919" s="12" customFormat="1" x14ac:dyDescent="0.25"/>
    <row r="72920" s="12" customFormat="1" x14ac:dyDescent="0.25"/>
    <row r="72921" s="12" customFormat="1" x14ac:dyDescent="0.25"/>
    <row r="72922" s="12" customFormat="1" x14ac:dyDescent="0.25"/>
    <row r="72923" s="12" customFormat="1" x14ac:dyDescent="0.25"/>
    <row r="72924" s="12" customFormat="1" x14ac:dyDescent="0.25"/>
    <row r="72925" s="12" customFormat="1" x14ac:dyDescent="0.25"/>
    <row r="72926" s="12" customFormat="1" x14ac:dyDescent="0.25"/>
    <row r="72927" s="12" customFormat="1" x14ac:dyDescent="0.25"/>
    <row r="72928" s="12" customFormat="1" x14ac:dyDescent="0.25"/>
    <row r="72929" s="12" customFormat="1" x14ac:dyDescent="0.25"/>
    <row r="72930" s="12" customFormat="1" x14ac:dyDescent="0.25"/>
    <row r="72931" s="12" customFormat="1" x14ac:dyDescent="0.25"/>
    <row r="72932" s="12" customFormat="1" x14ac:dyDescent="0.25"/>
    <row r="72933" s="12" customFormat="1" x14ac:dyDescent="0.25"/>
    <row r="72934" s="12" customFormat="1" x14ac:dyDescent="0.25"/>
    <row r="72935" s="12" customFormat="1" x14ac:dyDescent="0.25"/>
    <row r="72936" s="12" customFormat="1" x14ac:dyDescent="0.25"/>
    <row r="72937" s="12" customFormat="1" x14ac:dyDescent="0.25"/>
    <row r="72938" s="12" customFormat="1" x14ac:dyDescent="0.25"/>
    <row r="72939" s="12" customFormat="1" x14ac:dyDescent="0.25"/>
    <row r="72940" s="12" customFormat="1" x14ac:dyDescent="0.25"/>
    <row r="72941" s="12" customFormat="1" x14ac:dyDescent="0.25"/>
    <row r="72942" s="12" customFormat="1" x14ac:dyDescent="0.25"/>
    <row r="72943" s="12" customFormat="1" x14ac:dyDescent="0.25"/>
    <row r="72944" s="12" customFormat="1" x14ac:dyDescent="0.25"/>
    <row r="72945" s="12" customFormat="1" x14ac:dyDescent="0.25"/>
    <row r="72946" s="12" customFormat="1" x14ac:dyDescent="0.25"/>
    <row r="72947" s="12" customFormat="1" x14ac:dyDescent="0.25"/>
    <row r="72948" s="12" customFormat="1" x14ac:dyDescent="0.25"/>
    <row r="72949" s="12" customFormat="1" x14ac:dyDescent="0.25"/>
    <row r="72950" s="12" customFormat="1" x14ac:dyDescent="0.25"/>
    <row r="72951" s="12" customFormat="1" x14ac:dyDescent="0.25"/>
    <row r="72952" s="12" customFormat="1" x14ac:dyDescent="0.25"/>
    <row r="72953" s="12" customFormat="1" x14ac:dyDescent="0.25"/>
    <row r="72954" s="12" customFormat="1" x14ac:dyDescent="0.25"/>
    <row r="72955" s="12" customFormat="1" x14ac:dyDescent="0.25"/>
    <row r="72956" s="12" customFormat="1" x14ac:dyDescent="0.25"/>
    <row r="72957" s="12" customFormat="1" x14ac:dyDescent="0.25"/>
    <row r="72958" s="12" customFormat="1" x14ac:dyDescent="0.25"/>
    <row r="72959" s="12" customFormat="1" x14ac:dyDescent="0.25"/>
    <row r="72960" s="12" customFormat="1" x14ac:dyDescent="0.25"/>
    <row r="72961" s="12" customFormat="1" x14ac:dyDescent="0.25"/>
    <row r="72962" s="12" customFormat="1" x14ac:dyDescent="0.25"/>
    <row r="72963" s="12" customFormat="1" x14ac:dyDescent="0.25"/>
    <row r="72964" s="12" customFormat="1" x14ac:dyDescent="0.25"/>
    <row r="72965" s="12" customFormat="1" x14ac:dyDescent="0.25"/>
    <row r="72966" s="12" customFormat="1" x14ac:dyDescent="0.25"/>
    <row r="72967" s="12" customFormat="1" x14ac:dyDescent="0.25"/>
    <row r="72968" s="12" customFormat="1" x14ac:dyDescent="0.25"/>
    <row r="72969" s="12" customFormat="1" x14ac:dyDescent="0.25"/>
    <row r="72970" s="12" customFormat="1" x14ac:dyDescent="0.25"/>
    <row r="72971" s="12" customFormat="1" x14ac:dyDescent="0.25"/>
    <row r="72972" s="12" customFormat="1" x14ac:dyDescent="0.25"/>
    <row r="72973" s="12" customFormat="1" x14ac:dyDescent="0.25"/>
    <row r="72974" s="12" customFormat="1" x14ac:dyDescent="0.25"/>
    <row r="72975" s="12" customFormat="1" x14ac:dyDescent="0.25"/>
    <row r="72976" s="12" customFormat="1" x14ac:dyDescent="0.25"/>
    <row r="72977" s="12" customFormat="1" x14ac:dyDescent="0.25"/>
    <row r="72978" s="12" customFormat="1" x14ac:dyDescent="0.25"/>
    <row r="72979" s="12" customFormat="1" x14ac:dyDescent="0.25"/>
    <row r="72980" s="12" customFormat="1" x14ac:dyDescent="0.25"/>
    <row r="72981" s="12" customFormat="1" x14ac:dyDescent="0.25"/>
    <row r="72982" s="12" customFormat="1" x14ac:dyDescent="0.25"/>
    <row r="72983" s="12" customFormat="1" x14ac:dyDescent="0.25"/>
    <row r="72984" s="12" customFormat="1" x14ac:dyDescent="0.25"/>
    <row r="72985" s="12" customFormat="1" x14ac:dyDescent="0.25"/>
    <row r="72986" s="12" customFormat="1" x14ac:dyDescent="0.25"/>
    <row r="72987" s="12" customFormat="1" x14ac:dyDescent="0.25"/>
    <row r="72988" s="12" customFormat="1" x14ac:dyDescent="0.25"/>
    <row r="72989" s="12" customFormat="1" x14ac:dyDescent="0.25"/>
    <row r="72990" s="12" customFormat="1" x14ac:dyDescent="0.25"/>
    <row r="72991" s="12" customFormat="1" x14ac:dyDescent="0.25"/>
    <row r="72992" s="12" customFormat="1" x14ac:dyDescent="0.25"/>
    <row r="72993" s="12" customFormat="1" x14ac:dyDescent="0.25"/>
    <row r="72994" s="12" customFormat="1" x14ac:dyDescent="0.25"/>
    <row r="72995" s="12" customFormat="1" x14ac:dyDescent="0.25"/>
    <row r="72996" s="12" customFormat="1" x14ac:dyDescent="0.25"/>
    <row r="72997" s="12" customFormat="1" x14ac:dyDescent="0.25"/>
    <row r="72998" s="12" customFormat="1" x14ac:dyDescent="0.25"/>
    <row r="72999" s="12" customFormat="1" x14ac:dyDescent="0.25"/>
    <row r="73000" s="12" customFormat="1" x14ac:dyDescent="0.25"/>
    <row r="73001" s="12" customFormat="1" x14ac:dyDescent="0.25"/>
    <row r="73002" s="12" customFormat="1" x14ac:dyDescent="0.25"/>
    <row r="73003" s="12" customFormat="1" x14ac:dyDescent="0.25"/>
    <row r="73004" s="12" customFormat="1" x14ac:dyDescent="0.25"/>
    <row r="73005" s="12" customFormat="1" x14ac:dyDescent="0.25"/>
    <row r="73006" s="12" customFormat="1" x14ac:dyDescent="0.25"/>
    <row r="73007" s="12" customFormat="1" x14ac:dyDescent="0.25"/>
    <row r="73008" s="12" customFormat="1" x14ac:dyDescent="0.25"/>
    <row r="73009" s="12" customFormat="1" x14ac:dyDescent="0.25"/>
    <row r="73010" s="12" customFormat="1" x14ac:dyDescent="0.25"/>
    <row r="73011" s="12" customFormat="1" x14ac:dyDescent="0.25"/>
    <row r="73012" s="12" customFormat="1" x14ac:dyDescent="0.25"/>
    <row r="73013" s="12" customFormat="1" x14ac:dyDescent="0.25"/>
    <row r="73014" s="12" customFormat="1" x14ac:dyDescent="0.25"/>
    <row r="73015" s="12" customFormat="1" x14ac:dyDescent="0.25"/>
    <row r="73016" s="12" customFormat="1" x14ac:dyDescent="0.25"/>
    <row r="73017" s="12" customFormat="1" x14ac:dyDescent="0.25"/>
    <row r="73018" s="12" customFormat="1" x14ac:dyDescent="0.25"/>
    <row r="73019" s="12" customFormat="1" x14ac:dyDescent="0.25"/>
    <row r="73020" s="12" customFormat="1" x14ac:dyDescent="0.25"/>
    <row r="73021" s="12" customFormat="1" x14ac:dyDescent="0.25"/>
    <row r="73022" s="12" customFormat="1" x14ac:dyDescent="0.25"/>
    <row r="73023" s="12" customFormat="1" x14ac:dyDescent="0.25"/>
    <row r="73024" s="12" customFormat="1" x14ac:dyDescent="0.25"/>
    <row r="73025" s="12" customFormat="1" x14ac:dyDescent="0.25"/>
    <row r="73026" s="12" customFormat="1" x14ac:dyDescent="0.25"/>
    <row r="73027" s="12" customFormat="1" x14ac:dyDescent="0.25"/>
    <row r="73028" s="12" customFormat="1" x14ac:dyDescent="0.25"/>
    <row r="73029" s="12" customFormat="1" x14ac:dyDescent="0.25"/>
    <row r="73030" s="12" customFormat="1" x14ac:dyDescent="0.25"/>
    <row r="73031" s="12" customFormat="1" x14ac:dyDescent="0.25"/>
    <row r="73032" s="12" customFormat="1" x14ac:dyDescent="0.25"/>
    <row r="73033" s="12" customFormat="1" x14ac:dyDescent="0.25"/>
    <row r="73034" s="12" customFormat="1" x14ac:dyDescent="0.25"/>
    <row r="73035" s="12" customFormat="1" x14ac:dyDescent="0.25"/>
    <row r="73036" s="12" customFormat="1" x14ac:dyDescent="0.25"/>
    <row r="73037" s="12" customFormat="1" x14ac:dyDescent="0.25"/>
    <row r="73038" s="12" customFormat="1" x14ac:dyDescent="0.25"/>
    <row r="73039" s="12" customFormat="1" x14ac:dyDescent="0.25"/>
    <row r="73040" s="12" customFormat="1" x14ac:dyDescent="0.25"/>
    <row r="73041" s="12" customFormat="1" x14ac:dyDescent="0.25"/>
    <row r="73042" s="12" customFormat="1" x14ac:dyDescent="0.25"/>
    <row r="73043" s="12" customFormat="1" x14ac:dyDescent="0.25"/>
    <row r="73044" s="12" customFormat="1" x14ac:dyDescent="0.25"/>
    <row r="73045" s="12" customFormat="1" x14ac:dyDescent="0.25"/>
    <row r="73046" s="12" customFormat="1" x14ac:dyDescent="0.25"/>
    <row r="73047" s="12" customFormat="1" x14ac:dyDescent="0.25"/>
    <row r="73048" s="12" customFormat="1" x14ac:dyDescent="0.25"/>
    <row r="73049" s="12" customFormat="1" x14ac:dyDescent="0.25"/>
    <row r="73050" s="12" customFormat="1" x14ac:dyDescent="0.25"/>
    <row r="73051" s="12" customFormat="1" x14ac:dyDescent="0.25"/>
    <row r="73052" s="12" customFormat="1" x14ac:dyDescent="0.25"/>
    <row r="73053" s="12" customFormat="1" x14ac:dyDescent="0.25"/>
    <row r="73054" s="12" customFormat="1" x14ac:dyDescent="0.25"/>
    <row r="73055" s="12" customFormat="1" x14ac:dyDescent="0.25"/>
    <row r="73056" s="12" customFormat="1" x14ac:dyDescent="0.25"/>
    <row r="73057" s="12" customFormat="1" x14ac:dyDescent="0.25"/>
    <row r="73058" s="12" customFormat="1" x14ac:dyDescent="0.25"/>
    <row r="73059" s="12" customFormat="1" x14ac:dyDescent="0.25"/>
    <row r="73060" s="12" customFormat="1" x14ac:dyDescent="0.25"/>
    <row r="73061" s="12" customFormat="1" x14ac:dyDescent="0.25"/>
    <row r="73062" s="12" customFormat="1" x14ac:dyDescent="0.25"/>
    <row r="73063" s="12" customFormat="1" x14ac:dyDescent="0.25"/>
    <row r="73064" s="12" customFormat="1" x14ac:dyDescent="0.25"/>
    <row r="73065" s="12" customFormat="1" x14ac:dyDescent="0.25"/>
    <row r="73066" s="12" customFormat="1" x14ac:dyDescent="0.25"/>
    <row r="73067" s="12" customFormat="1" x14ac:dyDescent="0.25"/>
    <row r="73068" s="12" customFormat="1" x14ac:dyDescent="0.25"/>
    <row r="73069" s="12" customFormat="1" x14ac:dyDescent="0.25"/>
    <row r="73070" s="12" customFormat="1" x14ac:dyDescent="0.25"/>
    <row r="73071" s="12" customFormat="1" x14ac:dyDescent="0.25"/>
    <row r="73072" s="12" customFormat="1" x14ac:dyDescent="0.25"/>
    <row r="73073" s="12" customFormat="1" x14ac:dyDescent="0.25"/>
    <row r="73074" s="12" customFormat="1" x14ac:dyDescent="0.25"/>
    <row r="73075" s="12" customFormat="1" x14ac:dyDescent="0.25"/>
    <row r="73076" s="12" customFormat="1" x14ac:dyDescent="0.25"/>
    <row r="73077" s="12" customFormat="1" x14ac:dyDescent="0.25"/>
    <row r="73078" s="12" customFormat="1" x14ac:dyDescent="0.25"/>
    <row r="73079" s="12" customFormat="1" x14ac:dyDescent="0.25"/>
    <row r="73080" s="12" customFormat="1" x14ac:dyDescent="0.25"/>
    <row r="73081" s="12" customFormat="1" x14ac:dyDescent="0.25"/>
    <row r="73082" s="12" customFormat="1" x14ac:dyDescent="0.25"/>
    <row r="73083" s="12" customFormat="1" x14ac:dyDescent="0.25"/>
    <row r="73084" s="12" customFormat="1" x14ac:dyDescent="0.25"/>
    <row r="73085" s="12" customFormat="1" x14ac:dyDescent="0.25"/>
    <row r="73086" s="12" customFormat="1" x14ac:dyDescent="0.25"/>
    <row r="73087" s="12" customFormat="1" x14ac:dyDescent="0.25"/>
    <row r="73088" s="12" customFormat="1" x14ac:dyDescent="0.25"/>
    <row r="73089" s="12" customFormat="1" x14ac:dyDescent="0.25"/>
    <row r="73090" s="12" customFormat="1" x14ac:dyDescent="0.25"/>
    <row r="73091" s="12" customFormat="1" x14ac:dyDescent="0.25"/>
    <row r="73092" s="12" customFormat="1" x14ac:dyDescent="0.25"/>
    <row r="73093" s="12" customFormat="1" x14ac:dyDescent="0.25"/>
    <row r="73094" s="12" customFormat="1" x14ac:dyDescent="0.25"/>
    <row r="73095" s="12" customFormat="1" x14ac:dyDescent="0.25"/>
    <row r="73096" s="12" customFormat="1" x14ac:dyDescent="0.25"/>
    <row r="73097" s="12" customFormat="1" x14ac:dyDescent="0.25"/>
    <row r="73098" s="12" customFormat="1" x14ac:dyDescent="0.25"/>
    <row r="73099" s="12" customFormat="1" x14ac:dyDescent="0.25"/>
    <row r="73100" s="12" customFormat="1" x14ac:dyDescent="0.25"/>
    <row r="73101" s="12" customFormat="1" x14ac:dyDescent="0.25"/>
    <row r="73102" s="12" customFormat="1" x14ac:dyDescent="0.25"/>
    <row r="73103" s="12" customFormat="1" x14ac:dyDescent="0.25"/>
    <row r="73104" s="12" customFormat="1" x14ac:dyDescent="0.25"/>
    <row r="73105" s="12" customFormat="1" x14ac:dyDescent="0.25"/>
    <row r="73106" s="12" customFormat="1" x14ac:dyDescent="0.25"/>
    <row r="73107" s="12" customFormat="1" x14ac:dyDescent="0.25"/>
    <row r="73108" s="12" customFormat="1" x14ac:dyDescent="0.25"/>
    <row r="73109" s="12" customFormat="1" x14ac:dyDescent="0.25"/>
    <row r="73110" s="12" customFormat="1" x14ac:dyDescent="0.25"/>
    <row r="73111" s="12" customFormat="1" x14ac:dyDescent="0.25"/>
    <row r="73112" s="12" customFormat="1" x14ac:dyDescent="0.25"/>
    <row r="73113" s="12" customFormat="1" x14ac:dyDescent="0.25"/>
    <row r="73114" s="12" customFormat="1" x14ac:dyDescent="0.25"/>
    <row r="73115" s="12" customFormat="1" x14ac:dyDescent="0.25"/>
    <row r="73116" s="12" customFormat="1" x14ac:dyDescent="0.25"/>
    <row r="73117" s="12" customFormat="1" x14ac:dyDescent="0.25"/>
    <row r="73118" s="12" customFormat="1" x14ac:dyDescent="0.25"/>
    <row r="73119" s="12" customFormat="1" x14ac:dyDescent="0.25"/>
    <row r="73120" s="12" customFormat="1" x14ac:dyDescent="0.25"/>
    <row r="73121" s="12" customFormat="1" x14ac:dyDescent="0.25"/>
    <row r="73122" s="12" customFormat="1" x14ac:dyDescent="0.25"/>
    <row r="73123" s="12" customFormat="1" x14ac:dyDescent="0.25"/>
    <row r="73124" s="12" customFormat="1" x14ac:dyDescent="0.25"/>
    <row r="73125" s="12" customFormat="1" x14ac:dyDescent="0.25"/>
    <row r="73126" s="12" customFormat="1" x14ac:dyDescent="0.25"/>
    <row r="73127" s="12" customFormat="1" x14ac:dyDescent="0.25"/>
    <row r="73128" s="12" customFormat="1" x14ac:dyDescent="0.25"/>
    <row r="73129" s="12" customFormat="1" x14ac:dyDescent="0.25"/>
    <row r="73130" s="12" customFormat="1" x14ac:dyDescent="0.25"/>
    <row r="73131" s="12" customFormat="1" x14ac:dyDescent="0.25"/>
    <row r="73132" s="12" customFormat="1" x14ac:dyDescent="0.25"/>
    <row r="73133" s="12" customFormat="1" x14ac:dyDescent="0.25"/>
    <row r="73134" s="12" customFormat="1" x14ac:dyDescent="0.25"/>
    <row r="73135" s="12" customFormat="1" x14ac:dyDescent="0.25"/>
    <row r="73136" s="12" customFormat="1" x14ac:dyDescent="0.25"/>
    <row r="73137" s="12" customFormat="1" x14ac:dyDescent="0.25"/>
    <row r="73138" s="12" customFormat="1" x14ac:dyDescent="0.25"/>
    <row r="73139" s="12" customFormat="1" x14ac:dyDescent="0.25"/>
    <row r="73140" s="12" customFormat="1" x14ac:dyDescent="0.25"/>
    <row r="73141" s="12" customFormat="1" x14ac:dyDescent="0.25"/>
    <row r="73142" s="12" customFormat="1" x14ac:dyDescent="0.25"/>
    <row r="73143" s="12" customFormat="1" x14ac:dyDescent="0.25"/>
    <row r="73144" s="12" customFormat="1" x14ac:dyDescent="0.25"/>
    <row r="73145" s="12" customFormat="1" x14ac:dyDescent="0.25"/>
    <row r="73146" s="12" customFormat="1" x14ac:dyDescent="0.25"/>
    <row r="73147" s="12" customFormat="1" x14ac:dyDescent="0.25"/>
    <row r="73148" s="12" customFormat="1" x14ac:dyDescent="0.25"/>
    <row r="73149" s="12" customFormat="1" x14ac:dyDescent="0.25"/>
    <row r="73150" s="12" customFormat="1" x14ac:dyDescent="0.25"/>
    <row r="73151" s="12" customFormat="1" x14ac:dyDescent="0.25"/>
    <row r="73152" s="12" customFormat="1" x14ac:dyDescent="0.25"/>
    <row r="73153" s="12" customFormat="1" x14ac:dyDescent="0.25"/>
    <row r="73154" s="12" customFormat="1" x14ac:dyDescent="0.25"/>
    <row r="73155" s="12" customFormat="1" x14ac:dyDescent="0.25"/>
    <row r="73156" s="12" customFormat="1" x14ac:dyDescent="0.25"/>
    <row r="73157" s="12" customFormat="1" x14ac:dyDescent="0.25"/>
    <row r="73158" s="12" customFormat="1" x14ac:dyDescent="0.25"/>
    <row r="73159" s="12" customFormat="1" x14ac:dyDescent="0.25"/>
    <row r="73160" s="12" customFormat="1" x14ac:dyDescent="0.25"/>
    <row r="73161" s="12" customFormat="1" x14ac:dyDescent="0.25"/>
    <row r="73162" s="12" customFormat="1" x14ac:dyDescent="0.25"/>
    <row r="73163" s="12" customFormat="1" x14ac:dyDescent="0.25"/>
    <row r="73164" s="12" customFormat="1" x14ac:dyDescent="0.25"/>
    <row r="73165" s="12" customFormat="1" x14ac:dyDescent="0.25"/>
    <row r="73166" s="12" customFormat="1" x14ac:dyDescent="0.25"/>
    <row r="73167" s="12" customFormat="1" x14ac:dyDescent="0.25"/>
    <row r="73168" s="12" customFormat="1" x14ac:dyDescent="0.25"/>
    <row r="73169" s="12" customFormat="1" x14ac:dyDescent="0.25"/>
    <row r="73170" s="12" customFormat="1" x14ac:dyDescent="0.25"/>
    <row r="73171" s="12" customFormat="1" x14ac:dyDescent="0.25"/>
    <row r="73172" s="12" customFormat="1" x14ac:dyDescent="0.25"/>
    <row r="73173" s="12" customFormat="1" x14ac:dyDescent="0.25"/>
    <row r="73174" s="12" customFormat="1" x14ac:dyDescent="0.25"/>
    <row r="73175" s="12" customFormat="1" x14ac:dyDescent="0.25"/>
    <row r="73176" s="12" customFormat="1" x14ac:dyDescent="0.25"/>
    <row r="73177" s="12" customFormat="1" x14ac:dyDescent="0.25"/>
    <row r="73178" s="12" customFormat="1" x14ac:dyDescent="0.25"/>
    <row r="73179" s="12" customFormat="1" x14ac:dyDescent="0.25"/>
    <row r="73180" s="12" customFormat="1" x14ac:dyDescent="0.25"/>
    <row r="73181" s="12" customFormat="1" x14ac:dyDescent="0.25"/>
    <row r="73182" s="12" customFormat="1" x14ac:dyDescent="0.25"/>
    <row r="73183" s="12" customFormat="1" x14ac:dyDescent="0.25"/>
    <row r="73184" s="12" customFormat="1" x14ac:dyDescent="0.25"/>
    <row r="73185" s="12" customFormat="1" x14ac:dyDescent="0.25"/>
    <row r="73186" s="12" customFormat="1" x14ac:dyDescent="0.25"/>
    <row r="73187" s="12" customFormat="1" x14ac:dyDescent="0.25"/>
    <row r="73188" s="12" customFormat="1" x14ac:dyDescent="0.25"/>
    <row r="73189" s="12" customFormat="1" x14ac:dyDescent="0.25"/>
    <row r="73190" s="12" customFormat="1" x14ac:dyDescent="0.25"/>
    <row r="73191" s="12" customFormat="1" x14ac:dyDescent="0.25"/>
    <row r="73192" s="12" customFormat="1" x14ac:dyDescent="0.25"/>
    <row r="73193" s="12" customFormat="1" x14ac:dyDescent="0.25"/>
    <row r="73194" s="12" customFormat="1" x14ac:dyDescent="0.25"/>
    <row r="73195" s="12" customFormat="1" x14ac:dyDescent="0.25"/>
    <row r="73196" s="12" customFormat="1" x14ac:dyDescent="0.25"/>
    <row r="73197" s="12" customFormat="1" x14ac:dyDescent="0.25"/>
    <row r="73198" s="12" customFormat="1" x14ac:dyDescent="0.25"/>
    <row r="73199" s="12" customFormat="1" x14ac:dyDescent="0.25"/>
    <row r="73200" s="12" customFormat="1" x14ac:dyDescent="0.25"/>
    <row r="73201" s="12" customFormat="1" x14ac:dyDescent="0.25"/>
    <row r="73202" s="12" customFormat="1" x14ac:dyDescent="0.25"/>
    <row r="73203" s="12" customFormat="1" x14ac:dyDescent="0.25"/>
    <row r="73204" s="12" customFormat="1" x14ac:dyDescent="0.25"/>
    <row r="73205" s="12" customFormat="1" x14ac:dyDescent="0.25"/>
    <row r="73206" s="12" customFormat="1" x14ac:dyDescent="0.25"/>
    <row r="73207" s="12" customFormat="1" x14ac:dyDescent="0.25"/>
    <row r="73208" s="12" customFormat="1" x14ac:dyDescent="0.25"/>
    <row r="73209" s="12" customFormat="1" x14ac:dyDescent="0.25"/>
    <row r="73210" s="12" customFormat="1" x14ac:dyDescent="0.25"/>
    <row r="73211" s="12" customFormat="1" x14ac:dyDescent="0.25"/>
    <row r="73212" s="12" customFormat="1" x14ac:dyDescent="0.25"/>
    <row r="73213" s="12" customFormat="1" x14ac:dyDescent="0.25"/>
    <row r="73214" s="12" customFormat="1" x14ac:dyDescent="0.25"/>
    <row r="73215" s="12" customFormat="1" x14ac:dyDescent="0.25"/>
    <row r="73216" s="12" customFormat="1" x14ac:dyDescent="0.25"/>
    <row r="73217" s="12" customFormat="1" x14ac:dyDescent="0.25"/>
    <row r="73218" s="12" customFormat="1" x14ac:dyDescent="0.25"/>
    <row r="73219" s="12" customFormat="1" x14ac:dyDescent="0.25"/>
    <row r="73220" s="12" customFormat="1" x14ac:dyDescent="0.25"/>
    <row r="73221" s="12" customFormat="1" x14ac:dyDescent="0.25"/>
    <row r="73222" s="12" customFormat="1" x14ac:dyDescent="0.25"/>
    <row r="73223" s="12" customFormat="1" x14ac:dyDescent="0.25"/>
    <row r="73224" s="12" customFormat="1" x14ac:dyDescent="0.25"/>
    <row r="73225" s="12" customFormat="1" x14ac:dyDescent="0.25"/>
    <row r="73226" s="12" customFormat="1" x14ac:dyDescent="0.25"/>
    <row r="73227" s="12" customFormat="1" x14ac:dyDescent="0.25"/>
    <row r="73228" s="12" customFormat="1" x14ac:dyDescent="0.25"/>
    <row r="73229" s="12" customFormat="1" x14ac:dyDescent="0.25"/>
    <row r="73230" s="12" customFormat="1" x14ac:dyDescent="0.25"/>
    <row r="73231" s="12" customFormat="1" x14ac:dyDescent="0.25"/>
    <row r="73232" s="12" customFormat="1" x14ac:dyDescent="0.25"/>
    <row r="73233" s="12" customFormat="1" x14ac:dyDescent="0.25"/>
    <row r="73234" s="12" customFormat="1" x14ac:dyDescent="0.25"/>
    <row r="73235" s="12" customFormat="1" x14ac:dyDescent="0.25"/>
    <row r="73236" s="12" customFormat="1" x14ac:dyDescent="0.25"/>
    <row r="73237" s="12" customFormat="1" x14ac:dyDescent="0.25"/>
    <row r="73238" s="12" customFormat="1" x14ac:dyDescent="0.25"/>
    <row r="73239" s="12" customFormat="1" x14ac:dyDescent="0.25"/>
    <row r="73240" s="12" customFormat="1" x14ac:dyDescent="0.25"/>
    <row r="73241" s="12" customFormat="1" x14ac:dyDescent="0.25"/>
    <row r="73242" s="12" customFormat="1" x14ac:dyDescent="0.25"/>
    <row r="73243" s="12" customFormat="1" x14ac:dyDescent="0.25"/>
    <row r="73244" s="12" customFormat="1" x14ac:dyDescent="0.25"/>
    <row r="73245" s="12" customFormat="1" x14ac:dyDescent="0.25"/>
    <row r="73246" s="12" customFormat="1" x14ac:dyDescent="0.25"/>
    <row r="73247" s="12" customFormat="1" x14ac:dyDescent="0.25"/>
    <row r="73248" s="12" customFormat="1" x14ac:dyDescent="0.25"/>
    <row r="73249" s="12" customFormat="1" x14ac:dyDescent="0.25"/>
    <row r="73250" s="12" customFormat="1" x14ac:dyDescent="0.25"/>
    <row r="73251" s="12" customFormat="1" x14ac:dyDescent="0.25"/>
    <row r="73252" s="12" customFormat="1" x14ac:dyDescent="0.25"/>
    <row r="73253" s="12" customFormat="1" x14ac:dyDescent="0.25"/>
    <row r="73254" s="12" customFormat="1" x14ac:dyDescent="0.25"/>
    <row r="73255" s="12" customFormat="1" x14ac:dyDescent="0.25"/>
    <row r="73256" s="12" customFormat="1" x14ac:dyDescent="0.25"/>
    <row r="73257" s="12" customFormat="1" x14ac:dyDescent="0.25"/>
    <row r="73258" s="12" customFormat="1" x14ac:dyDescent="0.25"/>
    <row r="73259" s="12" customFormat="1" x14ac:dyDescent="0.25"/>
    <row r="73260" s="12" customFormat="1" x14ac:dyDescent="0.25"/>
    <row r="73261" s="12" customFormat="1" x14ac:dyDescent="0.25"/>
    <row r="73262" s="12" customFormat="1" x14ac:dyDescent="0.25"/>
    <row r="73263" s="12" customFormat="1" x14ac:dyDescent="0.25"/>
    <row r="73264" s="12" customFormat="1" x14ac:dyDescent="0.25"/>
    <row r="73265" s="12" customFormat="1" x14ac:dyDescent="0.25"/>
    <row r="73266" s="12" customFormat="1" x14ac:dyDescent="0.25"/>
    <row r="73267" s="12" customFormat="1" x14ac:dyDescent="0.25"/>
    <row r="73268" s="12" customFormat="1" x14ac:dyDescent="0.25"/>
    <row r="73269" s="12" customFormat="1" x14ac:dyDescent="0.25"/>
    <row r="73270" s="12" customFormat="1" x14ac:dyDescent="0.25"/>
    <row r="73271" s="12" customFormat="1" x14ac:dyDescent="0.25"/>
    <row r="73272" s="12" customFormat="1" x14ac:dyDescent="0.25"/>
    <row r="73273" s="12" customFormat="1" x14ac:dyDescent="0.25"/>
    <row r="73274" s="12" customFormat="1" x14ac:dyDescent="0.25"/>
    <row r="73275" s="12" customFormat="1" x14ac:dyDescent="0.25"/>
    <row r="73276" s="12" customFormat="1" x14ac:dyDescent="0.25"/>
    <row r="73277" s="12" customFormat="1" x14ac:dyDescent="0.25"/>
    <row r="73278" s="12" customFormat="1" x14ac:dyDescent="0.25"/>
    <row r="73279" s="12" customFormat="1" x14ac:dyDescent="0.25"/>
    <row r="73280" s="12" customFormat="1" x14ac:dyDescent="0.25"/>
    <row r="73281" s="12" customFormat="1" x14ac:dyDescent="0.25"/>
    <row r="73282" s="12" customFormat="1" x14ac:dyDescent="0.25"/>
    <row r="73283" s="12" customFormat="1" x14ac:dyDescent="0.25"/>
    <row r="73284" s="12" customFormat="1" x14ac:dyDescent="0.25"/>
    <row r="73285" s="12" customFormat="1" x14ac:dyDescent="0.25"/>
    <row r="73286" s="12" customFormat="1" x14ac:dyDescent="0.25"/>
    <row r="73287" s="12" customFormat="1" x14ac:dyDescent="0.25"/>
    <row r="73288" s="12" customFormat="1" x14ac:dyDescent="0.25"/>
    <row r="73289" s="12" customFormat="1" x14ac:dyDescent="0.25"/>
    <row r="73290" s="12" customFormat="1" x14ac:dyDescent="0.25"/>
    <row r="73291" s="12" customFormat="1" x14ac:dyDescent="0.25"/>
    <row r="73292" s="12" customFormat="1" x14ac:dyDescent="0.25"/>
    <row r="73293" s="12" customFormat="1" x14ac:dyDescent="0.25"/>
    <row r="73294" s="12" customFormat="1" x14ac:dyDescent="0.25"/>
    <row r="73295" s="12" customFormat="1" x14ac:dyDescent="0.25"/>
    <row r="73296" s="12" customFormat="1" x14ac:dyDescent="0.25"/>
    <row r="73297" s="12" customFormat="1" x14ac:dyDescent="0.25"/>
    <row r="73298" s="12" customFormat="1" x14ac:dyDescent="0.25"/>
    <row r="73299" s="12" customFormat="1" x14ac:dyDescent="0.25"/>
    <row r="73300" s="12" customFormat="1" x14ac:dyDescent="0.25"/>
    <row r="73301" s="12" customFormat="1" x14ac:dyDescent="0.25"/>
    <row r="73302" s="12" customFormat="1" x14ac:dyDescent="0.25"/>
    <row r="73303" s="12" customFormat="1" x14ac:dyDescent="0.25"/>
    <row r="73304" s="12" customFormat="1" x14ac:dyDescent="0.25"/>
    <row r="73305" s="12" customFormat="1" x14ac:dyDescent="0.25"/>
    <row r="73306" s="12" customFormat="1" x14ac:dyDescent="0.25"/>
    <row r="73307" s="12" customFormat="1" x14ac:dyDescent="0.25"/>
    <row r="73308" s="12" customFormat="1" x14ac:dyDescent="0.25"/>
    <row r="73309" s="12" customFormat="1" x14ac:dyDescent="0.25"/>
    <row r="73310" s="12" customFormat="1" x14ac:dyDescent="0.25"/>
    <row r="73311" s="12" customFormat="1" x14ac:dyDescent="0.25"/>
    <row r="73312" s="12" customFormat="1" x14ac:dyDescent="0.25"/>
    <row r="73313" s="12" customFormat="1" x14ac:dyDescent="0.25"/>
    <row r="73314" s="12" customFormat="1" x14ac:dyDescent="0.25"/>
    <row r="73315" s="12" customFormat="1" x14ac:dyDescent="0.25"/>
    <row r="73316" s="12" customFormat="1" x14ac:dyDescent="0.25"/>
    <row r="73317" s="12" customFormat="1" x14ac:dyDescent="0.25"/>
    <row r="73318" s="12" customFormat="1" x14ac:dyDescent="0.25"/>
    <row r="73319" s="12" customFormat="1" x14ac:dyDescent="0.25"/>
    <row r="73320" s="12" customFormat="1" x14ac:dyDescent="0.25"/>
    <row r="73321" s="12" customFormat="1" x14ac:dyDescent="0.25"/>
    <row r="73322" s="12" customFormat="1" x14ac:dyDescent="0.25"/>
    <row r="73323" s="12" customFormat="1" x14ac:dyDescent="0.25"/>
    <row r="73324" s="12" customFormat="1" x14ac:dyDescent="0.25"/>
    <row r="73325" s="12" customFormat="1" x14ac:dyDescent="0.25"/>
    <row r="73326" s="12" customFormat="1" x14ac:dyDescent="0.25"/>
    <row r="73327" s="12" customFormat="1" x14ac:dyDescent="0.25"/>
    <row r="73328" s="12" customFormat="1" x14ac:dyDescent="0.25"/>
    <row r="73329" s="12" customFormat="1" x14ac:dyDescent="0.25"/>
    <row r="73330" s="12" customFormat="1" x14ac:dyDescent="0.25"/>
    <row r="73331" s="12" customFormat="1" x14ac:dyDescent="0.25"/>
    <row r="73332" s="12" customFormat="1" x14ac:dyDescent="0.25"/>
    <row r="73333" s="12" customFormat="1" x14ac:dyDescent="0.25"/>
    <row r="73334" s="12" customFormat="1" x14ac:dyDescent="0.25"/>
    <row r="73335" s="12" customFormat="1" x14ac:dyDescent="0.25"/>
    <row r="73336" s="12" customFormat="1" x14ac:dyDescent="0.25"/>
    <row r="73337" s="12" customFormat="1" x14ac:dyDescent="0.25"/>
    <row r="73338" s="12" customFormat="1" x14ac:dyDescent="0.25"/>
    <row r="73339" s="12" customFormat="1" x14ac:dyDescent="0.25"/>
    <row r="73340" s="12" customFormat="1" x14ac:dyDescent="0.25"/>
    <row r="73341" s="12" customFormat="1" x14ac:dyDescent="0.25"/>
    <row r="73342" s="12" customFormat="1" x14ac:dyDescent="0.25"/>
    <row r="73343" s="12" customFormat="1" x14ac:dyDescent="0.25"/>
    <row r="73344" s="12" customFormat="1" x14ac:dyDescent="0.25"/>
    <row r="73345" s="12" customFormat="1" x14ac:dyDescent="0.25"/>
    <row r="73346" s="12" customFormat="1" x14ac:dyDescent="0.25"/>
    <row r="73347" s="12" customFormat="1" x14ac:dyDescent="0.25"/>
    <row r="73348" s="12" customFormat="1" x14ac:dyDescent="0.25"/>
    <row r="73349" s="12" customFormat="1" x14ac:dyDescent="0.25"/>
    <row r="73350" s="12" customFormat="1" x14ac:dyDescent="0.25"/>
    <row r="73351" s="12" customFormat="1" x14ac:dyDescent="0.25"/>
    <row r="73352" s="12" customFormat="1" x14ac:dyDescent="0.25"/>
    <row r="73353" s="12" customFormat="1" x14ac:dyDescent="0.25"/>
    <row r="73354" s="12" customFormat="1" x14ac:dyDescent="0.25"/>
    <row r="73355" s="12" customFormat="1" x14ac:dyDescent="0.25"/>
    <row r="73356" s="12" customFormat="1" x14ac:dyDescent="0.25"/>
    <row r="73357" s="12" customFormat="1" x14ac:dyDescent="0.25"/>
    <row r="73358" s="12" customFormat="1" x14ac:dyDescent="0.25"/>
    <row r="73359" s="12" customFormat="1" x14ac:dyDescent="0.25"/>
    <row r="73360" s="12" customFormat="1" x14ac:dyDescent="0.25"/>
    <row r="73361" s="12" customFormat="1" x14ac:dyDescent="0.25"/>
    <row r="73362" s="12" customFormat="1" x14ac:dyDescent="0.25"/>
    <row r="73363" s="12" customFormat="1" x14ac:dyDescent="0.25"/>
    <row r="73364" s="12" customFormat="1" x14ac:dyDescent="0.25"/>
    <row r="73365" s="12" customFormat="1" x14ac:dyDescent="0.25"/>
    <row r="73366" s="12" customFormat="1" x14ac:dyDescent="0.25"/>
    <row r="73367" s="12" customFormat="1" x14ac:dyDescent="0.25"/>
    <row r="73368" s="12" customFormat="1" x14ac:dyDescent="0.25"/>
    <row r="73369" s="12" customFormat="1" x14ac:dyDescent="0.25"/>
    <row r="73370" s="12" customFormat="1" x14ac:dyDescent="0.25"/>
    <row r="73371" s="12" customFormat="1" x14ac:dyDescent="0.25"/>
    <row r="73372" s="12" customFormat="1" x14ac:dyDescent="0.25"/>
    <row r="73373" s="12" customFormat="1" x14ac:dyDescent="0.25"/>
    <row r="73374" s="12" customFormat="1" x14ac:dyDescent="0.25"/>
    <row r="73375" s="12" customFormat="1" x14ac:dyDescent="0.25"/>
    <row r="73376" s="12" customFormat="1" x14ac:dyDescent="0.25"/>
    <row r="73377" s="12" customFormat="1" x14ac:dyDescent="0.25"/>
    <row r="73378" s="12" customFormat="1" x14ac:dyDescent="0.25"/>
    <row r="73379" s="12" customFormat="1" x14ac:dyDescent="0.25"/>
    <row r="73380" s="12" customFormat="1" x14ac:dyDescent="0.25"/>
    <row r="73381" s="12" customFormat="1" x14ac:dyDescent="0.25"/>
    <row r="73382" s="12" customFormat="1" x14ac:dyDescent="0.25"/>
    <row r="73383" s="12" customFormat="1" x14ac:dyDescent="0.25"/>
    <row r="73384" s="12" customFormat="1" x14ac:dyDescent="0.25"/>
    <row r="73385" s="12" customFormat="1" x14ac:dyDescent="0.25"/>
    <row r="73386" s="12" customFormat="1" x14ac:dyDescent="0.25"/>
    <row r="73387" s="12" customFormat="1" x14ac:dyDescent="0.25"/>
    <row r="73388" s="12" customFormat="1" x14ac:dyDescent="0.25"/>
    <row r="73389" s="12" customFormat="1" x14ac:dyDescent="0.25"/>
    <row r="73390" s="12" customFormat="1" x14ac:dyDescent="0.25"/>
    <row r="73391" s="12" customFormat="1" x14ac:dyDescent="0.25"/>
    <row r="73392" s="12" customFormat="1" x14ac:dyDescent="0.25"/>
    <row r="73393" s="12" customFormat="1" x14ac:dyDescent="0.25"/>
    <row r="73394" s="12" customFormat="1" x14ac:dyDescent="0.25"/>
    <row r="73395" s="12" customFormat="1" x14ac:dyDescent="0.25"/>
    <row r="73396" s="12" customFormat="1" x14ac:dyDescent="0.25"/>
    <row r="73397" s="12" customFormat="1" x14ac:dyDescent="0.25"/>
    <row r="73398" s="12" customFormat="1" x14ac:dyDescent="0.25"/>
    <row r="73399" s="12" customFormat="1" x14ac:dyDescent="0.25"/>
    <row r="73400" s="12" customFormat="1" x14ac:dyDescent="0.25"/>
    <row r="73401" s="12" customFormat="1" x14ac:dyDescent="0.25"/>
    <row r="73402" s="12" customFormat="1" x14ac:dyDescent="0.25"/>
    <row r="73403" s="12" customFormat="1" x14ac:dyDescent="0.25"/>
    <row r="73404" s="12" customFormat="1" x14ac:dyDescent="0.25"/>
    <row r="73405" s="12" customFormat="1" x14ac:dyDescent="0.25"/>
    <row r="73406" s="12" customFormat="1" x14ac:dyDescent="0.25"/>
    <row r="73407" s="12" customFormat="1" x14ac:dyDescent="0.25"/>
    <row r="73408" s="12" customFormat="1" x14ac:dyDescent="0.25"/>
    <row r="73409" s="12" customFormat="1" x14ac:dyDescent="0.25"/>
    <row r="73410" s="12" customFormat="1" x14ac:dyDescent="0.25"/>
    <row r="73411" s="12" customFormat="1" x14ac:dyDescent="0.25"/>
    <row r="73412" s="12" customFormat="1" x14ac:dyDescent="0.25"/>
    <row r="73413" s="12" customFormat="1" x14ac:dyDescent="0.25"/>
    <row r="73414" s="12" customFormat="1" x14ac:dyDescent="0.25"/>
    <row r="73415" s="12" customFormat="1" x14ac:dyDescent="0.25"/>
    <row r="73416" s="12" customFormat="1" x14ac:dyDescent="0.25"/>
    <row r="73417" s="12" customFormat="1" x14ac:dyDescent="0.25"/>
    <row r="73418" s="12" customFormat="1" x14ac:dyDescent="0.25"/>
    <row r="73419" s="12" customFormat="1" x14ac:dyDescent="0.25"/>
    <row r="73420" s="12" customFormat="1" x14ac:dyDescent="0.25"/>
    <row r="73421" s="12" customFormat="1" x14ac:dyDescent="0.25"/>
    <row r="73422" s="12" customFormat="1" x14ac:dyDescent="0.25"/>
    <row r="73423" s="12" customFormat="1" x14ac:dyDescent="0.25"/>
    <row r="73424" s="12" customFormat="1" x14ac:dyDescent="0.25"/>
    <row r="73425" s="12" customFormat="1" x14ac:dyDescent="0.25"/>
    <row r="73426" s="12" customFormat="1" x14ac:dyDescent="0.25"/>
    <row r="73427" s="12" customFormat="1" x14ac:dyDescent="0.25"/>
    <row r="73428" s="12" customFormat="1" x14ac:dyDescent="0.25"/>
    <row r="73429" s="12" customFormat="1" x14ac:dyDescent="0.25"/>
    <row r="73430" s="12" customFormat="1" x14ac:dyDescent="0.25"/>
    <row r="73431" s="12" customFormat="1" x14ac:dyDescent="0.25"/>
    <row r="73432" s="12" customFormat="1" x14ac:dyDescent="0.25"/>
    <row r="73433" s="12" customFormat="1" x14ac:dyDescent="0.25"/>
    <row r="73434" s="12" customFormat="1" x14ac:dyDescent="0.25"/>
    <row r="73435" s="12" customFormat="1" x14ac:dyDescent="0.25"/>
    <row r="73436" s="12" customFormat="1" x14ac:dyDescent="0.25"/>
    <row r="73437" s="12" customFormat="1" x14ac:dyDescent="0.25"/>
    <row r="73438" s="12" customFormat="1" x14ac:dyDescent="0.25"/>
    <row r="73439" s="12" customFormat="1" x14ac:dyDescent="0.25"/>
    <row r="73440" s="12" customFormat="1" x14ac:dyDescent="0.25"/>
    <row r="73441" s="12" customFormat="1" x14ac:dyDescent="0.25"/>
    <row r="73442" s="12" customFormat="1" x14ac:dyDescent="0.25"/>
    <row r="73443" s="12" customFormat="1" x14ac:dyDescent="0.25"/>
    <row r="73444" s="12" customFormat="1" x14ac:dyDescent="0.25"/>
    <row r="73445" s="12" customFormat="1" x14ac:dyDescent="0.25"/>
    <row r="73446" s="12" customFormat="1" x14ac:dyDescent="0.25"/>
    <row r="73447" s="12" customFormat="1" x14ac:dyDescent="0.25"/>
    <row r="73448" s="12" customFormat="1" x14ac:dyDescent="0.25"/>
    <row r="73449" s="12" customFormat="1" x14ac:dyDescent="0.25"/>
    <row r="73450" s="12" customFormat="1" x14ac:dyDescent="0.25"/>
    <row r="73451" s="12" customFormat="1" x14ac:dyDescent="0.25"/>
    <row r="73452" s="12" customFormat="1" x14ac:dyDescent="0.25"/>
    <row r="73453" s="12" customFormat="1" x14ac:dyDescent="0.25"/>
    <row r="73454" s="12" customFormat="1" x14ac:dyDescent="0.25"/>
    <row r="73455" s="12" customFormat="1" x14ac:dyDescent="0.25"/>
    <row r="73456" s="12" customFormat="1" x14ac:dyDescent="0.25"/>
    <row r="73457" s="12" customFormat="1" x14ac:dyDescent="0.25"/>
    <row r="73458" s="12" customFormat="1" x14ac:dyDescent="0.25"/>
    <row r="73459" s="12" customFormat="1" x14ac:dyDescent="0.25"/>
    <row r="73460" s="12" customFormat="1" x14ac:dyDescent="0.25"/>
    <row r="73461" s="12" customFormat="1" x14ac:dyDescent="0.25"/>
    <row r="73462" s="12" customFormat="1" x14ac:dyDescent="0.25"/>
    <row r="73463" s="12" customFormat="1" x14ac:dyDescent="0.25"/>
    <row r="73464" s="12" customFormat="1" x14ac:dyDescent="0.25"/>
    <row r="73465" s="12" customFormat="1" x14ac:dyDescent="0.25"/>
    <row r="73466" s="12" customFormat="1" x14ac:dyDescent="0.25"/>
    <row r="73467" s="12" customFormat="1" x14ac:dyDescent="0.25"/>
    <row r="73468" s="12" customFormat="1" x14ac:dyDescent="0.25"/>
    <row r="73469" s="12" customFormat="1" x14ac:dyDescent="0.25"/>
    <row r="73470" s="12" customFormat="1" x14ac:dyDescent="0.25"/>
    <row r="73471" s="12" customFormat="1" x14ac:dyDescent="0.25"/>
    <row r="73472" s="12" customFormat="1" x14ac:dyDescent="0.25"/>
    <row r="73473" s="12" customFormat="1" x14ac:dyDescent="0.25"/>
    <row r="73474" s="12" customFormat="1" x14ac:dyDescent="0.25"/>
    <row r="73475" s="12" customFormat="1" x14ac:dyDescent="0.25"/>
    <row r="73476" s="12" customFormat="1" x14ac:dyDescent="0.25"/>
    <row r="73477" s="12" customFormat="1" x14ac:dyDescent="0.25"/>
    <row r="73478" s="12" customFormat="1" x14ac:dyDescent="0.25"/>
    <row r="73479" s="12" customFormat="1" x14ac:dyDescent="0.25"/>
    <row r="73480" s="12" customFormat="1" x14ac:dyDescent="0.25"/>
    <row r="73481" s="12" customFormat="1" x14ac:dyDescent="0.25"/>
    <row r="73482" s="12" customFormat="1" x14ac:dyDescent="0.25"/>
    <row r="73483" s="12" customFormat="1" x14ac:dyDescent="0.25"/>
    <row r="73484" s="12" customFormat="1" x14ac:dyDescent="0.25"/>
    <row r="73485" s="12" customFormat="1" x14ac:dyDescent="0.25"/>
    <row r="73486" s="12" customFormat="1" x14ac:dyDescent="0.25"/>
    <row r="73487" s="12" customFormat="1" x14ac:dyDescent="0.25"/>
    <row r="73488" s="12" customFormat="1" x14ac:dyDescent="0.25"/>
    <row r="73489" s="12" customFormat="1" x14ac:dyDescent="0.25"/>
    <row r="73490" s="12" customFormat="1" x14ac:dyDescent="0.25"/>
    <row r="73491" s="12" customFormat="1" x14ac:dyDescent="0.25"/>
    <row r="73492" s="12" customFormat="1" x14ac:dyDescent="0.25"/>
    <row r="73493" s="12" customFormat="1" x14ac:dyDescent="0.25"/>
    <row r="73494" s="12" customFormat="1" x14ac:dyDescent="0.25"/>
    <row r="73495" s="12" customFormat="1" x14ac:dyDescent="0.25"/>
    <row r="73496" s="12" customFormat="1" x14ac:dyDescent="0.25"/>
    <row r="73497" s="12" customFormat="1" x14ac:dyDescent="0.25"/>
    <row r="73498" s="12" customFormat="1" x14ac:dyDescent="0.25"/>
    <row r="73499" s="12" customFormat="1" x14ac:dyDescent="0.25"/>
    <row r="73500" s="12" customFormat="1" x14ac:dyDescent="0.25"/>
    <row r="73501" s="12" customFormat="1" x14ac:dyDescent="0.25"/>
    <row r="73502" s="12" customFormat="1" x14ac:dyDescent="0.25"/>
    <row r="73503" s="12" customFormat="1" x14ac:dyDescent="0.25"/>
    <row r="73504" s="12" customFormat="1" x14ac:dyDescent="0.25"/>
    <row r="73505" s="12" customFormat="1" x14ac:dyDescent="0.25"/>
    <row r="73506" s="12" customFormat="1" x14ac:dyDescent="0.25"/>
    <row r="73507" s="12" customFormat="1" x14ac:dyDescent="0.25"/>
    <row r="73508" s="12" customFormat="1" x14ac:dyDescent="0.25"/>
    <row r="73509" s="12" customFormat="1" x14ac:dyDescent="0.25"/>
    <row r="73510" s="12" customFormat="1" x14ac:dyDescent="0.25"/>
    <row r="73511" s="12" customFormat="1" x14ac:dyDescent="0.25"/>
    <row r="73512" s="12" customFormat="1" x14ac:dyDescent="0.25"/>
    <row r="73513" s="12" customFormat="1" x14ac:dyDescent="0.25"/>
    <row r="73514" s="12" customFormat="1" x14ac:dyDescent="0.25"/>
    <row r="73515" s="12" customFormat="1" x14ac:dyDescent="0.25"/>
    <row r="73516" s="12" customFormat="1" x14ac:dyDescent="0.25"/>
    <row r="73517" s="12" customFormat="1" x14ac:dyDescent="0.25"/>
    <row r="73518" s="12" customFormat="1" x14ac:dyDescent="0.25"/>
    <row r="73519" s="12" customFormat="1" x14ac:dyDescent="0.25"/>
    <row r="73520" s="12" customFormat="1" x14ac:dyDescent="0.25"/>
    <row r="73521" s="12" customFormat="1" x14ac:dyDescent="0.25"/>
    <row r="73522" s="12" customFormat="1" x14ac:dyDescent="0.25"/>
    <row r="73523" s="12" customFormat="1" x14ac:dyDescent="0.25"/>
    <row r="73524" s="12" customFormat="1" x14ac:dyDescent="0.25"/>
    <row r="73525" s="12" customFormat="1" x14ac:dyDescent="0.25"/>
    <row r="73526" s="12" customFormat="1" x14ac:dyDescent="0.25"/>
    <row r="73527" s="12" customFormat="1" x14ac:dyDescent="0.25"/>
    <row r="73528" s="12" customFormat="1" x14ac:dyDescent="0.25"/>
    <row r="73529" s="12" customFormat="1" x14ac:dyDescent="0.25"/>
    <row r="73530" s="12" customFormat="1" x14ac:dyDescent="0.25"/>
    <row r="73531" s="12" customFormat="1" x14ac:dyDescent="0.25"/>
    <row r="73532" s="12" customFormat="1" x14ac:dyDescent="0.25"/>
    <row r="73533" s="12" customFormat="1" x14ac:dyDescent="0.25"/>
    <row r="73534" s="12" customFormat="1" x14ac:dyDescent="0.25"/>
    <row r="73535" s="12" customFormat="1" x14ac:dyDescent="0.25"/>
    <row r="73536" s="12" customFormat="1" x14ac:dyDescent="0.25"/>
    <row r="73537" s="12" customFormat="1" x14ac:dyDescent="0.25"/>
    <row r="73538" s="12" customFormat="1" x14ac:dyDescent="0.25"/>
    <row r="73539" s="12" customFormat="1" x14ac:dyDescent="0.25"/>
    <row r="73540" s="12" customFormat="1" x14ac:dyDescent="0.25"/>
    <row r="73541" s="12" customFormat="1" x14ac:dyDescent="0.25"/>
    <row r="73542" s="12" customFormat="1" x14ac:dyDescent="0.25"/>
    <row r="73543" s="12" customFormat="1" x14ac:dyDescent="0.25"/>
    <row r="73544" s="12" customFormat="1" x14ac:dyDescent="0.25"/>
    <row r="73545" s="12" customFormat="1" x14ac:dyDescent="0.25"/>
    <row r="73546" s="12" customFormat="1" x14ac:dyDescent="0.25"/>
    <row r="73547" s="12" customFormat="1" x14ac:dyDescent="0.25"/>
    <row r="73548" s="12" customFormat="1" x14ac:dyDescent="0.25"/>
    <row r="73549" s="12" customFormat="1" x14ac:dyDescent="0.25"/>
    <row r="73550" s="12" customFormat="1" x14ac:dyDescent="0.25"/>
    <row r="73551" s="12" customFormat="1" x14ac:dyDescent="0.25"/>
    <row r="73552" s="12" customFormat="1" x14ac:dyDescent="0.25"/>
    <row r="73553" s="12" customFormat="1" x14ac:dyDescent="0.25"/>
    <row r="73554" s="12" customFormat="1" x14ac:dyDescent="0.25"/>
    <row r="73555" s="12" customFormat="1" x14ac:dyDescent="0.25"/>
    <row r="73556" s="12" customFormat="1" x14ac:dyDescent="0.25"/>
    <row r="73557" s="12" customFormat="1" x14ac:dyDescent="0.25"/>
    <row r="73558" s="12" customFormat="1" x14ac:dyDescent="0.25"/>
    <row r="73559" s="12" customFormat="1" x14ac:dyDescent="0.25"/>
    <row r="73560" s="12" customFormat="1" x14ac:dyDescent="0.25"/>
    <row r="73561" s="12" customFormat="1" x14ac:dyDescent="0.25"/>
    <row r="73562" s="12" customFormat="1" x14ac:dyDescent="0.25"/>
    <row r="73563" s="12" customFormat="1" x14ac:dyDescent="0.25"/>
    <row r="73564" s="12" customFormat="1" x14ac:dyDescent="0.25"/>
    <row r="73565" s="12" customFormat="1" x14ac:dyDescent="0.25"/>
    <row r="73566" s="12" customFormat="1" x14ac:dyDescent="0.25"/>
    <row r="73567" s="12" customFormat="1" x14ac:dyDescent="0.25"/>
    <row r="73568" s="12" customFormat="1" x14ac:dyDescent="0.25"/>
    <row r="73569" s="12" customFormat="1" x14ac:dyDescent="0.25"/>
    <row r="73570" s="12" customFormat="1" x14ac:dyDescent="0.25"/>
    <row r="73571" s="12" customFormat="1" x14ac:dyDescent="0.25"/>
    <row r="73572" s="12" customFormat="1" x14ac:dyDescent="0.25"/>
    <row r="73573" s="12" customFormat="1" x14ac:dyDescent="0.25"/>
    <row r="73574" s="12" customFormat="1" x14ac:dyDescent="0.25"/>
    <row r="73575" s="12" customFormat="1" x14ac:dyDescent="0.25"/>
    <row r="73576" s="12" customFormat="1" x14ac:dyDescent="0.25"/>
    <row r="73577" s="12" customFormat="1" x14ac:dyDescent="0.25"/>
    <row r="73578" s="12" customFormat="1" x14ac:dyDescent="0.25"/>
    <row r="73579" s="12" customFormat="1" x14ac:dyDescent="0.25"/>
    <row r="73580" s="12" customFormat="1" x14ac:dyDescent="0.25"/>
    <row r="73581" s="12" customFormat="1" x14ac:dyDescent="0.25"/>
    <row r="73582" s="12" customFormat="1" x14ac:dyDescent="0.25"/>
    <row r="73583" s="12" customFormat="1" x14ac:dyDescent="0.25"/>
    <row r="73584" s="12" customFormat="1" x14ac:dyDescent="0.25"/>
    <row r="73585" s="12" customFormat="1" x14ac:dyDescent="0.25"/>
    <row r="73586" s="12" customFormat="1" x14ac:dyDescent="0.25"/>
    <row r="73587" s="12" customFormat="1" x14ac:dyDescent="0.25"/>
    <row r="73588" s="12" customFormat="1" x14ac:dyDescent="0.25"/>
    <row r="73589" s="12" customFormat="1" x14ac:dyDescent="0.25"/>
    <row r="73590" s="12" customFormat="1" x14ac:dyDescent="0.25"/>
    <row r="73591" s="12" customFormat="1" x14ac:dyDescent="0.25"/>
    <row r="73592" s="12" customFormat="1" x14ac:dyDescent="0.25"/>
    <row r="73593" s="12" customFormat="1" x14ac:dyDescent="0.25"/>
    <row r="73594" s="12" customFormat="1" x14ac:dyDescent="0.25"/>
    <row r="73595" s="12" customFormat="1" x14ac:dyDescent="0.25"/>
    <row r="73596" s="12" customFormat="1" x14ac:dyDescent="0.25"/>
    <row r="73597" s="12" customFormat="1" x14ac:dyDescent="0.25"/>
    <row r="73598" s="12" customFormat="1" x14ac:dyDescent="0.25"/>
    <row r="73599" s="12" customFormat="1" x14ac:dyDescent="0.25"/>
    <row r="73600" s="12" customFormat="1" x14ac:dyDescent="0.25"/>
    <row r="73601" s="12" customFormat="1" x14ac:dyDescent="0.25"/>
    <row r="73602" s="12" customFormat="1" x14ac:dyDescent="0.25"/>
    <row r="73603" s="12" customFormat="1" x14ac:dyDescent="0.25"/>
    <row r="73604" s="12" customFormat="1" x14ac:dyDescent="0.25"/>
    <row r="73605" s="12" customFormat="1" x14ac:dyDescent="0.25"/>
    <row r="73606" s="12" customFormat="1" x14ac:dyDescent="0.25"/>
    <row r="73607" s="12" customFormat="1" x14ac:dyDescent="0.25"/>
    <row r="73608" s="12" customFormat="1" x14ac:dyDescent="0.25"/>
    <row r="73609" s="12" customFormat="1" x14ac:dyDescent="0.25"/>
    <row r="73610" s="12" customFormat="1" x14ac:dyDescent="0.25"/>
    <row r="73611" s="12" customFormat="1" x14ac:dyDescent="0.25"/>
    <row r="73612" s="12" customFormat="1" x14ac:dyDescent="0.25"/>
    <row r="73613" s="12" customFormat="1" x14ac:dyDescent="0.25"/>
    <row r="73614" s="12" customFormat="1" x14ac:dyDescent="0.25"/>
    <row r="73615" s="12" customFormat="1" x14ac:dyDescent="0.25"/>
    <row r="73616" s="12" customFormat="1" x14ac:dyDescent="0.25"/>
    <row r="73617" s="12" customFormat="1" x14ac:dyDescent="0.25"/>
    <row r="73618" s="12" customFormat="1" x14ac:dyDescent="0.25"/>
    <row r="73619" s="12" customFormat="1" x14ac:dyDescent="0.25"/>
    <row r="73620" s="12" customFormat="1" x14ac:dyDescent="0.25"/>
    <row r="73621" s="12" customFormat="1" x14ac:dyDescent="0.25"/>
    <row r="73622" s="12" customFormat="1" x14ac:dyDescent="0.25"/>
    <row r="73623" s="12" customFormat="1" x14ac:dyDescent="0.25"/>
    <row r="73624" s="12" customFormat="1" x14ac:dyDescent="0.25"/>
    <row r="73625" s="12" customFormat="1" x14ac:dyDescent="0.25"/>
    <row r="73626" s="12" customFormat="1" x14ac:dyDescent="0.25"/>
    <row r="73627" s="12" customFormat="1" x14ac:dyDescent="0.25"/>
    <row r="73628" s="12" customFormat="1" x14ac:dyDescent="0.25"/>
    <row r="73629" s="12" customFormat="1" x14ac:dyDescent="0.25"/>
    <row r="73630" s="12" customFormat="1" x14ac:dyDescent="0.25"/>
    <row r="73631" s="12" customFormat="1" x14ac:dyDescent="0.25"/>
    <row r="73632" s="12" customFormat="1" x14ac:dyDescent="0.25"/>
    <row r="73633" s="12" customFormat="1" x14ac:dyDescent="0.25"/>
    <row r="73634" s="12" customFormat="1" x14ac:dyDescent="0.25"/>
    <row r="73635" s="12" customFormat="1" x14ac:dyDescent="0.25"/>
    <row r="73636" s="12" customFormat="1" x14ac:dyDescent="0.25"/>
    <row r="73637" s="12" customFormat="1" x14ac:dyDescent="0.25"/>
    <row r="73638" s="12" customFormat="1" x14ac:dyDescent="0.25"/>
    <row r="73639" s="12" customFormat="1" x14ac:dyDescent="0.25"/>
    <row r="73640" s="12" customFormat="1" x14ac:dyDescent="0.25"/>
    <row r="73641" s="12" customFormat="1" x14ac:dyDescent="0.25"/>
    <row r="73642" s="12" customFormat="1" x14ac:dyDescent="0.25"/>
    <row r="73643" s="12" customFormat="1" x14ac:dyDescent="0.25"/>
    <row r="73644" s="12" customFormat="1" x14ac:dyDescent="0.25"/>
    <row r="73645" s="12" customFormat="1" x14ac:dyDescent="0.25"/>
    <row r="73646" s="12" customFormat="1" x14ac:dyDescent="0.25"/>
    <row r="73647" s="12" customFormat="1" x14ac:dyDescent="0.25"/>
    <row r="73648" s="12" customFormat="1" x14ac:dyDescent="0.25"/>
    <row r="73649" s="12" customFormat="1" x14ac:dyDescent="0.25"/>
    <row r="73650" s="12" customFormat="1" x14ac:dyDescent="0.25"/>
    <row r="73651" s="12" customFormat="1" x14ac:dyDescent="0.25"/>
    <row r="73652" s="12" customFormat="1" x14ac:dyDescent="0.25"/>
    <row r="73653" s="12" customFormat="1" x14ac:dyDescent="0.25"/>
    <row r="73654" s="12" customFormat="1" x14ac:dyDescent="0.25"/>
    <row r="73655" s="12" customFormat="1" x14ac:dyDescent="0.25"/>
    <row r="73656" s="12" customFormat="1" x14ac:dyDescent="0.25"/>
    <row r="73657" s="12" customFormat="1" x14ac:dyDescent="0.25"/>
    <row r="73658" s="12" customFormat="1" x14ac:dyDescent="0.25"/>
    <row r="73659" s="12" customFormat="1" x14ac:dyDescent="0.25"/>
    <row r="73660" s="12" customFormat="1" x14ac:dyDescent="0.25"/>
    <row r="73661" s="12" customFormat="1" x14ac:dyDescent="0.25"/>
    <row r="73662" s="12" customFormat="1" x14ac:dyDescent="0.25"/>
    <row r="73663" s="12" customFormat="1" x14ac:dyDescent="0.25"/>
    <row r="73664" s="12" customFormat="1" x14ac:dyDescent="0.25"/>
    <row r="73665" s="12" customFormat="1" x14ac:dyDescent="0.25"/>
    <row r="73666" s="12" customFormat="1" x14ac:dyDescent="0.25"/>
    <row r="73667" s="12" customFormat="1" x14ac:dyDescent="0.25"/>
    <row r="73668" s="12" customFormat="1" x14ac:dyDescent="0.25"/>
    <row r="73669" s="12" customFormat="1" x14ac:dyDescent="0.25"/>
    <row r="73670" s="12" customFormat="1" x14ac:dyDescent="0.25"/>
    <row r="73671" s="12" customFormat="1" x14ac:dyDescent="0.25"/>
    <row r="73672" s="12" customFormat="1" x14ac:dyDescent="0.25"/>
    <row r="73673" s="12" customFormat="1" x14ac:dyDescent="0.25"/>
    <row r="73674" s="12" customFormat="1" x14ac:dyDescent="0.25"/>
    <row r="73675" s="12" customFormat="1" x14ac:dyDescent="0.25"/>
    <row r="73676" s="12" customFormat="1" x14ac:dyDescent="0.25"/>
    <row r="73677" s="12" customFormat="1" x14ac:dyDescent="0.25"/>
    <row r="73678" s="12" customFormat="1" x14ac:dyDescent="0.25"/>
    <row r="73679" s="12" customFormat="1" x14ac:dyDescent="0.25"/>
    <row r="73680" s="12" customFormat="1" x14ac:dyDescent="0.25"/>
    <row r="73681" s="12" customFormat="1" x14ac:dyDescent="0.25"/>
    <row r="73682" s="12" customFormat="1" x14ac:dyDescent="0.25"/>
    <row r="73683" s="12" customFormat="1" x14ac:dyDescent="0.25"/>
    <row r="73684" s="12" customFormat="1" x14ac:dyDescent="0.25"/>
    <row r="73685" s="12" customFormat="1" x14ac:dyDescent="0.25"/>
    <row r="73686" s="12" customFormat="1" x14ac:dyDescent="0.25"/>
    <row r="73687" s="12" customFormat="1" x14ac:dyDescent="0.25"/>
    <row r="73688" s="12" customFormat="1" x14ac:dyDescent="0.25"/>
    <row r="73689" s="12" customFormat="1" x14ac:dyDescent="0.25"/>
    <row r="73690" s="12" customFormat="1" x14ac:dyDescent="0.25"/>
    <row r="73691" s="12" customFormat="1" x14ac:dyDescent="0.25"/>
    <row r="73692" s="12" customFormat="1" x14ac:dyDescent="0.25"/>
    <row r="73693" s="12" customFormat="1" x14ac:dyDescent="0.25"/>
    <row r="73694" s="12" customFormat="1" x14ac:dyDescent="0.25"/>
    <row r="73695" s="12" customFormat="1" x14ac:dyDescent="0.25"/>
    <row r="73696" s="12" customFormat="1" x14ac:dyDescent="0.25"/>
    <row r="73697" s="12" customFormat="1" x14ac:dyDescent="0.25"/>
    <row r="73698" s="12" customFormat="1" x14ac:dyDescent="0.25"/>
    <row r="73699" s="12" customFormat="1" x14ac:dyDescent="0.25"/>
    <row r="73700" s="12" customFormat="1" x14ac:dyDescent="0.25"/>
    <row r="73701" s="12" customFormat="1" x14ac:dyDescent="0.25"/>
    <row r="73702" s="12" customFormat="1" x14ac:dyDescent="0.25"/>
    <row r="73703" s="12" customFormat="1" x14ac:dyDescent="0.25"/>
    <row r="73704" s="12" customFormat="1" x14ac:dyDescent="0.25"/>
    <row r="73705" s="12" customFormat="1" x14ac:dyDescent="0.25"/>
    <row r="73706" s="12" customFormat="1" x14ac:dyDescent="0.25"/>
    <row r="73707" s="12" customFormat="1" x14ac:dyDescent="0.25"/>
    <row r="73708" s="12" customFormat="1" x14ac:dyDescent="0.25"/>
    <row r="73709" s="12" customFormat="1" x14ac:dyDescent="0.25"/>
    <row r="73710" s="12" customFormat="1" x14ac:dyDescent="0.25"/>
    <row r="73711" s="12" customFormat="1" x14ac:dyDescent="0.25"/>
    <row r="73712" s="12" customFormat="1" x14ac:dyDescent="0.25"/>
    <row r="73713" s="12" customFormat="1" x14ac:dyDescent="0.25"/>
    <row r="73714" s="12" customFormat="1" x14ac:dyDescent="0.25"/>
    <row r="73715" s="12" customFormat="1" x14ac:dyDescent="0.25"/>
    <row r="73716" s="12" customFormat="1" x14ac:dyDescent="0.25"/>
    <row r="73717" s="12" customFormat="1" x14ac:dyDescent="0.25"/>
    <row r="73718" s="12" customFormat="1" x14ac:dyDescent="0.25"/>
    <row r="73719" s="12" customFormat="1" x14ac:dyDescent="0.25"/>
    <row r="73720" s="12" customFormat="1" x14ac:dyDescent="0.25"/>
    <row r="73721" s="12" customFormat="1" x14ac:dyDescent="0.25"/>
    <row r="73722" s="12" customFormat="1" x14ac:dyDescent="0.25"/>
    <row r="73723" s="12" customFormat="1" x14ac:dyDescent="0.25"/>
    <row r="73724" s="12" customFormat="1" x14ac:dyDescent="0.25"/>
    <row r="73725" s="12" customFormat="1" x14ac:dyDescent="0.25"/>
    <row r="73726" s="12" customFormat="1" x14ac:dyDescent="0.25"/>
    <row r="73727" s="12" customFormat="1" x14ac:dyDescent="0.25"/>
    <row r="73728" s="12" customFormat="1" x14ac:dyDescent="0.25"/>
    <row r="73729" s="12" customFormat="1" x14ac:dyDescent="0.25"/>
    <row r="73730" s="12" customFormat="1" x14ac:dyDescent="0.25"/>
    <row r="73731" s="12" customFormat="1" x14ac:dyDescent="0.25"/>
    <row r="73732" s="12" customFormat="1" x14ac:dyDescent="0.25"/>
    <row r="73733" s="12" customFormat="1" x14ac:dyDescent="0.25"/>
    <row r="73734" s="12" customFormat="1" x14ac:dyDescent="0.25"/>
    <row r="73735" s="12" customFormat="1" x14ac:dyDescent="0.25"/>
    <row r="73736" s="12" customFormat="1" x14ac:dyDescent="0.25"/>
    <row r="73737" s="12" customFormat="1" x14ac:dyDescent="0.25"/>
    <row r="73738" s="12" customFormat="1" x14ac:dyDescent="0.25"/>
    <row r="73739" s="12" customFormat="1" x14ac:dyDescent="0.25"/>
    <row r="73740" s="12" customFormat="1" x14ac:dyDescent="0.25"/>
    <row r="73741" s="12" customFormat="1" x14ac:dyDescent="0.25"/>
    <row r="73742" s="12" customFormat="1" x14ac:dyDescent="0.25"/>
    <row r="73743" s="12" customFormat="1" x14ac:dyDescent="0.25"/>
    <row r="73744" s="12" customFormat="1" x14ac:dyDescent="0.25"/>
    <row r="73745" s="12" customFormat="1" x14ac:dyDescent="0.25"/>
    <row r="73746" s="12" customFormat="1" x14ac:dyDescent="0.25"/>
    <row r="73747" s="12" customFormat="1" x14ac:dyDescent="0.25"/>
    <row r="73748" s="12" customFormat="1" x14ac:dyDescent="0.25"/>
    <row r="73749" s="12" customFormat="1" x14ac:dyDescent="0.25"/>
    <row r="73750" s="12" customFormat="1" x14ac:dyDescent="0.25"/>
    <row r="73751" s="12" customFormat="1" x14ac:dyDescent="0.25"/>
    <row r="73752" s="12" customFormat="1" x14ac:dyDescent="0.25"/>
    <row r="73753" s="12" customFormat="1" x14ac:dyDescent="0.25"/>
    <row r="73754" s="12" customFormat="1" x14ac:dyDescent="0.25"/>
    <row r="73755" s="12" customFormat="1" x14ac:dyDescent="0.25"/>
    <row r="73756" s="12" customFormat="1" x14ac:dyDescent="0.25"/>
    <row r="73757" s="12" customFormat="1" x14ac:dyDescent="0.25"/>
    <row r="73758" s="12" customFormat="1" x14ac:dyDescent="0.25"/>
    <row r="73759" s="12" customFormat="1" x14ac:dyDescent="0.25"/>
    <row r="73760" s="12" customFormat="1" x14ac:dyDescent="0.25"/>
    <row r="73761" s="12" customFormat="1" x14ac:dyDescent="0.25"/>
    <row r="73762" s="12" customFormat="1" x14ac:dyDescent="0.25"/>
    <row r="73763" s="12" customFormat="1" x14ac:dyDescent="0.25"/>
    <row r="73764" s="12" customFormat="1" x14ac:dyDescent="0.25"/>
    <row r="73765" s="12" customFormat="1" x14ac:dyDescent="0.25"/>
    <row r="73766" s="12" customFormat="1" x14ac:dyDescent="0.25"/>
    <row r="73767" s="12" customFormat="1" x14ac:dyDescent="0.25"/>
    <row r="73768" s="12" customFormat="1" x14ac:dyDescent="0.25"/>
    <row r="73769" s="12" customFormat="1" x14ac:dyDescent="0.25"/>
    <row r="73770" s="12" customFormat="1" x14ac:dyDescent="0.25"/>
    <row r="73771" s="12" customFormat="1" x14ac:dyDescent="0.25"/>
    <row r="73772" s="12" customFormat="1" x14ac:dyDescent="0.25"/>
    <row r="73773" s="12" customFormat="1" x14ac:dyDescent="0.25"/>
    <row r="73774" s="12" customFormat="1" x14ac:dyDescent="0.25"/>
    <row r="73775" s="12" customFormat="1" x14ac:dyDescent="0.25"/>
    <row r="73776" s="12" customFormat="1" x14ac:dyDescent="0.25"/>
    <row r="73777" s="12" customFormat="1" x14ac:dyDescent="0.25"/>
    <row r="73778" s="12" customFormat="1" x14ac:dyDescent="0.25"/>
    <row r="73779" s="12" customFormat="1" x14ac:dyDescent="0.25"/>
    <row r="73780" s="12" customFormat="1" x14ac:dyDescent="0.25"/>
    <row r="73781" s="12" customFormat="1" x14ac:dyDescent="0.25"/>
    <row r="73782" s="12" customFormat="1" x14ac:dyDescent="0.25"/>
    <row r="73783" s="12" customFormat="1" x14ac:dyDescent="0.25"/>
    <row r="73784" s="12" customFormat="1" x14ac:dyDescent="0.25"/>
    <row r="73785" s="12" customFormat="1" x14ac:dyDescent="0.25"/>
    <row r="73786" s="12" customFormat="1" x14ac:dyDescent="0.25"/>
    <row r="73787" s="12" customFormat="1" x14ac:dyDescent="0.25"/>
    <row r="73788" s="12" customFormat="1" x14ac:dyDescent="0.25"/>
    <row r="73789" s="12" customFormat="1" x14ac:dyDescent="0.25"/>
    <row r="73790" s="12" customFormat="1" x14ac:dyDescent="0.25"/>
    <row r="73791" s="12" customFormat="1" x14ac:dyDescent="0.25"/>
    <row r="73792" s="12" customFormat="1" x14ac:dyDescent="0.25"/>
    <row r="73793" s="12" customFormat="1" x14ac:dyDescent="0.25"/>
    <row r="73794" s="12" customFormat="1" x14ac:dyDescent="0.25"/>
    <row r="73795" s="12" customFormat="1" x14ac:dyDescent="0.25"/>
    <row r="73796" s="12" customFormat="1" x14ac:dyDescent="0.25"/>
    <row r="73797" s="12" customFormat="1" x14ac:dyDescent="0.25"/>
    <row r="73798" s="12" customFormat="1" x14ac:dyDescent="0.25"/>
    <row r="73799" s="12" customFormat="1" x14ac:dyDescent="0.25"/>
    <row r="73800" s="12" customFormat="1" x14ac:dyDescent="0.25"/>
    <row r="73801" s="12" customFormat="1" x14ac:dyDescent="0.25"/>
    <row r="73802" s="12" customFormat="1" x14ac:dyDescent="0.25"/>
    <row r="73803" s="12" customFormat="1" x14ac:dyDescent="0.25"/>
    <row r="73804" s="12" customFormat="1" x14ac:dyDescent="0.25"/>
    <row r="73805" s="12" customFormat="1" x14ac:dyDescent="0.25"/>
    <row r="73806" s="12" customFormat="1" x14ac:dyDescent="0.25"/>
    <row r="73807" s="12" customFormat="1" x14ac:dyDescent="0.25"/>
    <row r="73808" s="12" customFormat="1" x14ac:dyDescent="0.25"/>
    <row r="73809" s="12" customFormat="1" x14ac:dyDescent="0.25"/>
    <row r="73810" s="12" customFormat="1" x14ac:dyDescent="0.25"/>
    <row r="73811" s="12" customFormat="1" x14ac:dyDescent="0.25"/>
    <row r="73812" s="12" customFormat="1" x14ac:dyDescent="0.25"/>
    <row r="73813" s="12" customFormat="1" x14ac:dyDescent="0.25"/>
    <row r="73814" s="12" customFormat="1" x14ac:dyDescent="0.25"/>
    <row r="73815" s="12" customFormat="1" x14ac:dyDescent="0.25"/>
    <row r="73816" s="12" customFormat="1" x14ac:dyDescent="0.25"/>
    <row r="73817" s="12" customFormat="1" x14ac:dyDescent="0.25"/>
    <row r="73818" s="12" customFormat="1" x14ac:dyDescent="0.25"/>
    <row r="73819" s="12" customFormat="1" x14ac:dyDescent="0.25"/>
    <row r="73820" s="12" customFormat="1" x14ac:dyDescent="0.25"/>
    <row r="73821" s="12" customFormat="1" x14ac:dyDescent="0.25"/>
    <row r="73822" s="12" customFormat="1" x14ac:dyDescent="0.25"/>
    <row r="73823" s="12" customFormat="1" x14ac:dyDescent="0.25"/>
    <row r="73824" s="12" customFormat="1" x14ac:dyDescent="0.25"/>
    <row r="73825" s="12" customFormat="1" x14ac:dyDescent="0.25"/>
    <row r="73826" s="12" customFormat="1" x14ac:dyDescent="0.25"/>
    <row r="73827" s="12" customFormat="1" x14ac:dyDescent="0.25"/>
    <row r="73828" s="12" customFormat="1" x14ac:dyDescent="0.25"/>
    <row r="73829" s="12" customFormat="1" x14ac:dyDescent="0.25"/>
    <row r="73830" s="12" customFormat="1" x14ac:dyDescent="0.25"/>
    <row r="73831" s="12" customFormat="1" x14ac:dyDescent="0.25"/>
    <row r="73832" s="12" customFormat="1" x14ac:dyDescent="0.25"/>
    <row r="73833" s="12" customFormat="1" x14ac:dyDescent="0.25"/>
    <row r="73834" s="12" customFormat="1" x14ac:dyDescent="0.25"/>
    <row r="73835" s="12" customFormat="1" x14ac:dyDescent="0.25"/>
    <row r="73836" s="12" customFormat="1" x14ac:dyDescent="0.25"/>
    <row r="73837" s="12" customFormat="1" x14ac:dyDescent="0.25"/>
    <row r="73838" s="12" customFormat="1" x14ac:dyDescent="0.25"/>
    <row r="73839" s="12" customFormat="1" x14ac:dyDescent="0.25"/>
    <row r="73840" s="12" customFormat="1" x14ac:dyDescent="0.25"/>
    <row r="73841" s="12" customFormat="1" x14ac:dyDescent="0.25"/>
    <row r="73842" s="12" customFormat="1" x14ac:dyDescent="0.25"/>
    <row r="73843" s="12" customFormat="1" x14ac:dyDescent="0.25"/>
    <row r="73844" s="12" customFormat="1" x14ac:dyDescent="0.25"/>
    <row r="73845" s="12" customFormat="1" x14ac:dyDescent="0.25"/>
    <row r="73846" s="12" customFormat="1" x14ac:dyDescent="0.25"/>
    <row r="73847" s="12" customFormat="1" x14ac:dyDescent="0.25"/>
    <row r="73848" s="12" customFormat="1" x14ac:dyDescent="0.25"/>
    <row r="73849" s="12" customFormat="1" x14ac:dyDescent="0.25"/>
    <row r="73850" s="12" customFormat="1" x14ac:dyDescent="0.25"/>
    <row r="73851" s="12" customFormat="1" x14ac:dyDescent="0.25"/>
    <row r="73852" s="12" customFormat="1" x14ac:dyDescent="0.25"/>
    <row r="73853" s="12" customFormat="1" x14ac:dyDescent="0.25"/>
    <row r="73854" s="12" customFormat="1" x14ac:dyDescent="0.25"/>
    <row r="73855" s="12" customFormat="1" x14ac:dyDescent="0.25"/>
    <row r="73856" s="12" customFormat="1" x14ac:dyDescent="0.25"/>
    <row r="73857" s="12" customFormat="1" x14ac:dyDescent="0.25"/>
    <row r="73858" s="12" customFormat="1" x14ac:dyDescent="0.25"/>
    <row r="73859" s="12" customFormat="1" x14ac:dyDescent="0.25"/>
    <row r="73860" s="12" customFormat="1" x14ac:dyDescent="0.25"/>
    <row r="73861" s="12" customFormat="1" x14ac:dyDescent="0.25"/>
    <row r="73862" s="12" customFormat="1" x14ac:dyDescent="0.25"/>
    <row r="73863" s="12" customFormat="1" x14ac:dyDescent="0.25"/>
    <row r="73864" s="12" customFormat="1" x14ac:dyDescent="0.25"/>
    <row r="73865" s="12" customFormat="1" x14ac:dyDescent="0.25"/>
    <row r="73866" s="12" customFormat="1" x14ac:dyDescent="0.25"/>
    <row r="73867" s="12" customFormat="1" x14ac:dyDescent="0.25"/>
    <row r="73868" s="12" customFormat="1" x14ac:dyDescent="0.25"/>
    <row r="73869" s="12" customFormat="1" x14ac:dyDescent="0.25"/>
    <row r="73870" s="12" customFormat="1" x14ac:dyDescent="0.25"/>
    <row r="73871" s="12" customFormat="1" x14ac:dyDescent="0.25"/>
    <row r="73872" s="12" customFormat="1" x14ac:dyDescent="0.25"/>
    <row r="73873" s="12" customFormat="1" x14ac:dyDescent="0.25"/>
    <row r="73874" s="12" customFormat="1" x14ac:dyDescent="0.25"/>
    <row r="73875" s="12" customFormat="1" x14ac:dyDescent="0.25"/>
    <row r="73876" s="12" customFormat="1" x14ac:dyDescent="0.25"/>
    <row r="73877" s="12" customFormat="1" x14ac:dyDescent="0.25"/>
    <row r="73878" s="12" customFormat="1" x14ac:dyDescent="0.25"/>
    <row r="73879" s="12" customFormat="1" x14ac:dyDescent="0.25"/>
    <row r="73880" s="12" customFormat="1" x14ac:dyDescent="0.25"/>
    <row r="73881" s="12" customFormat="1" x14ac:dyDescent="0.25"/>
    <row r="73882" s="12" customFormat="1" x14ac:dyDescent="0.25"/>
    <row r="73883" s="12" customFormat="1" x14ac:dyDescent="0.25"/>
    <row r="73884" s="12" customFormat="1" x14ac:dyDescent="0.25"/>
    <row r="73885" s="12" customFormat="1" x14ac:dyDescent="0.25"/>
    <row r="73886" s="12" customFormat="1" x14ac:dyDescent="0.25"/>
    <row r="73887" s="12" customFormat="1" x14ac:dyDescent="0.25"/>
    <row r="73888" s="12" customFormat="1" x14ac:dyDescent="0.25"/>
    <row r="73889" s="12" customFormat="1" x14ac:dyDescent="0.25"/>
    <row r="73890" s="12" customFormat="1" x14ac:dyDescent="0.25"/>
    <row r="73891" s="12" customFormat="1" x14ac:dyDescent="0.25"/>
    <row r="73892" s="12" customFormat="1" x14ac:dyDescent="0.25"/>
    <row r="73893" s="12" customFormat="1" x14ac:dyDescent="0.25"/>
    <row r="73894" s="12" customFormat="1" x14ac:dyDescent="0.25"/>
    <row r="73895" s="12" customFormat="1" x14ac:dyDescent="0.25"/>
    <row r="73896" s="12" customFormat="1" x14ac:dyDescent="0.25"/>
    <row r="73897" s="12" customFormat="1" x14ac:dyDescent="0.25"/>
    <row r="73898" s="12" customFormat="1" x14ac:dyDescent="0.25"/>
    <row r="73899" s="12" customFormat="1" x14ac:dyDescent="0.25"/>
    <row r="73900" s="12" customFormat="1" x14ac:dyDescent="0.25"/>
    <row r="73901" s="12" customFormat="1" x14ac:dyDescent="0.25"/>
    <row r="73902" s="12" customFormat="1" x14ac:dyDescent="0.25"/>
    <row r="73903" s="12" customFormat="1" x14ac:dyDescent="0.25"/>
    <row r="73904" s="12" customFormat="1" x14ac:dyDescent="0.25"/>
    <row r="73905" s="12" customFormat="1" x14ac:dyDescent="0.25"/>
    <row r="73906" s="12" customFormat="1" x14ac:dyDescent="0.25"/>
    <row r="73907" s="12" customFormat="1" x14ac:dyDescent="0.25"/>
    <row r="73908" s="12" customFormat="1" x14ac:dyDescent="0.25"/>
    <row r="73909" s="12" customFormat="1" x14ac:dyDescent="0.25"/>
    <row r="73910" s="12" customFormat="1" x14ac:dyDescent="0.25"/>
    <row r="73911" s="12" customFormat="1" x14ac:dyDescent="0.25"/>
    <row r="73912" s="12" customFormat="1" x14ac:dyDescent="0.25"/>
    <row r="73913" s="12" customFormat="1" x14ac:dyDescent="0.25"/>
    <row r="73914" s="12" customFormat="1" x14ac:dyDescent="0.25"/>
    <row r="73915" s="12" customFormat="1" x14ac:dyDescent="0.25"/>
    <row r="73916" s="12" customFormat="1" x14ac:dyDescent="0.25"/>
    <row r="73917" s="12" customFormat="1" x14ac:dyDescent="0.25"/>
    <row r="73918" s="12" customFormat="1" x14ac:dyDescent="0.25"/>
    <row r="73919" s="12" customFormat="1" x14ac:dyDescent="0.25"/>
    <row r="73920" s="12" customFormat="1" x14ac:dyDescent="0.25"/>
    <row r="73921" s="12" customFormat="1" x14ac:dyDescent="0.25"/>
    <row r="73922" s="12" customFormat="1" x14ac:dyDescent="0.25"/>
    <row r="73923" s="12" customFormat="1" x14ac:dyDescent="0.25"/>
    <row r="73924" s="12" customFormat="1" x14ac:dyDescent="0.25"/>
    <row r="73925" s="12" customFormat="1" x14ac:dyDescent="0.25"/>
    <row r="73926" s="12" customFormat="1" x14ac:dyDescent="0.25"/>
    <row r="73927" s="12" customFormat="1" x14ac:dyDescent="0.25"/>
    <row r="73928" s="12" customFormat="1" x14ac:dyDescent="0.25"/>
    <row r="73929" s="12" customFormat="1" x14ac:dyDescent="0.25"/>
    <row r="73930" s="12" customFormat="1" x14ac:dyDescent="0.25"/>
    <row r="73931" s="12" customFormat="1" x14ac:dyDescent="0.25"/>
    <row r="73932" s="12" customFormat="1" x14ac:dyDescent="0.25"/>
    <row r="73933" s="12" customFormat="1" x14ac:dyDescent="0.25"/>
    <row r="73934" s="12" customFormat="1" x14ac:dyDescent="0.25"/>
    <row r="73935" s="12" customFormat="1" x14ac:dyDescent="0.25"/>
    <row r="73936" s="12" customFormat="1" x14ac:dyDescent="0.25"/>
    <row r="73937" s="12" customFormat="1" x14ac:dyDescent="0.25"/>
    <row r="73938" s="12" customFormat="1" x14ac:dyDescent="0.25"/>
    <row r="73939" s="12" customFormat="1" x14ac:dyDescent="0.25"/>
    <row r="73940" s="12" customFormat="1" x14ac:dyDescent="0.25"/>
    <row r="73941" s="12" customFormat="1" x14ac:dyDescent="0.25"/>
    <row r="73942" s="12" customFormat="1" x14ac:dyDescent="0.25"/>
    <row r="73943" s="12" customFormat="1" x14ac:dyDescent="0.25"/>
    <row r="73944" s="12" customFormat="1" x14ac:dyDescent="0.25"/>
    <row r="73945" s="12" customFormat="1" x14ac:dyDescent="0.25"/>
    <row r="73946" s="12" customFormat="1" x14ac:dyDescent="0.25"/>
    <row r="73947" s="12" customFormat="1" x14ac:dyDescent="0.25"/>
    <row r="73948" s="12" customFormat="1" x14ac:dyDescent="0.25"/>
    <row r="73949" s="12" customFormat="1" x14ac:dyDescent="0.25"/>
    <row r="73950" s="12" customFormat="1" x14ac:dyDescent="0.25"/>
    <row r="73951" s="12" customFormat="1" x14ac:dyDescent="0.25"/>
    <row r="73952" s="12" customFormat="1" x14ac:dyDescent="0.25"/>
    <row r="73953" s="12" customFormat="1" x14ac:dyDescent="0.25"/>
    <row r="73954" s="12" customFormat="1" x14ac:dyDescent="0.25"/>
    <row r="73955" s="12" customFormat="1" x14ac:dyDescent="0.25"/>
    <row r="73956" s="12" customFormat="1" x14ac:dyDescent="0.25"/>
    <row r="73957" s="12" customFormat="1" x14ac:dyDescent="0.25"/>
    <row r="73958" s="12" customFormat="1" x14ac:dyDescent="0.25"/>
    <row r="73959" s="12" customFormat="1" x14ac:dyDescent="0.25"/>
    <row r="73960" s="12" customFormat="1" x14ac:dyDescent="0.25"/>
    <row r="73961" s="12" customFormat="1" x14ac:dyDescent="0.25"/>
    <row r="73962" s="12" customFormat="1" x14ac:dyDescent="0.25"/>
    <row r="73963" s="12" customFormat="1" x14ac:dyDescent="0.25"/>
    <row r="73964" s="12" customFormat="1" x14ac:dyDescent="0.25"/>
    <row r="73965" s="12" customFormat="1" x14ac:dyDescent="0.25"/>
    <row r="73966" s="12" customFormat="1" x14ac:dyDescent="0.25"/>
    <row r="73967" s="12" customFormat="1" x14ac:dyDescent="0.25"/>
    <row r="73968" s="12" customFormat="1" x14ac:dyDescent="0.25"/>
    <row r="73969" s="12" customFormat="1" x14ac:dyDescent="0.25"/>
    <row r="73970" s="12" customFormat="1" x14ac:dyDescent="0.25"/>
    <row r="73971" s="12" customFormat="1" x14ac:dyDescent="0.25"/>
    <row r="73972" s="12" customFormat="1" x14ac:dyDescent="0.25"/>
    <row r="73973" s="12" customFormat="1" x14ac:dyDescent="0.25"/>
    <row r="73974" s="12" customFormat="1" x14ac:dyDescent="0.25"/>
    <row r="73975" s="12" customFormat="1" x14ac:dyDescent="0.25"/>
    <row r="73976" s="12" customFormat="1" x14ac:dyDescent="0.25"/>
    <row r="73977" s="12" customFormat="1" x14ac:dyDescent="0.25"/>
    <row r="73978" s="12" customFormat="1" x14ac:dyDescent="0.25"/>
    <row r="73979" s="12" customFormat="1" x14ac:dyDescent="0.25"/>
    <row r="73980" s="12" customFormat="1" x14ac:dyDescent="0.25"/>
    <row r="73981" s="12" customFormat="1" x14ac:dyDescent="0.25"/>
    <row r="73982" s="12" customFormat="1" x14ac:dyDescent="0.25"/>
    <row r="73983" s="12" customFormat="1" x14ac:dyDescent="0.25"/>
    <row r="73984" s="12" customFormat="1" x14ac:dyDescent="0.25"/>
    <row r="73985" s="12" customFormat="1" x14ac:dyDescent="0.25"/>
    <row r="73986" s="12" customFormat="1" x14ac:dyDescent="0.25"/>
    <row r="73987" s="12" customFormat="1" x14ac:dyDescent="0.25"/>
    <row r="73988" s="12" customFormat="1" x14ac:dyDescent="0.25"/>
    <row r="73989" s="12" customFormat="1" x14ac:dyDescent="0.25"/>
    <row r="73990" s="12" customFormat="1" x14ac:dyDescent="0.25"/>
    <row r="73991" s="12" customFormat="1" x14ac:dyDescent="0.25"/>
    <row r="73992" s="12" customFormat="1" x14ac:dyDescent="0.25"/>
    <row r="73993" s="12" customFormat="1" x14ac:dyDescent="0.25"/>
    <row r="73994" s="12" customFormat="1" x14ac:dyDescent="0.25"/>
    <row r="73995" s="12" customFormat="1" x14ac:dyDescent="0.25"/>
    <row r="73996" s="12" customFormat="1" x14ac:dyDescent="0.25"/>
    <row r="73997" s="12" customFormat="1" x14ac:dyDescent="0.25"/>
    <row r="73998" s="12" customFormat="1" x14ac:dyDescent="0.25"/>
    <row r="73999" s="12" customFormat="1" x14ac:dyDescent="0.25"/>
    <row r="74000" s="12" customFormat="1" x14ac:dyDescent="0.25"/>
    <row r="74001" s="12" customFormat="1" x14ac:dyDescent="0.25"/>
    <row r="74002" s="12" customFormat="1" x14ac:dyDescent="0.25"/>
    <row r="74003" s="12" customFormat="1" x14ac:dyDescent="0.25"/>
    <row r="74004" s="12" customFormat="1" x14ac:dyDescent="0.25"/>
    <row r="74005" s="12" customFormat="1" x14ac:dyDescent="0.25"/>
    <row r="74006" s="12" customFormat="1" x14ac:dyDescent="0.25"/>
    <row r="74007" s="12" customFormat="1" x14ac:dyDescent="0.25"/>
    <row r="74008" s="12" customFormat="1" x14ac:dyDescent="0.25"/>
    <row r="74009" s="12" customFormat="1" x14ac:dyDescent="0.25"/>
    <row r="74010" s="12" customFormat="1" x14ac:dyDescent="0.25"/>
    <row r="74011" s="12" customFormat="1" x14ac:dyDescent="0.25"/>
    <row r="74012" s="12" customFormat="1" x14ac:dyDescent="0.25"/>
    <row r="74013" s="12" customFormat="1" x14ac:dyDescent="0.25"/>
    <row r="74014" s="12" customFormat="1" x14ac:dyDescent="0.25"/>
    <row r="74015" s="12" customFormat="1" x14ac:dyDescent="0.25"/>
    <row r="74016" s="12" customFormat="1" x14ac:dyDescent="0.25"/>
    <row r="74017" s="12" customFormat="1" x14ac:dyDescent="0.25"/>
    <row r="74018" s="12" customFormat="1" x14ac:dyDescent="0.25"/>
    <row r="74019" s="12" customFormat="1" x14ac:dyDescent="0.25"/>
    <row r="74020" s="12" customFormat="1" x14ac:dyDescent="0.25"/>
    <row r="74021" s="12" customFormat="1" x14ac:dyDescent="0.25"/>
    <row r="74022" s="12" customFormat="1" x14ac:dyDescent="0.25"/>
    <row r="74023" s="12" customFormat="1" x14ac:dyDescent="0.25"/>
    <row r="74024" s="12" customFormat="1" x14ac:dyDescent="0.25"/>
    <row r="74025" s="12" customFormat="1" x14ac:dyDescent="0.25"/>
    <row r="74026" s="12" customFormat="1" x14ac:dyDescent="0.25"/>
    <row r="74027" s="12" customFormat="1" x14ac:dyDescent="0.25"/>
    <row r="74028" s="12" customFormat="1" x14ac:dyDescent="0.25"/>
    <row r="74029" s="12" customFormat="1" x14ac:dyDescent="0.25"/>
    <row r="74030" s="12" customFormat="1" x14ac:dyDescent="0.25"/>
    <row r="74031" s="12" customFormat="1" x14ac:dyDescent="0.25"/>
    <row r="74032" s="12" customFormat="1" x14ac:dyDescent="0.25"/>
    <row r="74033" s="12" customFormat="1" x14ac:dyDescent="0.25"/>
    <row r="74034" s="12" customFormat="1" x14ac:dyDescent="0.25"/>
    <row r="74035" s="12" customFormat="1" x14ac:dyDescent="0.25"/>
    <row r="74036" s="12" customFormat="1" x14ac:dyDescent="0.25"/>
    <row r="74037" s="12" customFormat="1" x14ac:dyDescent="0.25"/>
    <row r="74038" s="12" customFormat="1" x14ac:dyDescent="0.25"/>
    <row r="74039" s="12" customFormat="1" x14ac:dyDescent="0.25"/>
    <row r="74040" s="12" customFormat="1" x14ac:dyDescent="0.25"/>
    <row r="74041" s="12" customFormat="1" x14ac:dyDescent="0.25"/>
    <row r="74042" s="12" customFormat="1" x14ac:dyDescent="0.25"/>
    <row r="74043" s="12" customFormat="1" x14ac:dyDescent="0.25"/>
    <row r="74044" s="12" customFormat="1" x14ac:dyDescent="0.25"/>
    <row r="74045" s="12" customFormat="1" x14ac:dyDescent="0.25"/>
    <row r="74046" s="12" customFormat="1" x14ac:dyDescent="0.25"/>
    <row r="74047" s="12" customFormat="1" x14ac:dyDescent="0.25"/>
    <row r="74048" s="12" customFormat="1" x14ac:dyDescent="0.25"/>
    <row r="74049" s="12" customFormat="1" x14ac:dyDescent="0.25"/>
    <row r="74050" s="12" customFormat="1" x14ac:dyDescent="0.25"/>
    <row r="74051" s="12" customFormat="1" x14ac:dyDescent="0.25"/>
    <row r="74052" s="12" customFormat="1" x14ac:dyDescent="0.25"/>
    <row r="74053" s="12" customFormat="1" x14ac:dyDescent="0.25"/>
    <row r="74054" s="12" customFormat="1" x14ac:dyDescent="0.25"/>
    <row r="74055" s="12" customFormat="1" x14ac:dyDescent="0.25"/>
    <row r="74056" s="12" customFormat="1" x14ac:dyDescent="0.25"/>
    <row r="74057" s="12" customFormat="1" x14ac:dyDescent="0.25"/>
    <row r="74058" s="12" customFormat="1" x14ac:dyDescent="0.25"/>
    <row r="74059" s="12" customFormat="1" x14ac:dyDescent="0.25"/>
    <row r="74060" s="12" customFormat="1" x14ac:dyDescent="0.25"/>
    <row r="74061" s="12" customFormat="1" x14ac:dyDescent="0.25"/>
    <row r="74062" s="12" customFormat="1" x14ac:dyDescent="0.25"/>
    <row r="74063" s="12" customFormat="1" x14ac:dyDescent="0.25"/>
    <row r="74064" s="12" customFormat="1" x14ac:dyDescent="0.25"/>
    <row r="74065" s="12" customFormat="1" x14ac:dyDescent="0.25"/>
    <row r="74066" s="12" customFormat="1" x14ac:dyDescent="0.25"/>
    <row r="74067" s="12" customFormat="1" x14ac:dyDescent="0.25"/>
    <row r="74068" s="12" customFormat="1" x14ac:dyDescent="0.25"/>
    <row r="74069" s="12" customFormat="1" x14ac:dyDescent="0.25"/>
    <row r="74070" s="12" customFormat="1" x14ac:dyDescent="0.25"/>
    <row r="74071" s="12" customFormat="1" x14ac:dyDescent="0.25"/>
    <row r="74072" s="12" customFormat="1" x14ac:dyDescent="0.25"/>
    <row r="74073" s="12" customFormat="1" x14ac:dyDescent="0.25"/>
    <row r="74074" s="12" customFormat="1" x14ac:dyDescent="0.25"/>
    <row r="74075" s="12" customFormat="1" x14ac:dyDescent="0.25"/>
    <row r="74076" s="12" customFormat="1" x14ac:dyDescent="0.25"/>
    <row r="74077" s="12" customFormat="1" x14ac:dyDescent="0.25"/>
    <row r="74078" s="12" customFormat="1" x14ac:dyDescent="0.25"/>
    <row r="74079" s="12" customFormat="1" x14ac:dyDescent="0.25"/>
    <row r="74080" s="12" customFormat="1" x14ac:dyDescent="0.25"/>
    <row r="74081" s="12" customFormat="1" x14ac:dyDescent="0.25"/>
    <row r="74082" s="12" customFormat="1" x14ac:dyDescent="0.25"/>
    <row r="74083" s="12" customFormat="1" x14ac:dyDescent="0.25"/>
    <row r="74084" s="12" customFormat="1" x14ac:dyDescent="0.25"/>
    <row r="74085" s="12" customFormat="1" x14ac:dyDescent="0.25"/>
    <row r="74086" s="12" customFormat="1" x14ac:dyDescent="0.25"/>
    <row r="74087" s="12" customFormat="1" x14ac:dyDescent="0.25"/>
    <row r="74088" s="12" customFormat="1" x14ac:dyDescent="0.25"/>
    <row r="74089" s="12" customFormat="1" x14ac:dyDescent="0.25"/>
    <row r="74090" s="12" customFormat="1" x14ac:dyDescent="0.25"/>
    <row r="74091" s="12" customFormat="1" x14ac:dyDescent="0.25"/>
    <row r="74092" s="12" customFormat="1" x14ac:dyDescent="0.25"/>
    <row r="74093" s="12" customFormat="1" x14ac:dyDescent="0.25"/>
    <row r="74094" s="12" customFormat="1" x14ac:dyDescent="0.25"/>
    <row r="74095" s="12" customFormat="1" x14ac:dyDescent="0.25"/>
    <row r="74096" s="12" customFormat="1" x14ac:dyDescent="0.25"/>
    <row r="74097" s="12" customFormat="1" x14ac:dyDescent="0.25"/>
    <row r="74098" s="12" customFormat="1" x14ac:dyDescent="0.25"/>
    <row r="74099" s="12" customFormat="1" x14ac:dyDescent="0.25"/>
    <row r="74100" s="12" customFormat="1" x14ac:dyDescent="0.25"/>
    <row r="74101" s="12" customFormat="1" x14ac:dyDescent="0.25"/>
    <row r="74102" s="12" customFormat="1" x14ac:dyDescent="0.25"/>
    <row r="74103" s="12" customFormat="1" x14ac:dyDescent="0.25"/>
    <row r="74104" s="12" customFormat="1" x14ac:dyDescent="0.25"/>
    <row r="74105" s="12" customFormat="1" x14ac:dyDescent="0.25"/>
    <row r="74106" s="12" customFormat="1" x14ac:dyDescent="0.25"/>
    <row r="74107" s="12" customFormat="1" x14ac:dyDescent="0.25"/>
    <row r="74108" s="12" customFormat="1" x14ac:dyDescent="0.25"/>
    <row r="74109" s="12" customFormat="1" x14ac:dyDescent="0.25"/>
    <row r="74110" s="12" customFormat="1" x14ac:dyDescent="0.25"/>
    <row r="74111" s="12" customFormat="1" x14ac:dyDescent="0.25"/>
    <row r="74112" s="12" customFormat="1" x14ac:dyDescent="0.25"/>
    <row r="74113" s="12" customFormat="1" x14ac:dyDescent="0.25"/>
    <row r="74114" s="12" customFormat="1" x14ac:dyDescent="0.25"/>
    <row r="74115" s="12" customFormat="1" x14ac:dyDescent="0.25"/>
    <row r="74116" s="12" customFormat="1" x14ac:dyDescent="0.25"/>
    <row r="74117" s="12" customFormat="1" x14ac:dyDescent="0.25"/>
    <row r="74118" s="12" customFormat="1" x14ac:dyDescent="0.25"/>
    <row r="74119" s="12" customFormat="1" x14ac:dyDescent="0.25"/>
    <row r="74120" s="12" customFormat="1" x14ac:dyDescent="0.25"/>
    <row r="74121" s="12" customFormat="1" x14ac:dyDescent="0.25"/>
    <row r="74122" s="12" customFormat="1" x14ac:dyDescent="0.25"/>
    <row r="74123" s="12" customFormat="1" x14ac:dyDescent="0.25"/>
    <row r="74124" s="12" customFormat="1" x14ac:dyDescent="0.25"/>
    <row r="74125" s="12" customFormat="1" x14ac:dyDescent="0.25"/>
    <row r="74126" s="12" customFormat="1" x14ac:dyDescent="0.25"/>
    <row r="74127" s="12" customFormat="1" x14ac:dyDescent="0.25"/>
    <row r="74128" s="12" customFormat="1" x14ac:dyDescent="0.25"/>
    <row r="74129" s="12" customFormat="1" x14ac:dyDescent="0.25"/>
    <row r="74130" s="12" customFormat="1" x14ac:dyDescent="0.25"/>
    <row r="74131" s="12" customFormat="1" x14ac:dyDescent="0.25"/>
    <row r="74132" s="12" customFormat="1" x14ac:dyDescent="0.25"/>
    <row r="74133" s="12" customFormat="1" x14ac:dyDescent="0.25"/>
    <row r="74134" s="12" customFormat="1" x14ac:dyDescent="0.25"/>
    <row r="74135" s="12" customFormat="1" x14ac:dyDescent="0.25"/>
    <row r="74136" s="12" customFormat="1" x14ac:dyDescent="0.25"/>
    <row r="74137" s="12" customFormat="1" x14ac:dyDescent="0.25"/>
    <row r="74138" s="12" customFormat="1" x14ac:dyDescent="0.25"/>
    <row r="74139" s="12" customFormat="1" x14ac:dyDescent="0.25"/>
    <row r="74140" s="12" customFormat="1" x14ac:dyDescent="0.25"/>
    <row r="74141" s="12" customFormat="1" x14ac:dyDescent="0.25"/>
    <row r="74142" s="12" customFormat="1" x14ac:dyDescent="0.25"/>
    <row r="74143" s="12" customFormat="1" x14ac:dyDescent="0.25"/>
    <row r="74144" s="12" customFormat="1" x14ac:dyDescent="0.25"/>
    <row r="74145" s="12" customFormat="1" x14ac:dyDescent="0.25"/>
    <row r="74146" s="12" customFormat="1" x14ac:dyDescent="0.25"/>
    <row r="74147" s="12" customFormat="1" x14ac:dyDescent="0.25"/>
    <row r="74148" s="12" customFormat="1" x14ac:dyDescent="0.25"/>
    <row r="74149" s="12" customFormat="1" x14ac:dyDescent="0.25"/>
    <row r="74150" s="12" customFormat="1" x14ac:dyDescent="0.25"/>
    <row r="74151" s="12" customFormat="1" x14ac:dyDescent="0.25"/>
    <row r="74152" s="12" customFormat="1" x14ac:dyDescent="0.25"/>
    <row r="74153" s="12" customFormat="1" x14ac:dyDescent="0.25"/>
    <row r="74154" s="12" customFormat="1" x14ac:dyDescent="0.25"/>
    <row r="74155" s="12" customFormat="1" x14ac:dyDescent="0.25"/>
    <row r="74156" s="12" customFormat="1" x14ac:dyDescent="0.25"/>
    <row r="74157" s="12" customFormat="1" x14ac:dyDescent="0.25"/>
    <row r="74158" s="12" customFormat="1" x14ac:dyDescent="0.25"/>
    <row r="74159" s="12" customFormat="1" x14ac:dyDescent="0.25"/>
    <row r="74160" s="12" customFormat="1" x14ac:dyDescent="0.25"/>
    <row r="74161" s="12" customFormat="1" x14ac:dyDescent="0.25"/>
    <row r="74162" s="12" customFormat="1" x14ac:dyDescent="0.25"/>
    <row r="74163" s="12" customFormat="1" x14ac:dyDescent="0.25"/>
    <row r="74164" s="12" customFormat="1" x14ac:dyDescent="0.25"/>
    <row r="74165" s="12" customFormat="1" x14ac:dyDescent="0.25"/>
    <row r="74166" s="12" customFormat="1" x14ac:dyDescent="0.25"/>
    <row r="74167" s="12" customFormat="1" x14ac:dyDescent="0.25"/>
    <row r="74168" s="12" customFormat="1" x14ac:dyDescent="0.25"/>
    <row r="74169" s="12" customFormat="1" x14ac:dyDescent="0.25"/>
    <row r="74170" s="12" customFormat="1" x14ac:dyDescent="0.25"/>
    <row r="74171" s="12" customFormat="1" x14ac:dyDescent="0.25"/>
    <row r="74172" s="12" customFormat="1" x14ac:dyDescent="0.25"/>
    <row r="74173" s="12" customFormat="1" x14ac:dyDescent="0.25"/>
    <row r="74174" s="12" customFormat="1" x14ac:dyDescent="0.25"/>
    <row r="74175" s="12" customFormat="1" x14ac:dyDescent="0.25"/>
    <row r="74176" s="12" customFormat="1" x14ac:dyDescent="0.25"/>
    <row r="74177" s="12" customFormat="1" x14ac:dyDescent="0.25"/>
    <row r="74178" s="12" customFormat="1" x14ac:dyDescent="0.25"/>
    <row r="74179" s="12" customFormat="1" x14ac:dyDescent="0.25"/>
    <row r="74180" s="12" customFormat="1" x14ac:dyDescent="0.25"/>
    <row r="74181" s="12" customFormat="1" x14ac:dyDescent="0.25"/>
    <row r="74182" s="12" customFormat="1" x14ac:dyDescent="0.25"/>
    <row r="74183" s="12" customFormat="1" x14ac:dyDescent="0.25"/>
    <row r="74184" s="12" customFormat="1" x14ac:dyDescent="0.25"/>
    <row r="74185" s="12" customFormat="1" x14ac:dyDescent="0.25"/>
    <row r="74186" s="12" customFormat="1" x14ac:dyDescent="0.25"/>
    <row r="74187" s="12" customFormat="1" x14ac:dyDescent="0.25"/>
    <row r="74188" s="12" customFormat="1" x14ac:dyDescent="0.25"/>
    <row r="74189" s="12" customFormat="1" x14ac:dyDescent="0.25"/>
    <row r="74190" s="12" customFormat="1" x14ac:dyDescent="0.25"/>
    <row r="74191" s="12" customFormat="1" x14ac:dyDescent="0.25"/>
    <row r="74192" s="12" customFormat="1" x14ac:dyDescent="0.25"/>
    <row r="74193" s="12" customFormat="1" x14ac:dyDescent="0.25"/>
    <row r="74194" s="12" customFormat="1" x14ac:dyDescent="0.25"/>
    <row r="74195" s="12" customFormat="1" x14ac:dyDescent="0.25"/>
    <row r="74196" s="12" customFormat="1" x14ac:dyDescent="0.25"/>
    <row r="74197" s="12" customFormat="1" x14ac:dyDescent="0.25"/>
    <row r="74198" s="12" customFormat="1" x14ac:dyDescent="0.25"/>
    <row r="74199" s="12" customFormat="1" x14ac:dyDescent="0.25"/>
    <row r="74200" s="12" customFormat="1" x14ac:dyDescent="0.25"/>
    <row r="74201" s="12" customFormat="1" x14ac:dyDescent="0.25"/>
    <row r="74202" s="12" customFormat="1" x14ac:dyDescent="0.25"/>
    <row r="74203" s="12" customFormat="1" x14ac:dyDescent="0.25"/>
    <row r="74204" s="12" customFormat="1" x14ac:dyDescent="0.25"/>
    <row r="74205" s="12" customFormat="1" x14ac:dyDescent="0.25"/>
    <row r="74206" s="12" customFormat="1" x14ac:dyDescent="0.25"/>
    <row r="74207" s="12" customFormat="1" x14ac:dyDescent="0.25"/>
    <row r="74208" s="12" customFormat="1" x14ac:dyDescent="0.25"/>
    <row r="74209" s="12" customFormat="1" x14ac:dyDescent="0.25"/>
    <row r="74210" s="12" customFormat="1" x14ac:dyDescent="0.25"/>
    <row r="74211" s="12" customFormat="1" x14ac:dyDescent="0.25"/>
    <row r="74212" s="12" customFormat="1" x14ac:dyDescent="0.25"/>
    <row r="74213" s="12" customFormat="1" x14ac:dyDescent="0.25"/>
    <row r="74214" s="12" customFormat="1" x14ac:dyDescent="0.25"/>
    <row r="74215" s="12" customFormat="1" x14ac:dyDescent="0.25"/>
    <row r="74216" s="12" customFormat="1" x14ac:dyDescent="0.25"/>
    <row r="74217" s="12" customFormat="1" x14ac:dyDescent="0.25"/>
    <row r="74218" s="12" customFormat="1" x14ac:dyDescent="0.25"/>
    <row r="74219" s="12" customFormat="1" x14ac:dyDescent="0.25"/>
    <row r="74220" s="12" customFormat="1" x14ac:dyDescent="0.25"/>
    <row r="74221" s="12" customFormat="1" x14ac:dyDescent="0.25"/>
    <row r="74222" s="12" customFormat="1" x14ac:dyDescent="0.25"/>
    <row r="74223" s="12" customFormat="1" x14ac:dyDescent="0.25"/>
    <row r="74224" s="12" customFormat="1" x14ac:dyDescent="0.25"/>
    <row r="74225" s="12" customFormat="1" x14ac:dyDescent="0.25"/>
    <row r="74226" s="12" customFormat="1" x14ac:dyDescent="0.25"/>
    <row r="74227" s="12" customFormat="1" x14ac:dyDescent="0.25"/>
    <row r="74228" s="12" customFormat="1" x14ac:dyDescent="0.25"/>
    <row r="74229" s="12" customFormat="1" x14ac:dyDescent="0.25"/>
    <row r="74230" s="12" customFormat="1" x14ac:dyDescent="0.25"/>
    <row r="74231" s="12" customFormat="1" x14ac:dyDescent="0.25"/>
    <row r="74232" s="12" customFormat="1" x14ac:dyDescent="0.25"/>
    <row r="74233" s="12" customFormat="1" x14ac:dyDescent="0.25"/>
    <row r="74234" s="12" customFormat="1" x14ac:dyDescent="0.25"/>
    <row r="74235" s="12" customFormat="1" x14ac:dyDescent="0.25"/>
    <row r="74236" s="12" customFormat="1" x14ac:dyDescent="0.25"/>
    <row r="74237" s="12" customFormat="1" x14ac:dyDescent="0.25"/>
    <row r="74238" s="12" customFormat="1" x14ac:dyDescent="0.25"/>
    <row r="74239" s="12" customFormat="1" x14ac:dyDescent="0.25"/>
    <row r="74240" s="12" customFormat="1" x14ac:dyDescent="0.25"/>
    <row r="74241" s="12" customFormat="1" x14ac:dyDescent="0.25"/>
    <row r="74242" s="12" customFormat="1" x14ac:dyDescent="0.25"/>
    <row r="74243" s="12" customFormat="1" x14ac:dyDescent="0.25"/>
    <row r="74244" s="12" customFormat="1" x14ac:dyDescent="0.25"/>
    <row r="74245" s="12" customFormat="1" x14ac:dyDescent="0.25"/>
    <row r="74246" s="12" customFormat="1" x14ac:dyDescent="0.25"/>
    <row r="74247" s="12" customFormat="1" x14ac:dyDescent="0.25"/>
    <row r="74248" s="12" customFormat="1" x14ac:dyDescent="0.25"/>
    <row r="74249" s="12" customFormat="1" x14ac:dyDescent="0.25"/>
    <row r="74250" s="12" customFormat="1" x14ac:dyDescent="0.25"/>
    <row r="74251" s="12" customFormat="1" x14ac:dyDescent="0.25"/>
    <row r="74252" s="12" customFormat="1" x14ac:dyDescent="0.25"/>
    <row r="74253" s="12" customFormat="1" x14ac:dyDescent="0.25"/>
    <row r="74254" s="12" customFormat="1" x14ac:dyDescent="0.25"/>
    <row r="74255" s="12" customFormat="1" x14ac:dyDescent="0.25"/>
    <row r="74256" s="12" customFormat="1" x14ac:dyDescent="0.25"/>
    <row r="74257" s="12" customFormat="1" x14ac:dyDescent="0.25"/>
    <row r="74258" s="12" customFormat="1" x14ac:dyDescent="0.25"/>
    <row r="74259" s="12" customFormat="1" x14ac:dyDescent="0.25"/>
    <row r="74260" s="12" customFormat="1" x14ac:dyDescent="0.25"/>
    <row r="74261" s="12" customFormat="1" x14ac:dyDescent="0.25"/>
    <row r="74262" s="12" customFormat="1" x14ac:dyDescent="0.25"/>
    <row r="74263" s="12" customFormat="1" x14ac:dyDescent="0.25"/>
    <row r="74264" s="12" customFormat="1" x14ac:dyDescent="0.25"/>
    <row r="74265" s="12" customFormat="1" x14ac:dyDescent="0.25"/>
    <row r="74266" s="12" customFormat="1" x14ac:dyDescent="0.25"/>
    <row r="74267" s="12" customFormat="1" x14ac:dyDescent="0.25"/>
    <row r="74268" s="12" customFormat="1" x14ac:dyDescent="0.25"/>
    <row r="74269" s="12" customFormat="1" x14ac:dyDescent="0.25"/>
    <row r="74270" s="12" customFormat="1" x14ac:dyDescent="0.25"/>
    <row r="74271" s="12" customFormat="1" x14ac:dyDescent="0.25"/>
    <row r="74272" s="12" customFormat="1" x14ac:dyDescent="0.25"/>
    <row r="74273" s="12" customFormat="1" x14ac:dyDescent="0.25"/>
    <row r="74274" s="12" customFormat="1" x14ac:dyDescent="0.25"/>
    <row r="74275" s="12" customFormat="1" x14ac:dyDescent="0.25"/>
    <row r="74276" s="12" customFormat="1" x14ac:dyDescent="0.25"/>
    <row r="74277" s="12" customFormat="1" x14ac:dyDescent="0.25"/>
    <row r="74278" s="12" customFormat="1" x14ac:dyDescent="0.25"/>
    <row r="74279" s="12" customFormat="1" x14ac:dyDescent="0.25"/>
    <row r="74280" s="12" customFormat="1" x14ac:dyDescent="0.25"/>
    <row r="74281" s="12" customFormat="1" x14ac:dyDescent="0.25"/>
    <row r="74282" s="12" customFormat="1" x14ac:dyDescent="0.25"/>
    <row r="74283" s="12" customFormat="1" x14ac:dyDescent="0.25"/>
    <row r="74284" s="12" customFormat="1" x14ac:dyDescent="0.25"/>
    <row r="74285" s="12" customFormat="1" x14ac:dyDescent="0.25"/>
    <row r="74286" s="12" customFormat="1" x14ac:dyDescent="0.25"/>
    <row r="74287" s="12" customFormat="1" x14ac:dyDescent="0.25"/>
    <row r="74288" s="12" customFormat="1" x14ac:dyDescent="0.25"/>
    <row r="74289" s="12" customFormat="1" x14ac:dyDescent="0.25"/>
    <row r="74290" s="12" customFormat="1" x14ac:dyDescent="0.25"/>
    <row r="74291" s="12" customFormat="1" x14ac:dyDescent="0.25"/>
    <row r="74292" s="12" customFormat="1" x14ac:dyDescent="0.25"/>
    <row r="74293" s="12" customFormat="1" x14ac:dyDescent="0.25"/>
    <row r="74294" s="12" customFormat="1" x14ac:dyDescent="0.25"/>
    <row r="74295" s="12" customFormat="1" x14ac:dyDescent="0.25"/>
    <row r="74296" s="12" customFormat="1" x14ac:dyDescent="0.25"/>
    <row r="74297" s="12" customFormat="1" x14ac:dyDescent="0.25"/>
    <row r="74298" s="12" customFormat="1" x14ac:dyDescent="0.25"/>
    <row r="74299" s="12" customFormat="1" x14ac:dyDescent="0.25"/>
    <row r="74300" s="12" customFormat="1" x14ac:dyDescent="0.25"/>
    <row r="74301" s="12" customFormat="1" x14ac:dyDescent="0.25"/>
    <row r="74302" s="12" customFormat="1" x14ac:dyDescent="0.25"/>
    <row r="74303" s="12" customFormat="1" x14ac:dyDescent="0.25"/>
    <row r="74304" s="12" customFormat="1" x14ac:dyDescent="0.25"/>
    <row r="74305" s="12" customFormat="1" x14ac:dyDescent="0.25"/>
    <row r="74306" s="12" customFormat="1" x14ac:dyDescent="0.25"/>
    <row r="74307" s="12" customFormat="1" x14ac:dyDescent="0.25"/>
    <row r="74308" s="12" customFormat="1" x14ac:dyDescent="0.25"/>
    <row r="74309" s="12" customFormat="1" x14ac:dyDescent="0.25"/>
    <row r="74310" s="12" customFormat="1" x14ac:dyDescent="0.25"/>
    <row r="74311" s="12" customFormat="1" x14ac:dyDescent="0.25"/>
    <row r="74312" s="12" customFormat="1" x14ac:dyDescent="0.25"/>
    <row r="74313" s="12" customFormat="1" x14ac:dyDescent="0.25"/>
    <row r="74314" s="12" customFormat="1" x14ac:dyDescent="0.25"/>
    <row r="74315" s="12" customFormat="1" x14ac:dyDescent="0.25"/>
    <row r="74316" s="12" customFormat="1" x14ac:dyDescent="0.25"/>
    <row r="74317" s="12" customFormat="1" x14ac:dyDescent="0.25"/>
    <row r="74318" s="12" customFormat="1" x14ac:dyDescent="0.25"/>
    <row r="74319" s="12" customFormat="1" x14ac:dyDescent="0.25"/>
    <row r="74320" s="12" customFormat="1" x14ac:dyDescent="0.25"/>
    <row r="74321" s="12" customFormat="1" x14ac:dyDescent="0.25"/>
    <row r="74322" s="12" customFormat="1" x14ac:dyDescent="0.25"/>
    <row r="74323" s="12" customFormat="1" x14ac:dyDescent="0.25"/>
    <row r="74324" s="12" customFormat="1" x14ac:dyDescent="0.25"/>
    <row r="74325" s="12" customFormat="1" x14ac:dyDescent="0.25"/>
    <row r="74326" s="12" customFormat="1" x14ac:dyDescent="0.25"/>
    <row r="74327" s="12" customFormat="1" x14ac:dyDescent="0.25"/>
    <row r="74328" s="12" customFormat="1" x14ac:dyDescent="0.25"/>
    <row r="74329" s="12" customFormat="1" x14ac:dyDescent="0.25"/>
    <row r="74330" s="12" customFormat="1" x14ac:dyDescent="0.25"/>
    <row r="74331" s="12" customFormat="1" x14ac:dyDescent="0.25"/>
    <row r="74332" s="12" customFormat="1" x14ac:dyDescent="0.25"/>
    <row r="74333" s="12" customFormat="1" x14ac:dyDescent="0.25"/>
    <row r="74334" s="12" customFormat="1" x14ac:dyDescent="0.25"/>
    <row r="74335" s="12" customFormat="1" x14ac:dyDescent="0.25"/>
    <row r="74336" s="12" customFormat="1" x14ac:dyDescent="0.25"/>
    <row r="74337" s="12" customFormat="1" x14ac:dyDescent="0.25"/>
    <row r="74338" s="12" customFormat="1" x14ac:dyDescent="0.25"/>
    <row r="74339" s="12" customFormat="1" x14ac:dyDescent="0.25"/>
    <row r="74340" s="12" customFormat="1" x14ac:dyDescent="0.25"/>
    <row r="74341" s="12" customFormat="1" x14ac:dyDescent="0.25"/>
    <row r="74342" s="12" customFormat="1" x14ac:dyDescent="0.25"/>
    <row r="74343" s="12" customFormat="1" x14ac:dyDescent="0.25"/>
    <row r="74344" s="12" customFormat="1" x14ac:dyDescent="0.25"/>
    <row r="74345" s="12" customFormat="1" x14ac:dyDescent="0.25"/>
    <row r="74346" s="12" customFormat="1" x14ac:dyDescent="0.25"/>
    <row r="74347" s="12" customFormat="1" x14ac:dyDescent="0.25"/>
    <row r="74348" s="12" customFormat="1" x14ac:dyDescent="0.25"/>
    <row r="74349" s="12" customFormat="1" x14ac:dyDescent="0.25"/>
    <row r="74350" s="12" customFormat="1" x14ac:dyDescent="0.25"/>
    <row r="74351" s="12" customFormat="1" x14ac:dyDescent="0.25"/>
    <row r="74352" s="12" customFormat="1" x14ac:dyDescent="0.25"/>
    <row r="74353" s="12" customFormat="1" x14ac:dyDescent="0.25"/>
    <row r="74354" s="12" customFormat="1" x14ac:dyDescent="0.25"/>
    <row r="74355" s="12" customFormat="1" x14ac:dyDescent="0.25"/>
    <row r="74356" s="12" customFormat="1" x14ac:dyDescent="0.25"/>
    <row r="74357" s="12" customFormat="1" x14ac:dyDescent="0.25"/>
    <row r="74358" s="12" customFormat="1" x14ac:dyDescent="0.25"/>
    <row r="74359" s="12" customFormat="1" x14ac:dyDescent="0.25"/>
    <row r="74360" s="12" customFormat="1" x14ac:dyDescent="0.25"/>
    <row r="74361" s="12" customFormat="1" x14ac:dyDescent="0.25"/>
    <row r="74362" s="12" customFormat="1" x14ac:dyDescent="0.25"/>
    <row r="74363" s="12" customFormat="1" x14ac:dyDescent="0.25"/>
    <row r="74364" s="12" customFormat="1" x14ac:dyDescent="0.25"/>
    <row r="74365" s="12" customFormat="1" x14ac:dyDescent="0.25"/>
    <row r="74366" s="12" customFormat="1" x14ac:dyDescent="0.25"/>
    <row r="74367" s="12" customFormat="1" x14ac:dyDescent="0.25"/>
    <row r="74368" s="12" customFormat="1" x14ac:dyDescent="0.25"/>
    <row r="74369" s="12" customFormat="1" x14ac:dyDescent="0.25"/>
    <row r="74370" s="12" customFormat="1" x14ac:dyDescent="0.25"/>
    <row r="74371" s="12" customFormat="1" x14ac:dyDescent="0.25"/>
    <row r="74372" s="12" customFormat="1" x14ac:dyDescent="0.25"/>
    <row r="74373" s="12" customFormat="1" x14ac:dyDescent="0.25"/>
    <row r="74374" s="12" customFormat="1" x14ac:dyDescent="0.25"/>
    <row r="74375" s="12" customFormat="1" x14ac:dyDescent="0.25"/>
    <row r="74376" s="12" customFormat="1" x14ac:dyDescent="0.25"/>
    <row r="74377" s="12" customFormat="1" x14ac:dyDescent="0.25"/>
    <row r="74378" s="12" customFormat="1" x14ac:dyDescent="0.25"/>
    <row r="74379" s="12" customFormat="1" x14ac:dyDescent="0.25"/>
    <row r="74380" s="12" customFormat="1" x14ac:dyDescent="0.25"/>
    <row r="74381" s="12" customFormat="1" x14ac:dyDescent="0.25"/>
    <row r="74382" s="12" customFormat="1" x14ac:dyDescent="0.25"/>
    <row r="74383" s="12" customFormat="1" x14ac:dyDescent="0.25"/>
    <row r="74384" s="12" customFormat="1" x14ac:dyDescent="0.25"/>
    <row r="74385" s="12" customFormat="1" x14ac:dyDescent="0.25"/>
    <row r="74386" s="12" customFormat="1" x14ac:dyDescent="0.25"/>
    <row r="74387" s="12" customFormat="1" x14ac:dyDescent="0.25"/>
    <row r="74388" s="12" customFormat="1" x14ac:dyDescent="0.25"/>
    <row r="74389" s="12" customFormat="1" x14ac:dyDescent="0.25"/>
    <row r="74390" s="12" customFormat="1" x14ac:dyDescent="0.25"/>
    <row r="74391" s="12" customFormat="1" x14ac:dyDescent="0.25"/>
    <row r="74392" s="12" customFormat="1" x14ac:dyDescent="0.25"/>
    <row r="74393" s="12" customFormat="1" x14ac:dyDescent="0.25"/>
    <row r="74394" s="12" customFormat="1" x14ac:dyDescent="0.25"/>
    <row r="74395" s="12" customFormat="1" x14ac:dyDescent="0.25"/>
    <row r="74396" s="12" customFormat="1" x14ac:dyDescent="0.25"/>
    <row r="74397" s="12" customFormat="1" x14ac:dyDescent="0.25"/>
    <row r="74398" s="12" customFormat="1" x14ac:dyDescent="0.25"/>
    <row r="74399" s="12" customFormat="1" x14ac:dyDescent="0.25"/>
    <row r="74400" s="12" customFormat="1" x14ac:dyDescent="0.25"/>
    <row r="74401" s="12" customFormat="1" x14ac:dyDescent="0.25"/>
    <row r="74402" s="12" customFormat="1" x14ac:dyDescent="0.25"/>
    <row r="74403" s="12" customFormat="1" x14ac:dyDescent="0.25"/>
    <row r="74404" s="12" customFormat="1" x14ac:dyDescent="0.25"/>
    <row r="74405" s="12" customFormat="1" x14ac:dyDescent="0.25"/>
    <row r="74406" s="12" customFormat="1" x14ac:dyDescent="0.25"/>
    <row r="74407" s="12" customFormat="1" x14ac:dyDescent="0.25"/>
    <row r="74408" s="12" customFormat="1" x14ac:dyDescent="0.25"/>
    <row r="74409" s="12" customFormat="1" x14ac:dyDescent="0.25"/>
    <row r="74410" s="12" customFormat="1" x14ac:dyDescent="0.25"/>
    <row r="74411" s="12" customFormat="1" x14ac:dyDescent="0.25"/>
    <row r="74412" s="12" customFormat="1" x14ac:dyDescent="0.25"/>
    <row r="74413" s="12" customFormat="1" x14ac:dyDescent="0.25"/>
    <row r="74414" s="12" customFormat="1" x14ac:dyDescent="0.25"/>
    <row r="74415" s="12" customFormat="1" x14ac:dyDescent="0.25"/>
    <row r="74416" s="12" customFormat="1" x14ac:dyDescent="0.25"/>
    <row r="74417" s="12" customFormat="1" x14ac:dyDescent="0.25"/>
    <row r="74418" s="12" customFormat="1" x14ac:dyDescent="0.25"/>
    <row r="74419" s="12" customFormat="1" x14ac:dyDescent="0.25"/>
    <row r="74420" s="12" customFormat="1" x14ac:dyDescent="0.25"/>
    <row r="74421" s="12" customFormat="1" x14ac:dyDescent="0.25"/>
    <row r="74422" s="12" customFormat="1" x14ac:dyDescent="0.25"/>
    <row r="74423" s="12" customFormat="1" x14ac:dyDescent="0.25"/>
    <row r="74424" s="12" customFormat="1" x14ac:dyDescent="0.25"/>
    <row r="74425" s="12" customFormat="1" x14ac:dyDescent="0.25"/>
    <row r="74426" s="12" customFormat="1" x14ac:dyDescent="0.25"/>
    <row r="74427" s="12" customFormat="1" x14ac:dyDescent="0.25"/>
    <row r="74428" s="12" customFormat="1" x14ac:dyDescent="0.25"/>
    <row r="74429" s="12" customFormat="1" x14ac:dyDescent="0.25"/>
    <row r="74430" s="12" customFormat="1" x14ac:dyDescent="0.25"/>
    <row r="74431" s="12" customFormat="1" x14ac:dyDescent="0.25"/>
    <row r="74432" s="12" customFormat="1" x14ac:dyDescent="0.25"/>
    <row r="74433" s="12" customFormat="1" x14ac:dyDescent="0.25"/>
    <row r="74434" s="12" customFormat="1" x14ac:dyDescent="0.25"/>
    <row r="74435" s="12" customFormat="1" x14ac:dyDescent="0.25"/>
    <row r="74436" s="12" customFormat="1" x14ac:dyDescent="0.25"/>
    <row r="74437" s="12" customFormat="1" x14ac:dyDescent="0.25"/>
    <row r="74438" s="12" customFormat="1" x14ac:dyDescent="0.25"/>
    <row r="74439" s="12" customFormat="1" x14ac:dyDescent="0.25"/>
    <row r="74440" s="12" customFormat="1" x14ac:dyDescent="0.25"/>
    <row r="74441" s="12" customFormat="1" x14ac:dyDescent="0.25"/>
    <row r="74442" s="12" customFormat="1" x14ac:dyDescent="0.25"/>
    <row r="74443" s="12" customFormat="1" x14ac:dyDescent="0.25"/>
    <row r="74444" s="12" customFormat="1" x14ac:dyDescent="0.25"/>
    <row r="74445" s="12" customFormat="1" x14ac:dyDescent="0.25"/>
    <row r="74446" s="12" customFormat="1" x14ac:dyDescent="0.25"/>
    <row r="74447" s="12" customFormat="1" x14ac:dyDescent="0.25"/>
    <row r="74448" s="12" customFormat="1" x14ac:dyDescent="0.25"/>
    <row r="74449" s="12" customFormat="1" x14ac:dyDescent="0.25"/>
    <row r="74450" s="12" customFormat="1" x14ac:dyDescent="0.25"/>
    <row r="74451" s="12" customFormat="1" x14ac:dyDescent="0.25"/>
    <row r="74452" s="12" customFormat="1" x14ac:dyDescent="0.25"/>
    <row r="74453" s="12" customFormat="1" x14ac:dyDescent="0.25"/>
    <row r="74454" s="12" customFormat="1" x14ac:dyDescent="0.25"/>
    <row r="74455" s="12" customFormat="1" x14ac:dyDescent="0.25"/>
    <row r="74456" s="12" customFormat="1" x14ac:dyDescent="0.25"/>
    <row r="74457" s="12" customFormat="1" x14ac:dyDescent="0.25"/>
    <row r="74458" s="12" customFormat="1" x14ac:dyDescent="0.25"/>
    <row r="74459" s="12" customFormat="1" x14ac:dyDescent="0.25"/>
    <row r="74460" s="12" customFormat="1" x14ac:dyDescent="0.25"/>
    <row r="74461" s="12" customFormat="1" x14ac:dyDescent="0.25"/>
    <row r="74462" s="12" customFormat="1" x14ac:dyDescent="0.25"/>
    <row r="74463" s="12" customFormat="1" x14ac:dyDescent="0.25"/>
    <row r="74464" s="12" customFormat="1" x14ac:dyDescent="0.25"/>
    <row r="74465" s="12" customFormat="1" x14ac:dyDescent="0.25"/>
    <row r="74466" s="12" customFormat="1" x14ac:dyDescent="0.25"/>
    <row r="74467" s="12" customFormat="1" x14ac:dyDescent="0.25"/>
    <row r="74468" s="12" customFormat="1" x14ac:dyDescent="0.25"/>
    <row r="74469" s="12" customFormat="1" x14ac:dyDescent="0.25"/>
    <row r="74470" s="12" customFormat="1" x14ac:dyDescent="0.25"/>
    <row r="74471" s="12" customFormat="1" x14ac:dyDescent="0.25"/>
    <row r="74472" s="12" customFormat="1" x14ac:dyDescent="0.25"/>
    <row r="74473" s="12" customFormat="1" x14ac:dyDescent="0.25"/>
    <row r="74474" s="12" customFormat="1" x14ac:dyDescent="0.25"/>
    <row r="74475" s="12" customFormat="1" x14ac:dyDescent="0.25"/>
    <row r="74476" s="12" customFormat="1" x14ac:dyDescent="0.25"/>
    <row r="74477" s="12" customFormat="1" x14ac:dyDescent="0.25"/>
    <row r="74478" s="12" customFormat="1" x14ac:dyDescent="0.25"/>
    <row r="74479" s="12" customFormat="1" x14ac:dyDescent="0.25"/>
    <row r="74480" s="12" customFormat="1" x14ac:dyDescent="0.25"/>
    <row r="74481" s="12" customFormat="1" x14ac:dyDescent="0.25"/>
    <row r="74482" s="12" customFormat="1" x14ac:dyDescent="0.25"/>
    <row r="74483" s="12" customFormat="1" x14ac:dyDescent="0.25"/>
    <row r="74484" s="12" customFormat="1" x14ac:dyDescent="0.25"/>
    <row r="74485" s="12" customFormat="1" x14ac:dyDescent="0.25"/>
    <row r="74486" s="12" customFormat="1" x14ac:dyDescent="0.25"/>
    <row r="74487" s="12" customFormat="1" x14ac:dyDescent="0.25"/>
    <row r="74488" s="12" customFormat="1" x14ac:dyDescent="0.25"/>
    <row r="74489" s="12" customFormat="1" x14ac:dyDescent="0.25"/>
    <row r="74490" s="12" customFormat="1" x14ac:dyDescent="0.25"/>
    <row r="74491" s="12" customFormat="1" x14ac:dyDescent="0.25"/>
    <row r="74492" s="12" customFormat="1" x14ac:dyDescent="0.25"/>
    <row r="74493" s="12" customFormat="1" x14ac:dyDescent="0.25"/>
    <row r="74494" s="12" customFormat="1" x14ac:dyDescent="0.25"/>
    <row r="74495" s="12" customFormat="1" x14ac:dyDescent="0.25"/>
    <row r="74496" s="12" customFormat="1" x14ac:dyDescent="0.25"/>
    <row r="74497" s="12" customFormat="1" x14ac:dyDescent="0.25"/>
    <row r="74498" s="12" customFormat="1" x14ac:dyDescent="0.25"/>
    <row r="74499" s="12" customFormat="1" x14ac:dyDescent="0.25"/>
    <row r="74500" s="12" customFormat="1" x14ac:dyDescent="0.25"/>
    <row r="74501" s="12" customFormat="1" x14ac:dyDescent="0.25"/>
    <row r="74502" s="12" customFormat="1" x14ac:dyDescent="0.25"/>
    <row r="74503" s="12" customFormat="1" x14ac:dyDescent="0.25"/>
    <row r="74504" s="12" customFormat="1" x14ac:dyDescent="0.25"/>
    <row r="74505" s="12" customFormat="1" x14ac:dyDescent="0.25"/>
    <row r="74506" s="12" customFormat="1" x14ac:dyDescent="0.25"/>
    <row r="74507" s="12" customFormat="1" x14ac:dyDescent="0.25"/>
    <row r="74508" s="12" customFormat="1" x14ac:dyDescent="0.25"/>
    <row r="74509" s="12" customFormat="1" x14ac:dyDescent="0.25"/>
    <row r="74510" s="12" customFormat="1" x14ac:dyDescent="0.25"/>
    <row r="74511" s="12" customFormat="1" x14ac:dyDescent="0.25"/>
    <row r="74512" s="12" customFormat="1" x14ac:dyDescent="0.25"/>
    <row r="74513" s="12" customFormat="1" x14ac:dyDescent="0.25"/>
    <row r="74514" s="12" customFormat="1" x14ac:dyDescent="0.25"/>
    <row r="74515" s="12" customFormat="1" x14ac:dyDescent="0.25"/>
    <row r="74516" s="12" customFormat="1" x14ac:dyDescent="0.25"/>
    <row r="74517" s="12" customFormat="1" x14ac:dyDescent="0.25"/>
    <row r="74518" s="12" customFormat="1" x14ac:dyDescent="0.25"/>
    <row r="74519" s="12" customFormat="1" x14ac:dyDescent="0.25"/>
    <row r="74520" s="12" customFormat="1" x14ac:dyDescent="0.25"/>
    <row r="74521" s="12" customFormat="1" x14ac:dyDescent="0.25"/>
    <row r="74522" s="12" customFormat="1" x14ac:dyDescent="0.25"/>
    <row r="74523" s="12" customFormat="1" x14ac:dyDescent="0.25"/>
    <row r="74524" s="12" customFormat="1" x14ac:dyDescent="0.25"/>
    <row r="74525" s="12" customFormat="1" x14ac:dyDescent="0.25"/>
    <row r="74526" s="12" customFormat="1" x14ac:dyDescent="0.25"/>
    <row r="74527" s="12" customFormat="1" x14ac:dyDescent="0.25"/>
    <row r="74528" s="12" customFormat="1" x14ac:dyDescent="0.25"/>
    <row r="74529" s="12" customFormat="1" x14ac:dyDescent="0.25"/>
    <row r="74530" s="12" customFormat="1" x14ac:dyDescent="0.25"/>
    <row r="74531" s="12" customFormat="1" x14ac:dyDescent="0.25"/>
    <row r="74532" s="12" customFormat="1" x14ac:dyDescent="0.25"/>
    <row r="74533" s="12" customFormat="1" x14ac:dyDescent="0.25"/>
    <row r="74534" s="12" customFormat="1" x14ac:dyDescent="0.25"/>
    <row r="74535" s="12" customFormat="1" x14ac:dyDescent="0.25"/>
    <row r="74536" s="12" customFormat="1" x14ac:dyDescent="0.25"/>
    <row r="74537" s="12" customFormat="1" x14ac:dyDescent="0.25"/>
    <row r="74538" s="12" customFormat="1" x14ac:dyDescent="0.25"/>
    <row r="74539" s="12" customFormat="1" x14ac:dyDescent="0.25"/>
    <row r="74540" s="12" customFormat="1" x14ac:dyDescent="0.25"/>
    <row r="74541" s="12" customFormat="1" x14ac:dyDescent="0.25"/>
    <row r="74542" s="12" customFormat="1" x14ac:dyDescent="0.25"/>
    <row r="74543" s="12" customFormat="1" x14ac:dyDescent="0.25"/>
    <row r="74544" s="12" customFormat="1" x14ac:dyDescent="0.25"/>
    <row r="74545" s="12" customFormat="1" x14ac:dyDescent="0.25"/>
    <row r="74546" s="12" customFormat="1" x14ac:dyDescent="0.25"/>
    <row r="74547" s="12" customFormat="1" x14ac:dyDescent="0.25"/>
    <row r="74548" s="12" customFormat="1" x14ac:dyDescent="0.25"/>
    <row r="74549" s="12" customFormat="1" x14ac:dyDescent="0.25"/>
    <row r="74550" s="12" customFormat="1" x14ac:dyDescent="0.25"/>
    <row r="74551" s="12" customFormat="1" x14ac:dyDescent="0.25"/>
    <row r="74552" s="12" customFormat="1" x14ac:dyDescent="0.25"/>
    <row r="74553" s="12" customFormat="1" x14ac:dyDescent="0.25"/>
    <row r="74554" s="12" customFormat="1" x14ac:dyDescent="0.25"/>
    <row r="74555" s="12" customFormat="1" x14ac:dyDescent="0.25"/>
    <row r="74556" s="12" customFormat="1" x14ac:dyDescent="0.25"/>
    <row r="74557" s="12" customFormat="1" x14ac:dyDescent="0.25"/>
    <row r="74558" s="12" customFormat="1" x14ac:dyDescent="0.25"/>
    <row r="74559" s="12" customFormat="1" x14ac:dyDescent="0.25"/>
    <row r="74560" s="12" customFormat="1" x14ac:dyDescent="0.25"/>
    <row r="74561" s="12" customFormat="1" x14ac:dyDescent="0.25"/>
    <row r="74562" s="12" customFormat="1" x14ac:dyDescent="0.25"/>
    <row r="74563" s="12" customFormat="1" x14ac:dyDescent="0.25"/>
    <row r="74564" s="12" customFormat="1" x14ac:dyDescent="0.25"/>
    <row r="74565" s="12" customFormat="1" x14ac:dyDescent="0.25"/>
    <row r="74566" s="12" customFormat="1" x14ac:dyDescent="0.25"/>
    <row r="74567" s="12" customFormat="1" x14ac:dyDescent="0.25"/>
    <row r="74568" s="12" customFormat="1" x14ac:dyDescent="0.25"/>
    <row r="74569" s="12" customFormat="1" x14ac:dyDescent="0.25"/>
    <row r="74570" s="12" customFormat="1" x14ac:dyDescent="0.25"/>
    <row r="74571" s="12" customFormat="1" x14ac:dyDescent="0.25"/>
    <row r="74572" s="12" customFormat="1" x14ac:dyDescent="0.25"/>
    <row r="74573" s="12" customFormat="1" x14ac:dyDescent="0.25"/>
    <row r="74574" s="12" customFormat="1" x14ac:dyDescent="0.25"/>
    <row r="74575" s="12" customFormat="1" x14ac:dyDescent="0.25"/>
    <row r="74576" s="12" customFormat="1" x14ac:dyDescent="0.25"/>
    <row r="74577" s="12" customFormat="1" x14ac:dyDescent="0.25"/>
    <row r="74578" s="12" customFormat="1" x14ac:dyDescent="0.25"/>
    <row r="74579" s="12" customFormat="1" x14ac:dyDescent="0.25"/>
    <row r="74580" s="12" customFormat="1" x14ac:dyDescent="0.25"/>
    <row r="74581" s="12" customFormat="1" x14ac:dyDescent="0.25"/>
    <row r="74582" s="12" customFormat="1" x14ac:dyDescent="0.25"/>
    <row r="74583" s="12" customFormat="1" x14ac:dyDescent="0.25"/>
    <row r="74584" s="12" customFormat="1" x14ac:dyDescent="0.25"/>
    <row r="74585" s="12" customFormat="1" x14ac:dyDescent="0.25"/>
    <row r="74586" s="12" customFormat="1" x14ac:dyDescent="0.25"/>
    <row r="74587" s="12" customFormat="1" x14ac:dyDescent="0.25"/>
    <row r="74588" s="12" customFormat="1" x14ac:dyDescent="0.25"/>
    <row r="74589" s="12" customFormat="1" x14ac:dyDescent="0.25"/>
    <row r="74590" s="12" customFormat="1" x14ac:dyDescent="0.25"/>
    <row r="74591" s="12" customFormat="1" x14ac:dyDescent="0.25"/>
    <row r="74592" s="12" customFormat="1" x14ac:dyDescent="0.25"/>
    <row r="74593" s="12" customFormat="1" x14ac:dyDescent="0.25"/>
    <row r="74594" s="12" customFormat="1" x14ac:dyDescent="0.25"/>
    <row r="74595" s="12" customFormat="1" x14ac:dyDescent="0.25"/>
    <row r="74596" s="12" customFormat="1" x14ac:dyDescent="0.25"/>
    <row r="74597" s="12" customFormat="1" x14ac:dyDescent="0.25"/>
    <row r="74598" s="12" customFormat="1" x14ac:dyDescent="0.25"/>
    <row r="74599" s="12" customFormat="1" x14ac:dyDescent="0.25"/>
    <row r="74600" s="12" customFormat="1" x14ac:dyDescent="0.25"/>
    <row r="74601" s="12" customFormat="1" x14ac:dyDescent="0.25"/>
    <row r="74602" s="12" customFormat="1" x14ac:dyDescent="0.25"/>
    <row r="74603" s="12" customFormat="1" x14ac:dyDescent="0.25"/>
    <row r="74604" s="12" customFormat="1" x14ac:dyDescent="0.25"/>
    <row r="74605" s="12" customFormat="1" x14ac:dyDescent="0.25"/>
    <row r="74606" s="12" customFormat="1" x14ac:dyDescent="0.25"/>
    <row r="74607" s="12" customFormat="1" x14ac:dyDescent="0.25"/>
    <row r="74608" s="12" customFormat="1" x14ac:dyDescent="0.25"/>
    <row r="74609" s="12" customFormat="1" x14ac:dyDescent="0.25"/>
    <row r="74610" s="12" customFormat="1" x14ac:dyDescent="0.25"/>
    <row r="74611" s="12" customFormat="1" x14ac:dyDescent="0.25"/>
    <row r="74612" s="12" customFormat="1" x14ac:dyDescent="0.25"/>
    <row r="74613" s="12" customFormat="1" x14ac:dyDescent="0.25"/>
    <row r="74614" s="12" customFormat="1" x14ac:dyDescent="0.25"/>
    <row r="74615" s="12" customFormat="1" x14ac:dyDescent="0.25"/>
    <row r="74616" s="12" customFormat="1" x14ac:dyDescent="0.25"/>
    <row r="74617" s="12" customFormat="1" x14ac:dyDescent="0.25"/>
    <row r="74618" s="12" customFormat="1" x14ac:dyDescent="0.25"/>
    <row r="74619" s="12" customFormat="1" x14ac:dyDescent="0.25"/>
    <row r="74620" s="12" customFormat="1" x14ac:dyDescent="0.25"/>
    <row r="74621" s="12" customFormat="1" x14ac:dyDescent="0.25"/>
    <row r="74622" s="12" customFormat="1" x14ac:dyDescent="0.25"/>
    <row r="74623" s="12" customFormat="1" x14ac:dyDescent="0.25"/>
    <row r="74624" s="12" customFormat="1" x14ac:dyDescent="0.25"/>
    <row r="74625" s="12" customFormat="1" x14ac:dyDescent="0.25"/>
    <row r="74626" s="12" customFormat="1" x14ac:dyDescent="0.25"/>
    <row r="74627" s="12" customFormat="1" x14ac:dyDescent="0.25"/>
    <row r="74628" s="12" customFormat="1" x14ac:dyDescent="0.25"/>
    <row r="74629" s="12" customFormat="1" x14ac:dyDescent="0.25"/>
    <row r="74630" s="12" customFormat="1" x14ac:dyDescent="0.25"/>
    <row r="74631" s="12" customFormat="1" x14ac:dyDescent="0.25"/>
    <row r="74632" s="12" customFormat="1" x14ac:dyDescent="0.25"/>
    <row r="74633" s="12" customFormat="1" x14ac:dyDescent="0.25"/>
    <row r="74634" s="12" customFormat="1" x14ac:dyDescent="0.25"/>
    <row r="74635" s="12" customFormat="1" x14ac:dyDescent="0.25"/>
    <row r="74636" s="12" customFormat="1" x14ac:dyDescent="0.25"/>
    <row r="74637" s="12" customFormat="1" x14ac:dyDescent="0.25"/>
    <row r="74638" s="12" customFormat="1" x14ac:dyDescent="0.25"/>
    <row r="74639" s="12" customFormat="1" x14ac:dyDescent="0.25"/>
    <row r="74640" s="12" customFormat="1" x14ac:dyDescent="0.25"/>
    <row r="74641" s="12" customFormat="1" x14ac:dyDescent="0.25"/>
    <row r="74642" s="12" customFormat="1" x14ac:dyDescent="0.25"/>
    <row r="74643" s="12" customFormat="1" x14ac:dyDescent="0.25"/>
    <row r="74644" s="12" customFormat="1" x14ac:dyDescent="0.25"/>
    <row r="74645" s="12" customFormat="1" x14ac:dyDescent="0.25"/>
    <row r="74646" s="12" customFormat="1" x14ac:dyDescent="0.25"/>
    <row r="74647" s="12" customFormat="1" x14ac:dyDescent="0.25"/>
    <row r="74648" s="12" customFormat="1" x14ac:dyDescent="0.25"/>
    <row r="74649" s="12" customFormat="1" x14ac:dyDescent="0.25"/>
    <row r="74650" s="12" customFormat="1" x14ac:dyDescent="0.25"/>
    <row r="74651" s="12" customFormat="1" x14ac:dyDescent="0.25"/>
    <row r="74652" s="12" customFormat="1" x14ac:dyDescent="0.25"/>
    <row r="74653" s="12" customFormat="1" x14ac:dyDescent="0.25"/>
    <row r="74654" s="12" customFormat="1" x14ac:dyDescent="0.25"/>
    <row r="74655" s="12" customFormat="1" x14ac:dyDescent="0.25"/>
    <row r="74656" s="12" customFormat="1" x14ac:dyDescent="0.25"/>
    <row r="74657" s="12" customFormat="1" x14ac:dyDescent="0.25"/>
    <row r="74658" s="12" customFormat="1" x14ac:dyDescent="0.25"/>
    <row r="74659" s="12" customFormat="1" x14ac:dyDescent="0.25"/>
    <row r="74660" s="12" customFormat="1" x14ac:dyDescent="0.25"/>
    <row r="74661" s="12" customFormat="1" x14ac:dyDescent="0.25"/>
    <row r="74662" s="12" customFormat="1" x14ac:dyDescent="0.25"/>
    <row r="74663" s="12" customFormat="1" x14ac:dyDescent="0.25"/>
    <row r="74664" s="12" customFormat="1" x14ac:dyDescent="0.25"/>
    <row r="74665" s="12" customFormat="1" x14ac:dyDescent="0.25"/>
    <row r="74666" s="12" customFormat="1" x14ac:dyDescent="0.25"/>
    <row r="74667" s="12" customFormat="1" x14ac:dyDescent="0.25"/>
    <row r="74668" s="12" customFormat="1" x14ac:dyDescent="0.25"/>
    <row r="74669" s="12" customFormat="1" x14ac:dyDescent="0.25"/>
    <row r="74670" s="12" customFormat="1" x14ac:dyDescent="0.25"/>
    <row r="74671" s="12" customFormat="1" x14ac:dyDescent="0.25"/>
    <row r="74672" s="12" customFormat="1" x14ac:dyDescent="0.25"/>
    <row r="74673" s="12" customFormat="1" x14ac:dyDescent="0.25"/>
    <row r="74674" s="12" customFormat="1" x14ac:dyDescent="0.25"/>
    <row r="74675" s="12" customFormat="1" x14ac:dyDescent="0.25"/>
    <row r="74676" s="12" customFormat="1" x14ac:dyDescent="0.25"/>
    <row r="74677" s="12" customFormat="1" x14ac:dyDescent="0.25"/>
    <row r="74678" s="12" customFormat="1" x14ac:dyDescent="0.25"/>
    <row r="74679" s="12" customFormat="1" x14ac:dyDescent="0.25"/>
    <row r="74680" s="12" customFormat="1" x14ac:dyDescent="0.25"/>
    <row r="74681" s="12" customFormat="1" x14ac:dyDescent="0.25"/>
    <row r="74682" s="12" customFormat="1" x14ac:dyDescent="0.25"/>
    <row r="74683" s="12" customFormat="1" x14ac:dyDescent="0.25"/>
    <row r="74684" s="12" customFormat="1" x14ac:dyDescent="0.25"/>
    <row r="74685" s="12" customFormat="1" x14ac:dyDescent="0.25"/>
    <row r="74686" s="12" customFormat="1" x14ac:dyDescent="0.25"/>
    <row r="74687" s="12" customFormat="1" x14ac:dyDescent="0.25"/>
    <row r="74688" s="12" customFormat="1" x14ac:dyDescent="0.25"/>
    <row r="74689" s="12" customFormat="1" x14ac:dyDescent="0.25"/>
    <row r="74690" s="12" customFormat="1" x14ac:dyDescent="0.25"/>
    <row r="74691" s="12" customFormat="1" x14ac:dyDescent="0.25"/>
    <row r="74692" s="12" customFormat="1" x14ac:dyDescent="0.25"/>
    <row r="74693" s="12" customFormat="1" x14ac:dyDescent="0.25"/>
    <row r="74694" s="12" customFormat="1" x14ac:dyDescent="0.25"/>
    <row r="74695" s="12" customFormat="1" x14ac:dyDescent="0.25"/>
    <row r="74696" s="12" customFormat="1" x14ac:dyDescent="0.25"/>
    <row r="74697" s="12" customFormat="1" x14ac:dyDescent="0.25"/>
    <row r="74698" s="12" customFormat="1" x14ac:dyDescent="0.25"/>
    <row r="74699" s="12" customFormat="1" x14ac:dyDescent="0.25"/>
    <row r="74700" s="12" customFormat="1" x14ac:dyDescent="0.25"/>
    <row r="74701" s="12" customFormat="1" x14ac:dyDescent="0.25"/>
    <row r="74702" s="12" customFormat="1" x14ac:dyDescent="0.25"/>
    <row r="74703" s="12" customFormat="1" x14ac:dyDescent="0.25"/>
    <row r="74704" s="12" customFormat="1" x14ac:dyDescent="0.25"/>
    <row r="74705" s="12" customFormat="1" x14ac:dyDescent="0.25"/>
    <row r="74706" s="12" customFormat="1" x14ac:dyDescent="0.25"/>
    <row r="74707" s="12" customFormat="1" x14ac:dyDescent="0.25"/>
    <row r="74708" s="12" customFormat="1" x14ac:dyDescent="0.25"/>
    <row r="74709" s="12" customFormat="1" x14ac:dyDescent="0.25"/>
    <row r="74710" s="12" customFormat="1" x14ac:dyDescent="0.25"/>
    <row r="74711" s="12" customFormat="1" x14ac:dyDescent="0.25"/>
    <row r="74712" s="12" customFormat="1" x14ac:dyDescent="0.25"/>
    <row r="74713" s="12" customFormat="1" x14ac:dyDescent="0.25"/>
    <row r="74714" s="12" customFormat="1" x14ac:dyDescent="0.25"/>
    <row r="74715" s="12" customFormat="1" x14ac:dyDescent="0.25"/>
    <row r="74716" s="12" customFormat="1" x14ac:dyDescent="0.25"/>
    <row r="74717" s="12" customFormat="1" x14ac:dyDescent="0.25"/>
    <row r="74718" s="12" customFormat="1" x14ac:dyDescent="0.25"/>
    <row r="74719" s="12" customFormat="1" x14ac:dyDescent="0.25"/>
    <row r="74720" s="12" customFormat="1" x14ac:dyDescent="0.25"/>
    <row r="74721" s="12" customFormat="1" x14ac:dyDescent="0.25"/>
    <row r="74722" s="12" customFormat="1" x14ac:dyDescent="0.25"/>
    <row r="74723" s="12" customFormat="1" x14ac:dyDescent="0.25"/>
    <row r="74724" s="12" customFormat="1" x14ac:dyDescent="0.25"/>
    <row r="74725" s="12" customFormat="1" x14ac:dyDescent="0.25"/>
    <row r="74726" s="12" customFormat="1" x14ac:dyDescent="0.25"/>
    <row r="74727" s="12" customFormat="1" x14ac:dyDescent="0.25"/>
    <row r="74728" s="12" customFormat="1" x14ac:dyDescent="0.25"/>
    <row r="74729" s="12" customFormat="1" x14ac:dyDescent="0.25"/>
    <row r="74730" s="12" customFormat="1" x14ac:dyDescent="0.25"/>
    <row r="74731" s="12" customFormat="1" x14ac:dyDescent="0.25"/>
    <row r="74732" s="12" customFormat="1" x14ac:dyDescent="0.25"/>
    <row r="74733" s="12" customFormat="1" x14ac:dyDescent="0.25"/>
    <row r="74734" s="12" customFormat="1" x14ac:dyDescent="0.25"/>
    <row r="74735" s="12" customFormat="1" x14ac:dyDescent="0.25"/>
    <row r="74736" s="12" customFormat="1" x14ac:dyDescent="0.25"/>
    <row r="74737" s="12" customFormat="1" x14ac:dyDescent="0.25"/>
    <row r="74738" s="12" customFormat="1" x14ac:dyDescent="0.25"/>
    <row r="74739" s="12" customFormat="1" x14ac:dyDescent="0.25"/>
    <row r="74740" s="12" customFormat="1" x14ac:dyDescent="0.25"/>
    <row r="74741" s="12" customFormat="1" x14ac:dyDescent="0.25"/>
    <row r="74742" s="12" customFormat="1" x14ac:dyDescent="0.25"/>
    <row r="74743" s="12" customFormat="1" x14ac:dyDescent="0.25"/>
    <row r="74744" s="12" customFormat="1" x14ac:dyDescent="0.25"/>
    <row r="74745" s="12" customFormat="1" x14ac:dyDescent="0.25"/>
    <row r="74746" s="12" customFormat="1" x14ac:dyDescent="0.25"/>
    <row r="74747" s="12" customFormat="1" x14ac:dyDescent="0.25"/>
    <row r="74748" s="12" customFormat="1" x14ac:dyDescent="0.25"/>
    <row r="74749" s="12" customFormat="1" x14ac:dyDescent="0.25"/>
    <row r="74750" s="12" customFormat="1" x14ac:dyDescent="0.25"/>
    <row r="74751" s="12" customFormat="1" x14ac:dyDescent="0.25"/>
    <row r="74752" s="12" customFormat="1" x14ac:dyDescent="0.25"/>
    <row r="74753" s="12" customFormat="1" x14ac:dyDescent="0.25"/>
    <row r="74754" s="12" customFormat="1" x14ac:dyDescent="0.25"/>
    <row r="74755" s="12" customFormat="1" x14ac:dyDescent="0.25"/>
    <row r="74756" s="12" customFormat="1" x14ac:dyDescent="0.25"/>
    <row r="74757" s="12" customFormat="1" x14ac:dyDescent="0.25"/>
    <row r="74758" s="12" customFormat="1" x14ac:dyDescent="0.25"/>
    <row r="74759" s="12" customFormat="1" x14ac:dyDescent="0.25"/>
    <row r="74760" s="12" customFormat="1" x14ac:dyDescent="0.25"/>
    <row r="74761" s="12" customFormat="1" x14ac:dyDescent="0.25"/>
    <row r="74762" s="12" customFormat="1" x14ac:dyDescent="0.25"/>
    <row r="74763" s="12" customFormat="1" x14ac:dyDescent="0.25"/>
    <row r="74764" s="12" customFormat="1" x14ac:dyDescent="0.25"/>
    <row r="74765" s="12" customFormat="1" x14ac:dyDescent="0.25"/>
    <row r="74766" s="12" customFormat="1" x14ac:dyDescent="0.25"/>
    <row r="74767" s="12" customFormat="1" x14ac:dyDescent="0.25"/>
    <row r="74768" s="12" customFormat="1" x14ac:dyDescent="0.25"/>
    <row r="74769" s="12" customFormat="1" x14ac:dyDescent="0.25"/>
    <row r="74770" s="12" customFormat="1" x14ac:dyDescent="0.25"/>
    <row r="74771" s="12" customFormat="1" x14ac:dyDescent="0.25"/>
    <row r="74772" s="12" customFormat="1" x14ac:dyDescent="0.25"/>
    <row r="74773" s="12" customFormat="1" x14ac:dyDescent="0.25"/>
    <row r="74774" s="12" customFormat="1" x14ac:dyDescent="0.25"/>
    <row r="74775" s="12" customFormat="1" x14ac:dyDescent="0.25"/>
    <row r="74776" s="12" customFormat="1" x14ac:dyDescent="0.25"/>
    <row r="74777" s="12" customFormat="1" x14ac:dyDescent="0.25"/>
    <row r="74778" s="12" customFormat="1" x14ac:dyDescent="0.25"/>
    <row r="74779" s="12" customFormat="1" x14ac:dyDescent="0.25"/>
    <row r="74780" s="12" customFormat="1" x14ac:dyDescent="0.25"/>
    <row r="74781" s="12" customFormat="1" x14ac:dyDescent="0.25"/>
    <row r="74782" s="12" customFormat="1" x14ac:dyDescent="0.25"/>
    <row r="74783" s="12" customFormat="1" x14ac:dyDescent="0.25"/>
    <row r="74784" s="12" customFormat="1" x14ac:dyDescent="0.25"/>
    <row r="74785" s="12" customFormat="1" x14ac:dyDescent="0.25"/>
    <row r="74786" s="12" customFormat="1" x14ac:dyDescent="0.25"/>
    <row r="74787" s="12" customFormat="1" x14ac:dyDescent="0.25"/>
    <row r="74788" s="12" customFormat="1" x14ac:dyDescent="0.25"/>
    <row r="74789" s="12" customFormat="1" x14ac:dyDescent="0.25"/>
    <row r="74790" s="12" customFormat="1" x14ac:dyDescent="0.25"/>
    <row r="74791" s="12" customFormat="1" x14ac:dyDescent="0.25"/>
    <row r="74792" s="12" customFormat="1" x14ac:dyDescent="0.25"/>
    <row r="74793" s="12" customFormat="1" x14ac:dyDescent="0.25"/>
    <row r="74794" s="12" customFormat="1" x14ac:dyDescent="0.25"/>
    <row r="74795" s="12" customFormat="1" x14ac:dyDescent="0.25"/>
    <row r="74796" s="12" customFormat="1" x14ac:dyDescent="0.25"/>
    <row r="74797" s="12" customFormat="1" x14ac:dyDescent="0.25"/>
    <row r="74798" s="12" customFormat="1" x14ac:dyDescent="0.25"/>
    <row r="74799" s="12" customFormat="1" x14ac:dyDescent="0.25"/>
    <row r="74800" s="12" customFormat="1" x14ac:dyDescent="0.25"/>
    <row r="74801" s="12" customFormat="1" x14ac:dyDescent="0.25"/>
    <row r="74802" s="12" customFormat="1" x14ac:dyDescent="0.25"/>
    <row r="74803" s="12" customFormat="1" x14ac:dyDescent="0.25"/>
    <row r="74804" s="12" customFormat="1" x14ac:dyDescent="0.25"/>
    <row r="74805" s="12" customFormat="1" x14ac:dyDescent="0.25"/>
    <row r="74806" s="12" customFormat="1" x14ac:dyDescent="0.25"/>
    <row r="74807" s="12" customFormat="1" x14ac:dyDescent="0.25"/>
    <row r="74808" s="12" customFormat="1" x14ac:dyDescent="0.25"/>
    <row r="74809" s="12" customFormat="1" x14ac:dyDescent="0.25"/>
    <row r="74810" s="12" customFormat="1" x14ac:dyDescent="0.25"/>
    <row r="74811" s="12" customFormat="1" x14ac:dyDescent="0.25"/>
    <row r="74812" s="12" customFormat="1" x14ac:dyDescent="0.25"/>
    <row r="74813" s="12" customFormat="1" x14ac:dyDescent="0.25"/>
    <row r="74814" s="12" customFormat="1" x14ac:dyDescent="0.25"/>
    <row r="74815" s="12" customFormat="1" x14ac:dyDescent="0.25"/>
    <row r="74816" s="12" customFormat="1" x14ac:dyDescent="0.25"/>
    <row r="74817" s="12" customFormat="1" x14ac:dyDescent="0.25"/>
    <row r="74818" s="12" customFormat="1" x14ac:dyDescent="0.25"/>
    <row r="74819" s="12" customFormat="1" x14ac:dyDescent="0.25"/>
    <row r="74820" s="12" customFormat="1" x14ac:dyDescent="0.25"/>
    <row r="74821" s="12" customFormat="1" x14ac:dyDescent="0.25"/>
    <row r="74822" s="12" customFormat="1" x14ac:dyDescent="0.25"/>
    <row r="74823" s="12" customFormat="1" x14ac:dyDescent="0.25"/>
    <row r="74824" s="12" customFormat="1" x14ac:dyDescent="0.25"/>
    <row r="74825" s="12" customFormat="1" x14ac:dyDescent="0.25"/>
    <row r="74826" s="12" customFormat="1" x14ac:dyDescent="0.25"/>
    <row r="74827" s="12" customFormat="1" x14ac:dyDescent="0.25"/>
    <row r="74828" s="12" customFormat="1" x14ac:dyDescent="0.25"/>
    <row r="74829" s="12" customFormat="1" x14ac:dyDescent="0.25"/>
    <row r="74830" s="12" customFormat="1" x14ac:dyDescent="0.25"/>
    <row r="74831" s="12" customFormat="1" x14ac:dyDescent="0.25"/>
    <row r="74832" s="12" customFormat="1" x14ac:dyDescent="0.25"/>
    <row r="74833" s="12" customFormat="1" x14ac:dyDescent="0.25"/>
    <row r="74834" s="12" customFormat="1" x14ac:dyDescent="0.25"/>
    <row r="74835" s="12" customFormat="1" x14ac:dyDescent="0.25"/>
    <row r="74836" s="12" customFormat="1" x14ac:dyDescent="0.25"/>
    <row r="74837" s="12" customFormat="1" x14ac:dyDescent="0.25"/>
    <row r="74838" s="12" customFormat="1" x14ac:dyDescent="0.25"/>
    <row r="74839" s="12" customFormat="1" x14ac:dyDescent="0.25"/>
    <row r="74840" s="12" customFormat="1" x14ac:dyDescent="0.25"/>
    <row r="74841" s="12" customFormat="1" x14ac:dyDescent="0.25"/>
    <row r="74842" s="12" customFormat="1" x14ac:dyDescent="0.25"/>
    <row r="74843" s="12" customFormat="1" x14ac:dyDescent="0.25"/>
    <row r="74844" s="12" customFormat="1" x14ac:dyDescent="0.25"/>
    <row r="74845" s="12" customFormat="1" x14ac:dyDescent="0.25"/>
    <row r="74846" s="12" customFormat="1" x14ac:dyDescent="0.25"/>
    <row r="74847" s="12" customFormat="1" x14ac:dyDescent="0.25"/>
    <row r="74848" s="12" customFormat="1" x14ac:dyDescent="0.25"/>
    <row r="74849" s="12" customFormat="1" x14ac:dyDescent="0.25"/>
    <row r="74850" s="12" customFormat="1" x14ac:dyDescent="0.25"/>
    <row r="74851" s="12" customFormat="1" x14ac:dyDescent="0.25"/>
    <row r="74852" s="12" customFormat="1" x14ac:dyDescent="0.25"/>
    <row r="74853" s="12" customFormat="1" x14ac:dyDescent="0.25"/>
    <row r="74854" s="12" customFormat="1" x14ac:dyDescent="0.25"/>
    <row r="74855" s="12" customFormat="1" x14ac:dyDescent="0.25"/>
    <row r="74856" s="12" customFormat="1" x14ac:dyDescent="0.25"/>
    <row r="74857" s="12" customFormat="1" x14ac:dyDescent="0.25"/>
    <row r="74858" s="12" customFormat="1" x14ac:dyDescent="0.25"/>
    <row r="74859" s="12" customFormat="1" x14ac:dyDescent="0.25"/>
    <row r="74860" s="12" customFormat="1" x14ac:dyDescent="0.25"/>
    <row r="74861" s="12" customFormat="1" x14ac:dyDescent="0.25"/>
    <row r="74862" s="12" customFormat="1" x14ac:dyDescent="0.25"/>
    <row r="74863" s="12" customFormat="1" x14ac:dyDescent="0.25"/>
    <row r="74864" s="12" customFormat="1" x14ac:dyDescent="0.25"/>
    <row r="74865" s="12" customFormat="1" x14ac:dyDescent="0.25"/>
    <row r="74866" s="12" customFormat="1" x14ac:dyDescent="0.25"/>
    <row r="74867" s="12" customFormat="1" x14ac:dyDescent="0.25"/>
    <row r="74868" s="12" customFormat="1" x14ac:dyDescent="0.25"/>
    <row r="74869" s="12" customFormat="1" x14ac:dyDescent="0.25"/>
    <row r="74870" s="12" customFormat="1" x14ac:dyDescent="0.25"/>
    <row r="74871" s="12" customFormat="1" x14ac:dyDescent="0.25"/>
    <row r="74872" s="12" customFormat="1" x14ac:dyDescent="0.25"/>
    <row r="74873" s="12" customFormat="1" x14ac:dyDescent="0.25"/>
    <row r="74874" s="12" customFormat="1" x14ac:dyDescent="0.25"/>
    <row r="74875" s="12" customFormat="1" x14ac:dyDescent="0.25"/>
    <row r="74876" s="12" customFormat="1" x14ac:dyDescent="0.25"/>
    <row r="74877" s="12" customFormat="1" x14ac:dyDescent="0.25"/>
    <row r="74878" s="12" customFormat="1" x14ac:dyDescent="0.25"/>
    <row r="74879" s="12" customFormat="1" x14ac:dyDescent="0.25"/>
    <row r="74880" s="12" customFormat="1" x14ac:dyDescent="0.25"/>
    <row r="74881" s="12" customFormat="1" x14ac:dyDescent="0.25"/>
    <row r="74882" s="12" customFormat="1" x14ac:dyDescent="0.25"/>
    <row r="74883" s="12" customFormat="1" x14ac:dyDescent="0.25"/>
    <row r="74884" s="12" customFormat="1" x14ac:dyDescent="0.25"/>
    <row r="74885" s="12" customFormat="1" x14ac:dyDescent="0.25"/>
    <row r="74886" s="12" customFormat="1" x14ac:dyDescent="0.25"/>
    <row r="74887" s="12" customFormat="1" x14ac:dyDescent="0.25"/>
    <row r="74888" s="12" customFormat="1" x14ac:dyDescent="0.25"/>
    <row r="74889" s="12" customFormat="1" x14ac:dyDescent="0.25"/>
    <row r="74890" s="12" customFormat="1" x14ac:dyDescent="0.25"/>
    <row r="74891" s="12" customFormat="1" x14ac:dyDescent="0.25"/>
    <row r="74892" s="12" customFormat="1" x14ac:dyDescent="0.25"/>
    <row r="74893" s="12" customFormat="1" x14ac:dyDescent="0.25"/>
    <row r="74894" s="12" customFormat="1" x14ac:dyDescent="0.25"/>
    <row r="74895" s="12" customFormat="1" x14ac:dyDescent="0.25"/>
    <row r="74896" s="12" customFormat="1" x14ac:dyDescent="0.25"/>
    <row r="74897" s="12" customFormat="1" x14ac:dyDescent="0.25"/>
    <row r="74898" s="12" customFormat="1" x14ac:dyDescent="0.25"/>
    <row r="74899" s="12" customFormat="1" x14ac:dyDescent="0.25"/>
    <row r="74900" s="12" customFormat="1" x14ac:dyDescent="0.25"/>
    <row r="74901" s="12" customFormat="1" x14ac:dyDescent="0.25"/>
    <row r="74902" s="12" customFormat="1" x14ac:dyDescent="0.25"/>
    <row r="74903" s="12" customFormat="1" x14ac:dyDescent="0.25"/>
    <row r="74904" s="12" customFormat="1" x14ac:dyDescent="0.25"/>
    <row r="74905" s="12" customFormat="1" x14ac:dyDescent="0.25"/>
    <row r="74906" s="12" customFormat="1" x14ac:dyDescent="0.25"/>
    <row r="74907" s="12" customFormat="1" x14ac:dyDescent="0.25"/>
    <row r="74908" s="12" customFormat="1" x14ac:dyDescent="0.25"/>
    <row r="74909" s="12" customFormat="1" x14ac:dyDescent="0.25"/>
    <row r="74910" s="12" customFormat="1" x14ac:dyDescent="0.25"/>
    <row r="74911" s="12" customFormat="1" x14ac:dyDescent="0.25"/>
    <row r="74912" s="12" customFormat="1" x14ac:dyDescent="0.25"/>
    <row r="74913" s="12" customFormat="1" x14ac:dyDescent="0.25"/>
    <row r="74914" s="12" customFormat="1" x14ac:dyDescent="0.25"/>
    <row r="74915" s="12" customFormat="1" x14ac:dyDescent="0.25"/>
    <row r="74916" s="12" customFormat="1" x14ac:dyDescent="0.25"/>
    <row r="74917" s="12" customFormat="1" x14ac:dyDescent="0.25"/>
    <row r="74918" s="12" customFormat="1" x14ac:dyDescent="0.25"/>
    <row r="74919" s="12" customFormat="1" x14ac:dyDescent="0.25"/>
    <row r="74920" s="12" customFormat="1" x14ac:dyDescent="0.25"/>
    <row r="74921" s="12" customFormat="1" x14ac:dyDescent="0.25"/>
    <row r="74922" s="12" customFormat="1" x14ac:dyDescent="0.25"/>
    <row r="74923" s="12" customFormat="1" x14ac:dyDescent="0.25"/>
    <row r="74924" s="12" customFormat="1" x14ac:dyDescent="0.25"/>
    <row r="74925" s="12" customFormat="1" x14ac:dyDescent="0.25"/>
    <row r="74926" s="12" customFormat="1" x14ac:dyDescent="0.25"/>
    <row r="74927" s="12" customFormat="1" x14ac:dyDescent="0.25"/>
    <row r="74928" s="12" customFormat="1" x14ac:dyDescent="0.25"/>
    <row r="74929" s="12" customFormat="1" x14ac:dyDescent="0.25"/>
    <row r="74930" s="12" customFormat="1" x14ac:dyDescent="0.25"/>
    <row r="74931" s="12" customFormat="1" x14ac:dyDescent="0.25"/>
    <row r="74932" s="12" customFormat="1" x14ac:dyDescent="0.25"/>
    <row r="74933" s="12" customFormat="1" x14ac:dyDescent="0.25"/>
    <row r="74934" s="12" customFormat="1" x14ac:dyDescent="0.25"/>
    <row r="74935" s="12" customFormat="1" x14ac:dyDescent="0.25"/>
    <row r="74936" s="12" customFormat="1" x14ac:dyDescent="0.25"/>
    <row r="74937" s="12" customFormat="1" x14ac:dyDescent="0.25"/>
    <row r="74938" s="12" customFormat="1" x14ac:dyDescent="0.25"/>
    <row r="74939" s="12" customFormat="1" x14ac:dyDescent="0.25"/>
    <row r="74940" s="12" customFormat="1" x14ac:dyDescent="0.25"/>
    <row r="74941" s="12" customFormat="1" x14ac:dyDescent="0.25"/>
    <row r="74942" s="12" customFormat="1" x14ac:dyDescent="0.25"/>
    <row r="74943" s="12" customFormat="1" x14ac:dyDescent="0.25"/>
    <row r="74944" s="12" customFormat="1" x14ac:dyDescent="0.25"/>
    <row r="74945" s="12" customFormat="1" x14ac:dyDescent="0.25"/>
    <row r="74946" s="12" customFormat="1" x14ac:dyDescent="0.25"/>
    <row r="74947" s="12" customFormat="1" x14ac:dyDescent="0.25"/>
    <row r="74948" s="12" customFormat="1" x14ac:dyDescent="0.25"/>
    <row r="74949" s="12" customFormat="1" x14ac:dyDescent="0.25"/>
    <row r="74950" s="12" customFormat="1" x14ac:dyDescent="0.25"/>
    <row r="74951" s="12" customFormat="1" x14ac:dyDescent="0.25"/>
    <row r="74952" s="12" customFormat="1" x14ac:dyDescent="0.25"/>
    <row r="74953" s="12" customFormat="1" x14ac:dyDescent="0.25"/>
    <row r="74954" s="12" customFormat="1" x14ac:dyDescent="0.25"/>
    <row r="74955" s="12" customFormat="1" x14ac:dyDescent="0.25"/>
    <row r="74956" s="12" customFormat="1" x14ac:dyDescent="0.25"/>
    <row r="74957" s="12" customFormat="1" x14ac:dyDescent="0.25"/>
    <row r="74958" s="12" customFormat="1" x14ac:dyDescent="0.25"/>
    <row r="74959" s="12" customFormat="1" x14ac:dyDescent="0.25"/>
    <row r="74960" s="12" customFormat="1" x14ac:dyDescent="0.25"/>
    <row r="74961" s="12" customFormat="1" x14ac:dyDescent="0.25"/>
    <row r="74962" s="12" customFormat="1" x14ac:dyDescent="0.25"/>
    <row r="74963" s="12" customFormat="1" x14ac:dyDescent="0.25"/>
    <row r="74964" s="12" customFormat="1" x14ac:dyDescent="0.25"/>
    <row r="74965" s="12" customFormat="1" x14ac:dyDescent="0.25"/>
    <row r="74966" s="12" customFormat="1" x14ac:dyDescent="0.25"/>
    <row r="74967" s="12" customFormat="1" x14ac:dyDescent="0.25"/>
    <row r="74968" s="12" customFormat="1" x14ac:dyDescent="0.25"/>
    <row r="74969" s="12" customFormat="1" x14ac:dyDescent="0.25"/>
    <row r="74970" s="12" customFormat="1" x14ac:dyDescent="0.25"/>
    <row r="74971" s="12" customFormat="1" x14ac:dyDescent="0.25"/>
    <row r="74972" s="12" customFormat="1" x14ac:dyDescent="0.25"/>
    <row r="74973" s="12" customFormat="1" x14ac:dyDescent="0.25"/>
    <row r="74974" s="12" customFormat="1" x14ac:dyDescent="0.25"/>
    <row r="74975" s="12" customFormat="1" x14ac:dyDescent="0.25"/>
    <row r="74976" s="12" customFormat="1" x14ac:dyDescent="0.25"/>
    <row r="74977" s="12" customFormat="1" x14ac:dyDescent="0.25"/>
    <row r="74978" s="12" customFormat="1" x14ac:dyDescent="0.25"/>
    <row r="74979" s="12" customFormat="1" x14ac:dyDescent="0.25"/>
    <row r="74980" s="12" customFormat="1" x14ac:dyDescent="0.25"/>
    <row r="74981" s="12" customFormat="1" x14ac:dyDescent="0.25"/>
    <row r="74982" s="12" customFormat="1" x14ac:dyDescent="0.25"/>
    <row r="74983" s="12" customFormat="1" x14ac:dyDescent="0.25"/>
    <row r="74984" s="12" customFormat="1" x14ac:dyDescent="0.25"/>
    <row r="74985" s="12" customFormat="1" x14ac:dyDescent="0.25"/>
    <row r="74986" s="12" customFormat="1" x14ac:dyDescent="0.25"/>
    <row r="74987" s="12" customFormat="1" x14ac:dyDescent="0.25"/>
    <row r="74988" s="12" customFormat="1" x14ac:dyDescent="0.25"/>
    <row r="74989" s="12" customFormat="1" x14ac:dyDescent="0.25"/>
    <row r="74990" s="12" customFormat="1" x14ac:dyDescent="0.25"/>
    <row r="74991" s="12" customFormat="1" x14ac:dyDescent="0.25"/>
    <row r="74992" s="12" customFormat="1" x14ac:dyDescent="0.25"/>
    <row r="74993" s="12" customFormat="1" x14ac:dyDescent="0.25"/>
    <row r="74994" s="12" customFormat="1" x14ac:dyDescent="0.25"/>
    <row r="74995" s="12" customFormat="1" x14ac:dyDescent="0.25"/>
    <row r="74996" s="12" customFormat="1" x14ac:dyDescent="0.25"/>
    <row r="74997" s="12" customFormat="1" x14ac:dyDescent="0.25"/>
    <row r="74998" s="12" customFormat="1" x14ac:dyDescent="0.25"/>
    <row r="74999" s="12" customFormat="1" x14ac:dyDescent="0.25"/>
    <row r="75000" s="12" customFormat="1" x14ac:dyDescent="0.25"/>
    <row r="75001" s="12" customFormat="1" x14ac:dyDescent="0.25"/>
    <row r="75002" s="12" customFormat="1" x14ac:dyDescent="0.25"/>
    <row r="75003" s="12" customFormat="1" x14ac:dyDescent="0.25"/>
    <row r="75004" s="12" customFormat="1" x14ac:dyDescent="0.25"/>
    <row r="75005" s="12" customFormat="1" x14ac:dyDescent="0.25"/>
    <row r="75006" s="12" customFormat="1" x14ac:dyDescent="0.25"/>
    <row r="75007" s="12" customFormat="1" x14ac:dyDescent="0.25"/>
    <row r="75008" s="12" customFormat="1" x14ac:dyDescent="0.25"/>
    <row r="75009" s="12" customFormat="1" x14ac:dyDescent="0.25"/>
    <row r="75010" s="12" customFormat="1" x14ac:dyDescent="0.25"/>
    <row r="75011" s="12" customFormat="1" x14ac:dyDescent="0.25"/>
    <row r="75012" s="12" customFormat="1" x14ac:dyDescent="0.25"/>
    <row r="75013" s="12" customFormat="1" x14ac:dyDescent="0.25"/>
    <row r="75014" s="12" customFormat="1" x14ac:dyDescent="0.25"/>
    <row r="75015" s="12" customFormat="1" x14ac:dyDescent="0.25"/>
    <row r="75016" s="12" customFormat="1" x14ac:dyDescent="0.25"/>
    <row r="75017" s="12" customFormat="1" x14ac:dyDescent="0.25"/>
    <row r="75018" s="12" customFormat="1" x14ac:dyDescent="0.25"/>
    <row r="75019" s="12" customFormat="1" x14ac:dyDescent="0.25"/>
    <row r="75020" s="12" customFormat="1" x14ac:dyDescent="0.25"/>
    <row r="75021" s="12" customFormat="1" x14ac:dyDescent="0.25"/>
    <row r="75022" s="12" customFormat="1" x14ac:dyDescent="0.25"/>
    <row r="75023" s="12" customFormat="1" x14ac:dyDescent="0.25"/>
    <row r="75024" s="12" customFormat="1" x14ac:dyDescent="0.25"/>
    <row r="75025" s="12" customFormat="1" x14ac:dyDescent="0.25"/>
    <row r="75026" s="12" customFormat="1" x14ac:dyDescent="0.25"/>
    <row r="75027" s="12" customFormat="1" x14ac:dyDescent="0.25"/>
    <row r="75028" s="12" customFormat="1" x14ac:dyDescent="0.25"/>
    <row r="75029" s="12" customFormat="1" x14ac:dyDescent="0.25"/>
    <row r="75030" s="12" customFormat="1" x14ac:dyDescent="0.25"/>
    <row r="75031" s="12" customFormat="1" x14ac:dyDescent="0.25"/>
    <row r="75032" s="12" customFormat="1" x14ac:dyDescent="0.25"/>
    <row r="75033" s="12" customFormat="1" x14ac:dyDescent="0.25"/>
    <row r="75034" s="12" customFormat="1" x14ac:dyDescent="0.25"/>
    <row r="75035" s="12" customFormat="1" x14ac:dyDescent="0.25"/>
    <row r="75036" s="12" customFormat="1" x14ac:dyDescent="0.25"/>
    <row r="75037" s="12" customFormat="1" x14ac:dyDescent="0.25"/>
    <row r="75038" s="12" customFormat="1" x14ac:dyDescent="0.25"/>
    <row r="75039" s="12" customFormat="1" x14ac:dyDescent="0.25"/>
    <row r="75040" s="12" customFormat="1" x14ac:dyDescent="0.25"/>
    <row r="75041" s="12" customFormat="1" x14ac:dyDescent="0.25"/>
    <row r="75042" s="12" customFormat="1" x14ac:dyDescent="0.25"/>
    <row r="75043" s="12" customFormat="1" x14ac:dyDescent="0.25"/>
    <row r="75044" s="12" customFormat="1" x14ac:dyDescent="0.25"/>
    <row r="75045" s="12" customFormat="1" x14ac:dyDescent="0.25"/>
    <row r="75046" s="12" customFormat="1" x14ac:dyDescent="0.25"/>
    <row r="75047" s="12" customFormat="1" x14ac:dyDescent="0.25"/>
    <row r="75048" s="12" customFormat="1" x14ac:dyDescent="0.25"/>
    <row r="75049" s="12" customFormat="1" x14ac:dyDescent="0.25"/>
    <row r="75050" s="12" customFormat="1" x14ac:dyDescent="0.25"/>
    <row r="75051" s="12" customFormat="1" x14ac:dyDescent="0.25"/>
    <row r="75052" s="12" customFormat="1" x14ac:dyDescent="0.25"/>
    <row r="75053" s="12" customFormat="1" x14ac:dyDescent="0.25"/>
    <row r="75054" s="12" customFormat="1" x14ac:dyDescent="0.25"/>
    <row r="75055" s="12" customFormat="1" x14ac:dyDescent="0.25"/>
    <row r="75056" s="12" customFormat="1" x14ac:dyDescent="0.25"/>
    <row r="75057" s="12" customFormat="1" x14ac:dyDescent="0.25"/>
    <row r="75058" s="12" customFormat="1" x14ac:dyDescent="0.25"/>
    <row r="75059" s="12" customFormat="1" x14ac:dyDescent="0.25"/>
    <row r="75060" s="12" customFormat="1" x14ac:dyDescent="0.25"/>
    <row r="75061" s="12" customFormat="1" x14ac:dyDescent="0.25"/>
    <row r="75062" s="12" customFormat="1" x14ac:dyDescent="0.25"/>
    <row r="75063" s="12" customFormat="1" x14ac:dyDescent="0.25"/>
    <row r="75064" s="12" customFormat="1" x14ac:dyDescent="0.25"/>
    <row r="75065" s="12" customFormat="1" x14ac:dyDescent="0.25"/>
    <row r="75066" s="12" customFormat="1" x14ac:dyDescent="0.25"/>
    <row r="75067" s="12" customFormat="1" x14ac:dyDescent="0.25"/>
    <row r="75068" s="12" customFormat="1" x14ac:dyDescent="0.25"/>
    <row r="75069" s="12" customFormat="1" x14ac:dyDescent="0.25"/>
    <row r="75070" s="12" customFormat="1" x14ac:dyDescent="0.25"/>
    <row r="75071" s="12" customFormat="1" x14ac:dyDescent="0.25"/>
    <row r="75072" s="12" customFormat="1" x14ac:dyDescent="0.25"/>
    <row r="75073" s="12" customFormat="1" x14ac:dyDescent="0.25"/>
    <row r="75074" s="12" customFormat="1" x14ac:dyDescent="0.25"/>
    <row r="75075" s="12" customFormat="1" x14ac:dyDescent="0.25"/>
    <row r="75076" s="12" customFormat="1" x14ac:dyDescent="0.25"/>
    <row r="75077" s="12" customFormat="1" x14ac:dyDescent="0.25"/>
    <row r="75078" s="12" customFormat="1" x14ac:dyDescent="0.25"/>
    <row r="75079" s="12" customFormat="1" x14ac:dyDescent="0.25"/>
    <row r="75080" s="12" customFormat="1" x14ac:dyDescent="0.25"/>
    <row r="75081" s="12" customFormat="1" x14ac:dyDescent="0.25"/>
    <row r="75082" s="12" customFormat="1" x14ac:dyDescent="0.25"/>
    <row r="75083" s="12" customFormat="1" x14ac:dyDescent="0.25"/>
    <row r="75084" s="12" customFormat="1" x14ac:dyDescent="0.25"/>
    <row r="75085" s="12" customFormat="1" x14ac:dyDescent="0.25"/>
    <row r="75086" s="12" customFormat="1" x14ac:dyDescent="0.25"/>
    <row r="75087" s="12" customFormat="1" x14ac:dyDescent="0.25"/>
    <row r="75088" s="12" customFormat="1" x14ac:dyDescent="0.25"/>
    <row r="75089" s="12" customFormat="1" x14ac:dyDescent="0.25"/>
    <row r="75090" s="12" customFormat="1" x14ac:dyDescent="0.25"/>
    <row r="75091" s="12" customFormat="1" x14ac:dyDescent="0.25"/>
    <row r="75092" s="12" customFormat="1" x14ac:dyDescent="0.25"/>
    <row r="75093" s="12" customFormat="1" x14ac:dyDescent="0.25"/>
    <row r="75094" s="12" customFormat="1" x14ac:dyDescent="0.25"/>
    <row r="75095" s="12" customFormat="1" x14ac:dyDescent="0.25"/>
    <row r="75096" s="12" customFormat="1" x14ac:dyDescent="0.25"/>
    <row r="75097" s="12" customFormat="1" x14ac:dyDescent="0.25"/>
    <row r="75098" s="12" customFormat="1" x14ac:dyDescent="0.25"/>
    <row r="75099" s="12" customFormat="1" x14ac:dyDescent="0.25"/>
    <row r="75100" s="12" customFormat="1" x14ac:dyDescent="0.25"/>
    <row r="75101" s="12" customFormat="1" x14ac:dyDescent="0.25"/>
    <row r="75102" s="12" customFormat="1" x14ac:dyDescent="0.25"/>
    <row r="75103" s="12" customFormat="1" x14ac:dyDescent="0.25"/>
    <row r="75104" s="12" customFormat="1" x14ac:dyDescent="0.25"/>
    <row r="75105" s="12" customFormat="1" x14ac:dyDescent="0.25"/>
    <row r="75106" s="12" customFormat="1" x14ac:dyDescent="0.25"/>
    <row r="75107" s="12" customFormat="1" x14ac:dyDescent="0.25"/>
    <row r="75108" s="12" customFormat="1" x14ac:dyDescent="0.25"/>
    <row r="75109" s="12" customFormat="1" x14ac:dyDescent="0.25"/>
    <row r="75110" s="12" customFormat="1" x14ac:dyDescent="0.25"/>
    <row r="75111" s="12" customFormat="1" x14ac:dyDescent="0.25"/>
    <row r="75112" s="12" customFormat="1" x14ac:dyDescent="0.25"/>
    <row r="75113" s="12" customFormat="1" x14ac:dyDescent="0.25"/>
    <row r="75114" s="12" customFormat="1" x14ac:dyDescent="0.25"/>
    <row r="75115" s="12" customFormat="1" x14ac:dyDescent="0.25"/>
    <row r="75116" s="12" customFormat="1" x14ac:dyDescent="0.25"/>
    <row r="75117" s="12" customFormat="1" x14ac:dyDescent="0.25"/>
    <row r="75118" s="12" customFormat="1" x14ac:dyDescent="0.25"/>
    <row r="75119" s="12" customFormat="1" x14ac:dyDescent="0.25"/>
    <row r="75120" s="12" customFormat="1" x14ac:dyDescent="0.25"/>
    <row r="75121" s="12" customFormat="1" x14ac:dyDescent="0.25"/>
    <row r="75122" s="12" customFormat="1" x14ac:dyDescent="0.25"/>
    <row r="75123" s="12" customFormat="1" x14ac:dyDescent="0.25"/>
    <row r="75124" s="12" customFormat="1" x14ac:dyDescent="0.25"/>
    <row r="75125" s="12" customFormat="1" x14ac:dyDescent="0.25"/>
    <row r="75126" s="12" customFormat="1" x14ac:dyDescent="0.25"/>
    <row r="75127" s="12" customFormat="1" x14ac:dyDescent="0.25"/>
    <row r="75128" s="12" customFormat="1" x14ac:dyDescent="0.25"/>
    <row r="75129" s="12" customFormat="1" x14ac:dyDescent="0.25"/>
    <row r="75130" s="12" customFormat="1" x14ac:dyDescent="0.25"/>
    <row r="75131" s="12" customFormat="1" x14ac:dyDescent="0.25"/>
    <row r="75132" s="12" customFormat="1" x14ac:dyDescent="0.25"/>
    <row r="75133" s="12" customFormat="1" x14ac:dyDescent="0.25"/>
    <row r="75134" s="12" customFormat="1" x14ac:dyDescent="0.25"/>
    <row r="75135" s="12" customFormat="1" x14ac:dyDescent="0.25"/>
    <row r="75136" s="12" customFormat="1" x14ac:dyDescent="0.25"/>
    <row r="75137" s="12" customFormat="1" x14ac:dyDescent="0.25"/>
    <row r="75138" s="12" customFormat="1" x14ac:dyDescent="0.25"/>
    <row r="75139" s="12" customFormat="1" x14ac:dyDescent="0.25"/>
    <row r="75140" s="12" customFormat="1" x14ac:dyDescent="0.25"/>
    <row r="75141" s="12" customFormat="1" x14ac:dyDescent="0.25"/>
    <row r="75142" s="12" customFormat="1" x14ac:dyDescent="0.25"/>
    <row r="75143" s="12" customFormat="1" x14ac:dyDescent="0.25"/>
    <row r="75144" s="12" customFormat="1" x14ac:dyDescent="0.25"/>
    <row r="75145" s="12" customFormat="1" x14ac:dyDescent="0.25"/>
    <row r="75146" s="12" customFormat="1" x14ac:dyDescent="0.25"/>
    <row r="75147" s="12" customFormat="1" x14ac:dyDescent="0.25"/>
    <row r="75148" s="12" customFormat="1" x14ac:dyDescent="0.25"/>
    <row r="75149" s="12" customFormat="1" x14ac:dyDescent="0.25"/>
    <row r="75150" s="12" customFormat="1" x14ac:dyDescent="0.25"/>
    <row r="75151" s="12" customFormat="1" x14ac:dyDescent="0.25"/>
    <row r="75152" s="12" customFormat="1" x14ac:dyDescent="0.25"/>
    <row r="75153" s="12" customFormat="1" x14ac:dyDescent="0.25"/>
    <row r="75154" s="12" customFormat="1" x14ac:dyDescent="0.25"/>
    <row r="75155" s="12" customFormat="1" x14ac:dyDescent="0.25"/>
    <row r="75156" s="12" customFormat="1" x14ac:dyDescent="0.25"/>
    <row r="75157" s="12" customFormat="1" x14ac:dyDescent="0.25"/>
    <row r="75158" s="12" customFormat="1" x14ac:dyDescent="0.25"/>
    <row r="75159" s="12" customFormat="1" x14ac:dyDescent="0.25"/>
    <row r="75160" s="12" customFormat="1" x14ac:dyDescent="0.25"/>
    <row r="75161" s="12" customFormat="1" x14ac:dyDescent="0.25"/>
    <row r="75162" s="12" customFormat="1" x14ac:dyDescent="0.25"/>
    <row r="75163" s="12" customFormat="1" x14ac:dyDescent="0.25"/>
    <row r="75164" s="12" customFormat="1" x14ac:dyDescent="0.25"/>
    <row r="75165" s="12" customFormat="1" x14ac:dyDescent="0.25"/>
    <row r="75166" s="12" customFormat="1" x14ac:dyDescent="0.25"/>
    <row r="75167" s="12" customFormat="1" x14ac:dyDescent="0.25"/>
    <row r="75168" s="12" customFormat="1" x14ac:dyDescent="0.25"/>
    <row r="75169" s="12" customFormat="1" x14ac:dyDescent="0.25"/>
    <row r="75170" s="12" customFormat="1" x14ac:dyDescent="0.25"/>
    <row r="75171" s="12" customFormat="1" x14ac:dyDescent="0.25"/>
    <row r="75172" s="12" customFormat="1" x14ac:dyDescent="0.25"/>
    <row r="75173" s="12" customFormat="1" x14ac:dyDescent="0.25"/>
    <row r="75174" s="12" customFormat="1" x14ac:dyDescent="0.25"/>
    <row r="75175" s="12" customFormat="1" x14ac:dyDescent="0.25"/>
    <row r="75176" s="12" customFormat="1" x14ac:dyDescent="0.25"/>
    <row r="75177" s="12" customFormat="1" x14ac:dyDescent="0.25"/>
    <row r="75178" s="12" customFormat="1" x14ac:dyDescent="0.25"/>
    <row r="75179" s="12" customFormat="1" x14ac:dyDescent="0.25"/>
    <row r="75180" s="12" customFormat="1" x14ac:dyDescent="0.25"/>
    <row r="75181" s="12" customFormat="1" x14ac:dyDescent="0.25"/>
    <row r="75182" s="12" customFormat="1" x14ac:dyDescent="0.25"/>
    <row r="75183" s="12" customFormat="1" x14ac:dyDescent="0.25"/>
    <row r="75184" s="12" customFormat="1" x14ac:dyDescent="0.25"/>
    <row r="75185" s="12" customFormat="1" x14ac:dyDescent="0.25"/>
    <row r="75186" s="12" customFormat="1" x14ac:dyDescent="0.25"/>
    <row r="75187" s="12" customFormat="1" x14ac:dyDescent="0.25"/>
    <row r="75188" s="12" customFormat="1" x14ac:dyDescent="0.25"/>
    <row r="75189" s="12" customFormat="1" x14ac:dyDescent="0.25"/>
    <row r="75190" s="12" customFormat="1" x14ac:dyDescent="0.25"/>
    <row r="75191" s="12" customFormat="1" x14ac:dyDescent="0.25"/>
    <row r="75192" s="12" customFormat="1" x14ac:dyDescent="0.25"/>
    <row r="75193" s="12" customFormat="1" x14ac:dyDescent="0.25"/>
    <row r="75194" s="12" customFormat="1" x14ac:dyDescent="0.25"/>
    <row r="75195" s="12" customFormat="1" x14ac:dyDescent="0.25"/>
    <row r="75196" s="12" customFormat="1" x14ac:dyDescent="0.25"/>
    <row r="75197" s="12" customFormat="1" x14ac:dyDescent="0.25"/>
    <row r="75198" s="12" customFormat="1" x14ac:dyDescent="0.25"/>
    <row r="75199" s="12" customFormat="1" x14ac:dyDescent="0.25"/>
    <row r="75200" s="12" customFormat="1" x14ac:dyDescent="0.25"/>
    <row r="75201" s="12" customFormat="1" x14ac:dyDescent="0.25"/>
    <row r="75202" s="12" customFormat="1" x14ac:dyDescent="0.25"/>
    <row r="75203" s="12" customFormat="1" x14ac:dyDescent="0.25"/>
    <row r="75204" s="12" customFormat="1" x14ac:dyDescent="0.25"/>
    <row r="75205" s="12" customFormat="1" x14ac:dyDescent="0.25"/>
    <row r="75206" s="12" customFormat="1" x14ac:dyDescent="0.25"/>
    <row r="75207" s="12" customFormat="1" x14ac:dyDescent="0.25"/>
    <row r="75208" s="12" customFormat="1" x14ac:dyDescent="0.25"/>
    <row r="75209" s="12" customFormat="1" x14ac:dyDescent="0.25"/>
    <row r="75210" s="12" customFormat="1" x14ac:dyDescent="0.25"/>
    <row r="75211" s="12" customFormat="1" x14ac:dyDescent="0.25"/>
    <row r="75212" s="12" customFormat="1" x14ac:dyDescent="0.25"/>
    <row r="75213" s="12" customFormat="1" x14ac:dyDescent="0.25"/>
    <row r="75214" s="12" customFormat="1" x14ac:dyDescent="0.25"/>
    <row r="75215" s="12" customFormat="1" x14ac:dyDescent="0.25"/>
    <row r="75216" s="12" customFormat="1" x14ac:dyDescent="0.25"/>
    <row r="75217" s="12" customFormat="1" x14ac:dyDescent="0.25"/>
    <row r="75218" s="12" customFormat="1" x14ac:dyDescent="0.25"/>
    <row r="75219" s="12" customFormat="1" x14ac:dyDescent="0.25"/>
    <row r="75220" s="12" customFormat="1" x14ac:dyDescent="0.25"/>
    <row r="75221" s="12" customFormat="1" x14ac:dyDescent="0.25"/>
    <row r="75222" s="12" customFormat="1" x14ac:dyDescent="0.25"/>
    <row r="75223" s="12" customFormat="1" x14ac:dyDescent="0.25"/>
    <row r="75224" s="12" customFormat="1" x14ac:dyDescent="0.25"/>
    <row r="75225" s="12" customFormat="1" x14ac:dyDescent="0.25"/>
    <row r="75226" s="12" customFormat="1" x14ac:dyDescent="0.25"/>
    <row r="75227" s="12" customFormat="1" x14ac:dyDescent="0.25"/>
    <row r="75228" s="12" customFormat="1" x14ac:dyDescent="0.25"/>
    <row r="75229" s="12" customFormat="1" x14ac:dyDescent="0.25"/>
    <row r="75230" s="12" customFormat="1" x14ac:dyDescent="0.25"/>
    <row r="75231" s="12" customFormat="1" x14ac:dyDescent="0.25"/>
    <row r="75232" s="12" customFormat="1" x14ac:dyDescent="0.25"/>
    <row r="75233" s="12" customFormat="1" x14ac:dyDescent="0.25"/>
    <row r="75234" s="12" customFormat="1" x14ac:dyDescent="0.25"/>
    <row r="75235" s="12" customFormat="1" x14ac:dyDescent="0.25"/>
    <row r="75236" s="12" customFormat="1" x14ac:dyDescent="0.25"/>
    <row r="75237" s="12" customFormat="1" x14ac:dyDescent="0.25"/>
    <row r="75238" s="12" customFormat="1" x14ac:dyDescent="0.25"/>
    <row r="75239" s="12" customFormat="1" x14ac:dyDescent="0.25"/>
    <row r="75240" s="12" customFormat="1" x14ac:dyDescent="0.25"/>
    <row r="75241" s="12" customFormat="1" x14ac:dyDescent="0.25"/>
    <row r="75242" s="12" customFormat="1" x14ac:dyDescent="0.25"/>
    <row r="75243" s="12" customFormat="1" x14ac:dyDescent="0.25"/>
    <row r="75244" s="12" customFormat="1" x14ac:dyDescent="0.25"/>
    <row r="75245" s="12" customFormat="1" x14ac:dyDescent="0.25"/>
    <row r="75246" s="12" customFormat="1" x14ac:dyDescent="0.25"/>
    <row r="75247" s="12" customFormat="1" x14ac:dyDescent="0.25"/>
    <row r="75248" s="12" customFormat="1" x14ac:dyDescent="0.25"/>
    <row r="75249" s="12" customFormat="1" x14ac:dyDescent="0.25"/>
    <row r="75250" s="12" customFormat="1" x14ac:dyDescent="0.25"/>
    <row r="75251" s="12" customFormat="1" x14ac:dyDescent="0.25"/>
    <row r="75252" s="12" customFormat="1" x14ac:dyDescent="0.25"/>
    <row r="75253" s="12" customFormat="1" x14ac:dyDescent="0.25"/>
    <row r="75254" s="12" customFormat="1" x14ac:dyDescent="0.25"/>
    <row r="75255" s="12" customFormat="1" x14ac:dyDescent="0.25"/>
    <row r="75256" s="12" customFormat="1" x14ac:dyDescent="0.25"/>
    <row r="75257" s="12" customFormat="1" x14ac:dyDescent="0.25"/>
    <row r="75258" s="12" customFormat="1" x14ac:dyDescent="0.25"/>
    <row r="75259" s="12" customFormat="1" x14ac:dyDescent="0.25"/>
    <row r="75260" s="12" customFormat="1" x14ac:dyDescent="0.25"/>
    <row r="75261" s="12" customFormat="1" x14ac:dyDescent="0.25"/>
    <row r="75262" s="12" customFormat="1" x14ac:dyDescent="0.25"/>
    <row r="75263" s="12" customFormat="1" x14ac:dyDescent="0.25"/>
    <row r="75264" s="12" customFormat="1" x14ac:dyDescent="0.25"/>
    <row r="75265" s="12" customFormat="1" x14ac:dyDescent="0.25"/>
    <row r="75266" s="12" customFormat="1" x14ac:dyDescent="0.25"/>
    <row r="75267" s="12" customFormat="1" x14ac:dyDescent="0.25"/>
    <row r="75268" s="12" customFormat="1" x14ac:dyDescent="0.25"/>
    <row r="75269" s="12" customFormat="1" x14ac:dyDescent="0.25"/>
    <row r="75270" s="12" customFormat="1" x14ac:dyDescent="0.25"/>
    <row r="75271" s="12" customFormat="1" x14ac:dyDescent="0.25"/>
    <row r="75272" s="12" customFormat="1" x14ac:dyDescent="0.25"/>
    <row r="75273" s="12" customFormat="1" x14ac:dyDescent="0.25"/>
    <row r="75274" s="12" customFormat="1" x14ac:dyDescent="0.25"/>
    <row r="75275" s="12" customFormat="1" x14ac:dyDescent="0.25"/>
    <row r="75276" s="12" customFormat="1" x14ac:dyDescent="0.25"/>
    <row r="75277" s="12" customFormat="1" x14ac:dyDescent="0.25"/>
    <row r="75278" s="12" customFormat="1" x14ac:dyDescent="0.25"/>
    <row r="75279" s="12" customFormat="1" x14ac:dyDescent="0.25"/>
    <row r="75280" s="12" customFormat="1" x14ac:dyDescent="0.25"/>
    <row r="75281" s="12" customFormat="1" x14ac:dyDescent="0.25"/>
    <row r="75282" s="12" customFormat="1" x14ac:dyDescent="0.25"/>
    <row r="75283" s="12" customFormat="1" x14ac:dyDescent="0.25"/>
    <row r="75284" s="12" customFormat="1" x14ac:dyDescent="0.25"/>
    <row r="75285" s="12" customFormat="1" x14ac:dyDescent="0.25"/>
    <row r="75286" s="12" customFormat="1" x14ac:dyDescent="0.25"/>
    <row r="75287" s="12" customFormat="1" x14ac:dyDescent="0.25"/>
    <row r="75288" s="12" customFormat="1" x14ac:dyDescent="0.25"/>
    <row r="75289" s="12" customFormat="1" x14ac:dyDescent="0.25"/>
    <row r="75290" s="12" customFormat="1" x14ac:dyDescent="0.25"/>
    <row r="75291" s="12" customFormat="1" x14ac:dyDescent="0.25"/>
    <row r="75292" s="12" customFormat="1" x14ac:dyDescent="0.25"/>
    <row r="75293" s="12" customFormat="1" x14ac:dyDescent="0.25"/>
    <row r="75294" s="12" customFormat="1" x14ac:dyDescent="0.25"/>
    <row r="75295" s="12" customFormat="1" x14ac:dyDescent="0.25"/>
    <row r="75296" s="12" customFormat="1" x14ac:dyDescent="0.25"/>
    <row r="75297" s="12" customFormat="1" x14ac:dyDescent="0.25"/>
    <row r="75298" s="12" customFormat="1" x14ac:dyDescent="0.25"/>
    <row r="75299" s="12" customFormat="1" x14ac:dyDescent="0.25"/>
    <row r="75300" s="12" customFormat="1" x14ac:dyDescent="0.25"/>
    <row r="75301" s="12" customFormat="1" x14ac:dyDescent="0.25"/>
    <row r="75302" s="12" customFormat="1" x14ac:dyDescent="0.25"/>
    <row r="75303" s="12" customFormat="1" x14ac:dyDescent="0.25"/>
    <row r="75304" s="12" customFormat="1" x14ac:dyDescent="0.25"/>
    <row r="75305" s="12" customFormat="1" x14ac:dyDescent="0.25"/>
    <row r="75306" s="12" customFormat="1" x14ac:dyDescent="0.25"/>
    <row r="75307" s="12" customFormat="1" x14ac:dyDescent="0.25"/>
    <row r="75308" s="12" customFormat="1" x14ac:dyDescent="0.25"/>
    <row r="75309" s="12" customFormat="1" x14ac:dyDescent="0.25"/>
    <row r="75310" s="12" customFormat="1" x14ac:dyDescent="0.25"/>
    <row r="75311" s="12" customFormat="1" x14ac:dyDescent="0.25"/>
    <row r="75312" s="12" customFormat="1" x14ac:dyDescent="0.25"/>
    <row r="75313" s="12" customFormat="1" x14ac:dyDescent="0.25"/>
    <row r="75314" s="12" customFormat="1" x14ac:dyDescent="0.25"/>
    <row r="75315" s="12" customFormat="1" x14ac:dyDescent="0.25"/>
    <row r="75316" s="12" customFormat="1" x14ac:dyDescent="0.25"/>
    <row r="75317" s="12" customFormat="1" x14ac:dyDescent="0.25"/>
    <row r="75318" s="12" customFormat="1" x14ac:dyDescent="0.25"/>
    <row r="75319" s="12" customFormat="1" x14ac:dyDescent="0.25"/>
    <row r="75320" s="12" customFormat="1" x14ac:dyDescent="0.25"/>
    <row r="75321" s="12" customFormat="1" x14ac:dyDescent="0.25"/>
    <row r="75322" s="12" customFormat="1" x14ac:dyDescent="0.25"/>
    <row r="75323" s="12" customFormat="1" x14ac:dyDescent="0.25"/>
    <row r="75324" s="12" customFormat="1" x14ac:dyDescent="0.25"/>
    <row r="75325" s="12" customFormat="1" x14ac:dyDescent="0.25"/>
    <row r="75326" s="12" customFormat="1" x14ac:dyDescent="0.25"/>
    <row r="75327" s="12" customFormat="1" x14ac:dyDescent="0.25"/>
    <row r="75328" s="12" customFormat="1" x14ac:dyDescent="0.25"/>
    <row r="75329" s="12" customFormat="1" x14ac:dyDescent="0.25"/>
    <row r="75330" s="12" customFormat="1" x14ac:dyDescent="0.25"/>
    <row r="75331" s="12" customFormat="1" x14ac:dyDescent="0.25"/>
    <row r="75332" s="12" customFormat="1" x14ac:dyDescent="0.25"/>
    <row r="75333" s="12" customFormat="1" x14ac:dyDescent="0.25"/>
    <row r="75334" s="12" customFormat="1" x14ac:dyDescent="0.25"/>
    <row r="75335" s="12" customFormat="1" x14ac:dyDescent="0.25"/>
    <row r="75336" s="12" customFormat="1" x14ac:dyDescent="0.25"/>
    <row r="75337" s="12" customFormat="1" x14ac:dyDescent="0.25"/>
    <row r="75338" s="12" customFormat="1" x14ac:dyDescent="0.25"/>
    <row r="75339" s="12" customFormat="1" x14ac:dyDescent="0.25"/>
    <row r="75340" s="12" customFormat="1" x14ac:dyDescent="0.25"/>
    <row r="75341" s="12" customFormat="1" x14ac:dyDescent="0.25"/>
    <row r="75342" s="12" customFormat="1" x14ac:dyDescent="0.25"/>
    <row r="75343" s="12" customFormat="1" x14ac:dyDescent="0.25"/>
    <row r="75344" s="12" customFormat="1" x14ac:dyDescent="0.25"/>
    <row r="75345" s="12" customFormat="1" x14ac:dyDescent="0.25"/>
    <row r="75346" s="12" customFormat="1" x14ac:dyDescent="0.25"/>
    <row r="75347" s="12" customFormat="1" x14ac:dyDescent="0.25"/>
    <row r="75348" s="12" customFormat="1" x14ac:dyDescent="0.25"/>
    <row r="75349" s="12" customFormat="1" x14ac:dyDescent="0.25"/>
    <row r="75350" s="12" customFormat="1" x14ac:dyDescent="0.25"/>
    <row r="75351" s="12" customFormat="1" x14ac:dyDescent="0.25"/>
    <row r="75352" s="12" customFormat="1" x14ac:dyDescent="0.25"/>
    <row r="75353" s="12" customFormat="1" x14ac:dyDescent="0.25"/>
    <row r="75354" s="12" customFormat="1" x14ac:dyDescent="0.25"/>
    <row r="75355" s="12" customFormat="1" x14ac:dyDescent="0.25"/>
    <row r="75356" s="12" customFormat="1" x14ac:dyDescent="0.25"/>
    <row r="75357" s="12" customFormat="1" x14ac:dyDescent="0.25"/>
    <row r="75358" s="12" customFormat="1" x14ac:dyDescent="0.25"/>
    <row r="75359" s="12" customFormat="1" x14ac:dyDescent="0.25"/>
    <row r="75360" s="12" customFormat="1" x14ac:dyDescent="0.25"/>
    <row r="75361" s="12" customFormat="1" x14ac:dyDescent="0.25"/>
    <row r="75362" s="12" customFormat="1" x14ac:dyDescent="0.25"/>
    <row r="75363" s="12" customFormat="1" x14ac:dyDescent="0.25"/>
    <row r="75364" s="12" customFormat="1" x14ac:dyDescent="0.25"/>
    <row r="75365" s="12" customFormat="1" x14ac:dyDescent="0.25"/>
    <row r="75366" s="12" customFormat="1" x14ac:dyDescent="0.25"/>
    <row r="75367" s="12" customFormat="1" x14ac:dyDescent="0.25"/>
    <row r="75368" s="12" customFormat="1" x14ac:dyDescent="0.25"/>
    <row r="75369" s="12" customFormat="1" x14ac:dyDescent="0.25"/>
    <row r="75370" s="12" customFormat="1" x14ac:dyDescent="0.25"/>
    <row r="75371" s="12" customFormat="1" x14ac:dyDescent="0.25"/>
    <row r="75372" s="12" customFormat="1" x14ac:dyDescent="0.25"/>
    <row r="75373" s="12" customFormat="1" x14ac:dyDescent="0.25"/>
    <row r="75374" s="12" customFormat="1" x14ac:dyDescent="0.25"/>
    <row r="75375" s="12" customFormat="1" x14ac:dyDescent="0.25"/>
    <row r="75376" s="12" customFormat="1" x14ac:dyDescent="0.25"/>
    <row r="75377" s="12" customFormat="1" x14ac:dyDescent="0.25"/>
    <row r="75378" s="12" customFormat="1" x14ac:dyDescent="0.25"/>
    <row r="75379" s="12" customFormat="1" x14ac:dyDescent="0.25"/>
    <row r="75380" s="12" customFormat="1" x14ac:dyDescent="0.25"/>
    <row r="75381" s="12" customFormat="1" x14ac:dyDescent="0.25"/>
    <row r="75382" s="12" customFormat="1" x14ac:dyDescent="0.25"/>
    <row r="75383" s="12" customFormat="1" x14ac:dyDescent="0.25"/>
    <row r="75384" s="12" customFormat="1" x14ac:dyDescent="0.25"/>
    <row r="75385" s="12" customFormat="1" x14ac:dyDescent="0.25"/>
    <row r="75386" s="12" customFormat="1" x14ac:dyDescent="0.25"/>
    <row r="75387" s="12" customFormat="1" x14ac:dyDescent="0.25"/>
    <row r="75388" s="12" customFormat="1" x14ac:dyDescent="0.25"/>
    <row r="75389" s="12" customFormat="1" x14ac:dyDescent="0.25"/>
    <row r="75390" s="12" customFormat="1" x14ac:dyDescent="0.25"/>
    <row r="75391" s="12" customFormat="1" x14ac:dyDescent="0.25"/>
    <row r="75392" s="12" customFormat="1" x14ac:dyDescent="0.25"/>
    <row r="75393" s="12" customFormat="1" x14ac:dyDescent="0.25"/>
    <row r="75394" s="12" customFormat="1" x14ac:dyDescent="0.25"/>
    <row r="75395" s="12" customFormat="1" x14ac:dyDescent="0.25"/>
    <row r="75396" s="12" customFormat="1" x14ac:dyDescent="0.25"/>
    <row r="75397" s="12" customFormat="1" x14ac:dyDescent="0.25"/>
    <row r="75398" s="12" customFormat="1" x14ac:dyDescent="0.25"/>
    <row r="75399" s="12" customFormat="1" x14ac:dyDescent="0.25"/>
    <row r="75400" s="12" customFormat="1" x14ac:dyDescent="0.25"/>
    <row r="75401" s="12" customFormat="1" x14ac:dyDescent="0.25"/>
    <row r="75402" s="12" customFormat="1" x14ac:dyDescent="0.25"/>
    <row r="75403" s="12" customFormat="1" x14ac:dyDescent="0.25"/>
    <row r="75404" s="12" customFormat="1" x14ac:dyDescent="0.25"/>
    <row r="75405" s="12" customFormat="1" x14ac:dyDescent="0.25"/>
    <row r="75406" s="12" customFormat="1" x14ac:dyDescent="0.25"/>
    <row r="75407" s="12" customFormat="1" x14ac:dyDescent="0.25"/>
    <row r="75408" s="12" customFormat="1" x14ac:dyDescent="0.25"/>
    <row r="75409" s="12" customFormat="1" x14ac:dyDescent="0.25"/>
    <row r="75410" s="12" customFormat="1" x14ac:dyDescent="0.25"/>
    <row r="75411" s="12" customFormat="1" x14ac:dyDescent="0.25"/>
    <row r="75412" s="12" customFormat="1" x14ac:dyDescent="0.25"/>
    <row r="75413" s="12" customFormat="1" x14ac:dyDescent="0.25"/>
    <row r="75414" s="12" customFormat="1" x14ac:dyDescent="0.25"/>
    <row r="75415" s="12" customFormat="1" x14ac:dyDescent="0.25"/>
    <row r="75416" s="12" customFormat="1" x14ac:dyDescent="0.25"/>
    <row r="75417" s="12" customFormat="1" x14ac:dyDescent="0.25"/>
    <row r="75418" s="12" customFormat="1" x14ac:dyDescent="0.25"/>
    <row r="75419" s="12" customFormat="1" x14ac:dyDescent="0.25"/>
    <row r="75420" s="12" customFormat="1" x14ac:dyDescent="0.25"/>
    <row r="75421" s="12" customFormat="1" x14ac:dyDescent="0.25"/>
    <row r="75422" s="12" customFormat="1" x14ac:dyDescent="0.25"/>
    <row r="75423" s="12" customFormat="1" x14ac:dyDescent="0.25"/>
    <row r="75424" s="12" customFormat="1" x14ac:dyDescent="0.25"/>
    <row r="75425" s="12" customFormat="1" x14ac:dyDescent="0.25"/>
    <row r="75426" s="12" customFormat="1" x14ac:dyDescent="0.25"/>
    <row r="75427" s="12" customFormat="1" x14ac:dyDescent="0.25"/>
    <row r="75428" s="12" customFormat="1" x14ac:dyDescent="0.25"/>
    <row r="75429" s="12" customFormat="1" x14ac:dyDescent="0.25"/>
    <row r="75430" s="12" customFormat="1" x14ac:dyDescent="0.25"/>
    <row r="75431" s="12" customFormat="1" x14ac:dyDescent="0.25"/>
    <row r="75432" s="12" customFormat="1" x14ac:dyDescent="0.25"/>
    <row r="75433" s="12" customFormat="1" x14ac:dyDescent="0.25"/>
    <row r="75434" s="12" customFormat="1" x14ac:dyDescent="0.25"/>
    <row r="75435" s="12" customFormat="1" x14ac:dyDescent="0.25"/>
    <row r="75436" s="12" customFormat="1" x14ac:dyDescent="0.25"/>
    <row r="75437" s="12" customFormat="1" x14ac:dyDescent="0.25"/>
    <row r="75438" s="12" customFormat="1" x14ac:dyDescent="0.25"/>
    <row r="75439" s="12" customFormat="1" x14ac:dyDescent="0.25"/>
    <row r="75440" s="12" customFormat="1" x14ac:dyDescent="0.25"/>
    <row r="75441" s="12" customFormat="1" x14ac:dyDescent="0.25"/>
    <row r="75442" s="12" customFormat="1" x14ac:dyDescent="0.25"/>
    <row r="75443" s="12" customFormat="1" x14ac:dyDescent="0.25"/>
    <row r="75444" s="12" customFormat="1" x14ac:dyDescent="0.25"/>
    <row r="75445" s="12" customFormat="1" x14ac:dyDescent="0.25"/>
    <row r="75446" s="12" customFormat="1" x14ac:dyDescent="0.25"/>
    <row r="75447" s="12" customFormat="1" x14ac:dyDescent="0.25"/>
    <row r="75448" s="12" customFormat="1" x14ac:dyDescent="0.25"/>
    <row r="75449" s="12" customFormat="1" x14ac:dyDescent="0.25"/>
    <row r="75450" s="12" customFormat="1" x14ac:dyDescent="0.25"/>
    <row r="75451" s="12" customFormat="1" x14ac:dyDescent="0.25"/>
    <row r="75452" s="12" customFormat="1" x14ac:dyDescent="0.25"/>
    <row r="75453" s="12" customFormat="1" x14ac:dyDescent="0.25"/>
    <row r="75454" s="12" customFormat="1" x14ac:dyDescent="0.25"/>
    <row r="75455" s="12" customFormat="1" x14ac:dyDescent="0.25"/>
    <row r="75456" s="12" customFormat="1" x14ac:dyDescent="0.25"/>
    <row r="75457" s="12" customFormat="1" x14ac:dyDescent="0.25"/>
    <row r="75458" s="12" customFormat="1" x14ac:dyDescent="0.25"/>
    <row r="75459" s="12" customFormat="1" x14ac:dyDescent="0.25"/>
    <row r="75460" s="12" customFormat="1" x14ac:dyDescent="0.25"/>
    <row r="75461" s="12" customFormat="1" x14ac:dyDescent="0.25"/>
    <row r="75462" s="12" customFormat="1" x14ac:dyDescent="0.25"/>
    <row r="75463" s="12" customFormat="1" x14ac:dyDescent="0.25"/>
    <row r="75464" s="12" customFormat="1" x14ac:dyDescent="0.25"/>
    <row r="75465" s="12" customFormat="1" x14ac:dyDescent="0.25"/>
    <row r="75466" s="12" customFormat="1" x14ac:dyDescent="0.25"/>
    <row r="75467" s="12" customFormat="1" x14ac:dyDescent="0.25"/>
    <row r="75468" s="12" customFormat="1" x14ac:dyDescent="0.25"/>
    <row r="75469" s="12" customFormat="1" x14ac:dyDescent="0.25"/>
    <row r="75470" s="12" customFormat="1" x14ac:dyDescent="0.25"/>
    <row r="75471" s="12" customFormat="1" x14ac:dyDescent="0.25"/>
    <row r="75472" s="12" customFormat="1" x14ac:dyDescent="0.25"/>
    <row r="75473" s="12" customFormat="1" x14ac:dyDescent="0.25"/>
    <row r="75474" s="12" customFormat="1" x14ac:dyDescent="0.25"/>
    <row r="75475" s="12" customFormat="1" x14ac:dyDescent="0.25"/>
    <row r="75476" s="12" customFormat="1" x14ac:dyDescent="0.25"/>
    <row r="75477" s="12" customFormat="1" x14ac:dyDescent="0.25"/>
    <row r="75478" s="12" customFormat="1" x14ac:dyDescent="0.25"/>
    <row r="75479" s="12" customFormat="1" x14ac:dyDescent="0.25"/>
    <row r="75480" s="12" customFormat="1" x14ac:dyDescent="0.25"/>
    <row r="75481" s="12" customFormat="1" x14ac:dyDescent="0.25"/>
    <row r="75482" s="12" customFormat="1" x14ac:dyDescent="0.25"/>
    <row r="75483" s="12" customFormat="1" x14ac:dyDescent="0.25"/>
    <row r="75484" s="12" customFormat="1" x14ac:dyDescent="0.25"/>
    <row r="75485" s="12" customFormat="1" x14ac:dyDescent="0.25"/>
    <row r="75486" s="12" customFormat="1" x14ac:dyDescent="0.25"/>
    <row r="75487" s="12" customFormat="1" x14ac:dyDescent="0.25"/>
    <row r="75488" s="12" customFormat="1" x14ac:dyDescent="0.25"/>
    <row r="75489" s="12" customFormat="1" x14ac:dyDescent="0.25"/>
    <row r="75490" s="12" customFormat="1" x14ac:dyDescent="0.25"/>
    <row r="75491" s="12" customFormat="1" x14ac:dyDescent="0.25"/>
    <row r="75492" s="12" customFormat="1" x14ac:dyDescent="0.25"/>
    <row r="75493" s="12" customFormat="1" x14ac:dyDescent="0.25"/>
    <row r="75494" s="12" customFormat="1" x14ac:dyDescent="0.25"/>
    <row r="75495" s="12" customFormat="1" x14ac:dyDescent="0.25"/>
    <row r="75496" s="12" customFormat="1" x14ac:dyDescent="0.25"/>
    <row r="75497" s="12" customFormat="1" x14ac:dyDescent="0.25"/>
    <row r="75498" s="12" customFormat="1" x14ac:dyDescent="0.25"/>
    <row r="75499" s="12" customFormat="1" x14ac:dyDescent="0.25"/>
    <row r="75500" s="12" customFormat="1" x14ac:dyDescent="0.25"/>
    <row r="75501" s="12" customFormat="1" x14ac:dyDescent="0.25"/>
    <row r="75502" s="12" customFormat="1" x14ac:dyDescent="0.25"/>
    <row r="75503" s="12" customFormat="1" x14ac:dyDescent="0.25"/>
    <row r="75504" s="12" customFormat="1" x14ac:dyDescent="0.25"/>
    <row r="75505" s="12" customFormat="1" x14ac:dyDescent="0.25"/>
    <row r="75506" s="12" customFormat="1" x14ac:dyDescent="0.25"/>
    <row r="75507" s="12" customFormat="1" x14ac:dyDescent="0.25"/>
    <row r="75508" s="12" customFormat="1" x14ac:dyDescent="0.25"/>
    <row r="75509" s="12" customFormat="1" x14ac:dyDescent="0.25"/>
    <row r="75510" s="12" customFormat="1" x14ac:dyDescent="0.25"/>
    <row r="75511" s="12" customFormat="1" x14ac:dyDescent="0.25"/>
    <row r="75512" s="12" customFormat="1" x14ac:dyDescent="0.25"/>
    <row r="75513" s="12" customFormat="1" x14ac:dyDescent="0.25"/>
    <row r="75514" s="12" customFormat="1" x14ac:dyDescent="0.25"/>
    <row r="75515" s="12" customFormat="1" x14ac:dyDescent="0.25"/>
    <row r="75516" s="12" customFormat="1" x14ac:dyDescent="0.25"/>
    <row r="75517" s="12" customFormat="1" x14ac:dyDescent="0.25"/>
    <row r="75518" s="12" customFormat="1" x14ac:dyDescent="0.25"/>
    <row r="75519" s="12" customFormat="1" x14ac:dyDescent="0.25"/>
    <row r="75520" s="12" customFormat="1" x14ac:dyDescent="0.25"/>
    <row r="75521" s="12" customFormat="1" x14ac:dyDescent="0.25"/>
    <row r="75522" s="12" customFormat="1" x14ac:dyDescent="0.25"/>
    <row r="75523" s="12" customFormat="1" x14ac:dyDescent="0.25"/>
    <row r="75524" s="12" customFormat="1" x14ac:dyDescent="0.25"/>
    <row r="75525" s="12" customFormat="1" x14ac:dyDescent="0.25"/>
    <row r="75526" s="12" customFormat="1" x14ac:dyDescent="0.25"/>
    <row r="75527" s="12" customFormat="1" x14ac:dyDescent="0.25"/>
    <row r="75528" s="12" customFormat="1" x14ac:dyDescent="0.25"/>
    <row r="75529" s="12" customFormat="1" x14ac:dyDescent="0.25"/>
    <row r="75530" s="12" customFormat="1" x14ac:dyDescent="0.25"/>
    <row r="75531" s="12" customFormat="1" x14ac:dyDescent="0.25"/>
    <row r="75532" s="12" customFormat="1" x14ac:dyDescent="0.25"/>
    <row r="75533" s="12" customFormat="1" x14ac:dyDescent="0.25"/>
    <row r="75534" s="12" customFormat="1" x14ac:dyDescent="0.25"/>
    <row r="75535" s="12" customFormat="1" x14ac:dyDescent="0.25"/>
    <row r="75536" s="12" customFormat="1" x14ac:dyDescent="0.25"/>
    <row r="75537" s="12" customFormat="1" x14ac:dyDescent="0.25"/>
    <row r="75538" s="12" customFormat="1" x14ac:dyDescent="0.25"/>
    <row r="75539" s="12" customFormat="1" x14ac:dyDescent="0.25"/>
    <row r="75540" s="12" customFormat="1" x14ac:dyDescent="0.25"/>
    <row r="75541" s="12" customFormat="1" x14ac:dyDescent="0.25"/>
    <row r="75542" s="12" customFormat="1" x14ac:dyDescent="0.25"/>
    <row r="75543" s="12" customFormat="1" x14ac:dyDescent="0.25"/>
    <row r="75544" s="12" customFormat="1" x14ac:dyDescent="0.25"/>
    <row r="75545" s="12" customFormat="1" x14ac:dyDescent="0.25"/>
    <row r="75546" s="12" customFormat="1" x14ac:dyDescent="0.25"/>
    <row r="75547" s="12" customFormat="1" x14ac:dyDescent="0.25"/>
    <row r="75548" s="12" customFormat="1" x14ac:dyDescent="0.25"/>
    <row r="75549" s="12" customFormat="1" x14ac:dyDescent="0.25"/>
    <row r="75550" s="12" customFormat="1" x14ac:dyDescent="0.25"/>
    <row r="75551" s="12" customFormat="1" x14ac:dyDescent="0.25"/>
    <row r="75552" s="12" customFormat="1" x14ac:dyDescent="0.25"/>
    <row r="75553" s="12" customFormat="1" x14ac:dyDescent="0.25"/>
    <row r="75554" s="12" customFormat="1" x14ac:dyDescent="0.25"/>
    <row r="75555" s="12" customFormat="1" x14ac:dyDescent="0.25"/>
    <row r="75556" s="12" customFormat="1" x14ac:dyDescent="0.25"/>
    <row r="75557" s="12" customFormat="1" x14ac:dyDescent="0.25"/>
    <row r="75558" s="12" customFormat="1" x14ac:dyDescent="0.25"/>
    <row r="75559" s="12" customFormat="1" x14ac:dyDescent="0.25"/>
    <row r="75560" s="12" customFormat="1" x14ac:dyDescent="0.25"/>
    <row r="75561" s="12" customFormat="1" x14ac:dyDescent="0.25"/>
    <row r="75562" s="12" customFormat="1" x14ac:dyDescent="0.25"/>
    <row r="75563" s="12" customFormat="1" x14ac:dyDescent="0.25"/>
    <row r="75564" s="12" customFormat="1" x14ac:dyDescent="0.25"/>
    <row r="75565" s="12" customFormat="1" x14ac:dyDescent="0.25"/>
    <row r="75566" s="12" customFormat="1" x14ac:dyDescent="0.25"/>
    <row r="75567" s="12" customFormat="1" x14ac:dyDescent="0.25"/>
    <row r="75568" s="12" customFormat="1" x14ac:dyDescent="0.25"/>
    <row r="75569" s="12" customFormat="1" x14ac:dyDescent="0.25"/>
    <row r="75570" s="12" customFormat="1" x14ac:dyDescent="0.25"/>
    <row r="75571" s="12" customFormat="1" x14ac:dyDescent="0.25"/>
    <row r="75572" s="12" customFormat="1" x14ac:dyDescent="0.25"/>
    <row r="75573" s="12" customFormat="1" x14ac:dyDescent="0.25"/>
    <row r="75574" s="12" customFormat="1" x14ac:dyDescent="0.25"/>
    <row r="75575" s="12" customFormat="1" x14ac:dyDescent="0.25"/>
    <row r="75576" s="12" customFormat="1" x14ac:dyDescent="0.25"/>
    <row r="75577" s="12" customFormat="1" x14ac:dyDescent="0.25"/>
    <row r="75578" s="12" customFormat="1" x14ac:dyDescent="0.25"/>
    <row r="75579" s="12" customFormat="1" x14ac:dyDescent="0.25"/>
    <row r="75580" s="12" customFormat="1" x14ac:dyDescent="0.25"/>
    <row r="75581" s="12" customFormat="1" x14ac:dyDescent="0.25"/>
    <row r="75582" s="12" customFormat="1" x14ac:dyDescent="0.25"/>
    <row r="75583" s="12" customFormat="1" x14ac:dyDescent="0.25"/>
    <row r="75584" s="12" customFormat="1" x14ac:dyDescent="0.25"/>
    <row r="75585" s="12" customFormat="1" x14ac:dyDescent="0.25"/>
    <row r="75586" s="12" customFormat="1" x14ac:dyDescent="0.25"/>
    <row r="75587" s="12" customFormat="1" x14ac:dyDescent="0.25"/>
    <row r="75588" s="12" customFormat="1" x14ac:dyDescent="0.25"/>
    <row r="75589" s="12" customFormat="1" x14ac:dyDescent="0.25"/>
    <row r="75590" s="12" customFormat="1" x14ac:dyDescent="0.25"/>
    <row r="75591" s="12" customFormat="1" x14ac:dyDescent="0.25"/>
    <row r="75592" s="12" customFormat="1" x14ac:dyDescent="0.25"/>
    <row r="75593" s="12" customFormat="1" x14ac:dyDescent="0.25"/>
    <row r="75594" s="12" customFormat="1" x14ac:dyDescent="0.25"/>
    <row r="75595" s="12" customFormat="1" x14ac:dyDescent="0.25"/>
    <row r="75596" s="12" customFormat="1" x14ac:dyDescent="0.25"/>
    <row r="75597" s="12" customFormat="1" x14ac:dyDescent="0.25"/>
    <row r="75598" s="12" customFormat="1" x14ac:dyDescent="0.25"/>
    <row r="75599" s="12" customFormat="1" x14ac:dyDescent="0.25"/>
    <row r="75600" s="12" customFormat="1" x14ac:dyDescent="0.25"/>
    <row r="75601" s="12" customFormat="1" x14ac:dyDescent="0.25"/>
    <row r="75602" s="12" customFormat="1" x14ac:dyDescent="0.25"/>
    <row r="75603" s="12" customFormat="1" x14ac:dyDescent="0.25"/>
    <row r="75604" s="12" customFormat="1" x14ac:dyDescent="0.25"/>
    <row r="75605" s="12" customFormat="1" x14ac:dyDescent="0.25"/>
    <row r="75606" s="12" customFormat="1" x14ac:dyDescent="0.25"/>
    <row r="75607" s="12" customFormat="1" x14ac:dyDescent="0.25"/>
    <row r="75608" s="12" customFormat="1" x14ac:dyDescent="0.25"/>
    <row r="75609" s="12" customFormat="1" x14ac:dyDescent="0.25"/>
    <row r="75610" s="12" customFormat="1" x14ac:dyDescent="0.25"/>
    <row r="75611" s="12" customFormat="1" x14ac:dyDescent="0.25"/>
    <row r="75612" s="12" customFormat="1" x14ac:dyDescent="0.25"/>
    <row r="75613" s="12" customFormat="1" x14ac:dyDescent="0.25"/>
    <row r="75614" s="12" customFormat="1" x14ac:dyDescent="0.25"/>
    <row r="75615" s="12" customFormat="1" x14ac:dyDescent="0.25"/>
    <row r="75616" s="12" customFormat="1" x14ac:dyDescent="0.25"/>
    <row r="75617" s="12" customFormat="1" x14ac:dyDescent="0.25"/>
    <row r="75618" s="12" customFormat="1" x14ac:dyDescent="0.25"/>
    <row r="75619" s="12" customFormat="1" x14ac:dyDescent="0.25"/>
    <row r="75620" s="12" customFormat="1" x14ac:dyDescent="0.25"/>
    <row r="75621" s="12" customFormat="1" x14ac:dyDescent="0.25"/>
    <row r="75622" s="12" customFormat="1" x14ac:dyDescent="0.25"/>
    <row r="75623" s="12" customFormat="1" x14ac:dyDescent="0.25"/>
    <row r="75624" s="12" customFormat="1" x14ac:dyDescent="0.25"/>
    <row r="75625" s="12" customFormat="1" x14ac:dyDescent="0.25"/>
    <row r="75626" s="12" customFormat="1" x14ac:dyDescent="0.25"/>
    <row r="75627" s="12" customFormat="1" x14ac:dyDescent="0.25"/>
    <row r="75628" s="12" customFormat="1" x14ac:dyDescent="0.25"/>
    <row r="75629" s="12" customFormat="1" x14ac:dyDescent="0.25"/>
    <row r="75630" s="12" customFormat="1" x14ac:dyDescent="0.25"/>
    <row r="75631" s="12" customFormat="1" x14ac:dyDescent="0.25"/>
    <row r="75632" s="12" customFormat="1" x14ac:dyDescent="0.25"/>
    <row r="75633" s="12" customFormat="1" x14ac:dyDescent="0.25"/>
    <row r="75634" s="12" customFormat="1" x14ac:dyDescent="0.25"/>
    <row r="75635" s="12" customFormat="1" x14ac:dyDescent="0.25"/>
    <row r="75636" s="12" customFormat="1" x14ac:dyDescent="0.25"/>
    <row r="75637" s="12" customFormat="1" x14ac:dyDescent="0.25"/>
    <row r="75638" s="12" customFormat="1" x14ac:dyDescent="0.25"/>
    <row r="75639" s="12" customFormat="1" x14ac:dyDescent="0.25"/>
    <row r="75640" s="12" customFormat="1" x14ac:dyDescent="0.25"/>
    <row r="75641" s="12" customFormat="1" x14ac:dyDescent="0.25"/>
    <row r="75642" s="12" customFormat="1" x14ac:dyDescent="0.25"/>
    <row r="75643" s="12" customFormat="1" x14ac:dyDescent="0.25"/>
    <row r="75644" s="12" customFormat="1" x14ac:dyDescent="0.25"/>
    <row r="75645" s="12" customFormat="1" x14ac:dyDescent="0.25"/>
    <row r="75646" s="12" customFormat="1" x14ac:dyDescent="0.25"/>
    <row r="75647" s="12" customFormat="1" x14ac:dyDescent="0.25"/>
    <row r="75648" s="12" customFormat="1" x14ac:dyDescent="0.25"/>
    <row r="75649" s="12" customFormat="1" x14ac:dyDescent="0.25"/>
    <row r="75650" s="12" customFormat="1" x14ac:dyDescent="0.25"/>
    <row r="75651" s="12" customFormat="1" x14ac:dyDescent="0.25"/>
    <row r="75652" s="12" customFormat="1" x14ac:dyDescent="0.25"/>
    <row r="75653" s="12" customFormat="1" x14ac:dyDescent="0.25"/>
    <row r="75654" s="12" customFormat="1" x14ac:dyDescent="0.25"/>
    <row r="75655" s="12" customFormat="1" x14ac:dyDescent="0.25"/>
    <row r="75656" s="12" customFormat="1" x14ac:dyDescent="0.25"/>
    <row r="75657" s="12" customFormat="1" x14ac:dyDescent="0.25"/>
    <row r="75658" s="12" customFormat="1" x14ac:dyDescent="0.25"/>
    <row r="75659" s="12" customFormat="1" x14ac:dyDescent="0.25"/>
    <row r="75660" s="12" customFormat="1" x14ac:dyDescent="0.25"/>
    <row r="75661" s="12" customFormat="1" x14ac:dyDescent="0.25"/>
    <row r="75662" s="12" customFormat="1" x14ac:dyDescent="0.25"/>
    <row r="75663" s="12" customFormat="1" x14ac:dyDescent="0.25"/>
    <row r="75664" s="12" customFormat="1" x14ac:dyDescent="0.25"/>
    <row r="75665" s="12" customFormat="1" x14ac:dyDescent="0.25"/>
    <row r="75666" s="12" customFormat="1" x14ac:dyDescent="0.25"/>
    <row r="75667" s="12" customFormat="1" x14ac:dyDescent="0.25"/>
    <row r="75668" s="12" customFormat="1" x14ac:dyDescent="0.25"/>
    <row r="75669" s="12" customFormat="1" x14ac:dyDescent="0.25"/>
    <row r="75670" s="12" customFormat="1" x14ac:dyDescent="0.25"/>
    <row r="75671" s="12" customFormat="1" x14ac:dyDescent="0.25"/>
    <row r="75672" s="12" customFormat="1" x14ac:dyDescent="0.25"/>
    <row r="75673" s="12" customFormat="1" x14ac:dyDescent="0.25"/>
    <row r="75674" s="12" customFormat="1" x14ac:dyDescent="0.25"/>
    <row r="75675" s="12" customFormat="1" x14ac:dyDescent="0.25"/>
    <row r="75676" s="12" customFormat="1" x14ac:dyDescent="0.25"/>
    <row r="75677" s="12" customFormat="1" x14ac:dyDescent="0.25"/>
    <row r="75678" s="12" customFormat="1" x14ac:dyDescent="0.25"/>
    <row r="75679" s="12" customFormat="1" x14ac:dyDescent="0.25"/>
    <row r="75680" s="12" customFormat="1" x14ac:dyDescent="0.25"/>
    <row r="75681" s="12" customFormat="1" x14ac:dyDescent="0.25"/>
    <row r="75682" s="12" customFormat="1" x14ac:dyDescent="0.25"/>
    <row r="75683" s="12" customFormat="1" x14ac:dyDescent="0.25"/>
    <row r="75684" s="12" customFormat="1" x14ac:dyDescent="0.25"/>
    <row r="75685" s="12" customFormat="1" x14ac:dyDescent="0.25"/>
    <row r="75686" s="12" customFormat="1" x14ac:dyDescent="0.25"/>
    <row r="75687" s="12" customFormat="1" x14ac:dyDescent="0.25"/>
    <row r="75688" s="12" customFormat="1" x14ac:dyDescent="0.25"/>
    <row r="75689" s="12" customFormat="1" x14ac:dyDescent="0.25"/>
    <row r="75690" s="12" customFormat="1" x14ac:dyDescent="0.25"/>
    <row r="75691" s="12" customFormat="1" x14ac:dyDescent="0.25"/>
    <row r="75692" s="12" customFormat="1" x14ac:dyDescent="0.25"/>
    <row r="75693" s="12" customFormat="1" x14ac:dyDescent="0.25"/>
    <row r="75694" s="12" customFormat="1" x14ac:dyDescent="0.25"/>
    <row r="75695" s="12" customFormat="1" x14ac:dyDescent="0.25"/>
    <row r="75696" s="12" customFormat="1" x14ac:dyDescent="0.25"/>
    <row r="75697" s="12" customFormat="1" x14ac:dyDescent="0.25"/>
    <row r="75698" s="12" customFormat="1" x14ac:dyDescent="0.25"/>
    <row r="75699" s="12" customFormat="1" x14ac:dyDescent="0.25"/>
    <row r="75700" s="12" customFormat="1" x14ac:dyDescent="0.25"/>
    <row r="75701" s="12" customFormat="1" x14ac:dyDescent="0.25"/>
    <row r="75702" s="12" customFormat="1" x14ac:dyDescent="0.25"/>
    <row r="75703" s="12" customFormat="1" x14ac:dyDescent="0.25"/>
    <row r="75704" s="12" customFormat="1" x14ac:dyDescent="0.25"/>
    <row r="75705" s="12" customFormat="1" x14ac:dyDescent="0.25"/>
    <row r="75706" s="12" customFormat="1" x14ac:dyDescent="0.25"/>
    <row r="75707" s="12" customFormat="1" x14ac:dyDescent="0.25"/>
    <row r="75708" s="12" customFormat="1" x14ac:dyDescent="0.25"/>
    <row r="75709" s="12" customFormat="1" x14ac:dyDescent="0.25"/>
    <row r="75710" s="12" customFormat="1" x14ac:dyDescent="0.25"/>
    <row r="75711" s="12" customFormat="1" x14ac:dyDescent="0.25"/>
    <row r="75712" s="12" customFormat="1" x14ac:dyDescent="0.25"/>
    <row r="75713" s="12" customFormat="1" x14ac:dyDescent="0.25"/>
    <row r="75714" s="12" customFormat="1" x14ac:dyDescent="0.25"/>
    <row r="75715" s="12" customFormat="1" x14ac:dyDescent="0.25"/>
    <row r="75716" s="12" customFormat="1" x14ac:dyDescent="0.25"/>
    <row r="75717" s="12" customFormat="1" x14ac:dyDescent="0.25"/>
    <row r="75718" s="12" customFormat="1" x14ac:dyDescent="0.25"/>
    <row r="75719" s="12" customFormat="1" x14ac:dyDescent="0.25"/>
    <row r="75720" s="12" customFormat="1" x14ac:dyDescent="0.25"/>
    <row r="75721" s="12" customFormat="1" x14ac:dyDescent="0.25"/>
    <row r="75722" s="12" customFormat="1" x14ac:dyDescent="0.25"/>
    <row r="75723" s="12" customFormat="1" x14ac:dyDescent="0.25"/>
    <row r="75724" s="12" customFormat="1" x14ac:dyDescent="0.25"/>
    <row r="75725" s="12" customFormat="1" x14ac:dyDescent="0.25"/>
    <row r="75726" s="12" customFormat="1" x14ac:dyDescent="0.25"/>
    <row r="75727" s="12" customFormat="1" x14ac:dyDescent="0.25"/>
    <row r="75728" s="12" customFormat="1" x14ac:dyDescent="0.25"/>
    <row r="75729" s="12" customFormat="1" x14ac:dyDescent="0.25"/>
    <row r="75730" s="12" customFormat="1" x14ac:dyDescent="0.25"/>
    <row r="75731" s="12" customFormat="1" x14ac:dyDescent="0.25"/>
    <row r="75732" s="12" customFormat="1" x14ac:dyDescent="0.25"/>
    <row r="75733" s="12" customFormat="1" x14ac:dyDescent="0.25"/>
    <row r="75734" s="12" customFormat="1" x14ac:dyDescent="0.25"/>
    <row r="75735" s="12" customFormat="1" x14ac:dyDescent="0.25"/>
    <row r="75736" s="12" customFormat="1" x14ac:dyDescent="0.25"/>
    <row r="75737" s="12" customFormat="1" x14ac:dyDescent="0.25"/>
    <row r="75738" s="12" customFormat="1" x14ac:dyDescent="0.25"/>
    <row r="75739" s="12" customFormat="1" x14ac:dyDescent="0.25"/>
    <row r="75740" s="12" customFormat="1" x14ac:dyDescent="0.25"/>
    <row r="75741" s="12" customFormat="1" x14ac:dyDescent="0.25"/>
    <row r="75742" s="12" customFormat="1" x14ac:dyDescent="0.25"/>
    <row r="75743" s="12" customFormat="1" x14ac:dyDescent="0.25"/>
    <row r="75744" s="12" customFormat="1" x14ac:dyDescent="0.25"/>
    <row r="75745" s="12" customFormat="1" x14ac:dyDescent="0.25"/>
    <row r="75746" s="12" customFormat="1" x14ac:dyDescent="0.25"/>
    <row r="75747" s="12" customFormat="1" x14ac:dyDescent="0.25"/>
    <row r="75748" s="12" customFormat="1" x14ac:dyDescent="0.25"/>
    <row r="75749" s="12" customFormat="1" x14ac:dyDescent="0.25"/>
    <row r="75750" s="12" customFormat="1" x14ac:dyDescent="0.25"/>
    <row r="75751" s="12" customFormat="1" x14ac:dyDescent="0.25"/>
    <row r="75752" s="12" customFormat="1" x14ac:dyDescent="0.25"/>
    <row r="75753" s="12" customFormat="1" x14ac:dyDescent="0.25"/>
    <row r="75754" s="12" customFormat="1" x14ac:dyDescent="0.25"/>
    <row r="75755" s="12" customFormat="1" x14ac:dyDescent="0.25"/>
    <row r="75756" s="12" customFormat="1" x14ac:dyDescent="0.25"/>
    <row r="75757" s="12" customFormat="1" x14ac:dyDescent="0.25"/>
    <row r="75758" s="12" customFormat="1" x14ac:dyDescent="0.25"/>
    <row r="75759" s="12" customFormat="1" x14ac:dyDescent="0.25"/>
    <row r="75760" s="12" customFormat="1" x14ac:dyDescent="0.25"/>
    <row r="75761" s="12" customFormat="1" x14ac:dyDescent="0.25"/>
    <row r="75762" s="12" customFormat="1" x14ac:dyDescent="0.25"/>
    <row r="75763" s="12" customFormat="1" x14ac:dyDescent="0.25"/>
    <row r="75764" s="12" customFormat="1" x14ac:dyDescent="0.25"/>
    <row r="75765" s="12" customFormat="1" x14ac:dyDescent="0.25"/>
    <row r="75766" s="12" customFormat="1" x14ac:dyDescent="0.25"/>
    <row r="75767" s="12" customFormat="1" x14ac:dyDescent="0.25"/>
    <row r="75768" s="12" customFormat="1" x14ac:dyDescent="0.25"/>
    <row r="75769" s="12" customFormat="1" x14ac:dyDescent="0.25"/>
    <row r="75770" s="12" customFormat="1" x14ac:dyDescent="0.25"/>
    <row r="75771" s="12" customFormat="1" x14ac:dyDescent="0.25"/>
    <row r="75772" s="12" customFormat="1" x14ac:dyDescent="0.25"/>
    <row r="75773" s="12" customFormat="1" x14ac:dyDescent="0.25"/>
    <row r="75774" s="12" customFormat="1" x14ac:dyDescent="0.25"/>
    <row r="75775" s="12" customFormat="1" x14ac:dyDescent="0.25"/>
    <row r="75776" s="12" customFormat="1" x14ac:dyDescent="0.25"/>
    <row r="75777" s="12" customFormat="1" x14ac:dyDescent="0.25"/>
    <row r="75778" s="12" customFormat="1" x14ac:dyDescent="0.25"/>
    <row r="75779" s="12" customFormat="1" x14ac:dyDescent="0.25"/>
    <row r="75780" s="12" customFormat="1" x14ac:dyDescent="0.25"/>
    <row r="75781" s="12" customFormat="1" x14ac:dyDescent="0.25"/>
    <row r="75782" s="12" customFormat="1" x14ac:dyDescent="0.25"/>
    <row r="75783" s="12" customFormat="1" x14ac:dyDescent="0.25"/>
    <row r="75784" s="12" customFormat="1" x14ac:dyDescent="0.25"/>
    <row r="75785" s="12" customFormat="1" x14ac:dyDescent="0.25"/>
    <row r="75786" s="12" customFormat="1" x14ac:dyDescent="0.25"/>
    <row r="75787" s="12" customFormat="1" x14ac:dyDescent="0.25"/>
    <row r="75788" s="12" customFormat="1" x14ac:dyDescent="0.25"/>
    <row r="75789" s="12" customFormat="1" x14ac:dyDescent="0.25"/>
    <row r="75790" s="12" customFormat="1" x14ac:dyDescent="0.25"/>
    <row r="75791" s="12" customFormat="1" x14ac:dyDescent="0.25"/>
    <row r="75792" s="12" customFormat="1" x14ac:dyDescent="0.25"/>
    <row r="75793" s="12" customFormat="1" x14ac:dyDescent="0.25"/>
    <row r="75794" s="12" customFormat="1" x14ac:dyDescent="0.25"/>
    <row r="75795" s="12" customFormat="1" x14ac:dyDescent="0.25"/>
    <row r="75796" s="12" customFormat="1" x14ac:dyDescent="0.25"/>
    <row r="75797" s="12" customFormat="1" x14ac:dyDescent="0.25"/>
    <row r="75798" s="12" customFormat="1" x14ac:dyDescent="0.25"/>
    <row r="75799" s="12" customFormat="1" x14ac:dyDescent="0.25"/>
    <row r="75800" s="12" customFormat="1" x14ac:dyDescent="0.25"/>
    <row r="75801" s="12" customFormat="1" x14ac:dyDescent="0.25"/>
    <row r="75802" s="12" customFormat="1" x14ac:dyDescent="0.25"/>
    <row r="75803" s="12" customFormat="1" x14ac:dyDescent="0.25"/>
    <row r="75804" s="12" customFormat="1" x14ac:dyDescent="0.25"/>
    <row r="75805" s="12" customFormat="1" x14ac:dyDescent="0.25"/>
    <row r="75806" s="12" customFormat="1" x14ac:dyDescent="0.25"/>
    <row r="75807" s="12" customFormat="1" x14ac:dyDescent="0.25"/>
    <row r="75808" s="12" customFormat="1" x14ac:dyDescent="0.25"/>
    <row r="75809" s="12" customFormat="1" x14ac:dyDescent="0.25"/>
    <row r="75810" s="12" customFormat="1" x14ac:dyDescent="0.25"/>
    <row r="75811" s="12" customFormat="1" x14ac:dyDescent="0.25"/>
    <row r="75812" s="12" customFormat="1" x14ac:dyDescent="0.25"/>
    <row r="75813" s="12" customFormat="1" x14ac:dyDescent="0.25"/>
    <row r="75814" s="12" customFormat="1" x14ac:dyDescent="0.25"/>
    <row r="75815" s="12" customFormat="1" x14ac:dyDescent="0.25"/>
    <row r="75816" s="12" customFormat="1" x14ac:dyDescent="0.25"/>
    <row r="75817" s="12" customFormat="1" x14ac:dyDescent="0.25"/>
    <row r="75818" s="12" customFormat="1" x14ac:dyDescent="0.25"/>
    <row r="75819" s="12" customFormat="1" x14ac:dyDescent="0.25"/>
    <row r="75820" s="12" customFormat="1" x14ac:dyDescent="0.25"/>
    <row r="75821" s="12" customFormat="1" x14ac:dyDescent="0.25"/>
    <row r="75822" s="12" customFormat="1" x14ac:dyDescent="0.25"/>
    <row r="75823" s="12" customFormat="1" x14ac:dyDescent="0.25"/>
    <row r="75824" s="12" customFormat="1" x14ac:dyDescent="0.25"/>
    <row r="75825" s="12" customFormat="1" x14ac:dyDescent="0.25"/>
    <row r="75826" s="12" customFormat="1" x14ac:dyDescent="0.25"/>
    <row r="75827" s="12" customFormat="1" x14ac:dyDescent="0.25"/>
    <row r="75828" s="12" customFormat="1" x14ac:dyDescent="0.25"/>
    <row r="75829" s="12" customFormat="1" x14ac:dyDescent="0.25"/>
    <row r="75830" s="12" customFormat="1" x14ac:dyDescent="0.25"/>
    <row r="75831" s="12" customFormat="1" x14ac:dyDescent="0.25"/>
    <row r="75832" s="12" customFormat="1" x14ac:dyDescent="0.25"/>
    <row r="75833" s="12" customFormat="1" x14ac:dyDescent="0.25"/>
    <row r="75834" s="12" customFormat="1" x14ac:dyDescent="0.25"/>
    <row r="75835" s="12" customFormat="1" x14ac:dyDescent="0.25"/>
    <row r="75836" s="12" customFormat="1" x14ac:dyDescent="0.25"/>
    <row r="75837" s="12" customFormat="1" x14ac:dyDescent="0.25"/>
    <row r="75838" s="12" customFormat="1" x14ac:dyDescent="0.25"/>
    <row r="75839" s="12" customFormat="1" x14ac:dyDescent="0.25"/>
    <row r="75840" s="12" customFormat="1" x14ac:dyDescent="0.25"/>
    <row r="75841" s="12" customFormat="1" x14ac:dyDescent="0.25"/>
    <row r="75842" s="12" customFormat="1" x14ac:dyDescent="0.25"/>
    <row r="75843" s="12" customFormat="1" x14ac:dyDescent="0.25"/>
    <row r="75844" s="12" customFormat="1" x14ac:dyDescent="0.25"/>
    <row r="75845" s="12" customFormat="1" x14ac:dyDescent="0.25"/>
    <row r="75846" s="12" customFormat="1" x14ac:dyDescent="0.25"/>
    <row r="75847" s="12" customFormat="1" x14ac:dyDescent="0.25"/>
    <row r="75848" s="12" customFormat="1" x14ac:dyDescent="0.25"/>
    <row r="75849" s="12" customFormat="1" x14ac:dyDescent="0.25"/>
    <row r="75850" s="12" customFormat="1" x14ac:dyDescent="0.25"/>
    <row r="75851" s="12" customFormat="1" x14ac:dyDescent="0.25"/>
    <row r="75852" s="12" customFormat="1" x14ac:dyDescent="0.25"/>
    <row r="75853" s="12" customFormat="1" x14ac:dyDescent="0.25"/>
    <row r="75854" s="12" customFormat="1" x14ac:dyDescent="0.25"/>
    <row r="75855" s="12" customFormat="1" x14ac:dyDescent="0.25"/>
    <row r="75856" s="12" customFormat="1" x14ac:dyDescent="0.25"/>
    <row r="75857" s="12" customFormat="1" x14ac:dyDescent="0.25"/>
    <row r="75858" s="12" customFormat="1" x14ac:dyDescent="0.25"/>
    <row r="75859" s="12" customFormat="1" x14ac:dyDescent="0.25"/>
    <row r="75860" s="12" customFormat="1" x14ac:dyDescent="0.25"/>
    <row r="75861" s="12" customFormat="1" x14ac:dyDescent="0.25"/>
    <row r="75862" s="12" customFormat="1" x14ac:dyDescent="0.25"/>
    <row r="75863" s="12" customFormat="1" x14ac:dyDescent="0.25"/>
    <row r="75864" s="12" customFormat="1" x14ac:dyDescent="0.25"/>
    <row r="75865" s="12" customFormat="1" x14ac:dyDescent="0.25"/>
    <row r="75866" s="12" customFormat="1" x14ac:dyDescent="0.25"/>
    <row r="75867" s="12" customFormat="1" x14ac:dyDescent="0.25"/>
    <row r="75868" s="12" customFormat="1" x14ac:dyDescent="0.25"/>
    <row r="75869" s="12" customFormat="1" x14ac:dyDescent="0.25"/>
    <row r="75870" s="12" customFormat="1" x14ac:dyDescent="0.25"/>
    <row r="75871" s="12" customFormat="1" x14ac:dyDescent="0.25"/>
    <row r="75872" s="12" customFormat="1" x14ac:dyDescent="0.25"/>
    <row r="75873" s="12" customFormat="1" x14ac:dyDescent="0.25"/>
    <row r="75874" s="12" customFormat="1" x14ac:dyDescent="0.25"/>
    <row r="75875" s="12" customFormat="1" x14ac:dyDescent="0.25"/>
    <row r="75876" s="12" customFormat="1" x14ac:dyDescent="0.25"/>
    <row r="75877" s="12" customFormat="1" x14ac:dyDescent="0.25"/>
    <row r="75878" s="12" customFormat="1" x14ac:dyDescent="0.25"/>
    <row r="75879" s="12" customFormat="1" x14ac:dyDescent="0.25"/>
    <row r="75880" s="12" customFormat="1" x14ac:dyDescent="0.25"/>
    <row r="75881" s="12" customFormat="1" x14ac:dyDescent="0.25"/>
    <row r="75882" s="12" customFormat="1" x14ac:dyDescent="0.25"/>
    <row r="75883" s="12" customFormat="1" x14ac:dyDescent="0.25"/>
    <row r="75884" s="12" customFormat="1" x14ac:dyDescent="0.25"/>
    <row r="75885" s="12" customFormat="1" x14ac:dyDescent="0.25"/>
    <row r="75886" s="12" customFormat="1" x14ac:dyDescent="0.25"/>
    <row r="75887" s="12" customFormat="1" x14ac:dyDescent="0.25"/>
    <row r="75888" s="12" customFormat="1" x14ac:dyDescent="0.25"/>
    <row r="75889" s="12" customFormat="1" x14ac:dyDescent="0.25"/>
    <row r="75890" s="12" customFormat="1" x14ac:dyDescent="0.25"/>
    <row r="75891" s="12" customFormat="1" x14ac:dyDescent="0.25"/>
    <row r="75892" s="12" customFormat="1" x14ac:dyDescent="0.25"/>
    <row r="75893" s="12" customFormat="1" x14ac:dyDescent="0.25"/>
    <row r="75894" s="12" customFormat="1" x14ac:dyDescent="0.25"/>
    <row r="75895" s="12" customFormat="1" x14ac:dyDescent="0.25"/>
    <row r="75896" s="12" customFormat="1" x14ac:dyDescent="0.25"/>
    <row r="75897" s="12" customFormat="1" x14ac:dyDescent="0.25"/>
    <row r="75898" s="12" customFormat="1" x14ac:dyDescent="0.25"/>
    <row r="75899" s="12" customFormat="1" x14ac:dyDescent="0.25"/>
    <row r="75900" s="12" customFormat="1" x14ac:dyDescent="0.25"/>
    <row r="75901" s="12" customFormat="1" x14ac:dyDescent="0.25"/>
    <row r="75902" s="12" customFormat="1" x14ac:dyDescent="0.25"/>
    <row r="75903" s="12" customFormat="1" x14ac:dyDescent="0.25"/>
    <row r="75904" s="12" customFormat="1" x14ac:dyDescent="0.25"/>
    <row r="75905" s="12" customFormat="1" x14ac:dyDescent="0.25"/>
    <row r="75906" s="12" customFormat="1" x14ac:dyDescent="0.25"/>
    <row r="75907" s="12" customFormat="1" x14ac:dyDescent="0.25"/>
    <row r="75908" s="12" customFormat="1" x14ac:dyDescent="0.25"/>
    <row r="75909" s="12" customFormat="1" x14ac:dyDescent="0.25"/>
    <row r="75910" s="12" customFormat="1" x14ac:dyDescent="0.25"/>
    <row r="75911" s="12" customFormat="1" x14ac:dyDescent="0.25"/>
    <row r="75912" s="12" customFormat="1" x14ac:dyDescent="0.25"/>
    <row r="75913" s="12" customFormat="1" x14ac:dyDescent="0.25"/>
    <row r="75914" s="12" customFormat="1" x14ac:dyDescent="0.25"/>
    <row r="75915" s="12" customFormat="1" x14ac:dyDescent="0.25"/>
    <row r="75916" s="12" customFormat="1" x14ac:dyDescent="0.25"/>
    <row r="75917" s="12" customFormat="1" x14ac:dyDescent="0.25"/>
    <row r="75918" s="12" customFormat="1" x14ac:dyDescent="0.25"/>
    <row r="75919" s="12" customFormat="1" x14ac:dyDescent="0.25"/>
    <row r="75920" s="12" customFormat="1" x14ac:dyDescent="0.25"/>
    <row r="75921" s="12" customFormat="1" x14ac:dyDescent="0.25"/>
    <row r="75922" s="12" customFormat="1" x14ac:dyDescent="0.25"/>
    <row r="75923" s="12" customFormat="1" x14ac:dyDescent="0.25"/>
    <row r="75924" s="12" customFormat="1" x14ac:dyDescent="0.25"/>
    <row r="75925" s="12" customFormat="1" x14ac:dyDescent="0.25"/>
    <row r="75926" s="12" customFormat="1" x14ac:dyDescent="0.25"/>
    <row r="75927" s="12" customFormat="1" x14ac:dyDescent="0.25"/>
    <row r="75928" s="12" customFormat="1" x14ac:dyDescent="0.25"/>
    <row r="75929" s="12" customFormat="1" x14ac:dyDescent="0.25"/>
    <row r="75930" s="12" customFormat="1" x14ac:dyDescent="0.25"/>
    <row r="75931" s="12" customFormat="1" x14ac:dyDescent="0.25"/>
    <row r="75932" s="12" customFormat="1" x14ac:dyDescent="0.25"/>
    <row r="75933" s="12" customFormat="1" x14ac:dyDescent="0.25"/>
    <row r="75934" s="12" customFormat="1" x14ac:dyDescent="0.25"/>
    <row r="75935" s="12" customFormat="1" x14ac:dyDescent="0.25"/>
    <row r="75936" s="12" customFormat="1" x14ac:dyDescent="0.25"/>
    <row r="75937" s="12" customFormat="1" x14ac:dyDescent="0.25"/>
    <row r="75938" s="12" customFormat="1" x14ac:dyDescent="0.25"/>
    <row r="75939" s="12" customFormat="1" x14ac:dyDescent="0.25"/>
    <row r="75940" s="12" customFormat="1" x14ac:dyDescent="0.25"/>
    <row r="75941" s="12" customFormat="1" x14ac:dyDescent="0.25"/>
    <row r="75942" s="12" customFormat="1" x14ac:dyDescent="0.25"/>
    <row r="75943" s="12" customFormat="1" x14ac:dyDescent="0.25"/>
    <row r="75944" s="12" customFormat="1" x14ac:dyDescent="0.25"/>
    <row r="75945" s="12" customFormat="1" x14ac:dyDescent="0.25"/>
    <row r="75946" s="12" customFormat="1" x14ac:dyDescent="0.25"/>
    <row r="75947" s="12" customFormat="1" x14ac:dyDescent="0.25"/>
    <row r="75948" s="12" customFormat="1" x14ac:dyDescent="0.25"/>
    <row r="75949" s="12" customFormat="1" x14ac:dyDescent="0.25"/>
    <row r="75950" s="12" customFormat="1" x14ac:dyDescent="0.25"/>
    <row r="75951" s="12" customFormat="1" x14ac:dyDescent="0.25"/>
    <row r="75952" s="12" customFormat="1" x14ac:dyDescent="0.25"/>
    <row r="75953" s="12" customFormat="1" x14ac:dyDescent="0.25"/>
    <row r="75954" s="12" customFormat="1" x14ac:dyDescent="0.25"/>
    <row r="75955" s="12" customFormat="1" x14ac:dyDescent="0.25"/>
    <row r="75956" s="12" customFormat="1" x14ac:dyDescent="0.25"/>
    <row r="75957" s="12" customFormat="1" x14ac:dyDescent="0.25"/>
    <row r="75958" s="12" customFormat="1" x14ac:dyDescent="0.25"/>
    <row r="75959" s="12" customFormat="1" x14ac:dyDescent="0.25"/>
    <row r="75960" s="12" customFormat="1" x14ac:dyDescent="0.25"/>
    <row r="75961" s="12" customFormat="1" x14ac:dyDescent="0.25"/>
    <row r="75962" s="12" customFormat="1" x14ac:dyDescent="0.25"/>
    <row r="75963" s="12" customFormat="1" x14ac:dyDescent="0.25"/>
    <row r="75964" s="12" customFormat="1" x14ac:dyDescent="0.25"/>
    <row r="75965" s="12" customFormat="1" x14ac:dyDescent="0.25"/>
    <row r="75966" s="12" customFormat="1" x14ac:dyDescent="0.25"/>
    <row r="75967" s="12" customFormat="1" x14ac:dyDescent="0.25"/>
    <row r="75968" s="12" customFormat="1" x14ac:dyDescent="0.25"/>
    <row r="75969" s="12" customFormat="1" x14ac:dyDescent="0.25"/>
    <row r="75970" s="12" customFormat="1" x14ac:dyDescent="0.25"/>
    <row r="75971" s="12" customFormat="1" x14ac:dyDescent="0.25"/>
    <row r="75972" s="12" customFormat="1" x14ac:dyDescent="0.25"/>
    <row r="75973" s="12" customFormat="1" x14ac:dyDescent="0.25"/>
    <row r="75974" s="12" customFormat="1" x14ac:dyDescent="0.25"/>
    <row r="75975" s="12" customFormat="1" x14ac:dyDescent="0.25"/>
    <row r="75976" s="12" customFormat="1" x14ac:dyDescent="0.25"/>
    <row r="75977" s="12" customFormat="1" x14ac:dyDescent="0.25"/>
    <row r="75978" s="12" customFormat="1" x14ac:dyDescent="0.25"/>
    <row r="75979" s="12" customFormat="1" x14ac:dyDescent="0.25"/>
    <row r="75980" s="12" customFormat="1" x14ac:dyDescent="0.25"/>
    <row r="75981" s="12" customFormat="1" x14ac:dyDescent="0.25"/>
    <row r="75982" s="12" customFormat="1" x14ac:dyDescent="0.25"/>
    <row r="75983" s="12" customFormat="1" x14ac:dyDescent="0.25"/>
    <row r="75984" s="12" customFormat="1" x14ac:dyDescent="0.25"/>
    <row r="75985" s="12" customFormat="1" x14ac:dyDescent="0.25"/>
    <row r="75986" s="12" customFormat="1" x14ac:dyDescent="0.25"/>
    <row r="75987" s="12" customFormat="1" x14ac:dyDescent="0.25"/>
    <row r="75988" s="12" customFormat="1" x14ac:dyDescent="0.25"/>
    <row r="75989" s="12" customFormat="1" x14ac:dyDescent="0.25"/>
    <row r="75990" s="12" customFormat="1" x14ac:dyDescent="0.25"/>
    <row r="75991" s="12" customFormat="1" x14ac:dyDescent="0.25"/>
    <row r="75992" s="12" customFormat="1" x14ac:dyDescent="0.25"/>
    <row r="75993" s="12" customFormat="1" x14ac:dyDescent="0.25"/>
    <row r="75994" s="12" customFormat="1" x14ac:dyDescent="0.25"/>
    <row r="75995" s="12" customFormat="1" x14ac:dyDescent="0.25"/>
    <row r="75996" s="12" customFormat="1" x14ac:dyDescent="0.25"/>
    <row r="75997" s="12" customFormat="1" x14ac:dyDescent="0.25"/>
    <row r="75998" s="12" customFormat="1" x14ac:dyDescent="0.25"/>
    <row r="75999" s="12" customFormat="1" x14ac:dyDescent="0.25"/>
    <row r="76000" s="12" customFormat="1" x14ac:dyDescent="0.25"/>
    <row r="76001" s="12" customFormat="1" x14ac:dyDescent="0.25"/>
    <row r="76002" s="12" customFormat="1" x14ac:dyDescent="0.25"/>
    <row r="76003" s="12" customFormat="1" x14ac:dyDescent="0.25"/>
    <row r="76004" s="12" customFormat="1" x14ac:dyDescent="0.25"/>
    <row r="76005" s="12" customFormat="1" x14ac:dyDescent="0.25"/>
    <row r="76006" s="12" customFormat="1" x14ac:dyDescent="0.25"/>
    <row r="76007" s="12" customFormat="1" x14ac:dyDescent="0.25"/>
    <row r="76008" s="12" customFormat="1" x14ac:dyDescent="0.25"/>
    <row r="76009" s="12" customFormat="1" x14ac:dyDescent="0.25"/>
    <row r="76010" s="12" customFormat="1" x14ac:dyDescent="0.25"/>
    <row r="76011" s="12" customFormat="1" x14ac:dyDescent="0.25"/>
    <row r="76012" s="12" customFormat="1" x14ac:dyDescent="0.25"/>
    <row r="76013" s="12" customFormat="1" x14ac:dyDescent="0.25"/>
    <row r="76014" s="12" customFormat="1" x14ac:dyDescent="0.25"/>
    <row r="76015" s="12" customFormat="1" x14ac:dyDescent="0.25"/>
    <row r="76016" s="12" customFormat="1" x14ac:dyDescent="0.25"/>
    <row r="76017" s="12" customFormat="1" x14ac:dyDescent="0.25"/>
    <row r="76018" s="12" customFormat="1" x14ac:dyDescent="0.25"/>
    <row r="76019" s="12" customFormat="1" x14ac:dyDescent="0.25"/>
    <row r="76020" s="12" customFormat="1" x14ac:dyDescent="0.25"/>
    <row r="76021" s="12" customFormat="1" x14ac:dyDescent="0.25"/>
    <row r="76022" s="12" customFormat="1" x14ac:dyDescent="0.25"/>
    <row r="76023" s="12" customFormat="1" x14ac:dyDescent="0.25"/>
    <row r="76024" s="12" customFormat="1" x14ac:dyDescent="0.25"/>
    <row r="76025" s="12" customFormat="1" x14ac:dyDescent="0.25"/>
    <row r="76026" s="12" customFormat="1" x14ac:dyDescent="0.25"/>
    <row r="76027" s="12" customFormat="1" x14ac:dyDescent="0.25"/>
    <row r="76028" s="12" customFormat="1" x14ac:dyDescent="0.25"/>
    <row r="76029" s="12" customFormat="1" x14ac:dyDescent="0.25"/>
    <row r="76030" s="12" customFormat="1" x14ac:dyDescent="0.25"/>
    <row r="76031" s="12" customFormat="1" x14ac:dyDescent="0.25"/>
    <row r="76032" s="12" customFormat="1" x14ac:dyDescent="0.25"/>
    <row r="76033" s="12" customFormat="1" x14ac:dyDescent="0.25"/>
    <row r="76034" s="12" customFormat="1" x14ac:dyDescent="0.25"/>
    <row r="76035" s="12" customFormat="1" x14ac:dyDescent="0.25"/>
    <row r="76036" s="12" customFormat="1" x14ac:dyDescent="0.25"/>
    <row r="76037" s="12" customFormat="1" x14ac:dyDescent="0.25"/>
    <row r="76038" s="12" customFormat="1" x14ac:dyDescent="0.25"/>
    <row r="76039" s="12" customFormat="1" x14ac:dyDescent="0.25"/>
    <row r="76040" s="12" customFormat="1" x14ac:dyDescent="0.25"/>
    <row r="76041" s="12" customFormat="1" x14ac:dyDescent="0.25"/>
    <row r="76042" s="12" customFormat="1" x14ac:dyDescent="0.25"/>
    <row r="76043" s="12" customFormat="1" x14ac:dyDescent="0.25"/>
    <row r="76044" s="12" customFormat="1" x14ac:dyDescent="0.25"/>
    <row r="76045" s="12" customFormat="1" x14ac:dyDescent="0.25"/>
    <row r="76046" s="12" customFormat="1" x14ac:dyDescent="0.25"/>
    <row r="76047" s="12" customFormat="1" x14ac:dyDescent="0.25"/>
    <row r="76048" s="12" customFormat="1" x14ac:dyDescent="0.25"/>
    <row r="76049" s="12" customFormat="1" x14ac:dyDescent="0.25"/>
    <row r="76050" s="12" customFormat="1" x14ac:dyDescent="0.25"/>
    <row r="76051" s="12" customFormat="1" x14ac:dyDescent="0.25"/>
    <row r="76052" s="12" customFormat="1" x14ac:dyDescent="0.25"/>
    <row r="76053" s="12" customFormat="1" x14ac:dyDescent="0.25"/>
    <row r="76054" s="12" customFormat="1" x14ac:dyDescent="0.25"/>
    <row r="76055" s="12" customFormat="1" x14ac:dyDescent="0.25"/>
    <row r="76056" s="12" customFormat="1" x14ac:dyDescent="0.25"/>
    <row r="76057" s="12" customFormat="1" x14ac:dyDescent="0.25"/>
    <row r="76058" s="12" customFormat="1" x14ac:dyDescent="0.25"/>
    <row r="76059" s="12" customFormat="1" x14ac:dyDescent="0.25"/>
    <row r="76060" s="12" customFormat="1" x14ac:dyDescent="0.25"/>
    <row r="76061" s="12" customFormat="1" x14ac:dyDescent="0.25"/>
    <row r="76062" s="12" customFormat="1" x14ac:dyDescent="0.25"/>
    <row r="76063" s="12" customFormat="1" x14ac:dyDescent="0.25"/>
    <row r="76064" s="12" customFormat="1" x14ac:dyDescent="0.25"/>
    <row r="76065" s="12" customFormat="1" x14ac:dyDescent="0.25"/>
    <row r="76066" s="12" customFormat="1" x14ac:dyDescent="0.25"/>
    <row r="76067" s="12" customFormat="1" x14ac:dyDescent="0.25"/>
    <row r="76068" s="12" customFormat="1" x14ac:dyDescent="0.25"/>
    <row r="76069" s="12" customFormat="1" x14ac:dyDescent="0.25"/>
    <row r="76070" s="12" customFormat="1" x14ac:dyDescent="0.25"/>
    <row r="76071" s="12" customFormat="1" x14ac:dyDescent="0.25"/>
    <row r="76072" s="12" customFormat="1" x14ac:dyDescent="0.25"/>
    <row r="76073" s="12" customFormat="1" x14ac:dyDescent="0.25"/>
    <row r="76074" s="12" customFormat="1" x14ac:dyDescent="0.25"/>
    <row r="76075" s="12" customFormat="1" x14ac:dyDescent="0.25"/>
    <row r="76076" s="12" customFormat="1" x14ac:dyDescent="0.25"/>
    <row r="76077" s="12" customFormat="1" x14ac:dyDescent="0.25"/>
    <row r="76078" s="12" customFormat="1" x14ac:dyDescent="0.25"/>
    <row r="76079" s="12" customFormat="1" x14ac:dyDescent="0.25"/>
    <row r="76080" s="12" customFormat="1" x14ac:dyDescent="0.25"/>
    <row r="76081" s="12" customFormat="1" x14ac:dyDescent="0.25"/>
    <row r="76082" s="12" customFormat="1" x14ac:dyDescent="0.25"/>
    <row r="76083" s="12" customFormat="1" x14ac:dyDescent="0.25"/>
    <row r="76084" s="12" customFormat="1" x14ac:dyDescent="0.25"/>
    <row r="76085" s="12" customFormat="1" x14ac:dyDescent="0.25"/>
    <row r="76086" s="12" customFormat="1" x14ac:dyDescent="0.25"/>
    <row r="76087" s="12" customFormat="1" x14ac:dyDescent="0.25"/>
    <row r="76088" s="12" customFormat="1" x14ac:dyDescent="0.25"/>
    <row r="76089" s="12" customFormat="1" x14ac:dyDescent="0.25"/>
    <row r="76090" s="12" customFormat="1" x14ac:dyDescent="0.25"/>
    <row r="76091" s="12" customFormat="1" x14ac:dyDescent="0.25"/>
    <row r="76092" s="12" customFormat="1" x14ac:dyDescent="0.25"/>
    <row r="76093" s="12" customFormat="1" x14ac:dyDescent="0.25"/>
    <row r="76094" s="12" customFormat="1" x14ac:dyDescent="0.25"/>
    <row r="76095" s="12" customFormat="1" x14ac:dyDescent="0.25"/>
    <row r="76096" s="12" customFormat="1" x14ac:dyDescent="0.25"/>
    <row r="76097" s="12" customFormat="1" x14ac:dyDescent="0.25"/>
    <row r="76098" s="12" customFormat="1" x14ac:dyDescent="0.25"/>
    <row r="76099" s="12" customFormat="1" x14ac:dyDescent="0.25"/>
    <row r="76100" s="12" customFormat="1" x14ac:dyDescent="0.25"/>
    <row r="76101" s="12" customFormat="1" x14ac:dyDescent="0.25"/>
    <row r="76102" s="12" customFormat="1" x14ac:dyDescent="0.25"/>
    <row r="76103" s="12" customFormat="1" x14ac:dyDescent="0.25"/>
    <row r="76104" s="12" customFormat="1" x14ac:dyDescent="0.25"/>
    <row r="76105" s="12" customFormat="1" x14ac:dyDescent="0.25"/>
    <row r="76106" s="12" customFormat="1" x14ac:dyDescent="0.25"/>
    <row r="76107" s="12" customFormat="1" x14ac:dyDescent="0.25"/>
    <row r="76108" s="12" customFormat="1" x14ac:dyDescent="0.25"/>
    <row r="76109" s="12" customFormat="1" x14ac:dyDescent="0.25"/>
    <row r="76110" s="12" customFormat="1" x14ac:dyDescent="0.25"/>
    <row r="76111" s="12" customFormat="1" x14ac:dyDescent="0.25"/>
    <row r="76112" s="12" customFormat="1" x14ac:dyDescent="0.25"/>
    <row r="76113" s="12" customFormat="1" x14ac:dyDescent="0.25"/>
    <row r="76114" s="12" customFormat="1" x14ac:dyDescent="0.25"/>
    <row r="76115" s="12" customFormat="1" x14ac:dyDescent="0.25"/>
    <row r="76116" s="12" customFormat="1" x14ac:dyDescent="0.25"/>
    <row r="76117" s="12" customFormat="1" x14ac:dyDescent="0.25"/>
    <row r="76118" s="12" customFormat="1" x14ac:dyDescent="0.25"/>
    <row r="76119" s="12" customFormat="1" x14ac:dyDescent="0.25"/>
    <row r="76120" s="12" customFormat="1" x14ac:dyDescent="0.25"/>
    <row r="76121" s="12" customFormat="1" x14ac:dyDescent="0.25"/>
    <row r="76122" s="12" customFormat="1" x14ac:dyDescent="0.25"/>
    <row r="76123" s="12" customFormat="1" x14ac:dyDescent="0.25"/>
    <row r="76124" s="12" customFormat="1" x14ac:dyDescent="0.25"/>
    <row r="76125" s="12" customFormat="1" x14ac:dyDescent="0.25"/>
    <row r="76126" s="12" customFormat="1" x14ac:dyDescent="0.25"/>
    <row r="76127" s="12" customFormat="1" x14ac:dyDescent="0.25"/>
    <row r="76128" s="12" customFormat="1" x14ac:dyDescent="0.25"/>
    <row r="76129" s="12" customFormat="1" x14ac:dyDescent="0.25"/>
    <row r="76130" s="12" customFormat="1" x14ac:dyDescent="0.25"/>
    <row r="76131" s="12" customFormat="1" x14ac:dyDescent="0.25"/>
    <row r="76132" s="12" customFormat="1" x14ac:dyDescent="0.25"/>
    <row r="76133" s="12" customFormat="1" x14ac:dyDescent="0.25"/>
    <row r="76134" s="12" customFormat="1" x14ac:dyDescent="0.25"/>
    <row r="76135" s="12" customFormat="1" x14ac:dyDescent="0.25"/>
    <row r="76136" s="12" customFormat="1" x14ac:dyDescent="0.25"/>
    <row r="76137" s="12" customFormat="1" x14ac:dyDescent="0.25"/>
    <row r="76138" s="12" customFormat="1" x14ac:dyDescent="0.25"/>
    <row r="76139" s="12" customFormat="1" x14ac:dyDescent="0.25"/>
    <row r="76140" s="12" customFormat="1" x14ac:dyDescent="0.25"/>
    <row r="76141" s="12" customFormat="1" x14ac:dyDescent="0.25"/>
    <row r="76142" s="12" customFormat="1" x14ac:dyDescent="0.25"/>
    <row r="76143" s="12" customFormat="1" x14ac:dyDescent="0.25"/>
    <row r="76144" s="12" customFormat="1" x14ac:dyDescent="0.25"/>
    <row r="76145" s="12" customFormat="1" x14ac:dyDescent="0.25"/>
    <row r="76146" s="12" customFormat="1" x14ac:dyDescent="0.25"/>
    <row r="76147" s="12" customFormat="1" x14ac:dyDescent="0.25"/>
    <row r="76148" s="12" customFormat="1" x14ac:dyDescent="0.25"/>
    <row r="76149" s="12" customFormat="1" x14ac:dyDescent="0.25"/>
    <row r="76150" s="12" customFormat="1" x14ac:dyDescent="0.25"/>
    <row r="76151" s="12" customFormat="1" x14ac:dyDescent="0.25"/>
    <row r="76152" s="12" customFormat="1" x14ac:dyDescent="0.25"/>
    <row r="76153" s="12" customFormat="1" x14ac:dyDescent="0.25"/>
    <row r="76154" s="12" customFormat="1" x14ac:dyDescent="0.25"/>
    <row r="76155" s="12" customFormat="1" x14ac:dyDescent="0.25"/>
    <row r="76156" s="12" customFormat="1" x14ac:dyDescent="0.25"/>
    <row r="76157" s="12" customFormat="1" x14ac:dyDescent="0.25"/>
    <row r="76158" s="12" customFormat="1" x14ac:dyDescent="0.25"/>
    <row r="76159" s="12" customFormat="1" x14ac:dyDescent="0.25"/>
    <row r="76160" s="12" customFormat="1" x14ac:dyDescent="0.25"/>
    <row r="76161" s="12" customFormat="1" x14ac:dyDescent="0.25"/>
    <row r="76162" s="12" customFormat="1" x14ac:dyDescent="0.25"/>
    <row r="76163" s="12" customFormat="1" x14ac:dyDescent="0.25"/>
    <row r="76164" s="12" customFormat="1" x14ac:dyDescent="0.25"/>
    <row r="76165" s="12" customFormat="1" x14ac:dyDescent="0.25"/>
    <row r="76166" s="12" customFormat="1" x14ac:dyDescent="0.25"/>
    <row r="76167" s="12" customFormat="1" x14ac:dyDescent="0.25"/>
    <row r="76168" s="12" customFormat="1" x14ac:dyDescent="0.25"/>
    <row r="76169" s="12" customFormat="1" x14ac:dyDescent="0.25"/>
    <row r="76170" s="12" customFormat="1" x14ac:dyDescent="0.25"/>
    <row r="76171" s="12" customFormat="1" x14ac:dyDescent="0.25"/>
    <row r="76172" s="12" customFormat="1" x14ac:dyDescent="0.25"/>
    <row r="76173" s="12" customFormat="1" x14ac:dyDescent="0.25"/>
    <row r="76174" s="12" customFormat="1" x14ac:dyDescent="0.25"/>
    <row r="76175" s="12" customFormat="1" x14ac:dyDescent="0.25"/>
    <row r="76176" s="12" customFormat="1" x14ac:dyDescent="0.25"/>
    <row r="76177" s="12" customFormat="1" x14ac:dyDescent="0.25"/>
    <row r="76178" s="12" customFormat="1" x14ac:dyDescent="0.25"/>
    <row r="76179" s="12" customFormat="1" x14ac:dyDescent="0.25"/>
    <row r="76180" s="12" customFormat="1" x14ac:dyDescent="0.25"/>
    <row r="76181" s="12" customFormat="1" x14ac:dyDescent="0.25"/>
    <row r="76182" s="12" customFormat="1" x14ac:dyDescent="0.25"/>
    <row r="76183" s="12" customFormat="1" x14ac:dyDescent="0.25"/>
    <row r="76184" s="12" customFormat="1" x14ac:dyDescent="0.25"/>
    <row r="76185" s="12" customFormat="1" x14ac:dyDescent="0.25"/>
    <row r="76186" s="12" customFormat="1" x14ac:dyDescent="0.25"/>
    <row r="76187" s="12" customFormat="1" x14ac:dyDescent="0.25"/>
    <row r="76188" s="12" customFormat="1" x14ac:dyDescent="0.25"/>
    <row r="76189" s="12" customFormat="1" x14ac:dyDescent="0.25"/>
    <row r="76190" s="12" customFormat="1" x14ac:dyDescent="0.25"/>
    <row r="76191" s="12" customFormat="1" x14ac:dyDescent="0.25"/>
    <row r="76192" s="12" customFormat="1" x14ac:dyDescent="0.25"/>
    <row r="76193" s="12" customFormat="1" x14ac:dyDescent="0.25"/>
    <row r="76194" s="12" customFormat="1" x14ac:dyDescent="0.25"/>
    <row r="76195" s="12" customFormat="1" x14ac:dyDescent="0.25"/>
    <row r="76196" s="12" customFormat="1" x14ac:dyDescent="0.25"/>
    <row r="76197" s="12" customFormat="1" x14ac:dyDescent="0.25"/>
    <row r="76198" s="12" customFormat="1" x14ac:dyDescent="0.25"/>
    <row r="76199" s="12" customFormat="1" x14ac:dyDescent="0.25"/>
    <row r="76200" s="12" customFormat="1" x14ac:dyDescent="0.25"/>
    <row r="76201" s="12" customFormat="1" x14ac:dyDescent="0.25"/>
    <row r="76202" s="12" customFormat="1" x14ac:dyDescent="0.25"/>
    <row r="76203" s="12" customFormat="1" x14ac:dyDescent="0.25"/>
    <row r="76204" s="12" customFormat="1" x14ac:dyDescent="0.25"/>
    <row r="76205" s="12" customFormat="1" x14ac:dyDescent="0.25"/>
    <row r="76206" s="12" customFormat="1" x14ac:dyDescent="0.25"/>
    <row r="76207" s="12" customFormat="1" x14ac:dyDescent="0.25"/>
    <row r="76208" s="12" customFormat="1" x14ac:dyDescent="0.25"/>
    <row r="76209" s="12" customFormat="1" x14ac:dyDescent="0.25"/>
    <row r="76210" s="12" customFormat="1" x14ac:dyDescent="0.25"/>
    <row r="76211" s="12" customFormat="1" x14ac:dyDescent="0.25"/>
    <row r="76212" s="12" customFormat="1" x14ac:dyDescent="0.25"/>
    <row r="76213" s="12" customFormat="1" x14ac:dyDescent="0.25"/>
    <row r="76214" s="12" customFormat="1" x14ac:dyDescent="0.25"/>
    <row r="76215" s="12" customFormat="1" x14ac:dyDescent="0.25"/>
    <row r="76216" s="12" customFormat="1" x14ac:dyDescent="0.25"/>
    <row r="76217" s="12" customFormat="1" x14ac:dyDescent="0.25"/>
    <row r="76218" s="12" customFormat="1" x14ac:dyDescent="0.25"/>
    <row r="76219" s="12" customFormat="1" x14ac:dyDescent="0.25"/>
    <row r="76220" s="12" customFormat="1" x14ac:dyDescent="0.25"/>
    <row r="76221" s="12" customFormat="1" x14ac:dyDescent="0.25"/>
    <row r="76222" s="12" customFormat="1" x14ac:dyDescent="0.25"/>
    <row r="76223" s="12" customFormat="1" x14ac:dyDescent="0.25"/>
    <row r="76224" s="12" customFormat="1" x14ac:dyDescent="0.25"/>
    <row r="76225" s="12" customFormat="1" x14ac:dyDescent="0.25"/>
    <row r="76226" s="12" customFormat="1" x14ac:dyDescent="0.25"/>
    <row r="76227" s="12" customFormat="1" x14ac:dyDescent="0.25"/>
    <row r="76228" s="12" customFormat="1" x14ac:dyDescent="0.25"/>
    <row r="76229" s="12" customFormat="1" x14ac:dyDescent="0.25"/>
    <row r="76230" s="12" customFormat="1" x14ac:dyDescent="0.25"/>
    <row r="76231" s="12" customFormat="1" x14ac:dyDescent="0.25"/>
    <row r="76232" s="12" customFormat="1" x14ac:dyDescent="0.25"/>
    <row r="76233" s="12" customFormat="1" x14ac:dyDescent="0.25"/>
    <row r="76234" s="12" customFormat="1" x14ac:dyDescent="0.25"/>
    <row r="76235" s="12" customFormat="1" x14ac:dyDescent="0.25"/>
    <row r="76236" s="12" customFormat="1" x14ac:dyDescent="0.25"/>
    <row r="76237" s="12" customFormat="1" x14ac:dyDescent="0.25"/>
    <row r="76238" s="12" customFormat="1" x14ac:dyDescent="0.25"/>
    <row r="76239" s="12" customFormat="1" x14ac:dyDescent="0.25"/>
    <row r="76240" s="12" customFormat="1" x14ac:dyDescent="0.25"/>
    <row r="76241" s="12" customFormat="1" x14ac:dyDescent="0.25"/>
    <row r="76242" s="12" customFormat="1" x14ac:dyDescent="0.25"/>
    <row r="76243" s="12" customFormat="1" x14ac:dyDescent="0.25"/>
    <row r="76244" s="12" customFormat="1" x14ac:dyDescent="0.25"/>
    <row r="76245" s="12" customFormat="1" x14ac:dyDescent="0.25"/>
    <row r="76246" s="12" customFormat="1" x14ac:dyDescent="0.25"/>
    <row r="76247" s="12" customFormat="1" x14ac:dyDescent="0.25"/>
    <row r="76248" s="12" customFormat="1" x14ac:dyDescent="0.25"/>
    <row r="76249" s="12" customFormat="1" x14ac:dyDescent="0.25"/>
    <row r="76250" s="12" customFormat="1" x14ac:dyDescent="0.25"/>
    <row r="76251" s="12" customFormat="1" x14ac:dyDescent="0.25"/>
    <row r="76252" s="12" customFormat="1" x14ac:dyDescent="0.25"/>
    <row r="76253" s="12" customFormat="1" x14ac:dyDescent="0.25"/>
    <row r="76254" s="12" customFormat="1" x14ac:dyDescent="0.25"/>
    <row r="76255" s="12" customFormat="1" x14ac:dyDescent="0.25"/>
    <row r="76256" s="12" customFormat="1" x14ac:dyDescent="0.25"/>
    <row r="76257" s="12" customFormat="1" x14ac:dyDescent="0.25"/>
    <row r="76258" s="12" customFormat="1" x14ac:dyDescent="0.25"/>
    <row r="76259" s="12" customFormat="1" x14ac:dyDescent="0.25"/>
    <row r="76260" s="12" customFormat="1" x14ac:dyDescent="0.25"/>
    <row r="76261" s="12" customFormat="1" x14ac:dyDescent="0.25"/>
    <row r="76262" s="12" customFormat="1" x14ac:dyDescent="0.25"/>
    <row r="76263" s="12" customFormat="1" x14ac:dyDescent="0.25"/>
    <row r="76264" s="12" customFormat="1" x14ac:dyDescent="0.25"/>
    <row r="76265" s="12" customFormat="1" x14ac:dyDescent="0.25"/>
    <row r="76266" s="12" customFormat="1" x14ac:dyDescent="0.25"/>
    <row r="76267" s="12" customFormat="1" x14ac:dyDescent="0.25"/>
    <row r="76268" s="12" customFormat="1" x14ac:dyDescent="0.25"/>
    <row r="76269" s="12" customFormat="1" x14ac:dyDescent="0.25"/>
    <row r="76270" s="12" customFormat="1" x14ac:dyDescent="0.25"/>
    <row r="76271" s="12" customFormat="1" x14ac:dyDescent="0.25"/>
    <row r="76272" s="12" customFormat="1" x14ac:dyDescent="0.25"/>
    <row r="76273" s="12" customFormat="1" x14ac:dyDescent="0.25"/>
    <row r="76274" s="12" customFormat="1" x14ac:dyDescent="0.25"/>
    <row r="76275" s="12" customFormat="1" x14ac:dyDescent="0.25"/>
    <row r="76276" s="12" customFormat="1" x14ac:dyDescent="0.25"/>
    <row r="76277" s="12" customFormat="1" x14ac:dyDescent="0.25"/>
    <row r="76278" s="12" customFormat="1" x14ac:dyDescent="0.25"/>
    <row r="76279" s="12" customFormat="1" x14ac:dyDescent="0.25"/>
    <row r="76280" s="12" customFormat="1" x14ac:dyDescent="0.25"/>
    <row r="76281" s="12" customFormat="1" x14ac:dyDescent="0.25"/>
    <row r="76282" s="12" customFormat="1" x14ac:dyDescent="0.25"/>
    <row r="76283" s="12" customFormat="1" x14ac:dyDescent="0.25"/>
    <row r="76284" s="12" customFormat="1" x14ac:dyDescent="0.25"/>
    <row r="76285" s="12" customFormat="1" x14ac:dyDescent="0.25"/>
    <row r="76286" s="12" customFormat="1" x14ac:dyDescent="0.25"/>
    <row r="76287" s="12" customFormat="1" x14ac:dyDescent="0.25"/>
    <row r="76288" s="12" customFormat="1" x14ac:dyDescent="0.25"/>
    <row r="76289" s="12" customFormat="1" x14ac:dyDescent="0.25"/>
    <row r="76290" s="12" customFormat="1" x14ac:dyDescent="0.25"/>
    <row r="76291" s="12" customFormat="1" x14ac:dyDescent="0.25"/>
    <row r="76292" s="12" customFormat="1" x14ac:dyDescent="0.25"/>
    <row r="76293" s="12" customFormat="1" x14ac:dyDescent="0.25"/>
    <row r="76294" s="12" customFormat="1" x14ac:dyDescent="0.25"/>
    <row r="76295" s="12" customFormat="1" x14ac:dyDescent="0.25"/>
    <row r="76296" s="12" customFormat="1" x14ac:dyDescent="0.25"/>
    <row r="76297" s="12" customFormat="1" x14ac:dyDescent="0.25"/>
    <row r="76298" s="12" customFormat="1" x14ac:dyDescent="0.25"/>
    <row r="76299" s="12" customFormat="1" x14ac:dyDescent="0.25"/>
    <row r="76300" s="12" customFormat="1" x14ac:dyDescent="0.25"/>
    <row r="76301" s="12" customFormat="1" x14ac:dyDescent="0.25"/>
    <row r="76302" s="12" customFormat="1" x14ac:dyDescent="0.25"/>
    <row r="76303" s="12" customFormat="1" x14ac:dyDescent="0.25"/>
    <row r="76304" s="12" customFormat="1" x14ac:dyDescent="0.25"/>
    <row r="76305" s="12" customFormat="1" x14ac:dyDescent="0.25"/>
    <row r="76306" s="12" customFormat="1" x14ac:dyDescent="0.25"/>
    <row r="76307" s="12" customFormat="1" x14ac:dyDescent="0.25"/>
    <row r="76308" s="12" customFormat="1" x14ac:dyDescent="0.25"/>
    <row r="76309" s="12" customFormat="1" x14ac:dyDescent="0.25"/>
    <row r="76310" s="12" customFormat="1" x14ac:dyDescent="0.25"/>
    <row r="76311" s="12" customFormat="1" x14ac:dyDescent="0.25"/>
    <row r="76312" s="12" customFormat="1" x14ac:dyDescent="0.25"/>
    <row r="76313" s="12" customFormat="1" x14ac:dyDescent="0.25"/>
    <row r="76314" s="12" customFormat="1" x14ac:dyDescent="0.25"/>
    <row r="76315" s="12" customFormat="1" x14ac:dyDescent="0.25"/>
    <row r="76316" s="12" customFormat="1" x14ac:dyDescent="0.25"/>
    <row r="76317" s="12" customFormat="1" x14ac:dyDescent="0.25"/>
    <row r="76318" s="12" customFormat="1" x14ac:dyDescent="0.25"/>
    <row r="76319" s="12" customFormat="1" x14ac:dyDescent="0.25"/>
    <row r="76320" s="12" customFormat="1" x14ac:dyDescent="0.25"/>
    <row r="76321" s="12" customFormat="1" x14ac:dyDescent="0.25"/>
    <row r="76322" s="12" customFormat="1" x14ac:dyDescent="0.25"/>
    <row r="76323" s="12" customFormat="1" x14ac:dyDescent="0.25"/>
    <row r="76324" s="12" customFormat="1" x14ac:dyDescent="0.25"/>
    <row r="76325" s="12" customFormat="1" x14ac:dyDescent="0.25"/>
    <row r="76326" s="12" customFormat="1" x14ac:dyDescent="0.25"/>
    <row r="76327" s="12" customFormat="1" x14ac:dyDescent="0.25"/>
    <row r="76328" s="12" customFormat="1" x14ac:dyDescent="0.25"/>
    <row r="76329" s="12" customFormat="1" x14ac:dyDescent="0.25"/>
    <row r="76330" s="12" customFormat="1" x14ac:dyDescent="0.25"/>
    <row r="76331" s="12" customFormat="1" x14ac:dyDescent="0.25"/>
    <row r="76332" s="12" customFormat="1" x14ac:dyDescent="0.25"/>
    <row r="76333" s="12" customFormat="1" x14ac:dyDescent="0.25"/>
    <row r="76334" s="12" customFormat="1" x14ac:dyDescent="0.25"/>
    <row r="76335" s="12" customFormat="1" x14ac:dyDescent="0.25"/>
    <row r="76336" s="12" customFormat="1" x14ac:dyDescent="0.25"/>
    <row r="76337" s="12" customFormat="1" x14ac:dyDescent="0.25"/>
    <row r="76338" s="12" customFormat="1" x14ac:dyDescent="0.25"/>
    <row r="76339" s="12" customFormat="1" x14ac:dyDescent="0.25"/>
    <row r="76340" s="12" customFormat="1" x14ac:dyDescent="0.25"/>
    <row r="76341" s="12" customFormat="1" x14ac:dyDescent="0.25"/>
    <row r="76342" s="12" customFormat="1" x14ac:dyDescent="0.25"/>
    <row r="76343" s="12" customFormat="1" x14ac:dyDescent="0.25"/>
    <row r="76344" s="12" customFormat="1" x14ac:dyDescent="0.25"/>
    <row r="76345" s="12" customFormat="1" x14ac:dyDescent="0.25"/>
    <row r="76346" s="12" customFormat="1" x14ac:dyDescent="0.25"/>
    <row r="76347" s="12" customFormat="1" x14ac:dyDescent="0.25"/>
    <row r="76348" s="12" customFormat="1" x14ac:dyDescent="0.25"/>
    <row r="76349" s="12" customFormat="1" x14ac:dyDescent="0.25"/>
    <row r="76350" s="12" customFormat="1" x14ac:dyDescent="0.25"/>
    <row r="76351" s="12" customFormat="1" x14ac:dyDescent="0.25"/>
    <row r="76352" s="12" customFormat="1" x14ac:dyDescent="0.25"/>
    <row r="76353" s="12" customFormat="1" x14ac:dyDescent="0.25"/>
    <row r="76354" s="12" customFormat="1" x14ac:dyDescent="0.25"/>
    <row r="76355" s="12" customFormat="1" x14ac:dyDescent="0.25"/>
    <row r="76356" s="12" customFormat="1" x14ac:dyDescent="0.25"/>
    <row r="76357" s="12" customFormat="1" x14ac:dyDescent="0.25"/>
    <row r="76358" s="12" customFormat="1" x14ac:dyDescent="0.25"/>
    <row r="76359" s="12" customFormat="1" x14ac:dyDescent="0.25"/>
    <row r="76360" s="12" customFormat="1" x14ac:dyDescent="0.25"/>
    <row r="76361" s="12" customFormat="1" x14ac:dyDescent="0.25"/>
    <row r="76362" s="12" customFormat="1" x14ac:dyDescent="0.25"/>
    <row r="76363" s="12" customFormat="1" x14ac:dyDescent="0.25"/>
    <row r="76364" s="12" customFormat="1" x14ac:dyDescent="0.25"/>
    <row r="76365" s="12" customFormat="1" x14ac:dyDescent="0.25"/>
    <row r="76366" s="12" customFormat="1" x14ac:dyDescent="0.25"/>
    <row r="76367" s="12" customFormat="1" x14ac:dyDescent="0.25"/>
    <row r="76368" s="12" customFormat="1" x14ac:dyDescent="0.25"/>
    <row r="76369" s="12" customFormat="1" x14ac:dyDescent="0.25"/>
    <row r="76370" s="12" customFormat="1" x14ac:dyDescent="0.25"/>
    <row r="76371" s="12" customFormat="1" x14ac:dyDescent="0.25"/>
    <row r="76372" s="12" customFormat="1" x14ac:dyDescent="0.25"/>
    <row r="76373" s="12" customFormat="1" x14ac:dyDescent="0.25"/>
    <row r="76374" s="12" customFormat="1" x14ac:dyDescent="0.25"/>
    <row r="76375" s="12" customFormat="1" x14ac:dyDescent="0.25"/>
    <row r="76376" s="12" customFormat="1" x14ac:dyDescent="0.25"/>
    <row r="76377" s="12" customFormat="1" x14ac:dyDescent="0.25"/>
    <row r="76378" s="12" customFormat="1" x14ac:dyDescent="0.25"/>
    <row r="76379" s="12" customFormat="1" x14ac:dyDescent="0.25"/>
    <row r="76380" s="12" customFormat="1" x14ac:dyDescent="0.25"/>
    <row r="76381" s="12" customFormat="1" x14ac:dyDescent="0.25"/>
    <row r="76382" s="12" customFormat="1" x14ac:dyDescent="0.25"/>
    <row r="76383" s="12" customFormat="1" x14ac:dyDescent="0.25"/>
    <row r="76384" s="12" customFormat="1" x14ac:dyDescent="0.25"/>
    <row r="76385" s="12" customFormat="1" x14ac:dyDescent="0.25"/>
    <row r="76386" s="12" customFormat="1" x14ac:dyDescent="0.25"/>
    <row r="76387" s="12" customFormat="1" x14ac:dyDescent="0.25"/>
    <row r="76388" s="12" customFormat="1" x14ac:dyDescent="0.25"/>
    <row r="76389" s="12" customFormat="1" x14ac:dyDescent="0.25"/>
    <row r="76390" s="12" customFormat="1" x14ac:dyDescent="0.25"/>
    <row r="76391" s="12" customFormat="1" x14ac:dyDescent="0.25"/>
    <row r="76392" s="12" customFormat="1" x14ac:dyDescent="0.25"/>
    <row r="76393" s="12" customFormat="1" x14ac:dyDescent="0.25"/>
    <row r="76394" s="12" customFormat="1" x14ac:dyDescent="0.25"/>
    <row r="76395" s="12" customFormat="1" x14ac:dyDescent="0.25"/>
    <row r="76396" s="12" customFormat="1" x14ac:dyDescent="0.25"/>
    <row r="76397" s="12" customFormat="1" x14ac:dyDescent="0.25"/>
    <row r="76398" s="12" customFormat="1" x14ac:dyDescent="0.25"/>
    <row r="76399" s="12" customFormat="1" x14ac:dyDescent="0.25"/>
    <row r="76400" s="12" customFormat="1" x14ac:dyDescent="0.25"/>
    <row r="76401" s="12" customFormat="1" x14ac:dyDescent="0.25"/>
    <row r="76402" s="12" customFormat="1" x14ac:dyDescent="0.25"/>
    <row r="76403" s="12" customFormat="1" x14ac:dyDescent="0.25"/>
    <row r="76404" s="12" customFormat="1" x14ac:dyDescent="0.25"/>
    <row r="76405" s="12" customFormat="1" x14ac:dyDescent="0.25"/>
    <row r="76406" s="12" customFormat="1" x14ac:dyDescent="0.25"/>
    <row r="76407" s="12" customFormat="1" x14ac:dyDescent="0.25"/>
    <row r="76408" s="12" customFormat="1" x14ac:dyDescent="0.25"/>
    <row r="76409" s="12" customFormat="1" x14ac:dyDescent="0.25"/>
    <row r="76410" s="12" customFormat="1" x14ac:dyDescent="0.25"/>
    <row r="76411" s="12" customFormat="1" x14ac:dyDescent="0.25"/>
    <row r="76412" s="12" customFormat="1" x14ac:dyDescent="0.25"/>
    <row r="76413" s="12" customFormat="1" x14ac:dyDescent="0.25"/>
    <row r="76414" s="12" customFormat="1" x14ac:dyDescent="0.25"/>
    <row r="76415" s="12" customFormat="1" x14ac:dyDescent="0.25"/>
    <row r="76416" s="12" customFormat="1" x14ac:dyDescent="0.25"/>
    <row r="76417" s="12" customFormat="1" x14ac:dyDescent="0.25"/>
    <row r="76418" s="12" customFormat="1" x14ac:dyDescent="0.25"/>
    <row r="76419" s="12" customFormat="1" x14ac:dyDescent="0.25"/>
    <row r="76420" s="12" customFormat="1" x14ac:dyDescent="0.25"/>
    <row r="76421" s="12" customFormat="1" x14ac:dyDescent="0.25"/>
    <row r="76422" s="12" customFormat="1" x14ac:dyDescent="0.25"/>
    <row r="76423" s="12" customFormat="1" x14ac:dyDescent="0.25"/>
    <row r="76424" s="12" customFormat="1" x14ac:dyDescent="0.25"/>
    <row r="76425" s="12" customFormat="1" x14ac:dyDescent="0.25"/>
    <row r="76426" s="12" customFormat="1" x14ac:dyDescent="0.25"/>
    <row r="76427" s="12" customFormat="1" x14ac:dyDescent="0.25"/>
    <row r="76428" s="12" customFormat="1" x14ac:dyDescent="0.25"/>
    <row r="76429" s="12" customFormat="1" x14ac:dyDescent="0.25"/>
    <row r="76430" s="12" customFormat="1" x14ac:dyDescent="0.25"/>
    <row r="76431" s="12" customFormat="1" x14ac:dyDescent="0.25"/>
    <row r="76432" s="12" customFormat="1" x14ac:dyDescent="0.25"/>
    <row r="76433" s="12" customFormat="1" x14ac:dyDescent="0.25"/>
    <row r="76434" s="12" customFormat="1" x14ac:dyDescent="0.25"/>
    <row r="76435" s="12" customFormat="1" x14ac:dyDescent="0.25"/>
    <row r="76436" s="12" customFormat="1" x14ac:dyDescent="0.25"/>
    <row r="76437" s="12" customFormat="1" x14ac:dyDescent="0.25"/>
    <row r="76438" s="12" customFormat="1" x14ac:dyDescent="0.25"/>
    <row r="76439" s="12" customFormat="1" x14ac:dyDescent="0.25"/>
    <row r="76440" s="12" customFormat="1" x14ac:dyDescent="0.25"/>
    <row r="76441" s="12" customFormat="1" x14ac:dyDescent="0.25"/>
    <row r="76442" s="12" customFormat="1" x14ac:dyDescent="0.25"/>
    <row r="76443" s="12" customFormat="1" x14ac:dyDescent="0.25"/>
    <row r="76444" s="12" customFormat="1" x14ac:dyDescent="0.25"/>
    <row r="76445" s="12" customFormat="1" x14ac:dyDescent="0.25"/>
    <row r="76446" s="12" customFormat="1" x14ac:dyDescent="0.25"/>
    <row r="76447" s="12" customFormat="1" x14ac:dyDescent="0.25"/>
    <row r="76448" s="12" customFormat="1" x14ac:dyDescent="0.25"/>
    <row r="76449" s="12" customFormat="1" x14ac:dyDescent="0.25"/>
    <row r="76450" s="12" customFormat="1" x14ac:dyDescent="0.25"/>
    <row r="76451" s="12" customFormat="1" x14ac:dyDescent="0.25"/>
    <row r="76452" s="12" customFormat="1" x14ac:dyDescent="0.25"/>
    <row r="76453" s="12" customFormat="1" x14ac:dyDescent="0.25"/>
    <row r="76454" s="12" customFormat="1" x14ac:dyDescent="0.25"/>
    <row r="76455" s="12" customFormat="1" x14ac:dyDescent="0.25"/>
    <row r="76456" s="12" customFormat="1" x14ac:dyDescent="0.25"/>
    <row r="76457" s="12" customFormat="1" x14ac:dyDescent="0.25"/>
    <row r="76458" s="12" customFormat="1" x14ac:dyDescent="0.25"/>
    <row r="76459" s="12" customFormat="1" x14ac:dyDescent="0.25"/>
    <row r="76460" s="12" customFormat="1" x14ac:dyDescent="0.25"/>
    <row r="76461" s="12" customFormat="1" x14ac:dyDescent="0.25"/>
    <row r="76462" s="12" customFormat="1" x14ac:dyDescent="0.25"/>
    <row r="76463" s="12" customFormat="1" x14ac:dyDescent="0.25"/>
    <row r="76464" s="12" customFormat="1" x14ac:dyDescent="0.25"/>
    <row r="76465" s="12" customFormat="1" x14ac:dyDescent="0.25"/>
    <row r="76466" s="12" customFormat="1" x14ac:dyDescent="0.25"/>
    <row r="76467" s="12" customFormat="1" x14ac:dyDescent="0.25"/>
    <row r="76468" s="12" customFormat="1" x14ac:dyDescent="0.25"/>
    <row r="76469" s="12" customFormat="1" x14ac:dyDescent="0.25"/>
    <row r="76470" s="12" customFormat="1" x14ac:dyDescent="0.25"/>
    <row r="76471" s="12" customFormat="1" x14ac:dyDescent="0.25"/>
    <row r="76472" s="12" customFormat="1" x14ac:dyDescent="0.25"/>
    <row r="76473" s="12" customFormat="1" x14ac:dyDescent="0.25"/>
    <row r="76474" s="12" customFormat="1" x14ac:dyDescent="0.25"/>
    <row r="76475" s="12" customFormat="1" x14ac:dyDescent="0.25"/>
    <row r="76476" s="12" customFormat="1" x14ac:dyDescent="0.25"/>
    <row r="76477" s="12" customFormat="1" x14ac:dyDescent="0.25"/>
    <row r="76478" s="12" customFormat="1" x14ac:dyDescent="0.25"/>
    <row r="76479" s="12" customFormat="1" x14ac:dyDescent="0.25"/>
    <row r="76480" s="12" customFormat="1" x14ac:dyDescent="0.25"/>
    <row r="76481" s="12" customFormat="1" x14ac:dyDescent="0.25"/>
    <row r="76482" s="12" customFormat="1" x14ac:dyDescent="0.25"/>
    <row r="76483" s="12" customFormat="1" x14ac:dyDescent="0.25"/>
    <row r="76484" s="12" customFormat="1" x14ac:dyDescent="0.25"/>
    <row r="76485" s="12" customFormat="1" x14ac:dyDescent="0.25"/>
    <row r="76486" s="12" customFormat="1" x14ac:dyDescent="0.25"/>
    <row r="76487" s="12" customFormat="1" x14ac:dyDescent="0.25"/>
    <row r="76488" s="12" customFormat="1" x14ac:dyDescent="0.25"/>
    <row r="76489" s="12" customFormat="1" x14ac:dyDescent="0.25"/>
    <row r="76490" s="12" customFormat="1" x14ac:dyDescent="0.25"/>
    <row r="76491" s="12" customFormat="1" x14ac:dyDescent="0.25"/>
    <row r="76492" s="12" customFormat="1" x14ac:dyDescent="0.25"/>
    <row r="76493" s="12" customFormat="1" x14ac:dyDescent="0.25"/>
    <row r="76494" s="12" customFormat="1" x14ac:dyDescent="0.25"/>
    <row r="76495" s="12" customFormat="1" x14ac:dyDescent="0.25"/>
    <row r="76496" s="12" customFormat="1" x14ac:dyDescent="0.25"/>
    <row r="76497" s="12" customFormat="1" x14ac:dyDescent="0.25"/>
    <row r="76498" s="12" customFormat="1" x14ac:dyDescent="0.25"/>
    <row r="76499" s="12" customFormat="1" x14ac:dyDescent="0.25"/>
    <row r="76500" s="12" customFormat="1" x14ac:dyDescent="0.25"/>
    <row r="76501" s="12" customFormat="1" x14ac:dyDescent="0.25"/>
    <row r="76502" s="12" customFormat="1" x14ac:dyDescent="0.25"/>
    <row r="76503" s="12" customFormat="1" x14ac:dyDescent="0.25"/>
    <row r="76504" s="12" customFormat="1" x14ac:dyDescent="0.25"/>
    <row r="76505" s="12" customFormat="1" x14ac:dyDescent="0.25"/>
    <row r="76506" s="12" customFormat="1" x14ac:dyDescent="0.25"/>
    <row r="76507" s="12" customFormat="1" x14ac:dyDescent="0.25"/>
    <row r="76508" s="12" customFormat="1" x14ac:dyDescent="0.25"/>
    <row r="76509" s="12" customFormat="1" x14ac:dyDescent="0.25"/>
    <row r="76510" s="12" customFormat="1" x14ac:dyDescent="0.25"/>
    <row r="76511" s="12" customFormat="1" x14ac:dyDescent="0.25"/>
    <row r="76512" s="12" customFormat="1" x14ac:dyDescent="0.25"/>
    <row r="76513" s="12" customFormat="1" x14ac:dyDescent="0.25"/>
    <row r="76514" s="12" customFormat="1" x14ac:dyDescent="0.25"/>
    <row r="76515" s="12" customFormat="1" x14ac:dyDescent="0.25"/>
    <row r="76516" s="12" customFormat="1" x14ac:dyDescent="0.25"/>
    <row r="76517" s="12" customFormat="1" x14ac:dyDescent="0.25"/>
    <row r="76518" s="12" customFormat="1" x14ac:dyDescent="0.25"/>
    <row r="76519" s="12" customFormat="1" x14ac:dyDescent="0.25"/>
    <row r="76520" s="12" customFormat="1" x14ac:dyDescent="0.25"/>
    <row r="76521" s="12" customFormat="1" x14ac:dyDescent="0.25"/>
    <row r="76522" s="12" customFormat="1" x14ac:dyDescent="0.25"/>
    <row r="76523" s="12" customFormat="1" x14ac:dyDescent="0.25"/>
    <row r="76524" s="12" customFormat="1" x14ac:dyDescent="0.25"/>
    <row r="76525" s="12" customFormat="1" x14ac:dyDescent="0.25"/>
    <row r="76526" s="12" customFormat="1" x14ac:dyDescent="0.25"/>
    <row r="76527" s="12" customFormat="1" x14ac:dyDescent="0.25"/>
    <row r="76528" s="12" customFormat="1" x14ac:dyDescent="0.25"/>
    <row r="76529" s="12" customFormat="1" x14ac:dyDescent="0.25"/>
    <row r="76530" s="12" customFormat="1" x14ac:dyDescent="0.25"/>
    <row r="76531" s="12" customFormat="1" x14ac:dyDescent="0.25"/>
    <row r="76532" s="12" customFormat="1" x14ac:dyDescent="0.25"/>
    <row r="76533" s="12" customFormat="1" x14ac:dyDescent="0.25"/>
    <row r="76534" s="12" customFormat="1" x14ac:dyDescent="0.25"/>
    <row r="76535" s="12" customFormat="1" x14ac:dyDescent="0.25"/>
    <row r="76536" s="12" customFormat="1" x14ac:dyDescent="0.25"/>
    <row r="76537" s="12" customFormat="1" x14ac:dyDescent="0.25"/>
    <row r="76538" s="12" customFormat="1" x14ac:dyDescent="0.25"/>
    <row r="76539" s="12" customFormat="1" x14ac:dyDescent="0.25"/>
    <row r="76540" s="12" customFormat="1" x14ac:dyDescent="0.25"/>
    <row r="76541" s="12" customFormat="1" x14ac:dyDescent="0.25"/>
    <row r="76542" s="12" customFormat="1" x14ac:dyDescent="0.25"/>
    <row r="76543" s="12" customFormat="1" x14ac:dyDescent="0.25"/>
    <row r="76544" s="12" customFormat="1" x14ac:dyDescent="0.25"/>
    <row r="76545" s="12" customFormat="1" x14ac:dyDescent="0.25"/>
    <row r="76546" s="12" customFormat="1" x14ac:dyDescent="0.25"/>
    <row r="76547" s="12" customFormat="1" x14ac:dyDescent="0.25"/>
    <row r="76548" s="12" customFormat="1" x14ac:dyDescent="0.25"/>
    <row r="76549" s="12" customFormat="1" x14ac:dyDescent="0.25"/>
    <row r="76550" s="12" customFormat="1" x14ac:dyDescent="0.25"/>
    <row r="76551" s="12" customFormat="1" x14ac:dyDescent="0.25"/>
    <row r="76552" s="12" customFormat="1" x14ac:dyDescent="0.25"/>
    <row r="76553" s="12" customFormat="1" x14ac:dyDescent="0.25"/>
    <row r="76554" s="12" customFormat="1" x14ac:dyDescent="0.25"/>
    <row r="76555" s="12" customFormat="1" x14ac:dyDescent="0.25"/>
    <row r="76556" s="12" customFormat="1" x14ac:dyDescent="0.25"/>
    <row r="76557" s="12" customFormat="1" x14ac:dyDescent="0.25"/>
    <row r="76558" s="12" customFormat="1" x14ac:dyDescent="0.25"/>
    <row r="76559" s="12" customFormat="1" x14ac:dyDescent="0.25"/>
    <row r="76560" s="12" customFormat="1" x14ac:dyDescent="0.25"/>
    <row r="76561" s="12" customFormat="1" x14ac:dyDescent="0.25"/>
    <row r="76562" s="12" customFormat="1" x14ac:dyDescent="0.25"/>
    <row r="76563" s="12" customFormat="1" x14ac:dyDescent="0.25"/>
    <row r="76564" s="12" customFormat="1" x14ac:dyDescent="0.25"/>
    <row r="76565" s="12" customFormat="1" x14ac:dyDescent="0.25"/>
    <row r="76566" s="12" customFormat="1" x14ac:dyDescent="0.25"/>
    <row r="76567" s="12" customFormat="1" x14ac:dyDescent="0.25"/>
    <row r="76568" s="12" customFormat="1" x14ac:dyDescent="0.25"/>
    <row r="76569" s="12" customFormat="1" x14ac:dyDescent="0.25"/>
    <row r="76570" s="12" customFormat="1" x14ac:dyDescent="0.25"/>
    <row r="76571" s="12" customFormat="1" x14ac:dyDescent="0.25"/>
    <row r="76572" s="12" customFormat="1" x14ac:dyDescent="0.25"/>
    <row r="76573" s="12" customFormat="1" x14ac:dyDescent="0.25"/>
    <row r="76574" s="12" customFormat="1" x14ac:dyDescent="0.25"/>
    <row r="76575" s="12" customFormat="1" x14ac:dyDescent="0.25"/>
    <row r="76576" s="12" customFormat="1" x14ac:dyDescent="0.25"/>
    <row r="76577" s="12" customFormat="1" x14ac:dyDescent="0.25"/>
    <row r="76578" s="12" customFormat="1" x14ac:dyDescent="0.25"/>
    <row r="76579" s="12" customFormat="1" x14ac:dyDescent="0.25"/>
    <row r="76580" s="12" customFormat="1" x14ac:dyDescent="0.25"/>
    <row r="76581" s="12" customFormat="1" x14ac:dyDescent="0.25"/>
    <row r="76582" s="12" customFormat="1" x14ac:dyDescent="0.25"/>
    <row r="76583" s="12" customFormat="1" x14ac:dyDescent="0.25"/>
    <row r="76584" s="12" customFormat="1" x14ac:dyDescent="0.25"/>
    <row r="76585" s="12" customFormat="1" x14ac:dyDescent="0.25"/>
    <row r="76586" s="12" customFormat="1" x14ac:dyDescent="0.25"/>
    <row r="76587" s="12" customFormat="1" x14ac:dyDescent="0.25"/>
    <row r="76588" s="12" customFormat="1" x14ac:dyDescent="0.25"/>
    <row r="76589" s="12" customFormat="1" x14ac:dyDescent="0.25"/>
    <row r="76590" s="12" customFormat="1" x14ac:dyDescent="0.25"/>
    <row r="76591" s="12" customFormat="1" x14ac:dyDescent="0.25"/>
    <row r="76592" s="12" customFormat="1" x14ac:dyDescent="0.25"/>
    <row r="76593" s="12" customFormat="1" x14ac:dyDescent="0.25"/>
    <row r="76594" s="12" customFormat="1" x14ac:dyDescent="0.25"/>
    <row r="76595" s="12" customFormat="1" x14ac:dyDescent="0.25"/>
    <row r="76596" s="12" customFormat="1" x14ac:dyDescent="0.25"/>
    <row r="76597" s="12" customFormat="1" x14ac:dyDescent="0.25"/>
    <row r="76598" s="12" customFormat="1" x14ac:dyDescent="0.25"/>
    <row r="76599" s="12" customFormat="1" x14ac:dyDescent="0.25"/>
    <row r="76600" s="12" customFormat="1" x14ac:dyDescent="0.25"/>
    <row r="76601" s="12" customFormat="1" x14ac:dyDescent="0.25"/>
    <row r="76602" s="12" customFormat="1" x14ac:dyDescent="0.25"/>
    <row r="76603" s="12" customFormat="1" x14ac:dyDescent="0.25"/>
    <row r="76604" s="12" customFormat="1" x14ac:dyDescent="0.25"/>
    <row r="76605" s="12" customFormat="1" x14ac:dyDescent="0.25"/>
    <row r="76606" s="12" customFormat="1" x14ac:dyDescent="0.25"/>
    <row r="76607" s="12" customFormat="1" x14ac:dyDescent="0.25"/>
    <row r="76608" s="12" customFormat="1" x14ac:dyDescent="0.25"/>
    <row r="76609" s="12" customFormat="1" x14ac:dyDescent="0.25"/>
    <row r="76610" s="12" customFormat="1" x14ac:dyDescent="0.25"/>
    <row r="76611" s="12" customFormat="1" x14ac:dyDescent="0.25"/>
    <row r="76612" s="12" customFormat="1" x14ac:dyDescent="0.25"/>
    <row r="76613" s="12" customFormat="1" x14ac:dyDescent="0.25"/>
    <row r="76614" s="12" customFormat="1" x14ac:dyDescent="0.25"/>
    <row r="76615" s="12" customFormat="1" x14ac:dyDescent="0.25"/>
    <row r="76616" s="12" customFormat="1" x14ac:dyDescent="0.25"/>
    <row r="76617" s="12" customFormat="1" x14ac:dyDescent="0.25"/>
    <row r="76618" s="12" customFormat="1" x14ac:dyDescent="0.25"/>
    <row r="76619" s="12" customFormat="1" x14ac:dyDescent="0.25"/>
    <row r="76620" s="12" customFormat="1" x14ac:dyDescent="0.25"/>
    <row r="76621" s="12" customFormat="1" x14ac:dyDescent="0.25"/>
    <row r="76622" s="12" customFormat="1" x14ac:dyDescent="0.25"/>
    <row r="76623" s="12" customFormat="1" x14ac:dyDescent="0.25"/>
    <row r="76624" s="12" customFormat="1" x14ac:dyDescent="0.25"/>
    <row r="76625" s="12" customFormat="1" x14ac:dyDescent="0.25"/>
    <row r="76626" s="12" customFormat="1" x14ac:dyDescent="0.25"/>
    <row r="76627" s="12" customFormat="1" x14ac:dyDescent="0.25"/>
    <row r="76628" s="12" customFormat="1" x14ac:dyDescent="0.25"/>
    <row r="76629" s="12" customFormat="1" x14ac:dyDescent="0.25"/>
    <row r="76630" s="12" customFormat="1" x14ac:dyDescent="0.25"/>
    <row r="76631" s="12" customFormat="1" x14ac:dyDescent="0.25"/>
    <row r="76632" s="12" customFormat="1" x14ac:dyDescent="0.25"/>
    <row r="76633" s="12" customFormat="1" x14ac:dyDescent="0.25"/>
    <row r="76634" s="12" customFormat="1" x14ac:dyDescent="0.25"/>
    <row r="76635" s="12" customFormat="1" x14ac:dyDescent="0.25"/>
    <row r="76636" s="12" customFormat="1" x14ac:dyDescent="0.25"/>
    <row r="76637" s="12" customFormat="1" x14ac:dyDescent="0.25"/>
    <row r="76638" s="12" customFormat="1" x14ac:dyDescent="0.25"/>
    <row r="76639" s="12" customFormat="1" x14ac:dyDescent="0.25"/>
    <row r="76640" s="12" customFormat="1" x14ac:dyDescent="0.25"/>
    <row r="76641" s="12" customFormat="1" x14ac:dyDescent="0.25"/>
    <row r="76642" s="12" customFormat="1" x14ac:dyDescent="0.25"/>
    <row r="76643" s="12" customFormat="1" x14ac:dyDescent="0.25"/>
    <row r="76644" s="12" customFormat="1" x14ac:dyDescent="0.25"/>
    <row r="76645" s="12" customFormat="1" x14ac:dyDescent="0.25"/>
    <row r="76646" s="12" customFormat="1" x14ac:dyDescent="0.25"/>
    <row r="76647" s="12" customFormat="1" x14ac:dyDescent="0.25"/>
    <row r="76648" s="12" customFormat="1" x14ac:dyDescent="0.25"/>
    <row r="76649" s="12" customFormat="1" x14ac:dyDescent="0.25"/>
    <row r="76650" s="12" customFormat="1" x14ac:dyDescent="0.25"/>
    <row r="76651" s="12" customFormat="1" x14ac:dyDescent="0.25"/>
    <row r="76652" s="12" customFormat="1" x14ac:dyDescent="0.25"/>
    <row r="76653" s="12" customFormat="1" x14ac:dyDescent="0.25"/>
    <row r="76654" s="12" customFormat="1" x14ac:dyDescent="0.25"/>
    <row r="76655" s="12" customFormat="1" x14ac:dyDescent="0.25"/>
    <row r="76656" s="12" customFormat="1" x14ac:dyDescent="0.25"/>
    <row r="76657" s="12" customFormat="1" x14ac:dyDescent="0.25"/>
    <row r="76658" s="12" customFormat="1" x14ac:dyDescent="0.25"/>
    <row r="76659" s="12" customFormat="1" x14ac:dyDescent="0.25"/>
    <row r="76660" s="12" customFormat="1" x14ac:dyDescent="0.25"/>
    <row r="76661" s="12" customFormat="1" x14ac:dyDescent="0.25"/>
    <row r="76662" s="12" customFormat="1" x14ac:dyDescent="0.25"/>
    <row r="76663" s="12" customFormat="1" x14ac:dyDescent="0.25"/>
    <row r="76664" s="12" customFormat="1" x14ac:dyDescent="0.25"/>
    <row r="76665" s="12" customFormat="1" x14ac:dyDescent="0.25"/>
    <row r="76666" s="12" customFormat="1" x14ac:dyDescent="0.25"/>
    <row r="76667" s="12" customFormat="1" x14ac:dyDescent="0.25"/>
    <row r="76668" s="12" customFormat="1" x14ac:dyDescent="0.25"/>
    <row r="76669" s="12" customFormat="1" x14ac:dyDescent="0.25"/>
    <row r="76670" s="12" customFormat="1" x14ac:dyDescent="0.25"/>
    <row r="76671" s="12" customFormat="1" x14ac:dyDescent="0.25"/>
    <row r="76672" s="12" customFormat="1" x14ac:dyDescent="0.25"/>
    <row r="76673" s="12" customFormat="1" x14ac:dyDescent="0.25"/>
    <row r="76674" s="12" customFormat="1" x14ac:dyDescent="0.25"/>
    <row r="76675" s="12" customFormat="1" x14ac:dyDescent="0.25"/>
    <row r="76676" s="12" customFormat="1" x14ac:dyDescent="0.25"/>
    <row r="76677" s="12" customFormat="1" x14ac:dyDescent="0.25"/>
    <row r="76678" s="12" customFormat="1" x14ac:dyDescent="0.25"/>
    <row r="76679" s="12" customFormat="1" x14ac:dyDescent="0.25"/>
    <row r="76680" s="12" customFormat="1" x14ac:dyDescent="0.25"/>
    <row r="76681" s="12" customFormat="1" x14ac:dyDescent="0.25"/>
    <row r="76682" s="12" customFormat="1" x14ac:dyDescent="0.25"/>
    <row r="76683" s="12" customFormat="1" x14ac:dyDescent="0.25"/>
    <row r="76684" s="12" customFormat="1" x14ac:dyDescent="0.25"/>
    <row r="76685" s="12" customFormat="1" x14ac:dyDescent="0.25"/>
    <row r="76686" s="12" customFormat="1" x14ac:dyDescent="0.25"/>
    <row r="76687" s="12" customFormat="1" x14ac:dyDescent="0.25"/>
    <row r="76688" s="12" customFormat="1" x14ac:dyDescent="0.25"/>
    <row r="76689" s="12" customFormat="1" x14ac:dyDescent="0.25"/>
    <row r="76690" s="12" customFormat="1" x14ac:dyDescent="0.25"/>
    <row r="76691" s="12" customFormat="1" x14ac:dyDescent="0.25"/>
    <row r="76692" s="12" customFormat="1" x14ac:dyDescent="0.25"/>
    <row r="76693" s="12" customFormat="1" x14ac:dyDescent="0.25"/>
    <row r="76694" s="12" customFormat="1" x14ac:dyDescent="0.25"/>
    <row r="76695" s="12" customFormat="1" x14ac:dyDescent="0.25"/>
    <row r="76696" s="12" customFormat="1" x14ac:dyDescent="0.25"/>
    <row r="76697" s="12" customFormat="1" x14ac:dyDescent="0.25"/>
    <row r="76698" s="12" customFormat="1" x14ac:dyDescent="0.25"/>
    <row r="76699" s="12" customFormat="1" x14ac:dyDescent="0.25"/>
    <row r="76700" s="12" customFormat="1" x14ac:dyDescent="0.25"/>
    <row r="76701" s="12" customFormat="1" x14ac:dyDescent="0.25"/>
    <row r="76702" s="12" customFormat="1" x14ac:dyDescent="0.25"/>
    <row r="76703" s="12" customFormat="1" x14ac:dyDescent="0.25"/>
    <row r="76704" s="12" customFormat="1" x14ac:dyDescent="0.25"/>
    <row r="76705" s="12" customFormat="1" x14ac:dyDescent="0.25"/>
    <row r="76706" s="12" customFormat="1" x14ac:dyDescent="0.25"/>
    <row r="76707" s="12" customFormat="1" x14ac:dyDescent="0.25"/>
    <row r="76708" s="12" customFormat="1" x14ac:dyDescent="0.25"/>
    <row r="76709" s="12" customFormat="1" x14ac:dyDescent="0.25"/>
    <row r="76710" s="12" customFormat="1" x14ac:dyDescent="0.25"/>
    <row r="76711" s="12" customFormat="1" x14ac:dyDescent="0.25"/>
    <row r="76712" s="12" customFormat="1" x14ac:dyDescent="0.25"/>
    <row r="76713" s="12" customFormat="1" x14ac:dyDescent="0.25"/>
    <row r="76714" s="12" customFormat="1" x14ac:dyDescent="0.25"/>
    <row r="76715" s="12" customFormat="1" x14ac:dyDescent="0.25"/>
    <row r="76716" s="12" customFormat="1" x14ac:dyDescent="0.25"/>
    <row r="76717" s="12" customFormat="1" x14ac:dyDescent="0.25"/>
    <row r="76718" s="12" customFormat="1" x14ac:dyDescent="0.25"/>
    <row r="76719" s="12" customFormat="1" x14ac:dyDescent="0.25"/>
    <row r="76720" s="12" customFormat="1" x14ac:dyDescent="0.25"/>
    <row r="76721" s="12" customFormat="1" x14ac:dyDescent="0.25"/>
    <row r="76722" s="12" customFormat="1" x14ac:dyDescent="0.25"/>
    <row r="76723" s="12" customFormat="1" x14ac:dyDescent="0.25"/>
    <row r="76724" s="12" customFormat="1" x14ac:dyDescent="0.25"/>
    <row r="76725" s="12" customFormat="1" x14ac:dyDescent="0.25"/>
    <row r="76726" s="12" customFormat="1" x14ac:dyDescent="0.25"/>
    <row r="76727" s="12" customFormat="1" x14ac:dyDescent="0.25"/>
    <row r="76728" s="12" customFormat="1" x14ac:dyDescent="0.25"/>
    <row r="76729" s="12" customFormat="1" x14ac:dyDescent="0.25"/>
    <row r="76730" s="12" customFormat="1" x14ac:dyDescent="0.25"/>
    <row r="76731" s="12" customFormat="1" x14ac:dyDescent="0.25"/>
    <row r="76732" s="12" customFormat="1" x14ac:dyDescent="0.25"/>
    <row r="76733" s="12" customFormat="1" x14ac:dyDescent="0.25"/>
    <row r="76734" s="12" customFormat="1" x14ac:dyDescent="0.25"/>
    <row r="76735" s="12" customFormat="1" x14ac:dyDescent="0.25"/>
    <row r="76736" s="12" customFormat="1" x14ac:dyDescent="0.25"/>
    <row r="76737" s="12" customFormat="1" x14ac:dyDescent="0.25"/>
    <row r="76738" s="12" customFormat="1" x14ac:dyDescent="0.25"/>
    <row r="76739" s="12" customFormat="1" x14ac:dyDescent="0.25"/>
    <row r="76740" s="12" customFormat="1" x14ac:dyDescent="0.25"/>
    <row r="76741" s="12" customFormat="1" x14ac:dyDescent="0.25"/>
    <row r="76742" s="12" customFormat="1" x14ac:dyDescent="0.25"/>
    <row r="76743" s="12" customFormat="1" x14ac:dyDescent="0.25"/>
    <row r="76744" s="12" customFormat="1" x14ac:dyDescent="0.25"/>
    <row r="76745" s="12" customFormat="1" x14ac:dyDescent="0.25"/>
    <row r="76746" s="12" customFormat="1" x14ac:dyDescent="0.25"/>
    <row r="76747" s="12" customFormat="1" x14ac:dyDescent="0.25"/>
    <row r="76748" s="12" customFormat="1" x14ac:dyDescent="0.25"/>
    <row r="76749" s="12" customFormat="1" x14ac:dyDescent="0.25"/>
    <row r="76750" s="12" customFormat="1" x14ac:dyDescent="0.25"/>
    <row r="76751" s="12" customFormat="1" x14ac:dyDescent="0.25"/>
    <row r="76752" s="12" customFormat="1" x14ac:dyDescent="0.25"/>
    <row r="76753" s="12" customFormat="1" x14ac:dyDescent="0.25"/>
    <row r="76754" s="12" customFormat="1" x14ac:dyDescent="0.25"/>
    <row r="76755" s="12" customFormat="1" x14ac:dyDescent="0.25"/>
    <row r="76756" s="12" customFormat="1" x14ac:dyDescent="0.25"/>
    <row r="76757" s="12" customFormat="1" x14ac:dyDescent="0.25"/>
    <row r="76758" s="12" customFormat="1" x14ac:dyDescent="0.25"/>
    <row r="76759" s="12" customFormat="1" x14ac:dyDescent="0.25"/>
    <row r="76760" s="12" customFormat="1" x14ac:dyDescent="0.25"/>
    <row r="76761" s="12" customFormat="1" x14ac:dyDescent="0.25"/>
    <row r="76762" s="12" customFormat="1" x14ac:dyDescent="0.25"/>
    <row r="76763" s="12" customFormat="1" x14ac:dyDescent="0.25"/>
    <row r="76764" s="12" customFormat="1" x14ac:dyDescent="0.25"/>
    <row r="76765" s="12" customFormat="1" x14ac:dyDescent="0.25"/>
    <row r="76766" s="12" customFormat="1" x14ac:dyDescent="0.25"/>
    <row r="76767" s="12" customFormat="1" x14ac:dyDescent="0.25"/>
    <row r="76768" s="12" customFormat="1" x14ac:dyDescent="0.25"/>
    <row r="76769" s="12" customFormat="1" x14ac:dyDescent="0.25"/>
    <row r="76770" s="12" customFormat="1" x14ac:dyDescent="0.25"/>
    <row r="76771" s="12" customFormat="1" x14ac:dyDescent="0.25"/>
    <row r="76772" s="12" customFormat="1" x14ac:dyDescent="0.25"/>
    <row r="76773" s="12" customFormat="1" x14ac:dyDescent="0.25"/>
    <row r="76774" s="12" customFormat="1" x14ac:dyDescent="0.25"/>
    <row r="76775" s="12" customFormat="1" x14ac:dyDescent="0.25"/>
    <row r="76776" s="12" customFormat="1" x14ac:dyDescent="0.25"/>
    <row r="76777" s="12" customFormat="1" x14ac:dyDescent="0.25"/>
    <row r="76778" s="12" customFormat="1" x14ac:dyDescent="0.25"/>
    <row r="76779" s="12" customFormat="1" x14ac:dyDescent="0.25"/>
    <row r="76780" s="12" customFormat="1" x14ac:dyDescent="0.25"/>
    <row r="76781" s="12" customFormat="1" x14ac:dyDescent="0.25"/>
    <row r="76782" s="12" customFormat="1" x14ac:dyDescent="0.25"/>
    <row r="76783" s="12" customFormat="1" x14ac:dyDescent="0.25"/>
    <row r="76784" s="12" customFormat="1" x14ac:dyDescent="0.25"/>
    <row r="76785" s="12" customFormat="1" x14ac:dyDescent="0.25"/>
    <row r="76786" s="12" customFormat="1" x14ac:dyDescent="0.25"/>
    <row r="76787" s="12" customFormat="1" x14ac:dyDescent="0.25"/>
    <row r="76788" s="12" customFormat="1" x14ac:dyDescent="0.25"/>
    <row r="76789" s="12" customFormat="1" x14ac:dyDescent="0.25"/>
    <row r="76790" s="12" customFormat="1" x14ac:dyDescent="0.25"/>
    <row r="76791" s="12" customFormat="1" x14ac:dyDescent="0.25"/>
    <row r="76792" s="12" customFormat="1" x14ac:dyDescent="0.25"/>
    <row r="76793" s="12" customFormat="1" x14ac:dyDescent="0.25"/>
    <row r="76794" s="12" customFormat="1" x14ac:dyDescent="0.25"/>
    <row r="76795" s="12" customFormat="1" x14ac:dyDescent="0.25"/>
    <row r="76796" s="12" customFormat="1" x14ac:dyDescent="0.25"/>
    <row r="76797" s="12" customFormat="1" x14ac:dyDescent="0.25"/>
    <row r="76798" s="12" customFormat="1" x14ac:dyDescent="0.25"/>
    <row r="76799" s="12" customFormat="1" x14ac:dyDescent="0.25"/>
    <row r="76800" s="12" customFormat="1" x14ac:dyDescent="0.25"/>
    <row r="76801" s="12" customFormat="1" x14ac:dyDescent="0.25"/>
    <row r="76802" s="12" customFormat="1" x14ac:dyDescent="0.25"/>
    <row r="76803" s="12" customFormat="1" x14ac:dyDescent="0.25"/>
    <row r="76804" s="12" customFormat="1" x14ac:dyDescent="0.25"/>
    <row r="76805" s="12" customFormat="1" x14ac:dyDescent="0.25"/>
    <row r="76806" s="12" customFormat="1" x14ac:dyDescent="0.25"/>
    <row r="76807" s="12" customFormat="1" x14ac:dyDescent="0.25"/>
    <row r="76808" s="12" customFormat="1" x14ac:dyDescent="0.25"/>
    <row r="76809" s="12" customFormat="1" x14ac:dyDescent="0.25"/>
    <row r="76810" s="12" customFormat="1" x14ac:dyDescent="0.25"/>
    <row r="76811" s="12" customFormat="1" x14ac:dyDescent="0.25"/>
    <row r="76812" s="12" customFormat="1" x14ac:dyDescent="0.25"/>
    <row r="76813" s="12" customFormat="1" x14ac:dyDescent="0.25"/>
    <row r="76814" s="12" customFormat="1" x14ac:dyDescent="0.25"/>
    <row r="76815" s="12" customFormat="1" x14ac:dyDescent="0.25"/>
    <row r="76816" s="12" customFormat="1" x14ac:dyDescent="0.25"/>
    <row r="76817" s="12" customFormat="1" x14ac:dyDescent="0.25"/>
    <row r="76818" s="12" customFormat="1" x14ac:dyDescent="0.25"/>
    <row r="76819" s="12" customFormat="1" x14ac:dyDescent="0.25"/>
    <row r="76820" s="12" customFormat="1" x14ac:dyDescent="0.25"/>
    <row r="76821" s="12" customFormat="1" x14ac:dyDescent="0.25"/>
    <row r="76822" s="12" customFormat="1" x14ac:dyDescent="0.25"/>
    <row r="76823" s="12" customFormat="1" x14ac:dyDescent="0.25"/>
    <row r="76824" s="12" customFormat="1" x14ac:dyDescent="0.25"/>
    <row r="76825" s="12" customFormat="1" x14ac:dyDescent="0.25"/>
    <row r="76826" s="12" customFormat="1" x14ac:dyDescent="0.25"/>
    <row r="76827" s="12" customFormat="1" x14ac:dyDescent="0.25"/>
    <row r="76828" s="12" customFormat="1" x14ac:dyDescent="0.25"/>
    <row r="76829" s="12" customFormat="1" x14ac:dyDescent="0.25"/>
    <row r="76830" s="12" customFormat="1" x14ac:dyDescent="0.25"/>
    <row r="76831" s="12" customFormat="1" x14ac:dyDescent="0.25"/>
    <row r="76832" s="12" customFormat="1" x14ac:dyDescent="0.25"/>
    <row r="76833" s="12" customFormat="1" x14ac:dyDescent="0.25"/>
    <row r="76834" s="12" customFormat="1" x14ac:dyDescent="0.25"/>
    <row r="76835" s="12" customFormat="1" x14ac:dyDescent="0.25"/>
    <row r="76836" s="12" customFormat="1" x14ac:dyDescent="0.25"/>
    <row r="76837" s="12" customFormat="1" x14ac:dyDescent="0.25"/>
    <row r="76838" s="12" customFormat="1" x14ac:dyDescent="0.25"/>
    <row r="76839" s="12" customFormat="1" x14ac:dyDescent="0.25"/>
    <row r="76840" s="12" customFormat="1" x14ac:dyDescent="0.25"/>
    <row r="76841" s="12" customFormat="1" x14ac:dyDescent="0.25"/>
    <row r="76842" s="12" customFormat="1" x14ac:dyDescent="0.25"/>
    <row r="76843" s="12" customFormat="1" x14ac:dyDescent="0.25"/>
    <row r="76844" s="12" customFormat="1" x14ac:dyDescent="0.25"/>
    <row r="76845" s="12" customFormat="1" x14ac:dyDescent="0.25"/>
    <row r="76846" s="12" customFormat="1" x14ac:dyDescent="0.25"/>
    <row r="76847" s="12" customFormat="1" x14ac:dyDescent="0.25"/>
    <row r="76848" s="12" customFormat="1" x14ac:dyDescent="0.25"/>
    <row r="76849" s="12" customFormat="1" x14ac:dyDescent="0.25"/>
    <row r="76850" s="12" customFormat="1" x14ac:dyDescent="0.25"/>
    <row r="76851" s="12" customFormat="1" x14ac:dyDescent="0.25"/>
    <row r="76852" s="12" customFormat="1" x14ac:dyDescent="0.25"/>
    <row r="76853" s="12" customFormat="1" x14ac:dyDescent="0.25"/>
    <row r="76854" s="12" customFormat="1" x14ac:dyDescent="0.25"/>
    <row r="76855" s="12" customFormat="1" x14ac:dyDescent="0.25"/>
    <row r="76856" s="12" customFormat="1" x14ac:dyDescent="0.25"/>
    <row r="76857" s="12" customFormat="1" x14ac:dyDescent="0.25"/>
    <row r="76858" s="12" customFormat="1" x14ac:dyDescent="0.25"/>
    <row r="76859" s="12" customFormat="1" x14ac:dyDescent="0.25"/>
    <row r="76860" s="12" customFormat="1" x14ac:dyDescent="0.25"/>
    <row r="76861" s="12" customFormat="1" x14ac:dyDescent="0.25"/>
    <row r="76862" s="12" customFormat="1" x14ac:dyDescent="0.25"/>
    <row r="76863" s="12" customFormat="1" x14ac:dyDescent="0.25"/>
    <row r="76864" s="12" customFormat="1" x14ac:dyDescent="0.25"/>
    <row r="76865" s="12" customFormat="1" x14ac:dyDescent="0.25"/>
    <row r="76866" s="12" customFormat="1" x14ac:dyDescent="0.25"/>
    <row r="76867" s="12" customFormat="1" x14ac:dyDescent="0.25"/>
    <row r="76868" s="12" customFormat="1" x14ac:dyDescent="0.25"/>
    <row r="76869" s="12" customFormat="1" x14ac:dyDescent="0.25"/>
    <row r="76870" s="12" customFormat="1" x14ac:dyDescent="0.25"/>
    <row r="76871" s="12" customFormat="1" x14ac:dyDescent="0.25"/>
    <row r="76872" s="12" customFormat="1" x14ac:dyDescent="0.25"/>
    <row r="76873" s="12" customFormat="1" x14ac:dyDescent="0.25"/>
    <row r="76874" s="12" customFormat="1" x14ac:dyDescent="0.25"/>
    <row r="76875" s="12" customFormat="1" x14ac:dyDescent="0.25"/>
    <row r="76876" s="12" customFormat="1" x14ac:dyDescent="0.25"/>
    <row r="76877" s="12" customFormat="1" x14ac:dyDescent="0.25"/>
    <row r="76878" s="12" customFormat="1" x14ac:dyDescent="0.25"/>
    <row r="76879" s="12" customFormat="1" x14ac:dyDescent="0.25"/>
    <row r="76880" s="12" customFormat="1" x14ac:dyDescent="0.25"/>
    <row r="76881" s="12" customFormat="1" x14ac:dyDescent="0.25"/>
    <row r="76882" s="12" customFormat="1" x14ac:dyDescent="0.25"/>
    <row r="76883" s="12" customFormat="1" x14ac:dyDescent="0.25"/>
    <row r="76884" s="12" customFormat="1" x14ac:dyDescent="0.25"/>
    <row r="76885" s="12" customFormat="1" x14ac:dyDescent="0.25"/>
    <row r="76886" s="12" customFormat="1" x14ac:dyDescent="0.25"/>
    <row r="76887" s="12" customFormat="1" x14ac:dyDescent="0.25"/>
    <row r="76888" s="12" customFormat="1" x14ac:dyDescent="0.25"/>
    <row r="76889" s="12" customFormat="1" x14ac:dyDescent="0.25"/>
    <row r="76890" s="12" customFormat="1" x14ac:dyDescent="0.25"/>
    <row r="76891" s="12" customFormat="1" x14ac:dyDescent="0.25"/>
    <row r="76892" s="12" customFormat="1" x14ac:dyDescent="0.25"/>
    <row r="76893" s="12" customFormat="1" x14ac:dyDescent="0.25"/>
    <row r="76894" s="12" customFormat="1" x14ac:dyDescent="0.25"/>
    <row r="76895" s="12" customFormat="1" x14ac:dyDescent="0.25"/>
    <row r="76896" s="12" customFormat="1" x14ac:dyDescent="0.25"/>
    <row r="76897" s="12" customFormat="1" x14ac:dyDescent="0.25"/>
    <row r="76898" s="12" customFormat="1" x14ac:dyDescent="0.25"/>
    <row r="76899" s="12" customFormat="1" x14ac:dyDescent="0.25"/>
    <row r="76900" s="12" customFormat="1" x14ac:dyDescent="0.25"/>
    <row r="76901" s="12" customFormat="1" x14ac:dyDescent="0.25"/>
    <row r="76902" s="12" customFormat="1" x14ac:dyDescent="0.25"/>
    <row r="76903" s="12" customFormat="1" x14ac:dyDescent="0.25"/>
    <row r="76904" s="12" customFormat="1" x14ac:dyDescent="0.25"/>
    <row r="76905" s="12" customFormat="1" x14ac:dyDescent="0.25"/>
    <row r="76906" s="12" customFormat="1" x14ac:dyDescent="0.25"/>
    <row r="76907" s="12" customFormat="1" x14ac:dyDescent="0.25"/>
    <row r="76908" s="12" customFormat="1" x14ac:dyDescent="0.25"/>
    <row r="76909" s="12" customFormat="1" x14ac:dyDescent="0.25"/>
    <row r="76910" s="12" customFormat="1" x14ac:dyDescent="0.25"/>
    <row r="76911" s="12" customFormat="1" x14ac:dyDescent="0.25"/>
    <row r="76912" s="12" customFormat="1" x14ac:dyDescent="0.25"/>
    <row r="76913" s="12" customFormat="1" x14ac:dyDescent="0.25"/>
    <row r="76914" s="12" customFormat="1" x14ac:dyDescent="0.25"/>
    <row r="76915" s="12" customFormat="1" x14ac:dyDescent="0.25"/>
    <row r="76916" s="12" customFormat="1" x14ac:dyDescent="0.25"/>
    <row r="76917" s="12" customFormat="1" x14ac:dyDescent="0.25"/>
    <row r="76918" s="12" customFormat="1" x14ac:dyDescent="0.25"/>
    <row r="76919" s="12" customFormat="1" x14ac:dyDescent="0.25"/>
    <row r="76920" s="12" customFormat="1" x14ac:dyDescent="0.25"/>
    <row r="76921" s="12" customFormat="1" x14ac:dyDescent="0.25"/>
    <row r="76922" s="12" customFormat="1" x14ac:dyDescent="0.25"/>
    <row r="76923" s="12" customFormat="1" x14ac:dyDescent="0.25"/>
    <row r="76924" s="12" customFormat="1" x14ac:dyDescent="0.25"/>
    <row r="76925" s="12" customFormat="1" x14ac:dyDescent="0.25"/>
    <row r="76926" s="12" customFormat="1" x14ac:dyDescent="0.25"/>
    <row r="76927" s="12" customFormat="1" x14ac:dyDescent="0.25"/>
    <row r="76928" s="12" customFormat="1" x14ac:dyDescent="0.25"/>
    <row r="76929" s="12" customFormat="1" x14ac:dyDescent="0.25"/>
    <row r="76930" s="12" customFormat="1" x14ac:dyDescent="0.25"/>
    <row r="76931" s="12" customFormat="1" x14ac:dyDescent="0.25"/>
    <row r="76932" s="12" customFormat="1" x14ac:dyDescent="0.25"/>
    <row r="76933" s="12" customFormat="1" x14ac:dyDescent="0.25"/>
    <row r="76934" s="12" customFormat="1" x14ac:dyDescent="0.25"/>
    <row r="76935" s="12" customFormat="1" x14ac:dyDescent="0.25"/>
    <row r="76936" s="12" customFormat="1" x14ac:dyDescent="0.25"/>
    <row r="76937" s="12" customFormat="1" x14ac:dyDescent="0.25"/>
    <row r="76938" s="12" customFormat="1" x14ac:dyDescent="0.25"/>
    <row r="76939" s="12" customFormat="1" x14ac:dyDescent="0.25"/>
    <row r="76940" s="12" customFormat="1" x14ac:dyDescent="0.25"/>
    <row r="76941" s="12" customFormat="1" x14ac:dyDescent="0.25"/>
    <row r="76942" s="12" customFormat="1" x14ac:dyDescent="0.25"/>
    <row r="76943" s="12" customFormat="1" x14ac:dyDescent="0.25"/>
    <row r="76944" s="12" customFormat="1" x14ac:dyDescent="0.25"/>
    <row r="76945" s="12" customFormat="1" x14ac:dyDescent="0.25"/>
    <row r="76946" s="12" customFormat="1" x14ac:dyDescent="0.25"/>
    <row r="76947" s="12" customFormat="1" x14ac:dyDescent="0.25"/>
    <row r="76948" s="12" customFormat="1" x14ac:dyDescent="0.25"/>
    <row r="76949" s="12" customFormat="1" x14ac:dyDescent="0.25"/>
    <row r="76950" s="12" customFormat="1" x14ac:dyDescent="0.25"/>
    <row r="76951" s="12" customFormat="1" x14ac:dyDescent="0.25"/>
    <row r="76952" s="12" customFormat="1" x14ac:dyDescent="0.25"/>
    <row r="76953" s="12" customFormat="1" x14ac:dyDescent="0.25"/>
    <row r="76954" s="12" customFormat="1" x14ac:dyDescent="0.25"/>
    <row r="76955" s="12" customFormat="1" x14ac:dyDescent="0.25"/>
    <row r="76956" s="12" customFormat="1" x14ac:dyDescent="0.25"/>
    <row r="76957" s="12" customFormat="1" x14ac:dyDescent="0.25"/>
    <row r="76958" s="12" customFormat="1" x14ac:dyDescent="0.25"/>
    <row r="76959" s="12" customFormat="1" x14ac:dyDescent="0.25"/>
    <row r="76960" s="12" customFormat="1" x14ac:dyDescent="0.25"/>
    <row r="76961" s="12" customFormat="1" x14ac:dyDescent="0.25"/>
    <row r="76962" s="12" customFormat="1" x14ac:dyDescent="0.25"/>
    <row r="76963" s="12" customFormat="1" x14ac:dyDescent="0.25"/>
    <row r="76964" s="12" customFormat="1" x14ac:dyDescent="0.25"/>
    <row r="76965" s="12" customFormat="1" x14ac:dyDescent="0.25"/>
    <row r="76966" s="12" customFormat="1" x14ac:dyDescent="0.25"/>
    <row r="76967" s="12" customFormat="1" x14ac:dyDescent="0.25"/>
    <row r="76968" s="12" customFormat="1" x14ac:dyDescent="0.25"/>
    <row r="76969" s="12" customFormat="1" x14ac:dyDescent="0.25"/>
    <row r="76970" s="12" customFormat="1" x14ac:dyDescent="0.25"/>
    <row r="76971" s="12" customFormat="1" x14ac:dyDescent="0.25"/>
    <row r="76972" s="12" customFormat="1" x14ac:dyDescent="0.25"/>
    <row r="76973" s="12" customFormat="1" x14ac:dyDescent="0.25"/>
    <row r="76974" s="12" customFormat="1" x14ac:dyDescent="0.25"/>
    <row r="76975" s="12" customFormat="1" x14ac:dyDescent="0.25"/>
    <row r="76976" s="12" customFormat="1" x14ac:dyDescent="0.25"/>
    <row r="76977" s="12" customFormat="1" x14ac:dyDescent="0.25"/>
    <row r="76978" s="12" customFormat="1" x14ac:dyDescent="0.25"/>
    <row r="76979" s="12" customFormat="1" x14ac:dyDescent="0.25"/>
    <row r="76980" s="12" customFormat="1" x14ac:dyDescent="0.25"/>
    <row r="76981" s="12" customFormat="1" x14ac:dyDescent="0.25"/>
    <row r="76982" s="12" customFormat="1" x14ac:dyDescent="0.25"/>
    <row r="76983" s="12" customFormat="1" x14ac:dyDescent="0.25"/>
    <row r="76984" s="12" customFormat="1" x14ac:dyDescent="0.25"/>
    <row r="76985" s="12" customFormat="1" x14ac:dyDescent="0.25"/>
    <row r="76986" s="12" customFormat="1" x14ac:dyDescent="0.25"/>
    <row r="76987" s="12" customFormat="1" x14ac:dyDescent="0.25"/>
    <row r="76988" s="12" customFormat="1" x14ac:dyDescent="0.25"/>
    <row r="76989" s="12" customFormat="1" x14ac:dyDescent="0.25"/>
    <row r="76990" s="12" customFormat="1" x14ac:dyDescent="0.25"/>
    <row r="76991" s="12" customFormat="1" x14ac:dyDescent="0.25"/>
    <row r="76992" s="12" customFormat="1" x14ac:dyDescent="0.25"/>
    <row r="76993" s="12" customFormat="1" x14ac:dyDescent="0.25"/>
    <row r="76994" s="12" customFormat="1" x14ac:dyDescent="0.25"/>
    <row r="76995" s="12" customFormat="1" x14ac:dyDescent="0.25"/>
    <row r="76996" s="12" customFormat="1" x14ac:dyDescent="0.25"/>
    <row r="76997" s="12" customFormat="1" x14ac:dyDescent="0.25"/>
    <row r="76998" s="12" customFormat="1" x14ac:dyDescent="0.25"/>
    <row r="76999" s="12" customFormat="1" x14ac:dyDescent="0.25"/>
    <row r="77000" s="12" customFormat="1" x14ac:dyDescent="0.25"/>
    <row r="77001" s="12" customFormat="1" x14ac:dyDescent="0.25"/>
    <row r="77002" s="12" customFormat="1" x14ac:dyDescent="0.25"/>
    <row r="77003" s="12" customFormat="1" x14ac:dyDescent="0.25"/>
    <row r="77004" s="12" customFormat="1" x14ac:dyDescent="0.25"/>
    <row r="77005" s="12" customFormat="1" x14ac:dyDescent="0.25"/>
    <row r="77006" s="12" customFormat="1" x14ac:dyDescent="0.25"/>
    <row r="77007" s="12" customFormat="1" x14ac:dyDescent="0.25"/>
    <row r="77008" s="12" customFormat="1" x14ac:dyDescent="0.25"/>
    <row r="77009" s="12" customFormat="1" x14ac:dyDescent="0.25"/>
    <row r="77010" s="12" customFormat="1" x14ac:dyDescent="0.25"/>
    <row r="77011" s="12" customFormat="1" x14ac:dyDescent="0.25"/>
    <row r="77012" s="12" customFormat="1" x14ac:dyDescent="0.25"/>
    <row r="77013" s="12" customFormat="1" x14ac:dyDescent="0.25"/>
    <row r="77014" s="12" customFormat="1" x14ac:dyDescent="0.25"/>
    <row r="77015" s="12" customFormat="1" x14ac:dyDescent="0.25"/>
    <row r="77016" s="12" customFormat="1" x14ac:dyDescent="0.25"/>
    <row r="77017" s="12" customFormat="1" x14ac:dyDescent="0.25"/>
    <row r="77018" s="12" customFormat="1" x14ac:dyDescent="0.25"/>
    <row r="77019" s="12" customFormat="1" x14ac:dyDescent="0.25"/>
    <row r="77020" s="12" customFormat="1" x14ac:dyDescent="0.25"/>
    <row r="77021" s="12" customFormat="1" x14ac:dyDescent="0.25"/>
    <row r="77022" s="12" customFormat="1" x14ac:dyDescent="0.25"/>
    <row r="77023" s="12" customFormat="1" x14ac:dyDescent="0.25"/>
    <row r="77024" s="12" customFormat="1" x14ac:dyDescent="0.25"/>
    <row r="77025" s="12" customFormat="1" x14ac:dyDescent="0.25"/>
    <row r="77026" s="12" customFormat="1" x14ac:dyDescent="0.25"/>
    <row r="77027" s="12" customFormat="1" x14ac:dyDescent="0.25"/>
    <row r="77028" s="12" customFormat="1" x14ac:dyDescent="0.25"/>
    <row r="77029" s="12" customFormat="1" x14ac:dyDescent="0.25"/>
    <row r="77030" s="12" customFormat="1" x14ac:dyDescent="0.25"/>
    <row r="77031" s="12" customFormat="1" x14ac:dyDescent="0.25"/>
    <row r="77032" s="12" customFormat="1" x14ac:dyDescent="0.25"/>
    <row r="77033" s="12" customFormat="1" x14ac:dyDescent="0.25"/>
    <row r="77034" s="12" customFormat="1" x14ac:dyDescent="0.25"/>
    <row r="77035" s="12" customFormat="1" x14ac:dyDescent="0.25"/>
    <row r="77036" s="12" customFormat="1" x14ac:dyDescent="0.25"/>
    <row r="77037" s="12" customFormat="1" x14ac:dyDescent="0.25"/>
    <row r="77038" s="12" customFormat="1" x14ac:dyDescent="0.25"/>
    <row r="77039" s="12" customFormat="1" x14ac:dyDescent="0.25"/>
    <row r="77040" s="12" customFormat="1" x14ac:dyDescent="0.25"/>
    <row r="77041" s="12" customFormat="1" x14ac:dyDescent="0.25"/>
    <row r="77042" s="12" customFormat="1" x14ac:dyDescent="0.25"/>
    <row r="77043" s="12" customFormat="1" x14ac:dyDescent="0.25"/>
    <row r="77044" s="12" customFormat="1" x14ac:dyDescent="0.25"/>
    <row r="77045" s="12" customFormat="1" x14ac:dyDescent="0.25"/>
    <row r="77046" s="12" customFormat="1" x14ac:dyDescent="0.25"/>
    <row r="77047" s="12" customFormat="1" x14ac:dyDescent="0.25"/>
    <row r="77048" s="12" customFormat="1" x14ac:dyDescent="0.25"/>
    <row r="77049" s="12" customFormat="1" x14ac:dyDescent="0.25"/>
    <row r="77050" s="12" customFormat="1" x14ac:dyDescent="0.25"/>
    <row r="77051" s="12" customFormat="1" x14ac:dyDescent="0.25"/>
    <row r="77052" s="12" customFormat="1" x14ac:dyDescent="0.25"/>
    <row r="77053" s="12" customFormat="1" x14ac:dyDescent="0.25"/>
    <row r="77054" s="12" customFormat="1" x14ac:dyDescent="0.25"/>
    <row r="77055" s="12" customFormat="1" x14ac:dyDescent="0.25"/>
    <row r="77056" s="12" customFormat="1" x14ac:dyDescent="0.25"/>
    <row r="77057" s="12" customFormat="1" x14ac:dyDescent="0.25"/>
    <row r="77058" s="12" customFormat="1" x14ac:dyDescent="0.25"/>
    <row r="77059" s="12" customFormat="1" x14ac:dyDescent="0.25"/>
    <row r="77060" s="12" customFormat="1" x14ac:dyDescent="0.25"/>
    <row r="77061" s="12" customFormat="1" x14ac:dyDescent="0.25"/>
    <row r="77062" s="12" customFormat="1" x14ac:dyDescent="0.25"/>
    <row r="77063" s="12" customFormat="1" x14ac:dyDescent="0.25"/>
    <row r="77064" s="12" customFormat="1" x14ac:dyDescent="0.25"/>
    <row r="77065" s="12" customFormat="1" x14ac:dyDescent="0.25"/>
    <row r="77066" s="12" customFormat="1" x14ac:dyDescent="0.25"/>
    <row r="77067" s="12" customFormat="1" x14ac:dyDescent="0.25"/>
    <row r="77068" s="12" customFormat="1" x14ac:dyDescent="0.25"/>
    <row r="77069" s="12" customFormat="1" x14ac:dyDescent="0.25"/>
    <row r="77070" s="12" customFormat="1" x14ac:dyDescent="0.25"/>
    <row r="77071" s="12" customFormat="1" x14ac:dyDescent="0.25"/>
    <row r="77072" s="12" customFormat="1" x14ac:dyDescent="0.25"/>
    <row r="77073" s="12" customFormat="1" x14ac:dyDescent="0.25"/>
    <row r="77074" s="12" customFormat="1" x14ac:dyDescent="0.25"/>
    <row r="77075" s="12" customFormat="1" x14ac:dyDescent="0.25"/>
    <row r="77076" s="12" customFormat="1" x14ac:dyDescent="0.25"/>
    <row r="77077" s="12" customFormat="1" x14ac:dyDescent="0.25"/>
    <row r="77078" s="12" customFormat="1" x14ac:dyDescent="0.25"/>
    <row r="77079" s="12" customFormat="1" x14ac:dyDescent="0.25"/>
    <row r="77080" s="12" customFormat="1" x14ac:dyDescent="0.25"/>
    <row r="77081" s="12" customFormat="1" x14ac:dyDescent="0.25"/>
    <row r="77082" s="12" customFormat="1" x14ac:dyDescent="0.25"/>
    <row r="77083" s="12" customFormat="1" x14ac:dyDescent="0.25"/>
    <row r="77084" s="12" customFormat="1" x14ac:dyDescent="0.25"/>
    <row r="77085" s="12" customFormat="1" x14ac:dyDescent="0.25"/>
    <row r="77086" s="12" customFormat="1" x14ac:dyDescent="0.25"/>
    <row r="77087" s="12" customFormat="1" x14ac:dyDescent="0.25"/>
    <row r="77088" s="12" customFormat="1" x14ac:dyDescent="0.25"/>
    <row r="77089" s="12" customFormat="1" x14ac:dyDescent="0.25"/>
    <row r="77090" s="12" customFormat="1" x14ac:dyDescent="0.25"/>
    <row r="77091" s="12" customFormat="1" x14ac:dyDescent="0.25"/>
    <row r="77092" s="12" customFormat="1" x14ac:dyDescent="0.25"/>
    <row r="77093" s="12" customFormat="1" x14ac:dyDescent="0.25"/>
    <row r="77094" s="12" customFormat="1" x14ac:dyDescent="0.25"/>
    <row r="77095" s="12" customFormat="1" x14ac:dyDescent="0.25"/>
    <row r="77096" s="12" customFormat="1" x14ac:dyDescent="0.25"/>
    <row r="77097" s="12" customFormat="1" x14ac:dyDescent="0.25"/>
    <row r="77098" s="12" customFormat="1" x14ac:dyDescent="0.25"/>
    <row r="77099" s="12" customFormat="1" x14ac:dyDescent="0.25"/>
    <row r="77100" s="12" customFormat="1" x14ac:dyDescent="0.25"/>
    <row r="77101" s="12" customFormat="1" x14ac:dyDescent="0.25"/>
    <row r="77102" s="12" customFormat="1" x14ac:dyDescent="0.25"/>
    <row r="77103" s="12" customFormat="1" x14ac:dyDescent="0.25"/>
    <row r="77104" s="12" customFormat="1" x14ac:dyDescent="0.25"/>
    <row r="77105" s="12" customFormat="1" x14ac:dyDescent="0.25"/>
    <row r="77106" s="12" customFormat="1" x14ac:dyDescent="0.25"/>
    <row r="77107" s="12" customFormat="1" x14ac:dyDescent="0.25"/>
    <row r="77108" s="12" customFormat="1" x14ac:dyDescent="0.25"/>
    <row r="77109" s="12" customFormat="1" x14ac:dyDescent="0.25"/>
    <row r="77110" s="12" customFormat="1" x14ac:dyDescent="0.25"/>
    <row r="77111" s="12" customFormat="1" x14ac:dyDescent="0.25"/>
    <row r="77112" s="12" customFormat="1" x14ac:dyDescent="0.25"/>
    <row r="77113" s="12" customFormat="1" x14ac:dyDescent="0.25"/>
    <row r="77114" s="12" customFormat="1" x14ac:dyDescent="0.25"/>
    <row r="77115" s="12" customFormat="1" x14ac:dyDescent="0.25"/>
    <row r="77116" s="12" customFormat="1" x14ac:dyDescent="0.25"/>
    <row r="77117" s="12" customFormat="1" x14ac:dyDescent="0.25"/>
    <row r="77118" s="12" customFormat="1" x14ac:dyDescent="0.25"/>
    <row r="77119" s="12" customFormat="1" x14ac:dyDescent="0.25"/>
    <row r="77120" s="12" customFormat="1" x14ac:dyDescent="0.25"/>
    <row r="77121" s="12" customFormat="1" x14ac:dyDescent="0.25"/>
    <row r="77122" s="12" customFormat="1" x14ac:dyDescent="0.25"/>
    <row r="77123" s="12" customFormat="1" x14ac:dyDescent="0.25"/>
    <row r="77124" s="12" customFormat="1" x14ac:dyDescent="0.25"/>
    <row r="77125" s="12" customFormat="1" x14ac:dyDescent="0.25"/>
    <row r="77126" s="12" customFormat="1" x14ac:dyDescent="0.25"/>
    <row r="77127" s="12" customFormat="1" x14ac:dyDescent="0.25"/>
    <row r="77128" s="12" customFormat="1" x14ac:dyDescent="0.25"/>
    <row r="77129" s="12" customFormat="1" x14ac:dyDescent="0.25"/>
    <row r="77130" s="12" customFormat="1" x14ac:dyDescent="0.25"/>
    <row r="77131" s="12" customFormat="1" x14ac:dyDescent="0.25"/>
    <row r="77132" s="12" customFormat="1" x14ac:dyDescent="0.25"/>
    <row r="77133" s="12" customFormat="1" x14ac:dyDescent="0.25"/>
    <row r="77134" s="12" customFormat="1" x14ac:dyDescent="0.25"/>
    <row r="77135" s="12" customFormat="1" x14ac:dyDescent="0.25"/>
    <row r="77136" s="12" customFormat="1" x14ac:dyDescent="0.25"/>
    <row r="77137" s="12" customFormat="1" x14ac:dyDescent="0.25"/>
    <row r="77138" s="12" customFormat="1" x14ac:dyDescent="0.25"/>
    <row r="77139" s="12" customFormat="1" x14ac:dyDescent="0.25"/>
    <row r="77140" s="12" customFormat="1" x14ac:dyDescent="0.25"/>
    <row r="77141" s="12" customFormat="1" x14ac:dyDescent="0.25"/>
    <row r="77142" s="12" customFormat="1" x14ac:dyDescent="0.25"/>
    <row r="77143" s="12" customFormat="1" x14ac:dyDescent="0.25"/>
    <row r="77144" s="12" customFormat="1" x14ac:dyDescent="0.25"/>
    <row r="77145" s="12" customFormat="1" x14ac:dyDescent="0.25"/>
    <row r="77146" s="12" customFormat="1" x14ac:dyDescent="0.25"/>
    <row r="77147" s="12" customFormat="1" x14ac:dyDescent="0.25"/>
    <row r="77148" s="12" customFormat="1" x14ac:dyDescent="0.25"/>
    <row r="77149" s="12" customFormat="1" x14ac:dyDescent="0.25"/>
    <row r="77150" s="12" customFormat="1" x14ac:dyDescent="0.25"/>
    <row r="77151" s="12" customFormat="1" x14ac:dyDescent="0.25"/>
    <row r="77152" s="12" customFormat="1" x14ac:dyDescent="0.25"/>
    <row r="77153" s="12" customFormat="1" x14ac:dyDescent="0.25"/>
    <row r="77154" s="12" customFormat="1" x14ac:dyDescent="0.25"/>
    <row r="77155" s="12" customFormat="1" x14ac:dyDescent="0.25"/>
    <row r="77156" s="12" customFormat="1" x14ac:dyDescent="0.25"/>
    <row r="77157" s="12" customFormat="1" x14ac:dyDescent="0.25"/>
    <row r="77158" s="12" customFormat="1" x14ac:dyDescent="0.25"/>
    <row r="77159" s="12" customFormat="1" x14ac:dyDescent="0.25"/>
    <row r="77160" s="12" customFormat="1" x14ac:dyDescent="0.25"/>
    <row r="77161" s="12" customFormat="1" x14ac:dyDescent="0.25"/>
    <row r="77162" s="12" customFormat="1" x14ac:dyDescent="0.25"/>
    <row r="77163" s="12" customFormat="1" x14ac:dyDescent="0.25"/>
    <row r="77164" s="12" customFormat="1" x14ac:dyDescent="0.25"/>
    <row r="77165" s="12" customFormat="1" x14ac:dyDescent="0.25"/>
    <row r="77166" s="12" customFormat="1" x14ac:dyDescent="0.25"/>
    <row r="77167" s="12" customFormat="1" x14ac:dyDescent="0.25"/>
    <row r="77168" s="12" customFormat="1" x14ac:dyDescent="0.25"/>
    <row r="77169" s="12" customFormat="1" x14ac:dyDescent="0.25"/>
    <row r="77170" s="12" customFormat="1" x14ac:dyDescent="0.25"/>
    <row r="77171" s="12" customFormat="1" x14ac:dyDescent="0.25"/>
    <row r="77172" s="12" customFormat="1" x14ac:dyDescent="0.25"/>
    <row r="77173" s="12" customFormat="1" x14ac:dyDescent="0.25"/>
    <row r="77174" s="12" customFormat="1" x14ac:dyDescent="0.25"/>
    <row r="77175" s="12" customFormat="1" x14ac:dyDescent="0.25"/>
    <row r="77176" s="12" customFormat="1" x14ac:dyDescent="0.25"/>
    <row r="77177" s="12" customFormat="1" x14ac:dyDescent="0.25"/>
    <row r="77178" s="12" customFormat="1" x14ac:dyDescent="0.25"/>
    <row r="77179" s="12" customFormat="1" x14ac:dyDescent="0.25"/>
    <row r="77180" s="12" customFormat="1" x14ac:dyDescent="0.25"/>
    <row r="77181" s="12" customFormat="1" x14ac:dyDescent="0.25"/>
    <row r="77182" s="12" customFormat="1" x14ac:dyDescent="0.25"/>
    <row r="77183" s="12" customFormat="1" x14ac:dyDescent="0.25"/>
    <row r="77184" s="12" customFormat="1" x14ac:dyDescent="0.25"/>
    <row r="77185" s="12" customFormat="1" x14ac:dyDescent="0.25"/>
    <row r="77186" s="12" customFormat="1" x14ac:dyDescent="0.25"/>
    <row r="77187" s="12" customFormat="1" x14ac:dyDescent="0.25"/>
    <row r="77188" s="12" customFormat="1" x14ac:dyDescent="0.25"/>
    <row r="77189" s="12" customFormat="1" x14ac:dyDescent="0.25"/>
    <row r="77190" s="12" customFormat="1" x14ac:dyDescent="0.25"/>
    <row r="77191" s="12" customFormat="1" x14ac:dyDescent="0.25"/>
    <row r="77192" s="12" customFormat="1" x14ac:dyDescent="0.25"/>
    <row r="77193" s="12" customFormat="1" x14ac:dyDescent="0.25"/>
    <row r="77194" s="12" customFormat="1" x14ac:dyDescent="0.25"/>
    <row r="77195" s="12" customFormat="1" x14ac:dyDescent="0.25"/>
    <row r="77196" s="12" customFormat="1" x14ac:dyDescent="0.25"/>
    <row r="77197" s="12" customFormat="1" x14ac:dyDescent="0.25"/>
    <row r="77198" s="12" customFormat="1" x14ac:dyDescent="0.25"/>
    <row r="77199" s="12" customFormat="1" x14ac:dyDescent="0.25"/>
    <row r="77200" s="12" customFormat="1" x14ac:dyDescent="0.25"/>
    <row r="77201" s="12" customFormat="1" x14ac:dyDescent="0.25"/>
    <row r="77202" s="12" customFormat="1" x14ac:dyDescent="0.25"/>
    <row r="77203" s="12" customFormat="1" x14ac:dyDescent="0.25"/>
    <row r="77204" s="12" customFormat="1" x14ac:dyDescent="0.25"/>
    <row r="77205" s="12" customFormat="1" x14ac:dyDescent="0.25"/>
    <row r="77206" s="12" customFormat="1" x14ac:dyDescent="0.25"/>
    <row r="77207" s="12" customFormat="1" x14ac:dyDescent="0.25"/>
    <row r="77208" s="12" customFormat="1" x14ac:dyDescent="0.25"/>
    <row r="77209" s="12" customFormat="1" x14ac:dyDescent="0.25"/>
    <row r="77210" s="12" customFormat="1" x14ac:dyDescent="0.25"/>
    <row r="77211" s="12" customFormat="1" x14ac:dyDescent="0.25"/>
    <row r="77212" s="12" customFormat="1" x14ac:dyDescent="0.25"/>
    <row r="77213" s="12" customFormat="1" x14ac:dyDescent="0.25"/>
    <row r="77214" s="12" customFormat="1" x14ac:dyDescent="0.25"/>
    <row r="77215" s="12" customFormat="1" x14ac:dyDescent="0.25"/>
    <row r="77216" s="12" customFormat="1" x14ac:dyDescent="0.25"/>
    <row r="77217" s="12" customFormat="1" x14ac:dyDescent="0.25"/>
    <row r="77218" s="12" customFormat="1" x14ac:dyDescent="0.25"/>
    <row r="77219" s="12" customFormat="1" x14ac:dyDescent="0.25"/>
    <row r="77220" s="12" customFormat="1" x14ac:dyDescent="0.25"/>
    <row r="77221" s="12" customFormat="1" x14ac:dyDescent="0.25"/>
    <row r="77222" s="12" customFormat="1" x14ac:dyDescent="0.25"/>
    <row r="77223" s="12" customFormat="1" x14ac:dyDescent="0.25"/>
    <row r="77224" s="12" customFormat="1" x14ac:dyDescent="0.25"/>
    <row r="77225" s="12" customFormat="1" x14ac:dyDescent="0.25"/>
    <row r="77226" s="12" customFormat="1" x14ac:dyDescent="0.25"/>
    <row r="77227" s="12" customFormat="1" x14ac:dyDescent="0.25"/>
    <row r="77228" s="12" customFormat="1" x14ac:dyDescent="0.25"/>
    <row r="77229" s="12" customFormat="1" x14ac:dyDescent="0.25"/>
    <row r="77230" s="12" customFormat="1" x14ac:dyDescent="0.25"/>
    <row r="77231" s="12" customFormat="1" x14ac:dyDescent="0.25"/>
    <row r="77232" s="12" customFormat="1" x14ac:dyDescent="0.25"/>
    <row r="77233" s="12" customFormat="1" x14ac:dyDescent="0.25"/>
    <row r="77234" s="12" customFormat="1" x14ac:dyDescent="0.25"/>
    <row r="77235" s="12" customFormat="1" x14ac:dyDescent="0.25"/>
    <row r="77236" s="12" customFormat="1" x14ac:dyDescent="0.25"/>
    <row r="77237" s="12" customFormat="1" x14ac:dyDescent="0.25"/>
    <row r="77238" s="12" customFormat="1" x14ac:dyDescent="0.25"/>
    <row r="77239" s="12" customFormat="1" x14ac:dyDescent="0.25"/>
    <row r="77240" s="12" customFormat="1" x14ac:dyDescent="0.25"/>
    <row r="77241" s="12" customFormat="1" x14ac:dyDescent="0.25"/>
    <row r="77242" s="12" customFormat="1" x14ac:dyDescent="0.25"/>
    <row r="77243" s="12" customFormat="1" x14ac:dyDescent="0.25"/>
    <row r="77244" s="12" customFormat="1" x14ac:dyDescent="0.25"/>
    <row r="77245" s="12" customFormat="1" x14ac:dyDescent="0.25"/>
    <row r="77246" s="12" customFormat="1" x14ac:dyDescent="0.25"/>
    <row r="77247" s="12" customFormat="1" x14ac:dyDescent="0.25"/>
    <row r="77248" s="12" customFormat="1" x14ac:dyDescent="0.25"/>
    <row r="77249" s="12" customFormat="1" x14ac:dyDescent="0.25"/>
    <row r="77250" s="12" customFormat="1" x14ac:dyDescent="0.25"/>
    <row r="77251" s="12" customFormat="1" x14ac:dyDescent="0.25"/>
    <row r="77252" s="12" customFormat="1" x14ac:dyDescent="0.25"/>
    <row r="77253" s="12" customFormat="1" x14ac:dyDescent="0.25"/>
    <row r="77254" s="12" customFormat="1" x14ac:dyDescent="0.25"/>
    <row r="77255" s="12" customFormat="1" x14ac:dyDescent="0.25"/>
    <row r="77256" s="12" customFormat="1" x14ac:dyDescent="0.25"/>
    <row r="77257" s="12" customFormat="1" x14ac:dyDescent="0.25"/>
    <row r="77258" s="12" customFormat="1" x14ac:dyDescent="0.25"/>
    <row r="77259" s="12" customFormat="1" x14ac:dyDescent="0.25"/>
    <row r="77260" s="12" customFormat="1" x14ac:dyDescent="0.25"/>
    <row r="77261" s="12" customFormat="1" x14ac:dyDescent="0.25"/>
    <row r="77262" s="12" customFormat="1" x14ac:dyDescent="0.25"/>
    <row r="77263" s="12" customFormat="1" x14ac:dyDescent="0.25"/>
    <row r="77264" s="12" customFormat="1" x14ac:dyDescent="0.25"/>
    <row r="77265" s="12" customFormat="1" x14ac:dyDescent="0.25"/>
    <row r="77266" s="12" customFormat="1" x14ac:dyDescent="0.25"/>
    <row r="77267" s="12" customFormat="1" x14ac:dyDescent="0.25"/>
    <row r="77268" s="12" customFormat="1" x14ac:dyDescent="0.25"/>
    <row r="77269" s="12" customFormat="1" x14ac:dyDescent="0.25"/>
    <row r="77270" s="12" customFormat="1" x14ac:dyDescent="0.25"/>
    <row r="77271" s="12" customFormat="1" x14ac:dyDescent="0.25"/>
    <row r="77272" s="12" customFormat="1" x14ac:dyDescent="0.25"/>
    <row r="77273" s="12" customFormat="1" x14ac:dyDescent="0.25"/>
    <row r="77274" s="12" customFormat="1" x14ac:dyDescent="0.25"/>
    <row r="77275" s="12" customFormat="1" x14ac:dyDescent="0.25"/>
    <row r="77276" s="12" customFormat="1" x14ac:dyDescent="0.25"/>
    <row r="77277" s="12" customFormat="1" x14ac:dyDescent="0.25"/>
    <row r="77278" s="12" customFormat="1" x14ac:dyDescent="0.25"/>
    <row r="77279" s="12" customFormat="1" x14ac:dyDescent="0.25"/>
    <row r="77280" s="12" customFormat="1" x14ac:dyDescent="0.25"/>
    <row r="77281" s="12" customFormat="1" x14ac:dyDescent="0.25"/>
    <row r="77282" s="12" customFormat="1" x14ac:dyDescent="0.25"/>
    <row r="77283" s="12" customFormat="1" x14ac:dyDescent="0.25"/>
    <row r="77284" s="12" customFormat="1" x14ac:dyDescent="0.25"/>
    <row r="77285" s="12" customFormat="1" x14ac:dyDescent="0.25"/>
    <row r="77286" s="12" customFormat="1" x14ac:dyDescent="0.25"/>
    <row r="77287" s="12" customFormat="1" x14ac:dyDescent="0.25"/>
    <row r="77288" s="12" customFormat="1" x14ac:dyDescent="0.25"/>
    <row r="77289" s="12" customFormat="1" x14ac:dyDescent="0.25"/>
    <row r="77290" s="12" customFormat="1" x14ac:dyDescent="0.25"/>
    <row r="77291" s="12" customFormat="1" x14ac:dyDescent="0.25"/>
    <row r="77292" s="12" customFormat="1" x14ac:dyDescent="0.25"/>
    <row r="77293" s="12" customFormat="1" x14ac:dyDescent="0.25"/>
    <row r="77294" s="12" customFormat="1" x14ac:dyDescent="0.25"/>
    <row r="77295" s="12" customFormat="1" x14ac:dyDescent="0.25"/>
    <row r="77296" s="12" customFormat="1" x14ac:dyDescent="0.25"/>
    <row r="77297" s="12" customFormat="1" x14ac:dyDescent="0.25"/>
    <row r="77298" s="12" customFormat="1" x14ac:dyDescent="0.25"/>
    <row r="77299" s="12" customFormat="1" x14ac:dyDescent="0.25"/>
    <row r="77300" s="12" customFormat="1" x14ac:dyDescent="0.25"/>
    <row r="77301" s="12" customFormat="1" x14ac:dyDescent="0.25"/>
    <row r="77302" s="12" customFormat="1" x14ac:dyDescent="0.25"/>
    <row r="77303" s="12" customFormat="1" x14ac:dyDescent="0.25"/>
    <row r="77304" s="12" customFormat="1" x14ac:dyDescent="0.25"/>
    <row r="77305" s="12" customFormat="1" x14ac:dyDescent="0.25"/>
    <row r="77306" s="12" customFormat="1" x14ac:dyDescent="0.25"/>
    <row r="77307" s="12" customFormat="1" x14ac:dyDescent="0.25"/>
    <row r="77308" s="12" customFormat="1" x14ac:dyDescent="0.25"/>
    <row r="77309" s="12" customFormat="1" x14ac:dyDescent="0.25"/>
    <row r="77310" s="12" customFormat="1" x14ac:dyDescent="0.25"/>
    <row r="77311" s="12" customFormat="1" x14ac:dyDescent="0.25"/>
    <row r="77312" s="12" customFormat="1" x14ac:dyDescent="0.25"/>
    <row r="77313" s="12" customFormat="1" x14ac:dyDescent="0.25"/>
    <row r="77314" s="12" customFormat="1" x14ac:dyDescent="0.25"/>
    <row r="77315" s="12" customFormat="1" x14ac:dyDescent="0.25"/>
    <row r="77316" s="12" customFormat="1" x14ac:dyDescent="0.25"/>
    <row r="77317" s="12" customFormat="1" x14ac:dyDescent="0.25"/>
    <row r="77318" s="12" customFormat="1" x14ac:dyDescent="0.25"/>
    <row r="77319" s="12" customFormat="1" x14ac:dyDescent="0.25"/>
    <row r="77320" s="12" customFormat="1" x14ac:dyDescent="0.25"/>
    <row r="77321" s="12" customFormat="1" x14ac:dyDescent="0.25"/>
    <row r="77322" s="12" customFormat="1" x14ac:dyDescent="0.25"/>
    <row r="77323" s="12" customFormat="1" x14ac:dyDescent="0.25"/>
    <row r="77324" s="12" customFormat="1" x14ac:dyDescent="0.25"/>
    <row r="77325" s="12" customFormat="1" x14ac:dyDescent="0.25"/>
    <row r="77326" s="12" customFormat="1" x14ac:dyDescent="0.25"/>
    <row r="77327" s="12" customFormat="1" x14ac:dyDescent="0.25"/>
    <row r="77328" s="12" customFormat="1" x14ac:dyDescent="0.25"/>
    <row r="77329" s="12" customFormat="1" x14ac:dyDescent="0.25"/>
    <row r="77330" s="12" customFormat="1" x14ac:dyDescent="0.25"/>
    <row r="77331" s="12" customFormat="1" x14ac:dyDescent="0.25"/>
    <row r="77332" s="12" customFormat="1" x14ac:dyDescent="0.25"/>
    <row r="77333" s="12" customFormat="1" x14ac:dyDescent="0.25"/>
    <row r="77334" s="12" customFormat="1" x14ac:dyDescent="0.25"/>
    <row r="77335" s="12" customFormat="1" x14ac:dyDescent="0.25"/>
    <row r="77336" s="12" customFormat="1" x14ac:dyDescent="0.25"/>
    <row r="77337" s="12" customFormat="1" x14ac:dyDescent="0.25"/>
    <row r="77338" s="12" customFormat="1" x14ac:dyDescent="0.25"/>
    <row r="77339" s="12" customFormat="1" x14ac:dyDescent="0.25"/>
    <row r="77340" s="12" customFormat="1" x14ac:dyDescent="0.25"/>
    <row r="77341" s="12" customFormat="1" x14ac:dyDescent="0.25"/>
    <row r="77342" s="12" customFormat="1" x14ac:dyDescent="0.25"/>
    <row r="77343" s="12" customFormat="1" x14ac:dyDescent="0.25"/>
    <row r="77344" s="12" customFormat="1" x14ac:dyDescent="0.25"/>
    <row r="77345" s="12" customFormat="1" x14ac:dyDescent="0.25"/>
    <row r="77346" s="12" customFormat="1" x14ac:dyDescent="0.25"/>
    <row r="77347" s="12" customFormat="1" x14ac:dyDescent="0.25"/>
    <row r="77348" s="12" customFormat="1" x14ac:dyDescent="0.25"/>
    <row r="77349" s="12" customFormat="1" x14ac:dyDescent="0.25"/>
    <row r="77350" s="12" customFormat="1" x14ac:dyDescent="0.25"/>
    <row r="77351" s="12" customFormat="1" x14ac:dyDescent="0.25"/>
    <row r="77352" s="12" customFormat="1" x14ac:dyDescent="0.25"/>
    <row r="77353" s="12" customFormat="1" x14ac:dyDescent="0.25"/>
    <row r="77354" s="12" customFormat="1" x14ac:dyDescent="0.25"/>
    <row r="77355" s="12" customFormat="1" x14ac:dyDescent="0.25"/>
    <row r="77356" s="12" customFormat="1" x14ac:dyDescent="0.25"/>
    <row r="77357" s="12" customFormat="1" x14ac:dyDescent="0.25"/>
    <row r="77358" s="12" customFormat="1" x14ac:dyDescent="0.25"/>
    <row r="77359" s="12" customFormat="1" x14ac:dyDescent="0.25"/>
    <row r="77360" s="12" customFormat="1" x14ac:dyDescent="0.25"/>
    <row r="77361" s="12" customFormat="1" x14ac:dyDescent="0.25"/>
    <row r="77362" s="12" customFormat="1" x14ac:dyDescent="0.25"/>
    <row r="77363" s="12" customFormat="1" x14ac:dyDescent="0.25"/>
    <row r="77364" s="12" customFormat="1" x14ac:dyDescent="0.25"/>
    <row r="77365" s="12" customFormat="1" x14ac:dyDescent="0.25"/>
    <row r="77366" s="12" customFormat="1" x14ac:dyDescent="0.25"/>
    <row r="77367" s="12" customFormat="1" x14ac:dyDescent="0.25"/>
    <row r="77368" s="12" customFormat="1" x14ac:dyDescent="0.25"/>
    <row r="77369" s="12" customFormat="1" x14ac:dyDescent="0.25"/>
    <row r="77370" s="12" customFormat="1" x14ac:dyDescent="0.25"/>
    <row r="77371" s="12" customFormat="1" x14ac:dyDescent="0.25"/>
    <row r="77372" s="12" customFormat="1" x14ac:dyDescent="0.25"/>
    <row r="77373" s="12" customFormat="1" x14ac:dyDescent="0.25"/>
    <row r="77374" s="12" customFormat="1" x14ac:dyDescent="0.25"/>
    <row r="77375" s="12" customFormat="1" x14ac:dyDescent="0.25"/>
    <row r="77376" s="12" customFormat="1" x14ac:dyDescent="0.25"/>
    <row r="77377" s="12" customFormat="1" x14ac:dyDescent="0.25"/>
    <row r="77378" s="12" customFormat="1" x14ac:dyDescent="0.25"/>
    <row r="77379" s="12" customFormat="1" x14ac:dyDescent="0.25"/>
    <row r="77380" s="12" customFormat="1" x14ac:dyDescent="0.25"/>
    <row r="77381" s="12" customFormat="1" x14ac:dyDescent="0.25"/>
    <row r="77382" s="12" customFormat="1" x14ac:dyDescent="0.25"/>
    <row r="77383" s="12" customFormat="1" x14ac:dyDescent="0.25"/>
    <row r="77384" s="12" customFormat="1" x14ac:dyDescent="0.25"/>
    <row r="77385" s="12" customFormat="1" x14ac:dyDescent="0.25"/>
    <row r="77386" s="12" customFormat="1" x14ac:dyDescent="0.25"/>
    <row r="77387" s="12" customFormat="1" x14ac:dyDescent="0.25"/>
    <row r="77388" s="12" customFormat="1" x14ac:dyDescent="0.25"/>
    <row r="77389" s="12" customFormat="1" x14ac:dyDescent="0.25"/>
    <row r="77390" s="12" customFormat="1" x14ac:dyDescent="0.25"/>
    <row r="77391" s="12" customFormat="1" x14ac:dyDescent="0.25"/>
    <row r="77392" s="12" customFormat="1" x14ac:dyDescent="0.25"/>
    <row r="77393" s="12" customFormat="1" x14ac:dyDescent="0.25"/>
    <row r="77394" s="12" customFormat="1" x14ac:dyDescent="0.25"/>
    <row r="77395" s="12" customFormat="1" x14ac:dyDescent="0.25"/>
    <row r="77396" s="12" customFormat="1" x14ac:dyDescent="0.25"/>
    <row r="77397" s="12" customFormat="1" x14ac:dyDescent="0.25"/>
    <row r="77398" s="12" customFormat="1" x14ac:dyDescent="0.25"/>
    <row r="77399" s="12" customFormat="1" x14ac:dyDescent="0.25"/>
    <row r="77400" s="12" customFormat="1" x14ac:dyDescent="0.25"/>
    <row r="77401" s="12" customFormat="1" x14ac:dyDescent="0.25"/>
    <row r="77402" s="12" customFormat="1" x14ac:dyDescent="0.25"/>
    <row r="77403" s="12" customFormat="1" x14ac:dyDescent="0.25"/>
    <row r="77404" s="12" customFormat="1" x14ac:dyDescent="0.25"/>
    <row r="77405" s="12" customFormat="1" x14ac:dyDescent="0.25"/>
    <row r="77406" s="12" customFormat="1" x14ac:dyDescent="0.25"/>
    <row r="77407" s="12" customFormat="1" x14ac:dyDescent="0.25"/>
    <row r="77408" s="12" customFormat="1" x14ac:dyDescent="0.25"/>
    <row r="77409" s="12" customFormat="1" x14ac:dyDescent="0.25"/>
    <row r="77410" s="12" customFormat="1" x14ac:dyDescent="0.25"/>
    <row r="77411" s="12" customFormat="1" x14ac:dyDescent="0.25"/>
    <row r="77412" s="12" customFormat="1" x14ac:dyDescent="0.25"/>
    <row r="77413" s="12" customFormat="1" x14ac:dyDescent="0.25"/>
    <row r="77414" s="12" customFormat="1" x14ac:dyDescent="0.25"/>
    <row r="77415" s="12" customFormat="1" x14ac:dyDescent="0.25"/>
    <row r="77416" s="12" customFormat="1" x14ac:dyDescent="0.25"/>
    <row r="77417" s="12" customFormat="1" x14ac:dyDescent="0.25"/>
    <row r="77418" s="12" customFormat="1" x14ac:dyDescent="0.25"/>
    <row r="77419" s="12" customFormat="1" x14ac:dyDescent="0.25"/>
    <row r="77420" s="12" customFormat="1" x14ac:dyDescent="0.25"/>
    <row r="77421" s="12" customFormat="1" x14ac:dyDescent="0.25"/>
    <row r="77422" s="12" customFormat="1" x14ac:dyDescent="0.25"/>
    <row r="77423" s="12" customFormat="1" x14ac:dyDescent="0.25"/>
    <row r="77424" s="12" customFormat="1" x14ac:dyDescent="0.25"/>
    <row r="77425" s="12" customFormat="1" x14ac:dyDescent="0.25"/>
    <row r="77426" s="12" customFormat="1" x14ac:dyDescent="0.25"/>
    <row r="77427" s="12" customFormat="1" x14ac:dyDescent="0.25"/>
    <row r="77428" s="12" customFormat="1" x14ac:dyDescent="0.25"/>
    <row r="77429" s="12" customFormat="1" x14ac:dyDescent="0.25"/>
    <row r="77430" s="12" customFormat="1" x14ac:dyDescent="0.25"/>
    <row r="77431" s="12" customFormat="1" x14ac:dyDescent="0.25"/>
    <row r="77432" s="12" customFormat="1" x14ac:dyDescent="0.25"/>
    <row r="77433" s="12" customFormat="1" x14ac:dyDescent="0.25"/>
    <row r="77434" s="12" customFormat="1" x14ac:dyDescent="0.25"/>
    <row r="77435" s="12" customFormat="1" x14ac:dyDescent="0.25"/>
    <row r="77436" s="12" customFormat="1" x14ac:dyDescent="0.25"/>
    <row r="77437" s="12" customFormat="1" x14ac:dyDescent="0.25"/>
    <row r="77438" s="12" customFormat="1" x14ac:dyDescent="0.25"/>
    <row r="77439" s="12" customFormat="1" x14ac:dyDescent="0.25"/>
    <row r="77440" s="12" customFormat="1" x14ac:dyDescent="0.25"/>
    <row r="77441" s="12" customFormat="1" x14ac:dyDescent="0.25"/>
    <row r="77442" s="12" customFormat="1" x14ac:dyDescent="0.25"/>
    <row r="77443" s="12" customFormat="1" x14ac:dyDescent="0.25"/>
    <row r="77444" s="12" customFormat="1" x14ac:dyDescent="0.25"/>
    <row r="77445" s="12" customFormat="1" x14ac:dyDescent="0.25"/>
    <row r="77446" s="12" customFormat="1" x14ac:dyDescent="0.25"/>
    <row r="77447" s="12" customFormat="1" x14ac:dyDescent="0.25"/>
    <row r="77448" s="12" customFormat="1" x14ac:dyDescent="0.25"/>
    <row r="77449" s="12" customFormat="1" x14ac:dyDescent="0.25"/>
    <row r="77450" s="12" customFormat="1" x14ac:dyDescent="0.25"/>
    <row r="77451" s="12" customFormat="1" x14ac:dyDescent="0.25"/>
    <row r="77452" s="12" customFormat="1" x14ac:dyDescent="0.25"/>
    <row r="77453" s="12" customFormat="1" x14ac:dyDescent="0.25"/>
    <row r="77454" s="12" customFormat="1" x14ac:dyDescent="0.25"/>
    <row r="77455" s="12" customFormat="1" x14ac:dyDescent="0.25"/>
    <row r="77456" s="12" customFormat="1" x14ac:dyDescent="0.25"/>
    <row r="77457" s="12" customFormat="1" x14ac:dyDescent="0.25"/>
    <row r="77458" s="12" customFormat="1" x14ac:dyDescent="0.25"/>
    <row r="77459" s="12" customFormat="1" x14ac:dyDescent="0.25"/>
    <row r="77460" s="12" customFormat="1" x14ac:dyDescent="0.25"/>
    <row r="77461" s="12" customFormat="1" x14ac:dyDescent="0.25"/>
    <row r="77462" s="12" customFormat="1" x14ac:dyDescent="0.25"/>
    <row r="77463" s="12" customFormat="1" x14ac:dyDescent="0.25"/>
    <row r="77464" s="12" customFormat="1" x14ac:dyDescent="0.25"/>
    <row r="77465" s="12" customFormat="1" x14ac:dyDescent="0.25"/>
    <row r="77466" s="12" customFormat="1" x14ac:dyDescent="0.25"/>
    <row r="77467" s="12" customFormat="1" x14ac:dyDescent="0.25"/>
    <row r="77468" s="12" customFormat="1" x14ac:dyDescent="0.25"/>
    <row r="77469" s="12" customFormat="1" x14ac:dyDescent="0.25"/>
    <row r="77470" s="12" customFormat="1" x14ac:dyDescent="0.25"/>
    <row r="77471" s="12" customFormat="1" x14ac:dyDescent="0.25"/>
    <row r="77472" s="12" customFormat="1" x14ac:dyDescent="0.25"/>
    <row r="77473" s="12" customFormat="1" x14ac:dyDescent="0.25"/>
    <row r="77474" s="12" customFormat="1" x14ac:dyDescent="0.25"/>
    <row r="77475" s="12" customFormat="1" x14ac:dyDescent="0.25"/>
    <row r="77476" s="12" customFormat="1" x14ac:dyDescent="0.25"/>
    <row r="77477" s="12" customFormat="1" x14ac:dyDescent="0.25"/>
    <row r="77478" s="12" customFormat="1" x14ac:dyDescent="0.25"/>
    <row r="77479" s="12" customFormat="1" x14ac:dyDescent="0.25"/>
    <row r="77480" s="12" customFormat="1" x14ac:dyDescent="0.25"/>
    <row r="77481" s="12" customFormat="1" x14ac:dyDescent="0.25"/>
    <row r="77482" s="12" customFormat="1" x14ac:dyDescent="0.25"/>
    <row r="77483" s="12" customFormat="1" x14ac:dyDescent="0.25"/>
    <row r="77484" s="12" customFormat="1" x14ac:dyDescent="0.25"/>
    <row r="77485" s="12" customFormat="1" x14ac:dyDescent="0.25"/>
    <row r="77486" s="12" customFormat="1" x14ac:dyDescent="0.25"/>
    <row r="77487" s="12" customFormat="1" x14ac:dyDescent="0.25"/>
    <row r="77488" s="12" customFormat="1" x14ac:dyDescent="0.25"/>
    <row r="77489" s="12" customFormat="1" x14ac:dyDescent="0.25"/>
    <row r="77490" s="12" customFormat="1" x14ac:dyDescent="0.25"/>
    <row r="77491" s="12" customFormat="1" x14ac:dyDescent="0.25"/>
    <row r="77492" s="12" customFormat="1" x14ac:dyDescent="0.25"/>
    <row r="77493" s="12" customFormat="1" x14ac:dyDescent="0.25"/>
    <row r="77494" s="12" customFormat="1" x14ac:dyDescent="0.25"/>
    <row r="77495" s="12" customFormat="1" x14ac:dyDescent="0.25"/>
    <row r="77496" s="12" customFormat="1" x14ac:dyDescent="0.25"/>
    <row r="77497" s="12" customFormat="1" x14ac:dyDescent="0.25"/>
    <row r="77498" s="12" customFormat="1" x14ac:dyDescent="0.25"/>
    <row r="77499" s="12" customFormat="1" x14ac:dyDescent="0.25"/>
    <row r="77500" s="12" customFormat="1" x14ac:dyDescent="0.25"/>
    <row r="77501" s="12" customFormat="1" x14ac:dyDescent="0.25"/>
    <row r="77502" s="12" customFormat="1" x14ac:dyDescent="0.25"/>
    <row r="77503" s="12" customFormat="1" x14ac:dyDescent="0.25"/>
    <row r="77504" s="12" customFormat="1" x14ac:dyDescent="0.25"/>
    <row r="77505" s="12" customFormat="1" x14ac:dyDescent="0.25"/>
    <row r="77506" s="12" customFormat="1" x14ac:dyDescent="0.25"/>
    <row r="77507" s="12" customFormat="1" x14ac:dyDescent="0.25"/>
    <row r="77508" s="12" customFormat="1" x14ac:dyDescent="0.25"/>
    <row r="77509" s="12" customFormat="1" x14ac:dyDescent="0.25"/>
    <row r="77510" s="12" customFormat="1" x14ac:dyDescent="0.25"/>
    <row r="77511" s="12" customFormat="1" x14ac:dyDescent="0.25"/>
    <row r="77512" s="12" customFormat="1" x14ac:dyDescent="0.25"/>
    <row r="77513" s="12" customFormat="1" x14ac:dyDescent="0.25"/>
    <row r="77514" s="12" customFormat="1" x14ac:dyDescent="0.25"/>
    <row r="77515" s="12" customFormat="1" x14ac:dyDescent="0.25"/>
    <row r="77516" s="12" customFormat="1" x14ac:dyDescent="0.25"/>
    <row r="77517" s="12" customFormat="1" x14ac:dyDescent="0.25"/>
    <row r="77518" s="12" customFormat="1" x14ac:dyDescent="0.25"/>
    <row r="77519" s="12" customFormat="1" x14ac:dyDescent="0.25"/>
    <row r="77520" s="12" customFormat="1" x14ac:dyDescent="0.25"/>
    <row r="77521" s="12" customFormat="1" x14ac:dyDescent="0.25"/>
    <row r="77522" s="12" customFormat="1" x14ac:dyDescent="0.25"/>
    <row r="77523" s="12" customFormat="1" x14ac:dyDescent="0.25"/>
    <row r="77524" s="12" customFormat="1" x14ac:dyDescent="0.25"/>
    <row r="77525" s="12" customFormat="1" x14ac:dyDescent="0.25"/>
    <row r="77526" s="12" customFormat="1" x14ac:dyDescent="0.25"/>
    <row r="77527" s="12" customFormat="1" x14ac:dyDescent="0.25"/>
    <row r="77528" s="12" customFormat="1" x14ac:dyDescent="0.25"/>
    <row r="77529" s="12" customFormat="1" x14ac:dyDescent="0.25"/>
    <row r="77530" s="12" customFormat="1" x14ac:dyDescent="0.25"/>
    <row r="77531" s="12" customFormat="1" x14ac:dyDescent="0.25"/>
    <row r="77532" s="12" customFormat="1" x14ac:dyDescent="0.25"/>
    <row r="77533" s="12" customFormat="1" x14ac:dyDescent="0.25"/>
    <row r="77534" s="12" customFormat="1" x14ac:dyDescent="0.25"/>
    <row r="77535" s="12" customFormat="1" x14ac:dyDescent="0.25"/>
    <row r="77536" s="12" customFormat="1" x14ac:dyDescent="0.25"/>
    <row r="77537" s="12" customFormat="1" x14ac:dyDescent="0.25"/>
    <row r="77538" s="12" customFormat="1" x14ac:dyDescent="0.25"/>
    <row r="77539" s="12" customFormat="1" x14ac:dyDescent="0.25"/>
    <row r="77540" s="12" customFormat="1" x14ac:dyDescent="0.25"/>
    <row r="77541" s="12" customFormat="1" x14ac:dyDescent="0.25"/>
    <row r="77542" s="12" customFormat="1" x14ac:dyDescent="0.25"/>
    <row r="77543" s="12" customFormat="1" x14ac:dyDescent="0.25"/>
    <row r="77544" s="12" customFormat="1" x14ac:dyDescent="0.25"/>
    <row r="77545" s="12" customFormat="1" x14ac:dyDescent="0.25"/>
    <row r="77546" s="12" customFormat="1" x14ac:dyDescent="0.25"/>
    <row r="77547" s="12" customFormat="1" x14ac:dyDescent="0.25"/>
    <row r="77548" s="12" customFormat="1" x14ac:dyDescent="0.25"/>
    <row r="77549" s="12" customFormat="1" x14ac:dyDescent="0.25"/>
    <row r="77550" s="12" customFormat="1" x14ac:dyDescent="0.25"/>
    <row r="77551" s="12" customFormat="1" x14ac:dyDescent="0.25"/>
    <row r="77552" s="12" customFormat="1" x14ac:dyDescent="0.25"/>
    <row r="77553" s="12" customFormat="1" x14ac:dyDescent="0.25"/>
    <row r="77554" s="12" customFormat="1" x14ac:dyDescent="0.25"/>
    <row r="77555" s="12" customFormat="1" x14ac:dyDescent="0.25"/>
    <row r="77556" s="12" customFormat="1" x14ac:dyDescent="0.25"/>
    <row r="77557" s="12" customFormat="1" x14ac:dyDescent="0.25"/>
    <row r="77558" s="12" customFormat="1" x14ac:dyDescent="0.25"/>
    <row r="77559" s="12" customFormat="1" x14ac:dyDescent="0.25"/>
    <row r="77560" s="12" customFormat="1" x14ac:dyDescent="0.25"/>
    <row r="77561" s="12" customFormat="1" x14ac:dyDescent="0.25"/>
    <row r="77562" s="12" customFormat="1" x14ac:dyDescent="0.25"/>
    <row r="77563" s="12" customFormat="1" x14ac:dyDescent="0.25"/>
    <row r="77564" s="12" customFormat="1" x14ac:dyDescent="0.25"/>
    <row r="77565" s="12" customFormat="1" x14ac:dyDescent="0.25"/>
    <row r="77566" s="12" customFormat="1" x14ac:dyDescent="0.25"/>
    <row r="77567" s="12" customFormat="1" x14ac:dyDescent="0.25"/>
    <row r="77568" s="12" customFormat="1" x14ac:dyDescent="0.25"/>
    <row r="77569" s="12" customFormat="1" x14ac:dyDescent="0.25"/>
    <row r="77570" s="12" customFormat="1" x14ac:dyDescent="0.25"/>
    <row r="77571" s="12" customFormat="1" x14ac:dyDescent="0.25"/>
    <row r="77572" s="12" customFormat="1" x14ac:dyDescent="0.25"/>
    <row r="77573" s="12" customFormat="1" x14ac:dyDescent="0.25"/>
    <row r="77574" s="12" customFormat="1" x14ac:dyDescent="0.25"/>
    <row r="77575" s="12" customFormat="1" x14ac:dyDescent="0.25"/>
    <row r="77576" s="12" customFormat="1" x14ac:dyDescent="0.25"/>
    <row r="77577" s="12" customFormat="1" x14ac:dyDescent="0.25"/>
    <row r="77578" s="12" customFormat="1" x14ac:dyDescent="0.25"/>
    <row r="77579" s="12" customFormat="1" x14ac:dyDescent="0.25"/>
    <row r="77580" s="12" customFormat="1" x14ac:dyDescent="0.25"/>
    <row r="77581" s="12" customFormat="1" x14ac:dyDescent="0.25"/>
    <row r="77582" s="12" customFormat="1" x14ac:dyDescent="0.25"/>
    <row r="77583" s="12" customFormat="1" x14ac:dyDescent="0.25"/>
    <row r="77584" s="12" customFormat="1" x14ac:dyDescent="0.25"/>
    <row r="77585" s="12" customFormat="1" x14ac:dyDescent="0.25"/>
    <row r="77586" s="12" customFormat="1" x14ac:dyDescent="0.25"/>
    <row r="77587" s="12" customFormat="1" x14ac:dyDescent="0.25"/>
    <row r="77588" s="12" customFormat="1" x14ac:dyDescent="0.25"/>
    <row r="77589" s="12" customFormat="1" x14ac:dyDescent="0.25"/>
    <row r="77590" s="12" customFormat="1" x14ac:dyDescent="0.25"/>
    <row r="77591" s="12" customFormat="1" x14ac:dyDescent="0.25"/>
    <row r="77592" s="12" customFormat="1" x14ac:dyDescent="0.25"/>
    <row r="77593" s="12" customFormat="1" x14ac:dyDescent="0.25"/>
    <row r="77594" s="12" customFormat="1" x14ac:dyDescent="0.25"/>
    <row r="77595" s="12" customFormat="1" x14ac:dyDescent="0.25"/>
    <row r="77596" s="12" customFormat="1" x14ac:dyDescent="0.25"/>
    <row r="77597" s="12" customFormat="1" x14ac:dyDescent="0.25"/>
    <row r="77598" s="12" customFormat="1" x14ac:dyDescent="0.25"/>
    <row r="77599" s="12" customFormat="1" x14ac:dyDescent="0.25"/>
    <row r="77600" s="12" customFormat="1" x14ac:dyDescent="0.25"/>
    <row r="77601" s="12" customFormat="1" x14ac:dyDescent="0.25"/>
    <row r="77602" s="12" customFormat="1" x14ac:dyDescent="0.25"/>
    <row r="77603" s="12" customFormat="1" x14ac:dyDescent="0.25"/>
    <row r="77604" s="12" customFormat="1" x14ac:dyDescent="0.25"/>
    <row r="77605" s="12" customFormat="1" x14ac:dyDescent="0.25"/>
    <row r="77606" s="12" customFormat="1" x14ac:dyDescent="0.25"/>
    <row r="77607" s="12" customFormat="1" x14ac:dyDescent="0.25"/>
    <row r="77608" s="12" customFormat="1" x14ac:dyDescent="0.25"/>
    <row r="77609" s="12" customFormat="1" x14ac:dyDescent="0.25"/>
    <row r="77610" s="12" customFormat="1" x14ac:dyDescent="0.25"/>
    <row r="77611" s="12" customFormat="1" x14ac:dyDescent="0.25"/>
    <row r="77612" s="12" customFormat="1" x14ac:dyDescent="0.25"/>
    <row r="77613" s="12" customFormat="1" x14ac:dyDescent="0.25"/>
    <row r="77614" s="12" customFormat="1" x14ac:dyDescent="0.25"/>
    <row r="77615" s="12" customFormat="1" x14ac:dyDescent="0.25"/>
    <row r="77616" s="12" customFormat="1" x14ac:dyDescent="0.25"/>
    <row r="77617" s="12" customFormat="1" x14ac:dyDescent="0.25"/>
    <row r="77618" s="12" customFormat="1" x14ac:dyDescent="0.25"/>
    <row r="77619" s="12" customFormat="1" x14ac:dyDescent="0.25"/>
    <row r="77620" s="12" customFormat="1" x14ac:dyDescent="0.25"/>
    <row r="77621" s="12" customFormat="1" x14ac:dyDescent="0.25"/>
    <row r="77622" s="12" customFormat="1" x14ac:dyDescent="0.25"/>
    <row r="77623" s="12" customFormat="1" x14ac:dyDescent="0.25"/>
    <row r="77624" s="12" customFormat="1" x14ac:dyDescent="0.25"/>
    <row r="77625" s="12" customFormat="1" x14ac:dyDescent="0.25"/>
    <row r="77626" s="12" customFormat="1" x14ac:dyDescent="0.25"/>
    <row r="77627" s="12" customFormat="1" x14ac:dyDescent="0.25"/>
    <row r="77628" s="12" customFormat="1" x14ac:dyDescent="0.25"/>
    <row r="77629" s="12" customFormat="1" x14ac:dyDescent="0.25"/>
    <row r="77630" s="12" customFormat="1" x14ac:dyDescent="0.25"/>
    <row r="77631" s="12" customFormat="1" x14ac:dyDescent="0.25"/>
    <row r="77632" s="12" customFormat="1" x14ac:dyDescent="0.25"/>
    <row r="77633" s="12" customFormat="1" x14ac:dyDescent="0.25"/>
    <row r="77634" s="12" customFormat="1" x14ac:dyDescent="0.25"/>
    <row r="77635" s="12" customFormat="1" x14ac:dyDescent="0.25"/>
    <row r="77636" s="12" customFormat="1" x14ac:dyDescent="0.25"/>
    <row r="77637" s="12" customFormat="1" x14ac:dyDescent="0.25"/>
    <row r="77638" s="12" customFormat="1" x14ac:dyDescent="0.25"/>
    <row r="77639" s="12" customFormat="1" x14ac:dyDescent="0.25"/>
    <row r="77640" s="12" customFormat="1" x14ac:dyDescent="0.25"/>
    <row r="77641" s="12" customFormat="1" x14ac:dyDescent="0.25"/>
    <row r="77642" s="12" customFormat="1" x14ac:dyDescent="0.25"/>
    <row r="77643" s="12" customFormat="1" x14ac:dyDescent="0.25"/>
    <row r="77644" s="12" customFormat="1" x14ac:dyDescent="0.25"/>
    <row r="77645" s="12" customFormat="1" x14ac:dyDescent="0.25"/>
    <row r="77646" s="12" customFormat="1" x14ac:dyDescent="0.25"/>
    <row r="77647" s="12" customFormat="1" x14ac:dyDescent="0.25"/>
    <row r="77648" s="12" customFormat="1" x14ac:dyDescent="0.25"/>
    <row r="77649" s="12" customFormat="1" x14ac:dyDescent="0.25"/>
    <row r="77650" s="12" customFormat="1" x14ac:dyDescent="0.25"/>
    <row r="77651" s="12" customFormat="1" x14ac:dyDescent="0.25"/>
    <row r="77652" s="12" customFormat="1" x14ac:dyDescent="0.25"/>
    <row r="77653" s="12" customFormat="1" x14ac:dyDescent="0.25"/>
    <row r="77654" s="12" customFormat="1" x14ac:dyDescent="0.25"/>
    <row r="77655" s="12" customFormat="1" x14ac:dyDescent="0.25"/>
    <row r="77656" s="12" customFormat="1" x14ac:dyDescent="0.25"/>
    <row r="77657" s="12" customFormat="1" x14ac:dyDescent="0.25"/>
    <row r="77658" s="12" customFormat="1" x14ac:dyDescent="0.25"/>
    <row r="77659" s="12" customFormat="1" x14ac:dyDescent="0.25"/>
    <row r="77660" s="12" customFormat="1" x14ac:dyDescent="0.25"/>
    <row r="77661" s="12" customFormat="1" x14ac:dyDescent="0.25"/>
    <row r="77662" s="12" customFormat="1" x14ac:dyDescent="0.25"/>
    <row r="77663" s="12" customFormat="1" x14ac:dyDescent="0.25"/>
    <row r="77664" s="12" customFormat="1" x14ac:dyDescent="0.25"/>
    <row r="77665" s="12" customFormat="1" x14ac:dyDescent="0.25"/>
    <row r="77666" s="12" customFormat="1" x14ac:dyDescent="0.25"/>
    <row r="77667" s="12" customFormat="1" x14ac:dyDescent="0.25"/>
    <row r="77668" s="12" customFormat="1" x14ac:dyDescent="0.25"/>
    <row r="77669" s="12" customFormat="1" x14ac:dyDescent="0.25"/>
    <row r="77670" s="12" customFormat="1" x14ac:dyDescent="0.25"/>
    <row r="77671" s="12" customFormat="1" x14ac:dyDescent="0.25"/>
    <row r="77672" s="12" customFormat="1" x14ac:dyDescent="0.25"/>
    <row r="77673" s="12" customFormat="1" x14ac:dyDescent="0.25"/>
    <row r="77674" s="12" customFormat="1" x14ac:dyDescent="0.25"/>
    <row r="77675" s="12" customFormat="1" x14ac:dyDescent="0.25"/>
    <row r="77676" s="12" customFormat="1" x14ac:dyDescent="0.25"/>
    <row r="77677" s="12" customFormat="1" x14ac:dyDescent="0.25"/>
    <row r="77678" s="12" customFormat="1" x14ac:dyDescent="0.25"/>
    <row r="77679" s="12" customFormat="1" x14ac:dyDescent="0.25"/>
    <row r="77680" s="12" customFormat="1" x14ac:dyDescent="0.25"/>
    <row r="77681" s="12" customFormat="1" x14ac:dyDescent="0.25"/>
    <row r="77682" s="12" customFormat="1" x14ac:dyDescent="0.25"/>
    <row r="77683" s="12" customFormat="1" x14ac:dyDescent="0.25"/>
    <row r="77684" s="12" customFormat="1" x14ac:dyDescent="0.25"/>
    <row r="77685" s="12" customFormat="1" x14ac:dyDescent="0.25"/>
    <row r="77686" s="12" customFormat="1" x14ac:dyDescent="0.25"/>
    <row r="77687" s="12" customFormat="1" x14ac:dyDescent="0.25"/>
    <row r="77688" s="12" customFormat="1" x14ac:dyDescent="0.25"/>
    <row r="77689" s="12" customFormat="1" x14ac:dyDescent="0.25"/>
    <row r="77690" s="12" customFormat="1" x14ac:dyDescent="0.25"/>
    <row r="77691" s="12" customFormat="1" x14ac:dyDescent="0.25"/>
    <row r="77692" s="12" customFormat="1" x14ac:dyDescent="0.25"/>
    <row r="77693" s="12" customFormat="1" x14ac:dyDescent="0.25"/>
    <row r="77694" s="12" customFormat="1" x14ac:dyDescent="0.25"/>
    <row r="77695" s="12" customFormat="1" x14ac:dyDescent="0.25"/>
    <row r="77696" s="12" customFormat="1" x14ac:dyDescent="0.25"/>
    <row r="77697" s="12" customFormat="1" x14ac:dyDescent="0.25"/>
    <row r="77698" s="12" customFormat="1" x14ac:dyDescent="0.25"/>
    <row r="77699" s="12" customFormat="1" x14ac:dyDescent="0.25"/>
    <row r="77700" s="12" customFormat="1" x14ac:dyDescent="0.25"/>
    <row r="77701" s="12" customFormat="1" x14ac:dyDescent="0.25"/>
    <row r="77702" s="12" customFormat="1" x14ac:dyDescent="0.25"/>
    <row r="77703" s="12" customFormat="1" x14ac:dyDescent="0.25"/>
    <row r="77704" s="12" customFormat="1" x14ac:dyDescent="0.25"/>
    <row r="77705" s="12" customFormat="1" x14ac:dyDescent="0.25"/>
    <row r="77706" s="12" customFormat="1" x14ac:dyDescent="0.25"/>
    <row r="77707" s="12" customFormat="1" x14ac:dyDescent="0.25"/>
    <row r="77708" s="12" customFormat="1" x14ac:dyDescent="0.25"/>
    <row r="77709" s="12" customFormat="1" x14ac:dyDescent="0.25"/>
    <row r="77710" s="12" customFormat="1" x14ac:dyDescent="0.25"/>
    <row r="77711" s="12" customFormat="1" x14ac:dyDescent="0.25"/>
    <row r="77712" s="12" customFormat="1" x14ac:dyDescent="0.25"/>
    <row r="77713" s="12" customFormat="1" x14ac:dyDescent="0.25"/>
    <row r="77714" s="12" customFormat="1" x14ac:dyDescent="0.25"/>
    <row r="77715" s="12" customFormat="1" x14ac:dyDescent="0.25"/>
    <row r="77716" s="12" customFormat="1" x14ac:dyDescent="0.25"/>
    <row r="77717" s="12" customFormat="1" x14ac:dyDescent="0.25"/>
    <row r="77718" s="12" customFormat="1" x14ac:dyDescent="0.25"/>
    <row r="77719" s="12" customFormat="1" x14ac:dyDescent="0.25"/>
    <row r="77720" s="12" customFormat="1" x14ac:dyDescent="0.25"/>
    <row r="77721" s="12" customFormat="1" x14ac:dyDescent="0.25"/>
    <row r="77722" s="12" customFormat="1" x14ac:dyDescent="0.25"/>
    <row r="77723" s="12" customFormat="1" x14ac:dyDescent="0.25"/>
    <row r="77724" s="12" customFormat="1" x14ac:dyDescent="0.25"/>
    <row r="77725" s="12" customFormat="1" x14ac:dyDescent="0.25"/>
    <row r="77726" s="12" customFormat="1" x14ac:dyDescent="0.25"/>
    <row r="77727" s="12" customFormat="1" x14ac:dyDescent="0.25"/>
    <row r="77728" s="12" customFormat="1" x14ac:dyDescent="0.25"/>
    <row r="77729" s="12" customFormat="1" x14ac:dyDescent="0.25"/>
    <row r="77730" s="12" customFormat="1" x14ac:dyDescent="0.25"/>
    <row r="77731" s="12" customFormat="1" x14ac:dyDescent="0.25"/>
    <row r="77732" s="12" customFormat="1" x14ac:dyDescent="0.25"/>
    <row r="77733" s="12" customFormat="1" x14ac:dyDescent="0.25"/>
    <row r="77734" s="12" customFormat="1" x14ac:dyDescent="0.25"/>
    <row r="77735" s="12" customFormat="1" x14ac:dyDescent="0.25"/>
    <row r="77736" s="12" customFormat="1" x14ac:dyDescent="0.25"/>
    <row r="77737" s="12" customFormat="1" x14ac:dyDescent="0.25"/>
    <row r="77738" s="12" customFormat="1" x14ac:dyDescent="0.25"/>
    <row r="77739" s="12" customFormat="1" x14ac:dyDescent="0.25"/>
    <row r="77740" s="12" customFormat="1" x14ac:dyDescent="0.25"/>
    <row r="77741" s="12" customFormat="1" x14ac:dyDescent="0.25"/>
    <row r="77742" s="12" customFormat="1" x14ac:dyDescent="0.25"/>
    <row r="77743" s="12" customFormat="1" x14ac:dyDescent="0.25"/>
    <row r="77744" s="12" customFormat="1" x14ac:dyDescent="0.25"/>
    <row r="77745" s="12" customFormat="1" x14ac:dyDescent="0.25"/>
    <row r="77746" s="12" customFormat="1" x14ac:dyDescent="0.25"/>
    <row r="77747" s="12" customFormat="1" x14ac:dyDescent="0.25"/>
    <row r="77748" s="12" customFormat="1" x14ac:dyDescent="0.25"/>
    <row r="77749" s="12" customFormat="1" x14ac:dyDescent="0.25"/>
    <row r="77750" s="12" customFormat="1" x14ac:dyDescent="0.25"/>
    <row r="77751" s="12" customFormat="1" x14ac:dyDescent="0.25"/>
    <row r="77752" s="12" customFormat="1" x14ac:dyDescent="0.25"/>
    <row r="77753" s="12" customFormat="1" x14ac:dyDescent="0.25"/>
    <row r="77754" s="12" customFormat="1" x14ac:dyDescent="0.25"/>
    <row r="77755" s="12" customFormat="1" x14ac:dyDescent="0.25"/>
    <row r="77756" s="12" customFormat="1" x14ac:dyDescent="0.25"/>
    <row r="77757" s="12" customFormat="1" x14ac:dyDescent="0.25"/>
    <row r="77758" s="12" customFormat="1" x14ac:dyDescent="0.25"/>
    <row r="77759" s="12" customFormat="1" x14ac:dyDescent="0.25"/>
    <row r="77760" s="12" customFormat="1" x14ac:dyDescent="0.25"/>
    <row r="77761" s="12" customFormat="1" x14ac:dyDescent="0.25"/>
    <row r="77762" s="12" customFormat="1" x14ac:dyDescent="0.25"/>
    <row r="77763" s="12" customFormat="1" x14ac:dyDescent="0.25"/>
    <row r="77764" s="12" customFormat="1" x14ac:dyDescent="0.25"/>
    <row r="77765" s="12" customFormat="1" x14ac:dyDescent="0.25"/>
    <row r="77766" s="12" customFormat="1" x14ac:dyDescent="0.25"/>
    <row r="77767" s="12" customFormat="1" x14ac:dyDescent="0.25"/>
    <row r="77768" s="12" customFormat="1" x14ac:dyDescent="0.25"/>
    <row r="77769" s="12" customFormat="1" x14ac:dyDescent="0.25"/>
    <row r="77770" s="12" customFormat="1" x14ac:dyDescent="0.25"/>
    <row r="77771" s="12" customFormat="1" x14ac:dyDescent="0.25"/>
    <row r="77772" s="12" customFormat="1" x14ac:dyDescent="0.25"/>
    <row r="77773" s="12" customFormat="1" x14ac:dyDescent="0.25"/>
    <row r="77774" s="12" customFormat="1" x14ac:dyDescent="0.25"/>
    <row r="77775" s="12" customFormat="1" x14ac:dyDescent="0.25"/>
    <row r="77776" s="12" customFormat="1" x14ac:dyDescent="0.25"/>
    <row r="77777" s="12" customFormat="1" x14ac:dyDescent="0.25"/>
    <row r="77778" s="12" customFormat="1" x14ac:dyDescent="0.25"/>
    <row r="77779" s="12" customFormat="1" x14ac:dyDescent="0.25"/>
    <row r="77780" s="12" customFormat="1" x14ac:dyDescent="0.25"/>
    <row r="77781" s="12" customFormat="1" x14ac:dyDescent="0.25"/>
    <row r="77782" s="12" customFormat="1" x14ac:dyDescent="0.25"/>
    <row r="77783" s="12" customFormat="1" x14ac:dyDescent="0.25"/>
    <row r="77784" s="12" customFormat="1" x14ac:dyDescent="0.25"/>
    <row r="77785" s="12" customFormat="1" x14ac:dyDescent="0.25"/>
    <row r="77786" s="12" customFormat="1" x14ac:dyDescent="0.25"/>
    <row r="77787" s="12" customFormat="1" x14ac:dyDescent="0.25"/>
    <row r="77788" s="12" customFormat="1" x14ac:dyDescent="0.25"/>
    <row r="77789" s="12" customFormat="1" x14ac:dyDescent="0.25"/>
    <row r="77790" s="12" customFormat="1" x14ac:dyDescent="0.25"/>
    <row r="77791" s="12" customFormat="1" x14ac:dyDescent="0.25"/>
    <row r="77792" s="12" customFormat="1" x14ac:dyDescent="0.25"/>
    <row r="77793" s="12" customFormat="1" x14ac:dyDescent="0.25"/>
    <row r="77794" s="12" customFormat="1" x14ac:dyDescent="0.25"/>
    <row r="77795" s="12" customFormat="1" x14ac:dyDescent="0.25"/>
    <row r="77796" s="12" customFormat="1" x14ac:dyDescent="0.25"/>
    <row r="77797" s="12" customFormat="1" x14ac:dyDescent="0.25"/>
    <row r="77798" s="12" customFormat="1" x14ac:dyDescent="0.25"/>
    <row r="77799" s="12" customFormat="1" x14ac:dyDescent="0.25"/>
    <row r="77800" s="12" customFormat="1" x14ac:dyDescent="0.25"/>
    <row r="77801" s="12" customFormat="1" x14ac:dyDescent="0.25"/>
    <row r="77802" s="12" customFormat="1" x14ac:dyDescent="0.25"/>
    <row r="77803" s="12" customFormat="1" x14ac:dyDescent="0.25"/>
    <row r="77804" s="12" customFormat="1" x14ac:dyDescent="0.25"/>
    <row r="77805" s="12" customFormat="1" x14ac:dyDescent="0.25"/>
    <row r="77806" s="12" customFormat="1" x14ac:dyDescent="0.25"/>
    <row r="77807" s="12" customFormat="1" x14ac:dyDescent="0.25"/>
    <row r="77808" s="12" customFormat="1" x14ac:dyDescent="0.25"/>
    <row r="77809" s="12" customFormat="1" x14ac:dyDescent="0.25"/>
    <row r="77810" s="12" customFormat="1" x14ac:dyDescent="0.25"/>
    <row r="77811" s="12" customFormat="1" x14ac:dyDescent="0.25"/>
    <row r="77812" s="12" customFormat="1" x14ac:dyDescent="0.25"/>
    <row r="77813" s="12" customFormat="1" x14ac:dyDescent="0.25"/>
    <row r="77814" s="12" customFormat="1" x14ac:dyDescent="0.25"/>
    <row r="77815" s="12" customFormat="1" x14ac:dyDescent="0.25"/>
    <row r="77816" s="12" customFormat="1" x14ac:dyDescent="0.25"/>
    <row r="77817" s="12" customFormat="1" x14ac:dyDescent="0.25"/>
    <row r="77818" s="12" customFormat="1" x14ac:dyDescent="0.25"/>
    <row r="77819" s="12" customFormat="1" x14ac:dyDescent="0.25"/>
    <row r="77820" s="12" customFormat="1" x14ac:dyDescent="0.25"/>
    <row r="77821" s="12" customFormat="1" x14ac:dyDescent="0.25"/>
    <row r="77822" s="12" customFormat="1" x14ac:dyDescent="0.25"/>
    <row r="77823" s="12" customFormat="1" x14ac:dyDescent="0.25"/>
    <row r="77824" s="12" customFormat="1" x14ac:dyDescent="0.25"/>
    <row r="77825" s="12" customFormat="1" x14ac:dyDescent="0.25"/>
    <row r="77826" s="12" customFormat="1" x14ac:dyDescent="0.25"/>
    <row r="77827" s="12" customFormat="1" x14ac:dyDescent="0.25"/>
    <row r="77828" s="12" customFormat="1" x14ac:dyDescent="0.25"/>
    <row r="77829" s="12" customFormat="1" x14ac:dyDescent="0.25"/>
    <row r="77830" s="12" customFormat="1" x14ac:dyDescent="0.25"/>
    <row r="77831" s="12" customFormat="1" x14ac:dyDescent="0.25"/>
    <row r="77832" s="12" customFormat="1" x14ac:dyDescent="0.25"/>
    <row r="77833" s="12" customFormat="1" x14ac:dyDescent="0.25"/>
    <row r="77834" s="12" customFormat="1" x14ac:dyDescent="0.25"/>
    <row r="77835" s="12" customFormat="1" x14ac:dyDescent="0.25"/>
    <row r="77836" s="12" customFormat="1" x14ac:dyDescent="0.25"/>
    <row r="77837" s="12" customFormat="1" x14ac:dyDescent="0.25"/>
    <row r="77838" s="12" customFormat="1" x14ac:dyDescent="0.25"/>
    <row r="77839" s="12" customFormat="1" x14ac:dyDescent="0.25"/>
    <row r="77840" s="12" customFormat="1" x14ac:dyDescent="0.25"/>
    <row r="77841" s="12" customFormat="1" x14ac:dyDescent="0.25"/>
    <row r="77842" s="12" customFormat="1" x14ac:dyDescent="0.25"/>
    <row r="77843" s="12" customFormat="1" x14ac:dyDescent="0.25"/>
    <row r="77844" s="12" customFormat="1" x14ac:dyDescent="0.25"/>
    <row r="77845" s="12" customFormat="1" x14ac:dyDescent="0.25"/>
    <row r="77846" s="12" customFormat="1" x14ac:dyDescent="0.25"/>
    <row r="77847" s="12" customFormat="1" x14ac:dyDescent="0.25"/>
    <row r="77848" s="12" customFormat="1" x14ac:dyDescent="0.25"/>
    <row r="77849" s="12" customFormat="1" x14ac:dyDescent="0.25"/>
    <row r="77850" s="12" customFormat="1" x14ac:dyDescent="0.25"/>
    <row r="77851" s="12" customFormat="1" x14ac:dyDescent="0.25"/>
    <row r="77852" s="12" customFormat="1" x14ac:dyDescent="0.25"/>
    <row r="77853" s="12" customFormat="1" x14ac:dyDescent="0.25"/>
    <row r="77854" s="12" customFormat="1" x14ac:dyDescent="0.25"/>
    <row r="77855" s="12" customFormat="1" x14ac:dyDescent="0.25"/>
    <row r="77856" s="12" customFormat="1" x14ac:dyDescent="0.25"/>
    <row r="77857" s="12" customFormat="1" x14ac:dyDescent="0.25"/>
    <row r="77858" s="12" customFormat="1" x14ac:dyDescent="0.25"/>
    <row r="77859" s="12" customFormat="1" x14ac:dyDescent="0.25"/>
    <row r="77860" s="12" customFormat="1" x14ac:dyDescent="0.25"/>
    <row r="77861" s="12" customFormat="1" x14ac:dyDescent="0.25"/>
    <row r="77862" s="12" customFormat="1" x14ac:dyDescent="0.25"/>
    <row r="77863" s="12" customFormat="1" x14ac:dyDescent="0.25"/>
    <row r="77864" s="12" customFormat="1" x14ac:dyDescent="0.25"/>
    <row r="77865" s="12" customFormat="1" x14ac:dyDescent="0.25"/>
    <row r="77866" s="12" customFormat="1" x14ac:dyDescent="0.25"/>
    <row r="77867" s="12" customFormat="1" x14ac:dyDescent="0.25"/>
    <row r="77868" s="12" customFormat="1" x14ac:dyDescent="0.25"/>
    <row r="77869" s="12" customFormat="1" x14ac:dyDescent="0.25"/>
    <row r="77870" s="12" customFormat="1" x14ac:dyDescent="0.25"/>
    <row r="77871" s="12" customFormat="1" x14ac:dyDescent="0.25"/>
    <row r="77872" s="12" customFormat="1" x14ac:dyDescent="0.25"/>
    <row r="77873" s="12" customFormat="1" x14ac:dyDescent="0.25"/>
    <row r="77874" s="12" customFormat="1" x14ac:dyDescent="0.25"/>
    <row r="77875" s="12" customFormat="1" x14ac:dyDescent="0.25"/>
    <row r="77876" s="12" customFormat="1" x14ac:dyDescent="0.25"/>
    <row r="77877" s="12" customFormat="1" x14ac:dyDescent="0.25"/>
    <row r="77878" s="12" customFormat="1" x14ac:dyDescent="0.25"/>
    <row r="77879" s="12" customFormat="1" x14ac:dyDescent="0.25"/>
    <row r="77880" s="12" customFormat="1" x14ac:dyDescent="0.25"/>
    <row r="77881" s="12" customFormat="1" x14ac:dyDescent="0.25"/>
    <row r="77882" s="12" customFormat="1" x14ac:dyDescent="0.25"/>
    <row r="77883" s="12" customFormat="1" x14ac:dyDescent="0.25"/>
    <row r="77884" s="12" customFormat="1" x14ac:dyDescent="0.25"/>
    <row r="77885" s="12" customFormat="1" x14ac:dyDescent="0.25"/>
    <row r="77886" s="12" customFormat="1" x14ac:dyDescent="0.25"/>
    <row r="77887" s="12" customFormat="1" x14ac:dyDescent="0.25"/>
    <row r="77888" s="12" customFormat="1" x14ac:dyDescent="0.25"/>
    <row r="77889" s="12" customFormat="1" x14ac:dyDescent="0.25"/>
    <row r="77890" s="12" customFormat="1" x14ac:dyDescent="0.25"/>
    <row r="77891" s="12" customFormat="1" x14ac:dyDescent="0.25"/>
    <row r="77892" s="12" customFormat="1" x14ac:dyDescent="0.25"/>
    <row r="77893" s="12" customFormat="1" x14ac:dyDescent="0.25"/>
    <row r="77894" s="12" customFormat="1" x14ac:dyDescent="0.25"/>
    <row r="77895" s="12" customFormat="1" x14ac:dyDescent="0.25"/>
    <row r="77896" s="12" customFormat="1" x14ac:dyDescent="0.25"/>
    <row r="77897" s="12" customFormat="1" x14ac:dyDescent="0.25"/>
    <row r="77898" s="12" customFormat="1" x14ac:dyDescent="0.25"/>
    <row r="77899" s="12" customFormat="1" x14ac:dyDescent="0.25"/>
    <row r="77900" s="12" customFormat="1" x14ac:dyDescent="0.25"/>
    <row r="77901" s="12" customFormat="1" x14ac:dyDescent="0.25"/>
    <row r="77902" s="12" customFormat="1" x14ac:dyDescent="0.25"/>
    <row r="77903" s="12" customFormat="1" x14ac:dyDescent="0.25"/>
    <row r="77904" s="12" customFormat="1" x14ac:dyDescent="0.25"/>
    <row r="77905" s="12" customFormat="1" x14ac:dyDescent="0.25"/>
    <row r="77906" s="12" customFormat="1" x14ac:dyDescent="0.25"/>
    <row r="77907" s="12" customFormat="1" x14ac:dyDescent="0.25"/>
    <row r="77908" s="12" customFormat="1" x14ac:dyDescent="0.25"/>
    <row r="77909" s="12" customFormat="1" x14ac:dyDescent="0.25"/>
    <row r="77910" s="12" customFormat="1" x14ac:dyDescent="0.25"/>
    <row r="77911" s="12" customFormat="1" x14ac:dyDescent="0.25"/>
    <row r="77912" s="12" customFormat="1" x14ac:dyDescent="0.25"/>
    <row r="77913" s="12" customFormat="1" x14ac:dyDescent="0.25"/>
    <row r="77914" s="12" customFormat="1" x14ac:dyDescent="0.25"/>
    <row r="77915" s="12" customFormat="1" x14ac:dyDescent="0.25"/>
    <row r="77916" s="12" customFormat="1" x14ac:dyDescent="0.25"/>
    <row r="77917" s="12" customFormat="1" x14ac:dyDescent="0.25"/>
    <row r="77918" s="12" customFormat="1" x14ac:dyDescent="0.25"/>
    <row r="77919" s="12" customFormat="1" x14ac:dyDescent="0.25"/>
    <row r="77920" s="12" customFormat="1" x14ac:dyDescent="0.25"/>
    <row r="77921" s="12" customFormat="1" x14ac:dyDescent="0.25"/>
    <row r="77922" s="12" customFormat="1" x14ac:dyDescent="0.25"/>
    <row r="77923" s="12" customFormat="1" x14ac:dyDescent="0.25"/>
    <row r="77924" s="12" customFormat="1" x14ac:dyDescent="0.25"/>
    <row r="77925" s="12" customFormat="1" x14ac:dyDescent="0.25"/>
    <row r="77926" s="12" customFormat="1" x14ac:dyDescent="0.25"/>
    <row r="77927" s="12" customFormat="1" x14ac:dyDescent="0.25"/>
    <row r="77928" s="12" customFormat="1" x14ac:dyDescent="0.25"/>
    <row r="77929" s="12" customFormat="1" x14ac:dyDescent="0.25"/>
    <row r="77930" s="12" customFormat="1" x14ac:dyDescent="0.25"/>
    <row r="77931" s="12" customFormat="1" x14ac:dyDescent="0.25"/>
    <row r="77932" s="12" customFormat="1" x14ac:dyDescent="0.25"/>
    <row r="77933" s="12" customFormat="1" x14ac:dyDescent="0.25"/>
    <row r="77934" s="12" customFormat="1" x14ac:dyDescent="0.25"/>
    <row r="77935" s="12" customFormat="1" x14ac:dyDescent="0.25"/>
    <row r="77936" s="12" customFormat="1" x14ac:dyDescent="0.25"/>
    <row r="77937" s="12" customFormat="1" x14ac:dyDescent="0.25"/>
    <row r="77938" s="12" customFormat="1" x14ac:dyDescent="0.25"/>
    <row r="77939" s="12" customFormat="1" x14ac:dyDescent="0.25"/>
    <row r="77940" s="12" customFormat="1" x14ac:dyDescent="0.25"/>
    <row r="77941" s="12" customFormat="1" x14ac:dyDescent="0.25"/>
    <row r="77942" s="12" customFormat="1" x14ac:dyDescent="0.25"/>
    <row r="77943" s="12" customFormat="1" x14ac:dyDescent="0.25"/>
    <row r="77944" s="12" customFormat="1" x14ac:dyDescent="0.25"/>
    <row r="77945" s="12" customFormat="1" x14ac:dyDescent="0.25"/>
    <row r="77946" s="12" customFormat="1" x14ac:dyDescent="0.25"/>
    <row r="77947" s="12" customFormat="1" x14ac:dyDescent="0.25"/>
    <row r="77948" s="12" customFormat="1" x14ac:dyDescent="0.25"/>
    <row r="77949" s="12" customFormat="1" x14ac:dyDescent="0.25"/>
    <row r="77950" s="12" customFormat="1" x14ac:dyDescent="0.25"/>
    <row r="77951" s="12" customFormat="1" x14ac:dyDescent="0.25"/>
    <row r="77952" s="12" customFormat="1" x14ac:dyDescent="0.25"/>
    <row r="77953" s="12" customFormat="1" x14ac:dyDescent="0.25"/>
    <row r="77954" s="12" customFormat="1" x14ac:dyDescent="0.25"/>
    <row r="77955" s="12" customFormat="1" x14ac:dyDescent="0.25"/>
    <row r="77956" s="12" customFormat="1" x14ac:dyDescent="0.25"/>
    <row r="77957" s="12" customFormat="1" x14ac:dyDescent="0.25"/>
    <row r="77958" s="12" customFormat="1" x14ac:dyDescent="0.25"/>
    <row r="77959" s="12" customFormat="1" x14ac:dyDescent="0.25"/>
    <row r="77960" s="12" customFormat="1" x14ac:dyDescent="0.25"/>
    <row r="77961" s="12" customFormat="1" x14ac:dyDescent="0.25"/>
    <row r="77962" s="12" customFormat="1" x14ac:dyDescent="0.25"/>
    <row r="77963" s="12" customFormat="1" x14ac:dyDescent="0.25"/>
    <row r="77964" s="12" customFormat="1" x14ac:dyDescent="0.25"/>
    <row r="77965" s="12" customFormat="1" x14ac:dyDescent="0.25"/>
    <row r="77966" s="12" customFormat="1" x14ac:dyDescent="0.25"/>
    <row r="77967" s="12" customFormat="1" x14ac:dyDescent="0.25"/>
    <row r="77968" s="12" customFormat="1" x14ac:dyDescent="0.25"/>
    <row r="77969" s="12" customFormat="1" x14ac:dyDescent="0.25"/>
    <row r="77970" s="12" customFormat="1" x14ac:dyDescent="0.25"/>
    <row r="77971" s="12" customFormat="1" x14ac:dyDescent="0.25"/>
    <row r="77972" s="12" customFormat="1" x14ac:dyDescent="0.25"/>
    <row r="77973" s="12" customFormat="1" x14ac:dyDescent="0.25"/>
    <row r="77974" s="12" customFormat="1" x14ac:dyDescent="0.25"/>
    <row r="77975" s="12" customFormat="1" x14ac:dyDescent="0.25"/>
    <row r="77976" s="12" customFormat="1" x14ac:dyDescent="0.25"/>
    <row r="77977" s="12" customFormat="1" x14ac:dyDescent="0.25"/>
    <row r="77978" s="12" customFormat="1" x14ac:dyDescent="0.25"/>
    <row r="77979" s="12" customFormat="1" x14ac:dyDescent="0.25"/>
    <row r="77980" s="12" customFormat="1" x14ac:dyDescent="0.25"/>
    <row r="77981" s="12" customFormat="1" x14ac:dyDescent="0.25"/>
    <row r="77982" s="12" customFormat="1" x14ac:dyDescent="0.25"/>
    <row r="77983" s="12" customFormat="1" x14ac:dyDescent="0.25"/>
    <row r="77984" s="12" customFormat="1" x14ac:dyDescent="0.25"/>
    <row r="77985" s="12" customFormat="1" x14ac:dyDescent="0.25"/>
    <row r="77986" s="12" customFormat="1" x14ac:dyDescent="0.25"/>
    <row r="77987" s="12" customFormat="1" x14ac:dyDescent="0.25"/>
    <row r="77988" s="12" customFormat="1" x14ac:dyDescent="0.25"/>
    <row r="77989" s="12" customFormat="1" x14ac:dyDescent="0.25"/>
    <row r="77990" s="12" customFormat="1" x14ac:dyDescent="0.25"/>
    <row r="77991" s="12" customFormat="1" x14ac:dyDescent="0.25"/>
    <row r="77992" s="12" customFormat="1" x14ac:dyDescent="0.25"/>
    <row r="77993" s="12" customFormat="1" x14ac:dyDescent="0.25"/>
    <row r="77994" s="12" customFormat="1" x14ac:dyDescent="0.25"/>
    <row r="77995" s="12" customFormat="1" x14ac:dyDescent="0.25"/>
    <row r="77996" s="12" customFormat="1" x14ac:dyDescent="0.25"/>
    <row r="77997" s="12" customFormat="1" x14ac:dyDescent="0.25"/>
    <row r="77998" s="12" customFormat="1" x14ac:dyDescent="0.25"/>
    <row r="77999" s="12" customFormat="1" x14ac:dyDescent="0.25"/>
    <row r="78000" s="12" customFormat="1" x14ac:dyDescent="0.25"/>
    <row r="78001" s="12" customFormat="1" x14ac:dyDescent="0.25"/>
    <row r="78002" s="12" customFormat="1" x14ac:dyDescent="0.25"/>
    <row r="78003" s="12" customFormat="1" x14ac:dyDescent="0.25"/>
    <row r="78004" s="12" customFormat="1" x14ac:dyDescent="0.25"/>
    <row r="78005" s="12" customFormat="1" x14ac:dyDescent="0.25"/>
    <row r="78006" s="12" customFormat="1" x14ac:dyDescent="0.25"/>
    <row r="78007" s="12" customFormat="1" x14ac:dyDescent="0.25"/>
    <row r="78008" s="12" customFormat="1" x14ac:dyDescent="0.25"/>
    <row r="78009" s="12" customFormat="1" x14ac:dyDescent="0.25"/>
    <row r="78010" s="12" customFormat="1" x14ac:dyDescent="0.25"/>
    <row r="78011" s="12" customFormat="1" x14ac:dyDescent="0.25"/>
    <row r="78012" s="12" customFormat="1" x14ac:dyDescent="0.25"/>
    <row r="78013" s="12" customFormat="1" x14ac:dyDescent="0.25"/>
    <row r="78014" s="12" customFormat="1" x14ac:dyDescent="0.25"/>
    <row r="78015" s="12" customFormat="1" x14ac:dyDescent="0.25"/>
    <row r="78016" s="12" customFormat="1" x14ac:dyDescent="0.25"/>
    <row r="78017" s="12" customFormat="1" x14ac:dyDescent="0.25"/>
    <row r="78018" s="12" customFormat="1" x14ac:dyDescent="0.25"/>
    <row r="78019" s="12" customFormat="1" x14ac:dyDescent="0.25"/>
    <row r="78020" s="12" customFormat="1" x14ac:dyDescent="0.25"/>
    <row r="78021" s="12" customFormat="1" x14ac:dyDescent="0.25"/>
    <row r="78022" s="12" customFormat="1" x14ac:dyDescent="0.25"/>
    <row r="78023" s="12" customFormat="1" x14ac:dyDescent="0.25"/>
    <row r="78024" s="12" customFormat="1" x14ac:dyDescent="0.25"/>
    <row r="78025" s="12" customFormat="1" x14ac:dyDescent="0.25"/>
    <row r="78026" s="12" customFormat="1" x14ac:dyDescent="0.25"/>
    <row r="78027" s="12" customFormat="1" x14ac:dyDescent="0.25"/>
    <row r="78028" s="12" customFormat="1" x14ac:dyDescent="0.25"/>
    <row r="78029" s="12" customFormat="1" x14ac:dyDescent="0.25"/>
    <row r="78030" s="12" customFormat="1" x14ac:dyDescent="0.25"/>
    <row r="78031" s="12" customFormat="1" x14ac:dyDescent="0.25"/>
    <row r="78032" s="12" customFormat="1" x14ac:dyDescent="0.25"/>
    <row r="78033" s="12" customFormat="1" x14ac:dyDescent="0.25"/>
    <row r="78034" s="12" customFormat="1" x14ac:dyDescent="0.25"/>
    <row r="78035" s="12" customFormat="1" x14ac:dyDescent="0.25"/>
    <row r="78036" s="12" customFormat="1" x14ac:dyDescent="0.25"/>
    <row r="78037" s="12" customFormat="1" x14ac:dyDescent="0.25"/>
    <row r="78038" s="12" customFormat="1" x14ac:dyDescent="0.25"/>
    <row r="78039" s="12" customFormat="1" x14ac:dyDescent="0.25"/>
    <row r="78040" s="12" customFormat="1" x14ac:dyDescent="0.25"/>
    <row r="78041" s="12" customFormat="1" x14ac:dyDescent="0.25"/>
    <row r="78042" s="12" customFormat="1" x14ac:dyDescent="0.25"/>
    <row r="78043" s="12" customFormat="1" x14ac:dyDescent="0.25"/>
    <row r="78044" s="12" customFormat="1" x14ac:dyDescent="0.25"/>
    <row r="78045" s="12" customFormat="1" x14ac:dyDescent="0.25"/>
    <row r="78046" s="12" customFormat="1" x14ac:dyDescent="0.25"/>
    <row r="78047" s="12" customFormat="1" x14ac:dyDescent="0.25"/>
    <row r="78048" s="12" customFormat="1" x14ac:dyDescent="0.25"/>
    <row r="78049" s="12" customFormat="1" x14ac:dyDescent="0.25"/>
    <row r="78050" s="12" customFormat="1" x14ac:dyDescent="0.25"/>
    <row r="78051" s="12" customFormat="1" x14ac:dyDescent="0.25"/>
    <row r="78052" s="12" customFormat="1" x14ac:dyDescent="0.25"/>
    <row r="78053" s="12" customFormat="1" x14ac:dyDescent="0.25"/>
    <row r="78054" s="12" customFormat="1" x14ac:dyDescent="0.25"/>
    <row r="78055" s="12" customFormat="1" x14ac:dyDescent="0.25"/>
    <row r="78056" s="12" customFormat="1" x14ac:dyDescent="0.25"/>
    <row r="78057" s="12" customFormat="1" x14ac:dyDescent="0.25"/>
    <row r="78058" s="12" customFormat="1" x14ac:dyDescent="0.25"/>
    <row r="78059" s="12" customFormat="1" x14ac:dyDescent="0.25"/>
    <row r="78060" s="12" customFormat="1" x14ac:dyDescent="0.25"/>
    <row r="78061" s="12" customFormat="1" x14ac:dyDescent="0.25"/>
    <row r="78062" s="12" customFormat="1" x14ac:dyDescent="0.25"/>
    <row r="78063" s="12" customFormat="1" x14ac:dyDescent="0.25"/>
    <row r="78064" s="12" customFormat="1" x14ac:dyDescent="0.25"/>
    <row r="78065" s="12" customFormat="1" x14ac:dyDescent="0.25"/>
    <row r="78066" s="12" customFormat="1" x14ac:dyDescent="0.25"/>
    <row r="78067" s="12" customFormat="1" x14ac:dyDescent="0.25"/>
    <row r="78068" s="12" customFormat="1" x14ac:dyDescent="0.25"/>
    <row r="78069" s="12" customFormat="1" x14ac:dyDescent="0.25"/>
    <row r="78070" s="12" customFormat="1" x14ac:dyDescent="0.25"/>
    <row r="78071" s="12" customFormat="1" x14ac:dyDescent="0.25"/>
    <row r="78072" s="12" customFormat="1" x14ac:dyDescent="0.25"/>
    <row r="78073" s="12" customFormat="1" x14ac:dyDescent="0.25"/>
    <row r="78074" s="12" customFormat="1" x14ac:dyDescent="0.25"/>
    <row r="78075" s="12" customFormat="1" x14ac:dyDescent="0.25"/>
    <row r="78076" s="12" customFormat="1" x14ac:dyDescent="0.25"/>
    <row r="78077" s="12" customFormat="1" x14ac:dyDescent="0.25"/>
    <row r="78078" s="12" customFormat="1" x14ac:dyDescent="0.25"/>
    <row r="78079" s="12" customFormat="1" x14ac:dyDescent="0.25"/>
    <row r="78080" s="12" customFormat="1" x14ac:dyDescent="0.25"/>
    <row r="78081" s="12" customFormat="1" x14ac:dyDescent="0.25"/>
    <row r="78082" s="12" customFormat="1" x14ac:dyDescent="0.25"/>
    <row r="78083" s="12" customFormat="1" x14ac:dyDescent="0.25"/>
    <row r="78084" s="12" customFormat="1" x14ac:dyDescent="0.25"/>
    <row r="78085" s="12" customFormat="1" x14ac:dyDescent="0.25"/>
    <row r="78086" s="12" customFormat="1" x14ac:dyDescent="0.25"/>
    <row r="78087" s="12" customFormat="1" x14ac:dyDescent="0.25"/>
    <row r="78088" s="12" customFormat="1" x14ac:dyDescent="0.25"/>
    <row r="78089" s="12" customFormat="1" x14ac:dyDescent="0.25"/>
    <row r="78090" s="12" customFormat="1" x14ac:dyDescent="0.25"/>
    <row r="78091" s="12" customFormat="1" x14ac:dyDescent="0.25"/>
    <row r="78092" s="12" customFormat="1" x14ac:dyDescent="0.25"/>
    <row r="78093" s="12" customFormat="1" x14ac:dyDescent="0.25"/>
    <row r="78094" s="12" customFormat="1" x14ac:dyDescent="0.25"/>
    <row r="78095" s="12" customFormat="1" x14ac:dyDescent="0.25"/>
    <row r="78096" s="12" customFormat="1" x14ac:dyDescent="0.25"/>
    <row r="78097" s="12" customFormat="1" x14ac:dyDescent="0.25"/>
    <row r="78098" s="12" customFormat="1" x14ac:dyDescent="0.25"/>
    <row r="78099" s="12" customFormat="1" x14ac:dyDescent="0.25"/>
    <row r="78100" s="12" customFormat="1" x14ac:dyDescent="0.25"/>
    <row r="78101" s="12" customFormat="1" x14ac:dyDescent="0.25"/>
    <row r="78102" s="12" customFormat="1" x14ac:dyDescent="0.25"/>
    <row r="78103" s="12" customFormat="1" x14ac:dyDescent="0.25"/>
    <row r="78104" s="12" customFormat="1" x14ac:dyDescent="0.25"/>
    <row r="78105" s="12" customFormat="1" x14ac:dyDescent="0.25"/>
    <row r="78106" s="12" customFormat="1" x14ac:dyDescent="0.25"/>
    <row r="78107" s="12" customFormat="1" x14ac:dyDescent="0.25"/>
    <row r="78108" s="12" customFormat="1" x14ac:dyDescent="0.25"/>
    <row r="78109" s="12" customFormat="1" x14ac:dyDescent="0.25"/>
    <row r="78110" s="12" customFormat="1" x14ac:dyDescent="0.25"/>
    <row r="78111" s="12" customFormat="1" x14ac:dyDescent="0.25"/>
    <row r="78112" s="12" customFormat="1" x14ac:dyDescent="0.25"/>
    <row r="78113" s="12" customFormat="1" x14ac:dyDescent="0.25"/>
    <row r="78114" s="12" customFormat="1" x14ac:dyDescent="0.25"/>
    <row r="78115" s="12" customFormat="1" x14ac:dyDescent="0.25"/>
    <row r="78116" s="12" customFormat="1" x14ac:dyDescent="0.25"/>
    <row r="78117" s="12" customFormat="1" x14ac:dyDescent="0.25"/>
    <row r="78118" s="12" customFormat="1" x14ac:dyDescent="0.25"/>
    <row r="78119" s="12" customFormat="1" x14ac:dyDescent="0.25"/>
    <row r="78120" s="12" customFormat="1" x14ac:dyDescent="0.25"/>
    <row r="78121" s="12" customFormat="1" x14ac:dyDescent="0.25"/>
    <row r="78122" s="12" customFormat="1" x14ac:dyDescent="0.25"/>
    <row r="78123" s="12" customFormat="1" x14ac:dyDescent="0.25"/>
    <row r="78124" s="12" customFormat="1" x14ac:dyDescent="0.25"/>
    <row r="78125" s="12" customFormat="1" x14ac:dyDescent="0.25"/>
    <row r="78126" s="12" customFormat="1" x14ac:dyDescent="0.25"/>
    <row r="78127" s="12" customFormat="1" x14ac:dyDescent="0.25"/>
    <row r="78128" s="12" customFormat="1" x14ac:dyDescent="0.25"/>
    <row r="78129" s="12" customFormat="1" x14ac:dyDescent="0.25"/>
    <row r="78130" s="12" customFormat="1" x14ac:dyDescent="0.25"/>
    <row r="78131" s="12" customFormat="1" x14ac:dyDescent="0.25"/>
    <row r="78132" s="12" customFormat="1" x14ac:dyDescent="0.25"/>
    <row r="78133" s="12" customFormat="1" x14ac:dyDescent="0.25"/>
    <row r="78134" s="12" customFormat="1" x14ac:dyDescent="0.25"/>
    <row r="78135" s="12" customFormat="1" x14ac:dyDescent="0.25"/>
    <row r="78136" s="12" customFormat="1" x14ac:dyDescent="0.25"/>
    <row r="78137" s="12" customFormat="1" x14ac:dyDescent="0.25"/>
    <row r="78138" s="12" customFormat="1" x14ac:dyDescent="0.25"/>
    <row r="78139" s="12" customFormat="1" x14ac:dyDescent="0.25"/>
    <row r="78140" s="12" customFormat="1" x14ac:dyDescent="0.25"/>
    <row r="78141" s="12" customFormat="1" x14ac:dyDescent="0.25"/>
    <row r="78142" s="12" customFormat="1" x14ac:dyDescent="0.25"/>
    <row r="78143" s="12" customFormat="1" x14ac:dyDescent="0.25"/>
    <row r="78144" s="12" customFormat="1" x14ac:dyDescent="0.25"/>
    <row r="78145" s="12" customFormat="1" x14ac:dyDescent="0.25"/>
    <row r="78146" s="12" customFormat="1" x14ac:dyDescent="0.25"/>
    <row r="78147" s="12" customFormat="1" x14ac:dyDescent="0.25"/>
    <row r="78148" s="12" customFormat="1" x14ac:dyDescent="0.25"/>
    <row r="78149" s="12" customFormat="1" x14ac:dyDescent="0.25"/>
    <row r="78150" s="12" customFormat="1" x14ac:dyDescent="0.25"/>
    <row r="78151" s="12" customFormat="1" x14ac:dyDescent="0.25"/>
    <row r="78152" s="12" customFormat="1" x14ac:dyDescent="0.25"/>
    <row r="78153" s="12" customFormat="1" x14ac:dyDescent="0.25"/>
    <row r="78154" s="12" customFormat="1" x14ac:dyDescent="0.25"/>
    <row r="78155" s="12" customFormat="1" x14ac:dyDescent="0.25"/>
    <row r="78156" s="12" customFormat="1" x14ac:dyDescent="0.25"/>
    <row r="78157" s="12" customFormat="1" x14ac:dyDescent="0.25"/>
    <row r="78158" s="12" customFormat="1" x14ac:dyDescent="0.25"/>
    <row r="78159" s="12" customFormat="1" x14ac:dyDescent="0.25"/>
    <row r="78160" s="12" customFormat="1" x14ac:dyDescent="0.25"/>
    <row r="78161" s="12" customFormat="1" x14ac:dyDescent="0.25"/>
    <row r="78162" s="12" customFormat="1" x14ac:dyDescent="0.25"/>
    <row r="78163" s="12" customFormat="1" x14ac:dyDescent="0.25"/>
    <row r="78164" s="12" customFormat="1" x14ac:dyDescent="0.25"/>
    <row r="78165" s="12" customFormat="1" x14ac:dyDescent="0.25"/>
    <row r="78166" s="12" customFormat="1" x14ac:dyDescent="0.25"/>
    <row r="78167" s="12" customFormat="1" x14ac:dyDescent="0.25"/>
    <row r="78168" s="12" customFormat="1" x14ac:dyDescent="0.25"/>
    <row r="78169" s="12" customFormat="1" x14ac:dyDescent="0.25"/>
    <row r="78170" s="12" customFormat="1" x14ac:dyDescent="0.25"/>
    <row r="78171" s="12" customFormat="1" x14ac:dyDescent="0.25"/>
    <row r="78172" s="12" customFormat="1" x14ac:dyDescent="0.25"/>
    <row r="78173" s="12" customFormat="1" x14ac:dyDescent="0.25"/>
    <row r="78174" s="12" customFormat="1" x14ac:dyDescent="0.25"/>
    <row r="78175" s="12" customFormat="1" x14ac:dyDescent="0.25"/>
    <row r="78176" s="12" customFormat="1" x14ac:dyDescent="0.25"/>
    <row r="78177" s="12" customFormat="1" x14ac:dyDescent="0.25"/>
    <row r="78178" s="12" customFormat="1" x14ac:dyDescent="0.25"/>
    <row r="78179" s="12" customFormat="1" x14ac:dyDescent="0.25"/>
    <row r="78180" s="12" customFormat="1" x14ac:dyDescent="0.25"/>
    <row r="78181" s="12" customFormat="1" x14ac:dyDescent="0.25"/>
    <row r="78182" s="12" customFormat="1" x14ac:dyDescent="0.25"/>
    <row r="78183" s="12" customFormat="1" x14ac:dyDescent="0.25"/>
    <row r="78184" s="12" customFormat="1" x14ac:dyDescent="0.25"/>
    <row r="78185" s="12" customFormat="1" x14ac:dyDescent="0.25"/>
    <row r="78186" s="12" customFormat="1" x14ac:dyDescent="0.25"/>
    <row r="78187" s="12" customFormat="1" x14ac:dyDescent="0.25"/>
    <row r="78188" s="12" customFormat="1" x14ac:dyDescent="0.25"/>
    <row r="78189" s="12" customFormat="1" x14ac:dyDescent="0.25"/>
    <row r="78190" s="12" customFormat="1" x14ac:dyDescent="0.25"/>
    <row r="78191" s="12" customFormat="1" x14ac:dyDescent="0.25"/>
    <row r="78192" s="12" customFormat="1" x14ac:dyDescent="0.25"/>
    <row r="78193" s="12" customFormat="1" x14ac:dyDescent="0.25"/>
    <row r="78194" s="12" customFormat="1" x14ac:dyDescent="0.25"/>
    <row r="78195" s="12" customFormat="1" x14ac:dyDescent="0.25"/>
    <row r="78196" s="12" customFormat="1" x14ac:dyDescent="0.25"/>
    <row r="78197" s="12" customFormat="1" x14ac:dyDescent="0.25"/>
    <row r="78198" s="12" customFormat="1" x14ac:dyDescent="0.25"/>
    <row r="78199" s="12" customFormat="1" x14ac:dyDescent="0.25"/>
    <row r="78200" s="12" customFormat="1" x14ac:dyDescent="0.25"/>
    <row r="78201" s="12" customFormat="1" x14ac:dyDescent="0.25"/>
    <row r="78202" s="12" customFormat="1" x14ac:dyDescent="0.25"/>
    <row r="78203" s="12" customFormat="1" x14ac:dyDescent="0.25"/>
    <row r="78204" s="12" customFormat="1" x14ac:dyDescent="0.25"/>
    <row r="78205" s="12" customFormat="1" x14ac:dyDescent="0.25"/>
    <row r="78206" s="12" customFormat="1" x14ac:dyDescent="0.25"/>
    <row r="78207" s="12" customFormat="1" x14ac:dyDescent="0.25"/>
    <row r="78208" s="12" customFormat="1" x14ac:dyDescent="0.25"/>
    <row r="78209" s="12" customFormat="1" x14ac:dyDescent="0.25"/>
    <row r="78210" s="12" customFormat="1" x14ac:dyDescent="0.25"/>
    <row r="78211" s="12" customFormat="1" x14ac:dyDescent="0.25"/>
    <row r="78212" s="12" customFormat="1" x14ac:dyDescent="0.25"/>
    <row r="78213" s="12" customFormat="1" x14ac:dyDescent="0.25"/>
    <row r="78214" s="12" customFormat="1" x14ac:dyDescent="0.25"/>
    <row r="78215" s="12" customFormat="1" x14ac:dyDescent="0.25"/>
    <row r="78216" s="12" customFormat="1" x14ac:dyDescent="0.25"/>
    <row r="78217" s="12" customFormat="1" x14ac:dyDescent="0.25"/>
    <row r="78218" s="12" customFormat="1" x14ac:dyDescent="0.25"/>
    <row r="78219" s="12" customFormat="1" x14ac:dyDescent="0.25"/>
    <row r="78220" s="12" customFormat="1" x14ac:dyDescent="0.25"/>
    <row r="78221" s="12" customFormat="1" x14ac:dyDescent="0.25"/>
    <row r="78222" s="12" customFormat="1" x14ac:dyDescent="0.25"/>
    <row r="78223" s="12" customFormat="1" x14ac:dyDescent="0.25"/>
    <row r="78224" s="12" customFormat="1" x14ac:dyDescent="0.25"/>
    <row r="78225" s="12" customFormat="1" x14ac:dyDescent="0.25"/>
    <row r="78226" s="12" customFormat="1" x14ac:dyDescent="0.25"/>
    <row r="78227" s="12" customFormat="1" x14ac:dyDescent="0.25"/>
    <row r="78228" s="12" customFormat="1" x14ac:dyDescent="0.25"/>
    <row r="78229" s="12" customFormat="1" x14ac:dyDescent="0.25"/>
    <row r="78230" s="12" customFormat="1" x14ac:dyDescent="0.25"/>
    <row r="78231" s="12" customFormat="1" x14ac:dyDescent="0.25"/>
    <row r="78232" s="12" customFormat="1" x14ac:dyDescent="0.25"/>
    <row r="78233" s="12" customFormat="1" x14ac:dyDescent="0.25"/>
    <row r="78234" s="12" customFormat="1" x14ac:dyDescent="0.25"/>
    <row r="78235" s="12" customFormat="1" x14ac:dyDescent="0.25"/>
    <row r="78236" s="12" customFormat="1" x14ac:dyDescent="0.25"/>
    <row r="78237" s="12" customFormat="1" x14ac:dyDescent="0.25"/>
    <row r="78238" s="12" customFormat="1" x14ac:dyDescent="0.25"/>
    <row r="78239" s="12" customFormat="1" x14ac:dyDescent="0.25"/>
    <row r="78240" s="12" customFormat="1" x14ac:dyDescent="0.25"/>
    <row r="78241" s="12" customFormat="1" x14ac:dyDescent="0.25"/>
    <row r="78242" s="12" customFormat="1" x14ac:dyDescent="0.25"/>
    <row r="78243" s="12" customFormat="1" x14ac:dyDescent="0.25"/>
    <row r="78244" s="12" customFormat="1" x14ac:dyDescent="0.25"/>
    <row r="78245" s="12" customFormat="1" x14ac:dyDescent="0.25"/>
    <row r="78246" s="12" customFormat="1" x14ac:dyDescent="0.25"/>
    <row r="78247" s="12" customFormat="1" x14ac:dyDescent="0.25"/>
    <row r="78248" s="12" customFormat="1" x14ac:dyDescent="0.25"/>
    <row r="78249" s="12" customFormat="1" x14ac:dyDescent="0.25"/>
    <row r="78250" s="12" customFormat="1" x14ac:dyDescent="0.25"/>
    <row r="78251" s="12" customFormat="1" x14ac:dyDescent="0.25"/>
    <row r="78252" s="12" customFormat="1" x14ac:dyDescent="0.25"/>
    <row r="78253" s="12" customFormat="1" x14ac:dyDescent="0.25"/>
    <row r="78254" s="12" customFormat="1" x14ac:dyDescent="0.25"/>
    <row r="78255" s="12" customFormat="1" x14ac:dyDescent="0.25"/>
    <row r="78256" s="12" customFormat="1" x14ac:dyDescent="0.25"/>
    <row r="78257" s="12" customFormat="1" x14ac:dyDescent="0.25"/>
    <row r="78258" s="12" customFormat="1" x14ac:dyDescent="0.25"/>
    <row r="78259" s="12" customFormat="1" x14ac:dyDescent="0.25"/>
    <row r="78260" s="12" customFormat="1" x14ac:dyDescent="0.25"/>
    <row r="78261" s="12" customFormat="1" x14ac:dyDescent="0.25"/>
    <row r="78262" s="12" customFormat="1" x14ac:dyDescent="0.25"/>
    <row r="78263" s="12" customFormat="1" x14ac:dyDescent="0.25"/>
    <row r="78264" s="12" customFormat="1" x14ac:dyDescent="0.25"/>
    <row r="78265" s="12" customFormat="1" x14ac:dyDescent="0.25"/>
    <row r="78266" s="12" customFormat="1" x14ac:dyDescent="0.25"/>
    <row r="78267" s="12" customFormat="1" x14ac:dyDescent="0.25"/>
    <row r="78268" s="12" customFormat="1" x14ac:dyDescent="0.25"/>
    <row r="78269" s="12" customFormat="1" x14ac:dyDescent="0.25"/>
    <row r="78270" s="12" customFormat="1" x14ac:dyDescent="0.25"/>
    <row r="78271" s="12" customFormat="1" x14ac:dyDescent="0.25"/>
    <row r="78272" s="12" customFormat="1" x14ac:dyDescent="0.25"/>
    <row r="78273" s="12" customFormat="1" x14ac:dyDescent="0.25"/>
    <row r="78274" s="12" customFormat="1" x14ac:dyDescent="0.25"/>
    <row r="78275" s="12" customFormat="1" x14ac:dyDescent="0.25"/>
    <row r="78276" s="12" customFormat="1" x14ac:dyDescent="0.25"/>
    <row r="78277" s="12" customFormat="1" x14ac:dyDescent="0.25"/>
    <row r="78278" s="12" customFormat="1" x14ac:dyDescent="0.25"/>
    <row r="78279" s="12" customFormat="1" x14ac:dyDescent="0.25"/>
    <row r="78280" s="12" customFormat="1" x14ac:dyDescent="0.25"/>
    <row r="78281" s="12" customFormat="1" x14ac:dyDescent="0.25"/>
    <row r="78282" s="12" customFormat="1" x14ac:dyDescent="0.25"/>
    <row r="78283" s="12" customFormat="1" x14ac:dyDescent="0.25"/>
    <row r="78284" s="12" customFormat="1" x14ac:dyDescent="0.25"/>
    <row r="78285" s="12" customFormat="1" x14ac:dyDescent="0.25"/>
    <row r="78286" s="12" customFormat="1" x14ac:dyDescent="0.25"/>
    <row r="78287" s="12" customFormat="1" x14ac:dyDescent="0.25"/>
    <row r="78288" s="12" customFormat="1" x14ac:dyDescent="0.25"/>
    <row r="78289" s="12" customFormat="1" x14ac:dyDescent="0.25"/>
    <row r="78290" s="12" customFormat="1" x14ac:dyDescent="0.25"/>
    <row r="78291" s="12" customFormat="1" x14ac:dyDescent="0.25"/>
    <row r="78292" s="12" customFormat="1" x14ac:dyDescent="0.25"/>
    <row r="78293" s="12" customFormat="1" x14ac:dyDescent="0.25"/>
    <row r="78294" s="12" customFormat="1" x14ac:dyDescent="0.25"/>
    <row r="78295" s="12" customFormat="1" x14ac:dyDescent="0.25"/>
    <row r="78296" s="12" customFormat="1" x14ac:dyDescent="0.25"/>
    <row r="78297" s="12" customFormat="1" x14ac:dyDescent="0.25"/>
    <row r="78298" s="12" customFormat="1" x14ac:dyDescent="0.25"/>
    <row r="78299" s="12" customFormat="1" x14ac:dyDescent="0.25"/>
    <row r="78300" s="12" customFormat="1" x14ac:dyDescent="0.25"/>
    <row r="78301" s="12" customFormat="1" x14ac:dyDescent="0.25"/>
    <row r="78302" s="12" customFormat="1" x14ac:dyDescent="0.25"/>
    <row r="78303" s="12" customFormat="1" x14ac:dyDescent="0.25"/>
    <row r="78304" s="12" customFormat="1" x14ac:dyDescent="0.25"/>
    <row r="78305" s="12" customFormat="1" x14ac:dyDescent="0.25"/>
    <row r="78306" s="12" customFormat="1" x14ac:dyDescent="0.25"/>
    <row r="78307" s="12" customFormat="1" x14ac:dyDescent="0.25"/>
    <row r="78308" s="12" customFormat="1" x14ac:dyDescent="0.25"/>
    <row r="78309" s="12" customFormat="1" x14ac:dyDescent="0.25"/>
    <row r="78310" s="12" customFormat="1" x14ac:dyDescent="0.25"/>
    <row r="78311" s="12" customFormat="1" x14ac:dyDescent="0.25"/>
    <row r="78312" s="12" customFormat="1" x14ac:dyDescent="0.25"/>
    <row r="78313" s="12" customFormat="1" x14ac:dyDescent="0.25"/>
    <row r="78314" s="12" customFormat="1" x14ac:dyDescent="0.25"/>
    <row r="78315" s="12" customFormat="1" x14ac:dyDescent="0.25"/>
    <row r="78316" s="12" customFormat="1" x14ac:dyDescent="0.25"/>
    <row r="78317" s="12" customFormat="1" x14ac:dyDescent="0.25"/>
    <row r="78318" s="12" customFormat="1" x14ac:dyDescent="0.25"/>
    <row r="78319" s="12" customFormat="1" x14ac:dyDescent="0.25"/>
    <row r="78320" s="12" customFormat="1" x14ac:dyDescent="0.25"/>
    <row r="78321" s="12" customFormat="1" x14ac:dyDescent="0.25"/>
    <row r="78322" s="12" customFormat="1" x14ac:dyDescent="0.25"/>
    <row r="78323" s="12" customFormat="1" x14ac:dyDescent="0.25"/>
    <row r="78324" s="12" customFormat="1" x14ac:dyDescent="0.25"/>
    <row r="78325" s="12" customFormat="1" x14ac:dyDescent="0.25"/>
    <row r="78326" s="12" customFormat="1" x14ac:dyDescent="0.25"/>
    <row r="78327" s="12" customFormat="1" x14ac:dyDescent="0.25"/>
    <row r="78328" s="12" customFormat="1" x14ac:dyDescent="0.25"/>
    <row r="78329" s="12" customFormat="1" x14ac:dyDescent="0.25"/>
    <row r="78330" s="12" customFormat="1" x14ac:dyDescent="0.25"/>
    <row r="78331" s="12" customFormat="1" x14ac:dyDescent="0.25"/>
    <row r="78332" s="12" customFormat="1" x14ac:dyDescent="0.25"/>
    <row r="78333" s="12" customFormat="1" x14ac:dyDescent="0.25"/>
    <row r="78334" s="12" customFormat="1" x14ac:dyDescent="0.25"/>
    <row r="78335" s="12" customFormat="1" x14ac:dyDescent="0.25"/>
    <row r="78336" s="12" customFormat="1" x14ac:dyDescent="0.25"/>
    <row r="78337" s="12" customFormat="1" x14ac:dyDescent="0.25"/>
    <row r="78338" s="12" customFormat="1" x14ac:dyDescent="0.25"/>
    <row r="78339" s="12" customFormat="1" x14ac:dyDescent="0.25"/>
    <row r="78340" s="12" customFormat="1" x14ac:dyDescent="0.25"/>
    <row r="78341" s="12" customFormat="1" x14ac:dyDescent="0.25"/>
    <row r="78342" s="12" customFormat="1" x14ac:dyDescent="0.25"/>
    <row r="78343" s="12" customFormat="1" x14ac:dyDescent="0.25"/>
    <row r="78344" s="12" customFormat="1" x14ac:dyDescent="0.25"/>
    <row r="78345" s="12" customFormat="1" x14ac:dyDescent="0.25"/>
    <row r="78346" s="12" customFormat="1" x14ac:dyDescent="0.25"/>
    <row r="78347" s="12" customFormat="1" x14ac:dyDescent="0.25"/>
    <row r="78348" s="12" customFormat="1" x14ac:dyDescent="0.25"/>
    <row r="78349" s="12" customFormat="1" x14ac:dyDescent="0.25"/>
    <row r="78350" s="12" customFormat="1" x14ac:dyDescent="0.25"/>
    <row r="78351" s="12" customFormat="1" x14ac:dyDescent="0.25"/>
    <row r="78352" s="12" customFormat="1" x14ac:dyDescent="0.25"/>
    <row r="78353" s="12" customFormat="1" x14ac:dyDescent="0.25"/>
    <row r="78354" s="12" customFormat="1" x14ac:dyDescent="0.25"/>
    <row r="78355" s="12" customFormat="1" x14ac:dyDescent="0.25"/>
    <row r="78356" s="12" customFormat="1" x14ac:dyDescent="0.25"/>
    <row r="78357" s="12" customFormat="1" x14ac:dyDescent="0.25"/>
    <row r="78358" s="12" customFormat="1" x14ac:dyDescent="0.25"/>
    <row r="78359" s="12" customFormat="1" x14ac:dyDescent="0.25"/>
    <row r="78360" s="12" customFormat="1" x14ac:dyDescent="0.25"/>
    <row r="78361" s="12" customFormat="1" x14ac:dyDescent="0.25"/>
    <row r="78362" s="12" customFormat="1" x14ac:dyDescent="0.25"/>
    <row r="78363" s="12" customFormat="1" x14ac:dyDescent="0.25"/>
    <row r="78364" s="12" customFormat="1" x14ac:dyDescent="0.25"/>
    <row r="78365" s="12" customFormat="1" x14ac:dyDescent="0.25"/>
    <row r="78366" s="12" customFormat="1" x14ac:dyDescent="0.25"/>
    <row r="78367" s="12" customFormat="1" x14ac:dyDescent="0.25"/>
    <row r="78368" s="12" customFormat="1" x14ac:dyDescent="0.25"/>
    <row r="78369" s="12" customFormat="1" x14ac:dyDescent="0.25"/>
    <row r="78370" s="12" customFormat="1" x14ac:dyDescent="0.25"/>
    <row r="78371" s="12" customFormat="1" x14ac:dyDescent="0.25"/>
    <row r="78372" s="12" customFormat="1" x14ac:dyDescent="0.25"/>
    <row r="78373" s="12" customFormat="1" x14ac:dyDescent="0.25"/>
    <row r="78374" s="12" customFormat="1" x14ac:dyDescent="0.25"/>
    <row r="78375" s="12" customFormat="1" x14ac:dyDescent="0.25"/>
    <row r="78376" s="12" customFormat="1" x14ac:dyDescent="0.25"/>
    <row r="78377" s="12" customFormat="1" x14ac:dyDescent="0.25"/>
    <row r="78378" s="12" customFormat="1" x14ac:dyDescent="0.25"/>
    <row r="78379" s="12" customFormat="1" x14ac:dyDescent="0.25"/>
    <row r="78380" s="12" customFormat="1" x14ac:dyDescent="0.25"/>
    <row r="78381" s="12" customFormat="1" x14ac:dyDescent="0.25"/>
    <row r="78382" s="12" customFormat="1" x14ac:dyDescent="0.25"/>
    <row r="78383" s="12" customFormat="1" x14ac:dyDescent="0.25"/>
    <row r="78384" s="12" customFormat="1" x14ac:dyDescent="0.25"/>
    <row r="78385" s="12" customFormat="1" x14ac:dyDescent="0.25"/>
    <row r="78386" s="12" customFormat="1" x14ac:dyDescent="0.25"/>
    <row r="78387" s="12" customFormat="1" x14ac:dyDescent="0.25"/>
    <row r="78388" s="12" customFormat="1" x14ac:dyDescent="0.25"/>
    <row r="78389" s="12" customFormat="1" x14ac:dyDescent="0.25"/>
    <row r="78390" s="12" customFormat="1" x14ac:dyDescent="0.25"/>
    <row r="78391" s="12" customFormat="1" x14ac:dyDescent="0.25"/>
    <row r="78392" s="12" customFormat="1" x14ac:dyDescent="0.25"/>
    <row r="78393" s="12" customFormat="1" x14ac:dyDescent="0.25"/>
    <row r="78394" s="12" customFormat="1" x14ac:dyDescent="0.25"/>
    <row r="78395" s="12" customFormat="1" x14ac:dyDescent="0.25"/>
    <row r="78396" s="12" customFormat="1" x14ac:dyDescent="0.25"/>
    <row r="78397" s="12" customFormat="1" x14ac:dyDescent="0.25"/>
    <row r="78398" s="12" customFormat="1" x14ac:dyDescent="0.25"/>
    <row r="78399" s="12" customFormat="1" x14ac:dyDescent="0.25"/>
    <row r="78400" s="12" customFormat="1" x14ac:dyDescent="0.25"/>
    <row r="78401" s="12" customFormat="1" x14ac:dyDescent="0.25"/>
    <row r="78402" s="12" customFormat="1" x14ac:dyDescent="0.25"/>
    <row r="78403" s="12" customFormat="1" x14ac:dyDescent="0.25"/>
    <row r="78404" s="12" customFormat="1" x14ac:dyDescent="0.25"/>
    <row r="78405" s="12" customFormat="1" x14ac:dyDescent="0.25"/>
    <row r="78406" s="12" customFormat="1" x14ac:dyDescent="0.25"/>
    <row r="78407" s="12" customFormat="1" x14ac:dyDescent="0.25"/>
    <row r="78408" s="12" customFormat="1" x14ac:dyDescent="0.25"/>
    <row r="78409" s="12" customFormat="1" x14ac:dyDescent="0.25"/>
    <row r="78410" s="12" customFormat="1" x14ac:dyDescent="0.25"/>
    <row r="78411" s="12" customFormat="1" x14ac:dyDescent="0.25"/>
    <row r="78412" s="12" customFormat="1" x14ac:dyDescent="0.25"/>
    <row r="78413" s="12" customFormat="1" x14ac:dyDescent="0.25"/>
    <row r="78414" s="12" customFormat="1" x14ac:dyDescent="0.25"/>
    <row r="78415" s="12" customFormat="1" x14ac:dyDescent="0.25"/>
    <row r="78416" s="12" customFormat="1" x14ac:dyDescent="0.25"/>
    <row r="78417" s="12" customFormat="1" x14ac:dyDescent="0.25"/>
    <row r="78418" s="12" customFormat="1" x14ac:dyDescent="0.25"/>
    <row r="78419" s="12" customFormat="1" x14ac:dyDescent="0.25"/>
    <row r="78420" s="12" customFormat="1" x14ac:dyDescent="0.25"/>
    <row r="78421" s="12" customFormat="1" x14ac:dyDescent="0.25"/>
    <row r="78422" s="12" customFormat="1" x14ac:dyDescent="0.25"/>
    <row r="78423" s="12" customFormat="1" x14ac:dyDescent="0.25"/>
    <row r="78424" s="12" customFormat="1" x14ac:dyDescent="0.25"/>
    <row r="78425" s="12" customFormat="1" x14ac:dyDescent="0.25"/>
    <row r="78426" s="12" customFormat="1" x14ac:dyDescent="0.25"/>
    <row r="78427" s="12" customFormat="1" x14ac:dyDescent="0.25"/>
    <row r="78428" s="12" customFormat="1" x14ac:dyDescent="0.25"/>
    <row r="78429" s="12" customFormat="1" x14ac:dyDescent="0.25"/>
    <row r="78430" s="12" customFormat="1" x14ac:dyDescent="0.25"/>
    <row r="78431" s="12" customFormat="1" x14ac:dyDescent="0.25"/>
    <row r="78432" s="12" customFormat="1" x14ac:dyDescent="0.25"/>
    <row r="78433" s="12" customFormat="1" x14ac:dyDescent="0.25"/>
    <row r="78434" s="12" customFormat="1" x14ac:dyDescent="0.25"/>
    <row r="78435" s="12" customFormat="1" x14ac:dyDescent="0.25"/>
    <row r="78436" s="12" customFormat="1" x14ac:dyDescent="0.25"/>
    <row r="78437" s="12" customFormat="1" x14ac:dyDescent="0.25"/>
    <row r="78438" s="12" customFormat="1" x14ac:dyDescent="0.25"/>
    <row r="78439" s="12" customFormat="1" x14ac:dyDescent="0.25"/>
    <row r="78440" s="12" customFormat="1" x14ac:dyDescent="0.25"/>
    <row r="78441" s="12" customFormat="1" x14ac:dyDescent="0.25"/>
    <row r="78442" s="12" customFormat="1" x14ac:dyDescent="0.25"/>
    <row r="78443" s="12" customFormat="1" x14ac:dyDescent="0.25"/>
    <row r="78444" s="12" customFormat="1" x14ac:dyDescent="0.25"/>
    <row r="78445" s="12" customFormat="1" x14ac:dyDescent="0.25"/>
    <row r="78446" s="12" customFormat="1" x14ac:dyDescent="0.25"/>
    <row r="78447" s="12" customFormat="1" x14ac:dyDescent="0.25"/>
    <row r="78448" s="12" customFormat="1" x14ac:dyDescent="0.25"/>
    <row r="78449" s="12" customFormat="1" x14ac:dyDescent="0.25"/>
    <row r="78450" s="12" customFormat="1" x14ac:dyDescent="0.25"/>
    <row r="78451" s="12" customFormat="1" x14ac:dyDescent="0.25"/>
    <row r="78452" s="12" customFormat="1" x14ac:dyDescent="0.25"/>
    <row r="78453" s="12" customFormat="1" x14ac:dyDescent="0.25"/>
    <row r="78454" s="12" customFormat="1" x14ac:dyDescent="0.25"/>
    <row r="78455" s="12" customFormat="1" x14ac:dyDescent="0.25"/>
    <row r="78456" s="12" customFormat="1" x14ac:dyDescent="0.25"/>
    <row r="78457" s="12" customFormat="1" x14ac:dyDescent="0.25"/>
    <row r="78458" s="12" customFormat="1" x14ac:dyDescent="0.25"/>
    <row r="78459" s="12" customFormat="1" x14ac:dyDescent="0.25"/>
    <row r="78460" s="12" customFormat="1" x14ac:dyDescent="0.25"/>
    <row r="78461" s="12" customFormat="1" x14ac:dyDescent="0.25"/>
    <row r="78462" s="12" customFormat="1" x14ac:dyDescent="0.25"/>
    <row r="78463" s="12" customFormat="1" x14ac:dyDescent="0.25"/>
    <row r="78464" s="12" customFormat="1" x14ac:dyDescent="0.25"/>
    <row r="78465" s="12" customFormat="1" x14ac:dyDescent="0.25"/>
    <row r="78466" s="12" customFormat="1" x14ac:dyDescent="0.25"/>
    <row r="78467" s="12" customFormat="1" x14ac:dyDescent="0.25"/>
    <row r="78468" s="12" customFormat="1" x14ac:dyDescent="0.25"/>
    <row r="78469" s="12" customFormat="1" x14ac:dyDescent="0.25"/>
    <row r="78470" s="12" customFormat="1" x14ac:dyDescent="0.25"/>
    <row r="78471" s="12" customFormat="1" x14ac:dyDescent="0.25"/>
    <row r="78472" s="12" customFormat="1" x14ac:dyDescent="0.25"/>
    <row r="78473" s="12" customFormat="1" x14ac:dyDescent="0.25"/>
    <row r="78474" s="12" customFormat="1" x14ac:dyDescent="0.25"/>
    <row r="78475" s="12" customFormat="1" x14ac:dyDescent="0.25"/>
    <row r="78476" s="12" customFormat="1" x14ac:dyDescent="0.25"/>
    <row r="78477" s="12" customFormat="1" x14ac:dyDescent="0.25"/>
    <row r="78478" s="12" customFormat="1" x14ac:dyDescent="0.25"/>
    <row r="78479" s="12" customFormat="1" x14ac:dyDescent="0.25"/>
    <row r="78480" s="12" customFormat="1" x14ac:dyDescent="0.25"/>
    <row r="78481" s="12" customFormat="1" x14ac:dyDescent="0.25"/>
    <row r="78482" s="12" customFormat="1" x14ac:dyDescent="0.25"/>
    <row r="78483" s="12" customFormat="1" x14ac:dyDescent="0.25"/>
    <row r="78484" s="12" customFormat="1" x14ac:dyDescent="0.25"/>
    <row r="78485" s="12" customFormat="1" x14ac:dyDescent="0.25"/>
    <row r="78486" s="12" customFormat="1" x14ac:dyDescent="0.25"/>
    <row r="78487" s="12" customFormat="1" x14ac:dyDescent="0.25"/>
    <row r="78488" s="12" customFormat="1" x14ac:dyDescent="0.25"/>
    <row r="78489" s="12" customFormat="1" x14ac:dyDescent="0.25"/>
    <row r="78490" s="12" customFormat="1" x14ac:dyDescent="0.25"/>
    <row r="78491" s="12" customFormat="1" x14ac:dyDescent="0.25"/>
    <row r="78492" s="12" customFormat="1" x14ac:dyDescent="0.25"/>
    <row r="78493" s="12" customFormat="1" x14ac:dyDescent="0.25"/>
    <row r="78494" s="12" customFormat="1" x14ac:dyDescent="0.25"/>
    <row r="78495" s="12" customFormat="1" x14ac:dyDescent="0.25"/>
    <row r="78496" s="12" customFormat="1" x14ac:dyDescent="0.25"/>
    <row r="78497" s="12" customFormat="1" x14ac:dyDescent="0.25"/>
    <row r="78498" s="12" customFormat="1" x14ac:dyDescent="0.25"/>
    <row r="78499" s="12" customFormat="1" x14ac:dyDescent="0.25"/>
    <row r="78500" s="12" customFormat="1" x14ac:dyDescent="0.25"/>
    <row r="78501" s="12" customFormat="1" x14ac:dyDescent="0.25"/>
    <row r="78502" s="12" customFormat="1" x14ac:dyDescent="0.25"/>
    <row r="78503" s="12" customFormat="1" x14ac:dyDescent="0.25"/>
    <row r="78504" s="12" customFormat="1" x14ac:dyDescent="0.25"/>
    <row r="78505" s="12" customFormat="1" x14ac:dyDescent="0.25"/>
    <row r="78506" s="12" customFormat="1" x14ac:dyDescent="0.25"/>
    <row r="78507" s="12" customFormat="1" x14ac:dyDescent="0.25"/>
    <row r="78508" s="12" customFormat="1" x14ac:dyDescent="0.25"/>
    <row r="78509" s="12" customFormat="1" x14ac:dyDescent="0.25"/>
    <row r="78510" s="12" customFormat="1" x14ac:dyDescent="0.25"/>
    <row r="78511" s="12" customFormat="1" x14ac:dyDescent="0.25"/>
    <row r="78512" s="12" customFormat="1" x14ac:dyDescent="0.25"/>
    <row r="78513" s="12" customFormat="1" x14ac:dyDescent="0.25"/>
    <row r="78514" s="12" customFormat="1" x14ac:dyDescent="0.25"/>
    <row r="78515" s="12" customFormat="1" x14ac:dyDescent="0.25"/>
    <row r="78516" s="12" customFormat="1" x14ac:dyDescent="0.25"/>
    <row r="78517" s="12" customFormat="1" x14ac:dyDescent="0.25"/>
    <row r="78518" s="12" customFormat="1" x14ac:dyDescent="0.25"/>
    <row r="78519" s="12" customFormat="1" x14ac:dyDescent="0.25"/>
    <row r="78520" s="12" customFormat="1" x14ac:dyDescent="0.25"/>
    <row r="78521" s="12" customFormat="1" x14ac:dyDescent="0.25"/>
    <row r="78522" s="12" customFormat="1" x14ac:dyDescent="0.25"/>
    <row r="78523" s="12" customFormat="1" x14ac:dyDescent="0.25"/>
    <row r="78524" s="12" customFormat="1" x14ac:dyDescent="0.25"/>
    <row r="78525" s="12" customFormat="1" x14ac:dyDescent="0.25"/>
    <row r="78526" s="12" customFormat="1" x14ac:dyDescent="0.25"/>
    <row r="78527" s="12" customFormat="1" x14ac:dyDescent="0.25"/>
    <row r="78528" s="12" customFormat="1" x14ac:dyDescent="0.25"/>
    <row r="78529" s="12" customFormat="1" x14ac:dyDescent="0.25"/>
    <row r="78530" s="12" customFormat="1" x14ac:dyDescent="0.25"/>
    <row r="78531" s="12" customFormat="1" x14ac:dyDescent="0.25"/>
    <row r="78532" s="12" customFormat="1" x14ac:dyDescent="0.25"/>
    <row r="78533" s="12" customFormat="1" x14ac:dyDescent="0.25"/>
    <row r="78534" s="12" customFormat="1" x14ac:dyDescent="0.25"/>
    <row r="78535" s="12" customFormat="1" x14ac:dyDescent="0.25"/>
    <row r="78536" s="12" customFormat="1" x14ac:dyDescent="0.25"/>
    <row r="78537" s="12" customFormat="1" x14ac:dyDescent="0.25"/>
    <row r="78538" s="12" customFormat="1" x14ac:dyDescent="0.25"/>
    <row r="78539" s="12" customFormat="1" x14ac:dyDescent="0.25"/>
    <row r="78540" s="12" customFormat="1" x14ac:dyDescent="0.25"/>
    <row r="78541" s="12" customFormat="1" x14ac:dyDescent="0.25"/>
    <row r="78542" s="12" customFormat="1" x14ac:dyDescent="0.25"/>
    <row r="78543" s="12" customFormat="1" x14ac:dyDescent="0.25"/>
    <row r="78544" s="12" customFormat="1" x14ac:dyDescent="0.25"/>
    <row r="78545" s="12" customFormat="1" x14ac:dyDescent="0.25"/>
    <row r="78546" s="12" customFormat="1" x14ac:dyDescent="0.25"/>
    <row r="78547" s="12" customFormat="1" x14ac:dyDescent="0.25"/>
    <row r="78548" s="12" customFormat="1" x14ac:dyDescent="0.25"/>
    <row r="78549" s="12" customFormat="1" x14ac:dyDescent="0.25"/>
    <row r="78550" s="12" customFormat="1" x14ac:dyDescent="0.25"/>
    <row r="78551" s="12" customFormat="1" x14ac:dyDescent="0.25"/>
    <row r="78552" s="12" customFormat="1" x14ac:dyDescent="0.25"/>
    <row r="78553" s="12" customFormat="1" x14ac:dyDescent="0.25"/>
    <row r="78554" s="12" customFormat="1" x14ac:dyDescent="0.25"/>
    <row r="78555" s="12" customFormat="1" x14ac:dyDescent="0.25"/>
    <row r="78556" s="12" customFormat="1" x14ac:dyDescent="0.25"/>
    <row r="78557" s="12" customFormat="1" x14ac:dyDescent="0.25"/>
    <row r="78558" s="12" customFormat="1" x14ac:dyDescent="0.25"/>
    <row r="78559" s="12" customFormat="1" x14ac:dyDescent="0.25"/>
    <row r="78560" s="12" customFormat="1" x14ac:dyDescent="0.25"/>
    <row r="78561" s="12" customFormat="1" x14ac:dyDescent="0.25"/>
    <row r="78562" s="12" customFormat="1" x14ac:dyDescent="0.25"/>
    <row r="78563" s="12" customFormat="1" x14ac:dyDescent="0.25"/>
    <row r="78564" s="12" customFormat="1" x14ac:dyDescent="0.25"/>
    <row r="78565" s="12" customFormat="1" x14ac:dyDescent="0.25"/>
    <row r="78566" s="12" customFormat="1" x14ac:dyDescent="0.25"/>
    <row r="78567" s="12" customFormat="1" x14ac:dyDescent="0.25"/>
    <row r="78568" s="12" customFormat="1" x14ac:dyDescent="0.25"/>
    <row r="78569" s="12" customFormat="1" x14ac:dyDescent="0.25"/>
    <row r="78570" s="12" customFormat="1" x14ac:dyDescent="0.25"/>
    <row r="78571" s="12" customFormat="1" x14ac:dyDescent="0.25"/>
    <row r="78572" s="12" customFormat="1" x14ac:dyDescent="0.25"/>
    <row r="78573" s="12" customFormat="1" x14ac:dyDescent="0.25"/>
    <row r="78574" s="12" customFormat="1" x14ac:dyDescent="0.25"/>
    <row r="78575" s="12" customFormat="1" x14ac:dyDescent="0.25"/>
    <row r="78576" s="12" customFormat="1" x14ac:dyDescent="0.25"/>
    <row r="78577" s="12" customFormat="1" x14ac:dyDescent="0.25"/>
    <row r="78578" s="12" customFormat="1" x14ac:dyDescent="0.25"/>
    <row r="78579" s="12" customFormat="1" x14ac:dyDescent="0.25"/>
    <row r="78580" s="12" customFormat="1" x14ac:dyDescent="0.25"/>
    <row r="78581" s="12" customFormat="1" x14ac:dyDescent="0.25"/>
    <row r="78582" s="12" customFormat="1" x14ac:dyDescent="0.25"/>
    <row r="78583" s="12" customFormat="1" x14ac:dyDescent="0.25"/>
    <row r="78584" s="12" customFormat="1" x14ac:dyDescent="0.25"/>
    <row r="78585" s="12" customFormat="1" x14ac:dyDescent="0.25"/>
    <row r="78586" s="12" customFormat="1" x14ac:dyDescent="0.25"/>
    <row r="78587" s="12" customFormat="1" x14ac:dyDescent="0.25"/>
    <row r="78588" s="12" customFormat="1" x14ac:dyDescent="0.25"/>
    <row r="78589" s="12" customFormat="1" x14ac:dyDescent="0.25"/>
    <row r="78590" s="12" customFormat="1" x14ac:dyDescent="0.25"/>
    <row r="78591" s="12" customFormat="1" x14ac:dyDescent="0.25"/>
    <row r="78592" s="12" customFormat="1" x14ac:dyDescent="0.25"/>
    <row r="78593" s="12" customFormat="1" x14ac:dyDescent="0.25"/>
    <row r="78594" s="12" customFormat="1" x14ac:dyDescent="0.25"/>
    <row r="78595" s="12" customFormat="1" x14ac:dyDescent="0.25"/>
    <row r="78596" s="12" customFormat="1" x14ac:dyDescent="0.25"/>
    <row r="78597" s="12" customFormat="1" x14ac:dyDescent="0.25"/>
    <row r="78598" s="12" customFormat="1" x14ac:dyDescent="0.25"/>
    <row r="78599" s="12" customFormat="1" x14ac:dyDescent="0.25"/>
    <row r="78600" s="12" customFormat="1" x14ac:dyDescent="0.25"/>
    <row r="78601" s="12" customFormat="1" x14ac:dyDescent="0.25"/>
    <row r="78602" s="12" customFormat="1" x14ac:dyDescent="0.25"/>
    <row r="78603" s="12" customFormat="1" x14ac:dyDescent="0.25"/>
    <row r="78604" s="12" customFormat="1" x14ac:dyDescent="0.25"/>
    <row r="78605" s="12" customFormat="1" x14ac:dyDescent="0.25"/>
    <row r="78606" s="12" customFormat="1" x14ac:dyDescent="0.25"/>
    <row r="78607" s="12" customFormat="1" x14ac:dyDescent="0.25"/>
    <row r="78608" s="12" customFormat="1" x14ac:dyDescent="0.25"/>
    <row r="78609" s="12" customFormat="1" x14ac:dyDescent="0.25"/>
    <row r="78610" s="12" customFormat="1" x14ac:dyDescent="0.25"/>
    <row r="78611" s="12" customFormat="1" x14ac:dyDescent="0.25"/>
    <row r="78612" s="12" customFormat="1" x14ac:dyDescent="0.25"/>
    <row r="78613" s="12" customFormat="1" x14ac:dyDescent="0.25"/>
    <row r="78614" s="12" customFormat="1" x14ac:dyDescent="0.25"/>
    <row r="78615" s="12" customFormat="1" x14ac:dyDescent="0.25"/>
    <row r="78616" s="12" customFormat="1" x14ac:dyDescent="0.25"/>
    <row r="78617" s="12" customFormat="1" x14ac:dyDescent="0.25"/>
    <row r="78618" s="12" customFormat="1" x14ac:dyDescent="0.25"/>
    <row r="78619" s="12" customFormat="1" x14ac:dyDescent="0.25"/>
    <row r="78620" s="12" customFormat="1" x14ac:dyDescent="0.25"/>
    <row r="78621" s="12" customFormat="1" x14ac:dyDescent="0.25"/>
    <row r="78622" s="12" customFormat="1" x14ac:dyDescent="0.25"/>
    <row r="78623" s="12" customFormat="1" x14ac:dyDescent="0.25"/>
    <row r="78624" s="12" customFormat="1" x14ac:dyDescent="0.25"/>
    <row r="78625" s="12" customFormat="1" x14ac:dyDescent="0.25"/>
    <row r="78626" s="12" customFormat="1" x14ac:dyDescent="0.25"/>
    <row r="78627" s="12" customFormat="1" x14ac:dyDescent="0.25"/>
    <row r="78628" s="12" customFormat="1" x14ac:dyDescent="0.25"/>
    <row r="78629" s="12" customFormat="1" x14ac:dyDescent="0.25"/>
    <row r="78630" s="12" customFormat="1" x14ac:dyDescent="0.25"/>
    <row r="78631" s="12" customFormat="1" x14ac:dyDescent="0.25"/>
    <row r="78632" s="12" customFormat="1" x14ac:dyDescent="0.25"/>
    <row r="78633" s="12" customFormat="1" x14ac:dyDescent="0.25"/>
    <row r="78634" s="12" customFormat="1" x14ac:dyDescent="0.25"/>
    <row r="78635" s="12" customFormat="1" x14ac:dyDescent="0.25"/>
    <row r="78636" s="12" customFormat="1" x14ac:dyDescent="0.25"/>
    <row r="78637" s="12" customFormat="1" x14ac:dyDescent="0.25"/>
    <row r="78638" s="12" customFormat="1" x14ac:dyDescent="0.25"/>
    <row r="78639" s="12" customFormat="1" x14ac:dyDescent="0.25"/>
    <row r="78640" s="12" customFormat="1" x14ac:dyDescent="0.25"/>
    <row r="78641" s="12" customFormat="1" x14ac:dyDescent="0.25"/>
    <row r="78642" s="12" customFormat="1" x14ac:dyDescent="0.25"/>
    <row r="78643" s="12" customFormat="1" x14ac:dyDescent="0.25"/>
    <row r="78644" s="12" customFormat="1" x14ac:dyDescent="0.25"/>
    <row r="78645" s="12" customFormat="1" x14ac:dyDescent="0.25"/>
    <row r="78646" s="12" customFormat="1" x14ac:dyDescent="0.25"/>
    <row r="78647" s="12" customFormat="1" x14ac:dyDescent="0.25"/>
    <row r="78648" s="12" customFormat="1" x14ac:dyDescent="0.25"/>
    <row r="78649" s="12" customFormat="1" x14ac:dyDescent="0.25"/>
    <row r="78650" s="12" customFormat="1" x14ac:dyDescent="0.25"/>
    <row r="78651" s="12" customFormat="1" x14ac:dyDescent="0.25"/>
    <row r="78652" s="12" customFormat="1" x14ac:dyDescent="0.25"/>
    <row r="78653" s="12" customFormat="1" x14ac:dyDescent="0.25"/>
    <row r="78654" s="12" customFormat="1" x14ac:dyDescent="0.25"/>
    <row r="78655" s="12" customFormat="1" x14ac:dyDescent="0.25"/>
    <row r="78656" s="12" customFormat="1" x14ac:dyDescent="0.25"/>
    <row r="78657" s="12" customFormat="1" x14ac:dyDescent="0.25"/>
    <row r="78658" s="12" customFormat="1" x14ac:dyDescent="0.25"/>
    <row r="78659" s="12" customFormat="1" x14ac:dyDescent="0.25"/>
    <row r="78660" s="12" customFormat="1" x14ac:dyDescent="0.25"/>
    <row r="78661" s="12" customFormat="1" x14ac:dyDescent="0.25"/>
    <row r="78662" s="12" customFormat="1" x14ac:dyDescent="0.25"/>
    <row r="78663" s="12" customFormat="1" x14ac:dyDescent="0.25"/>
    <row r="78664" s="12" customFormat="1" x14ac:dyDescent="0.25"/>
    <row r="78665" s="12" customFormat="1" x14ac:dyDescent="0.25"/>
    <row r="78666" s="12" customFormat="1" x14ac:dyDescent="0.25"/>
    <row r="78667" s="12" customFormat="1" x14ac:dyDescent="0.25"/>
    <row r="78668" s="12" customFormat="1" x14ac:dyDescent="0.25"/>
    <row r="78669" s="12" customFormat="1" x14ac:dyDescent="0.25"/>
    <row r="78670" s="12" customFormat="1" x14ac:dyDescent="0.25"/>
    <row r="78671" s="12" customFormat="1" x14ac:dyDescent="0.25"/>
    <row r="78672" s="12" customFormat="1" x14ac:dyDescent="0.25"/>
    <row r="78673" s="12" customFormat="1" x14ac:dyDescent="0.25"/>
    <row r="78674" s="12" customFormat="1" x14ac:dyDescent="0.25"/>
    <row r="78675" s="12" customFormat="1" x14ac:dyDescent="0.25"/>
    <row r="78676" s="12" customFormat="1" x14ac:dyDescent="0.25"/>
    <row r="78677" s="12" customFormat="1" x14ac:dyDescent="0.25"/>
    <row r="78678" s="12" customFormat="1" x14ac:dyDescent="0.25"/>
    <row r="78679" s="12" customFormat="1" x14ac:dyDescent="0.25"/>
    <row r="78680" s="12" customFormat="1" x14ac:dyDescent="0.25"/>
    <row r="78681" s="12" customFormat="1" x14ac:dyDescent="0.25"/>
    <row r="78682" s="12" customFormat="1" x14ac:dyDescent="0.25"/>
    <row r="78683" s="12" customFormat="1" x14ac:dyDescent="0.25"/>
    <row r="78684" s="12" customFormat="1" x14ac:dyDescent="0.25"/>
    <row r="78685" s="12" customFormat="1" x14ac:dyDescent="0.25"/>
    <row r="78686" s="12" customFormat="1" x14ac:dyDescent="0.25"/>
    <row r="78687" s="12" customFormat="1" x14ac:dyDescent="0.25"/>
    <row r="78688" s="12" customFormat="1" x14ac:dyDescent="0.25"/>
    <row r="78689" s="12" customFormat="1" x14ac:dyDescent="0.25"/>
    <row r="78690" s="12" customFormat="1" x14ac:dyDescent="0.25"/>
    <row r="78691" s="12" customFormat="1" x14ac:dyDescent="0.25"/>
    <row r="78692" s="12" customFormat="1" x14ac:dyDescent="0.25"/>
    <row r="78693" s="12" customFormat="1" x14ac:dyDescent="0.25"/>
    <row r="78694" s="12" customFormat="1" x14ac:dyDescent="0.25"/>
    <row r="78695" s="12" customFormat="1" x14ac:dyDescent="0.25"/>
    <row r="78696" s="12" customFormat="1" x14ac:dyDescent="0.25"/>
    <row r="78697" s="12" customFormat="1" x14ac:dyDescent="0.25"/>
    <row r="78698" s="12" customFormat="1" x14ac:dyDescent="0.25"/>
    <row r="78699" s="12" customFormat="1" x14ac:dyDescent="0.25"/>
    <row r="78700" s="12" customFormat="1" x14ac:dyDescent="0.25"/>
    <row r="78701" s="12" customFormat="1" x14ac:dyDescent="0.25"/>
    <row r="78702" s="12" customFormat="1" x14ac:dyDescent="0.25"/>
    <row r="78703" s="12" customFormat="1" x14ac:dyDescent="0.25"/>
    <row r="78704" s="12" customFormat="1" x14ac:dyDescent="0.25"/>
    <row r="78705" s="12" customFormat="1" x14ac:dyDescent="0.25"/>
    <row r="78706" s="12" customFormat="1" x14ac:dyDescent="0.25"/>
    <row r="78707" s="12" customFormat="1" x14ac:dyDescent="0.25"/>
    <row r="78708" s="12" customFormat="1" x14ac:dyDescent="0.25"/>
    <row r="78709" s="12" customFormat="1" x14ac:dyDescent="0.25"/>
    <row r="78710" s="12" customFormat="1" x14ac:dyDescent="0.25"/>
    <row r="78711" s="12" customFormat="1" x14ac:dyDescent="0.25"/>
    <row r="78712" s="12" customFormat="1" x14ac:dyDescent="0.25"/>
    <row r="78713" s="12" customFormat="1" x14ac:dyDescent="0.25"/>
    <row r="78714" s="12" customFormat="1" x14ac:dyDescent="0.25"/>
    <row r="78715" s="12" customFormat="1" x14ac:dyDescent="0.25"/>
    <row r="78716" s="12" customFormat="1" x14ac:dyDescent="0.25"/>
    <row r="78717" s="12" customFormat="1" x14ac:dyDescent="0.25"/>
    <row r="78718" s="12" customFormat="1" x14ac:dyDescent="0.25"/>
    <row r="78719" s="12" customFormat="1" x14ac:dyDescent="0.25"/>
    <row r="78720" s="12" customFormat="1" x14ac:dyDescent="0.25"/>
    <row r="78721" s="12" customFormat="1" x14ac:dyDescent="0.25"/>
    <row r="78722" s="12" customFormat="1" x14ac:dyDescent="0.25"/>
    <row r="78723" s="12" customFormat="1" x14ac:dyDescent="0.25"/>
    <row r="78724" s="12" customFormat="1" x14ac:dyDescent="0.25"/>
    <row r="78725" s="12" customFormat="1" x14ac:dyDescent="0.25"/>
    <row r="78726" s="12" customFormat="1" x14ac:dyDescent="0.25"/>
    <row r="78727" s="12" customFormat="1" x14ac:dyDescent="0.25"/>
    <row r="78728" s="12" customFormat="1" x14ac:dyDescent="0.25"/>
    <row r="78729" s="12" customFormat="1" x14ac:dyDescent="0.25"/>
    <row r="78730" s="12" customFormat="1" x14ac:dyDescent="0.25"/>
    <row r="78731" s="12" customFormat="1" x14ac:dyDescent="0.25"/>
    <row r="78732" s="12" customFormat="1" x14ac:dyDescent="0.25"/>
    <row r="78733" s="12" customFormat="1" x14ac:dyDescent="0.25"/>
    <row r="78734" s="12" customFormat="1" x14ac:dyDescent="0.25"/>
    <row r="78735" s="12" customFormat="1" x14ac:dyDescent="0.25"/>
    <row r="78736" s="12" customFormat="1" x14ac:dyDescent="0.25"/>
    <row r="78737" s="12" customFormat="1" x14ac:dyDescent="0.25"/>
    <row r="78738" s="12" customFormat="1" x14ac:dyDescent="0.25"/>
    <row r="78739" s="12" customFormat="1" x14ac:dyDescent="0.25"/>
    <row r="78740" s="12" customFormat="1" x14ac:dyDescent="0.25"/>
    <row r="78741" s="12" customFormat="1" x14ac:dyDescent="0.25"/>
    <row r="78742" s="12" customFormat="1" x14ac:dyDescent="0.25"/>
    <row r="78743" s="12" customFormat="1" x14ac:dyDescent="0.25"/>
    <row r="78744" s="12" customFormat="1" x14ac:dyDescent="0.25"/>
    <row r="78745" s="12" customFormat="1" x14ac:dyDescent="0.25"/>
    <row r="78746" s="12" customFormat="1" x14ac:dyDescent="0.25"/>
    <row r="78747" s="12" customFormat="1" x14ac:dyDescent="0.25"/>
    <row r="78748" s="12" customFormat="1" x14ac:dyDescent="0.25"/>
    <row r="78749" s="12" customFormat="1" x14ac:dyDescent="0.25"/>
    <row r="78750" s="12" customFormat="1" x14ac:dyDescent="0.25"/>
    <row r="78751" s="12" customFormat="1" x14ac:dyDescent="0.25"/>
    <row r="78752" s="12" customFormat="1" x14ac:dyDescent="0.25"/>
    <row r="78753" s="12" customFormat="1" x14ac:dyDescent="0.25"/>
    <row r="78754" s="12" customFormat="1" x14ac:dyDescent="0.25"/>
    <row r="78755" s="12" customFormat="1" x14ac:dyDescent="0.25"/>
    <row r="78756" s="12" customFormat="1" x14ac:dyDescent="0.25"/>
    <row r="78757" s="12" customFormat="1" x14ac:dyDescent="0.25"/>
    <row r="78758" s="12" customFormat="1" x14ac:dyDescent="0.25"/>
    <row r="78759" s="12" customFormat="1" x14ac:dyDescent="0.25"/>
    <row r="78760" s="12" customFormat="1" x14ac:dyDescent="0.25"/>
    <row r="78761" s="12" customFormat="1" x14ac:dyDescent="0.25"/>
    <row r="78762" s="12" customFormat="1" x14ac:dyDescent="0.25"/>
    <row r="78763" s="12" customFormat="1" x14ac:dyDescent="0.25"/>
    <row r="78764" s="12" customFormat="1" x14ac:dyDescent="0.25"/>
    <row r="78765" s="12" customFormat="1" x14ac:dyDescent="0.25"/>
    <row r="78766" s="12" customFormat="1" x14ac:dyDescent="0.25"/>
    <row r="78767" s="12" customFormat="1" x14ac:dyDescent="0.25"/>
    <row r="78768" s="12" customFormat="1" x14ac:dyDescent="0.25"/>
    <row r="78769" s="12" customFormat="1" x14ac:dyDescent="0.25"/>
    <row r="78770" s="12" customFormat="1" x14ac:dyDescent="0.25"/>
    <row r="78771" s="12" customFormat="1" x14ac:dyDescent="0.25"/>
    <row r="78772" s="12" customFormat="1" x14ac:dyDescent="0.25"/>
    <row r="78773" s="12" customFormat="1" x14ac:dyDescent="0.25"/>
    <row r="78774" s="12" customFormat="1" x14ac:dyDescent="0.25"/>
    <row r="78775" s="12" customFormat="1" x14ac:dyDescent="0.25"/>
    <row r="78776" s="12" customFormat="1" x14ac:dyDescent="0.25"/>
    <row r="78777" s="12" customFormat="1" x14ac:dyDescent="0.25"/>
    <row r="78778" s="12" customFormat="1" x14ac:dyDescent="0.25"/>
    <row r="78779" s="12" customFormat="1" x14ac:dyDescent="0.25"/>
    <row r="78780" s="12" customFormat="1" x14ac:dyDescent="0.25"/>
    <row r="78781" s="12" customFormat="1" x14ac:dyDescent="0.25"/>
    <row r="78782" s="12" customFormat="1" x14ac:dyDescent="0.25"/>
    <row r="78783" s="12" customFormat="1" x14ac:dyDescent="0.25"/>
    <row r="78784" s="12" customFormat="1" x14ac:dyDescent="0.25"/>
    <row r="78785" s="12" customFormat="1" x14ac:dyDescent="0.25"/>
    <row r="78786" s="12" customFormat="1" x14ac:dyDescent="0.25"/>
    <row r="78787" s="12" customFormat="1" x14ac:dyDescent="0.25"/>
    <row r="78788" s="12" customFormat="1" x14ac:dyDescent="0.25"/>
    <row r="78789" s="12" customFormat="1" x14ac:dyDescent="0.25"/>
    <row r="78790" s="12" customFormat="1" x14ac:dyDescent="0.25"/>
    <row r="78791" s="12" customFormat="1" x14ac:dyDescent="0.25"/>
    <row r="78792" s="12" customFormat="1" x14ac:dyDescent="0.25"/>
    <row r="78793" s="12" customFormat="1" x14ac:dyDescent="0.25"/>
    <row r="78794" s="12" customFormat="1" x14ac:dyDescent="0.25"/>
    <row r="78795" s="12" customFormat="1" x14ac:dyDescent="0.25"/>
    <row r="78796" s="12" customFormat="1" x14ac:dyDescent="0.25"/>
    <row r="78797" s="12" customFormat="1" x14ac:dyDescent="0.25"/>
    <row r="78798" s="12" customFormat="1" x14ac:dyDescent="0.25"/>
    <row r="78799" s="12" customFormat="1" x14ac:dyDescent="0.25"/>
    <row r="78800" s="12" customFormat="1" x14ac:dyDescent="0.25"/>
    <row r="78801" s="12" customFormat="1" x14ac:dyDescent="0.25"/>
    <row r="78802" s="12" customFormat="1" x14ac:dyDescent="0.25"/>
    <row r="78803" s="12" customFormat="1" x14ac:dyDescent="0.25"/>
    <row r="78804" s="12" customFormat="1" x14ac:dyDescent="0.25"/>
    <row r="78805" s="12" customFormat="1" x14ac:dyDescent="0.25"/>
    <row r="78806" s="12" customFormat="1" x14ac:dyDescent="0.25"/>
    <row r="78807" s="12" customFormat="1" x14ac:dyDescent="0.25"/>
    <row r="78808" s="12" customFormat="1" x14ac:dyDescent="0.25"/>
    <row r="78809" s="12" customFormat="1" x14ac:dyDescent="0.25"/>
    <row r="78810" s="12" customFormat="1" x14ac:dyDescent="0.25"/>
    <row r="78811" s="12" customFormat="1" x14ac:dyDescent="0.25"/>
    <row r="78812" s="12" customFormat="1" x14ac:dyDescent="0.25"/>
    <row r="78813" s="12" customFormat="1" x14ac:dyDescent="0.25"/>
    <row r="78814" s="12" customFormat="1" x14ac:dyDescent="0.25"/>
    <row r="78815" s="12" customFormat="1" x14ac:dyDescent="0.25"/>
    <row r="78816" s="12" customFormat="1" x14ac:dyDescent="0.25"/>
    <row r="78817" s="12" customFormat="1" x14ac:dyDescent="0.25"/>
    <row r="78818" s="12" customFormat="1" x14ac:dyDescent="0.25"/>
    <row r="78819" s="12" customFormat="1" x14ac:dyDescent="0.25"/>
    <row r="78820" s="12" customFormat="1" x14ac:dyDescent="0.25"/>
    <row r="78821" s="12" customFormat="1" x14ac:dyDescent="0.25"/>
    <row r="78822" s="12" customFormat="1" x14ac:dyDescent="0.25"/>
    <row r="78823" s="12" customFormat="1" x14ac:dyDescent="0.25"/>
    <row r="78824" s="12" customFormat="1" x14ac:dyDescent="0.25"/>
    <row r="78825" s="12" customFormat="1" x14ac:dyDescent="0.25"/>
    <row r="78826" s="12" customFormat="1" x14ac:dyDescent="0.25"/>
    <row r="78827" s="12" customFormat="1" x14ac:dyDescent="0.25"/>
    <row r="78828" s="12" customFormat="1" x14ac:dyDescent="0.25"/>
    <row r="78829" s="12" customFormat="1" x14ac:dyDescent="0.25"/>
    <row r="78830" s="12" customFormat="1" x14ac:dyDescent="0.25"/>
    <row r="78831" s="12" customFormat="1" x14ac:dyDescent="0.25"/>
    <row r="78832" s="12" customFormat="1" x14ac:dyDescent="0.25"/>
    <row r="78833" s="12" customFormat="1" x14ac:dyDescent="0.25"/>
    <row r="78834" s="12" customFormat="1" x14ac:dyDescent="0.25"/>
    <row r="78835" s="12" customFormat="1" x14ac:dyDescent="0.25"/>
    <row r="78836" s="12" customFormat="1" x14ac:dyDescent="0.25"/>
    <row r="78837" s="12" customFormat="1" x14ac:dyDescent="0.25"/>
    <row r="78838" s="12" customFormat="1" x14ac:dyDescent="0.25"/>
    <row r="78839" s="12" customFormat="1" x14ac:dyDescent="0.25"/>
    <row r="78840" s="12" customFormat="1" x14ac:dyDescent="0.25"/>
    <row r="78841" s="12" customFormat="1" x14ac:dyDescent="0.25"/>
    <row r="78842" s="12" customFormat="1" x14ac:dyDescent="0.25"/>
    <row r="78843" s="12" customFormat="1" x14ac:dyDescent="0.25"/>
    <row r="78844" s="12" customFormat="1" x14ac:dyDescent="0.25"/>
    <row r="78845" s="12" customFormat="1" x14ac:dyDescent="0.25"/>
    <row r="78846" s="12" customFormat="1" x14ac:dyDescent="0.25"/>
    <row r="78847" s="12" customFormat="1" x14ac:dyDescent="0.25"/>
    <row r="78848" s="12" customFormat="1" x14ac:dyDescent="0.25"/>
    <row r="78849" s="12" customFormat="1" x14ac:dyDescent="0.25"/>
    <row r="78850" s="12" customFormat="1" x14ac:dyDescent="0.25"/>
    <row r="78851" s="12" customFormat="1" x14ac:dyDescent="0.25"/>
    <row r="78852" s="12" customFormat="1" x14ac:dyDescent="0.25"/>
    <row r="78853" s="12" customFormat="1" x14ac:dyDescent="0.25"/>
    <row r="78854" s="12" customFormat="1" x14ac:dyDescent="0.25"/>
    <row r="78855" s="12" customFormat="1" x14ac:dyDescent="0.25"/>
    <row r="78856" s="12" customFormat="1" x14ac:dyDescent="0.25"/>
    <row r="78857" s="12" customFormat="1" x14ac:dyDescent="0.25"/>
    <row r="78858" s="12" customFormat="1" x14ac:dyDescent="0.25"/>
    <row r="78859" s="12" customFormat="1" x14ac:dyDescent="0.25"/>
    <row r="78860" s="12" customFormat="1" x14ac:dyDescent="0.25"/>
    <row r="78861" s="12" customFormat="1" x14ac:dyDescent="0.25"/>
    <row r="78862" s="12" customFormat="1" x14ac:dyDescent="0.25"/>
    <row r="78863" s="12" customFormat="1" x14ac:dyDescent="0.25"/>
    <row r="78864" s="12" customFormat="1" x14ac:dyDescent="0.25"/>
    <row r="78865" s="12" customFormat="1" x14ac:dyDescent="0.25"/>
    <row r="78866" s="12" customFormat="1" x14ac:dyDescent="0.25"/>
    <row r="78867" s="12" customFormat="1" x14ac:dyDescent="0.25"/>
    <row r="78868" s="12" customFormat="1" x14ac:dyDescent="0.25"/>
    <row r="78869" s="12" customFormat="1" x14ac:dyDescent="0.25"/>
    <row r="78870" s="12" customFormat="1" x14ac:dyDescent="0.25"/>
    <row r="78871" s="12" customFormat="1" x14ac:dyDescent="0.25"/>
    <row r="78872" s="12" customFormat="1" x14ac:dyDescent="0.25"/>
    <row r="78873" s="12" customFormat="1" x14ac:dyDescent="0.25"/>
    <row r="78874" s="12" customFormat="1" x14ac:dyDescent="0.25"/>
    <row r="78875" s="12" customFormat="1" x14ac:dyDescent="0.25"/>
    <row r="78876" s="12" customFormat="1" x14ac:dyDescent="0.25"/>
    <row r="78877" s="12" customFormat="1" x14ac:dyDescent="0.25"/>
    <row r="78878" s="12" customFormat="1" x14ac:dyDescent="0.25"/>
    <row r="78879" s="12" customFormat="1" x14ac:dyDescent="0.25"/>
    <row r="78880" s="12" customFormat="1" x14ac:dyDescent="0.25"/>
    <row r="78881" s="12" customFormat="1" x14ac:dyDescent="0.25"/>
    <row r="78882" s="12" customFormat="1" x14ac:dyDescent="0.25"/>
    <row r="78883" s="12" customFormat="1" x14ac:dyDescent="0.25"/>
    <row r="78884" s="12" customFormat="1" x14ac:dyDescent="0.25"/>
    <row r="78885" s="12" customFormat="1" x14ac:dyDescent="0.25"/>
    <row r="78886" s="12" customFormat="1" x14ac:dyDescent="0.25"/>
    <row r="78887" s="12" customFormat="1" x14ac:dyDescent="0.25"/>
    <row r="78888" s="12" customFormat="1" x14ac:dyDescent="0.25"/>
    <row r="78889" s="12" customFormat="1" x14ac:dyDescent="0.25"/>
    <row r="78890" s="12" customFormat="1" x14ac:dyDescent="0.25"/>
    <row r="78891" s="12" customFormat="1" x14ac:dyDescent="0.25"/>
    <row r="78892" s="12" customFormat="1" x14ac:dyDescent="0.25"/>
    <row r="78893" s="12" customFormat="1" x14ac:dyDescent="0.25"/>
    <row r="78894" s="12" customFormat="1" x14ac:dyDescent="0.25"/>
    <row r="78895" s="12" customFormat="1" x14ac:dyDescent="0.25"/>
    <row r="78896" s="12" customFormat="1" x14ac:dyDescent="0.25"/>
    <row r="78897" s="12" customFormat="1" x14ac:dyDescent="0.25"/>
    <row r="78898" s="12" customFormat="1" x14ac:dyDescent="0.25"/>
    <row r="78899" s="12" customFormat="1" x14ac:dyDescent="0.25"/>
    <row r="78900" s="12" customFormat="1" x14ac:dyDescent="0.25"/>
    <row r="78901" s="12" customFormat="1" x14ac:dyDescent="0.25"/>
    <row r="78902" s="12" customFormat="1" x14ac:dyDescent="0.25"/>
    <row r="78903" s="12" customFormat="1" x14ac:dyDescent="0.25"/>
    <row r="78904" s="12" customFormat="1" x14ac:dyDescent="0.25"/>
    <row r="78905" s="12" customFormat="1" x14ac:dyDescent="0.25"/>
    <row r="78906" s="12" customFormat="1" x14ac:dyDescent="0.25"/>
    <row r="78907" s="12" customFormat="1" x14ac:dyDescent="0.25"/>
    <row r="78908" s="12" customFormat="1" x14ac:dyDescent="0.25"/>
    <row r="78909" s="12" customFormat="1" x14ac:dyDescent="0.25"/>
    <row r="78910" s="12" customFormat="1" x14ac:dyDescent="0.25"/>
    <row r="78911" s="12" customFormat="1" x14ac:dyDescent="0.25"/>
    <row r="78912" s="12" customFormat="1" x14ac:dyDescent="0.25"/>
    <row r="78913" s="12" customFormat="1" x14ac:dyDescent="0.25"/>
    <row r="78914" s="12" customFormat="1" x14ac:dyDescent="0.25"/>
    <row r="78915" s="12" customFormat="1" x14ac:dyDescent="0.25"/>
    <row r="78916" s="12" customFormat="1" x14ac:dyDescent="0.25"/>
    <row r="78917" s="12" customFormat="1" x14ac:dyDescent="0.25"/>
    <row r="78918" s="12" customFormat="1" x14ac:dyDescent="0.25"/>
    <row r="78919" s="12" customFormat="1" x14ac:dyDescent="0.25"/>
    <row r="78920" s="12" customFormat="1" x14ac:dyDescent="0.25"/>
    <row r="78921" s="12" customFormat="1" x14ac:dyDescent="0.25"/>
    <row r="78922" s="12" customFormat="1" x14ac:dyDescent="0.25"/>
    <row r="78923" s="12" customFormat="1" x14ac:dyDescent="0.25"/>
    <row r="78924" s="12" customFormat="1" x14ac:dyDescent="0.25"/>
    <row r="78925" s="12" customFormat="1" x14ac:dyDescent="0.25"/>
    <row r="78926" s="12" customFormat="1" x14ac:dyDescent="0.25"/>
    <row r="78927" s="12" customFormat="1" x14ac:dyDescent="0.25"/>
    <row r="78928" s="12" customFormat="1" x14ac:dyDescent="0.25"/>
    <row r="78929" s="12" customFormat="1" x14ac:dyDescent="0.25"/>
    <row r="78930" s="12" customFormat="1" x14ac:dyDescent="0.25"/>
    <row r="78931" s="12" customFormat="1" x14ac:dyDescent="0.25"/>
    <row r="78932" s="12" customFormat="1" x14ac:dyDescent="0.25"/>
    <row r="78933" s="12" customFormat="1" x14ac:dyDescent="0.25"/>
    <row r="78934" s="12" customFormat="1" x14ac:dyDescent="0.25"/>
    <row r="78935" s="12" customFormat="1" x14ac:dyDescent="0.25"/>
    <row r="78936" s="12" customFormat="1" x14ac:dyDescent="0.25"/>
    <row r="78937" s="12" customFormat="1" x14ac:dyDescent="0.25"/>
    <row r="78938" s="12" customFormat="1" x14ac:dyDescent="0.25"/>
    <row r="78939" s="12" customFormat="1" x14ac:dyDescent="0.25"/>
    <row r="78940" s="12" customFormat="1" x14ac:dyDescent="0.25"/>
    <row r="78941" s="12" customFormat="1" x14ac:dyDescent="0.25"/>
    <row r="78942" s="12" customFormat="1" x14ac:dyDescent="0.25"/>
    <row r="78943" s="12" customFormat="1" x14ac:dyDescent="0.25"/>
    <row r="78944" s="12" customFormat="1" x14ac:dyDescent="0.25"/>
    <row r="78945" s="12" customFormat="1" x14ac:dyDescent="0.25"/>
    <row r="78946" s="12" customFormat="1" x14ac:dyDescent="0.25"/>
    <row r="78947" s="12" customFormat="1" x14ac:dyDescent="0.25"/>
    <row r="78948" s="12" customFormat="1" x14ac:dyDescent="0.25"/>
    <row r="78949" s="12" customFormat="1" x14ac:dyDescent="0.25"/>
    <row r="78950" s="12" customFormat="1" x14ac:dyDescent="0.25"/>
    <row r="78951" s="12" customFormat="1" x14ac:dyDescent="0.25"/>
    <row r="78952" s="12" customFormat="1" x14ac:dyDescent="0.25"/>
    <row r="78953" s="12" customFormat="1" x14ac:dyDescent="0.25"/>
    <row r="78954" s="12" customFormat="1" x14ac:dyDescent="0.25"/>
    <row r="78955" s="12" customFormat="1" x14ac:dyDescent="0.25"/>
    <row r="78956" s="12" customFormat="1" x14ac:dyDescent="0.25"/>
    <row r="78957" s="12" customFormat="1" x14ac:dyDescent="0.25"/>
    <row r="78958" s="12" customFormat="1" x14ac:dyDescent="0.25"/>
    <row r="78959" s="12" customFormat="1" x14ac:dyDescent="0.25"/>
    <row r="78960" s="12" customFormat="1" x14ac:dyDescent="0.25"/>
    <row r="78961" s="12" customFormat="1" x14ac:dyDescent="0.25"/>
    <row r="78962" s="12" customFormat="1" x14ac:dyDescent="0.25"/>
    <row r="78963" s="12" customFormat="1" x14ac:dyDescent="0.25"/>
    <row r="78964" s="12" customFormat="1" x14ac:dyDescent="0.25"/>
    <row r="78965" s="12" customFormat="1" x14ac:dyDescent="0.25"/>
    <row r="78966" s="12" customFormat="1" x14ac:dyDescent="0.25"/>
    <row r="78967" s="12" customFormat="1" x14ac:dyDescent="0.25"/>
    <row r="78968" s="12" customFormat="1" x14ac:dyDescent="0.25"/>
    <row r="78969" s="12" customFormat="1" x14ac:dyDescent="0.25"/>
    <row r="78970" s="12" customFormat="1" x14ac:dyDescent="0.25"/>
    <row r="78971" s="12" customFormat="1" x14ac:dyDescent="0.25"/>
    <row r="78972" s="12" customFormat="1" x14ac:dyDescent="0.25"/>
    <row r="78973" s="12" customFormat="1" x14ac:dyDescent="0.25"/>
    <row r="78974" s="12" customFormat="1" x14ac:dyDescent="0.25"/>
    <row r="78975" s="12" customFormat="1" x14ac:dyDescent="0.25"/>
    <row r="78976" s="12" customFormat="1" x14ac:dyDescent="0.25"/>
    <row r="78977" s="12" customFormat="1" x14ac:dyDescent="0.25"/>
    <row r="78978" s="12" customFormat="1" x14ac:dyDescent="0.25"/>
    <row r="78979" s="12" customFormat="1" x14ac:dyDescent="0.25"/>
    <row r="78980" s="12" customFormat="1" x14ac:dyDescent="0.25"/>
    <row r="78981" s="12" customFormat="1" x14ac:dyDescent="0.25"/>
    <row r="78982" s="12" customFormat="1" x14ac:dyDescent="0.25"/>
    <row r="78983" s="12" customFormat="1" x14ac:dyDescent="0.25"/>
    <row r="78984" s="12" customFormat="1" x14ac:dyDescent="0.25"/>
    <row r="78985" s="12" customFormat="1" x14ac:dyDescent="0.25"/>
    <row r="78986" s="12" customFormat="1" x14ac:dyDescent="0.25"/>
    <row r="78987" s="12" customFormat="1" x14ac:dyDescent="0.25"/>
    <row r="78988" s="12" customFormat="1" x14ac:dyDescent="0.25"/>
    <row r="78989" s="12" customFormat="1" x14ac:dyDescent="0.25"/>
    <row r="78990" s="12" customFormat="1" x14ac:dyDescent="0.25"/>
    <row r="78991" s="12" customFormat="1" x14ac:dyDescent="0.25"/>
    <row r="78992" s="12" customFormat="1" x14ac:dyDescent="0.25"/>
    <row r="78993" s="12" customFormat="1" x14ac:dyDescent="0.25"/>
    <row r="78994" s="12" customFormat="1" x14ac:dyDescent="0.25"/>
    <row r="78995" s="12" customFormat="1" x14ac:dyDescent="0.25"/>
    <row r="78996" s="12" customFormat="1" x14ac:dyDescent="0.25"/>
    <row r="78997" s="12" customFormat="1" x14ac:dyDescent="0.25"/>
    <row r="78998" s="12" customFormat="1" x14ac:dyDescent="0.25"/>
    <row r="78999" s="12" customFormat="1" x14ac:dyDescent="0.25"/>
    <row r="79000" s="12" customFormat="1" x14ac:dyDescent="0.25"/>
    <row r="79001" s="12" customFormat="1" x14ac:dyDescent="0.25"/>
    <row r="79002" s="12" customFormat="1" x14ac:dyDescent="0.25"/>
    <row r="79003" s="12" customFormat="1" x14ac:dyDescent="0.25"/>
    <row r="79004" s="12" customFormat="1" x14ac:dyDescent="0.25"/>
    <row r="79005" s="12" customFormat="1" x14ac:dyDescent="0.25"/>
    <row r="79006" s="12" customFormat="1" x14ac:dyDescent="0.25"/>
    <row r="79007" s="12" customFormat="1" x14ac:dyDescent="0.25"/>
    <row r="79008" s="12" customFormat="1" x14ac:dyDescent="0.25"/>
    <row r="79009" s="12" customFormat="1" x14ac:dyDescent="0.25"/>
    <row r="79010" s="12" customFormat="1" x14ac:dyDescent="0.25"/>
    <row r="79011" s="12" customFormat="1" x14ac:dyDescent="0.25"/>
    <row r="79012" s="12" customFormat="1" x14ac:dyDescent="0.25"/>
    <row r="79013" s="12" customFormat="1" x14ac:dyDescent="0.25"/>
    <row r="79014" s="12" customFormat="1" x14ac:dyDescent="0.25"/>
    <row r="79015" s="12" customFormat="1" x14ac:dyDescent="0.25"/>
    <row r="79016" s="12" customFormat="1" x14ac:dyDescent="0.25"/>
    <row r="79017" s="12" customFormat="1" x14ac:dyDescent="0.25"/>
    <row r="79018" s="12" customFormat="1" x14ac:dyDescent="0.25"/>
    <row r="79019" s="12" customFormat="1" x14ac:dyDescent="0.25"/>
    <row r="79020" s="12" customFormat="1" x14ac:dyDescent="0.25"/>
    <row r="79021" s="12" customFormat="1" x14ac:dyDescent="0.25"/>
    <row r="79022" s="12" customFormat="1" x14ac:dyDescent="0.25"/>
    <row r="79023" s="12" customFormat="1" x14ac:dyDescent="0.25"/>
    <row r="79024" s="12" customFormat="1" x14ac:dyDescent="0.25"/>
    <row r="79025" s="12" customFormat="1" x14ac:dyDescent="0.25"/>
    <row r="79026" s="12" customFormat="1" x14ac:dyDescent="0.25"/>
    <row r="79027" s="12" customFormat="1" x14ac:dyDescent="0.25"/>
    <row r="79028" s="12" customFormat="1" x14ac:dyDescent="0.25"/>
    <row r="79029" s="12" customFormat="1" x14ac:dyDescent="0.25"/>
    <row r="79030" s="12" customFormat="1" x14ac:dyDescent="0.25"/>
    <row r="79031" s="12" customFormat="1" x14ac:dyDescent="0.25"/>
    <row r="79032" s="12" customFormat="1" x14ac:dyDescent="0.25"/>
    <row r="79033" s="12" customFormat="1" x14ac:dyDescent="0.25"/>
    <row r="79034" s="12" customFormat="1" x14ac:dyDescent="0.25"/>
    <row r="79035" s="12" customFormat="1" x14ac:dyDescent="0.25"/>
    <row r="79036" s="12" customFormat="1" x14ac:dyDescent="0.25"/>
    <row r="79037" s="12" customFormat="1" x14ac:dyDescent="0.25"/>
    <row r="79038" s="12" customFormat="1" x14ac:dyDescent="0.25"/>
    <row r="79039" s="12" customFormat="1" x14ac:dyDescent="0.25"/>
    <row r="79040" s="12" customFormat="1" x14ac:dyDescent="0.25"/>
    <row r="79041" s="12" customFormat="1" x14ac:dyDescent="0.25"/>
    <row r="79042" s="12" customFormat="1" x14ac:dyDescent="0.25"/>
    <row r="79043" s="12" customFormat="1" x14ac:dyDescent="0.25"/>
    <row r="79044" s="12" customFormat="1" x14ac:dyDescent="0.25"/>
    <row r="79045" s="12" customFormat="1" x14ac:dyDescent="0.25"/>
    <row r="79046" s="12" customFormat="1" x14ac:dyDescent="0.25"/>
    <row r="79047" s="12" customFormat="1" x14ac:dyDescent="0.25"/>
    <row r="79048" s="12" customFormat="1" x14ac:dyDescent="0.25"/>
    <row r="79049" s="12" customFormat="1" x14ac:dyDescent="0.25"/>
    <row r="79050" s="12" customFormat="1" x14ac:dyDescent="0.25"/>
    <row r="79051" s="12" customFormat="1" x14ac:dyDescent="0.25"/>
    <row r="79052" s="12" customFormat="1" x14ac:dyDescent="0.25"/>
    <row r="79053" s="12" customFormat="1" x14ac:dyDescent="0.25"/>
    <row r="79054" s="12" customFormat="1" x14ac:dyDescent="0.25"/>
    <row r="79055" s="12" customFormat="1" x14ac:dyDescent="0.25"/>
    <row r="79056" s="12" customFormat="1" x14ac:dyDescent="0.25"/>
    <row r="79057" s="12" customFormat="1" x14ac:dyDescent="0.25"/>
    <row r="79058" s="12" customFormat="1" x14ac:dyDescent="0.25"/>
    <row r="79059" s="12" customFormat="1" x14ac:dyDescent="0.25"/>
    <row r="79060" s="12" customFormat="1" x14ac:dyDescent="0.25"/>
    <row r="79061" s="12" customFormat="1" x14ac:dyDescent="0.25"/>
    <row r="79062" s="12" customFormat="1" x14ac:dyDescent="0.25"/>
    <row r="79063" s="12" customFormat="1" x14ac:dyDescent="0.25"/>
    <row r="79064" s="12" customFormat="1" x14ac:dyDescent="0.25"/>
    <row r="79065" s="12" customFormat="1" x14ac:dyDescent="0.25"/>
    <row r="79066" s="12" customFormat="1" x14ac:dyDescent="0.25"/>
    <row r="79067" s="12" customFormat="1" x14ac:dyDescent="0.25"/>
    <row r="79068" s="12" customFormat="1" x14ac:dyDescent="0.25"/>
    <row r="79069" s="12" customFormat="1" x14ac:dyDescent="0.25"/>
    <row r="79070" s="12" customFormat="1" x14ac:dyDescent="0.25"/>
    <row r="79071" s="12" customFormat="1" x14ac:dyDescent="0.25"/>
    <row r="79072" s="12" customFormat="1" x14ac:dyDescent="0.25"/>
    <row r="79073" s="12" customFormat="1" x14ac:dyDescent="0.25"/>
    <row r="79074" s="12" customFormat="1" x14ac:dyDescent="0.25"/>
    <row r="79075" s="12" customFormat="1" x14ac:dyDescent="0.25"/>
    <row r="79076" s="12" customFormat="1" x14ac:dyDescent="0.25"/>
    <row r="79077" s="12" customFormat="1" x14ac:dyDescent="0.25"/>
    <row r="79078" s="12" customFormat="1" x14ac:dyDescent="0.25"/>
    <row r="79079" s="12" customFormat="1" x14ac:dyDescent="0.25"/>
    <row r="79080" s="12" customFormat="1" x14ac:dyDescent="0.25"/>
    <row r="79081" s="12" customFormat="1" x14ac:dyDescent="0.25"/>
    <row r="79082" s="12" customFormat="1" x14ac:dyDescent="0.25"/>
    <row r="79083" s="12" customFormat="1" x14ac:dyDescent="0.25"/>
    <row r="79084" s="12" customFormat="1" x14ac:dyDescent="0.25"/>
    <row r="79085" s="12" customFormat="1" x14ac:dyDescent="0.25"/>
    <row r="79086" s="12" customFormat="1" x14ac:dyDescent="0.25"/>
    <row r="79087" s="12" customFormat="1" x14ac:dyDescent="0.25"/>
    <row r="79088" s="12" customFormat="1" x14ac:dyDescent="0.25"/>
    <row r="79089" s="12" customFormat="1" x14ac:dyDescent="0.25"/>
    <row r="79090" s="12" customFormat="1" x14ac:dyDescent="0.25"/>
    <row r="79091" s="12" customFormat="1" x14ac:dyDescent="0.25"/>
    <row r="79092" s="12" customFormat="1" x14ac:dyDescent="0.25"/>
    <row r="79093" s="12" customFormat="1" x14ac:dyDescent="0.25"/>
    <row r="79094" s="12" customFormat="1" x14ac:dyDescent="0.25"/>
    <row r="79095" s="12" customFormat="1" x14ac:dyDescent="0.25"/>
    <row r="79096" s="12" customFormat="1" x14ac:dyDescent="0.25"/>
    <row r="79097" s="12" customFormat="1" x14ac:dyDescent="0.25"/>
    <row r="79098" s="12" customFormat="1" x14ac:dyDescent="0.25"/>
    <row r="79099" s="12" customFormat="1" x14ac:dyDescent="0.25"/>
    <row r="79100" s="12" customFormat="1" x14ac:dyDescent="0.25"/>
    <row r="79101" s="12" customFormat="1" x14ac:dyDescent="0.25"/>
    <row r="79102" s="12" customFormat="1" x14ac:dyDescent="0.25"/>
    <row r="79103" s="12" customFormat="1" x14ac:dyDescent="0.25"/>
    <row r="79104" s="12" customFormat="1" x14ac:dyDescent="0.25"/>
    <row r="79105" s="12" customFormat="1" x14ac:dyDescent="0.25"/>
    <row r="79106" s="12" customFormat="1" x14ac:dyDescent="0.25"/>
    <row r="79107" s="12" customFormat="1" x14ac:dyDescent="0.25"/>
    <row r="79108" s="12" customFormat="1" x14ac:dyDescent="0.25"/>
    <row r="79109" s="12" customFormat="1" x14ac:dyDescent="0.25"/>
    <row r="79110" s="12" customFormat="1" x14ac:dyDescent="0.25"/>
    <row r="79111" s="12" customFormat="1" x14ac:dyDescent="0.25"/>
    <row r="79112" s="12" customFormat="1" x14ac:dyDescent="0.25"/>
    <row r="79113" s="12" customFormat="1" x14ac:dyDescent="0.25"/>
    <row r="79114" s="12" customFormat="1" x14ac:dyDescent="0.25"/>
    <row r="79115" s="12" customFormat="1" x14ac:dyDescent="0.25"/>
    <row r="79116" s="12" customFormat="1" x14ac:dyDescent="0.25"/>
    <row r="79117" s="12" customFormat="1" x14ac:dyDescent="0.25"/>
    <row r="79118" s="12" customFormat="1" x14ac:dyDescent="0.25"/>
    <row r="79119" s="12" customFormat="1" x14ac:dyDescent="0.25"/>
    <row r="79120" s="12" customFormat="1" x14ac:dyDescent="0.25"/>
    <row r="79121" s="12" customFormat="1" x14ac:dyDescent="0.25"/>
    <row r="79122" s="12" customFormat="1" x14ac:dyDescent="0.25"/>
    <row r="79123" s="12" customFormat="1" x14ac:dyDescent="0.25"/>
    <row r="79124" s="12" customFormat="1" x14ac:dyDescent="0.25"/>
    <row r="79125" s="12" customFormat="1" x14ac:dyDescent="0.25"/>
    <row r="79126" s="12" customFormat="1" x14ac:dyDescent="0.25"/>
    <row r="79127" s="12" customFormat="1" x14ac:dyDescent="0.25"/>
    <row r="79128" s="12" customFormat="1" x14ac:dyDescent="0.25"/>
    <row r="79129" s="12" customFormat="1" x14ac:dyDescent="0.25"/>
    <row r="79130" s="12" customFormat="1" x14ac:dyDescent="0.25"/>
    <row r="79131" s="12" customFormat="1" x14ac:dyDescent="0.25"/>
    <row r="79132" s="12" customFormat="1" x14ac:dyDescent="0.25"/>
    <row r="79133" s="12" customFormat="1" x14ac:dyDescent="0.25"/>
    <row r="79134" s="12" customFormat="1" x14ac:dyDescent="0.25"/>
    <row r="79135" s="12" customFormat="1" x14ac:dyDescent="0.25"/>
    <row r="79136" s="12" customFormat="1" x14ac:dyDescent="0.25"/>
    <row r="79137" s="12" customFormat="1" x14ac:dyDescent="0.25"/>
    <row r="79138" s="12" customFormat="1" x14ac:dyDescent="0.25"/>
    <row r="79139" s="12" customFormat="1" x14ac:dyDescent="0.25"/>
    <row r="79140" s="12" customFormat="1" x14ac:dyDescent="0.25"/>
    <row r="79141" s="12" customFormat="1" x14ac:dyDescent="0.25"/>
    <row r="79142" s="12" customFormat="1" x14ac:dyDescent="0.25"/>
    <row r="79143" s="12" customFormat="1" x14ac:dyDescent="0.25"/>
    <row r="79144" s="12" customFormat="1" x14ac:dyDescent="0.25"/>
    <row r="79145" s="12" customFormat="1" x14ac:dyDescent="0.25"/>
    <row r="79146" s="12" customFormat="1" x14ac:dyDescent="0.25"/>
    <row r="79147" s="12" customFormat="1" x14ac:dyDescent="0.25"/>
    <row r="79148" s="12" customFormat="1" x14ac:dyDescent="0.25"/>
    <row r="79149" s="12" customFormat="1" x14ac:dyDescent="0.25"/>
    <row r="79150" s="12" customFormat="1" x14ac:dyDescent="0.25"/>
    <row r="79151" s="12" customFormat="1" x14ac:dyDescent="0.25"/>
    <row r="79152" s="12" customFormat="1" x14ac:dyDescent="0.25"/>
    <row r="79153" s="12" customFormat="1" x14ac:dyDescent="0.25"/>
    <row r="79154" s="12" customFormat="1" x14ac:dyDescent="0.25"/>
    <row r="79155" s="12" customFormat="1" x14ac:dyDescent="0.25"/>
    <row r="79156" s="12" customFormat="1" x14ac:dyDescent="0.25"/>
    <row r="79157" s="12" customFormat="1" x14ac:dyDescent="0.25"/>
    <row r="79158" s="12" customFormat="1" x14ac:dyDescent="0.25"/>
    <row r="79159" s="12" customFormat="1" x14ac:dyDescent="0.25"/>
    <row r="79160" s="12" customFormat="1" x14ac:dyDescent="0.25"/>
    <row r="79161" s="12" customFormat="1" x14ac:dyDescent="0.25"/>
    <row r="79162" s="12" customFormat="1" x14ac:dyDescent="0.25"/>
    <row r="79163" s="12" customFormat="1" x14ac:dyDescent="0.25"/>
    <row r="79164" s="12" customFormat="1" x14ac:dyDescent="0.25"/>
    <row r="79165" s="12" customFormat="1" x14ac:dyDescent="0.25"/>
    <row r="79166" s="12" customFormat="1" x14ac:dyDescent="0.25"/>
    <row r="79167" s="12" customFormat="1" x14ac:dyDescent="0.25"/>
    <row r="79168" s="12" customFormat="1" x14ac:dyDescent="0.25"/>
    <row r="79169" s="12" customFormat="1" x14ac:dyDescent="0.25"/>
    <row r="79170" s="12" customFormat="1" x14ac:dyDescent="0.25"/>
    <row r="79171" s="12" customFormat="1" x14ac:dyDescent="0.25"/>
    <row r="79172" s="12" customFormat="1" x14ac:dyDescent="0.25"/>
    <row r="79173" s="12" customFormat="1" x14ac:dyDescent="0.25"/>
    <row r="79174" s="12" customFormat="1" x14ac:dyDescent="0.25"/>
    <row r="79175" s="12" customFormat="1" x14ac:dyDescent="0.25"/>
    <row r="79176" s="12" customFormat="1" x14ac:dyDescent="0.25"/>
    <row r="79177" s="12" customFormat="1" x14ac:dyDescent="0.25"/>
    <row r="79178" s="12" customFormat="1" x14ac:dyDescent="0.25"/>
    <row r="79179" s="12" customFormat="1" x14ac:dyDescent="0.25"/>
    <row r="79180" s="12" customFormat="1" x14ac:dyDescent="0.25"/>
    <row r="79181" s="12" customFormat="1" x14ac:dyDescent="0.25"/>
    <row r="79182" s="12" customFormat="1" x14ac:dyDescent="0.25"/>
    <row r="79183" s="12" customFormat="1" x14ac:dyDescent="0.25"/>
    <row r="79184" s="12" customFormat="1" x14ac:dyDescent="0.25"/>
    <row r="79185" s="12" customFormat="1" x14ac:dyDescent="0.25"/>
    <row r="79186" s="12" customFormat="1" x14ac:dyDescent="0.25"/>
    <row r="79187" s="12" customFormat="1" x14ac:dyDescent="0.25"/>
    <row r="79188" s="12" customFormat="1" x14ac:dyDescent="0.25"/>
    <row r="79189" s="12" customFormat="1" x14ac:dyDescent="0.25"/>
    <row r="79190" s="12" customFormat="1" x14ac:dyDescent="0.25"/>
    <row r="79191" s="12" customFormat="1" x14ac:dyDescent="0.25"/>
    <row r="79192" s="12" customFormat="1" x14ac:dyDescent="0.25"/>
    <row r="79193" s="12" customFormat="1" x14ac:dyDescent="0.25"/>
    <row r="79194" s="12" customFormat="1" x14ac:dyDescent="0.25"/>
    <row r="79195" s="12" customFormat="1" x14ac:dyDescent="0.25"/>
    <row r="79196" s="12" customFormat="1" x14ac:dyDescent="0.25"/>
    <row r="79197" s="12" customFormat="1" x14ac:dyDescent="0.25"/>
    <row r="79198" s="12" customFormat="1" x14ac:dyDescent="0.25"/>
    <row r="79199" s="12" customFormat="1" x14ac:dyDescent="0.25"/>
    <row r="79200" s="12" customFormat="1" x14ac:dyDescent="0.25"/>
    <row r="79201" s="12" customFormat="1" x14ac:dyDescent="0.25"/>
    <row r="79202" s="12" customFormat="1" x14ac:dyDescent="0.25"/>
    <row r="79203" s="12" customFormat="1" x14ac:dyDescent="0.25"/>
    <row r="79204" s="12" customFormat="1" x14ac:dyDescent="0.25"/>
    <row r="79205" s="12" customFormat="1" x14ac:dyDescent="0.25"/>
    <row r="79206" s="12" customFormat="1" x14ac:dyDescent="0.25"/>
    <row r="79207" s="12" customFormat="1" x14ac:dyDescent="0.25"/>
    <row r="79208" s="12" customFormat="1" x14ac:dyDescent="0.25"/>
    <row r="79209" s="12" customFormat="1" x14ac:dyDescent="0.25"/>
    <row r="79210" s="12" customFormat="1" x14ac:dyDescent="0.25"/>
    <row r="79211" s="12" customFormat="1" x14ac:dyDescent="0.25"/>
    <row r="79212" s="12" customFormat="1" x14ac:dyDescent="0.25"/>
    <row r="79213" s="12" customFormat="1" x14ac:dyDescent="0.25"/>
    <row r="79214" s="12" customFormat="1" x14ac:dyDescent="0.25"/>
    <row r="79215" s="12" customFormat="1" x14ac:dyDescent="0.25"/>
    <row r="79216" s="12" customFormat="1" x14ac:dyDescent="0.25"/>
    <row r="79217" s="12" customFormat="1" x14ac:dyDescent="0.25"/>
    <row r="79218" s="12" customFormat="1" x14ac:dyDescent="0.25"/>
    <row r="79219" s="12" customFormat="1" x14ac:dyDescent="0.25"/>
    <row r="79220" s="12" customFormat="1" x14ac:dyDescent="0.25"/>
    <row r="79221" s="12" customFormat="1" x14ac:dyDescent="0.25"/>
    <row r="79222" s="12" customFormat="1" x14ac:dyDescent="0.25"/>
    <row r="79223" s="12" customFormat="1" x14ac:dyDescent="0.25"/>
    <row r="79224" s="12" customFormat="1" x14ac:dyDescent="0.25"/>
    <row r="79225" s="12" customFormat="1" x14ac:dyDescent="0.25"/>
    <row r="79226" s="12" customFormat="1" x14ac:dyDescent="0.25"/>
    <row r="79227" s="12" customFormat="1" x14ac:dyDescent="0.25"/>
    <row r="79228" s="12" customFormat="1" x14ac:dyDescent="0.25"/>
    <row r="79229" s="12" customFormat="1" x14ac:dyDescent="0.25"/>
    <row r="79230" s="12" customFormat="1" x14ac:dyDescent="0.25"/>
    <row r="79231" s="12" customFormat="1" x14ac:dyDescent="0.25"/>
    <row r="79232" s="12" customFormat="1" x14ac:dyDescent="0.25"/>
    <row r="79233" s="12" customFormat="1" x14ac:dyDescent="0.25"/>
    <row r="79234" s="12" customFormat="1" x14ac:dyDescent="0.25"/>
    <row r="79235" s="12" customFormat="1" x14ac:dyDescent="0.25"/>
    <row r="79236" s="12" customFormat="1" x14ac:dyDescent="0.25"/>
    <row r="79237" s="12" customFormat="1" x14ac:dyDescent="0.25"/>
    <row r="79238" s="12" customFormat="1" x14ac:dyDescent="0.25"/>
    <row r="79239" s="12" customFormat="1" x14ac:dyDescent="0.25"/>
    <row r="79240" s="12" customFormat="1" x14ac:dyDescent="0.25"/>
    <row r="79241" s="12" customFormat="1" x14ac:dyDescent="0.25"/>
    <row r="79242" s="12" customFormat="1" x14ac:dyDescent="0.25"/>
    <row r="79243" s="12" customFormat="1" x14ac:dyDescent="0.25"/>
    <row r="79244" s="12" customFormat="1" x14ac:dyDescent="0.25"/>
    <row r="79245" s="12" customFormat="1" x14ac:dyDescent="0.25"/>
    <row r="79246" s="12" customFormat="1" x14ac:dyDescent="0.25"/>
    <row r="79247" s="12" customFormat="1" x14ac:dyDescent="0.25"/>
    <row r="79248" s="12" customFormat="1" x14ac:dyDescent="0.25"/>
    <row r="79249" s="12" customFormat="1" x14ac:dyDescent="0.25"/>
    <row r="79250" s="12" customFormat="1" x14ac:dyDescent="0.25"/>
    <row r="79251" s="12" customFormat="1" x14ac:dyDescent="0.25"/>
    <row r="79252" s="12" customFormat="1" x14ac:dyDescent="0.25"/>
    <row r="79253" s="12" customFormat="1" x14ac:dyDescent="0.25"/>
    <row r="79254" s="12" customFormat="1" x14ac:dyDescent="0.25"/>
    <row r="79255" s="12" customFormat="1" x14ac:dyDescent="0.25"/>
    <row r="79256" s="12" customFormat="1" x14ac:dyDescent="0.25"/>
    <row r="79257" s="12" customFormat="1" x14ac:dyDescent="0.25"/>
    <row r="79258" s="12" customFormat="1" x14ac:dyDescent="0.25"/>
    <row r="79259" s="12" customFormat="1" x14ac:dyDescent="0.25"/>
    <row r="79260" s="12" customFormat="1" x14ac:dyDescent="0.25"/>
    <row r="79261" s="12" customFormat="1" x14ac:dyDescent="0.25"/>
    <row r="79262" s="12" customFormat="1" x14ac:dyDescent="0.25"/>
    <row r="79263" s="12" customFormat="1" x14ac:dyDescent="0.25"/>
    <row r="79264" s="12" customFormat="1" x14ac:dyDescent="0.25"/>
    <row r="79265" s="12" customFormat="1" x14ac:dyDescent="0.25"/>
    <row r="79266" s="12" customFormat="1" x14ac:dyDescent="0.25"/>
    <row r="79267" s="12" customFormat="1" x14ac:dyDescent="0.25"/>
    <row r="79268" s="12" customFormat="1" x14ac:dyDescent="0.25"/>
    <row r="79269" s="12" customFormat="1" x14ac:dyDescent="0.25"/>
    <row r="79270" s="12" customFormat="1" x14ac:dyDescent="0.25"/>
    <row r="79271" s="12" customFormat="1" x14ac:dyDescent="0.25"/>
    <row r="79272" s="12" customFormat="1" x14ac:dyDescent="0.25"/>
    <row r="79273" s="12" customFormat="1" x14ac:dyDescent="0.25"/>
    <row r="79274" s="12" customFormat="1" x14ac:dyDescent="0.25"/>
    <row r="79275" s="12" customFormat="1" x14ac:dyDescent="0.25"/>
    <row r="79276" s="12" customFormat="1" x14ac:dyDescent="0.25"/>
    <row r="79277" s="12" customFormat="1" x14ac:dyDescent="0.25"/>
    <row r="79278" s="12" customFormat="1" x14ac:dyDescent="0.25"/>
    <row r="79279" s="12" customFormat="1" x14ac:dyDescent="0.25"/>
    <row r="79280" s="12" customFormat="1" x14ac:dyDescent="0.25"/>
    <row r="79281" s="12" customFormat="1" x14ac:dyDescent="0.25"/>
    <row r="79282" s="12" customFormat="1" x14ac:dyDescent="0.25"/>
    <row r="79283" s="12" customFormat="1" x14ac:dyDescent="0.25"/>
    <row r="79284" s="12" customFormat="1" x14ac:dyDescent="0.25"/>
    <row r="79285" s="12" customFormat="1" x14ac:dyDescent="0.25"/>
    <row r="79286" s="12" customFormat="1" x14ac:dyDescent="0.25"/>
    <row r="79287" s="12" customFormat="1" x14ac:dyDescent="0.25"/>
    <row r="79288" s="12" customFormat="1" x14ac:dyDescent="0.25"/>
    <row r="79289" s="12" customFormat="1" x14ac:dyDescent="0.25"/>
    <row r="79290" s="12" customFormat="1" x14ac:dyDescent="0.25"/>
    <row r="79291" s="12" customFormat="1" x14ac:dyDescent="0.25"/>
    <row r="79292" s="12" customFormat="1" x14ac:dyDescent="0.25"/>
    <row r="79293" s="12" customFormat="1" x14ac:dyDescent="0.25"/>
    <row r="79294" s="12" customFormat="1" x14ac:dyDescent="0.25"/>
    <row r="79295" s="12" customFormat="1" x14ac:dyDescent="0.25"/>
    <row r="79296" s="12" customFormat="1" x14ac:dyDescent="0.25"/>
    <row r="79297" s="12" customFormat="1" x14ac:dyDescent="0.25"/>
    <row r="79298" s="12" customFormat="1" x14ac:dyDescent="0.25"/>
    <row r="79299" s="12" customFormat="1" x14ac:dyDescent="0.25"/>
    <row r="79300" s="12" customFormat="1" x14ac:dyDescent="0.25"/>
    <row r="79301" s="12" customFormat="1" x14ac:dyDescent="0.25"/>
    <row r="79302" s="12" customFormat="1" x14ac:dyDescent="0.25"/>
    <row r="79303" s="12" customFormat="1" x14ac:dyDescent="0.25"/>
    <row r="79304" s="12" customFormat="1" x14ac:dyDescent="0.25"/>
    <row r="79305" s="12" customFormat="1" x14ac:dyDescent="0.25"/>
    <row r="79306" s="12" customFormat="1" x14ac:dyDescent="0.25"/>
    <row r="79307" s="12" customFormat="1" x14ac:dyDescent="0.25"/>
    <row r="79308" s="12" customFormat="1" x14ac:dyDescent="0.25"/>
    <row r="79309" s="12" customFormat="1" x14ac:dyDescent="0.25"/>
    <row r="79310" s="12" customFormat="1" x14ac:dyDescent="0.25"/>
    <row r="79311" s="12" customFormat="1" x14ac:dyDescent="0.25"/>
    <row r="79312" s="12" customFormat="1" x14ac:dyDescent="0.25"/>
    <row r="79313" s="12" customFormat="1" x14ac:dyDescent="0.25"/>
    <row r="79314" s="12" customFormat="1" x14ac:dyDescent="0.25"/>
    <row r="79315" s="12" customFormat="1" x14ac:dyDescent="0.25"/>
    <row r="79316" s="12" customFormat="1" x14ac:dyDescent="0.25"/>
    <row r="79317" s="12" customFormat="1" x14ac:dyDescent="0.25"/>
    <row r="79318" s="12" customFormat="1" x14ac:dyDescent="0.25"/>
    <row r="79319" s="12" customFormat="1" x14ac:dyDescent="0.25"/>
    <row r="79320" s="12" customFormat="1" x14ac:dyDescent="0.25"/>
    <row r="79321" s="12" customFormat="1" x14ac:dyDescent="0.25"/>
    <row r="79322" s="12" customFormat="1" x14ac:dyDescent="0.25"/>
    <row r="79323" s="12" customFormat="1" x14ac:dyDescent="0.25"/>
    <row r="79324" s="12" customFormat="1" x14ac:dyDescent="0.25"/>
    <row r="79325" s="12" customFormat="1" x14ac:dyDescent="0.25"/>
    <row r="79326" s="12" customFormat="1" x14ac:dyDescent="0.25"/>
    <row r="79327" s="12" customFormat="1" x14ac:dyDescent="0.25"/>
    <row r="79328" s="12" customFormat="1" x14ac:dyDescent="0.25"/>
    <row r="79329" s="12" customFormat="1" x14ac:dyDescent="0.25"/>
    <row r="79330" s="12" customFormat="1" x14ac:dyDescent="0.25"/>
    <row r="79331" s="12" customFormat="1" x14ac:dyDescent="0.25"/>
    <row r="79332" s="12" customFormat="1" x14ac:dyDescent="0.25"/>
    <row r="79333" s="12" customFormat="1" x14ac:dyDescent="0.25"/>
    <row r="79334" s="12" customFormat="1" x14ac:dyDescent="0.25"/>
    <row r="79335" s="12" customFormat="1" x14ac:dyDescent="0.25"/>
    <row r="79336" s="12" customFormat="1" x14ac:dyDescent="0.25"/>
    <row r="79337" s="12" customFormat="1" x14ac:dyDescent="0.25"/>
    <row r="79338" s="12" customFormat="1" x14ac:dyDescent="0.25"/>
    <row r="79339" s="12" customFormat="1" x14ac:dyDescent="0.25"/>
    <row r="79340" s="12" customFormat="1" x14ac:dyDescent="0.25"/>
    <row r="79341" s="12" customFormat="1" x14ac:dyDescent="0.25"/>
    <row r="79342" s="12" customFormat="1" x14ac:dyDescent="0.25"/>
    <row r="79343" s="12" customFormat="1" x14ac:dyDescent="0.25"/>
    <row r="79344" s="12" customFormat="1" x14ac:dyDescent="0.25"/>
    <row r="79345" s="12" customFormat="1" x14ac:dyDescent="0.25"/>
    <row r="79346" s="12" customFormat="1" x14ac:dyDescent="0.25"/>
    <row r="79347" s="12" customFormat="1" x14ac:dyDescent="0.25"/>
    <row r="79348" s="12" customFormat="1" x14ac:dyDescent="0.25"/>
    <row r="79349" s="12" customFormat="1" x14ac:dyDescent="0.25"/>
    <row r="79350" s="12" customFormat="1" x14ac:dyDescent="0.25"/>
    <row r="79351" s="12" customFormat="1" x14ac:dyDescent="0.25"/>
    <row r="79352" s="12" customFormat="1" x14ac:dyDescent="0.25"/>
    <row r="79353" s="12" customFormat="1" x14ac:dyDescent="0.25"/>
    <row r="79354" s="12" customFormat="1" x14ac:dyDescent="0.25"/>
    <row r="79355" s="12" customFormat="1" x14ac:dyDescent="0.25"/>
    <row r="79356" s="12" customFormat="1" x14ac:dyDescent="0.25"/>
    <row r="79357" s="12" customFormat="1" x14ac:dyDescent="0.25"/>
    <row r="79358" s="12" customFormat="1" x14ac:dyDescent="0.25"/>
    <row r="79359" s="12" customFormat="1" x14ac:dyDescent="0.25"/>
    <row r="79360" s="12" customFormat="1" x14ac:dyDescent="0.25"/>
    <row r="79361" s="12" customFormat="1" x14ac:dyDescent="0.25"/>
    <row r="79362" s="12" customFormat="1" x14ac:dyDescent="0.25"/>
    <row r="79363" s="12" customFormat="1" x14ac:dyDescent="0.25"/>
    <row r="79364" s="12" customFormat="1" x14ac:dyDescent="0.25"/>
    <row r="79365" s="12" customFormat="1" x14ac:dyDescent="0.25"/>
    <row r="79366" s="12" customFormat="1" x14ac:dyDescent="0.25"/>
    <row r="79367" s="12" customFormat="1" x14ac:dyDescent="0.25"/>
    <row r="79368" s="12" customFormat="1" x14ac:dyDescent="0.25"/>
    <row r="79369" s="12" customFormat="1" x14ac:dyDescent="0.25"/>
    <row r="79370" s="12" customFormat="1" x14ac:dyDescent="0.25"/>
    <row r="79371" s="12" customFormat="1" x14ac:dyDescent="0.25"/>
    <row r="79372" s="12" customFormat="1" x14ac:dyDescent="0.25"/>
    <row r="79373" s="12" customFormat="1" x14ac:dyDescent="0.25"/>
    <row r="79374" s="12" customFormat="1" x14ac:dyDescent="0.25"/>
    <row r="79375" s="12" customFormat="1" x14ac:dyDescent="0.25"/>
    <row r="79376" s="12" customFormat="1" x14ac:dyDescent="0.25"/>
    <row r="79377" s="12" customFormat="1" x14ac:dyDescent="0.25"/>
    <row r="79378" s="12" customFormat="1" x14ac:dyDescent="0.25"/>
    <row r="79379" s="12" customFormat="1" x14ac:dyDescent="0.25"/>
    <row r="79380" s="12" customFormat="1" x14ac:dyDescent="0.25"/>
    <row r="79381" s="12" customFormat="1" x14ac:dyDescent="0.25"/>
    <row r="79382" s="12" customFormat="1" x14ac:dyDescent="0.25"/>
    <row r="79383" s="12" customFormat="1" x14ac:dyDescent="0.25"/>
    <row r="79384" s="12" customFormat="1" x14ac:dyDescent="0.25"/>
    <row r="79385" s="12" customFormat="1" x14ac:dyDescent="0.25"/>
    <row r="79386" s="12" customFormat="1" x14ac:dyDescent="0.25"/>
    <row r="79387" s="12" customFormat="1" x14ac:dyDescent="0.25"/>
    <row r="79388" s="12" customFormat="1" x14ac:dyDescent="0.25"/>
    <row r="79389" s="12" customFormat="1" x14ac:dyDescent="0.25"/>
    <row r="79390" s="12" customFormat="1" x14ac:dyDescent="0.25"/>
    <row r="79391" s="12" customFormat="1" x14ac:dyDescent="0.25"/>
    <row r="79392" s="12" customFormat="1" x14ac:dyDescent="0.25"/>
    <row r="79393" s="12" customFormat="1" x14ac:dyDescent="0.25"/>
    <row r="79394" s="12" customFormat="1" x14ac:dyDescent="0.25"/>
    <row r="79395" s="12" customFormat="1" x14ac:dyDescent="0.25"/>
    <row r="79396" s="12" customFormat="1" x14ac:dyDescent="0.25"/>
    <row r="79397" s="12" customFormat="1" x14ac:dyDescent="0.25"/>
    <row r="79398" s="12" customFormat="1" x14ac:dyDescent="0.25"/>
    <row r="79399" s="12" customFormat="1" x14ac:dyDescent="0.25"/>
    <row r="79400" s="12" customFormat="1" x14ac:dyDescent="0.25"/>
    <row r="79401" s="12" customFormat="1" x14ac:dyDescent="0.25"/>
    <row r="79402" s="12" customFormat="1" x14ac:dyDescent="0.25"/>
    <row r="79403" s="12" customFormat="1" x14ac:dyDescent="0.25"/>
    <row r="79404" s="12" customFormat="1" x14ac:dyDescent="0.25"/>
    <row r="79405" s="12" customFormat="1" x14ac:dyDescent="0.25"/>
    <row r="79406" s="12" customFormat="1" x14ac:dyDescent="0.25"/>
    <row r="79407" s="12" customFormat="1" x14ac:dyDescent="0.25"/>
    <row r="79408" s="12" customFormat="1" x14ac:dyDescent="0.25"/>
    <row r="79409" s="12" customFormat="1" x14ac:dyDescent="0.25"/>
    <row r="79410" s="12" customFormat="1" x14ac:dyDescent="0.25"/>
    <row r="79411" s="12" customFormat="1" x14ac:dyDescent="0.25"/>
    <row r="79412" s="12" customFormat="1" x14ac:dyDescent="0.25"/>
    <row r="79413" s="12" customFormat="1" x14ac:dyDescent="0.25"/>
    <row r="79414" s="12" customFormat="1" x14ac:dyDescent="0.25"/>
    <row r="79415" s="12" customFormat="1" x14ac:dyDescent="0.25"/>
    <row r="79416" s="12" customFormat="1" x14ac:dyDescent="0.25"/>
    <row r="79417" s="12" customFormat="1" x14ac:dyDescent="0.25"/>
    <row r="79418" s="12" customFormat="1" x14ac:dyDescent="0.25"/>
    <row r="79419" s="12" customFormat="1" x14ac:dyDescent="0.25"/>
    <row r="79420" s="12" customFormat="1" x14ac:dyDescent="0.25"/>
    <row r="79421" s="12" customFormat="1" x14ac:dyDescent="0.25"/>
    <row r="79422" s="12" customFormat="1" x14ac:dyDescent="0.25"/>
    <row r="79423" s="12" customFormat="1" x14ac:dyDescent="0.25"/>
    <row r="79424" s="12" customFormat="1" x14ac:dyDescent="0.25"/>
    <row r="79425" s="12" customFormat="1" x14ac:dyDescent="0.25"/>
    <row r="79426" s="12" customFormat="1" x14ac:dyDescent="0.25"/>
    <row r="79427" s="12" customFormat="1" x14ac:dyDescent="0.25"/>
    <row r="79428" s="12" customFormat="1" x14ac:dyDescent="0.25"/>
    <row r="79429" s="12" customFormat="1" x14ac:dyDescent="0.25"/>
    <row r="79430" s="12" customFormat="1" x14ac:dyDescent="0.25"/>
    <row r="79431" s="12" customFormat="1" x14ac:dyDescent="0.25"/>
    <row r="79432" s="12" customFormat="1" x14ac:dyDescent="0.25"/>
    <row r="79433" s="12" customFormat="1" x14ac:dyDescent="0.25"/>
    <row r="79434" s="12" customFormat="1" x14ac:dyDescent="0.25"/>
    <row r="79435" s="12" customFormat="1" x14ac:dyDescent="0.25"/>
    <row r="79436" s="12" customFormat="1" x14ac:dyDescent="0.25"/>
    <row r="79437" s="12" customFormat="1" x14ac:dyDescent="0.25"/>
    <row r="79438" s="12" customFormat="1" x14ac:dyDescent="0.25"/>
    <row r="79439" s="12" customFormat="1" x14ac:dyDescent="0.25"/>
    <row r="79440" s="12" customFormat="1" x14ac:dyDescent="0.25"/>
    <row r="79441" s="12" customFormat="1" x14ac:dyDescent="0.25"/>
    <row r="79442" s="12" customFormat="1" x14ac:dyDescent="0.25"/>
    <row r="79443" s="12" customFormat="1" x14ac:dyDescent="0.25"/>
    <row r="79444" s="12" customFormat="1" x14ac:dyDescent="0.25"/>
    <row r="79445" s="12" customFormat="1" x14ac:dyDescent="0.25"/>
    <row r="79446" s="12" customFormat="1" x14ac:dyDescent="0.25"/>
    <row r="79447" s="12" customFormat="1" x14ac:dyDescent="0.25"/>
    <row r="79448" s="12" customFormat="1" x14ac:dyDescent="0.25"/>
    <row r="79449" s="12" customFormat="1" x14ac:dyDescent="0.25"/>
    <row r="79450" s="12" customFormat="1" x14ac:dyDescent="0.25"/>
    <row r="79451" s="12" customFormat="1" x14ac:dyDescent="0.25"/>
    <row r="79452" s="12" customFormat="1" x14ac:dyDescent="0.25"/>
    <row r="79453" s="12" customFormat="1" x14ac:dyDescent="0.25"/>
    <row r="79454" s="12" customFormat="1" x14ac:dyDescent="0.25"/>
    <row r="79455" s="12" customFormat="1" x14ac:dyDescent="0.25"/>
    <row r="79456" s="12" customFormat="1" x14ac:dyDescent="0.25"/>
    <row r="79457" s="12" customFormat="1" x14ac:dyDescent="0.25"/>
    <row r="79458" s="12" customFormat="1" x14ac:dyDescent="0.25"/>
    <row r="79459" s="12" customFormat="1" x14ac:dyDescent="0.25"/>
    <row r="79460" s="12" customFormat="1" x14ac:dyDescent="0.25"/>
    <row r="79461" s="12" customFormat="1" x14ac:dyDescent="0.25"/>
    <row r="79462" s="12" customFormat="1" x14ac:dyDescent="0.25"/>
    <row r="79463" s="12" customFormat="1" x14ac:dyDescent="0.25"/>
    <row r="79464" s="12" customFormat="1" x14ac:dyDescent="0.25"/>
    <row r="79465" s="12" customFormat="1" x14ac:dyDescent="0.25"/>
    <row r="79466" s="12" customFormat="1" x14ac:dyDescent="0.25"/>
    <row r="79467" s="12" customFormat="1" x14ac:dyDescent="0.25"/>
    <row r="79468" s="12" customFormat="1" x14ac:dyDescent="0.25"/>
    <row r="79469" s="12" customFormat="1" x14ac:dyDescent="0.25"/>
    <row r="79470" s="12" customFormat="1" x14ac:dyDescent="0.25"/>
    <row r="79471" s="12" customFormat="1" x14ac:dyDescent="0.25"/>
    <row r="79472" s="12" customFormat="1" x14ac:dyDescent="0.25"/>
    <row r="79473" s="12" customFormat="1" x14ac:dyDescent="0.25"/>
    <row r="79474" s="12" customFormat="1" x14ac:dyDescent="0.25"/>
    <row r="79475" s="12" customFormat="1" x14ac:dyDescent="0.25"/>
    <row r="79476" s="12" customFormat="1" x14ac:dyDescent="0.25"/>
    <row r="79477" s="12" customFormat="1" x14ac:dyDescent="0.25"/>
    <row r="79478" s="12" customFormat="1" x14ac:dyDescent="0.25"/>
    <row r="79479" s="12" customFormat="1" x14ac:dyDescent="0.25"/>
    <row r="79480" s="12" customFormat="1" x14ac:dyDescent="0.25"/>
    <row r="79481" s="12" customFormat="1" x14ac:dyDescent="0.25"/>
    <row r="79482" s="12" customFormat="1" x14ac:dyDescent="0.25"/>
    <row r="79483" s="12" customFormat="1" x14ac:dyDescent="0.25"/>
    <row r="79484" s="12" customFormat="1" x14ac:dyDescent="0.25"/>
    <row r="79485" s="12" customFormat="1" x14ac:dyDescent="0.25"/>
    <row r="79486" s="12" customFormat="1" x14ac:dyDescent="0.25"/>
    <row r="79487" s="12" customFormat="1" x14ac:dyDescent="0.25"/>
    <row r="79488" s="12" customFormat="1" x14ac:dyDescent="0.25"/>
    <row r="79489" s="12" customFormat="1" x14ac:dyDescent="0.25"/>
    <row r="79490" s="12" customFormat="1" x14ac:dyDescent="0.25"/>
    <row r="79491" s="12" customFormat="1" x14ac:dyDescent="0.25"/>
    <row r="79492" s="12" customFormat="1" x14ac:dyDescent="0.25"/>
    <row r="79493" s="12" customFormat="1" x14ac:dyDescent="0.25"/>
    <row r="79494" s="12" customFormat="1" x14ac:dyDescent="0.25"/>
    <row r="79495" s="12" customFormat="1" x14ac:dyDescent="0.25"/>
    <row r="79496" s="12" customFormat="1" x14ac:dyDescent="0.25"/>
    <row r="79497" s="12" customFormat="1" x14ac:dyDescent="0.25"/>
    <row r="79498" s="12" customFormat="1" x14ac:dyDescent="0.25"/>
    <row r="79499" s="12" customFormat="1" x14ac:dyDescent="0.25"/>
    <row r="79500" s="12" customFormat="1" x14ac:dyDescent="0.25"/>
    <row r="79501" s="12" customFormat="1" x14ac:dyDescent="0.25"/>
    <row r="79502" s="12" customFormat="1" x14ac:dyDescent="0.25"/>
    <row r="79503" s="12" customFormat="1" x14ac:dyDescent="0.25"/>
    <row r="79504" s="12" customFormat="1" x14ac:dyDescent="0.25"/>
    <row r="79505" s="12" customFormat="1" x14ac:dyDescent="0.25"/>
    <row r="79506" s="12" customFormat="1" x14ac:dyDescent="0.25"/>
    <row r="79507" s="12" customFormat="1" x14ac:dyDescent="0.25"/>
    <row r="79508" s="12" customFormat="1" x14ac:dyDescent="0.25"/>
    <row r="79509" s="12" customFormat="1" x14ac:dyDescent="0.25"/>
    <row r="79510" s="12" customFormat="1" x14ac:dyDescent="0.25"/>
    <row r="79511" s="12" customFormat="1" x14ac:dyDescent="0.25"/>
    <row r="79512" s="12" customFormat="1" x14ac:dyDescent="0.25"/>
    <row r="79513" s="12" customFormat="1" x14ac:dyDescent="0.25"/>
    <row r="79514" s="12" customFormat="1" x14ac:dyDescent="0.25"/>
    <row r="79515" s="12" customFormat="1" x14ac:dyDescent="0.25"/>
    <row r="79516" s="12" customFormat="1" x14ac:dyDescent="0.25"/>
    <row r="79517" s="12" customFormat="1" x14ac:dyDescent="0.25"/>
    <row r="79518" s="12" customFormat="1" x14ac:dyDescent="0.25"/>
    <row r="79519" s="12" customFormat="1" x14ac:dyDescent="0.25"/>
    <row r="79520" s="12" customFormat="1" x14ac:dyDescent="0.25"/>
    <row r="79521" s="12" customFormat="1" x14ac:dyDescent="0.25"/>
    <row r="79522" s="12" customFormat="1" x14ac:dyDescent="0.25"/>
    <row r="79523" s="12" customFormat="1" x14ac:dyDescent="0.25"/>
    <row r="79524" s="12" customFormat="1" x14ac:dyDescent="0.25"/>
    <row r="79525" s="12" customFormat="1" x14ac:dyDescent="0.25"/>
    <row r="79526" s="12" customFormat="1" x14ac:dyDescent="0.25"/>
    <row r="79527" s="12" customFormat="1" x14ac:dyDescent="0.25"/>
    <row r="79528" s="12" customFormat="1" x14ac:dyDescent="0.25"/>
    <row r="79529" s="12" customFormat="1" x14ac:dyDescent="0.25"/>
    <row r="79530" s="12" customFormat="1" x14ac:dyDescent="0.25"/>
    <row r="79531" s="12" customFormat="1" x14ac:dyDescent="0.25"/>
    <row r="79532" s="12" customFormat="1" x14ac:dyDescent="0.25"/>
    <row r="79533" s="12" customFormat="1" x14ac:dyDescent="0.25"/>
    <row r="79534" s="12" customFormat="1" x14ac:dyDescent="0.25"/>
    <row r="79535" s="12" customFormat="1" x14ac:dyDescent="0.25"/>
    <row r="79536" s="12" customFormat="1" x14ac:dyDescent="0.25"/>
    <row r="79537" s="12" customFormat="1" x14ac:dyDescent="0.25"/>
    <row r="79538" s="12" customFormat="1" x14ac:dyDescent="0.25"/>
    <row r="79539" s="12" customFormat="1" x14ac:dyDescent="0.25"/>
    <row r="79540" s="12" customFormat="1" x14ac:dyDescent="0.25"/>
    <row r="79541" s="12" customFormat="1" x14ac:dyDescent="0.25"/>
    <row r="79542" s="12" customFormat="1" x14ac:dyDescent="0.25"/>
    <row r="79543" s="12" customFormat="1" x14ac:dyDescent="0.25"/>
    <row r="79544" s="12" customFormat="1" x14ac:dyDescent="0.25"/>
    <row r="79545" s="12" customFormat="1" x14ac:dyDescent="0.25"/>
    <row r="79546" s="12" customFormat="1" x14ac:dyDescent="0.25"/>
    <row r="79547" s="12" customFormat="1" x14ac:dyDescent="0.25"/>
    <row r="79548" s="12" customFormat="1" x14ac:dyDescent="0.25"/>
    <row r="79549" s="12" customFormat="1" x14ac:dyDescent="0.25"/>
    <row r="79550" s="12" customFormat="1" x14ac:dyDescent="0.25"/>
    <row r="79551" s="12" customFormat="1" x14ac:dyDescent="0.25"/>
    <row r="79552" s="12" customFormat="1" x14ac:dyDescent="0.25"/>
    <row r="79553" s="12" customFormat="1" x14ac:dyDescent="0.25"/>
    <row r="79554" s="12" customFormat="1" x14ac:dyDescent="0.25"/>
    <row r="79555" s="12" customFormat="1" x14ac:dyDescent="0.25"/>
    <row r="79556" s="12" customFormat="1" x14ac:dyDescent="0.25"/>
    <row r="79557" s="12" customFormat="1" x14ac:dyDescent="0.25"/>
    <row r="79558" s="12" customFormat="1" x14ac:dyDescent="0.25"/>
    <row r="79559" s="12" customFormat="1" x14ac:dyDescent="0.25"/>
    <row r="79560" s="12" customFormat="1" x14ac:dyDescent="0.25"/>
    <row r="79561" s="12" customFormat="1" x14ac:dyDescent="0.25"/>
    <row r="79562" s="12" customFormat="1" x14ac:dyDescent="0.25"/>
    <row r="79563" s="12" customFormat="1" x14ac:dyDescent="0.25"/>
    <row r="79564" s="12" customFormat="1" x14ac:dyDescent="0.25"/>
    <row r="79565" s="12" customFormat="1" x14ac:dyDescent="0.25"/>
    <row r="79566" s="12" customFormat="1" x14ac:dyDescent="0.25"/>
    <row r="79567" s="12" customFormat="1" x14ac:dyDescent="0.25"/>
    <row r="79568" s="12" customFormat="1" x14ac:dyDescent="0.25"/>
    <row r="79569" s="12" customFormat="1" x14ac:dyDescent="0.25"/>
    <row r="79570" s="12" customFormat="1" x14ac:dyDescent="0.25"/>
    <row r="79571" s="12" customFormat="1" x14ac:dyDescent="0.25"/>
    <row r="79572" s="12" customFormat="1" x14ac:dyDescent="0.25"/>
    <row r="79573" s="12" customFormat="1" x14ac:dyDescent="0.25"/>
    <row r="79574" s="12" customFormat="1" x14ac:dyDescent="0.25"/>
    <row r="79575" s="12" customFormat="1" x14ac:dyDescent="0.25"/>
    <row r="79576" s="12" customFormat="1" x14ac:dyDescent="0.25"/>
    <row r="79577" s="12" customFormat="1" x14ac:dyDescent="0.25"/>
    <row r="79578" s="12" customFormat="1" x14ac:dyDescent="0.25"/>
    <row r="79579" s="12" customFormat="1" x14ac:dyDescent="0.25"/>
    <row r="79580" s="12" customFormat="1" x14ac:dyDescent="0.25"/>
    <row r="79581" s="12" customFormat="1" x14ac:dyDescent="0.25"/>
    <row r="79582" s="12" customFormat="1" x14ac:dyDescent="0.25"/>
    <row r="79583" s="12" customFormat="1" x14ac:dyDescent="0.25"/>
    <row r="79584" s="12" customFormat="1" x14ac:dyDescent="0.25"/>
    <row r="79585" s="12" customFormat="1" x14ac:dyDescent="0.25"/>
    <row r="79586" s="12" customFormat="1" x14ac:dyDescent="0.25"/>
    <row r="79587" s="12" customFormat="1" x14ac:dyDescent="0.25"/>
    <row r="79588" s="12" customFormat="1" x14ac:dyDescent="0.25"/>
    <row r="79589" s="12" customFormat="1" x14ac:dyDescent="0.25"/>
    <row r="79590" s="12" customFormat="1" x14ac:dyDescent="0.25"/>
    <row r="79591" s="12" customFormat="1" x14ac:dyDescent="0.25"/>
    <row r="79592" s="12" customFormat="1" x14ac:dyDescent="0.25"/>
    <row r="79593" s="12" customFormat="1" x14ac:dyDescent="0.25"/>
    <row r="79594" s="12" customFormat="1" x14ac:dyDescent="0.25"/>
    <row r="79595" s="12" customFormat="1" x14ac:dyDescent="0.25"/>
    <row r="79596" s="12" customFormat="1" x14ac:dyDescent="0.25"/>
    <row r="79597" s="12" customFormat="1" x14ac:dyDescent="0.25"/>
    <row r="79598" s="12" customFormat="1" x14ac:dyDescent="0.25"/>
    <row r="79599" s="12" customFormat="1" x14ac:dyDescent="0.25"/>
    <row r="79600" s="12" customFormat="1" x14ac:dyDescent="0.25"/>
    <row r="79601" s="12" customFormat="1" x14ac:dyDescent="0.25"/>
    <row r="79602" s="12" customFormat="1" x14ac:dyDescent="0.25"/>
    <row r="79603" s="12" customFormat="1" x14ac:dyDescent="0.25"/>
    <row r="79604" s="12" customFormat="1" x14ac:dyDescent="0.25"/>
    <row r="79605" s="12" customFormat="1" x14ac:dyDescent="0.25"/>
    <row r="79606" s="12" customFormat="1" x14ac:dyDescent="0.25"/>
    <row r="79607" s="12" customFormat="1" x14ac:dyDescent="0.25"/>
    <row r="79608" s="12" customFormat="1" x14ac:dyDescent="0.25"/>
    <row r="79609" s="12" customFormat="1" x14ac:dyDescent="0.25"/>
    <row r="79610" s="12" customFormat="1" x14ac:dyDescent="0.25"/>
    <row r="79611" s="12" customFormat="1" x14ac:dyDescent="0.25"/>
    <row r="79612" s="12" customFormat="1" x14ac:dyDescent="0.25"/>
    <row r="79613" s="12" customFormat="1" x14ac:dyDescent="0.25"/>
    <row r="79614" s="12" customFormat="1" x14ac:dyDescent="0.25"/>
    <row r="79615" s="12" customFormat="1" x14ac:dyDescent="0.25"/>
    <row r="79616" s="12" customFormat="1" x14ac:dyDescent="0.25"/>
    <row r="79617" s="12" customFormat="1" x14ac:dyDescent="0.25"/>
    <row r="79618" s="12" customFormat="1" x14ac:dyDescent="0.25"/>
    <row r="79619" s="12" customFormat="1" x14ac:dyDescent="0.25"/>
    <row r="79620" s="12" customFormat="1" x14ac:dyDescent="0.25"/>
    <row r="79621" s="12" customFormat="1" x14ac:dyDescent="0.25"/>
    <row r="79622" s="12" customFormat="1" x14ac:dyDescent="0.25"/>
    <row r="79623" s="12" customFormat="1" x14ac:dyDescent="0.25"/>
    <row r="79624" s="12" customFormat="1" x14ac:dyDescent="0.25"/>
    <row r="79625" s="12" customFormat="1" x14ac:dyDescent="0.25"/>
    <row r="79626" s="12" customFormat="1" x14ac:dyDescent="0.25"/>
    <row r="79627" s="12" customFormat="1" x14ac:dyDescent="0.25"/>
    <row r="79628" s="12" customFormat="1" x14ac:dyDescent="0.25"/>
    <row r="79629" s="12" customFormat="1" x14ac:dyDescent="0.25"/>
    <row r="79630" s="12" customFormat="1" x14ac:dyDescent="0.25"/>
    <row r="79631" s="12" customFormat="1" x14ac:dyDescent="0.25"/>
    <row r="79632" s="12" customFormat="1" x14ac:dyDescent="0.25"/>
    <row r="79633" s="12" customFormat="1" x14ac:dyDescent="0.25"/>
    <row r="79634" s="12" customFormat="1" x14ac:dyDescent="0.25"/>
    <row r="79635" s="12" customFormat="1" x14ac:dyDescent="0.25"/>
    <row r="79636" s="12" customFormat="1" x14ac:dyDescent="0.25"/>
    <row r="79637" s="12" customFormat="1" x14ac:dyDescent="0.25"/>
    <row r="79638" s="12" customFormat="1" x14ac:dyDescent="0.25"/>
    <row r="79639" s="12" customFormat="1" x14ac:dyDescent="0.25"/>
    <row r="79640" s="12" customFormat="1" x14ac:dyDescent="0.25"/>
    <row r="79641" s="12" customFormat="1" x14ac:dyDescent="0.25"/>
    <row r="79642" s="12" customFormat="1" x14ac:dyDescent="0.25"/>
    <row r="79643" s="12" customFormat="1" x14ac:dyDescent="0.25"/>
    <row r="79644" s="12" customFormat="1" x14ac:dyDescent="0.25"/>
    <row r="79645" s="12" customFormat="1" x14ac:dyDescent="0.25"/>
    <row r="79646" s="12" customFormat="1" x14ac:dyDescent="0.25"/>
    <row r="79647" s="12" customFormat="1" x14ac:dyDescent="0.25"/>
    <row r="79648" s="12" customFormat="1" x14ac:dyDescent="0.25"/>
    <row r="79649" s="12" customFormat="1" x14ac:dyDescent="0.25"/>
    <row r="79650" s="12" customFormat="1" x14ac:dyDescent="0.25"/>
    <row r="79651" s="12" customFormat="1" x14ac:dyDescent="0.25"/>
    <row r="79652" s="12" customFormat="1" x14ac:dyDescent="0.25"/>
    <row r="79653" s="12" customFormat="1" x14ac:dyDescent="0.25"/>
    <row r="79654" s="12" customFormat="1" x14ac:dyDescent="0.25"/>
    <row r="79655" s="12" customFormat="1" x14ac:dyDescent="0.25"/>
    <row r="79656" s="12" customFormat="1" x14ac:dyDescent="0.25"/>
    <row r="79657" s="12" customFormat="1" x14ac:dyDescent="0.25"/>
    <row r="79658" s="12" customFormat="1" x14ac:dyDescent="0.25"/>
    <row r="79659" s="12" customFormat="1" x14ac:dyDescent="0.25"/>
    <row r="79660" s="12" customFormat="1" x14ac:dyDescent="0.25"/>
    <row r="79661" s="12" customFormat="1" x14ac:dyDescent="0.25"/>
    <row r="79662" s="12" customFormat="1" x14ac:dyDescent="0.25"/>
    <row r="79663" s="12" customFormat="1" x14ac:dyDescent="0.25"/>
    <row r="79664" s="12" customFormat="1" x14ac:dyDescent="0.25"/>
    <row r="79665" s="12" customFormat="1" x14ac:dyDescent="0.25"/>
    <row r="79666" s="12" customFormat="1" x14ac:dyDescent="0.25"/>
    <row r="79667" s="12" customFormat="1" x14ac:dyDescent="0.25"/>
    <row r="79668" s="12" customFormat="1" x14ac:dyDescent="0.25"/>
    <row r="79669" s="12" customFormat="1" x14ac:dyDescent="0.25"/>
    <row r="79670" s="12" customFormat="1" x14ac:dyDescent="0.25"/>
    <row r="79671" s="12" customFormat="1" x14ac:dyDescent="0.25"/>
    <row r="79672" s="12" customFormat="1" x14ac:dyDescent="0.25"/>
    <row r="79673" s="12" customFormat="1" x14ac:dyDescent="0.25"/>
    <row r="79674" s="12" customFormat="1" x14ac:dyDescent="0.25"/>
    <row r="79675" s="12" customFormat="1" x14ac:dyDescent="0.25"/>
    <row r="79676" s="12" customFormat="1" x14ac:dyDescent="0.25"/>
    <row r="79677" s="12" customFormat="1" x14ac:dyDescent="0.25"/>
    <row r="79678" s="12" customFormat="1" x14ac:dyDescent="0.25"/>
    <row r="79679" s="12" customFormat="1" x14ac:dyDescent="0.25"/>
    <row r="79680" s="12" customFormat="1" x14ac:dyDescent="0.25"/>
    <row r="79681" s="12" customFormat="1" x14ac:dyDescent="0.25"/>
    <row r="79682" s="12" customFormat="1" x14ac:dyDescent="0.25"/>
    <row r="79683" s="12" customFormat="1" x14ac:dyDescent="0.25"/>
    <row r="79684" s="12" customFormat="1" x14ac:dyDescent="0.25"/>
    <row r="79685" s="12" customFormat="1" x14ac:dyDescent="0.25"/>
    <row r="79686" s="12" customFormat="1" x14ac:dyDescent="0.25"/>
    <row r="79687" s="12" customFormat="1" x14ac:dyDescent="0.25"/>
    <row r="79688" s="12" customFormat="1" x14ac:dyDescent="0.25"/>
    <row r="79689" s="12" customFormat="1" x14ac:dyDescent="0.25"/>
    <row r="79690" s="12" customFormat="1" x14ac:dyDescent="0.25"/>
    <row r="79691" s="12" customFormat="1" x14ac:dyDescent="0.25"/>
    <row r="79692" s="12" customFormat="1" x14ac:dyDescent="0.25"/>
    <row r="79693" s="12" customFormat="1" x14ac:dyDescent="0.25"/>
    <row r="79694" s="12" customFormat="1" x14ac:dyDescent="0.25"/>
    <row r="79695" s="12" customFormat="1" x14ac:dyDescent="0.25"/>
    <row r="79696" s="12" customFormat="1" x14ac:dyDescent="0.25"/>
    <row r="79697" s="12" customFormat="1" x14ac:dyDescent="0.25"/>
    <row r="79698" s="12" customFormat="1" x14ac:dyDescent="0.25"/>
    <row r="79699" s="12" customFormat="1" x14ac:dyDescent="0.25"/>
    <row r="79700" s="12" customFormat="1" x14ac:dyDescent="0.25"/>
    <row r="79701" s="12" customFormat="1" x14ac:dyDescent="0.25"/>
    <row r="79702" s="12" customFormat="1" x14ac:dyDescent="0.25"/>
    <row r="79703" s="12" customFormat="1" x14ac:dyDescent="0.25"/>
    <row r="79704" s="12" customFormat="1" x14ac:dyDescent="0.25"/>
    <row r="79705" s="12" customFormat="1" x14ac:dyDescent="0.25"/>
    <row r="79706" s="12" customFormat="1" x14ac:dyDescent="0.25"/>
    <row r="79707" s="12" customFormat="1" x14ac:dyDescent="0.25"/>
    <row r="79708" s="12" customFormat="1" x14ac:dyDescent="0.25"/>
    <row r="79709" s="12" customFormat="1" x14ac:dyDescent="0.25"/>
    <row r="79710" s="12" customFormat="1" x14ac:dyDescent="0.25"/>
    <row r="79711" s="12" customFormat="1" x14ac:dyDescent="0.25"/>
    <row r="79712" s="12" customFormat="1" x14ac:dyDescent="0.25"/>
    <row r="79713" s="12" customFormat="1" x14ac:dyDescent="0.25"/>
    <row r="79714" s="12" customFormat="1" x14ac:dyDescent="0.25"/>
    <row r="79715" s="12" customFormat="1" x14ac:dyDescent="0.25"/>
    <row r="79716" s="12" customFormat="1" x14ac:dyDescent="0.25"/>
    <row r="79717" s="12" customFormat="1" x14ac:dyDescent="0.25"/>
    <row r="79718" s="12" customFormat="1" x14ac:dyDescent="0.25"/>
    <row r="79719" s="12" customFormat="1" x14ac:dyDescent="0.25"/>
    <row r="79720" s="12" customFormat="1" x14ac:dyDescent="0.25"/>
    <row r="79721" s="12" customFormat="1" x14ac:dyDescent="0.25"/>
    <row r="79722" s="12" customFormat="1" x14ac:dyDescent="0.25"/>
    <row r="79723" s="12" customFormat="1" x14ac:dyDescent="0.25"/>
    <row r="79724" s="12" customFormat="1" x14ac:dyDescent="0.25"/>
    <row r="79725" s="12" customFormat="1" x14ac:dyDescent="0.25"/>
    <row r="79726" s="12" customFormat="1" x14ac:dyDescent="0.25"/>
    <row r="79727" s="12" customFormat="1" x14ac:dyDescent="0.25"/>
    <row r="79728" s="12" customFormat="1" x14ac:dyDescent="0.25"/>
    <row r="79729" s="12" customFormat="1" x14ac:dyDescent="0.25"/>
    <row r="79730" s="12" customFormat="1" x14ac:dyDescent="0.25"/>
    <row r="79731" s="12" customFormat="1" x14ac:dyDescent="0.25"/>
    <row r="79732" s="12" customFormat="1" x14ac:dyDescent="0.25"/>
    <row r="79733" s="12" customFormat="1" x14ac:dyDescent="0.25"/>
    <row r="79734" s="12" customFormat="1" x14ac:dyDescent="0.25"/>
    <row r="79735" s="12" customFormat="1" x14ac:dyDescent="0.25"/>
    <row r="79736" s="12" customFormat="1" x14ac:dyDescent="0.25"/>
    <row r="79737" s="12" customFormat="1" x14ac:dyDescent="0.25"/>
    <row r="79738" s="12" customFormat="1" x14ac:dyDescent="0.25"/>
    <row r="79739" s="12" customFormat="1" x14ac:dyDescent="0.25"/>
    <row r="79740" s="12" customFormat="1" x14ac:dyDescent="0.25"/>
    <row r="79741" s="12" customFormat="1" x14ac:dyDescent="0.25"/>
    <row r="79742" s="12" customFormat="1" x14ac:dyDescent="0.25"/>
    <row r="79743" s="12" customFormat="1" x14ac:dyDescent="0.25"/>
    <row r="79744" s="12" customFormat="1" x14ac:dyDescent="0.25"/>
    <row r="79745" s="12" customFormat="1" x14ac:dyDescent="0.25"/>
    <row r="79746" s="12" customFormat="1" x14ac:dyDescent="0.25"/>
    <row r="79747" s="12" customFormat="1" x14ac:dyDescent="0.25"/>
    <row r="79748" s="12" customFormat="1" x14ac:dyDescent="0.25"/>
    <row r="79749" s="12" customFormat="1" x14ac:dyDescent="0.25"/>
    <row r="79750" s="12" customFormat="1" x14ac:dyDescent="0.25"/>
    <row r="79751" s="12" customFormat="1" x14ac:dyDescent="0.25"/>
    <row r="79752" s="12" customFormat="1" x14ac:dyDescent="0.25"/>
    <row r="79753" s="12" customFormat="1" x14ac:dyDescent="0.25"/>
    <row r="79754" s="12" customFormat="1" x14ac:dyDescent="0.25"/>
    <row r="79755" s="12" customFormat="1" x14ac:dyDescent="0.25"/>
    <row r="79756" s="12" customFormat="1" x14ac:dyDescent="0.25"/>
    <row r="79757" s="12" customFormat="1" x14ac:dyDescent="0.25"/>
    <row r="79758" s="12" customFormat="1" x14ac:dyDescent="0.25"/>
    <row r="79759" s="12" customFormat="1" x14ac:dyDescent="0.25"/>
    <row r="79760" s="12" customFormat="1" x14ac:dyDescent="0.25"/>
    <row r="79761" s="12" customFormat="1" x14ac:dyDescent="0.25"/>
    <row r="79762" s="12" customFormat="1" x14ac:dyDescent="0.25"/>
    <row r="79763" s="12" customFormat="1" x14ac:dyDescent="0.25"/>
    <row r="79764" s="12" customFormat="1" x14ac:dyDescent="0.25"/>
    <row r="79765" s="12" customFormat="1" x14ac:dyDescent="0.25"/>
    <row r="79766" s="12" customFormat="1" x14ac:dyDescent="0.25"/>
    <row r="79767" s="12" customFormat="1" x14ac:dyDescent="0.25"/>
    <row r="79768" s="12" customFormat="1" x14ac:dyDescent="0.25"/>
    <row r="79769" s="12" customFormat="1" x14ac:dyDescent="0.25"/>
    <row r="79770" s="12" customFormat="1" x14ac:dyDescent="0.25"/>
    <row r="79771" s="12" customFormat="1" x14ac:dyDescent="0.25"/>
    <row r="79772" s="12" customFormat="1" x14ac:dyDescent="0.25"/>
    <row r="79773" s="12" customFormat="1" x14ac:dyDescent="0.25"/>
    <row r="79774" s="12" customFormat="1" x14ac:dyDescent="0.25"/>
    <row r="79775" s="12" customFormat="1" x14ac:dyDescent="0.25"/>
    <row r="79776" s="12" customFormat="1" x14ac:dyDescent="0.25"/>
    <row r="79777" s="12" customFormat="1" x14ac:dyDescent="0.25"/>
    <row r="79778" s="12" customFormat="1" x14ac:dyDescent="0.25"/>
    <row r="79779" s="12" customFormat="1" x14ac:dyDescent="0.25"/>
    <row r="79780" s="12" customFormat="1" x14ac:dyDescent="0.25"/>
    <row r="79781" s="12" customFormat="1" x14ac:dyDescent="0.25"/>
    <row r="79782" s="12" customFormat="1" x14ac:dyDescent="0.25"/>
    <row r="79783" s="12" customFormat="1" x14ac:dyDescent="0.25"/>
    <row r="79784" s="12" customFormat="1" x14ac:dyDescent="0.25"/>
    <row r="79785" s="12" customFormat="1" x14ac:dyDescent="0.25"/>
    <row r="79786" s="12" customFormat="1" x14ac:dyDescent="0.25"/>
    <row r="79787" s="12" customFormat="1" x14ac:dyDescent="0.25"/>
    <row r="79788" s="12" customFormat="1" x14ac:dyDescent="0.25"/>
    <row r="79789" s="12" customFormat="1" x14ac:dyDescent="0.25"/>
    <row r="79790" s="12" customFormat="1" x14ac:dyDescent="0.25"/>
    <row r="79791" s="12" customFormat="1" x14ac:dyDescent="0.25"/>
    <row r="79792" s="12" customFormat="1" x14ac:dyDescent="0.25"/>
    <row r="79793" s="12" customFormat="1" x14ac:dyDescent="0.25"/>
    <row r="79794" s="12" customFormat="1" x14ac:dyDescent="0.25"/>
    <row r="79795" s="12" customFormat="1" x14ac:dyDescent="0.25"/>
    <row r="79796" s="12" customFormat="1" x14ac:dyDescent="0.25"/>
    <row r="79797" s="12" customFormat="1" x14ac:dyDescent="0.25"/>
    <row r="79798" s="12" customFormat="1" x14ac:dyDescent="0.25"/>
    <row r="79799" s="12" customFormat="1" x14ac:dyDescent="0.25"/>
    <row r="79800" s="12" customFormat="1" x14ac:dyDescent="0.25"/>
    <row r="79801" s="12" customFormat="1" x14ac:dyDescent="0.25"/>
    <row r="79802" s="12" customFormat="1" x14ac:dyDescent="0.25"/>
    <row r="79803" s="12" customFormat="1" x14ac:dyDescent="0.25"/>
    <row r="79804" s="12" customFormat="1" x14ac:dyDescent="0.25"/>
    <row r="79805" s="12" customFormat="1" x14ac:dyDescent="0.25"/>
    <row r="79806" s="12" customFormat="1" x14ac:dyDescent="0.25"/>
    <row r="79807" s="12" customFormat="1" x14ac:dyDescent="0.25"/>
    <row r="79808" s="12" customFormat="1" x14ac:dyDescent="0.25"/>
    <row r="79809" s="12" customFormat="1" x14ac:dyDescent="0.25"/>
    <row r="79810" s="12" customFormat="1" x14ac:dyDescent="0.25"/>
    <row r="79811" s="12" customFormat="1" x14ac:dyDescent="0.25"/>
    <row r="79812" s="12" customFormat="1" x14ac:dyDescent="0.25"/>
    <row r="79813" s="12" customFormat="1" x14ac:dyDescent="0.25"/>
    <row r="79814" s="12" customFormat="1" x14ac:dyDescent="0.25"/>
    <row r="79815" s="12" customFormat="1" x14ac:dyDescent="0.25"/>
    <row r="79816" s="12" customFormat="1" x14ac:dyDescent="0.25"/>
    <row r="79817" s="12" customFormat="1" x14ac:dyDescent="0.25"/>
    <row r="79818" s="12" customFormat="1" x14ac:dyDescent="0.25"/>
    <row r="79819" s="12" customFormat="1" x14ac:dyDescent="0.25"/>
    <row r="79820" s="12" customFormat="1" x14ac:dyDescent="0.25"/>
    <row r="79821" s="12" customFormat="1" x14ac:dyDescent="0.25"/>
    <row r="79822" s="12" customFormat="1" x14ac:dyDescent="0.25"/>
    <row r="79823" s="12" customFormat="1" x14ac:dyDescent="0.25"/>
    <row r="79824" s="12" customFormat="1" x14ac:dyDescent="0.25"/>
    <row r="79825" s="12" customFormat="1" x14ac:dyDescent="0.25"/>
    <row r="79826" s="12" customFormat="1" x14ac:dyDescent="0.25"/>
    <row r="79827" s="12" customFormat="1" x14ac:dyDescent="0.25"/>
    <row r="79828" s="12" customFormat="1" x14ac:dyDescent="0.25"/>
    <row r="79829" s="12" customFormat="1" x14ac:dyDescent="0.25"/>
    <row r="79830" s="12" customFormat="1" x14ac:dyDescent="0.25"/>
    <row r="79831" s="12" customFormat="1" x14ac:dyDescent="0.25"/>
    <row r="79832" s="12" customFormat="1" x14ac:dyDescent="0.25"/>
    <row r="79833" s="12" customFormat="1" x14ac:dyDescent="0.25"/>
    <row r="79834" s="12" customFormat="1" x14ac:dyDescent="0.25"/>
    <row r="79835" s="12" customFormat="1" x14ac:dyDescent="0.25"/>
    <row r="79836" s="12" customFormat="1" x14ac:dyDescent="0.25"/>
    <row r="79837" s="12" customFormat="1" x14ac:dyDescent="0.25"/>
    <row r="79838" s="12" customFormat="1" x14ac:dyDescent="0.25"/>
    <row r="79839" s="12" customFormat="1" x14ac:dyDescent="0.25"/>
    <row r="79840" s="12" customFormat="1" x14ac:dyDescent="0.25"/>
    <row r="79841" s="12" customFormat="1" x14ac:dyDescent="0.25"/>
    <row r="79842" s="12" customFormat="1" x14ac:dyDescent="0.25"/>
    <row r="79843" s="12" customFormat="1" x14ac:dyDescent="0.25"/>
    <row r="79844" s="12" customFormat="1" x14ac:dyDescent="0.25"/>
    <row r="79845" s="12" customFormat="1" x14ac:dyDescent="0.25"/>
    <row r="79846" s="12" customFormat="1" x14ac:dyDescent="0.25"/>
    <row r="79847" s="12" customFormat="1" x14ac:dyDescent="0.25"/>
    <row r="79848" s="12" customFormat="1" x14ac:dyDescent="0.25"/>
    <row r="79849" s="12" customFormat="1" x14ac:dyDescent="0.25"/>
    <row r="79850" s="12" customFormat="1" x14ac:dyDescent="0.25"/>
    <row r="79851" s="12" customFormat="1" x14ac:dyDescent="0.25"/>
    <row r="79852" s="12" customFormat="1" x14ac:dyDescent="0.25"/>
    <row r="79853" s="12" customFormat="1" x14ac:dyDescent="0.25"/>
    <row r="79854" s="12" customFormat="1" x14ac:dyDescent="0.25"/>
    <row r="79855" s="12" customFormat="1" x14ac:dyDescent="0.25"/>
    <row r="79856" s="12" customFormat="1" x14ac:dyDescent="0.25"/>
    <row r="79857" s="12" customFormat="1" x14ac:dyDescent="0.25"/>
    <row r="79858" s="12" customFormat="1" x14ac:dyDescent="0.25"/>
    <row r="79859" s="12" customFormat="1" x14ac:dyDescent="0.25"/>
    <row r="79860" s="12" customFormat="1" x14ac:dyDescent="0.25"/>
    <row r="79861" s="12" customFormat="1" x14ac:dyDescent="0.25"/>
    <row r="79862" s="12" customFormat="1" x14ac:dyDescent="0.25"/>
    <row r="79863" s="12" customFormat="1" x14ac:dyDescent="0.25"/>
    <row r="79864" s="12" customFormat="1" x14ac:dyDescent="0.25"/>
    <row r="79865" s="12" customFormat="1" x14ac:dyDescent="0.25"/>
    <row r="79866" s="12" customFormat="1" x14ac:dyDescent="0.25"/>
    <row r="79867" s="12" customFormat="1" x14ac:dyDescent="0.25"/>
    <row r="79868" s="12" customFormat="1" x14ac:dyDescent="0.25"/>
    <row r="79869" s="12" customFormat="1" x14ac:dyDescent="0.25"/>
    <row r="79870" s="12" customFormat="1" x14ac:dyDescent="0.25"/>
    <row r="79871" s="12" customFormat="1" x14ac:dyDescent="0.25"/>
    <row r="79872" s="12" customFormat="1" x14ac:dyDescent="0.25"/>
    <row r="79873" s="12" customFormat="1" x14ac:dyDescent="0.25"/>
    <row r="79874" s="12" customFormat="1" x14ac:dyDescent="0.25"/>
    <row r="79875" s="12" customFormat="1" x14ac:dyDescent="0.25"/>
    <row r="79876" s="12" customFormat="1" x14ac:dyDescent="0.25"/>
    <row r="79877" s="12" customFormat="1" x14ac:dyDescent="0.25"/>
    <row r="79878" s="12" customFormat="1" x14ac:dyDescent="0.25"/>
    <row r="79879" s="12" customFormat="1" x14ac:dyDescent="0.25"/>
    <row r="79880" s="12" customFormat="1" x14ac:dyDescent="0.25"/>
    <row r="79881" s="12" customFormat="1" x14ac:dyDescent="0.25"/>
    <row r="79882" s="12" customFormat="1" x14ac:dyDescent="0.25"/>
    <row r="79883" s="12" customFormat="1" x14ac:dyDescent="0.25"/>
    <row r="79884" s="12" customFormat="1" x14ac:dyDescent="0.25"/>
    <row r="79885" s="12" customFormat="1" x14ac:dyDescent="0.25"/>
    <row r="79886" s="12" customFormat="1" x14ac:dyDescent="0.25"/>
    <row r="79887" s="12" customFormat="1" x14ac:dyDescent="0.25"/>
    <row r="79888" s="12" customFormat="1" x14ac:dyDescent="0.25"/>
    <row r="79889" s="12" customFormat="1" x14ac:dyDescent="0.25"/>
    <row r="79890" s="12" customFormat="1" x14ac:dyDescent="0.25"/>
    <row r="79891" s="12" customFormat="1" x14ac:dyDescent="0.25"/>
    <row r="79892" s="12" customFormat="1" x14ac:dyDescent="0.25"/>
    <row r="79893" s="12" customFormat="1" x14ac:dyDescent="0.25"/>
    <row r="79894" s="12" customFormat="1" x14ac:dyDescent="0.25"/>
    <row r="79895" s="12" customFormat="1" x14ac:dyDescent="0.25"/>
    <row r="79896" s="12" customFormat="1" x14ac:dyDescent="0.25"/>
    <row r="79897" s="12" customFormat="1" x14ac:dyDescent="0.25"/>
    <row r="79898" s="12" customFormat="1" x14ac:dyDescent="0.25"/>
    <row r="79899" s="12" customFormat="1" x14ac:dyDescent="0.25"/>
    <row r="79900" s="12" customFormat="1" x14ac:dyDescent="0.25"/>
    <row r="79901" s="12" customFormat="1" x14ac:dyDescent="0.25"/>
    <row r="79902" s="12" customFormat="1" x14ac:dyDescent="0.25"/>
    <row r="79903" s="12" customFormat="1" x14ac:dyDescent="0.25"/>
    <row r="79904" s="12" customFormat="1" x14ac:dyDescent="0.25"/>
    <row r="79905" s="12" customFormat="1" x14ac:dyDescent="0.25"/>
    <row r="79906" s="12" customFormat="1" x14ac:dyDescent="0.25"/>
    <row r="79907" s="12" customFormat="1" x14ac:dyDescent="0.25"/>
    <row r="79908" s="12" customFormat="1" x14ac:dyDescent="0.25"/>
    <row r="79909" s="12" customFormat="1" x14ac:dyDescent="0.25"/>
    <row r="79910" s="12" customFormat="1" x14ac:dyDescent="0.25"/>
    <row r="79911" s="12" customFormat="1" x14ac:dyDescent="0.25"/>
    <row r="79912" s="12" customFormat="1" x14ac:dyDescent="0.25"/>
    <row r="79913" s="12" customFormat="1" x14ac:dyDescent="0.25"/>
    <row r="79914" s="12" customFormat="1" x14ac:dyDescent="0.25"/>
    <row r="79915" s="12" customFormat="1" x14ac:dyDescent="0.25"/>
    <row r="79916" s="12" customFormat="1" x14ac:dyDescent="0.25"/>
    <row r="79917" s="12" customFormat="1" x14ac:dyDescent="0.25"/>
    <row r="79918" s="12" customFormat="1" x14ac:dyDescent="0.25"/>
    <row r="79919" s="12" customFormat="1" x14ac:dyDescent="0.25"/>
    <row r="79920" s="12" customFormat="1" x14ac:dyDescent="0.25"/>
    <row r="79921" s="12" customFormat="1" x14ac:dyDescent="0.25"/>
    <row r="79922" s="12" customFormat="1" x14ac:dyDescent="0.25"/>
    <row r="79923" s="12" customFormat="1" x14ac:dyDescent="0.25"/>
    <row r="79924" s="12" customFormat="1" x14ac:dyDescent="0.25"/>
    <row r="79925" s="12" customFormat="1" x14ac:dyDescent="0.25"/>
    <row r="79926" s="12" customFormat="1" x14ac:dyDescent="0.25"/>
    <row r="79927" s="12" customFormat="1" x14ac:dyDescent="0.25"/>
    <row r="79928" s="12" customFormat="1" x14ac:dyDescent="0.25"/>
    <row r="79929" s="12" customFormat="1" x14ac:dyDescent="0.25"/>
    <row r="79930" s="12" customFormat="1" x14ac:dyDescent="0.25"/>
    <row r="79931" s="12" customFormat="1" x14ac:dyDescent="0.25"/>
    <row r="79932" s="12" customFormat="1" x14ac:dyDescent="0.25"/>
    <row r="79933" s="12" customFormat="1" x14ac:dyDescent="0.25"/>
    <row r="79934" s="12" customFormat="1" x14ac:dyDescent="0.25"/>
    <row r="79935" s="12" customFormat="1" x14ac:dyDescent="0.25"/>
    <row r="79936" s="12" customFormat="1" x14ac:dyDescent="0.25"/>
    <row r="79937" s="12" customFormat="1" x14ac:dyDescent="0.25"/>
    <row r="79938" s="12" customFormat="1" x14ac:dyDescent="0.25"/>
    <row r="79939" s="12" customFormat="1" x14ac:dyDescent="0.25"/>
    <row r="79940" s="12" customFormat="1" x14ac:dyDescent="0.25"/>
    <row r="79941" s="12" customFormat="1" x14ac:dyDescent="0.25"/>
    <row r="79942" s="12" customFormat="1" x14ac:dyDescent="0.25"/>
    <row r="79943" s="12" customFormat="1" x14ac:dyDescent="0.25"/>
    <row r="79944" s="12" customFormat="1" x14ac:dyDescent="0.25"/>
    <row r="79945" s="12" customFormat="1" x14ac:dyDescent="0.25"/>
    <row r="79946" s="12" customFormat="1" x14ac:dyDescent="0.25"/>
    <row r="79947" s="12" customFormat="1" x14ac:dyDescent="0.25"/>
    <row r="79948" s="12" customFormat="1" x14ac:dyDescent="0.25"/>
    <row r="79949" s="12" customFormat="1" x14ac:dyDescent="0.25"/>
    <row r="79950" s="12" customFormat="1" x14ac:dyDescent="0.25"/>
    <row r="79951" s="12" customFormat="1" x14ac:dyDescent="0.25"/>
    <row r="79952" s="12" customFormat="1" x14ac:dyDescent="0.25"/>
    <row r="79953" s="12" customFormat="1" x14ac:dyDescent="0.25"/>
    <row r="79954" s="12" customFormat="1" x14ac:dyDescent="0.25"/>
    <row r="79955" s="12" customFormat="1" x14ac:dyDescent="0.25"/>
    <row r="79956" s="12" customFormat="1" x14ac:dyDescent="0.25"/>
    <row r="79957" s="12" customFormat="1" x14ac:dyDescent="0.25"/>
    <row r="79958" s="12" customFormat="1" x14ac:dyDescent="0.25"/>
    <row r="79959" s="12" customFormat="1" x14ac:dyDescent="0.25"/>
    <row r="79960" s="12" customFormat="1" x14ac:dyDescent="0.25"/>
    <row r="79961" s="12" customFormat="1" x14ac:dyDescent="0.25"/>
    <row r="79962" s="12" customFormat="1" x14ac:dyDescent="0.25"/>
    <row r="79963" s="12" customFormat="1" x14ac:dyDescent="0.25"/>
    <row r="79964" s="12" customFormat="1" x14ac:dyDescent="0.25"/>
    <row r="79965" s="12" customFormat="1" x14ac:dyDescent="0.25"/>
    <row r="79966" s="12" customFormat="1" x14ac:dyDescent="0.25"/>
    <row r="79967" s="12" customFormat="1" x14ac:dyDescent="0.25"/>
    <row r="79968" s="12" customFormat="1" x14ac:dyDescent="0.25"/>
    <row r="79969" s="12" customFormat="1" x14ac:dyDescent="0.25"/>
    <row r="79970" s="12" customFormat="1" x14ac:dyDescent="0.25"/>
    <row r="79971" s="12" customFormat="1" x14ac:dyDescent="0.25"/>
    <row r="79972" s="12" customFormat="1" x14ac:dyDescent="0.25"/>
    <row r="79973" s="12" customFormat="1" x14ac:dyDescent="0.25"/>
    <row r="79974" s="12" customFormat="1" x14ac:dyDescent="0.25"/>
    <row r="79975" s="12" customFormat="1" x14ac:dyDescent="0.25"/>
    <row r="79976" s="12" customFormat="1" x14ac:dyDescent="0.25"/>
    <row r="79977" s="12" customFormat="1" x14ac:dyDescent="0.25"/>
    <row r="79978" s="12" customFormat="1" x14ac:dyDescent="0.25"/>
    <row r="79979" s="12" customFormat="1" x14ac:dyDescent="0.25"/>
    <row r="79980" s="12" customFormat="1" x14ac:dyDescent="0.25"/>
    <row r="79981" s="12" customFormat="1" x14ac:dyDescent="0.25"/>
    <row r="79982" s="12" customFormat="1" x14ac:dyDescent="0.25"/>
    <row r="79983" s="12" customFormat="1" x14ac:dyDescent="0.25"/>
    <row r="79984" s="12" customFormat="1" x14ac:dyDescent="0.25"/>
    <row r="79985" s="12" customFormat="1" x14ac:dyDescent="0.25"/>
    <row r="79986" s="12" customFormat="1" x14ac:dyDescent="0.25"/>
    <row r="79987" s="12" customFormat="1" x14ac:dyDescent="0.25"/>
    <row r="79988" s="12" customFormat="1" x14ac:dyDescent="0.25"/>
    <row r="79989" s="12" customFormat="1" x14ac:dyDescent="0.25"/>
    <row r="79990" s="12" customFormat="1" x14ac:dyDescent="0.25"/>
    <row r="79991" s="12" customFormat="1" x14ac:dyDescent="0.25"/>
    <row r="79992" s="12" customFormat="1" x14ac:dyDescent="0.25"/>
    <row r="79993" s="12" customFormat="1" x14ac:dyDescent="0.25"/>
    <row r="79994" s="12" customFormat="1" x14ac:dyDescent="0.25"/>
    <row r="79995" s="12" customFormat="1" x14ac:dyDescent="0.25"/>
    <row r="79996" s="12" customFormat="1" x14ac:dyDescent="0.25"/>
    <row r="79997" s="12" customFormat="1" x14ac:dyDescent="0.25"/>
    <row r="79998" s="12" customFormat="1" x14ac:dyDescent="0.25"/>
    <row r="79999" s="12" customFormat="1" x14ac:dyDescent="0.25"/>
    <row r="80000" s="12" customFormat="1" x14ac:dyDescent="0.25"/>
    <row r="80001" s="12" customFormat="1" x14ac:dyDescent="0.25"/>
    <row r="80002" s="12" customFormat="1" x14ac:dyDescent="0.25"/>
    <row r="80003" s="12" customFormat="1" x14ac:dyDescent="0.25"/>
    <row r="80004" s="12" customFormat="1" x14ac:dyDescent="0.25"/>
    <row r="80005" s="12" customFormat="1" x14ac:dyDescent="0.25"/>
    <row r="80006" s="12" customFormat="1" x14ac:dyDescent="0.25"/>
    <row r="80007" s="12" customFormat="1" x14ac:dyDescent="0.25"/>
    <row r="80008" s="12" customFormat="1" x14ac:dyDescent="0.25"/>
    <row r="80009" s="12" customFormat="1" x14ac:dyDescent="0.25"/>
    <row r="80010" s="12" customFormat="1" x14ac:dyDescent="0.25"/>
    <row r="80011" s="12" customFormat="1" x14ac:dyDescent="0.25"/>
    <row r="80012" s="12" customFormat="1" x14ac:dyDescent="0.25"/>
    <row r="80013" s="12" customFormat="1" x14ac:dyDescent="0.25"/>
    <row r="80014" s="12" customFormat="1" x14ac:dyDescent="0.25"/>
    <row r="80015" s="12" customFormat="1" x14ac:dyDescent="0.25"/>
    <row r="80016" s="12" customFormat="1" x14ac:dyDescent="0.25"/>
    <row r="80017" s="12" customFormat="1" x14ac:dyDescent="0.25"/>
    <row r="80018" s="12" customFormat="1" x14ac:dyDescent="0.25"/>
    <row r="80019" s="12" customFormat="1" x14ac:dyDescent="0.25"/>
    <row r="80020" s="12" customFormat="1" x14ac:dyDescent="0.25"/>
    <row r="80021" s="12" customFormat="1" x14ac:dyDescent="0.25"/>
    <row r="80022" s="12" customFormat="1" x14ac:dyDescent="0.25"/>
    <row r="80023" s="12" customFormat="1" x14ac:dyDescent="0.25"/>
    <row r="80024" s="12" customFormat="1" x14ac:dyDescent="0.25"/>
    <row r="80025" s="12" customFormat="1" x14ac:dyDescent="0.25"/>
    <row r="80026" s="12" customFormat="1" x14ac:dyDescent="0.25"/>
    <row r="80027" s="12" customFormat="1" x14ac:dyDescent="0.25"/>
    <row r="80028" s="12" customFormat="1" x14ac:dyDescent="0.25"/>
    <row r="80029" s="12" customFormat="1" x14ac:dyDescent="0.25"/>
    <row r="80030" s="12" customFormat="1" x14ac:dyDescent="0.25"/>
    <row r="80031" s="12" customFormat="1" x14ac:dyDescent="0.25"/>
    <row r="80032" s="12" customFormat="1" x14ac:dyDescent="0.25"/>
    <row r="80033" s="12" customFormat="1" x14ac:dyDescent="0.25"/>
    <row r="80034" s="12" customFormat="1" x14ac:dyDescent="0.25"/>
    <row r="80035" s="12" customFormat="1" x14ac:dyDescent="0.25"/>
    <row r="80036" s="12" customFormat="1" x14ac:dyDescent="0.25"/>
    <row r="80037" s="12" customFormat="1" x14ac:dyDescent="0.25"/>
    <row r="80038" s="12" customFormat="1" x14ac:dyDescent="0.25"/>
    <row r="80039" s="12" customFormat="1" x14ac:dyDescent="0.25"/>
    <row r="80040" s="12" customFormat="1" x14ac:dyDescent="0.25"/>
    <row r="80041" s="12" customFormat="1" x14ac:dyDescent="0.25"/>
    <row r="80042" s="12" customFormat="1" x14ac:dyDescent="0.25"/>
    <row r="80043" s="12" customFormat="1" x14ac:dyDescent="0.25"/>
    <row r="80044" s="12" customFormat="1" x14ac:dyDescent="0.25"/>
    <row r="80045" s="12" customFormat="1" x14ac:dyDescent="0.25"/>
    <row r="80046" s="12" customFormat="1" x14ac:dyDescent="0.25"/>
    <row r="80047" s="12" customFormat="1" x14ac:dyDescent="0.25"/>
    <row r="80048" s="12" customFormat="1" x14ac:dyDescent="0.25"/>
    <row r="80049" s="12" customFormat="1" x14ac:dyDescent="0.25"/>
    <row r="80050" s="12" customFormat="1" x14ac:dyDescent="0.25"/>
    <row r="80051" s="12" customFormat="1" x14ac:dyDescent="0.25"/>
    <row r="80052" s="12" customFormat="1" x14ac:dyDescent="0.25"/>
    <row r="80053" s="12" customFormat="1" x14ac:dyDescent="0.25"/>
    <row r="80054" s="12" customFormat="1" x14ac:dyDescent="0.25"/>
    <row r="80055" s="12" customFormat="1" x14ac:dyDescent="0.25"/>
    <row r="80056" s="12" customFormat="1" x14ac:dyDescent="0.25"/>
    <row r="80057" s="12" customFormat="1" x14ac:dyDescent="0.25"/>
    <row r="80058" s="12" customFormat="1" x14ac:dyDescent="0.25"/>
    <row r="80059" s="12" customFormat="1" x14ac:dyDescent="0.25"/>
    <row r="80060" s="12" customFormat="1" x14ac:dyDescent="0.25"/>
    <row r="80061" s="12" customFormat="1" x14ac:dyDescent="0.25"/>
    <row r="80062" s="12" customFormat="1" x14ac:dyDescent="0.25"/>
    <row r="80063" s="12" customFormat="1" x14ac:dyDescent="0.25"/>
    <row r="80064" s="12" customFormat="1" x14ac:dyDescent="0.25"/>
    <row r="80065" s="12" customFormat="1" x14ac:dyDescent="0.25"/>
    <row r="80066" s="12" customFormat="1" x14ac:dyDescent="0.25"/>
    <row r="80067" s="12" customFormat="1" x14ac:dyDescent="0.25"/>
    <row r="80068" s="12" customFormat="1" x14ac:dyDescent="0.25"/>
    <row r="80069" s="12" customFormat="1" x14ac:dyDescent="0.25"/>
    <row r="80070" s="12" customFormat="1" x14ac:dyDescent="0.25"/>
    <row r="80071" s="12" customFormat="1" x14ac:dyDescent="0.25"/>
    <row r="80072" s="12" customFormat="1" x14ac:dyDescent="0.25"/>
    <row r="80073" s="12" customFormat="1" x14ac:dyDescent="0.25"/>
    <row r="80074" s="12" customFormat="1" x14ac:dyDescent="0.25"/>
    <row r="80075" s="12" customFormat="1" x14ac:dyDescent="0.25"/>
    <row r="80076" s="12" customFormat="1" x14ac:dyDescent="0.25"/>
    <row r="80077" s="12" customFormat="1" x14ac:dyDescent="0.25"/>
    <row r="80078" s="12" customFormat="1" x14ac:dyDescent="0.25"/>
    <row r="80079" s="12" customFormat="1" x14ac:dyDescent="0.25"/>
    <row r="80080" s="12" customFormat="1" x14ac:dyDescent="0.25"/>
    <row r="80081" s="12" customFormat="1" x14ac:dyDescent="0.25"/>
    <row r="80082" s="12" customFormat="1" x14ac:dyDescent="0.25"/>
    <row r="80083" s="12" customFormat="1" x14ac:dyDescent="0.25"/>
    <row r="80084" s="12" customFormat="1" x14ac:dyDescent="0.25"/>
    <row r="80085" s="12" customFormat="1" x14ac:dyDescent="0.25"/>
    <row r="80086" s="12" customFormat="1" x14ac:dyDescent="0.25"/>
    <row r="80087" s="12" customFormat="1" x14ac:dyDescent="0.25"/>
    <row r="80088" s="12" customFormat="1" x14ac:dyDescent="0.25"/>
    <row r="80089" s="12" customFormat="1" x14ac:dyDescent="0.25"/>
    <row r="80090" s="12" customFormat="1" x14ac:dyDescent="0.25"/>
    <row r="80091" s="12" customFormat="1" x14ac:dyDescent="0.25"/>
    <row r="80092" s="12" customFormat="1" x14ac:dyDescent="0.25"/>
    <row r="80093" s="12" customFormat="1" x14ac:dyDescent="0.25"/>
    <row r="80094" s="12" customFormat="1" x14ac:dyDescent="0.25"/>
    <row r="80095" s="12" customFormat="1" x14ac:dyDescent="0.25"/>
    <row r="80096" s="12" customFormat="1" x14ac:dyDescent="0.25"/>
    <row r="80097" s="12" customFormat="1" x14ac:dyDescent="0.25"/>
    <row r="80098" s="12" customFormat="1" x14ac:dyDescent="0.25"/>
    <row r="80099" s="12" customFormat="1" x14ac:dyDescent="0.25"/>
    <row r="80100" s="12" customFormat="1" x14ac:dyDescent="0.25"/>
    <row r="80101" s="12" customFormat="1" x14ac:dyDescent="0.25"/>
    <row r="80102" s="12" customFormat="1" x14ac:dyDescent="0.25"/>
    <row r="80103" s="12" customFormat="1" x14ac:dyDescent="0.25"/>
    <row r="80104" s="12" customFormat="1" x14ac:dyDescent="0.25"/>
    <row r="80105" s="12" customFormat="1" x14ac:dyDescent="0.25"/>
    <row r="80106" s="12" customFormat="1" x14ac:dyDescent="0.25"/>
    <row r="80107" s="12" customFormat="1" x14ac:dyDescent="0.25"/>
    <row r="80108" s="12" customFormat="1" x14ac:dyDescent="0.25"/>
    <row r="80109" s="12" customFormat="1" x14ac:dyDescent="0.25"/>
    <row r="80110" s="12" customFormat="1" x14ac:dyDescent="0.25"/>
    <row r="80111" s="12" customFormat="1" x14ac:dyDescent="0.25"/>
    <row r="80112" s="12" customFormat="1" x14ac:dyDescent="0.25"/>
    <row r="80113" s="12" customFormat="1" x14ac:dyDescent="0.25"/>
    <row r="80114" s="12" customFormat="1" x14ac:dyDescent="0.25"/>
    <row r="80115" s="12" customFormat="1" x14ac:dyDescent="0.25"/>
    <row r="80116" s="12" customFormat="1" x14ac:dyDescent="0.25"/>
    <row r="80117" s="12" customFormat="1" x14ac:dyDescent="0.25"/>
    <row r="80118" s="12" customFormat="1" x14ac:dyDescent="0.25"/>
    <row r="80119" s="12" customFormat="1" x14ac:dyDescent="0.25"/>
    <row r="80120" s="12" customFormat="1" x14ac:dyDescent="0.25"/>
    <row r="80121" s="12" customFormat="1" x14ac:dyDescent="0.25"/>
    <row r="80122" s="12" customFormat="1" x14ac:dyDescent="0.25"/>
    <row r="80123" s="12" customFormat="1" x14ac:dyDescent="0.25"/>
    <row r="80124" s="12" customFormat="1" x14ac:dyDescent="0.25"/>
    <row r="80125" s="12" customFormat="1" x14ac:dyDescent="0.25"/>
    <row r="80126" s="12" customFormat="1" x14ac:dyDescent="0.25"/>
    <row r="80127" s="12" customFormat="1" x14ac:dyDescent="0.25"/>
    <row r="80128" s="12" customFormat="1" x14ac:dyDescent="0.25"/>
    <row r="80129" s="12" customFormat="1" x14ac:dyDescent="0.25"/>
    <row r="80130" s="12" customFormat="1" x14ac:dyDescent="0.25"/>
    <row r="80131" s="12" customFormat="1" x14ac:dyDescent="0.25"/>
    <row r="80132" s="12" customFormat="1" x14ac:dyDescent="0.25"/>
    <row r="80133" s="12" customFormat="1" x14ac:dyDescent="0.25"/>
    <row r="80134" s="12" customFormat="1" x14ac:dyDescent="0.25"/>
    <row r="80135" s="12" customFormat="1" x14ac:dyDescent="0.25"/>
    <row r="80136" s="12" customFormat="1" x14ac:dyDescent="0.25"/>
    <row r="80137" s="12" customFormat="1" x14ac:dyDescent="0.25"/>
    <row r="80138" s="12" customFormat="1" x14ac:dyDescent="0.25"/>
    <row r="80139" s="12" customFormat="1" x14ac:dyDescent="0.25"/>
    <row r="80140" s="12" customFormat="1" x14ac:dyDescent="0.25"/>
    <row r="80141" s="12" customFormat="1" x14ac:dyDescent="0.25"/>
    <row r="80142" s="12" customFormat="1" x14ac:dyDescent="0.25"/>
    <row r="80143" s="12" customFormat="1" x14ac:dyDescent="0.25"/>
    <row r="80144" s="12" customFormat="1" x14ac:dyDescent="0.25"/>
    <row r="80145" s="12" customFormat="1" x14ac:dyDescent="0.25"/>
    <row r="80146" s="12" customFormat="1" x14ac:dyDescent="0.25"/>
    <row r="80147" s="12" customFormat="1" x14ac:dyDescent="0.25"/>
    <row r="80148" s="12" customFormat="1" x14ac:dyDescent="0.25"/>
    <row r="80149" s="12" customFormat="1" x14ac:dyDescent="0.25"/>
    <row r="80150" s="12" customFormat="1" x14ac:dyDescent="0.25"/>
    <row r="80151" s="12" customFormat="1" x14ac:dyDescent="0.25"/>
    <row r="80152" s="12" customFormat="1" x14ac:dyDescent="0.25"/>
    <row r="80153" s="12" customFormat="1" x14ac:dyDescent="0.25"/>
    <row r="80154" s="12" customFormat="1" x14ac:dyDescent="0.25"/>
    <row r="80155" s="12" customFormat="1" x14ac:dyDescent="0.25"/>
    <row r="80156" s="12" customFormat="1" x14ac:dyDescent="0.25"/>
    <row r="80157" s="12" customFormat="1" x14ac:dyDescent="0.25"/>
    <row r="80158" s="12" customFormat="1" x14ac:dyDescent="0.25"/>
    <row r="80159" s="12" customFormat="1" x14ac:dyDescent="0.25"/>
    <row r="80160" s="12" customFormat="1" x14ac:dyDescent="0.25"/>
    <row r="80161" s="12" customFormat="1" x14ac:dyDescent="0.25"/>
    <row r="80162" s="12" customFormat="1" x14ac:dyDescent="0.25"/>
    <row r="80163" s="12" customFormat="1" x14ac:dyDescent="0.25"/>
    <row r="80164" s="12" customFormat="1" x14ac:dyDescent="0.25"/>
    <row r="80165" s="12" customFormat="1" x14ac:dyDescent="0.25"/>
    <row r="80166" s="12" customFormat="1" x14ac:dyDescent="0.25"/>
    <row r="80167" s="12" customFormat="1" x14ac:dyDescent="0.25"/>
    <row r="80168" s="12" customFormat="1" x14ac:dyDescent="0.25"/>
    <row r="80169" s="12" customFormat="1" x14ac:dyDescent="0.25"/>
    <row r="80170" s="12" customFormat="1" x14ac:dyDescent="0.25"/>
    <row r="80171" s="12" customFormat="1" x14ac:dyDescent="0.25"/>
    <row r="80172" s="12" customFormat="1" x14ac:dyDescent="0.25"/>
    <row r="80173" s="12" customFormat="1" x14ac:dyDescent="0.25"/>
    <row r="80174" s="12" customFormat="1" x14ac:dyDescent="0.25"/>
    <row r="80175" s="12" customFormat="1" x14ac:dyDescent="0.25"/>
    <row r="80176" s="12" customFormat="1" x14ac:dyDescent="0.25"/>
    <row r="80177" s="12" customFormat="1" x14ac:dyDescent="0.25"/>
    <row r="80178" s="12" customFormat="1" x14ac:dyDescent="0.25"/>
    <row r="80179" s="12" customFormat="1" x14ac:dyDescent="0.25"/>
    <row r="80180" s="12" customFormat="1" x14ac:dyDescent="0.25"/>
    <row r="80181" s="12" customFormat="1" x14ac:dyDescent="0.25"/>
    <row r="80182" s="12" customFormat="1" x14ac:dyDescent="0.25"/>
    <row r="80183" s="12" customFormat="1" x14ac:dyDescent="0.25"/>
    <row r="80184" s="12" customFormat="1" x14ac:dyDescent="0.25"/>
    <row r="80185" s="12" customFormat="1" x14ac:dyDescent="0.25"/>
    <row r="80186" s="12" customFormat="1" x14ac:dyDescent="0.25"/>
    <row r="80187" s="12" customFormat="1" x14ac:dyDescent="0.25"/>
    <row r="80188" s="12" customFormat="1" x14ac:dyDescent="0.25"/>
    <row r="80189" s="12" customFormat="1" x14ac:dyDescent="0.25"/>
    <row r="80190" s="12" customFormat="1" x14ac:dyDescent="0.25"/>
    <row r="80191" s="12" customFormat="1" x14ac:dyDescent="0.25"/>
    <row r="80192" s="12" customFormat="1" x14ac:dyDescent="0.25"/>
    <row r="80193" s="12" customFormat="1" x14ac:dyDescent="0.25"/>
    <row r="80194" s="12" customFormat="1" x14ac:dyDescent="0.25"/>
    <row r="80195" s="12" customFormat="1" x14ac:dyDescent="0.25"/>
    <row r="80196" s="12" customFormat="1" x14ac:dyDescent="0.25"/>
    <row r="80197" s="12" customFormat="1" x14ac:dyDescent="0.25"/>
    <row r="80198" s="12" customFormat="1" x14ac:dyDescent="0.25"/>
    <row r="80199" s="12" customFormat="1" x14ac:dyDescent="0.25"/>
    <row r="80200" s="12" customFormat="1" x14ac:dyDescent="0.25"/>
    <row r="80201" s="12" customFormat="1" x14ac:dyDescent="0.25"/>
    <row r="80202" s="12" customFormat="1" x14ac:dyDescent="0.25"/>
    <row r="80203" s="12" customFormat="1" x14ac:dyDescent="0.25"/>
    <row r="80204" s="12" customFormat="1" x14ac:dyDescent="0.25"/>
    <row r="80205" s="12" customFormat="1" x14ac:dyDescent="0.25"/>
    <row r="80206" s="12" customFormat="1" x14ac:dyDescent="0.25"/>
    <row r="80207" s="12" customFormat="1" x14ac:dyDescent="0.25"/>
    <row r="80208" s="12" customFormat="1" x14ac:dyDescent="0.25"/>
    <row r="80209" s="12" customFormat="1" x14ac:dyDescent="0.25"/>
    <row r="80210" s="12" customFormat="1" x14ac:dyDescent="0.25"/>
    <row r="80211" s="12" customFormat="1" x14ac:dyDescent="0.25"/>
    <row r="80212" s="12" customFormat="1" x14ac:dyDescent="0.25"/>
    <row r="80213" s="12" customFormat="1" x14ac:dyDescent="0.25"/>
    <row r="80214" s="12" customFormat="1" x14ac:dyDescent="0.25"/>
    <row r="80215" s="12" customFormat="1" x14ac:dyDescent="0.25"/>
    <row r="80216" s="12" customFormat="1" x14ac:dyDescent="0.25"/>
    <row r="80217" s="12" customFormat="1" x14ac:dyDescent="0.25"/>
    <row r="80218" s="12" customFormat="1" x14ac:dyDescent="0.25"/>
    <row r="80219" s="12" customFormat="1" x14ac:dyDescent="0.25"/>
    <row r="80220" s="12" customFormat="1" x14ac:dyDescent="0.25"/>
    <row r="80221" s="12" customFormat="1" x14ac:dyDescent="0.25"/>
    <row r="80222" s="12" customFormat="1" x14ac:dyDescent="0.25"/>
    <row r="80223" s="12" customFormat="1" x14ac:dyDescent="0.25"/>
    <row r="80224" s="12" customFormat="1" x14ac:dyDescent="0.25"/>
    <row r="80225" s="12" customFormat="1" x14ac:dyDescent="0.25"/>
    <row r="80226" s="12" customFormat="1" x14ac:dyDescent="0.25"/>
    <row r="80227" s="12" customFormat="1" x14ac:dyDescent="0.25"/>
    <row r="80228" s="12" customFormat="1" x14ac:dyDescent="0.25"/>
    <row r="80229" s="12" customFormat="1" x14ac:dyDescent="0.25"/>
    <row r="80230" s="12" customFormat="1" x14ac:dyDescent="0.25"/>
    <row r="80231" s="12" customFormat="1" x14ac:dyDescent="0.25"/>
    <row r="80232" s="12" customFormat="1" x14ac:dyDescent="0.25"/>
    <row r="80233" s="12" customFormat="1" x14ac:dyDescent="0.25"/>
    <row r="80234" s="12" customFormat="1" x14ac:dyDescent="0.25"/>
    <row r="80235" s="12" customFormat="1" x14ac:dyDescent="0.25"/>
    <row r="80236" s="12" customFormat="1" x14ac:dyDescent="0.25"/>
    <row r="80237" s="12" customFormat="1" x14ac:dyDescent="0.25"/>
    <row r="80238" s="12" customFormat="1" x14ac:dyDescent="0.25"/>
    <row r="80239" s="12" customFormat="1" x14ac:dyDescent="0.25"/>
    <row r="80240" s="12" customFormat="1" x14ac:dyDescent="0.25"/>
    <row r="80241" s="12" customFormat="1" x14ac:dyDescent="0.25"/>
    <row r="80242" s="12" customFormat="1" x14ac:dyDescent="0.25"/>
    <row r="80243" s="12" customFormat="1" x14ac:dyDescent="0.25"/>
    <row r="80244" s="12" customFormat="1" x14ac:dyDescent="0.25"/>
    <row r="80245" s="12" customFormat="1" x14ac:dyDescent="0.25"/>
    <row r="80246" s="12" customFormat="1" x14ac:dyDescent="0.25"/>
    <row r="80247" s="12" customFormat="1" x14ac:dyDescent="0.25"/>
    <row r="80248" s="12" customFormat="1" x14ac:dyDescent="0.25"/>
    <row r="80249" s="12" customFormat="1" x14ac:dyDescent="0.25"/>
    <row r="80250" s="12" customFormat="1" x14ac:dyDescent="0.25"/>
    <row r="80251" s="12" customFormat="1" x14ac:dyDescent="0.25"/>
    <row r="80252" s="12" customFormat="1" x14ac:dyDescent="0.25"/>
    <row r="80253" s="12" customFormat="1" x14ac:dyDescent="0.25"/>
    <row r="80254" s="12" customFormat="1" x14ac:dyDescent="0.25"/>
    <row r="80255" s="12" customFormat="1" x14ac:dyDescent="0.25"/>
    <row r="80256" s="12" customFormat="1" x14ac:dyDescent="0.25"/>
    <row r="80257" s="12" customFormat="1" x14ac:dyDescent="0.25"/>
    <row r="80258" s="12" customFormat="1" x14ac:dyDescent="0.25"/>
    <row r="80259" s="12" customFormat="1" x14ac:dyDescent="0.25"/>
    <row r="80260" s="12" customFormat="1" x14ac:dyDescent="0.25"/>
    <row r="80261" s="12" customFormat="1" x14ac:dyDescent="0.25"/>
    <row r="80262" s="12" customFormat="1" x14ac:dyDescent="0.25"/>
    <row r="80263" s="12" customFormat="1" x14ac:dyDescent="0.25"/>
    <row r="80264" s="12" customFormat="1" x14ac:dyDescent="0.25"/>
    <row r="80265" s="12" customFormat="1" x14ac:dyDescent="0.25"/>
    <row r="80266" s="12" customFormat="1" x14ac:dyDescent="0.25"/>
    <row r="80267" s="12" customFormat="1" x14ac:dyDescent="0.25"/>
    <row r="80268" s="12" customFormat="1" x14ac:dyDescent="0.25"/>
    <row r="80269" s="12" customFormat="1" x14ac:dyDescent="0.25"/>
    <row r="80270" s="12" customFormat="1" x14ac:dyDescent="0.25"/>
    <row r="80271" s="12" customFormat="1" x14ac:dyDescent="0.25"/>
    <row r="80272" s="12" customFormat="1" x14ac:dyDescent="0.25"/>
    <row r="80273" s="12" customFormat="1" x14ac:dyDescent="0.25"/>
    <row r="80274" s="12" customFormat="1" x14ac:dyDescent="0.25"/>
    <row r="80275" s="12" customFormat="1" x14ac:dyDescent="0.25"/>
    <row r="80276" s="12" customFormat="1" x14ac:dyDescent="0.25"/>
    <row r="80277" s="12" customFormat="1" x14ac:dyDescent="0.25"/>
    <row r="80278" s="12" customFormat="1" x14ac:dyDescent="0.25"/>
    <row r="80279" s="12" customFormat="1" x14ac:dyDescent="0.25"/>
    <row r="80280" s="12" customFormat="1" x14ac:dyDescent="0.25"/>
    <row r="80281" s="12" customFormat="1" x14ac:dyDescent="0.25"/>
    <row r="80282" s="12" customFormat="1" x14ac:dyDescent="0.25"/>
    <row r="80283" s="12" customFormat="1" x14ac:dyDescent="0.25"/>
    <row r="80284" s="12" customFormat="1" x14ac:dyDescent="0.25"/>
    <row r="80285" s="12" customFormat="1" x14ac:dyDescent="0.25"/>
    <row r="80286" s="12" customFormat="1" x14ac:dyDescent="0.25"/>
    <row r="80287" s="12" customFormat="1" x14ac:dyDescent="0.25"/>
    <row r="80288" s="12" customFormat="1" x14ac:dyDescent="0.25"/>
    <row r="80289" s="12" customFormat="1" x14ac:dyDescent="0.25"/>
    <row r="80290" s="12" customFormat="1" x14ac:dyDescent="0.25"/>
    <row r="80291" s="12" customFormat="1" x14ac:dyDescent="0.25"/>
    <row r="80292" s="12" customFormat="1" x14ac:dyDescent="0.25"/>
    <row r="80293" s="12" customFormat="1" x14ac:dyDescent="0.25"/>
    <row r="80294" s="12" customFormat="1" x14ac:dyDescent="0.25"/>
    <row r="80295" s="12" customFormat="1" x14ac:dyDescent="0.25"/>
    <row r="80296" s="12" customFormat="1" x14ac:dyDescent="0.25"/>
    <row r="80297" s="12" customFormat="1" x14ac:dyDescent="0.25"/>
    <row r="80298" s="12" customFormat="1" x14ac:dyDescent="0.25"/>
    <row r="80299" s="12" customFormat="1" x14ac:dyDescent="0.25"/>
    <row r="80300" s="12" customFormat="1" x14ac:dyDescent="0.25"/>
    <row r="80301" s="12" customFormat="1" x14ac:dyDescent="0.25"/>
    <row r="80302" s="12" customFormat="1" x14ac:dyDescent="0.25"/>
    <row r="80303" s="12" customFormat="1" x14ac:dyDescent="0.25"/>
    <row r="80304" s="12" customFormat="1" x14ac:dyDescent="0.25"/>
    <row r="80305" s="12" customFormat="1" x14ac:dyDescent="0.25"/>
    <row r="80306" s="12" customFormat="1" x14ac:dyDescent="0.25"/>
    <row r="80307" s="12" customFormat="1" x14ac:dyDescent="0.25"/>
    <row r="80308" s="12" customFormat="1" x14ac:dyDescent="0.25"/>
    <row r="80309" s="12" customFormat="1" x14ac:dyDescent="0.25"/>
    <row r="80310" s="12" customFormat="1" x14ac:dyDescent="0.25"/>
    <row r="80311" s="12" customFormat="1" x14ac:dyDescent="0.25"/>
    <row r="80312" s="12" customFormat="1" x14ac:dyDescent="0.25"/>
    <row r="80313" s="12" customFormat="1" x14ac:dyDescent="0.25"/>
    <row r="80314" s="12" customFormat="1" x14ac:dyDescent="0.25"/>
    <row r="80315" s="12" customFormat="1" x14ac:dyDescent="0.25"/>
    <row r="80316" s="12" customFormat="1" x14ac:dyDescent="0.25"/>
    <row r="80317" s="12" customFormat="1" x14ac:dyDescent="0.25"/>
    <row r="80318" s="12" customFormat="1" x14ac:dyDescent="0.25"/>
    <row r="80319" s="12" customFormat="1" x14ac:dyDescent="0.25"/>
    <row r="80320" s="12" customFormat="1" x14ac:dyDescent="0.25"/>
    <row r="80321" s="12" customFormat="1" x14ac:dyDescent="0.25"/>
    <row r="80322" s="12" customFormat="1" x14ac:dyDescent="0.25"/>
    <row r="80323" s="12" customFormat="1" x14ac:dyDescent="0.25"/>
    <row r="80324" s="12" customFormat="1" x14ac:dyDescent="0.25"/>
    <row r="80325" s="12" customFormat="1" x14ac:dyDescent="0.25"/>
    <row r="80326" s="12" customFormat="1" x14ac:dyDescent="0.25"/>
    <row r="80327" s="12" customFormat="1" x14ac:dyDescent="0.25"/>
    <row r="80328" s="12" customFormat="1" x14ac:dyDescent="0.25"/>
    <row r="80329" s="12" customFormat="1" x14ac:dyDescent="0.25"/>
    <row r="80330" s="12" customFormat="1" x14ac:dyDescent="0.25"/>
    <row r="80331" s="12" customFormat="1" x14ac:dyDescent="0.25"/>
    <row r="80332" s="12" customFormat="1" x14ac:dyDescent="0.25"/>
    <row r="80333" s="12" customFormat="1" x14ac:dyDescent="0.25"/>
    <row r="80334" s="12" customFormat="1" x14ac:dyDescent="0.25"/>
    <row r="80335" s="12" customFormat="1" x14ac:dyDescent="0.25"/>
    <row r="80336" s="12" customFormat="1" x14ac:dyDescent="0.25"/>
    <row r="80337" s="12" customFormat="1" x14ac:dyDescent="0.25"/>
    <row r="80338" s="12" customFormat="1" x14ac:dyDescent="0.25"/>
    <row r="80339" s="12" customFormat="1" x14ac:dyDescent="0.25"/>
    <row r="80340" s="12" customFormat="1" x14ac:dyDescent="0.25"/>
    <row r="80341" s="12" customFormat="1" x14ac:dyDescent="0.25"/>
    <row r="80342" s="12" customFormat="1" x14ac:dyDescent="0.25"/>
    <row r="80343" s="12" customFormat="1" x14ac:dyDescent="0.25"/>
    <row r="80344" s="12" customFormat="1" x14ac:dyDescent="0.25"/>
    <row r="80345" s="12" customFormat="1" x14ac:dyDescent="0.25"/>
    <row r="80346" s="12" customFormat="1" x14ac:dyDescent="0.25"/>
    <row r="80347" s="12" customFormat="1" x14ac:dyDescent="0.25"/>
    <row r="80348" s="12" customFormat="1" x14ac:dyDescent="0.25"/>
    <row r="80349" s="12" customFormat="1" x14ac:dyDescent="0.25"/>
    <row r="80350" s="12" customFormat="1" x14ac:dyDescent="0.25"/>
    <row r="80351" s="12" customFormat="1" x14ac:dyDescent="0.25"/>
    <row r="80352" s="12" customFormat="1" x14ac:dyDescent="0.25"/>
    <row r="80353" s="12" customFormat="1" x14ac:dyDescent="0.25"/>
    <row r="80354" s="12" customFormat="1" x14ac:dyDescent="0.25"/>
    <row r="80355" s="12" customFormat="1" x14ac:dyDescent="0.25"/>
    <row r="80356" s="12" customFormat="1" x14ac:dyDescent="0.25"/>
    <row r="80357" s="12" customFormat="1" x14ac:dyDescent="0.25"/>
    <row r="80358" s="12" customFormat="1" x14ac:dyDescent="0.25"/>
    <row r="80359" s="12" customFormat="1" x14ac:dyDescent="0.25"/>
    <row r="80360" s="12" customFormat="1" x14ac:dyDescent="0.25"/>
    <row r="80361" s="12" customFormat="1" x14ac:dyDescent="0.25"/>
    <row r="80362" s="12" customFormat="1" x14ac:dyDescent="0.25"/>
    <row r="80363" s="12" customFormat="1" x14ac:dyDescent="0.25"/>
    <row r="80364" s="12" customFormat="1" x14ac:dyDescent="0.25"/>
    <row r="80365" s="12" customFormat="1" x14ac:dyDescent="0.25"/>
    <row r="80366" s="12" customFormat="1" x14ac:dyDescent="0.25"/>
    <row r="80367" s="12" customFormat="1" x14ac:dyDescent="0.25"/>
    <row r="80368" s="12" customFormat="1" x14ac:dyDescent="0.25"/>
    <row r="80369" s="12" customFormat="1" x14ac:dyDescent="0.25"/>
    <row r="80370" s="12" customFormat="1" x14ac:dyDescent="0.25"/>
    <row r="80371" s="12" customFormat="1" x14ac:dyDescent="0.25"/>
    <row r="80372" s="12" customFormat="1" x14ac:dyDescent="0.25"/>
    <row r="80373" s="12" customFormat="1" x14ac:dyDescent="0.25"/>
    <row r="80374" s="12" customFormat="1" x14ac:dyDescent="0.25"/>
    <row r="80375" s="12" customFormat="1" x14ac:dyDescent="0.25"/>
    <row r="80376" s="12" customFormat="1" x14ac:dyDescent="0.25"/>
    <row r="80377" s="12" customFormat="1" x14ac:dyDescent="0.25"/>
    <row r="80378" s="12" customFormat="1" x14ac:dyDescent="0.25"/>
    <row r="80379" s="12" customFormat="1" x14ac:dyDescent="0.25"/>
    <row r="80380" s="12" customFormat="1" x14ac:dyDescent="0.25"/>
    <row r="80381" s="12" customFormat="1" x14ac:dyDescent="0.25"/>
    <row r="80382" s="12" customFormat="1" x14ac:dyDescent="0.25"/>
    <row r="80383" s="12" customFormat="1" x14ac:dyDescent="0.25"/>
    <row r="80384" s="12" customFormat="1" x14ac:dyDescent="0.25"/>
    <row r="80385" s="12" customFormat="1" x14ac:dyDescent="0.25"/>
    <row r="80386" s="12" customFormat="1" x14ac:dyDescent="0.25"/>
    <row r="80387" s="12" customFormat="1" x14ac:dyDescent="0.25"/>
    <row r="80388" s="12" customFormat="1" x14ac:dyDescent="0.25"/>
    <row r="80389" s="12" customFormat="1" x14ac:dyDescent="0.25"/>
    <row r="80390" s="12" customFormat="1" x14ac:dyDescent="0.25"/>
    <row r="80391" s="12" customFormat="1" x14ac:dyDescent="0.25"/>
    <row r="80392" s="12" customFormat="1" x14ac:dyDescent="0.25"/>
    <row r="80393" s="12" customFormat="1" x14ac:dyDescent="0.25"/>
    <row r="80394" s="12" customFormat="1" x14ac:dyDescent="0.25"/>
    <row r="80395" s="12" customFormat="1" x14ac:dyDescent="0.25"/>
    <row r="80396" s="12" customFormat="1" x14ac:dyDescent="0.25"/>
    <row r="80397" s="12" customFormat="1" x14ac:dyDescent="0.25"/>
    <row r="80398" s="12" customFormat="1" x14ac:dyDescent="0.25"/>
    <row r="80399" s="12" customFormat="1" x14ac:dyDescent="0.25"/>
    <row r="80400" s="12" customFormat="1" x14ac:dyDescent="0.25"/>
    <row r="80401" s="12" customFormat="1" x14ac:dyDescent="0.25"/>
    <row r="80402" s="12" customFormat="1" x14ac:dyDescent="0.25"/>
    <row r="80403" s="12" customFormat="1" x14ac:dyDescent="0.25"/>
    <row r="80404" s="12" customFormat="1" x14ac:dyDescent="0.25"/>
    <row r="80405" s="12" customFormat="1" x14ac:dyDescent="0.25"/>
    <row r="80406" s="12" customFormat="1" x14ac:dyDescent="0.25"/>
    <row r="80407" s="12" customFormat="1" x14ac:dyDescent="0.25"/>
    <row r="80408" s="12" customFormat="1" x14ac:dyDescent="0.25"/>
    <row r="80409" s="12" customFormat="1" x14ac:dyDescent="0.25"/>
    <row r="80410" s="12" customFormat="1" x14ac:dyDescent="0.25"/>
    <row r="80411" s="12" customFormat="1" x14ac:dyDescent="0.25"/>
    <row r="80412" s="12" customFormat="1" x14ac:dyDescent="0.25"/>
    <row r="80413" s="12" customFormat="1" x14ac:dyDescent="0.25"/>
    <row r="80414" s="12" customFormat="1" x14ac:dyDescent="0.25"/>
    <row r="80415" s="12" customFormat="1" x14ac:dyDescent="0.25"/>
    <row r="80416" s="12" customFormat="1" x14ac:dyDescent="0.25"/>
    <row r="80417" s="12" customFormat="1" x14ac:dyDescent="0.25"/>
    <row r="80418" s="12" customFormat="1" x14ac:dyDescent="0.25"/>
    <row r="80419" s="12" customFormat="1" x14ac:dyDescent="0.25"/>
    <row r="80420" s="12" customFormat="1" x14ac:dyDescent="0.25"/>
    <row r="80421" s="12" customFormat="1" x14ac:dyDescent="0.25"/>
    <row r="80422" s="12" customFormat="1" x14ac:dyDescent="0.25"/>
    <row r="80423" s="12" customFormat="1" x14ac:dyDescent="0.25"/>
    <row r="80424" s="12" customFormat="1" x14ac:dyDescent="0.25"/>
    <row r="80425" s="12" customFormat="1" x14ac:dyDescent="0.25"/>
    <row r="80426" s="12" customFormat="1" x14ac:dyDescent="0.25"/>
    <row r="80427" s="12" customFormat="1" x14ac:dyDescent="0.25"/>
    <row r="80428" s="12" customFormat="1" x14ac:dyDescent="0.25"/>
    <row r="80429" s="12" customFormat="1" x14ac:dyDescent="0.25"/>
    <row r="80430" s="12" customFormat="1" x14ac:dyDescent="0.25"/>
    <row r="80431" s="12" customFormat="1" x14ac:dyDescent="0.25"/>
    <row r="80432" s="12" customFormat="1" x14ac:dyDescent="0.25"/>
    <row r="80433" s="12" customFormat="1" x14ac:dyDescent="0.25"/>
    <row r="80434" s="12" customFormat="1" x14ac:dyDescent="0.25"/>
    <row r="80435" s="12" customFormat="1" x14ac:dyDescent="0.25"/>
    <row r="80436" s="12" customFormat="1" x14ac:dyDescent="0.25"/>
    <row r="80437" s="12" customFormat="1" x14ac:dyDescent="0.25"/>
    <row r="80438" s="12" customFormat="1" x14ac:dyDescent="0.25"/>
    <row r="80439" s="12" customFormat="1" x14ac:dyDescent="0.25"/>
    <row r="80440" s="12" customFormat="1" x14ac:dyDescent="0.25"/>
    <row r="80441" s="12" customFormat="1" x14ac:dyDescent="0.25"/>
    <row r="80442" s="12" customFormat="1" x14ac:dyDescent="0.25"/>
    <row r="80443" s="12" customFormat="1" x14ac:dyDescent="0.25"/>
    <row r="80444" s="12" customFormat="1" x14ac:dyDescent="0.25"/>
    <row r="80445" s="12" customFormat="1" x14ac:dyDescent="0.25"/>
    <row r="80446" s="12" customFormat="1" x14ac:dyDescent="0.25"/>
    <row r="80447" s="12" customFormat="1" x14ac:dyDescent="0.25"/>
    <row r="80448" s="12" customFormat="1" x14ac:dyDescent="0.25"/>
    <row r="80449" s="12" customFormat="1" x14ac:dyDescent="0.25"/>
    <row r="80450" s="12" customFormat="1" x14ac:dyDescent="0.25"/>
    <row r="80451" s="12" customFormat="1" x14ac:dyDescent="0.25"/>
    <row r="80452" s="12" customFormat="1" x14ac:dyDescent="0.25"/>
    <row r="80453" s="12" customFormat="1" x14ac:dyDescent="0.25"/>
    <row r="80454" s="12" customFormat="1" x14ac:dyDescent="0.25"/>
    <row r="80455" s="12" customFormat="1" x14ac:dyDescent="0.25"/>
    <row r="80456" s="12" customFormat="1" x14ac:dyDescent="0.25"/>
    <row r="80457" s="12" customFormat="1" x14ac:dyDescent="0.25"/>
    <row r="80458" s="12" customFormat="1" x14ac:dyDescent="0.25"/>
    <row r="80459" s="12" customFormat="1" x14ac:dyDescent="0.25"/>
    <row r="80460" s="12" customFormat="1" x14ac:dyDescent="0.25"/>
    <row r="80461" s="12" customFormat="1" x14ac:dyDescent="0.25"/>
    <row r="80462" s="12" customFormat="1" x14ac:dyDescent="0.25"/>
    <row r="80463" s="12" customFormat="1" x14ac:dyDescent="0.25"/>
    <row r="80464" s="12" customFormat="1" x14ac:dyDescent="0.25"/>
    <row r="80465" s="12" customFormat="1" x14ac:dyDescent="0.25"/>
    <row r="80466" s="12" customFormat="1" x14ac:dyDescent="0.25"/>
    <row r="80467" s="12" customFormat="1" x14ac:dyDescent="0.25"/>
    <row r="80468" s="12" customFormat="1" x14ac:dyDescent="0.25"/>
    <row r="80469" s="12" customFormat="1" x14ac:dyDescent="0.25"/>
    <row r="80470" s="12" customFormat="1" x14ac:dyDescent="0.25"/>
    <row r="80471" s="12" customFormat="1" x14ac:dyDescent="0.25"/>
    <row r="80472" s="12" customFormat="1" x14ac:dyDescent="0.25"/>
    <row r="80473" s="12" customFormat="1" x14ac:dyDescent="0.25"/>
    <row r="80474" s="12" customFormat="1" x14ac:dyDescent="0.25"/>
    <row r="80475" s="12" customFormat="1" x14ac:dyDescent="0.25"/>
    <row r="80476" s="12" customFormat="1" x14ac:dyDescent="0.25"/>
    <row r="80477" s="12" customFormat="1" x14ac:dyDescent="0.25"/>
    <row r="80478" s="12" customFormat="1" x14ac:dyDescent="0.25"/>
    <row r="80479" s="12" customFormat="1" x14ac:dyDescent="0.25"/>
    <row r="80480" s="12" customFormat="1" x14ac:dyDescent="0.25"/>
    <row r="80481" s="12" customFormat="1" x14ac:dyDescent="0.25"/>
    <row r="80482" s="12" customFormat="1" x14ac:dyDescent="0.25"/>
    <row r="80483" s="12" customFormat="1" x14ac:dyDescent="0.25"/>
    <row r="80484" s="12" customFormat="1" x14ac:dyDescent="0.25"/>
    <row r="80485" s="12" customFormat="1" x14ac:dyDescent="0.25"/>
    <row r="80486" s="12" customFormat="1" x14ac:dyDescent="0.25"/>
    <row r="80487" s="12" customFormat="1" x14ac:dyDescent="0.25"/>
    <row r="80488" s="12" customFormat="1" x14ac:dyDescent="0.25"/>
    <row r="80489" s="12" customFormat="1" x14ac:dyDescent="0.25"/>
    <row r="80490" s="12" customFormat="1" x14ac:dyDescent="0.25"/>
    <row r="80491" s="12" customFormat="1" x14ac:dyDescent="0.25"/>
    <row r="80492" s="12" customFormat="1" x14ac:dyDescent="0.25"/>
    <row r="80493" s="12" customFormat="1" x14ac:dyDescent="0.25"/>
    <row r="80494" s="12" customFormat="1" x14ac:dyDescent="0.25"/>
    <row r="80495" s="12" customFormat="1" x14ac:dyDescent="0.25"/>
    <row r="80496" s="12" customFormat="1" x14ac:dyDescent="0.25"/>
    <row r="80497" s="12" customFormat="1" x14ac:dyDescent="0.25"/>
    <row r="80498" s="12" customFormat="1" x14ac:dyDescent="0.25"/>
    <row r="80499" s="12" customFormat="1" x14ac:dyDescent="0.25"/>
    <row r="80500" s="12" customFormat="1" x14ac:dyDescent="0.25"/>
    <row r="80501" s="12" customFormat="1" x14ac:dyDescent="0.25"/>
    <row r="80502" s="12" customFormat="1" x14ac:dyDescent="0.25"/>
    <row r="80503" s="12" customFormat="1" x14ac:dyDescent="0.25"/>
    <row r="80504" s="12" customFormat="1" x14ac:dyDescent="0.25"/>
    <row r="80505" s="12" customFormat="1" x14ac:dyDescent="0.25"/>
    <row r="80506" s="12" customFormat="1" x14ac:dyDescent="0.25"/>
    <row r="80507" s="12" customFormat="1" x14ac:dyDescent="0.25"/>
    <row r="80508" s="12" customFormat="1" x14ac:dyDescent="0.25"/>
    <row r="80509" s="12" customFormat="1" x14ac:dyDescent="0.25"/>
    <row r="80510" s="12" customFormat="1" x14ac:dyDescent="0.25"/>
    <row r="80511" s="12" customFormat="1" x14ac:dyDescent="0.25"/>
    <row r="80512" s="12" customFormat="1" x14ac:dyDescent="0.25"/>
    <row r="80513" s="12" customFormat="1" x14ac:dyDescent="0.25"/>
    <row r="80514" s="12" customFormat="1" x14ac:dyDescent="0.25"/>
    <row r="80515" s="12" customFormat="1" x14ac:dyDescent="0.25"/>
    <row r="80516" s="12" customFormat="1" x14ac:dyDescent="0.25"/>
    <row r="80517" s="12" customFormat="1" x14ac:dyDescent="0.25"/>
    <row r="80518" s="12" customFormat="1" x14ac:dyDescent="0.25"/>
    <row r="80519" s="12" customFormat="1" x14ac:dyDescent="0.25"/>
    <row r="80520" s="12" customFormat="1" x14ac:dyDescent="0.25"/>
    <row r="80521" s="12" customFormat="1" x14ac:dyDescent="0.25"/>
    <row r="80522" s="12" customFormat="1" x14ac:dyDescent="0.25"/>
    <row r="80523" s="12" customFormat="1" x14ac:dyDescent="0.25"/>
    <row r="80524" s="12" customFormat="1" x14ac:dyDescent="0.25"/>
    <row r="80525" s="12" customFormat="1" x14ac:dyDescent="0.25"/>
    <row r="80526" s="12" customFormat="1" x14ac:dyDescent="0.25"/>
    <row r="80527" s="12" customFormat="1" x14ac:dyDescent="0.25"/>
    <row r="80528" s="12" customFormat="1" x14ac:dyDescent="0.25"/>
    <row r="80529" s="12" customFormat="1" x14ac:dyDescent="0.25"/>
    <row r="80530" s="12" customFormat="1" x14ac:dyDescent="0.25"/>
    <row r="80531" s="12" customFormat="1" x14ac:dyDescent="0.25"/>
    <row r="80532" s="12" customFormat="1" x14ac:dyDescent="0.25"/>
    <row r="80533" s="12" customFormat="1" x14ac:dyDescent="0.25"/>
    <row r="80534" s="12" customFormat="1" x14ac:dyDescent="0.25"/>
    <row r="80535" s="12" customFormat="1" x14ac:dyDescent="0.25"/>
    <row r="80536" s="12" customFormat="1" x14ac:dyDescent="0.25"/>
    <row r="80537" s="12" customFormat="1" x14ac:dyDescent="0.25"/>
    <row r="80538" s="12" customFormat="1" x14ac:dyDescent="0.25"/>
    <row r="80539" s="12" customFormat="1" x14ac:dyDescent="0.25"/>
    <row r="80540" s="12" customFormat="1" x14ac:dyDescent="0.25"/>
    <row r="80541" s="12" customFormat="1" x14ac:dyDescent="0.25"/>
    <row r="80542" s="12" customFormat="1" x14ac:dyDescent="0.25"/>
    <row r="80543" s="12" customFormat="1" x14ac:dyDescent="0.25"/>
    <row r="80544" s="12" customFormat="1" x14ac:dyDescent="0.25"/>
    <row r="80545" s="12" customFormat="1" x14ac:dyDescent="0.25"/>
    <row r="80546" s="12" customFormat="1" x14ac:dyDescent="0.25"/>
    <row r="80547" s="12" customFormat="1" x14ac:dyDescent="0.25"/>
    <row r="80548" s="12" customFormat="1" x14ac:dyDescent="0.25"/>
    <row r="80549" s="12" customFormat="1" x14ac:dyDescent="0.25"/>
    <row r="80550" s="12" customFormat="1" x14ac:dyDescent="0.25"/>
    <row r="80551" s="12" customFormat="1" x14ac:dyDescent="0.25"/>
    <row r="80552" s="12" customFormat="1" x14ac:dyDescent="0.25"/>
    <row r="80553" s="12" customFormat="1" x14ac:dyDescent="0.25"/>
    <row r="80554" s="12" customFormat="1" x14ac:dyDescent="0.25"/>
    <row r="80555" s="12" customFormat="1" x14ac:dyDescent="0.25"/>
    <row r="80556" s="12" customFormat="1" x14ac:dyDescent="0.25"/>
    <row r="80557" s="12" customFormat="1" x14ac:dyDescent="0.25"/>
    <row r="80558" s="12" customFormat="1" x14ac:dyDescent="0.25"/>
    <row r="80559" s="12" customFormat="1" x14ac:dyDescent="0.25"/>
    <row r="80560" s="12" customFormat="1" x14ac:dyDescent="0.25"/>
    <row r="80561" s="12" customFormat="1" x14ac:dyDescent="0.25"/>
    <row r="80562" s="12" customFormat="1" x14ac:dyDescent="0.25"/>
    <row r="80563" s="12" customFormat="1" x14ac:dyDescent="0.25"/>
    <row r="80564" s="12" customFormat="1" x14ac:dyDescent="0.25"/>
    <row r="80565" s="12" customFormat="1" x14ac:dyDescent="0.25"/>
    <row r="80566" s="12" customFormat="1" x14ac:dyDescent="0.25"/>
    <row r="80567" s="12" customFormat="1" x14ac:dyDescent="0.25"/>
    <row r="80568" s="12" customFormat="1" x14ac:dyDescent="0.25"/>
    <row r="80569" s="12" customFormat="1" x14ac:dyDescent="0.25"/>
    <row r="80570" s="12" customFormat="1" x14ac:dyDescent="0.25"/>
    <row r="80571" s="12" customFormat="1" x14ac:dyDescent="0.25"/>
    <row r="80572" s="12" customFormat="1" x14ac:dyDescent="0.25"/>
    <row r="80573" s="12" customFormat="1" x14ac:dyDescent="0.25"/>
    <row r="80574" s="12" customFormat="1" x14ac:dyDescent="0.25"/>
    <row r="80575" s="12" customFormat="1" x14ac:dyDescent="0.25"/>
    <row r="80576" s="12" customFormat="1" x14ac:dyDescent="0.25"/>
    <row r="80577" s="12" customFormat="1" x14ac:dyDescent="0.25"/>
    <row r="80578" s="12" customFormat="1" x14ac:dyDescent="0.25"/>
    <row r="80579" s="12" customFormat="1" x14ac:dyDescent="0.25"/>
    <row r="80580" s="12" customFormat="1" x14ac:dyDescent="0.25"/>
    <row r="80581" s="12" customFormat="1" x14ac:dyDescent="0.25"/>
    <row r="80582" s="12" customFormat="1" x14ac:dyDescent="0.25"/>
    <row r="80583" s="12" customFormat="1" x14ac:dyDescent="0.25"/>
    <row r="80584" s="12" customFormat="1" x14ac:dyDescent="0.25"/>
    <row r="80585" s="12" customFormat="1" x14ac:dyDescent="0.25"/>
    <row r="80586" s="12" customFormat="1" x14ac:dyDescent="0.25"/>
    <row r="80587" s="12" customFormat="1" x14ac:dyDescent="0.25"/>
    <row r="80588" s="12" customFormat="1" x14ac:dyDescent="0.25"/>
    <row r="80589" s="12" customFormat="1" x14ac:dyDescent="0.25"/>
    <row r="80590" s="12" customFormat="1" x14ac:dyDescent="0.25"/>
    <row r="80591" s="12" customFormat="1" x14ac:dyDescent="0.25"/>
    <row r="80592" s="12" customFormat="1" x14ac:dyDescent="0.25"/>
    <row r="80593" s="12" customFormat="1" x14ac:dyDescent="0.25"/>
    <row r="80594" s="12" customFormat="1" x14ac:dyDescent="0.25"/>
    <row r="80595" s="12" customFormat="1" x14ac:dyDescent="0.25"/>
    <row r="80596" s="12" customFormat="1" x14ac:dyDescent="0.25"/>
    <row r="80597" s="12" customFormat="1" x14ac:dyDescent="0.25"/>
    <row r="80598" s="12" customFormat="1" x14ac:dyDescent="0.25"/>
    <row r="80599" s="12" customFormat="1" x14ac:dyDescent="0.25"/>
    <row r="80600" s="12" customFormat="1" x14ac:dyDescent="0.25"/>
    <row r="80601" s="12" customFormat="1" x14ac:dyDescent="0.25"/>
    <row r="80602" s="12" customFormat="1" x14ac:dyDescent="0.25"/>
    <row r="80603" s="12" customFormat="1" x14ac:dyDescent="0.25"/>
    <row r="80604" s="12" customFormat="1" x14ac:dyDescent="0.25"/>
    <row r="80605" s="12" customFormat="1" x14ac:dyDescent="0.25"/>
    <row r="80606" s="12" customFormat="1" x14ac:dyDescent="0.25"/>
    <row r="80607" s="12" customFormat="1" x14ac:dyDescent="0.25"/>
    <row r="80608" s="12" customFormat="1" x14ac:dyDescent="0.25"/>
    <row r="80609" s="12" customFormat="1" x14ac:dyDescent="0.25"/>
    <row r="80610" s="12" customFormat="1" x14ac:dyDescent="0.25"/>
    <row r="80611" s="12" customFormat="1" x14ac:dyDescent="0.25"/>
    <row r="80612" s="12" customFormat="1" x14ac:dyDescent="0.25"/>
    <row r="80613" s="12" customFormat="1" x14ac:dyDescent="0.25"/>
    <row r="80614" s="12" customFormat="1" x14ac:dyDescent="0.25"/>
    <row r="80615" s="12" customFormat="1" x14ac:dyDescent="0.25"/>
    <row r="80616" s="12" customFormat="1" x14ac:dyDescent="0.25"/>
    <row r="80617" s="12" customFormat="1" x14ac:dyDescent="0.25"/>
    <row r="80618" s="12" customFormat="1" x14ac:dyDescent="0.25"/>
    <row r="80619" s="12" customFormat="1" x14ac:dyDescent="0.25"/>
    <row r="80620" s="12" customFormat="1" x14ac:dyDescent="0.25"/>
    <row r="80621" s="12" customFormat="1" x14ac:dyDescent="0.25"/>
    <row r="80622" s="12" customFormat="1" x14ac:dyDescent="0.25"/>
    <row r="80623" s="12" customFormat="1" x14ac:dyDescent="0.25"/>
    <row r="80624" s="12" customFormat="1" x14ac:dyDescent="0.25"/>
    <row r="80625" s="12" customFormat="1" x14ac:dyDescent="0.25"/>
    <row r="80626" s="12" customFormat="1" x14ac:dyDescent="0.25"/>
    <row r="80627" s="12" customFormat="1" x14ac:dyDescent="0.25"/>
    <row r="80628" s="12" customFormat="1" x14ac:dyDescent="0.25"/>
    <row r="80629" s="12" customFormat="1" x14ac:dyDescent="0.25"/>
    <row r="80630" s="12" customFormat="1" x14ac:dyDescent="0.25"/>
    <row r="80631" s="12" customFormat="1" x14ac:dyDescent="0.25"/>
    <row r="80632" s="12" customFormat="1" x14ac:dyDescent="0.25"/>
    <row r="80633" s="12" customFormat="1" x14ac:dyDescent="0.25"/>
    <row r="80634" s="12" customFormat="1" x14ac:dyDescent="0.25"/>
    <row r="80635" s="12" customFormat="1" x14ac:dyDescent="0.25"/>
    <row r="80636" s="12" customFormat="1" x14ac:dyDescent="0.25"/>
    <row r="80637" s="12" customFormat="1" x14ac:dyDescent="0.25"/>
    <row r="80638" s="12" customFormat="1" x14ac:dyDescent="0.25"/>
    <row r="80639" s="12" customFormat="1" x14ac:dyDescent="0.25"/>
    <row r="80640" s="12" customFormat="1" x14ac:dyDescent="0.25"/>
    <row r="80641" s="12" customFormat="1" x14ac:dyDescent="0.25"/>
    <row r="80642" s="12" customFormat="1" x14ac:dyDescent="0.25"/>
    <row r="80643" s="12" customFormat="1" x14ac:dyDescent="0.25"/>
    <row r="80644" s="12" customFormat="1" x14ac:dyDescent="0.25"/>
    <row r="80645" s="12" customFormat="1" x14ac:dyDescent="0.25"/>
    <row r="80646" s="12" customFormat="1" x14ac:dyDescent="0.25"/>
    <row r="80647" s="12" customFormat="1" x14ac:dyDescent="0.25"/>
    <row r="80648" s="12" customFormat="1" x14ac:dyDescent="0.25"/>
    <row r="80649" s="12" customFormat="1" x14ac:dyDescent="0.25"/>
    <row r="80650" s="12" customFormat="1" x14ac:dyDescent="0.25"/>
    <row r="80651" s="12" customFormat="1" x14ac:dyDescent="0.25"/>
    <row r="80652" s="12" customFormat="1" x14ac:dyDescent="0.25"/>
    <row r="80653" s="12" customFormat="1" x14ac:dyDescent="0.25"/>
    <row r="80654" s="12" customFormat="1" x14ac:dyDescent="0.25"/>
    <row r="80655" s="12" customFormat="1" x14ac:dyDescent="0.25"/>
    <row r="80656" s="12" customFormat="1" x14ac:dyDescent="0.25"/>
    <row r="80657" s="12" customFormat="1" x14ac:dyDescent="0.25"/>
    <row r="80658" s="12" customFormat="1" x14ac:dyDescent="0.25"/>
    <row r="80659" s="12" customFormat="1" x14ac:dyDescent="0.25"/>
    <row r="80660" s="12" customFormat="1" x14ac:dyDescent="0.25"/>
    <row r="80661" s="12" customFormat="1" x14ac:dyDescent="0.25"/>
    <row r="80662" s="12" customFormat="1" x14ac:dyDescent="0.25"/>
    <row r="80663" s="12" customFormat="1" x14ac:dyDescent="0.25"/>
    <row r="80664" s="12" customFormat="1" x14ac:dyDescent="0.25"/>
    <row r="80665" s="12" customFormat="1" x14ac:dyDescent="0.25"/>
    <row r="80666" s="12" customFormat="1" x14ac:dyDescent="0.25"/>
    <row r="80667" s="12" customFormat="1" x14ac:dyDescent="0.25"/>
    <row r="80668" s="12" customFormat="1" x14ac:dyDescent="0.25"/>
    <row r="80669" s="12" customFormat="1" x14ac:dyDescent="0.25"/>
    <row r="80670" s="12" customFormat="1" x14ac:dyDescent="0.25"/>
    <row r="80671" s="12" customFormat="1" x14ac:dyDescent="0.25"/>
    <row r="80672" s="12" customFormat="1" x14ac:dyDescent="0.25"/>
    <row r="80673" s="12" customFormat="1" x14ac:dyDescent="0.25"/>
    <row r="80674" s="12" customFormat="1" x14ac:dyDescent="0.25"/>
    <row r="80675" s="12" customFormat="1" x14ac:dyDescent="0.25"/>
    <row r="80676" s="12" customFormat="1" x14ac:dyDescent="0.25"/>
    <row r="80677" s="12" customFormat="1" x14ac:dyDescent="0.25"/>
    <row r="80678" s="12" customFormat="1" x14ac:dyDescent="0.25"/>
    <row r="80679" s="12" customFormat="1" x14ac:dyDescent="0.25"/>
    <row r="80680" s="12" customFormat="1" x14ac:dyDescent="0.25"/>
    <row r="80681" s="12" customFormat="1" x14ac:dyDescent="0.25"/>
    <row r="80682" s="12" customFormat="1" x14ac:dyDescent="0.25"/>
    <row r="80683" s="12" customFormat="1" x14ac:dyDescent="0.25"/>
    <row r="80684" s="12" customFormat="1" x14ac:dyDescent="0.25"/>
    <row r="80685" s="12" customFormat="1" x14ac:dyDescent="0.25"/>
    <row r="80686" s="12" customFormat="1" x14ac:dyDescent="0.25"/>
    <row r="80687" s="12" customFormat="1" x14ac:dyDescent="0.25"/>
    <row r="80688" s="12" customFormat="1" x14ac:dyDescent="0.25"/>
    <row r="80689" s="12" customFormat="1" x14ac:dyDescent="0.25"/>
    <row r="80690" s="12" customFormat="1" x14ac:dyDescent="0.25"/>
    <row r="80691" s="12" customFormat="1" x14ac:dyDescent="0.25"/>
    <row r="80692" s="12" customFormat="1" x14ac:dyDescent="0.25"/>
    <row r="80693" s="12" customFormat="1" x14ac:dyDescent="0.25"/>
    <row r="80694" s="12" customFormat="1" x14ac:dyDescent="0.25"/>
    <row r="80695" s="12" customFormat="1" x14ac:dyDescent="0.25"/>
    <row r="80696" s="12" customFormat="1" x14ac:dyDescent="0.25"/>
    <row r="80697" s="12" customFormat="1" x14ac:dyDescent="0.25"/>
    <row r="80698" s="12" customFormat="1" x14ac:dyDescent="0.25"/>
    <row r="80699" s="12" customFormat="1" x14ac:dyDescent="0.25"/>
    <row r="80700" s="12" customFormat="1" x14ac:dyDescent="0.25"/>
    <row r="80701" s="12" customFormat="1" x14ac:dyDescent="0.25"/>
    <row r="80702" s="12" customFormat="1" x14ac:dyDescent="0.25"/>
    <row r="80703" s="12" customFormat="1" x14ac:dyDescent="0.25"/>
    <row r="80704" s="12" customFormat="1" x14ac:dyDescent="0.25"/>
    <row r="80705" s="12" customFormat="1" x14ac:dyDescent="0.25"/>
    <row r="80706" s="12" customFormat="1" x14ac:dyDescent="0.25"/>
    <row r="80707" s="12" customFormat="1" x14ac:dyDescent="0.25"/>
    <row r="80708" s="12" customFormat="1" x14ac:dyDescent="0.25"/>
    <row r="80709" s="12" customFormat="1" x14ac:dyDescent="0.25"/>
    <row r="80710" s="12" customFormat="1" x14ac:dyDescent="0.25"/>
    <row r="80711" s="12" customFormat="1" x14ac:dyDescent="0.25"/>
    <row r="80712" s="12" customFormat="1" x14ac:dyDescent="0.25"/>
    <row r="80713" s="12" customFormat="1" x14ac:dyDescent="0.25"/>
    <row r="80714" s="12" customFormat="1" x14ac:dyDescent="0.25"/>
    <row r="80715" s="12" customFormat="1" x14ac:dyDescent="0.25"/>
    <row r="80716" s="12" customFormat="1" x14ac:dyDescent="0.25"/>
    <row r="80717" s="12" customFormat="1" x14ac:dyDescent="0.25"/>
    <row r="80718" s="12" customFormat="1" x14ac:dyDescent="0.25"/>
    <row r="80719" s="12" customFormat="1" x14ac:dyDescent="0.25"/>
    <row r="80720" s="12" customFormat="1" x14ac:dyDescent="0.25"/>
    <row r="80721" s="12" customFormat="1" x14ac:dyDescent="0.25"/>
    <row r="80722" s="12" customFormat="1" x14ac:dyDescent="0.25"/>
    <row r="80723" s="12" customFormat="1" x14ac:dyDescent="0.25"/>
    <row r="80724" s="12" customFormat="1" x14ac:dyDescent="0.25"/>
    <row r="80725" s="12" customFormat="1" x14ac:dyDescent="0.25"/>
    <row r="80726" s="12" customFormat="1" x14ac:dyDescent="0.25"/>
    <row r="80727" s="12" customFormat="1" x14ac:dyDescent="0.25"/>
    <row r="80728" s="12" customFormat="1" x14ac:dyDescent="0.25"/>
    <row r="80729" s="12" customFormat="1" x14ac:dyDescent="0.25"/>
    <row r="80730" s="12" customFormat="1" x14ac:dyDescent="0.25"/>
    <row r="80731" s="12" customFormat="1" x14ac:dyDescent="0.25"/>
    <row r="80732" s="12" customFormat="1" x14ac:dyDescent="0.25"/>
    <row r="80733" s="12" customFormat="1" x14ac:dyDescent="0.25"/>
    <row r="80734" s="12" customFormat="1" x14ac:dyDescent="0.25"/>
    <row r="80735" s="12" customFormat="1" x14ac:dyDescent="0.25"/>
    <row r="80736" s="12" customFormat="1" x14ac:dyDescent="0.25"/>
    <row r="80737" s="12" customFormat="1" x14ac:dyDescent="0.25"/>
    <row r="80738" s="12" customFormat="1" x14ac:dyDescent="0.25"/>
    <row r="80739" s="12" customFormat="1" x14ac:dyDescent="0.25"/>
    <row r="80740" s="12" customFormat="1" x14ac:dyDescent="0.25"/>
    <row r="80741" s="12" customFormat="1" x14ac:dyDescent="0.25"/>
    <row r="80742" s="12" customFormat="1" x14ac:dyDescent="0.25"/>
    <row r="80743" s="12" customFormat="1" x14ac:dyDescent="0.25"/>
    <row r="80744" s="12" customFormat="1" x14ac:dyDescent="0.25"/>
    <row r="80745" s="12" customFormat="1" x14ac:dyDescent="0.25"/>
    <row r="80746" s="12" customFormat="1" x14ac:dyDescent="0.25"/>
    <row r="80747" s="12" customFormat="1" x14ac:dyDescent="0.25"/>
    <row r="80748" s="12" customFormat="1" x14ac:dyDescent="0.25"/>
    <row r="80749" s="12" customFormat="1" x14ac:dyDescent="0.25"/>
    <row r="80750" s="12" customFormat="1" x14ac:dyDescent="0.25"/>
    <row r="80751" s="12" customFormat="1" x14ac:dyDescent="0.25"/>
    <row r="80752" s="12" customFormat="1" x14ac:dyDescent="0.25"/>
    <row r="80753" s="12" customFormat="1" x14ac:dyDescent="0.25"/>
    <row r="80754" s="12" customFormat="1" x14ac:dyDescent="0.25"/>
    <row r="80755" s="12" customFormat="1" x14ac:dyDescent="0.25"/>
    <row r="80756" s="12" customFormat="1" x14ac:dyDescent="0.25"/>
    <row r="80757" s="12" customFormat="1" x14ac:dyDescent="0.25"/>
    <row r="80758" s="12" customFormat="1" x14ac:dyDescent="0.25"/>
    <row r="80759" s="12" customFormat="1" x14ac:dyDescent="0.25"/>
    <row r="80760" s="12" customFormat="1" x14ac:dyDescent="0.25"/>
    <row r="80761" s="12" customFormat="1" x14ac:dyDescent="0.25"/>
    <row r="80762" s="12" customFormat="1" x14ac:dyDescent="0.25"/>
    <row r="80763" s="12" customFormat="1" x14ac:dyDescent="0.25"/>
    <row r="80764" s="12" customFormat="1" x14ac:dyDescent="0.25"/>
    <row r="80765" s="12" customFormat="1" x14ac:dyDescent="0.25"/>
    <row r="80766" s="12" customFormat="1" x14ac:dyDescent="0.25"/>
    <row r="80767" s="12" customFormat="1" x14ac:dyDescent="0.25"/>
    <row r="80768" s="12" customFormat="1" x14ac:dyDescent="0.25"/>
    <row r="80769" s="12" customFormat="1" x14ac:dyDescent="0.25"/>
    <row r="80770" s="12" customFormat="1" x14ac:dyDescent="0.25"/>
    <row r="80771" s="12" customFormat="1" x14ac:dyDescent="0.25"/>
    <row r="80772" s="12" customFormat="1" x14ac:dyDescent="0.25"/>
    <row r="80773" s="12" customFormat="1" x14ac:dyDescent="0.25"/>
    <row r="80774" s="12" customFormat="1" x14ac:dyDescent="0.25"/>
    <row r="80775" s="12" customFormat="1" x14ac:dyDescent="0.25"/>
    <row r="80776" s="12" customFormat="1" x14ac:dyDescent="0.25"/>
    <row r="80777" s="12" customFormat="1" x14ac:dyDescent="0.25"/>
    <row r="80778" s="12" customFormat="1" x14ac:dyDescent="0.25"/>
    <row r="80779" s="12" customFormat="1" x14ac:dyDescent="0.25"/>
    <row r="80780" s="12" customFormat="1" x14ac:dyDescent="0.25"/>
    <row r="80781" s="12" customFormat="1" x14ac:dyDescent="0.25"/>
    <row r="80782" s="12" customFormat="1" x14ac:dyDescent="0.25"/>
    <row r="80783" s="12" customFormat="1" x14ac:dyDescent="0.25"/>
    <row r="80784" s="12" customFormat="1" x14ac:dyDescent="0.25"/>
    <row r="80785" s="12" customFormat="1" x14ac:dyDescent="0.25"/>
    <row r="80786" s="12" customFormat="1" x14ac:dyDescent="0.25"/>
    <row r="80787" s="12" customFormat="1" x14ac:dyDescent="0.25"/>
    <row r="80788" s="12" customFormat="1" x14ac:dyDescent="0.25"/>
    <row r="80789" s="12" customFormat="1" x14ac:dyDescent="0.25"/>
    <row r="80790" s="12" customFormat="1" x14ac:dyDescent="0.25"/>
    <row r="80791" s="12" customFormat="1" x14ac:dyDescent="0.25"/>
    <row r="80792" s="12" customFormat="1" x14ac:dyDescent="0.25"/>
    <row r="80793" s="12" customFormat="1" x14ac:dyDescent="0.25"/>
    <row r="80794" s="12" customFormat="1" x14ac:dyDescent="0.25"/>
    <row r="80795" s="12" customFormat="1" x14ac:dyDescent="0.25"/>
    <row r="80796" s="12" customFormat="1" x14ac:dyDescent="0.25"/>
    <row r="80797" s="12" customFormat="1" x14ac:dyDescent="0.25"/>
    <row r="80798" s="12" customFormat="1" x14ac:dyDescent="0.25"/>
    <row r="80799" s="12" customFormat="1" x14ac:dyDescent="0.25"/>
    <row r="80800" s="12" customFormat="1" x14ac:dyDescent="0.25"/>
    <row r="80801" s="12" customFormat="1" x14ac:dyDescent="0.25"/>
    <row r="80802" s="12" customFormat="1" x14ac:dyDescent="0.25"/>
    <row r="80803" s="12" customFormat="1" x14ac:dyDescent="0.25"/>
    <row r="80804" s="12" customFormat="1" x14ac:dyDescent="0.25"/>
    <row r="80805" s="12" customFormat="1" x14ac:dyDescent="0.25"/>
    <row r="80806" s="12" customFormat="1" x14ac:dyDescent="0.25"/>
    <row r="80807" s="12" customFormat="1" x14ac:dyDescent="0.25"/>
    <row r="80808" s="12" customFormat="1" x14ac:dyDescent="0.25"/>
    <row r="80809" s="12" customFormat="1" x14ac:dyDescent="0.25"/>
    <row r="80810" s="12" customFormat="1" x14ac:dyDescent="0.25"/>
    <row r="80811" s="12" customFormat="1" x14ac:dyDescent="0.25"/>
    <row r="80812" s="12" customFormat="1" x14ac:dyDescent="0.25"/>
    <row r="80813" s="12" customFormat="1" x14ac:dyDescent="0.25"/>
    <row r="80814" s="12" customFormat="1" x14ac:dyDescent="0.25"/>
    <row r="80815" s="12" customFormat="1" x14ac:dyDescent="0.25"/>
    <row r="80816" s="12" customFormat="1" x14ac:dyDescent="0.25"/>
    <row r="80817" s="12" customFormat="1" x14ac:dyDescent="0.25"/>
    <row r="80818" s="12" customFormat="1" x14ac:dyDescent="0.25"/>
    <row r="80819" s="12" customFormat="1" x14ac:dyDescent="0.25"/>
    <row r="80820" s="12" customFormat="1" x14ac:dyDescent="0.25"/>
    <row r="80821" s="12" customFormat="1" x14ac:dyDescent="0.25"/>
    <row r="80822" s="12" customFormat="1" x14ac:dyDescent="0.25"/>
    <row r="80823" s="12" customFormat="1" x14ac:dyDescent="0.25"/>
    <row r="80824" s="12" customFormat="1" x14ac:dyDescent="0.25"/>
    <row r="80825" s="12" customFormat="1" x14ac:dyDescent="0.25"/>
    <row r="80826" s="12" customFormat="1" x14ac:dyDescent="0.25"/>
    <row r="80827" s="12" customFormat="1" x14ac:dyDescent="0.25"/>
    <row r="80828" s="12" customFormat="1" x14ac:dyDescent="0.25"/>
    <row r="80829" s="12" customFormat="1" x14ac:dyDescent="0.25"/>
    <row r="80830" s="12" customFormat="1" x14ac:dyDescent="0.25"/>
    <row r="80831" s="12" customFormat="1" x14ac:dyDescent="0.25"/>
    <row r="80832" s="12" customFormat="1" x14ac:dyDescent="0.25"/>
    <row r="80833" s="12" customFormat="1" x14ac:dyDescent="0.25"/>
    <row r="80834" s="12" customFormat="1" x14ac:dyDescent="0.25"/>
    <row r="80835" s="12" customFormat="1" x14ac:dyDescent="0.25"/>
    <row r="80836" s="12" customFormat="1" x14ac:dyDescent="0.25"/>
    <row r="80837" s="12" customFormat="1" x14ac:dyDescent="0.25"/>
    <row r="80838" s="12" customFormat="1" x14ac:dyDescent="0.25"/>
    <row r="80839" s="12" customFormat="1" x14ac:dyDescent="0.25"/>
    <row r="80840" s="12" customFormat="1" x14ac:dyDescent="0.25"/>
    <row r="80841" s="12" customFormat="1" x14ac:dyDescent="0.25"/>
    <row r="80842" s="12" customFormat="1" x14ac:dyDescent="0.25"/>
    <row r="80843" s="12" customFormat="1" x14ac:dyDescent="0.25"/>
    <row r="80844" s="12" customFormat="1" x14ac:dyDescent="0.25"/>
    <row r="80845" s="12" customFormat="1" x14ac:dyDescent="0.25"/>
    <row r="80846" s="12" customFormat="1" x14ac:dyDescent="0.25"/>
    <row r="80847" s="12" customFormat="1" x14ac:dyDescent="0.25"/>
    <row r="80848" s="12" customFormat="1" x14ac:dyDescent="0.25"/>
    <row r="80849" s="12" customFormat="1" x14ac:dyDescent="0.25"/>
    <row r="80850" s="12" customFormat="1" x14ac:dyDescent="0.25"/>
    <row r="80851" s="12" customFormat="1" x14ac:dyDescent="0.25"/>
    <row r="80852" s="12" customFormat="1" x14ac:dyDescent="0.25"/>
    <row r="80853" s="12" customFormat="1" x14ac:dyDescent="0.25"/>
    <row r="80854" s="12" customFormat="1" x14ac:dyDescent="0.25"/>
    <row r="80855" s="12" customFormat="1" x14ac:dyDescent="0.25"/>
    <row r="80856" s="12" customFormat="1" x14ac:dyDescent="0.25"/>
    <row r="80857" s="12" customFormat="1" x14ac:dyDescent="0.25"/>
    <row r="80858" s="12" customFormat="1" x14ac:dyDescent="0.25"/>
    <row r="80859" s="12" customFormat="1" x14ac:dyDescent="0.25"/>
    <row r="80860" s="12" customFormat="1" x14ac:dyDescent="0.25"/>
    <row r="80861" s="12" customFormat="1" x14ac:dyDescent="0.25"/>
    <row r="80862" s="12" customFormat="1" x14ac:dyDescent="0.25"/>
    <row r="80863" s="12" customFormat="1" x14ac:dyDescent="0.25"/>
    <row r="80864" s="12" customFormat="1" x14ac:dyDescent="0.25"/>
    <row r="80865" s="12" customFormat="1" x14ac:dyDescent="0.25"/>
    <row r="80866" s="12" customFormat="1" x14ac:dyDescent="0.25"/>
    <row r="80867" s="12" customFormat="1" x14ac:dyDescent="0.25"/>
    <row r="80868" s="12" customFormat="1" x14ac:dyDescent="0.25"/>
    <row r="80869" s="12" customFormat="1" x14ac:dyDescent="0.25"/>
    <row r="80870" s="12" customFormat="1" x14ac:dyDescent="0.25"/>
    <row r="80871" s="12" customFormat="1" x14ac:dyDescent="0.25"/>
    <row r="80872" s="12" customFormat="1" x14ac:dyDescent="0.25"/>
    <row r="80873" s="12" customFormat="1" x14ac:dyDescent="0.25"/>
    <row r="80874" s="12" customFormat="1" x14ac:dyDescent="0.25"/>
    <row r="80875" s="12" customFormat="1" x14ac:dyDescent="0.25"/>
    <row r="80876" s="12" customFormat="1" x14ac:dyDescent="0.25"/>
    <row r="80877" s="12" customFormat="1" x14ac:dyDescent="0.25"/>
    <row r="80878" s="12" customFormat="1" x14ac:dyDescent="0.25"/>
    <row r="80879" s="12" customFormat="1" x14ac:dyDescent="0.25"/>
    <row r="80880" s="12" customFormat="1" x14ac:dyDescent="0.25"/>
    <row r="80881" s="12" customFormat="1" x14ac:dyDescent="0.25"/>
    <row r="80882" s="12" customFormat="1" x14ac:dyDescent="0.25"/>
    <row r="80883" s="12" customFormat="1" x14ac:dyDescent="0.25"/>
    <row r="80884" s="12" customFormat="1" x14ac:dyDescent="0.25"/>
    <row r="80885" s="12" customFormat="1" x14ac:dyDescent="0.25"/>
    <row r="80886" s="12" customFormat="1" x14ac:dyDescent="0.25"/>
    <row r="80887" s="12" customFormat="1" x14ac:dyDescent="0.25"/>
    <row r="80888" s="12" customFormat="1" x14ac:dyDescent="0.25"/>
    <row r="80889" s="12" customFormat="1" x14ac:dyDescent="0.25"/>
    <row r="80890" s="12" customFormat="1" x14ac:dyDescent="0.25"/>
    <row r="80891" s="12" customFormat="1" x14ac:dyDescent="0.25"/>
    <row r="80892" s="12" customFormat="1" x14ac:dyDescent="0.25"/>
    <row r="80893" s="12" customFormat="1" x14ac:dyDescent="0.25"/>
    <row r="80894" s="12" customFormat="1" x14ac:dyDescent="0.25"/>
    <row r="80895" s="12" customFormat="1" x14ac:dyDescent="0.25"/>
    <row r="80896" s="12" customFormat="1" x14ac:dyDescent="0.25"/>
    <row r="80897" s="12" customFormat="1" x14ac:dyDescent="0.25"/>
    <row r="80898" s="12" customFormat="1" x14ac:dyDescent="0.25"/>
    <row r="80899" s="12" customFormat="1" x14ac:dyDescent="0.25"/>
    <row r="80900" s="12" customFormat="1" x14ac:dyDescent="0.25"/>
    <row r="80901" s="12" customFormat="1" x14ac:dyDescent="0.25"/>
    <row r="80902" s="12" customFormat="1" x14ac:dyDescent="0.25"/>
    <row r="80903" s="12" customFormat="1" x14ac:dyDescent="0.25"/>
    <row r="80904" s="12" customFormat="1" x14ac:dyDescent="0.25"/>
    <row r="80905" s="12" customFormat="1" x14ac:dyDescent="0.25"/>
    <row r="80906" s="12" customFormat="1" x14ac:dyDescent="0.25"/>
    <row r="80907" s="12" customFormat="1" x14ac:dyDescent="0.25"/>
    <row r="80908" s="12" customFormat="1" x14ac:dyDescent="0.25"/>
    <row r="80909" s="12" customFormat="1" x14ac:dyDescent="0.25"/>
    <row r="80910" s="12" customFormat="1" x14ac:dyDescent="0.25"/>
    <row r="80911" s="12" customFormat="1" x14ac:dyDescent="0.25"/>
    <row r="80912" s="12" customFormat="1" x14ac:dyDescent="0.25"/>
    <row r="80913" s="12" customFormat="1" x14ac:dyDescent="0.25"/>
    <row r="80914" s="12" customFormat="1" x14ac:dyDescent="0.25"/>
    <row r="80915" s="12" customFormat="1" x14ac:dyDescent="0.25"/>
    <row r="80916" s="12" customFormat="1" x14ac:dyDescent="0.25"/>
    <row r="80917" s="12" customFormat="1" x14ac:dyDescent="0.25"/>
    <row r="80918" s="12" customFormat="1" x14ac:dyDescent="0.25"/>
    <row r="80919" s="12" customFormat="1" x14ac:dyDescent="0.25"/>
    <row r="80920" s="12" customFormat="1" x14ac:dyDescent="0.25"/>
    <row r="80921" s="12" customFormat="1" x14ac:dyDescent="0.25"/>
    <row r="80922" s="12" customFormat="1" x14ac:dyDescent="0.25"/>
    <row r="80923" s="12" customFormat="1" x14ac:dyDescent="0.25"/>
    <row r="80924" s="12" customFormat="1" x14ac:dyDescent="0.25"/>
    <row r="80925" s="12" customFormat="1" x14ac:dyDescent="0.25"/>
    <row r="80926" s="12" customFormat="1" x14ac:dyDescent="0.25"/>
    <row r="80927" s="12" customFormat="1" x14ac:dyDescent="0.25"/>
    <row r="80928" s="12" customFormat="1" x14ac:dyDescent="0.25"/>
    <row r="80929" s="12" customFormat="1" x14ac:dyDescent="0.25"/>
    <row r="80930" s="12" customFormat="1" x14ac:dyDescent="0.25"/>
    <row r="80931" s="12" customFormat="1" x14ac:dyDescent="0.25"/>
    <row r="80932" s="12" customFormat="1" x14ac:dyDescent="0.25"/>
    <row r="80933" s="12" customFormat="1" x14ac:dyDescent="0.25"/>
    <row r="80934" s="12" customFormat="1" x14ac:dyDescent="0.25"/>
    <row r="80935" s="12" customFormat="1" x14ac:dyDescent="0.25"/>
    <row r="80936" s="12" customFormat="1" x14ac:dyDescent="0.25"/>
    <row r="80937" s="12" customFormat="1" x14ac:dyDescent="0.25"/>
    <row r="80938" s="12" customFormat="1" x14ac:dyDescent="0.25"/>
    <row r="80939" s="12" customFormat="1" x14ac:dyDescent="0.25"/>
    <row r="80940" s="12" customFormat="1" x14ac:dyDescent="0.25"/>
    <row r="80941" s="12" customFormat="1" x14ac:dyDescent="0.25"/>
    <row r="80942" s="12" customFormat="1" x14ac:dyDescent="0.25"/>
    <row r="80943" s="12" customFormat="1" x14ac:dyDescent="0.25"/>
    <row r="80944" s="12" customFormat="1" x14ac:dyDescent="0.25"/>
    <row r="80945" s="12" customFormat="1" x14ac:dyDescent="0.25"/>
    <row r="80946" s="12" customFormat="1" x14ac:dyDescent="0.25"/>
    <row r="80947" s="12" customFormat="1" x14ac:dyDescent="0.25"/>
    <row r="80948" s="12" customFormat="1" x14ac:dyDescent="0.25"/>
    <row r="80949" s="12" customFormat="1" x14ac:dyDescent="0.25"/>
    <row r="80950" s="12" customFormat="1" x14ac:dyDescent="0.25"/>
    <row r="80951" s="12" customFormat="1" x14ac:dyDescent="0.25"/>
    <row r="80952" s="12" customFormat="1" x14ac:dyDescent="0.25"/>
    <row r="80953" s="12" customFormat="1" x14ac:dyDescent="0.25"/>
    <row r="80954" s="12" customFormat="1" x14ac:dyDescent="0.25"/>
    <row r="80955" s="12" customFormat="1" x14ac:dyDescent="0.25"/>
    <row r="80956" s="12" customFormat="1" x14ac:dyDescent="0.25"/>
    <row r="80957" s="12" customFormat="1" x14ac:dyDescent="0.25"/>
    <row r="80958" s="12" customFormat="1" x14ac:dyDescent="0.25"/>
    <row r="80959" s="12" customFormat="1" x14ac:dyDescent="0.25"/>
    <row r="80960" s="12" customFormat="1" x14ac:dyDescent="0.25"/>
    <row r="80961" s="12" customFormat="1" x14ac:dyDescent="0.25"/>
    <row r="80962" s="12" customFormat="1" x14ac:dyDescent="0.25"/>
    <row r="80963" s="12" customFormat="1" x14ac:dyDescent="0.25"/>
    <row r="80964" s="12" customFormat="1" x14ac:dyDescent="0.25"/>
    <row r="80965" s="12" customFormat="1" x14ac:dyDescent="0.25"/>
    <row r="80966" s="12" customFormat="1" x14ac:dyDescent="0.25"/>
    <row r="80967" s="12" customFormat="1" x14ac:dyDescent="0.25"/>
    <row r="80968" s="12" customFormat="1" x14ac:dyDescent="0.25"/>
    <row r="80969" s="12" customFormat="1" x14ac:dyDescent="0.25"/>
    <row r="80970" s="12" customFormat="1" x14ac:dyDescent="0.25"/>
    <row r="80971" s="12" customFormat="1" x14ac:dyDescent="0.25"/>
    <row r="80972" s="12" customFormat="1" x14ac:dyDescent="0.25"/>
    <row r="80973" s="12" customFormat="1" x14ac:dyDescent="0.25"/>
    <row r="80974" s="12" customFormat="1" x14ac:dyDescent="0.25"/>
    <row r="80975" s="12" customFormat="1" x14ac:dyDescent="0.25"/>
    <row r="80976" s="12" customFormat="1" x14ac:dyDescent="0.25"/>
    <row r="80977" s="12" customFormat="1" x14ac:dyDescent="0.25"/>
    <row r="80978" s="12" customFormat="1" x14ac:dyDescent="0.25"/>
    <row r="80979" s="12" customFormat="1" x14ac:dyDescent="0.25"/>
    <row r="80980" s="12" customFormat="1" x14ac:dyDescent="0.25"/>
    <row r="80981" s="12" customFormat="1" x14ac:dyDescent="0.25"/>
    <row r="80982" s="12" customFormat="1" x14ac:dyDescent="0.25"/>
    <row r="80983" s="12" customFormat="1" x14ac:dyDescent="0.25"/>
    <row r="80984" s="12" customFormat="1" x14ac:dyDescent="0.25"/>
    <row r="80985" s="12" customFormat="1" x14ac:dyDescent="0.25"/>
    <row r="80986" s="12" customFormat="1" x14ac:dyDescent="0.25"/>
    <row r="80987" s="12" customFormat="1" x14ac:dyDescent="0.25"/>
    <row r="80988" s="12" customFormat="1" x14ac:dyDescent="0.25"/>
    <row r="80989" s="12" customFormat="1" x14ac:dyDescent="0.25"/>
    <row r="80990" s="12" customFormat="1" x14ac:dyDescent="0.25"/>
    <row r="80991" s="12" customFormat="1" x14ac:dyDescent="0.25"/>
    <row r="80992" s="12" customFormat="1" x14ac:dyDescent="0.25"/>
    <row r="80993" s="12" customFormat="1" x14ac:dyDescent="0.25"/>
    <row r="80994" s="12" customFormat="1" x14ac:dyDescent="0.25"/>
    <row r="80995" s="12" customFormat="1" x14ac:dyDescent="0.25"/>
    <row r="80996" s="12" customFormat="1" x14ac:dyDescent="0.25"/>
    <row r="80997" s="12" customFormat="1" x14ac:dyDescent="0.25"/>
    <row r="80998" s="12" customFormat="1" x14ac:dyDescent="0.25"/>
    <row r="80999" s="12" customFormat="1" x14ac:dyDescent="0.25"/>
    <row r="81000" s="12" customFormat="1" x14ac:dyDescent="0.25"/>
    <row r="81001" s="12" customFormat="1" x14ac:dyDescent="0.25"/>
    <row r="81002" s="12" customFormat="1" x14ac:dyDescent="0.25"/>
    <row r="81003" s="12" customFormat="1" x14ac:dyDescent="0.25"/>
    <row r="81004" s="12" customFormat="1" x14ac:dyDescent="0.25"/>
    <row r="81005" s="12" customFormat="1" x14ac:dyDescent="0.25"/>
    <row r="81006" s="12" customFormat="1" x14ac:dyDescent="0.25"/>
    <row r="81007" s="12" customFormat="1" x14ac:dyDescent="0.25"/>
    <row r="81008" s="12" customFormat="1" x14ac:dyDescent="0.25"/>
    <row r="81009" s="12" customFormat="1" x14ac:dyDescent="0.25"/>
    <row r="81010" s="12" customFormat="1" x14ac:dyDescent="0.25"/>
    <row r="81011" s="12" customFormat="1" x14ac:dyDescent="0.25"/>
    <row r="81012" s="12" customFormat="1" x14ac:dyDescent="0.25"/>
    <row r="81013" s="12" customFormat="1" x14ac:dyDescent="0.25"/>
    <row r="81014" s="12" customFormat="1" x14ac:dyDescent="0.25"/>
    <row r="81015" s="12" customFormat="1" x14ac:dyDescent="0.25"/>
    <row r="81016" s="12" customFormat="1" x14ac:dyDescent="0.25"/>
    <row r="81017" s="12" customFormat="1" x14ac:dyDescent="0.25"/>
    <row r="81018" s="12" customFormat="1" x14ac:dyDescent="0.25"/>
    <row r="81019" s="12" customFormat="1" x14ac:dyDescent="0.25"/>
    <row r="81020" s="12" customFormat="1" x14ac:dyDescent="0.25"/>
    <row r="81021" s="12" customFormat="1" x14ac:dyDescent="0.25"/>
    <row r="81022" s="12" customFormat="1" x14ac:dyDescent="0.25"/>
    <row r="81023" s="12" customFormat="1" x14ac:dyDescent="0.25"/>
    <row r="81024" s="12" customFormat="1" x14ac:dyDescent="0.25"/>
    <row r="81025" s="12" customFormat="1" x14ac:dyDescent="0.25"/>
    <row r="81026" s="12" customFormat="1" x14ac:dyDescent="0.25"/>
    <row r="81027" s="12" customFormat="1" x14ac:dyDescent="0.25"/>
    <row r="81028" s="12" customFormat="1" x14ac:dyDescent="0.25"/>
    <row r="81029" s="12" customFormat="1" x14ac:dyDescent="0.25"/>
    <row r="81030" s="12" customFormat="1" x14ac:dyDescent="0.25"/>
    <row r="81031" s="12" customFormat="1" x14ac:dyDescent="0.25"/>
    <row r="81032" s="12" customFormat="1" x14ac:dyDescent="0.25"/>
    <row r="81033" s="12" customFormat="1" x14ac:dyDescent="0.25"/>
    <row r="81034" s="12" customFormat="1" x14ac:dyDescent="0.25"/>
    <row r="81035" s="12" customFormat="1" x14ac:dyDescent="0.25"/>
    <row r="81036" s="12" customFormat="1" x14ac:dyDescent="0.25"/>
    <row r="81037" s="12" customFormat="1" x14ac:dyDescent="0.25"/>
    <row r="81038" s="12" customFormat="1" x14ac:dyDescent="0.25"/>
    <row r="81039" s="12" customFormat="1" x14ac:dyDescent="0.25"/>
    <row r="81040" s="12" customFormat="1" x14ac:dyDescent="0.25"/>
    <row r="81041" s="12" customFormat="1" x14ac:dyDescent="0.25"/>
    <row r="81042" s="12" customFormat="1" x14ac:dyDescent="0.25"/>
    <row r="81043" s="12" customFormat="1" x14ac:dyDescent="0.25"/>
    <row r="81044" s="12" customFormat="1" x14ac:dyDescent="0.25"/>
    <row r="81045" s="12" customFormat="1" x14ac:dyDescent="0.25"/>
    <row r="81046" s="12" customFormat="1" x14ac:dyDescent="0.25"/>
    <row r="81047" s="12" customFormat="1" x14ac:dyDescent="0.25"/>
    <row r="81048" s="12" customFormat="1" x14ac:dyDescent="0.25"/>
    <row r="81049" s="12" customFormat="1" x14ac:dyDescent="0.25"/>
    <row r="81050" s="12" customFormat="1" x14ac:dyDescent="0.25"/>
    <row r="81051" s="12" customFormat="1" x14ac:dyDescent="0.25"/>
    <row r="81052" s="12" customFormat="1" x14ac:dyDescent="0.25"/>
    <row r="81053" s="12" customFormat="1" x14ac:dyDescent="0.25"/>
    <row r="81054" s="12" customFormat="1" x14ac:dyDescent="0.25"/>
    <row r="81055" s="12" customFormat="1" x14ac:dyDescent="0.25"/>
    <row r="81056" s="12" customFormat="1" x14ac:dyDescent="0.25"/>
    <row r="81057" s="12" customFormat="1" x14ac:dyDescent="0.25"/>
    <row r="81058" s="12" customFormat="1" x14ac:dyDescent="0.25"/>
    <row r="81059" s="12" customFormat="1" x14ac:dyDescent="0.25"/>
    <row r="81060" s="12" customFormat="1" x14ac:dyDescent="0.25"/>
    <row r="81061" s="12" customFormat="1" x14ac:dyDescent="0.25"/>
    <row r="81062" s="12" customFormat="1" x14ac:dyDescent="0.25"/>
    <row r="81063" s="12" customFormat="1" x14ac:dyDescent="0.25"/>
    <row r="81064" s="12" customFormat="1" x14ac:dyDescent="0.25"/>
    <row r="81065" s="12" customFormat="1" x14ac:dyDescent="0.25"/>
    <row r="81066" s="12" customFormat="1" x14ac:dyDescent="0.25"/>
    <row r="81067" s="12" customFormat="1" x14ac:dyDescent="0.25"/>
    <row r="81068" s="12" customFormat="1" x14ac:dyDescent="0.25"/>
    <row r="81069" s="12" customFormat="1" x14ac:dyDescent="0.25"/>
    <row r="81070" s="12" customFormat="1" x14ac:dyDescent="0.25"/>
    <row r="81071" s="12" customFormat="1" x14ac:dyDescent="0.25"/>
    <row r="81072" s="12" customFormat="1" x14ac:dyDescent="0.25"/>
    <row r="81073" s="12" customFormat="1" x14ac:dyDescent="0.25"/>
    <row r="81074" s="12" customFormat="1" x14ac:dyDescent="0.25"/>
    <row r="81075" s="12" customFormat="1" x14ac:dyDescent="0.25"/>
    <row r="81076" s="12" customFormat="1" x14ac:dyDescent="0.25"/>
    <row r="81077" s="12" customFormat="1" x14ac:dyDescent="0.25"/>
    <row r="81078" s="12" customFormat="1" x14ac:dyDescent="0.25"/>
    <row r="81079" s="12" customFormat="1" x14ac:dyDescent="0.25"/>
    <row r="81080" s="12" customFormat="1" x14ac:dyDescent="0.25"/>
    <row r="81081" s="12" customFormat="1" x14ac:dyDescent="0.25"/>
    <row r="81082" s="12" customFormat="1" x14ac:dyDescent="0.25"/>
    <row r="81083" s="12" customFormat="1" x14ac:dyDescent="0.25"/>
    <row r="81084" s="12" customFormat="1" x14ac:dyDescent="0.25"/>
    <row r="81085" s="12" customFormat="1" x14ac:dyDescent="0.25"/>
    <row r="81086" s="12" customFormat="1" x14ac:dyDescent="0.25"/>
    <row r="81087" s="12" customFormat="1" x14ac:dyDescent="0.25"/>
    <row r="81088" s="12" customFormat="1" x14ac:dyDescent="0.25"/>
    <row r="81089" s="12" customFormat="1" x14ac:dyDescent="0.25"/>
    <row r="81090" s="12" customFormat="1" x14ac:dyDescent="0.25"/>
    <row r="81091" s="12" customFormat="1" x14ac:dyDescent="0.25"/>
    <row r="81092" s="12" customFormat="1" x14ac:dyDescent="0.25"/>
    <row r="81093" s="12" customFormat="1" x14ac:dyDescent="0.25"/>
    <row r="81094" s="12" customFormat="1" x14ac:dyDescent="0.25"/>
    <row r="81095" s="12" customFormat="1" x14ac:dyDescent="0.25"/>
    <row r="81096" s="12" customFormat="1" x14ac:dyDescent="0.25"/>
    <row r="81097" s="12" customFormat="1" x14ac:dyDescent="0.25"/>
    <row r="81098" s="12" customFormat="1" x14ac:dyDescent="0.25"/>
    <row r="81099" s="12" customFormat="1" x14ac:dyDescent="0.25"/>
    <row r="81100" s="12" customFormat="1" x14ac:dyDescent="0.25"/>
    <row r="81101" s="12" customFormat="1" x14ac:dyDescent="0.25"/>
    <row r="81102" s="12" customFormat="1" x14ac:dyDescent="0.25"/>
    <row r="81103" s="12" customFormat="1" x14ac:dyDescent="0.25"/>
    <row r="81104" s="12" customFormat="1" x14ac:dyDescent="0.25"/>
    <row r="81105" s="12" customFormat="1" x14ac:dyDescent="0.25"/>
    <row r="81106" s="12" customFormat="1" x14ac:dyDescent="0.25"/>
    <row r="81107" s="12" customFormat="1" x14ac:dyDescent="0.25"/>
    <row r="81108" s="12" customFormat="1" x14ac:dyDescent="0.25"/>
    <row r="81109" s="12" customFormat="1" x14ac:dyDescent="0.25"/>
    <row r="81110" s="12" customFormat="1" x14ac:dyDescent="0.25"/>
    <row r="81111" s="12" customFormat="1" x14ac:dyDescent="0.25"/>
    <row r="81112" s="12" customFormat="1" x14ac:dyDescent="0.25"/>
    <row r="81113" s="12" customFormat="1" x14ac:dyDescent="0.25"/>
    <row r="81114" s="12" customFormat="1" x14ac:dyDescent="0.25"/>
    <row r="81115" s="12" customFormat="1" x14ac:dyDescent="0.25"/>
    <row r="81116" s="12" customFormat="1" x14ac:dyDescent="0.25"/>
    <row r="81117" s="12" customFormat="1" x14ac:dyDescent="0.25"/>
    <row r="81118" s="12" customFormat="1" x14ac:dyDescent="0.25"/>
    <row r="81119" s="12" customFormat="1" x14ac:dyDescent="0.25"/>
    <row r="81120" s="12" customFormat="1" x14ac:dyDescent="0.25"/>
    <row r="81121" s="12" customFormat="1" x14ac:dyDescent="0.25"/>
    <row r="81122" s="12" customFormat="1" x14ac:dyDescent="0.25"/>
    <row r="81123" s="12" customFormat="1" x14ac:dyDescent="0.25"/>
    <row r="81124" s="12" customFormat="1" x14ac:dyDescent="0.25"/>
    <row r="81125" s="12" customFormat="1" x14ac:dyDescent="0.25"/>
    <row r="81126" s="12" customFormat="1" x14ac:dyDescent="0.25"/>
    <row r="81127" s="12" customFormat="1" x14ac:dyDescent="0.25"/>
    <row r="81128" s="12" customFormat="1" x14ac:dyDescent="0.25"/>
    <row r="81129" s="12" customFormat="1" x14ac:dyDescent="0.25"/>
    <row r="81130" s="12" customFormat="1" x14ac:dyDescent="0.25"/>
    <row r="81131" s="12" customFormat="1" x14ac:dyDescent="0.25"/>
    <row r="81132" s="12" customFormat="1" x14ac:dyDescent="0.25"/>
    <row r="81133" s="12" customFormat="1" x14ac:dyDescent="0.25"/>
    <row r="81134" s="12" customFormat="1" x14ac:dyDescent="0.25"/>
    <row r="81135" s="12" customFormat="1" x14ac:dyDescent="0.25"/>
    <row r="81136" s="12" customFormat="1" x14ac:dyDescent="0.25"/>
    <row r="81137" s="12" customFormat="1" x14ac:dyDescent="0.25"/>
    <row r="81138" s="12" customFormat="1" x14ac:dyDescent="0.25"/>
    <row r="81139" s="12" customFormat="1" x14ac:dyDescent="0.25"/>
    <row r="81140" s="12" customFormat="1" x14ac:dyDescent="0.25"/>
    <row r="81141" s="12" customFormat="1" x14ac:dyDescent="0.25"/>
    <row r="81142" s="12" customFormat="1" x14ac:dyDescent="0.25"/>
    <row r="81143" s="12" customFormat="1" x14ac:dyDescent="0.25"/>
    <row r="81144" s="12" customFormat="1" x14ac:dyDescent="0.25"/>
    <row r="81145" s="12" customFormat="1" x14ac:dyDescent="0.25"/>
    <row r="81146" s="12" customFormat="1" x14ac:dyDescent="0.25"/>
    <row r="81147" s="12" customFormat="1" x14ac:dyDescent="0.25"/>
    <row r="81148" s="12" customFormat="1" x14ac:dyDescent="0.25"/>
    <row r="81149" s="12" customFormat="1" x14ac:dyDescent="0.25"/>
    <row r="81150" s="12" customFormat="1" x14ac:dyDescent="0.25"/>
    <row r="81151" s="12" customFormat="1" x14ac:dyDescent="0.25"/>
    <row r="81152" s="12" customFormat="1" x14ac:dyDescent="0.25"/>
    <row r="81153" s="12" customFormat="1" x14ac:dyDescent="0.25"/>
    <row r="81154" s="12" customFormat="1" x14ac:dyDescent="0.25"/>
    <row r="81155" s="12" customFormat="1" x14ac:dyDescent="0.25"/>
    <row r="81156" s="12" customFormat="1" x14ac:dyDescent="0.25"/>
    <row r="81157" s="12" customFormat="1" x14ac:dyDescent="0.25"/>
    <row r="81158" s="12" customFormat="1" x14ac:dyDescent="0.25"/>
    <row r="81159" s="12" customFormat="1" x14ac:dyDescent="0.25"/>
    <row r="81160" s="12" customFormat="1" x14ac:dyDescent="0.25"/>
    <row r="81161" s="12" customFormat="1" x14ac:dyDescent="0.25"/>
    <row r="81162" s="12" customFormat="1" x14ac:dyDescent="0.25"/>
    <row r="81163" s="12" customFormat="1" x14ac:dyDescent="0.25"/>
    <row r="81164" s="12" customFormat="1" x14ac:dyDescent="0.25"/>
    <row r="81165" s="12" customFormat="1" x14ac:dyDescent="0.25"/>
    <row r="81166" s="12" customFormat="1" x14ac:dyDescent="0.25"/>
    <row r="81167" s="12" customFormat="1" x14ac:dyDescent="0.25"/>
    <row r="81168" s="12" customFormat="1" x14ac:dyDescent="0.25"/>
    <row r="81169" s="12" customFormat="1" x14ac:dyDescent="0.25"/>
    <row r="81170" s="12" customFormat="1" x14ac:dyDescent="0.25"/>
    <row r="81171" s="12" customFormat="1" x14ac:dyDescent="0.25"/>
    <row r="81172" s="12" customFormat="1" x14ac:dyDescent="0.25"/>
    <row r="81173" s="12" customFormat="1" x14ac:dyDescent="0.25"/>
    <row r="81174" s="12" customFormat="1" x14ac:dyDescent="0.25"/>
    <row r="81175" s="12" customFormat="1" x14ac:dyDescent="0.25"/>
    <row r="81176" s="12" customFormat="1" x14ac:dyDescent="0.25"/>
    <row r="81177" s="12" customFormat="1" x14ac:dyDescent="0.25"/>
    <row r="81178" s="12" customFormat="1" x14ac:dyDescent="0.25"/>
    <row r="81179" s="12" customFormat="1" x14ac:dyDescent="0.25"/>
    <row r="81180" s="12" customFormat="1" x14ac:dyDescent="0.25"/>
    <row r="81181" s="12" customFormat="1" x14ac:dyDescent="0.25"/>
    <row r="81182" s="12" customFormat="1" x14ac:dyDescent="0.25"/>
    <row r="81183" s="12" customFormat="1" x14ac:dyDescent="0.25"/>
    <row r="81184" s="12" customFormat="1" x14ac:dyDescent="0.25"/>
    <row r="81185" s="12" customFormat="1" x14ac:dyDescent="0.25"/>
    <row r="81186" s="12" customFormat="1" x14ac:dyDescent="0.25"/>
    <row r="81187" s="12" customFormat="1" x14ac:dyDescent="0.25"/>
    <row r="81188" s="12" customFormat="1" x14ac:dyDescent="0.25"/>
    <row r="81189" s="12" customFormat="1" x14ac:dyDescent="0.25"/>
    <row r="81190" s="12" customFormat="1" x14ac:dyDescent="0.25"/>
    <row r="81191" s="12" customFormat="1" x14ac:dyDescent="0.25"/>
    <row r="81192" s="12" customFormat="1" x14ac:dyDescent="0.25"/>
    <row r="81193" s="12" customFormat="1" x14ac:dyDescent="0.25"/>
    <row r="81194" s="12" customFormat="1" x14ac:dyDescent="0.25"/>
    <row r="81195" s="12" customFormat="1" x14ac:dyDescent="0.25"/>
    <row r="81196" s="12" customFormat="1" x14ac:dyDescent="0.25"/>
    <row r="81197" s="12" customFormat="1" x14ac:dyDescent="0.25"/>
    <row r="81198" s="12" customFormat="1" x14ac:dyDescent="0.25"/>
    <row r="81199" s="12" customFormat="1" x14ac:dyDescent="0.25"/>
    <row r="81200" s="12" customFormat="1" x14ac:dyDescent="0.25"/>
    <row r="81201" s="12" customFormat="1" x14ac:dyDescent="0.25"/>
    <row r="81202" s="12" customFormat="1" x14ac:dyDescent="0.25"/>
    <row r="81203" s="12" customFormat="1" x14ac:dyDescent="0.25"/>
    <row r="81204" s="12" customFormat="1" x14ac:dyDescent="0.25"/>
    <row r="81205" s="12" customFormat="1" x14ac:dyDescent="0.25"/>
    <row r="81206" s="12" customFormat="1" x14ac:dyDescent="0.25"/>
    <row r="81207" s="12" customFormat="1" x14ac:dyDescent="0.25"/>
    <row r="81208" s="12" customFormat="1" x14ac:dyDescent="0.25"/>
    <row r="81209" s="12" customFormat="1" x14ac:dyDescent="0.25"/>
    <row r="81210" s="12" customFormat="1" x14ac:dyDescent="0.25"/>
    <row r="81211" s="12" customFormat="1" x14ac:dyDescent="0.25"/>
    <row r="81212" s="12" customFormat="1" x14ac:dyDescent="0.25"/>
    <row r="81213" s="12" customFormat="1" x14ac:dyDescent="0.25"/>
    <row r="81214" s="12" customFormat="1" x14ac:dyDescent="0.25"/>
    <row r="81215" s="12" customFormat="1" x14ac:dyDescent="0.25"/>
    <row r="81216" s="12" customFormat="1" x14ac:dyDescent="0.25"/>
    <row r="81217" s="12" customFormat="1" x14ac:dyDescent="0.25"/>
    <row r="81218" s="12" customFormat="1" x14ac:dyDescent="0.25"/>
    <row r="81219" s="12" customFormat="1" x14ac:dyDescent="0.25"/>
    <row r="81220" s="12" customFormat="1" x14ac:dyDescent="0.25"/>
    <row r="81221" s="12" customFormat="1" x14ac:dyDescent="0.25"/>
    <row r="81222" s="12" customFormat="1" x14ac:dyDescent="0.25"/>
    <row r="81223" s="12" customFormat="1" x14ac:dyDescent="0.25"/>
    <row r="81224" s="12" customFormat="1" x14ac:dyDescent="0.25"/>
    <row r="81225" s="12" customFormat="1" x14ac:dyDescent="0.25"/>
    <row r="81226" s="12" customFormat="1" x14ac:dyDescent="0.25"/>
    <row r="81227" s="12" customFormat="1" x14ac:dyDescent="0.25"/>
    <row r="81228" s="12" customFormat="1" x14ac:dyDescent="0.25"/>
    <row r="81229" s="12" customFormat="1" x14ac:dyDescent="0.25"/>
    <row r="81230" s="12" customFormat="1" x14ac:dyDescent="0.25"/>
    <row r="81231" s="12" customFormat="1" x14ac:dyDescent="0.25"/>
    <row r="81232" s="12" customFormat="1" x14ac:dyDescent="0.25"/>
    <row r="81233" s="12" customFormat="1" x14ac:dyDescent="0.25"/>
    <row r="81234" s="12" customFormat="1" x14ac:dyDescent="0.25"/>
    <row r="81235" s="12" customFormat="1" x14ac:dyDescent="0.25"/>
    <row r="81236" s="12" customFormat="1" x14ac:dyDescent="0.25"/>
    <row r="81237" s="12" customFormat="1" x14ac:dyDescent="0.25"/>
    <row r="81238" s="12" customFormat="1" x14ac:dyDescent="0.25"/>
    <row r="81239" s="12" customFormat="1" x14ac:dyDescent="0.25"/>
    <row r="81240" s="12" customFormat="1" x14ac:dyDescent="0.25"/>
    <row r="81241" s="12" customFormat="1" x14ac:dyDescent="0.25"/>
    <row r="81242" s="12" customFormat="1" x14ac:dyDescent="0.25"/>
    <row r="81243" s="12" customFormat="1" x14ac:dyDescent="0.25"/>
    <row r="81244" s="12" customFormat="1" x14ac:dyDescent="0.25"/>
    <row r="81245" s="12" customFormat="1" x14ac:dyDescent="0.25"/>
    <row r="81246" s="12" customFormat="1" x14ac:dyDescent="0.25"/>
    <row r="81247" s="12" customFormat="1" x14ac:dyDescent="0.25"/>
    <row r="81248" s="12" customFormat="1" x14ac:dyDescent="0.25"/>
    <row r="81249" s="12" customFormat="1" x14ac:dyDescent="0.25"/>
    <row r="81250" s="12" customFormat="1" x14ac:dyDescent="0.25"/>
    <row r="81251" s="12" customFormat="1" x14ac:dyDescent="0.25"/>
    <row r="81252" s="12" customFormat="1" x14ac:dyDescent="0.25"/>
    <row r="81253" s="12" customFormat="1" x14ac:dyDescent="0.25"/>
    <row r="81254" s="12" customFormat="1" x14ac:dyDescent="0.25"/>
    <row r="81255" s="12" customFormat="1" x14ac:dyDescent="0.25"/>
    <row r="81256" s="12" customFormat="1" x14ac:dyDescent="0.25"/>
    <row r="81257" s="12" customFormat="1" x14ac:dyDescent="0.25"/>
    <row r="81258" s="12" customFormat="1" x14ac:dyDescent="0.25"/>
    <row r="81259" s="12" customFormat="1" x14ac:dyDescent="0.25"/>
    <row r="81260" s="12" customFormat="1" x14ac:dyDescent="0.25"/>
    <row r="81261" s="12" customFormat="1" x14ac:dyDescent="0.25"/>
    <row r="81262" s="12" customFormat="1" x14ac:dyDescent="0.25"/>
    <row r="81263" s="12" customFormat="1" x14ac:dyDescent="0.25"/>
    <row r="81264" s="12" customFormat="1" x14ac:dyDescent="0.25"/>
    <row r="81265" s="12" customFormat="1" x14ac:dyDescent="0.25"/>
    <row r="81266" s="12" customFormat="1" x14ac:dyDescent="0.25"/>
    <row r="81267" s="12" customFormat="1" x14ac:dyDescent="0.25"/>
    <row r="81268" s="12" customFormat="1" x14ac:dyDescent="0.25"/>
    <row r="81269" s="12" customFormat="1" x14ac:dyDescent="0.25"/>
    <row r="81270" s="12" customFormat="1" x14ac:dyDescent="0.25"/>
    <row r="81271" s="12" customFormat="1" x14ac:dyDescent="0.25"/>
    <row r="81272" s="12" customFormat="1" x14ac:dyDescent="0.25"/>
    <row r="81273" s="12" customFormat="1" x14ac:dyDescent="0.25"/>
    <row r="81274" s="12" customFormat="1" x14ac:dyDescent="0.25"/>
    <row r="81275" s="12" customFormat="1" x14ac:dyDescent="0.25"/>
    <row r="81276" s="12" customFormat="1" x14ac:dyDescent="0.25"/>
    <row r="81277" s="12" customFormat="1" x14ac:dyDescent="0.25"/>
    <row r="81278" s="12" customFormat="1" x14ac:dyDescent="0.25"/>
    <row r="81279" s="12" customFormat="1" x14ac:dyDescent="0.25"/>
    <row r="81280" s="12" customFormat="1" x14ac:dyDescent="0.25"/>
    <row r="81281" s="12" customFormat="1" x14ac:dyDescent="0.25"/>
    <row r="81282" s="12" customFormat="1" x14ac:dyDescent="0.25"/>
    <row r="81283" s="12" customFormat="1" x14ac:dyDescent="0.25"/>
    <row r="81284" s="12" customFormat="1" x14ac:dyDescent="0.25"/>
    <row r="81285" s="12" customFormat="1" x14ac:dyDescent="0.25"/>
    <row r="81286" s="12" customFormat="1" x14ac:dyDescent="0.25"/>
    <row r="81287" s="12" customFormat="1" x14ac:dyDescent="0.25"/>
    <row r="81288" s="12" customFormat="1" x14ac:dyDescent="0.25"/>
    <row r="81289" s="12" customFormat="1" x14ac:dyDescent="0.25"/>
    <row r="81290" s="12" customFormat="1" x14ac:dyDescent="0.25"/>
    <row r="81291" s="12" customFormat="1" x14ac:dyDescent="0.25"/>
    <row r="81292" s="12" customFormat="1" x14ac:dyDescent="0.25"/>
    <row r="81293" s="12" customFormat="1" x14ac:dyDescent="0.25"/>
    <row r="81294" s="12" customFormat="1" x14ac:dyDescent="0.25"/>
    <row r="81295" s="12" customFormat="1" x14ac:dyDescent="0.25"/>
    <row r="81296" s="12" customFormat="1" x14ac:dyDescent="0.25"/>
    <row r="81297" s="12" customFormat="1" x14ac:dyDescent="0.25"/>
    <row r="81298" s="12" customFormat="1" x14ac:dyDescent="0.25"/>
    <row r="81299" s="12" customFormat="1" x14ac:dyDescent="0.25"/>
    <row r="81300" s="12" customFormat="1" x14ac:dyDescent="0.25"/>
    <row r="81301" s="12" customFormat="1" x14ac:dyDescent="0.25"/>
    <row r="81302" s="12" customFormat="1" x14ac:dyDescent="0.25"/>
    <row r="81303" s="12" customFormat="1" x14ac:dyDescent="0.25"/>
    <row r="81304" s="12" customFormat="1" x14ac:dyDescent="0.25"/>
    <row r="81305" s="12" customFormat="1" x14ac:dyDescent="0.25"/>
    <row r="81306" s="12" customFormat="1" x14ac:dyDescent="0.25"/>
    <row r="81307" s="12" customFormat="1" x14ac:dyDescent="0.25"/>
    <row r="81308" s="12" customFormat="1" x14ac:dyDescent="0.25"/>
    <row r="81309" s="12" customFormat="1" x14ac:dyDescent="0.25"/>
    <row r="81310" s="12" customFormat="1" x14ac:dyDescent="0.25"/>
    <row r="81311" s="12" customFormat="1" x14ac:dyDescent="0.25"/>
    <row r="81312" s="12" customFormat="1" x14ac:dyDescent="0.25"/>
    <row r="81313" s="12" customFormat="1" x14ac:dyDescent="0.25"/>
    <row r="81314" s="12" customFormat="1" x14ac:dyDescent="0.25"/>
    <row r="81315" s="12" customFormat="1" x14ac:dyDescent="0.25"/>
    <row r="81316" s="12" customFormat="1" x14ac:dyDescent="0.25"/>
    <row r="81317" s="12" customFormat="1" x14ac:dyDescent="0.25"/>
    <row r="81318" s="12" customFormat="1" x14ac:dyDescent="0.25"/>
    <row r="81319" s="12" customFormat="1" x14ac:dyDescent="0.25"/>
    <row r="81320" s="12" customFormat="1" x14ac:dyDescent="0.25"/>
    <row r="81321" s="12" customFormat="1" x14ac:dyDescent="0.25"/>
    <row r="81322" s="12" customFormat="1" x14ac:dyDescent="0.25"/>
    <row r="81323" s="12" customFormat="1" x14ac:dyDescent="0.25"/>
    <row r="81324" s="12" customFormat="1" x14ac:dyDescent="0.25"/>
    <row r="81325" s="12" customFormat="1" x14ac:dyDescent="0.25"/>
    <row r="81326" s="12" customFormat="1" x14ac:dyDescent="0.25"/>
    <row r="81327" s="12" customFormat="1" x14ac:dyDescent="0.25"/>
    <row r="81328" s="12" customFormat="1" x14ac:dyDescent="0.25"/>
    <row r="81329" s="12" customFormat="1" x14ac:dyDescent="0.25"/>
    <row r="81330" s="12" customFormat="1" x14ac:dyDescent="0.25"/>
    <row r="81331" s="12" customFormat="1" x14ac:dyDescent="0.25"/>
    <row r="81332" s="12" customFormat="1" x14ac:dyDescent="0.25"/>
    <row r="81333" s="12" customFormat="1" x14ac:dyDescent="0.25"/>
    <row r="81334" s="12" customFormat="1" x14ac:dyDescent="0.25"/>
    <row r="81335" s="12" customFormat="1" x14ac:dyDescent="0.25"/>
    <row r="81336" s="12" customFormat="1" x14ac:dyDescent="0.25"/>
    <row r="81337" s="12" customFormat="1" x14ac:dyDescent="0.25"/>
    <row r="81338" s="12" customFormat="1" x14ac:dyDescent="0.25"/>
    <row r="81339" s="12" customFormat="1" x14ac:dyDescent="0.25"/>
    <row r="81340" s="12" customFormat="1" x14ac:dyDescent="0.25"/>
    <row r="81341" s="12" customFormat="1" x14ac:dyDescent="0.25"/>
    <row r="81342" s="12" customFormat="1" x14ac:dyDescent="0.25"/>
    <row r="81343" s="12" customFormat="1" x14ac:dyDescent="0.25"/>
    <row r="81344" s="12" customFormat="1" x14ac:dyDescent="0.25"/>
    <row r="81345" s="12" customFormat="1" x14ac:dyDescent="0.25"/>
    <row r="81346" s="12" customFormat="1" x14ac:dyDescent="0.25"/>
    <row r="81347" s="12" customFormat="1" x14ac:dyDescent="0.25"/>
    <row r="81348" s="12" customFormat="1" x14ac:dyDescent="0.25"/>
    <row r="81349" s="12" customFormat="1" x14ac:dyDescent="0.25"/>
    <row r="81350" s="12" customFormat="1" x14ac:dyDescent="0.25"/>
    <row r="81351" s="12" customFormat="1" x14ac:dyDescent="0.25"/>
    <row r="81352" s="12" customFormat="1" x14ac:dyDescent="0.25"/>
    <row r="81353" s="12" customFormat="1" x14ac:dyDescent="0.25"/>
    <row r="81354" s="12" customFormat="1" x14ac:dyDescent="0.25"/>
    <row r="81355" s="12" customFormat="1" x14ac:dyDescent="0.25"/>
    <row r="81356" s="12" customFormat="1" x14ac:dyDescent="0.25"/>
    <row r="81357" s="12" customFormat="1" x14ac:dyDescent="0.25"/>
    <row r="81358" s="12" customFormat="1" x14ac:dyDescent="0.25"/>
    <row r="81359" s="12" customFormat="1" x14ac:dyDescent="0.25"/>
    <row r="81360" s="12" customFormat="1" x14ac:dyDescent="0.25"/>
    <row r="81361" s="12" customFormat="1" x14ac:dyDescent="0.25"/>
    <row r="81362" s="12" customFormat="1" x14ac:dyDescent="0.25"/>
    <row r="81363" s="12" customFormat="1" x14ac:dyDescent="0.25"/>
    <row r="81364" s="12" customFormat="1" x14ac:dyDescent="0.25"/>
    <row r="81365" s="12" customFormat="1" x14ac:dyDescent="0.25"/>
    <row r="81366" s="12" customFormat="1" x14ac:dyDescent="0.25"/>
    <row r="81367" s="12" customFormat="1" x14ac:dyDescent="0.25"/>
    <row r="81368" s="12" customFormat="1" x14ac:dyDescent="0.25"/>
    <row r="81369" s="12" customFormat="1" x14ac:dyDescent="0.25"/>
    <row r="81370" s="12" customFormat="1" x14ac:dyDescent="0.25"/>
    <row r="81371" s="12" customFormat="1" x14ac:dyDescent="0.25"/>
    <row r="81372" s="12" customFormat="1" x14ac:dyDescent="0.25"/>
    <row r="81373" s="12" customFormat="1" x14ac:dyDescent="0.25"/>
    <row r="81374" s="12" customFormat="1" x14ac:dyDescent="0.25"/>
    <row r="81375" s="12" customFormat="1" x14ac:dyDescent="0.25"/>
    <row r="81376" s="12" customFormat="1" x14ac:dyDescent="0.25"/>
    <row r="81377" s="12" customFormat="1" x14ac:dyDescent="0.25"/>
    <row r="81378" s="12" customFormat="1" x14ac:dyDescent="0.25"/>
    <row r="81379" s="12" customFormat="1" x14ac:dyDescent="0.25"/>
    <row r="81380" s="12" customFormat="1" x14ac:dyDescent="0.25"/>
    <row r="81381" s="12" customFormat="1" x14ac:dyDescent="0.25"/>
    <row r="81382" s="12" customFormat="1" x14ac:dyDescent="0.25"/>
    <row r="81383" s="12" customFormat="1" x14ac:dyDescent="0.25"/>
    <row r="81384" s="12" customFormat="1" x14ac:dyDescent="0.25"/>
    <row r="81385" s="12" customFormat="1" x14ac:dyDescent="0.25"/>
    <row r="81386" s="12" customFormat="1" x14ac:dyDescent="0.25"/>
    <row r="81387" s="12" customFormat="1" x14ac:dyDescent="0.25"/>
    <row r="81388" s="12" customFormat="1" x14ac:dyDescent="0.25"/>
    <row r="81389" s="12" customFormat="1" x14ac:dyDescent="0.25"/>
    <row r="81390" s="12" customFormat="1" x14ac:dyDescent="0.25"/>
    <row r="81391" s="12" customFormat="1" x14ac:dyDescent="0.25"/>
    <row r="81392" s="12" customFormat="1" x14ac:dyDescent="0.25"/>
    <row r="81393" s="12" customFormat="1" x14ac:dyDescent="0.25"/>
    <row r="81394" s="12" customFormat="1" x14ac:dyDescent="0.25"/>
    <row r="81395" s="12" customFormat="1" x14ac:dyDescent="0.25"/>
    <row r="81396" s="12" customFormat="1" x14ac:dyDescent="0.25"/>
    <row r="81397" s="12" customFormat="1" x14ac:dyDescent="0.25"/>
    <row r="81398" s="12" customFormat="1" x14ac:dyDescent="0.25"/>
    <row r="81399" s="12" customFormat="1" x14ac:dyDescent="0.25"/>
    <row r="81400" s="12" customFormat="1" x14ac:dyDescent="0.25"/>
    <row r="81401" s="12" customFormat="1" x14ac:dyDescent="0.25"/>
    <row r="81402" s="12" customFormat="1" x14ac:dyDescent="0.25"/>
    <row r="81403" s="12" customFormat="1" x14ac:dyDescent="0.25"/>
    <row r="81404" s="12" customFormat="1" x14ac:dyDescent="0.25"/>
    <row r="81405" s="12" customFormat="1" x14ac:dyDescent="0.25"/>
    <row r="81406" s="12" customFormat="1" x14ac:dyDescent="0.25"/>
    <row r="81407" s="12" customFormat="1" x14ac:dyDescent="0.25"/>
    <row r="81408" s="12" customFormat="1" x14ac:dyDescent="0.25"/>
    <row r="81409" s="12" customFormat="1" x14ac:dyDescent="0.25"/>
    <row r="81410" s="12" customFormat="1" x14ac:dyDescent="0.25"/>
    <row r="81411" s="12" customFormat="1" x14ac:dyDescent="0.25"/>
    <row r="81412" s="12" customFormat="1" x14ac:dyDescent="0.25"/>
    <row r="81413" s="12" customFormat="1" x14ac:dyDescent="0.25"/>
    <row r="81414" s="12" customFormat="1" x14ac:dyDescent="0.25"/>
    <row r="81415" s="12" customFormat="1" x14ac:dyDescent="0.25"/>
    <row r="81416" s="12" customFormat="1" x14ac:dyDescent="0.25"/>
    <row r="81417" s="12" customFormat="1" x14ac:dyDescent="0.25"/>
    <row r="81418" s="12" customFormat="1" x14ac:dyDescent="0.25"/>
    <row r="81419" s="12" customFormat="1" x14ac:dyDescent="0.25"/>
    <row r="81420" s="12" customFormat="1" x14ac:dyDescent="0.25"/>
    <row r="81421" s="12" customFormat="1" x14ac:dyDescent="0.25"/>
    <row r="81422" s="12" customFormat="1" x14ac:dyDescent="0.25"/>
    <row r="81423" s="12" customFormat="1" x14ac:dyDescent="0.25"/>
    <row r="81424" s="12" customFormat="1" x14ac:dyDescent="0.25"/>
    <row r="81425" s="12" customFormat="1" x14ac:dyDescent="0.25"/>
    <row r="81426" s="12" customFormat="1" x14ac:dyDescent="0.25"/>
    <row r="81427" s="12" customFormat="1" x14ac:dyDescent="0.25"/>
    <row r="81428" s="12" customFormat="1" x14ac:dyDescent="0.25"/>
    <row r="81429" s="12" customFormat="1" x14ac:dyDescent="0.25"/>
    <row r="81430" s="12" customFormat="1" x14ac:dyDescent="0.25"/>
    <row r="81431" s="12" customFormat="1" x14ac:dyDescent="0.25"/>
    <row r="81432" s="12" customFormat="1" x14ac:dyDescent="0.25"/>
    <row r="81433" s="12" customFormat="1" x14ac:dyDescent="0.25"/>
    <row r="81434" s="12" customFormat="1" x14ac:dyDescent="0.25"/>
    <row r="81435" s="12" customFormat="1" x14ac:dyDescent="0.25"/>
    <row r="81436" s="12" customFormat="1" x14ac:dyDescent="0.25"/>
    <row r="81437" s="12" customFormat="1" x14ac:dyDescent="0.25"/>
    <row r="81438" s="12" customFormat="1" x14ac:dyDescent="0.25"/>
    <row r="81439" s="12" customFormat="1" x14ac:dyDescent="0.25"/>
    <row r="81440" s="12" customFormat="1" x14ac:dyDescent="0.25"/>
    <row r="81441" s="12" customFormat="1" x14ac:dyDescent="0.25"/>
    <row r="81442" s="12" customFormat="1" x14ac:dyDescent="0.25"/>
    <row r="81443" s="12" customFormat="1" x14ac:dyDescent="0.25"/>
    <row r="81444" s="12" customFormat="1" x14ac:dyDescent="0.25"/>
    <row r="81445" s="12" customFormat="1" x14ac:dyDescent="0.25"/>
    <row r="81446" s="12" customFormat="1" x14ac:dyDescent="0.25"/>
    <row r="81447" s="12" customFormat="1" x14ac:dyDescent="0.25"/>
    <row r="81448" s="12" customFormat="1" x14ac:dyDescent="0.25"/>
    <row r="81449" s="12" customFormat="1" x14ac:dyDescent="0.25"/>
    <row r="81450" s="12" customFormat="1" x14ac:dyDescent="0.25"/>
    <row r="81451" s="12" customFormat="1" x14ac:dyDescent="0.25"/>
    <row r="81452" s="12" customFormat="1" x14ac:dyDescent="0.25"/>
    <row r="81453" s="12" customFormat="1" x14ac:dyDescent="0.25"/>
    <row r="81454" s="12" customFormat="1" x14ac:dyDescent="0.25"/>
    <row r="81455" s="12" customFormat="1" x14ac:dyDescent="0.25"/>
    <row r="81456" s="12" customFormat="1" x14ac:dyDescent="0.25"/>
    <row r="81457" s="12" customFormat="1" x14ac:dyDescent="0.25"/>
    <row r="81458" s="12" customFormat="1" x14ac:dyDescent="0.25"/>
    <row r="81459" s="12" customFormat="1" x14ac:dyDescent="0.25"/>
    <row r="81460" s="12" customFormat="1" x14ac:dyDescent="0.25"/>
    <row r="81461" s="12" customFormat="1" x14ac:dyDescent="0.25"/>
    <row r="81462" s="12" customFormat="1" x14ac:dyDescent="0.25"/>
    <row r="81463" s="12" customFormat="1" x14ac:dyDescent="0.25"/>
    <row r="81464" s="12" customFormat="1" x14ac:dyDescent="0.25"/>
    <row r="81465" s="12" customFormat="1" x14ac:dyDescent="0.25"/>
    <row r="81466" s="12" customFormat="1" x14ac:dyDescent="0.25"/>
    <row r="81467" s="12" customFormat="1" x14ac:dyDescent="0.25"/>
    <row r="81468" s="12" customFormat="1" x14ac:dyDescent="0.25"/>
    <row r="81469" s="12" customFormat="1" x14ac:dyDescent="0.25"/>
    <row r="81470" s="12" customFormat="1" x14ac:dyDescent="0.25"/>
    <row r="81471" s="12" customFormat="1" x14ac:dyDescent="0.25"/>
    <row r="81472" s="12" customFormat="1" x14ac:dyDescent="0.25"/>
    <row r="81473" s="12" customFormat="1" x14ac:dyDescent="0.25"/>
    <row r="81474" s="12" customFormat="1" x14ac:dyDescent="0.25"/>
    <row r="81475" s="12" customFormat="1" x14ac:dyDescent="0.25"/>
    <row r="81476" s="12" customFormat="1" x14ac:dyDescent="0.25"/>
    <row r="81477" s="12" customFormat="1" x14ac:dyDescent="0.25"/>
    <row r="81478" s="12" customFormat="1" x14ac:dyDescent="0.25"/>
    <row r="81479" s="12" customFormat="1" x14ac:dyDescent="0.25"/>
    <row r="81480" s="12" customFormat="1" x14ac:dyDescent="0.25"/>
    <row r="81481" s="12" customFormat="1" x14ac:dyDescent="0.25"/>
    <row r="81482" s="12" customFormat="1" x14ac:dyDescent="0.25"/>
    <row r="81483" s="12" customFormat="1" x14ac:dyDescent="0.25"/>
    <row r="81484" s="12" customFormat="1" x14ac:dyDescent="0.25"/>
    <row r="81485" s="12" customFormat="1" x14ac:dyDescent="0.25"/>
    <row r="81486" s="12" customFormat="1" x14ac:dyDescent="0.25"/>
    <row r="81487" s="12" customFormat="1" x14ac:dyDescent="0.25"/>
    <row r="81488" s="12" customFormat="1" x14ac:dyDescent="0.25"/>
    <row r="81489" s="12" customFormat="1" x14ac:dyDescent="0.25"/>
    <row r="81490" s="12" customFormat="1" x14ac:dyDescent="0.25"/>
    <row r="81491" s="12" customFormat="1" x14ac:dyDescent="0.25"/>
    <row r="81492" s="12" customFormat="1" x14ac:dyDescent="0.25"/>
    <row r="81493" s="12" customFormat="1" x14ac:dyDescent="0.25"/>
    <row r="81494" s="12" customFormat="1" x14ac:dyDescent="0.25"/>
    <row r="81495" s="12" customFormat="1" x14ac:dyDescent="0.25"/>
    <row r="81496" s="12" customFormat="1" x14ac:dyDescent="0.25"/>
    <row r="81497" s="12" customFormat="1" x14ac:dyDescent="0.25"/>
    <row r="81498" s="12" customFormat="1" x14ac:dyDescent="0.25"/>
    <row r="81499" s="12" customFormat="1" x14ac:dyDescent="0.25"/>
    <row r="81500" s="12" customFormat="1" x14ac:dyDescent="0.25"/>
    <row r="81501" s="12" customFormat="1" x14ac:dyDescent="0.25"/>
    <row r="81502" s="12" customFormat="1" x14ac:dyDescent="0.25"/>
    <row r="81503" s="12" customFormat="1" x14ac:dyDescent="0.25"/>
    <row r="81504" s="12" customFormat="1" x14ac:dyDescent="0.25"/>
    <row r="81505" s="12" customFormat="1" x14ac:dyDescent="0.25"/>
    <row r="81506" s="12" customFormat="1" x14ac:dyDescent="0.25"/>
    <row r="81507" s="12" customFormat="1" x14ac:dyDescent="0.25"/>
    <row r="81508" s="12" customFormat="1" x14ac:dyDescent="0.25"/>
    <row r="81509" s="12" customFormat="1" x14ac:dyDescent="0.25"/>
    <row r="81510" s="12" customFormat="1" x14ac:dyDescent="0.25"/>
    <row r="81511" s="12" customFormat="1" x14ac:dyDescent="0.25"/>
    <row r="81512" s="12" customFormat="1" x14ac:dyDescent="0.25"/>
    <row r="81513" s="12" customFormat="1" x14ac:dyDescent="0.25"/>
    <row r="81514" s="12" customFormat="1" x14ac:dyDescent="0.25"/>
    <row r="81515" s="12" customFormat="1" x14ac:dyDescent="0.25"/>
    <row r="81516" s="12" customFormat="1" x14ac:dyDescent="0.25"/>
    <row r="81517" s="12" customFormat="1" x14ac:dyDescent="0.25"/>
    <row r="81518" s="12" customFormat="1" x14ac:dyDescent="0.25"/>
    <row r="81519" s="12" customFormat="1" x14ac:dyDescent="0.25"/>
    <row r="81520" s="12" customFormat="1" x14ac:dyDescent="0.25"/>
    <row r="81521" s="12" customFormat="1" x14ac:dyDescent="0.25"/>
    <row r="81522" s="12" customFormat="1" x14ac:dyDescent="0.25"/>
    <row r="81523" s="12" customFormat="1" x14ac:dyDescent="0.25"/>
    <row r="81524" s="12" customFormat="1" x14ac:dyDescent="0.25"/>
    <row r="81525" s="12" customFormat="1" x14ac:dyDescent="0.25"/>
    <row r="81526" s="12" customFormat="1" x14ac:dyDescent="0.25"/>
    <row r="81527" s="12" customFormat="1" x14ac:dyDescent="0.25"/>
    <row r="81528" s="12" customFormat="1" x14ac:dyDescent="0.25"/>
    <row r="81529" s="12" customFormat="1" x14ac:dyDescent="0.25"/>
    <row r="81530" s="12" customFormat="1" x14ac:dyDescent="0.25"/>
    <row r="81531" s="12" customFormat="1" x14ac:dyDescent="0.25"/>
    <row r="81532" s="12" customFormat="1" x14ac:dyDescent="0.25"/>
    <row r="81533" s="12" customFormat="1" x14ac:dyDescent="0.25"/>
    <row r="81534" s="12" customFormat="1" x14ac:dyDescent="0.25"/>
    <row r="81535" s="12" customFormat="1" x14ac:dyDescent="0.25"/>
    <row r="81536" s="12" customFormat="1" x14ac:dyDescent="0.25"/>
    <row r="81537" s="12" customFormat="1" x14ac:dyDescent="0.25"/>
    <row r="81538" s="12" customFormat="1" x14ac:dyDescent="0.25"/>
    <row r="81539" s="12" customFormat="1" x14ac:dyDescent="0.25"/>
    <row r="81540" s="12" customFormat="1" x14ac:dyDescent="0.25"/>
    <row r="81541" s="12" customFormat="1" x14ac:dyDescent="0.25"/>
    <row r="81542" s="12" customFormat="1" x14ac:dyDescent="0.25"/>
    <row r="81543" s="12" customFormat="1" x14ac:dyDescent="0.25"/>
    <row r="81544" s="12" customFormat="1" x14ac:dyDescent="0.25"/>
    <row r="81545" s="12" customFormat="1" x14ac:dyDescent="0.25"/>
    <row r="81546" s="12" customFormat="1" x14ac:dyDescent="0.25"/>
    <row r="81547" s="12" customFormat="1" x14ac:dyDescent="0.25"/>
    <row r="81548" s="12" customFormat="1" x14ac:dyDescent="0.25"/>
    <row r="81549" s="12" customFormat="1" x14ac:dyDescent="0.25"/>
    <row r="81550" s="12" customFormat="1" x14ac:dyDescent="0.25"/>
    <row r="81551" s="12" customFormat="1" x14ac:dyDescent="0.25"/>
    <row r="81552" s="12" customFormat="1" x14ac:dyDescent="0.25"/>
    <row r="81553" s="12" customFormat="1" x14ac:dyDescent="0.25"/>
    <row r="81554" s="12" customFormat="1" x14ac:dyDescent="0.25"/>
    <row r="81555" s="12" customFormat="1" x14ac:dyDescent="0.25"/>
    <row r="81556" s="12" customFormat="1" x14ac:dyDescent="0.25"/>
    <row r="81557" s="12" customFormat="1" x14ac:dyDescent="0.25"/>
    <row r="81558" s="12" customFormat="1" x14ac:dyDescent="0.25"/>
    <row r="81559" s="12" customFormat="1" x14ac:dyDescent="0.25"/>
    <row r="81560" s="12" customFormat="1" x14ac:dyDescent="0.25"/>
    <row r="81561" s="12" customFormat="1" x14ac:dyDescent="0.25"/>
    <row r="81562" s="12" customFormat="1" x14ac:dyDescent="0.25"/>
    <row r="81563" s="12" customFormat="1" x14ac:dyDescent="0.25"/>
    <row r="81564" s="12" customFormat="1" x14ac:dyDescent="0.25"/>
    <row r="81565" s="12" customFormat="1" x14ac:dyDescent="0.25"/>
    <row r="81566" s="12" customFormat="1" x14ac:dyDescent="0.25"/>
    <row r="81567" s="12" customFormat="1" x14ac:dyDescent="0.25"/>
    <row r="81568" s="12" customFormat="1" x14ac:dyDescent="0.25"/>
    <row r="81569" s="12" customFormat="1" x14ac:dyDescent="0.25"/>
    <row r="81570" s="12" customFormat="1" x14ac:dyDescent="0.25"/>
    <row r="81571" s="12" customFormat="1" x14ac:dyDescent="0.25"/>
    <row r="81572" s="12" customFormat="1" x14ac:dyDescent="0.25"/>
    <row r="81573" s="12" customFormat="1" x14ac:dyDescent="0.25"/>
    <row r="81574" s="12" customFormat="1" x14ac:dyDescent="0.25"/>
    <row r="81575" s="12" customFormat="1" x14ac:dyDescent="0.25"/>
    <row r="81576" s="12" customFormat="1" x14ac:dyDescent="0.25"/>
    <row r="81577" s="12" customFormat="1" x14ac:dyDescent="0.25"/>
    <row r="81578" s="12" customFormat="1" x14ac:dyDescent="0.25"/>
    <row r="81579" s="12" customFormat="1" x14ac:dyDescent="0.25"/>
    <row r="81580" s="12" customFormat="1" x14ac:dyDescent="0.25"/>
    <row r="81581" s="12" customFormat="1" x14ac:dyDescent="0.25"/>
    <row r="81582" s="12" customFormat="1" x14ac:dyDescent="0.25"/>
    <row r="81583" s="12" customFormat="1" x14ac:dyDescent="0.25"/>
    <row r="81584" s="12" customFormat="1" x14ac:dyDescent="0.25"/>
    <row r="81585" s="12" customFormat="1" x14ac:dyDescent="0.25"/>
    <row r="81586" s="12" customFormat="1" x14ac:dyDescent="0.25"/>
    <row r="81587" s="12" customFormat="1" x14ac:dyDescent="0.25"/>
    <row r="81588" s="12" customFormat="1" x14ac:dyDescent="0.25"/>
    <row r="81589" s="12" customFormat="1" x14ac:dyDescent="0.25"/>
    <row r="81590" s="12" customFormat="1" x14ac:dyDescent="0.25"/>
    <row r="81591" s="12" customFormat="1" x14ac:dyDescent="0.25"/>
    <row r="81592" s="12" customFormat="1" x14ac:dyDescent="0.25"/>
    <row r="81593" s="12" customFormat="1" x14ac:dyDescent="0.25"/>
    <row r="81594" s="12" customFormat="1" x14ac:dyDescent="0.25"/>
    <row r="81595" s="12" customFormat="1" x14ac:dyDescent="0.25"/>
    <row r="81596" s="12" customFormat="1" x14ac:dyDescent="0.25"/>
    <row r="81597" s="12" customFormat="1" x14ac:dyDescent="0.25"/>
    <row r="81598" s="12" customFormat="1" x14ac:dyDescent="0.25"/>
    <row r="81599" s="12" customFormat="1" x14ac:dyDescent="0.25"/>
    <row r="81600" s="12" customFormat="1" x14ac:dyDescent="0.25"/>
    <row r="81601" s="12" customFormat="1" x14ac:dyDescent="0.25"/>
    <row r="81602" s="12" customFormat="1" x14ac:dyDescent="0.25"/>
    <row r="81603" s="12" customFormat="1" x14ac:dyDescent="0.25"/>
    <row r="81604" s="12" customFormat="1" x14ac:dyDescent="0.25"/>
    <row r="81605" s="12" customFormat="1" x14ac:dyDescent="0.25"/>
    <row r="81606" s="12" customFormat="1" x14ac:dyDescent="0.25"/>
    <row r="81607" s="12" customFormat="1" x14ac:dyDescent="0.25"/>
    <row r="81608" s="12" customFormat="1" x14ac:dyDescent="0.25"/>
    <row r="81609" s="12" customFormat="1" x14ac:dyDescent="0.25"/>
    <row r="81610" s="12" customFormat="1" x14ac:dyDescent="0.25"/>
    <row r="81611" s="12" customFormat="1" x14ac:dyDescent="0.25"/>
    <row r="81612" s="12" customFormat="1" x14ac:dyDescent="0.25"/>
    <row r="81613" s="12" customFormat="1" x14ac:dyDescent="0.25"/>
    <row r="81614" s="12" customFormat="1" x14ac:dyDescent="0.25"/>
    <row r="81615" s="12" customFormat="1" x14ac:dyDescent="0.25"/>
    <row r="81616" s="12" customFormat="1" x14ac:dyDescent="0.25"/>
    <row r="81617" s="12" customFormat="1" x14ac:dyDescent="0.25"/>
    <row r="81618" s="12" customFormat="1" x14ac:dyDescent="0.25"/>
    <row r="81619" s="12" customFormat="1" x14ac:dyDescent="0.25"/>
    <row r="81620" s="12" customFormat="1" x14ac:dyDescent="0.25"/>
    <row r="81621" s="12" customFormat="1" x14ac:dyDescent="0.25"/>
    <row r="81622" s="12" customFormat="1" x14ac:dyDescent="0.25"/>
    <row r="81623" s="12" customFormat="1" x14ac:dyDescent="0.25"/>
    <row r="81624" s="12" customFormat="1" x14ac:dyDescent="0.25"/>
    <row r="81625" s="12" customFormat="1" x14ac:dyDescent="0.25"/>
    <row r="81626" s="12" customFormat="1" x14ac:dyDescent="0.25"/>
    <row r="81627" s="12" customFormat="1" x14ac:dyDescent="0.25"/>
    <row r="81628" s="12" customFormat="1" x14ac:dyDescent="0.25"/>
    <row r="81629" s="12" customFormat="1" x14ac:dyDescent="0.25"/>
    <row r="81630" s="12" customFormat="1" x14ac:dyDescent="0.25"/>
    <row r="81631" s="12" customFormat="1" x14ac:dyDescent="0.25"/>
    <row r="81632" s="12" customFormat="1" x14ac:dyDescent="0.25"/>
    <row r="81633" s="12" customFormat="1" x14ac:dyDescent="0.25"/>
    <row r="81634" s="12" customFormat="1" x14ac:dyDescent="0.25"/>
    <row r="81635" s="12" customFormat="1" x14ac:dyDescent="0.25"/>
    <row r="81636" s="12" customFormat="1" x14ac:dyDescent="0.25"/>
    <row r="81637" s="12" customFormat="1" x14ac:dyDescent="0.25"/>
    <row r="81638" s="12" customFormat="1" x14ac:dyDescent="0.25"/>
    <row r="81639" s="12" customFormat="1" x14ac:dyDescent="0.25"/>
    <row r="81640" s="12" customFormat="1" x14ac:dyDescent="0.25"/>
    <row r="81641" s="12" customFormat="1" x14ac:dyDescent="0.25"/>
    <row r="81642" s="12" customFormat="1" x14ac:dyDescent="0.25"/>
    <row r="81643" s="12" customFormat="1" x14ac:dyDescent="0.25"/>
    <row r="81644" s="12" customFormat="1" x14ac:dyDescent="0.25"/>
    <row r="81645" s="12" customFormat="1" x14ac:dyDescent="0.25"/>
    <row r="81646" s="12" customFormat="1" x14ac:dyDescent="0.25"/>
    <row r="81647" s="12" customFormat="1" x14ac:dyDescent="0.25"/>
    <row r="81648" s="12" customFormat="1" x14ac:dyDescent="0.25"/>
    <row r="81649" s="12" customFormat="1" x14ac:dyDescent="0.25"/>
    <row r="81650" s="12" customFormat="1" x14ac:dyDescent="0.25"/>
    <row r="81651" s="12" customFormat="1" x14ac:dyDescent="0.25"/>
    <row r="81652" s="12" customFormat="1" x14ac:dyDescent="0.25"/>
    <row r="81653" s="12" customFormat="1" x14ac:dyDescent="0.25"/>
    <row r="81654" s="12" customFormat="1" x14ac:dyDescent="0.25"/>
    <row r="81655" s="12" customFormat="1" x14ac:dyDescent="0.25"/>
    <row r="81656" s="12" customFormat="1" x14ac:dyDescent="0.25"/>
    <row r="81657" s="12" customFormat="1" x14ac:dyDescent="0.25"/>
    <row r="81658" s="12" customFormat="1" x14ac:dyDescent="0.25"/>
    <row r="81659" s="12" customFormat="1" x14ac:dyDescent="0.25"/>
    <row r="81660" s="12" customFormat="1" x14ac:dyDescent="0.25"/>
    <row r="81661" s="12" customFormat="1" x14ac:dyDescent="0.25"/>
    <row r="81662" s="12" customFormat="1" x14ac:dyDescent="0.25"/>
    <row r="81663" s="12" customFormat="1" x14ac:dyDescent="0.25"/>
    <row r="81664" s="12" customFormat="1" x14ac:dyDescent="0.25"/>
    <row r="81665" s="12" customFormat="1" x14ac:dyDescent="0.25"/>
    <row r="81666" s="12" customFormat="1" x14ac:dyDescent="0.25"/>
    <row r="81667" s="12" customFormat="1" x14ac:dyDescent="0.25"/>
    <row r="81668" s="12" customFormat="1" x14ac:dyDescent="0.25"/>
    <row r="81669" s="12" customFormat="1" x14ac:dyDescent="0.25"/>
    <row r="81670" s="12" customFormat="1" x14ac:dyDescent="0.25"/>
    <row r="81671" s="12" customFormat="1" x14ac:dyDescent="0.25"/>
    <row r="81672" s="12" customFormat="1" x14ac:dyDescent="0.25"/>
    <row r="81673" s="12" customFormat="1" x14ac:dyDescent="0.25"/>
    <row r="81674" s="12" customFormat="1" x14ac:dyDescent="0.25"/>
    <row r="81675" s="12" customFormat="1" x14ac:dyDescent="0.25"/>
    <row r="81676" s="12" customFormat="1" x14ac:dyDescent="0.25"/>
    <row r="81677" s="12" customFormat="1" x14ac:dyDescent="0.25"/>
    <row r="81678" s="12" customFormat="1" x14ac:dyDescent="0.25"/>
    <row r="81679" s="12" customFormat="1" x14ac:dyDescent="0.25"/>
    <row r="81680" s="12" customFormat="1" x14ac:dyDescent="0.25"/>
    <row r="81681" s="12" customFormat="1" x14ac:dyDescent="0.25"/>
    <row r="81682" s="12" customFormat="1" x14ac:dyDescent="0.25"/>
    <row r="81683" s="12" customFormat="1" x14ac:dyDescent="0.25"/>
    <row r="81684" s="12" customFormat="1" x14ac:dyDescent="0.25"/>
    <row r="81685" s="12" customFormat="1" x14ac:dyDescent="0.25"/>
    <row r="81686" s="12" customFormat="1" x14ac:dyDescent="0.25"/>
    <row r="81687" s="12" customFormat="1" x14ac:dyDescent="0.25"/>
    <row r="81688" s="12" customFormat="1" x14ac:dyDescent="0.25"/>
    <row r="81689" s="12" customFormat="1" x14ac:dyDescent="0.25"/>
    <row r="81690" s="12" customFormat="1" x14ac:dyDescent="0.25"/>
    <row r="81691" s="12" customFormat="1" x14ac:dyDescent="0.25"/>
    <row r="81692" s="12" customFormat="1" x14ac:dyDescent="0.25"/>
    <row r="81693" s="12" customFormat="1" x14ac:dyDescent="0.25"/>
    <row r="81694" s="12" customFormat="1" x14ac:dyDescent="0.25"/>
    <row r="81695" s="12" customFormat="1" x14ac:dyDescent="0.25"/>
    <row r="81696" s="12" customFormat="1" x14ac:dyDescent="0.25"/>
    <row r="81697" s="12" customFormat="1" x14ac:dyDescent="0.25"/>
    <row r="81698" s="12" customFormat="1" x14ac:dyDescent="0.25"/>
    <row r="81699" s="12" customFormat="1" x14ac:dyDescent="0.25"/>
    <row r="81700" s="12" customFormat="1" x14ac:dyDescent="0.25"/>
    <row r="81701" s="12" customFormat="1" x14ac:dyDescent="0.25"/>
    <row r="81702" s="12" customFormat="1" x14ac:dyDescent="0.25"/>
    <row r="81703" s="12" customFormat="1" x14ac:dyDescent="0.25"/>
    <row r="81704" s="12" customFormat="1" x14ac:dyDescent="0.25"/>
    <row r="81705" s="12" customFormat="1" x14ac:dyDescent="0.25"/>
    <row r="81706" s="12" customFormat="1" x14ac:dyDescent="0.25"/>
    <row r="81707" s="12" customFormat="1" x14ac:dyDescent="0.25"/>
    <row r="81708" s="12" customFormat="1" x14ac:dyDescent="0.25"/>
    <row r="81709" s="12" customFormat="1" x14ac:dyDescent="0.25"/>
    <row r="81710" s="12" customFormat="1" x14ac:dyDescent="0.25"/>
    <row r="81711" s="12" customFormat="1" x14ac:dyDescent="0.25"/>
    <row r="81712" s="12" customFormat="1" x14ac:dyDescent="0.25"/>
    <row r="81713" s="12" customFormat="1" x14ac:dyDescent="0.25"/>
    <row r="81714" s="12" customFormat="1" x14ac:dyDescent="0.25"/>
    <row r="81715" s="12" customFormat="1" x14ac:dyDescent="0.25"/>
    <row r="81716" s="12" customFormat="1" x14ac:dyDescent="0.25"/>
    <row r="81717" s="12" customFormat="1" x14ac:dyDescent="0.25"/>
    <row r="81718" s="12" customFormat="1" x14ac:dyDescent="0.25"/>
    <row r="81719" s="12" customFormat="1" x14ac:dyDescent="0.25"/>
    <row r="81720" s="12" customFormat="1" x14ac:dyDescent="0.25"/>
    <row r="81721" s="12" customFormat="1" x14ac:dyDescent="0.25"/>
    <row r="81722" s="12" customFormat="1" x14ac:dyDescent="0.25"/>
    <row r="81723" s="12" customFormat="1" x14ac:dyDescent="0.25"/>
    <row r="81724" s="12" customFormat="1" x14ac:dyDescent="0.25"/>
    <row r="81725" s="12" customFormat="1" x14ac:dyDescent="0.25"/>
    <row r="81726" s="12" customFormat="1" x14ac:dyDescent="0.25"/>
    <row r="81727" s="12" customFormat="1" x14ac:dyDescent="0.25"/>
    <row r="81728" s="12" customFormat="1" x14ac:dyDescent="0.25"/>
    <row r="81729" s="12" customFormat="1" x14ac:dyDescent="0.25"/>
    <row r="81730" s="12" customFormat="1" x14ac:dyDescent="0.25"/>
    <row r="81731" s="12" customFormat="1" x14ac:dyDescent="0.25"/>
    <row r="81732" s="12" customFormat="1" x14ac:dyDescent="0.25"/>
    <row r="81733" s="12" customFormat="1" x14ac:dyDescent="0.25"/>
    <row r="81734" s="12" customFormat="1" x14ac:dyDescent="0.25"/>
    <row r="81735" s="12" customFormat="1" x14ac:dyDescent="0.25"/>
    <row r="81736" s="12" customFormat="1" x14ac:dyDescent="0.25"/>
    <row r="81737" s="12" customFormat="1" x14ac:dyDescent="0.25"/>
    <row r="81738" s="12" customFormat="1" x14ac:dyDescent="0.25"/>
    <row r="81739" s="12" customFormat="1" x14ac:dyDescent="0.25"/>
    <row r="81740" s="12" customFormat="1" x14ac:dyDescent="0.25"/>
    <row r="81741" s="12" customFormat="1" x14ac:dyDescent="0.25"/>
    <row r="81742" s="12" customFormat="1" x14ac:dyDescent="0.25"/>
    <row r="81743" s="12" customFormat="1" x14ac:dyDescent="0.25"/>
    <row r="81744" s="12" customFormat="1" x14ac:dyDescent="0.25"/>
    <row r="81745" s="12" customFormat="1" x14ac:dyDescent="0.25"/>
    <row r="81746" s="12" customFormat="1" x14ac:dyDescent="0.25"/>
    <row r="81747" s="12" customFormat="1" x14ac:dyDescent="0.25"/>
    <row r="81748" s="12" customFormat="1" x14ac:dyDescent="0.25"/>
    <row r="81749" s="12" customFormat="1" x14ac:dyDescent="0.25"/>
    <row r="81750" s="12" customFormat="1" x14ac:dyDescent="0.25"/>
    <row r="81751" s="12" customFormat="1" x14ac:dyDescent="0.25"/>
    <row r="81752" s="12" customFormat="1" x14ac:dyDescent="0.25"/>
    <row r="81753" s="12" customFormat="1" x14ac:dyDescent="0.25"/>
    <row r="81754" s="12" customFormat="1" x14ac:dyDescent="0.25"/>
    <row r="81755" s="12" customFormat="1" x14ac:dyDescent="0.25"/>
    <row r="81756" s="12" customFormat="1" x14ac:dyDescent="0.25"/>
    <row r="81757" s="12" customFormat="1" x14ac:dyDescent="0.25"/>
    <row r="81758" s="12" customFormat="1" x14ac:dyDescent="0.25"/>
    <row r="81759" s="12" customFormat="1" x14ac:dyDescent="0.25"/>
    <row r="81760" s="12" customFormat="1" x14ac:dyDescent="0.25"/>
    <row r="81761" s="12" customFormat="1" x14ac:dyDescent="0.25"/>
    <row r="81762" s="12" customFormat="1" x14ac:dyDescent="0.25"/>
    <row r="81763" s="12" customFormat="1" x14ac:dyDescent="0.25"/>
    <row r="81764" s="12" customFormat="1" x14ac:dyDescent="0.25"/>
    <row r="81765" s="12" customFormat="1" x14ac:dyDescent="0.25"/>
    <row r="81766" s="12" customFormat="1" x14ac:dyDescent="0.25"/>
    <row r="81767" s="12" customFormat="1" x14ac:dyDescent="0.25"/>
    <row r="81768" s="12" customFormat="1" x14ac:dyDescent="0.25"/>
    <row r="81769" s="12" customFormat="1" x14ac:dyDescent="0.25"/>
    <row r="81770" s="12" customFormat="1" x14ac:dyDescent="0.25"/>
    <row r="81771" s="12" customFormat="1" x14ac:dyDescent="0.25"/>
    <row r="81772" s="12" customFormat="1" x14ac:dyDescent="0.25"/>
    <row r="81773" s="12" customFormat="1" x14ac:dyDescent="0.25"/>
    <row r="81774" s="12" customFormat="1" x14ac:dyDescent="0.25"/>
    <row r="81775" s="12" customFormat="1" x14ac:dyDescent="0.25"/>
    <row r="81776" s="12" customFormat="1" x14ac:dyDescent="0.25"/>
    <row r="81777" s="12" customFormat="1" x14ac:dyDescent="0.25"/>
    <row r="81778" s="12" customFormat="1" x14ac:dyDescent="0.25"/>
    <row r="81779" s="12" customFormat="1" x14ac:dyDescent="0.25"/>
    <row r="81780" s="12" customFormat="1" x14ac:dyDescent="0.25"/>
    <row r="81781" s="12" customFormat="1" x14ac:dyDescent="0.25"/>
    <row r="81782" s="12" customFormat="1" x14ac:dyDescent="0.25"/>
    <row r="81783" s="12" customFormat="1" x14ac:dyDescent="0.25"/>
    <row r="81784" s="12" customFormat="1" x14ac:dyDescent="0.25"/>
    <row r="81785" s="12" customFormat="1" x14ac:dyDescent="0.25"/>
    <row r="81786" s="12" customFormat="1" x14ac:dyDescent="0.25"/>
    <row r="81787" s="12" customFormat="1" x14ac:dyDescent="0.25"/>
    <row r="81788" s="12" customFormat="1" x14ac:dyDescent="0.25"/>
    <row r="81789" s="12" customFormat="1" x14ac:dyDescent="0.25"/>
    <row r="81790" s="12" customFormat="1" x14ac:dyDescent="0.25"/>
    <row r="81791" s="12" customFormat="1" x14ac:dyDescent="0.25"/>
    <row r="81792" s="12" customFormat="1" x14ac:dyDescent="0.25"/>
    <row r="81793" s="12" customFormat="1" x14ac:dyDescent="0.25"/>
    <row r="81794" s="12" customFormat="1" x14ac:dyDescent="0.25"/>
    <row r="81795" s="12" customFormat="1" x14ac:dyDescent="0.25"/>
    <row r="81796" s="12" customFormat="1" x14ac:dyDescent="0.25"/>
    <row r="81797" s="12" customFormat="1" x14ac:dyDescent="0.25"/>
    <row r="81798" s="12" customFormat="1" x14ac:dyDescent="0.25"/>
    <row r="81799" s="12" customFormat="1" x14ac:dyDescent="0.25"/>
    <row r="81800" s="12" customFormat="1" x14ac:dyDescent="0.25"/>
    <row r="81801" s="12" customFormat="1" x14ac:dyDescent="0.25"/>
    <row r="81802" s="12" customFormat="1" x14ac:dyDescent="0.25"/>
    <row r="81803" s="12" customFormat="1" x14ac:dyDescent="0.25"/>
    <row r="81804" s="12" customFormat="1" x14ac:dyDescent="0.25"/>
    <row r="81805" s="12" customFormat="1" x14ac:dyDescent="0.25"/>
    <row r="81806" s="12" customFormat="1" x14ac:dyDescent="0.25"/>
    <row r="81807" s="12" customFormat="1" x14ac:dyDescent="0.25"/>
    <row r="81808" s="12" customFormat="1" x14ac:dyDescent="0.25"/>
    <row r="81809" s="12" customFormat="1" x14ac:dyDescent="0.25"/>
    <row r="81810" s="12" customFormat="1" x14ac:dyDescent="0.25"/>
    <row r="81811" s="12" customFormat="1" x14ac:dyDescent="0.25"/>
    <row r="81812" s="12" customFormat="1" x14ac:dyDescent="0.25"/>
    <row r="81813" s="12" customFormat="1" x14ac:dyDescent="0.25"/>
    <row r="81814" s="12" customFormat="1" x14ac:dyDescent="0.25"/>
    <row r="81815" s="12" customFormat="1" x14ac:dyDescent="0.25"/>
    <row r="81816" s="12" customFormat="1" x14ac:dyDescent="0.25"/>
    <row r="81817" s="12" customFormat="1" x14ac:dyDescent="0.25"/>
    <row r="81818" s="12" customFormat="1" x14ac:dyDescent="0.25"/>
    <row r="81819" s="12" customFormat="1" x14ac:dyDescent="0.25"/>
    <row r="81820" s="12" customFormat="1" x14ac:dyDescent="0.25"/>
    <row r="81821" s="12" customFormat="1" x14ac:dyDescent="0.25"/>
    <row r="81822" s="12" customFormat="1" x14ac:dyDescent="0.25"/>
    <row r="81823" s="12" customFormat="1" x14ac:dyDescent="0.25"/>
    <row r="81824" s="12" customFormat="1" x14ac:dyDescent="0.25"/>
    <row r="81825" s="12" customFormat="1" x14ac:dyDescent="0.25"/>
    <row r="81826" s="12" customFormat="1" x14ac:dyDescent="0.25"/>
    <row r="81827" s="12" customFormat="1" x14ac:dyDescent="0.25"/>
    <row r="81828" s="12" customFormat="1" x14ac:dyDescent="0.25"/>
    <row r="81829" s="12" customFormat="1" x14ac:dyDescent="0.25"/>
    <row r="81830" s="12" customFormat="1" x14ac:dyDescent="0.25"/>
    <row r="81831" s="12" customFormat="1" x14ac:dyDescent="0.25"/>
    <row r="81832" s="12" customFormat="1" x14ac:dyDescent="0.25"/>
    <row r="81833" s="12" customFormat="1" x14ac:dyDescent="0.25"/>
    <row r="81834" s="12" customFormat="1" x14ac:dyDescent="0.25"/>
    <row r="81835" s="12" customFormat="1" x14ac:dyDescent="0.25"/>
    <row r="81836" s="12" customFormat="1" x14ac:dyDescent="0.25"/>
    <row r="81837" s="12" customFormat="1" x14ac:dyDescent="0.25"/>
    <row r="81838" s="12" customFormat="1" x14ac:dyDescent="0.25"/>
    <row r="81839" s="12" customFormat="1" x14ac:dyDescent="0.25"/>
    <row r="81840" s="12" customFormat="1" x14ac:dyDescent="0.25"/>
    <row r="81841" s="12" customFormat="1" x14ac:dyDescent="0.25"/>
    <row r="81842" s="12" customFormat="1" x14ac:dyDescent="0.25"/>
    <row r="81843" s="12" customFormat="1" x14ac:dyDescent="0.25"/>
    <row r="81844" s="12" customFormat="1" x14ac:dyDescent="0.25"/>
    <row r="81845" s="12" customFormat="1" x14ac:dyDescent="0.25"/>
    <row r="81846" s="12" customFormat="1" x14ac:dyDescent="0.25"/>
    <row r="81847" s="12" customFormat="1" x14ac:dyDescent="0.25"/>
    <row r="81848" s="12" customFormat="1" x14ac:dyDescent="0.25"/>
    <row r="81849" s="12" customFormat="1" x14ac:dyDescent="0.25"/>
    <row r="81850" s="12" customFormat="1" x14ac:dyDescent="0.25"/>
    <row r="81851" s="12" customFormat="1" x14ac:dyDescent="0.25"/>
    <row r="81852" s="12" customFormat="1" x14ac:dyDescent="0.25"/>
    <row r="81853" s="12" customFormat="1" x14ac:dyDescent="0.25"/>
    <row r="81854" s="12" customFormat="1" x14ac:dyDescent="0.25"/>
    <row r="81855" s="12" customFormat="1" x14ac:dyDescent="0.25"/>
    <row r="81856" s="12" customFormat="1" x14ac:dyDescent="0.25"/>
    <row r="81857" s="12" customFormat="1" x14ac:dyDescent="0.25"/>
    <row r="81858" s="12" customFormat="1" x14ac:dyDescent="0.25"/>
    <row r="81859" s="12" customFormat="1" x14ac:dyDescent="0.25"/>
    <row r="81860" s="12" customFormat="1" x14ac:dyDescent="0.25"/>
    <row r="81861" s="12" customFormat="1" x14ac:dyDescent="0.25"/>
    <row r="81862" s="12" customFormat="1" x14ac:dyDescent="0.25"/>
    <row r="81863" s="12" customFormat="1" x14ac:dyDescent="0.25"/>
    <row r="81864" s="12" customFormat="1" x14ac:dyDescent="0.25"/>
    <row r="81865" s="12" customFormat="1" x14ac:dyDescent="0.25"/>
    <row r="81866" s="12" customFormat="1" x14ac:dyDescent="0.25"/>
    <row r="81867" s="12" customFormat="1" x14ac:dyDescent="0.25"/>
    <row r="81868" s="12" customFormat="1" x14ac:dyDescent="0.25"/>
    <row r="81869" s="12" customFormat="1" x14ac:dyDescent="0.25"/>
    <row r="81870" s="12" customFormat="1" x14ac:dyDescent="0.25"/>
    <row r="81871" s="12" customFormat="1" x14ac:dyDescent="0.25"/>
    <row r="81872" s="12" customFormat="1" x14ac:dyDescent="0.25"/>
    <row r="81873" s="12" customFormat="1" x14ac:dyDescent="0.25"/>
    <row r="81874" s="12" customFormat="1" x14ac:dyDescent="0.25"/>
    <row r="81875" s="12" customFormat="1" x14ac:dyDescent="0.25"/>
    <row r="81876" s="12" customFormat="1" x14ac:dyDescent="0.25"/>
    <row r="81877" s="12" customFormat="1" x14ac:dyDescent="0.25"/>
    <row r="81878" s="12" customFormat="1" x14ac:dyDescent="0.25"/>
    <row r="81879" s="12" customFormat="1" x14ac:dyDescent="0.25"/>
    <row r="81880" s="12" customFormat="1" x14ac:dyDescent="0.25"/>
    <row r="81881" s="12" customFormat="1" x14ac:dyDescent="0.25"/>
    <row r="81882" s="12" customFormat="1" x14ac:dyDescent="0.25"/>
    <row r="81883" s="12" customFormat="1" x14ac:dyDescent="0.25"/>
    <row r="81884" s="12" customFormat="1" x14ac:dyDescent="0.25"/>
    <row r="81885" s="12" customFormat="1" x14ac:dyDescent="0.25"/>
    <row r="81886" s="12" customFormat="1" x14ac:dyDescent="0.25"/>
    <row r="81887" s="12" customFormat="1" x14ac:dyDescent="0.25"/>
    <row r="81888" s="12" customFormat="1" x14ac:dyDescent="0.25"/>
    <row r="81889" s="12" customFormat="1" x14ac:dyDescent="0.25"/>
    <row r="81890" s="12" customFormat="1" x14ac:dyDescent="0.25"/>
    <row r="81891" s="12" customFormat="1" x14ac:dyDescent="0.25"/>
    <row r="81892" s="12" customFormat="1" x14ac:dyDescent="0.25"/>
    <row r="81893" s="12" customFormat="1" x14ac:dyDescent="0.25"/>
    <row r="81894" s="12" customFormat="1" x14ac:dyDescent="0.25"/>
    <row r="81895" s="12" customFormat="1" x14ac:dyDescent="0.25"/>
    <row r="81896" s="12" customFormat="1" x14ac:dyDescent="0.25"/>
    <row r="81897" s="12" customFormat="1" x14ac:dyDescent="0.25"/>
    <row r="81898" s="12" customFormat="1" x14ac:dyDescent="0.25"/>
    <row r="81899" s="12" customFormat="1" x14ac:dyDescent="0.25"/>
    <row r="81900" s="12" customFormat="1" x14ac:dyDescent="0.25"/>
    <row r="81901" s="12" customFormat="1" x14ac:dyDescent="0.25"/>
    <row r="81902" s="12" customFormat="1" x14ac:dyDescent="0.25"/>
    <row r="81903" s="12" customFormat="1" x14ac:dyDescent="0.25"/>
    <row r="81904" s="12" customFormat="1" x14ac:dyDescent="0.25"/>
    <row r="81905" s="12" customFormat="1" x14ac:dyDescent="0.25"/>
    <row r="81906" s="12" customFormat="1" x14ac:dyDescent="0.25"/>
    <row r="81907" s="12" customFormat="1" x14ac:dyDescent="0.25"/>
    <row r="81908" s="12" customFormat="1" x14ac:dyDescent="0.25"/>
    <row r="81909" s="12" customFormat="1" x14ac:dyDescent="0.25"/>
    <row r="81910" s="12" customFormat="1" x14ac:dyDescent="0.25"/>
    <row r="81911" s="12" customFormat="1" x14ac:dyDescent="0.25"/>
    <row r="81912" s="12" customFormat="1" x14ac:dyDescent="0.25"/>
    <row r="81913" s="12" customFormat="1" x14ac:dyDescent="0.25"/>
    <row r="81914" s="12" customFormat="1" x14ac:dyDescent="0.25"/>
    <row r="81915" s="12" customFormat="1" x14ac:dyDescent="0.25"/>
    <row r="81916" s="12" customFormat="1" x14ac:dyDescent="0.25"/>
    <row r="81917" s="12" customFormat="1" x14ac:dyDescent="0.25"/>
    <row r="81918" s="12" customFormat="1" x14ac:dyDescent="0.25"/>
    <row r="81919" s="12" customFormat="1" x14ac:dyDescent="0.25"/>
    <row r="81920" s="12" customFormat="1" x14ac:dyDescent="0.25"/>
    <row r="81921" s="12" customFormat="1" x14ac:dyDescent="0.25"/>
    <row r="81922" s="12" customFormat="1" x14ac:dyDescent="0.25"/>
    <row r="81923" s="12" customFormat="1" x14ac:dyDescent="0.25"/>
    <row r="81924" s="12" customFormat="1" x14ac:dyDescent="0.25"/>
    <row r="81925" s="12" customFormat="1" x14ac:dyDescent="0.25"/>
    <row r="81926" s="12" customFormat="1" x14ac:dyDescent="0.25"/>
    <row r="81927" s="12" customFormat="1" x14ac:dyDescent="0.25"/>
    <row r="81928" s="12" customFormat="1" x14ac:dyDescent="0.25"/>
    <row r="81929" s="12" customFormat="1" x14ac:dyDescent="0.25"/>
    <row r="81930" s="12" customFormat="1" x14ac:dyDescent="0.25"/>
    <row r="81931" s="12" customFormat="1" x14ac:dyDescent="0.25"/>
    <row r="81932" s="12" customFormat="1" x14ac:dyDescent="0.25"/>
    <row r="81933" s="12" customFormat="1" x14ac:dyDescent="0.25"/>
    <row r="81934" s="12" customFormat="1" x14ac:dyDescent="0.25"/>
    <row r="81935" s="12" customFormat="1" x14ac:dyDescent="0.25"/>
    <row r="81936" s="12" customFormat="1" x14ac:dyDescent="0.25"/>
    <row r="81937" s="12" customFormat="1" x14ac:dyDescent="0.25"/>
    <row r="81938" s="12" customFormat="1" x14ac:dyDescent="0.25"/>
    <row r="81939" s="12" customFormat="1" x14ac:dyDescent="0.25"/>
    <row r="81940" s="12" customFormat="1" x14ac:dyDescent="0.25"/>
    <row r="81941" s="12" customFormat="1" x14ac:dyDescent="0.25"/>
    <row r="81942" s="12" customFormat="1" x14ac:dyDescent="0.25"/>
    <row r="81943" s="12" customFormat="1" x14ac:dyDescent="0.25"/>
    <row r="81944" s="12" customFormat="1" x14ac:dyDescent="0.25"/>
    <row r="81945" s="12" customFormat="1" x14ac:dyDescent="0.25"/>
    <row r="81946" s="12" customFormat="1" x14ac:dyDescent="0.25"/>
    <row r="81947" s="12" customFormat="1" x14ac:dyDescent="0.25"/>
    <row r="81948" s="12" customFormat="1" x14ac:dyDescent="0.25"/>
    <row r="81949" s="12" customFormat="1" x14ac:dyDescent="0.25"/>
    <row r="81950" s="12" customFormat="1" x14ac:dyDescent="0.25"/>
    <row r="81951" s="12" customFormat="1" x14ac:dyDescent="0.25"/>
    <row r="81952" s="12" customFormat="1" x14ac:dyDescent="0.25"/>
    <row r="81953" s="12" customFormat="1" x14ac:dyDescent="0.25"/>
    <row r="81954" s="12" customFormat="1" x14ac:dyDescent="0.25"/>
    <row r="81955" s="12" customFormat="1" x14ac:dyDescent="0.25"/>
    <row r="81956" s="12" customFormat="1" x14ac:dyDescent="0.25"/>
    <row r="81957" s="12" customFormat="1" x14ac:dyDescent="0.25"/>
    <row r="81958" s="12" customFormat="1" x14ac:dyDescent="0.25"/>
    <row r="81959" s="12" customFormat="1" x14ac:dyDescent="0.25"/>
    <row r="81960" s="12" customFormat="1" x14ac:dyDescent="0.25"/>
    <row r="81961" s="12" customFormat="1" x14ac:dyDescent="0.25"/>
    <row r="81962" s="12" customFormat="1" x14ac:dyDescent="0.25"/>
    <row r="81963" s="12" customFormat="1" x14ac:dyDescent="0.25"/>
    <row r="81964" s="12" customFormat="1" x14ac:dyDescent="0.25"/>
    <row r="81965" s="12" customFormat="1" x14ac:dyDescent="0.25"/>
    <row r="81966" s="12" customFormat="1" x14ac:dyDescent="0.25"/>
    <row r="81967" s="12" customFormat="1" x14ac:dyDescent="0.25"/>
    <row r="81968" s="12" customFormat="1" x14ac:dyDescent="0.25"/>
    <row r="81969" s="12" customFormat="1" x14ac:dyDescent="0.25"/>
    <row r="81970" s="12" customFormat="1" x14ac:dyDescent="0.25"/>
    <row r="81971" s="12" customFormat="1" x14ac:dyDescent="0.25"/>
    <row r="81972" s="12" customFormat="1" x14ac:dyDescent="0.25"/>
    <row r="81973" s="12" customFormat="1" x14ac:dyDescent="0.25"/>
    <row r="81974" s="12" customFormat="1" x14ac:dyDescent="0.25"/>
    <row r="81975" s="12" customFormat="1" x14ac:dyDescent="0.25"/>
    <row r="81976" s="12" customFormat="1" x14ac:dyDescent="0.25"/>
    <row r="81977" s="12" customFormat="1" x14ac:dyDescent="0.25"/>
    <row r="81978" s="12" customFormat="1" x14ac:dyDescent="0.25"/>
    <row r="81979" s="12" customFormat="1" x14ac:dyDescent="0.25"/>
    <row r="81980" s="12" customFormat="1" x14ac:dyDescent="0.25"/>
    <row r="81981" s="12" customFormat="1" x14ac:dyDescent="0.25"/>
    <row r="81982" s="12" customFormat="1" x14ac:dyDescent="0.25"/>
    <row r="81983" s="12" customFormat="1" x14ac:dyDescent="0.25"/>
    <row r="81984" s="12" customFormat="1" x14ac:dyDescent="0.25"/>
    <row r="81985" s="12" customFormat="1" x14ac:dyDescent="0.25"/>
    <row r="81986" s="12" customFormat="1" x14ac:dyDescent="0.25"/>
    <row r="81987" s="12" customFormat="1" x14ac:dyDescent="0.25"/>
    <row r="81988" s="12" customFormat="1" x14ac:dyDescent="0.25"/>
    <row r="81989" s="12" customFormat="1" x14ac:dyDescent="0.25"/>
    <row r="81990" s="12" customFormat="1" x14ac:dyDescent="0.25"/>
    <row r="81991" s="12" customFormat="1" x14ac:dyDescent="0.25"/>
    <row r="81992" s="12" customFormat="1" x14ac:dyDescent="0.25"/>
    <row r="81993" s="12" customFormat="1" x14ac:dyDescent="0.25"/>
    <row r="81994" s="12" customFormat="1" x14ac:dyDescent="0.25"/>
    <row r="81995" s="12" customFormat="1" x14ac:dyDescent="0.25"/>
    <row r="81996" s="12" customFormat="1" x14ac:dyDescent="0.25"/>
    <row r="81997" s="12" customFormat="1" x14ac:dyDescent="0.25"/>
    <row r="81998" s="12" customFormat="1" x14ac:dyDescent="0.25"/>
    <row r="81999" s="12" customFormat="1" x14ac:dyDescent="0.25"/>
    <row r="82000" s="12" customFormat="1" x14ac:dyDescent="0.25"/>
    <row r="82001" s="12" customFormat="1" x14ac:dyDescent="0.25"/>
    <row r="82002" s="12" customFormat="1" x14ac:dyDescent="0.25"/>
    <row r="82003" s="12" customFormat="1" x14ac:dyDescent="0.25"/>
    <row r="82004" s="12" customFormat="1" x14ac:dyDescent="0.25"/>
    <row r="82005" s="12" customFormat="1" x14ac:dyDescent="0.25"/>
    <row r="82006" s="12" customFormat="1" x14ac:dyDescent="0.25"/>
    <row r="82007" s="12" customFormat="1" x14ac:dyDescent="0.25"/>
    <row r="82008" s="12" customFormat="1" x14ac:dyDescent="0.25"/>
    <row r="82009" s="12" customFormat="1" x14ac:dyDescent="0.25"/>
    <row r="82010" s="12" customFormat="1" x14ac:dyDescent="0.25"/>
    <row r="82011" s="12" customFormat="1" x14ac:dyDescent="0.25"/>
    <row r="82012" s="12" customFormat="1" x14ac:dyDescent="0.25"/>
    <row r="82013" s="12" customFormat="1" x14ac:dyDescent="0.25"/>
    <row r="82014" s="12" customFormat="1" x14ac:dyDescent="0.25"/>
    <row r="82015" s="12" customFormat="1" x14ac:dyDescent="0.25"/>
    <row r="82016" s="12" customFormat="1" x14ac:dyDescent="0.25"/>
    <row r="82017" s="12" customFormat="1" x14ac:dyDescent="0.25"/>
    <row r="82018" s="12" customFormat="1" x14ac:dyDescent="0.25"/>
    <row r="82019" s="12" customFormat="1" x14ac:dyDescent="0.25"/>
    <row r="82020" s="12" customFormat="1" x14ac:dyDescent="0.25"/>
    <row r="82021" s="12" customFormat="1" x14ac:dyDescent="0.25"/>
    <row r="82022" s="12" customFormat="1" x14ac:dyDescent="0.25"/>
    <row r="82023" s="12" customFormat="1" x14ac:dyDescent="0.25"/>
    <row r="82024" s="12" customFormat="1" x14ac:dyDescent="0.25"/>
    <row r="82025" s="12" customFormat="1" x14ac:dyDescent="0.25"/>
    <row r="82026" s="12" customFormat="1" x14ac:dyDescent="0.25"/>
    <row r="82027" s="12" customFormat="1" x14ac:dyDescent="0.25"/>
    <row r="82028" s="12" customFormat="1" x14ac:dyDescent="0.25"/>
    <row r="82029" s="12" customFormat="1" x14ac:dyDescent="0.25"/>
    <row r="82030" s="12" customFormat="1" x14ac:dyDescent="0.25"/>
    <row r="82031" s="12" customFormat="1" x14ac:dyDescent="0.25"/>
    <row r="82032" s="12" customFormat="1" x14ac:dyDescent="0.25"/>
    <row r="82033" s="12" customFormat="1" x14ac:dyDescent="0.25"/>
    <row r="82034" s="12" customFormat="1" x14ac:dyDescent="0.25"/>
    <row r="82035" s="12" customFormat="1" x14ac:dyDescent="0.25"/>
    <row r="82036" s="12" customFormat="1" x14ac:dyDescent="0.25"/>
    <row r="82037" s="12" customFormat="1" x14ac:dyDescent="0.25"/>
    <row r="82038" s="12" customFormat="1" x14ac:dyDescent="0.25"/>
    <row r="82039" s="12" customFormat="1" x14ac:dyDescent="0.25"/>
    <row r="82040" s="12" customFormat="1" x14ac:dyDescent="0.25"/>
    <row r="82041" s="12" customFormat="1" x14ac:dyDescent="0.25"/>
    <row r="82042" s="12" customFormat="1" x14ac:dyDescent="0.25"/>
    <row r="82043" s="12" customFormat="1" x14ac:dyDescent="0.25"/>
    <row r="82044" s="12" customFormat="1" x14ac:dyDescent="0.25"/>
    <row r="82045" s="12" customFormat="1" x14ac:dyDescent="0.25"/>
    <row r="82046" s="12" customFormat="1" x14ac:dyDescent="0.25"/>
    <row r="82047" s="12" customFormat="1" x14ac:dyDescent="0.25"/>
    <row r="82048" s="12" customFormat="1" x14ac:dyDescent="0.25"/>
    <row r="82049" s="12" customFormat="1" x14ac:dyDescent="0.25"/>
    <row r="82050" s="12" customFormat="1" x14ac:dyDescent="0.25"/>
    <row r="82051" s="12" customFormat="1" x14ac:dyDescent="0.25"/>
    <row r="82052" s="12" customFormat="1" x14ac:dyDescent="0.25"/>
    <row r="82053" s="12" customFormat="1" x14ac:dyDescent="0.25"/>
    <row r="82054" s="12" customFormat="1" x14ac:dyDescent="0.25"/>
    <row r="82055" s="12" customFormat="1" x14ac:dyDescent="0.25"/>
    <row r="82056" s="12" customFormat="1" x14ac:dyDescent="0.25"/>
    <row r="82057" s="12" customFormat="1" x14ac:dyDescent="0.25"/>
    <row r="82058" s="12" customFormat="1" x14ac:dyDescent="0.25"/>
    <row r="82059" s="12" customFormat="1" x14ac:dyDescent="0.25"/>
    <row r="82060" s="12" customFormat="1" x14ac:dyDescent="0.25"/>
    <row r="82061" s="12" customFormat="1" x14ac:dyDescent="0.25"/>
    <row r="82062" s="12" customFormat="1" x14ac:dyDescent="0.25"/>
    <row r="82063" s="12" customFormat="1" x14ac:dyDescent="0.25"/>
    <row r="82064" s="12" customFormat="1" x14ac:dyDescent="0.25"/>
    <row r="82065" s="12" customFormat="1" x14ac:dyDescent="0.25"/>
    <row r="82066" s="12" customFormat="1" x14ac:dyDescent="0.25"/>
    <row r="82067" s="12" customFormat="1" x14ac:dyDescent="0.25"/>
    <row r="82068" s="12" customFormat="1" x14ac:dyDescent="0.25"/>
    <row r="82069" s="12" customFormat="1" x14ac:dyDescent="0.25"/>
    <row r="82070" s="12" customFormat="1" x14ac:dyDescent="0.25"/>
    <row r="82071" s="12" customFormat="1" x14ac:dyDescent="0.25"/>
    <row r="82072" s="12" customFormat="1" x14ac:dyDescent="0.25"/>
    <row r="82073" s="12" customFormat="1" x14ac:dyDescent="0.25"/>
    <row r="82074" s="12" customFormat="1" x14ac:dyDescent="0.25"/>
    <row r="82075" s="12" customFormat="1" x14ac:dyDescent="0.25"/>
    <row r="82076" s="12" customFormat="1" x14ac:dyDescent="0.25"/>
    <row r="82077" s="12" customFormat="1" x14ac:dyDescent="0.25"/>
    <row r="82078" s="12" customFormat="1" x14ac:dyDescent="0.25"/>
    <row r="82079" s="12" customFormat="1" x14ac:dyDescent="0.25"/>
    <row r="82080" s="12" customFormat="1" x14ac:dyDescent="0.25"/>
    <row r="82081" s="12" customFormat="1" x14ac:dyDescent="0.25"/>
    <row r="82082" s="12" customFormat="1" x14ac:dyDescent="0.25"/>
    <row r="82083" s="12" customFormat="1" x14ac:dyDescent="0.25"/>
    <row r="82084" s="12" customFormat="1" x14ac:dyDescent="0.25"/>
    <row r="82085" s="12" customFormat="1" x14ac:dyDescent="0.25"/>
    <row r="82086" s="12" customFormat="1" x14ac:dyDescent="0.25"/>
    <row r="82087" s="12" customFormat="1" x14ac:dyDescent="0.25"/>
    <row r="82088" s="12" customFormat="1" x14ac:dyDescent="0.25"/>
    <row r="82089" s="12" customFormat="1" x14ac:dyDescent="0.25"/>
    <row r="82090" s="12" customFormat="1" x14ac:dyDescent="0.25"/>
    <row r="82091" s="12" customFormat="1" x14ac:dyDescent="0.25"/>
    <row r="82092" s="12" customFormat="1" x14ac:dyDescent="0.25"/>
    <row r="82093" s="12" customFormat="1" x14ac:dyDescent="0.25"/>
    <row r="82094" s="12" customFormat="1" x14ac:dyDescent="0.25"/>
    <row r="82095" s="12" customFormat="1" x14ac:dyDescent="0.25"/>
    <row r="82096" s="12" customFormat="1" x14ac:dyDescent="0.25"/>
    <row r="82097" s="12" customFormat="1" x14ac:dyDescent="0.25"/>
    <row r="82098" s="12" customFormat="1" x14ac:dyDescent="0.25"/>
    <row r="82099" s="12" customFormat="1" x14ac:dyDescent="0.25"/>
    <row r="82100" s="12" customFormat="1" x14ac:dyDescent="0.25"/>
    <row r="82101" s="12" customFormat="1" x14ac:dyDescent="0.25"/>
    <row r="82102" s="12" customFormat="1" x14ac:dyDescent="0.25"/>
    <row r="82103" s="12" customFormat="1" x14ac:dyDescent="0.25"/>
    <row r="82104" s="12" customFormat="1" x14ac:dyDescent="0.25"/>
    <row r="82105" s="12" customFormat="1" x14ac:dyDescent="0.25"/>
    <row r="82106" s="12" customFormat="1" x14ac:dyDescent="0.25"/>
    <row r="82107" s="12" customFormat="1" x14ac:dyDescent="0.25"/>
    <row r="82108" s="12" customFormat="1" x14ac:dyDescent="0.25"/>
    <row r="82109" s="12" customFormat="1" x14ac:dyDescent="0.25"/>
    <row r="82110" s="12" customFormat="1" x14ac:dyDescent="0.25"/>
    <row r="82111" s="12" customFormat="1" x14ac:dyDescent="0.25"/>
    <row r="82112" s="12" customFormat="1" x14ac:dyDescent="0.25"/>
    <row r="82113" s="12" customFormat="1" x14ac:dyDescent="0.25"/>
    <row r="82114" s="12" customFormat="1" x14ac:dyDescent="0.25"/>
    <row r="82115" s="12" customFormat="1" x14ac:dyDescent="0.25"/>
    <row r="82116" s="12" customFormat="1" x14ac:dyDescent="0.25"/>
    <row r="82117" s="12" customFormat="1" x14ac:dyDescent="0.25"/>
    <row r="82118" s="12" customFormat="1" x14ac:dyDescent="0.25"/>
    <row r="82119" s="12" customFormat="1" x14ac:dyDescent="0.25"/>
    <row r="82120" s="12" customFormat="1" x14ac:dyDescent="0.25"/>
    <row r="82121" s="12" customFormat="1" x14ac:dyDescent="0.25"/>
    <row r="82122" s="12" customFormat="1" x14ac:dyDescent="0.25"/>
    <row r="82123" s="12" customFormat="1" x14ac:dyDescent="0.25"/>
    <row r="82124" s="12" customFormat="1" x14ac:dyDescent="0.25"/>
    <row r="82125" s="12" customFormat="1" x14ac:dyDescent="0.25"/>
    <row r="82126" s="12" customFormat="1" x14ac:dyDescent="0.25"/>
    <row r="82127" s="12" customFormat="1" x14ac:dyDescent="0.25"/>
    <row r="82128" s="12" customFormat="1" x14ac:dyDescent="0.25"/>
    <row r="82129" s="12" customFormat="1" x14ac:dyDescent="0.25"/>
    <row r="82130" s="12" customFormat="1" x14ac:dyDescent="0.25"/>
    <row r="82131" s="12" customFormat="1" x14ac:dyDescent="0.25"/>
    <row r="82132" s="12" customFormat="1" x14ac:dyDescent="0.25"/>
    <row r="82133" s="12" customFormat="1" x14ac:dyDescent="0.25"/>
    <row r="82134" s="12" customFormat="1" x14ac:dyDescent="0.25"/>
    <row r="82135" s="12" customFormat="1" x14ac:dyDescent="0.25"/>
    <row r="82136" s="12" customFormat="1" x14ac:dyDescent="0.25"/>
    <row r="82137" s="12" customFormat="1" x14ac:dyDescent="0.25"/>
    <row r="82138" s="12" customFormat="1" x14ac:dyDescent="0.25"/>
    <row r="82139" s="12" customFormat="1" x14ac:dyDescent="0.25"/>
    <row r="82140" s="12" customFormat="1" x14ac:dyDescent="0.25"/>
    <row r="82141" s="12" customFormat="1" x14ac:dyDescent="0.25"/>
    <row r="82142" s="12" customFormat="1" x14ac:dyDescent="0.25"/>
    <row r="82143" s="12" customFormat="1" x14ac:dyDescent="0.25"/>
    <row r="82144" s="12" customFormat="1" x14ac:dyDescent="0.25"/>
    <row r="82145" s="12" customFormat="1" x14ac:dyDescent="0.25"/>
    <row r="82146" s="12" customFormat="1" x14ac:dyDescent="0.25"/>
    <row r="82147" s="12" customFormat="1" x14ac:dyDescent="0.25"/>
    <row r="82148" s="12" customFormat="1" x14ac:dyDescent="0.25"/>
    <row r="82149" s="12" customFormat="1" x14ac:dyDescent="0.25"/>
    <row r="82150" s="12" customFormat="1" x14ac:dyDescent="0.25"/>
    <row r="82151" s="12" customFormat="1" x14ac:dyDescent="0.25"/>
    <row r="82152" s="12" customFormat="1" x14ac:dyDescent="0.25"/>
    <row r="82153" s="12" customFormat="1" x14ac:dyDescent="0.25"/>
    <row r="82154" s="12" customFormat="1" x14ac:dyDescent="0.25"/>
    <row r="82155" s="12" customFormat="1" x14ac:dyDescent="0.25"/>
    <row r="82156" s="12" customFormat="1" x14ac:dyDescent="0.25"/>
    <row r="82157" s="12" customFormat="1" x14ac:dyDescent="0.25"/>
    <row r="82158" s="12" customFormat="1" x14ac:dyDescent="0.25"/>
    <row r="82159" s="12" customFormat="1" x14ac:dyDescent="0.25"/>
    <row r="82160" s="12" customFormat="1" x14ac:dyDescent="0.25"/>
    <row r="82161" s="12" customFormat="1" x14ac:dyDescent="0.25"/>
    <row r="82162" s="12" customFormat="1" x14ac:dyDescent="0.25"/>
    <row r="82163" s="12" customFormat="1" x14ac:dyDescent="0.25"/>
    <row r="82164" s="12" customFormat="1" x14ac:dyDescent="0.25"/>
    <row r="82165" s="12" customFormat="1" x14ac:dyDescent="0.25"/>
    <row r="82166" s="12" customFormat="1" x14ac:dyDescent="0.25"/>
    <row r="82167" s="12" customFormat="1" x14ac:dyDescent="0.25"/>
    <row r="82168" s="12" customFormat="1" x14ac:dyDescent="0.25"/>
    <row r="82169" s="12" customFormat="1" x14ac:dyDescent="0.25"/>
    <row r="82170" s="12" customFormat="1" x14ac:dyDescent="0.25"/>
    <row r="82171" s="12" customFormat="1" x14ac:dyDescent="0.25"/>
    <row r="82172" s="12" customFormat="1" x14ac:dyDescent="0.25"/>
    <row r="82173" s="12" customFormat="1" x14ac:dyDescent="0.25"/>
    <row r="82174" s="12" customFormat="1" x14ac:dyDescent="0.25"/>
    <row r="82175" s="12" customFormat="1" x14ac:dyDescent="0.25"/>
    <row r="82176" s="12" customFormat="1" x14ac:dyDescent="0.25"/>
    <row r="82177" s="12" customFormat="1" x14ac:dyDescent="0.25"/>
    <row r="82178" s="12" customFormat="1" x14ac:dyDescent="0.25"/>
    <row r="82179" s="12" customFormat="1" x14ac:dyDescent="0.25"/>
    <row r="82180" s="12" customFormat="1" x14ac:dyDescent="0.25"/>
    <row r="82181" s="12" customFormat="1" x14ac:dyDescent="0.25"/>
    <row r="82182" s="12" customFormat="1" x14ac:dyDescent="0.25"/>
    <row r="82183" s="12" customFormat="1" x14ac:dyDescent="0.25"/>
    <row r="82184" s="12" customFormat="1" x14ac:dyDescent="0.25"/>
    <row r="82185" s="12" customFormat="1" x14ac:dyDescent="0.25"/>
    <row r="82186" s="12" customFormat="1" x14ac:dyDescent="0.25"/>
    <row r="82187" s="12" customFormat="1" x14ac:dyDescent="0.25"/>
    <row r="82188" s="12" customFormat="1" x14ac:dyDescent="0.25"/>
    <row r="82189" s="12" customFormat="1" x14ac:dyDescent="0.25"/>
    <row r="82190" s="12" customFormat="1" x14ac:dyDescent="0.25"/>
    <row r="82191" s="12" customFormat="1" x14ac:dyDescent="0.25"/>
    <row r="82192" s="12" customFormat="1" x14ac:dyDescent="0.25"/>
    <row r="82193" s="12" customFormat="1" x14ac:dyDescent="0.25"/>
    <row r="82194" s="12" customFormat="1" x14ac:dyDescent="0.25"/>
    <row r="82195" s="12" customFormat="1" x14ac:dyDescent="0.25"/>
    <row r="82196" s="12" customFormat="1" x14ac:dyDescent="0.25"/>
    <row r="82197" s="12" customFormat="1" x14ac:dyDescent="0.25"/>
    <row r="82198" s="12" customFormat="1" x14ac:dyDescent="0.25"/>
    <row r="82199" s="12" customFormat="1" x14ac:dyDescent="0.25"/>
    <row r="82200" s="12" customFormat="1" x14ac:dyDescent="0.25"/>
    <row r="82201" s="12" customFormat="1" x14ac:dyDescent="0.25"/>
    <row r="82202" s="12" customFormat="1" x14ac:dyDescent="0.25"/>
    <row r="82203" s="12" customFormat="1" x14ac:dyDescent="0.25"/>
    <row r="82204" s="12" customFormat="1" x14ac:dyDescent="0.25"/>
    <row r="82205" s="12" customFormat="1" x14ac:dyDescent="0.25"/>
    <row r="82206" s="12" customFormat="1" x14ac:dyDescent="0.25"/>
    <row r="82207" s="12" customFormat="1" x14ac:dyDescent="0.25"/>
    <row r="82208" s="12" customFormat="1" x14ac:dyDescent="0.25"/>
    <row r="82209" s="12" customFormat="1" x14ac:dyDescent="0.25"/>
    <row r="82210" s="12" customFormat="1" x14ac:dyDescent="0.25"/>
    <row r="82211" s="12" customFormat="1" x14ac:dyDescent="0.25"/>
    <row r="82212" s="12" customFormat="1" x14ac:dyDescent="0.25"/>
    <row r="82213" s="12" customFormat="1" x14ac:dyDescent="0.25"/>
    <row r="82214" s="12" customFormat="1" x14ac:dyDescent="0.25"/>
    <row r="82215" s="12" customFormat="1" x14ac:dyDescent="0.25"/>
    <row r="82216" s="12" customFormat="1" x14ac:dyDescent="0.25"/>
    <row r="82217" s="12" customFormat="1" x14ac:dyDescent="0.25"/>
    <row r="82218" s="12" customFormat="1" x14ac:dyDescent="0.25"/>
    <row r="82219" s="12" customFormat="1" x14ac:dyDescent="0.25"/>
    <row r="82220" s="12" customFormat="1" x14ac:dyDescent="0.25"/>
    <row r="82221" s="12" customFormat="1" x14ac:dyDescent="0.25"/>
    <row r="82222" s="12" customFormat="1" x14ac:dyDescent="0.25"/>
    <row r="82223" s="12" customFormat="1" x14ac:dyDescent="0.25"/>
    <row r="82224" s="12" customFormat="1" x14ac:dyDescent="0.25"/>
    <row r="82225" s="12" customFormat="1" x14ac:dyDescent="0.25"/>
    <row r="82226" s="12" customFormat="1" x14ac:dyDescent="0.25"/>
    <row r="82227" s="12" customFormat="1" x14ac:dyDescent="0.25"/>
    <row r="82228" s="12" customFormat="1" x14ac:dyDescent="0.25"/>
    <row r="82229" s="12" customFormat="1" x14ac:dyDescent="0.25"/>
    <row r="82230" s="12" customFormat="1" x14ac:dyDescent="0.25"/>
    <row r="82231" s="12" customFormat="1" x14ac:dyDescent="0.25"/>
    <row r="82232" s="12" customFormat="1" x14ac:dyDescent="0.25"/>
    <row r="82233" s="12" customFormat="1" x14ac:dyDescent="0.25"/>
    <row r="82234" s="12" customFormat="1" x14ac:dyDescent="0.25"/>
    <row r="82235" s="12" customFormat="1" x14ac:dyDescent="0.25"/>
    <row r="82236" s="12" customFormat="1" x14ac:dyDescent="0.25"/>
    <row r="82237" s="12" customFormat="1" x14ac:dyDescent="0.25"/>
    <row r="82238" s="12" customFormat="1" x14ac:dyDescent="0.25"/>
    <row r="82239" s="12" customFormat="1" x14ac:dyDescent="0.25"/>
    <row r="82240" s="12" customFormat="1" x14ac:dyDescent="0.25"/>
    <row r="82241" s="12" customFormat="1" x14ac:dyDescent="0.25"/>
    <row r="82242" s="12" customFormat="1" x14ac:dyDescent="0.25"/>
    <row r="82243" s="12" customFormat="1" x14ac:dyDescent="0.25"/>
    <row r="82244" s="12" customFormat="1" x14ac:dyDescent="0.25"/>
    <row r="82245" s="12" customFormat="1" x14ac:dyDescent="0.25"/>
    <row r="82246" s="12" customFormat="1" x14ac:dyDescent="0.25"/>
    <row r="82247" s="12" customFormat="1" x14ac:dyDescent="0.25"/>
    <row r="82248" s="12" customFormat="1" x14ac:dyDescent="0.25"/>
    <row r="82249" s="12" customFormat="1" x14ac:dyDescent="0.25"/>
    <row r="82250" s="12" customFormat="1" x14ac:dyDescent="0.25"/>
    <row r="82251" s="12" customFormat="1" x14ac:dyDescent="0.25"/>
    <row r="82252" s="12" customFormat="1" x14ac:dyDescent="0.25"/>
    <row r="82253" s="12" customFormat="1" x14ac:dyDescent="0.25"/>
    <row r="82254" s="12" customFormat="1" x14ac:dyDescent="0.25"/>
    <row r="82255" s="12" customFormat="1" x14ac:dyDescent="0.25"/>
    <row r="82256" s="12" customFormat="1" x14ac:dyDescent="0.25"/>
    <row r="82257" s="12" customFormat="1" x14ac:dyDescent="0.25"/>
    <row r="82258" s="12" customFormat="1" x14ac:dyDescent="0.25"/>
    <row r="82259" s="12" customFormat="1" x14ac:dyDescent="0.25"/>
    <row r="82260" s="12" customFormat="1" x14ac:dyDescent="0.25"/>
    <row r="82261" s="12" customFormat="1" x14ac:dyDescent="0.25"/>
    <row r="82262" s="12" customFormat="1" x14ac:dyDescent="0.25"/>
    <row r="82263" s="12" customFormat="1" x14ac:dyDescent="0.25"/>
    <row r="82264" s="12" customFormat="1" x14ac:dyDescent="0.25"/>
    <row r="82265" s="12" customFormat="1" x14ac:dyDescent="0.25"/>
    <row r="82266" s="12" customFormat="1" x14ac:dyDescent="0.25"/>
    <row r="82267" s="12" customFormat="1" x14ac:dyDescent="0.25"/>
    <row r="82268" s="12" customFormat="1" x14ac:dyDescent="0.25"/>
    <row r="82269" s="12" customFormat="1" x14ac:dyDescent="0.25"/>
    <row r="82270" s="12" customFormat="1" x14ac:dyDescent="0.25"/>
    <row r="82271" s="12" customFormat="1" x14ac:dyDescent="0.25"/>
    <row r="82272" s="12" customFormat="1" x14ac:dyDescent="0.25"/>
    <row r="82273" s="12" customFormat="1" x14ac:dyDescent="0.25"/>
    <row r="82274" s="12" customFormat="1" x14ac:dyDescent="0.25"/>
    <row r="82275" s="12" customFormat="1" x14ac:dyDescent="0.25"/>
    <row r="82276" s="12" customFormat="1" x14ac:dyDescent="0.25"/>
    <row r="82277" s="12" customFormat="1" x14ac:dyDescent="0.25"/>
    <row r="82278" s="12" customFormat="1" x14ac:dyDescent="0.25"/>
    <row r="82279" s="12" customFormat="1" x14ac:dyDescent="0.25"/>
    <row r="82280" s="12" customFormat="1" x14ac:dyDescent="0.25"/>
    <row r="82281" s="12" customFormat="1" x14ac:dyDescent="0.25"/>
    <row r="82282" s="12" customFormat="1" x14ac:dyDescent="0.25"/>
    <row r="82283" s="12" customFormat="1" x14ac:dyDescent="0.25"/>
    <row r="82284" s="12" customFormat="1" x14ac:dyDescent="0.25"/>
    <row r="82285" s="12" customFormat="1" x14ac:dyDescent="0.25"/>
    <row r="82286" s="12" customFormat="1" x14ac:dyDescent="0.25"/>
    <row r="82287" s="12" customFormat="1" x14ac:dyDescent="0.25"/>
    <row r="82288" s="12" customFormat="1" x14ac:dyDescent="0.25"/>
    <row r="82289" s="12" customFormat="1" x14ac:dyDescent="0.25"/>
    <row r="82290" s="12" customFormat="1" x14ac:dyDescent="0.25"/>
    <row r="82291" s="12" customFormat="1" x14ac:dyDescent="0.25"/>
    <row r="82292" s="12" customFormat="1" x14ac:dyDescent="0.25"/>
    <row r="82293" s="12" customFormat="1" x14ac:dyDescent="0.25"/>
    <row r="82294" s="12" customFormat="1" x14ac:dyDescent="0.25"/>
    <row r="82295" s="12" customFormat="1" x14ac:dyDescent="0.25"/>
    <row r="82296" s="12" customFormat="1" x14ac:dyDescent="0.25"/>
    <row r="82297" s="12" customFormat="1" x14ac:dyDescent="0.25"/>
    <row r="82298" s="12" customFormat="1" x14ac:dyDescent="0.25"/>
    <row r="82299" s="12" customFormat="1" x14ac:dyDescent="0.25"/>
    <row r="82300" s="12" customFormat="1" x14ac:dyDescent="0.25"/>
    <row r="82301" s="12" customFormat="1" x14ac:dyDescent="0.25"/>
    <row r="82302" s="12" customFormat="1" x14ac:dyDescent="0.25"/>
    <row r="82303" s="12" customFormat="1" x14ac:dyDescent="0.25"/>
    <row r="82304" s="12" customFormat="1" x14ac:dyDescent="0.25"/>
    <row r="82305" s="12" customFormat="1" x14ac:dyDescent="0.25"/>
    <row r="82306" s="12" customFormat="1" x14ac:dyDescent="0.25"/>
    <row r="82307" s="12" customFormat="1" x14ac:dyDescent="0.25"/>
    <row r="82308" s="12" customFormat="1" x14ac:dyDescent="0.25"/>
    <row r="82309" s="12" customFormat="1" x14ac:dyDescent="0.25"/>
    <row r="82310" s="12" customFormat="1" x14ac:dyDescent="0.25"/>
    <row r="82311" s="12" customFormat="1" x14ac:dyDescent="0.25"/>
    <row r="82312" s="12" customFormat="1" x14ac:dyDescent="0.25"/>
    <row r="82313" s="12" customFormat="1" x14ac:dyDescent="0.25"/>
    <row r="82314" s="12" customFormat="1" x14ac:dyDescent="0.25"/>
    <row r="82315" s="12" customFormat="1" x14ac:dyDescent="0.25"/>
    <row r="82316" s="12" customFormat="1" x14ac:dyDescent="0.25"/>
    <row r="82317" s="12" customFormat="1" x14ac:dyDescent="0.25"/>
    <row r="82318" s="12" customFormat="1" x14ac:dyDescent="0.25"/>
    <row r="82319" s="12" customFormat="1" x14ac:dyDescent="0.25"/>
    <row r="82320" s="12" customFormat="1" x14ac:dyDescent="0.25"/>
    <row r="82321" s="12" customFormat="1" x14ac:dyDescent="0.25"/>
    <row r="82322" s="12" customFormat="1" x14ac:dyDescent="0.25"/>
    <row r="82323" s="12" customFormat="1" x14ac:dyDescent="0.25"/>
    <row r="82324" s="12" customFormat="1" x14ac:dyDescent="0.25"/>
    <row r="82325" s="12" customFormat="1" x14ac:dyDescent="0.25"/>
    <row r="82326" s="12" customFormat="1" x14ac:dyDescent="0.25"/>
    <row r="82327" s="12" customFormat="1" x14ac:dyDescent="0.25"/>
    <row r="82328" s="12" customFormat="1" x14ac:dyDescent="0.25"/>
    <row r="82329" s="12" customFormat="1" x14ac:dyDescent="0.25"/>
    <row r="82330" s="12" customFormat="1" x14ac:dyDescent="0.25"/>
    <row r="82331" s="12" customFormat="1" x14ac:dyDescent="0.25"/>
    <row r="82332" s="12" customFormat="1" x14ac:dyDescent="0.25"/>
    <row r="82333" s="12" customFormat="1" x14ac:dyDescent="0.25"/>
    <row r="82334" s="12" customFormat="1" x14ac:dyDescent="0.25"/>
    <row r="82335" s="12" customFormat="1" x14ac:dyDescent="0.25"/>
    <row r="82336" s="12" customFormat="1" x14ac:dyDescent="0.25"/>
    <row r="82337" s="12" customFormat="1" x14ac:dyDescent="0.25"/>
    <row r="82338" s="12" customFormat="1" x14ac:dyDescent="0.25"/>
    <row r="82339" s="12" customFormat="1" x14ac:dyDescent="0.25"/>
    <row r="82340" s="12" customFormat="1" x14ac:dyDescent="0.25"/>
    <row r="82341" s="12" customFormat="1" x14ac:dyDescent="0.25"/>
    <row r="82342" s="12" customFormat="1" x14ac:dyDescent="0.25"/>
    <row r="82343" s="12" customFormat="1" x14ac:dyDescent="0.25"/>
    <row r="82344" s="12" customFormat="1" x14ac:dyDescent="0.25"/>
    <row r="82345" s="12" customFormat="1" x14ac:dyDescent="0.25"/>
    <row r="82346" s="12" customFormat="1" x14ac:dyDescent="0.25"/>
    <row r="82347" s="12" customFormat="1" x14ac:dyDescent="0.25"/>
    <row r="82348" s="12" customFormat="1" x14ac:dyDescent="0.25"/>
    <row r="82349" s="12" customFormat="1" x14ac:dyDescent="0.25"/>
    <row r="82350" s="12" customFormat="1" x14ac:dyDescent="0.25"/>
    <row r="82351" s="12" customFormat="1" x14ac:dyDescent="0.25"/>
    <row r="82352" s="12" customFormat="1" x14ac:dyDescent="0.25"/>
    <row r="82353" s="12" customFormat="1" x14ac:dyDescent="0.25"/>
    <row r="82354" s="12" customFormat="1" x14ac:dyDescent="0.25"/>
    <row r="82355" s="12" customFormat="1" x14ac:dyDescent="0.25"/>
    <row r="82356" s="12" customFormat="1" x14ac:dyDescent="0.25"/>
    <row r="82357" s="12" customFormat="1" x14ac:dyDescent="0.25"/>
    <row r="82358" s="12" customFormat="1" x14ac:dyDescent="0.25"/>
    <row r="82359" s="12" customFormat="1" x14ac:dyDescent="0.25"/>
    <row r="82360" s="12" customFormat="1" x14ac:dyDescent="0.25"/>
    <row r="82361" s="12" customFormat="1" x14ac:dyDescent="0.25"/>
    <row r="82362" s="12" customFormat="1" x14ac:dyDescent="0.25"/>
    <row r="82363" s="12" customFormat="1" x14ac:dyDescent="0.25"/>
    <row r="82364" s="12" customFormat="1" x14ac:dyDescent="0.25"/>
    <row r="82365" s="12" customFormat="1" x14ac:dyDescent="0.25"/>
    <row r="82366" s="12" customFormat="1" x14ac:dyDescent="0.25"/>
    <row r="82367" s="12" customFormat="1" x14ac:dyDescent="0.25"/>
    <row r="82368" s="12" customFormat="1" x14ac:dyDescent="0.25"/>
    <row r="82369" s="12" customFormat="1" x14ac:dyDescent="0.25"/>
    <row r="82370" s="12" customFormat="1" x14ac:dyDescent="0.25"/>
    <row r="82371" s="12" customFormat="1" x14ac:dyDescent="0.25"/>
    <row r="82372" s="12" customFormat="1" x14ac:dyDescent="0.25"/>
    <row r="82373" s="12" customFormat="1" x14ac:dyDescent="0.25"/>
    <row r="82374" s="12" customFormat="1" x14ac:dyDescent="0.25"/>
    <row r="82375" s="12" customFormat="1" x14ac:dyDescent="0.25"/>
    <row r="82376" s="12" customFormat="1" x14ac:dyDescent="0.25"/>
    <row r="82377" s="12" customFormat="1" x14ac:dyDescent="0.25"/>
    <row r="82378" s="12" customFormat="1" x14ac:dyDescent="0.25"/>
    <row r="82379" s="12" customFormat="1" x14ac:dyDescent="0.25"/>
    <row r="82380" s="12" customFormat="1" x14ac:dyDescent="0.25"/>
    <row r="82381" s="12" customFormat="1" x14ac:dyDescent="0.25"/>
    <row r="82382" s="12" customFormat="1" x14ac:dyDescent="0.25"/>
    <row r="82383" s="12" customFormat="1" x14ac:dyDescent="0.25"/>
    <row r="82384" s="12" customFormat="1" x14ac:dyDescent="0.25"/>
    <row r="82385" s="12" customFormat="1" x14ac:dyDescent="0.25"/>
    <row r="82386" s="12" customFormat="1" x14ac:dyDescent="0.25"/>
    <row r="82387" s="12" customFormat="1" x14ac:dyDescent="0.25"/>
    <row r="82388" s="12" customFormat="1" x14ac:dyDescent="0.25"/>
    <row r="82389" s="12" customFormat="1" x14ac:dyDescent="0.25"/>
    <row r="82390" s="12" customFormat="1" x14ac:dyDescent="0.25"/>
    <row r="82391" s="12" customFormat="1" x14ac:dyDescent="0.25"/>
    <row r="82392" s="12" customFormat="1" x14ac:dyDescent="0.25"/>
    <row r="82393" s="12" customFormat="1" x14ac:dyDescent="0.25"/>
    <row r="82394" s="12" customFormat="1" x14ac:dyDescent="0.25"/>
    <row r="82395" s="12" customFormat="1" x14ac:dyDescent="0.25"/>
    <row r="82396" s="12" customFormat="1" x14ac:dyDescent="0.25"/>
    <row r="82397" s="12" customFormat="1" x14ac:dyDescent="0.25"/>
    <row r="82398" s="12" customFormat="1" x14ac:dyDescent="0.25"/>
    <row r="82399" s="12" customFormat="1" x14ac:dyDescent="0.25"/>
    <row r="82400" s="12" customFormat="1" x14ac:dyDescent="0.25"/>
    <row r="82401" s="12" customFormat="1" x14ac:dyDescent="0.25"/>
    <row r="82402" s="12" customFormat="1" x14ac:dyDescent="0.25"/>
    <row r="82403" s="12" customFormat="1" x14ac:dyDescent="0.25"/>
    <row r="82404" s="12" customFormat="1" x14ac:dyDescent="0.25"/>
    <row r="82405" s="12" customFormat="1" x14ac:dyDescent="0.25"/>
    <row r="82406" s="12" customFormat="1" x14ac:dyDescent="0.25"/>
    <row r="82407" s="12" customFormat="1" x14ac:dyDescent="0.25"/>
    <row r="82408" s="12" customFormat="1" x14ac:dyDescent="0.25"/>
    <row r="82409" s="12" customFormat="1" x14ac:dyDescent="0.25"/>
    <row r="82410" s="12" customFormat="1" x14ac:dyDescent="0.25"/>
    <row r="82411" s="12" customFormat="1" x14ac:dyDescent="0.25"/>
    <row r="82412" s="12" customFormat="1" x14ac:dyDescent="0.25"/>
    <row r="82413" s="12" customFormat="1" x14ac:dyDescent="0.25"/>
    <row r="82414" s="12" customFormat="1" x14ac:dyDescent="0.25"/>
    <row r="82415" s="12" customFormat="1" x14ac:dyDescent="0.25"/>
    <row r="82416" s="12" customFormat="1" x14ac:dyDescent="0.25"/>
    <row r="82417" s="12" customFormat="1" x14ac:dyDescent="0.25"/>
    <row r="82418" s="12" customFormat="1" x14ac:dyDescent="0.25"/>
    <row r="82419" s="12" customFormat="1" x14ac:dyDescent="0.25"/>
    <row r="82420" s="12" customFormat="1" x14ac:dyDescent="0.25"/>
    <row r="82421" s="12" customFormat="1" x14ac:dyDescent="0.25"/>
    <row r="82422" s="12" customFormat="1" x14ac:dyDescent="0.25"/>
    <row r="82423" s="12" customFormat="1" x14ac:dyDescent="0.25"/>
    <row r="82424" s="12" customFormat="1" x14ac:dyDescent="0.25"/>
    <row r="82425" s="12" customFormat="1" x14ac:dyDescent="0.25"/>
    <row r="82426" s="12" customFormat="1" x14ac:dyDescent="0.25"/>
    <row r="82427" s="12" customFormat="1" x14ac:dyDescent="0.25"/>
    <row r="82428" s="12" customFormat="1" x14ac:dyDescent="0.25"/>
    <row r="82429" s="12" customFormat="1" x14ac:dyDescent="0.25"/>
    <row r="82430" s="12" customFormat="1" x14ac:dyDescent="0.25"/>
    <row r="82431" s="12" customFormat="1" x14ac:dyDescent="0.25"/>
    <row r="82432" s="12" customFormat="1" x14ac:dyDescent="0.25"/>
    <row r="82433" s="12" customFormat="1" x14ac:dyDescent="0.25"/>
    <row r="82434" s="12" customFormat="1" x14ac:dyDescent="0.25"/>
    <row r="82435" s="12" customFormat="1" x14ac:dyDescent="0.25"/>
    <row r="82436" s="12" customFormat="1" x14ac:dyDescent="0.25"/>
    <row r="82437" s="12" customFormat="1" x14ac:dyDescent="0.25"/>
    <row r="82438" s="12" customFormat="1" x14ac:dyDescent="0.25"/>
    <row r="82439" s="12" customFormat="1" x14ac:dyDescent="0.25"/>
    <row r="82440" s="12" customFormat="1" x14ac:dyDescent="0.25"/>
    <row r="82441" s="12" customFormat="1" x14ac:dyDescent="0.25"/>
    <row r="82442" s="12" customFormat="1" x14ac:dyDescent="0.25"/>
    <row r="82443" s="12" customFormat="1" x14ac:dyDescent="0.25"/>
    <row r="82444" s="12" customFormat="1" x14ac:dyDescent="0.25"/>
    <row r="82445" s="12" customFormat="1" x14ac:dyDescent="0.25"/>
    <row r="82446" s="12" customFormat="1" x14ac:dyDescent="0.25"/>
    <row r="82447" s="12" customFormat="1" x14ac:dyDescent="0.25"/>
    <row r="82448" s="12" customFormat="1" x14ac:dyDescent="0.25"/>
    <row r="82449" s="12" customFormat="1" x14ac:dyDescent="0.25"/>
    <row r="82450" s="12" customFormat="1" x14ac:dyDescent="0.25"/>
    <row r="82451" s="12" customFormat="1" x14ac:dyDescent="0.25"/>
    <row r="82452" s="12" customFormat="1" x14ac:dyDescent="0.25"/>
    <row r="82453" s="12" customFormat="1" x14ac:dyDescent="0.25"/>
    <row r="82454" s="12" customFormat="1" x14ac:dyDescent="0.25"/>
    <row r="82455" s="12" customFormat="1" x14ac:dyDescent="0.25"/>
    <row r="82456" s="12" customFormat="1" x14ac:dyDescent="0.25"/>
    <row r="82457" s="12" customFormat="1" x14ac:dyDescent="0.25"/>
    <row r="82458" s="12" customFormat="1" x14ac:dyDescent="0.25"/>
    <row r="82459" s="12" customFormat="1" x14ac:dyDescent="0.25"/>
    <row r="82460" s="12" customFormat="1" x14ac:dyDescent="0.25"/>
    <row r="82461" s="12" customFormat="1" x14ac:dyDescent="0.25"/>
    <row r="82462" s="12" customFormat="1" x14ac:dyDescent="0.25"/>
    <row r="82463" s="12" customFormat="1" x14ac:dyDescent="0.25"/>
    <row r="82464" s="12" customFormat="1" x14ac:dyDescent="0.25"/>
    <row r="82465" s="12" customFormat="1" x14ac:dyDescent="0.25"/>
    <row r="82466" s="12" customFormat="1" x14ac:dyDescent="0.25"/>
    <row r="82467" s="12" customFormat="1" x14ac:dyDescent="0.25"/>
    <row r="82468" s="12" customFormat="1" x14ac:dyDescent="0.25"/>
    <row r="82469" s="12" customFormat="1" x14ac:dyDescent="0.25"/>
    <row r="82470" s="12" customFormat="1" x14ac:dyDescent="0.25"/>
    <row r="82471" s="12" customFormat="1" x14ac:dyDescent="0.25"/>
    <row r="82472" s="12" customFormat="1" x14ac:dyDescent="0.25"/>
    <row r="82473" s="12" customFormat="1" x14ac:dyDescent="0.25"/>
    <row r="82474" s="12" customFormat="1" x14ac:dyDescent="0.25"/>
    <row r="82475" s="12" customFormat="1" x14ac:dyDescent="0.25"/>
    <row r="82476" s="12" customFormat="1" x14ac:dyDescent="0.25"/>
    <row r="82477" s="12" customFormat="1" x14ac:dyDescent="0.25"/>
    <row r="82478" s="12" customFormat="1" x14ac:dyDescent="0.25"/>
    <row r="82479" s="12" customFormat="1" x14ac:dyDescent="0.25"/>
    <row r="82480" s="12" customFormat="1" x14ac:dyDescent="0.25"/>
    <row r="82481" s="12" customFormat="1" x14ac:dyDescent="0.25"/>
    <row r="82482" s="12" customFormat="1" x14ac:dyDescent="0.25"/>
    <row r="82483" s="12" customFormat="1" x14ac:dyDescent="0.25"/>
    <row r="82484" s="12" customFormat="1" x14ac:dyDescent="0.25"/>
    <row r="82485" s="12" customFormat="1" x14ac:dyDescent="0.25"/>
    <row r="82486" s="12" customFormat="1" x14ac:dyDescent="0.25"/>
    <row r="82487" s="12" customFormat="1" x14ac:dyDescent="0.25"/>
    <row r="82488" s="12" customFormat="1" x14ac:dyDescent="0.25"/>
    <row r="82489" s="12" customFormat="1" x14ac:dyDescent="0.25"/>
    <row r="82490" s="12" customFormat="1" x14ac:dyDescent="0.25"/>
    <row r="82491" s="12" customFormat="1" x14ac:dyDescent="0.25"/>
    <row r="82492" s="12" customFormat="1" x14ac:dyDescent="0.25"/>
    <row r="82493" s="12" customFormat="1" x14ac:dyDescent="0.25"/>
    <row r="82494" s="12" customFormat="1" x14ac:dyDescent="0.25"/>
    <row r="82495" s="12" customFormat="1" x14ac:dyDescent="0.25"/>
    <row r="82496" s="12" customFormat="1" x14ac:dyDescent="0.25"/>
    <row r="82497" s="12" customFormat="1" x14ac:dyDescent="0.25"/>
    <row r="82498" s="12" customFormat="1" x14ac:dyDescent="0.25"/>
    <row r="82499" s="12" customFormat="1" x14ac:dyDescent="0.25"/>
    <row r="82500" s="12" customFormat="1" x14ac:dyDescent="0.25"/>
    <row r="82501" s="12" customFormat="1" x14ac:dyDescent="0.25"/>
    <row r="82502" s="12" customFormat="1" x14ac:dyDescent="0.25"/>
    <row r="82503" s="12" customFormat="1" x14ac:dyDescent="0.25"/>
    <row r="82504" s="12" customFormat="1" x14ac:dyDescent="0.25"/>
    <row r="82505" s="12" customFormat="1" x14ac:dyDescent="0.25"/>
    <row r="82506" s="12" customFormat="1" x14ac:dyDescent="0.25"/>
    <row r="82507" s="12" customFormat="1" x14ac:dyDescent="0.25"/>
    <row r="82508" s="12" customFormat="1" x14ac:dyDescent="0.25"/>
    <row r="82509" s="12" customFormat="1" x14ac:dyDescent="0.25"/>
    <row r="82510" s="12" customFormat="1" x14ac:dyDescent="0.25"/>
    <row r="82511" s="12" customFormat="1" x14ac:dyDescent="0.25"/>
    <row r="82512" s="12" customFormat="1" x14ac:dyDescent="0.25"/>
    <row r="82513" s="12" customFormat="1" x14ac:dyDescent="0.25"/>
    <row r="82514" s="12" customFormat="1" x14ac:dyDescent="0.25"/>
    <row r="82515" s="12" customFormat="1" x14ac:dyDescent="0.25"/>
    <row r="82516" s="12" customFormat="1" x14ac:dyDescent="0.25"/>
    <row r="82517" s="12" customFormat="1" x14ac:dyDescent="0.25"/>
    <row r="82518" s="12" customFormat="1" x14ac:dyDescent="0.25"/>
    <row r="82519" s="12" customFormat="1" x14ac:dyDescent="0.25"/>
    <row r="82520" s="12" customFormat="1" x14ac:dyDescent="0.25"/>
    <row r="82521" s="12" customFormat="1" x14ac:dyDescent="0.25"/>
    <row r="82522" s="12" customFormat="1" x14ac:dyDescent="0.25"/>
    <row r="82523" s="12" customFormat="1" x14ac:dyDescent="0.25"/>
    <row r="82524" s="12" customFormat="1" x14ac:dyDescent="0.25"/>
    <row r="82525" s="12" customFormat="1" x14ac:dyDescent="0.25"/>
    <row r="82526" s="12" customFormat="1" x14ac:dyDescent="0.25"/>
    <row r="82527" s="12" customFormat="1" x14ac:dyDescent="0.25"/>
    <row r="82528" s="12" customFormat="1" x14ac:dyDescent="0.25"/>
    <row r="82529" s="12" customFormat="1" x14ac:dyDescent="0.25"/>
    <row r="82530" s="12" customFormat="1" x14ac:dyDescent="0.25"/>
    <row r="82531" s="12" customFormat="1" x14ac:dyDescent="0.25"/>
    <row r="82532" s="12" customFormat="1" x14ac:dyDescent="0.25"/>
    <row r="82533" s="12" customFormat="1" x14ac:dyDescent="0.25"/>
    <row r="82534" s="12" customFormat="1" x14ac:dyDescent="0.25"/>
    <row r="82535" s="12" customFormat="1" x14ac:dyDescent="0.25"/>
    <row r="82536" s="12" customFormat="1" x14ac:dyDescent="0.25"/>
    <row r="82537" s="12" customFormat="1" x14ac:dyDescent="0.25"/>
    <row r="82538" s="12" customFormat="1" x14ac:dyDescent="0.25"/>
    <row r="82539" s="12" customFormat="1" x14ac:dyDescent="0.25"/>
    <row r="82540" s="12" customFormat="1" x14ac:dyDescent="0.25"/>
    <row r="82541" s="12" customFormat="1" x14ac:dyDescent="0.25"/>
    <row r="82542" s="12" customFormat="1" x14ac:dyDescent="0.25"/>
    <row r="82543" s="12" customFormat="1" x14ac:dyDescent="0.25"/>
    <row r="82544" s="12" customFormat="1" x14ac:dyDescent="0.25"/>
    <row r="82545" s="12" customFormat="1" x14ac:dyDescent="0.25"/>
    <row r="82546" s="12" customFormat="1" x14ac:dyDescent="0.25"/>
    <row r="82547" s="12" customFormat="1" x14ac:dyDescent="0.25"/>
    <row r="82548" s="12" customFormat="1" x14ac:dyDescent="0.25"/>
    <row r="82549" s="12" customFormat="1" x14ac:dyDescent="0.25"/>
    <row r="82550" s="12" customFormat="1" x14ac:dyDescent="0.25"/>
    <row r="82551" s="12" customFormat="1" x14ac:dyDescent="0.25"/>
    <row r="82552" s="12" customFormat="1" x14ac:dyDescent="0.25"/>
    <row r="82553" s="12" customFormat="1" x14ac:dyDescent="0.25"/>
    <row r="82554" s="12" customFormat="1" x14ac:dyDescent="0.25"/>
    <row r="82555" s="12" customFormat="1" x14ac:dyDescent="0.25"/>
    <row r="82556" s="12" customFormat="1" x14ac:dyDescent="0.25"/>
    <row r="82557" s="12" customFormat="1" x14ac:dyDescent="0.25"/>
    <row r="82558" s="12" customFormat="1" x14ac:dyDescent="0.25"/>
    <row r="82559" s="12" customFormat="1" x14ac:dyDescent="0.25"/>
    <row r="82560" s="12" customFormat="1" x14ac:dyDescent="0.25"/>
    <row r="82561" s="12" customFormat="1" x14ac:dyDescent="0.25"/>
    <row r="82562" s="12" customFormat="1" x14ac:dyDescent="0.25"/>
    <row r="82563" s="12" customFormat="1" x14ac:dyDescent="0.25"/>
    <row r="82564" s="12" customFormat="1" x14ac:dyDescent="0.25"/>
    <row r="82565" s="12" customFormat="1" x14ac:dyDescent="0.25"/>
    <row r="82566" s="12" customFormat="1" x14ac:dyDescent="0.25"/>
    <row r="82567" s="12" customFormat="1" x14ac:dyDescent="0.25"/>
    <row r="82568" s="12" customFormat="1" x14ac:dyDescent="0.25"/>
    <row r="82569" s="12" customFormat="1" x14ac:dyDescent="0.25"/>
    <row r="82570" s="12" customFormat="1" x14ac:dyDescent="0.25"/>
    <row r="82571" s="12" customFormat="1" x14ac:dyDescent="0.25"/>
    <row r="82572" s="12" customFormat="1" x14ac:dyDescent="0.25"/>
    <row r="82573" s="12" customFormat="1" x14ac:dyDescent="0.25"/>
    <row r="82574" s="12" customFormat="1" x14ac:dyDescent="0.25"/>
    <row r="82575" s="12" customFormat="1" x14ac:dyDescent="0.25"/>
    <row r="82576" s="12" customFormat="1" x14ac:dyDescent="0.25"/>
    <row r="82577" s="12" customFormat="1" x14ac:dyDescent="0.25"/>
    <row r="82578" s="12" customFormat="1" x14ac:dyDescent="0.25"/>
    <row r="82579" s="12" customFormat="1" x14ac:dyDescent="0.25"/>
    <row r="82580" s="12" customFormat="1" x14ac:dyDescent="0.25"/>
    <row r="82581" s="12" customFormat="1" x14ac:dyDescent="0.25"/>
    <row r="82582" s="12" customFormat="1" x14ac:dyDescent="0.25"/>
    <row r="82583" s="12" customFormat="1" x14ac:dyDescent="0.25"/>
    <row r="82584" s="12" customFormat="1" x14ac:dyDescent="0.25"/>
    <row r="82585" s="12" customFormat="1" x14ac:dyDescent="0.25"/>
    <row r="82586" s="12" customFormat="1" x14ac:dyDescent="0.25"/>
    <row r="82587" s="12" customFormat="1" x14ac:dyDescent="0.25"/>
    <row r="82588" s="12" customFormat="1" x14ac:dyDescent="0.25"/>
    <row r="82589" s="12" customFormat="1" x14ac:dyDescent="0.25"/>
    <row r="82590" s="12" customFormat="1" x14ac:dyDescent="0.25"/>
    <row r="82591" s="12" customFormat="1" x14ac:dyDescent="0.25"/>
    <row r="82592" s="12" customFormat="1" x14ac:dyDescent="0.25"/>
    <row r="82593" s="12" customFormat="1" x14ac:dyDescent="0.25"/>
    <row r="82594" s="12" customFormat="1" x14ac:dyDescent="0.25"/>
    <row r="82595" s="12" customFormat="1" x14ac:dyDescent="0.25"/>
    <row r="82596" s="12" customFormat="1" x14ac:dyDescent="0.25"/>
    <row r="82597" s="12" customFormat="1" x14ac:dyDescent="0.25"/>
    <row r="82598" s="12" customFormat="1" x14ac:dyDescent="0.25"/>
    <row r="82599" s="12" customFormat="1" x14ac:dyDescent="0.25"/>
    <row r="82600" s="12" customFormat="1" x14ac:dyDescent="0.25"/>
    <row r="82601" s="12" customFormat="1" x14ac:dyDescent="0.25"/>
    <row r="82602" s="12" customFormat="1" x14ac:dyDescent="0.25"/>
    <row r="82603" s="12" customFormat="1" x14ac:dyDescent="0.25"/>
    <row r="82604" s="12" customFormat="1" x14ac:dyDescent="0.25"/>
    <row r="82605" s="12" customFormat="1" x14ac:dyDescent="0.25"/>
    <row r="82606" s="12" customFormat="1" x14ac:dyDescent="0.25"/>
    <row r="82607" s="12" customFormat="1" x14ac:dyDescent="0.25"/>
    <row r="82608" s="12" customFormat="1" x14ac:dyDescent="0.25"/>
    <row r="82609" s="12" customFormat="1" x14ac:dyDescent="0.25"/>
    <row r="82610" s="12" customFormat="1" x14ac:dyDescent="0.25"/>
    <row r="82611" s="12" customFormat="1" x14ac:dyDescent="0.25"/>
    <row r="82612" s="12" customFormat="1" x14ac:dyDescent="0.25"/>
    <row r="82613" s="12" customFormat="1" x14ac:dyDescent="0.25"/>
    <row r="82614" s="12" customFormat="1" x14ac:dyDescent="0.25"/>
    <row r="82615" s="12" customFormat="1" x14ac:dyDescent="0.25"/>
    <row r="82616" s="12" customFormat="1" x14ac:dyDescent="0.25"/>
    <row r="82617" s="12" customFormat="1" x14ac:dyDescent="0.25"/>
    <row r="82618" s="12" customFormat="1" x14ac:dyDescent="0.25"/>
    <row r="82619" s="12" customFormat="1" x14ac:dyDescent="0.25"/>
    <row r="82620" s="12" customFormat="1" x14ac:dyDescent="0.25"/>
    <row r="82621" s="12" customFormat="1" x14ac:dyDescent="0.25"/>
    <row r="82622" s="12" customFormat="1" x14ac:dyDescent="0.25"/>
    <row r="82623" s="12" customFormat="1" x14ac:dyDescent="0.25"/>
    <row r="82624" s="12" customFormat="1" x14ac:dyDescent="0.25"/>
    <row r="82625" s="12" customFormat="1" x14ac:dyDescent="0.25"/>
    <row r="82626" s="12" customFormat="1" x14ac:dyDescent="0.25"/>
    <row r="82627" s="12" customFormat="1" x14ac:dyDescent="0.25"/>
    <row r="82628" s="12" customFormat="1" x14ac:dyDescent="0.25"/>
    <row r="82629" s="12" customFormat="1" x14ac:dyDescent="0.25"/>
    <row r="82630" s="12" customFormat="1" x14ac:dyDescent="0.25"/>
    <row r="82631" s="12" customFormat="1" x14ac:dyDescent="0.25"/>
    <row r="82632" s="12" customFormat="1" x14ac:dyDescent="0.25"/>
    <row r="82633" s="12" customFormat="1" x14ac:dyDescent="0.25"/>
    <row r="82634" s="12" customFormat="1" x14ac:dyDescent="0.25"/>
    <row r="82635" s="12" customFormat="1" x14ac:dyDescent="0.25"/>
    <row r="82636" s="12" customFormat="1" x14ac:dyDescent="0.25"/>
    <row r="82637" s="12" customFormat="1" x14ac:dyDescent="0.25"/>
    <row r="82638" s="12" customFormat="1" x14ac:dyDescent="0.25"/>
    <row r="82639" s="12" customFormat="1" x14ac:dyDescent="0.25"/>
    <row r="82640" s="12" customFormat="1" x14ac:dyDescent="0.25"/>
    <row r="82641" s="12" customFormat="1" x14ac:dyDescent="0.25"/>
    <row r="82642" s="12" customFormat="1" x14ac:dyDescent="0.25"/>
    <row r="82643" s="12" customFormat="1" x14ac:dyDescent="0.25"/>
    <row r="82644" s="12" customFormat="1" x14ac:dyDescent="0.25"/>
    <row r="82645" s="12" customFormat="1" x14ac:dyDescent="0.25"/>
    <row r="82646" s="12" customFormat="1" x14ac:dyDescent="0.25"/>
    <row r="82647" s="12" customFormat="1" x14ac:dyDescent="0.25"/>
    <row r="82648" s="12" customFormat="1" x14ac:dyDescent="0.25"/>
    <row r="82649" s="12" customFormat="1" x14ac:dyDescent="0.25"/>
    <row r="82650" s="12" customFormat="1" x14ac:dyDescent="0.25"/>
    <row r="82651" s="12" customFormat="1" x14ac:dyDescent="0.25"/>
    <row r="82652" s="12" customFormat="1" x14ac:dyDescent="0.25"/>
    <row r="82653" s="12" customFormat="1" x14ac:dyDescent="0.25"/>
    <row r="82654" s="12" customFormat="1" x14ac:dyDescent="0.25"/>
    <row r="82655" s="12" customFormat="1" x14ac:dyDescent="0.25"/>
    <row r="82656" s="12" customFormat="1" x14ac:dyDescent="0.25"/>
    <row r="82657" s="12" customFormat="1" x14ac:dyDescent="0.25"/>
    <row r="82658" s="12" customFormat="1" x14ac:dyDescent="0.25"/>
    <row r="82659" s="12" customFormat="1" x14ac:dyDescent="0.25"/>
    <row r="82660" s="12" customFormat="1" x14ac:dyDescent="0.25"/>
    <row r="82661" s="12" customFormat="1" x14ac:dyDescent="0.25"/>
    <row r="82662" s="12" customFormat="1" x14ac:dyDescent="0.25"/>
    <row r="82663" s="12" customFormat="1" x14ac:dyDescent="0.25"/>
    <row r="82664" s="12" customFormat="1" x14ac:dyDescent="0.25"/>
    <row r="82665" s="12" customFormat="1" x14ac:dyDescent="0.25"/>
    <row r="82666" s="12" customFormat="1" x14ac:dyDescent="0.25"/>
    <row r="82667" s="12" customFormat="1" x14ac:dyDescent="0.25"/>
    <row r="82668" s="12" customFormat="1" x14ac:dyDescent="0.25"/>
    <row r="82669" s="12" customFormat="1" x14ac:dyDescent="0.25"/>
    <row r="82670" s="12" customFormat="1" x14ac:dyDescent="0.25"/>
    <row r="82671" s="12" customFormat="1" x14ac:dyDescent="0.25"/>
    <row r="82672" s="12" customFormat="1" x14ac:dyDescent="0.25"/>
    <row r="82673" s="12" customFormat="1" x14ac:dyDescent="0.25"/>
    <row r="82674" s="12" customFormat="1" x14ac:dyDescent="0.25"/>
    <row r="82675" s="12" customFormat="1" x14ac:dyDescent="0.25"/>
    <row r="82676" s="12" customFormat="1" x14ac:dyDescent="0.25"/>
    <row r="82677" s="12" customFormat="1" x14ac:dyDescent="0.25"/>
    <row r="82678" s="12" customFormat="1" x14ac:dyDescent="0.25"/>
    <row r="82679" s="12" customFormat="1" x14ac:dyDescent="0.25"/>
    <row r="82680" s="12" customFormat="1" x14ac:dyDescent="0.25"/>
    <row r="82681" s="12" customFormat="1" x14ac:dyDescent="0.25"/>
    <row r="82682" s="12" customFormat="1" x14ac:dyDescent="0.25"/>
    <row r="82683" s="12" customFormat="1" x14ac:dyDescent="0.25"/>
    <row r="82684" s="12" customFormat="1" x14ac:dyDescent="0.25"/>
    <row r="82685" s="12" customFormat="1" x14ac:dyDescent="0.25"/>
    <row r="82686" s="12" customFormat="1" x14ac:dyDescent="0.25"/>
    <row r="82687" s="12" customFormat="1" x14ac:dyDescent="0.25"/>
    <row r="82688" s="12" customFormat="1" x14ac:dyDescent="0.25"/>
    <row r="82689" s="12" customFormat="1" x14ac:dyDescent="0.25"/>
    <row r="82690" s="12" customFormat="1" x14ac:dyDescent="0.25"/>
    <row r="82691" s="12" customFormat="1" x14ac:dyDescent="0.25"/>
    <row r="82692" s="12" customFormat="1" x14ac:dyDescent="0.25"/>
    <row r="82693" s="12" customFormat="1" x14ac:dyDescent="0.25"/>
    <row r="82694" s="12" customFormat="1" x14ac:dyDescent="0.25"/>
    <row r="82695" s="12" customFormat="1" x14ac:dyDescent="0.25"/>
    <row r="82696" s="12" customFormat="1" x14ac:dyDescent="0.25"/>
    <row r="82697" s="12" customFormat="1" x14ac:dyDescent="0.25"/>
    <row r="82698" s="12" customFormat="1" x14ac:dyDescent="0.25"/>
    <row r="82699" s="12" customFormat="1" x14ac:dyDescent="0.25"/>
    <row r="82700" s="12" customFormat="1" x14ac:dyDescent="0.25"/>
    <row r="82701" s="12" customFormat="1" x14ac:dyDescent="0.25"/>
    <row r="82702" s="12" customFormat="1" x14ac:dyDescent="0.25"/>
    <row r="82703" s="12" customFormat="1" x14ac:dyDescent="0.25"/>
    <row r="82704" s="12" customFormat="1" x14ac:dyDescent="0.25"/>
    <row r="82705" s="12" customFormat="1" x14ac:dyDescent="0.25"/>
    <row r="82706" s="12" customFormat="1" x14ac:dyDescent="0.25"/>
    <row r="82707" s="12" customFormat="1" x14ac:dyDescent="0.25"/>
    <row r="82708" s="12" customFormat="1" x14ac:dyDescent="0.25"/>
    <row r="82709" s="12" customFormat="1" x14ac:dyDescent="0.25"/>
    <row r="82710" s="12" customFormat="1" x14ac:dyDescent="0.25"/>
    <row r="82711" s="12" customFormat="1" x14ac:dyDescent="0.25"/>
    <row r="82712" s="12" customFormat="1" x14ac:dyDescent="0.25"/>
    <row r="82713" s="12" customFormat="1" x14ac:dyDescent="0.25"/>
    <row r="82714" s="12" customFormat="1" x14ac:dyDescent="0.25"/>
    <row r="82715" s="12" customFormat="1" x14ac:dyDescent="0.25"/>
    <row r="82716" s="12" customFormat="1" x14ac:dyDescent="0.25"/>
    <row r="82717" s="12" customFormat="1" x14ac:dyDescent="0.25"/>
    <row r="82718" s="12" customFormat="1" x14ac:dyDescent="0.25"/>
    <row r="82719" s="12" customFormat="1" x14ac:dyDescent="0.25"/>
    <row r="82720" s="12" customFormat="1" x14ac:dyDescent="0.25"/>
    <row r="82721" s="12" customFormat="1" x14ac:dyDescent="0.25"/>
    <row r="82722" s="12" customFormat="1" x14ac:dyDescent="0.25"/>
    <row r="82723" s="12" customFormat="1" x14ac:dyDescent="0.25"/>
    <row r="82724" s="12" customFormat="1" x14ac:dyDescent="0.25"/>
    <row r="82725" s="12" customFormat="1" x14ac:dyDescent="0.25"/>
    <row r="82726" s="12" customFormat="1" x14ac:dyDescent="0.25"/>
    <row r="82727" s="12" customFormat="1" x14ac:dyDescent="0.25"/>
    <row r="82728" s="12" customFormat="1" x14ac:dyDescent="0.25"/>
    <row r="82729" s="12" customFormat="1" x14ac:dyDescent="0.25"/>
    <row r="82730" s="12" customFormat="1" x14ac:dyDescent="0.25"/>
    <row r="82731" s="12" customFormat="1" x14ac:dyDescent="0.25"/>
    <row r="82732" s="12" customFormat="1" x14ac:dyDescent="0.25"/>
    <row r="82733" s="12" customFormat="1" x14ac:dyDescent="0.25"/>
    <row r="82734" s="12" customFormat="1" x14ac:dyDescent="0.25"/>
    <row r="82735" s="12" customFormat="1" x14ac:dyDescent="0.25"/>
    <row r="82736" s="12" customFormat="1" x14ac:dyDescent="0.25"/>
    <row r="82737" s="12" customFormat="1" x14ac:dyDescent="0.25"/>
    <row r="82738" s="12" customFormat="1" x14ac:dyDescent="0.25"/>
    <row r="82739" s="12" customFormat="1" x14ac:dyDescent="0.25"/>
    <row r="82740" s="12" customFormat="1" x14ac:dyDescent="0.25"/>
    <row r="82741" s="12" customFormat="1" x14ac:dyDescent="0.25"/>
    <row r="82742" s="12" customFormat="1" x14ac:dyDescent="0.25"/>
    <row r="82743" s="12" customFormat="1" x14ac:dyDescent="0.25"/>
    <row r="82744" s="12" customFormat="1" x14ac:dyDescent="0.25"/>
    <row r="82745" s="12" customFormat="1" x14ac:dyDescent="0.25"/>
    <row r="82746" s="12" customFormat="1" x14ac:dyDescent="0.25"/>
    <row r="82747" s="12" customFormat="1" x14ac:dyDescent="0.25"/>
    <row r="82748" s="12" customFormat="1" x14ac:dyDescent="0.25"/>
    <row r="82749" s="12" customFormat="1" x14ac:dyDescent="0.25"/>
    <row r="82750" s="12" customFormat="1" x14ac:dyDescent="0.25"/>
    <row r="82751" s="12" customFormat="1" x14ac:dyDescent="0.25"/>
    <row r="82752" s="12" customFormat="1" x14ac:dyDescent="0.25"/>
    <row r="82753" s="12" customFormat="1" x14ac:dyDescent="0.25"/>
    <row r="82754" s="12" customFormat="1" x14ac:dyDescent="0.25"/>
    <row r="82755" s="12" customFormat="1" x14ac:dyDescent="0.25"/>
    <row r="82756" s="12" customFormat="1" x14ac:dyDescent="0.25"/>
    <row r="82757" s="12" customFormat="1" x14ac:dyDescent="0.25"/>
    <row r="82758" s="12" customFormat="1" x14ac:dyDescent="0.25"/>
    <row r="82759" s="12" customFormat="1" x14ac:dyDescent="0.25"/>
    <row r="82760" s="12" customFormat="1" x14ac:dyDescent="0.25"/>
    <row r="82761" s="12" customFormat="1" x14ac:dyDescent="0.25"/>
    <row r="82762" s="12" customFormat="1" x14ac:dyDescent="0.25"/>
    <row r="82763" s="12" customFormat="1" x14ac:dyDescent="0.25"/>
    <row r="82764" s="12" customFormat="1" x14ac:dyDescent="0.25"/>
    <row r="82765" s="12" customFormat="1" x14ac:dyDescent="0.25"/>
    <row r="82766" s="12" customFormat="1" x14ac:dyDescent="0.25"/>
    <row r="82767" s="12" customFormat="1" x14ac:dyDescent="0.25"/>
    <row r="82768" s="12" customFormat="1" x14ac:dyDescent="0.25"/>
    <row r="82769" s="12" customFormat="1" x14ac:dyDescent="0.25"/>
    <row r="82770" s="12" customFormat="1" x14ac:dyDescent="0.25"/>
    <row r="82771" s="12" customFormat="1" x14ac:dyDescent="0.25"/>
    <row r="82772" s="12" customFormat="1" x14ac:dyDescent="0.25"/>
    <row r="82773" s="12" customFormat="1" x14ac:dyDescent="0.25"/>
    <row r="82774" s="12" customFormat="1" x14ac:dyDescent="0.25"/>
    <row r="82775" s="12" customFormat="1" x14ac:dyDescent="0.25"/>
    <row r="82776" s="12" customFormat="1" x14ac:dyDescent="0.25"/>
    <row r="82777" s="12" customFormat="1" x14ac:dyDescent="0.25"/>
    <row r="82778" s="12" customFormat="1" x14ac:dyDescent="0.25"/>
    <row r="82779" s="12" customFormat="1" x14ac:dyDescent="0.25"/>
    <row r="82780" s="12" customFormat="1" x14ac:dyDescent="0.25"/>
    <row r="82781" s="12" customFormat="1" x14ac:dyDescent="0.25"/>
    <row r="82782" s="12" customFormat="1" x14ac:dyDescent="0.25"/>
    <row r="82783" s="12" customFormat="1" x14ac:dyDescent="0.25"/>
    <row r="82784" s="12" customFormat="1" x14ac:dyDescent="0.25"/>
    <row r="82785" s="12" customFormat="1" x14ac:dyDescent="0.25"/>
    <row r="82786" s="12" customFormat="1" x14ac:dyDescent="0.25"/>
    <row r="82787" s="12" customFormat="1" x14ac:dyDescent="0.25"/>
    <row r="82788" s="12" customFormat="1" x14ac:dyDescent="0.25"/>
    <row r="82789" s="12" customFormat="1" x14ac:dyDescent="0.25"/>
    <row r="82790" s="12" customFormat="1" x14ac:dyDescent="0.25"/>
    <row r="82791" s="12" customFormat="1" x14ac:dyDescent="0.25"/>
    <row r="82792" s="12" customFormat="1" x14ac:dyDescent="0.25"/>
    <row r="82793" s="12" customFormat="1" x14ac:dyDescent="0.25"/>
    <row r="82794" s="12" customFormat="1" x14ac:dyDescent="0.25"/>
    <row r="82795" s="12" customFormat="1" x14ac:dyDescent="0.25"/>
    <row r="82796" s="12" customFormat="1" x14ac:dyDescent="0.25"/>
    <row r="82797" s="12" customFormat="1" x14ac:dyDescent="0.25"/>
    <row r="82798" s="12" customFormat="1" x14ac:dyDescent="0.25"/>
    <row r="82799" s="12" customFormat="1" x14ac:dyDescent="0.25"/>
    <row r="82800" s="12" customFormat="1" x14ac:dyDescent="0.25"/>
    <row r="82801" s="12" customFormat="1" x14ac:dyDescent="0.25"/>
    <row r="82802" s="12" customFormat="1" x14ac:dyDescent="0.25"/>
    <row r="82803" s="12" customFormat="1" x14ac:dyDescent="0.25"/>
    <row r="82804" s="12" customFormat="1" x14ac:dyDescent="0.25"/>
    <row r="82805" s="12" customFormat="1" x14ac:dyDescent="0.25"/>
    <row r="82806" s="12" customFormat="1" x14ac:dyDescent="0.25"/>
    <row r="82807" s="12" customFormat="1" x14ac:dyDescent="0.25"/>
    <row r="82808" s="12" customFormat="1" x14ac:dyDescent="0.25"/>
    <row r="82809" s="12" customFormat="1" x14ac:dyDescent="0.25"/>
    <row r="82810" s="12" customFormat="1" x14ac:dyDescent="0.25"/>
    <row r="82811" s="12" customFormat="1" x14ac:dyDescent="0.25"/>
    <row r="82812" s="12" customFormat="1" x14ac:dyDescent="0.25"/>
    <row r="82813" s="12" customFormat="1" x14ac:dyDescent="0.25"/>
    <row r="82814" s="12" customFormat="1" x14ac:dyDescent="0.25"/>
    <row r="82815" s="12" customFormat="1" x14ac:dyDescent="0.25"/>
    <row r="82816" s="12" customFormat="1" x14ac:dyDescent="0.25"/>
    <row r="82817" s="12" customFormat="1" x14ac:dyDescent="0.25"/>
    <row r="82818" s="12" customFormat="1" x14ac:dyDescent="0.25"/>
    <row r="82819" s="12" customFormat="1" x14ac:dyDescent="0.25"/>
    <row r="82820" s="12" customFormat="1" x14ac:dyDescent="0.25"/>
    <row r="82821" s="12" customFormat="1" x14ac:dyDescent="0.25"/>
    <row r="82822" s="12" customFormat="1" x14ac:dyDescent="0.25"/>
    <row r="82823" s="12" customFormat="1" x14ac:dyDescent="0.25"/>
    <row r="82824" s="12" customFormat="1" x14ac:dyDescent="0.25"/>
    <row r="82825" s="12" customFormat="1" x14ac:dyDescent="0.25"/>
    <row r="82826" s="12" customFormat="1" x14ac:dyDescent="0.25"/>
    <row r="82827" s="12" customFormat="1" x14ac:dyDescent="0.25"/>
    <row r="82828" s="12" customFormat="1" x14ac:dyDescent="0.25"/>
    <row r="82829" s="12" customFormat="1" x14ac:dyDescent="0.25"/>
    <row r="82830" s="12" customFormat="1" x14ac:dyDescent="0.25"/>
    <row r="82831" s="12" customFormat="1" x14ac:dyDescent="0.25"/>
    <row r="82832" s="12" customFormat="1" x14ac:dyDescent="0.25"/>
    <row r="82833" s="12" customFormat="1" x14ac:dyDescent="0.25"/>
    <row r="82834" s="12" customFormat="1" x14ac:dyDescent="0.25"/>
    <row r="82835" s="12" customFormat="1" x14ac:dyDescent="0.25"/>
    <row r="82836" s="12" customFormat="1" x14ac:dyDescent="0.25"/>
    <row r="82837" s="12" customFormat="1" x14ac:dyDescent="0.25"/>
    <row r="82838" s="12" customFormat="1" x14ac:dyDescent="0.25"/>
    <row r="82839" s="12" customFormat="1" x14ac:dyDescent="0.25"/>
    <row r="82840" s="12" customFormat="1" x14ac:dyDescent="0.25"/>
    <row r="82841" s="12" customFormat="1" x14ac:dyDescent="0.25"/>
    <row r="82842" s="12" customFormat="1" x14ac:dyDescent="0.25"/>
    <row r="82843" s="12" customFormat="1" x14ac:dyDescent="0.25"/>
    <row r="82844" s="12" customFormat="1" x14ac:dyDescent="0.25"/>
    <row r="82845" s="12" customFormat="1" x14ac:dyDescent="0.25"/>
    <row r="82846" s="12" customFormat="1" x14ac:dyDescent="0.25"/>
    <row r="82847" s="12" customFormat="1" x14ac:dyDescent="0.25"/>
    <row r="82848" s="12" customFormat="1" x14ac:dyDescent="0.25"/>
    <row r="82849" s="12" customFormat="1" x14ac:dyDescent="0.25"/>
    <row r="82850" s="12" customFormat="1" x14ac:dyDescent="0.25"/>
    <row r="82851" s="12" customFormat="1" x14ac:dyDescent="0.25"/>
    <row r="82852" s="12" customFormat="1" x14ac:dyDescent="0.25"/>
    <row r="82853" s="12" customFormat="1" x14ac:dyDescent="0.25"/>
    <row r="82854" s="12" customFormat="1" x14ac:dyDescent="0.25"/>
    <row r="82855" s="12" customFormat="1" x14ac:dyDescent="0.25"/>
    <row r="82856" s="12" customFormat="1" x14ac:dyDescent="0.25"/>
    <row r="82857" s="12" customFormat="1" x14ac:dyDescent="0.25"/>
    <row r="82858" s="12" customFormat="1" x14ac:dyDescent="0.25"/>
    <row r="82859" s="12" customFormat="1" x14ac:dyDescent="0.25"/>
    <row r="82860" s="12" customFormat="1" x14ac:dyDescent="0.25"/>
    <row r="82861" s="12" customFormat="1" x14ac:dyDescent="0.25"/>
    <row r="82862" s="12" customFormat="1" x14ac:dyDescent="0.25"/>
    <row r="82863" s="12" customFormat="1" x14ac:dyDescent="0.25"/>
    <row r="82864" s="12" customFormat="1" x14ac:dyDescent="0.25"/>
    <row r="82865" s="12" customFormat="1" x14ac:dyDescent="0.25"/>
    <row r="82866" s="12" customFormat="1" x14ac:dyDescent="0.25"/>
    <row r="82867" s="12" customFormat="1" x14ac:dyDescent="0.25"/>
    <row r="82868" s="12" customFormat="1" x14ac:dyDescent="0.25"/>
    <row r="82869" s="12" customFormat="1" x14ac:dyDescent="0.25"/>
    <row r="82870" s="12" customFormat="1" x14ac:dyDescent="0.25"/>
    <row r="82871" s="12" customFormat="1" x14ac:dyDescent="0.25"/>
    <row r="82872" s="12" customFormat="1" x14ac:dyDescent="0.25"/>
    <row r="82873" s="12" customFormat="1" x14ac:dyDescent="0.25"/>
    <row r="82874" s="12" customFormat="1" x14ac:dyDescent="0.25"/>
    <row r="82875" s="12" customFormat="1" x14ac:dyDescent="0.25"/>
    <row r="82876" s="12" customFormat="1" x14ac:dyDescent="0.25"/>
    <row r="82877" s="12" customFormat="1" x14ac:dyDescent="0.25"/>
    <row r="82878" s="12" customFormat="1" x14ac:dyDescent="0.25"/>
    <row r="82879" s="12" customFormat="1" x14ac:dyDescent="0.25"/>
    <row r="82880" s="12" customFormat="1" x14ac:dyDescent="0.25"/>
    <row r="82881" s="12" customFormat="1" x14ac:dyDescent="0.25"/>
    <row r="82882" s="12" customFormat="1" x14ac:dyDescent="0.25"/>
    <row r="82883" s="12" customFormat="1" x14ac:dyDescent="0.25"/>
    <row r="82884" s="12" customFormat="1" x14ac:dyDescent="0.25"/>
    <row r="82885" s="12" customFormat="1" x14ac:dyDescent="0.25"/>
    <row r="82886" s="12" customFormat="1" x14ac:dyDescent="0.25"/>
    <row r="82887" s="12" customFormat="1" x14ac:dyDescent="0.25"/>
    <row r="82888" s="12" customFormat="1" x14ac:dyDescent="0.25"/>
    <row r="82889" s="12" customFormat="1" x14ac:dyDescent="0.25"/>
    <row r="82890" s="12" customFormat="1" x14ac:dyDescent="0.25"/>
    <row r="82891" s="12" customFormat="1" x14ac:dyDescent="0.25"/>
    <row r="82892" s="12" customFormat="1" x14ac:dyDescent="0.25"/>
    <row r="82893" s="12" customFormat="1" x14ac:dyDescent="0.25"/>
    <row r="82894" s="12" customFormat="1" x14ac:dyDescent="0.25"/>
    <row r="82895" s="12" customFormat="1" x14ac:dyDescent="0.25"/>
    <row r="82896" s="12" customFormat="1" x14ac:dyDescent="0.25"/>
    <row r="82897" s="12" customFormat="1" x14ac:dyDescent="0.25"/>
    <row r="82898" s="12" customFormat="1" x14ac:dyDescent="0.25"/>
    <row r="82899" s="12" customFormat="1" x14ac:dyDescent="0.25"/>
    <row r="82900" s="12" customFormat="1" x14ac:dyDescent="0.25"/>
    <row r="82901" s="12" customFormat="1" x14ac:dyDescent="0.25"/>
    <row r="82902" s="12" customFormat="1" x14ac:dyDescent="0.25"/>
    <row r="82903" s="12" customFormat="1" x14ac:dyDescent="0.25"/>
    <row r="82904" s="12" customFormat="1" x14ac:dyDescent="0.25"/>
    <row r="82905" s="12" customFormat="1" x14ac:dyDescent="0.25"/>
    <row r="82906" s="12" customFormat="1" x14ac:dyDescent="0.25"/>
    <row r="82907" s="12" customFormat="1" x14ac:dyDescent="0.25"/>
    <row r="82908" s="12" customFormat="1" x14ac:dyDescent="0.25"/>
    <row r="82909" s="12" customFormat="1" x14ac:dyDescent="0.25"/>
    <row r="82910" s="12" customFormat="1" x14ac:dyDescent="0.25"/>
    <row r="82911" s="12" customFormat="1" x14ac:dyDescent="0.25"/>
    <row r="82912" s="12" customFormat="1" x14ac:dyDescent="0.25"/>
    <row r="82913" s="12" customFormat="1" x14ac:dyDescent="0.25"/>
    <row r="82914" s="12" customFormat="1" x14ac:dyDescent="0.25"/>
    <row r="82915" s="12" customFormat="1" x14ac:dyDescent="0.25"/>
    <row r="82916" s="12" customFormat="1" x14ac:dyDescent="0.25"/>
    <row r="82917" s="12" customFormat="1" x14ac:dyDescent="0.25"/>
    <row r="82918" s="12" customFormat="1" x14ac:dyDescent="0.25"/>
    <row r="82919" s="12" customFormat="1" x14ac:dyDescent="0.25"/>
    <row r="82920" s="12" customFormat="1" x14ac:dyDescent="0.25"/>
    <row r="82921" s="12" customFormat="1" x14ac:dyDescent="0.25"/>
    <row r="82922" s="12" customFormat="1" x14ac:dyDescent="0.25"/>
    <row r="82923" s="12" customFormat="1" x14ac:dyDescent="0.25"/>
    <row r="82924" s="12" customFormat="1" x14ac:dyDescent="0.25"/>
    <row r="82925" s="12" customFormat="1" x14ac:dyDescent="0.25"/>
    <row r="82926" s="12" customFormat="1" x14ac:dyDescent="0.25"/>
    <row r="82927" s="12" customFormat="1" x14ac:dyDescent="0.25"/>
    <row r="82928" s="12" customFormat="1" x14ac:dyDescent="0.25"/>
    <row r="82929" s="12" customFormat="1" x14ac:dyDescent="0.25"/>
    <row r="82930" s="12" customFormat="1" x14ac:dyDescent="0.25"/>
    <row r="82931" s="12" customFormat="1" x14ac:dyDescent="0.25"/>
    <row r="82932" s="12" customFormat="1" x14ac:dyDescent="0.25"/>
    <row r="82933" s="12" customFormat="1" x14ac:dyDescent="0.25"/>
    <row r="82934" s="12" customFormat="1" x14ac:dyDescent="0.25"/>
    <row r="82935" s="12" customFormat="1" x14ac:dyDescent="0.25"/>
    <row r="82936" s="12" customFormat="1" x14ac:dyDescent="0.25"/>
    <row r="82937" s="12" customFormat="1" x14ac:dyDescent="0.25"/>
    <row r="82938" s="12" customFormat="1" x14ac:dyDescent="0.25"/>
    <row r="82939" s="12" customFormat="1" x14ac:dyDescent="0.25"/>
    <row r="82940" s="12" customFormat="1" x14ac:dyDescent="0.25"/>
    <row r="82941" s="12" customFormat="1" x14ac:dyDescent="0.25"/>
    <row r="82942" s="12" customFormat="1" x14ac:dyDescent="0.25"/>
    <row r="82943" s="12" customFormat="1" x14ac:dyDescent="0.25"/>
    <row r="82944" s="12" customFormat="1" x14ac:dyDescent="0.25"/>
    <row r="82945" s="12" customFormat="1" x14ac:dyDescent="0.25"/>
    <row r="82946" s="12" customFormat="1" x14ac:dyDescent="0.25"/>
    <row r="82947" s="12" customFormat="1" x14ac:dyDescent="0.25"/>
    <row r="82948" s="12" customFormat="1" x14ac:dyDescent="0.25"/>
    <row r="82949" s="12" customFormat="1" x14ac:dyDescent="0.25"/>
    <row r="82950" s="12" customFormat="1" x14ac:dyDescent="0.25"/>
    <row r="82951" s="12" customFormat="1" x14ac:dyDescent="0.25"/>
    <row r="82952" s="12" customFormat="1" x14ac:dyDescent="0.25"/>
    <row r="82953" s="12" customFormat="1" x14ac:dyDescent="0.25"/>
    <row r="82954" s="12" customFormat="1" x14ac:dyDescent="0.25"/>
    <row r="82955" s="12" customFormat="1" x14ac:dyDescent="0.25"/>
    <row r="82956" s="12" customFormat="1" x14ac:dyDescent="0.25"/>
    <row r="82957" s="12" customFormat="1" x14ac:dyDescent="0.25"/>
    <row r="82958" s="12" customFormat="1" x14ac:dyDescent="0.25"/>
    <row r="82959" s="12" customFormat="1" x14ac:dyDescent="0.25"/>
    <row r="82960" s="12" customFormat="1" x14ac:dyDescent="0.25"/>
    <row r="82961" s="12" customFormat="1" x14ac:dyDescent="0.25"/>
    <row r="82962" s="12" customFormat="1" x14ac:dyDescent="0.25"/>
    <row r="82963" s="12" customFormat="1" x14ac:dyDescent="0.25"/>
    <row r="82964" s="12" customFormat="1" x14ac:dyDescent="0.25"/>
    <row r="82965" s="12" customFormat="1" x14ac:dyDescent="0.25"/>
    <row r="82966" s="12" customFormat="1" x14ac:dyDescent="0.25"/>
    <row r="82967" s="12" customFormat="1" x14ac:dyDescent="0.25"/>
    <row r="82968" s="12" customFormat="1" x14ac:dyDescent="0.25"/>
    <row r="82969" s="12" customFormat="1" x14ac:dyDescent="0.25"/>
    <row r="82970" s="12" customFormat="1" x14ac:dyDescent="0.25"/>
    <row r="82971" s="12" customFormat="1" x14ac:dyDescent="0.25"/>
    <row r="82972" s="12" customFormat="1" x14ac:dyDescent="0.25"/>
    <row r="82973" s="12" customFormat="1" x14ac:dyDescent="0.25"/>
    <row r="82974" s="12" customFormat="1" x14ac:dyDescent="0.25"/>
    <row r="82975" s="12" customFormat="1" x14ac:dyDescent="0.25"/>
    <row r="82976" s="12" customFormat="1" x14ac:dyDescent="0.25"/>
    <row r="82977" s="12" customFormat="1" x14ac:dyDescent="0.25"/>
    <row r="82978" s="12" customFormat="1" x14ac:dyDescent="0.25"/>
    <row r="82979" s="12" customFormat="1" x14ac:dyDescent="0.25"/>
    <row r="82980" s="12" customFormat="1" x14ac:dyDescent="0.25"/>
    <row r="82981" s="12" customFormat="1" x14ac:dyDescent="0.25"/>
    <row r="82982" s="12" customFormat="1" x14ac:dyDescent="0.25"/>
    <row r="82983" s="12" customFormat="1" x14ac:dyDescent="0.25"/>
    <row r="82984" s="12" customFormat="1" x14ac:dyDescent="0.25"/>
    <row r="82985" s="12" customFormat="1" x14ac:dyDescent="0.25"/>
    <row r="82986" s="12" customFormat="1" x14ac:dyDescent="0.25"/>
    <row r="82987" s="12" customFormat="1" x14ac:dyDescent="0.25"/>
    <row r="82988" s="12" customFormat="1" x14ac:dyDescent="0.25"/>
    <row r="82989" s="12" customFormat="1" x14ac:dyDescent="0.25"/>
    <row r="82990" s="12" customFormat="1" x14ac:dyDescent="0.25"/>
    <row r="82991" s="12" customFormat="1" x14ac:dyDescent="0.25"/>
    <row r="82992" s="12" customFormat="1" x14ac:dyDescent="0.25"/>
    <row r="82993" s="12" customFormat="1" x14ac:dyDescent="0.25"/>
    <row r="82994" s="12" customFormat="1" x14ac:dyDescent="0.25"/>
    <row r="82995" s="12" customFormat="1" x14ac:dyDescent="0.25"/>
    <row r="82996" s="12" customFormat="1" x14ac:dyDescent="0.25"/>
    <row r="82997" s="12" customFormat="1" x14ac:dyDescent="0.25"/>
    <row r="82998" s="12" customFormat="1" x14ac:dyDescent="0.25"/>
    <row r="82999" s="12" customFormat="1" x14ac:dyDescent="0.25"/>
    <row r="83000" s="12" customFormat="1" x14ac:dyDescent="0.25"/>
    <row r="83001" s="12" customFormat="1" x14ac:dyDescent="0.25"/>
    <row r="83002" s="12" customFormat="1" x14ac:dyDescent="0.25"/>
    <row r="83003" s="12" customFormat="1" x14ac:dyDescent="0.25"/>
    <row r="83004" s="12" customFormat="1" x14ac:dyDescent="0.25"/>
    <row r="83005" s="12" customFormat="1" x14ac:dyDescent="0.25"/>
    <row r="83006" s="12" customFormat="1" x14ac:dyDescent="0.25"/>
    <row r="83007" s="12" customFormat="1" x14ac:dyDescent="0.25"/>
    <row r="83008" s="12" customFormat="1" x14ac:dyDescent="0.25"/>
    <row r="83009" s="12" customFormat="1" x14ac:dyDescent="0.25"/>
    <row r="83010" s="12" customFormat="1" x14ac:dyDescent="0.25"/>
    <row r="83011" s="12" customFormat="1" x14ac:dyDescent="0.25"/>
    <row r="83012" s="12" customFormat="1" x14ac:dyDescent="0.25"/>
    <row r="83013" s="12" customFormat="1" x14ac:dyDescent="0.25"/>
    <row r="83014" s="12" customFormat="1" x14ac:dyDescent="0.25"/>
    <row r="83015" s="12" customFormat="1" x14ac:dyDescent="0.25"/>
    <row r="83016" s="12" customFormat="1" x14ac:dyDescent="0.25"/>
    <row r="83017" s="12" customFormat="1" x14ac:dyDescent="0.25"/>
    <row r="83018" s="12" customFormat="1" x14ac:dyDescent="0.25"/>
    <row r="83019" s="12" customFormat="1" x14ac:dyDescent="0.25"/>
    <row r="83020" s="12" customFormat="1" x14ac:dyDescent="0.25"/>
    <row r="83021" s="12" customFormat="1" x14ac:dyDescent="0.25"/>
    <row r="83022" s="12" customFormat="1" x14ac:dyDescent="0.25"/>
    <row r="83023" s="12" customFormat="1" x14ac:dyDescent="0.25"/>
    <row r="83024" s="12" customFormat="1" x14ac:dyDescent="0.25"/>
    <row r="83025" s="12" customFormat="1" x14ac:dyDescent="0.25"/>
    <row r="83026" s="12" customFormat="1" x14ac:dyDescent="0.25"/>
    <row r="83027" s="12" customFormat="1" x14ac:dyDescent="0.25"/>
    <row r="83028" s="12" customFormat="1" x14ac:dyDescent="0.25"/>
    <row r="83029" s="12" customFormat="1" x14ac:dyDescent="0.25"/>
    <row r="83030" s="12" customFormat="1" x14ac:dyDescent="0.25"/>
    <row r="83031" s="12" customFormat="1" x14ac:dyDescent="0.25"/>
    <row r="83032" s="12" customFormat="1" x14ac:dyDescent="0.25"/>
    <row r="83033" s="12" customFormat="1" x14ac:dyDescent="0.25"/>
    <row r="83034" s="12" customFormat="1" x14ac:dyDescent="0.25"/>
    <row r="83035" s="12" customFormat="1" x14ac:dyDescent="0.25"/>
    <row r="83036" s="12" customFormat="1" x14ac:dyDescent="0.25"/>
    <row r="83037" s="12" customFormat="1" x14ac:dyDescent="0.25"/>
    <row r="83038" s="12" customFormat="1" x14ac:dyDescent="0.25"/>
    <row r="83039" s="12" customFormat="1" x14ac:dyDescent="0.25"/>
    <row r="83040" s="12" customFormat="1" x14ac:dyDescent="0.25"/>
    <row r="83041" s="12" customFormat="1" x14ac:dyDescent="0.25"/>
    <row r="83042" s="12" customFormat="1" x14ac:dyDescent="0.25"/>
    <row r="83043" s="12" customFormat="1" x14ac:dyDescent="0.25"/>
    <row r="83044" s="12" customFormat="1" x14ac:dyDescent="0.25"/>
    <row r="83045" s="12" customFormat="1" x14ac:dyDescent="0.25"/>
    <row r="83046" s="12" customFormat="1" x14ac:dyDescent="0.25"/>
    <row r="83047" s="12" customFormat="1" x14ac:dyDescent="0.25"/>
    <row r="83048" s="12" customFormat="1" x14ac:dyDescent="0.25"/>
    <row r="83049" s="12" customFormat="1" x14ac:dyDescent="0.25"/>
    <row r="83050" s="12" customFormat="1" x14ac:dyDescent="0.25"/>
    <row r="83051" s="12" customFormat="1" x14ac:dyDescent="0.25"/>
    <row r="83052" s="12" customFormat="1" x14ac:dyDescent="0.25"/>
    <row r="83053" s="12" customFormat="1" x14ac:dyDescent="0.25"/>
    <row r="83054" s="12" customFormat="1" x14ac:dyDescent="0.25"/>
    <row r="83055" s="12" customFormat="1" x14ac:dyDescent="0.25"/>
    <row r="83056" s="12" customFormat="1" x14ac:dyDescent="0.25"/>
    <row r="83057" s="12" customFormat="1" x14ac:dyDescent="0.25"/>
    <row r="83058" s="12" customFormat="1" x14ac:dyDescent="0.25"/>
    <row r="83059" s="12" customFormat="1" x14ac:dyDescent="0.25"/>
    <row r="83060" s="12" customFormat="1" x14ac:dyDescent="0.25"/>
    <row r="83061" s="12" customFormat="1" x14ac:dyDescent="0.25"/>
    <row r="83062" s="12" customFormat="1" x14ac:dyDescent="0.25"/>
    <row r="83063" s="12" customFormat="1" x14ac:dyDescent="0.25"/>
    <row r="83064" s="12" customFormat="1" x14ac:dyDescent="0.25"/>
    <row r="83065" s="12" customFormat="1" x14ac:dyDescent="0.25"/>
    <row r="83066" s="12" customFormat="1" x14ac:dyDescent="0.25"/>
    <row r="83067" s="12" customFormat="1" x14ac:dyDescent="0.25"/>
    <row r="83068" s="12" customFormat="1" x14ac:dyDescent="0.25"/>
    <row r="83069" s="12" customFormat="1" x14ac:dyDescent="0.25"/>
    <row r="83070" s="12" customFormat="1" x14ac:dyDescent="0.25"/>
    <row r="83071" s="12" customFormat="1" x14ac:dyDescent="0.25"/>
    <row r="83072" s="12" customFormat="1" x14ac:dyDescent="0.25"/>
    <row r="83073" s="12" customFormat="1" x14ac:dyDescent="0.25"/>
    <row r="83074" s="12" customFormat="1" x14ac:dyDescent="0.25"/>
    <row r="83075" s="12" customFormat="1" x14ac:dyDescent="0.25"/>
    <row r="83076" s="12" customFormat="1" x14ac:dyDescent="0.25"/>
    <row r="83077" s="12" customFormat="1" x14ac:dyDescent="0.25"/>
    <row r="83078" s="12" customFormat="1" x14ac:dyDescent="0.25"/>
    <row r="83079" s="12" customFormat="1" x14ac:dyDescent="0.25"/>
    <row r="83080" s="12" customFormat="1" x14ac:dyDescent="0.25"/>
    <row r="83081" s="12" customFormat="1" x14ac:dyDescent="0.25"/>
    <row r="83082" s="12" customFormat="1" x14ac:dyDescent="0.25"/>
    <row r="83083" s="12" customFormat="1" x14ac:dyDescent="0.25"/>
    <row r="83084" s="12" customFormat="1" x14ac:dyDescent="0.25"/>
    <row r="83085" s="12" customFormat="1" x14ac:dyDescent="0.25"/>
    <row r="83086" s="12" customFormat="1" x14ac:dyDescent="0.25"/>
    <row r="83087" s="12" customFormat="1" x14ac:dyDescent="0.25"/>
    <row r="83088" s="12" customFormat="1" x14ac:dyDescent="0.25"/>
    <row r="83089" s="12" customFormat="1" x14ac:dyDescent="0.25"/>
    <row r="83090" s="12" customFormat="1" x14ac:dyDescent="0.25"/>
    <row r="83091" s="12" customFormat="1" x14ac:dyDescent="0.25"/>
    <row r="83092" s="12" customFormat="1" x14ac:dyDescent="0.25"/>
    <row r="83093" s="12" customFormat="1" x14ac:dyDescent="0.25"/>
    <row r="83094" s="12" customFormat="1" x14ac:dyDescent="0.25"/>
    <row r="83095" s="12" customFormat="1" x14ac:dyDescent="0.25"/>
    <row r="83096" s="12" customFormat="1" x14ac:dyDescent="0.25"/>
    <row r="83097" s="12" customFormat="1" x14ac:dyDescent="0.25"/>
    <row r="83098" s="12" customFormat="1" x14ac:dyDescent="0.25"/>
    <row r="83099" s="12" customFormat="1" x14ac:dyDescent="0.25"/>
    <row r="83100" s="12" customFormat="1" x14ac:dyDescent="0.25"/>
    <row r="83101" s="12" customFormat="1" x14ac:dyDescent="0.25"/>
    <row r="83102" s="12" customFormat="1" x14ac:dyDescent="0.25"/>
    <row r="83103" s="12" customFormat="1" x14ac:dyDescent="0.25"/>
    <row r="83104" s="12" customFormat="1" x14ac:dyDescent="0.25"/>
    <row r="83105" s="12" customFormat="1" x14ac:dyDescent="0.25"/>
    <row r="83106" s="12" customFormat="1" x14ac:dyDescent="0.25"/>
    <row r="83107" s="12" customFormat="1" x14ac:dyDescent="0.25"/>
    <row r="83108" s="12" customFormat="1" x14ac:dyDescent="0.25"/>
    <row r="83109" s="12" customFormat="1" x14ac:dyDescent="0.25"/>
    <row r="83110" s="12" customFormat="1" x14ac:dyDescent="0.25"/>
    <row r="83111" s="12" customFormat="1" x14ac:dyDescent="0.25"/>
    <row r="83112" s="12" customFormat="1" x14ac:dyDescent="0.25"/>
    <row r="83113" s="12" customFormat="1" x14ac:dyDescent="0.25"/>
    <row r="83114" s="12" customFormat="1" x14ac:dyDescent="0.25"/>
    <row r="83115" s="12" customFormat="1" x14ac:dyDescent="0.25"/>
    <row r="83116" s="12" customFormat="1" x14ac:dyDescent="0.25"/>
    <row r="83117" s="12" customFormat="1" x14ac:dyDescent="0.25"/>
    <row r="83118" s="12" customFormat="1" x14ac:dyDescent="0.25"/>
    <row r="83119" s="12" customFormat="1" x14ac:dyDescent="0.25"/>
    <row r="83120" s="12" customFormat="1" x14ac:dyDescent="0.25"/>
    <row r="83121" s="12" customFormat="1" x14ac:dyDescent="0.25"/>
    <row r="83122" s="12" customFormat="1" x14ac:dyDescent="0.25"/>
    <row r="83123" s="12" customFormat="1" x14ac:dyDescent="0.25"/>
    <row r="83124" s="12" customFormat="1" x14ac:dyDescent="0.25"/>
    <row r="83125" s="12" customFormat="1" x14ac:dyDescent="0.25"/>
    <row r="83126" s="12" customFormat="1" x14ac:dyDescent="0.25"/>
    <row r="83127" s="12" customFormat="1" x14ac:dyDescent="0.25"/>
    <row r="83128" s="12" customFormat="1" x14ac:dyDescent="0.25"/>
    <row r="83129" s="12" customFormat="1" x14ac:dyDescent="0.25"/>
    <row r="83130" s="12" customFormat="1" x14ac:dyDescent="0.25"/>
    <row r="83131" s="12" customFormat="1" x14ac:dyDescent="0.25"/>
    <row r="83132" s="12" customFormat="1" x14ac:dyDescent="0.25"/>
    <row r="83133" s="12" customFormat="1" x14ac:dyDescent="0.25"/>
    <row r="83134" s="12" customFormat="1" x14ac:dyDescent="0.25"/>
    <row r="83135" s="12" customFormat="1" x14ac:dyDescent="0.25"/>
    <row r="83136" s="12" customFormat="1" x14ac:dyDescent="0.25"/>
    <row r="83137" s="12" customFormat="1" x14ac:dyDescent="0.25"/>
    <row r="83138" s="12" customFormat="1" x14ac:dyDescent="0.25"/>
    <row r="83139" s="12" customFormat="1" x14ac:dyDescent="0.25"/>
    <row r="83140" s="12" customFormat="1" x14ac:dyDescent="0.25"/>
    <row r="83141" s="12" customFormat="1" x14ac:dyDescent="0.25"/>
    <row r="83142" s="12" customFormat="1" x14ac:dyDescent="0.25"/>
    <row r="83143" s="12" customFormat="1" x14ac:dyDescent="0.25"/>
    <row r="83144" s="12" customFormat="1" x14ac:dyDescent="0.25"/>
    <row r="83145" s="12" customFormat="1" x14ac:dyDescent="0.25"/>
    <row r="83146" s="12" customFormat="1" x14ac:dyDescent="0.25"/>
    <row r="83147" s="12" customFormat="1" x14ac:dyDescent="0.25"/>
    <row r="83148" s="12" customFormat="1" x14ac:dyDescent="0.25"/>
    <row r="83149" s="12" customFormat="1" x14ac:dyDescent="0.25"/>
    <row r="83150" s="12" customFormat="1" x14ac:dyDescent="0.25"/>
    <row r="83151" s="12" customFormat="1" x14ac:dyDescent="0.25"/>
    <row r="83152" s="12" customFormat="1" x14ac:dyDescent="0.25"/>
    <row r="83153" s="12" customFormat="1" x14ac:dyDescent="0.25"/>
    <row r="83154" s="12" customFormat="1" x14ac:dyDescent="0.25"/>
    <row r="83155" s="12" customFormat="1" x14ac:dyDescent="0.25"/>
    <row r="83156" s="12" customFormat="1" x14ac:dyDescent="0.25"/>
    <row r="83157" s="12" customFormat="1" x14ac:dyDescent="0.25"/>
    <row r="83158" s="12" customFormat="1" x14ac:dyDescent="0.25"/>
    <row r="83159" s="12" customFormat="1" x14ac:dyDescent="0.25"/>
    <row r="83160" s="12" customFormat="1" x14ac:dyDescent="0.25"/>
    <row r="83161" s="12" customFormat="1" x14ac:dyDescent="0.25"/>
    <row r="83162" s="12" customFormat="1" x14ac:dyDescent="0.25"/>
    <row r="83163" s="12" customFormat="1" x14ac:dyDescent="0.25"/>
    <row r="83164" s="12" customFormat="1" x14ac:dyDescent="0.25"/>
    <row r="83165" s="12" customFormat="1" x14ac:dyDescent="0.25"/>
    <row r="83166" s="12" customFormat="1" x14ac:dyDescent="0.25"/>
    <row r="83167" s="12" customFormat="1" x14ac:dyDescent="0.25"/>
    <row r="83168" s="12" customFormat="1" x14ac:dyDescent="0.25"/>
    <row r="83169" s="12" customFormat="1" x14ac:dyDescent="0.25"/>
    <row r="83170" s="12" customFormat="1" x14ac:dyDescent="0.25"/>
    <row r="83171" s="12" customFormat="1" x14ac:dyDescent="0.25"/>
    <row r="83172" s="12" customFormat="1" x14ac:dyDescent="0.25"/>
    <row r="83173" s="12" customFormat="1" x14ac:dyDescent="0.25"/>
    <row r="83174" s="12" customFormat="1" x14ac:dyDescent="0.25"/>
    <row r="83175" s="12" customFormat="1" x14ac:dyDescent="0.25"/>
    <row r="83176" s="12" customFormat="1" x14ac:dyDescent="0.25"/>
    <row r="83177" s="12" customFormat="1" x14ac:dyDescent="0.25"/>
    <row r="83178" s="12" customFormat="1" x14ac:dyDescent="0.25"/>
    <row r="83179" s="12" customFormat="1" x14ac:dyDescent="0.25"/>
    <row r="83180" s="12" customFormat="1" x14ac:dyDescent="0.25"/>
    <row r="83181" s="12" customFormat="1" x14ac:dyDescent="0.25"/>
    <row r="83182" s="12" customFormat="1" x14ac:dyDescent="0.25"/>
    <row r="83183" s="12" customFormat="1" x14ac:dyDescent="0.25"/>
    <row r="83184" s="12" customFormat="1" x14ac:dyDescent="0.25"/>
    <row r="83185" s="12" customFormat="1" x14ac:dyDescent="0.25"/>
    <row r="83186" s="12" customFormat="1" x14ac:dyDescent="0.25"/>
    <row r="83187" s="12" customFormat="1" x14ac:dyDescent="0.25"/>
    <row r="83188" s="12" customFormat="1" x14ac:dyDescent="0.25"/>
    <row r="83189" s="12" customFormat="1" x14ac:dyDescent="0.25"/>
    <row r="83190" s="12" customFormat="1" x14ac:dyDescent="0.25"/>
    <row r="83191" s="12" customFormat="1" x14ac:dyDescent="0.25"/>
    <row r="83192" s="12" customFormat="1" x14ac:dyDescent="0.25"/>
    <row r="83193" s="12" customFormat="1" x14ac:dyDescent="0.25"/>
    <row r="83194" s="12" customFormat="1" x14ac:dyDescent="0.25"/>
    <row r="83195" s="12" customFormat="1" x14ac:dyDescent="0.25"/>
    <row r="83196" s="12" customFormat="1" x14ac:dyDescent="0.25"/>
    <row r="83197" s="12" customFormat="1" x14ac:dyDescent="0.25"/>
    <row r="83198" s="12" customFormat="1" x14ac:dyDescent="0.25"/>
    <row r="83199" s="12" customFormat="1" x14ac:dyDescent="0.25"/>
    <row r="83200" s="12" customFormat="1" x14ac:dyDescent="0.25"/>
    <row r="83201" s="12" customFormat="1" x14ac:dyDescent="0.25"/>
    <row r="83202" s="12" customFormat="1" x14ac:dyDescent="0.25"/>
    <row r="83203" s="12" customFormat="1" x14ac:dyDescent="0.25"/>
    <row r="83204" s="12" customFormat="1" x14ac:dyDescent="0.25"/>
    <row r="83205" s="12" customFormat="1" x14ac:dyDescent="0.25"/>
    <row r="83206" s="12" customFormat="1" x14ac:dyDescent="0.25"/>
    <row r="83207" s="12" customFormat="1" x14ac:dyDescent="0.25"/>
    <row r="83208" s="12" customFormat="1" x14ac:dyDescent="0.25"/>
    <row r="83209" s="12" customFormat="1" x14ac:dyDescent="0.25"/>
    <row r="83210" s="12" customFormat="1" x14ac:dyDescent="0.25"/>
    <row r="83211" s="12" customFormat="1" x14ac:dyDescent="0.25"/>
    <row r="83212" s="12" customFormat="1" x14ac:dyDescent="0.25"/>
    <row r="83213" s="12" customFormat="1" x14ac:dyDescent="0.25"/>
    <row r="83214" s="12" customFormat="1" x14ac:dyDescent="0.25"/>
    <row r="83215" s="12" customFormat="1" x14ac:dyDescent="0.25"/>
    <row r="83216" s="12" customFormat="1" x14ac:dyDescent="0.25"/>
    <row r="83217" s="12" customFormat="1" x14ac:dyDescent="0.25"/>
    <row r="83218" s="12" customFormat="1" x14ac:dyDescent="0.25"/>
    <row r="83219" s="12" customFormat="1" x14ac:dyDescent="0.25"/>
    <row r="83220" s="12" customFormat="1" x14ac:dyDescent="0.25"/>
    <row r="83221" s="12" customFormat="1" x14ac:dyDescent="0.25"/>
    <row r="83222" s="12" customFormat="1" x14ac:dyDescent="0.25"/>
    <row r="83223" s="12" customFormat="1" x14ac:dyDescent="0.25"/>
    <row r="83224" s="12" customFormat="1" x14ac:dyDescent="0.25"/>
    <row r="83225" s="12" customFormat="1" x14ac:dyDescent="0.25"/>
    <row r="83226" s="12" customFormat="1" x14ac:dyDescent="0.25"/>
    <row r="83227" s="12" customFormat="1" x14ac:dyDescent="0.25"/>
    <row r="83228" s="12" customFormat="1" x14ac:dyDescent="0.25"/>
    <row r="83229" s="12" customFormat="1" x14ac:dyDescent="0.25"/>
    <row r="83230" s="12" customFormat="1" x14ac:dyDescent="0.25"/>
    <row r="83231" s="12" customFormat="1" x14ac:dyDescent="0.25"/>
    <row r="83232" s="12" customFormat="1" x14ac:dyDescent="0.25"/>
    <row r="83233" s="12" customFormat="1" x14ac:dyDescent="0.25"/>
    <row r="83234" s="12" customFormat="1" x14ac:dyDescent="0.25"/>
    <row r="83235" s="12" customFormat="1" x14ac:dyDescent="0.25"/>
    <row r="83236" s="12" customFormat="1" x14ac:dyDescent="0.25"/>
    <row r="83237" s="12" customFormat="1" x14ac:dyDescent="0.25"/>
    <row r="83238" s="12" customFormat="1" x14ac:dyDescent="0.25"/>
    <row r="83239" s="12" customFormat="1" x14ac:dyDescent="0.25"/>
    <row r="83240" s="12" customFormat="1" x14ac:dyDescent="0.25"/>
    <row r="83241" s="12" customFormat="1" x14ac:dyDescent="0.25"/>
    <row r="83242" s="12" customFormat="1" x14ac:dyDescent="0.25"/>
    <row r="83243" s="12" customFormat="1" x14ac:dyDescent="0.25"/>
    <row r="83244" s="12" customFormat="1" x14ac:dyDescent="0.25"/>
    <row r="83245" s="12" customFormat="1" x14ac:dyDescent="0.25"/>
    <row r="83246" s="12" customFormat="1" x14ac:dyDescent="0.25"/>
    <row r="83247" s="12" customFormat="1" x14ac:dyDescent="0.25"/>
    <row r="83248" s="12" customFormat="1" x14ac:dyDescent="0.25"/>
    <row r="83249" s="12" customFormat="1" x14ac:dyDescent="0.25"/>
    <row r="83250" s="12" customFormat="1" x14ac:dyDescent="0.25"/>
    <row r="83251" s="12" customFormat="1" x14ac:dyDescent="0.25"/>
    <row r="83252" s="12" customFormat="1" x14ac:dyDescent="0.25"/>
    <row r="83253" s="12" customFormat="1" x14ac:dyDescent="0.25"/>
    <row r="83254" s="12" customFormat="1" x14ac:dyDescent="0.25"/>
    <row r="83255" s="12" customFormat="1" x14ac:dyDescent="0.25"/>
    <row r="83256" s="12" customFormat="1" x14ac:dyDescent="0.25"/>
    <row r="83257" s="12" customFormat="1" x14ac:dyDescent="0.25"/>
    <row r="83258" s="12" customFormat="1" x14ac:dyDescent="0.25"/>
    <row r="83259" s="12" customFormat="1" x14ac:dyDescent="0.25"/>
    <row r="83260" s="12" customFormat="1" x14ac:dyDescent="0.25"/>
    <row r="83261" s="12" customFormat="1" x14ac:dyDescent="0.25"/>
    <row r="83262" s="12" customFormat="1" x14ac:dyDescent="0.25"/>
    <row r="83263" s="12" customFormat="1" x14ac:dyDescent="0.25"/>
    <row r="83264" s="12" customFormat="1" x14ac:dyDescent="0.25"/>
    <row r="83265" s="12" customFormat="1" x14ac:dyDescent="0.25"/>
    <row r="83266" s="12" customFormat="1" x14ac:dyDescent="0.25"/>
    <row r="83267" s="12" customFormat="1" x14ac:dyDescent="0.25"/>
    <row r="83268" s="12" customFormat="1" x14ac:dyDescent="0.25"/>
    <row r="83269" s="12" customFormat="1" x14ac:dyDescent="0.25"/>
    <row r="83270" s="12" customFormat="1" x14ac:dyDescent="0.25"/>
    <row r="83271" s="12" customFormat="1" x14ac:dyDescent="0.25"/>
    <row r="83272" s="12" customFormat="1" x14ac:dyDescent="0.25"/>
    <row r="83273" s="12" customFormat="1" x14ac:dyDescent="0.25"/>
    <row r="83274" s="12" customFormat="1" x14ac:dyDescent="0.25"/>
    <row r="83275" s="12" customFormat="1" x14ac:dyDescent="0.25"/>
    <row r="83276" s="12" customFormat="1" x14ac:dyDescent="0.25"/>
    <row r="83277" s="12" customFormat="1" x14ac:dyDescent="0.25"/>
    <row r="83278" s="12" customFormat="1" x14ac:dyDescent="0.25"/>
    <row r="83279" s="12" customFormat="1" x14ac:dyDescent="0.25"/>
    <row r="83280" s="12" customFormat="1" x14ac:dyDescent="0.25"/>
    <row r="83281" s="12" customFormat="1" x14ac:dyDescent="0.25"/>
    <row r="83282" s="12" customFormat="1" x14ac:dyDescent="0.25"/>
    <row r="83283" s="12" customFormat="1" x14ac:dyDescent="0.25"/>
    <row r="83284" s="12" customFormat="1" x14ac:dyDescent="0.25"/>
    <row r="83285" s="12" customFormat="1" x14ac:dyDescent="0.25"/>
    <row r="83286" s="12" customFormat="1" x14ac:dyDescent="0.25"/>
    <row r="83287" s="12" customFormat="1" x14ac:dyDescent="0.25"/>
    <row r="83288" s="12" customFormat="1" x14ac:dyDescent="0.25"/>
    <row r="83289" s="12" customFormat="1" x14ac:dyDescent="0.25"/>
    <row r="83290" s="12" customFormat="1" x14ac:dyDescent="0.25"/>
    <row r="83291" s="12" customFormat="1" x14ac:dyDescent="0.25"/>
    <row r="83292" s="12" customFormat="1" x14ac:dyDescent="0.25"/>
    <row r="83293" s="12" customFormat="1" x14ac:dyDescent="0.25"/>
    <row r="83294" s="12" customFormat="1" x14ac:dyDescent="0.25"/>
    <row r="83295" s="12" customFormat="1" x14ac:dyDescent="0.25"/>
    <row r="83296" s="12" customFormat="1" x14ac:dyDescent="0.25"/>
    <row r="83297" s="12" customFormat="1" x14ac:dyDescent="0.25"/>
    <row r="83298" s="12" customFormat="1" x14ac:dyDescent="0.25"/>
    <row r="83299" s="12" customFormat="1" x14ac:dyDescent="0.25"/>
    <row r="83300" s="12" customFormat="1" x14ac:dyDescent="0.25"/>
    <row r="83301" s="12" customFormat="1" x14ac:dyDescent="0.25"/>
    <row r="83302" s="12" customFormat="1" x14ac:dyDescent="0.25"/>
    <row r="83303" s="12" customFormat="1" x14ac:dyDescent="0.25"/>
    <row r="83304" s="12" customFormat="1" x14ac:dyDescent="0.25"/>
    <row r="83305" s="12" customFormat="1" x14ac:dyDescent="0.25"/>
    <row r="83306" s="12" customFormat="1" x14ac:dyDescent="0.25"/>
    <row r="83307" s="12" customFormat="1" x14ac:dyDescent="0.25"/>
    <row r="83308" s="12" customFormat="1" x14ac:dyDescent="0.25"/>
    <row r="83309" s="12" customFormat="1" x14ac:dyDescent="0.25"/>
    <row r="83310" s="12" customFormat="1" x14ac:dyDescent="0.25"/>
    <row r="83311" s="12" customFormat="1" x14ac:dyDescent="0.25"/>
    <row r="83312" s="12" customFormat="1" x14ac:dyDescent="0.25"/>
    <row r="83313" s="12" customFormat="1" x14ac:dyDescent="0.25"/>
    <row r="83314" s="12" customFormat="1" x14ac:dyDescent="0.25"/>
    <row r="83315" s="12" customFormat="1" x14ac:dyDescent="0.25"/>
    <row r="83316" s="12" customFormat="1" x14ac:dyDescent="0.25"/>
    <row r="83317" s="12" customFormat="1" x14ac:dyDescent="0.25"/>
    <row r="83318" s="12" customFormat="1" x14ac:dyDescent="0.25"/>
    <row r="83319" s="12" customFormat="1" x14ac:dyDescent="0.25"/>
    <row r="83320" s="12" customFormat="1" x14ac:dyDescent="0.25"/>
    <row r="83321" s="12" customFormat="1" x14ac:dyDescent="0.25"/>
    <row r="83322" s="12" customFormat="1" x14ac:dyDescent="0.25"/>
    <row r="83323" s="12" customFormat="1" x14ac:dyDescent="0.25"/>
    <row r="83324" s="12" customFormat="1" x14ac:dyDescent="0.25"/>
    <row r="83325" s="12" customFormat="1" x14ac:dyDescent="0.25"/>
    <row r="83326" s="12" customFormat="1" x14ac:dyDescent="0.25"/>
    <row r="83327" s="12" customFormat="1" x14ac:dyDescent="0.25"/>
    <row r="83328" s="12" customFormat="1" x14ac:dyDescent="0.25"/>
    <row r="83329" s="12" customFormat="1" x14ac:dyDescent="0.25"/>
    <row r="83330" s="12" customFormat="1" x14ac:dyDescent="0.25"/>
    <row r="83331" s="12" customFormat="1" x14ac:dyDescent="0.25"/>
    <row r="83332" s="12" customFormat="1" x14ac:dyDescent="0.25"/>
    <row r="83333" s="12" customFormat="1" x14ac:dyDescent="0.25"/>
    <row r="83334" s="12" customFormat="1" x14ac:dyDescent="0.25"/>
    <row r="83335" s="12" customFormat="1" x14ac:dyDescent="0.25"/>
    <row r="83336" s="12" customFormat="1" x14ac:dyDescent="0.25"/>
    <row r="83337" s="12" customFormat="1" x14ac:dyDescent="0.25"/>
    <row r="83338" s="12" customFormat="1" x14ac:dyDescent="0.25"/>
    <row r="83339" s="12" customFormat="1" x14ac:dyDescent="0.25"/>
    <row r="83340" s="12" customFormat="1" x14ac:dyDescent="0.25"/>
    <row r="83341" s="12" customFormat="1" x14ac:dyDescent="0.25"/>
    <row r="83342" s="12" customFormat="1" x14ac:dyDescent="0.25"/>
    <row r="83343" s="12" customFormat="1" x14ac:dyDescent="0.25"/>
    <row r="83344" s="12" customFormat="1" x14ac:dyDescent="0.25"/>
    <row r="83345" s="12" customFormat="1" x14ac:dyDescent="0.25"/>
    <row r="83346" s="12" customFormat="1" x14ac:dyDescent="0.25"/>
    <row r="83347" s="12" customFormat="1" x14ac:dyDescent="0.25"/>
    <row r="83348" s="12" customFormat="1" x14ac:dyDescent="0.25"/>
    <row r="83349" s="12" customFormat="1" x14ac:dyDescent="0.25"/>
    <row r="83350" s="12" customFormat="1" x14ac:dyDescent="0.25"/>
    <row r="83351" s="12" customFormat="1" x14ac:dyDescent="0.25"/>
    <row r="83352" s="12" customFormat="1" x14ac:dyDescent="0.25"/>
    <row r="83353" s="12" customFormat="1" x14ac:dyDescent="0.25"/>
    <row r="83354" s="12" customFormat="1" x14ac:dyDescent="0.25"/>
    <row r="83355" s="12" customFormat="1" x14ac:dyDescent="0.25"/>
    <row r="83356" s="12" customFormat="1" x14ac:dyDescent="0.25"/>
    <row r="83357" s="12" customFormat="1" x14ac:dyDescent="0.25"/>
    <row r="83358" s="12" customFormat="1" x14ac:dyDescent="0.25"/>
    <row r="83359" s="12" customFormat="1" x14ac:dyDescent="0.25"/>
    <row r="83360" s="12" customFormat="1" x14ac:dyDescent="0.25"/>
    <row r="83361" s="12" customFormat="1" x14ac:dyDescent="0.25"/>
    <row r="83362" s="12" customFormat="1" x14ac:dyDescent="0.25"/>
    <row r="83363" s="12" customFormat="1" x14ac:dyDescent="0.25"/>
    <row r="83364" s="12" customFormat="1" x14ac:dyDescent="0.25"/>
    <row r="83365" s="12" customFormat="1" x14ac:dyDescent="0.25"/>
    <row r="83366" s="12" customFormat="1" x14ac:dyDescent="0.25"/>
    <row r="83367" s="12" customFormat="1" x14ac:dyDescent="0.25"/>
    <row r="83368" s="12" customFormat="1" x14ac:dyDescent="0.25"/>
    <row r="83369" s="12" customFormat="1" x14ac:dyDescent="0.25"/>
    <row r="83370" s="12" customFormat="1" x14ac:dyDescent="0.25"/>
    <row r="83371" s="12" customFormat="1" x14ac:dyDescent="0.25"/>
    <row r="83372" s="12" customFormat="1" x14ac:dyDescent="0.25"/>
    <row r="83373" s="12" customFormat="1" x14ac:dyDescent="0.25"/>
    <row r="83374" s="12" customFormat="1" x14ac:dyDescent="0.25"/>
    <row r="83375" s="12" customFormat="1" x14ac:dyDescent="0.25"/>
    <row r="83376" s="12" customFormat="1" x14ac:dyDescent="0.25"/>
    <row r="83377" s="12" customFormat="1" x14ac:dyDescent="0.25"/>
    <row r="83378" s="12" customFormat="1" x14ac:dyDescent="0.25"/>
    <row r="83379" s="12" customFormat="1" x14ac:dyDescent="0.25"/>
    <row r="83380" s="12" customFormat="1" x14ac:dyDescent="0.25"/>
    <row r="83381" s="12" customFormat="1" x14ac:dyDescent="0.25"/>
    <row r="83382" s="12" customFormat="1" x14ac:dyDescent="0.25"/>
    <row r="83383" s="12" customFormat="1" x14ac:dyDescent="0.25"/>
    <row r="83384" s="12" customFormat="1" x14ac:dyDescent="0.25"/>
    <row r="83385" s="12" customFormat="1" x14ac:dyDescent="0.25"/>
    <row r="83386" s="12" customFormat="1" x14ac:dyDescent="0.25"/>
    <row r="83387" s="12" customFormat="1" x14ac:dyDescent="0.25"/>
    <row r="83388" s="12" customFormat="1" x14ac:dyDescent="0.25"/>
    <row r="83389" s="12" customFormat="1" x14ac:dyDescent="0.25"/>
    <row r="83390" s="12" customFormat="1" x14ac:dyDescent="0.25"/>
    <row r="83391" s="12" customFormat="1" x14ac:dyDescent="0.25"/>
    <row r="83392" s="12" customFormat="1" x14ac:dyDescent="0.25"/>
    <row r="83393" s="12" customFormat="1" x14ac:dyDescent="0.25"/>
    <row r="83394" s="12" customFormat="1" x14ac:dyDescent="0.25"/>
    <row r="83395" s="12" customFormat="1" x14ac:dyDescent="0.25"/>
    <row r="83396" s="12" customFormat="1" x14ac:dyDescent="0.25"/>
    <row r="83397" s="12" customFormat="1" x14ac:dyDescent="0.25"/>
    <row r="83398" s="12" customFormat="1" x14ac:dyDescent="0.25"/>
    <row r="83399" s="12" customFormat="1" x14ac:dyDescent="0.25"/>
    <row r="83400" s="12" customFormat="1" x14ac:dyDescent="0.25"/>
    <row r="83401" s="12" customFormat="1" x14ac:dyDescent="0.25"/>
    <row r="83402" s="12" customFormat="1" x14ac:dyDescent="0.25"/>
    <row r="83403" s="12" customFormat="1" x14ac:dyDescent="0.25"/>
    <row r="83404" s="12" customFormat="1" x14ac:dyDescent="0.25"/>
    <row r="83405" s="12" customFormat="1" x14ac:dyDescent="0.25"/>
    <row r="83406" s="12" customFormat="1" x14ac:dyDescent="0.25"/>
    <row r="83407" s="12" customFormat="1" x14ac:dyDescent="0.25"/>
    <row r="83408" s="12" customFormat="1" x14ac:dyDescent="0.25"/>
    <row r="83409" s="12" customFormat="1" x14ac:dyDescent="0.25"/>
    <row r="83410" s="12" customFormat="1" x14ac:dyDescent="0.25"/>
    <row r="83411" s="12" customFormat="1" x14ac:dyDescent="0.25"/>
    <row r="83412" s="12" customFormat="1" x14ac:dyDescent="0.25"/>
    <row r="83413" s="12" customFormat="1" x14ac:dyDescent="0.25"/>
    <row r="83414" s="12" customFormat="1" x14ac:dyDescent="0.25"/>
    <row r="83415" s="12" customFormat="1" x14ac:dyDescent="0.25"/>
    <row r="83416" s="12" customFormat="1" x14ac:dyDescent="0.25"/>
    <row r="83417" s="12" customFormat="1" x14ac:dyDescent="0.25"/>
    <row r="83418" s="12" customFormat="1" x14ac:dyDescent="0.25"/>
    <row r="83419" s="12" customFormat="1" x14ac:dyDescent="0.25"/>
    <row r="83420" s="12" customFormat="1" x14ac:dyDescent="0.25"/>
    <row r="83421" s="12" customFormat="1" x14ac:dyDescent="0.25"/>
    <row r="83422" s="12" customFormat="1" x14ac:dyDescent="0.25"/>
    <row r="83423" s="12" customFormat="1" x14ac:dyDescent="0.25"/>
    <row r="83424" s="12" customFormat="1" x14ac:dyDescent="0.25"/>
    <row r="83425" s="12" customFormat="1" x14ac:dyDescent="0.25"/>
    <row r="83426" s="12" customFormat="1" x14ac:dyDescent="0.25"/>
    <row r="83427" s="12" customFormat="1" x14ac:dyDescent="0.25"/>
    <row r="83428" s="12" customFormat="1" x14ac:dyDescent="0.25"/>
    <row r="83429" s="12" customFormat="1" x14ac:dyDescent="0.25"/>
    <row r="83430" s="12" customFormat="1" x14ac:dyDescent="0.25"/>
    <row r="83431" s="12" customFormat="1" x14ac:dyDescent="0.25"/>
    <row r="83432" s="12" customFormat="1" x14ac:dyDescent="0.25"/>
    <row r="83433" s="12" customFormat="1" x14ac:dyDescent="0.25"/>
    <row r="83434" s="12" customFormat="1" x14ac:dyDescent="0.25"/>
    <row r="83435" s="12" customFormat="1" x14ac:dyDescent="0.25"/>
    <row r="83436" s="12" customFormat="1" x14ac:dyDescent="0.25"/>
    <row r="83437" s="12" customFormat="1" x14ac:dyDescent="0.25"/>
    <row r="83438" s="12" customFormat="1" x14ac:dyDescent="0.25"/>
    <row r="83439" s="12" customFormat="1" x14ac:dyDescent="0.25"/>
    <row r="83440" s="12" customFormat="1" x14ac:dyDescent="0.25"/>
    <row r="83441" s="12" customFormat="1" x14ac:dyDescent="0.25"/>
    <row r="83442" s="12" customFormat="1" x14ac:dyDescent="0.25"/>
    <row r="83443" s="12" customFormat="1" x14ac:dyDescent="0.25"/>
    <row r="83444" s="12" customFormat="1" x14ac:dyDescent="0.25"/>
    <row r="83445" s="12" customFormat="1" x14ac:dyDescent="0.25"/>
    <row r="83446" s="12" customFormat="1" x14ac:dyDescent="0.25"/>
    <row r="83447" s="12" customFormat="1" x14ac:dyDescent="0.25"/>
    <row r="83448" s="12" customFormat="1" x14ac:dyDescent="0.25"/>
    <row r="83449" s="12" customFormat="1" x14ac:dyDescent="0.25"/>
    <row r="83450" s="12" customFormat="1" x14ac:dyDescent="0.25"/>
    <row r="83451" s="12" customFormat="1" x14ac:dyDescent="0.25"/>
    <row r="83452" s="12" customFormat="1" x14ac:dyDescent="0.25"/>
    <row r="83453" s="12" customFormat="1" x14ac:dyDescent="0.25"/>
    <row r="83454" s="12" customFormat="1" x14ac:dyDescent="0.25"/>
    <row r="83455" s="12" customFormat="1" x14ac:dyDescent="0.25"/>
    <row r="83456" s="12" customFormat="1" x14ac:dyDescent="0.25"/>
    <row r="83457" s="12" customFormat="1" x14ac:dyDescent="0.25"/>
    <row r="83458" s="12" customFormat="1" x14ac:dyDescent="0.25"/>
    <row r="83459" s="12" customFormat="1" x14ac:dyDescent="0.25"/>
    <row r="83460" s="12" customFormat="1" x14ac:dyDescent="0.25"/>
    <row r="83461" s="12" customFormat="1" x14ac:dyDescent="0.25"/>
    <row r="83462" s="12" customFormat="1" x14ac:dyDescent="0.25"/>
    <row r="83463" s="12" customFormat="1" x14ac:dyDescent="0.25"/>
    <row r="83464" s="12" customFormat="1" x14ac:dyDescent="0.25"/>
    <row r="83465" s="12" customFormat="1" x14ac:dyDescent="0.25"/>
    <row r="83466" s="12" customFormat="1" x14ac:dyDescent="0.25"/>
    <row r="83467" s="12" customFormat="1" x14ac:dyDescent="0.25"/>
    <row r="83468" s="12" customFormat="1" x14ac:dyDescent="0.25"/>
    <row r="83469" s="12" customFormat="1" x14ac:dyDescent="0.25"/>
    <row r="83470" s="12" customFormat="1" x14ac:dyDescent="0.25"/>
    <row r="83471" s="12" customFormat="1" x14ac:dyDescent="0.25"/>
    <row r="83472" s="12" customFormat="1" x14ac:dyDescent="0.25"/>
    <row r="83473" s="12" customFormat="1" x14ac:dyDescent="0.25"/>
    <row r="83474" s="12" customFormat="1" x14ac:dyDescent="0.25"/>
    <row r="83475" s="12" customFormat="1" x14ac:dyDescent="0.25"/>
    <row r="83476" s="12" customFormat="1" x14ac:dyDescent="0.25"/>
    <row r="83477" s="12" customFormat="1" x14ac:dyDescent="0.25"/>
    <row r="83478" s="12" customFormat="1" x14ac:dyDescent="0.25"/>
    <row r="83479" s="12" customFormat="1" x14ac:dyDescent="0.25"/>
    <row r="83480" s="12" customFormat="1" x14ac:dyDescent="0.25"/>
    <row r="83481" s="12" customFormat="1" x14ac:dyDescent="0.25"/>
    <row r="83482" s="12" customFormat="1" x14ac:dyDescent="0.25"/>
    <row r="83483" s="12" customFormat="1" x14ac:dyDescent="0.25"/>
    <row r="83484" s="12" customFormat="1" x14ac:dyDescent="0.25"/>
    <row r="83485" s="12" customFormat="1" x14ac:dyDescent="0.25"/>
    <row r="83486" s="12" customFormat="1" x14ac:dyDescent="0.25"/>
    <row r="83487" s="12" customFormat="1" x14ac:dyDescent="0.25"/>
    <row r="83488" s="12" customFormat="1" x14ac:dyDescent="0.25"/>
    <row r="83489" s="12" customFormat="1" x14ac:dyDescent="0.25"/>
    <row r="83490" s="12" customFormat="1" x14ac:dyDescent="0.25"/>
    <row r="83491" s="12" customFormat="1" x14ac:dyDescent="0.25"/>
    <row r="83492" s="12" customFormat="1" x14ac:dyDescent="0.25"/>
    <row r="83493" s="12" customFormat="1" x14ac:dyDescent="0.25"/>
    <row r="83494" s="12" customFormat="1" x14ac:dyDescent="0.25"/>
    <row r="83495" s="12" customFormat="1" x14ac:dyDescent="0.25"/>
    <row r="83496" s="12" customFormat="1" x14ac:dyDescent="0.25"/>
    <row r="83497" s="12" customFormat="1" x14ac:dyDescent="0.25"/>
    <row r="83498" s="12" customFormat="1" x14ac:dyDescent="0.25"/>
    <row r="83499" s="12" customFormat="1" x14ac:dyDescent="0.25"/>
    <row r="83500" s="12" customFormat="1" x14ac:dyDescent="0.25"/>
    <row r="83501" s="12" customFormat="1" x14ac:dyDescent="0.25"/>
    <row r="83502" s="12" customFormat="1" x14ac:dyDescent="0.25"/>
    <row r="83503" s="12" customFormat="1" x14ac:dyDescent="0.25"/>
    <row r="83504" s="12" customFormat="1" x14ac:dyDescent="0.25"/>
    <row r="83505" s="12" customFormat="1" x14ac:dyDescent="0.25"/>
    <row r="83506" s="12" customFormat="1" x14ac:dyDescent="0.25"/>
    <row r="83507" s="12" customFormat="1" x14ac:dyDescent="0.25"/>
    <row r="83508" s="12" customFormat="1" x14ac:dyDescent="0.25"/>
    <row r="83509" s="12" customFormat="1" x14ac:dyDescent="0.25"/>
    <row r="83510" s="12" customFormat="1" x14ac:dyDescent="0.25"/>
    <row r="83511" s="12" customFormat="1" x14ac:dyDescent="0.25"/>
    <row r="83512" s="12" customFormat="1" x14ac:dyDescent="0.25"/>
    <row r="83513" s="12" customFormat="1" x14ac:dyDescent="0.25"/>
    <row r="83514" s="12" customFormat="1" x14ac:dyDescent="0.25"/>
    <row r="83515" s="12" customFormat="1" x14ac:dyDescent="0.25"/>
    <row r="83516" s="12" customFormat="1" x14ac:dyDescent="0.25"/>
    <row r="83517" s="12" customFormat="1" x14ac:dyDescent="0.25"/>
    <row r="83518" s="12" customFormat="1" x14ac:dyDescent="0.25"/>
    <row r="83519" s="12" customFormat="1" x14ac:dyDescent="0.25"/>
    <row r="83520" s="12" customFormat="1" x14ac:dyDescent="0.25"/>
    <row r="83521" s="12" customFormat="1" x14ac:dyDescent="0.25"/>
    <row r="83522" s="12" customFormat="1" x14ac:dyDescent="0.25"/>
    <row r="83523" s="12" customFormat="1" x14ac:dyDescent="0.25"/>
    <row r="83524" s="12" customFormat="1" x14ac:dyDescent="0.25"/>
    <row r="83525" s="12" customFormat="1" x14ac:dyDescent="0.25"/>
    <row r="83526" s="12" customFormat="1" x14ac:dyDescent="0.25"/>
    <row r="83527" s="12" customFormat="1" x14ac:dyDescent="0.25"/>
    <row r="83528" s="12" customFormat="1" x14ac:dyDescent="0.25"/>
    <row r="83529" s="12" customFormat="1" x14ac:dyDescent="0.25"/>
    <row r="83530" s="12" customFormat="1" x14ac:dyDescent="0.25"/>
    <row r="83531" s="12" customFormat="1" x14ac:dyDescent="0.25"/>
    <row r="83532" s="12" customFormat="1" x14ac:dyDescent="0.25"/>
    <row r="83533" s="12" customFormat="1" x14ac:dyDescent="0.25"/>
    <row r="83534" s="12" customFormat="1" x14ac:dyDescent="0.25"/>
    <row r="83535" s="12" customFormat="1" x14ac:dyDescent="0.25"/>
    <row r="83536" s="12" customFormat="1" x14ac:dyDescent="0.25"/>
    <row r="83537" s="12" customFormat="1" x14ac:dyDescent="0.25"/>
    <row r="83538" s="12" customFormat="1" x14ac:dyDescent="0.25"/>
    <row r="83539" s="12" customFormat="1" x14ac:dyDescent="0.25"/>
    <row r="83540" s="12" customFormat="1" x14ac:dyDescent="0.25"/>
    <row r="83541" s="12" customFormat="1" x14ac:dyDescent="0.25"/>
    <row r="83542" s="12" customFormat="1" x14ac:dyDescent="0.25"/>
    <row r="83543" s="12" customFormat="1" x14ac:dyDescent="0.25"/>
    <row r="83544" s="12" customFormat="1" x14ac:dyDescent="0.25"/>
    <row r="83545" s="12" customFormat="1" x14ac:dyDescent="0.25"/>
    <row r="83546" s="12" customFormat="1" x14ac:dyDescent="0.25"/>
    <row r="83547" s="12" customFormat="1" x14ac:dyDescent="0.25"/>
    <row r="83548" s="12" customFormat="1" x14ac:dyDescent="0.25"/>
    <row r="83549" s="12" customFormat="1" x14ac:dyDescent="0.25"/>
    <row r="83550" s="12" customFormat="1" x14ac:dyDescent="0.25"/>
    <row r="83551" s="12" customFormat="1" x14ac:dyDescent="0.25"/>
    <row r="83552" s="12" customFormat="1" x14ac:dyDescent="0.25"/>
    <row r="83553" s="12" customFormat="1" x14ac:dyDescent="0.25"/>
    <row r="83554" s="12" customFormat="1" x14ac:dyDescent="0.25"/>
    <row r="83555" s="12" customFormat="1" x14ac:dyDescent="0.25"/>
    <row r="83556" s="12" customFormat="1" x14ac:dyDescent="0.25"/>
    <row r="83557" s="12" customFormat="1" x14ac:dyDescent="0.25"/>
    <row r="83558" s="12" customFormat="1" x14ac:dyDescent="0.25"/>
    <row r="83559" s="12" customFormat="1" x14ac:dyDescent="0.25"/>
    <row r="83560" s="12" customFormat="1" x14ac:dyDescent="0.25"/>
    <row r="83561" s="12" customFormat="1" x14ac:dyDescent="0.25"/>
    <row r="83562" s="12" customFormat="1" x14ac:dyDescent="0.25"/>
    <row r="83563" s="12" customFormat="1" x14ac:dyDescent="0.25"/>
    <row r="83564" s="12" customFormat="1" x14ac:dyDescent="0.25"/>
    <row r="83565" s="12" customFormat="1" x14ac:dyDescent="0.25"/>
    <row r="83566" s="12" customFormat="1" x14ac:dyDescent="0.25"/>
    <row r="83567" s="12" customFormat="1" x14ac:dyDescent="0.25"/>
    <row r="83568" s="12" customFormat="1" x14ac:dyDescent="0.25"/>
    <row r="83569" s="12" customFormat="1" x14ac:dyDescent="0.25"/>
    <row r="83570" s="12" customFormat="1" x14ac:dyDescent="0.25"/>
    <row r="83571" s="12" customFormat="1" x14ac:dyDescent="0.25"/>
    <row r="83572" s="12" customFormat="1" x14ac:dyDescent="0.25"/>
    <row r="83573" s="12" customFormat="1" x14ac:dyDescent="0.25"/>
    <row r="83574" s="12" customFormat="1" x14ac:dyDescent="0.25"/>
    <row r="83575" s="12" customFormat="1" x14ac:dyDescent="0.25"/>
    <row r="83576" s="12" customFormat="1" x14ac:dyDescent="0.25"/>
    <row r="83577" s="12" customFormat="1" x14ac:dyDescent="0.25"/>
    <row r="83578" s="12" customFormat="1" x14ac:dyDescent="0.25"/>
    <row r="83579" s="12" customFormat="1" x14ac:dyDescent="0.25"/>
    <row r="83580" s="12" customFormat="1" x14ac:dyDescent="0.25"/>
    <row r="83581" s="12" customFormat="1" x14ac:dyDescent="0.25"/>
    <row r="83582" s="12" customFormat="1" x14ac:dyDescent="0.25"/>
    <row r="83583" s="12" customFormat="1" x14ac:dyDescent="0.25"/>
    <row r="83584" s="12" customFormat="1" x14ac:dyDescent="0.25"/>
    <row r="83585" s="12" customFormat="1" x14ac:dyDescent="0.25"/>
    <row r="83586" s="12" customFormat="1" x14ac:dyDescent="0.25"/>
    <row r="83587" s="12" customFormat="1" x14ac:dyDescent="0.25"/>
    <row r="83588" s="12" customFormat="1" x14ac:dyDescent="0.25"/>
    <row r="83589" s="12" customFormat="1" x14ac:dyDescent="0.25"/>
    <row r="83590" s="12" customFormat="1" x14ac:dyDescent="0.25"/>
    <row r="83591" s="12" customFormat="1" x14ac:dyDescent="0.25"/>
    <row r="83592" s="12" customFormat="1" x14ac:dyDescent="0.25"/>
    <row r="83593" s="12" customFormat="1" x14ac:dyDescent="0.25"/>
    <row r="83594" s="12" customFormat="1" x14ac:dyDescent="0.25"/>
    <row r="83595" s="12" customFormat="1" x14ac:dyDescent="0.25"/>
    <row r="83596" s="12" customFormat="1" x14ac:dyDescent="0.25"/>
    <row r="83597" s="12" customFormat="1" x14ac:dyDescent="0.25"/>
    <row r="83598" s="12" customFormat="1" x14ac:dyDescent="0.25"/>
    <row r="83599" s="12" customFormat="1" x14ac:dyDescent="0.25"/>
    <row r="83600" s="12" customFormat="1" x14ac:dyDescent="0.25"/>
    <row r="83601" s="12" customFormat="1" x14ac:dyDescent="0.25"/>
    <row r="83602" s="12" customFormat="1" x14ac:dyDescent="0.25"/>
    <row r="83603" s="12" customFormat="1" x14ac:dyDescent="0.25"/>
    <row r="83604" s="12" customFormat="1" x14ac:dyDescent="0.25"/>
    <row r="83605" s="12" customFormat="1" x14ac:dyDescent="0.25"/>
    <row r="83606" s="12" customFormat="1" x14ac:dyDescent="0.25"/>
    <row r="83607" s="12" customFormat="1" x14ac:dyDescent="0.25"/>
    <row r="83608" s="12" customFormat="1" x14ac:dyDescent="0.25"/>
    <row r="83609" s="12" customFormat="1" x14ac:dyDescent="0.25"/>
    <row r="83610" s="12" customFormat="1" x14ac:dyDescent="0.25"/>
    <row r="83611" s="12" customFormat="1" x14ac:dyDescent="0.25"/>
    <row r="83612" s="12" customFormat="1" x14ac:dyDescent="0.25"/>
    <row r="83613" s="12" customFormat="1" x14ac:dyDescent="0.25"/>
    <row r="83614" s="12" customFormat="1" x14ac:dyDescent="0.25"/>
    <row r="83615" s="12" customFormat="1" x14ac:dyDescent="0.25"/>
    <row r="83616" s="12" customFormat="1" x14ac:dyDescent="0.25"/>
    <row r="83617" s="12" customFormat="1" x14ac:dyDescent="0.25"/>
    <row r="83618" s="12" customFormat="1" x14ac:dyDescent="0.25"/>
    <row r="83619" s="12" customFormat="1" x14ac:dyDescent="0.25"/>
    <row r="83620" s="12" customFormat="1" x14ac:dyDescent="0.25"/>
    <row r="83621" s="12" customFormat="1" x14ac:dyDescent="0.25"/>
    <row r="83622" s="12" customFormat="1" x14ac:dyDescent="0.25"/>
    <row r="83623" s="12" customFormat="1" x14ac:dyDescent="0.25"/>
    <row r="83624" s="12" customFormat="1" x14ac:dyDescent="0.25"/>
    <row r="83625" s="12" customFormat="1" x14ac:dyDescent="0.25"/>
    <row r="83626" s="12" customFormat="1" x14ac:dyDescent="0.25"/>
    <row r="83627" s="12" customFormat="1" x14ac:dyDescent="0.25"/>
    <row r="83628" s="12" customFormat="1" x14ac:dyDescent="0.25"/>
    <row r="83629" s="12" customFormat="1" x14ac:dyDescent="0.25"/>
    <row r="83630" s="12" customFormat="1" x14ac:dyDescent="0.25"/>
    <row r="83631" s="12" customFormat="1" x14ac:dyDescent="0.25"/>
    <row r="83632" s="12" customFormat="1" x14ac:dyDescent="0.25"/>
    <row r="83633" s="12" customFormat="1" x14ac:dyDescent="0.25"/>
    <row r="83634" s="12" customFormat="1" x14ac:dyDescent="0.25"/>
    <row r="83635" s="12" customFormat="1" x14ac:dyDescent="0.25"/>
    <row r="83636" s="12" customFormat="1" x14ac:dyDescent="0.25"/>
    <row r="83637" s="12" customFormat="1" x14ac:dyDescent="0.25"/>
    <row r="83638" s="12" customFormat="1" x14ac:dyDescent="0.25"/>
    <row r="83639" s="12" customFormat="1" x14ac:dyDescent="0.25"/>
    <row r="83640" s="12" customFormat="1" x14ac:dyDescent="0.25"/>
    <row r="83641" s="12" customFormat="1" x14ac:dyDescent="0.25"/>
    <row r="83642" s="12" customFormat="1" x14ac:dyDescent="0.25"/>
    <row r="83643" s="12" customFormat="1" x14ac:dyDescent="0.25"/>
    <row r="83644" s="12" customFormat="1" x14ac:dyDescent="0.25"/>
    <row r="83645" s="12" customFormat="1" x14ac:dyDescent="0.25"/>
    <row r="83646" s="12" customFormat="1" x14ac:dyDescent="0.25"/>
    <row r="83647" s="12" customFormat="1" x14ac:dyDescent="0.25"/>
    <row r="83648" s="12" customFormat="1" x14ac:dyDescent="0.25"/>
    <row r="83649" s="12" customFormat="1" x14ac:dyDescent="0.25"/>
    <row r="83650" s="12" customFormat="1" x14ac:dyDescent="0.25"/>
    <row r="83651" s="12" customFormat="1" x14ac:dyDescent="0.25"/>
    <row r="83652" s="12" customFormat="1" x14ac:dyDescent="0.25"/>
    <row r="83653" s="12" customFormat="1" x14ac:dyDescent="0.25"/>
    <row r="83654" s="12" customFormat="1" x14ac:dyDescent="0.25"/>
    <row r="83655" s="12" customFormat="1" x14ac:dyDescent="0.25"/>
    <row r="83656" s="12" customFormat="1" x14ac:dyDescent="0.25"/>
    <row r="83657" s="12" customFormat="1" x14ac:dyDescent="0.25"/>
    <row r="83658" s="12" customFormat="1" x14ac:dyDescent="0.25"/>
    <row r="83659" s="12" customFormat="1" x14ac:dyDescent="0.25"/>
    <row r="83660" s="12" customFormat="1" x14ac:dyDescent="0.25"/>
    <row r="83661" s="12" customFormat="1" x14ac:dyDescent="0.25"/>
    <row r="83662" s="12" customFormat="1" x14ac:dyDescent="0.25"/>
    <row r="83663" s="12" customFormat="1" x14ac:dyDescent="0.25"/>
    <row r="83664" s="12" customFormat="1" x14ac:dyDescent="0.25"/>
    <row r="83665" s="12" customFormat="1" x14ac:dyDescent="0.25"/>
    <row r="83666" s="12" customFormat="1" x14ac:dyDescent="0.25"/>
    <row r="83667" s="12" customFormat="1" x14ac:dyDescent="0.25"/>
    <row r="83668" s="12" customFormat="1" x14ac:dyDescent="0.25"/>
    <row r="83669" s="12" customFormat="1" x14ac:dyDescent="0.25"/>
    <row r="83670" s="12" customFormat="1" x14ac:dyDescent="0.25"/>
    <row r="83671" s="12" customFormat="1" x14ac:dyDescent="0.25"/>
    <row r="83672" s="12" customFormat="1" x14ac:dyDescent="0.25"/>
    <row r="83673" s="12" customFormat="1" x14ac:dyDescent="0.25"/>
    <row r="83674" s="12" customFormat="1" x14ac:dyDescent="0.25"/>
    <row r="83675" s="12" customFormat="1" x14ac:dyDescent="0.25"/>
    <row r="83676" s="12" customFormat="1" x14ac:dyDescent="0.25"/>
    <row r="83677" s="12" customFormat="1" x14ac:dyDescent="0.25"/>
    <row r="83678" s="12" customFormat="1" x14ac:dyDescent="0.25"/>
    <row r="83679" s="12" customFormat="1" x14ac:dyDescent="0.25"/>
    <row r="83680" s="12" customFormat="1" x14ac:dyDescent="0.25"/>
    <row r="83681" s="12" customFormat="1" x14ac:dyDescent="0.25"/>
    <row r="83682" s="12" customFormat="1" x14ac:dyDescent="0.25"/>
    <row r="83683" s="12" customFormat="1" x14ac:dyDescent="0.25"/>
    <row r="83684" s="12" customFormat="1" x14ac:dyDescent="0.25"/>
    <row r="83685" s="12" customFormat="1" x14ac:dyDescent="0.25"/>
    <row r="83686" s="12" customFormat="1" x14ac:dyDescent="0.25"/>
    <row r="83687" s="12" customFormat="1" x14ac:dyDescent="0.25"/>
    <row r="83688" s="12" customFormat="1" x14ac:dyDescent="0.25"/>
    <row r="83689" s="12" customFormat="1" x14ac:dyDescent="0.25"/>
    <row r="83690" s="12" customFormat="1" x14ac:dyDescent="0.25"/>
    <row r="83691" s="12" customFormat="1" x14ac:dyDescent="0.25"/>
    <row r="83692" s="12" customFormat="1" x14ac:dyDescent="0.25"/>
    <row r="83693" s="12" customFormat="1" x14ac:dyDescent="0.25"/>
    <row r="83694" s="12" customFormat="1" x14ac:dyDescent="0.25"/>
    <row r="83695" s="12" customFormat="1" x14ac:dyDescent="0.25"/>
    <row r="83696" s="12" customFormat="1" x14ac:dyDescent="0.25"/>
    <row r="83697" s="12" customFormat="1" x14ac:dyDescent="0.25"/>
    <row r="83698" s="12" customFormat="1" x14ac:dyDescent="0.25"/>
    <row r="83699" s="12" customFormat="1" x14ac:dyDescent="0.25"/>
    <row r="83700" s="12" customFormat="1" x14ac:dyDescent="0.25"/>
    <row r="83701" s="12" customFormat="1" x14ac:dyDescent="0.25"/>
    <row r="83702" s="12" customFormat="1" x14ac:dyDescent="0.25"/>
    <row r="83703" s="12" customFormat="1" x14ac:dyDescent="0.25"/>
    <row r="83704" s="12" customFormat="1" x14ac:dyDescent="0.25"/>
    <row r="83705" s="12" customFormat="1" x14ac:dyDescent="0.25"/>
    <row r="83706" s="12" customFormat="1" x14ac:dyDescent="0.25"/>
    <row r="83707" s="12" customFormat="1" x14ac:dyDescent="0.25"/>
    <row r="83708" s="12" customFormat="1" x14ac:dyDescent="0.25"/>
    <row r="83709" s="12" customFormat="1" x14ac:dyDescent="0.25"/>
    <row r="83710" s="12" customFormat="1" x14ac:dyDescent="0.25"/>
    <row r="83711" s="12" customFormat="1" x14ac:dyDescent="0.25"/>
    <row r="83712" s="12" customFormat="1" x14ac:dyDescent="0.25"/>
    <row r="83713" s="12" customFormat="1" x14ac:dyDescent="0.25"/>
    <row r="83714" s="12" customFormat="1" x14ac:dyDescent="0.25"/>
    <row r="83715" s="12" customFormat="1" x14ac:dyDescent="0.25"/>
    <row r="83716" s="12" customFormat="1" x14ac:dyDescent="0.25"/>
    <row r="83717" s="12" customFormat="1" x14ac:dyDescent="0.25"/>
    <row r="83718" s="12" customFormat="1" x14ac:dyDescent="0.25"/>
    <row r="83719" s="12" customFormat="1" x14ac:dyDescent="0.25"/>
    <row r="83720" s="12" customFormat="1" x14ac:dyDescent="0.25"/>
    <row r="83721" s="12" customFormat="1" x14ac:dyDescent="0.25"/>
    <row r="83722" s="12" customFormat="1" x14ac:dyDescent="0.25"/>
    <row r="83723" s="12" customFormat="1" x14ac:dyDescent="0.25"/>
    <row r="83724" s="12" customFormat="1" x14ac:dyDescent="0.25"/>
    <row r="83725" s="12" customFormat="1" x14ac:dyDescent="0.25"/>
    <row r="83726" s="12" customFormat="1" x14ac:dyDescent="0.25"/>
    <row r="83727" s="12" customFormat="1" x14ac:dyDescent="0.25"/>
    <row r="83728" s="12" customFormat="1" x14ac:dyDescent="0.25"/>
    <row r="83729" s="12" customFormat="1" x14ac:dyDescent="0.25"/>
    <row r="83730" s="12" customFormat="1" x14ac:dyDescent="0.25"/>
    <row r="83731" s="12" customFormat="1" x14ac:dyDescent="0.25"/>
    <row r="83732" s="12" customFormat="1" x14ac:dyDescent="0.25"/>
    <row r="83733" s="12" customFormat="1" x14ac:dyDescent="0.25"/>
    <row r="83734" s="12" customFormat="1" x14ac:dyDescent="0.25"/>
    <row r="83735" s="12" customFormat="1" x14ac:dyDescent="0.25"/>
    <row r="83736" s="12" customFormat="1" x14ac:dyDescent="0.25"/>
    <row r="83737" s="12" customFormat="1" x14ac:dyDescent="0.25"/>
    <row r="83738" s="12" customFormat="1" x14ac:dyDescent="0.25"/>
    <row r="83739" s="12" customFormat="1" x14ac:dyDescent="0.25"/>
    <row r="83740" s="12" customFormat="1" x14ac:dyDescent="0.25"/>
    <row r="83741" s="12" customFormat="1" x14ac:dyDescent="0.25"/>
    <row r="83742" s="12" customFormat="1" x14ac:dyDescent="0.25"/>
    <row r="83743" s="12" customFormat="1" x14ac:dyDescent="0.25"/>
    <row r="83744" s="12" customFormat="1" x14ac:dyDescent="0.25"/>
    <row r="83745" s="12" customFormat="1" x14ac:dyDescent="0.25"/>
    <row r="83746" s="12" customFormat="1" x14ac:dyDescent="0.25"/>
    <row r="83747" s="12" customFormat="1" x14ac:dyDescent="0.25"/>
    <row r="83748" s="12" customFormat="1" x14ac:dyDescent="0.25"/>
    <row r="83749" s="12" customFormat="1" x14ac:dyDescent="0.25"/>
    <row r="83750" s="12" customFormat="1" x14ac:dyDescent="0.25"/>
    <row r="83751" s="12" customFormat="1" x14ac:dyDescent="0.25"/>
    <row r="83752" s="12" customFormat="1" x14ac:dyDescent="0.25"/>
    <row r="83753" s="12" customFormat="1" x14ac:dyDescent="0.25"/>
    <row r="83754" s="12" customFormat="1" x14ac:dyDescent="0.25"/>
    <row r="83755" s="12" customFormat="1" x14ac:dyDescent="0.25"/>
    <row r="83756" s="12" customFormat="1" x14ac:dyDescent="0.25"/>
    <row r="83757" s="12" customFormat="1" x14ac:dyDescent="0.25"/>
    <row r="83758" s="12" customFormat="1" x14ac:dyDescent="0.25"/>
    <row r="83759" s="12" customFormat="1" x14ac:dyDescent="0.25"/>
    <row r="83760" s="12" customFormat="1" x14ac:dyDescent="0.25"/>
    <row r="83761" s="12" customFormat="1" x14ac:dyDescent="0.25"/>
    <row r="83762" s="12" customFormat="1" x14ac:dyDescent="0.25"/>
    <row r="83763" s="12" customFormat="1" x14ac:dyDescent="0.25"/>
    <row r="83764" s="12" customFormat="1" x14ac:dyDescent="0.25"/>
    <row r="83765" s="12" customFormat="1" x14ac:dyDescent="0.25"/>
    <row r="83766" s="12" customFormat="1" x14ac:dyDescent="0.25"/>
    <row r="83767" s="12" customFormat="1" x14ac:dyDescent="0.25"/>
    <row r="83768" s="12" customFormat="1" x14ac:dyDescent="0.25"/>
    <row r="83769" s="12" customFormat="1" x14ac:dyDescent="0.25"/>
    <row r="83770" s="12" customFormat="1" x14ac:dyDescent="0.25"/>
    <row r="83771" s="12" customFormat="1" x14ac:dyDescent="0.25"/>
    <row r="83772" s="12" customFormat="1" x14ac:dyDescent="0.25"/>
    <row r="83773" s="12" customFormat="1" x14ac:dyDescent="0.25"/>
    <row r="83774" s="12" customFormat="1" x14ac:dyDescent="0.25"/>
    <row r="83775" s="12" customFormat="1" x14ac:dyDescent="0.25"/>
    <row r="83776" s="12" customFormat="1" x14ac:dyDescent="0.25"/>
    <row r="83777" s="12" customFormat="1" x14ac:dyDescent="0.25"/>
    <row r="83778" s="12" customFormat="1" x14ac:dyDescent="0.25"/>
    <row r="83779" s="12" customFormat="1" x14ac:dyDescent="0.25"/>
    <row r="83780" s="12" customFormat="1" x14ac:dyDescent="0.25"/>
    <row r="83781" s="12" customFormat="1" x14ac:dyDescent="0.25"/>
    <row r="83782" s="12" customFormat="1" x14ac:dyDescent="0.25"/>
    <row r="83783" s="12" customFormat="1" x14ac:dyDescent="0.25"/>
    <row r="83784" s="12" customFormat="1" x14ac:dyDescent="0.25"/>
    <row r="83785" s="12" customFormat="1" x14ac:dyDescent="0.25"/>
    <row r="83786" s="12" customFormat="1" x14ac:dyDescent="0.25"/>
    <row r="83787" s="12" customFormat="1" x14ac:dyDescent="0.25"/>
    <row r="83788" s="12" customFormat="1" x14ac:dyDescent="0.25"/>
    <row r="83789" s="12" customFormat="1" x14ac:dyDescent="0.25"/>
    <row r="83790" s="12" customFormat="1" x14ac:dyDescent="0.25"/>
    <row r="83791" s="12" customFormat="1" x14ac:dyDescent="0.25"/>
    <row r="83792" s="12" customFormat="1" x14ac:dyDescent="0.25"/>
    <row r="83793" s="12" customFormat="1" x14ac:dyDescent="0.25"/>
    <row r="83794" s="12" customFormat="1" x14ac:dyDescent="0.25"/>
    <row r="83795" s="12" customFormat="1" x14ac:dyDescent="0.25"/>
    <row r="83796" s="12" customFormat="1" x14ac:dyDescent="0.25"/>
    <row r="83797" s="12" customFormat="1" x14ac:dyDescent="0.25"/>
    <row r="83798" s="12" customFormat="1" x14ac:dyDescent="0.25"/>
    <row r="83799" s="12" customFormat="1" x14ac:dyDescent="0.25"/>
    <row r="83800" s="12" customFormat="1" x14ac:dyDescent="0.25"/>
    <row r="83801" s="12" customFormat="1" x14ac:dyDescent="0.25"/>
    <row r="83802" s="12" customFormat="1" x14ac:dyDescent="0.25"/>
    <row r="83803" s="12" customFormat="1" x14ac:dyDescent="0.25"/>
    <row r="83804" s="12" customFormat="1" x14ac:dyDescent="0.25"/>
    <row r="83805" s="12" customFormat="1" x14ac:dyDescent="0.25"/>
    <row r="83806" s="12" customFormat="1" x14ac:dyDescent="0.25"/>
    <row r="83807" s="12" customFormat="1" x14ac:dyDescent="0.25"/>
    <row r="83808" s="12" customFormat="1" x14ac:dyDescent="0.25"/>
    <row r="83809" s="12" customFormat="1" x14ac:dyDescent="0.25"/>
    <row r="83810" s="12" customFormat="1" x14ac:dyDescent="0.25"/>
    <row r="83811" s="12" customFormat="1" x14ac:dyDescent="0.25"/>
    <row r="83812" s="12" customFormat="1" x14ac:dyDescent="0.25"/>
    <row r="83813" s="12" customFormat="1" x14ac:dyDescent="0.25"/>
    <row r="83814" s="12" customFormat="1" x14ac:dyDescent="0.25"/>
    <row r="83815" s="12" customFormat="1" x14ac:dyDescent="0.25"/>
    <row r="83816" s="12" customFormat="1" x14ac:dyDescent="0.25"/>
    <row r="83817" s="12" customFormat="1" x14ac:dyDescent="0.25"/>
    <row r="83818" s="12" customFormat="1" x14ac:dyDescent="0.25"/>
    <row r="83819" s="12" customFormat="1" x14ac:dyDescent="0.25"/>
    <row r="83820" s="12" customFormat="1" x14ac:dyDescent="0.25"/>
    <row r="83821" s="12" customFormat="1" x14ac:dyDescent="0.25"/>
    <row r="83822" s="12" customFormat="1" x14ac:dyDescent="0.25"/>
    <row r="83823" s="12" customFormat="1" x14ac:dyDescent="0.25"/>
    <row r="83824" s="12" customFormat="1" x14ac:dyDescent="0.25"/>
    <row r="83825" s="12" customFormat="1" x14ac:dyDescent="0.25"/>
    <row r="83826" s="12" customFormat="1" x14ac:dyDescent="0.25"/>
    <row r="83827" s="12" customFormat="1" x14ac:dyDescent="0.25"/>
    <row r="83828" s="12" customFormat="1" x14ac:dyDescent="0.25"/>
    <row r="83829" s="12" customFormat="1" x14ac:dyDescent="0.25"/>
    <row r="83830" s="12" customFormat="1" x14ac:dyDescent="0.25"/>
    <row r="83831" s="12" customFormat="1" x14ac:dyDescent="0.25"/>
    <row r="83832" s="12" customFormat="1" x14ac:dyDescent="0.25"/>
    <row r="83833" s="12" customFormat="1" x14ac:dyDescent="0.25"/>
    <row r="83834" s="12" customFormat="1" x14ac:dyDescent="0.25"/>
    <row r="83835" s="12" customFormat="1" x14ac:dyDescent="0.25"/>
    <row r="83836" s="12" customFormat="1" x14ac:dyDescent="0.25"/>
    <row r="83837" s="12" customFormat="1" x14ac:dyDescent="0.25"/>
    <row r="83838" s="12" customFormat="1" x14ac:dyDescent="0.25"/>
    <row r="83839" s="12" customFormat="1" x14ac:dyDescent="0.25"/>
    <row r="83840" s="12" customFormat="1" x14ac:dyDescent="0.25"/>
    <row r="83841" s="12" customFormat="1" x14ac:dyDescent="0.25"/>
    <row r="83842" s="12" customFormat="1" x14ac:dyDescent="0.25"/>
    <row r="83843" s="12" customFormat="1" x14ac:dyDescent="0.25"/>
    <row r="83844" s="12" customFormat="1" x14ac:dyDescent="0.25"/>
    <row r="83845" s="12" customFormat="1" x14ac:dyDescent="0.25"/>
    <row r="83846" s="12" customFormat="1" x14ac:dyDescent="0.25"/>
    <row r="83847" s="12" customFormat="1" x14ac:dyDescent="0.25"/>
    <row r="83848" s="12" customFormat="1" x14ac:dyDescent="0.25"/>
    <row r="83849" s="12" customFormat="1" x14ac:dyDescent="0.25"/>
    <row r="83850" s="12" customFormat="1" x14ac:dyDescent="0.25"/>
    <row r="83851" s="12" customFormat="1" x14ac:dyDescent="0.25"/>
    <row r="83852" s="12" customFormat="1" x14ac:dyDescent="0.25"/>
    <row r="83853" s="12" customFormat="1" x14ac:dyDescent="0.25"/>
    <row r="83854" s="12" customFormat="1" x14ac:dyDescent="0.25"/>
    <row r="83855" s="12" customFormat="1" x14ac:dyDescent="0.25"/>
    <row r="83856" s="12" customFormat="1" x14ac:dyDescent="0.25"/>
    <row r="83857" s="12" customFormat="1" x14ac:dyDescent="0.25"/>
    <row r="83858" s="12" customFormat="1" x14ac:dyDescent="0.25"/>
    <row r="83859" s="12" customFormat="1" x14ac:dyDescent="0.25"/>
    <row r="83860" s="12" customFormat="1" x14ac:dyDescent="0.25"/>
    <row r="83861" s="12" customFormat="1" x14ac:dyDescent="0.25"/>
    <row r="83862" s="12" customFormat="1" x14ac:dyDescent="0.25"/>
    <row r="83863" s="12" customFormat="1" x14ac:dyDescent="0.25"/>
    <row r="83864" s="12" customFormat="1" x14ac:dyDescent="0.25"/>
    <row r="83865" s="12" customFormat="1" x14ac:dyDescent="0.25"/>
    <row r="83866" s="12" customFormat="1" x14ac:dyDescent="0.25"/>
    <row r="83867" s="12" customFormat="1" x14ac:dyDescent="0.25"/>
    <row r="83868" s="12" customFormat="1" x14ac:dyDescent="0.25"/>
    <row r="83869" s="12" customFormat="1" x14ac:dyDescent="0.25"/>
    <row r="83870" s="12" customFormat="1" x14ac:dyDescent="0.25"/>
    <row r="83871" s="12" customFormat="1" x14ac:dyDescent="0.25"/>
    <row r="83872" s="12" customFormat="1" x14ac:dyDescent="0.25"/>
    <row r="83873" s="12" customFormat="1" x14ac:dyDescent="0.25"/>
    <row r="83874" s="12" customFormat="1" x14ac:dyDescent="0.25"/>
    <row r="83875" s="12" customFormat="1" x14ac:dyDescent="0.25"/>
    <row r="83876" s="12" customFormat="1" x14ac:dyDescent="0.25"/>
    <row r="83877" s="12" customFormat="1" x14ac:dyDescent="0.25"/>
    <row r="83878" s="12" customFormat="1" x14ac:dyDescent="0.25"/>
    <row r="83879" s="12" customFormat="1" x14ac:dyDescent="0.25"/>
    <row r="83880" s="12" customFormat="1" x14ac:dyDescent="0.25"/>
    <row r="83881" s="12" customFormat="1" x14ac:dyDescent="0.25"/>
    <row r="83882" s="12" customFormat="1" x14ac:dyDescent="0.25"/>
    <row r="83883" s="12" customFormat="1" x14ac:dyDescent="0.25"/>
    <row r="83884" s="12" customFormat="1" x14ac:dyDescent="0.25"/>
    <row r="83885" s="12" customFormat="1" x14ac:dyDescent="0.25"/>
    <row r="83886" s="12" customFormat="1" x14ac:dyDescent="0.25"/>
    <row r="83887" s="12" customFormat="1" x14ac:dyDescent="0.25"/>
    <row r="83888" s="12" customFormat="1" x14ac:dyDescent="0.25"/>
    <row r="83889" s="12" customFormat="1" x14ac:dyDescent="0.25"/>
    <row r="83890" s="12" customFormat="1" x14ac:dyDescent="0.25"/>
    <row r="83891" s="12" customFormat="1" x14ac:dyDescent="0.25"/>
    <row r="83892" s="12" customFormat="1" x14ac:dyDescent="0.25"/>
    <row r="83893" s="12" customFormat="1" x14ac:dyDescent="0.25"/>
    <row r="83894" s="12" customFormat="1" x14ac:dyDescent="0.25"/>
    <row r="83895" s="12" customFormat="1" x14ac:dyDescent="0.25"/>
    <row r="83896" s="12" customFormat="1" x14ac:dyDescent="0.25"/>
    <row r="83897" s="12" customFormat="1" x14ac:dyDescent="0.25"/>
    <row r="83898" s="12" customFormat="1" x14ac:dyDescent="0.25"/>
    <row r="83899" s="12" customFormat="1" x14ac:dyDescent="0.25"/>
    <row r="83900" s="12" customFormat="1" x14ac:dyDescent="0.25"/>
    <row r="83901" s="12" customFormat="1" x14ac:dyDescent="0.25"/>
    <row r="83902" s="12" customFormat="1" x14ac:dyDescent="0.25"/>
    <row r="83903" s="12" customFormat="1" x14ac:dyDescent="0.25"/>
    <row r="83904" s="12" customFormat="1" x14ac:dyDescent="0.25"/>
    <row r="83905" s="12" customFormat="1" x14ac:dyDescent="0.25"/>
    <row r="83906" s="12" customFormat="1" x14ac:dyDescent="0.25"/>
    <row r="83907" s="12" customFormat="1" x14ac:dyDescent="0.25"/>
    <row r="83908" s="12" customFormat="1" x14ac:dyDescent="0.25"/>
    <row r="83909" s="12" customFormat="1" x14ac:dyDescent="0.25"/>
    <row r="83910" s="12" customFormat="1" x14ac:dyDescent="0.25"/>
    <row r="83911" s="12" customFormat="1" x14ac:dyDescent="0.25"/>
    <row r="83912" s="12" customFormat="1" x14ac:dyDescent="0.25"/>
    <row r="83913" s="12" customFormat="1" x14ac:dyDescent="0.25"/>
    <row r="83914" s="12" customFormat="1" x14ac:dyDescent="0.25"/>
    <row r="83915" s="12" customFormat="1" x14ac:dyDescent="0.25"/>
    <row r="83916" s="12" customFormat="1" x14ac:dyDescent="0.25"/>
    <row r="83917" s="12" customFormat="1" x14ac:dyDescent="0.25"/>
    <row r="83918" s="12" customFormat="1" x14ac:dyDescent="0.25"/>
    <row r="83919" s="12" customFormat="1" x14ac:dyDescent="0.25"/>
    <row r="83920" s="12" customFormat="1" x14ac:dyDescent="0.25"/>
    <row r="83921" s="12" customFormat="1" x14ac:dyDescent="0.25"/>
    <row r="83922" s="12" customFormat="1" x14ac:dyDescent="0.25"/>
    <row r="83923" s="12" customFormat="1" x14ac:dyDescent="0.25"/>
    <row r="83924" s="12" customFormat="1" x14ac:dyDescent="0.25"/>
    <row r="83925" s="12" customFormat="1" x14ac:dyDescent="0.25"/>
    <row r="83926" s="12" customFormat="1" x14ac:dyDescent="0.25"/>
    <row r="83927" s="12" customFormat="1" x14ac:dyDescent="0.25"/>
    <row r="83928" s="12" customFormat="1" x14ac:dyDescent="0.25"/>
    <row r="83929" s="12" customFormat="1" x14ac:dyDescent="0.25"/>
    <row r="83930" s="12" customFormat="1" x14ac:dyDescent="0.25"/>
    <row r="83931" s="12" customFormat="1" x14ac:dyDescent="0.25"/>
    <row r="83932" s="12" customFormat="1" x14ac:dyDescent="0.25"/>
    <row r="83933" s="12" customFormat="1" x14ac:dyDescent="0.25"/>
    <row r="83934" s="12" customFormat="1" x14ac:dyDescent="0.25"/>
    <row r="83935" s="12" customFormat="1" x14ac:dyDescent="0.25"/>
    <row r="83936" s="12" customFormat="1" x14ac:dyDescent="0.25"/>
    <row r="83937" s="12" customFormat="1" x14ac:dyDescent="0.25"/>
    <row r="83938" s="12" customFormat="1" x14ac:dyDescent="0.25"/>
    <row r="83939" s="12" customFormat="1" x14ac:dyDescent="0.25"/>
    <row r="83940" s="12" customFormat="1" x14ac:dyDescent="0.25"/>
    <row r="83941" s="12" customFormat="1" x14ac:dyDescent="0.25"/>
    <row r="83942" s="12" customFormat="1" x14ac:dyDescent="0.25"/>
    <row r="83943" s="12" customFormat="1" x14ac:dyDescent="0.25"/>
    <row r="83944" s="12" customFormat="1" x14ac:dyDescent="0.25"/>
    <row r="83945" s="12" customFormat="1" x14ac:dyDescent="0.25"/>
    <row r="83946" s="12" customFormat="1" x14ac:dyDescent="0.25"/>
    <row r="83947" s="12" customFormat="1" x14ac:dyDescent="0.25"/>
    <row r="83948" s="12" customFormat="1" x14ac:dyDescent="0.25"/>
    <row r="83949" s="12" customFormat="1" x14ac:dyDescent="0.25"/>
    <row r="83950" s="12" customFormat="1" x14ac:dyDescent="0.25"/>
    <row r="83951" s="12" customFormat="1" x14ac:dyDescent="0.25"/>
    <row r="83952" s="12" customFormat="1" x14ac:dyDescent="0.25"/>
    <row r="83953" s="12" customFormat="1" x14ac:dyDescent="0.25"/>
    <row r="83954" s="12" customFormat="1" x14ac:dyDescent="0.25"/>
    <row r="83955" s="12" customFormat="1" x14ac:dyDescent="0.25"/>
    <row r="83956" s="12" customFormat="1" x14ac:dyDescent="0.25"/>
    <row r="83957" s="12" customFormat="1" x14ac:dyDescent="0.25"/>
    <row r="83958" s="12" customFormat="1" x14ac:dyDescent="0.25"/>
    <row r="83959" s="12" customFormat="1" x14ac:dyDescent="0.25"/>
    <row r="83960" s="12" customFormat="1" x14ac:dyDescent="0.25"/>
    <row r="83961" s="12" customFormat="1" x14ac:dyDescent="0.25"/>
    <row r="83962" s="12" customFormat="1" x14ac:dyDescent="0.25"/>
    <row r="83963" s="12" customFormat="1" x14ac:dyDescent="0.25"/>
    <row r="83964" s="12" customFormat="1" x14ac:dyDescent="0.25"/>
    <row r="83965" s="12" customFormat="1" x14ac:dyDescent="0.25"/>
    <row r="83966" s="12" customFormat="1" x14ac:dyDescent="0.25"/>
    <row r="83967" s="12" customFormat="1" x14ac:dyDescent="0.25"/>
    <row r="83968" s="12" customFormat="1" x14ac:dyDescent="0.25"/>
    <row r="83969" s="12" customFormat="1" x14ac:dyDescent="0.25"/>
    <row r="83970" s="12" customFormat="1" x14ac:dyDescent="0.25"/>
    <row r="83971" s="12" customFormat="1" x14ac:dyDescent="0.25"/>
    <row r="83972" s="12" customFormat="1" x14ac:dyDescent="0.25"/>
    <row r="83973" s="12" customFormat="1" x14ac:dyDescent="0.25"/>
    <row r="83974" s="12" customFormat="1" x14ac:dyDescent="0.25"/>
    <row r="83975" s="12" customFormat="1" x14ac:dyDescent="0.25"/>
    <row r="83976" s="12" customFormat="1" x14ac:dyDescent="0.25"/>
    <row r="83977" s="12" customFormat="1" x14ac:dyDescent="0.25"/>
    <row r="83978" s="12" customFormat="1" x14ac:dyDescent="0.25"/>
    <row r="83979" s="12" customFormat="1" x14ac:dyDescent="0.25"/>
    <row r="83980" s="12" customFormat="1" x14ac:dyDescent="0.25"/>
    <row r="83981" s="12" customFormat="1" x14ac:dyDescent="0.25"/>
    <row r="83982" s="12" customFormat="1" x14ac:dyDescent="0.25"/>
    <row r="83983" s="12" customFormat="1" x14ac:dyDescent="0.25"/>
    <row r="83984" s="12" customFormat="1" x14ac:dyDescent="0.25"/>
    <row r="83985" s="12" customFormat="1" x14ac:dyDescent="0.25"/>
    <row r="83986" s="12" customFormat="1" x14ac:dyDescent="0.25"/>
    <row r="83987" s="12" customFormat="1" x14ac:dyDescent="0.25"/>
    <row r="83988" s="12" customFormat="1" x14ac:dyDescent="0.25"/>
    <row r="83989" s="12" customFormat="1" x14ac:dyDescent="0.25"/>
    <row r="83990" s="12" customFormat="1" x14ac:dyDescent="0.25"/>
    <row r="83991" s="12" customFormat="1" x14ac:dyDescent="0.25"/>
    <row r="83992" s="12" customFormat="1" x14ac:dyDescent="0.25"/>
    <row r="83993" s="12" customFormat="1" x14ac:dyDescent="0.25"/>
    <row r="83994" s="12" customFormat="1" x14ac:dyDescent="0.25"/>
    <row r="83995" s="12" customFormat="1" x14ac:dyDescent="0.25"/>
    <row r="83996" s="12" customFormat="1" x14ac:dyDescent="0.25"/>
    <row r="83997" s="12" customFormat="1" x14ac:dyDescent="0.25"/>
    <row r="83998" s="12" customFormat="1" x14ac:dyDescent="0.25"/>
    <row r="83999" s="12" customFormat="1" x14ac:dyDescent="0.25"/>
    <row r="84000" s="12" customFormat="1" x14ac:dyDescent="0.25"/>
    <row r="84001" s="12" customFormat="1" x14ac:dyDescent="0.25"/>
    <row r="84002" s="12" customFormat="1" x14ac:dyDescent="0.25"/>
    <row r="84003" s="12" customFormat="1" x14ac:dyDescent="0.25"/>
    <row r="84004" s="12" customFormat="1" x14ac:dyDescent="0.25"/>
    <row r="84005" s="12" customFormat="1" x14ac:dyDescent="0.25"/>
    <row r="84006" s="12" customFormat="1" x14ac:dyDescent="0.25"/>
    <row r="84007" s="12" customFormat="1" x14ac:dyDescent="0.25"/>
    <row r="84008" s="12" customFormat="1" x14ac:dyDescent="0.25"/>
    <row r="84009" s="12" customFormat="1" x14ac:dyDescent="0.25"/>
    <row r="84010" s="12" customFormat="1" x14ac:dyDescent="0.25"/>
    <row r="84011" s="12" customFormat="1" x14ac:dyDescent="0.25"/>
    <row r="84012" s="12" customFormat="1" x14ac:dyDescent="0.25"/>
    <row r="84013" s="12" customFormat="1" x14ac:dyDescent="0.25"/>
    <row r="84014" s="12" customFormat="1" x14ac:dyDescent="0.25"/>
    <row r="84015" s="12" customFormat="1" x14ac:dyDescent="0.25"/>
    <row r="84016" s="12" customFormat="1" x14ac:dyDescent="0.25"/>
    <row r="84017" s="12" customFormat="1" x14ac:dyDescent="0.25"/>
    <row r="84018" s="12" customFormat="1" x14ac:dyDescent="0.25"/>
    <row r="84019" s="12" customFormat="1" x14ac:dyDescent="0.25"/>
    <row r="84020" s="12" customFormat="1" x14ac:dyDescent="0.25"/>
    <row r="84021" s="12" customFormat="1" x14ac:dyDescent="0.25"/>
    <row r="84022" s="12" customFormat="1" x14ac:dyDescent="0.25"/>
    <row r="84023" s="12" customFormat="1" x14ac:dyDescent="0.25"/>
    <row r="84024" s="12" customFormat="1" x14ac:dyDescent="0.25"/>
    <row r="84025" s="12" customFormat="1" x14ac:dyDescent="0.25"/>
    <row r="84026" s="12" customFormat="1" x14ac:dyDescent="0.25"/>
    <row r="84027" s="12" customFormat="1" x14ac:dyDescent="0.25"/>
    <row r="84028" s="12" customFormat="1" x14ac:dyDescent="0.25"/>
    <row r="84029" s="12" customFormat="1" x14ac:dyDescent="0.25"/>
    <row r="84030" s="12" customFormat="1" x14ac:dyDescent="0.25"/>
    <row r="84031" s="12" customFormat="1" x14ac:dyDescent="0.25"/>
    <row r="84032" s="12" customFormat="1" x14ac:dyDescent="0.25"/>
    <row r="84033" s="12" customFormat="1" x14ac:dyDescent="0.25"/>
    <row r="84034" s="12" customFormat="1" x14ac:dyDescent="0.25"/>
    <row r="84035" s="12" customFormat="1" x14ac:dyDescent="0.25"/>
    <row r="84036" s="12" customFormat="1" x14ac:dyDescent="0.25"/>
    <row r="84037" s="12" customFormat="1" x14ac:dyDescent="0.25"/>
    <row r="84038" s="12" customFormat="1" x14ac:dyDescent="0.25"/>
    <row r="84039" s="12" customFormat="1" x14ac:dyDescent="0.25"/>
    <row r="84040" s="12" customFormat="1" x14ac:dyDescent="0.25"/>
    <row r="84041" s="12" customFormat="1" x14ac:dyDescent="0.25"/>
    <row r="84042" s="12" customFormat="1" x14ac:dyDescent="0.25"/>
    <row r="84043" s="12" customFormat="1" x14ac:dyDescent="0.25"/>
    <row r="84044" s="12" customFormat="1" x14ac:dyDescent="0.25"/>
    <row r="84045" s="12" customFormat="1" x14ac:dyDescent="0.25"/>
    <row r="84046" s="12" customFormat="1" x14ac:dyDescent="0.25"/>
    <row r="84047" s="12" customFormat="1" x14ac:dyDescent="0.25"/>
    <row r="84048" s="12" customFormat="1" x14ac:dyDescent="0.25"/>
    <row r="84049" s="12" customFormat="1" x14ac:dyDescent="0.25"/>
    <row r="84050" s="12" customFormat="1" x14ac:dyDescent="0.25"/>
    <row r="84051" s="12" customFormat="1" x14ac:dyDescent="0.25"/>
    <row r="84052" s="12" customFormat="1" x14ac:dyDescent="0.25"/>
    <row r="84053" s="12" customFormat="1" x14ac:dyDescent="0.25"/>
    <row r="84054" s="12" customFormat="1" x14ac:dyDescent="0.25"/>
    <row r="84055" s="12" customFormat="1" x14ac:dyDescent="0.25"/>
    <row r="84056" s="12" customFormat="1" x14ac:dyDescent="0.25"/>
    <row r="84057" s="12" customFormat="1" x14ac:dyDescent="0.25"/>
    <row r="84058" s="12" customFormat="1" x14ac:dyDescent="0.25"/>
    <row r="84059" s="12" customFormat="1" x14ac:dyDescent="0.25"/>
    <row r="84060" s="12" customFormat="1" x14ac:dyDescent="0.25"/>
    <row r="84061" s="12" customFormat="1" x14ac:dyDescent="0.25"/>
    <row r="84062" s="12" customFormat="1" x14ac:dyDescent="0.25"/>
    <row r="84063" s="12" customFormat="1" x14ac:dyDescent="0.25"/>
    <row r="84064" s="12" customFormat="1" x14ac:dyDescent="0.25"/>
    <row r="84065" s="12" customFormat="1" x14ac:dyDescent="0.25"/>
    <row r="84066" s="12" customFormat="1" x14ac:dyDescent="0.25"/>
    <row r="84067" s="12" customFormat="1" x14ac:dyDescent="0.25"/>
    <row r="84068" s="12" customFormat="1" x14ac:dyDescent="0.25"/>
    <row r="84069" s="12" customFormat="1" x14ac:dyDescent="0.25"/>
    <row r="84070" s="12" customFormat="1" x14ac:dyDescent="0.25"/>
    <row r="84071" s="12" customFormat="1" x14ac:dyDescent="0.25"/>
    <row r="84072" s="12" customFormat="1" x14ac:dyDescent="0.25"/>
    <row r="84073" s="12" customFormat="1" x14ac:dyDescent="0.25"/>
    <row r="84074" s="12" customFormat="1" x14ac:dyDescent="0.25"/>
    <row r="84075" s="12" customFormat="1" x14ac:dyDescent="0.25"/>
    <row r="84076" s="12" customFormat="1" x14ac:dyDescent="0.25"/>
    <row r="84077" s="12" customFormat="1" x14ac:dyDescent="0.25"/>
    <row r="84078" s="12" customFormat="1" x14ac:dyDescent="0.25"/>
    <row r="84079" s="12" customFormat="1" x14ac:dyDescent="0.25"/>
    <row r="84080" s="12" customFormat="1" x14ac:dyDescent="0.25"/>
    <row r="84081" s="12" customFormat="1" x14ac:dyDescent="0.25"/>
    <row r="84082" s="12" customFormat="1" x14ac:dyDescent="0.25"/>
    <row r="84083" s="12" customFormat="1" x14ac:dyDescent="0.25"/>
    <row r="84084" s="12" customFormat="1" x14ac:dyDescent="0.25"/>
    <row r="84085" s="12" customFormat="1" x14ac:dyDescent="0.25"/>
    <row r="84086" s="12" customFormat="1" x14ac:dyDescent="0.25"/>
    <row r="84087" s="12" customFormat="1" x14ac:dyDescent="0.25"/>
    <row r="84088" s="12" customFormat="1" x14ac:dyDescent="0.25"/>
    <row r="84089" s="12" customFormat="1" x14ac:dyDescent="0.25"/>
    <row r="84090" s="12" customFormat="1" x14ac:dyDescent="0.25"/>
    <row r="84091" s="12" customFormat="1" x14ac:dyDescent="0.25"/>
    <row r="84092" s="12" customFormat="1" x14ac:dyDescent="0.25"/>
    <row r="84093" s="12" customFormat="1" x14ac:dyDescent="0.25"/>
    <row r="84094" s="12" customFormat="1" x14ac:dyDescent="0.25"/>
    <row r="84095" s="12" customFormat="1" x14ac:dyDescent="0.25"/>
    <row r="84096" s="12" customFormat="1" x14ac:dyDescent="0.25"/>
    <row r="84097" s="12" customFormat="1" x14ac:dyDescent="0.25"/>
    <row r="84098" s="12" customFormat="1" x14ac:dyDescent="0.25"/>
    <row r="84099" s="12" customFormat="1" x14ac:dyDescent="0.25"/>
    <row r="84100" s="12" customFormat="1" x14ac:dyDescent="0.25"/>
    <row r="84101" s="12" customFormat="1" x14ac:dyDescent="0.25"/>
    <row r="84102" s="12" customFormat="1" x14ac:dyDescent="0.25"/>
    <row r="84103" s="12" customFormat="1" x14ac:dyDescent="0.25"/>
    <row r="84104" s="12" customFormat="1" x14ac:dyDescent="0.25"/>
    <row r="84105" s="12" customFormat="1" x14ac:dyDescent="0.25"/>
    <row r="84106" s="12" customFormat="1" x14ac:dyDescent="0.25"/>
    <row r="84107" s="12" customFormat="1" x14ac:dyDescent="0.25"/>
    <row r="84108" s="12" customFormat="1" x14ac:dyDescent="0.25"/>
    <row r="84109" s="12" customFormat="1" x14ac:dyDescent="0.25"/>
    <row r="84110" s="12" customFormat="1" x14ac:dyDescent="0.25"/>
    <row r="84111" s="12" customFormat="1" x14ac:dyDescent="0.25"/>
    <row r="84112" s="12" customFormat="1" x14ac:dyDescent="0.25"/>
    <row r="84113" s="12" customFormat="1" x14ac:dyDescent="0.25"/>
    <row r="84114" s="12" customFormat="1" x14ac:dyDescent="0.25"/>
    <row r="84115" s="12" customFormat="1" x14ac:dyDescent="0.25"/>
    <row r="84116" s="12" customFormat="1" x14ac:dyDescent="0.25"/>
    <row r="84117" s="12" customFormat="1" x14ac:dyDescent="0.25"/>
    <row r="84118" s="12" customFormat="1" x14ac:dyDescent="0.25"/>
    <row r="84119" s="12" customFormat="1" x14ac:dyDescent="0.25"/>
    <row r="84120" s="12" customFormat="1" x14ac:dyDescent="0.25"/>
    <row r="84121" s="12" customFormat="1" x14ac:dyDescent="0.25"/>
    <row r="84122" s="12" customFormat="1" x14ac:dyDescent="0.25"/>
    <row r="84123" s="12" customFormat="1" x14ac:dyDescent="0.25"/>
    <row r="84124" s="12" customFormat="1" x14ac:dyDescent="0.25"/>
    <row r="84125" s="12" customFormat="1" x14ac:dyDescent="0.25"/>
    <row r="84126" s="12" customFormat="1" x14ac:dyDescent="0.25"/>
    <row r="84127" s="12" customFormat="1" x14ac:dyDescent="0.25"/>
    <row r="84128" s="12" customFormat="1" x14ac:dyDescent="0.25"/>
    <row r="84129" s="12" customFormat="1" x14ac:dyDescent="0.25"/>
    <row r="84130" s="12" customFormat="1" x14ac:dyDescent="0.25"/>
    <row r="84131" s="12" customFormat="1" x14ac:dyDescent="0.25"/>
    <row r="84132" s="12" customFormat="1" x14ac:dyDescent="0.25"/>
    <row r="84133" s="12" customFormat="1" x14ac:dyDescent="0.25"/>
    <row r="84134" s="12" customFormat="1" x14ac:dyDescent="0.25"/>
    <row r="84135" s="12" customFormat="1" x14ac:dyDescent="0.25"/>
    <row r="84136" s="12" customFormat="1" x14ac:dyDescent="0.25"/>
    <row r="84137" s="12" customFormat="1" x14ac:dyDescent="0.25"/>
    <row r="84138" s="12" customFormat="1" x14ac:dyDescent="0.25"/>
    <row r="84139" s="12" customFormat="1" x14ac:dyDescent="0.25"/>
    <row r="84140" s="12" customFormat="1" x14ac:dyDescent="0.25"/>
    <row r="84141" s="12" customFormat="1" x14ac:dyDescent="0.25"/>
    <row r="84142" s="12" customFormat="1" x14ac:dyDescent="0.25"/>
    <row r="84143" s="12" customFormat="1" x14ac:dyDescent="0.25"/>
    <row r="84144" s="12" customFormat="1" x14ac:dyDescent="0.25"/>
    <row r="84145" s="12" customFormat="1" x14ac:dyDescent="0.25"/>
    <row r="84146" s="12" customFormat="1" x14ac:dyDescent="0.25"/>
    <row r="84147" s="12" customFormat="1" x14ac:dyDescent="0.25"/>
    <row r="84148" s="12" customFormat="1" x14ac:dyDescent="0.25"/>
    <row r="84149" s="12" customFormat="1" x14ac:dyDescent="0.25"/>
    <row r="84150" s="12" customFormat="1" x14ac:dyDescent="0.25"/>
    <row r="84151" s="12" customFormat="1" x14ac:dyDescent="0.25"/>
    <row r="84152" s="12" customFormat="1" x14ac:dyDescent="0.25"/>
    <row r="84153" s="12" customFormat="1" x14ac:dyDescent="0.25"/>
    <row r="84154" s="12" customFormat="1" x14ac:dyDescent="0.25"/>
    <row r="84155" s="12" customFormat="1" x14ac:dyDescent="0.25"/>
    <row r="84156" s="12" customFormat="1" x14ac:dyDescent="0.25"/>
    <row r="84157" s="12" customFormat="1" x14ac:dyDescent="0.25"/>
    <row r="84158" s="12" customFormat="1" x14ac:dyDescent="0.25"/>
    <row r="84159" s="12" customFormat="1" x14ac:dyDescent="0.25"/>
    <row r="84160" s="12" customFormat="1" x14ac:dyDescent="0.25"/>
    <row r="84161" s="12" customFormat="1" x14ac:dyDescent="0.25"/>
    <row r="84162" s="12" customFormat="1" x14ac:dyDescent="0.25"/>
    <row r="84163" s="12" customFormat="1" x14ac:dyDescent="0.25"/>
    <row r="84164" s="12" customFormat="1" x14ac:dyDescent="0.25"/>
    <row r="84165" s="12" customFormat="1" x14ac:dyDescent="0.25"/>
    <row r="84166" s="12" customFormat="1" x14ac:dyDescent="0.25"/>
    <row r="84167" s="12" customFormat="1" x14ac:dyDescent="0.25"/>
    <row r="84168" s="12" customFormat="1" x14ac:dyDescent="0.25"/>
    <row r="84169" s="12" customFormat="1" x14ac:dyDescent="0.25"/>
    <row r="84170" s="12" customFormat="1" x14ac:dyDescent="0.25"/>
    <row r="84171" s="12" customFormat="1" x14ac:dyDescent="0.25"/>
    <row r="84172" s="12" customFormat="1" x14ac:dyDescent="0.25"/>
    <row r="84173" s="12" customFormat="1" x14ac:dyDescent="0.25"/>
    <row r="84174" s="12" customFormat="1" x14ac:dyDescent="0.25"/>
    <row r="84175" s="12" customFormat="1" x14ac:dyDescent="0.25"/>
    <row r="84176" s="12" customFormat="1" x14ac:dyDescent="0.25"/>
    <row r="84177" s="12" customFormat="1" x14ac:dyDescent="0.25"/>
    <row r="84178" s="12" customFormat="1" x14ac:dyDescent="0.25"/>
    <row r="84179" s="12" customFormat="1" x14ac:dyDescent="0.25"/>
    <row r="84180" s="12" customFormat="1" x14ac:dyDescent="0.25"/>
    <row r="84181" s="12" customFormat="1" x14ac:dyDescent="0.25"/>
    <row r="84182" s="12" customFormat="1" x14ac:dyDescent="0.25"/>
    <row r="84183" s="12" customFormat="1" x14ac:dyDescent="0.25"/>
    <row r="84184" s="12" customFormat="1" x14ac:dyDescent="0.25"/>
    <row r="84185" s="12" customFormat="1" x14ac:dyDescent="0.25"/>
    <row r="84186" s="12" customFormat="1" x14ac:dyDescent="0.25"/>
    <row r="84187" s="12" customFormat="1" x14ac:dyDescent="0.25"/>
    <row r="84188" s="12" customFormat="1" x14ac:dyDescent="0.25"/>
    <row r="84189" s="12" customFormat="1" x14ac:dyDescent="0.25"/>
    <row r="84190" s="12" customFormat="1" x14ac:dyDescent="0.25"/>
    <row r="84191" s="12" customFormat="1" x14ac:dyDescent="0.25"/>
    <row r="84192" s="12" customFormat="1" x14ac:dyDescent="0.25"/>
    <row r="84193" s="12" customFormat="1" x14ac:dyDescent="0.25"/>
    <row r="84194" s="12" customFormat="1" x14ac:dyDescent="0.25"/>
    <row r="84195" s="12" customFormat="1" x14ac:dyDescent="0.25"/>
    <row r="84196" s="12" customFormat="1" x14ac:dyDescent="0.25"/>
    <row r="84197" s="12" customFormat="1" x14ac:dyDescent="0.25"/>
    <row r="84198" s="12" customFormat="1" x14ac:dyDescent="0.25"/>
    <row r="84199" s="12" customFormat="1" x14ac:dyDescent="0.25"/>
    <row r="84200" s="12" customFormat="1" x14ac:dyDescent="0.25"/>
    <row r="84201" s="12" customFormat="1" x14ac:dyDescent="0.25"/>
    <row r="84202" s="12" customFormat="1" x14ac:dyDescent="0.25"/>
    <row r="84203" s="12" customFormat="1" x14ac:dyDescent="0.25"/>
    <row r="84204" s="12" customFormat="1" x14ac:dyDescent="0.25"/>
    <row r="84205" s="12" customFormat="1" x14ac:dyDescent="0.25"/>
    <row r="84206" s="12" customFormat="1" x14ac:dyDescent="0.25"/>
    <row r="84207" s="12" customFormat="1" x14ac:dyDescent="0.25"/>
    <row r="84208" s="12" customFormat="1" x14ac:dyDescent="0.25"/>
    <row r="84209" s="12" customFormat="1" x14ac:dyDescent="0.25"/>
    <row r="84210" s="12" customFormat="1" x14ac:dyDescent="0.25"/>
    <row r="84211" s="12" customFormat="1" x14ac:dyDescent="0.25"/>
    <row r="84212" s="12" customFormat="1" x14ac:dyDescent="0.25"/>
    <row r="84213" s="12" customFormat="1" x14ac:dyDescent="0.25"/>
    <row r="84214" s="12" customFormat="1" x14ac:dyDescent="0.25"/>
    <row r="84215" s="12" customFormat="1" x14ac:dyDescent="0.25"/>
    <row r="84216" s="12" customFormat="1" x14ac:dyDescent="0.25"/>
    <row r="84217" s="12" customFormat="1" x14ac:dyDescent="0.25"/>
    <row r="84218" s="12" customFormat="1" x14ac:dyDescent="0.25"/>
    <row r="84219" s="12" customFormat="1" x14ac:dyDescent="0.25"/>
    <row r="84220" s="12" customFormat="1" x14ac:dyDescent="0.25"/>
    <row r="84221" s="12" customFormat="1" x14ac:dyDescent="0.25"/>
    <row r="84222" s="12" customFormat="1" x14ac:dyDescent="0.25"/>
    <row r="84223" s="12" customFormat="1" x14ac:dyDescent="0.25"/>
    <row r="84224" s="12" customFormat="1" x14ac:dyDescent="0.25"/>
    <row r="84225" s="12" customFormat="1" x14ac:dyDescent="0.25"/>
    <row r="84226" s="12" customFormat="1" x14ac:dyDescent="0.25"/>
    <row r="84227" s="12" customFormat="1" x14ac:dyDescent="0.25"/>
    <row r="84228" s="12" customFormat="1" x14ac:dyDescent="0.25"/>
    <row r="84229" s="12" customFormat="1" x14ac:dyDescent="0.25"/>
    <row r="84230" s="12" customFormat="1" x14ac:dyDescent="0.25"/>
    <row r="84231" s="12" customFormat="1" x14ac:dyDescent="0.25"/>
    <row r="84232" s="12" customFormat="1" x14ac:dyDescent="0.25"/>
    <row r="84233" s="12" customFormat="1" x14ac:dyDescent="0.25"/>
    <row r="84234" s="12" customFormat="1" x14ac:dyDescent="0.25"/>
    <row r="84235" s="12" customFormat="1" x14ac:dyDescent="0.25"/>
    <row r="84236" s="12" customFormat="1" x14ac:dyDescent="0.25"/>
    <row r="84237" s="12" customFormat="1" x14ac:dyDescent="0.25"/>
    <row r="84238" s="12" customFormat="1" x14ac:dyDescent="0.25"/>
    <row r="84239" s="12" customFormat="1" x14ac:dyDescent="0.25"/>
    <row r="84240" s="12" customFormat="1" x14ac:dyDescent="0.25"/>
    <row r="84241" s="12" customFormat="1" x14ac:dyDescent="0.25"/>
    <row r="84242" s="12" customFormat="1" x14ac:dyDescent="0.25"/>
    <row r="84243" s="12" customFormat="1" x14ac:dyDescent="0.25"/>
    <row r="84244" s="12" customFormat="1" x14ac:dyDescent="0.25"/>
    <row r="84245" s="12" customFormat="1" x14ac:dyDescent="0.25"/>
    <row r="84246" s="12" customFormat="1" x14ac:dyDescent="0.25"/>
    <row r="84247" s="12" customFormat="1" x14ac:dyDescent="0.25"/>
    <row r="84248" s="12" customFormat="1" x14ac:dyDescent="0.25"/>
    <row r="84249" s="12" customFormat="1" x14ac:dyDescent="0.25"/>
    <row r="84250" s="12" customFormat="1" x14ac:dyDescent="0.25"/>
    <row r="84251" s="12" customFormat="1" x14ac:dyDescent="0.25"/>
    <row r="84252" s="12" customFormat="1" x14ac:dyDescent="0.25"/>
    <row r="84253" s="12" customFormat="1" x14ac:dyDescent="0.25"/>
    <row r="84254" s="12" customFormat="1" x14ac:dyDescent="0.25"/>
    <row r="84255" s="12" customFormat="1" x14ac:dyDescent="0.25"/>
    <row r="84256" s="12" customFormat="1" x14ac:dyDescent="0.25"/>
    <row r="84257" s="12" customFormat="1" x14ac:dyDescent="0.25"/>
    <row r="84258" s="12" customFormat="1" x14ac:dyDescent="0.25"/>
    <row r="84259" s="12" customFormat="1" x14ac:dyDescent="0.25"/>
    <row r="84260" s="12" customFormat="1" x14ac:dyDescent="0.25"/>
    <row r="84261" s="12" customFormat="1" x14ac:dyDescent="0.25"/>
    <row r="84262" s="12" customFormat="1" x14ac:dyDescent="0.25"/>
    <row r="84263" s="12" customFormat="1" x14ac:dyDescent="0.25"/>
    <row r="84264" s="12" customFormat="1" x14ac:dyDescent="0.25"/>
    <row r="84265" s="12" customFormat="1" x14ac:dyDescent="0.25"/>
    <row r="84266" s="12" customFormat="1" x14ac:dyDescent="0.25"/>
    <row r="84267" s="12" customFormat="1" x14ac:dyDescent="0.25"/>
    <row r="84268" s="12" customFormat="1" x14ac:dyDescent="0.25"/>
    <row r="84269" s="12" customFormat="1" x14ac:dyDescent="0.25"/>
    <row r="84270" s="12" customFormat="1" x14ac:dyDescent="0.25"/>
    <row r="84271" s="12" customFormat="1" x14ac:dyDescent="0.25"/>
    <row r="84272" s="12" customFormat="1" x14ac:dyDescent="0.25"/>
    <row r="84273" s="12" customFormat="1" x14ac:dyDescent="0.25"/>
    <row r="84274" s="12" customFormat="1" x14ac:dyDescent="0.25"/>
    <row r="84275" s="12" customFormat="1" x14ac:dyDescent="0.25"/>
    <row r="84276" s="12" customFormat="1" x14ac:dyDescent="0.25"/>
    <row r="84277" s="12" customFormat="1" x14ac:dyDescent="0.25"/>
    <row r="84278" s="12" customFormat="1" x14ac:dyDescent="0.25"/>
    <row r="84279" s="12" customFormat="1" x14ac:dyDescent="0.25"/>
    <row r="84280" s="12" customFormat="1" x14ac:dyDescent="0.25"/>
    <row r="84281" s="12" customFormat="1" x14ac:dyDescent="0.25"/>
    <row r="84282" s="12" customFormat="1" x14ac:dyDescent="0.25"/>
    <row r="84283" s="12" customFormat="1" x14ac:dyDescent="0.25"/>
    <row r="84284" s="12" customFormat="1" x14ac:dyDescent="0.25"/>
    <row r="84285" s="12" customFormat="1" x14ac:dyDescent="0.25"/>
    <row r="84286" s="12" customFormat="1" x14ac:dyDescent="0.25"/>
    <row r="84287" s="12" customFormat="1" x14ac:dyDescent="0.25"/>
    <row r="84288" s="12" customFormat="1" x14ac:dyDescent="0.25"/>
    <row r="84289" s="12" customFormat="1" x14ac:dyDescent="0.25"/>
    <row r="84290" s="12" customFormat="1" x14ac:dyDescent="0.25"/>
    <row r="84291" s="12" customFormat="1" x14ac:dyDescent="0.25"/>
    <row r="84292" s="12" customFormat="1" x14ac:dyDescent="0.25"/>
    <row r="84293" s="12" customFormat="1" x14ac:dyDescent="0.25"/>
    <row r="84294" s="12" customFormat="1" x14ac:dyDescent="0.25"/>
    <row r="84295" s="12" customFormat="1" x14ac:dyDescent="0.25"/>
    <row r="84296" s="12" customFormat="1" x14ac:dyDescent="0.25"/>
    <row r="84297" s="12" customFormat="1" x14ac:dyDescent="0.25"/>
    <row r="84298" s="12" customFormat="1" x14ac:dyDescent="0.25"/>
    <row r="84299" s="12" customFormat="1" x14ac:dyDescent="0.25"/>
    <row r="84300" s="12" customFormat="1" x14ac:dyDescent="0.25"/>
    <row r="84301" s="12" customFormat="1" x14ac:dyDescent="0.25"/>
    <row r="84302" s="12" customFormat="1" x14ac:dyDescent="0.25"/>
    <row r="84303" s="12" customFormat="1" x14ac:dyDescent="0.25"/>
    <row r="84304" s="12" customFormat="1" x14ac:dyDescent="0.25"/>
    <row r="84305" s="12" customFormat="1" x14ac:dyDescent="0.25"/>
    <row r="84306" s="12" customFormat="1" x14ac:dyDescent="0.25"/>
    <row r="84307" s="12" customFormat="1" x14ac:dyDescent="0.25"/>
    <row r="84308" s="12" customFormat="1" x14ac:dyDescent="0.25"/>
    <row r="84309" s="12" customFormat="1" x14ac:dyDescent="0.25"/>
    <row r="84310" s="12" customFormat="1" x14ac:dyDescent="0.25"/>
    <row r="84311" s="12" customFormat="1" x14ac:dyDescent="0.25"/>
    <row r="84312" s="12" customFormat="1" x14ac:dyDescent="0.25"/>
    <row r="84313" s="12" customFormat="1" x14ac:dyDescent="0.25"/>
    <row r="84314" s="12" customFormat="1" x14ac:dyDescent="0.25"/>
    <row r="84315" s="12" customFormat="1" x14ac:dyDescent="0.25"/>
    <row r="84316" s="12" customFormat="1" x14ac:dyDescent="0.25"/>
    <row r="84317" s="12" customFormat="1" x14ac:dyDescent="0.25"/>
    <row r="84318" s="12" customFormat="1" x14ac:dyDescent="0.25"/>
    <row r="84319" s="12" customFormat="1" x14ac:dyDescent="0.25"/>
    <row r="84320" s="12" customFormat="1" x14ac:dyDescent="0.25"/>
    <row r="84321" s="12" customFormat="1" x14ac:dyDescent="0.25"/>
    <row r="84322" s="12" customFormat="1" x14ac:dyDescent="0.25"/>
    <row r="84323" s="12" customFormat="1" x14ac:dyDescent="0.25"/>
    <row r="84324" s="12" customFormat="1" x14ac:dyDescent="0.25"/>
    <row r="84325" s="12" customFormat="1" x14ac:dyDescent="0.25"/>
    <row r="84326" s="12" customFormat="1" x14ac:dyDescent="0.25"/>
    <row r="84327" s="12" customFormat="1" x14ac:dyDescent="0.25"/>
    <row r="84328" s="12" customFormat="1" x14ac:dyDescent="0.25"/>
    <row r="84329" s="12" customFormat="1" x14ac:dyDescent="0.25"/>
    <row r="84330" s="12" customFormat="1" x14ac:dyDescent="0.25"/>
    <row r="84331" s="12" customFormat="1" x14ac:dyDescent="0.25"/>
    <row r="84332" s="12" customFormat="1" x14ac:dyDescent="0.25"/>
    <row r="84333" s="12" customFormat="1" x14ac:dyDescent="0.25"/>
    <row r="84334" s="12" customFormat="1" x14ac:dyDescent="0.25"/>
    <row r="84335" s="12" customFormat="1" x14ac:dyDescent="0.25"/>
    <row r="84336" s="12" customFormat="1" x14ac:dyDescent="0.25"/>
    <row r="84337" s="12" customFormat="1" x14ac:dyDescent="0.25"/>
    <row r="84338" s="12" customFormat="1" x14ac:dyDescent="0.25"/>
    <row r="84339" s="12" customFormat="1" x14ac:dyDescent="0.25"/>
    <row r="84340" s="12" customFormat="1" x14ac:dyDescent="0.25"/>
    <row r="84341" s="12" customFormat="1" x14ac:dyDescent="0.25"/>
    <row r="84342" s="12" customFormat="1" x14ac:dyDescent="0.25"/>
    <row r="84343" s="12" customFormat="1" x14ac:dyDescent="0.25"/>
    <row r="84344" s="12" customFormat="1" x14ac:dyDescent="0.25"/>
    <row r="84345" s="12" customFormat="1" x14ac:dyDescent="0.25"/>
    <row r="84346" s="12" customFormat="1" x14ac:dyDescent="0.25"/>
    <row r="84347" s="12" customFormat="1" x14ac:dyDescent="0.25"/>
    <row r="84348" s="12" customFormat="1" x14ac:dyDescent="0.25"/>
    <row r="84349" s="12" customFormat="1" x14ac:dyDescent="0.25"/>
    <row r="84350" s="12" customFormat="1" x14ac:dyDescent="0.25"/>
    <row r="84351" s="12" customFormat="1" x14ac:dyDescent="0.25"/>
    <row r="84352" s="12" customFormat="1" x14ac:dyDescent="0.25"/>
    <row r="84353" s="12" customFormat="1" x14ac:dyDescent="0.25"/>
    <row r="84354" s="12" customFormat="1" x14ac:dyDescent="0.25"/>
    <row r="84355" s="12" customFormat="1" x14ac:dyDescent="0.25"/>
    <row r="84356" s="12" customFormat="1" x14ac:dyDescent="0.25"/>
    <row r="84357" s="12" customFormat="1" x14ac:dyDescent="0.25"/>
    <row r="84358" s="12" customFormat="1" x14ac:dyDescent="0.25"/>
    <row r="84359" s="12" customFormat="1" x14ac:dyDescent="0.25"/>
    <row r="84360" s="12" customFormat="1" x14ac:dyDescent="0.25"/>
    <row r="84361" s="12" customFormat="1" x14ac:dyDescent="0.25"/>
    <row r="84362" s="12" customFormat="1" x14ac:dyDescent="0.25"/>
    <row r="84363" s="12" customFormat="1" x14ac:dyDescent="0.25"/>
    <row r="84364" s="12" customFormat="1" x14ac:dyDescent="0.25"/>
    <row r="84365" s="12" customFormat="1" x14ac:dyDescent="0.25"/>
    <row r="84366" s="12" customFormat="1" x14ac:dyDescent="0.25"/>
    <row r="84367" s="12" customFormat="1" x14ac:dyDescent="0.25"/>
    <row r="84368" s="12" customFormat="1" x14ac:dyDescent="0.25"/>
    <row r="84369" s="12" customFormat="1" x14ac:dyDescent="0.25"/>
    <row r="84370" s="12" customFormat="1" x14ac:dyDescent="0.25"/>
    <row r="84371" s="12" customFormat="1" x14ac:dyDescent="0.25"/>
    <row r="84372" s="12" customFormat="1" x14ac:dyDescent="0.25"/>
    <row r="84373" s="12" customFormat="1" x14ac:dyDescent="0.25"/>
    <row r="84374" s="12" customFormat="1" x14ac:dyDescent="0.25"/>
    <row r="84375" s="12" customFormat="1" x14ac:dyDescent="0.25"/>
    <row r="84376" s="12" customFormat="1" x14ac:dyDescent="0.25"/>
    <row r="84377" s="12" customFormat="1" x14ac:dyDescent="0.25"/>
    <row r="84378" s="12" customFormat="1" x14ac:dyDescent="0.25"/>
    <row r="84379" s="12" customFormat="1" x14ac:dyDescent="0.25"/>
    <row r="84380" s="12" customFormat="1" x14ac:dyDescent="0.25"/>
    <row r="84381" s="12" customFormat="1" x14ac:dyDescent="0.25"/>
    <row r="84382" s="12" customFormat="1" x14ac:dyDescent="0.25"/>
    <row r="84383" s="12" customFormat="1" x14ac:dyDescent="0.25"/>
    <row r="84384" s="12" customFormat="1" x14ac:dyDescent="0.25"/>
    <row r="84385" s="12" customFormat="1" x14ac:dyDescent="0.25"/>
    <row r="84386" s="12" customFormat="1" x14ac:dyDescent="0.25"/>
    <row r="84387" s="12" customFormat="1" x14ac:dyDescent="0.25"/>
    <row r="84388" s="12" customFormat="1" x14ac:dyDescent="0.25"/>
    <row r="84389" s="12" customFormat="1" x14ac:dyDescent="0.25"/>
    <row r="84390" s="12" customFormat="1" x14ac:dyDescent="0.25"/>
    <row r="84391" s="12" customFormat="1" x14ac:dyDescent="0.25"/>
    <row r="84392" s="12" customFormat="1" x14ac:dyDescent="0.25"/>
    <row r="84393" s="12" customFormat="1" x14ac:dyDescent="0.25"/>
    <row r="84394" s="12" customFormat="1" x14ac:dyDescent="0.25"/>
    <row r="84395" s="12" customFormat="1" x14ac:dyDescent="0.25"/>
    <row r="84396" s="12" customFormat="1" x14ac:dyDescent="0.25"/>
    <row r="84397" s="12" customFormat="1" x14ac:dyDescent="0.25"/>
    <row r="84398" s="12" customFormat="1" x14ac:dyDescent="0.25"/>
    <row r="84399" s="12" customFormat="1" x14ac:dyDescent="0.25"/>
    <row r="84400" s="12" customFormat="1" x14ac:dyDescent="0.25"/>
    <row r="84401" s="12" customFormat="1" x14ac:dyDescent="0.25"/>
    <row r="84402" s="12" customFormat="1" x14ac:dyDescent="0.25"/>
    <row r="84403" s="12" customFormat="1" x14ac:dyDescent="0.25"/>
    <row r="84404" s="12" customFormat="1" x14ac:dyDescent="0.25"/>
    <row r="84405" s="12" customFormat="1" x14ac:dyDescent="0.25"/>
    <row r="84406" s="12" customFormat="1" x14ac:dyDescent="0.25"/>
    <row r="84407" s="12" customFormat="1" x14ac:dyDescent="0.25"/>
    <row r="84408" s="12" customFormat="1" x14ac:dyDescent="0.25"/>
    <row r="84409" s="12" customFormat="1" x14ac:dyDescent="0.25"/>
    <row r="84410" s="12" customFormat="1" x14ac:dyDescent="0.25"/>
    <row r="84411" s="12" customFormat="1" x14ac:dyDescent="0.25"/>
    <row r="84412" s="12" customFormat="1" x14ac:dyDescent="0.25"/>
    <row r="84413" s="12" customFormat="1" x14ac:dyDescent="0.25"/>
    <row r="84414" s="12" customFormat="1" x14ac:dyDescent="0.25"/>
    <row r="84415" s="12" customFormat="1" x14ac:dyDescent="0.25"/>
    <row r="84416" s="12" customFormat="1" x14ac:dyDescent="0.25"/>
    <row r="84417" s="12" customFormat="1" x14ac:dyDescent="0.25"/>
    <row r="84418" s="12" customFormat="1" x14ac:dyDescent="0.25"/>
    <row r="84419" s="12" customFormat="1" x14ac:dyDescent="0.25"/>
    <row r="84420" s="12" customFormat="1" x14ac:dyDescent="0.25"/>
    <row r="84421" s="12" customFormat="1" x14ac:dyDescent="0.25"/>
    <row r="84422" s="12" customFormat="1" x14ac:dyDescent="0.25"/>
    <row r="84423" s="12" customFormat="1" x14ac:dyDescent="0.25"/>
    <row r="84424" s="12" customFormat="1" x14ac:dyDescent="0.25"/>
    <row r="84425" s="12" customFormat="1" x14ac:dyDescent="0.25"/>
    <row r="84426" s="12" customFormat="1" x14ac:dyDescent="0.25"/>
    <row r="84427" s="12" customFormat="1" x14ac:dyDescent="0.25"/>
    <row r="84428" s="12" customFormat="1" x14ac:dyDescent="0.25"/>
    <row r="84429" s="12" customFormat="1" x14ac:dyDescent="0.25"/>
    <row r="84430" s="12" customFormat="1" x14ac:dyDescent="0.25"/>
    <row r="84431" s="12" customFormat="1" x14ac:dyDescent="0.25"/>
    <row r="84432" s="12" customFormat="1" x14ac:dyDescent="0.25"/>
    <row r="84433" s="12" customFormat="1" x14ac:dyDescent="0.25"/>
    <row r="84434" s="12" customFormat="1" x14ac:dyDescent="0.25"/>
    <row r="84435" s="12" customFormat="1" x14ac:dyDescent="0.25"/>
    <row r="84436" s="12" customFormat="1" x14ac:dyDescent="0.25"/>
    <row r="84437" s="12" customFormat="1" x14ac:dyDescent="0.25"/>
    <row r="84438" s="12" customFormat="1" x14ac:dyDescent="0.25"/>
    <row r="84439" s="12" customFormat="1" x14ac:dyDescent="0.25"/>
    <row r="84440" s="12" customFormat="1" x14ac:dyDescent="0.25"/>
    <row r="84441" s="12" customFormat="1" x14ac:dyDescent="0.25"/>
    <row r="84442" s="12" customFormat="1" x14ac:dyDescent="0.25"/>
    <row r="84443" s="12" customFormat="1" x14ac:dyDescent="0.25"/>
    <row r="84444" s="12" customFormat="1" x14ac:dyDescent="0.25"/>
    <row r="84445" s="12" customFormat="1" x14ac:dyDescent="0.25"/>
    <row r="84446" s="12" customFormat="1" x14ac:dyDescent="0.25"/>
    <row r="84447" s="12" customFormat="1" x14ac:dyDescent="0.25"/>
    <row r="84448" s="12" customFormat="1" x14ac:dyDescent="0.25"/>
    <row r="84449" s="12" customFormat="1" x14ac:dyDescent="0.25"/>
    <row r="84450" s="12" customFormat="1" x14ac:dyDescent="0.25"/>
    <row r="84451" s="12" customFormat="1" x14ac:dyDescent="0.25"/>
    <row r="84452" s="12" customFormat="1" x14ac:dyDescent="0.25"/>
    <row r="84453" s="12" customFormat="1" x14ac:dyDescent="0.25"/>
    <row r="84454" s="12" customFormat="1" x14ac:dyDescent="0.25"/>
    <row r="84455" s="12" customFormat="1" x14ac:dyDescent="0.25"/>
    <row r="84456" s="12" customFormat="1" x14ac:dyDescent="0.25"/>
    <row r="84457" s="12" customFormat="1" x14ac:dyDescent="0.25"/>
    <row r="84458" s="12" customFormat="1" x14ac:dyDescent="0.25"/>
    <row r="84459" s="12" customFormat="1" x14ac:dyDescent="0.25"/>
    <row r="84460" s="12" customFormat="1" x14ac:dyDescent="0.25"/>
    <row r="84461" s="12" customFormat="1" x14ac:dyDescent="0.25"/>
    <row r="84462" s="12" customFormat="1" x14ac:dyDescent="0.25"/>
    <row r="84463" s="12" customFormat="1" x14ac:dyDescent="0.25"/>
    <row r="84464" s="12" customFormat="1" x14ac:dyDescent="0.25"/>
    <row r="84465" s="12" customFormat="1" x14ac:dyDescent="0.25"/>
    <row r="84466" s="12" customFormat="1" x14ac:dyDescent="0.25"/>
    <row r="84467" s="12" customFormat="1" x14ac:dyDescent="0.25"/>
    <row r="84468" s="12" customFormat="1" x14ac:dyDescent="0.25"/>
    <row r="84469" s="12" customFormat="1" x14ac:dyDescent="0.25"/>
    <row r="84470" s="12" customFormat="1" x14ac:dyDescent="0.25"/>
    <row r="84471" s="12" customFormat="1" x14ac:dyDescent="0.25"/>
    <row r="84472" s="12" customFormat="1" x14ac:dyDescent="0.25"/>
    <row r="84473" s="12" customFormat="1" x14ac:dyDescent="0.25"/>
    <row r="84474" s="12" customFormat="1" x14ac:dyDescent="0.25"/>
    <row r="84475" s="12" customFormat="1" x14ac:dyDescent="0.25"/>
    <row r="84476" s="12" customFormat="1" x14ac:dyDescent="0.25"/>
    <row r="84477" s="12" customFormat="1" x14ac:dyDescent="0.25"/>
    <row r="84478" s="12" customFormat="1" x14ac:dyDescent="0.25"/>
    <row r="84479" s="12" customFormat="1" x14ac:dyDescent="0.25"/>
    <row r="84480" s="12" customFormat="1" x14ac:dyDescent="0.25"/>
    <row r="84481" s="12" customFormat="1" x14ac:dyDescent="0.25"/>
    <row r="84482" s="12" customFormat="1" x14ac:dyDescent="0.25"/>
    <row r="84483" s="12" customFormat="1" x14ac:dyDescent="0.25"/>
    <row r="84484" s="12" customFormat="1" x14ac:dyDescent="0.25"/>
    <row r="84485" s="12" customFormat="1" x14ac:dyDescent="0.25"/>
    <row r="84486" s="12" customFormat="1" x14ac:dyDescent="0.25"/>
    <row r="84487" s="12" customFormat="1" x14ac:dyDescent="0.25"/>
    <row r="84488" s="12" customFormat="1" x14ac:dyDescent="0.25"/>
    <row r="84489" s="12" customFormat="1" x14ac:dyDescent="0.25"/>
    <row r="84490" s="12" customFormat="1" x14ac:dyDescent="0.25"/>
    <row r="84491" s="12" customFormat="1" x14ac:dyDescent="0.25"/>
    <row r="84492" s="12" customFormat="1" x14ac:dyDescent="0.25"/>
    <row r="84493" s="12" customFormat="1" x14ac:dyDescent="0.25"/>
    <row r="84494" s="12" customFormat="1" x14ac:dyDescent="0.25"/>
    <row r="84495" s="12" customFormat="1" x14ac:dyDescent="0.25"/>
    <row r="84496" s="12" customFormat="1" x14ac:dyDescent="0.25"/>
    <row r="84497" s="12" customFormat="1" x14ac:dyDescent="0.25"/>
    <row r="84498" s="12" customFormat="1" x14ac:dyDescent="0.25"/>
    <row r="84499" s="12" customFormat="1" x14ac:dyDescent="0.25"/>
    <row r="84500" s="12" customFormat="1" x14ac:dyDescent="0.25"/>
    <row r="84501" s="12" customFormat="1" x14ac:dyDescent="0.25"/>
    <row r="84502" s="12" customFormat="1" x14ac:dyDescent="0.25"/>
    <row r="84503" s="12" customFormat="1" x14ac:dyDescent="0.25"/>
    <row r="84504" s="12" customFormat="1" x14ac:dyDescent="0.25"/>
    <row r="84505" s="12" customFormat="1" x14ac:dyDescent="0.25"/>
    <row r="84506" s="12" customFormat="1" x14ac:dyDescent="0.25"/>
    <row r="84507" s="12" customFormat="1" x14ac:dyDescent="0.25"/>
    <row r="84508" s="12" customFormat="1" x14ac:dyDescent="0.25"/>
    <row r="84509" s="12" customFormat="1" x14ac:dyDescent="0.25"/>
    <row r="84510" s="12" customFormat="1" x14ac:dyDescent="0.25"/>
    <row r="84511" s="12" customFormat="1" x14ac:dyDescent="0.25"/>
    <row r="84512" s="12" customFormat="1" x14ac:dyDescent="0.25"/>
    <row r="84513" s="12" customFormat="1" x14ac:dyDescent="0.25"/>
    <row r="84514" s="12" customFormat="1" x14ac:dyDescent="0.25"/>
    <row r="84515" s="12" customFormat="1" x14ac:dyDescent="0.25"/>
    <row r="84516" s="12" customFormat="1" x14ac:dyDescent="0.25"/>
    <row r="84517" s="12" customFormat="1" x14ac:dyDescent="0.25"/>
    <row r="84518" s="12" customFormat="1" x14ac:dyDescent="0.25"/>
    <row r="84519" s="12" customFormat="1" x14ac:dyDescent="0.25"/>
    <row r="84520" s="12" customFormat="1" x14ac:dyDescent="0.25"/>
    <row r="84521" s="12" customFormat="1" x14ac:dyDescent="0.25"/>
    <row r="84522" s="12" customFormat="1" x14ac:dyDescent="0.25"/>
    <row r="84523" s="12" customFormat="1" x14ac:dyDescent="0.25"/>
    <row r="84524" s="12" customFormat="1" x14ac:dyDescent="0.25"/>
    <row r="84525" s="12" customFormat="1" x14ac:dyDescent="0.25"/>
    <row r="84526" s="12" customFormat="1" x14ac:dyDescent="0.25"/>
    <row r="84527" s="12" customFormat="1" x14ac:dyDescent="0.25"/>
    <row r="84528" s="12" customFormat="1" x14ac:dyDescent="0.25"/>
    <row r="84529" s="12" customFormat="1" x14ac:dyDescent="0.25"/>
    <row r="84530" s="12" customFormat="1" x14ac:dyDescent="0.25"/>
    <row r="84531" s="12" customFormat="1" x14ac:dyDescent="0.25"/>
    <row r="84532" s="12" customFormat="1" x14ac:dyDescent="0.25"/>
    <row r="84533" s="12" customFormat="1" x14ac:dyDescent="0.25"/>
    <row r="84534" s="12" customFormat="1" x14ac:dyDescent="0.25"/>
    <row r="84535" s="12" customFormat="1" x14ac:dyDescent="0.25"/>
    <row r="84536" s="12" customFormat="1" x14ac:dyDescent="0.25"/>
    <row r="84537" s="12" customFormat="1" x14ac:dyDescent="0.25"/>
    <row r="84538" s="12" customFormat="1" x14ac:dyDescent="0.25"/>
    <row r="84539" s="12" customFormat="1" x14ac:dyDescent="0.25"/>
    <row r="84540" s="12" customFormat="1" x14ac:dyDescent="0.25"/>
    <row r="84541" s="12" customFormat="1" x14ac:dyDescent="0.25"/>
    <row r="84542" s="12" customFormat="1" x14ac:dyDescent="0.25"/>
    <row r="84543" s="12" customFormat="1" x14ac:dyDescent="0.25"/>
    <row r="84544" s="12" customFormat="1" x14ac:dyDescent="0.25"/>
    <row r="84545" s="12" customFormat="1" x14ac:dyDescent="0.25"/>
    <row r="84546" s="12" customFormat="1" x14ac:dyDescent="0.25"/>
    <row r="84547" s="12" customFormat="1" x14ac:dyDescent="0.25"/>
    <row r="84548" s="12" customFormat="1" x14ac:dyDescent="0.25"/>
    <row r="84549" s="12" customFormat="1" x14ac:dyDescent="0.25"/>
    <row r="84550" s="12" customFormat="1" x14ac:dyDescent="0.25"/>
    <row r="84551" s="12" customFormat="1" x14ac:dyDescent="0.25"/>
    <row r="84552" s="12" customFormat="1" x14ac:dyDescent="0.25"/>
    <row r="84553" s="12" customFormat="1" x14ac:dyDescent="0.25"/>
    <row r="84554" s="12" customFormat="1" x14ac:dyDescent="0.25"/>
    <row r="84555" s="12" customFormat="1" x14ac:dyDescent="0.25"/>
    <row r="84556" s="12" customFormat="1" x14ac:dyDescent="0.25"/>
    <row r="84557" s="12" customFormat="1" x14ac:dyDescent="0.25"/>
    <row r="84558" s="12" customFormat="1" x14ac:dyDescent="0.25"/>
    <row r="84559" s="12" customFormat="1" x14ac:dyDescent="0.25"/>
    <row r="84560" s="12" customFormat="1" x14ac:dyDescent="0.25"/>
    <row r="84561" s="12" customFormat="1" x14ac:dyDescent="0.25"/>
    <row r="84562" s="12" customFormat="1" x14ac:dyDescent="0.25"/>
    <row r="84563" s="12" customFormat="1" x14ac:dyDescent="0.25"/>
    <row r="84564" s="12" customFormat="1" x14ac:dyDescent="0.25"/>
    <row r="84565" s="12" customFormat="1" x14ac:dyDescent="0.25"/>
    <row r="84566" s="12" customFormat="1" x14ac:dyDescent="0.25"/>
    <row r="84567" s="12" customFormat="1" x14ac:dyDescent="0.25"/>
    <row r="84568" s="12" customFormat="1" x14ac:dyDescent="0.25"/>
    <row r="84569" s="12" customFormat="1" x14ac:dyDescent="0.25"/>
    <row r="84570" s="12" customFormat="1" x14ac:dyDescent="0.25"/>
    <row r="84571" s="12" customFormat="1" x14ac:dyDescent="0.25"/>
    <row r="84572" s="12" customFormat="1" x14ac:dyDescent="0.25"/>
    <row r="84573" s="12" customFormat="1" x14ac:dyDescent="0.25"/>
    <row r="84574" s="12" customFormat="1" x14ac:dyDescent="0.25"/>
    <row r="84575" s="12" customFormat="1" x14ac:dyDescent="0.25"/>
    <row r="84576" s="12" customFormat="1" x14ac:dyDescent="0.25"/>
    <row r="84577" s="12" customFormat="1" x14ac:dyDescent="0.25"/>
    <row r="84578" s="12" customFormat="1" x14ac:dyDescent="0.25"/>
    <row r="84579" s="12" customFormat="1" x14ac:dyDescent="0.25"/>
    <row r="84580" s="12" customFormat="1" x14ac:dyDescent="0.25"/>
    <row r="84581" s="12" customFormat="1" x14ac:dyDescent="0.25"/>
    <row r="84582" s="12" customFormat="1" x14ac:dyDescent="0.25"/>
    <row r="84583" s="12" customFormat="1" x14ac:dyDescent="0.25"/>
    <row r="84584" s="12" customFormat="1" x14ac:dyDescent="0.25"/>
    <row r="84585" s="12" customFormat="1" x14ac:dyDescent="0.25"/>
    <row r="84586" s="12" customFormat="1" x14ac:dyDescent="0.25"/>
    <row r="84587" s="12" customFormat="1" x14ac:dyDescent="0.25"/>
    <row r="84588" s="12" customFormat="1" x14ac:dyDescent="0.25"/>
    <row r="84589" s="12" customFormat="1" x14ac:dyDescent="0.25"/>
    <row r="84590" s="12" customFormat="1" x14ac:dyDescent="0.25"/>
    <row r="84591" s="12" customFormat="1" x14ac:dyDescent="0.25"/>
    <row r="84592" s="12" customFormat="1" x14ac:dyDescent="0.25"/>
    <row r="84593" s="12" customFormat="1" x14ac:dyDescent="0.25"/>
    <row r="84594" s="12" customFormat="1" x14ac:dyDescent="0.25"/>
    <row r="84595" s="12" customFormat="1" x14ac:dyDescent="0.25"/>
    <row r="84596" s="12" customFormat="1" x14ac:dyDescent="0.25"/>
    <row r="84597" s="12" customFormat="1" x14ac:dyDescent="0.25"/>
    <row r="84598" s="12" customFormat="1" x14ac:dyDescent="0.25"/>
    <row r="84599" s="12" customFormat="1" x14ac:dyDescent="0.25"/>
    <row r="84600" s="12" customFormat="1" x14ac:dyDescent="0.25"/>
    <row r="84601" s="12" customFormat="1" x14ac:dyDescent="0.25"/>
    <row r="84602" s="12" customFormat="1" x14ac:dyDescent="0.25"/>
    <row r="84603" s="12" customFormat="1" x14ac:dyDescent="0.25"/>
    <row r="84604" s="12" customFormat="1" x14ac:dyDescent="0.25"/>
    <row r="84605" s="12" customFormat="1" x14ac:dyDescent="0.25"/>
    <row r="84606" s="12" customFormat="1" x14ac:dyDescent="0.25"/>
    <row r="84607" s="12" customFormat="1" x14ac:dyDescent="0.25"/>
    <row r="84608" s="12" customFormat="1" x14ac:dyDescent="0.25"/>
    <row r="84609" s="12" customFormat="1" x14ac:dyDescent="0.25"/>
    <row r="84610" s="12" customFormat="1" x14ac:dyDescent="0.25"/>
    <row r="84611" s="12" customFormat="1" x14ac:dyDescent="0.25"/>
    <row r="84612" s="12" customFormat="1" x14ac:dyDescent="0.25"/>
    <row r="84613" s="12" customFormat="1" x14ac:dyDescent="0.25"/>
    <row r="84614" s="12" customFormat="1" x14ac:dyDescent="0.25"/>
    <row r="84615" s="12" customFormat="1" x14ac:dyDescent="0.25"/>
    <row r="84616" s="12" customFormat="1" x14ac:dyDescent="0.25"/>
    <row r="84617" s="12" customFormat="1" x14ac:dyDescent="0.25"/>
    <row r="84618" s="12" customFormat="1" x14ac:dyDescent="0.25"/>
    <row r="84619" s="12" customFormat="1" x14ac:dyDescent="0.25"/>
    <row r="84620" s="12" customFormat="1" x14ac:dyDescent="0.25"/>
    <row r="84621" s="12" customFormat="1" x14ac:dyDescent="0.25"/>
    <row r="84622" s="12" customFormat="1" x14ac:dyDescent="0.25"/>
    <row r="84623" s="12" customFormat="1" x14ac:dyDescent="0.25"/>
    <row r="84624" s="12" customFormat="1" x14ac:dyDescent="0.25"/>
    <row r="84625" s="12" customFormat="1" x14ac:dyDescent="0.25"/>
    <row r="84626" s="12" customFormat="1" x14ac:dyDescent="0.25"/>
    <row r="84627" s="12" customFormat="1" x14ac:dyDescent="0.25"/>
    <row r="84628" s="12" customFormat="1" x14ac:dyDescent="0.25"/>
    <row r="84629" s="12" customFormat="1" x14ac:dyDescent="0.25"/>
    <row r="84630" s="12" customFormat="1" x14ac:dyDescent="0.25"/>
    <row r="84631" s="12" customFormat="1" x14ac:dyDescent="0.25"/>
    <row r="84632" s="12" customFormat="1" x14ac:dyDescent="0.25"/>
    <row r="84633" s="12" customFormat="1" x14ac:dyDescent="0.25"/>
    <row r="84634" s="12" customFormat="1" x14ac:dyDescent="0.25"/>
    <row r="84635" s="12" customFormat="1" x14ac:dyDescent="0.25"/>
    <row r="84636" s="12" customFormat="1" x14ac:dyDescent="0.25"/>
    <row r="84637" s="12" customFormat="1" x14ac:dyDescent="0.25"/>
    <row r="84638" s="12" customFormat="1" x14ac:dyDescent="0.25"/>
    <row r="84639" s="12" customFormat="1" x14ac:dyDescent="0.25"/>
    <row r="84640" s="12" customFormat="1" x14ac:dyDescent="0.25"/>
    <row r="84641" s="12" customFormat="1" x14ac:dyDescent="0.25"/>
    <row r="84642" s="12" customFormat="1" x14ac:dyDescent="0.25"/>
    <row r="84643" s="12" customFormat="1" x14ac:dyDescent="0.25"/>
    <row r="84644" s="12" customFormat="1" x14ac:dyDescent="0.25"/>
    <row r="84645" s="12" customFormat="1" x14ac:dyDescent="0.25"/>
    <row r="84646" s="12" customFormat="1" x14ac:dyDescent="0.25"/>
    <row r="84647" s="12" customFormat="1" x14ac:dyDescent="0.25"/>
    <row r="84648" s="12" customFormat="1" x14ac:dyDescent="0.25"/>
    <row r="84649" s="12" customFormat="1" x14ac:dyDescent="0.25"/>
    <row r="84650" s="12" customFormat="1" x14ac:dyDescent="0.25"/>
    <row r="84651" s="12" customFormat="1" x14ac:dyDescent="0.25"/>
    <row r="84652" s="12" customFormat="1" x14ac:dyDescent="0.25"/>
    <row r="84653" s="12" customFormat="1" x14ac:dyDescent="0.25"/>
    <row r="84654" s="12" customFormat="1" x14ac:dyDescent="0.25"/>
    <row r="84655" s="12" customFormat="1" x14ac:dyDescent="0.25"/>
    <row r="84656" s="12" customFormat="1" x14ac:dyDescent="0.25"/>
    <row r="84657" s="12" customFormat="1" x14ac:dyDescent="0.25"/>
    <row r="84658" s="12" customFormat="1" x14ac:dyDescent="0.25"/>
    <row r="84659" s="12" customFormat="1" x14ac:dyDescent="0.25"/>
    <row r="84660" s="12" customFormat="1" x14ac:dyDescent="0.25"/>
    <row r="84661" s="12" customFormat="1" x14ac:dyDescent="0.25"/>
    <row r="84662" s="12" customFormat="1" x14ac:dyDescent="0.25"/>
    <row r="84663" s="12" customFormat="1" x14ac:dyDescent="0.25"/>
    <row r="84664" s="12" customFormat="1" x14ac:dyDescent="0.25"/>
    <row r="84665" s="12" customFormat="1" x14ac:dyDescent="0.25"/>
    <row r="84666" s="12" customFormat="1" x14ac:dyDescent="0.25"/>
    <row r="84667" s="12" customFormat="1" x14ac:dyDescent="0.25"/>
    <row r="84668" s="12" customFormat="1" x14ac:dyDescent="0.25"/>
    <row r="84669" s="12" customFormat="1" x14ac:dyDescent="0.25"/>
    <row r="84670" s="12" customFormat="1" x14ac:dyDescent="0.25"/>
    <row r="84671" s="12" customFormat="1" x14ac:dyDescent="0.25"/>
    <row r="84672" s="12" customFormat="1" x14ac:dyDescent="0.25"/>
    <row r="84673" s="12" customFormat="1" x14ac:dyDescent="0.25"/>
    <row r="84674" s="12" customFormat="1" x14ac:dyDescent="0.25"/>
    <row r="84675" s="12" customFormat="1" x14ac:dyDescent="0.25"/>
    <row r="84676" s="12" customFormat="1" x14ac:dyDescent="0.25"/>
    <row r="84677" s="12" customFormat="1" x14ac:dyDescent="0.25"/>
    <row r="84678" s="12" customFormat="1" x14ac:dyDescent="0.25"/>
    <row r="84679" s="12" customFormat="1" x14ac:dyDescent="0.25"/>
    <row r="84680" s="12" customFormat="1" x14ac:dyDescent="0.25"/>
    <row r="84681" s="12" customFormat="1" x14ac:dyDescent="0.25"/>
    <row r="84682" s="12" customFormat="1" x14ac:dyDescent="0.25"/>
    <row r="84683" s="12" customFormat="1" x14ac:dyDescent="0.25"/>
    <row r="84684" s="12" customFormat="1" x14ac:dyDescent="0.25"/>
    <row r="84685" s="12" customFormat="1" x14ac:dyDescent="0.25"/>
    <row r="84686" s="12" customFormat="1" x14ac:dyDescent="0.25"/>
    <row r="84687" s="12" customFormat="1" x14ac:dyDescent="0.25"/>
    <row r="84688" s="12" customFormat="1" x14ac:dyDescent="0.25"/>
    <row r="84689" s="12" customFormat="1" x14ac:dyDescent="0.25"/>
    <row r="84690" s="12" customFormat="1" x14ac:dyDescent="0.25"/>
    <row r="84691" s="12" customFormat="1" x14ac:dyDescent="0.25"/>
    <row r="84692" s="12" customFormat="1" x14ac:dyDescent="0.25"/>
    <row r="84693" s="12" customFormat="1" x14ac:dyDescent="0.25"/>
    <row r="84694" s="12" customFormat="1" x14ac:dyDescent="0.25"/>
    <row r="84695" s="12" customFormat="1" x14ac:dyDescent="0.25"/>
    <row r="84696" s="12" customFormat="1" x14ac:dyDescent="0.25"/>
    <row r="84697" s="12" customFormat="1" x14ac:dyDescent="0.25"/>
    <row r="84698" s="12" customFormat="1" x14ac:dyDescent="0.25"/>
    <row r="84699" s="12" customFormat="1" x14ac:dyDescent="0.25"/>
    <row r="84700" s="12" customFormat="1" x14ac:dyDescent="0.25"/>
    <row r="84701" s="12" customFormat="1" x14ac:dyDescent="0.25"/>
    <row r="84702" s="12" customFormat="1" x14ac:dyDescent="0.25"/>
    <row r="84703" s="12" customFormat="1" x14ac:dyDescent="0.25"/>
    <row r="84704" s="12" customFormat="1" x14ac:dyDescent="0.25"/>
    <row r="84705" s="12" customFormat="1" x14ac:dyDescent="0.25"/>
    <row r="84706" s="12" customFormat="1" x14ac:dyDescent="0.25"/>
    <row r="84707" s="12" customFormat="1" x14ac:dyDescent="0.25"/>
    <row r="84708" s="12" customFormat="1" x14ac:dyDescent="0.25"/>
    <row r="84709" s="12" customFormat="1" x14ac:dyDescent="0.25"/>
    <row r="84710" s="12" customFormat="1" x14ac:dyDescent="0.25"/>
    <row r="84711" s="12" customFormat="1" x14ac:dyDescent="0.25"/>
    <row r="84712" s="12" customFormat="1" x14ac:dyDescent="0.25"/>
    <row r="84713" s="12" customFormat="1" x14ac:dyDescent="0.25"/>
    <row r="84714" s="12" customFormat="1" x14ac:dyDescent="0.25"/>
    <row r="84715" s="12" customFormat="1" x14ac:dyDescent="0.25"/>
    <row r="84716" s="12" customFormat="1" x14ac:dyDescent="0.25"/>
    <row r="84717" s="12" customFormat="1" x14ac:dyDescent="0.25"/>
    <row r="84718" s="12" customFormat="1" x14ac:dyDescent="0.25"/>
    <row r="84719" s="12" customFormat="1" x14ac:dyDescent="0.25"/>
    <row r="84720" s="12" customFormat="1" x14ac:dyDescent="0.25"/>
    <row r="84721" s="12" customFormat="1" x14ac:dyDescent="0.25"/>
    <row r="84722" s="12" customFormat="1" x14ac:dyDescent="0.25"/>
    <row r="84723" s="12" customFormat="1" x14ac:dyDescent="0.25"/>
    <row r="84724" s="12" customFormat="1" x14ac:dyDescent="0.25"/>
    <row r="84725" s="12" customFormat="1" x14ac:dyDescent="0.25"/>
    <row r="84726" s="12" customFormat="1" x14ac:dyDescent="0.25"/>
    <row r="84727" s="12" customFormat="1" x14ac:dyDescent="0.25"/>
    <row r="84728" s="12" customFormat="1" x14ac:dyDescent="0.25"/>
    <row r="84729" s="12" customFormat="1" x14ac:dyDescent="0.25"/>
    <row r="84730" s="12" customFormat="1" x14ac:dyDescent="0.25"/>
    <row r="84731" s="12" customFormat="1" x14ac:dyDescent="0.25"/>
    <row r="84732" s="12" customFormat="1" x14ac:dyDescent="0.25"/>
    <row r="84733" s="12" customFormat="1" x14ac:dyDescent="0.25"/>
    <row r="84734" s="12" customFormat="1" x14ac:dyDescent="0.25"/>
    <row r="84735" s="12" customFormat="1" x14ac:dyDescent="0.25"/>
    <row r="84736" s="12" customFormat="1" x14ac:dyDescent="0.25"/>
    <row r="84737" s="12" customFormat="1" x14ac:dyDescent="0.25"/>
    <row r="84738" s="12" customFormat="1" x14ac:dyDescent="0.25"/>
    <row r="84739" s="12" customFormat="1" x14ac:dyDescent="0.25"/>
    <row r="84740" s="12" customFormat="1" x14ac:dyDescent="0.25"/>
    <row r="84741" s="12" customFormat="1" x14ac:dyDescent="0.25"/>
    <row r="84742" s="12" customFormat="1" x14ac:dyDescent="0.25"/>
    <row r="84743" s="12" customFormat="1" x14ac:dyDescent="0.25"/>
    <row r="84744" s="12" customFormat="1" x14ac:dyDescent="0.25"/>
    <row r="84745" s="12" customFormat="1" x14ac:dyDescent="0.25"/>
    <row r="84746" s="12" customFormat="1" x14ac:dyDescent="0.25"/>
    <row r="84747" s="12" customFormat="1" x14ac:dyDescent="0.25"/>
    <row r="84748" s="12" customFormat="1" x14ac:dyDescent="0.25"/>
    <row r="84749" s="12" customFormat="1" x14ac:dyDescent="0.25"/>
    <row r="84750" s="12" customFormat="1" x14ac:dyDescent="0.25"/>
    <row r="84751" s="12" customFormat="1" x14ac:dyDescent="0.25"/>
    <row r="84752" s="12" customFormat="1" x14ac:dyDescent="0.25"/>
    <row r="84753" s="12" customFormat="1" x14ac:dyDescent="0.25"/>
    <row r="84754" s="12" customFormat="1" x14ac:dyDescent="0.25"/>
    <row r="84755" s="12" customFormat="1" x14ac:dyDescent="0.25"/>
    <row r="84756" s="12" customFormat="1" x14ac:dyDescent="0.25"/>
    <row r="84757" s="12" customFormat="1" x14ac:dyDescent="0.25"/>
    <row r="84758" s="12" customFormat="1" x14ac:dyDescent="0.25"/>
    <row r="84759" s="12" customFormat="1" x14ac:dyDescent="0.25"/>
    <row r="84760" s="12" customFormat="1" x14ac:dyDescent="0.25"/>
    <row r="84761" s="12" customFormat="1" x14ac:dyDescent="0.25"/>
    <row r="84762" s="12" customFormat="1" x14ac:dyDescent="0.25"/>
    <row r="84763" s="12" customFormat="1" x14ac:dyDescent="0.25"/>
    <row r="84764" s="12" customFormat="1" x14ac:dyDescent="0.25"/>
    <row r="84765" s="12" customFormat="1" x14ac:dyDescent="0.25"/>
    <row r="84766" s="12" customFormat="1" x14ac:dyDescent="0.25"/>
    <row r="84767" s="12" customFormat="1" x14ac:dyDescent="0.25"/>
    <row r="84768" s="12" customFormat="1" x14ac:dyDescent="0.25"/>
    <row r="84769" s="12" customFormat="1" x14ac:dyDescent="0.25"/>
    <row r="84770" s="12" customFormat="1" x14ac:dyDescent="0.25"/>
    <row r="84771" s="12" customFormat="1" x14ac:dyDescent="0.25"/>
    <row r="84772" s="12" customFormat="1" x14ac:dyDescent="0.25"/>
    <row r="84773" s="12" customFormat="1" x14ac:dyDescent="0.25"/>
    <row r="84774" s="12" customFormat="1" x14ac:dyDescent="0.25"/>
    <row r="84775" s="12" customFormat="1" x14ac:dyDescent="0.25"/>
    <row r="84776" s="12" customFormat="1" x14ac:dyDescent="0.25"/>
    <row r="84777" s="12" customFormat="1" x14ac:dyDescent="0.25"/>
    <row r="84778" s="12" customFormat="1" x14ac:dyDescent="0.25"/>
    <row r="84779" s="12" customFormat="1" x14ac:dyDescent="0.25"/>
    <row r="84780" s="12" customFormat="1" x14ac:dyDescent="0.25"/>
    <row r="84781" s="12" customFormat="1" x14ac:dyDescent="0.25"/>
    <row r="84782" s="12" customFormat="1" x14ac:dyDescent="0.25"/>
    <row r="84783" s="12" customFormat="1" x14ac:dyDescent="0.25"/>
    <row r="84784" s="12" customFormat="1" x14ac:dyDescent="0.25"/>
    <row r="84785" s="12" customFormat="1" x14ac:dyDescent="0.25"/>
    <row r="84786" s="12" customFormat="1" x14ac:dyDescent="0.25"/>
    <row r="84787" s="12" customFormat="1" x14ac:dyDescent="0.25"/>
    <row r="84788" s="12" customFormat="1" x14ac:dyDescent="0.25"/>
    <row r="84789" s="12" customFormat="1" x14ac:dyDescent="0.25"/>
    <row r="84790" s="12" customFormat="1" x14ac:dyDescent="0.25"/>
    <row r="84791" s="12" customFormat="1" x14ac:dyDescent="0.25"/>
    <row r="84792" s="12" customFormat="1" x14ac:dyDescent="0.25"/>
    <row r="84793" s="12" customFormat="1" x14ac:dyDescent="0.25"/>
    <row r="84794" s="12" customFormat="1" x14ac:dyDescent="0.25"/>
    <row r="84795" s="12" customFormat="1" x14ac:dyDescent="0.25"/>
    <row r="84796" s="12" customFormat="1" x14ac:dyDescent="0.25"/>
    <row r="84797" s="12" customFormat="1" x14ac:dyDescent="0.25"/>
    <row r="84798" s="12" customFormat="1" x14ac:dyDescent="0.25"/>
    <row r="84799" s="12" customFormat="1" x14ac:dyDescent="0.25"/>
    <row r="84800" s="12" customFormat="1" x14ac:dyDescent="0.25"/>
    <row r="84801" s="12" customFormat="1" x14ac:dyDescent="0.25"/>
    <row r="84802" s="12" customFormat="1" x14ac:dyDescent="0.25"/>
    <row r="84803" s="12" customFormat="1" x14ac:dyDescent="0.25"/>
    <row r="84804" s="12" customFormat="1" x14ac:dyDescent="0.25"/>
    <row r="84805" s="12" customFormat="1" x14ac:dyDescent="0.25"/>
    <row r="84806" s="12" customFormat="1" x14ac:dyDescent="0.25"/>
    <row r="84807" s="12" customFormat="1" x14ac:dyDescent="0.25"/>
    <row r="84808" s="12" customFormat="1" x14ac:dyDescent="0.25"/>
    <row r="84809" s="12" customFormat="1" x14ac:dyDescent="0.25"/>
    <row r="84810" s="12" customFormat="1" x14ac:dyDescent="0.25"/>
    <row r="84811" s="12" customFormat="1" x14ac:dyDescent="0.25"/>
    <row r="84812" s="12" customFormat="1" x14ac:dyDescent="0.25"/>
    <row r="84813" s="12" customFormat="1" x14ac:dyDescent="0.25"/>
    <row r="84814" s="12" customFormat="1" x14ac:dyDescent="0.25"/>
    <row r="84815" s="12" customFormat="1" x14ac:dyDescent="0.25"/>
    <row r="84816" s="12" customFormat="1" x14ac:dyDescent="0.25"/>
    <row r="84817" s="12" customFormat="1" x14ac:dyDescent="0.25"/>
    <row r="84818" s="12" customFormat="1" x14ac:dyDescent="0.25"/>
    <row r="84819" s="12" customFormat="1" x14ac:dyDescent="0.25"/>
    <row r="84820" s="12" customFormat="1" x14ac:dyDescent="0.25"/>
    <row r="84821" s="12" customFormat="1" x14ac:dyDescent="0.25"/>
    <row r="84822" s="12" customFormat="1" x14ac:dyDescent="0.25"/>
    <row r="84823" s="12" customFormat="1" x14ac:dyDescent="0.25"/>
    <row r="84824" s="12" customFormat="1" x14ac:dyDescent="0.25"/>
    <row r="84825" s="12" customFormat="1" x14ac:dyDescent="0.25"/>
    <row r="84826" s="12" customFormat="1" x14ac:dyDescent="0.25"/>
    <row r="84827" s="12" customFormat="1" x14ac:dyDescent="0.25"/>
    <row r="84828" s="12" customFormat="1" x14ac:dyDescent="0.25"/>
    <row r="84829" s="12" customFormat="1" x14ac:dyDescent="0.25"/>
    <row r="84830" s="12" customFormat="1" x14ac:dyDescent="0.25"/>
    <row r="84831" s="12" customFormat="1" x14ac:dyDescent="0.25"/>
    <row r="84832" s="12" customFormat="1" x14ac:dyDescent="0.25"/>
    <row r="84833" s="12" customFormat="1" x14ac:dyDescent="0.25"/>
    <row r="84834" s="12" customFormat="1" x14ac:dyDescent="0.25"/>
    <row r="84835" s="12" customFormat="1" x14ac:dyDescent="0.25"/>
    <row r="84836" s="12" customFormat="1" x14ac:dyDescent="0.25"/>
    <row r="84837" s="12" customFormat="1" x14ac:dyDescent="0.25"/>
    <row r="84838" s="12" customFormat="1" x14ac:dyDescent="0.25"/>
    <row r="84839" s="12" customFormat="1" x14ac:dyDescent="0.25"/>
    <row r="84840" s="12" customFormat="1" x14ac:dyDescent="0.25"/>
    <row r="84841" s="12" customFormat="1" x14ac:dyDescent="0.25"/>
    <row r="84842" s="12" customFormat="1" x14ac:dyDescent="0.25"/>
    <row r="84843" s="12" customFormat="1" x14ac:dyDescent="0.25"/>
    <row r="84844" s="12" customFormat="1" x14ac:dyDescent="0.25"/>
    <row r="84845" s="12" customFormat="1" x14ac:dyDescent="0.25"/>
    <row r="84846" s="12" customFormat="1" x14ac:dyDescent="0.25"/>
    <row r="84847" s="12" customFormat="1" x14ac:dyDescent="0.25"/>
    <row r="84848" s="12" customFormat="1" x14ac:dyDescent="0.25"/>
    <row r="84849" s="12" customFormat="1" x14ac:dyDescent="0.25"/>
    <row r="84850" s="12" customFormat="1" x14ac:dyDescent="0.25"/>
    <row r="84851" s="12" customFormat="1" x14ac:dyDescent="0.25"/>
    <row r="84852" s="12" customFormat="1" x14ac:dyDescent="0.25"/>
    <row r="84853" s="12" customFormat="1" x14ac:dyDescent="0.25"/>
    <row r="84854" s="12" customFormat="1" x14ac:dyDescent="0.25"/>
    <row r="84855" s="12" customFormat="1" x14ac:dyDescent="0.25"/>
    <row r="84856" s="12" customFormat="1" x14ac:dyDescent="0.25"/>
    <row r="84857" s="12" customFormat="1" x14ac:dyDescent="0.25"/>
    <row r="84858" s="12" customFormat="1" x14ac:dyDescent="0.25"/>
    <row r="84859" s="12" customFormat="1" x14ac:dyDescent="0.25"/>
    <row r="84860" s="12" customFormat="1" x14ac:dyDescent="0.25"/>
    <row r="84861" s="12" customFormat="1" x14ac:dyDescent="0.25"/>
    <row r="84862" s="12" customFormat="1" x14ac:dyDescent="0.25"/>
    <row r="84863" s="12" customFormat="1" x14ac:dyDescent="0.25"/>
    <row r="84864" s="12" customFormat="1" x14ac:dyDescent="0.25"/>
    <row r="84865" s="12" customFormat="1" x14ac:dyDescent="0.25"/>
    <row r="84866" s="12" customFormat="1" x14ac:dyDescent="0.25"/>
    <row r="84867" s="12" customFormat="1" x14ac:dyDescent="0.25"/>
    <row r="84868" s="12" customFormat="1" x14ac:dyDescent="0.25"/>
    <row r="84869" s="12" customFormat="1" x14ac:dyDescent="0.25"/>
    <row r="84870" s="12" customFormat="1" x14ac:dyDescent="0.25"/>
    <row r="84871" s="12" customFormat="1" x14ac:dyDescent="0.25"/>
    <row r="84872" s="12" customFormat="1" x14ac:dyDescent="0.25"/>
    <row r="84873" s="12" customFormat="1" x14ac:dyDescent="0.25"/>
    <row r="84874" s="12" customFormat="1" x14ac:dyDescent="0.25"/>
    <row r="84875" s="12" customFormat="1" x14ac:dyDescent="0.25"/>
    <row r="84876" s="12" customFormat="1" x14ac:dyDescent="0.25"/>
    <row r="84877" s="12" customFormat="1" x14ac:dyDescent="0.25"/>
    <row r="84878" s="12" customFormat="1" x14ac:dyDescent="0.25"/>
    <row r="84879" s="12" customFormat="1" x14ac:dyDescent="0.25"/>
    <row r="84880" s="12" customFormat="1" x14ac:dyDescent="0.25"/>
    <row r="84881" s="12" customFormat="1" x14ac:dyDescent="0.25"/>
    <row r="84882" s="12" customFormat="1" x14ac:dyDescent="0.25"/>
    <row r="84883" s="12" customFormat="1" x14ac:dyDescent="0.25"/>
    <row r="84884" s="12" customFormat="1" x14ac:dyDescent="0.25"/>
    <row r="84885" s="12" customFormat="1" x14ac:dyDescent="0.25"/>
    <row r="84886" s="12" customFormat="1" x14ac:dyDescent="0.25"/>
    <row r="84887" s="12" customFormat="1" x14ac:dyDescent="0.25"/>
    <row r="84888" s="12" customFormat="1" x14ac:dyDescent="0.25"/>
    <row r="84889" s="12" customFormat="1" x14ac:dyDescent="0.25"/>
    <row r="84890" s="12" customFormat="1" x14ac:dyDescent="0.25"/>
    <row r="84891" s="12" customFormat="1" x14ac:dyDescent="0.25"/>
    <row r="84892" s="12" customFormat="1" x14ac:dyDescent="0.25"/>
    <row r="84893" s="12" customFormat="1" x14ac:dyDescent="0.25"/>
    <row r="84894" s="12" customFormat="1" x14ac:dyDescent="0.25"/>
    <row r="84895" s="12" customFormat="1" x14ac:dyDescent="0.25"/>
    <row r="84896" s="12" customFormat="1" x14ac:dyDescent="0.25"/>
    <row r="84897" s="12" customFormat="1" x14ac:dyDescent="0.25"/>
    <row r="84898" s="12" customFormat="1" x14ac:dyDescent="0.25"/>
    <row r="84899" s="12" customFormat="1" x14ac:dyDescent="0.25"/>
    <row r="84900" s="12" customFormat="1" x14ac:dyDescent="0.25"/>
    <row r="84901" s="12" customFormat="1" x14ac:dyDescent="0.25"/>
    <row r="84902" s="12" customFormat="1" x14ac:dyDescent="0.25"/>
    <row r="84903" s="12" customFormat="1" x14ac:dyDescent="0.25"/>
    <row r="84904" s="12" customFormat="1" x14ac:dyDescent="0.25"/>
    <row r="84905" s="12" customFormat="1" x14ac:dyDescent="0.25"/>
    <row r="84906" s="12" customFormat="1" x14ac:dyDescent="0.25"/>
    <row r="84907" s="12" customFormat="1" x14ac:dyDescent="0.25"/>
    <row r="84908" s="12" customFormat="1" x14ac:dyDescent="0.25"/>
    <row r="84909" s="12" customFormat="1" x14ac:dyDescent="0.25"/>
    <row r="84910" s="12" customFormat="1" x14ac:dyDescent="0.25"/>
    <row r="84911" s="12" customFormat="1" x14ac:dyDescent="0.25"/>
    <row r="84912" s="12" customFormat="1" x14ac:dyDescent="0.25"/>
    <row r="84913" s="12" customFormat="1" x14ac:dyDescent="0.25"/>
    <row r="84914" s="12" customFormat="1" x14ac:dyDescent="0.25"/>
    <row r="84915" s="12" customFormat="1" x14ac:dyDescent="0.25"/>
    <row r="84916" s="12" customFormat="1" x14ac:dyDescent="0.25"/>
    <row r="84917" s="12" customFormat="1" x14ac:dyDescent="0.25"/>
    <row r="84918" s="12" customFormat="1" x14ac:dyDescent="0.25"/>
    <row r="84919" s="12" customFormat="1" x14ac:dyDescent="0.25"/>
    <row r="84920" s="12" customFormat="1" x14ac:dyDescent="0.25"/>
    <row r="84921" s="12" customFormat="1" x14ac:dyDescent="0.25"/>
    <row r="84922" s="12" customFormat="1" x14ac:dyDescent="0.25"/>
    <row r="84923" s="12" customFormat="1" x14ac:dyDescent="0.25"/>
    <row r="84924" s="12" customFormat="1" x14ac:dyDescent="0.25"/>
    <row r="84925" s="12" customFormat="1" x14ac:dyDescent="0.25"/>
    <row r="84926" s="12" customFormat="1" x14ac:dyDescent="0.25"/>
    <row r="84927" s="12" customFormat="1" x14ac:dyDescent="0.25"/>
    <row r="84928" s="12" customFormat="1" x14ac:dyDescent="0.25"/>
    <row r="84929" s="12" customFormat="1" x14ac:dyDescent="0.25"/>
    <row r="84930" s="12" customFormat="1" x14ac:dyDescent="0.25"/>
    <row r="84931" s="12" customFormat="1" x14ac:dyDescent="0.25"/>
    <row r="84932" s="12" customFormat="1" x14ac:dyDescent="0.25"/>
    <row r="84933" s="12" customFormat="1" x14ac:dyDescent="0.25"/>
    <row r="84934" s="12" customFormat="1" x14ac:dyDescent="0.25"/>
    <row r="84935" s="12" customFormat="1" x14ac:dyDescent="0.25"/>
    <row r="84936" s="12" customFormat="1" x14ac:dyDescent="0.25"/>
    <row r="84937" s="12" customFormat="1" x14ac:dyDescent="0.25"/>
    <row r="84938" s="12" customFormat="1" x14ac:dyDescent="0.25"/>
    <row r="84939" s="12" customFormat="1" x14ac:dyDescent="0.25"/>
    <row r="84940" s="12" customFormat="1" x14ac:dyDescent="0.25"/>
    <row r="84941" s="12" customFormat="1" x14ac:dyDescent="0.25"/>
    <row r="84942" s="12" customFormat="1" x14ac:dyDescent="0.25"/>
    <row r="84943" s="12" customFormat="1" x14ac:dyDescent="0.25"/>
    <row r="84944" s="12" customFormat="1" x14ac:dyDescent="0.25"/>
    <row r="84945" s="12" customFormat="1" x14ac:dyDescent="0.25"/>
    <row r="84946" s="12" customFormat="1" x14ac:dyDescent="0.25"/>
    <row r="84947" s="12" customFormat="1" x14ac:dyDescent="0.25"/>
    <row r="84948" s="12" customFormat="1" x14ac:dyDescent="0.25"/>
    <row r="84949" s="12" customFormat="1" x14ac:dyDescent="0.25"/>
    <row r="84950" s="12" customFormat="1" x14ac:dyDescent="0.25"/>
    <row r="84951" s="12" customFormat="1" x14ac:dyDescent="0.25"/>
    <row r="84952" s="12" customFormat="1" x14ac:dyDescent="0.25"/>
    <row r="84953" s="12" customFormat="1" x14ac:dyDescent="0.25"/>
    <row r="84954" s="12" customFormat="1" x14ac:dyDescent="0.25"/>
    <row r="84955" s="12" customFormat="1" x14ac:dyDescent="0.25"/>
    <row r="84956" s="12" customFormat="1" x14ac:dyDescent="0.25"/>
    <row r="84957" s="12" customFormat="1" x14ac:dyDescent="0.25"/>
    <row r="84958" s="12" customFormat="1" x14ac:dyDescent="0.25"/>
    <row r="84959" s="12" customFormat="1" x14ac:dyDescent="0.25"/>
    <row r="84960" s="12" customFormat="1" x14ac:dyDescent="0.25"/>
    <row r="84961" s="12" customFormat="1" x14ac:dyDescent="0.25"/>
    <row r="84962" s="12" customFormat="1" x14ac:dyDescent="0.25"/>
    <row r="84963" s="12" customFormat="1" x14ac:dyDescent="0.25"/>
    <row r="84964" s="12" customFormat="1" x14ac:dyDescent="0.25"/>
    <row r="84965" s="12" customFormat="1" x14ac:dyDescent="0.25"/>
    <row r="84966" s="12" customFormat="1" x14ac:dyDescent="0.25"/>
    <row r="84967" s="12" customFormat="1" x14ac:dyDescent="0.25"/>
    <row r="84968" s="12" customFormat="1" x14ac:dyDescent="0.25"/>
    <row r="84969" s="12" customFormat="1" x14ac:dyDescent="0.25"/>
    <row r="84970" s="12" customFormat="1" x14ac:dyDescent="0.25"/>
    <row r="84971" s="12" customFormat="1" x14ac:dyDescent="0.25"/>
    <row r="84972" s="12" customFormat="1" x14ac:dyDescent="0.25"/>
    <row r="84973" s="12" customFormat="1" x14ac:dyDescent="0.25"/>
    <row r="84974" s="12" customFormat="1" x14ac:dyDescent="0.25"/>
    <row r="84975" s="12" customFormat="1" x14ac:dyDescent="0.25"/>
    <row r="84976" s="12" customFormat="1" x14ac:dyDescent="0.25"/>
    <row r="84977" s="12" customFormat="1" x14ac:dyDescent="0.25"/>
    <row r="84978" s="12" customFormat="1" x14ac:dyDescent="0.25"/>
    <row r="84979" s="12" customFormat="1" x14ac:dyDescent="0.25"/>
    <row r="84980" s="12" customFormat="1" x14ac:dyDescent="0.25"/>
    <row r="84981" s="12" customFormat="1" x14ac:dyDescent="0.25"/>
    <row r="84982" s="12" customFormat="1" x14ac:dyDescent="0.25"/>
    <row r="84983" s="12" customFormat="1" x14ac:dyDescent="0.25"/>
    <row r="84984" s="12" customFormat="1" x14ac:dyDescent="0.25"/>
    <row r="84985" s="12" customFormat="1" x14ac:dyDescent="0.25"/>
    <row r="84986" s="12" customFormat="1" x14ac:dyDescent="0.25"/>
    <row r="84987" s="12" customFormat="1" x14ac:dyDescent="0.25"/>
    <row r="84988" s="12" customFormat="1" x14ac:dyDescent="0.25"/>
    <row r="84989" s="12" customFormat="1" x14ac:dyDescent="0.25"/>
    <row r="84990" s="12" customFormat="1" x14ac:dyDescent="0.25"/>
    <row r="84991" s="12" customFormat="1" x14ac:dyDescent="0.25"/>
    <row r="84992" s="12" customFormat="1" x14ac:dyDescent="0.25"/>
    <row r="84993" s="12" customFormat="1" x14ac:dyDescent="0.25"/>
    <row r="84994" s="12" customFormat="1" x14ac:dyDescent="0.25"/>
    <row r="84995" s="12" customFormat="1" x14ac:dyDescent="0.25"/>
    <row r="84996" s="12" customFormat="1" x14ac:dyDescent="0.25"/>
    <row r="84997" s="12" customFormat="1" x14ac:dyDescent="0.25"/>
    <row r="84998" s="12" customFormat="1" x14ac:dyDescent="0.25"/>
    <row r="84999" s="12" customFormat="1" x14ac:dyDescent="0.25"/>
    <row r="85000" s="12" customFormat="1" x14ac:dyDescent="0.25"/>
    <row r="85001" s="12" customFormat="1" x14ac:dyDescent="0.25"/>
    <row r="85002" s="12" customFormat="1" x14ac:dyDescent="0.25"/>
    <row r="85003" s="12" customFormat="1" x14ac:dyDescent="0.25"/>
    <row r="85004" s="12" customFormat="1" x14ac:dyDescent="0.25"/>
    <row r="85005" s="12" customFormat="1" x14ac:dyDescent="0.25"/>
    <row r="85006" s="12" customFormat="1" x14ac:dyDescent="0.25"/>
    <row r="85007" s="12" customFormat="1" x14ac:dyDescent="0.25"/>
    <row r="85008" s="12" customFormat="1" x14ac:dyDescent="0.25"/>
    <row r="85009" s="12" customFormat="1" x14ac:dyDescent="0.25"/>
    <row r="85010" s="12" customFormat="1" x14ac:dyDescent="0.25"/>
    <row r="85011" s="12" customFormat="1" x14ac:dyDescent="0.25"/>
    <row r="85012" s="12" customFormat="1" x14ac:dyDescent="0.25"/>
    <row r="85013" s="12" customFormat="1" x14ac:dyDescent="0.25"/>
    <row r="85014" s="12" customFormat="1" x14ac:dyDescent="0.25"/>
    <row r="85015" s="12" customFormat="1" x14ac:dyDescent="0.25"/>
    <row r="85016" s="12" customFormat="1" x14ac:dyDescent="0.25"/>
    <row r="85017" s="12" customFormat="1" x14ac:dyDescent="0.25"/>
    <row r="85018" s="12" customFormat="1" x14ac:dyDescent="0.25"/>
    <row r="85019" s="12" customFormat="1" x14ac:dyDescent="0.25"/>
    <row r="85020" s="12" customFormat="1" x14ac:dyDescent="0.25"/>
    <row r="85021" s="12" customFormat="1" x14ac:dyDescent="0.25"/>
    <row r="85022" s="12" customFormat="1" x14ac:dyDescent="0.25"/>
    <row r="85023" s="12" customFormat="1" x14ac:dyDescent="0.25"/>
    <row r="85024" s="12" customFormat="1" x14ac:dyDescent="0.25"/>
    <row r="85025" s="12" customFormat="1" x14ac:dyDescent="0.25"/>
    <row r="85026" s="12" customFormat="1" x14ac:dyDescent="0.25"/>
    <row r="85027" s="12" customFormat="1" x14ac:dyDescent="0.25"/>
    <row r="85028" s="12" customFormat="1" x14ac:dyDescent="0.25"/>
    <row r="85029" s="12" customFormat="1" x14ac:dyDescent="0.25"/>
    <row r="85030" s="12" customFormat="1" x14ac:dyDescent="0.25"/>
    <row r="85031" s="12" customFormat="1" x14ac:dyDescent="0.25"/>
    <row r="85032" s="12" customFormat="1" x14ac:dyDescent="0.25"/>
    <row r="85033" s="12" customFormat="1" x14ac:dyDescent="0.25"/>
    <row r="85034" s="12" customFormat="1" x14ac:dyDescent="0.25"/>
    <row r="85035" s="12" customFormat="1" x14ac:dyDescent="0.25"/>
    <row r="85036" s="12" customFormat="1" x14ac:dyDescent="0.25"/>
    <row r="85037" s="12" customFormat="1" x14ac:dyDescent="0.25"/>
    <row r="85038" s="12" customFormat="1" x14ac:dyDescent="0.25"/>
    <row r="85039" s="12" customFormat="1" x14ac:dyDescent="0.25"/>
    <row r="85040" s="12" customFormat="1" x14ac:dyDescent="0.25"/>
    <row r="85041" s="12" customFormat="1" x14ac:dyDescent="0.25"/>
    <row r="85042" s="12" customFormat="1" x14ac:dyDescent="0.25"/>
    <row r="85043" s="12" customFormat="1" x14ac:dyDescent="0.25"/>
    <row r="85044" s="12" customFormat="1" x14ac:dyDescent="0.25"/>
    <row r="85045" s="12" customFormat="1" x14ac:dyDescent="0.25"/>
    <row r="85046" s="12" customFormat="1" x14ac:dyDescent="0.25"/>
    <row r="85047" s="12" customFormat="1" x14ac:dyDescent="0.25"/>
    <row r="85048" s="12" customFormat="1" x14ac:dyDescent="0.25"/>
    <row r="85049" s="12" customFormat="1" x14ac:dyDescent="0.25"/>
    <row r="85050" s="12" customFormat="1" x14ac:dyDescent="0.25"/>
    <row r="85051" s="12" customFormat="1" x14ac:dyDescent="0.25"/>
    <row r="85052" s="12" customFormat="1" x14ac:dyDescent="0.25"/>
    <row r="85053" s="12" customFormat="1" x14ac:dyDescent="0.25"/>
    <row r="85054" s="12" customFormat="1" x14ac:dyDescent="0.25"/>
    <row r="85055" s="12" customFormat="1" x14ac:dyDescent="0.25"/>
    <row r="85056" s="12" customFormat="1" x14ac:dyDescent="0.25"/>
    <row r="85057" s="12" customFormat="1" x14ac:dyDescent="0.25"/>
    <row r="85058" s="12" customFormat="1" x14ac:dyDescent="0.25"/>
    <row r="85059" s="12" customFormat="1" x14ac:dyDescent="0.25"/>
    <row r="85060" s="12" customFormat="1" x14ac:dyDescent="0.25"/>
    <row r="85061" s="12" customFormat="1" x14ac:dyDescent="0.25"/>
    <row r="85062" s="12" customFormat="1" x14ac:dyDescent="0.25"/>
    <row r="85063" s="12" customFormat="1" x14ac:dyDescent="0.25"/>
    <row r="85064" s="12" customFormat="1" x14ac:dyDescent="0.25"/>
    <row r="85065" s="12" customFormat="1" x14ac:dyDescent="0.25"/>
    <row r="85066" s="12" customFormat="1" x14ac:dyDescent="0.25"/>
    <row r="85067" s="12" customFormat="1" x14ac:dyDescent="0.25"/>
    <row r="85068" s="12" customFormat="1" x14ac:dyDescent="0.25"/>
    <row r="85069" s="12" customFormat="1" x14ac:dyDescent="0.25"/>
    <row r="85070" s="12" customFormat="1" x14ac:dyDescent="0.25"/>
    <row r="85071" s="12" customFormat="1" x14ac:dyDescent="0.25"/>
    <row r="85072" s="12" customFormat="1" x14ac:dyDescent="0.25"/>
    <row r="85073" s="12" customFormat="1" x14ac:dyDescent="0.25"/>
    <row r="85074" s="12" customFormat="1" x14ac:dyDescent="0.25"/>
    <row r="85075" s="12" customFormat="1" x14ac:dyDescent="0.25"/>
    <row r="85076" s="12" customFormat="1" x14ac:dyDescent="0.25"/>
    <row r="85077" s="12" customFormat="1" x14ac:dyDescent="0.25"/>
    <row r="85078" s="12" customFormat="1" x14ac:dyDescent="0.25"/>
    <row r="85079" s="12" customFormat="1" x14ac:dyDescent="0.25"/>
    <row r="85080" s="12" customFormat="1" x14ac:dyDescent="0.25"/>
    <row r="85081" s="12" customFormat="1" x14ac:dyDescent="0.25"/>
    <row r="85082" s="12" customFormat="1" x14ac:dyDescent="0.25"/>
    <row r="85083" s="12" customFormat="1" x14ac:dyDescent="0.25"/>
    <row r="85084" s="12" customFormat="1" x14ac:dyDescent="0.25"/>
    <row r="85085" s="12" customFormat="1" x14ac:dyDescent="0.25"/>
    <row r="85086" s="12" customFormat="1" x14ac:dyDescent="0.25"/>
    <row r="85087" s="12" customFormat="1" x14ac:dyDescent="0.25"/>
    <row r="85088" s="12" customFormat="1" x14ac:dyDescent="0.25"/>
    <row r="85089" s="12" customFormat="1" x14ac:dyDescent="0.25"/>
    <row r="85090" s="12" customFormat="1" x14ac:dyDescent="0.25"/>
    <row r="85091" s="12" customFormat="1" x14ac:dyDescent="0.25"/>
    <row r="85092" s="12" customFormat="1" x14ac:dyDescent="0.25"/>
    <row r="85093" s="12" customFormat="1" x14ac:dyDescent="0.25"/>
    <row r="85094" s="12" customFormat="1" x14ac:dyDescent="0.25"/>
    <row r="85095" s="12" customFormat="1" x14ac:dyDescent="0.25"/>
    <row r="85096" s="12" customFormat="1" x14ac:dyDescent="0.25"/>
    <row r="85097" s="12" customFormat="1" x14ac:dyDescent="0.25"/>
    <row r="85098" s="12" customFormat="1" x14ac:dyDescent="0.25"/>
    <row r="85099" s="12" customFormat="1" x14ac:dyDescent="0.25"/>
    <row r="85100" s="12" customFormat="1" x14ac:dyDescent="0.25"/>
    <row r="85101" s="12" customFormat="1" x14ac:dyDescent="0.25"/>
    <row r="85102" s="12" customFormat="1" x14ac:dyDescent="0.25"/>
    <row r="85103" s="12" customFormat="1" x14ac:dyDescent="0.25"/>
    <row r="85104" s="12" customFormat="1" x14ac:dyDescent="0.25"/>
    <row r="85105" s="12" customFormat="1" x14ac:dyDescent="0.25"/>
    <row r="85106" s="12" customFormat="1" x14ac:dyDescent="0.25"/>
    <row r="85107" s="12" customFormat="1" x14ac:dyDescent="0.25"/>
    <row r="85108" s="12" customFormat="1" x14ac:dyDescent="0.25"/>
    <row r="85109" s="12" customFormat="1" x14ac:dyDescent="0.25"/>
    <row r="85110" s="12" customFormat="1" x14ac:dyDescent="0.25"/>
    <row r="85111" s="12" customFormat="1" x14ac:dyDescent="0.25"/>
    <row r="85112" s="12" customFormat="1" x14ac:dyDescent="0.25"/>
    <row r="85113" s="12" customFormat="1" x14ac:dyDescent="0.25"/>
    <row r="85114" s="12" customFormat="1" x14ac:dyDescent="0.25"/>
    <row r="85115" s="12" customFormat="1" x14ac:dyDescent="0.25"/>
    <row r="85116" s="12" customFormat="1" x14ac:dyDescent="0.25"/>
    <row r="85117" s="12" customFormat="1" x14ac:dyDescent="0.25"/>
    <row r="85118" s="12" customFormat="1" x14ac:dyDescent="0.25"/>
    <row r="85119" s="12" customFormat="1" x14ac:dyDescent="0.25"/>
    <row r="85120" s="12" customFormat="1" x14ac:dyDescent="0.25"/>
    <row r="85121" s="12" customFormat="1" x14ac:dyDescent="0.25"/>
    <row r="85122" s="12" customFormat="1" x14ac:dyDescent="0.25"/>
    <row r="85123" s="12" customFormat="1" x14ac:dyDescent="0.25"/>
    <row r="85124" s="12" customFormat="1" x14ac:dyDescent="0.25"/>
    <row r="85125" s="12" customFormat="1" x14ac:dyDescent="0.25"/>
    <row r="85126" s="12" customFormat="1" x14ac:dyDescent="0.25"/>
    <row r="85127" s="12" customFormat="1" x14ac:dyDescent="0.25"/>
    <row r="85128" s="12" customFormat="1" x14ac:dyDescent="0.25"/>
    <row r="85129" s="12" customFormat="1" x14ac:dyDescent="0.25"/>
    <row r="85130" s="12" customFormat="1" x14ac:dyDescent="0.25"/>
    <row r="85131" s="12" customFormat="1" x14ac:dyDescent="0.25"/>
    <row r="85132" s="12" customFormat="1" x14ac:dyDescent="0.25"/>
    <row r="85133" s="12" customFormat="1" x14ac:dyDescent="0.25"/>
    <row r="85134" s="12" customFormat="1" x14ac:dyDescent="0.25"/>
    <row r="85135" s="12" customFormat="1" x14ac:dyDescent="0.25"/>
    <row r="85136" s="12" customFormat="1" x14ac:dyDescent="0.25"/>
    <row r="85137" s="12" customFormat="1" x14ac:dyDescent="0.25"/>
    <row r="85138" s="12" customFormat="1" x14ac:dyDescent="0.25"/>
    <row r="85139" s="12" customFormat="1" x14ac:dyDescent="0.25"/>
    <row r="85140" s="12" customFormat="1" x14ac:dyDescent="0.25"/>
    <row r="85141" s="12" customFormat="1" x14ac:dyDescent="0.25"/>
    <row r="85142" s="12" customFormat="1" x14ac:dyDescent="0.25"/>
    <row r="85143" s="12" customFormat="1" x14ac:dyDescent="0.25"/>
    <row r="85144" s="12" customFormat="1" x14ac:dyDescent="0.25"/>
    <row r="85145" s="12" customFormat="1" x14ac:dyDescent="0.25"/>
    <row r="85146" s="12" customFormat="1" x14ac:dyDescent="0.25"/>
    <row r="85147" s="12" customFormat="1" x14ac:dyDescent="0.25"/>
    <row r="85148" s="12" customFormat="1" x14ac:dyDescent="0.25"/>
    <row r="85149" s="12" customFormat="1" x14ac:dyDescent="0.25"/>
    <row r="85150" s="12" customFormat="1" x14ac:dyDescent="0.25"/>
    <row r="85151" s="12" customFormat="1" x14ac:dyDescent="0.25"/>
    <row r="85152" s="12" customFormat="1" x14ac:dyDescent="0.25"/>
    <row r="85153" s="12" customFormat="1" x14ac:dyDescent="0.25"/>
    <row r="85154" s="12" customFormat="1" x14ac:dyDescent="0.25"/>
    <row r="85155" s="12" customFormat="1" x14ac:dyDescent="0.25"/>
    <row r="85156" s="12" customFormat="1" x14ac:dyDescent="0.25"/>
    <row r="85157" s="12" customFormat="1" x14ac:dyDescent="0.25"/>
    <row r="85158" s="12" customFormat="1" x14ac:dyDescent="0.25"/>
    <row r="85159" s="12" customFormat="1" x14ac:dyDescent="0.25"/>
    <row r="85160" s="12" customFormat="1" x14ac:dyDescent="0.25"/>
    <row r="85161" s="12" customFormat="1" x14ac:dyDescent="0.25"/>
    <row r="85162" s="12" customFormat="1" x14ac:dyDescent="0.25"/>
    <row r="85163" s="12" customFormat="1" x14ac:dyDescent="0.25"/>
    <row r="85164" s="12" customFormat="1" x14ac:dyDescent="0.25"/>
    <row r="85165" s="12" customFormat="1" x14ac:dyDescent="0.25"/>
    <row r="85166" s="12" customFormat="1" x14ac:dyDescent="0.25"/>
    <row r="85167" s="12" customFormat="1" x14ac:dyDescent="0.25"/>
    <row r="85168" s="12" customFormat="1" x14ac:dyDescent="0.25"/>
    <row r="85169" s="12" customFormat="1" x14ac:dyDescent="0.25"/>
    <row r="85170" s="12" customFormat="1" x14ac:dyDescent="0.25"/>
    <row r="85171" s="12" customFormat="1" x14ac:dyDescent="0.25"/>
    <row r="85172" s="12" customFormat="1" x14ac:dyDescent="0.25"/>
    <row r="85173" s="12" customFormat="1" x14ac:dyDescent="0.25"/>
    <row r="85174" s="12" customFormat="1" x14ac:dyDescent="0.25"/>
    <row r="85175" s="12" customFormat="1" x14ac:dyDescent="0.25"/>
    <row r="85176" s="12" customFormat="1" x14ac:dyDescent="0.25"/>
    <row r="85177" s="12" customFormat="1" x14ac:dyDescent="0.25"/>
    <row r="85178" s="12" customFormat="1" x14ac:dyDescent="0.25"/>
    <row r="85179" s="12" customFormat="1" x14ac:dyDescent="0.25"/>
    <row r="85180" s="12" customFormat="1" x14ac:dyDescent="0.25"/>
    <row r="85181" s="12" customFormat="1" x14ac:dyDescent="0.25"/>
    <row r="85182" s="12" customFormat="1" x14ac:dyDescent="0.25"/>
    <row r="85183" s="12" customFormat="1" x14ac:dyDescent="0.25"/>
    <row r="85184" s="12" customFormat="1" x14ac:dyDescent="0.25"/>
    <row r="85185" s="12" customFormat="1" x14ac:dyDescent="0.25"/>
    <row r="85186" s="12" customFormat="1" x14ac:dyDescent="0.25"/>
    <row r="85187" s="12" customFormat="1" x14ac:dyDescent="0.25"/>
    <row r="85188" s="12" customFormat="1" x14ac:dyDescent="0.25"/>
    <row r="85189" s="12" customFormat="1" x14ac:dyDescent="0.25"/>
    <row r="85190" s="12" customFormat="1" x14ac:dyDescent="0.25"/>
    <row r="85191" s="12" customFormat="1" x14ac:dyDescent="0.25"/>
    <row r="85192" s="12" customFormat="1" x14ac:dyDescent="0.25"/>
    <row r="85193" s="12" customFormat="1" x14ac:dyDescent="0.25"/>
    <row r="85194" s="12" customFormat="1" x14ac:dyDescent="0.25"/>
    <row r="85195" s="12" customFormat="1" x14ac:dyDescent="0.25"/>
    <row r="85196" s="12" customFormat="1" x14ac:dyDescent="0.25"/>
    <row r="85197" s="12" customFormat="1" x14ac:dyDescent="0.25"/>
    <row r="85198" s="12" customFormat="1" x14ac:dyDescent="0.25"/>
    <row r="85199" s="12" customFormat="1" x14ac:dyDescent="0.25"/>
    <row r="85200" s="12" customFormat="1" x14ac:dyDescent="0.25"/>
    <row r="85201" s="12" customFormat="1" x14ac:dyDescent="0.25"/>
    <row r="85202" s="12" customFormat="1" x14ac:dyDescent="0.25"/>
    <row r="85203" s="12" customFormat="1" x14ac:dyDescent="0.25"/>
    <row r="85204" s="12" customFormat="1" x14ac:dyDescent="0.25"/>
    <row r="85205" s="12" customFormat="1" x14ac:dyDescent="0.25"/>
    <row r="85206" s="12" customFormat="1" x14ac:dyDescent="0.25"/>
    <row r="85207" s="12" customFormat="1" x14ac:dyDescent="0.25"/>
    <row r="85208" s="12" customFormat="1" x14ac:dyDescent="0.25"/>
    <row r="85209" s="12" customFormat="1" x14ac:dyDescent="0.25"/>
    <row r="85210" s="12" customFormat="1" x14ac:dyDescent="0.25"/>
    <row r="85211" s="12" customFormat="1" x14ac:dyDescent="0.25"/>
    <row r="85212" s="12" customFormat="1" x14ac:dyDescent="0.25"/>
    <row r="85213" s="12" customFormat="1" x14ac:dyDescent="0.25"/>
    <row r="85214" s="12" customFormat="1" x14ac:dyDescent="0.25"/>
    <row r="85215" s="12" customFormat="1" x14ac:dyDescent="0.25"/>
    <row r="85216" s="12" customFormat="1" x14ac:dyDescent="0.25"/>
    <row r="85217" s="12" customFormat="1" x14ac:dyDescent="0.25"/>
    <row r="85218" s="12" customFormat="1" x14ac:dyDescent="0.25"/>
    <row r="85219" s="12" customFormat="1" x14ac:dyDescent="0.25"/>
    <row r="85220" s="12" customFormat="1" x14ac:dyDescent="0.25"/>
    <row r="85221" s="12" customFormat="1" x14ac:dyDescent="0.25"/>
    <row r="85222" s="12" customFormat="1" x14ac:dyDescent="0.25"/>
    <row r="85223" s="12" customFormat="1" x14ac:dyDescent="0.25"/>
    <row r="85224" s="12" customFormat="1" x14ac:dyDescent="0.25"/>
    <row r="85225" s="12" customFormat="1" x14ac:dyDescent="0.25"/>
    <row r="85226" s="12" customFormat="1" x14ac:dyDescent="0.25"/>
    <row r="85227" s="12" customFormat="1" x14ac:dyDescent="0.25"/>
    <row r="85228" s="12" customFormat="1" x14ac:dyDescent="0.25"/>
    <row r="85229" s="12" customFormat="1" x14ac:dyDescent="0.25"/>
    <row r="85230" s="12" customFormat="1" x14ac:dyDescent="0.25"/>
    <row r="85231" s="12" customFormat="1" x14ac:dyDescent="0.25"/>
    <row r="85232" s="12" customFormat="1" x14ac:dyDescent="0.25"/>
    <row r="85233" s="12" customFormat="1" x14ac:dyDescent="0.25"/>
    <row r="85234" s="12" customFormat="1" x14ac:dyDescent="0.25"/>
    <row r="85235" s="12" customFormat="1" x14ac:dyDescent="0.25"/>
    <row r="85236" s="12" customFormat="1" x14ac:dyDescent="0.25"/>
    <row r="85237" s="12" customFormat="1" x14ac:dyDescent="0.25"/>
    <row r="85238" s="12" customFormat="1" x14ac:dyDescent="0.25"/>
    <row r="85239" s="12" customFormat="1" x14ac:dyDescent="0.25"/>
    <row r="85240" s="12" customFormat="1" x14ac:dyDescent="0.25"/>
    <row r="85241" s="12" customFormat="1" x14ac:dyDescent="0.25"/>
    <row r="85242" s="12" customFormat="1" x14ac:dyDescent="0.25"/>
    <row r="85243" s="12" customFormat="1" x14ac:dyDescent="0.25"/>
    <row r="85244" s="12" customFormat="1" x14ac:dyDescent="0.25"/>
    <row r="85245" s="12" customFormat="1" x14ac:dyDescent="0.25"/>
    <row r="85246" s="12" customFormat="1" x14ac:dyDescent="0.25"/>
    <row r="85247" s="12" customFormat="1" x14ac:dyDescent="0.25"/>
    <row r="85248" s="12" customFormat="1" x14ac:dyDescent="0.25"/>
    <row r="85249" s="12" customFormat="1" x14ac:dyDescent="0.25"/>
    <row r="85250" s="12" customFormat="1" x14ac:dyDescent="0.25"/>
    <row r="85251" s="12" customFormat="1" x14ac:dyDescent="0.25"/>
    <row r="85252" s="12" customFormat="1" x14ac:dyDescent="0.25"/>
    <row r="85253" s="12" customFormat="1" x14ac:dyDescent="0.25"/>
    <row r="85254" s="12" customFormat="1" x14ac:dyDescent="0.25"/>
    <row r="85255" s="12" customFormat="1" x14ac:dyDescent="0.25"/>
    <row r="85256" s="12" customFormat="1" x14ac:dyDescent="0.25"/>
    <row r="85257" s="12" customFormat="1" x14ac:dyDescent="0.25"/>
    <row r="85258" s="12" customFormat="1" x14ac:dyDescent="0.25"/>
    <row r="85259" s="12" customFormat="1" x14ac:dyDescent="0.25"/>
    <row r="85260" s="12" customFormat="1" x14ac:dyDescent="0.25"/>
    <row r="85261" s="12" customFormat="1" x14ac:dyDescent="0.25"/>
    <row r="85262" s="12" customFormat="1" x14ac:dyDescent="0.25"/>
    <row r="85263" s="12" customFormat="1" x14ac:dyDescent="0.25"/>
    <row r="85264" s="12" customFormat="1" x14ac:dyDescent="0.25"/>
    <row r="85265" s="12" customFormat="1" x14ac:dyDescent="0.25"/>
    <row r="85266" s="12" customFormat="1" x14ac:dyDescent="0.25"/>
    <row r="85267" s="12" customFormat="1" x14ac:dyDescent="0.25"/>
    <row r="85268" s="12" customFormat="1" x14ac:dyDescent="0.25"/>
    <row r="85269" s="12" customFormat="1" x14ac:dyDescent="0.25"/>
    <row r="85270" s="12" customFormat="1" x14ac:dyDescent="0.25"/>
    <row r="85271" s="12" customFormat="1" x14ac:dyDescent="0.25"/>
    <row r="85272" s="12" customFormat="1" x14ac:dyDescent="0.25"/>
    <row r="85273" s="12" customFormat="1" x14ac:dyDescent="0.25"/>
    <row r="85274" s="12" customFormat="1" x14ac:dyDescent="0.25"/>
    <row r="85275" s="12" customFormat="1" x14ac:dyDescent="0.25"/>
    <row r="85276" s="12" customFormat="1" x14ac:dyDescent="0.25"/>
    <row r="85277" s="12" customFormat="1" x14ac:dyDescent="0.25"/>
    <row r="85278" s="12" customFormat="1" x14ac:dyDescent="0.25"/>
    <row r="85279" s="12" customFormat="1" x14ac:dyDescent="0.25"/>
    <row r="85280" s="12" customFormat="1" x14ac:dyDescent="0.25"/>
    <row r="85281" s="12" customFormat="1" x14ac:dyDescent="0.25"/>
    <row r="85282" s="12" customFormat="1" x14ac:dyDescent="0.25"/>
    <row r="85283" s="12" customFormat="1" x14ac:dyDescent="0.25"/>
    <row r="85284" s="12" customFormat="1" x14ac:dyDescent="0.25"/>
    <row r="85285" s="12" customFormat="1" x14ac:dyDescent="0.25"/>
    <row r="85286" s="12" customFormat="1" x14ac:dyDescent="0.25"/>
    <row r="85287" s="12" customFormat="1" x14ac:dyDescent="0.25"/>
    <row r="85288" s="12" customFormat="1" x14ac:dyDescent="0.25"/>
    <row r="85289" s="12" customFormat="1" x14ac:dyDescent="0.25"/>
    <row r="85290" s="12" customFormat="1" x14ac:dyDescent="0.25"/>
    <row r="85291" s="12" customFormat="1" x14ac:dyDescent="0.25"/>
    <row r="85292" s="12" customFormat="1" x14ac:dyDescent="0.25"/>
    <row r="85293" s="12" customFormat="1" x14ac:dyDescent="0.25"/>
    <row r="85294" s="12" customFormat="1" x14ac:dyDescent="0.25"/>
    <row r="85295" s="12" customFormat="1" x14ac:dyDescent="0.25"/>
    <row r="85296" s="12" customFormat="1" x14ac:dyDescent="0.25"/>
    <row r="85297" s="12" customFormat="1" x14ac:dyDescent="0.25"/>
    <row r="85298" s="12" customFormat="1" x14ac:dyDescent="0.25"/>
    <row r="85299" s="12" customFormat="1" x14ac:dyDescent="0.25"/>
    <row r="85300" s="12" customFormat="1" x14ac:dyDescent="0.25"/>
    <row r="85301" s="12" customFormat="1" x14ac:dyDescent="0.25"/>
    <row r="85302" s="12" customFormat="1" x14ac:dyDescent="0.25"/>
    <row r="85303" s="12" customFormat="1" x14ac:dyDescent="0.25"/>
    <row r="85304" s="12" customFormat="1" x14ac:dyDescent="0.25"/>
    <row r="85305" s="12" customFormat="1" x14ac:dyDescent="0.25"/>
    <row r="85306" s="12" customFormat="1" x14ac:dyDescent="0.25"/>
    <row r="85307" s="12" customFormat="1" x14ac:dyDescent="0.25"/>
    <row r="85308" s="12" customFormat="1" x14ac:dyDescent="0.25"/>
    <row r="85309" s="12" customFormat="1" x14ac:dyDescent="0.25"/>
    <row r="85310" s="12" customFormat="1" x14ac:dyDescent="0.25"/>
    <row r="85311" s="12" customFormat="1" x14ac:dyDescent="0.25"/>
    <row r="85312" s="12" customFormat="1" x14ac:dyDescent="0.25"/>
    <row r="85313" s="12" customFormat="1" x14ac:dyDescent="0.25"/>
    <row r="85314" s="12" customFormat="1" x14ac:dyDescent="0.25"/>
    <row r="85315" s="12" customFormat="1" x14ac:dyDescent="0.25"/>
    <row r="85316" s="12" customFormat="1" x14ac:dyDescent="0.25"/>
    <row r="85317" s="12" customFormat="1" x14ac:dyDescent="0.25"/>
    <row r="85318" s="12" customFormat="1" x14ac:dyDescent="0.25"/>
    <row r="85319" s="12" customFormat="1" x14ac:dyDescent="0.25"/>
    <row r="85320" s="12" customFormat="1" x14ac:dyDescent="0.25"/>
    <row r="85321" s="12" customFormat="1" x14ac:dyDescent="0.25"/>
    <row r="85322" s="12" customFormat="1" x14ac:dyDescent="0.25"/>
    <row r="85323" s="12" customFormat="1" x14ac:dyDescent="0.25"/>
    <row r="85324" s="12" customFormat="1" x14ac:dyDescent="0.25"/>
    <row r="85325" s="12" customFormat="1" x14ac:dyDescent="0.25"/>
    <row r="85326" s="12" customFormat="1" x14ac:dyDescent="0.25"/>
    <row r="85327" s="12" customFormat="1" x14ac:dyDescent="0.25"/>
    <row r="85328" s="12" customFormat="1" x14ac:dyDescent="0.25"/>
    <row r="85329" s="12" customFormat="1" x14ac:dyDescent="0.25"/>
    <row r="85330" s="12" customFormat="1" x14ac:dyDescent="0.25"/>
    <row r="85331" s="12" customFormat="1" x14ac:dyDescent="0.25"/>
    <row r="85332" s="12" customFormat="1" x14ac:dyDescent="0.25"/>
    <row r="85333" s="12" customFormat="1" x14ac:dyDescent="0.25"/>
    <row r="85334" s="12" customFormat="1" x14ac:dyDescent="0.25"/>
    <row r="85335" s="12" customFormat="1" x14ac:dyDescent="0.25"/>
    <row r="85336" s="12" customFormat="1" x14ac:dyDescent="0.25"/>
    <row r="85337" s="12" customFormat="1" x14ac:dyDescent="0.25"/>
    <row r="85338" s="12" customFormat="1" x14ac:dyDescent="0.25"/>
    <row r="85339" s="12" customFormat="1" x14ac:dyDescent="0.25"/>
    <row r="85340" s="12" customFormat="1" x14ac:dyDescent="0.25"/>
    <row r="85341" s="12" customFormat="1" x14ac:dyDescent="0.25"/>
    <row r="85342" s="12" customFormat="1" x14ac:dyDescent="0.25"/>
    <row r="85343" s="12" customFormat="1" x14ac:dyDescent="0.25"/>
    <row r="85344" s="12" customFormat="1" x14ac:dyDescent="0.25"/>
    <row r="85345" s="12" customFormat="1" x14ac:dyDescent="0.25"/>
    <row r="85346" s="12" customFormat="1" x14ac:dyDescent="0.25"/>
    <row r="85347" s="12" customFormat="1" x14ac:dyDescent="0.25"/>
    <row r="85348" s="12" customFormat="1" x14ac:dyDescent="0.25"/>
    <row r="85349" s="12" customFormat="1" x14ac:dyDescent="0.25"/>
    <row r="85350" s="12" customFormat="1" x14ac:dyDescent="0.25"/>
    <row r="85351" s="12" customFormat="1" x14ac:dyDescent="0.25"/>
    <row r="85352" s="12" customFormat="1" x14ac:dyDescent="0.25"/>
    <row r="85353" s="12" customFormat="1" x14ac:dyDescent="0.25"/>
    <row r="85354" s="12" customFormat="1" x14ac:dyDescent="0.25"/>
    <row r="85355" s="12" customFormat="1" x14ac:dyDescent="0.25"/>
    <row r="85356" s="12" customFormat="1" x14ac:dyDescent="0.25"/>
    <row r="85357" s="12" customFormat="1" x14ac:dyDescent="0.25"/>
    <row r="85358" s="12" customFormat="1" x14ac:dyDescent="0.25"/>
    <row r="85359" s="12" customFormat="1" x14ac:dyDescent="0.25"/>
    <row r="85360" s="12" customFormat="1" x14ac:dyDescent="0.25"/>
    <row r="85361" s="12" customFormat="1" x14ac:dyDescent="0.25"/>
    <row r="85362" s="12" customFormat="1" x14ac:dyDescent="0.25"/>
    <row r="85363" s="12" customFormat="1" x14ac:dyDescent="0.25"/>
    <row r="85364" s="12" customFormat="1" x14ac:dyDescent="0.25"/>
    <row r="85365" s="12" customFormat="1" x14ac:dyDescent="0.25"/>
    <row r="85366" s="12" customFormat="1" x14ac:dyDescent="0.25"/>
    <row r="85367" s="12" customFormat="1" x14ac:dyDescent="0.25"/>
    <row r="85368" s="12" customFormat="1" x14ac:dyDescent="0.25"/>
    <row r="85369" s="12" customFormat="1" x14ac:dyDescent="0.25"/>
    <row r="85370" s="12" customFormat="1" x14ac:dyDescent="0.25"/>
    <row r="85371" s="12" customFormat="1" x14ac:dyDescent="0.25"/>
    <row r="85372" s="12" customFormat="1" x14ac:dyDescent="0.25"/>
    <row r="85373" s="12" customFormat="1" x14ac:dyDescent="0.25"/>
    <row r="85374" s="12" customFormat="1" x14ac:dyDescent="0.25"/>
    <row r="85375" s="12" customFormat="1" x14ac:dyDescent="0.25"/>
    <row r="85376" s="12" customFormat="1" x14ac:dyDescent="0.25"/>
    <row r="85377" s="12" customFormat="1" x14ac:dyDescent="0.25"/>
    <row r="85378" s="12" customFormat="1" x14ac:dyDescent="0.25"/>
    <row r="85379" s="12" customFormat="1" x14ac:dyDescent="0.25"/>
    <row r="85380" s="12" customFormat="1" x14ac:dyDescent="0.25"/>
    <row r="85381" s="12" customFormat="1" x14ac:dyDescent="0.25"/>
    <row r="85382" s="12" customFormat="1" x14ac:dyDescent="0.25"/>
    <row r="85383" s="12" customFormat="1" x14ac:dyDescent="0.25"/>
    <row r="85384" s="12" customFormat="1" x14ac:dyDescent="0.25"/>
    <row r="85385" s="12" customFormat="1" x14ac:dyDescent="0.25"/>
    <row r="85386" s="12" customFormat="1" x14ac:dyDescent="0.25"/>
    <row r="85387" s="12" customFormat="1" x14ac:dyDescent="0.25"/>
    <row r="85388" s="12" customFormat="1" x14ac:dyDescent="0.25"/>
    <row r="85389" s="12" customFormat="1" x14ac:dyDescent="0.25"/>
    <row r="85390" s="12" customFormat="1" x14ac:dyDescent="0.25"/>
    <row r="85391" s="12" customFormat="1" x14ac:dyDescent="0.25"/>
    <row r="85392" s="12" customFormat="1" x14ac:dyDescent="0.25"/>
    <row r="85393" s="12" customFormat="1" x14ac:dyDescent="0.25"/>
    <row r="85394" s="12" customFormat="1" x14ac:dyDescent="0.25"/>
    <row r="85395" s="12" customFormat="1" x14ac:dyDescent="0.25"/>
    <row r="85396" s="12" customFormat="1" x14ac:dyDescent="0.25"/>
    <row r="85397" s="12" customFormat="1" x14ac:dyDescent="0.25"/>
    <row r="85398" s="12" customFormat="1" x14ac:dyDescent="0.25"/>
    <row r="85399" s="12" customFormat="1" x14ac:dyDescent="0.25"/>
    <row r="85400" s="12" customFormat="1" x14ac:dyDescent="0.25"/>
    <row r="85401" s="12" customFormat="1" x14ac:dyDescent="0.25"/>
    <row r="85402" s="12" customFormat="1" x14ac:dyDescent="0.25"/>
    <row r="85403" s="12" customFormat="1" x14ac:dyDescent="0.25"/>
    <row r="85404" s="12" customFormat="1" x14ac:dyDescent="0.25"/>
    <row r="85405" s="12" customFormat="1" x14ac:dyDescent="0.25"/>
    <row r="85406" s="12" customFormat="1" x14ac:dyDescent="0.25"/>
    <row r="85407" s="12" customFormat="1" x14ac:dyDescent="0.25"/>
    <row r="85408" s="12" customFormat="1" x14ac:dyDescent="0.25"/>
    <row r="85409" s="12" customFormat="1" x14ac:dyDescent="0.25"/>
    <row r="85410" s="12" customFormat="1" x14ac:dyDescent="0.25"/>
    <row r="85411" s="12" customFormat="1" x14ac:dyDescent="0.25"/>
    <row r="85412" s="12" customFormat="1" x14ac:dyDescent="0.25"/>
    <row r="85413" s="12" customFormat="1" x14ac:dyDescent="0.25"/>
    <row r="85414" s="12" customFormat="1" x14ac:dyDescent="0.25"/>
    <row r="85415" s="12" customFormat="1" x14ac:dyDescent="0.25"/>
    <row r="85416" s="12" customFormat="1" x14ac:dyDescent="0.25"/>
    <row r="85417" s="12" customFormat="1" x14ac:dyDescent="0.25"/>
    <row r="85418" s="12" customFormat="1" x14ac:dyDescent="0.25"/>
    <row r="85419" s="12" customFormat="1" x14ac:dyDescent="0.25"/>
    <row r="85420" s="12" customFormat="1" x14ac:dyDescent="0.25"/>
    <row r="85421" s="12" customFormat="1" x14ac:dyDescent="0.25"/>
    <row r="85422" s="12" customFormat="1" x14ac:dyDescent="0.25"/>
    <row r="85423" s="12" customFormat="1" x14ac:dyDescent="0.25"/>
    <row r="85424" s="12" customFormat="1" x14ac:dyDescent="0.25"/>
    <row r="85425" s="12" customFormat="1" x14ac:dyDescent="0.25"/>
    <row r="85426" s="12" customFormat="1" x14ac:dyDescent="0.25"/>
    <row r="85427" s="12" customFormat="1" x14ac:dyDescent="0.25"/>
    <row r="85428" s="12" customFormat="1" x14ac:dyDescent="0.25"/>
    <row r="85429" s="12" customFormat="1" x14ac:dyDescent="0.25"/>
    <row r="85430" s="12" customFormat="1" x14ac:dyDescent="0.25"/>
    <row r="85431" s="12" customFormat="1" x14ac:dyDescent="0.25"/>
    <row r="85432" s="12" customFormat="1" x14ac:dyDescent="0.25"/>
    <row r="85433" s="12" customFormat="1" x14ac:dyDescent="0.25"/>
    <row r="85434" s="12" customFormat="1" x14ac:dyDescent="0.25"/>
    <row r="85435" s="12" customFormat="1" x14ac:dyDescent="0.25"/>
    <row r="85436" s="12" customFormat="1" x14ac:dyDescent="0.25"/>
    <row r="85437" s="12" customFormat="1" x14ac:dyDescent="0.25"/>
    <row r="85438" s="12" customFormat="1" x14ac:dyDescent="0.25"/>
    <row r="85439" s="12" customFormat="1" x14ac:dyDescent="0.25"/>
    <row r="85440" s="12" customFormat="1" x14ac:dyDescent="0.25"/>
    <row r="85441" s="12" customFormat="1" x14ac:dyDescent="0.25"/>
    <row r="85442" s="12" customFormat="1" x14ac:dyDescent="0.25"/>
    <row r="85443" s="12" customFormat="1" x14ac:dyDescent="0.25"/>
    <row r="85444" s="12" customFormat="1" x14ac:dyDescent="0.25"/>
    <row r="85445" s="12" customFormat="1" x14ac:dyDescent="0.25"/>
    <row r="85446" s="12" customFormat="1" x14ac:dyDescent="0.25"/>
    <row r="85447" s="12" customFormat="1" x14ac:dyDescent="0.25"/>
    <row r="85448" s="12" customFormat="1" x14ac:dyDescent="0.25"/>
    <row r="85449" s="12" customFormat="1" x14ac:dyDescent="0.25"/>
    <row r="85450" s="12" customFormat="1" x14ac:dyDescent="0.25"/>
    <row r="85451" s="12" customFormat="1" x14ac:dyDescent="0.25"/>
    <row r="85452" s="12" customFormat="1" x14ac:dyDescent="0.25"/>
    <row r="85453" s="12" customFormat="1" x14ac:dyDescent="0.25"/>
    <row r="85454" s="12" customFormat="1" x14ac:dyDescent="0.25"/>
    <row r="85455" s="12" customFormat="1" x14ac:dyDescent="0.25"/>
    <row r="85456" s="12" customFormat="1" x14ac:dyDescent="0.25"/>
    <row r="85457" s="12" customFormat="1" x14ac:dyDescent="0.25"/>
    <row r="85458" s="12" customFormat="1" x14ac:dyDescent="0.25"/>
    <row r="85459" s="12" customFormat="1" x14ac:dyDescent="0.25"/>
    <row r="85460" s="12" customFormat="1" x14ac:dyDescent="0.25"/>
    <row r="85461" s="12" customFormat="1" x14ac:dyDescent="0.25"/>
    <row r="85462" s="12" customFormat="1" x14ac:dyDescent="0.25"/>
    <row r="85463" s="12" customFormat="1" x14ac:dyDescent="0.25"/>
    <row r="85464" s="12" customFormat="1" x14ac:dyDescent="0.25"/>
    <row r="85465" s="12" customFormat="1" x14ac:dyDescent="0.25"/>
    <row r="85466" s="12" customFormat="1" x14ac:dyDescent="0.25"/>
    <row r="85467" s="12" customFormat="1" x14ac:dyDescent="0.25"/>
    <row r="85468" s="12" customFormat="1" x14ac:dyDescent="0.25"/>
    <row r="85469" s="12" customFormat="1" x14ac:dyDescent="0.25"/>
    <row r="85470" s="12" customFormat="1" x14ac:dyDescent="0.25"/>
    <row r="85471" s="12" customFormat="1" x14ac:dyDescent="0.25"/>
    <row r="85472" s="12" customFormat="1" x14ac:dyDescent="0.25"/>
    <row r="85473" s="12" customFormat="1" x14ac:dyDescent="0.25"/>
    <row r="85474" s="12" customFormat="1" x14ac:dyDescent="0.25"/>
    <row r="85475" s="12" customFormat="1" x14ac:dyDescent="0.25"/>
    <row r="85476" s="12" customFormat="1" x14ac:dyDescent="0.25"/>
    <row r="85477" s="12" customFormat="1" x14ac:dyDescent="0.25"/>
    <row r="85478" s="12" customFormat="1" x14ac:dyDescent="0.25"/>
    <row r="85479" s="12" customFormat="1" x14ac:dyDescent="0.25"/>
    <row r="85480" s="12" customFormat="1" x14ac:dyDescent="0.25"/>
    <row r="85481" s="12" customFormat="1" x14ac:dyDescent="0.25"/>
    <row r="85482" s="12" customFormat="1" x14ac:dyDescent="0.25"/>
    <row r="85483" s="12" customFormat="1" x14ac:dyDescent="0.25"/>
    <row r="85484" s="12" customFormat="1" x14ac:dyDescent="0.25"/>
    <row r="85485" s="12" customFormat="1" x14ac:dyDescent="0.25"/>
    <row r="85486" s="12" customFormat="1" x14ac:dyDescent="0.25"/>
    <row r="85487" s="12" customFormat="1" x14ac:dyDescent="0.25"/>
    <row r="85488" s="12" customFormat="1" x14ac:dyDescent="0.25"/>
    <row r="85489" s="12" customFormat="1" x14ac:dyDescent="0.25"/>
    <row r="85490" s="12" customFormat="1" x14ac:dyDescent="0.25"/>
    <row r="85491" s="12" customFormat="1" x14ac:dyDescent="0.25"/>
    <row r="85492" s="12" customFormat="1" x14ac:dyDescent="0.25"/>
    <row r="85493" s="12" customFormat="1" x14ac:dyDescent="0.25"/>
    <row r="85494" s="12" customFormat="1" x14ac:dyDescent="0.25"/>
    <row r="85495" s="12" customFormat="1" x14ac:dyDescent="0.25"/>
    <row r="85496" s="12" customFormat="1" x14ac:dyDescent="0.25"/>
    <row r="85497" s="12" customFormat="1" x14ac:dyDescent="0.25"/>
    <row r="85498" s="12" customFormat="1" x14ac:dyDescent="0.25"/>
    <row r="85499" s="12" customFormat="1" x14ac:dyDescent="0.25"/>
    <row r="85500" s="12" customFormat="1" x14ac:dyDescent="0.25"/>
    <row r="85501" s="12" customFormat="1" x14ac:dyDescent="0.25"/>
    <row r="85502" s="12" customFormat="1" x14ac:dyDescent="0.25"/>
    <row r="85503" s="12" customFormat="1" x14ac:dyDescent="0.25"/>
    <row r="85504" s="12" customFormat="1" x14ac:dyDescent="0.25"/>
    <row r="85505" s="12" customFormat="1" x14ac:dyDescent="0.25"/>
    <row r="85506" s="12" customFormat="1" x14ac:dyDescent="0.25"/>
    <row r="85507" s="12" customFormat="1" x14ac:dyDescent="0.25"/>
    <row r="85508" s="12" customFormat="1" x14ac:dyDescent="0.25"/>
    <row r="85509" s="12" customFormat="1" x14ac:dyDescent="0.25"/>
    <row r="85510" s="12" customFormat="1" x14ac:dyDescent="0.25"/>
    <row r="85511" s="12" customFormat="1" x14ac:dyDescent="0.25"/>
    <row r="85512" s="12" customFormat="1" x14ac:dyDescent="0.25"/>
    <row r="85513" s="12" customFormat="1" x14ac:dyDescent="0.25"/>
    <row r="85514" s="12" customFormat="1" x14ac:dyDescent="0.25"/>
    <row r="85515" s="12" customFormat="1" x14ac:dyDescent="0.25"/>
    <row r="85516" s="12" customFormat="1" x14ac:dyDescent="0.25"/>
    <row r="85517" s="12" customFormat="1" x14ac:dyDescent="0.25"/>
    <row r="85518" s="12" customFormat="1" x14ac:dyDescent="0.25"/>
    <row r="85519" s="12" customFormat="1" x14ac:dyDescent="0.25"/>
    <row r="85520" s="12" customFormat="1" x14ac:dyDescent="0.25"/>
    <row r="85521" s="12" customFormat="1" x14ac:dyDescent="0.25"/>
    <row r="85522" s="12" customFormat="1" x14ac:dyDescent="0.25"/>
    <row r="85523" s="12" customFormat="1" x14ac:dyDescent="0.25"/>
    <row r="85524" s="12" customFormat="1" x14ac:dyDescent="0.25"/>
    <row r="85525" s="12" customFormat="1" x14ac:dyDescent="0.25"/>
    <row r="85526" s="12" customFormat="1" x14ac:dyDescent="0.25"/>
    <row r="85527" s="12" customFormat="1" x14ac:dyDescent="0.25"/>
    <row r="85528" s="12" customFormat="1" x14ac:dyDescent="0.25"/>
    <row r="85529" s="12" customFormat="1" x14ac:dyDescent="0.25"/>
    <row r="85530" s="12" customFormat="1" x14ac:dyDescent="0.25"/>
    <row r="85531" s="12" customFormat="1" x14ac:dyDescent="0.25"/>
    <row r="85532" s="12" customFormat="1" x14ac:dyDescent="0.25"/>
    <row r="85533" s="12" customFormat="1" x14ac:dyDescent="0.25"/>
    <row r="85534" s="12" customFormat="1" x14ac:dyDescent="0.25"/>
    <row r="85535" s="12" customFormat="1" x14ac:dyDescent="0.25"/>
    <row r="85536" s="12" customFormat="1" x14ac:dyDescent="0.25"/>
    <row r="85537" s="12" customFormat="1" x14ac:dyDescent="0.25"/>
    <row r="85538" s="12" customFormat="1" x14ac:dyDescent="0.25"/>
    <row r="85539" s="12" customFormat="1" x14ac:dyDescent="0.25"/>
    <row r="85540" s="12" customFormat="1" x14ac:dyDescent="0.25"/>
    <row r="85541" s="12" customFormat="1" x14ac:dyDescent="0.25"/>
    <row r="85542" s="12" customFormat="1" x14ac:dyDescent="0.25"/>
    <row r="85543" s="12" customFormat="1" x14ac:dyDescent="0.25"/>
    <row r="85544" s="12" customFormat="1" x14ac:dyDescent="0.25"/>
    <row r="85545" s="12" customFormat="1" x14ac:dyDescent="0.25"/>
    <row r="85546" s="12" customFormat="1" x14ac:dyDescent="0.25"/>
    <row r="85547" s="12" customFormat="1" x14ac:dyDescent="0.25"/>
    <row r="85548" s="12" customFormat="1" x14ac:dyDescent="0.25"/>
    <row r="85549" s="12" customFormat="1" x14ac:dyDescent="0.25"/>
    <row r="85550" s="12" customFormat="1" x14ac:dyDescent="0.25"/>
    <row r="85551" s="12" customFormat="1" x14ac:dyDescent="0.25"/>
    <row r="85552" s="12" customFormat="1" x14ac:dyDescent="0.25"/>
    <row r="85553" s="12" customFormat="1" x14ac:dyDescent="0.25"/>
    <row r="85554" s="12" customFormat="1" x14ac:dyDescent="0.25"/>
    <row r="85555" s="12" customFormat="1" x14ac:dyDescent="0.25"/>
    <row r="85556" s="12" customFormat="1" x14ac:dyDescent="0.25"/>
    <row r="85557" s="12" customFormat="1" x14ac:dyDescent="0.25"/>
    <row r="85558" s="12" customFormat="1" x14ac:dyDescent="0.25"/>
    <row r="85559" s="12" customFormat="1" x14ac:dyDescent="0.25"/>
    <row r="85560" s="12" customFormat="1" x14ac:dyDescent="0.25"/>
    <row r="85561" s="12" customFormat="1" x14ac:dyDescent="0.25"/>
    <row r="85562" s="12" customFormat="1" x14ac:dyDescent="0.25"/>
    <row r="85563" s="12" customFormat="1" x14ac:dyDescent="0.25"/>
    <row r="85564" s="12" customFormat="1" x14ac:dyDescent="0.25"/>
    <row r="85565" s="12" customFormat="1" x14ac:dyDescent="0.25"/>
    <row r="85566" s="12" customFormat="1" x14ac:dyDescent="0.25"/>
    <row r="85567" s="12" customFormat="1" x14ac:dyDescent="0.25"/>
    <row r="85568" s="12" customFormat="1" x14ac:dyDescent="0.25"/>
    <row r="85569" s="12" customFormat="1" x14ac:dyDescent="0.25"/>
    <row r="85570" s="12" customFormat="1" x14ac:dyDescent="0.25"/>
    <row r="85571" s="12" customFormat="1" x14ac:dyDescent="0.25"/>
    <row r="85572" s="12" customFormat="1" x14ac:dyDescent="0.25"/>
    <row r="85573" s="12" customFormat="1" x14ac:dyDescent="0.25"/>
    <row r="85574" s="12" customFormat="1" x14ac:dyDescent="0.25"/>
    <row r="85575" s="12" customFormat="1" x14ac:dyDescent="0.25"/>
    <row r="85576" s="12" customFormat="1" x14ac:dyDescent="0.25"/>
    <row r="85577" s="12" customFormat="1" x14ac:dyDescent="0.25"/>
    <row r="85578" s="12" customFormat="1" x14ac:dyDescent="0.25"/>
    <row r="85579" s="12" customFormat="1" x14ac:dyDescent="0.25"/>
    <row r="85580" s="12" customFormat="1" x14ac:dyDescent="0.25"/>
    <row r="85581" s="12" customFormat="1" x14ac:dyDescent="0.25"/>
    <row r="85582" s="12" customFormat="1" x14ac:dyDescent="0.25"/>
    <row r="85583" s="12" customFormat="1" x14ac:dyDescent="0.25"/>
    <row r="85584" s="12" customFormat="1" x14ac:dyDescent="0.25"/>
    <row r="85585" s="12" customFormat="1" x14ac:dyDescent="0.25"/>
    <row r="85586" s="12" customFormat="1" x14ac:dyDescent="0.25"/>
    <row r="85587" s="12" customFormat="1" x14ac:dyDescent="0.25"/>
    <row r="85588" s="12" customFormat="1" x14ac:dyDescent="0.25"/>
    <row r="85589" s="12" customFormat="1" x14ac:dyDescent="0.25"/>
    <row r="85590" s="12" customFormat="1" x14ac:dyDescent="0.25"/>
    <row r="85591" s="12" customFormat="1" x14ac:dyDescent="0.25"/>
    <row r="85592" s="12" customFormat="1" x14ac:dyDescent="0.25"/>
    <row r="85593" s="12" customFormat="1" x14ac:dyDescent="0.25"/>
    <row r="85594" s="12" customFormat="1" x14ac:dyDescent="0.25"/>
    <row r="85595" s="12" customFormat="1" x14ac:dyDescent="0.25"/>
    <row r="85596" s="12" customFormat="1" x14ac:dyDescent="0.25"/>
    <row r="85597" s="12" customFormat="1" x14ac:dyDescent="0.25"/>
    <row r="85598" s="12" customFormat="1" x14ac:dyDescent="0.25"/>
    <row r="85599" s="12" customFormat="1" x14ac:dyDescent="0.25"/>
    <row r="85600" s="12" customFormat="1" x14ac:dyDescent="0.25"/>
    <row r="85601" s="12" customFormat="1" x14ac:dyDescent="0.25"/>
    <row r="85602" s="12" customFormat="1" x14ac:dyDescent="0.25"/>
    <row r="85603" s="12" customFormat="1" x14ac:dyDescent="0.25"/>
    <row r="85604" s="12" customFormat="1" x14ac:dyDescent="0.25"/>
    <row r="85605" s="12" customFormat="1" x14ac:dyDescent="0.25"/>
    <row r="85606" s="12" customFormat="1" x14ac:dyDescent="0.25"/>
    <row r="85607" s="12" customFormat="1" x14ac:dyDescent="0.25"/>
    <row r="85608" s="12" customFormat="1" x14ac:dyDescent="0.25"/>
    <row r="85609" s="12" customFormat="1" x14ac:dyDescent="0.25"/>
    <row r="85610" s="12" customFormat="1" x14ac:dyDescent="0.25"/>
    <row r="85611" s="12" customFormat="1" x14ac:dyDescent="0.25"/>
    <row r="85612" s="12" customFormat="1" x14ac:dyDescent="0.25"/>
    <row r="85613" s="12" customFormat="1" x14ac:dyDescent="0.25"/>
    <row r="85614" s="12" customFormat="1" x14ac:dyDescent="0.25"/>
    <row r="85615" s="12" customFormat="1" x14ac:dyDescent="0.25"/>
    <row r="85616" s="12" customFormat="1" x14ac:dyDescent="0.25"/>
    <row r="85617" s="12" customFormat="1" x14ac:dyDescent="0.25"/>
    <row r="85618" s="12" customFormat="1" x14ac:dyDescent="0.25"/>
    <row r="85619" s="12" customFormat="1" x14ac:dyDescent="0.25"/>
    <row r="85620" s="12" customFormat="1" x14ac:dyDescent="0.25"/>
    <row r="85621" s="12" customFormat="1" x14ac:dyDescent="0.25"/>
    <row r="85622" s="12" customFormat="1" x14ac:dyDescent="0.25"/>
    <row r="85623" s="12" customFormat="1" x14ac:dyDescent="0.25"/>
    <row r="85624" s="12" customFormat="1" x14ac:dyDescent="0.25"/>
    <row r="85625" s="12" customFormat="1" x14ac:dyDescent="0.25"/>
    <row r="85626" s="12" customFormat="1" x14ac:dyDescent="0.25"/>
    <row r="85627" s="12" customFormat="1" x14ac:dyDescent="0.25"/>
    <row r="85628" s="12" customFormat="1" x14ac:dyDescent="0.25"/>
    <row r="85629" s="12" customFormat="1" x14ac:dyDescent="0.25"/>
    <row r="85630" s="12" customFormat="1" x14ac:dyDescent="0.25"/>
    <row r="85631" s="12" customFormat="1" x14ac:dyDescent="0.25"/>
    <row r="85632" s="12" customFormat="1" x14ac:dyDescent="0.25"/>
    <row r="85633" s="12" customFormat="1" x14ac:dyDescent="0.25"/>
    <row r="85634" s="12" customFormat="1" x14ac:dyDescent="0.25"/>
    <row r="85635" s="12" customFormat="1" x14ac:dyDescent="0.25"/>
    <row r="85636" s="12" customFormat="1" x14ac:dyDescent="0.25"/>
    <row r="85637" s="12" customFormat="1" x14ac:dyDescent="0.25"/>
    <row r="85638" s="12" customFormat="1" x14ac:dyDescent="0.25"/>
    <row r="85639" s="12" customFormat="1" x14ac:dyDescent="0.25"/>
    <row r="85640" s="12" customFormat="1" x14ac:dyDescent="0.25"/>
    <row r="85641" s="12" customFormat="1" x14ac:dyDescent="0.25"/>
    <row r="85642" s="12" customFormat="1" x14ac:dyDescent="0.25"/>
    <row r="85643" s="12" customFormat="1" x14ac:dyDescent="0.25"/>
    <row r="85644" s="12" customFormat="1" x14ac:dyDescent="0.25"/>
    <row r="85645" s="12" customFormat="1" x14ac:dyDescent="0.25"/>
    <row r="85646" s="12" customFormat="1" x14ac:dyDescent="0.25"/>
    <row r="85647" s="12" customFormat="1" x14ac:dyDescent="0.25"/>
    <row r="85648" s="12" customFormat="1" x14ac:dyDescent="0.25"/>
    <row r="85649" s="12" customFormat="1" x14ac:dyDescent="0.25"/>
    <row r="85650" s="12" customFormat="1" x14ac:dyDescent="0.25"/>
    <row r="85651" s="12" customFormat="1" x14ac:dyDescent="0.25"/>
    <row r="85652" s="12" customFormat="1" x14ac:dyDescent="0.25"/>
    <row r="85653" s="12" customFormat="1" x14ac:dyDescent="0.25"/>
    <row r="85654" s="12" customFormat="1" x14ac:dyDescent="0.25"/>
    <row r="85655" s="12" customFormat="1" x14ac:dyDescent="0.25"/>
    <row r="85656" s="12" customFormat="1" x14ac:dyDescent="0.25"/>
    <row r="85657" s="12" customFormat="1" x14ac:dyDescent="0.25"/>
    <row r="85658" s="12" customFormat="1" x14ac:dyDescent="0.25"/>
    <row r="85659" s="12" customFormat="1" x14ac:dyDescent="0.25"/>
    <row r="85660" s="12" customFormat="1" x14ac:dyDescent="0.25"/>
    <row r="85661" s="12" customFormat="1" x14ac:dyDescent="0.25"/>
    <row r="85662" s="12" customFormat="1" x14ac:dyDescent="0.25"/>
    <row r="85663" s="12" customFormat="1" x14ac:dyDescent="0.25"/>
    <row r="85664" s="12" customFormat="1" x14ac:dyDescent="0.25"/>
    <row r="85665" s="12" customFormat="1" x14ac:dyDescent="0.25"/>
    <row r="85666" s="12" customFormat="1" x14ac:dyDescent="0.25"/>
    <row r="85667" s="12" customFormat="1" x14ac:dyDescent="0.25"/>
    <row r="85668" s="12" customFormat="1" x14ac:dyDescent="0.25"/>
    <row r="85669" s="12" customFormat="1" x14ac:dyDescent="0.25"/>
    <row r="85670" s="12" customFormat="1" x14ac:dyDescent="0.25"/>
    <row r="85671" s="12" customFormat="1" x14ac:dyDescent="0.25"/>
    <row r="85672" s="12" customFormat="1" x14ac:dyDescent="0.25"/>
    <row r="85673" s="12" customFormat="1" x14ac:dyDescent="0.25"/>
    <row r="85674" s="12" customFormat="1" x14ac:dyDescent="0.25"/>
    <row r="85675" s="12" customFormat="1" x14ac:dyDescent="0.25"/>
    <row r="85676" s="12" customFormat="1" x14ac:dyDescent="0.25"/>
    <row r="85677" s="12" customFormat="1" x14ac:dyDescent="0.25"/>
    <row r="85678" s="12" customFormat="1" x14ac:dyDescent="0.25"/>
    <row r="85679" s="12" customFormat="1" x14ac:dyDescent="0.25"/>
    <row r="85680" s="12" customFormat="1" x14ac:dyDescent="0.25"/>
    <row r="85681" s="12" customFormat="1" x14ac:dyDescent="0.25"/>
    <row r="85682" s="12" customFormat="1" x14ac:dyDescent="0.25"/>
    <row r="85683" s="12" customFormat="1" x14ac:dyDescent="0.25"/>
    <row r="85684" s="12" customFormat="1" x14ac:dyDescent="0.25"/>
    <row r="85685" s="12" customFormat="1" x14ac:dyDescent="0.25"/>
    <row r="85686" s="12" customFormat="1" x14ac:dyDescent="0.25"/>
    <row r="85687" s="12" customFormat="1" x14ac:dyDescent="0.25"/>
    <row r="85688" s="12" customFormat="1" x14ac:dyDescent="0.25"/>
    <row r="85689" s="12" customFormat="1" x14ac:dyDescent="0.25"/>
    <row r="85690" s="12" customFormat="1" x14ac:dyDescent="0.25"/>
    <row r="85691" s="12" customFormat="1" x14ac:dyDescent="0.25"/>
    <row r="85692" s="12" customFormat="1" x14ac:dyDescent="0.25"/>
    <row r="85693" s="12" customFormat="1" x14ac:dyDescent="0.25"/>
    <row r="85694" s="12" customFormat="1" x14ac:dyDescent="0.25"/>
    <row r="85695" s="12" customFormat="1" x14ac:dyDescent="0.25"/>
    <row r="85696" s="12" customFormat="1" x14ac:dyDescent="0.25"/>
    <row r="85697" s="12" customFormat="1" x14ac:dyDescent="0.25"/>
    <row r="85698" s="12" customFormat="1" x14ac:dyDescent="0.25"/>
    <row r="85699" s="12" customFormat="1" x14ac:dyDescent="0.25"/>
    <row r="85700" s="12" customFormat="1" x14ac:dyDescent="0.25"/>
    <row r="85701" s="12" customFormat="1" x14ac:dyDescent="0.25"/>
    <row r="85702" s="12" customFormat="1" x14ac:dyDescent="0.25"/>
    <row r="85703" s="12" customFormat="1" x14ac:dyDescent="0.25"/>
    <row r="85704" s="12" customFormat="1" x14ac:dyDescent="0.25"/>
    <row r="85705" s="12" customFormat="1" x14ac:dyDescent="0.25"/>
    <row r="85706" s="12" customFormat="1" x14ac:dyDescent="0.25"/>
    <row r="85707" s="12" customFormat="1" x14ac:dyDescent="0.25"/>
    <row r="85708" s="12" customFormat="1" x14ac:dyDescent="0.25"/>
    <row r="85709" s="12" customFormat="1" x14ac:dyDescent="0.25"/>
    <row r="85710" s="12" customFormat="1" x14ac:dyDescent="0.25"/>
    <row r="85711" s="12" customFormat="1" x14ac:dyDescent="0.25"/>
    <row r="85712" s="12" customFormat="1" x14ac:dyDescent="0.25"/>
    <row r="85713" s="12" customFormat="1" x14ac:dyDescent="0.25"/>
    <row r="85714" s="12" customFormat="1" x14ac:dyDescent="0.25"/>
    <row r="85715" s="12" customFormat="1" x14ac:dyDescent="0.25"/>
    <row r="85716" s="12" customFormat="1" x14ac:dyDescent="0.25"/>
    <row r="85717" s="12" customFormat="1" x14ac:dyDescent="0.25"/>
    <row r="85718" s="12" customFormat="1" x14ac:dyDescent="0.25"/>
    <row r="85719" s="12" customFormat="1" x14ac:dyDescent="0.25"/>
    <row r="85720" s="12" customFormat="1" x14ac:dyDescent="0.25"/>
    <row r="85721" s="12" customFormat="1" x14ac:dyDescent="0.25"/>
    <row r="85722" s="12" customFormat="1" x14ac:dyDescent="0.25"/>
    <row r="85723" s="12" customFormat="1" x14ac:dyDescent="0.25"/>
    <row r="85724" s="12" customFormat="1" x14ac:dyDescent="0.25"/>
    <row r="85725" s="12" customFormat="1" x14ac:dyDescent="0.25"/>
    <row r="85726" s="12" customFormat="1" x14ac:dyDescent="0.25"/>
    <row r="85727" s="12" customFormat="1" x14ac:dyDescent="0.25"/>
    <row r="85728" s="12" customFormat="1" x14ac:dyDescent="0.25"/>
    <row r="85729" s="12" customFormat="1" x14ac:dyDescent="0.25"/>
    <row r="85730" s="12" customFormat="1" x14ac:dyDescent="0.25"/>
    <row r="85731" s="12" customFormat="1" x14ac:dyDescent="0.25"/>
    <row r="85732" s="12" customFormat="1" x14ac:dyDescent="0.25"/>
    <row r="85733" s="12" customFormat="1" x14ac:dyDescent="0.25"/>
    <row r="85734" s="12" customFormat="1" x14ac:dyDescent="0.25"/>
    <row r="85735" s="12" customFormat="1" x14ac:dyDescent="0.25"/>
    <row r="85736" s="12" customFormat="1" x14ac:dyDescent="0.25"/>
    <row r="85737" s="12" customFormat="1" x14ac:dyDescent="0.25"/>
    <row r="85738" s="12" customFormat="1" x14ac:dyDescent="0.25"/>
    <row r="85739" s="12" customFormat="1" x14ac:dyDescent="0.25"/>
    <row r="85740" s="12" customFormat="1" x14ac:dyDescent="0.25"/>
    <row r="85741" s="12" customFormat="1" x14ac:dyDescent="0.25"/>
    <row r="85742" s="12" customFormat="1" x14ac:dyDescent="0.25"/>
    <row r="85743" s="12" customFormat="1" x14ac:dyDescent="0.25"/>
    <row r="85744" s="12" customFormat="1" x14ac:dyDescent="0.25"/>
    <row r="85745" s="12" customFormat="1" x14ac:dyDescent="0.25"/>
    <row r="85746" s="12" customFormat="1" x14ac:dyDescent="0.25"/>
    <row r="85747" s="12" customFormat="1" x14ac:dyDescent="0.25"/>
    <row r="85748" s="12" customFormat="1" x14ac:dyDescent="0.25"/>
    <row r="85749" s="12" customFormat="1" x14ac:dyDescent="0.25"/>
    <row r="85750" s="12" customFormat="1" x14ac:dyDescent="0.25"/>
    <row r="85751" s="12" customFormat="1" x14ac:dyDescent="0.25"/>
    <row r="85752" s="12" customFormat="1" x14ac:dyDescent="0.25"/>
    <row r="85753" s="12" customFormat="1" x14ac:dyDescent="0.25"/>
    <row r="85754" s="12" customFormat="1" x14ac:dyDescent="0.25"/>
    <row r="85755" s="12" customFormat="1" x14ac:dyDescent="0.25"/>
    <row r="85756" s="12" customFormat="1" x14ac:dyDescent="0.25"/>
    <row r="85757" s="12" customFormat="1" x14ac:dyDescent="0.25"/>
    <row r="85758" s="12" customFormat="1" x14ac:dyDescent="0.25"/>
    <row r="85759" s="12" customFormat="1" x14ac:dyDescent="0.25"/>
    <row r="85760" s="12" customFormat="1" x14ac:dyDescent="0.25"/>
    <row r="85761" s="12" customFormat="1" x14ac:dyDescent="0.25"/>
    <row r="85762" s="12" customFormat="1" x14ac:dyDescent="0.25"/>
    <row r="85763" s="12" customFormat="1" x14ac:dyDescent="0.25"/>
    <row r="85764" s="12" customFormat="1" x14ac:dyDescent="0.25"/>
    <row r="85765" s="12" customFormat="1" x14ac:dyDescent="0.25"/>
    <row r="85766" s="12" customFormat="1" x14ac:dyDescent="0.25"/>
    <row r="85767" s="12" customFormat="1" x14ac:dyDescent="0.25"/>
    <row r="85768" s="12" customFormat="1" x14ac:dyDescent="0.25"/>
    <row r="85769" s="12" customFormat="1" x14ac:dyDescent="0.25"/>
    <row r="85770" s="12" customFormat="1" x14ac:dyDescent="0.25"/>
    <row r="85771" s="12" customFormat="1" x14ac:dyDescent="0.25"/>
    <row r="85772" s="12" customFormat="1" x14ac:dyDescent="0.25"/>
    <row r="85773" s="12" customFormat="1" x14ac:dyDescent="0.25"/>
    <row r="85774" s="12" customFormat="1" x14ac:dyDescent="0.25"/>
    <row r="85775" s="12" customFormat="1" x14ac:dyDescent="0.25"/>
    <row r="85776" s="12" customFormat="1" x14ac:dyDescent="0.25"/>
    <row r="85777" s="12" customFormat="1" x14ac:dyDescent="0.25"/>
    <row r="85778" s="12" customFormat="1" x14ac:dyDescent="0.25"/>
    <row r="85779" s="12" customFormat="1" x14ac:dyDescent="0.25"/>
    <row r="85780" s="12" customFormat="1" x14ac:dyDescent="0.25"/>
    <row r="85781" s="12" customFormat="1" x14ac:dyDescent="0.25"/>
    <row r="85782" s="12" customFormat="1" x14ac:dyDescent="0.25"/>
    <row r="85783" s="12" customFormat="1" x14ac:dyDescent="0.25"/>
    <row r="85784" s="12" customFormat="1" x14ac:dyDescent="0.25"/>
    <row r="85785" s="12" customFormat="1" x14ac:dyDescent="0.25"/>
    <row r="85786" s="12" customFormat="1" x14ac:dyDescent="0.25"/>
    <row r="85787" s="12" customFormat="1" x14ac:dyDescent="0.25"/>
    <row r="85788" s="12" customFormat="1" x14ac:dyDescent="0.25"/>
    <row r="85789" s="12" customFormat="1" x14ac:dyDescent="0.25"/>
    <row r="85790" s="12" customFormat="1" x14ac:dyDescent="0.25"/>
    <row r="85791" s="12" customFormat="1" x14ac:dyDescent="0.25"/>
    <row r="85792" s="12" customFormat="1" x14ac:dyDescent="0.25"/>
    <row r="85793" s="12" customFormat="1" x14ac:dyDescent="0.25"/>
    <row r="85794" s="12" customFormat="1" x14ac:dyDescent="0.25"/>
    <row r="85795" s="12" customFormat="1" x14ac:dyDescent="0.25"/>
    <row r="85796" s="12" customFormat="1" x14ac:dyDescent="0.25"/>
    <row r="85797" s="12" customFormat="1" x14ac:dyDescent="0.25"/>
    <row r="85798" s="12" customFormat="1" x14ac:dyDescent="0.25"/>
    <row r="85799" s="12" customFormat="1" x14ac:dyDescent="0.25"/>
    <row r="85800" s="12" customFormat="1" x14ac:dyDescent="0.25"/>
    <row r="85801" s="12" customFormat="1" x14ac:dyDescent="0.25"/>
    <row r="85802" s="12" customFormat="1" x14ac:dyDescent="0.25"/>
    <row r="85803" s="12" customFormat="1" x14ac:dyDescent="0.25"/>
    <row r="85804" s="12" customFormat="1" x14ac:dyDescent="0.25"/>
    <row r="85805" s="12" customFormat="1" x14ac:dyDescent="0.25"/>
    <row r="85806" s="12" customFormat="1" x14ac:dyDescent="0.25"/>
    <row r="85807" s="12" customFormat="1" x14ac:dyDescent="0.25"/>
    <row r="85808" s="12" customFormat="1" x14ac:dyDescent="0.25"/>
    <row r="85809" s="12" customFormat="1" x14ac:dyDescent="0.25"/>
    <row r="85810" s="12" customFormat="1" x14ac:dyDescent="0.25"/>
    <row r="85811" s="12" customFormat="1" x14ac:dyDescent="0.25"/>
    <row r="85812" s="12" customFormat="1" x14ac:dyDescent="0.25"/>
    <row r="85813" s="12" customFormat="1" x14ac:dyDescent="0.25"/>
    <row r="85814" s="12" customFormat="1" x14ac:dyDescent="0.25"/>
    <row r="85815" s="12" customFormat="1" x14ac:dyDescent="0.25"/>
    <row r="85816" s="12" customFormat="1" x14ac:dyDescent="0.25"/>
    <row r="85817" s="12" customFormat="1" x14ac:dyDescent="0.25"/>
    <row r="85818" s="12" customFormat="1" x14ac:dyDescent="0.25"/>
    <row r="85819" s="12" customFormat="1" x14ac:dyDescent="0.25"/>
    <row r="85820" s="12" customFormat="1" x14ac:dyDescent="0.25"/>
    <row r="85821" s="12" customFormat="1" x14ac:dyDescent="0.25"/>
    <row r="85822" s="12" customFormat="1" x14ac:dyDescent="0.25"/>
    <row r="85823" s="12" customFormat="1" x14ac:dyDescent="0.25"/>
    <row r="85824" s="12" customFormat="1" x14ac:dyDescent="0.25"/>
    <row r="85825" s="12" customFormat="1" x14ac:dyDescent="0.25"/>
    <row r="85826" s="12" customFormat="1" x14ac:dyDescent="0.25"/>
    <row r="85827" s="12" customFormat="1" x14ac:dyDescent="0.25"/>
    <row r="85828" s="12" customFormat="1" x14ac:dyDescent="0.25"/>
    <row r="85829" s="12" customFormat="1" x14ac:dyDescent="0.25"/>
    <row r="85830" s="12" customFormat="1" x14ac:dyDescent="0.25"/>
    <row r="85831" s="12" customFormat="1" x14ac:dyDescent="0.25"/>
    <row r="85832" s="12" customFormat="1" x14ac:dyDescent="0.25"/>
    <row r="85833" s="12" customFormat="1" x14ac:dyDescent="0.25"/>
    <row r="85834" s="12" customFormat="1" x14ac:dyDescent="0.25"/>
    <row r="85835" s="12" customFormat="1" x14ac:dyDescent="0.25"/>
    <row r="85836" s="12" customFormat="1" x14ac:dyDescent="0.25"/>
    <row r="85837" s="12" customFormat="1" x14ac:dyDescent="0.25"/>
    <row r="85838" s="12" customFormat="1" x14ac:dyDescent="0.25"/>
    <row r="85839" s="12" customFormat="1" x14ac:dyDescent="0.25"/>
    <row r="85840" s="12" customFormat="1" x14ac:dyDescent="0.25"/>
    <row r="85841" s="12" customFormat="1" x14ac:dyDescent="0.25"/>
    <row r="85842" s="12" customFormat="1" x14ac:dyDescent="0.25"/>
    <row r="85843" s="12" customFormat="1" x14ac:dyDescent="0.25"/>
    <row r="85844" s="12" customFormat="1" x14ac:dyDescent="0.25"/>
    <row r="85845" s="12" customFormat="1" x14ac:dyDescent="0.25"/>
    <row r="85846" s="12" customFormat="1" x14ac:dyDescent="0.25"/>
    <row r="85847" s="12" customFormat="1" x14ac:dyDescent="0.25"/>
    <row r="85848" s="12" customFormat="1" x14ac:dyDescent="0.25"/>
    <row r="85849" s="12" customFormat="1" x14ac:dyDescent="0.25"/>
    <row r="85850" s="12" customFormat="1" x14ac:dyDescent="0.25"/>
    <row r="85851" s="12" customFormat="1" x14ac:dyDescent="0.25"/>
    <row r="85852" s="12" customFormat="1" x14ac:dyDescent="0.25"/>
    <row r="85853" s="12" customFormat="1" x14ac:dyDescent="0.25"/>
    <row r="85854" s="12" customFormat="1" x14ac:dyDescent="0.25"/>
    <row r="85855" s="12" customFormat="1" x14ac:dyDescent="0.25"/>
    <row r="85856" s="12" customFormat="1" x14ac:dyDescent="0.25"/>
    <row r="85857" s="12" customFormat="1" x14ac:dyDescent="0.25"/>
    <row r="85858" s="12" customFormat="1" x14ac:dyDescent="0.25"/>
    <row r="85859" s="12" customFormat="1" x14ac:dyDescent="0.25"/>
    <row r="85860" s="12" customFormat="1" x14ac:dyDescent="0.25"/>
    <row r="85861" s="12" customFormat="1" x14ac:dyDescent="0.25"/>
    <row r="85862" s="12" customFormat="1" x14ac:dyDescent="0.25"/>
    <row r="85863" s="12" customFormat="1" x14ac:dyDescent="0.25"/>
    <row r="85864" s="12" customFormat="1" x14ac:dyDescent="0.25"/>
    <row r="85865" s="12" customFormat="1" x14ac:dyDescent="0.25"/>
    <row r="85866" s="12" customFormat="1" x14ac:dyDescent="0.25"/>
    <row r="85867" s="12" customFormat="1" x14ac:dyDescent="0.25"/>
    <row r="85868" s="12" customFormat="1" x14ac:dyDescent="0.25"/>
    <row r="85869" s="12" customFormat="1" x14ac:dyDescent="0.25"/>
    <row r="85870" s="12" customFormat="1" x14ac:dyDescent="0.25"/>
    <row r="85871" s="12" customFormat="1" x14ac:dyDescent="0.25"/>
    <row r="85872" s="12" customFormat="1" x14ac:dyDescent="0.25"/>
    <row r="85873" s="12" customFormat="1" x14ac:dyDescent="0.25"/>
    <row r="85874" s="12" customFormat="1" x14ac:dyDescent="0.25"/>
    <row r="85875" s="12" customFormat="1" x14ac:dyDescent="0.25"/>
    <row r="85876" s="12" customFormat="1" x14ac:dyDescent="0.25"/>
    <row r="85877" s="12" customFormat="1" x14ac:dyDescent="0.25"/>
    <row r="85878" s="12" customFormat="1" x14ac:dyDescent="0.25"/>
    <row r="85879" s="12" customFormat="1" x14ac:dyDescent="0.25"/>
    <row r="85880" s="12" customFormat="1" x14ac:dyDescent="0.25"/>
    <row r="85881" s="12" customFormat="1" x14ac:dyDescent="0.25"/>
    <row r="85882" s="12" customFormat="1" x14ac:dyDescent="0.25"/>
    <row r="85883" s="12" customFormat="1" x14ac:dyDescent="0.25"/>
    <row r="85884" s="12" customFormat="1" x14ac:dyDescent="0.25"/>
    <row r="85885" s="12" customFormat="1" x14ac:dyDescent="0.25"/>
    <row r="85886" s="12" customFormat="1" x14ac:dyDescent="0.25"/>
    <row r="85887" s="12" customFormat="1" x14ac:dyDescent="0.25"/>
    <row r="85888" s="12" customFormat="1" x14ac:dyDescent="0.25"/>
    <row r="85889" s="12" customFormat="1" x14ac:dyDescent="0.25"/>
    <row r="85890" s="12" customFormat="1" x14ac:dyDescent="0.25"/>
    <row r="85891" s="12" customFormat="1" x14ac:dyDescent="0.25"/>
    <row r="85892" s="12" customFormat="1" x14ac:dyDescent="0.25"/>
    <row r="85893" s="12" customFormat="1" x14ac:dyDescent="0.25"/>
    <row r="85894" s="12" customFormat="1" x14ac:dyDescent="0.25"/>
    <row r="85895" s="12" customFormat="1" x14ac:dyDescent="0.25"/>
    <row r="85896" s="12" customFormat="1" x14ac:dyDescent="0.25"/>
    <row r="85897" s="12" customFormat="1" x14ac:dyDescent="0.25"/>
    <row r="85898" s="12" customFormat="1" x14ac:dyDescent="0.25"/>
    <row r="85899" s="12" customFormat="1" x14ac:dyDescent="0.25"/>
    <row r="85900" s="12" customFormat="1" x14ac:dyDescent="0.25"/>
    <row r="85901" s="12" customFormat="1" x14ac:dyDescent="0.25"/>
    <row r="85902" s="12" customFormat="1" x14ac:dyDescent="0.25"/>
    <row r="85903" s="12" customFormat="1" x14ac:dyDescent="0.25"/>
    <row r="85904" s="12" customFormat="1" x14ac:dyDescent="0.25"/>
    <row r="85905" s="12" customFormat="1" x14ac:dyDescent="0.25"/>
    <row r="85906" s="12" customFormat="1" x14ac:dyDescent="0.25"/>
    <row r="85907" s="12" customFormat="1" x14ac:dyDescent="0.25"/>
    <row r="85908" s="12" customFormat="1" x14ac:dyDescent="0.25"/>
    <row r="85909" s="12" customFormat="1" x14ac:dyDescent="0.25"/>
    <row r="85910" s="12" customFormat="1" x14ac:dyDescent="0.25"/>
    <row r="85911" s="12" customFormat="1" x14ac:dyDescent="0.25"/>
    <row r="85912" s="12" customFormat="1" x14ac:dyDescent="0.25"/>
    <row r="85913" s="12" customFormat="1" x14ac:dyDescent="0.25"/>
    <row r="85914" s="12" customFormat="1" x14ac:dyDescent="0.25"/>
    <row r="85915" s="12" customFormat="1" x14ac:dyDescent="0.25"/>
    <row r="85916" s="12" customFormat="1" x14ac:dyDescent="0.25"/>
    <row r="85917" s="12" customFormat="1" x14ac:dyDescent="0.25"/>
    <row r="85918" s="12" customFormat="1" x14ac:dyDescent="0.25"/>
    <row r="85919" s="12" customFormat="1" x14ac:dyDescent="0.25"/>
    <row r="85920" s="12" customFormat="1" x14ac:dyDescent="0.25"/>
    <row r="85921" s="12" customFormat="1" x14ac:dyDescent="0.25"/>
    <row r="85922" s="12" customFormat="1" x14ac:dyDescent="0.25"/>
    <row r="85923" s="12" customFormat="1" x14ac:dyDescent="0.25"/>
    <row r="85924" s="12" customFormat="1" x14ac:dyDescent="0.25"/>
    <row r="85925" s="12" customFormat="1" x14ac:dyDescent="0.25"/>
    <row r="85926" s="12" customFormat="1" x14ac:dyDescent="0.25"/>
    <row r="85927" s="12" customFormat="1" x14ac:dyDescent="0.25"/>
    <row r="85928" s="12" customFormat="1" x14ac:dyDescent="0.25"/>
    <row r="85929" s="12" customFormat="1" x14ac:dyDescent="0.25"/>
    <row r="85930" s="12" customFormat="1" x14ac:dyDescent="0.25"/>
    <row r="85931" s="12" customFormat="1" x14ac:dyDescent="0.25"/>
    <row r="85932" s="12" customFormat="1" x14ac:dyDescent="0.25"/>
    <row r="85933" s="12" customFormat="1" x14ac:dyDescent="0.25"/>
    <row r="85934" s="12" customFormat="1" x14ac:dyDescent="0.25"/>
    <row r="85935" s="12" customFormat="1" x14ac:dyDescent="0.25"/>
    <row r="85936" s="12" customFormat="1" x14ac:dyDescent="0.25"/>
    <row r="85937" s="12" customFormat="1" x14ac:dyDescent="0.25"/>
    <row r="85938" s="12" customFormat="1" x14ac:dyDescent="0.25"/>
    <row r="85939" s="12" customFormat="1" x14ac:dyDescent="0.25"/>
    <row r="85940" s="12" customFormat="1" x14ac:dyDescent="0.25"/>
    <row r="85941" s="12" customFormat="1" x14ac:dyDescent="0.25"/>
    <row r="85942" s="12" customFormat="1" x14ac:dyDescent="0.25"/>
    <row r="85943" s="12" customFormat="1" x14ac:dyDescent="0.25"/>
    <row r="85944" s="12" customFormat="1" x14ac:dyDescent="0.25"/>
    <row r="85945" s="12" customFormat="1" x14ac:dyDescent="0.25"/>
    <row r="85946" s="12" customFormat="1" x14ac:dyDescent="0.25"/>
    <row r="85947" s="12" customFormat="1" x14ac:dyDescent="0.25"/>
    <row r="85948" s="12" customFormat="1" x14ac:dyDescent="0.25"/>
    <row r="85949" s="12" customFormat="1" x14ac:dyDescent="0.25"/>
    <row r="85950" s="12" customFormat="1" x14ac:dyDescent="0.25"/>
    <row r="85951" s="12" customFormat="1" x14ac:dyDescent="0.25"/>
    <row r="85952" s="12" customFormat="1" x14ac:dyDescent="0.25"/>
    <row r="85953" s="12" customFormat="1" x14ac:dyDescent="0.25"/>
    <row r="85954" s="12" customFormat="1" x14ac:dyDescent="0.25"/>
    <row r="85955" s="12" customFormat="1" x14ac:dyDescent="0.25"/>
    <row r="85956" s="12" customFormat="1" x14ac:dyDescent="0.25"/>
    <row r="85957" s="12" customFormat="1" x14ac:dyDescent="0.25"/>
    <row r="85958" s="12" customFormat="1" x14ac:dyDescent="0.25"/>
    <row r="85959" s="12" customFormat="1" x14ac:dyDescent="0.25"/>
    <row r="85960" s="12" customFormat="1" x14ac:dyDescent="0.25"/>
    <row r="85961" s="12" customFormat="1" x14ac:dyDescent="0.25"/>
    <row r="85962" s="12" customFormat="1" x14ac:dyDescent="0.25"/>
    <row r="85963" s="12" customFormat="1" x14ac:dyDescent="0.25"/>
    <row r="85964" s="12" customFormat="1" x14ac:dyDescent="0.25"/>
    <row r="85965" s="12" customFormat="1" x14ac:dyDescent="0.25"/>
    <row r="85966" s="12" customFormat="1" x14ac:dyDescent="0.25"/>
    <row r="85967" s="12" customFormat="1" x14ac:dyDescent="0.25"/>
    <row r="85968" s="12" customFormat="1" x14ac:dyDescent="0.25"/>
    <row r="85969" s="12" customFormat="1" x14ac:dyDescent="0.25"/>
    <row r="85970" s="12" customFormat="1" x14ac:dyDescent="0.25"/>
    <row r="85971" s="12" customFormat="1" x14ac:dyDescent="0.25"/>
    <row r="85972" s="12" customFormat="1" x14ac:dyDescent="0.25"/>
    <row r="85973" s="12" customFormat="1" x14ac:dyDescent="0.25"/>
    <row r="85974" s="12" customFormat="1" x14ac:dyDescent="0.25"/>
    <row r="85975" s="12" customFormat="1" x14ac:dyDescent="0.25"/>
    <row r="85976" s="12" customFormat="1" x14ac:dyDescent="0.25"/>
    <row r="85977" s="12" customFormat="1" x14ac:dyDescent="0.25"/>
    <row r="85978" s="12" customFormat="1" x14ac:dyDescent="0.25"/>
    <row r="85979" s="12" customFormat="1" x14ac:dyDescent="0.25"/>
    <row r="85980" s="12" customFormat="1" x14ac:dyDescent="0.25"/>
    <row r="85981" s="12" customFormat="1" x14ac:dyDescent="0.25"/>
    <row r="85982" s="12" customFormat="1" x14ac:dyDescent="0.25"/>
    <row r="85983" s="12" customFormat="1" x14ac:dyDescent="0.25"/>
    <row r="85984" s="12" customFormat="1" x14ac:dyDescent="0.25"/>
    <row r="85985" s="12" customFormat="1" x14ac:dyDescent="0.25"/>
    <row r="85986" s="12" customFormat="1" x14ac:dyDescent="0.25"/>
    <row r="85987" s="12" customFormat="1" x14ac:dyDescent="0.25"/>
    <row r="85988" s="12" customFormat="1" x14ac:dyDescent="0.25"/>
    <row r="85989" s="12" customFormat="1" x14ac:dyDescent="0.25"/>
    <row r="85990" s="12" customFormat="1" x14ac:dyDescent="0.25"/>
    <row r="85991" s="12" customFormat="1" x14ac:dyDescent="0.25"/>
    <row r="85992" s="12" customFormat="1" x14ac:dyDescent="0.25"/>
    <row r="85993" s="12" customFormat="1" x14ac:dyDescent="0.25"/>
    <row r="85994" s="12" customFormat="1" x14ac:dyDescent="0.25"/>
    <row r="85995" s="12" customFormat="1" x14ac:dyDescent="0.25"/>
    <row r="85996" s="12" customFormat="1" x14ac:dyDescent="0.25"/>
    <row r="85997" s="12" customFormat="1" x14ac:dyDescent="0.25"/>
    <row r="85998" s="12" customFormat="1" x14ac:dyDescent="0.25"/>
    <row r="85999" s="12" customFormat="1" x14ac:dyDescent="0.25"/>
    <row r="86000" s="12" customFormat="1" x14ac:dyDescent="0.25"/>
    <row r="86001" s="12" customFormat="1" x14ac:dyDescent="0.25"/>
    <row r="86002" s="12" customFormat="1" x14ac:dyDescent="0.25"/>
    <row r="86003" s="12" customFormat="1" x14ac:dyDescent="0.25"/>
    <row r="86004" s="12" customFormat="1" x14ac:dyDescent="0.25"/>
    <row r="86005" s="12" customFormat="1" x14ac:dyDescent="0.25"/>
    <row r="86006" s="12" customFormat="1" x14ac:dyDescent="0.25"/>
    <row r="86007" s="12" customFormat="1" x14ac:dyDescent="0.25"/>
    <row r="86008" s="12" customFormat="1" x14ac:dyDescent="0.25"/>
    <row r="86009" s="12" customFormat="1" x14ac:dyDescent="0.25"/>
    <row r="86010" s="12" customFormat="1" x14ac:dyDescent="0.25"/>
    <row r="86011" s="12" customFormat="1" x14ac:dyDescent="0.25"/>
    <row r="86012" s="12" customFormat="1" x14ac:dyDescent="0.25"/>
    <row r="86013" s="12" customFormat="1" x14ac:dyDescent="0.25"/>
    <row r="86014" s="12" customFormat="1" x14ac:dyDescent="0.25"/>
    <row r="86015" s="12" customFormat="1" x14ac:dyDescent="0.25"/>
    <row r="86016" s="12" customFormat="1" x14ac:dyDescent="0.25"/>
    <row r="86017" s="12" customFormat="1" x14ac:dyDescent="0.25"/>
    <row r="86018" s="12" customFormat="1" x14ac:dyDescent="0.25"/>
    <row r="86019" s="12" customFormat="1" x14ac:dyDescent="0.25"/>
    <row r="86020" s="12" customFormat="1" x14ac:dyDescent="0.25"/>
    <row r="86021" s="12" customFormat="1" x14ac:dyDescent="0.25"/>
    <row r="86022" s="12" customFormat="1" x14ac:dyDescent="0.25"/>
    <row r="86023" s="12" customFormat="1" x14ac:dyDescent="0.25"/>
    <row r="86024" s="12" customFormat="1" x14ac:dyDescent="0.25"/>
    <row r="86025" s="12" customFormat="1" x14ac:dyDescent="0.25"/>
    <row r="86026" s="12" customFormat="1" x14ac:dyDescent="0.25"/>
    <row r="86027" s="12" customFormat="1" x14ac:dyDescent="0.25"/>
    <row r="86028" s="12" customFormat="1" x14ac:dyDescent="0.25"/>
    <row r="86029" s="12" customFormat="1" x14ac:dyDescent="0.25"/>
    <row r="86030" s="12" customFormat="1" x14ac:dyDescent="0.25"/>
    <row r="86031" s="12" customFormat="1" x14ac:dyDescent="0.25"/>
    <row r="86032" s="12" customFormat="1" x14ac:dyDescent="0.25"/>
    <row r="86033" s="12" customFormat="1" x14ac:dyDescent="0.25"/>
    <row r="86034" s="12" customFormat="1" x14ac:dyDescent="0.25"/>
    <row r="86035" s="12" customFormat="1" x14ac:dyDescent="0.25"/>
    <row r="86036" s="12" customFormat="1" x14ac:dyDescent="0.25"/>
    <row r="86037" s="12" customFormat="1" x14ac:dyDescent="0.25"/>
    <row r="86038" s="12" customFormat="1" x14ac:dyDescent="0.25"/>
    <row r="86039" s="12" customFormat="1" x14ac:dyDescent="0.25"/>
    <row r="86040" s="12" customFormat="1" x14ac:dyDescent="0.25"/>
    <row r="86041" s="12" customFormat="1" x14ac:dyDescent="0.25"/>
    <row r="86042" s="12" customFormat="1" x14ac:dyDescent="0.25"/>
    <row r="86043" s="12" customFormat="1" x14ac:dyDescent="0.25"/>
    <row r="86044" s="12" customFormat="1" x14ac:dyDescent="0.25"/>
    <row r="86045" s="12" customFormat="1" x14ac:dyDescent="0.25"/>
    <row r="86046" s="12" customFormat="1" x14ac:dyDescent="0.25"/>
    <row r="86047" s="12" customFormat="1" x14ac:dyDescent="0.25"/>
    <row r="86048" s="12" customFormat="1" x14ac:dyDescent="0.25"/>
    <row r="86049" s="12" customFormat="1" x14ac:dyDescent="0.25"/>
    <row r="86050" s="12" customFormat="1" x14ac:dyDescent="0.25"/>
    <row r="86051" s="12" customFormat="1" x14ac:dyDescent="0.25"/>
    <row r="86052" s="12" customFormat="1" x14ac:dyDescent="0.25"/>
    <row r="86053" s="12" customFormat="1" x14ac:dyDescent="0.25"/>
    <row r="86054" s="12" customFormat="1" x14ac:dyDescent="0.25"/>
    <row r="86055" s="12" customFormat="1" x14ac:dyDescent="0.25"/>
    <row r="86056" s="12" customFormat="1" x14ac:dyDescent="0.25"/>
    <row r="86057" s="12" customFormat="1" x14ac:dyDescent="0.25"/>
    <row r="86058" s="12" customFormat="1" x14ac:dyDescent="0.25"/>
    <row r="86059" s="12" customFormat="1" x14ac:dyDescent="0.25"/>
    <row r="86060" s="12" customFormat="1" x14ac:dyDescent="0.25"/>
    <row r="86061" s="12" customFormat="1" x14ac:dyDescent="0.25"/>
    <row r="86062" s="12" customFormat="1" x14ac:dyDescent="0.25"/>
    <row r="86063" s="12" customFormat="1" x14ac:dyDescent="0.25"/>
    <row r="86064" s="12" customFormat="1" x14ac:dyDescent="0.25"/>
    <row r="86065" s="12" customFormat="1" x14ac:dyDescent="0.25"/>
    <row r="86066" s="12" customFormat="1" x14ac:dyDescent="0.25"/>
    <row r="86067" s="12" customFormat="1" x14ac:dyDescent="0.25"/>
    <row r="86068" s="12" customFormat="1" x14ac:dyDescent="0.25"/>
    <row r="86069" s="12" customFormat="1" x14ac:dyDescent="0.25"/>
    <row r="86070" s="12" customFormat="1" x14ac:dyDescent="0.25"/>
    <row r="86071" s="12" customFormat="1" x14ac:dyDescent="0.25"/>
    <row r="86072" s="12" customFormat="1" x14ac:dyDescent="0.25"/>
    <row r="86073" s="12" customFormat="1" x14ac:dyDescent="0.25"/>
    <row r="86074" s="12" customFormat="1" x14ac:dyDescent="0.25"/>
    <row r="86075" s="12" customFormat="1" x14ac:dyDescent="0.25"/>
    <row r="86076" s="12" customFormat="1" x14ac:dyDescent="0.25"/>
    <row r="86077" s="12" customFormat="1" x14ac:dyDescent="0.25"/>
    <row r="86078" s="12" customFormat="1" x14ac:dyDescent="0.25"/>
    <row r="86079" s="12" customFormat="1" x14ac:dyDescent="0.25"/>
    <row r="86080" s="12" customFormat="1" x14ac:dyDescent="0.25"/>
    <row r="86081" s="12" customFormat="1" x14ac:dyDescent="0.25"/>
    <row r="86082" s="12" customFormat="1" x14ac:dyDescent="0.25"/>
    <row r="86083" s="12" customFormat="1" x14ac:dyDescent="0.25"/>
    <row r="86084" s="12" customFormat="1" x14ac:dyDescent="0.25"/>
    <row r="86085" s="12" customFormat="1" x14ac:dyDescent="0.25"/>
    <row r="86086" s="12" customFormat="1" x14ac:dyDescent="0.25"/>
    <row r="86087" s="12" customFormat="1" x14ac:dyDescent="0.25"/>
    <row r="86088" s="12" customFormat="1" x14ac:dyDescent="0.25"/>
    <row r="86089" s="12" customFormat="1" x14ac:dyDescent="0.25"/>
    <row r="86090" s="12" customFormat="1" x14ac:dyDescent="0.25"/>
    <row r="86091" s="12" customFormat="1" x14ac:dyDescent="0.25"/>
    <row r="86092" s="12" customFormat="1" x14ac:dyDescent="0.25"/>
    <row r="86093" s="12" customFormat="1" x14ac:dyDescent="0.25"/>
    <row r="86094" s="12" customFormat="1" x14ac:dyDescent="0.25"/>
    <row r="86095" s="12" customFormat="1" x14ac:dyDescent="0.25"/>
    <row r="86096" s="12" customFormat="1" x14ac:dyDescent="0.25"/>
    <row r="86097" s="12" customFormat="1" x14ac:dyDescent="0.25"/>
    <row r="86098" s="12" customFormat="1" x14ac:dyDescent="0.25"/>
    <row r="86099" s="12" customFormat="1" x14ac:dyDescent="0.25"/>
    <row r="86100" s="12" customFormat="1" x14ac:dyDescent="0.25"/>
    <row r="86101" s="12" customFormat="1" x14ac:dyDescent="0.25"/>
    <row r="86102" s="12" customFormat="1" x14ac:dyDescent="0.25"/>
    <row r="86103" s="12" customFormat="1" x14ac:dyDescent="0.25"/>
    <row r="86104" s="12" customFormat="1" x14ac:dyDescent="0.25"/>
    <row r="86105" s="12" customFormat="1" x14ac:dyDescent="0.25"/>
    <row r="86106" s="12" customFormat="1" x14ac:dyDescent="0.25"/>
    <row r="86107" s="12" customFormat="1" x14ac:dyDescent="0.25"/>
    <row r="86108" s="12" customFormat="1" x14ac:dyDescent="0.25"/>
    <row r="86109" s="12" customFormat="1" x14ac:dyDescent="0.25"/>
    <row r="86110" s="12" customFormat="1" x14ac:dyDescent="0.25"/>
    <row r="86111" s="12" customFormat="1" x14ac:dyDescent="0.25"/>
    <row r="86112" s="12" customFormat="1" x14ac:dyDescent="0.25"/>
    <row r="86113" s="12" customFormat="1" x14ac:dyDescent="0.25"/>
    <row r="86114" s="12" customFormat="1" x14ac:dyDescent="0.25"/>
    <row r="86115" s="12" customFormat="1" x14ac:dyDescent="0.25"/>
    <row r="86116" s="12" customFormat="1" x14ac:dyDescent="0.25"/>
    <row r="86117" s="12" customFormat="1" x14ac:dyDescent="0.25"/>
    <row r="86118" s="12" customFormat="1" x14ac:dyDescent="0.25"/>
    <row r="86119" s="12" customFormat="1" x14ac:dyDescent="0.25"/>
    <row r="86120" s="12" customFormat="1" x14ac:dyDescent="0.25"/>
    <row r="86121" s="12" customFormat="1" x14ac:dyDescent="0.25"/>
    <row r="86122" s="12" customFormat="1" x14ac:dyDescent="0.25"/>
    <row r="86123" s="12" customFormat="1" x14ac:dyDescent="0.25"/>
    <row r="86124" s="12" customFormat="1" x14ac:dyDescent="0.25"/>
    <row r="86125" s="12" customFormat="1" x14ac:dyDescent="0.25"/>
    <row r="86126" s="12" customFormat="1" x14ac:dyDescent="0.25"/>
    <row r="86127" s="12" customFormat="1" x14ac:dyDescent="0.25"/>
    <row r="86128" s="12" customFormat="1" x14ac:dyDescent="0.25"/>
    <row r="86129" s="12" customFormat="1" x14ac:dyDescent="0.25"/>
    <row r="86130" s="12" customFormat="1" x14ac:dyDescent="0.25"/>
    <row r="86131" s="12" customFormat="1" x14ac:dyDescent="0.25"/>
    <row r="86132" s="12" customFormat="1" x14ac:dyDescent="0.25"/>
    <row r="86133" s="12" customFormat="1" x14ac:dyDescent="0.25"/>
    <row r="86134" s="12" customFormat="1" x14ac:dyDescent="0.25"/>
    <row r="86135" s="12" customFormat="1" x14ac:dyDescent="0.25"/>
    <row r="86136" s="12" customFormat="1" x14ac:dyDescent="0.25"/>
    <row r="86137" s="12" customFormat="1" x14ac:dyDescent="0.25"/>
    <row r="86138" s="12" customFormat="1" x14ac:dyDescent="0.25"/>
    <row r="86139" s="12" customFormat="1" x14ac:dyDescent="0.25"/>
    <row r="86140" s="12" customFormat="1" x14ac:dyDescent="0.25"/>
    <row r="86141" s="12" customFormat="1" x14ac:dyDescent="0.25"/>
    <row r="86142" s="12" customFormat="1" x14ac:dyDescent="0.25"/>
    <row r="86143" s="12" customFormat="1" x14ac:dyDescent="0.25"/>
    <row r="86144" s="12" customFormat="1" x14ac:dyDescent="0.25"/>
    <row r="86145" s="12" customFormat="1" x14ac:dyDescent="0.25"/>
    <row r="86146" s="12" customFormat="1" x14ac:dyDescent="0.25"/>
    <row r="86147" s="12" customFormat="1" x14ac:dyDescent="0.25"/>
    <row r="86148" s="12" customFormat="1" x14ac:dyDescent="0.25"/>
    <row r="86149" s="12" customFormat="1" x14ac:dyDescent="0.25"/>
    <row r="86150" s="12" customFormat="1" x14ac:dyDescent="0.25"/>
    <row r="86151" s="12" customFormat="1" x14ac:dyDescent="0.25"/>
    <row r="86152" s="12" customFormat="1" x14ac:dyDescent="0.25"/>
    <row r="86153" s="12" customFormat="1" x14ac:dyDescent="0.25"/>
    <row r="86154" s="12" customFormat="1" x14ac:dyDescent="0.25"/>
    <row r="86155" s="12" customFormat="1" x14ac:dyDescent="0.25"/>
    <row r="86156" s="12" customFormat="1" x14ac:dyDescent="0.25"/>
    <row r="86157" s="12" customFormat="1" x14ac:dyDescent="0.25"/>
    <row r="86158" s="12" customFormat="1" x14ac:dyDescent="0.25"/>
    <row r="86159" s="12" customFormat="1" x14ac:dyDescent="0.25"/>
    <row r="86160" s="12" customFormat="1" x14ac:dyDescent="0.25"/>
    <row r="86161" s="12" customFormat="1" x14ac:dyDescent="0.25"/>
    <row r="86162" s="12" customFormat="1" x14ac:dyDescent="0.25"/>
    <row r="86163" s="12" customFormat="1" x14ac:dyDescent="0.25"/>
    <row r="86164" s="12" customFormat="1" x14ac:dyDescent="0.25"/>
    <row r="86165" s="12" customFormat="1" x14ac:dyDescent="0.25"/>
    <row r="86166" s="12" customFormat="1" x14ac:dyDescent="0.25"/>
    <row r="86167" s="12" customFormat="1" x14ac:dyDescent="0.25"/>
    <row r="86168" s="12" customFormat="1" x14ac:dyDescent="0.25"/>
    <row r="86169" s="12" customFormat="1" x14ac:dyDescent="0.25"/>
    <row r="86170" s="12" customFormat="1" x14ac:dyDescent="0.25"/>
    <row r="86171" s="12" customFormat="1" x14ac:dyDescent="0.25"/>
    <row r="86172" s="12" customFormat="1" x14ac:dyDescent="0.25"/>
    <row r="86173" s="12" customFormat="1" x14ac:dyDescent="0.25"/>
    <row r="86174" s="12" customFormat="1" x14ac:dyDescent="0.25"/>
    <row r="86175" s="12" customFormat="1" x14ac:dyDescent="0.25"/>
    <row r="86176" s="12" customFormat="1" x14ac:dyDescent="0.25"/>
    <row r="86177" s="12" customFormat="1" x14ac:dyDescent="0.25"/>
    <row r="86178" s="12" customFormat="1" x14ac:dyDescent="0.25"/>
    <row r="86179" s="12" customFormat="1" x14ac:dyDescent="0.25"/>
    <row r="86180" s="12" customFormat="1" x14ac:dyDescent="0.25"/>
    <row r="86181" s="12" customFormat="1" x14ac:dyDescent="0.25"/>
    <row r="86182" s="12" customFormat="1" x14ac:dyDescent="0.25"/>
    <row r="86183" s="12" customFormat="1" x14ac:dyDescent="0.25"/>
    <row r="86184" s="12" customFormat="1" x14ac:dyDescent="0.25"/>
    <row r="86185" s="12" customFormat="1" x14ac:dyDescent="0.25"/>
    <row r="86186" s="12" customFormat="1" x14ac:dyDescent="0.25"/>
    <row r="86187" s="12" customFormat="1" x14ac:dyDescent="0.25"/>
    <row r="86188" s="12" customFormat="1" x14ac:dyDescent="0.25"/>
    <row r="86189" s="12" customFormat="1" x14ac:dyDescent="0.25"/>
    <row r="86190" s="12" customFormat="1" x14ac:dyDescent="0.25"/>
    <row r="86191" s="12" customFormat="1" x14ac:dyDescent="0.25"/>
    <row r="86192" s="12" customFormat="1" x14ac:dyDescent="0.25"/>
    <row r="86193" s="12" customFormat="1" x14ac:dyDescent="0.25"/>
    <row r="86194" s="12" customFormat="1" x14ac:dyDescent="0.25"/>
    <row r="86195" s="12" customFormat="1" x14ac:dyDescent="0.25"/>
    <row r="86196" s="12" customFormat="1" x14ac:dyDescent="0.25"/>
    <row r="86197" s="12" customFormat="1" x14ac:dyDescent="0.25"/>
    <row r="86198" s="12" customFormat="1" x14ac:dyDescent="0.25"/>
    <row r="86199" s="12" customFormat="1" x14ac:dyDescent="0.25"/>
    <row r="86200" s="12" customFormat="1" x14ac:dyDescent="0.25"/>
    <row r="86201" s="12" customFormat="1" x14ac:dyDescent="0.25"/>
    <row r="86202" s="12" customFormat="1" x14ac:dyDescent="0.25"/>
    <row r="86203" s="12" customFormat="1" x14ac:dyDescent="0.25"/>
    <row r="86204" s="12" customFormat="1" x14ac:dyDescent="0.25"/>
    <row r="86205" s="12" customFormat="1" x14ac:dyDescent="0.25"/>
    <row r="86206" s="12" customFormat="1" x14ac:dyDescent="0.25"/>
    <row r="86207" s="12" customFormat="1" x14ac:dyDescent="0.25"/>
    <row r="86208" s="12" customFormat="1" x14ac:dyDescent="0.25"/>
    <row r="86209" s="12" customFormat="1" x14ac:dyDescent="0.25"/>
    <row r="86210" s="12" customFormat="1" x14ac:dyDescent="0.25"/>
    <row r="86211" s="12" customFormat="1" x14ac:dyDescent="0.25"/>
    <row r="86212" s="12" customFormat="1" x14ac:dyDescent="0.25"/>
    <row r="86213" s="12" customFormat="1" x14ac:dyDescent="0.25"/>
    <row r="86214" s="12" customFormat="1" x14ac:dyDescent="0.25"/>
    <row r="86215" s="12" customFormat="1" x14ac:dyDescent="0.25"/>
    <row r="86216" s="12" customFormat="1" x14ac:dyDescent="0.25"/>
    <row r="86217" s="12" customFormat="1" x14ac:dyDescent="0.25"/>
    <row r="86218" s="12" customFormat="1" x14ac:dyDescent="0.25"/>
    <row r="86219" s="12" customFormat="1" x14ac:dyDescent="0.25"/>
    <row r="86220" s="12" customFormat="1" x14ac:dyDescent="0.25"/>
    <row r="86221" s="12" customFormat="1" x14ac:dyDescent="0.25"/>
    <row r="86222" s="12" customFormat="1" x14ac:dyDescent="0.25"/>
    <row r="86223" s="12" customFormat="1" x14ac:dyDescent="0.25"/>
    <row r="86224" s="12" customFormat="1" x14ac:dyDescent="0.25"/>
    <row r="86225" s="12" customFormat="1" x14ac:dyDescent="0.25"/>
    <row r="86226" s="12" customFormat="1" x14ac:dyDescent="0.25"/>
    <row r="86227" s="12" customFormat="1" x14ac:dyDescent="0.25"/>
    <row r="86228" s="12" customFormat="1" x14ac:dyDescent="0.25"/>
    <row r="86229" s="12" customFormat="1" x14ac:dyDescent="0.25"/>
    <row r="86230" s="12" customFormat="1" x14ac:dyDescent="0.25"/>
    <row r="86231" s="12" customFormat="1" x14ac:dyDescent="0.25"/>
    <row r="86232" s="12" customFormat="1" x14ac:dyDescent="0.25"/>
    <row r="86233" s="12" customFormat="1" x14ac:dyDescent="0.25"/>
    <row r="86234" s="12" customFormat="1" x14ac:dyDescent="0.25"/>
    <row r="86235" s="12" customFormat="1" x14ac:dyDescent="0.25"/>
    <row r="86236" s="12" customFormat="1" x14ac:dyDescent="0.25"/>
    <row r="86237" s="12" customFormat="1" x14ac:dyDescent="0.25"/>
    <row r="86238" s="12" customFormat="1" x14ac:dyDescent="0.25"/>
    <row r="86239" s="12" customFormat="1" x14ac:dyDescent="0.25"/>
    <row r="86240" s="12" customFormat="1" x14ac:dyDescent="0.25"/>
    <row r="86241" s="12" customFormat="1" x14ac:dyDescent="0.25"/>
    <row r="86242" s="12" customFormat="1" x14ac:dyDescent="0.25"/>
    <row r="86243" s="12" customFormat="1" x14ac:dyDescent="0.25"/>
    <row r="86244" s="12" customFormat="1" x14ac:dyDescent="0.25"/>
    <row r="86245" s="12" customFormat="1" x14ac:dyDescent="0.25"/>
    <row r="86246" s="12" customFormat="1" x14ac:dyDescent="0.25"/>
    <row r="86247" s="12" customFormat="1" x14ac:dyDescent="0.25"/>
    <row r="86248" s="12" customFormat="1" x14ac:dyDescent="0.25"/>
    <row r="86249" s="12" customFormat="1" x14ac:dyDescent="0.25"/>
    <row r="86250" s="12" customFormat="1" x14ac:dyDescent="0.25"/>
    <row r="86251" s="12" customFormat="1" x14ac:dyDescent="0.25"/>
    <row r="86252" s="12" customFormat="1" x14ac:dyDescent="0.25"/>
    <row r="86253" s="12" customFormat="1" x14ac:dyDescent="0.25"/>
    <row r="86254" s="12" customFormat="1" x14ac:dyDescent="0.25"/>
    <row r="86255" s="12" customFormat="1" x14ac:dyDescent="0.25"/>
    <row r="86256" s="12" customFormat="1" x14ac:dyDescent="0.25"/>
    <row r="86257" s="12" customFormat="1" x14ac:dyDescent="0.25"/>
    <row r="86258" s="12" customFormat="1" x14ac:dyDescent="0.25"/>
    <row r="86259" s="12" customFormat="1" x14ac:dyDescent="0.25"/>
    <row r="86260" s="12" customFormat="1" x14ac:dyDescent="0.25"/>
    <row r="86261" s="12" customFormat="1" x14ac:dyDescent="0.25"/>
    <row r="86262" s="12" customFormat="1" x14ac:dyDescent="0.25"/>
    <row r="86263" s="12" customFormat="1" x14ac:dyDescent="0.25"/>
    <row r="86264" s="12" customFormat="1" x14ac:dyDescent="0.25"/>
    <row r="86265" s="12" customFormat="1" x14ac:dyDescent="0.25"/>
    <row r="86266" s="12" customFormat="1" x14ac:dyDescent="0.25"/>
    <row r="86267" s="12" customFormat="1" x14ac:dyDescent="0.25"/>
    <row r="86268" s="12" customFormat="1" x14ac:dyDescent="0.25"/>
    <row r="86269" s="12" customFormat="1" x14ac:dyDescent="0.25"/>
    <row r="86270" s="12" customFormat="1" x14ac:dyDescent="0.25"/>
    <row r="86271" s="12" customFormat="1" x14ac:dyDescent="0.25"/>
    <row r="86272" s="12" customFormat="1" x14ac:dyDescent="0.25"/>
    <row r="86273" s="12" customFormat="1" x14ac:dyDescent="0.25"/>
    <row r="86274" s="12" customFormat="1" x14ac:dyDescent="0.25"/>
    <row r="86275" s="12" customFormat="1" x14ac:dyDescent="0.25"/>
    <row r="86276" s="12" customFormat="1" x14ac:dyDescent="0.25"/>
    <row r="86277" s="12" customFormat="1" x14ac:dyDescent="0.25"/>
    <row r="86278" s="12" customFormat="1" x14ac:dyDescent="0.25"/>
    <row r="86279" s="12" customFormat="1" x14ac:dyDescent="0.25"/>
    <row r="86280" s="12" customFormat="1" x14ac:dyDescent="0.25"/>
    <row r="86281" s="12" customFormat="1" x14ac:dyDescent="0.25"/>
    <row r="86282" s="12" customFormat="1" x14ac:dyDescent="0.25"/>
    <row r="86283" s="12" customFormat="1" x14ac:dyDescent="0.25"/>
    <row r="86284" s="12" customFormat="1" x14ac:dyDescent="0.25"/>
    <row r="86285" s="12" customFormat="1" x14ac:dyDescent="0.25"/>
    <row r="86286" s="12" customFormat="1" x14ac:dyDescent="0.25"/>
    <row r="86287" s="12" customFormat="1" x14ac:dyDescent="0.25"/>
    <row r="86288" s="12" customFormat="1" x14ac:dyDescent="0.25"/>
    <row r="86289" s="12" customFormat="1" x14ac:dyDescent="0.25"/>
    <row r="86290" s="12" customFormat="1" x14ac:dyDescent="0.25"/>
    <row r="86291" s="12" customFormat="1" x14ac:dyDescent="0.25"/>
    <row r="86292" s="12" customFormat="1" x14ac:dyDescent="0.25"/>
    <row r="86293" s="12" customFormat="1" x14ac:dyDescent="0.25"/>
    <row r="86294" s="12" customFormat="1" x14ac:dyDescent="0.25"/>
    <row r="86295" s="12" customFormat="1" x14ac:dyDescent="0.25"/>
    <row r="86296" s="12" customFormat="1" x14ac:dyDescent="0.25"/>
    <row r="86297" s="12" customFormat="1" x14ac:dyDescent="0.25"/>
    <row r="86298" s="12" customFormat="1" x14ac:dyDescent="0.25"/>
    <row r="86299" s="12" customFormat="1" x14ac:dyDescent="0.25"/>
    <row r="86300" s="12" customFormat="1" x14ac:dyDescent="0.25"/>
    <row r="86301" s="12" customFormat="1" x14ac:dyDescent="0.25"/>
    <row r="86302" s="12" customFormat="1" x14ac:dyDescent="0.25"/>
    <row r="86303" s="12" customFormat="1" x14ac:dyDescent="0.25"/>
    <row r="86304" s="12" customFormat="1" x14ac:dyDescent="0.25"/>
    <row r="86305" s="12" customFormat="1" x14ac:dyDescent="0.25"/>
    <row r="86306" s="12" customFormat="1" x14ac:dyDescent="0.25"/>
    <row r="86307" s="12" customFormat="1" x14ac:dyDescent="0.25"/>
    <row r="86308" s="12" customFormat="1" x14ac:dyDescent="0.25"/>
    <row r="86309" s="12" customFormat="1" x14ac:dyDescent="0.25"/>
    <row r="86310" s="12" customFormat="1" x14ac:dyDescent="0.25"/>
    <row r="86311" s="12" customFormat="1" x14ac:dyDescent="0.25"/>
    <row r="86312" s="12" customFormat="1" x14ac:dyDescent="0.25"/>
    <row r="86313" s="12" customFormat="1" x14ac:dyDescent="0.25"/>
    <row r="86314" s="12" customFormat="1" x14ac:dyDescent="0.25"/>
    <row r="86315" s="12" customFormat="1" x14ac:dyDescent="0.25"/>
    <row r="86316" s="12" customFormat="1" x14ac:dyDescent="0.25"/>
    <row r="86317" s="12" customFormat="1" x14ac:dyDescent="0.25"/>
    <row r="86318" s="12" customFormat="1" x14ac:dyDescent="0.25"/>
    <row r="86319" s="12" customFormat="1" x14ac:dyDescent="0.25"/>
    <row r="86320" s="12" customFormat="1" x14ac:dyDescent="0.25"/>
    <row r="86321" s="12" customFormat="1" x14ac:dyDescent="0.25"/>
    <row r="86322" s="12" customFormat="1" x14ac:dyDescent="0.25"/>
    <row r="86323" s="12" customFormat="1" x14ac:dyDescent="0.25"/>
    <row r="86324" s="12" customFormat="1" x14ac:dyDescent="0.25"/>
    <row r="86325" s="12" customFormat="1" x14ac:dyDescent="0.25"/>
    <row r="86326" s="12" customFormat="1" x14ac:dyDescent="0.25"/>
    <row r="86327" s="12" customFormat="1" x14ac:dyDescent="0.25"/>
    <row r="86328" s="12" customFormat="1" x14ac:dyDescent="0.25"/>
    <row r="86329" s="12" customFormat="1" x14ac:dyDescent="0.25"/>
    <row r="86330" s="12" customFormat="1" x14ac:dyDescent="0.25"/>
    <row r="86331" s="12" customFormat="1" x14ac:dyDescent="0.25"/>
    <row r="86332" s="12" customFormat="1" x14ac:dyDescent="0.25"/>
    <row r="86333" s="12" customFormat="1" x14ac:dyDescent="0.25"/>
    <row r="86334" s="12" customFormat="1" x14ac:dyDescent="0.25"/>
    <row r="86335" s="12" customFormat="1" x14ac:dyDescent="0.25"/>
    <row r="86336" s="12" customFormat="1" x14ac:dyDescent="0.25"/>
    <row r="86337" s="12" customFormat="1" x14ac:dyDescent="0.25"/>
    <row r="86338" s="12" customFormat="1" x14ac:dyDescent="0.25"/>
    <row r="86339" s="12" customFormat="1" x14ac:dyDescent="0.25"/>
    <row r="86340" s="12" customFormat="1" x14ac:dyDescent="0.25"/>
    <row r="86341" s="12" customFormat="1" x14ac:dyDescent="0.25"/>
    <row r="86342" s="12" customFormat="1" x14ac:dyDescent="0.25"/>
    <row r="86343" s="12" customFormat="1" x14ac:dyDescent="0.25"/>
    <row r="86344" s="12" customFormat="1" x14ac:dyDescent="0.25"/>
    <row r="86345" s="12" customFormat="1" x14ac:dyDescent="0.25"/>
    <row r="86346" s="12" customFormat="1" x14ac:dyDescent="0.25"/>
    <row r="86347" s="12" customFormat="1" x14ac:dyDescent="0.25"/>
    <row r="86348" s="12" customFormat="1" x14ac:dyDescent="0.25"/>
    <row r="86349" s="12" customFormat="1" x14ac:dyDescent="0.25"/>
    <row r="86350" s="12" customFormat="1" x14ac:dyDescent="0.25"/>
    <row r="86351" s="12" customFormat="1" x14ac:dyDescent="0.25"/>
    <row r="86352" s="12" customFormat="1" x14ac:dyDescent="0.25"/>
    <row r="86353" s="12" customFormat="1" x14ac:dyDescent="0.25"/>
    <row r="86354" s="12" customFormat="1" x14ac:dyDescent="0.25"/>
    <row r="86355" s="12" customFormat="1" x14ac:dyDescent="0.25"/>
    <row r="86356" s="12" customFormat="1" x14ac:dyDescent="0.25"/>
    <row r="86357" s="12" customFormat="1" x14ac:dyDescent="0.25"/>
    <row r="86358" s="12" customFormat="1" x14ac:dyDescent="0.25"/>
    <row r="86359" s="12" customFormat="1" x14ac:dyDescent="0.25"/>
    <row r="86360" s="12" customFormat="1" x14ac:dyDescent="0.25"/>
    <row r="86361" s="12" customFormat="1" x14ac:dyDescent="0.25"/>
    <row r="86362" s="12" customFormat="1" x14ac:dyDescent="0.25"/>
    <row r="86363" s="12" customFormat="1" x14ac:dyDescent="0.25"/>
    <row r="86364" s="12" customFormat="1" x14ac:dyDescent="0.25"/>
    <row r="86365" s="12" customFormat="1" x14ac:dyDescent="0.25"/>
    <row r="86366" s="12" customFormat="1" x14ac:dyDescent="0.25"/>
    <row r="86367" s="12" customFormat="1" x14ac:dyDescent="0.25"/>
    <row r="86368" s="12" customFormat="1" x14ac:dyDescent="0.25"/>
    <row r="86369" s="12" customFormat="1" x14ac:dyDescent="0.25"/>
    <row r="86370" s="12" customFormat="1" x14ac:dyDescent="0.25"/>
    <row r="86371" s="12" customFormat="1" x14ac:dyDescent="0.25"/>
    <row r="86372" s="12" customFormat="1" x14ac:dyDescent="0.25"/>
    <row r="86373" s="12" customFormat="1" x14ac:dyDescent="0.25"/>
    <row r="86374" s="12" customFormat="1" x14ac:dyDescent="0.25"/>
    <row r="86375" s="12" customFormat="1" x14ac:dyDescent="0.25"/>
    <row r="86376" s="12" customFormat="1" x14ac:dyDescent="0.25"/>
    <row r="86377" s="12" customFormat="1" x14ac:dyDescent="0.25"/>
    <row r="86378" s="12" customFormat="1" x14ac:dyDescent="0.25"/>
    <row r="86379" s="12" customFormat="1" x14ac:dyDescent="0.25"/>
    <row r="86380" s="12" customFormat="1" x14ac:dyDescent="0.25"/>
    <row r="86381" s="12" customFormat="1" x14ac:dyDescent="0.25"/>
    <row r="86382" s="12" customFormat="1" x14ac:dyDescent="0.25"/>
    <row r="86383" s="12" customFormat="1" x14ac:dyDescent="0.25"/>
    <row r="86384" s="12" customFormat="1" x14ac:dyDescent="0.25"/>
    <row r="86385" s="12" customFormat="1" x14ac:dyDescent="0.25"/>
    <row r="86386" s="12" customFormat="1" x14ac:dyDescent="0.25"/>
    <row r="86387" s="12" customFormat="1" x14ac:dyDescent="0.25"/>
    <row r="86388" s="12" customFormat="1" x14ac:dyDescent="0.25"/>
    <row r="86389" s="12" customFormat="1" x14ac:dyDescent="0.25"/>
    <row r="86390" s="12" customFormat="1" x14ac:dyDescent="0.25"/>
    <row r="86391" s="12" customFormat="1" x14ac:dyDescent="0.25"/>
    <row r="86392" s="12" customFormat="1" x14ac:dyDescent="0.25"/>
    <row r="86393" s="12" customFormat="1" x14ac:dyDescent="0.25"/>
    <row r="86394" s="12" customFormat="1" x14ac:dyDescent="0.25"/>
    <row r="86395" s="12" customFormat="1" x14ac:dyDescent="0.25"/>
    <row r="86396" s="12" customFormat="1" x14ac:dyDescent="0.25"/>
    <row r="86397" s="12" customFormat="1" x14ac:dyDescent="0.25"/>
    <row r="86398" s="12" customFormat="1" x14ac:dyDescent="0.25"/>
    <row r="86399" s="12" customFormat="1" x14ac:dyDescent="0.25"/>
    <row r="86400" s="12" customFormat="1" x14ac:dyDescent="0.25"/>
    <row r="86401" s="12" customFormat="1" x14ac:dyDescent="0.25"/>
    <row r="86402" s="12" customFormat="1" x14ac:dyDescent="0.25"/>
    <row r="86403" s="12" customFormat="1" x14ac:dyDescent="0.25"/>
    <row r="86404" s="12" customFormat="1" x14ac:dyDescent="0.25"/>
    <row r="86405" s="12" customFormat="1" x14ac:dyDescent="0.25"/>
    <row r="86406" s="12" customFormat="1" x14ac:dyDescent="0.25"/>
    <row r="86407" s="12" customFormat="1" x14ac:dyDescent="0.25"/>
    <row r="86408" s="12" customFormat="1" x14ac:dyDescent="0.25"/>
    <row r="86409" s="12" customFormat="1" x14ac:dyDescent="0.25"/>
    <row r="86410" s="12" customFormat="1" x14ac:dyDescent="0.25"/>
    <row r="86411" s="12" customFormat="1" x14ac:dyDescent="0.25"/>
    <row r="86412" s="12" customFormat="1" x14ac:dyDescent="0.25"/>
    <row r="86413" s="12" customFormat="1" x14ac:dyDescent="0.25"/>
    <row r="86414" s="12" customFormat="1" x14ac:dyDescent="0.25"/>
    <row r="86415" s="12" customFormat="1" x14ac:dyDescent="0.25"/>
    <row r="86416" s="12" customFormat="1" x14ac:dyDescent="0.25"/>
    <row r="86417" s="12" customFormat="1" x14ac:dyDescent="0.25"/>
    <row r="86418" s="12" customFormat="1" x14ac:dyDescent="0.25"/>
    <row r="86419" s="12" customFormat="1" x14ac:dyDescent="0.25"/>
    <row r="86420" s="12" customFormat="1" x14ac:dyDescent="0.25"/>
    <row r="86421" s="12" customFormat="1" x14ac:dyDescent="0.25"/>
    <row r="86422" s="12" customFormat="1" x14ac:dyDescent="0.25"/>
    <row r="86423" s="12" customFormat="1" x14ac:dyDescent="0.25"/>
    <row r="86424" s="12" customFormat="1" x14ac:dyDescent="0.25"/>
    <row r="86425" s="12" customFormat="1" x14ac:dyDescent="0.25"/>
    <row r="86426" s="12" customFormat="1" x14ac:dyDescent="0.25"/>
    <row r="86427" s="12" customFormat="1" x14ac:dyDescent="0.25"/>
    <row r="86428" s="12" customFormat="1" x14ac:dyDescent="0.25"/>
    <row r="86429" s="12" customFormat="1" x14ac:dyDescent="0.25"/>
    <row r="86430" s="12" customFormat="1" x14ac:dyDescent="0.25"/>
    <row r="86431" s="12" customFormat="1" x14ac:dyDescent="0.25"/>
    <row r="86432" s="12" customFormat="1" x14ac:dyDescent="0.25"/>
    <row r="86433" s="12" customFormat="1" x14ac:dyDescent="0.25"/>
    <row r="86434" s="12" customFormat="1" x14ac:dyDescent="0.25"/>
    <row r="86435" s="12" customFormat="1" x14ac:dyDescent="0.25"/>
    <row r="86436" s="12" customFormat="1" x14ac:dyDescent="0.25"/>
    <row r="86437" s="12" customFormat="1" x14ac:dyDescent="0.25"/>
    <row r="86438" s="12" customFormat="1" x14ac:dyDescent="0.25"/>
    <row r="86439" s="12" customFormat="1" x14ac:dyDescent="0.25"/>
    <row r="86440" s="12" customFormat="1" x14ac:dyDescent="0.25"/>
    <row r="86441" s="12" customFormat="1" x14ac:dyDescent="0.25"/>
    <row r="86442" s="12" customFormat="1" x14ac:dyDescent="0.25"/>
    <row r="86443" s="12" customFormat="1" x14ac:dyDescent="0.25"/>
    <row r="86444" s="12" customFormat="1" x14ac:dyDescent="0.25"/>
    <row r="86445" s="12" customFormat="1" x14ac:dyDescent="0.25"/>
    <row r="86446" s="12" customFormat="1" x14ac:dyDescent="0.25"/>
    <row r="86447" s="12" customFormat="1" x14ac:dyDescent="0.25"/>
    <row r="86448" s="12" customFormat="1" x14ac:dyDescent="0.25"/>
    <row r="86449" s="12" customFormat="1" x14ac:dyDescent="0.25"/>
    <row r="86450" s="12" customFormat="1" x14ac:dyDescent="0.25"/>
    <row r="86451" s="12" customFormat="1" x14ac:dyDescent="0.25"/>
    <row r="86452" s="12" customFormat="1" x14ac:dyDescent="0.25"/>
    <row r="86453" s="12" customFormat="1" x14ac:dyDescent="0.25"/>
    <row r="86454" s="12" customFormat="1" x14ac:dyDescent="0.25"/>
    <row r="86455" s="12" customFormat="1" x14ac:dyDescent="0.25"/>
    <row r="86456" s="12" customFormat="1" x14ac:dyDescent="0.25"/>
    <row r="86457" s="12" customFormat="1" x14ac:dyDescent="0.25"/>
    <row r="86458" s="12" customFormat="1" x14ac:dyDescent="0.25"/>
    <row r="86459" s="12" customFormat="1" x14ac:dyDescent="0.25"/>
    <row r="86460" s="12" customFormat="1" x14ac:dyDescent="0.25"/>
    <row r="86461" s="12" customFormat="1" x14ac:dyDescent="0.25"/>
    <row r="86462" s="12" customFormat="1" x14ac:dyDescent="0.25"/>
    <row r="86463" s="12" customFormat="1" x14ac:dyDescent="0.25"/>
    <row r="86464" s="12" customFormat="1" x14ac:dyDescent="0.25"/>
    <row r="86465" s="12" customFormat="1" x14ac:dyDescent="0.25"/>
    <row r="86466" s="12" customFormat="1" x14ac:dyDescent="0.25"/>
    <row r="86467" s="12" customFormat="1" x14ac:dyDescent="0.25"/>
    <row r="86468" s="12" customFormat="1" x14ac:dyDescent="0.25"/>
    <row r="86469" s="12" customFormat="1" x14ac:dyDescent="0.25"/>
    <row r="86470" s="12" customFormat="1" x14ac:dyDescent="0.25"/>
    <row r="86471" s="12" customFormat="1" x14ac:dyDescent="0.25"/>
    <row r="86472" s="12" customFormat="1" x14ac:dyDescent="0.25"/>
    <row r="86473" s="12" customFormat="1" x14ac:dyDescent="0.25"/>
    <row r="86474" s="12" customFormat="1" x14ac:dyDescent="0.25"/>
    <row r="86475" s="12" customFormat="1" x14ac:dyDescent="0.25"/>
    <row r="86476" s="12" customFormat="1" x14ac:dyDescent="0.25"/>
    <row r="86477" s="12" customFormat="1" x14ac:dyDescent="0.25"/>
    <row r="86478" s="12" customFormat="1" x14ac:dyDescent="0.25"/>
    <row r="86479" s="12" customFormat="1" x14ac:dyDescent="0.25"/>
    <row r="86480" s="12" customFormat="1" x14ac:dyDescent="0.25"/>
    <row r="86481" s="12" customFormat="1" x14ac:dyDescent="0.25"/>
    <row r="86482" s="12" customFormat="1" x14ac:dyDescent="0.25"/>
    <row r="86483" s="12" customFormat="1" x14ac:dyDescent="0.25"/>
    <row r="86484" s="12" customFormat="1" x14ac:dyDescent="0.25"/>
    <row r="86485" s="12" customFormat="1" x14ac:dyDescent="0.25"/>
    <row r="86486" s="12" customFormat="1" x14ac:dyDescent="0.25"/>
    <row r="86487" s="12" customFormat="1" x14ac:dyDescent="0.25"/>
    <row r="86488" s="12" customFormat="1" x14ac:dyDescent="0.25"/>
    <row r="86489" s="12" customFormat="1" x14ac:dyDescent="0.25"/>
    <row r="86490" s="12" customFormat="1" x14ac:dyDescent="0.25"/>
    <row r="86491" s="12" customFormat="1" x14ac:dyDescent="0.25"/>
    <row r="86492" s="12" customFormat="1" x14ac:dyDescent="0.25"/>
    <row r="86493" s="12" customFormat="1" x14ac:dyDescent="0.25"/>
    <row r="86494" s="12" customFormat="1" x14ac:dyDescent="0.25"/>
    <row r="86495" s="12" customFormat="1" x14ac:dyDescent="0.25"/>
    <row r="86496" s="12" customFormat="1" x14ac:dyDescent="0.25"/>
    <row r="86497" s="12" customFormat="1" x14ac:dyDescent="0.25"/>
    <row r="86498" s="12" customFormat="1" x14ac:dyDescent="0.25"/>
    <row r="86499" s="12" customFormat="1" x14ac:dyDescent="0.25"/>
    <row r="86500" s="12" customFormat="1" x14ac:dyDescent="0.25"/>
    <row r="86501" s="12" customFormat="1" x14ac:dyDescent="0.25"/>
    <row r="86502" s="12" customFormat="1" x14ac:dyDescent="0.25"/>
    <row r="86503" s="12" customFormat="1" x14ac:dyDescent="0.25"/>
    <row r="86504" s="12" customFormat="1" x14ac:dyDescent="0.25"/>
    <row r="86505" s="12" customFormat="1" x14ac:dyDescent="0.25"/>
    <row r="86506" s="12" customFormat="1" x14ac:dyDescent="0.25"/>
    <row r="86507" s="12" customFormat="1" x14ac:dyDescent="0.25"/>
    <row r="86508" s="12" customFormat="1" x14ac:dyDescent="0.25"/>
    <row r="86509" s="12" customFormat="1" x14ac:dyDescent="0.25"/>
    <row r="86510" s="12" customFormat="1" x14ac:dyDescent="0.25"/>
    <row r="86511" s="12" customFormat="1" x14ac:dyDescent="0.25"/>
    <row r="86512" s="12" customFormat="1" x14ac:dyDescent="0.25"/>
    <row r="86513" s="12" customFormat="1" x14ac:dyDescent="0.25"/>
    <row r="86514" s="12" customFormat="1" x14ac:dyDescent="0.25"/>
    <row r="86515" s="12" customFormat="1" x14ac:dyDescent="0.25"/>
    <row r="86516" s="12" customFormat="1" x14ac:dyDescent="0.25"/>
    <row r="86517" s="12" customFormat="1" x14ac:dyDescent="0.25"/>
    <row r="86518" s="12" customFormat="1" x14ac:dyDescent="0.25"/>
    <row r="86519" s="12" customFormat="1" x14ac:dyDescent="0.25"/>
    <row r="86520" s="12" customFormat="1" x14ac:dyDescent="0.25"/>
    <row r="86521" s="12" customFormat="1" x14ac:dyDescent="0.25"/>
    <row r="86522" s="12" customFormat="1" x14ac:dyDescent="0.25"/>
    <row r="86523" s="12" customFormat="1" x14ac:dyDescent="0.25"/>
    <row r="86524" s="12" customFormat="1" x14ac:dyDescent="0.25"/>
    <row r="86525" s="12" customFormat="1" x14ac:dyDescent="0.25"/>
    <row r="86526" s="12" customFormat="1" x14ac:dyDescent="0.25"/>
    <row r="86527" s="12" customFormat="1" x14ac:dyDescent="0.25"/>
    <row r="86528" s="12" customFormat="1" x14ac:dyDescent="0.25"/>
    <row r="86529" s="12" customFormat="1" x14ac:dyDescent="0.25"/>
    <row r="86530" s="12" customFormat="1" x14ac:dyDescent="0.25"/>
    <row r="86531" s="12" customFormat="1" x14ac:dyDescent="0.25"/>
    <row r="86532" s="12" customFormat="1" x14ac:dyDescent="0.25"/>
    <row r="86533" s="12" customFormat="1" x14ac:dyDescent="0.25"/>
    <row r="86534" s="12" customFormat="1" x14ac:dyDescent="0.25"/>
    <row r="86535" s="12" customFormat="1" x14ac:dyDescent="0.25"/>
    <row r="86536" s="12" customFormat="1" x14ac:dyDescent="0.25"/>
    <row r="86537" s="12" customFormat="1" x14ac:dyDescent="0.25"/>
    <row r="86538" s="12" customFormat="1" x14ac:dyDescent="0.25"/>
    <row r="86539" s="12" customFormat="1" x14ac:dyDescent="0.25"/>
    <row r="86540" s="12" customFormat="1" x14ac:dyDescent="0.25"/>
    <row r="86541" s="12" customFormat="1" x14ac:dyDescent="0.25"/>
    <row r="86542" s="12" customFormat="1" x14ac:dyDescent="0.25"/>
    <row r="86543" s="12" customFormat="1" x14ac:dyDescent="0.25"/>
    <row r="86544" s="12" customFormat="1" x14ac:dyDescent="0.25"/>
    <row r="86545" s="12" customFormat="1" x14ac:dyDescent="0.25"/>
    <row r="86546" s="12" customFormat="1" x14ac:dyDescent="0.25"/>
    <row r="86547" s="12" customFormat="1" x14ac:dyDescent="0.25"/>
    <row r="86548" s="12" customFormat="1" x14ac:dyDescent="0.25"/>
    <row r="86549" s="12" customFormat="1" x14ac:dyDescent="0.25"/>
    <row r="86550" s="12" customFormat="1" x14ac:dyDescent="0.25"/>
    <row r="86551" s="12" customFormat="1" x14ac:dyDescent="0.25"/>
    <row r="86552" s="12" customFormat="1" x14ac:dyDescent="0.25"/>
    <row r="86553" s="12" customFormat="1" x14ac:dyDescent="0.25"/>
    <row r="86554" s="12" customFormat="1" x14ac:dyDescent="0.25"/>
    <row r="86555" s="12" customFormat="1" x14ac:dyDescent="0.25"/>
    <row r="86556" s="12" customFormat="1" x14ac:dyDescent="0.25"/>
    <row r="86557" s="12" customFormat="1" x14ac:dyDescent="0.25"/>
    <row r="86558" s="12" customFormat="1" x14ac:dyDescent="0.25"/>
    <row r="86559" s="12" customFormat="1" x14ac:dyDescent="0.25"/>
    <row r="86560" s="12" customFormat="1" x14ac:dyDescent="0.25"/>
    <row r="86561" s="12" customFormat="1" x14ac:dyDescent="0.25"/>
    <row r="86562" s="12" customFormat="1" x14ac:dyDescent="0.25"/>
    <row r="86563" s="12" customFormat="1" x14ac:dyDescent="0.25"/>
    <row r="86564" s="12" customFormat="1" x14ac:dyDescent="0.25"/>
    <row r="86565" s="12" customFormat="1" x14ac:dyDescent="0.25"/>
    <row r="86566" s="12" customFormat="1" x14ac:dyDescent="0.25"/>
    <row r="86567" s="12" customFormat="1" x14ac:dyDescent="0.25"/>
    <row r="86568" s="12" customFormat="1" x14ac:dyDescent="0.25"/>
    <row r="86569" s="12" customFormat="1" x14ac:dyDescent="0.25"/>
    <row r="86570" s="12" customFormat="1" x14ac:dyDescent="0.25"/>
    <row r="86571" s="12" customFormat="1" x14ac:dyDescent="0.25"/>
    <row r="86572" s="12" customFormat="1" x14ac:dyDescent="0.25"/>
    <row r="86573" s="12" customFormat="1" x14ac:dyDescent="0.25"/>
    <row r="86574" s="12" customFormat="1" x14ac:dyDescent="0.25"/>
    <row r="86575" s="12" customFormat="1" x14ac:dyDescent="0.25"/>
    <row r="86576" s="12" customFormat="1" x14ac:dyDescent="0.25"/>
    <row r="86577" s="12" customFormat="1" x14ac:dyDescent="0.25"/>
    <row r="86578" s="12" customFormat="1" x14ac:dyDescent="0.25"/>
    <row r="86579" s="12" customFormat="1" x14ac:dyDescent="0.25"/>
    <row r="86580" s="12" customFormat="1" x14ac:dyDescent="0.25"/>
    <row r="86581" s="12" customFormat="1" x14ac:dyDescent="0.25"/>
    <row r="86582" s="12" customFormat="1" x14ac:dyDescent="0.25"/>
    <row r="86583" s="12" customFormat="1" x14ac:dyDescent="0.25"/>
    <row r="86584" s="12" customFormat="1" x14ac:dyDescent="0.25"/>
    <row r="86585" s="12" customFormat="1" x14ac:dyDescent="0.25"/>
    <row r="86586" s="12" customFormat="1" x14ac:dyDescent="0.25"/>
    <row r="86587" s="12" customFormat="1" x14ac:dyDescent="0.25"/>
    <row r="86588" s="12" customFormat="1" x14ac:dyDescent="0.25"/>
    <row r="86589" s="12" customFormat="1" x14ac:dyDescent="0.25"/>
    <row r="86590" s="12" customFormat="1" x14ac:dyDescent="0.25"/>
    <row r="86591" s="12" customFormat="1" x14ac:dyDescent="0.25"/>
    <row r="86592" s="12" customFormat="1" x14ac:dyDescent="0.25"/>
    <row r="86593" s="12" customFormat="1" x14ac:dyDescent="0.25"/>
    <row r="86594" s="12" customFormat="1" x14ac:dyDescent="0.25"/>
    <row r="86595" s="12" customFormat="1" x14ac:dyDescent="0.25"/>
    <row r="86596" s="12" customFormat="1" x14ac:dyDescent="0.25"/>
    <row r="86597" s="12" customFormat="1" x14ac:dyDescent="0.25"/>
    <row r="86598" s="12" customFormat="1" x14ac:dyDescent="0.25"/>
    <row r="86599" s="12" customFormat="1" x14ac:dyDescent="0.25"/>
    <row r="86600" s="12" customFormat="1" x14ac:dyDescent="0.25"/>
    <row r="86601" s="12" customFormat="1" x14ac:dyDescent="0.25"/>
    <row r="86602" s="12" customFormat="1" x14ac:dyDescent="0.25"/>
    <row r="86603" s="12" customFormat="1" x14ac:dyDescent="0.25"/>
    <row r="86604" s="12" customFormat="1" x14ac:dyDescent="0.25"/>
    <row r="86605" s="12" customFormat="1" x14ac:dyDescent="0.25"/>
    <row r="86606" s="12" customFormat="1" x14ac:dyDescent="0.25"/>
    <row r="86607" s="12" customFormat="1" x14ac:dyDescent="0.25"/>
    <row r="86608" s="12" customFormat="1" x14ac:dyDescent="0.25"/>
    <row r="86609" s="12" customFormat="1" x14ac:dyDescent="0.25"/>
    <row r="86610" s="12" customFormat="1" x14ac:dyDescent="0.25"/>
    <row r="86611" s="12" customFormat="1" x14ac:dyDescent="0.25"/>
    <row r="86612" s="12" customFormat="1" x14ac:dyDescent="0.25"/>
    <row r="86613" s="12" customFormat="1" x14ac:dyDescent="0.25"/>
    <row r="86614" s="12" customFormat="1" x14ac:dyDescent="0.25"/>
    <row r="86615" s="12" customFormat="1" x14ac:dyDescent="0.25"/>
    <row r="86616" s="12" customFormat="1" x14ac:dyDescent="0.25"/>
    <row r="86617" s="12" customFormat="1" x14ac:dyDescent="0.25"/>
    <row r="86618" s="12" customFormat="1" x14ac:dyDescent="0.25"/>
    <row r="86619" s="12" customFormat="1" x14ac:dyDescent="0.25"/>
    <row r="86620" s="12" customFormat="1" x14ac:dyDescent="0.25"/>
    <row r="86621" s="12" customFormat="1" x14ac:dyDescent="0.25"/>
    <row r="86622" s="12" customFormat="1" x14ac:dyDescent="0.25"/>
    <row r="86623" s="12" customFormat="1" x14ac:dyDescent="0.25"/>
    <row r="86624" s="12" customFormat="1" x14ac:dyDescent="0.25"/>
    <row r="86625" s="12" customFormat="1" x14ac:dyDescent="0.25"/>
    <row r="86626" s="12" customFormat="1" x14ac:dyDescent="0.25"/>
    <row r="86627" s="12" customFormat="1" x14ac:dyDescent="0.25"/>
    <row r="86628" s="12" customFormat="1" x14ac:dyDescent="0.25"/>
    <row r="86629" s="12" customFormat="1" x14ac:dyDescent="0.25"/>
    <row r="86630" s="12" customFormat="1" x14ac:dyDescent="0.25"/>
    <row r="86631" s="12" customFormat="1" x14ac:dyDescent="0.25"/>
    <row r="86632" s="12" customFormat="1" x14ac:dyDescent="0.25"/>
    <row r="86633" s="12" customFormat="1" x14ac:dyDescent="0.25"/>
    <row r="86634" s="12" customFormat="1" x14ac:dyDescent="0.25"/>
    <row r="86635" s="12" customFormat="1" x14ac:dyDescent="0.25"/>
    <row r="86636" s="12" customFormat="1" x14ac:dyDescent="0.25"/>
    <row r="86637" s="12" customFormat="1" x14ac:dyDescent="0.25"/>
    <row r="86638" s="12" customFormat="1" x14ac:dyDescent="0.25"/>
    <row r="86639" s="12" customFormat="1" x14ac:dyDescent="0.25"/>
    <row r="86640" s="12" customFormat="1" x14ac:dyDescent="0.25"/>
    <row r="86641" s="12" customFormat="1" x14ac:dyDescent="0.25"/>
    <row r="86642" s="12" customFormat="1" x14ac:dyDescent="0.25"/>
    <row r="86643" s="12" customFormat="1" x14ac:dyDescent="0.25"/>
    <row r="86644" s="12" customFormat="1" x14ac:dyDescent="0.25"/>
    <row r="86645" s="12" customFormat="1" x14ac:dyDescent="0.25"/>
    <row r="86646" s="12" customFormat="1" x14ac:dyDescent="0.25"/>
    <row r="86647" s="12" customFormat="1" x14ac:dyDescent="0.25"/>
    <row r="86648" s="12" customFormat="1" x14ac:dyDescent="0.25"/>
    <row r="86649" s="12" customFormat="1" x14ac:dyDescent="0.25"/>
    <row r="86650" s="12" customFormat="1" x14ac:dyDescent="0.25"/>
    <row r="86651" s="12" customFormat="1" x14ac:dyDescent="0.25"/>
    <row r="86652" s="12" customFormat="1" x14ac:dyDescent="0.25"/>
    <row r="86653" s="12" customFormat="1" x14ac:dyDescent="0.25"/>
    <row r="86654" s="12" customFormat="1" x14ac:dyDescent="0.25"/>
    <row r="86655" s="12" customFormat="1" x14ac:dyDescent="0.25"/>
    <row r="86656" s="12" customFormat="1" x14ac:dyDescent="0.25"/>
    <row r="86657" s="12" customFormat="1" x14ac:dyDescent="0.25"/>
    <row r="86658" s="12" customFormat="1" x14ac:dyDescent="0.25"/>
    <row r="86659" s="12" customFormat="1" x14ac:dyDescent="0.25"/>
    <row r="86660" s="12" customFormat="1" x14ac:dyDescent="0.25"/>
    <row r="86661" s="12" customFormat="1" x14ac:dyDescent="0.25"/>
    <row r="86662" s="12" customFormat="1" x14ac:dyDescent="0.25"/>
    <row r="86663" s="12" customFormat="1" x14ac:dyDescent="0.25"/>
    <row r="86664" s="12" customFormat="1" x14ac:dyDescent="0.25"/>
    <row r="86665" s="12" customFormat="1" x14ac:dyDescent="0.25"/>
    <row r="86666" s="12" customFormat="1" x14ac:dyDescent="0.25"/>
    <row r="86667" s="12" customFormat="1" x14ac:dyDescent="0.25"/>
    <row r="86668" s="12" customFormat="1" x14ac:dyDescent="0.25"/>
    <row r="86669" s="12" customFormat="1" x14ac:dyDescent="0.25"/>
    <row r="86670" s="12" customFormat="1" x14ac:dyDescent="0.25"/>
    <row r="86671" s="12" customFormat="1" x14ac:dyDescent="0.25"/>
    <row r="86672" s="12" customFormat="1" x14ac:dyDescent="0.25"/>
    <row r="86673" s="12" customFormat="1" x14ac:dyDescent="0.25"/>
    <row r="86674" s="12" customFormat="1" x14ac:dyDescent="0.25"/>
    <row r="86675" s="12" customFormat="1" x14ac:dyDescent="0.25"/>
    <row r="86676" s="12" customFormat="1" x14ac:dyDescent="0.25"/>
    <row r="86677" s="12" customFormat="1" x14ac:dyDescent="0.25"/>
    <row r="86678" s="12" customFormat="1" x14ac:dyDescent="0.25"/>
    <row r="86679" s="12" customFormat="1" x14ac:dyDescent="0.25"/>
    <row r="86680" s="12" customFormat="1" x14ac:dyDescent="0.25"/>
    <row r="86681" s="12" customFormat="1" x14ac:dyDescent="0.25"/>
    <row r="86682" s="12" customFormat="1" x14ac:dyDescent="0.25"/>
    <row r="86683" s="12" customFormat="1" x14ac:dyDescent="0.25"/>
    <row r="86684" s="12" customFormat="1" x14ac:dyDescent="0.25"/>
    <row r="86685" s="12" customFormat="1" x14ac:dyDescent="0.25"/>
    <row r="86686" s="12" customFormat="1" x14ac:dyDescent="0.25"/>
    <row r="86687" s="12" customFormat="1" x14ac:dyDescent="0.25"/>
    <row r="86688" s="12" customFormat="1" x14ac:dyDescent="0.25"/>
    <row r="86689" s="12" customFormat="1" x14ac:dyDescent="0.25"/>
    <row r="86690" s="12" customFormat="1" x14ac:dyDescent="0.25"/>
    <row r="86691" s="12" customFormat="1" x14ac:dyDescent="0.25"/>
    <row r="86692" s="12" customFormat="1" x14ac:dyDescent="0.25"/>
    <row r="86693" s="12" customFormat="1" x14ac:dyDescent="0.25"/>
    <row r="86694" s="12" customFormat="1" x14ac:dyDescent="0.25"/>
    <row r="86695" s="12" customFormat="1" x14ac:dyDescent="0.25"/>
    <row r="86696" s="12" customFormat="1" x14ac:dyDescent="0.25"/>
    <row r="86697" s="12" customFormat="1" x14ac:dyDescent="0.25"/>
    <row r="86698" s="12" customFormat="1" x14ac:dyDescent="0.25"/>
    <row r="86699" s="12" customFormat="1" x14ac:dyDescent="0.25"/>
    <row r="86700" s="12" customFormat="1" x14ac:dyDescent="0.25"/>
    <row r="86701" s="12" customFormat="1" x14ac:dyDescent="0.25"/>
    <row r="86702" s="12" customFormat="1" x14ac:dyDescent="0.25"/>
    <row r="86703" s="12" customFormat="1" x14ac:dyDescent="0.25"/>
    <row r="86704" s="12" customFormat="1" x14ac:dyDescent="0.25"/>
    <row r="86705" s="12" customFormat="1" x14ac:dyDescent="0.25"/>
    <row r="86706" s="12" customFormat="1" x14ac:dyDescent="0.25"/>
    <row r="86707" s="12" customFormat="1" x14ac:dyDescent="0.25"/>
    <row r="86708" s="12" customFormat="1" x14ac:dyDescent="0.25"/>
    <row r="86709" s="12" customFormat="1" x14ac:dyDescent="0.25"/>
    <row r="86710" s="12" customFormat="1" x14ac:dyDescent="0.25"/>
    <row r="86711" s="12" customFormat="1" x14ac:dyDescent="0.25"/>
    <row r="86712" s="12" customFormat="1" x14ac:dyDescent="0.25"/>
    <row r="86713" s="12" customFormat="1" x14ac:dyDescent="0.25"/>
    <row r="86714" s="12" customFormat="1" x14ac:dyDescent="0.25"/>
    <row r="86715" s="12" customFormat="1" x14ac:dyDescent="0.25"/>
    <row r="86716" s="12" customFormat="1" x14ac:dyDescent="0.25"/>
    <row r="86717" s="12" customFormat="1" x14ac:dyDescent="0.25"/>
    <row r="86718" s="12" customFormat="1" x14ac:dyDescent="0.25"/>
    <row r="86719" s="12" customFormat="1" x14ac:dyDescent="0.25"/>
    <row r="86720" s="12" customFormat="1" x14ac:dyDescent="0.25"/>
    <row r="86721" s="12" customFormat="1" x14ac:dyDescent="0.25"/>
    <row r="86722" s="12" customFormat="1" x14ac:dyDescent="0.25"/>
    <row r="86723" s="12" customFormat="1" x14ac:dyDescent="0.25"/>
    <row r="86724" s="12" customFormat="1" x14ac:dyDescent="0.25"/>
    <row r="86725" s="12" customFormat="1" x14ac:dyDescent="0.25"/>
    <row r="86726" s="12" customFormat="1" x14ac:dyDescent="0.25"/>
    <row r="86727" s="12" customFormat="1" x14ac:dyDescent="0.25"/>
    <row r="86728" s="12" customFormat="1" x14ac:dyDescent="0.25"/>
    <row r="86729" s="12" customFormat="1" x14ac:dyDescent="0.25"/>
    <row r="86730" s="12" customFormat="1" x14ac:dyDescent="0.25"/>
    <row r="86731" s="12" customFormat="1" x14ac:dyDescent="0.25"/>
    <row r="86732" s="12" customFormat="1" x14ac:dyDescent="0.25"/>
    <row r="86733" s="12" customFormat="1" x14ac:dyDescent="0.25"/>
    <row r="86734" s="12" customFormat="1" x14ac:dyDescent="0.25"/>
    <row r="86735" s="12" customFormat="1" x14ac:dyDescent="0.25"/>
    <row r="86736" s="12" customFormat="1" x14ac:dyDescent="0.25"/>
    <row r="86737" s="12" customFormat="1" x14ac:dyDescent="0.25"/>
    <row r="86738" s="12" customFormat="1" x14ac:dyDescent="0.25"/>
    <row r="86739" s="12" customFormat="1" x14ac:dyDescent="0.25"/>
    <row r="86740" s="12" customFormat="1" x14ac:dyDescent="0.25"/>
    <row r="86741" s="12" customFormat="1" x14ac:dyDescent="0.25"/>
    <row r="86742" s="12" customFormat="1" x14ac:dyDescent="0.25"/>
    <row r="86743" s="12" customFormat="1" x14ac:dyDescent="0.25"/>
    <row r="86744" s="12" customFormat="1" x14ac:dyDescent="0.25"/>
    <row r="86745" s="12" customFormat="1" x14ac:dyDescent="0.25"/>
    <row r="86746" s="12" customFormat="1" x14ac:dyDescent="0.25"/>
    <row r="86747" s="12" customFormat="1" x14ac:dyDescent="0.25"/>
    <row r="86748" s="12" customFormat="1" x14ac:dyDescent="0.25"/>
    <row r="86749" s="12" customFormat="1" x14ac:dyDescent="0.25"/>
    <row r="86750" s="12" customFormat="1" x14ac:dyDescent="0.25"/>
    <row r="86751" s="12" customFormat="1" x14ac:dyDescent="0.25"/>
    <row r="86752" s="12" customFormat="1" x14ac:dyDescent="0.25"/>
    <row r="86753" s="12" customFormat="1" x14ac:dyDescent="0.25"/>
    <row r="86754" s="12" customFormat="1" x14ac:dyDescent="0.25"/>
    <row r="86755" s="12" customFormat="1" x14ac:dyDescent="0.25"/>
    <row r="86756" s="12" customFormat="1" x14ac:dyDescent="0.25"/>
    <row r="86757" s="12" customFormat="1" x14ac:dyDescent="0.25"/>
    <row r="86758" s="12" customFormat="1" x14ac:dyDescent="0.25"/>
    <row r="86759" s="12" customFormat="1" x14ac:dyDescent="0.25"/>
    <row r="86760" s="12" customFormat="1" x14ac:dyDescent="0.25"/>
    <row r="86761" s="12" customFormat="1" x14ac:dyDescent="0.25"/>
    <row r="86762" s="12" customFormat="1" x14ac:dyDescent="0.25"/>
    <row r="86763" s="12" customFormat="1" x14ac:dyDescent="0.25"/>
    <row r="86764" s="12" customFormat="1" x14ac:dyDescent="0.25"/>
    <row r="86765" s="12" customFormat="1" x14ac:dyDescent="0.25"/>
    <row r="86766" s="12" customFormat="1" x14ac:dyDescent="0.25"/>
    <row r="86767" s="12" customFormat="1" x14ac:dyDescent="0.25"/>
    <row r="86768" s="12" customFormat="1" x14ac:dyDescent="0.25"/>
    <row r="86769" s="12" customFormat="1" x14ac:dyDescent="0.25"/>
    <row r="86770" s="12" customFormat="1" x14ac:dyDescent="0.25"/>
    <row r="86771" s="12" customFormat="1" x14ac:dyDescent="0.25"/>
    <row r="86772" s="12" customFormat="1" x14ac:dyDescent="0.25"/>
    <row r="86773" s="12" customFormat="1" x14ac:dyDescent="0.25"/>
    <row r="86774" s="12" customFormat="1" x14ac:dyDescent="0.25"/>
    <row r="86775" s="12" customFormat="1" x14ac:dyDescent="0.25"/>
    <row r="86776" s="12" customFormat="1" x14ac:dyDescent="0.25"/>
    <row r="86777" s="12" customFormat="1" x14ac:dyDescent="0.25"/>
    <row r="86778" s="12" customFormat="1" x14ac:dyDescent="0.25"/>
    <row r="86779" s="12" customFormat="1" x14ac:dyDescent="0.25"/>
    <row r="86780" s="12" customFormat="1" x14ac:dyDescent="0.25"/>
    <row r="86781" s="12" customFormat="1" x14ac:dyDescent="0.25"/>
    <row r="86782" s="12" customFormat="1" x14ac:dyDescent="0.25"/>
    <row r="86783" s="12" customFormat="1" x14ac:dyDescent="0.25"/>
    <row r="86784" s="12" customFormat="1" x14ac:dyDescent="0.25"/>
    <row r="86785" s="12" customFormat="1" x14ac:dyDescent="0.25"/>
    <row r="86786" s="12" customFormat="1" x14ac:dyDescent="0.25"/>
    <row r="86787" s="12" customFormat="1" x14ac:dyDescent="0.25"/>
    <row r="86788" s="12" customFormat="1" x14ac:dyDescent="0.25"/>
    <row r="86789" s="12" customFormat="1" x14ac:dyDescent="0.25"/>
    <row r="86790" s="12" customFormat="1" x14ac:dyDescent="0.25"/>
    <row r="86791" s="12" customFormat="1" x14ac:dyDescent="0.25"/>
    <row r="86792" s="12" customFormat="1" x14ac:dyDescent="0.25"/>
    <row r="86793" s="12" customFormat="1" x14ac:dyDescent="0.25"/>
    <row r="86794" s="12" customFormat="1" x14ac:dyDescent="0.25"/>
    <row r="86795" s="12" customFormat="1" x14ac:dyDescent="0.25"/>
    <row r="86796" s="12" customFormat="1" x14ac:dyDescent="0.25"/>
    <row r="86797" s="12" customFormat="1" x14ac:dyDescent="0.25"/>
    <row r="86798" s="12" customFormat="1" x14ac:dyDescent="0.25"/>
    <row r="86799" s="12" customFormat="1" x14ac:dyDescent="0.25"/>
    <row r="86800" s="12" customFormat="1" x14ac:dyDescent="0.25"/>
    <row r="86801" s="12" customFormat="1" x14ac:dyDescent="0.25"/>
    <row r="86802" s="12" customFormat="1" x14ac:dyDescent="0.25"/>
    <row r="86803" s="12" customFormat="1" x14ac:dyDescent="0.25"/>
    <row r="86804" s="12" customFormat="1" x14ac:dyDescent="0.25"/>
    <row r="86805" s="12" customFormat="1" x14ac:dyDescent="0.25"/>
    <row r="86806" s="12" customFormat="1" x14ac:dyDescent="0.25"/>
    <row r="86807" s="12" customFormat="1" x14ac:dyDescent="0.25"/>
    <row r="86808" s="12" customFormat="1" x14ac:dyDescent="0.25"/>
    <row r="86809" s="12" customFormat="1" x14ac:dyDescent="0.25"/>
    <row r="86810" s="12" customFormat="1" x14ac:dyDescent="0.25"/>
    <row r="86811" s="12" customFormat="1" x14ac:dyDescent="0.25"/>
    <row r="86812" s="12" customFormat="1" x14ac:dyDescent="0.25"/>
    <row r="86813" s="12" customFormat="1" x14ac:dyDescent="0.25"/>
    <row r="86814" s="12" customFormat="1" x14ac:dyDescent="0.25"/>
    <row r="86815" s="12" customFormat="1" x14ac:dyDescent="0.25"/>
    <row r="86816" s="12" customFormat="1" x14ac:dyDescent="0.25"/>
    <row r="86817" s="12" customFormat="1" x14ac:dyDescent="0.25"/>
    <row r="86818" s="12" customFormat="1" x14ac:dyDescent="0.25"/>
    <row r="86819" s="12" customFormat="1" x14ac:dyDescent="0.25"/>
    <row r="86820" s="12" customFormat="1" x14ac:dyDescent="0.25"/>
    <row r="86821" s="12" customFormat="1" x14ac:dyDescent="0.25"/>
    <row r="86822" s="12" customFormat="1" x14ac:dyDescent="0.25"/>
    <row r="86823" s="12" customFormat="1" x14ac:dyDescent="0.25"/>
    <row r="86824" s="12" customFormat="1" x14ac:dyDescent="0.25"/>
    <row r="86825" s="12" customFormat="1" x14ac:dyDescent="0.25"/>
    <row r="86826" s="12" customFormat="1" x14ac:dyDescent="0.25"/>
    <row r="86827" s="12" customFormat="1" x14ac:dyDescent="0.25"/>
    <row r="86828" s="12" customFormat="1" x14ac:dyDescent="0.25"/>
    <row r="86829" s="12" customFormat="1" x14ac:dyDescent="0.25"/>
    <row r="86830" s="12" customFormat="1" x14ac:dyDescent="0.25"/>
    <row r="86831" s="12" customFormat="1" x14ac:dyDescent="0.25"/>
    <row r="86832" s="12" customFormat="1" x14ac:dyDescent="0.25"/>
    <row r="86833" s="12" customFormat="1" x14ac:dyDescent="0.25"/>
    <row r="86834" s="12" customFormat="1" x14ac:dyDescent="0.25"/>
    <row r="86835" s="12" customFormat="1" x14ac:dyDescent="0.25"/>
    <row r="86836" s="12" customFormat="1" x14ac:dyDescent="0.25"/>
    <row r="86837" s="12" customFormat="1" x14ac:dyDescent="0.25"/>
    <row r="86838" s="12" customFormat="1" x14ac:dyDescent="0.25"/>
    <row r="86839" s="12" customFormat="1" x14ac:dyDescent="0.25"/>
    <row r="86840" s="12" customFormat="1" x14ac:dyDescent="0.25"/>
    <row r="86841" s="12" customFormat="1" x14ac:dyDescent="0.25"/>
    <row r="86842" s="12" customFormat="1" x14ac:dyDescent="0.25"/>
    <row r="86843" s="12" customFormat="1" x14ac:dyDescent="0.25"/>
    <row r="86844" s="12" customFormat="1" x14ac:dyDescent="0.25"/>
    <row r="86845" s="12" customFormat="1" x14ac:dyDescent="0.25"/>
    <row r="86846" s="12" customFormat="1" x14ac:dyDescent="0.25"/>
    <row r="86847" s="12" customFormat="1" x14ac:dyDescent="0.25"/>
    <row r="86848" s="12" customFormat="1" x14ac:dyDescent="0.25"/>
    <row r="86849" s="12" customFormat="1" x14ac:dyDescent="0.25"/>
    <row r="86850" s="12" customFormat="1" x14ac:dyDescent="0.25"/>
    <row r="86851" s="12" customFormat="1" x14ac:dyDescent="0.25"/>
    <row r="86852" s="12" customFormat="1" x14ac:dyDescent="0.25"/>
    <row r="86853" s="12" customFormat="1" x14ac:dyDescent="0.25"/>
    <row r="86854" s="12" customFormat="1" x14ac:dyDescent="0.25"/>
    <row r="86855" s="12" customFormat="1" x14ac:dyDescent="0.25"/>
    <row r="86856" s="12" customFormat="1" x14ac:dyDescent="0.25"/>
    <row r="86857" s="12" customFormat="1" x14ac:dyDescent="0.25"/>
    <row r="86858" s="12" customFormat="1" x14ac:dyDescent="0.25"/>
    <row r="86859" s="12" customFormat="1" x14ac:dyDescent="0.25"/>
    <row r="86860" s="12" customFormat="1" x14ac:dyDescent="0.25"/>
    <row r="86861" s="12" customFormat="1" x14ac:dyDescent="0.25"/>
    <row r="86862" s="12" customFormat="1" x14ac:dyDescent="0.25"/>
    <row r="86863" s="12" customFormat="1" x14ac:dyDescent="0.25"/>
    <row r="86864" s="12" customFormat="1" x14ac:dyDescent="0.25"/>
    <row r="86865" s="12" customFormat="1" x14ac:dyDescent="0.25"/>
    <row r="86866" s="12" customFormat="1" x14ac:dyDescent="0.25"/>
    <row r="86867" s="12" customFormat="1" x14ac:dyDescent="0.25"/>
    <row r="86868" s="12" customFormat="1" x14ac:dyDescent="0.25"/>
    <row r="86869" s="12" customFormat="1" x14ac:dyDescent="0.25"/>
    <row r="86870" s="12" customFormat="1" x14ac:dyDescent="0.25"/>
    <row r="86871" s="12" customFormat="1" x14ac:dyDescent="0.25"/>
    <row r="86872" s="12" customFormat="1" x14ac:dyDescent="0.25"/>
    <row r="86873" s="12" customFormat="1" x14ac:dyDescent="0.25"/>
    <row r="86874" s="12" customFormat="1" x14ac:dyDescent="0.25"/>
    <row r="86875" s="12" customFormat="1" x14ac:dyDescent="0.25"/>
    <row r="86876" s="12" customFormat="1" x14ac:dyDescent="0.25"/>
    <row r="86877" s="12" customFormat="1" x14ac:dyDescent="0.25"/>
    <row r="86878" s="12" customFormat="1" x14ac:dyDescent="0.25"/>
    <row r="86879" s="12" customFormat="1" x14ac:dyDescent="0.25"/>
    <row r="86880" s="12" customFormat="1" x14ac:dyDescent="0.25"/>
    <row r="86881" s="12" customFormat="1" x14ac:dyDescent="0.25"/>
    <row r="86882" s="12" customFormat="1" x14ac:dyDescent="0.25"/>
    <row r="86883" s="12" customFormat="1" x14ac:dyDescent="0.25"/>
    <row r="86884" s="12" customFormat="1" x14ac:dyDescent="0.25"/>
    <row r="86885" s="12" customFormat="1" x14ac:dyDescent="0.25"/>
    <row r="86886" s="12" customFormat="1" x14ac:dyDescent="0.25"/>
    <row r="86887" s="12" customFormat="1" x14ac:dyDescent="0.25"/>
    <row r="86888" s="12" customFormat="1" x14ac:dyDescent="0.25"/>
    <row r="86889" s="12" customFormat="1" x14ac:dyDescent="0.25"/>
    <row r="86890" s="12" customFormat="1" x14ac:dyDescent="0.25"/>
    <row r="86891" s="12" customFormat="1" x14ac:dyDescent="0.25"/>
    <row r="86892" s="12" customFormat="1" x14ac:dyDescent="0.25"/>
    <row r="86893" s="12" customFormat="1" x14ac:dyDescent="0.25"/>
    <row r="86894" s="12" customFormat="1" x14ac:dyDescent="0.25"/>
    <row r="86895" s="12" customFormat="1" x14ac:dyDescent="0.25"/>
    <row r="86896" s="12" customFormat="1" x14ac:dyDescent="0.25"/>
    <row r="86897" s="12" customFormat="1" x14ac:dyDescent="0.25"/>
    <row r="86898" s="12" customFormat="1" x14ac:dyDescent="0.25"/>
    <row r="86899" s="12" customFormat="1" x14ac:dyDescent="0.25"/>
    <row r="86900" s="12" customFormat="1" x14ac:dyDescent="0.25"/>
    <row r="86901" s="12" customFormat="1" x14ac:dyDescent="0.25"/>
    <row r="86902" s="12" customFormat="1" x14ac:dyDescent="0.25"/>
    <row r="86903" s="12" customFormat="1" x14ac:dyDescent="0.25"/>
    <row r="86904" s="12" customFormat="1" x14ac:dyDescent="0.25"/>
    <row r="86905" s="12" customFormat="1" x14ac:dyDescent="0.25"/>
    <row r="86906" s="12" customFormat="1" x14ac:dyDescent="0.25"/>
    <row r="86907" s="12" customFormat="1" x14ac:dyDescent="0.25"/>
    <row r="86908" s="12" customFormat="1" x14ac:dyDescent="0.25"/>
    <row r="86909" s="12" customFormat="1" x14ac:dyDescent="0.25"/>
    <row r="86910" s="12" customFormat="1" x14ac:dyDescent="0.25"/>
    <row r="86911" s="12" customFormat="1" x14ac:dyDescent="0.25"/>
    <row r="86912" s="12" customFormat="1" x14ac:dyDescent="0.25"/>
    <row r="86913" s="12" customFormat="1" x14ac:dyDescent="0.25"/>
    <row r="86914" s="12" customFormat="1" x14ac:dyDescent="0.25"/>
    <row r="86915" s="12" customFormat="1" x14ac:dyDescent="0.25"/>
    <row r="86916" s="12" customFormat="1" x14ac:dyDescent="0.25"/>
    <row r="86917" s="12" customFormat="1" x14ac:dyDescent="0.25"/>
    <row r="86918" s="12" customFormat="1" x14ac:dyDescent="0.25"/>
    <row r="86919" s="12" customFormat="1" x14ac:dyDescent="0.25"/>
    <row r="86920" s="12" customFormat="1" x14ac:dyDescent="0.25"/>
    <row r="86921" s="12" customFormat="1" x14ac:dyDescent="0.25"/>
    <row r="86922" s="12" customFormat="1" x14ac:dyDescent="0.25"/>
    <row r="86923" s="12" customFormat="1" x14ac:dyDescent="0.25"/>
    <row r="86924" s="12" customFormat="1" x14ac:dyDescent="0.25"/>
    <row r="86925" s="12" customFormat="1" x14ac:dyDescent="0.25"/>
    <row r="86926" s="12" customFormat="1" x14ac:dyDescent="0.25"/>
    <row r="86927" s="12" customFormat="1" x14ac:dyDescent="0.25"/>
    <row r="86928" s="12" customFormat="1" x14ac:dyDescent="0.25"/>
    <row r="86929" s="12" customFormat="1" x14ac:dyDescent="0.25"/>
    <row r="86930" s="12" customFormat="1" x14ac:dyDescent="0.25"/>
    <row r="86931" s="12" customFormat="1" x14ac:dyDescent="0.25"/>
    <row r="86932" s="12" customFormat="1" x14ac:dyDescent="0.25"/>
    <row r="86933" s="12" customFormat="1" x14ac:dyDescent="0.25"/>
    <row r="86934" s="12" customFormat="1" x14ac:dyDescent="0.25"/>
    <row r="86935" s="12" customFormat="1" x14ac:dyDescent="0.25"/>
    <row r="86936" s="12" customFormat="1" x14ac:dyDescent="0.25"/>
    <row r="86937" s="12" customFormat="1" x14ac:dyDescent="0.25"/>
    <row r="86938" s="12" customFormat="1" x14ac:dyDescent="0.25"/>
    <row r="86939" s="12" customFormat="1" x14ac:dyDescent="0.25"/>
    <row r="86940" s="12" customFormat="1" x14ac:dyDescent="0.25"/>
    <row r="86941" s="12" customFormat="1" x14ac:dyDescent="0.25"/>
    <row r="86942" s="12" customFormat="1" x14ac:dyDescent="0.25"/>
    <row r="86943" s="12" customFormat="1" x14ac:dyDescent="0.25"/>
    <row r="86944" s="12" customFormat="1" x14ac:dyDescent="0.25"/>
    <row r="86945" s="12" customFormat="1" x14ac:dyDescent="0.25"/>
    <row r="86946" s="12" customFormat="1" x14ac:dyDescent="0.25"/>
    <row r="86947" s="12" customFormat="1" x14ac:dyDescent="0.25"/>
    <row r="86948" s="12" customFormat="1" x14ac:dyDescent="0.25"/>
    <row r="86949" s="12" customFormat="1" x14ac:dyDescent="0.25"/>
    <row r="86950" s="12" customFormat="1" x14ac:dyDescent="0.25"/>
    <row r="86951" s="12" customFormat="1" x14ac:dyDescent="0.25"/>
    <row r="86952" s="12" customFormat="1" x14ac:dyDescent="0.25"/>
    <row r="86953" s="12" customFormat="1" x14ac:dyDescent="0.25"/>
    <row r="86954" s="12" customFormat="1" x14ac:dyDescent="0.25"/>
    <row r="86955" s="12" customFormat="1" x14ac:dyDescent="0.25"/>
    <row r="86956" s="12" customFormat="1" x14ac:dyDescent="0.25"/>
    <row r="86957" s="12" customFormat="1" x14ac:dyDescent="0.25"/>
    <row r="86958" s="12" customFormat="1" x14ac:dyDescent="0.25"/>
    <row r="86959" s="12" customFormat="1" x14ac:dyDescent="0.25"/>
    <row r="86960" s="12" customFormat="1" x14ac:dyDescent="0.25"/>
    <row r="86961" s="12" customFormat="1" x14ac:dyDescent="0.25"/>
    <row r="86962" s="12" customFormat="1" x14ac:dyDescent="0.25"/>
    <row r="86963" s="12" customFormat="1" x14ac:dyDescent="0.25"/>
    <row r="86964" s="12" customFormat="1" x14ac:dyDescent="0.25"/>
    <row r="86965" s="12" customFormat="1" x14ac:dyDescent="0.25"/>
    <row r="86966" s="12" customFormat="1" x14ac:dyDescent="0.25"/>
    <row r="86967" s="12" customFormat="1" x14ac:dyDescent="0.25"/>
    <row r="86968" s="12" customFormat="1" x14ac:dyDescent="0.25"/>
    <row r="86969" s="12" customFormat="1" x14ac:dyDescent="0.25"/>
    <row r="86970" s="12" customFormat="1" x14ac:dyDescent="0.25"/>
    <row r="86971" s="12" customFormat="1" x14ac:dyDescent="0.25"/>
    <row r="86972" s="12" customFormat="1" x14ac:dyDescent="0.25"/>
    <row r="86973" s="12" customFormat="1" x14ac:dyDescent="0.25"/>
    <row r="86974" s="12" customFormat="1" x14ac:dyDescent="0.25"/>
    <row r="86975" s="12" customFormat="1" x14ac:dyDescent="0.25"/>
    <row r="86976" s="12" customFormat="1" x14ac:dyDescent="0.25"/>
    <row r="86977" s="12" customFormat="1" x14ac:dyDescent="0.25"/>
    <row r="86978" s="12" customFormat="1" x14ac:dyDescent="0.25"/>
    <row r="86979" s="12" customFormat="1" x14ac:dyDescent="0.25"/>
    <row r="86980" s="12" customFormat="1" x14ac:dyDescent="0.25"/>
    <row r="86981" s="12" customFormat="1" x14ac:dyDescent="0.25"/>
    <row r="86982" s="12" customFormat="1" x14ac:dyDescent="0.25"/>
    <row r="86983" s="12" customFormat="1" x14ac:dyDescent="0.25"/>
    <row r="86984" s="12" customFormat="1" x14ac:dyDescent="0.25"/>
    <row r="86985" s="12" customFormat="1" x14ac:dyDescent="0.25"/>
    <row r="86986" s="12" customFormat="1" x14ac:dyDescent="0.25"/>
    <row r="86987" s="12" customFormat="1" x14ac:dyDescent="0.25"/>
    <row r="86988" s="12" customFormat="1" x14ac:dyDescent="0.25"/>
    <row r="86989" s="12" customFormat="1" x14ac:dyDescent="0.25"/>
    <row r="86990" s="12" customFormat="1" x14ac:dyDescent="0.25"/>
    <row r="86991" s="12" customFormat="1" x14ac:dyDescent="0.25"/>
    <row r="86992" s="12" customFormat="1" x14ac:dyDescent="0.25"/>
    <row r="86993" s="12" customFormat="1" x14ac:dyDescent="0.25"/>
    <row r="86994" s="12" customFormat="1" x14ac:dyDescent="0.25"/>
    <row r="86995" s="12" customFormat="1" x14ac:dyDescent="0.25"/>
    <row r="86996" s="12" customFormat="1" x14ac:dyDescent="0.25"/>
    <row r="86997" s="12" customFormat="1" x14ac:dyDescent="0.25"/>
    <row r="86998" s="12" customFormat="1" x14ac:dyDescent="0.25"/>
    <row r="86999" s="12" customFormat="1" x14ac:dyDescent="0.25"/>
    <row r="87000" s="12" customFormat="1" x14ac:dyDescent="0.25"/>
    <row r="87001" s="12" customFormat="1" x14ac:dyDescent="0.25"/>
    <row r="87002" s="12" customFormat="1" x14ac:dyDescent="0.25"/>
    <row r="87003" s="12" customFormat="1" x14ac:dyDescent="0.25"/>
    <row r="87004" s="12" customFormat="1" x14ac:dyDescent="0.25"/>
    <row r="87005" s="12" customFormat="1" x14ac:dyDescent="0.25"/>
    <row r="87006" s="12" customFormat="1" x14ac:dyDescent="0.25"/>
    <row r="87007" s="12" customFormat="1" x14ac:dyDescent="0.25"/>
    <row r="87008" s="12" customFormat="1" x14ac:dyDescent="0.25"/>
    <row r="87009" s="12" customFormat="1" x14ac:dyDescent="0.25"/>
    <row r="87010" s="12" customFormat="1" x14ac:dyDescent="0.25"/>
    <row r="87011" s="12" customFormat="1" x14ac:dyDescent="0.25"/>
    <row r="87012" s="12" customFormat="1" x14ac:dyDescent="0.25"/>
    <row r="87013" s="12" customFormat="1" x14ac:dyDescent="0.25"/>
    <row r="87014" s="12" customFormat="1" x14ac:dyDescent="0.25"/>
    <row r="87015" s="12" customFormat="1" x14ac:dyDescent="0.25"/>
    <row r="87016" s="12" customFormat="1" x14ac:dyDescent="0.25"/>
    <row r="87017" s="12" customFormat="1" x14ac:dyDescent="0.25"/>
    <row r="87018" s="12" customFormat="1" x14ac:dyDescent="0.25"/>
    <row r="87019" s="12" customFormat="1" x14ac:dyDescent="0.25"/>
    <row r="87020" s="12" customFormat="1" x14ac:dyDescent="0.25"/>
    <row r="87021" s="12" customFormat="1" x14ac:dyDescent="0.25"/>
    <row r="87022" s="12" customFormat="1" x14ac:dyDescent="0.25"/>
    <row r="87023" s="12" customFormat="1" x14ac:dyDescent="0.25"/>
    <row r="87024" s="12" customFormat="1" x14ac:dyDescent="0.25"/>
    <row r="87025" s="12" customFormat="1" x14ac:dyDescent="0.25"/>
    <row r="87026" s="12" customFormat="1" x14ac:dyDescent="0.25"/>
    <row r="87027" s="12" customFormat="1" x14ac:dyDescent="0.25"/>
    <row r="87028" s="12" customFormat="1" x14ac:dyDescent="0.25"/>
    <row r="87029" s="12" customFormat="1" x14ac:dyDescent="0.25"/>
    <row r="87030" s="12" customFormat="1" x14ac:dyDescent="0.25"/>
    <row r="87031" s="12" customFormat="1" x14ac:dyDescent="0.25"/>
    <row r="87032" s="12" customFormat="1" x14ac:dyDescent="0.25"/>
    <row r="87033" s="12" customFormat="1" x14ac:dyDescent="0.25"/>
    <row r="87034" s="12" customFormat="1" x14ac:dyDescent="0.25"/>
    <row r="87035" s="12" customFormat="1" x14ac:dyDescent="0.25"/>
    <row r="87036" s="12" customFormat="1" x14ac:dyDescent="0.25"/>
    <row r="87037" s="12" customFormat="1" x14ac:dyDescent="0.25"/>
    <row r="87038" s="12" customFormat="1" x14ac:dyDescent="0.25"/>
    <row r="87039" s="12" customFormat="1" x14ac:dyDescent="0.25"/>
    <row r="87040" s="12" customFormat="1" x14ac:dyDescent="0.25"/>
    <row r="87041" s="12" customFormat="1" x14ac:dyDescent="0.25"/>
    <row r="87042" s="12" customFormat="1" x14ac:dyDescent="0.25"/>
    <row r="87043" s="12" customFormat="1" x14ac:dyDescent="0.25"/>
    <row r="87044" s="12" customFormat="1" x14ac:dyDescent="0.25"/>
    <row r="87045" s="12" customFormat="1" x14ac:dyDescent="0.25"/>
    <row r="87046" s="12" customFormat="1" x14ac:dyDescent="0.25"/>
    <row r="87047" s="12" customFormat="1" x14ac:dyDescent="0.25"/>
    <row r="87048" s="12" customFormat="1" x14ac:dyDescent="0.25"/>
    <row r="87049" s="12" customFormat="1" x14ac:dyDescent="0.25"/>
    <row r="87050" s="12" customFormat="1" x14ac:dyDescent="0.25"/>
    <row r="87051" s="12" customFormat="1" x14ac:dyDescent="0.25"/>
    <row r="87052" s="12" customFormat="1" x14ac:dyDescent="0.25"/>
    <row r="87053" s="12" customFormat="1" x14ac:dyDescent="0.25"/>
    <row r="87054" s="12" customFormat="1" x14ac:dyDescent="0.25"/>
    <row r="87055" s="12" customFormat="1" x14ac:dyDescent="0.25"/>
    <row r="87056" s="12" customFormat="1" x14ac:dyDescent="0.25"/>
    <row r="87057" s="12" customFormat="1" x14ac:dyDescent="0.25"/>
    <row r="87058" s="12" customFormat="1" x14ac:dyDescent="0.25"/>
    <row r="87059" s="12" customFormat="1" x14ac:dyDescent="0.25"/>
    <row r="87060" s="12" customFormat="1" x14ac:dyDescent="0.25"/>
    <row r="87061" s="12" customFormat="1" x14ac:dyDescent="0.25"/>
    <row r="87062" s="12" customFormat="1" x14ac:dyDescent="0.25"/>
    <row r="87063" s="12" customFormat="1" x14ac:dyDescent="0.25"/>
    <row r="87064" s="12" customFormat="1" x14ac:dyDescent="0.25"/>
    <row r="87065" s="12" customFormat="1" x14ac:dyDescent="0.25"/>
    <row r="87066" s="12" customFormat="1" x14ac:dyDescent="0.25"/>
    <row r="87067" s="12" customFormat="1" x14ac:dyDescent="0.25"/>
    <row r="87068" s="12" customFormat="1" x14ac:dyDescent="0.25"/>
    <row r="87069" s="12" customFormat="1" x14ac:dyDescent="0.25"/>
    <row r="87070" s="12" customFormat="1" x14ac:dyDescent="0.25"/>
    <row r="87071" s="12" customFormat="1" x14ac:dyDescent="0.25"/>
    <row r="87072" s="12" customFormat="1" x14ac:dyDescent="0.25"/>
    <row r="87073" s="12" customFormat="1" x14ac:dyDescent="0.25"/>
    <row r="87074" s="12" customFormat="1" x14ac:dyDescent="0.25"/>
    <row r="87075" s="12" customFormat="1" x14ac:dyDescent="0.25"/>
    <row r="87076" s="12" customFormat="1" x14ac:dyDescent="0.25"/>
    <row r="87077" s="12" customFormat="1" x14ac:dyDescent="0.25"/>
    <row r="87078" s="12" customFormat="1" x14ac:dyDescent="0.25"/>
    <row r="87079" s="12" customFormat="1" x14ac:dyDescent="0.25"/>
    <row r="87080" s="12" customFormat="1" x14ac:dyDescent="0.25"/>
    <row r="87081" s="12" customFormat="1" x14ac:dyDescent="0.25"/>
    <row r="87082" s="12" customFormat="1" x14ac:dyDescent="0.25"/>
    <row r="87083" s="12" customFormat="1" x14ac:dyDescent="0.25"/>
    <row r="87084" s="12" customFormat="1" x14ac:dyDescent="0.25"/>
    <row r="87085" s="12" customFormat="1" x14ac:dyDescent="0.25"/>
    <row r="87086" s="12" customFormat="1" x14ac:dyDescent="0.25"/>
    <row r="87087" s="12" customFormat="1" x14ac:dyDescent="0.25"/>
    <row r="87088" s="12" customFormat="1" x14ac:dyDescent="0.25"/>
    <row r="87089" s="12" customFormat="1" x14ac:dyDescent="0.25"/>
    <row r="87090" s="12" customFormat="1" x14ac:dyDescent="0.25"/>
    <row r="87091" s="12" customFormat="1" x14ac:dyDescent="0.25"/>
    <row r="87092" s="12" customFormat="1" x14ac:dyDescent="0.25"/>
    <row r="87093" s="12" customFormat="1" x14ac:dyDescent="0.25"/>
    <row r="87094" s="12" customFormat="1" x14ac:dyDescent="0.25"/>
    <row r="87095" s="12" customFormat="1" x14ac:dyDescent="0.25"/>
    <row r="87096" s="12" customFormat="1" x14ac:dyDescent="0.25"/>
    <row r="87097" s="12" customFormat="1" x14ac:dyDescent="0.25"/>
    <row r="87098" s="12" customFormat="1" x14ac:dyDescent="0.25"/>
    <row r="87099" s="12" customFormat="1" x14ac:dyDescent="0.25"/>
    <row r="87100" s="12" customFormat="1" x14ac:dyDescent="0.25"/>
    <row r="87101" s="12" customFormat="1" x14ac:dyDescent="0.25"/>
    <row r="87102" s="12" customFormat="1" x14ac:dyDescent="0.25"/>
    <row r="87103" s="12" customFormat="1" x14ac:dyDescent="0.25"/>
    <row r="87104" s="12" customFormat="1" x14ac:dyDescent="0.25"/>
    <row r="87105" s="12" customFormat="1" x14ac:dyDescent="0.25"/>
    <row r="87106" s="12" customFormat="1" x14ac:dyDescent="0.25"/>
    <row r="87107" s="12" customFormat="1" x14ac:dyDescent="0.25"/>
    <row r="87108" s="12" customFormat="1" x14ac:dyDescent="0.25"/>
    <row r="87109" s="12" customFormat="1" x14ac:dyDescent="0.25"/>
    <row r="87110" s="12" customFormat="1" x14ac:dyDescent="0.25"/>
    <row r="87111" s="12" customFormat="1" x14ac:dyDescent="0.25"/>
    <row r="87112" s="12" customFormat="1" x14ac:dyDescent="0.25"/>
    <row r="87113" s="12" customFormat="1" x14ac:dyDescent="0.25"/>
    <row r="87114" s="12" customFormat="1" x14ac:dyDescent="0.25"/>
    <row r="87115" s="12" customFormat="1" x14ac:dyDescent="0.25"/>
    <row r="87116" s="12" customFormat="1" x14ac:dyDescent="0.25"/>
    <row r="87117" s="12" customFormat="1" x14ac:dyDescent="0.25"/>
    <row r="87118" s="12" customFormat="1" x14ac:dyDescent="0.25"/>
    <row r="87119" s="12" customFormat="1" x14ac:dyDescent="0.25"/>
    <row r="87120" s="12" customFormat="1" x14ac:dyDescent="0.25"/>
    <row r="87121" s="12" customFormat="1" x14ac:dyDescent="0.25"/>
    <row r="87122" s="12" customFormat="1" x14ac:dyDescent="0.25"/>
    <row r="87123" s="12" customFormat="1" x14ac:dyDescent="0.25"/>
    <row r="87124" s="12" customFormat="1" x14ac:dyDescent="0.25"/>
    <row r="87125" s="12" customFormat="1" x14ac:dyDescent="0.25"/>
    <row r="87126" s="12" customFormat="1" x14ac:dyDescent="0.25"/>
    <row r="87127" s="12" customFormat="1" x14ac:dyDescent="0.25"/>
    <row r="87128" s="12" customFormat="1" x14ac:dyDescent="0.25"/>
    <row r="87129" s="12" customFormat="1" x14ac:dyDescent="0.25"/>
    <row r="87130" s="12" customFormat="1" x14ac:dyDescent="0.25"/>
    <row r="87131" s="12" customFormat="1" x14ac:dyDescent="0.25"/>
    <row r="87132" s="12" customFormat="1" x14ac:dyDescent="0.25"/>
    <row r="87133" s="12" customFormat="1" x14ac:dyDescent="0.25"/>
    <row r="87134" s="12" customFormat="1" x14ac:dyDescent="0.25"/>
    <row r="87135" s="12" customFormat="1" x14ac:dyDescent="0.25"/>
    <row r="87136" s="12" customFormat="1" x14ac:dyDescent="0.25"/>
    <row r="87137" s="12" customFormat="1" x14ac:dyDescent="0.25"/>
    <row r="87138" s="12" customFormat="1" x14ac:dyDescent="0.25"/>
    <row r="87139" s="12" customFormat="1" x14ac:dyDescent="0.25"/>
    <row r="87140" s="12" customFormat="1" x14ac:dyDescent="0.25"/>
    <row r="87141" s="12" customFormat="1" x14ac:dyDescent="0.25"/>
    <row r="87142" s="12" customFormat="1" x14ac:dyDescent="0.25"/>
    <row r="87143" s="12" customFormat="1" x14ac:dyDescent="0.25"/>
    <row r="87144" s="12" customFormat="1" x14ac:dyDescent="0.25"/>
    <row r="87145" s="12" customFormat="1" x14ac:dyDescent="0.25"/>
    <row r="87146" s="12" customFormat="1" x14ac:dyDescent="0.25"/>
    <row r="87147" s="12" customFormat="1" x14ac:dyDescent="0.25"/>
    <row r="87148" s="12" customFormat="1" x14ac:dyDescent="0.25"/>
    <row r="87149" s="12" customFormat="1" x14ac:dyDescent="0.25"/>
    <row r="87150" s="12" customFormat="1" x14ac:dyDescent="0.25"/>
    <row r="87151" s="12" customFormat="1" x14ac:dyDescent="0.25"/>
    <row r="87152" s="12" customFormat="1" x14ac:dyDescent="0.25"/>
    <row r="87153" s="12" customFormat="1" x14ac:dyDescent="0.25"/>
    <row r="87154" s="12" customFormat="1" x14ac:dyDescent="0.25"/>
    <row r="87155" s="12" customFormat="1" x14ac:dyDescent="0.25"/>
    <row r="87156" s="12" customFormat="1" x14ac:dyDescent="0.25"/>
    <row r="87157" s="12" customFormat="1" x14ac:dyDescent="0.25"/>
    <row r="87158" s="12" customFormat="1" x14ac:dyDescent="0.25"/>
    <row r="87159" s="12" customFormat="1" x14ac:dyDescent="0.25"/>
    <row r="87160" s="12" customFormat="1" x14ac:dyDescent="0.25"/>
    <row r="87161" s="12" customFormat="1" x14ac:dyDescent="0.25"/>
    <row r="87162" s="12" customFormat="1" x14ac:dyDescent="0.25"/>
    <row r="87163" s="12" customFormat="1" x14ac:dyDescent="0.25"/>
    <row r="87164" s="12" customFormat="1" x14ac:dyDescent="0.25"/>
    <row r="87165" s="12" customFormat="1" x14ac:dyDescent="0.25"/>
    <row r="87166" s="12" customFormat="1" x14ac:dyDescent="0.25"/>
    <row r="87167" s="12" customFormat="1" x14ac:dyDescent="0.25"/>
    <row r="87168" s="12" customFormat="1" x14ac:dyDescent="0.25"/>
    <row r="87169" s="12" customFormat="1" x14ac:dyDescent="0.25"/>
    <row r="87170" s="12" customFormat="1" x14ac:dyDescent="0.25"/>
    <row r="87171" s="12" customFormat="1" x14ac:dyDescent="0.25"/>
    <row r="87172" s="12" customFormat="1" x14ac:dyDescent="0.25"/>
    <row r="87173" s="12" customFormat="1" x14ac:dyDescent="0.25"/>
    <row r="87174" s="12" customFormat="1" x14ac:dyDescent="0.25"/>
    <row r="87175" s="12" customFormat="1" x14ac:dyDescent="0.25"/>
    <row r="87176" s="12" customFormat="1" x14ac:dyDescent="0.25"/>
    <row r="87177" s="12" customFormat="1" x14ac:dyDescent="0.25"/>
    <row r="87178" s="12" customFormat="1" x14ac:dyDescent="0.25"/>
    <row r="87179" s="12" customFormat="1" x14ac:dyDescent="0.25"/>
    <row r="87180" s="12" customFormat="1" x14ac:dyDescent="0.25"/>
    <row r="87181" s="12" customFormat="1" x14ac:dyDescent="0.25"/>
    <row r="87182" s="12" customFormat="1" x14ac:dyDescent="0.25"/>
    <row r="87183" s="12" customFormat="1" x14ac:dyDescent="0.25"/>
    <row r="87184" s="12" customFormat="1" x14ac:dyDescent="0.25"/>
    <row r="87185" s="12" customFormat="1" x14ac:dyDescent="0.25"/>
    <row r="87186" s="12" customFormat="1" x14ac:dyDescent="0.25"/>
    <row r="87187" s="12" customFormat="1" x14ac:dyDescent="0.25"/>
    <row r="87188" s="12" customFormat="1" x14ac:dyDescent="0.25"/>
    <row r="87189" s="12" customFormat="1" x14ac:dyDescent="0.25"/>
    <row r="87190" s="12" customFormat="1" x14ac:dyDescent="0.25"/>
    <row r="87191" s="12" customFormat="1" x14ac:dyDescent="0.25"/>
    <row r="87192" s="12" customFormat="1" x14ac:dyDescent="0.25"/>
    <row r="87193" s="12" customFormat="1" x14ac:dyDescent="0.25"/>
    <row r="87194" s="12" customFormat="1" x14ac:dyDescent="0.25"/>
    <row r="87195" s="12" customFormat="1" x14ac:dyDescent="0.25"/>
    <row r="87196" s="12" customFormat="1" x14ac:dyDescent="0.25"/>
    <row r="87197" s="12" customFormat="1" x14ac:dyDescent="0.25"/>
    <row r="87198" s="12" customFormat="1" x14ac:dyDescent="0.25"/>
    <row r="87199" s="12" customFormat="1" x14ac:dyDescent="0.25"/>
    <row r="87200" s="12" customFormat="1" x14ac:dyDescent="0.25"/>
    <row r="87201" s="12" customFormat="1" x14ac:dyDescent="0.25"/>
    <row r="87202" s="12" customFormat="1" x14ac:dyDescent="0.25"/>
    <row r="87203" s="12" customFormat="1" x14ac:dyDescent="0.25"/>
    <row r="87204" s="12" customFormat="1" x14ac:dyDescent="0.25"/>
    <row r="87205" s="12" customFormat="1" x14ac:dyDescent="0.25"/>
    <row r="87206" s="12" customFormat="1" x14ac:dyDescent="0.25"/>
    <row r="87207" s="12" customFormat="1" x14ac:dyDescent="0.25"/>
    <row r="87208" s="12" customFormat="1" x14ac:dyDescent="0.25"/>
    <row r="87209" s="12" customFormat="1" x14ac:dyDescent="0.25"/>
    <row r="87210" s="12" customFormat="1" x14ac:dyDescent="0.25"/>
    <row r="87211" s="12" customFormat="1" x14ac:dyDescent="0.25"/>
    <row r="87212" s="12" customFormat="1" x14ac:dyDescent="0.25"/>
    <row r="87213" s="12" customFormat="1" x14ac:dyDescent="0.25"/>
    <row r="87214" s="12" customFormat="1" x14ac:dyDescent="0.25"/>
    <row r="87215" s="12" customFormat="1" x14ac:dyDescent="0.25"/>
    <row r="87216" s="12" customFormat="1" x14ac:dyDescent="0.25"/>
    <row r="87217" s="12" customFormat="1" x14ac:dyDescent="0.25"/>
    <row r="87218" s="12" customFormat="1" x14ac:dyDescent="0.25"/>
    <row r="87219" s="12" customFormat="1" x14ac:dyDescent="0.25"/>
    <row r="87220" s="12" customFormat="1" x14ac:dyDescent="0.25"/>
    <row r="87221" s="12" customFormat="1" x14ac:dyDescent="0.25"/>
    <row r="87222" s="12" customFormat="1" x14ac:dyDescent="0.25"/>
    <row r="87223" s="12" customFormat="1" x14ac:dyDescent="0.25"/>
    <row r="87224" s="12" customFormat="1" x14ac:dyDescent="0.25"/>
    <row r="87225" s="12" customFormat="1" x14ac:dyDescent="0.25"/>
    <row r="87226" s="12" customFormat="1" x14ac:dyDescent="0.25"/>
    <row r="87227" s="12" customFormat="1" x14ac:dyDescent="0.25"/>
    <row r="87228" s="12" customFormat="1" x14ac:dyDescent="0.25"/>
    <row r="87229" s="12" customFormat="1" x14ac:dyDescent="0.25"/>
    <row r="87230" s="12" customFormat="1" x14ac:dyDescent="0.25"/>
    <row r="87231" s="12" customFormat="1" x14ac:dyDescent="0.25"/>
    <row r="87232" s="12" customFormat="1" x14ac:dyDescent="0.25"/>
    <row r="87233" s="12" customFormat="1" x14ac:dyDescent="0.25"/>
    <row r="87234" s="12" customFormat="1" x14ac:dyDescent="0.25"/>
    <row r="87235" s="12" customFormat="1" x14ac:dyDescent="0.25"/>
    <row r="87236" s="12" customFormat="1" x14ac:dyDescent="0.25"/>
    <row r="87237" s="12" customFormat="1" x14ac:dyDescent="0.25"/>
    <row r="87238" s="12" customFormat="1" x14ac:dyDescent="0.25"/>
    <row r="87239" s="12" customFormat="1" x14ac:dyDescent="0.25"/>
    <row r="87240" s="12" customFormat="1" x14ac:dyDescent="0.25"/>
    <row r="87241" s="12" customFormat="1" x14ac:dyDescent="0.25"/>
    <row r="87242" s="12" customFormat="1" x14ac:dyDescent="0.25"/>
    <row r="87243" s="12" customFormat="1" x14ac:dyDescent="0.25"/>
    <row r="87244" s="12" customFormat="1" x14ac:dyDescent="0.25"/>
    <row r="87245" s="12" customFormat="1" x14ac:dyDescent="0.25"/>
    <row r="87246" s="12" customFormat="1" x14ac:dyDescent="0.25"/>
    <row r="87247" s="12" customFormat="1" x14ac:dyDescent="0.25"/>
    <row r="87248" s="12" customFormat="1" x14ac:dyDescent="0.25"/>
    <row r="87249" s="12" customFormat="1" x14ac:dyDescent="0.25"/>
    <row r="87250" s="12" customFormat="1" x14ac:dyDescent="0.25"/>
    <row r="87251" s="12" customFormat="1" x14ac:dyDescent="0.25"/>
    <row r="87252" s="12" customFormat="1" x14ac:dyDescent="0.25"/>
    <row r="87253" s="12" customFormat="1" x14ac:dyDescent="0.25"/>
    <row r="87254" s="12" customFormat="1" x14ac:dyDescent="0.25"/>
    <row r="87255" s="12" customFormat="1" x14ac:dyDescent="0.25"/>
    <row r="87256" s="12" customFormat="1" x14ac:dyDescent="0.25"/>
    <row r="87257" s="12" customFormat="1" x14ac:dyDescent="0.25"/>
    <row r="87258" s="12" customFormat="1" x14ac:dyDescent="0.25"/>
    <row r="87259" s="12" customFormat="1" x14ac:dyDescent="0.25"/>
    <row r="87260" s="12" customFormat="1" x14ac:dyDescent="0.25"/>
    <row r="87261" s="12" customFormat="1" x14ac:dyDescent="0.25"/>
    <row r="87262" s="12" customFormat="1" x14ac:dyDescent="0.25"/>
    <row r="87263" s="12" customFormat="1" x14ac:dyDescent="0.25"/>
    <row r="87264" s="12" customFormat="1" x14ac:dyDescent="0.25"/>
    <row r="87265" s="12" customFormat="1" x14ac:dyDescent="0.25"/>
    <row r="87266" s="12" customFormat="1" x14ac:dyDescent="0.25"/>
    <row r="87267" s="12" customFormat="1" x14ac:dyDescent="0.25"/>
    <row r="87268" s="12" customFormat="1" x14ac:dyDescent="0.25"/>
    <row r="87269" s="12" customFormat="1" x14ac:dyDescent="0.25"/>
    <row r="87270" s="12" customFormat="1" x14ac:dyDescent="0.25"/>
    <row r="87271" s="12" customFormat="1" x14ac:dyDescent="0.25"/>
    <row r="87272" s="12" customFormat="1" x14ac:dyDescent="0.25"/>
    <row r="87273" s="12" customFormat="1" x14ac:dyDescent="0.25"/>
    <row r="87274" s="12" customFormat="1" x14ac:dyDescent="0.25"/>
    <row r="87275" s="12" customFormat="1" x14ac:dyDescent="0.25"/>
    <row r="87276" s="12" customFormat="1" x14ac:dyDescent="0.25"/>
    <row r="87277" s="12" customFormat="1" x14ac:dyDescent="0.25"/>
    <row r="87278" s="12" customFormat="1" x14ac:dyDescent="0.25"/>
    <row r="87279" s="12" customFormat="1" x14ac:dyDescent="0.25"/>
    <row r="87280" s="12" customFormat="1" x14ac:dyDescent="0.25"/>
    <row r="87281" s="12" customFormat="1" x14ac:dyDescent="0.25"/>
    <row r="87282" s="12" customFormat="1" x14ac:dyDescent="0.25"/>
    <row r="87283" s="12" customFormat="1" x14ac:dyDescent="0.25"/>
    <row r="87284" s="12" customFormat="1" x14ac:dyDescent="0.25"/>
    <row r="87285" s="12" customFormat="1" x14ac:dyDescent="0.25"/>
    <row r="87286" s="12" customFormat="1" x14ac:dyDescent="0.25"/>
    <row r="87287" s="12" customFormat="1" x14ac:dyDescent="0.25"/>
    <row r="87288" s="12" customFormat="1" x14ac:dyDescent="0.25"/>
    <row r="87289" s="12" customFormat="1" x14ac:dyDescent="0.25"/>
    <row r="87290" s="12" customFormat="1" x14ac:dyDescent="0.25"/>
    <row r="87291" s="12" customFormat="1" x14ac:dyDescent="0.25"/>
    <row r="87292" s="12" customFormat="1" x14ac:dyDescent="0.25"/>
    <row r="87293" s="12" customFormat="1" x14ac:dyDescent="0.25"/>
    <row r="87294" s="12" customFormat="1" x14ac:dyDescent="0.25"/>
    <row r="87295" s="12" customFormat="1" x14ac:dyDescent="0.25"/>
    <row r="87296" s="12" customFormat="1" x14ac:dyDescent="0.25"/>
    <row r="87297" s="12" customFormat="1" x14ac:dyDescent="0.25"/>
    <row r="87298" s="12" customFormat="1" x14ac:dyDescent="0.25"/>
    <row r="87299" s="12" customFormat="1" x14ac:dyDescent="0.25"/>
    <row r="87300" s="12" customFormat="1" x14ac:dyDescent="0.25"/>
    <row r="87301" s="12" customFormat="1" x14ac:dyDescent="0.25"/>
    <row r="87302" s="12" customFormat="1" x14ac:dyDescent="0.25"/>
    <row r="87303" s="12" customFormat="1" x14ac:dyDescent="0.25"/>
    <row r="87304" s="12" customFormat="1" x14ac:dyDescent="0.25"/>
    <row r="87305" s="12" customFormat="1" x14ac:dyDescent="0.25"/>
    <row r="87306" s="12" customFormat="1" x14ac:dyDescent="0.25"/>
    <row r="87307" s="12" customFormat="1" x14ac:dyDescent="0.25"/>
    <row r="87308" s="12" customFormat="1" x14ac:dyDescent="0.25"/>
    <row r="87309" s="12" customFormat="1" x14ac:dyDescent="0.25"/>
    <row r="87310" s="12" customFormat="1" x14ac:dyDescent="0.25"/>
    <row r="87311" s="12" customFormat="1" x14ac:dyDescent="0.25"/>
    <row r="87312" s="12" customFormat="1" x14ac:dyDescent="0.25"/>
    <row r="87313" s="12" customFormat="1" x14ac:dyDescent="0.25"/>
    <row r="87314" s="12" customFormat="1" x14ac:dyDescent="0.25"/>
    <row r="87315" s="12" customFormat="1" x14ac:dyDescent="0.25"/>
    <row r="87316" s="12" customFormat="1" x14ac:dyDescent="0.25"/>
    <row r="87317" s="12" customFormat="1" x14ac:dyDescent="0.25"/>
    <row r="87318" s="12" customFormat="1" x14ac:dyDescent="0.25"/>
    <row r="87319" s="12" customFormat="1" x14ac:dyDescent="0.25"/>
    <row r="87320" s="12" customFormat="1" x14ac:dyDescent="0.25"/>
    <row r="87321" s="12" customFormat="1" x14ac:dyDescent="0.25"/>
    <row r="87322" s="12" customFormat="1" x14ac:dyDescent="0.25"/>
    <row r="87323" s="12" customFormat="1" x14ac:dyDescent="0.25"/>
    <row r="87324" s="12" customFormat="1" x14ac:dyDescent="0.25"/>
    <row r="87325" s="12" customFormat="1" x14ac:dyDescent="0.25"/>
    <row r="87326" s="12" customFormat="1" x14ac:dyDescent="0.25"/>
    <row r="87327" s="12" customFormat="1" x14ac:dyDescent="0.25"/>
    <row r="87328" s="12" customFormat="1" x14ac:dyDescent="0.25"/>
    <row r="87329" s="12" customFormat="1" x14ac:dyDescent="0.25"/>
    <row r="87330" s="12" customFormat="1" x14ac:dyDescent="0.25"/>
    <row r="87331" s="12" customFormat="1" x14ac:dyDescent="0.25"/>
    <row r="87332" s="12" customFormat="1" x14ac:dyDescent="0.25"/>
    <row r="87333" s="12" customFormat="1" x14ac:dyDescent="0.25"/>
    <row r="87334" s="12" customFormat="1" x14ac:dyDescent="0.25"/>
    <row r="87335" s="12" customFormat="1" x14ac:dyDescent="0.25"/>
    <row r="87336" s="12" customFormat="1" x14ac:dyDescent="0.25"/>
    <row r="87337" s="12" customFormat="1" x14ac:dyDescent="0.25"/>
    <row r="87338" s="12" customFormat="1" x14ac:dyDescent="0.25"/>
    <row r="87339" s="12" customFormat="1" x14ac:dyDescent="0.25"/>
    <row r="87340" s="12" customFormat="1" x14ac:dyDescent="0.25"/>
    <row r="87341" s="12" customFormat="1" x14ac:dyDescent="0.25"/>
    <row r="87342" s="12" customFormat="1" x14ac:dyDescent="0.25"/>
    <row r="87343" s="12" customFormat="1" x14ac:dyDescent="0.25"/>
    <row r="87344" s="12" customFormat="1" x14ac:dyDescent="0.25"/>
    <row r="87345" s="12" customFormat="1" x14ac:dyDescent="0.25"/>
    <row r="87346" s="12" customFormat="1" x14ac:dyDescent="0.25"/>
    <row r="87347" s="12" customFormat="1" x14ac:dyDescent="0.25"/>
    <row r="87348" s="12" customFormat="1" x14ac:dyDescent="0.25"/>
    <row r="87349" s="12" customFormat="1" x14ac:dyDescent="0.25"/>
    <row r="87350" s="12" customFormat="1" x14ac:dyDescent="0.25"/>
    <row r="87351" s="12" customFormat="1" x14ac:dyDescent="0.25"/>
    <row r="87352" s="12" customFormat="1" x14ac:dyDescent="0.25"/>
    <row r="87353" s="12" customFormat="1" x14ac:dyDescent="0.25"/>
    <row r="87354" s="12" customFormat="1" x14ac:dyDescent="0.25"/>
    <row r="87355" s="12" customFormat="1" x14ac:dyDescent="0.25"/>
    <row r="87356" s="12" customFormat="1" x14ac:dyDescent="0.25"/>
    <row r="87357" s="12" customFormat="1" x14ac:dyDescent="0.25"/>
    <row r="87358" s="12" customFormat="1" x14ac:dyDescent="0.25"/>
    <row r="87359" s="12" customFormat="1" x14ac:dyDescent="0.25"/>
    <row r="87360" s="12" customFormat="1" x14ac:dyDescent="0.25"/>
    <row r="87361" s="12" customFormat="1" x14ac:dyDescent="0.25"/>
    <row r="87362" s="12" customFormat="1" x14ac:dyDescent="0.25"/>
    <row r="87363" s="12" customFormat="1" x14ac:dyDescent="0.25"/>
    <row r="87364" s="12" customFormat="1" x14ac:dyDescent="0.25"/>
    <row r="87365" s="12" customFormat="1" x14ac:dyDescent="0.25"/>
    <row r="87366" s="12" customFormat="1" x14ac:dyDescent="0.25"/>
    <row r="87367" s="12" customFormat="1" x14ac:dyDescent="0.25"/>
    <row r="87368" s="12" customFormat="1" x14ac:dyDescent="0.25"/>
    <row r="87369" s="12" customFormat="1" x14ac:dyDescent="0.25"/>
    <row r="87370" s="12" customFormat="1" x14ac:dyDescent="0.25"/>
    <row r="87371" s="12" customFormat="1" x14ac:dyDescent="0.25"/>
    <row r="87372" s="12" customFormat="1" x14ac:dyDescent="0.25"/>
    <row r="87373" s="12" customFormat="1" x14ac:dyDescent="0.25"/>
    <row r="87374" s="12" customFormat="1" x14ac:dyDescent="0.25"/>
    <row r="87375" s="12" customFormat="1" x14ac:dyDescent="0.25"/>
    <row r="87376" s="12" customFormat="1" x14ac:dyDescent="0.25"/>
    <row r="87377" s="12" customFormat="1" x14ac:dyDescent="0.25"/>
    <row r="87378" s="12" customFormat="1" x14ac:dyDescent="0.25"/>
    <row r="87379" s="12" customFormat="1" x14ac:dyDescent="0.25"/>
    <row r="87380" s="12" customFormat="1" x14ac:dyDescent="0.25"/>
    <row r="87381" s="12" customFormat="1" x14ac:dyDescent="0.25"/>
    <row r="87382" s="12" customFormat="1" x14ac:dyDescent="0.25"/>
    <row r="87383" s="12" customFormat="1" x14ac:dyDescent="0.25"/>
    <row r="87384" s="12" customFormat="1" x14ac:dyDescent="0.25"/>
    <row r="87385" s="12" customFormat="1" x14ac:dyDescent="0.25"/>
    <row r="87386" s="12" customFormat="1" x14ac:dyDescent="0.25"/>
    <row r="87387" s="12" customFormat="1" x14ac:dyDescent="0.25"/>
    <row r="87388" s="12" customFormat="1" x14ac:dyDescent="0.25"/>
    <row r="87389" s="12" customFormat="1" x14ac:dyDescent="0.25"/>
    <row r="87390" s="12" customFormat="1" x14ac:dyDescent="0.25"/>
    <row r="87391" s="12" customFormat="1" x14ac:dyDescent="0.25"/>
    <row r="87392" s="12" customFormat="1" x14ac:dyDescent="0.25"/>
    <row r="87393" s="12" customFormat="1" x14ac:dyDescent="0.25"/>
    <row r="87394" s="12" customFormat="1" x14ac:dyDescent="0.25"/>
    <row r="87395" s="12" customFormat="1" x14ac:dyDescent="0.25"/>
    <row r="87396" s="12" customFormat="1" x14ac:dyDescent="0.25"/>
    <row r="87397" s="12" customFormat="1" x14ac:dyDescent="0.25"/>
    <row r="87398" s="12" customFormat="1" x14ac:dyDescent="0.25"/>
    <row r="87399" s="12" customFormat="1" x14ac:dyDescent="0.25"/>
    <row r="87400" s="12" customFormat="1" x14ac:dyDescent="0.25"/>
    <row r="87401" s="12" customFormat="1" x14ac:dyDescent="0.25"/>
    <row r="87402" s="12" customFormat="1" x14ac:dyDescent="0.25"/>
    <row r="87403" s="12" customFormat="1" x14ac:dyDescent="0.25"/>
    <row r="87404" s="12" customFormat="1" x14ac:dyDescent="0.25"/>
    <row r="87405" s="12" customFormat="1" x14ac:dyDescent="0.25"/>
    <row r="87406" s="12" customFormat="1" x14ac:dyDescent="0.25"/>
    <row r="87407" s="12" customFormat="1" x14ac:dyDescent="0.25"/>
    <row r="87408" s="12" customFormat="1" x14ac:dyDescent="0.25"/>
    <row r="87409" s="12" customFormat="1" x14ac:dyDescent="0.25"/>
    <row r="87410" s="12" customFormat="1" x14ac:dyDescent="0.25"/>
    <row r="87411" s="12" customFormat="1" x14ac:dyDescent="0.25"/>
    <row r="87412" s="12" customFormat="1" x14ac:dyDescent="0.25"/>
    <row r="87413" s="12" customFormat="1" x14ac:dyDescent="0.25"/>
    <row r="87414" s="12" customFormat="1" x14ac:dyDescent="0.25"/>
    <row r="87415" s="12" customFormat="1" x14ac:dyDescent="0.25"/>
    <row r="87416" s="12" customFormat="1" x14ac:dyDescent="0.25"/>
    <row r="87417" s="12" customFormat="1" x14ac:dyDescent="0.25"/>
    <row r="87418" s="12" customFormat="1" x14ac:dyDescent="0.25"/>
    <row r="87419" s="12" customFormat="1" x14ac:dyDescent="0.25"/>
    <row r="87420" s="12" customFormat="1" x14ac:dyDescent="0.25"/>
    <row r="87421" s="12" customFormat="1" x14ac:dyDescent="0.25"/>
    <row r="87422" s="12" customFormat="1" x14ac:dyDescent="0.25"/>
    <row r="87423" s="12" customFormat="1" x14ac:dyDescent="0.25"/>
    <row r="87424" s="12" customFormat="1" x14ac:dyDescent="0.25"/>
    <row r="87425" s="12" customFormat="1" x14ac:dyDescent="0.25"/>
    <row r="87426" s="12" customFormat="1" x14ac:dyDescent="0.25"/>
    <row r="87427" s="12" customFormat="1" x14ac:dyDescent="0.25"/>
    <row r="87428" s="12" customFormat="1" x14ac:dyDescent="0.25"/>
    <row r="87429" s="12" customFormat="1" x14ac:dyDescent="0.25"/>
    <row r="87430" s="12" customFormat="1" x14ac:dyDescent="0.25"/>
    <row r="87431" s="12" customFormat="1" x14ac:dyDescent="0.25"/>
    <row r="87432" s="12" customFormat="1" x14ac:dyDescent="0.25"/>
    <row r="87433" s="12" customFormat="1" x14ac:dyDescent="0.25"/>
    <row r="87434" s="12" customFormat="1" x14ac:dyDescent="0.25"/>
    <row r="87435" s="12" customFormat="1" x14ac:dyDescent="0.25"/>
    <row r="87436" s="12" customFormat="1" x14ac:dyDescent="0.25"/>
    <row r="87437" s="12" customFormat="1" x14ac:dyDescent="0.25"/>
    <row r="87438" s="12" customFormat="1" x14ac:dyDescent="0.25"/>
    <row r="87439" s="12" customFormat="1" x14ac:dyDescent="0.25"/>
    <row r="87440" s="12" customFormat="1" x14ac:dyDescent="0.25"/>
    <row r="87441" s="12" customFormat="1" x14ac:dyDescent="0.25"/>
    <row r="87442" s="12" customFormat="1" x14ac:dyDescent="0.25"/>
    <row r="87443" s="12" customFormat="1" x14ac:dyDescent="0.25"/>
    <row r="87444" s="12" customFormat="1" x14ac:dyDescent="0.25"/>
    <row r="87445" s="12" customFormat="1" x14ac:dyDescent="0.25"/>
    <row r="87446" s="12" customFormat="1" x14ac:dyDescent="0.25"/>
    <row r="87447" s="12" customFormat="1" x14ac:dyDescent="0.25"/>
    <row r="87448" s="12" customFormat="1" x14ac:dyDescent="0.25"/>
    <row r="87449" s="12" customFormat="1" x14ac:dyDescent="0.25"/>
    <row r="87450" s="12" customFormat="1" x14ac:dyDescent="0.25"/>
    <row r="87451" s="12" customFormat="1" x14ac:dyDescent="0.25"/>
    <row r="87452" s="12" customFormat="1" x14ac:dyDescent="0.25"/>
    <row r="87453" s="12" customFormat="1" x14ac:dyDescent="0.25"/>
    <row r="87454" s="12" customFormat="1" x14ac:dyDescent="0.25"/>
    <row r="87455" s="12" customFormat="1" x14ac:dyDescent="0.25"/>
    <row r="87456" s="12" customFormat="1" x14ac:dyDescent="0.25"/>
    <row r="87457" s="12" customFormat="1" x14ac:dyDescent="0.25"/>
    <row r="87458" s="12" customFormat="1" x14ac:dyDescent="0.25"/>
    <row r="87459" s="12" customFormat="1" x14ac:dyDescent="0.25"/>
    <row r="87460" s="12" customFormat="1" x14ac:dyDescent="0.25"/>
    <row r="87461" s="12" customFormat="1" x14ac:dyDescent="0.25"/>
    <row r="87462" s="12" customFormat="1" x14ac:dyDescent="0.25"/>
    <row r="87463" s="12" customFormat="1" x14ac:dyDescent="0.25"/>
    <row r="87464" s="12" customFormat="1" x14ac:dyDescent="0.25"/>
    <row r="87465" s="12" customFormat="1" x14ac:dyDescent="0.25"/>
    <row r="87466" s="12" customFormat="1" x14ac:dyDescent="0.25"/>
    <row r="87467" s="12" customFormat="1" x14ac:dyDescent="0.25"/>
    <row r="87468" s="12" customFormat="1" x14ac:dyDescent="0.25"/>
    <row r="87469" s="12" customFormat="1" x14ac:dyDescent="0.25"/>
    <row r="87470" s="12" customFormat="1" x14ac:dyDescent="0.25"/>
    <row r="87471" s="12" customFormat="1" x14ac:dyDescent="0.25"/>
    <row r="87472" s="12" customFormat="1" x14ac:dyDescent="0.25"/>
    <row r="87473" s="12" customFormat="1" x14ac:dyDescent="0.25"/>
    <row r="87474" s="12" customFormat="1" x14ac:dyDescent="0.25"/>
    <row r="87475" s="12" customFormat="1" x14ac:dyDescent="0.25"/>
    <row r="87476" s="12" customFormat="1" x14ac:dyDescent="0.25"/>
    <row r="87477" s="12" customFormat="1" x14ac:dyDescent="0.25"/>
    <row r="87478" s="12" customFormat="1" x14ac:dyDescent="0.25"/>
    <row r="87479" s="12" customFormat="1" x14ac:dyDescent="0.25"/>
    <row r="87480" s="12" customFormat="1" x14ac:dyDescent="0.25"/>
    <row r="87481" s="12" customFormat="1" x14ac:dyDescent="0.25"/>
    <row r="87482" s="12" customFormat="1" x14ac:dyDescent="0.25"/>
    <row r="87483" s="12" customFormat="1" x14ac:dyDescent="0.25"/>
    <row r="87484" s="12" customFormat="1" x14ac:dyDescent="0.25"/>
    <row r="87485" s="12" customFormat="1" x14ac:dyDescent="0.25"/>
    <row r="87486" s="12" customFormat="1" x14ac:dyDescent="0.25"/>
    <row r="87487" s="12" customFormat="1" x14ac:dyDescent="0.25"/>
    <row r="87488" s="12" customFormat="1" x14ac:dyDescent="0.25"/>
    <row r="87489" s="12" customFormat="1" x14ac:dyDescent="0.25"/>
    <row r="87490" s="12" customFormat="1" x14ac:dyDescent="0.25"/>
    <row r="87491" s="12" customFormat="1" x14ac:dyDescent="0.25"/>
    <row r="87492" s="12" customFormat="1" x14ac:dyDescent="0.25"/>
    <row r="87493" s="12" customFormat="1" x14ac:dyDescent="0.25"/>
    <row r="87494" s="12" customFormat="1" x14ac:dyDescent="0.25"/>
    <row r="87495" s="12" customFormat="1" x14ac:dyDescent="0.25"/>
    <row r="87496" s="12" customFormat="1" x14ac:dyDescent="0.25"/>
    <row r="87497" s="12" customFormat="1" x14ac:dyDescent="0.25"/>
    <row r="87498" s="12" customFormat="1" x14ac:dyDescent="0.25"/>
    <row r="87499" s="12" customFormat="1" x14ac:dyDescent="0.25"/>
    <row r="87500" s="12" customFormat="1" x14ac:dyDescent="0.25"/>
    <row r="87501" s="12" customFormat="1" x14ac:dyDescent="0.25"/>
    <row r="87502" s="12" customFormat="1" x14ac:dyDescent="0.25"/>
    <row r="87503" s="12" customFormat="1" x14ac:dyDescent="0.25"/>
    <row r="87504" s="12" customFormat="1" x14ac:dyDescent="0.25"/>
    <row r="87505" s="12" customFormat="1" x14ac:dyDescent="0.25"/>
    <row r="87506" s="12" customFormat="1" x14ac:dyDescent="0.25"/>
    <row r="87507" s="12" customFormat="1" x14ac:dyDescent="0.25"/>
    <row r="87508" s="12" customFormat="1" x14ac:dyDescent="0.25"/>
    <row r="87509" s="12" customFormat="1" x14ac:dyDescent="0.25"/>
    <row r="87510" s="12" customFormat="1" x14ac:dyDescent="0.25"/>
    <row r="87511" s="12" customFormat="1" x14ac:dyDescent="0.25"/>
    <row r="87512" s="12" customFormat="1" x14ac:dyDescent="0.25"/>
    <row r="87513" s="12" customFormat="1" x14ac:dyDescent="0.25"/>
    <row r="87514" s="12" customFormat="1" x14ac:dyDescent="0.25"/>
    <row r="87515" s="12" customFormat="1" x14ac:dyDescent="0.25"/>
    <row r="87516" s="12" customFormat="1" x14ac:dyDescent="0.25"/>
    <row r="87517" s="12" customFormat="1" x14ac:dyDescent="0.25"/>
    <row r="87518" s="12" customFormat="1" x14ac:dyDescent="0.25"/>
    <row r="87519" s="12" customFormat="1" x14ac:dyDescent="0.25"/>
    <row r="87520" s="12" customFormat="1" x14ac:dyDescent="0.25"/>
    <row r="87521" s="12" customFormat="1" x14ac:dyDescent="0.25"/>
    <row r="87522" s="12" customFormat="1" x14ac:dyDescent="0.25"/>
    <row r="87523" s="12" customFormat="1" x14ac:dyDescent="0.25"/>
    <row r="87524" s="12" customFormat="1" x14ac:dyDescent="0.25"/>
    <row r="87525" s="12" customFormat="1" x14ac:dyDescent="0.25"/>
    <row r="87526" s="12" customFormat="1" x14ac:dyDescent="0.25"/>
    <row r="87527" s="12" customFormat="1" x14ac:dyDescent="0.25"/>
    <row r="87528" s="12" customFormat="1" x14ac:dyDescent="0.25"/>
    <row r="87529" s="12" customFormat="1" x14ac:dyDescent="0.25"/>
    <row r="87530" s="12" customFormat="1" x14ac:dyDescent="0.25"/>
    <row r="87531" s="12" customFormat="1" x14ac:dyDescent="0.25"/>
    <row r="87532" s="12" customFormat="1" x14ac:dyDescent="0.25"/>
    <row r="87533" s="12" customFormat="1" x14ac:dyDescent="0.25"/>
    <row r="87534" s="12" customFormat="1" x14ac:dyDescent="0.25"/>
    <row r="87535" s="12" customFormat="1" x14ac:dyDescent="0.25"/>
    <row r="87536" s="12" customFormat="1" x14ac:dyDescent="0.25"/>
    <row r="87537" s="12" customFormat="1" x14ac:dyDescent="0.25"/>
    <row r="87538" s="12" customFormat="1" x14ac:dyDescent="0.25"/>
    <row r="87539" s="12" customFormat="1" x14ac:dyDescent="0.25"/>
    <row r="87540" s="12" customFormat="1" x14ac:dyDescent="0.25"/>
    <row r="87541" s="12" customFormat="1" x14ac:dyDescent="0.25"/>
    <row r="87542" s="12" customFormat="1" x14ac:dyDescent="0.25"/>
    <row r="87543" s="12" customFormat="1" x14ac:dyDescent="0.25"/>
    <row r="87544" s="12" customFormat="1" x14ac:dyDescent="0.25"/>
    <row r="87545" s="12" customFormat="1" x14ac:dyDescent="0.25"/>
    <row r="87546" s="12" customFormat="1" x14ac:dyDescent="0.25"/>
    <row r="87547" s="12" customFormat="1" x14ac:dyDescent="0.25"/>
    <row r="87548" s="12" customFormat="1" x14ac:dyDescent="0.25"/>
    <row r="87549" s="12" customFormat="1" x14ac:dyDescent="0.25"/>
    <row r="87550" s="12" customFormat="1" x14ac:dyDescent="0.25"/>
    <row r="87551" s="12" customFormat="1" x14ac:dyDescent="0.25"/>
    <row r="87552" s="12" customFormat="1" x14ac:dyDescent="0.25"/>
    <row r="87553" s="12" customFormat="1" x14ac:dyDescent="0.25"/>
    <row r="87554" s="12" customFormat="1" x14ac:dyDescent="0.25"/>
    <row r="87555" s="12" customFormat="1" x14ac:dyDescent="0.25"/>
    <row r="87556" s="12" customFormat="1" x14ac:dyDescent="0.25"/>
    <row r="87557" s="12" customFormat="1" x14ac:dyDescent="0.25"/>
    <row r="87558" s="12" customFormat="1" x14ac:dyDescent="0.25"/>
    <row r="87559" s="12" customFormat="1" x14ac:dyDescent="0.25"/>
    <row r="87560" s="12" customFormat="1" x14ac:dyDescent="0.25"/>
    <row r="87561" s="12" customFormat="1" x14ac:dyDescent="0.25"/>
    <row r="87562" s="12" customFormat="1" x14ac:dyDescent="0.25"/>
    <row r="87563" s="12" customFormat="1" x14ac:dyDescent="0.25"/>
    <row r="87564" s="12" customFormat="1" x14ac:dyDescent="0.25"/>
    <row r="87565" s="12" customFormat="1" x14ac:dyDescent="0.25"/>
    <row r="87566" s="12" customFormat="1" x14ac:dyDescent="0.25"/>
    <row r="87567" s="12" customFormat="1" x14ac:dyDescent="0.25"/>
    <row r="87568" s="12" customFormat="1" x14ac:dyDescent="0.25"/>
    <row r="87569" s="12" customFormat="1" x14ac:dyDescent="0.25"/>
    <row r="87570" s="12" customFormat="1" x14ac:dyDescent="0.25"/>
    <row r="87571" s="12" customFormat="1" x14ac:dyDescent="0.25"/>
    <row r="87572" s="12" customFormat="1" x14ac:dyDescent="0.25"/>
    <row r="87573" s="12" customFormat="1" x14ac:dyDescent="0.25"/>
    <row r="87574" s="12" customFormat="1" x14ac:dyDescent="0.25"/>
    <row r="87575" s="12" customFormat="1" x14ac:dyDescent="0.25"/>
    <row r="87576" s="12" customFormat="1" x14ac:dyDescent="0.25"/>
    <row r="87577" s="12" customFormat="1" x14ac:dyDescent="0.25"/>
    <row r="87578" s="12" customFormat="1" x14ac:dyDescent="0.25"/>
    <row r="87579" s="12" customFormat="1" x14ac:dyDescent="0.25"/>
    <row r="87580" s="12" customFormat="1" x14ac:dyDescent="0.25"/>
    <row r="87581" s="12" customFormat="1" x14ac:dyDescent="0.25"/>
    <row r="87582" s="12" customFormat="1" x14ac:dyDescent="0.25"/>
    <row r="87583" s="12" customFormat="1" x14ac:dyDescent="0.25"/>
    <row r="87584" s="12" customFormat="1" x14ac:dyDescent="0.25"/>
    <row r="87585" s="12" customFormat="1" x14ac:dyDescent="0.25"/>
    <row r="87586" s="12" customFormat="1" x14ac:dyDescent="0.25"/>
    <row r="87587" s="12" customFormat="1" x14ac:dyDescent="0.25"/>
    <row r="87588" s="12" customFormat="1" x14ac:dyDescent="0.25"/>
    <row r="87589" s="12" customFormat="1" x14ac:dyDescent="0.25"/>
    <row r="87590" s="12" customFormat="1" x14ac:dyDescent="0.25"/>
    <row r="87591" s="12" customFormat="1" x14ac:dyDescent="0.25"/>
    <row r="87592" s="12" customFormat="1" x14ac:dyDescent="0.25"/>
    <row r="87593" s="12" customFormat="1" x14ac:dyDescent="0.25"/>
    <row r="87594" s="12" customFormat="1" x14ac:dyDescent="0.25"/>
    <row r="87595" s="12" customFormat="1" x14ac:dyDescent="0.25"/>
    <row r="87596" s="12" customFormat="1" x14ac:dyDescent="0.25"/>
    <row r="87597" s="12" customFormat="1" x14ac:dyDescent="0.25"/>
    <row r="87598" s="12" customFormat="1" x14ac:dyDescent="0.25"/>
    <row r="87599" s="12" customFormat="1" x14ac:dyDescent="0.25"/>
    <row r="87600" s="12" customFormat="1" x14ac:dyDescent="0.25"/>
    <row r="87601" s="12" customFormat="1" x14ac:dyDescent="0.25"/>
    <row r="87602" s="12" customFormat="1" x14ac:dyDescent="0.25"/>
    <row r="87603" s="12" customFormat="1" x14ac:dyDescent="0.25"/>
    <row r="87604" s="12" customFormat="1" x14ac:dyDescent="0.25"/>
    <row r="87605" s="12" customFormat="1" x14ac:dyDescent="0.25"/>
    <row r="87606" s="12" customFormat="1" x14ac:dyDescent="0.25"/>
    <row r="87607" s="12" customFormat="1" x14ac:dyDescent="0.25"/>
    <row r="87608" s="12" customFormat="1" x14ac:dyDescent="0.25"/>
    <row r="87609" s="12" customFormat="1" x14ac:dyDescent="0.25"/>
    <row r="87610" s="12" customFormat="1" x14ac:dyDescent="0.25"/>
    <row r="87611" s="12" customFormat="1" x14ac:dyDescent="0.25"/>
    <row r="87612" s="12" customFormat="1" x14ac:dyDescent="0.25"/>
    <row r="87613" s="12" customFormat="1" x14ac:dyDescent="0.25"/>
    <row r="87614" s="12" customFormat="1" x14ac:dyDescent="0.25"/>
    <row r="87615" s="12" customFormat="1" x14ac:dyDescent="0.25"/>
    <row r="87616" s="12" customFormat="1" x14ac:dyDescent="0.25"/>
    <row r="87617" s="12" customFormat="1" x14ac:dyDescent="0.25"/>
    <row r="87618" s="12" customFormat="1" x14ac:dyDescent="0.25"/>
    <row r="87619" s="12" customFormat="1" x14ac:dyDescent="0.25"/>
    <row r="87620" s="12" customFormat="1" x14ac:dyDescent="0.25"/>
    <row r="87621" s="12" customFormat="1" x14ac:dyDescent="0.25"/>
    <row r="87622" s="12" customFormat="1" x14ac:dyDescent="0.25"/>
    <row r="87623" s="12" customFormat="1" x14ac:dyDescent="0.25"/>
    <row r="87624" s="12" customFormat="1" x14ac:dyDescent="0.25"/>
    <row r="87625" s="12" customFormat="1" x14ac:dyDescent="0.25"/>
    <row r="87626" s="12" customFormat="1" x14ac:dyDescent="0.25"/>
    <row r="87627" s="12" customFormat="1" x14ac:dyDescent="0.25"/>
    <row r="87628" s="12" customFormat="1" x14ac:dyDescent="0.25"/>
    <row r="87629" s="12" customFormat="1" x14ac:dyDescent="0.25"/>
    <row r="87630" s="12" customFormat="1" x14ac:dyDescent="0.25"/>
    <row r="87631" s="12" customFormat="1" x14ac:dyDescent="0.25"/>
    <row r="87632" s="12" customFormat="1" x14ac:dyDescent="0.25"/>
    <row r="87633" s="12" customFormat="1" x14ac:dyDescent="0.25"/>
    <row r="87634" s="12" customFormat="1" x14ac:dyDescent="0.25"/>
    <row r="87635" s="12" customFormat="1" x14ac:dyDescent="0.25"/>
    <row r="87636" s="12" customFormat="1" x14ac:dyDescent="0.25"/>
    <row r="87637" s="12" customFormat="1" x14ac:dyDescent="0.25"/>
    <row r="87638" s="12" customFormat="1" x14ac:dyDescent="0.25"/>
    <row r="87639" s="12" customFormat="1" x14ac:dyDescent="0.25"/>
    <row r="87640" s="12" customFormat="1" x14ac:dyDescent="0.25"/>
    <row r="87641" s="12" customFormat="1" x14ac:dyDescent="0.25"/>
    <row r="87642" s="12" customFormat="1" x14ac:dyDescent="0.25"/>
    <row r="87643" s="12" customFormat="1" x14ac:dyDescent="0.25"/>
    <row r="87644" s="12" customFormat="1" x14ac:dyDescent="0.25"/>
    <row r="87645" s="12" customFormat="1" x14ac:dyDescent="0.25"/>
    <row r="87646" s="12" customFormat="1" x14ac:dyDescent="0.25"/>
    <row r="87647" s="12" customFormat="1" x14ac:dyDescent="0.25"/>
    <row r="87648" s="12" customFormat="1" x14ac:dyDescent="0.25"/>
    <row r="87649" s="12" customFormat="1" x14ac:dyDescent="0.25"/>
    <row r="87650" s="12" customFormat="1" x14ac:dyDescent="0.25"/>
    <row r="87651" s="12" customFormat="1" x14ac:dyDescent="0.25"/>
    <row r="87652" s="12" customFormat="1" x14ac:dyDescent="0.25"/>
    <row r="87653" s="12" customFormat="1" x14ac:dyDescent="0.25"/>
    <row r="87654" s="12" customFormat="1" x14ac:dyDescent="0.25"/>
    <row r="87655" s="12" customFormat="1" x14ac:dyDescent="0.25"/>
    <row r="87656" s="12" customFormat="1" x14ac:dyDescent="0.25"/>
    <row r="87657" s="12" customFormat="1" x14ac:dyDescent="0.25"/>
    <row r="87658" s="12" customFormat="1" x14ac:dyDescent="0.25"/>
    <row r="87659" s="12" customFormat="1" x14ac:dyDescent="0.25"/>
    <row r="87660" s="12" customFormat="1" x14ac:dyDescent="0.25"/>
    <row r="87661" s="12" customFormat="1" x14ac:dyDescent="0.25"/>
    <row r="87662" s="12" customFormat="1" x14ac:dyDescent="0.25"/>
    <row r="87663" s="12" customFormat="1" x14ac:dyDescent="0.25"/>
    <row r="87664" s="12" customFormat="1" x14ac:dyDescent="0.25"/>
    <row r="87665" s="12" customFormat="1" x14ac:dyDescent="0.25"/>
    <row r="87666" s="12" customFormat="1" x14ac:dyDescent="0.25"/>
    <row r="87667" s="12" customFormat="1" x14ac:dyDescent="0.25"/>
    <row r="87668" s="12" customFormat="1" x14ac:dyDescent="0.25"/>
    <row r="87669" s="12" customFormat="1" x14ac:dyDescent="0.25"/>
    <row r="87670" s="12" customFormat="1" x14ac:dyDescent="0.25"/>
    <row r="87671" s="12" customFormat="1" x14ac:dyDescent="0.25"/>
    <row r="87672" s="12" customFormat="1" x14ac:dyDescent="0.25"/>
    <row r="87673" s="12" customFormat="1" x14ac:dyDescent="0.25"/>
    <row r="87674" s="12" customFormat="1" x14ac:dyDescent="0.25"/>
    <row r="87675" s="12" customFormat="1" x14ac:dyDescent="0.25"/>
    <row r="87676" s="12" customFormat="1" x14ac:dyDescent="0.25"/>
    <row r="87677" s="12" customFormat="1" x14ac:dyDescent="0.25"/>
    <row r="87678" s="12" customFormat="1" x14ac:dyDescent="0.25"/>
    <row r="87679" s="12" customFormat="1" x14ac:dyDescent="0.25"/>
    <row r="87680" s="12" customFormat="1" x14ac:dyDescent="0.25"/>
    <row r="87681" s="12" customFormat="1" x14ac:dyDescent="0.25"/>
    <row r="87682" s="12" customFormat="1" x14ac:dyDescent="0.25"/>
    <row r="87683" s="12" customFormat="1" x14ac:dyDescent="0.25"/>
    <row r="87684" s="12" customFormat="1" x14ac:dyDescent="0.25"/>
    <row r="87685" s="12" customFormat="1" x14ac:dyDescent="0.25"/>
    <row r="87686" s="12" customFormat="1" x14ac:dyDescent="0.25"/>
    <row r="87687" s="12" customFormat="1" x14ac:dyDescent="0.25"/>
    <row r="87688" s="12" customFormat="1" x14ac:dyDescent="0.25"/>
    <row r="87689" s="12" customFormat="1" x14ac:dyDescent="0.25"/>
    <row r="87690" s="12" customFormat="1" x14ac:dyDescent="0.25"/>
    <row r="87691" s="12" customFormat="1" x14ac:dyDescent="0.25"/>
    <row r="87692" s="12" customFormat="1" x14ac:dyDescent="0.25"/>
    <row r="87693" s="12" customFormat="1" x14ac:dyDescent="0.25"/>
    <row r="87694" s="12" customFormat="1" x14ac:dyDescent="0.25"/>
    <row r="87695" s="12" customFormat="1" x14ac:dyDescent="0.25"/>
    <row r="87696" s="12" customFormat="1" x14ac:dyDescent="0.25"/>
    <row r="87697" s="12" customFormat="1" x14ac:dyDescent="0.25"/>
    <row r="87698" s="12" customFormat="1" x14ac:dyDescent="0.25"/>
    <row r="87699" s="12" customFormat="1" x14ac:dyDescent="0.25"/>
    <row r="87700" s="12" customFormat="1" x14ac:dyDescent="0.25"/>
    <row r="87701" s="12" customFormat="1" x14ac:dyDescent="0.25"/>
    <row r="87702" s="12" customFormat="1" x14ac:dyDescent="0.25"/>
    <row r="87703" s="12" customFormat="1" x14ac:dyDescent="0.25"/>
    <row r="87704" s="12" customFormat="1" x14ac:dyDescent="0.25"/>
    <row r="87705" s="12" customFormat="1" x14ac:dyDescent="0.25"/>
    <row r="87706" s="12" customFormat="1" x14ac:dyDescent="0.25"/>
    <row r="87707" s="12" customFormat="1" x14ac:dyDescent="0.25"/>
    <row r="87708" s="12" customFormat="1" x14ac:dyDescent="0.25"/>
    <row r="87709" s="12" customFormat="1" x14ac:dyDescent="0.25"/>
    <row r="87710" s="12" customFormat="1" x14ac:dyDescent="0.25"/>
    <row r="87711" s="12" customFormat="1" x14ac:dyDescent="0.25"/>
    <row r="87712" s="12" customFormat="1" x14ac:dyDescent="0.25"/>
    <row r="87713" s="12" customFormat="1" x14ac:dyDescent="0.25"/>
    <row r="87714" s="12" customFormat="1" x14ac:dyDescent="0.25"/>
    <row r="87715" s="12" customFormat="1" x14ac:dyDescent="0.25"/>
    <row r="87716" s="12" customFormat="1" x14ac:dyDescent="0.25"/>
    <row r="87717" s="12" customFormat="1" x14ac:dyDescent="0.25"/>
    <row r="87718" s="12" customFormat="1" x14ac:dyDescent="0.25"/>
    <row r="87719" s="12" customFormat="1" x14ac:dyDescent="0.25"/>
    <row r="87720" s="12" customFormat="1" x14ac:dyDescent="0.25"/>
    <row r="87721" s="12" customFormat="1" x14ac:dyDescent="0.25"/>
    <row r="87722" s="12" customFormat="1" x14ac:dyDescent="0.25"/>
    <row r="87723" s="12" customFormat="1" x14ac:dyDescent="0.25"/>
    <row r="87724" s="12" customFormat="1" x14ac:dyDescent="0.25"/>
    <row r="87725" s="12" customFormat="1" x14ac:dyDescent="0.25"/>
    <row r="87726" s="12" customFormat="1" x14ac:dyDescent="0.25"/>
    <row r="87727" s="12" customFormat="1" x14ac:dyDescent="0.25"/>
    <row r="87728" s="12" customFormat="1" x14ac:dyDescent="0.25"/>
    <row r="87729" s="12" customFormat="1" x14ac:dyDescent="0.25"/>
    <row r="87730" s="12" customFormat="1" x14ac:dyDescent="0.25"/>
    <row r="87731" s="12" customFormat="1" x14ac:dyDescent="0.25"/>
    <row r="87732" s="12" customFormat="1" x14ac:dyDescent="0.25"/>
    <row r="87733" s="12" customFormat="1" x14ac:dyDescent="0.25"/>
    <row r="87734" s="12" customFormat="1" x14ac:dyDescent="0.25"/>
    <row r="87735" s="12" customFormat="1" x14ac:dyDescent="0.25"/>
    <row r="87736" s="12" customFormat="1" x14ac:dyDescent="0.25"/>
    <row r="87737" s="12" customFormat="1" x14ac:dyDescent="0.25"/>
    <row r="87738" s="12" customFormat="1" x14ac:dyDescent="0.25"/>
    <row r="87739" s="12" customFormat="1" x14ac:dyDescent="0.25"/>
    <row r="87740" s="12" customFormat="1" x14ac:dyDescent="0.25"/>
    <row r="87741" s="12" customFormat="1" x14ac:dyDescent="0.25"/>
    <row r="87742" s="12" customFormat="1" x14ac:dyDescent="0.25"/>
    <row r="87743" s="12" customFormat="1" x14ac:dyDescent="0.25"/>
    <row r="87744" s="12" customFormat="1" x14ac:dyDescent="0.25"/>
    <row r="87745" s="12" customFormat="1" x14ac:dyDescent="0.25"/>
    <row r="87746" s="12" customFormat="1" x14ac:dyDescent="0.25"/>
    <row r="87747" s="12" customFormat="1" x14ac:dyDescent="0.25"/>
    <row r="87748" s="12" customFormat="1" x14ac:dyDescent="0.25"/>
    <row r="87749" s="12" customFormat="1" x14ac:dyDescent="0.25"/>
    <row r="87750" s="12" customFormat="1" x14ac:dyDescent="0.25"/>
    <row r="87751" s="12" customFormat="1" x14ac:dyDescent="0.25"/>
    <row r="87752" s="12" customFormat="1" x14ac:dyDescent="0.25"/>
    <row r="87753" s="12" customFormat="1" x14ac:dyDescent="0.25"/>
    <row r="87754" s="12" customFormat="1" x14ac:dyDescent="0.25"/>
    <row r="87755" s="12" customFormat="1" x14ac:dyDescent="0.25"/>
    <row r="87756" s="12" customFormat="1" x14ac:dyDescent="0.25"/>
    <row r="87757" s="12" customFormat="1" x14ac:dyDescent="0.25"/>
    <row r="87758" s="12" customFormat="1" x14ac:dyDescent="0.25"/>
    <row r="87759" s="12" customFormat="1" x14ac:dyDescent="0.25"/>
    <row r="87760" s="12" customFormat="1" x14ac:dyDescent="0.25"/>
    <row r="87761" s="12" customFormat="1" x14ac:dyDescent="0.25"/>
    <row r="87762" s="12" customFormat="1" x14ac:dyDescent="0.25"/>
    <row r="87763" s="12" customFormat="1" x14ac:dyDescent="0.25"/>
    <row r="87764" s="12" customFormat="1" x14ac:dyDescent="0.25"/>
    <row r="87765" s="12" customFormat="1" x14ac:dyDescent="0.25"/>
    <row r="87766" s="12" customFormat="1" x14ac:dyDescent="0.25"/>
    <row r="87767" s="12" customFormat="1" x14ac:dyDescent="0.25"/>
    <row r="87768" s="12" customFormat="1" x14ac:dyDescent="0.25"/>
    <row r="87769" s="12" customFormat="1" x14ac:dyDescent="0.25"/>
    <row r="87770" s="12" customFormat="1" x14ac:dyDescent="0.25"/>
    <row r="87771" s="12" customFormat="1" x14ac:dyDescent="0.25"/>
    <row r="87772" s="12" customFormat="1" x14ac:dyDescent="0.25"/>
    <row r="87773" s="12" customFormat="1" x14ac:dyDescent="0.25"/>
    <row r="87774" s="12" customFormat="1" x14ac:dyDescent="0.25"/>
    <row r="87775" s="12" customFormat="1" x14ac:dyDescent="0.25"/>
    <row r="87776" s="12" customFormat="1" x14ac:dyDescent="0.25"/>
    <row r="87777" s="12" customFormat="1" x14ac:dyDescent="0.25"/>
    <row r="87778" s="12" customFormat="1" x14ac:dyDescent="0.25"/>
    <row r="87779" s="12" customFormat="1" x14ac:dyDescent="0.25"/>
    <row r="87780" s="12" customFormat="1" x14ac:dyDescent="0.25"/>
    <row r="87781" s="12" customFormat="1" x14ac:dyDescent="0.25"/>
    <row r="87782" s="12" customFormat="1" x14ac:dyDescent="0.25"/>
    <row r="87783" s="12" customFormat="1" x14ac:dyDescent="0.25"/>
    <row r="87784" s="12" customFormat="1" x14ac:dyDescent="0.25"/>
    <row r="87785" s="12" customFormat="1" x14ac:dyDescent="0.25"/>
    <row r="87786" s="12" customFormat="1" x14ac:dyDescent="0.25"/>
    <row r="87787" s="12" customFormat="1" x14ac:dyDescent="0.25"/>
    <row r="87788" s="12" customFormat="1" x14ac:dyDescent="0.25"/>
    <row r="87789" s="12" customFormat="1" x14ac:dyDescent="0.25"/>
    <row r="87790" s="12" customFormat="1" x14ac:dyDescent="0.25"/>
    <row r="87791" s="12" customFormat="1" x14ac:dyDescent="0.25"/>
    <row r="87792" s="12" customFormat="1" x14ac:dyDescent="0.25"/>
    <row r="87793" s="12" customFormat="1" x14ac:dyDescent="0.25"/>
    <row r="87794" s="12" customFormat="1" x14ac:dyDescent="0.25"/>
    <row r="87795" s="12" customFormat="1" x14ac:dyDescent="0.25"/>
    <row r="87796" s="12" customFormat="1" x14ac:dyDescent="0.25"/>
    <row r="87797" s="12" customFormat="1" x14ac:dyDescent="0.25"/>
    <row r="87798" s="12" customFormat="1" x14ac:dyDescent="0.25"/>
    <row r="87799" s="12" customFormat="1" x14ac:dyDescent="0.25"/>
    <row r="87800" s="12" customFormat="1" x14ac:dyDescent="0.25"/>
    <row r="87801" s="12" customFormat="1" x14ac:dyDescent="0.25"/>
    <row r="87802" s="12" customFormat="1" x14ac:dyDescent="0.25"/>
    <row r="87803" s="12" customFormat="1" x14ac:dyDescent="0.25"/>
    <row r="87804" s="12" customFormat="1" x14ac:dyDescent="0.25"/>
    <row r="87805" s="12" customFormat="1" x14ac:dyDescent="0.25"/>
    <row r="87806" s="12" customFormat="1" x14ac:dyDescent="0.25"/>
    <row r="87807" s="12" customFormat="1" x14ac:dyDescent="0.25"/>
    <row r="87808" s="12" customFormat="1" x14ac:dyDescent="0.25"/>
    <row r="87809" s="12" customFormat="1" x14ac:dyDescent="0.25"/>
    <row r="87810" s="12" customFormat="1" x14ac:dyDescent="0.25"/>
    <row r="87811" s="12" customFormat="1" x14ac:dyDescent="0.25"/>
    <row r="87812" s="12" customFormat="1" x14ac:dyDescent="0.25"/>
    <row r="87813" s="12" customFormat="1" x14ac:dyDescent="0.25"/>
    <row r="87814" s="12" customFormat="1" x14ac:dyDescent="0.25"/>
    <row r="87815" s="12" customFormat="1" x14ac:dyDescent="0.25"/>
    <row r="87816" s="12" customFormat="1" x14ac:dyDescent="0.25"/>
    <row r="87817" s="12" customFormat="1" x14ac:dyDescent="0.25"/>
    <row r="87818" s="12" customFormat="1" x14ac:dyDescent="0.25"/>
    <row r="87819" s="12" customFormat="1" x14ac:dyDescent="0.25"/>
    <row r="87820" s="12" customFormat="1" x14ac:dyDescent="0.25"/>
    <row r="87821" s="12" customFormat="1" x14ac:dyDescent="0.25"/>
    <row r="87822" s="12" customFormat="1" x14ac:dyDescent="0.25"/>
    <row r="87823" s="12" customFormat="1" x14ac:dyDescent="0.25"/>
    <row r="87824" s="12" customFormat="1" x14ac:dyDescent="0.25"/>
    <row r="87825" s="12" customFormat="1" x14ac:dyDescent="0.25"/>
    <row r="87826" s="12" customFormat="1" x14ac:dyDescent="0.25"/>
    <row r="87827" s="12" customFormat="1" x14ac:dyDescent="0.25"/>
    <row r="87828" s="12" customFormat="1" x14ac:dyDescent="0.25"/>
    <row r="87829" s="12" customFormat="1" x14ac:dyDescent="0.25"/>
    <row r="87830" s="12" customFormat="1" x14ac:dyDescent="0.25"/>
    <row r="87831" s="12" customFormat="1" x14ac:dyDescent="0.25"/>
    <row r="87832" s="12" customFormat="1" x14ac:dyDescent="0.25"/>
    <row r="87833" s="12" customFormat="1" x14ac:dyDescent="0.25"/>
    <row r="87834" s="12" customFormat="1" x14ac:dyDescent="0.25"/>
    <row r="87835" s="12" customFormat="1" x14ac:dyDescent="0.25"/>
    <row r="87836" s="12" customFormat="1" x14ac:dyDescent="0.25"/>
    <row r="87837" s="12" customFormat="1" x14ac:dyDescent="0.25"/>
    <row r="87838" s="12" customFormat="1" x14ac:dyDescent="0.25"/>
    <row r="87839" s="12" customFormat="1" x14ac:dyDescent="0.25"/>
    <row r="87840" s="12" customFormat="1" x14ac:dyDescent="0.25"/>
    <row r="87841" s="12" customFormat="1" x14ac:dyDescent="0.25"/>
    <row r="87842" s="12" customFormat="1" x14ac:dyDescent="0.25"/>
    <row r="87843" s="12" customFormat="1" x14ac:dyDescent="0.25"/>
    <row r="87844" s="12" customFormat="1" x14ac:dyDescent="0.25"/>
    <row r="87845" s="12" customFormat="1" x14ac:dyDescent="0.25"/>
    <row r="87846" s="12" customFormat="1" x14ac:dyDescent="0.25"/>
    <row r="87847" s="12" customFormat="1" x14ac:dyDescent="0.25"/>
    <row r="87848" s="12" customFormat="1" x14ac:dyDescent="0.25"/>
    <row r="87849" s="12" customFormat="1" x14ac:dyDescent="0.25"/>
    <row r="87850" s="12" customFormat="1" x14ac:dyDescent="0.25"/>
    <row r="87851" s="12" customFormat="1" x14ac:dyDescent="0.25"/>
    <row r="87852" s="12" customFormat="1" x14ac:dyDescent="0.25"/>
    <row r="87853" s="12" customFormat="1" x14ac:dyDescent="0.25"/>
    <row r="87854" s="12" customFormat="1" x14ac:dyDescent="0.25"/>
    <row r="87855" s="12" customFormat="1" x14ac:dyDescent="0.25"/>
    <row r="87856" s="12" customFormat="1" x14ac:dyDescent="0.25"/>
    <row r="87857" s="12" customFormat="1" x14ac:dyDescent="0.25"/>
    <row r="87858" s="12" customFormat="1" x14ac:dyDescent="0.25"/>
    <row r="87859" s="12" customFormat="1" x14ac:dyDescent="0.25"/>
    <row r="87860" s="12" customFormat="1" x14ac:dyDescent="0.25"/>
    <row r="87861" s="12" customFormat="1" x14ac:dyDescent="0.25"/>
    <row r="87862" s="12" customFormat="1" x14ac:dyDescent="0.25"/>
    <row r="87863" s="12" customFormat="1" x14ac:dyDescent="0.25"/>
    <row r="87864" s="12" customFormat="1" x14ac:dyDescent="0.25"/>
    <row r="87865" s="12" customFormat="1" x14ac:dyDescent="0.25"/>
    <row r="87866" s="12" customFormat="1" x14ac:dyDescent="0.25"/>
    <row r="87867" s="12" customFormat="1" x14ac:dyDescent="0.25"/>
    <row r="87868" s="12" customFormat="1" x14ac:dyDescent="0.25"/>
    <row r="87869" s="12" customFormat="1" x14ac:dyDescent="0.25"/>
    <row r="87870" s="12" customFormat="1" x14ac:dyDescent="0.25"/>
    <row r="87871" s="12" customFormat="1" x14ac:dyDescent="0.25"/>
    <row r="87872" s="12" customFormat="1" x14ac:dyDescent="0.25"/>
    <row r="87873" s="12" customFormat="1" x14ac:dyDescent="0.25"/>
    <row r="87874" s="12" customFormat="1" x14ac:dyDescent="0.25"/>
    <row r="87875" s="12" customFormat="1" x14ac:dyDescent="0.25"/>
    <row r="87876" s="12" customFormat="1" x14ac:dyDescent="0.25"/>
    <row r="87877" s="12" customFormat="1" x14ac:dyDescent="0.25"/>
    <row r="87878" s="12" customFormat="1" x14ac:dyDescent="0.25"/>
    <row r="87879" s="12" customFormat="1" x14ac:dyDescent="0.25"/>
    <row r="87880" s="12" customFormat="1" x14ac:dyDescent="0.25"/>
    <row r="87881" s="12" customFormat="1" x14ac:dyDescent="0.25"/>
    <row r="87882" s="12" customFormat="1" x14ac:dyDescent="0.25"/>
    <row r="87883" s="12" customFormat="1" x14ac:dyDescent="0.25"/>
    <row r="87884" s="12" customFormat="1" x14ac:dyDescent="0.25"/>
    <row r="87885" s="12" customFormat="1" x14ac:dyDescent="0.25"/>
    <row r="87886" s="12" customFormat="1" x14ac:dyDescent="0.25"/>
    <row r="87887" s="12" customFormat="1" x14ac:dyDescent="0.25"/>
    <row r="87888" s="12" customFormat="1" x14ac:dyDescent="0.25"/>
    <row r="87889" s="12" customFormat="1" x14ac:dyDescent="0.25"/>
    <row r="87890" s="12" customFormat="1" x14ac:dyDescent="0.25"/>
    <row r="87891" s="12" customFormat="1" x14ac:dyDescent="0.25"/>
    <row r="87892" s="12" customFormat="1" x14ac:dyDescent="0.25"/>
    <row r="87893" s="12" customFormat="1" x14ac:dyDescent="0.25"/>
    <row r="87894" s="12" customFormat="1" x14ac:dyDescent="0.25"/>
    <row r="87895" s="12" customFormat="1" x14ac:dyDescent="0.25"/>
    <row r="87896" s="12" customFormat="1" x14ac:dyDescent="0.25"/>
    <row r="87897" s="12" customFormat="1" x14ac:dyDescent="0.25"/>
    <row r="87898" s="12" customFormat="1" x14ac:dyDescent="0.25"/>
    <row r="87899" s="12" customFormat="1" x14ac:dyDescent="0.25"/>
    <row r="87900" s="12" customFormat="1" x14ac:dyDescent="0.25"/>
    <row r="87901" s="12" customFormat="1" x14ac:dyDescent="0.25"/>
    <row r="87902" s="12" customFormat="1" x14ac:dyDescent="0.25"/>
    <row r="87903" s="12" customFormat="1" x14ac:dyDescent="0.25"/>
    <row r="87904" s="12" customFormat="1" x14ac:dyDescent="0.25"/>
    <row r="87905" s="12" customFormat="1" x14ac:dyDescent="0.25"/>
    <row r="87906" s="12" customFormat="1" x14ac:dyDescent="0.25"/>
    <row r="87907" s="12" customFormat="1" x14ac:dyDescent="0.25"/>
    <row r="87908" s="12" customFormat="1" x14ac:dyDescent="0.25"/>
    <row r="87909" s="12" customFormat="1" x14ac:dyDescent="0.25"/>
    <row r="87910" s="12" customFormat="1" x14ac:dyDescent="0.25"/>
    <row r="87911" s="12" customFormat="1" x14ac:dyDescent="0.25"/>
    <row r="87912" s="12" customFormat="1" x14ac:dyDescent="0.25"/>
    <row r="87913" s="12" customFormat="1" x14ac:dyDescent="0.25"/>
    <row r="87914" s="12" customFormat="1" x14ac:dyDescent="0.25"/>
    <row r="87915" s="12" customFormat="1" x14ac:dyDescent="0.25"/>
    <row r="87916" s="12" customFormat="1" x14ac:dyDescent="0.25"/>
    <row r="87917" s="12" customFormat="1" x14ac:dyDescent="0.25"/>
    <row r="87918" s="12" customFormat="1" x14ac:dyDescent="0.25"/>
    <row r="87919" s="12" customFormat="1" x14ac:dyDescent="0.25"/>
    <row r="87920" s="12" customFormat="1" x14ac:dyDescent="0.25"/>
    <row r="87921" s="12" customFormat="1" x14ac:dyDescent="0.25"/>
    <row r="87922" s="12" customFormat="1" x14ac:dyDescent="0.25"/>
    <row r="87923" s="12" customFormat="1" x14ac:dyDescent="0.25"/>
    <row r="87924" s="12" customFormat="1" x14ac:dyDescent="0.25"/>
    <row r="87925" s="12" customFormat="1" x14ac:dyDescent="0.25"/>
    <row r="87926" s="12" customFormat="1" x14ac:dyDescent="0.25"/>
    <row r="87927" s="12" customFormat="1" x14ac:dyDescent="0.25"/>
    <row r="87928" s="12" customFormat="1" x14ac:dyDescent="0.25"/>
    <row r="87929" s="12" customFormat="1" x14ac:dyDescent="0.25"/>
    <row r="87930" s="12" customFormat="1" x14ac:dyDescent="0.25"/>
    <row r="87931" s="12" customFormat="1" x14ac:dyDescent="0.25"/>
    <row r="87932" s="12" customFormat="1" x14ac:dyDescent="0.25"/>
    <row r="87933" s="12" customFormat="1" x14ac:dyDescent="0.25"/>
    <row r="87934" s="12" customFormat="1" x14ac:dyDescent="0.25"/>
    <row r="87935" s="12" customFormat="1" x14ac:dyDescent="0.25"/>
    <row r="87936" s="12" customFormat="1" x14ac:dyDescent="0.25"/>
    <row r="87937" s="12" customFormat="1" x14ac:dyDescent="0.25"/>
    <row r="87938" s="12" customFormat="1" x14ac:dyDescent="0.25"/>
    <row r="87939" s="12" customFormat="1" x14ac:dyDescent="0.25"/>
    <row r="87940" s="12" customFormat="1" x14ac:dyDescent="0.25"/>
    <row r="87941" s="12" customFormat="1" x14ac:dyDescent="0.25"/>
    <row r="87942" s="12" customFormat="1" x14ac:dyDescent="0.25"/>
    <row r="87943" s="12" customFormat="1" x14ac:dyDescent="0.25"/>
    <row r="87944" s="12" customFormat="1" x14ac:dyDescent="0.25"/>
    <row r="87945" s="12" customFormat="1" x14ac:dyDescent="0.25"/>
    <row r="87946" s="12" customFormat="1" x14ac:dyDescent="0.25"/>
    <row r="87947" s="12" customFormat="1" x14ac:dyDescent="0.25"/>
    <row r="87948" s="12" customFormat="1" x14ac:dyDescent="0.25"/>
    <row r="87949" s="12" customFormat="1" x14ac:dyDescent="0.25"/>
    <row r="87950" s="12" customFormat="1" x14ac:dyDescent="0.25"/>
    <row r="87951" s="12" customFormat="1" x14ac:dyDescent="0.25"/>
    <row r="87952" s="12" customFormat="1" x14ac:dyDescent="0.25"/>
    <row r="87953" s="12" customFormat="1" x14ac:dyDescent="0.25"/>
    <row r="87954" s="12" customFormat="1" x14ac:dyDescent="0.25"/>
    <row r="87955" s="12" customFormat="1" x14ac:dyDescent="0.25"/>
    <row r="87956" s="12" customFormat="1" x14ac:dyDescent="0.25"/>
    <row r="87957" s="12" customFormat="1" x14ac:dyDescent="0.25"/>
    <row r="87958" s="12" customFormat="1" x14ac:dyDescent="0.25"/>
    <row r="87959" s="12" customFormat="1" x14ac:dyDescent="0.25"/>
    <row r="87960" s="12" customFormat="1" x14ac:dyDescent="0.25"/>
    <row r="87961" s="12" customFormat="1" x14ac:dyDescent="0.25"/>
    <row r="87962" s="12" customFormat="1" x14ac:dyDescent="0.25"/>
    <row r="87963" s="12" customFormat="1" x14ac:dyDescent="0.25"/>
    <row r="87964" s="12" customFormat="1" x14ac:dyDescent="0.25"/>
    <row r="87965" s="12" customFormat="1" x14ac:dyDescent="0.25"/>
    <row r="87966" s="12" customFormat="1" x14ac:dyDescent="0.25"/>
    <row r="87967" s="12" customFormat="1" x14ac:dyDescent="0.25"/>
    <row r="87968" s="12" customFormat="1" x14ac:dyDescent="0.25"/>
    <row r="87969" s="12" customFormat="1" x14ac:dyDescent="0.25"/>
    <row r="87970" s="12" customFormat="1" x14ac:dyDescent="0.25"/>
    <row r="87971" s="12" customFormat="1" x14ac:dyDescent="0.25"/>
    <row r="87972" s="12" customFormat="1" x14ac:dyDescent="0.25"/>
    <row r="87973" s="12" customFormat="1" x14ac:dyDescent="0.25"/>
    <row r="87974" s="12" customFormat="1" x14ac:dyDescent="0.25"/>
    <row r="87975" s="12" customFormat="1" x14ac:dyDescent="0.25"/>
    <row r="87976" s="12" customFormat="1" x14ac:dyDescent="0.25"/>
    <row r="87977" s="12" customFormat="1" x14ac:dyDescent="0.25"/>
    <row r="87978" s="12" customFormat="1" x14ac:dyDescent="0.25"/>
    <row r="87979" s="12" customFormat="1" x14ac:dyDescent="0.25"/>
    <row r="87980" s="12" customFormat="1" x14ac:dyDescent="0.25"/>
    <row r="87981" s="12" customFormat="1" x14ac:dyDescent="0.25"/>
    <row r="87982" s="12" customFormat="1" x14ac:dyDescent="0.25"/>
    <row r="87983" s="12" customFormat="1" x14ac:dyDescent="0.25"/>
    <row r="87984" s="12" customFormat="1" x14ac:dyDescent="0.25"/>
    <row r="87985" s="12" customFormat="1" x14ac:dyDescent="0.25"/>
    <row r="87986" s="12" customFormat="1" x14ac:dyDescent="0.25"/>
    <row r="87987" s="12" customFormat="1" x14ac:dyDescent="0.25"/>
    <row r="87988" s="12" customFormat="1" x14ac:dyDescent="0.25"/>
    <row r="87989" s="12" customFormat="1" x14ac:dyDescent="0.25"/>
    <row r="87990" s="12" customFormat="1" x14ac:dyDescent="0.25"/>
    <row r="87991" s="12" customFormat="1" x14ac:dyDescent="0.25"/>
    <row r="87992" s="12" customFormat="1" x14ac:dyDescent="0.25"/>
    <row r="87993" s="12" customFormat="1" x14ac:dyDescent="0.25"/>
    <row r="87994" s="12" customFormat="1" x14ac:dyDescent="0.25"/>
    <row r="87995" s="12" customFormat="1" x14ac:dyDescent="0.25"/>
    <row r="87996" s="12" customFormat="1" x14ac:dyDescent="0.25"/>
    <row r="87997" s="12" customFormat="1" x14ac:dyDescent="0.25"/>
    <row r="87998" s="12" customFormat="1" x14ac:dyDescent="0.25"/>
    <row r="87999" s="12" customFormat="1" x14ac:dyDescent="0.25"/>
    <row r="88000" s="12" customFormat="1" x14ac:dyDescent="0.25"/>
    <row r="88001" s="12" customFormat="1" x14ac:dyDescent="0.25"/>
    <row r="88002" s="12" customFormat="1" x14ac:dyDescent="0.25"/>
    <row r="88003" s="12" customFormat="1" x14ac:dyDescent="0.25"/>
    <row r="88004" s="12" customFormat="1" x14ac:dyDescent="0.25"/>
    <row r="88005" s="12" customFormat="1" x14ac:dyDescent="0.25"/>
    <row r="88006" s="12" customFormat="1" x14ac:dyDescent="0.25"/>
    <row r="88007" s="12" customFormat="1" x14ac:dyDescent="0.25"/>
    <row r="88008" s="12" customFormat="1" x14ac:dyDescent="0.25"/>
    <row r="88009" s="12" customFormat="1" x14ac:dyDescent="0.25"/>
    <row r="88010" s="12" customFormat="1" x14ac:dyDescent="0.25"/>
    <row r="88011" s="12" customFormat="1" x14ac:dyDescent="0.25"/>
    <row r="88012" s="12" customFormat="1" x14ac:dyDescent="0.25"/>
    <row r="88013" s="12" customFormat="1" x14ac:dyDescent="0.25"/>
    <row r="88014" s="12" customFormat="1" x14ac:dyDescent="0.25"/>
    <row r="88015" s="12" customFormat="1" x14ac:dyDescent="0.25"/>
    <row r="88016" s="12" customFormat="1" x14ac:dyDescent="0.25"/>
    <row r="88017" s="12" customFormat="1" x14ac:dyDescent="0.25"/>
    <row r="88018" s="12" customFormat="1" x14ac:dyDescent="0.25"/>
    <row r="88019" s="12" customFormat="1" x14ac:dyDescent="0.25"/>
    <row r="88020" s="12" customFormat="1" x14ac:dyDescent="0.25"/>
    <row r="88021" s="12" customFormat="1" x14ac:dyDescent="0.25"/>
    <row r="88022" s="12" customFormat="1" x14ac:dyDescent="0.25"/>
    <row r="88023" s="12" customFormat="1" x14ac:dyDescent="0.25"/>
    <row r="88024" s="12" customFormat="1" x14ac:dyDescent="0.25"/>
    <row r="88025" s="12" customFormat="1" x14ac:dyDescent="0.25"/>
    <row r="88026" s="12" customFormat="1" x14ac:dyDescent="0.25"/>
    <row r="88027" s="12" customFormat="1" x14ac:dyDescent="0.25"/>
    <row r="88028" s="12" customFormat="1" x14ac:dyDescent="0.25"/>
    <row r="88029" s="12" customFormat="1" x14ac:dyDescent="0.25"/>
    <row r="88030" s="12" customFormat="1" x14ac:dyDescent="0.25"/>
    <row r="88031" s="12" customFormat="1" x14ac:dyDescent="0.25"/>
    <row r="88032" s="12" customFormat="1" x14ac:dyDescent="0.25"/>
    <row r="88033" s="12" customFormat="1" x14ac:dyDescent="0.25"/>
    <row r="88034" s="12" customFormat="1" x14ac:dyDescent="0.25"/>
    <row r="88035" s="12" customFormat="1" x14ac:dyDescent="0.25"/>
    <row r="88036" s="12" customFormat="1" x14ac:dyDescent="0.25"/>
    <row r="88037" s="12" customFormat="1" x14ac:dyDescent="0.25"/>
    <row r="88038" s="12" customFormat="1" x14ac:dyDescent="0.25"/>
    <row r="88039" s="12" customFormat="1" x14ac:dyDescent="0.25"/>
    <row r="88040" s="12" customFormat="1" x14ac:dyDescent="0.25"/>
    <row r="88041" s="12" customFormat="1" x14ac:dyDescent="0.25"/>
    <row r="88042" s="12" customFormat="1" x14ac:dyDescent="0.25"/>
    <row r="88043" s="12" customFormat="1" x14ac:dyDescent="0.25"/>
    <row r="88044" s="12" customFormat="1" x14ac:dyDescent="0.25"/>
    <row r="88045" s="12" customFormat="1" x14ac:dyDescent="0.25"/>
    <row r="88046" s="12" customFormat="1" x14ac:dyDescent="0.25"/>
    <row r="88047" s="12" customFormat="1" x14ac:dyDescent="0.25"/>
    <row r="88048" s="12" customFormat="1" x14ac:dyDescent="0.25"/>
    <row r="88049" s="12" customFormat="1" x14ac:dyDescent="0.25"/>
    <row r="88050" s="12" customFormat="1" x14ac:dyDescent="0.25"/>
    <row r="88051" s="12" customFormat="1" x14ac:dyDescent="0.25"/>
    <row r="88052" s="12" customFormat="1" x14ac:dyDescent="0.25"/>
    <row r="88053" s="12" customFormat="1" x14ac:dyDescent="0.25"/>
    <row r="88054" s="12" customFormat="1" x14ac:dyDescent="0.25"/>
    <row r="88055" s="12" customFormat="1" x14ac:dyDescent="0.25"/>
    <row r="88056" s="12" customFormat="1" x14ac:dyDescent="0.25"/>
    <row r="88057" s="12" customFormat="1" x14ac:dyDescent="0.25"/>
    <row r="88058" s="12" customFormat="1" x14ac:dyDescent="0.25"/>
    <row r="88059" s="12" customFormat="1" x14ac:dyDescent="0.25"/>
    <row r="88060" s="12" customFormat="1" x14ac:dyDescent="0.25"/>
    <row r="88061" s="12" customFormat="1" x14ac:dyDescent="0.25"/>
    <row r="88062" s="12" customFormat="1" x14ac:dyDescent="0.25"/>
    <row r="88063" s="12" customFormat="1" x14ac:dyDescent="0.25"/>
    <row r="88064" s="12" customFormat="1" x14ac:dyDescent="0.25"/>
    <row r="88065" s="12" customFormat="1" x14ac:dyDescent="0.25"/>
    <row r="88066" s="12" customFormat="1" x14ac:dyDescent="0.25"/>
    <row r="88067" s="12" customFormat="1" x14ac:dyDescent="0.25"/>
    <row r="88068" s="12" customFormat="1" x14ac:dyDescent="0.25"/>
    <row r="88069" s="12" customFormat="1" x14ac:dyDescent="0.25"/>
    <row r="88070" s="12" customFormat="1" x14ac:dyDescent="0.25"/>
    <row r="88071" s="12" customFormat="1" x14ac:dyDescent="0.25"/>
    <row r="88072" s="12" customFormat="1" x14ac:dyDescent="0.25"/>
    <row r="88073" s="12" customFormat="1" x14ac:dyDescent="0.25"/>
    <row r="88074" s="12" customFormat="1" x14ac:dyDescent="0.25"/>
    <row r="88075" s="12" customFormat="1" x14ac:dyDescent="0.25"/>
    <row r="88076" s="12" customFormat="1" x14ac:dyDescent="0.25"/>
    <row r="88077" s="12" customFormat="1" x14ac:dyDescent="0.25"/>
    <row r="88078" s="12" customFormat="1" x14ac:dyDescent="0.25"/>
    <row r="88079" s="12" customFormat="1" x14ac:dyDescent="0.25"/>
    <row r="88080" s="12" customFormat="1" x14ac:dyDescent="0.25"/>
    <row r="88081" s="12" customFormat="1" x14ac:dyDescent="0.25"/>
    <row r="88082" s="12" customFormat="1" x14ac:dyDescent="0.25"/>
    <row r="88083" s="12" customFormat="1" x14ac:dyDescent="0.25"/>
    <row r="88084" s="12" customFormat="1" x14ac:dyDescent="0.25"/>
    <row r="88085" s="12" customFormat="1" x14ac:dyDescent="0.25"/>
    <row r="88086" s="12" customFormat="1" x14ac:dyDescent="0.25"/>
    <row r="88087" s="12" customFormat="1" x14ac:dyDescent="0.25"/>
    <row r="88088" s="12" customFormat="1" x14ac:dyDescent="0.25"/>
    <row r="88089" s="12" customFormat="1" x14ac:dyDescent="0.25"/>
    <row r="88090" s="12" customFormat="1" x14ac:dyDescent="0.25"/>
    <row r="88091" s="12" customFormat="1" x14ac:dyDescent="0.25"/>
    <row r="88092" s="12" customFormat="1" x14ac:dyDescent="0.25"/>
    <row r="88093" s="12" customFormat="1" x14ac:dyDescent="0.25"/>
    <row r="88094" s="12" customFormat="1" x14ac:dyDescent="0.25"/>
    <row r="88095" s="12" customFormat="1" x14ac:dyDescent="0.25"/>
    <row r="88096" s="12" customFormat="1" x14ac:dyDescent="0.25"/>
    <row r="88097" s="12" customFormat="1" x14ac:dyDescent="0.25"/>
    <row r="88098" s="12" customFormat="1" x14ac:dyDescent="0.25"/>
    <row r="88099" s="12" customFormat="1" x14ac:dyDescent="0.25"/>
    <row r="88100" s="12" customFormat="1" x14ac:dyDescent="0.25"/>
    <row r="88101" s="12" customFormat="1" x14ac:dyDescent="0.25"/>
    <row r="88102" s="12" customFormat="1" x14ac:dyDescent="0.25"/>
    <row r="88103" s="12" customFormat="1" x14ac:dyDescent="0.25"/>
    <row r="88104" s="12" customFormat="1" x14ac:dyDescent="0.25"/>
    <row r="88105" s="12" customFormat="1" x14ac:dyDescent="0.25"/>
    <row r="88106" s="12" customFormat="1" x14ac:dyDescent="0.25"/>
    <row r="88107" s="12" customFormat="1" x14ac:dyDescent="0.25"/>
    <row r="88108" s="12" customFormat="1" x14ac:dyDescent="0.25"/>
    <row r="88109" s="12" customFormat="1" x14ac:dyDescent="0.25"/>
    <row r="88110" s="12" customFormat="1" x14ac:dyDescent="0.25"/>
    <row r="88111" s="12" customFormat="1" x14ac:dyDescent="0.25"/>
    <row r="88112" s="12" customFormat="1" x14ac:dyDescent="0.25"/>
    <row r="88113" s="12" customFormat="1" x14ac:dyDescent="0.25"/>
    <row r="88114" s="12" customFormat="1" x14ac:dyDescent="0.25"/>
    <row r="88115" s="12" customFormat="1" x14ac:dyDescent="0.25"/>
    <row r="88116" s="12" customFormat="1" x14ac:dyDescent="0.25"/>
    <row r="88117" s="12" customFormat="1" x14ac:dyDescent="0.25"/>
    <row r="88118" s="12" customFormat="1" x14ac:dyDescent="0.25"/>
    <row r="88119" s="12" customFormat="1" x14ac:dyDescent="0.25"/>
    <row r="88120" s="12" customFormat="1" x14ac:dyDescent="0.25"/>
    <row r="88121" s="12" customFormat="1" x14ac:dyDescent="0.25"/>
    <row r="88122" s="12" customFormat="1" x14ac:dyDescent="0.25"/>
    <row r="88123" s="12" customFormat="1" x14ac:dyDescent="0.25"/>
    <row r="88124" s="12" customFormat="1" x14ac:dyDescent="0.25"/>
    <row r="88125" s="12" customFormat="1" x14ac:dyDescent="0.25"/>
    <row r="88126" s="12" customFormat="1" x14ac:dyDescent="0.25"/>
    <row r="88127" s="12" customFormat="1" x14ac:dyDescent="0.25"/>
    <row r="88128" s="12" customFormat="1" x14ac:dyDescent="0.25"/>
    <row r="88129" s="12" customFormat="1" x14ac:dyDescent="0.25"/>
    <row r="88130" s="12" customFormat="1" x14ac:dyDescent="0.25"/>
    <row r="88131" s="12" customFormat="1" x14ac:dyDescent="0.25"/>
    <row r="88132" s="12" customFormat="1" x14ac:dyDescent="0.25"/>
    <row r="88133" s="12" customFormat="1" x14ac:dyDescent="0.25"/>
    <row r="88134" s="12" customFormat="1" x14ac:dyDescent="0.25"/>
    <row r="88135" s="12" customFormat="1" x14ac:dyDescent="0.25"/>
    <row r="88136" s="12" customFormat="1" x14ac:dyDescent="0.25"/>
    <row r="88137" s="12" customFormat="1" x14ac:dyDescent="0.25"/>
    <row r="88138" s="12" customFormat="1" x14ac:dyDescent="0.25"/>
    <row r="88139" s="12" customFormat="1" x14ac:dyDescent="0.25"/>
    <row r="88140" s="12" customFormat="1" x14ac:dyDescent="0.25"/>
    <row r="88141" s="12" customFormat="1" x14ac:dyDescent="0.25"/>
    <row r="88142" s="12" customFormat="1" x14ac:dyDescent="0.25"/>
    <row r="88143" s="12" customFormat="1" x14ac:dyDescent="0.25"/>
    <row r="88144" s="12" customFormat="1" x14ac:dyDescent="0.25"/>
    <row r="88145" s="12" customFormat="1" x14ac:dyDescent="0.25"/>
    <row r="88146" s="12" customFormat="1" x14ac:dyDescent="0.25"/>
    <row r="88147" s="12" customFormat="1" x14ac:dyDescent="0.25"/>
    <row r="88148" s="12" customFormat="1" x14ac:dyDescent="0.25"/>
    <row r="88149" s="12" customFormat="1" x14ac:dyDescent="0.25"/>
    <row r="88150" s="12" customFormat="1" x14ac:dyDescent="0.25"/>
    <row r="88151" s="12" customFormat="1" x14ac:dyDescent="0.25"/>
    <row r="88152" s="12" customFormat="1" x14ac:dyDescent="0.25"/>
    <row r="88153" s="12" customFormat="1" x14ac:dyDescent="0.25"/>
    <row r="88154" s="12" customFormat="1" x14ac:dyDescent="0.25"/>
    <row r="88155" s="12" customFormat="1" x14ac:dyDescent="0.25"/>
    <row r="88156" s="12" customFormat="1" x14ac:dyDescent="0.25"/>
    <row r="88157" s="12" customFormat="1" x14ac:dyDescent="0.25"/>
    <row r="88158" s="12" customFormat="1" x14ac:dyDescent="0.25"/>
    <row r="88159" s="12" customFormat="1" x14ac:dyDescent="0.25"/>
    <row r="88160" s="12" customFormat="1" x14ac:dyDescent="0.25"/>
    <row r="88161" s="12" customFormat="1" x14ac:dyDescent="0.25"/>
    <row r="88162" s="12" customFormat="1" x14ac:dyDescent="0.25"/>
    <row r="88163" s="12" customFormat="1" x14ac:dyDescent="0.25"/>
    <row r="88164" s="12" customFormat="1" x14ac:dyDescent="0.25"/>
    <row r="88165" s="12" customFormat="1" x14ac:dyDescent="0.25"/>
    <row r="88166" s="12" customFormat="1" x14ac:dyDescent="0.25"/>
    <row r="88167" s="12" customFormat="1" x14ac:dyDescent="0.25"/>
    <row r="88168" s="12" customFormat="1" x14ac:dyDescent="0.25"/>
    <row r="88169" s="12" customFormat="1" x14ac:dyDescent="0.25"/>
    <row r="88170" s="12" customFormat="1" x14ac:dyDescent="0.25"/>
    <row r="88171" s="12" customFormat="1" x14ac:dyDescent="0.25"/>
    <row r="88172" s="12" customFormat="1" x14ac:dyDescent="0.25"/>
    <row r="88173" s="12" customFormat="1" x14ac:dyDescent="0.25"/>
    <row r="88174" s="12" customFormat="1" x14ac:dyDescent="0.25"/>
    <row r="88175" s="12" customFormat="1" x14ac:dyDescent="0.25"/>
    <row r="88176" s="12" customFormat="1" x14ac:dyDescent="0.25"/>
    <row r="88177" s="12" customFormat="1" x14ac:dyDescent="0.25"/>
    <row r="88178" s="12" customFormat="1" x14ac:dyDescent="0.25"/>
    <row r="88179" s="12" customFormat="1" x14ac:dyDescent="0.25"/>
    <row r="88180" s="12" customFormat="1" x14ac:dyDescent="0.25"/>
    <row r="88181" s="12" customFormat="1" x14ac:dyDescent="0.25"/>
    <row r="88182" s="12" customFormat="1" x14ac:dyDescent="0.25"/>
    <row r="88183" s="12" customFormat="1" x14ac:dyDescent="0.25"/>
    <row r="88184" s="12" customFormat="1" x14ac:dyDescent="0.25"/>
    <row r="88185" s="12" customFormat="1" x14ac:dyDescent="0.25"/>
    <row r="88186" s="12" customFormat="1" x14ac:dyDescent="0.25"/>
    <row r="88187" s="12" customFormat="1" x14ac:dyDescent="0.25"/>
    <row r="88188" s="12" customFormat="1" x14ac:dyDescent="0.25"/>
    <row r="88189" s="12" customFormat="1" x14ac:dyDescent="0.25"/>
    <row r="88190" s="12" customFormat="1" x14ac:dyDescent="0.25"/>
    <row r="88191" s="12" customFormat="1" x14ac:dyDescent="0.25"/>
    <row r="88192" s="12" customFormat="1" x14ac:dyDescent="0.25"/>
    <row r="88193" s="12" customFormat="1" x14ac:dyDescent="0.25"/>
    <row r="88194" s="12" customFormat="1" x14ac:dyDescent="0.25"/>
    <row r="88195" s="12" customFormat="1" x14ac:dyDescent="0.25"/>
    <row r="88196" s="12" customFormat="1" x14ac:dyDescent="0.25"/>
    <row r="88197" s="12" customFormat="1" x14ac:dyDescent="0.25"/>
    <row r="88198" s="12" customFormat="1" x14ac:dyDescent="0.25"/>
    <row r="88199" s="12" customFormat="1" x14ac:dyDescent="0.25"/>
    <row r="88200" s="12" customFormat="1" x14ac:dyDescent="0.25"/>
    <row r="88201" s="12" customFormat="1" x14ac:dyDescent="0.25"/>
    <row r="88202" s="12" customFormat="1" x14ac:dyDescent="0.25"/>
    <row r="88203" s="12" customFormat="1" x14ac:dyDescent="0.25"/>
    <row r="88204" s="12" customFormat="1" x14ac:dyDescent="0.25"/>
    <row r="88205" s="12" customFormat="1" x14ac:dyDescent="0.25"/>
    <row r="88206" s="12" customFormat="1" x14ac:dyDescent="0.25"/>
    <row r="88207" s="12" customFormat="1" x14ac:dyDescent="0.25"/>
    <row r="88208" s="12" customFormat="1" x14ac:dyDescent="0.25"/>
    <row r="88209" s="12" customFormat="1" x14ac:dyDescent="0.25"/>
    <row r="88210" s="12" customFormat="1" x14ac:dyDescent="0.25"/>
    <row r="88211" s="12" customFormat="1" x14ac:dyDescent="0.25"/>
    <row r="88212" s="12" customFormat="1" x14ac:dyDescent="0.25"/>
    <row r="88213" s="12" customFormat="1" x14ac:dyDescent="0.25"/>
    <row r="88214" s="12" customFormat="1" x14ac:dyDescent="0.25"/>
    <row r="88215" s="12" customFormat="1" x14ac:dyDescent="0.25"/>
    <row r="88216" s="12" customFormat="1" x14ac:dyDescent="0.25"/>
    <row r="88217" s="12" customFormat="1" x14ac:dyDescent="0.25"/>
    <row r="88218" s="12" customFormat="1" x14ac:dyDescent="0.25"/>
    <row r="88219" s="12" customFormat="1" x14ac:dyDescent="0.25"/>
    <row r="88220" s="12" customFormat="1" x14ac:dyDescent="0.25"/>
    <row r="88221" s="12" customFormat="1" x14ac:dyDescent="0.25"/>
    <row r="88222" s="12" customFormat="1" x14ac:dyDescent="0.25"/>
    <row r="88223" s="12" customFormat="1" x14ac:dyDescent="0.25"/>
    <row r="88224" s="12" customFormat="1" x14ac:dyDescent="0.25"/>
    <row r="88225" s="12" customFormat="1" x14ac:dyDescent="0.25"/>
    <row r="88226" s="12" customFormat="1" x14ac:dyDescent="0.25"/>
    <row r="88227" s="12" customFormat="1" x14ac:dyDescent="0.25"/>
    <row r="88228" s="12" customFormat="1" x14ac:dyDescent="0.25"/>
    <row r="88229" s="12" customFormat="1" x14ac:dyDescent="0.25"/>
    <row r="88230" s="12" customFormat="1" x14ac:dyDescent="0.25"/>
    <row r="88231" s="12" customFormat="1" x14ac:dyDescent="0.25"/>
    <row r="88232" s="12" customFormat="1" x14ac:dyDescent="0.25"/>
    <row r="88233" s="12" customFormat="1" x14ac:dyDescent="0.25"/>
    <row r="88234" s="12" customFormat="1" x14ac:dyDescent="0.25"/>
    <row r="88235" s="12" customFormat="1" x14ac:dyDescent="0.25"/>
    <row r="88236" s="12" customFormat="1" x14ac:dyDescent="0.25"/>
    <row r="88237" s="12" customFormat="1" x14ac:dyDescent="0.25"/>
    <row r="88238" s="12" customFormat="1" x14ac:dyDescent="0.25"/>
    <row r="88239" s="12" customFormat="1" x14ac:dyDescent="0.25"/>
    <row r="88240" s="12" customFormat="1" x14ac:dyDescent="0.25"/>
    <row r="88241" s="12" customFormat="1" x14ac:dyDescent="0.25"/>
    <row r="88242" s="12" customFormat="1" x14ac:dyDescent="0.25"/>
    <row r="88243" s="12" customFormat="1" x14ac:dyDescent="0.25"/>
    <row r="88244" s="12" customFormat="1" x14ac:dyDescent="0.25"/>
    <row r="88245" s="12" customFormat="1" x14ac:dyDescent="0.25"/>
    <row r="88246" s="12" customFormat="1" x14ac:dyDescent="0.25"/>
    <row r="88247" s="12" customFormat="1" x14ac:dyDescent="0.25"/>
    <row r="88248" s="12" customFormat="1" x14ac:dyDescent="0.25"/>
    <row r="88249" s="12" customFormat="1" x14ac:dyDescent="0.25"/>
    <row r="88250" s="12" customFormat="1" x14ac:dyDescent="0.25"/>
    <row r="88251" s="12" customFormat="1" x14ac:dyDescent="0.25"/>
    <row r="88252" s="12" customFormat="1" x14ac:dyDescent="0.25"/>
    <row r="88253" s="12" customFormat="1" x14ac:dyDescent="0.25"/>
    <row r="88254" s="12" customFormat="1" x14ac:dyDescent="0.25"/>
    <row r="88255" s="12" customFormat="1" x14ac:dyDescent="0.25"/>
    <row r="88256" s="12" customFormat="1" x14ac:dyDescent="0.25"/>
    <row r="88257" s="12" customFormat="1" x14ac:dyDescent="0.25"/>
    <row r="88258" s="12" customFormat="1" x14ac:dyDescent="0.25"/>
    <row r="88259" s="12" customFormat="1" x14ac:dyDescent="0.25"/>
    <row r="88260" s="12" customFormat="1" x14ac:dyDescent="0.25"/>
    <row r="88261" s="12" customFormat="1" x14ac:dyDescent="0.25"/>
    <row r="88262" s="12" customFormat="1" x14ac:dyDescent="0.25"/>
    <row r="88263" s="12" customFormat="1" x14ac:dyDescent="0.25"/>
    <row r="88264" s="12" customFormat="1" x14ac:dyDescent="0.25"/>
    <row r="88265" s="12" customFormat="1" x14ac:dyDescent="0.25"/>
    <row r="88266" s="12" customFormat="1" x14ac:dyDescent="0.25"/>
    <row r="88267" s="12" customFormat="1" x14ac:dyDescent="0.25"/>
    <row r="88268" s="12" customFormat="1" x14ac:dyDescent="0.25"/>
    <row r="88269" s="12" customFormat="1" x14ac:dyDescent="0.25"/>
    <row r="88270" s="12" customFormat="1" x14ac:dyDescent="0.25"/>
    <row r="88271" s="12" customFormat="1" x14ac:dyDescent="0.25"/>
    <row r="88272" s="12" customFormat="1" x14ac:dyDescent="0.25"/>
    <row r="88273" s="12" customFormat="1" x14ac:dyDescent="0.25"/>
    <row r="88274" s="12" customFormat="1" x14ac:dyDescent="0.25"/>
    <row r="88275" s="12" customFormat="1" x14ac:dyDescent="0.25"/>
    <row r="88276" s="12" customFormat="1" x14ac:dyDescent="0.25"/>
    <row r="88277" s="12" customFormat="1" x14ac:dyDescent="0.25"/>
    <row r="88278" s="12" customFormat="1" x14ac:dyDescent="0.25"/>
    <row r="88279" s="12" customFormat="1" x14ac:dyDescent="0.25"/>
    <row r="88280" s="12" customFormat="1" x14ac:dyDescent="0.25"/>
    <row r="88281" s="12" customFormat="1" x14ac:dyDescent="0.25"/>
    <row r="88282" s="12" customFormat="1" x14ac:dyDescent="0.25"/>
    <row r="88283" s="12" customFormat="1" x14ac:dyDescent="0.25"/>
    <row r="88284" s="12" customFormat="1" x14ac:dyDescent="0.25"/>
    <row r="88285" s="12" customFormat="1" x14ac:dyDescent="0.25"/>
    <row r="88286" s="12" customFormat="1" x14ac:dyDescent="0.25"/>
    <row r="88287" s="12" customFormat="1" x14ac:dyDescent="0.25"/>
    <row r="88288" s="12" customFormat="1" x14ac:dyDescent="0.25"/>
    <row r="88289" s="12" customFormat="1" x14ac:dyDescent="0.25"/>
    <row r="88290" s="12" customFormat="1" x14ac:dyDescent="0.25"/>
    <row r="88291" s="12" customFormat="1" x14ac:dyDescent="0.25"/>
    <row r="88292" s="12" customFormat="1" x14ac:dyDescent="0.25"/>
    <row r="88293" s="12" customFormat="1" x14ac:dyDescent="0.25"/>
    <row r="88294" s="12" customFormat="1" x14ac:dyDescent="0.25"/>
    <row r="88295" s="12" customFormat="1" x14ac:dyDescent="0.25"/>
    <row r="88296" s="12" customFormat="1" x14ac:dyDescent="0.25"/>
    <row r="88297" s="12" customFormat="1" x14ac:dyDescent="0.25"/>
    <row r="88298" s="12" customFormat="1" x14ac:dyDescent="0.25"/>
    <row r="88299" s="12" customFormat="1" x14ac:dyDescent="0.25"/>
    <row r="88300" s="12" customFormat="1" x14ac:dyDescent="0.25"/>
    <row r="88301" s="12" customFormat="1" x14ac:dyDescent="0.25"/>
    <row r="88302" s="12" customFormat="1" x14ac:dyDescent="0.25"/>
    <row r="88303" s="12" customFormat="1" x14ac:dyDescent="0.25"/>
    <row r="88304" s="12" customFormat="1" x14ac:dyDescent="0.25"/>
    <row r="88305" s="12" customFormat="1" x14ac:dyDescent="0.25"/>
    <row r="88306" s="12" customFormat="1" x14ac:dyDescent="0.25"/>
    <row r="88307" s="12" customFormat="1" x14ac:dyDescent="0.25"/>
    <row r="88308" s="12" customFormat="1" x14ac:dyDescent="0.25"/>
    <row r="88309" s="12" customFormat="1" x14ac:dyDescent="0.25"/>
    <row r="88310" s="12" customFormat="1" x14ac:dyDescent="0.25"/>
    <row r="88311" s="12" customFormat="1" x14ac:dyDescent="0.25"/>
    <row r="88312" s="12" customFormat="1" x14ac:dyDescent="0.25"/>
    <row r="88313" s="12" customFormat="1" x14ac:dyDescent="0.25"/>
    <row r="88314" s="12" customFormat="1" x14ac:dyDescent="0.25"/>
    <row r="88315" s="12" customFormat="1" x14ac:dyDescent="0.25"/>
    <row r="88316" s="12" customFormat="1" x14ac:dyDescent="0.25"/>
    <row r="88317" s="12" customFormat="1" x14ac:dyDescent="0.25"/>
    <row r="88318" s="12" customFormat="1" x14ac:dyDescent="0.25"/>
    <row r="88319" s="12" customFormat="1" x14ac:dyDescent="0.25"/>
    <row r="88320" s="12" customFormat="1" x14ac:dyDescent="0.25"/>
    <row r="88321" s="12" customFormat="1" x14ac:dyDescent="0.25"/>
    <row r="88322" s="12" customFormat="1" x14ac:dyDescent="0.25"/>
    <row r="88323" s="12" customFormat="1" x14ac:dyDescent="0.25"/>
    <row r="88324" s="12" customFormat="1" x14ac:dyDescent="0.25"/>
    <row r="88325" s="12" customFormat="1" x14ac:dyDescent="0.25"/>
    <row r="88326" s="12" customFormat="1" x14ac:dyDescent="0.25"/>
    <row r="88327" s="12" customFormat="1" x14ac:dyDescent="0.25"/>
    <row r="88328" s="12" customFormat="1" x14ac:dyDescent="0.25"/>
    <row r="88329" s="12" customFormat="1" x14ac:dyDescent="0.25"/>
    <row r="88330" s="12" customFormat="1" x14ac:dyDescent="0.25"/>
    <row r="88331" s="12" customFormat="1" x14ac:dyDescent="0.25"/>
    <row r="88332" s="12" customFormat="1" x14ac:dyDescent="0.25"/>
    <row r="88333" s="12" customFormat="1" x14ac:dyDescent="0.25"/>
    <row r="88334" s="12" customFormat="1" x14ac:dyDescent="0.25"/>
    <row r="88335" s="12" customFormat="1" x14ac:dyDescent="0.25"/>
    <row r="88336" s="12" customFormat="1" x14ac:dyDescent="0.25"/>
    <row r="88337" s="12" customFormat="1" x14ac:dyDescent="0.25"/>
    <row r="88338" s="12" customFormat="1" x14ac:dyDescent="0.25"/>
    <row r="88339" s="12" customFormat="1" x14ac:dyDescent="0.25"/>
    <row r="88340" s="12" customFormat="1" x14ac:dyDescent="0.25"/>
    <row r="88341" s="12" customFormat="1" x14ac:dyDescent="0.25"/>
    <row r="88342" s="12" customFormat="1" x14ac:dyDescent="0.25"/>
    <row r="88343" s="12" customFormat="1" x14ac:dyDescent="0.25"/>
    <row r="88344" s="12" customFormat="1" x14ac:dyDescent="0.25"/>
    <row r="88345" s="12" customFormat="1" x14ac:dyDescent="0.25"/>
    <row r="88346" s="12" customFormat="1" x14ac:dyDescent="0.25"/>
    <row r="88347" s="12" customFormat="1" x14ac:dyDescent="0.25"/>
    <row r="88348" s="12" customFormat="1" x14ac:dyDescent="0.25"/>
    <row r="88349" s="12" customFormat="1" x14ac:dyDescent="0.25"/>
    <row r="88350" s="12" customFormat="1" x14ac:dyDescent="0.25"/>
    <row r="88351" s="12" customFormat="1" x14ac:dyDescent="0.25"/>
    <row r="88352" s="12" customFormat="1" x14ac:dyDescent="0.25"/>
    <row r="88353" s="12" customFormat="1" x14ac:dyDescent="0.25"/>
    <row r="88354" s="12" customFormat="1" x14ac:dyDescent="0.25"/>
    <row r="88355" s="12" customFormat="1" x14ac:dyDescent="0.25"/>
    <row r="88356" s="12" customFormat="1" x14ac:dyDescent="0.25"/>
    <row r="88357" s="12" customFormat="1" x14ac:dyDescent="0.25"/>
    <row r="88358" s="12" customFormat="1" x14ac:dyDescent="0.25"/>
    <row r="88359" s="12" customFormat="1" x14ac:dyDescent="0.25"/>
    <row r="88360" s="12" customFormat="1" x14ac:dyDescent="0.25"/>
    <row r="88361" s="12" customFormat="1" x14ac:dyDescent="0.25"/>
    <row r="88362" s="12" customFormat="1" x14ac:dyDescent="0.25"/>
    <row r="88363" s="12" customFormat="1" x14ac:dyDescent="0.25"/>
    <row r="88364" s="12" customFormat="1" x14ac:dyDescent="0.25"/>
    <row r="88365" s="12" customFormat="1" x14ac:dyDescent="0.25"/>
    <row r="88366" s="12" customFormat="1" x14ac:dyDescent="0.25"/>
    <row r="88367" s="12" customFormat="1" x14ac:dyDescent="0.25"/>
    <row r="88368" s="12" customFormat="1" x14ac:dyDescent="0.25"/>
    <row r="88369" s="12" customFormat="1" x14ac:dyDescent="0.25"/>
    <row r="88370" s="12" customFormat="1" x14ac:dyDescent="0.25"/>
    <row r="88371" s="12" customFormat="1" x14ac:dyDescent="0.25"/>
    <row r="88372" s="12" customFormat="1" x14ac:dyDescent="0.25"/>
    <row r="88373" s="12" customFormat="1" x14ac:dyDescent="0.25"/>
    <row r="88374" s="12" customFormat="1" x14ac:dyDescent="0.25"/>
    <row r="88375" s="12" customFormat="1" x14ac:dyDescent="0.25"/>
    <row r="88376" s="12" customFormat="1" x14ac:dyDescent="0.25"/>
    <row r="88377" s="12" customFormat="1" x14ac:dyDescent="0.25"/>
    <row r="88378" s="12" customFormat="1" x14ac:dyDescent="0.25"/>
    <row r="88379" s="12" customFormat="1" x14ac:dyDescent="0.25"/>
    <row r="88380" s="12" customFormat="1" x14ac:dyDescent="0.25"/>
    <row r="88381" s="12" customFormat="1" x14ac:dyDescent="0.25"/>
    <row r="88382" s="12" customFormat="1" x14ac:dyDescent="0.25"/>
    <row r="88383" s="12" customFormat="1" x14ac:dyDescent="0.25"/>
    <row r="88384" s="12" customFormat="1" x14ac:dyDescent="0.25"/>
    <row r="88385" s="12" customFormat="1" x14ac:dyDescent="0.25"/>
    <row r="88386" s="12" customFormat="1" x14ac:dyDescent="0.25"/>
    <row r="88387" s="12" customFormat="1" x14ac:dyDescent="0.25"/>
    <row r="88388" s="12" customFormat="1" x14ac:dyDescent="0.25"/>
    <row r="88389" s="12" customFormat="1" x14ac:dyDescent="0.25"/>
    <row r="88390" s="12" customFormat="1" x14ac:dyDescent="0.25"/>
    <row r="88391" s="12" customFormat="1" x14ac:dyDescent="0.25"/>
    <row r="88392" s="12" customFormat="1" x14ac:dyDescent="0.25"/>
    <row r="88393" s="12" customFormat="1" x14ac:dyDescent="0.25"/>
    <row r="88394" s="12" customFormat="1" x14ac:dyDescent="0.25"/>
    <row r="88395" s="12" customFormat="1" x14ac:dyDescent="0.25"/>
    <row r="88396" s="12" customFormat="1" x14ac:dyDescent="0.25"/>
    <row r="88397" s="12" customFormat="1" x14ac:dyDescent="0.25"/>
    <row r="88398" s="12" customFormat="1" x14ac:dyDescent="0.25"/>
    <row r="88399" s="12" customFormat="1" x14ac:dyDescent="0.25"/>
    <row r="88400" s="12" customFormat="1" x14ac:dyDescent="0.25"/>
    <row r="88401" s="12" customFormat="1" x14ac:dyDescent="0.25"/>
    <row r="88402" s="12" customFormat="1" x14ac:dyDescent="0.25"/>
    <row r="88403" s="12" customFormat="1" x14ac:dyDescent="0.25"/>
    <row r="88404" s="12" customFormat="1" x14ac:dyDescent="0.25"/>
    <row r="88405" s="12" customFormat="1" x14ac:dyDescent="0.25"/>
    <row r="88406" s="12" customFormat="1" x14ac:dyDescent="0.25"/>
    <row r="88407" s="12" customFormat="1" x14ac:dyDescent="0.25"/>
    <row r="88408" s="12" customFormat="1" x14ac:dyDescent="0.25"/>
    <row r="88409" s="12" customFormat="1" x14ac:dyDescent="0.25"/>
    <row r="88410" s="12" customFormat="1" x14ac:dyDescent="0.25"/>
    <row r="88411" s="12" customFormat="1" x14ac:dyDescent="0.25"/>
    <row r="88412" s="12" customFormat="1" x14ac:dyDescent="0.25"/>
    <row r="88413" s="12" customFormat="1" x14ac:dyDescent="0.25"/>
    <row r="88414" s="12" customFormat="1" x14ac:dyDescent="0.25"/>
    <row r="88415" s="12" customFormat="1" x14ac:dyDescent="0.25"/>
    <row r="88416" s="12" customFormat="1" x14ac:dyDescent="0.25"/>
    <row r="88417" s="12" customFormat="1" x14ac:dyDescent="0.25"/>
    <row r="88418" s="12" customFormat="1" x14ac:dyDescent="0.25"/>
    <row r="88419" s="12" customFormat="1" x14ac:dyDescent="0.25"/>
    <row r="88420" s="12" customFormat="1" x14ac:dyDescent="0.25"/>
    <row r="88421" s="12" customFormat="1" x14ac:dyDescent="0.25"/>
    <row r="88422" s="12" customFormat="1" x14ac:dyDescent="0.25"/>
    <row r="88423" s="12" customFormat="1" x14ac:dyDescent="0.25"/>
    <row r="88424" s="12" customFormat="1" x14ac:dyDescent="0.25"/>
    <row r="88425" s="12" customFormat="1" x14ac:dyDescent="0.25"/>
    <row r="88426" s="12" customFormat="1" x14ac:dyDescent="0.25"/>
    <row r="88427" s="12" customFormat="1" x14ac:dyDescent="0.25"/>
    <row r="88428" s="12" customFormat="1" x14ac:dyDescent="0.25"/>
    <row r="88429" s="12" customFormat="1" x14ac:dyDescent="0.25"/>
    <row r="88430" s="12" customFormat="1" x14ac:dyDescent="0.25"/>
    <row r="88431" s="12" customFormat="1" x14ac:dyDescent="0.25"/>
    <row r="88432" s="12" customFormat="1" x14ac:dyDescent="0.25"/>
    <row r="88433" s="12" customFormat="1" x14ac:dyDescent="0.25"/>
    <row r="88434" s="12" customFormat="1" x14ac:dyDescent="0.25"/>
    <row r="88435" s="12" customFormat="1" x14ac:dyDescent="0.25"/>
    <row r="88436" s="12" customFormat="1" x14ac:dyDescent="0.25"/>
    <row r="88437" s="12" customFormat="1" x14ac:dyDescent="0.25"/>
    <row r="88438" s="12" customFormat="1" x14ac:dyDescent="0.25"/>
    <row r="88439" s="12" customFormat="1" x14ac:dyDescent="0.25"/>
    <row r="88440" s="12" customFormat="1" x14ac:dyDescent="0.25"/>
    <row r="88441" s="12" customFormat="1" x14ac:dyDescent="0.25"/>
    <row r="88442" s="12" customFormat="1" x14ac:dyDescent="0.25"/>
    <row r="88443" s="12" customFormat="1" x14ac:dyDescent="0.25"/>
    <row r="88444" s="12" customFormat="1" x14ac:dyDescent="0.25"/>
    <row r="88445" s="12" customFormat="1" x14ac:dyDescent="0.25"/>
    <row r="88446" s="12" customFormat="1" x14ac:dyDescent="0.25"/>
    <row r="88447" s="12" customFormat="1" x14ac:dyDescent="0.25"/>
    <row r="88448" s="12" customFormat="1" x14ac:dyDescent="0.25"/>
    <row r="88449" s="12" customFormat="1" x14ac:dyDescent="0.25"/>
    <row r="88450" s="12" customFormat="1" x14ac:dyDescent="0.25"/>
    <row r="88451" s="12" customFormat="1" x14ac:dyDescent="0.25"/>
    <row r="88452" s="12" customFormat="1" x14ac:dyDescent="0.25"/>
    <row r="88453" s="12" customFormat="1" x14ac:dyDescent="0.25"/>
    <row r="88454" s="12" customFormat="1" x14ac:dyDescent="0.25"/>
    <row r="88455" s="12" customFormat="1" x14ac:dyDescent="0.25"/>
    <row r="88456" s="12" customFormat="1" x14ac:dyDescent="0.25"/>
    <row r="88457" s="12" customFormat="1" x14ac:dyDescent="0.25"/>
    <row r="88458" s="12" customFormat="1" x14ac:dyDescent="0.25"/>
    <row r="88459" s="12" customFormat="1" x14ac:dyDescent="0.25"/>
    <row r="88460" s="12" customFormat="1" x14ac:dyDescent="0.25"/>
    <row r="88461" s="12" customFormat="1" x14ac:dyDescent="0.25"/>
    <row r="88462" s="12" customFormat="1" x14ac:dyDescent="0.25"/>
    <row r="88463" s="12" customFormat="1" x14ac:dyDescent="0.25"/>
    <row r="88464" s="12" customFormat="1" x14ac:dyDescent="0.25"/>
    <row r="88465" s="12" customFormat="1" x14ac:dyDescent="0.25"/>
    <row r="88466" s="12" customFormat="1" x14ac:dyDescent="0.25"/>
    <row r="88467" s="12" customFormat="1" x14ac:dyDescent="0.25"/>
    <row r="88468" s="12" customFormat="1" x14ac:dyDescent="0.25"/>
    <row r="88469" s="12" customFormat="1" x14ac:dyDescent="0.25"/>
    <row r="88470" s="12" customFormat="1" x14ac:dyDescent="0.25"/>
    <row r="88471" s="12" customFormat="1" x14ac:dyDescent="0.25"/>
    <row r="88472" s="12" customFormat="1" x14ac:dyDescent="0.25"/>
    <row r="88473" s="12" customFormat="1" x14ac:dyDescent="0.25"/>
    <row r="88474" s="12" customFormat="1" x14ac:dyDescent="0.25"/>
    <row r="88475" s="12" customFormat="1" x14ac:dyDescent="0.25"/>
    <row r="88476" s="12" customFormat="1" x14ac:dyDescent="0.25"/>
    <row r="88477" s="12" customFormat="1" x14ac:dyDescent="0.25"/>
    <row r="88478" s="12" customFormat="1" x14ac:dyDescent="0.25"/>
    <row r="88479" s="12" customFormat="1" x14ac:dyDescent="0.25"/>
    <row r="88480" s="12" customFormat="1" x14ac:dyDescent="0.25"/>
    <row r="88481" s="12" customFormat="1" x14ac:dyDescent="0.25"/>
    <row r="88482" s="12" customFormat="1" x14ac:dyDescent="0.25"/>
    <row r="88483" s="12" customFormat="1" x14ac:dyDescent="0.25"/>
    <row r="88484" s="12" customFormat="1" x14ac:dyDescent="0.25"/>
    <row r="88485" s="12" customFormat="1" x14ac:dyDescent="0.25"/>
    <row r="88486" s="12" customFormat="1" x14ac:dyDescent="0.25"/>
    <row r="88487" s="12" customFormat="1" x14ac:dyDescent="0.25"/>
    <row r="88488" s="12" customFormat="1" x14ac:dyDescent="0.25"/>
    <row r="88489" s="12" customFormat="1" x14ac:dyDescent="0.25"/>
    <row r="88490" s="12" customFormat="1" x14ac:dyDescent="0.25"/>
    <row r="88491" s="12" customFormat="1" x14ac:dyDescent="0.25"/>
    <row r="88492" s="12" customFormat="1" x14ac:dyDescent="0.25"/>
    <row r="88493" s="12" customFormat="1" x14ac:dyDescent="0.25"/>
    <row r="88494" s="12" customFormat="1" x14ac:dyDescent="0.25"/>
    <row r="88495" s="12" customFormat="1" x14ac:dyDescent="0.25"/>
    <row r="88496" s="12" customFormat="1" x14ac:dyDescent="0.25"/>
    <row r="88497" s="12" customFormat="1" x14ac:dyDescent="0.25"/>
    <row r="88498" s="12" customFormat="1" x14ac:dyDescent="0.25"/>
    <row r="88499" s="12" customFormat="1" x14ac:dyDescent="0.25"/>
    <row r="88500" s="12" customFormat="1" x14ac:dyDescent="0.25"/>
    <row r="88501" s="12" customFormat="1" x14ac:dyDescent="0.25"/>
    <row r="88502" s="12" customFormat="1" x14ac:dyDescent="0.25"/>
    <row r="88503" s="12" customFormat="1" x14ac:dyDescent="0.25"/>
    <row r="88504" s="12" customFormat="1" x14ac:dyDescent="0.25"/>
    <row r="88505" s="12" customFormat="1" x14ac:dyDescent="0.25"/>
    <row r="88506" s="12" customFormat="1" x14ac:dyDescent="0.25"/>
    <row r="88507" s="12" customFormat="1" x14ac:dyDescent="0.25"/>
    <row r="88508" s="12" customFormat="1" x14ac:dyDescent="0.25"/>
    <row r="88509" s="12" customFormat="1" x14ac:dyDescent="0.25"/>
    <row r="88510" s="12" customFormat="1" x14ac:dyDescent="0.25"/>
    <row r="88511" s="12" customFormat="1" x14ac:dyDescent="0.25"/>
    <row r="88512" s="12" customFormat="1" x14ac:dyDescent="0.25"/>
    <row r="88513" s="12" customFormat="1" x14ac:dyDescent="0.25"/>
    <row r="88514" s="12" customFormat="1" x14ac:dyDescent="0.25"/>
    <row r="88515" s="12" customFormat="1" x14ac:dyDescent="0.25"/>
    <row r="88516" s="12" customFormat="1" x14ac:dyDescent="0.25"/>
    <row r="88517" s="12" customFormat="1" x14ac:dyDescent="0.25"/>
    <row r="88518" s="12" customFormat="1" x14ac:dyDescent="0.25"/>
    <row r="88519" s="12" customFormat="1" x14ac:dyDescent="0.25"/>
    <row r="88520" s="12" customFormat="1" x14ac:dyDescent="0.25"/>
    <row r="88521" s="12" customFormat="1" x14ac:dyDescent="0.25"/>
    <row r="88522" s="12" customFormat="1" x14ac:dyDescent="0.25"/>
    <row r="88523" s="12" customFormat="1" x14ac:dyDescent="0.25"/>
    <row r="88524" s="12" customFormat="1" x14ac:dyDescent="0.25"/>
    <row r="88525" s="12" customFormat="1" x14ac:dyDescent="0.25"/>
    <row r="88526" s="12" customFormat="1" x14ac:dyDescent="0.25"/>
    <row r="88527" s="12" customFormat="1" x14ac:dyDescent="0.25"/>
    <row r="88528" s="12" customFormat="1" x14ac:dyDescent="0.25"/>
    <row r="88529" s="12" customFormat="1" x14ac:dyDescent="0.25"/>
    <row r="88530" s="12" customFormat="1" x14ac:dyDescent="0.25"/>
    <row r="88531" s="12" customFormat="1" x14ac:dyDescent="0.25"/>
    <row r="88532" s="12" customFormat="1" x14ac:dyDescent="0.25"/>
    <row r="88533" s="12" customFormat="1" x14ac:dyDescent="0.25"/>
    <row r="88534" s="12" customFormat="1" x14ac:dyDescent="0.25"/>
    <row r="88535" s="12" customFormat="1" x14ac:dyDescent="0.25"/>
    <row r="88536" s="12" customFormat="1" x14ac:dyDescent="0.25"/>
    <row r="88537" s="12" customFormat="1" x14ac:dyDescent="0.25"/>
    <row r="88538" s="12" customFormat="1" x14ac:dyDescent="0.25"/>
    <row r="88539" s="12" customFormat="1" x14ac:dyDescent="0.25"/>
    <row r="88540" s="12" customFormat="1" x14ac:dyDescent="0.25"/>
    <row r="88541" s="12" customFormat="1" x14ac:dyDescent="0.25"/>
    <row r="88542" s="12" customFormat="1" x14ac:dyDescent="0.25"/>
    <row r="88543" s="12" customFormat="1" x14ac:dyDescent="0.25"/>
    <row r="88544" s="12" customFormat="1" x14ac:dyDescent="0.25"/>
    <row r="88545" s="12" customFormat="1" x14ac:dyDescent="0.25"/>
    <row r="88546" s="12" customFormat="1" x14ac:dyDescent="0.25"/>
    <row r="88547" s="12" customFormat="1" x14ac:dyDescent="0.25"/>
    <row r="88548" s="12" customFormat="1" x14ac:dyDescent="0.25"/>
    <row r="88549" s="12" customFormat="1" x14ac:dyDescent="0.25"/>
    <row r="88550" s="12" customFormat="1" x14ac:dyDescent="0.25"/>
    <row r="88551" s="12" customFormat="1" x14ac:dyDescent="0.25"/>
    <row r="88552" s="12" customFormat="1" x14ac:dyDescent="0.25"/>
    <row r="88553" s="12" customFormat="1" x14ac:dyDescent="0.25"/>
    <row r="88554" s="12" customFormat="1" x14ac:dyDescent="0.25"/>
    <row r="88555" s="12" customFormat="1" x14ac:dyDescent="0.25"/>
    <row r="88556" s="12" customFormat="1" x14ac:dyDescent="0.25"/>
    <row r="88557" s="12" customFormat="1" x14ac:dyDescent="0.25"/>
    <row r="88558" s="12" customFormat="1" x14ac:dyDescent="0.25"/>
    <row r="88559" s="12" customFormat="1" x14ac:dyDescent="0.25"/>
    <row r="88560" s="12" customFormat="1" x14ac:dyDescent="0.25"/>
    <row r="88561" s="12" customFormat="1" x14ac:dyDescent="0.25"/>
    <row r="88562" s="12" customFormat="1" x14ac:dyDescent="0.25"/>
    <row r="88563" s="12" customFormat="1" x14ac:dyDescent="0.25"/>
    <row r="88564" s="12" customFormat="1" x14ac:dyDescent="0.25"/>
    <row r="88565" s="12" customFormat="1" x14ac:dyDescent="0.25"/>
    <row r="88566" s="12" customFormat="1" x14ac:dyDescent="0.25"/>
    <row r="88567" s="12" customFormat="1" x14ac:dyDescent="0.25"/>
    <row r="88568" s="12" customFormat="1" x14ac:dyDescent="0.25"/>
    <row r="88569" s="12" customFormat="1" x14ac:dyDescent="0.25"/>
    <row r="88570" s="12" customFormat="1" x14ac:dyDescent="0.25"/>
    <row r="88571" s="12" customFormat="1" x14ac:dyDescent="0.25"/>
    <row r="88572" s="12" customFormat="1" x14ac:dyDescent="0.25"/>
    <row r="88573" s="12" customFormat="1" x14ac:dyDescent="0.25"/>
    <row r="88574" s="12" customFormat="1" x14ac:dyDescent="0.25"/>
    <row r="88575" s="12" customFormat="1" x14ac:dyDescent="0.25"/>
    <row r="88576" s="12" customFormat="1" x14ac:dyDescent="0.25"/>
    <row r="88577" s="12" customFormat="1" x14ac:dyDescent="0.25"/>
    <row r="88578" s="12" customFormat="1" x14ac:dyDescent="0.25"/>
    <row r="88579" s="12" customFormat="1" x14ac:dyDescent="0.25"/>
    <row r="88580" s="12" customFormat="1" x14ac:dyDescent="0.25"/>
    <row r="88581" s="12" customFormat="1" x14ac:dyDescent="0.25"/>
    <row r="88582" s="12" customFormat="1" x14ac:dyDescent="0.25"/>
    <row r="88583" s="12" customFormat="1" x14ac:dyDescent="0.25"/>
    <row r="88584" s="12" customFormat="1" x14ac:dyDescent="0.25"/>
    <row r="88585" s="12" customFormat="1" x14ac:dyDescent="0.25"/>
    <row r="88586" s="12" customFormat="1" x14ac:dyDescent="0.25"/>
    <row r="88587" s="12" customFormat="1" x14ac:dyDescent="0.25"/>
    <row r="88588" s="12" customFormat="1" x14ac:dyDescent="0.25"/>
    <row r="88589" s="12" customFormat="1" x14ac:dyDescent="0.25"/>
    <row r="88590" s="12" customFormat="1" x14ac:dyDescent="0.25"/>
    <row r="88591" s="12" customFormat="1" x14ac:dyDescent="0.25"/>
    <row r="88592" s="12" customFormat="1" x14ac:dyDescent="0.25"/>
    <row r="88593" s="12" customFormat="1" x14ac:dyDescent="0.25"/>
    <row r="88594" s="12" customFormat="1" x14ac:dyDescent="0.25"/>
    <row r="88595" s="12" customFormat="1" x14ac:dyDescent="0.25"/>
    <row r="88596" s="12" customFormat="1" x14ac:dyDescent="0.25"/>
    <row r="88597" s="12" customFormat="1" x14ac:dyDescent="0.25"/>
    <row r="88598" s="12" customFormat="1" x14ac:dyDescent="0.25"/>
    <row r="88599" s="12" customFormat="1" x14ac:dyDescent="0.25"/>
    <row r="88600" s="12" customFormat="1" x14ac:dyDescent="0.25"/>
    <row r="88601" s="12" customFormat="1" x14ac:dyDescent="0.25"/>
    <row r="88602" s="12" customFormat="1" x14ac:dyDescent="0.25"/>
    <row r="88603" s="12" customFormat="1" x14ac:dyDescent="0.25"/>
    <row r="88604" s="12" customFormat="1" x14ac:dyDescent="0.25"/>
    <row r="88605" s="12" customFormat="1" x14ac:dyDescent="0.25"/>
    <row r="88606" s="12" customFormat="1" x14ac:dyDescent="0.25"/>
    <row r="88607" s="12" customFormat="1" x14ac:dyDescent="0.25"/>
    <row r="88608" s="12" customFormat="1" x14ac:dyDescent="0.25"/>
    <row r="88609" s="12" customFormat="1" x14ac:dyDescent="0.25"/>
    <row r="88610" s="12" customFormat="1" x14ac:dyDescent="0.25"/>
    <row r="88611" s="12" customFormat="1" x14ac:dyDescent="0.25"/>
    <row r="88612" s="12" customFormat="1" x14ac:dyDescent="0.25"/>
    <row r="88613" s="12" customFormat="1" x14ac:dyDescent="0.25"/>
    <row r="88614" s="12" customFormat="1" x14ac:dyDescent="0.25"/>
    <row r="88615" s="12" customFormat="1" x14ac:dyDescent="0.25"/>
    <row r="88616" s="12" customFormat="1" x14ac:dyDescent="0.25"/>
    <row r="88617" s="12" customFormat="1" x14ac:dyDescent="0.25"/>
    <row r="88618" s="12" customFormat="1" x14ac:dyDescent="0.25"/>
    <row r="88619" s="12" customFormat="1" x14ac:dyDescent="0.25"/>
    <row r="88620" s="12" customFormat="1" x14ac:dyDescent="0.25"/>
    <row r="88621" s="12" customFormat="1" x14ac:dyDescent="0.25"/>
    <row r="88622" s="12" customFormat="1" x14ac:dyDescent="0.25"/>
    <row r="88623" s="12" customFormat="1" x14ac:dyDescent="0.25"/>
    <row r="88624" s="12" customFormat="1" x14ac:dyDescent="0.25"/>
    <row r="88625" s="12" customFormat="1" x14ac:dyDescent="0.25"/>
    <row r="88626" s="12" customFormat="1" x14ac:dyDescent="0.25"/>
    <row r="88627" s="12" customFormat="1" x14ac:dyDescent="0.25"/>
    <row r="88628" s="12" customFormat="1" x14ac:dyDescent="0.25"/>
    <row r="88629" s="12" customFormat="1" x14ac:dyDescent="0.25"/>
    <row r="88630" s="12" customFormat="1" x14ac:dyDescent="0.25"/>
    <row r="88631" s="12" customFormat="1" x14ac:dyDescent="0.25"/>
    <row r="88632" s="12" customFormat="1" x14ac:dyDescent="0.25"/>
    <row r="88633" s="12" customFormat="1" x14ac:dyDescent="0.25"/>
    <row r="88634" s="12" customFormat="1" x14ac:dyDescent="0.25"/>
    <row r="88635" s="12" customFormat="1" x14ac:dyDescent="0.25"/>
    <row r="88636" s="12" customFormat="1" x14ac:dyDescent="0.25"/>
    <row r="88637" s="12" customFormat="1" x14ac:dyDescent="0.25"/>
    <row r="88638" s="12" customFormat="1" x14ac:dyDescent="0.25"/>
    <row r="88639" s="12" customFormat="1" x14ac:dyDescent="0.25"/>
    <row r="88640" s="12" customFormat="1" x14ac:dyDescent="0.25"/>
    <row r="88641" s="12" customFormat="1" x14ac:dyDescent="0.25"/>
    <row r="88642" s="12" customFormat="1" x14ac:dyDescent="0.25"/>
    <row r="88643" s="12" customFormat="1" x14ac:dyDescent="0.25"/>
    <row r="88644" s="12" customFormat="1" x14ac:dyDescent="0.25"/>
    <row r="88645" s="12" customFormat="1" x14ac:dyDescent="0.25"/>
    <row r="88646" s="12" customFormat="1" x14ac:dyDescent="0.25"/>
    <row r="88647" s="12" customFormat="1" x14ac:dyDescent="0.25"/>
    <row r="88648" s="12" customFormat="1" x14ac:dyDescent="0.25"/>
    <row r="88649" s="12" customFormat="1" x14ac:dyDescent="0.25"/>
    <row r="88650" s="12" customFormat="1" x14ac:dyDescent="0.25"/>
    <row r="88651" s="12" customFormat="1" x14ac:dyDescent="0.25"/>
    <row r="88652" s="12" customFormat="1" x14ac:dyDescent="0.25"/>
    <row r="88653" s="12" customFormat="1" x14ac:dyDescent="0.25"/>
    <row r="88654" s="12" customFormat="1" x14ac:dyDescent="0.25"/>
    <row r="88655" s="12" customFormat="1" x14ac:dyDescent="0.25"/>
    <row r="88656" s="12" customFormat="1" x14ac:dyDescent="0.25"/>
    <row r="88657" s="12" customFormat="1" x14ac:dyDescent="0.25"/>
    <row r="88658" s="12" customFormat="1" x14ac:dyDescent="0.25"/>
    <row r="88659" s="12" customFormat="1" x14ac:dyDescent="0.25"/>
    <row r="88660" s="12" customFormat="1" x14ac:dyDescent="0.25"/>
    <row r="88661" s="12" customFormat="1" x14ac:dyDescent="0.25"/>
    <row r="88662" s="12" customFormat="1" x14ac:dyDescent="0.25"/>
    <row r="88663" s="12" customFormat="1" x14ac:dyDescent="0.25"/>
    <row r="88664" s="12" customFormat="1" x14ac:dyDescent="0.25"/>
    <row r="88665" s="12" customFormat="1" x14ac:dyDescent="0.25"/>
    <row r="88666" s="12" customFormat="1" x14ac:dyDescent="0.25"/>
    <row r="88667" s="12" customFormat="1" x14ac:dyDescent="0.25"/>
    <row r="88668" s="12" customFormat="1" x14ac:dyDescent="0.25"/>
    <row r="88669" s="12" customFormat="1" x14ac:dyDescent="0.25"/>
    <row r="88670" s="12" customFormat="1" x14ac:dyDescent="0.25"/>
    <row r="88671" s="12" customFormat="1" x14ac:dyDescent="0.25"/>
    <row r="88672" s="12" customFormat="1" x14ac:dyDescent="0.25"/>
    <row r="88673" s="12" customFormat="1" x14ac:dyDescent="0.25"/>
    <row r="88674" s="12" customFormat="1" x14ac:dyDescent="0.25"/>
    <row r="88675" s="12" customFormat="1" x14ac:dyDescent="0.25"/>
    <row r="88676" s="12" customFormat="1" x14ac:dyDescent="0.25"/>
    <row r="88677" s="12" customFormat="1" x14ac:dyDescent="0.25"/>
    <row r="88678" s="12" customFormat="1" x14ac:dyDescent="0.25"/>
    <row r="88679" s="12" customFormat="1" x14ac:dyDescent="0.25"/>
    <row r="88680" s="12" customFormat="1" x14ac:dyDescent="0.25"/>
    <row r="88681" s="12" customFormat="1" x14ac:dyDescent="0.25"/>
    <row r="88682" s="12" customFormat="1" x14ac:dyDescent="0.25"/>
    <row r="88683" s="12" customFormat="1" x14ac:dyDescent="0.25"/>
    <row r="88684" s="12" customFormat="1" x14ac:dyDescent="0.25"/>
    <row r="88685" s="12" customFormat="1" x14ac:dyDescent="0.25"/>
    <row r="88686" s="12" customFormat="1" x14ac:dyDescent="0.25"/>
    <row r="88687" s="12" customFormat="1" x14ac:dyDescent="0.25"/>
    <row r="88688" s="12" customFormat="1" x14ac:dyDescent="0.25"/>
    <row r="88689" s="12" customFormat="1" x14ac:dyDescent="0.25"/>
    <row r="88690" s="12" customFormat="1" x14ac:dyDescent="0.25"/>
    <row r="88691" s="12" customFormat="1" x14ac:dyDescent="0.25"/>
    <row r="88692" s="12" customFormat="1" x14ac:dyDescent="0.25"/>
    <row r="88693" s="12" customFormat="1" x14ac:dyDescent="0.25"/>
    <row r="88694" s="12" customFormat="1" x14ac:dyDescent="0.25"/>
    <row r="88695" s="12" customFormat="1" x14ac:dyDescent="0.25"/>
    <row r="88696" s="12" customFormat="1" x14ac:dyDescent="0.25"/>
    <row r="88697" s="12" customFormat="1" x14ac:dyDescent="0.25"/>
    <row r="88698" s="12" customFormat="1" x14ac:dyDescent="0.25"/>
    <row r="88699" s="12" customFormat="1" x14ac:dyDescent="0.25"/>
    <row r="88700" s="12" customFormat="1" x14ac:dyDescent="0.25"/>
    <row r="88701" s="12" customFormat="1" x14ac:dyDescent="0.25"/>
    <row r="88702" s="12" customFormat="1" x14ac:dyDescent="0.25"/>
    <row r="88703" s="12" customFormat="1" x14ac:dyDescent="0.25"/>
    <row r="88704" s="12" customFormat="1" x14ac:dyDescent="0.25"/>
    <row r="88705" s="12" customFormat="1" x14ac:dyDescent="0.25"/>
    <row r="88706" s="12" customFormat="1" x14ac:dyDescent="0.25"/>
    <row r="88707" s="12" customFormat="1" x14ac:dyDescent="0.25"/>
    <row r="88708" s="12" customFormat="1" x14ac:dyDescent="0.25"/>
    <row r="88709" s="12" customFormat="1" x14ac:dyDescent="0.25"/>
    <row r="88710" s="12" customFormat="1" x14ac:dyDescent="0.25"/>
    <row r="88711" s="12" customFormat="1" x14ac:dyDescent="0.25"/>
    <row r="88712" s="12" customFormat="1" x14ac:dyDescent="0.25"/>
    <row r="88713" s="12" customFormat="1" x14ac:dyDescent="0.25"/>
    <row r="88714" s="12" customFormat="1" x14ac:dyDescent="0.25"/>
    <row r="88715" s="12" customFormat="1" x14ac:dyDescent="0.25"/>
    <row r="88716" s="12" customFormat="1" x14ac:dyDescent="0.25"/>
    <row r="88717" s="12" customFormat="1" x14ac:dyDescent="0.25"/>
    <row r="88718" s="12" customFormat="1" x14ac:dyDescent="0.25"/>
    <row r="88719" s="12" customFormat="1" x14ac:dyDescent="0.25"/>
    <row r="88720" s="12" customFormat="1" x14ac:dyDescent="0.25"/>
    <row r="88721" s="12" customFormat="1" x14ac:dyDescent="0.25"/>
    <row r="88722" s="12" customFormat="1" x14ac:dyDescent="0.25"/>
    <row r="88723" s="12" customFormat="1" x14ac:dyDescent="0.25"/>
    <row r="88724" s="12" customFormat="1" x14ac:dyDescent="0.25"/>
    <row r="88725" s="12" customFormat="1" x14ac:dyDescent="0.25"/>
    <row r="88726" s="12" customFormat="1" x14ac:dyDescent="0.25"/>
    <row r="88727" s="12" customFormat="1" x14ac:dyDescent="0.25"/>
    <row r="88728" s="12" customFormat="1" x14ac:dyDescent="0.25"/>
    <row r="88729" s="12" customFormat="1" x14ac:dyDescent="0.25"/>
    <row r="88730" s="12" customFormat="1" x14ac:dyDescent="0.25"/>
    <row r="88731" s="12" customFormat="1" x14ac:dyDescent="0.25"/>
    <row r="88732" s="12" customFormat="1" x14ac:dyDescent="0.25"/>
    <row r="88733" s="12" customFormat="1" x14ac:dyDescent="0.25"/>
    <row r="88734" s="12" customFormat="1" x14ac:dyDescent="0.25"/>
    <row r="88735" s="12" customFormat="1" x14ac:dyDescent="0.25"/>
    <row r="88736" s="12" customFormat="1" x14ac:dyDescent="0.25"/>
    <row r="88737" s="12" customFormat="1" x14ac:dyDescent="0.25"/>
    <row r="88738" s="12" customFormat="1" x14ac:dyDescent="0.25"/>
    <row r="88739" s="12" customFormat="1" x14ac:dyDescent="0.25"/>
    <row r="88740" s="12" customFormat="1" x14ac:dyDescent="0.25"/>
    <row r="88741" s="12" customFormat="1" x14ac:dyDescent="0.25"/>
    <row r="88742" s="12" customFormat="1" x14ac:dyDescent="0.25"/>
    <row r="88743" s="12" customFormat="1" x14ac:dyDescent="0.25"/>
    <row r="88744" s="12" customFormat="1" x14ac:dyDescent="0.25"/>
    <row r="88745" s="12" customFormat="1" x14ac:dyDescent="0.25"/>
    <row r="88746" s="12" customFormat="1" x14ac:dyDescent="0.25"/>
    <row r="88747" s="12" customFormat="1" x14ac:dyDescent="0.25"/>
    <row r="88748" s="12" customFormat="1" x14ac:dyDescent="0.25"/>
    <row r="88749" s="12" customFormat="1" x14ac:dyDescent="0.25"/>
    <row r="88750" s="12" customFormat="1" x14ac:dyDescent="0.25"/>
    <row r="88751" s="12" customFormat="1" x14ac:dyDescent="0.25"/>
    <row r="88752" s="12" customFormat="1" x14ac:dyDescent="0.25"/>
    <row r="88753" s="12" customFormat="1" x14ac:dyDescent="0.25"/>
    <row r="88754" s="12" customFormat="1" x14ac:dyDescent="0.25"/>
    <row r="88755" s="12" customFormat="1" x14ac:dyDescent="0.25"/>
    <row r="88756" s="12" customFormat="1" x14ac:dyDescent="0.25"/>
    <row r="88757" s="12" customFormat="1" x14ac:dyDescent="0.25"/>
    <row r="88758" s="12" customFormat="1" x14ac:dyDescent="0.25"/>
    <row r="88759" s="12" customFormat="1" x14ac:dyDescent="0.25"/>
    <row r="88760" s="12" customFormat="1" x14ac:dyDescent="0.25"/>
    <row r="88761" s="12" customFormat="1" x14ac:dyDescent="0.25"/>
    <row r="88762" s="12" customFormat="1" x14ac:dyDescent="0.25"/>
    <row r="88763" s="12" customFormat="1" x14ac:dyDescent="0.25"/>
    <row r="88764" s="12" customFormat="1" x14ac:dyDescent="0.25"/>
    <row r="88765" s="12" customFormat="1" x14ac:dyDescent="0.25"/>
    <row r="88766" s="12" customFormat="1" x14ac:dyDescent="0.25"/>
    <row r="88767" s="12" customFormat="1" x14ac:dyDescent="0.25"/>
    <row r="88768" s="12" customFormat="1" x14ac:dyDescent="0.25"/>
    <row r="88769" s="12" customFormat="1" x14ac:dyDescent="0.25"/>
    <row r="88770" s="12" customFormat="1" x14ac:dyDescent="0.25"/>
    <row r="88771" s="12" customFormat="1" x14ac:dyDescent="0.25"/>
    <row r="88772" s="12" customFormat="1" x14ac:dyDescent="0.25"/>
    <row r="88773" s="12" customFormat="1" x14ac:dyDescent="0.25"/>
    <row r="88774" s="12" customFormat="1" x14ac:dyDescent="0.25"/>
    <row r="88775" s="12" customFormat="1" x14ac:dyDescent="0.25"/>
    <row r="88776" s="12" customFormat="1" x14ac:dyDescent="0.25"/>
    <row r="88777" s="12" customFormat="1" x14ac:dyDescent="0.25"/>
    <row r="88778" s="12" customFormat="1" x14ac:dyDescent="0.25"/>
    <row r="88779" s="12" customFormat="1" x14ac:dyDescent="0.25"/>
    <row r="88780" s="12" customFormat="1" x14ac:dyDescent="0.25"/>
    <row r="88781" s="12" customFormat="1" x14ac:dyDescent="0.25"/>
    <row r="88782" s="12" customFormat="1" x14ac:dyDescent="0.25"/>
    <row r="88783" s="12" customFormat="1" x14ac:dyDescent="0.25"/>
    <row r="88784" s="12" customFormat="1" x14ac:dyDescent="0.25"/>
    <row r="88785" s="12" customFormat="1" x14ac:dyDescent="0.25"/>
    <row r="88786" s="12" customFormat="1" x14ac:dyDescent="0.25"/>
    <row r="88787" s="12" customFormat="1" x14ac:dyDescent="0.25"/>
    <row r="88788" s="12" customFormat="1" x14ac:dyDescent="0.25"/>
    <row r="88789" s="12" customFormat="1" x14ac:dyDescent="0.25"/>
    <row r="88790" s="12" customFormat="1" x14ac:dyDescent="0.25"/>
    <row r="88791" s="12" customFormat="1" x14ac:dyDescent="0.25"/>
    <row r="88792" s="12" customFormat="1" x14ac:dyDescent="0.25"/>
    <row r="88793" s="12" customFormat="1" x14ac:dyDescent="0.25"/>
    <row r="88794" s="12" customFormat="1" x14ac:dyDescent="0.25"/>
    <row r="88795" s="12" customFormat="1" x14ac:dyDescent="0.25"/>
    <row r="88796" s="12" customFormat="1" x14ac:dyDescent="0.25"/>
    <row r="88797" s="12" customFormat="1" x14ac:dyDescent="0.25"/>
    <row r="88798" s="12" customFormat="1" x14ac:dyDescent="0.25"/>
    <row r="88799" s="12" customFormat="1" x14ac:dyDescent="0.25"/>
    <row r="88800" s="12" customFormat="1" x14ac:dyDescent="0.25"/>
    <row r="88801" s="12" customFormat="1" x14ac:dyDescent="0.25"/>
    <row r="88802" s="12" customFormat="1" x14ac:dyDescent="0.25"/>
    <row r="88803" s="12" customFormat="1" x14ac:dyDescent="0.25"/>
    <row r="88804" s="12" customFormat="1" x14ac:dyDescent="0.25"/>
    <row r="88805" s="12" customFormat="1" x14ac:dyDescent="0.25"/>
    <row r="88806" s="12" customFormat="1" x14ac:dyDescent="0.25"/>
    <row r="88807" s="12" customFormat="1" x14ac:dyDescent="0.25"/>
    <row r="88808" s="12" customFormat="1" x14ac:dyDescent="0.25"/>
    <row r="88809" s="12" customFormat="1" x14ac:dyDescent="0.25"/>
    <row r="88810" s="12" customFormat="1" x14ac:dyDescent="0.25"/>
    <row r="88811" s="12" customFormat="1" x14ac:dyDescent="0.25"/>
    <row r="88812" s="12" customFormat="1" x14ac:dyDescent="0.25"/>
    <row r="88813" s="12" customFormat="1" x14ac:dyDescent="0.25"/>
    <row r="88814" s="12" customFormat="1" x14ac:dyDescent="0.25"/>
    <row r="88815" s="12" customFormat="1" x14ac:dyDescent="0.25"/>
    <row r="88816" s="12" customFormat="1" x14ac:dyDescent="0.25"/>
    <row r="88817" s="12" customFormat="1" x14ac:dyDescent="0.25"/>
    <row r="88818" s="12" customFormat="1" x14ac:dyDescent="0.25"/>
    <row r="88819" s="12" customFormat="1" x14ac:dyDescent="0.25"/>
    <row r="88820" s="12" customFormat="1" x14ac:dyDescent="0.25"/>
    <row r="88821" s="12" customFormat="1" x14ac:dyDescent="0.25"/>
    <row r="88822" s="12" customFormat="1" x14ac:dyDescent="0.25"/>
    <row r="88823" s="12" customFormat="1" x14ac:dyDescent="0.25"/>
    <row r="88824" s="12" customFormat="1" x14ac:dyDescent="0.25"/>
    <row r="88825" s="12" customFormat="1" x14ac:dyDescent="0.25"/>
    <row r="88826" s="12" customFormat="1" x14ac:dyDescent="0.25"/>
    <row r="88827" s="12" customFormat="1" x14ac:dyDescent="0.25"/>
    <row r="88828" s="12" customFormat="1" x14ac:dyDescent="0.25"/>
    <row r="88829" s="12" customFormat="1" x14ac:dyDescent="0.25"/>
    <row r="88830" s="12" customFormat="1" x14ac:dyDescent="0.25"/>
    <row r="88831" s="12" customFormat="1" x14ac:dyDescent="0.25"/>
    <row r="88832" s="12" customFormat="1" x14ac:dyDescent="0.25"/>
    <row r="88833" s="12" customFormat="1" x14ac:dyDescent="0.25"/>
    <row r="88834" s="12" customFormat="1" x14ac:dyDescent="0.25"/>
    <row r="88835" s="12" customFormat="1" x14ac:dyDescent="0.25"/>
    <row r="88836" s="12" customFormat="1" x14ac:dyDescent="0.25"/>
    <row r="88837" s="12" customFormat="1" x14ac:dyDescent="0.25"/>
    <row r="88838" s="12" customFormat="1" x14ac:dyDescent="0.25"/>
    <row r="88839" s="12" customFormat="1" x14ac:dyDescent="0.25"/>
    <row r="88840" s="12" customFormat="1" x14ac:dyDescent="0.25"/>
    <row r="88841" s="12" customFormat="1" x14ac:dyDescent="0.25"/>
    <row r="88842" s="12" customFormat="1" x14ac:dyDescent="0.25"/>
    <row r="88843" s="12" customFormat="1" x14ac:dyDescent="0.25"/>
    <row r="88844" s="12" customFormat="1" x14ac:dyDescent="0.25"/>
    <row r="88845" s="12" customFormat="1" x14ac:dyDescent="0.25"/>
    <row r="88846" s="12" customFormat="1" x14ac:dyDescent="0.25"/>
    <row r="88847" s="12" customFormat="1" x14ac:dyDescent="0.25"/>
    <row r="88848" s="12" customFormat="1" x14ac:dyDescent="0.25"/>
    <row r="88849" s="12" customFormat="1" x14ac:dyDescent="0.25"/>
    <row r="88850" s="12" customFormat="1" x14ac:dyDescent="0.25"/>
    <row r="88851" s="12" customFormat="1" x14ac:dyDescent="0.25"/>
    <row r="88852" s="12" customFormat="1" x14ac:dyDescent="0.25"/>
    <row r="88853" s="12" customFormat="1" x14ac:dyDescent="0.25"/>
    <row r="88854" s="12" customFormat="1" x14ac:dyDescent="0.25"/>
    <row r="88855" s="12" customFormat="1" x14ac:dyDescent="0.25"/>
    <row r="88856" s="12" customFormat="1" x14ac:dyDescent="0.25"/>
    <row r="88857" s="12" customFormat="1" x14ac:dyDescent="0.25"/>
    <row r="88858" s="12" customFormat="1" x14ac:dyDescent="0.25"/>
    <row r="88859" s="12" customFormat="1" x14ac:dyDescent="0.25"/>
    <row r="88860" s="12" customFormat="1" x14ac:dyDescent="0.25"/>
    <row r="88861" s="12" customFormat="1" x14ac:dyDescent="0.25"/>
    <row r="88862" s="12" customFormat="1" x14ac:dyDescent="0.25"/>
    <row r="88863" s="12" customFormat="1" x14ac:dyDescent="0.25"/>
    <row r="88864" s="12" customFormat="1" x14ac:dyDescent="0.25"/>
    <row r="88865" s="12" customFormat="1" x14ac:dyDescent="0.25"/>
    <row r="88866" s="12" customFormat="1" x14ac:dyDescent="0.25"/>
    <row r="88867" s="12" customFormat="1" x14ac:dyDescent="0.25"/>
    <row r="88868" s="12" customFormat="1" x14ac:dyDescent="0.25"/>
    <row r="88869" s="12" customFormat="1" x14ac:dyDescent="0.25"/>
    <row r="88870" s="12" customFormat="1" x14ac:dyDescent="0.25"/>
    <row r="88871" s="12" customFormat="1" x14ac:dyDescent="0.25"/>
    <row r="88872" s="12" customFormat="1" x14ac:dyDescent="0.25"/>
    <row r="88873" s="12" customFormat="1" x14ac:dyDescent="0.25"/>
    <row r="88874" s="12" customFormat="1" x14ac:dyDescent="0.25"/>
    <row r="88875" s="12" customFormat="1" x14ac:dyDescent="0.25"/>
    <row r="88876" s="12" customFormat="1" x14ac:dyDescent="0.25"/>
    <row r="88877" s="12" customFormat="1" x14ac:dyDescent="0.25"/>
    <row r="88878" s="12" customFormat="1" x14ac:dyDescent="0.25"/>
    <row r="88879" s="12" customFormat="1" x14ac:dyDescent="0.25"/>
    <row r="88880" s="12" customFormat="1" x14ac:dyDescent="0.25"/>
    <row r="88881" s="12" customFormat="1" x14ac:dyDescent="0.25"/>
    <row r="88882" s="12" customFormat="1" x14ac:dyDescent="0.25"/>
    <row r="88883" s="12" customFormat="1" x14ac:dyDescent="0.25"/>
    <row r="88884" s="12" customFormat="1" x14ac:dyDescent="0.25"/>
    <row r="88885" s="12" customFormat="1" x14ac:dyDescent="0.25"/>
    <row r="88886" s="12" customFormat="1" x14ac:dyDescent="0.25"/>
    <row r="88887" s="12" customFormat="1" x14ac:dyDescent="0.25"/>
    <row r="88888" s="12" customFormat="1" x14ac:dyDescent="0.25"/>
    <row r="88889" s="12" customFormat="1" x14ac:dyDescent="0.25"/>
    <row r="88890" s="12" customFormat="1" x14ac:dyDescent="0.25"/>
    <row r="88891" s="12" customFormat="1" x14ac:dyDescent="0.25"/>
    <row r="88892" s="12" customFormat="1" x14ac:dyDescent="0.25"/>
    <row r="88893" s="12" customFormat="1" x14ac:dyDescent="0.25"/>
    <row r="88894" s="12" customFormat="1" x14ac:dyDescent="0.25"/>
    <row r="88895" s="12" customFormat="1" x14ac:dyDescent="0.25"/>
    <row r="88896" s="12" customFormat="1" x14ac:dyDescent="0.25"/>
    <row r="88897" s="12" customFormat="1" x14ac:dyDescent="0.25"/>
    <row r="88898" s="12" customFormat="1" x14ac:dyDescent="0.25"/>
    <row r="88899" s="12" customFormat="1" x14ac:dyDescent="0.25"/>
    <row r="88900" s="12" customFormat="1" x14ac:dyDescent="0.25"/>
    <row r="88901" s="12" customFormat="1" x14ac:dyDescent="0.25"/>
    <row r="88902" s="12" customFormat="1" x14ac:dyDescent="0.25"/>
    <row r="88903" s="12" customFormat="1" x14ac:dyDescent="0.25"/>
    <row r="88904" s="12" customFormat="1" x14ac:dyDescent="0.25"/>
    <row r="88905" s="12" customFormat="1" x14ac:dyDescent="0.25"/>
    <row r="88906" s="12" customFormat="1" x14ac:dyDescent="0.25"/>
    <row r="88907" s="12" customFormat="1" x14ac:dyDescent="0.25"/>
    <row r="88908" s="12" customFormat="1" x14ac:dyDescent="0.25"/>
    <row r="88909" s="12" customFormat="1" x14ac:dyDescent="0.25"/>
    <row r="88910" s="12" customFormat="1" x14ac:dyDescent="0.25"/>
    <row r="88911" s="12" customFormat="1" x14ac:dyDescent="0.25"/>
    <row r="88912" s="12" customFormat="1" x14ac:dyDescent="0.25"/>
    <row r="88913" s="12" customFormat="1" x14ac:dyDescent="0.25"/>
    <row r="88914" s="12" customFormat="1" x14ac:dyDescent="0.25"/>
    <row r="88915" s="12" customFormat="1" x14ac:dyDescent="0.25"/>
    <row r="88916" s="12" customFormat="1" x14ac:dyDescent="0.25"/>
    <row r="88917" s="12" customFormat="1" x14ac:dyDescent="0.25"/>
    <row r="88918" s="12" customFormat="1" x14ac:dyDescent="0.25"/>
    <row r="88919" s="12" customFormat="1" x14ac:dyDescent="0.25"/>
    <row r="88920" s="12" customFormat="1" x14ac:dyDescent="0.25"/>
    <row r="88921" s="12" customFormat="1" x14ac:dyDescent="0.25"/>
    <row r="88922" s="12" customFormat="1" x14ac:dyDescent="0.25"/>
    <row r="88923" s="12" customFormat="1" x14ac:dyDescent="0.25"/>
    <row r="88924" s="12" customFormat="1" x14ac:dyDescent="0.25"/>
    <row r="88925" s="12" customFormat="1" x14ac:dyDescent="0.25"/>
    <row r="88926" s="12" customFormat="1" x14ac:dyDescent="0.25"/>
    <row r="88927" s="12" customFormat="1" x14ac:dyDescent="0.25"/>
    <row r="88928" s="12" customFormat="1" x14ac:dyDescent="0.25"/>
    <row r="88929" s="12" customFormat="1" x14ac:dyDescent="0.25"/>
    <row r="88930" s="12" customFormat="1" x14ac:dyDescent="0.25"/>
    <row r="88931" s="12" customFormat="1" x14ac:dyDescent="0.25"/>
    <row r="88932" s="12" customFormat="1" x14ac:dyDescent="0.25"/>
    <row r="88933" s="12" customFormat="1" x14ac:dyDescent="0.25"/>
    <row r="88934" s="12" customFormat="1" x14ac:dyDescent="0.25"/>
    <row r="88935" s="12" customFormat="1" x14ac:dyDescent="0.25"/>
    <row r="88936" s="12" customFormat="1" x14ac:dyDescent="0.25"/>
    <row r="88937" s="12" customFormat="1" x14ac:dyDescent="0.25"/>
    <row r="88938" s="12" customFormat="1" x14ac:dyDescent="0.25"/>
    <row r="88939" s="12" customFormat="1" x14ac:dyDescent="0.25"/>
    <row r="88940" s="12" customFormat="1" x14ac:dyDescent="0.25"/>
    <row r="88941" s="12" customFormat="1" x14ac:dyDescent="0.25"/>
    <row r="88942" s="12" customFormat="1" x14ac:dyDescent="0.25"/>
    <row r="88943" s="12" customFormat="1" x14ac:dyDescent="0.25"/>
    <row r="88944" s="12" customFormat="1" x14ac:dyDescent="0.25"/>
    <row r="88945" s="12" customFormat="1" x14ac:dyDescent="0.25"/>
    <row r="88946" s="12" customFormat="1" x14ac:dyDescent="0.25"/>
    <row r="88947" s="12" customFormat="1" x14ac:dyDescent="0.25"/>
    <row r="88948" s="12" customFormat="1" x14ac:dyDescent="0.25"/>
    <row r="88949" s="12" customFormat="1" x14ac:dyDescent="0.25"/>
    <row r="88950" s="12" customFormat="1" x14ac:dyDescent="0.25"/>
    <row r="88951" s="12" customFormat="1" x14ac:dyDescent="0.25"/>
    <row r="88952" s="12" customFormat="1" x14ac:dyDescent="0.25"/>
    <row r="88953" s="12" customFormat="1" x14ac:dyDescent="0.25"/>
    <row r="88954" s="12" customFormat="1" x14ac:dyDescent="0.25"/>
    <row r="88955" s="12" customFormat="1" x14ac:dyDescent="0.25"/>
    <row r="88956" s="12" customFormat="1" x14ac:dyDescent="0.25"/>
    <row r="88957" s="12" customFormat="1" x14ac:dyDescent="0.25"/>
    <row r="88958" s="12" customFormat="1" x14ac:dyDescent="0.25"/>
    <row r="88959" s="12" customFormat="1" x14ac:dyDescent="0.25"/>
    <row r="88960" s="12" customFormat="1" x14ac:dyDescent="0.25"/>
    <row r="88961" s="12" customFormat="1" x14ac:dyDescent="0.25"/>
    <row r="88962" s="12" customFormat="1" x14ac:dyDescent="0.25"/>
    <row r="88963" s="12" customFormat="1" x14ac:dyDescent="0.25"/>
    <row r="88964" s="12" customFormat="1" x14ac:dyDescent="0.25"/>
    <row r="88965" s="12" customFormat="1" x14ac:dyDescent="0.25"/>
    <row r="88966" s="12" customFormat="1" x14ac:dyDescent="0.25"/>
    <row r="88967" s="12" customFormat="1" x14ac:dyDescent="0.25"/>
    <row r="88968" s="12" customFormat="1" x14ac:dyDescent="0.25"/>
    <row r="88969" s="12" customFormat="1" x14ac:dyDescent="0.25"/>
    <row r="88970" s="12" customFormat="1" x14ac:dyDescent="0.25"/>
    <row r="88971" s="12" customFormat="1" x14ac:dyDescent="0.25"/>
    <row r="88972" s="12" customFormat="1" x14ac:dyDescent="0.25"/>
    <row r="88973" s="12" customFormat="1" x14ac:dyDescent="0.25"/>
    <row r="88974" s="12" customFormat="1" x14ac:dyDescent="0.25"/>
    <row r="88975" s="12" customFormat="1" x14ac:dyDescent="0.25"/>
    <row r="88976" s="12" customFormat="1" x14ac:dyDescent="0.25"/>
    <row r="88977" s="12" customFormat="1" x14ac:dyDescent="0.25"/>
    <row r="88978" s="12" customFormat="1" x14ac:dyDescent="0.25"/>
    <row r="88979" s="12" customFormat="1" x14ac:dyDescent="0.25"/>
    <row r="88980" s="12" customFormat="1" x14ac:dyDescent="0.25"/>
    <row r="88981" s="12" customFormat="1" x14ac:dyDescent="0.25"/>
    <row r="88982" s="12" customFormat="1" x14ac:dyDescent="0.25"/>
    <row r="88983" s="12" customFormat="1" x14ac:dyDescent="0.25"/>
    <row r="88984" s="12" customFormat="1" x14ac:dyDescent="0.25"/>
    <row r="88985" s="12" customFormat="1" x14ac:dyDescent="0.25"/>
    <row r="88986" s="12" customFormat="1" x14ac:dyDescent="0.25"/>
    <row r="88987" s="12" customFormat="1" x14ac:dyDescent="0.25"/>
    <row r="88988" s="12" customFormat="1" x14ac:dyDescent="0.25"/>
    <row r="88989" s="12" customFormat="1" x14ac:dyDescent="0.25"/>
    <row r="88990" s="12" customFormat="1" x14ac:dyDescent="0.25"/>
    <row r="88991" s="12" customFormat="1" x14ac:dyDescent="0.25"/>
    <row r="88992" s="12" customFormat="1" x14ac:dyDescent="0.25"/>
    <row r="88993" s="12" customFormat="1" x14ac:dyDescent="0.25"/>
    <row r="88994" s="12" customFormat="1" x14ac:dyDescent="0.25"/>
    <row r="88995" s="12" customFormat="1" x14ac:dyDescent="0.25"/>
    <row r="88996" s="12" customFormat="1" x14ac:dyDescent="0.25"/>
    <row r="88997" s="12" customFormat="1" x14ac:dyDescent="0.25"/>
    <row r="88998" s="12" customFormat="1" x14ac:dyDescent="0.25"/>
    <row r="88999" s="12" customFormat="1" x14ac:dyDescent="0.25"/>
    <row r="89000" s="12" customFormat="1" x14ac:dyDescent="0.25"/>
    <row r="89001" s="12" customFormat="1" x14ac:dyDescent="0.25"/>
    <row r="89002" s="12" customFormat="1" x14ac:dyDescent="0.25"/>
    <row r="89003" s="12" customFormat="1" x14ac:dyDescent="0.25"/>
    <row r="89004" s="12" customFormat="1" x14ac:dyDescent="0.25"/>
    <row r="89005" s="12" customFormat="1" x14ac:dyDescent="0.25"/>
    <row r="89006" s="12" customFormat="1" x14ac:dyDescent="0.25"/>
    <row r="89007" s="12" customFormat="1" x14ac:dyDescent="0.25"/>
    <row r="89008" s="12" customFormat="1" x14ac:dyDescent="0.25"/>
    <row r="89009" s="12" customFormat="1" x14ac:dyDescent="0.25"/>
    <row r="89010" s="12" customFormat="1" x14ac:dyDescent="0.25"/>
    <row r="89011" s="12" customFormat="1" x14ac:dyDescent="0.25"/>
    <row r="89012" s="12" customFormat="1" x14ac:dyDescent="0.25"/>
    <row r="89013" s="12" customFormat="1" x14ac:dyDescent="0.25"/>
    <row r="89014" s="12" customFormat="1" x14ac:dyDescent="0.25"/>
    <row r="89015" s="12" customFormat="1" x14ac:dyDescent="0.25"/>
    <row r="89016" s="12" customFormat="1" x14ac:dyDescent="0.25"/>
    <row r="89017" s="12" customFormat="1" x14ac:dyDescent="0.25"/>
    <row r="89018" s="12" customFormat="1" x14ac:dyDescent="0.25"/>
    <row r="89019" s="12" customFormat="1" x14ac:dyDescent="0.25"/>
    <row r="89020" s="12" customFormat="1" x14ac:dyDescent="0.25"/>
    <row r="89021" s="12" customFormat="1" x14ac:dyDescent="0.25"/>
    <row r="89022" s="12" customFormat="1" x14ac:dyDescent="0.25"/>
    <row r="89023" s="12" customFormat="1" x14ac:dyDescent="0.25"/>
    <row r="89024" s="12" customFormat="1" x14ac:dyDescent="0.25"/>
    <row r="89025" s="12" customFormat="1" x14ac:dyDescent="0.25"/>
    <row r="89026" s="12" customFormat="1" x14ac:dyDescent="0.25"/>
    <row r="89027" s="12" customFormat="1" x14ac:dyDescent="0.25"/>
    <row r="89028" s="12" customFormat="1" x14ac:dyDescent="0.25"/>
    <row r="89029" s="12" customFormat="1" x14ac:dyDescent="0.25"/>
    <row r="89030" s="12" customFormat="1" x14ac:dyDescent="0.25"/>
    <row r="89031" s="12" customFormat="1" x14ac:dyDescent="0.25"/>
    <row r="89032" s="12" customFormat="1" x14ac:dyDescent="0.25"/>
    <row r="89033" s="12" customFormat="1" x14ac:dyDescent="0.25"/>
    <row r="89034" s="12" customFormat="1" x14ac:dyDescent="0.25"/>
    <row r="89035" s="12" customFormat="1" x14ac:dyDescent="0.25"/>
    <row r="89036" s="12" customFormat="1" x14ac:dyDescent="0.25"/>
    <row r="89037" s="12" customFormat="1" x14ac:dyDescent="0.25"/>
    <row r="89038" s="12" customFormat="1" x14ac:dyDescent="0.25"/>
    <row r="89039" s="12" customFormat="1" x14ac:dyDescent="0.25"/>
    <row r="89040" s="12" customFormat="1" x14ac:dyDescent="0.25"/>
    <row r="89041" s="12" customFormat="1" x14ac:dyDescent="0.25"/>
    <row r="89042" s="12" customFormat="1" x14ac:dyDescent="0.25"/>
    <row r="89043" s="12" customFormat="1" x14ac:dyDescent="0.25"/>
    <row r="89044" s="12" customFormat="1" x14ac:dyDescent="0.25"/>
    <row r="89045" s="12" customFormat="1" x14ac:dyDescent="0.25"/>
    <row r="89046" s="12" customFormat="1" x14ac:dyDescent="0.25"/>
    <row r="89047" s="12" customFormat="1" x14ac:dyDescent="0.25"/>
    <row r="89048" s="12" customFormat="1" x14ac:dyDescent="0.25"/>
    <row r="89049" s="12" customFormat="1" x14ac:dyDescent="0.25"/>
    <row r="89050" s="12" customFormat="1" x14ac:dyDescent="0.25"/>
    <row r="89051" s="12" customFormat="1" x14ac:dyDescent="0.25"/>
    <row r="89052" s="12" customFormat="1" x14ac:dyDescent="0.25"/>
    <row r="89053" s="12" customFormat="1" x14ac:dyDescent="0.25"/>
    <row r="89054" s="12" customFormat="1" x14ac:dyDescent="0.25"/>
    <row r="89055" s="12" customFormat="1" x14ac:dyDescent="0.25"/>
    <row r="89056" s="12" customFormat="1" x14ac:dyDescent="0.25"/>
    <row r="89057" s="12" customFormat="1" x14ac:dyDescent="0.25"/>
    <row r="89058" s="12" customFormat="1" x14ac:dyDescent="0.25"/>
    <row r="89059" s="12" customFormat="1" x14ac:dyDescent="0.25"/>
    <row r="89060" s="12" customFormat="1" x14ac:dyDescent="0.25"/>
    <row r="89061" s="12" customFormat="1" x14ac:dyDescent="0.25"/>
    <row r="89062" s="12" customFormat="1" x14ac:dyDescent="0.25"/>
    <row r="89063" s="12" customFormat="1" x14ac:dyDescent="0.25"/>
    <row r="89064" s="12" customFormat="1" x14ac:dyDescent="0.25"/>
    <row r="89065" s="12" customFormat="1" x14ac:dyDescent="0.25"/>
    <row r="89066" s="12" customFormat="1" x14ac:dyDescent="0.25"/>
    <row r="89067" s="12" customFormat="1" x14ac:dyDescent="0.25"/>
    <row r="89068" s="12" customFormat="1" x14ac:dyDescent="0.25"/>
    <row r="89069" s="12" customFormat="1" x14ac:dyDescent="0.25"/>
    <row r="89070" s="12" customFormat="1" x14ac:dyDescent="0.25"/>
    <row r="89071" s="12" customFormat="1" x14ac:dyDescent="0.25"/>
    <row r="89072" s="12" customFormat="1" x14ac:dyDescent="0.25"/>
    <row r="89073" s="12" customFormat="1" x14ac:dyDescent="0.25"/>
    <row r="89074" s="12" customFormat="1" x14ac:dyDescent="0.25"/>
    <row r="89075" s="12" customFormat="1" x14ac:dyDescent="0.25"/>
    <row r="89076" s="12" customFormat="1" x14ac:dyDescent="0.25"/>
    <row r="89077" s="12" customFormat="1" x14ac:dyDescent="0.25"/>
    <row r="89078" s="12" customFormat="1" x14ac:dyDescent="0.25"/>
    <row r="89079" s="12" customFormat="1" x14ac:dyDescent="0.25"/>
    <row r="89080" s="12" customFormat="1" x14ac:dyDescent="0.25"/>
    <row r="89081" s="12" customFormat="1" x14ac:dyDescent="0.25"/>
    <row r="89082" s="12" customFormat="1" x14ac:dyDescent="0.25"/>
    <row r="89083" s="12" customFormat="1" x14ac:dyDescent="0.25"/>
    <row r="89084" s="12" customFormat="1" x14ac:dyDescent="0.25"/>
    <row r="89085" s="12" customFormat="1" x14ac:dyDescent="0.25"/>
    <row r="89086" s="12" customFormat="1" x14ac:dyDescent="0.25"/>
    <row r="89087" s="12" customFormat="1" x14ac:dyDescent="0.25"/>
    <row r="89088" s="12" customFormat="1" x14ac:dyDescent="0.25"/>
    <row r="89089" s="12" customFormat="1" x14ac:dyDescent="0.25"/>
    <row r="89090" s="12" customFormat="1" x14ac:dyDescent="0.25"/>
    <row r="89091" s="12" customFormat="1" x14ac:dyDescent="0.25"/>
    <row r="89092" s="12" customFormat="1" x14ac:dyDescent="0.25"/>
    <row r="89093" s="12" customFormat="1" x14ac:dyDescent="0.25"/>
    <row r="89094" s="12" customFormat="1" x14ac:dyDescent="0.25"/>
    <row r="89095" s="12" customFormat="1" x14ac:dyDescent="0.25"/>
    <row r="89096" s="12" customFormat="1" x14ac:dyDescent="0.25"/>
    <row r="89097" s="12" customFormat="1" x14ac:dyDescent="0.25"/>
    <row r="89098" s="12" customFormat="1" x14ac:dyDescent="0.25"/>
    <row r="89099" s="12" customFormat="1" x14ac:dyDescent="0.25"/>
    <row r="89100" s="12" customFormat="1" x14ac:dyDescent="0.25"/>
    <row r="89101" s="12" customFormat="1" x14ac:dyDescent="0.25"/>
    <row r="89102" s="12" customFormat="1" x14ac:dyDescent="0.25"/>
    <row r="89103" s="12" customFormat="1" x14ac:dyDescent="0.25"/>
    <row r="89104" s="12" customFormat="1" x14ac:dyDescent="0.25"/>
    <row r="89105" s="12" customFormat="1" x14ac:dyDescent="0.25"/>
    <row r="89106" s="12" customFormat="1" x14ac:dyDescent="0.25"/>
    <row r="89107" s="12" customFormat="1" x14ac:dyDescent="0.25"/>
    <row r="89108" s="12" customFormat="1" x14ac:dyDescent="0.25"/>
    <row r="89109" s="12" customFormat="1" x14ac:dyDescent="0.25"/>
    <row r="89110" s="12" customFormat="1" x14ac:dyDescent="0.25"/>
    <row r="89111" s="12" customFormat="1" x14ac:dyDescent="0.25"/>
    <row r="89112" s="12" customFormat="1" x14ac:dyDescent="0.25"/>
    <row r="89113" s="12" customFormat="1" x14ac:dyDescent="0.25"/>
    <row r="89114" s="12" customFormat="1" x14ac:dyDescent="0.25"/>
    <row r="89115" s="12" customFormat="1" x14ac:dyDescent="0.25"/>
    <row r="89116" s="12" customFormat="1" x14ac:dyDescent="0.25"/>
    <row r="89117" s="12" customFormat="1" x14ac:dyDescent="0.25"/>
    <row r="89118" s="12" customFormat="1" x14ac:dyDescent="0.25"/>
    <row r="89119" s="12" customFormat="1" x14ac:dyDescent="0.25"/>
    <row r="89120" s="12" customFormat="1" x14ac:dyDescent="0.25"/>
    <row r="89121" s="12" customFormat="1" x14ac:dyDescent="0.25"/>
    <row r="89122" s="12" customFormat="1" x14ac:dyDescent="0.25"/>
    <row r="89123" s="12" customFormat="1" x14ac:dyDescent="0.25"/>
    <row r="89124" s="12" customFormat="1" x14ac:dyDescent="0.25"/>
    <row r="89125" s="12" customFormat="1" x14ac:dyDescent="0.25"/>
    <row r="89126" s="12" customFormat="1" x14ac:dyDescent="0.25"/>
    <row r="89127" s="12" customFormat="1" x14ac:dyDescent="0.25"/>
    <row r="89128" s="12" customFormat="1" x14ac:dyDescent="0.25"/>
    <row r="89129" s="12" customFormat="1" x14ac:dyDescent="0.25"/>
    <row r="89130" s="12" customFormat="1" x14ac:dyDescent="0.25"/>
    <row r="89131" s="12" customFormat="1" x14ac:dyDescent="0.25"/>
    <row r="89132" s="12" customFormat="1" x14ac:dyDescent="0.25"/>
    <row r="89133" s="12" customFormat="1" x14ac:dyDescent="0.25"/>
    <row r="89134" s="12" customFormat="1" x14ac:dyDescent="0.25"/>
    <row r="89135" s="12" customFormat="1" x14ac:dyDescent="0.25"/>
    <row r="89136" s="12" customFormat="1" x14ac:dyDescent="0.25"/>
    <row r="89137" s="12" customFormat="1" x14ac:dyDescent="0.25"/>
    <row r="89138" s="12" customFormat="1" x14ac:dyDescent="0.25"/>
    <row r="89139" s="12" customFormat="1" x14ac:dyDescent="0.25"/>
    <row r="89140" s="12" customFormat="1" x14ac:dyDescent="0.25"/>
    <row r="89141" s="12" customFormat="1" x14ac:dyDescent="0.25"/>
    <row r="89142" s="12" customFormat="1" x14ac:dyDescent="0.25"/>
    <row r="89143" s="12" customFormat="1" x14ac:dyDescent="0.25"/>
    <row r="89144" s="12" customFormat="1" x14ac:dyDescent="0.25"/>
    <row r="89145" s="12" customFormat="1" x14ac:dyDescent="0.25"/>
    <row r="89146" s="12" customFormat="1" x14ac:dyDescent="0.25"/>
    <row r="89147" s="12" customFormat="1" x14ac:dyDescent="0.25"/>
    <row r="89148" s="12" customFormat="1" x14ac:dyDescent="0.25"/>
    <row r="89149" s="12" customFormat="1" x14ac:dyDescent="0.25"/>
    <row r="89150" s="12" customFormat="1" x14ac:dyDescent="0.25"/>
    <row r="89151" s="12" customFormat="1" x14ac:dyDescent="0.25"/>
    <row r="89152" s="12" customFormat="1" x14ac:dyDescent="0.25"/>
    <row r="89153" s="12" customFormat="1" x14ac:dyDescent="0.25"/>
    <row r="89154" s="12" customFormat="1" x14ac:dyDescent="0.25"/>
    <row r="89155" s="12" customFormat="1" x14ac:dyDescent="0.25"/>
    <row r="89156" s="12" customFormat="1" x14ac:dyDescent="0.25"/>
    <row r="89157" s="12" customFormat="1" x14ac:dyDescent="0.25"/>
    <row r="89158" s="12" customFormat="1" x14ac:dyDescent="0.25"/>
    <row r="89159" s="12" customFormat="1" x14ac:dyDescent="0.25"/>
    <row r="89160" s="12" customFormat="1" x14ac:dyDescent="0.25"/>
    <row r="89161" s="12" customFormat="1" x14ac:dyDescent="0.25"/>
    <row r="89162" s="12" customFormat="1" x14ac:dyDescent="0.25"/>
    <row r="89163" s="12" customFormat="1" x14ac:dyDescent="0.25"/>
    <row r="89164" s="12" customFormat="1" x14ac:dyDescent="0.25"/>
    <row r="89165" s="12" customFormat="1" x14ac:dyDescent="0.25"/>
    <row r="89166" s="12" customFormat="1" x14ac:dyDescent="0.25"/>
    <row r="89167" s="12" customFormat="1" x14ac:dyDescent="0.25"/>
    <row r="89168" s="12" customFormat="1" x14ac:dyDescent="0.25"/>
    <row r="89169" s="12" customFormat="1" x14ac:dyDescent="0.25"/>
    <row r="89170" s="12" customFormat="1" x14ac:dyDescent="0.25"/>
    <row r="89171" s="12" customFormat="1" x14ac:dyDescent="0.25"/>
    <row r="89172" s="12" customFormat="1" x14ac:dyDescent="0.25"/>
    <row r="89173" s="12" customFormat="1" x14ac:dyDescent="0.25"/>
    <row r="89174" s="12" customFormat="1" x14ac:dyDescent="0.25"/>
    <row r="89175" s="12" customFormat="1" x14ac:dyDescent="0.25"/>
    <row r="89176" s="12" customFormat="1" x14ac:dyDescent="0.25"/>
    <row r="89177" s="12" customFormat="1" x14ac:dyDescent="0.25"/>
    <row r="89178" s="12" customFormat="1" x14ac:dyDescent="0.25"/>
    <row r="89179" s="12" customFormat="1" x14ac:dyDescent="0.25"/>
    <row r="89180" s="12" customFormat="1" x14ac:dyDescent="0.25"/>
    <row r="89181" s="12" customFormat="1" x14ac:dyDescent="0.25"/>
    <row r="89182" s="12" customFormat="1" x14ac:dyDescent="0.25"/>
    <row r="89183" s="12" customFormat="1" x14ac:dyDescent="0.25"/>
    <row r="89184" s="12" customFormat="1" x14ac:dyDescent="0.25"/>
    <row r="89185" s="12" customFormat="1" x14ac:dyDescent="0.25"/>
    <row r="89186" s="12" customFormat="1" x14ac:dyDescent="0.25"/>
    <row r="89187" s="12" customFormat="1" x14ac:dyDescent="0.25"/>
    <row r="89188" s="12" customFormat="1" x14ac:dyDescent="0.25"/>
    <row r="89189" s="12" customFormat="1" x14ac:dyDescent="0.25"/>
    <row r="89190" s="12" customFormat="1" x14ac:dyDescent="0.25"/>
    <row r="89191" s="12" customFormat="1" x14ac:dyDescent="0.25"/>
    <row r="89192" s="12" customFormat="1" x14ac:dyDescent="0.25"/>
    <row r="89193" s="12" customFormat="1" x14ac:dyDescent="0.25"/>
    <row r="89194" s="12" customFormat="1" x14ac:dyDescent="0.25"/>
    <row r="89195" s="12" customFormat="1" x14ac:dyDescent="0.25"/>
    <row r="89196" s="12" customFormat="1" x14ac:dyDescent="0.25"/>
    <row r="89197" s="12" customFormat="1" x14ac:dyDescent="0.25"/>
    <row r="89198" s="12" customFormat="1" x14ac:dyDescent="0.25"/>
    <row r="89199" s="12" customFormat="1" x14ac:dyDescent="0.25"/>
    <row r="89200" s="12" customFormat="1" x14ac:dyDescent="0.25"/>
    <row r="89201" s="12" customFormat="1" x14ac:dyDescent="0.25"/>
    <row r="89202" s="12" customFormat="1" x14ac:dyDescent="0.25"/>
    <row r="89203" s="12" customFormat="1" x14ac:dyDescent="0.25"/>
    <row r="89204" s="12" customFormat="1" x14ac:dyDescent="0.25"/>
    <row r="89205" s="12" customFormat="1" x14ac:dyDescent="0.25"/>
    <row r="89206" s="12" customFormat="1" x14ac:dyDescent="0.25"/>
    <row r="89207" s="12" customFormat="1" x14ac:dyDescent="0.25"/>
    <row r="89208" s="12" customFormat="1" x14ac:dyDescent="0.25"/>
    <row r="89209" s="12" customFormat="1" x14ac:dyDescent="0.25"/>
    <row r="89210" s="12" customFormat="1" x14ac:dyDescent="0.25"/>
    <row r="89211" s="12" customFormat="1" x14ac:dyDescent="0.25"/>
    <row r="89212" s="12" customFormat="1" x14ac:dyDescent="0.25"/>
    <row r="89213" s="12" customFormat="1" x14ac:dyDescent="0.25"/>
    <row r="89214" s="12" customFormat="1" x14ac:dyDescent="0.25"/>
    <row r="89215" s="12" customFormat="1" x14ac:dyDescent="0.25"/>
    <row r="89216" s="12" customFormat="1" x14ac:dyDescent="0.25"/>
    <row r="89217" s="12" customFormat="1" x14ac:dyDescent="0.25"/>
    <row r="89218" s="12" customFormat="1" x14ac:dyDescent="0.25"/>
    <row r="89219" s="12" customFormat="1" x14ac:dyDescent="0.25"/>
    <row r="89220" s="12" customFormat="1" x14ac:dyDescent="0.25"/>
    <row r="89221" s="12" customFormat="1" x14ac:dyDescent="0.25"/>
    <row r="89222" s="12" customFormat="1" x14ac:dyDescent="0.25"/>
    <row r="89223" s="12" customFormat="1" x14ac:dyDescent="0.25"/>
    <row r="89224" s="12" customFormat="1" x14ac:dyDescent="0.25"/>
    <row r="89225" s="12" customFormat="1" x14ac:dyDescent="0.25"/>
    <row r="89226" s="12" customFormat="1" x14ac:dyDescent="0.25"/>
    <row r="89227" s="12" customFormat="1" x14ac:dyDescent="0.25"/>
    <row r="89228" s="12" customFormat="1" x14ac:dyDescent="0.25"/>
    <row r="89229" s="12" customFormat="1" x14ac:dyDescent="0.25"/>
    <row r="89230" s="12" customFormat="1" x14ac:dyDescent="0.25"/>
    <row r="89231" s="12" customFormat="1" x14ac:dyDescent="0.25"/>
    <row r="89232" s="12" customFormat="1" x14ac:dyDescent="0.25"/>
    <row r="89233" s="12" customFormat="1" x14ac:dyDescent="0.25"/>
    <row r="89234" s="12" customFormat="1" x14ac:dyDescent="0.25"/>
    <row r="89235" s="12" customFormat="1" x14ac:dyDescent="0.25"/>
    <row r="89236" s="12" customFormat="1" x14ac:dyDescent="0.25"/>
    <row r="89237" s="12" customFormat="1" x14ac:dyDescent="0.25"/>
    <row r="89238" s="12" customFormat="1" x14ac:dyDescent="0.25"/>
    <row r="89239" s="12" customFormat="1" x14ac:dyDescent="0.25"/>
    <row r="89240" s="12" customFormat="1" x14ac:dyDescent="0.25"/>
    <row r="89241" s="12" customFormat="1" x14ac:dyDescent="0.25"/>
    <row r="89242" s="12" customFormat="1" x14ac:dyDescent="0.25"/>
    <row r="89243" s="12" customFormat="1" x14ac:dyDescent="0.25"/>
    <row r="89244" s="12" customFormat="1" x14ac:dyDescent="0.25"/>
    <row r="89245" s="12" customFormat="1" x14ac:dyDescent="0.25"/>
    <row r="89246" s="12" customFormat="1" x14ac:dyDescent="0.25"/>
    <row r="89247" s="12" customFormat="1" x14ac:dyDescent="0.25"/>
    <row r="89248" s="12" customFormat="1" x14ac:dyDescent="0.25"/>
    <row r="89249" s="12" customFormat="1" x14ac:dyDescent="0.25"/>
    <row r="89250" s="12" customFormat="1" x14ac:dyDescent="0.25"/>
    <row r="89251" s="12" customFormat="1" x14ac:dyDescent="0.25"/>
    <row r="89252" s="12" customFormat="1" x14ac:dyDescent="0.25"/>
    <row r="89253" s="12" customFormat="1" x14ac:dyDescent="0.25"/>
    <row r="89254" s="12" customFormat="1" x14ac:dyDescent="0.25"/>
    <row r="89255" s="12" customFormat="1" x14ac:dyDescent="0.25"/>
    <row r="89256" s="12" customFormat="1" x14ac:dyDescent="0.25"/>
    <row r="89257" s="12" customFormat="1" x14ac:dyDescent="0.25"/>
    <row r="89258" s="12" customFormat="1" x14ac:dyDescent="0.25"/>
    <row r="89259" s="12" customFormat="1" x14ac:dyDescent="0.25"/>
    <row r="89260" s="12" customFormat="1" x14ac:dyDescent="0.25"/>
    <row r="89261" s="12" customFormat="1" x14ac:dyDescent="0.25"/>
    <row r="89262" s="12" customFormat="1" x14ac:dyDescent="0.25"/>
    <row r="89263" s="12" customFormat="1" x14ac:dyDescent="0.25"/>
    <row r="89264" s="12" customFormat="1" x14ac:dyDescent="0.25"/>
    <row r="89265" s="12" customFormat="1" x14ac:dyDescent="0.25"/>
    <row r="89266" s="12" customFormat="1" x14ac:dyDescent="0.25"/>
    <row r="89267" s="12" customFormat="1" x14ac:dyDescent="0.25"/>
    <row r="89268" s="12" customFormat="1" x14ac:dyDescent="0.25"/>
    <row r="89269" s="12" customFormat="1" x14ac:dyDescent="0.25"/>
    <row r="89270" s="12" customFormat="1" x14ac:dyDescent="0.25"/>
    <row r="89271" s="12" customFormat="1" x14ac:dyDescent="0.25"/>
    <row r="89272" s="12" customFormat="1" x14ac:dyDescent="0.25"/>
    <row r="89273" s="12" customFormat="1" x14ac:dyDescent="0.25"/>
    <row r="89274" s="12" customFormat="1" x14ac:dyDescent="0.25"/>
    <row r="89275" s="12" customFormat="1" x14ac:dyDescent="0.25"/>
    <row r="89276" s="12" customFormat="1" x14ac:dyDescent="0.25"/>
    <row r="89277" s="12" customFormat="1" x14ac:dyDescent="0.25"/>
    <row r="89278" s="12" customFormat="1" x14ac:dyDescent="0.25"/>
    <row r="89279" s="12" customFormat="1" x14ac:dyDescent="0.25"/>
    <row r="89280" s="12" customFormat="1" x14ac:dyDescent="0.25"/>
    <row r="89281" s="12" customFormat="1" x14ac:dyDescent="0.25"/>
    <row r="89282" s="12" customFormat="1" x14ac:dyDescent="0.25"/>
    <row r="89283" s="12" customFormat="1" x14ac:dyDescent="0.25"/>
    <row r="89284" s="12" customFormat="1" x14ac:dyDescent="0.25"/>
    <row r="89285" s="12" customFormat="1" x14ac:dyDescent="0.25"/>
    <row r="89286" s="12" customFormat="1" x14ac:dyDescent="0.25"/>
    <row r="89287" s="12" customFormat="1" x14ac:dyDescent="0.25"/>
    <row r="89288" s="12" customFormat="1" x14ac:dyDescent="0.25"/>
    <row r="89289" s="12" customFormat="1" x14ac:dyDescent="0.25"/>
    <row r="89290" s="12" customFormat="1" x14ac:dyDescent="0.25"/>
    <row r="89291" s="12" customFormat="1" x14ac:dyDescent="0.25"/>
    <row r="89292" s="12" customFormat="1" x14ac:dyDescent="0.25"/>
    <row r="89293" s="12" customFormat="1" x14ac:dyDescent="0.25"/>
    <row r="89294" s="12" customFormat="1" x14ac:dyDescent="0.25"/>
    <row r="89295" s="12" customFormat="1" x14ac:dyDescent="0.25"/>
    <row r="89296" s="12" customFormat="1" x14ac:dyDescent="0.25"/>
    <row r="89297" s="12" customFormat="1" x14ac:dyDescent="0.25"/>
    <row r="89298" s="12" customFormat="1" x14ac:dyDescent="0.25"/>
    <row r="89299" s="12" customFormat="1" x14ac:dyDescent="0.25"/>
    <row r="89300" s="12" customFormat="1" x14ac:dyDescent="0.25"/>
    <row r="89301" s="12" customFormat="1" x14ac:dyDescent="0.25"/>
    <row r="89302" s="12" customFormat="1" x14ac:dyDescent="0.25"/>
    <row r="89303" s="12" customFormat="1" x14ac:dyDescent="0.25"/>
    <row r="89304" s="12" customFormat="1" x14ac:dyDescent="0.25"/>
    <row r="89305" s="12" customFormat="1" x14ac:dyDescent="0.25"/>
    <row r="89306" s="12" customFormat="1" x14ac:dyDescent="0.25"/>
    <row r="89307" s="12" customFormat="1" x14ac:dyDescent="0.25"/>
    <row r="89308" s="12" customFormat="1" x14ac:dyDescent="0.25"/>
    <row r="89309" s="12" customFormat="1" x14ac:dyDescent="0.25"/>
    <row r="89310" s="12" customFormat="1" x14ac:dyDescent="0.25"/>
    <row r="89311" s="12" customFormat="1" x14ac:dyDescent="0.25"/>
    <row r="89312" s="12" customFormat="1" x14ac:dyDescent="0.25"/>
    <row r="89313" s="12" customFormat="1" x14ac:dyDescent="0.25"/>
    <row r="89314" s="12" customFormat="1" x14ac:dyDescent="0.25"/>
    <row r="89315" s="12" customFormat="1" x14ac:dyDescent="0.25"/>
    <row r="89316" s="12" customFormat="1" x14ac:dyDescent="0.25"/>
    <row r="89317" s="12" customFormat="1" x14ac:dyDescent="0.25"/>
    <row r="89318" s="12" customFormat="1" x14ac:dyDescent="0.25"/>
    <row r="89319" s="12" customFormat="1" x14ac:dyDescent="0.25"/>
    <row r="89320" s="12" customFormat="1" x14ac:dyDescent="0.25"/>
    <row r="89321" s="12" customFormat="1" x14ac:dyDescent="0.25"/>
    <row r="89322" s="12" customFormat="1" x14ac:dyDescent="0.25"/>
    <row r="89323" s="12" customFormat="1" x14ac:dyDescent="0.25"/>
    <row r="89324" s="12" customFormat="1" x14ac:dyDescent="0.25"/>
    <row r="89325" s="12" customFormat="1" x14ac:dyDescent="0.25"/>
    <row r="89326" s="12" customFormat="1" x14ac:dyDescent="0.25"/>
    <row r="89327" s="12" customFormat="1" x14ac:dyDescent="0.25"/>
    <row r="89328" s="12" customFormat="1" x14ac:dyDescent="0.25"/>
    <row r="89329" s="12" customFormat="1" x14ac:dyDescent="0.25"/>
    <row r="89330" s="12" customFormat="1" x14ac:dyDescent="0.25"/>
    <row r="89331" s="12" customFormat="1" x14ac:dyDescent="0.25"/>
    <row r="89332" s="12" customFormat="1" x14ac:dyDescent="0.25"/>
    <row r="89333" s="12" customFormat="1" x14ac:dyDescent="0.25"/>
    <row r="89334" s="12" customFormat="1" x14ac:dyDescent="0.25"/>
    <row r="89335" s="12" customFormat="1" x14ac:dyDescent="0.25"/>
    <row r="89336" s="12" customFormat="1" x14ac:dyDescent="0.25"/>
    <row r="89337" s="12" customFormat="1" x14ac:dyDescent="0.25"/>
    <row r="89338" s="12" customFormat="1" x14ac:dyDescent="0.25"/>
    <row r="89339" s="12" customFormat="1" x14ac:dyDescent="0.25"/>
    <row r="89340" s="12" customFormat="1" x14ac:dyDescent="0.25"/>
    <row r="89341" s="12" customFormat="1" x14ac:dyDescent="0.25"/>
    <row r="89342" s="12" customFormat="1" x14ac:dyDescent="0.25"/>
    <row r="89343" s="12" customFormat="1" x14ac:dyDescent="0.25"/>
    <row r="89344" s="12" customFormat="1" x14ac:dyDescent="0.25"/>
    <row r="89345" s="12" customFormat="1" x14ac:dyDescent="0.25"/>
    <row r="89346" s="12" customFormat="1" x14ac:dyDescent="0.25"/>
    <row r="89347" s="12" customFormat="1" x14ac:dyDescent="0.25"/>
    <row r="89348" s="12" customFormat="1" x14ac:dyDescent="0.25"/>
    <row r="89349" s="12" customFormat="1" x14ac:dyDescent="0.25"/>
    <row r="89350" s="12" customFormat="1" x14ac:dyDescent="0.25"/>
    <row r="89351" s="12" customFormat="1" x14ac:dyDescent="0.25"/>
    <row r="89352" s="12" customFormat="1" x14ac:dyDescent="0.25"/>
    <row r="89353" s="12" customFormat="1" x14ac:dyDescent="0.25"/>
    <row r="89354" s="12" customFormat="1" x14ac:dyDescent="0.25"/>
    <row r="89355" s="12" customFormat="1" x14ac:dyDescent="0.25"/>
    <row r="89356" s="12" customFormat="1" x14ac:dyDescent="0.25"/>
    <row r="89357" s="12" customFormat="1" x14ac:dyDescent="0.25"/>
    <row r="89358" s="12" customFormat="1" x14ac:dyDescent="0.25"/>
    <row r="89359" s="12" customFormat="1" x14ac:dyDescent="0.25"/>
    <row r="89360" s="12" customFormat="1" x14ac:dyDescent="0.25"/>
    <row r="89361" s="12" customFormat="1" x14ac:dyDescent="0.25"/>
    <row r="89362" s="12" customFormat="1" x14ac:dyDescent="0.25"/>
    <row r="89363" s="12" customFormat="1" x14ac:dyDescent="0.25"/>
    <row r="89364" s="12" customFormat="1" x14ac:dyDescent="0.25"/>
    <row r="89365" s="12" customFormat="1" x14ac:dyDescent="0.25"/>
    <row r="89366" s="12" customFormat="1" x14ac:dyDescent="0.25"/>
    <row r="89367" s="12" customFormat="1" x14ac:dyDescent="0.25"/>
    <row r="89368" s="12" customFormat="1" x14ac:dyDescent="0.25"/>
    <row r="89369" s="12" customFormat="1" x14ac:dyDescent="0.25"/>
    <row r="89370" s="12" customFormat="1" x14ac:dyDescent="0.25"/>
    <row r="89371" s="12" customFormat="1" x14ac:dyDescent="0.25"/>
    <row r="89372" s="12" customFormat="1" x14ac:dyDescent="0.25"/>
    <row r="89373" s="12" customFormat="1" x14ac:dyDescent="0.25"/>
    <row r="89374" s="12" customFormat="1" x14ac:dyDescent="0.25"/>
    <row r="89375" s="12" customFormat="1" x14ac:dyDescent="0.25"/>
    <row r="89376" s="12" customFormat="1" x14ac:dyDescent="0.25"/>
    <row r="89377" s="12" customFormat="1" x14ac:dyDescent="0.25"/>
    <row r="89378" s="12" customFormat="1" x14ac:dyDescent="0.25"/>
    <row r="89379" s="12" customFormat="1" x14ac:dyDescent="0.25"/>
    <row r="89380" s="12" customFormat="1" x14ac:dyDescent="0.25"/>
    <row r="89381" s="12" customFormat="1" x14ac:dyDescent="0.25"/>
    <row r="89382" s="12" customFormat="1" x14ac:dyDescent="0.25"/>
    <row r="89383" s="12" customFormat="1" x14ac:dyDescent="0.25"/>
    <row r="89384" s="12" customFormat="1" x14ac:dyDescent="0.25"/>
    <row r="89385" s="12" customFormat="1" x14ac:dyDescent="0.25"/>
    <row r="89386" s="12" customFormat="1" x14ac:dyDescent="0.25"/>
    <row r="89387" s="12" customFormat="1" x14ac:dyDescent="0.25"/>
    <row r="89388" s="12" customFormat="1" x14ac:dyDescent="0.25"/>
    <row r="89389" s="12" customFormat="1" x14ac:dyDescent="0.25"/>
    <row r="89390" s="12" customFormat="1" x14ac:dyDescent="0.25"/>
    <row r="89391" s="12" customFormat="1" x14ac:dyDescent="0.25"/>
    <row r="89392" s="12" customFormat="1" x14ac:dyDescent="0.25"/>
    <row r="89393" s="12" customFormat="1" x14ac:dyDescent="0.25"/>
    <row r="89394" s="12" customFormat="1" x14ac:dyDescent="0.25"/>
    <row r="89395" s="12" customFormat="1" x14ac:dyDescent="0.25"/>
    <row r="89396" s="12" customFormat="1" x14ac:dyDescent="0.25"/>
    <row r="89397" s="12" customFormat="1" x14ac:dyDescent="0.25"/>
    <row r="89398" s="12" customFormat="1" x14ac:dyDescent="0.25"/>
    <row r="89399" s="12" customFormat="1" x14ac:dyDescent="0.25"/>
    <row r="89400" s="12" customFormat="1" x14ac:dyDescent="0.25"/>
    <row r="89401" s="12" customFormat="1" x14ac:dyDescent="0.25"/>
    <row r="89402" s="12" customFormat="1" x14ac:dyDescent="0.25"/>
    <row r="89403" s="12" customFormat="1" x14ac:dyDescent="0.25"/>
    <row r="89404" s="12" customFormat="1" x14ac:dyDescent="0.25"/>
    <row r="89405" s="12" customFormat="1" x14ac:dyDescent="0.25"/>
    <row r="89406" s="12" customFormat="1" x14ac:dyDescent="0.25"/>
    <row r="89407" s="12" customFormat="1" x14ac:dyDescent="0.25"/>
    <row r="89408" s="12" customFormat="1" x14ac:dyDescent="0.25"/>
    <row r="89409" s="12" customFormat="1" x14ac:dyDescent="0.25"/>
    <row r="89410" s="12" customFormat="1" x14ac:dyDescent="0.25"/>
    <row r="89411" s="12" customFormat="1" x14ac:dyDescent="0.25"/>
    <row r="89412" s="12" customFormat="1" x14ac:dyDescent="0.25"/>
    <row r="89413" s="12" customFormat="1" x14ac:dyDescent="0.25"/>
    <row r="89414" s="12" customFormat="1" x14ac:dyDescent="0.25"/>
    <row r="89415" s="12" customFormat="1" x14ac:dyDescent="0.25"/>
    <row r="89416" s="12" customFormat="1" x14ac:dyDescent="0.25"/>
    <row r="89417" s="12" customFormat="1" x14ac:dyDescent="0.25"/>
    <row r="89418" s="12" customFormat="1" x14ac:dyDescent="0.25"/>
    <row r="89419" s="12" customFormat="1" x14ac:dyDescent="0.25"/>
    <row r="89420" s="12" customFormat="1" x14ac:dyDescent="0.25"/>
    <row r="89421" s="12" customFormat="1" x14ac:dyDescent="0.25"/>
    <row r="89422" s="12" customFormat="1" x14ac:dyDescent="0.25"/>
    <row r="89423" s="12" customFormat="1" x14ac:dyDescent="0.25"/>
    <row r="89424" s="12" customFormat="1" x14ac:dyDescent="0.25"/>
    <row r="89425" s="12" customFormat="1" x14ac:dyDescent="0.25"/>
    <row r="89426" s="12" customFormat="1" x14ac:dyDescent="0.25"/>
    <row r="89427" s="12" customFormat="1" x14ac:dyDescent="0.25"/>
    <row r="89428" s="12" customFormat="1" x14ac:dyDescent="0.25"/>
    <row r="89429" s="12" customFormat="1" x14ac:dyDescent="0.25"/>
    <row r="89430" s="12" customFormat="1" x14ac:dyDescent="0.25"/>
    <row r="89431" s="12" customFormat="1" x14ac:dyDescent="0.25"/>
    <row r="89432" s="12" customFormat="1" x14ac:dyDescent="0.25"/>
    <row r="89433" s="12" customFormat="1" x14ac:dyDescent="0.25"/>
    <row r="89434" s="12" customFormat="1" x14ac:dyDescent="0.25"/>
    <row r="89435" s="12" customFormat="1" x14ac:dyDescent="0.25"/>
    <row r="89436" s="12" customFormat="1" x14ac:dyDescent="0.25"/>
    <row r="89437" s="12" customFormat="1" x14ac:dyDescent="0.25"/>
    <row r="89438" s="12" customFormat="1" x14ac:dyDescent="0.25"/>
    <row r="89439" s="12" customFormat="1" x14ac:dyDescent="0.25"/>
    <row r="89440" s="12" customFormat="1" x14ac:dyDescent="0.25"/>
    <row r="89441" s="12" customFormat="1" x14ac:dyDescent="0.25"/>
    <row r="89442" s="12" customFormat="1" x14ac:dyDescent="0.25"/>
    <row r="89443" s="12" customFormat="1" x14ac:dyDescent="0.25"/>
    <row r="89444" s="12" customFormat="1" x14ac:dyDescent="0.25"/>
    <row r="89445" s="12" customFormat="1" x14ac:dyDescent="0.25"/>
    <row r="89446" s="12" customFormat="1" x14ac:dyDescent="0.25"/>
    <row r="89447" s="12" customFormat="1" x14ac:dyDescent="0.25"/>
    <row r="89448" s="12" customFormat="1" x14ac:dyDescent="0.25"/>
    <row r="89449" s="12" customFormat="1" x14ac:dyDescent="0.25"/>
    <row r="89450" s="12" customFormat="1" x14ac:dyDescent="0.25"/>
    <row r="89451" s="12" customFormat="1" x14ac:dyDescent="0.25"/>
    <row r="89452" s="12" customFormat="1" x14ac:dyDescent="0.25"/>
    <row r="89453" s="12" customFormat="1" x14ac:dyDescent="0.25"/>
    <row r="89454" s="12" customFormat="1" x14ac:dyDescent="0.25"/>
    <row r="89455" s="12" customFormat="1" x14ac:dyDescent="0.25"/>
    <row r="89456" s="12" customFormat="1" x14ac:dyDescent="0.25"/>
    <row r="89457" s="12" customFormat="1" x14ac:dyDescent="0.25"/>
    <row r="89458" s="12" customFormat="1" x14ac:dyDescent="0.25"/>
    <row r="89459" s="12" customFormat="1" x14ac:dyDescent="0.25"/>
    <row r="89460" s="12" customFormat="1" x14ac:dyDescent="0.25"/>
    <row r="89461" s="12" customFormat="1" x14ac:dyDescent="0.25"/>
    <row r="89462" s="12" customFormat="1" x14ac:dyDescent="0.25"/>
    <row r="89463" s="12" customFormat="1" x14ac:dyDescent="0.25"/>
    <row r="89464" s="12" customFormat="1" x14ac:dyDescent="0.25"/>
    <row r="89465" s="12" customFormat="1" x14ac:dyDescent="0.25"/>
    <row r="89466" s="12" customFormat="1" x14ac:dyDescent="0.25"/>
    <row r="89467" s="12" customFormat="1" x14ac:dyDescent="0.25"/>
    <row r="89468" s="12" customFormat="1" x14ac:dyDescent="0.25"/>
    <row r="89469" s="12" customFormat="1" x14ac:dyDescent="0.25"/>
    <row r="89470" s="12" customFormat="1" x14ac:dyDescent="0.25"/>
    <row r="89471" s="12" customFormat="1" x14ac:dyDescent="0.25"/>
    <row r="89472" s="12" customFormat="1" x14ac:dyDescent="0.25"/>
    <row r="89473" s="12" customFormat="1" x14ac:dyDescent="0.25"/>
    <row r="89474" s="12" customFormat="1" x14ac:dyDescent="0.25"/>
    <row r="89475" s="12" customFormat="1" x14ac:dyDescent="0.25"/>
    <row r="89476" s="12" customFormat="1" x14ac:dyDescent="0.25"/>
    <row r="89477" s="12" customFormat="1" x14ac:dyDescent="0.25"/>
    <row r="89478" s="12" customFormat="1" x14ac:dyDescent="0.25"/>
    <row r="89479" s="12" customFormat="1" x14ac:dyDescent="0.25"/>
    <row r="89480" s="12" customFormat="1" x14ac:dyDescent="0.25"/>
    <row r="89481" s="12" customFormat="1" x14ac:dyDescent="0.25"/>
    <row r="89482" s="12" customFormat="1" x14ac:dyDescent="0.25"/>
    <row r="89483" s="12" customFormat="1" x14ac:dyDescent="0.25"/>
    <row r="89484" s="12" customFormat="1" x14ac:dyDescent="0.25"/>
    <row r="89485" s="12" customFormat="1" x14ac:dyDescent="0.25"/>
    <row r="89486" s="12" customFormat="1" x14ac:dyDescent="0.25"/>
    <row r="89487" s="12" customFormat="1" x14ac:dyDescent="0.25"/>
    <row r="89488" s="12" customFormat="1" x14ac:dyDescent="0.25"/>
    <row r="89489" s="12" customFormat="1" x14ac:dyDescent="0.25"/>
    <row r="89490" s="12" customFormat="1" x14ac:dyDescent="0.25"/>
    <row r="89491" s="12" customFormat="1" x14ac:dyDescent="0.25"/>
    <row r="89492" s="12" customFormat="1" x14ac:dyDescent="0.25"/>
    <row r="89493" s="12" customFormat="1" x14ac:dyDescent="0.25"/>
    <row r="89494" s="12" customFormat="1" x14ac:dyDescent="0.25"/>
    <row r="89495" s="12" customFormat="1" x14ac:dyDescent="0.25"/>
    <row r="89496" s="12" customFormat="1" x14ac:dyDescent="0.25"/>
    <row r="89497" s="12" customFormat="1" x14ac:dyDescent="0.25"/>
    <row r="89498" s="12" customFormat="1" x14ac:dyDescent="0.25"/>
    <row r="89499" s="12" customFormat="1" x14ac:dyDescent="0.25"/>
    <row r="89500" s="12" customFormat="1" x14ac:dyDescent="0.25"/>
    <row r="89501" s="12" customFormat="1" x14ac:dyDescent="0.25"/>
    <row r="89502" s="12" customFormat="1" x14ac:dyDescent="0.25"/>
    <row r="89503" s="12" customFormat="1" x14ac:dyDescent="0.25"/>
    <row r="89504" s="12" customFormat="1" x14ac:dyDescent="0.25"/>
    <row r="89505" s="12" customFormat="1" x14ac:dyDescent="0.25"/>
    <row r="89506" s="12" customFormat="1" x14ac:dyDescent="0.25"/>
    <row r="89507" s="12" customFormat="1" x14ac:dyDescent="0.25"/>
    <row r="89508" s="12" customFormat="1" x14ac:dyDescent="0.25"/>
    <row r="89509" s="12" customFormat="1" x14ac:dyDescent="0.25"/>
    <row r="89510" s="12" customFormat="1" x14ac:dyDescent="0.25"/>
    <row r="89511" s="12" customFormat="1" x14ac:dyDescent="0.25"/>
    <row r="89512" s="12" customFormat="1" x14ac:dyDescent="0.25"/>
    <row r="89513" s="12" customFormat="1" x14ac:dyDescent="0.25"/>
    <row r="89514" s="12" customFormat="1" x14ac:dyDescent="0.25"/>
    <row r="89515" s="12" customFormat="1" x14ac:dyDescent="0.25"/>
    <row r="89516" s="12" customFormat="1" x14ac:dyDescent="0.25"/>
    <row r="89517" s="12" customFormat="1" x14ac:dyDescent="0.25"/>
    <row r="89518" s="12" customFormat="1" x14ac:dyDescent="0.25"/>
    <row r="89519" s="12" customFormat="1" x14ac:dyDescent="0.25"/>
    <row r="89520" s="12" customFormat="1" x14ac:dyDescent="0.25"/>
    <row r="89521" s="12" customFormat="1" x14ac:dyDescent="0.25"/>
    <row r="89522" s="12" customFormat="1" x14ac:dyDescent="0.25"/>
    <row r="89523" s="12" customFormat="1" x14ac:dyDescent="0.25"/>
    <row r="89524" s="12" customFormat="1" x14ac:dyDescent="0.25"/>
    <row r="89525" s="12" customFormat="1" x14ac:dyDescent="0.25"/>
    <row r="89526" s="12" customFormat="1" x14ac:dyDescent="0.25"/>
    <row r="89527" s="12" customFormat="1" x14ac:dyDescent="0.25"/>
    <row r="89528" s="12" customFormat="1" x14ac:dyDescent="0.25"/>
    <row r="89529" s="12" customFormat="1" x14ac:dyDescent="0.25"/>
    <row r="89530" s="12" customFormat="1" x14ac:dyDescent="0.25"/>
    <row r="89531" s="12" customFormat="1" x14ac:dyDescent="0.25"/>
    <row r="89532" s="12" customFormat="1" x14ac:dyDescent="0.25"/>
    <row r="89533" s="12" customFormat="1" x14ac:dyDescent="0.25"/>
    <row r="89534" s="12" customFormat="1" x14ac:dyDescent="0.25"/>
    <row r="89535" s="12" customFormat="1" x14ac:dyDescent="0.25"/>
    <row r="89536" s="12" customFormat="1" x14ac:dyDescent="0.25"/>
    <row r="89537" s="12" customFormat="1" x14ac:dyDescent="0.25"/>
    <row r="89538" s="12" customFormat="1" x14ac:dyDescent="0.25"/>
    <row r="89539" s="12" customFormat="1" x14ac:dyDescent="0.25"/>
    <row r="89540" s="12" customFormat="1" x14ac:dyDescent="0.25"/>
    <row r="89541" s="12" customFormat="1" x14ac:dyDescent="0.25"/>
    <row r="89542" s="12" customFormat="1" x14ac:dyDescent="0.25"/>
    <row r="89543" s="12" customFormat="1" x14ac:dyDescent="0.25"/>
    <row r="89544" s="12" customFormat="1" x14ac:dyDescent="0.25"/>
    <row r="89545" s="12" customFormat="1" x14ac:dyDescent="0.25"/>
    <row r="89546" s="12" customFormat="1" x14ac:dyDescent="0.25"/>
    <row r="89547" s="12" customFormat="1" x14ac:dyDescent="0.25"/>
    <row r="89548" s="12" customFormat="1" x14ac:dyDescent="0.25"/>
    <row r="89549" s="12" customFormat="1" x14ac:dyDescent="0.25"/>
    <row r="89550" s="12" customFormat="1" x14ac:dyDescent="0.25"/>
    <row r="89551" s="12" customFormat="1" x14ac:dyDescent="0.25"/>
    <row r="89552" s="12" customFormat="1" x14ac:dyDescent="0.25"/>
    <row r="89553" s="12" customFormat="1" x14ac:dyDescent="0.25"/>
    <row r="89554" s="12" customFormat="1" x14ac:dyDescent="0.25"/>
    <row r="89555" s="12" customFormat="1" x14ac:dyDescent="0.25"/>
    <row r="89556" s="12" customFormat="1" x14ac:dyDescent="0.25"/>
    <row r="89557" s="12" customFormat="1" x14ac:dyDescent="0.25"/>
    <row r="89558" s="12" customFormat="1" x14ac:dyDescent="0.25"/>
    <row r="89559" s="12" customFormat="1" x14ac:dyDescent="0.25"/>
    <row r="89560" s="12" customFormat="1" x14ac:dyDescent="0.25"/>
    <row r="89561" s="12" customFormat="1" x14ac:dyDescent="0.25"/>
    <row r="89562" s="12" customFormat="1" x14ac:dyDescent="0.25"/>
    <row r="89563" s="12" customFormat="1" x14ac:dyDescent="0.25"/>
    <row r="89564" s="12" customFormat="1" x14ac:dyDescent="0.25"/>
    <row r="89565" s="12" customFormat="1" x14ac:dyDescent="0.25"/>
    <row r="89566" s="12" customFormat="1" x14ac:dyDescent="0.25"/>
    <row r="89567" s="12" customFormat="1" x14ac:dyDescent="0.25"/>
    <row r="89568" s="12" customFormat="1" x14ac:dyDescent="0.25"/>
    <row r="89569" s="12" customFormat="1" x14ac:dyDescent="0.25"/>
    <row r="89570" s="12" customFormat="1" x14ac:dyDescent="0.25"/>
    <row r="89571" s="12" customFormat="1" x14ac:dyDescent="0.25"/>
    <row r="89572" s="12" customFormat="1" x14ac:dyDescent="0.25"/>
    <row r="89573" s="12" customFormat="1" x14ac:dyDescent="0.25"/>
    <row r="89574" s="12" customFormat="1" x14ac:dyDescent="0.25"/>
    <row r="89575" s="12" customFormat="1" x14ac:dyDescent="0.25"/>
    <row r="89576" s="12" customFormat="1" x14ac:dyDescent="0.25"/>
    <row r="89577" s="12" customFormat="1" x14ac:dyDescent="0.25"/>
    <row r="89578" s="12" customFormat="1" x14ac:dyDescent="0.25"/>
    <row r="89579" s="12" customFormat="1" x14ac:dyDescent="0.25"/>
    <row r="89580" s="12" customFormat="1" x14ac:dyDescent="0.25"/>
    <row r="89581" s="12" customFormat="1" x14ac:dyDescent="0.25"/>
    <row r="89582" s="12" customFormat="1" x14ac:dyDescent="0.25"/>
    <row r="89583" s="12" customFormat="1" x14ac:dyDescent="0.25"/>
    <row r="89584" s="12" customFormat="1" x14ac:dyDescent="0.25"/>
    <row r="89585" s="12" customFormat="1" x14ac:dyDescent="0.25"/>
    <row r="89586" s="12" customFormat="1" x14ac:dyDescent="0.25"/>
    <row r="89587" s="12" customFormat="1" x14ac:dyDescent="0.25"/>
    <row r="89588" s="12" customFormat="1" x14ac:dyDescent="0.25"/>
    <row r="89589" s="12" customFormat="1" x14ac:dyDescent="0.25"/>
    <row r="89590" s="12" customFormat="1" x14ac:dyDescent="0.25"/>
    <row r="89591" s="12" customFormat="1" x14ac:dyDescent="0.25"/>
    <row r="89592" s="12" customFormat="1" x14ac:dyDescent="0.25"/>
    <row r="89593" s="12" customFormat="1" x14ac:dyDescent="0.25"/>
    <row r="89594" s="12" customFormat="1" x14ac:dyDescent="0.25"/>
    <row r="89595" s="12" customFormat="1" x14ac:dyDescent="0.25"/>
    <row r="89596" s="12" customFormat="1" x14ac:dyDescent="0.25"/>
    <row r="89597" s="12" customFormat="1" x14ac:dyDescent="0.25"/>
    <row r="89598" s="12" customFormat="1" x14ac:dyDescent="0.25"/>
    <row r="89599" s="12" customFormat="1" x14ac:dyDescent="0.25"/>
    <row r="89600" s="12" customFormat="1" x14ac:dyDescent="0.25"/>
    <row r="89601" s="12" customFormat="1" x14ac:dyDescent="0.25"/>
    <row r="89602" s="12" customFormat="1" x14ac:dyDescent="0.25"/>
    <row r="89603" s="12" customFormat="1" x14ac:dyDescent="0.25"/>
    <row r="89604" s="12" customFormat="1" x14ac:dyDescent="0.25"/>
    <row r="89605" s="12" customFormat="1" x14ac:dyDescent="0.25"/>
    <row r="89606" s="12" customFormat="1" x14ac:dyDescent="0.25"/>
    <row r="89607" s="12" customFormat="1" x14ac:dyDescent="0.25"/>
    <row r="89608" s="12" customFormat="1" x14ac:dyDescent="0.25"/>
    <row r="89609" s="12" customFormat="1" x14ac:dyDescent="0.25"/>
    <row r="89610" s="12" customFormat="1" x14ac:dyDescent="0.25"/>
    <row r="89611" s="12" customFormat="1" x14ac:dyDescent="0.25"/>
    <row r="89612" s="12" customFormat="1" x14ac:dyDescent="0.25"/>
    <row r="89613" s="12" customFormat="1" x14ac:dyDescent="0.25"/>
    <row r="89614" s="12" customFormat="1" x14ac:dyDescent="0.25"/>
    <row r="89615" s="12" customFormat="1" x14ac:dyDescent="0.25"/>
    <row r="89616" s="12" customFormat="1" x14ac:dyDescent="0.25"/>
    <row r="89617" s="12" customFormat="1" x14ac:dyDescent="0.25"/>
    <row r="89618" s="12" customFormat="1" x14ac:dyDescent="0.25"/>
    <row r="89619" s="12" customFormat="1" x14ac:dyDescent="0.25"/>
    <row r="89620" s="12" customFormat="1" x14ac:dyDescent="0.25"/>
    <row r="89621" s="12" customFormat="1" x14ac:dyDescent="0.25"/>
    <row r="89622" s="12" customFormat="1" x14ac:dyDescent="0.25"/>
    <row r="89623" s="12" customFormat="1" x14ac:dyDescent="0.25"/>
    <row r="89624" s="12" customFormat="1" x14ac:dyDescent="0.25"/>
    <row r="89625" s="12" customFormat="1" x14ac:dyDescent="0.25"/>
    <row r="89626" s="12" customFormat="1" x14ac:dyDescent="0.25"/>
    <row r="89627" s="12" customFormat="1" x14ac:dyDescent="0.25"/>
    <row r="89628" s="12" customFormat="1" x14ac:dyDescent="0.25"/>
    <row r="89629" s="12" customFormat="1" x14ac:dyDescent="0.25"/>
    <row r="89630" s="12" customFormat="1" x14ac:dyDescent="0.25"/>
    <row r="89631" s="12" customFormat="1" x14ac:dyDescent="0.25"/>
    <row r="89632" s="12" customFormat="1" x14ac:dyDescent="0.25"/>
    <row r="89633" s="12" customFormat="1" x14ac:dyDescent="0.25"/>
    <row r="89634" s="12" customFormat="1" x14ac:dyDescent="0.25"/>
    <row r="89635" s="12" customFormat="1" x14ac:dyDescent="0.25"/>
    <row r="89636" s="12" customFormat="1" x14ac:dyDescent="0.25"/>
    <row r="89637" s="12" customFormat="1" x14ac:dyDescent="0.25"/>
    <row r="89638" s="12" customFormat="1" x14ac:dyDescent="0.25"/>
    <row r="89639" s="12" customFormat="1" x14ac:dyDescent="0.25"/>
    <row r="89640" s="12" customFormat="1" x14ac:dyDescent="0.25"/>
    <row r="89641" s="12" customFormat="1" x14ac:dyDescent="0.25"/>
    <row r="89642" s="12" customFormat="1" x14ac:dyDescent="0.25"/>
    <row r="89643" s="12" customFormat="1" x14ac:dyDescent="0.25"/>
    <row r="89644" s="12" customFormat="1" x14ac:dyDescent="0.25"/>
    <row r="89645" s="12" customFormat="1" x14ac:dyDescent="0.25"/>
    <row r="89646" s="12" customFormat="1" x14ac:dyDescent="0.25"/>
    <row r="89647" s="12" customFormat="1" x14ac:dyDescent="0.25"/>
    <row r="89648" s="12" customFormat="1" x14ac:dyDescent="0.25"/>
    <row r="89649" s="12" customFormat="1" x14ac:dyDescent="0.25"/>
    <row r="89650" s="12" customFormat="1" x14ac:dyDescent="0.25"/>
    <row r="89651" s="12" customFormat="1" x14ac:dyDescent="0.25"/>
    <row r="89652" s="12" customFormat="1" x14ac:dyDescent="0.25"/>
    <row r="89653" s="12" customFormat="1" x14ac:dyDescent="0.25"/>
    <row r="89654" s="12" customFormat="1" x14ac:dyDescent="0.25"/>
    <row r="89655" s="12" customFormat="1" x14ac:dyDescent="0.25"/>
    <row r="89656" s="12" customFormat="1" x14ac:dyDescent="0.25"/>
    <row r="89657" s="12" customFormat="1" x14ac:dyDescent="0.25"/>
    <row r="89658" s="12" customFormat="1" x14ac:dyDescent="0.25"/>
    <row r="89659" s="12" customFormat="1" x14ac:dyDescent="0.25"/>
    <row r="89660" s="12" customFormat="1" x14ac:dyDescent="0.25"/>
    <row r="89661" s="12" customFormat="1" x14ac:dyDescent="0.25"/>
    <row r="89662" s="12" customFormat="1" x14ac:dyDescent="0.25"/>
    <row r="89663" s="12" customFormat="1" x14ac:dyDescent="0.25"/>
    <row r="89664" s="12" customFormat="1" x14ac:dyDescent="0.25"/>
    <row r="89665" s="12" customFormat="1" x14ac:dyDescent="0.25"/>
    <row r="89666" s="12" customFormat="1" x14ac:dyDescent="0.25"/>
    <row r="89667" s="12" customFormat="1" x14ac:dyDescent="0.25"/>
    <row r="89668" s="12" customFormat="1" x14ac:dyDescent="0.25"/>
    <row r="89669" s="12" customFormat="1" x14ac:dyDescent="0.25"/>
    <row r="89670" s="12" customFormat="1" x14ac:dyDescent="0.25"/>
    <row r="89671" s="12" customFormat="1" x14ac:dyDescent="0.25"/>
    <row r="89672" s="12" customFormat="1" x14ac:dyDescent="0.25"/>
    <row r="89673" s="12" customFormat="1" x14ac:dyDescent="0.25"/>
    <row r="89674" s="12" customFormat="1" x14ac:dyDescent="0.25"/>
    <row r="89675" s="12" customFormat="1" x14ac:dyDescent="0.25"/>
    <row r="89676" s="12" customFormat="1" x14ac:dyDescent="0.25"/>
    <row r="89677" s="12" customFormat="1" x14ac:dyDescent="0.25"/>
    <row r="89678" s="12" customFormat="1" x14ac:dyDescent="0.25"/>
    <row r="89679" s="12" customFormat="1" x14ac:dyDescent="0.25"/>
    <row r="89680" s="12" customFormat="1" x14ac:dyDescent="0.25"/>
    <row r="89681" s="12" customFormat="1" x14ac:dyDescent="0.25"/>
    <row r="89682" s="12" customFormat="1" x14ac:dyDescent="0.25"/>
    <row r="89683" s="12" customFormat="1" x14ac:dyDescent="0.25"/>
    <row r="89684" s="12" customFormat="1" x14ac:dyDescent="0.25"/>
    <row r="89685" s="12" customFormat="1" x14ac:dyDescent="0.25"/>
    <row r="89686" s="12" customFormat="1" x14ac:dyDescent="0.25"/>
    <row r="89687" s="12" customFormat="1" x14ac:dyDescent="0.25"/>
    <row r="89688" s="12" customFormat="1" x14ac:dyDescent="0.25"/>
    <row r="89689" s="12" customFormat="1" x14ac:dyDescent="0.25"/>
    <row r="89690" s="12" customFormat="1" x14ac:dyDescent="0.25"/>
    <row r="89691" s="12" customFormat="1" x14ac:dyDescent="0.25"/>
    <row r="89692" s="12" customFormat="1" x14ac:dyDescent="0.25"/>
    <row r="89693" s="12" customFormat="1" x14ac:dyDescent="0.25"/>
    <row r="89694" s="12" customFormat="1" x14ac:dyDescent="0.25"/>
    <row r="89695" s="12" customFormat="1" x14ac:dyDescent="0.25"/>
    <row r="89696" s="12" customFormat="1" x14ac:dyDescent="0.25"/>
    <row r="89697" s="12" customFormat="1" x14ac:dyDescent="0.25"/>
    <row r="89698" s="12" customFormat="1" x14ac:dyDescent="0.25"/>
    <row r="89699" s="12" customFormat="1" x14ac:dyDescent="0.25"/>
    <row r="89700" s="12" customFormat="1" x14ac:dyDescent="0.25"/>
    <row r="89701" s="12" customFormat="1" x14ac:dyDescent="0.25"/>
    <row r="89702" s="12" customFormat="1" x14ac:dyDescent="0.25"/>
    <row r="89703" s="12" customFormat="1" x14ac:dyDescent="0.25"/>
    <row r="89704" s="12" customFormat="1" x14ac:dyDescent="0.25"/>
    <row r="89705" s="12" customFormat="1" x14ac:dyDescent="0.25"/>
    <row r="89706" s="12" customFormat="1" x14ac:dyDescent="0.25"/>
    <row r="89707" s="12" customFormat="1" x14ac:dyDescent="0.25"/>
    <row r="89708" s="12" customFormat="1" x14ac:dyDescent="0.25"/>
    <row r="89709" s="12" customFormat="1" x14ac:dyDescent="0.25"/>
    <row r="89710" s="12" customFormat="1" x14ac:dyDescent="0.25"/>
    <row r="89711" s="12" customFormat="1" x14ac:dyDescent="0.25"/>
    <row r="89712" s="12" customFormat="1" x14ac:dyDescent="0.25"/>
    <row r="89713" s="12" customFormat="1" x14ac:dyDescent="0.25"/>
    <row r="89714" s="12" customFormat="1" x14ac:dyDescent="0.25"/>
    <row r="89715" s="12" customFormat="1" x14ac:dyDescent="0.25"/>
    <row r="89716" s="12" customFormat="1" x14ac:dyDescent="0.25"/>
    <row r="89717" s="12" customFormat="1" x14ac:dyDescent="0.25"/>
    <row r="89718" s="12" customFormat="1" x14ac:dyDescent="0.25"/>
    <row r="89719" s="12" customFormat="1" x14ac:dyDescent="0.25"/>
    <row r="89720" s="12" customFormat="1" x14ac:dyDescent="0.25"/>
    <row r="89721" s="12" customFormat="1" x14ac:dyDescent="0.25"/>
    <row r="89722" s="12" customFormat="1" x14ac:dyDescent="0.25"/>
    <row r="89723" s="12" customFormat="1" x14ac:dyDescent="0.25"/>
    <row r="89724" s="12" customFormat="1" x14ac:dyDescent="0.25"/>
    <row r="89725" s="12" customFormat="1" x14ac:dyDescent="0.25"/>
    <row r="89726" s="12" customFormat="1" x14ac:dyDescent="0.25"/>
    <row r="89727" s="12" customFormat="1" x14ac:dyDescent="0.25"/>
    <row r="89728" s="12" customFormat="1" x14ac:dyDescent="0.25"/>
    <row r="89729" s="12" customFormat="1" x14ac:dyDescent="0.25"/>
    <row r="89730" s="12" customFormat="1" x14ac:dyDescent="0.25"/>
    <row r="89731" s="12" customFormat="1" x14ac:dyDescent="0.25"/>
    <row r="89732" s="12" customFormat="1" x14ac:dyDescent="0.25"/>
    <row r="89733" s="12" customFormat="1" x14ac:dyDescent="0.25"/>
    <row r="89734" s="12" customFormat="1" x14ac:dyDescent="0.25"/>
    <row r="89735" s="12" customFormat="1" x14ac:dyDescent="0.25"/>
    <row r="89736" s="12" customFormat="1" x14ac:dyDescent="0.25"/>
    <row r="89737" s="12" customFormat="1" x14ac:dyDescent="0.25"/>
    <row r="89738" s="12" customFormat="1" x14ac:dyDescent="0.25"/>
    <row r="89739" s="12" customFormat="1" x14ac:dyDescent="0.25"/>
    <row r="89740" s="12" customFormat="1" x14ac:dyDescent="0.25"/>
    <row r="89741" s="12" customFormat="1" x14ac:dyDescent="0.25"/>
    <row r="89742" s="12" customFormat="1" x14ac:dyDescent="0.25"/>
    <row r="89743" s="12" customFormat="1" x14ac:dyDescent="0.25"/>
    <row r="89744" s="12" customFormat="1" x14ac:dyDescent="0.25"/>
    <row r="89745" s="12" customFormat="1" x14ac:dyDescent="0.25"/>
    <row r="89746" s="12" customFormat="1" x14ac:dyDescent="0.25"/>
    <row r="89747" s="12" customFormat="1" x14ac:dyDescent="0.25"/>
    <row r="89748" s="12" customFormat="1" x14ac:dyDescent="0.25"/>
    <row r="89749" s="12" customFormat="1" x14ac:dyDescent="0.25"/>
    <row r="89750" s="12" customFormat="1" x14ac:dyDescent="0.25"/>
    <row r="89751" s="12" customFormat="1" x14ac:dyDescent="0.25"/>
    <row r="89752" s="12" customFormat="1" x14ac:dyDescent="0.25"/>
    <row r="89753" s="12" customFormat="1" x14ac:dyDescent="0.25"/>
    <row r="89754" s="12" customFormat="1" x14ac:dyDescent="0.25"/>
    <row r="89755" s="12" customFormat="1" x14ac:dyDescent="0.25"/>
    <row r="89756" s="12" customFormat="1" x14ac:dyDescent="0.25"/>
    <row r="89757" s="12" customFormat="1" x14ac:dyDescent="0.25"/>
    <row r="89758" s="12" customFormat="1" x14ac:dyDescent="0.25"/>
    <row r="89759" s="12" customFormat="1" x14ac:dyDescent="0.25"/>
    <row r="89760" s="12" customFormat="1" x14ac:dyDescent="0.25"/>
    <row r="89761" s="12" customFormat="1" x14ac:dyDescent="0.25"/>
    <row r="89762" s="12" customFormat="1" x14ac:dyDescent="0.25"/>
    <row r="89763" s="12" customFormat="1" x14ac:dyDescent="0.25"/>
    <row r="89764" s="12" customFormat="1" x14ac:dyDescent="0.25"/>
    <row r="89765" s="12" customFormat="1" x14ac:dyDescent="0.25"/>
    <row r="89766" s="12" customFormat="1" x14ac:dyDescent="0.25"/>
    <row r="89767" s="12" customFormat="1" x14ac:dyDescent="0.25"/>
    <row r="89768" s="12" customFormat="1" x14ac:dyDescent="0.25"/>
    <row r="89769" s="12" customFormat="1" x14ac:dyDescent="0.25"/>
    <row r="89770" s="12" customFormat="1" x14ac:dyDescent="0.25"/>
    <row r="89771" s="12" customFormat="1" x14ac:dyDescent="0.25"/>
    <row r="89772" s="12" customFormat="1" x14ac:dyDescent="0.25"/>
    <row r="89773" s="12" customFormat="1" x14ac:dyDescent="0.25"/>
    <row r="89774" s="12" customFormat="1" x14ac:dyDescent="0.25"/>
    <row r="89775" s="12" customFormat="1" x14ac:dyDescent="0.25"/>
    <row r="89776" s="12" customFormat="1" x14ac:dyDescent="0.25"/>
    <row r="89777" s="12" customFormat="1" x14ac:dyDescent="0.25"/>
    <row r="89778" s="12" customFormat="1" x14ac:dyDescent="0.25"/>
    <row r="89779" s="12" customFormat="1" x14ac:dyDescent="0.25"/>
    <row r="89780" s="12" customFormat="1" x14ac:dyDescent="0.25"/>
    <row r="89781" s="12" customFormat="1" x14ac:dyDescent="0.25"/>
    <row r="89782" s="12" customFormat="1" x14ac:dyDescent="0.25"/>
    <row r="89783" s="12" customFormat="1" x14ac:dyDescent="0.25"/>
    <row r="89784" s="12" customFormat="1" x14ac:dyDescent="0.25"/>
    <row r="89785" s="12" customFormat="1" x14ac:dyDescent="0.25"/>
    <row r="89786" s="12" customFormat="1" x14ac:dyDescent="0.25"/>
    <row r="89787" s="12" customFormat="1" x14ac:dyDescent="0.25"/>
    <row r="89788" s="12" customFormat="1" x14ac:dyDescent="0.25"/>
    <row r="89789" s="12" customFormat="1" x14ac:dyDescent="0.25"/>
    <row r="89790" s="12" customFormat="1" x14ac:dyDescent="0.25"/>
    <row r="89791" s="12" customFormat="1" x14ac:dyDescent="0.25"/>
    <row r="89792" s="12" customFormat="1" x14ac:dyDescent="0.25"/>
    <row r="89793" s="12" customFormat="1" x14ac:dyDescent="0.25"/>
    <row r="89794" s="12" customFormat="1" x14ac:dyDescent="0.25"/>
    <row r="89795" s="12" customFormat="1" x14ac:dyDescent="0.25"/>
    <row r="89796" s="12" customFormat="1" x14ac:dyDescent="0.25"/>
    <row r="89797" s="12" customFormat="1" x14ac:dyDescent="0.25"/>
    <row r="89798" s="12" customFormat="1" x14ac:dyDescent="0.25"/>
    <row r="89799" s="12" customFormat="1" x14ac:dyDescent="0.25"/>
    <row r="89800" s="12" customFormat="1" x14ac:dyDescent="0.25"/>
    <row r="89801" s="12" customFormat="1" x14ac:dyDescent="0.25"/>
    <row r="89802" s="12" customFormat="1" x14ac:dyDescent="0.25"/>
    <row r="89803" s="12" customFormat="1" x14ac:dyDescent="0.25"/>
    <row r="89804" s="12" customFormat="1" x14ac:dyDescent="0.25"/>
    <row r="89805" s="12" customFormat="1" x14ac:dyDescent="0.25"/>
    <row r="89806" s="12" customFormat="1" x14ac:dyDescent="0.25"/>
    <row r="89807" s="12" customFormat="1" x14ac:dyDescent="0.25"/>
    <row r="89808" s="12" customFormat="1" x14ac:dyDescent="0.25"/>
    <row r="89809" s="12" customFormat="1" x14ac:dyDescent="0.25"/>
    <row r="89810" s="12" customFormat="1" x14ac:dyDescent="0.25"/>
    <row r="89811" s="12" customFormat="1" x14ac:dyDescent="0.25"/>
    <row r="89812" s="12" customFormat="1" x14ac:dyDescent="0.25"/>
    <row r="89813" s="12" customFormat="1" x14ac:dyDescent="0.25"/>
    <row r="89814" s="12" customFormat="1" x14ac:dyDescent="0.25"/>
    <row r="89815" s="12" customFormat="1" x14ac:dyDescent="0.25"/>
    <row r="89816" s="12" customFormat="1" x14ac:dyDescent="0.25"/>
    <row r="89817" s="12" customFormat="1" x14ac:dyDescent="0.25"/>
    <row r="89818" s="12" customFormat="1" x14ac:dyDescent="0.25"/>
    <row r="89819" s="12" customFormat="1" x14ac:dyDescent="0.25"/>
    <row r="89820" s="12" customFormat="1" x14ac:dyDescent="0.25"/>
    <row r="89821" s="12" customFormat="1" x14ac:dyDescent="0.25"/>
    <row r="89822" s="12" customFormat="1" x14ac:dyDescent="0.25"/>
    <row r="89823" s="12" customFormat="1" x14ac:dyDescent="0.25"/>
    <row r="89824" s="12" customFormat="1" x14ac:dyDescent="0.25"/>
    <row r="89825" s="12" customFormat="1" x14ac:dyDescent="0.25"/>
    <row r="89826" s="12" customFormat="1" x14ac:dyDescent="0.25"/>
    <row r="89827" s="12" customFormat="1" x14ac:dyDescent="0.25"/>
    <row r="89828" s="12" customFormat="1" x14ac:dyDescent="0.25"/>
    <row r="89829" s="12" customFormat="1" x14ac:dyDescent="0.25"/>
    <row r="89830" s="12" customFormat="1" x14ac:dyDescent="0.25"/>
    <row r="89831" s="12" customFormat="1" x14ac:dyDescent="0.25"/>
    <row r="89832" s="12" customFormat="1" x14ac:dyDescent="0.25"/>
    <row r="89833" s="12" customFormat="1" x14ac:dyDescent="0.25"/>
    <row r="89834" s="12" customFormat="1" x14ac:dyDescent="0.25"/>
    <row r="89835" s="12" customFormat="1" x14ac:dyDescent="0.25"/>
    <row r="89836" s="12" customFormat="1" x14ac:dyDescent="0.25"/>
    <row r="89837" s="12" customFormat="1" x14ac:dyDescent="0.25"/>
    <row r="89838" s="12" customFormat="1" x14ac:dyDescent="0.25"/>
    <row r="89839" s="12" customFormat="1" x14ac:dyDescent="0.25"/>
    <row r="89840" s="12" customFormat="1" x14ac:dyDescent="0.25"/>
    <row r="89841" s="12" customFormat="1" x14ac:dyDescent="0.25"/>
    <row r="89842" s="12" customFormat="1" x14ac:dyDescent="0.25"/>
    <row r="89843" s="12" customFormat="1" x14ac:dyDescent="0.25"/>
    <row r="89844" s="12" customFormat="1" x14ac:dyDescent="0.25"/>
    <row r="89845" s="12" customFormat="1" x14ac:dyDescent="0.25"/>
    <row r="89846" s="12" customFormat="1" x14ac:dyDescent="0.25"/>
    <row r="89847" s="12" customFormat="1" x14ac:dyDescent="0.25"/>
    <row r="89848" s="12" customFormat="1" x14ac:dyDescent="0.25"/>
    <row r="89849" s="12" customFormat="1" x14ac:dyDescent="0.25"/>
    <row r="89850" s="12" customFormat="1" x14ac:dyDescent="0.25"/>
    <row r="89851" s="12" customFormat="1" x14ac:dyDescent="0.25"/>
    <row r="89852" s="12" customFormat="1" x14ac:dyDescent="0.25"/>
    <row r="89853" s="12" customFormat="1" x14ac:dyDescent="0.25"/>
    <row r="89854" s="12" customFormat="1" x14ac:dyDescent="0.25"/>
    <row r="89855" s="12" customFormat="1" x14ac:dyDescent="0.25"/>
    <row r="89856" s="12" customFormat="1" x14ac:dyDescent="0.25"/>
    <row r="89857" s="12" customFormat="1" x14ac:dyDescent="0.25"/>
    <row r="89858" s="12" customFormat="1" x14ac:dyDescent="0.25"/>
    <row r="89859" s="12" customFormat="1" x14ac:dyDescent="0.25"/>
    <row r="89860" s="12" customFormat="1" x14ac:dyDescent="0.25"/>
    <row r="89861" s="12" customFormat="1" x14ac:dyDescent="0.25"/>
    <row r="89862" s="12" customFormat="1" x14ac:dyDescent="0.25"/>
    <row r="89863" s="12" customFormat="1" x14ac:dyDescent="0.25"/>
    <row r="89864" s="12" customFormat="1" x14ac:dyDescent="0.25"/>
    <row r="89865" s="12" customFormat="1" x14ac:dyDescent="0.25"/>
    <row r="89866" s="12" customFormat="1" x14ac:dyDescent="0.25"/>
    <row r="89867" s="12" customFormat="1" x14ac:dyDescent="0.25"/>
    <row r="89868" s="12" customFormat="1" x14ac:dyDescent="0.25"/>
    <row r="89869" s="12" customFormat="1" x14ac:dyDescent="0.25"/>
    <row r="89870" s="12" customFormat="1" x14ac:dyDescent="0.25"/>
    <row r="89871" s="12" customFormat="1" x14ac:dyDescent="0.25"/>
    <row r="89872" s="12" customFormat="1" x14ac:dyDescent="0.25"/>
    <row r="89873" s="12" customFormat="1" x14ac:dyDescent="0.25"/>
    <row r="89874" s="12" customFormat="1" x14ac:dyDescent="0.25"/>
    <row r="89875" s="12" customFormat="1" x14ac:dyDescent="0.25"/>
    <row r="89876" s="12" customFormat="1" x14ac:dyDescent="0.25"/>
    <row r="89877" s="12" customFormat="1" x14ac:dyDescent="0.25"/>
    <row r="89878" s="12" customFormat="1" x14ac:dyDescent="0.25"/>
    <row r="89879" s="12" customFormat="1" x14ac:dyDescent="0.25"/>
    <row r="89880" s="12" customFormat="1" x14ac:dyDescent="0.25"/>
    <row r="89881" s="12" customFormat="1" x14ac:dyDescent="0.25"/>
    <row r="89882" s="12" customFormat="1" x14ac:dyDescent="0.25"/>
    <row r="89883" s="12" customFormat="1" x14ac:dyDescent="0.25"/>
    <row r="89884" s="12" customFormat="1" x14ac:dyDescent="0.25"/>
    <row r="89885" s="12" customFormat="1" x14ac:dyDescent="0.25"/>
    <row r="89886" s="12" customFormat="1" x14ac:dyDescent="0.25"/>
    <row r="89887" s="12" customFormat="1" x14ac:dyDescent="0.25"/>
    <row r="89888" s="12" customFormat="1" x14ac:dyDescent="0.25"/>
    <row r="89889" s="12" customFormat="1" x14ac:dyDescent="0.25"/>
    <row r="89890" s="12" customFormat="1" x14ac:dyDescent="0.25"/>
    <row r="89891" s="12" customFormat="1" x14ac:dyDescent="0.25"/>
    <row r="89892" s="12" customFormat="1" x14ac:dyDescent="0.25"/>
    <row r="89893" s="12" customFormat="1" x14ac:dyDescent="0.25"/>
    <row r="89894" s="12" customFormat="1" x14ac:dyDescent="0.25"/>
    <row r="89895" s="12" customFormat="1" x14ac:dyDescent="0.25"/>
    <row r="89896" s="12" customFormat="1" x14ac:dyDescent="0.25"/>
    <row r="89897" s="12" customFormat="1" x14ac:dyDescent="0.25"/>
    <row r="89898" s="12" customFormat="1" x14ac:dyDescent="0.25"/>
    <row r="89899" s="12" customFormat="1" x14ac:dyDescent="0.25"/>
    <row r="89900" s="12" customFormat="1" x14ac:dyDescent="0.25"/>
    <row r="89901" s="12" customFormat="1" x14ac:dyDescent="0.25"/>
    <row r="89902" s="12" customFormat="1" x14ac:dyDescent="0.25"/>
    <row r="89903" s="12" customFormat="1" x14ac:dyDescent="0.25"/>
    <row r="89904" s="12" customFormat="1" x14ac:dyDescent="0.25"/>
    <row r="89905" s="12" customFormat="1" x14ac:dyDescent="0.25"/>
    <row r="89906" s="12" customFormat="1" x14ac:dyDescent="0.25"/>
    <row r="89907" s="12" customFormat="1" x14ac:dyDescent="0.25"/>
    <row r="89908" s="12" customFormat="1" x14ac:dyDescent="0.25"/>
    <row r="89909" s="12" customFormat="1" x14ac:dyDescent="0.25"/>
    <row r="89910" s="12" customFormat="1" x14ac:dyDescent="0.25"/>
    <row r="89911" s="12" customFormat="1" x14ac:dyDescent="0.25"/>
    <row r="89912" s="12" customFormat="1" x14ac:dyDescent="0.25"/>
    <row r="89913" s="12" customFormat="1" x14ac:dyDescent="0.25"/>
    <row r="89914" s="12" customFormat="1" x14ac:dyDescent="0.25"/>
    <row r="89915" s="12" customFormat="1" x14ac:dyDescent="0.25"/>
    <row r="89916" s="12" customFormat="1" x14ac:dyDescent="0.25"/>
    <row r="89917" s="12" customFormat="1" x14ac:dyDescent="0.25"/>
    <row r="89918" s="12" customFormat="1" x14ac:dyDescent="0.25"/>
    <row r="89919" s="12" customFormat="1" x14ac:dyDescent="0.25"/>
    <row r="89920" s="12" customFormat="1" x14ac:dyDescent="0.25"/>
    <row r="89921" s="12" customFormat="1" x14ac:dyDescent="0.25"/>
    <row r="89922" s="12" customFormat="1" x14ac:dyDescent="0.25"/>
    <row r="89923" s="12" customFormat="1" x14ac:dyDescent="0.25"/>
    <row r="89924" s="12" customFormat="1" x14ac:dyDescent="0.25"/>
    <row r="89925" s="12" customFormat="1" x14ac:dyDescent="0.25"/>
    <row r="89926" s="12" customFormat="1" x14ac:dyDescent="0.25"/>
    <row r="89927" s="12" customFormat="1" x14ac:dyDescent="0.25"/>
    <row r="89928" s="12" customFormat="1" x14ac:dyDescent="0.25"/>
    <row r="89929" s="12" customFormat="1" x14ac:dyDescent="0.25"/>
    <row r="89930" s="12" customFormat="1" x14ac:dyDescent="0.25"/>
    <row r="89931" s="12" customFormat="1" x14ac:dyDescent="0.25"/>
    <row r="89932" s="12" customFormat="1" x14ac:dyDescent="0.25"/>
    <row r="89933" s="12" customFormat="1" x14ac:dyDescent="0.25"/>
    <row r="89934" s="12" customFormat="1" x14ac:dyDescent="0.25"/>
    <row r="89935" s="12" customFormat="1" x14ac:dyDescent="0.25"/>
    <row r="89936" s="12" customFormat="1" x14ac:dyDescent="0.25"/>
    <row r="89937" s="12" customFormat="1" x14ac:dyDescent="0.25"/>
    <row r="89938" s="12" customFormat="1" x14ac:dyDescent="0.25"/>
    <row r="89939" s="12" customFormat="1" x14ac:dyDescent="0.25"/>
    <row r="89940" s="12" customFormat="1" x14ac:dyDescent="0.25"/>
    <row r="89941" s="12" customFormat="1" x14ac:dyDescent="0.25"/>
    <row r="89942" s="12" customFormat="1" x14ac:dyDescent="0.25"/>
    <row r="89943" s="12" customFormat="1" x14ac:dyDescent="0.25"/>
    <row r="89944" s="12" customFormat="1" x14ac:dyDescent="0.25"/>
    <row r="89945" s="12" customFormat="1" x14ac:dyDescent="0.25"/>
    <row r="89946" s="12" customFormat="1" x14ac:dyDescent="0.25"/>
    <row r="89947" s="12" customFormat="1" x14ac:dyDescent="0.25"/>
    <row r="89948" s="12" customFormat="1" x14ac:dyDescent="0.25"/>
    <row r="89949" s="12" customFormat="1" x14ac:dyDescent="0.25"/>
    <row r="89950" s="12" customFormat="1" x14ac:dyDescent="0.25"/>
    <row r="89951" s="12" customFormat="1" x14ac:dyDescent="0.25"/>
    <row r="89952" s="12" customFormat="1" x14ac:dyDescent="0.25"/>
    <row r="89953" s="12" customFormat="1" x14ac:dyDescent="0.25"/>
    <row r="89954" s="12" customFormat="1" x14ac:dyDescent="0.25"/>
    <row r="89955" s="12" customFormat="1" x14ac:dyDescent="0.25"/>
    <row r="89956" s="12" customFormat="1" x14ac:dyDescent="0.25"/>
    <row r="89957" s="12" customFormat="1" x14ac:dyDescent="0.25"/>
    <row r="89958" s="12" customFormat="1" x14ac:dyDescent="0.25"/>
    <row r="89959" s="12" customFormat="1" x14ac:dyDescent="0.25"/>
    <row r="89960" s="12" customFormat="1" x14ac:dyDescent="0.25"/>
    <row r="89961" s="12" customFormat="1" x14ac:dyDescent="0.25"/>
    <row r="89962" s="12" customFormat="1" x14ac:dyDescent="0.25"/>
    <row r="89963" s="12" customFormat="1" x14ac:dyDescent="0.25"/>
    <row r="89964" s="12" customFormat="1" x14ac:dyDescent="0.25"/>
    <row r="89965" s="12" customFormat="1" x14ac:dyDescent="0.25"/>
    <row r="89966" s="12" customFormat="1" x14ac:dyDescent="0.25"/>
    <row r="89967" s="12" customFormat="1" x14ac:dyDescent="0.25"/>
    <row r="89968" s="12" customFormat="1" x14ac:dyDescent="0.25"/>
    <row r="89969" s="12" customFormat="1" x14ac:dyDescent="0.25"/>
    <row r="89970" s="12" customFormat="1" x14ac:dyDescent="0.25"/>
    <row r="89971" s="12" customFormat="1" x14ac:dyDescent="0.25"/>
    <row r="89972" s="12" customFormat="1" x14ac:dyDescent="0.25"/>
    <row r="89973" s="12" customFormat="1" x14ac:dyDescent="0.25"/>
    <row r="89974" s="12" customFormat="1" x14ac:dyDescent="0.25"/>
    <row r="89975" s="12" customFormat="1" x14ac:dyDescent="0.25"/>
    <row r="89976" s="12" customFormat="1" x14ac:dyDescent="0.25"/>
    <row r="89977" s="12" customFormat="1" x14ac:dyDescent="0.25"/>
    <row r="89978" s="12" customFormat="1" x14ac:dyDescent="0.25"/>
    <row r="89979" s="12" customFormat="1" x14ac:dyDescent="0.25"/>
    <row r="89980" s="12" customFormat="1" x14ac:dyDescent="0.25"/>
    <row r="89981" s="12" customFormat="1" x14ac:dyDescent="0.25"/>
    <row r="89982" s="12" customFormat="1" x14ac:dyDescent="0.25"/>
    <row r="89983" s="12" customFormat="1" x14ac:dyDescent="0.25"/>
    <row r="89984" s="12" customFormat="1" x14ac:dyDescent="0.25"/>
    <row r="89985" s="12" customFormat="1" x14ac:dyDescent="0.25"/>
    <row r="89986" s="12" customFormat="1" x14ac:dyDescent="0.25"/>
    <row r="89987" s="12" customFormat="1" x14ac:dyDescent="0.25"/>
    <row r="89988" s="12" customFormat="1" x14ac:dyDescent="0.25"/>
    <row r="89989" s="12" customFormat="1" x14ac:dyDescent="0.25"/>
    <row r="89990" s="12" customFormat="1" x14ac:dyDescent="0.25"/>
    <row r="89991" s="12" customFormat="1" x14ac:dyDescent="0.25"/>
    <row r="89992" s="12" customFormat="1" x14ac:dyDescent="0.25"/>
    <row r="89993" s="12" customFormat="1" x14ac:dyDescent="0.25"/>
    <row r="89994" s="12" customFormat="1" x14ac:dyDescent="0.25"/>
    <row r="89995" s="12" customFormat="1" x14ac:dyDescent="0.25"/>
    <row r="89996" s="12" customFormat="1" x14ac:dyDescent="0.25"/>
    <row r="89997" s="12" customFormat="1" x14ac:dyDescent="0.25"/>
    <row r="89998" s="12" customFormat="1" x14ac:dyDescent="0.25"/>
    <row r="89999" s="12" customFormat="1" x14ac:dyDescent="0.25"/>
    <row r="90000" s="12" customFormat="1" x14ac:dyDescent="0.25"/>
    <row r="90001" s="12" customFormat="1" x14ac:dyDescent="0.25"/>
    <row r="90002" s="12" customFormat="1" x14ac:dyDescent="0.25"/>
    <row r="90003" s="12" customFormat="1" x14ac:dyDescent="0.25"/>
    <row r="90004" s="12" customFormat="1" x14ac:dyDescent="0.25"/>
    <row r="90005" s="12" customFormat="1" x14ac:dyDescent="0.25"/>
    <row r="90006" s="12" customFormat="1" x14ac:dyDescent="0.25"/>
    <row r="90007" s="12" customFormat="1" x14ac:dyDescent="0.25"/>
    <row r="90008" s="12" customFormat="1" x14ac:dyDescent="0.25"/>
    <row r="90009" s="12" customFormat="1" x14ac:dyDescent="0.25"/>
    <row r="90010" s="12" customFormat="1" x14ac:dyDescent="0.25"/>
    <row r="90011" s="12" customFormat="1" x14ac:dyDescent="0.25"/>
    <row r="90012" s="12" customFormat="1" x14ac:dyDescent="0.25"/>
    <row r="90013" s="12" customFormat="1" x14ac:dyDescent="0.25"/>
    <row r="90014" s="12" customFormat="1" x14ac:dyDescent="0.25"/>
    <row r="90015" s="12" customFormat="1" x14ac:dyDescent="0.25"/>
    <row r="90016" s="12" customFormat="1" x14ac:dyDescent="0.25"/>
    <row r="90017" s="12" customFormat="1" x14ac:dyDescent="0.25"/>
    <row r="90018" s="12" customFormat="1" x14ac:dyDescent="0.25"/>
    <row r="90019" s="12" customFormat="1" x14ac:dyDescent="0.25"/>
    <row r="90020" s="12" customFormat="1" x14ac:dyDescent="0.25"/>
    <row r="90021" s="12" customFormat="1" x14ac:dyDescent="0.25"/>
    <row r="90022" s="12" customFormat="1" x14ac:dyDescent="0.25"/>
    <row r="90023" s="12" customFormat="1" x14ac:dyDescent="0.25"/>
    <row r="90024" s="12" customFormat="1" x14ac:dyDescent="0.25"/>
    <row r="90025" s="12" customFormat="1" x14ac:dyDescent="0.25"/>
    <row r="90026" s="12" customFormat="1" x14ac:dyDescent="0.25"/>
    <row r="90027" s="12" customFormat="1" x14ac:dyDescent="0.25"/>
    <row r="90028" s="12" customFormat="1" x14ac:dyDescent="0.25"/>
    <row r="90029" s="12" customFormat="1" x14ac:dyDescent="0.25"/>
    <row r="90030" s="12" customFormat="1" x14ac:dyDescent="0.25"/>
    <row r="90031" s="12" customFormat="1" x14ac:dyDescent="0.25"/>
    <row r="90032" s="12" customFormat="1" x14ac:dyDescent="0.25"/>
    <row r="90033" s="12" customFormat="1" x14ac:dyDescent="0.25"/>
    <row r="90034" s="12" customFormat="1" x14ac:dyDescent="0.25"/>
    <row r="90035" s="12" customFormat="1" x14ac:dyDescent="0.25"/>
    <row r="90036" s="12" customFormat="1" x14ac:dyDescent="0.25"/>
    <row r="90037" s="12" customFormat="1" x14ac:dyDescent="0.25"/>
    <row r="90038" s="12" customFormat="1" x14ac:dyDescent="0.25"/>
    <row r="90039" s="12" customFormat="1" x14ac:dyDescent="0.25"/>
    <row r="90040" s="12" customFormat="1" x14ac:dyDescent="0.25"/>
    <row r="90041" s="12" customFormat="1" x14ac:dyDescent="0.25"/>
    <row r="90042" s="12" customFormat="1" x14ac:dyDescent="0.25"/>
    <row r="90043" s="12" customFormat="1" x14ac:dyDescent="0.25"/>
    <row r="90044" s="12" customFormat="1" x14ac:dyDescent="0.25"/>
    <row r="90045" s="12" customFormat="1" x14ac:dyDescent="0.25"/>
    <row r="90046" s="12" customFormat="1" x14ac:dyDescent="0.25"/>
    <row r="90047" s="12" customFormat="1" x14ac:dyDescent="0.25"/>
    <row r="90048" s="12" customFormat="1" x14ac:dyDescent="0.25"/>
    <row r="90049" s="12" customFormat="1" x14ac:dyDescent="0.25"/>
    <row r="90050" s="12" customFormat="1" x14ac:dyDescent="0.25"/>
    <row r="90051" s="12" customFormat="1" x14ac:dyDescent="0.25"/>
    <row r="90052" s="12" customFormat="1" x14ac:dyDescent="0.25"/>
    <row r="90053" s="12" customFormat="1" x14ac:dyDescent="0.25"/>
    <row r="90054" s="12" customFormat="1" x14ac:dyDescent="0.25"/>
    <row r="90055" s="12" customFormat="1" x14ac:dyDescent="0.25"/>
    <row r="90056" s="12" customFormat="1" x14ac:dyDescent="0.25"/>
    <row r="90057" s="12" customFormat="1" x14ac:dyDescent="0.25"/>
    <row r="90058" s="12" customFormat="1" x14ac:dyDescent="0.25"/>
    <row r="90059" s="12" customFormat="1" x14ac:dyDescent="0.25"/>
    <row r="90060" s="12" customFormat="1" x14ac:dyDescent="0.25"/>
    <row r="90061" s="12" customFormat="1" x14ac:dyDescent="0.25"/>
    <row r="90062" s="12" customFormat="1" x14ac:dyDescent="0.25"/>
    <row r="90063" s="12" customFormat="1" x14ac:dyDescent="0.25"/>
    <row r="90064" s="12" customFormat="1" x14ac:dyDescent="0.25"/>
    <row r="90065" s="12" customFormat="1" x14ac:dyDescent="0.25"/>
    <row r="90066" s="12" customFormat="1" x14ac:dyDescent="0.25"/>
    <row r="90067" s="12" customFormat="1" x14ac:dyDescent="0.25"/>
    <row r="90068" s="12" customFormat="1" x14ac:dyDescent="0.25"/>
    <row r="90069" s="12" customFormat="1" x14ac:dyDescent="0.25"/>
    <row r="90070" s="12" customFormat="1" x14ac:dyDescent="0.25"/>
    <row r="90071" s="12" customFormat="1" x14ac:dyDescent="0.25"/>
    <row r="90072" s="12" customFormat="1" x14ac:dyDescent="0.25"/>
    <row r="90073" s="12" customFormat="1" x14ac:dyDescent="0.25"/>
    <row r="90074" s="12" customFormat="1" x14ac:dyDescent="0.25"/>
    <row r="90075" s="12" customFormat="1" x14ac:dyDescent="0.25"/>
    <row r="90076" s="12" customFormat="1" x14ac:dyDescent="0.25"/>
    <row r="90077" s="12" customFormat="1" x14ac:dyDescent="0.25"/>
    <row r="90078" s="12" customFormat="1" x14ac:dyDescent="0.25"/>
    <row r="90079" s="12" customFormat="1" x14ac:dyDescent="0.25"/>
    <row r="90080" s="12" customFormat="1" x14ac:dyDescent="0.25"/>
    <row r="90081" s="12" customFormat="1" x14ac:dyDescent="0.25"/>
    <row r="90082" s="12" customFormat="1" x14ac:dyDescent="0.25"/>
    <row r="90083" s="12" customFormat="1" x14ac:dyDescent="0.25"/>
    <row r="90084" s="12" customFormat="1" x14ac:dyDescent="0.25"/>
    <row r="90085" s="12" customFormat="1" x14ac:dyDescent="0.25"/>
    <row r="90086" s="12" customFormat="1" x14ac:dyDescent="0.25"/>
    <row r="90087" s="12" customFormat="1" x14ac:dyDescent="0.25"/>
    <row r="90088" s="12" customFormat="1" x14ac:dyDescent="0.25"/>
    <row r="90089" s="12" customFormat="1" x14ac:dyDescent="0.25"/>
    <row r="90090" s="12" customFormat="1" x14ac:dyDescent="0.25"/>
    <row r="90091" s="12" customFormat="1" x14ac:dyDescent="0.25"/>
    <row r="90092" s="12" customFormat="1" x14ac:dyDescent="0.25"/>
    <row r="90093" s="12" customFormat="1" x14ac:dyDescent="0.25"/>
    <row r="90094" s="12" customFormat="1" x14ac:dyDescent="0.25"/>
    <row r="90095" s="12" customFormat="1" x14ac:dyDescent="0.25"/>
    <row r="90096" s="12" customFormat="1" x14ac:dyDescent="0.25"/>
    <row r="90097" s="12" customFormat="1" x14ac:dyDescent="0.25"/>
    <row r="90098" s="12" customFormat="1" x14ac:dyDescent="0.25"/>
    <row r="90099" s="12" customFormat="1" x14ac:dyDescent="0.25"/>
    <row r="90100" s="12" customFormat="1" x14ac:dyDescent="0.25"/>
    <row r="90101" s="12" customFormat="1" x14ac:dyDescent="0.25"/>
    <row r="90102" s="12" customFormat="1" x14ac:dyDescent="0.25"/>
    <row r="90103" s="12" customFormat="1" x14ac:dyDescent="0.25"/>
    <row r="90104" s="12" customFormat="1" x14ac:dyDescent="0.25"/>
    <row r="90105" s="12" customFormat="1" x14ac:dyDescent="0.25"/>
    <row r="90106" s="12" customFormat="1" x14ac:dyDescent="0.25"/>
    <row r="90107" s="12" customFormat="1" x14ac:dyDescent="0.25"/>
    <row r="90108" s="12" customFormat="1" x14ac:dyDescent="0.25"/>
    <row r="90109" s="12" customFormat="1" x14ac:dyDescent="0.25"/>
    <row r="90110" s="12" customFormat="1" x14ac:dyDescent="0.25"/>
    <row r="90111" s="12" customFormat="1" x14ac:dyDescent="0.25"/>
    <row r="90112" s="12" customFormat="1" x14ac:dyDescent="0.25"/>
    <row r="90113" s="12" customFormat="1" x14ac:dyDescent="0.25"/>
    <row r="90114" s="12" customFormat="1" x14ac:dyDescent="0.25"/>
    <row r="90115" s="12" customFormat="1" x14ac:dyDescent="0.25"/>
    <row r="90116" s="12" customFormat="1" x14ac:dyDescent="0.25"/>
    <row r="90117" s="12" customFormat="1" x14ac:dyDescent="0.25"/>
    <row r="90118" s="12" customFormat="1" x14ac:dyDescent="0.25"/>
    <row r="90119" s="12" customFormat="1" x14ac:dyDescent="0.25"/>
    <row r="90120" s="12" customFormat="1" x14ac:dyDescent="0.25"/>
    <row r="90121" s="12" customFormat="1" x14ac:dyDescent="0.25"/>
    <row r="90122" s="12" customFormat="1" x14ac:dyDescent="0.25"/>
    <row r="90123" s="12" customFormat="1" x14ac:dyDescent="0.25"/>
    <row r="90124" s="12" customFormat="1" x14ac:dyDescent="0.25"/>
    <row r="90125" s="12" customFormat="1" x14ac:dyDescent="0.25"/>
    <row r="90126" s="12" customFormat="1" x14ac:dyDescent="0.25"/>
    <row r="90127" s="12" customFormat="1" x14ac:dyDescent="0.25"/>
    <row r="90128" s="12" customFormat="1" x14ac:dyDescent="0.25"/>
    <row r="90129" s="12" customFormat="1" x14ac:dyDescent="0.25"/>
    <row r="90130" s="12" customFormat="1" x14ac:dyDescent="0.25"/>
    <row r="90131" s="12" customFormat="1" x14ac:dyDescent="0.25"/>
    <row r="90132" s="12" customFormat="1" x14ac:dyDescent="0.25"/>
    <row r="90133" s="12" customFormat="1" x14ac:dyDescent="0.25"/>
    <row r="90134" s="12" customFormat="1" x14ac:dyDescent="0.25"/>
    <row r="90135" s="12" customFormat="1" x14ac:dyDescent="0.25"/>
    <row r="90136" s="12" customFormat="1" x14ac:dyDescent="0.25"/>
    <row r="90137" s="12" customFormat="1" x14ac:dyDescent="0.25"/>
    <row r="90138" s="12" customFormat="1" x14ac:dyDescent="0.25"/>
    <row r="90139" s="12" customFormat="1" x14ac:dyDescent="0.25"/>
    <row r="90140" s="12" customFormat="1" x14ac:dyDescent="0.25"/>
    <row r="90141" s="12" customFormat="1" x14ac:dyDescent="0.25"/>
    <row r="90142" s="12" customFormat="1" x14ac:dyDescent="0.25"/>
    <row r="90143" s="12" customFormat="1" x14ac:dyDescent="0.25"/>
    <row r="90144" s="12" customFormat="1" x14ac:dyDescent="0.25"/>
    <row r="90145" s="12" customFormat="1" x14ac:dyDescent="0.25"/>
    <row r="90146" s="12" customFormat="1" x14ac:dyDescent="0.25"/>
    <row r="90147" s="12" customFormat="1" x14ac:dyDescent="0.25"/>
    <row r="90148" s="12" customFormat="1" x14ac:dyDescent="0.25"/>
    <row r="90149" s="12" customFormat="1" x14ac:dyDescent="0.25"/>
    <row r="90150" s="12" customFormat="1" x14ac:dyDescent="0.25"/>
    <row r="90151" s="12" customFormat="1" x14ac:dyDescent="0.25"/>
    <row r="90152" s="12" customFormat="1" x14ac:dyDescent="0.25"/>
    <row r="90153" s="12" customFormat="1" x14ac:dyDescent="0.25"/>
    <row r="90154" s="12" customFormat="1" x14ac:dyDescent="0.25"/>
    <row r="90155" s="12" customFormat="1" x14ac:dyDescent="0.25"/>
    <row r="90156" s="12" customFormat="1" x14ac:dyDescent="0.25"/>
    <row r="90157" s="12" customFormat="1" x14ac:dyDescent="0.25"/>
    <row r="90158" s="12" customFormat="1" x14ac:dyDescent="0.25"/>
    <row r="90159" s="12" customFormat="1" x14ac:dyDescent="0.25"/>
    <row r="90160" s="12" customFormat="1" x14ac:dyDescent="0.25"/>
    <row r="90161" s="12" customFormat="1" x14ac:dyDescent="0.25"/>
    <row r="90162" s="12" customFormat="1" x14ac:dyDescent="0.25"/>
    <row r="90163" s="12" customFormat="1" x14ac:dyDescent="0.25"/>
    <row r="90164" s="12" customFormat="1" x14ac:dyDescent="0.25"/>
    <row r="90165" s="12" customFormat="1" x14ac:dyDescent="0.25"/>
    <row r="90166" s="12" customFormat="1" x14ac:dyDescent="0.25"/>
    <row r="90167" s="12" customFormat="1" x14ac:dyDescent="0.25"/>
    <row r="90168" s="12" customFormat="1" x14ac:dyDescent="0.25"/>
    <row r="90169" s="12" customFormat="1" x14ac:dyDescent="0.25"/>
    <row r="90170" s="12" customFormat="1" x14ac:dyDescent="0.25"/>
    <row r="90171" s="12" customFormat="1" x14ac:dyDescent="0.25"/>
    <row r="90172" s="12" customFormat="1" x14ac:dyDescent="0.25"/>
    <row r="90173" s="12" customFormat="1" x14ac:dyDescent="0.25"/>
    <row r="90174" s="12" customFormat="1" x14ac:dyDescent="0.25"/>
    <row r="90175" s="12" customFormat="1" x14ac:dyDescent="0.25"/>
    <row r="90176" s="12" customFormat="1" x14ac:dyDescent="0.25"/>
    <row r="90177" s="12" customFormat="1" x14ac:dyDescent="0.25"/>
    <row r="90178" s="12" customFormat="1" x14ac:dyDescent="0.25"/>
    <row r="90179" s="12" customFormat="1" x14ac:dyDescent="0.25"/>
    <row r="90180" s="12" customFormat="1" x14ac:dyDescent="0.25"/>
    <row r="90181" s="12" customFormat="1" x14ac:dyDescent="0.25"/>
    <row r="90182" s="12" customFormat="1" x14ac:dyDescent="0.25"/>
    <row r="90183" s="12" customFormat="1" x14ac:dyDescent="0.25"/>
    <row r="90184" s="12" customFormat="1" x14ac:dyDescent="0.25"/>
    <row r="90185" s="12" customFormat="1" x14ac:dyDescent="0.25"/>
    <row r="90186" s="12" customFormat="1" x14ac:dyDescent="0.25"/>
    <row r="90187" s="12" customFormat="1" x14ac:dyDescent="0.25"/>
    <row r="90188" s="12" customFormat="1" x14ac:dyDescent="0.25"/>
    <row r="90189" s="12" customFormat="1" x14ac:dyDescent="0.25"/>
    <row r="90190" s="12" customFormat="1" x14ac:dyDescent="0.25"/>
    <row r="90191" s="12" customFormat="1" x14ac:dyDescent="0.25"/>
    <row r="90192" s="12" customFormat="1" x14ac:dyDescent="0.25"/>
    <row r="90193" s="12" customFormat="1" x14ac:dyDescent="0.25"/>
    <row r="90194" s="12" customFormat="1" x14ac:dyDescent="0.25"/>
    <row r="90195" s="12" customFormat="1" x14ac:dyDescent="0.25"/>
    <row r="90196" s="12" customFormat="1" x14ac:dyDescent="0.25"/>
    <row r="90197" s="12" customFormat="1" x14ac:dyDescent="0.25"/>
    <row r="90198" s="12" customFormat="1" x14ac:dyDescent="0.25"/>
    <row r="90199" s="12" customFormat="1" x14ac:dyDescent="0.25"/>
    <row r="90200" s="12" customFormat="1" x14ac:dyDescent="0.25"/>
    <row r="90201" s="12" customFormat="1" x14ac:dyDescent="0.25"/>
    <row r="90202" s="12" customFormat="1" x14ac:dyDescent="0.25"/>
    <row r="90203" s="12" customFormat="1" x14ac:dyDescent="0.25"/>
    <row r="90204" s="12" customFormat="1" x14ac:dyDescent="0.25"/>
    <row r="90205" s="12" customFormat="1" x14ac:dyDescent="0.25"/>
    <row r="90206" s="12" customFormat="1" x14ac:dyDescent="0.25"/>
    <row r="90207" s="12" customFormat="1" x14ac:dyDescent="0.25"/>
    <row r="90208" s="12" customFormat="1" x14ac:dyDescent="0.25"/>
    <row r="90209" s="12" customFormat="1" x14ac:dyDescent="0.25"/>
    <row r="90210" s="12" customFormat="1" x14ac:dyDescent="0.25"/>
    <row r="90211" s="12" customFormat="1" x14ac:dyDescent="0.25"/>
    <row r="90212" s="12" customFormat="1" x14ac:dyDescent="0.25"/>
    <row r="90213" s="12" customFormat="1" x14ac:dyDescent="0.25"/>
    <row r="90214" s="12" customFormat="1" x14ac:dyDescent="0.25"/>
    <row r="90215" s="12" customFormat="1" x14ac:dyDescent="0.25"/>
    <row r="90216" s="12" customFormat="1" x14ac:dyDescent="0.25"/>
    <row r="90217" s="12" customFormat="1" x14ac:dyDescent="0.25"/>
    <row r="90218" s="12" customFormat="1" x14ac:dyDescent="0.25"/>
    <row r="90219" s="12" customFormat="1" x14ac:dyDescent="0.25"/>
    <row r="90220" s="12" customFormat="1" x14ac:dyDescent="0.25"/>
    <row r="90221" s="12" customFormat="1" x14ac:dyDescent="0.25"/>
    <row r="90222" s="12" customFormat="1" x14ac:dyDescent="0.25"/>
    <row r="90223" s="12" customFormat="1" x14ac:dyDescent="0.25"/>
    <row r="90224" s="12" customFormat="1" x14ac:dyDescent="0.25"/>
    <row r="90225" s="12" customFormat="1" x14ac:dyDescent="0.25"/>
    <row r="90226" s="12" customFormat="1" x14ac:dyDescent="0.25"/>
    <row r="90227" s="12" customFormat="1" x14ac:dyDescent="0.25"/>
    <row r="90228" s="12" customFormat="1" x14ac:dyDescent="0.25"/>
    <row r="90229" s="12" customFormat="1" x14ac:dyDescent="0.25"/>
    <row r="90230" s="12" customFormat="1" x14ac:dyDescent="0.25"/>
    <row r="90231" s="12" customFormat="1" x14ac:dyDescent="0.25"/>
    <row r="90232" s="12" customFormat="1" x14ac:dyDescent="0.25"/>
    <row r="90233" s="12" customFormat="1" x14ac:dyDescent="0.25"/>
    <row r="90234" s="12" customFormat="1" x14ac:dyDescent="0.25"/>
    <row r="90235" s="12" customFormat="1" x14ac:dyDescent="0.25"/>
    <row r="90236" s="12" customFormat="1" x14ac:dyDescent="0.25"/>
    <row r="90237" s="12" customFormat="1" x14ac:dyDescent="0.25"/>
    <row r="90238" s="12" customFormat="1" x14ac:dyDescent="0.25"/>
    <row r="90239" s="12" customFormat="1" x14ac:dyDescent="0.25"/>
    <row r="90240" s="12" customFormat="1" x14ac:dyDescent="0.25"/>
    <row r="90241" s="12" customFormat="1" x14ac:dyDescent="0.25"/>
    <row r="90242" s="12" customFormat="1" x14ac:dyDescent="0.25"/>
    <row r="90243" s="12" customFormat="1" x14ac:dyDescent="0.25"/>
    <row r="90244" s="12" customFormat="1" x14ac:dyDescent="0.25"/>
    <row r="90245" s="12" customFormat="1" x14ac:dyDescent="0.25"/>
    <row r="90246" s="12" customFormat="1" x14ac:dyDescent="0.25"/>
    <row r="90247" s="12" customFormat="1" x14ac:dyDescent="0.25"/>
    <row r="90248" s="12" customFormat="1" x14ac:dyDescent="0.25"/>
    <row r="90249" s="12" customFormat="1" x14ac:dyDescent="0.25"/>
    <row r="90250" s="12" customFormat="1" x14ac:dyDescent="0.25"/>
    <row r="90251" s="12" customFormat="1" x14ac:dyDescent="0.25"/>
    <row r="90252" s="12" customFormat="1" x14ac:dyDescent="0.25"/>
    <row r="90253" s="12" customFormat="1" x14ac:dyDescent="0.25"/>
    <row r="90254" s="12" customFormat="1" x14ac:dyDescent="0.25"/>
    <row r="90255" s="12" customFormat="1" x14ac:dyDescent="0.25"/>
    <row r="90256" s="12" customFormat="1" x14ac:dyDescent="0.25"/>
    <row r="90257" s="12" customFormat="1" x14ac:dyDescent="0.25"/>
    <row r="90258" s="12" customFormat="1" x14ac:dyDescent="0.25"/>
    <row r="90259" s="12" customFormat="1" x14ac:dyDescent="0.25"/>
    <row r="90260" s="12" customFormat="1" x14ac:dyDescent="0.25"/>
    <row r="90261" s="12" customFormat="1" x14ac:dyDescent="0.25"/>
    <row r="90262" s="12" customFormat="1" x14ac:dyDescent="0.25"/>
    <row r="90263" s="12" customFormat="1" x14ac:dyDescent="0.25"/>
    <row r="90264" s="12" customFormat="1" x14ac:dyDescent="0.25"/>
    <row r="90265" s="12" customFormat="1" x14ac:dyDescent="0.25"/>
    <row r="90266" s="12" customFormat="1" x14ac:dyDescent="0.25"/>
    <row r="90267" s="12" customFormat="1" x14ac:dyDescent="0.25"/>
    <row r="90268" s="12" customFormat="1" x14ac:dyDescent="0.25"/>
    <row r="90269" s="12" customFormat="1" x14ac:dyDescent="0.25"/>
    <row r="90270" s="12" customFormat="1" x14ac:dyDescent="0.25"/>
    <row r="90271" s="12" customFormat="1" x14ac:dyDescent="0.25"/>
    <row r="90272" s="12" customFormat="1" x14ac:dyDescent="0.25"/>
    <row r="90273" s="12" customFormat="1" x14ac:dyDescent="0.25"/>
    <row r="90274" s="12" customFormat="1" x14ac:dyDescent="0.25"/>
    <row r="90275" s="12" customFormat="1" x14ac:dyDescent="0.25"/>
    <row r="90276" s="12" customFormat="1" x14ac:dyDescent="0.25"/>
    <row r="90277" s="12" customFormat="1" x14ac:dyDescent="0.25"/>
    <row r="90278" s="12" customFormat="1" x14ac:dyDescent="0.25"/>
    <row r="90279" s="12" customFormat="1" x14ac:dyDescent="0.25"/>
    <row r="90280" s="12" customFormat="1" x14ac:dyDescent="0.25"/>
    <row r="90281" s="12" customFormat="1" x14ac:dyDescent="0.25"/>
    <row r="90282" s="12" customFormat="1" x14ac:dyDescent="0.25"/>
    <row r="90283" s="12" customFormat="1" x14ac:dyDescent="0.25"/>
    <row r="90284" s="12" customFormat="1" x14ac:dyDescent="0.25"/>
    <row r="90285" s="12" customFormat="1" x14ac:dyDescent="0.25"/>
    <row r="90286" s="12" customFormat="1" x14ac:dyDescent="0.25"/>
    <row r="90287" s="12" customFormat="1" x14ac:dyDescent="0.25"/>
    <row r="90288" s="12" customFormat="1" x14ac:dyDescent="0.25"/>
    <row r="90289" s="12" customFormat="1" x14ac:dyDescent="0.25"/>
    <row r="90290" s="12" customFormat="1" x14ac:dyDescent="0.25"/>
    <row r="90291" s="12" customFormat="1" x14ac:dyDescent="0.25"/>
    <row r="90292" s="12" customFormat="1" x14ac:dyDescent="0.25"/>
    <row r="90293" s="12" customFormat="1" x14ac:dyDescent="0.25"/>
    <row r="90294" s="12" customFormat="1" x14ac:dyDescent="0.25"/>
    <row r="90295" s="12" customFormat="1" x14ac:dyDescent="0.25"/>
    <row r="90296" s="12" customFormat="1" x14ac:dyDescent="0.25"/>
    <row r="90297" s="12" customFormat="1" x14ac:dyDescent="0.25"/>
    <row r="90298" s="12" customFormat="1" x14ac:dyDescent="0.25"/>
    <row r="90299" s="12" customFormat="1" x14ac:dyDescent="0.25"/>
    <row r="90300" s="12" customFormat="1" x14ac:dyDescent="0.25"/>
    <row r="90301" s="12" customFormat="1" x14ac:dyDescent="0.25"/>
    <row r="90302" s="12" customFormat="1" x14ac:dyDescent="0.25"/>
    <row r="90303" s="12" customFormat="1" x14ac:dyDescent="0.25"/>
    <row r="90304" s="12" customFormat="1" x14ac:dyDescent="0.25"/>
    <row r="90305" s="12" customFormat="1" x14ac:dyDescent="0.25"/>
    <row r="90306" s="12" customFormat="1" x14ac:dyDescent="0.25"/>
    <row r="90307" s="12" customFormat="1" x14ac:dyDescent="0.25"/>
    <row r="90308" s="12" customFormat="1" x14ac:dyDescent="0.25"/>
    <row r="90309" s="12" customFormat="1" x14ac:dyDescent="0.25"/>
    <row r="90310" s="12" customFormat="1" x14ac:dyDescent="0.25"/>
    <row r="90311" s="12" customFormat="1" x14ac:dyDescent="0.25"/>
    <row r="90312" s="12" customFormat="1" x14ac:dyDescent="0.25"/>
    <row r="90313" s="12" customFormat="1" x14ac:dyDescent="0.25"/>
    <row r="90314" s="12" customFormat="1" x14ac:dyDescent="0.25"/>
    <row r="90315" s="12" customFormat="1" x14ac:dyDescent="0.25"/>
    <row r="90316" s="12" customFormat="1" x14ac:dyDescent="0.25"/>
    <row r="90317" s="12" customFormat="1" x14ac:dyDescent="0.25"/>
    <row r="90318" s="12" customFormat="1" x14ac:dyDescent="0.25"/>
    <row r="90319" s="12" customFormat="1" x14ac:dyDescent="0.25"/>
    <row r="90320" s="12" customFormat="1" x14ac:dyDescent="0.25"/>
    <row r="90321" s="12" customFormat="1" x14ac:dyDescent="0.25"/>
    <row r="90322" s="12" customFormat="1" x14ac:dyDescent="0.25"/>
    <row r="90323" s="12" customFormat="1" x14ac:dyDescent="0.25"/>
    <row r="90324" s="12" customFormat="1" x14ac:dyDescent="0.25"/>
    <row r="90325" s="12" customFormat="1" x14ac:dyDescent="0.25"/>
    <row r="90326" s="12" customFormat="1" x14ac:dyDescent="0.25"/>
    <row r="90327" s="12" customFormat="1" x14ac:dyDescent="0.25"/>
    <row r="90328" s="12" customFormat="1" x14ac:dyDescent="0.25"/>
    <row r="90329" s="12" customFormat="1" x14ac:dyDescent="0.25"/>
    <row r="90330" s="12" customFormat="1" x14ac:dyDescent="0.25"/>
    <row r="90331" s="12" customFormat="1" x14ac:dyDescent="0.25"/>
    <row r="90332" s="12" customFormat="1" x14ac:dyDescent="0.25"/>
    <row r="90333" s="12" customFormat="1" x14ac:dyDescent="0.25"/>
    <row r="90334" s="12" customFormat="1" x14ac:dyDescent="0.25"/>
    <row r="90335" s="12" customFormat="1" x14ac:dyDescent="0.25"/>
    <row r="90336" s="12" customFormat="1" x14ac:dyDescent="0.25"/>
    <row r="90337" s="12" customFormat="1" x14ac:dyDescent="0.25"/>
    <row r="90338" s="12" customFormat="1" x14ac:dyDescent="0.25"/>
    <row r="90339" s="12" customFormat="1" x14ac:dyDescent="0.25"/>
    <row r="90340" s="12" customFormat="1" x14ac:dyDescent="0.25"/>
    <row r="90341" s="12" customFormat="1" x14ac:dyDescent="0.25"/>
    <row r="90342" s="12" customFormat="1" x14ac:dyDescent="0.25"/>
    <row r="90343" s="12" customFormat="1" x14ac:dyDescent="0.25"/>
    <row r="90344" s="12" customFormat="1" x14ac:dyDescent="0.25"/>
    <row r="90345" s="12" customFormat="1" x14ac:dyDescent="0.25"/>
    <row r="90346" s="12" customFormat="1" x14ac:dyDescent="0.25"/>
    <row r="90347" s="12" customFormat="1" x14ac:dyDescent="0.25"/>
    <row r="90348" s="12" customFormat="1" x14ac:dyDescent="0.25"/>
    <row r="90349" s="12" customFormat="1" x14ac:dyDescent="0.25"/>
    <row r="90350" s="12" customFormat="1" x14ac:dyDescent="0.25"/>
    <row r="90351" s="12" customFormat="1" x14ac:dyDescent="0.25"/>
    <row r="90352" s="12" customFormat="1" x14ac:dyDescent="0.25"/>
    <row r="90353" s="12" customFormat="1" x14ac:dyDescent="0.25"/>
    <row r="90354" s="12" customFormat="1" x14ac:dyDescent="0.25"/>
    <row r="90355" s="12" customFormat="1" x14ac:dyDescent="0.25"/>
    <row r="90356" s="12" customFormat="1" x14ac:dyDescent="0.25"/>
    <row r="90357" s="12" customFormat="1" x14ac:dyDescent="0.25"/>
    <row r="90358" s="12" customFormat="1" x14ac:dyDescent="0.25"/>
    <row r="90359" s="12" customFormat="1" x14ac:dyDescent="0.25"/>
    <row r="90360" s="12" customFormat="1" x14ac:dyDescent="0.25"/>
    <row r="90361" s="12" customFormat="1" x14ac:dyDescent="0.25"/>
    <row r="90362" s="12" customFormat="1" x14ac:dyDescent="0.25"/>
    <row r="90363" s="12" customFormat="1" x14ac:dyDescent="0.25"/>
    <row r="90364" s="12" customFormat="1" x14ac:dyDescent="0.25"/>
    <row r="90365" s="12" customFormat="1" x14ac:dyDescent="0.25"/>
    <row r="90366" s="12" customFormat="1" x14ac:dyDescent="0.25"/>
    <row r="90367" s="12" customFormat="1" x14ac:dyDescent="0.25"/>
    <row r="90368" s="12" customFormat="1" x14ac:dyDescent="0.25"/>
    <row r="90369" s="12" customFormat="1" x14ac:dyDescent="0.25"/>
    <row r="90370" s="12" customFormat="1" x14ac:dyDescent="0.25"/>
    <row r="90371" s="12" customFormat="1" x14ac:dyDescent="0.25"/>
    <row r="90372" s="12" customFormat="1" x14ac:dyDescent="0.25"/>
    <row r="90373" s="12" customFormat="1" x14ac:dyDescent="0.25"/>
    <row r="90374" s="12" customFormat="1" x14ac:dyDescent="0.25"/>
    <row r="90375" s="12" customFormat="1" x14ac:dyDescent="0.25"/>
    <row r="90376" s="12" customFormat="1" x14ac:dyDescent="0.25"/>
    <row r="90377" s="12" customFormat="1" x14ac:dyDescent="0.25"/>
    <row r="90378" s="12" customFormat="1" x14ac:dyDescent="0.25"/>
    <row r="90379" s="12" customFormat="1" x14ac:dyDescent="0.25"/>
    <row r="90380" s="12" customFormat="1" x14ac:dyDescent="0.25"/>
    <row r="90381" s="12" customFormat="1" x14ac:dyDescent="0.25"/>
    <row r="90382" s="12" customFormat="1" x14ac:dyDescent="0.25"/>
    <row r="90383" s="12" customFormat="1" x14ac:dyDescent="0.25"/>
    <row r="90384" s="12" customFormat="1" x14ac:dyDescent="0.25"/>
    <row r="90385" s="12" customFormat="1" x14ac:dyDescent="0.25"/>
    <row r="90386" s="12" customFormat="1" x14ac:dyDescent="0.25"/>
    <row r="90387" s="12" customFormat="1" x14ac:dyDescent="0.25"/>
    <row r="90388" s="12" customFormat="1" x14ac:dyDescent="0.25"/>
    <row r="90389" s="12" customFormat="1" x14ac:dyDescent="0.25"/>
    <row r="90390" s="12" customFormat="1" x14ac:dyDescent="0.25"/>
    <row r="90391" s="12" customFormat="1" x14ac:dyDescent="0.25"/>
    <row r="90392" s="12" customFormat="1" x14ac:dyDescent="0.25"/>
    <row r="90393" s="12" customFormat="1" x14ac:dyDescent="0.25"/>
    <row r="90394" s="12" customFormat="1" x14ac:dyDescent="0.25"/>
    <row r="90395" s="12" customFormat="1" x14ac:dyDescent="0.25"/>
    <row r="90396" s="12" customFormat="1" x14ac:dyDescent="0.25"/>
    <row r="90397" s="12" customFormat="1" x14ac:dyDescent="0.25"/>
    <row r="90398" s="12" customFormat="1" x14ac:dyDescent="0.25"/>
    <row r="90399" s="12" customFormat="1" x14ac:dyDescent="0.25"/>
    <row r="90400" s="12" customFormat="1" x14ac:dyDescent="0.25"/>
    <row r="90401" s="12" customFormat="1" x14ac:dyDescent="0.25"/>
    <row r="90402" s="12" customFormat="1" x14ac:dyDescent="0.25"/>
    <row r="90403" s="12" customFormat="1" x14ac:dyDescent="0.25"/>
    <row r="90404" s="12" customFormat="1" x14ac:dyDescent="0.25"/>
    <row r="90405" s="12" customFormat="1" x14ac:dyDescent="0.25"/>
    <row r="90406" s="12" customFormat="1" x14ac:dyDescent="0.25"/>
    <row r="90407" s="12" customFormat="1" x14ac:dyDescent="0.25"/>
    <row r="90408" s="12" customFormat="1" x14ac:dyDescent="0.25"/>
    <row r="90409" s="12" customFormat="1" x14ac:dyDescent="0.25"/>
    <row r="90410" s="12" customFormat="1" x14ac:dyDescent="0.25"/>
    <row r="90411" s="12" customFormat="1" x14ac:dyDescent="0.25"/>
    <row r="90412" s="12" customFormat="1" x14ac:dyDescent="0.25"/>
    <row r="90413" s="12" customFormat="1" x14ac:dyDescent="0.25"/>
    <row r="90414" s="12" customFormat="1" x14ac:dyDescent="0.25"/>
    <row r="90415" s="12" customFormat="1" x14ac:dyDescent="0.25"/>
    <row r="90416" s="12" customFormat="1" x14ac:dyDescent="0.25"/>
    <row r="90417" s="12" customFormat="1" x14ac:dyDescent="0.25"/>
    <row r="90418" s="12" customFormat="1" x14ac:dyDescent="0.25"/>
    <row r="90419" s="12" customFormat="1" x14ac:dyDescent="0.25"/>
    <row r="90420" s="12" customFormat="1" x14ac:dyDescent="0.25"/>
    <row r="90421" s="12" customFormat="1" x14ac:dyDescent="0.25"/>
    <row r="90422" s="12" customFormat="1" x14ac:dyDescent="0.25"/>
    <row r="90423" s="12" customFormat="1" x14ac:dyDescent="0.25"/>
    <row r="90424" s="12" customFormat="1" x14ac:dyDescent="0.25"/>
    <row r="90425" s="12" customFormat="1" x14ac:dyDescent="0.25"/>
    <row r="90426" s="12" customFormat="1" x14ac:dyDescent="0.25"/>
    <row r="90427" s="12" customFormat="1" x14ac:dyDescent="0.25"/>
    <row r="90428" s="12" customFormat="1" x14ac:dyDescent="0.25"/>
    <row r="90429" s="12" customFormat="1" x14ac:dyDescent="0.25"/>
    <row r="90430" s="12" customFormat="1" x14ac:dyDescent="0.25"/>
    <row r="90431" s="12" customFormat="1" x14ac:dyDescent="0.25"/>
    <row r="90432" s="12" customFormat="1" x14ac:dyDescent="0.25"/>
    <row r="90433" s="12" customFormat="1" x14ac:dyDescent="0.25"/>
    <row r="90434" s="12" customFormat="1" x14ac:dyDescent="0.25"/>
    <row r="90435" s="12" customFormat="1" x14ac:dyDescent="0.25"/>
    <row r="90436" s="12" customFormat="1" x14ac:dyDescent="0.25"/>
    <row r="90437" s="12" customFormat="1" x14ac:dyDescent="0.25"/>
    <row r="90438" s="12" customFormat="1" x14ac:dyDescent="0.25"/>
    <row r="90439" s="12" customFormat="1" x14ac:dyDescent="0.25"/>
    <row r="90440" s="12" customFormat="1" x14ac:dyDescent="0.25"/>
    <row r="90441" s="12" customFormat="1" x14ac:dyDescent="0.25"/>
    <row r="90442" s="12" customFormat="1" x14ac:dyDescent="0.25"/>
    <row r="90443" s="12" customFormat="1" x14ac:dyDescent="0.25"/>
    <row r="90444" s="12" customFormat="1" x14ac:dyDescent="0.25"/>
    <row r="90445" s="12" customFormat="1" x14ac:dyDescent="0.25"/>
    <row r="90446" s="12" customFormat="1" x14ac:dyDescent="0.25"/>
    <row r="90447" s="12" customFormat="1" x14ac:dyDescent="0.25"/>
    <row r="90448" s="12" customFormat="1" x14ac:dyDescent="0.25"/>
    <row r="90449" s="12" customFormat="1" x14ac:dyDescent="0.25"/>
    <row r="90450" s="12" customFormat="1" x14ac:dyDescent="0.25"/>
    <row r="90451" s="12" customFormat="1" x14ac:dyDescent="0.25"/>
    <row r="90452" s="12" customFormat="1" x14ac:dyDescent="0.25"/>
    <row r="90453" s="12" customFormat="1" x14ac:dyDescent="0.25"/>
    <row r="90454" s="12" customFormat="1" x14ac:dyDescent="0.25"/>
    <row r="90455" s="12" customFormat="1" x14ac:dyDescent="0.25"/>
    <row r="90456" s="12" customFormat="1" x14ac:dyDescent="0.25"/>
    <row r="90457" s="12" customFormat="1" x14ac:dyDescent="0.25"/>
    <row r="90458" s="12" customFormat="1" x14ac:dyDescent="0.25"/>
    <row r="90459" s="12" customFormat="1" x14ac:dyDescent="0.25"/>
    <row r="90460" s="12" customFormat="1" x14ac:dyDescent="0.25"/>
    <row r="90461" s="12" customFormat="1" x14ac:dyDescent="0.25"/>
    <row r="90462" s="12" customFormat="1" x14ac:dyDescent="0.25"/>
    <row r="90463" s="12" customFormat="1" x14ac:dyDescent="0.25"/>
    <row r="90464" s="12" customFormat="1" x14ac:dyDescent="0.25"/>
    <row r="90465" s="12" customFormat="1" x14ac:dyDescent="0.25"/>
    <row r="90466" s="12" customFormat="1" x14ac:dyDescent="0.25"/>
    <row r="90467" s="12" customFormat="1" x14ac:dyDescent="0.25"/>
    <row r="90468" s="12" customFormat="1" x14ac:dyDescent="0.25"/>
    <row r="90469" s="12" customFormat="1" x14ac:dyDescent="0.25"/>
    <row r="90470" s="12" customFormat="1" x14ac:dyDescent="0.25"/>
    <row r="90471" s="12" customFormat="1" x14ac:dyDescent="0.25"/>
    <row r="90472" s="12" customFormat="1" x14ac:dyDescent="0.25"/>
    <row r="90473" s="12" customFormat="1" x14ac:dyDescent="0.25"/>
    <row r="90474" s="12" customFormat="1" x14ac:dyDescent="0.25"/>
    <row r="90475" s="12" customFormat="1" x14ac:dyDescent="0.25"/>
    <row r="90476" s="12" customFormat="1" x14ac:dyDescent="0.25"/>
    <row r="90477" s="12" customFormat="1" x14ac:dyDescent="0.25"/>
    <row r="90478" s="12" customFormat="1" x14ac:dyDescent="0.25"/>
    <row r="90479" s="12" customFormat="1" x14ac:dyDescent="0.25"/>
    <row r="90480" s="12" customFormat="1" x14ac:dyDescent="0.25"/>
    <row r="90481" s="12" customFormat="1" x14ac:dyDescent="0.25"/>
    <row r="90482" s="12" customFormat="1" x14ac:dyDescent="0.25"/>
    <row r="90483" s="12" customFormat="1" x14ac:dyDescent="0.25"/>
    <row r="90484" s="12" customFormat="1" x14ac:dyDescent="0.25"/>
    <row r="90485" s="12" customFormat="1" x14ac:dyDescent="0.25"/>
    <row r="90486" s="12" customFormat="1" x14ac:dyDescent="0.25"/>
    <row r="90487" s="12" customFormat="1" x14ac:dyDescent="0.25"/>
    <row r="90488" s="12" customFormat="1" x14ac:dyDescent="0.25"/>
    <row r="90489" s="12" customFormat="1" x14ac:dyDescent="0.25"/>
    <row r="90490" s="12" customFormat="1" x14ac:dyDescent="0.25"/>
    <row r="90491" s="12" customFormat="1" x14ac:dyDescent="0.25"/>
    <row r="90492" s="12" customFormat="1" x14ac:dyDescent="0.25"/>
    <row r="90493" s="12" customFormat="1" x14ac:dyDescent="0.25"/>
    <row r="90494" s="12" customFormat="1" x14ac:dyDescent="0.25"/>
    <row r="90495" s="12" customFormat="1" x14ac:dyDescent="0.25"/>
    <row r="90496" s="12" customFormat="1" x14ac:dyDescent="0.25"/>
    <row r="90497" s="12" customFormat="1" x14ac:dyDescent="0.25"/>
    <row r="90498" s="12" customFormat="1" x14ac:dyDescent="0.25"/>
    <row r="90499" s="12" customFormat="1" x14ac:dyDescent="0.25"/>
    <row r="90500" s="12" customFormat="1" x14ac:dyDescent="0.25"/>
    <row r="90501" s="12" customFormat="1" x14ac:dyDescent="0.25"/>
    <row r="90502" s="12" customFormat="1" x14ac:dyDescent="0.25"/>
    <row r="90503" s="12" customFormat="1" x14ac:dyDescent="0.25"/>
    <row r="90504" s="12" customFormat="1" x14ac:dyDescent="0.25"/>
    <row r="90505" s="12" customFormat="1" x14ac:dyDescent="0.25"/>
    <row r="90506" s="12" customFormat="1" x14ac:dyDescent="0.25"/>
    <row r="90507" s="12" customFormat="1" x14ac:dyDescent="0.25"/>
    <row r="90508" s="12" customFormat="1" x14ac:dyDescent="0.25"/>
    <row r="90509" s="12" customFormat="1" x14ac:dyDescent="0.25"/>
    <row r="90510" s="12" customFormat="1" x14ac:dyDescent="0.25"/>
    <row r="90511" s="12" customFormat="1" x14ac:dyDescent="0.25"/>
    <row r="90512" s="12" customFormat="1" x14ac:dyDescent="0.25"/>
    <row r="90513" s="12" customFormat="1" x14ac:dyDescent="0.25"/>
    <row r="90514" s="12" customFormat="1" x14ac:dyDescent="0.25"/>
    <row r="90515" s="12" customFormat="1" x14ac:dyDescent="0.25"/>
    <row r="90516" s="12" customFormat="1" x14ac:dyDescent="0.25"/>
    <row r="90517" s="12" customFormat="1" x14ac:dyDescent="0.25"/>
    <row r="90518" s="12" customFormat="1" x14ac:dyDescent="0.25"/>
    <row r="90519" s="12" customFormat="1" x14ac:dyDescent="0.25"/>
    <row r="90520" s="12" customFormat="1" x14ac:dyDescent="0.25"/>
    <row r="90521" s="12" customFormat="1" x14ac:dyDescent="0.25"/>
    <row r="90522" s="12" customFormat="1" x14ac:dyDescent="0.25"/>
    <row r="90523" s="12" customFormat="1" x14ac:dyDescent="0.25"/>
    <row r="90524" s="12" customFormat="1" x14ac:dyDescent="0.25"/>
    <row r="90525" s="12" customFormat="1" x14ac:dyDescent="0.25"/>
    <row r="90526" s="12" customFormat="1" x14ac:dyDescent="0.25"/>
    <row r="90527" s="12" customFormat="1" x14ac:dyDescent="0.25"/>
    <row r="90528" s="12" customFormat="1" x14ac:dyDescent="0.25"/>
    <row r="90529" s="12" customFormat="1" x14ac:dyDescent="0.25"/>
    <row r="90530" s="12" customFormat="1" x14ac:dyDescent="0.25"/>
    <row r="90531" s="12" customFormat="1" x14ac:dyDescent="0.25"/>
    <row r="90532" s="12" customFormat="1" x14ac:dyDescent="0.25"/>
    <row r="90533" s="12" customFormat="1" x14ac:dyDescent="0.25"/>
    <row r="90534" s="12" customFormat="1" x14ac:dyDescent="0.25"/>
    <row r="90535" s="12" customFormat="1" x14ac:dyDescent="0.25"/>
    <row r="90536" s="12" customFormat="1" x14ac:dyDescent="0.25"/>
    <row r="90537" s="12" customFormat="1" x14ac:dyDescent="0.25"/>
    <row r="90538" s="12" customFormat="1" x14ac:dyDescent="0.25"/>
    <row r="90539" s="12" customFormat="1" x14ac:dyDescent="0.25"/>
    <row r="90540" s="12" customFormat="1" x14ac:dyDescent="0.25"/>
    <row r="90541" s="12" customFormat="1" x14ac:dyDescent="0.25"/>
    <row r="90542" s="12" customFormat="1" x14ac:dyDescent="0.25"/>
    <row r="90543" s="12" customFormat="1" x14ac:dyDescent="0.25"/>
    <row r="90544" s="12" customFormat="1" x14ac:dyDescent="0.25"/>
    <row r="90545" s="12" customFormat="1" x14ac:dyDescent="0.25"/>
    <row r="90546" s="12" customFormat="1" x14ac:dyDescent="0.25"/>
    <row r="90547" s="12" customFormat="1" x14ac:dyDescent="0.25"/>
    <row r="90548" s="12" customFormat="1" x14ac:dyDescent="0.25"/>
    <row r="90549" s="12" customFormat="1" x14ac:dyDescent="0.25"/>
    <row r="90550" s="12" customFormat="1" x14ac:dyDescent="0.25"/>
    <row r="90551" s="12" customFormat="1" x14ac:dyDescent="0.25"/>
    <row r="90552" s="12" customFormat="1" x14ac:dyDescent="0.25"/>
    <row r="90553" s="12" customFormat="1" x14ac:dyDescent="0.25"/>
    <row r="90554" s="12" customFormat="1" x14ac:dyDescent="0.25"/>
    <row r="90555" s="12" customFormat="1" x14ac:dyDescent="0.25"/>
    <row r="90556" s="12" customFormat="1" x14ac:dyDescent="0.25"/>
    <row r="90557" s="12" customFormat="1" x14ac:dyDescent="0.25"/>
    <row r="90558" s="12" customFormat="1" x14ac:dyDescent="0.25"/>
    <row r="90559" s="12" customFormat="1" x14ac:dyDescent="0.25"/>
    <row r="90560" s="12" customFormat="1" x14ac:dyDescent="0.25"/>
    <row r="90561" s="12" customFormat="1" x14ac:dyDescent="0.25"/>
    <row r="90562" s="12" customFormat="1" x14ac:dyDescent="0.25"/>
    <row r="90563" s="12" customFormat="1" x14ac:dyDescent="0.25"/>
    <row r="90564" s="12" customFormat="1" x14ac:dyDescent="0.25"/>
    <row r="90565" s="12" customFormat="1" x14ac:dyDescent="0.25"/>
    <row r="90566" s="12" customFormat="1" x14ac:dyDescent="0.25"/>
    <row r="90567" s="12" customFormat="1" x14ac:dyDescent="0.25"/>
    <row r="90568" s="12" customFormat="1" x14ac:dyDescent="0.25"/>
    <row r="90569" s="12" customFormat="1" x14ac:dyDescent="0.25"/>
    <row r="90570" s="12" customFormat="1" x14ac:dyDescent="0.25"/>
    <row r="90571" s="12" customFormat="1" x14ac:dyDescent="0.25"/>
    <row r="90572" s="12" customFormat="1" x14ac:dyDescent="0.25"/>
    <row r="90573" s="12" customFormat="1" x14ac:dyDescent="0.25"/>
    <row r="90574" s="12" customFormat="1" x14ac:dyDescent="0.25"/>
    <row r="90575" s="12" customFormat="1" x14ac:dyDescent="0.25"/>
    <row r="90576" s="12" customFormat="1" x14ac:dyDescent="0.25"/>
    <row r="90577" s="12" customFormat="1" x14ac:dyDescent="0.25"/>
    <row r="90578" s="12" customFormat="1" x14ac:dyDescent="0.25"/>
    <row r="90579" s="12" customFormat="1" x14ac:dyDescent="0.25"/>
    <row r="90580" s="12" customFormat="1" x14ac:dyDescent="0.25"/>
    <row r="90581" s="12" customFormat="1" x14ac:dyDescent="0.25"/>
    <row r="90582" s="12" customFormat="1" x14ac:dyDescent="0.25"/>
    <row r="90583" s="12" customFormat="1" x14ac:dyDescent="0.25"/>
    <row r="90584" s="12" customFormat="1" x14ac:dyDescent="0.25"/>
    <row r="90585" s="12" customFormat="1" x14ac:dyDescent="0.25"/>
    <row r="90586" s="12" customFormat="1" x14ac:dyDescent="0.25"/>
    <row r="90587" s="12" customFormat="1" x14ac:dyDescent="0.25"/>
    <row r="90588" s="12" customFormat="1" x14ac:dyDescent="0.25"/>
    <row r="90589" s="12" customFormat="1" x14ac:dyDescent="0.25"/>
    <row r="90590" s="12" customFormat="1" x14ac:dyDescent="0.25"/>
    <row r="90591" s="12" customFormat="1" x14ac:dyDescent="0.25"/>
    <row r="90592" s="12" customFormat="1" x14ac:dyDescent="0.25"/>
    <row r="90593" s="12" customFormat="1" x14ac:dyDescent="0.25"/>
    <row r="90594" s="12" customFormat="1" x14ac:dyDescent="0.25"/>
    <row r="90595" s="12" customFormat="1" x14ac:dyDescent="0.25"/>
    <row r="90596" s="12" customFormat="1" x14ac:dyDescent="0.25"/>
    <row r="90597" s="12" customFormat="1" x14ac:dyDescent="0.25"/>
    <row r="90598" s="12" customFormat="1" x14ac:dyDescent="0.25"/>
    <row r="90599" s="12" customFormat="1" x14ac:dyDescent="0.25"/>
    <row r="90600" s="12" customFormat="1" x14ac:dyDescent="0.25"/>
    <row r="90601" s="12" customFormat="1" x14ac:dyDescent="0.25"/>
    <row r="90602" s="12" customFormat="1" x14ac:dyDescent="0.25"/>
    <row r="90603" s="12" customFormat="1" x14ac:dyDescent="0.25"/>
    <row r="90604" s="12" customFormat="1" x14ac:dyDescent="0.25"/>
    <row r="90605" s="12" customFormat="1" x14ac:dyDescent="0.25"/>
    <row r="90606" s="12" customFormat="1" x14ac:dyDescent="0.25"/>
    <row r="90607" s="12" customFormat="1" x14ac:dyDescent="0.25"/>
    <row r="90608" s="12" customFormat="1" x14ac:dyDescent="0.25"/>
    <row r="90609" s="12" customFormat="1" x14ac:dyDescent="0.25"/>
    <row r="90610" s="12" customFormat="1" x14ac:dyDescent="0.25"/>
    <row r="90611" s="12" customFormat="1" x14ac:dyDescent="0.25"/>
    <row r="90612" s="12" customFormat="1" x14ac:dyDescent="0.25"/>
    <row r="90613" s="12" customFormat="1" x14ac:dyDescent="0.25"/>
    <row r="90614" s="12" customFormat="1" x14ac:dyDescent="0.25"/>
    <row r="90615" s="12" customFormat="1" x14ac:dyDescent="0.25"/>
    <row r="90616" s="12" customFormat="1" x14ac:dyDescent="0.25"/>
    <row r="90617" s="12" customFormat="1" x14ac:dyDescent="0.25"/>
    <row r="90618" s="12" customFormat="1" x14ac:dyDescent="0.25"/>
    <row r="90619" s="12" customFormat="1" x14ac:dyDescent="0.25"/>
    <row r="90620" s="12" customFormat="1" x14ac:dyDescent="0.25"/>
    <row r="90621" s="12" customFormat="1" x14ac:dyDescent="0.25"/>
    <row r="90622" s="12" customFormat="1" x14ac:dyDescent="0.25"/>
    <row r="90623" s="12" customFormat="1" x14ac:dyDescent="0.25"/>
    <row r="90624" s="12" customFormat="1" x14ac:dyDescent="0.25"/>
    <row r="90625" s="12" customFormat="1" x14ac:dyDescent="0.25"/>
    <row r="90626" s="12" customFormat="1" x14ac:dyDescent="0.25"/>
    <row r="90627" s="12" customFormat="1" x14ac:dyDescent="0.25"/>
    <row r="90628" s="12" customFormat="1" x14ac:dyDescent="0.25"/>
    <row r="90629" s="12" customFormat="1" x14ac:dyDescent="0.25"/>
    <row r="90630" s="12" customFormat="1" x14ac:dyDescent="0.25"/>
    <row r="90631" s="12" customFormat="1" x14ac:dyDescent="0.25"/>
    <row r="90632" s="12" customFormat="1" x14ac:dyDescent="0.25"/>
    <row r="90633" s="12" customFormat="1" x14ac:dyDescent="0.25"/>
    <row r="90634" s="12" customFormat="1" x14ac:dyDescent="0.25"/>
    <row r="90635" s="12" customFormat="1" x14ac:dyDescent="0.25"/>
    <row r="90636" s="12" customFormat="1" x14ac:dyDescent="0.25"/>
    <row r="90637" s="12" customFormat="1" x14ac:dyDescent="0.25"/>
    <row r="90638" s="12" customFormat="1" x14ac:dyDescent="0.25"/>
    <row r="90639" s="12" customFormat="1" x14ac:dyDescent="0.25"/>
    <row r="90640" s="12" customFormat="1" x14ac:dyDescent="0.25"/>
    <row r="90641" s="12" customFormat="1" x14ac:dyDescent="0.25"/>
    <row r="90642" s="12" customFormat="1" x14ac:dyDescent="0.25"/>
    <row r="90643" s="12" customFormat="1" x14ac:dyDescent="0.25"/>
    <row r="90644" s="12" customFormat="1" x14ac:dyDescent="0.25"/>
    <row r="90645" s="12" customFormat="1" x14ac:dyDescent="0.25"/>
    <row r="90646" s="12" customFormat="1" x14ac:dyDescent="0.25"/>
    <row r="90647" s="12" customFormat="1" x14ac:dyDescent="0.25"/>
    <row r="90648" s="12" customFormat="1" x14ac:dyDescent="0.25"/>
    <row r="90649" s="12" customFormat="1" x14ac:dyDescent="0.25"/>
    <row r="90650" s="12" customFormat="1" x14ac:dyDescent="0.25"/>
    <row r="90651" s="12" customFormat="1" x14ac:dyDescent="0.25"/>
    <row r="90652" s="12" customFormat="1" x14ac:dyDescent="0.25"/>
    <row r="90653" s="12" customFormat="1" x14ac:dyDescent="0.25"/>
    <row r="90654" s="12" customFormat="1" x14ac:dyDescent="0.25"/>
    <row r="90655" s="12" customFormat="1" x14ac:dyDescent="0.25"/>
    <row r="90656" s="12" customFormat="1" x14ac:dyDescent="0.25"/>
    <row r="90657" s="12" customFormat="1" x14ac:dyDescent="0.25"/>
    <row r="90658" s="12" customFormat="1" x14ac:dyDescent="0.25"/>
    <row r="90659" s="12" customFormat="1" x14ac:dyDescent="0.25"/>
    <row r="90660" s="12" customFormat="1" x14ac:dyDescent="0.25"/>
    <row r="90661" s="12" customFormat="1" x14ac:dyDescent="0.25"/>
    <row r="90662" s="12" customFormat="1" x14ac:dyDescent="0.25"/>
    <row r="90663" s="12" customFormat="1" x14ac:dyDescent="0.25"/>
    <row r="90664" s="12" customFormat="1" x14ac:dyDescent="0.25"/>
    <row r="90665" s="12" customFormat="1" x14ac:dyDescent="0.25"/>
    <row r="90666" s="12" customFormat="1" x14ac:dyDescent="0.25"/>
    <row r="90667" s="12" customFormat="1" x14ac:dyDescent="0.25"/>
    <row r="90668" s="12" customFormat="1" x14ac:dyDescent="0.25"/>
    <row r="90669" s="12" customFormat="1" x14ac:dyDescent="0.25"/>
    <row r="90670" s="12" customFormat="1" x14ac:dyDescent="0.25"/>
    <row r="90671" s="12" customFormat="1" x14ac:dyDescent="0.25"/>
    <row r="90672" s="12" customFormat="1" x14ac:dyDescent="0.25"/>
    <row r="90673" s="12" customFormat="1" x14ac:dyDescent="0.25"/>
    <row r="90674" s="12" customFormat="1" x14ac:dyDescent="0.25"/>
    <row r="90675" s="12" customFormat="1" x14ac:dyDescent="0.25"/>
    <row r="90676" s="12" customFormat="1" x14ac:dyDescent="0.25"/>
    <row r="90677" s="12" customFormat="1" x14ac:dyDescent="0.25"/>
    <row r="90678" s="12" customFormat="1" x14ac:dyDescent="0.25"/>
    <row r="90679" s="12" customFormat="1" x14ac:dyDescent="0.25"/>
    <row r="90680" s="12" customFormat="1" x14ac:dyDescent="0.25"/>
    <row r="90681" s="12" customFormat="1" x14ac:dyDescent="0.25"/>
    <row r="90682" s="12" customFormat="1" x14ac:dyDescent="0.25"/>
    <row r="90683" s="12" customFormat="1" x14ac:dyDescent="0.25"/>
    <row r="90684" s="12" customFormat="1" x14ac:dyDescent="0.25"/>
    <row r="90685" s="12" customFormat="1" x14ac:dyDescent="0.25"/>
    <row r="90686" s="12" customFormat="1" x14ac:dyDescent="0.25"/>
    <row r="90687" s="12" customFormat="1" x14ac:dyDescent="0.25"/>
    <row r="90688" s="12" customFormat="1" x14ac:dyDescent="0.25"/>
    <row r="90689" s="12" customFormat="1" x14ac:dyDescent="0.25"/>
    <row r="90690" s="12" customFormat="1" x14ac:dyDescent="0.25"/>
    <row r="90691" s="12" customFormat="1" x14ac:dyDescent="0.25"/>
    <row r="90692" s="12" customFormat="1" x14ac:dyDescent="0.25"/>
    <row r="90693" s="12" customFormat="1" x14ac:dyDescent="0.25"/>
    <row r="90694" s="12" customFormat="1" x14ac:dyDescent="0.25"/>
    <row r="90695" s="12" customFormat="1" x14ac:dyDescent="0.25"/>
    <row r="90696" s="12" customFormat="1" x14ac:dyDescent="0.25"/>
    <row r="90697" s="12" customFormat="1" x14ac:dyDescent="0.25"/>
    <row r="90698" s="12" customFormat="1" x14ac:dyDescent="0.25"/>
    <row r="90699" s="12" customFormat="1" x14ac:dyDescent="0.25"/>
    <row r="90700" s="12" customFormat="1" x14ac:dyDescent="0.25"/>
    <row r="90701" s="12" customFormat="1" x14ac:dyDescent="0.25"/>
    <row r="90702" s="12" customFormat="1" x14ac:dyDescent="0.25"/>
    <row r="90703" s="12" customFormat="1" x14ac:dyDescent="0.25"/>
    <row r="90704" s="12" customFormat="1" x14ac:dyDescent="0.25"/>
    <row r="90705" s="12" customFormat="1" x14ac:dyDescent="0.25"/>
    <row r="90706" s="12" customFormat="1" x14ac:dyDescent="0.25"/>
    <row r="90707" s="12" customFormat="1" x14ac:dyDescent="0.25"/>
    <row r="90708" s="12" customFormat="1" x14ac:dyDescent="0.25"/>
    <row r="90709" s="12" customFormat="1" x14ac:dyDescent="0.25"/>
    <row r="90710" s="12" customFormat="1" x14ac:dyDescent="0.25"/>
    <row r="90711" s="12" customFormat="1" x14ac:dyDescent="0.25"/>
    <row r="90712" s="12" customFormat="1" x14ac:dyDescent="0.25"/>
    <row r="90713" s="12" customFormat="1" x14ac:dyDescent="0.25"/>
    <row r="90714" s="12" customFormat="1" x14ac:dyDescent="0.25"/>
    <row r="90715" s="12" customFormat="1" x14ac:dyDescent="0.25"/>
    <row r="90716" s="12" customFormat="1" x14ac:dyDescent="0.25"/>
    <row r="90717" s="12" customFormat="1" x14ac:dyDescent="0.25"/>
    <row r="90718" s="12" customFormat="1" x14ac:dyDescent="0.25"/>
    <row r="90719" s="12" customFormat="1" x14ac:dyDescent="0.25"/>
    <row r="90720" s="12" customFormat="1" x14ac:dyDescent="0.25"/>
    <row r="90721" s="12" customFormat="1" x14ac:dyDescent="0.25"/>
    <row r="90722" s="12" customFormat="1" x14ac:dyDescent="0.25"/>
    <row r="90723" s="12" customFormat="1" x14ac:dyDescent="0.25"/>
    <row r="90724" s="12" customFormat="1" x14ac:dyDescent="0.25"/>
    <row r="90725" s="12" customFormat="1" x14ac:dyDescent="0.25"/>
    <row r="90726" s="12" customFormat="1" x14ac:dyDescent="0.25"/>
    <row r="90727" s="12" customFormat="1" x14ac:dyDescent="0.25"/>
    <row r="90728" s="12" customFormat="1" x14ac:dyDescent="0.25"/>
    <row r="90729" s="12" customFormat="1" x14ac:dyDescent="0.25"/>
    <row r="90730" s="12" customFormat="1" x14ac:dyDescent="0.25"/>
    <row r="90731" s="12" customFormat="1" x14ac:dyDescent="0.25"/>
    <row r="90732" s="12" customFormat="1" x14ac:dyDescent="0.25"/>
    <row r="90733" s="12" customFormat="1" x14ac:dyDescent="0.25"/>
    <row r="90734" s="12" customFormat="1" x14ac:dyDescent="0.25"/>
    <row r="90735" s="12" customFormat="1" x14ac:dyDescent="0.25"/>
    <row r="90736" s="12" customFormat="1" x14ac:dyDescent="0.25"/>
    <row r="90737" s="12" customFormat="1" x14ac:dyDescent="0.25"/>
    <row r="90738" s="12" customFormat="1" x14ac:dyDescent="0.25"/>
    <row r="90739" s="12" customFormat="1" x14ac:dyDescent="0.25"/>
    <row r="90740" s="12" customFormat="1" x14ac:dyDescent="0.25"/>
    <row r="90741" s="12" customFormat="1" x14ac:dyDescent="0.25"/>
    <row r="90742" s="12" customFormat="1" x14ac:dyDescent="0.25"/>
    <row r="90743" s="12" customFormat="1" x14ac:dyDescent="0.25"/>
    <row r="90744" s="12" customFormat="1" x14ac:dyDescent="0.25"/>
    <row r="90745" s="12" customFormat="1" x14ac:dyDescent="0.25"/>
    <row r="90746" s="12" customFormat="1" x14ac:dyDescent="0.25"/>
    <row r="90747" s="12" customFormat="1" x14ac:dyDescent="0.25"/>
    <row r="90748" s="12" customFormat="1" x14ac:dyDescent="0.25"/>
    <row r="90749" s="12" customFormat="1" x14ac:dyDescent="0.25"/>
    <row r="90750" s="12" customFormat="1" x14ac:dyDescent="0.25"/>
    <row r="90751" s="12" customFormat="1" x14ac:dyDescent="0.25"/>
    <row r="90752" s="12" customFormat="1" x14ac:dyDescent="0.25"/>
    <row r="90753" s="12" customFormat="1" x14ac:dyDescent="0.25"/>
    <row r="90754" s="12" customFormat="1" x14ac:dyDescent="0.25"/>
    <row r="90755" s="12" customFormat="1" x14ac:dyDescent="0.25"/>
    <row r="90756" s="12" customFormat="1" x14ac:dyDescent="0.25"/>
    <row r="90757" s="12" customFormat="1" x14ac:dyDescent="0.25"/>
    <row r="90758" s="12" customFormat="1" x14ac:dyDescent="0.25"/>
    <row r="90759" s="12" customFormat="1" x14ac:dyDescent="0.25"/>
    <row r="90760" s="12" customFormat="1" x14ac:dyDescent="0.25"/>
    <row r="90761" s="12" customFormat="1" x14ac:dyDescent="0.25"/>
    <row r="90762" s="12" customFormat="1" x14ac:dyDescent="0.25"/>
    <row r="90763" s="12" customFormat="1" x14ac:dyDescent="0.25"/>
    <row r="90764" s="12" customFormat="1" x14ac:dyDescent="0.25"/>
    <row r="90765" s="12" customFormat="1" x14ac:dyDescent="0.25"/>
    <row r="90766" s="12" customFormat="1" x14ac:dyDescent="0.25"/>
    <row r="90767" s="12" customFormat="1" x14ac:dyDescent="0.25"/>
    <row r="90768" s="12" customFormat="1" x14ac:dyDescent="0.25"/>
    <row r="90769" s="12" customFormat="1" x14ac:dyDescent="0.25"/>
    <row r="90770" s="12" customFormat="1" x14ac:dyDescent="0.25"/>
    <row r="90771" s="12" customFormat="1" x14ac:dyDescent="0.25"/>
    <row r="90772" s="12" customFormat="1" x14ac:dyDescent="0.25"/>
    <row r="90773" s="12" customFormat="1" x14ac:dyDescent="0.25"/>
    <row r="90774" s="12" customFormat="1" x14ac:dyDescent="0.25"/>
    <row r="90775" s="12" customFormat="1" x14ac:dyDescent="0.25"/>
    <row r="90776" s="12" customFormat="1" x14ac:dyDescent="0.25"/>
    <row r="90777" s="12" customFormat="1" x14ac:dyDescent="0.25"/>
    <row r="90778" s="12" customFormat="1" x14ac:dyDescent="0.25"/>
    <row r="90779" s="12" customFormat="1" x14ac:dyDescent="0.25"/>
    <row r="90780" s="12" customFormat="1" x14ac:dyDescent="0.25"/>
    <row r="90781" s="12" customFormat="1" x14ac:dyDescent="0.25"/>
    <row r="90782" s="12" customFormat="1" x14ac:dyDescent="0.25"/>
    <row r="90783" s="12" customFormat="1" x14ac:dyDescent="0.25"/>
    <row r="90784" s="12" customFormat="1" x14ac:dyDescent="0.25"/>
    <row r="90785" s="12" customFormat="1" x14ac:dyDescent="0.25"/>
    <row r="90786" s="12" customFormat="1" x14ac:dyDescent="0.25"/>
    <row r="90787" s="12" customFormat="1" x14ac:dyDescent="0.25"/>
    <row r="90788" s="12" customFormat="1" x14ac:dyDescent="0.25"/>
    <row r="90789" s="12" customFormat="1" x14ac:dyDescent="0.25"/>
    <row r="90790" s="12" customFormat="1" x14ac:dyDescent="0.25"/>
    <row r="90791" s="12" customFormat="1" x14ac:dyDescent="0.25"/>
    <row r="90792" s="12" customFormat="1" x14ac:dyDescent="0.25"/>
    <row r="90793" s="12" customFormat="1" x14ac:dyDescent="0.25"/>
    <row r="90794" s="12" customFormat="1" x14ac:dyDescent="0.25"/>
    <row r="90795" s="12" customFormat="1" x14ac:dyDescent="0.25"/>
    <row r="90796" s="12" customFormat="1" x14ac:dyDescent="0.25"/>
    <row r="90797" s="12" customFormat="1" x14ac:dyDescent="0.25"/>
    <row r="90798" s="12" customFormat="1" x14ac:dyDescent="0.25"/>
    <row r="90799" s="12" customFormat="1" x14ac:dyDescent="0.25"/>
    <row r="90800" s="12" customFormat="1" x14ac:dyDescent="0.25"/>
    <row r="90801" s="12" customFormat="1" x14ac:dyDescent="0.25"/>
    <row r="90802" s="12" customFormat="1" x14ac:dyDescent="0.25"/>
    <row r="90803" s="12" customFormat="1" x14ac:dyDescent="0.25"/>
    <row r="90804" s="12" customFormat="1" x14ac:dyDescent="0.25"/>
    <row r="90805" s="12" customFormat="1" x14ac:dyDescent="0.25"/>
    <row r="90806" s="12" customFormat="1" x14ac:dyDescent="0.25"/>
    <row r="90807" s="12" customFormat="1" x14ac:dyDescent="0.25"/>
    <row r="90808" s="12" customFormat="1" x14ac:dyDescent="0.25"/>
    <row r="90809" s="12" customFormat="1" x14ac:dyDescent="0.25"/>
    <row r="90810" s="12" customFormat="1" x14ac:dyDescent="0.25"/>
    <row r="90811" s="12" customFormat="1" x14ac:dyDescent="0.25"/>
    <row r="90812" s="12" customFormat="1" x14ac:dyDescent="0.25"/>
    <row r="90813" s="12" customFormat="1" x14ac:dyDescent="0.25"/>
    <row r="90814" s="12" customFormat="1" x14ac:dyDescent="0.25"/>
    <row r="90815" s="12" customFormat="1" x14ac:dyDescent="0.25"/>
    <row r="90816" s="12" customFormat="1" x14ac:dyDescent="0.25"/>
    <row r="90817" s="12" customFormat="1" x14ac:dyDescent="0.25"/>
    <row r="90818" s="12" customFormat="1" x14ac:dyDescent="0.25"/>
    <row r="90819" s="12" customFormat="1" x14ac:dyDescent="0.25"/>
    <row r="90820" s="12" customFormat="1" x14ac:dyDescent="0.25"/>
    <row r="90821" s="12" customFormat="1" x14ac:dyDescent="0.25"/>
    <row r="90822" s="12" customFormat="1" x14ac:dyDescent="0.25"/>
    <row r="90823" s="12" customFormat="1" x14ac:dyDescent="0.25"/>
    <row r="90824" s="12" customFormat="1" x14ac:dyDescent="0.25"/>
    <row r="90825" s="12" customFormat="1" x14ac:dyDescent="0.25"/>
    <row r="90826" s="12" customFormat="1" x14ac:dyDescent="0.25"/>
    <row r="90827" s="12" customFormat="1" x14ac:dyDescent="0.25"/>
    <row r="90828" s="12" customFormat="1" x14ac:dyDescent="0.25"/>
    <row r="90829" s="12" customFormat="1" x14ac:dyDescent="0.25"/>
    <row r="90830" s="12" customFormat="1" x14ac:dyDescent="0.25"/>
    <row r="90831" s="12" customFormat="1" x14ac:dyDescent="0.25"/>
    <row r="90832" s="12" customFormat="1" x14ac:dyDescent="0.25"/>
    <row r="90833" s="12" customFormat="1" x14ac:dyDescent="0.25"/>
    <row r="90834" s="12" customFormat="1" x14ac:dyDescent="0.25"/>
    <row r="90835" s="12" customFormat="1" x14ac:dyDescent="0.25"/>
    <row r="90836" s="12" customFormat="1" x14ac:dyDescent="0.25"/>
    <row r="90837" s="12" customFormat="1" x14ac:dyDescent="0.25"/>
    <row r="90838" s="12" customFormat="1" x14ac:dyDescent="0.25"/>
    <row r="90839" s="12" customFormat="1" x14ac:dyDescent="0.25"/>
    <row r="90840" s="12" customFormat="1" x14ac:dyDescent="0.25"/>
    <row r="90841" s="12" customFormat="1" x14ac:dyDescent="0.25"/>
    <row r="90842" s="12" customFormat="1" x14ac:dyDescent="0.25"/>
    <row r="90843" s="12" customFormat="1" x14ac:dyDescent="0.25"/>
    <row r="90844" s="12" customFormat="1" x14ac:dyDescent="0.25"/>
    <row r="90845" s="12" customFormat="1" x14ac:dyDescent="0.25"/>
    <row r="90846" s="12" customFormat="1" x14ac:dyDescent="0.25"/>
    <row r="90847" s="12" customFormat="1" x14ac:dyDescent="0.25"/>
    <row r="90848" s="12" customFormat="1" x14ac:dyDescent="0.25"/>
    <row r="90849" s="12" customFormat="1" x14ac:dyDescent="0.25"/>
    <row r="90850" s="12" customFormat="1" x14ac:dyDescent="0.25"/>
    <row r="90851" s="12" customFormat="1" x14ac:dyDescent="0.25"/>
    <row r="90852" s="12" customFormat="1" x14ac:dyDescent="0.25"/>
    <row r="90853" s="12" customFormat="1" x14ac:dyDescent="0.25"/>
    <row r="90854" s="12" customFormat="1" x14ac:dyDescent="0.25"/>
    <row r="90855" s="12" customFormat="1" x14ac:dyDescent="0.25"/>
    <row r="90856" s="12" customFormat="1" x14ac:dyDescent="0.25"/>
    <row r="90857" s="12" customFormat="1" x14ac:dyDescent="0.25"/>
    <row r="90858" s="12" customFormat="1" x14ac:dyDescent="0.25"/>
    <row r="90859" s="12" customFormat="1" x14ac:dyDescent="0.25"/>
    <row r="90860" s="12" customFormat="1" x14ac:dyDescent="0.25"/>
    <row r="90861" s="12" customFormat="1" x14ac:dyDescent="0.25"/>
    <row r="90862" s="12" customFormat="1" x14ac:dyDescent="0.25"/>
    <row r="90863" s="12" customFormat="1" x14ac:dyDescent="0.25"/>
    <row r="90864" s="12" customFormat="1" x14ac:dyDescent="0.25"/>
    <row r="90865" s="12" customFormat="1" x14ac:dyDescent="0.25"/>
    <row r="90866" s="12" customFormat="1" x14ac:dyDescent="0.25"/>
    <row r="90867" s="12" customFormat="1" x14ac:dyDescent="0.25"/>
    <row r="90868" s="12" customFormat="1" x14ac:dyDescent="0.25"/>
    <row r="90869" s="12" customFormat="1" x14ac:dyDescent="0.25"/>
    <row r="90870" s="12" customFormat="1" x14ac:dyDescent="0.25"/>
    <row r="90871" s="12" customFormat="1" x14ac:dyDescent="0.25"/>
    <row r="90872" s="12" customFormat="1" x14ac:dyDescent="0.25"/>
    <row r="90873" s="12" customFormat="1" x14ac:dyDescent="0.25"/>
    <row r="90874" s="12" customFormat="1" x14ac:dyDescent="0.25"/>
    <row r="90875" s="12" customFormat="1" x14ac:dyDescent="0.25"/>
    <row r="90876" s="12" customFormat="1" x14ac:dyDescent="0.25"/>
    <row r="90877" s="12" customFormat="1" x14ac:dyDescent="0.25"/>
    <row r="90878" s="12" customFormat="1" x14ac:dyDescent="0.25"/>
    <row r="90879" s="12" customFormat="1" x14ac:dyDescent="0.25"/>
    <row r="90880" s="12" customFormat="1" x14ac:dyDescent="0.25"/>
    <row r="90881" s="12" customFormat="1" x14ac:dyDescent="0.25"/>
    <row r="90882" s="12" customFormat="1" x14ac:dyDescent="0.25"/>
    <row r="90883" s="12" customFormat="1" x14ac:dyDescent="0.25"/>
    <row r="90884" s="12" customFormat="1" x14ac:dyDescent="0.25"/>
    <row r="90885" s="12" customFormat="1" x14ac:dyDescent="0.25"/>
    <row r="90886" s="12" customFormat="1" x14ac:dyDescent="0.25"/>
    <row r="90887" s="12" customFormat="1" x14ac:dyDescent="0.25"/>
    <row r="90888" s="12" customFormat="1" x14ac:dyDescent="0.25"/>
    <row r="90889" s="12" customFormat="1" x14ac:dyDescent="0.25"/>
    <row r="90890" s="12" customFormat="1" x14ac:dyDescent="0.25"/>
    <row r="90891" s="12" customFormat="1" x14ac:dyDescent="0.25"/>
    <row r="90892" s="12" customFormat="1" x14ac:dyDescent="0.25"/>
    <row r="90893" s="12" customFormat="1" x14ac:dyDescent="0.25"/>
    <row r="90894" s="12" customFormat="1" x14ac:dyDescent="0.25"/>
    <row r="90895" s="12" customFormat="1" x14ac:dyDescent="0.25"/>
    <row r="90896" s="12" customFormat="1" x14ac:dyDescent="0.25"/>
    <row r="90897" s="12" customFormat="1" x14ac:dyDescent="0.25"/>
    <row r="90898" s="12" customFormat="1" x14ac:dyDescent="0.25"/>
    <row r="90899" s="12" customFormat="1" x14ac:dyDescent="0.25"/>
    <row r="90900" s="12" customFormat="1" x14ac:dyDescent="0.25"/>
    <row r="90901" s="12" customFormat="1" x14ac:dyDescent="0.25"/>
    <row r="90902" s="12" customFormat="1" x14ac:dyDescent="0.25"/>
    <row r="90903" s="12" customFormat="1" x14ac:dyDescent="0.25"/>
    <row r="90904" s="12" customFormat="1" x14ac:dyDescent="0.25"/>
    <row r="90905" s="12" customFormat="1" x14ac:dyDescent="0.25"/>
    <row r="90906" s="12" customFormat="1" x14ac:dyDescent="0.25"/>
    <row r="90907" s="12" customFormat="1" x14ac:dyDescent="0.25"/>
    <row r="90908" s="12" customFormat="1" x14ac:dyDescent="0.25"/>
    <row r="90909" s="12" customFormat="1" x14ac:dyDescent="0.25"/>
    <row r="90910" s="12" customFormat="1" x14ac:dyDescent="0.25"/>
    <row r="90911" s="12" customFormat="1" x14ac:dyDescent="0.25"/>
    <row r="90912" s="12" customFormat="1" x14ac:dyDescent="0.25"/>
    <row r="90913" s="12" customFormat="1" x14ac:dyDescent="0.25"/>
    <row r="90914" s="12" customFormat="1" x14ac:dyDescent="0.25"/>
    <row r="90915" s="12" customFormat="1" x14ac:dyDescent="0.25"/>
    <row r="90916" s="12" customFormat="1" x14ac:dyDescent="0.25"/>
    <row r="90917" s="12" customFormat="1" x14ac:dyDescent="0.25"/>
    <row r="90918" s="12" customFormat="1" x14ac:dyDescent="0.25"/>
    <row r="90919" s="12" customFormat="1" x14ac:dyDescent="0.25"/>
    <row r="90920" s="12" customFormat="1" x14ac:dyDescent="0.25"/>
    <row r="90921" s="12" customFormat="1" x14ac:dyDescent="0.25"/>
    <row r="90922" s="12" customFormat="1" x14ac:dyDescent="0.25"/>
    <row r="90923" s="12" customFormat="1" x14ac:dyDescent="0.25"/>
    <row r="90924" s="12" customFormat="1" x14ac:dyDescent="0.25"/>
    <row r="90925" s="12" customFormat="1" x14ac:dyDescent="0.25"/>
    <row r="90926" s="12" customFormat="1" x14ac:dyDescent="0.25"/>
    <row r="90927" s="12" customFormat="1" x14ac:dyDescent="0.25"/>
    <row r="90928" s="12" customFormat="1" x14ac:dyDescent="0.25"/>
    <row r="90929" s="12" customFormat="1" x14ac:dyDescent="0.25"/>
    <row r="90930" s="12" customFormat="1" x14ac:dyDescent="0.25"/>
    <row r="90931" s="12" customFormat="1" x14ac:dyDescent="0.25"/>
    <row r="90932" s="12" customFormat="1" x14ac:dyDescent="0.25"/>
    <row r="90933" s="12" customFormat="1" x14ac:dyDescent="0.25"/>
    <row r="90934" s="12" customFormat="1" x14ac:dyDescent="0.25"/>
    <row r="90935" s="12" customFormat="1" x14ac:dyDescent="0.25"/>
    <row r="90936" s="12" customFormat="1" x14ac:dyDescent="0.25"/>
    <row r="90937" s="12" customFormat="1" x14ac:dyDescent="0.25"/>
    <row r="90938" s="12" customFormat="1" x14ac:dyDescent="0.25"/>
    <row r="90939" s="12" customFormat="1" x14ac:dyDescent="0.25"/>
    <row r="90940" s="12" customFormat="1" x14ac:dyDescent="0.25"/>
    <row r="90941" s="12" customFormat="1" x14ac:dyDescent="0.25"/>
    <row r="90942" s="12" customFormat="1" x14ac:dyDescent="0.25"/>
    <row r="90943" s="12" customFormat="1" x14ac:dyDescent="0.25"/>
    <row r="90944" s="12" customFormat="1" x14ac:dyDescent="0.25"/>
    <row r="90945" s="12" customFormat="1" x14ac:dyDescent="0.25"/>
    <row r="90946" s="12" customFormat="1" x14ac:dyDescent="0.25"/>
    <row r="90947" s="12" customFormat="1" x14ac:dyDescent="0.25"/>
    <row r="90948" s="12" customFormat="1" x14ac:dyDescent="0.25"/>
    <row r="90949" s="12" customFormat="1" x14ac:dyDescent="0.25"/>
    <row r="90950" s="12" customFormat="1" x14ac:dyDescent="0.25"/>
    <row r="90951" s="12" customFormat="1" x14ac:dyDescent="0.25"/>
    <row r="90952" s="12" customFormat="1" x14ac:dyDescent="0.25"/>
    <row r="90953" s="12" customFormat="1" x14ac:dyDescent="0.25"/>
    <row r="90954" s="12" customFormat="1" x14ac:dyDescent="0.25"/>
    <row r="90955" s="12" customFormat="1" x14ac:dyDescent="0.25"/>
    <row r="90956" s="12" customFormat="1" x14ac:dyDescent="0.25"/>
    <row r="90957" s="12" customFormat="1" x14ac:dyDescent="0.25"/>
    <row r="90958" s="12" customFormat="1" x14ac:dyDescent="0.25"/>
    <row r="90959" s="12" customFormat="1" x14ac:dyDescent="0.25"/>
    <row r="90960" s="12" customFormat="1" x14ac:dyDescent="0.25"/>
    <row r="90961" s="12" customFormat="1" x14ac:dyDescent="0.25"/>
    <row r="90962" s="12" customFormat="1" x14ac:dyDescent="0.25"/>
    <row r="90963" s="12" customFormat="1" x14ac:dyDescent="0.25"/>
    <row r="90964" s="12" customFormat="1" x14ac:dyDescent="0.25"/>
    <row r="90965" s="12" customFormat="1" x14ac:dyDescent="0.25"/>
    <row r="90966" s="12" customFormat="1" x14ac:dyDescent="0.25"/>
    <row r="90967" s="12" customFormat="1" x14ac:dyDescent="0.25"/>
    <row r="90968" s="12" customFormat="1" x14ac:dyDescent="0.25"/>
    <row r="90969" s="12" customFormat="1" x14ac:dyDescent="0.25"/>
    <row r="90970" s="12" customFormat="1" x14ac:dyDescent="0.25"/>
    <row r="90971" s="12" customFormat="1" x14ac:dyDescent="0.25"/>
    <row r="90972" s="12" customFormat="1" x14ac:dyDescent="0.25"/>
    <row r="90973" s="12" customFormat="1" x14ac:dyDescent="0.25"/>
    <row r="90974" s="12" customFormat="1" x14ac:dyDescent="0.25"/>
    <row r="90975" s="12" customFormat="1" x14ac:dyDescent="0.25"/>
    <row r="90976" s="12" customFormat="1" x14ac:dyDescent="0.25"/>
    <row r="90977" s="12" customFormat="1" x14ac:dyDescent="0.25"/>
    <row r="90978" s="12" customFormat="1" x14ac:dyDescent="0.25"/>
    <row r="90979" s="12" customFormat="1" x14ac:dyDescent="0.25"/>
    <row r="90980" s="12" customFormat="1" x14ac:dyDescent="0.25"/>
    <row r="90981" s="12" customFormat="1" x14ac:dyDescent="0.25"/>
    <row r="90982" s="12" customFormat="1" x14ac:dyDescent="0.25"/>
    <row r="90983" s="12" customFormat="1" x14ac:dyDescent="0.25"/>
    <row r="90984" s="12" customFormat="1" x14ac:dyDescent="0.25"/>
    <row r="90985" s="12" customFormat="1" x14ac:dyDescent="0.25"/>
    <row r="90986" s="12" customFormat="1" x14ac:dyDescent="0.25"/>
    <row r="90987" s="12" customFormat="1" x14ac:dyDescent="0.25"/>
    <row r="90988" s="12" customFormat="1" x14ac:dyDescent="0.25"/>
    <row r="90989" s="12" customFormat="1" x14ac:dyDescent="0.25"/>
    <row r="90990" s="12" customFormat="1" x14ac:dyDescent="0.25"/>
    <row r="90991" s="12" customFormat="1" x14ac:dyDescent="0.25"/>
    <row r="90992" s="12" customFormat="1" x14ac:dyDescent="0.25"/>
    <row r="90993" s="12" customFormat="1" x14ac:dyDescent="0.25"/>
    <row r="90994" s="12" customFormat="1" x14ac:dyDescent="0.25"/>
    <row r="90995" s="12" customFormat="1" x14ac:dyDescent="0.25"/>
    <row r="90996" s="12" customFormat="1" x14ac:dyDescent="0.25"/>
    <row r="90997" s="12" customFormat="1" x14ac:dyDescent="0.25"/>
    <row r="90998" s="12" customFormat="1" x14ac:dyDescent="0.25"/>
    <row r="90999" s="12" customFormat="1" x14ac:dyDescent="0.25"/>
    <row r="91000" s="12" customFormat="1" x14ac:dyDescent="0.25"/>
    <row r="91001" s="12" customFormat="1" x14ac:dyDescent="0.25"/>
    <row r="91002" s="12" customFormat="1" x14ac:dyDescent="0.25"/>
    <row r="91003" s="12" customFormat="1" x14ac:dyDescent="0.25"/>
    <row r="91004" s="12" customFormat="1" x14ac:dyDescent="0.25"/>
    <row r="91005" s="12" customFormat="1" x14ac:dyDescent="0.25"/>
    <row r="91006" s="12" customFormat="1" x14ac:dyDescent="0.25"/>
    <row r="91007" s="12" customFormat="1" x14ac:dyDescent="0.25"/>
    <row r="91008" s="12" customFormat="1" x14ac:dyDescent="0.25"/>
    <row r="91009" s="12" customFormat="1" x14ac:dyDescent="0.25"/>
    <row r="91010" s="12" customFormat="1" x14ac:dyDescent="0.25"/>
    <row r="91011" s="12" customFormat="1" x14ac:dyDescent="0.25"/>
    <row r="91012" s="12" customFormat="1" x14ac:dyDescent="0.25"/>
    <row r="91013" s="12" customFormat="1" x14ac:dyDescent="0.25"/>
    <row r="91014" s="12" customFormat="1" x14ac:dyDescent="0.25"/>
    <row r="91015" s="12" customFormat="1" x14ac:dyDescent="0.25"/>
    <row r="91016" s="12" customFormat="1" x14ac:dyDescent="0.25"/>
    <row r="91017" s="12" customFormat="1" x14ac:dyDescent="0.25"/>
    <row r="91018" s="12" customFormat="1" x14ac:dyDescent="0.25"/>
    <row r="91019" s="12" customFormat="1" x14ac:dyDescent="0.25"/>
    <row r="91020" s="12" customFormat="1" x14ac:dyDescent="0.25"/>
    <row r="91021" s="12" customFormat="1" x14ac:dyDescent="0.25"/>
    <row r="91022" s="12" customFormat="1" x14ac:dyDescent="0.25"/>
    <row r="91023" s="12" customFormat="1" x14ac:dyDescent="0.25"/>
    <row r="91024" s="12" customFormat="1" x14ac:dyDescent="0.25"/>
    <row r="91025" s="12" customFormat="1" x14ac:dyDescent="0.25"/>
    <row r="91026" s="12" customFormat="1" x14ac:dyDescent="0.25"/>
    <row r="91027" s="12" customFormat="1" x14ac:dyDescent="0.25"/>
    <row r="91028" s="12" customFormat="1" x14ac:dyDescent="0.25"/>
    <row r="91029" s="12" customFormat="1" x14ac:dyDescent="0.25"/>
    <row r="91030" s="12" customFormat="1" x14ac:dyDescent="0.25"/>
    <row r="91031" s="12" customFormat="1" x14ac:dyDescent="0.25"/>
    <row r="91032" s="12" customFormat="1" x14ac:dyDescent="0.25"/>
    <row r="91033" s="12" customFormat="1" x14ac:dyDescent="0.25"/>
    <row r="91034" s="12" customFormat="1" x14ac:dyDescent="0.25"/>
    <row r="91035" s="12" customFormat="1" x14ac:dyDescent="0.25"/>
    <row r="91036" s="12" customFormat="1" x14ac:dyDescent="0.25"/>
    <row r="91037" s="12" customFormat="1" x14ac:dyDescent="0.25"/>
    <row r="91038" s="12" customFormat="1" x14ac:dyDescent="0.25"/>
    <row r="91039" s="12" customFormat="1" x14ac:dyDescent="0.25"/>
    <row r="91040" s="12" customFormat="1" x14ac:dyDescent="0.25"/>
    <row r="91041" s="12" customFormat="1" x14ac:dyDescent="0.25"/>
    <row r="91042" s="12" customFormat="1" x14ac:dyDescent="0.25"/>
    <row r="91043" s="12" customFormat="1" x14ac:dyDescent="0.25"/>
    <row r="91044" s="12" customFormat="1" x14ac:dyDescent="0.25"/>
    <row r="91045" s="12" customFormat="1" x14ac:dyDescent="0.25"/>
    <row r="91046" s="12" customFormat="1" x14ac:dyDescent="0.25"/>
    <row r="91047" s="12" customFormat="1" x14ac:dyDescent="0.25"/>
    <row r="91048" s="12" customFormat="1" x14ac:dyDescent="0.25"/>
    <row r="91049" s="12" customFormat="1" x14ac:dyDescent="0.25"/>
    <row r="91050" s="12" customFormat="1" x14ac:dyDescent="0.25"/>
    <row r="91051" s="12" customFormat="1" x14ac:dyDescent="0.25"/>
    <row r="91052" s="12" customFormat="1" x14ac:dyDescent="0.25"/>
    <row r="91053" s="12" customFormat="1" x14ac:dyDescent="0.25"/>
    <row r="91054" s="12" customFormat="1" x14ac:dyDescent="0.25"/>
    <row r="91055" s="12" customFormat="1" x14ac:dyDescent="0.25"/>
    <row r="91056" s="12" customFormat="1" x14ac:dyDescent="0.25"/>
    <row r="91057" s="12" customFormat="1" x14ac:dyDescent="0.25"/>
    <row r="91058" s="12" customFormat="1" x14ac:dyDescent="0.25"/>
    <row r="91059" s="12" customFormat="1" x14ac:dyDescent="0.25"/>
    <row r="91060" s="12" customFormat="1" x14ac:dyDescent="0.25"/>
    <row r="91061" s="12" customFormat="1" x14ac:dyDescent="0.25"/>
    <row r="91062" s="12" customFormat="1" x14ac:dyDescent="0.25"/>
    <row r="91063" s="12" customFormat="1" x14ac:dyDescent="0.25"/>
    <row r="91064" s="12" customFormat="1" x14ac:dyDescent="0.25"/>
    <row r="91065" s="12" customFormat="1" x14ac:dyDescent="0.25"/>
    <row r="91066" s="12" customFormat="1" x14ac:dyDescent="0.25"/>
    <row r="91067" s="12" customFormat="1" x14ac:dyDescent="0.25"/>
    <row r="91068" s="12" customFormat="1" x14ac:dyDescent="0.25"/>
    <row r="91069" s="12" customFormat="1" x14ac:dyDescent="0.25"/>
    <row r="91070" s="12" customFormat="1" x14ac:dyDescent="0.25"/>
    <row r="91071" s="12" customFormat="1" x14ac:dyDescent="0.25"/>
    <row r="91072" s="12" customFormat="1" x14ac:dyDescent="0.25"/>
    <row r="91073" s="12" customFormat="1" x14ac:dyDescent="0.25"/>
    <row r="91074" s="12" customFormat="1" x14ac:dyDescent="0.25"/>
    <row r="91075" s="12" customFormat="1" x14ac:dyDescent="0.25"/>
    <row r="91076" s="12" customFormat="1" x14ac:dyDescent="0.25"/>
    <row r="91077" s="12" customFormat="1" x14ac:dyDescent="0.25"/>
    <row r="91078" s="12" customFormat="1" x14ac:dyDescent="0.25"/>
    <row r="91079" s="12" customFormat="1" x14ac:dyDescent="0.25"/>
    <row r="91080" s="12" customFormat="1" x14ac:dyDescent="0.25"/>
    <row r="91081" s="12" customFormat="1" x14ac:dyDescent="0.25"/>
    <row r="91082" s="12" customFormat="1" x14ac:dyDescent="0.25"/>
    <row r="91083" s="12" customFormat="1" x14ac:dyDescent="0.25"/>
    <row r="91084" s="12" customFormat="1" x14ac:dyDescent="0.25"/>
    <row r="91085" s="12" customFormat="1" x14ac:dyDescent="0.25"/>
    <row r="91086" s="12" customFormat="1" x14ac:dyDescent="0.25"/>
    <row r="91087" s="12" customFormat="1" x14ac:dyDescent="0.25"/>
    <row r="91088" s="12" customFormat="1" x14ac:dyDescent="0.25"/>
    <row r="91089" s="12" customFormat="1" x14ac:dyDescent="0.25"/>
    <row r="91090" s="12" customFormat="1" x14ac:dyDescent="0.25"/>
    <row r="91091" s="12" customFormat="1" x14ac:dyDescent="0.25"/>
    <row r="91092" s="12" customFormat="1" x14ac:dyDescent="0.25"/>
    <row r="91093" s="12" customFormat="1" x14ac:dyDescent="0.25"/>
    <row r="91094" s="12" customFormat="1" x14ac:dyDescent="0.25"/>
    <row r="91095" s="12" customFormat="1" x14ac:dyDescent="0.25"/>
    <row r="91096" s="12" customFormat="1" x14ac:dyDescent="0.25"/>
    <row r="91097" s="12" customFormat="1" x14ac:dyDescent="0.25"/>
    <row r="91098" s="12" customFormat="1" x14ac:dyDescent="0.25"/>
    <row r="91099" s="12" customFormat="1" x14ac:dyDescent="0.25"/>
    <row r="91100" s="12" customFormat="1" x14ac:dyDescent="0.25"/>
    <row r="91101" s="12" customFormat="1" x14ac:dyDescent="0.25"/>
    <row r="91102" s="12" customFormat="1" x14ac:dyDescent="0.25"/>
    <row r="91103" s="12" customFormat="1" x14ac:dyDescent="0.25"/>
    <row r="91104" s="12" customFormat="1" x14ac:dyDescent="0.25"/>
    <row r="91105" s="12" customFormat="1" x14ac:dyDescent="0.25"/>
    <row r="91106" s="12" customFormat="1" x14ac:dyDescent="0.25"/>
    <row r="91107" s="12" customFormat="1" x14ac:dyDescent="0.25"/>
    <row r="91108" s="12" customFormat="1" x14ac:dyDescent="0.25"/>
    <row r="91109" s="12" customFormat="1" x14ac:dyDescent="0.25"/>
    <row r="91110" s="12" customFormat="1" x14ac:dyDescent="0.25"/>
    <row r="91111" s="12" customFormat="1" x14ac:dyDescent="0.25"/>
    <row r="91112" s="12" customFormat="1" x14ac:dyDescent="0.25"/>
    <row r="91113" s="12" customFormat="1" x14ac:dyDescent="0.25"/>
    <row r="91114" s="12" customFormat="1" x14ac:dyDescent="0.25"/>
    <row r="91115" s="12" customFormat="1" x14ac:dyDescent="0.25"/>
    <row r="91116" s="12" customFormat="1" x14ac:dyDescent="0.25"/>
    <row r="91117" s="12" customFormat="1" x14ac:dyDescent="0.25"/>
    <row r="91118" s="12" customFormat="1" x14ac:dyDescent="0.25"/>
    <row r="91119" s="12" customFormat="1" x14ac:dyDescent="0.25"/>
    <row r="91120" s="12" customFormat="1" x14ac:dyDescent="0.25"/>
    <row r="91121" s="12" customFormat="1" x14ac:dyDescent="0.25"/>
    <row r="91122" s="12" customFormat="1" x14ac:dyDescent="0.25"/>
    <row r="91123" s="12" customFormat="1" x14ac:dyDescent="0.25"/>
    <row r="91124" s="12" customFormat="1" x14ac:dyDescent="0.25"/>
    <row r="91125" s="12" customFormat="1" x14ac:dyDescent="0.25"/>
    <row r="91126" s="12" customFormat="1" x14ac:dyDescent="0.25"/>
    <row r="91127" s="12" customFormat="1" x14ac:dyDescent="0.25"/>
    <row r="91128" s="12" customFormat="1" x14ac:dyDescent="0.25"/>
    <row r="91129" s="12" customFormat="1" x14ac:dyDescent="0.25"/>
    <row r="91130" s="12" customFormat="1" x14ac:dyDescent="0.25"/>
    <row r="91131" s="12" customFormat="1" x14ac:dyDescent="0.25"/>
    <row r="91132" s="12" customFormat="1" x14ac:dyDescent="0.25"/>
    <row r="91133" s="12" customFormat="1" x14ac:dyDescent="0.25"/>
    <row r="91134" s="12" customFormat="1" x14ac:dyDescent="0.25"/>
    <row r="91135" s="12" customFormat="1" x14ac:dyDescent="0.25"/>
    <row r="91136" s="12" customFormat="1" x14ac:dyDescent="0.25"/>
    <row r="91137" s="12" customFormat="1" x14ac:dyDescent="0.25"/>
    <row r="91138" s="12" customFormat="1" x14ac:dyDescent="0.25"/>
    <row r="91139" s="12" customFormat="1" x14ac:dyDescent="0.25"/>
    <row r="91140" s="12" customFormat="1" x14ac:dyDescent="0.25"/>
    <row r="91141" s="12" customFormat="1" x14ac:dyDescent="0.25"/>
    <row r="91142" s="12" customFormat="1" x14ac:dyDescent="0.25"/>
    <row r="91143" s="12" customFormat="1" x14ac:dyDescent="0.25"/>
    <row r="91144" s="12" customFormat="1" x14ac:dyDescent="0.25"/>
    <row r="91145" s="12" customFormat="1" x14ac:dyDescent="0.25"/>
    <row r="91146" s="12" customFormat="1" x14ac:dyDescent="0.25"/>
    <row r="91147" s="12" customFormat="1" x14ac:dyDescent="0.25"/>
    <row r="91148" s="12" customFormat="1" x14ac:dyDescent="0.25"/>
    <row r="91149" s="12" customFormat="1" x14ac:dyDescent="0.25"/>
    <row r="91150" s="12" customFormat="1" x14ac:dyDescent="0.25"/>
    <row r="91151" s="12" customFormat="1" x14ac:dyDescent="0.25"/>
    <row r="91152" s="12" customFormat="1" x14ac:dyDescent="0.25"/>
    <row r="91153" s="12" customFormat="1" x14ac:dyDescent="0.25"/>
    <row r="91154" s="12" customFormat="1" x14ac:dyDescent="0.25"/>
    <row r="91155" s="12" customFormat="1" x14ac:dyDescent="0.25"/>
    <row r="91156" s="12" customFormat="1" x14ac:dyDescent="0.25"/>
    <row r="91157" s="12" customFormat="1" x14ac:dyDescent="0.25"/>
    <row r="91158" s="12" customFormat="1" x14ac:dyDescent="0.25"/>
    <row r="91159" s="12" customFormat="1" x14ac:dyDescent="0.25"/>
    <row r="91160" s="12" customFormat="1" x14ac:dyDescent="0.25"/>
    <row r="91161" s="12" customFormat="1" x14ac:dyDescent="0.25"/>
    <row r="91162" s="12" customFormat="1" x14ac:dyDescent="0.25"/>
    <row r="91163" s="12" customFormat="1" x14ac:dyDescent="0.25"/>
    <row r="91164" s="12" customFormat="1" x14ac:dyDescent="0.25"/>
    <row r="91165" s="12" customFormat="1" x14ac:dyDescent="0.25"/>
    <row r="91166" s="12" customFormat="1" x14ac:dyDescent="0.25"/>
    <row r="91167" s="12" customFormat="1" x14ac:dyDescent="0.25"/>
    <row r="91168" s="12" customFormat="1" x14ac:dyDescent="0.25"/>
    <row r="91169" s="12" customFormat="1" x14ac:dyDescent="0.25"/>
    <row r="91170" s="12" customFormat="1" x14ac:dyDescent="0.25"/>
    <row r="91171" s="12" customFormat="1" x14ac:dyDescent="0.25"/>
    <row r="91172" s="12" customFormat="1" x14ac:dyDescent="0.25"/>
    <row r="91173" s="12" customFormat="1" x14ac:dyDescent="0.25"/>
    <row r="91174" s="12" customFormat="1" x14ac:dyDescent="0.25"/>
    <row r="91175" s="12" customFormat="1" x14ac:dyDescent="0.25"/>
    <row r="91176" s="12" customFormat="1" x14ac:dyDescent="0.25"/>
    <row r="91177" s="12" customFormat="1" x14ac:dyDescent="0.25"/>
    <row r="91178" s="12" customFormat="1" x14ac:dyDescent="0.25"/>
    <row r="91179" s="12" customFormat="1" x14ac:dyDescent="0.25"/>
    <row r="91180" s="12" customFormat="1" x14ac:dyDescent="0.25"/>
    <row r="91181" s="12" customFormat="1" x14ac:dyDescent="0.25"/>
    <row r="91182" s="12" customFormat="1" x14ac:dyDescent="0.25"/>
    <row r="91183" s="12" customFormat="1" x14ac:dyDescent="0.25"/>
    <row r="91184" s="12" customFormat="1" x14ac:dyDescent="0.25"/>
    <row r="91185" s="12" customFormat="1" x14ac:dyDescent="0.25"/>
    <row r="91186" s="12" customFormat="1" x14ac:dyDescent="0.25"/>
    <row r="91187" s="12" customFormat="1" x14ac:dyDescent="0.25"/>
    <row r="91188" s="12" customFormat="1" x14ac:dyDescent="0.25"/>
    <row r="91189" s="12" customFormat="1" x14ac:dyDescent="0.25"/>
    <row r="91190" s="12" customFormat="1" x14ac:dyDescent="0.25"/>
    <row r="91191" s="12" customFormat="1" x14ac:dyDescent="0.25"/>
    <row r="91192" s="12" customFormat="1" x14ac:dyDescent="0.25"/>
    <row r="91193" s="12" customFormat="1" x14ac:dyDescent="0.25"/>
    <row r="91194" s="12" customFormat="1" x14ac:dyDescent="0.25"/>
    <row r="91195" s="12" customFormat="1" x14ac:dyDescent="0.25"/>
    <row r="91196" s="12" customFormat="1" x14ac:dyDescent="0.25"/>
    <row r="91197" s="12" customFormat="1" x14ac:dyDescent="0.25"/>
    <row r="91198" s="12" customFormat="1" x14ac:dyDescent="0.25"/>
    <row r="91199" s="12" customFormat="1" x14ac:dyDescent="0.25"/>
    <row r="91200" s="12" customFormat="1" x14ac:dyDescent="0.25"/>
    <row r="91201" s="12" customFormat="1" x14ac:dyDescent="0.25"/>
    <row r="91202" s="12" customFormat="1" x14ac:dyDescent="0.25"/>
    <row r="91203" s="12" customFormat="1" x14ac:dyDescent="0.25"/>
    <row r="91204" s="12" customFormat="1" x14ac:dyDescent="0.25"/>
    <row r="91205" s="12" customFormat="1" x14ac:dyDescent="0.25"/>
    <row r="91206" s="12" customFormat="1" x14ac:dyDescent="0.25"/>
    <row r="91207" s="12" customFormat="1" x14ac:dyDescent="0.25"/>
    <row r="91208" s="12" customFormat="1" x14ac:dyDescent="0.25"/>
    <row r="91209" s="12" customFormat="1" x14ac:dyDescent="0.25"/>
    <row r="91210" s="12" customFormat="1" x14ac:dyDescent="0.25"/>
    <row r="91211" s="12" customFormat="1" x14ac:dyDescent="0.25"/>
    <row r="91212" s="12" customFormat="1" x14ac:dyDescent="0.25"/>
    <row r="91213" s="12" customFormat="1" x14ac:dyDescent="0.25"/>
    <row r="91214" s="12" customFormat="1" x14ac:dyDescent="0.25"/>
    <row r="91215" s="12" customFormat="1" x14ac:dyDescent="0.25"/>
    <row r="91216" s="12" customFormat="1" x14ac:dyDescent="0.25"/>
    <row r="91217" s="12" customFormat="1" x14ac:dyDescent="0.25"/>
    <row r="91218" s="12" customFormat="1" x14ac:dyDescent="0.25"/>
    <row r="91219" s="12" customFormat="1" x14ac:dyDescent="0.25"/>
    <row r="91220" s="12" customFormat="1" x14ac:dyDescent="0.25"/>
    <row r="91221" s="12" customFormat="1" x14ac:dyDescent="0.25"/>
    <row r="91222" s="12" customFormat="1" x14ac:dyDescent="0.25"/>
    <row r="91223" s="12" customFormat="1" x14ac:dyDescent="0.25"/>
    <row r="91224" s="12" customFormat="1" x14ac:dyDescent="0.25"/>
    <row r="91225" s="12" customFormat="1" x14ac:dyDescent="0.25"/>
    <row r="91226" s="12" customFormat="1" x14ac:dyDescent="0.25"/>
    <row r="91227" s="12" customFormat="1" x14ac:dyDescent="0.25"/>
    <row r="91228" s="12" customFormat="1" x14ac:dyDescent="0.25"/>
    <row r="91229" s="12" customFormat="1" x14ac:dyDescent="0.25"/>
    <row r="91230" s="12" customFormat="1" x14ac:dyDescent="0.25"/>
    <row r="91231" s="12" customFormat="1" x14ac:dyDescent="0.25"/>
    <row r="91232" s="12" customFormat="1" x14ac:dyDescent="0.25"/>
    <row r="91233" s="12" customFormat="1" x14ac:dyDescent="0.25"/>
    <row r="91234" s="12" customFormat="1" x14ac:dyDescent="0.25"/>
    <row r="91235" s="12" customFormat="1" x14ac:dyDescent="0.25"/>
    <row r="91236" s="12" customFormat="1" x14ac:dyDescent="0.25"/>
    <row r="91237" s="12" customFormat="1" x14ac:dyDescent="0.25"/>
    <row r="91238" s="12" customFormat="1" x14ac:dyDescent="0.25"/>
    <row r="91239" s="12" customFormat="1" x14ac:dyDescent="0.25"/>
    <row r="91240" s="12" customFormat="1" x14ac:dyDescent="0.25"/>
    <row r="91241" s="12" customFormat="1" x14ac:dyDescent="0.25"/>
    <row r="91242" s="12" customFormat="1" x14ac:dyDescent="0.25"/>
    <row r="91243" s="12" customFormat="1" x14ac:dyDescent="0.25"/>
    <row r="91244" s="12" customFormat="1" x14ac:dyDescent="0.25"/>
    <row r="91245" s="12" customFormat="1" x14ac:dyDescent="0.25"/>
    <row r="91246" s="12" customFormat="1" x14ac:dyDescent="0.25"/>
    <row r="91247" s="12" customFormat="1" x14ac:dyDescent="0.25"/>
    <row r="91248" s="12" customFormat="1" x14ac:dyDescent="0.25"/>
    <row r="91249" s="12" customFormat="1" x14ac:dyDescent="0.25"/>
    <row r="91250" s="12" customFormat="1" x14ac:dyDescent="0.25"/>
    <row r="91251" s="12" customFormat="1" x14ac:dyDescent="0.25"/>
    <row r="91252" s="12" customFormat="1" x14ac:dyDescent="0.25"/>
    <row r="91253" s="12" customFormat="1" x14ac:dyDescent="0.25"/>
    <row r="91254" s="12" customFormat="1" x14ac:dyDescent="0.25"/>
    <row r="91255" s="12" customFormat="1" x14ac:dyDescent="0.25"/>
    <row r="91256" s="12" customFormat="1" x14ac:dyDescent="0.25"/>
    <row r="91257" s="12" customFormat="1" x14ac:dyDescent="0.25"/>
    <row r="91258" s="12" customFormat="1" x14ac:dyDescent="0.25"/>
    <row r="91259" s="12" customFormat="1" x14ac:dyDescent="0.25"/>
    <row r="91260" s="12" customFormat="1" x14ac:dyDescent="0.25"/>
    <row r="91261" s="12" customFormat="1" x14ac:dyDescent="0.25"/>
    <row r="91262" s="12" customFormat="1" x14ac:dyDescent="0.25"/>
    <row r="91263" s="12" customFormat="1" x14ac:dyDescent="0.25"/>
    <row r="91264" s="12" customFormat="1" x14ac:dyDescent="0.25"/>
    <row r="91265" s="12" customFormat="1" x14ac:dyDescent="0.25"/>
    <row r="91266" s="12" customFormat="1" x14ac:dyDescent="0.25"/>
    <row r="91267" s="12" customFormat="1" x14ac:dyDescent="0.25"/>
    <row r="91268" s="12" customFormat="1" x14ac:dyDescent="0.25"/>
    <row r="91269" s="12" customFormat="1" x14ac:dyDescent="0.25"/>
    <row r="91270" s="12" customFormat="1" x14ac:dyDescent="0.25"/>
    <row r="91271" s="12" customFormat="1" x14ac:dyDescent="0.25"/>
    <row r="91272" s="12" customFormat="1" x14ac:dyDescent="0.25"/>
    <row r="91273" s="12" customFormat="1" x14ac:dyDescent="0.25"/>
    <row r="91274" s="12" customFormat="1" x14ac:dyDescent="0.25"/>
    <row r="91275" s="12" customFormat="1" x14ac:dyDescent="0.25"/>
    <row r="91276" s="12" customFormat="1" x14ac:dyDescent="0.25"/>
    <row r="91277" s="12" customFormat="1" x14ac:dyDescent="0.25"/>
    <row r="91278" s="12" customFormat="1" x14ac:dyDescent="0.25"/>
    <row r="91279" s="12" customFormat="1" x14ac:dyDescent="0.25"/>
    <row r="91280" s="12" customFormat="1" x14ac:dyDescent="0.25"/>
    <row r="91281" s="12" customFormat="1" x14ac:dyDescent="0.25"/>
    <row r="91282" s="12" customFormat="1" x14ac:dyDescent="0.25"/>
    <row r="91283" s="12" customFormat="1" x14ac:dyDescent="0.25"/>
    <row r="91284" s="12" customFormat="1" x14ac:dyDescent="0.25"/>
    <row r="91285" s="12" customFormat="1" x14ac:dyDescent="0.25"/>
    <row r="91286" s="12" customFormat="1" x14ac:dyDescent="0.25"/>
    <row r="91287" s="12" customFormat="1" x14ac:dyDescent="0.25"/>
    <row r="91288" s="12" customFormat="1" x14ac:dyDescent="0.25"/>
    <row r="91289" s="12" customFormat="1" x14ac:dyDescent="0.25"/>
    <row r="91290" s="12" customFormat="1" x14ac:dyDescent="0.25"/>
    <row r="91291" s="12" customFormat="1" x14ac:dyDescent="0.25"/>
    <row r="91292" s="12" customFormat="1" x14ac:dyDescent="0.25"/>
    <row r="91293" s="12" customFormat="1" x14ac:dyDescent="0.25"/>
    <row r="91294" s="12" customFormat="1" x14ac:dyDescent="0.25"/>
    <row r="91295" s="12" customFormat="1" x14ac:dyDescent="0.25"/>
    <row r="91296" s="12" customFormat="1" x14ac:dyDescent="0.25"/>
    <row r="91297" s="12" customFormat="1" x14ac:dyDescent="0.25"/>
    <row r="91298" s="12" customFormat="1" x14ac:dyDescent="0.25"/>
    <row r="91299" s="12" customFormat="1" x14ac:dyDescent="0.25"/>
    <row r="91300" s="12" customFormat="1" x14ac:dyDescent="0.25"/>
    <row r="91301" s="12" customFormat="1" x14ac:dyDescent="0.25"/>
    <row r="91302" s="12" customFormat="1" x14ac:dyDescent="0.25"/>
    <row r="91303" s="12" customFormat="1" x14ac:dyDescent="0.25"/>
    <row r="91304" s="12" customFormat="1" x14ac:dyDescent="0.25"/>
    <row r="91305" s="12" customFormat="1" x14ac:dyDescent="0.25"/>
    <row r="91306" s="12" customFormat="1" x14ac:dyDescent="0.25"/>
    <row r="91307" s="12" customFormat="1" x14ac:dyDescent="0.25"/>
    <row r="91308" s="12" customFormat="1" x14ac:dyDescent="0.25"/>
    <row r="91309" s="12" customFormat="1" x14ac:dyDescent="0.25"/>
    <row r="91310" s="12" customFormat="1" x14ac:dyDescent="0.25"/>
    <row r="91311" s="12" customFormat="1" x14ac:dyDescent="0.25"/>
    <row r="91312" s="12" customFormat="1" x14ac:dyDescent="0.25"/>
    <row r="91313" s="12" customFormat="1" x14ac:dyDescent="0.25"/>
    <row r="91314" s="12" customFormat="1" x14ac:dyDescent="0.25"/>
    <row r="91315" s="12" customFormat="1" x14ac:dyDescent="0.25"/>
    <row r="91316" s="12" customFormat="1" x14ac:dyDescent="0.25"/>
    <row r="91317" s="12" customFormat="1" x14ac:dyDescent="0.25"/>
    <row r="91318" s="12" customFormat="1" x14ac:dyDescent="0.25"/>
    <row r="91319" s="12" customFormat="1" x14ac:dyDescent="0.25"/>
    <row r="91320" s="12" customFormat="1" x14ac:dyDescent="0.25"/>
    <row r="91321" s="12" customFormat="1" x14ac:dyDescent="0.25"/>
    <row r="91322" s="12" customFormat="1" x14ac:dyDescent="0.25"/>
    <row r="91323" s="12" customFormat="1" x14ac:dyDescent="0.25"/>
    <row r="91324" s="12" customFormat="1" x14ac:dyDescent="0.25"/>
    <row r="91325" s="12" customFormat="1" x14ac:dyDescent="0.25"/>
    <row r="91326" s="12" customFormat="1" x14ac:dyDescent="0.25"/>
    <row r="91327" s="12" customFormat="1" x14ac:dyDescent="0.25"/>
    <row r="91328" s="12" customFormat="1" x14ac:dyDescent="0.25"/>
    <row r="91329" s="12" customFormat="1" x14ac:dyDescent="0.25"/>
    <row r="91330" s="12" customFormat="1" x14ac:dyDescent="0.25"/>
    <row r="91331" s="12" customFormat="1" x14ac:dyDescent="0.25"/>
    <row r="91332" s="12" customFormat="1" x14ac:dyDescent="0.25"/>
    <row r="91333" s="12" customFormat="1" x14ac:dyDescent="0.25"/>
    <row r="91334" s="12" customFormat="1" x14ac:dyDescent="0.25"/>
    <row r="91335" s="12" customFormat="1" x14ac:dyDescent="0.25"/>
    <row r="91336" s="12" customFormat="1" x14ac:dyDescent="0.25"/>
    <row r="91337" s="12" customFormat="1" x14ac:dyDescent="0.25"/>
    <row r="91338" s="12" customFormat="1" x14ac:dyDescent="0.25"/>
    <row r="91339" s="12" customFormat="1" x14ac:dyDescent="0.25"/>
    <row r="91340" s="12" customFormat="1" x14ac:dyDescent="0.25"/>
    <row r="91341" s="12" customFormat="1" x14ac:dyDescent="0.25"/>
    <row r="91342" s="12" customFormat="1" x14ac:dyDescent="0.25"/>
    <row r="91343" s="12" customFormat="1" x14ac:dyDescent="0.25"/>
    <row r="91344" s="12" customFormat="1" x14ac:dyDescent="0.25"/>
    <row r="91345" s="12" customFormat="1" x14ac:dyDescent="0.25"/>
    <row r="91346" s="12" customFormat="1" x14ac:dyDescent="0.25"/>
    <row r="91347" s="12" customFormat="1" x14ac:dyDescent="0.25"/>
    <row r="91348" s="12" customFormat="1" x14ac:dyDescent="0.25"/>
    <row r="91349" s="12" customFormat="1" x14ac:dyDescent="0.25"/>
    <row r="91350" s="12" customFormat="1" x14ac:dyDescent="0.25"/>
    <row r="91351" s="12" customFormat="1" x14ac:dyDescent="0.25"/>
    <row r="91352" s="12" customFormat="1" x14ac:dyDescent="0.25"/>
    <row r="91353" s="12" customFormat="1" x14ac:dyDescent="0.25"/>
    <row r="91354" s="12" customFormat="1" x14ac:dyDescent="0.25"/>
    <row r="91355" s="12" customFormat="1" x14ac:dyDescent="0.25"/>
    <row r="91356" s="12" customFormat="1" x14ac:dyDescent="0.25"/>
    <row r="91357" s="12" customFormat="1" x14ac:dyDescent="0.25"/>
    <row r="91358" s="12" customFormat="1" x14ac:dyDescent="0.25"/>
    <row r="91359" s="12" customFormat="1" x14ac:dyDescent="0.25"/>
    <row r="91360" s="12" customFormat="1" x14ac:dyDescent="0.25"/>
    <row r="91361" s="12" customFormat="1" x14ac:dyDescent="0.25"/>
    <row r="91362" s="12" customFormat="1" x14ac:dyDescent="0.25"/>
    <row r="91363" s="12" customFormat="1" x14ac:dyDescent="0.25"/>
    <row r="91364" s="12" customFormat="1" x14ac:dyDescent="0.25"/>
    <row r="91365" s="12" customFormat="1" x14ac:dyDescent="0.25"/>
    <row r="91366" s="12" customFormat="1" x14ac:dyDescent="0.25"/>
    <row r="91367" s="12" customFormat="1" x14ac:dyDescent="0.25"/>
    <row r="91368" s="12" customFormat="1" x14ac:dyDescent="0.25"/>
    <row r="91369" s="12" customFormat="1" x14ac:dyDescent="0.25"/>
    <row r="91370" s="12" customFormat="1" x14ac:dyDescent="0.25"/>
    <row r="91371" s="12" customFormat="1" x14ac:dyDescent="0.25"/>
    <row r="91372" s="12" customFormat="1" x14ac:dyDescent="0.25"/>
    <row r="91373" s="12" customFormat="1" x14ac:dyDescent="0.25"/>
    <row r="91374" s="12" customFormat="1" x14ac:dyDescent="0.25"/>
    <row r="91375" s="12" customFormat="1" x14ac:dyDescent="0.25"/>
    <row r="91376" s="12" customFormat="1" x14ac:dyDescent="0.25"/>
    <row r="91377" s="12" customFormat="1" x14ac:dyDescent="0.25"/>
    <row r="91378" s="12" customFormat="1" x14ac:dyDescent="0.25"/>
    <row r="91379" s="12" customFormat="1" x14ac:dyDescent="0.25"/>
    <row r="91380" s="12" customFormat="1" x14ac:dyDescent="0.25"/>
    <row r="91381" s="12" customFormat="1" x14ac:dyDescent="0.25"/>
    <row r="91382" s="12" customFormat="1" x14ac:dyDescent="0.25"/>
    <row r="91383" s="12" customFormat="1" x14ac:dyDescent="0.25"/>
    <row r="91384" s="12" customFormat="1" x14ac:dyDescent="0.25"/>
    <row r="91385" s="12" customFormat="1" x14ac:dyDescent="0.25"/>
    <row r="91386" s="12" customFormat="1" x14ac:dyDescent="0.25"/>
    <row r="91387" s="12" customFormat="1" x14ac:dyDescent="0.25"/>
    <row r="91388" s="12" customFormat="1" x14ac:dyDescent="0.25"/>
    <row r="91389" s="12" customFormat="1" x14ac:dyDescent="0.25"/>
    <row r="91390" s="12" customFormat="1" x14ac:dyDescent="0.25"/>
    <row r="91391" s="12" customFormat="1" x14ac:dyDescent="0.25"/>
    <row r="91392" s="12" customFormat="1" x14ac:dyDescent="0.25"/>
    <row r="91393" s="12" customFormat="1" x14ac:dyDescent="0.25"/>
    <row r="91394" s="12" customFormat="1" x14ac:dyDescent="0.25"/>
    <row r="91395" s="12" customFormat="1" x14ac:dyDescent="0.25"/>
    <row r="91396" s="12" customFormat="1" x14ac:dyDescent="0.25"/>
    <row r="91397" s="12" customFormat="1" x14ac:dyDescent="0.25"/>
    <row r="91398" s="12" customFormat="1" x14ac:dyDescent="0.25"/>
    <row r="91399" s="12" customFormat="1" x14ac:dyDescent="0.25"/>
    <row r="91400" s="12" customFormat="1" x14ac:dyDescent="0.25"/>
    <row r="91401" s="12" customFormat="1" x14ac:dyDescent="0.25"/>
    <row r="91402" s="12" customFormat="1" x14ac:dyDescent="0.25"/>
    <row r="91403" s="12" customFormat="1" x14ac:dyDescent="0.25"/>
    <row r="91404" s="12" customFormat="1" x14ac:dyDescent="0.25"/>
    <row r="91405" s="12" customFormat="1" x14ac:dyDescent="0.25"/>
    <row r="91406" s="12" customFormat="1" x14ac:dyDescent="0.25"/>
    <row r="91407" s="12" customFormat="1" x14ac:dyDescent="0.25"/>
    <row r="91408" s="12" customFormat="1" x14ac:dyDescent="0.25"/>
    <row r="91409" s="12" customFormat="1" x14ac:dyDescent="0.25"/>
    <row r="91410" s="12" customFormat="1" x14ac:dyDescent="0.25"/>
    <row r="91411" s="12" customFormat="1" x14ac:dyDescent="0.25"/>
    <row r="91412" s="12" customFormat="1" x14ac:dyDescent="0.25"/>
    <row r="91413" s="12" customFormat="1" x14ac:dyDescent="0.25"/>
    <row r="91414" s="12" customFormat="1" x14ac:dyDescent="0.25"/>
    <row r="91415" s="12" customFormat="1" x14ac:dyDescent="0.25"/>
    <row r="91416" s="12" customFormat="1" x14ac:dyDescent="0.25"/>
    <row r="91417" s="12" customFormat="1" x14ac:dyDescent="0.25"/>
    <row r="91418" s="12" customFormat="1" x14ac:dyDescent="0.25"/>
    <row r="91419" s="12" customFormat="1" x14ac:dyDescent="0.25"/>
    <row r="91420" s="12" customFormat="1" x14ac:dyDescent="0.25"/>
    <row r="91421" s="12" customFormat="1" x14ac:dyDescent="0.25"/>
    <row r="91422" s="12" customFormat="1" x14ac:dyDescent="0.25"/>
    <row r="91423" s="12" customFormat="1" x14ac:dyDescent="0.25"/>
    <row r="91424" s="12" customFormat="1" x14ac:dyDescent="0.25"/>
    <row r="91425" s="12" customFormat="1" x14ac:dyDescent="0.25"/>
    <row r="91426" s="12" customFormat="1" x14ac:dyDescent="0.25"/>
    <row r="91427" s="12" customFormat="1" x14ac:dyDescent="0.25"/>
    <row r="91428" s="12" customFormat="1" x14ac:dyDescent="0.25"/>
    <row r="91429" s="12" customFormat="1" x14ac:dyDescent="0.25"/>
    <row r="91430" s="12" customFormat="1" x14ac:dyDescent="0.25"/>
    <row r="91431" s="12" customFormat="1" x14ac:dyDescent="0.25"/>
    <row r="91432" s="12" customFormat="1" x14ac:dyDescent="0.25"/>
    <row r="91433" s="12" customFormat="1" x14ac:dyDescent="0.25"/>
    <row r="91434" s="12" customFormat="1" x14ac:dyDescent="0.25"/>
    <row r="91435" s="12" customFormat="1" x14ac:dyDescent="0.25"/>
    <row r="91436" s="12" customFormat="1" x14ac:dyDescent="0.25"/>
    <row r="91437" s="12" customFormat="1" x14ac:dyDescent="0.25"/>
    <row r="91438" s="12" customFormat="1" x14ac:dyDescent="0.25"/>
    <row r="91439" s="12" customFormat="1" x14ac:dyDescent="0.25"/>
    <row r="91440" s="12" customFormat="1" x14ac:dyDescent="0.25"/>
    <row r="91441" s="12" customFormat="1" x14ac:dyDescent="0.25"/>
    <row r="91442" s="12" customFormat="1" x14ac:dyDescent="0.25"/>
    <row r="91443" s="12" customFormat="1" x14ac:dyDescent="0.25"/>
    <row r="91444" s="12" customFormat="1" x14ac:dyDescent="0.25"/>
    <row r="91445" s="12" customFormat="1" x14ac:dyDescent="0.25"/>
    <row r="91446" s="12" customFormat="1" x14ac:dyDescent="0.25"/>
    <row r="91447" s="12" customFormat="1" x14ac:dyDescent="0.25"/>
    <row r="91448" s="12" customFormat="1" x14ac:dyDescent="0.25"/>
    <row r="91449" s="12" customFormat="1" x14ac:dyDescent="0.25"/>
    <row r="91450" s="12" customFormat="1" x14ac:dyDescent="0.25"/>
    <row r="91451" s="12" customFormat="1" x14ac:dyDescent="0.25"/>
    <row r="91452" s="12" customFormat="1" x14ac:dyDescent="0.25"/>
    <row r="91453" s="12" customFormat="1" x14ac:dyDescent="0.25"/>
    <row r="91454" s="12" customFormat="1" x14ac:dyDescent="0.25"/>
    <row r="91455" s="12" customFormat="1" x14ac:dyDescent="0.25"/>
    <row r="91456" s="12" customFormat="1" x14ac:dyDescent="0.25"/>
    <row r="91457" s="12" customFormat="1" x14ac:dyDescent="0.25"/>
    <row r="91458" s="12" customFormat="1" x14ac:dyDescent="0.25"/>
    <row r="91459" s="12" customFormat="1" x14ac:dyDescent="0.25"/>
    <row r="91460" s="12" customFormat="1" x14ac:dyDescent="0.25"/>
    <row r="91461" s="12" customFormat="1" x14ac:dyDescent="0.25"/>
    <row r="91462" s="12" customFormat="1" x14ac:dyDescent="0.25"/>
    <row r="91463" s="12" customFormat="1" x14ac:dyDescent="0.25"/>
    <row r="91464" s="12" customFormat="1" x14ac:dyDescent="0.25"/>
    <row r="91465" s="12" customFormat="1" x14ac:dyDescent="0.25"/>
    <row r="91466" s="12" customFormat="1" x14ac:dyDescent="0.25"/>
    <row r="91467" s="12" customFormat="1" x14ac:dyDescent="0.25"/>
    <row r="91468" s="12" customFormat="1" x14ac:dyDescent="0.25"/>
    <row r="91469" s="12" customFormat="1" x14ac:dyDescent="0.25"/>
    <row r="91470" s="12" customFormat="1" x14ac:dyDescent="0.25"/>
    <row r="91471" s="12" customFormat="1" x14ac:dyDescent="0.25"/>
    <row r="91472" s="12" customFormat="1" x14ac:dyDescent="0.25"/>
    <row r="91473" s="12" customFormat="1" x14ac:dyDescent="0.25"/>
    <row r="91474" s="12" customFormat="1" x14ac:dyDescent="0.25"/>
    <row r="91475" s="12" customFormat="1" x14ac:dyDescent="0.25"/>
    <row r="91476" s="12" customFormat="1" x14ac:dyDescent="0.25"/>
    <row r="91477" s="12" customFormat="1" x14ac:dyDescent="0.25"/>
    <row r="91478" s="12" customFormat="1" x14ac:dyDescent="0.25"/>
    <row r="91479" s="12" customFormat="1" x14ac:dyDescent="0.25"/>
    <row r="91480" s="12" customFormat="1" x14ac:dyDescent="0.25"/>
    <row r="91481" s="12" customFormat="1" x14ac:dyDescent="0.25"/>
    <row r="91482" s="12" customFormat="1" x14ac:dyDescent="0.25"/>
    <row r="91483" s="12" customFormat="1" x14ac:dyDescent="0.25"/>
    <row r="91484" s="12" customFormat="1" x14ac:dyDescent="0.25"/>
    <row r="91485" s="12" customFormat="1" x14ac:dyDescent="0.25"/>
    <row r="91486" s="12" customFormat="1" x14ac:dyDescent="0.25"/>
    <row r="91487" s="12" customFormat="1" x14ac:dyDescent="0.25"/>
    <row r="91488" s="12" customFormat="1" x14ac:dyDescent="0.25"/>
    <row r="91489" s="12" customFormat="1" x14ac:dyDescent="0.25"/>
    <row r="91490" s="12" customFormat="1" x14ac:dyDescent="0.25"/>
    <row r="91491" s="12" customFormat="1" x14ac:dyDescent="0.25"/>
    <row r="91492" s="12" customFormat="1" x14ac:dyDescent="0.25"/>
    <row r="91493" s="12" customFormat="1" x14ac:dyDescent="0.25"/>
    <row r="91494" s="12" customFormat="1" x14ac:dyDescent="0.25"/>
    <row r="91495" s="12" customFormat="1" x14ac:dyDescent="0.25"/>
    <row r="91496" s="12" customFormat="1" x14ac:dyDescent="0.25"/>
    <row r="91497" s="12" customFormat="1" x14ac:dyDescent="0.25"/>
    <row r="91498" s="12" customFormat="1" x14ac:dyDescent="0.25"/>
    <row r="91499" s="12" customFormat="1" x14ac:dyDescent="0.25"/>
    <row r="91500" s="12" customFormat="1" x14ac:dyDescent="0.25"/>
    <row r="91501" s="12" customFormat="1" x14ac:dyDescent="0.25"/>
    <row r="91502" s="12" customFormat="1" x14ac:dyDescent="0.25"/>
    <row r="91503" s="12" customFormat="1" x14ac:dyDescent="0.25"/>
    <row r="91504" s="12" customFormat="1" x14ac:dyDescent="0.25"/>
    <row r="91505" s="12" customFormat="1" x14ac:dyDescent="0.25"/>
    <row r="91506" s="12" customFormat="1" x14ac:dyDescent="0.25"/>
    <row r="91507" s="12" customFormat="1" x14ac:dyDescent="0.25"/>
    <row r="91508" s="12" customFormat="1" x14ac:dyDescent="0.25"/>
    <row r="91509" s="12" customFormat="1" x14ac:dyDescent="0.25"/>
    <row r="91510" s="12" customFormat="1" x14ac:dyDescent="0.25"/>
    <row r="91511" s="12" customFormat="1" x14ac:dyDescent="0.25"/>
    <row r="91512" s="12" customFormat="1" x14ac:dyDescent="0.25"/>
    <row r="91513" s="12" customFormat="1" x14ac:dyDescent="0.25"/>
    <row r="91514" s="12" customFormat="1" x14ac:dyDescent="0.25"/>
    <row r="91515" s="12" customFormat="1" x14ac:dyDescent="0.25"/>
    <row r="91516" s="12" customFormat="1" x14ac:dyDescent="0.25"/>
    <row r="91517" s="12" customFormat="1" x14ac:dyDescent="0.25"/>
    <row r="91518" s="12" customFormat="1" x14ac:dyDescent="0.25"/>
    <row r="91519" s="12" customFormat="1" x14ac:dyDescent="0.25"/>
    <row r="91520" s="12" customFormat="1" x14ac:dyDescent="0.25"/>
    <row r="91521" s="12" customFormat="1" x14ac:dyDescent="0.25"/>
    <row r="91522" s="12" customFormat="1" x14ac:dyDescent="0.25"/>
    <row r="91523" s="12" customFormat="1" x14ac:dyDescent="0.25"/>
    <row r="91524" s="12" customFormat="1" x14ac:dyDescent="0.25"/>
    <row r="91525" s="12" customFormat="1" x14ac:dyDescent="0.25"/>
    <row r="91526" s="12" customFormat="1" x14ac:dyDescent="0.25"/>
    <row r="91527" s="12" customFormat="1" x14ac:dyDescent="0.25"/>
    <row r="91528" s="12" customFormat="1" x14ac:dyDescent="0.25"/>
    <row r="91529" s="12" customFormat="1" x14ac:dyDescent="0.25"/>
    <row r="91530" s="12" customFormat="1" x14ac:dyDescent="0.25"/>
    <row r="91531" s="12" customFormat="1" x14ac:dyDescent="0.25"/>
    <row r="91532" s="12" customFormat="1" x14ac:dyDescent="0.25"/>
    <row r="91533" s="12" customFormat="1" x14ac:dyDescent="0.25"/>
    <row r="91534" s="12" customFormat="1" x14ac:dyDescent="0.25"/>
    <row r="91535" s="12" customFormat="1" x14ac:dyDescent="0.25"/>
    <row r="91536" s="12" customFormat="1" x14ac:dyDescent="0.25"/>
    <row r="91537" s="12" customFormat="1" x14ac:dyDescent="0.25"/>
    <row r="91538" s="12" customFormat="1" x14ac:dyDescent="0.25"/>
    <row r="91539" s="12" customFormat="1" x14ac:dyDescent="0.25"/>
    <row r="91540" s="12" customFormat="1" x14ac:dyDescent="0.25"/>
    <row r="91541" s="12" customFormat="1" x14ac:dyDescent="0.25"/>
    <row r="91542" s="12" customFormat="1" x14ac:dyDescent="0.25"/>
    <row r="91543" s="12" customFormat="1" x14ac:dyDescent="0.25"/>
    <row r="91544" s="12" customFormat="1" x14ac:dyDescent="0.25"/>
    <row r="91545" s="12" customFormat="1" x14ac:dyDescent="0.25"/>
    <row r="91546" s="12" customFormat="1" x14ac:dyDescent="0.25"/>
    <row r="91547" s="12" customFormat="1" x14ac:dyDescent="0.25"/>
    <row r="91548" s="12" customFormat="1" x14ac:dyDescent="0.25"/>
    <row r="91549" s="12" customFormat="1" x14ac:dyDescent="0.25"/>
    <row r="91550" s="12" customFormat="1" x14ac:dyDescent="0.25"/>
    <row r="91551" s="12" customFormat="1" x14ac:dyDescent="0.25"/>
    <row r="91552" s="12" customFormat="1" x14ac:dyDescent="0.25"/>
    <row r="91553" s="12" customFormat="1" x14ac:dyDescent="0.25"/>
    <row r="91554" s="12" customFormat="1" x14ac:dyDescent="0.25"/>
    <row r="91555" s="12" customFormat="1" x14ac:dyDescent="0.25"/>
    <row r="91556" s="12" customFormat="1" x14ac:dyDescent="0.25"/>
    <row r="91557" s="12" customFormat="1" x14ac:dyDescent="0.25"/>
    <row r="91558" s="12" customFormat="1" x14ac:dyDescent="0.25"/>
    <row r="91559" s="12" customFormat="1" x14ac:dyDescent="0.25"/>
    <row r="91560" s="12" customFormat="1" x14ac:dyDescent="0.25"/>
    <row r="91561" s="12" customFormat="1" x14ac:dyDescent="0.25"/>
    <row r="91562" s="12" customFormat="1" x14ac:dyDescent="0.25"/>
    <row r="91563" s="12" customFormat="1" x14ac:dyDescent="0.25"/>
    <row r="91564" s="12" customFormat="1" x14ac:dyDescent="0.25"/>
    <row r="91565" s="12" customFormat="1" x14ac:dyDescent="0.25"/>
    <row r="91566" s="12" customFormat="1" x14ac:dyDescent="0.25"/>
    <row r="91567" s="12" customFormat="1" x14ac:dyDescent="0.25"/>
    <row r="91568" s="12" customFormat="1" x14ac:dyDescent="0.25"/>
    <row r="91569" s="12" customFormat="1" x14ac:dyDescent="0.25"/>
    <row r="91570" s="12" customFormat="1" x14ac:dyDescent="0.25"/>
    <row r="91571" s="12" customFormat="1" x14ac:dyDescent="0.25"/>
    <row r="91572" s="12" customFormat="1" x14ac:dyDescent="0.25"/>
    <row r="91573" s="12" customFormat="1" x14ac:dyDescent="0.25"/>
    <row r="91574" s="12" customFormat="1" x14ac:dyDescent="0.25"/>
    <row r="91575" s="12" customFormat="1" x14ac:dyDescent="0.25"/>
    <row r="91576" s="12" customFormat="1" x14ac:dyDescent="0.25"/>
    <row r="91577" s="12" customFormat="1" x14ac:dyDescent="0.25"/>
    <row r="91578" s="12" customFormat="1" x14ac:dyDescent="0.25"/>
    <row r="91579" s="12" customFormat="1" x14ac:dyDescent="0.25"/>
    <row r="91580" s="12" customFormat="1" x14ac:dyDescent="0.25"/>
    <row r="91581" s="12" customFormat="1" x14ac:dyDescent="0.25"/>
    <row r="91582" s="12" customFormat="1" x14ac:dyDescent="0.25"/>
    <row r="91583" s="12" customFormat="1" x14ac:dyDescent="0.25"/>
    <row r="91584" s="12" customFormat="1" x14ac:dyDescent="0.25"/>
    <row r="91585" s="12" customFormat="1" x14ac:dyDescent="0.25"/>
    <row r="91586" s="12" customFormat="1" x14ac:dyDescent="0.25"/>
    <row r="91587" s="12" customFormat="1" x14ac:dyDescent="0.25"/>
    <row r="91588" s="12" customFormat="1" x14ac:dyDescent="0.25"/>
    <row r="91589" s="12" customFormat="1" x14ac:dyDescent="0.25"/>
    <row r="91590" s="12" customFormat="1" x14ac:dyDescent="0.25"/>
    <row r="91591" s="12" customFormat="1" x14ac:dyDescent="0.25"/>
    <row r="91592" s="12" customFormat="1" x14ac:dyDescent="0.25"/>
    <row r="91593" s="12" customFormat="1" x14ac:dyDescent="0.25"/>
    <row r="91594" s="12" customFormat="1" x14ac:dyDescent="0.25"/>
    <row r="91595" s="12" customFormat="1" x14ac:dyDescent="0.25"/>
    <row r="91596" s="12" customFormat="1" x14ac:dyDescent="0.25"/>
    <row r="91597" s="12" customFormat="1" x14ac:dyDescent="0.25"/>
    <row r="91598" s="12" customFormat="1" x14ac:dyDescent="0.25"/>
    <row r="91599" s="12" customFormat="1" x14ac:dyDescent="0.25"/>
    <row r="91600" s="12" customFormat="1" x14ac:dyDescent="0.25"/>
    <row r="91601" s="12" customFormat="1" x14ac:dyDescent="0.25"/>
    <row r="91602" s="12" customFormat="1" x14ac:dyDescent="0.25"/>
    <row r="91603" s="12" customFormat="1" x14ac:dyDescent="0.25"/>
    <row r="91604" s="12" customFormat="1" x14ac:dyDescent="0.25"/>
    <row r="91605" s="12" customFormat="1" x14ac:dyDescent="0.25"/>
    <row r="91606" s="12" customFormat="1" x14ac:dyDescent="0.25"/>
    <row r="91607" s="12" customFormat="1" x14ac:dyDescent="0.25"/>
    <row r="91608" s="12" customFormat="1" x14ac:dyDescent="0.25"/>
    <row r="91609" s="12" customFormat="1" x14ac:dyDescent="0.25"/>
    <row r="91610" s="12" customFormat="1" x14ac:dyDescent="0.25"/>
    <row r="91611" s="12" customFormat="1" x14ac:dyDescent="0.25"/>
    <row r="91612" s="12" customFormat="1" x14ac:dyDescent="0.25"/>
    <row r="91613" s="12" customFormat="1" x14ac:dyDescent="0.25"/>
    <row r="91614" s="12" customFormat="1" x14ac:dyDescent="0.25"/>
    <row r="91615" s="12" customFormat="1" x14ac:dyDescent="0.25"/>
    <row r="91616" s="12" customFormat="1" x14ac:dyDescent="0.25"/>
    <row r="91617" s="12" customFormat="1" x14ac:dyDescent="0.25"/>
    <row r="91618" s="12" customFormat="1" x14ac:dyDescent="0.25"/>
    <row r="91619" s="12" customFormat="1" x14ac:dyDescent="0.25"/>
    <row r="91620" s="12" customFormat="1" x14ac:dyDescent="0.25"/>
    <row r="91621" s="12" customFormat="1" x14ac:dyDescent="0.25"/>
    <row r="91622" s="12" customFormat="1" x14ac:dyDescent="0.25"/>
    <row r="91623" s="12" customFormat="1" x14ac:dyDescent="0.25"/>
    <row r="91624" s="12" customFormat="1" x14ac:dyDescent="0.25"/>
    <row r="91625" s="12" customFormat="1" x14ac:dyDescent="0.25"/>
    <row r="91626" s="12" customFormat="1" x14ac:dyDescent="0.25"/>
    <row r="91627" s="12" customFormat="1" x14ac:dyDescent="0.25"/>
    <row r="91628" s="12" customFormat="1" x14ac:dyDescent="0.25"/>
    <row r="91629" s="12" customFormat="1" x14ac:dyDescent="0.25"/>
    <row r="91630" s="12" customFormat="1" x14ac:dyDescent="0.25"/>
    <row r="91631" s="12" customFormat="1" x14ac:dyDescent="0.25"/>
    <row r="91632" s="12" customFormat="1" x14ac:dyDescent="0.25"/>
    <row r="91633" s="12" customFormat="1" x14ac:dyDescent="0.25"/>
    <row r="91634" s="12" customFormat="1" x14ac:dyDescent="0.25"/>
    <row r="91635" s="12" customFormat="1" x14ac:dyDescent="0.25"/>
    <row r="91636" s="12" customFormat="1" x14ac:dyDescent="0.25"/>
    <row r="91637" s="12" customFormat="1" x14ac:dyDescent="0.25"/>
    <row r="91638" s="12" customFormat="1" x14ac:dyDescent="0.25"/>
    <row r="91639" s="12" customFormat="1" x14ac:dyDescent="0.25"/>
    <row r="91640" s="12" customFormat="1" x14ac:dyDescent="0.25"/>
    <row r="91641" s="12" customFormat="1" x14ac:dyDescent="0.25"/>
    <row r="91642" s="12" customFormat="1" x14ac:dyDescent="0.25"/>
    <row r="91643" s="12" customFormat="1" x14ac:dyDescent="0.25"/>
    <row r="91644" s="12" customFormat="1" x14ac:dyDescent="0.25"/>
    <row r="91645" s="12" customFormat="1" x14ac:dyDescent="0.25"/>
    <row r="91646" s="12" customFormat="1" x14ac:dyDescent="0.25"/>
    <row r="91647" s="12" customFormat="1" x14ac:dyDescent="0.25"/>
    <row r="91648" s="12" customFormat="1" x14ac:dyDescent="0.25"/>
    <row r="91649" s="12" customFormat="1" x14ac:dyDescent="0.25"/>
    <row r="91650" s="12" customFormat="1" x14ac:dyDescent="0.25"/>
    <row r="91651" s="12" customFormat="1" x14ac:dyDescent="0.25"/>
    <row r="91652" s="12" customFormat="1" x14ac:dyDescent="0.25"/>
    <row r="91653" s="12" customFormat="1" x14ac:dyDescent="0.25"/>
    <row r="91654" s="12" customFormat="1" x14ac:dyDescent="0.25"/>
    <row r="91655" s="12" customFormat="1" x14ac:dyDescent="0.25"/>
    <row r="91656" s="12" customFormat="1" x14ac:dyDescent="0.25"/>
    <row r="91657" s="12" customFormat="1" x14ac:dyDescent="0.25"/>
    <row r="91658" s="12" customFormat="1" x14ac:dyDescent="0.25"/>
    <row r="91659" s="12" customFormat="1" x14ac:dyDescent="0.25"/>
    <row r="91660" s="12" customFormat="1" x14ac:dyDescent="0.25"/>
    <row r="91661" s="12" customFormat="1" x14ac:dyDescent="0.25"/>
    <row r="91662" s="12" customFormat="1" x14ac:dyDescent="0.25"/>
    <row r="91663" s="12" customFormat="1" x14ac:dyDescent="0.25"/>
    <row r="91664" s="12" customFormat="1" x14ac:dyDescent="0.25"/>
    <row r="91665" s="12" customFormat="1" x14ac:dyDescent="0.25"/>
    <row r="91666" s="12" customFormat="1" x14ac:dyDescent="0.25"/>
    <row r="91667" s="12" customFormat="1" x14ac:dyDescent="0.25"/>
    <row r="91668" s="12" customFormat="1" x14ac:dyDescent="0.25"/>
    <row r="91669" s="12" customFormat="1" x14ac:dyDescent="0.25"/>
    <row r="91670" s="12" customFormat="1" x14ac:dyDescent="0.25"/>
    <row r="91671" s="12" customFormat="1" x14ac:dyDescent="0.25"/>
    <row r="91672" s="12" customFormat="1" x14ac:dyDescent="0.25"/>
    <row r="91673" s="12" customFormat="1" x14ac:dyDescent="0.25"/>
    <row r="91674" s="12" customFormat="1" x14ac:dyDescent="0.25"/>
    <row r="91675" s="12" customFormat="1" x14ac:dyDescent="0.25"/>
    <row r="91676" s="12" customFormat="1" x14ac:dyDescent="0.25"/>
    <row r="91677" s="12" customFormat="1" x14ac:dyDescent="0.25"/>
    <row r="91678" s="12" customFormat="1" x14ac:dyDescent="0.25"/>
    <row r="91679" s="12" customFormat="1" x14ac:dyDescent="0.25"/>
    <row r="91680" s="12" customFormat="1" x14ac:dyDescent="0.25"/>
    <row r="91681" s="12" customFormat="1" x14ac:dyDescent="0.25"/>
    <row r="91682" s="12" customFormat="1" x14ac:dyDescent="0.25"/>
    <row r="91683" s="12" customFormat="1" x14ac:dyDescent="0.25"/>
    <row r="91684" s="12" customFormat="1" x14ac:dyDescent="0.25"/>
    <row r="91685" s="12" customFormat="1" x14ac:dyDescent="0.25"/>
    <row r="91686" s="12" customFormat="1" x14ac:dyDescent="0.25"/>
    <row r="91687" s="12" customFormat="1" x14ac:dyDescent="0.25"/>
    <row r="91688" s="12" customFormat="1" x14ac:dyDescent="0.25"/>
    <row r="91689" s="12" customFormat="1" x14ac:dyDescent="0.25"/>
    <row r="91690" s="12" customFormat="1" x14ac:dyDescent="0.25"/>
    <row r="91691" s="12" customFormat="1" x14ac:dyDescent="0.25"/>
    <row r="91692" s="12" customFormat="1" x14ac:dyDescent="0.25"/>
    <row r="91693" s="12" customFormat="1" x14ac:dyDescent="0.25"/>
    <row r="91694" s="12" customFormat="1" x14ac:dyDescent="0.25"/>
    <row r="91695" s="12" customFormat="1" x14ac:dyDescent="0.25"/>
    <row r="91696" s="12" customFormat="1" x14ac:dyDescent="0.25"/>
    <row r="91697" s="12" customFormat="1" x14ac:dyDescent="0.25"/>
    <row r="91698" s="12" customFormat="1" x14ac:dyDescent="0.25"/>
    <row r="91699" s="12" customFormat="1" x14ac:dyDescent="0.25"/>
    <row r="91700" s="12" customFormat="1" x14ac:dyDescent="0.25"/>
    <row r="91701" s="12" customFormat="1" x14ac:dyDescent="0.25"/>
    <row r="91702" s="12" customFormat="1" x14ac:dyDescent="0.25"/>
    <row r="91703" s="12" customFormat="1" x14ac:dyDescent="0.25"/>
    <row r="91704" s="12" customFormat="1" x14ac:dyDescent="0.25"/>
    <row r="91705" s="12" customFormat="1" x14ac:dyDescent="0.25"/>
    <row r="91706" s="12" customFormat="1" x14ac:dyDescent="0.25"/>
    <row r="91707" s="12" customFormat="1" x14ac:dyDescent="0.25"/>
    <row r="91708" s="12" customFormat="1" x14ac:dyDescent="0.25"/>
    <row r="91709" s="12" customFormat="1" x14ac:dyDescent="0.25"/>
    <row r="91710" s="12" customFormat="1" x14ac:dyDescent="0.25"/>
    <row r="91711" s="12" customFormat="1" x14ac:dyDescent="0.25"/>
    <row r="91712" s="12" customFormat="1" x14ac:dyDescent="0.25"/>
    <row r="91713" s="12" customFormat="1" x14ac:dyDescent="0.25"/>
    <row r="91714" s="12" customFormat="1" x14ac:dyDescent="0.25"/>
    <row r="91715" s="12" customFormat="1" x14ac:dyDescent="0.25"/>
    <row r="91716" s="12" customFormat="1" x14ac:dyDescent="0.25"/>
    <row r="91717" s="12" customFormat="1" x14ac:dyDescent="0.25"/>
    <row r="91718" s="12" customFormat="1" x14ac:dyDescent="0.25"/>
    <row r="91719" s="12" customFormat="1" x14ac:dyDescent="0.25"/>
    <row r="91720" s="12" customFormat="1" x14ac:dyDescent="0.25"/>
    <row r="91721" s="12" customFormat="1" x14ac:dyDescent="0.25"/>
    <row r="91722" s="12" customFormat="1" x14ac:dyDescent="0.25"/>
    <row r="91723" s="12" customFormat="1" x14ac:dyDescent="0.25"/>
    <row r="91724" s="12" customFormat="1" x14ac:dyDescent="0.25"/>
    <row r="91725" s="12" customFormat="1" x14ac:dyDescent="0.25"/>
    <row r="91726" s="12" customFormat="1" x14ac:dyDescent="0.25"/>
    <row r="91727" s="12" customFormat="1" x14ac:dyDescent="0.25"/>
    <row r="91728" s="12" customFormat="1" x14ac:dyDescent="0.25"/>
    <row r="91729" s="12" customFormat="1" x14ac:dyDescent="0.25"/>
    <row r="91730" s="12" customFormat="1" x14ac:dyDescent="0.25"/>
    <row r="91731" s="12" customFormat="1" x14ac:dyDescent="0.25"/>
    <row r="91732" s="12" customFormat="1" x14ac:dyDescent="0.25"/>
    <row r="91733" s="12" customFormat="1" x14ac:dyDescent="0.25"/>
    <row r="91734" s="12" customFormat="1" x14ac:dyDescent="0.25"/>
    <row r="91735" s="12" customFormat="1" x14ac:dyDescent="0.25"/>
    <row r="91736" s="12" customFormat="1" x14ac:dyDescent="0.25"/>
    <row r="91737" s="12" customFormat="1" x14ac:dyDescent="0.25"/>
    <row r="91738" s="12" customFormat="1" x14ac:dyDescent="0.25"/>
    <row r="91739" s="12" customFormat="1" x14ac:dyDescent="0.25"/>
    <row r="91740" s="12" customFormat="1" x14ac:dyDescent="0.25"/>
    <row r="91741" s="12" customFormat="1" x14ac:dyDescent="0.25"/>
    <row r="91742" s="12" customFormat="1" x14ac:dyDescent="0.25"/>
    <row r="91743" s="12" customFormat="1" x14ac:dyDescent="0.25"/>
    <row r="91744" s="12" customFormat="1" x14ac:dyDescent="0.25"/>
    <row r="91745" s="12" customFormat="1" x14ac:dyDescent="0.25"/>
    <row r="91746" s="12" customFormat="1" x14ac:dyDescent="0.25"/>
    <row r="91747" s="12" customFormat="1" x14ac:dyDescent="0.25"/>
    <row r="91748" s="12" customFormat="1" x14ac:dyDescent="0.25"/>
    <row r="91749" s="12" customFormat="1" x14ac:dyDescent="0.25"/>
    <row r="91750" s="12" customFormat="1" x14ac:dyDescent="0.25"/>
    <row r="91751" s="12" customFormat="1" x14ac:dyDescent="0.25"/>
    <row r="91752" s="12" customFormat="1" x14ac:dyDescent="0.25"/>
    <row r="91753" s="12" customFormat="1" x14ac:dyDescent="0.25"/>
    <row r="91754" s="12" customFormat="1" x14ac:dyDescent="0.25"/>
    <row r="91755" s="12" customFormat="1" x14ac:dyDescent="0.25"/>
    <row r="91756" s="12" customFormat="1" x14ac:dyDescent="0.25"/>
    <row r="91757" s="12" customFormat="1" x14ac:dyDescent="0.25"/>
    <row r="91758" s="12" customFormat="1" x14ac:dyDescent="0.25"/>
    <row r="91759" s="12" customFormat="1" x14ac:dyDescent="0.25"/>
    <row r="91760" s="12" customFormat="1" x14ac:dyDescent="0.25"/>
    <row r="91761" s="12" customFormat="1" x14ac:dyDescent="0.25"/>
    <row r="91762" s="12" customFormat="1" x14ac:dyDescent="0.25"/>
    <row r="91763" s="12" customFormat="1" x14ac:dyDescent="0.25"/>
    <row r="91764" s="12" customFormat="1" x14ac:dyDescent="0.25"/>
    <row r="91765" s="12" customFormat="1" x14ac:dyDescent="0.25"/>
    <row r="91766" s="12" customFormat="1" x14ac:dyDescent="0.25"/>
    <row r="91767" s="12" customFormat="1" x14ac:dyDescent="0.25"/>
    <row r="91768" s="12" customFormat="1" x14ac:dyDescent="0.25"/>
    <row r="91769" s="12" customFormat="1" x14ac:dyDescent="0.25"/>
    <row r="91770" s="12" customFormat="1" x14ac:dyDescent="0.25"/>
    <row r="91771" s="12" customFormat="1" x14ac:dyDescent="0.25"/>
    <row r="91772" s="12" customFormat="1" x14ac:dyDescent="0.25"/>
    <row r="91773" s="12" customFormat="1" x14ac:dyDescent="0.25"/>
    <row r="91774" s="12" customFormat="1" x14ac:dyDescent="0.25"/>
    <row r="91775" s="12" customFormat="1" x14ac:dyDescent="0.25"/>
    <row r="91776" s="12" customFormat="1" x14ac:dyDescent="0.25"/>
    <row r="91777" s="12" customFormat="1" x14ac:dyDescent="0.25"/>
    <row r="91778" s="12" customFormat="1" x14ac:dyDescent="0.25"/>
    <row r="91779" s="12" customFormat="1" x14ac:dyDescent="0.25"/>
    <row r="91780" s="12" customFormat="1" x14ac:dyDescent="0.25"/>
    <row r="91781" s="12" customFormat="1" x14ac:dyDescent="0.25"/>
    <row r="91782" s="12" customFormat="1" x14ac:dyDescent="0.25"/>
    <row r="91783" s="12" customFormat="1" x14ac:dyDescent="0.25"/>
    <row r="91784" s="12" customFormat="1" x14ac:dyDescent="0.25"/>
    <row r="91785" s="12" customFormat="1" x14ac:dyDescent="0.25"/>
    <row r="91786" s="12" customFormat="1" x14ac:dyDescent="0.25"/>
    <row r="91787" s="12" customFormat="1" x14ac:dyDescent="0.25"/>
    <row r="91788" s="12" customFormat="1" x14ac:dyDescent="0.25"/>
    <row r="91789" s="12" customFormat="1" x14ac:dyDescent="0.25"/>
    <row r="91790" s="12" customFormat="1" x14ac:dyDescent="0.25"/>
    <row r="91791" s="12" customFormat="1" x14ac:dyDescent="0.25"/>
    <row r="91792" s="12" customFormat="1" x14ac:dyDescent="0.25"/>
    <row r="91793" s="12" customFormat="1" x14ac:dyDescent="0.25"/>
    <row r="91794" s="12" customFormat="1" x14ac:dyDescent="0.25"/>
    <row r="91795" s="12" customFormat="1" x14ac:dyDescent="0.25"/>
    <row r="91796" s="12" customFormat="1" x14ac:dyDescent="0.25"/>
    <row r="91797" s="12" customFormat="1" x14ac:dyDescent="0.25"/>
    <row r="91798" s="12" customFormat="1" x14ac:dyDescent="0.25"/>
    <row r="91799" s="12" customFormat="1" x14ac:dyDescent="0.25"/>
    <row r="91800" s="12" customFormat="1" x14ac:dyDescent="0.25"/>
    <row r="91801" s="12" customFormat="1" x14ac:dyDescent="0.25"/>
    <row r="91802" s="12" customFormat="1" x14ac:dyDescent="0.25"/>
    <row r="91803" s="12" customFormat="1" x14ac:dyDescent="0.25"/>
    <row r="91804" s="12" customFormat="1" x14ac:dyDescent="0.25"/>
    <row r="91805" s="12" customFormat="1" x14ac:dyDescent="0.25"/>
    <row r="91806" s="12" customFormat="1" x14ac:dyDescent="0.25"/>
    <row r="91807" s="12" customFormat="1" x14ac:dyDescent="0.25"/>
    <row r="91808" s="12" customFormat="1" x14ac:dyDescent="0.25"/>
    <row r="91809" s="12" customFormat="1" x14ac:dyDescent="0.25"/>
    <row r="91810" s="12" customFormat="1" x14ac:dyDescent="0.25"/>
    <row r="91811" s="12" customFormat="1" x14ac:dyDescent="0.25"/>
    <row r="91812" s="12" customFormat="1" x14ac:dyDescent="0.25"/>
    <row r="91813" s="12" customFormat="1" x14ac:dyDescent="0.25"/>
    <row r="91814" s="12" customFormat="1" x14ac:dyDescent="0.25"/>
    <row r="91815" s="12" customFormat="1" x14ac:dyDescent="0.25"/>
    <row r="91816" s="12" customFormat="1" x14ac:dyDescent="0.25"/>
    <row r="91817" s="12" customFormat="1" x14ac:dyDescent="0.25"/>
    <row r="91818" s="12" customFormat="1" x14ac:dyDescent="0.25"/>
    <row r="91819" s="12" customFormat="1" x14ac:dyDescent="0.25"/>
    <row r="91820" s="12" customFormat="1" x14ac:dyDescent="0.25"/>
    <row r="91821" s="12" customFormat="1" x14ac:dyDescent="0.25"/>
    <row r="91822" s="12" customFormat="1" x14ac:dyDescent="0.25"/>
    <row r="91823" s="12" customFormat="1" x14ac:dyDescent="0.25"/>
    <row r="91824" s="12" customFormat="1" x14ac:dyDescent="0.25"/>
    <row r="91825" s="12" customFormat="1" x14ac:dyDescent="0.25"/>
    <row r="91826" s="12" customFormat="1" x14ac:dyDescent="0.25"/>
    <row r="91827" s="12" customFormat="1" x14ac:dyDescent="0.25"/>
    <row r="91828" s="12" customFormat="1" x14ac:dyDescent="0.25"/>
    <row r="91829" s="12" customFormat="1" x14ac:dyDescent="0.25"/>
    <row r="91830" s="12" customFormat="1" x14ac:dyDescent="0.25"/>
    <row r="91831" s="12" customFormat="1" x14ac:dyDescent="0.25"/>
    <row r="91832" s="12" customFormat="1" x14ac:dyDescent="0.25"/>
    <row r="91833" s="12" customFormat="1" x14ac:dyDescent="0.25"/>
    <row r="91834" s="12" customFormat="1" x14ac:dyDescent="0.25"/>
    <row r="91835" s="12" customFormat="1" x14ac:dyDescent="0.25"/>
    <row r="91836" s="12" customFormat="1" x14ac:dyDescent="0.25"/>
    <row r="91837" s="12" customFormat="1" x14ac:dyDescent="0.25"/>
    <row r="91838" s="12" customFormat="1" x14ac:dyDescent="0.25"/>
    <row r="91839" s="12" customFormat="1" x14ac:dyDescent="0.25"/>
    <row r="91840" s="12" customFormat="1" x14ac:dyDescent="0.25"/>
    <row r="91841" s="12" customFormat="1" x14ac:dyDescent="0.25"/>
    <row r="91842" s="12" customFormat="1" x14ac:dyDescent="0.25"/>
    <row r="91843" s="12" customFormat="1" x14ac:dyDescent="0.25"/>
    <row r="91844" s="12" customFormat="1" x14ac:dyDescent="0.25"/>
    <row r="91845" s="12" customFormat="1" x14ac:dyDescent="0.25"/>
    <row r="91846" s="12" customFormat="1" x14ac:dyDescent="0.25"/>
    <row r="91847" s="12" customFormat="1" x14ac:dyDescent="0.25"/>
    <row r="91848" s="12" customFormat="1" x14ac:dyDescent="0.25"/>
    <row r="91849" s="12" customFormat="1" x14ac:dyDescent="0.25"/>
    <row r="91850" s="12" customFormat="1" x14ac:dyDescent="0.25"/>
    <row r="91851" s="12" customFormat="1" x14ac:dyDescent="0.25"/>
    <row r="91852" s="12" customFormat="1" x14ac:dyDescent="0.25"/>
    <row r="91853" s="12" customFormat="1" x14ac:dyDescent="0.25"/>
    <row r="91854" s="12" customFormat="1" x14ac:dyDescent="0.25"/>
    <row r="91855" s="12" customFormat="1" x14ac:dyDescent="0.25"/>
    <row r="91856" s="12" customFormat="1" x14ac:dyDescent="0.25"/>
    <row r="91857" s="12" customFormat="1" x14ac:dyDescent="0.25"/>
    <row r="91858" s="12" customFormat="1" x14ac:dyDescent="0.25"/>
    <row r="91859" s="12" customFormat="1" x14ac:dyDescent="0.25"/>
    <row r="91860" s="12" customFormat="1" x14ac:dyDescent="0.25"/>
    <row r="91861" s="12" customFormat="1" x14ac:dyDescent="0.25"/>
    <row r="91862" s="12" customFormat="1" x14ac:dyDescent="0.25"/>
    <row r="91863" s="12" customFormat="1" x14ac:dyDescent="0.25"/>
    <row r="91864" s="12" customFormat="1" x14ac:dyDescent="0.25"/>
    <row r="91865" s="12" customFormat="1" x14ac:dyDescent="0.25"/>
    <row r="91866" s="12" customFormat="1" x14ac:dyDescent="0.25"/>
    <row r="91867" s="12" customFormat="1" x14ac:dyDescent="0.25"/>
    <row r="91868" s="12" customFormat="1" x14ac:dyDescent="0.25"/>
    <row r="91869" s="12" customFormat="1" x14ac:dyDescent="0.25"/>
    <row r="91870" s="12" customFormat="1" x14ac:dyDescent="0.25"/>
    <row r="91871" s="12" customFormat="1" x14ac:dyDescent="0.25"/>
    <row r="91872" s="12" customFormat="1" x14ac:dyDescent="0.25"/>
    <row r="91873" s="12" customFormat="1" x14ac:dyDescent="0.25"/>
    <row r="91874" s="12" customFormat="1" x14ac:dyDescent="0.25"/>
    <row r="91875" s="12" customFormat="1" x14ac:dyDescent="0.25"/>
    <row r="91876" s="12" customFormat="1" x14ac:dyDescent="0.25"/>
    <row r="91877" s="12" customFormat="1" x14ac:dyDescent="0.25"/>
    <row r="91878" s="12" customFormat="1" x14ac:dyDescent="0.25"/>
    <row r="91879" s="12" customFormat="1" x14ac:dyDescent="0.25"/>
    <row r="91880" s="12" customFormat="1" x14ac:dyDescent="0.25"/>
    <row r="91881" s="12" customFormat="1" x14ac:dyDescent="0.25"/>
    <row r="91882" s="12" customFormat="1" x14ac:dyDescent="0.25"/>
    <row r="91883" s="12" customFormat="1" x14ac:dyDescent="0.25"/>
    <row r="91884" s="12" customFormat="1" x14ac:dyDescent="0.25"/>
    <row r="91885" s="12" customFormat="1" x14ac:dyDescent="0.25"/>
    <row r="91886" s="12" customFormat="1" x14ac:dyDescent="0.25"/>
    <row r="91887" s="12" customFormat="1" x14ac:dyDescent="0.25"/>
    <row r="91888" s="12" customFormat="1" x14ac:dyDescent="0.25"/>
    <row r="91889" s="12" customFormat="1" x14ac:dyDescent="0.25"/>
    <row r="91890" s="12" customFormat="1" x14ac:dyDescent="0.25"/>
    <row r="91891" s="12" customFormat="1" x14ac:dyDescent="0.25"/>
    <row r="91892" s="12" customFormat="1" x14ac:dyDescent="0.25"/>
    <row r="91893" s="12" customFormat="1" x14ac:dyDescent="0.25"/>
    <row r="91894" s="12" customFormat="1" x14ac:dyDescent="0.25"/>
    <row r="91895" s="12" customFormat="1" x14ac:dyDescent="0.25"/>
    <row r="91896" s="12" customFormat="1" x14ac:dyDescent="0.25"/>
    <row r="91897" s="12" customFormat="1" x14ac:dyDescent="0.25"/>
    <row r="91898" s="12" customFormat="1" x14ac:dyDescent="0.25"/>
    <row r="91899" s="12" customFormat="1" x14ac:dyDescent="0.25"/>
    <row r="91900" s="12" customFormat="1" x14ac:dyDescent="0.25"/>
    <row r="91901" s="12" customFormat="1" x14ac:dyDescent="0.25"/>
    <row r="91902" s="12" customFormat="1" x14ac:dyDescent="0.25"/>
    <row r="91903" s="12" customFormat="1" x14ac:dyDescent="0.25"/>
    <row r="91904" s="12" customFormat="1" x14ac:dyDescent="0.25"/>
    <row r="91905" s="12" customFormat="1" x14ac:dyDescent="0.25"/>
    <row r="91906" s="12" customFormat="1" x14ac:dyDescent="0.25"/>
    <row r="91907" s="12" customFormat="1" x14ac:dyDescent="0.25"/>
    <row r="91908" s="12" customFormat="1" x14ac:dyDescent="0.25"/>
    <row r="91909" s="12" customFormat="1" x14ac:dyDescent="0.25"/>
    <row r="91910" s="12" customFormat="1" x14ac:dyDescent="0.25"/>
    <row r="91911" s="12" customFormat="1" x14ac:dyDescent="0.25"/>
    <row r="91912" s="12" customFormat="1" x14ac:dyDescent="0.25"/>
    <row r="91913" s="12" customFormat="1" x14ac:dyDescent="0.25"/>
    <row r="91914" s="12" customFormat="1" x14ac:dyDescent="0.25"/>
    <row r="91915" s="12" customFormat="1" x14ac:dyDescent="0.25"/>
    <row r="91916" s="12" customFormat="1" x14ac:dyDescent="0.25"/>
    <row r="91917" s="12" customFormat="1" x14ac:dyDescent="0.25"/>
    <row r="91918" s="12" customFormat="1" x14ac:dyDescent="0.25"/>
    <row r="91919" s="12" customFormat="1" x14ac:dyDescent="0.25"/>
    <row r="91920" s="12" customFormat="1" x14ac:dyDescent="0.25"/>
    <row r="91921" s="12" customFormat="1" x14ac:dyDescent="0.25"/>
    <row r="91922" s="12" customFormat="1" x14ac:dyDescent="0.25"/>
    <row r="91923" s="12" customFormat="1" x14ac:dyDescent="0.25"/>
    <row r="91924" s="12" customFormat="1" x14ac:dyDescent="0.25"/>
    <row r="91925" s="12" customFormat="1" x14ac:dyDescent="0.25"/>
    <row r="91926" s="12" customFormat="1" x14ac:dyDescent="0.25"/>
    <row r="91927" s="12" customFormat="1" x14ac:dyDescent="0.25"/>
    <row r="91928" s="12" customFormat="1" x14ac:dyDescent="0.25"/>
    <row r="91929" s="12" customFormat="1" x14ac:dyDescent="0.25"/>
    <row r="91930" s="12" customFormat="1" x14ac:dyDescent="0.25"/>
    <row r="91931" s="12" customFormat="1" x14ac:dyDescent="0.25"/>
    <row r="91932" s="12" customFormat="1" x14ac:dyDescent="0.25"/>
    <row r="91933" s="12" customFormat="1" x14ac:dyDescent="0.25"/>
    <row r="91934" s="12" customFormat="1" x14ac:dyDescent="0.25"/>
    <row r="91935" s="12" customFormat="1" x14ac:dyDescent="0.25"/>
    <row r="91936" s="12" customFormat="1" x14ac:dyDescent="0.25"/>
    <row r="91937" s="12" customFormat="1" x14ac:dyDescent="0.25"/>
    <row r="91938" s="12" customFormat="1" x14ac:dyDescent="0.25"/>
    <row r="91939" s="12" customFormat="1" x14ac:dyDescent="0.25"/>
    <row r="91940" s="12" customFormat="1" x14ac:dyDescent="0.25"/>
    <row r="91941" s="12" customFormat="1" x14ac:dyDescent="0.25"/>
    <row r="91942" s="12" customFormat="1" x14ac:dyDescent="0.25"/>
    <row r="91943" s="12" customFormat="1" x14ac:dyDescent="0.25"/>
    <row r="91944" s="12" customFormat="1" x14ac:dyDescent="0.25"/>
    <row r="91945" s="12" customFormat="1" x14ac:dyDescent="0.25"/>
    <row r="91946" s="12" customFormat="1" x14ac:dyDescent="0.25"/>
    <row r="91947" s="12" customFormat="1" x14ac:dyDescent="0.25"/>
    <row r="91948" s="12" customFormat="1" x14ac:dyDescent="0.25"/>
    <row r="91949" s="12" customFormat="1" x14ac:dyDescent="0.25"/>
    <row r="91950" s="12" customFormat="1" x14ac:dyDescent="0.25"/>
    <row r="91951" s="12" customFormat="1" x14ac:dyDescent="0.25"/>
    <row r="91952" s="12" customFormat="1" x14ac:dyDescent="0.25"/>
    <row r="91953" s="12" customFormat="1" x14ac:dyDescent="0.25"/>
    <row r="91954" s="12" customFormat="1" x14ac:dyDescent="0.25"/>
    <row r="91955" s="12" customFormat="1" x14ac:dyDescent="0.25"/>
    <row r="91956" s="12" customFormat="1" x14ac:dyDescent="0.25"/>
    <row r="91957" s="12" customFormat="1" x14ac:dyDescent="0.25"/>
    <row r="91958" s="12" customFormat="1" x14ac:dyDescent="0.25"/>
    <row r="91959" s="12" customFormat="1" x14ac:dyDescent="0.25"/>
    <row r="91960" s="12" customFormat="1" x14ac:dyDescent="0.25"/>
    <row r="91961" s="12" customFormat="1" x14ac:dyDescent="0.25"/>
    <row r="91962" s="12" customFormat="1" x14ac:dyDescent="0.25"/>
    <row r="91963" s="12" customFormat="1" x14ac:dyDescent="0.25"/>
    <row r="91964" s="12" customFormat="1" x14ac:dyDescent="0.25"/>
    <row r="91965" s="12" customFormat="1" x14ac:dyDescent="0.25"/>
    <row r="91966" s="12" customFormat="1" x14ac:dyDescent="0.25"/>
    <row r="91967" s="12" customFormat="1" x14ac:dyDescent="0.25"/>
    <row r="91968" s="12" customFormat="1" x14ac:dyDescent="0.25"/>
    <row r="91969" s="12" customFormat="1" x14ac:dyDescent="0.25"/>
    <row r="91970" s="12" customFormat="1" x14ac:dyDescent="0.25"/>
    <row r="91971" s="12" customFormat="1" x14ac:dyDescent="0.25"/>
    <row r="91972" s="12" customFormat="1" x14ac:dyDescent="0.25"/>
    <row r="91973" s="12" customFormat="1" x14ac:dyDescent="0.25"/>
    <row r="91974" s="12" customFormat="1" x14ac:dyDescent="0.25"/>
    <row r="91975" s="12" customFormat="1" x14ac:dyDescent="0.25"/>
    <row r="91976" s="12" customFormat="1" x14ac:dyDescent="0.25"/>
    <row r="91977" s="12" customFormat="1" x14ac:dyDescent="0.25"/>
    <row r="91978" s="12" customFormat="1" x14ac:dyDescent="0.25"/>
    <row r="91979" s="12" customFormat="1" x14ac:dyDescent="0.25"/>
    <row r="91980" s="12" customFormat="1" x14ac:dyDescent="0.25"/>
    <row r="91981" s="12" customFormat="1" x14ac:dyDescent="0.25"/>
    <row r="91982" s="12" customFormat="1" x14ac:dyDescent="0.25"/>
    <row r="91983" s="12" customFormat="1" x14ac:dyDescent="0.25"/>
    <row r="91984" s="12" customFormat="1" x14ac:dyDescent="0.25"/>
    <row r="91985" s="12" customFormat="1" x14ac:dyDescent="0.25"/>
    <row r="91986" s="12" customFormat="1" x14ac:dyDescent="0.25"/>
    <row r="91987" s="12" customFormat="1" x14ac:dyDescent="0.25"/>
    <row r="91988" s="12" customFormat="1" x14ac:dyDescent="0.25"/>
    <row r="91989" s="12" customFormat="1" x14ac:dyDescent="0.25"/>
    <row r="91990" s="12" customFormat="1" x14ac:dyDescent="0.25"/>
    <row r="91991" s="12" customFormat="1" x14ac:dyDescent="0.25"/>
    <row r="91992" s="12" customFormat="1" x14ac:dyDescent="0.25"/>
    <row r="91993" s="12" customFormat="1" x14ac:dyDescent="0.25"/>
    <row r="91994" s="12" customFormat="1" x14ac:dyDescent="0.25"/>
    <row r="91995" s="12" customFormat="1" x14ac:dyDescent="0.25"/>
    <row r="91996" s="12" customFormat="1" x14ac:dyDescent="0.25"/>
    <row r="91997" s="12" customFormat="1" x14ac:dyDescent="0.25"/>
    <row r="91998" s="12" customFormat="1" x14ac:dyDescent="0.25"/>
    <row r="91999" s="12" customFormat="1" x14ac:dyDescent="0.25"/>
    <row r="92000" s="12" customFormat="1" x14ac:dyDescent="0.25"/>
    <row r="92001" s="12" customFormat="1" x14ac:dyDescent="0.25"/>
    <row r="92002" s="12" customFormat="1" x14ac:dyDescent="0.25"/>
    <row r="92003" s="12" customFormat="1" x14ac:dyDescent="0.25"/>
    <row r="92004" s="12" customFormat="1" x14ac:dyDescent="0.25"/>
    <row r="92005" s="12" customFormat="1" x14ac:dyDescent="0.25"/>
    <row r="92006" s="12" customFormat="1" x14ac:dyDescent="0.25"/>
    <row r="92007" s="12" customFormat="1" x14ac:dyDescent="0.25"/>
    <row r="92008" s="12" customFormat="1" x14ac:dyDescent="0.25"/>
    <row r="92009" s="12" customFormat="1" x14ac:dyDescent="0.25"/>
    <row r="92010" s="12" customFormat="1" x14ac:dyDescent="0.25"/>
    <row r="92011" s="12" customFormat="1" x14ac:dyDescent="0.25"/>
    <row r="92012" s="12" customFormat="1" x14ac:dyDescent="0.25"/>
    <row r="92013" s="12" customFormat="1" x14ac:dyDescent="0.25"/>
    <row r="92014" s="12" customFormat="1" x14ac:dyDescent="0.25"/>
    <row r="92015" s="12" customFormat="1" x14ac:dyDescent="0.25"/>
    <row r="92016" s="12" customFormat="1" x14ac:dyDescent="0.25"/>
    <row r="92017" s="12" customFormat="1" x14ac:dyDescent="0.25"/>
    <row r="92018" s="12" customFormat="1" x14ac:dyDescent="0.25"/>
    <row r="92019" s="12" customFormat="1" x14ac:dyDescent="0.25"/>
    <row r="92020" s="12" customFormat="1" x14ac:dyDescent="0.25"/>
    <row r="92021" s="12" customFormat="1" x14ac:dyDescent="0.25"/>
    <row r="92022" s="12" customFormat="1" x14ac:dyDescent="0.25"/>
    <row r="92023" s="12" customFormat="1" x14ac:dyDescent="0.25"/>
    <row r="92024" s="12" customFormat="1" x14ac:dyDescent="0.25"/>
    <row r="92025" s="12" customFormat="1" x14ac:dyDescent="0.25"/>
    <row r="92026" s="12" customFormat="1" x14ac:dyDescent="0.25"/>
    <row r="92027" s="12" customFormat="1" x14ac:dyDescent="0.25"/>
    <row r="92028" s="12" customFormat="1" x14ac:dyDescent="0.25"/>
    <row r="92029" s="12" customFormat="1" x14ac:dyDescent="0.25"/>
    <row r="92030" s="12" customFormat="1" x14ac:dyDescent="0.25"/>
    <row r="92031" s="12" customFormat="1" x14ac:dyDescent="0.25"/>
    <row r="92032" s="12" customFormat="1" x14ac:dyDescent="0.25"/>
    <row r="92033" s="12" customFormat="1" x14ac:dyDescent="0.25"/>
    <row r="92034" s="12" customFormat="1" x14ac:dyDescent="0.25"/>
    <row r="92035" s="12" customFormat="1" x14ac:dyDescent="0.25"/>
    <row r="92036" s="12" customFormat="1" x14ac:dyDescent="0.25"/>
    <row r="92037" s="12" customFormat="1" x14ac:dyDescent="0.25"/>
    <row r="92038" s="12" customFormat="1" x14ac:dyDescent="0.25"/>
    <row r="92039" s="12" customFormat="1" x14ac:dyDescent="0.25"/>
    <row r="92040" s="12" customFormat="1" x14ac:dyDescent="0.25"/>
    <row r="92041" s="12" customFormat="1" x14ac:dyDescent="0.25"/>
    <row r="92042" s="12" customFormat="1" x14ac:dyDescent="0.25"/>
    <row r="92043" s="12" customFormat="1" x14ac:dyDescent="0.25"/>
    <row r="92044" s="12" customFormat="1" x14ac:dyDescent="0.25"/>
    <row r="92045" s="12" customFormat="1" x14ac:dyDescent="0.25"/>
    <row r="92046" s="12" customFormat="1" x14ac:dyDescent="0.25"/>
    <row r="92047" s="12" customFormat="1" x14ac:dyDescent="0.25"/>
    <row r="92048" s="12" customFormat="1" x14ac:dyDescent="0.25"/>
    <row r="92049" s="12" customFormat="1" x14ac:dyDescent="0.25"/>
    <row r="92050" s="12" customFormat="1" x14ac:dyDescent="0.25"/>
    <row r="92051" s="12" customFormat="1" x14ac:dyDescent="0.25"/>
    <row r="92052" s="12" customFormat="1" x14ac:dyDescent="0.25"/>
    <row r="92053" s="12" customFormat="1" x14ac:dyDescent="0.25"/>
    <row r="92054" s="12" customFormat="1" x14ac:dyDescent="0.25"/>
    <row r="92055" s="12" customFormat="1" x14ac:dyDescent="0.25"/>
    <row r="92056" s="12" customFormat="1" x14ac:dyDescent="0.25"/>
    <row r="92057" s="12" customFormat="1" x14ac:dyDescent="0.25"/>
    <row r="92058" s="12" customFormat="1" x14ac:dyDescent="0.25"/>
    <row r="92059" s="12" customFormat="1" x14ac:dyDescent="0.25"/>
    <row r="92060" s="12" customFormat="1" x14ac:dyDescent="0.25"/>
    <row r="92061" s="12" customFormat="1" x14ac:dyDescent="0.25"/>
    <row r="92062" s="12" customFormat="1" x14ac:dyDescent="0.25"/>
    <row r="92063" s="12" customFormat="1" x14ac:dyDescent="0.25"/>
    <row r="92064" s="12" customFormat="1" x14ac:dyDescent="0.25"/>
    <row r="92065" s="12" customFormat="1" x14ac:dyDescent="0.25"/>
    <row r="92066" s="12" customFormat="1" x14ac:dyDescent="0.25"/>
    <row r="92067" s="12" customFormat="1" x14ac:dyDescent="0.25"/>
    <row r="92068" s="12" customFormat="1" x14ac:dyDescent="0.25"/>
    <row r="92069" s="12" customFormat="1" x14ac:dyDescent="0.25"/>
    <row r="92070" s="12" customFormat="1" x14ac:dyDescent="0.25"/>
    <row r="92071" s="12" customFormat="1" x14ac:dyDescent="0.25"/>
    <row r="92072" s="12" customFormat="1" x14ac:dyDescent="0.25"/>
    <row r="92073" s="12" customFormat="1" x14ac:dyDescent="0.25"/>
    <row r="92074" s="12" customFormat="1" x14ac:dyDescent="0.25"/>
    <row r="92075" s="12" customFormat="1" x14ac:dyDescent="0.25"/>
    <row r="92076" s="12" customFormat="1" x14ac:dyDescent="0.25"/>
    <row r="92077" s="12" customFormat="1" x14ac:dyDescent="0.25"/>
    <row r="92078" s="12" customFormat="1" x14ac:dyDescent="0.25"/>
    <row r="92079" s="12" customFormat="1" x14ac:dyDescent="0.25"/>
    <row r="92080" s="12" customFormat="1" x14ac:dyDescent="0.25"/>
    <row r="92081" s="12" customFormat="1" x14ac:dyDescent="0.25"/>
    <row r="92082" s="12" customFormat="1" x14ac:dyDescent="0.25"/>
    <row r="92083" s="12" customFormat="1" x14ac:dyDescent="0.25"/>
    <row r="92084" s="12" customFormat="1" x14ac:dyDescent="0.25"/>
    <row r="92085" s="12" customFormat="1" x14ac:dyDescent="0.25"/>
    <row r="92086" s="12" customFormat="1" x14ac:dyDescent="0.25"/>
    <row r="92087" s="12" customFormat="1" x14ac:dyDescent="0.25"/>
    <row r="92088" s="12" customFormat="1" x14ac:dyDescent="0.25"/>
    <row r="92089" s="12" customFormat="1" x14ac:dyDescent="0.25"/>
    <row r="92090" s="12" customFormat="1" x14ac:dyDescent="0.25"/>
    <row r="92091" s="12" customFormat="1" x14ac:dyDescent="0.25"/>
    <row r="92092" s="12" customFormat="1" x14ac:dyDescent="0.25"/>
    <row r="92093" s="12" customFormat="1" x14ac:dyDescent="0.25"/>
    <row r="92094" s="12" customFormat="1" x14ac:dyDescent="0.25"/>
    <row r="92095" s="12" customFormat="1" x14ac:dyDescent="0.25"/>
    <row r="92096" s="12" customFormat="1" x14ac:dyDescent="0.25"/>
    <row r="92097" s="12" customFormat="1" x14ac:dyDescent="0.25"/>
    <row r="92098" s="12" customFormat="1" x14ac:dyDescent="0.25"/>
    <row r="92099" s="12" customFormat="1" x14ac:dyDescent="0.25"/>
    <row r="92100" s="12" customFormat="1" x14ac:dyDescent="0.25"/>
    <row r="92101" s="12" customFormat="1" x14ac:dyDescent="0.25"/>
    <row r="92102" s="12" customFormat="1" x14ac:dyDescent="0.25"/>
    <row r="92103" s="12" customFormat="1" x14ac:dyDescent="0.25"/>
    <row r="92104" s="12" customFormat="1" x14ac:dyDescent="0.25"/>
    <row r="92105" s="12" customFormat="1" x14ac:dyDescent="0.25"/>
    <row r="92106" s="12" customFormat="1" x14ac:dyDescent="0.25"/>
    <row r="92107" s="12" customFormat="1" x14ac:dyDescent="0.25"/>
    <row r="92108" s="12" customFormat="1" x14ac:dyDescent="0.25"/>
    <row r="92109" s="12" customFormat="1" x14ac:dyDescent="0.25"/>
    <row r="92110" s="12" customFormat="1" x14ac:dyDescent="0.25"/>
    <row r="92111" s="12" customFormat="1" x14ac:dyDescent="0.25"/>
    <row r="92112" s="12" customFormat="1" x14ac:dyDescent="0.25"/>
    <row r="92113" s="12" customFormat="1" x14ac:dyDescent="0.25"/>
    <row r="92114" s="12" customFormat="1" x14ac:dyDescent="0.25"/>
    <row r="92115" s="12" customFormat="1" x14ac:dyDescent="0.25"/>
    <row r="92116" s="12" customFormat="1" x14ac:dyDescent="0.25"/>
    <row r="92117" s="12" customFormat="1" x14ac:dyDescent="0.25"/>
    <row r="92118" s="12" customFormat="1" x14ac:dyDescent="0.25"/>
    <row r="92119" s="12" customFormat="1" x14ac:dyDescent="0.25"/>
    <row r="92120" s="12" customFormat="1" x14ac:dyDescent="0.25"/>
    <row r="92121" s="12" customFormat="1" x14ac:dyDescent="0.25"/>
    <row r="92122" s="12" customFormat="1" x14ac:dyDescent="0.25"/>
    <row r="92123" s="12" customFormat="1" x14ac:dyDescent="0.25"/>
    <row r="92124" s="12" customFormat="1" x14ac:dyDescent="0.25"/>
    <row r="92125" s="12" customFormat="1" x14ac:dyDescent="0.25"/>
    <row r="92126" s="12" customFormat="1" x14ac:dyDescent="0.25"/>
    <row r="92127" s="12" customFormat="1" x14ac:dyDescent="0.25"/>
    <row r="92128" s="12" customFormat="1" x14ac:dyDescent="0.25"/>
    <row r="92129" s="12" customFormat="1" x14ac:dyDescent="0.25"/>
    <row r="92130" s="12" customFormat="1" x14ac:dyDescent="0.25"/>
    <row r="92131" s="12" customFormat="1" x14ac:dyDescent="0.25"/>
    <row r="92132" s="12" customFormat="1" x14ac:dyDescent="0.25"/>
    <row r="92133" s="12" customFormat="1" x14ac:dyDescent="0.25"/>
    <row r="92134" s="12" customFormat="1" x14ac:dyDescent="0.25"/>
    <row r="92135" s="12" customFormat="1" x14ac:dyDescent="0.25"/>
    <row r="92136" s="12" customFormat="1" x14ac:dyDescent="0.25"/>
    <row r="92137" s="12" customFormat="1" x14ac:dyDescent="0.25"/>
    <row r="92138" s="12" customFormat="1" x14ac:dyDescent="0.25"/>
    <row r="92139" s="12" customFormat="1" x14ac:dyDescent="0.25"/>
    <row r="92140" s="12" customFormat="1" x14ac:dyDescent="0.25"/>
    <row r="92141" s="12" customFormat="1" x14ac:dyDescent="0.25"/>
    <row r="92142" s="12" customFormat="1" x14ac:dyDescent="0.25"/>
    <row r="92143" s="12" customFormat="1" x14ac:dyDescent="0.25"/>
    <row r="92144" s="12" customFormat="1" x14ac:dyDescent="0.25"/>
    <row r="92145" s="12" customFormat="1" x14ac:dyDescent="0.25"/>
    <row r="92146" s="12" customFormat="1" x14ac:dyDescent="0.25"/>
    <row r="92147" s="12" customFormat="1" x14ac:dyDescent="0.25"/>
    <row r="92148" s="12" customFormat="1" x14ac:dyDescent="0.25"/>
    <row r="92149" s="12" customFormat="1" x14ac:dyDescent="0.25"/>
    <row r="92150" s="12" customFormat="1" x14ac:dyDescent="0.25"/>
    <row r="92151" s="12" customFormat="1" x14ac:dyDescent="0.25"/>
    <row r="92152" s="12" customFormat="1" x14ac:dyDescent="0.25"/>
    <row r="92153" s="12" customFormat="1" x14ac:dyDescent="0.25"/>
    <row r="92154" s="12" customFormat="1" x14ac:dyDescent="0.25"/>
    <row r="92155" s="12" customFormat="1" x14ac:dyDescent="0.25"/>
    <row r="92156" s="12" customFormat="1" x14ac:dyDescent="0.25"/>
    <row r="92157" s="12" customFormat="1" x14ac:dyDescent="0.25"/>
    <row r="92158" s="12" customFormat="1" x14ac:dyDescent="0.25"/>
    <row r="92159" s="12" customFormat="1" x14ac:dyDescent="0.25"/>
    <row r="92160" s="12" customFormat="1" x14ac:dyDescent="0.25"/>
    <row r="92161" s="12" customFormat="1" x14ac:dyDescent="0.25"/>
    <row r="92162" s="12" customFormat="1" x14ac:dyDescent="0.25"/>
    <row r="92163" s="12" customFormat="1" x14ac:dyDescent="0.25"/>
    <row r="92164" s="12" customFormat="1" x14ac:dyDescent="0.25"/>
    <row r="92165" s="12" customFormat="1" x14ac:dyDescent="0.25"/>
    <row r="92166" s="12" customFormat="1" x14ac:dyDescent="0.25"/>
    <row r="92167" s="12" customFormat="1" x14ac:dyDescent="0.25"/>
    <row r="92168" s="12" customFormat="1" x14ac:dyDescent="0.25"/>
    <row r="92169" s="12" customFormat="1" x14ac:dyDescent="0.25"/>
    <row r="92170" s="12" customFormat="1" x14ac:dyDescent="0.25"/>
    <row r="92171" s="12" customFormat="1" x14ac:dyDescent="0.25"/>
    <row r="92172" s="12" customFormat="1" x14ac:dyDescent="0.25"/>
    <row r="92173" s="12" customFormat="1" x14ac:dyDescent="0.25"/>
    <row r="92174" s="12" customFormat="1" x14ac:dyDescent="0.25"/>
    <row r="92175" s="12" customFormat="1" x14ac:dyDescent="0.25"/>
    <row r="92176" s="12" customFormat="1" x14ac:dyDescent="0.25"/>
    <row r="92177" s="12" customFormat="1" x14ac:dyDescent="0.25"/>
    <row r="92178" s="12" customFormat="1" x14ac:dyDescent="0.25"/>
    <row r="92179" s="12" customFormat="1" x14ac:dyDescent="0.25"/>
    <row r="92180" s="12" customFormat="1" x14ac:dyDescent="0.25"/>
    <row r="92181" s="12" customFormat="1" x14ac:dyDescent="0.25"/>
    <row r="92182" s="12" customFormat="1" x14ac:dyDescent="0.25"/>
    <row r="92183" s="12" customFormat="1" x14ac:dyDescent="0.25"/>
    <row r="92184" s="12" customFormat="1" x14ac:dyDescent="0.25"/>
    <row r="92185" s="12" customFormat="1" x14ac:dyDescent="0.25"/>
    <row r="92186" s="12" customFormat="1" x14ac:dyDescent="0.25"/>
    <row r="92187" s="12" customFormat="1" x14ac:dyDescent="0.25"/>
    <row r="92188" s="12" customFormat="1" x14ac:dyDescent="0.25"/>
    <row r="92189" s="12" customFormat="1" x14ac:dyDescent="0.25"/>
    <row r="92190" s="12" customFormat="1" x14ac:dyDescent="0.25"/>
    <row r="92191" s="12" customFormat="1" x14ac:dyDescent="0.25"/>
    <row r="92192" s="12" customFormat="1" x14ac:dyDescent="0.25"/>
    <row r="92193" s="12" customFormat="1" x14ac:dyDescent="0.25"/>
    <row r="92194" s="12" customFormat="1" x14ac:dyDescent="0.25"/>
    <row r="92195" s="12" customFormat="1" x14ac:dyDescent="0.25"/>
    <row r="92196" s="12" customFormat="1" x14ac:dyDescent="0.25"/>
    <row r="92197" s="12" customFormat="1" x14ac:dyDescent="0.25"/>
    <row r="92198" s="12" customFormat="1" x14ac:dyDescent="0.25"/>
    <row r="92199" s="12" customFormat="1" x14ac:dyDescent="0.25"/>
    <row r="92200" s="12" customFormat="1" x14ac:dyDescent="0.25"/>
    <row r="92201" s="12" customFormat="1" x14ac:dyDescent="0.25"/>
    <row r="92202" s="12" customFormat="1" x14ac:dyDescent="0.25"/>
    <row r="92203" s="12" customFormat="1" x14ac:dyDescent="0.25"/>
    <row r="92204" s="12" customFormat="1" x14ac:dyDescent="0.25"/>
    <row r="92205" s="12" customFormat="1" x14ac:dyDescent="0.25"/>
    <row r="92206" s="12" customFormat="1" x14ac:dyDescent="0.25"/>
    <row r="92207" s="12" customFormat="1" x14ac:dyDescent="0.25"/>
    <row r="92208" s="12" customFormat="1" x14ac:dyDescent="0.25"/>
    <row r="92209" s="12" customFormat="1" x14ac:dyDescent="0.25"/>
    <row r="92210" s="12" customFormat="1" x14ac:dyDescent="0.25"/>
    <row r="92211" s="12" customFormat="1" x14ac:dyDescent="0.25"/>
    <row r="92212" s="12" customFormat="1" x14ac:dyDescent="0.25"/>
    <row r="92213" s="12" customFormat="1" x14ac:dyDescent="0.25"/>
    <row r="92214" s="12" customFormat="1" x14ac:dyDescent="0.25"/>
    <row r="92215" s="12" customFormat="1" x14ac:dyDescent="0.25"/>
    <row r="92216" s="12" customFormat="1" x14ac:dyDescent="0.25"/>
    <row r="92217" s="12" customFormat="1" x14ac:dyDescent="0.25"/>
    <row r="92218" s="12" customFormat="1" x14ac:dyDescent="0.25"/>
    <row r="92219" s="12" customFormat="1" x14ac:dyDescent="0.25"/>
    <row r="92220" s="12" customFormat="1" x14ac:dyDescent="0.25"/>
    <row r="92221" s="12" customFormat="1" x14ac:dyDescent="0.25"/>
    <row r="92222" s="12" customFormat="1" x14ac:dyDescent="0.25"/>
    <row r="92223" s="12" customFormat="1" x14ac:dyDescent="0.25"/>
    <row r="92224" s="12" customFormat="1" x14ac:dyDescent="0.25"/>
    <row r="92225" s="12" customFormat="1" x14ac:dyDescent="0.25"/>
    <row r="92226" s="12" customFormat="1" x14ac:dyDescent="0.25"/>
    <row r="92227" s="12" customFormat="1" x14ac:dyDescent="0.25"/>
    <row r="92228" s="12" customFormat="1" x14ac:dyDescent="0.25"/>
    <row r="92229" s="12" customFormat="1" x14ac:dyDescent="0.25"/>
    <row r="92230" s="12" customFormat="1" x14ac:dyDescent="0.25"/>
    <row r="92231" s="12" customFormat="1" x14ac:dyDescent="0.25"/>
    <row r="92232" s="12" customFormat="1" x14ac:dyDescent="0.25"/>
    <row r="92233" s="12" customFormat="1" x14ac:dyDescent="0.25"/>
    <row r="92234" s="12" customFormat="1" x14ac:dyDescent="0.25"/>
    <row r="92235" s="12" customFormat="1" x14ac:dyDescent="0.25"/>
    <row r="92236" s="12" customFormat="1" x14ac:dyDescent="0.25"/>
    <row r="92237" s="12" customFormat="1" x14ac:dyDescent="0.25"/>
    <row r="92238" s="12" customFormat="1" x14ac:dyDescent="0.25"/>
    <row r="92239" s="12" customFormat="1" x14ac:dyDescent="0.25"/>
    <row r="92240" s="12" customFormat="1" x14ac:dyDescent="0.25"/>
    <row r="92241" s="12" customFormat="1" x14ac:dyDescent="0.25"/>
    <row r="92242" s="12" customFormat="1" x14ac:dyDescent="0.25"/>
    <row r="92243" s="12" customFormat="1" x14ac:dyDescent="0.25"/>
    <row r="92244" s="12" customFormat="1" x14ac:dyDescent="0.25"/>
    <row r="92245" s="12" customFormat="1" x14ac:dyDescent="0.25"/>
    <row r="92246" s="12" customFormat="1" x14ac:dyDescent="0.25"/>
    <row r="92247" s="12" customFormat="1" x14ac:dyDescent="0.25"/>
    <row r="92248" s="12" customFormat="1" x14ac:dyDescent="0.25"/>
    <row r="92249" s="12" customFormat="1" x14ac:dyDescent="0.25"/>
    <row r="92250" s="12" customFormat="1" x14ac:dyDescent="0.25"/>
    <row r="92251" s="12" customFormat="1" x14ac:dyDescent="0.25"/>
    <row r="92252" s="12" customFormat="1" x14ac:dyDescent="0.25"/>
    <row r="92253" s="12" customFormat="1" x14ac:dyDescent="0.25"/>
    <row r="92254" s="12" customFormat="1" x14ac:dyDescent="0.25"/>
    <row r="92255" s="12" customFormat="1" x14ac:dyDescent="0.25"/>
    <row r="92256" s="12" customFormat="1" x14ac:dyDescent="0.25"/>
    <row r="92257" s="12" customFormat="1" x14ac:dyDescent="0.25"/>
    <row r="92258" s="12" customFormat="1" x14ac:dyDescent="0.25"/>
    <row r="92259" s="12" customFormat="1" x14ac:dyDescent="0.25"/>
    <row r="92260" s="12" customFormat="1" x14ac:dyDescent="0.25"/>
    <row r="92261" s="12" customFormat="1" x14ac:dyDescent="0.25"/>
    <row r="92262" s="12" customFormat="1" x14ac:dyDescent="0.25"/>
    <row r="92263" s="12" customFormat="1" x14ac:dyDescent="0.25"/>
    <row r="92264" s="12" customFormat="1" x14ac:dyDescent="0.25"/>
    <row r="92265" s="12" customFormat="1" x14ac:dyDescent="0.25"/>
    <row r="92266" s="12" customFormat="1" x14ac:dyDescent="0.25"/>
    <row r="92267" s="12" customFormat="1" x14ac:dyDescent="0.25"/>
    <row r="92268" s="12" customFormat="1" x14ac:dyDescent="0.25"/>
    <row r="92269" s="12" customFormat="1" x14ac:dyDescent="0.25"/>
    <row r="92270" s="12" customFormat="1" x14ac:dyDescent="0.25"/>
    <row r="92271" s="12" customFormat="1" x14ac:dyDescent="0.25"/>
    <row r="92272" s="12" customFormat="1" x14ac:dyDescent="0.25"/>
    <row r="92273" s="12" customFormat="1" x14ac:dyDescent="0.25"/>
    <row r="92274" s="12" customFormat="1" x14ac:dyDescent="0.25"/>
    <row r="92275" s="12" customFormat="1" x14ac:dyDescent="0.25"/>
    <row r="92276" s="12" customFormat="1" x14ac:dyDescent="0.25"/>
    <row r="92277" s="12" customFormat="1" x14ac:dyDescent="0.25"/>
    <row r="92278" s="12" customFormat="1" x14ac:dyDescent="0.25"/>
    <row r="92279" s="12" customFormat="1" x14ac:dyDescent="0.25"/>
    <row r="92280" s="12" customFormat="1" x14ac:dyDescent="0.25"/>
    <row r="92281" s="12" customFormat="1" x14ac:dyDescent="0.25"/>
    <row r="92282" s="12" customFormat="1" x14ac:dyDescent="0.25"/>
    <row r="92283" s="12" customFormat="1" x14ac:dyDescent="0.25"/>
    <row r="92284" s="12" customFormat="1" x14ac:dyDescent="0.25"/>
    <row r="92285" s="12" customFormat="1" x14ac:dyDescent="0.25"/>
    <row r="92286" s="12" customFormat="1" x14ac:dyDescent="0.25"/>
    <row r="92287" s="12" customFormat="1" x14ac:dyDescent="0.25"/>
    <row r="92288" s="12" customFormat="1" x14ac:dyDescent="0.25"/>
    <row r="92289" s="12" customFormat="1" x14ac:dyDescent="0.25"/>
    <row r="92290" s="12" customFormat="1" x14ac:dyDescent="0.25"/>
    <row r="92291" s="12" customFormat="1" x14ac:dyDescent="0.25"/>
    <row r="92292" s="12" customFormat="1" x14ac:dyDescent="0.25"/>
    <row r="92293" s="12" customFormat="1" x14ac:dyDescent="0.25"/>
    <row r="92294" s="12" customFormat="1" x14ac:dyDescent="0.25"/>
    <row r="92295" s="12" customFormat="1" x14ac:dyDescent="0.25"/>
    <row r="92296" s="12" customFormat="1" x14ac:dyDescent="0.25"/>
    <row r="92297" s="12" customFormat="1" x14ac:dyDescent="0.25"/>
    <row r="92298" s="12" customFormat="1" x14ac:dyDescent="0.25"/>
    <row r="92299" s="12" customFormat="1" x14ac:dyDescent="0.25"/>
    <row r="92300" s="12" customFormat="1" x14ac:dyDescent="0.25"/>
    <row r="92301" s="12" customFormat="1" x14ac:dyDescent="0.25"/>
    <row r="92302" s="12" customFormat="1" x14ac:dyDescent="0.25"/>
    <row r="92303" s="12" customFormat="1" x14ac:dyDescent="0.25"/>
    <row r="92304" s="12" customFormat="1" x14ac:dyDescent="0.25"/>
    <row r="92305" s="12" customFormat="1" x14ac:dyDescent="0.25"/>
    <row r="92306" s="12" customFormat="1" x14ac:dyDescent="0.25"/>
    <row r="92307" s="12" customFormat="1" x14ac:dyDescent="0.25"/>
    <row r="92308" s="12" customFormat="1" x14ac:dyDescent="0.25"/>
    <row r="92309" s="12" customFormat="1" x14ac:dyDescent="0.25"/>
    <row r="92310" s="12" customFormat="1" x14ac:dyDescent="0.25"/>
    <row r="92311" s="12" customFormat="1" x14ac:dyDescent="0.25"/>
    <row r="92312" s="12" customFormat="1" x14ac:dyDescent="0.25"/>
    <row r="92313" s="12" customFormat="1" x14ac:dyDescent="0.25"/>
    <row r="92314" s="12" customFormat="1" x14ac:dyDescent="0.25"/>
    <row r="92315" s="12" customFormat="1" x14ac:dyDescent="0.25"/>
    <row r="92316" s="12" customFormat="1" x14ac:dyDescent="0.25"/>
    <row r="92317" s="12" customFormat="1" x14ac:dyDescent="0.25"/>
    <row r="92318" s="12" customFormat="1" x14ac:dyDescent="0.25"/>
    <row r="92319" s="12" customFormat="1" x14ac:dyDescent="0.25"/>
    <row r="92320" s="12" customFormat="1" x14ac:dyDescent="0.25"/>
    <row r="92321" s="12" customFormat="1" x14ac:dyDescent="0.25"/>
    <row r="92322" s="12" customFormat="1" x14ac:dyDescent="0.25"/>
    <row r="92323" s="12" customFormat="1" x14ac:dyDescent="0.25"/>
    <row r="92324" s="12" customFormat="1" x14ac:dyDescent="0.25"/>
    <row r="92325" s="12" customFormat="1" x14ac:dyDescent="0.25"/>
    <row r="92326" s="12" customFormat="1" x14ac:dyDescent="0.25"/>
    <row r="92327" s="12" customFormat="1" x14ac:dyDescent="0.25"/>
    <row r="92328" s="12" customFormat="1" x14ac:dyDescent="0.25"/>
    <row r="92329" s="12" customFormat="1" x14ac:dyDescent="0.25"/>
    <row r="92330" s="12" customFormat="1" x14ac:dyDescent="0.25"/>
    <row r="92331" s="12" customFormat="1" x14ac:dyDescent="0.25"/>
    <row r="92332" s="12" customFormat="1" x14ac:dyDescent="0.25"/>
    <row r="92333" s="12" customFormat="1" x14ac:dyDescent="0.25"/>
    <row r="92334" s="12" customFormat="1" x14ac:dyDescent="0.25"/>
    <row r="92335" s="12" customFormat="1" x14ac:dyDescent="0.25"/>
    <row r="92336" s="12" customFormat="1" x14ac:dyDescent="0.25"/>
    <row r="92337" s="12" customFormat="1" x14ac:dyDescent="0.25"/>
    <row r="92338" s="12" customFormat="1" x14ac:dyDescent="0.25"/>
    <row r="92339" s="12" customFormat="1" x14ac:dyDescent="0.25"/>
    <row r="92340" s="12" customFormat="1" x14ac:dyDescent="0.25"/>
    <row r="92341" s="12" customFormat="1" x14ac:dyDescent="0.25"/>
    <row r="92342" s="12" customFormat="1" x14ac:dyDescent="0.25"/>
    <row r="92343" s="12" customFormat="1" x14ac:dyDescent="0.25"/>
    <row r="92344" s="12" customFormat="1" x14ac:dyDescent="0.25"/>
    <row r="92345" s="12" customFormat="1" x14ac:dyDescent="0.25"/>
    <row r="92346" s="12" customFormat="1" x14ac:dyDescent="0.25"/>
    <row r="92347" s="12" customFormat="1" x14ac:dyDescent="0.25"/>
    <row r="92348" s="12" customFormat="1" x14ac:dyDescent="0.25"/>
    <row r="92349" s="12" customFormat="1" x14ac:dyDescent="0.25"/>
    <row r="92350" s="12" customFormat="1" x14ac:dyDescent="0.25"/>
    <row r="92351" s="12" customFormat="1" x14ac:dyDescent="0.25"/>
    <row r="92352" s="12" customFormat="1" x14ac:dyDescent="0.25"/>
    <row r="92353" s="12" customFormat="1" x14ac:dyDescent="0.25"/>
    <row r="92354" s="12" customFormat="1" x14ac:dyDescent="0.25"/>
    <row r="92355" s="12" customFormat="1" x14ac:dyDescent="0.25"/>
    <row r="92356" s="12" customFormat="1" x14ac:dyDescent="0.25"/>
    <row r="92357" s="12" customFormat="1" x14ac:dyDescent="0.25"/>
    <row r="92358" s="12" customFormat="1" x14ac:dyDescent="0.25"/>
    <row r="92359" s="12" customFormat="1" x14ac:dyDescent="0.25"/>
    <row r="92360" s="12" customFormat="1" x14ac:dyDescent="0.25"/>
    <row r="92361" s="12" customFormat="1" x14ac:dyDescent="0.25"/>
    <row r="92362" s="12" customFormat="1" x14ac:dyDescent="0.25"/>
    <row r="92363" s="12" customFormat="1" x14ac:dyDescent="0.25"/>
    <row r="92364" s="12" customFormat="1" x14ac:dyDescent="0.25"/>
    <row r="92365" s="12" customFormat="1" x14ac:dyDescent="0.25"/>
    <row r="92366" s="12" customFormat="1" x14ac:dyDescent="0.25"/>
    <row r="92367" s="12" customFormat="1" x14ac:dyDescent="0.25"/>
    <row r="92368" s="12" customFormat="1" x14ac:dyDescent="0.25"/>
    <row r="92369" s="12" customFormat="1" x14ac:dyDescent="0.25"/>
    <row r="92370" s="12" customFormat="1" x14ac:dyDescent="0.25"/>
    <row r="92371" s="12" customFormat="1" x14ac:dyDescent="0.25"/>
    <row r="92372" s="12" customFormat="1" x14ac:dyDescent="0.25"/>
    <row r="92373" s="12" customFormat="1" x14ac:dyDescent="0.25"/>
    <row r="92374" s="12" customFormat="1" x14ac:dyDescent="0.25"/>
    <row r="92375" s="12" customFormat="1" x14ac:dyDescent="0.25"/>
    <row r="92376" s="12" customFormat="1" x14ac:dyDescent="0.25"/>
    <row r="92377" s="12" customFormat="1" x14ac:dyDescent="0.25"/>
    <row r="92378" s="12" customFormat="1" x14ac:dyDescent="0.25"/>
    <row r="92379" s="12" customFormat="1" x14ac:dyDescent="0.25"/>
    <row r="92380" s="12" customFormat="1" x14ac:dyDescent="0.25"/>
    <row r="92381" s="12" customFormat="1" x14ac:dyDescent="0.25"/>
    <row r="92382" s="12" customFormat="1" x14ac:dyDescent="0.25"/>
    <row r="92383" s="12" customFormat="1" x14ac:dyDescent="0.25"/>
    <row r="92384" s="12" customFormat="1" x14ac:dyDescent="0.25"/>
    <row r="92385" s="12" customFormat="1" x14ac:dyDescent="0.25"/>
    <row r="92386" s="12" customFormat="1" x14ac:dyDescent="0.25"/>
    <row r="92387" s="12" customFormat="1" x14ac:dyDescent="0.25"/>
    <row r="92388" s="12" customFormat="1" x14ac:dyDescent="0.25"/>
    <row r="92389" s="12" customFormat="1" x14ac:dyDescent="0.25"/>
    <row r="92390" s="12" customFormat="1" x14ac:dyDescent="0.25"/>
    <row r="92391" s="12" customFormat="1" x14ac:dyDescent="0.25"/>
    <row r="92392" s="12" customFormat="1" x14ac:dyDescent="0.25"/>
    <row r="92393" s="12" customFormat="1" x14ac:dyDescent="0.25"/>
    <row r="92394" s="12" customFormat="1" x14ac:dyDescent="0.25"/>
    <row r="92395" s="12" customFormat="1" x14ac:dyDescent="0.25"/>
    <row r="92396" s="12" customFormat="1" x14ac:dyDescent="0.25"/>
    <row r="92397" s="12" customFormat="1" x14ac:dyDescent="0.25"/>
    <row r="92398" s="12" customFormat="1" x14ac:dyDescent="0.25"/>
    <row r="92399" s="12" customFormat="1" x14ac:dyDescent="0.25"/>
    <row r="92400" s="12" customFormat="1" x14ac:dyDescent="0.25"/>
    <row r="92401" s="12" customFormat="1" x14ac:dyDescent="0.25"/>
    <row r="92402" s="12" customFormat="1" x14ac:dyDescent="0.25"/>
    <row r="92403" s="12" customFormat="1" x14ac:dyDescent="0.25"/>
    <row r="92404" s="12" customFormat="1" x14ac:dyDescent="0.25"/>
    <row r="92405" s="12" customFormat="1" x14ac:dyDescent="0.25"/>
    <row r="92406" s="12" customFormat="1" x14ac:dyDescent="0.25"/>
    <row r="92407" s="12" customFormat="1" x14ac:dyDescent="0.25"/>
    <row r="92408" s="12" customFormat="1" x14ac:dyDescent="0.25"/>
    <row r="92409" s="12" customFormat="1" x14ac:dyDescent="0.25"/>
    <row r="92410" s="12" customFormat="1" x14ac:dyDescent="0.25"/>
    <row r="92411" s="12" customFormat="1" x14ac:dyDescent="0.25"/>
    <row r="92412" s="12" customFormat="1" x14ac:dyDescent="0.25"/>
    <row r="92413" s="12" customFormat="1" x14ac:dyDescent="0.25"/>
    <row r="92414" s="12" customFormat="1" x14ac:dyDescent="0.25"/>
    <row r="92415" s="12" customFormat="1" x14ac:dyDescent="0.25"/>
    <row r="92416" s="12" customFormat="1" x14ac:dyDescent="0.25"/>
    <row r="92417" s="12" customFormat="1" x14ac:dyDescent="0.25"/>
    <row r="92418" s="12" customFormat="1" x14ac:dyDescent="0.25"/>
    <row r="92419" s="12" customFormat="1" x14ac:dyDescent="0.25"/>
    <row r="92420" s="12" customFormat="1" x14ac:dyDescent="0.25"/>
    <row r="92421" s="12" customFormat="1" x14ac:dyDescent="0.25"/>
    <row r="92422" s="12" customFormat="1" x14ac:dyDescent="0.25"/>
    <row r="92423" s="12" customFormat="1" x14ac:dyDescent="0.25"/>
    <row r="92424" s="12" customFormat="1" x14ac:dyDescent="0.25"/>
    <row r="92425" s="12" customFormat="1" x14ac:dyDescent="0.25"/>
    <row r="92426" s="12" customFormat="1" x14ac:dyDescent="0.25"/>
    <row r="92427" s="12" customFormat="1" x14ac:dyDescent="0.25"/>
    <row r="92428" s="12" customFormat="1" x14ac:dyDescent="0.25"/>
    <row r="92429" s="12" customFormat="1" x14ac:dyDescent="0.25"/>
    <row r="92430" s="12" customFormat="1" x14ac:dyDescent="0.25"/>
    <row r="92431" s="12" customFormat="1" x14ac:dyDescent="0.25"/>
    <row r="92432" s="12" customFormat="1" x14ac:dyDescent="0.25"/>
    <row r="92433" s="12" customFormat="1" x14ac:dyDescent="0.25"/>
    <row r="92434" s="12" customFormat="1" x14ac:dyDescent="0.25"/>
    <row r="92435" s="12" customFormat="1" x14ac:dyDescent="0.25"/>
    <row r="92436" s="12" customFormat="1" x14ac:dyDescent="0.25"/>
    <row r="92437" s="12" customFormat="1" x14ac:dyDescent="0.25"/>
    <row r="92438" s="12" customFormat="1" x14ac:dyDescent="0.25"/>
    <row r="92439" s="12" customFormat="1" x14ac:dyDescent="0.25"/>
    <row r="92440" s="12" customFormat="1" x14ac:dyDescent="0.25"/>
    <row r="92441" s="12" customFormat="1" x14ac:dyDescent="0.25"/>
    <row r="92442" s="12" customFormat="1" x14ac:dyDescent="0.25"/>
    <row r="92443" s="12" customFormat="1" x14ac:dyDescent="0.25"/>
    <row r="92444" s="12" customFormat="1" x14ac:dyDescent="0.25"/>
    <row r="92445" s="12" customFormat="1" x14ac:dyDescent="0.25"/>
    <row r="92446" s="12" customFormat="1" x14ac:dyDescent="0.25"/>
    <row r="92447" s="12" customFormat="1" x14ac:dyDescent="0.25"/>
    <row r="92448" s="12" customFormat="1" x14ac:dyDescent="0.25"/>
    <row r="92449" s="12" customFormat="1" x14ac:dyDescent="0.25"/>
    <row r="92450" s="12" customFormat="1" x14ac:dyDescent="0.25"/>
    <row r="92451" s="12" customFormat="1" x14ac:dyDescent="0.25"/>
    <row r="92452" s="12" customFormat="1" x14ac:dyDescent="0.25"/>
    <row r="92453" s="12" customFormat="1" x14ac:dyDescent="0.25"/>
    <row r="92454" s="12" customFormat="1" x14ac:dyDescent="0.25"/>
    <row r="92455" s="12" customFormat="1" x14ac:dyDescent="0.25"/>
    <row r="92456" s="12" customFormat="1" x14ac:dyDescent="0.25"/>
    <row r="92457" s="12" customFormat="1" x14ac:dyDescent="0.25"/>
    <row r="92458" s="12" customFormat="1" x14ac:dyDescent="0.25"/>
    <row r="92459" s="12" customFormat="1" x14ac:dyDescent="0.25"/>
    <row r="92460" s="12" customFormat="1" x14ac:dyDescent="0.25"/>
    <row r="92461" s="12" customFormat="1" x14ac:dyDescent="0.25"/>
    <row r="92462" s="12" customFormat="1" x14ac:dyDescent="0.25"/>
    <row r="92463" s="12" customFormat="1" x14ac:dyDescent="0.25"/>
    <row r="92464" s="12" customFormat="1" x14ac:dyDescent="0.25"/>
    <row r="92465" s="12" customFormat="1" x14ac:dyDescent="0.25"/>
    <row r="92466" s="12" customFormat="1" x14ac:dyDescent="0.25"/>
    <row r="92467" s="12" customFormat="1" x14ac:dyDescent="0.25"/>
    <row r="92468" s="12" customFormat="1" x14ac:dyDescent="0.25"/>
    <row r="92469" s="12" customFormat="1" x14ac:dyDescent="0.25"/>
    <row r="92470" s="12" customFormat="1" x14ac:dyDescent="0.25"/>
    <row r="92471" s="12" customFormat="1" x14ac:dyDescent="0.25"/>
    <row r="92472" s="12" customFormat="1" x14ac:dyDescent="0.25"/>
    <row r="92473" s="12" customFormat="1" x14ac:dyDescent="0.25"/>
    <row r="92474" s="12" customFormat="1" x14ac:dyDescent="0.25"/>
    <row r="92475" s="12" customFormat="1" x14ac:dyDescent="0.25"/>
    <row r="92476" s="12" customFormat="1" x14ac:dyDescent="0.25"/>
    <row r="92477" s="12" customFormat="1" x14ac:dyDescent="0.25"/>
    <row r="92478" s="12" customFormat="1" x14ac:dyDescent="0.25"/>
    <row r="92479" s="12" customFormat="1" x14ac:dyDescent="0.25"/>
    <row r="92480" s="12" customFormat="1" x14ac:dyDescent="0.25"/>
    <row r="92481" s="12" customFormat="1" x14ac:dyDescent="0.25"/>
    <row r="92482" s="12" customFormat="1" x14ac:dyDescent="0.25"/>
    <row r="92483" s="12" customFormat="1" x14ac:dyDescent="0.25"/>
    <row r="92484" s="12" customFormat="1" x14ac:dyDescent="0.25"/>
    <row r="92485" s="12" customFormat="1" x14ac:dyDescent="0.25"/>
    <row r="92486" s="12" customFormat="1" x14ac:dyDescent="0.25"/>
    <row r="92487" s="12" customFormat="1" x14ac:dyDescent="0.25"/>
    <row r="92488" s="12" customFormat="1" x14ac:dyDescent="0.25"/>
    <row r="92489" s="12" customFormat="1" x14ac:dyDescent="0.25"/>
    <row r="92490" s="12" customFormat="1" x14ac:dyDescent="0.25"/>
    <row r="92491" s="12" customFormat="1" x14ac:dyDescent="0.25"/>
    <row r="92492" s="12" customFormat="1" x14ac:dyDescent="0.25"/>
    <row r="92493" s="12" customFormat="1" x14ac:dyDescent="0.25"/>
    <row r="92494" s="12" customFormat="1" x14ac:dyDescent="0.25"/>
    <row r="92495" s="12" customFormat="1" x14ac:dyDescent="0.25"/>
    <row r="92496" s="12" customFormat="1" x14ac:dyDescent="0.25"/>
    <row r="92497" s="12" customFormat="1" x14ac:dyDescent="0.25"/>
    <row r="92498" s="12" customFormat="1" x14ac:dyDescent="0.25"/>
    <row r="92499" s="12" customFormat="1" x14ac:dyDescent="0.25"/>
    <row r="92500" s="12" customFormat="1" x14ac:dyDescent="0.25"/>
    <row r="92501" s="12" customFormat="1" x14ac:dyDescent="0.25"/>
    <row r="92502" s="12" customFormat="1" x14ac:dyDescent="0.25"/>
    <row r="92503" s="12" customFormat="1" x14ac:dyDescent="0.25"/>
    <row r="92504" s="12" customFormat="1" x14ac:dyDescent="0.25"/>
    <row r="92505" s="12" customFormat="1" x14ac:dyDescent="0.25"/>
    <row r="92506" s="12" customFormat="1" x14ac:dyDescent="0.25"/>
    <row r="92507" s="12" customFormat="1" x14ac:dyDescent="0.25"/>
    <row r="92508" s="12" customFormat="1" x14ac:dyDescent="0.25"/>
    <row r="92509" s="12" customFormat="1" x14ac:dyDescent="0.25"/>
    <row r="92510" s="12" customFormat="1" x14ac:dyDescent="0.25"/>
    <row r="92511" s="12" customFormat="1" x14ac:dyDescent="0.25"/>
    <row r="92512" s="12" customFormat="1" x14ac:dyDescent="0.25"/>
    <row r="92513" s="12" customFormat="1" x14ac:dyDescent="0.25"/>
    <row r="92514" s="12" customFormat="1" x14ac:dyDescent="0.25"/>
    <row r="92515" s="12" customFormat="1" x14ac:dyDescent="0.25"/>
    <row r="92516" s="12" customFormat="1" x14ac:dyDescent="0.25"/>
    <row r="92517" s="12" customFormat="1" x14ac:dyDescent="0.25"/>
    <row r="92518" s="12" customFormat="1" x14ac:dyDescent="0.25"/>
    <row r="92519" s="12" customFormat="1" x14ac:dyDescent="0.25"/>
    <row r="92520" s="12" customFormat="1" x14ac:dyDescent="0.25"/>
    <row r="92521" s="12" customFormat="1" x14ac:dyDescent="0.25"/>
    <row r="92522" s="12" customFormat="1" x14ac:dyDescent="0.25"/>
    <row r="92523" s="12" customFormat="1" x14ac:dyDescent="0.25"/>
    <row r="92524" s="12" customFormat="1" x14ac:dyDescent="0.25"/>
    <row r="92525" s="12" customFormat="1" x14ac:dyDescent="0.25"/>
    <row r="92526" s="12" customFormat="1" x14ac:dyDescent="0.25"/>
    <row r="92527" s="12" customFormat="1" x14ac:dyDescent="0.25"/>
    <row r="92528" s="12" customFormat="1" x14ac:dyDescent="0.25"/>
    <row r="92529" s="12" customFormat="1" x14ac:dyDescent="0.25"/>
    <row r="92530" s="12" customFormat="1" x14ac:dyDescent="0.25"/>
    <row r="92531" s="12" customFormat="1" x14ac:dyDescent="0.25"/>
    <row r="92532" s="12" customFormat="1" x14ac:dyDescent="0.25"/>
    <row r="92533" s="12" customFormat="1" x14ac:dyDescent="0.25"/>
    <row r="92534" s="12" customFormat="1" x14ac:dyDescent="0.25"/>
    <row r="92535" s="12" customFormat="1" x14ac:dyDescent="0.25"/>
    <row r="92536" s="12" customFormat="1" x14ac:dyDescent="0.25"/>
    <row r="92537" s="12" customFormat="1" x14ac:dyDescent="0.25"/>
    <row r="92538" s="12" customFormat="1" x14ac:dyDescent="0.25"/>
    <row r="92539" s="12" customFormat="1" x14ac:dyDescent="0.25"/>
    <row r="92540" s="12" customFormat="1" x14ac:dyDescent="0.25"/>
    <row r="92541" s="12" customFormat="1" x14ac:dyDescent="0.25"/>
    <row r="92542" s="12" customFormat="1" x14ac:dyDescent="0.25"/>
    <row r="92543" s="12" customFormat="1" x14ac:dyDescent="0.25"/>
    <row r="92544" s="12" customFormat="1" x14ac:dyDescent="0.25"/>
    <row r="92545" s="12" customFormat="1" x14ac:dyDescent="0.25"/>
    <row r="92546" s="12" customFormat="1" x14ac:dyDescent="0.25"/>
    <row r="92547" s="12" customFormat="1" x14ac:dyDescent="0.25"/>
    <row r="92548" s="12" customFormat="1" x14ac:dyDescent="0.25"/>
    <row r="92549" s="12" customFormat="1" x14ac:dyDescent="0.25"/>
    <row r="92550" s="12" customFormat="1" x14ac:dyDescent="0.25"/>
    <row r="92551" s="12" customFormat="1" x14ac:dyDescent="0.25"/>
    <row r="92552" s="12" customFormat="1" x14ac:dyDescent="0.25"/>
    <row r="92553" s="12" customFormat="1" x14ac:dyDescent="0.25"/>
    <row r="92554" s="12" customFormat="1" x14ac:dyDescent="0.25"/>
    <row r="92555" s="12" customFormat="1" x14ac:dyDescent="0.25"/>
    <row r="92556" s="12" customFormat="1" x14ac:dyDescent="0.25"/>
    <row r="92557" s="12" customFormat="1" x14ac:dyDescent="0.25"/>
    <row r="92558" s="12" customFormat="1" x14ac:dyDescent="0.25"/>
    <row r="92559" s="12" customFormat="1" x14ac:dyDescent="0.25"/>
    <row r="92560" s="12" customFormat="1" x14ac:dyDescent="0.25"/>
    <row r="92561" s="12" customFormat="1" x14ac:dyDescent="0.25"/>
    <row r="92562" s="12" customFormat="1" x14ac:dyDescent="0.25"/>
    <row r="92563" s="12" customFormat="1" x14ac:dyDescent="0.25"/>
    <row r="92564" s="12" customFormat="1" x14ac:dyDescent="0.25"/>
    <row r="92565" s="12" customFormat="1" x14ac:dyDescent="0.25"/>
    <row r="92566" s="12" customFormat="1" x14ac:dyDescent="0.25"/>
    <row r="92567" s="12" customFormat="1" x14ac:dyDescent="0.25"/>
    <row r="92568" s="12" customFormat="1" x14ac:dyDescent="0.25"/>
    <row r="92569" s="12" customFormat="1" x14ac:dyDescent="0.25"/>
    <row r="92570" s="12" customFormat="1" x14ac:dyDescent="0.25"/>
    <row r="92571" s="12" customFormat="1" x14ac:dyDescent="0.25"/>
    <row r="92572" s="12" customFormat="1" x14ac:dyDescent="0.25"/>
    <row r="92573" s="12" customFormat="1" x14ac:dyDescent="0.25"/>
    <row r="92574" s="12" customFormat="1" x14ac:dyDescent="0.25"/>
    <row r="92575" s="12" customFormat="1" x14ac:dyDescent="0.25"/>
    <row r="92576" s="12" customFormat="1" x14ac:dyDescent="0.25"/>
    <row r="92577" s="12" customFormat="1" x14ac:dyDescent="0.25"/>
    <row r="92578" s="12" customFormat="1" x14ac:dyDescent="0.25"/>
    <row r="92579" s="12" customFormat="1" x14ac:dyDescent="0.25"/>
    <row r="92580" s="12" customFormat="1" x14ac:dyDescent="0.25"/>
    <row r="92581" s="12" customFormat="1" x14ac:dyDescent="0.25"/>
    <row r="92582" s="12" customFormat="1" x14ac:dyDescent="0.25"/>
    <row r="92583" s="12" customFormat="1" x14ac:dyDescent="0.25"/>
    <row r="92584" s="12" customFormat="1" x14ac:dyDescent="0.25"/>
    <row r="92585" s="12" customFormat="1" x14ac:dyDescent="0.25"/>
    <row r="92586" s="12" customFormat="1" x14ac:dyDescent="0.25"/>
    <row r="92587" s="12" customFormat="1" x14ac:dyDescent="0.25"/>
    <row r="92588" s="12" customFormat="1" x14ac:dyDescent="0.25"/>
    <row r="92589" s="12" customFormat="1" x14ac:dyDescent="0.25"/>
    <row r="92590" s="12" customFormat="1" x14ac:dyDescent="0.25"/>
    <row r="92591" s="12" customFormat="1" x14ac:dyDescent="0.25"/>
    <row r="92592" s="12" customFormat="1" x14ac:dyDescent="0.25"/>
    <row r="92593" s="12" customFormat="1" x14ac:dyDescent="0.25"/>
    <row r="92594" s="12" customFormat="1" x14ac:dyDescent="0.25"/>
    <row r="92595" s="12" customFormat="1" x14ac:dyDescent="0.25"/>
    <row r="92596" s="12" customFormat="1" x14ac:dyDescent="0.25"/>
    <row r="92597" s="12" customFormat="1" x14ac:dyDescent="0.25"/>
    <row r="92598" s="12" customFormat="1" x14ac:dyDescent="0.25"/>
    <row r="92599" s="12" customFormat="1" x14ac:dyDescent="0.25"/>
    <row r="92600" s="12" customFormat="1" x14ac:dyDescent="0.25"/>
    <row r="92601" s="12" customFormat="1" x14ac:dyDescent="0.25"/>
    <row r="92602" s="12" customFormat="1" x14ac:dyDescent="0.25"/>
    <row r="92603" s="12" customFormat="1" x14ac:dyDescent="0.25"/>
    <row r="92604" s="12" customFormat="1" x14ac:dyDescent="0.25"/>
    <row r="92605" s="12" customFormat="1" x14ac:dyDescent="0.25"/>
    <row r="92606" s="12" customFormat="1" x14ac:dyDescent="0.25"/>
    <row r="92607" s="12" customFormat="1" x14ac:dyDescent="0.25"/>
    <row r="92608" s="12" customFormat="1" x14ac:dyDescent="0.25"/>
    <row r="92609" s="12" customFormat="1" x14ac:dyDescent="0.25"/>
    <row r="92610" s="12" customFormat="1" x14ac:dyDescent="0.25"/>
    <row r="92611" s="12" customFormat="1" x14ac:dyDescent="0.25"/>
    <row r="92612" s="12" customFormat="1" x14ac:dyDescent="0.25"/>
    <row r="92613" s="12" customFormat="1" x14ac:dyDescent="0.25"/>
    <row r="92614" s="12" customFormat="1" x14ac:dyDescent="0.25"/>
    <row r="92615" s="12" customFormat="1" x14ac:dyDescent="0.25"/>
    <row r="92616" s="12" customFormat="1" x14ac:dyDescent="0.25"/>
    <row r="92617" s="12" customFormat="1" x14ac:dyDescent="0.25"/>
    <row r="92618" s="12" customFormat="1" x14ac:dyDescent="0.25"/>
    <row r="92619" s="12" customFormat="1" x14ac:dyDescent="0.25"/>
    <row r="92620" s="12" customFormat="1" x14ac:dyDescent="0.25"/>
    <row r="92621" s="12" customFormat="1" x14ac:dyDescent="0.25"/>
    <row r="92622" s="12" customFormat="1" x14ac:dyDescent="0.25"/>
    <row r="92623" s="12" customFormat="1" x14ac:dyDescent="0.25"/>
    <row r="92624" s="12" customFormat="1" x14ac:dyDescent="0.25"/>
    <row r="92625" s="12" customFormat="1" x14ac:dyDescent="0.25"/>
    <row r="92626" s="12" customFormat="1" x14ac:dyDescent="0.25"/>
    <row r="92627" s="12" customFormat="1" x14ac:dyDescent="0.25"/>
    <row r="92628" s="12" customFormat="1" x14ac:dyDescent="0.25"/>
    <row r="92629" s="12" customFormat="1" x14ac:dyDescent="0.25"/>
    <row r="92630" s="12" customFormat="1" x14ac:dyDescent="0.25"/>
    <row r="92631" s="12" customFormat="1" x14ac:dyDescent="0.25"/>
    <row r="92632" s="12" customFormat="1" x14ac:dyDescent="0.25"/>
    <row r="92633" s="12" customFormat="1" x14ac:dyDescent="0.25"/>
    <row r="92634" s="12" customFormat="1" x14ac:dyDescent="0.25"/>
    <row r="92635" s="12" customFormat="1" x14ac:dyDescent="0.25"/>
    <row r="92636" s="12" customFormat="1" x14ac:dyDescent="0.25"/>
    <row r="92637" s="12" customFormat="1" x14ac:dyDescent="0.25"/>
    <row r="92638" s="12" customFormat="1" x14ac:dyDescent="0.25"/>
    <row r="92639" s="12" customFormat="1" x14ac:dyDescent="0.25"/>
    <row r="92640" s="12" customFormat="1" x14ac:dyDescent="0.25"/>
    <row r="92641" s="12" customFormat="1" x14ac:dyDescent="0.25"/>
    <row r="92642" s="12" customFormat="1" x14ac:dyDescent="0.25"/>
    <row r="92643" s="12" customFormat="1" x14ac:dyDescent="0.25"/>
    <row r="92644" s="12" customFormat="1" x14ac:dyDescent="0.25"/>
    <row r="92645" s="12" customFormat="1" x14ac:dyDescent="0.25"/>
    <row r="92646" s="12" customFormat="1" x14ac:dyDescent="0.25"/>
    <row r="92647" s="12" customFormat="1" x14ac:dyDescent="0.25"/>
    <row r="92648" s="12" customFormat="1" x14ac:dyDescent="0.25"/>
    <row r="92649" s="12" customFormat="1" x14ac:dyDescent="0.25"/>
    <row r="92650" s="12" customFormat="1" x14ac:dyDescent="0.25"/>
    <row r="92651" s="12" customFormat="1" x14ac:dyDescent="0.25"/>
    <row r="92652" s="12" customFormat="1" x14ac:dyDescent="0.25"/>
    <row r="92653" s="12" customFormat="1" x14ac:dyDescent="0.25"/>
    <row r="92654" s="12" customFormat="1" x14ac:dyDescent="0.25"/>
    <row r="92655" s="12" customFormat="1" x14ac:dyDescent="0.25"/>
    <row r="92656" s="12" customFormat="1" x14ac:dyDescent="0.25"/>
    <row r="92657" s="12" customFormat="1" x14ac:dyDescent="0.25"/>
    <row r="92658" s="12" customFormat="1" x14ac:dyDescent="0.25"/>
    <row r="92659" s="12" customFormat="1" x14ac:dyDescent="0.25"/>
    <row r="92660" s="12" customFormat="1" x14ac:dyDescent="0.25"/>
    <row r="92661" s="12" customFormat="1" x14ac:dyDescent="0.25"/>
    <row r="92662" s="12" customFormat="1" x14ac:dyDescent="0.25"/>
    <row r="92663" s="12" customFormat="1" x14ac:dyDescent="0.25"/>
    <row r="92664" s="12" customFormat="1" x14ac:dyDescent="0.25"/>
    <row r="92665" s="12" customFormat="1" x14ac:dyDescent="0.25"/>
    <row r="92666" s="12" customFormat="1" x14ac:dyDescent="0.25"/>
    <row r="92667" s="12" customFormat="1" x14ac:dyDescent="0.25"/>
    <row r="92668" s="12" customFormat="1" x14ac:dyDescent="0.25"/>
    <row r="92669" s="12" customFormat="1" x14ac:dyDescent="0.25"/>
    <row r="92670" s="12" customFormat="1" x14ac:dyDescent="0.25"/>
    <row r="92671" s="12" customFormat="1" x14ac:dyDescent="0.25"/>
    <row r="92672" s="12" customFormat="1" x14ac:dyDescent="0.25"/>
    <row r="92673" s="12" customFormat="1" x14ac:dyDescent="0.25"/>
    <row r="92674" s="12" customFormat="1" x14ac:dyDescent="0.25"/>
    <row r="92675" s="12" customFormat="1" x14ac:dyDescent="0.25"/>
    <row r="92676" s="12" customFormat="1" x14ac:dyDescent="0.25"/>
    <row r="92677" s="12" customFormat="1" x14ac:dyDescent="0.25"/>
    <row r="92678" s="12" customFormat="1" x14ac:dyDescent="0.25"/>
    <row r="92679" s="12" customFormat="1" x14ac:dyDescent="0.25"/>
    <row r="92680" s="12" customFormat="1" x14ac:dyDescent="0.25"/>
    <row r="92681" s="12" customFormat="1" x14ac:dyDescent="0.25"/>
    <row r="92682" s="12" customFormat="1" x14ac:dyDescent="0.25"/>
    <row r="92683" s="12" customFormat="1" x14ac:dyDescent="0.25"/>
    <row r="92684" s="12" customFormat="1" x14ac:dyDescent="0.25"/>
    <row r="92685" s="12" customFormat="1" x14ac:dyDescent="0.25"/>
    <row r="92686" s="12" customFormat="1" x14ac:dyDescent="0.25"/>
    <row r="92687" s="12" customFormat="1" x14ac:dyDescent="0.25"/>
    <row r="92688" s="12" customFormat="1" x14ac:dyDescent="0.25"/>
    <row r="92689" s="12" customFormat="1" x14ac:dyDescent="0.25"/>
    <row r="92690" s="12" customFormat="1" x14ac:dyDescent="0.25"/>
    <row r="92691" s="12" customFormat="1" x14ac:dyDescent="0.25"/>
    <row r="92692" s="12" customFormat="1" x14ac:dyDescent="0.25"/>
    <row r="92693" s="12" customFormat="1" x14ac:dyDescent="0.25"/>
    <row r="92694" s="12" customFormat="1" x14ac:dyDescent="0.25"/>
    <row r="92695" s="12" customFormat="1" x14ac:dyDescent="0.25"/>
    <row r="92696" s="12" customFormat="1" x14ac:dyDescent="0.25"/>
    <row r="92697" s="12" customFormat="1" x14ac:dyDescent="0.25"/>
    <row r="92698" s="12" customFormat="1" x14ac:dyDescent="0.25"/>
    <row r="92699" s="12" customFormat="1" x14ac:dyDescent="0.25"/>
    <row r="92700" s="12" customFormat="1" x14ac:dyDescent="0.25"/>
    <row r="92701" s="12" customFormat="1" x14ac:dyDescent="0.25"/>
    <row r="92702" s="12" customFormat="1" x14ac:dyDescent="0.25"/>
    <row r="92703" s="12" customFormat="1" x14ac:dyDescent="0.25"/>
    <row r="92704" s="12" customFormat="1" x14ac:dyDescent="0.25"/>
    <row r="92705" s="12" customFormat="1" x14ac:dyDescent="0.25"/>
    <row r="92706" s="12" customFormat="1" x14ac:dyDescent="0.25"/>
    <row r="92707" s="12" customFormat="1" x14ac:dyDescent="0.25"/>
    <row r="92708" s="12" customFormat="1" x14ac:dyDescent="0.25"/>
    <row r="92709" s="12" customFormat="1" x14ac:dyDescent="0.25"/>
    <row r="92710" s="12" customFormat="1" x14ac:dyDescent="0.25"/>
    <row r="92711" s="12" customFormat="1" x14ac:dyDescent="0.25"/>
    <row r="92712" s="12" customFormat="1" x14ac:dyDescent="0.25"/>
    <row r="92713" s="12" customFormat="1" x14ac:dyDescent="0.25"/>
    <row r="92714" s="12" customFormat="1" x14ac:dyDescent="0.25"/>
    <row r="92715" s="12" customFormat="1" x14ac:dyDescent="0.25"/>
    <row r="92716" s="12" customFormat="1" x14ac:dyDescent="0.25"/>
    <row r="92717" s="12" customFormat="1" x14ac:dyDescent="0.25"/>
    <row r="92718" s="12" customFormat="1" x14ac:dyDescent="0.25"/>
    <row r="92719" s="12" customFormat="1" x14ac:dyDescent="0.25"/>
    <row r="92720" s="12" customFormat="1" x14ac:dyDescent="0.25"/>
    <row r="92721" s="12" customFormat="1" x14ac:dyDescent="0.25"/>
    <row r="92722" s="12" customFormat="1" x14ac:dyDescent="0.25"/>
    <row r="92723" s="12" customFormat="1" x14ac:dyDescent="0.25"/>
    <row r="92724" s="12" customFormat="1" x14ac:dyDescent="0.25"/>
    <row r="92725" s="12" customFormat="1" x14ac:dyDescent="0.25"/>
    <row r="92726" s="12" customFormat="1" x14ac:dyDescent="0.25"/>
    <row r="92727" s="12" customFormat="1" x14ac:dyDescent="0.25"/>
    <row r="92728" s="12" customFormat="1" x14ac:dyDescent="0.25"/>
    <row r="92729" s="12" customFormat="1" x14ac:dyDescent="0.25"/>
    <row r="92730" s="12" customFormat="1" x14ac:dyDescent="0.25"/>
    <row r="92731" s="12" customFormat="1" x14ac:dyDescent="0.25"/>
    <row r="92732" s="12" customFormat="1" x14ac:dyDescent="0.25"/>
    <row r="92733" s="12" customFormat="1" x14ac:dyDescent="0.25"/>
    <row r="92734" s="12" customFormat="1" x14ac:dyDescent="0.25"/>
    <row r="92735" s="12" customFormat="1" x14ac:dyDescent="0.25"/>
    <row r="92736" s="12" customFormat="1" x14ac:dyDescent="0.25"/>
    <row r="92737" s="12" customFormat="1" x14ac:dyDescent="0.25"/>
    <row r="92738" s="12" customFormat="1" x14ac:dyDescent="0.25"/>
    <row r="92739" s="12" customFormat="1" x14ac:dyDescent="0.25"/>
    <row r="92740" s="12" customFormat="1" x14ac:dyDescent="0.25"/>
    <row r="92741" s="12" customFormat="1" x14ac:dyDescent="0.25"/>
    <row r="92742" s="12" customFormat="1" x14ac:dyDescent="0.25"/>
    <row r="92743" s="12" customFormat="1" x14ac:dyDescent="0.25"/>
    <row r="92744" s="12" customFormat="1" x14ac:dyDescent="0.25"/>
    <row r="92745" s="12" customFormat="1" x14ac:dyDescent="0.25"/>
    <row r="92746" s="12" customFormat="1" x14ac:dyDescent="0.25"/>
    <row r="92747" s="12" customFormat="1" x14ac:dyDescent="0.25"/>
    <row r="92748" s="12" customFormat="1" x14ac:dyDescent="0.25"/>
    <row r="92749" s="12" customFormat="1" x14ac:dyDescent="0.25"/>
    <row r="92750" s="12" customFormat="1" x14ac:dyDescent="0.25"/>
    <row r="92751" s="12" customFormat="1" x14ac:dyDescent="0.25"/>
    <row r="92752" s="12" customFormat="1" x14ac:dyDescent="0.25"/>
    <row r="92753" s="12" customFormat="1" x14ac:dyDescent="0.25"/>
    <row r="92754" s="12" customFormat="1" x14ac:dyDescent="0.25"/>
    <row r="92755" s="12" customFormat="1" x14ac:dyDescent="0.25"/>
    <row r="92756" s="12" customFormat="1" x14ac:dyDescent="0.25"/>
    <row r="92757" s="12" customFormat="1" x14ac:dyDescent="0.25"/>
    <row r="92758" s="12" customFormat="1" x14ac:dyDescent="0.25"/>
    <row r="92759" s="12" customFormat="1" x14ac:dyDescent="0.25"/>
    <row r="92760" s="12" customFormat="1" x14ac:dyDescent="0.25"/>
    <row r="92761" s="12" customFormat="1" x14ac:dyDescent="0.25"/>
    <row r="92762" s="12" customFormat="1" x14ac:dyDescent="0.25"/>
    <row r="92763" s="12" customFormat="1" x14ac:dyDescent="0.25"/>
    <row r="92764" s="12" customFormat="1" x14ac:dyDescent="0.25"/>
    <row r="92765" s="12" customFormat="1" x14ac:dyDescent="0.25"/>
    <row r="92766" s="12" customFormat="1" x14ac:dyDescent="0.25"/>
    <row r="92767" s="12" customFormat="1" x14ac:dyDescent="0.25"/>
    <row r="92768" s="12" customFormat="1" x14ac:dyDescent="0.25"/>
    <row r="92769" s="12" customFormat="1" x14ac:dyDescent="0.25"/>
    <row r="92770" s="12" customFormat="1" x14ac:dyDescent="0.25"/>
    <row r="92771" s="12" customFormat="1" x14ac:dyDescent="0.25"/>
    <row r="92772" s="12" customFormat="1" x14ac:dyDescent="0.25"/>
    <row r="92773" s="12" customFormat="1" x14ac:dyDescent="0.25"/>
    <row r="92774" s="12" customFormat="1" x14ac:dyDescent="0.25"/>
    <row r="92775" s="12" customFormat="1" x14ac:dyDescent="0.25"/>
    <row r="92776" s="12" customFormat="1" x14ac:dyDescent="0.25"/>
    <row r="92777" s="12" customFormat="1" x14ac:dyDescent="0.25"/>
    <row r="92778" s="12" customFormat="1" x14ac:dyDescent="0.25"/>
    <row r="92779" s="12" customFormat="1" x14ac:dyDescent="0.25"/>
    <row r="92780" s="12" customFormat="1" x14ac:dyDescent="0.25"/>
    <row r="92781" s="12" customFormat="1" x14ac:dyDescent="0.25"/>
    <row r="92782" s="12" customFormat="1" x14ac:dyDescent="0.25"/>
    <row r="92783" s="12" customFormat="1" x14ac:dyDescent="0.25"/>
    <row r="92784" s="12" customFormat="1" x14ac:dyDescent="0.25"/>
    <row r="92785" s="12" customFormat="1" x14ac:dyDescent="0.25"/>
    <row r="92786" s="12" customFormat="1" x14ac:dyDescent="0.25"/>
    <row r="92787" s="12" customFormat="1" x14ac:dyDescent="0.25"/>
    <row r="92788" s="12" customFormat="1" x14ac:dyDescent="0.25"/>
    <row r="92789" s="12" customFormat="1" x14ac:dyDescent="0.25"/>
    <row r="92790" s="12" customFormat="1" x14ac:dyDescent="0.25"/>
    <row r="92791" s="12" customFormat="1" x14ac:dyDescent="0.25"/>
    <row r="92792" s="12" customFormat="1" x14ac:dyDescent="0.25"/>
    <row r="92793" s="12" customFormat="1" x14ac:dyDescent="0.25"/>
    <row r="92794" s="12" customFormat="1" x14ac:dyDescent="0.25"/>
    <row r="92795" s="12" customFormat="1" x14ac:dyDescent="0.25"/>
    <row r="92796" s="12" customFormat="1" x14ac:dyDescent="0.25"/>
    <row r="92797" s="12" customFormat="1" x14ac:dyDescent="0.25"/>
    <row r="92798" s="12" customFormat="1" x14ac:dyDescent="0.25"/>
    <row r="92799" s="12" customFormat="1" x14ac:dyDescent="0.25"/>
    <row r="92800" s="12" customFormat="1" x14ac:dyDescent="0.25"/>
    <row r="92801" s="12" customFormat="1" x14ac:dyDescent="0.25"/>
    <row r="92802" s="12" customFormat="1" x14ac:dyDescent="0.25"/>
    <row r="92803" s="12" customFormat="1" x14ac:dyDescent="0.25"/>
    <row r="92804" s="12" customFormat="1" x14ac:dyDescent="0.25"/>
    <row r="92805" s="12" customFormat="1" x14ac:dyDescent="0.25"/>
    <row r="92806" s="12" customFormat="1" x14ac:dyDescent="0.25"/>
    <row r="92807" s="12" customFormat="1" x14ac:dyDescent="0.25"/>
    <row r="92808" s="12" customFormat="1" x14ac:dyDescent="0.25"/>
    <row r="92809" s="12" customFormat="1" x14ac:dyDescent="0.25"/>
    <row r="92810" s="12" customFormat="1" x14ac:dyDescent="0.25"/>
    <row r="92811" s="12" customFormat="1" x14ac:dyDescent="0.25"/>
    <row r="92812" s="12" customFormat="1" x14ac:dyDescent="0.25"/>
    <row r="92813" s="12" customFormat="1" x14ac:dyDescent="0.25"/>
    <row r="92814" s="12" customFormat="1" x14ac:dyDescent="0.25"/>
    <row r="92815" s="12" customFormat="1" x14ac:dyDescent="0.25"/>
    <row r="92816" s="12" customFormat="1" x14ac:dyDescent="0.25"/>
    <row r="92817" s="12" customFormat="1" x14ac:dyDescent="0.25"/>
    <row r="92818" s="12" customFormat="1" x14ac:dyDescent="0.25"/>
    <row r="92819" s="12" customFormat="1" x14ac:dyDescent="0.25"/>
    <row r="92820" s="12" customFormat="1" x14ac:dyDescent="0.25"/>
    <row r="92821" s="12" customFormat="1" x14ac:dyDescent="0.25"/>
    <row r="92822" s="12" customFormat="1" x14ac:dyDescent="0.25"/>
    <row r="92823" s="12" customFormat="1" x14ac:dyDescent="0.25"/>
    <row r="92824" s="12" customFormat="1" x14ac:dyDescent="0.25"/>
    <row r="92825" s="12" customFormat="1" x14ac:dyDescent="0.25"/>
    <row r="92826" s="12" customFormat="1" x14ac:dyDescent="0.25"/>
    <row r="92827" s="12" customFormat="1" x14ac:dyDescent="0.25"/>
    <row r="92828" s="12" customFormat="1" x14ac:dyDescent="0.25"/>
    <row r="92829" s="12" customFormat="1" x14ac:dyDescent="0.25"/>
    <row r="92830" s="12" customFormat="1" x14ac:dyDescent="0.25"/>
    <row r="92831" s="12" customFormat="1" x14ac:dyDescent="0.25"/>
    <row r="92832" s="12" customFormat="1" x14ac:dyDescent="0.25"/>
    <row r="92833" s="12" customFormat="1" x14ac:dyDescent="0.25"/>
    <row r="92834" s="12" customFormat="1" x14ac:dyDescent="0.25"/>
    <row r="92835" s="12" customFormat="1" x14ac:dyDescent="0.25"/>
    <row r="92836" s="12" customFormat="1" x14ac:dyDescent="0.25"/>
    <row r="92837" s="12" customFormat="1" x14ac:dyDescent="0.25"/>
    <row r="92838" s="12" customFormat="1" x14ac:dyDescent="0.25"/>
    <row r="92839" s="12" customFormat="1" x14ac:dyDescent="0.25"/>
    <row r="92840" s="12" customFormat="1" x14ac:dyDescent="0.25"/>
    <row r="92841" s="12" customFormat="1" x14ac:dyDescent="0.25"/>
    <row r="92842" s="12" customFormat="1" x14ac:dyDescent="0.25"/>
    <row r="92843" s="12" customFormat="1" x14ac:dyDescent="0.25"/>
    <row r="92844" s="12" customFormat="1" x14ac:dyDescent="0.25"/>
    <row r="92845" s="12" customFormat="1" x14ac:dyDescent="0.25"/>
    <row r="92846" s="12" customFormat="1" x14ac:dyDescent="0.25"/>
    <row r="92847" s="12" customFormat="1" x14ac:dyDescent="0.25"/>
    <row r="92848" s="12" customFormat="1" x14ac:dyDescent="0.25"/>
    <row r="92849" s="12" customFormat="1" x14ac:dyDescent="0.25"/>
    <row r="92850" s="12" customFormat="1" x14ac:dyDescent="0.25"/>
    <row r="92851" s="12" customFormat="1" x14ac:dyDescent="0.25"/>
    <row r="92852" s="12" customFormat="1" x14ac:dyDescent="0.25"/>
    <row r="92853" s="12" customFormat="1" x14ac:dyDescent="0.25"/>
    <row r="92854" s="12" customFormat="1" x14ac:dyDescent="0.25"/>
    <row r="92855" s="12" customFormat="1" x14ac:dyDescent="0.25"/>
    <row r="92856" s="12" customFormat="1" x14ac:dyDescent="0.25"/>
    <row r="92857" s="12" customFormat="1" x14ac:dyDescent="0.25"/>
    <row r="92858" s="12" customFormat="1" x14ac:dyDescent="0.25"/>
    <row r="92859" s="12" customFormat="1" x14ac:dyDescent="0.25"/>
    <row r="92860" s="12" customFormat="1" x14ac:dyDescent="0.25"/>
    <row r="92861" s="12" customFormat="1" x14ac:dyDescent="0.25"/>
    <row r="92862" s="12" customFormat="1" x14ac:dyDescent="0.25"/>
    <row r="92863" s="12" customFormat="1" x14ac:dyDescent="0.25"/>
    <row r="92864" s="12" customFormat="1" x14ac:dyDescent="0.25"/>
    <row r="92865" s="12" customFormat="1" x14ac:dyDescent="0.25"/>
    <row r="92866" s="12" customFormat="1" x14ac:dyDescent="0.25"/>
    <row r="92867" s="12" customFormat="1" x14ac:dyDescent="0.25"/>
    <row r="92868" s="12" customFormat="1" x14ac:dyDescent="0.25"/>
    <row r="92869" s="12" customFormat="1" x14ac:dyDescent="0.25"/>
    <row r="92870" s="12" customFormat="1" x14ac:dyDescent="0.25"/>
    <row r="92871" s="12" customFormat="1" x14ac:dyDescent="0.25"/>
    <row r="92872" s="12" customFormat="1" x14ac:dyDescent="0.25"/>
    <row r="92873" s="12" customFormat="1" x14ac:dyDescent="0.25"/>
    <row r="92874" s="12" customFormat="1" x14ac:dyDescent="0.25"/>
    <row r="92875" s="12" customFormat="1" x14ac:dyDescent="0.25"/>
    <row r="92876" s="12" customFormat="1" x14ac:dyDescent="0.25"/>
    <row r="92877" s="12" customFormat="1" x14ac:dyDescent="0.25"/>
    <row r="92878" s="12" customFormat="1" x14ac:dyDescent="0.25"/>
    <row r="92879" s="12" customFormat="1" x14ac:dyDescent="0.25"/>
    <row r="92880" s="12" customFormat="1" x14ac:dyDescent="0.25"/>
    <row r="92881" s="12" customFormat="1" x14ac:dyDescent="0.25"/>
    <row r="92882" s="12" customFormat="1" x14ac:dyDescent="0.25"/>
    <row r="92883" s="12" customFormat="1" x14ac:dyDescent="0.25"/>
    <row r="92884" s="12" customFormat="1" x14ac:dyDescent="0.25"/>
    <row r="92885" s="12" customFormat="1" x14ac:dyDescent="0.25"/>
    <row r="92886" s="12" customFormat="1" x14ac:dyDescent="0.25"/>
    <row r="92887" s="12" customFormat="1" x14ac:dyDescent="0.25"/>
    <row r="92888" s="12" customFormat="1" x14ac:dyDescent="0.25"/>
    <row r="92889" s="12" customFormat="1" x14ac:dyDescent="0.25"/>
    <row r="92890" s="12" customFormat="1" x14ac:dyDescent="0.25"/>
    <row r="92891" s="12" customFormat="1" x14ac:dyDescent="0.25"/>
    <row r="92892" s="12" customFormat="1" x14ac:dyDescent="0.25"/>
    <row r="92893" s="12" customFormat="1" x14ac:dyDescent="0.25"/>
    <row r="92894" s="12" customFormat="1" x14ac:dyDescent="0.25"/>
    <row r="92895" s="12" customFormat="1" x14ac:dyDescent="0.25"/>
    <row r="92896" s="12" customFormat="1" x14ac:dyDescent="0.25"/>
    <row r="92897" s="12" customFormat="1" x14ac:dyDescent="0.25"/>
    <row r="92898" s="12" customFormat="1" x14ac:dyDescent="0.25"/>
    <row r="92899" s="12" customFormat="1" x14ac:dyDescent="0.25"/>
    <row r="92900" s="12" customFormat="1" x14ac:dyDescent="0.25"/>
    <row r="92901" s="12" customFormat="1" x14ac:dyDescent="0.25"/>
    <row r="92902" s="12" customFormat="1" x14ac:dyDescent="0.25"/>
    <row r="92903" s="12" customFormat="1" x14ac:dyDescent="0.25"/>
    <row r="92904" s="12" customFormat="1" x14ac:dyDescent="0.25"/>
    <row r="92905" s="12" customFormat="1" x14ac:dyDescent="0.25"/>
    <row r="92906" s="12" customFormat="1" x14ac:dyDescent="0.25"/>
    <row r="92907" s="12" customFormat="1" x14ac:dyDescent="0.25"/>
    <row r="92908" s="12" customFormat="1" x14ac:dyDescent="0.25"/>
    <row r="92909" s="12" customFormat="1" x14ac:dyDescent="0.25"/>
    <row r="92910" s="12" customFormat="1" x14ac:dyDescent="0.25"/>
    <row r="92911" s="12" customFormat="1" x14ac:dyDescent="0.25"/>
    <row r="92912" s="12" customFormat="1" x14ac:dyDescent="0.25"/>
    <row r="92913" s="12" customFormat="1" x14ac:dyDescent="0.25"/>
    <row r="92914" s="12" customFormat="1" x14ac:dyDescent="0.25"/>
    <row r="92915" s="12" customFormat="1" x14ac:dyDescent="0.25"/>
    <row r="92916" s="12" customFormat="1" x14ac:dyDescent="0.25"/>
    <row r="92917" s="12" customFormat="1" x14ac:dyDescent="0.25"/>
    <row r="92918" s="12" customFormat="1" x14ac:dyDescent="0.25"/>
    <row r="92919" s="12" customFormat="1" x14ac:dyDescent="0.25"/>
    <row r="92920" s="12" customFormat="1" x14ac:dyDescent="0.25"/>
    <row r="92921" s="12" customFormat="1" x14ac:dyDescent="0.25"/>
    <row r="92922" s="12" customFormat="1" x14ac:dyDescent="0.25"/>
    <row r="92923" s="12" customFormat="1" x14ac:dyDescent="0.25"/>
    <row r="92924" s="12" customFormat="1" x14ac:dyDescent="0.25"/>
    <row r="92925" s="12" customFormat="1" x14ac:dyDescent="0.25"/>
    <row r="92926" s="12" customFormat="1" x14ac:dyDescent="0.25"/>
    <row r="92927" s="12" customFormat="1" x14ac:dyDescent="0.25"/>
    <row r="92928" s="12" customFormat="1" x14ac:dyDescent="0.25"/>
    <row r="92929" s="12" customFormat="1" x14ac:dyDescent="0.25"/>
    <row r="92930" s="12" customFormat="1" x14ac:dyDescent="0.25"/>
    <row r="92931" s="12" customFormat="1" x14ac:dyDescent="0.25"/>
    <row r="92932" s="12" customFormat="1" x14ac:dyDescent="0.25"/>
    <row r="92933" s="12" customFormat="1" x14ac:dyDescent="0.25"/>
    <row r="92934" s="12" customFormat="1" x14ac:dyDescent="0.25"/>
    <row r="92935" s="12" customFormat="1" x14ac:dyDescent="0.25"/>
    <row r="92936" s="12" customFormat="1" x14ac:dyDescent="0.25"/>
    <row r="92937" s="12" customFormat="1" x14ac:dyDescent="0.25"/>
    <row r="92938" s="12" customFormat="1" x14ac:dyDescent="0.25"/>
    <row r="92939" s="12" customFormat="1" x14ac:dyDescent="0.25"/>
    <row r="92940" s="12" customFormat="1" x14ac:dyDescent="0.25"/>
    <row r="92941" s="12" customFormat="1" x14ac:dyDescent="0.25"/>
    <row r="92942" s="12" customFormat="1" x14ac:dyDescent="0.25"/>
    <row r="92943" s="12" customFormat="1" x14ac:dyDescent="0.25"/>
    <row r="92944" s="12" customFormat="1" x14ac:dyDescent="0.25"/>
    <row r="92945" s="12" customFormat="1" x14ac:dyDescent="0.25"/>
    <row r="92946" s="12" customFormat="1" x14ac:dyDescent="0.25"/>
    <row r="92947" s="12" customFormat="1" x14ac:dyDescent="0.25"/>
    <row r="92948" s="12" customFormat="1" x14ac:dyDescent="0.25"/>
    <row r="92949" s="12" customFormat="1" x14ac:dyDescent="0.25"/>
    <row r="92950" s="12" customFormat="1" x14ac:dyDescent="0.25"/>
    <row r="92951" s="12" customFormat="1" x14ac:dyDescent="0.25"/>
    <row r="92952" s="12" customFormat="1" x14ac:dyDescent="0.25"/>
    <row r="92953" s="12" customFormat="1" x14ac:dyDescent="0.25"/>
    <row r="92954" s="12" customFormat="1" x14ac:dyDescent="0.25"/>
    <row r="92955" s="12" customFormat="1" x14ac:dyDescent="0.25"/>
    <row r="92956" s="12" customFormat="1" x14ac:dyDescent="0.25"/>
    <row r="92957" s="12" customFormat="1" x14ac:dyDescent="0.25"/>
    <row r="92958" s="12" customFormat="1" x14ac:dyDescent="0.25"/>
    <row r="92959" s="12" customFormat="1" x14ac:dyDescent="0.25"/>
    <row r="92960" s="12" customFormat="1" x14ac:dyDescent="0.25"/>
    <row r="92961" s="12" customFormat="1" x14ac:dyDescent="0.25"/>
    <row r="92962" s="12" customFormat="1" x14ac:dyDescent="0.25"/>
    <row r="92963" s="12" customFormat="1" x14ac:dyDescent="0.25"/>
    <row r="92964" s="12" customFormat="1" x14ac:dyDescent="0.25"/>
    <row r="92965" s="12" customFormat="1" x14ac:dyDescent="0.25"/>
    <row r="92966" s="12" customFormat="1" x14ac:dyDescent="0.25"/>
    <row r="92967" s="12" customFormat="1" x14ac:dyDescent="0.25"/>
    <row r="92968" s="12" customFormat="1" x14ac:dyDescent="0.25"/>
    <row r="92969" s="12" customFormat="1" x14ac:dyDescent="0.25"/>
    <row r="92970" s="12" customFormat="1" x14ac:dyDescent="0.25"/>
    <row r="92971" s="12" customFormat="1" x14ac:dyDescent="0.25"/>
    <row r="92972" s="12" customFormat="1" x14ac:dyDescent="0.25"/>
    <row r="92973" s="12" customFormat="1" x14ac:dyDescent="0.25"/>
    <row r="92974" s="12" customFormat="1" x14ac:dyDescent="0.25"/>
    <row r="92975" s="12" customFormat="1" x14ac:dyDescent="0.25"/>
    <row r="92976" s="12" customFormat="1" x14ac:dyDescent="0.25"/>
    <row r="92977" s="12" customFormat="1" x14ac:dyDescent="0.25"/>
    <row r="92978" s="12" customFormat="1" x14ac:dyDescent="0.25"/>
    <row r="92979" s="12" customFormat="1" x14ac:dyDescent="0.25"/>
    <row r="92980" s="12" customFormat="1" x14ac:dyDescent="0.25"/>
    <row r="92981" s="12" customFormat="1" x14ac:dyDescent="0.25"/>
    <row r="92982" s="12" customFormat="1" x14ac:dyDescent="0.25"/>
    <row r="92983" s="12" customFormat="1" x14ac:dyDescent="0.25"/>
    <row r="92984" s="12" customFormat="1" x14ac:dyDescent="0.25"/>
    <row r="92985" s="12" customFormat="1" x14ac:dyDescent="0.25"/>
    <row r="92986" s="12" customFormat="1" x14ac:dyDescent="0.25"/>
    <row r="92987" s="12" customFormat="1" x14ac:dyDescent="0.25"/>
    <row r="92988" s="12" customFormat="1" x14ac:dyDescent="0.25"/>
    <row r="92989" s="12" customFormat="1" x14ac:dyDescent="0.25"/>
    <row r="92990" s="12" customFormat="1" x14ac:dyDescent="0.25"/>
    <row r="92991" s="12" customFormat="1" x14ac:dyDescent="0.25"/>
    <row r="92992" s="12" customFormat="1" x14ac:dyDescent="0.25"/>
    <row r="92993" s="12" customFormat="1" x14ac:dyDescent="0.25"/>
    <row r="92994" s="12" customFormat="1" x14ac:dyDescent="0.25"/>
    <row r="92995" s="12" customFormat="1" x14ac:dyDescent="0.25"/>
    <row r="92996" s="12" customFormat="1" x14ac:dyDescent="0.25"/>
    <row r="92997" s="12" customFormat="1" x14ac:dyDescent="0.25"/>
    <row r="92998" s="12" customFormat="1" x14ac:dyDescent="0.25"/>
    <row r="92999" s="12" customFormat="1" x14ac:dyDescent="0.25"/>
    <row r="93000" s="12" customFormat="1" x14ac:dyDescent="0.25"/>
    <row r="93001" s="12" customFormat="1" x14ac:dyDescent="0.25"/>
    <row r="93002" s="12" customFormat="1" x14ac:dyDescent="0.25"/>
    <row r="93003" s="12" customFormat="1" x14ac:dyDescent="0.25"/>
    <row r="93004" s="12" customFormat="1" x14ac:dyDescent="0.25"/>
    <row r="93005" s="12" customFormat="1" x14ac:dyDescent="0.25"/>
    <row r="93006" s="12" customFormat="1" x14ac:dyDescent="0.25"/>
    <row r="93007" s="12" customFormat="1" x14ac:dyDescent="0.25"/>
    <row r="93008" s="12" customFormat="1" x14ac:dyDescent="0.25"/>
    <row r="93009" s="12" customFormat="1" x14ac:dyDescent="0.25"/>
    <row r="93010" s="12" customFormat="1" x14ac:dyDescent="0.25"/>
    <row r="93011" s="12" customFormat="1" x14ac:dyDescent="0.25"/>
    <row r="93012" s="12" customFormat="1" x14ac:dyDescent="0.25"/>
    <row r="93013" s="12" customFormat="1" x14ac:dyDescent="0.25"/>
    <row r="93014" s="12" customFormat="1" x14ac:dyDescent="0.25"/>
    <row r="93015" s="12" customFormat="1" x14ac:dyDescent="0.25"/>
    <row r="93016" s="12" customFormat="1" x14ac:dyDescent="0.25"/>
    <row r="93017" s="12" customFormat="1" x14ac:dyDescent="0.25"/>
    <row r="93018" s="12" customFormat="1" x14ac:dyDescent="0.25"/>
    <row r="93019" s="12" customFormat="1" x14ac:dyDescent="0.25"/>
    <row r="93020" s="12" customFormat="1" x14ac:dyDescent="0.25"/>
    <row r="93021" s="12" customFormat="1" x14ac:dyDescent="0.25"/>
    <row r="93022" s="12" customFormat="1" x14ac:dyDescent="0.25"/>
    <row r="93023" s="12" customFormat="1" x14ac:dyDescent="0.25"/>
    <row r="93024" s="12" customFormat="1" x14ac:dyDescent="0.25"/>
    <row r="93025" s="12" customFormat="1" x14ac:dyDescent="0.25"/>
    <row r="93026" s="12" customFormat="1" x14ac:dyDescent="0.25"/>
    <row r="93027" s="12" customFormat="1" x14ac:dyDescent="0.25"/>
    <row r="93028" s="12" customFormat="1" x14ac:dyDescent="0.25"/>
    <row r="93029" s="12" customFormat="1" x14ac:dyDescent="0.25"/>
    <row r="93030" s="12" customFormat="1" x14ac:dyDescent="0.25"/>
    <row r="93031" s="12" customFormat="1" x14ac:dyDescent="0.25"/>
    <row r="93032" s="12" customFormat="1" x14ac:dyDescent="0.25"/>
    <row r="93033" s="12" customFormat="1" x14ac:dyDescent="0.25"/>
    <row r="93034" s="12" customFormat="1" x14ac:dyDescent="0.25"/>
    <row r="93035" s="12" customFormat="1" x14ac:dyDescent="0.25"/>
    <row r="93036" s="12" customFormat="1" x14ac:dyDescent="0.25"/>
    <row r="93037" s="12" customFormat="1" x14ac:dyDescent="0.25"/>
    <row r="93038" s="12" customFormat="1" x14ac:dyDescent="0.25"/>
    <row r="93039" s="12" customFormat="1" x14ac:dyDescent="0.25"/>
    <row r="93040" s="12" customFormat="1" x14ac:dyDescent="0.25"/>
    <row r="93041" s="12" customFormat="1" x14ac:dyDescent="0.25"/>
    <row r="93042" s="12" customFormat="1" x14ac:dyDescent="0.25"/>
    <row r="93043" s="12" customFormat="1" x14ac:dyDescent="0.25"/>
    <row r="93044" s="12" customFormat="1" x14ac:dyDescent="0.25"/>
    <row r="93045" s="12" customFormat="1" x14ac:dyDescent="0.25"/>
    <row r="93046" s="12" customFormat="1" x14ac:dyDescent="0.25"/>
    <row r="93047" s="12" customFormat="1" x14ac:dyDescent="0.25"/>
    <row r="93048" s="12" customFormat="1" x14ac:dyDescent="0.25"/>
    <row r="93049" s="12" customFormat="1" x14ac:dyDescent="0.25"/>
    <row r="93050" s="12" customFormat="1" x14ac:dyDescent="0.25"/>
    <row r="93051" s="12" customFormat="1" x14ac:dyDescent="0.25"/>
    <row r="93052" s="12" customFormat="1" x14ac:dyDescent="0.25"/>
    <row r="93053" s="12" customFormat="1" x14ac:dyDescent="0.25"/>
    <row r="93054" s="12" customFormat="1" x14ac:dyDescent="0.25"/>
    <row r="93055" s="12" customFormat="1" x14ac:dyDescent="0.25"/>
    <row r="93056" s="12" customFormat="1" x14ac:dyDescent="0.25"/>
    <row r="93057" s="12" customFormat="1" x14ac:dyDescent="0.25"/>
    <row r="93058" s="12" customFormat="1" x14ac:dyDescent="0.25"/>
    <row r="93059" s="12" customFormat="1" x14ac:dyDescent="0.25"/>
    <row r="93060" s="12" customFormat="1" x14ac:dyDescent="0.25"/>
    <row r="93061" s="12" customFormat="1" x14ac:dyDescent="0.25"/>
    <row r="93062" s="12" customFormat="1" x14ac:dyDescent="0.25"/>
    <row r="93063" s="12" customFormat="1" x14ac:dyDescent="0.25"/>
    <row r="93064" s="12" customFormat="1" x14ac:dyDescent="0.25"/>
    <row r="93065" s="12" customFormat="1" x14ac:dyDescent="0.25"/>
    <row r="93066" s="12" customFormat="1" x14ac:dyDescent="0.25"/>
    <row r="93067" s="12" customFormat="1" x14ac:dyDescent="0.25"/>
    <row r="93068" s="12" customFormat="1" x14ac:dyDescent="0.25"/>
    <row r="93069" s="12" customFormat="1" x14ac:dyDescent="0.25"/>
    <row r="93070" s="12" customFormat="1" x14ac:dyDescent="0.25"/>
    <row r="93071" s="12" customFormat="1" x14ac:dyDescent="0.25"/>
    <row r="93072" s="12" customFormat="1" x14ac:dyDescent="0.25"/>
    <row r="93073" s="12" customFormat="1" x14ac:dyDescent="0.25"/>
    <row r="93074" s="12" customFormat="1" x14ac:dyDescent="0.25"/>
    <row r="93075" s="12" customFormat="1" x14ac:dyDescent="0.25"/>
    <row r="93076" s="12" customFormat="1" x14ac:dyDescent="0.25"/>
    <row r="93077" s="12" customFormat="1" x14ac:dyDescent="0.25"/>
    <row r="93078" s="12" customFormat="1" x14ac:dyDescent="0.25"/>
    <row r="93079" s="12" customFormat="1" x14ac:dyDescent="0.25"/>
    <row r="93080" s="12" customFormat="1" x14ac:dyDescent="0.25"/>
    <row r="93081" s="12" customFormat="1" x14ac:dyDescent="0.25"/>
    <row r="93082" s="12" customFormat="1" x14ac:dyDescent="0.25"/>
    <row r="93083" s="12" customFormat="1" x14ac:dyDescent="0.25"/>
    <row r="93084" s="12" customFormat="1" x14ac:dyDescent="0.25"/>
    <row r="93085" s="12" customFormat="1" x14ac:dyDescent="0.25"/>
    <row r="93086" s="12" customFormat="1" x14ac:dyDescent="0.25"/>
    <row r="93087" s="12" customFormat="1" x14ac:dyDescent="0.25"/>
    <row r="93088" s="12" customFormat="1" x14ac:dyDescent="0.25"/>
    <row r="93089" s="12" customFormat="1" x14ac:dyDescent="0.25"/>
    <row r="93090" s="12" customFormat="1" x14ac:dyDescent="0.25"/>
    <row r="93091" s="12" customFormat="1" x14ac:dyDescent="0.25"/>
    <row r="93092" s="12" customFormat="1" x14ac:dyDescent="0.25"/>
    <row r="93093" s="12" customFormat="1" x14ac:dyDescent="0.25"/>
    <row r="93094" s="12" customFormat="1" x14ac:dyDescent="0.25"/>
    <row r="93095" s="12" customFormat="1" x14ac:dyDescent="0.25"/>
    <row r="93096" s="12" customFormat="1" x14ac:dyDescent="0.25"/>
    <row r="93097" s="12" customFormat="1" x14ac:dyDescent="0.25"/>
    <row r="93098" s="12" customFormat="1" x14ac:dyDescent="0.25"/>
    <row r="93099" s="12" customFormat="1" x14ac:dyDescent="0.25"/>
    <row r="93100" s="12" customFormat="1" x14ac:dyDescent="0.25"/>
    <row r="93101" s="12" customFormat="1" x14ac:dyDescent="0.25"/>
    <row r="93102" s="12" customFormat="1" x14ac:dyDescent="0.25"/>
    <row r="93103" s="12" customFormat="1" x14ac:dyDescent="0.25"/>
    <row r="93104" s="12" customFormat="1" x14ac:dyDescent="0.25"/>
    <row r="93105" s="12" customFormat="1" x14ac:dyDescent="0.25"/>
    <row r="93106" s="12" customFormat="1" x14ac:dyDescent="0.25"/>
    <row r="93107" s="12" customFormat="1" x14ac:dyDescent="0.25"/>
    <row r="93108" s="12" customFormat="1" x14ac:dyDescent="0.25"/>
    <row r="93109" s="12" customFormat="1" x14ac:dyDescent="0.25"/>
    <row r="93110" s="12" customFormat="1" x14ac:dyDescent="0.25"/>
    <row r="93111" s="12" customFormat="1" x14ac:dyDescent="0.25"/>
    <row r="93112" s="12" customFormat="1" x14ac:dyDescent="0.25"/>
    <row r="93113" s="12" customFormat="1" x14ac:dyDescent="0.25"/>
    <row r="93114" s="12" customFormat="1" x14ac:dyDescent="0.25"/>
    <row r="93115" s="12" customFormat="1" x14ac:dyDescent="0.25"/>
    <row r="93116" s="12" customFormat="1" x14ac:dyDescent="0.25"/>
    <row r="93117" s="12" customFormat="1" x14ac:dyDescent="0.25"/>
    <row r="93118" s="12" customFormat="1" x14ac:dyDescent="0.25"/>
    <row r="93119" s="12" customFormat="1" x14ac:dyDescent="0.25"/>
    <row r="93120" s="12" customFormat="1" x14ac:dyDescent="0.25"/>
    <row r="93121" s="12" customFormat="1" x14ac:dyDescent="0.25"/>
    <row r="93122" s="12" customFormat="1" x14ac:dyDescent="0.25"/>
    <row r="93123" s="12" customFormat="1" x14ac:dyDescent="0.25"/>
    <row r="93124" s="12" customFormat="1" x14ac:dyDescent="0.25"/>
    <row r="93125" s="12" customFormat="1" x14ac:dyDescent="0.25"/>
    <row r="93126" s="12" customFormat="1" x14ac:dyDescent="0.25"/>
    <row r="93127" s="12" customFormat="1" x14ac:dyDescent="0.25"/>
    <row r="93128" s="12" customFormat="1" x14ac:dyDescent="0.25"/>
    <row r="93129" s="12" customFormat="1" x14ac:dyDescent="0.25"/>
    <row r="93130" s="12" customFormat="1" x14ac:dyDescent="0.25"/>
    <row r="93131" s="12" customFormat="1" x14ac:dyDescent="0.25"/>
    <row r="93132" s="12" customFormat="1" x14ac:dyDescent="0.25"/>
    <row r="93133" s="12" customFormat="1" x14ac:dyDescent="0.25"/>
    <row r="93134" s="12" customFormat="1" x14ac:dyDescent="0.25"/>
    <row r="93135" s="12" customFormat="1" x14ac:dyDescent="0.25"/>
    <row r="93136" s="12" customFormat="1" x14ac:dyDescent="0.25"/>
    <row r="93137" s="12" customFormat="1" x14ac:dyDescent="0.25"/>
    <row r="93138" s="12" customFormat="1" x14ac:dyDescent="0.25"/>
    <row r="93139" s="12" customFormat="1" x14ac:dyDescent="0.25"/>
    <row r="93140" s="12" customFormat="1" x14ac:dyDescent="0.25"/>
    <row r="93141" s="12" customFormat="1" x14ac:dyDescent="0.25"/>
    <row r="93142" s="12" customFormat="1" x14ac:dyDescent="0.25"/>
    <row r="93143" s="12" customFormat="1" x14ac:dyDescent="0.25"/>
    <row r="93144" s="12" customFormat="1" x14ac:dyDescent="0.25"/>
    <row r="93145" s="12" customFormat="1" x14ac:dyDescent="0.25"/>
    <row r="93146" s="12" customFormat="1" x14ac:dyDescent="0.25"/>
    <row r="93147" s="12" customFormat="1" x14ac:dyDescent="0.25"/>
    <row r="93148" s="12" customFormat="1" x14ac:dyDescent="0.25"/>
    <row r="93149" s="12" customFormat="1" x14ac:dyDescent="0.25"/>
    <row r="93150" s="12" customFormat="1" x14ac:dyDescent="0.25"/>
    <row r="93151" s="12" customFormat="1" x14ac:dyDescent="0.25"/>
    <row r="93152" s="12" customFormat="1" x14ac:dyDescent="0.25"/>
    <row r="93153" s="12" customFormat="1" x14ac:dyDescent="0.25"/>
    <row r="93154" s="12" customFormat="1" x14ac:dyDescent="0.25"/>
    <row r="93155" s="12" customFormat="1" x14ac:dyDescent="0.25"/>
    <row r="93156" s="12" customFormat="1" x14ac:dyDescent="0.25"/>
    <row r="93157" s="12" customFormat="1" x14ac:dyDescent="0.25"/>
    <row r="93158" s="12" customFormat="1" x14ac:dyDescent="0.25"/>
    <row r="93159" s="12" customFormat="1" x14ac:dyDescent="0.25"/>
    <row r="93160" s="12" customFormat="1" x14ac:dyDescent="0.25"/>
    <row r="93161" s="12" customFormat="1" x14ac:dyDescent="0.25"/>
    <row r="93162" s="12" customFormat="1" x14ac:dyDescent="0.25"/>
    <row r="93163" s="12" customFormat="1" x14ac:dyDescent="0.25"/>
    <row r="93164" s="12" customFormat="1" x14ac:dyDescent="0.25"/>
    <row r="93165" s="12" customFormat="1" x14ac:dyDescent="0.25"/>
    <row r="93166" s="12" customFormat="1" x14ac:dyDescent="0.25"/>
    <row r="93167" s="12" customFormat="1" x14ac:dyDescent="0.25"/>
    <row r="93168" s="12" customFormat="1" x14ac:dyDescent="0.25"/>
    <row r="93169" s="12" customFormat="1" x14ac:dyDescent="0.25"/>
    <row r="93170" s="12" customFormat="1" x14ac:dyDescent="0.25"/>
    <row r="93171" s="12" customFormat="1" x14ac:dyDescent="0.25"/>
    <row r="93172" s="12" customFormat="1" x14ac:dyDescent="0.25"/>
    <row r="93173" s="12" customFormat="1" x14ac:dyDescent="0.25"/>
    <row r="93174" s="12" customFormat="1" x14ac:dyDescent="0.25"/>
    <row r="93175" s="12" customFormat="1" x14ac:dyDescent="0.25"/>
    <row r="93176" s="12" customFormat="1" x14ac:dyDescent="0.25"/>
    <row r="93177" s="12" customFormat="1" x14ac:dyDescent="0.25"/>
    <row r="93178" s="12" customFormat="1" x14ac:dyDescent="0.25"/>
    <row r="93179" s="12" customFormat="1" x14ac:dyDescent="0.25"/>
    <row r="93180" s="12" customFormat="1" x14ac:dyDescent="0.25"/>
    <row r="93181" s="12" customFormat="1" x14ac:dyDescent="0.25"/>
    <row r="93182" s="12" customFormat="1" x14ac:dyDescent="0.25"/>
    <row r="93183" s="12" customFormat="1" x14ac:dyDescent="0.25"/>
    <row r="93184" s="12" customFormat="1" x14ac:dyDescent="0.25"/>
    <row r="93185" s="12" customFormat="1" x14ac:dyDescent="0.25"/>
    <row r="93186" s="12" customFormat="1" x14ac:dyDescent="0.25"/>
    <row r="93187" s="12" customFormat="1" x14ac:dyDescent="0.25"/>
    <row r="93188" s="12" customFormat="1" x14ac:dyDescent="0.25"/>
    <row r="93189" s="12" customFormat="1" x14ac:dyDescent="0.25"/>
    <row r="93190" s="12" customFormat="1" x14ac:dyDescent="0.25"/>
    <row r="93191" s="12" customFormat="1" x14ac:dyDescent="0.25"/>
    <row r="93192" s="12" customFormat="1" x14ac:dyDescent="0.25"/>
    <row r="93193" s="12" customFormat="1" x14ac:dyDescent="0.25"/>
    <row r="93194" s="12" customFormat="1" x14ac:dyDescent="0.25"/>
    <row r="93195" s="12" customFormat="1" x14ac:dyDescent="0.25"/>
    <row r="93196" s="12" customFormat="1" x14ac:dyDescent="0.25"/>
    <row r="93197" s="12" customFormat="1" x14ac:dyDescent="0.25"/>
    <row r="93198" s="12" customFormat="1" x14ac:dyDescent="0.25"/>
    <row r="93199" s="12" customFormat="1" x14ac:dyDescent="0.25"/>
    <row r="93200" s="12" customFormat="1" x14ac:dyDescent="0.25"/>
    <row r="93201" s="12" customFormat="1" x14ac:dyDescent="0.25"/>
    <row r="93202" s="12" customFormat="1" x14ac:dyDescent="0.25"/>
    <row r="93203" s="12" customFormat="1" x14ac:dyDescent="0.25"/>
    <row r="93204" s="12" customFormat="1" x14ac:dyDescent="0.25"/>
    <row r="93205" s="12" customFormat="1" x14ac:dyDescent="0.25"/>
    <row r="93206" s="12" customFormat="1" x14ac:dyDescent="0.25"/>
    <row r="93207" s="12" customFormat="1" x14ac:dyDescent="0.25"/>
    <row r="93208" s="12" customFormat="1" x14ac:dyDescent="0.25"/>
    <row r="93209" s="12" customFormat="1" x14ac:dyDescent="0.25"/>
    <row r="93210" s="12" customFormat="1" x14ac:dyDescent="0.25"/>
    <row r="93211" s="12" customFormat="1" x14ac:dyDescent="0.25"/>
    <row r="93212" s="12" customFormat="1" x14ac:dyDescent="0.25"/>
    <row r="93213" s="12" customFormat="1" x14ac:dyDescent="0.25"/>
    <row r="93214" s="12" customFormat="1" x14ac:dyDescent="0.25"/>
    <row r="93215" s="12" customFormat="1" x14ac:dyDescent="0.25"/>
    <row r="93216" s="12" customFormat="1" x14ac:dyDescent="0.25"/>
    <row r="93217" s="12" customFormat="1" x14ac:dyDescent="0.25"/>
    <row r="93218" s="12" customFormat="1" x14ac:dyDescent="0.25"/>
    <row r="93219" s="12" customFormat="1" x14ac:dyDescent="0.25"/>
    <row r="93220" s="12" customFormat="1" x14ac:dyDescent="0.25"/>
    <row r="93221" s="12" customFormat="1" x14ac:dyDescent="0.25"/>
    <row r="93222" s="12" customFormat="1" x14ac:dyDescent="0.25"/>
    <row r="93223" s="12" customFormat="1" x14ac:dyDescent="0.25"/>
    <row r="93224" s="12" customFormat="1" x14ac:dyDescent="0.25"/>
    <row r="93225" s="12" customFormat="1" x14ac:dyDescent="0.25"/>
    <row r="93226" s="12" customFormat="1" x14ac:dyDescent="0.25"/>
    <row r="93227" s="12" customFormat="1" x14ac:dyDescent="0.25"/>
    <row r="93228" s="12" customFormat="1" x14ac:dyDescent="0.25"/>
    <row r="93229" s="12" customFormat="1" x14ac:dyDescent="0.25"/>
    <row r="93230" s="12" customFormat="1" x14ac:dyDescent="0.25"/>
    <row r="93231" s="12" customFormat="1" x14ac:dyDescent="0.25"/>
    <row r="93232" s="12" customFormat="1" x14ac:dyDescent="0.25"/>
    <row r="93233" s="12" customFormat="1" x14ac:dyDescent="0.25"/>
    <row r="93234" s="12" customFormat="1" x14ac:dyDescent="0.25"/>
    <row r="93235" s="12" customFormat="1" x14ac:dyDescent="0.25"/>
    <row r="93236" s="12" customFormat="1" x14ac:dyDescent="0.25"/>
    <row r="93237" s="12" customFormat="1" x14ac:dyDescent="0.25"/>
    <row r="93238" s="12" customFormat="1" x14ac:dyDescent="0.25"/>
    <row r="93239" s="12" customFormat="1" x14ac:dyDescent="0.25"/>
    <row r="93240" s="12" customFormat="1" x14ac:dyDescent="0.25"/>
    <row r="93241" s="12" customFormat="1" x14ac:dyDescent="0.25"/>
    <row r="93242" s="12" customFormat="1" x14ac:dyDescent="0.25"/>
    <row r="93243" s="12" customFormat="1" x14ac:dyDescent="0.25"/>
    <row r="93244" s="12" customFormat="1" x14ac:dyDescent="0.25"/>
    <row r="93245" s="12" customFormat="1" x14ac:dyDescent="0.25"/>
    <row r="93246" s="12" customFormat="1" x14ac:dyDescent="0.25"/>
    <row r="93247" s="12" customFormat="1" x14ac:dyDescent="0.25"/>
    <row r="93248" s="12" customFormat="1" x14ac:dyDescent="0.25"/>
    <row r="93249" s="12" customFormat="1" x14ac:dyDescent="0.25"/>
    <row r="93250" s="12" customFormat="1" x14ac:dyDescent="0.25"/>
    <row r="93251" s="12" customFormat="1" x14ac:dyDescent="0.25"/>
    <row r="93252" s="12" customFormat="1" x14ac:dyDescent="0.25"/>
    <row r="93253" s="12" customFormat="1" x14ac:dyDescent="0.25"/>
    <row r="93254" s="12" customFormat="1" x14ac:dyDescent="0.25"/>
    <row r="93255" s="12" customFormat="1" x14ac:dyDescent="0.25"/>
    <row r="93256" s="12" customFormat="1" x14ac:dyDescent="0.25"/>
    <row r="93257" s="12" customFormat="1" x14ac:dyDescent="0.25"/>
    <row r="93258" s="12" customFormat="1" x14ac:dyDescent="0.25"/>
    <row r="93259" s="12" customFormat="1" x14ac:dyDescent="0.25"/>
    <row r="93260" s="12" customFormat="1" x14ac:dyDescent="0.25"/>
    <row r="93261" s="12" customFormat="1" x14ac:dyDescent="0.25"/>
    <row r="93262" s="12" customFormat="1" x14ac:dyDescent="0.25"/>
    <row r="93263" s="12" customFormat="1" x14ac:dyDescent="0.25"/>
    <row r="93264" s="12" customFormat="1" x14ac:dyDescent="0.25"/>
    <row r="93265" s="12" customFormat="1" x14ac:dyDescent="0.25"/>
    <row r="93266" s="12" customFormat="1" x14ac:dyDescent="0.25"/>
    <row r="93267" s="12" customFormat="1" x14ac:dyDescent="0.25"/>
    <row r="93268" s="12" customFormat="1" x14ac:dyDescent="0.25"/>
    <row r="93269" s="12" customFormat="1" x14ac:dyDescent="0.25"/>
    <row r="93270" s="12" customFormat="1" x14ac:dyDescent="0.25"/>
    <row r="93271" s="12" customFormat="1" x14ac:dyDescent="0.25"/>
    <row r="93272" s="12" customFormat="1" x14ac:dyDescent="0.25"/>
    <row r="93273" s="12" customFormat="1" x14ac:dyDescent="0.25"/>
    <row r="93274" s="12" customFormat="1" x14ac:dyDescent="0.25"/>
    <row r="93275" s="12" customFormat="1" x14ac:dyDescent="0.25"/>
    <row r="93276" s="12" customFormat="1" x14ac:dyDescent="0.25"/>
    <row r="93277" s="12" customFormat="1" x14ac:dyDescent="0.25"/>
    <row r="93278" s="12" customFormat="1" x14ac:dyDescent="0.25"/>
    <row r="93279" s="12" customFormat="1" x14ac:dyDescent="0.25"/>
    <row r="93280" s="12" customFormat="1" x14ac:dyDescent="0.25"/>
    <row r="93281" s="12" customFormat="1" x14ac:dyDescent="0.25"/>
    <row r="93282" s="12" customFormat="1" x14ac:dyDescent="0.25"/>
    <row r="93283" s="12" customFormat="1" x14ac:dyDescent="0.25"/>
    <row r="93284" s="12" customFormat="1" x14ac:dyDescent="0.25"/>
    <row r="93285" s="12" customFormat="1" x14ac:dyDescent="0.25"/>
    <row r="93286" s="12" customFormat="1" x14ac:dyDescent="0.25"/>
    <row r="93287" s="12" customFormat="1" x14ac:dyDescent="0.25"/>
    <row r="93288" s="12" customFormat="1" x14ac:dyDescent="0.25"/>
    <row r="93289" s="12" customFormat="1" x14ac:dyDescent="0.25"/>
    <row r="93290" s="12" customFormat="1" x14ac:dyDescent="0.25"/>
    <row r="93291" s="12" customFormat="1" x14ac:dyDescent="0.25"/>
    <row r="93292" s="12" customFormat="1" x14ac:dyDescent="0.25"/>
    <row r="93293" s="12" customFormat="1" x14ac:dyDescent="0.25"/>
    <row r="93294" s="12" customFormat="1" x14ac:dyDescent="0.25"/>
    <row r="93295" s="12" customFormat="1" x14ac:dyDescent="0.25"/>
    <row r="93296" s="12" customFormat="1" x14ac:dyDescent="0.25"/>
    <row r="93297" s="12" customFormat="1" x14ac:dyDescent="0.25"/>
    <row r="93298" s="12" customFormat="1" x14ac:dyDescent="0.25"/>
    <row r="93299" s="12" customFormat="1" x14ac:dyDescent="0.25"/>
    <row r="93300" s="12" customFormat="1" x14ac:dyDescent="0.25"/>
    <row r="93301" s="12" customFormat="1" x14ac:dyDescent="0.25"/>
    <row r="93302" s="12" customFormat="1" x14ac:dyDescent="0.25"/>
    <row r="93303" s="12" customFormat="1" x14ac:dyDescent="0.25"/>
    <row r="93304" s="12" customFormat="1" x14ac:dyDescent="0.25"/>
    <row r="93305" s="12" customFormat="1" x14ac:dyDescent="0.25"/>
    <row r="93306" s="12" customFormat="1" x14ac:dyDescent="0.25"/>
    <row r="93307" s="12" customFormat="1" x14ac:dyDescent="0.25"/>
    <row r="93308" s="12" customFormat="1" x14ac:dyDescent="0.25"/>
    <row r="93309" s="12" customFormat="1" x14ac:dyDescent="0.25"/>
    <row r="93310" s="12" customFormat="1" x14ac:dyDescent="0.25"/>
    <row r="93311" s="12" customFormat="1" x14ac:dyDescent="0.25"/>
    <row r="93312" s="12" customFormat="1" x14ac:dyDescent="0.25"/>
    <row r="93313" s="12" customFormat="1" x14ac:dyDescent="0.25"/>
    <row r="93314" s="12" customFormat="1" x14ac:dyDescent="0.25"/>
    <row r="93315" s="12" customFormat="1" x14ac:dyDescent="0.25"/>
    <row r="93316" s="12" customFormat="1" x14ac:dyDescent="0.25"/>
    <row r="93317" s="12" customFormat="1" x14ac:dyDescent="0.25"/>
    <row r="93318" s="12" customFormat="1" x14ac:dyDescent="0.25"/>
    <row r="93319" s="12" customFormat="1" x14ac:dyDescent="0.25"/>
    <row r="93320" s="12" customFormat="1" x14ac:dyDescent="0.25"/>
    <row r="93321" s="12" customFormat="1" x14ac:dyDescent="0.25"/>
    <row r="93322" s="12" customFormat="1" x14ac:dyDescent="0.25"/>
    <row r="93323" s="12" customFormat="1" x14ac:dyDescent="0.25"/>
    <row r="93324" s="12" customFormat="1" x14ac:dyDescent="0.25"/>
    <row r="93325" s="12" customFormat="1" x14ac:dyDescent="0.25"/>
    <row r="93326" s="12" customFormat="1" x14ac:dyDescent="0.25"/>
    <row r="93327" s="12" customFormat="1" x14ac:dyDescent="0.25"/>
    <row r="93328" s="12" customFormat="1" x14ac:dyDescent="0.25"/>
    <row r="93329" s="12" customFormat="1" x14ac:dyDescent="0.25"/>
    <row r="93330" s="12" customFormat="1" x14ac:dyDescent="0.25"/>
    <row r="93331" s="12" customFormat="1" x14ac:dyDescent="0.25"/>
    <row r="93332" s="12" customFormat="1" x14ac:dyDescent="0.25"/>
    <row r="93333" s="12" customFormat="1" x14ac:dyDescent="0.25"/>
    <row r="93334" s="12" customFormat="1" x14ac:dyDescent="0.25"/>
    <row r="93335" s="12" customFormat="1" x14ac:dyDescent="0.25"/>
    <row r="93336" s="12" customFormat="1" x14ac:dyDescent="0.25"/>
    <row r="93337" s="12" customFormat="1" x14ac:dyDescent="0.25"/>
    <row r="93338" s="12" customFormat="1" x14ac:dyDescent="0.25"/>
    <row r="93339" s="12" customFormat="1" x14ac:dyDescent="0.25"/>
    <row r="93340" s="12" customFormat="1" x14ac:dyDescent="0.25"/>
    <row r="93341" s="12" customFormat="1" x14ac:dyDescent="0.25"/>
    <row r="93342" s="12" customFormat="1" x14ac:dyDescent="0.25"/>
    <row r="93343" s="12" customFormat="1" x14ac:dyDescent="0.25"/>
    <row r="93344" s="12" customFormat="1" x14ac:dyDescent="0.25"/>
    <row r="93345" s="12" customFormat="1" x14ac:dyDescent="0.25"/>
    <row r="93346" s="12" customFormat="1" x14ac:dyDescent="0.25"/>
    <row r="93347" s="12" customFormat="1" x14ac:dyDescent="0.25"/>
    <row r="93348" s="12" customFormat="1" x14ac:dyDescent="0.25"/>
    <row r="93349" s="12" customFormat="1" x14ac:dyDescent="0.25"/>
    <row r="93350" s="12" customFormat="1" x14ac:dyDescent="0.25"/>
    <row r="93351" s="12" customFormat="1" x14ac:dyDescent="0.25"/>
    <row r="93352" s="12" customFormat="1" x14ac:dyDescent="0.25"/>
    <row r="93353" s="12" customFormat="1" x14ac:dyDescent="0.25"/>
    <row r="93354" s="12" customFormat="1" x14ac:dyDescent="0.25"/>
    <row r="93355" s="12" customFormat="1" x14ac:dyDescent="0.25"/>
    <row r="93356" s="12" customFormat="1" x14ac:dyDescent="0.25"/>
    <row r="93357" s="12" customFormat="1" x14ac:dyDescent="0.25"/>
    <row r="93358" s="12" customFormat="1" x14ac:dyDescent="0.25"/>
    <row r="93359" s="12" customFormat="1" x14ac:dyDescent="0.25"/>
    <row r="93360" s="12" customFormat="1" x14ac:dyDescent="0.25"/>
    <row r="93361" s="12" customFormat="1" x14ac:dyDescent="0.25"/>
    <row r="93362" s="12" customFormat="1" x14ac:dyDescent="0.25"/>
    <row r="93363" s="12" customFormat="1" x14ac:dyDescent="0.25"/>
    <row r="93364" s="12" customFormat="1" x14ac:dyDescent="0.25"/>
    <row r="93365" s="12" customFormat="1" x14ac:dyDescent="0.25"/>
    <row r="93366" s="12" customFormat="1" x14ac:dyDescent="0.25"/>
    <row r="93367" s="12" customFormat="1" x14ac:dyDescent="0.25"/>
    <row r="93368" s="12" customFormat="1" x14ac:dyDescent="0.25"/>
    <row r="93369" s="12" customFormat="1" x14ac:dyDescent="0.25"/>
    <row r="93370" s="12" customFormat="1" x14ac:dyDescent="0.25"/>
    <row r="93371" s="12" customFormat="1" x14ac:dyDescent="0.25"/>
    <row r="93372" s="12" customFormat="1" x14ac:dyDescent="0.25"/>
    <row r="93373" s="12" customFormat="1" x14ac:dyDescent="0.25"/>
    <row r="93374" s="12" customFormat="1" x14ac:dyDescent="0.25"/>
    <row r="93375" s="12" customFormat="1" x14ac:dyDescent="0.25"/>
    <row r="93376" s="12" customFormat="1" x14ac:dyDescent="0.25"/>
    <row r="93377" s="12" customFormat="1" x14ac:dyDescent="0.25"/>
    <row r="93378" s="12" customFormat="1" x14ac:dyDescent="0.25"/>
    <row r="93379" s="12" customFormat="1" x14ac:dyDescent="0.25"/>
    <row r="93380" s="12" customFormat="1" x14ac:dyDescent="0.25"/>
    <row r="93381" s="12" customFormat="1" x14ac:dyDescent="0.25"/>
    <row r="93382" s="12" customFormat="1" x14ac:dyDescent="0.25"/>
    <row r="93383" s="12" customFormat="1" x14ac:dyDescent="0.25"/>
    <row r="93384" s="12" customFormat="1" x14ac:dyDescent="0.25"/>
    <row r="93385" s="12" customFormat="1" x14ac:dyDescent="0.25"/>
    <row r="93386" s="12" customFormat="1" x14ac:dyDescent="0.25"/>
    <row r="93387" s="12" customFormat="1" x14ac:dyDescent="0.25"/>
    <row r="93388" s="12" customFormat="1" x14ac:dyDescent="0.25"/>
    <row r="93389" s="12" customFormat="1" x14ac:dyDescent="0.25"/>
    <row r="93390" s="12" customFormat="1" x14ac:dyDescent="0.25"/>
    <row r="93391" s="12" customFormat="1" x14ac:dyDescent="0.25"/>
    <row r="93392" s="12" customFormat="1" x14ac:dyDescent="0.25"/>
    <row r="93393" s="12" customFormat="1" x14ac:dyDescent="0.25"/>
    <row r="93394" s="12" customFormat="1" x14ac:dyDescent="0.25"/>
    <row r="93395" s="12" customFormat="1" x14ac:dyDescent="0.25"/>
    <row r="93396" s="12" customFormat="1" x14ac:dyDescent="0.25"/>
    <row r="93397" s="12" customFormat="1" x14ac:dyDescent="0.25"/>
    <row r="93398" s="12" customFormat="1" x14ac:dyDescent="0.25"/>
    <row r="93399" s="12" customFormat="1" x14ac:dyDescent="0.25"/>
    <row r="93400" s="12" customFormat="1" x14ac:dyDescent="0.25"/>
    <row r="93401" s="12" customFormat="1" x14ac:dyDescent="0.25"/>
    <row r="93402" s="12" customFormat="1" x14ac:dyDescent="0.25"/>
    <row r="93403" s="12" customFormat="1" x14ac:dyDescent="0.25"/>
    <row r="93404" s="12" customFormat="1" x14ac:dyDescent="0.25"/>
    <row r="93405" s="12" customFormat="1" x14ac:dyDescent="0.25"/>
    <row r="93406" s="12" customFormat="1" x14ac:dyDescent="0.25"/>
    <row r="93407" s="12" customFormat="1" x14ac:dyDescent="0.25"/>
    <row r="93408" s="12" customFormat="1" x14ac:dyDescent="0.25"/>
    <row r="93409" s="12" customFormat="1" x14ac:dyDescent="0.25"/>
    <row r="93410" s="12" customFormat="1" x14ac:dyDescent="0.25"/>
    <row r="93411" s="12" customFormat="1" x14ac:dyDescent="0.25"/>
    <row r="93412" s="12" customFormat="1" x14ac:dyDescent="0.25"/>
    <row r="93413" s="12" customFormat="1" x14ac:dyDescent="0.25"/>
    <row r="93414" s="12" customFormat="1" x14ac:dyDescent="0.25"/>
    <row r="93415" s="12" customFormat="1" x14ac:dyDescent="0.25"/>
    <row r="93416" s="12" customFormat="1" x14ac:dyDescent="0.25"/>
    <row r="93417" s="12" customFormat="1" x14ac:dyDescent="0.25"/>
    <row r="93418" s="12" customFormat="1" x14ac:dyDescent="0.25"/>
    <row r="93419" s="12" customFormat="1" x14ac:dyDescent="0.25"/>
    <row r="93420" s="12" customFormat="1" x14ac:dyDescent="0.25"/>
    <row r="93421" s="12" customFormat="1" x14ac:dyDescent="0.25"/>
    <row r="93422" s="12" customFormat="1" x14ac:dyDescent="0.25"/>
    <row r="93423" s="12" customFormat="1" x14ac:dyDescent="0.25"/>
    <row r="93424" s="12" customFormat="1" x14ac:dyDescent="0.25"/>
    <row r="93425" s="12" customFormat="1" x14ac:dyDescent="0.25"/>
    <row r="93426" s="12" customFormat="1" x14ac:dyDescent="0.25"/>
    <row r="93427" s="12" customFormat="1" x14ac:dyDescent="0.25"/>
    <row r="93428" s="12" customFormat="1" x14ac:dyDescent="0.25"/>
    <row r="93429" s="12" customFormat="1" x14ac:dyDescent="0.25"/>
    <row r="93430" s="12" customFormat="1" x14ac:dyDescent="0.25"/>
    <row r="93431" s="12" customFormat="1" x14ac:dyDescent="0.25"/>
    <row r="93432" s="12" customFormat="1" x14ac:dyDescent="0.25"/>
    <row r="93433" s="12" customFormat="1" x14ac:dyDescent="0.25"/>
    <row r="93434" s="12" customFormat="1" x14ac:dyDescent="0.25"/>
    <row r="93435" s="12" customFormat="1" x14ac:dyDescent="0.25"/>
    <row r="93436" s="12" customFormat="1" x14ac:dyDescent="0.25"/>
    <row r="93437" s="12" customFormat="1" x14ac:dyDescent="0.25"/>
    <row r="93438" s="12" customFormat="1" x14ac:dyDescent="0.25"/>
    <row r="93439" s="12" customFormat="1" x14ac:dyDescent="0.25"/>
    <row r="93440" s="12" customFormat="1" x14ac:dyDescent="0.25"/>
    <row r="93441" s="12" customFormat="1" x14ac:dyDescent="0.25"/>
    <row r="93442" s="12" customFormat="1" x14ac:dyDescent="0.25"/>
    <row r="93443" s="12" customFormat="1" x14ac:dyDescent="0.25"/>
    <row r="93444" s="12" customFormat="1" x14ac:dyDescent="0.25"/>
    <row r="93445" s="12" customFormat="1" x14ac:dyDescent="0.25"/>
    <row r="93446" s="12" customFormat="1" x14ac:dyDescent="0.25"/>
    <row r="93447" s="12" customFormat="1" x14ac:dyDescent="0.25"/>
    <row r="93448" s="12" customFormat="1" x14ac:dyDescent="0.25"/>
    <row r="93449" s="12" customFormat="1" x14ac:dyDescent="0.25"/>
    <row r="93450" s="12" customFormat="1" x14ac:dyDescent="0.25"/>
    <row r="93451" s="12" customFormat="1" x14ac:dyDescent="0.25"/>
    <row r="93452" s="12" customFormat="1" x14ac:dyDescent="0.25"/>
    <row r="93453" s="12" customFormat="1" x14ac:dyDescent="0.25"/>
    <row r="93454" s="12" customFormat="1" x14ac:dyDescent="0.25"/>
    <row r="93455" s="12" customFormat="1" x14ac:dyDescent="0.25"/>
    <row r="93456" s="12" customFormat="1" x14ac:dyDescent="0.25"/>
    <row r="93457" s="12" customFormat="1" x14ac:dyDescent="0.25"/>
    <row r="93458" s="12" customFormat="1" x14ac:dyDescent="0.25"/>
    <row r="93459" s="12" customFormat="1" x14ac:dyDescent="0.25"/>
    <row r="93460" s="12" customFormat="1" x14ac:dyDescent="0.25"/>
    <row r="93461" s="12" customFormat="1" x14ac:dyDescent="0.25"/>
    <row r="93462" s="12" customFormat="1" x14ac:dyDescent="0.25"/>
    <row r="93463" s="12" customFormat="1" x14ac:dyDescent="0.25"/>
    <row r="93464" s="12" customFormat="1" x14ac:dyDescent="0.25"/>
    <row r="93465" s="12" customFormat="1" x14ac:dyDescent="0.25"/>
    <row r="93466" s="12" customFormat="1" x14ac:dyDescent="0.25"/>
    <row r="93467" s="12" customFormat="1" x14ac:dyDescent="0.25"/>
    <row r="93468" s="12" customFormat="1" x14ac:dyDescent="0.25"/>
    <row r="93469" s="12" customFormat="1" x14ac:dyDescent="0.25"/>
    <row r="93470" s="12" customFormat="1" x14ac:dyDescent="0.25"/>
    <row r="93471" s="12" customFormat="1" x14ac:dyDescent="0.25"/>
    <row r="93472" s="12" customFormat="1" x14ac:dyDescent="0.25"/>
    <row r="93473" s="12" customFormat="1" x14ac:dyDescent="0.25"/>
    <row r="93474" s="12" customFormat="1" x14ac:dyDescent="0.25"/>
    <row r="93475" s="12" customFormat="1" x14ac:dyDescent="0.25"/>
    <row r="93476" s="12" customFormat="1" x14ac:dyDescent="0.25"/>
    <row r="93477" s="12" customFormat="1" x14ac:dyDescent="0.25"/>
    <row r="93478" s="12" customFormat="1" x14ac:dyDescent="0.25"/>
    <row r="93479" s="12" customFormat="1" x14ac:dyDescent="0.25"/>
    <row r="93480" s="12" customFormat="1" x14ac:dyDescent="0.25"/>
    <row r="93481" s="12" customFormat="1" x14ac:dyDescent="0.25"/>
    <row r="93482" s="12" customFormat="1" x14ac:dyDescent="0.25"/>
    <row r="93483" s="12" customFormat="1" x14ac:dyDescent="0.25"/>
    <row r="93484" s="12" customFormat="1" x14ac:dyDescent="0.25"/>
    <row r="93485" s="12" customFormat="1" x14ac:dyDescent="0.25"/>
    <row r="93486" s="12" customFormat="1" x14ac:dyDescent="0.25"/>
    <row r="93487" s="12" customFormat="1" x14ac:dyDescent="0.25"/>
    <row r="93488" s="12" customFormat="1" x14ac:dyDescent="0.25"/>
    <row r="93489" s="12" customFormat="1" x14ac:dyDescent="0.25"/>
    <row r="93490" s="12" customFormat="1" x14ac:dyDescent="0.25"/>
    <row r="93491" s="12" customFormat="1" x14ac:dyDescent="0.25"/>
    <row r="93492" s="12" customFormat="1" x14ac:dyDescent="0.25"/>
    <row r="93493" s="12" customFormat="1" x14ac:dyDescent="0.25"/>
    <row r="93494" s="12" customFormat="1" x14ac:dyDescent="0.25"/>
    <row r="93495" s="12" customFormat="1" x14ac:dyDescent="0.25"/>
    <row r="93496" s="12" customFormat="1" x14ac:dyDescent="0.25"/>
    <row r="93497" s="12" customFormat="1" x14ac:dyDescent="0.25"/>
    <row r="93498" s="12" customFormat="1" x14ac:dyDescent="0.25"/>
    <row r="93499" s="12" customFormat="1" x14ac:dyDescent="0.25"/>
    <row r="93500" s="12" customFormat="1" x14ac:dyDescent="0.25"/>
    <row r="93501" s="12" customFormat="1" x14ac:dyDescent="0.25"/>
    <row r="93502" s="12" customFormat="1" x14ac:dyDescent="0.25"/>
    <row r="93503" s="12" customFormat="1" x14ac:dyDescent="0.25"/>
    <row r="93504" s="12" customFormat="1" x14ac:dyDescent="0.25"/>
    <row r="93505" s="12" customFormat="1" x14ac:dyDescent="0.25"/>
    <row r="93506" s="12" customFormat="1" x14ac:dyDescent="0.25"/>
    <row r="93507" s="12" customFormat="1" x14ac:dyDescent="0.25"/>
    <row r="93508" s="12" customFormat="1" x14ac:dyDescent="0.25"/>
    <row r="93509" s="12" customFormat="1" x14ac:dyDescent="0.25"/>
    <row r="93510" s="12" customFormat="1" x14ac:dyDescent="0.25"/>
    <row r="93511" s="12" customFormat="1" x14ac:dyDescent="0.25"/>
    <row r="93512" s="12" customFormat="1" x14ac:dyDescent="0.25"/>
    <row r="93513" s="12" customFormat="1" x14ac:dyDescent="0.25"/>
    <row r="93514" s="12" customFormat="1" x14ac:dyDescent="0.25"/>
    <row r="93515" s="12" customFormat="1" x14ac:dyDescent="0.25"/>
    <row r="93516" s="12" customFormat="1" x14ac:dyDescent="0.25"/>
    <row r="93517" s="12" customFormat="1" x14ac:dyDescent="0.25"/>
    <row r="93518" s="12" customFormat="1" x14ac:dyDescent="0.25"/>
    <row r="93519" s="12" customFormat="1" x14ac:dyDescent="0.25"/>
    <row r="93520" s="12" customFormat="1" x14ac:dyDescent="0.25"/>
    <row r="93521" s="12" customFormat="1" x14ac:dyDescent="0.25"/>
    <row r="93522" s="12" customFormat="1" x14ac:dyDescent="0.25"/>
    <row r="93523" s="12" customFormat="1" x14ac:dyDescent="0.25"/>
    <row r="93524" s="12" customFormat="1" x14ac:dyDescent="0.25"/>
    <row r="93525" s="12" customFormat="1" x14ac:dyDescent="0.25"/>
    <row r="93526" s="12" customFormat="1" x14ac:dyDescent="0.25"/>
    <row r="93527" s="12" customFormat="1" x14ac:dyDescent="0.25"/>
    <row r="93528" s="12" customFormat="1" x14ac:dyDescent="0.25"/>
    <row r="93529" s="12" customFormat="1" x14ac:dyDescent="0.25"/>
    <row r="93530" s="12" customFormat="1" x14ac:dyDescent="0.25"/>
    <row r="93531" s="12" customFormat="1" x14ac:dyDescent="0.25"/>
    <row r="93532" s="12" customFormat="1" x14ac:dyDescent="0.25"/>
    <row r="93533" s="12" customFormat="1" x14ac:dyDescent="0.25"/>
    <row r="93534" s="12" customFormat="1" x14ac:dyDescent="0.25"/>
    <row r="93535" s="12" customFormat="1" x14ac:dyDescent="0.25"/>
    <row r="93536" s="12" customFormat="1" x14ac:dyDescent="0.25"/>
    <row r="93537" s="12" customFormat="1" x14ac:dyDescent="0.25"/>
    <row r="93538" s="12" customFormat="1" x14ac:dyDescent="0.25"/>
    <row r="93539" s="12" customFormat="1" x14ac:dyDescent="0.25"/>
    <row r="93540" s="12" customFormat="1" x14ac:dyDescent="0.25"/>
    <row r="93541" s="12" customFormat="1" x14ac:dyDescent="0.25"/>
    <row r="93542" s="12" customFormat="1" x14ac:dyDescent="0.25"/>
    <row r="93543" s="12" customFormat="1" x14ac:dyDescent="0.25"/>
    <row r="93544" s="12" customFormat="1" x14ac:dyDescent="0.25"/>
    <row r="93545" s="12" customFormat="1" x14ac:dyDescent="0.25"/>
    <row r="93546" s="12" customFormat="1" x14ac:dyDescent="0.25"/>
    <row r="93547" s="12" customFormat="1" x14ac:dyDescent="0.25"/>
    <row r="93548" s="12" customFormat="1" x14ac:dyDescent="0.25"/>
    <row r="93549" s="12" customFormat="1" x14ac:dyDescent="0.25"/>
    <row r="93550" s="12" customFormat="1" x14ac:dyDescent="0.25"/>
    <row r="93551" s="12" customFormat="1" x14ac:dyDescent="0.25"/>
    <row r="93552" s="12" customFormat="1" x14ac:dyDescent="0.25"/>
    <row r="93553" s="12" customFormat="1" x14ac:dyDescent="0.25"/>
    <row r="93554" s="12" customFormat="1" x14ac:dyDescent="0.25"/>
    <row r="93555" s="12" customFormat="1" x14ac:dyDescent="0.25"/>
    <row r="93556" s="12" customFormat="1" x14ac:dyDescent="0.25"/>
    <row r="93557" s="12" customFormat="1" x14ac:dyDescent="0.25"/>
    <row r="93558" s="12" customFormat="1" x14ac:dyDescent="0.25"/>
    <row r="93559" s="12" customFormat="1" x14ac:dyDescent="0.25"/>
    <row r="93560" s="12" customFormat="1" x14ac:dyDescent="0.25"/>
    <row r="93561" s="12" customFormat="1" x14ac:dyDescent="0.25"/>
    <row r="93562" s="12" customFormat="1" x14ac:dyDescent="0.25"/>
    <row r="93563" s="12" customFormat="1" x14ac:dyDescent="0.25"/>
    <row r="93564" s="12" customFormat="1" x14ac:dyDescent="0.25"/>
    <row r="93565" s="12" customFormat="1" x14ac:dyDescent="0.25"/>
    <row r="93566" s="12" customFormat="1" x14ac:dyDescent="0.25"/>
    <row r="93567" s="12" customFormat="1" x14ac:dyDescent="0.25"/>
    <row r="93568" s="12" customFormat="1" x14ac:dyDescent="0.25"/>
    <row r="93569" s="12" customFormat="1" x14ac:dyDescent="0.25"/>
    <row r="93570" s="12" customFormat="1" x14ac:dyDescent="0.25"/>
    <row r="93571" s="12" customFormat="1" x14ac:dyDescent="0.25"/>
    <row r="93572" s="12" customFormat="1" x14ac:dyDescent="0.25"/>
    <row r="93573" s="12" customFormat="1" x14ac:dyDescent="0.25"/>
    <row r="93574" s="12" customFormat="1" x14ac:dyDescent="0.25"/>
    <row r="93575" s="12" customFormat="1" x14ac:dyDescent="0.25"/>
    <row r="93576" s="12" customFormat="1" x14ac:dyDescent="0.25"/>
    <row r="93577" s="12" customFormat="1" x14ac:dyDescent="0.25"/>
    <row r="93578" s="12" customFormat="1" x14ac:dyDescent="0.25"/>
    <row r="93579" s="12" customFormat="1" x14ac:dyDescent="0.25"/>
    <row r="93580" s="12" customFormat="1" x14ac:dyDescent="0.25"/>
    <row r="93581" s="12" customFormat="1" x14ac:dyDescent="0.25"/>
    <row r="93582" s="12" customFormat="1" x14ac:dyDescent="0.25"/>
    <row r="93583" s="12" customFormat="1" x14ac:dyDescent="0.25"/>
    <row r="93584" s="12" customFormat="1" x14ac:dyDescent="0.25"/>
    <row r="93585" s="12" customFormat="1" x14ac:dyDescent="0.25"/>
    <row r="93586" s="12" customFormat="1" x14ac:dyDescent="0.25"/>
    <row r="93587" s="12" customFormat="1" x14ac:dyDescent="0.25"/>
    <row r="93588" s="12" customFormat="1" x14ac:dyDescent="0.25"/>
    <row r="93589" s="12" customFormat="1" x14ac:dyDescent="0.25"/>
    <row r="93590" s="12" customFormat="1" x14ac:dyDescent="0.25"/>
    <row r="93591" s="12" customFormat="1" x14ac:dyDescent="0.25"/>
    <row r="93592" s="12" customFormat="1" x14ac:dyDescent="0.25"/>
    <row r="93593" s="12" customFormat="1" x14ac:dyDescent="0.25"/>
    <row r="93594" s="12" customFormat="1" x14ac:dyDescent="0.25"/>
    <row r="93595" s="12" customFormat="1" x14ac:dyDescent="0.25"/>
    <row r="93596" s="12" customFormat="1" x14ac:dyDescent="0.25"/>
    <row r="93597" s="12" customFormat="1" x14ac:dyDescent="0.25"/>
    <row r="93598" s="12" customFormat="1" x14ac:dyDescent="0.25"/>
    <row r="93599" s="12" customFormat="1" x14ac:dyDescent="0.25"/>
    <row r="93600" s="12" customFormat="1" x14ac:dyDescent="0.25"/>
    <row r="93601" s="12" customFormat="1" x14ac:dyDescent="0.25"/>
    <row r="93602" s="12" customFormat="1" x14ac:dyDescent="0.25"/>
    <row r="93603" s="12" customFormat="1" x14ac:dyDescent="0.25"/>
    <row r="93604" s="12" customFormat="1" x14ac:dyDescent="0.25"/>
    <row r="93605" s="12" customFormat="1" x14ac:dyDescent="0.25"/>
    <row r="93606" s="12" customFormat="1" x14ac:dyDescent="0.25"/>
    <row r="93607" s="12" customFormat="1" x14ac:dyDescent="0.25"/>
    <row r="93608" s="12" customFormat="1" x14ac:dyDescent="0.25"/>
    <row r="93609" s="12" customFormat="1" x14ac:dyDescent="0.25"/>
    <row r="93610" s="12" customFormat="1" x14ac:dyDescent="0.25"/>
    <row r="93611" s="12" customFormat="1" x14ac:dyDescent="0.25"/>
    <row r="93612" s="12" customFormat="1" x14ac:dyDescent="0.25"/>
    <row r="93613" s="12" customFormat="1" x14ac:dyDescent="0.25"/>
    <row r="93614" s="12" customFormat="1" x14ac:dyDescent="0.25"/>
    <row r="93615" s="12" customFormat="1" x14ac:dyDescent="0.25"/>
    <row r="93616" s="12" customFormat="1" x14ac:dyDescent="0.25"/>
    <row r="93617" s="12" customFormat="1" x14ac:dyDescent="0.25"/>
    <row r="93618" s="12" customFormat="1" x14ac:dyDescent="0.25"/>
    <row r="93619" s="12" customFormat="1" x14ac:dyDescent="0.25"/>
    <row r="93620" s="12" customFormat="1" x14ac:dyDescent="0.25"/>
    <row r="93621" s="12" customFormat="1" x14ac:dyDescent="0.25"/>
    <row r="93622" s="12" customFormat="1" x14ac:dyDescent="0.25"/>
    <row r="93623" s="12" customFormat="1" x14ac:dyDescent="0.25"/>
    <row r="93624" s="12" customFormat="1" x14ac:dyDescent="0.25"/>
    <row r="93625" s="12" customFormat="1" x14ac:dyDescent="0.25"/>
    <row r="93626" s="12" customFormat="1" x14ac:dyDescent="0.25"/>
    <row r="93627" s="12" customFormat="1" x14ac:dyDescent="0.25"/>
    <row r="93628" s="12" customFormat="1" x14ac:dyDescent="0.25"/>
    <row r="93629" s="12" customFormat="1" x14ac:dyDescent="0.25"/>
    <row r="93630" s="12" customFormat="1" x14ac:dyDescent="0.25"/>
    <row r="93631" s="12" customFormat="1" x14ac:dyDescent="0.25"/>
    <row r="93632" s="12" customFormat="1" x14ac:dyDescent="0.25"/>
    <row r="93633" s="12" customFormat="1" x14ac:dyDescent="0.25"/>
    <row r="93634" s="12" customFormat="1" x14ac:dyDescent="0.25"/>
    <row r="93635" s="12" customFormat="1" x14ac:dyDescent="0.25"/>
    <row r="93636" s="12" customFormat="1" x14ac:dyDescent="0.25"/>
    <row r="93637" s="12" customFormat="1" x14ac:dyDescent="0.25"/>
    <row r="93638" s="12" customFormat="1" x14ac:dyDescent="0.25"/>
    <row r="93639" s="12" customFormat="1" x14ac:dyDescent="0.25"/>
    <row r="93640" s="12" customFormat="1" x14ac:dyDescent="0.25"/>
    <row r="93641" s="12" customFormat="1" x14ac:dyDescent="0.25"/>
    <row r="93642" s="12" customFormat="1" x14ac:dyDescent="0.25"/>
    <row r="93643" s="12" customFormat="1" x14ac:dyDescent="0.25"/>
    <row r="93644" s="12" customFormat="1" x14ac:dyDescent="0.25"/>
    <row r="93645" s="12" customFormat="1" x14ac:dyDescent="0.25"/>
    <row r="93646" s="12" customFormat="1" x14ac:dyDescent="0.25"/>
    <row r="93647" s="12" customFormat="1" x14ac:dyDescent="0.25"/>
    <row r="93648" s="12" customFormat="1" x14ac:dyDescent="0.25"/>
    <row r="93649" s="12" customFormat="1" x14ac:dyDescent="0.25"/>
    <row r="93650" s="12" customFormat="1" x14ac:dyDescent="0.25"/>
    <row r="93651" s="12" customFormat="1" x14ac:dyDescent="0.25"/>
    <row r="93652" s="12" customFormat="1" x14ac:dyDescent="0.25"/>
    <row r="93653" s="12" customFormat="1" x14ac:dyDescent="0.25"/>
    <row r="93654" s="12" customFormat="1" x14ac:dyDescent="0.25"/>
    <row r="93655" s="12" customFormat="1" x14ac:dyDescent="0.25"/>
    <row r="93656" s="12" customFormat="1" x14ac:dyDescent="0.25"/>
    <row r="93657" s="12" customFormat="1" x14ac:dyDescent="0.25"/>
    <row r="93658" s="12" customFormat="1" x14ac:dyDescent="0.25"/>
    <row r="93659" s="12" customFormat="1" x14ac:dyDescent="0.25"/>
    <row r="93660" s="12" customFormat="1" x14ac:dyDescent="0.25"/>
    <row r="93661" s="12" customFormat="1" x14ac:dyDescent="0.25"/>
    <row r="93662" s="12" customFormat="1" x14ac:dyDescent="0.25"/>
    <row r="93663" s="12" customFormat="1" x14ac:dyDescent="0.25"/>
    <row r="93664" s="12" customFormat="1" x14ac:dyDescent="0.25"/>
    <row r="93665" s="12" customFormat="1" x14ac:dyDescent="0.25"/>
    <row r="93666" s="12" customFormat="1" x14ac:dyDescent="0.25"/>
    <row r="93667" s="12" customFormat="1" x14ac:dyDescent="0.25"/>
    <row r="93668" s="12" customFormat="1" x14ac:dyDescent="0.25"/>
    <row r="93669" s="12" customFormat="1" x14ac:dyDescent="0.25"/>
    <row r="93670" s="12" customFormat="1" x14ac:dyDescent="0.25"/>
    <row r="93671" s="12" customFormat="1" x14ac:dyDescent="0.25"/>
    <row r="93672" s="12" customFormat="1" x14ac:dyDescent="0.25"/>
    <row r="93673" s="12" customFormat="1" x14ac:dyDescent="0.25"/>
    <row r="93674" s="12" customFormat="1" x14ac:dyDescent="0.25"/>
    <row r="93675" s="12" customFormat="1" x14ac:dyDescent="0.25"/>
    <row r="93676" s="12" customFormat="1" x14ac:dyDescent="0.25"/>
    <row r="93677" s="12" customFormat="1" x14ac:dyDescent="0.25"/>
    <row r="93678" s="12" customFormat="1" x14ac:dyDescent="0.25"/>
    <row r="93679" s="12" customFormat="1" x14ac:dyDescent="0.25"/>
    <row r="93680" s="12" customFormat="1" x14ac:dyDescent="0.25"/>
    <row r="93681" s="12" customFormat="1" x14ac:dyDescent="0.25"/>
    <row r="93682" s="12" customFormat="1" x14ac:dyDescent="0.25"/>
    <row r="93683" s="12" customFormat="1" x14ac:dyDescent="0.25"/>
    <row r="93684" s="12" customFormat="1" x14ac:dyDescent="0.25"/>
    <row r="93685" s="12" customFormat="1" x14ac:dyDescent="0.25"/>
    <row r="93686" s="12" customFormat="1" x14ac:dyDescent="0.25"/>
    <row r="93687" s="12" customFormat="1" x14ac:dyDescent="0.25"/>
    <row r="93688" s="12" customFormat="1" x14ac:dyDescent="0.25"/>
    <row r="93689" s="12" customFormat="1" x14ac:dyDescent="0.25"/>
    <row r="93690" s="12" customFormat="1" x14ac:dyDescent="0.25"/>
    <row r="93691" s="12" customFormat="1" x14ac:dyDescent="0.25"/>
    <row r="93692" s="12" customFormat="1" x14ac:dyDescent="0.25"/>
    <row r="93693" s="12" customFormat="1" x14ac:dyDescent="0.25"/>
    <row r="93694" s="12" customFormat="1" x14ac:dyDescent="0.25"/>
    <row r="93695" s="12" customFormat="1" x14ac:dyDescent="0.25"/>
    <row r="93696" s="12" customFormat="1" x14ac:dyDescent="0.25"/>
    <row r="93697" s="12" customFormat="1" x14ac:dyDescent="0.25"/>
    <row r="93698" s="12" customFormat="1" x14ac:dyDescent="0.25"/>
    <row r="93699" s="12" customFormat="1" x14ac:dyDescent="0.25"/>
    <row r="93700" s="12" customFormat="1" x14ac:dyDescent="0.25"/>
    <row r="93701" s="12" customFormat="1" x14ac:dyDescent="0.25"/>
    <row r="93702" s="12" customFormat="1" x14ac:dyDescent="0.25"/>
    <row r="93703" s="12" customFormat="1" x14ac:dyDescent="0.25"/>
    <row r="93704" s="12" customFormat="1" x14ac:dyDescent="0.25"/>
    <row r="93705" s="12" customFormat="1" x14ac:dyDescent="0.25"/>
    <row r="93706" s="12" customFormat="1" x14ac:dyDescent="0.25"/>
    <row r="93707" s="12" customFormat="1" x14ac:dyDescent="0.25"/>
    <row r="93708" s="12" customFormat="1" x14ac:dyDescent="0.25"/>
    <row r="93709" s="12" customFormat="1" x14ac:dyDescent="0.25"/>
    <row r="93710" s="12" customFormat="1" x14ac:dyDescent="0.25"/>
    <row r="93711" s="12" customFormat="1" x14ac:dyDescent="0.25"/>
    <row r="93712" s="12" customFormat="1" x14ac:dyDescent="0.25"/>
    <row r="93713" s="12" customFormat="1" x14ac:dyDescent="0.25"/>
    <row r="93714" s="12" customFormat="1" x14ac:dyDescent="0.25"/>
    <row r="93715" s="12" customFormat="1" x14ac:dyDescent="0.25"/>
    <row r="93716" s="12" customFormat="1" x14ac:dyDescent="0.25"/>
    <row r="93717" s="12" customFormat="1" x14ac:dyDescent="0.25"/>
    <row r="93718" s="12" customFormat="1" x14ac:dyDescent="0.25"/>
    <row r="93719" s="12" customFormat="1" x14ac:dyDescent="0.25"/>
    <row r="93720" s="12" customFormat="1" x14ac:dyDescent="0.25"/>
    <row r="93721" s="12" customFormat="1" x14ac:dyDescent="0.25"/>
    <row r="93722" s="12" customFormat="1" x14ac:dyDescent="0.25"/>
    <row r="93723" s="12" customFormat="1" x14ac:dyDescent="0.25"/>
    <row r="93724" s="12" customFormat="1" x14ac:dyDescent="0.25"/>
    <row r="93725" s="12" customFormat="1" x14ac:dyDescent="0.25"/>
    <row r="93726" s="12" customFormat="1" x14ac:dyDescent="0.25"/>
    <row r="93727" s="12" customFormat="1" x14ac:dyDescent="0.25"/>
    <row r="93728" s="12" customFormat="1" x14ac:dyDescent="0.25"/>
    <row r="93729" s="12" customFormat="1" x14ac:dyDescent="0.25"/>
    <row r="93730" s="12" customFormat="1" x14ac:dyDescent="0.25"/>
    <row r="93731" s="12" customFormat="1" x14ac:dyDescent="0.25"/>
    <row r="93732" s="12" customFormat="1" x14ac:dyDescent="0.25"/>
    <row r="93733" s="12" customFormat="1" x14ac:dyDescent="0.25"/>
    <row r="93734" s="12" customFormat="1" x14ac:dyDescent="0.25"/>
    <row r="93735" s="12" customFormat="1" x14ac:dyDescent="0.25"/>
    <row r="93736" s="12" customFormat="1" x14ac:dyDescent="0.25"/>
    <row r="93737" s="12" customFormat="1" x14ac:dyDescent="0.25"/>
    <row r="93738" s="12" customFormat="1" x14ac:dyDescent="0.25"/>
    <row r="93739" s="12" customFormat="1" x14ac:dyDescent="0.25"/>
    <row r="93740" s="12" customFormat="1" x14ac:dyDescent="0.25"/>
    <row r="93741" s="12" customFormat="1" x14ac:dyDescent="0.25"/>
    <row r="93742" s="12" customFormat="1" x14ac:dyDescent="0.25"/>
    <row r="93743" s="12" customFormat="1" x14ac:dyDescent="0.25"/>
    <row r="93744" s="12" customFormat="1" x14ac:dyDescent="0.25"/>
    <row r="93745" s="12" customFormat="1" x14ac:dyDescent="0.25"/>
    <row r="93746" s="12" customFormat="1" x14ac:dyDescent="0.25"/>
    <row r="93747" s="12" customFormat="1" x14ac:dyDescent="0.25"/>
    <row r="93748" s="12" customFormat="1" x14ac:dyDescent="0.25"/>
    <row r="93749" s="12" customFormat="1" x14ac:dyDescent="0.25"/>
    <row r="93750" s="12" customFormat="1" x14ac:dyDescent="0.25"/>
    <row r="93751" s="12" customFormat="1" x14ac:dyDescent="0.25"/>
    <row r="93752" s="12" customFormat="1" x14ac:dyDescent="0.25"/>
    <row r="93753" s="12" customFormat="1" x14ac:dyDescent="0.25"/>
    <row r="93754" s="12" customFormat="1" x14ac:dyDescent="0.25"/>
    <row r="93755" s="12" customFormat="1" x14ac:dyDescent="0.25"/>
    <row r="93756" s="12" customFormat="1" x14ac:dyDescent="0.25"/>
    <row r="93757" s="12" customFormat="1" x14ac:dyDescent="0.25"/>
    <row r="93758" s="12" customFormat="1" x14ac:dyDescent="0.25"/>
    <row r="93759" s="12" customFormat="1" x14ac:dyDescent="0.25"/>
    <row r="93760" s="12" customFormat="1" x14ac:dyDescent="0.25"/>
    <row r="93761" s="12" customFormat="1" x14ac:dyDescent="0.25"/>
    <row r="93762" s="12" customFormat="1" x14ac:dyDescent="0.25"/>
    <row r="93763" s="12" customFormat="1" x14ac:dyDescent="0.25"/>
    <row r="93764" s="12" customFormat="1" x14ac:dyDescent="0.25"/>
    <row r="93765" s="12" customFormat="1" x14ac:dyDescent="0.25"/>
    <row r="93766" s="12" customFormat="1" x14ac:dyDescent="0.25"/>
    <row r="93767" s="12" customFormat="1" x14ac:dyDescent="0.25"/>
    <row r="93768" s="12" customFormat="1" x14ac:dyDescent="0.25"/>
    <row r="93769" s="12" customFormat="1" x14ac:dyDescent="0.25"/>
    <row r="93770" s="12" customFormat="1" x14ac:dyDescent="0.25"/>
    <row r="93771" s="12" customFormat="1" x14ac:dyDescent="0.25"/>
    <row r="93772" s="12" customFormat="1" x14ac:dyDescent="0.25"/>
    <row r="93773" s="12" customFormat="1" x14ac:dyDescent="0.25"/>
    <row r="93774" s="12" customFormat="1" x14ac:dyDescent="0.25"/>
    <row r="93775" s="12" customFormat="1" x14ac:dyDescent="0.25"/>
    <row r="93776" s="12" customFormat="1" x14ac:dyDescent="0.25"/>
    <row r="93777" s="12" customFormat="1" x14ac:dyDescent="0.25"/>
    <row r="93778" s="12" customFormat="1" x14ac:dyDescent="0.25"/>
    <row r="93779" s="12" customFormat="1" x14ac:dyDescent="0.25"/>
    <row r="93780" s="12" customFormat="1" x14ac:dyDescent="0.25"/>
    <row r="93781" s="12" customFormat="1" x14ac:dyDescent="0.25"/>
    <row r="93782" s="12" customFormat="1" x14ac:dyDescent="0.25"/>
    <row r="93783" s="12" customFormat="1" x14ac:dyDescent="0.25"/>
    <row r="93784" s="12" customFormat="1" x14ac:dyDescent="0.25"/>
    <row r="93785" s="12" customFormat="1" x14ac:dyDescent="0.25"/>
    <row r="93786" s="12" customFormat="1" x14ac:dyDescent="0.25"/>
    <row r="93787" s="12" customFormat="1" x14ac:dyDescent="0.25"/>
    <row r="93788" s="12" customFormat="1" x14ac:dyDescent="0.25"/>
    <row r="93789" s="12" customFormat="1" x14ac:dyDescent="0.25"/>
    <row r="93790" s="12" customFormat="1" x14ac:dyDescent="0.25"/>
    <row r="93791" s="12" customFormat="1" x14ac:dyDescent="0.25"/>
    <row r="93792" s="12" customFormat="1" x14ac:dyDescent="0.25"/>
    <row r="93793" s="12" customFormat="1" x14ac:dyDescent="0.25"/>
    <row r="93794" s="12" customFormat="1" x14ac:dyDescent="0.25"/>
    <row r="93795" s="12" customFormat="1" x14ac:dyDescent="0.25"/>
    <row r="93796" s="12" customFormat="1" x14ac:dyDescent="0.25"/>
    <row r="93797" s="12" customFormat="1" x14ac:dyDescent="0.25"/>
    <row r="93798" s="12" customFormat="1" x14ac:dyDescent="0.25"/>
    <row r="93799" s="12" customFormat="1" x14ac:dyDescent="0.25"/>
    <row r="93800" s="12" customFormat="1" x14ac:dyDescent="0.25"/>
    <row r="93801" s="12" customFormat="1" x14ac:dyDescent="0.25"/>
    <row r="93802" s="12" customFormat="1" x14ac:dyDescent="0.25"/>
    <row r="93803" s="12" customFormat="1" x14ac:dyDescent="0.25"/>
    <row r="93804" s="12" customFormat="1" x14ac:dyDescent="0.25"/>
    <row r="93805" s="12" customFormat="1" x14ac:dyDescent="0.25"/>
    <row r="93806" s="12" customFormat="1" x14ac:dyDescent="0.25"/>
    <row r="93807" s="12" customFormat="1" x14ac:dyDescent="0.25"/>
    <row r="93808" s="12" customFormat="1" x14ac:dyDescent="0.25"/>
    <row r="93809" s="12" customFormat="1" x14ac:dyDescent="0.25"/>
    <row r="93810" s="12" customFormat="1" x14ac:dyDescent="0.25"/>
    <row r="93811" s="12" customFormat="1" x14ac:dyDescent="0.25"/>
    <row r="93812" s="12" customFormat="1" x14ac:dyDescent="0.25"/>
    <row r="93813" s="12" customFormat="1" x14ac:dyDescent="0.25"/>
    <row r="93814" s="12" customFormat="1" x14ac:dyDescent="0.25"/>
    <row r="93815" s="12" customFormat="1" x14ac:dyDescent="0.25"/>
    <row r="93816" s="12" customFormat="1" x14ac:dyDescent="0.25"/>
    <row r="93817" s="12" customFormat="1" x14ac:dyDescent="0.25"/>
    <row r="93818" s="12" customFormat="1" x14ac:dyDescent="0.25"/>
    <row r="93819" s="12" customFormat="1" x14ac:dyDescent="0.25"/>
    <row r="93820" s="12" customFormat="1" x14ac:dyDescent="0.25"/>
    <row r="93821" s="12" customFormat="1" x14ac:dyDescent="0.25"/>
    <row r="93822" s="12" customFormat="1" x14ac:dyDescent="0.25"/>
    <row r="93823" s="12" customFormat="1" x14ac:dyDescent="0.25"/>
    <row r="93824" s="12" customFormat="1" x14ac:dyDescent="0.25"/>
    <row r="93825" s="12" customFormat="1" x14ac:dyDescent="0.25"/>
    <row r="93826" s="12" customFormat="1" x14ac:dyDescent="0.25"/>
    <row r="93827" s="12" customFormat="1" x14ac:dyDescent="0.25"/>
    <row r="93828" s="12" customFormat="1" x14ac:dyDescent="0.25"/>
    <row r="93829" s="12" customFormat="1" x14ac:dyDescent="0.25"/>
    <row r="93830" s="12" customFormat="1" x14ac:dyDescent="0.25"/>
    <row r="93831" s="12" customFormat="1" x14ac:dyDescent="0.25"/>
    <row r="93832" s="12" customFormat="1" x14ac:dyDescent="0.25"/>
    <row r="93833" s="12" customFormat="1" x14ac:dyDescent="0.25"/>
    <row r="93834" s="12" customFormat="1" x14ac:dyDescent="0.25"/>
    <row r="93835" s="12" customFormat="1" x14ac:dyDescent="0.25"/>
    <row r="93836" s="12" customFormat="1" x14ac:dyDescent="0.25"/>
    <row r="93837" s="12" customFormat="1" x14ac:dyDescent="0.25"/>
    <row r="93838" s="12" customFormat="1" x14ac:dyDescent="0.25"/>
    <row r="93839" s="12" customFormat="1" x14ac:dyDescent="0.25"/>
    <row r="93840" s="12" customFormat="1" x14ac:dyDescent="0.25"/>
    <row r="93841" s="12" customFormat="1" x14ac:dyDescent="0.25"/>
    <row r="93842" s="12" customFormat="1" x14ac:dyDescent="0.25"/>
    <row r="93843" s="12" customFormat="1" x14ac:dyDescent="0.25"/>
    <row r="93844" s="12" customFormat="1" x14ac:dyDescent="0.25"/>
    <row r="93845" s="12" customFormat="1" x14ac:dyDescent="0.25"/>
    <row r="93846" s="12" customFormat="1" x14ac:dyDescent="0.25"/>
    <row r="93847" s="12" customFormat="1" x14ac:dyDescent="0.25"/>
    <row r="93848" s="12" customFormat="1" x14ac:dyDescent="0.25"/>
    <row r="93849" s="12" customFormat="1" x14ac:dyDescent="0.25"/>
    <row r="93850" s="12" customFormat="1" x14ac:dyDescent="0.25"/>
    <row r="93851" s="12" customFormat="1" x14ac:dyDescent="0.25"/>
    <row r="93852" s="12" customFormat="1" x14ac:dyDescent="0.25"/>
    <row r="93853" s="12" customFormat="1" x14ac:dyDescent="0.25"/>
    <row r="93854" s="12" customFormat="1" x14ac:dyDescent="0.25"/>
    <row r="93855" s="12" customFormat="1" x14ac:dyDescent="0.25"/>
    <row r="93856" s="12" customFormat="1" x14ac:dyDescent="0.25"/>
    <row r="93857" s="12" customFormat="1" x14ac:dyDescent="0.25"/>
    <row r="93858" s="12" customFormat="1" x14ac:dyDescent="0.25"/>
    <row r="93859" s="12" customFormat="1" x14ac:dyDescent="0.25"/>
    <row r="93860" s="12" customFormat="1" x14ac:dyDescent="0.25"/>
    <row r="93861" s="12" customFormat="1" x14ac:dyDescent="0.25"/>
    <row r="93862" s="12" customFormat="1" x14ac:dyDescent="0.25"/>
    <row r="93863" s="12" customFormat="1" x14ac:dyDescent="0.25"/>
    <row r="93864" s="12" customFormat="1" x14ac:dyDescent="0.25"/>
    <row r="93865" s="12" customFormat="1" x14ac:dyDescent="0.25"/>
    <row r="93866" s="12" customFormat="1" x14ac:dyDescent="0.25"/>
    <row r="93867" s="12" customFormat="1" x14ac:dyDescent="0.25"/>
    <row r="93868" s="12" customFormat="1" x14ac:dyDescent="0.25"/>
    <row r="93869" s="12" customFormat="1" x14ac:dyDescent="0.25"/>
    <row r="93870" s="12" customFormat="1" x14ac:dyDescent="0.25"/>
    <row r="93871" s="12" customFormat="1" x14ac:dyDescent="0.25"/>
    <row r="93872" s="12" customFormat="1" x14ac:dyDescent="0.25"/>
    <row r="93873" s="12" customFormat="1" x14ac:dyDescent="0.25"/>
    <row r="93874" s="12" customFormat="1" x14ac:dyDescent="0.25"/>
    <row r="93875" s="12" customFormat="1" x14ac:dyDescent="0.25"/>
    <row r="93876" s="12" customFormat="1" x14ac:dyDescent="0.25"/>
    <row r="93877" s="12" customFormat="1" x14ac:dyDescent="0.25"/>
    <row r="93878" s="12" customFormat="1" x14ac:dyDescent="0.25"/>
    <row r="93879" s="12" customFormat="1" x14ac:dyDescent="0.25"/>
    <row r="93880" s="12" customFormat="1" x14ac:dyDescent="0.25"/>
    <row r="93881" s="12" customFormat="1" x14ac:dyDescent="0.25"/>
    <row r="93882" s="12" customFormat="1" x14ac:dyDescent="0.25"/>
    <row r="93883" s="12" customFormat="1" x14ac:dyDescent="0.25"/>
    <row r="93884" s="12" customFormat="1" x14ac:dyDescent="0.25"/>
    <row r="93885" s="12" customFormat="1" x14ac:dyDescent="0.25"/>
    <row r="93886" s="12" customFormat="1" x14ac:dyDescent="0.25"/>
    <row r="93887" s="12" customFormat="1" x14ac:dyDescent="0.25"/>
    <row r="93888" s="12" customFormat="1" x14ac:dyDescent="0.25"/>
    <row r="93889" s="12" customFormat="1" x14ac:dyDescent="0.25"/>
    <row r="93890" s="12" customFormat="1" x14ac:dyDescent="0.25"/>
    <row r="93891" s="12" customFormat="1" x14ac:dyDescent="0.25"/>
    <row r="93892" s="12" customFormat="1" x14ac:dyDescent="0.25"/>
    <row r="93893" s="12" customFormat="1" x14ac:dyDescent="0.25"/>
    <row r="93894" s="12" customFormat="1" x14ac:dyDescent="0.25"/>
    <row r="93895" s="12" customFormat="1" x14ac:dyDescent="0.25"/>
    <row r="93896" s="12" customFormat="1" x14ac:dyDescent="0.25"/>
    <row r="93897" s="12" customFormat="1" x14ac:dyDescent="0.25"/>
    <row r="93898" s="12" customFormat="1" x14ac:dyDescent="0.25"/>
    <row r="93899" s="12" customFormat="1" x14ac:dyDescent="0.25"/>
    <row r="93900" s="12" customFormat="1" x14ac:dyDescent="0.25"/>
    <row r="93901" s="12" customFormat="1" x14ac:dyDescent="0.25"/>
    <row r="93902" s="12" customFormat="1" x14ac:dyDescent="0.25"/>
    <row r="93903" s="12" customFormat="1" x14ac:dyDescent="0.25"/>
    <row r="93904" s="12" customFormat="1" x14ac:dyDescent="0.25"/>
    <row r="93905" s="12" customFormat="1" x14ac:dyDescent="0.25"/>
    <row r="93906" s="12" customFormat="1" x14ac:dyDescent="0.25"/>
    <row r="93907" s="12" customFormat="1" x14ac:dyDescent="0.25"/>
    <row r="93908" s="12" customFormat="1" x14ac:dyDescent="0.25"/>
    <row r="93909" s="12" customFormat="1" x14ac:dyDescent="0.25"/>
    <row r="93910" s="12" customFormat="1" x14ac:dyDescent="0.25"/>
    <row r="93911" s="12" customFormat="1" x14ac:dyDescent="0.25"/>
    <row r="93912" s="12" customFormat="1" x14ac:dyDescent="0.25"/>
    <row r="93913" s="12" customFormat="1" x14ac:dyDescent="0.25"/>
    <row r="93914" s="12" customFormat="1" x14ac:dyDescent="0.25"/>
    <row r="93915" s="12" customFormat="1" x14ac:dyDescent="0.25"/>
    <row r="93916" s="12" customFormat="1" x14ac:dyDescent="0.25"/>
    <row r="93917" s="12" customFormat="1" x14ac:dyDescent="0.25"/>
    <row r="93918" s="12" customFormat="1" x14ac:dyDescent="0.25"/>
    <row r="93919" s="12" customFormat="1" x14ac:dyDescent="0.25"/>
    <row r="93920" s="12" customFormat="1" x14ac:dyDescent="0.25"/>
    <row r="93921" s="12" customFormat="1" x14ac:dyDescent="0.25"/>
    <row r="93922" s="12" customFormat="1" x14ac:dyDescent="0.25"/>
    <row r="93923" s="12" customFormat="1" x14ac:dyDescent="0.25"/>
    <row r="93924" s="12" customFormat="1" x14ac:dyDescent="0.25"/>
    <row r="93925" s="12" customFormat="1" x14ac:dyDescent="0.25"/>
    <row r="93926" s="12" customFormat="1" x14ac:dyDescent="0.25"/>
    <row r="93927" s="12" customFormat="1" x14ac:dyDescent="0.25"/>
    <row r="93928" s="12" customFormat="1" x14ac:dyDescent="0.25"/>
    <row r="93929" s="12" customFormat="1" x14ac:dyDescent="0.25"/>
    <row r="93930" s="12" customFormat="1" x14ac:dyDescent="0.25"/>
    <row r="93931" s="12" customFormat="1" x14ac:dyDescent="0.25"/>
    <row r="93932" s="12" customFormat="1" x14ac:dyDescent="0.25"/>
    <row r="93933" s="12" customFormat="1" x14ac:dyDescent="0.25"/>
    <row r="93934" s="12" customFormat="1" x14ac:dyDescent="0.25"/>
    <row r="93935" s="12" customFormat="1" x14ac:dyDescent="0.25"/>
    <row r="93936" s="12" customFormat="1" x14ac:dyDescent="0.25"/>
    <row r="93937" s="12" customFormat="1" x14ac:dyDescent="0.25"/>
    <row r="93938" s="12" customFormat="1" x14ac:dyDescent="0.25"/>
    <row r="93939" s="12" customFormat="1" x14ac:dyDescent="0.25"/>
    <row r="93940" s="12" customFormat="1" x14ac:dyDescent="0.25"/>
    <row r="93941" s="12" customFormat="1" x14ac:dyDescent="0.25"/>
    <row r="93942" s="12" customFormat="1" x14ac:dyDescent="0.25"/>
    <row r="93943" s="12" customFormat="1" x14ac:dyDescent="0.25"/>
    <row r="93944" s="12" customFormat="1" x14ac:dyDescent="0.25"/>
    <row r="93945" s="12" customFormat="1" x14ac:dyDescent="0.25"/>
    <row r="93946" s="12" customFormat="1" x14ac:dyDescent="0.25"/>
    <row r="93947" s="12" customFormat="1" x14ac:dyDescent="0.25"/>
    <row r="93948" s="12" customFormat="1" x14ac:dyDescent="0.25"/>
    <row r="93949" s="12" customFormat="1" x14ac:dyDescent="0.25"/>
    <row r="93950" s="12" customFormat="1" x14ac:dyDescent="0.25"/>
    <row r="93951" s="12" customFormat="1" x14ac:dyDescent="0.25"/>
    <row r="93952" s="12" customFormat="1" x14ac:dyDescent="0.25"/>
    <row r="93953" s="12" customFormat="1" x14ac:dyDescent="0.25"/>
    <row r="93954" s="12" customFormat="1" x14ac:dyDescent="0.25"/>
    <row r="93955" s="12" customFormat="1" x14ac:dyDescent="0.25"/>
    <row r="93956" s="12" customFormat="1" x14ac:dyDescent="0.25"/>
    <row r="93957" s="12" customFormat="1" x14ac:dyDescent="0.25"/>
    <row r="93958" s="12" customFormat="1" x14ac:dyDescent="0.25"/>
    <row r="93959" s="12" customFormat="1" x14ac:dyDescent="0.25"/>
    <row r="93960" s="12" customFormat="1" x14ac:dyDescent="0.25"/>
    <row r="93961" s="12" customFormat="1" x14ac:dyDescent="0.25"/>
    <row r="93962" s="12" customFormat="1" x14ac:dyDescent="0.25"/>
    <row r="93963" s="12" customFormat="1" x14ac:dyDescent="0.25"/>
    <row r="93964" s="12" customFormat="1" x14ac:dyDescent="0.25"/>
    <row r="93965" s="12" customFormat="1" x14ac:dyDescent="0.25"/>
    <row r="93966" s="12" customFormat="1" x14ac:dyDescent="0.25"/>
    <row r="93967" s="12" customFormat="1" x14ac:dyDescent="0.25"/>
    <row r="93968" s="12" customFormat="1" x14ac:dyDescent="0.25"/>
    <row r="93969" s="12" customFormat="1" x14ac:dyDescent="0.25"/>
    <row r="93970" s="12" customFormat="1" x14ac:dyDescent="0.25"/>
    <row r="93971" s="12" customFormat="1" x14ac:dyDescent="0.25"/>
    <row r="93972" s="12" customFormat="1" x14ac:dyDescent="0.25"/>
    <row r="93973" s="12" customFormat="1" x14ac:dyDescent="0.25"/>
    <row r="93974" s="12" customFormat="1" x14ac:dyDescent="0.25"/>
    <row r="93975" s="12" customFormat="1" x14ac:dyDescent="0.25"/>
    <row r="93976" s="12" customFormat="1" x14ac:dyDescent="0.25"/>
    <row r="93977" s="12" customFormat="1" x14ac:dyDescent="0.25"/>
    <row r="93978" s="12" customFormat="1" x14ac:dyDescent="0.25"/>
    <row r="93979" s="12" customFormat="1" x14ac:dyDescent="0.25"/>
    <row r="93980" s="12" customFormat="1" x14ac:dyDescent="0.25"/>
    <row r="93981" s="12" customFormat="1" x14ac:dyDescent="0.25"/>
    <row r="93982" s="12" customFormat="1" x14ac:dyDescent="0.25"/>
    <row r="93983" s="12" customFormat="1" x14ac:dyDescent="0.25"/>
    <row r="93984" s="12" customFormat="1" x14ac:dyDescent="0.25"/>
    <row r="93985" s="12" customFormat="1" x14ac:dyDescent="0.25"/>
    <row r="93986" s="12" customFormat="1" x14ac:dyDescent="0.25"/>
    <row r="93987" s="12" customFormat="1" x14ac:dyDescent="0.25"/>
    <row r="93988" s="12" customFormat="1" x14ac:dyDescent="0.25"/>
    <row r="93989" s="12" customFormat="1" x14ac:dyDescent="0.25"/>
    <row r="93990" s="12" customFormat="1" x14ac:dyDescent="0.25"/>
    <row r="93991" s="12" customFormat="1" x14ac:dyDescent="0.25"/>
    <row r="93992" s="12" customFormat="1" x14ac:dyDescent="0.25"/>
    <row r="93993" s="12" customFormat="1" x14ac:dyDescent="0.25"/>
    <row r="93994" s="12" customFormat="1" x14ac:dyDescent="0.25"/>
    <row r="93995" s="12" customFormat="1" x14ac:dyDescent="0.25"/>
    <row r="93996" s="12" customFormat="1" x14ac:dyDescent="0.25"/>
    <row r="93997" s="12" customFormat="1" x14ac:dyDescent="0.25"/>
    <row r="93998" s="12" customFormat="1" x14ac:dyDescent="0.25"/>
    <row r="93999" s="12" customFormat="1" x14ac:dyDescent="0.25"/>
    <row r="94000" s="12" customFormat="1" x14ac:dyDescent="0.25"/>
    <row r="94001" s="12" customFormat="1" x14ac:dyDescent="0.25"/>
    <row r="94002" s="12" customFormat="1" x14ac:dyDescent="0.25"/>
    <row r="94003" s="12" customFormat="1" x14ac:dyDescent="0.25"/>
    <row r="94004" s="12" customFormat="1" x14ac:dyDescent="0.25"/>
    <row r="94005" s="12" customFormat="1" x14ac:dyDescent="0.25"/>
    <row r="94006" s="12" customFormat="1" x14ac:dyDescent="0.25"/>
    <row r="94007" s="12" customFormat="1" x14ac:dyDescent="0.25"/>
    <row r="94008" s="12" customFormat="1" x14ac:dyDescent="0.25"/>
    <row r="94009" s="12" customFormat="1" x14ac:dyDescent="0.25"/>
    <row r="94010" s="12" customFormat="1" x14ac:dyDescent="0.25"/>
    <row r="94011" s="12" customFormat="1" x14ac:dyDescent="0.25"/>
    <row r="94012" s="12" customFormat="1" x14ac:dyDescent="0.25"/>
    <row r="94013" s="12" customFormat="1" x14ac:dyDescent="0.25"/>
    <row r="94014" s="12" customFormat="1" x14ac:dyDescent="0.25"/>
    <row r="94015" s="12" customFormat="1" x14ac:dyDescent="0.25"/>
    <row r="94016" s="12" customFormat="1" x14ac:dyDescent="0.25"/>
    <row r="94017" s="12" customFormat="1" x14ac:dyDescent="0.25"/>
    <row r="94018" s="12" customFormat="1" x14ac:dyDescent="0.25"/>
    <row r="94019" s="12" customFormat="1" x14ac:dyDescent="0.25"/>
    <row r="94020" s="12" customFormat="1" x14ac:dyDescent="0.25"/>
    <row r="94021" s="12" customFormat="1" x14ac:dyDescent="0.25"/>
    <row r="94022" s="12" customFormat="1" x14ac:dyDescent="0.25"/>
    <row r="94023" s="12" customFormat="1" x14ac:dyDescent="0.25"/>
    <row r="94024" s="12" customFormat="1" x14ac:dyDescent="0.25"/>
    <row r="94025" s="12" customFormat="1" x14ac:dyDescent="0.25"/>
    <row r="94026" s="12" customFormat="1" x14ac:dyDescent="0.25"/>
    <row r="94027" s="12" customFormat="1" x14ac:dyDescent="0.25"/>
    <row r="94028" s="12" customFormat="1" x14ac:dyDescent="0.25"/>
    <row r="94029" s="12" customFormat="1" x14ac:dyDescent="0.25"/>
    <row r="94030" s="12" customFormat="1" x14ac:dyDescent="0.25"/>
    <row r="94031" s="12" customFormat="1" x14ac:dyDescent="0.25"/>
    <row r="94032" s="12" customFormat="1" x14ac:dyDescent="0.25"/>
    <row r="94033" s="12" customFormat="1" x14ac:dyDescent="0.25"/>
    <row r="94034" s="12" customFormat="1" x14ac:dyDescent="0.25"/>
    <row r="94035" s="12" customFormat="1" x14ac:dyDescent="0.25"/>
    <row r="94036" s="12" customFormat="1" x14ac:dyDescent="0.25"/>
    <row r="94037" s="12" customFormat="1" x14ac:dyDescent="0.25"/>
    <row r="94038" s="12" customFormat="1" x14ac:dyDescent="0.25"/>
    <row r="94039" s="12" customFormat="1" x14ac:dyDescent="0.25"/>
    <row r="94040" s="12" customFormat="1" x14ac:dyDescent="0.25"/>
    <row r="94041" s="12" customFormat="1" x14ac:dyDescent="0.25"/>
    <row r="94042" s="12" customFormat="1" x14ac:dyDescent="0.25"/>
    <row r="94043" s="12" customFormat="1" x14ac:dyDescent="0.25"/>
    <row r="94044" s="12" customFormat="1" x14ac:dyDescent="0.25"/>
    <row r="94045" s="12" customFormat="1" x14ac:dyDescent="0.25"/>
    <row r="94046" s="12" customFormat="1" x14ac:dyDescent="0.25"/>
    <row r="94047" s="12" customFormat="1" x14ac:dyDescent="0.25"/>
    <row r="94048" s="12" customFormat="1" x14ac:dyDescent="0.25"/>
    <row r="94049" s="12" customFormat="1" x14ac:dyDescent="0.25"/>
    <row r="94050" s="12" customFormat="1" x14ac:dyDescent="0.25"/>
    <row r="94051" s="12" customFormat="1" x14ac:dyDescent="0.25"/>
    <row r="94052" s="12" customFormat="1" x14ac:dyDescent="0.25"/>
    <row r="94053" s="12" customFormat="1" x14ac:dyDescent="0.25"/>
    <row r="94054" s="12" customFormat="1" x14ac:dyDescent="0.25"/>
    <row r="94055" s="12" customFormat="1" x14ac:dyDescent="0.25"/>
    <row r="94056" s="12" customFormat="1" x14ac:dyDescent="0.25"/>
    <row r="94057" s="12" customFormat="1" x14ac:dyDescent="0.25"/>
    <row r="94058" s="12" customFormat="1" x14ac:dyDescent="0.25"/>
    <row r="94059" s="12" customFormat="1" x14ac:dyDescent="0.25"/>
    <row r="94060" s="12" customFormat="1" x14ac:dyDescent="0.25"/>
    <row r="94061" s="12" customFormat="1" x14ac:dyDescent="0.25"/>
    <row r="94062" s="12" customFormat="1" x14ac:dyDescent="0.25"/>
    <row r="94063" s="12" customFormat="1" x14ac:dyDescent="0.25"/>
    <row r="94064" s="12" customFormat="1" x14ac:dyDescent="0.25"/>
    <row r="94065" s="12" customFormat="1" x14ac:dyDescent="0.25"/>
    <row r="94066" s="12" customFormat="1" x14ac:dyDescent="0.25"/>
    <row r="94067" s="12" customFormat="1" x14ac:dyDescent="0.25"/>
    <row r="94068" s="12" customFormat="1" x14ac:dyDescent="0.25"/>
    <row r="94069" s="12" customFormat="1" x14ac:dyDescent="0.25"/>
    <row r="94070" s="12" customFormat="1" x14ac:dyDescent="0.25"/>
    <row r="94071" s="12" customFormat="1" x14ac:dyDescent="0.25"/>
    <row r="94072" s="12" customFormat="1" x14ac:dyDescent="0.25"/>
    <row r="94073" s="12" customFormat="1" x14ac:dyDescent="0.25"/>
    <row r="94074" s="12" customFormat="1" x14ac:dyDescent="0.25"/>
    <row r="94075" s="12" customFormat="1" x14ac:dyDescent="0.25"/>
    <row r="94076" s="12" customFormat="1" x14ac:dyDescent="0.25"/>
    <row r="94077" s="12" customFormat="1" x14ac:dyDescent="0.25"/>
    <row r="94078" s="12" customFormat="1" x14ac:dyDescent="0.25"/>
    <row r="94079" s="12" customFormat="1" x14ac:dyDescent="0.25"/>
    <row r="94080" s="12" customFormat="1" x14ac:dyDescent="0.25"/>
    <row r="94081" s="12" customFormat="1" x14ac:dyDescent="0.25"/>
    <row r="94082" s="12" customFormat="1" x14ac:dyDescent="0.25"/>
    <row r="94083" s="12" customFormat="1" x14ac:dyDescent="0.25"/>
    <row r="94084" s="12" customFormat="1" x14ac:dyDescent="0.25"/>
    <row r="94085" s="12" customFormat="1" x14ac:dyDescent="0.25"/>
    <row r="94086" s="12" customFormat="1" x14ac:dyDescent="0.25"/>
    <row r="94087" s="12" customFormat="1" x14ac:dyDescent="0.25"/>
    <row r="94088" s="12" customFormat="1" x14ac:dyDescent="0.25"/>
    <row r="94089" s="12" customFormat="1" x14ac:dyDescent="0.25"/>
    <row r="94090" s="12" customFormat="1" x14ac:dyDescent="0.25"/>
    <row r="94091" s="12" customFormat="1" x14ac:dyDescent="0.25"/>
    <row r="94092" s="12" customFormat="1" x14ac:dyDescent="0.25"/>
    <row r="94093" s="12" customFormat="1" x14ac:dyDescent="0.25"/>
    <row r="94094" s="12" customFormat="1" x14ac:dyDescent="0.25"/>
    <row r="94095" s="12" customFormat="1" x14ac:dyDescent="0.25"/>
    <row r="94096" s="12" customFormat="1" x14ac:dyDescent="0.25"/>
    <row r="94097" s="12" customFormat="1" x14ac:dyDescent="0.25"/>
    <row r="94098" s="12" customFormat="1" x14ac:dyDescent="0.25"/>
    <row r="94099" s="12" customFormat="1" x14ac:dyDescent="0.25"/>
    <row r="94100" s="12" customFormat="1" x14ac:dyDescent="0.25"/>
    <row r="94101" s="12" customFormat="1" x14ac:dyDescent="0.25"/>
    <row r="94102" s="12" customFormat="1" x14ac:dyDescent="0.25"/>
    <row r="94103" s="12" customFormat="1" x14ac:dyDescent="0.25"/>
    <row r="94104" s="12" customFormat="1" x14ac:dyDescent="0.25"/>
    <row r="94105" s="12" customFormat="1" x14ac:dyDescent="0.25"/>
    <row r="94106" s="12" customFormat="1" x14ac:dyDescent="0.25"/>
    <row r="94107" s="12" customFormat="1" x14ac:dyDescent="0.25"/>
    <row r="94108" s="12" customFormat="1" x14ac:dyDescent="0.25"/>
    <row r="94109" s="12" customFormat="1" x14ac:dyDescent="0.25"/>
    <row r="94110" s="12" customFormat="1" x14ac:dyDescent="0.25"/>
    <row r="94111" s="12" customFormat="1" x14ac:dyDescent="0.25"/>
    <row r="94112" s="12" customFormat="1" x14ac:dyDescent="0.25"/>
    <row r="94113" s="12" customFormat="1" x14ac:dyDescent="0.25"/>
    <row r="94114" s="12" customFormat="1" x14ac:dyDescent="0.25"/>
    <row r="94115" s="12" customFormat="1" x14ac:dyDescent="0.25"/>
    <row r="94116" s="12" customFormat="1" x14ac:dyDescent="0.25"/>
    <row r="94117" s="12" customFormat="1" x14ac:dyDescent="0.25"/>
    <row r="94118" s="12" customFormat="1" x14ac:dyDescent="0.25"/>
    <row r="94119" s="12" customFormat="1" x14ac:dyDescent="0.25"/>
    <row r="94120" s="12" customFormat="1" x14ac:dyDescent="0.25"/>
    <row r="94121" s="12" customFormat="1" x14ac:dyDescent="0.25"/>
    <row r="94122" s="12" customFormat="1" x14ac:dyDescent="0.25"/>
    <row r="94123" s="12" customFormat="1" x14ac:dyDescent="0.25"/>
    <row r="94124" s="12" customFormat="1" x14ac:dyDescent="0.25"/>
    <row r="94125" s="12" customFormat="1" x14ac:dyDescent="0.25"/>
    <row r="94126" s="12" customFormat="1" x14ac:dyDescent="0.25"/>
    <row r="94127" s="12" customFormat="1" x14ac:dyDescent="0.25"/>
    <row r="94128" s="12" customFormat="1" x14ac:dyDescent="0.25"/>
    <row r="94129" s="12" customFormat="1" x14ac:dyDescent="0.25"/>
    <row r="94130" s="12" customFormat="1" x14ac:dyDescent="0.25"/>
    <row r="94131" s="12" customFormat="1" x14ac:dyDescent="0.25"/>
    <row r="94132" s="12" customFormat="1" x14ac:dyDescent="0.25"/>
    <row r="94133" s="12" customFormat="1" x14ac:dyDescent="0.25"/>
    <row r="94134" s="12" customFormat="1" x14ac:dyDescent="0.25"/>
    <row r="94135" s="12" customFormat="1" x14ac:dyDescent="0.25"/>
    <row r="94136" s="12" customFormat="1" x14ac:dyDescent="0.25"/>
    <row r="94137" s="12" customFormat="1" x14ac:dyDescent="0.25"/>
    <row r="94138" s="12" customFormat="1" x14ac:dyDescent="0.25"/>
    <row r="94139" s="12" customFormat="1" x14ac:dyDescent="0.25"/>
    <row r="94140" s="12" customFormat="1" x14ac:dyDescent="0.25"/>
    <row r="94141" s="12" customFormat="1" x14ac:dyDescent="0.25"/>
    <row r="94142" s="12" customFormat="1" x14ac:dyDescent="0.25"/>
    <row r="94143" s="12" customFormat="1" x14ac:dyDescent="0.25"/>
    <row r="94144" s="12" customFormat="1" x14ac:dyDescent="0.25"/>
    <row r="94145" s="12" customFormat="1" x14ac:dyDescent="0.25"/>
    <row r="94146" s="12" customFormat="1" x14ac:dyDescent="0.25"/>
    <row r="94147" s="12" customFormat="1" x14ac:dyDescent="0.25"/>
    <row r="94148" s="12" customFormat="1" x14ac:dyDescent="0.25"/>
    <row r="94149" s="12" customFormat="1" x14ac:dyDescent="0.25"/>
    <row r="94150" s="12" customFormat="1" x14ac:dyDescent="0.25"/>
    <row r="94151" s="12" customFormat="1" x14ac:dyDescent="0.25"/>
    <row r="94152" s="12" customFormat="1" x14ac:dyDescent="0.25"/>
    <row r="94153" s="12" customFormat="1" x14ac:dyDescent="0.25"/>
    <row r="94154" s="12" customFormat="1" x14ac:dyDescent="0.25"/>
    <row r="94155" s="12" customFormat="1" x14ac:dyDescent="0.25"/>
    <row r="94156" s="12" customFormat="1" x14ac:dyDescent="0.25"/>
    <row r="94157" s="12" customFormat="1" x14ac:dyDescent="0.25"/>
    <row r="94158" s="12" customFormat="1" x14ac:dyDescent="0.25"/>
    <row r="94159" s="12" customFormat="1" x14ac:dyDescent="0.25"/>
    <row r="94160" s="12" customFormat="1" x14ac:dyDescent="0.25"/>
    <row r="94161" s="12" customFormat="1" x14ac:dyDescent="0.25"/>
    <row r="94162" s="12" customFormat="1" x14ac:dyDescent="0.25"/>
    <row r="94163" s="12" customFormat="1" x14ac:dyDescent="0.25"/>
    <row r="94164" s="12" customFormat="1" x14ac:dyDescent="0.25"/>
    <row r="94165" s="12" customFormat="1" x14ac:dyDescent="0.25"/>
    <row r="94166" s="12" customFormat="1" x14ac:dyDescent="0.25"/>
    <row r="94167" s="12" customFormat="1" x14ac:dyDescent="0.25"/>
    <row r="94168" s="12" customFormat="1" x14ac:dyDescent="0.25"/>
    <row r="94169" s="12" customFormat="1" x14ac:dyDescent="0.25"/>
    <row r="94170" s="12" customFormat="1" x14ac:dyDescent="0.25"/>
    <row r="94171" s="12" customFormat="1" x14ac:dyDescent="0.25"/>
    <row r="94172" s="12" customFormat="1" x14ac:dyDescent="0.25"/>
    <row r="94173" s="12" customFormat="1" x14ac:dyDescent="0.25"/>
    <row r="94174" s="12" customFormat="1" x14ac:dyDescent="0.25"/>
    <row r="94175" s="12" customFormat="1" x14ac:dyDescent="0.25"/>
    <row r="94176" s="12" customFormat="1" x14ac:dyDescent="0.25"/>
    <row r="94177" s="12" customFormat="1" x14ac:dyDescent="0.25"/>
    <row r="94178" s="12" customFormat="1" x14ac:dyDescent="0.25"/>
    <row r="94179" s="12" customFormat="1" x14ac:dyDescent="0.25"/>
    <row r="94180" s="12" customFormat="1" x14ac:dyDescent="0.25"/>
    <row r="94181" s="12" customFormat="1" x14ac:dyDescent="0.25"/>
    <row r="94182" s="12" customFormat="1" x14ac:dyDescent="0.25"/>
    <row r="94183" s="12" customFormat="1" x14ac:dyDescent="0.25"/>
    <row r="94184" s="12" customFormat="1" x14ac:dyDescent="0.25"/>
    <row r="94185" s="12" customFormat="1" x14ac:dyDescent="0.25"/>
    <row r="94186" s="12" customFormat="1" x14ac:dyDescent="0.25"/>
    <row r="94187" s="12" customFormat="1" x14ac:dyDescent="0.25"/>
    <row r="94188" s="12" customFormat="1" x14ac:dyDescent="0.25"/>
    <row r="94189" s="12" customFormat="1" x14ac:dyDescent="0.25"/>
    <row r="94190" s="12" customFormat="1" x14ac:dyDescent="0.25"/>
    <row r="94191" s="12" customFormat="1" x14ac:dyDescent="0.25"/>
    <row r="94192" s="12" customFormat="1" x14ac:dyDescent="0.25"/>
    <row r="94193" s="12" customFormat="1" x14ac:dyDescent="0.25"/>
    <row r="94194" s="12" customFormat="1" x14ac:dyDescent="0.25"/>
    <row r="94195" s="12" customFormat="1" x14ac:dyDescent="0.25"/>
    <row r="94196" s="12" customFormat="1" x14ac:dyDescent="0.25"/>
    <row r="94197" s="12" customFormat="1" x14ac:dyDescent="0.25"/>
    <row r="94198" s="12" customFormat="1" x14ac:dyDescent="0.25"/>
    <row r="94199" s="12" customFormat="1" x14ac:dyDescent="0.25"/>
    <row r="94200" s="12" customFormat="1" x14ac:dyDescent="0.25"/>
    <row r="94201" s="12" customFormat="1" x14ac:dyDescent="0.25"/>
    <row r="94202" s="12" customFormat="1" x14ac:dyDescent="0.25"/>
    <row r="94203" s="12" customFormat="1" x14ac:dyDescent="0.25"/>
    <row r="94204" s="12" customFormat="1" x14ac:dyDescent="0.25"/>
    <row r="94205" s="12" customFormat="1" x14ac:dyDescent="0.25"/>
    <row r="94206" s="12" customFormat="1" x14ac:dyDescent="0.25"/>
    <row r="94207" s="12" customFormat="1" x14ac:dyDescent="0.25"/>
    <row r="94208" s="12" customFormat="1" x14ac:dyDescent="0.25"/>
    <row r="94209" s="12" customFormat="1" x14ac:dyDescent="0.25"/>
    <row r="94210" s="12" customFormat="1" x14ac:dyDescent="0.25"/>
    <row r="94211" s="12" customFormat="1" x14ac:dyDescent="0.25"/>
    <row r="94212" s="12" customFormat="1" x14ac:dyDescent="0.25"/>
    <row r="94213" s="12" customFormat="1" x14ac:dyDescent="0.25"/>
    <row r="94214" s="12" customFormat="1" x14ac:dyDescent="0.25"/>
    <row r="94215" s="12" customFormat="1" x14ac:dyDescent="0.25"/>
    <row r="94216" s="12" customFormat="1" x14ac:dyDescent="0.25"/>
    <row r="94217" s="12" customFormat="1" x14ac:dyDescent="0.25"/>
    <row r="94218" s="12" customFormat="1" x14ac:dyDescent="0.25"/>
    <row r="94219" s="12" customFormat="1" x14ac:dyDescent="0.25"/>
    <row r="94220" s="12" customFormat="1" x14ac:dyDescent="0.25"/>
    <row r="94221" s="12" customFormat="1" x14ac:dyDescent="0.25"/>
    <row r="94222" s="12" customFormat="1" x14ac:dyDescent="0.25"/>
    <row r="94223" s="12" customFormat="1" x14ac:dyDescent="0.25"/>
    <row r="94224" s="12" customFormat="1" x14ac:dyDescent="0.25"/>
    <row r="94225" s="12" customFormat="1" x14ac:dyDescent="0.25"/>
    <row r="94226" s="12" customFormat="1" x14ac:dyDescent="0.25"/>
    <row r="94227" s="12" customFormat="1" x14ac:dyDescent="0.25"/>
    <row r="94228" s="12" customFormat="1" x14ac:dyDescent="0.25"/>
    <row r="94229" s="12" customFormat="1" x14ac:dyDescent="0.25"/>
    <row r="94230" s="12" customFormat="1" x14ac:dyDescent="0.25"/>
    <row r="94231" s="12" customFormat="1" x14ac:dyDescent="0.25"/>
    <row r="94232" s="12" customFormat="1" x14ac:dyDescent="0.25"/>
    <row r="94233" s="12" customFormat="1" x14ac:dyDescent="0.25"/>
    <row r="94234" s="12" customFormat="1" x14ac:dyDescent="0.25"/>
    <row r="94235" s="12" customFormat="1" x14ac:dyDescent="0.25"/>
    <row r="94236" s="12" customFormat="1" x14ac:dyDescent="0.25"/>
    <row r="94237" s="12" customFormat="1" x14ac:dyDescent="0.25"/>
    <row r="94238" s="12" customFormat="1" x14ac:dyDescent="0.25"/>
    <row r="94239" s="12" customFormat="1" x14ac:dyDescent="0.25"/>
    <row r="94240" s="12" customFormat="1" x14ac:dyDescent="0.25"/>
    <row r="94241" s="12" customFormat="1" x14ac:dyDescent="0.25"/>
    <row r="94242" s="12" customFormat="1" x14ac:dyDescent="0.25"/>
    <row r="94243" s="12" customFormat="1" x14ac:dyDescent="0.25"/>
    <row r="94244" s="12" customFormat="1" x14ac:dyDescent="0.25"/>
    <row r="94245" s="12" customFormat="1" x14ac:dyDescent="0.25"/>
    <row r="94246" s="12" customFormat="1" x14ac:dyDescent="0.25"/>
    <row r="94247" s="12" customFormat="1" x14ac:dyDescent="0.25"/>
    <row r="94248" s="12" customFormat="1" x14ac:dyDescent="0.25"/>
    <row r="94249" s="12" customFormat="1" x14ac:dyDescent="0.25"/>
    <row r="94250" s="12" customFormat="1" x14ac:dyDescent="0.25"/>
    <row r="94251" s="12" customFormat="1" x14ac:dyDescent="0.25"/>
    <row r="94252" s="12" customFormat="1" x14ac:dyDescent="0.25"/>
    <row r="94253" s="12" customFormat="1" x14ac:dyDescent="0.25"/>
    <row r="94254" s="12" customFormat="1" x14ac:dyDescent="0.25"/>
    <row r="94255" s="12" customFormat="1" x14ac:dyDescent="0.25"/>
    <row r="94256" s="12" customFormat="1" x14ac:dyDescent="0.25"/>
    <row r="94257" s="12" customFormat="1" x14ac:dyDescent="0.25"/>
    <row r="94258" s="12" customFormat="1" x14ac:dyDescent="0.25"/>
    <row r="94259" s="12" customFormat="1" x14ac:dyDescent="0.25"/>
    <row r="94260" s="12" customFormat="1" x14ac:dyDescent="0.25"/>
    <row r="94261" s="12" customFormat="1" x14ac:dyDescent="0.25"/>
    <row r="94262" s="12" customFormat="1" x14ac:dyDescent="0.25"/>
    <row r="94263" s="12" customFormat="1" x14ac:dyDescent="0.25"/>
    <row r="94264" s="12" customFormat="1" x14ac:dyDescent="0.25"/>
    <row r="94265" s="12" customFormat="1" x14ac:dyDescent="0.25"/>
    <row r="94266" s="12" customFormat="1" x14ac:dyDescent="0.25"/>
    <row r="94267" s="12" customFormat="1" x14ac:dyDescent="0.25"/>
    <row r="94268" s="12" customFormat="1" x14ac:dyDescent="0.25"/>
    <row r="94269" s="12" customFormat="1" x14ac:dyDescent="0.25"/>
    <row r="94270" s="12" customFormat="1" x14ac:dyDescent="0.25"/>
    <row r="94271" s="12" customFormat="1" x14ac:dyDescent="0.25"/>
    <row r="94272" s="12" customFormat="1" x14ac:dyDescent="0.25"/>
    <row r="94273" s="12" customFormat="1" x14ac:dyDescent="0.25"/>
    <row r="94274" s="12" customFormat="1" x14ac:dyDescent="0.25"/>
    <row r="94275" s="12" customFormat="1" x14ac:dyDescent="0.25"/>
    <row r="94276" s="12" customFormat="1" x14ac:dyDescent="0.25"/>
    <row r="94277" s="12" customFormat="1" x14ac:dyDescent="0.25"/>
    <row r="94278" s="12" customFormat="1" x14ac:dyDescent="0.25"/>
    <row r="94279" s="12" customFormat="1" x14ac:dyDescent="0.25"/>
    <row r="94280" s="12" customFormat="1" x14ac:dyDescent="0.25"/>
    <row r="94281" s="12" customFormat="1" x14ac:dyDescent="0.25"/>
    <row r="94282" s="12" customFormat="1" x14ac:dyDescent="0.25"/>
    <row r="94283" s="12" customFormat="1" x14ac:dyDescent="0.25"/>
    <row r="94284" s="12" customFormat="1" x14ac:dyDescent="0.25"/>
    <row r="94285" s="12" customFormat="1" x14ac:dyDescent="0.25"/>
    <row r="94286" s="12" customFormat="1" x14ac:dyDescent="0.25"/>
    <row r="94287" s="12" customFormat="1" x14ac:dyDescent="0.25"/>
    <row r="94288" s="12" customFormat="1" x14ac:dyDescent="0.25"/>
    <row r="94289" s="12" customFormat="1" x14ac:dyDescent="0.25"/>
    <row r="94290" s="12" customFormat="1" x14ac:dyDescent="0.25"/>
    <row r="94291" s="12" customFormat="1" x14ac:dyDescent="0.25"/>
    <row r="94292" s="12" customFormat="1" x14ac:dyDescent="0.25"/>
    <row r="94293" s="12" customFormat="1" x14ac:dyDescent="0.25"/>
    <row r="94294" s="12" customFormat="1" x14ac:dyDescent="0.25"/>
    <row r="94295" s="12" customFormat="1" x14ac:dyDescent="0.25"/>
    <row r="94296" s="12" customFormat="1" x14ac:dyDescent="0.25"/>
    <row r="94297" s="12" customFormat="1" x14ac:dyDescent="0.25"/>
    <row r="94298" s="12" customFormat="1" x14ac:dyDescent="0.25"/>
    <row r="94299" s="12" customFormat="1" x14ac:dyDescent="0.25"/>
    <row r="94300" s="12" customFormat="1" x14ac:dyDescent="0.25"/>
    <row r="94301" s="12" customFormat="1" x14ac:dyDescent="0.25"/>
    <row r="94302" s="12" customFormat="1" x14ac:dyDescent="0.25"/>
    <row r="94303" s="12" customFormat="1" x14ac:dyDescent="0.25"/>
    <row r="94304" s="12" customFormat="1" x14ac:dyDescent="0.25"/>
    <row r="94305" s="12" customFormat="1" x14ac:dyDescent="0.25"/>
    <row r="94306" s="12" customFormat="1" x14ac:dyDescent="0.25"/>
    <row r="94307" s="12" customFormat="1" x14ac:dyDescent="0.25"/>
    <row r="94308" s="12" customFormat="1" x14ac:dyDescent="0.25"/>
    <row r="94309" s="12" customFormat="1" x14ac:dyDescent="0.25"/>
    <row r="94310" s="12" customFormat="1" x14ac:dyDescent="0.25"/>
    <row r="94311" s="12" customFormat="1" x14ac:dyDescent="0.25"/>
    <row r="94312" s="12" customFormat="1" x14ac:dyDescent="0.25"/>
    <row r="94313" s="12" customFormat="1" x14ac:dyDescent="0.25"/>
    <row r="94314" s="12" customFormat="1" x14ac:dyDescent="0.25"/>
    <row r="94315" s="12" customFormat="1" x14ac:dyDescent="0.25"/>
    <row r="94316" s="12" customFormat="1" x14ac:dyDescent="0.25"/>
    <row r="94317" s="12" customFormat="1" x14ac:dyDescent="0.25"/>
    <row r="94318" s="12" customFormat="1" x14ac:dyDescent="0.25"/>
    <row r="94319" s="12" customFormat="1" x14ac:dyDescent="0.25"/>
    <row r="94320" s="12" customFormat="1" x14ac:dyDescent="0.25"/>
    <row r="94321" s="12" customFormat="1" x14ac:dyDescent="0.25"/>
    <row r="94322" s="12" customFormat="1" x14ac:dyDescent="0.25"/>
    <row r="94323" s="12" customFormat="1" x14ac:dyDescent="0.25"/>
    <row r="94324" s="12" customFormat="1" x14ac:dyDescent="0.25"/>
    <row r="94325" s="12" customFormat="1" x14ac:dyDescent="0.25"/>
    <row r="94326" s="12" customFormat="1" x14ac:dyDescent="0.25"/>
    <row r="94327" s="12" customFormat="1" x14ac:dyDescent="0.25"/>
    <row r="94328" s="12" customFormat="1" x14ac:dyDescent="0.25"/>
    <row r="94329" s="12" customFormat="1" x14ac:dyDescent="0.25"/>
    <row r="94330" s="12" customFormat="1" x14ac:dyDescent="0.25"/>
    <row r="94331" s="12" customFormat="1" x14ac:dyDescent="0.25"/>
    <row r="94332" s="12" customFormat="1" x14ac:dyDescent="0.25"/>
    <row r="94333" s="12" customFormat="1" x14ac:dyDescent="0.25"/>
    <row r="94334" s="12" customFormat="1" x14ac:dyDescent="0.25"/>
    <row r="94335" s="12" customFormat="1" x14ac:dyDescent="0.25"/>
    <row r="94336" s="12" customFormat="1" x14ac:dyDescent="0.25"/>
    <row r="94337" s="12" customFormat="1" x14ac:dyDescent="0.25"/>
    <row r="94338" s="12" customFormat="1" x14ac:dyDescent="0.25"/>
    <row r="94339" s="12" customFormat="1" x14ac:dyDescent="0.25"/>
    <row r="94340" s="12" customFormat="1" x14ac:dyDescent="0.25"/>
    <row r="94341" s="12" customFormat="1" x14ac:dyDescent="0.25"/>
    <row r="94342" s="12" customFormat="1" x14ac:dyDescent="0.25"/>
    <row r="94343" s="12" customFormat="1" x14ac:dyDescent="0.25"/>
    <row r="94344" s="12" customFormat="1" x14ac:dyDescent="0.25"/>
    <row r="94345" s="12" customFormat="1" x14ac:dyDescent="0.25"/>
    <row r="94346" s="12" customFormat="1" x14ac:dyDescent="0.25"/>
    <row r="94347" s="12" customFormat="1" x14ac:dyDescent="0.25"/>
    <row r="94348" s="12" customFormat="1" x14ac:dyDescent="0.25"/>
    <row r="94349" s="12" customFormat="1" x14ac:dyDescent="0.25"/>
    <row r="94350" s="12" customFormat="1" x14ac:dyDescent="0.25"/>
    <row r="94351" s="12" customFormat="1" x14ac:dyDescent="0.25"/>
    <row r="94352" s="12" customFormat="1" x14ac:dyDescent="0.25"/>
    <row r="94353" s="12" customFormat="1" x14ac:dyDescent="0.25"/>
    <row r="94354" s="12" customFormat="1" x14ac:dyDescent="0.25"/>
    <row r="94355" s="12" customFormat="1" x14ac:dyDescent="0.25"/>
    <row r="94356" s="12" customFormat="1" x14ac:dyDescent="0.25"/>
    <row r="94357" s="12" customFormat="1" x14ac:dyDescent="0.25"/>
    <row r="94358" s="12" customFormat="1" x14ac:dyDescent="0.25"/>
    <row r="94359" s="12" customFormat="1" x14ac:dyDescent="0.25"/>
    <row r="94360" s="12" customFormat="1" x14ac:dyDescent="0.25"/>
    <row r="94361" s="12" customFormat="1" x14ac:dyDescent="0.25"/>
    <row r="94362" s="12" customFormat="1" x14ac:dyDescent="0.25"/>
    <row r="94363" s="12" customFormat="1" x14ac:dyDescent="0.25"/>
    <row r="94364" s="12" customFormat="1" x14ac:dyDescent="0.25"/>
    <row r="94365" s="12" customFormat="1" x14ac:dyDescent="0.25"/>
    <row r="94366" s="12" customFormat="1" x14ac:dyDescent="0.25"/>
    <row r="94367" s="12" customFormat="1" x14ac:dyDescent="0.25"/>
    <row r="94368" s="12" customFormat="1" x14ac:dyDescent="0.25"/>
    <row r="94369" s="12" customFormat="1" x14ac:dyDescent="0.25"/>
    <row r="94370" s="12" customFormat="1" x14ac:dyDescent="0.25"/>
    <row r="94371" s="12" customFormat="1" x14ac:dyDescent="0.25"/>
    <row r="94372" s="12" customFormat="1" x14ac:dyDescent="0.25"/>
    <row r="94373" s="12" customFormat="1" x14ac:dyDescent="0.25"/>
    <row r="94374" s="12" customFormat="1" x14ac:dyDescent="0.25"/>
    <row r="94375" s="12" customFormat="1" x14ac:dyDescent="0.25"/>
    <row r="94376" s="12" customFormat="1" x14ac:dyDescent="0.25"/>
    <row r="94377" s="12" customFormat="1" x14ac:dyDescent="0.25"/>
    <row r="94378" s="12" customFormat="1" x14ac:dyDescent="0.25"/>
    <row r="94379" s="12" customFormat="1" x14ac:dyDescent="0.25"/>
    <row r="94380" s="12" customFormat="1" x14ac:dyDescent="0.25"/>
    <row r="94381" s="12" customFormat="1" x14ac:dyDescent="0.25"/>
    <row r="94382" s="12" customFormat="1" x14ac:dyDescent="0.25"/>
    <row r="94383" s="12" customFormat="1" x14ac:dyDescent="0.25"/>
    <row r="94384" s="12" customFormat="1" x14ac:dyDescent="0.25"/>
    <row r="94385" s="12" customFormat="1" x14ac:dyDescent="0.25"/>
    <row r="94386" s="12" customFormat="1" x14ac:dyDescent="0.25"/>
    <row r="94387" s="12" customFormat="1" x14ac:dyDescent="0.25"/>
    <row r="94388" s="12" customFormat="1" x14ac:dyDescent="0.25"/>
    <row r="94389" s="12" customFormat="1" x14ac:dyDescent="0.25"/>
    <row r="94390" s="12" customFormat="1" x14ac:dyDescent="0.25"/>
    <row r="94391" s="12" customFormat="1" x14ac:dyDescent="0.25"/>
    <row r="94392" s="12" customFormat="1" x14ac:dyDescent="0.25"/>
    <row r="94393" s="12" customFormat="1" x14ac:dyDescent="0.25"/>
    <row r="94394" s="12" customFormat="1" x14ac:dyDescent="0.25"/>
    <row r="94395" s="12" customFormat="1" x14ac:dyDescent="0.25"/>
    <row r="94396" s="12" customFormat="1" x14ac:dyDescent="0.25"/>
    <row r="94397" s="12" customFormat="1" x14ac:dyDescent="0.25"/>
    <row r="94398" s="12" customFormat="1" x14ac:dyDescent="0.25"/>
    <row r="94399" s="12" customFormat="1" x14ac:dyDescent="0.25"/>
    <row r="94400" s="12" customFormat="1" x14ac:dyDescent="0.25"/>
    <row r="94401" s="12" customFormat="1" x14ac:dyDescent="0.25"/>
    <row r="94402" s="12" customFormat="1" x14ac:dyDescent="0.25"/>
    <row r="94403" s="12" customFormat="1" x14ac:dyDescent="0.25"/>
    <row r="94404" s="12" customFormat="1" x14ac:dyDescent="0.25"/>
    <row r="94405" s="12" customFormat="1" x14ac:dyDescent="0.25"/>
    <row r="94406" s="12" customFormat="1" x14ac:dyDescent="0.25"/>
    <row r="94407" s="12" customFormat="1" x14ac:dyDescent="0.25"/>
    <row r="94408" s="12" customFormat="1" x14ac:dyDescent="0.25"/>
    <row r="94409" s="12" customFormat="1" x14ac:dyDescent="0.25"/>
    <row r="94410" s="12" customFormat="1" x14ac:dyDescent="0.25"/>
    <row r="94411" s="12" customFormat="1" x14ac:dyDescent="0.25"/>
    <row r="94412" s="12" customFormat="1" x14ac:dyDescent="0.25"/>
    <row r="94413" s="12" customFormat="1" x14ac:dyDescent="0.25"/>
    <row r="94414" s="12" customFormat="1" x14ac:dyDescent="0.25"/>
    <row r="94415" s="12" customFormat="1" x14ac:dyDescent="0.25"/>
    <row r="94416" s="12" customFormat="1" x14ac:dyDescent="0.25"/>
    <row r="94417" s="12" customFormat="1" x14ac:dyDescent="0.25"/>
    <row r="94418" s="12" customFormat="1" x14ac:dyDescent="0.25"/>
    <row r="94419" s="12" customFormat="1" x14ac:dyDescent="0.25"/>
    <row r="94420" s="12" customFormat="1" x14ac:dyDescent="0.25"/>
    <row r="94421" s="12" customFormat="1" x14ac:dyDescent="0.25"/>
    <row r="94422" s="12" customFormat="1" x14ac:dyDescent="0.25"/>
    <row r="94423" s="12" customFormat="1" x14ac:dyDescent="0.25"/>
    <row r="94424" s="12" customFormat="1" x14ac:dyDescent="0.25"/>
    <row r="94425" s="12" customFormat="1" x14ac:dyDescent="0.25"/>
    <row r="94426" s="12" customFormat="1" x14ac:dyDescent="0.25"/>
    <row r="94427" s="12" customFormat="1" x14ac:dyDescent="0.25"/>
    <row r="94428" s="12" customFormat="1" x14ac:dyDescent="0.25"/>
    <row r="94429" s="12" customFormat="1" x14ac:dyDescent="0.25"/>
    <row r="94430" s="12" customFormat="1" x14ac:dyDescent="0.25"/>
    <row r="94431" s="12" customFormat="1" x14ac:dyDescent="0.25"/>
    <row r="94432" s="12" customFormat="1" x14ac:dyDescent="0.25"/>
    <row r="94433" s="12" customFormat="1" x14ac:dyDescent="0.25"/>
    <row r="94434" s="12" customFormat="1" x14ac:dyDescent="0.25"/>
    <row r="94435" s="12" customFormat="1" x14ac:dyDescent="0.25"/>
    <row r="94436" s="12" customFormat="1" x14ac:dyDescent="0.25"/>
    <row r="94437" s="12" customFormat="1" x14ac:dyDescent="0.25"/>
    <row r="94438" s="12" customFormat="1" x14ac:dyDescent="0.25"/>
    <row r="94439" s="12" customFormat="1" x14ac:dyDescent="0.25"/>
    <row r="94440" s="12" customFormat="1" x14ac:dyDescent="0.25"/>
    <row r="94441" s="12" customFormat="1" x14ac:dyDescent="0.25"/>
    <row r="94442" s="12" customFormat="1" x14ac:dyDescent="0.25"/>
    <row r="94443" s="12" customFormat="1" x14ac:dyDescent="0.25"/>
    <row r="94444" s="12" customFormat="1" x14ac:dyDescent="0.25"/>
    <row r="94445" s="12" customFormat="1" x14ac:dyDescent="0.25"/>
    <row r="94446" s="12" customFormat="1" x14ac:dyDescent="0.25"/>
    <row r="94447" s="12" customFormat="1" x14ac:dyDescent="0.25"/>
    <row r="94448" s="12" customFormat="1" x14ac:dyDescent="0.25"/>
    <row r="94449" s="12" customFormat="1" x14ac:dyDescent="0.25"/>
    <row r="94450" s="12" customFormat="1" x14ac:dyDescent="0.25"/>
    <row r="94451" s="12" customFormat="1" x14ac:dyDescent="0.25"/>
    <row r="94452" s="12" customFormat="1" x14ac:dyDescent="0.25"/>
    <row r="94453" s="12" customFormat="1" x14ac:dyDescent="0.25"/>
    <row r="94454" s="12" customFormat="1" x14ac:dyDescent="0.25"/>
    <row r="94455" s="12" customFormat="1" x14ac:dyDescent="0.25"/>
    <row r="94456" s="12" customFormat="1" x14ac:dyDescent="0.25"/>
    <row r="94457" s="12" customFormat="1" x14ac:dyDescent="0.25"/>
    <row r="94458" s="12" customFormat="1" x14ac:dyDescent="0.25"/>
    <row r="94459" s="12" customFormat="1" x14ac:dyDescent="0.25"/>
    <row r="94460" s="12" customFormat="1" x14ac:dyDescent="0.25"/>
    <row r="94461" s="12" customFormat="1" x14ac:dyDescent="0.25"/>
    <row r="94462" s="12" customFormat="1" x14ac:dyDescent="0.25"/>
    <row r="94463" s="12" customFormat="1" x14ac:dyDescent="0.25"/>
    <row r="94464" s="12" customFormat="1" x14ac:dyDescent="0.25"/>
    <row r="94465" s="12" customFormat="1" x14ac:dyDescent="0.25"/>
    <row r="94466" s="12" customFormat="1" x14ac:dyDescent="0.25"/>
    <row r="94467" s="12" customFormat="1" x14ac:dyDescent="0.25"/>
    <row r="94468" s="12" customFormat="1" x14ac:dyDescent="0.25"/>
    <row r="94469" s="12" customFormat="1" x14ac:dyDescent="0.25"/>
    <row r="94470" s="12" customFormat="1" x14ac:dyDescent="0.25"/>
    <row r="94471" s="12" customFormat="1" x14ac:dyDescent="0.25"/>
    <row r="94472" s="12" customFormat="1" x14ac:dyDescent="0.25"/>
    <row r="94473" s="12" customFormat="1" x14ac:dyDescent="0.25"/>
    <row r="94474" s="12" customFormat="1" x14ac:dyDescent="0.25"/>
    <row r="94475" s="12" customFormat="1" x14ac:dyDescent="0.25"/>
    <row r="94476" s="12" customFormat="1" x14ac:dyDescent="0.25"/>
    <row r="94477" s="12" customFormat="1" x14ac:dyDescent="0.25"/>
    <row r="94478" s="12" customFormat="1" x14ac:dyDescent="0.25"/>
    <row r="94479" s="12" customFormat="1" x14ac:dyDescent="0.25"/>
    <row r="94480" s="12" customFormat="1" x14ac:dyDescent="0.25"/>
    <row r="94481" s="12" customFormat="1" x14ac:dyDescent="0.25"/>
    <row r="94482" s="12" customFormat="1" x14ac:dyDescent="0.25"/>
    <row r="94483" s="12" customFormat="1" x14ac:dyDescent="0.25"/>
    <row r="94484" s="12" customFormat="1" x14ac:dyDescent="0.25"/>
    <row r="94485" s="12" customFormat="1" x14ac:dyDescent="0.25"/>
    <row r="94486" s="12" customFormat="1" x14ac:dyDescent="0.25"/>
    <row r="94487" s="12" customFormat="1" x14ac:dyDescent="0.25"/>
    <row r="94488" s="12" customFormat="1" x14ac:dyDescent="0.25"/>
    <row r="94489" s="12" customFormat="1" x14ac:dyDescent="0.25"/>
    <row r="94490" s="12" customFormat="1" x14ac:dyDescent="0.25"/>
    <row r="94491" s="12" customFormat="1" x14ac:dyDescent="0.25"/>
    <row r="94492" s="12" customFormat="1" x14ac:dyDescent="0.25"/>
    <row r="94493" s="12" customFormat="1" x14ac:dyDescent="0.25"/>
    <row r="94494" s="12" customFormat="1" x14ac:dyDescent="0.25"/>
    <row r="94495" s="12" customFormat="1" x14ac:dyDescent="0.25"/>
    <row r="94496" s="12" customFormat="1" x14ac:dyDescent="0.25"/>
    <row r="94497" s="12" customFormat="1" x14ac:dyDescent="0.25"/>
    <row r="94498" s="12" customFormat="1" x14ac:dyDescent="0.25"/>
    <row r="94499" s="12" customFormat="1" x14ac:dyDescent="0.25"/>
    <row r="94500" s="12" customFormat="1" x14ac:dyDescent="0.25"/>
    <row r="94501" s="12" customFormat="1" x14ac:dyDescent="0.25"/>
    <row r="94502" s="12" customFormat="1" x14ac:dyDescent="0.25"/>
    <row r="94503" s="12" customFormat="1" x14ac:dyDescent="0.25"/>
    <row r="94504" s="12" customFormat="1" x14ac:dyDescent="0.25"/>
    <row r="94505" s="12" customFormat="1" x14ac:dyDescent="0.25"/>
    <row r="94506" s="12" customFormat="1" x14ac:dyDescent="0.25"/>
    <row r="94507" s="12" customFormat="1" x14ac:dyDescent="0.25"/>
    <row r="94508" s="12" customFormat="1" x14ac:dyDescent="0.25"/>
    <row r="94509" s="12" customFormat="1" x14ac:dyDescent="0.25"/>
    <row r="94510" s="12" customFormat="1" x14ac:dyDescent="0.25"/>
    <row r="94511" s="12" customFormat="1" x14ac:dyDescent="0.25"/>
    <row r="94512" s="12" customFormat="1" x14ac:dyDescent="0.25"/>
    <row r="94513" s="12" customFormat="1" x14ac:dyDescent="0.25"/>
    <row r="94514" s="12" customFormat="1" x14ac:dyDescent="0.25"/>
    <row r="94515" s="12" customFormat="1" x14ac:dyDescent="0.25"/>
    <row r="94516" s="12" customFormat="1" x14ac:dyDescent="0.25"/>
    <row r="94517" s="12" customFormat="1" x14ac:dyDescent="0.25"/>
    <row r="94518" s="12" customFormat="1" x14ac:dyDescent="0.25"/>
    <row r="94519" s="12" customFormat="1" x14ac:dyDescent="0.25"/>
    <row r="94520" s="12" customFormat="1" x14ac:dyDescent="0.25"/>
    <row r="94521" s="12" customFormat="1" x14ac:dyDescent="0.25"/>
    <row r="94522" s="12" customFormat="1" x14ac:dyDescent="0.25"/>
    <row r="94523" s="12" customFormat="1" x14ac:dyDescent="0.25"/>
    <row r="94524" s="12" customFormat="1" x14ac:dyDescent="0.25"/>
    <row r="94525" s="12" customFormat="1" x14ac:dyDescent="0.25"/>
    <row r="94526" s="12" customFormat="1" x14ac:dyDescent="0.25"/>
    <row r="94527" s="12" customFormat="1" x14ac:dyDescent="0.25"/>
    <row r="94528" s="12" customFormat="1" x14ac:dyDescent="0.25"/>
    <row r="94529" s="12" customFormat="1" x14ac:dyDescent="0.25"/>
    <row r="94530" s="12" customFormat="1" x14ac:dyDescent="0.25"/>
    <row r="94531" s="12" customFormat="1" x14ac:dyDescent="0.25"/>
    <row r="94532" s="12" customFormat="1" x14ac:dyDescent="0.25"/>
    <row r="94533" s="12" customFormat="1" x14ac:dyDescent="0.25"/>
    <row r="94534" s="12" customFormat="1" x14ac:dyDescent="0.25"/>
    <row r="94535" s="12" customFormat="1" x14ac:dyDescent="0.25"/>
    <row r="94536" s="12" customFormat="1" x14ac:dyDescent="0.25"/>
    <row r="94537" s="12" customFormat="1" x14ac:dyDescent="0.25"/>
    <row r="94538" s="12" customFormat="1" x14ac:dyDescent="0.25"/>
    <row r="94539" s="12" customFormat="1" x14ac:dyDescent="0.25"/>
    <row r="94540" s="12" customFormat="1" x14ac:dyDescent="0.25"/>
    <row r="94541" s="12" customFormat="1" x14ac:dyDescent="0.25"/>
    <row r="94542" s="12" customFormat="1" x14ac:dyDescent="0.25"/>
    <row r="94543" s="12" customFormat="1" x14ac:dyDescent="0.25"/>
    <row r="94544" s="12" customFormat="1" x14ac:dyDescent="0.25"/>
    <row r="94545" s="12" customFormat="1" x14ac:dyDescent="0.25"/>
    <row r="94546" s="12" customFormat="1" x14ac:dyDescent="0.25"/>
    <row r="94547" s="12" customFormat="1" x14ac:dyDescent="0.25"/>
    <row r="94548" s="12" customFormat="1" x14ac:dyDescent="0.25"/>
    <row r="94549" s="12" customFormat="1" x14ac:dyDescent="0.25"/>
    <row r="94550" s="12" customFormat="1" x14ac:dyDescent="0.25"/>
    <row r="94551" s="12" customFormat="1" x14ac:dyDescent="0.25"/>
    <row r="94552" s="12" customFormat="1" x14ac:dyDescent="0.25"/>
    <row r="94553" s="12" customFormat="1" x14ac:dyDescent="0.25"/>
    <row r="94554" s="12" customFormat="1" x14ac:dyDescent="0.25"/>
    <row r="94555" s="12" customFormat="1" x14ac:dyDescent="0.25"/>
    <row r="94556" s="12" customFormat="1" x14ac:dyDescent="0.25"/>
    <row r="94557" s="12" customFormat="1" x14ac:dyDescent="0.25"/>
    <row r="94558" s="12" customFormat="1" x14ac:dyDescent="0.25"/>
    <row r="94559" s="12" customFormat="1" x14ac:dyDescent="0.25"/>
    <row r="94560" s="12" customFormat="1" x14ac:dyDescent="0.25"/>
    <row r="94561" s="12" customFormat="1" x14ac:dyDescent="0.25"/>
    <row r="94562" s="12" customFormat="1" x14ac:dyDescent="0.25"/>
    <row r="94563" s="12" customFormat="1" x14ac:dyDescent="0.25"/>
    <row r="94564" s="12" customFormat="1" x14ac:dyDescent="0.25"/>
    <row r="94565" s="12" customFormat="1" x14ac:dyDescent="0.25"/>
    <row r="94566" s="12" customFormat="1" x14ac:dyDescent="0.25"/>
    <row r="94567" s="12" customFormat="1" x14ac:dyDescent="0.25"/>
    <row r="94568" s="12" customFormat="1" x14ac:dyDescent="0.25"/>
    <row r="94569" s="12" customFormat="1" x14ac:dyDescent="0.25"/>
    <row r="94570" s="12" customFormat="1" x14ac:dyDescent="0.25"/>
    <row r="94571" s="12" customFormat="1" x14ac:dyDescent="0.25"/>
    <row r="94572" s="12" customFormat="1" x14ac:dyDescent="0.25"/>
    <row r="94573" s="12" customFormat="1" x14ac:dyDescent="0.25"/>
    <row r="94574" s="12" customFormat="1" x14ac:dyDescent="0.25"/>
    <row r="94575" s="12" customFormat="1" x14ac:dyDescent="0.25"/>
    <row r="94576" s="12" customFormat="1" x14ac:dyDescent="0.25"/>
    <row r="94577" s="12" customFormat="1" x14ac:dyDescent="0.25"/>
    <row r="94578" s="12" customFormat="1" x14ac:dyDescent="0.25"/>
    <row r="94579" s="12" customFormat="1" x14ac:dyDescent="0.25"/>
    <row r="94580" s="12" customFormat="1" x14ac:dyDescent="0.25"/>
    <row r="94581" s="12" customFormat="1" x14ac:dyDescent="0.25"/>
    <row r="94582" s="12" customFormat="1" x14ac:dyDescent="0.25"/>
    <row r="94583" s="12" customFormat="1" x14ac:dyDescent="0.25"/>
    <row r="94584" s="12" customFormat="1" x14ac:dyDescent="0.25"/>
    <row r="94585" s="12" customFormat="1" x14ac:dyDescent="0.25"/>
    <row r="94586" s="12" customFormat="1" x14ac:dyDescent="0.25"/>
    <row r="94587" s="12" customFormat="1" x14ac:dyDescent="0.25"/>
    <row r="94588" s="12" customFormat="1" x14ac:dyDescent="0.25"/>
    <row r="94589" s="12" customFormat="1" x14ac:dyDescent="0.25"/>
    <row r="94590" s="12" customFormat="1" x14ac:dyDescent="0.25"/>
    <row r="94591" s="12" customFormat="1" x14ac:dyDescent="0.25"/>
    <row r="94592" s="12" customFormat="1" x14ac:dyDescent="0.25"/>
    <row r="94593" s="12" customFormat="1" x14ac:dyDescent="0.25"/>
    <row r="94594" s="12" customFormat="1" x14ac:dyDescent="0.25"/>
    <row r="94595" s="12" customFormat="1" x14ac:dyDescent="0.25"/>
    <row r="94596" s="12" customFormat="1" x14ac:dyDescent="0.25"/>
    <row r="94597" s="12" customFormat="1" x14ac:dyDescent="0.25"/>
    <row r="94598" s="12" customFormat="1" x14ac:dyDescent="0.25"/>
    <row r="94599" s="12" customFormat="1" x14ac:dyDescent="0.25"/>
    <row r="94600" s="12" customFormat="1" x14ac:dyDescent="0.25"/>
    <row r="94601" s="12" customFormat="1" x14ac:dyDescent="0.25"/>
    <row r="94602" s="12" customFormat="1" x14ac:dyDescent="0.25"/>
    <row r="94603" s="12" customFormat="1" x14ac:dyDescent="0.25"/>
    <row r="94604" s="12" customFormat="1" x14ac:dyDescent="0.25"/>
    <row r="94605" s="12" customFormat="1" x14ac:dyDescent="0.25"/>
    <row r="94606" s="12" customFormat="1" x14ac:dyDescent="0.25"/>
    <row r="94607" s="12" customFormat="1" x14ac:dyDescent="0.25"/>
    <row r="94608" s="12" customFormat="1" x14ac:dyDescent="0.25"/>
    <row r="94609" s="12" customFormat="1" x14ac:dyDescent="0.25"/>
    <row r="94610" s="12" customFormat="1" x14ac:dyDescent="0.25"/>
    <row r="94611" s="12" customFormat="1" x14ac:dyDescent="0.25"/>
    <row r="94612" s="12" customFormat="1" x14ac:dyDescent="0.25"/>
    <row r="94613" s="12" customFormat="1" x14ac:dyDescent="0.25"/>
    <row r="94614" s="12" customFormat="1" x14ac:dyDescent="0.25"/>
    <row r="94615" s="12" customFormat="1" x14ac:dyDescent="0.25"/>
    <row r="94616" s="12" customFormat="1" x14ac:dyDescent="0.25"/>
    <row r="94617" s="12" customFormat="1" x14ac:dyDescent="0.25"/>
    <row r="94618" s="12" customFormat="1" x14ac:dyDescent="0.25"/>
    <row r="94619" s="12" customFormat="1" x14ac:dyDescent="0.25"/>
    <row r="94620" s="12" customFormat="1" x14ac:dyDescent="0.25"/>
    <row r="94621" s="12" customFormat="1" x14ac:dyDescent="0.25"/>
    <row r="94622" s="12" customFormat="1" x14ac:dyDescent="0.25"/>
    <row r="94623" s="12" customFormat="1" x14ac:dyDescent="0.25"/>
    <row r="94624" s="12" customFormat="1" x14ac:dyDescent="0.25"/>
    <row r="94625" s="12" customFormat="1" x14ac:dyDescent="0.25"/>
    <row r="94626" s="12" customFormat="1" x14ac:dyDescent="0.25"/>
    <row r="94627" s="12" customFormat="1" x14ac:dyDescent="0.25"/>
    <row r="94628" s="12" customFormat="1" x14ac:dyDescent="0.25"/>
    <row r="94629" s="12" customFormat="1" x14ac:dyDescent="0.25"/>
    <row r="94630" s="12" customFormat="1" x14ac:dyDescent="0.25"/>
    <row r="94631" s="12" customFormat="1" x14ac:dyDescent="0.25"/>
    <row r="94632" s="12" customFormat="1" x14ac:dyDescent="0.25"/>
    <row r="94633" s="12" customFormat="1" x14ac:dyDescent="0.25"/>
    <row r="94634" s="12" customFormat="1" x14ac:dyDescent="0.25"/>
    <row r="94635" s="12" customFormat="1" x14ac:dyDescent="0.25"/>
    <row r="94636" s="12" customFormat="1" x14ac:dyDescent="0.25"/>
    <row r="94637" s="12" customFormat="1" x14ac:dyDescent="0.25"/>
    <row r="94638" s="12" customFormat="1" x14ac:dyDescent="0.25"/>
    <row r="94639" s="12" customFormat="1" x14ac:dyDescent="0.25"/>
    <row r="94640" s="12" customFormat="1" x14ac:dyDescent="0.25"/>
    <row r="94641" s="12" customFormat="1" x14ac:dyDescent="0.25"/>
    <row r="94642" s="12" customFormat="1" x14ac:dyDescent="0.25"/>
    <row r="94643" s="12" customFormat="1" x14ac:dyDescent="0.25"/>
    <row r="94644" s="12" customFormat="1" x14ac:dyDescent="0.25"/>
    <row r="94645" s="12" customFormat="1" x14ac:dyDescent="0.25"/>
    <row r="94646" s="12" customFormat="1" x14ac:dyDescent="0.25"/>
    <row r="94647" s="12" customFormat="1" x14ac:dyDescent="0.25"/>
    <row r="94648" s="12" customFormat="1" x14ac:dyDescent="0.25"/>
    <row r="94649" s="12" customFormat="1" x14ac:dyDescent="0.25"/>
    <row r="94650" s="12" customFormat="1" x14ac:dyDescent="0.25"/>
    <row r="94651" s="12" customFormat="1" x14ac:dyDescent="0.25"/>
    <row r="94652" s="12" customFormat="1" x14ac:dyDescent="0.25"/>
    <row r="94653" s="12" customFormat="1" x14ac:dyDescent="0.25"/>
    <row r="94654" s="12" customFormat="1" x14ac:dyDescent="0.25"/>
    <row r="94655" s="12" customFormat="1" x14ac:dyDescent="0.25"/>
    <row r="94656" s="12" customFormat="1" x14ac:dyDescent="0.25"/>
    <row r="94657" s="12" customFormat="1" x14ac:dyDescent="0.25"/>
    <row r="94658" s="12" customFormat="1" x14ac:dyDescent="0.25"/>
    <row r="94659" s="12" customFormat="1" x14ac:dyDescent="0.25"/>
    <row r="94660" s="12" customFormat="1" x14ac:dyDescent="0.25"/>
    <row r="94661" s="12" customFormat="1" x14ac:dyDescent="0.25"/>
    <row r="94662" s="12" customFormat="1" x14ac:dyDescent="0.25"/>
    <row r="94663" s="12" customFormat="1" x14ac:dyDescent="0.25"/>
    <row r="94664" s="12" customFormat="1" x14ac:dyDescent="0.25"/>
    <row r="94665" s="12" customFormat="1" x14ac:dyDescent="0.25"/>
    <row r="94666" s="12" customFormat="1" x14ac:dyDescent="0.25"/>
    <row r="94667" s="12" customFormat="1" x14ac:dyDescent="0.25"/>
    <row r="94668" s="12" customFormat="1" x14ac:dyDescent="0.25"/>
    <row r="94669" s="12" customFormat="1" x14ac:dyDescent="0.25"/>
    <row r="94670" s="12" customFormat="1" x14ac:dyDescent="0.25"/>
    <row r="94671" s="12" customFormat="1" x14ac:dyDescent="0.25"/>
    <row r="94672" s="12" customFormat="1" x14ac:dyDescent="0.25"/>
    <row r="94673" s="12" customFormat="1" x14ac:dyDescent="0.25"/>
    <row r="94674" s="12" customFormat="1" x14ac:dyDescent="0.25"/>
    <row r="94675" s="12" customFormat="1" x14ac:dyDescent="0.25"/>
    <row r="94676" s="12" customFormat="1" x14ac:dyDescent="0.25"/>
    <row r="94677" s="12" customFormat="1" x14ac:dyDescent="0.25"/>
    <row r="94678" s="12" customFormat="1" x14ac:dyDescent="0.25"/>
    <row r="94679" s="12" customFormat="1" x14ac:dyDescent="0.25"/>
    <row r="94680" s="12" customFormat="1" x14ac:dyDescent="0.25"/>
    <row r="94681" s="12" customFormat="1" x14ac:dyDescent="0.25"/>
    <row r="94682" s="12" customFormat="1" x14ac:dyDescent="0.25"/>
    <row r="94683" s="12" customFormat="1" x14ac:dyDescent="0.25"/>
    <row r="94684" s="12" customFormat="1" x14ac:dyDescent="0.25"/>
    <row r="94685" s="12" customFormat="1" x14ac:dyDescent="0.25"/>
    <row r="94686" s="12" customFormat="1" x14ac:dyDescent="0.25"/>
    <row r="94687" s="12" customFormat="1" x14ac:dyDescent="0.25"/>
    <row r="94688" s="12" customFormat="1" x14ac:dyDescent="0.25"/>
    <row r="94689" s="12" customFormat="1" x14ac:dyDescent="0.25"/>
    <row r="94690" s="12" customFormat="1" x14ac:dyDescent="0.25"/>
    <row r="94691" s="12" customFormat="1" x14ac:dyDescent="0.25"/>
    <row r="94692" s="12" customFormat="1" x14ac:dyDescent="0.25"/>
    <row r="94693" s="12" customFormat="1" x14ac:dyDescent="0.25"/>
    <row r="94694" s="12" customFormat="1" x14ac:dyDescent="0.25"/>
    <row r="94695" s="12" customFormat="1" x14ac:dyDescent="0.25"/>
    <row r="94696" s="12" customFormat="1" x14ac:dyDescent="0.25"/>
    <row r="94697" s="12" customFormat="1" x14ac:dyDescent="0.25"/>
    <row r="94698" s="12" customFormat="1" x14ac:dyDescent="0.25"/>
    <row r="94699" s="12" customFormat="1" x14ac:dyDescent="0.25"/>
    <row r="94700" s="12" customFormat="1" x14ac:dyDescent="0.25"/>
    <row r="94701" s="12" customFormat="1" x14ac:dyDescent="0.25"/>
    <row r="94702" s="12" customFormat="1" x14ac:dyDescent="0.25"/>
    <row r="94703" s="12" customFormat="1" x14ac:dyDescent="0.25"/>
    <row r="94704" s="12" customFormat="1" x14ac:dyDescent="0.25"/>
    <row r="94705" s="12" customFormat="1" x14ac:dyDescent="0.25"/>
    <row r="94706" s="12" customFormat="1" x14ac:dyDescent="0.25"/>
    <row r="94707" s="12" customFormat="1" x14ac:dyDescent="0.25"/>
    <row r="94708" s="12" customFormat="1" x14ac:dyDescent="0.25"/>
    <row r="94709" s="12" customFormat="1" x14ac:dyDescent="0.25"/>
    <row r="94710" s="12" customFormat="1" x14ac:dyDescent="0.25"/>
    <row r="94711" s="12" customFormat="1" x14ac:dyDescent="0.25"/>
    <row r="94712" s="12" customFormat="1" x14ac:dyDescent="0.25"/>
    <row r="94713" s="12" customFormat="1" x14ac:dyDescent="0.25"/>
    <row r="94714" s="12" customFormat="1" x14ac:dyDescent="0.25"/>
    <row r="94715" s="12" customFormat="1" x14ac:dyDescent="0.25"/>
    <row r="94716" s="12" customFormat="1" x14ac:dyDescent="0.25"/>
    <row r="94717" s="12" customFormat="1" x14ac:dyDescent="0.25"/>
    <row r="94718" s="12" customFormat="1" x14ac:dyDescent="0.25"/>
    <row r="94719" s="12" customFormat="1" x14ac:dyDescent="0.25"/>
    <row r="94720" s="12" customFormat="1" x14ac:dyDescent="0.25"/>
    <row r="94721" s="12" customFormat="1" x14ac:dyDescent="0.25"/>
    <row r="94722" s="12" customFormat="1" x14ac:dyDescent="0.25"/>
    <row r="94723" s="12" customFormat="1" x14ac:dyDescent="0.25"/>
    <row r="94724" s="12" customFormat="1" x14ac:dyDescent="0.25"/>
    <row r="94725" s="12" customFormat="1" x14ac:dyDescent="0.25"/>
    <row r="94726" s="12" customFormat="1" x14ac:dyDescent="0.25"/>
    <row r="94727" s="12" customFormat="1" x14ac:dyDescent="0.25"/>
    <row r="94728" s="12" customFormat="1" x14ac:dyDescent="0.25"/>
    <row r="94729" s="12" customFormat="1" x14ac:dyDescent="0.25"/>
    <row r="94730" s="12" customFormat="1" x14ac:dyDescent="0.25"/>
    <row r="94731" s="12" customFormat="1" x14ac:dyDescent="0.25"/>
    <row r="94732" s="12" customFormat="1" x14ac:dyDescent="0.25"/>
    <row r="94733" s="12" customFormat="1" x14ac:dyDescent="0.25"/>
    <row r="94734" s="12" customFormat="1" x14ac:dyDescent="0.25"/>
    <row r="94735" s="12" customFormat="1" x14ac:dyDescent="0.25"/>
    <row r="94736" s="12" customFormat="1" x14ac:dyDescent="0.25"/>
    <row r="94737" s="12" customFormat="1" x14ac:dyDescent="0.25"/>
    <row r="94738" s="12" customFormat="1" x14ac:dyDescent="0.25"/>
    <row r="94739" s="12" customFormat="1" x14ac:dyDescent="0.25"/>
    <row r="94740" s="12" customFormat="1" x14ac:dyDescent="0.25"/>
    <row r="94741" s="12" customFormat="1" x14ac:dyDescent="0.25"/>
    <row r="94742" s="12" customFormat="1" x14ac:dyDescent="0.25"/>
    <row r="94743" s="12" customFormat="1" x14ac:dyDescent="0.25"/>
    <row r="94744" s="12" customFormat="1" x14ac:dyDescent="0.25"/>
    <row r="94745" s="12" customFormat="1" x14ac:dyDescent="0.25"/>
    <row r="94746" s="12" customFormat="1" x14ac:dyDescent="0.25"/>
    <row r="94747" s="12" customFormat="1" x14ac:dyDescent="0.25"/>
    <row r="94748" s="12" customFormat="1" x14ac:dyDescent="0.25"/>
    <row r="94749" s="12" customFormat="1" x14ac:dyDescent="0.25"/>
    <row r="94750" s="12" customFormat="1" x14ac:dyDescent="0.25"/>
    <row r="94751" s="12" customFormat="1" x14ac:dyDescent="0.25"/>
    <row r="94752" s="12" customFormat="1" x14ac:dyDescent="0.25"/>
    <row r="94753" s="12" customFormat="1" x14ac:dyDescent="0.25"/>
    <row r="94754" s="12" customFormat="1" x14ac:dyDescent="0.25"/>
    <row r="94755" s="12" customFormat="1" x14ac:dyDescent="0.25"/>
    <row r="94756" s="12" customFormat="1" x14ac:dyDescent="0.25"/>
    <row r="94757" s="12" customFormat="1" x14ac:dyDescent="0.25"/>
    <row r="94758" s="12" customFormat="1" x14ac:dyDescent="0.25"/>
    <row r="94759" s="12" customFormat="1" x14ac:dyDescent="0.25"/>
    <row r="94760" s="12" customFormat="1" x14ac:dyDescent="0.25"/>
    <row r="94761" s="12" customFormat="1" x14ac:dyDescent="0.25"/>
    <row r="94762" s="12" customFormat="1" x14ac:dyDescent="0.25"/>
    <row r="94763" s="12" customFormat="1" x14ac:dyDescent="0.25"/>
    <row r="94764" s="12" customFormat="1" x14ac:dyDescent="0.25"/>
    <row r="94765" s="12" customFormat="1" x14ac:dyDescent="0.25"/>
    <row r="94766" s="12" customFormat="1" x14ac:dyDescent="0.25"/>
    <row r="94767" s="12" customFormat="1" x14ac:dyDescent="0.25"/>
    <row r="94768" s="12" customFormat="1" x14ac:dyDescent="0.25"/>
    <row r="94769" s="12" customFormat="1" x14ac:dyDescent="0.25"/>
    <row r="94770" s="12" customFormat="1" x14ac:dyDescent="0.25"/>
    <row r="94771" s="12" customFormat="1" x14ac:dyDescent="0.25"/>
    <row r="94772" s="12" customFormat="1" x14ac:dyDescent="0.25"/>
    <row r="94773" s="12" customFormat="1" x14ac:dyDescent="0.25"/>
    <row r="94774" s="12" customFormat="1" x14ac:dyDescent="0.25"/>
    <row r="94775" s="12" customFormat="1" x14ac:dyDescent="0.25"/>
    <row r="94776" s="12" customFormat="1" x14ac:dyDescent="0.25"/>
    <row r="94777" s="12" customFormat="1" x14ac:dyDescent="0.25"/>
    <row r="94778" s="12" customFormat="1" x14ac:dyDescent="0.25"/>
    <row r="94779" s="12" customFormat="1" x14ac:dyDescent="0.25"/>
    <row r="94780" s="12" customFormat="1" x14ac:dyDescent="0.25"/>
    <row r="94781" s="12" customFormat="1" x14ac:dyDescent="0.25"/>
    <row r="94782" s="12" customFormat="1" x14ac:dyDescent="0.25"/>
    <row r="94783" s="12" customFormat="1" x14ac:dyDescent="0.25"/>
    <row r="94784" s="12" customFormat="1" x14ac:dyDescent="0.25"/>
    <row r="94785" s="12" customFormat="1" x14ac:dyDescent="0.25"/>
    <row r="94786" s="12" customFormat="1" x14ac:dyDescent="0.25"/>
    <row r="94787" s="12" customFormat="1" x14ac:dyDescent="0.25"/>
    <row r="94788" s="12" customFormat="1" x14ac:dyDescent="0.25"/>
    <row r="94789" s="12" customFormat="1" x14ac:dyDescent="0.25"/>
    <row r="94790" s="12" customFormat="1" x14ac:dyDescent="0.25"/>
    <row r="94791" s="12" customFormat="1" x14ac:dyDescent="0.25"/>
    <row r="94792" s="12" customFormat="1" x14ac:dyDescent="0.25"/>
    <row r="94793" s="12" customFormat="1" x14ac:dyDescent="0.25"/>
    <row r="94794" s="12" customFormat="1" x14ac:dyDescent="0.25"/>
    <row r="94795" s="12" customFormat="1" x14ac:dyDescent="0.25"/>
    <row r="94796" s="12" customFormat="1" x14ac:dyDescent="0.25"/>
    <row r="94797" s="12" customFormat="1" x14ac:dyDescent="0.25"/>
    <row r="94798" s="12" customFormat="1" x14ac:dyDescent="0.25"/>
    <row r="94799" s="12" customFormat="1" x14ac:dyDescent="0.25"/>
    <row r="94800" s="12" customFormat="1" x14ac:dyDescent="0.25"/>
    <row r="94801" s="12" customFormat="1" x14ac:dyDescent="0.25"/>
    <row r="94802" s="12" customFormat="1" x14ac:dyDescent="0.25"/>
    <row r="94803" s="12" customFormat="1" x14ac:dyDescent="0.25"/>
    <row r="94804" s="12" customFormat="1" x14ac:dyDescent="0.25"/>
    <row r="94805" s="12" customFormat="1" x14ac:dyDescent="0.25"/>
    <row r="94806" s="12" customFormat="1" x14ac:dyDescent="0.25"/>
    <row r="94807" s="12" customFormat="1" x14ac:dyDescent="0.25"/>
    <row r="94808" s="12" customFormat="1" x14ac:dyDescent="0.25"/>
    <row r="94809" s="12" customFormat="1" x14ac:dyDescent="0.25"/>
    <row r="94810" s="12" customFormat="1" x14ac:dyDescent="0.25"/>
    <row r="94811" s="12" customFormat="1" x14ac:dyDescent="0.25"/>
    <row r="94812" s="12" customFormat="1" x14ac:dyDescent="0.25"/>
    <row r="94813" s="12" customFormat="1" x14ac:dyDescent="0.25"/>
    <row r="94814" s="12" customFormat="1" x14ac:dyDescent="0.25"/>
    <row r="94815" s="12" customFormat="1" x14ac:dyDescent="0.25"/>
    <row r="94816" s="12" customFormat="1" x14ac:dyDescent="0.25"/>
    <row r="94817" s="12" customFormat="1" x14ac:dyDescent="0.25"/>
    <row r="94818" s="12" customFormat="1" x14ac:dyDescent="0.25"/>
    <row r="94819" s="12" customFormat="1" x14ac:dyDescent="0.25"/>
    <row r="94820" s="12" customFormat="1" x14ac:dyDescent="0.25"/>
    <row r="94821" s="12" customFormat="1" x14ac:dyDescent="0.25"/>
    <row r="94822" s="12" customFormat="1" x14ac:dyDescent="0.25"/>
    <row r="94823" s="12" customFormat="1" x14ac:dyDescent="0.25"/>
    <row r="94824" s="12" customFormat="1" x14ac:dyDescent="0.25"/>
    <row r="94825" s="12" customFormat="1" x14ac:dyDescent="0.25"/>
    <row r="94826" s="12" customFormat="1" x14ac:dyDescent="0.25"/>
    <row r="94827" s="12" customFormat="1" x14ac:dyDescent="0.25"/>
    <row r="94828" s="12" customFormat="1" x14ac:dyDescent="0.25"/>
    <row r="94829" s="12" customFormat="1" x14ac:dyDescent="0.25"/>
    <row r="94830" s="12" customFormat="1" x14ac:dyDescent="0.25"/>
    <row r="94831" s="12" customFormat="1" x14ac:dyDescent="0.25"/>
    <row r="94832" s="12" customFormat="1" x14ac:dyDescent="0.25"/>
    <row r="94833" s="12" customFormat="1" x14ac:dyDescent="0.25"/>
    <row r="94834" s="12" customFormat="1" x14ac:dyDescent="0.25"/>
    <row r="94835" s="12" customFormat="1" x14ac:dyDescent="0.25"/>
    <row r="94836" s="12" customFormat="1" x14ac:dyDescent="0.25"/>
    <row r="94837" s="12" customFormat="1" x14ac:dyDescent="0.25"/>
    <row r="94838" s="12" customFormat="1" x14ac:dyDescent="0.25"/>
    <row r="94839" s="12" customFormat="1" x14ac:dyDescent="0.25"/>
    <row r="94840" s="12" customFormat="1" x14ac:dyDescent="0.25"/>
    <row r="94841" s="12" customFormat="1" x14ac:dyDescent="0.25"/>
    <row r="94842" s="12" customFormat="1" x14ac:dyDescent="0.25"/>
    <row r="94843" s="12" customFormat="1" x14ac:dyDescent="0.25"/>
    <row r="94844" s="12" customFormat="1" x14ac:dyDescent="0.25"/>
    <row r="94845" s="12" customFormat="1" x14ac:dyDescent="0.25"/>
    <row r="94846" s="12" customFormat="1" x14ac:dyDescent="0.25"/>
    <row r="94847" s="12" customFormat="1" x14ac:dyDescent="0.25"/>
    <row r="94848" s="12" customFormat="1" x14ac:dyDescent="0.25"/>
    <row r="94849" s="12" customFormat="1" x14ac:dyDescent="0.25"/>
    <row r="94850" s="12" customFormat="1" x14ac:dyDescent="0.25"/>
    <row r="94851" s="12" customFormat="1" x14ac:dyDescent="0.25"/>
    <row r="94852" s="12" customFormat="1" x14ac:dyDescent="0.25"/>
    <row r="94853" s="12" customFormat="1" x14ac:dyDescent="0.25"/>
    <row r="94854" s="12" customFormat="1" x14ac:dyDescent="0.25"/>
    <row r="94855" s="12" customFormat="1" x14ac:dyDescent="0.25"/>
    <row r="94856" s="12" customFormat="1" x14ac:dyDescent="0.25"/>
    <row r="94857" s="12" customFormat="1" x14ac:dyDescent="0.25"/>
    <row r="94858" s="12" customFormat="1" x14ac:dyDescent="0.25"/>
    <row r="94859" s="12" customFormat="1" x14ac:dyDescent="0.25"/>
    <row r="94860" s="12" customFormat="1" x14ac:dyDescent="0.25"/>
    <row r="94861" s="12" customFormat="1" x14ac:dyDescent="0.25"/>
    <row r="94862" s="12" customFormat="1" x14ac:dyDescent="0.25"/>
    <row r="94863" s="12" customFormat="1" x14ac:dyDescent="0.25"/>
    <row r="94864" s="12" customFormat="1" x14ac:dyDescent="0.25"/>
    <row r="94865" s="12" customFormat="1" x14ac:dyDescent="0.25"/>
    <row r="94866" s="12" customFormat="1" x14ac:dyDescent="0.25"/>
    <row r="94867" s="12" customFormat="1" x14ac:dyDescent="0.25"/>
    <row r="94868" s="12" customFormat="1" x14ac:dyDescent="0.25"/>
    <row r="94869" s="12" customFormat="1" x14ac:dyDescent="0.25"/>
    <row r="94870" s="12" customFormat="1" x14ac:dyDescent="0.25"/>
    <row r="94871" s="12" customFormat="1" x14ac:dyDescent="0.25"/>
    <row r="94872" s="12" customFormat="1" x14ac:dyDescent="0.25"/>
    <row r="94873" s="12" customFormat="1" x14ac:dyDescent="0.25"/>
    <row r="94874" s="12" customFormat="1" x14ac:dyDescent="0.25"/>
    <row r="94875" s="12" customFormat="1" x14ac:dyDescent="0.25"/>
    <row r="94876" s="12" customFormat="1" x14ac:dyDescent="0.25"/>
    <row r="94877" s="12" customFormat="1" x14ac:dyDescent="0.25"/>
    <row r="94878" s="12" customFormat="1" x14ac:dyDescent="0.25"/>
    <row r="94879" s="12" customFormat="1" x14ac:dyDescent="0.25"/>
    <row r="94880" s="12" customFormat="1" x14ac:dyDescent="0.25"/>
    <row r="94881" s="12" customFormat="1" x14ac:dyDescent="0.25"/>
    <row r="94882" s="12" customFormat="1" x14ac:dyDescent="0.25"/>
    <row r="94883" s="12" customFormat="1" x14ac:dyDescent="0.25"/>
    <row r="94884" s="12" customFormat="1" x14ac:dyDescent="0.25"/>
    <row r="94885" s="12" customFormat="1" x14ac:dyDescent="0.25"/>
    <row r="94886" s="12" customFormat="1" x14ac:dyDescent="0.25"/>
    <row r="94887" s="12" customFormat="1" x14ac:dyDescent="0.25"/>
    <row r="94888" s="12" customFormat="1" x14ac:dyDescent="0.25"/>
    <row r="94889" s="12" customFormat="1" x14ac:dyDescent="0.25"/>
    <row r="94890" s="12" customFormat="1" x14ac:dyDescent="0.25"/>
    <row r="94891" s="12" customFormat="1" x14ac:dyDescent="0.25"/>
    <row r="94892" s="12" customFormat="1" x14ac:dyDescent="0.25"/>
    <row r="94893" s="12" customFormat="1" x14ac:dyDescent="0.25"/>
    <row r="94894" s="12" customFormat="1" x14ac:dyDescent="0.25"/>
    <row r="94895" s="12" customFormat="1" x14ac:dyDescent="0.25"/>
    <row r="94896" s="12" customFormat="1" x14ac:dyDescent="0.25"/>
    <row r="94897" s="12" customFormat="1" x14ac:dyDescent="0.25"/>
    <row r="94898" s="12" customFormat="1" x14ac:dyDescent="0.25"/>
    <row r="94899" s="12" customFormat="1" x14ac:dyDescent="0.25"/>
    <row r="94900" s="12" customFormat="1" x14ac:dyDescent="0.25"/>
    <row r="94901" s="12" customFormat="1" x14ac:dyDescent="0.25"/>
    <row r="94902" s="12" customFormat="1" x14ac:dyDescent="0.25"/>
    <row r="94903" s="12" customFormat="1" x14ac:dyDescent="0.25"/>
    <row r="94904" s="12" customFormat="1" x14ac:dyDescent="0.25"/>
    <row r="94905" s="12" customFormat="1" x14ac:dyDescent="0.25"/>
    <row r="94906" s="12" customFormat="1" x14ac:dyDescent="0.25"/>
    <row r="94907" s="12" customFormat="1" x14ac:dyDescent="0.25"/>
    <row r="94908" s="12" customFormat="1" x14ac:dyDescent="0.25"/>
    <row r="94909" s="12" customFormat="1" x14ac:dyDescent="0.25"/>
    <row r="94910" s="12" customFormat="1" x14ac:dyDescent="0.25"/>
    <row r="94911" s="12" customFormat="1" x14ac:dyDescent="0.25"/>
    <row r="94912" s="12" customFormat="1" x14ac:dyDescent="0.25"/>
    <row r="94913" s="12" customFormat="1" x14ac:dyDescent="0.25"/>
    <row r="94914" s="12" customFormat="1" x14ac:dyDescent="0.25"/>
    <row r="94915" s="12" customFormat="1" x14ac:dyDescent="0.25"/>
    <row r="94916" s="12" customFormat="1" x14ac:dyDescent="0.25"/>
    <row r="94917" s="12" customFormat="1" x14ac:dyDescent="0.25"/>
    <row r="94918" s="12" customFormat="1" x14ac:dyDescent="0.25"/>
    <row r="94919" s="12" customFormat="1" x14ac:dyDescent="0.25"/>
    <row r="94920" s="12" customFormat="1" x14ac:dyDescent="0.25"/>
    <row r="94921" s="12" customFormat="1" x14ac:dyDescent="0.25"/>
    <row r="94922" s="12" customFormat="1" x14ac:dyDescent="0.25"/>
    <row r="94923" s="12" customFormat="1" x14ac:dyDescent="0.25"/>
    <row r="94924" s="12" customFormat="1" x14ac:dyDescent="0.25"/>
    <row r="94925" s="12" customFormat="1" x14ac:dyDescent="0.25"/>
    <row r="94926" s="12" customFormat="1" x14ac:dyDescent="0.25"/>
    <row r="94927" s="12" customFormat="1" x14ac:dyDescent="0.25"/>
    <row r="94928" s="12" customFormat="1" x14ac:dyDescent="0.25"/>
    <row r="94929" s="12" customFormat="1" x14ac:dyDescent="0.25"/>
    <row r="94930" s="12" customFormat="1" x14ac:dyDescent="0.25"/>
    <row r="94931" s="12" customFormat="1" x14ac:dyDescent="0.25"/>
    <row r="94932" s="12" customFormat="1" x14ac:dyDescent="0.25"/>
    <row r="94933" s="12" customFormat="1" x14ac:dyDescent="0.25"/>
    <row r="94934" s="12" customFormat="1" x14ac:dyDescent="0.25"/>
    <row r="94935" s="12" customFormat="1" x14ac:dyDescent="0.25"/>
    <row r="94936" s="12" customFormat="1" x14ac:dyDescent="0.25"/>
    <row r="94937" s="12" customFormat="1" x14ac:dyDescent="0.25"/>
    <row r="94938" s="12" customFormat="1" x14ac:dyDescent="0.25"/>
    <row r="94939" s="12" customFormat="1" x14ac:dyDescent="0.25"/>
    <row r="94940" s="12" customFormat="1" x14ac:dyDescent="0.25"/>
    <row r="94941" s="12" customFormat="1" x14ac:dyDescent="0.25"/>
    <row r="94942" s="12" customFormat="1" x14ac:dyDescent="0.25"/>
    <row r="94943" s="12" customFormat="1" x14ac:dyDescent="0.25"/>
    <row r="94944" s="12" customFormat="1" x14ac:dyDescent="0.25"/>
    <row r="94945" s="12" customFormat="1" x14ac:dyDescent="0.25"/>
    <row r="94946" s="12" customFormat="1" x14ac:dyDescent="0.25"/>
    <row r="94947" s="12" customFormat="1" x14ac:dyDescent="0.25"/>
    <row r="94948" s="12" customFormat="1" x14ac:dyDescent="0.25"/>
    <row r="94949" s="12" customFormat="1" x14ac:dyDescent="0.25"/>
    <row r="94950" s="12" customFormat="1" x14ac:dyDescent="0.25"/>
    <row r="94951" s="12" customFormat="1" x14ac:dyDescent="0.25"/>
    <row r="94952" s="12" customFormat="1" x14ac:dyDescent="0.25"/>
    <row r="94953" s="12" customFormat="1" x14ac:dyDescent="0.25"/>
    <row r="94954" s="12" customFormat="1" x14ac:dyDescent="0.25"/>
    <row r="94955" s="12" customFormat="1" x14ac:dyDescent="0.25"/>
    <row r="94956" s="12" customFormat="1" x14ac:dyDescent="0.25"/>
    <row r="94957" s="12" customFormat="1" x14ac:dyDescent="0.25"/>
    <row r="94958" s="12" customFormat="1" x14ac:dyDescent="0.25"/>
    <row r="94959" s="12" customFormat="1" x14ac:dyDescent="0.25"/>
    <row r="94960" s="12" customFormat="1" x14ac:dyDescent="0.25"/>
    <row r="94961" s="12" customFormat="1" x14ac:dyDescent="0.25"/>
    <row r="94962" s="12" customFormat="1" x14ac:dyDescent="0.25"/>
    <row r="94963" s="12" customFormat="1" x14ac:dyDescent="0.25"/>
    <row r="94964" s="12" customFormat="1" x14ac:dyDescent="0.25"/>
    <row r="94965" s="12" customFormat="1" x14ac:dyDescent="0.25"/>
    <row r="94966" s="12" customFormat="1" x14ac:dyDescent="0.25"/>
    <row r="94967" s="12" customFormat="1" x14ac:dyDescent="0.25"/>
    <row r="94968" s="12" customFormat="1" x14ac:dyDescent="0.25"/>
    <row r="94969" s="12" customFormat="1" x14ac:dyDescent="0.25"/>
    <row r="94970" s="12" customFormat="1" x14ac:dyDescent="0.25"/>
    <row r="94971" s="12" customFormat="1" x14ac:dyDescent="0.25"/>
    <row r="94972" s="12" customFormat="1" x14ac:dyDescent="0.25"/>
    <row r="94973" s="12" customFormat="1" x14ac:dyDescent="0.25"/>
    <row r="94974" s="12" customFormat="1" x14ac:dyDescent="0.25"/>
    <row r="94975" s="12" customFormat="1" x14ac:dyDescent="0.25"/>
    <row r="94976" s="12" customFormat="1" x14ac:dyDescent="0.25"/>
    <row r="94977" s="12" customFormat="1" x14ac:dyDescent="0.25"/>
    <row r="94978" s="12" customFormat="1" x14ac:dyDescent="0.25"/>
    <row r="94979" s="12" customFormat="1" x14ac:dyDescent="0.25"/>
    <row r="94980" s="12" customFormat="1" x14ac:dyDescent="0.25"/>
    <row r="94981" s="12" customFormat="1" x14ac:dyDescent="0.25"/>
    <row r="94982" s="12" customFormat="1" x14ac:dyDescent="0.25"/>
    <row r="94983" s="12" customFormat="1" x14ac:dyDescent="0.25"/>
    <row r="94984" s="12" customFormat="1" x14ac:dyDescent="0.25"/>
    <row r="94985" s="12" customFormat="1" x14ac:dyDescent="0.25"/>
    <row r="94986" s="12" customFormat="1" x14ac:dyDescent="0.25"/>
    <row r="94987" s="12" customFormat="1" x14ac:dyDescent="0.25"/>
    <row r="94988" s="12" customFormat="1" x14ac:dyDescent="0.25"/>
    <row r="94989" s="12" customFormat="1" x14ac:dyDescent="0.25"/>
    <row r="94990" s="12" customFormat="1" x14ac:dyDescent="0.25"/>
    <row r="94991" s="12" customFormat="1" x14ac:dyDescent="0.25"/>
    <row r="94992" s="12" customFormat="1" x14ac:dyDescent="0.25"/>
    <row r="94993" s="12" customFormat="1" x14ac:dyDescent="0.25"/>
    <row r="94994" s="12" customFormat="1" x14ac:dyDescent="0.25"/>
    <row r="94995" s="12" customFormat="1" x14ac:dyDescent="0.25"/>
    <row r="94996" s="12" customFormat="1" x14ac:dyDescent="0.25"/>
    <row r="94997" s="12" customFormat="1" x14ac:dyDescent="0.25"/>
    <row r="94998" s="12" customFormat="1" x14ac:dyDescent="0.25"/>
    <row r="94999" s="12" customFormat="1" x14ac:dyDescent="0.25"/>
    <row r="95000" s="12" customFormat="1" x14ac:dyDescent="0.25"/>
    <row r="95001" s="12" customFormat="1" x14ac:dyDescent="0.25"/>
    <row r="95002" s="12" customFormat="1" x14ac:dyDescent="0.25"/>
    <row r="95003" s="12" customFormat="1" x14ac:dyDescent="0.25"/>
    <row r="95004" s="12" customFormat="1" x14ac:dyDescent="0.25"/>
    <row r="95005" s="12" customFormat="1" x14ac:dyDescent="0.25"/>
    <row r="95006" s="12" customFormat="1" x14ac:dyDescent="0.25"/>
    <row r="95007" s="12" customFormat="1" x14ac:dyDescent="0.25"/>
    <row r="95008" s="12" customFormat="1" x14ac:dyDescent="0.25"/>
    <row r="95009" s="12" customFormat="1" x14ac:dyDescent="0.25"/>
    <row r="95010" s="12" customFormat="1" x14ac:dyDescent="0.25"/>
    <row r="95011" s="12" customFormat="1" x14ac:dyDescent="0.25"/>
    <row r="95012" s="12" customFormat="1" x14ac:dyDescent="0.25"/>
    <row r="95013" s="12" customFormat="1" x14ac:dyDescent="0.25"/>
    <row r="95014" s="12" customFormat="1" x14ac:dyDescent="0.25"/>
    <row r="95015" s="12" customFormat="1" x14ac:dyDescent="0.25"/>
    <row r="95016" s="12" customFormat="1" x14ac:dyDescent="0.25"/>
    <row r="95017" s="12" customFormat="1" x14ac:dyDescent="0.25"/>
    <row r="95018" s="12" customFormat="1" x14ac:dyDescent="0.25"/>
    <row r="95019" s="12" customFormat="1" x14ac:dyDescent="0.25"/>
    <row r="95020" s="12" customFormat="1" x14ac:dyDescent="0.25"/>
    <row r="95021" s="12" customFormat="1" x14ac:dyDescent="0.25"/>
    <row r="95022" s="12" customFormat="1" x14ac:dyDescent="0.25"/>
    <row r="95023" s="12" customFormat="1" x14ac:dyDescent="0.25"/>
    <row r="95024" s="12" customFormat="1" x14ac:dyDescent="0.25"/>
    <row r="95025" s="12" customFormat="1" x14ac:dyDescent="0.25"/>
    <row r="95026" s="12" customFormat="1" x14ac:dyDescent="0.25"/>
    <row r="95027" s="12" customFormat="1" x14ac:dyDescent="0.25"/>
    <row r="95028" s="12" customFormat="1" x14ac:dyDescent="0.25"/>
    <row r="95029" s="12" customFormat="1" x14ac:dyDescent="0.25"/>
    <row r="95030" s="12" customFormat="1" x14ac:dyDescent="0.25"/>
    <row r="95031" s="12" customFormat="1" x14ac:dyDescent="0.25"/>
    <row r="95032" s="12" customFormat="1" x14ac:dyDescent="0.25"/>
    <row r="95033" s="12" customFormat="1" x14ac:dyDescent="0.25"/>
    <row r="95034" s="12" customFormat="1" x14ac:dyDescent="0.25"/>
    <row r="95035" s="12" customFormat="1" x14ac:dyDescent="0.25"/>
    <row r="95036" s="12" customFormat="1" x14ac:dyDescent="0.25"/>
    <row r="95037" s="12" customFormat="1" x14ac:dyDescent="0.25"/>
    <row r="95038" s="12" customFormat="1" x14ac:dyDescent="0.25"/>
    <row r="95039" s="12" customFormat="1" x14ac:dyDescent="0.25"/>
    <row r="95040" s="12" customFormat="1" x14ac:dyDescent="0.25"/>
    <row r="95041" s="12" customFormat="1" x14ac:dyDescent="0.25"/>
    <row r="95042" s="12" customFormat="1" x14ac:dyDescent="0.25"/>
    <row r="95043" s="12" customFormat="1" x14ac:dyDescent="0.25"/>
    <row r="95044" s="12" customFormat="1" x14ac:dyDescent="0.25"/>
    <row r="95045" s="12" customFormat="1" x14ac:dyDescent="0.25"/>
    <row r="95046" s="12" customFormat="1" x14ac:dyDescent="0.25"/>
    <row r="95047" s="12" customFormat="1" x14ac:dyDescent="0.25"/>
    <row r="95048" s="12" customFormat="1" x14ac:dyDescent="0.25"/>
    <row r="95049" s="12" customFormat="1" x14ac:dyDescent="0.25"/>
    <row r="95050" s="12" customFormat="1" x14ac:dyDescent="0.25"/>
    <row r="95051" s="12" customFormat="1" x14ac:dyDescent="0.25"/>
    <row r="95052" s="12" customFormat="1" x14ac:dyDescent="0.25"/>
    <row r="95053" s="12" customFormat="1" x14ac:dyDescent="0.25"/>
    <row r="95054" s="12" customFormat="1" x14ac:dyDescent="0.25"/>
    <row r="95055" s="12" customFormat="1" x14ac:dyDescent="0.25"/>
    <row r="95056" s="12" customFormat="1" x14ac:dyDescent="0.25"/>
    <row r="95057" s="12" customFormat="1" x14ac:dyDescent="0.25"/>
    <row r="95058" s="12" customFormat="1" x14ac:dyDescent="0.25"/>
    <row r="95059" s="12" customFormat="1" x14ac:dyDescent="0.25"/>
    <row r="95060" s="12" customFormat="1" x14ac:dyDescent="0.25"/>
    <row r="95061" s="12" customFormat="1" x14ac:dyDescent="0.25"/>
    <row r="95062" s="12" customFormat="1" x14ac:dyDescent="0.25"/>
    <row r="95063" s="12" customFormat="1" x14ac:dyDescent="0.25"/>
    <row r="95064" s="12" customFormat="1" x14ac:dyDescent="0.25"/>
    <row r="95065" s="12" customFormat="1" x14ac:dyDescent="0.25"/>
    <row r="95066" s="12" customFormat="1" x14ac:dyDescent="0.25"/>
    <row r="95067" s="12" customFormat="1" x14ac:dyDescent="0.25"/>
    <row r="95068" s="12" customFormat="1" x14ac:dyDescent="0.25"/>
    <row r="95069" s="12" customFormat="1" x14ac:dyDescent="0.25"/>
    <row r="95070" s="12" customFormat="1" x14ac:dyDescent="0.25"/>
    <row r="95071" s="12" customFormat="1" x14ac:dyDescent="0.25"/>
    <row r="95072" s="12" customFormat="1" x14ac:dyDescent="0.25"/>
    <row r="95073" s="12" customFormat="1" x14ac:dyDescent="0.25"/>
    <row r="95074" s="12" customFormat="1" x14ac:dyDescent="0.25"/>
    <row r="95075" s="12" customFormat="1" x14ac:dyDescent="0.25"/>
    <row r="95076" s="12" customFormat="1" x14ac:dyDescent="0.25"/>
    <row r="95077" s="12" customFormat="1" x14ac:dyDescent="0.25"/>
    <row r="95078" s="12" customFormat="1" x14ac:dyDescent="0.25"/>
    <row r="95079" s="12" customFormat="1" x14ac:dyDescent="0.25"/>
    <row r="95080" s="12" customFormat="1" x14ac:dyDescent="0.25"/>
    <row r="95081" s="12" customFormat="1" x14ac:dyDescent="0.25"/>
    <row r="95082" s="12" customFormat="1" x14ac:dyDescent="0.25"/>
    <row r="95083" s="12" customFormat="1" x14ac:dyDescent="0.25"/>
    <row r="95084" s="12" customFormat="1" x14ac:dyDescent="0.25"/>
    <row r="95085" s="12" customFormat="1" x14ac:dyDescent="0.25"/>
    <row r="95086" s="12" customFormat="1" x14ac:dyDescent="0.25"/>
    <row r="95087" s="12" customFormat="1" x14ac:dyDescent="0.25"/>
    <row r="95088" s="12" customFormat="1" x14ac:dyDescent="0.25"/>
    <row r="95089" s="12" customFormat="1" x14ac:dyDescent="0.25"/>
    <row r="95090" s="12" customFormat="1" x14ac:dyDescent="0.25"/>
    <row r="95091" s="12" customFormat="1" x14ac:dyDescent="0.25"/>
    <row r="95092" s="12" customFormat="1" x14ac:dyDescent="0.25"/>
    <row r="95093" s="12" customFormat="1" x14ac:dyDescent="0.25"/>
    <row r="95094" s="12" customFormat="1" x14ac:dyDescent="0.25"/>
    <row r="95095" s="12" customFormat="1" x14ac:dyDescent="0.25"/>
    <row r="95096" s="12" customFormat="1" x14ac:dyDescent="0.25"/>
    <row r="95097" s="12" customFormat="1" x14ac:dyDescent="0.25"/>
    <row r="95098" s="12" customFormat="1" x14ac:dyDescent="0.25"/>
    <row r="95099" s="12" customFormat="1" x14ac:dyDescent="0.25"/>
    <row r="95100" s="12" customFormat="1" x14ac:dyDescent="0.25"/>
    <row r="95101" s="12" customFormat="1" x14ac:dyDescent="0.25"/>
    <row r="95102" s="12" customFormat="1" x14ac:dyDescent="0.25"/>
    <row r="95103" s="12" customFormat="1" x14ac:dyDescent="0.25"/>
    <row r="95104" s="12" customFormat="1" x14ac:dyDescent="0.25"/>
    <row r="95105" s="12" customFormat="1" x14ac:dyDescent="0.25"/>
    <row r="95106" s="12" customFormat="1" x14ac:dyDescent="0.25"/>
    <row r="95107" s="12" customFormat="1" x14ac:dyDescent="0.25"/>
    <row r="95108" s="12" customFormat="1" x14ac:dyDescent="0.25"/>
    <row r="95109" s="12" customFormat="1" x14ac:dyDescent="0.25"/>
    <row r="95110" s="12" customFormat="1" x14ac:dyDescent="0.25"/>
    <row r="95111" s="12" customFormat="1" x14ac:dyDescent="0.25"/>
    <row r="95112" s="12" customFormat="1" x14ac:dyDescent="0.25"/>
    <row r="95113" s="12" customFormat="1" x14ac:dyDescent="0.25"/>
    <row r="95114" s="12" customFormat="1" x14ac:dyDescent="0.25"/>
    <row r="95115" s="12" customFormat="1" x14ac:dyDescent="0.25"/>
    <row r="95116" s="12" customFormat="1" x14ac:dyDescent="0.25"/>
    <row r="95117" s="12" customFormat="1" x14ac:dyDescent="0.25"/>
    <row r="95118" s="12" customFormat="1" x14ac:dyDescent="0.25"/>
    <row r="95119" s="12" customFormat="1" x14ac:dyDescent="0.25"/>
    <row r="95120" s="12" customFormat="1" x14ac:dyDescent="0.25"/>
    <row r="95121" s="12" customFormat="1" x14ac:dyDescent="0.25"/>
    <row r="95122" s="12" customFormat="1" x14ac:dyDescent="0.25"/>
    <row r="95123" s="12" customFormat="1" x14ac:dyDescent="0.25"/>
    <row r="95124" s="12" customFormat="1" x14ac:dyDescent="0.25"/>
    <row r="95125" s="12" customFormat="1" x14ac:dyDescent="0.25"/>
    <row r="95126" s="12" customFormat="1" x14ac:dyDescent="0.25"/>
    <row r="95127" s="12" customFormat="1" x14ac:dyDescent="0.25"/>
    <row r="95128" s="12" customFormat="1" x14ac:dyDescent="0.25"/>
    <row r="95129" s="12" customFormat="1" x14ac:dyDescent="0.25"/>
    <row r="95130" s="12" customFormat="1" x14ac:dyDescent="0.25"/>
    <row r="95131" s="12" customFormat="1" x14ac:dyDescent="0.25"/>
    <row r="95132" s="12" customFormat="1" x14ac:dyDescent="0.25"/>
    <row r="95133" s="12" customFormat="1" x14ac:dyDescent="0.25"/>
    <row r="95134" s="12" customFormat="1" x14ac:dyDescent="0.25"/>
    <row r="95135" s="12" customFormat="1" x14ac:dyDescent="0.25"/>
    <row r="95136" s="12" customFormat="1" x14ac:dyDescent="0.25"/>
    <row r="95137" s="12" customFormat="1" x14ac:dyDescent="0.25"/>
    <row r="95138" s="12" customFormat="1" x14ac:dyDescent="0.25"/>
    <row r="95139" s="12" customFormat="1" x14ac:dyDescent="0.25"/>
    <row r="95140" s="12" customFormat="1" x14ac:dyDescent="0.25"/>
    <row r="95141" s="12" customFormat="1" x14ac:dyDescent="0.25"/>
    <row r="95142" s="12" customFormat="1" x14ac:dyDescent="0.25"/>
    <row r="95143" s="12" customFormat="1" x14ac:dyDescent="0.25"/>
    <row r="95144" s="12" customFormat="1" x14ac:dyDescent="0.25"/>
    <row r="95145" s="12" customFormat="1" x14ac:dyDescent="0.25"/>
    <row r="95146" s="12" customFormat="1" x14ac:dyDescent="0.25"/>
    <row r="95147" s="12" customFormat="1" x14ac:dyDescent="0.25"/>
    <row r="95148" s="12" customFormat="1" x14ac:dyDescent="0.25"/>
    <row r="95149" s="12" customFormat="1" x14ac:dyDescent="0.25"/>
    <row r="95150" s="12" customFormat="1" x14ac:dyDescent="0.25"/>
    <row r="95151" s="12" customFormat="1" x14ac:dyDescent="0.25"/>
    <row r="95152" s="12" customFormat="1" x14ac:dyDescent="0.25"/>
    <row r="95153" s="12" customFormat="1" x14ac:dyDescent="0.25"/>
    <row r="95154" s="12" customFormat="1" x14ac:dyDescent="0.25"/>
    <row r="95155" s="12" customFormat="1" x14ac:dyDescent="0.25"/>
    <row r="95156" s="12" customFormat="1" x14ac:dyDescent="0.25"/>
    <row r="95157" s="12" customFormat="1" x14ac:dyDescent="0.25"/>
    <row r="95158" s="12" customFormat="1" x14ac:dyDescent="0.25"/>
    <row r="95159" s="12" customFormat="1" x14ac:dyDescent="0.25"/>
    <row r="95160" s="12" customFormat="1" x14ac:dyDescent="0.25"/>
    <row r="95161" s="12" customFormat="1" x14ac:dyDescent="0.25"/>
    <row r="95162" s="12" customFormat="1" x14ac:dyDescent="0.25"/>
    <row r="95163" s="12" customFormat="1" x14ac:dyDescent="0.25"/>
    <row r="95164" s="12" customFormat="1" x14ac:dyDescent="0.25"/>
    <row r="95165" s="12" customFormat="1" x14ac:dyDescent="0.25"/>
    <row r="95166" s="12" customFormat="1" x14ac:dyDescent="0.25"/>
    <row r="95167" s="12" customFormat="1" x14ac:dyDescent="0.25"/>
    <row r="95168" s="12" customFormat="1" x14ac:dyDescent="0.25"/>
    <row r="95169" s="12" customFormat="1" x14ac:dyDescent="0.25"/>
    <row r="95170" s="12" customFormat="1" x14ac:dyDescent="0.25"/>
    <row r="95171" s="12" customFormat="1" x14ac:dyDescent="0.25"/>
    <row r="95172" s="12" customFormat="1" x14ac:dyDescent="0.25"/>
    <row r="95173" s="12" customFormat="1" x14ac:dyDescent="0.25"/>
    <row r="95174" s="12" customFormat="1" x14ac:dyDescent="0.25"/>
    <row r="95175" s="12" customFormat="1" x14ac:dyDescent="0.25"/>
    <row r="95176" s="12" customFormat="1" x14ac:dyDescent="0.25"/>
    <row r="95177" s="12" customFormat="1" x14ac:dyDescent="0.25"/>
    <row r="95178" s="12" customFormat="1" x14ac:dyDescent="0.25"/>
    <row r="95179" s="12" customFormat="1" x14ac:dyDescent="0.25"/>
    <row r="95180" s="12" customFormat="1" x14ac:dyDescent="0.25"/>
    <row r="95181" s="12" customFormat="1" x14ac:dyDescent="0.25"/>
    <row r="95182" s="12" customFormat="1" x14ac:dyDescent="0.25"/>
    <row r="95183" s="12" customFormat="1" x14ac:dyDescent="0.25"/>
    <row r="95184" s="12" customFormat="1" x14ac:dyDescent="0.25"/>
    <row r="95185" s="12" customFormat="1" x14ac:dyDescent="0.25"/>
    <row r="95186" s="12" customFormat="1" x14ac:dyDescent="0.25"/>
    <row r="95187" s="12" customFormat="1" x14ac:dyDescent="0.25"/>
    <row r="95188" s="12" customFormat="1" x14ac:dyDescent="0.25"/>
    <row r="95189" s="12" customFormat="1" x14ac:dyDescent="0.25"/>
    <row r="95190" s="12" customFormat="1" x14ac:dyDescent="0.25"/>
    <row r="95191" s="12" customFormat="1" x14ac:dyDescent="0.25"/>
    <row r="95192" s="12" customFormat="1" x14ac:dyDescent="0.25"/>
    <row r="95193" s="12" customFormat="1" x14ac:dyDescent="0.25"/>
    <row r="95194" s="12" customFormat="1" x14ac:dyDescent="0.25"/>
    <row r="95195" s="12" customFormat="1" x14ac:dyDescent="0.25"/>
    <row r="95196" s="12" customFormat="1" x14ac:dyDescent="0.25"/>
    <row r="95197" s="12" customFormat="1" x14ac:dyDescent="0.25"/>
    <row r="95198" s="12" customFormat="1" x14ac:dyDescent="0.25"/>
    <row r="95199" s="12" customFormat="1" x14ac:dyDescent="0.25"/>
    <row r="95200" s="12" customFormat="1" x14ac:dyDescent="0.25"/>
    <row r="95201" s="12" customFormat="1" x14ac:dyDescent="0.25"/>
    <row r="95202" s="12" customFormat="1" x14ac:dyDescent="0.25"/>
    <row r="95203" s="12" customFormat="1" x14ac:dyDescent="0.25"/>
    <row r="95204" s="12" customFormat="1" x14ac:dyDescent="0.25"/>
    <row r="95205" s="12" customFormat="1" x14ac:dyDescent="0.25"/>
    <row r="95206" s="12" customFormat="1" x14ac:dyDescent="0.25"/>
    <row r="95207" s="12" customFormat="1" x14ac:dyDescent="0.25"/>
    <row r="95208" s="12" customFormat="1" x14ac:dyDescent="0.25"/>
    <row r="95209" s="12" customFormat="1" x14ac:dyDescent="0.25"/>
    <row r="95210" s="12" customFormat="1" x14ac:dyDescent="0.25"/>
    <row r="95211" s="12" customFormat="1" x14ac:dyDescent="0.25"/>
    <row r="95212" s="12" customFormat="1" x14ac:dyDescent="0.25"/>
    <row r="95213" s="12" customFormat="1" x14ac:dyDescent="0.25"/>
    <row r="95214" s="12" customFormat="1" x14ac:dyDescent="0.25"/>
    <row r="95215" s="12" customFormat="1" x14ac:dyDescent="0.25"/>
    <row r="95216" s="12" customFormat="1" x14ac:dyDescent="0.25"/>
    <row r="95217" s="12" customFormat="1" x14ac:dyDescent="0.25"/>
    <row r="95218" s="12" customFormat="1" x14ac:dyDescent="0.25"/>
    <row r="95219" s="12" customFormat="1" x14ac:dyDescent="0.25"/>
    <row r="95220" s="12" customFormat="1" x14ac:dyDescent="0.25"/>
    <row r="95221" s="12" customFormat="1" x14ac:dyDescent="0.25"/>
    <row r="95222" s="12" customFormat="1" x14ac:dyDescent="0.25"/>
    <row r="95223" s="12" customFormat="1" x14ac:dyDescent="0.25"/>
    <row r="95224" s="12" customFormat="1" x14ac:dyDescent="0.25"/>
    <row r="95225" s="12" customFormat="1" x14ac:dyDescent="0.25"/>
    <row r="95226" s="12" customFormat="1" x14ac:dyDescent="0.25"/>
    <row r="95227" s="12" customFormat="1" x14ac:dyDescent="0.25"/>
    <row r="95228" s="12" customFormat="1" x14ac:dyDescent="0.25"/>
    <row r="95229" s="12" customFormat="1" x14ac:dyDescent="0.25"/>
    <row r="95230" s="12" customFormat="1" x14ac:dyDescent="0.25"/>
    <row r="95231" s="12" customFormat="1" x14ac:dyDescent="0.25"/>
    <row r="95232" s="12" customFormat="1" x14ac:dyDescent="0.25"/>
    <row r="95233" s="12" customFormat="1" x14ac:dyDescent="0.25"/>
    <row r="95234" s="12" customFormat="1" x14ac:dyDescent="0.25"/>
    <row r="95235" s="12" customFormat="1" x14ac:dyDescent="0.25"/>
    <row r="95236" s="12" customFormat="1" x14ac:dyDescent="0.25"/>
    <row r="95237" s="12" customFormat="1" x14ac:dyDescent="0.25"/>
    <row r="95238" s="12" customFormat="1" x14ac:dyDescent="0.25"/>
    <row r="95239" s="12" customFormat="1" x14ac:dyDescent="0.25"/>
    <row r="95240" s="12" customFormat="1" x14ac:dyDescent="0.25"/>
    <row r="95241" s="12" customFormat="1" x14ac:dyDescent="0.25"/>
    <row r="95242" s="12" customFormat="1" x14ac:dyDescent="0.25"/>
    <row r="95243" s="12" customFormat="1" x14ac:dyDescent="0.25"/>
    <row r="95244" s="12" customFormat="1" x14ac:dyDescent="0.25"/>
    <row r="95245" s="12" customFormat="1" x14ac:dyDescent="0.25"/>
    <row r="95246" s="12" customFormat="1" x14ac:dyDescent="0.25"/>
    <row r="95247" s="12" customFormat="1" x14ac:dyDescent="0.25"/>
    <row r="95248" s="12" customFormat="1" x14ac:dyDescent="0.25"/>
    <row r="95249" s="12" customFormat="1" x14ac:dyDescent="0.25"/>
    <row r="95250" s="12" customFormat="1" x14ac:dyDescent="0.25"/>
    <row r="95251" s="12" customFormat="1" x14ac:dyDescent="0.25"/>
    <row r="95252" s="12" customFormat="1" x14ac:dyDescent="0.25"/>
    <row r="95253" s="12" customFormat="1" x14ac:dyDescent="0.25"/>
    <row r="95254" s="12" customFormat="1" x14ac:dyDescent="0.25"/>
    <row r="95255" s="12" customFormat="1" x14ac:dyDescent="0.25"/>
    <row r="95256" s="12" customFormat="1" x14ac:dyDescent="0.25"/>
    <row r="95257" s="12" customFormat="1" x14ac:dyDescent="0.25"/>
    <row r="95258" s="12" customFormat="1" x14ac:dyDescent="0.25"/>
    <row r="95259" s="12" customFormat="1" x14ac:dyDescent="0.25"/>
    <row r="95260" s="12" customFormat="1" x14ac:dyDescent="0.25"/>
    <row r="95261" s="12" customFormat="1" x14ac:dyDescent="0.25"/>
    <row r="95262" s="12" customFormat="1" x14ac:dyDescent="0.25"/>
    <row r="95263" s="12" customFormat="1" x14ac:dyDescent="0.25"/>
    <row r="95264" s="12" customFormat="1" x14ac:dyDescent="0.25"/>
    <row r="95265" s="12" customFormat="1" x14ac:dyDescent="0.25"/>
    <row r="95266" s="12" customFormat="1" x14ac:dyDescent="0.25"/>
    <row r="95267" s="12" customFormat="1" x14ac:dyDescent="0.25"/>
    <row r="95268" s="12" customFormat="1" x14ac:dyDescent="0.25"/>
    <row r="95269" s="12" customFormat="1" x14ac:dyDescent="0.25"/>
    <row r="95270" s="12" customFormat="1" x14ac:dyDescent="0.25"/>
    <row r="95271" s="12" customFormat="1" x14ac:dyDescent="0.25"/>
    <row r="95272" s="12" customFormat="1" x14ac:dyDescent="0.25"/>
    <row r="95273" s="12" customFormat="1" x14ac:dyDescent="0.25"/>
    <row r="95274" s="12" customFormat="1" x14ac:dyDescent="0.25"/>
    <row r="95275" s="12" customFormat="1" x14ac:dyDescent="0.25"/>
    <row r="95276" s="12" customFormat="1" x14ac:dyDescent="0.25"/>
    <row r="95277" s="12" customFormat="1" x14ac:dyDescent="0.25"/>
    <row r="95278" s="12" customFormat="1" x14ac:dyDescent="0.25"/>
    <row r="95279" s="12" customFormat="1" x14ac:dyDescent="0.25"/>
    <row r="95280" s="12" customFormat="1" x14ac:dyDescent="0.25"/>
    <row r="95281" s="12" customFormat="1" x14ac:dyDescent="0.25"/>
    <row r="95282" s="12" customFormat="1" x14ac:dyDescent="0.25"/>
    <row r="95283" s="12" customFormat="1" x14ac:dyDescent="0.25"/>
    <row r="95284" s="12" customFormat="1" x14ac:dyDescent="0.25"/>
    <row r="95285" s="12" customFormat="1" x14ac:dyDescent="0.25"/>
    <row r="95286" s="12" customFormat="1" x14ac:dyDescent="0.25"/>
    <row r="95287" s="12" customFormat="1" x14ac:dyDescent="0.25"/>
    <row r="95288" s="12" customFormat="1" x14ac:dyDescent="0.25"/>
    <row r="95289" s="12" customFormat="1" x14ac:dyDescent="0.25"/>
    <row r="95290" s="12" customFormat="1" x14ac:dyDescent="0.25"/>
    <row r="95291" s="12" customFormat="1" x14ac:dyDescent="0.25"/>
    <row r="95292" s="12" customFormat="1" x14ac:dyDescent="0.25"/>
    <row r="95293" s="12" customFormat="1" x14ac:dyDescent="0.25"/>
    <row r="95294" s="12" customFormat="1" x14ac:dyDescent="0.25"/>
    <row r="95295" s="12" customFormat="1" x14ac:dyDescent="0.25"/>
    <row r="95296" s="12" customFormat="1" x14ac:dyDescent="0.25"/>
    <row r="95297" s="12" customFormat="1" x14ac:dyDescent="0.25"/>
    <row r="95298" s="12" customFormat="1" x14ac:dyDescent="0.25"/>
    <row r="95299" s="12" customFormat="1" x14ac:dyDescent="0.25"/>
    <row r="95300" s="12" customFormat="1" x14ac:dyDescent="0.25"/>
    <row r="95301" s="12" customFormat="1" x14ac:dyDescent="0.25"/>
    <row r="95302" s="12" customFormat="1" x14ac:dyDescent="0.25"/>
    <row r="95303" s="12" customFormat="1" x14ac:dyDescent="0.25"/>
    <row r="95304" s="12" customFormat="1" x14ac:dyDescent="0.25"/>
    <row r="95305" s="12" customFormat="1" x14ac:dyDescent="0.25"/>
    <row r="95306" s="12" customFormat="1" x14ac:dyDescent="0.25"/>
    <row r="95307" s="12" customFormat="1" x14ac:dyDescent="0.25"/>
    <row r="95308" s="12" customFormat="1" x14ac:dyDescent="0.25"/>
    <row r="95309" s="12" customFormat="1" x14ac:dyDescent="0.25"/>
    <row r="95310" s="12" customFormat="1" x14ac:dyDescent="0.25"/>
    <row r="95311" s="12" customFormat="1" x14ac:dyDescent="0.25"/>
    <row r="95312" s="12" customFormat="1" x14ac:dyDescent="0.25"/>
    <row r="95313" s="12" customFormat="1" x14ac:dyDescent="0.25"/>
    <row r="95314" s="12" customFormat="1" x14ac:dyDescent="0.25"/>
    <row r="95315" s="12" customFormat="1" x14ac:dyDescent="0.25"/>
    <row r="95316" s="12" customFormat="1" x14ac:dyDescent="0.25"/>
    <row r="95317" s="12" customFormat="1" x14ac:dyDescent="0.25"/>
    <row r="95318" s="12" customFormat="1" x14ac:dyDescent="0.25"/>
    <row r="95319" s="12" customFormat="1" x14ac:dyDescent="0.25"/>
    <row r="95320" s="12" customFormat="1" x14ac:dyDescent="0.25"/>
    <row r="95321" s="12" customFormat="1" x14ac:dyDescent="0.25"/>
    <row r="95322" s="12" customFormat="1" x14ac:dyDescent="0.25"/>
    <row r="95323" s="12" customFormat="1" x14ac:dyDescent="0.25"/>
    <row r="95324" s="12" customFormat="1" x14ac:dyDescent="0.25"/>
    <row r="95325" s="12" customFormat="1" x14ac:dyDescent="0.25"/>
    <row r="95326" s="12" customFormat="1" x14ac:dyDescent="0.25"/>
    <row r="95327" s="12" customFormat="1" x14ac:dyDescent="0.25"/>
    <row r="95328" s="12" customFormat="1" x14ac:dyDescent="0.25"/>
    <row r="95329" s="12" customFormat="1" x14ac:dyDescent="0.25"/>
    <row r="95330" s="12" customFormat="1" x14ac:dyDescent="0.25"/>
    <row r="95331" s="12" customFormat="1" x14ac:dyDescent="0.25"/>
    <row r="95332" s="12" customFormat="1" x14ac:dyDescent="0.25"/>
    <row r="95333" s="12" customFormat="1" x14ac:dyDescent="0.25"/>
    <row r="95334" s="12" customFormat="1" x14ac:dyDescent="0.25"/>
    <row r="95335" s="12" customFormat="1" x14ac:dyDescent="0.25"/>
    <row r="95336" s="12" customFormat="1" x14ac:dyDescent="0.25"/>
    <row r="95337" s="12" customFormat="1" x14ac:dyDescent="0.25"/>
    <row r="95338" s="12" customFormat="1" x14ac:dyDescent="0.25"/>
    <row r="95339" s="12" customFormat="1" x14ac:dyDescent="0.25"/>
    <row r="95340" s="12" customFormat="1" x14ac:dyDescent="0.25"/>
    <row r="95341" s="12" customFormat="1" x14ac:dyDescent="0.25"/>
    <row r="95342" s="12" customFormat="1" x14ac:dyDescent="0.25"/>
    <row r="95343" s="12" customFormat="1" x14ac:dyDescent="0.25"/>
    <row r="95344" s="12" customFormat="1" x14ac:dyDescent="0.25"/>
    <row r="95345" s="12" customFormat="1" x14ac:dyDescent="0.25"/>
    <row r="95346" s="12" customFormat="1" x14ac:dyDescent="0.25"/>
    <row r="95347" s="12" customFormat="1" x14ac:dyDescent="0.25"/>
    <row r="95348" s="12" customFormat="1" x14ac:dyDescent="0.25"/>
    <row r="95349" s="12" customFormat="1" x14ac:dyDescent="0.25"/>
    <row r="95350" s="12" customFormat="1" x14ac:dyDescent="0.25"/>
    <row r="95351" s="12" customFormat="1" x14ac:dyDescent="0.25"/>
    <row r="95352" s="12" customFormat="1" x14ac:dyDescent="0.25"/>
    <row r="95353" s="12" customFormat="1" x14ac:dyDescent="0.25"/>
    <row r="95354" s="12" customFormat="1" x14ac:dyDescent="0.25"/>
    <row r="95355" s="12" customFormat="1" x14ac:dyDescent="0.25"/>
    <row r="95356" s="12" customFormat="1" x14ac:dyDescent="0.25"/>
    <row r="95357" s="12" customFormat="1" x14ac:dyDescent="0.25"/>
    <row r="95358" s="12" customFormat="1" x14ac:dyDescent="0.25"/>
    <row r="95359" s="12" customFormat="1" x14ac:dyDescent="0.25"/>
    <row r="95360" s="12" customFormat="1" x14ac:dyDescent="0.25"/>
    <row r="95361" s="12" customFormat="1" x14ac:dyDescent="0.25"/>
    <row r="95362" s="12" customFormat="1" x14ac:dyDescent="0.25"/>
    <row r="95363" s="12" customFormat="1" x14ac:dyDescent="0.25"/>
    <row r="95364" s="12" customFormat="1" x14ac:dyDescent="0.25"/>
    <row r="95365" s="12" customFormat="1" x14ac:dyDescent="0.25"/>
    <row r="95366" s="12" customFormat="1" x14ac:dyDescent="0.25"/>
    <row r="95367" s="12" customFormat="1" x14ac:dyDescent="0.25"/>
    <row r="95368" s="12" customFormat="1" x14ac:dyDescent="0.25"/>
    <row r="95369" s="12" customFormat="1" x14ac:dyDescent="0.25"/>
    <row r="95370" s="12" customFormat="1" x14ac:dyDescent="0.25"/>
    <row r="95371" s="12" customFormat="1" x14ac:dyDescent="0.25"/>
    <row r="95372" s="12" customFormat="1" x14ac:dyDescent="0.25"/>
    <row r="95373" s="12" customFormat="1" x14ac:dyDescent="0.25"/>
    <row r="95374" s="12" customFormat="1" x14ac:dyDescent="0.25"/>
    <row r="95375" s="12" customFormat="1" x14ac:dyDescent="0.25"/>
    <row r="95376" s="12" customFormat="1" x14ac:dyDescent="0.25"/>
    <row r="95377" s="12" customFormat="1" x14ac:dyDescent="0.25"/>
    <row r="95378" s="12" customFormat="1" x14ac:dyDescent="0.25"/>
    <row r="95379" s="12" customFormat="1" x14ac:dyDescent="0.25"/>
    <row r="95380" s="12" customFormat="1" x14ac:dyDescent="0.25"/>
    <row r="95381" s="12" customFormat="1" x14ac:dyDescent="0.25"/>
    <row r="95382" s="12" customFormat="1" x14ac:dyDescent="0.25"/>
    <row r="95383" s="12" customFormat="1" x14ac:dyDescent="0.25"/>
    <row r="95384" s="12" customFormat="1" x14ac:dyDescent="0.25"/>
    <row r="95385" s="12" customFormat="1" x14ac:dyDescent="0.25"/>
    <row r="95386" s="12" customFormat="1" x14ac:dyDescent="0.25"/>
    <row r="95387" s="12" customFormat="1" x14ac:dyDescent="0.25"/>
    <row r="95388" s="12" customFormat="1" x14ac:dyDescent="0.25"/>
    <row r="95389" s="12" customFormat="1" x14ac:dyDescent="0.25"/>
    <row r="95390" s="12" customFormat="1" x14ac:dyDescent="0.25"/>
    <row r="95391" s="12" customFormat="1" x14ac:dyDescent="0.25"/>
    <row r="95392" s="12" customFormat="1" x14ac:dyDescent="0.25"/>
    <row r="95393" s="12" customFormat="1" x14ac:dyDescent="0.25"/>
    <row r="95394" s="12" customFormat="1" x14ac:dyDescent="0.25"/>
    <row r="95395" s="12" customFormat="1" x14ac:dyDescent="0.25"/>
    <row r="95396" s="12" customFormat="1" x14ac:dyDescent="0.25"/>
    <row r="95397" s="12" customFormat="1" x14ac:dyDescent="0.25"/>
    <row r="95398" s="12" customFormat="1" x14ac:dyDescent="0.25"/>
    <row r="95399" s="12" customFormat="1" x14ac:dyDescent="0.25"/>
    <row r="95400" s="12" customFormat="1" x14ac:dyDescent="0.25"/>
    <row r="95401" s="12" customFormat="1" x14ac:dyDescent="0.25"/>
    <row r="95402" s="12" customFormat="1" x14ac:dyDescent="0.25"/>
    <row r="95403" s="12" customFormat="1" x14ac:dyDescent="0.25"/>
    <row r="95404" s="12" customFormat="1" x14ac:dyDescent="0.25"/>
    <row r="95405" s="12" customFormat="1" x14ac:dyDescent="0.25"/>
    <row r="95406" s="12" customFormat="1" x14ac:dyDescent="0.25"/>
    <row r="95407" s="12" customFormat="1" x14ac:dyDescent="0.25"/>
    <row r="95408" s="12" customFormat="1" x14ac:dyDescent="0.25"/>
    <row r="95409" s="12" customFormat="1" x14ac:dyDescent="0.25"/>
    <row r="95410" s="12" customFormat="1" x14ac:dyDescent="0.25"/>
    <row r="95411" s="12" customFormat="1" x14ac:dyDescent="0.25"/>
    <row r="95412" s="12" customFormat="1" x14ac:dyDescent="0.25"/>
    <row r="95413" s="12" customFormat="1" x14ac:dyDescent="0.25"/>
    <row r="95414" s="12" customFormat="1" x14ac:dyDescent="0.25"/>
    <row r="95415" s="12" customFormat="1" x14ac:dyDescent="0.25"/>
    <row r="95416" s="12" customFormat="1" x14ac:dyDescent="0.25"/>
    <row r="95417" s="12" customFormat="1" x14ac:dyDescent="0.25"/>
    <row r="95418" s="12" customFormat="1" x14ac:dyDescent="0.25"/>
    <row r="95419" s="12" customFormat="1" x14ac:dyDescent="0.25"/>
    <row r="95420" s="12" customFormat="1" x14ac:dyDescent="0.25"/>
    <row r="95421" s="12" customFormat="1" x14ac:dyDescent="0.25"/>
    <row r="95422" s="12" customFormat="1" x14ac:dyDescent="0.25"/>
    <row r="95423" s="12" customFormat="1" x14ac:dyDescent="0.25"/>
    <row r="95424" s="12" customFormat="1" x14ac:dyDescent="0.25"/>
    <row r="95425" s="12" customFormat="1" x14ac:dyDescent="0.25"/>
    <row r="95426" s="12" customFormat="1" x14ac:dyDescent="0.25"/>
    <row r="95427" s="12" customFormat="1" x14ac:dyDescent="0.25"/>
    <row r="95428" s="12" customFormat="1" x14ac:dyDescent="0.25"/>
    <row r="95429" s="12" customFormat="1" x14ac:dyDescent="0.25"/>
    <row r="95430" s="12" customFormat="1" x14ac:dyDescent="0.25"/>
    <row r="95431" s="12" customFormat="1" x14ac:dyDescent="0.25"/>
    <row r="95432" s="12" customFormat="1" x14ac:dyDescent="0.25"/>
    <row r="95433" s="12" customFormat="1" x14ac:dyDescent="0.25"/>
    <row r="95434" s="12" customFormat="1" x14ac:dyDescent="0.25"/>
    <row r="95435" s="12" customFormat="1" x14ac:dyDescent="0.25"/>
    <row r="95436" s="12" customFormat="1" x14ac:dyDescent="0.25"/>
    <row r="95437" s="12" customFormat="1" x14ac:dyDescent="0.25"/>
    <row r="95438" s="12" customFormat="1" x14ac:dyDescent="0.25"/>
    <row r="95439" s="12" customFormat="1" x14ac:dyDescent="0.25"/>
    <row r="95440" s="12" customFormat="1" x14ac:dyDescent="0.25"/>
    <row r="95441" s="12" customFormat="1" x14ac:dyDescent="0.25"/>
    <row r="95442" s="12" customFormat="1" x14ac:dyDescent="0.25"/>
    <row r="95443" s="12" customFormat="1" x14ac:dyDescent="0.25"/>
    <row r="95444" s="12" customFormat="1" x14ac:dyDescent="0.25"/>
    <row r="95445" s="12" customFormat="1" x14ac:dyDescent="0.25"/>
    <row r="95446" s="12" customFormat="1" x14ac:dyDescent="0.25"/>
    <row r="95447" s="12" customFormat="1" x14ac:dyDescent="0.25"/>
    <row r="95448" s="12" customFormat="1" x14ac:dyDescent="0.25"/>
    <row r="95449" s="12" customFormat="1" x14ac:dyDescent="0.25"/>
    <row r="95450" s="12" customFormat="1" x14ac:dyDescent="0.25"/>
    <row r="95451" s="12" customFormat="1" x14ac:dyDescent="0.25"/>
    <row r="95452" s="12" customFormat="1" x14ac:dyDescent="0.25"/>
    <row r="95453" s="12" customFormat="1" x14ac:dyDescent="0.25"/>
    <row r="95454" s="12" customFormat="1" x14ac:dyDescent="0.25"/>
    <row r="95455" s="12" customFormat="1" x14ac:dyDescent="0.25"/>
    <row r="95456" s="12" customFormat="1" x14ac:dyDescent="0.25"/>
    <row r="95457" s="12" customFormat="1" x14ac:dyDescent="0.25"/>
    <row r="95458" s="12" customFormat="1" x14ac:dyDescent="0.25"/>
    <row r="95459" s="12" customFormat="1" x14ac:dyDescent="0.25"/>
    <row r="95460" s="12" customFormat="1" x14ac:dyDescent="0.25"/>
    <row r="95461" s="12" customFormat="1" x14ac:dyDescent="0.25"/>
    <row r="95462" s="12" customFormat="1" x14ac:dyDescent="0.25"/>
    <row r="95463" s="12" customFormat="1" x14ac:dyDescent="0.25"/>
    <row r="95464" s="12" customFormat="1" x14ac:dyDescent="0.25"/>
    <row r="95465" s="12" customFormat="1" x14ac:dyDescent="0.25"/>
    <row r="95466" s="12" customFormat="1" x14ac:dyDescent="0.25"/>
    <row r="95467" s="12" customFormat="1" x14ac:dyDescent="0.25"/>
    <row r="95468" s="12" customFormat="1" x14ac:dyDescent="0.25"/>
    <row r="95469" s="12" customFormat="1" x14ac:dyDescent="0.25"/>
    <row r="95470" s="12" customFormat="1" x14ac:dyDescent="0.25"/>
    <row r="95471" s="12" customFormat="1" x14ac:dyDescent="0.25"/>
    <row r="95472" s="12" customFormat="1" x14ac:dyDescent="0.25"/>
    <row r="95473" s="12" customFormat="1" x14ac:dyDescent="0.25"/>
    <row r="95474" s="12" customFormat="1" x14ac:dyDescent="0.25"/>
    <row r="95475" s="12" customFormat="1" x14ac:dyDescent="0.25"/>
    <row r="95476" s="12" customFormat="1" x14ac:dyDescent="0.25"/>
    <row r="95477" s="12" customFormat="1" x14ac:dyDescent="0.25"/>
    <row r="95478" s="12" customFormat="1" x14ac:dyDescent="0.25"/>
    <row r="95479" s="12" customFormat="1" x14ac:dyDescent="0.25"/>
    <row r="95480" s="12" customFormat="1" x14ac:dyDescent="0.25"/>
    <row r="95481" s="12" customFormat="1" x14ac:dyDescent="0.25"/>
    <row r="95482" s="12" customFormat="1" x14ac:dyDescent="0.25"/>
    <row r="95483" s="12" customFormat="1" x14ac:dyDescent="0.25"/>
    <row r="95484" s="12" customFormat="1" x14ac:dyDescent="0.25"/>
    <row r="95485" s="12" customFormat="1" x14ac:dyDescent="0.25"/>
    <row r="95486" s="12" customFormat="1" x14ac:dyDescent="0.25"/>
    <row r="95487" s="12" customFormat="1" x14ac:dyDescent="0.25"/>
    <row r="95488" s="12" customFormat="1" x14ac:dyDescent="0.25"/>
    <row r="95489" s="12" customFormat="1" x14ac:dyDescent="0.25"/>
    <row r="95490" s="12" customFormat="1" x14ac:dyDescent="0.25"/>
    <row r="95491" s="12" customFormat="1" x14ac:dyDescent="0.25"/>
    <row r="95492" s="12" customFormat="1" x14ac:dyDescent="0.25"/>
    <row r="95493" s="12" customFormat="1" x14ac:dyDescent="0.25"/>
    <row r="95494" s="12" customFormat="1" x14ac:dyDescent="0.25"/>
    <row r="95495" s="12" customFormat="1" x14ac:dyDescent="0.25"/>
    <row r="95496" s="12" customFormat="1" x14ac:dyDescent="0.25"/>
    <row r="95497" s="12" customFormat="1" x14ac:dyDescent="0.25"/>
    <row r="95498" s="12" customFormat="1" x14ac:dyDescent="0.25"/>
    <row r="95499" s="12" customFormat="1" x14ac:dyDescent="0.25"/>
    <row r="95500" s="12" customFormat="1" x14ac:dyDescent="0.25"/>
    <row r="95501" s="12" customFormat="1" x14ac:dyDescent="0.25"/>
    <row r="95502" s="12" customFormat="1" x14ac:dyDescent="0.25"/>
    <row r="95503" s="12" customFormat="1" x14ac:dyDescent="0.25"/>
    <row r="95504" s="12" customFormat="1" x14ac:dyDescent="0.25"/>
    <row r="95505" s="12" customFormat="1" x14ac:dyDescent="0.25"/>
    <row r="95506" s="12" customFormat="1" x14ac:dyDescent="0.25"/>
    <row r="95507" s="12" customFormat="1" x14ac:dyDescent="0.25"/>
    <row r="95508" s="12" customFormat="1" x14ac:dyDescent="0.25"/>
    <row r="95509" s="12" customFormat="1" x14ac:dyDescent="0.25"/>
    <row r="95510" s="12" customFormat="1" x14ac:dyDescent="0.25"/>
    <row r="95511" s="12" customFormat="1" x14ac:dyDescent="0.25"/>
    <row r="95512" s="12" customFormat="1" x14ac:dyDescent="0.25"/>
    <row r="95513" s="12" customFormat="1" x14ac:dyDescent="0.25"/>
    <row r="95514" s="12" customFormat="1" x14ac:dyDescent="0.25"/>
    <row r="95515" s="12" customFormat="1" x14ac:dyDescent="0.25"/>
    <row r="95516" s="12" customFormat="1" x14ac:dyDescent="0.25"/>
    <row r="95517" s="12" customFormat="1" x14ac:dyDescent="0.25"/>
    <row r="95518" s="12" customFormat="1" x14ac:dyDescent="0.25"/>
    <row r="95519" s="12" customFormat="1" x14ac:dyDescent="0.25"/>
    <row r="95520" s="12" customFormat="1" x14ac:dyDescent="0.25"/>
    <row r="95521" s="12" customFormat="1" x14ac:dyDescent="0.25"/>
    <row r="95522" s="12" customFormat="1" x14ac:dyDescent="0.25"/>
    <row r="95523" s="12" customFormat="1" x14ac:dyDescent="0.25"/>
    <row r="95524" s="12" customFormat="1" x14ac:dyDescent="0.25"/>
    <row r="95525" s="12" customFormat="1" x14ac:dyDescent="0.25"/>
    <row r="95526" s="12" customFormat="1" x14ac:dyDescent="0.25"/>
    <row r="95527" s="12" customFormat="1" x14ac:dyDescent="0.25"/>
    <row r="95528" s="12" customFormat="1" x14ac:dyDescent="0.25"/>
    <row r="95529" s="12" customFormat="1" x14ac:dyDescent="0.25"/>
    <row r="95530" s="12" customFormat="1" x14ac:dyDescent="0.25"/>
    <row r="95531" s="12" customFormat="1" x14ac:dyDescent="0.25"/>
    <row r="95532" s="12" customFormat="1" x14ac:dyDescent="0.25"/>
    <row r="95533" s="12" customFormat="1" x14ac:dyDescent="0.25"/>
    <row r="95534" s="12" customFormat="1" x14ac:dyDescent="0.25"/>
    <row r="95535" s="12" customFormat="1" x14ac:dyDescent="0.25"/>
    <row r="95536" s="12" customFormat="1" x14ac:dyDescent="0.25"/>
    <row r="95537" s="12" customFormat="1" x14ac:dyDescent="0.25"/>
    <row r="95538" s="12" customFormat="1" x14ac:dyDescent="0.25"/>
    <row r="95539" s="12" customFormat="1" x14ac:dyDescent="0.25"/>
    <row r="95540" s="12" customFormat="1" x14ac:dyDescent="0.25"/>
    <row r="95541" s="12" customFormat="1" x14ac:dyDescent="0.25"/>
    <row r="95542" s="12" customFormat="1" x14ac:dyDescent="0.25"/>
    <row r="95543" s="12" customFormat="1" x14ac:dyDescent="0.25"/>
    <row r="95544" s="12" customFormat="1" x14ac:dyDescent="0.25"/>
    <row r="95545" s="12" customFormat="1" x14ac:dyDescent="0.25"/>
    <row r="95546" s="12" customFormat="1" x14ac:dyDescent="0.25"/>
    <row r="95547" s="12" customFormat="1" x14ac:dyDescent="0.25"/>
    <row r="95548" s="12" customFormat="1" x14ac:dyDescent="0.25"/>
    <row r="95549" s="12" customFormat="1" x14ac:dyDescent="0.25"/>
    <row r="95550" s="12" customFormat="1" x14ac:dyDescent="0.25"/>
    <row r="95551" s="12" customFormat="1" x14ac:dyDescent="0.25"/>
    <row r="95552" s="12" customFormat="1" x14ac:dyDescent="0.25"/>
    <row r="95553" s="12" customFormat="1" x14ac:dyDescent="0.25"/>
    <row r="95554" s="12" customFormat="1" x14ac:dyDescent="0.25"/>
    <row r="95555" s="12" customFormat="1" x14ac:dyDescent="0.25"/>
    <row r="95556" s="12" customFormat="1" x14ac:dyDescent="0.25"/>
    <row r="95557" s="12" customFormat="1" x14ac:dyDescent="0.25"/>
    <row r="95558" s="12" customFormat="1" x14ac:dyDescent="0.25"/>
    <row r="95559" s="12" customFormat="1" x14ac:dyDescent="0.25"/>
    <row r="95560" s="12" customFormat="1" x14ac:dyDescent="0.25"/>
    <row r="95561" s="12" customFormat="1" x14ac:dyDescent="0.25"/>
    <row r="95562" s="12" customFormat="1" x14ac:dyDescent="0.25"/>
    <row r="95563" s="12" customFormat="1" x14ac:dyDescent="0.25"/>
    <row r="95564" s="12" customFormat="1" x14ac:dyDescent="0.25"/>
    <row r="95565" s="12" customFormat="1" x14ac:dyDescent="0.25"/>
    <row r="95566" s="12" customFormat="1" x14ac:dyDescent="0.25"/>
    <row r="95567" s="12" customFormat="1" x14ac:dyDescent="0.25"/>
    <row r="95568" s="12" customFormat="1" x14ac:dyDescent="0.25"/>
    <row r="95569" s="12" customFormat="1" x14ac:dyDescent="0.25"/>
    <row r="95570" s="12" customFormat="1" x14ac:dyDescent="0.25"/>
    <row r="95571" s="12" customFormat="1" x14ac:dyDescent="0.25"/>
    <row r="95572" s="12" customFormat="1" x14ac:dyDescent="0.25"/>
    <row r="95573" s="12" customFormat="1" x14ac:dyDescent="0.25"/>
    <row r="95574" s="12" customFormat="1" x14ac:dyDescent="0.25"/>
    <row r="95575" s="12" customFormat="1" x14ac:dyDescent="0.25"/>
    <row r="95576" s="12" customFormat="1" x14ac:dyDescent="0.25"/>
    <row r="95577" s="12" customFormat="1" x14ac:dyDescent="0.25"/>
    <row r="95578" s="12" customFormat="1" x14ac:dyDescent="0.25"/>
    <row r="95579" s="12" customFormat="1" x14ac:dyDescent="0.25"/>
    <row r="95580" s="12" customFormat="1" x14ac:dyDescent="0.25"/>
    <row r="95581" s="12" customFormat="1" x14ac:dyDescent="0.25"/>
    <row r="95582" s="12" customFormat="1" x14ac:dyDescent="0.25"/>
    <row r="95583" s="12" customFormat="1" x14ac:dyDescent="0.25"/>
    <row r="95584" s="12" customFormat="1" x14ac:dyDescent="0.25"/>
    <row r="95585" s="12" customFormat="1" x14ac:dyDescent="0.25"/>
    <row r="95586" s="12" customFormat="1" x14ac:dyDescent="0.25"/>
    <row r="95587" s="12" customFormat="1" x14ac:dyDescent="0.25"/>
    <row r="95588" s="12" customFormat="1" x14ac:dyDescent="0.25"/>
    <row r="95589" s="12" customFormat="1" x14ac:dyDescent="0.25"/>
    <row r="95590" s="12" customFormat="1" x14ac:dyDescent="0.25"/>
    <row r="95591" s="12" customFormat="1" x14ac:dyDescent="0.25"/>
    <row r="95592" s="12" customFormat="1" x14ac:dyDescent="0.25"/>
    <row r="95593" s="12" customFormat="1" x14ac:dyDescent="0.25"/>
    <row r="95594" s="12" customFormat="1" x14ac:dyDescent="0.25"/>
    <row r="95595" s="12" customFormat="1" x14ac:dyDescent="0.25"/>
    <row r="95596" s="12" customFormat="1" x14ac:dyDescent="0.25"/>
    <row r="95597" s="12" customFormat="1" x14ac:dyDescent="0.25"/>
    <row r="95598" s="12" customFormat="1" x14ac:dyDescent="0.25"/>
    <row r="95599" s="12" customFormat="1" x14ac:dyDescent="0.25"/>
    <row r="95600" s="12" customFormat="1" x14ac:dyDescent="0.25"/>
    <row r="95601" s="12" customFormat="1" x14ac:dyDescent="0.25"/>
    <row r="95602" s="12" customFormat="1" x14ac:dyDescent="0.25"/>
    <row r="95603" s="12" customFormat="1" x14ac:dyDescent="0.25"/>
    <row r="95604" s="12" customFormat="1" x14ac:dyDescent="0.25"/>
    <row r="95605" s="12" customFormat="1" x14ac:dyDescent="0.25"/>
    <row r="95606" s="12" customFormat="1" x14ac:dyDescent="0.25"/>
    <row r="95607" s="12" customFormat="1" x14ac:dyDescent="0.25"/>
    <row r="95608" s="12" customFormat="1" x14ac:dyDescent="0.25"/>
    <row r="95609" s="12" customFormat="1" x14ac:dyDescent="0.25"/>
    <row r="95610" s="12" customFormat="1" x14ac:dyDescent="0.25"/>
    <row r="95611" s="12" customFormat="1" x14ac:dyDescent="0.25"/>
    <row r="95612" s="12" customFormat="1" x14ac:dyDescent="0.25"/>
    <row r="95613" s="12" customFormat="1" x14ac:dyDescent="0.25"/>
    <row r="95614" s="12" customFormat="1" x14ac:dyDescent="0.25"/>
    <row r="95615" s="12" customFormat="1" x14ac:dyDescent="0.25"/>
    <row r="95616" s="12" customFormat="1" x14ac:dyDescent="0.25"/>
    <row r="95617" s="12" customFormat="1" x14ac:dyDescent="0.25"/>
    <row r="95618" s="12" customFormat="1" x14ac:dyDescent="0.25"/>
    <row r="95619" s="12" customFormat="1" x14ac:dyDescent="0.25"/>
    <row r="95620" s="12" customFormat="1" x14ac:dyDescent="0.25"/>
    <row r="95621" s="12" customFormat="1" x14ac:dyDescent="0.25"/>
    <row r="95622" s="12" customFormat="1" x14ac:dyDescent="0.25"/>
    <row r="95623" s="12" customFormat="1" x14ac:dyDescent="0.25"/>
    <row r="95624" s="12" customFormat="1" x14ac:dyDescent="0.25"/>
    <row r="95625" s="12" customFormat="1" x14ac:dyDescent="0.25"/>
    <row r="95626" s="12" customFormat="1" x14ac:dyDescent="0.25"/>
    <row r="95627" s="12" customFormat="1" x14ac:dyDescent="0.25"/>
    <row r="95628" s="12" customFormat="1" x14ac:dyDescent="0.25"/>
    <row r="95629" s="12" customFormat="1" x14ac:dyDescent="0.25"/>
    <row r="95630" s="12" customFormat="1" x14ac:dyDescent="0.25"/>
    <row r="95631" s="12" customFormat="1" x14ac:dyDescent="0.25"/>
    <row r="95632" s="12" customFormat="1" x14ac:dyDescent="0.25"/>
    <row r="95633" s="12" customFormat="1" x14ac:dyDescent="0.25"/>
    <row r="95634" s="12" customFormat="1" x14ac:dyDescent="0.25"/>
    <row r="95635" s="12" customFormat="1" x14ac:dyDescent="0.25"/>
    <row r="95636" s="12" customFormat="1" x14ac:dyDescent="0.25"/>
    <row r="95637" s="12" customFormat="1" x14ac:dyDescent="0.25"/>
    <row r="95638" s="12" customFormat="1" x14ac:dyDescent="0.25"/>
    <row r="95639" s="12" customFormat="1" x14ac:dyDescent="0.25"/>
    <row r="95640" s="12" customFormat="1" x14ac:dyDescent="0.25"/>
    <row r="95641" s="12" customFormat="1" x14ac:dyDescent="0.25"/>
    <row r="95642" s="12" customFormat="1" x14ac:dyDescent="0.25"/>
    <row r="95643" s="12" customFormat="1" x14ac:dyDescent="0.25"/>
    <row r="95644" s="12" customFormat="1" x14ac:dyDescent="0.25"/>
    <row r="95645" s="12" customFormat="1" x14ac:dyDescent="0.25"/>
    <row r="95646" s="12" customFormat="1" x14ac:dyDescent="0.25"/>
    <row r="95647" s="12" customFormat="1" x14ac:dyDescent="0.25"/>
    <row r="95648" s="12" customFormat="1" x14ac:dyDescent="0.25"/>
    <row r="95649" s="12" customFormat="1" x14ac:dyDescent="0.25"/>
    <row r="95650" s="12" customFormat="1" x14ac:dyDescent="0.25"/>
    <row r="95651" s="12" customFormat="1" x14ac:dyDescent="0.25"/>
    <row r="95652" s="12" customFormat="1" x14ac:dyDescent="0.25"/>
    <row r="95653" s="12" customFormat="1" x14ac:dyDescent="0.25"/>
    <row r="95654" s="12" customFormat="1" x14ac:dyDescent="0.25"/>
    <row r="95655" s="12" customFormat="1" x14ac:dyDescent="0.25"/>
    <row r="95656" s="12" customFormat="1" x14ac:dyDescent="0.25"/>
    <row r="95657" s="12" customFormat="1" x14ac:dyDescent="0.25"/>
    <row r="95658" s="12" customFormat="1" x14ac:dyDescent="0.25"/>
    <row r="95659" s="12" customFormat="1" x14ac:dyDescent="0.25"/>
    <row r="95660" s="12" customFormat="1" x14ac:dyDescent="0.25"/>
    <row r="95661" s="12" customFormat="1" x14ac:dyDescent="0.25"/>
    <row r="95662" s="12" customFormat="1" x14ac:dyDescent="0.25"/>
    <row r="95663" s="12" customFormat="1" x14ac:dyDescent="0.25"/>
    <row r="95664" s="12" customFormat="1" x14ac:dyDescent="0.25"/>
    <row r="95665" s="12" customFormat="1" x14ac:dyDescent="0.25"/>
    <row r="95666" s="12" customFormat="1" x14ac:dyDescent="0.25"/>
    <row r="95667" s="12" customFormat="1" x14ac:dyDescent="0.25"/>
    <row r="95668" s="12" customFormat="1" x14ac:dyDescent="0.25"/>
    <row r="95669" s="12" customFormat="1" x14ac:dyDescent="0.25"/>
    <row r="95670" s="12" customFormat="1" x14ac:dyDescent="0.25"/>
    <row r="95671" s="12" customFormat="1" x14ac:dyDescent="0.25"/>
    <row r="95672" s="12" customFormat="1" x14ac:dyDescent="0.25"/>
    <row r="95673" s="12" customFormat="1" x14ac:dyDescent="0.25"/>
    <row r="95674" s="12" customFormat="1" x14ac:dyDescent="0.25"/>
    <row r="95675" s="12" customFormat="1" x14ac:dyDescent="0.25"/>
    <row r="95676" s="12" customFormat="1" x14ac:dyDescent="0.25"/>
    <row r="95677" s="12" customFormat="1" x14ac:dyDescent="0.25"/>
    <row r="95678" s="12" customFormat="1" x14ac:dyDescent="0.25"/>
    <row r="95679" s="12" customFormat="1" x14ac:dyDescent="0.25"/>
    <row r="95680" s="12" customFormat="1" x14ac:dyDescent="0.25"/>
    <row r="95681" s="12" customFormat="1" x14ac:dyDescent="0.25"/>
    <row r="95682" s="12" customFormat="1" x14ac:dyDescent="0.25"/>
    <row r="95683" s="12" customFormat="1" x14ac:dyDescent="0.25"/>
    <row r="95684" s="12" customFormat="1" x14ac:dyDescent="0.25"/>
    <row r="95685" s="12" customFormat="1" x14ac:dyDescent="0.25"/>
    <row r="95686" s="12" customFormat="1" x14ac:dyDescent="0.25"/>
    <row r="95687" s="12" customFormat="1" x14ac:dyDescent="0.25"/>
    <row r="95688" s="12" customFormat="1" x14ac:dyDescent="0.25"/>
    <row r="95689" s="12" customFormat="1" x14ac:dyDescent="0.25"/>
    <row r="95690" s="12" customFormat="1" x14ac:dyDescent="0.25"/>
    <row r="95691" s="12" customFormat="1" x14ac:dyDescent="0.25"/>
    <row r="95692" s="12" customFormat="1" x14ac:dyDescent="0.25"/>
    <row r="95693" s="12" customFormat="1" x14ac:dyDescent="0.25"/>
    <row r="95694" s="12" customFormat="1" x14ac:dyDescent="0.25"/>
    <row r="95695" s="12" customFormat="1" x14ac:dyDescent="0.25"/>
    <row r="95696" s="12" customFormat="1" x14ac:dyDescent="0.25"/>
    <row r="95697" s="12" customFormat="1" x14ac:dyDescent="0.25"/>
    <row r="95698" s="12" customFormat="1" x14ac:dyDescent="0.25"/>
    <row r="95699" s="12" customFormat="1" x14ac:dyDescent="0.25"/>
    <row r="95700" s="12" customFormat="1" x14ac:dyDescent="0.25"/>
    <row r="95701" s="12" customFormat="1" x14ac:dyDescent="0.25"/>
    <row r="95702" s="12" customFormat="1" x14ac:dyDescent="0.25"/>
    <row r="95703" s="12" customFormat="1" x14ac:dyDescent="0.25"/>
    <row r="95704" s="12" customFormat="1" x14ac:dyDescent="0.25"/>
    <row r="95705" s="12" customFormat="1" x14ac:dyDescent="0.25"/>
    <row r="95706" s="12" customFormat="1" x14ac:dyDescent="0.25"/>
    <row r="95707" s="12" customFormat="1" x14ac:dyDescent="0.25"/>
    <row r="95708" s="12" customFormat="1" x14ac:dyDescent="0.25"/>
    <row r="95709" s="12" customFormat="1" x14ac:dyDescent="0.25"/>
    <row r="95710" s="12" customFormat="1" x14ac:dyDescent="0.25"/>
    <row r="95711" s="12" customFormat="1" x14ac:dyDescent="0.25"/>
    <row r="95712" s="12" customFormat="1" x14ac:dyDescent="0.25"/>
    <row r="95713" s="12" customFormat="1" x14ac:dyDescent="0.25"/>
    <row r="95714" s="12" customFormat="1" x14ac:dyDescent="0.25"/>
    <row r="95715" s="12" customFormat="1" x14ac:dyDescent="0.25"/>
    <row r="95716" s="12" customFormat="1" x14ac:dyDescent="0.25"/>
    <row r="95717" s="12" customFormat="1" x14ac:dyDescent="0.25"/>
    <row r="95718" s="12" customFormat="1" x14ac:dyDescent="0.25"/>
    <row r="95719" s="12" customFormat="1" x14ac:dyDescent="0.25"/>
    <row r="95720" s="12" customFormat="1" x14ac:dyDescent="0.25"/>
    <row r="95721" s="12" customFormat="1" x14ac:dyDescent="0.25"/>
    <row r="95722" s="12" customFormat="1" x14ac:dyDescent="0.25"/>
    <row r="95723" s="12" customFormat="1" x14ac:dyDescent="0.25"/>
    <row r="95724" s="12" customFormat="1" x14ac:dyDescent="0.25"/>
    <row r="95725" s="12" customFormat="1" x14ac:dyDescent="0.25"/>
    <row r="95726" s="12" customFormat="1" x14ac:dyDescent="0.25"/>
    <row r="95727" s="12" customFormat="1" x14ac:dyDescent="0.25"/>
    <row r="95728" s="12" customFormat="1" x14ac:dyDescent="0.25"/>
    <row r="95729" s="12" customFormat="1" x14ac:dyDescent="0.25"/>
    <row r="95730" s="12" customFormat="1" x14ac:dyDescent="0.25"/>
    <row r="95731" s="12" customFormat="1" x14ac:dyDescent="0.25"/>
    <row r="95732" s="12" customFormat="1" x14ac:dyDescent="0.25"/>
    <row r="95733" s="12" customFormat="1" x14ac:dyDescent="0.25"/>
    <row r="95734" s="12" customFormat="1" x14ac:dyDescent="0.25"/>
    <row r="95735" s="12" customFormat="1" x14ac:dyDescent="0.25"/>
    <row r="95736" s="12" customFormat="1" x14ac:dyDescent="0.25"/>
    <row r="95737" s="12" customFormat="1" x14ac:dyDescent="0.25"/>
    <row r="95738" s="12" customFormat="1" x14ac:dyDescent="0.25"/>
    <row r="95739" s="12" customFormat="1" x14ac:dyDescent="0.25"/>
    <row r="95740" s="12" customFormat="1" x14ac:dyDescent="0.25"/>
    <row r="95741" s="12" customFormat="1" x14ac:dyDescent="0.25"/>
    <row r="95742" s="12" customFormat="1" x14ac:dyDescent="0.25"/>
    <row r="95743" s="12" customFormat="1" x14ac:dyDescent="0.25"/>
    <row r="95744" s="12" customFormat="1" x14ac:dyDescent="0.25"/>
    <row r="95745" s="12" customFormat="1" x14ac:dyDescent="0.25"/>
    <row r="95746" s="12" customFormat="1" x14ac:dyDescent="0.25"/>
    <row r="95747" s="12" customFormat="1" x14ac:dyDescent="0.25"/>
    <row r="95748" s="12" customFormat="1" x14ac:dyDescent="0.25"/>
    <row r="95749" s="12" customFormat="1" x14ac:dyDescent="0.25"/>
    <row r="95750" s="12" customFormat="1" x14ac:dyDescent="0.25"/>
    <row r="95751" s="12" customFormat="1" x14ac:dyDescent="0.25"/>
    <row r="95752" s="12" customFormat="1" x14ac:dyDescent="0.25"/>
    <row r="95753" s="12" customFormat="1" x14ac:dyDescent="0.25"/>
    <row r="95754" s="12" customFormat="1" x14ac:dyDescent="0.25"/>
    <row r="95755" s="12" customFormat="1" x14ac:dyDescent="0.25"/>
    <row r="95756" s="12" customFormat="1" x14ac:dyDescent="0.25"/>
    <row r="95757" s="12" customFormat="1" x14ac:dyDescent="0.25"/>
    <row r="95758" s="12" customFormat="1" x14ac:dyDescent="0.25"/>
    <row r="95759" s="12" customFormat="1" x14ac:dyDescent="0.25"/>
    <row r="95760" s="12" customFormat="1" x14ac:dyDescent="0.25"/>
    <row r="95761" s="12" customFormat="1" x14ac:dyDescent="0.25"/>
    <row r="95762" s="12" customFormat="1" x14ac:dyDescent="0.25"/>
    <row r="95763" s="12" customFormat="1" x14ac:dyDescent="0.25"/>
    <row r="95764" s="12" customFormat="1" x14ac:dyDescent="0.25"/>
    <row r="95765" s="12" customFormat="1" x14ac:dyDescent="0.25"/>
    <row r="95766" s="12" customFormat="1" x14ac:dyDescent="0.25"/>
    <row r="95767" s="12" customFormat="1" x14ac:dyDescent="0.25"/>
    <row r="95768" s="12" customFormat="1" x14ac:dyDescent="0.25"/>
    <row r="95769" s="12" customFormat="1" x14ac:dyDescent="0.25"/>
    <row r="95770" s="12" customFormat="1" x14ac:dyDescent="0.25"/>
    <row r="95771" s="12" customFormat="1" x14ac:dyDescent="0.25"/>
    <row r="95772" s="12" customFormat="1" x14ac:dyDescent="0.25"/>
    <row r="95773" s="12" customFormat="1" x14ac:dyDescent="0.25"/>
    <row r="95774" s="12" customFormat="1" x14ac:dyDescent="0.25"/>
    <row r="95775" s="12" customFormat="1" x14ac:dyDescent="0.25"/>
    <row r="95776" s="12" customFormat="1" x14ac:dyDescent="0.25"/>
    <row r="95777" s="12" customFormat="1" x14ac:dyDescent="0.25"/>
    <row r="95778" s="12" customFormat="1" x14ac:dyDescent="0.25"/>
    <row r="95779" s="12" customFormat="1" x14ac:dyDescent="0.25"/>
    <row r="95780" s="12" customFormat="1" x14ac:dyDescent="0.25"/>
    <row r="95781" s="12" customFormat="1" x14ac:dyDescent="0.25"/>
    <row r="95782" s="12" customFormat="1" x14ac:dyDescent="0.25"/>
    <row r="95783" s="12" customFormat="1" x14ac:dyDescent="0.25"/>
    <row r="95784" s="12" customFormat="1" x14ac:dyDescent="0.25"/>
    <row r="95785" s="12" customFormat="1" x14ac:dyDescent="0.25"/>
    <row r="95786" s="12" customFormat="1" x14ac:dyDescent="0.25"/>
    <row r="95787" s="12" customFormat="1" x14ac:dyDescent="0.25"/>
    <row r="95788" s="12" customFormat="1" x14ac:dyDescent="0.25"/>
    <row r="95789" s="12" customFormat="1" x14ac:dyDescent="0.25"/>
    <row r="95790" s="12" customFormat="1" x14ac:dyDescent="0.25"/>
    <row r="95791" s="12" customFormat="1" x14ac:dyDescent="0.25"/>
    <row r="95792" s="12" customFormat="1" x14ac:dyDescent="0.25"/>
    <row r="95793" s="12" customFormat="1" x14ac:dyDescent="0.25"/>
    <row r="95794" s="12" customFormat="1" x14ac:dyDescent="0.25"/>
    <row r="95795" s="12" customFormat="1" x14ac:dyDescent="0.25"/>
    <row r="95796" s="12" customFormat="1" x14ac:dyDescent="0.25"/>
    <row r="95797" s="12" customFormat="1" x14ac:dyDescent="0.25"/>
    <row r="95798" s="12" customFormat="1" x14ac:dyDescent="0.25"/>
    <row r="95799" s="12" customFormat="1" x14ac:dyDescent="0.25"/>
    <row r="95800" s="12" customFormat="1" x14ac:dyDescent="0.25"/>
    <row r="95801" s="12" customFormat="1" x14ac:dyDescent="0.25"/>
    <row r="95802" s="12" customFormat="1" x14ac:dyDescent="0.25"/>
    <row r="95803" s="12" customFormat="1" x14ac:dyDescent="0.25"/>
    <row r="95804" s="12" customFormat="1" x14ac:dyDescent="0.25"/>
    <row r="95805" s="12" customFormat="1" x14ac:dyDescent="0.25"/>
    <row r="95806" s="12" customFormat="1" x14ac:dyDescent="0.25"/>
    <row r="95807" s="12" customFormat="1" x14ac:dyDescent="0.25"/>
    <row r="95808" s="12" customFormat="1" x14ac:dyDescent="0.25"/>
    <row r="95809" s="12" customFormat="1" x14ac:dyDescent="0.25"/>
    <row r="95810" s="12" customFormat="1" x14ac:dyDescent="0.25"/>
    <row r="95811" s="12" customFormat="1" x14ac:dyDescent="0.25"/>
    <row r="95812" s="12" customFormat="1" x14ac:dyDescent="0.25"/>
    <row r="95813" s="12" customFormat="1" x14ac:dyDescent="0.25"/>
    <row r="95814" s="12" customFormat="1" x14ac:dyDescent="0.25"/>
    <row r="95815" s="12" customFormat="1" x14ac:dyDescent="0.25"/>
    <row r="95816" s="12" customFormat="1" x14ac:dyDescent="0.25"/>
    <row r="95817" s="12" customFormat="1" x14ac:dyDescent="0.25"/>
    <row r="95818" s="12" customFormat="1" x14ac:dyDescent="0.25"/>
    <row r="95819" s="12" customFormat="1" x14ac:dyDescent="0.25"/>
    <row r="95820" s="12" customFormat="1" x14ac:dyDescent="0.25"/>
    <row r="95821" s="12" customFormat="1" x14ac:dyDescent="0.25"/>
    <row r="95822" s="12" customFormat="1" x14ac:dyDescent="0.25"/>
    <row r="95823" s="12" customFormat="1" x14ac:dyDescent="0.25"/>
    <row r="95824" s="12" customFormat="1" x14ac:dyDescent="0.25"/>
    <row r="95825" s="12" customFormat="1" x14ac:dyDescent="0.25"/>
    <row r="95826" s="12" customFormat="1" x14ac:dyDescent="0.25"/>
    <row r="95827" s="12" customFormat="1" x14ac:dyDescent="0.25"/>
    <row r="95828" s="12" customFormat="1" x14ac:dyDescent="0.25"/>
    <row r="95829" s="12" customFormat="1" x14ac:dyDescent="0.25"/>
    <row r="95830" s="12" customFormat="1" x14ac:dyDescent="0.25"/>
    <row r="95831" s="12" customFormat="1" x14ac:dyDescent="0.25"/>
    <row r="95832" s="12" customFormat="1" x14ac:dyDescent="0.25"/>
    <row r="95833" s="12" customFormat="1" x14ac:dyDescent="0.25"/>
    <row r="95834" s="12" customFormat="1" x14ac:dyDescent="0.25"/>
    <row r="95835" s="12" customFormat="1" x14ac:dyDescent="0.25"/>
    <row r="95836" s="12" customFormat="1" x14ac:dyDescent="0.25"/>
    <row r="95837" s="12" customFormat="1" x14ac:dyDescent="0.25"/>
    <row r="95838" s="12" customFormat="1" x14ac:dyDescent="0.25"/>
    <row r="95839" s="12" customFormat="1" x14ac:dyDescent="0.25"/>
    <row r="95840" s="12" customFormat="1" x14ac:dyDescent="0.25"/>
    <row r="95841" s="12" customFormat="1" x14ac:dyDescent="0.25"/>
    <row r="95842" s="12" customFormat="1" x14ac:dyDescent="0.25"/>
    <row r="95843" s="12" customFormat="1" x14ac:dyDescent="0.25"/>
    <row r="95844" s="12" customFormat="1" x14ac:dyDescent="0.25"/>
    <row r="95845" s="12" customFormat="1" x14ac:dyDescent="0.25"/>
    <row r="95846" s="12" customFormat="1" x14ac:dyDescent="0.25"/>
    <row r="95847" s="12" customFormat="1" x14ac:dyDescent="0.25"/>
    <row r="95848" s="12" customFormat="1" x14ac:dyDescent="0.25"/>
    <row r="95849" s="12" customFormat="1" x14ac:dyDescent="0.25"/>
    <row r="95850" s="12" customFormat="1" x14ac:dyDescent="0.25"/>
    <row r="95851" s="12" customFormat="1" x14ac:dyDescent="0.25"/>
    <row r="95852" s="12" customFormat="1" x14ac:dyDescent="0.25"/>
    <row r="95853" s="12" customFormat="1" x14ac:dyDescent="0.25"/>
    <row r="95854" s="12" customFormat="1" x14ac:dyDescent="0.25"/>
    <row r="95855" s="12" customFormat="1" x14ac:dyDescent="0.25"/>
    <row r="95856" s="12" customFormat="1" x14ac:dyDescent="0.25"/>
    <row r="95857" s="12" customFormat="1" x14ac:dyDescent="0.25"/>
    <row r="95858" s="12" customFormat="1" x14ac:dyDescent="0.25"/>
    <row r="95859" s="12" customFormat="1" x14ac:dyDescent="0.25"/>
    <row r="95860" s="12" customFormat="1" x14ac:dyDescent="0.25"/>
    <row r="95861" s="12" customFormat="1" x14ac:dyDescent="0.25"/>
    <row r="95862" s="12" customFormat="1" x14ac:dyDescent="0.25"/>
    <row r="95863" s="12" customFormat="1" x14ac:dyDescent="0.25"/>
    <row r="95864" s="12" customFormat="1" x14ac:dyDescent="0.25"/>
    <row r="95865" s="12" customFormat="1" x14ac:dyDescent="0.25"/>
    <row r="95866" s="12" customFormat="1" x14ac:dyDescent="0.25"/>
    <row r="95867" s="12" customFormat="1" x14ac:dyDescent="0.25"/>
    <row r="95868" s="12" customFormat="1" x14ac:dyDescent="0.25"/>
    <row r="95869" s="12" customFormat="1" x14ac:dyDescent="0.25"/>
    <row r="95870" s="12" customFormat="1" x14ac:dyDescent="0.25"/>
    <row r="95871" s="12" customFormat="1" x14ac:dyDescent="0.25"/>
    <row r="95872" s="12" customFormat="1" x14ac:dyDescent="0.25"/>
    <row r="95873" s="12" customFormat="1" x14ac:dyDescent="0.25"/>
    <row r="95874" s="12" customFormat="1" x14ac:dyDescent="0.25"/>
    <row r="95875" s="12" customFormat="1" x14ac:dyDescent="0.25"/>
    <row r="95876" s="12" customFormat="1" x14ac:dyDescent="0.25"/>
    <row r="95877" s="12" customFormat="1" x14ac:dyDescent="0.25"/>
    <row r="95878" s="12" customFormat="1" x14ac:dyDescent="0.25"/>
    <row r="95879" s="12" customFormat="1" x14ac:dyDescent="0.25"/>
    <row r="95880" s="12" customFormat="1" x14ac:dyDescent="0.25"/>
    <row r="95881" s="12" customFormat="1" x14ac:dyDescent="0.25"/>
    <row r="95882" s="12" customFormat="1" x14ac:dyDescent="0.25"/>
    <row r="95883" s="12" customFormat="1" x14ac:dyDescent="0.25"/>
    <row r="95884" s="12" customFormat="1" x14ac:dyDescent="0.25"/>
    <row r="95885" s="12" customFormat="1" x14ac:dyDescent="0.25"/>
    <row r="95886" s="12" customFormat="1" x14ac:dyDescent="0.25"/>
    <row r="95887" s="12" customFormat="1" x14ac:dyDescent="0.25"/>
    <row r="95888" s="12" customFormat="1" x14ac:dyDescent="0.25"/>
    <row r="95889" s="12" customFormat="1" x14ac:dyDescent="0.25"/>
    <row r="95890" s="12" customFormat="1" x14ac:dyDescent="0.25"/>
    <row r="95891" s="12" customFormat="1" x14ac:dyDescent="0.25"/>
    <row r="95892" s="12" customFormat="1" x14ac:dyDescent="0.25"/>
    <row r="95893" s="12" customFormat="1" x14ac:dyDescent="0.25"/>
    <row r="95894" s="12" customFormat="1" x14ac:dyDescent="0.25"/>
    <row r="95895" s="12" customFormat="1" x14ac:dyDescent="0.25"/>
    <row r="95896" s="12" customFormat="1" x14ac:dyDescent="0.25"/>
    <row r="95897" s="12" customFormat="1" x14ac:dyDescent="0.25"/>
    <row r="95898" s="12" customFormat="1" x14ac:dyDescent="0.25"/>
    <row r="95899" s="12" customFormat="1" x14ac:dyDescent="0.25"/>
    <row r="95900" s="12" customFormat="1" x14ac:dyDescent="0.25"/>
    <row r="95901" s="12" customFormat="1" x14ac:dyDescent="0.25"/>
    <row r="95902" s="12" customFormat="1" x14ac:dyDescent="0.25"/>
    <row r="95903" s="12" customFormat="1" x14ac:dyDescent="0.25"/>
    <row r="95904" s="12" customFormat="1" x14ac:dyDescent="0.25"/>
    <row r="95905" s="12" customFormat="1" x14ac:dyDescent="0.25"/>
    <row r="95906" s="12" customFormat="1" x14ac:dyDescent="0.25"/>
    <row r="95907" s="12" customFormat="1" x14ac:dyDescent="0.25"/>
    <row r="95908" s="12" customFormat="1" x14ac:dyDescent="0.25"/>
    <row r="95909" s="12" customFormat="1" x14ac:dyDescent="0.25"/>
    <row r="95910" s="12" customFormat="1" x14ac:dyDescent="0.25"/>
    <row r="95911" s="12" customFormat="1" x14ac:dyDescent="0.25"/>
    <row r="95912" s="12" customFormat="1" x14ac:dyDescent="0.25"/>
    <row r="95913" s="12" customFormat="1" x14ac:dyDescent="0.25"/>
    <row r="95914" s="12" customFormat="1" x14ac:dyDescent="0.25"/>
    <row r="95915" s="12" customFormat="1" x14ac:dyDescent="0.25"/>
    <row r="95916" s="12" customFormat="1" x14ac:dyDescent="0.25"/>
    <row r="95917" s="12" customFormat="1" x14ac:dyDescent="0.25"/>
    <row r="95918" s="12" customFormat="1" x14ac:dyDescent="0.25"/>
    <row r="95919" s="12" customFormat="1" x14ac:dyDescent="0.25"/>
    <row r="95920" s="12" customFormat="1" x14ac:dyDescent="0.25"/>
    <row r="95921" s="12" customFormat="1" x14ac:dyDescent="0.25"/>
    <row r="95922" s="12" customFormat="1" x14ac:dyDescent="0.25"/>
    <row r="95923" s="12" customFormat="1" x14ac:dyDescent="0.25"/>
    <row r="95924" s="12" customFormat="1" x14ac:dyDescent="0.25"/>
    <row r="95925" s="12" customFormat="1" x14ac:dyDescent="0.25"/>
    <row r="95926" s="12" customFormat="1" x14ac:dyDescent="0.25"/>
    <row r="95927" s="12" customFormat="1" x14ac:dyDescent="0.25"/>
    <row r="95928" s="12" customFormat="1" x14ac:dyDescent="0.25"/>
    <row r="95929" s="12" customFormat="1" x14ac:dyDescent="0.25"/>
    <row r="95930" s="12" customFormat="1" x14ac:dyDescent="0.25"/>
    <row r="95931" s="12" customFormat="1" x14ac:dyDescent="0.25"/>
    <row r="95932" s="12" customFormat="1" x14ac:dyDescent="0.25"/>
    <row r="95933" s="12" customFormat="1" x14ac:dyDescent="0.25"/>
    <row r="95934" s="12" customFormat="1" x14ac:dyDescent="0.25"/>
    <row r="95935" s="12" customFormat="1" x14ac:dyDescent="0.25"/>
    <row r="95936" s="12" customFormat="1" x14ac:dyDescent="0.25"/>
    <row r="95937" s="12" customFormat="1" x14ac:dyDescent="0.25"/>
    <row r="95938" s="12" customFormat="1" x14ac:dyDescent="0.25"/>
    <row r="95939" s="12" customFormat="1" x14ac:dyDescent="0.25"/>
    <row r="95940" s="12" customFormat="1" x14ac:dyDescent="0.25"/>
    <row r="95941" s="12" customFormat="1" x14ac:dyDescent="0.25"/>
    <row r="95942" s="12" customFormat="1" x14ac:dyDescent="0.25"/>
    <row r="95943" s="12" customFormat="1" x14ac:dyDescent="0.25"/>
    <row r="95944" s="12" customFormat="1" x14ac:dyDescent="0.25"/>
    <row r="95945" s="12" customFormat="1" x14ac:dyDescent="0.25"/>
    <row r="95946" s="12" customFormat="1" x14ac:dyDescent="0.25"/>
    <row r="95947" s="12" customFormat="1" x14ac:dyDescent="0.25"/>
    <row r="95948" s="12" customFormat="1" x14ac:dyDescent="0.25"/>
    <row r="95949" s="12" customFormat="1" x14ac:dyDescent="0.25"/>
    <row r="95950" s="12" customFormat="1" x14ac:dyDescent="0.25"/>
    <row r="95951" s="12" customFormat="1" x14ac:dyDescent="0.25"/>
    <row r="95952" s="12" customFormat="1" x14ac:dyDescent="0.25"/>
    <row r="95953" s="12" customFormat="1" x14ac:dyDescent="0.25"/>
    <row r="95954" s="12" customFormat="1" x14ac:dyDescent="0.25"/>
    <row r="95955" s="12" customFormat="1" x14ac:dyDescent="0.25"/>
    <row r="95956" s="12" customFormat="1" x14ac:dyDescent="0.25"/>
    <row r="95957" s="12" customFormat="1" x14ac:dyDescent="0.25"/>
    <row r="95958" s="12" customFormat="1" x14ac:dyDescent="0.25"/>
    <row r="95959" s="12" customFormat="1" x14ac:dyDescent="0.25"/>
    <row r="95960" s="12" customFormat="1" x14ac:dyDescent="0.25"/>
    <row r="95961" s="12" customFormat="1" x14ac:dyDescent="0.25"/>
    <row r="95962" s="12" customFormat="1" x14ac:dyDescent="0.25"/>
    <row r="95963" s="12" customFormat="1" x14ac:dyDescent="0.25"/>
    <row r="95964" s="12" customFormat="1" x14ac:dyDescent="0.25"/>
    <row r="95965" s="12" customFormat="1" x14ac:dyDescent="0.25"/>
    <row r="95966" s="12" customFormat="1" x14ac:dyDescent="0.25"/>
    <row r="95967" s="12" customFormat="1" x14ac:dyDescent="0.25"/>
    <row r="95968" s="12" customFormat="1" x14ac:dyDescent="0.25"/>
    <row r="95969" s="12" customFormat="1" x14ac:dyDescent="0.25"/>
    <row r="95970" s="12" customFormat="1" x14ac:dyDescent="0.25"/>
    <row r="95971" s="12" customFormat="1" x14ac:dyDescent="0.25"/>
    <row r="95972" s="12" customFormat="1" x14ac:dyDescent="0.25"/>
    <row r="95973" s="12" customFormat="1" x14ac:dyDescent="0.25"/>
    <row r="95974" s="12" customFormat="1" x14ac:dyDescent="0.25"/>
    <row r="95975" s="12" customFormat="1" x14ac:dyDescent="0.25"/>
    <row r="95976" s="12" customFormat="1" x14ac:dyDescent="0.25"/>
    <row r="95977" s="12" customFormat="1" x14ac:dyDescent="0.25"/>
    <row r="95978" s="12" customFormat="1" x14ac:dyDescent="0.25"/>
    <row r="95979" s="12" customFormat="1" x14ac:dyDescent="0.25"/>
    <row r="95980" s="12" customFormat="1" x14ac:dyDescent="0.25"/>
    <row r="95981" s="12" customFormat="1" x14ac:dyDescent="0.25"/>
    <row r="95982" s="12" customFormat="1" x14ac:dyDescent="0.25"/>
    <row r="95983" s="12" customFormat="1" x14ac:dyDescent="0.25"/>
    <row r="95984" s="12" customFormat="1" x14ac:dyDescent="0.25"/>
    <row r="95985" s="12" customFormat="1" x14ac:dyDescent="0.25"/>
    <row r="95986" s="12" customFormat="1" x14ac:dyDescent="0.25"/>
    <row r="95987" s="12" customFormat="1" x14ac:dyDescent="0.25"/>
    <row r="95988" s="12" customFormat="1" x14ac:dyDescent="0.25"/>
    <row r="95989" s="12" customFormat="1" x14ac:dyDescent="0.25"/>
    <row r="95990" s="12" customFormat="1" x14ac:dyDescent="0.25"/>
    <row r="95991" s="12" customFormat="1" x14ac:dyDescent="0.25"/>
    <row r="95992" s="12" customFormat="1" x14ac:dyDescent="0.25"/>
    <row r="95993" s="12" customFormat="1" x14ac:dyDescent="0.25"/>
    <row r="95994" s="12" customFormat="1" x14ac:dyDescent="0.25"/>
    <row r="95995" s="12" customFormat="1" x14ac:dyDescent="0.25"/>
    <row r="95996" s="12" customFormat="1" x14ac:dyDescent="0.25"/>
    <row r="95997" s="12" customFormat="1" x14ac:dyDescent="0.25"/>
    <row r="95998" s="12" customFormat="1" x14ac:dyDescent="0.25"/>
    <row r="95999" s="12" customFormat="1" x14ac:dyDescent="0.25"/>
    <row r="96000" s="12" customFormat="1" x14ac:dyDescent="0.25"/>
    <row r="96001" s="12" customFormat="1" x14ac:dyDescent="0.25"/>
    <row r="96002" s="12" customFormat="1" x14ac:dyDescent="0.25"/>
    <row r="96003" s="12" customFormat="1" x14ac:dyDescent="0.25"/>
    <row r="96004" s="12" customFormat="1" x14ac:dyDescent="0.25"/>
    <row r="96005" s="12" customFormat="1" x14ac:dyDescent="0.25"/>
    <row r="96006" s="12" customFormat="1" x14ac:dyDescent="0.25"/>
    <row r="96007" s="12" customFormat="1" x14ac:dyDescent="0.25"/>
    <row r="96008" s="12" customFormat="1" x14ac:dyDescent="0.25"/>
    <row r="96009" s="12" customFormat="1" x14ac:dyDescent="0.25"/>
    <row r="96010" s="12" customFormat="1" x14ac:dyDescent="0.25"/>
    <row r="96011" s="12" customFormat="1" x14ac:dyDescent="0.25"/>
    <row r="96012" s="12" customFormat="1" x14ac:dyDescent="0.25"/>
    <row r="96013" s="12" customFormat="1" x14ac:dyDescent="0.25"/>
    <row r="96014" s="12" customFormat="1" x14ac:dyDescent="0.25"/>
    <row r="96015" s="12" customFormat="1" x14ac:dyDescent="0.25"/>
    <row r="96016" s="12" customFormat="1" x14ac:dyDescent="0.25"/>
    <row r="96017" s="12" customFormat="1" x14ac:dyDescent="0.25"/>
    <row r="96018" s="12" customFormat="1" x14ac:dyDescent="0.25"/>
    <row r="96019" s="12" customFormat="1" x14ac:dyDescent="0.25"/>
    <row r="96020" s="12" customFormat="1" x14ac:dyDescent="0.25"/>
    <row r="96021" s="12" customFormat="1" x14ac:dyDescent="0.25"/>
    <row r="96022" s="12" customFormat="1" x14ac:dyDescent="0.25"/>
    <row r="96023" s="12" customFormat="1" x14ac:dyDescent="0.25"/>
    <row r="96024" s="12" customFormat="1" x14ac:dyDescent="0.25"/>
    <row r="96025" s="12" customFormat="1" x14ac:dyDescent="0.25"/>
    <row r="96026" s="12" customFormat="1" x14ac:dyDescent="0.25"/>
    <row r="96027" s="12" customFormat="1" x14ac:dyDescent="0.25"/>
    <row r="96028" s="12" customFormat="1" x14ac:dyDescent="0.25"/>
    <row r="96029" s="12" customFormat="1" x14ac:dyDescent="0.25"/>
    <row r="96030" s="12" customFormat="1" x14ac:dyDescent="0.25"/>
    <row r="96031" s="12" customFormat="1" x14ac:dyDescent="0.25"/>
    <row r="96032" s="12" customFormat="1" x14ac:dyDescent="0.25"/>
    <row r="96033" s="12" customFormat="1" x14ac:dyDescent="0.25"/>
    <row r="96034" s="12" customFormat="1" x14ac:dyDescent="0.25"/>
    <row r="96035" s="12" customFormat="1" x14ac:dyDescent="0.25"/>
    <row r="96036" s="12" customFormat="1" x14ac:dyDescent="0.25"/>
    <row r="96037" s="12" customFormat="1" x14ac:dyDescent="0.25"/>
    <row r="96038" s="12" customFormat="1" x14ac:dyDescent="0.25"/>
    <row r="96039" s="12" customFormat="1" x14ac:dyDescent="0.25"/>
    <row r="96040" s="12" customFormat="1" x14ac:dyDescent="0.25"/>
    <row r="96041" s="12" customFormat="1" x14ac:dyDescent="0.25"/>
    <row r="96042" s="12" customFormat="1" x14ac:dyDescent="0.25"/>
    <row r="96043" s="12" customFormat="1" x14ac:dyDescent="0.25"/>
    <row r="96044" s="12" customFormat="1" x14ac:dyDescent="0.25"/>
    <row r="96045" s="12" customFormat="1" x14ac:dyDescent="0.25"/>
    <row r="96046" s="12" customFormat="1" x14ac:dyDescent="0.25"/>
    <row r="96047" s="12" customFormat="1" x14ac:dyDescent="0.25"/>
    <row r="96048" s="12" customFormat="1" x14ac:dyDescent="0.25"/>
    <row r="96049" s="12" customFormat="1" x14ac:dyDescent="0.25"/>
    <row r="96050" s="12" customFormat="1" x14ac:dyDescent="0.25"/>
    <row r="96051" s="12" customFormat="1" x14ac:dyDescent="0.25"/>
    <row r="96052" s="12" customFormat="1" x14ac:dyDescent="0.25"/>
    <row r="96053" s="12" customFormat="1" x14ac:dyDescent="0.25"/>
    <row r="96054" s="12" customFormat="1" x14ac:dyDescent="0.25"/>
    <row r="96055" s="12" customFormat="1" x14ac:dyDescent="0.25"/>
    <row r="96056" s="12" customFormat="1" x14ac:dyDescent="0.25"/>
    <row r="96057" s="12" customFormat="1" x14ac:dyDescent="0.25"/>
    <row r="96058" s="12" customFormat="1" x14ac:dyDescent="0.25"/>
    <row r="96059" s="12" customFormat="1" x14ac:dyDescent="0.25"/>
    <row r="96060" s="12" customFormat="1" x14ac:dyDescent="0.25"/>
    <row r="96061" s="12" customFormat="1" x14ac:dyDescent="0.25"/>
    <row r="96062" s="12" customFormat="1" x14ac:dyDescent="0.25"/>
    <row r="96063" s="12" customFormat="1" x14ac:dyDescent="0.25"/>
    <row r="96064" s="12" customFormat="1" x14ac:dyDescent="0.25"/>
    <row r="96065" s="12" customFormat="1" x14ac:dyDescent="0.25"/>
    <row r="96066" s="12" customFormat="1" x14ac:dyDescent="0.25"/>
    <row r="96067" s="12" customFormat="1" x14ac:dyDescent="0.25"/>
    <row r="96068" s="12" customFormat="1" x14ac:dyDescent="0.25"/>
    <row r="96069" s="12" customFormat="1" x14ac:dyDescent="0.25"/>
    <row r="96070" s="12" customFormat="1" x14ac:dyDescent="0.25"/>
    <row r="96071" s="12" customFormat="1" x14ac:dyDescent="0.25"/>
    <row r="96072" s="12" customFormat="1" x14ac:dyDescent="0.25"/>
    <row r="96073" s="12" customFormat="1" x14ac:dyDescent="0.25"/>
    <row r="96074" s="12" customFormat="1" x14ac:dyDescent="0.25"/>
    <row r="96075" s="12" customFormat="1" x14ac:dyDescent="0.25"/>
    <row r="96076" s="12" customFormat="1" x14ac:dyDescent="0.25"/>
    <row r="96077" s="12" customFormat="1" x14ac:dyDescent="0.25"/>
    <row r="96078" s="12" customFormat="1" x14ac:dyDescent="0.25"/>
    <row r="96079" s="12" customFormat="1" x14ac:dyDescent="0.25"/>
    <row r="96080" s="12" customFormat="1" x14ac:dyDescent="0.25"/>
    <row r="96081" s="12" customFormat="1" x14ac:dyDescent="0.25"/>
    <row r="96082" s="12" customFormat="1" x14ac:dyDescent="0.25"/>
    <row r="96083" s="12" customFormat="1" x14ac:dyDescent="0.25"/>
    <row r="96084" s="12" customFormat="1" x14ac:dyDescent="0.25"/>
    <row r="96085" s="12" customFormat="1" x14ac:dyDescent="0.25"/>
    <row r="96086" s="12" customFormat="1" x14ac:dyDescent="0.25"/>
    <row r="96087" s="12" customFormat="1" x14ac:dyDescent="0.25"/>
    <row r="96088" s="12" customFormat="1" x14ac:dyDescent="0.25"/>
    <row r="96089" s="12" customFormat="1" x14ac:dyDescent="0.25"/>
    <row r="96090" s="12" customFormat="1" x14ac:dyDescent="0.25"/>
    <row r="96091" s="12" customFormat="1" x14ac:dyDescent="0.25"/>
    <row r="96092" s="12" customFormat="1" x14ac:dyDescent="0.25"/>
    <row r="96093" s="12" customFormat="1" x14ac:dyDescent="0.25"/>
    <row r="96094" s="12" customFormat="1" x14ac:dyDescent="0.25"/>
    <row r="96095" s="12" customFormat="1" x14ac:dyDescent="0.25"/>
    <row r="96096" s="12" customFormat="1" x14ac:dyDescent="0.25"/>
    <row r="96097" s="12" customFormat="1" x14ac:dyDescent="0.25"/>
    <row r="96098" s="12" customFormat="1" x14ac:dyDescent="0.25"/>
    <row r="96099" s="12" customFormat="1" x14ac:dyDescent="0.25"/>
    <row r="96100" s="12" customFormat="1" x14ac:dyDescent="0.25"/>
    <row r="96101" s="12" customFormat="1" x14ac:dyDescent="0.25"/>
    <row r="96102" s="12" customFormat="1" x14ac:dyDescent="0.25"/>
    <row r="96103" s="12" customFormat="1" x14ac:dyDescent="0.25"/>
    <row r="96104" s="12" customFormat="1" x14ac:dyDescent="0.25"/>
    <row r="96105" s="12" customFormat="1" x14ac:dyDescent="0.25"/>
    <row r="96106" s="12" customFormat="1" x14ac:dyDescent="0.25"/>
    <row r="96107" s="12" customFormat="1" x14ac:dyDescent="0.25"/>
    <row r="96108" s="12" customFormat="1" x14ac:dyDescent="0.25"/>
    <row r="96109" s="12" customFormat="1" x14ac:dyDescent="0.25"/>
    <row r="96110" s="12" customFormat="1" x14ac:dyDescent="0.25"/>
    <row r="96111" s="12" customFormat="1" x14ac:dyDescent="0.25"/>
    <row r="96112" s="12" customFormat="1" x14ac:dyDescent="0.25"/>
    <row r="96113" s="12" customFormat="1" x14ac:dyDescent="0.25"/>
    <row r="96114" s="12" customFormat="1" x14ac:dyDescent="0.25"/>
    <row r="96115" s="12" customFormat="1" x14ac:dyDescent="0.25"/>
    <row r="96116" s="12" customFormat="1" x14ac:dyDescent="0.25"/>
    <row r="96117" s="12" customFormat="1" x14ac:dyDescent="0.25"/>
    <row r="96118" s="12" customFormat="1" x14ac:dyDescent="0.25"/>
    <row r="96119" s="12" customFormat="1" x14ac:dyDescent="0.25"/>
    <row r="96120" s="12" customFormat="1" x14ac:dyDescent="0.25"/>
    <row r="96121" s="12" customFormat="1" x14ac:dyDescent="0.25"/>
    <row r="96122" s="12" customFormat="1" x14ac:dyDescent="0.25"/>
    <row r="96123" s="12" customFormat="1" x14ac:dyDescent="0.25"/>
    <row r="96124" s="12" customFormat="1" x14ac:dyDescent="0.25"/>
    <row r="96125" s="12" customFormat="1" x14ac:dyDescent="0.25"/>
    <row r="96126" s="12" customFormat="1" x14ac:dyDescent="0.25"/>
    <row r="96127" s="12" customFormat="1" x14ac:dyDescent="0.25"/>
    <row r="96128" s="12" customFormat="1" x14ac:dyDescent="0.25"/>
    <row r="96129" s="12" customFormat="1" x14ac:dyDescent="0.25"/>
    <row r="96130" s="12" customFormat="1" x14ac:dyDescent="0.25"/>
    <row r="96131" s="12" customFormat="1" x14ac:dyDescent="0.25"/>
    <row r="96132" s="12" customFormat="1" x14ac:dyDescent="0.25"/>
    <row r="96133" s="12" customFormat="1" x14ac:dyDescent="0.25"/>
    <row r="96134" s="12" customFormat="1" x14ac:dyDescent="0.25"/>
    <row r="96135" s="12" customFormat="1" x14ac:dyDescent="0.25"/>
    <row r="96136" s="12" customFormat="1" x14ac:dyDescent="0.25"/>
    <row r="96137" s="12" customFormat="1" x14ac:dyDescent="0.25"/>
    <row r="96138" s="12" customFormat="1" x14ac:dyDescent="0.25"/>
    <row r="96139" s="12" customFormat="1" x14ac:dyDescent="0.25"/>
    <row r="96140" s="12" customFormat="1" x14ac:dyDescent="0.25"/>
    <row r="96141" s="12" customFormat="1" x14ac:dyDescent="0.25"/>
    <row r="96142" s="12" customFormat="1" x14ac:dyDescent="0.25"/>
    <row r="96143" s="12" customFormat="1" x14ac:dyDescent="0.25"/>
    <row r="96144" s="12" customFormat="1" x14ac:dyDescent="0.25"/>
    <row r="96145" s="12" customFormat="1" x14ac:dyDescent="0.25"/>
    <row r="96146" s="12" customFormat="1" x14ac:dyDescent="0.25"/>
    <row r="96147" s="12" customFormat="1" x14ac:dyDescent="0.25"/>
    <row r="96148" s="12" customFormat="1" x14ac:dyDescent="0.25"/>
    <row r="96149" s="12" customFormat="1" x14ac:dyDescent="0.25"/>
    <row r="96150" s="12" customFormat="1" x14ac:dyDescent="0.25"/>
    <row r="96151" s="12" customFormat="1" x14ac:dyDescent="0.25"/>
    <row r="96152" s="12" customFormat="1" x14ac:dyDescent="0.25"/>
    <row r="96153" s="12" customFormat="1" x14ac:dyDescent="0.25"/>
    <row r="96154" s="12" customFormat="1" x14ac:dyDescent="0.25"/>
    <row r="96155" s="12" customFormat="1" x14ac:dyDescent="0.25"/>
    <row r="96156" s="12" customFormat="1" x14ac:dyDescent="0.25"/>
    <row r="96157" s="12" customFormat="1" x14ac:dyDescent="0.25"/>
    <row r="96158" s="12" customFormat="1" x14ac:dyDescent="0.25"/>
    <row r="96159" s="12" customFormat="1" x14ac:dyDescent="0.25"/>
    <row r="96160" s="12" customFormat="1" x14ac:dyDescent="0.25"/>
    <row r="96161" s="12" customFormat="1" x14ac:dyDescent="0.25"/>
    <row r="96162" s="12" customFormat="1" x14ac:dyDescent="0.25"/>
    <row r="96163" s="12" customFormat="1" x14ac:dyDescent="0.25"/>
    <row r="96164" s="12" customFormat="1" x14ac:dyDescent="0.25"/>
    <row r="96165" s="12" customFormat="1" x14ac:dyDescent="0.25"/>
    <row r="96166" s="12" customFormat="1" x14ac:dyDescent="0.25"/>
    <row r="96167" s="12" customFormat="1" x14ac:dyDescent="0.25"/>
    <row r="96168" s="12" customFormat="1" x14ac:dyDescent="0.25"/>
    <row r="96169" s="12" customFormat="1" x14ac:dyDescent="0.25"/>
    <row r="96170" s="12" customFormat="1" x14ac:dyDescent="0.25"/>
    <row r="96171" s="12" customFormat="1" x14ac:dyDescent="0.25"/>
    <row r="96172" s="12" customFormat="1" x14ac:dyDescent="0.25"/>
    <row r="96173" s="12" customFormat="1" x14ac:dyDescent="0.25"/>
    <row r="96174" s="12" customFormat="1" x14ac:dyDescent="0.25"/>
    <row r="96175" s="12" customFormat="1" x14ac:dyDescent="0.25"/>
    <row r="96176" s="12" customFormat="1" x14ac:dyDescent="0.25"/>
    <row r="96177" s="12" customFormat="1" x14ac:dyDescent="0.25"/>
    <row r="96178" s="12" customFormat="1" x14ac:dyDescent="0.25"/>
    <row r="96179" s="12" customFormat="1" x14ac:dyDescent="0.25"/>
    <row r="96180" s="12" customFormat="1" x14ac:dyDescent="0.25"/>
    <row r="96181" s="12" customFormat="1" x14ac:dyDescent="0.25"/>
    <row r="96182" s="12" customFormat="1" x14ac:dyDescent="0.25"/>
    <row r="96183" s="12" customFormat="1" x14ac:dyDescent="0.25"/>
    <row r="96184" s="12" customFormat="1" x14ac:dyDescent="0.25"/>
    <row r="96185" s="12" customFormat="1" x14ac:dyDescent="0.25"/>
    <row r="96186" s="12" customFormat="1" x14ac:dyDescent="0.25"/>
    <row r="96187" s="12" customFormat="1" x14ac:dyDescent="0.25"/>
    <row r="96188" s="12" customFormat="1" x14ac:dyDescent="0.25"/>
    <row r="96189" s="12" customFormat="1" x14ac:dyDescent="0.25"/>
    <row r="96190" s="12" customFormat="1" x14ac:dyDescent="0.25"/>
    <row r="96191" s="12" customFormat="1" x14ac:dyDescent="0.25"/>
    <row r="96192" s="12" customFormat="1" x14ac:dyDescent="0.25"/>
    <row r="96193" s="12" customFormat="1" x14ac:dyDescent="0.25"/>
    <row r="96194" s="12" customFormat="1" x14ac:dyDescent="0.25"/>
    <row r="96195" s="12" customFormat="1" x14ac:dyDescent="0.25"/>
    <row r="96196" s="12" customFormat="1" x14ac:dyDescent="0.25"/>
    <row r="96197" s="12" customFormat="1" x14ac:dyDescent="0.25"/>
    <row r="96198" s="12" customFormat="1" x14ac:dyDescent="0.25"/>
    <row r="96199" s="12" customFormat="1" x14ac:dyDescent="0.25"/>
    <row r="96200" s="12" customFormat="1" x14ac:dyDescent="0.25"/>
    <row r="96201" s="12" customFormat="1" x14ac:dyDescent="0.25"/>
    <row r="96202" s="12" customFormat="1" x14ac:dyDescent="0.25"/>
    <row r="96203" s="12" customFormat="1" x14ac:dyDescent="0.25"/>
    <row r="96204" s="12" customFormat="1" x14ac:dyDescent="0.25"/>
    <row r="96205" s="12" customFormat="1" x14ac:dyDescent="0.25"/>
    <row r="96206" s="12" customFormat="1" x14ac:dyDescent="0.25"/>
    <row r="96207" s="12" customFormat="1" x14ac:dyDescent="0.25"/>
    <row r="96208" s="12" customFormat="1" x14ac:dyDescent="0.25"/>
    <row r="96209" s="12" customFormat="1" x14ac:dyDescent="0.25"/>
    <row r="96210" s="12" customFormat="1" x14ac:dyDescent="0.25"/>
    <row r="96211" s="12" customFormat="1" x14ac:dyDescent="0.25"/>
    <row r="96212" s="12" customFormat="1" x14ac:dyDescent="0.25"/>
    <row r="96213" s="12" customFormat="1" x14ac:dyDescent="0.25"/>
    <row r="96214" s="12" customFormat="1" x14ac:dyDescent="0.25"/>
    <row r="96215" s="12" customFormat="1" x14ac:dyDescent="0.25"/>
    <row r="96216" s="12" customFormat="1" x14ac:dyDescent="0.25"/>
    <row r="96217" s="12" customFormat="1" x14ac:dyDescent="0.25"/>
    <row r="96218" s="12" customFormat="1" x14ac:dyDescent="0.25"/>
    <row r="96219" s="12" customFormat="1" x14ac:dyDescent="0.25"/>
    <row r="96220" s="12" customFormat="1" x14ac:dyDescent="0.25"/>
    <row r="96221" s="12" customFormat="1" x14ac:dyDescent="0.25"/>
    <row r="96222" s="12" customFormat="1" x14ac:dyDescent="0.25"/>
    <row r="96223" s="12" customFormat="1" x14ac:dyDescent="0.25"/>
    <row r="96224" s="12" customFormat="1" x14ac:dyDescent="0.25"/>
    <row r="96225" s="12" customFormat="1" x14ac:dyDescent="0.25"/>
    <row r="96226" s="12" customFormat="1" x14ac:dyDescent="0.25"/>
    <row r="96227" s="12" customFormat="1" x14ac:dyDescent="0.25"/>
    <row r="96228" s="12" customFormat="1" x14ac:dyDescent="0.25"/>
    <row r="96229" s="12" customFormat="1" x14ac:dyDescent="0.25"/>
    <row r="96230" s="12" customFormat="1" x14ac:dyDescent="0.25"/>
    <row r="96231" s="12" customFormat="1" x14ac:dyDescent="0.25"/>
    <row r="96232" s="12" customFormat="1" x14ac:dyDescent="0.25"/>
    <row r="96233" s="12" customFormat="1" x14ac:dyDescent="0.25"/>
    <row r="96234" s="12" customFormat="1" x14ac:dyDescent="0.25"/>
    <row r="96235" s="12" customFormat="1" x14ac:dyDescent="0.25"/>
    <row r="96236" s="12" customFormat="1" x14ac:dyDescent="0.25"/>
    <row r="96237" s="12" customFormat="1" x14ac:dyDescent="0.25"/>
    <row r="96238" s="12" customFormat="1" x14ac:dyDescent="0.25"/>
    <row r="96239" s="12" customFormat="1" x14ac:dyDescent="0.25"/>
    <row r="96240" s="12" customFormat="1" x14ac:dyDescent="0.25"/>
    <row r="96241" s="12" customFormat="1" x14ac:dyDescent="0.25"/>
    <row r="96242" s="12" customFormat="1" x14ac:dyDescent="0.25"/>
    <row r="96243" s="12" customFormat="1" x14ac:dyDescent="0.25"/>
    <row r="96244" s="12" customFormat="1" x14ac:dyDescent="0.25"/>
    <row r="96245" s="12" customFormat="1" x14ac:dyDescent="0.25"/>
    <row r="96246" s="12" customFormat="1" x14ac:dyDescent="0.25"/>
    <row r="96247" s="12" customFormat="1" x14ac:dyDescent="0.25"/>
    <row r="96248" s="12" customFormat="1" x14ac:dyDescent="0.25"/>
    <row r="96249" s="12" customFormat="1" x14ac:dyDescent="0.25"/>
    <row r="96250" s="12" customFormat="1" x14ac:dyDescent="0.25"/>
    <row r="96251" s="12" customFormat="1" x14ac:dyDescent="0.25"/>
    <row r="96252" s="12" customFormat="1" x14ac:dyDescent="0.25"/>
    <row r="96253" s="12" customFormat="1" x14ac:dyDescent="0.25"/>
    <row r="96254" s="12" customFormat="1" x14ac:dyDescent="0.25"/>
    <row r="96255" s="12" customFormat="1" x14ac:dyDescent="0.25"/>
    <row r="96256" s="12" customFormat="1" x14ac:dyDescent="0.25"/>
    <row r="96257" s="12" customFormat="1" x14ac:dyDescent="0.25"/>
    <row r="96258" s="12" customFormat="1" x14ac:dyDescent="0.25"/>
    <row r="96259" s="12" customFormat="1" x14ac:dyDescent="0.25"/>
    <row r="96260" s="12" customFormat="1" x14ac:dyDescent="0.25"/>
    <row r="96261" s="12" customFormat="1" x14ac:dyDescent="0.25"/>
    <row r="96262" s="12" customFormat="1" x14ac:dyDescent="0.25"/>
    <row r="96263" s="12" customFormat="1" x14ac:dyDescent="0.25"/>
    <row r="96264" s="12" customFormat="1" x14ac:dyDescent="0.25"/>
    <row r="96265" s="12" customFormat="1" x14ac:dyDescent="0.25"/>
    <row r="96266" s="12" customFormat="1" x14ac:dyDescent="0.25"/>
    <row r="96267" s="12" customFormat="1" x14ac:dyDescent="0.25"/>
    <row r="96268" s="12" customFormat="1" x14ac:dyDescent="0.25"/>
    <row r="96269" s="12" customFormat="1" x14ac:dyDescent="0.25"/>
    <row r="96270" s="12" customFormat="1" x14ac:dyDescent="0.25"/>
    <row r="96271" s="12" customFormat="1" x14ac:dyDescent="0.25"/>
    <row r="96272" s="12" customFormat="1" x14ac:dyDescent="0.25"/>
    <row r="96273" s="12" customFormat="1" x14ac:dyDescent="0.25"/>
    <row r="96274" s="12" customFormat="1" x14ac:dyDescent="0.25"/>
    <row r="96275" s="12" customFormat="1" x14ac:dyDescent="0.25"/>
    <row r="96276" s="12" customFormat="1" x14ac:dyDescent="0.25"/>
    <row r="96277" s="12" customFormat="1" x14ac:dyDescent="0.25"/>
    <row r="96278" s="12" customFormat="1" x14ac:dyDescent="0.25"/>
    <row r="96279" s="12" customFormat="1" x14ac:dyDescent="0.25"/>
    <row r="96280" s="12" customFormat="1" x14ac:dyDescent="0.25"/>
    <row r="96281" s="12" customFormat="1" x14ac:dyDescent="0.25"/>
    <row r="96282" s="12" customFormat="1" x14ac:dyDescent="0.25"/>
    <row r="96283" s="12" customFormat="1" x14ac:dyDescent="0.25"/>
    <row r="96284" s="12" customFormat="1" x14ac:dyDescent="0.25"/>
    <row r="96285" s="12" customFormat="1" x14ac:dyDescent="0.25"/>
    <row r="96286" s="12" customFormat="1" x14ac:dyDescent="0.25"/>
    <row r="96287" s="12" customFormat="1" x14ac:dyDescent="0.25"/>
    <row r="96288" s="12" customFormat="1" x14ac:dyDescent="0.25"/>
    <row r="96289" s="12" customFormat="1" x14ac:dyDescent="0.25"/>
    <row r="96290" s="12" customFormat="1" x14ac:dyDescent="0.25"/>
    <row r="96291" s="12" customFormat="1" x14ac:dyDescent="0.25"/>
    <row r="96292" s="12" customFormat="1" x14ac:dyDescent="0.25"/>
    <row r="96293" s="12" customFormat="1" x14ac:dyDescent="0.25"/>
    <row r="96294" s="12" customFormat="1" x14ac:dyDescent="0.25"/>
    <row r="96295" s="12" customFormat="1" x14ac:dyDescent="0.25"/>
    <row r="96296" s="12" customFormat="1" x14ac:dyDescent="0.25"/>
    <row r="96297" s="12" customFormat="1" x14ac:dyDescent="0.25"/>
    <row r="96298" s="12" customFormat="1" x14ac:dyDescent="0.25"/>
    <row r="96299" s="12" customFormat="1" x14ac:dyDescent="0.25"/>
    <row r="96300" s="12" customFormat="1" x14ac:dyDescent="0.25"/>
    <row r="96301" s="12" customFormat="1" x14ac:dyDescent="0.25"/>
    <row r="96302" s="12" customFormat="1" x14ac:dyDescent="0.25"/>
    <row r="96303" s="12" customFormat="1" x14ac:dyDescent="0.25"/>
    <row r="96304" s="12" customFormat="1" x14ac:dyDescent="0.25"/>
    <row r="96305" s="12" customFormat="1" x14ac:dyDescent="0.25"/>
    <row r="96306" s="12" customFormat="1" x14ac:dyDescent="0.25"/>
    <row r="96307" s="12" customFormat="1" x14ac:dyDescent="0.25"/>
    <row r="96308" s="12" customFormat="1" x14ac:dyDescent="0.25"/>
    <row r="96309" s="12" customFormat="1" x14ac:dyDescent="0.25"/>
    <row r="96310" s="12" customFormat="1" x14ac:dyDescent="0.25"/>
    <row r="96311" s="12" customFormat="1" x14ac:dyDescent="0.25"/>
    <row r="96312" s="12" customFormat="1" x14ac:dyDescent="0.25"/>
    <row r="96313" s="12" customFormat="1" x14ac:dyDescent="0.25"/>
    <row r="96314" s="12" customFormat="1" x14ac:dyDescent="0.25"/>
    <row r="96315" s="12" customFormat="1" x14ac:dyDescent="0.25"/>
    <row r="96316" s="12" customFormat="1" x14ac:dyDescent="0.25"/>
    <row r="96317" s="12" customFormat="1" x14ac:dyDescent="0.25"/>
    <row r="96318" s="12" customFormat="1" x14ac:dyDescent="0.25"/>
    <row r="96319" s="12" customFormat="1" x14ac:dyDescent="0.25"/>
    <row r="96320" s="12" customFormat="1" x14ac:dyDescent="0.25"/>
    <row r="96321" s="12" customFormat="1" x14ac:dyDescent="0.25"/>
    <row r="96322" s="12" customFormat="1" x14ac:dyDescent="0.25"/>
    <row r="96323" s="12" customFormat="1" x14ac:dyDescent="0.25"/>
    <row r="96324" s="12" customFormat="1" x14ac:dyDescent="0.25"/>
    <row r="96325" s="12" customFormat="1" x14ac:dyDescent="0.25"/>
    <row r="96326" s="12" customFormat="1" x14ac:dyDescent="0.25"/>
    <row r="96327" s="12" customFormat="1" x14ac:dyDescent="0.25"/>
    <row r="96328" s="12" customFormat="1" x14ac:dyDescent="0.25"/>
    <row r="96329" s="12" customFormat="1" x14ac:dyDescent="0.25"/>
    <row r="96330" s="12" customFormat="1" x14ac:dyDescent="0.25"/>
    <row r="96331" s="12" customFormat="1" x14ac:dyDescent="0.25"/>
    <row r="96332" s="12" customFormat="1" x14ac:dyDescent="0.25"/>
    <row r="96333" s="12" customFormat="1" x14ac:dyDescent="0.25"/>
    <row r="96334" s="12" customFormat="1" x14ac:dyDescent="0.25"/>
    <row r="96335" s="12" customFormat="1" x14ac:dyDescent="0.25"/>
    <row r="96336" s="12" customFormat="1" x14ac:dyDescent="0.25"/>
    <row r="96337" s="12" customFormat="1" x14ac:dyDescent="0.25"/>
    <row r="96338" s="12" customFormat="1" x14ac:dyDescent="0.25"/>
    <row r="96339" s="12" customFormat="1" x14ac:dyDescent="0.25"/>
    <row r="96340" s="12" customFormat="1" x14ac:dyDescent="0.25"/>
    <row r="96341" s="12" customFormat="1" x14ac:dyDescent="0.25"/>
    <row r="96342" s="12" customFormat="1" x14ac:dyDescent="0.25"/>
    <row r="96343" s="12" customFormat="1" x14ac:dyDescent="0.25"/>
    <row r="96344" s="12" customFormat="1" x14ac:dyDescent="0.25"/>
    <row r="96345" s="12" customFormat="1" x14ac:dyDescent="0.25"/>
    <row r="96346" s="12" customFormat="1" x14ac:dyDescent="0.25"/>
    <row r="96347" s="12" customFormat="1" x14ac:dyDescent="0.25"/>
    <row r="96348" s="12" customFormat="1" x14ac:dyDescent="0.25"/>
    <row r="96349" s="12" customFormat="1" x14ac:dyDescent="0.25"/>
    <row r="96350" s="12" customFormat="1" x14ac:dyDescent="0.25"/>
    <row r="96351" s="12" customFormat="1" x14ac:dyDescent="0.25"/>
    <row r="96352" s="12" customFormat="1" x14ac:dyDescent="0.25"/>
    <row r="96353" s="12" customFormat="1" x14ac:dyDescent="0.25"/>
    <row r="96354" s="12" customFormat="1" x14ac:dyDescent="0.25"/>
    <row r="96355" s="12" customFormat="1" x14ac:dyDescent="0.25"/>
    <row r="96356" s="12" customFormat="1" x14ac:dyDescent="0.25"/>
    <row r="96357" s="12" customFormat="1" x14ac:dyDescent="0.25"/>
    <row r="96358" s="12" customFormat="1" x14ac:dyDescent="0.25"/>
    <row r="96359" s="12" customFormat="1" x14ac:dyDescent="0.25"/>
    <row r="96360" s="12" customFormat="1" x14ac:dyDescent="0.25"/>
    <row r="96361" s="12" customFormat="1" x14ac:dyDescent="0.25"/>
    <row r="96362" s="12" customFormat="1" x14ac:dyDescent="0.25"/>
    <row r="96363" s="12" customFormat="1" x14ac:dyDescent="0.25"/>
    <row r="96364" s="12" customFormat="1" x14ac:dyDescent="0.25"/>
    <row r="96365" s="12" customFormat="1" x14ac:dyDescent="0.25"/>
    <row r="96366" s="12" customFormat="1" x14ac:dyDescent="0.25"/>
    <row r="96367" s="12" customFormat="1" x14ac:dyDescent="0.25"/>
    <row r="96368" s="12" customFormat="1" x14ac:dyDescent="0.25"/>
    <row r="96369" s="12" customFormat="1" x14ac:dyDescent="0.25"/>
    <row r="96370" s="12" customFormat="1" x14ac:dyDescent="0.25"/>
    <row r="96371" s="12" customFormat="1" x14ac:dyDescent="0.25"/>
    <row r="96372" s="12" customFormat="1" x14ac:dyDescent="0.25"/>
    <row r="96373" s="12" customFormat="1" x14ac:dyDescent="0.25"/>
    <row r="96374" s="12" customFormat="1" x14ac:dyDescent="0.25"/>
    <row r="96375" s="12" customFormat="1" x14ac:dyDescent="0.25"/>
    <row r="96376" s="12" customFormat="1" x14ac:dyDescent="0.25"/>
    <row r="96377" s="12" customFormat="1" x14ac:dyDescent="0.25"/>
    <row r="96378" s="12" customFormat="1" x14ac:dyDescent="0.25"/>
    <row r="96379" s="12" customFormat="1" x14ac:dyDescent="0.25"/>
    <row r="96380" s="12" customFormat="1" x14ac:dyDescent="0.25"/>
    <row r="96381" s="12" customFormat="1" x14ac:dyDescent="0.25"/>
    <row r="96382" s="12" customFormat="1" x14ac:dyDescent="0.25"/>
    <row r="96383" s="12" customFormat="1" x14ac:dyDescent="0.25"/>
    <row r="96384" s="12" customFormat="1" x14ac:dyDescent="0.25"/>
    <row r="96385" s="12" customFormat="1" x14ac:dyDescent="0.25"/>
    <row r="96386" s="12" customFormat="1" x14ac:dyDescent="0.25"/>
    <row r="96387" s="12" customFormat="1" x14ac:dyDescent="0.25"/>
    <row r="96388" s="12" customFormat="1" x14ac:dyDescent="0.25"/>
    <row r="96389" s="12" customFormat="1" x14ac:dyDescent="0.25"/>
    <row r="96390" s="12" customFormat="1" x14ac:dyDescent="0.25"/>
    <row r="96391" s="12" customFormat="1" x14ac:dyDescent="0.25"/>
    <row r="96392" s="12" customFormat="1" x14ac:dyDescent="0.25"/>
    <row r="96393" s="12" customFormat="1" x14ac:dyDescent="0.25"/>
    <row r="96394" s="12" customFormat="1" x14ac:dyDescent="0.25"/>
    <row r="96395" s="12" customFormat="1" x14ac:dyDescent="0.25"/>
    <row r="96396" s="12" customFormat="1" x14ac:dyDescent="0.25"/>
    <row r="96397" s="12" customFormat="1" x14ac:dyDescent="0.25"/>
    <row r="96398" s="12" customFormat="1" x14ac:dyDescent="0.25"/>
    <row r="96399" s="12" customFormat="1" x14ac:dyDescent="0.25"/>
    <row r="96400" s="12" customFormat="1" x14ac:dyDescent="0.25"/>
    <row r="96401" s="12" customFormat="1" x14ac:dyDescent="0.25"/>
    <row r="96402" s="12" customFormat="1" x14ac:dyDescent="0.25"/>
    <row r="96403" s="12" customFormat="1" x14ac:dyDescent="0.25"/>
    <row r="96404" s="12" customFormat="1" x14ac:dyDescent="0.25"/>
    <row r="96405" s="12" customFormat="1" x14ac:dyDescent="0.25"/>
    <row r="96406" s="12" customFormat="1" x14ac:dyDescent="0.25"/>
    <row r="96407" s="12" customFormat="1" x14ac:dyDescent="0.25"/>
    <row r="96408" s="12" customFormat="1" x14ac:dyDescent="0.25"/>
    <row r="96409" s="12" customFormat="1" x14ac:dyDescent="0.25"/>
    <row r="96410" s="12" customFormat="1" x14ac:dyDescent="0.25"/>
    <row r="96411" s="12" customFormat="1" x14ac:dyDescent="0.25"/>
    <row r="96412" s="12" customFormat="1" x14ac:dyDescent="0.25"/>
    <row r="96413" s="12" customFormat="1" x14ac:dyDescent="0.25"/>
    <row r="96414" s="12" customFormat="1" x14ac:dyDescent="0.25"/>
    <row r="96415" s="12" customFormat="1" x14ac:dyDescent="0.25"/>
    <row r="96416" s="12" customFormat="1" x14ac:dyDescent="0.25"/>
    <row r="96417" s="12" customFormat="1" x14ac:dyDescent="0.25"/>
    <row r="96418" s="12" customFormat="1" x14ac:dyDescent="0.25"/>
    <row r="96419" s="12" customFormat="1" x14ac:dyDescent="0.25"/>
    <row r="96420" s="12" customFormat="1" x14ac:dyDescent="0.25"/>
    <row r="96421" s="12" customFormat="1" x14ac:dyDescent="0.25"/>
    <row r="96422" s="12" customFormat="1" x14ac:dyDescent="0.25"/>
    <row r="96423" s="12" customFormat="1" x14ac:dyDescent="0.25"/>
    <row r="96424" s="12" customFormat="1" x14ac:dyDescent="0.25"/>
    <row r="96425" s="12" customFormat="1" x14ac:dyDescent="0.25"/>
    <row r="96426" s="12" customFormat="1" x14ac:dyDescent="0.25"/>
    <row r="96427" s="12" customFormat="1" x14ac:dyDescent="0.25"/>
    <row r="96428" s="12" customFormat="1" x14ac:dyDescent="0.25"/>
    <row r="96429" s="12" customFormat="1" x14ac:dyDescent="0.25"/>
    <row r="96430" s="12" customFormat="1" x14ac:dyDescent="0.25"/>
    <row r="96431" s="12" customFormat="1" x14ac:dyDescent="0.25"/>
    <row r="96432" s="12" customFormat="1" x14ac:dyDescent="0.25"/>
    <row r="96433" s="12" customFormat="1" x14ac:dyDescent="0.25"/>
    <row r="96434" s="12" customFormat="1" x14ac:dyDescent="0.25"/>
    <row r="96435" s="12" customFormat="1" x14ac:dyDescent="0.25"/>
    <row r="96436" s="12" customFormat="1" x14ac:dyDescent="0.25"/>
    <row r="96437" s="12" customFormat="1" x14ac:dyDescent="0.25"/>
    <row r="96438" s="12" customFormat="1" x14ac:dyDescent="0.25"/>
    <row r="96439" s="12" customFormat="1" x14ac:dyDescent="0.25"/>
    <row r="96440" s="12" customFormat="1" x14ac:dyDescent="0.25"/>
    <row r="96441" s="12" customFormat="1" x14ac:dyDescent="0.25"/>
    <row r="96442" s="12" customFormat="1" x14ac:dyDescent="0.25"/>
    <row r="96443" s="12" customFormat="1" x14ac:dyDescent="0.25"/>
    <row r="96444" s="12" customFormat="1" x14ac:dyDescent="0.25"/>
    <row r="96445" s="12" customFormat="1" x14ac:dyDescent="0.25"/>
    <row r="96446" s="12" customFormat="1" x14ac:dyDescent="0.25"/>
    <row r="96447" s="12" customFormat="1" x14ac:dyDescent="0.25"/>
    <row r="96448" s="12" customFormat="1" x14ac:dyDescent="0.25"/>
    <row r="96449" s="12" customFormat="1" x14ac:dyDescent="0.25"/>
    <row r="96450" s="12" customFormat="1" x14ac:dyDescent="0.25"/>
    <row r="96451" s="12" customFormat="1" x14ac:dyDescent="0.25"/>
    <row r="96452" s="12" customFormat="1" x14ac:dyDescent="0.25"/>
    <row r="96453" s="12" customFormat="1" x14ac:dyDescent="0.25"/>
    <row r="96454" s="12" customFormat="1" x14ac:dyDescent="0.25"/>
    <row r="96455" s="12" customFormat="1" x14ac:dyDescent="0.25"/>
    <row r="96456" s="12" customFormat="1" x14ac:dyDescent="0.25"/>
    <row r="96457" s="12" customFormat="1" x14ac:dyDescent="0.25"/>
    <row r="96458" s="12" customFormat="1" x14ac:dyDescent="0.25"/>
    <row r="96459" s="12" customFormat="1" x14ac:dyDescent="0.25"/>
    <row r="96460" s="12" customFormat="1" x14ac:dyDescent="0.25"/>
    <row r="96461" s="12" customFormat="1" x14ac:dyDescent="0.25"/>
    <row r="96462" s="12" customFormat="1" x14ac:dyDescent="0.25"/>
    <row r="96463" s="12" customFormat="1" x14ac:dyDescent="0.25"/>
    <row r="96464" s="12" customFormat="1" x14ac:dyDescent="0.25"/>
    <row r="96465" s="12" customFormat="1" x14ac:dyDescent="0.25"/>
    <row r="96466" s="12" customFormat="1" x14ac:dyDescent="0.25"/>
    <row r="96467" s="12" customFormat="1" x14ac:dyDescent="0.25"/>
    <row r="96468" s="12" customFormat="1" x14ac:dyDescent="0.25"/>
    <row r="96469" s="12" customFormat="1" x14ac:dyDescent="0.25"/>
    <row r="96470" s="12" customFormat="1" x14ac:dyDescent="0.25"/>
    <row r="96471" s="12" customFormat="1" x14ac:dyDescent="0.25"/>
    <row r="96472" s="12" customFormat="1" x14ac:dyDescent="0.25"/>
    <row r="96473" s="12" customFormat="1" x14ac:dyDescent="0.25"/>
    <row r="96474" s="12" customFormat="1" x14ac:dyDescent="0.25"/>
    <row r="96475" s="12" customFormat="1" x14ac:dyDescent="0.25"/>
    <row r="96476" s="12" customFormat="1" x14ac:dyDescent="0.25"/>
    <row r="96477" s="12" customFormat="1" x14ac:dyDescent="0.25"/>
    <row r="96478" s="12" customFormat="1" x14ac:dyDescent="0.25"/>
    <row r="96479" s="12" customFormat="1" x14ac:dyDescent="0.25"/>
    <row r="96480" s="12" customFormat="1" x14ac:dyDescent="0.25"/>
    <row r="96481" s="12" customFormat="1" x14ac:dyDescent="0.25"/>
    <row r="96482" s="12" customFormat="1" x14ac:dyDescent="0.25"/>
    <row r="96483" s="12" customFormat="1" x14ac:dyDescent="0.25"/>
    <row r="96484" s="12" customFormat="1" x14ac:dyDescent="0.25"/>
    <row r="96485" s="12" customFormat="1" x14ac:dyDescent="0.25"/>
    <row r="96486" s="12" customFormat="1" x14ac:dyDescent="0.25"/>
    <row r="96487" s="12" customFormat="1" x14ac:dyDescent="0.25"/>
    <row r="96488" s="12" customFormat="1" x14ac:dyDescent="0.25"/>
    <row r="96489" s="12" customFormat="1" x14ac:dyDescent="0.25"/>
    <row r="96490" s="12" customFormat="1" x14ac:dyDescent="0.25"/>
    <row r="96491" s="12" customFormat="1" x14ac:dyDescent="0.25"/>
    <row r="96492" s="12" customFormat="1" x14ac:dyDescent="0.25"/>
    <row r="96493" s="12" customFormat="1" x14ac:dyDescent="0.25"/>
    <row r="96494" s="12" customFormat="1" x14ac:dyDescent="0.25"/>
    <row r="96495" s="12" customFormat="1" x14ac:dyDescent="0.25"/>
    <row r="96496" s="12" customFormat="1" x14ac:dyDescent="0.25"/>
    <row r="96497" s="12" customFormat="1" x14ac:dyDescent="0.25"/>
    <row r="96498" s="12" customFormat="1" x14ac:dyDescent="0.25"/>
    <row r="96499" s="12" customFormat="1" x14ac:dyDescent="0.25"/>
    <row r="96500" s="12" customFormat="1" x14ac:dyDescent="0.25"/>
    <row r="96501" s="12" customFormat="1" x14ac:dyDescent="0.25"/>
    <row r="96502" s="12" customFormat="1" x14ac:dyDescent="0.25"/>
    <row r="96503" s="12" customFormat="1" x14ac:dyDescent="0.25"/>
    <row r="96504" s="12" customFormat="1" x14ac:dyDescent="0.25"/>
    <row r="96505" s="12" customFormat="1" x14ac:dyDescent="0.25"/>
    <row r="96506" s="12" customFormat="1" x14ac:dyDescent="0.25"/>
    <row r="96507" s="12" customFormat="1" x14ac:dyDescent="0.25"/>
    <row r="96508" s="12" customFormat="1" x14ac:dyDescent="0.25"/>
    <row r="96509" s="12" customFormat="1" x14ac:dyDescent="0.25"/>
    <row r="96510" s="12" customFormat="1" x14ac:dyDescent="0.25"/>
    <row r="96511" s="12" customFormat="1" x14ac:dyDescent="0.25"/>
    <row r="96512" s="12" customFormat="1" x14ac:dyDescent="0.25"/>
    <row r="96513" s="12" customFormat="1" x14ac:dyDescent="0.25"/>
    <row r="96514" s="12" customFormat="1" x14ac:dyDescent="0.25"/>
    <row r="96515" s="12" customFormat="1" x14ac:dyDescent="0.25"/>
    <row r="96516" s="12" customFormat="1" x14ac:dyDescent="0.25"/>
    <row r="96517" s="12" customFormat="1" x14ac:dyDescent="0.25"/>
    <row r="96518" s="12" customFormat="1" x14ac:dyDescent="0.25"/>
    <row r="96519" s="12" customFormat="1" x14ac:dyDescent="0.25"/>
    <row r="96520" s="12" customFormat="1" x14ac:dyDescent="0.25"/>
    <row r="96521" s="12" customFormat="1" x14ac:dyDescent="0.25"/>
    <row r="96522" s="12" customFormat="1" x14ac:dyDescent="0.25"/>
    <row r="96523" s="12" customFormat="1" x14ac:dyDescent="0.25"/>
    <row r="96524" s="12" customFormat="1" x14ac:dyDescent="0.25"/>
    <row r="96525" s="12" customFormat="1" x14ac:dyDescent="0.25"/>
    <row r="96526" s="12" customFormat="1" x14ac:dyDescent="0.25"/>
    <row r="96527" s="12" customFormat="1" x14ac:dyDescent="0.25"/>
    <row r="96528" s="12" customFormat="1" x14ac:dyDescent="0.25"/>
    <row r="96529" s="12" customFormat="1" x14ac:dyDescent="0.25"/>
    <row r="96530" s="12" customFormat="1" x14ac:dyDescent="0.25"/>
    <row r="96531" s="12" customFormat="1" x14ac:dyDescent="0.25"/>
    <row r="96532" s="12" customFormat="1" x14ac:dyDescent="0.25"/>
    <row r="96533" s="12" customFormat="1" x14ac:dyDescent="0.25"/>
    <row r="96534" s="12" customFormat="1" x14ac:dyDescent="0.25"/>
    <row r="96535" s="12" customFormat="1" x14ac:dyDescent="0.25"/>
    <row r="96536" s="12" customFormat="1" x14ac:dyDescent="0.25"/>
    <row r="96537" s="12" customFormat="1" x14ac:dyDescent="0.25"/>
    <row r="96538" s="12" customFormat="1" x14ac:dyDescent="0.25"/>
    <row r="96539" s="12" customFormat="1" x14ac:dyDescent="0.25"/>
    <row r="96540" s="12" customFormat="1" x14ac:dyDescent="0.25"/>
    <row r="96541" s="12" customFormat="1" x14ac:dyDescent="0.25"/>
    <row r="96542" s="12" customFormat="1" x14ac:dyDescent="0.25"/>
    <row r="96543" s="12" customFormat="1" x14ac:dyDescent="0.25"/>
    <row r="96544" s="12" customFormat="1" x14ac:dyDescent="0.25"/>
    <row r="96545" s="12" customFormat="1" x14ac:dyDescent="0.25"/>
    <row r="96546" s="12" customFormat="1" x14ac:dyDescent="0.25"/>
    <row r="96547" s="12" customFormat="1" x14ac:dyDescent="0.25"/>
    <row r="96548" s="12" customFormat="1" x14ac:dyDescent="0.25"/>
    <row r="96549" s="12" customFormat="1" x14ac:dyDescent="0.25"/>
    <row r="96550" s="12" customFormat="1" x14ac:dyDescent="0.25"/>
    <row r="96551" s="12" customFormat="1" x14ac:dyDescent="0.25"/>
    <row r="96552" s="12" customFormat="1" x14ac:dyDescent="0.25"/>
    <row r="96553" s="12" customFormat="1" x14ac:dyDescent="0.25"/>
    <row r="96554" s="12" customFormat="1" x14ac:dyDescent="0.25"/>
    <row r="96555" s="12" customFormat="1" x14ac:dyDescent="0.25"/>
    <row r="96556" s="12" customFormat="1" x14ac:dyDescent="0.25"/>
    <row r="96557" s="12" customFormat="1" x14ac:dyDescent="0.25"/>
    <row r="96558" s="12" customFormat="1" x14ac:dyDescent="0.25"/>
    <row r="96559" s="12" customFormat="1" x14ac:dyDescent="0.25"/>
    <row r="96560" s="12" customFormat="1" x14ac:dyDescent="0.25"/>
    <row r="96561" s="12" customFormat="1" x14ac:dyDescent="0.25"/>
    <row r="96562" s="12" customFormat="1" x14ac:dyDescent="0.25"/>
    <row r="96563" s="12" customFormat="1" x14ac:dyDescent="0.25"/>
    <row r="96564" s="12" customFormat="1" x14ac:dyDescent="0.25"/>
    <row r="96565" s="12" customFormat="1" x14ac:dyDescent="0.25"/>
    <row r="96566" s="12" customFormat="1" x14ac:dyDescent="0.25"/>
    <row r="96567" s="12" customFormat="1" x14ac:dyDescent="0.25"/>
    <row r="96568" s="12" customFormat="1" x14ac:dyDescent="0.25"/>
    <row r="96569" s="12" customFormat="1" x14ac:dyDescent="0.25"/>
    <row r="96570" s="12" customFormat="1" x14ac:dyDescent="0.25"/>
    <row r="96571" s="12" customFormat="1" x14ac:dyDescent="0.25"/>
    <row r="96572" s="12" customFormat="1" x14ac:dyDescent="0.25"/>
    <row r="96573" s="12" customFormat="1" x14ac:dyDescent="0.25"/>
    <row r="96574" s="12" customFormat="1" x14ac:dyDescent="0.25"/>
    <row r="96575" s="12" customFormat="1" x14ac:dyDescent="0.25"/>
    <row r="96576" s="12" customFormat="1" x14ac:dyDescent="0.25"/>
    <row r="96577" s="12" customFormat="1" x14ac:dyDescent="0.25"/>
    <row r="96578" s="12" customFormat="1" x14ac:dyDescent="0.25"/>
    <row r="96579" s="12" customFormat="1" x14ac:dyDescent="0.25"/>
    <row r="96580" s="12" customFormat="1" x14ac:dyDescent="0.25"/>
    <row r="96581" s="12" customFormat="1" x14ac:dyDescent="0.25"/>
    <row r="96582" s="12" customFormat="1" x14ac:dyDescent="0.25"/>
    <row r="96583" s="12" customFormat="1" x14ac:dyDescent="0.25"/>
    <row r="96584" s="12" customFormat="1" x14ac:dyDescent="0.25"/>
    <row r="96585" s="12" customFormat="1" x14ac:dyDescent="0.25"/>
    <row r="96586" s="12" customFormat="1" x14ac:dyDescent="0.25"/>
    <row r="96587" s="12" customFormat="1" x14ac:dyDescent="0.25"/>
    <row r="96588" s="12" customFormat="1" x14ac:dyDescent="0.25"/>
    <row r="96589" s="12" customFormat="1" x14ac:dyDescent="0.25"/>
    <row r="96590" s="12" customFormat="1" x14ac:dyDescent="0.25"/>
    <row r="96591" s="12" customFormat="1" x14ac:dyDescent="0.25"/>
    <row r="96592" s="12" customFormat="1" x14ac:dyDescent="0.25"/>
    <row r="96593" s="12" customFormat="1" x14ac:dyDescent="0.25"/>
    <row r="96594" s="12" customFormat="1" x14ac:dyDescent="0.25"/>
    <row r="96595" s="12" customFormat="1" x14ac:dyDescent="0.25"/>
    <row r="96596" s="12" customFormat="1" x14ac:dyDescent="0.25"/>
    <row r="96597" s="12" customFormat="1" x14ac:dyDescent="0.25"/>
    <row r="96598" s="12" customFormat="1" x14ac:dyDescent="0.25"/>
    <row r="96599" s="12" customFormat="1" x14ac:dyDescent="0.25"/>
    <row r="96600" s="12" customFormat="1" x14ac:dyDescent="0.25"/>
    <row r="96601" s="12" customFormat="1" x14ac:dyDescent="0.25"/>
    <row r="96602" s="12" customFormat="1" x14ac:dyDescent="0.25"/>
    <row r="96603" s="12" customFormat="1" x14ac:dyDescent="0.25"/>
    <row r="96604" s="12" customFormat="1" x14ac:dyDescent="0.25"/>
    <row r="96605" s="12" customFormat="1" x14ac:dyDescent="0.25"/>
    <row r="96606" s="12" customFormat="1" x14ac:dyDescent="0.25"/>
    <row r="96607" s="12" customFormat="1" x14ac:dyDescent="0.25"/>
    <row r="96608" s="12" customFormat="1" x14ac:dyDescent="0.25"/>
    <row r="96609" s="12" customFormat="1" x14ac:dyDescent="0.25"/>
    <row r="96610" s="12" customFormat="1" x14ac:dyDescent="0.25"/>
    <row r="96611" s="12" customFormat="1" x14ac:dyDescent="0.25"/>
    <row r="96612" s="12" customFormat="1" x14ac:dyDescent="0.25"/>
    <row r="96613" s="12" customFormat="1" x14ac:dyDescent="0.25"/>
    <row r="96614" s="12" customFormat="1" x14ac:dyDescent="0.25"/>
    <row r="96615" s="12" customFormat="1" x14ac:dyDescent="0.25"/>
    <row r="96616" s="12" customFormat="1" x14ac:dyDescent="0.25"/>
    <row r="96617" s="12" customFormat="1" x14ac:dyDescent="0.25"/>
    <row r="96618" s="12" customFormat="1" x14ac:dyDescent="0.25"/>
    <row r="96619" s="12" customFormat="1" x14ac:dyDescent="0.25"/>
    <row r="96620" s="12" customFormat="1" x14ac:dyDescent="0.25"/>
    <row r="96621" s="12" customFormat="1" x14ac:dyDescent="0.25"/>
    <row r="96622" s="12" customFormat="1" x14ac:dyDescent="0.25"/>
    <row r="96623" s="12" customFormat="1" x14ac:dyDescent="0.25"/>
    <row r="96624" s="12" customFormat="1" x14ac:dyDescent="0.25"/>
    <row r="96625" s="12" customFormat="1" x14ac:dyDescent="0.25"/>
    <row r="96626" s="12" customFormat="1" x14ac:dyDescent="0.25"/>
    <row r="96627" s="12" customFormat="1" x14ac:dyDescent="0.25"/>
    <row r="96628" s="12" customFormat="1" x14ac:dyDescent="0.25"/>
    <row r="96629" s="12" customFormat="1" x14ac:dyDescent="0.25"/>
    <row r="96630" s="12" customFormat="1" x14ac:dyDescent="0.25"/>
    <row r="96631" s="12" customFormat="1" x14ac:dyDescent="0.25"/>
    <row r="96632" s="12" customFormat="1" x14ac:dyDescent="0.25"/>
    <row r="96633" s="12" customFormat="1" x14ac:dyDescent="0.25"/>
    <row r="96634" s="12" customFormat="1" x14ac:dyDescent="0.25"/>
    <row r="96635" s="12" customFormat="1" x14ac:dyDescent="0.25"/>
    <row r="96636" s="12" customFormat="1" x14ac:dyDescent="0.25"/>
    <row r="96637" s="12" customFormat="1" x14ac:dyDescent="0.25"/>
    <row r="96638" s="12" customFormat="1" x14ac:dyDescent="0.25"/>
    <row r="96639" s="12" customFormat="1" x14ac:dyDescent="0.25"/>
    <row r="96640" s="12" customFormat="1" x14ac:dyDescent="0.25"/>
    <row r="96641" s="12" customFormat="1" x14ac:dyDescent="0.25"/>
    <row r="96642" s="12" customFormat="1" x14ac:dyDescent="0.25"/>
    <row r="96643" s="12" customFormat="1" x14ac:dyDescent="0.25"/>
    <row r="96644" s="12" customFormat="1" x14ac:dyDescent="0.25"/>
    <row r="96645" s="12" customFormat="1" x14ac:dyDescent="0.25"/>
    <row r="96646" s="12" customFormat="1" x14ac:dyDescent="0.25"/>
    <row r="96647" s="12" customFormat="1" x14ac:dyDescent="0.25"/>
    <row r="96648" s="12" customFormat="1" x14ac:dyDescent="0.25"/>
    <row r="96649" s="12" customFormat="1" x14ac:dyDescent="0.25"/>
    <row r="96650" s="12" customFormat="1" x14ac:dyDescent="0.25"/>
    <row r="96651" s="12" customFormat="1" x14ac:dyDescent="0.25"/>
    <row r="96652" s="12" customFormat="1" x14ac:dyDescent="0.25"/>
    <row r="96653" s="12" customFormat="1" x14ac:dyDescent="0.25"/>
    <row r="96654" s="12" customFormat="1" x14ac:dyDescent="0.25"/>
    <row r="96655" s="12" customFormat="1" x14ac:dyDescent="0.25"/>
    <row r="96656" s="12" customFormat="1" x14ac:dyDescent="0.25"/>
    <row r="96657" s="12" customFormat="1" x14ac:dyDescent="0.25"/>
    <row r="96658" s="12" customFormat="1" x14ac:dyDescent="0.25"/>
    <row r="96659" s="12" customFormat="1" x14ac:dyDescent="0.25"/>
    <row r="96660" s="12" customFormat="1" x14ac:dyDescent="0.25"/>
    <row r="96661" s="12" customFormat="1" x14ac:dyDescent="0.25"/>
    <row r="96662" s="12" customFormat="1" x14ac:dyDescent="0.25"/>
    <row r="96663" s="12" customFormat="1" x14ac:dyDescent="0.25"/>
    <row r="96664" s="12" customFormat="1" x14ac:dyDescent="0.25"/>
    <row r="96665" s="12" customFormat="1" x14ac:dyDescent="0.25"/>
    <row r="96666" s="12" customFormat="1" x14ac:dyDescent="0.25"/>
    <row r="96667" s="12" customFormat="1" x14ac:dyDescent="0.25"/>
    <row r="96668" s="12" customFormat="1" x14ac:dyDescent="0.25"/>
    <row r="96669" s="12" customFormat="1" x14ac:dyDescent="0.25"/>
    <row r="96670" s="12" customFormat="1" x14ac:dyDescent="0.25"/>
    <row r="96671" s="12" customFormat="1" x14ac:dyDescent="0.25"/>
    <row r="96672" s="12" customFormat="1" x14ac:dyDescent="0.25"/>
    <row r="96673" s="12" customFormat="1" x14ac:dyDescent="0.25"/>
    <row r="96674" s="12" customFormat="1" x14ac:dyDescent="0.25"/>
    <row r="96675" s="12" customFormat="1" x14ac:dyDescent="0.25"/>
    <row r="96676" s="12" customFormat="1" x14ac:dyDescent="0.25"/>
    <row r="96677" s="12" customFormat="1" x14ac:dyDescent="0.25"/>
    <row r="96678" s="12" customFormat="1" x14ac:dyDescent="0.25"/>
    <row r="96679" s="12" customFormat="1" x14ac:dyDescent="0.25"/>
    <row r="96680" s="12" customFormat="1" x14ac:dyDescent="0.25"/>
    <row r="96681" s="12" customFormat="1" x14ac:dyDescent="0.25"/>
    <row r="96682" s="12" customFormat="1" x14ac:dyDescent="0.25"/>
    <row r="96683" s="12" customFormat="1" x14ac:dyDescent="0.25"/>
    <row r="96684" s="12" customFormat="1" x14ac:dyDescent="0.25"/>
    <row r="96685" s="12" customFormat="1" x14ac:dyDescent="0.25"/>
    <row r="96686" s="12" customFormat="1" x14ac:dyDescent="0.25"/>
    <row r="96687" s="12" customFormat="1" x14ac:dyDescent="0.25"/>
    <row r="96688" s="12" customFormat="1" x14ac:dyDescent="0.25"/>
    <row r="96689" s="12" customFormat="1" x14ac:dyDescent="0.25"/>
    <row r="96690" s="12" customFormat="1" x14ac:dyDescent="0.25"/>
    <row r="96691" s="12" customFormat="1" x14ac:dyDescent="0.25"/>
    <row r="96692" s="12" customFormat="1" x14ac:dyDescent="0.25"/>
    <row r="96693" s="12" customFormat="1" x14ac:dyDescent="0.25"/>
    <row r="96694" s="12" customFormat="1" x14ac:dyDescent="0.25"/>
    <row r="96695" s="12" customFormat="1" x14ac:dyDescent="0.25"/>
    <row r="96696" s="12" customFormat="1" x14ac:dyDescent="0.25"/>
    <row r="96697" s="12" customFormat="1" x14ac:dyDescent="0.25"/>
    <row r="96698" s="12" customFormat="1" x14ac:dyDescent="0.25"/>
    <row r="96699" s="12" customFormat="1" x14ac:dyDescent="0.25"/>
    <row r="96700" s="12" customFormat="1" x14ac:dyDescent="0.25"/>
    <row r="96701" s="12" customFormat="1" x14ac:dyDescent="0.25"/>
    <row r="96702" s="12" customFormat="1" x14ac:dyDescent="0.25"/>
    <row r="96703" s="12" customFormat="1" x14ac:dyDescent="0.25"/>
    <row r="96704" s="12" customFormat="1" x14ac:dyDescent="0.25"/>
    <row r="96705" s="12" customFormat="1" x14ac:dyDescent="0.25"/>
    <row r="96706" s="12" customFormat="1" x14ac:dyDescent="0.25"/>
    <row r="96707" s="12" customFormat="1" x14ac:dyDescent="0.25"/>
    <row r="96708" s="12" customFormat="1" x14ac:dyDescent="0.25"/>
    <row r="96709" s="12" customFormat="1" x14ac:dyDescent="0.25"/>
    <row r="96710" s="12" customFormat="1" x14ac:dyDescent="0.25"/>
    <row r="96711" s="12" customFormat="1" x14ac:dyDescent="0.25"/>
    <row r="96712" s="12" customFormat="1" x14ac:dyDescent="0.25"/>
    <row r="96713" s="12" customFormat="1" x14ac:dyDescent="0.25"/>
    <row r="96714" s="12" customFormat="1" x14ac:dyDescent="0.25"/>
    <row r="96715" s="12" customFormat="1" x14ac:dyDescent="0.25"/>
    <row r="96716" s="12" customFormat="1" x14ac:dyDescent="0.25"/>
    <row r="96717" s="12" customFormat="1" x14ac:dyDescent="0.25"/>
    <row r="96718" s="12" customFormat="1" x14ac:dyDescent="0.25"/>
    <row r="96719" s="12" customFormat="1" x14ac:dyDescent="0.25"/>
    <row r="96720" s="12" customFormat="1" x14ac:dyDescent="0.25"/>
    <row r="96721" s="12" customFormat="1" x14ac:dyDescent="0.25"/>
    <row r="96722" s="12" customFormat="1" x14ac:dyDescent="0.25"/>
    <row r="96723" s="12" customFormat="1" x14ac:dyDescent="0.25"/>
    <row r="96724" s="12" customFormat="1" x14ac:dyDescent="0.25"/>
    <row r="96725" s="12" customFormat="1" x14ac:dyDescent="0.25"/>
    <row r="96726" s="12" customFormat="1" x14ac:dyDescent="0.25"/>
    <row r="96727" s="12" customFormat="1" x14ac:dyDescent="0.25"/>
    <row r="96728" s="12" customFormat="1" x14ac:dyDescent="0.25"/>
    <row r="96729" s="12" customFormat="1" x14ac:dyDescent="0.25"/>
    <row r="96730" s="12" customFormat="1" x14ac:dyDescent="0.25"/>
    <row r="96731" s="12" customFormat="1" x14ac:dyDescent="0.25"/>
    <row r="96732" s="12" customFormat="1" x14ac:dyDescent="0.25"/>
    <row r="96733" s="12" customFormat="1" x14ac:dyDescent="0.25"/>
    <row r="96734" s="12" customFormat="1" x14ac:dyDescent="0.25"/>
    <row r="96735" s="12" customFormat="1" x14ac:dyDescent="0.25"/>
    <row r="96736" s="12" customFormat="1" x14ac:dyDescent="0.25"/>
    <row r="96737" s="12" customFormat="1" x14ac:dyDescent="0.25"/>
    <row r="96738" s="12" customFormat="1" x14ac:dyDescent="0.25"/>
    <row r="96739" s="12" customFormat="1" x14ac:dyDescent="0.25"/>
    <row r="96740" s="12" customFormat="1" x14ac:dyDescent="0.25"/>
    <row r="96741" s="12" customFormat="1" x14ac:dyDescent="0.25"/>
    <row r="96742" s="12" customFormat="1" x14ac:dyDescent="0.25"/>
    <row r="96743" s="12" customFormat="1" x14ac:dyDescent="0.25"/>
    <row r="96744" s="12" customFormat="1" x14ac:dyDescent="0.25"/>
    <row r="96745" s="12" customFormat="1" x14ac:dyDescent="0.25"/>
    <row r="96746" s="12" customFormat="1" x14ac:dyDescent="0.25"/>
    <row r="96747" s="12" customFormat="1" x14ac:dyDescent="0.25"/>
    <row r="96748" s="12" customFormat="1" x14ac:dyDescent="0.25"/>
    <row r="96749" s="12" customFormat="1" x14ac:dyDescent="0.25"/>
    <row r="96750" s="12" customFormat="1" x14ac:dyDescent="0.25"/>
    <row r="96751" s="12" customFormat="1" x14ac:dyDescent="0.25"/>
    <row r="96752" s="12" customFormat="1" x14ac:dyDescent="0.25"/>
    <row r="96753" s="12" customFormat="1" x14ac:dyDescent="0.25"/>
    <row r="96754" s="12" customFormat="1" x14ac:dyDescent="0.25"/>
    <row r="96755" s="12" customFormat="1" x14ac:dyDescent="0.25"/>
    <row r="96756" s="12" customFormat="1" x14ac:dyDescent="0.25"/>
    <row r="96757" s="12" customFormat="1" x14ac:dyDescent="0.25"/>
    <row r="96758" s="12" customFormat="1" x14ac:dyDescent="0.25"/>
    <row r="96759" s="12" customFormat="1" x14ac:dyDescent="0.25"/>
    <row r="96760" s="12" customFormat="1" x14ac:dyDescent="0.25"/>
    <row r="96761" s="12" customFormat="1" x14ac:dyDescent="0.25"/>
    <row r="96762" s="12" customFormat="1" x14ac:dyDescent="0.25"/>
    <row r="96763" s="12" customFormat="1" x14ac:dyDescent="0.25"/>
    <row r="96764" s="12" customFormat="1" x14ac:dyDescent="0.25"/>
    <row r="96765" s="12" customFormat="1" x14ac:dyDescent="0.25"/>
    <row r="96766" s="12" customFormat="1" x14ac:dyDescent="0.25"/>
    <row r="96767" s="12" customFormat="1" x14ac:dyDescent="0.25"/>
    <row r="96768" s="12" customFormat="1" x14ac:dyDescent="0.25"/>
    <row r="96769" s="12" customFormat="1" x14ac:dyDescent="0.25"/>
    <row r="96770" s="12" customFormat="1" x14ac:dyDescent="0.25"/>
    <row r="96771" s="12" customFormat="1" x14ac:dyDescent="0.25"/>
    <row r="96772" s="12" customFormat="1" x14ac:dyDescent="0.25"/>
    <row r="96773" s="12" customFormat="1" x14ac:dyDescent="0.25"/>
    <row r="96774" s="12" customFormat="1" x14ac:dyDescent="0.25"/>
    <row r="96775" s="12" customFormat="1" x14ac:dyDescent="0.25"/>
    <row r="96776" s="12" customFormat="1" x14ac:dyDescent="0.25"/>
    <row r="96777" s="12" customFormat="1" x14ac:dyDescent="0.25"/>
    <row r="96778" s="12" customFormat="1" x14ac:dyDescent="0.25"/>
    <row r="96779" s="12" customFormat="1" x14ac:dyDescent="0.25"/>
    <row r="96780" s="12" customFormat="1" x14ac:dyDescent="0.25"/>
    <row r="96781" s="12" customFormat="1" x14ac:dyDescent="0.25"/>
    <row r="96782" s="12" customFormat="1" x14ac:dyDescent="0.25"/>
    <row r="96783" s="12" customFormat="1" x14ac:dyDescent="0.25"/>
    <row r="96784" s="12" customFormat="1" x14ac:dyDescent="0.25"/>
    <row r="96785" s="12" customFormat="1" x14ac:dyDescent="0.25"/>
    <row r="96786" s="12" customFormat="1" x14ac:dyDescent="0.25"/>
    <row r="96787" s="12" customFormat="1" x14ac:dyDescent="0.25"/>
    <row r="96788" s="12" customFormat="1" x14ac:dyDescent="0.25"/>
    <row r="96789" s="12" customFormat="1" x14ac:dyDescent="0.25"/>
    <row r="96790" s="12" customFormat="1" x14ac:dyDescent="0.25"/>
    <row r="96791" s="12" customFormat="1" x14ac:dyDescent="0.25"/>
    <row r="96792" s="12" customFormat="1" x14ac:dyDescent="0.25"/>
    <row r="96793" s="12" customFormat="1" x14ac:dyDescent="0.25"/>
    <row r="96794" s="12" customFormat="1" x14ac:dyDescent="0.25"/>
    <row r="96795" s="12" customFormat="1" x14ac:dyDescent="0.25"/>
    <row r="96796" s="12" customFormat="1" x14ac:dyDescent="0.25"/>
    <row r="96797" s="12" customFormat="1" x14ac:dyDescent="0.25"/>
    <row r="96798" s="12" customFormat="1" x14ac:dyDescent="0.25"/>
    <row r="96799" s="12" customFormat="1" x14ac:dyDescent="0.25"/>
    <row r="96800" s="12" customFormat="1" x14ac:dyDescent="0.25"/>
    <row r="96801" s="12" customFormat="1" x14ac:dyDescent="0.25"/>
    <row r="96802" s="12" customFormat="1" x14ac:dyDescent="0.25"/>
    <row r="96803" s="12" customFormat="1" x14ac:dyDescent="0.25"/>
    <row r="96804" s="12" customFormat="1" x14ac:dyDescent="0.25"/>
    <row r="96805" s="12" customFormat="1" x14ac:dyDescent="0.25"/>
    <row r="96806" s="12" customFormat="1" x14ac:dyDescent="0.25"/>
    <row r="96807" s="12" customFormat="1" x14ac:dyDescent="0.25"/>
    <row r="96808" s="12" customFormat="1" x14ac:dyDescent="0.25"/>
    <row r="96809" s="12" customFormat="1" x14ac:dyDescent="0.25"/>
    <row r="96810" s="12" customFormat="1" x14ac:dyDescent="0.25"/>
    <row r="96811" s="12" customFormat="1" x14ac:dyDescent="0.25"/>
    <row r="96812" s="12" customFormat="1" x14ac:dyDescent="0.25"/>
    <row r="96813" s="12" customFormat="1" x14ac:dyDescent="0.25"/>
    <row r="96814" s="12" customFormat="1" x14ac:dyDescent="0.25"/>
    <row r="96815" s="12" customFormat="1" x14ac:dyDescent="0.25"/>
    <row r="96816" s="12" customFormat="1" x14ac:dyDescent="0.25"/>
    <row r="96817" s="12" customFormat="1" x14ac:dyDescent="0.25"/>
    <row r="96818" s="12" customFormat="1" x14ac:dyDescent="0.25"/>
    <row r="96819" s="12" customFormat="1" x14ac:dyDescent="0.25"/>
    <row r="96820" s="12" customFormat="1" x14ac:dyDescent="0.25"/>
    <row r="96821" s="12" customFormat="1" x14ac:dyDescent="0.25"/>
    <row r="96822" s="12" customFormat="1" x14ac:dyDescent="0.25"/>
    <row r="96823" s="12" customFormat="1" x14ac:dyDescent="0.25"/>
    <row r="96824" s="12" customFormat="1" x14ac:dyDescent="0.25"/>
    <row r="96825" s="12" customFormat="1" x14ac:dyDescent="0.25"/>
    <row r="96826" s="12" customFormat="1" x14ac:dyDescent="0.25"/>
    <row r="96827" s="12" customFormat="1" x14ac:dyDescent="0.25"/>
    <row r="96828" s="12" customFormat="1" x14ac:dyDescent="0.25"/>
    <row r="96829" s="12" customFormat="1" x14ac:dyDescent="0.25"/>
    <row r="96830" s="12" customFormat="1" x14ac:dyDescent="0.25"/>
    <row r="96831" s="12" customFormat="1" x14ac:dyDescent="0.25"/>
    <row r="96832" s="12" customFormat="1" x14ac:dyDescent="0.25"/>
    <row r="96833" s="12" customFormat="1" x14ac:dyDescent="0.25"/>
    <row r="96834" s="12" customFormat="1" x14ac:dyDescent="0.25"/>
    <row r="96835" s="12" customFormat="1" x14ac:dyDescent="0.25"/>
    <row r="96836" s="12" customFormat="1" x14ac:dyDescent="0.25"/>
    <row r="96837" s="12" customFormat="1" x14ac:dyDescent="0.25"/>
    <row r="96838" s="12" customFormat="1" x14ac:dyDescent="0.25"/>
    <row r="96839" s="12" customFormat="1" x14ac:dyDescent="0.25"/>
    <row r="96840" s="12" customFormat="1" x14ac:dyDescent="0.25"/>
    <row r="96841" s="12" customFormat="1" x14ac:dyDescent="0.25"/>
    <row r="96842" s="12" customFormat="1" x14ac:dyDescent="0.25"/>
    <row r="96843" s="12" customFormat="1" x14ac:dyDescent="0.25"/>
    <row r="96844" s="12" customFormat="1" x14ac:dyDescent="0.25"/>
    <row r="96845" s="12" customFormat="1" x14ac:dyDescent="0.25"/>
    <row r="96846" s="12" customFormat="1" x14ac:dyDescent="0.25"/>
    <row r="96847" s="12" customFormat="1" x14ac:dyDescent="0.25"/>
    <row r="96848" s="12" customFormat="1" x14ac:dyDescent="0.25"/>
    <row r="96849" s="12" customFormat="1" x14ac:dyDescent="0.25"/>
    <row r="96850" s="12" customFormat="1" x14ac:dyDescent="0.25"/>
    <row r="96851" s="12" customFormat="1" x14ac:dyDescent="0.25"/>
    <row r="96852" s="12" customFormat="1" x14ac:dyDescent="0.25"/>
    <row r="96853" s="12" customFormat="1" x14ac:dyDescent="0.25"/>
    <row r="96854" s="12" customFormat="1" x14ac:dyDescent="0.25"/>
    <row r="96855" s="12" customFormat="1" x14ac:dyDescent="0.25"/>
    <row r="96856" s="12" customFormat="1" x14ac:dyDescent="0.25"/>
    <row r="96857" s="12" customFormat="1" x14ac:dyDescent="0.25"/>
    <row r="96858" s="12" customFormat="1" x14ac:dyDescent="0.25"/>
    <row r="96859" s="12" customFormat="1" x14ac:dyDescent="0.25"/>
    <row r="96860" s="12" customFormat="1" x14ac:dyDescent="0.25"/>
    <row r="96861" s="12" customFormat="1" x14ac:dyDescent="0.25"/>
    <row r="96862" s="12" customFormat="1" x14ac:dyDescent="0.25"/>
    <row r="96863" s="12" customFormat="1" x14ac:dyDescent="0.25"/>
    <row r="96864" s="12" customFormat="1" x14ac:dyDescent="0.25"/>
    <row r="96865" s="12" customFormat="1" x14ac:dyDescent="0.25"/>
    <row r="96866" s="12" customFormat="1" x14ac:dyDescent="0.25"/>
    <row r="96867" s="12" customFormat="1" x14ac:dyDescent="0.25"/>
    <row r="96868" s="12" customFormat="1" x14ac:dyDescent="0.25"/>
    <row r="96869" s="12" customFormat="1" x14ac:dyDescent="0.25"/>
    <row r="96870" s="12" customFormat="1" x14ac:dyDescent="0.25"/>
    <row r="96871" s="12" customFormat="1" x14ac:dyDescent="0.25"/>
    <row r="96872" s="12" customFormat="1" x14ac:dyDescent="0.25"/>
    <row r="96873" s="12" customFormat="1" x14ac:dyDescent="0.25"/>
    <row r="96874" s="12" customFormat="1" x14ac:dyDescent="0.25"/>
    <row r="96875" s="12" customFormat="1" x14ac:dyDescent="0.25"/>
    <row r="96876" s="12" customFormat="1" x14ac:dyDescent="0.25"/>
    <row r="96877" s="12" customFormat="1" x14ac:dyDescent="0.25"/>
    <row r="96878" s="12" customFormat="1" x14ac:dyDescent="0.25"/>
    <row r="96879" s="12" customFormat="1" x14ac:dyDescent="0.25"/>
    <row r="96880" s="12" customFormat="1" x14ac:dyDescent="0.25"/>
    <row r="96881" s="12" customFormat="1" x14ac:dyDescent="0.25"/>
    <row r="96882" s="12" customFormat="1" x14ac:dyDescent="0.25"/>
    <row r="96883" s="12" customFormat="1" x14ac:dyDescent="0.25"/>
    <row r="96884" s="12" customFormat="1" x14ac:dyDescent="0.25"/>
    <row r="96885" s="12" customFormat="1" x14ac:dyDescent="0.25"/>
    <row r="96886" s="12" customFormat="1" x14ac:dyDescent="0.25"/>
    <row r="96887" s="12" customFormat="1" x14ac:dyDescent="0.25"/>
    <row r="96888" s="12" customFormat="1" x14ac:dyDescent="0.25"/>
    <row r="96889" s="12" customFormat="1" x14ac:dyDescent="0.25"/>
    <row r="96890" s="12" customFormat="1" x14ac:dyDescent="0.25"/>
    <row r="96891" s="12" customFormat="1" x14ac:dyDescent="0.25"/>
    <row r="96892" s="12" customFormat="1" x14ac:dyDescent="0.25"/>
    <row r="96893" s="12" customFormat="1" x14ac:dyDescent="0.25"/>
    <row r="96894" s="12" customFormat="1" x14ac:dyDescent="0.25"/>
    <row r="96895" s="12" customFormat="1" x14ac:dyDescent="0.25"/>
    <row r="96896" s="12" customFormat="1" x14ac:dyDescent="0.25"/>
    <row r="96897" s="12" customFormat="1" x14ac:dyDescent="0.25"/>
    <row r="96898" s="12" customFormat="1" x14ac:dyDescent="0.25"/>
    <row r="96899" s="12" customFormat="1" x14ac:dyDescent="0.25"/>
    <row r="96900" s="12" customFormat="1" x14ac:dyDescent="0.25"/>
    <row r="96901" s="12" customFormat="1" x14ac:dyDescent="0.25"/>
    <row r="96902" s="12" customFormat="1" x14ac:dyDescent="0.25"/>
    <row r="96903" s="12" customFormat="1" x14ac:dyDescent="0.25"/>
    <row r="96904" s="12" customFormat="1" x14ac:dyDescent="0.25"/>
    <row r="96905" s="12" customFormat="1" x14ac:dyDescent="0.25"/>
    <row r="96906" s="12" customFormat="1" x14ac:dyDescent="0.25"/>
    <row r="96907" s="12" customFormat="1" x14ac:dyDescent="0.25"/>
    <row r="96908" s="12" customFormat="1" x14ac:dyDescent="0.25"/>
    <row r="96909" s="12" customFormat="1" x14ac:dyDescent="0.25"/>
    <row r="96910" s="12" customFormat="1" x14ac:dyDescent="0.25"/>
    <row r="96911" s="12" customFormat="1" x14ac:dyDescent="0.25"/>
    <row r="96912" s="12" customFormat="1" x14ac:dyDescent="0.25"/>
    <row r="96913" s="12" customFormat="1" x14ac:dyDescent="0.25"/>
    <row r="96914" s="12" customFormat="1" x14ac:dyDescent="0.25"/>
    <row r="96915" s="12" customFormat="1" x14ac:dyDescent="0.25"/>
    <row r="96916" s="12" customFormat="1" x14ac:dyDescent="0.25"/>
    <row r="96917" s="12" customFormat="1" x14ac:dyDescent="0.25"/>
    <row r="96918" s="12" customFormat="1" x14ac:dyDescent="0.25"/>
    <row r="96919" s="12" customFormat="1" x14ac:dyDescent="0.25"/>
    <row r="96920" s="12" customFormat="1" x14ac:dyDescent="0.25"/>
    <row r="96921" s="12" customFormat="1" x14ac:dyDescent="0.25"/>
    <row r="96922" s="12" customFormat="1" x14ac:dyDescent="0.25"/>
    <row r="96923" s="12" customFormat="1" x14ac:dyDescent="0.25"/>
    <row r="96924" s="12" customFormat="1" x14ac:dyDescent="0.25"/>
    <row r="96925" s="12" customFormat="1" x14ac:dyDescent="0.25"/>
    <row r="96926" s="12" customFormat="1" x14ac:dyDescent="0.25"/>
    <row r="96927" s="12" customFormat="1" x14ac:dyDescent="0.25"/>
    <row r="96928" s="12" customFormat="1" x14ac:dyDescent="0.25"/>
    <row r="96929" s="12" customFormat="1" x14ac:dyDescent="0.25"/>
    <row r="96930" s="12" customFormat="1" x14ac:dyDescent="0.25"/>
    <row r="96931" s="12" customFormat="1" x14ac:dyDescent="0.25"/>
    <row r="96932" s="12" customFormat="1" x14ac:dyDescent="0.25"/>
    <row r="96933" s="12" customFormat="1" x14ac:dyDescent="0.25"/>
    <row r="96934" s="12" customFormat="1" x14ac:dyDescent="0.25"/>
    <row r="96935" s="12" customFormat="1" x14ac:dyDescent="0.25"/>
    <row r="96936" s="12" customFormat="1" x14ac:dyDescent="0.25"/>
    <row r="96937" s="12" customFormat="1" x14ac:dyDescent="0.25"/>
    <row r="96938" s="12" customFormat="1" x14ac:dyDescent="0.25"/>
    <row r="96939" s="12" customFormat="1" x14ac:dyDescent="0.25"/>
    <row r="96940" s="12" customFormat="1" x14ac:dyDescent="0.25"/>
    <row r="96941" s="12" customFormat="1" x14ac:dyDescent="0.25"/>
    <row r="96942" s="12" customFormat="1" x14ac:dyDescent="0.25"/>
    <row r="96943" s="12" customFormat="1" x14ac:dyDescent="0.25"/>
    <row r="96944" s="12" customFormat="1" x14ac:dyDescent="0.25"/>
    <row r="96945" s="12" customFormat="1" x14ac:dyDescent="0.25"/>
    <row r="96946" s="12" customFormat="1" x14ac:dyDescent="0.25"/>
    <row r="96947" s="12" customFormat="1" x14ac:dyDescent="0.25"/>
    <row r="96948" s="12" customFormat="1" x14ac:dyDescent="0.25"/>
    <row r="96949" s="12" customFormat="1" x14ac:dyDescent="0.25"/>
    <row r="96950" s="12" customFormat="1" x14ac:dyDescent="0.25"/>
    <row r="96951" s="12" customFormat="1" x14ac:dyDescent="0.25"/>
    <row r="96952" s="12" customFormat="1" x14ac:dyDescent="0.25"/>
    <row r="96953" s="12" customFormat="1" x14ac:dyDescent="0.25"/>
    <row r="96954" s="12" customFormat="1" x14ac:dyDescent="0.25"/>
    <row r="96955" s="12" customFormat="1" x14ac:dyDescent="0.25"/>
    <row r="96956" s="12" customFormat="1" x14ac:dyDescent="0.25"/>
    <row r="96957" s="12" customFormat="1" x14ac:dyDescent="0.25"/>
    <row r="96958" s="12" customFormat="1" x14ac:dyDescent="0.25"/>
    <row r="96959" s="12" customFormat="1" x14ac:dyDescent="0.25"/>
    <row r="96960" s="12" customFormat="1" x14ac:dyDescent="0.25"/>
    <row r="96961" s="12" customFormat="1" x14ac:dyDescent="0.25"/>
    <row r="96962" s="12" customFormat="1" x14ac:dyDescent="0.25"/>
    <row r="96963" s="12" customFormat="1" x14ac:dyDescent="0.25"/>
    <row r="96964" s="12" customFormat="1" x14ac:dyDescent="0.25"/>
    <row r="96965" s="12" customFormat="1" x14ac:dyDescent="0.25"/>
    <row r="96966" s="12" customFormat="1" x14ac:dyDescent="0.25"/>
    <row r="96967" s="12" customFormat="1" x14ac:dyDescent="0.25"/>
    <row r="96968" s="12" customFormat="1" x14ac:dyDescent="0.25"/>
    <row r="96969" s="12" customFormat="1" x14ac:dyDescent="0.25"/>
    <row r="96970" s="12" customFormat="1" x14ac:dyDescent="0.25"/>
    <row r="96971" s="12" customFormat="1" x14ac:dyDescent="0.25"/>
    <row r="96972" s="12" customFormat="1" x14ac:dyDescent="0.25"/>
    <row r="96973" s="12" customFormat="1" x14ac:dyDescent="0.25"/>
    <row r="96974" s="12" customFormat="1" x14ac:dyDescent="0.25"/>
    <row r="96975" s="12" customFormat="1" x14ac:dyDescent="0.25"/>
    <row r="96976" s="12" customFormat="1" x14ac:dyDescent="0.25"/>
    <row r="96977" s="12" customFormat="1" x14ac:dyDescent="0.25"/>
    <row r="96978" s="12" customFormat="1" x14ac:dyDescent="0.25"/>
    <row r="96979" s="12" customFormat="1" x14ac:dyDescent="0.25"/>
    <row r="96980" s="12" customFormat="1" x14ac:dyDescent="0.25"/>
    <row r="96981" s="12" customFormat="1" x14ac:dyDescent="0.25"/>
    <row r="96982" s="12" customFormat="1" x14ac:dyDescent="0.25"/>
    <row r="96983" s="12" customFormat="1" x14ac:dyDescent="0.25"/>
    <row r="96984" s="12" customFormat="1" x14ac:dyDescent="0.25"/>
    <row r="96985" s="12" customFormat="1" x14ac:dyDescent="0.25"/>
    <row r="96986" s="12" customFormat="1" x14ac:dyDescent="0.25"/>
    <row r="96987" s="12" customFormat="1" x14ac:dyDescent="0.25"/>
    <row r="96988" s="12" customFormat="1" x14ac:dyDescent="0.25"/>
    <row r="96989" s="12" customFormat="1" x14ac:dyDescent="0.25"/>
    <row r="96990" s="12" customFormat="1" x14ac:dyDescent="0.25"/>
    <row r="96991" s="12" customFormat="1" x14ac:dyDescent="0.25"/>
    <row r="96992" s="12" customFormat="1" x14ac:dyDescent="0.25"/>
    <row r="96993" s="12" customFormat="1" x14ac:dyDescent="0.25"/>
    <row r="96994" s="12" customFormat="1" x14ac:dyDescent="0.25"/>
    <row r="96995" s="12" customFormat="1" x14ac:dyDescent="0.25"/>
    <row r="96996" s="12" customFormat="1" x14ac:dyDescent="0.25"/>
    <row r="96997" s="12" customFormat="1" x14ac:dyDescent="0.25"/>
    <row r="96998" s="12" customFormat="1" x14ac:dyDescent="0.25"/>
    <row r="96999" s="12" customFormat="1" x14ac:dyDescent="0.25"/>
    <row r="97000" s="12" customFormat="1" x14ac:dyDescent="0.25"/>
    <row r="97001" s="12" customFormat="1" x14ac:dyDescent="0.25"/>
    <row r="97002" s="12" customFormat="1" x14ac:dyDescent="0.25"/>
    <row r="97003" s="12" customFormat="1" x14ac:dyDescent="0.25"/>
    <row r="97004" s="12" customFormat="1" x14ac:dyDescent="0.25"/>
    <row r="97005" s="12" customFormat="1" x14ac:dyDescent="0.25"/>
    <row r="97006" s="12" customFormat="1" x14ac:dyDescent="0.25"/>
    <row r="97007" s="12" customFormat="1" x14ac:dyDescent="0.25"/>
    <row r="97008" s="12" customFormat="1" x14ac:dyDescent="0.25"/>
    <row r="97009" s="12" customFormat="1" x14ac:dyDescent="0.25"/>
    <row r="97010" s="12" customFormat="1" x14ac:dyDescent="0.25"/>
    <row r="97011" s="12" customFormat="1" x14ac:dyDescent="0.25"/>
    <row r="97012" s="12" customFormat="1" x14ac:dyDescent="0.25"/>
    <row r="97013" s="12" customFormat="1" x14ac:dyDescent="0.25"/>
    <row r="97014" s="12" customFormat="1" x14ac:dyDescent="0.25"/>
    <row r="97015" s="12" customFormat="1" x14ac:dyDescent="0.25"/>
    <row r="97016" s="12" customFormat="1" x14ac:dyDescent="0.25"/>
    <row r="97017" s="12" customFormat="1" x14ac:dyDescent="0.25"/>
    <row r="97018" s="12" customFormat="1" x14ac:dyDescent="0.25"/>
    <row r="97019" s="12" customFormat="1" x14ac:dyDescent="0.25"/>
    <row r="97020" s="12" customFormat="1" x14ac:dyDescent="0.25"/>
    <row r="97021" s="12" customFormat="1" x14ac:dyDescent="0.25"/>
    <row r="97022" s="12" customFormat="1" x14ac:dyDescent="0.25"/>
    <row r="97023" s="12" customFormat="1" x14ac:dyDescent="0.25"/>
    <row r="97024" s="12" customFormat="1" x14ac:dyDescent="0.25"/>
    <row r="97025" s="12" customFormat="1" x14ac:dyDescent="0.25"/>
    <row r="97026" s="12" customFormat="1" x14ac:dyDescent="0.25"/>
    <row r="97027" s="12" customFormat="1" x14ac:dyDescent="0.25"/>
    <row r="97028" s="12" customFormat="1" x14ac:dyDescent="0.25"/>
    <row r="97029" s="12" customFormat="1" x14ac:dyDescent="0.25"/>
    <row r="97030" s="12" customFormat="1" x14ac:dyDescent="0.25"/>
    <row r="97031" s="12" customFormat="1" x14ac:dyDescent="0.25"/>
    <row r="97032" s="12" customFormat="1" x14ac:dyDescent="0.25"/>
    <row r="97033" s="12" customFormat="1" x14ac:dyDescent="0.25"/>
    <row r="97034" s="12" customFormat="1" x14ac:dyDescent="0.25"/>
    <row r="97035" s="12" customFormat="1" x14ac:dyDescent="0.25"/>
    <row r="97036" s="12" customFormat="1" x14ac:dyDescent="0.25"/>
    <row r="97037" s="12" customFormat="1" x14ac:dyDescent="0.25"/>
    <row r="97038" s="12" customFormat="1" x14ac:dyDescent="0.25"/>
    <row r="97039" s="12" customFormat="1" x14ac:dyDescent="0.25"/>
    <row r="97040" s="12" customFormat="1" x14ac:dyDescent="0.25"/>
    <row r="97041" s="12" customFormat="1" x14ac:dyDescent="0.25"/>
    <row r="97042" s="12" customFormat="1" x14ac:dyDescent="0.25"/>
    <row r="97043" s="12" customFormat="1" x14ac:dyDescent="0.25"/>
    <row r="97044" s="12" customFormat="1" x14ac:dyDescent="0.25"/>
    <row r="97045" s="12" customFormat="1" x14ac:dyDescent="0.25"/>
    <row r="97046" s="12" customFormat="1" x14ac:dyDescent="0.25"/>
    <row r="97047" s="12" customFormat="1" x14ac:dyDescent="0.25"/>
    <row r="97048" s="12" customFormat="1" x14ac:dyDescent="0.25"/>
    <row r="97049" s="12" customFormat="1" x14ac:dyDescent="0.25"/>
    <row r="97050" s="12" customFormat="1" x14ac:dyDescent="0.25"/>
    <row r="97051" s="12" customFormat="1" x14ac:dyDescent="0.25"/>
    <row r="97052" s="12" customFormat="1" x14ac:dyDescent="0.25"/>
    <row r="97053" s="12" customFormat="1" x14ac:dyDescent="0.25"/>
    <row r="97054" s="12" customFormat="1" x14ac:dyDescent="0.25"/>
    <row r="97055" s="12" customFormat="1" x14ac:dyDescent="0.25"/>
    <row r="97056" s="12" customFormat="1" x14ac:dyDescent="0.25"/>
    <row r="97057" s="12" customFormat="1" x14ac:dyDescent="0.25"/>
    <row r="97058" s="12" customFormat="1" x14ac:dyDescent="0.25"/>
    <row r="97059" s="12" customFormat="1" x14ac:dyDescent="0.25"/>
    <row r="97060" s="12" customFormat="1" x14ac:dyDescent="0.25"/>
    <row r="97061" s="12" customFormat="1" x14ac:dyDescent="0.25"/>
    <row r="97062" s="12" customFormat="1" x14ac:dyDescent="0.25"/>
    <row r="97063" s="12" customFormat="1" x14ac:dyDescent="0.25"/>
    <row r="97064" s="12" customFormat="1" x14ac:dyDescent="0.25"/>
    <row r="97065" s="12" customFormat="1" x14ac:dyDescent="0.25"/>
    <row r="97066" s="12" customFormat="1" x14ac:dyDescent="0.25"/>
    <row r="97067" s="12" customFormat="1" x14ac:dyDescent="0.25"/>
    <row r="97068" s="12" customFormat="1" x14ac:dyDescent="0.25"/>
    <row r="97069" s="12" customFormat="1" x14ac:dyDescent="0.25"/>
    <row r="97070" s="12" customFormat="1" x14ac:dyDescent="0.25"/>
    <row r="97071" s="12" customFormat="1" x14ac:dyDescent="0.25"/>
    <row r="97072" s="12" customFormat="1" x14ac:dyDescent="0.25"/>
    <row r="97073" s="12" customFormat="1" x14ac:dyDescent="0.25"/>
    <row r="97074" s="12" customFormat="1" x14ac:dyDescent="0.25"/>
    <row r="97075" s="12" customFormat="1" x14ac:dyDescent="0.25"/>
    <row r="97076" s="12" customFormat="1" x14ac:dyDescent="0.25"/>
    <row r="97077" s="12" customFormat="1" x14ac:dyDescent="0.25"/>
    <row r="97078" s="12" customFormat="1" x14ac:dyDescent="0.25"/>
    <row r="97079" s="12" customFormat="1" x14ac:dyDescent="0.25"/>
    <row r="97080" s="12" customFormat="1" x14ac:dyDescent="0.25"/>
    <row r="97081" s="12" customFormat="1" x14ac:dyDescent="0.25"/>
    <row r="97082" s="12" customFormat="1" x14ac:dyDescent="0.25"/>
    <row r="97083" s="12" customFormat="1" x14ac:dyDescent="0.25"/>
    <row r="97084" s="12" customFormat="1" x14ac:dyDescent="0.25"/>
    <row r="97085" s="12" customFormat="1" x14ac:dyDescent="0.25"/>
    <row r="97086" s="12" customFormat="1" x14ac:dyDescent="0.25"/>
    <row r="97087" s="12" customFormat="1" x14ac:dyDescent="0.25"/>
    <row r="97088" s="12" customFormat="1" x14ac:dyDescent="0.25"/>
    <row r="97089" s="12" customFormat="1" x14ac:dyDescent="0.25"/>
    <row r="97090" s="12" customFormat="1" x14ac:dyDescent="0.25"/>
    <row r="97091" s="12" customFormat="1" x14ac:dyDescent="0.25"/>
    <row r="97092" s="12" customFormat="1" x14ac:dyDescent="0.25"/>
    <row r="97093" s="12" customFormat="1" x14ac:dyDescent="0.25"/>
    <row r="97094" s="12" customFormat="1" x14ac:dyDescent="0.25"/>
    <row r="97095" s="12" customFormat="1" x14ac:dyDescent="0.25"/>
    <row r="97096" s="12" customFormat="1" x14ac:dyDescent="0.25"/>
    <row r="97097" s="12" customFormat="1" x14ac:dyDescent="0.25"/>
    <row r="97098" s="12" customFormat="1" x14ac:dyDescent="0.25"/>
    <row r="97099" s="12" customFormat="1" x14ac:dyDescent="0.25"/>
    <row r="97100" s="12" customFormat="1" x14ac:dyDescent="0.25"/>
    <row r="97101" s="12" customFormat="1" x14ac:dyDescent="0.25"/>
    <row r="97102" s="12" customFormat="1" x14ac:dyDescent="0.25"/>
    <row r="97103" s="12" customFormat="1" x14ac:dyDescent="0.25"/>
    <row r="97104" s="12" customFormat="1" x14ac:dyDescent="0.25"/>
    <row r="97105" s="12" customFormat="1" x14ac:dyDescent="0.25"/>
    <row r="97106" s="12" customFormat="1" x14ac:dyDescent="0.25"/>
    <row r="97107" s="12" customFormat="1" x14ac:dyDescent="0.25"/>
    <row r="97108" s="12" customFormat="1" x14ac:dyDescent="0.25"/>
    <row r="97109" s="12" customFormat="1" x14ac:dyDescent="0.25"/>
    <row r="97110" s="12" customFormat="1" x14ac:dyDescent="0.25"/>
    <row r="97111" s="12" customFormat="1" x14ac:dyDescent="0.25"/>
    <row r="97112" s="12" customFormat="1" x14ac:dyDescent="0.25"/>
    <row r="97113" s="12" customFormat="1" x14ac:dyDescent="0.25"/>
    <row r="97114" s="12" customFormat="1" x14ac:dyDescent="0.25"/>
    <row r="97115" s="12" customFormat="1" x14ac:dyDescent="0.25"/>
    <row r="97116" s="12" customFormat="1" x14ac:dyDescent="0.25"/>
    <row r="97117" s="12" customFormat="1" x14ac:dyDescent="0.25"/>
    <row r="97118" s="12" customFormat="1" x14ac:dyDescent="0.25"/>
    <row r="97119" s="12" customFormat="1" x14ac:dyDescent="0.25"/>
    <row r="97120" s="12" customFormat="1" x14ac:dyDescent="0.25"/>
    <row r="97121" s="12" customFormat="1" x14ac:dyDescent="0.25"/>
    <row r="97122" s="12" customFormat="1" x14ac:dyDescent="0.25"/>
    <row r="97123" s="12" customFormat="1" x14ac:dyDescent="0.25"/>
    <row r="97124" s="12" customFormat="1" x14ac:dyDescent="0.25"/>
    <row r="97125" s="12" customFormat="1" x14ac:dyDescent="0.25"/>
    <row r="97126" s="12" customFormat="1" x14ac:dyDescent="0.25"/>
    <row r="97127" s="12" customFormat="1" x14ac:dyDescent="0.25"/>
    <row r="97128" s="12" customFormat="1" x14ac:dyDescent="0.25"/>
    <row r="97129" s="12" customFormat="1" x14ac:dyDescent="0.25"/>
    <row r="97130" s="12" customFormat="1" x14ac:dyDescent="0.25"/>
    <row r="97131" s="12" customFormat="1" x14ac:dyDescent="0.25"/>
    <row r="97132" s="12" customFormat="1" x14ac:dyDescent="0.25"/>
    <row r="97133" s="12" customFormat="1" x14ac:dyDescent="0.25"/>
    <row r="97134" s="12" customFormat="1" x14ac:dyDescent="0.25"/>
    <row r="97135" s="12" customFormat="1" x14ac:dyDescent="0.25"/>
    <row r="97136" s="12" customFormat="1" x14ac:dyDescent="0.25"/>
    <row r="97137" s="12" customFormat="1" x14ac:dyDescent="0.25"/>
    <row r="97138" s="12" customFormat="1" x14ac:dyDescent="0.25"/>
    <row r="97139" s="12" customFormat="1" x14ac:dyDescent="0.25"/>
    <row r="97140" s="12" customFormat="1" x14ac:dyDescent="0.25"/>
    <row r="97141" s="12" customFormat="1" x14ac:dyDescent="0.25"/>
    <row r="97142" s="12" customFormat="1" x14ac:dyDescent="0.25"/>
    <row r="97143" s="12" customFormat="1" x14ac:dyDescent="0.25"/>
    <row r="97144" s="12" customFormat="1" x14ac:dyDescent="0.25"/>
    <row r="97145" s="12" customFormat="1" x14ac:dyDescent="0.25"/>
    <row r="97146" s="12" customFormat="1" x14ac:dyDescent="0.25"/>
    <row r="97147" s="12" customFormat="1" x14ac:dyDescent="0.25"/>
    <row r="97148" s="12" customFormat="1" x14ac:dyDescent="0.25"/>
    <row r="97149" s="12" customFormat="1" x14ac:dyDescent="0.25"/>
    <row r="97150" s="12" customFormat="1" x14ac:dyDescent="0.25"/>
    <row r="97151" s="12" customFormat="1" x14ac:dyDescent="0.25"/>
    <row r="97152" s="12" customFormat="1" x14ac:dyDescent="0.25"/>
    <row r="97153" s="12" customFormat="1" x14ac:dyDescent="0.25"/>
    <row r="97154" s="12" customFormat="1" x14ac:dyDescent="0.25"/>
    <row r="97155" s="12" customFormat="1" x14ac:dyDescent="0.25"/>
    <row r="97156" s="12" customFormat="1" x14ac:dyDescent="0.25"/>
    <row r="97157" s="12" customFormat="1" x14ac:dyDescent="0.25"/>
    <row r="97158" s="12" customFormat="1" x14ac:dyDescent="0.25"/>
    <row r="97159" s="12" customFormat="1" x14ac:dyDescent="0.25"/>
    <row r="97160" s="12" customFormat="1" x14ac:dyDescent="0.25"/>
    <row r="97161" s="12" customFormat="1" x14ac:dyDescent="0.25"/>
    <row r="97162" s="12" customFormat="1" x14ac:dyDescent="0.25"/>
    <row r="97163" s="12" customFormat="1" x14ac:dyDescent="0.25"/>
    <row r="97164" s="12" customFormat="1" x14ac:dyDescent="0.25"/>
    <row r="97165" s="12" customFormat="1" x14ac:dyDescent="0.25"/>
    <row r="97166" s="12" customFormat="1" x14ac:dyDescent="0.25"/>
    <row r="97167" s="12" customFormat="1" x14ac:dyDescent="0.25"/>
    <row r="97168" s="12" customFormat="1" x14ac:dyDescent="0.25"/>
    <row r="97169" s="12" customFormat="1" x14ac:dyDescent="0.25"/>
    <row r="97170" s="12" customFormat="1" x14ac:dyDescent="0.25"/>
    <row r="97171" s="12" customFormat="1" x14ac:dyDescent="0.25"/>
    <row r="97172" s="12" customFormat="1" x14ac:dyDescent="0.25"/>
    <row r="97173" s="12" customFormat="1" x14ac:dyDescent="0.25"/>
    <row r="97174" s="12" customFormat="1" x14ac:dyDescent="0.25"/>
    <row r="97175" s="12" customFormat="1" x14ac:dyDescent="0.25"/>
    <row r="97176" s="12" customFormat="1" x14ac:dyDescent="0.25"/>
    <row r="97177" s="12" customFormat="1" x14ac:dyDescent="0.25"/>
    <row r="97178" s="12" customFormat="1" x14ac:dyDescent="0.25"/>
    <row r="97179" s="12" customFormat="1" x14ac:dyDescent="0.25"/>
    <row r="97180" s="12" customFormat="1" x14ac:dyDescent="0.25"/>
    <row r="97181" s="12" customFormat="1" x14ac:dyDescent="0.25"/>
    <row r="97182" s="12" customFormat="1" x14ac:dyDescent="0.25"/>
    <row r="97183" s="12" customFormat="1" x14ac:dyDescent="0.25"/>
    <row r="97184" s="12" customFormat="1" x14ac:dyDescent="0.25"/>
    <row r="97185" s="12" customFormat="1" x14ac:dyDescent="0.25"/>
    <row r="97186" s="12" customFormat="1" x14ac:dyDescent="0.25"/>
    <row r="97187" s="12" customFormat="1" x14ac:dyDescent="0.25"/>
    <row r="97188" s="12" customFormat="1" x14ac:dyDescent="0.25"/>
    <row r="97189" s="12" customFormat="1" x14ac:dyDescent="0.25"/>
    <row r="97190" s="12" customFormat="1" x14ac:dyDescent="0.25"/>
    <row r="97191" s="12" customFormat="1" x14ac:dyDescent="0.25"/>
    <row r="97192" s="12" customFormat="1" x14ac:dyDescent="0.25"/>
    <row r="97193" s="12" customFormat="1" x14ac:dyDescent="0.25"/>
    <row r="97194" s="12" customFormat="1" x14ac:dyDescent="0.25"/>
    <row r="97195" s="12" customFormat="1" x14ac:dyDescent="0.25"/>
    <row r="97196" s="12" customFormat="1" x14ac:dyDescent="0.25"/>
    <row r="97197" s="12" customFormat="1" x14ac:dyDescent="0.25"/>
    <row r="97198" s="12" customFormat="1" x14ac:dyDescent="0.25"/>
    <row r="97199" s="12" customFormat="1" x14ac:dyDescent="0.25"/>
    <row r="97200" s="12" customFormat="1" x14ac:dyDescent="0.25"/>
    <row r="97201" s="12" customFormat="1" x14ac:dyDescent="0.25"/>
    <row r="97202" s="12" customFormat="1" x14ac:dyDescent="0.25"/>
    <row r="97203" s="12" customFormat="1" x14ac:dyDescent="0.25"/>
    <row r="97204" s="12" customFormat="1" x14ac:dyDescent="0.25"/>
    <row r="97205" s="12" customFormat="1" x14ac:dyDescent="0.25"/>
    <row r="97206" s="12" customFormat="1" x14ac:dyDescent="0.25"/>
    <row r="97207" s="12" customFormat="1" x14ac:dyDescent="0.25"/>
    <row r="97208" s="12" customFormat="1" x14ac:dyDescent="0.25"/>
    <row r="97209" s="12" customFormat="1" x14ac:dyDescent="0.25"/>
    <row r="97210" s="12" customFormat="1" x14ac:dyDescent="0.25"/>
    <row r="97211" s="12" customFormat="1" x14ac:dyDescent="0.25"/>
    <row r="97212" s="12" customFormat="1" x14ac:dyDescent="0.25"/>
    <row r="97213" s="12" customFormat="1" x14ac:dyDescent="0.25"/>
    <row r="97214" s="12" customFormat="1" x14ac:dyDescent="0.25"/>
    <row r="97215" s="12" customFormat="1" x14ac:dyDescent="0.25"/>
    <row r="97216" s="12" customFormat="1" x14ac:dyDescent="0.25"/>
    <row r="97217" s="12" customFormat="1" x14ac:dyDescent="0.25"/>
    <row r="97218" s="12" customFormat="1" x14ac:dyDescent="0.25"/>
    <row r="97219" s="12" customFormat="1" x14ac:dyDescent="0.25"/>
    <row r="97220" s="12" customFormat="1" x14ac:dyDescent="0.25"/>
    <row r="97221" s="12" customFormat="1" x14ac:dyDescent="0.25"/>
    <row r="97222" s="12" customFormat="1" x14ac:dyDescent="0.25"/>
    <row r="97223" s="12" customFormat="1" x14ac:dyDescent="0.25"/>
    <row r="97224" s="12" customFormat="1" x14ac:dyDescent="0.25"/>
    <row r="97225" s="12" customFormat="1" x14ac:dyDescent="0.25"/>
    <row r="97226" s="12" customFormat="1" x14ac:dyDescent="0.25"/>
    <row r="97227" s="12" customFormat="1" x14ac:dyDescent="0.25"/>
    <row r="97228" s="12" customFormat="1" x14ac:dyDescent="0.25"/>
    <row r="97229" s="12" customFormat="1" x14ac:dyDescent="0.25"/>
    <row r="97230" s="12" customFormat="1" x14ac:dyDescent="0.25"/>
    <row r="97231" s="12" customFormat="1" x14ac:dyDescent="0.25"/>
    <row r="97232" s="12" customFormat="1" x14ac:dyDescent="0.25"/>
    <row r="97233" s="12" customFormat="1" x14ac:dyDescent="0.25"/>
    <row r="97234" s="12" customFormat="1" x14ac:dyDescent="0.25"/>
    <row r="97235" s="12" customFormat="1" x14ac:dyDescent="0.25"/>
    <row r="97236" s="12" customFormat="1" x14ac:dyDescent="0.25"/>
    <row r="97237" s="12" customFormat="1" x14ac:dyDescent="0.25"/>
    <row r="97238" s="12" customFormat="1" x14ac:dyDescent="0.25"/>
    <row r="97239" s="12" customFormat="1" x14ac:dyDescent="0.25"/>
    <row r="97240" s="12" customFormat="1" x14ac:dyDescent="0.25"/>
    <row r="97241" s="12" customFormat="1" x14ac:dyDescent="0.25"/>
    <row r="97242" s="12" customFormat="1" x14ac:dyDescent="0.25"/>
    <row r="97243" s="12" customFormat="1" x14ac:dyDescent="0.25"/>
    <row r="97244" s="12" customFormat="1" x14ac:dyDescent="0.25"/>
    <row r="97245" s="12" customFormat="1" x14ac:dyDescent="0.25"/>
    <row r="97246" s="12" customFormat="1" x14ac:dyDescent="0.25"/>
    <row r="97247" s="12" customFormat="1" x14ac:dyDescent="0.25"/>
    <row r="97248" s="12" customFormat="1" x14ac:dyDescent="0.25"/>
    <row r="97249" s="12" customFormat="1" x14ac:dyDescent="0.25"/>
    <row r="97250" s="12" customFormat="1" x14ac:dyDescent="0.25"/>
    <row r="97251" s="12" customFormat="1" x14ac:dyDescent="0.25"/>
    <row r="97252" s="12" customFormat="1" x14ac:dyDescent="0.25"/>
    <row r="97253" s="12" customFormat="1" x14ac:dyDescent="0.25"/>
    <row r="97254" s="12" customFormat="1" x14ac:dyDescent="0.25"/>
    <row r="97255" s="12" customFormat="1" x14ac:dyDescent="0.25"/>
    <row r="97256" s="12" customFormat="1" x14ac:dyDescent="0.25"/>
    <row r="97257" s="12" customFormat="1" x14ac:dyDescent="0.25"/>
    <row r="97258" s="12" customFormat="1" x14ac:dyDescent="0.25"/>
    <row r="97259" s="12" customFormat="1" x14ac:dyDescent="0.25"/>
    <row r="97260" s="12" customFormat="1" x14ac:dyDescent="0.25"/>
    <row r="97261" s="12" customFormat="1" x14ac:dyDescent="0.25"/>
    <row r="97262" s="12" customFormat="1" x14ac:dyDescent="0.25"/>
    <row r="97263" s="12" customFormat="1" x14ac:dyDescent="0.25"/>
    <row r="97264" s="12" customFormat="1" x14ac:dyDescent="0.25"/>
    <row r="97265" s="12" customFormat="1" x14ac:dyDescent="0.25"/>
    <row r="97266" s="12" customFormat="1" x14ac:dyDescent="0.25"/>
    <row r="97267" s="12" customFormat="1" x14ac:dyDescent="0.25"/>
    <row r="97268" s="12" customFormat="1" x14ac:dyDescent="0.25"/>
    <row r="97269" s="12" customFormat="1" x14ac:dyDescent="0.25"/>
    <row r="97270" s="12" customFormat="1" x14ac:dyDescent="0.25"/>
    <row r="97271" s="12" customFormat="1" x14ac:dyDescent="0.25"/>
    <row r="97272" s="12" customFormat="1" x14ac:dyDescent="0.25"/>
    <row r="97273" s="12" customFormat="1" x14ac:dyDescent="0.25"/>
    <row r="97274" s="12" customFormat="1" x14ac:dyDescent="0.25"/>
    <row r="97275" s="12" customFormat="1" x14ac:dyDescent="0.25"/>
    <row r="97276" s="12" customFormat="1" x14ac:dyDescent="0.25"/>
    <row r="97277" s="12" customFormat="1" x14ac:dyDescent="0.25"/>
    <row r="97278" s="12" customFormat="1" x14ac:dyDescent="0.25"/>
    <row r="97279" s="12" customFormat="1" x14ac:dyDescent="0.25"/>
    <row r="97280" s="12" customFormat="1" x14ac:dyDescent="0.25"/>
    <row r="97281" s="12" customFormat="1" x14ac:dyDescent="0.25"/>
    <row r="97282" s="12" customFormat="1" x14ac:dyDescent="0.25"/>
    <row r="97283" s="12" customFormat="1" x14ac:dyDescent="0.25"/>
    <row r="97284" s="12" customFormat="1" x14ac:dyDescent="0.25"/>
    <row r="97285" s="12" customFormat="1" x14ac:dyDescent="0.25"/>
    <row r="97286" s="12" customFormat="1" x14ac:dyDescent="0.25"/>
    <row r="97287" s="12" customFormat="1" x14ac:dyDescent="0.25"/>
    <row r="97288" s="12" customFormat="1" x14ac:dyDescent="0.25"/>
    <row r="97289" s="12" customFormat="1" x14ac:dyDescent="0.25"/>
    <row r="97290" s="12" customFormat="1" x14ac:dyDescent="0.25"/>
    <row r="97291" s="12" customFormat="1" x14ac:dyDescent="0.25"/>
    <row r="97292" s="12" customFormat="1" x14ac:dyDescent="0.25"/>
    <row r="97293" s="12" customFormat="1" x14ac:dyDescent="0.25"/>
    <row r="97294" s="12" customFormat="1" x14ac:dyDescent="0.25"/>
    <row r="97295" s="12" customFormat="1" x14ac:dyDescent="0.25"/>
    <row r="97296" s="12" customFormat="1" x14ac:dyDescent="0.25"/>
    <row r="97297" s="12" customFormat="1" x14ac:dyDescent="0.25"/>
    <row r="97298" s="12" customFormat="1" x14ac:dyDescent="0.25"/>
    <row r="97299" s="12" customFormat="1" x14ac:dyDescent="0.25"/>
    <row r="97300" s="12" customFormat="1" x14ac:dyDescent="0.25"/>
    <row r="97301" s="12" customFormat="1" x14ac:dyDescent="0.25"/>
    <row r="97302" s="12" customFormat="1" x14ac:dyDescent="0.25"/>
    <row r="97303" s="12" customFormat="1" x14ac:dyDescent="0.25"/>
    <row r="97304" s="12" customFormat="1" x14ac:dyDescent="0.25"/>
    <row r="97305" s="12" customFormat="1" x14ac:dyDescent="0.25"/>
    <row r="97306" s="12" customFormat="1" x14ac:dyDescent="0.25"/>
    <row r="97307" s="12" customFormat="1" x14ac:dyDescent="0.25"/>
    <row r="97308" s="12" customFormat="1" x14ac:dyDescent="0.25"/>
    <row r="97309" s="12" customFormat="1" x14ac:dyDescent="0.25"/>
    <row r="97310" s="12" customFormat="1" x14ac:dyDescent="0.25"/>
    <row r="97311" s="12" customFormat="1" x14ac:dyDescent="0.25"/>
    <row r="97312" s="12" customFormat="1" x14ac:dyDescent="0.25"/>
    <row r="97313" s="12" customFormat="1" x14ac:dyDescent="0.25"/>
    <row r="97314" s="12" customFormat="1" x14ac:dyDescent="0.25"/>
    <row r="97315" s="12" customFormat="1" x14ac:dyDescent="0.25"/>
    <row r="97316" s="12" customFormat="1" x14ac:dyDescent="0.25"/>
    <row r="97317" s="12" customFormat="1" x14ac:dyDescent="0.25"/>
    <row r="97318" s="12" customFormat="1" x14ac:dyDescent="0.25"/>
    <row r="97319" s="12" customFormat="1" x14ac:dyDescent="0.25"/>
    <row r="97320" s="12" customFormat="1" x14ac:dyDescent="0.25"/>
    <row r="97321" s="12" customFormat="1" x14ac:dyDescent="0.25"/>
    <row r="97322" s="12" customFormat="1" x14ac:dyDescent="0.25"/>
    <row r="97323" s="12" customFormat="1" x14ac:dyDescent="0.25"/>
    <row r="97324" s="12" customFormat="1" x14ac:dyDescent="0.25"/>
    <row r="97325" s="12" customFormat="1" x14ac:dyDescent="0.25"/>
    <row r="97326" s="12" customFormat="1" x14ac:dyDescent="0.25"/>
    <row r="97327" s="12" customFormat="1" x14ac:dyDescent="0.25"/>
    <row r="97328" s="12" customFormat="1" x14ac:dyDescent="0.25"/>
    <row r="97329" s="12" customFormat="1" x14ac:dyDescent="0.25"/>
    <row r="97330" s="12" customFormat="1" x14ac:dyDescent="0.25"/>
    <row r="97331" s="12" customFormat="1" x14ac:dyDescent="0.25"/>
    <row r="97332" s="12" customFormat="1" x14ac:dyDescent="0.25"/>
    <row r="97333" s="12" customFormat="1" x14ac:dyDescent="0.25"/>
    <row r="97334" s="12" customFormat="1" x14ac:dyDescent="0.25"/>
    <row r="97335" s="12" customFormat="1" x14ac:dyDescent="0.25"/>
    <row r="97336" s="12" customFormat="1" x14ac:dyDescent="0.25"/>
    <row r="97337" s="12" customFormat="1" x14ac:dyDescent="0.25"/>
    <row r="97338" s="12" customFormat="1" x14ac:dyDescent="0.25"/>
    <row r="97339" s="12" customFormat="1" x14ac:dyDescent="0.25"/>
    <row r="97340" s="12" customFormat="1" x14ac:dyDescent="0.25"/>
    <row r="97341" s="12" customFormat="1" x14ac:dyDescent="0.25"/>
    <row r="97342" s="12" customFormat="1" x14ac:dyDescent="0.25"/>
    <row r="97343" s="12" customFormat="1" x14ac:dyDescent="0.25"/>
    <row r="97344" s="12" customFormat="1" x14ac:dyDescent="0.25"/>
    <row r="97345" s="12" customFormat="1" x14ac:dyDescent="0.25"/>
    <row r="97346" s="12" customFormat="1" x14ac:dyDescent="0.25"/>
    <row r="97347" s="12" customFormat="1" x14ac:dyDescent="0.25"/>
    <row r="97348" s="12" customFormat="1" x14ac:dyDescent="0.25"/>
    <row r="97349" s="12" customFormat="1" x14ac:dyDescent="0.25"/>
    <row r="97350" s="12" customFormat="1" x14ac:dyDescent="0.25"/>
    <row r="97351" s="12" customFormat="1" x14ac:dyDescent="0.25"/>
    <row r="97352" s="12" customFormat="1" x14ac:dyDescent="0.25"/>
    <row r="97353" s="12" customFormat="1" x14ac:dyDescent="0.25"/>
    <row r="97354" s="12" customFormat="1" x14ac:dyDescent="0.25"/>
    <row r="97355" s="12" customFormat="1" x14ac:dyDescent="0.25"/>
    <row r="97356" s="12" customFormat="1" x14ac:dyDescent="0.25"/>
    <row r="97357" s="12" customFormat="1" x14ac:dyDescent="0.25"/>
    <row r="97358" s="12" customFormat="1" x14ac:dyDescent="0.25"/>
    <row r="97359" s="12" customFormat="1" x14ac:dyDescent="0.25"/>
    <row r="97360" s="12" customFormat="1" x14ac:dyDescent="0.25"/>
    <row r="97361" s="12" customFormat="1" x14ac:dyDescent="0.25"/>
    <row r="97362" s="12" customFormat="1" x14ac:dyDescent="0.25"/>
    <row r="97363" s="12" customFormat="1" x14ac:dyDescent="0.25"/>
    <row r="97364" s="12" customFormat="1" x14ac:dyDescent="0.25"/>
    <row r="97365" s="12" customFormat="1" x14ac:dyDescent="0.25"/>
    <row r="97366" s="12" customFormat="1" x14ac:dyDescent="0.25"/>
    <row r="97367" s="12" customFormat="1" x14ac:dyDescent="0.25"/>
    <row r="97368" s="12" customFormat="1" x14ac:dyDescent="0.25"/>
    <row r="97369" s="12" customFormat="1" x14ac:dyDescent="0.25"/>
    <row r="97370" s="12" customFormat="1" x14ac:dyDescent="0.25"/>
    <row r="97371" s="12" customFormat="1" x14ac:dyDescent="0.25"/>
    <row r="97372" s="12" customFormat="1" x14ac:dyDescent="0.25"/>
    <row r="97373" s="12" customFormat="1" x14ac:dyDescent="0.25"/>
    <row r="97374" s="12" customFormat="1" x14ac:dyDescent="0.25"/>
    <row r="97375" s="12" customFormat="1" x14ac:dyDescent="0.25"/>
    <row r="97376" s="12" customFormat="1" x14ac:dyDescent="0.25"/>
    <row r="97377" s="12" customFormat="1" x14ac:dyDescent="0.25"/>
    <row r="97378" s="12" customFormat="1" x14ac:dyDescent="0.25"/>
    <row r="97379" s="12" customFormat="1" x14ac:dyDescent="0.25"/>
    <row r="97380" s="12" customFormat="1" x14ac:dyDescent="0.25"/>
    <row r="97381" s="12" customFormat="1" x14ac:dyDescent="0.25"/>
    <row r="97382" s="12" customFormat="1" x14ac:dyDescent="0.25"/>
    <row r="97383" s="12" customFormat="1" x14ac:dyDescent="0.25"/>
    <row r="97384" s="12" customFormat="1" x14ac:dyDescent="0.25"/>
    <row r="97385" s="12" customFormat="1" x14ac:dyDescent="0.25"/>
    <row r="97386" s="12" customFormat="1" x14ac:dyDescent="0.25"/>
    <row r="97387" s="12" customFormat="1" x14ac:dyDescent="0.25"/>
    <row r="97388" s="12" customFormat="1" x14ac:dyDescent="0.25"/>
    <row r="97389" s="12" customFormat="1" x14ac:dyDescent="0.25"/>
    <row r="97390" s="12" customFormat="1" x14ac:dyDescent="0.25"/>
    <row r="97391" s="12" customFormat="1" x14ac:dyDescent="0.25"/>
    <row r="97392" s="12" customFormat="1" x14ac:dyDescent="0.25"/>
    <row r="97393" s="12" customFormat="1" x14ac:dyDescent="0.25"/>
    <row r="97394" s="12" customFormat="1" x14ac:dyDescent="0.25"/>
    <row r="97395" s="12" customFormat="1" x14ac:dyDescent="0.25"/>
    <row r="97396" s="12" customFormat="1" x14ac:dyDescent="0.25"/>
    <row r="97397" s="12" customFormat="1" x14ac:dyDescent="0.25"/>
    <row r="97398" s="12" customFormat="1" x14ac:dyDescent="0.25"/>
    <row r="97399" s="12" customFormat="1" x14ac:dyDescent="0.25"/>
    <row r="97400" s="12" customFormat="1" x14ac:dyDescent="0.25"/>
    <row r="97401" s="12" customFormat="1" x14ac:dyDescent="0.25"/>
    <row r="97402" s="12" customFormat="1" x14ac:dyDescent="0.25"/>
    <row r="97403" s="12" customFormat="1" x14ac:dyDescent="0.25"/>
    <row r="97404" s="12" customFormat="1" x14ac:dyDescent="0.25"/>
    <row r="97405" s="12" customFormat="1" x14ac:dyDescent="0.25"/>
    <row r="97406" s="12" customFormat="1" x14ac:dyDescent="0.25"/>
    <row r="97407" s="12" customFormat="1" x14ac:dyDescent="0.25"/>
    <row r="97408" s="12" customFormat="1" x14ac:dyDescent="0.25"/>
    <row r="97409" s="12" customFormat="1" x14ac:dyDescent="0.25"/>
    <row r="97410" s="12" customFormat="1" x14ac:dyDescent="0.25"/>
    <row r="97411" s="12" customFormat="1" x14ac:dyDescent="0.25"/>
    <row r="97412" s="12" customFormat="1" x14ac:dyDescent="0.25"/>
    <row r="97413" s="12" customFormat="1" x14ac:dyDescent="0.25"/>
    <row r="97414" s="12" customFormat="1" x14ac:dyDescent="0.25"/>
    <row r="97415" s="12" customFormat="1" x14ac:dyDescent="0.25"/>
    <row r="97416" s="12" customFormat="1" x14ac:dyDescent="0.25"/>
    <row r="97417" s="12" customFormat="1" x14ac:dyDescent="0.25"/>
    <row r="97418" s="12" customFormat="1" x14ac:dyDescent="0.25"/>
    <row r="97419" s="12" customFormat="1" x14ac:dyDescent="0.25"/>
    <row r="97420" s="12" customFormat="1" x14ac:dyDescent="0.25"/>
    <row r="97421" s="12" customFormat="1" x14ac:dyDescent="0.25"/>
    <row r="97422" s="12" customFormat="1" x14ac:dyDescent="0.25"/>
    <row r="97423" s="12" customFormat="1" x14ac:dyDescent="0.25"/>
    <row r="97424" s="12" customFormat="1" x14ac:dyDescent="0.25"/>
    <row r="97425" s="12" customFormat="1" x14ac:dyDescent="0.25"/>
    <row r="97426" s="12" customFormat="1" x14ac:dyDescent="0.25"/>
    <row r="97427" s="12" customFormat="1" x14ac:dyDescent="0.25"/>
    <row r="97428" s="12" customFormat="1" x14ac:dyDescent="0.25"/>
    <row r="97429" s="12" customFormat="1" x14ac:dyDescent="0.25"/>
    <row r="97430" s="12" customFormat="1" x14ac:dyDescent="0.25"/>
    <row r="97431" s="12" customFormat="1" x14ac:dyDescent="0.25"/>
    <row r="97432" s="12" customFormat="1" x14ac:dyDescent="0.25"/>
    <row r="97433" s="12" customFormat="1" x14ac:dyDescent="0.25"/>
    <row r="97434" s="12" customFormat="1" x14ac:dyDescent="0.25"/>
    <row r="97435" s="12" customFormat="1" x14ac:dyDescent="0.25"/>
    <row r="97436" s="12" customFormat="1" x14ac:dyDescent="0.25"/>
    <row r="97437" s="12" customFormat="1" x14ac:dyDescent="0.25"/>
    <row r="97438" s="12" customFormat="1" x14ac:dyDescent="0.25"/>
    <row r="97439" s="12" customFormat="1" x14ac:dyDescent="0.25"/>
    <row r="97440" s="12" customFormat="1" x14ac:dyDescent="0.25"/>
    <row r="97441" s="12" customFormat="1" x14ac:dyDescent="0.25"/>
    <row r="97442" s="12" customFormat="1" x14ac:dyDescent="0.25"/>
    <row r="97443" s="12" customFormat="1" x14ac:dyDescent="0.25"/>
    <row r="97444" s="12" customFormat="1" x14ac:dyDescent="0.25"/>
    <row r="97445" s="12" customFormat="1" x14ac:dyDescent="0.25"/>
    <row r="97446" s="12" customFormat="1" x14ac:dyDescent="0.25"/>
    <row r="97447" s="12" customFormat="1" x14ac:dyDescent="0.25"/>
    <row r="97448" s="12" customFormat="1" x14ac:dyDescent="0.25"/>
    <row r="97449" s="12" customFormat="1" x14ac:dyDescent="0.25"/>
    <row r="97450" s="12" customFormat="1" x14ac:dyDescent="0.25"/>
    <row r="97451" s="12" customFormat="1" x14ac:dyDescent="0.25"/>
    <row r="97452" s="12" customFormat="1" x14ac:dyDescent="0.25"/>
    <row r="97453" s="12" customFormat="1" x14ac:dyDescent="0.25"/>
    <row r="97454" s="12" customFormat="1" x14ac:dyDescent="0.25"/>
    <row r="97455" s="12" customFormat="1" x14ac:dyDescent="0.25"/>
    <row r="97456" s="12" customFormat="1" x14ac:dyDescent="0.25"/>
    <row r="97457" s="12" customFormat="1" x14ac:dyDescent="0.25"/>
    <row r="97458" s="12" customFormat="1" x14ac:dyDescent="0.25"/>
    <row r="97459" s="12" customFormat="1" x14ac:dyDescent="0.25"/>
    <row r="97460" s="12" customFormat="1" x14ac:dyDescent="0.25"/>
    <row r="97461" s="12" customFormat="1" x14ac:dyDescent="0.25"/>
    <row r="97462" s="12" customFormat="1" x14ac:dyDescent="0.25"/>
    <row r="97463" s="12" customFormat="1" x14ac:dyDescent="0.25"/>
    <row r="97464" s="12" customFormat="1" x14ac:dyDescent="0.25"/>
    <row r="97465" s="12" customFormat="1" x14ac:dyDescent="0.25"/>
    <row r="97466" s="12" customFormat="1" x14ac:dyDescent="0.25"/>
    <row r="97467" s="12" customFormat="1" x14ac:dyDescent="0.25"/>
    <row r="97468" s="12" customFormat="1" x14ac:dyDescent="0.25"/>
    <row r="97469" s="12" customFormat="1" x14ac:dyDescent="0.25"/>
    <row r="97470" s="12" customFormat="1" x14ac:dyDescent="0.25"/>
    <row r="97471" s="12" customFormat="1" x14ac:dyDescent="0.25"/>
    <row r="97472" s="12" customFormat="1" x14ac:dyDescent="0.25"/>
    <row r="97473" s="12" customFormat="1" x14ac:dyDescent="0.25"/>
    <row r="97474" s="12" customFormat="1" x14ac:dyDescent="0.25"/>
    <row r="97475" s="12" customFormat="1" x14ac:dyDescent="0.25"/>
    <row r="97476" s="12" customFormat="1" x14ac:dyDescent="0.25"/>
    <row r="97477" s="12" customFormat="1" x14ac:dyDescent="0.25"/>
    <row r="97478" s="12" customFormat="1" x14ac:dyDescent="0.25"/>
    <row r="97479" s="12" customFormat="1" x14ac:dyDescent="0.25"/>
    <row r="97480" s="12" customFormat="1" x14ac:dyDescent="0.25"/>
    <row r="97481" s="12" customFormat="1" x14ac:dyDescent="0.25"/>
    <row r="97482" s="12" customFormat="1" x14ac:dyDescent="0.25"/>
    <row r="97483" s="12" customFormat="1" x14ac:dyDescent="0.25"/>
    <row r="97484" s="12" customFormat="1" x14ac:dyDescent="0.25"/>
    <row r="97485" s="12" customFormat="1" x14ac:dyDescent="0.25"/>
    <row r="97486" s="12" customFormat="1" x14ac:dyDescent="0.25"/>
    <row r="97487" s="12" customFormat="1" x14ac:dyDescent="0.25"/>
    <row r="97488" s="12" customFormat="1" x14ac:dyDescent="0.25"/>
    <row r="97489" s="12" customFormat="1" x14ac:dyDescent="0.25"/>
    <row r="97490" s="12" customFormat="1" x14ac:dyDescent="0.25"/>
    <row r="97491" s="12" customFormat="1" x14ac:dyDescent="0.25"/>
    <row r="97492" s="12" customFormat="1" x14ac:dyDescent="0.25"/>
    <row r="97493" s="12" customFormat="1" x14ac:dyDescent="0.25"/>
    <row r="97494" s="12" customFormat="1" x14ac:dyDescent="0.25"/>
    <row r="97495" s="12" customFormat="1" x14ac:dyDescent="0.25"/>
    <row r="97496" s="12" customFormat="1" x14ac:dyDescent="0.25"/>
    <row r="97497" s="12" customFormat="1" x14ac:dyDescent="0.25"/>
    <row r="97498" s="12" customFormat="1" x14ac:dyDescent="0.25"/>
    <row r="97499" s="12" customFormat="1" x14ac:dyDescent="0.25"/>
    <row r="97500" s="12" customFormat="1" x14ac:dyDescent="0.25"/>
    <row r="97501" s="12" customFormat="1" x14ac:dyDescent="0.25"/>
    <row r="97502" s="12" customFormat="1" x14ac:dyDescent="0.25"/>
    <row r="97503" s="12" customFormat="1" x14ac:dyDescent="0.25"/>
    <row r="97504" s="12" customFormat="1" x14ac:dyDescent="0.25"/>
    <row r="97505" s="12" customFormat="1" x14ac:dyDescent="0.25"/>
    <row r="97506" s="12" customFormat="1" x14ac:dyDescent="0.25"/>
    <row r="97507" s="12" customFormat="1" x14ac:dyDescent="0.25"/>
    <row r="97508" s="12" customFormat="1" x14ac:dyDescent="0.25"/>
    <row r="97509" s="12" customFormat="1" x14ac:dyDescent="0.25"/>
    <row r="97510" s="12" customFormat="1" x14ac:dyDescent="0.25"/>
    <row r="97511" s="12" customFormat="1" x14ac:dyDescent="0.25"/>
    <row r="97512" s="12" customFormat="1" x14ac:dyDescent="0.25"/>
    <row r="97513" s="12" customFormat="1" x14ac:dyDescent="0.25"/>
    <row r="97514" s="12" customFormat="1" x14ac:dyDescent="0.25"/>
    <row r="97515" s="12" customFormat="1" x14ac:dyDescent="0.25"/>
    <row r="97516" s="12" customFormat="1" x14ac:dyDescent="0.25"/>
    <row r="97517" s="12" customFormat="1" x14ac:dyDescent="0.25"/>
    <row r="97518" s="12" customFormat="1" x14ac:dyDescent="0.25"/>
    <row r="97519" s="12" customFormat="1" x14ac:dyDescent="0.25"/>
    <row r="97520" s="12" customFormat="1" x14ac:dyDescent="0.25"/>
    <row r="97521" s="12" customFormat="1" x14ac:dyDescent="0.25"/>
    <row r="97522" s="12" customFormat="1" x14ac:dyDescent="0.25"/>
    <row r="97523" s="12" customFormat="1" x14ac:dyDescent="0.25"/>
    <row r="97524" s="12" customFormat="1" x14ac:dyDescent="0.25"/>
    <row r="97525" s="12" customFormat="1" x14ac:dyDescent="0.25"/>
    <row r="97526" s="12" customFormat="1" x14ac:dyDescent="0.25"/>
    <row r="97527" s="12" customFormat="1" x14ac:dyDescent="0.25"/>
    <row r="97528" s="12" customFormat="1" x14ac:dyDescent="0.25"/>
    <row r="97529" s="12" customFormat="1" x14ac:dyDescent="0.25"/>
    <row r="97530" s="12" customFormat="1" x14ac:dyDescent="0.25"/>
    <row r="97531" s="12" customFormat="1" x14ac:dyDescent="0.25"/>
    <row r="97532" s="12" customFormat="1" x14ac:dyDescent="0.25"/>
    <row r="97533" s="12" customFormat="1" x14ac:dyDescent="0.25"/>
    <row r="97534" s="12" customFormat="1" x14ac:dyDescent="0.25"/>
    <row r="97535" s="12" customFormat="1" x14ac:dyDescent="0.25"/>
    <row r="97536" s="12" customFormat="1" x14ac:dyDescent="0.25"/>
    <row r="97537" s="12" customFormat="1" x14ac:dyDescent="0.25"/>
    <row r="97538" s="12" customFormat="1" x14ac:dyDescent="0.25"/>
    <row r="97539" s="12" customFormat="1" x14ac:dyDescent="0.25"/>
    <row r="97540" s="12" customFormat="1" x14ac:dyDescent="0.25"/>
    <row r="97541" s="12" customFormat="1" x14ac:dyDescent="0.25"/>
    <row r="97542" s="12" customFormat="1" x14ac:dyDescent="0.25"/>
    <row r="97543" s="12" customFormat="1" x14ac:dyDescent="0.25"/>
    <row r="97544" s="12" customFormat="1" x14ac:dyDescent="0.25"/>
    <row r="97545" s="12" customFormat="1" x14ac:dyDescent="0.25"/>
    <row r="97546" s="12" customFormat="1" x14ac:dyDescent="0.25"/>
    <row r="97547" s="12" customFormat="1" x14ac:dyDescent="0.25"/>
    <row r="97548" s="12" customFormat="1" x14ac:dyDescent="0.25"/>
    <row r="97549" s="12" customFormat="1" x14ac:dyDescent="0.25"/>
    <row r="97550" s="12" customFormat="1" x14ac:dyDescent="0.25"/>
    <row r="97551" s="12" customFormat="1" x14ac:dyDescent="0.25"/>
    <row r="97552" s="12" customFormat="1" x14ac:dyDescent="0.25"/>
    <row r="97553" s="12" customFormat="1" x14ac:dyDescent="0.25"/>
    <row r="97554" s="12" customFormat="1" x14ac:dyDescent="0.25"/>
    <row r="97555" s="12" customFormat="1" x14ac:dyDescent="0.25"/>
    <row r="97556" s="12" customFormat="1" x14ac:dyDescent="0.25"/>
    <row r="97557" s="12" customFormat="1" x14ac:dyDescent="0.25"/>
    <row r="97558" s="12" customFormat="1" x14ac:dyDescent="0.25"/>
    <row r="97559" s="12" customFormat="1" x14ac:dyDescent="0.25"/>
    <row r="97560" s="12" customFormat="1" x14ac:dyDescent="0.25"/>
    <row r="97561" s="12" customFormat="1" x14ac:dyDescent="0.25"/>
    <row r="97562" s="12" customFormat="1" x14ac:dyDescent="0.25"/>
    <row r="97563" s="12" customFormat="1" x14ac:dyDescent="0.25"/>
    <row r="97564" s="12" customFormat="1" x14ac:dyDescent="0.25"/>
    <row r="97565" s="12" customFormat="1" x14ac:dyDescent="0.25"/>
    <row r="97566" s="12" customFormat="1" x14ac:dyDescent="0.25"/>
    <row r="97567" s="12" customFormat="1" x14ac:dyDescent="0.25"/>
    <row r="97568" s="12" customFormat="1" x14ac:dyDescent="0.25"/>
    <row r="97569" s="12" customFormat="1" x14ac:dyDescent="0.25"/>
    <row r="97570" s="12" customFormat="1" x14ac:dyDescent="0.25"/>
    <row r="97571" s="12" customFormat="1" x14ac:dyDescent="0.25"/>
    <row r="97572" s="12" customFormat="1" x14ac:dyDescent="0.25"/>
    <row r="97573" s="12" customFormat="1" x14ac:dyDescent="0.25"/>
    <row r="97574" s="12" customFormat="1" x14ac:dyDescent="0.25"/>
    <row r="97575" s="12" customFormat="1" x14ac:dyDescent="0.25"/>
    <row r="97576" s="12" customFormat="1" x14ac:dyDescent="0.25"/>
    <row r="97577" s="12" customFormat="1" x14ac:dyDescent="0.25"/>
    <row r="97578" s="12" customFormat="1" x14ac:dyDescent="0.25"/>
    <row r="97579" s="12" customFormat="1" x14ac:dyDescent="0.25"/>
    <row r="97580" s="12" customFormat="1" x14ac:dyDescent="0.25"/>
    <row r="97581" s="12" customFormat="1" x14ac:dyDescent="0.25"/>
    <row r="97582" s="12" customFormat="1" x14ac:dyDescent="0.25"/>
    <row r="97583" s="12" customFormat="1" x14ac:dyDescent="0.25"/>
    <row r="97584" s="12" customFormat="1" x14ac:dyDescent="0.25"/>
    <row r="97585" s="12" customFormat="1" x14ac:dyDescent="0.25"/>
    <row r="97586" s="12" customFormat="1" x14ac:dyDescent="0.25"/>
    <row r="97587" s="12" customFormat="1" x14ac:dyDescent="0.25"/>
    <row r="97588" s="12" customFormat="1" x14ac:dyDescent="0.25"/>
    <row r="97589" s="12" customFormat="1" x14ac:dyDescent="0.25"/>
    <row r="97590" s="12" customFormat="1" x14ac:dyDescent="0.25"/>
    <row r="97591" s="12" customFormat="1" x14ac:dyDescent="0.25"/>
    <row r="97592" s="12" customFormat="1" x14ac:dyDescent="0.25"/>
    <row r="97593" s="12" customFormat="1" x14ac:dyDescent="0.25"/>
    <row r="97594" s="12" customFormat="1" x14ac:dyDescent="0.25"/>
    <row r="97595" s="12" customFormat="1" x14ac:dyDescent="0.25"/>
    <row r="97596" s="12" customFormat="1" x14ac:dyDescent="0.25"/>
    <row r="97597" s="12" customFormat="1" x14ac:dyDescent="0.25"/>
    <row r="97598" s="12" customFormat="1" x14ac:dyDescent="0.25"/>
    <row r="97599" s="12" customFormat="1" x14ac:dyDescent="0.25"/>
    <row r="97600" s="12" customFormat="1" x14ac:dyDescent="0.25"/>
    <row r="97601" s="12" customFormat="1" x14ac:dyDescent="0.25"/>
    <row r="97602" s="12" customFormat="1" x14ac:dyDescent="0.25"/>
    <row r="97603" s="12" customFormat="1" x14ac:dyDescent="0.25"/>
    <row r="97604" s="12" customFormat="1" x14ac:dyDescent="0.25"/>
    <row r="97605" s="12" customFormat="1" x14ac:dyDescent="0.25"/>
    <row r="97606" s="12" customFormat="1" x14ac:dyDescent="0.25"/>
    <row r="97607" s="12" customFormat="1" x14ac:dyDescent="0.25"/>
    <row r="97608" s="12" customFormat="1" x14ac:dyDescent="0.25"/>
    <row r="97609" s="12" customFormat="1" x14ac:dyDescent="0.25"/>
    <row r="97610" s="12" customFormat="1" x14ac:dyDescent="0.25"/>
    <row r="97611" s="12" customFormat="1" x14ac:dyDescent="0.25"/>
    <row r="97612" s="12" customFormat="1" x14ac:dyDescent="0.25"/>
    <row r="97613" s="12" customFormat="1" x14ac:dyDescent="0.25"/>
    <row r="97614" s="12" customFormat="1" x14ac:dyDescent="0.25"/>
    <row r="97615" s="12" customFormat="1" x14ac:dyDescent="0.25"/>
    <row r="97616" s="12" customFormat="1" x14ac:dyDescent="0.25"/>
    <row r="97617" s="12" customFormat="1" x14ac:dyDescent="0.25"/>
    <row r="97618" s="12" customFormat="1" x14ac:dyDescent="0.25"/>
    <row r="97619" s="12" customFormat="1" x14ac:dyDescent="0.25"/>
    <row r="97620" s="12" customFormat="1" x14ac:dyDescent="0.25"/>
    <row r="97621" s="12" customFormat="1" x14ac:dyDescent="0.25"/>
    <row r="97622" s="12" customFormat="1" x14ac:dyDescent="0.25"/>
    <row r="97623" s="12" customFormat="1" x14ac:dyDescent="0.25"/>
    <row r="97624" s="12" customFormat="1" x14ac:dyDescent="0.25"/>
    <row r="97625" s="12" customFormat="1" x14ac:dyDescent="0.25"/>
    <row r="97626" s="12" customFormat="1" x14ac:dyDescent="0.25"/>
    <row r="97627" s="12" customFormat="1" x14ac:dyDescent="0.25"/>
    <row r="97628" s="12" customFormat="1" x14ac:dyDescent="0.25"/>
    <row r="97629" s="12" customFormat="1" x14ac:dyDescent="0.25"/>
    <row r="97630" s="12" customFormat="1" x14ac:dyDescent="0.25"/>
    <row r="97631" s="12" customFormat="1" x14ac:dyDescent="0.25"/>
    <row r="97632" s="12" customFormat="1" x14ac:dyDescent="0.25"/>
    <row r="97633" s="12" customFormat="1" x14ac:dyDescent="0.25"/>
    <row r="97634" s="12" customFormat="1" x14ac:dyDescent="0.25"/>
    <row r="97635" s="12" customFormat="1" x14ac:dyDescent="0.25"/>
    <row r="97636" s="12" customFormat="1" x14ac:dyDescent="0.25"/>
    <row r="97637" s="12" customFormat="1" x14ac:dyDescent="0.25"/>
    <row r="97638" s="12" customFormat="1" x14ac:dyDescent="0.25"/>
    <row r="97639" s="12" customFormat="1" x14ac:dyDescent="0.25"/>
    <row r="97640" s="12" customFormat="1" x14ac:dyDescent="0.25"/>
    <row r="97641" s="12" customFormat="1" x14ac:dyDescent="0.25"/>
    <row r="97642" s="12" customFormat="1" x14ac:dyDescent="0.25"/>
    <row r="97643" s="12" customFormat="1" x14ac:dyDescent="0.25"/>
    <row r="97644" s="12" customFormat="1" x14ac:dyDescent="0.25"/>
    <row r="97645" s="12" customFormat="1" x14ac:dyDescent="0.25"/>
    <row r="97646" s="12" customFormat="1" x14ac:dyDescent="0.25"/>
    <row r="97647" s="12" customFormat="1" x14ac:dyDescent="0.25"/>
    <row r="97648" s="12" customFormat="1" x14ac:dyDescent="0.25"/>
    <row r="97649" s="12" customFormat="1" x14ac:dyDescent="0.25"/>
    <row r="97650" s="12" customFormat="1" x14ac:dyDescent="0.25"/>
    <row r="97651" s="12" customFormat="1" x14ac:dyDescent="0.25"/>
    <row r="97652" s="12" customFormat="1" x14ac:dyDescent="0.25"/>
    <row r="97653" s="12" customFormat="1" x14ac:dyDescent="0.25"/>
    <row r="97654" s="12" customFormat="1" x14ac:dyDescent="0.25"/>
    <row r="97655" s="12" customFormat="1" x14ac:dyDescent="0.25"/>
    <row r="97656" s="12" customFormat="1" x14ac:dyDescent="0.25"/>
    <row r="97657" s="12" customFormat="1" x14ac:dyDescent="0.25"/>
    <row r="97658" s="12" customFormat="1" x14ac:dyDescent="0.25"/>
    <row r="97659" s="12" customFormat="1" x14ac:dyDescent="0.25"/>
    <row r="97660" s="12" customFormat="1" x14ac:dyDescent="0.25"/>
    <row r="97661" s="12" customFormat="1" x14ac:dyDescent="0.25"/>
    <row r="97662" s="12" customFormat="1" x14ac:dyDescent="0.25"/>
    <row r="97663" s="12" customFormat="1" x14ac:dyDescent="0.25"/>
    <row r="97664" s="12" customFormat="1" x14ac:dyDescent="0.25"/>
    <row r="97665" s="12" customFormat="1" x14ac:dyDescent="0.25"/>
    <row r="97666" s="12" customFormat="1" x14ac:dyDescent="0.25"/>
    <row r="97667" s="12" customFormat="1" x14ac:dyDescent="0.25"/>
    <row r="97668" s="12" customFormat="1" x14ac:dyDescent="0.25"/>
    <row r="97669" s="12" customFormat="1" x14ac:dyDescent="0.25"/>
    <row r="97670" s="12" customFormat="1" x14ac:dyDescent="0.25"/>
    <row r="97671" s="12" customFormat="1" x14ac:dyDescent="0.25"/>
    <row r="97672" s="12" customFormat="1" x14ac:dyDescent="0.25"/>
    <row r="97673" s="12" customFormat="1" x14ac:dyDescent="0.25"/>
    <row r="97674" s="12" customFormat="1" x14ac:dyDescent="0.25"/>
    <row r="97675" s="12" customFormat="1" x14ac:dyDescent="0.25"/>
    <row r="97676" s="12" customFormat="1" x14ac:dyDescent="0.25"/>
    <row r="97677" s="12" customFormat="1" x14ac:dyDescent="0.25"/>
    <row r="97678" s="12" customFormat="1" x14ac:dyDescent="0.25"/>
    <row r="97679" s="12" customFormat="1" x14ac:dyDescent="0.25"/>
    <row r="97680" s="12" customFormat="1" x14ac:dyDescent="0.25"/>
    <row r="97681" s="12" customFormat="1" x14ac:dyDescent="0.25"/>
    <row r="97682" s="12" customFormat="1" x14ac:dyDescent="0.25"/>
    <row r="97683" s="12" customFormat="1" x14ac:dyDescent="0.25"/>
    <row r="97684" s="12" customFormat="1" x14ac:dyDescent="0.25"/>
    <row r="97685" s="12" customFormat="1" x14ac:dyDescent="0.25"/>
    <row r="97686" s="12" customFormat="1" x14ac:dyDescent="0.25"/>
    <row r="97687" s="12" customFormat="1" x14ac:dyDescent="0.25"/>
    <row r="97688" s="12" customFormat="1" x14ac:dyDescent="0.25"/>
    <row r="97689" s="12" customFormat="1" x14ac:dyDescent="0.25"/>
    <row r="97690" s="12" customFormat="1" x14ac:dyDescent="0.25"/>
    <row r="97691" s="12" customFormat="1" x14ac:dyDescent="0.25"/>
    <row r="97692" s="12" customFormat="1" x14ac:dyDescent="0.25"/>
    <row r="97693" s="12" customFormat="1" x14ac:dyDescent="0.25"/>
    <row r="97694" s="12" customFormat="1" x14ac:dyDescent="0.25"/>
    <row r="97695" s="12" customFormat="1" x14ac:dyDescent="0.25"/>
    <row r="97696" s="12" customFormat="1" x14ac:dyDescent="0.25"/>
    <row r="97697" s="12" customFormat="1" x14ac:dyDescent="0.25"/>
    <row r="97698" s="12" customFormat="1" x14ac:dyDescent="0.25"/>
    <row r="97699" s="12" customFormat="1" x14ac:dyDescent="0.25"/>
    <row r="97700" s="12" customFormat="1" x14ac:dyDescent="0.25"/>
    <row r="97701" s="12" customFormat="1" x14ac:dyDescent="0.25"/>
    <row r="97702" s="12" customFormat="1" x14ac:dyDescent="0.25"/>
    <row r="97703" s="12" customFormat="1" x14ac:dyDescent="0.25"/>
    <row r="97704" s="12" customFormat="1" x14ac:dyDescent="0.25"/>
    <row r="97705" s="12" customFormat="1" x14ac:dyDescent="0.25"/>
    <row r="97706" s="12" customFormat="1" x14ac:dyDescent="0.25"/>
    <row r="97707" s="12" customFormat="1" x14ac:dyDescent="0.25"/>
    <row r="97708" s="12" customFormat="1" x14ac:dyDescent="0.25"/>
    <row r="97709" s="12" customFormat="1" x14ac:dyDescent="0.25"/>
    <row r="97710" s="12" customFormat="1" x14ac:dyDescent="0.25"/>
    <row r="97711" s="12" customFormat="1" x14ac:dyDescent="0.25"/>
    <row r="97712" s="12" customFormat="1" x14ac:dyDescent="0.25"/>
    <row r="97713" s="12" customFormat="1" x14ac:dyDescent="0.25"/>
    <row r="97714" s="12" customFormat="1" x14ac:dyDescent="0.25"/>
    <row r="97715" s="12" customFormat="1" x14ac:dyDescent="0.25"/>
    <row r="97716" s="12" customFormat="1" x14ac:dyDescent="0.25"/>
    <row r="97717" s="12" customFormat="1" x14ac:dyDescent="0.25"/>
    <row r="97718" s="12" customFormat="1" x14ac:dyDescent="0.25"/>
    <row r="97719" s="12" customFormat="1" x14ac:dyDescent="0.25"/>
    <row r="97720" s="12" customFormat="1" x14ac:dyDescent="0.25"/>
    <row r="97721" s="12" customFormat="1" x14ac:dyDescent="0.25"/>
    <row r="97722" s="12" customFormat="1" x14ac:dyDescent="0.25"/>
    <row r="97723" s="12" customFormat="1" x14ac:dyDescent="0.25"/>
    <row r="97724" s="12" customFormat="1" x14ac:dyDescent="0.25"/>
    <row r="97725" s="12" customFormat="1" x14ac:dyDescent="0.25"/>
    <row r="97726" s="12" customFormat="1" x14ac:dyDescent="0.25"/>
    <row r="97727" s="12" customFormat="1" x14ac:dyDescent="0.25"/>
    <row r="97728" s="12" customFormat="1" x14ac:dyDescent="0.25"/>
    <row r="97729" s="12" customFormat="1" x14ac:dyDescent="0.25"/>
    <row r="97730" s="12" customFormat="1" x14ac:dyDescent="0.25"/>
    <row r="97731" s="12" customFormat="1" x14ac:dyDescent="0.25"/>
    <row r="97732" s="12" customFormat="1" x14ac:dyDescent="0.25"/>
    <row r="97733" s="12" customFormat="1" x14ac:dyDescent="0.25"/>
    <row r="97734" s="12" customFormat="1" x14ac:dyDescent="0.25"/>
    <row r="97735" s="12" customFormat="1" x14ac:dyDescent="0.25"/>
    <row r="97736" s="12" customFormat="1" x14ac:dyDescent="0.25"/>
    <row r="97737" s="12" customFormat="1" x14ac:dyDescent="0.25"/>
    <row r="97738" s="12" customFormat="1" x14ac:dyDescent="0.25"/>
    <row r="97739" s="12" customFormat="1" x14ac:dyDescent="0.25"/>
    <row r="97740" s="12" customFormat="1" x14ac:dyDescent="0.25"/>
    <row r="97741" s="12" customFormat="1" x14ac:dyDescent="0.25"/>
    <row r="97742" s="12" customFormat="1" x14ac:dyDescent="0.25"/>
    <row r="97743" s="12" customFormat="1" x14ac:dyDescent="0.25"/>
    <row r="97744" s="12" customFormat="1" x14ac:dyDescent="0.25"/>
    <row r="97745" s="12" customFormat="1" x14ac:dyDescent="0.25"/>
    <row r="97746" s="12" customFormat="1" x14ac:dyDescent="0.25"/>
    <row r="97747" s="12" customFormat="1" x14ac:dyDescent="0.25"/>
    <row r="97748" s="12" customFormat="1" x14ac:dyDescent="0.25"/>
    <row r="97749" s="12" customFormat="1" x14ac:dyDescent="0.25"/>
    <row r="97750" s="12" customFormat="1" x14ac:dyDescent="0.25"/>
    <row r="97751" s="12" customFormat="1" x14ac:dyDescent="0.25"/>
    <row r="97752" s="12" customFormat="1" x14ac:dyDescent="0.25"/>
    <row r="97753" s="12" customFormat="1" x14ac:dyDescent="0.25"/>
    <row r="97754" s="12" customFormat="1" x14ac:dyDescent="0.25"/>
    <row r="97755" s="12" customFormat="1" x14ac:dyDescent="0.25"/>
    <row r="97756" s="12" customFormat="1" x14ac:dyDescent="0.25"/>
    <row r="97757" s="12" customFormat="1" x14ac:dyDescent="0.25"/>
    <row r="97758" s="12" customFormat="1" x14ac:dyDescent="0.25"/>
    <row r="97759" s="12" customFormat="1" x14ac:dyDescent="0.25"/>
    <row r="97760" s="12" customFormat="1" x14ac:dyDescent="0.25"/>
    <row r="97761" s="12" customFormat="1" x14ac:dyDescent="0.25"/>
    <row r="97762" s="12" customFormat="1" x14ac:dyDescent="0.25"/>
    <row r="97763" s="12" customFormat="1" x14ac:dyDescent="0.25"/>
    <row r="97764" s="12" customFormat="1" x14ac:dyDescent="0.25"/>
    <row r="97765" s="12" customFormat="1" x14ac:dyDescent="0.25"/>
    <row r="97766" s="12" customFormat="1" x14ac:dyDescent="0.25"/>
    <row r="97767" s="12" customFormat="1" x14ac:dyDescent="0.25"/>
    <row r="97768" s="12" customFormat="1" x14ac:dyDescent="0.25"/>
    <row r="97769" s="12" customFormat="1" x14ac:dyDescent="0.25"/>
    <row r="97770" s="12" customFormat="1" x14ac:dyDescent="0.25"/>
    <row r="97771" s="12" customFormat="1" x14ac:dyDescent="0.25"/>
    <row r="97772" s="12" customFormat="1" x14ac:dyDescent="0.25"/>
    <row r="97773" s="12" customFormat="1" x14ac:dyDescent="0.25"/>
    <row r="97774" s="12" customFormat="1" x14ac:dyDescent="0.25"/>
    <row r="97775" s="12" customFormat="1" x14ac:dyDescent="0.25"/>
    <row r="97776" s="12" customFormat="1" x14ac:dyDescent="0.25"/>
    <row r="97777" s="12" customFormat="1" x14ac:dyDescent="0.25"/>
    <row r="97778" s="12" customFormat="1" x14ac:dyDescent="0.25"/>
    <row r="97779" s="12" customFormat="1" x14ac:dyDescent="0.25"/>
    <row r="97780" s="12" customFormat="1" x14ac:dyDescent="0.25"/>
    <row r="97781" s="12" customFormat="1" x14ac:dyDescent="0.25"/>
    <row r="97782" s="12" customFormat="1" x14ac:dyDescent="0.25"/>
    <row r="97783" s="12" customFormat="1" x14ac:dyDescent="0.25"/>
    <row r="97784" s="12" customFormat="1" x14ac:dyDescent="0.25"/>
    <row r="97785" s="12" customFormat="1" x14ac:dyDescent="0.25"/>
    <row r="97786" s="12" customFormat="1" x14ac:dyDescent="0.25"/>
    <row r="97787" s="12" customFormat="1" x14ac:dyDescent="0.25"/>
    <row r="97788" s="12" customFormat="1" x14ac:dyDescent="0.25"/>
    <row r="97789" s="12" customFormat="1" x14ac:dyDescent="0.25"/>
    <row r="97790" s="12" customFormat="1" x14ac:dyDescent="0.25"/>
    <row r="97791" s="12" customFormat="1" x14ac:dyDescent="0.25"/>
    <row r="97792" s="12" customFormat="1" x14ac:dyDescent="0.25"/>
    <row r="97793" s="12" customFormat="1" x14ac:dyDescent="0.25"/>
    <row r="97794" s="12" customFormat="1" x14ac:dyDescent="0.25"/>
    <row r="97795" s="12" customFormat="1" x14ac:dyDescent="0.25"/>
    <row r="97796" s="12" customFormat="1" x14ac:dyDescent="0.25"/>
    <row r="97797" s="12" customFormat="1" x14ac:dyDescent="0.25"/>
    <row r="97798" s="12" customFormat="1" x14ac:dyDescent="0.25"/>
    <row r="97799" s="12" customFormat="1" x14ac:dyDescent="0.25"/>
    <row r="97800" s="12" customFormat="1" x14ac:dyDescent="0.25"/>
    <row r="97801" s="12" customFormat="1" x14ac:dyDescent="0.25"/>
    <row r="97802" s="12" customFormat="1" x14ac:dyDescent="0.25"/>
    <row r="97803" s="12" customFormat="1" x14ac:dyDescent="0.25"/>
    <row r="97804" s="12" customFormat="1" x14ac:dyDescent="0.25"/>
    <row r="97805" s="12" customFormat="1" x14ac:dyDescent="0.25"/>
    <row r="97806" s="12" customFormat="1" x14ac:dyDescent="0.25"/>
    <row r="97807" s="12" customFormat="1" x14ac:dyDescent="0.25"/>
    <row r="97808" s="12" customFormat="1" x14ac:dyDescent="0.25"/>
    <row r="97809" s="12" customFormat="1" x14ac:dyDescent="0.25"/>
    <row r="97810" s="12" customFormat="1" x14ac:dyDescent="0.25"/>
    <row r="97811" s="12" customFormat="1" x14ac:dyDescent="0.25"/>
    <row r="97812" s="12" customFormat="1" x14ac:dyDescent="0.25"/>
    <row r="97813" s="12" customFormat="1" x14ac:dyDescent="0.25"/>
    <row r="97814" s="12" customFormat="1" x14ac:dyDescent="0.25"/>
    <row r="97815" s="12" customFormat="1" x14ac:dyDescent="0.25"/>
    <row r="97816" s="12" customFormat="1" x14ac:dyDescent="0.25"/>
    <row r="97817" s="12" customFormat="1" x14ac:dyDescent="0.25"/>
    <row r="97818" s="12" customFormat="1" x14ac:dyDescent="0.25"/>
    <row r="97819" s="12" customFormat="1" x14ac:dyDescent="0.25"/>
    <row r="97820" s="12" customFormat="1" x14ac:dyDescent="0.25"/>
    <row r="97821" s="12" customFormat="1" x14ac:dyDescent="0.25"/>
    <row r="97822" s="12" customFormat="1" x14ac:dyDescent="0.25"/>
    <row r="97823" s="12" customFormat="1" x14ac:dyDescent="0.25"/>
    <row r="97824" s="12" customFormat="1" x14ac:dyDescent="0.25"/>
    <row r="97825" s="12" customFormat="1" x14ac:dyDescent="0.25"/>
    <row r="97826" s="12" customFormat="1" x14ac:dyDescent="0.25"/>
    <row r="97827" s="12" customFormat="1" x14ac:dyDescent="0.25"/>
    <row r="97828" s="12" customFormat="1" x14ac:dyDescent="0.25"/>
    <row r="97829" s="12" customFormat="1" x14ac:dyDescent="0.25"/>
    <row r="97830" s="12" customFormat="1" x14ac:dyDescent="0.25"/>
    <row r="97831" s="12" customFormat="1" x14ac:dyDescent="0.25"/>
    <row r="97832" s="12" customFormat="1" x14ac:dyDescent="0.25"/>
    <row r="97833" s="12" customFormat="1" x14ac:dyDescent="0.25"/>
    <row r="97834" s="12" customFormat="1" x14ac:dyDescent="0.25"/>
    <row r="97835" s="12" customFormat="1" x14ac:dyDescent="0.25"/>
    <row r="97836" s="12" customFormat="1" x14ac:dyDescent="0.25"/>
    <row r="97837" s="12" customFormat="1" x14ac:dyDescent="0.25"/>
    <row r="97838" s="12" customFormat="1" x14ac:dyDescent="0.25"/>
    <row r="97839" s="12" customFormat="1" x14ac:dyDescent="0.25"/>
    <row r="97840" s="12" customFormat="1" x14ac:dyDescent="0.25"/>
    <row r="97841" s="12" customFormat="1" x14ac:dyDescent="0.25"/>
    <row r="97842" s="12" customFormat="1" x14ac:dyDescent="0.25"/>
    <row r="97843" s="12" customFormat="1" x14ac:dyDescent="0.25"/>
    <row r="97844" s="12" customFormat="1" x14ac:dyDescent="0.25"/>
    <row r="97845" s="12" customFormat="1" x14ac:dyDescent="0.25"/>
    <row r="97846" s="12" customFormat="1" x14ac:dyDescent="0.25"/>
    <row r="97847" s="12" customFormat="1" x14ac:dyDescent="0.25"/>
    <row r="97848" s="12" customFormat="1" x14ac:dyDescent="0.25"/>
    <row r="97849" s="12" customFormat="1" x14ac:dyDescent="0.25"/>
    <row r="97850" s="12" customFormat="1" x14ac:dyDescent="0.25"/>
    <row r="97851" s="12" customFormat="1" x14ac:dyDescent="0.25"/>
    <row r="97852" s="12" customFormat="1" x14ac:dyDescent="0.25"/>
    <row r="97853" s="12" customFormat="1" x14ac:dyDescent="0.25"/>
    <row r="97854" s="12" customFormat="1" x14ac:dyDescent="0.25"/>
    <row r="97855" s="12" customFormat="1" x14ac:dyDescent="0.25"/>
    <row r="97856" s="12" customFormat="1" x14ac:dyDescent="0.25"/>
    <row r="97857" s="12" customFormat="1" x14ac:dyDescent="0.25"/>
    <row r="97858" s="12" customFormat="1" x14ac:dyDescent="0.25"/>
    <row r="97859" s="12" customFormat="1" x14ac:dyDescent="0.25"/>
    <row r="97860" s="12" customFormat="1" x14ac:dyDescent="0.25"/>
    <row r="97861" s="12" customFormat="1" x14ac:dyDescent="0.25"/>
    <row r="97862" s="12" customFormat="1" x14ac:dyDescent="0.25"/>
    <row r="97863" s="12" customFormat="1" x14ac:dyDescent="0.25"/>
    <row r="97864" s="12" customFormat="1" x14ac:dyDescent="0.25"/>
    <row r="97865" s="12" customFormat="1" x14ac:dyDescent="0.25"/>
    <row r="97866" s="12" customFormat="1" x14ac:dyDescent="0.25"/>
    <row r="97867" s="12" customFormat="1" x14ac:dyDescent="0.25"/>
    <row r="97868" s="12" customFormat="1" x14ac:dyDescent="0.25"/>
    <row r="97869" s="12" customFormat="1" x14ac:dyDescent="0.25"/>
    <row r="97870" s="12" customFormat="1" x14ac:dyDescent="0.25"/>
    <row r="97871" s="12" customFormat="1" x14ac:dyDescent="0.25"/>
    <row r="97872" s="12" customFormat="1" x14ac:dyDescent="0.25"/>
    <row r="97873" s="12" customFormat="1" x14ac:dyDescent="0.25"/>
    <row r="97874" s="12" customFormat="1" x14ac:dyDescent="0.25"/>
    <row r="97875" s="12" customFormat="1" x14ac:dyDescent="0.25"/>
    <row r="97876" s="12" customFormat="1" x14ac:dyDescent="0.25"/>
    <row r="97877" s="12" customFormat="1" x14ac:dyDescent="0.25"/>
    <row r="97878" s="12" customFormat="1" x14ac:dyDescent="0.25"/>
    <row r="97879" s="12" customFormat="1" x14ac:dyDescent="0.25"/>
    <row r="97880" s="12" customFormat="1" x14ac:dyDescent="0.25"/>
    <row r="97881" s="12" customFormat="1" x14ac:dyDescent="0.25"/>
    <row r="97882" s="12" customFormat="1" x14ac:dyDescent="0.25"/>
    <row r="97883" s="12" customFormat="1" x14ac:dyDescent="0.25"/>
    <row r="97884" s="12" customFormat="1" x14ac:dyDescent="0.25"/>
    <row r="97885" s="12" customFormat="1" x14ac:dyDescent="0.25"/>
    <row r="97886" s="12" customFormat="1" x14ac:dyDescent="0.25"/>
    <row r="97887" s="12" customFormat="1" x14ac:dyDescent="0.25"/>
    <row r="97888" s="12" customFormat="1" x14ac:dyDescent="0.25"/>
    <row r="97889" s="12" customFormat="1" x14ac:dyDescent="0.25"/>
    <row r="97890" s="12" customFormat="1" x14ac:dyDescent="0.25"/>
    <row r="97891" s="12" customFormat="1" x14ac:dyDescent="0.25"/>
    <row r="97892" s="12" customFormat="1" x14ac:dyDescent="0.25"/>
    <row r="97893" s="12" customFormat="1" x14ac:dyDescent="0.25"/>
    <row r="97894" s="12" customFormat="1" x14ac:dyDescent="0.25"/>
    <row r="97895" s="12" customFormat="1" x14ac:dyDescent="0.25"/>
    <row r="97896" s="12" customFormat="1" x14ac:dyDescent="0.25"/>
    <row r="97897" s="12" customFormat="1" x14ac:dyDescent="0.25"/>
    <row r="97898" s="12" customFormat="1" x14ac:dyDescent="0.25"/>
    <row r="97899" s="12" customFormat="1" x14ac:dyDescent="0.25"/>
    <row r="97900" s="12" customFormat="1" x14ac:dyDescent="0.25"/>
    <row r="97901" s="12" customFormat="1" x14ac:dyDescent="0.25"/>
    <row r="97902" s="12" customFormat="1" x14ac:dyDescent="0.25"/>
    <row r="97903" s="12" customFormat="1" x14ac:dyDescent="0.25"/>
    <row r="97904" s="12" customFormat="1" x14ac:dyDescent="0.25"/>
    <row r="97905" s="12" customFormat="1" x14ac:dyDescent="0.25"/>
    <row r="97906" s="12" customFormat="1" x14ac:dyDescent="0.25"/>
    <row r="97907" s="12" customFormat="1" x14ac:dyDescent="0.25"/>
    <row r="97908" s="12" customFormat="1" x14ac:dyDescent="0.25"/>
    <row r="97909" s="12" customFormat="1" x14ac:dyDescent="0.25"/>
    <row r="97910" s="12" customFormat="1" x14ac:dyDescent="0.25"/>
    <row r="97911" s="12" customFormat="1" x14ac:dyDescent="0.25"/>
    <row r="97912" s="12" customFormat="1" x14ac:dyDescent="0.25"/>
    <row r="97913" s="12" customFormat="1" x14ac:dyDescent="0.25"/>
    <row r="97914" s="12" customFormat="1" x14ac:dyDescent="0.25"/>
    <row r="97915" s="12" customFormat="1" x14ac:dyDescent="0.25"/>
    <row r="97916" s="12" customFormat="1" x14ac:dyDescent="0.25"/>
    <row r="97917" s="12" customFormat="1" x14ac:dyDescent="0.25"/>
    <row r="97918" s="12" customFormat="1" x14ac:dyDescent="0.25"/>
    <row r="97919" s="12" customFormat="1" x14ac:dyDescent="0.25"/>
    <row r="97920" s="12" customFormat="1" x14ac:dyDescent="0.25"/>
    <row r="97921" s="12" customFormat="1" x14ac:dyDescent="0.25"/>
    <row r="97922" s="12" customFormat="1" x14ac:dyDescent="0.25"/>
    <row r="97923" s="12" customFormat="1" x14ac:dyDescent="0.25"/>
    <row r="97924" s="12" customFormat="1" x14ac:dyDescent="0.25"/>
    <row r="97925" s="12" customFormat="1" x14ac:dyDescent="0.25"/>
    <row r="97926" s="12" customFormat="1" x14ac:dyDescent="0.25"/>
    <row r="97927" s="12" customFormat="1" x14ac:dyDescent="0.25"/>
    <row r="97928" s="12" customFormat="1" x14ac:dyDescent="0.25"/>
    <row r="97929" s="12" customFormat="1" x14ac:dyDescent="0.25"/>
    <row r="97930" s="12" customFormat="1" x14ac:dyDescent="0.25"/>
    <row r="97931" s="12" customFormat="1" x14ac:dyDescent="0.25"/>
    <row r="97932" s="12" customFormat="1" x14ac:dyDescent="0.25"/>
    <row r="97933" s="12" customFormat="1" x14ac:dyDescent="0.25"/>
    <row r="97934" s="12" customFormat="1" x14ac:dyDescent="0.25"/>
    <row r="97935" s="12" customFormat="1" x14ac:dyDescent="0.25"/>
    <row r="97936" s="12" customFormat="1" x14ac:dyDescent="0.25"/>
    <row r="97937" s="12" customFormat="1" x14ac:dyDescent="0.25"/>
    <row r="97938" s="12" customFormat="1" x14ac:dyDescent="0.25"/>
    <row r="97939" s="12" customFormat="1" x14ac:dyDescent="0.25"/>
    <row r="97940" s="12" customFormat="1" x14ac:dyDescent="0.25"/>
    <row r="97941" s="12" customFormat="1" x14ac:dyDescent="0.25"/>
    <row r="97942" s="12" customFormat="1" x14ac:dyDescent="0.25"/>
    <row r="97943" s="12" customFormat="1" x14ac:dyDescent="0.25"/>
    <row r="97944" s="12" customFormat="1" x14ac:dyDescent="0.25"/>
    <row r="97945" s="12" customFormat="1" x14ac:dyDescent="0.25"/>
    <row r="97946" s="12" customFormat="1" x14ac:dyDescent="0.25"/>
    <row r="97947" s="12" customFormat="1" x14ac:dyDescent="0.25"/>
    <row r="97948" s="12" customFormat="1" x14ac:dyDescent="0.25"/>
    <row r="97949" s="12" customFormat="1" x14ac:dyDescent="0.25"/>
    <row r="97950" s="12" customFormat="1" x14ac:dyDescent="0.25"/>
    <row r="97951" s="12" customFormat="1" x14ac:dyDescent="0.25"/>
    <row r="97952" s="12" customFormat="1" x14ac:dyDescent="0.25"/>
    <row r="97953" s="12" customFormat="1" x14ac:dyDescent="0.25"/>
    <row r="97954" s="12" customFormat="1" x14ac:dyDescent="0.25"/>
    <row r="97955" s="12" customFormat="1" x14ac:dyDescent="0.25"/>
    <row r="97956" s="12" customFormat="1" x14ac:dyDescent="0.25"/>
    <row r="97957" s="12" customFormat="1" x14ac:dyDescent="0.25"/>
    <row r="97958" s="12" customFormat="1" x14ac:dyDescent="0.25"/>
    <row r="97959" s="12" customFormat="1" x14ac:dyDescent="0.25"/>
    <row r="97960" s="12" customFormat="1" x14ac:dyDescent="0.25"/>
    <row r="97961" s="12" customFormat="1" x14ac:dyDescent="0.25"/>
    <row r="97962" s="12" customFormat="1" x14ac:dyDescent="0.25"/>
    <row r="97963" s="12" customFormat="1" x14ac:dyDescent="0.25"/>
    <row r="97964" s="12" customFormat="1" x14ac:dyDescent="0.25"/>
    <row r="97965" s="12" customFormat="1" x14ac:dyDescent="0.25"/>
    <row r="97966" s="12" customFormat="1" x14ac:dyDescent="0.25"/>
    <row r="97967" s="12" customFormat="1" x14ac:dyDescent="0.25"/>
    <row r="97968" s="12" customFormat="1" x14ac:dyDescent="0.25"/>
    <row r="97969" s="12" customFormat="1" x14ac:dyDescent="0.25"/>
    <row r="97970" s="12" customFormat="1" x14ac:dyDescent="0.25"/>
    <row r="97971" s="12" customFormat="1" x14ac:dyDescent="0.25"/>
    <row r="97972" s="12" customFormat="1" x14ac:dyDescent="0.25"/>
    <row r="97973" s="12" customFormat="1" x14ac:dyDescent="0.25"/>
    <row r="97974" s="12" customFormat="1" x14ac:dyDescent="0.25"/>
    <row r="97975" s="12" customFormat="1" x14ac:dyDescent="0.25"/>
    <row r="97976" s="12" customFormat="1" x14ac:dyDescent="0.25"/>
    <row r="97977" s="12" customFormat="1" x14ac:dyDescent="0.25"/>
    <row r="97978" s="12" customFormat="1" x14ac:dyDescent="0.25"/>
    <row r="97979" s="12" customFormat="1" x14ac:dyDescent="0.25"/>
    <row r="97980" s="12" customFormat="1" x14ac:dyDescent="0.25"/>
    <row r="97981" s="12" customFormat="1" x14ac:dyDescent="0.25"/>
    <row r="97982" s="12" customFormat="1" x14ac:dyDescent="0.25"/>
    <row r="97983" s="12" customFormat="1" x14ac:dyDescent="0.25"/>
    <row r="97984" s="12" customFormat="1" x14ac:dyDescent="0.25"/>
    <row r="97985" s="12" customFormat="1" x14ac:dyDescent="0.25"/>
    <row r="97986" s="12" customFormat="1" x14ac:dyDescent="0.25"/>
    <row r="97987" s="12" customFormat="1" x14ac:dyDescent="0.25"/>
    <row r="97988" s="12" customFormat="1" x14ac:dyDescent="0.25"/>
    <row r="97989" s="12" customFormat="1" x14ac:dyDescent="0.25"/>
    <row r="97990" s="12" customFormat="1" x14ac:dyDescent="0.25"/>
    <row r="97991" s="12" customFormat="1" x14ac:dyDescent="0.25"/>
    <row r="97992" s="12" customFormat="1" x14ac:dyDescent="0.25"/>
    <row r="97993" s="12" customFormat="1" x14ac:dyDescent="0.25"/>
    <row r="97994" s="12" customFormat="1" x14ac:dyDescent="0.25"/>
    <row r="97995" s="12" customFormat="1" x14ac:dyDescent="0.25"/>
    <row r="97996" s="12" customFormat="1" x14ac:dyDescent="0.25"/>
    <row r="97997" s="12" customFormat="1" x14ac:dyDescent="0.25"/>
    <row r="97998" s="12" customFormat="1" x14ac:dyDescent="0.25"/>
    <row r="97999" s="12" customFormat="1" x14ac:dyDescent="0.25"/>
    <row r="98000" s="12" customFormat="1" x14ac:dyDescent="0.25"/>
    <row r="98001" s="12" customFormat="1" x14ac:dyDescent="0.25"/>
    <row r="98002" s="12" customFormat="1" x14ac:dyDescent="0.25"/>
    <row r="98003" s="12" customFormat="1" x14ac:dyDescent="0.25"/>
    <row r="98004" s="12" customFormat="1" x14ac:dyDescent="0.25"/>
    <row r="98005" s="12" customFormat="1" x14ac:dyDescent="0.25"/>
    <row r="98006" s="12" customFormat="1" x14ac:dyDescent="0.25"/>
    <row r="98007" s="12" customFormat="1" x14ac:dyDescent="0.25"/>
    <row r="98008" s="12" customFormat="1" x14ac:dyDescent="0.25"/>
    <row r="98009" s="12" customFormat="1" x14ac:dyDescent="0.25"/>
    <row r="98010" s="12" customFormat="1" x14ac:dyDescent="0.25"/>
    <row r="98011" s="12" customFormat="1" x14ac:dyDescent="0.25"/>
    <row r="98012" s="12" customFormat="1" x14ac:dyDescent="0.25"/>
    <row r="98013" s="12" customFormat="1" x14ac:dyDescent="0.25"/>
    <row r="98014" s="12" customFormat="1" x14ac:dyDescent="0.25"/>
    <row r="98015" s="12" customFormat="1" x14ac:dyDescent="0.25"/>
    <row r="98016" s="12" customFormat="1" x14ac:dyDescent="0.25"/>
    <row r="98017" s="12" customFormat="1" x14ac:dyDescent="0.25"/>
    <row r="98018" s="12" customFormat="1" x14ac:dyDescent="0.25"/>
    <row r="98019" s="12" customFormat="1" x14ac:dyDescent="0.25"/>
    <row r="98020" s="12" customFormat="1" x14ac:dyDescent="0.25"/>
    <row r="98021" s="12" customFormat="1" x14ac:dyDescent="0.25"/>
    <row r="98022" s="12" customFormat="1" x14ac:dyDescent="0.25"/>
    <row r="98023" s="12" customFormat="1" x14ac:dyDescent="0.25"/>
    <row r="98024" s="12" customFormat="1" x14ac:dyDescent="0.25"/>
    <row r="98025" s="12" customFormat="1" x14ac:dyDescent="0.25"/>
    <row r="98026" s="12" customFormat="1" x14ac:dyDescent="0.25"/>
    <row r="98027" s="12" customFormat="1" x14ac:dyDescent="0.25"/>
    <row r="98028" s="12" customFormat="1" x14ac:dyDescent="0.25"/>
    <row r="98029" s="12" customFormat="1" x14ac:dyDescent="0.25"/>
    <row r="98030" s="12" customFormat="1" x14ac:dyDescent="0.25"/>
    <row r="98031" s="12" customFormat="1" x14ac:dyDescent="0.25"/>
    <row r="98032" s="12" customFormat="1" x14ac:dyDescent="0.25"/>
    <row r="98033" s="12" customFormat="1" x14ac:dyDescent="0.25"/>
    <row r="98034" s="12" customFormat="1" x14ac:dyDescent="0.25"/>
    <row r="98035" s="12" customFormat="1" x14ac:dyDescent="0.25"/>
    <row r="98036" s="12" customFormat="1" x14ac:dyDescent="0.25"/>
    <row r="98037" s="12" customFormat="1" x14ac:dyDescent="0.25"/>
    <row r="98038" s="12" customFormat="1" x14ac:dyDescent="0.25"/>
    <row r="98039" s="12" customFormat="1" x14ac:dyDescent="0.25"/>
    <row r="98040" s="12" customFormat="1" x14ac:dyDescent="0.25"/>
    <row r="98041" s="12" customFormat="1" x14ac:dyDescent="0.25"/>
    <row r="98042" s="12" customFormat="1" x14ac:dyDescent="0.25"/>
    <row r="98043" s="12" customFormat="1" x14ac:dyDescent="0.25"/>
    <row r="98044" s="12" customFormat="1" x14ac:dyDescent="0.25"/>
    <row r="98045" s="12" customFormat="1" x14ac:dyDescent="0.25"/>
    <row r="98046" s="12" customFormat="1" x14ac:dyDescent="0.25"/>
    <row r="98047" s="12" customFormat="1" x14ac:dyDescent="0.25"/>
    <row r="98048" s="12" customFormat="1" x14ac:dyDescent="0.25"/>
    <row r="98049" s="12" customFormat="1" x14ac:dyDescent="0.25"/>
    <row r="98050" s="12" customFormat="1" x14ac:dyDescent="0.25"/>
    <row r="98051" s="12" customFormat="1" x14ac:dyDescent="0.25"/>
    <row r="98052" s="12" customFormat="1" x14ac:dyDescent="0.25"/>
    <row r="98053" s="12" customFormat="1" x14ac:dyDescent="0.25"/>
    <row r="98054" s="12" customFormat="1" x14ac:dyDescent="0.25"/>
    <row r="98055" s="12" customFormat="1" x14ac:dyDescent="0.25"/>
    <row r="98056" s="12" customFormat="1" x14ac:dyDescent="0.25"/>
    <row r="98057" s="12" customFormat="1" x14ac:dyDescent="0.25"/>
    <row r="98058" s="12" customFormat="1" x14ac:dyDescent="0.25"/>
    <row r="98059" s="12" customFormat="1" x14ac:dyDescent="0.25"/>
    <row r="98060" s="12" customFormat="1" x14ac:dyDescent="0.25"/>
    <row r="98061" s="12" customFormat="1" x14ac:dyDescent="0.25"/>
    <row r="98062" s="12" customFormat="1" x14ac:dyDescent="0.25"/>
    <row r="98063" s="12" customFormat="1" x14ac:dyDescent="0.25"/>
    <row r="98064" s="12" customFormat="1" x14ac:dyDescent="0.25"/>
    <row r="98065" s="12" customFormat="1" x14ac:dyDescent="0.25"/>
    <row r="98066" s="12" customFormat="1" x14ac:dyDescent="0.25"/>
    <row r="98067" s="12" customFormat="1" x14ac:dyDescent="0.25"/>
    <row r="98068" s="12" customFormat="1" x14ac:dyDescent="0.25"/>
    <row r="98069" s="12" customFormat="1" x14ac:dyDescent="0.25"/>
    <row r="98070" s="12" customFormat="1" x14ac:dyDescent="0.25"/>
    <row r="98071" s="12" customFormat="1" x14ac:dyDescent="0.25"/>
    <row r="98072" s="12" customFormat="1" x14ac:dyDescent="0.25"/>
    <row r="98073" s="12" customFormat="1" x14ac:dyDescent="0.25"/>
    <row r="98074" s="12" customFormat="1" x14ac:dyDescent="0.25"/>
    <row r="98075" s="12" customFormat="1" x14ac:dyDescent="0.25"/>
    <row r="98076" s="12" customFormat="1" x14ac:dyDescent="0.25"/>
    <row r="98077" s="12" customFormat="1" x14ac:dyDescent="0.25"/>
    <row r="98078" s="12" customFormat="1" x14ac:dyDescent="0.25"/>
    <row r="98079" s="12" customFormat="1" x14ac:dyDescent="0.25"/>
    <row r="98080" s="12" customFormat="1" x14ac:dyDescent="0.25"/>
    <row r="98081" s="12" customFormat="1" x14ac:dyDescent="0.25"/>
    <row r="98082" s="12" customFormat="1" x14ac:dyDescent="0.25"/>
    <row r="98083" s="12" customFormat="1" x14ac:dyDescent="0.25"/>
    <row r="98084" s="12" customFormat="1" x14ac:dyDescent="0.25"/>
    <row r="98085" s="12" customFormat="1" x14ac:dyDescent="0.25"/>
    <row r="98086" s="12" customFormat="1" x14ac:dyDescent="0.25"/>
    <row r="98087" s="12" customFormat="1" x14ac:dyDescent="0.25"/>
    <row r="98088" s="12" customFormat="1" x14ac:dyDescent="0.25"/>
    <row r="98089" s="12" customFormat="1" x14ac:dyDescent="0.25"/>
    <row r="98090" s="12" customFormat="1" x14ac:dyDescent="0.25"/>
    <row r="98091" s="12" customFormat="1" x14ac:dyDescent="0.25"/>
    <row r="98092" s="12" customFormat="1" x14ac:dyDescent="0.25"/>
    <row r="98093" s="12" customFormat="1" x14ac:dyDescent="0.25"/>
    <row r="98094" s="12" customFormat="1" x14ac:dyDescent="0.25"/>
    <row r="98095" s="12" customFormat="1" x14ac:dyDescent="0.25"/>
    <row r="98096" s="12" customFormat="1" x14ac:dyDescent="0.25"/>
    <row r="98097" s="12" customFormat="1" x14ac:dyDescent="0.25"/>
    <row r="98098" s="12" customFormat="1" x14ac:dyDescent="0.25"/>
    <row r="98099" s="12" customFormat="1" x14ac:dyDescent="0.25"/>
    <row r="98100" s="12" customFormat="1" x14ac:dyDescent="0.25"/>
    <row r="98101" s="12" customFormat="1" x14ac:dyDescent="0.25"/>
    <row r="98102" s="12" customFormat="1" x14ac:dyDescent="0.25"/>
    <row r="98103" s="12" customFormat="1" x14ac:dyDescent="0.25"/>
    <row r="98104" s="12" customFormat="1" x14ac:dyDescent="0.25"/>
    <row r="98105" s="12" customFormat="1" x14ac:dyDescent="0.25"/>
    <row r="98106" s="12" customFormat="1" x14ac:dyDescent="0.25"/>
    <row r="98107" s="12" customFormat="1" x14ac:dyDescent="0.25"/>
    <row r="98108" s="12" customFormat="1" x14ac:dyDescent="0.25"/>
    <row r="98109" s="12" customFormat="1" x14ac:dyDescent="0.25"/>
    <row r="98110" s="12" customFormat="1" x14ac:dyDescent="0.25"/>
    <row r="98111" s="12" customFormat="1" x14ac:dyDescent="0.25"/>
    <row r="98112" s="12" customFormat="1" x14ac:dyDescent="0.25"/>
    <row r="98113" s="12" customFormat="1" x14ac:dyDescent="0.25"/>
    <row r="98114" s="12" customFormat="1" x14ac:dyDescent="0.25"/>
    <row r="98115" s="12" customFormat="1" x14ac:dyDescent="0.25"/>
    <row r="98116" s="12" customFormat="1" x14ac:dyDescent="0.25"/>
    <row r="98117" s="12" customFormat="1" x14ac:dyDescent="0.25"/>
    <row r="98118" s="12" customFormat="1" x14ac:dyDescent="0.25"/>
    <row r="98119" s="12" customFormat="1" x14ac:dyDescent="0.25"/>
    <row r="98120" s="12" customFormat="1" x14ac:dyDescent="0.25"/>
    <row r="98121" s="12" customFormat="1" x14ac:dyDescent="0.25"/>
    <row r="98122" s="12" customFormat="1" x14ac:dyDescent="0.25"/>
    <row r="98123" s="12" customFormat="1" x14ac:dyDescent="0.25"/>
    <row r="98124" s="12" customFormat="1" x14ac:dyDescent="0.25"/>
    <row r="98125" s="12" customFormat="1" x14ac:dyDescent="0.25"/>
    <row r="98126" s="12" customFormat="1" x14ac:dyDescent="0.25"/>
    <row r="98127" s="12" customFormat="1" x14ac:dyDescent="0.25"/>
    <row r="98128" s="12" customFormat="1" x14ac:dyDescent="0.25"/>
    <row r="98129" s="12" customFormat="1" x14ac:dyDescent="0.25"/>
    <row r="98130" s="12" customFormat="1" x14ac:dyDescent="0.25"/>
    <row r="98131" s="12" customFormat="1" x14ac:dyDescent="0.25"/>
    <row r="98132" s="12" customFormat="1" x14ac:dyDescent="0.25"/>
    <row r="98133" s="12" customFormat="1" x14ac:dyDescent="0.25"/>
    <row r="98134" s="12" customFormat="1" x14ac:dyDescent="0.25"/>
    <row r="98135" s="12" customFormat="1" x14ac:dyDescent="0.25"/>
    <row r="98136" s="12" customFormat="1" x14ac:dyDescent="0.25"/>
    <row r="98137" s="12" customFormat="1" x14ac:dyDescent="0.25"/>
    <row r="98138" s="12" customFormat="1" x14ac:dyDescent="0.25"/>
    <row r="98139" s="12" customFormat="1" x14ac:dyDescent="0.25"/>
    <row r="98140" s="12" customFormat="1" x14ac:dyDescent="0.25"/>
    <row r="98141" s="12" customFormat="1" x14ac:dyDescent="0.25"/>
    <row r="98142" s="12" customFormat="1" x14ac:dyDescent="0.25"/>
    <row r="98143" s="12" customFormat="1" x14ac:dyDescent="0.25"/>
    <row r="98144" s="12" customFormat="1" x14ac:dyDescent="0.25"/>
    <row r="98145" s="12" customFormat="1" x14ac:dyDescent="0.25"/>
    <row r="98146" s="12" customFormat="1" x14ac:dyDescent="0.25"/>
    <row r="98147" s="12" customFormat="1" x14ac:dyDescent="0.25"/>
    <row r="98148" s="12" customFormat="1" x14ac:dyDescent="0.25"/>
    <row r="98149" s="12" customFormat="1" x14ac:dyDescent="0.25"/>
    <row r="98150" s="12" customFormat="1" x14ac:dyDescent="0.25"/>
    <row r="98151" s="12" customFormat="1" x14ac:dyDescent="0.25"/>
    <row r="98152" s="12" customFormat="1" x14ac:dyDescent="0.25"/>
    <row r="98153" s="12" customFormat="1" x14ac:dyDescent="0.25"/>
    <row r="98154" s="12" customFormat="1" x14ac:dyDescent="0.25"/>
    <row r="98155" s="12" customFormat="1" x14ac:dyDescent="0.25"/>
    <row r="98156" s="12" customFormat="1" x14ac:dyDescent="0.25"/>
    <row r="98157" s="12" customFormat="1" x14ac:dyDescent="0.25"/>
    <row r="98158" s="12" customFormat="1" x14ac:dyDescent="0.25"/>
    <row r="98159" s="12" customFormat="1" x14ac:dyDescent="0.25"/>
    <row r="98160" s="12" customFormat="1" x14ac:dyDescent="0.25"/>
    <row r="98161" s="12" customFormat="1" x14ac:dyDescent="0.25"/>
    <row r="98162" s="12" customFormat="1" x14ac:dyDescent="0.25"/>
    <row r="98163" s="12" customFormat="1" x14ac:dyDescent="0.25"/>
    <row r="98164" s="12" customFormat="1" x14ac:dyDescent="0.25"/>
    <row r="98165" s="12" customFormat="1" x14ac:dyDescent="0.25"/>
    <row r="98166" s="12" customFormat="1" x14ac:dyDescent="0.25"/>
    <row r="98167" s="12" customFormat="1" x14ac:dyDescent="0.25"/>
    <row r="98168" s="12" customFormat="1" x14ac:dyDescent="0.25"/>
    <row r="98169" s="12" customFormat="1" x14ac:dyDescent="0.25"/>
    <row r="98170" s="12" customFormat="1" x14ac:dyDescent="0.25"/>
    <row r="98171" s="12" customFormat="1" x14ac:dyDescent="0.25"/>
    <row r="98172" s="12" customFormat="1" x14ac:dyDescent="0.25"/>
    <row r="98173" s="12" customFormat="1" x14ac:dyDescent="0.25"/>
    <row r="98174" s="12" customFormat="1" x14ac:dyDescent="0.25"/>
    <row r="98175" s="12" customFormat="1" x14ac:dyDescent="0.25"/>
    <row r="98176" s="12" customFormat="1" x14ac:dyDescent="0.25"/>
    <row r="98177" s="12" customFormat="1" x14ac:dyDescent="0.25"/>
    <row r="98178" s="12" customFormat="1" x14ac:dyDescent="0.25"/>
    <row r="98179" s="12" customFormat="1" x14ac:dyDescent="0.25"/>
    <row r="98180" s="12" customFormat="1" x14ac:dyDescent="0.25"/>
    <row r="98181" s="12" customFormat="1" x14ac:dyDescent="0.25"/>
    <row r="98182" s="12" customFormat="1" x14ac:dyDescent="0.25"/>
    <row r="98183" s="12" customFormat="1" x14ac:dyDescent="0.25"/>
    <row r="98184" s="12" customFormat="1" x14ac:dyDescent="0.25"/>
    <row r="98185" s="12" customFormat="1" x14ac:dyDescent="0.25"/>
    <row r="98186" s="12" customFormat="1" x14ac:dyDescent="0.25"/>
    <row r="98187" s="12" customFormat="1" x14ac:dyDescent="0.25"/>
    <row r="98188" s="12" customFormat="1" x14ac:dyDescent="0.25"/>
    <row r="98189" s="12" customFormat="1" x14ac:dyDescent="0.25"/>
    <row r="98190" s="12" customFormat="1" x14ac:dyDescent="0.25"/>
    <row r="98191" s="12" customFormat="1" x14ac:dyDescent="0.25"/>
    <row r="98192" s="12" customFormat="1" x14ac:dyDescent="0.25"/>
    <row r="98193" s="12" customFormat="1" x14ac:dyDescent="0.25"/>
    <row r="98194" s="12" customFormat="1" x14ac:dyDescent="0.25"/>
    <row r="98195" s="12" customFormat="1" x14ac:dyDescent="0.25"/>
    <row r="98196" s="12" customFormat="1" x14ac:dyDescent="0.25"/>
    <row r="98197" s="12" customFormat="1" x14ac:dyDescent="0.25"/>
    <row r="98198" s="12" customFormat="1" x14ac:dyDescent="0.25"/>
    <row r="98199" s="12" customFormat="1" x14ac:dyDescent="0.25"/>
    <row r="98200" s="12" customFormat="1" x14ac:dyDescent="0.25"/>
    <row r="98201" s="12" customFormat="1" x14ac:dyDescent="0.25"/>
    <row r="98202" s="12" customFormat="1" x14ac:dyDescent="0.25"/>
    <row r="98203" s="12" customFormat="1" x14ac:dyDescent="0.25"/>
    <row r="98204" s="12" customFormat="1" x14ac:dyDescent="0.25"/>
    <row r="98205" s="12" customFormat="1" x14ac:dyDescent="0.25"/>
    <row r="98206" s="12" customFormat="1" x14ac:dyDescent="0.25"/>
    <row r="98207" s="12" customFormat="1" x14ac:dyDescent="0.25"/>
    <row r="98208" s="12" customFormat="1" x14ac:dyDescent="0.25"/>
    <row r="98209" s="12" customFormat="1" x14ac:dyDescent="0.25"/>
    <row r="98210" s="12" customFormat="1" x14ac:dyDescent="0.25"/>
    <row r="98211" s="12" customFormat="1" x14ac:dyDescent="0.25"/>
    <row r="98212" s="12" customFormat="1" x14ac:dyDescent="0.25"/>
    <row r="98213" s="12" customFormat="1" x14ac:dyDescent="0.25"/>
    <row r="98214" s="12" customFormat="1" x14ac:dyDescent="0.25"/>
    <row r="98215" s="12" customFormat="1" x14ac:dyDescent="0.25"/>
    <row r="98216" s="12" customFormat="1" x14ac:dyDescent="0.25"/>
    <row r="98217" s="12" customFormat="1" x14ac:dyDescent="0.25"/>
    <row r="98218" s="12" customFormat="1" x14ac:dyDescent="0.25"/>
    <row r="98219" s="12" customFormat="1" x14ac:dyDescent="0.25"/>
    <row r="98220" s="12" customFormat="1" x14ac:dyDescent="0.25"/>
    <row r="98221" s="12" customFormat="1" x14ac:dyDescent="0.25"/>
    <row r="98222" s="12" customFormat="1" x14ac:dyDescent="0.25"/>
    <row r="98223" s="12" customFormat="1" x14ac:dyDescent="0.25"/>
    <row r="98224" s="12" customFormat="1" x14ac:dyDescent="0.25"/>
    <row r="98225" s="12" customFormat="1" x14ac:dyDescent="0.25"/>
    <row r="98226" s="12" customFormat="1" x14ac:dyDescent="0.25"/>
    <row r="98227" s="12" customFormat="1" x14ac:dyDescent="0.25"/>
    <row r="98228" s="12" customFormat="1" x14ac:dyDescent="0.25"/>
    <row r="98229" s="12" customFormat="1" x14ac:dyDescent="0.25"/>
    <row r="98230" s="12" customFormat="1" x14ac:dyDescent="0.25"/>
    <row r="98231" s="12" customFormat="1" x14ac:dyDescent="0.25"/>
    <row r="98232" s="12" customFormat="1" x14ac:dyDescent="0.25"/>
    <row r="98233" s="12" customFormat="1" x14ac:dyDescent="0.25"/>
    <row r="98234" s="12" customFormat="1" x14ac:dyDescent="0.25"/>
    <row r="98235" s="12" customFormat="1" x14ac:dyDescent="0.25"/>
    <row r="98236" s="12" customFormat="1" x14ac:dyDescent="0.25"/>
    <row r="98237" s="12" customFormat="1" x14ac:dyDescent="0.25"/>
    <row r="98238" s="12" customFormat="1" x14ac:dyDescent="0.25"/>
    <row r="98239" s="12" customFormat="1" x14ac:dyDescent="0.25"/>
    <row r="98240" s="12" customFormat="1" x14ac:dyDescent="0.25"/>
    <row r="98241" s="12" customFormat="1" x14ac:dyDescent="0.25"/>
    <row r="98242" s="12" customFormat="1" x14ac:dyDescent="0.25"/>
    <row r="98243" s="12" customFormat="1" x14ac:dyDescent="0.25"/>
    <row r="98244" s="12" customFormat="1" x14ac:dyDescent="0.25"/>
    <row r="98245" s="12" customFormat="1" x14ac:dyDescent="0.25"/>
    <row r="98246" s="12" customFormat="1" x14ac:dyDescent="0.25"/>
    <row r="98247" s="12" customFormat="1" x14ac:dyDescent="0.25"/>
    <row r="98248" s="12" customFormat="1" x14ac:dyDescent="0.25"/>
    <row r="98249" s="12" customFormat="1" x14ac:dyDescent="0.25"/>
    <row r="98250" s="12" customFormat="1" x14ac:dyDescent="0.25"/>
    <row r="98251" s="12" customFormat="1" x14ac:dyDescent="0.25"/>
    <row r="98252" s="12" customFormat="1" x14ac:dyDescent="0.25"/>
    <row r="98253" s="12" customFormat="1" x14ac:dyDescent="0.25"/>
    <row r="98254" s="12" customFormat="1" x14ac:dyDescent="0.25"/>
    <row r="98255" s="12" customFormat="1" x14ac:dyDescent="0.25"/>
    <row r="98256" s="12" customFormat="1" x14ac:dyDescent="0.25"/>
    <row r="98257" s="12" customFormat="1" x14ac:dyDescent="0.25"/>
    <row r="98258" s="12" customFormat="1" x14ac:dyDescent="0.25"/>
    <row r="98259" s="12" customFormat="1" x14ac:dyDescent="0.25"/>
    <row r="98260" s="12" customFormat="1" x14ac:dyDescent="0.25"/>
    <row r="98261" s="12" customFormat="1" x14ac:dyDescent="0.25"/>
    <row r="98262" s="12" customFormat="1" x14ac:dyDescent="0.25"/>
    <row r="98263" s="12" customFormat="1" x14ac:dyDescent="0.25"/>
    <row r="98264" s="12" customFormat="1" x14ac:dyDescent="0.25"/>
    <row r="98265" s="12" customFormat="1" x14ac:dyDescent="0.25"/>
    <row r="98266" s="12" customFormat="1" x14ac:dyDescent="0.25"/>
    <row r="98267" s="12" customFormat="1" x14ac:dyDescent="0.25"/>
    <row r="98268" s="12" customFormat="1" x14ac:dyDescent="0.25"/>
    <row r="98269" s="12" customFormat="1" x14ac:dyDescent="0.25"/>
    <row r="98270" s="12" customFormat="1" x14ac:dyDescent="0.25"/>
    <row r="98271" s="12" customFormat="1" x14ac:dyDescent="0.25"/>
    <row r="98272" s="12" customFormat="1" x14ac:dyDescent="0.25"/>
    <row r="98273" s="12" customFormat="1" x14ac:dyDescent="0.25"/>
    <row r="98274" s="12" customFormat="1" x14ac:dyDescent="0.25"/>
    <row r="98275" s="12" customFormat="1" x14ac:dyDescent="0.25"/>
    <row r="98276" s="12" customFormat="1" x14ac:dyDescent="0.25"/>
    <row r="98277" s="12" customFormat="1" x14ac:dyDescent="0.25"/>
    <row r="98278" s="12" customFormat="1" x14ac:dyDescent="0.25"/>
    <row r="98279" s="12" customFormat="1" x14ac:dyDescent="0.25"/>
    <row r="98280" s="12" customFormat="1" x14ac:dyDescent="0.25"/>
    <row r="98281" s="12" customFormat="1" x14ac:dyDescent="0.25"/>
    <row r="98282" s="12" customFormat="1" x14ac:dyDescent="0.25"/>
    <row r="98283" s="12" customFormat="1" x14ac:dyDescent="0.25"/>
    <row r="98284" s="12" customFormat="1" x14ac:dyDescent="0.25"/>
    <row r="98285" s="12" customFormat="1" x14ac:dyDescent="0.25"/>
    <row r="98286" s="12" customFormat="1" x14ac:dyDescent="0.25"/>
    <row r="98287" s="12" customFormat="1" x14ac:dyDescent="0.25"/>
    <row r="98288" s="12" customFormat="1" x14ac:dyDescent="0.25"/>
    <row r="98289" s="12" customFormat="1" x14ac:dyDescent="0.25"/>
    <row r="98290" s="12" customFormat="1" x14ac:dyDescent="0.25"/>
    <row r="98291" s="12" customFormat="1" x14ac:dyDescent="0.25"/>
    <row r="98292" s="12" customFormat="1" x14ac:dyDescent="0.25"/>
    <row r="98293" s="12" customFormat="1" x14ac:dyDescent="0.25"/>
    <row r="98294" s="12" customFormat="1" x14ac:dyDescent="0.25"/>
    <row r="98295" s="12" customFormat="1" x14ac:dyDescent="0.25"/>
    <row r="98296" s="12" customFormat="1" x14ac:dyDescent="0.25"/>
    <row r="98297" s="12" customFormat="1" x14ac:dyDescent="0.25"/>
    <row r="98298" s="12" customFormat="1" x14ac:dyDescent="0.25"/>
    <row r="98299" s="12" customFormat="1" x14ac:dyDescent="0.25"/>
    <row r="98300" s="12" customFormat="1" x14ac:dyDescent="0.25"/>
    <row r="98301" s="12" customFormat="1" x14ac:dyDescent="0.25"/>
    <row r="98302" s="12" customFormat="1" x14ac:dyDescent="0.25"/>
    <row r="98303" s="12" customFormat="1" x14ac:dyDescent="0.25"/>
    <row r="98304" s="12" customFormat="1" x14ac:dyDescent="0.25"/>
    <row r="98305" s="12" customFormat="1" x14ac:dyDescent="0.25"/>
    <row r="98306" s="12" customFormat="1" x14ac:dyDescent="0.25"/>
    <row r="98307" s="12" customFormat="1" x14ac:dyDescent="0.25"/>
    <row r="98308" s="12" customFormat="1" x14ac:dyDescent="0.25"/>
    <row r="98309" s="12" customFormat="1" x14ac:dyDescent="0.25"/>
    <row r="98310" s="12" customFormat="1" x14ac:dyDescent="0.25"/>
    <row r="98311" s="12" customFormat="1" x14ac:dyDescent="0.25"/>
    <row r="98312" s="12" customFormat="1" x14ac:dyDescent="0.25"/>
    <row r="98313" s="12" customFormat="1" x14ac:dyDescent="0.25"/>
    <row r="98314" s="12" customFormat="1" x14ac:dyDescent="0.25"/>
    <row r="98315" s="12" customFormat="1" x14ac:dyDescent="0.25"/>
    <row r="98316" s="12" customFormat="1" x14ac:dyDescent="0.25"/>
    <row r="98317" s="12" customFormat="1" x14ac:dyDescent="0.25"/>
    <row r="98318" s="12" customFormat="1" x14ac:dyDescent="0.25"/>
    <row r="98319" s="12" customFormat="1" x14ac:dyDescent="0.25"/>
    <row r="98320" s="12" customFormat="1" x14ac:dyDescent="0.25"/>
    <row r="98321" s="12" customFormat="1" x14ac:dyDescent="0.25"/>
    <row r="98322" s="12" customFormat="1" x14ac:dyDescent="0.25"/>
    <row r="98323" s="12" customFormat="1" x14ac:dyDescent="0.25"/>
    <row r="98324" s="12" customFormat="1" x14ac:dyDescent="0.25"/>
    <row r="98325" s="12" customFormat="1" x14ac:dyDescent="0.25"/>
    <row r="98326" s="12" customFormat="1" x14ac:dyDescent="0.25"/>
    <row r="98327" s="12" customFormat="1" x14ac:dyDescent="0.25"/>
    <row r="98328" s="12" customFormat="1" x14ac:dyDescent="0.25"/>
    <row r="98329" s="12" customFormat="1" x14ac:dyDescent="0.25"/>
    <row r="98330" s="12" customFormat="1" x14ac:dyDescent="0.25"/>
    <row r="98331" s="12" customFormat="1" x14ac:dyDescent="0.25"/>
    <row r="98332" s="12" customFormat="1" x14ac:dyDescent="0.25"/>
    <row r="98333" s="12" customFormat="1" x14ac:dyDescent="0.25"/>
    <row r="98334" s="12" customFormat="1" x14ac:dyDescent="0.25"/>
    <row r="98335" s="12" customFormat="1" x14ac:dyDescent="0.25"/>
    <row r="98336" s="12" customFormat="1" x14ac:dyDescent="0.25"/>
    <row r="98337" s="12" customFormat="1" x14ac:dyDescent="0.25"/>
    <row r="98338" s="12" customFormat="1" x14ac:dyDescent="0.25"/>
    <row r="98339" s="12" customFormat="1" x14ac:dyDescent="0.25"/>
    <row r="98340" s="12" customFormat="1" x14ac:dyDescent="0.25"/>
    <row r="98341" s="12" customFormat="1" x14ac:dyDescent="0.25"/>
    <row r="98342" s="12" customFormat="1" x14ac:dyDescent="0.25"/>
    <row r="98343" s="12" customFormat="1" x14ac:dyDescent="0.25"/>
    <row r="98344" s="12" customFormat="1" x14ac:dyDescent="0.25"/>
    <row r="98345" s="12" customFormat="1" x14ac:dyDescent="0.25"/>
    <row r="98346" s="12" customFormat="1" x14ac:dyDescent="0.25"/>
    <row r="98347" s="12" customFormat="1" x14ac:dyDescent="0.25"/>
    <row r="98348" s="12" customFormat="1" x14ac:dyDescent="0.25"/>
    <row r="98349" s="12" customFormat="1" x14ac:dyDescent="0.25"/>
    <row r="98350" s="12" customFormat="1" x14ac:dyDescent="0.25"/>
    <row r="98351" s="12" customFormat="1" x14ac:dyDescent="0.25"/>
    <row r="98352" s="12" customFormat="1" x14ac:dyDescent="0.25"/>
    <row r="98353" s="12" customFormat="1" x14ac:dyDescent="0.25"/>
    <row r="98354" s="12" customFormat="1" x14ac:dyDescent="0.25"/>
    <row r="98355" s="12" customFormat="1" x14ac:dyDescent="0.25"/>
    <row r="98356" s="12" customFormat="1" x14ac:dyDescent="0.25"/>
    <row r="98357" s="12" customFormat="1" x14ac:dyDescent="0.25"/>
    <row r="98358" s="12" customFormat="1" x14ac:dyDescent="0.25"/>
    <row r="98359" s="12" customFormat="1" x14ac:dyDescent="0.25"/>
    <row r="98360" s="12" customFormat="1" x14ac:dyDescent="0.25"/>
    <row r="98361" s="12" customFormat="1" x14ac:dyDescent="0.25"/>
    <row r="98362" s="12" customFormat="1" x14ac:dyDescent="0.25"/>
    <row r="98363" s="12" customFormat="1" x14ac:dyDescent="0.25"/>
    <row r="98364" s="12" customFormat="1" x14ac:dyDescent="0.25"/>
    <row r="98365" s="12" customFormat="1" x14ac:dyDescent="0.25"/>
    <row r="98366" s="12" customFormat="1" x14ac:dyDescent="0.25"/>
    <row r="98367" s="12" customFormat="1" x14ac:dyDescent="0.25"/>
    <row r="98368" s="12" customFormat="1" x14ac:dyDescent="0.25"/>
    <row r="98369" s="12" customFormat="1" x14ac:dyDescent="0.25"/>
    <row r="98370" s="12" customFormat="1" x14ac:dyDescent="0.25"/>
    <row r="98371" s="12" customFormat="1" x14ac:dyDescent="0.25"/>
    <row r="98372" s="12" customFormat="1" x14ac:dyDescent="0.25"/>
    <row r="98373" s="12" customFormat="1" x14ac:dyDescent="0.25"/>
    <row r="98374" s="12" customFormat="1" x14ac:dyDescent="0.25"/>
    <row r="98375" s="12" customFormat="1" x14ac:dyDescent="0.25"/>
    <row r="98376" s="12" customFormat="1" x14ac:dyDescent="0.25"/>
    <row r="98377" s="12" customFormat="1" x14ac:dyDescent="0.25"/>
    <row r="98378" s="12" customFormat="1" x14ac:dyDescent="0.25"/>
    <row r="98379" s="12" customFormat="1" x14ac:dyDescent="0.25"/>
    <row r="98380" s="12" customFormat="1" x14ac:dyDescent="0.25"/>
    <row r="98381" s="12" customFormat="1" x14ac:dyDescent="0.25"/>
    <row r="98382" s="12" customFormat="1" x14ac:dyDescent="0.25"/>
    <row r="98383" s="12" customFormat="1" x14ac:dyDescent="0.25"/>
    <row r="98384" s="12" customFormat="1" x14ac:dyDescent="0.25"/>
    <row r="98385" s="12" customFormat="1" x14ac:dyDescent="0.25"/>
    <row r="98386" s="12" customFormat="1" x14ac:dyDescent="0.25"/>
    <row r="98387" s="12" customFormat="1" x14ac:dyDescent="0.25"/>
    <row r="98388" s="12" customFormat="1" x14ac:dyDescent="0.25"/>
    <row r="98389" s="12" customFormat="1" x14ac:dyDescent="0.25"/>
    <row r="98390" s="12" customFormat="1" x14ac:dyDescent="0.25"/>
    <row r="98391" s="12" customFormat="1" x14ac:dyDescent="0.25"/>
    <row r="98392" s="12" customFormat="1" x14ac:dyDescent="0.25"/>
    <row r="98393" s="12" customFormat="1" x14ac:dyDescent="0.25"/>
    <row r="98394" s="12" customFormat="1" x14ac:dyDescent="0.25"/>
    <row r="98395" s="12" customFormat="1" x14ac:dyDescent="0.25"/>
    <row r="98396" s="12" customFormat="1" x14ac:dyDescent="0.25"/>
    <row r="98397" s="12" customFormat="1" x14ac:dyDescent="0.25"/>
    <row r="98398" s="12" customFormat="1" x14ac:dyDescent="0.25"/>
    <row r="98399" s="12" customFormat="1" x14ac:dyDescent="0.25"/>
    <row r="98400" s="12" customFormat="1" x14ac:dyDescent="0.25"/>
    <row r="98401" s="12" customFormat="1" x14ac:dyDescent="0.25"/>
    <row r="98402" s="12" customFormat="1" x14ac:dyDescent="0.25"/>
    <row r="98403" s="12" customFormat="1" x14ac:dyDescent="0.25"/>
    <row r="98404" s="12" customFormat="1" x14ac:dyDescent="0.25"/>
    <row r="98405" s="12" customFormat="1" x14ac:dyDescent="0.25"/>
    <row r="98406" s="12" customFormat="1" x14ac:dyDescent="0.25"/>
    <row r="98407" s="12" customFormat="1" x14ac:dyDescent="0.25"/>
    <row r="98408" s="12" customFormat="1" x14ac:dyDescent="0.25"/>
    <row r="98409" s="12" customFormat="1" x14ac:dyDescent="0.25"/>
    <row r="98410" s="12" customFormat="1" x14ac:dyDescent="0.25"/>
    <row r="98411" s="12" customFormat="1" x14ac:dyDescent="0.25"/>
    <row r="98412" s="12" customFormat="1" x14ac:dyDescent="0.25"/>
    <row r="98413" s="12" customFormat="1" x14ac:dyDescent="0.25"/>
    <row r="98414" s="12" customFormat="1" x14ac:dyDescent="0.25"/>
    <row r="98415" s="12" customFormat="1" x14ac:dyDescent="0.25"/>
    <row r="98416" s="12" customFormat="1" x14ac:dyDescent="0.25"/>
    <row r="98417" s="12" customFormat="1" x14ac:dyDescent="0.25"/>
    <row r="98418" s="12" customFormat="1" x14ac:dyDescent="0.25"/>
    <row r="98419" s="12" customFormat="1" x14ac:dyDescent="0.25"/>
    <row r="98420" s="12" customFormat="1" x14ac:dyDescent="0.25"/>
    <row r="98421" s="12" customFormat="1" x14ac:dyDescent="0.25"/>
    <row r="98422" s="12" customFormat="1" x14ac:dyDescent="0.25"/>
    <row r="98423" s="12" customFormat="1" x14ac:dyDescent="0.25"/>
    <row r="98424" s="12" customFormat="1" x14ac:dyDescent="0.25"/>
    <row r="98425" s="12" customFormat="1" x14ac:dyDescent="0.25"/>
    <row r="98426" s="12" customFormat="1" x14ac:dyDescent="0.25"/>
    <row r="98427" s="12" customFormat="1" x14ac:dyDescent="0.25"/>
    <row r="98428" s="12" customFormat="1" x14ac:dyDescent="0.25"/>
    <row r="98429" s="12" customFormat="1" x14ac:dyDescent="0.25"/>
    <row r="98430" s="12" customFormat="1" x14ac:dyDescent="0.25"/>
    <row r="98431" s="12" customFormat="1" x14ac:dyDescent="0.25"/>
    <row r="98432" s="12" customFormat="1" x14ac:dyDescent="0.25"/>
    <row r="98433" s="12" customFormat="1" x14ac:dyDescent="0.25"/>
    <row r="98434" s="12" customFormat="1" x14ac:dyDescent="0.25"/>
    <row r="98435" s="12" customFormat="1" x14ac:dyDescent="0.25"/>
    <row r="98436" s="12" customFormat="1" x14ac:dyDescent="0.25"/>
    <row r="98437" s="12" customFormat="1" x14ac:dyDescent="0.25"/>
    <row r="98438" s="12" customFormat="1" x14ac:dyDescent="0.25"/>
    <row r="98439" s="12" customFormat="1" x14ac:dyDescent="0.25"/>
    <row r="98440" s="12" customFormat="1" x14ac:dyDescent="0.25"/>
    <row r="98441" s="12" customFormat="1" x14ac:dyDescent="0.25"/>
    <row r="98442" s="12" customFormat="1" x14ac:dyDescent="0.25"/>
    <row r="98443" s="12" customFormat="1" x14ac:dyDescent="0.25"/>
    <row r="98444" s="12" customFormat="1" x14ac:dyDescent="0.25"/>
    <row r="98445" s="12" customFormat="1" x14ac:dyDescent="0.25"/>
    <row r="98446" s="12" customFormat="1" x14ac:dyDescent="0.25"/>
    <row r="98447" s="12" customFormat="1" x14ac:dyDescent="0.25"/>
    <row r="98448" s="12" customFormat="1" x14ac:dyDescent="0.25"/>
    <row r="98449" s="12" customFormat="1" x14ac:dyDescent="0.25"/>
    <row r="98450" s="12" customFormat="1" x14ac:dyDescent="0.25"/>
    <row r="98451" s="12" customFormat="1" x14ac:dyDescent="0.25"/>
    <row r="98452" s="12" customFormat="1" x14ac:dyDescent="0.25"/>
    <row r="98453" s="12" customFormat="1" x14ac:dyDescent="0.25"/>
    <row r="98454" s="12" customFormat="1" x14ac:dyDescent="0.25"/>
    <row r="98455" s="12" customFormat="1" x14ac:dyDescent="0.25"/>
    <row r="98456" s="12" customFormat="1" x14ac:dyDescent="0.25"/>
    <row r="98457" s="12" customFormat="1" x14ac:dyDescent="0.25"/>
    <row r="98458" s="12" customFormat="1" x14ac:dyDescent="0.25"/>
    <row r="98459" s="12" customFormat="1" x14ac:dyDescent="0.25"/>
    <row r="98460" s="12" customFormat="1" x14ac:dyDescent="0.25"/>
    <row r="98461" s="12" customFormat="1" x14ac:dyDescent="0.25"/>
    <row r="98462" s="12" customFormat="1" x14ac:dyDescent="0.25"/>
    <row r="98463" s="12" customFormat="1" x14ac:dyDescent="0.25"/>
    <row r="98464" s="12" customFormat="1" x14ac:dyDescent="0.25"/>
    <row r="98465" s="12" customFormat="1" x14ac:dyDescent="0.25"/>
    <row r="98466" s="12" customFormat="1" x14ac:dyDescent="0.25"/>
    <row r="98467" s="12" customFormat="1" x14ac:dyDescent="0.25"/>
    <row r="98468" s="12" customFormat="1" x14ac:dyDescent="0.25"/>
    <row r="98469" s="12" customFormat="1" x14ac:dyDescent="0.25"/>
    <row r="98470" s="12" customFormat="1" x14ac:dyDescent="0.25"/>
    <row r="98471" s="12" customFormat="1" x14ac:dyDescent="0.25"/>
    <row r="98472" s="12" customFormat="1" x14ac:dyDescent="0.25"/>
    <row r="98473" s="12" customFormat="1" x14ac:dyDescent="0.25"/>
    <row r="98474" s="12" customFormat="1" x14ac:dyDescent="0.25"/>
    <row r="98475" s="12" customFormat="1" x14ac:dyDescent="0.25"/>
    <row r="98476" s="12" customFormat="1" x14ac:dyDescent="0.25"/>
    <row r="98477" s="12" customFormat="1" x14ac:dyDescent="0.25"/>
    <row r="98478" s="12" customFormat="1" x14ac:dyDescent="0.25"/>
    <row r="98479" s="12" customFormat="1" x14ac:dyDescent="0.25"/>
    <row r="98480" s="12" customFormat="1" x14ac:dyDescent="0.25"/>
    <row r="98481" s="12" customFormat="1" x14ac:dyDescent="0.25"/>
    <row r="98482" s="12" customFormat="1" x14ac:dyDescent="0.25"/>
    <row r="98483" s="12" customFormat="1" x14ac:dyDescent="0.25"/>
    <row r="98484" s="12" customFormat="1" x14ac:dyDescent="0.25"/>
    <row r="98485" s="12" customFormat="1" x14ac:dyDescent="0.25"/>
    <row r="98486" s="12" customFormat="1" x14ac:dyDescent="0.25"/>
    <row r="98487" s="12" customFormat="1" x14ac:dyDescent="0.25"/>
    <row r="98488" s="12" customFormat="1" x14ac:dyDescent="0.25"/>
    <row r="98489" s="12" customFormat="1" x14ac:dyDescent="0.25"/>
    <row r="98490" s="12" customFormat="1" x14ac:dyDescent="0.25"/>
    <row r="98491" s="12" customFormat="1" x14ac:dyDescent="0.25"/>
    <row r="98492" s="12" customFormat="1" x14ac:dyDescent="0.25"/>
    <row r="98493" s="12" customFormat="1" x14ac:dyDescent="0.25"/>
    <row r="98494" s="12" customFormat="1" x14ac:dyDescent="0.25"/>
    <row r="98495" s="12" customFormat="1" x14ac:dyDescent="0.25"/>
    <row r="98496" s="12" customFormat="1" x14ac:dyDescent="0.25"/>
    <row r="98497" s="12" customFormat="1" x14ac:dyDescent="0.25"/>
    <row r="98498" s="12" customFormat="1" x14ac:dyDescent="0.25"/>
    <row r="98499" s="12" customFormat="1" x14ac:dyDescent="0.25"/>
    <row r="98500" s="12" customFormat="1" x14ac:dyDescent="0.25"/>
    <row r="98501" s="12" customFormat="1" x14ac:dyDescent="0.25"/>
    <row r="98502" s="12" customFormat="1" x14ac:dyDescent="0.25"/>
    <row r="98503" s="12" customFormat="1" x14ac:dyDescent="0.25"/>
    <row r="98504" s="12" customFormat="1" x14ac:dyDescent="0.25"/>
    <row r="98505" s="12" customFormat="1" x14ac:dyDescent="0.25"/>
    <row r="98506" s="12" customFormat="1" x14ac:dyDescent="0.25"/>
    <row r="98507" s="12" customFormat="1" x14ac:dyDescent="0.25"/>
    <row r="98508" s="12" customFormat="1" x14ac:dyDescent="0.25"/>
    <row r="98509" s="12" customFormat="1" x14ac:dyDescent="0.25"/>
    <row r="98510" s="12" customFormat="1" x14ac:dyDescent="0.25"/>
    <row r="98511" s="12" customFormat="1" x14ac:dyDescent="0.25"/>
    <row r="98512" s="12" customFormat="1" x14ac:dyDescent="0.25"/>
    <row r="98513" s="12" customFormat="1" x14ac:dyDescent="0.25"/>
    <row r="98514" s="12" customFormat="1" x14ac:dyDescent="0.25"/>
    <row r="98515" s="12" customFormat="1" x14ac:dyDescent="0.25"/>
    <row r="98516" s="12" customFormat="1" x14ac:dyDescent="0.25"/>
    <row r="98517" s="12" customFormat="1" x14ac:dyDescent="0.25"/>
    <row r="98518" s="12" customFormat="1" x14ac:dyDescent="0.25"/>
    <row r="98519" s="12" customFormat="1" x14ac:dyDescent="0.25"/>
    <row r="98520" s="12" customFormat="1" x14ac:dyDescent="0.25"/>
    <row r="98521" s="12" customFormat="1" x14ac:dyDescent="0.25"/>
    <row r="98522" s="12" customFormat="1" x14ac:dyDescent="0.25"/>
    <row r="98523" s="12" customFormat="1" x14ac:dyDescent="0.25"/>
    <row r="98524" s="12" customFormat="1" x14ac:dyDescent="0.25"/>
    <row r="98525" s="12" customFormat="1" x14ac:dyDescent="0.25"/>
    <row r="98526" s="12" customFormat="1" x14ac:dyDescent="0.25"/>
    <row r="98527" s="12" customFormat="1" x14ac:dyDescent="0.25"/>
    <row r="98528" s="12" customFormat="1" x14ac:dyDescent="0.25"/>
    <row r="98529" s="12" customFormat="1" x14ac:dyDescent="0.25"/>
    <row r="98530" s="12" customFormat="1" x14ac:dyDescent="0.25"/>
    <row r="98531" s="12" customFormat="1" x14ac:dyDescent="0.25"/>
    <row r="98532" s="12" customFormat="1" x14ac:dyDescent="0.25"/>
    <row r="98533" s="12" customFormat="1" x14ac:dyDescent="0.25"/>
    <row r="98534" s="12" customFormat="1" x14ac:dyDescent="0.25"/>
    <row r="98535" s="12" customFormat="1" x14ac:dyDescent="0.25"/>
    <row r="98536" s="12" customFormat="1" x14ac:dyDescent="0.25"/>
    <row r="98537" s="12" customFormat="1" x14ac:dyDescent="0.25"/>
    <row r="98538" s="12" customFormat="1" x14ac:dyDescent="0.25"/>
    <row r="98539" s="12" customFormat="1" x14ac:dyDescent="0.25"/>
    <row r="98540" s="12" customFormat="1" x14ac:dyDescent="0.25"/>
    <row r="98541" s="12" customFormat="1" x14ac:dyDescent="0.25"/>
    <row r="98542" s="12" customFormat="1" x14ac:dyDescent="0.25"/>
    <row r="98543" s="12" customFormat="1" x14ac:dyDescent="0.25"/>
    <row r="98544" s="12" customFormat="1" x14ac:dyDescent="0.25"/>
    <row r="98545" s="12" customFormat="1" x14ac:dyDescent="0.25"/>
    <row r="98546" s="12" customFormat="1" x14ac:dyDescent="0.25"/>
    <row r="98547" s="12" customFormat="1" x14ac:dyDescent="0.25"/>
    <row r="98548" s="12" customFormat="1" x14ac:dyDescent="0.25"/>
    <row r="98549" s="12" customFormat="1" x14ac:dyDescent="0.25"/>
    <row r="98550" s="12" customFormat="1" x14ac:dyDescent="0.25"/>
    <row r="98551" s="12" customFormat="1" x14ac:dyDescent="0.25"/>
    <row r="98552" s="12" customFormat="1" x14ac:dyDescent="0.25"/>
    <row r="98553" s="12" customFormat="1" x14ac:dyDescent="0.25"/>
    <row r="98554" s="12" customFormat="1" x14ac:dyDescent="0.25"/>
    <row r="98555" s="12" customFormat="1" x14ac:dyDescent="0.25"/>
    <row r="98556" s="12" customFormat="1" x14ac:dyDescent="0.25"/>
    <row r="98557" s="12" customFormat="1" x14ac:dyDescent="0.25"/>
    <row r="98558" s="12" customFormat="1" x14ac:dyDescent="0.25"/>
    <row r="98559" s="12" customFormat="1" x14ac:dyDescent="0.25"/>
    <row r="98560" s="12" customFormat="1" x14ac:dyDescent="0.25"/>
    <row r="98561" s="12" customFormat="1" x14ac:dyDescent="0.25"/>
    <row r="98562" s="12" customFormat="1" x14ac:dyDescent="0.25"/>
    <row r="98563" s="12" customFormat="1" x14ac:dyDescent="0.25"/>
    <row r="98564" s="12" customFormat="1" x14ac:dyDescent="0.25"/>
    <row r="98565" s="12" customFormat="1" x14ac:dyDescent="0.25"/>
    <row r="98566" s="12" customFormat="1" x14ac:dyDescent="0.25"/>
    <row r="98567" s="12" customFormat="1" x14ac:dyDescent="0.25"/>
    <row r="98568" s="12" customFormat="1" x14ac:dyDescent="0.25"/>
    <row r="98569" s="12" customFormat="1" x14ac:dyDescent="0.25"/>
    <row r="98570" s="12" customFormat="1" x14ac:dyDescent="0.25"/>
    <row r="98571" s="12" customFormat="1" x14ac:dyDescent="0.25"/>
    <row r="98572" s="12" customFormat="1" x14ac:dyDescent="0.25"/>
    <row r="98573" s="12" customFormat="1" x14ac:dyDescent="0.25"/>
    <row r="98574" s="12" customFormat="1" x14ac:dyDescent="0.25"/>
    <row r="98575" s="12" customFormat="1" x14ac:dyDescent="0.25"/>
    <row r="98576" s="12" customFormat="1" x14ac:dyDescent="0.25"/>
    <row r="98577" s="12" customFormat="1" x14ac:dyDescent="0.25"/>
    <row r="98578" s="12" customFormat="1" x14ac:dyDescent="0.25"/>
    <row r="98579" s="12" customFormat="1" x14ac:dyDescent="0.25"/>
    <row r="98580" s="12" customFormat="1" x14ac:dyDescent="0.25"/>
    <row r="98581" s="12" customFormat="1" x14ac:dyDescent="0.25"/>
    <row r="98582" s="12" customFormat="1" x14ac:dyDescent="0.25"/>
    <row r="98583" s="12" customFormat="1" x14ac:dyDescent="0.25"/>
    <row r="98584" s="12" customFormat="1" x14ac:dyDescent="0.25"/>
    <row r="98585" s="12" customFormat="1" x14ac:dyDescent="0.25"/>
    <row r="98586" s="12" customFormat="1" x14ac:dyDescent="0.25"/>
    <row r="98587" s="12" customFormat="1" x14ac:dyDescent="0.25"/>
    <row r="98588" s="12" customFormat="1" x14ac:dyDescent="0.25"/>
    <row r="98589" s="12" customFormat="1" x14ac:dyDescent="0.25"/>
    <row r="98590" s="12" customFormat="1" x14ac:dyDescent="0.25"/>
    <row r="98591" s="12" customFormat="1" x14ac:dyDescent="0.25"/>
    <row r="98592" s="12" customFormat="1" x14ac:dyDescent="0.25"/>
    <row r="98593" s="12" customFormat="1" x14ac:dyDescent="0.25"/>
    <row r="98594" s="12" customFormat="1" x14ac:dyDescent="0.25"/>
    <row r="98595" s="12" customFormat="1" x14ac:dyDescent="0.25"/>
    <row r="98596" s="12" customFormat="1" x14ac:dyDescent="0.25"/>
    <row r="98597" s="12" customFormat="1" x14ac:dyDescent="0.25"/>
    <row r="98598" s="12" customFormat="1" x14ac:dyDescent="0.25"/>
    <row r="98599" s="12" customFormat="1" x14ac:dyDescent="0.25"/>
    <row r="98600" s="12" customFormat="1" x14ac:dyDescent="0.25"/>
    <row r="98601" s="12" customFormat="1" x14ac:dyDescent="0.25"/>
    <row r="98602" s="12" customFormat="1" x14ac:dyDescent="0.25"/>
    <row r="98603" s="12" customFormat="1" x14ac:dyDescent="0.25"/>
    <row r="98604" s="12" customFormat="1" x14ac:dyDescent="0.25"/>
    <row r="98605" s="12" customFormat="1" x14ac:dyDescent="0.25"/>
    <row r="98606" s="12" customFormat="1" x14ac:dyDescent="0.25"/>
    <row r="98607" s="12" customFormat="1" x14ac:dyDescent="0.25"/>
    <row r="98608" s="12" customFormat="1" x14ac:dyDescent="0.25"/>
    <row r="98609" s="12" customFormat="1" x14ac:dyDescent="0.25"/>
    <row r="98610" s="12" customFormat="1" x14ac:dyDescent="0.25"/>
    <row r="98611" s="12" customFormat="1" x14ac:dyDescent="0.25"/>
    <row r="98612" s="12" customFormat="1" x14ac:dyDescent="0.25"/>
    <row r="98613" s="12" customFormat="1" x14ac:dyDescent="0.25"/>
    <row r="98614" s="12" customFormat="1" x14ac:dyDescent="0.25"/>
    <row r="98615" s="12" customFormat="1" x14ac:dyDescent="0.25"/>
    <row r="98616" s="12" customFormat="1" x14ac:dyDescent="0.25"/>
    <row r="98617" s="12" customFormat="1" x14ac:dyDescent="0.25"/>
    <row r="98618" s="12" customFormat="1" x14ac:dyDescent="0.25"/>
    <row r="98619" s="12" customFormat="1" x14ac:dyDescent="0.25"/>
    <row r="98620" s="12" customFormat="1" x14ac:dyDescent="0.25"/>
    <row r="98621" s="12" customFormat="1" x14ac:dyDescent="0.25"/>
    <row r="98622" s="12" customFormat="1" x14ac:dyDescent="0.25"/>
    <row r="98623" s="12" customFormat="1" x14ac:dyDescent="0.25"/>
    <row r="98624" s="12" customFormat="1" x14ac:dyDescent="0.25"/>
    <row r="98625" s="12" customFormat="1" x14ac:dyDescent="0.25"/>
    <row r="98626" s="12" customFormat="1" x14ac:dyDescent="0.25"/>
    <row r="98627" s="12" customFormat="1" x14ac:dyDescent="0.25"/>
    <row r="98628" s="12" customFormat="1" x14ac:dyDescent="0.25"/>
    <row r="98629" s="12" customFormat="1" x14ac:dyDescent="0.25"/>
    <row r="98630" s="12" customFormat="1" x14ac:dyDescent="0.25"/>
    <row r="98631" s="12" customFormat="1" x14ac:dyDescent="0.25"/>
    <row r="98632" s="12" customFormat="1" x14ac:dyDescent="0.25"/>
    <row r="98633" s="12" customFormat="1" x14ac:dyDescent="0.25"/>
    <row r="98634" s="12" customFormat="1" x14ac:dyDescent="0.25"/>
    <row r="98635" s="12" customFormat="1" x14ac:dyDescent="0.25"/>
    <row r="98636" s="12" customFormat="1" x14ac:dyDescent="0.25"/>
    <row r="98637" s="12" customFormat="1" x14ac:dyDescent="0.25"/>
    <row r="98638" s="12" customFormat="1" x14ac:dyDescent="0.25"/>
    <row r="98639" s="12" customFormat="1" x14ac:dyDescent="0.25"/>
    <row r="98640" s="12" customFormat="1" x14ac:dyDescent="0.25"/>
    <row r="98641" s="12" customFormat="1" x14ac:dyDescent="0.25"/>
    <row r="98642" s="12" customFormat="1" x14ac:dyDescent="0.25"/>
    <row r="98643" s="12" customFormat="1" x14ac:dyDescent="0.25"/>
    <row r="98644" s="12" customFormat="1" x14ac:dyDescent="0.25"/>
    <row r="98645" s="12" customFormat="1" x14ac:dyDescent="0.25"/>
    <row r="98646" s="12" customFormat="1" x14ac:dyDescent="0.25"/>
    <row r="98647" s="12" customFormat="1" x14ac:dyDescent="0.25"/>
    <row r="98648" s="12" customFormat="1" x14ac:dyDescent="0.25"/>
    <row r="98649" s="12" customFormat="1" x14ac:dyDescent="0.25"/>
    <row r="98650" s="12" customFormat="1" x14ac:dyDescent="0.25"/>
    <row r="98651" s="12" customFormat="1" x14ac:dyDescent="0.25"/>
    <row r="98652" s="12" customFormat="1" x14ac:dyDescent="0.25"/>
    <row r="98653" s="12" customFormat="1" x14ac:dyDescent="0.25"/>
    <row r="98654" s="12" customFormat="1" x14ac:dyDescent="0.25"/>
    <row r="98655" s="12" customFormat="1" x14ac:dyDescent="0.25"/>
    <row r="98656" s="12" customFormat="1" x14ac:dyDescent="0.25"/>
    <row r="98657" s="12" customFormat="1" x14ac:dyDescent="0.25"/>
    <row r="98658" s="12" customFormat="1" x14ac:dyDescent="0.25"/>
    <row r="98659" s="12" customFormat="1" x14ac:dyDescent="0.25"/>
    <row r="98660" s="12" customFormat="1" x14ac:dyDescent="0.25"/>
    <row r="98661" s="12" customFormat="1" x14ac:dyDescent="0.25"/>
    <row r="98662" s="12" customFormat="1" x14ac:dyDescent="0.25"/>
    <row r="98663" s="12" customFormat="1" x14ac:dyDescent="0.25"/>
    <row r="98664" s="12" customFormat="1" x14ac:dyDescent="0.25"/>
    <row r="98665" s="12" customFormat="1" x14ac:dyDescent="0.25"/>
    <row r="98666" s="12" customFormat="1" x14ac:dyDescent="0.25"/>
    <row r="98667" s="12" customFormat="1" x14ac:dyDescent="0.25"/>
    <row r="98668" s="12" customFormat="1" x14ac:dyDescent="0.25"/>
    <row r="98669" s="12" customFormat="1" x14ac:dyDescent="0.25"/>
    <row r="98670" s="12" customFormat="1" x14ac:dyDescent="0.25"/>
    <row r="98671" s="12" customFormat="1" x14ac:dyDescent="0.25"/>
    <row r="98672" s="12" customFormat="1" x14ac:dyDescent="0.25"/>
    <row r="98673" s="12" customFormat="1" x14ac:dyDescent="0.25"/>
    <row r="98674" s="12" customFormat="1" x14ac:dyDescent="0.25"/>
    <row r="98675" s="12" customFormat="1" x14ac:dyDescent="0.25"/>
    <row r="98676" s="12" customFormat="1" x14ac:dyDescent="0.25"/>
    <row r="98677" s="12" customFormat="1" x14ac:dyDescent="0.25"/>
    <row r="98678" s="12" customFormat="1" x14ac:dyDescent="0.25"/>
    <row r="98679" s="12" customFormat="1" x14ac:dyDescent="0.25"/>
    <row r="98680" s="12" customFormat="1" x14ac:dyDescent="0.25"/>
    <row r="98681" s="12" customFormat="1" x14ac:dyDescent="0.25"/>
    <row r="98682" s="12" customFormat="1" x14ac:dyDescent="0.25"/>
    <row r="98683" s="12" customFormat="1" x14ac:dyDescent="0.25"/>
    <row r="98684" s="12" customFormat="1" x14ac:dyDescent="0.25"/>
    <row r="98685" s="12" customFormat="1" x14ac:dyDescent="0.25"/>
    <row r="98686" s="12" customFormat="1" x14ac:dyDescent="0.25"/>
    <row r="98687" s="12" customFormat="1" x14ac:dyDescent="0.25"/>
    <row r="98688" s="12" customFormat="1" x14ac:dyDescent="0.25"/>
    <row r="98689" s="12" customFormat="1" x14ac:dyDescent="0.25"/>
    <row r="98690" s="12" customFormat="1" x14ac:dyDescent="0.25"/>
    <row r="98691" s="12" customFormat="1" x14ac:dyDescent="0.25"/>
    <row r="98692" s="12" customFormat="1" x14ac:dyDescent="0.25"/>
    <row r="98693" s="12" customFormat="1" x14ac:dyDescent="0.25"/>
    <row r="98694" s="12" customFormat="1" x14ac:dyDescent="0.25"/>
    <row r="98695" s="12" customFormat="1" x14ac:dyDescent="0.25"/>
    <row r="98696" s="12" customFormat="1" x14ac:dyDescent="0.25"/>
    <row r="98697" s="12" customFormat="1" x14ac:dyDescent="0.25"/>
    <row r="98698" s="12" customFormat="1" x14ac:dyDescent="0.25"/>
    <row r="98699" s="12" customFormat="1" x14ac:dyDescent="0.25"/>
    <row r="98700" s="12" customFormat="1" x14ac:dyDescent="0.25"/>
    <row r="98701" s="12" customFormat="1" x14ac:dyDescent="0.25"/>
    <row r="98702" s="12" customFormat="1" x14ac:dyDescent="0.25"/>
    <row r="98703" s="12" customFormat="1" x14ac:dyDescent="0.25"/>
    <row r="98704" s="12" customFormat="1" x14ac:dyDescent="0.25"/>
    <row r="98705" s="12" customFormat="1" x14ac:dyDescent="0.25"/>
    <row r="98706" s="12" customFormat="1" x14ac:dyDescent="0.25"/>
    <row r="98707" s="12" customFormat="1" x14ac:dyDescent="0.25"/>
    <row r="98708" s="12" customFormat="1" x14ac:dyDescent="0.25"/>
    <row r="98709" s="12" customFormat="1" x14ac:dyDescent="0.25"/>
    <row r="98710" s="12" customFormat="1" x14ac:dyDescent="0.25"/>
    <row r="98711" s="12" customFormat="1" x14ac:dyDescent="0.25"/>
    <row r="98712" s="12" customFormat="1" x14ac:dyDescent="0.25"/>
    <row r="98713" s="12" customFormat="1" x14ac:dyDescent="0.25"/>
    <row r="98714" s="12" customFormat="1" x14ac:dyDescent="0.25"/>
    <row r="98715" s="12" customFormat="1" x14ac:dyDescent="0.25"/>
    <row r="98716" s="12" customFormat="1" x14ac:dyDescent="0.25"/>
    <row r="98717" s="12" customFormat="1" x14ac:dyDescent="0.25"/>
    <row r="98718" s="12" customFormat="1" x14ac:dyDescent="0.25"/>
    <row r="98719" s="12" customFormat="1" x14ac:dyDescent="0.25"/>
    <row r="98720" s="12" customFormat="1" x14ac:dyDescent="0.25"/>
    <row r="98721" s="12" customFormat="1" x14ac:dyDescent="0.25"/>
    <row r="98722" s="12" customFormat="1" x14ac:dyDescent="0.25"/>
    <row r="98723" s="12" customFormat="1" x14ac:dyDescent="0.25"/>
    <row r="98724" s="12" customFormat="1" x14ac:dyDescent="0.25"/>
    <row r="98725" s="12" customFormat="1" x14ac:dyDescent="0.25"/>
    <row r="98726" s="12" customFormat="1" x14ac:dyDescent="0.25"/>
    <row r="98727" s="12" customFormat="1" x14ac:dyDescent="0.25"/>
    <row r="98728" s="12" customFormat="1" x14ac:dyDescent="0.25"/>
    <row r="98729" s="12" customFormat="1" x14ac:dyDescent="0.25"/>
    <row r="98730" s="12" customFormat="1" x14ac:dyDescent="0.25"/>
    <row r="98731" s="12" customFormat="1" x14ac:dyDescent="0.25"/>
    <row r="98732" s="12" customFormat="1" x14ac:dyDescent="0.25"/>
    <row r="98733" s="12" customFormat="1" x14ac:dyDescent="0.25"/>
    <row r="98734" s="12" customFormat="1" x14ac:dyDescent="0.25"/>
    <row r="98735" s="12" customFormat="1" x14ac:dyDescent="0.25"/>
    <row r="98736" s="12" customFormat="1" x14ac:dyDescent="0.25"/>
    <row r="98737" s="12" customFormat="1" x14ac:dyDescent="0.25"/>
    <row r="98738" s="12" customFormat="1" x14ac:dyDescent="0.25"/>
    <row r="98739" s="12" customFormat="1" x14ac:dyDescent="0.25"/>
    <row r="98740" s="12" customFormat="1" x14ac:dyDescent="0.25"/>
    <row r="98741" s="12" customFormat="1" x14ac:dyDescent="0.25"/>
    <row r="98742" s="12" customFormat="1" x14ac:dyDescent="0.25"/>
    <row r="98743" s="12" customFormat="1" x14ac:dyDescent="0.25"/>
    <row r="98744" s="12" customFormat="1" x14ac:dyDescent="0.25"/>
    <row r="98745" s="12" customFormat="1" x14ac:dyDescent="0.25"/>
    <row r="98746" s="12" customFormat="1" x14ac:dyDescent="0.25"/>
    <row r="98747" s="12" customFormat="1" x14ac:dyDescent="0.25"/>
    <row r="98748" s="12" customFormat="1" x14ac:dyDescent="0.25"/>
    <row r="98749" s="12" customFormat="1" x14ac:dyDescent="0.25"/>
    <row r="98750" s="12" customFormat="1" x14ac:dyDescent="0.25"/>
    <row r="98751" s="12" customFormat="1" x14ac:dyDescent="0.25"/>
    <row r="98752" s="12" customFormat="1" x14ac:dyDescent="0.25"/>
    <row r="98753" s="12" customFormat="1" x14ac:dyDescent="0.25"/>
    <row r="98754" s="12" customFormat="1" x14ac:dyDescent="0.25"/>
    <row r="98755" s="12" customFormat="1" x14ac:dyDescent="0.25"/>
    <row r="98756" s="12" customFormat="1" x14ac:dyDescent="0.25"/>
    <row r="98757" s="12" customFormat="1" x14ac:dyDescent="0.25"/>
    <row r="98758" s="12" customFormat="1" x14ac:dyDescent="0.25"/>
    <row r="98759" s="12" customFormat="1" x14ac:dyDescent="0.25"/>
    <row r="98760" s="12" customFormat="1" x14ac:dyDescent="0.25"/>
    <row r="98761" s="12" customFormat="1" x14ac:dyDescent="0.25"/>
    <row r="98762" s="12" customFormat="1" x14ac:dyDescent="0.25"/>
    <row r="98763" s="12" customFormat="1" x14ac:dyDescent="0.25"/>
    <row r="98764" s="12" customFormat="1" x14ac:dyDescent="0.25"/>
    <row r="98765" s="12" customFormat="1" x14ac:dyDescent="0.25"/>
    <row r="98766" s="12" customFormat="1" x14ac:dyDescent="0.25"/>
    <row r="98767" s="12" customFormat="1" x14ac:dyDescent="0.25"/>
    <row r="98768" s="12" customFormat="1" x14ac:dyDescent="0.25"/>
    <row r="98769" s="12" customFormat="1" x14ac:dyDescent="0.25"/>
    <row r="98770" s="12" customFormat="1" x14ac:dyDescent="0.25"/>
    <row r="98771" s="12" customFormat="1" x14ac:dyDescent="0.25"/>
    <row r="98772" s="12" customFormat="1" x14ac:dyDescent="0.25"/>
    <row r="98773" s="12" customFormat="1" x14ac:dyDescent="0.25"/>
    <row r="98774" s="12" customFormat="1" x14ac:dyDescent="0.25"/>
    <row r="98775" s="12" customFormat="1" x14ac:dyDescent="0.25"/>
    <row r="98776" s="12" customFormat="1" x14ac:dyDescent="0.25"/>
    <row r="98777" s="12" customFormat="1" x14ac:dyDescent="0.25"/>
    <row r="98778" s="12" customFormat="1" x14ac:dyDescent="0.25"/>
    <row r="98779" s="12" customFormat="1" x14ac:dyDescent="0.25"/>
    <row r="98780" s="12" customFormat="1" x14ac:dyDescent="0.25"/>
    <row r="98781" s="12" customFormat="1" x14ac:dyDescent="0.25"/>
    <row r="98782" s="12" customFormat="1" x14ac:dyDescent="0.25"/>
    <row r="98783" s="12" customFormat="1" x14ac:dyDescent="0.25"/>
    <row r="98784" s="12" customFormat="1" x14ac:dyDescent="0.25"/>
    <row r="98785" s="12" customFormat="1" x14ac:dyDescent="0.25"/>
    <row r="98786" s="12" customFormat="1" x14ac:dyDescent="0.25"/>
    <row r="98787" s="12" customFormat="1" x14ac:dyDescent="0.25"/>
    <row r="98788" s="12" customFormat="1" x14ac:dyDescent="0.25"/>
    <row r="98789" s="12" customFormat="1" x14ac:dyDescent="0.25"/>
    <row r="98790" s="12" customFormat="1" x14ac:dyDescent="0.25"/>
    <row r="98791" s="12" customFormat="1" x14ac:dyDescent="0.25"/>
    <row r="98792" s="12" customFormat="1" x14ac:dyDescent="0.25"/>
    <row r="98793" s="12" customFormat="1" x14ac:dyDescent="0.25"/>
    <row r="98794" s="12" customFormat="1" x14ac:dyDescent="0.25"/>
    <row r="98795" s="12" customFormat="1" x14ac:dyDescent="0.25"/>
    <row r="98796" s="12" customFormat="1" x14ac:dyDescent="0.25"/>
    <row r="98797" s="12" customFormat="1" x14ac:dyDescent="0.25"/>
    <row r="98798" s="12" customFormat="1" x14ac:dyDescent="0.25"/>
    <row r="98799" s="12" customFormat="1" x14ac:dyDescent="0.25"/>
    <row r="98800" s="12" customFormat="1" x14ac:dyDescent="0.25"/>
    <row r="98801" s="12" customFormat="1" x14ac:dyDescent="0.25"/>
    <row r="98802" s="12" customFormat="1" x14ac:dyDescent="0.25"/>
    <row r="98803" s="12" customFormat="1" x14ac:dyDescent="0.25"/>
    <row r="98804" s="12" customFormat="1" x14ac:dyDescent="0.25"/>
    <row r="98805" s="12" customFormat="1" x14ac:dyDescent="0.25"/>
    <row r="98806" s="12" customFormat="1" x14ac:dyDescent="0.25"/>
    <row r="98807" s="12" customFormat="1" x14ac:dyDescent="0.25"/>
    <row r="98808" s="12" customFormat="1" x14ac:dyDescent="0.25"/>
    <row r="98809" s="12" customFormat="1" x14ac:dyDescent="0.25"/>
    <row r="98810" s="12" customFormat="1" x14ac:dyDescent="0.25"/>
    <row r="98811" s="12" customFormat="1" x14ac:dyDescent="0.25"/>
    <row r="98812" s="12" customFormat="1" x14ac:dyDescent="0.25"/>
    <row r="98813" s="12" customFormat="1" x14ac:dyDescent="0.25"/>
    <row r="98814" s="12" customFormat="1" x14ac:dyDescent="0.25"/>
    <row r="98815" s="12" customFormat="1" x14ac:dyDescent="0.25"/>
    <row r="98816" s="12" customFormat="1" x14ac:dyDescent="0.25"/>
    <row r="98817" s="12" customFormat="1" x14ac:dyDescent="0.25"/>
    <row r="98818" s="12" customFormat="1" x14ac:dyDescent="0.25"/>
    <row r="98819" s="12" customFormat="1" x14ac:dyDescent="0.25"/>
    <row r="98820" s="12" customFormat="1" x14ac:dyDescent="0.25"/>
    <row r="98821" s="12" customFormat="1" x14ac:dyDescent="0.25"/>
    <row r="98822" s="12" customFormat="1" x14ac:dyDescent="0.25"/>
    <row r="98823" s="12" customFormat="1" x14ac:dyDescent="0.25"/>
    <row r="98824" s="12" customFormat="1" x14ac:dyDescent="0.25"/>
    <row r="98825" s="12" customFormat="1" x14ac:dyDescent="0.25"/>
    <row r="98826" s="12" customFormat="1" x14ac:dyDescent="0.25"/>
    <row r="98827" s="12" customFormat="1" x14ac:dyDescent="0.25"/>
    <row r="98828" s="12" customFormat="1" x14ac:dyDescent="0.25"/>
    <row r="98829" s="12" customFormat="1" x14ac:dyDescent="0.25"/>
    <row r="98830" s="12" customFormat="1" x14ac:dyDescent="0.25"/>
    <row r="98831" s="12" customFormat="1" x14ac:dyDescent="0.25"/>
    <row r="98832" s="12" customFormat="1" x14ac:dyDescent="0.25"/>
    <row r="98833" s="12" customFormat="1" x14ac:dyDescent="0.25"/>
    <row r="98834" s="12" customFormat="1" x14ac:dyDescent="0.25"/>
    <row r="98835" s="12" customFormat="1" x14ac:dyDescent="0.25"/>
    <row r="98836" s="12" customFormat="1" x14ac:dyDescent="0.25"/>
    <row r="98837" s="12" customFormat="1" x14ac:dyDescent="0.25"/>
    <row r="98838" s="12" customFormat="1" x14ac:dyDescent="0.25"/>
    <row r="98839" s="12" customFormat="1" x14ac:dyDescent="0.25"/>
    <row r="98840" s="12" customFormat="1" x14ac:dyDescent="0.25"/>
    <row r="98841" s="12" customFormat="1" x14ac:dyDescent="0.25"/>
    <row r="98842" s="12" customFormat="1" x14ac:dyDescent="0.25"/>
    <row r="98843" s="12" customFormat="1" x14ac:dyDescent="0.25"/>
    <row r="98844" s="12" customFormat="1" x14ac:dyDescent="0.25"/>
    <row r="98845" s="12" customFormat="1" x14ac:dyDescent="0.25"/>
    <row r="98846" s="12" customFormat="1" x14ac:dyDescent="0.25"/>
    <row r="98847" s="12" customFormat="1" x14ac:dyDescent="0.25"/>
    <row r="98848" s="12" customFormat="1" x14ac:dyDescent="0.25"/>
    <row r="98849" s="12" customFormat="1" x14ac:dyDescent="0.25"/>
    <row r="98850" s="12" customFormat="1" x14ac:dyDescent="0.25"/>
    <row r="98851" s="12" customFormat="1" x14ac:dyDescent="0.25"/>
    <row r="98852" s="12" customFormat="1" x14ac:dyDescent="0.25"/>
    <row r="98853" s="12" customFormat="1" x14ac:dyDescent="0.25"/>
    <row r="98854" s="12" customFormat="1" x14ac:dyDescent="0.25"/>
    <row r="98855" s="12" customFormat="1" x14ac:dyDescent="0.25"/>
    <row r="98856" s="12" customFormat="1" x14ac:dyDescent="0.25"/>
    <row r="98857" s="12" customFormat="1" x14ac:dyDescent="0.25"/>
    <row r="98858" s="12" customFormat="1" x14ac:dyDescent="0.25"/>
    <row r="98859" s="12" customFormat="1" x14ac:dyDescent="0.25"/>
    <row r="98860" s="12" customFormat="1" x14ac:dyDescent="0.25"/>
    <row r="98861" s="12" customFormat="1" x14ac:dyDescent="0.25"/>
    <row r="98862" s="12" customFormat="1" x14ac:dyDescent="0.25"/>
    <row r="98863" s="12" customFormat="1" x14ac:dyDescent="0.25"/>
    <row r="98864" s="12" customFormat="1" x14ac:dyDescent="0.25"/>
    <row r="98865" s="12" customFormat="1" x14ac:dyDescent="0.25"/>
    <row r="98866" s="12" customFormat="1" x14ac:dyDescent="0.25"/>
    <row r="98867" s="12" customFormat="1" x14ac:dyDescent="0.25"/>
    <row r="98868" s="12" customFormat="1" x14ac:dyDescent="0.25"/>
    <row r="98869" s="12" customFormat="1" x14ac:dyDescent="0.25"/>
    <row r="98870" s="12" customFormat="1" x14ac:dyDescent="0.25"/>
    <row r="98871" s="12" customFormat="1" x14ac:dyDescent="0.25"/>
    <row r="98872" s="12" customFormat="1" x14ac:dyDescent="0.25"/>
    <row r="98873" s="12" customFormat="1" x14ac:dyDescent="0.25"/>
    <row r="98874" s="12" customFormat="1" x14ac:dyDescent="0.25"/>
    <row r="98875" s="12" customFormat="1" x14ac:dyDescent="0.25"/>
    <row r="98876" s="12" customFormat="1" x14ac:dyDescent="0.25"/>
    <row r="98877" s="12" customFormat="1" x14ac:dyDescent="0.25"/>
    <row r="98878" s="12" customFormat="1" x14ac:dyDescent="0.25"/>
    <row r="98879" s="12" customFormat="1" x14ac:dyDescent="0.25"/>
    <row r="98880" s="12" customFormat="1" x14ac:dyDescent="0.25"/>
    <row r="98881" s="12" customFormat="1" x14ac:dyDescent="0.25"/>
    <row r="98882" s="12" customFormat="1" x14ac:dyDescent="0.25"/>
    <row r="98883" s="12" customFormat="1" x14ac:dyDescent="0.25"/>
    <row r="98884" s="12" customFormat="1" x14ac:dyDescent="0.25"/>
    <row r="98885" s="12" customFormat="1" x14ac:dyDescent="0.25"/>
    <row r="98886" s="12" customFormat="1" x14ac:dyDescent="0.25"/>
    <row r="98887" s="12" customFormat="1" x14ac:dyDescent="0.25"/>
    <row r="98888" s="12" customFormat="1" x14ac:dyDescent="0.25"/>
    <row r="98889" s="12" customFormat="1" x14ac:dyDescent="0.25"/>
    <row r="98890" s="12" customFormat="1" x14ac:dyDescent="0.25"/>
    <row r="98891" s="12" customFormat="1" x14ac:dyDescent="0.25"/>
    <row r="98892" s="12" customFormat="1" x14ac:dyDescent="0.25"/>
    <row r="98893" s="12" customFormat="1" x14ac:dyDescent="0.25"/>
    <row r="98894" s="12" customFormat="1" x14ac:dyDescent="0.25"/>
    <row r="98895" s="12" customFormat="1" x14ac:dyDescent="0.25"/>
    <row r="98896" s="12" customFormat="1" x14ac:dyDescent="0.25"/>
    <row r="98897" s="12" customFormat="1" x14ac:dyDescent="0.25"/>
    <row r="98898" s="12" customFormat="1" x14ac:dyDescent="0.25"/>
    <row r="98899" s="12" customFormat="1" x14ac:dyDescent="0.25"/>
    <row r="98900" s="12" customFormat="1" x14ac:dyDescent="0.25"/>
    <row r="98901" s="12" customFormat="1" x14ac:dyDescent="0.25"/>
    <row r="98902" s="12" customFormat="1" x14ac:dyDescent="0.25"/>
    <row r="98903" s="12" customFormat="1" x14ac:dyDescent="0.25"/>
    <row r="98904" s="12" customFormat="1" x14ac:dyDescent="0.25"/>
    <row r="98905" s="12" customFormat="1" x14ac:dyDescent="0.25"/>
    <row r="98906" s="12" customFormat="1" x14ac:dyDescent="0.25"/>
    <row r="98907" s="12" customFormat="1" x14ac:dyDescent="0.25"/>
    <row r="98908" s="12" customFormat="1" x14ac:dyDescent="0.25"/>
    <row r="98909" s="12" customFormat="1" x14ac:dyDescent="0.25"/>
    <row r="98910" s="12" customFormat="1" x14ac:dyDescent="0.25"/>
    <row r="98911" s="12" customFormat="1" x14ac:dyDescent="0.25"/>
    <row r="98912" s="12" customFormat="1" x14ac:dyDescent="0.25"/>
    <row r="98913" s="12" customFormat="1" x14ac:dyDescent="0.25"/>
    <row r="98914" s="12" customFormat="1" x14ac:dyDescent="0.25"/>
    <row r="98915" s="12" customFormat="1" x14ac:dyDescent="0.25"/>
    <row r="98916" s="12" customFormat="1" x14ac:dyDescent="0.25"/>
    <row r="98917" s="12" customFormat="1" x14ac:dyDescent="0.25"/>
    <row r="98918" s="12" customFormat="1" x14ac:dyDescent="0.25"/>
    <row r="98919" s="12" customFormat="1" x14ac:dyDescent="0.25"/>
    <row r="98920" s="12" customFormat="1" x14ac:dyDescent="0.25"/>
    <row r="98921" s="12" customFormat="1" x14ac:dyDescent="0.25"/>
    <row r="98922" s="12" customFormat="1" x14ac:dyDescent="0.25"/>
    <row r="98923" s="12" customFormat="1" x14ac:dyDescent="0.25"/>
    <row r="98924" s="12" customFormat="1" x14ac:dyDescent="0.25"/>
    <row r="98925" s="12" customFormat="1" x14ac:dyDescent="0.25"/>
    <row r="98926" s="12" customFormat="1" x14ac:dyDescent="0.25"/>
    <row r="98927" s="12" customFormat="1" x14ac:dyDescent="0.25"/>
    <row r="98928" s="12" customFormat="1" x14ac:dyDescent="0.25"/>
    <row r="98929" s="12" customFormat="1" x14ac:dyDescent="0.25"/>
    <row r="98930" s="12" customFormat="1" x14ac:dyDescent="0.25"/>
    <row r="98931" s="12" customFormat="1" x14ac:dyDescent="0.25"/>
    <row r="98932" s="12" customFormat="1" x14ac:dyDescent="0.25"/>
    <row r="98933" s="12" customFormat="1" x14ac:dyDescent="0.25"/>
    <row r="98934" s="12" customFormat="1" x14ac:dyDescent="0.25"/>
    <row r="98935" s="12" customFormat="1" x14ac:dyDescent="0.25"/>
    <row r="98936" s="12" customFormat="1" x14ac:dyDescent="0.25"/>
    <row r="98937" s="12" customFormat="1" x14ac:dyDescent="0.25"/>
    <row r="98938" s="12" customFormat="1" x14ac:dyDescent="0.25"/>
    <row r="98939" s="12" customFormat="1" x14ac:dyDescent="0.25"/>
    <row r="98940" s="12" customFormat="1" x14ac:dyDescent="0.25"/>
    <row r="98941" s="12" customFormat="1" x14ac:dyDescent="0.25"/>
    <row r="98942" s="12" customFormat="1" x14ac:dyDescent="0.25"/>
    <row r="98943" s="12" customFormat="1" x14ac:dyDescent="0.25"/>
    <row r="98944" s="12" customFormat="1" x14ac:dyDescent="0.25"/>
    <row r="98945" s="12" customFormat="1" x14ac:dyDescent="0.25"/>
    <row r="98946" s="12" customFormat="1" x14ac:dyDescent="0.25"/>
    <row r="98947" s="12" customFormat="1" x14ac:dyDescent="0.25"/>
    <row r="98948" s="12" customFormat="1" x14ac:dyDescent="0.25"/>
    <row r="98949" s="12" customFormat="1" x14ac:dyDescent="0.25"/>
    <row r="98950" s="12" customFormat="1" x14ac:dyDescent="0.25"/>
    <row r="98951" s="12" customFormat="1" x14ac:dyDescent="0.25"/>
    <row r="98952" s="12" customFormat="1" x14ac:dyDescent="0.25"/>
    <row r="98953" s="12" customFormat="1" x14ac:dyDescent="0.25"/>
    <row r="98954" s="12" customFormat="1" x14ac:dyDescent="0.25"/>
    <row r="98955" s="12" customFormat="1" x14ac:dyDescent="0.25"/>
    <row r="98956" s="12" customFormat="1" x14ac:dyDescent="0.25"/>
    <row r="98957" s="12" customFormat="1" x14ac:dyDescent="0.25"/>
    <row r="98958" s="12" customFormat="1" x14ac:dyDescent="0.25"/>
    <row r="98959" s="12" customFormat="1" x14ac:dyDescent="0.25"/>
    <row r="98960" s="12" customFormat="1" x14ac:dyDescent="0.25"/>
    <row r="98961" s="12" customFormat="1" x14ac:dyDescent="0.25"/>
    <row r="98962" s="12" customFormat="1" x14ac:dyDescent="0.25"/>
    <row r="98963" s="12" customFormat="1" x14ac:dyDescent="0.25"/>
    <row r="98964" s="12" customFormat="1" x14ac:dyDescent="0.25"/>
    <row r="98965" s="12" customFormat="1" x14ac:dyDescent="0.25"/>
    <row r="98966" s="12" customFormat="1" x14ac:dyDescent="0.25"/>
    <row r="98967" s="12" customFormat="1" x14ac:dyDescent="0.25"/>
    <row r="98968" s="12" customFormat="1" x14ac:dyDescent="0.25"/>
    <row r="98969" s="12" customFormat="1" x14ac:dyDescent="0.25"/>
    <row r="98970" s="12" customFormat="1" x14ac:dyDescent="0.25"/>
    <row r="98971" s="12" customFormat="1" x14ac:dyDescent="0.25"/>
    <row r="98972" s="12" customFormat="1" x14ac:dyDescent="0.25"/>
    <row r="98973" s="12" customFormat="1" x14ac:dyDescent="0.25"/>
    <row r="98974" s="12" customFormat="1" x14ac:dyDescent="0.25"/>
    <row r="98975" s="12" customFormat="1" x14ac:dyDescent="0.25"/>
    <row r="98976" s="12" customFormat="1" x14ac:dyDescent="0.25"/>
    <row r="98977" s="12" customFormat="1" x14ac:dyDescent="0.25"/>
    <row r="98978" s="12" customFormat="1" x14ac:dyDescent="0.25"/>
    <row r="98979" s="12" customFormat="1" x14ac:dyDescent="0.25"/>
    <row r="98980" s="12" customFormat="1" x14ac:dyDescent="0.25"/>
    <row r="98981" s="12" customFormat="1" x14ac:dyDescent="0.25"/>
    <row r="98982" s="12" customFormat="1" x14ac:dyDescent="0.25"/>
    <row r="98983" s="12" customFormat="1" x14ac:dyDescent="0.25"/>
    <row r="98984" s="12" customFormat="1" x14ac:dyDescent="0.25"/>
    <row r="98985" s="12" customFormat="1" x14ac:dyDescent="0.25"/>
    <row r="98986" s="12" customFormat="1" x14ac:dyDescent="0.25"/>
    <row r="98987" s="12" customFormat="1" x14ac:dyDescent="0.25"/>
    <row r="98988" s="12" customFormat="1" x14ac:dyDescent="0.25"/>
    <row r="98989" s="12" customFormat="1" x14ac:dyDescent="0.25"/>
    <row r="98990" s="12" customFormat="1" x14ac:dyDescent="0.25"/>
    <row r="98991" s="12" customFormat="1" x14ac:dyDescent="0.25"/>
    <row r="98992" s="12" customFormat="1" x14ac:dyDescent="0.25"/>
    <row r="98993" s="12" customFormat="1" x14ac:dyDescent="0.25"/>
    <row r="98994" s="12" customFormat="1" x14ac:dyDescent="0.25"/>
    <row r="98995" s="12" customFormat="1" x14ac:dyDescent="0.25"/>
    <row r="98996" s="12" customFormat="1" x14ac:dyDescent="0.25"/>
    <row r="98997" s="12" customFormat="1" x14ac:dyDescent="0.25"/>
    <row r="98998" s="12" customFormat="1" x14ac:dyDescent="0.25"/>
    <row r="98999" s="12" customFormat="1" x14ac:dyDescent="0.25"/>
    <row r="99000" s="12" customFormat="1" x14ac:dyDescent="0.25"/>
    <row r="99001" s="12" customFormat="1" x14ac:dyDescent="0.25"/>
    <row r="99002" s="12" customFormat="1" x14ac:dyDescent="0.25"/>
    <row r="99003" s="12" customFormat="1" x14ac:dyDescent="0.25"/>
    <row r="99004" s="12" customFormat="1" x14ac:dyDescent="0.25"/>
    <row r="99005" s="12" customFormat="1" x14ac:dyDescent="0.25"/>
    <row r="99006" s="12" customFormat="1" x14ac:dyDescent="0.25"/>
    <row r="99007" s="12" customFormat="1" x14ac:dyDescent="0.25"/>
    <row r="99008" s="12" customFormat="1" x14ac:dyDescent="0.25"/>
    <row r="99009" s="12" customFormat="1" x14ac:dyDescent="0.25"/>
    <row r="99010" s="12" customFormat="1" x14ac:dyDescent="0.25"/>
    <row r="99011" s="12" customFormat="1" x14ac:dyDescent="0.25"/>
    <row r="99012" s="12" customFormat="1" x14ac:dyDescent="0.25"/>
    <row r="99013" s="12" customFormat="1" x14ac:dyDescent="0.25"/>
    <row r="99014" s="12" customFormat="1" x14ac:dyDescent="0.25"/>
    <row r="99015" s="12" customFormat="1" x14ac:dyDescent="0.25"/>
    <row r="99016" s="12" customFormat="1" x14ac:dyDescent="0.25"/>
    <row r="99017" s="12" customFormat="1" x14ac:dyDescent="0.25"/>
    <row r="99018" s="12" customFormat="1" x14ac:dyDescent="0.25"/>
    <row r="99019" s="12" customFormat="1" x14ac:dyDescent="0.25"/>
    <row r="99020" s="12" customFormat="1" x14ac:dyDescent="0.25"/>
    <row r="99021" s="12" customFormat="1" x14ac:dyDescent="0.25"/>
    <row r="99022" s="12" customFormat="1" x14ac:dyDescent="0.25"/>
    <row r="99023" s="12" customFormat="1" x14ac:dyDescent="0.25"/>
    <row r="99024" s="12" customFormat="1" x14ac:dyDescent="0.25"/>
    <row r="99025" s="12" customFormat="1" x14ac:dyDescent="0.25"/>
    <row r="99026" s="12" customFormat="1" x14ac:dyDescent="0.25"/>
    <row r="99027" s="12" customFormat="1" x14ac:dyDescent="0.25"/>
    <row r="99028" s="12" customFormat="1" x14ac:dyDescent="0.25"/>
    <row r="99029" s="12" customFormat="1" x14ac:dyDescent="0.25"/>
    <row r="99030" s="12" customFormat="1" x14ac:dyDescent="0.25"/>
    <row r="99031" s="12" customFormat="1" x14ac:dyDescent="0.25"/>
    <row r="99032" s="12" customFormat="1" x14ac:dyDescent="0.25"/>
    <row r="99033" s="12" customFormat="1" x14ac:dyDescent="0.25"/>
    <row r="99034" s="12" customFormat="1" x14ac:dyDescent="0.25"/>
    <row r="99035" s="12" customFormat="1" x14ac:dyDescent="0.25"/>
    <row r="99036" s="12" customFormat="1" x14ac:dyDescent="0.25"/>
    <row r="99037" s="12" customFormat="1" x14ac:dyDescent="0.25"/>
    <row r="99038" s="12" customFormat="1" x14ac:dyDescent="0.25"/>
    <row r="99039" s="12" customFormat="1" x14ac:dyDescent="0.25"/>
    <row r="99040" s="12" customFormat="1" x14ac:dyDescent="0.25"/>
    <row r="99041" s="12" customFormat="1" x14ac:dyDescent="0.25"/>
    <row r="99042" s="12" customFormat="1" x14ac:dyDescent="0.25"/>
    <row r="99043" s="12" customFormat="1" x14ac:dyDescent="0.25"/>
    <row r="99044" s="12" customFormat="1" x14ac:dyDescent="0.25"/>
    <row r="99045" s="12" customFormat="1" x14ac:dyDescent="0.25"/>
    <row r="99046" s="12" customFormat="1" x14ac:dyDescent="0.25"/>
    <row r="99047" s="12" customFormat="1" x14ac:dyDescent="0.25"/>
    <row r="99048" s="12" customFormat="1" x14ac:dyDescent="0.25"/>
    <row r="99049" s="12" customFormat="1" x14ac:dyDescent="0.25"/>
    <row r="99050" s="12" customFormat="1" x14ac:dyDescent="0.25"/>
    <row r="99051" s="12" customFormat="1" x14ac:dyDescent="0.25"/>
    <row r="99052" s="12" customFormat="1" x14ac:dyDescent="0.25"/>
    <row r="99053" s="12" customFormat="1" x14ac:dyDescent="0.25"/>
    <row r="99054" s="12" customFormat="1" x14ac:dyDescent="0.25"/>
    <row r="99055" s="12" customFormat="1" x14ac:dyDescent="0.25"/>
    <row r="99056" s="12" customFormat="1" x14ac:dyDescent="0.25"/>
    <row r="99057" s="12" customFormat="1" x14ac:dyDescent="0.25"/>
    <row r="99058" s="12" customFormat="1" x14ac:dyDescent="0.25"/>
    <row r="99059" s="12" customFormat="1" x14ac:dyDescent="0.25"/>
    <row r="99060" s="12" customFormat="1" x14ac:dyDescent="0.25"/>
    <row r="99061" s="12" customFormat="1" x14ac:dyDescent="0.25"/>
    <row r="99062" s="12" customFormat="1" x14ac:dyDescent="0.25"/>
    <row r="99063" s="12" customFormat="1" x14ac:dyDescent="0.25"/>
    <row r="99064" s="12" customFormat="1" x14ac:dyDescent="0.25"/>
    <row r="99065" s="12" customFormat="1" x14ac:dyDescent="0.25"/>
    <row r="99066" s="12" customFormat="1" x14ac:dyDescent="0.25"/>
    <row r="99067" s="12" customFormat="1" x14ac:dyDescent="0.25"/>
    <row r="99068" s="12" customFormat="1" x14ac:dyDescent="0.25"/>
    <row r="99069" s="12" customFormat="1" x14ac:dyDescent="0.25"/>
    <row r="99070" s="12" customFormat="1" x14ac:dyDescent="0.25"/>
    <row r="99071" s="12" customFormat="1" x14ac:dyDescent="0.25"/>
    <row r="99072" s="12" customFormat="1" x14ac:dyDescent="0.25"/>
    <row r="99073" s="12" customFormat="1" x14ac:dyDescent="0.25"/>
    <row r="99074" s="12" customFormat="1" x14ac:dyDescent="0.25"/>
    <row r="99075" s="12" customFormat="1" x14ac:dyDescent="0.25"/>
    <row r="99076" s="12" customFormat="1" x14ac:dyDescent="0.25"/>
    <row r="99077" s="12" customFormat="1" x14ac:dyDescent="0.25"/>
    <row r="99078" s="12" customFormat="1" x14ac:dyDescent="0.25"/>
    <row r="99079" s="12" customFormat="1" x14ac:dyDescent="0.25"/>
    <row r="99080" s="12" customFormat="1" x14ac:dyDescent="0.25"/>
    <row r="99081" s="12" customFormat="1" x14ac:dyDescent="0.25"/>
    <row r="99082" s="12" customFormat="1" x14ac:dyDescent="0.25"/>
    <row r="99083" s="12" customFormat="1" x14ac:dyDescent="0.25"/>
    <row r="99084" s="12" customFormat="1" x14ac:dyDescent="0.25"/>
    <row r="99085" s="12" customFormat="1" x14ac:dyDescent="0.25"/>
    <row r="99086" s="12" customFormat="1" x14ac:dyDescent="0.25"/>
    <row r="99087" s="12" customFormat="1" x14ac:dyDescent="0.25"/>
    <row r="99088" s="12" customFormat="1" x14ac:dyDescent="0.25"/>
    <row r="99089" s="12" customFormat="1" x14ac:dyDescent="0.25"/>
    <row r="99090" s="12" customFormat="1" x14ac:dyDescent="0.25"/>
    <row r="99091" s="12" customFormat="1" x14ac:dyDescent="0.25"/>
    <row r="99092" s="12" customFormat="1" x14ac:dyDescent="0.25"/>
    <row r="99093" s="12" customFormat="1" x14ac:dyDescent="0.25"/>
    <row r="99094" s="12" customFormat="1" x14ac:dyDescent="0.25"/>
    <row r="99095" s="12" customFormat="1" x14ac:dyDescent="0.25"/>
    <row r="99096" s="12" customFormat="1" x14ac:dyDescent="0.25"/>
    <row r="99097" s="12" customFormat="1" x14ac:dyDescent="0.25"/>
    <row r="99098" s="12" customFormat="1" x14ac:dyDescent="0.25"/>
    <row r="99099" s="12" customFormat="1" x14ac:dyDescent="0.25"/>
    <row r="99100" s="12" customFormat="1" x14ac:dyDescent="0.25"/>
    <row r="99101" s="12" customFormat="1" x14ac:dyDescent="0.25"/>
    <row r="99102" s="12" customFormat="1" x14ac:dyDescent="0.25"/>
    <row r="99103" s="12" customFormat="1" x14ac:dyDescent="0.25"/>
    <row r="99104" s="12" customFormat="1" x14ac:dyDescent="0.25"/>
    <row r="99105" s="12" customFormat="1" x14ac:dyDescent="0.25"/>
    <row r="99106" s="12" customFormat="1" x14ac:dyDescent="0.25"/>
    <row r="99107" s="12" customFormat="1" x14ac:dyDescent="0.25"/>
    <row r="99108" s="12" customFormat="1" x14ac:dyDescent="0.25"/>
    <row r="99109" s="12" customFormat="1" x14ac:dyDescent="0.25"/>
    <row r="99110" s="12" customFormat="1" x14ac:dyDescent="0.25"/>
    <row r="99111" s="12" customFormat="1" x14ac:dyDescent="0.25"/>
    <row r="99112" s="12" customFormat="1" x14ac:dyDescent="0.25"/>
    <row r="99113" s="12" customFormat="1" x14ac:dyDescent="0.25"/>
    <row r="99114" s="12" customFormat="1" x14ac:dyDescent="0.25"/>
    <row r="99115" s="12" customFormat="1" x14ac:dyDescent="0.25"/>
    <row r="99116" s="12" customFormat="1" x14ac:dyDescent="0.25"/>
    <row r="99117" s="12" customFormat="1" x14ac:dyDescent="0.25"/>
    <row r="99118" s="12" customFormat="1" x14ac:dyDescent="0.25"/>
    <row r="99119" s="12" customFormat="1" x14ac:dyDescent="0.25"/>
    <row r="99120" s="12" customFormat="1" x14ac:dyDescent="0.25"/>
    <row r="99121" s="12" customFormat="1" x14ac:dyDescent="0.25"/>
    <row r="99122" s="12" customFormat="1" x14ac:dyDescent="0.25"/>
    <row r="99123" s="12" customFormat="1" x14ac:dyDescent="0.25"/>
    <row r="99124" s="12" customFormat="1" x14ac:dyDescent="0.25"/>
    <row r="99125" s="12" customFormat="1" x14ac:dyDescent="0.25"/>
    <row r="99126" s="12" customFormat="1" x14ac:dyDescent="0.25"/>
    <row r="99127" s="12" customFormat="1" x14ac:dyDescent="0.25"/>
    <row r="99128" s="12" customFormat="1" x14ac:dyDescent="0.25"/>
    <row r="99129" s="12" customFormat="1" x14ac:dyDescent="0.25"/>
    <row r="99130" s="12" customFormat="1" x14ac:dyDescent="0.25"/>
    <row r="99131" s="12" customFormat="1" x14ac:dyDescent="0.25"/>
    <row r="99132" s="12" customFormat="1" x14ac:dyDescent="0.25"/>
    <row r="99133" s="12" customFormat="1" x14ac:dyDescent="0.25"/>
    <row r="99134" s="12" customFormat="1" x14ac:dyDescent="0.25"/>
    <row r="99135" s="12" customFormat="1" x14ac:dyDescent="0.25"/>
    <row r="99136" s="12" customFormat="1" x14ac:dyDescent="0.25"/>
    <row r="99137" s="12" customFormat="1" x14ac:dyDescent="0.25"/>
    <row r="99138" s="12" customFormat="1" x14ac:dyDescent="0.25"/>
    <row r="99139" s="12" customFormat="1" x14ac:dyDescent="0.25"/>
    <row r="99140" s="12" customFormat="1" x14ac:dyDescent="0.25"/>
    <row r="99141" s="12" customFormat="1" x14ac:dyDescent="0.25"/>
    <row r="99142" s="12" customFormat="1" x14ac:dyDescent="0.25"/>
    <row r="99143" s="12" customFormat="1" x14ac:dyDescent="0.25"/>
    <row r="99144" s="12" customFormat="1" x14ac:dyDescent="0.25"/>
    <row r="99145" s="12" customFormat="1" x14ac:dyDescent="0.25"/>
    <row r="99146" s="12" customFormat="1" x14ac:dyDescent="0.25"/>
    <row r="99147" s="12" customFormat="1" x14ac:dyDescent="0.25"/>
    <row r="99148" s="12" customFormat="1" x14ac:dyDescent="0.25"/>
    <row r="99149" s="12" customFormat="1" x14ac:dyDescent="0.25"/>
    <row r="99150" s="12" customFormat="1" x14ac:dyDescent="0.25"/>
    <row r="99151" s="12" customFormat="1" x14ac:dyDescent="0.25"/>
    <row r="99152" s="12" customFormat="1" x14ac:dyDescent="0.25"/>
    <row r="99153" s="12" customFormat="1" x14ac:dyDescent="0.25"/>
    <row r="99154" s="12" customFormat="1" x14ac:dyDescent="0.25"/>
    <row r="99155" s="12" customFormat="1" x14ac:dyDescent="0.25"/>
    <row r="99156" s="12" customFormat="1" x14ac:dyDescent="0.25"/>
    <row r="99157" s="12" customFormat="1" x14ac:dyDescent="0.25"/>
    <row r="99158" s="12" customFormat="1" x14ac:dyDescent="0.25"/>
    <row r="99159" s="12" customFormat="1" x14ac:dyDescent="0.25"/>
    <row r="99160" s="12" customFormat="1" x14ac:dyDescent="0.25"/>
    <row r="99161" s="12" customFormat="1" x14ac:dyDescent="0.25"/>
    <row r="99162" s="12" customFormat="1" x14ac:dyDescent="0.25"/>
    <row r="99163" s="12" customFormat="1" x14ac:dyDescent="0.25"/>
    <row r="99164" s="12" customFormat="1" x14ac:dyDescent="0.25"/>
    <row r="99165" s="12" customFormat="1" x14ac:dyDescent="0.25"/>
    <row r="99166" s="12" customFormat="1" x14ac:dyDescent="0.25"/>
    <row r="99167" s="12" customFormat="1" x14ac:dyDescent="0.25"/>
    <row r="99168" s="12" customFormat="1" x14ac:dyDescent="0.25"/>
    <row r="99169" s="12" customFormat="1" x14ac:dyDescent="0.25"/>
    <row r="99170" s="12" customFormat="1" x14ac:dyDescent="0.25"/>
    <row r="99171" s="12" customFormat="1" x14ac:dyDescent="0.25"/>
    <row r="99172" s="12" customFormat="1" x14ac:dyDescent="0.25"/>
    <row r="99173" s="12" customFormat="1" x14ac:dyDescent="0.25"/>
    <row r="99174" s="12" customFormat="1" x14ac:dyDescent="0.25"/>
    <row r="99175" s="12" customFormat="1" x14ac:dyDescent="0.25"/>
    <row r="99176" s="12" customFormat="1" x14ac:dyDescent="0.25"/>
    <row r="99177" s="12" customFormat="1" x14ac:dyDescent="0.25"/>
    <row r="99178" s="12" customFormat="1" x14ac:dyDescent="0.25"/>
    <row r="99179" s="12" customFormat="1" x14ac:dyDescent="0.25"/>
    <row r="99180" s="12" customFormat="1" x14ac:dyDescent="0.25"/>
    <row r="99181" s="12" customFormat="1" x14ac:dyDescent="0.25"/>
    <row r="99182" s="12" customFormat="1" x14ac:dyDescent="0.25"/>
    <row r="99183" s="12" customFormat="1" x14ac:dyDescent="0.25"/>
    <row r="99184" s="12" customFormat="1" x14ac:dyDescent="0.25"/>
    <row r="99185" s="12" customFormat="1" x14ac:dyDescent="0.25"/>
    <row r="99186" s="12" customFormat="1" x14ac:dyDescent="0.25"/>
    <row r="99187" s="12" customFormat="1" x14ac:dyDescent="0.25"/>
    <row r="99188" s="12" customFormat="1" x14ac:dyDescent="0.25"/>
    <row r="99189" s="12" customFormat="1" x14ac:dyDescent="0.25"/>
    <row r="99190" s="12" customFormat="1" x14ac:dyDescent="0.25"/>
    <row r="99191" s="12" customFormat="1" x14ac:dyDescent="0.25"/>
    <row r="99192" s="12" customFormat="1" x14ac:dyDescent="0.25"/>
    <row r="99193" s="12" customFormat="1" x14ac:dyDescent="0.25"/>
    <row r="99194" s="12" customFormat="1" x14ac:dyDescent="0.25"/>
    <row r="99195" s="12" customFormat="1" x14ac:dyDescent="0.25"/>
    <row r="99196" s="12" customFormat="1" x14ac:dyDescent="0.25"/>
    <row r="99197" s="12" customFormat="1" x14ac:dyDescent="0.25"/>
    <row r="99198" s="12" customFormat="1" x14ac:dyDescent="0.25"/>
    <row r="99199" s="12" customFormat="1" x14ac:dyDescent="0.25"/>
    <row r="99200" s="12" customFormat="1" x14ac:dyDescent="0.25"/>
    <row r="99201" s="12" customFormat="1" x14ac:dyDescent="0.25"/>
    <row r="99202" s="12" customFormat="1" x14ac:dyDescent="0.25"/>
    <row r="99203" s="12" customFormat="1" x14ac:dyDescent="0.25"/>
    <row r="99204" s="12" customFormat="1" x14ac:dyDescent="0.25"/>
    <row r="99205" s="12" customFormat="1" x14ac:dyDescent="0.25"/>
    <row r="99206" s="12" customFormat="1" x14ac:dyDescent="0.25"/>
    <row r="99207" s="12" customFormat="1" x14ac:dyDescent="0.25"/>
    <row r="99208" s="12" customFormat="1" x14ac:dyDescent="0.25"/>
    <row r="99209" s="12" customFormat="1" x14ac:dyDescent="0.25"/>
    <row r="99210" s="12" customFormat="1" x14ac:dyDescent="0.25"/>
    <row r="99211" s="12" customFormat="1" x14ac:dyDescent="0.25"/>
    <row r="99212" s="12" customFormat="1" x14ac:dyDescent="0.25"/>
    <row r="99213" s="12" customFormat="1" x14ac:dyDescent="0.25"/>
    <row r="99214" s="12" customFormat="1" x14ac:dyDescent="0.25"/>
    <row r="99215" s="12" customFormat="1" x14ac:dyDescent="0.25"/>
    <row r="99216" s="12" customFormat="1" x14ac:dyDescent="0.25"/>
    <row r="99217" s="12" customFormat="1" x14ac:dyDescent="0.25"/>
    <row r="99218" s="12" customFormat="1" x14ac:dyDescent="0.25"/>
    <row r="99219" s="12" customFormat="1" x14ac:dyDescent="0.25"/>
    <row r="99220" s="12" customFormat="1" x14ac:dyDescent="0.25"/>
    <row r="99221" s="12" customFormat="1" x14ac:dyDescent="0.25"/>
    <row r="99222" s="12" customFormat="1" x14ac:dyDescent="0.25"/>
    <row r="99223" s="12" customFormat="1" x14ac:dyDescent="0.25"/>
    <row r="99224" s="12" customFormat="1" x14ac:dyDescent="0.25"/>
    <row r="99225" s="12" customFormat="1" x14ac:dyDescent="0.25"/>
    <row r="99226" s="12" customFormat="1" x14ac:dyDescent="0.25"/>
    <row r="99227" s="12" customFormat="1" x14ac:dyDescent="0.25"/>
    <row r="99228" s="12" customFormat="1" x14ac:dyDescent="0.25"/>
    <row r="99229" s="12" customFormat="1" x14ac:dyDescent="0.25"/>
    <row r="99230" s="12" customFormat="1" x14ac:dyDescent="0.25"/>
    <row r="99231" s="12" customFormat="1" x14ac:dyDescent="0.25"/>
    <row r="99232" s="12" customFormat="1" x14ac:dyDescent="0.25"/>
    <row r="99233" s="12" customFormat="1" x14ac:dyDescent="0.25"/>
    <row r="99234" s="12" customFormat="1" x14ac:dyDescent="0.25"/>
    <row r="99235" s="12" customFormat="1" x14ac:dyDescent="0.25"/>
    <row r="99236" s="12" customFormat="1" x14ac:dyDescent="0.25"/>
    <row r="99237" s="12" customFormat="1" x14ac:dyDescent="0.25"/>
    <row r="99238" s="12" customFormat="1" x14ac:dyDescent="0.25"/>
    <row r="99239" s="12" customFormat="1" x14ac:dyDescent="0.25"/>
    <row r="99240" s="12" customFormat="1" x14ac:dyDescent="0.25"/>
    <row r="99241" s="12" customFormat="1" x14ac:dyDescent="0.25"/>
    <row r="99242" s="12" customFormat="1" x14ac:dyDescent="0.25"/>
    <row r="99243" s="12" customFormat="1" x14ac:dyDescent="0.25"/>
    <row r="99244" s="12" customFormat="1" x14ac:dyDescent="0.25"/>
    <row r="99245" s="12" customFormat="1" x14ac:dyDescent="0.25"/>
    <row r="99246" s="12" customFormat="1" x14ac:dyDescent="0.25"/>
    <row r="99247" s="12" customFormat="1" x14ac:dyDescent="0.25"/>
    <row r="99248" s="12" customFormat="1" x14ac:dyDescent="0.25"/>
    <row r="99249" s="12" customFormat="1" x14ac:dyDescent="0.25"/>
    <row r="99250" s="12" customFormat="1" x14ac:dyDescent="0.25"/>
    <row r="99251" s="12" customFormat="1" x14ac:dyDescent="0.25"/>
    <row r="99252" s="12" customFormat="1" x14ac:dyDescent="0.25"/>
    <row r="99253" s="12" customFormat="1" x14ac:dyDescent="0.25"/>
    <row r="99254" s="12" customFormat="1" x14ac:dyDescent="0.25"/>
    <row r="99255" s="12" customFormat="1" x14ac:dyDescent="0.25"/>
    <row r="99256" s="12" customFormat="1" x14ac:dyDescent="0.25"/>
    <row r="99257" s="12" customFormat="1" x14ac:dyDescent="0.25"/>
    <row r="99258" s="12" customFormat="1" x14ac:dyDescent="0.25"/>
    <row r="99259" s="12" customFormat="1" x14ac:dyDescent="0.25"/>
    <row r="99260" s="12" customFormat="1" x14ac:dyDescent="0.25"/>
    <row r="99261" s="12" customFormat="1" x14ac:dyDescent="0.25"/>
    <row r="99262" s="12" customFormat="1" x14ac:dyDescent="0.25"/>
    <row r="99263" s="12" customFormat="1" x14ac:dyDescent="0.25"/>
    <row r="99264" s="12" customFormat="1" x14ac:dyDescent="0.25"/>
    <row r="99265" s="12" customFormat="1" x14ac:dyDescent="0.25"/>
    <row r="99266" s="12" customFormat="1" x14ac:dyDescent="0.25"/>
    <row r="99267" s="12" customFormat="1" x14ac:dyDescent="0.25"/>
    <row r="99268" s="12" customFormat="1" x14ac:dyDescent="0.25"/>
    <row r="99269" s="12" customFormat="1" x14ac:dyDescent="0.25"/>
    <row r="99270" s="12" customFormat="1" x14ac:dyDescent="0.25"/>
    <row r="99271" s="12" customFormat="1" x14ac:dyDescent="0.25"/>
    <row r="99272" s="12" customFormat="1" x14ac:dyDescent="0.25"/>
    <row r="99273" s="12" customFormat="1" x14ac:dyDescent="0.25"/>
    <row r="99274" s="12" customFormat="1" x14ac:dyDescent="0.25"/>
    <row r="99275" s="12" customFormat="1" x14ac:dyDescent="0.25"/>
    <row r="99276" s="12" customFormat="1" x14ac:dyDescent="0.25"/>
    <row r="99277" s="12" customFormat="1" x14ac:dyDescent="0.25"/>
    <row r="99278" s="12" customFormat="1" x14ac:dyDescent="0.25"/>
    <row r="99279" s="12" customFormat="1" x14ac:dyDescent="0.25"/>
    <row r="99280" s="12" customFormat="1" x14ac:dyDescent="0.25"/>
    <row r="99281" s="12" customFormat="1" x14ac:dyDescent="0.25"/>
    <row r="99282" s="12" customFormat="1" x14ac:dyDescent="0.25"/>
    <row r="99283" s="12" customFormat="1" x14ac:dyDescent="0.25"/>
    <row r="99284" s="12" customFormat="1" x14ac:dyDescent="0.25"/>
    <row r="99285" s="12" customFormat="1" x14ac:dyDescent="0.25"/>
    <row r="99286" s="12" customFormat="1" x14ac:dyDescent="0.25"/>
    <row r="99287" s="12" customFormat="1" x14ac:dyDescent="0.25"/>
    <row r="99288" s="12" customFormat="1" x14ac:dyDescent="0.25"/>
    <row r="99289" s="12" customFormat="1" x14ac:dyDescent="0.25"/>
    <row r="99290" s="12" customFormat="1" x14ac:dyDescent="0.25"/>
    <row r="99291" s="12" customFormat="1" x14ac:dyDescent="0.25"/>
    <row r="99292" s="12" customFormat="1" x14ac:dyDescent="0.25"/>
    <row r="99293" s="12" customFormat="1" x14ac:dyDescent="0.25"/>
    <row r="99294" s="12" customFormat="1" x14ac:dyDescent="0.25"/>
    <row r="99295" s="12" customFormat="1" x14ac:dyDescent="0.25"/>
    <row r="99296" s="12" customFormat="1" x14ac:dyDescent="0.25"/>
    <row r="99297" s="12" customFormat="1" x14ac:dyDescent="0.25"/>
    <row r="99298" s="12" customFormat="1" x14ac:dyDescent="0.25"/>
    <row r="99299" s="12" customFormat="1" x14ac:dyDescent="0.25"/>
    <row r="99300" s="12" customFormat="1" x14ac:dyDescent="0.25"/>
    <row r="99301" s="12" customFormat="1" x14ac:dyDescent="0.25"/>
    <row r="99302" s="12" customFormat="1" x14ac:dyDescent="0.25"/>
    <row r="99303" s="12" customFormat="1" x14ac:dyDescent="0.25"/>
    <row r="99304" s="12" customFormat="1" x14ac:dyDescent="0.25"/>
    <row r="99305" s="12" customFormat="1" x14ac:dyDescent="0.25"/>
    <row r="99306" s="12" customFormat="1" x14ac:dyDescent="0.25"/>
    <row r="99307" s="12" customFormat="1" x14ac:dyDescent="0.25"/>
    <row r="99308" s="12" customFormat="1" x14ac:dyDescent="0.25"/>
    <row r="99309" s="12" customFormat="1" x14ac:dyDescent="0.25"/>
    <row r="99310" s="12" customFormat="1" x14ac:dyDescent="0.25"/>
    <row r="99311" s="12" customFormat="1" x14ac:dyDescent="0.25"/>
    <row r="99312" s="12" customFormat="1" x14ac:dyDescent="0.25"/>
    <row r="99313" s="12" customFormat="1" x14ac:dyDescent="0.25"/>
    <row r="99314" s="12" customFormat="1" x14ac:dyDescent="0.25"/>
    <row r="99315" s="12" customFormat="1" x14ac:dyDescent="0.25"/>
    <row r="99316" s="12" customFormat="1" x14ac:dyDescent="0.25"/>
    <row r="99317" s="12" customFormat="1" x14ac:dyDescent="0.25"/>
    <row r="99318" s="12" customFormat="1" x14ac:dyDescent="0.25"/>
    <row r="99319" s="12" customFormat="1" x14ac:dyDescent="0.25"/>
    <row r="99320" s="12" customFormat="1" x14ac:dyDescent="0.25"/>
    <row r="99321" s="12" customFormat="1" x14ac:dyDescent="0.25"/>
    <row r="99322" s="12" customFormat="1" x14ac:dyDescent="0.25"/>
    <row r="99323" s="12" customFormat="1" x14ac:dyDescent="0.25"/>
    <row r="99324" s="12" customFormat="1" x14ac:dyDescent="0.25"/>
    <row r="99325" s="12" customFormat="1" x14ac:dyDescent="0.25"/>
    <row r="99326" s="12" customFormat="1" x14ac:dyDescent="0.25"/>
    <row r="99327" s="12" customFormat="1" x14ac:dyDescent="0.25"/>
    <row r="99328" s="12" customFormat="1" x14ac:dyDescent="0.25"/>
    <row r="99329" s="12" customFormat="1" x14ac:dyDescent="0.25"/>
    <row r="99330" s="12" customFormat="1" x14ac:dyDescent="0.25"/>
    <row r="99331" s="12" customFormat="1" x14ac:dyDescent="0.25"/>
    <row r="99332" s="12" customFormat="1" x14ac:dyDescent="0.25"/>
    <row r="99333" s="12" customFormat="1" x14ac:dyDescent="0.25"/>
    <row r="99334" s="12" customFormat="1" x14ac:dyDescent="0.25"/>
    <row r="99335" s="12" customFormat="1" x14ac:dyDescent="0.25"/>
    <row r="99336" s="12" customFormat="1" x14ac:dyDescent="0.25"/>
    <row r="99337" s="12" customFormat="1" x14ac:dyDescent="0.25"/>
    <row r="99338" s="12" customFormat="1" x14ac:dyDescent="0.25"/>
    <row r="99339" s="12" customFormat="1" x14ac:dyDescent="0.25"/>
    <row r="99340" s="12" customFormat="1" x14ac:dyDescent="0.25"/>
    <row r="99341" s="12" customFormat="1" x14ac:dyDescent="0.25"/>
    <row r="99342" s="12" customFormat="1" x14ac:dyDescent="0.25"/>
    <row r="99343" s="12" customFormat="1" x14ac:dyDescent="0.25"/>
    <row r="99344" s="12" customFormat="1" x14ac:dyDescent="0.25"/>
    <row r="99345" s="12" customFormat="1" x14ac:dyDescent="0.25"/>
    <row r="99346" s="12" customFormat="1" x14ac:dyDescent="0.25"/>
    <row r="99347" s="12" customFormat="1" x14ac:dyDescent="0.25"/>
    <row r="99348" s="12" customFormat="1" x14ac:dyDescent="0.25"/>
    <row r="99349" s="12" customFormat="1" x14ac:dyDescent="0.25"/>
    <row r="99350" s="12" customFormat="1" x14ac:dyDescent="0.25"/>
    <row r="99351" s="12" customFormat="1" x14ac:dyDescent="0.25"/>
    <row r="99352" s="12" customFormat="1" x14ac:dyDescent="0.25"/>
    <row r="99353" s="12" customFormat="1" x14ac:dyDescent="0.25"/>
    <row r="99354" s="12" customFormat="1" x14ac:dyDescent="0.25"/>
    <row r="99355" s="12" customFormat="1" x14ac:dyDescent="0.25"/>
    <row r="99356" s="12" customFormat="1" x14ac:dyDescent="0.25"/>
    <row r="99357" s="12" customFormat="1" x14ac:dyDescent="0.25"/>
    <row r="99358" s="12" customFormat="1" x14ac:dyDescent="0.25"/>
    <row r="99359" s="12" customFormat="1" x14ac:dyDescent="0.25"/>
    <row r="99360" s="12" customFormat="1" x14ac:dyDescent="0.25"/>
    <row r="99361" s="12" customFormat="1" x14ac:dyDescent="0.25"/>
    <row r="99362" s="12" customFormat="1" x14ac:dyDescent="0.25"/>
    <row r="99363" s="12" customFormat="1" x14ac:dyDescent="0.25"/>
    <row r="99364" s="12" customFormat="1" x14ac:dyDescent="0.25"/>
    <row r="99365" s="12" customFormat="1" x14ac:dyDescent="0.25"/>
    <row r="99366" s="12" customFormat="1" x14ac:dyDescent="0.25"/>
    <row r="99367" s="12" customFormat="1" x14ac:dyDescent="0.25"/>
    <row r="99368" s="12" customFormat="1" x14ac:dyDescent="0.25"/>
    <row r="99369" s="12" customFormat="1" x14ac:dyDescent="0.25"/>
    <row r="99370" s="12" customFormat="1" x14ac:dyDescent="0.25"/>
    <row r="99371" s="12" customFormat="1" x14ac:dyDescent="0.25"/>
    <row r="99372" s="12" customFormat="1" x14ac:dyDescent="0.25"/>
    <row r="99373" s="12" customFormat="1" x14ac:dyDescent="0.25"/>
    <row r="99374" s="12" customFormat="1" x14ac:dyDescent="0.25"/>
    <row r="99375" s="12" customFormat="1" x14ac:dyDescent="0.25"/>
    <row r="99376" s="12" customFormat="1" x14ac:dyDescent="0.25"/>
    <row r="99377" s="12" customFormat="1" x14ac:dyDescent="0.25"/>
    <row r="99378" s="12" customFormat="1" x14ac:dyDescent="0.25"/>
    <row r="99379" s="12" customFormat="1" x14ac:dyDescent="0.25"/>
    <row r="99380" s="12" customFormat="1" x14ac:dyDescent="0.25"/>
    <row r="99381" s="12" customFormat="1" x14ac:dyDescent="0.25"/>
    <row r="99382" s="12" customFormat="1" x14ac:dyDescent="0.25"/>
    <row r="99383" s="12" customFormat="1" x14ac:dyDescent="0.25"/>
    <row r="99384" s="12" customFormat="1" x14ac:dyDescent="0.25"/>
    <row r="99385" s="12" customFormat="1" x14ac:dyDescent="0.25"/>
    <row r="99386" s="12" customFormat="1" x14ac:dyDescent="0.25"/>
    <row r="99387" s="12" customFormat="1" x14ac:dyDescent="0.25"/>
    <row r="99388" s="12" customFormat="1" x14ac:dyDescent="0.25"/>
    <row r="99389" s="12" customFormat="1" x14ac:dyDescent="0.25"/>
    <row r="99390" s="12" customFormat="1" x14ac:dyDescent="0.25"/>
    <row r="99391" s="12" customFormat="1" x14ac:dyDescent="0.25"/>
    <row r="99392" s="12" customFormat="1" x14ac:dyDescent="0.25"/>
    <row r="99393" s="12" customFormat="1" x14ac:dyDescent="0.25"/>
    <row r="99394" s="12" customFormat="1" x14ac:dyDescent="0.25"/>
    <row r="99395" s="12" customFormat="1" x14ac:dyDescent="0.25"/>
    <row r="99396" s="12" customFormat="1" x14ac:dyDescent="0.25"/>
    <row r="99397" s="12" customFormat="1" x14ac:dyDescent="0.25"/>
    <row r="99398" s="12" customFormat="1" x14ac:dyDescent="0.25"/>
    <row r="99399" s="12" customFormat="1" x14ac:dyDescent="0.25"/>
    <row r="99400" s="12" customFormat="1" x14ac:dyDescent="0.25"/>
    <row r="99401" s="12" customFormat="1" x14ac:dyDescent="0.25"/>
    <row r="99402" s="12" customFormat="1" x14ac:dyDescent="0.25"/>
    <row r="99403" s="12" customFormat="1" x14ac:dyDescent="0.25"/>
    <row r="99404" s="12" customFormat="1" x14ac:dyDescent="0.25"/>
    <row r="99405" s="12" customFormat="1" x14ac:dyDescent="0.25"/>
    <row r="99406" s="12" customFormat="1" x14ac:dyDescent="0.25"/>
    <row r="99407" s="12" customFormat="1" x14ac:dyDescent="0.25"/>
    <row r="99408" s="12" customFormat="1" x14ac:dyDescent="0.25"/>
    <row r="99409" s="12" customFormat="1" x14ac:dyDescent="0.25"/>
    <row r="99410" s="12" customFormat="1" x14ac:dyDescent="0.25"/>
    <row r="99411" s="12" customFormat="1" x14ac:dyDescent="0.25"/>
    <row r="99412" s="12" customFormat="1" x14ac:dyDescent="0.25"/>
    <row r="99413" s="12" customFormat="1" x14ac:dyDescent="0.25"/>
    <row r="99414" s="12" customFormat="1" x14ac:dyDescent="0.25"/>
    <row r="99415" s="12" customFormat="1" x14ac:dyDescent="0.25"/>
    <row r="99416" s="12" customFormat="1" x14ac:dyDescent="0.25"/>
    <row r="99417" s="12" customFormat="1" x14ac:dyDescent="0.25"/>
    <row r="99418" s="12" customFormat="1" x14ac:dyDescent="0.25"/>
    <row r="99419" s="12" customFormat="1" x14ac:dyDescent="0.25"/>
    <row r="99420" s="12" customFormat="1" x14ac:dyDescent="0.25"/>
    <row r="99421" s="12" customFormat="1" x14ac:dyDescent="0.25"/>
    <row r="99422" s="12" customFormat="1" x14ac:dyDescent="0.25"/>
    <row r="99423" s="12" customFormat="1" x14ac:dyDescent="0.25"/>
    <row r="99424" s="12" customFormat="1" x14ac:dyDescent="0.25"/>
    <row r="99425" s="12" customFormat="1" x14ac:dyDescent="0.25"/>
    <row r="99426" s="12" customFormat="1" x14ac:dyDescent="0.25"/>
    <row r="99427" s="12" customFormat="1" x14ac:dyDescent="0.25"/>
    <row r="99428" s="12" customFormat="1" x14ac:dyDescent="0.25"/>
    <row r="99429" s="12" customFormat="1" x14ac:dyDescent="0.25"/>
    <row r="99430" s="12" customFormat="1" x14ac:dyDescent="0.25"/>
    <row r="99431" s="12" customFormat="1" x14ac:dyDescent="0.25"/>
    <row r="99432" s="12" customFormat="1" x14ac:dyDescent="0.25"/>
    <row r="99433" s="12" customFormat="1" x14ac:dyDescent="0.25"/>
    <row r="99434" s="12" customFormat="1" x14ac:dyDescent="0.25"/>
    <row r="99435" s="12" customFormat="1" x14ac:dyDescent="0.25"/>
    <row r="99436" s="12" customFormat="1" x14ac:dyDescent="0.25"/>
    <row r="99437" s="12" customFormat="1" x14ac:dyDescent="0.25"/>
    <row r="99438" s="12" customFormat="1" x14ac:dyDescent="0.25"/>
    <row r="99439" s="12" customFormat="1" x14ac:dyDescent="0.25"/>
    <row r="99440" s="12" customFormat="1" x14ac:dyDescent="0.25"/>
    <row r="99441" s="12" customFormat="1" x14ac:dyDescent="0.25"/>
    <row r="99442" s="12" customFormat="1" x14ac:dyDescent="0.25"/>
    <row r="99443" s="12" customFormat="1" x14ac:dyDescent="0.25"/>
    <row r="99444" s="12" customFormat="1" x14ac:dyDescent="0.25"/>
    <row r="99445" s="12" customFormat="1" x14ac:dyDescent="0.25"/>
    <row r="99446" s="12" customFormat="1" x14ac:dyDescent="0.25"/>
    <row r="99447" s="12" customFormat="1" x14ac:dyDescent="0.25"/>
    <row r="99448" s="12" customFormat="1" x14ac:dyDescent="0.25"/>
    <row r="99449" s="12" customFormat="1" x14ac:dyDescent="0.25"/>
    <row r="99450" s="12" customFormat="1" x14ac:dyDescent="0.25"/>
    <row r="99451" s="12" customFormat="1" x14ac:dyDescent="0.25"/>
    <row r="99452" s="12" customFormat="1" x14ac:dyDescent="0.25"/>
    <row r="99453" s="12" customFormat="1" x14ac:dyDescent="0.25"/>
    <row r="99454" s="12" customFormat="1" x14ac:dyDescent="0.25"/>
    <row r="99455" s="12" customFormat="1" x14ac:dyDescent="0.25"/>
    <row r="99456" s="12" customFormat="1" x14ac:dyDescent="0.25"/>
    <row r="99457" s="12" customFormat="1" x14ac:dyDescent="0.25"/>
    <row r="99458" s="12" customFormat="1" x14ac:dyDescent="0.25"/>
    <row r="99459" s="12" customFormat="1" x14ac:dyDescent="0.25"/>
    <row r="99460" s="12" customFormat="1" x14ac:dyDescent="0.25"/>
    <row r="99461" s="12" customFormat="1" x14ac:dyDescent="0.25"/>
    <row r="99462" s="12" customFormat="1" x14ac:dyDescent="0.25"/>
    <row r="99463" s="12" customFormat="1" x14ac:dyDescent="0.25"/>
    <row r="99464" s="12" customFormat="1" x14ac:dyDescent="0.25"/>
    <row r="99465" s="12" customFormat="1" x14ac:dyDescent="0.25"/>
    <row r="99466" s="12" customFormat="1" x14ac:dyDescent="0.25"/>
    <row r="99467" s="12" customFormat="1" x14ac:dyDescent="0.25"/>
    <row r="99468" s="12" customFormat="1" x14ac:dyDescent="0.25"/>
    <row r="99469" s="12" customFormat="1" x14ac:dyDescent="0.25"/>
    <row r="99470" s="12" customFormat="1" x14ac:dyDescent="0.25"/>
    <row r="99471" s="12" customFormat="1" x14ac:dyDescent="0.25"/>
    <row r="99472" s="12" customFormat="1" x14ac:dyDescent="0.25"/>
    <row r="99473" s="12" customFormat="1" x14ac:dyDescent="0.25"/>
    <row r="99474" s="12" customFormat="1" x14ac:dyDescent="0.25"/>
    <row r="99475" s="12" customFormat="1" x14ac:dyDescent="0.25"/>
    <row r="99476" s="12" customFormat="1" x14ac:dyDescent="0.25"/>
    <row r="99477" s="12" customFormat="1" x14ac:dyDescent="0.25"/>
    <row r="99478" s="12" customFormat="1" x14ac:dyDescent="0.25"/>
    <row r="99479" s="12" customFormat="1" x14ac:dyDescent="0.25"/>
    <row r="99480" s="12" customFormat="1" x14ac:dyDescent="0.25"/>
    <row r="99481" s="12" customFormat="1" x14ac:dyDescent="0.25"/>
    <row r="99482" s="12" customFormat="1" x14ac:dyDescent="0.25"/>
    <row r="99483" s="12" customFormat="1" x14ac:dyDescent="0.25"/>
    <row r="99484" s="12" customFormat="1" x14ac:dyDescent="0.25"/>
    <row r="99485" s="12" customFormat="1" x14ac:dyDescent="0.25"/>
    <row r="99486" s="12" customFormat="1" x14ac:dyDescent="0.25"/>
    <row r="99487" s="12" customFormat="1" x14ac:dyDescent="0.25"/>
    <row r="99488" s="12" customFormat="1" x14ac:dyDescent="0.25"/>
    <row r="99489" s="12" customFormat="1" x14ac:dyDescent="0.25"/>
    <row r="99490" s="12" customFormat="1" x14ac:dyDescent="0.25"/>
    <row r="99491" s="12" customFormat="1" x14ac:dyDescent="0.25"/>
    <row r="99492" s="12" customFormat="1" x14ac:dyDescent="0.25"/>
    <row r="99493" s="12" customFormat="1" x14ac:dyDescent="0.25"/>
    <row r="99494" s="12" customFormat="1" x14ac:dyDescent="0.25"/>
    <row r="99495" s="12" customFormat="1" x14ac:dyDescent="0.25"/>
    <row r="99496" s="12" customFormat="1" x14ac:dyDescent="0.25"/>
    <row r="99497" s="12" customFormat="1" x14ac:dyDescent="0.25"/>
    <row r="99498" s="12" customFormat="1" x14ac:dyDescent="0.25"/>
    <row r="99499" s="12" customFormat="1" x14ac:dyDescent="0.25"/>
    <row r="99500" s="12" customFormat="1" x14ac:dyDescent="0.25"/>
    <row r="99501" s="12" customFormat="1" x14ac:dyDescent="0.25"/>
    <row r="99502" s="12" customFormat="1" x14ac:dyDescent="0.25"/>
    <row r="99503" s="12" customFormat="1" x14ac:dyDescent="0.25"/>
    <row r="99504" s="12" customFormat="1" x14ac:dyDescent="0.25"/>
    <row r="99505" s="12" customFormat="1" x14ac:dyDescent="0.25"/>
    <row r="99506" s="12" customFormat="1" x14ac:dyDescent="0.25"/>
    <row r="99507" s="12" customFormat="1" x14ac:dyDescent="0.25"/>
    <row r="99508" s="12" customFormat="1" x14ac:dyDescent="0.25"/>
    <row r="99509" s="12" customFormat="1" x14ac:dyDescent="0.25"/>
    <row r="99510" s="12" customFormat="1" x14ac:dyDescent="0.25"/>
    <row r="99511" s="12" customFormat="1" x14ac:dyDescent="0.25"/>
    <row r="99512" s="12" customFormat="1" x14ac:dyDescent="0.25"/>
    <row r="99513" s="12" customFormat="1" x14ac:dyDescent="0.25"/>
    <row r="99514" s="12" customFormat="1" x14ac:dyDescent="0.25"/>
    <row r="99515" s="12" customFormat="1" x14ac:dyDescent="0.25"/>
    <row r="99516" s="12" customFormat="1" x14ac:dyDescent="0.25"/>
    <row r="99517" s="12" customFormat="1" x14ac:dyDescent="0.25"/>
    <row r="99518" s="12" customFormat="1" x14ac:dyDescent="0.25"/>
    <row r="99519" s="12" customFormat="1" x14ac:dyDescent="0.25"/>
    <row r="99520" s="12" customFormat="1" x14ac:dyDescent="0.25"/>
    <row r="99521" s="12" customFormat="1" x14ac:dyDescent="0.25"/>
    <row r="99522" s="12" customFormat="1" x14ac:dyDescent="0.25"/>
    <row r="99523" s="12" customFormat="1" x14ac:dyDescent="0.25"/>
    <row r="99524" s="12" customFormat="1" x14ac:dyDescent="0.25"/>
    <row r="99525" s="12" customFormat="1" x14ac:dyDescent="0.25"/>
    <row r="99526" s="12" customFormat="1" x14ac:dyDescent="0.25"/>
    <row r="99527" s="12" customFormat="1" x14ac:dyDescent="0.25"/>
    <row r="99528" s="12" customFormat="1" x14ac:dyDescent="0.25"/>
    <row r="99529" s="12" customFormat="1" x14ac:dyDescent="0.25"/>
    <row r="99530" s="12" customFormat="1" x14ac:dyDescent="0.25"/>
    <row r="99531" s="12" customFormat="1" x14ac:dyDescent="0.25"/>
    <row r="99532" s="12" customFormat="1" x14ac:dyDescent="0.25"/>
    <row r="99533" s="12" customFormat="1" x14ac:dyDescent="0.25"/>
    <row r="99534" s="12" customFormat="1" x14ac:dyDescent="0.25"/>
    <row r="99535" s="12" customFormat="1" x14ac:dyDescent="0.25"/>
    <row r="99536" s="12" customFormat="1" x14ac:dyDescent="0.25"/>
    <row r="99537" s="12" customFormat="1" x14ac:dyDescent="0.25"/>
    <row r="99538" s="12" customFormat="1" x14ac:dyDescent="0.25"/>
    <row r="99539" s="12" customFormat="1" x14ac:dyDescent="0.25"/>
    <row r="99540" s="12" customFormat="1" x14ac:dyDescent="0.25"/>
    <row r="99541" s="12" customFormat="1" x14ac:dyDescent="0.25"/>
    <row r="99542" s="12" customFormat="1" x14ac:dyDescent="0.25"/>
    <row r="99543" s="12" customFormat="1" x14ac:dyDescent="0.25"/>
    <row r="99544" s="12" customFormat="1" x14ac:dyDescent="0.25"/>
    <row r="99545" s="12" customFormat="1" x14ac:dyDescent="0.25"/>
    <row r="99546" s="12" customFormat="1" x14ac:dyDescent="0.25"/>
    <row r="99547" s="12" customFormat="1" x14ac:dyDescent="0.25"/>
    <row r="99548" s="12" customFormat="1" x14ac:dyDescent="0.25"/>
    <row r="99549" s="12" customFormat="1" x14ac:dyDescent="0.25"/>
    <row r="99550" s="12" customFormat="1" x14ac:dyDescent="0.25"/>
    <row r="99551" s="12" customFormat="1" x14ac:dyDescent="0.25"/>
    <row r="99552" s="12" customFormat="1" x14ac:dyDescent="0.25"/>
    <row r="99553" s="12" customFormat="1" x14ac:dyDescent="0.25"/>
    <row r="99554" s="12" customFormat="1" x14ac:dyDescent="0.25"/>
    <row r="99555" s="12" customFormat="1" x14ac:dyDescent="0.25"/>
    <row r="99556" s="12" customFormat="1" x14ac:dyDescent="0.25"/>
    <row r="99557" s="12" customFormat="1" x14ac:dyDescent="0.25"/>
    <row r="99558" s="12" customFormat="1" x14ac:dyDescent="0.25"/>
    <row r="99559" s="12" customFormat="1" x14ac:dyDescent="0.25"/>
    <row r="99560" s="12" customFormat="1" x14ac:dyDescent="0.25"/>
    <row r="99561" s="12" customFormat="1" x14ac:dyDescent="0.25"/>
    <row r="99562" s="12" customFormat="1" x14ac:dyDescent="0.25"/>
    <row r="99563" s="12" customFormat="1" x14ac:dyDescent="0.25"/>
    <row r="99564" s="12" customFormat="1" x14ac:dyDescent="0.25"/>
    <row r="99565" s="12" customFormat="1" x14ac:dyDescent="0.25"/>
    <row r="99566" s="12" customFormat="1" x14ac:dyDescent="0.25"/>
    <row r="99567" s="12" customFormat="1" x14ac:dyDescent="0.25"/>
    <row r="99568" s="12" customFormat="1" x14ac:dyDescent="0.25"/>
    <row r="99569" s="12" customFormat="1" x14ac:dyDescent="0.25"/>
    <row r="99570" s="12" customFormat="1" x14ac:dyDescent="0.25"/>
    <row r="99571" s="12" customFormat="1" x14ac:dyDescent="0.25"/>
    <row r="99572" s="12" customFormat="1" x14ac:dyDescent="0.25"/>
    <row r="99573" s="12" customFormat="1" x14ac:dyDescent="0.25"/>
    <row r="99574" s="12" customFormat="1" x14ac:dyDescent="0.25"/>
    <row r="99575" s="12" customFormat="1" x14ac:dyDescent="0.25"/>
    <row r="99576" s="12" customFormat="1" x14ac:dyDescent="0.25"/>
    <row r="99577" s="12" customFormat="1" x14ac:dyDescent="0.25"/>
    <row r="99578" s="12" customFormat="1" x14ac:dyDescent="0.25"/>
    <row r="99579" s="12" customFormat="1" x14ac:dyDescent="0.25"/>
    <row r="99580" s="12" customFormat="1" x14ac:dyDescent="0.25"/>
    <row r="99581" s="12" customFormat="1" x14ac:dyDescent="0.25"/>
    <row r="99582" s="12" customFormat="1" x14ac:dyDescent="0.25"/>
    <row r="99583" s="12" customFormat="1" x14ac:dyDescent="0.25"/>
    <row r="99584" s="12" customFormat="1" x14ac:dyDescent="0.25"/>
    <row r="99585" s="12" customFormat="1" x14ac:dyDescent="0.25"/>
    <row r="99586" s="12" customFormat="1" x14ac:dyDescent="0.25"/>
    <row r="99587" s="12" customFormat="1" x14ac:dyDescent="0.25"/>
    <row r="99588" s="12" customFormat="1" x14ac:dyDescent="0.25"/>
    <row r="99589" s="12" customFormat="1" x14ac:dyDescent="0.25"/>
    <row r="99590" s="12" customFormat="1" x14ac:dyDescent="0.25"/>
    <row r="99591" s="12" customFormat="1" x14ac:dyDescent="0.25"/>
    <row r="99592" s="12" customFormat="1" x14ac:dyDescent="0.25"/>
    <row r="99593" s="12" customFormat="1" x14ac:dyDescent="0.25"/>
    <row r="99594" s="12" customFormat="1" x14ac:dyDescent="0.25"/>
    <row r="99595" s="12" customFormat="1" x14ac:dyDescent="0.25"/>
    <row r="99596" s="12" customFormat="1" x14ac:dyDescent="0.25"/>
    <row r="99597" s="12" customFormat="1" x14ac:dyDescent="0.25"/>
    <row r="99598" s="12" customFormat="1" x14ac:dyDescent="0.25"/>
    <row r="99599" s="12" customFormat="1" x14ac:dyDescent="0.25"/>
    <row r="99600" s="12" customFormat="1" x14ac:dyDescent="0.25"/>
    <row r="99601" s="12" customFormat="1" x14ac:dyDescent="0.25"/>
    <row r="99602" s="12" customFormat="1" x14ac:dyDescent="0.25"/>
    <row r="99603" s="12" customFormat="1" x14ac:dyDescent="0.25"/>
    <row r="99604" s="12" customFormat="1" x14ac:dyDescent="0.25"/>
    <row r="99605" s="12" customFormat="1" x14ac:dyDescent="0.25"/>
    <row r="99606" s="12" customFormat="1" x14ac:dyDescent="0.25"/>
    <row r="99607" s="12" customFormat="1" x14ac:dyDescent="0.25"/>
    <row r="99608" s="12" customFormat="1" x14ac:dyDescent="0.25"/>
    <row r="99609" s="12" customFormat="1" x14ac:dyDescent="0.25"/>
    <row r="99610" s="12" customFormat="1" x14ac:dyDescent="0.25"/>
    <row r="99611" s="12" customFormat="1" x14ac:dyDescent="0.25"/>
    <row r="99612" s="12" customFormat="1" x14ac:dyDescent="0.25"/>
    <row r="99613" s="12" customFormat="1" x14ac:dyDescent="0.25"/>
    <row r="99614" s="12" customFormat="1" x14ac:dyDescent="0.25"/>
    <row r="99615" s="12" customFormat="1" x14ac:dyDescent="0.25"/>
    <row r="99616" s="12" customFormat="1" x14ac:dyDescent="0.25"/>
    <row r="99617" s="12" customFormat="1" x14ac:dyDescent="0.25"/>
    <row r="99618" s="12" customFormat="1" x14ac:dyDescent="0.25"/>
    <row r="99619" s="12" customFormat="1" x14ac:dyDescent="0.25"/>
    <row r="99620" s="12" customFormat="1" x14ac:dyDescent="0.25"/>
    <row r="99621" s="12" customFormat="1" x14ac:dyDescent="0.25"/>
    <row r="99622" s="12" customFormat="1" x14ac:dyDescent="0.25"/>
    <row r="99623" s="12" customFormat="1" x14ac:dyDescent="0.25"/>
    <row r="99624" s="12" customFormat="1" x14ac:dyDescent="0.25"/>
    <row r="99625" s="12" customFormat="1" x14ac:dyDescent="0.25"/>
    <row r="99626" s="12" customFormat="1" x14ac:dyDescent="0.25"/>
    <row r="99627" s="12" customFormat="1" x14ac:dyDescent="0.25"/>
    <row r="99628" s="12" customFormat="1" x14ac:dyDescent="0.25"/>
    <row r="99629" s="12" customFormat="1" x14ac:dyDescent="0.25"/>
    <row r="99630" s="12" customFormat="1" x14ac:dyDescent="0.25"/>
    <row r="99631" s="12" customFormat="1" x14ac:dyDescent="0.25"/>
    <row r="99632" s="12" customFormat="1" x14ac:dyDescent="0.25"/>
    <row r="99633" s="12" customFormat="1" x14ac:dyDescent="0.25"/>
    <row r="99634" s="12" customFormat="1" x14ac:dyDescent="0.25"/>
    <row r="99635" s="12" customFormat="1" x14ac:dyDescent="0.25"/>
    <row r="99636" s="12" customFormat="1" x14ac:dyDescent="0.25"/>
    <row r="99637" s="12" customFormat="1" x14ac:dyDescent="0.25"/>
    <row r="99638" s="12" customFormat="1" x14ac:dyDescent="0.25"/>
    <row r="99639" s="12" customFormat="1" x14ac:dyDescent="0.25"/>
    <row r="99640" s="12" customFormat="1" x14ac:dyDescent="0.25"/>
    <row r="99641" s="12" customFormat="1" x14ac:dyDescent="0.25"/>
    <row r="99642" s="12" customFormat="1" x14ac:dyDescent="0.25"/>
    <row r="99643" s="12" customFormat="1" x14ac:dyDescent="0.25"/>
    <row r="99644" s="12" customFormat="1" x14ac:dyDescent="0.25"/>
    <row r="99645" s="12" customFormat="1" x14ac:dyDescent="0.25"/>
    <row r="99646" s="12" customFormat="1" x14ac:dyDescent="0.25"/>
    <row r="99647" s="12" customFormat="1" x14ac:dyDescent="0.25"/>
    <row r="99648" s="12" customFormat="1" x14ac:dyDescent="0.25"/>
    <row r="99649" s="12" customFormat="1" x14ac:dyDescent="0.25"/>
    <row r="99650" s="12" customFormat="1" x14ac:dyDescent="0.25"/>
    <row r="99651" s="12" customFormat="1" x14ac:dyDescent="0.25"/>
    <row r="99652" s="12" customFormat="1" x14ac:dyDescent="0.25"/>
    <row r="99653" s="12" customFormat="1" x14ac:dyDescent="0.25"/>
    <row r="99654" s="12" customFormat="1" x14ac:dyDescent="0.25"/>
    <row r="99655" s="12" customFormat="1" x14ac:dyDescent="0.25"/>
    <row r="99656" s="12" customFormat="1" x14ac:dyDescent="0.25"/>
    <row r="99657" s="12" customFormat="1" x14ac:dyDescent="0.25"/>
    <row r="99658" s="12" customFormat="1" x14ac:dyDescent="0.25"/>
    <row r="99659" s="12" customFormat="1" x14ac:dyDescent="0.25"/>
    <row r="99660" s="12" customFormat="1" x14ac:dyDescent="0.25"/>
    <row r="99661" s="12" customFormat="1" x14ac:dyDescent="0.25"/>
    <row r="99662" s="12" customFormat="1" x14ac:dyDescent="0.25"/>
    <row r="99663" s="12" customFormat="1" x14ac:dyDescent="0.25"/>
    <row r="99664" s="12" customFormat="1" x14ac:dyDescent="0.25"/>
    <row r="99665" s="12" customFormat="1" x14ac:dyDescent="0.25"/>
    <row r="99666" s="12" customFormat="1" x14ac:dyDescent="0.25"/>
    <row r="99667" s="12" customFormat="1" x14ac:dyDescent="0.25"/>
    <row r="99668" s="12" customFormat="1" x14ac:dyDescent="0.25"/>
    <row r="99669" s="12" customFormat="1" x14ac:dyDescent="0.25"/>
    <row r="99670" s="12" customFormat="1" x14ac:dyDescent="0.25"/>
    <row r="99671" s="12" customFormat="1" x14ac:dyDescent="0.25"/>
    <row r="99672" s="12" customFormat="1" x14ac:dyDescent="0.25"/>
    <row r="99673" s="12" customFormat="1" x14ac:dyDescent="0.25"/>
    <row r="99674" s="12" customFormat="1" x14ac:dyDescent="0.25"/>
    <row r="99675" s="12" customFormat="1" x14ac:dyDescent="0.25"/>
    <row r="99676" s="12" customFormat="1" x14ac:dyDescent="0.25"/>
    <row r="99677" s="12" customFormat="1" x14ac:dyDescent="0.25"/>
    <row r="99678" s="12" customFormat="1" x14ac:dyDescent="0.25"/>
    <row r="99679" s="12" customFormat="1" x14ac:dyDescent="0.25"/>
    <row r="99680" s="12" customFormat="1" x14ac:dyDescent="0.25"/>
    <row r="99681" s="12" customFormat="1" x14ac:dyDescent="0.25"/>
    <row r="99682" s="12" customFormat="1" x14ac:dyDescent="0.25"/>
    <row r="99683" s="12" customFormat="1" x14ac:dyDescent="0.25"/>
    <row r="99684" s="12" customFormat="1" x14ac:dyDescent="0.25"/>
    <row r="99685" s="12" customFormat="1" x14ac:dyDescent="0.25"/>
    <row r="99686" s="12" customFormat="1" x14ac:dyDescent="0.25"/>
    <row r="99687" s="12" customFormat="1" x14ac:dyDescent="0.25"/>
    <row r="99688" s="12" customFormat="1" x14ac:dyDescent="0.25"/>
    <row r="99689" s="12" customFormat="1" x14ac:dyDescent="0.25"/>
    <row r="99690" s="12" customFormat="1" x14ac:dyDescent="0.25"/>
    <row r="99691" s="12" customFormat="1" x14ac:dyDescent="0.25"/>
    <row r="99692" s="12" customFormat="1" x14ac:dyDescent="0.25"/>
    <row r="99693" s="12" customFormat="1" x14ac:dyDescent="0.25"/>
    <row r="99694" s="12" customFormat="1" x14ac:dyDescent="0.25"/>
    <row r="99695" s="12" customFormat="1" x14ac:dyDescent="0.25"/>
    <row r="99696" s="12" customFormat="1" x14ac:dyDescent="0.25"/>
    <row r="99697" s="12" customFormat="1" x14ac:dyDescent="0.25"/>
    <row r="99698" s="12" customFormat="1" x14ac:dyDescent="0.25"/>
    <row r="99699" s="12" customFormat="1" x14ac:dyDescent="0.25"/>
    <row r="99700" s="12" customFormat="1" x14ac:dyDescent="0.25"/>
    <row r="99701" s="12" customFormat="1" x14ac:dyDescent="0.25"/>
    <row r="99702" s="12" customFormat="1" x14ac:dyDescent="0.25"/>
    <row r="99703" s="12" customFormat="1" x14ac:dyDescent="0.25"/>
    <row r="99704" s="12" customFormat="1" x14ac:dyDescent="0.25"/>
    <row r="99705" s="12" customFormat="1" x14ac:dyDescent="0.25"/>
    <row r="99706" s="12" customFormat="1" x14ac:dyDescent="0.25"/>
    <row r="99707" s="12" customFormat="1" x14ac:dyDescent="0.25"/>
    <row r="99708" s="12" customFormat="1" x14ac:dyDescent="0.25"/>
    <row r="99709" s="12" customFormat="1" x14ac:dyDescent="0.25"/>
    <row r="99710" s="12" customFormat="1" x14ac:dyDescent="0.25"/>
    <row r="99711" s="12" customFormat="1" x14ac:dyDescent="0.25"/>
    <row r="99712" s="12" customFormat="1" x14ac:dyDescent="0.25"/>
    <row r="99713" s="12" customFormat="1" x14ac:dyDescent="0.25"/>
    <row r="99714" s="12" customFormat="1" x14ac:dyDescent="0.25"/>
    <row r="99715" s="12" customFormat="1" x14ac:dyDescent="0.25"/>
    <row r="99716" s="12" customFormat="1" x14ac:dyDescent="0.25"/>
    <row r="99717" s="12" customFormat="1" x14ac:dyDescent="0.25"/>
    <row r="99718" s="12" customFormat="1" x14ac:dyDescent="0.25"/>
    <row r="99719" s="12" customFormat="1" x14ac:dyDescent="0.25"/>
    <row r="99720" s="12" customFormat="1" x14ac:dyDescent="0.25"/>
    <row r="99721" s="12" customFormat="1" x14ac:dyDescent="0.25"/>
    <row r="99722" s="12" customFormat="1" x14ac:dyDescent="0.25"/>
    <row r="99723" s="12" customFormat="1" x14ac:dyDescent="0.25"/>
    <row r="99724" s="12" customFormat="1" x14ac:dyDescent="0.25"/>
    <row r="99725" s="12" customFormat="1" x14ac:dyDescent="0.25"/>
    <row r="99726" s="12" customFormat="1" x14ac:dyDescent="0.25"/>
    <row r="99727" s="12" customFormat="1" x14ac:dyDescent="0.25"/>
    <row r="99728" s="12" customFormat="1" x14ac:dyDescent="0.25"/>
    <row r="99729" s="12" customFormat="1" x14ac:dyDescent="0.25"/>
    <row r="99730" s="12" customFormat="1" x14ac:dyDescent="0.25"/>
    <row r="99731" s="12" customFormat="1" x14ac:dyDescent="0.25"/>
    <row r="99732" s="12" customFormat="1" x14ac:dyDescent="0.25"/>
    <row r="99733" s="12" customFormat="1" x14ac:dyDescent="0.25"/>
    <row r="99734" s="12" customFormat="1" x14ac:dyDescent="0.25"/>
    <row r="99735" s="12" customFormat="1" x14ac:dyDescent="0.25"/>
    <row r="99736" s="12" customFormat="1" x14ac:dyDescent="0.25"/>
    <row r="99737" s="12" customFormat="1" x14ac:dyDescent="0.25"/>
    <row r="99738" s="12" customFormat="1" x14ac:dyDescent="0.25"/>
    <row r="99739" s="12" customFormat="1" x14ac:dyDescent="0.25"/>
    <row r="99740" s="12" customFormat="1" x14ac:dyDescent="0.25"/>
    <row r="99741" s="12" customFormat="1" x14ac:dyDescent="0.25"/>
    <row r="99742" s="12" customFormat="1" x14ac:dyDescent="0.25"/>
    <row r="99743" s="12" customFormat="1" x14ac:dyDescent="0.25"/>
    <row r="99744" s="12" customFormat="1" x14ac:dyDescent="0.25"/>
    <row r="99745" s="12" customFormat="1" x14ac:dyDescent="0.25"/>
    <row r="99746" s="12" customFormat="1" x14ac:dyDescent="0.25"/>
    <row r="99747" s="12" customFormat="1" x14ac:dyDescent="0.25"/>
    <row r="99748" s="12" customFormat="1" x14ac:dyDescent="0.25"/>
    <row r="99749" s="12" customFormat="1" x14ac:dyDescent="0.25"/>
    <row r="99750" s="12" customFormat="1" x14ac:dyDescent="0.25"/>
    <row r="99751" s="12" customFormat="1" x14ac:dyDescent="0.25"/>
    <row r="99752" s="12" customFormat="1" x14ac:dyDescent="0.25"/>
    <row r="99753" s="12" customFormat="1" x14ac:dyDescent="0.25"/>
    <row r="99754" s="12" customFormat="1" x14ac:dyDescent="0.25"/>
    <row r="99755" s="12" customFormat="1" x14ac:dyDescent="0.25"/>
    <row r="99756" s="12" customFormat="1" x14ac:dyDescent="0.25"/>
    <row r="99757" s="12" customFormat="1" x14ac:dyDescent="0.25"/>
    <row r="99758" s="12" customFormat="1" x14ac:dyDescent="0.25"/>
    <row r="99759" s="12" customFormat="1" x14ac:dyDescent="0.25"/>
    <row r="99760" s="12" customFormat="1" x14ac:dyDescent="0.25"/>
    <row r="99761" s="12" customFormat="1" x14ac:dyDescent="0.25"/>
    <row r="99762" s="12" customFormat="1" x14ac:dyDescent="0.25"/>
    <row r="99763" s="12" customFormat="1" x14ac:dyDescent="0.25"/>
    <row r="99764" s="12" customFormat="1" x14ac:dyDescent="0.25"/>
    <row r="99765" s="12" customFormat="1" x14ac:dyDescent="0.25"/>
    <row r="99766" s="12" customFormat="1" x14ac:dyDescent="0.25"/>
    <row r="99767" s="12" customFormat="1" x14ac:dyDescent="0.25"/>
    <row r="99768" s="12" customFormat="1" x14ac:dyDescent="0.25"/>
    <row r="99769" s="12" customFormat="1" x14ac:dyDescent="0.25"/>
    <row r="99770" s="12" customFormat="1" x14ac:dyDescent="0.25"/>
    <row r="99771" s="12" customFormat="1" x14ac:dyDescent="0.25"/>
    <row r="99772" s="12" customFormat="1" x14ac:dyDescent="0.25"/>
    <row r="99773" s="12" customFormat="1" x14ac:dyDescent="0.25"/>
    <row r="99774" s="12" customFormat="1" x14ac:dyDescent="0.25"/>
    <row r="99775" s="12" customFormat="1" x14ac:dyDescent="0.25"/>
    <row r="99776" s="12" customFormat="1" x14ac:dyDescent="0.25"/>
    <row r="99777" s="12" customFormat="1" x14ac:dyDescent="0.25"/>
    <row r="99778" s="12" customFormat="1" x14ac:dyDescent="0.25"/>
    <row r="99779" s="12" customFormat="1" x14ac:dyDescent="0.25"/>
    <row r="99780" s="12" customFormat="1" x14ac:dyDescent="0.25"/>
    <row r="99781" s="12" customFormat="1" x14ac:dyDescent="0.25"/>
    <row r="99782" s="12" customFormat="1" x14ac:dyDescent="0.25"/>
    <row r="99783" s="12" customFormat="1" x14ac:dyDescent="0.25"/>
    <row r="99784" s="12" customFormat="1" x14ac:dyDescent="0.25"/>
    <row r="99785" s="12" customFormat="1" x14ac:dyDescent="0.25"/>
    <row r="99786" s="12" customFormat="1" x14ac:dyDescent="0.25"/>
    <row r="99787" s="12" customFormat="1" x14ac:dyDescent="0.25"/>
    <row r="99788" s="12" customFormat="1" x14ac:dyDescent="0.25"/>
    <row r="99789" s="12" customFormat="1" x14ac:dyDescent="0.25"/>
    <row r="99790" s="12" customFormat="1" x14ac:dyDescent="0.25"/>
    <row r="99791" s="12" customFormat="1" x14ac:dyDescent="0.25"/>
    <row r="99792" s="12" customFormat="1" x14ac:dyDescent="0.25"/>
    <row r="99793" s="12" customFormat="1" x14ac:dyDescent="0.25"/>
    <row r="99794" s="12" customFormat="1" x14ac:dyDescent="0.25"/>
    <row r="99795" s="12" customFormat="1" x14ac:dyDescent="0.25"/>
    <row r="99796" s="12" customFormat="1" x14ac:dyDescent="0.25"/>
    <row r="99797" s="12" customFormat="1" x14ac:dyDescent="0.25"/>
    <row r="99798" s="12" customFormat="1" x14ac:dyDescent="0.25"/>
    <row r="99799" s="12" customFormat="1" x14ac:dyDescent="0.25"/>
    <row r="99800" s="12" customFormat="1" x14ac:dyDescent="0.25"/>
    <row r="99801" s="12" customFormat="1" x14ac:dyDescent="0.25"/>
    <row r="99802" s="12" customFormat="1" x14ac:dyDescent="0.25"/>
    <row r="99803" s="12" customFormat="1" x14ac:dyDescent="0.25"/>
    <row r="99804" s="12" customFormat="1" x14ac:dyDescent="0.25"/>
    <row r="99805" s="12" customFormat="1" x14ac:dyDescent="0.25"/>
    <row r="99806" s="12" customFormat="1" x14ac:dyDescent="0.25"/>
    <row r="99807" s="12" customFormat="1" x14ac:dyDescent="0.25"/>
    <row r="99808" s="12" customFormat="1" x14ac:dyDescent="0.25"/>
    <row r="99809" s="12" customFormat="1" x14ac:dyDescent="0.25"/>
    <row r="99810" s="12" customFormat="1" x14ac:dyDescent="0.25"/>
    <row r="99811" s="12" customFormat="1" x14ac:dyDescent="0.25"/>
    <row r="99812" s="12" customFormat="1" x14ac:dyDescent="0.25"/>
    <row r="99813" s="12" customFormat="1" x14ac:dyDescent="0.25"/>
    <row r="99814" s="12" customFormat="1" x14ac:dyDescent="0.25"/>
    <row r="99815" s="12" customFormat="1" x14ac:dyDescent="0.25"/>
    <row r="99816" s="12" customFormat="1" x14ac:dyDescent="0.25"/>
    <row r="99817" s="12" customFormat="1" x14ac:dyDescent="0.25"/>
    <row r="99818" s="12" customFormat="1" x14ac:dyDescent="0.25"/>
    <row r="99819" s="12" customFormat="1" x14ac:dyDescent="0.25"/>
    <row r="99820" s="12" customFormat="1" x14ac:dyDescent="0.25"/>
    <row r="99821" s="12" customFormat="1" x14ac:dyDescent="0.25"/>
    <row r="99822" s="12" customFormat="1" x14ac:dyDescent="0.25"/>
    <row r="99823" s="12" customFormat="1" x14ac:dyDescent="0.25"/>
    <row r="99824" s="12" customFormat="1" x14ac:dyDescent="0.25"/>
    <row r="99825" s="12" customFormat="1" x14ac:dyDescent="0.25"/>
    <row r="99826" s="12" customFormat="1" x14ac:dyDescent="0.25"/>
    <row r="99827" s="12" customFormat="1" x14ac:dyDescent="0.25"/>
    <row r="99828" s="12" customFormat="1" x14ac:dyDescent="0.25"/>
    <row r="99829" s="12" customFormat="1" x14ac:dyDescent="0.25"/>
    <row r="99830" s="12" customFormat="1" x14ac:dyDescent="0.25"/>
    <row r="99831" s="12" customFormat="1" x14ac:dyDescent="0.25"/>
    <row r="99832" s="12" customFormat="1" x14ac:dyDescent="0.25"/>
    <row r="99833" s="12" customFormat="1" x14ac:dyDescent="0.25"/>
    <row r="99834" s="12" customFormat="1" x14ac:dyDescent="0.25"/>
    <row r="99835" s="12" customFormat="1" x14ac:dyDescent="0.25"/>
    <row r="99836" s="12" customFormat="1" x14ac:dyDescent="0.25"/>
    <row r="99837" s="12" customFormat="1" x14ac:dyDescent="0.25"/>
    <row r="99838" s="12" customFormat="1" x14ac:dyDescent="0.25"/>
    <row r="99839" s="12" customFormat="1" x14ac:dyDescent="0.25"/>
    <row r="99840" s="12" customFormat="1" x14ac:dyDescent="0.25"/>
    <row r="99841" s="12" customFormat="1" x14ac:dyDescent="0.25"/>
    <row r="99842" s="12" customFormat="1" x14ac:dyDescent="0.25"/>
    <row r="99843" s="12" customFormat="1" x14ac:dyDescent="0.25"/>
    <row r="99844" s="12" customFormat="1" x14ac:dyDescent="0.25"/>
    <row r="99845" s="12" customFormat="1" x14ac:dyDescent="0.25"/>
    <row r="99846" s="12" customFormat="1" x14ac:dyDescent="0.25"/>
    <row r="99847" s="12" customFormat="1" x14ac:dyDescent="0.25"/>
    <row r="99848" s="12" customFormat="1" x14ac:dyDescent="0.25"/>
    <row r="99849" s="12" customFormat="1" x14ac:dyDescent="0.25"/>
    <row r="99850" s="12" customFormat="1" x14ac:dyDescent="0.25"/>
    <row r="99851" s="12" customFormat="1" x14ac:dyDescent="0.25"/>
    <row r="99852" s="12" customFormat="1" x14ac:dyDescent="0.25"/>
    <row r="99853" s="12" customFormat="1" x14ac:dyDescent="0.25"/>
    <row r="99854" s="12" customFormat="1" x14ac:dyDescent="0.25"/>
    <row r="99855" s="12" customFormat="1" x14ac:dyDescent="0.25"/>
    <row r="99856" s="12" customFormat="1" x14ac:dyDescent="0.25"/>
    <row r="99857" s="12" customFormat="1" x14ac:dyDescent="0.25"/>
    <row r="99858" s="12" customFormat="1" x14ac:dyDescent="0.25"/>
    <row r="99859" s="12" customFormat="1" x14ac:dyDescent="0.25"/>
    <row r="99860" s="12" customFormat="1" x14ac:dyDescent="0.25"/>
    <row r="99861" s="12" customFormat="1" x14ac:dyDescent="0.25"/>
    <row r="99862" s="12" customFormat="1" x14ac:dyDescent="0.25"/>
    <row r="99863" s="12" customFormat="1" x14ac:dyDescent="0.25"/>
    <row r="99864" s="12" customFormat="1" x14ac:dyDescent="0.25"/>
    <row r="99865" s="12" customFormat="1" x14ac:dyDescent="0.25"/>
    <row r="99866" s="12" customFormat="1" x14ac:dyDescent="0.25"/>
    <row r="99867" s="12" customFormat="1" x14ac:dyDescent="0.25"/>
    <row r="99868" s="12" customFormat="1" x14ac:dyDescent="0.25"/>
    <row r="99869" s="12" customFormat="1" x14ac:dyDescent="0.25"/>
    <row r="99870" s="12" customFormat="1" x14ac:dyDescent="0.25"/>
    <row r="99871" s="12" customFormat="1" x14ac:dyDescent="0.25"/>
    <row r="99872" s="12" customFormat="1" x14ac:dyDescent="0.25"/>
    <row r="99873" s="12" customFormat="1" x14ac:dyDescent="0.25"/>
    <row r="99874" s="12" customFormat="1" x14ac:dyDescent="0.25"/>
    <row r="99875" s="12" customFormat="1" x14ac:dyDescent="0.25"/>
    <row r="99876" s="12" customFormat="1" x14ac:dyDescent="0.25"/>
    <row r="99877" s="12" customFormat="1" x14ac:dyDescent="0.25"/>
    <row r="99878" s="12" customFormat="1" x14ac:dyDescent="0.25"/>
    <row r="99879" s="12" customFormat="1" x14ac:dyDescent="0.25"/>
    <row r="99880" s="12" customFormat="1" x14ac:dyDescent="0.25"/>
    <row r="99881" s="12" customFormat="1" x14ac:dyDescent="0.25"/>
    <row r="99882" s="12" customFormat="1" x14ac:dyDescent="0.25"/>
    <row r="99883" s="12" customFormat="1" x14ac:dyDescent="0.25"/>
    <row r="99884" s="12" customFormat="1" x14ac:dyDescent="0.25"/>
    <row r="99885" s="12" customFormat="1" x14ac:dyDescent="0.25"/>
    <row r="99886" s="12" customFormat="1" x14ac:dyDescent="0.25"/>
    <row r="99887" s="12" customFormat="1" x14ac:dyDescent="0.25"/>
    <row r="99888" s="12" customFormat="1" x14ac:dyDescent="0.25"/>
    <row r="99889" s="12" customFormat="1" x14ac:dyDescent="0.25"/>
    <row r="99890" s="12" customFormat="1" x14ac:dyDescent="0.25"/>
    <row r="99891" s="12" customFormat="1" x14ac:dyDescent="0.25"/>
    <row r="99892" s="12" customFormat="1" x14ac:dyDescent="0.25"/>
    <row r="99893" s="12" customFormat="1" x14ac:dyDescent="0.25"/>
    <row r="99894" s="12" customFormat="1" x14ac:dyDescent="0.25"/>
    <row r="99895" s="12" customFormat="1" x14ac:dyDescent="0.25"/>
    <row r="99896" s="12" customFormat="1" x14ac:dyDescent="0.25"/>
    <row r="99897" s="12" customFormat="1" x14ac:dyDescent="0.25"/>
    <row r="99898" s="12" customFormat="1" x14ac:dyDescent="0.25"/>
    <row r="99899" s="12" customFormat="1" x14ac:dyDescent="0.25"/>
    <row r="99900" s="12" customFormat="1" x14ac:dyDescent="0.25"/>
    <row r="99901" s="12" customFormat="1" x14ac:dyDescent="0.25"/>
    <row r="99902" s="12" customFormat="1" x14ac:dyDescent="0.25"/>
    <row r="99903" s="12" customFormat="1" x14ac:dyDescent="0.25"/>
    <row r="99904" s="12" customFormat="1" x14ac:dyDescent="0.25"/>
    <row r="99905" s="12" customFormat="1" x14ac:dyDescent="0.25"/>
    <row r="99906" s="12" customFormat="1" x14ac:dyDescent="0.25"/>
    <row r="99907" s="12" customFormat="1" x14ac:dyDescent="0.25"/>
    <row r="99908" s="12" customFormat="1" x14ac:dyDescent="0.25"/>
    <row r="99909" s="12" customFormat="1" x14ac:dyDescent="0.25"/>
    <row r="99910" s="12" customFormat="1" x14ac:dyDescent="0.25"/>
    <row r="99911" s="12" customFormat="1" x14ac:dyDescent="0.25"/>
    <row r="99912" s="12" customFormat="1" x14ac:dyDescent="0.25"/>
    <row r="99913" s="12" customFormat="1" x14ac:dyDescent="0.25"/>
    <row r="99914" s="12" customFormat="1" x14ac:dyDescent="0.25"/>
    <row r="99915" s="12" customFormat="1" x14ac:dyDescent="0.25"/>
    <row r="99916" s="12" customFormat="1" x14ac:dyDescent="0.25"/>
    <row r="99917" s="12" customFormat="1" x14ac:dyDescent="0.25"/>
    <row r="99918" s="12" customFormat="1" x14ac:dyDescent="0.25"/>
    <row r="99919" s="12" customFormat="1" x14ac:dyDescent="0.25"/>
    <row r="99920" s="12" customFormat="1" x14ac:dyDescent="0.25"/>
    <row r="99921" s="12" customFormat="1" x14ac:dyDescent="0.25"/>
    <row r="99922" s="12" customFormat="1" x14ac:dyDescent="0.25"/>
    <row r="99923" s="12" customFormat="1" x14ac:dyDescent="0.25"/>
    <row r="99924" s="12" customFormat="1" x14ac:dyDescent="0.25"/>
    <row r="99925" s="12" customFormat="1" x14ac:dyDescent="0.25"/>
    <row r="99926" s="12" customFormat="1" x14ac:dyDescent="0.25"/>
    <row r="99927" s="12" customFormat="1" x14ac:dyDescent="0.25"/>
    <row r="99928" s="12" customFormat="1" x14ac:dyDescent="0.25"/>
    <row r="99929" s="12" customFormat="1" x14ac:dyDescent="0.25"/>
    <row r="99930" s="12" customFormat="1" x14ac:dyDescent="0.25"/>
    <row r="99931" s="12" customFormat="1" x14ac:dyDescent="0.25"/>
    <row r="99932" s="12" customFormat="1" x14ac:dyDescent="0.25"/>
    <row r="99933" s="12" customFormat="1" x14ac:dyDescent="0.25"/>
    <row r="99934" s="12" customFormat="1" x14ac:dyDescent="0.25"/>
    <row r="99935" s="12" customFormat="1" x14ac:dyDescent="0.25"/>
    <row r="99936" s="12" customFormat="1" x14ac:dyDescent="0.25"/>
    <row r="99937" s="12" customFormat="1" x14ac:dyDescent="0.25"/>
    <row r="99938" s="12" customFormat="1" x14ac:dyDescent="0.25"/>
    <row r="99939" s="12" customFormat="1" x14ac:dyDescent="0.25"/>
    <row r="99940" s="12" customFormat="1" x14ac:dyDescent="0.25"/>
    <row r="99941" s="12" customFormat="1" x14ac:dyDescent="0.25"/>
    <row r="99942" s="12" customFormat="1" x14ac:dyDescent="0.25"/>
    <row r="99943" s="12" customFormat="1" x14ac:dyDescent="0.25"/>
    <row r="99944" s="12" customFormat="1" x14ac:dyDescent="0.25"/>
    <row r="99945" s="12" customFormat="1" x14ac:dyDescent="0.25"/>
    <row r="99946" s="12" customFormat="1" x14ac:dyDescent="0.25"/>
    <row r="99947" s="12" customFormat="1" x14ac:dyDescent="0.25"/>
    <row r="99948" s="12" customFormat="1" x14ac:dyDescent="0.25"/>
    <row r="99949" s="12" customFormat="1" x14ac:dyDescent="0.25"/>
    <row r="99950" s="12" customFormat="1" x14ac:dyDescent="0.25"/>
    <row r="99951" s="12" customFormat="1" x14ac:dyDescent="0.25"/>
    <row r="99952" s="12" customFormat="1" x14ac:dyDescent="0.25"/>
    <row r="99953" s="12" customFormat="1" x14ac:dyDescent="0.25"/>
    <row r="99954" s="12" customFormat="1" x14ac:dyDescent="0.25"/>
    <row r="99955" s="12" customFormat="1" x14ac:dyDescent="0.25"/>
    <row r="99956" s="12" customFormat="1" x14ac:dyDescent="0.25"/>
    <row r="99957" s="12" customFormat="1" x14ac:dyDescent="0.25"/>
    <row r="99958" s="12" customFormat="1" x14ac:dyDescent="0.25"/>
    <row r="99959" s="12" customFormat="1" x14ac:dyDescent="0.25"/>
    <row r="99960" s="12" customFormat="1" x14ac:dyDescent="0.25"/>
    <row r="99961" s="12" customFormat="1" x14ac:dyDescent="0.25"/>
    <row r="99962" s="12" customFormat="1" x14ac:dyDescent="0.25"/>
    <row r="99963" s="12" customFormat="1" x14ac:dyDescent="0.25"/>
    <row r="99964" s="12" customFormat="1" x14ac:dyDescent="0.25"/>
    <row r="99965" s="12" customFormat="1" x14ac:dyDescent="0.25"/>
    <row r="99966" s="12" customFormat="1" x14ac:dyDescent="0.25"/>
    <row r="99967" s="12" customFormat="1" x14ac:dyDescent="0.25"/>
    <row r="99968" s="12" customFormat="1" x14ac:dyDescent="0.25"/>
    <row r="99969" s="12" customFormat="1" x14ac:dyDescent="0.25"/>
    <row r="99970" s="12" customFormat="1" x14ac:dyDescent="0.25"/>
    <row r="99971" s="12" customFormat="1" x14ac:dyDescent="0.25"/>
    <row r="99972" s="12" customFormat="1" x14ac:dyDescent="0.25"/>
    <row r="99973" s="12" customFormat="1" x14ac:dyDescent="0.25"/>
    <row r="99974" s="12" customFormat="1" x14ac:dyDescent="0.25"/>
    <row r="99975" s="12" customFormat="1" x14ac:dyDescent="0.25"/>
    <row r="99976" s="12" customFormat="1" x14ac:dyDescent="0.25"/>
    <row r="99977" s="12" customFormat="1" x14ac:dyDescent="0.25"/>
    <row r="99978" s="12" customFormat="1" x14ac:dyDescent="0.25"/>
    <row r="99979" s="12" customFormat="1" x14ac:dyDescent="0.25"/>
    <row r="99980" s="12" customFormat="1" x14ac:dyDescent="0.25"/>
    <row r="99981" s="12" customFormat="1" x14ac:dyDescent="0.25"/>
    <row r="99982" s="12" customFormat="1" x14ac:dyDescent="0.25"/>
    <row r="99983" s="12" customFormat="1" x14ac:dyDescent="0.25"/>
    <row r="99984" s="12" customFormat="1" x14ac:dyDescent="0.25"/>
    <row r="99985" s="12" customFormat="1" x14ac:dyDescent="0.25"/>
    <row r="99986" s="12" customFormat="1" x14ac:dyDescent="0.25"/>
    <row r="99987" s="12" customFormat="1" x14ac:dyDescent="0.25"/>
    <row r="99988" s="12" customFormat="1" x14ac:dyDescent="0.25"/>
    <row r="99989" s="12" customFormat="1" x14ac:dyDescent="0.25"/>
    <row r="99990" s="12" customFormat="1" x14ac:dyDescent="0.25"/>
    <row r="99991" s="12" customFormat="1" x14ac:dyDescent="0.25"/>
    <row r="99992" s="12" customFormat="1" x14ac:dyDescent="0.25"/>
    <row r="99993" s="12" customFormat="1" x14ac:dyDescent="0.25"/>
    <row r="99994" s="12" customFormat="1" x14ac:dyDescent="0.25"/>
    <row r="99995" s="12" customFormat="1" x14ac:dyDescent="0.25"/>
    <row r="99996" s="12" customFormat="1" x14ac:dyDescent="0.25"/>
    <row r="99997" s="12" customFormat="1" x14ac:dyDescent="0.25"/>
    <row r="99998" s="12" customFormat="1" x14ac:dyDescent="0.25"/>
    <row r="99999" s="12" customFormat="1" x14ac:dyDescent="0.25"/>
    <row r="100000" s="12" customFormat="1" x14ac:dyDescent="0.25"/>
    <row r="100001" s="12" customFormat="1" x14ac:dyDescent="0.25"/>
    <row r="100002" s="12" customFormat="1" x14ac:dyDescent="0.25"/>
    <row r="100003" s="12" customFormat="1" x14ac:dyDescent="0.25"/>
    <row r="100004" s="12" customFormat="1" x14ac:dyDescent="0.25"/>
    <row r="100005" s="12" customFormat="1" x14ac:dyDescent="0.25"/>
    <row r="100006" s="12" customFormat="1" x14ac:dyDescent="0.25"/>
    <row r="100007" s="12" customFormat="1" x14ac:dyDescent="0.25"/>
    <row r="100008" s="12" customFormat="1" x14ac:dyDescent="0.25"/>
    <row r="100009" s="12" customFormat="1" x14ac:dyDescent="0.25"/>
    <row r="100010" s="12" customFormat="1" x14ac:dyDescent="0.25"/>
    <row r="100011" s="12" customFormat="1" x14ac:dyDescent="0.25"/>
    <row r="100012" s="12" customFormat="1" x14ac:dyDescent="0.25"/>
    <row r="100013" s="12" customFormat="1" x14ac:dyDescent="0.25"/>
    <row r="100014" s="12" customFormat="1" x14ac:dyDescent="0.25"/>
    <row r="100015" s="12" customFormat="1" x14ac:dyDescent="0.25"/>
    <row r="100016" s="12" customFormat="1" x14ac:dyDescent="0.25"/>
    <row r="100017" s="12" customFormat="1" x14ac:dyDescent="0.25"/>
    <row r="100018" s="12" customFormat="1" x14ac:dyDescent="0.25"/>
    <row r="100019" s="12" customFormat="1" x14ac:dyDescent="0.25"/>
    <row r="100020" s="12" customFormat="1" x14ac:dyDescent="0.25"/>
    <row r="100021" s="12" customFormat="1" x14ac:dyDescent="0.25"/>
    <row r="100022" s="12" customFormat="1" x14ac:dyDescent="0.25"/>
    <row r="100023" s="12" customFormat="1" x14ac:dyDescent="0.25"/>
    <row r="100024" s="12" customFormat="1" x14ac:dyDescent="0.25"/>
    <row r="100025" s="12" customFormat="1" x14ac:dyDescent="0.25"/>
    <row r="100026" s="12" customFormat="1" x14ac:dyDescent="0.25"/>
    <row r="100027" s="12" customFormat="1" x14ac:dyDescent="0.25"/>
    <row r="100028" s="12" customFormat="1" x14ac:dyDescent="0.25"/>
    <row r="100029" s="12" customFormat="1" x14ac:dyDescent="0.25"/>
    <row r="100030" s="12" customFormat="1" x14ac:dyDescent="0.25"/>
    <row r="100031" s="12" customFormat="1" x14ac:dyDescent="0.25"/>
    <row r="100032" s="12" customFormat="1" x14ac:dyDescent="0.25"/>
    <row r="100033" s="12" customFormat="1" x14ac:dyDescent="0.25"/>
    <row r="100034" s="12" customFormat="1" x14ac:dyDescent="0.25"/>
    <row r="100035" s="12" customFormat="1" x14ac:dyDescent="0.25"/>
    <row r="100036" s="12" customFormat="1" x14ac:dyDescent="0.25"/>
    <row r="100037" s="12" customFormat="1" x14ac:dyDescent="0.25"/>
    <row r="100038" s="12" customFormat="1" x14ac:dyDescent="0.25"/>
    <row r="100039" s="12" customFormat="1" x14ac:dyDescent="0.25"/>
    <row r="100040" s="12" customFormat="1" x14ac:dyDescent="0.25"/>
    <row r="100041" s="12" customFormat="1" x14ac:dyDescent="0.25"/>
    <row r="100042" s="12" customFormat="1" x14ac:dyDescent="0.25"/>
    <row r="100043" s="12" customFormat="1" x14ac:dyDescent="0.25"/>
    <row r="100044" s="12" customFormat="1" x14ac:dyDescent="0.25"/>
    <row r="100045" s="12" customFormat="1" x14ac:dyDescent="0.25"/>
    <row r="100046" s="12" customFormat="1" x14ac:dyDescent="0.25"/>
    <row r="100047" s="12" customFormat="1" x14ac:dyDescent="0.25"/>
    <row r="100048" s="12" customFormat="1" x14ac:dyDescent="0.25"/>
    <row r="100049" s="12" customFormat="1" x14ac:dyDescent="0.25"/>
    <row r="100050" s="12" customFormat="1" x14ac:dyDescent="0.25"/>
    <row r="100051" s="12" customFormat="1" x14ac:dyDescent="0.25"/>
    <row r="100052" s="12" customFormat="1" x14ac:dyDescent="0.25"/>
    <row r="100053" s="12" customFormat="1" x14ac:dyDescent="0.25"/>
    <row r="100054" s="12" customFormat="1" x14ac:dyDescent="0.25"/>
    <row r="100055" s="12" customFormat="1" x14ac:dyDescent="0.25"/>
    <row r="100056" s="12" customFormat="1" x14ac:dyDescent="0.25"/>
    <row r="100057" s="12" customFormat="1" x14ac:dyDescent="0.25"/>
    <row r="100058" s="12" customFormat="1" x14ac:dyDescent="0.25"/>
    <row r="100059" s="12" customFormat="1" x14ac:dyDescent="0.25"/>
    <row r="100060" s="12" customFormat="1" x14ac:dyDescent="0.25"/>
    <row r="100061" s="12" customFormat="1" x14ac:dyDescent="0.25"/>
    <row r="100062" s="12" customFormat="1" x14ac:dyDescent="0.25"/>
    <row r="100063" s="12" customFormat="1" x14ac:dyDescent="0.25"/>
    <row r="100064" s="12" customFormat="1" x14ac:dyDescent="0.25"/>
    <row r="100065" s="12" customFormat="1" x14ac:dyDescent="0.25"/>
    <row r="100066" s="12" customFormat="1" x14ac:dyDescent="0.25"/>
    <row r="100067" s="12" customFormat="1" x14ac:dyDescent="0.25"/>
    <row r="100068" s="12" customFormat="1" x14ac:dyDescent="0.25"/>
    <row r="100069" s="12" customFormat="1" x14ac:dyDescent="0.25"/>
    <row r="100070" s="12" customFormat="1" x14ac:dyDescent="0.25"/>
    <row r="100071" s="12" customFormat="1" x14ac:dyDescent="0.25"/>
    <row r="100072" s="12" customFormat="1" x14ac:dyDescent="0.25"/>
    <row r="100073" s="12" customFormat="1" x14ac:dyDescent="0.25"/>
    <row r="100074" s="12" customFormat="1" x14ac:dyDescent="0.25"/>
    <row r="100075" s="12" customFormat="1" x14ac:dyDescent="0.25"/>
    <row r="100076" s="12" customFormat="1" x14ac:dyDescent="0.25"/>
    <row r="100077" s="12" customFormat="1" x14ac:dyDescent="0.25"/>
    <row r="100078" s="12" customFormat="1" x14ac:dyDescent="0.25"/>
    <row r="100079" s="12" customFormat="1" x14ac:dyDescent="0.25"/>
    <row r="100080" s="12" customFormat="1" x14ac:dyDescent="0.25"/>
    <row r="100081" s="12" customFormat="1" x14ac:dyDescent="0.25"/>
    <row r="100082" s="12" customFormat="1" x14ac:dyDescent="0.25"/>
    <row r="100083" s="12" customFormat="1" x14ac:dyDescent="0.25"/>
    <row r="100084" s="12" customFormat="1" x14ac:dyDescent="0.25"/>
    <row r="100085" s="12" customFormat="1" x14ac:dyDescent="0.25"/>
    <row r="100086" s="12" customFormat="1" x14ac:dyDescent="0.25"/>
    <row r="100087" s="12" customFormat="1" x14ac:dyDescent="0.25"/>
    <row r="100088" s="12" customFormat="1" x14ac:dyDescent="0.25"/>
    <row r="100089" s="12" customFormat="1" x14ac:dyDescent="0.25"/>
    <row r="100090" s="12" customFormat="1" x14ac:dyDescent="0.25"/>
    <row r="100091" s="12" customFormat="1" x14ac:dyDescent="0.25"/>
    <row r="100092" s="12" customFormat="1" x14ac:dyDescent="0.25"/>
    <row r="100093" s="12" customFormat="1" x14ac:dyDescent="0.25"/>
    <row r="100094" s="12" customFormat="1" x14ac:dyDescent="0.25"/>
    <row r="100095" s="12" customFormat="1" x14ac:dyDescent="0.25"/>
    <row r="100096" s="12" customFormat="1" x14ac:dyDescent="0.25"/>
    <row r="100097" s="12" customFormat="1" x14ac:dyDescent="0.25"/>
    <row r="100098" s="12" customFormat="1" x14ac:dyDescent="0.25"/>
    <row r="100099" s="12" customFormat="1" x14ac:dyDescent="0.25"/>
    <row r="100100" s="12" customFormat="1" x14ac:dyDescent="0.25"/>
    <row r="100101" s="12" customFormat="1" x14ac:dyDescent="0.25"/>
    <row r="100102" s="12" customFormat="1" x14ac:dyDescent="0.25"/>
    <row r="100103" s="12" customFormat="1" x14ac:dyDescent="0.25"/>
    <row r="100104" s="12" customFormat="1" x14ac:dyDescent="0.25"/>
    <row r="100105" s="12" customFormat="1" x14ac:dyDescent="0.25"/>
    <row r="100106" s="12" customFormat="1" x14ac:dyDescent="0.25"/>
    <row r="100107" s="12" customFormat="1" x14ac:dyDescent="0.25"/>
    <row r="100108" s="12" customFormat="1" x14ac:dyDescent="0.25"/>
    <row r="100109" s="12" customFormat="1" x14ac:dyDescent="0.25"/>
    <row r="100110" s="12" customFormat="1" x14ac:dyDescent="0.25"/>
    <row r="100111" s="12" customFormat="1" x14ac:dyDescent="0.25"/>
    <row r="100112" s="12" customFormat="1" x14ac:dyDescent="0.25"/>
    <row r="100113" s="12" customFormat="1" x14ac:dyDescent="0.25"/>
    <row r="100114" s="12" customFormat="1" x14ac:dyDescent="0.25"/>
    <row r="100115" s="12" customFormat="1" x14ac:dyDescent="0.25"/>
    <row r="100116" s="12" customFormat="1" x14ac:dyDescent="0.25"/>
    <row r="100117" s="12" customFormat="1" x14ac:dyDescent="0.25"/>
    <row r="100118" s="12" customFormat="1" x14ac:dyDescent="0.25"/>
    <row r="100119" s="12" customFormat="1" x14ac:dyDescent="0.25"/>
    <row r="100120" s="12" customFormat="1" x14ac:dyDescent="0.25"/>
    <row r="100121" s="12" customFormat="1" x14ac:dyDescent="0.25"/>
    <row r="100122" s="12" customFormat="1" x14ac:dyDescent="0.25"/>
    <row r="100123" s="12" customFormat="1" x14ac:dyDescent="0.25"/>
    <row r="100124" s="12" customFormat="1" x14ac:dyDescent="0.25"/>
    <row r="100125" s="12" customFormat="1" x14ac:dyDescent="0.25"/>
    <row r="100126" s="12" customFormat="1" x14ac:dyDescent="0.25"/>
    <row r="100127" s="12" customFormat="1" x14ac:dyDescent="0.25"/>
    <row r="100128" s="12" customFormat="1" x14ac:dyDescent="0.25"/>
    <row r="100129" s="12" customFormat="1" x14ac:dyDescent="0.25"/>
    <row r="100130" s="12" customFormat="1" x14ac:dyDescent="0.25"/>
    <row r="100131" s="12" customFormat="1" x14ac:dyDescent="0.25"/>
    <row r="100132" s="12" customFormat="1" x14ac:dyDescent="0.25"/>
    <row r="100133" s="12" customFormat="1" x14ac:dyDescent="0.25"/>
    <row r="100134" s="12" customFormat="1" x14ac:dyDescent="0.25"/>
    <row r="100135" s="12" customFormat="1" x14ac:dyDescent="0.25"/>
    <row r="100136" s="12" customFormat="1" x14ac:dyDescent="0.25"/>
    <row r="100137" s="12" customFormat="1" x14ac:dyDescent="0.25"/>
    <row r="100138" s="12" customFormat="1" x14ac:dyDescent="0.25"/>
    <row r="100139" s="12" customFormat="1" x14ac:dyDescent="0.25"/>
    <row r="100140" s="12" customFormat="1" x14ac:dyDescent="0.25"/>
    <row r="100141" s="12" customFormat="1" x14ac:dyDescent="0.25"/>
    <row r="100142" s="12" customFormat="1" x14ac:dyDescent="0.25"/>
    <row r="100143" s="12" customFormat="1" x14ac:dyDescent="0.25"/>
    <row r="100144" s="12" customFormat="1" x14ac:dyDescent="0.25"/>
    <row r="100145" s="12" customFormat="1" x14ac:dyDescent="0.25"/>
    <row r="100146" s="12" customFormat="1" x14ac:dyDescent="0.25"/>
    <row r="100147" s="12" customFormat="1" x14ac:dyDescent="0.25"/>
    <row r="100148" s="12" customFormat="1" x14ac:dyDescent="0.25"/>
    <row r="100149" s="12" customFormat="1" x14ac:dyDescent="0.25"/>
    <row r="100150" s="12" customFormat="1" x14ac:dyDescent="0.25"/>
    <row r="100151" s="12" customFormat="1" x14ac:dyDescent="0.25"/>
    <row r="100152" s="12" customFormat="1" x14ac:dyDescent="0.25"/>
    <row r="100153" s="12" customFormat="1" x14ac:dyDescent="0.25"/>
    <row r="100154" s="12" customFormat="1" x14ac:dyDescent="0.25"/>
    <row r="100155" s="12" customFormat="1" x14ac:dyDescent="0.25"/>
    <row r="100156" s="12" customFormat="1" x14ac:dyDescent="0.25"/>
    <row r="100157" s="12" customFormat="1" x14ac:dyDescent="0.25"/>
    <row r="100158" s="12" customFormat="1" x14ac:dyDescent="0.25"/>
    <row r="100159" s="12" customFormat="1" x14ac:dyDescent="0.25"/>
    <row r="100160" s="12" customFormat="1" x14ac:dyDescent="0.25"/>
    <row r="100161" s="12" customFormat="1" x14ac:dyDescent="0.25"/>
    <row r="100162" s="12" customFormat="1" x14ac:dyDescent="0.25"/>
    <row r="100163" s="12" customFormat="1" x14ac:dyDescent="0.25"/>
    <row r="100164" s="12" customFormat="1" x14ac:dyDescent="0.25"/>
    <row r="100165" s="12" customFormat="1" x14ac:dyDescent="0.25"/>
    <row r="100166" s="12" customFormat="1" x14ac:dyDescent="0.25"/>
    <row r="100167" s="12" customFormat="1" x14ac:dyDescent="0.25"/>
    <row r="100168" s="12" customFormat="1" x14ac:dyDescent="0.25"/>
    <row r="100169" s="12" customFormat="1" x14ac:dyDescent="0.25"/>
    <row r="100170" s="12" customFormat="1" x14ac:dyDescent="0.25"/>
    <row r="100171" s="12" customFormat="1" x14ac:dyDescent="0.25"/>
    <row r="100172" s="12" customFormat="1" x14ac:dyDescent="0.25"/>
    <row r="100173" s="12" customFormat="1" x14ac:dyDescent="0.25"/>
    <row r="100174" s="12" customFormat="1" x14ac:dyDescent="0.25"/>
    <row r="100175" s="12" customFormat="1" x14ac:dyDescent="0.25"/>
    <row r="100176" s="12" customFormat="1" x14ac:dyDescent="0.25"/>
    <row r="100177" s="12" customFormat="1" x14ac:dyDescent="0.25"/>
    <row r="100178" s="12" customFormat="1" x14ac:dyDescent="0.25"/>
    <row r="100179" s="12" customFormat="1" x14ac:dyDescent="0.25"/>
    <row r="100180" s="12" customFormat="1" x14ac:dyDescent="0.25"/>
    <row r="100181" s="12" customFormat="1" x14ac:dyDescent="0.25"/>
    <row r="100182" s="12" customFormat="1" x14ac:dyDescent="0.25"/>
    <row r="100183" s="12" customFormat="1" x14ac:dyDescent="0.25"/>
    <row r="100184" s="12" customFormat="1" x14ac:dyDescent="0.25"/>
    <row r="100185" s="12" customFormat="1" x14ac:dyDescent="0.25"/>
    <row r="100186" s="12" customFormat="1" x14ac:dyDescent="0.25"/>
    <row r="100187" s="12" customFormat="1" x14ac:dyDescent="0.25"/>
    <row r="100188" s="12" customFormat="1" x14ac:dyDescent="0.25"/>
    <row r="100189" s="12" customFormat="1" x14ac:dyDescent="0.25"/>
    <row r="100190" s="12" customFormat="1" x14ac:dyDescent="0.25"/>
    <row r="100191" s="12" customFormat="1" x14ac:dyDescent="0.25"/>
    <row r="100192" s="12" customFormat="1" x14ac:dyDescent="0.25"/>
    <row r="100193" s="12" customFormat="1" x14ac:dyDescent="0.25"/>
    <row r="100194" s="12" customFormat="1" x14ac:dyDescent="0.25"/>
    <row r="100195" s="12" customFormat="1" x14ac:dyDescent="0.25"/>
    <row r="100196" s="12" customFormat="1" x14ac:dyDescent="0.25"/>
    <row r="100197" s="12" customFormat="1" x14ac:dyDescent="0.25"/>
    <row r="100198" s="12" customFormat="1" x14ac:dyDescent="0.25"/>
    <row r="100199" s="12" customFormat="1" x14ac:dyDescent="0.25"/>
    <row r="100200" s="12" customFormat="1" x14ac:dyDescent="0.25"/>
    <row r="100201" s="12" customFormat="1" x14ac:dyDescent="0.25"/>
    <row r="100202" s="12" customFormat="1" x14ac:dyDescent="0.25"/>
    <row r="100203" s="12" customFormat="1" x14ac:dyDescent="0.25"/>
    <row r="100204" s="12" customFormat="1" x14ac:dyDescent="0.25"/>
    <row r="100205" s="12" customFormat="1" x14ac:dyDescent="0.25"/>
    <row r="100206" s="12" customFormat="1" x14ac:dyDescent="0.25"/>
    <row r="100207" s="12" customFormat="1" x14ac:dyDescent="0.25"/>
    <row r="100208" s="12" customFormat="1" x14ac:dyDescent="0.25"/>
    <row r="100209" s="12" customFormat="1" x14ac:dyDescent="0.25"/>
    <row r="100210" s="12" customFormat="1" x14ac:dyDescent="0.25"/>
    <row r="100211" s="12" customFormat="1" x14ac:dyDescent="0.25"/>
    <row r="100212" s="12" customFormat="1" x14ac:dyDescent="0.25"/>
    <row r="100213" s="12" customFormat="1" x14ac:dyDescent="0.25"/>
    <row r="100214" s="12" customFormat="1" x14ac:dyDescent="0.25"/>
    <row r="100215" s="12" customFormat="1" x14ac:dyDescent="0.25"/>
    <row r="100216" s="12" customFormat="1" x14ac:dyDescent="0.25"/>
    <row r="100217" s="12" customFormat="1" x14ac:dyDescent="0.25"/>
    <row r="100218" s="12" customFormat="1" x14ac:dyDescent="0.25"/>
    <row r="100219" s="12" customFormat="1" x14ac:dyDescent="0.25"/>
    <row r="100220" s="12" customFormat="1" x14ac:dyDescent="0.25"/>
    <row r="100221" s="12" customFormat="1" x14ac:dyDescent="0.25"/>
    <row r="100222" s="12" customFormat="1" x14ac:dyDescent="0.25"/>
    <row r="100223" s="12" customFormat="1" x14ac:dyDescent="0.25"/>
    <row r="100224" s="12" customFormat="1" x14ac:dyDescent="0.25"/>
    <row r="100225" s="12" customFormat="1" x14ac:dyDescent="0.25"/>
    <row r="100226" s="12" customFormat="1" x14ac:dyDescent="0.25"/>
    <row r="100227" s="12" customFormat="1" x14ac:dyDescent="0.25"/>
    <row r="100228" s="12" customFormat="1" x14ac:dyDescent="0.25"/>
    <row r="100229" s="12" customFormat="1" x14ac:dyDescent="0.25"/>
    <row r="100230" s="12" customFormat="1" x14ac:dyDescent="0.25"/>
    <row r="100231" s="12" customFormat="1" x14ac:dyDescent="0.25"/>
    <row r="100232" s="12" customFormat="1" x14ac:dyDescent="0.25"/>
    <row r="100233" s="12" customFormat="1" x14ac:dyDescent="0.25"/>
    <row r="100234" s="12" customFormat="1" x14ac:dyDescent="0.25"/>
    <row r="100235" s="12" customFormat="1" x14ac:dyDescent="0.25"/>
    <row r="100236" s="12" customFormat="1" x14ac:dyDescent="0.25"/>
    <row r="100237" s="12" customFormat="1" x14ac:dyDescent="0.25"/>
    <row r="100238" s="12" customFormat="1" x14ac:dyDescent="0.25"/>
    <row r="100239" s="12" customFormat="1" x14ac:dyDescent="0.25"/>
    <row r="100240" s="12" customFormat="1" x14ac:dyDescent="0.25"/>
    <row r="100241" s="12" customFormat="1" x14ac:dyDescent="0.25"/>
    <row r="100242" s="12" customFormat="1" x14ac:dyDescent="0.25"/>
    <row r="100243" s="12" customFormat="1" x14ac:dyDescent="0.25"/>
    <row r="100244" s="12" customFormat="1" x14ac:dyDescent="0.25"/>
    <row r="100245" s="12" customFormat="1" x14ac:dyDescent="0.25"/>
    <row r="100246" s="12" customFormat="1" x14ac:dyDescent="0.25"/>
    <row r="100247" s="12" customFormat="1" x14ac:dyDescent="0.25"/>
    <row r="100248" s="12" customFormat="1" x14ac:dyDescent="0.25"/>
    <row r="100249" s="12" customFormat="1" x14ac:dyDescent="0.25"/>
    <row r="100250" s="12" customFormat="1" x14ac:dyDescent="0.25"/>
    <row r="100251" s="12" customFormat="1" x14ac:dyDescent="0.25"/>
    <row r="100252" s="12" customFormat="1" x14ac:dyDescent="0.25"/>
    <row r="100253" s="12" customFormat="1" x14ac:dyDescent="0.25"/>
    <row r="100254" s="12" customFormat="1" x14ac:dyDescent="0.25"/>
    <row r="100255" s="12" customFormat="1" x14ac:dyDescent="0.25"/>
    <row r="100256" s="12" customFormat="1" x14ac:dyDescent="0.25"/>
    <row r="100257" s="12" customFormat="1" x14ac:dyDescent="0.25"/>
    <row r="100258" s="12" customFormat="1" x14ac:dyDescent="0.25"/>
    <row r="100259" s="12" customFormat="1" x14ac:dyDescent="0.25"/>
    <row r="100260" s="12" customFormat="1" x14ac:dyDescent="0.25"/>
    <row r="100261" s="12" customFormat="1" x14ac:dyDescent="0.25"/>
    <row r="100262" s="12" customFormat="1" x14ac:dyDescent="0.25"/>
    <row r="100263" s="12" customFormat="1" x14ac:dyDescent="0.25"/>
    <row r="100264" s="12" customFormat="1" x14ac:dyDescent="0.25"/>
    <row r="100265" s="12" customFormat="1" x14ac:dyDescent="0.25"/>
    <row r="100266" s="12" customFormat="1" x14ac:dyDescent="0.25"/>
    <row r="100267" s="12" customFormat="1" x14ac:dyDescent="0.25"/>
    <row r="100268" s="12" customFormat="1" x14ac:dyDescent="0.25"/>
    <row r="100269" s="12" customFormat="1" x14ac:dyDescent="0.25"/>
    <row r="100270" s="12" customFormat="1" x14ac:dyDescent="0.25"/>
    <row r="100271" s="12" customFormat="1" x14ac:dyDescent="0.25"/>
    <row r="100272" s="12" customFormat="1" x14ac:dyDescent="0.25"/>
    <row r="100273" s="12" customFormat="1" x14ac:dyDescent="0.25"/>
    <row r="100274" s="12" customFormat="1" x14ac:dyDescent="0.25"/>
    <row r="100275" s="12" customFormat="1" x14ac:dyDescent="0.25"/>
    <row r="100276" s="12" customFormat="1" x14ac:dyDescent="0.25"/>
    <row r="100277" s="12" customFormat="1" x14ac:dyDescent="0.25"/>
    <row r="100278" s="12" customFormat="1" x14ac:dyDescent="0.25"/>
    <row r="100279" s="12" customFormat="1" x14ac:dyDescent="0.25"/>
    <row r="100280" s="12" customFormat="1" x14ac:dyDescent="0.25"/>
    <row r="100281" s="12" customFormat="1" x14ac:dyDescent="0.25"/>
    <row r="100282" s="12" customFormat="1" x14ac:dyDescent="0.25"/>
    <row r="100283" s="12" customFormat="1" x14ac:dyDescent="0.25"/>
    <row r="100284" s="12" customFormat="1" x14ac:dyDescent="0.25"/>
    <row r="100285" s="12" customFormat="1" x14ac:dyDescent="0.25"/>
    <row r="100286" s="12" customFormat="1" x14ac:dyDescent="0.25"/>
    <row r="100287" s="12" customFormat="1" x14ac:dyDescent="0.25"/>
    <row r="100288" s="12" customFormat="1" x14ac:dyDescent="0.25"/>
    <row r="100289" s="12" customFormat="1" x14ac:dyDescent="0.25"/>
    <row r="100290" s="12" customFormat="1" x14ac:dyDescent="0.25"/>
    <row r="100291" s="12" customFormat="1" x14ac:dyDescent="0.25"/>
    <row r="100292" s="12" customFormat="1" x14ac:dyDescent="0.25"/>
    <row r="100293" s="12" customFormat="1" x14ac:dyDescent="0.25"/>
    <row r="100294" s="12" customFormat="1" x14ac:dyDescent="0.25"/>
    <row r="100295" s="12" customFormat="1" x14ac:dyDescent="0.25"/>
    <row r="100296" s="12" customFormat="1" x14ac:dyDescent="0.25"/>
    <row r="100297" s="12" customFormat="1" x14ac:dyDescent="0.25"/>
    <row r="100298" s="12" customFormat="1" x14ac:dyDescent="0.25"/>
    <row r="100299" s="12" customFormat="1" x14ac:dyDescent="0.25"/>
    <row r="100300" s="12" customFormat="1" x14ac:dyDescent="0.25"/>
    <row r="100301" s="12" customFormat="1" x14ac:dyDescent="0.25"/>
    <row r="100302" s="12" customFormat="1" x14ac:dyDescent="0.25"/>
    <row r="100303" s="12" customFormat="1" x14ac:dyDescent="0.25"/>
    <row r="100304" s="12" customFormat="1" x14ac:dyDescent="0.25"/>
    <row r="100305" s="12" customFormat="1" x14ac:dyDescent="0.25"/>
    <row r="100306" s="12" customFormat="1" x14ac:dyDescent="0.25"/>
    <row r="100307" s="12" customFormat="1" x14ac:dyDescent="0.25"/>
    <row r="100308" s="12" customFormat="1" x14ac:dyDescent="0.25"/>
    <row r="100309" s="12" customFormat="1" x14ac:dyDescent="0.25"/>
    <row r="100310" s="12" customFormat="1" x14ac:dyDescent="0.25"/>
    <row r="100311" s="12" customFormat="1" x14ac:dyDescent="0.25"/>
    <row r="100312" s="12" customFormat="1" x14ac:dyDescent="0.25"/>
    <row r="100313" s="12" customFormat="1" x14ac:dyDescent="0.25"/>
    <row r="100314" s="12" customFormat="1" x14ac:dyDescent="0.25"/>
    <row r="100315" s="12" customFormat="1" x14ac:dyDescent="0.25"/>
    <row r="100316" s="12" customFormat="1" x14ac:dyDescent="0.25"/>
    <row r="100317" s="12" customFormat="1" x14ac:dyDescent="0.25"/>
    <row r="100318" s="12" customFormat="1" x14ac:dyDescent="0.25"/>
    <row r="100319" s="12" customFormat="1" x14ac:dyDescent="0.25"/>
    <row r="100320" s="12" customFormat="1" x14ac:dyDescent="0.25"/>
    <row r="100321" s="12" customFormat="1" x14ac:dyDescent="0.25"/>
    <row r="100322" s="12" customFormat="1" x14ac:dyDescent="0.25"/>
    <row r="100323" s="12" customFormat="1" x14ac:dyDescent="0.25"/>
    <row r="100324" s="12" customFormat="1" x14ac:dyDescent="0.25"/>
    <row r="100325" s="12" customFormat="1" x14ac:dyDescent="0.25"/>
    <row r="100326" s="12" customFormat="1" x14ac:dyDescent="0.25"/>
    <row r="100327" s="12" customFormat="1" x14ac:dyDescent="0.25"/>
    <row r="100328" s="12" customFormat="1" x14ac:dyDescent="0.25"/>
    <row r="100329" s="12" customFormat="1" x14ac:dyDescent="0.25"/>
    <row r="100330" s="12" customFormat="1" x14ac:dyDescent="0.25"/>
    <row r="100331" s="12" customFormat="1" x14ac:dyDescent="0.25"/>
    <row r="100332" s="12" customFormat="1" x14ac:dyDescent="0.25"/>
    <row r="100333" s="12" customFormat="1" x14ac:dyDescent="0.25"/>
    <row r="100334" s="12" customFormat="1" x14ac:dyDescent="0.25"/>
    <row r="100335" s="12" customFormat="1" x14ac:dyDescent="0.25"/>
    <row r="100336" s="12" customFormat="1" x14ac:dyDescent="0.25"/>
    <row r="100337" s="12" customFormat="1" x14ac:dyDescent="0.25"/>
    <row r="100338" s="12" customFormat="1" x14ac:dyDescent="0.25"/>
    <row r="100339" s="12" customFormat="1" x14ac:dyDescent="0.25"/>
    <row r="100340" s="12" customFormat="1" x14ac:dyDescent="0.25"/>
    <row r="100341" s="12" customFormat="1" x14ac:dyDescent="0.25"/>
    <row r="100342" s="12" customFormat="1" x14ac:dyDescent="0.25"/>
    <row r="100343" s="12" customFormat="1" x14ac:dyDescent="0.25"/>
    <row r="100344" s="12" customFormat="1" x14ac:dyDescent="0.25"/>
    <row r="100345" s="12" customFormat="1" x14ac:dyDescent="0.25"/>
    <row r="100346" s="12" customFormat="1" x14ac:dyDescent="0.25"/>
    <row r="100347" s="12" customFormat="1" x14ac:dyDescent="0.25"/>
    <row r="100348" s="12" customFormat="1" x14ac:dyDescent="0.25"/>
    <row r="100349" s="12" customFormat="1" x14ac:dyDescent="0.25"/>
    <row r="100350" s="12" customFormat="1" x14ac:dyDescent="0.25"/>
    <row r="100351" s="12" customFormat="1" x14ac:dyDescent="0.25"/>
    <row r="100352" s="12" customFormat="1" x14ac:dyDescent="0.25"/>
    <row r="100353" s="12" customFormat="1" x14ac:dyDescent="0.25"/>
    <row r="100354" s="12" customFormat="1" x14ac:dyDescent="0.25"/>
    <row r="100355" s="12" customFormat="1" x14ac:dyDescent="0.25"/>
    <row r="100356" s="12" customFormat="1" x14ac:dyDescent="0.25"/>
    <row r="100357" s="12" customFormat="1" x14ac:dyDescent="0.25"/>
    <row r="100358" s="12" customFormat="1" x14ac:dyDescent="0.25"/>
    <row r="100359" s="12" customFormat="1" x14ac:dyDescent="0.25"/>
    <row r="100360" s="12" customFormat="1" x14ac:dyDescent="0.25"/>
    <row r="100361" s="12" customFormat="1" x14ac:dyDescent="0.25"/>
    <row r="100362" s="12" customFormat="1" x14ac:dyDescent="0.25"/>
    <row r="100363" s="12" customFormat="1" x14ac:dyDescent="0.25"/>
    <row r="100364" s="12" customFormat="1" x14ac:dyDescent="0.25"/>
    <row r="100365" s="12" customFormat="1" x14ac:dyDescent="0.25"/>
    <row r="100366" s="12" customFormat="1" x14ac:dyDescent="0.25"/>
    <row r="100367" s="12" customFormat="1" x14ac:dyDescent="0.25"/>
    <row r="100368" s="12" customFormat="1" x14ac:dyDescent="0.25"/>
    <row r="100369" s="12" customFormat="1" x14ac:dyDescent="0.25"/>
    <row r="100370" s="12" customFormat="1" x14ac:dyDescent="0.25"/>
    <row r="100371" s="12" customFormat="1" x14ac:dyDescent="0.25"/>
    <row r="100372" s="12" customFormat="1" x14ac:dyDescent="0.25"/>
    <row r="100373" s="12" customFormat="1" x14ac:dyDescent="0.25"/>
    <row r="100374" s="12" customFormat="1" x14ac:dyDescent="0.25"/>
    <row r="100375" s="12" customFormat="1" x14ac:dyDescent="0.25"/>
    <row r="100376" s="12" customFormat="1" x14ac:dyDescent="0.25"/>
    <row r="100377" s="12" customFormat="1" x14ac:dyDescent="0.25"/>
    <row r="100378" s="12" customFormat="1" x14ac:dyDescent="0.25"/>
    <row r="100379" s="12" customFormat="1" x14ac:dyDescent="0.25"/>
    <row r="100380" s="12" customFormat="1" x14ac:dyDescent="0.25"/>
    <row r="100381" s="12" customFormat="1" x14ac:dyDescent="0.25"/>
    <row r="100382" s="12" customFormat="1" x14ac:dyDescent="0.25"/>
    <row r="100383" s="12" customFormat="1" x14ac:dyDescent="0.25"/>
    <row r="100384" s="12" customFormat="1" x14ac:dyDescent="0.25"/>
    <row r="100385" s="12" customFormat="1" x14ac:dyDescent="0.25"/>
    <row r="100386" s="12" customFormat="1" x14ac:dyDescent="0.25"/>
    <row r="100387" s="12" customFormat="1" x14ac:dyDescent="0.25"/>
    <row r="100388" s="12" customFormat="1" x14ac:dyDescent="0.25"/>
    <row r="100389" s="12" customFormat="1" x14ac:dyDescent="0.25"/>
    <row r="100390" s="12" customFormat="1" x14ac:dyDescent="0.25"/>
    <row r="100391" s="12" customFormat="1" x14ac:dyDescent="0.25"/>
    <row r="100392" s="12" customFormat="1" x14ac:dyDescent="0.25"/>
    <row r="100393" s="12" customFormat="1" x14ac:dyDescent="0.25"/>
    <row r="100394" s="12" customFormat="1" x14ac:dyDescent="0.25"/>
    <row r="100395" s="12" customFormat="1" x14ac:dyDescent="0.25"/>
    <row r="100396" s="12" customFormat="1" x14ac:dyDescent="0.25"/>
    <row r="100397" s="12" customFormat="1" x14ac:dyDescent="0.25"/>
    <row r="100398" s="12" customFormat="1" x14ac:dyDescent="0.25"/>
    <row r="100399" s="12" customFormat="1" x14ac:dyDescent="0.25"/>
    <row r="100400" s="12" customFormat="1" x14ac:dyDescent="0.25"/>
    <row r="100401" s="12" customFormat="1" x14ac:dyDescent="0.25"/>
    <row r="100402" s="12" customFormat="1" x14ac:dyDescent="0.25"/>
    <row r="100403" s="12" customFormat="1" x14ac:dyDescent="0.25"/>
    <row r="100404" s="12" customFormat="1" x14ac:dyDescent="0.25"/>
    <row r="100405" s="12" customFormat="1" x14ac:dyDescent="0.25"/>
    <row r="100406" s="12" customFormat="1" x14ac:dyDescent="0.25"/>
    <row r="100407" s="12" customFormat="1" x14ac:dyDescent="0.25"/>
    <row r="100408" s="12" customFormat="1" x14ac:dyDescent="0.25"/>
    <row r="100409" s="12" customFormat="1" x14ac:dyDescent="0.25"/>
    <row r="100410" s="12" customFormat="1" x14ac:dyDescent="0.25"/>
    <row r="100411" s="12" customFormat="1" x14ac:dyDescent="0.25"/>
    <row r="100412" s="12" customFormat="1" x14ac:dyDescent="0.25"/>
    <row r="100413" s="12" customFormat="1" x14ac:dyDescent="0.25"/>
    <row r="100414" s="12" customFormat="1" x14ac:dyDescent="0.25"/>
    <row r="100415" s="12" customFormat="1" x14ac:dyDescent="0.25"/>
    <row r="100416" s="12" customFormat="1" x14ac:dyDescent="0.25"/>
    <row r="100417" s="12" customFormat="1" x14ac:dyDescent="0.25"/>
    <row r="100418" s="12" customFormat="1" x14ac:dyDescent="0.25"/>
    <row r="100419" s="12" customFormat="1" x14ac:dyDescent="0.25"/>
    <row r="100420" s="12" customFormat="1" x14ac:dyDescent="0.25"/>
    <row r="100421" s="12" customFormat="1" x14ac:dyDescent="0.25"/>
    <row r="100422" s="12" customFormat="1" x14ac:dyDescent="0.25"/>
    <row r="100423" s="12" customFormat="1" x14ac:dyDescent="0.25"/>
    <row r="100424" s="12" customFormat="1" x14ac:dyDescent="0.25"/>
    <row r="100425" s="12" customFormat="1" x14ac:dyDescent="0.25"/>
    <row r="100426" s="12" customFormat="1" x14ac:dyDescent="0.25"/>
    <row r="100427" s="12" customFormat="1" x14ac:dyDescent="0.25"/>
    <row r="100428" s="12" customFormat="1" x14ac:dyDescent="0.25"/>
    <row r="100429" s="12" customFormat="1" x14ac:dyDescent="0.25"/>
    <row r="100430" s="12" customFormat="1" x14ac:dyDescent="0.25"/>
    <row r="100431" s="12" customFormat="1" x14ac:dyDescent="0.25"/>
    <row r="100432" s="12" customFormat="1" x14ac:dyDescent="0.25"/>
    <row r="100433" s="12" customFormat="1" x14ac:dyDescent="0.25"/>
    <row r="100434" s="12" customFormat="1" x14ac:dyDescent="0.25"/>
    <row r="100435" s="12" customFormat="1" x14ac:dyDescent="0.25"/>
    <row r="100436" s="12" customFormat="1" x14ac:dyDescent="0.25"/>
    <row r="100437" s="12" customFormat="1" x14ac:dyDescent="0.25"/>
    <row r="100438" s="12" customFormat="1" x14ac:dyDescent="0.25"/>
    <row r="100439" s="12" customFormat="1" x14ac:dyDescent="0.25"/>
    <row r="100440" s="12" customFormat="1" x14ac:dyDescent="0.25"/>
    <row r="100441" s="12" customFormat="1" x14ac:dyDescent="0.25"/>
    <row r="100442" s="12" customFormat="1" x14ac:dyDescent="0.25"/>
    <row r="100443" s="12" customFormat="1" x14ac:dyDescent="0.25"/>
    <row r="100444" s="12" customFormat="1" x14ac:dyDescent="0.25"/>
    <row r="100445" s="12" customFormat="1" x14ac:dyDescent="0.25"/>
    <row r="100446" s="12" customFormat="1" x14ac:dyDescent="0.25"/>
    <row r="100447" s="12" customFormat="1" x14ac:dyDescent="0.25"/>
    <row r="100448" s="12" customFormat="1" x14ac:dyDescent="0.25"/>
    <row r="100449" s="12" customFormat="1" x14ac:dyDescent="0.25"/>
    <row r="100450" s="12" customFormat="1" x14ac:dyDescent="0.25"/>
    <row r="100451" s="12" customFormat="1" x14ac:dyDescent="0.25"/>
    <row r="100452" s="12" customFormat="1" x14ac:dyDescent="0.25"/>
    <row r="100453" s="12" customFormat="1" x14ac:dyDescent="0.25"/>
    <row r="100454" s="12" customFormat="1" x14ac:dyDescent="0.25"/>
    <row r="100455" s="12" customFormat="1" x14ac:dyDescent="0.25"/>
    <row r="100456" s="12" customFormat="1" x14ac:dyDescent="0.25"/>
    <row r="100457" s="12" customFormat="1" x14ac:dyDescent="0.25"/>
    <row r="100458" s="12" customFormat="1" x14ac:dyDescent="0.25"/>
    <row r="100459" s="12" customFormat="1" x14ac:dyDescent="0.25"/>
    <row r="100460" s="12" customFormat="1" x14ac:dyDescent="0.25"/>
    <row r="100461" s="12" customFormat="1" x14ac:dyDescent="0.25"/>
    <row r="100462" s="12" customFormat="1" x14ac:dyDescent="0.25"/>
    <row r="100463" s="12" customFormat="1" x14ac:dyDescent="0.25"/>
    <row r="100464" s="12" customFormat="1" x14ac:dyDescent="0.25"/>
    <row r="100465" s="12" customFormat="1" x14ac:dyDescent="0.25"/>
    <row r="100466" s="12" customFormat="1" x14ac:dyDescent="0.25"/>
    <row r="100467" s="12" customFormat="1" x14ac:dyDescent="0.25"/>
    <row r="100468" s="12" customFormat="1" x14ac:dyDescent="0.25"/>
    <row r="100469" s="12" customFormat="1" x14ac:dyDescent="0.25"/>
    <row r="100470" s="12" customFormat="1" x14ac:dyDescent="0.25"/>
    <row r="100471" s="12" customFormat="1" x14ac:dyDescent="0.25"/>
    <row r="100472" s="12" customFormat="1" x14ac:dyDescent="0.25"/>
    <row r="100473" s="12" customFormat="1" x14ac:dyDescent="0.25"/>
    <row r="100474" s="12" customFormat="1" x14ac:dyDescent="0.25"/>
    <row r="100475" s="12" customFormat="1" x14ac:dyDescent="0.25"/>
    <row r="100476" s="12" customFormat="1" x14ac:dyDescent="0.25"/>
    <row r="100477" s="12" customFormat="1" x14ac:dyDescent="0.25"/>
    <row r="100478" s="12" customFormat="1" x14ac:dyDescent="0.25"/>
    <row r="100479" s="12" customFormat="1" x14ac:dyDescent="0.25"/>
    <row r="100480" s="12" customFormat="1" x14ac:dyDescent="0.25"/>
    <row r="100481" s="12" customFormat="1" x14ac:dyDescent="0.25"/>
    <row r="100482" s="12" customFormat="1" x14ac:dyDescent="0.25"/>
    <row r="100483" s="12" customFormat="1" x14ac:dyDescent="0.25"/>
    <row r="100484" s="12" customFormat="1" x14ac:dyDescent="0.25"/>
    <row r="100485" s="12" customFormat="1" x14ac:dyDescent="0.25"/>
    <row r="100486" s="12" customFormat="1" x14ac:dyDescent="0.25"/>
    <row r="100487" s="12" customFormat="1" x14ac:dyDescent="0.25"/>
    <row r="100488" s="12" customFormat="1" x14ac:dyDescent="0.25"/>
    <row r="100489" s="12" customFormat="1" x14ac:dyDescent="0.25"/>
    <row r="100490" s="12" customFormat="1" x14ac:dyDescent="0.25"/>
    <row r="100491" s="12" customFormat="1" x14ac:dyDescent="0.25"/>
    <row r="100492" s="12" customFormat="1" x14ac:dyDescent="0.25"/>
    <row r="100493" s="12" customFormat="1" x14ac:dyDescent="0.25"/>
    <row r="100494" s="12" customFormat="1" x14ac:dyDescent="0.25"/>
    <row r="100495" s="12" customFormat="1" x14ac:dyDescent="0.25"/>
    <row r="100496" s="12" customFormat="1" x14ac:dyDescent="0.25"/>
    <row r="100497" s="12" customFormat="1" x14ac:dyDescent="0.25"/>
    <row r="100498" s="12" customFormat="1" x14ac:dyDescent="0.25"/>
    <row r="100499" s="12" customFormat="1" x14ac:dyDescent="0.25"/>
    <row r="100500" s="12" customFormat="1" x14ac:dyDescent="0.25"/>
    <row r="100501" s="12" customFormat="1" x14ac:dyDescent="0.25"/>
    <row r="100502" s="12" customFormat="1" x14ac:dyDescent="0.25"/>
    <row r="100503" s="12" customFormat="1" x14ac:dyDescent="0.25"/>
    <row r="100504" s="12" customFormat="1" x14ac:dyDescent="0.25"/>
    <row r="100505" s="12" customFormat="1" x14ac:dyDescent="0.25"/>
    <row r="100506" s="12" customFormat="1" x14ac:dyDescent="0.25"/>
    <row r="100507" s="12" customFormat="1" x14ac:dyDescent="0.25"/>
    <row r="100508" s="12" customFormat="1" x14ac:dyDescent="0.25"/>
    <row r="100509" s="12" customFormat="1" x14ac:dyDescent="0.25"/>
    <row r="100510" s="12" customFormat="1" x14ac:dyDescent="0.25"/>
    <row r="100511" s="12" customFormat="1" x14ac:dyDescent="0.25"/>
    <row r="100512" s="12" customFormat="1" x14ac:dyDescent="0.25"/>
    <row r="100513" s="12" customFormat="1" x14ac:dyDescent="0.25"/>
    <row r="100514" s="12" customFormat="1" x14ac:dyDescent="0.25"/>
    <row r="100515" s="12" customFormat="1" x14ac:dyDescent="0.25"/>
    <row r="100516" s="12" customFormat="1" x14ac:dyDescent="0.25"/>
    <row r="100517" s="12" customFormat="1" x14ac:dyDescent="0.25"/>
    <row r="100518" s="12" customFormat="1" x14ac:dyDescent="0.25"/>
    <row r="100519" s="12" customFormat="1" x14ac:dyDescent="0.25"/>
    <row r="100520" s="12" customFormat="1" x14ac:dyDescent="0.25"/>
    <row r="100521" s="12" customFormat="1" x14ac:dyDescent="0.25"/>
    <row r="100522" s="12" customFormat="1" x14ac:dyDescent="0.25"/>
    <row r="100523" s="12" customFormat="1" x14ac:dyDescent="0.25"/>
    <row r="100524" s="12" customFormat="1" x14ac:dyDescent="0.25"/>
    <row r="100525" s="12" customFormat="1" x14ac:dyDescent="0.25"/>
    <row r="100526" s="12" customFormat="1" x14ac:dyDescent="0.25"/>
    <row r="100527" s="12" customFormat="1" x14ac:dyDescent="0.25"/>
    <row r="100528" s="12" customFormat="1" x14ac:dyDescent="0.25"/>
    <row r="100529" s="12" customFormat="1" x14ac:dyDescent="0.25"/>
    <row r="100530" s="12" customFormat="1" x14ac:dyDescent="0.25"/>
    <row r="100531" s="12" customFormat="1" x14ac:dyDescent="0.25"/>
    <row r="100532" s="12" customFormat="1" x14ac:dyDescent="0.25"/>
    <row r="100533" s="12" customFormat="1" x14ac:dyDescent="0.25"/>
    <row r="100534" s="12" customFormat="1" x14ac:dyDescent="0.25"/>
    <row r="100535" s="12" customFormat="1" x14ac:dyDescent="0.25"/>
    <row r="100536" s="12" customFormat="1" x14ac:dyDescent="0.25"/>
    <row r="100537" s="12" customFormat="1" x14ac:dyDescent="0.25"/>
    <row r="100538" s="12" customFormat="1" x14ac:dyDescent="0.25"/>
    <row r="100539" s="12" customFormat="1" x14ac:dyDescent="0.25"/>
    <row r="100540" s="12" customFormat="1" x14ac:dyDescent="0.25"/>
    <row r="100541" s="12" customFormat="1" x14ac:dyDescent="0.25"/>
    <row r="100542" s="12" customFormat="1" x14ac:dyDescent="0.25"/>
    <row r="100543" s="12" customFormat="1" x14ac:dyDescent="0.25"/>
    <row r="100544" s="12" customFormat="1" x14ac:dyDescent="0.25"/>
    <row r="100545" s="12" customFormat="1" x14ac:dyDescent="0.25"/>
    <row r="100546" s="12" customFormat="1" x14ac:dyDescent="0.25"/>
    <row r="100547" s="12" customFormat="1" x14ac:dyDescent="0.25"/>
    <row r="100548" s="12" customFormat="1" x14ac:dyDescent="0.25"/>
    <row r="100549" s="12" customFormat="1" x14ac:dyDescent="0.25"/>
    <row r="100550" s="12" customFormat="1" x14ac:dyDescent="0.25"/>
    <row r="100551" s="12" customFormat="1" x14ac:dyDescent="0.25"/>
    <row r="100552" s="12" customFormat="1" x14ac:dyDescent="0.25"/>
    <row r="100553" s="12" customFormat="1" x14ac:dyDescent="0.25"/>
    <row r="100554" s="12" customFormat="1" x14ac:dyDescent="0.25"/>
    <row r="100555" s="12" customFormat="1" x14ac:dyDescent="0.25"/>
    <row r="100556" s="12" customFormat="1" x14ac:dyDescent="0.25"/>
    <row r="100557" s="12" customFormat="1" x14ac:dyDescent="0.25"/>
    <row r="100558" s="12" customFormat="1" x14ac:dyDescent="0.25"/>
    <row r="100559" s="12" customFormat="1" x14ac:dyDescent="0.25"/>
    <row r="100560" s="12" customFormat="1" x14ac:dyDescent="0.25"/>
    <row r="100561" s="12" customFormat="1" x14ac:dyDescent="0.25"/>
    <row r="100562" s="12" customFormat="1" x14ac:dyDescent="0.25"/>
    <row r="100563" s="12" customFormat="1" x14ac:dyDescent="0.25"/>
    <row r="100564" s="12" customFormat="1" x14ac:dyDescent="0.25"/>
    <row r="100565" s="12" customFormat="1" x14ac:dyDescent="0.25"/>
    <row r="100566" s="12" customFormat="1" x14ac:dyDescent="0.25"/>
    <row r="100567" s="12" customFormat="1" x14ac:dyDescent="0.25"/>
    <row r="100568" s="12" customFormat="1" x14ac:dyDescent="0.25"/>
    <row r="100569" s="12" customFormat="1" x14ac:dyDescent="0.25"/>
    <row r="100570" s="12" customFormat="1" x14ac:dyDescent="0.25"/>
    <row r="100571" s="12" customFormat="1" x14ac:dyDescent="0.25"/>
    <row r="100572" s="12" customFormat="1" x14ac:dyDescent="0.25"/>
    <row r="100573" s="12" customFormat="1" x14ac:dyDescent="0.25"/>
    <row r="100574" s="12" customFormat="1" x14ac:dyDescent="0.25"/>
    <row r="100575" s="12" customFormat="1" x14ac:dyDescent="0.25"/>
    <row r="100576" s="12" customFormat="1" x14ac:dyDescent="0.25"/>
    <row r="100577" s="12" customFormat="1" x14ac:dyDescent="0.25"/>
    <row r="100578" s="12" customFormat="1" x14ac:dyDescent="0.25"/>
    <row r="100579" s="12" customFormat="1" x14ac:dyDescent="0.25"/>
    <row r="100580" s="12" customFormat="1" x14ac:dyDescent="0.25"/>
    <row r="100581" s="12" customFormat="1" x14ac:dyDescent="0.25"/>
    <row r="100582" s="12" customFormat="1" x14ac:dyDescent="0.25"/>
    <row r="100583" s="12" customFormat="1" x14ac:dyDescent="0.25"/>
    <row r="100584" s="12" customFormat="1" x14ac:dyDescent="0.25"/>
    <row r="100585" s="12" customFormat="1" x14ac:dyDescent="0.25"/>
    <row r="100586" s="12" customFormat="1" x14ac:dyDescent="0.25"/>
    <row r="100587" s="12" customFormat="1" x14ac:dyDescent="0.25"/>
    <row r="100588" s="12" customFormat="1" x14ac:dyDescent="0.25"/>
    <row r="100589" s="12" customFormat="1" x14ac:dyDescent="0.25"/>
    <row r="100590" s="12" customFormat="1" x14ac:dyDescent="0.25"/>
    <row r="100591" s="12" customFormat="1" x14ac:dyDescent="0.25"/>
    <row r="100592" s="12" customFormat="1" x14ac:dyDescent="0.25"/>
    <row r="100593" s="12" customFormat="1" x14ac:dyDescent="0.25"/>
    <row r="100594" s="12" customFormat="1" x14ac:dyDescent="0.25"/>
    <row r="100595" s="12" customFormat="1" x14ac:dyDescent="0.25"/>
    <row r="100596" s="12" customFormat="1" x14ac:dyDescent="0.25"/>
    <row r="100597" s="12" customFormat="1" x14ac:dyDescent="0.25"/>
    <row r="100598" s="12" customFormat="1" x14ac:dyDescent="0.25"/>
    <row r="100599" s="12" customFormat="1" x14ac:dyDescent="0.25"/>
    <row r="100600" s="12" customFormat="1" x14ac:dyDescent="0.25"/>
    <row r="100601" s="12" customFormat="1" x14ac:dyDescent="0.25"/>
    <row r="100602" s="12" customFormat="1" x14ac:dyDescent="0.25"/>
    <row r="100603" s="12" customFormat="1" x14ac:dyDescent="0.25"/>
    <row r="100604" s="12" customFormat="1" x14ac:dyDescent="0.25"/>
    <row r="100605" s="12" customFormat="1" x14ac:dyDescent="0.25"/>
    <row r="100606" s="12" customFormat="1" x14ac:dyDescent="0.25"/>
    <row r="100607" s="12" customFormat="1" x14ac:dyDescent="0.25"/>
    <row r="100608" s="12" customFormat="1" x14ac:dyDescent="0.25"/>
    <row r="100609" s="12" customFormat="1" x14ac:dyDescent="0.25"/>
    <row r="100610" s="12" customFormat="1" x14ac:dyDescent="0.25"/>
    <row r="100611" s="12" customFormat="1" x14ac:dyDescent="0.25"/>
    <row r="100612" s="12" customFormat="1" x14ac:dyDescent="0.25"/>
    <row r="100613" s="12" customFormat="1" x14ac:dyDescent="0.25"/>
    <row r="100614" s="12" customFormat="1" x14ac:dyDescent="0.25"/>
    <row r="100615" s="12" customFormat="1" x14ac:dyDescent="0.25"/>
    <row r="100616" s="12" customFormat="1" x14ac:dyDescent="0.25"/>
    <row r="100617" s="12" customFormat="1" x14ac:dyDescent="0.25"/>
    <row r="100618" s="12" customFormat="1" x14ac:dyDescent="0.25"/>
    <row r="100619" s="12" customFormat="1" x14ac:dyDescent="0.25"/>
    <row r="100620" s="12" customFormat="1" x14ac:dyDescent="0.25"/>
    <row r="100621" s="12" customFormat="1" x14ac:dyDescent="0.25"/>
    <row r="100622" s="12" customFormat="1" x14ac:dyDescent="0.25"/>
    <row r="100623" s="12" customFormat="1" x14ac:dyDescent="0.25"/>
    <row r="100624" s="12" customFormat="1" x14ac:dyDescent="0.25"/>
    <row r="100625" s="12" customFormat="1" x14ac:dyDescent="0.25"/>
    <row r="100626" s="12" customFormat="1" x14ac:dyDescent="0.25"/>
    <row r="100627" s="12" customFormat="1" x14ac:dyDescent="0.25"/>
    <row r="100628" s="12" customFormat="1" x14ac:dyDescent="0.25"/>
    <row r="100629" s="12" customFormat="1" x14ac:dyDescent="0.25"/>
    <row r="100630" s="12" customFormat="1" x14ac:dyDescent="0.25"/>
    <row r="100631" s="12" customFormat="1" x14ac:dyDescent="0.25"/>
    <row r="100632" s="12" customFormat="1" x14ac:dyDescent="0.25"/>
    <row r="100633" s="12" customFormat="1" x14ac:dyDescent="0.25"/>
    <row r="100634" s="12" customFormat="1" x14ac:dyDescent="0.25"/>
    <row r="100635" s="12" customFormat="1" x14ac:dyDescent="0.25"/>
    <row r="100636" s="12" customFormat="1" x14ac:dyDescent="0.25"/>
    <row r="100637" s="12" customFormat="1" x14ac:dyDescent="0.25"/>
    <row r="100638" s="12" customFormat="1" x14ac:dyDescent="0.25"/>
    <row r="100639" s="12" customFormat="1" x14ac:dyDescent="0.25"/>
    <row r="100640" s="12" customFormat="1" x14ac:dyDescent="0.25"/>
    <row r="100641" s="12" customFormat="1" x14ac:dyDescent="0.25"/>
    <row r="100642" s="12" customFormat="1" x14ac:dyDescent="0.25"/>
    <row r="100643" s="12" customFormat="1" x14ac:dyDescent="0.25"/>
    <row r="100644" s="12" customFormat="1" x14ac:dyDescent="0.25"/>
    <row r="100645" s="12" customFormat="1" x14ac:dyDescent="0.25"/>
    <row r="100646" s="12" customFormat="1" x14ac:dyDescent="0.25"/>
    <row r="100647" s="12" customFormat="1" x14ac:dyDescent="0.25"/>
    <row r="100648" s="12" customFormat="1" x14ac:dyDescent="0.25"/>
    <row r="100649" s="12" customFormat="1" x14ac:dyDescent="0.25"/>
    <row r="100650" s="12" customFormat="1" x14ac:dyDescent="0.25"/>
    <row r="100651" s="12" customFormat="1" x14ac:dyDescent="0.25"/>
    <row r="100652" s="12" customFormat="1" x14ac:dyDescent="0.25"/>
    <row r="100653" s="12" customFormat="1" x14ac:dyDescent="0.25"/>
    <row r="100654" s="12" customFormat="1" x14ac:dyDescent="0.25"/>
    <row r="100655" s="12" customFormat="1" x14ac:dyDescent="0.25"/>
    <row r="100656" s="12" customFormat="1" x14ac:dyDescent="0.25"/>
    <row r="100657" s="12" customFormat="1" x14ac:dyDescent="0.25"/>
    <row r="100658" s="12" customFormat="1" x14ac:dyDescent="0.25"/>
    <row r="100659" s="12" customFormat="1" x14ac:dyDescent="0.25"/>
    <row r="100660" s="12" customFormat="1" x14ac:dyDescent="0.25"/>
    <row r="100661" s="12" customFormat="1" x14ac:dyDescent="0.25"/>
    <row r="100662" s="12" customFormat="1" x14ac:dyDescent="0.25"/>
    <row r="100663" s="12" customFormat="1" x14ac:dyDescent="0.25"/>
    <row r="100664" s="12" customFormat="1" x14ac:dyDescent="0.25"/>
    <row r="100665" s="12" customFormat="1" x14ac:dyDescent="0.25"/>
    <row r="100666" s="12" customFormat="1" x14ac:dyDescent="0.25"/>
    <row r="100667" s="12" customFormat="1" x14ac:dyDescent="0.25"/>
    <row r="100668" s="12" customFormat="1" x14ac:dyDescent="0.25"/>
    <row r="100669" s="12" customFormat="1" x14ac:dyDescent="0.25"/>
    <row r="100670" s="12" customFormat="1" x14ac:dyDescent="0.25"/>
    <row r="100671" s="12" customFormat="1" x14ac:dyDescent="0.25"/>
    <row r="100672" s="12" customFormat="1" x14ac:dyDescent="0.25"/>
    <row r="100673" s="12" customFormat="1" x14ac:dyDescent="0.25"/>
    <row r="100674" s="12" customFormat="1" x14ac:dyDescent="0.25"/>
    <row r="100675" s="12" customFormat="1" x14ac:dyDescent="0.25"/>
    <row r="100676" s="12" customFormat="1" x14ac:dyDescent="0.25"/>
    <row r="100677" s="12" customFormat="1" x14ac:dyDescent="0.25"/>
    <row r="100678" s="12" customFormat="1" x14ac:dyDescent="0.25"/>
    <row r="100679" s="12" customFormat="1" x14ac:dyDescent="0.25"/>
    <row r="100680" s="12" customFormat="1" x14ac:dyDescent="0.25"/>
    <row r="100681" s="12" customFormat="1" x14ac:dyDescent="0.25"/>
    <row r="100682" s="12" customFormat="1" x14ac:dyDescent="0.25"/>
    <row r="100683" s="12" customFormat="1" x14ac:dyDescent="0.25"/>
    <row r="100684" s="12" customFormat="1" x14ac:dyDescent="0.25"/>
    <row r="100685" s="12" customFormat="1" x14ac:dyDescent="0.25"/>
    <row r="100686" s="12" customFormat="1" x14ac:dyDescent="0.25"/>
    <row r="100687" s="12" customFormat="1" x14ac:dyDescent="0.25"/>
    <row r="100688" s="12" customFormat="1" x14ac:dyDescent="0.25"/>
    <row r="100689" s="12" customFormat="1" x14ac:dyDescent="0.25"/>
    <row r="100690" s="12" customFormat="1" x14ac:dyDescent="0.25"/>
    <row r="100691" s="12" customFormat="1" x14ac:dyDescent="0.25"/>
    <row r="100692" s="12" customFormat="1" x14ac:dyDescent="0.25"/>
    <row r="100693" s="12" customFormat="1" x14ac:dyDescent="0.25"/>
    <row r="100694" s="12" customFormat="1" x14ac:dyDescent="0.25"/>
    <row r="100695" s="12" customFormat="1" x14ac:dyDescent="0.25"/>
    <row r="100696" s="12" customFormat="1" x14ac:dyDescent="0.25"/>
    <row r="100697" s="12" customFormat="1" x14ac:dyDescent="0.25"/>
    <row r="100698" s="12" customFormat="1" x14ac:dyDescent="0.25"/>
    <row r="100699" s="12" customFormat="1" x14ac:dyDescent="0.25"/>
    <row r="100700" s="12" customFormat="1" x14ac:dyDescent="0.25"/>
    <row r="100701" s="12" customFormat="1" x14ac:dyDescent="0.25"/>
    <row r="100702" s="12" customFormat="1" x14ac:dyDescent="0.25"/>
    <row r="100703" s="12" customFormat="1" x14ac:dyDescent="0.25"/>
    <row r="100704" s="12" customFormat="1" x14ac:dyDescent="0.25"/>
    <row r="100705" s="12" customFormat="1" x14ac:dyDescent="0.25"/>
    <row r="100706" s="12" customFormat="1" x14ac:dyDescent="0.25"/>
    <row r="100707" s="12" customFormat="1" x14ac:dyDescent="0.25"/>
    <row r="100708" s="12" customFormat="1" x14ac:dyDescent="0.25"/>
    <row r="100709" s="12" customFormat="1" x14ac:dyDescent="0.25"/>
    <row r="100710" s="12" customFormat="1" x14ac:dyDescent="0.25"/>
    <row r="100711" s="12" customFormat="1" x14ac:dyDescent="0.25"/>
    <row r="100712" s="12" customFormat="1" x14ac:dyDescent="0.25"/>
    <row r="100713" s="12" customFormat="1" x14ac:dyDescent="0.25"/>
    <row r="100714" s="12" customFormat="1" x14ac:dyDescent="0.25"/>
    <row r="100715" s="12" customFormat="1" x14ac:dyDescent="0.25"/>
    <row r="100716" s="12" customFormat="1" x14ac:dyDescent="0.25"/>
    <row r="100717" s="12" customFormat="1" x14ac:dyDescent="0.25"/>
    <row r="100718" s="12" customFormat="1" x14ac:dyDescent="0.25"/>
    <row r="100719" s="12" customFormat="1" x14ac:dyDescent="0.25"/>
    <row r="100720" s="12" customFormat="1" x14ac:dyDescent="0.25"/>
    <row r="100721" s="12" customFormat="1" x14ac:dyDescent="0.25"/>
    <row r="100722" s="12" customFormat="1" x14ac:dyDescent="0.25"/>
    <row r="100723" s="12" customFormat="1" x14ac:dyDescent="0.25"/>
    <row r="100724" s="12" customFormat="1" x14ac:dyDescent="0.25"/>
    <row r="100725" s="12" customFormat="1" x14ac:dyDescent="0.25"/>
    <row r="100726" s="12" customFormat="1" x14ac:dyDescent="0.25"/>
    <row r="100727" s="12" customFormat="1" x14ac:dyDescent="0.25"/>
    <row r="100728" s="12" customFormat="1" x14ac:dyDescent="0.25"/>
    <row r="100729" s="12" customFormat="1" x14ac:dyDescent="0.25"/>
    <row r="100730" s="12" customFormat="1" x14ac:dyDescent="0.25"/>
    <row r="100731" s="12" customFormat="1" x14ac:dyDescent="0.25"/>
    <row r="100732" s="12" customFormat="1" x14ac:dyDescent="0.25"/>
    <row r="100733" s="12" customFormat="1" x14ac:dyDescent="0.25"/>
    <row r="100734" s="12" customFormat="1" x14ac:dyDescent="0.25"/>
    <row r="100735" s="12" customFormat="1" x14ac:dyDescent="0.25"/>
    <row r="100736" s="12" customFormat="1" x14ac:dyDescent="0.25"/>
    <row r="100737" s="12" customFormat="1" x14ac:dyDescent="0.25"/>
    <row r="100738" s="12" customFormat="1" x14ac:dyDescent="0.25"/>
    <row r="100739" s="12" customFormat="1" x14ac:dyDescent="0.25"/>
    <row r="100740" s="12" customFormat="1" x14ac:dyDescent="0.25"/>
    <row r="100741" s="12" customFormat="1" x14ac:dyDescent="0.25"/>
    <row r="100742" s="12" customFormat="1" x14ac:dyDescent="0.25"/>
    <row r="100743" s="12" customFormat="1" x14ac:dyDescent="0.25"/>
    <row r="100744" s="12" customFormat="1" x14ac:dyDescent="0.25"/>
    <row r="100745" s="12" customFormat="1" x14ac:dyDescent="0.25"/>
    <row r="100746" s="12" customFormat="1" x14ac:dyDescent="0.25"/>
    <row r="100747" s="12" customFormat="1" x14ac:dyDescent="0.25"/>
    <row r="100748" s="12" customFormat="1" x14ac:dyDescent="0.25"/>
    <row r="100749" s="12" customFormat="1" x14ac:dyDescent="0.25"/>
    <row r="100750" s="12" customFormat="1" x14ac:dyDescent="0.25"/>
    <row r="100751" s="12" customFormat="1" x14ac:dyDescent="0.25"/>
    <row r="100752" s="12" customFormat="1" x14ac:dyDescent="0.25"/>
    <row r="100753" s="12" customFormat="1" x14ac:dyDescent="0.25"/>
    <row r="100754" s="12" customFormat="1" x14ac:dyDescent="0.25"/>
    <row r="100755" s="12" customFormat="1" x14ac:dyDescent="0.25"/>
    <row r="100756" s="12" customFormat="1" x14ac:dyDescent="0.25"/>
    <row r="100757" s="12" customFormat="1" x14ac:dyDescent="0.25"/>
    <row r="100758" s="12" customFormat="1" x14ac:dyDescent="0.25"/>
    <row r="100759" s="12" customFormat="1" x14ac:dyDescent="0.25"/>
    <row r="100760" s="12" customFormat="1" x14ac:dyDescent="0.25"/>
    <row r="100761" s="12" customFormat="1" x14ac:dyDescent="0.25"/>
    <row r="100762" s="12" customFormat="1" x14ac:dyDescent="0.25"/>
    <row r="100763" s="12" customFormat="1" x14ac:dyDescent="0.25"/>
    <row r="100764" s="12" customFormat="1" x14ac:dyDescent="0.25"/>
    <row r="100765" s="12" customFormat="1" x14ac:dyDescent="0.25"/>
    <row r="100766" s="12" customFormat="1" x14ac:dyDescent="0.25"/>
    <row r="100767" s="12" customFormat="1" x14ac:dyDescent="0.25"/>
    <row r="100768" s="12" customFormat="1" x14ac:dyDescent="0.25"/>
    <row r="100769" s="12" customFormat="1" x14ac:dyDescent="0.25"/>
    <row r="100770" s="12" customFormat="1" x14ac:dyDescent="0.25"/>
    <row r="100771" s="12" customFormat="1" x14ac:dyDescent="0.25"/>
    <row r="100772" s="12" customFormat="1" x14ac:dyDescent="0.25"/>
    <row r="100773" s="12" customFormat="1" x14ac:dyDescent="0.25"/>
    <row r="100774" s="12" customFormat="1" x14ac:dyDescent="0.25"/>
    <row r="100775" s="12" customFormat="1" x14ac:dyDescent="0.25"/>
    <row r="100776" s="12" customFormat="1" x14ac:dyDescent="0.25"/>
    <row r="100777" s="12" customFormat="1" x14ac:dyDescent="0.25"/>
    <row r="100778" s="12" customFormat="1" x14ac:dyDescent="0.25"/>
    <row r="100779" s="12" customFormat="1" x14ac:dyDescent="0.25"/>
    <row r="100780" s="12" customFormat="1" x14ac:dyDescent="0.25"/>
    <row r="100781" s="12" customFormat="1" x14ac:dyDescent="0.25"/>
    <row r="100782" s="12" customFormat="1" x14ac:dyDescent="0.25"/>
    <row r="100783" s="12" customFormat="1" x14ac:dyDescent="0.25"/>
    <row r="100784" s="12" customFormat="1" x14ac:dyDescent="0.25"/>
    <row r="100785" s="12" customFormat="1" x14ac:dyDescent="0.25"/>
    <row r="100786" s="12" customFormat="1" x14ac:dyDescent="0.25"/>
    <row r="100787" s="12" customFormat="1" x14ac:dyDescent="0.25"/>
    <row r="100788" s="12" customFormat="1" x14ac:dyDescent="0.25"/>
    <row r="100789" s="12" customFormat="1" x14ac:dyDescent="0.25"/>
    <row r="100790" s="12" customFormat="1" x14ac:dyDescent="0.25"/>
    <row r="100791" s="12" customFormat="1" x14ac:dyDescent="0.25"/>
    <row r="100792" s="12" customFormat="1" x14ac:dyDescent="0.25"/>
    <row r="100793" s="12" customFormat="1" x14ac:dyDescent="0.25"/>
    <row r="100794" s="12" customFormat="1" x14ac:dyDescent="0.25"/>
    <row r="100795" s="12" customFormat="1" x14ac:dyDescent="0.25"/>
    <row r="100796" s="12" customFormat="1" x14ac:dyDescent="0.25"/>
    <row r="100797" s="12" customFormat="1" x14ac:dyDescent="0.25"/>
    <row r="100798" s="12" customFormat="1" x14ac:dyDescent="0.25"/>
    <row r="100799" s="12" customFormat="1" x14ac:dyDescent="0.25"/>
    <row r="100800" s="12" customFormat="1" x14ac:dyDescent="0.25"/>
    <row r="100801" s="12" customFormat="1" x14ac:dyDescent="0.25"/>
    <row r="100802" s="12" customFormat="1" x14ac:dyDescent="0.25"/>
    <row r="100803" s="12" customFormat="1" x14ac:dyDescent="0.25"/>
    <row r="100804" s="12" customFormat="1" x14ac:dyDescent="0.25"/>
    <row r="100805" s="12" customFormat="1" x14ac:dyDescent="0.25"/>
    <row r="100806" s="12" customFormat="1" x14ac:dyDescent="0.25"/>
    <row r="100807" s="12" customFormat="1" x14ac:dyDescent="0.25"/>
    <row r="100808" s="12" customFormat="1" x14ac:dyDescent="0.25"/>
    <row r="100809" s="12" customFormat="1" x14ac:dyDescent="0.25"/>
    <row r="100810" s="12" customFormat="1" x14ac:dyDescent="0.25"/>
    <row r="100811" s="12" customFormat="1" x14ac:dyDescent="0.25"/>
    <row r="100812" s="12" customFormat="1" x14ac:dyDescent="0.25"/>
    <row r="100813" s="12" customFormat="1" x14ac:dyDescent="0.25"/>
    <row r="100814" s="12" customFormat="1" x14ac:dyDescent="0.25"/>
    <row r="100815" s="12" customFormat="1" x14ac:dyDescent="0.25"/>
    <row r="100816" s="12" customFormat="1" x14ac:dyDescent="0.25"/>
    <row r="100817" s="12" customFormat="1" x14ac:dyDescent="0.25"/>
    <row r="100818" s="12" customFormat="1" x14ac:dyDescent="0.25"/>
    <row r="100819" s="12" customFormat="1" x14ac:dyDescent="0.25"/>
    <row r="100820" s="12" customFormat="1" x14ac:dyDescent="0.25"/>
    <row r="100821" s="12" customFormat="1" x14ac:dyDescent="0.25"/>
    <row r="100822" s="12" customFormat="1" x14ac:dyDescent="0.25"/>
    <row r="100823" s="12" customFormat="1" x14ac:dyDescent="0.25"/>
    <row r="100824" s="12" customFormat="1" x14ac:dyDescent="0.25"/>
    <row r="100825" s="12" customFormat="1" x14ac:dyDescent="0.25"/>
    <row r="100826" s="12" customFormat="1" x14ac:dyDescent="0.25"/>
    <row r="100827" s="12" customFormat="1" x14ac:dyDescent="0.25"/>
    <row r="100828" s="12" customFormat="1" x14ac:dyDescent="0.25"/>
    <row r="100829" s="12" customFormat="1" x14ac:dyDescent="0.25"/>
    <row r="100830" s="12" customFormat="1" x14ac:dyDescent="0.25"/>
    <row r="100831" s="12" customFormat="1" x14ac:dyDescent="0.25"/>
    <row r="100832" s="12" customFormat="1" x14ac:dyDescent="0.25"/>
    <row r="100833" s="12" customFormat="1" x14ac:dyDescent="0.25"/>
    <row r="100834" s="12" customFormat="1" x14ac:dyDescent="0.25"/>
    <row r="100835" s="12" customFormat="1" x14ac:dyDescent="0.25"/>
    <row r="100836" s="12" customFormat="1" x14ac:dyDescent="0.25"/>
    <row r="100837" s="12" customFormat="1" x14ac:dyDescent="0.25"/>
    <row r="100838" s="12" customFormat="1" x14ac:dyDescent="0.25"/>
    <row r="100839" s="12" customFormat="1" x14ac:dyDescent="0.25"/>
    <row r="100840" s="12" customFormat="1" x14ac:dyDescent="0.25"/>
    <row r="100841" s="12" customFormat="1" x14ac:dyDescent="0.25"/>
    <row r="100842" s="12" customFormat="1" x14ac:dyDescent="0.25"/>
    <row r="100843" s="12" customFormat="1" x14ac:dyDescent="0.25"/>
    <row r="100844" s="12" customFormat="1" x14ac:dyDescent="0.25"/>
    <row r="100845" s="12" customFormat="1" x14ac:dyDescent="0.25"/>
    <row r="100846" s="12" customFormat="1" x14ac:dyDescent="0.25"/>
    <row r="100847" s="12" customFormat="1" x14ac:dyDescent="0.25"/>
    <row r="100848" s="12" customFormat="1" x14ac:dyDescent="0.25"/>
    <row r="100849" s="12" customFormat="1" x14ac:dyDescent="0.25"/>
    <row r="100850" s="12" customFormat="1" x14ac:dyDescent="0.25"/>
    <row r="100851" s="12" customFormat="1" x14ac:dyDescent="0.25"/>
    <row r="100852" s="12" customFormat="1" x14ac:dyDescent="0.25"/>
    <row r="100853" s="12" customFormat="1" x14ac:dyDescent="0.25"/>
    <row r="100854" s="12" customFormat="1" x14ac:dyDescent="0.25"/>
    <row r="100855" s="12" customFormat="1" x14ac:dyDescent="0.25"/>
    <row r="100856" s="12" customFormat="1" x14ac:dyDescent="0.25"/>
    <row r="100857" s="12" customFormat="1" x14ac:dyDescent="0.25"/>
    <row r="100858" s="12" customFormat="1" x14ac:dyDescent="0.25"/>
    <row r="100859" s="12" customFormat="1" x14ac:dyDescent="0.25"/>
    <row r="100860" s="12" customFormat="1" x14ac:dyDescent="0.25"/>
    <row r="100861" s="12" customFormat="1" x14ac:dyDescent="0.25"/>
    <row r="100862" s="12" customFormat="1" x14ac:dyDescent="0.25"/>
    <row r="100863" s="12" customFormat="1" x14ac:dyDescent="0.25"/>
    <row r="100864" s="12" customFormat="1" x14ac:dyDescent="0.25"/>
    <row r="100865" s="12" customFormat="1" x14ac:dyDescent="0.25"/>
    <row r="100866" s="12" customFormat="1" x14ac:dyDescent="0.25"/>
    <row r="100867" s="12" customFormat="1" x14ac:dyDescent="0.25"/>
    <row r="100868" s="12" customFormat="1" x14ac:dyDescent="0.25"/>
    <row r="100869" s="12" customFormat="1" x14ac:dyDescent="0.25"/>
    <row r="100870" s="12" customFormat="1" x14ac:dyDescent="0.25"/>
    <row r="100871" s="12" customFormat="1" x14ac:dyDescent="0.25"/>
    <row r="100872" s="12" customFormat="1" x14ac:dyDescent="0.25"/>
    <row r="100873" s="12" customFormat="1" x14ac:dyDescent="0.25"/>
    <row r="100874" s="12" customFormat="1" x14ac:dyDescent="0.25"/>
    <row r="100875" s="12" customFormat="1" x14ac:dyDescent="0.25"/>
    <row r="100876" s="12" customFormat="1" x14ac:dyDescent="0.25"/>
    <row r="100877" s="12" customFormat="1" x14ac:dyDescent="0.25"/>
    <row r="100878" s="12" customFormat="1" x14ac:dyDescent="0.25"/>
    <row r="100879" s="12" customFormat="1" x14ac:dyDescent="0.25"/>
    <row r="100880" s="12" customFormat="1" x14ac:dyDescent="0.25"/>
    <row r="100881" s="12" customFormat="1" x14ac:dyDescent="0.25"/>
    <row r="100882" s="12" customFormat="1" x14ac:dyDescent="0.25"/>
    <row r="100883" s="12" customFormat="1" x14ac:dyDescent="0.25"/>
    <row r="100884" s="12" customFormat="1" x14ac:dyDescent="0.25"/>
    <row r="100885" s="12" customFormat="1" x14ac:dyDescent="0.25"/>
    <row r="100886" s="12" customFormat="1" x14ac:dyDescent="0.25"/>
    <row r="100887" s="12" customFormat="1" x14ac:dyDescent="0.25"/>
    <row r="100888" s="12" customFormat="1" x14ac:dyDescent="0.25"/>
    <row r="100889" s="12" customFormat="1" x14ac:dyDescent="0.25"/>
    <row r="100890" s="12" customFormat="1" x14ac:dyDescent="0.25"/>
    <row r="100891" s="12" customFormat="1" x14ac:dyDescent="0.25"/>
    <row r="100892" s="12" customFormat="1" x14ac:dyDescent="0.25"/>
    <row r="100893" s="12" customFormat="1" x14ac:dyDescent="0.25"/>
    <row r="100894" s="12" customFormat="1" x14ac:dyDescent="0.25"/>
    <row r="100895" s="12" customFormat="1" x14ac:dyDescent="0.25"/>
    <row r="100896" s="12" customFormat="1" x14ac:dyDescent="0.25"/>
    <row r="100897" s="12" customFormat="1" x14ac:dyDescent="0.25"/>
    <row r="100898" s="12" customFormat="1" x14ac:dyDescent="0.25"/>
    <row r="100899" s="12" customFormat="1" x14ac:dyDescent="0.25"/>
    <row r="100900" s="12" customFormat="1" x14ac:dyDescent="0.25"/>
    <row r="100901" s="12" customFormat="1" x14ac:dyDescent="0.25"/>
    <row r="100902" s="12" customFormat="1" x14ac:dyDescent="0.25"/>
    <row r="100903" s="12" customFormat="1" x14ac:dyDescent="0.25"/>
    <row r="100904" s="12" customFormat="1" x14ac:dyDescent="0.25"/>
    <row r="100905" s="12" customFormat="1" x14ac:dyDescent="0.25"/>
    <row r="100906" s="12" customFormat="1" x14ac:dyDescent="0.25"/>
    <row r="100907" s="12" customFormat="1" x14ac:dyDescent="0.25"/>
    <row r="100908" s="12" customFormat="1" x14ac:dyDescent="0.25"/>
    <row r="100909" s="12" customFormat="1" x14ac:dyDescent="0.25"/>
    <row r="100910" s="12" customFormat="1" x14ac:dyDescent="0.25"/>
    <row r="100911" s="12" customFormat="1" x14ac:dyDescent="0.25"/>
    <row r="100912" s="12" customFormat="1" x14ac:dyDescent="0.25"/>
    <row r="100913" s="12" customFormat="1" x14ac:dyDescent="0.25"/>
    <row r="100914" s="12" customFormat="1" x14ac:dyDescent="0.25"/>
    <row r="100915" s="12" customFormat="1" x14ac:dyDescent="0.25"/>
    <row r="100916" s="12" customFormat="1" x14ac:dyDescent="0.25"/>
    <row r="100917" s="12" customFormat="1" x14ac:dyDescent="0.25"/>
    <row r="100918" s="12" customFormat="1" x14ac:dyDescent="0.25"/>
    <row r="100919" s="12" customFormat="1" x14ac:dyDescent="0.25"/>
    <row r="100920" s="12" customFormat="1" x14ac:dyDescent="0.25"/>
    <row r="100921" s="12" customFormat="1" x14ac:dyDescent="0.25"/>
    <row r="100922" s="12" customFormat="1" x14ac:dyDescent="0.25"/>
    <row r="100923" s="12" customFormat="1" x14ac:dyDescent="0.25"/>
    <row r="100924" s="12" customFormat="1" x14ac:dyDescent="0.25"/>
    <row r="100925" s="12" customFormat="1" x14ac:dyDescent="0.25"/>
    <row r="100926" s="12" customFormat="1" x14ac:dyDescent="0.25"/>
    <row r="100927" s="12" customFormat="1" x14ac:dyDescent="0.25"/>
    <row r="100928" s="12" customFormat="1" x14ac:dyDescent="0.25"/>
    <row r="100929" s="12" customFormat="1" x14ac:dyDescent="0.25"/>
    <row r="100930" s="12" customFormat="1" x14ac:dyDescent="0.25"/>
    <row r="100931" s="12" customFormat="1" x14ac:dyDescent="0.25"/>
    <row r="100932" s="12" customFormat="1" x14ac:dyDescent="0.25"/>
    <row r="100933" s="12" customFormat="1" x14ac:dyDescent="0.25"/>
    <row r="100934" s="12" customFormat="1" x14ac:dyDescent="0.25"/>
    <row r="100935" s="12" customFormat="1" x14ac:dyDescent="0.25"/>
    <row r="100936" s="12" customFormat="1" x14ac:dyDescent="0.25"/>
    <row r="100937" s="12" customFormat="1" x14ac:dyDescent="0.25"/>
    <row r="100938" s="12" customFormat="1" x14ac:dyDescent="0.25"/>
    <row r="100939" s="12" customFormat="1" x14ac:dyDescent="0.25"/>
    <row r="100940" s="12" customFormat="1" x14ac:dyDescent="0.25"/>
    <row r="100941" s="12" customFormat="1" x14ac:dyDescent="0.25"/>
    <row r="100942" s="12" customFormat="1" x14ac:dyDescent="0.25"/>
    <row r="100943" s="12" customFormat="1" x14ac:dyDescent="0.25"/>
    <row r="100944" s="12" customFormat="1" x14ac:dyDescent="0.25"/>
    <row r="100945" s="12" customFormat="1" x14ac:dyDescent="0.25"/>
    <row r="100946" s="12" customFormat="1" x14ac:dyDescent="0.25"/>
    <row r="100947" s="12" customFormat="1" x14ac:dyDescent="0.25"/>
    <row r="100948" s="12" customFormat="1" x14ac:dyDescent="0.25"/>
    <row r="100949" s="12" customFormat="1" x14ac:dyDescent="0.25"/>
    <row r="100950" s="12" customFormat="1" x14ac:dyDescent="0.25"/>
    <row r="100951" s="12" customFormat="1" x14ac:dyDescent="0.25"/>
    <row r="100952" s="12" customFormat="1" x14ac:dyDescent="0.25"/>
    <row r="100953" s="12" customFormat="1" x14ac:dyDescent="0.25"/>
    <row r="100954" s="12" customFormat="1" x14ac:dyDescent="0.25"/>
    <row r="100955" s="12" customFormat="1" x14ac:dyDescent="0.25"/>
    <row r="100956" s="12" customFormat="1" x14ac:dyDescent="0.25"/>
    <row r="100957" s="12" customFormat="1" x14ac:dyDescent="0.25"/>
    <row r="100958" s="12" customFormat="1" x14ac:dyDescent="0.25"/>
    <row r="100959" s="12" customFormat="1" x14ac:dyDescent="0.25"/>
    <row r="100960" s="12" customFormat="1" x14ac:dyDescent="0.25"/>
    <row r="100961" s="12" customFormat="1" x14ac:dyDescent="0.25"/>
    <row r="100962" s="12" customFormat="1" x14ac:dyDescent="0.25"/>
    <row r="100963" s="12" customFormat="1" x14ac:dyDescent="0.25"/>
    <row r="100964" s="12" customFormat="1" x14ac:dyDescent="0.25"/>
    <row r="100965" s="12" customFormat="1" x14ac:dyDescent="0.25"/>
    <row r="100966" s="12" customFormat="1" x14ac:dyDescent="0.25"/>
    <row r="100967" s="12" customFormat="1" x14ac:dyDescent="0.25"/>
    <row r="100968" s="12" customFormat="1" x14ac:dyDescent="0.25"/>
    <row r="100969" s="12" customFormat="1" x14ac:dyDescent="0.25"/>
    <row r="100970" s="12" customFormat="1" x14ac:dyDescent="0.25"/>
    <row r="100971" s="12" customFormat="1" x14ac:dyDescent="0.25"/>
    <row r="100972" s="12" customFormat="1" x14ac:dyDescent="0.25"/>
    <row r="100973" s="12" customFormat="1" x14ac:dyDescent="0.25"/>
    <row r="100974" s="12" customFormat="1" x14ac:dyDescent="0.25"/>
    <row r="100975" s="12" customFormat="1" x14ac:dyDescent="0.25"/>
    <row r="100976" s="12" customFormat="1" x14ac:dyDescent="0.25"/>
    <row r="100977" s="12" customFormat="1" x14ac:dyDescent="0.25"/>
    <row r="100978" s="12" customFormat="1" x14ac:dyDescent="0.25"/>
    <row r="100979" s="12" customFormat="1" x14ac:dyDescent="0.25"/>
    <row r="100980" s="12" customFormat="1" x14ac:dyDescent="0.25"/>
    <row r="100981" s="12" customFormat="1" x14ac:dyDescent="0.25"/>
    <row r="100982" s="12" customFormat="1" x14ac:dyDescent="0.25"/>
    <row r="100983" s="12" customFormat="1" x14ac:dyDescent="0.25"/>
    <row r="100984" s="12" customFormat="1" x14ac:dyDescent="0.25"/>
    <row r="100985" s="12" customFormat="1" x14ac:dyDescent="0.25"/>
    <row r="100986" s="12" customFormat="1" x14ac:dyDescent="0.25"/>
    <row r="100987" s="12" customFormat="1" x14ac:dyDescent="0.25"/>
    <row r="100988" s="12" customFormat="1" x14ac:dyDescent="0.25"/>
    <row r="100989" s="12" customFormat="1" x14ac:dyDescent="0.25"/>
    <row r="100990" s="12" customFormat="1" x14ac:dyDescent="0.25"/>
    <row r="100991" s="12" customFormat="1" x14ac:dyDescent="0.25"/>
    <row r="100992" s="12" customFormat="1" x14ac:dyDescent="0.25"/>
    <row r="100993" s="12" customFormat="1" x14ac:dyDescent="0.25"/>
    <row r="100994" s="12" customFormat="1" x14ac:dyDescent="0.25"/>
    <row r="100995" s="12" customFormat="1" x14ac:dyDescent="0.25"/>
    <row r="100996" s="12" customFormat="1" x14ac:dyDescent="0.25"/>
    <row r="100997" s="12" customFormat="1" x14ac:dyDescent="0.25"/>
    <row r="100998" s="12" customFormat="1" x14ac:dyDescent="0.25"/>
    <row r="100999" s="12" customFormat="1" x14ac:dyDescent="0.25"/>
    <row r="101000" s="12" customFormat="1" x14ac:dyDescent="0.25"/>
    <row r="101001" s="12" customFormat="1" x14ac:dyDescent="0.25"/>
    <row r="101002" s="12" customFormat="1" x14ac:dyDescent="0.25"/>
    <row r="101003" s="12" customFormat="1" x14ac:dyDescent="0.25"/>
    <row r="101004" s="12" customFormat="1" x14ac:dyDescent="0.25"/>
    <row r="101005" s="12" customFormat="1" x14ac:dyDescent="0.25"/>
    <row r="101006" s="12" customFormat="1" x14ac:dyDescent="0.25"/>
    <row r="101007" s="12" customFormat="1" x14ac:dyDescent="0.25"/>
    <row r="101008" s="12" customFormat="1" x14ac:dyDescent="0.25"/>
    <row r="101009" s="12" customFormat="1" x14ac:dyDescent="0.25"/>
    <row r="101010" s="12" customFormat="1" x14ac:dyDescent="0.25"/>
    <row r="101011" s="12" customFormat="1" x14ac:dyDescent="0.25"/>
    <row r="101012" s="12" customFormat="1" x14ac:dyDescent="0.25"/>
    <row r="101013" s="12" customFormat="1" x14ac:dyDescent="0.25"/>
    <row r="101014" s="12" customFormat="1" x14ac:dyDescent="0.25"/>
    <row r="101015" s="12" customFormat="1" x14ac:dyDescent="0.25"/>
    <row r="101016" s="12" customFormat="1" x14ac:dyDescent="0.25"/>
    <row r="101017" s="12" customFormat="1" x14ac:dyDescent="0.25"/>
    <row r="101018" s="12" customFormat="1" x14ac:dyDescent="0.25"/>
    <row r="101019" s="12" customFormat="1" x14ac:dyDescent="0.25"/>
    <row r="101020" s="12" customFormat="1" x14ac:dyDescent="0.25"/>
    <row r="101021" s="12" customFormat="1" x14ac:dyDescent="0.25"/>
    <row r="101022" s="12" customFormat="1" x14ac:dyDescent="0.25"/>
    <row r="101023" s="12" customFormat="1" x14ac:dyDescent="0.25"/>
    <row r="101024" s="12" customFormat="1" x14ac:dyDescent="0.25"/>
    <row r="101025" s="12" customFormat="1" x14ac:dyDescent="0.25"/>
    <row r="101026" s="12" customFormat="1" x14ac:dyDescent="0.25"/>
    <row r="101027" s="12" customFormat="1" x14ac:dyDescent="0.25"/>
    <row r="101028" s="12" customFormat="1" x14ac:dyDescent="0.25"/>
    <row r="101029" s="12" customFormat="1" x14ac:dyDescent="0.25"/>
    <row r="101030" s="12" customFormat="1" x14ac:dyDescent="0.25"/>
    <row r="101031" s="12" customFormat="1" x14ac:dyDescent="0.25"/>
    <row r="101032" s="12" customFormat="1" x14ac:dyDescent="0.25"/>
    <row r="101033" s="12" customFormat="1" x14ac:dyDescent="0.25"/>
    <row r="101034" s="12" customFormat="1" x14ac:dyDescent="0.25"/>
    <row r="101035" s="12" customFormat="1" x14ac:dyDescent="0.25"/>
    <row r="101036" s="12" customFormat="1" x14ac:dyDescent="0.25"/>
    <row r="101037" s="12" customFormat="1" x14ac:dyDescent="0.25"/>
    <row r="101038" s="12" customFormat="1" x14ac:dyDescent="0.25"/>
    <row r="101039" s="12" customFormat="1" x14ac:dyDescent="0.25"/>
    <row r="101040" s="12" customFormat="1" x14ac:dyDescent="0.25"/>
    <row r="101041" s="12" customFormat="1" x14ac:dyDescent="0.25"/>
    <row r="101042" s="12" customFormat="1" x14ac:dyDescent="0.25"/>
    <row r="101043" s="12" customFormat="1" x14ac:dyDescent="0.25"/>
    <row r="101044" s="12" customFormat="1" x14ac:dyDescent="0.25"/>
    <row r="101045" s="12" customFormat="1" x14ac:dyDescent="0.25"/>
    <row r="101046" s="12" customFormat="1" x14ac:dyDescent="0.25"/>
    <row r="101047" s="12" customFormat="1" x14ac:dyDescent="0.25"/>
    <row r="101048" s="12" customFormat="1" x14ac:dyDescent="0.25"/>
    <row r="101049" s="12" customFormat="1" x14ac:dyDescent="0.25"/>
    <row r="101050" s="12" customFormat="1" x14ac:dyDescent="0.25"/>
    <row r="101051" s="12" customFormat="1" x14ac:dyDescent="0.25"/>
    <row r="101052" s="12" customFormat="1" x14ac:dyDescent="0.25"/>
    <row r="101053" s="12" customFormat="1" x14ac:dyDescent="0.25"/>
    <row r="101054" s="12" customFormat="1" x14ac:dyDescent="0.25"/>
    <row r="101055" s="12" customFormat="1" x14ac:dyDescent="0.25"/>
    <row r="101056" s="12" customFormat="1" x14ac:dyDescent="0.25"/>
    <row r="101057" s="12" customFormat="1" x14ac:dyDescent="0.25"/>
    <row r="101058" s="12" customFormat="1" x14ac:dyDescent="0.25"/>
    <row r="101059" s="12" customFormat="1" x14ac:dyDescent="0.25"/>
    <row r="101060" s="12" customFormat="1" x14ac:dyDescent="0.25"/>
    <row r="101061" s="12" customFormat="1" x14ac:dyDescent="0.25"/>
    <row r="101062" s="12" customFormat="1" x14ac:dyDescent="0.25"/>
    <row r="101063" s="12" customFormat="1" x14ac:dyDescent="0.25"/>
    <row r="101064" s="12" customFormat="1" x14ac:dyDescent="0.25"/>
    <row r="101065" s="12" customFormat="1" x14ac:dyDescent="0.25"/>
    <row r="101066" s="12" customFormat="1" x14ac:dyDescent="0.25"/>
    <row r="101067" s="12" customFormat="1" x14ac:dyDescent="0.25"/>
    <row r="101068" s="12" customFormat="1" x14ac:dyDescent="0.25"/>
    <row r="101069" s="12" customFormat="1" x14ac:dyDescent="0.25"/>
    <row r="101070" s="12" customFormat="1" x14ac:dyDescent="0.25"/>
    <row r="101071" s="12" customFormat="1" x14ac:dyDescent="0.25"/>
    <row r="101072" s="12" customFormat="1" x14ac:dyDescent="0.25"/>
    <row r="101073" s="12" customFormat="1" x14ac:dyDescent="0.25"/>
    <row r="101074" s="12" customFormat="1" x14ac:dyDescent="0.25"/>
    <row r="101075" s="12" customFormat="1" x14ac:dyDescent="0.25"/>
    <row r="101076" s="12" customFormat="1" x14ac:dyDescent="0.25"/>
    <row r="101077" s="12" customFormat="1" x14ac:dyDescent="0.25"/>
    <row r="101078" s="12" customFormat="1" x14ac:dyDescent="0.25"/>
    <row r="101079" s="12" customFormat="1" x14ac:dyDescent="0.25"/>
    <row r="101080" s="12" customFormat="1" x14ac:dyDescent="0.25"/>
    <row r="101081" s="12" customFormat="1" x14ac:dyDescent="0.25"/>
    <row r="101082" s="12" customFormat="1" x14ac:dyDescent="0.25"/>
    <row r="101083" s="12" customFormat="1" x14ac:dyDescent="0.25"/>
    <row r="101084" s="12" customFormat="1" x14ac:dyDescent="0.25"/>
    <row r="101085" s="12" customFormat="1" x14ac:dyDescent="0.25"/>
    <row r="101086" s="12" customFormat="1" x14ac:dyDescent="0.25"/>
    <row r="101087" s="12" customFormat="1" x14ac:dyDescent="0.25"/>
    <row r="101088" s="12" customFormat="1" x14ac:dyDescent="0.25"/>
    <row r="101089" s="12" customFormat="1" x14ac:dyDescent="0.25"/>
    <row r="101090" s="12" customFormat="1" x14ac:dyDescent="0.25"/>
    <row r="101091" s="12" customFormat="1" x14ac:dyDescent="0.25"/>
    <row r="101092" s="12" customFormat="1" x14ac:dyDescent="0.25"/>
    <row r="101093" s="12" customFormat="1" x14ac:dyDescent="0.25"/>
    <row r="101094" s="12" customFormat="1" x14ac:dyDescent="0.25"/>
    <row r="101095" s="12" customFormat="1" x14ac:dyDescent="0.25"/>
    <row r="101096" s="12" customFormat="1" x14ac:dyDescent="0.25"/>
    <row r="101097" s="12" customFormat="1" x14ac:dyDescent="0.25"/>
    <row r="101098" s="12" customFormat="1" x14ac:dyDescent="0.25"/>
    <row r="101099" s="12" customFormat="1" x14ac:dyDescent="0.25"/>
    <row r="101100" s="12" customFormat="1" x14ac:dyDescent="0.25"/>
    <row r="101101" s="12" customFormat="1" x14ac:dyDescent="0.25"/>
    <row r="101102" s="12" customFormat="1" x14ac:dyDescent="0.25"/>
    <row r="101103" s="12" customFormat="1" x14ac:dyDescent="0.25"/>
    <row r="101104" s="12" customFormat="1" x14ac:dyDescent="0.25"/>
    <row r="101105" s="12" customFormat="1" x14ac:dyDescent="0.25"/>
    <row r="101106" s="12" customFormat="1" x14ac:dyDescent="0.25"/>
    <row r="101107" s="12" customFormat="1" x14ac:dyDescent="0.25"/>
    <row r="101108" s="12" customFormat="1" x14ac:dyDescent="0.25"/>
    <row r="101109" s="12" customFormat="1" x14ac:dyDescent="0.25"/>
    <row r="101110" s="12" customFormat="1" x14ac:dyDescent="0.25"/>
    <row r="101111" s="12" customFormat="1" x14ac:dyDescent="0.25"/>
    <row r="101112" s="12" customFormat="1" x14ac:dyDescent="0.25"/>
    <row r="101113" s="12" customFormat="1" x14ac:dyDescent="0.25"/>
    <row r="101114" s="12" customFormat="1" x14ac:dyDescent="0.25"/>
    <row r="101115" s="12" customFormat="1" x14ac:dyDescent="0.25"/>
    <row r="101116" s="12" customFormat="1" x14ac:dyDescent="0.25"/>
    <row r="101117" s="12" customFormat="1" x14ac:dyDescent="0.25"/>
    <row r="101118" s="12" customFormat="1" x14ac:dyDescent="0.25"/>
    <row r="101119" s="12" customFormat="1" x14ac:dyDescent="0.25"/>
    <row r="101120" s="12" customFormat="1" x14ac:dyDescent="0.25"/>
    <row r="101121" s="12" customFormat="1" x14ac:dyDescent="0.25"/>
    <row r="101122" s="12" customFormat="1" x14ac:dyDescent="0.25"/>
    <row r="101123" s="12" customFormat="1" x14ac:dyDescent="0.25"/>
    <row r="101124" s="12" customFormat="1" x14ac:dyDescent="0.25"/>
    <row r="101125" s="12" customFormat="1" x14ac:dyDescent="0.25"/>
    <row r="101126" s="12" customFormat="1" x14ac:dyDescent="0.25"/>
    <row r="101127" s="12" customFormat="1" x14ac:dyDescent="0.25"/>
    <row r="101128" s="12" customFormat="1" x14ac:dyDescent="0.25"/>
    <row r="101129" s="12" customFormat="1" x14ac:dyDescent="0.25"/>
    <row r="101130" s="12" customFormat="1" x14ac:dyDescent="0.25"/>
    <row r="101131" s="12" customFormat="1" x14ac:dyDescent="0.25"/>
    <row r="101132" s="12" customFormat="1" x14ac:dyDescent="0.25"/>
    <row r="101133" s="12" customFormat="1" x14ac:dyDescent="0.25"/>
    <row r="101134" s="12" customFormat="1" x14ac:dyDescent="0.25"/>
    <row r="101135" s="12" customFormat="1" x14ac:dyDescent="0.25"/>
    <row r="101136" s="12" customFormat="1" x14ac:dyDescent="0.25"/>
    <row r="101137" s="12" customFormat="1" x14ac:dyDescent="0.25"/>
    <row r="101138" s="12" customFormat="1" x14ac:dyDescent="0.25"/>
    <row r="101139" s="12" customFormat="1" x14ac:dyDescent="0.25"/>
    <row r="101140" s="12" customFormat="1" x14ac:dyDescent="0.25"/>
    <row r="101141" s="12" customFormat="1" x14ac:dyDescent="0.25"/>
    <row r="101142" s="12" customFormat="1" x14ac:dyDescent="0.25"/>
    <row r="101143" s="12" customFormat="1" x14ac:dyDescent="0.25"/>
    <row r="101144" s="12" customFormat="1" x14ac:dyDescent="0.25"/>
    <row r="101145" s="12" customFormat="1" x14ac:dyDescent="0.25"/>
    <row r="101146" s="12" customFormat="1" x14ac:dyDescent="0.25"/>
    <row r="101147" s="12" customFormat="1" x14ac:dyDescent="0.25"/>
    <row r="101148" s="12" customFormat="1" x14ac:dyDescent="0.25"/>
    <row r="101149" s="12" customFormat="1" x14ac:dyDescent="0.25"/>
    <row r="101150" s="12" customFormat="1" x14ac:dyDescent="0.25"/>
    <row r="101151" s="12" customFormat="1" x14ac:dyDescent="0.25"/>
    <row r="101152" s="12" customFormat="1" x14ac:dyDescent="0.25"/>
    <row r="101153" s="12" customFormat="1" x14ac:dyDescent="0.25"/>
    <row r="101154" s="12" customFormat="1" x14ac:dyDescent="0.25"/>
    <row r="101155" s="12" customFormat="1" x14ac:dyDescent="0.25"/>
    <row r="101156" s="12" customFormat="1" x14ac:dyDescent="0.25"/>
    <row r="101157" s="12" customFormat="1" x14ac:dyDescent="0.25"/>
    <row r="101158" s="12" customFormat="1" x14ac:dyDescent="0.25"/>
    <row r="101159" s="12" customFormat="1" x14ac:dyDescent="0.25"/>
    <row r="101160" s="12" customFormat="1" x14ac:dyDescent="0.25"/>
    <row r="101161" s="12" customFormat="1" x14ac:dyDescent="0.25"/>
    <row r="101162" s="12" customFormat="1" x14ac:dyDescent="0.25"/>
    <row r="101163" s="12" customFormat="1" x14ac:dyDescent="0.25"/>
    <row r="101164" s="12" customFormat="1" x14ac:dyDescent="0.25"/>
    <row r="101165" s="12" customFormat="1" x14ac:dyDescent="0.25"/>
    <row r="101166" s="12" customFormat="1" x14ac:dyDescent="0.25"/>
    <row r="101167" s="12" customFormat="1" x14ac:dyDescent="0.25"/>
    <row r="101168" s="12" customFormat="1" x14ac:dyDescent="0.25"/>
    <row r="101169" s="12" customFormat="1" x14ac:dyDescent="0.25"/>
    <row r="101170" s="12" customFormat="1" x14ac:dyDescent="0.25"/>
    <row r="101171" s="12" customFormat="1" x14ac:dyDescent="0.25"/>
    <row r="101172" s="12" customFormat="1" x14ac:dyDescent="0.25"/>
    <row r="101173" s="12" customFormat="1" x14ac:dyDescent="0.25"/>
    <row r="101174" s="12" customFormat="1" x14ac:dyDescent="0.25"/>
    <row r="101175" s="12" customFormat="1" x14ac:dyDescent="0.25"/>
    <row r="101176" s="12" customFormat="1" x14ac:dyDescent="0.25"/>
    <row r="101177" s="12" customFormat="1" x14ac:dyDescent="0.25"/>
    <row r="101178" s="12" customFormat="1" x14ac:dyDescent="0.25"/>
    <row r="101179" s="12" customFormat="1" x14ac:dyDescent="0.25"/>
    <row r="101180" s="12" customFormat="1" x14ac:dyDescent="0.25"/>
    <row r="101181" s="12" customFormat="1" x14ac:dyDescent="0.25"/>
    <row r="101182" s="12" customFormat="1" x14ac:dyDescent="0.25"/>
    <row r="101183" s="12" customFormat="1" x14ac:dyDescent="0.25"/>
    <row r="101184" s="12" customFormat="1" x14ac:dyDescent="0.25"/>
    <row r="101185" s="12" customFormat="1" x14ac:dyDescent="0.25"/>
    <row r="101186" s="12" customFormat="1" x14ac:dyDescent="0.25"/>
    <row r="101187" s="12" customFormat="1" x14ac:dyDescent="0.25"/>
    <row r="101188" s="12" customFormat="1" x14ac:dyDescent="0.25"/>
    <row r="101189" s="12" customFormat="1" x14ac:dyDescent="0.25"/>
    <row r="101190" s="12" customFormat="1" x14ac:dyDescent="0.25"/>
    <row r="101191" s="12" customFormat="1" x14ac:dyDescent="0.25"/>
    <row r="101192" s="12" customFormat="1" x14ac:dyDescent="0.25"/>
    <row r="101193" s="12" customFormat="1" x14ac:dyDescent="0.25"/>
    <row r="101194" s="12" customFormat="1" x14ac:dyDescent="0.25"/>
    <row r="101195" s="12" customFormat="1" x14ac:dyDescent="0.25"/>
    <row r="101196" s="12" customFormat="1" x14ac:dyDescent="0.25"/>
    <row r="101197" s="12" customFormat="1" x14ac:dyDescent="0.25"/>
    <row r="101198" s="12" customFormat="1" x14ac:dyDescent="0.25"/>
    <row r="101199" s="12" customFormat="1" x14ac:dyDescent="0.25"/>
    <row r="101200" s="12" customFormat="1" x14ac:dyDescent="0.25"/>
    <row r="101201" s="12" customFormat="1" x14ac:dyDescent="0.25"/>
    <row r="101202" s="12" customFormat="1" x14ac:dyDescent="0.25"/>
    <row r="101203" s="12" customFormat="1" x14ac:dyDescent="0.25"/>
    <row r="101204" s="12" customFormat="1" x14ac:dyDescent="0.25"/>
    <row r="101205" s="12" customFormat="1" x14ac:dyDescent="0.25"/>
    <row r="101206" s="12" customFormat="1" x14ac:dyDescent="0.25"/>
    <row r="101207" s="12" customFormat="1" x14ac:dyDescent="0.25"/>
    <row r="101208" s="12" customFormat="1" x14ac:dyDescent="0.25"/>
    <row r="101209" s="12" customFormat="1" x14ac:dyDescent="0.25"/>
    <row r="101210" s="12" customFormat="1" x14ac:dyDescent="0.25"/>
    <row r="101211" s="12" customFormat="1" x14ac:dyDescent="0.25"/>
    <row r="101212" s="12" customFormat="1" x14ac:dyDescent="0.25"/>
    <row r="101213" s="12" customFormat="1" x14ac:dyDescent="0.25"/>
    <row r="101214" s="12" customFormat="1" x14ac:dyDescent="0.25"/>
    <row r="101215" s="12" customFormat="1" x14ac:dyDescent="0.25"/>
    <row r="101216" s="12" customFormat="1" x14ac:dyDescent="0.25"/>
    <row r="101217" s="12" customFormat="1" x14ac:dyDescent="0.25"/>
    <row r="101218" s="12" customFormat="1" x14ac:dyDescent="0.25"/>
    <row r="101219" s="12" customFormat="1" x14ac:dyDescent="0.25"/>
    <row r="101220" s="12" customFormat="1" x14ac:dyDescent="0.25"/>
    <row r="101221" s="12" customFormat="1" x14ac:dyDescent="0.25"/>
    <row r="101222" s="12" customFormat="1" x14ac:dyDescent="0.25"/>
    <row r="101223" s="12" customFormat="1" x14ac:dyDescent="0.25"/>
    <row r="101224" s="12" customFormat="1" x14ac:dyDescent="0.25"/>
    <row r="101225" s="12" customFormat="1" x14ac:dyDescent="0.25"/>
    <row r="101226" s="12" customFormat="1" x14ac:dyDescent="0.25"/>
    <row r="101227" s="12" customFormat="1" x14ac:dyDescent="0.25"/>
    <row r="101228" s="12" customFormat="1" x14ac:dyDescent="0.25"/>
    <row r="101229" s="12" customFormat="1" x14ac:dyDescent="0.25"/>
    <row r="101230" s="12" customFormat="1" x14ac:dyDescent="0.25"/>
    <row r="101231" s="12" customFormat="1" x14ac:dyDescent="0.25"/>
    <row r="101232" s="12" customFormat="1" x14ac:dyDescent="0.25"/>
    <row r="101233" s="12" customFormat="1" x14ac:dyDescent="0.25"/>
    <row r="101234" s="12" customFormat="1" x14ac:dyDescent="0.25"/>
    <row r="101235" s="12" customFormat="1" x14ac:dyDescent="0.25"/>
    <row r="101236" s="12" customFormat="1" x14ac:dyDescent="0.25"/>
    <row r="101237" s="12" customFormat="1" x14ac:dyDescent="0.25"/>
    <row r="101238" s="12" customFormat="1" x14ac:dyDescent="0.25"/>
    <row r="101239" s="12" customFormat="1" x14ac:dyDescent="0.25"/>
    <row r="101240" s="12" customFormat="1" x14ac:dyDescent="0.25"/>
    <row r="101241" s="12" customFormat="1" x14ac:dyDescent="0.25"/>
    <row r="101242" s="12" customFormat="1" x14ac:dyDescent="0.25"/>
    <row r="101243" s="12" customFormat="1" x14ac:dyDescent="0.25"/>
    <row r="101244" s="12" customFormat="1" x14ac:dyDescent="0.25"/>
    <row r="101245" s="12" customFormat="1" x14ac:dyDescent="0.25"/>
    <row r="101246" s="12" customFormat="1" x14ac:dyDescent="0.25"/>
    <row r="101247" s="12" customFormat="1" x14ac:dyDescent="0.25"/>
    <row r="101248" s="12" customFormat="1" x14ac:dyDescent="0.25"/>
    <row r="101249" s="12" customFormat="1" x14ac:dyDescent="0.25"/>
    <row r="101250" s="12" customFormat="1" x14ac:dyDescent="0.25"/>
    <row r="101251" s="12" customFormat="1" x14ac:dyDescent="0.25"/>
    <row r="101252" s="12" customFormat="1" x14ac:dyDescent="0.25"/>
    <row r="101253" s="12" customFormat="1" x14ac:dyDescent="0.25"/>
    <row r="101254" s="12" customFormat="1" x14ac:dyDescent="0.25"/>
    <row r="101255" s="12" customFormat="1" x14ac:dyDescent="0.25"/>
    <row r="101256" s="12" customFormat="1" x14ac:dyDescent="0.25"/>
    <row r="101257" s="12" customFormat="1" x14ac:dyDescent="0.25"/>
    <row r="101258" s="12" customFormat="1" x14ac:dyDescent="0.25"/>
    <row r="101259" s="12" customFormat="1" x14ac:dyDescent="0.25"/>
    <row r="101260" s="12" customFormat="1" x14ac:dyDescent="0.25"/>
    <row r="101261" s="12" customFormat="1" x14ac:dyDescent="0.25"/>
    <row r="101262" s="12" customFormat="1" x14ac:dyDescent="0.25"/>
    <row r="101263" s="12" customFormat="1" x14ac:dyDescent="0.25"/>
    <row r="101264" s="12" customFormat="1" x14ac:dyDescent="0.25"/>
    <row r="101265" s="12" customFormat="1" x14ac:dyDescent="0.25"/>
    <row r="101266" s="12" customFormat="1" x14ac:dyDescent="0.25"/>
    <row r="101267" s="12" customFormat="1" x14ac:dyDescent="0.25"/>
    <row r="101268" s="12" customFormat="1" x14ac:dyDescent="0.25"/>
    <row r="101269" s="12" customFormat="1" x14ac:dyDescent="0.25"/>
    <row r="101270" s="12" customFormat="1" x14ac:dyDescent="0.25"/>
    <row r="101271" s="12" customFormat="1" x14ac:dyDescent="0.25"/>
    <row r="101272" s="12" customFormat="1" x14ac:dyDescent="0.25"/>
    <row r="101273" s="12" customFormat="1" x14ac:dyDescent="0.25"/>
    <row r="101274" s="12" customFormat="1" x14ac:dyDescent="0.25"/>
    <row r="101275" s="12" customFormat="1" x14ac:dyDescent="0.25"/>
    <row r="101276" s="12" customFormat="1" x14ac:dyDescent="0.25"/>
    <row r="101277" s="12" customFormat="1" x14ac:dyDescent="0.25"/>
    <row r="101278" s="12" customFormat="1" x14ac:dyDescent="0.25"/>
    <row r="101279" s="12" customFormat="1" x14ac:dyDescent="0.25"/>
    <row r="101280" s="12" customFormat="1" x14ac:dyDescent="0.25"/>
    <row r="101281" s="12" customFormat="1" x14ac:dyDescent="0.25"/>
    <row r="101282" s="12" customFormat="1" x14ac:dyDescent="0.25"/>
    <row r="101283" s="12" customFormat="1" x14ac:dyDescent="0.25"/>
    <row r="101284" s="12" customFormat="1" x14ac:dyDescent="0.25"/>
    <row r="101285" s="12" customFormat="1" x14ac:dyDescent="0.25"/>
    <row r="101286" s="12" customFormat="1" x14ac:dyDescent="0.25"/>
    <row r="101287" s="12" customFormat="1" x14ac:dyDescent="0.25"/>
    <row r="101288" s="12" customFormat="1" x14ac:dyDescent="0.25"/>
    <row r="101289" s="12" customFormat="1" x14ac:dyDescent="0.25"/>
    <row r="101290" s="12" customFormat="1" x14ac:dyDescent="0.25"/>
    <row r="101291" s="12" customFormat="1" x14ac:dyDescent="0.25"/>
    <row r="101292" s="12" customFormat="1" x14ac:dyDescent="0.25"/>
    <row r="101293" s="12" customFormat="1" x14ac:dyDescent="0.25"/>
    <row r="101294" s="12" customFormat="1" x14ac:dyDescent="0.25"/>
    <row r="101295" s="12" customFormat="1" x14ac:dyDescent="0.25"/>
    <row r="101296" s="12" customFormat="1" x14ac:dyDescent="0.25"/>
    <row r="101297" s="12" customFormat="1" x14ac:dyDescent="0.25"/>
    <row r="101298" s="12" customFormat="1" x14ac:dyDescent="0.25"/>
    <row r="101299" s="12" customFormat="1" x14ac:dyDescent="0.25"/>
    <row r="101300" s="12" customFormat="1" x14ac:dyDescent="0.25"/>
    <row r="101301" s="12" customFormat="1" x14ac:dyDescent="0.25"/>
    <row r="101302" s="12" customFormat="1" x14ac:dyDescent="0.25"/>
    <row r="101303" s="12" customFormat="1" x14ac:dyDescent="0.25"/>
    <row r="101304" s="12" customFormat="1" x14ac:dyDescent="0.25"/>
    <row r="101305" s="12" customFormat="1" x14ac:dyDescent="0.25"/>
    <row r="101306" s="12" customFormat="1" x14ac:dyDescent="0.25"/>
    <row r="101307" s="12" customFormat="1" x14ac:dyDescent="0.25"/>
    <row r="101308" s="12" customFormat="1" x14ac:dyDescent="0.25"/>
    <row r="101309" s="12" customFormat="1" x14ac:dyDescent="0.25"/>
    <row r="101310" s="12" customFormat="1" x14ac:dyDescent="0.25"/>
    <row r="101311" s="12" customFormat="1" x14ac:dyDescent="0.25"/>
    <row r="101312" s="12" customFormat="1" x14ac:dyDescent="0.25"/>
    <row r="101313" s="12" customFormat="1" x14ac:dyDescent="0.25"/>
    <row r="101314" s="12" customFormat="1" x14ac:dyDescent="0.25"/>
    <row r="101315" s="12" customFormat="1" x14ac:dyDescent="0.25"/>
    <row r="101316" s="12" customFormat="1" x14ac:dyDescent="0.25"/>
    <row r="101317" s="12" customFormat="1" x14ac:dyDescent="0.25"/>
    <row r="101318" s="12" customFormat="1" x14ac:dyDescent="0.25"/>
    <row r="101319" s="12" customFormat="1" x14ac:dyDescent="0.25"/>
    <row r="101320" s="12" customFormat="1" x14ac:dyDescent="0.25"/>
    <row r="101321" s="12" customFormat="1" x14ac:dyDescent="0.25"/>
    <row r="101322" s="12" customFormat="1" x14ac:dyDescent="0.25"/>
    <row r="101323" s="12" customFormat="1" x14ac:dyDescent="0.25"/>
    <row r="101324" s="12" customFormat="1" x14ac:dyDescent="0.25"/>
    <row r="101325" s="12" customFormat="1" x14ac:dyDescent="0.25"/>
    <row r="101326" s="12" customFormat="1" x14ac:dyDescent="0.25"/>
    <row r="101327" s="12" customFormat="1" x14ac:dyDescent="0.25"/>
    <row r="101328" s="12" customFormat="1" x14ac:dyDescent="0.25"/>
    <row r="101329" s="12" customFormat="1" x14ac:dyDescent="0.25"/>
    <row r="101330" s="12" customFormat="1" x14ac:dyDescent="0.25"/>
    <row r="101331" s="12" customFormat="1" x14ac:dyDescent="0.25"/>
    <row r="101332" s="12" customFormat="1" x14ac:dyDescent="0.25"/>
    <row r="101333" s="12" customFormat="1" x14ac:dyDescent="0.25"/>
    <row r="101334" s="12" customFormat="1" x14ac:dyDescent="0.25"/>
    <row r="101335" s="12" customFormat="1" x14ac:dyDescent="0.25"/>
    <row r="101336" s="12" customFormat="1" x14ac:dyDescent="0.25"/>
    <row r="101337" s="12" customFormat="1" x14ac:dyDescent="0.25"/>
    <row r="101338" s="12" customFormat="1" x14ac:dyDescent="0.25"/>
    <row r="101339" s="12" customFormat="1" x14ac:dyDescent="0.25"/>
    <row r="101340" s="12" customFormat="1" x14ac:dyDescent="0.25"/>
    <row r="101341" s="12" customFormat="1" x14ac:dyDescent="0.25"/>
    <row r="101342" s="12" customFormat="1" x14ac:dyDescent="0.25"/>
    <row r="101343" s="12" customFormat="1" x14ac:dyDescent="0.25"/>
    <row r="101344" s="12" customFormat="1" x14ac:dyDescent="0.25"/>
    <row r="101345" s="12" customFormat="1" x14ac:dyDescent="0.25"/>
    <row r="101346" s="12" customFormat="1" x14ac:dyDescent="0.25"/>
    <row r="101347" s="12" customFormat="1" x14ac:dyDescent="0.25"/>
    <row r="101348" s="12" customFormat="1" x14ac:dyDescent="0.25"/>
    <row r="101349" s="12" customFormat="1" x14ac:dyDescent="0.25"/>
    <row r="101350" s="12" customFormat="1" x14ac:dyDescent="0.25"/>
    <row r="101351" s="12" customFormat="1" x14ac:dyDescent="0.25"/>
    <row r="101352" s="12" customFormat="1" x14ac:dyDescent="0.25"/>
    <row r="101353" s="12" customFormat="1" x14ac:dyDescent="0.25"/>
    <row r="101354" s="12" customFormat="1" x14ac:dyDescent="0.25"/>
    <row r="101355" s="12" customFormat="1" x14ac:dyDescent="0.25"/>
    <row r="101356" s="12" customFormat="1" x14ac:dyDescent="0.25"/>
    <row r="101357" s="12" customFormat="1" x14ac:dyDescent="0.25"/>
    <row r="101358" s="12" customFormat="1" x14ac:dyDescent="0.25"/>
    <row r="101359" s="12" customFormat="1" x14ac:dyDescent="0.25"/>
    <row r="101360" s="12" customFormat="1" x14ac:dyDescent="0.25"/>
    <row r="101361" s="12" customFormat="1" x14ac:dyDescent="0.25"/>
    <row r="101362" s="12" customFormat="1" x14ac:dyDescent="0.25"/>
    <row r="101363" s="12" customFormat="1" x14ac:dyDescent="0.25"/>
    <row r="101364" s="12" customFormat="1" x14ac:dyDescent="0.25"/>
    <row r="101365" s="12" customFormat="1" x14ac:dyDescent="0.25"/>
    <row r="101366" s="12" customFormat="1" x14ac:dyDescent="0.25"/>
    <row r="101367" s="12" customFormat="1" x14ac:dyDescent="0.25"/>
    <row r="101368" s="12" customFormat="1" x14ac:dyDescent="0.25"/>
    <row r="101369" s="12" customFormat="1" x14ac:dyDescent="0.25"/>
    <row r="101370" s="12" customFormat="1" x14ac:dyDescent="0.25"/>
    <row r="101371" s="12" customFormat="1" x14ac:dyDescent="0.25"/>
    <row r="101372" s="12" customFormat="1" x14ac:dyDescent="0.25"/>
    <row r="101373" s="12" customFormat="1" x14ac:dyDescent="0.25"/>
    <row r="101374" s="12" customFormat="1" x14ac:dyDescent="0.25"/>
    <row r="101375" s="12" customFormat="1" x14ac:dyDescent="0.25"/>
    <row r="101376" s="12" customFormat="1" x14ac:dyDescent="0.25"/>
    <row r="101377" s="12" customFormat="1" x14ac:dyDescent="0.25"/>
    <row r="101378" s="12" customFormat="1" x14ac:dyDescent="0.25"/>
    <row r="101379" s="12" customFormat="1" x14ac:dyDescent="0.25"/>
    <row r="101380" s="12" customFormat="1" x14ac:dyDescent="0.25"/>
    <row r="101381" s="12" customFormat="1" x14ac:dyDescent="0.25"/>
    <row r="101382" s="12" customFormat="1" x14ac:dyDescent="0.25"/>
    <row r="101383" s="12" customFormat="1" x14ac:dyDescent="0.25"/>
    <row r="101384" s="12" customFormat="1" x14ac:dyDescent="0.25"/>
    <row r="101385" s="12" customFormat="1" x14ac:dyDescent="0.25"/>
    <row r="101386" s="12" customFormat="1" x14ac:dyDescent="0.25"/>
    <row r="101387" s="12" customFormat="1" x14ac:dyDescent="0.25"/>
    <row r="101388" s="12" customFormat="1" x14ac:dyDescent="0.25"/>
    <row r="101389" s="12" customFormat="1" x14ac:dyDescent="0.25"/>
    <row r="101390" s="12" customFormat="1" x14ac:dyDescent="0.25"/>
    <row r="101391" s="12" customFormat="1" x14ac:dyDescent="0.25"/>
    <row r="101392" s="12" customFormat="1" x14ac:dyDescent="0.25"/>
    <row r="101393" s="12" customFormat="1" x14ac:dyDescent="0.25"/>
    <row r="101394" s="12" customFormat="1" x14ac:dyDescent="0.25"/>
    <row r="101395" s="12" customFormat="1" x14ac:dyDescent="0.25"/>
    <row r="101396" s="12" customFormat="1" x14ac:dyDescent="0.25"/>
    <row r="101397" s="12" customFormat="1" x14ac:dyDescent="0.25"/>
    <row r="101398" s="12" customFormat="1" x14ac:dyDescent="0.25"/>
    <row r="101399" s="12" customFormat="1" x14ac:dyDescent="0.25"/>
    <row r="101400" s="12" customFormat="1" x14ac:dyDescent="0.25"/>
    <row r="101401" s="12" customFormat="1" x14ac:dyDescent="0.25"/>
    <row r="101402" s="12" customFormat="1" x14ac:dyDescent="0.25"/>
    <row r="101403" s="12" customFormat="1" x14ac:dyDescent="0.25"/>
    <row r="101404" s="12" customFormat="1" x14ac:dyDescent="0.25"/>
    <row r="101405" s="12" customFormat="1" x14ac:dyDescent="0.25"/>
    <row r="101406" s="12" customFormat="1" x14ac:dyDescent="0.25"/>
    <row r="101407" s="12" customFormat="1" x14ac:dyDescent="0.25"/>
    <row r="101408" s="12" customFormat="1" x14ac:dyDescent="0.25"/>
    <row r="101409" s="12" customFormat="1" x14ac:dyDescent="0.25"/>
    <row r="101410" s="12" customFormat="1" x14ac:dyDescent="0.25"/>
    <row r="101411" s="12" customFormat="1" x14ac:dyDescent="0.25"/>
    <row r="101412" s="12" customFormat="1" x14ac:dyDescent="0.25"/>
    <row r="101413" s="12" customFormat="1" x14ac:dyDescent="0.25"/>
    <row r="101414" s="12" customFormat="1" x14ac:dyDescent="0.25"/>
    <row r="101415" s="12" customFormat="1" x14ac:dyDescent="0.25"/>
    <row r="101416" s="12" customFormat="1" x14ac:dyDescent="0.25"/>
    <row r="101417" s="12" customFormat="1" x14ac:dyDescent="0.25"/>
    <row r="101418" s="12" customFormat="1" x14ac:dyDescent="0.25"/>
    <row r="101419" s="12" customFormat="1" x14ac:dyDescent="0.25"/>
    <row r="101420" s="12" customFormat="1" x14ac:dyDescent="0.25"/>
    <row r="101421" s="12" customFormat="1" x14ac:dyDescent="0.25"/>
    <row r="101422" s="12" customFormat="1" x14ac:dyDescent="0.25"/>
    <row r="101423" s="12" customFormat="1" x14ac:dyDescent="0.25"/>
    <row r="101424" s="12" customFormat="1" x14ac:dyDescent="0.25"/>
    <row r="101425" s="12" customFormat="1" x14ac:dyDescent="0.25"/>
    <row r="101426" s="12" customFormat="1" x14ac:dyDescent="0.25"/>
    <row r="101427" s="12" customFormat="1" x14ac:dyDescent="0.25"/>
    <row r="101428" s="12" customFormat="1" x14ac:dyDescent="0.25"/>
    <row r="101429" s="12" customFormat="1" x14ac:dyDescent="0.25"/>
    <row r="101430" s="12" customFormat="1" x14ac:dyDescent="0.25"/>
    <row r="101431" s="12" customFormat="1" x14ac:dyDescent="0.25"/>
    <row r="101432" s="12" customFormat="1" x14ac:dyDescent="0.25"/>
    <row r="101433" s="12" customFormat="1" x14ac:dyDescent="0.25"/>
    <row r="101434" s="12" customFormat="1" x14ac:dyDescent="0.25"/>
    <row r="101435" s="12" customFormat="1" x14ac:dyDescent="0.25"/>
    <row r="101436" s="12" customFormat="1" x14ac:dyDescent="0.25"/>
    <row r="101437" s="12" customFormat="1" x14ac:dyDescent="0.25"/>
    <row r="101438" s="12" customFormat="1" x14ac:dyDescent="0.25"/>
    <row r="101439" s="12" customFormat="1" x14ac:dyDescent="0.25"/>
    <row r="101440" s="12" customFormat="1" x14ac:dyDescent="0.25"/>
    <row r="101441" s="12" customFormat="1" x14ac:dyDescent="0.25"/>
    <row r="101442" s="12" customFormat="1" x14ac:dyDescent="0.25"/>
    <row r="101443" s="12" customFormat="1" x14ac:dyDescent="0.25"/>
    <row r="101444" s="12" customFormat="1" x14ac:dyDescent="0.25"/>
    <row r="101445" s="12" customFormat="1" x14ac:dyDescent="0.25"/>
    <row r="101446" s="12" customFormat="1" x14ac:dyDescent="0.25"/>
    <row r="101447" s="12" customFormat="1" x14ac:dyDescent="0.25"/>
    <row r="101448" s="12" customFormat="1" x14ac:dyDescent="0.25"/>
    <row r="101449" s="12" customFormat="1" x14ac:dyDescent="0.25"/>
    <row r="101450" s="12" customFormat="1" x14ac:dyDescent="0.25"/>
    <row r="101451" s="12" customFormat="1" x14ac:dyDescent="0.25"/>
    <row r="101452" s="12" customFormat="1" x14ac:dyDescent="0.25"/>
    <row r="101453" s="12" customFormat="1" x14ac:dyDescent="0.25"/>
    <row r="101454" s="12" customFormat="1" x14ac:dyDescent="0.25"/>
    <row r="101455" s="12" customFormat="1" x14ac:dyDescent="0.25"/>
    <row r="101456" s="12" customFormat="1" x14ac:dyDescent="0.25"/>
    <row r="101457" s="12" customFormat="1" x14ac:dyDescent="0.25"/>
    <row r="101458" s="12" customFormat="1" x14ac:dyDescent="0.25"/>
    <row r="101459" s="12" customFormat="1" x14ac:dyDescent="0.25"/>
    <row r="101460" s="12" customFormat="1" x14ac:dyDescent="0.25"/>
    <row r="101461" s="12" customFormat="1" x14ac:dyDescent="0.25"/>
    <row r="101462" s="12" customFormat="1" x14ac:dyDescent="0.25"/>
    <row r="101463" s="12" customFormat="1" x14ac:dyDescent="0.25"/>
    <row r="101464" s="12" customFormat="1" x14ac:dyDescent="0.25"/>
    <row r="101465" s="12" customFormat="1" x14ac:dyDescent="0.25"/>
    <row r="101466" s="12" customFormat="1" x14ac:dyDescent="0.25"/>
    <row r="101467" s="12" customFormat="1" x14ac:dyDescent="0.25"/>
    <row r="101468" s="12" customFormat="1" x14ac:dyDescent="0.25"/>
    <row r="101469" s="12" customFormat="1" x14ac:dyDescent="0.25"/>
    <row r="101470" s="12" customFormat="1" x14ac:dyDescent="0.25"/>
    <row r="101471" s="12" customFormat="1" x14ac:dyDescent="0.25"/>
    <row r="101472" s="12" customFormat="1" x14ac:dyDescent="0.25"/>
    <row r="101473" s="12" customFormat="1" x14ac:dyDescent="0.25"/>
    <row r="101474" s="12" customFormat="1" x14ac:dyDescent="0.25"/>
    <row r="101475" s="12" customFormat="1" x14ac:dyDescent="0.25"/>
    <row r="101476" s="12" customFormat="1" x14ac:dyDescent="0.25"/>
    <row r="101477" s="12" customFormat="1" x14ac:dyDescent="0.25"/>
    <row r="101478" s="12" customFormat="1" x14ac:dyDescent="0.25"/>
    <row r="101479" s="12" customFormat="1" x14ac:dyDescent="0.25"/>
    <row r="101480" s="12" customFormat="1" x14ac:dyDescent="0.25"/>
    <row r="101481" s="12" customFormat="1" x14ac:dyDescent="0.25"/>
    <row r="101482" s="12" customFormat="1" x14ac:dyDescent="0.25"/>
    <row r="101483" s="12" customFormat="1" x14ac:dyDescent="0.25"/>
    <row r="101484" s="12" customFormat="1" x14ac:dyDescent="0.25"/>
    <row r="101485" s="12" customFormat="1" x14ac:dyDescent="0.25"/>
    <row r="101486" s="12" customFormat="1" x14ac:dyDescent="0.25"/>
    <row r="101487" s="12" customFormat="1" x14ac:dyDescent="0.25"/>
    <row r="101488" s="12" customFormat="1" x14ac:dyDescent="0.25"/>
    <row r="101489" s="12" customFormat="1" x14ac:dyDescent="0.25"/>
    <row r="101490" s="12" customFormat="1" x14ac:dyDescent="0.25"/>
    <row r="101491" s="12" customFormat="1" x14ac:dyDescent="0.25"/>
    <row r="101492" s="12" customFormat="1" x14ac:dyDescent="0.25"/>
    <row r="101493" s="12" customFormat="1" x14ac:dyDescent="0.25"/>
    <row r="101494" s="12" customFormat="1" x14ac:dyDescent="0.25"/>
    <row r="101495" s="12" customFormat="1" x14ac:dyDescent="0.25"/>
    <row r="101496" s="12" customFormat="1" x14ac:dyDescent="0.25"/>
    <row r="101497" s="12" customFormat="1" x14ac:dyDescent="0.25"/>
    <row r="101498" s="12" customFormat="1" x14ac:dyDescent="0.25"/>
    <row r="101499" s="12" customFormat="1" x14ac:dyDescent="0.25"/>
    <row r="101500" s="12" customFormat="1" x14ac:dyDescent="0.25"/>
    <row r="101501" s="12" customFormat="1" x14ac:dyDescent="0.25"/>
    <row r="101502" s="12" customFormat="1" x14ac:dyDescent="0.25"/>
    <row r="101503" s="12" customFormat="1" x14ac:dyDescent="0.25"/>
    <row r="101504" s="12" customFormat="1" x14ac:dyDescent="0.25"/>
    <row r="101505" s="12" customFormat="1" x14ac:dyDescent="0.25"/>
    <row r="101506" s="12" customFormat="1" x14ac:dyDescent="0.25"/>
    <row r="101507" s="12" customFormat="1" x14ac:dyDescent="0.25"/>
    <row r="101508" s="12" customFormat="1" x14ac:dyDescent="0.25"/>
    <row r="101509" s="12" customFormat="1" x14ac:dyDescent="0.25"/>
    <row r="101510" s="12" customFormat="1" x14ac:dyDescent="0.25"/>
    <row r="101511" s="12" customFormat="1" x14ac:dyDescent="0.25"/>
    <row r="101512" s="12" customFormat="1" x14ac:dyDescent="0.25"/>
    <row r="101513" s="12" customFormat="1" x14ac:dyDescent="0.25"/>
    <row r="101514" s="12" customFormat="1" x14ac:dyDescent="0.25"/>
    <row r="101515" s="12" customFormat="1" x14ac:dyDescent="0.25"/>
    <row r="101516" s="12" customFormat="1" x14ac:dyDescent="0.25"/>
    <row r="101517" s="12" customFormat="1" x14ac:dyDescent="0.25"/>
    <row r="101518" s="12" customFormat="1" x14ac:dyDescent="0.25"/>
    <row r="101519" s="12" customFormat="1" x14ac:dyDescent="0.25"/>
    <row r="101520" s="12" customFormat="1" x14ac:dyDescent="0.25"/>
    <row r="101521" s="12" customFormat="1" x14ac:dyDescent="0.25"/>
    <row r="101522" s="12" customFormat="1" x14ac:dyDescent="0.25"/>
    <row r="101523" s="12" customFormat="1" x14ac:dyDescent="0.25"/>
    <row r="101524" s="12" customFormat="1" x14ac:dyDescent="0.25"/>
    <row r="101525" s="12" customFormat="1" x14ac:dyDescent="0.25"/>
    <row r="101526" s="12" customFormat="1" x14ac:dyDescent="0.25"/>
    <row r="101527" s="12" customFormat="1" x14ac:dyDescent="0.25"/>
    <row r="101528" s="12" customFormat="1" x14ac:dyDescent="0.25"/>
    <row r="101529" s="12" customFormat="1" x14ac:dyDescent="0.25"/>
    <row r="101530" s="12" customFormat="1" x14ac:dyDescent="0.25"/>
    <row r="101531" s="12" customFormat="1" x14ac:dyDescent="0.25"/>
    <row r="101532" s="12" customFormat="1" x14ac:dyDescent="0.25"/>
    <row r="101533" s="12" customFormat="1" x14ac:dyDescent="0.25"/>
    <row r="101534" s="12" customFormat="1" x14ac:dyDescent="0.25"/>
    <row r="101535" s="12" customFormat="1" x14ac:dyDescent="0.25"/>
    <row r="101536" s="12" customFormat="1" x14ac:dyDescent="0.25"/>
    <row r="101537" s="12" customFormat="1" x14ac:dyDescent="0.25"/>
    <row r="101538" s="12" customFormat="1" x14ac:dyDescent="0.25"/>
    <row r="101539" s="12" customFormat="1" x14ac:dyDescent="0.25"/>
    <row r="101540" s="12" customFormat="1" x14ac:dyDescent="0.25"/>
    <row r="101541" s="12" customFormat="1" x14ac:dyDescent="0.25"/>
    <row r="101542" s="12" customFormat="1" x14ac:dyDescent="0.25"/>
    <row r="101543" s="12" customFormat="1" x14ac:dyDescent="0.25"/>
    <row r="101544" s="12" customFormat="1" x14ac:dyDescent="0.25"/>
    <row r="101545" s="12" customFormat="1" x14ac:dyDescent="0.25"/>
    <row r="101546" s="12" customFormat="1" x14ac:dyDescent="0.25"/>
    <row r="101547" s="12" customFormat="1" x14ac:dyDescent="0.25"/>
    <row r="101548" s="12" customFormat="1" x14ac:dyDescent="0.25"/>
    <row r="101549" s="12" customFormat="1" x14ac:dyDescent="0.25"/>
    <row r="101550" s="12" customFormat="1" x14ac:dyDescent="0.25"/>
    <row r="101551" s="12" customFormat="1" x14ac:dyDescent="0.25"/>
    <row r="101552" s="12" customFormat="1" x14ac:dyDescent="0.25"/>
    <row r="101553" s="12" customFormat="1" x14ac:dyDescent="0.25"/>
    <row r="101554" s="12" customFormat="1" x14ac:dyDescent="0.25"/>
    <row r="101555" s="12" customFormat="1" x14ac:dyDescent="0.25"/>
    <row r="101556" s="12" customFormat="1" x14ac:dyDescent="0.25"/>
    <row r="101557" s="12" customFormat="1" x14ac:dyDescent="0.25"/>
    <row r="101558" s="12" customFormat="1" x14ac:dyDescent="0.25"/>
    <row r="101559" s="12" customFormat="1" x14ac:dyDescent="0.25"/>
    <row r="101560" s="12" customFormat="1" x14ac:dyDescent="0.25"/>
    <row r="101561" s="12" customFormat="1" x14ac:dyDescent="0.25"/>
    <row r="101562" s="12" customFormat="1" x14ac:dyDescent="0.25"/>
    <row r="101563" s="12" customFormat="1" x14ac:dyDescent="0.25"/>
    <row r="101564" s="12" customFormat="1" x14ac:dyDescent="0.25"/>
    <row r="101565" s="12" customFormat="1" x14ac:dyDescent="0.25"/>
    <row r="101566" s="12" customFormat="1" x14ac:dyDescent="0.25"/>
    <row r="101567" s="12" customFormat="1" x14ac:dyDescent="0.25"/>
    <row r="101568" s="12" customFormat="1" x14ac:dyDescent="0.25"/>
    <row r="101569" s="12" customFormat="1" x14ac:dyDescent="0.25"/>
    <row r="101570" s="12" customFormat="1" x14ac:dyDescent="0.25"/>
    <row r="101571" s="12" customFormat="1" x14ac:dyDescent="0.25"/>
    <row r="101572" s="12" customFormat="1" x14ac:dyDescent="0.25"/>
    <row r="101573" s="12" customFormat="1" x14ac:dyDescent="0.25"/>
    <row r="101574" s="12" customFormat="1" x14ac:dyDescent="0.25"/>
    <row r="101575" s="12" customFormat="1" x14ac:dyDescent="0.25"/>
    <row r="101576" s="12" customFormat="1" x14ac:dyDescent="0.25"/>
    <row r="101577" s="12" customFormat="1" x14ac:dyDescent="0.25"/>
    <row r="101578" s="12" customFormat="1" x14ac:dyDescent="0.25"/>
    <row r="101579" s="12" customFormat="1" x14ac:dyDescent="0.25"/>
    <row r="101580" s="12" customFormat="1" x14ac:dyDescent="0.25"/>
    <row r="101581" s="12" customFormat="1" x14ac:dyDescent="0.25"/>
    <row r="101582" s="12" customFormat="1" x14ac:dyDescent="0.25"/>
    <row r="101583" s="12" customFormat="1" x14ac:dyDescent="0.25"/>
    <row r="101584" s="12" customFormat="1" x14ac:dyDescent="0.25"/>
    <row r="101585" s="12" customFormat="1" x14ac:dyDescent="0.25"/>
    <row r="101586" s="12" customFormat="1" x14ac:dyDescent="0.25"/>
    <row r="101587" s="12" customFormat="1" x14ac:dyDescent="0.25"/>
    <row r="101588" s="12" customFormat="1" x14ac:dyDescent="0.25"/>
    <row r="101589" s="12" customFormat="1" x14ac:dyDescent="0.25"/>
    <row r="101590" s="12" customFormat="1" x14ac:dyDescent="0.25"/>
    <row r="101591" s="12" customFormat="1" x14ac:dyDescent="0.25"/>
    <row r="101592" s="12" customFormat="1" x14ac:dyDescent="0.25"/>
    <row r="101593" s="12" customFormat="1" x14ac:dyDescent="0.25"/>
    <row r="101594" s="12" customFormat="1" x14ac:dyDescent="0.25"/>
    <row r="101595" s="12" customFormat="1" x14ac:dyDescent="0.25"/>
    <row r="101596" s="12" customFormat="1" x14ac:dyDescent="0.25"/>
    <row r="101597" s="12" customFormat="1" x14ac:dyDescent="0.25"/>
    <row r="101598" s="12" customFormat="1" x14ac:dyDescent="0.25"/>
    <row r="101599" s="12" customFormat="1" x14ac:dyDescent="0.25"/>
    <row r="101600" s="12" customFormat="1" x14ac:dyDescent="0.25"/>
    <row r="101601" s="12" customFormat="1" x14ac:dyDescent="0.25"/>
    <row r="101602" s="12" customFormat="1" x14ac:dyDescent="0.25"/>
    <row r="101603" s="12" customFormat="1" x14ac:dyDescent="0.25"/>
    <row r="101604" s="12" customFormat="1" x14ac:dyDescent="0.25"/>
    <row r="101605" s="12" customFormat="1" x14ac:dyDescent="0.25"/>
    <row r="101606" s="12" customFormat="1" x14ac:dyDescent="0.25"/>
    <row r="101607" s="12" customFormat="1" x14ac:dyDescent="0.25"/>
    <row r="101608" s="12" customFormat="1" x14ac:dyDescent="0.25"/>
    <row r="101609" s="12" customFormat="1" x14ac:dyDescent="0.25"/>
    <row r="101610" s="12" customFormat="1" x14ac:dyDescent="0.25"/>
    <row r="101611" s="12" customFormat="1" x14ac:dyDescent="0.25"/>
    <row r="101612" s="12" customFormat="1" x14ac:dyDescent="0.25"/>
    <row r="101613" s="12" customFormat="1" x14ac:dyDescent="0.25"/>
    <row r="101614" s="12" customFormat="1" x14ac:dyDescent="0.25"/>
    <row r="101615" s="12" customFormat="1" x14ac:dyDescent="0.25"/>
    <row r="101616" s="12" customFormat="1" x14ac:dyDescent="0.25"/>
    <row r="101617" s="12" customFormat="1" x14ac:dyDescent="0.25"/>
    <row r="101618" s="12" customFormat="1" x14ac:dyDescent="0.25"/>
    <row r="101619" s="12" customFormat="1" x14ac:dyDescent="0.25"/>
    <row r="101620" s="12" customFormat="1" x14ac:dyDescent="0.25"/>
    <row r="101621" s="12" customFormat="1" x14ac:dyDescent="0.25"/>
    <row r="101622" s="12" customFormat="1" x14ac:dyDescent="0.25"/>
    <row r="101623" s="12" customFormat="1" x14ac:dyDescent="0.25"/>
    <row r="101624" s="12" customFormat="1" x14ac:dyDescent="0.25"/>
    <row r="101625" s="12" customFormat="1" x14ac:dyDescent="0.25"/>
    <row r="101626" s="12" customFormat="1" x14ac:dyDescent="0.25"/>
    <row r="101627" s="12" customFormat="1" x14ac:dyDescent="0.25"/>
    <row r="101628" s="12" customFormat="1" x14ac:dyDescent="0.25"/>
    <row r="101629" s="12" customFormat="1" x14ac:dyDescent="0.25"/>
    <row r="101630" s="12" customFormat="1" x14ac:dyDescent="0.25"/>
    <row r="101631" s="12" customFormat="1" x14ac:dyDescent="0.25"/>
    <row r="101632" s="12" customFormat="1" x14ac:dyDescent="0.25"/>
    <row r="101633" s="12" customFormat="1" x14ac:dyDescent="0.25"/>
    <row r="101634" s="12" customFormat="1" x14ac:dyDescent="0.25"/>
    <row r="101635" s="12" customFormat="1" x14ac:dyDescent="0.25"/>
    <row r="101636" s="12" customFormat="1" x14ac:dyDescent="0.25"/>
    <row r="101637" s="12" customFormat="1" x14ac:dyDescent="0.25"/>
    <row r="101638" s="12" customFormat="1" x14ac:dyDescent="0.25"/>
    <row r="101639" s="12" customFormat="1" x14ac:dyDescent="0.25"/>
    <row r="101640" s="12" customFormat="1" x14ac:dyDescent="0.25"/>
    <row r="101641" s="12" customFormat="1" x14ac:dyDescent="0.25"/>
    <row r="101642" s="12" customFormat="1" x14ac:dyDescent="0.25"/>
    <row r="101643" s="12" customFormat="1" x14ac:dyDescent="0.25"/>
    <row r="101644" s="12" customFormat="1" x14ac:dyDescent="0.25"/>
    <row r="101645" s="12" customFormat="1" x14ac:dyDescent="0.25"/>
    <row r="101646" s="12" customFormat="1" x14ac:dyDescent="0.25"/>
    <row r="101647" s="12" customFormat="1" x14ac:dyDescent="0.25"/>
    <row r="101648" s="12" customFormat="1" x14ac:dyDescent="0.25"/>
    <row r="101649" s="12" customFormat="1" x14ac:dyDescent="0.25"/>
    <row r="101650" s="12" customFormat="1" x14ac:dyDescent="0.25"/>
    <row r="101651" s="12" customFormat="1" x14ac:dyDescent="0.25"/>
    <row r="101652" s="12" customFormat="1" x14ac:dyDescent="0.25"/>
    <row r="101653" s="12" customFormat="1" x14ac:dyDescent="0.25"/>
    <row r="101654" s="12" customFormat="1" x14ac:dyDescent="0.25"/>
    <row r="101655" s="12" customFormat="1" x14ac:dyDescent="0.25"/>
    <row r="101656" s="12" customFormat="1" x14ac:dyDescent="0.25"/>
    <row r="101657" s="12" customFormat="1" x14ac:dyDescent="0.25"/>
    <row r="101658" s="12" customFormat="1" x14ac:dyDescent="0.25"/>
    <row r="101659" s="12" customFormat="1" x14ac:dyDescent="0.25"/>
    <row r="101660" s="12" customFormat="1" x14ac:dyDescent="0.25"/>
    <row r="101661" s="12" customFormat="1" x14ac:dyDescent="0.25"/>
    <row r="101662" s="12" customFormat="1" x14ac:dyDescent="0.25"/>
    <row r="101663" s="12" customFormat="1" x14ac:dyDescent="0.25"/>
    <row r="101664" s="12" customFormat="1" x14ac:dyDescent="0.25"/>
    <row r="101665" s="12" customFormat="1" x14ac:dyDescent="0.25"/>
    <row r="101666" s="12" customFormat="1" x14ac:dyDescent="0.25"/>
    <row r="101667" s="12" customFormat="1" x14ac:dyDescent="0.25"/>
    <row r="101668" s="12" customFormat="1" x14ac:dyDescent="0.25"/>
    <row r="101669" s="12" customFormat="1" x14ac:dyDescent="0.25"/>
    <row r="101670" s="12" customFormat="1" x14ac:dyDescent="0.25"/>
    <row r="101671" s="12" customFormat="1" x14ac:dyDescent="0.25"/>
    <row r="101672" s="12" customFormat="1" x14ac:dyDescent="0.25"/>
    <row r="101673" s="12" customFormat="1" x14ac:dyDescent="0.25"/>
    <row r="101674" s="12" customFormat="1" x14ac:dyDescent="0.25"/>
    <row r="101675" s="12" customFormat="1" x14ac:dyDescent="0.25"/>
    <row r="101676" s="12" customFormat="1" x14ac:dyDescent="0.25"/>
    <row r="101677" s="12" customFormat="1" x14ac:dyDescent="0.25"/>
    <row r="101678" s="12" customFormat="1" x14ac:dyDescent="0.25"/>
    <row r="101679" s="12" customFormat="1" x14ac:dyDescent="0.25"/>
    <row r="101680" s="12" customFormat="1" x14ac:dyDescent="0.25"/>
    <row r="101681" s="12" customFormat="1" x14ac:dyDescent="0.25"/>
    <row r="101682" s="12" customFormat="1" x14ac:dyDescent="0.25"/>
    <row r="101683" s="12" customFormat="1" x14ac:dyDescent="0.25"/>
    <row r="101684" s="12" customFormat="1" x14ac:dyDescent="0.25"/>
    <row r="101685" s="12" customFormat="1" x14ac:dyDescent="0.25"/>
    <row r="101686" s="12" customFormat="1" x14ac:dyDescent="0.25"/>
    <row r="101687" s="12" customFormat="1" x14ac:dyDescent="0.25"/>
    <row r="101688" s="12" customFormat="1" x14ac:dyDescent="0.25"/>
    <row r="101689" s="12" customFormat="1" x14ac:dyDescent="0.25"/>
    <row r="101690" s="12" customFormat="1" x14ac:dyDescent="0.25"/>
    <row r="101691" s="12" customFormat="1" x14ac:dyDescent="0.25"/>
    <row r="101692" s="12" customFormat="1" x14ac:dyDescent="0.25"/>
    <row r="101693" s="12" customFormat="1" x14ac:dyDescent="0.25"/>
    <row r="101694" s="12" customFormat="1" x14ac:dyDescent="0.25"/>
    <row r="101695" s="12" customFormat="1" x14ac:dyDescent="0.25"/>
    <row r="101696" s="12" customFormat="1" x14ac:dyDescent="0.25"/>
    <row r="101697" s="12" customFormat="1" x14ac:dyDescent="0.25"/>
    <row r="101698" s="12" customFormat="1" x14ac:dyDescent="0.25"/>
    <row r="101699" s="12" customFormat="1" x14ac:dyDescent="0.25"/>
    <row r="101700" s="12" customFormat="1" x14ac:dyDescent="0.25"/>
    <row r="101701" s="12" customFormat="1" x14ac:dyDescent="0.25"/>
    <row r="101702" s="12" customFormat="1" x14ac:dyDescent="0.25"/>
    <row r="101703" s="12" customFormat="1" x14ac:dyDescent="0.25"/>
    <row r="101704" s="12" customFormat="1" x14ac:dyDescent="0.25"/>
    <row r="101705" s="12" customFormat="1" x14ac:dyDescent="0.25"/>
    <row r="101706" s="12" customFormat="1" x14ac:dyDescent="0.25"/>
    <row r="101707" s="12" customFormat="1" x14ac:dyDescent="0.25"/>
    <row r="101708" s="12" customFormat="1" x14ac:dyDescent="0.25"/>
    <row r="101709" s="12" customFormat="1" x14ac:dyDescent="0.25"/>
    <row r="101710" s="12" customFormat="1" x14ac:dyDescent="0.25"/>
    <row r="101711" s="12" customFormat="1" x14ac:dyDescent="0.25"/>
    <row r="101712" s="12" customFormat="1" x14ac:dyDescent="0.25"/>
    <row r="101713" s="12" customFormat="1" x14ac:dyDescent="0.25"/>
    <row r="101714" s="12" customFormat="1" x14ac:dyDescent="0.25"/>
    <row r="101715" s="12" customFormat="1" x14ac:dyDescent="0.25"/>
    <row r="101716" s="12" customFormat="1" x14ac:dyDescent="0.25"/>
    <row r="101717" s="12" customFormat="1" x14ac:dyDescent="0.25"/>
    <row r="101718" s="12" customFormat="1" x14ac:dyDescent="0.25"/>
    <row r="101719" s="12" customFormat="1" x14ac:dyDescent="0.25"/>
    <row r="101720" s="12" customFormat="1" x14ac:dyDescent="0.25"/>
    <row r="101721" s="12" customFormat="1" x14ac:dyDescent="0.25"/>
    <row r="101722" s="12" customFormat="1" x14ac:dyDescent="0.25"/>
    <row r="101723" s="12" customFormat="1" x14ac:dyDescent="0.25"/>
    <row r="101724" s="12" customFormat="1" x14ac:dyDescent="0.25"/>
    <row r="101725" s="12" customFormat="1" x14ac:dyDescent="0.25"/>
    <row r="101726" s="12" customFormat="1" x14ac:dyDescent="0.25"/>
    <row r="101727" s="12" customFormat="1" x14ac:dyDescent="0.25"/>
    <row r="101728" s="12" customFormat="1" x14ac:dyDescent="0.25"/>
    <row r="101729" s="12" customFormat="1" x14ac:dyDescent="0.25"/>
    <row r="101730" s="12" customFormat="1" x14ac:dyDescent="0.25"/>
    <row r="101731" s="12" customFormat="1" x14ac:dyDescent="0.25"/>
    <row r="101732" s="12" customFormat="1" x14ac:dyDescent="0.25"/>
    <row r="101733" s="12" customFormat="1" x14ac:dyDescent="0.25"/>
    <row r="101734" s="12" customFormat="1" x14ac:dyDescent="0.25"/>
    <row r="101735" s="12" customFormat="1" x14ac:dyDescent="0.25"/>
    <row r="101736" s="12" customFormat="1" x14ac:dyDescent="0.25"/>
    <row r="101737" s="12" customFormat="1" x14ac:dyDescent="0.25"/>
    <row r="101738" s="12" customFormat="1" x14ac:dyDescent="0.25"/>
    <row r="101739" s="12" customFormat="1" x14ac:dyDescent="0.25"/>
    <row r="101740" s="12" customFormat="1" x14ac:dyDescent="0.25"/>
    <row r="101741" s="12" customFormat="1" x14ac:dyDescent="0.25"/>
    <row r="101742" s="12" customFormat="1" x14ac:dyDescent="0.25"/>
    <row r="101743" s="12" customFormat="1" x14ac:dyDescent="0.25"/>
    <row r="101744" s="12" customFormat="1" x14ac:dyDescent="0.25"/>
    <row r="101745" s="12" customFormat="1" x14ac:dyDescent="0.25"/>
    <row r="101746" s="12" customFormat="1" x14ac:dyDescent="0.25"/>
    <row r="101747" s="12" customFormat="1" x14ac:dyDescent="0.25"/>
    <row r="101748" s="12" customFormat="1" x14ac:dyDescent="0.25"/>
    <row r="101749" s="12" customFormat="1" x14ac:dyDescent="0.25"/>
    <row r="101750" s="12" customFormat="1" x14ac:dyDescent="0.25"/>
    <row r="101751" s="12" customFormat="1" x14ac:dyDescent="0.25"/>
    <row r="101752" s="12" customFormat="1" x14ac:dyDescent="0.25"/>
    <row r="101753" s="12" customFormat="1" x14ac:dyDescent="0.25"/>
    <row r="101754" s="12" customFormat="1" x14ac:dyDescent="0.25"/>
    <row r="101755" s="12" customFormat="1" x14ac:dyDescent="0.25"/>
    <row r="101756" s="12" customFormat="1" x14ac:dyDescent="0.25"/>
    <row r="101757" s="12" customFormat="1" x14ac:dyDescent="0.25"/>
    <row r="101758" s="12" customFormat="1" x14ac:dyDescent="0.25"/>
    <row r="101759" s="12" customFormat="1" x14ac:dyDescent="0.25"/>
    <row r="101760" s="12" customFormat="1" x14ac:dyDescent="0.25"/>
    <row r="101761" s="12" customFormat="1" x14ac:dyDescent="0.25"/>
    <row r="101762" s="12" customFormat="1" x14ac:dyDescent="0.25"/>
    <row r="101763" s="12" customFormat="1" x14ac:dyDescent="0.25"/>
    <row r="101764" s="12" customFormat="1" x14ac:dyDescent="0.25"/>
    <row r="101765" s="12" customFormat="1" x14ac:dyDescent="0.25"/>
    <row r="101766" s="12" customFormat="1" x14ac:dyDescent="0.25"/>
    <row r="101767" s="12" customFormat="1" x14ac:dyDescent="0.25"/>
    <row r="101768" s="12" customFormat="1" x14ac:dyDescent="0.25"/>
    <row r="101769" s="12" customFormat="1" x14ac:dyDescent="0.25"/>
    <row r="101770" s="12" customFormat="1" x14ac:dyDescent="0.25"/>
    <row r="101771" s="12" customFormat="1" x14ac:dyDescent="0.25"/>
    <row r="101772" s="12" customFormat="1" x14ac:dyDescent="0.25"/>
    <row r="101773" s="12" customFormat="1" x14ac:dyDescent="0.25"/>
    <row r="101774" s="12" customFormat="1" x14ac:dyDescent="0.25"/>
    <row r="101775" s="12" customFormat="1" x14ac:dyDescent="0.25"/>
    <row r="101776" s="12" customFormat="1" x14ac:dyDescent="0.25"/>
    <row r="101777" s="12" customFormat="1" x14ac:dyDescent="0.25"/>
    <row r="101778" s="12" customFormat="1" x14ac:dyDescent="0.25"/>
    <row r="101779" s="12" customFormat="1" x14ac:dyDescent="0.25"/>
    <row r="101780" s="12" customFormat="1" x14ac:dyDescent="0.25"/>
    <row r="101781" s="12" customFormat="1" x14ac:dyDescent="0.25"/>
    <row r="101782" s="12" customFormat="1" x14ac:dyDescent="0.25"/>
    <row r="101783" s="12" customFormat="1" x14ac:dyDescent="0.25"/>
    <row r="101784" s="12" customFormat="1" x14ac:dyDescent="0.25"/>
    <row r="101785" s="12" customFormat="1" x14ac:dyDescent="0.25"/>
    <row r="101786" s="12" customFormat="1" x14ac:dyDescent="0.25"/>
    <row r="101787" s="12" customFormat="1" x14ac:dyDescent="0.25"/>
    <row r="101788" s="12" customFormat="1" x14ac:dyDescent="0.25"/>
    <row r="101789" s="12" customFormat="1" x14ac:dyDescent="0.25"/>
    <row r="101790" s="12" customFormat="1" x14ac:dyDescent="0.25"/>
    <row r="101791" s="12" customFormat="1" x14ac:dyDescent="0.25"/>
    <row r="101792" s="12" customFormat="1" x14ac:dyDescent="0.25"/>
    <row r="101793" s="12" customFormat="1" x14ac:dyDescent="0.25"/>
    <row r="101794" s="12" customFormat="1" x14ac:dyDescent="0.25"/>
    <row r="101795" s="12" customFormat="1" x14ac:dyDescent="0.25"/>
    <row r="101796" s="12" customFormat="1" x14ac:dyDescent="0.25"/>
    <row r="101797" s="12" customFormat="1" x14ac:dyDescent="0.25"/>
    <row r="101798" s="12" customFormat="1" x14ac:dyDescent="0.25"/>
    <row r="101799" s="12" customFormat="1" x14ac:dyDescent="0.25"/>
    <row r="101800" s="12" customFormat="1" x14ac:dyDescent="0.25"/>
    <row r="101801" s="12" customFormat="1" x14ac:dyDescent="0.25"/>
    <row r="101802" s="12" customFormat="1" x14ac:dyDescent="0.25"/>
    <row r="101803" s="12" customFormat="1" x14ac:dyDescent="0.25"/>
    <row r="101804" s="12" customFormat="1" x14ac:dyDescent="0.25"/>
    <row r="101805" s="12" customFormat="1" x14ac:dyDescent="0.25"/>
    <row r="101806" s="12" customFormat="1" x14ac:dyDescent="0.25"/>
    <row r="101807" s="12" customFormat="1" x14ac:dyDescent="0.25"/>
    <row r="101808" s="12" customFormat="1" x14ac:dyDescent="0.25"/>
    <row r="101809" s="12" customFormat="1" x14ac:dyDescent="0.25"/>
    <row r="101810" s="12" customFormat="1" x14ac:dyDescent="0.25"/>
    <row r="101811" s="12" customFormat="1" x14ac:dyDescent="0.25"/>
    <row r="101812" s="12" customFormat="1" x14ac:dyDescent="0.25"/>
    <row r="101813" s="12" customFormat="1" x14ac:dyDescent="0.25"/>
    <row r="101814" s="12" customFormat="1" x14ac:dyDescent="0.25"/>
    <row r="101815" s="12" customFormat="1" x14ac:dyDescent="0.25"/>
    <row r="101816" s="12" customFormat="1" x14ac:dyDescent="0.25"/>
    <row r="101817" s="12" customFormat="1" x14ac:dyDescent="0.25"/>
    <row r="101818" s="12" customFormat="1" x14ac:dyDescent="0.25"/>
    <row r="101819" s="12" customFormat="1" x14ac:dyDescent="0.25"/>
    <row r="101820" s="12" customFormat="1" x14ac:dyDescent="0.25"/>
    <row r="101821" s="12" customFormat="1" x14ac:dyDescent="0.25"/>
    <row r="101822" s="12" customFormat="1" x14ac:dyDescent="0.25"/>
    <row r="101823" s="12" customFormat="1" x14ac:dyDescent="0.25"/>
    <row r="101824" s="12" customFormat="1" x14ac:dyDescent="0.25"/>
    <row r="101825" s="12" customFormat="1" x14ac:dyDescent="0.25"/>
    <row r="101826" s="12" customFormat="1" x14ac:dyDescent="0.25"/>
    <row r="101827" s="12" customFormat="1" x14ac:dyDescent="0.25"/>
    <row r="101828" s="12" customFormat="1" x14ac:dyDescent="0.25"/>
    <row r="101829" s="12" customFormat="1" x14ac:dyDescent="0.25"/>
    <row r="101830" s="12" customFormat="1" x14ac:dyDescent="0.25"/>
    <row r="101831" s="12" customFormat="1" x14ac:dyDescent="0.25"/>
    <row r="101832" s="12" customFormat="1" x14ac:dyDescent="0.25"/>
    <row r="101833" s="12" customFormat="1" x14ac:dyDescent="0.25"/>
    <row r="101834" s="12" customFormat="1" x14ac:dyDescent="0.25"/>
    <row r="101835" s="12" customFormat="1" x14ac:dyDescent="0.25"/>
    <row r="101836" s="12" customFormat="1" x14ac:dyDescent="0.25"/>
    <row r="101837" s="12" customFormat="1" x14ac:dyDescent="0.25"/>
    <row r="101838" s="12" customFormat="1" x14ac:dyDescent="0.25"/>
    <row r="101839" s="12" customFormat="1" x14ac:dyDescent="0.25"/>
    <row r="101840" s="12" customFormat="1" x14ac:dyDescent="0.25"/>
    <row r="101841" s="12" customFormat="1" x14ac:dyDescent="0.25"/>
    <row r="101842" s="12" customFormat="1" x14ac:dyDescent="0.25"/>
    <row r="101843" s="12" customFormat="1" x14ac:dyDescent="0.25"/>
    <row r="101844" s="12" customFormat="1" x14ac:dyDescent="0.25"/>
    <row r="101845" s="12" customFormat="1" x14ac:dyDescent="0.25"/>
    <row r="101846" s="12" customFormat="1" x14ac:dyDescent="0.25"/>
    <row r="101847" s="12" customFormat="1" x14ac:dyDescent="0.25"/>
    <row r="101848" s="12" customFormat="1" x14ac:dyDescent="0.25"/>
    <row r="101849" s="12" customFormat="1" x14ac:dyDescent="0.25"/>
    <row r="101850" s="12" customFormat="1" x14ac:dyDescent="0.25"/>
    <row r="101851" s="12" customFormat="1" x14ac:dyDescent="0.25"/>
    <row r="101852" s="12" customFormat="1" x14ac:dyDescent="0.25"/>
    <row r="101853" s="12" customFormat="1" x14ac:dyDescent="0.25"/>
    <row r="101854" s="12" customFormat="1" x14ac:dyDescent="0.25"/>
    <row r="101855" s="12" customFormat="1" x14ac:dyDescent="0.25"/>
    <row r="101856" s="12" customFormat="1" x14ac:dyDescent="0.25"/>
    <row r="101857" s="12" customFormat="1" x14ac:dyDescent="0.25"/>
    <row r="101858" s="12" customFormat="1" x14ac:dyDescent="0.25"/>
    <row r="101859" s="12" customFormat="1" x14ac:dyDescent="0.25"/>
    <row r="101860" s="12" customFormat="1" x14ac:dyDescent="0.25"/>
    <row r="101861" s="12" customFormat="1" x14ac:dyDescent="0.25"/>
    <row r="101862" s="12" customFormat="1" x14ac:dyDescent="0.25"/>
    <row r="101863" s="12" customFormat="1" x14ac:dyDescent="0.25"/>
    <row r="101864" s="12" customFormat="1" x14ac:dyDescent="0.25"/>
    <row r="101865" s="12" customFormat="1" x14ac:dyDescent="0.25"/>
    <row r="101866" s="12" customFormat="1" x14ac:dyDescent="0.25"/>
    <row r="101867" s="12" customFormat="1" x14ac:dyDescent="0.25"/>
    <row r="101868" s="12" customFormat="1" x14ac:dyDescent="0.25"/>
    <row r="101869" s="12" customFormat="1" x14ac:dyDescent="0.25"/>
    <row r="101870" s="12" customFormat="1" x14ac:dyDescent="0.25"/>
    <row r="101871" s="12" customFormat="1" x14ac:dyDescent="0.25"/>
    <row r="101872" s="12" customFormat="1" x14ac:dyDescent="0.25"/>
    <row r="101873" s="12" customFormat="1" x14ac:dyDescent="0.25"/>
    <row r="101874" s="12" customFormat="1" x14ac:dyDescent="0.25"/>
    <row r="101875" s="12" customFormat="1" x14ac:dyDescent="0.25"/>
    <row r="101876" s="12" customFormat="1" x14ac:dyDescent="0.25"/>
    <row r="101877" s="12" customFormat="1" x14ac:dyDescent="0.25"/>
    <row r="101878" s="12" customFormat="1" x14ac:dyDescent="0.25"/>
    <row r="101879" s="12" customFormat="1" x14ac:dyDescent="0.25"/>
    <row r="101880" s="12" customFormat="1" x14ac:dyDescent="0.25"/>
    <row r="101881" s="12" customFormat="1" x14ac:dyDescent="0.25"/>
    <row r="101882" s="12" customFormat="1" x14ac:dyDescent="0.25"/>
    <row r="101883" s="12" customFormat="1" x14ac:dyDescent="0.25"/>
    <row r="101884" s="12" customFormat="1" x14ac:dyDescent="0.25"/>
    <row r="101885" s="12" customFormat="1" x14ac:dyDescent="0.25"/>
    <row r="101886" s="12" customFormat="1" x14ac:dyDescent="0.25"/>
    <row r="101887" s="12" customFormat="1" x14ac:dyDescent="0.25"/>
    <row r="101888" s="12" customFormat="1" x14ac:dyDescent="0.25"/>
    <row r="101889" s="12" customFormat="1" x14ac:dyDescent="0.25"/>
    <row r="101890" s="12" customFormat="1" x14ac:dyDescent="0.25"/>
    <row r="101891" s="12" customFormat="1" x14ac:dyDescent="0.25"/>
    <row r="101892" s="12" customFormat="1" x14ac:dyDescent="0.25"/>
    <row r="101893" s="12" customFormat="1" x14ac:dyDescent="0.25"/>
    <row r="101894" s="12" customFormat="1" x14ac:dyDescent="0.25"/>
    <row r="101895" s="12" customFormat="1" x14ac:dyDescent="0.25"/>
    <row r="101896" s="12" customFormat="1" x14ac:dyDescent="0.25"/>
    <row r="101897" s="12" customFormat="1" x14ac:dyDescent="0.25"/>
    <row r="101898" s="12" customFormat="1" x14ac:dyDescent="0.25"/>
    <row r="101899" s="12" customFormat="1" x14ac:dyDescent="0.25"/>
    <row r="101900" s="12" customFormat="1" x14ac:dyDescent="0.25"/>
    <row r="101901" s="12" customFormat="1" x14ac:dyDescent="0.25"/>
    <row r="101902" s="12" customFormat="1" x14ac:dyDescent="0.25"/>
    <row r="101903" s="12" customFormat="1" x14ac:dyDescent="0.25"/>
    <row r="101904" s="12" customFormat="1" x14ac:dyDescent="0.25"/>
    <row r="101905" s="12" customFormat="1" x14ac:dyDescent="0.25"/>
    <row r="101906" s="12" customFormat="1" x14ac:dyDescent="0.25"/>
    <row r="101907" s="12" customFormat="1" x14ac:dyDescent="0.25"/>
    <row r="101908" s="12" customFormat="1" x14ac:dyDescent="0.25"/>
    <row r="101909" s="12" customFormat="1" x14ac:dyDescent="0.25"/>
    <row r="101910" s="12" customFormat="1" x14ac:dyDescent="0.25"/>
    <row r="101911" s="12" customFormat="1" x14ac:dyDescent="0.25"/>
    <row r="101912" s="12" customFormat="1" x14ac:dyDescent="0.25"/>
    <row r="101913" s="12" customFormat="1" x14ac:dyDescent="0.25"/>
    <row r="101914" s="12" customFormat="1" x14ac:dyDescent="0.25"/>
    <row r="101915" s="12" customFormat="1" x14ac:dyDescent="0.25"/>
    <row r="101916" s="12" customFormat="1" x14ac:dyDescent="0.25"/>
    <row r="101917" s="12" customFormat="1" x14ac:dyDescent="0.25"/>
    <row r="101918" s="12" customFormat="1" x14ac:dyDescent="0.25"/>
    <row r="101919" s="12" customFormat="1" x14ac:dyDescent="0.25"/>
    <row r="101920" s="12" customFormat="1" x14ac:dyDescent="0.25"/>
    <row r="101921" s="12" customFormat="1" x14ac:dyDescent="0.25"/>
    <row r="101922" s="12" customFormat="1" x14ac:dyDescent="0.25"/>
    <row r="101923" s="12" customFormat="1" x14ac:dyDescent="0.25"/>
    <row r="101924" s="12" customFormat="1" x14ac:dyDescent="0.25"/>
    <row r="101925" s="12" customFormat="1" x14ac:dyDescent="0.25"/>
    <row r="101926" s="12" customFormat="1" x14ac:dyDescent="0.25"/>
    <row r="101927" s="12" customFormat="1" x14ac:dyDescent="0.25"/>
    <row r="101928" s="12" customFormat="1" x14ac:dyDescent="0.25"/>
    <row r="101929" s="12" customFormat="1" x14ac:dyDescent="0.25"/>
    <row r="101930" s="12" customFormat="1" x14ac:dyDescent="0.25"/>
    <row r="101931" s="12" customFormat="1" x14ac:dyDescent="0.25"/>
    <row r="101932" s="12" customFormat="1" x14ac:dyDescent="0.25"/>
    <row r="101933" s="12" customFormat="1" x14ac:dyDescent="0.25"/>
    <row r="101934" s="12" customFormat="1" x14ac:dyDescent="0.25"/>
    <row r="101935" s="12" customFormat="1" x14ac:dyDescent="0.25"/>
    <row r="101936" s="12" customFormat="1" x14ac:dyDescent="0.25"/>
    <row r="101937" s="12" customFormat="1" x14ac:dyDescent="0.25"/>
    <row r="101938" s="12" customFormat="1" x14ac:dyDescent="0.25"/>
    <row r="101939" s="12" customFormat="1" x14ac:dyDescent="0.25"/>
    <row r="101940" s="12" customFormat="1" x14ac:dyDescent="0.25"/>
    <row r="101941" s="12" customFormat="1" x14ac:dyDescent="0.25"/>
    <row r="101942" s="12" customFormat="1" x14ac:dyDescent="0.25"/>
    <row r="101943" s="12" customFormat="1" x14ac:dyDescent="0.25"/>
    <row r="101944" s="12" customFormat="1" x14ac:dyDescent="0.25"/>
    <row r="101945" s="12" customFormat="1" x14ac:dyDescent="0.25"/>
    <row r="101946" s="12" customFormat="1" x14ac:dyDescent="0.25"/>
    <row r="101947" s="12" customFormat="1" x14ac:dyDescent="0.25"/>
    <row r="101948" s="12" customFormat="1" x14ac:dyDescent="0.25"/>
    <row r="101949" s="12" customFormat="1" x14ac:dyDescent="0.25"/>
    <row r="101950" s="12" customFormat="1" x14ac:dyDescent="0.25"/>
    <row r="101951" s="12" customFormat="1" x14ac:dyDescent="0.25"/>
    <row r="101952" s="12" customFormat="1" x14ac:dyDescent="0.25"/>
    <row r="101953" s="12" customFormat="1" x14ac:dyDescent="0.25"/>
    <row r="101954" s="12" customFormat="1" x14ac:dyDescent="0.25"/>
    <row r="101955" s="12" customFormat="1" x14ac:dyDescent="0.25"/>
    <row r="101956" s="12" customFormat="1" x14ac:dyDescent="0.25"/>
    <row r="101957" s="12" customFormat="1" x14ac:dyDescent="0.25"/>
    <row r="101958" s="12" customFormat="1" x14ac:dyDescent="0.25"/>
    <row r="101959" s="12" customFormat="1" x14ac:dyDescent="0.25"/>
    <row r="101960" s="12" customFormat="1" x14ac:dyDescent="0.25"/>
    <row r="101961" s="12" customFormat="1" x14ac:dyDescent="0.25"/>
    <row r="101962" s="12" customFormat="1" x14ac:dyDescent="0.25"/>
    <row r="101963" s="12" customFormat="1" x14ac:dyDescent="0.25"/>
    <row r="101964" s="12" customFormat="1" x14ac:dyDescent="0.25"/>
    <row r="101965" s="12" customFormat="1" x14ac:dyDescent="0.25"/>
    <row r="101966" s="12" customFormat="1" x14ac:dyDescent="0.25"/>
    <row r="101967" s="12" customFormat="1" x14ac:dyDescent="0.25"/>
    <row r="101968" s="12" customFormat="1" x14ac:dyDescent="0.25"/>
    <row r="101969" s="12" customFormat="1" x14ac:dyDescent="0.25"/>
    <row r="101970" s="12" customFormat="1" x14ac:dyDescent="0.25"/>
    <row r="101971" s="12" customFormat="1" x14ac:dyDescent="0.25"/>
    <row r="101972" s="12" customFormat="1" x14ac:dyDescent="0.25"/>
    <row r="101973" s="12" customFormat="1" x14ac:dyDescent="0.25"/>
    <row r="101974" s="12" customFormat="1" x14ac:dyDescent="0.25"/>
    <row r="101975" s="12" customFormat="1" x14ac:dyDescent="0.25"/>
    <row r="101976" s="12" customFormat="1" x14ac:dyDescent="0.25"/>
    <row r="101977" s="12" customFormat="1" x14ac:dyDescent="0.25"/>
    <row r="101978" s="12" customFormat="1" x14ac:dyDescent="0.25"/>
    <row r="101979" s="12" customFormat="1" x14ac:dyDescent="0.25"/>
    <row r="101980" s="12" customFormat="1" x14ac:dyDescent="0.25"/>
    <row r="101981" s="12" customFormat="1" x14ac:dyDescent="0.25"/>
    <row r="101982" s="12" customFormat="1" x14ac:dyDescent="0.25"/>
    <row r="101983" s="12" customFormat="1" x14ac:dyDescent="0.25"/>
    <row r="101984" s="12" customFormat="1" x14ac:dyDescent="0.25"/>
    <row r="101985" s="12" customFormat="1" x14ac:dyDescent="0.25"/>
    <row r="101986" s="12" customFormat="1" x14ac:dyDescent="0.25"/>
    <row r="101987" s="12" customFormat="1" x14ac:dyDescent="0.25"/>
    <row r="101988" s="12" customFormat="1" x14ac:dyDescent="0.25"/>
    <row r="101989" s="12" customFormat="1" x14ac:dyDescent="0.25"/>
    <row r="101990" s="12" customFormat="1" x14ac:dyDescent="0.25"/>
    <row r="101991" s="12" customFormat="1" x14ac:dyDescent="0.25"/>
    <row r="101992" s="12" customFormat="1" x14ac:dyDescent="0.25"/>
    <row r="101993" s="12" customFormat="1" x14ac:dyDescent="0.25"/>
    <row r="101994" s="12" customFormat="1" x14ac:dyDescent="0.25"/>
    <row r="101995" s="12" customFormat="1" x14ac:dyDescent="0.25"/>
    <row r="101996" s="12" customFormat="1" x14ac:dyDescent="0.25"/>
    <row r="101997" s="12" customFormat="1" x14ac:dyDescent="0.25"/>
    <row r="101998" s="12" customFormat="1" x14ac:dyDescent="0.25"/>
    <row r="101999" s="12" customFormat="1" x14ac:dyDescent="0.25"/>
    <row r="102000" s="12" customFormat="1" x14ac:dyDescent="0.25"/>
    <row r="102001" s="12" customFormat="1" x14ac:dyDescent="0.25"/>
    <row r="102002" s="12" customFormat="1" x14ac:dyDescent="0.25"/>
    <row r="102003" s="12" customFormat="1" x14ac:dyDescent="0.25"/>
    <row r="102004" s="12" customFormat="1" x14ac:dyDescent="0.25"/>
    <row r="102005" s="12" customFormat="1" x14ac:dyDescent="0.25"/>
    <row r="102006" s="12" customFormat="1" x14ac:dyDescent="0.25"/>
    <row r="102007" s="12" customFormat="1" x14ac:dyDescent="0.25"/>
    <row r="102008" s="12" customFormat="1" x14ac:dyDescent="0.25"/>
    <row r="102009" s="12" customFormat="1" x14ac:dyDescent="0.25"/>
    <row r="102010" s="12" customFormat="1" x14ac:dyDescent="0.25"/>
    <row r="102011" s="12" customFormat="1" x14ac:dyDescent="0.25"/>
    <row r="102012" s="12" customFormat="1" x14ac:dyDescent="0.25"/>
    <row r="102013" s="12" customFormat="1" x14ac:dyDescent="0.25"/>
    <row r="102014" s="12" customFormat="1" x14ac:dyDescent="0.25"/>
    <row r="102015" s="12" customFormat="1" x14ac:dyDescent="0.25"/>
    <row r="102016" s="12" customFormat="1" x14ac:dyDescent="0.25"/>
    <row r="102017" s="12" customFormat="1" x14ac:dyDescent="0.25"/>
    <row r="102018" s="12" customFormat="1" x14ac:dyDescent="0.25"/>
    <row r="102019" s="12" customFormat="1" x14ac:dyDescent="0.25"/>
    <row r="102020" s="12" customFormat="1" x14ac:dyDescent="0.25"/>
    <row r="102021" s="12" customFormat="1" x14ac:dyDescent="0.25"/>
    <row r="102022" s="12" customFormat="1" x14ac:dyDescent="0.25"/>
    <row r="102023" s="12" customFormat="1" x14ac:dyDescent="0.25"/>
    <row r="102024" s="12" customFormat="1" x14ac:dyDescent="0.25"/>
    <row r="102025" s="12" customFormat="1" x14ac:dyDescent="0.25"/>
    <row r="102026" s="12" customFormat="1" x14ac:dyDescent="0.25"/>
    <row r="102027" s="12" customFormat="1" x14ac:dyDescent="0.25"/>
    <row r="102028" s="12" customFormat="1" x14ac:dyDescent="0.25"/>
    <row r="102029" s="12" customFormat="1" x14ac:dyDescent="0.25"/>
    <row r="102030" s="12" customFormat="1" x14ac:dyDescent="0.25"/>
    <row r="102031" s="12" customFormat="1" x14ac:dyDescent="0.25"/>
    <row r="102032" s="12" customFormat="1" x14ac:dyDescent="0.25"/>
    <row r="102033" s="12" customFormat="1" x14ac:dyDescent="0.25"/>
    <row r="102034" s="12" customFormat="1" x14ac:dyDescent="0.25"/>
    <row r="102035" s="12" customFormat="1" x14ac:dyDescent="0.25"/>
    <row r="102036" s="12" customFormat="1" x14ac:dyDescent="0.25"/>
    <row r="102037" s="12" customFormat="1" x14ac:dyDescent="0.25"/>
    <row r="102038" s="12" customFormat="1" x14ac:dyDescent="0.25"/>
    <row r="102039" s="12" customFormat="1" x14ac:dyDescent="0.25"/>
    <row r="102040" s="12" customFormat="1" x14ac:dyDescent="0.25"/>
    <row r="102041" s="12" customFormat="1" x14ac:dyDescent="0.25"/>
    <row r="102042" s="12" customFormat="1" x14ac:dyDescent="0.25"/>
    <row r="102043" s="12" customFormat="1" x14ac:dyDescent="0.25"/>
    <row r="102044" s="12" customFormat="1" x14ac:dyDescent="0.25"/>
    <row r="102045" s="12" customFormat="1" x14ac:dyDescent="0.25"/>
    <row r="102046" s="12" customFormat="1" x14ac:dyDescent="0.25"/>
    <row r="102047" s="12" customFormat="1" x14ac:dyDescent="0.25"/>
    <row r="102048" s="12" customFormat="1" x14ac:dyDescent="0.25"/>
    <row r="102049" s="12" customFormat="1" x14ac:dyDescent="0.25"/>
    <row r="102050" s="12" customFormat="1" x14ac:dyDescent="0.25"/>
    <row r="102051" s="12" customFormat="1" x14ac:dyDescent="0.25"/>
    <row r="102052" s="12" customFormat="1" x14ac:dyDescent="0.25"/>
    <row r="102053" s="12" customFormat="1" x14ac:dyDescent="0.25"/>
    <row r="102054" s="12" customFormat="1" x14ac:dyDescent="0.25"/>
    <row r="102055" s="12" customFormat="1" x14ac:dyDescent="0.25"/>
    <row r="102056" s="12" customFormat="1" x14ac:dyDescent="0.25"/>
    <row r="102057" s="12" customFormat="1" x14ac:dyDescent="0.25"/>
    <row r="102058" s="12" customFormat="1" x14ac:dyDescent="0.25"/>
    <row r="102059" s="12" customFormat="1" x14ac:dyDescent="0.25"/>
    <row r="102060" s="12" customFormat="1" x14ac:dyDescent="0.25"/>
    <row r="102061" s="12" customFormat="1" x14ac:dyDescent="0.25"/>
    <row r="102062" s="12" customFormat="1" x14ac:dyDescent="0.25"/>
    <row r="102063" s="12" customFormat="1" x14ac:dyDescent="0.25"/>
    <row r="102064" s="12" customFormat="1" x14ac:dyDescent="0.25"/>
    <row r="102065" s="12" customFormat="1" x14ac:dyDescent="0.25"/>
    <row r="102066" s="12" customFormat="1" x14ac:dyDescent="0.25"/>
    <row r="102067" s="12" customFormat="1" x14ac:dyDescent="0.25"/>
    <row r="102068" s="12" customFormat="1" x14ac:dyDescent="0.25"/>
    <row r="102069" s="12" customFormat="1" x14ac:dyDescent="0.25"/>
    <row r="102070" s="12" customFormat="1" x14ac:dyDescent="0.25"/>
    <row r="102071" s="12" customFormat="1" x14ac:dyDescent="0.25"/>
    <row r="102072" s="12" customFormat="1" x14ac:dyDescent="0.25"/>
    <row r="102073" s="12" customFormat="1" x14ac:dyDescent="0.25"/>
    <row r="102074" s="12" customFormat="1" x14ac:dyDescent="0.25"/>
    <row r="102075" s="12" customFormat="1" x14ac:dyDescent="0.25"/>
    <row r="102076" s="12" customFormat="1" x14ac:dyDescent="0.25"/>
    <row r="102077" s="12" customFormat="1" x14ac:dyDescent="0.25"/>
    <row r="102078" s="12" customFormat="1" x14ac:dyDescent="0.25"/>
    <row r="102079" s="12" customFormat="1" x14ac:dyDescent="0.25"/>
    <row r="102080" s="12" customFormat="1" x14ac:dyDescent="0.25"/>
    <row r="102081" s="12" customFormat="1" x14ac:dyDescent="0.25"/>
    <row r="102082" s="12" customFormat="1" x14ac:dyDescent="0.25"/>
    <row r="102083" s="12" customFormat="1" x14ac:dyDescent="0.25"/>
    <row r="102084" s="12" customFormat="1" x14ac:dyDescent="0.25"/>
    <row r="102085" s="12" customFormat="1" x14ac:dyDescent="0.25"/>
    <row r="102086" s="12" customFormat="1" x14ac:dyDescent="0.25"/>
    <row r="102087" s="12" customFormat="1" x14ac:dyDescent="0.25"/>
    <row r="102088" s="12" customFormat="1" x14ac:dyDescent="0.25"/>
    <row r="102089" s="12" customFormat="1" x14ac:dyDescent="0.25"/>
    <row r="102090" s="12" customFormat="1" x14ac:dyDescent="0.25"/>
    <row r="102091" s="12" customFormat="1" x14ac:dyDescent="0.25"/>
    <row r="102092" s="12" customFormat="1" x14ac:dyDescent="0.25"/>
    <row r="102093" s="12" customFormat="1" x14ac:dyDescent="0.25"/>
    <row r="102094" s="12" customFormat="1" x14ac:dyDescent="0.25"/>
    <row r="102095" s="12" customFormat="1" x14ac:dyDescent="0.25"/>
    <row r="102096" s="12" customFormat="1" x14ac:dyDescent="0.25"/>
    <row r="102097" s="12" customFormat="1" x14ac:dyDescent="0.25"/>
    <row r="102098" s="12" customFormat="1" x14ac:dyDescent="0.25"/>
    <row r="102099" s="12" customFormat="1" x14ac:dyDescent="0.25"/>
    <row r="102100" s="12" customFormat="1" x14ac:dyDescent="0.25"/>
    <row r="102101" s="12" customFormat="1" x14ac:dyDescent="0.25"/>
    <row r="102102" s="12" customFormat="1" x14ac:dyDescent="0.25"/>
    <row r="102103" s="12" customFormat="1" x14ac:dyDescent="0.25"/>
    <row r="102104" s="12" customFormat="1" x14ac:dyDescent="0.25"/>
    <row r="102105" s="12" customFormat="1" x14ac:dyDescent="0.25"/>
    <row r="102106" s="12" customFormat="1" x14ac:dyDescent="0.25"/>
    <row r="102107" s="12" customFormat="1" x14ac:dyDescent="0.25"/>
    <row r="102108" s="12" customFormat="1" x14ac:dyDescent="0.25"/>
    <row r="102109" s="12" customFormat="1" x14ac:dyDescent="0.25"/>
    <row r="102110" s="12" customFormat="1" x14ac:dyDescent="0.25"/>
    <row r="102111" s="12" customFormat="1" x14ac:dyDescent="0.25"/>
    <row r="102112" s="12" customFormat="1" x14ac:dyDescent="0.25"/>
    <row r="102113" s="12" customFormat="1" x14ac:dyDescent="0.25"/>
    <row r="102114" s="12" customFormat="1" x14ac:dyDescent="0.25"/>
    <row r="102115" s="12" customFormat="1" x14ac:dyDescent="0.25"/>
    <row r="102116" s="12" customFormat="1" x14ac:dyDescent="0.25"/>
    <row r="102117" s="12" customFormat="1" x14ac:dyDescent="0.25"/>
    <row r="102118" s="12" customFormat="1" x14ac:dyDescent="0.25"/>
    <row r="102119" s="12" customFormat="1" x14ac:dyDescent="0.25"/>
    <row r="102120" s="12" customFormat="1" x14ac:dyDescent="0.25"/>
    <row r="102121" s="12" customFormat="1" x14ac:dyDescent="0.25"/>
    <row r="102122" s="12" customFormat="1" x14ac:dyDescent="0.25"/>
    <row r="102123" s="12" customFormat="1" x14ac:dyDescent="0.25"/>
    <row r="102124" s="12" customFormat="1" x14ac:dyDescent="0.25"/>
    <row r="102125" s="12" customFormat="1" x14ac:dyDescent="0.25"/>
    <row r="102126" s="12" customFormat="1" x14ac:dyDescent="0.25"/>
    <row r="102127" s="12" customFormat="1" x14ac:dyDescent="0.25"/>
    <row r="102128" s="12" customFormat="1" x14ac:dyDescent="0.25"/>
    <row r="102129" s="12" customFormat="1" x14ac:dyDescent="0.25"/>
    <row r="102130" s="12" customFormat="1" x14ac:dyDescent="0.25"/>
    <row r="102131" s="12" customFormat="1" x14ac:dyDescent="0.25"/>
    <row r="102132" s="12" customFormat="1" x14ac:dyDescent="0.25"/>
    <row r="102133" s="12" customFormat="1" x14ac:dyDescent="0.25"/>
    <row r="102134" s="12" customFormat="1" x14ac:dyDescent="0.25"/>
    <row r="102135" s="12" customFormat="1" x14ac:dyDescent="0.25"/>
    <row r="102136" s="12" customFormat="1" x14ac:dyDescent="0.25"/>
    <row r="102137" s="12" customFormat="1" x14ac:dyDescent="0.25"/>
    <row r="102138" s="12" customFormat="1" x14ac:dyDescent="0.25"/>
    <row r="102139" s="12" customFormat="1" x14ac:dyDescent="0.25"/>
    <row r="102140" s="12" customFormat="1" x14ac:dyDescent="0.25"/>
    <row r="102141" s="12" customFormat="1" x14ac:dyDescent="0.25"/>
    <row r="102142" s="12" customFormat="1" x14ac:dyDescent="0.25"/>
    <row r="102143" s="12" customFormat="1" x14ac:dyDescent="0.25"/>
    <row r="102144" s="12" customFormat="1" x14ac:dyDescent="0.25"/>
    <row r="102145" s="12" customFormat="1" x14ac:dyDescent="0.25"/>
    <row r="102146" s="12" customFormat="1" x14ac:dyDescent="0.25"/>
    <row r="102147" s="12" customFormat="1" x14ac:dyDescent="0.25"/>
    <row r="102148" s="12" customFormat="1" x14ac:dyDescent="0.25"/>
    <row r="102149" s="12" customFormat="1" x14ac:dyDescent="0.25"/>
    <row r="102150" s="12" customFormat="1" x14ac:dyDescent="0.25"/>
    <row r="102151" s="12" customFormat="1" x14ac:dyDescent="0.25"/>
    <row r="102152" s="12" customFormat="1" x14ac:dyDescent="0.25"/>
    <row r="102153" s="12" customFormat="1" x14ac:dyDescent="0.25"/>
    <row r="102154" s="12" customFormat="1" x14ac:dyDescent="0.25"/>
    <row r="102155" s="12" customFormat="1" x14ac:dyDescent="0.25"/>
    <row r="102156" s="12" customFormat="1" x14ac:dyDescent="0.25"/>
    <row r="102157" s="12" customFormat="1" x14ac:dyDescent="0.25"/>
    <row r="102158" s="12" customFormat="1" x14ac:dyDescent="0.25"/>
    <row r="102159" s="12" customFormat="1" x14ac:dyDescent="0.25"/>
    <row r="102160" s="12" customFormat="1" x14ac:dyDescent="0.25"/>
    <row r="102161" s="12" customFormat="1" x14ac:dyDescent="0.25"/>
    <row r="102162" s="12" customFormat="1" x14ac:dyDescent="0.25"/>
    <row r="102163" s="12" customFormat="1" x14ac:dyDescent="0.25"/>
    <row r="102164" s="12" customFormat="1" x14ac:dyDescent="0.25"/>
    <row r="102165" s="12" customFormat="1" x14ac:dyDescent="0.25"/>
    <row r="102166" s="12" customFormat="1" x14ac:dyDescent="0.25"/>
    <row r="102167" s="12" customFormat="1" x14ac:dyDescent="0.25"/>
    <row r="102168" s="12" customFormat="1" x14ac:dyDescent="0.25"/>
    <row r="102169" s="12" customFormat="1" x14ac:dyDescent="0.25"/>
    <row r="102170" s="12" customFormat="1" x14ac:dyDescent="0.25"/>
    <row r="102171" s="12" customFormat="1" x14ac:dyDescent="0.25"/>
    <row r="102172" s="12" customFormat="1" x14ac:dyDescent="0.25"/>
    <row r="102173" s="12" customFormat="1" x14ac:dyDescent="0.25"/>
    <row r="102174" s="12" customFormat="1" x14ac:dyDescent="0.25"/>
    <row r="102175" s="12" customFormat="1" x14ac:dyDescent="0.25"/>
    <row r="102176" s="12" customFormat="1" x14ac:dyDescent="0.25"/>
    <row r="102177" s="12" customFormat="1" x14ac:dyDescent="0.25"/>
    <row r="102178" s="12" customFormat="1" x14ac:dyDescent="0.25"/>
    <row r="102179" s="12" customFormat="1" x14ac:dyDescent="0.25"/>
    <row r="102180" s="12" customFormat="1" x14ac:dyDescent="0.25"/>
    <row r="102181" s="12" customFormat="1" x14ac:dyDescent="0.25"/>
    <row r="102182" s="12" customFormat="1" x14ac:dyDescent="0.25"/>
    <row r="102183" s="12" customFormat="1" x14ac:dyDescent="0.25"/>
    <row r="102184" s="12" customFormat="1" x14ac:dyDescent="0.25"/>
    <row r="102185" s="12" customFormat="1" x14ac:dyDescent="0.25"/>
    <row r="102186" s="12" customFormat="1" x14ac:dyDescent="0.25"/>
    <row r="102187" s="12" customFormat="1" x14ac:dyDescent="0.25"/>
    <row r="102188" s="12" customFormat="1" x14ac:dyDescent="0.25"/>
    <row r="102189" s="12" customFormat="1" x14ac:dyDescent="0.25"/>
    <row r="102190" s="12" customFormat="1" x14ac:dyDescent="0.25"/>
    <row r="102191" s="12" customFormat="1" x14ac:dyDescent="0.25"/>
    <row r="102192" s="12" customFormat="1" x14ac:dyDescent="0.25"/>
    <row r="102193" s="12" customFormat="1" x14ac:dyDescent="0.25"/>
    <row r="102194" s="12" customFormat="1" x14ac:dyDescent="0.25"/>
    <row r="102195" s="12" customFormat="1" x14ac:dyDescent="0.25"/>
    <row r="102196" s="12" customFormat="1" x14ac:dyDescent="0.25"/>
    <row r="102197" s="12" customFormat="1" x14ac:dyDescent="0.25"/>
    <row r="102198" s="12" customFormat="1" x14ac:dyDescent="0.25"/>
    <row r="102199" s="12" customFormat="1" x14ac:dyDescent="0.25"/>
    <row r="102200" s="12" customFormat="1" x14ac:dyDescent="0.25"/>
    <row r="102201" s="12" customFormat="1" x14ac:dyDescent="0.25"/>
    <row r="102202" s="12" customFormat="1" x14ac:dyDescent="0.25"/>
    <row r="102203" s="12" customFormat="1" x14ac:dyDescent="0.25"/>
    <row r="102204" s="12" customFormat="1" x14ac:dyDescent="0.25"/>
    <row r="102205" s="12" customFormat="1" x14ac:dyDescent="0.25"/>
    <row r="102206" s="12" customFormat="1" x14ac:dyDescent="0.25"/>
    <row r="102207" s="12" customFormat="1" x14ac:dyDescent="0.25"/>
    <row r="102208" s="12" customFormat="1" x14ac:dyDescent="0.25"/>
    <row r="102209" s="12" customFormat="1" x14ac:dyDescent="0.25"/>
    <row r="102210" s="12" customFormat="1" x14ac:dyDescent="0.25"/>
    <row r="102211" s="12" customFormat="1" x14ac:dyDescent="0.25"/>
    <row r="102212" s="12" customFormat="1" x14ac:dyDescent="0.25"/>
    <row r="102213" s="12" customFormat="1" x14ac:dyDescent="0.25"/>
    <row r="102214" s="12" customFormat="1" x14ac:dyDescent="0.25"/>
    <row r="102215" s="12" customFormat="1" x14ac:dyDescent="0.25"/>
    <row r="102216" s="12" customFormat="1" x14ac:dyDescent="0.25"/>
    <row r="102217" s="12" customFormat="1" x14ac:dyDescent="0.25"/>
    <row r="102218" s="12" customFormat="1" x14ac:dyDescent="0.25"/>
    <row r="102219" s="12" customFormat="1" x14ac:dyDescent="0.25"/>
    <row r="102220" s="12" customFormat="1" x14ac:dyDescent="0.25"/>
    <row r="102221" s="12" customFormat="1" x14ac:dyDescent="0.25"/>
    <row r="102222" s="12" customFormat="1" x14ac:dyDescent="0.25"/>
    <row r="102223" s="12" customFormat="1" x14ac:dyDescent="0.25"/>
    <row r="102224" s="12" customFormat="1" x14ac:dyDescent="0.25"/>
    <row r="102225" s="12" customFormat="1" x14ac:dyDescent="0.25"/>
    <row r="102226" s="12" customFormat="1" x14ac:dyDescent="0.25"/>
    <row r="102227" s="12" customFormat="1" x14ac:dyDescent="0.25"/>
    <row r="102228" s="12" customFormat="1" x14ac:dyDescent="0.25"/>
    <row r="102229" s="12" customFormat="1" x14ac:dyDescent="0.25"/>
    <row r="102230" s="12" customFormat="1" x14ac:dyDescent="0.25"/>
    <row r="102231" s="12" customFormat="1" x14ac:dyDescent="0.25"/>
    <row r="102232" s="12" customFormat="1" x14ac:dyDescent="0.25"/>
    <row r="102233" s="12" customFormat="1" x14ac:dyDescent="0.25"/>
    <row r="102234" s="12" customFormat="1" x14ac:dyDescent="0.25"/>
    <row r="102235" s="12" customFormat="1" x14ac:dyDescent="0.25"/>
    <row r="102236" s="12" customFormat="1" x14ac:dyDescent="0.25"/>
    <row r="102237" s="12" customFormat="1" x14ac:dyDescent="0.25"/>
    <row r="102238" s="12" customFormat="1" x14ac:dyDescent="0.25"/>
    <row r="102239" s="12" customFormat="1" x14ac:dyDescent="0.25"/>
    <row r="102240" s="12" customFormat="1" x14ac:dyDescent="0.25"/>
    <row r="102241" s="12" customFormat="1" x14ac:dyDescent="0.25"/>
    <row r="102242" s="12" customFormat="1" x14ac:dyDescent="0.25"/>
    <row r="102243" s="12" customFormat="1" x14ac:dyDescent="0.25"/>
    <row r="102244" s="12" customFormat="1" x14ac:dyDescent="0.25"/>
    <row r="102245" s="12" customFormat="1" x14ac:dyDescent="0.25"/>
    <row r="102246" s="12" customFormat="1" x14ac:dyDescent="0.25"/>
    <row r="102247" s="12" customFormat="1" x14ac:dyDescent="0.25"/>
    <row r="102248" s="12" customFormat="1" x14ac:dyDescent="0.25"/>
    <row r="102249" s="12" customFormat="1" x14ac:dyDescent="0.25"/>
    <row r="102250" s="12" customFormat="1" x14ac:dyDescent="0.25"/>
    <row r="102251" s="12" customFormat="1" x14ac:dyDescent="0.25"/>
    <row r="102252" s="12" customFormat="1" x14ac:dyDescent="0.25"/>
    <row r="102253" s="12" customFormat="1" x14ac:dyDescent="0.25"/>
    <row r="102254" s="12" customFormat="1" x14ac:dyDescent="0.25"/>
    <row r="102255" s="12" customFormat="1" x14ac:dyDescent="0.25"/>
    <row r="102256" s="12" customFormat="1" x14ac:dyDescent="0.25"/>
    <row r="102257" s="12" customFormat="1" x14ac:dyDescent="0.25"/>
    <row r="102258" s="12" customFormat="1" x14ac:dyDescent="0.25"/>
    <row r="102259" s="12" customFormat="1" x14ac:dyDescent="0.25"/>
    <row r="102260" s="12" customFormat="1" x14ac:dyDescent="0.25"/>
    <row r="102261" s="12" customFormat="1" x14ac:dyDescent="0.25"/>
    <row r="102262" s="12" customFormat="1" x14ac:dyDescent="0.25"/>
    <row r="102263" s="12" customFormat="1" x14ac:dyDescent="0.25"/>
    <row r="102264" s="12" customFormat="1" x14ac:dyDescent="0.25"/>
    <row r="102265" s="12" customFormat="1" x14ac:dyDescent="0.25"/>
    <row r="102266" s="12" customFormat="1" x14ac:dyDescent="0.25"/>
    <row r="102267" s="12" customFormat="1" x14ac:dyDescent="0.25"/>
    <row r="102268" s="12" customFormat="1" x14ac:dyDescent="0.25"/>
    <row r="102269" s="12" customFormat="1" x14ac:dyDescent="0.25"/>
    <row r="102270" s="12" customFormat="1" x14ac:dyDescent="0.25"/>
    <row r="102271" s="12" customFormat="1" x14ac:dyDescent="0.25"/>
    <row r="102272" s="12" customFormat="1" x14ac:dyDescent="0.25"/>
    <row r="102273" s="12" customFormat="1" x14ac:dyDescent="0.25"/>
    <row r="102274" s="12" customFormat="1" x14ac:dyDescent="0.25"/>
    <row r="102275" s="12" customFormat="1" x14ac:dyDescent="0.25"/>
    <row r="102276" s="12" customFormat="1" x14ac:dyDescent="0.25"/>
    <row r="102277" s="12" customFormat="1" x14ac:dyDescent="0.25"/>
    <row r="102278" s="12" customFormat="1" x14ac:dyDescent="0.25"/>
    <row r="102279" s="12" customFormat="1" x14ac:dyDescent="0.25"/>
    <row r="102280" s="12" customFormat="1" x14ac:dyDescent="0.25"/>
    <row r="102281" s="12" customFormat="1" x14ac:dyDescent="0.25"/>
    <row r="102282" s="12" customFormat="1" x14ac:dyDescent="0.25"/>
    <row r="102283" s="12" customFormat="1" x14ac:dyDescent="0.25"/>
    <row r="102284" s="12" customFormat="1" x14ac:dyDescent="0.25"/>
    <row r="102285" s="12" customFormat="1" x14ac:dyDescent="0.25"/>
    <row r="102286" s="12" customFormat="1" x14ac:dyDescent="0.25"/>
    <row r="102287" s="12" customFormat="1" x14ac:dyDescent="0.25"/>
    <row r="102288" s="12" customFormat="1" x14ac:dyDescent="0.25"/>
    <row r="102289" s="12" customFormat="1" x14ac:dyDescent="0.25"/>
    <row r="102290" s="12" customFormat="1" x14ac:dyDescent="0.25"/>
    <row r="102291" s="12" customFormat="1" x14ac:dyDescent="0.25"/>
    <row r="102292" s="12" customFormat="1" x14ac:dyDescent="0.25"/>
    <row r="102293" s="12" customFormat="1" x14ac:dyDescent="0.25"/>
    <row r="102294" s="12" customFormat="1" x14ac:dyDescent="0.25"/>
    <row r="102295" s="12" customFormat="1" x14ac:dyDescent="0.25"/>
    <row r="102296" s="12" customFormat="1" x14ac:dyDescent="0.25"/>
    <row r="102297" s="12" customFormat="1" x14ac:dyDescent="0.25"/>
    <row r="102298" s="12" customFormat="1" x14ac:dyDescent="0.25"/>
    <row r="102299" s="12" customFormat="1" x14ac:dyDescent="0.25"/>
    <row r="102300" s="12" customFormat="1" x14ac:dyDescent="0.25"/>
    <row r="102301" s="12" customFormat="1" x14ac:dyDescent="0.25"/>
    <row r="102302" s="12" customFormat="1" x14ac:dyDescent="0.25"/>
    <row r="102303" s="12" customFormat="1" x14ac:dyDescent="0.25"/>
    <row r="102304" s="12" customFormat="1" x14ac:dyDescent="0.25"/>
    <row r="102305" s="12" customFormat="1" x14ac:dyDescent="0.25"/>
    <row r="102306" s="12" customFormat="1" x14ac:dyDescent="0.25"/>
    <row r="102307" s="12" customFormat="1" x14ac:dyDescent="0.25"/>
    <row r="102308" s="12" customFormat="1" x14ac:dyDescent="0.25"/>
    <row r="102309" s="12" customFormat="1" x14ac:dyDescent="0.25"/>
    <row r="102310" s="12" customFormat="1" x14ac:dyDescent="0.25"/>
    <row r="102311" s="12" customFormat="1" x14ac:dyDescent="0.25"/>
    <row r="102312" s="12" customFormat="1" x14ac:dyDescent="0.25"/>
    <row r="102313" s="12" customFormat="1" x14ac:dyDescent="0.25"/>
    <row r="102314" s="12" customFormat="1" x14ac:dyDescent="0.25"/>
    <row r="102315" s="12" customFormat="1" x14ac:dyDescent="0.25"/>
    <row r="102316" s="12" customFormat="1" x14ac:dyDescent="0.25"/>
    <row r="102317" s="12" customFormat="1" x14ac:dyDescent="0.25"/>
    <row r="102318" s="12" customFormat="1" x14ac:dyDescent="0.25"/>
    <row r="102319" s="12" customFormat="1" x14ac:dyDescent="0.25"/>
    <row r="102320" s="12" customFormat="1" x14ac:dyDescent="0.25"/>
    <row r="102321" s="12" customFormat="1" x14ac:dyDescent="0.25"/>
    <row r="102322" s="12" customFormat="1" x14ac:dyDescent="0.25"/>
    <row r="102323" s="12" customFormat="1" x14ac:dyDescent="0.25"/>
    <row r="102324" s="12" customFormat="1" x14ac:dyDescent="0.25"/>
    <row r="102325" s="12" customFormat="1" x14ac:dyDescent="0.25"/>
    <row r="102326" s="12" customFormat="1" x14ac:dyDescent="0.25"/>
    <row r="102327" s="12" customFormat="1" x14ac:dyDescent="0.25"/>
    <row r="102328" s="12" customFormat="1" x14ac:dyDescent="0.25"/>
    <row r="102329" s="12" customFormat="1" x14ac:dyDescent="0.25"/>
    <row r="102330" s="12" customFormat="1" x14ac:dyDescent="0.25"/>
    <row r="102331" s="12" customFormat="1" x14ac:dyDescent="0.25"/>
    <row r="102332" s="12" customFormat="1" x14ac:dyDescent="0.25"/>
    <row r="102333" s="12" customFormat="1" x14ac:dyDescent="0.25"/>
    <row r="102334" s="12" customFormat="1" x14ac:dyDescent="0.25"/>
    <row r="102335" s="12" customFormat="1" x14ac:dyDescent="0.25"/>
    <row r="102336" s="12" customFormat="1" x14ac:dyDescent="0.25"/>
    <row r="102337" s="12" customFormat="1" x14ac:dyDescent="0.25"/>
    <row r="102338" s="12" customFormat="1" x14ac:dyDescent="0.25"/>
    <row r="102339" s="12" customFormat="1" x14ac:dyDescent="0.25"/>
    <row r="102340" s="12" customFormat="1" x14ac:dyDescent="0.25"/>
    <row r="102341" s="12" customFormat="1" x14ac:dyDescent="0.25"/>
    <row r="102342" s="12" customFormat="1" x14ac:dyDescent="0.25"/>
    <row r="102343" s="12" customFormat="1" x14ac:dyDescent="0.25"/>
    <row r="102344" s="12" customFormat="1" x14ac:dyDescent="0.25"/>
    <row r="102345" s="12" customFormat="1" x14ac:dyDescent="0.25"/>
    <row r="102346" s="12" customFormat="1" x14ac:dyDescent="0.25"/>
    <row r="102347" s="12" customFormat="1" x14ac:dyDescent="0.25"/>
    <row r="102348" s="12" customFormat="1" x14ac:dyDescent="0.25"/>
    <row r="102349" s="12" customFormat="1" x14ac:dyDescent="0.25"/>
    <row r="102350" s="12" customFormat="1" x14ac:dyDescent="0.25"/>
    <row r="102351" s="12" customFormat="1" x14ac:dyDescent="0.25"/>
    <row r="102352" s="12" customFormat="1" x14ac:dyDescent="0.25"/>
    <row r="102353" s="12" customFormat="1" x14ac:dyDescent="0.25"/>
    <row r="102354" s="12" customFormat="1" x14ac:dyDescent="0.25"/>
    <row r="102355" s="12" customFormat="1" x14ac:dyDescent="0.25"/>
    <row r="102356" s="12" customFormat="1" x14ac:dyDescent="0.25"/>
    <row r="102357" s="12" customFormat="1" x14ac:dyDescent="0.25"/>
    <row r="102358" s="12" customFormat="1" x14ac:dyDescent="0.25"/>
    <row r="102359" s="12" customFormat="1" x14ac:dyDescent="0.25"/>
    <row r="102360" s="12" customFormat="1" x14ac:dyDescent="0.25"/>
    <row r="102361" s="12" customFormat="1" x14ac:dyDescent="0.25"/>
    <row r="102362" s="12" customFormat="1" x14ac:dyDescent="0.25"/>
    <row r="102363" s="12" customFormat="1" x14ac:dyDescent="0.25"/>
    <row r="102364" s="12" customFormat="1" x14ac:dyDescent="0.25"/>
    <row r="102365" s="12" customFormat="1" x14ac:dyDescent="0.25"/>
    <row r="102366" s="12" customFormat="1" x14ac:dyDescent="0.25"/>
    <row r="102367" s="12" customFormat="1" x14ac:dyDescent="0.25"/>
    <row r="102368" s="12" customFormat="1" x14ac:dyDescent="0.25"/>
    <row r="102369" s="12" customFormat="1" x14ac:dyDescent="0.25"/>
    <row r="102370" s="12" customFormat="1" x14ac:dyDescent="0.25"/>
    <row r="102371" s="12" customFormat="1" x14ac:dyDescent="0.25"/>
    <row r="102372" s="12" customFormat="1" x14ac:dyDescent="0.25"/>
    <row r="102373" s="12" customFormat="1" x14ac:dyDescent="0.25"/>
    <row r="102374" s="12" customFormat="1" x14ac:dyDescent="0.25"/>
    <row r="102375" s="12" customFormat="1" x14ac:dyDescent="0.25"/>
    <row r="102376" s="12" customFormat="1" x14ac:dyDescent="0.25"/>
    <row r="102377" s="12" customFormat="1" x14ac:dyDescent="0.25"/>
    <row r="102378" s="12" customFormat="1" x14ac:dyDescent="0.25"/>
    <row r="102379" s="12" customFormat="1" x14ac:dyDescent="0.25"/>
    <row r="102380" s="12" customFormat="1" x14ac:dyDescent="0.25"/>
    <row r="102381" s="12" customFormat="1" x14ac:dyDescent="0.25"/>
    <row r="102382" s="12" customFormat="1" x14ac:dyDescent="0.25"/>
    <row r="102383" s="12" customFormat="1" x14ac:dyDescent="0.25"/>
    <row r="102384" s="12" customFormat="1" x14ac:dyDescent="0.25"/>
    <row r="102385" s="12" customFormat="1" x14ac:dyDescent="0.25"/>
    <row r="102386" s="12" customFormat="1" x14ac:dyDescent="0.25"/>
    <row r="102387" s="12" customFormat="1" x14ac:dyDescent="0.25"/>
    <row r="102388" s="12" customFormat="1" x14ac:dyDescent="0.25"/>
    <row r="102389" s="12" customFormat="1" x14ac:dyDescent="0.25"/>
    <row r="102390" s="12" customFormat="1" x14ac:dyDescent="0.25"/>
    <row r="102391" s="12" customFormat="1" x14ac:dyDescent="0.25"/>
    <row r="102392" s="12" customFormat="1" x14ac:dyDescent="0.25"/>
    <row r="102393" s="12" customFormat="1" x14ac:dyDescent="0.25"/>
    <row r="102394" s="12" customFormat="1" x14ac:dyDescent="0.25"/>
    <row r="102395" s="12" customFormat="1" x14ac:dyDescent="0.25"/>
    <row r="102396" s="12" customFormat="1" x14ac:dyDescent="0.25"/>
    <row r="102397" s="12" customFormat="1" x14ac:dyDescent="0.25"/>
    <row r="102398" s="12" customFormat="1" x14ac:dyDescent="0.25"/>
    <row r="102399" s="12" customFormat="1" x14ac:dyDescent="0.25"/>
    <row r="102400" s="12" customFormat="1" x14ac:dyDescent="0.25"/>
    <row r="102401" s="12" customFormat="1" x14ac:dyDescent="0.25"/>
    <row r="102402" s="12" customFormat="1" x14ac:dyDescent="0.25"/>
    <row r="102403" s="12" customFormat="1" x14ac:dyDescent="0.25"/>
    <row r="102404" s="12" customFormat="1" x14ac:dyDescent="0.25"/>
    <row r="102405" s="12" customFormat="1" x14ac:dyDescent="0.25"/>
    <row r="102406" s="12" customFormat="1" x14ac:dyDescent="0.25"/>
    <row r="102407" s="12" customFormat="1" x14ac:dyDescent="0.25"/>
    <row r="102408" s="12" customFormat="1" x14ac:dyDescent="0.25"/>
    <row r="102409" s="12" customFormat="1" x14ac:dyDescent="0.25"/>
    <row r="102410" s="12" customFormat="1" x14ac:dyDescent="0.25"/>
    <row r="102411" s="12" customFormat="1" x14ac:dyDescent="0.25"/>
    <row r="102412" s="12" customFormat="1" x14ac:dyDescent="0.25"/>
    <row r="102413" s="12" customFormat="1" x14ac:dyDescent="0.25"/>
    <row r="102414" s="12" customFormat="1" x14ac:dyDescent="0.25"/>
    <row r="102415" s="12" customFormat="1" x14ac:dyDescent="0.25"/>
    <row r="102416" s="12" customFormat="1" x14ac:dyDescent="0.25"/>
    <row r="102417" s="12" customFormat="1" x14ac:dyDescent="0.25"/>
    <row r="102418" s="12" customFormat="1" x14ac:dyDescent="0.25"/>
    <row r="102419" s="12" customFormat="1" x14ac:dyDescent="0.25"/>
    <row r="102420" s="12" customFormat="1" x14ac:dyDescent="0.25"/>
    <row r="102421" s="12" customFormat="1" x14ac:dyDescent="0.25"/>
    <row r="102422" s="12" customFormat="1" x14ac:dyDescent="0.25"/>
    <row r="102423" s="12" customFormat="1" x14ac:dyDescent="0.25"/>
    <row r="102424" s="12" customFormat="1" x14ac:dyDescent="0.25"/>
    <row r="102425" s="12" customFormat="1" x14ac:dyDescent="0.25"/>
    <row r="102426" s="12" customFormat="1" x14ac:dyDescent="0.25"/>
    <row r="102427" s="12" customFormat="1" x14ac:dyDescent="0.25"/>
    <row r="102428" s="12" customFormat="1" x14ac:dyDescent="0.25"/>
    <row r="102429" s="12" customFormat="1" x14ac:dyDescent="0.25"/>
    <row r="102430" s="12" customFormat="1" x14ac:dyDescent="0.25"/>
    <row r="102431" s="12" customFormat="1" x14ac:dyDescent="0.25"/>
    <row r="102432" s="12" customFormat="1" x14ac:dyDescent="0.25"/>
    <row r="102433" s="12" customFormat="1" x14ac:dyDescent="0.25"/>
    <row r="102434" s="12" customFormat="1" x14ac:dyDescent="0.25"/>
    <row r="102435" s="12" customFormat="1" x14ac:dyDescent="0.25"/>
    <row r="102436" s="12" customFormat="1" x14ac:dyDescent="0.25"/>
    <row r="102437" s="12" customFormat="1" x14ac:dyDescent="0.25"/>
    <row r="102438" s="12" customFormat="1" x14ac:dyDescent="0.25"/>
    <row r="102439" s="12" customFormat="1" x14ac:dyDescent="0.25"/>
    <row r="102440" s="12" customFormat="1" x14ac:dyDescent="0.25"/>
    <row r="102441" s="12" customFormat="1" x14ac:dyDescent="0.25"/>
    <row r="102442" s="12" customFormat="1" x14ac:dyDescent="0.25"/>
    <row r="102443" s="12" customFormat="1" x14ac:dyDescent="0.25"/>
    <row r="102444" s="12" customFormat="1" x14ac:dyDescent="0.25"/>
    <row r="102445" s="12" customFormat="1" x14ac:dyDescent="0.25"/>
    <row r="102446" s="12" customFormat="1" x14ac:dyDescent="0.25"/>
    <row r="102447" s="12" customFormat="1" x14ac:dyDescent="0.25"/>
    <row r="102448" s="12" customFormat="1" x14ac:dyDescent="0.25"/>
    <row r="102449" s="12" customFormat="1" x14ac:dyDescent="0.25"/>
    <row r="102450" s="12" customFormat="1" x14ac:dyDescent="0.25"/>
    <row r="102451" s="12" customFormat="1" x14ac:dyDescent="0.25"/>
    <row r="102452" s="12" customFormat="1" x14ac:dyDescent="0.25"/>
    <row r="102453" s="12" customFormat="1" x14ac:dyDescent="0.25"/>
    <row r="102454" s="12" customFormat="1" x14ac:dyDescent="0.25"/>
    <row r="102455" s="12" customFormat="1" x14ac:dyDescent="0.25"/>
    <row r="102456" s="12" customFormat="1" x14ac:dyDescent="0.25"/>
    <row r="102457" s="12" customFormat="1" x14ac:dyDescent="0.25"/>
    <row r="102458" s="12" customFormat="1" x14ac:dyDescent="0.25"/>
    <row r="102459" s="12" customFormat="1" x14ac:dyDescent="0.25"/>
    <row r="102460" s="12" customFormat="1" x14ac:dyDescent="0.25"/>
    <row r="102461" s="12" customFormat="1" x14ac:dyDescent="0.25"/>
    <row r="102462" s="12" customFormat="1" x14ac:dyDescent="0.25"/>
    <row r="102463" s="12" customFormat="1" x14ac:dyDescent="0.25"/>
    <row r="102464" s="12" customFormat="1" x14ac:dyDescent="0.25"/>
    <row r="102465" s="12" customFormat="1" x14ac:dyDescent="0.25"/>
    <row r="102466" s="12" customFormat="1" x14ac:dyDescent="0.25"/>
    <row r="102467" s="12" customFormat="1" x14ac:dyDescent="0.25"/>
    <row r="102468" s="12" customFormat="1" x14ac:dyDescent="0.25"/>
    <row r="102469" s="12" customFormat="1" x14ac:dyDescent="0.25"/>
    <row r="102470" s="12" customFormat="1" x14ac:dyDescent="0.25"/>
    <row r="102471" s="12" customFormat="1" x14ac:dyDescent="0.25"/>
    <row r="102472" s="12" customFormat="1" x14ac:dyDescent="0.25"/>
    <row r="102473" s="12" customFormat="1" x14ac:dyDescent="0.25"/>
    <row r="102474" s="12" customFormat="1" x14ac:dyDescent="0.25"/>
    <row r="102475" s="12" customFormat="1" x14ac:dyDescent="0.25"/>
    <row r="102476" s="12" customFormat="1" x14ac:dyDescent="0.25"/>
    <row r="102477" s="12" customFormat="1" x14ac:dyDescent="0.25"/>
    <row r="102478" s="12" customFormat="1" x14ac:dyDescent="0.25"/>
    <row r="102479" s="12" customFormat="1" x14ac:dyDescent="0.25"/>
    <row r="102480" s="12" customFormat="1" x14ac:dyDescent="0.25"/>
    <row r="102481" s="12" customFormat="1" x14ac:dyDescent="0.25"/>
    <row r="102482" s="12" customFormat="1" x14ac:dyDescent="0.25"/>
    <row r="102483" s="12" customFormat="1" x14ac:dyDescent="0.25"/>
    <row r="102484" s="12" customFormat="1" x14ac:dyDescent="0.25"/>
    <row r="102485" s="12" customFormat="1" x14ac:dyDescent="0.25"/>
    <row r="102486" s="12" customFormat="1" x14ac:dyDescent="0.25"/>
    <row r="102487" s="12" customFormat="1" x14ac:dyDescent="0.25"/>
    <row r="102488" s="12" customFormat="1" x14ac:dyDescent="0.25"/>
    <row r="102489" s="12" customFormat="1" x14ac:dyDescent="0.25"/>
    <row r="102490" s="12" customFormat="1" x14ac:dyDescent="0.25"/>
    <row r="102491" s="12" customFormat="1" x14ac:dyDescent="0.25"/>
    <row r="102492" s="12" customFormat="1" x14ac:dyDescent="0.25"/>
    <row r="102493" s="12" customFormat="1" x14ac:dyDescent="0.25"/>
    <row r="102494" s="12" customFormat="1" x14ac:dyDescent="0.25"/>
    <row r="102495" s="12" customFormat="1" x14ac:dyDescent="0.25"/>
    <row r="102496" s="12" customFormat="1" x14ac:dyDescent="0.25"/>
    <row r="102497" s="12" customFormat="1" x14ac:dyDescent="0.25"/>
    <row r="102498" s="12" customFormat="1" x14ac:dyDescent="0.25"/>
    <row r="102499" s="12" customFormat="1" x14ac:dyDescent="0.25"/>
    <row r="102500" s="12" customFormat="1" x14ac:dyDescent="0.25"/>
    <row r="102501" s="12" customFormat="1" x14ac:dyDescent="0.25"/>
    <row r="102502" s="12" customFormat="1" x14ac:dyDescent="0.25"/>
    <row r="102503" s="12" customFormat="1" x14ac:dyDescent="0.25"/>
    <row r="102504" s="12" customFormat="1" x14ac:dyDescent="0.25"/>
    <row r="102505" s="12" customFormat="1" x14ac:dyDescent="0.25"/>
    <row r="102506" s="12" customFormat="1" x14ac:dyDescent="0.25"/>
    <row r="102507" s="12" customFormat="1" x14ac:dyDescent="0.25"/>
    <row r="102508" s="12" customFormat="1" x14ac:dyDescent="0.25"/>
    <row r="102509" s="12" customFormat="1" x14ac:dyDescent="0.25"/>
    <row r="102510" s="12" customFormat="1" x14ac:dyDescent="0.25"/>
    <row r="102511" s="12" customFormat="1" x14ac:dyDescent="0.25"/>
    <row r="102512" s="12" customFormat="1" x14ac:dyDescent="0.25"/>
    <row r="102513" s="12" customFormat="1" x14ac:dyDescent="0.25"/>
    <row r="102514" s="12" customFormat="1" x14ac:dyDescent="0.25"/>
    <row r="102515" s="12" customFormat="1" x14ac:dyDescent="0.25"/>
    <row r="102516" s="12" customFormat="1" x14ac:dyDescent="0.25"/>
    <row r="102517" s="12" customFormat="1" x14ac:dyDescent="0.25"/>
    <row r="102518" s="12" customFormat="1" x14ac:dyDescent="0.25"/>
    <row r="102519" s="12" customFormat="1" x14ac:dyDescent="0.25"/>
    <row r="102520" s="12" customFormat="1" x14ac:dyDescent="0.25"/>
    <row r="102521" s="12" customFormat="1" x14ac:dyDescent="0.25"/>
    <row r="102522" s="12" customFormat="1" x14ac:dyDescent="0.25"/>
    <row r="102523" s="12" customFormat="1" x14ac:dyDescent="0.25"/>
    <row r="102524" s="12" customFormat="1" x14ac:dyDescent="0.25"/>
    <row r="102525" s="12" customFormat="1" x14ac:dyDescent="0.25"/>
    <row r="102526" s="12" customFormat="1" x14ac:dyDescent="0.25"/>
    <row r="102527" s="12" customFormat="1" x14ac:dyDescent="0.25"/>
    <row r="102528" s="12" customFormat="1" x14ac:dyDescent="0.25"/>
    <row r="102529" s="12" customFormat="1" x14ac:dyDescent="0.25"/>
    <row r="102530" s="12" customFormat="1" x14ac:dyDescent="0.25"/>
    <row r="102531" s="12" customFormat="1" x14ac:dyDescent="0.25"/>
    <row r="102532" s="12" customFormat="1" x14ac:dyDescent="0.25"/>
    <row r="102533" s="12" customFormat="1" x14ac:dyDescent="0.25"/>
    <row r="102534" s="12" customFormat="1" x14ac:dyDescent="0.25"/>
    <row r="102535" s="12" customFormat="1" x14ac:dyDescent="0.25"/>
    <row r="102536" s="12" customFormat="1" x14ac:dyDescent="0.25"/>
    <row r="102537" s="12" customFormat="1" x14ac:dyDescent="0.25"/>
    <row r="102538" s="12" customFormat="1" x14ac:dyDescent="0.25"/>
    <row r="102539" s="12" customFormat="1" x14ac:dyDescent="0.25"/>
    <row r="102540" s="12" customFormat="1" x14ac:dyDescent="0.25"/>
    <row r="102541" s="12" customFormat="1" x14ac:dyDescent="0.25"/>
    <row r="102542" s="12" customFormat="1" x14ac:dyDescent="0.25"/>
    <row r="102543" s="12" customFormat="1" x14ac:dyDescent="0.25"/>
    <row r="102544" s="12" customFormat="1" x14ac:dyDescent="0.25"/>
    <row r="102545" s="12" customFormat="1" x14ac:dyDescent="0.25"/>
    <row r="102546" s="12" customFormat="1" x14ac:dyDescent="0.25"/>
    <row r="102547" s="12" customFormat="1" x14ac:dyDescent="0.25"/>
    <row r="102548" s="12" customFormat="1" x14ac:dyDescent="0.25"/>
    <row r="102549" s="12" customFormat="1" x14ac:dyDescent="0.25"/>
    <row r="102550" s="12" customFormat="1" x14ac:dyDescent="0.25"/>
    <row r="102551" s="12" customFormat="1" x14ac:dyDescent="0.25"/>
    <row r="102552" s="12" customFormat="1" x14ac:dyDescent="0.25"/>
    <row r="102553" s="12" customFormat="1" x14ac:dyDescent="0.25"/>
    <row r="102554" s="12" customFormat="1" x14ac:dyDescent="0.25"/>
    <row r="102555" s="12" customFormat="1" x14ac:dyDescent="0.25"/>
    <row r="102556" s="12" customFormat="1" x14ac:dyDescent="0.25"/>
    <row r="102557" s="12" customFormat="1" x14ac:dyDescent="0.25"/>
    <row r="102558" s="12" customFormat="1" x14ac:dyDescent="0.25"/>
    <row r="102559" s="12" customFormat="1" x14ac:dyDescent="0.25"/>
    <row r="102560" s="12" customFormat="1" x14ac:dyDescent="0.25"/>
    <row r="102561" s="12" customFormat="1" x14ac:dyDescent="0.25"/>
    <row r="102562" s="12" customFormat="1" x14ac:dyDescent="0.25"/>
    <row r="102563" s="12" customFormat="1" x14ac:dyDescent="0.25"/>
    <row r="102564" s="12" customFormat="1" x14ac:dyDescent="0.25"/>
    <row r="102565" s="12" customFormat="1" x14ac:dyDescent="0.25"/>
    <row r="102566" s="12" customFormat="1" x14ac:dyDescent="0.25"/>
    <row r="102567" s="12" customFormat="1" x14ac:dyDescent="0.25"/>
    <row r="102568" s="12" customFormat="1" x14ac:dyDescent="0.25"/>
    <row r="102569" s="12" customFormat="1" x14ac:dyDescent="0.25"/>
    <row r="102570" s="12" customFormat="1" x14ac:dyDescent="0.25"/>
    <row r="102571" s="12" customFormat="1" x14ac:dyDescent="0.25"/>
    <row r="102572" s="12" customFormat="1" x14ac:dyDescent="0.25"/>
    <row r="102573" s="12" customFormat="1" x14ac:dyDescent="0.25"/>
    <row r="102574" s="12" customFormat="1" x14ac:dyDescent="0.25"/>
    <row r="102575" s="12" customFormat="1" x14ac:dyDescent="0.25"/>
    <row r="102576" s="12" customFormat="1" x14ac:dyDescent="0.25"/>
    <row r="102577" s="12" customFormat="1" x14ac:dyDescent="0.25"/>
    <row r="102578" s="12" customFormat="1" x14ac:dyDescent="0.25"/>
    <row r="102579" s="12" customFormat="1" x14ac:dyDescent="0.25"/>
    <row r="102580" s="12" customFormat="1" x14ac:dyDescent="0.25"/>
    <row r="102581" s="12" customFormat="1" x14ac:dyDescent="0.25"/>
    <row r="102582" s="12" customFormat="1" x14ac:dyDescent="0.25"/>
    <row r="102583" s="12" customFormat="1" x14ac:dyDescent="0.25"/>
    <row r="102584" s="12" customFormat="1" x14ac:dyDescent="0.25"/>
    <row r="102585" s="12" customFormat="1" x14ac:dyDescent="0.25"/>
    <row r="102586" s="12" customFormat="1" x14ac:dyDescent="0.25"/>
    <row r="102587" s="12" customFormat="1" x14ac:dyDescent="0.25"/>
    <row r="102588" s="12" customFormat="1" x14ac:dyDescent="0.25"/>
    <row r="102589" s="12" customFormat="1" x14ac:dyDescent="0.25"/>
    <row r="102590" s="12" customFormat="1" x14ac:dyDescent="0.25"/>
    <row r="102591" s="12" customFormat="1" x14ac:dyDescent="0.25"/>
    <row r="102592" s="12" customFormat="1" x14ac:dyDescent="0.25"/>
    <row r="102593" s="12" customFormat="1" x14ac:dyDescent="0.25"/>
    <row r="102594" s="12" customFormat="1" x14ac:dyDescent="0.25"/>
    <row r="102595" s="12" customFormat="1" x14ac:dyDescent="0.25"/>
    <row r="102596" s="12" customFormat="1" x14ac:dyDescent="0.25"/>
    <row r="102597" s="12" customFormat="1" x14ac:dyDescent="0.25"/>
    <row r="102598" s="12" customFormat="1" x14ac:dyDescent="0.25"/>
    <row r="102599" s="12" customFormat="1" x14ac:dyDescent="0.25"/>
    <row r="102600" s="12" customFormat="1" x14ac:dyDescent="0.25"/>
    <row r="102601" s="12" customFormat="1" x14ac:dyDescent="0.25"/>
    <row r="102602" s="12" customFormat="1" x14ac:dyDescent="0.25"/>
    <row r="102603" s="12" customFormat="1" x14ac:dyDescent="0.25"/>
    <row r="102604" s="12" customFormat="1" x14ac:dyDescent="0.25"/>
    <row r="102605" s="12" customFormat="1" x14ac:dyDescent="0.25"/>
    <row r="102606" s="12" customFormat="1" x14ac:dyDescent="0.25"/>
    <row r="102607" s="12" customFormat="1" x14ac:dyDescent="0.25"/>
    <row r="102608" s="12" customFormat="1" x14ac:dyDescent="0.25"/>
    <row r="102609" s="12" customFormat="1" x14ac:dyDescent="0.25"/>
    <row r="102610" s="12" customFormat="1" x14ac:dyDescent="0.25"/>
    <row r="102611" s="12" customFormat="1" x14ac:dyDescent="0.25"/>
    <row r="102612" s="12" customFormat="1" x14ac:dyDescent="0.25"/>
    <row r="102613" s="12" customFormat="1" x14ac:dyDescent="0.25"/>
    <row r="102614" s="12" customFormat="1" x14ac:dyDescent="0.25"/>
    <row r="102615" s="12" customFormat="1" x14ac:dyDescent="0.25"/>
    <row r="102616" s="12" customFormat="1" x14ac:dyDescent="0.25"/>
    <row r="102617" s="12" customFormat="1" x14ac:dyDescent="0.25"/>
    <row r="102618" s="12" customFormat="1" x14ac:dyDescent="0.25"/>
    <row r="102619" s="12" customFormat="1" x14ac:dyDescent="0.25"/>
    <row r="102620" s="12" customFormat="1" x14ac:dyDescent="0.25"/>
    <row r="102621" s="12" customFormat="1" x14ac:dyDescent="0.25"/>
    <row r="102622" s="12" customFormat="1" x14ac:dyDescent="0.25"/>
    <row r="102623" s="12" customFormat="1" x14ac:dyDescent="0.25"/>
    <row r="102624" s="12" customFormat="1" x14ac:dyDescent="0.25"/>
    <row r="102625" s="12" customFormat="1" x14ac:dyDescent="0.25"/>
    <row r="102626" s="12" customFormat="1" x14ac:dyDescent="0.25"/>
    <row r="102627" s="12" customFormat="1" x14ac:dyDescent="0.25"/>
    <row r="102628" s="12" customFormat="1" x14ac:dyDescent="0.25"/>
    <row r="102629" s="12" customFormat="1" x14ac:dyDescent="0.25"/>
    <row r="102630" s="12" customFormat="1" x14ac:dyDescent="0.25"/>
    <row r="102631" s="12" customFormat="1" x14ac:dyDescent="0.25"/>
    <row r="102632" s="12" customFormat="1" x14ac:dyDescent="0.25"/>
    <row r="102633" s="12" customFormat="1" x14ac:dyDescent="0.25"/>
    <row r="102634" s="12" customFormat="1" x14ac:dyDescent="0.25"/>
    <row r="102635" s="12" customFormat="1" x14ac:dyDescent="0.25"/>
    <row r="102636" s="12" customFormat="1" x14ac:dyDescent="0.25"/>
    <row r="102637" s="12" customFormat="1" x14ac:dyDescent="0.25"/>
    <row r="102638" s="12" customFormat="1" x14ac:dyDescent="0.25"/>
    <row r="102639" s="12" customFormat="1" x14ac:dyDescent="0.25"/>
    <row r="102640" s="12" customFormat="1" x14ac:dyDescent="0.25"/>
    <row r="102641" s="12" customFormat="1" x14ac:dyDescent="0.25"/>
    <row r="102642" s="12" customFormat="1" x14ac:dyDescent="0.25"/>
    <row r="102643" s="12" customFormat="1" x14ac:dyDescent="0.25"/>
    <row r="102644" s="12" customFormat="1" x14ac:dyDescent="0.25"/>
    <row r="102645" s="12" customFormat="1" x14ac:dyDescent="0.25"/>
    <row r="102646" s="12" customFormat="1" x14ac:dyDescent="0.25"/>
    <row r="102647" s="12" customFormat="1" x14ac:dyDescent="0.25"/>
    <row r="102648" s="12" customFormat="1" x14ac:dyDescent="0.25"/>
    <row r="102649" s="12" customFormat="1" x14ac:dyDescent="0.25"/>
    <row r="102650" s="12" customFormat="1" x14ac:dyDescent="0.25"/>
    <row r="102651" s="12" customFormat="1" x14ac:dyDescent="0.25"/>
    <row r="102652" s="12" customFormat="1" x14ac:dyDescent="0.25"/>
    <row r="102653" s="12" customFormat="1" x14ac:dyDescent="0.25"/>
    <row r="102654" s="12" customFormat="1" x14ac:dyDescent="0.25"/>
    <row r="102655" s="12" customFormat="1" x14ac:dyDescent="0.25"/>
    <row r="102656" s="12" customFormat="1" x14ac:dyDescent="0.25"/>
    <row r="102657" s="12" customFormat="1" x14ac:dyDescent="0.25"/>
    <row r="102658" s="12" customFormat="1" x14ac:dyDescent="0.25"/>
    <row r="102659" s="12" customFormat="1" x14ac:dyDescent="0.25"/>
    <row r="102660" s="12" customFormat="1" x14ac:dyDescent="0.25"/>
    <row r="102661" s="12" customFormat="1" x14ac:dyDescent="0.25"/>
    <row r="102662" s="12" customFormat="1" x14ac:dyDescent="0.25"/>
    <row r="102663" s="12" customFormat="1" x14ac:dyDescent="0.25"/>
    <row r="102664" s="12" customFormat="1" x14ac:dyDescent="0.25"/>
    <row r="102665" s="12" customFormat="1" x14ac:dyDescent="0.25"/>
    <row r="102666" s="12" customFormat="1" x14ac:dyDescent="0.25"/>
    <row r="102667" s="12" customFormat="1" x14ac:dyDescent="0.25"/>
    <row r="102668" s="12" customFormat="1" x14ac:dyDescent="0.25"/>
    <row r="102669" s="12" customFormat="1" x14ac:dyDescent="0.25"/>
    <row r="102670" s="12" customFormat="1" x14ac:dyDescent="0.25"/>
    <row r="102671" s="12" customFormat="1" x14ac:dyDescent="0.25"/>
    <row r="102672" s="12" customFormat="1" x14ac:dyDescent="0.25"/>
    <row r="102673" s="12" customFormat="1" x14ac:dyDescent="0.25"/>
    <row r="102674" s="12" customFormat="1" x14ac:dyDescent="0.25"/>
    <row r="102675" s="12" customFormat="1" x14ac:dyDescent="0.25"/>
    <row r="102676" s="12" customFormat="1" x14ac:dyDescent="0.25"/>
    <row r="102677" s="12" customFormat="1" x14ac:dyDescent="0.25"/>
    <row r="102678" s="12" customFormat="1" x14ac:dyDescent="0.25"/>
    <row r="102679" s="12" customFormat="1" x14ac:dyDescent="0.25"/>
    <row r="102680" s="12" customFormat="1" x14ac:dyDescent="0.25"/>
    <row r="102681" s="12" customFormat="1" x14ac:dyDescent="0.25"/>
    <row r="102682" s="12" customFormat="1" x14ac:dyDescent="0.25"/>
    <row r="102683" s="12" customFormat="1" x14ac:dyDescent="0.25"/>
    <row r="102684" s="12" customFormat="1" x14ac:dyDescent="0.25"/>
    <row r="102685" s="12" customFormat="1" x14ac:dyDescent="0.25"/>
    <row r="102686" s="12" customFormat="1" x14ac:dyDescent="0.25"/>
    <row r="102687" s="12" customFormat="1" x14ac:dyDescent="0.25"/>
    <row r="102688" s="12" customFormat="1" x14ac:dyDescent="0.25"/>
    <row r="102689" s="12" customFormat="1" x14ac:dyDescent="0.25"/>
    <row r="102690" s="12" customFormat="1" x14ac:dyDescent="0.25"/>
    <row r="102691" s="12" customFormat="1" x14ac:dyDescent="0.25"/>
    <row r="102692" s="12" customFormat="1" x14ac:dyDescent="0.25"/>
    <row r="102693" s="12" customFormat="1" x14ac:dyDescent="0.25"/>
    <row r="102694" s="12" customFormat="1" x14ac:dyDescent="0.25"/>
    <row r="102695" s="12" customFormat="1" x14ac:dyDescent="0.25"/>
    <row r="102696" s="12" customFormat="1" x14ac:dyDescent="0.25"/>
    <row r="102697" s="12" customFormat="1" x14ac:dyDescent="0.25"/>
    <row r="102698" s="12" customFormat="1" x14ac:dyDescent="0.25"/>
    <row r="102699" s="12" customFormat="1" x14ac:dyDescent="0.25"/>
    <row r="102700" s="12" customFormat="1" x14ac:dyDescent="0.25"/>
    <row r="102701" s="12" customFormat="1" x14ac:dyDescent="0.25"/>
    <row r="102702" s="12" customFormat="1" x14ac:dyDescent="0.25"/>
    <row r="102703" s="12" customFormat="1" x14ac:dyDescent="0.25"/>
    <row r="102704" s="12" customFormat="1" x14ac:dyDescent="0.25"/>
    <row r="102705" s="12" customFormat="1" x14ac:dyDescent="0.25"/>
    <row r="102706" s="12" customFormat="1" x14ac:dyDescent="0.25"/>
    <row r="102707" s="12" customFormat="1" x14ac:dyDescent="0.25"/>
    <row r="102708" s="12" customFormat="1" x14ac:dyDescent="0.25"/>
    <row r="102709" s="12" customFormat="1" x14ac:dyDescent="0.25"/>
    <row r="102710" s="12" customFormat="1" x14ac:dyDescent="0.25"/>
    <row r="102711" s="12" customFormat="1" x14ac:dyDescent="0.25"/>
    <row r="102712" s="12" customFormat="1" x14ac:dyDescent="0.25"/>
    <row r="102713" s="12" customFormat="1" x14ac:dyDescent="0.25"/>
    <row r="102714" s="12" customFormat="1" x14ac:dyDescent="0.25"/>
    <row r="102715" s="12" customFormat="1" x14ac:dyDescent="0.25"/>
    <row r="102716" s="12" customFormat="1" x14ac:dyDescent="0.25"/>
    <row r="102717" s="12" customFormat="1" x14ac:dyDescent="0.25"/>
    <row r="102718" s="12" customFormat="1" x14ac:dyDescent="0.25"/>
    <row r="102719" s="12" customFormat="1" x14ac:dyDescent="0.25"/>
    <row r="102720" s="12" customFormat="1" x14ac:dyDescent="0.25"/>
    <row r="102721" s="12" customFormat="1" x14ac:dyDescent="0.25"/>
    <row r="102722" s="12" customFormat="1" x14ac:dyDescent="0.25"/>
    <row r="102723" s="12" customFormat="1" x14ac:dyDescent="0.25"/>
    <row r="102724" s="12" customFormat="1" x14ac:dyDescent="0.25"/>
    <row r="102725" s="12" customFormat="1" x14ac:dyDescent="0.25"/>
    <row r="102726" s="12" customFormat="1" x14ac:dyDescent="0.25"/>
    <row r="102727" s="12" customFormat="1" x14ac:dyDescent="0.25"/>
    <row r="102728" s="12" customFormat="1" x14ac:dyDescent="0.25"/>
    <row r="102729" s="12" customFormat="1" x14ac:dyDescent="0.25"/>
    <row r="102730" s="12" customFormat="1" x14ac:dyDescent="0.25"/>
    <row r="102731" s="12" customFormat="1" x14ac:dyDescent="0.25"/>
    <row r="102732" s="12" customFormat="1" x14ac:dyDescent="0.25"/>
    <row r="102733" s="12" customFormat="1" x14ac:dyDescent="0.25"/>
    <row r="102734" s="12" customFormat="1" x14ac:dyDescent="0.25"/>
    <row r="102735" s="12" customFormat="1" x14ac:dyDescent="0.25"/>
    <row r="102736" s="12" customFormat="1" x14ac:dyDescent="0.25"/>
    <row r="102737" s="12" customFormat="1" x14ac:dyDescent="0.25"/>
    <row r="102738" s="12" customFormat="1" x14ac:dyDescent="0.25"/>
    <row r="102739" s="12" customFormat="1" x14ac:dyDescent="0.25"/>
    <row r="102740" s="12" customFormat="1" x14ac:dyDescent="0.25"/>
    <row r="102741" s="12" customFormat="1" x14ac:dyDescent="0.25"/>
    <row r="102742" s="12" customFormat="1" x14ac:dyDescent="0.25"/>
    <row r="102743" s="12" customFormat="1" x14ac:dyDescent="0.25"/>
    <row r="102744" s="12" customFormat="1" x14ac:dyDescent="0.25"/>
    <row r="102745" s="12" customFormat="1" x14ac:dyDescent="0.25"/>
    <row r="102746" s="12" customFormat="1" x14ac:dyDescent="0.25"/>
    <row r="102747" s="12" customFormat="1" x14ac:dyDescent="0.25"/>
    <row r="102748" s="12" customFormat="1" x14ac:dyDescent="0.25"/>
    <row r="102749" s="12" customFormat="1" x14ac:dyDescent="0.25"/>
    <row r="102750" s="12" customFormat="1" x14ac:dyDescent="0.25"/>
    <row r="102751" s="12" customFormat="1" x14ac:dyDescent="0.25"/>
    <row r="102752" s="12" customFormat="1" x14ac:dyDescent="0.25"/>
    <row r="102753" s="12" customFormat="1" x14ac:dyDescent="0.25"/>
    <row r="102754" s="12" customFormat="1" x14ac:dyDescent="0.25"/>
    <row r="102755" s="12" customFormat="1" x14ac:dyDescent="0.25"/>
    <row r="102756" s="12" customFormat="1" x14ac:dyDescent="0.25"/>
    <row r="102757" s="12" customFormat="1" x14ac:dyDescent="0.25"/>
    <row r="102758" s="12" customFormat="1" x14ac:dyDescent="0.25"/>
    <row r="102759" s="12" customFormat="1" x14ac:dyDescent="0.25"/>
    <row r="102760" s="12" customFormat="1" x14ac:dyDescent="0.25"/>
    <row r="102761" s="12" customFormat="1" x14ac:dyDescent="0.25"/>
    <row r="102762" s="12" customFormat="1" x14ac:dyDescent="0.25"/>
    <row r="102763" s="12" customFormat="1" x14ac:dyDescent="0.25"/>
    <row r="102764" s="12" customFormat="1" x14ac:dyDescent="0.25"/>
    <row r="102765" s="12" customFormat="1" x14ac:dyDescent="0.25"/>
    <row r="102766" s="12" customFormat="1" x14ac:dyDescent="0.25"/>
    <row r="102767" s="12" customFormat="1" x14ac:dyDescent="0.25"/>
    <row r="102768" s="12" customFormat="1" x14ac:dyDescent="0.25"/>
    <row r="102769" s="12" customFormat="1" x14ac:dyDescent="0.25"/>
    <row r="102770" s="12" customFormat="1" x14ac:dyDescent="0.25"/>
    <row r="102771" s="12" customFormat="1" x14ac:dyDescent="0.25"/>
    <row r="102772" s="12" customFormat="1" x14ac:dyDescent="0.25"/>
    <row r="102773" s="12" customFormat="1" x14ac:dyDescent="0.25"/>
    <row r="102774" s="12" customFormat="1" x14ac:dyDescent="0.25"/>
    <row r="102775" s="12" customFormat="1" x14ac:dyDescent="0.25"/>
    <row r="102776" s="12" customFormat="1" x14ac:dyDescent="0.25"/>
    <row r="102777" s="12" customFormat="1" x14ac:dyDescent="0.25"/>
    <row r="102778" s="12" customFormat="1" x14ac:dyDescent="0.25"/>
    <row r="102779" s="12" customFormat="1" x14ac:dyDescent="0.25"/>
    <row r="102780" s="12" customFormat="1" x14ac:dyDescent="0.25"/>
    <row r="102781" s="12" customFormat="1" x14ac:dyDescent="0.25"/>
    <row r="102782" s="12" customFormat="1" x14ac:dyDescent="0.25"/>
    <row r="102783" s="12" customFormat="1" x14ac:dyDescent="0.25"/>
    <row r="102784" s="12" customFormat="1" x14ac:dyDescent="0.25"/>
    <row r="102785" s="12" customFormat="1" x14ac:dyDescent="0.25"/>
    <row r="102786" s="12" customFormat="1" x14ac:dyDescent="0.25"/>
    <row r="102787" s="12" customFormat="1" x14ac:dyDescent="0.25"/>
    <row r="102788" s="12" customFormat="1" x14ac:dyDescent="0.25"/>
    <row r="102789" s="12" customFormat="1" x14ac:dyDescent="0.25"/>
    <row r="102790" s="12" customFormat="1" x14ac:dyDescent="0.25"/>
    <row r="102791" s="12" customFormat="1" x14ac:dyDescent="0.25"/>
    <row r="102792" s="12" customFormat="1" x14ac:dyDescent="0.25"/>
    <row r="102793" s="12" customFormat="1" x14ac:dyDescent="0.25"/>
    <row r="102794" s="12" customFormat="1" x14ac:dyDescent="0.25"/>
    <row r="102795" s="12" customFormat="1" x14ac:dyDescent="0.25"/>
    <row r="102796" s="12" customFormat="1" x14ac:dyDescent="0.25"/>
    <row r="102797" s="12" customFormat="1" x14ac:dyDescent="0.25"/>
    <row r="102798" s="12" customFormat="1" x14ac:dyDescent="0.25"/>
    <row r="102799" s="12" customFormat="1" x14ac:dyDescent="0.25"/>
    <row r="102800" s="12" customFormat="1" x14ac:dyDescent="0.25"/>
    <row r="102801" s="12" customFormat="1" x14ac:dyDescent="0.25"/>
    <row r="102802" s="12" customFormat="1" x14ac:dyDescent="0.25"/>
    <row r="102803" s="12" customFormat="1" x14ac:dyDescent="0.25"/>
    <row r="102804" s="12" customFormat="1" x14ac:dyDescent="0.25"/>
    <row r="102805" s="12" customFormat="1" x14ac:dyDescent="0.25"/>
    <row r="102806" s="12" customFormat="1" x14ac:dyDescent="0.25"/>
    <row r="102807" s="12" customFormat="1" x14ac:dyDescent="0.25"/>
    <row r="102808" s="12" customFormat="1" x14ac:dyDescent="0.25"/>
    <row r="102809" s="12" customFormat="1" x14ac:dyDescent="0.25"/>
    <row r="102810" s="12" customFormat="1" x14ac:dyDescent="0.25"/>
    <row r="102811" s="12" customFormat="1" x14ac:dyDescent="0.25"/>
    <row r="102812" s="12" customFormat="1" x14ac:dyDescent="0.25"/>
    <row r="102813" s="12" customFormat="1" x14ac:dyDescent="0.25"/>
    <row r="102814" s="12" customFormat="1" x14ac:dyDescent="0.25"/>
    <row r="102815" s="12" customFormat="1" x14ac:dyDescent="0.25"/>
    <row r="102816" s="12" customFormat="1" x14ac:dyDescent="0.25"/>
    <row r="102817" s="12" customFormat="1" x14ac:dyDescent="0.25"/>
    <row r="102818" s="12" customFormat="1" x14ac:dyDescent="0.25"/>
    <row r="102819" s="12" customFormat="1" x14ac:dyDescent="0.25"/>
    <row r="102820" s="12" customFormat="1" x14ac:dyDescent="0.25"/>
    <row r="102821" s="12" customFormat="1" x14ac:dyDescent="0.25"/>
    <row r="102822" s="12" customFormat="1" x14ac:dyDescent="0.25"/>
    <row r="102823" s="12" customFormat="1" x14ac:dyDescent="0.25"/>
    <row r="102824" s="12" customFormat="1" x14ac:dyDescent="0.25"/>
    <row r="102825" s="12" customFormat="1" x14ac:dyDescent="0.25"/>
    <row r="102826" s="12" customFormat="1" x14ac:dyDescent="0.25"/>
    <row r="102827" s="12" customFormat="1" x14ac:dyDescent="0.25"/>
    <row r="102828" s="12" customFormat="1" x14ac:dyDescent="0.25"/>
    <row r="102829" s="12" customFormat="1" x14ac:dyDescent="0.25"/>
    <row r="102830" s="12" customFormat="1" x14ac:dyDescent="0.25"/>
    <row r="102831" s="12" customFormat="1" x14ac:dyDescent="0.25"/>
    <row r="102832" s="12" customFormat="1" x14ac:dyDescent="0.25"/>
    <row r="102833" s="12" customFormat="1" x14ac:dyDescent="0.25"/>
    <row r="102834" s="12" customFormat="1" x14ac:dyDescent="0.25"/>
    <row r="102835" s="12" customFormat="1" x14ac:dyDescent="0.25"/>
    <row r="102836" s="12" customFormat="1" x14ac:dyDescent="0.25"/>
    <row r="102837" s="12" customFormat="1" x14ac:dyDescent="0.25"/>
    <row r="102838" s="12" customFormat="1" x14ac:dyDescent="0.25"/>
    <row r="102839" s="12" customFormat="1" x14ac:dyDescent="0.25"/>
    <row r="102840" s="12" customFormat="1" x14ac:dyDescent="0.25"/>
    <row r="102841" s="12" customFormat="1" x14ac:dyDescent="0.25"/>
    <row r="102842" s="12" customFormat="1" x14ac:dyDescent="0.25"/>
    <row r="102843" s="12" customFormat="1" x14ac:dyDescent="0.25"/>
    <row r="102844" s="12" customFormat="1" x14ac:dyDescent="0.25"/>
    <row r="102845" s="12" customFormat="1" x14ac:dyDescent="0.25"/>
    <row r="102846" s="12" customFormat="1" x14ac:dyDescent="0.25"/>
    <row r="102847" s="12" customFormat="1" x14ac:dyDescent="0.25"/>
    <row r="102848" s="12" customFormat="1" x14ac:dyDescent="0.25"/>
    <row r="102849" s="12" customFormat="1" x14ac:dyDescent="0.25"/>
    <row r="102850" s="12" customFormat="1" x14ac:dyDescent="0.25"/>
    <row r="102851" s="12" customFormat="1" x14ac:dyDescent="0.25"/>
    <row r="102852" s="12" customFormat="1" x14ac:dyDescent="0.25"/>
    <row r="102853" s="12" customFormat="1" x14ac:dyDescent="0.25"/>
    <row r="102854" s="12" customFormat="1" x14ac:dyDescent="0.25"/>
    <row r="102855" s="12" customFormat="1" x14ac:dyDescent="0.25"/>
    <row r="102856" s="12" customFormat="1" x14ac:dyDescent="0.25"/>
    <row r="102857" s="12" customFormat="1" x14ac:dyDescent="0.25"/>
    <row r="102858" s="12" customFormat="1" x14ac:dyDescent="0.25"/>
    <row r="102859" s="12" customFormat="1" x14ac:dyDescent="0.25"/>
    <row r="102860" s="12" customFormat="1" x14ac:dyDescent="0.25"/>
    <row r="102861" s="12" customFormat="1" x14ac:dyDescent="0.25"/>
    <row r="102862" s="12" customFormat="1" x14ac:dyDescent="0.25"/>
    <row r="102863" s="12" customFormat="1" x14ac:dyDescent="0.25"/>
    <row r="102864" s="12" customFormat="1" x14ac:dyDescent="0.25"/>
    <row r="102865" s="12" customFormat="1" x14ac:dyDescent="0.25"/>
    <row r="102866" s="12" customFormat="1" x14ac:dyDescent="0.25"/>
    <row r="102867" s="12" customFormat="1" x14ac:dyDescent="0.25"/>
    <row r="102868" s="12" customFormat="1" x14ac:dyDescent="0.25"/>
    <row r="102869" s="12" customFormat="1" x14ac:dyDescent="0.25"/>
    <row r="102870" s="12" customFormat="1" x14ac:dyDescent="0.25"/>
    <row r="102871" s="12" customFormat="1" x14ac:dyDescent="0.25"/>
    <row r="102872" s="12" customFormat="1" x14ac:dyDescent="0.25"/>
    <row r="102873" s="12" customFormat="1" x14ac:dyDescent="0.25"/>
    <row r="102874" s="12" customFormat="1" x14ac:dyDescent="0.25"/>
    <row r="102875" s="12" customFormat="1" x14ac:dyDescent="0.25"/>
    <row r="102876" s="12" customFormat="1" x14ac:dyDescent="0.25"/>
    <row r="102877" s="12" customFormat="1" x14ac:dyDescent="0.25"/>
    <row r="102878" s="12" customFormat="1" x14ac:dyDescent="0.25"/>
    <row r="102879" s="12" customFormat="1" x14ac:dyDescent="0.25"/>
    <row r="102880" s="12" customFormat="1" x14ac:dyDescent="0.25"/>
    <row r="102881" s="12" customFormat="1" x14ac:dyDescent="0.25"/>
    <row r="102882" s="12" customFormat="1" x14ac:dyDescent="0.25"/>
    <row r="102883" s="12" customFormat="1" x14ac:dyDescent="0.25"/>
    <row r="102884" s="12" customFormat="1" x14ac:dyDescent="0.25"/>
    <row r="102885" s="12" customFormat="1" x14ac:dyDescent="0.25"/>
    <row r="102886" s="12" customFormat="1" x14ac:dyDescent="0.25"/>
    <row r="102887" s="12" customFormat="1" x14ac:dyDescent="0.25"/>
    <row r="102888" s="12" customFormat="1" x14ac:dyDescent="0.25"/>
    <row r="102889" s="12" customFormat="1" x14ac:dyDescent="0.25"/>
    <row r="102890" s="12" customFormat="1" x14ac:dyDescent="0.25"/>
    <row r="102891" s="12" customFormat="1" x14ac:dyDescent="0.25"/>
    <row r="102892" s="12" customFormat="1" x14ac:dyDescent="0.25"/>
    <row r="102893" s="12" customFormat="1" x14ac:dyDescent="0.25"/>
    <row r="102894" s="12" customFormat="1" x14ac:dyDescent="0.25"/>
    <row r="102895" s="12" customFormat="1" x14ac:dyDescent="0.25"/>
    <row r="102896" s="12" customFormat="1" x14ac:dyDescent="0.25"/>
    <row r="102897" s="12" customFormat="1" x14ac:dyDescent="0.25"/>
    <row r="102898" s="12" customFormat="1" x14ac:dyDescent="0.25"/>
    <row r="102899" s="12" customFormat="1" x14ac:dyDescent="0.25"/>
    <row r="102900" s="12" customFormat="1" x14ac:dyDescent="0.25"/>
    <row r="102901" s="12" customFormat="1" x14ac:dyDescent="0.25"/>
    <row r="102902" s="12" customFormat="1" x14ac:dyDescent="0.25"/>
    <row r="102903" s="12" customFormat="1" x14ac:dyDescent="0.25"/>
    <row r="102904" s="12" customFormat="1" x14ac:dyDescent="0.25"/>
    <row r="102905" s="12" customFormat="1" x14ac:dyDescent="0.25"/>
    <row r="102906" s="12" customFormat="1" x14ac:dyDescent="0.25"/>
    <row r="102907" s="12" customFormat="1" x14ac:dyDescent="0.25"/>
    <row r="102908" s="12" customFormat="1" x14ac:dyDescent="0.25"/>
    <row r="102909" s="12" customFormat="1" x14ac:dyDescent="0.25"/>
    <row r="102910" s="12" customFormat="1" x14ac:dyDescent="0.25"/>
    <row r="102911" s="12" customFormat="1" x14ac:dyDescent="0.25"/>
    <row r="102912" s="12" customFormat="1" x14ac:dyDescent="0.25"/>
    <row r="102913" s="12" customFormat="1" x14ac:dyDescent="0.25"/>
    <row r="102914" s="12" customFormat="1" x14ac:dyDescent="0.25"/>
    <row r="102915" s="12" customFormat="1" x14ac:dyDescent="0.25"/>
    <row r="102916" s="12" customFormat="1" x14ac:dyDescent="0.25"/>
    <row r="102917" s="12" customFormat="1" x14ac:dyDescent="0.25"/>
    <row r="102918" s="12" customFormat="1" x14ac:dyDescent="0.25"/>
    <row r="102919" s="12" customFormat="1" x14ac:dyDescent="0.25"/>
    <row r="102920" s="12" customFormat="1" x14ac:dyDescent="0.25"/>
    <row r="102921" s="12" customFormat="1" x14ac:dyDescent="0.25"/>
    <row r="102922" s="12" customFormat="1" x14ac:dyDescent="0.25"/>
    <row r="102923" s="12" customFormat="1" x14ac:dyDescent="0.25"/>
    <row r="102924" s="12" customFormat="1" x14ac:dyDescent="0.25"/>
    <row r="102925" s="12" customFormat="1" x14ac:dyDescent="0.25"/>
    <row r="102926" s="12" customFormat="1" x14ac:dyDescent="0.25"/>
    <row r="102927" s="12" customFormat="1" x14ac:dyDescent="0.25"/>
    <row r="102928" s="12" customFormat="1" x14ac:dyDescent="0.25"/>
    <row r="102929" s="12" customFormat="1" x14ac:dyDescent="0.25"/>
    <row r="102930" s="12" customFormat="1" x14ac:dyDescent="0.25"/>
    <row r="102931" s="12" customFormat="1" x14ac:dyDescent="0.25"/>
    <row r="102932" s="12" customFormat="1" x14ac:dyDescent="0.25"/>
    <row r="102933" s="12" customFormat="1" x14ac:dyDescent="0.25"/>
    <row r="102934" s="12" customFormat="1" x14ac:dyDescent="0.25"/>
    <row r="102935" s="12" customFormat="1" x14ac:dyDescent="0.25"/>
    <row r="102936" s="12" customFormat="1" x14ac:dyDescent="0.25"/>
    <row r="102937" s="12" customFormat="1" x14ac:dyDescent="0.25"/>
    <row r="102938" s="12" customFormat="1" x14ac:dyDescent="0.25"/>
    <row r="102939" s="12" customFormat="1" x14ac:dyDescent="0.25"/>
    <row r="102940" s="12" customFormat="1" x14ac:dyDescent="0.25"/>
    <row r="102941" s="12" customFormat="1" x14ac:dyDescent="0.25"/>
    <row r="102942" s="12" customFormat="1" x14ac:dyDescent="0.25"/>
    <row r="102943" s="12" customFormat="1" x14ac:dyDescent="0.25"/>
    <row r="102944" s="12" customFormat="1" x14ac:dyDescent="0.25"/>
    <row r="102945" s="12" customFormat="1" x14ac:dyDescent="0.25"/>
    <row r="102946" s="12" customFormat="1" x14ac:dyDescent="0.25"/>
    <row r="102947" s="12" customFormat="1" x14ac:dyDescent="0.25"/>
    <row r="102948" s="12" customFormat="1" x14ac:dyDescent="0.25"/>
    <row r="102949" s="12" customFormat="1" x14ac:dyDescent="0.25"/>
    <row r="102950" s="12" customFormat="1" x14ac:dyDescent="0.25"/>
    <row r="102951" s="12" customFormat="1" x14ac:dyDescent="0.25"/>
    <row r="102952" s="12" customFormat="1" x14ac:dyDescent="0.25"/>
    <row r="102953" s="12" customFormat="1" x14ac:dyDescent="0.25"/>
    <row r="102954" s="12" customFormat="1" x14ac:dyDescent="0.25"/>
    <row r="102955" s="12" customFormat="1" x14ac:dyDescent="0.25"/>
    <row r="102956" s="12" customFormat="1" x14ac:dyDescent="0.25"/>
    <row r="102957" s="12" customFormat="1" x14ac:dyDescent="0.25"/>
    <row r="102958" s="12" customFormat="1" x14ac:dyDescent="0.25"/>
    <row r="102959" s="12" customFormat="1" x14ac:dyDescent="0.25"/>
    <row r="102960" s="12" customFormat="1" x14ac:dyDescent="0.25"/>
    <row r="102961" s="12" customFormat="1" x14ac:dyDescent="0.25"/>
    <row r="102962" s="12" customFormat="1" x14ac:dyDescent="0.25"/>
    <row r="102963" s="12" customFormat="1" x14ac:dyDescent="0.25"/>
    <row r="102964" s="12" customFormat="1" x14ac:dyDescent="0.25"/>
    <row r="102965" s="12" customFormat="1" x14ac:dyDescent="0.25"/>
    <row r="102966" s="12" customFormat="1" x14ac:dyDescent="0.25"/>
    <row r="102967" s="12" customFormat="1" x14ac:dyDescent="0.25"/>
    <row r="102968" s="12" customFormat="1" x14ac:dyDescent="0.25"/>
    <row r="102969" s="12" customFormat="1" x14ac:dyDescent="0.25"/>
    <row r="102970" s="12" customFormat="1" x14ac:dyDescent="0.25"/>
    <row r="102971" s="12" customFormat="1" x14ac:dyDescent="0.25"/>
    <row r="102972" s="12" customFormat="1" x14ac:dyDescent="0.25"/>
    <row r="102973" s="12" customFormat="1" x14ac:dyDescent="0.25"/>
    <row r="102974" s="12" customFormat="1" x14ac:dyDescent="0.25"/>
    <row r="102975" s="12" customFormat="1" x14ac:dyDescent="0.25"/>
    <row r="102976" s="12" customFormat="1" x14ac:dyDescent="0.25"/>
    <row r="102977" s="12" customFormat="1" x14ac:dyDescent="0.25"/>
    <row r="102978" s="12" customFormat="1" x14ac:dyDescent="0.25"/>
    <row r="102979" s="12" customFormat="1" x14ac:dyDescent="0.25"/>
    <row r="102980" s="12" customFormat="1" x14ac:dyDescent="0.25"/>
    <row r="102981" s="12" customFormat="1" x14ac:dyDescent="0.25"/>
    <row r="102982" s="12" customFormat="1" x14ac:dyDescent="0.25"/>
    <row r="102983" s="12" customFormat="1" x14ac:dyDescent="0.25"/>
    <row r="102984" s="12" customFormat="1" x14ac:dyDescent="0.25"/>
    <row r="102985" s="12" customFormat="1" x14ac:dyDescent="0.25"/>
    <row r="102986" s="12" customFormat="1" x14ac:dyDescent="0.25"/>
    <row r="102987" s="12" customFormat="1" x14ac:dyDescent="0.25"/>
    <row r="102988" s="12" customFormat="1" x14ac:dyDescent="0.25"/>
    <row r="102989" s="12" customFormat="1" x14ac:dyDescent="0.25"/>
    <row r="102990" s="12" customFormat="1" x14ac:dyDescent="0.25"/>
    <row r="102991" s="12" customFormat="1" x14ac:dyDescent="0.25"/>
    <row r="102992" s="12" customFormat="1" x14ac:dyDescent="0.25"/>
    <row r="102993" s="12" customFormat="1" x14ac:dyDescent="0.25"/>
    <row r="102994" s="12" customFormat="1" x14ac:dyDescent="0.25"/>
    <row r="102995" s="12" customFormat="1" x14ac:dyDescent="0.25"/>
    <row r="102996" s="12" customFormat="1" x14ac:dyDescent="0.25"/>
    <row r="102997" s="12" customFormat="1" x14ac:dyDescent="0.25"/>
    <row r="102998" s="12" customFormat="1" x14ac:dyDescent="0.25"/>
    <row r="102999" s="12" customFormat="1" x14ac:dyDescent="0.25"/>
    <row r="103000" s="12" customFormat="1" x14ac:dyDescent="0.25"/>
    <row r="103001" s="12" customFormat="1" x14ac:dyDescent="0.25"/>
    <row r="103002" s="12" customFormat="1" x14ac:dyDescent="0.25"/>
    <row r="103003" s="12" customFormat="1" x14ac:dyDescent="0.25"/>
    <row r="103004" s="12" customFormat="1" x14ac:dyDescent="0.25"/>
    <row r="103005" s="12" customFormat="1" x14ac:dyDescent="0.25"/>
    <row r="103006" s="12" customFormat="1" x14ac:dyDescent="0.25"/>
    <row r="103007" s="12" customFormat="1" x14ac:dyDescent="0.25"/>
    <row r="103008" s="12" customFormat="1" x14ac:dyDescent="0.25"/>
    <row r="103009" s="12" customFormat="1" x14ac:dyDescent="0.25"/>
    <row r="103010" s="12" customFormat="1" x14ac:dyDescent="0.25"/>
    <row r="103011" s="12" customFormat="1" x14ac:dyDescent="0.25"/>
    <row r="103012" s="12" customFormat="1" x14ac:dyDescent="0.25"/>
    <row r="103013" s="12" customFormat="1" x14ac:dyDescent="0.25"/>
    <row r="103014" s="12" customFormat="1" x14ac:dyDescent="0.25"/>
    <row r="103015" s="12" customFormat="1" x14ac:dyDescent="0.25"/>
    <row r="103016" s="12" customFormat="1" x14ac:dyDescent="0.25"/>
    <row r="103017" s="12" customFormat="1" x14ac:dyDescent="0.25"/>
    <row r="103018" s="12" customFormat="1" x14ac:dyDescent="0.25"/>
    <row r="103019" s="12" customFormat="1" x14ac:dyDescent="0.25"/>
    <row r="103020" s="12" customFormat="1" x14ac:dyDescent="0.25"/>
    <row r="103021" s="12" customFormat="1" x14ac:dyDescent="0.25"/>
    <row r="103022" s="12" customFormat="1" x14ac:dyDescent="0.25"/>
    <row r="103023" s="12" customFormat="1" x14ac:dyDescent="0.25"/>
    <row r="103024" s="12" customFormat="1" x14ac:dyDescent="0.25"/>
    <row r="103025" s="12" customFormat="1" x14ac:dyDescent="0.25"/>
    <row r="103026" s="12" customFormat="1" x14ac:dyDescent="0.25"/>
    <row r="103027" s="12" customFormat="1" x14ac:dyDescent="0.25"/>
    <row r="103028" s="12" customFormat="1" x14ac:dyDescent="0.25"/>
    <row r="103029" s="12" customFormat="1" x14ac:dyDescent="0.25"/>
    <row r="103030" s="12" customFormat="1" x14ac:dyDescent="0.25"/>
    <row r="103031" s="12" customFormat="1" x14ac:dyDescent="0.25"/>
    <row r="103032" s="12" customFormat="1" x14ac:dyDescent="0.25"/>
    <row r="103033" s="12" customFormat="1" x14ac:dyDescent="0.25"/>
    <row r="103034" s="12" customFormat="1" x14ac:dyDescent="0.25"/>
    <row r="103035" s="12" customFormat="1" x14ac:dyDescent="0.25"/>
    <row r="103036" s="12" customFormat="1" x14ac:dyDescent="0.25"/>
    <row r="103037" s="12" customFormat="1" x14ac:dyDescent="0.25"/>
    <row r="103038" s="12" customFormat="1" x14ac:dyDescent="0.25"/>
    <row r="103039" s="12" customFormat="1" x14ac:dyDescent="0.25"/>
    <row r="103040" s="12" customFormat="1" x14ac:dyDescent="0.25"/>
    <row r="103041" s="12" customFormat="1" x14ac:dyDescent="0.25"/>
    <row r="103042" s="12" customFormat="1" x14ac:dyDescent="0.25"/>
    <row r="103043" s="12" customFormat="1" x14ac:dyDescent="0.25"/>
    <row r="103044" s="12" customFormat="1" x14ac:dyDescent="0.25"/>
    <row r="103045" s="12" customFormat="1" x14ac:dyDescent="0.25"/>
    <row r="103046" s="12" customFormat="1" x14ac:dyDescent="0.25"/>
    <row r="103047" s="12" customFormat="1" x14ac:dyDescent="0.25"/>
    <row r="103048" s="12" customFormat="1" x14ac:dyDescent="0.25"/>
    <row r="103049" s="12" customFormat="1" x14ac:dyDescent="0.25"/>
    <row r="103050" s="12" customFormat="1" x14ac:dyDescent="0.25"/>
    <row r="103051" s="12" customFormat="1" x14ac:dyDescent="0.25"/>
    <row r="103052" s="12" customFormat="1" x14ac:dyDescent="0.25"/>
    <row r="103053" s="12" customFormat="1" x14ac:dyDescent="0.25"/>
    <row r="103054" s="12" customFormat="1" x14ac:dyDescent="0.25"/>
    <row r="103055" s="12" customFormat="1" x14ac:dyDescent="0.25"/>
    <row r="103056" s="12" customFormat="1" x14ac:dyDescent="0.25"/>
    <row r="103057" s="12" customFormat="1" x14ac:dyDescent="0.25"/>
    <row r="103058" s="12" customFormat="1" x14ac:dyDescent="0.25"/>
    <row r="103059" s="12" customFormat="1" x14ac:dyDescent="0.25"/>
    <row r="103060" s="12" customFormat="1" x14ac:dyDescent="0.25"/>
    <row r="103061" s="12" customFormat="1" x14ac:dyDescent="0.25"/>
    <row r="103062" s="12" customFormat="1" x14ac:dyDescent="0.25"/>
    <row r="103063" s="12" customFormat="1" x14ac:dyDescent="0.25"/>
    <row r="103064" s="12" customFormat="1" x14ac:dyDescent="0.25"/>
    <row r="103065" s="12" customFormat="1" x14ac:dyDescent="0.25"/>
    <row r="103066" s="12" customFormat="1" x14ac:dyDescent="0.25"/>
    <row r="103067" s="12" customFormat="1" x14ac:dyDescent="0.25"/>
    <row r="103068" s="12" customFormat="1" x14ac:dyDescent="0.25"/>
    <row r="103069" s="12" customFormat="1" x14ac:dyDescent="0.25"/>
    <row r="103070" s="12" customFormat="1" x14ac:dyDescent="0.25"/>
    <row r="103071" s="12" customFormat="1" x14ac:dyDescent="0.25"/>
    <row r="103072" s="12" customFormat="1" x14ac:dyDescent="0.25"/>
    <row r="103073" s="12" customFormat="1" x14ac:dyDescent="0.25"/>
    <row r="103074" s="12" customFormat="1" x14ac:dyDescent="0.25"/>
    <row r="103075" s="12" customFormat="1" x14ac:dyDescent="0.25"/>
    <row r="103076" s="12" customFormat="1" x14ac:dyDescent="0.25"/>
    <row r="103077" s="12" customFormat="1" x14ac:dyDescent="0.25"/>
    <row r="103078" s="12" customFormat="1" x14ac:dyDescent="0.25"/>
    <row r="103079" s="12" customFormat="1" x14ac:dyDescent="0.25"/>
    <row r="103080" s="12" customFormat="1" x14ac:dyDescent="0.25"/>
    <row r="103081" s="12" customFormat="1" x14ac:dyDescent="0.25"/>
    <row r="103082" s="12" customFormat="1" x14ac:dyDescent="0.25"/>
    <row r="103083" s="12" customFormat="1" x14ac:dyDescent="0.25"/>
    <row r="103084" s="12" customFormat="1" x14ac:dyDescent="0.25"/>
    <row r="103085" s="12" customFormat="1" x14ac:dyDescent="0.25"/>
    <row r="103086" s="12" customFormat="1" x14ac:dyDescent="0.25"/>
    <row r="103087" s="12" customFormat="1" x14ac:dyDescent="0.25"/>
    <row r="103088" s="12" customFormat="1" x14ac:dyDescent="0.25"/>
    <row r="103089" s="12" customFormat="1" x14ac:dyDescent="0.25"/>
    <row r="103090" s="12" customFormat="1" x14ac:dyDescent="0.25"/>
    <row r="103091" s="12" customFormat="1" x14ac:dyDescent="0.25"/>
    <row r="103092" s="12" customFormat="1" x14ac:dyDescent="0.25"/>
    <row r="103093" s="12" customFormat="1" x14ac:dyDescent="0.25"/>
    <row r="103094" s="12" customFormat="1" x14ac:dyDescent="0.25"/>
    <row r="103095" s="12" customFormat="1" x14ac:dyDescent="0.25"/>
    <row r="103096" s="12" customFormat="1" x14ac:dyDescent="0.25"/>
    <row r="103097" s="12" customFormat="1" x14ac:dyDescent="0.25"/>
    <row r="103098" s="12" customFormat="1" x14ac:dyDescent="0.25"/>
    <row r="103099" s="12" customFormat="1" x14ac:dyDescent="0.25"/>
    <row r="103100" s="12" customFormat="1" x14ac:dyDescent="0.25"/>
    <row r="103101" s="12" customFormat="1" x14ac:dyDescent="0.25"/>
    <row r="103102" s="12" customFormat="1" x14ac:dyDescent="0.25"/>
    <row r="103103" s="12" customFormat="1" x14ac:dyDescent="0.25"/>
    <row r="103104" s="12" customFormat="1" x14ac:dyDescent="0.25"/>
    <row r="103105" s="12" customFormat="1" x14ac:dyDescent="0.25"/>
    <row r="103106" s="12" customFormat="1" x14ac:dyDescent="0.25"/>
    <row r="103107" s="12" customFormat="1" x14ac:dyDescent="0.25"/>
    <row r="103108" s="12" customFormat="1" x14ac:dyDescent="0.25"/>
    <row r="103109" s="12" customFormat="1" x14ac:dyDescent="0.25"/>
    <row r="103110" s="12" customFormat="1" x14ac:dyDescent="0.25"/>
    <row r="103111" s="12" customFormat="1" x14ac:dyDescent="0.25"/>
    <row r="103112" s="12" customFormat="1" x14ac:dyDescent="0.25"/>
    <row r="103113" s="12" customFormat="1" x14ac:dyDescent="0.25"/>
    <row r="103114" s="12" customFormat="1" x14ac:dyDescent="0.25"/>
    <row r="103115" s="12" customFormat="1" x14ac:dyDescent="0.25"/>
    <row r="103116" s="12" customFormat="1" x14ac:dyDescent="0.25"/>
    <row r="103117" s="12" customFormat="1" x14ac:dyDescent="0.25"/>
    <row r="103118" s="12" customFormat="1" x14ac:dyDescent="0.25"/>
    <row r="103119" s="12" customFormat="1" x14ac:dyDescent="0.25"/>
    <row r="103120" s="12" customFormat="1" x14ac:dyDescent="0.25"/>
    <row r="103121" s="12" customFormat="1" x14ac:dyDescent="0.25"/>
    <row r="103122" s="12" customFormat="1" x14ac:dyDescent="0.25"/>
    <row r="103123" s="12" customFormat="1" x14ac:dyDescent="0.25"/>
    <row r="103124" s="12" customFormat="1" x14ac:dyDescent="0.25"/>
    <row r="103125" s="12" customFormat="1" x14ac:dyDescent="0.25"/>
    <row r="103126" s="12" customFormat="1" x14ac:dyDescent="0.25"/>
    <row r="103127" s="12" customFormat="1" x14ac:dyDescent="0.25"/>
    <row r="103128" s="12" customFormat="1" x14ac:dyDescent="0.25"/>
    <row r="103129" s="12" customFormat="1" x14ac:dyDescent="0.25"/>
    <row r="103130" s="12" customFormat="1" x14ac:dyDescent="0.25"/>
    <row r="103131" s="12" customFormat="1" x14ac:dyDescent="0.25"/>
    <row r="103132" s="12" customFormat="1" x14ac:dyDescent="0.25"/>
    <row r="103133" s="12" customFormat="1" x14ac:dyDescent="0.25"/>
    <row r="103134" s="12" customFormat="1" x14ac:dyDescent="0.25"/>
    <row r="103135" s="12" customFormat="1" x14ac:dyDescent="0.25"/>
    <row r="103136" s="12" customFormat="1" x14ac:dyDescent="0.25"/>
    <row r="103137" s="12" customFormat="1" x14ac:dyDescent="0.25"/>
    <row r="103138" s="12" customFormat="1" x14ac:dyDescent="0.25"/>
    <row r="103139" s="12" customFormat="1" x14ac:dyDescent="0.25"/>
    <row r="103140" s="12" customFormat="1" x14ac:dyDescent="0.25"/>
    <row r="103141" s="12" customFormat="1" x14ac:dyDescent="0.25"/>
    <row r="103142" s="12" customFormat="1" x14ac:dyDescent="0.25"/>
    <row r="103143" s="12" customFormat="1" x14ac:dyDescent="0.25"/>
    <row r="103144" s="12" customFormat="1" x14ac:dyDescent="0.25"/>
    <row r="103145" s="12" customFormat="1" x14ac:dyDescent="0.25"/>
    <row r="103146" s="12" customFormat="1" x14ac:dyDescent="0.25"/>
    <row r="103147" s="12" customFormat="1" x14ac:dyDescent="0.25"/>
    <row r="103148" s="12" customFormat="1" x14ac:dyDescent="0.25"/>
    <row r="103149" s="12" customFormat="1" x14ac:dyDescent="0.25"/>
    <row r="103150" s="12" customFormat="1" x14ac:dyDescent="0.25"/>
    <row r="103151" s="12" customFormat="1" x14ac:dyDescent="0.25"/>
    <row r="103152" s="12" customFormat="1" x14ac:dyDescent="0.25"/>
    <row r="103153" s="12" customFormat="1" x14ac:dyDescent="0.25"/>
    <row r="103154" s="12" customFormat="1" x14ac:dyDescent="0.25"/>
    <row r="103155" s="12" customFormat="1" x14ac:dyDescent="0.25"/>
    <row r="103156" s="12" customFormat="1" x14ac:dyDescent="0.25"/>
    <row r="103157" s="12" customFormat="1" x14ac:dyDescent="0.25"/>
    <row r="103158" s="12" customFormat="1" x14ac:dyDescent="0.25"/>
    <row r="103159" s="12" customFormat="1" x14ac:dyDescent="0.25"/>
    <row r="103160" s="12" customFormat="1" x14ac:dyDescent="0.25"/>
    <row r="103161" s="12" customFormat="1" x14ac:dyDescent="0.25"/>
    <row r="103162" s="12" customFormat="1" x14ac:dyDescent="0.25"/>
    <row r="103163" s="12" customFormat="1" x14ac:dyDescent="0.25"/>
    <row r="103164" s="12" customFormat="1" x14ac:dyDescent="0.25"/>
    <row r="103165" s="12" customFormat="1" x14ac:dyDescent="0.25"/>
    <row r="103166" s="12" customFormat="1" x14ac:dyDescent="0.25"/>
    <row r="103167" s="12" customFormat="1" x14ac:dyDescent="0.25"/>
    <row r="103168" s="12" customFormat="1" x14ac:dyDescent="0.25"/>
    <row r="103169" s="12" customFormat="1" x14ac:dyDescent="0.25"/>
    <row r="103170" s="12" customFormat="1" x14ac:dyDescent="0.25"/>
    <row r="103171" s="12" customFormat="1" x14ac:dyDescent="0.25"/>
    <row r="103172" s="12" customFormat="1" x14ac:dyDescent="0.25"/>
    <row r="103173" s="12" customFormat="1" x14ac:dyDescent="0.25"/>
    <row r="103174" s="12" customFormat="1" x14ac:dyDescent="0.25"/>
    <row r="103175" s="12" customFormat="1" x14ac:dyDescent="0.25"/>
    <row r="103176" s="12" customFormat="1" x14ac:dyDescent="0.25"/>
    <row r="103177" s="12" customFormat="1" x14ac:dyDescent="0.25"/>
    <row r="103178" s="12" customFormat="1" x14ac:dyDescent="0.25"/>
    <row r="103179" s="12" customFormat="1" x14ac:dyDescent="0.25"/>
    <row r="103180" s="12" customFormat="1" x14ac:dyDescent="0.25"/>
    <row r="103181" s="12" customFormat="1" x14ac:dyDescent="0.25"/>
    <row r="103182" s="12" customFormat="1" x14ac:dyDescent="0.25"/>
    <row r="103183" s="12" customFormat="1" x14ac:dyDescent="0.25"/>
    <row r="103184" s="12" customFormat="1" x14ac:dyDescent="0.25"/>
    <row r="103185" s="12" customFormat="1" x14ac:dyDescent="0.25"/>
    <row r="103186" s="12" customFormat="1" x14ac:dyDescent="0.25"/>
    <row r="103187" s="12" customFormat="1" x14ac:dyDescent="0.25"/>
    <row r="103188" s="12" customFormat="1" x14ac:dyDescent="0.25"/>
    <row r="103189" s="12" customFormat="1" x14ac:dyDescent="0.25"/>
    <row r="103190" s="12" customFormat="1" x14ac:dyDescent="0.25"/>
    <row r="103191" s="12" customFormat="1" x14ac:dyDescent="0.25"/>
    <row r="103192" s="12" customFormat="1" x14ac:dyDescent="0.25"/>
    <row r="103193" s="12" customFormat="1" x14ac:dyDescent="0.25"/>
    <row r="103194" s="12" customFormat="1" x14ac:dyDescent="0.25"/>
    <row r="103195" s="12" customFormat="1" x14ac:dyDescent="0.25"/>
    <row r="103196" s="12" customFormat="1" x14ac:dyDescent="0.25"/>
    <row r="103197" s="12" customFormat="1" x14ac:dyDescent="0.25"/>
    <row r="103198" s="12" customFormat="1" x14ac:dyDescent="0.25"/>
    <row r="103199" s="12" customFormat="1" x14ac:dyDescent="0.25"/>
    <row r="103200" s="12" customFormat="1" x14ac:dyDescent="0.25"/>
    <row r="103201" s="12" customFormat="1" x14ac:dyDescent="0.25"/>
    <row r="103202" s="12" customFormat="1" x14ac:dyDescent="0.25"/>
    <row r="103203" s="12" customFormat="1" x14ac:dyDescent="0.25"/>
    <row r="103204" s="12" customFormat="1" x14ac:dyDescent="0.25"/>
    <row r="103205" s="12" customFormat="1" x14ac:dyDescent="0.25"/>
    <row r="103206" s="12" customFormat="1" x14ac:dyDescent="0.25"/>
    <row r="103207" s="12" customFormat="1" x14ac:dyDescent="0.25"/>
    <row r="103208" s="12" customFormat="1" x14ac:dyDescent="0.25"/>
    <row r="103209" s="12" customFormat="1" x14ac:dyDescent="0.25"/>
    <row r="103210" s="12" customFormat="1" x14ac:dyDescent="0.25"/>
    <row r="103211" s="12" customFormat="1" x14ac:dyDescent="0.25"/>
    <row r="103212" s="12" customFormat="1" x14ac:dyDescent="0.25"/>
    <row r="103213" s="12" customFormat="1" x14ac:dyDescent="0.25"/>
    <row r="103214" s="12" customFormat="1" x14ac:dyDescent="0.25"/>
    <row r="103215" s="12" customFormat="1" x14ac:dyDescent="0.25"/>
    <row r="103216" s="12" customFormat="1" x14ac:dyDescent="0.25"/>
    <row r="103217" s="12" customFormat="1" x14ac:dyDescent="0.25"/>
    <row r="103218" s="12" customFormat="1" x14ac:dyDescent="0.25"/>
    <row r="103219" s="12" customFormat="1" x14ac:dyDescent="0.25"/>
    <row r="103220" s="12" customFormat="1" x14ac:dyDescent="0.25"/>
    <row r="103221" s="12" customFormat="1" x14ac:dyDescent="0.25"/>
    <row r="103222" s="12" customFormat="1" x14ac:dyDescent="0.25"/>
    <row r="103223" s="12" customFormat="1" x14ac:dyDescent="0.25"/>
    <row r="103224" s="12" customFormat="1" x14ac:dyDescent="0.25"/>
    <row r="103225" s="12" customFormat="1" x14ac:dyDescent="0.25"/>
    <row r="103226" s="12" customFormat="1" x14ac:dyDescent="0.25"/>
    <row r="103227" s="12" customFormat="1" x14ac:dyDescent="0.25"/>
    <row r="103228" s="12" customFormat="1" x14ac:dyDescent="0.25"/>
    <row r="103229" s="12" customFormat="1" x14ac:dyDescent="0.25"/>
    <row r="103230" s="12" customFormat="1" x14ac:dyDescent="0.25"/>
    <row r="103231" s="12" customFormat="1" x14ac:dyDescent="0.25"/>
    <row r="103232" s="12" customFormat="1" x14ac:dyDescent="0.25"/>
    <row r="103233" s="12" customFormat="1" x14ac:dyDescent="0.25"/>
    <row r="103234" s="12" customFormat="1" x14ac:dyDescent="0.25"/>
    <row r="103235" s="12" customFormat="1" x14ac:dyDescent="0.25"/>
    <row r="103236" s="12" customFormat="1" x14ac:dyDescent="0.25"/>
    <row r="103237" s="12" customFormat="1" x14ac:dyDescent="0.25"/>
    <row r="103238" s="12" customFormat="1" x14ac:dyDescent="0.25"/>
    <row r="103239" s="12" customFormat="1" x14ac:dyDescent="0.25"/>
    <row r="103240" s="12" customFormat="1" x14ac:dyDescent="0.25"/>
    <row r="103241" s="12" customFormat="1" x14ac:dyDescent="0.25"/>
    <row r="103242" s="12" customFormat="1" x14ac:dyDescent="0.25"/>
    <row r="103243" s="12" customFormat="1" x14ac:dyDescent="0.25"/>
    <row r="103244" s="12" customFormat="1" x14ac:dyDescent="0.25"/>
    <row r="103245" s="12" customFormat="1" x14ac:dyDescent="0.25"/>
    <row r="103246" s="12" customFormat="1" x14ac:dyDescent="0.25"/>
    <row r="103247" s="12" customFormat="1" x14ac:dyDescent="0.25"/>
    <row r="103248" s="12" customFormat="1" x14ac:dyDescent="0.25"/>
    <row r="103249" s="12" customFormat="1" x14ac:dyDescent="0.25"/>
    <row r="103250" s="12" customFormat="1" x14ac:dyDescent="0.25"/>
    <row r="103251" s="12" customFormat="1" x14ac:dyDescent="0.25"/>
    <row r="103252" s="12" customFormat="1" x14ac:dyDescent="0.25"/>
    <row r="103253" s="12" customFormat="1" x14ac:dyDescent="0.25"/>
    <row r="103254" s="12" customFormat="1" x14ac:dyDescent="0.25"/>
    <row r="103255" s="12" customFormat="1" x14ac:dyDescent="0.25"/>
    <row r="103256" s="12" customFormat="1" x14ac:dyDescent="0.25"/>
    <row r="103257" s="12" customFormat="1" x14ac:dyDescent="0.25"/>
    <row r="103258" s="12" customFormat="1" x14ac:dyDescent="0.25"/>
    <row r="103259" s="12" customFormat="1" x14ac:dyDescent="0.25"/>
    <row r="103260" s="12" customFormat="1" x14ac:dyDescent="0.25"/>
    <row r="103261" s="12" customFormat="1" x14ac:dyDescent="0.25"/>
    <row r="103262" s="12" customFormat="1" x14ac:dyDescent="0.25"/>
    <row r="103263" s="12" customFormat="1" x14ac:dyDescent="0.25"/>
    <row r="103264" s="12" customFormat="1" x14ac:dyDescent="0.25"/>
    <row r="103265" s="12" customFormat="1" x14ac:dyDescent="0.25"/>
    <row r="103266" s="12" customFormat="1" x14ac:dyDescent="0.25"/>
    <row r="103267" s="12" customFormat="1" x14ac:dyDescent="0.25"/>
    <row r="103268" s="12" customFormat="1" x14ac:dyDescent="0.25"/>
    <row r="103269" s="12" customFormat="1" x14ac:dyDescent="0.25"/>
    <row r="103270" s="12" customFormat="1" x14ac:dyDescent="0.25"/>
    <row r="103271" s="12" customFormat="1" x14ac:dyDescent="0.25"/>
    <row r="103272" s="12" customFormat="1" x14ac:dyDescent="0.25"/>
    <row r="103273" s="12" customFormat="1" x14ac:dyDescent="0.25"/>
    <row r="103274" s="12" customFormat="1" x14ac:dyDescent="0.25"/>
    <row r="103275" s="12" customFormat="1" x14ac:dyDescent="0.25"/>
    <row r="103276" s="12" customFormat="1" x14ac:dyDescent="0.25"/>
    <row r="103277" s="12" customFormat="1" x14ac:dyDescent="0.25"/>
    <row r="103278" s="12" customFormat="1" x14ac:dyDescent="0.25"/>
    <row r="103279" s="12" customFormat="1" x14ac:dyDescent="0.25"/>
    <row r="103280" s="12" customFormat="1" x14ac:dyDescent="0.25"/>
    <row r="103281" s="12" customFormat="1" x14ac:dyDescent="0.25"/>
    <row r="103282" s="12" customFormat="1" x14ac:dyDescent="0.25"/>
    <row r="103283" s="12" customFormat="1" x14ac:dyDescent="0.25"/>
    <row r="103284" s="12" customFormat="1" x14ac:dyDescent="0.25"/>
    <row r="103285" s="12" customFormat="1" x14ac:dyDescent="0.25"/>
    <row r="103286" s="12" customFormat="1" x14ac:dyDescent="0.25"/>
    <row r="103287" s="12" customFormat="1" x14ac:dyDescent="0.25"/>
    <row r="103288" s="12" customFormat="1" x14ac:dyDescent="0.25"/>
    <row r="103289" s="12" customFormat="1" x14ac:dyDescent="0.25"/>
    <row r="103290" s="12" customFormat="1" x14ac:dyDescent="0.25"/>
    <row r="103291" s="12" customFormat="1" x14ac:dyDescent="0.25"/>
    <row r="103292" s="12" customFormat="1" x14ac:dyDescent="0.25"/>
    <row r="103293" s="12" customFormat="1" x14ac:dyDescent="0.25"/>
    <row r="103294" s="12" customFormat="1" x14ac:dyDescent="0.25"/>
    <row r="103295" s="12" customFormat="1" x14ac:dyDescent="0.25"/>
    <row r="103296" s="12" customFormat="1" x14ac:dyDescent="0.25"/>
    <row r="103297" s="12" customFormat="1" x14ac:dyDescent="0.25"/>
    <row r="103298" s="12" customFormat="1" x14ac:dyDescent="0.25"/>
    <row r="103299" s="12" customFormat="1" x14ac:dyDescent="0.25"/>
    <row r="103300" s="12" customFormat="1" x14ac:dyDescent="0.25"/>
    <row r="103301" s="12" customFormat="1" x14ac:dyDescent="0.25"/>
    <row r="103302" s="12" customFormat="1" x14ac:dyDescent="0.25"/>
    <row r="103303" s="12" customFormat="1" x14ac:dyDescent="0.25"/>
    <row r="103304" s="12" customFormat="1" x14ac:dyDescent="0.25"/>
    <row r="103305" s="12" customFormat="1" x14ac:dyDescent="0.25"/>
    <row r="103306" s="12" customFormat="1" x14ac:dyDescent="0.25"/>
    <row r="103307" s="12" customFormat="1" x14ac:dyDescent="0.25"/>
    <row r="103308" s="12" customFormat="1" x14ac:dyDescent="0.25"/>
    <row r="103309" s="12" customFormat="1" x14ac:dyDescent="0.25"/>
    <row r="103310" s="12" customFormat="1" x14ac:dyDescent="0.25"/>
    <row r="103311" s="12" customFormat="1" x14ac:dyDescent="0.25"/>
    <row r="103312" s="12" customFormat="1" x14ac:dyDescent="0.25"/>
    <row r="103313" s="12" customFormat="1" x14ac:dyDescent="0.25"/>
    <row r="103314" s="12" customFormat="1" x14ac:dyDescent="0.25"/>
    <row r="103315" s="12" customFormat="1" x14ac:dyDescent="0.25"/>
    <row r="103316" s="12" customFormat="1" x14ac:dyDescent="0.25"/>
    <row r="103317" s="12" customFormat="1" x14ac:dyDescent="0.25"/>
    <row r="103318" s="12" customFormat="1" x14ac:dyDescent="0.25"/>
    <row r="103319" s="12" customFormat="1" x14ac:dyDescent="0.25"/>
    <row r="103320" s="12" customFormat="1" x14ac:dyDescent="0.25"/>
    <row r="103321" s="12" customFormat="1" x14ac:dyDescent="0.25"/>
    <row r="103322" s="12" customFormat="1" x14ac:dyDescent="0.25"/>
    <row r="103323" s="12" customFormat="1" x14ac:dyDescent="0.25"/>
    <row r="103324" s="12" customFormat="1" x14ac:dyDescent="0.25"/>
    <row r="103325" s="12" customFormat="1" x14ac:dyDescent="0.25"/>
    <row r="103326" s="12" customFormat="1" x14ac:dyDescent="0.25"/>
    <row r="103327" s="12" customFormat="1" x14ac:dyDescent="0.25"/>
    <row r="103328" s="12" customFormat="1" x14ac:dyDescent="0.25"/>
    <row r="103329" s="12" customFormat="1" x14ac:dyDescent="0.25"/>
    <row r="103330" s="12" customFormat="1" x14ac:dyDescent="0.25"/>
    <row r="103331" s="12" customFormat="1" x14ac:dyDescent="0.25"/>
    <row r="103332" s="12" customFormat="1" x14ac:dyDescent="0.25"/>
    <row r="103333" s="12" customFormat="1" x14ac:dyDescent="0.25"/>
    <row r="103334" s="12" customFormat="1" x14ac:dyDescent="0.25"/>
    <row r="103335" s="12" customFormat="1" x14ac:dyDescent="0.25"/>
    <row r="103336" s="12" customFormat="1" x14ac:dyDescent="0.25"/>
    <row r="103337" s="12" customFormat="1" x14ac:dyDescent="0.25"/>
    <row r="103338" s="12" customFormat="1" x14ac:dyDescent="0.25"/>
    <row r="103339" s="12" customFormat="1" x14ac:dyDescent="0.25"/>
    <row r="103340" s="12" customFormat="1" x14ac:dyDescent="0.25"/>
    <row r="103341" s="12" customFormat="1" x14ac:dyDescent="0.25"/>
    <row r="103342" s="12" customFormat="1" x14ac:dyDescent="0.25"/>
    <row r="103343" s="12" customFormat="1" x14ac:dyDescent="0.25"/>
    <row r="103344" s="12" customFormat="1" x14ac:dyDescent="0.25"/>
    <row r="103345" s="12" customFormat="1" x14ac:dyDescent="0.25"/>
    <row r="103346" s="12" customFormat="1" x14ac:dyDescent="0.25"/>
    <row r="103347" s="12" customFormat="1" x14ac:dyDescent="0.25"/>
    <row r="103348" s="12" customFormat="1" x14ac:dyDescent="0.25"/>
    <row r="103349" s="12" customFormat="1" x14ac:dyDescent="0.25"/>
    <row r="103350" s="12" customFormat="1" x14ac:dyDescent="0.25"/>
    <row r="103351" s="12" customFormat="1" x14ac:dyDescent="0.25"/>
    <row r="103352" s="12" customFormat="1" x14ac:dyDescent="0.25"/>
    <row r="103353" s="12" customFormat="1" x14ac:dyDescent="0.25"/>
    <row r="103354" s="12" customFormat="1" x14ac:dyDescent="0.25"/>
    <row r="103355" s="12" customFormat="1" x14ac:dyDescent="0.25"/>
    <row r="103356" s="12" customFormat="1" x14ac:dyDescent="0.25"/>
    <row r="103357" s="12" customFormat="1" x14ac:dyDescent="0.25"/>
    <row r="103358" s="12" customFormat="1" x14ac:dyDescent="0.25"/>
    <row r="103359" s="12" customFormat="1" x14ac:dyDescent="0.25"/>
    <row r="103360" s="12" customFormat="1" x14ac:dyDescent="0.25"/>
    <row r="103361" s="12" customFormat="1" x14ac:dyDescent="0.25"/>
    <row r="103362" s="12" customFormat="1" x14ac:dyDescent="0.25"/>
    <row r="103363" s="12" customFormat="1" x14ac:dyDescent="0.25"/>
    <row r="103364" s="12" customFormat="1" x14ac:dyDescent="0.25"/>
    <row r="103365" s="12" customFormat="1" x14ac:dyDescent="0.25"/>
    <row r="103366" s="12" customFormat="1" x14ac:dyDescent="0.25"/>
    <row r="103367" s="12" customFormat="1" x14ac:dyDescent="0.25"/>
    <row r="103368" s="12" customFormat="1" x14ac:dyDescent="0.25"/>
    <row r="103369" s="12" customFormat="1" x14ac:dyDescent="0.25"/>
    <row r="103370" s="12" customFormat="1" x14ac:dyDescent="0.25"/>
    <row r="103371" s="12" customFormat="1" x14ac:dyDescent="0.25"/>
    <row r="103372" s="12" customFormat="1" x14ac:dyDescent="0.25"/>
    <row r="103373" s="12" customFormat="1" x14ac:dyDescent="0.25"/>
    <row r="103374" s="12" customFormat="1" x14ac:dyDescent="0.25"/>
    <row r="103375" s="12" customFormat="1" x14ac:dyDescent="0.25"/>
    <row r="103376" s="12" customFormat="1" x14ac:dyDescent="0.25"/>
    <row r="103377" s="12" customFormat="1" x14ac:dyDescent="0.25"/>
    <row r="103378" s="12" customFormat="1" x14ac:dyDescent="0.25"/>
    <row r="103379" s="12" customFormat="1" x14ac:dyDescent="0.25"/>
    <row r="103380" s="12" customFormat="1" x14ac:dyDescent="0.25"/>
    <row r="103381" s="12" customFormat="1" x14ac:dyDescent="0.25"/>
    <row r="103382" s="12" customFormat="1" x14ac:dyDescent="0.25"/>
    <row r="103383" s="12" customFormat="1" x14ac:dyDescent="0.25"/>
    <row r="103384" s="12" customFormat="1" x14ac:dyDescent="0.25"/>
    <row r="103385" s="12" customFormat="1" x14ac:dyDescent="0.25"/>
    <row r="103386" s="12" customFormat="1" x14ac:dyDescent="0.25"/>
    <row r="103387" s="12" customFormat="1" x14ac:dyDescent="0.25"/>
    <row r="103388" s="12" customFormat="1" x14ac:dyDescent="0.25"/>
    <row r="103389" s="12" customFormat="1" x14ac:dyDescent="0.25"/>
    <row r="103390" s="12" customFormat="1" x14ac:dyDescent="0.25"/>
    <row r="103391" s="12" customFormat="1" x14ac:dyDescent="0.25"/>
    <row r="103392" s="12" customFormat="1" x14ac:dyDescent="0.25"/>
    <row r="103393" s="12" customFormat="1" x14ac:dyDescent="0.25"/>
    <row r="103394" s="12" customFormat="1" x14ac:dyDescent="0.25"/>
    <row r="103395" s="12" customFormat="1" x14ac:dyDescent="0.25"/>
    <row r="103396" s="12" customFormat="1" x14ac:dyDescent="0.25"/>
    <row r="103397" s="12" customFormat="1" x14ac:dyDescent="0.25"/>
    <row r="103398" s="12" customFormat="1" x14ac:dyDescent="0.25"/>
    <row r="103399" s="12" customFormat="1" x14ac:dyDescent="0.25"/>
    <row r="103400" s="12" customFormat="1" x14ac:dyDescent="0.25"/>
    <row r="103401" s="12" customFormat="1" x14ac:dyDescent="0.25"/>
    <row r="103402" s="12" customFormat="1" x14ac:dyDescent="0.25"/>
    <row r="103403" s="12" customFormat="1" x14ac:dyDescent="0.25"/>
    <row r="103404" s="12" customFormat="1" x14ac:dyDescent="0.25"/>
    <row r="103405" s="12" customFormat="1" x14ac:dyDescent="0.25"/>
    <row r="103406" s="12" customFormat="1" x14ac:dyDescent="0.25"/>
    <row r="103407" s="12" customFormat="1" x14ac:dyDescent="0.25"/>
    <row r="103408" s="12" customFormat="1" x14ac:dyDescent="0.25"/>
    <row r="103409" s="12" customFormat="1" x14ac:dyDescent="0.25"/>
    <row r="103410" s="12" customFormat="1" x14ac:dyDescent="0.25"/>
    <row r="103411" s="12" customFormat="1" x14ac:dyDescent="0.25"/>
    <row r="103412" s="12" customFormat="1" x14ac:dyDescent="0.25"/>
    <row r="103413" s="12" customFormat="1" x14ac:dyDescent="0.25"/>
    <row r="103414" s="12" customFormat="1" x14ac:dyDescent="0.25"/>
    <row r="103415" s="12" customFormat="1" x14ac:dyDescent="0.25"/>
    <row r="103416" s="12" customFormat="1" x14ac:dyDescent="0.25"/>
    <row r="103417" s="12" customFormat="1" x14ac:dyDescent="0.25"/>
    <row r="103418" s="12" customFormat="1" x14ac:dyDescent="0.25"/>
    <row r="103419" s="12" customFormat="1" x14ac:dyDescent="0.25"/>
    <row r="103420" s="12" customFormat="1" x14ac:dyDescent="0.25"/>
    <row r="103421" s="12" customFormat="1" x14ac:dyDescent="0.25"/>
    <row r="103422" s="12" customFormat="1" x14ac:dyDescent="0.25"/>
    <row r="103423" s="12" customFormat="1" x14ac:dyDescent="0.25"/>
    <row r="103424" s="12" customFormat="1" x14ac:dyDescent="0.25"/>
    <row r="103425" s="12" customFormat="1" x14ac:dyDescent="0.25"/>
    <row r="103426" s="12" customFormat="1" x14ac:dyDescent="0.25"/>
    <row r="103427" s="12" customFormat="1" x14ac:dyDescent="0.25"/>
    <row r="103428" s="12" customFormat="1" x14ac:dyDescent="0.25"/>
    <row r="103429" s="12" customFormat="1" x14ac:dyDescent="0.25"/>
    <row r="103430" s="12" customFormat="1" x14ac:dyDescent="0.25"/>
    <row r="103431" s="12" customFormat="1" x14ac:dyDescent="0.25"/>
    <row r="103432" s="12" customFormat="1" x14ac:dyDescent="0.25"/>
    <row r="103433" s="12" customFormat="1" x14ac:dyDescent="0.25"/>
    <row r="103434" s="12" customFormat="1" x14ac:dyDescent="0.25"/>
    <row r="103435" s="12" customFormat="1" x14ac:dyDescent="0.25"/>
    <row r="103436" s="12" customFormat="1" x14ac:dyDescent="0.25"/>
    <row r="103437" s="12" customFormat="1" x14ac:dyDescent="0.25"/>
    <row r="103438" s="12" customFormat="1" x14ac:dyDescent="0.25"/>
    <row r="103439" s="12" customFormat="1" x14ac:dyDescent="0.25"/>
    <row r="103440" s="12" customFormat="1" x14ac:dyDescent="0.25"/>
    <row r="103441" s="12" customFormat="1" x14ac:dyDescent="0.25"/>
    <row r="103442" s="12" customFormat="1" x14ac:dyDescent="0.25"/>
    <row r="103443" s="12" customFormat="1" x14ac:dyDescent="0.25"/>
    <row r="103444" s="12" customFormat="1" x14ac:dyDescent="0.25"/>
    <row r="103445" s="12" customFormat="1" x14ac:dyDescent="0.25"/>
    <row r="103446" s="12" customFormat="1" x14ac:dyDescent="0.25"/>
    <row r="103447" s="12" customFormat="1" x14ac:dyDescent="0.25"/>
    <row r="103448" s="12" customFormat="1" x14ac:dyDescent="0.25"/>
    <row r="103449" s="12" customFormat="1" x14ac:dyDescent="0.25"/>
    <row r="103450" s="12" customFormat="1" x14ac:dyDescent="0.25"/>
    <row r="103451" s="12" customFormat="1" x14ac:dyDescent="0.25"/>
    <row r="103452" s="12" customFormat="1" x14ac:dyDescent="0.25"/>
    <row r="103453" s="12" customFormat="1" x14ac:dyDescent="0.25"/>
    <row r="103454" s="12" customFormat="1" x14ac:dyDescent="0.25"/>
    <row r="103455" s="12" customFormat="1" x14ac:dyDescent="0.25"/>
    <row r="103456" s="12" customFormat="1" x14ac:dyDescent="0.25"/>
    <row r="103457" s="12" customFormat="1" x14ac:dyDescent="0.25"/>
    <row r="103458" s="12" customFormat="1" x14ac:dyDescent="0.25"/>
    <row r="103459" s="12" customFormat="1" x14ac:dyDescent="0.25"/>
    <row r="103460" s="12" customFormat="1" x14ac:dyDescent="0.25"/>
    <row r="103461" s="12" customFormat="1" x14ac:dyDescent="0.25"/>
    <row r="103462" s="12" customFormat="1" x14ac:dyDescent="0.25"/>
    <row r="103463" s="12" customFormat="1" x14ac:dyDescent="0.25"/>
    <row r="103464" s="12" customFormat="1" x14ac:dyDescent="0.25"/>
    <row r="103465" s="12" customFormat="1" x14ac:dyDescent="0.25"/>
    <row r="103466" s="12" customFormat="1" x14ac:dyDescent="0.25"/>
    <row r="103467" s="12" customFormat="1" x14ac:dyDescent="0.25"/>
    <row r="103468" s="12" customFormat="1" x14ac:dyDescent="0.25"/>
    <row r="103469" s="12" customFormat="1" x14ac:dyDescent="0.25"/>
    <row r="103470" s="12" customFormat="1" x14ac:dyDescent="0.25"/>
    <row r="103471" s="12" customFormat="1" x14ac:dyDescent="0.25"/>
    <row r="103472" s="12" customFormat="1" x14ac:dyDescent="0.25"/>
    <row r="103473" s="12" customFormat="1" x14ac:dyDescent="0.25"/>
    <row r="103474" s="12" customFormat="1" x14ac:dyDescent="0.25"/>
    <row r="103475" s="12" customFormat="1" x14ac:dyDescent="0.25"/>
    <row r="103476" s="12" customFormat="1" x14ac:dyDescent="0.25"/>
    <row r="103477" s="12" customFormat="1" x14ac:dyDescent="0.25"/>
    <row r="103478" s="12" customFormat="1" x14ac:dyDescent="0.25"/>
    <row r="103479" s="12" customFormat="1" x14ac:dyDescent="0.25"/>
    <row r="103480" s="12" customFormat="1" x14ac:dyDescent="0.25"/>
    <row r="103481" s="12" customFormat="1" x14ac:dyDescent="0.25"/>
    <row r="103482" s="12" customFormat="1" x14ac:dyDescent="0.25"/>
    <row r="103483" s="12" customFormat="1" x14ac:dyDescent="0.25"/>
    <row r="103484" s="12" customFormat="1" x14ac:dyDescent="0.25"/>
    <row r="103485" s="12" customFormat="1" x14ac:dyDescent="0.25"/>
    <row r="103486" s="12" customFormat="1" x14ac:dyDescent="0.25"/>
    <row r="103487" s="12" customFormat="1" x14ac:dyDescent="0.25"/>
    <row r="103488" s="12" customFormat="1" x14ac:dyDescent="0.25"/>
    <row r="103489" s="12" customFormat="1" x14ac:dyDescent="0.25"/>
    <row r="103490" s="12" customFormat="1" x14ac:dyDescent="0.25"/>
    <row r="103491" s="12" customFormat="1" x14ac:dyDescent="0.25"/>
    <row r="103492" s="12" customFormat="1" x14ac:dyDescent="0.25"/>
    <row r="103493" s="12" customFormat="1" x14ac:dyDescent="0.25"/>
    <row r="103494" s="12" customFormat="1" x14ac:dyDescent="0.25"/>
    <row r="103495" s="12" customFormat="1" x14ac:dyDescent="0.25"/>
    <row r="103496" s="12" customFormat="1" x14ac:dyDescent="0.25"/>
    <row r="103497" s="12" customFormat="1" x14ac:dyDescent="0.25"/>
    <row r="103498" s="12" customFormat="1" x14ac:dyDescent="0.25"/>
    <row r="103499" s="12" customFormat="1" x14ac:dyDescent="0.25"/>
    <row r="103500" s="12" customFormat="1" x14ac:dyDescent="0.25"/>
    <row r="103501" s="12" customFormat="1" x14ac:dyDescent="0.25"/>
    <row r="103502" s="12" customFormat="1" x14ac:dyDescent="0.25"/>
    <row r="103503" s="12" customFormat="1" x14ac:dyDescent="0.25"/>
    <row r="103504" s="12" customFormat="1" x14ac:dyDescent="0.25"/>
    <row r="103505" s="12" customFormat="1" x14ac:dyDescent="0.25"/>
    <row r="103506" s="12" customFormat="1" x14ac:dyDescent="0.25"/>
    <row r="103507" s="12" customFormat="1" x14ac:dyDescent="0.25"/>
    <row r="103508" s="12" customFormat="1" x14ac:dyDescent="0.25"/>
    <row r="103509" s="12" customFormat="1" x14ac:dyDescent="0.25"/>
    <row r="103510" s="12" customFormat="1" x14ac:dyDescent="0.25"/>
    <row r="103511" s="12" customFormat="1" x14ac:dyDescent="0.25"/>
    <row r="103512" s="12" customFormat="1" x14ac:dyDescent="0.25"/>
    <row r="103513" s="12" customFormat="1" x14ac:dyDescent="0.25"/>
    <row r="103514" s="12" customFormat="1" x14ac:dyDescent="0.25"/>
    <row r="103515" s="12" customFormat="1" x14ac:dyDescent="0.25"/>
    <row r="103516" s="12" customFormat="1" x14ac:dyDescent="0.25"/>
    <row r="103517" s="12" customFormat="1" x14ac:dyDescent="0.25"/>
    <row r="103518" s="12" customFormat="1" x14ac:dyDescent="0.25"/>
    <row r="103519" s="12" customFormat="1" x14ac:dyDescent="0.25"/>
    <row r="103520" s="12" customFormat="1" x14ac:dyDescent="0.25"/>
    <row r="103521" s="12" customFormat="1" x14ac:dyDescent="0.25"/>
    <row r="103522" s="12" customFormat="1" x14ac:dyDescent="0.25"/>
    <row r="103523" s="12" customFormat="1" x14ac:dyDescent="0.25"/>
    <row r="103524" s="12" customFormat="1" x14ac:dyDescent="0.25"/>
    <row r="103525" s="12" customFormat="1" x14ac:dyDescent="0.25"/>
    <row r="103526" s="12" customFormat="1" x14ac:dyDescent="0.25"/>
    <row r="103527" s="12" customFormat="1" x14ac:dyDescent="0.25"/>
    <row r="103528" s="12" customFormat="1" x14ac:dyDescent="0.25"/>
    <row r="103529" s="12" customFormat="1" x14ac:dyDescent="0.25"/>
    <row r="103530" s="12" customFormat="1" x14ac:dyDescent="0.25"/>
    <row r="103531" s="12" customFormat="1" x14ac:dyDescent="0.25"/>
    <row r="103532" s="12" customFormat="1" x14ac:dyDescent="0.25"/>
    <row r="103533" s="12" customFormat="1" x14ac:dyDescent="0.25"/>
    <row r="103534" s="12" customFormat="1" x14ac:dyDescent="0.25"/>
    <row r="103535" s="12" customFormat="1" x14ac:dyDescent="0.25"/>
    <row r="103536" s="12" customFormat="1" x14ac:dyDescent="0.25"/>
    <row r="103537" s="12" customFormat="1" x14ac:dyDescent="0.25"/>
    <row r="103538" s="12" customFormat="1" x14ac:dyDescent="0.25"/>
    <row r="103539" s="12" customFormat="1" x14ac:dyDescent="0.25"/>
    <row r="103540" s="12" customFormat="1" x14ac:dyDescent="0.25"/>
    <row r="103541" s="12" customFormat="1" x14ac:dyDescent="0.25"/>
    <row r="103542" s="12" customFormat="1" x14ac:dyDescent="0.25"/>
    <row r="103543" s="12" customFormat="1" x14ac:dyDescent="0.25"/>
    <row r="103544" s="12" customFormat="1" x14ac:dyDescent="0.25"/>
    <row r="103545" s="12" customFormat="1" x14ac:dyDescent="0.25"/>
    <row r="103546" s="12" customFormat="1" x14ac:dyDescent="0.25"/>
    <row r="103547" s="12" customFormat="1" x14ac:dyDescent="0.25"/>
    <row r="103548" s="12" customFormat="1" x14ac:dyDescent="0.25"/>
    <row r="103549" s="12" customFormat="1" x14ac:dyDescent="0.25"/>
    <row r="103550" s="12" customFormat="1" x14ac:dyDescent="0.25"/>
    <row r="103551" s="12" customFormat="1" x14ac:dyDescent="0.25"/>
    <row r="103552" s="12" customFormat="1" x14ac:dyDescent="0.25"/>
    <row r="103553" s="12" customFormat="1" x14ac:dyDescent="0.25"/>
    <row r="103554" s="12" customFormat="1" x14ac:dyDescent="0.25"/>
    <row r="103555" s="12" customFormat="1" x14ac:dyDescent="0.25"/>
    <row r="103556" s="12" customFormat="1" x14ac:dyDescent="0.25"/>
    <row r="103557" s="12" customFormat="1" x14ac:dyDescent="0.25"/>
    <row r="103558" s="12" customFormat="1" x14ac:dyDescent="0.25"/>
    <row r="103559" s="12" customFormat="1" x14ac:dyDescent="0.25"/>
    <row r="103560" s="12" customFormat="1" x14ac:dyDescent="0.25"/>
    <row r="103561" s="12" customFormat="1" x14ac:dyDescent="0.25"/>
    <row r="103562" s="12" customFormat="1" x14ac:dyDescent="0.25"/>
    <row r="103563" s="12" customFormat="1" x14ac:dyDescent="0.25"/>
    <row r="103564" s="12" customFormat="1" x14ac:dyDescent="0.25"/>
    <row r="103565" s="12" customFormat="1" x14ac:dyDescent="0.25"/>
    <row r="103566" s="12" customFormat="1" x14ac:dyDescent="0.25"/>
    <row r="103567" s="12" customFormat="1" x14ac:dyDescent="0.25"/>
    <row r="103568" s="12" customFormat="1" x14ac:dyDescent="0.25"/>
    <row r="103569" s="12" customFormat="1" x14ac:dyDescent="0.25"/>
    <row r="103570" s="12" customFormat="1" x14ac:dyDescent="0.25"/>
    <row r="103571" s="12" customFormat="1" x14ac:dyDescent="0.25"/>
    <row r="103572" s="12" customFormat="1" x14ac:dyDescent="0.25"/>
    <row r="103573" s="12" customFormat="1" x14ac:dyDescent="0.25"/>
    <row r="103574" s="12" customFormat="1" x14ac:dyDescent="0.25"/>
    <row r="103575" s="12" customFormat="1" x14ac:dyDescent="0.25"/>
    <row r="103576" s="12" customFormat="1" x14ac:dyDescent="0.25"/>
    <row r="103577" s="12" customFormat="1" x14ac:dyDescent="0.25"/>
    <row r="103578" s="12" customFormat="1" x14ac:dyDescent="0.25"/>
    <row r="103579" s="12" customFormat="1" x14ac:dyDescent="0.25"/>
    <row r="103580" s="12" customFormat="1" x14ac:dyDescent="0.25"/>
    <row r="103581" s="12" customFormat="1" x14ac:dyDescent="0.25"/>
    <row r="103582" s="12" customFormat="1" x14ac:dyDescent="0.25"/>
    <row r="103583" s="12" customFormat="1" x14ac:dyDescent="0.25"/>
    <row r="103584" s="12" customFormat="1" x14ac:dyDescent="0.25"/>
    <row r="103585" s="12" customFormat="1" x14ac:dyDescent="0.25"/>
    <row r="103586" s="12" customFormat="1" x14ac:dyDescent="0.25"/>
    <row r="103587" s="12" customFormat="1" x14ac:dyDescent="0.25"/>
    <row r="103588" s="12" customFormat="1" x14ac:dyDescent="0.25"/>
    <row r="103589" s="12" customFormat="1" x14ac:dyDescent="0.25"/>
    <row r="103590" s="12" customFormat="1" x14ac:dyDescent="0.25"/>
    <row r="103591" s="12" customFormat="1" x14ac:dyDescent="0.25"/>
    <row r="103592" s="12" customFormat="1" x14ac:dyDescent="0.25"/>
    <row r="103593" s="12" customFormat="1" x14ac:dyDescent="0.25"/>
    <row r="103594" s="12" customFormat="1" x14ac:dyDescent="0.25"/>
    <row r="103595" s="12" customFormat="1" x14ac:dyDescent="0.25"/>
    <row r="103596" s="12" customFormat="1" x14ac:dyDescent="0.25"/>
    <row r="103597" s="12" customFormat="1" x14ac:dyDescent="0.25"/>
    <row r="103598" s="12" customFormat="1" x14ac:dyDescent="0.25"/>
    <row r="103599" s="12" customFormat="1" x14ac:dyDescent="0.25"/>
    <row r="103600" s="12" customFormat="1" x14ac:dyDescent="0.25"/>
    <row r="103601" s="12" customFormat="1" x14ac:dyDescent="0.25"/>
    <row r="103602" s="12" customFormat="1" x14ac:dyDescent="0.25"/>
    <row r="103603" s="12" customFormat="1" x14ac:dyDescent="0.25"/>
    <row r="103604" s="12" customFormat="1" x14ac:dyDescent="0.25"/>
    <row r="103605" s="12" customFormat="1" x14ac:dyDescent="0.25"/>
    <row r="103606" s="12" customFormat="1" x14ac:dyDescent="0.25"/>
    <row r="103607" s="12" customFormat="1" x14ac:dyDescent="0.25"/>
    <row r="103608" s="12" customFormat="1" x14ac:dyDescent="0.25"/>
    <row r="103609" s="12" customFormat="1" x14ac:dyDescent="0.25"/>
    <row r="103610" s="12" customFormat="1" x14ac:dyDescent="0.25"/>
    <row r="103611" s="12" customFormat="1" x14ac:dyDescent="0.25"/>
    <row r="103612" s="12" customFormat="1" x14ac:dyDescent="0.25"/>
    <row r="103613" s="12" customFormat="1" x14ac:dyDescent="0.25"/>
    <row r="103614" s="12" customFormat="1" x14ac:dyDescent="0.25"/>
    <row r="103615" s="12" customFormat="1" x14ac:dyDescent="0.25"/>
    <row r="103616" s="12" customFormat="1" x14ac:dyDescent="0.25"/>
    <row r="103617" s="12" customFormat="1" x14ac:dyDescent="0.25"/>
    <row r="103618" s="12" customFormat="1" x14ac:dyDescent="0.25"/>
    <row r="103619" s="12" customFormat="1" x14ac:dyDescent="0.25"/>
    <row r="103620" s="12" customFormat="1" x14ac:dyDescent="0.25"/>
    <row r="103621" s="12" customFormat="1" x14ac:dyDescent="0.25"/>
    <row r="103622" s="12" customFormat="1" x14ac:dyDescent="0.25"/>
    <row r="103623" s="12" customFormat="1" x14ac:dyDescent="0.25"/>
    <row r="103624" s="12" customFormat="1" x14ac:dyDescent="0.25"/>
    <row r="103625" s="12" customFormat="1" x14ac:dyDescent="0.25"/>
    <row r="103626" s="12" customFormat="1" x14ac:dyDescent="0.25"/>
    <row r="103627" s="12" customFormat="1" x14ac:dyDescent="0.25"/>
    <row r="103628" s="12" customFormat="1" x14ac:dyDescent="0.25"/>
    <row r="103629" s="12" customFormat="1" x14ac:dyDescent="0.25"/>
    <row r="103630" s="12" customFormat="1" x14ac:dyDescent="0.25"/>
    <row r="103631" s="12" customFormat="1" x14ac:dyDescent="0.25"/>
    <row r="103632" s="12" customFormat="1" x14ac:dyDescent="0.25"/>
    <row r="103633" s="12" customFormat="1" x14ac:dyDescent="0.25"/>
    <row r="103634" s="12" customFormat="1" x14ac:dyDescent="0.25"/>
    <row r="103635" s="12" customFormat="1" x14ac:dyDescent="0.25"/>
    <row r="103636" s="12" customFormat="1" x14ac:dyDescent="0.25"/>
    <row r="103637" s="12" customFormat="1" x14ac:dyDescent="0.25"/>
    <row r="103638" s="12" customFormat="1" x14ac:dyDescent="0.25"/>
    <row r="103639" s="12" customFormat="1" x14ac:dyDescent="0.25"/>
    <row r="103640" s="12" customFormat="1" x14ac:dyDescent="0.25"/>
    <row r="103641" s="12" customFormat="1" x14ac:dyDescent="0.25"/>
    <row r="103642" s="12" customFormat="1" x14ac:dyDescent="0.25"/>
    <row r="103643" s="12" customFormat="1" x14ac:dyDescent="0.25"/>
    <row r="103644" s="12" customFormat="1" x14ac:dyDescent="0.25"/>
    <row r="103645" s="12" customFormat="1" x14ac:dyDescent="0.25"/>
    <row r="103646" s="12" customFormat="1" x14ac:dyDescent="0.25"/>
    <row r="103647" s="12" customFormat="1" x14ac:dyDescent="0.25"/>
    <row r="103648" s="12" customFormat="1" x14ac:dyDescent="0.25"/>
    <row r="103649" s="12" customFormat="1" x14ac:dyDescent="0.25"/>
    <row r="103650" s="12" customFormat="1" x14ac:dyDescent="0.25"/>
    <row r="103651" s="12" customFormat="1" x14ac:dyDescent="0.25"/>
    <row r="103652" s="12" customFormat="1" x14ac:dyDescent="0.25"/>
    <row r="103653" s="12" customFormat="1" x14ac:dyDescent="0.25"/>
    <row r="103654" s="12" customFormat="1" x14ac:dyDescent="0.25"/>
    <row r="103655" s="12" customFormat="1" x14ac:dyDescent="0.25"/>
    <row r="103656" s="12" customFormat="1" x14ac:dyDescent="0.25"/>
    <row r="103657" s="12" customFormat="1" x14ac:dyDescent="0.25"/>
    <row r="103658" s="12" customFormat="1" x14ac:dyDescent="0.25"/>
    <row r="103659" s="12" customFormat="1" x14ac:dyDescent="0.25"/>
    <row r="103660" s="12" customFormat="1" x14ac:dyDescent="0.25"/>
    <row r="103661" s="12" customFormat="1" x14ac:dyDescent="0.25"/>
    <row r="103662" s="12" customFormat="1" x14ac:dyDescent="0.25"/>
    <row r="103663" s="12" customFormat="1" x14ac:dyDescent="0.25"/>
    <row r="103664" s="12" customFormat="1" x14ac:dyDescent="0.25"/>
    <row r="103665" s="12" customFormat="1" x14ac:dyDescent="0.25"/>
    <row r="103666" s="12" customFormat="1" x14ac:dyDescent="0.25"/>
    <row r="103667" s="12" customFormat="1" x14ac:dyDescent="0.25"/>
    <row r="103668" s="12" customFormat="1" x14ac:dyDescent="0.25"/>
    <row r="103669" s="12" customFormat="1" x14ac:dyDescent="0.25"/>
    <row r="103670" s="12" customFormat="1" x14ac:dyDescent="0.25"/>
    <row r="103671" s="12" customFormat="1" x14ac:dyDescent="0.25"/>
    <row r="103672" s="12" customFormat="1" x14ac:dyDescent="0.25"/>
    <row r="103673" s="12" customFormat="1" x14ac:dyDescent="0.25"/>
    <row r="103674" s="12" customFormat="1" x14ac:dyDescent="0.25"/>
    <row r="103675" s="12" customFormat="1" x14ac:dyDescent="0.25"/>
    <row r="103676" s="12" customFormat="1" x14ac:dyDescent="0.25"/>
    <row r="103677" s="12" customFormat="1" x14ac:dyDescent="0.25"/>
    <row r="103678" s="12" customFormat="1" x14ac:dyDescent="0.25"/>
    <row r="103679" s="12" customFormat="1" x14ac:dyDescent="0.25"/>
    <row r="103680" s="12" customFormat="1" x14ac:dyDescent="0.25"/>
    <row r="103681" s="12" customFormat="1" x14ac:dyDescent="0.25"/>
    <row r="103682" s="12" customFormat="1" x14ac:dyDescent="0.25"/>
    <row r="103683" s="12" customFormat="1" x14ac:dyDescent="0.25"/>
    <row r="103684" s="12" customFormat="1" x14ac:dyDescent="0.25"/>
    <row r="103685" s="12" customFormat="1" x14ac:dyDescent="0.25"/>
    <row r="103686" s="12" customFormat="1" x14ac:dyDescent="0.25"/>
    <row r="103687" s="12" customFormat="1" x14ac:dyDescent="0.25"/>
    <row r="103688" s="12" customFormat="1" x14ac:dyDescent="0.25"/>
    <row r="103689" s="12" customFormat="1" x14ac:dyDescent="0.25"/>
    <row r="103690" s="12" customFormat="1" x14ac:dyDescent="0.25"/>
    <row r="103691" s="12" customFormat="1" x14ac:dyDescent="0.25"/>
    <row r="103692" s="12" customFormat="1" x14ac:dyDescent="0.25"/>
    <row r="103693" s="12" customFormat="1" x14ac:dyDescent="0.25"/>
    <row r="103694" s="12" customFormat="1" x14ac:dyDescent="0.25"/>
    <row r="103695" s="12" customFormat="1" x14ac:dyDescent="0.25"/>
    <row r="103696" s="12" customFormat="1" x14ac:dyDescent="0.25"/>
    <row r="103697" s="12" customFormat="1" x14ac:dyDescent="0.25"/>
    <row r="103698" s="12" customFormat="1" x14ac:dyDescent="0.25"/>
    <row r="103699" s="12" customFormat="1" x14ac:dyDescent="0.25"/>
    <row r="103700" s="12" customFormat="1" x14ac:dyDescent="0.25"/>
    <row r="103701" s="12" customFormat="1" x14ac:dyDescent="0.25"/>
    <row r="103702" s="12" customFormat="1" x14ac:dyDescent="0.25"/>
    <row r="103703" s="12" customFormat="1" x14ac:dyDescent="0.25"/>
    <row r="103704" s="12" customFormat="1" x14ac:dyDescent="0.25"/>
    <row r="103705" s="12" customFormat="1" x14ac:dyDescent="0.25"/>
    <row r="103706" s="12" customFormat="1" x14ac:dyDescent="0.25"/>
    <row r="103707" s="12" customFormat="1" x14ac:dyDescent="0.25"/>
    <row r="103708" s="12" customFormat="1" x14ac:dyDescent="0.25"/>
    <row r="103709" s="12" customFormat="1" x14ac:dyDescent="0.25"/>
    <row r="103710" s="12" customFormat="1" x14ac:dyDescent="0.25"/>
    <row r="103711" s="12" customFormat="1" x14ac:dyDescent="0.25"/>
    <row r="103712" s="12" customFormat="1" x14ac:dyDescent="0.25"/>
    <row r="103713" s="12" customFormat="1" x14ac:dyDescent="0.25"/>
    <row r="103714" s="12" customFormat="1" x14ac:dyDescent="0.25"/>
    <row r="103715" s="12" customFormat="1" x14ac:dyDescent="0.25"/>
    <row r="103716" s="12" customFormat="1" x14ac:dyDescent="0.25"/>
    <row r="103717" s="12" customFormat="1" x14ac:dyDescent="0.25"/>
    <row r="103718" s="12" customFormat="1" x14ac:dyDescent="0.25"/>
    <row r="103719" s="12" customFormat="1" x14ac:dyDescent="0.25"/>
    <row r="103720" s="12" customFormat="1" x14ac:dyDescent="0.25"/>
    <row r="103721" s="12" customFormat="1" x14ac:dyDescent="0.25"/>
    <row r="103722" s="12" customFormat="1" x14ac:dyDescent="0.25"/>
    <row r="103723" s="12" customFormat="1" x14ac:dyDescent="0.25"/>
    <row r="103724" s="12" customFormat="1" x14ac:dyDescent="0.25"/>
    <row r="103725" s="12" customFormat="1" x14ac:dyDescent="0.25"/>
    <row r="103726" s="12" customFormat="1" x14ac:dyDescent="0.25"/>
    <row r="103727" s="12" customFormat="1" x14ac:dyDescent="0.25"/>
    <row r="103728" s="12" customFormat="1" x14ac:dyDescent="0.25"/>
    <row r="103729" s="12" customFormat="1" x14ac:dyDescent="0.25"/>
    <row r="103730" s="12" customFormat="1" x14ac:dyDescent="0.25"/>
    <row r="103731" s="12" customFormat="1" x14ac:dyDescent="0.25"/>
    <row r="103732" s="12" customFormat="1" x14ac:dyDescent="0.25"/>
    <row r="103733" s="12" customFormat="1" x14ac:dyDescent="0.25"/>
    <row r="103734" s="12" customFormat="1" x14ac:dyDescent="0.25"/>
    <row r="103735" s="12" customFormat="1" x14ac:dyDescent="0.25"/>
    <row r="103736" s="12" customFormat="1" x14ac:dyDescent="0.25"/>
    <row r="103737" s="12" customFormat="1" x14ac:dyDescent="0.25"/>
    <row r="103738" s="12" customFormat="1" x14ac:dyDescent="0.25"/>
    <row r="103739" s="12" customFormat="1" x14ac:dyDescent="0.25"/>
    <row r="103740" s="12" customFormat="1" x14ac:dyDescent="0.25"/>
    <row r="103741" s="12" customFormat="1" x14ac:dyDescent="0.25"/>
    <row r="103742" s="12" customFormat="1" x14ac:dyDescent="0.25"/>
    <row r="103743" s="12" customFormat="1" x14ac:dyDescent="0.25"/>
    <row r="103744" s="12" customFormat="1" x14ac:dyDescent="0.25"/>
    <row r="103745" s="12" customFormat="1" x14ac:dyDescent="0.25"/>
    <row r="103746" s="12" customFormat="1" x14ac:dyDescent="0.25"/>
    <row r="103747" s="12" customFormat="1" x14ac:dyDescent="0.25"/>
    <row r="103748" s="12" customFormat="1" x14ac:dyDescent="0.25"/>
    <row r="103749" s="12" customFormat="1" x14ac:dyDescent="0.25"/>
    <row r="103750" s="12" customFormat="1" x14ac:dyDescent="0.25"/>
    <row r="103751" s="12" customFormat="1" x14ac:dyDescent="0.25"/>
    <row r="103752" s="12" customFormat="1" x14ac:dyDescent="0.25"/>
    <row r="103753" s="12" customFormat="1" x14ac:dyDescent="0.25"/>
    <row r="103754" s="12" customFormat="1" x14ac:dyDescent="0.25"/>
    <row r="103755" s="12" customFormat="1" x14ac:dyDescent="0.25"/>
    <row r="103756" s="12" customFormat="1" x14ac:dyDescent="0.25"/>
    <row r="103757" s="12" customFormat="1" x14ac:dyDescent="0.25"/>
    <row r="103758" s="12" customFormat="1" x14ac:dyDescent="0.25"/>
    <row r="103759" s="12" customFormat="1" x14ac:dyDescent="0.25"/>
    <row r="103760" s="12" customFormat="1" x14ac:dyDescent="0.25"/>
    <row r="103761" s="12" customFormat="1" x14ac:dyDescent="0.25"/>
    <row r="103762" s="12" customFormat="1" x14ac:dyDescent="0.25"/>
    <row r="103763" s="12" customFormat="1" x14ac:dyDescent="0.25"/>
    <row r="103764" s="12" customFormat="1" x14ac:dyDescent="0.25"/>
    <row r="103765" s="12" customFormat="1" x14ac:dyDescent="0.25"/>
    <row r="103766" s="12" customFormat="1" x14ac:dyDescent="0.25"/>
    <row r="103767" s="12" customFormat="1" x14ac:dyDescent="0.25"/>
    <row r="103768" s="12" customFormat="1" x14ac:dyDescent="0.25"/>
    <row r="103769" s="12" customFormat="1" x14ac:dyDescent="0.25"/>
    <row r="103770" s="12" customFormat="1" x14ac:dyDescent="0.25"/>
    <row r="103771" s="12" customFormat="1" x14ac:dyDescent="0.25"/>
    <row r="103772" s="12" customFormat="1" x14ac:dyDescent="0.25"/>
    <row r="103773" s="12" customFormat="1" x14ac:dyDescent="0.25"/>
    <row r="103774" s="12" customFormat="1" x14ac:dyDescent="0.25"/>
    <row r="103775" s="12" customFormat="1" x14ac:dyDescent="0.25"/>
    <row r="103776" s="12" customFormat="1" x14ac:dyDescent="0.25"/>
    <row r="103777" s="12" customFormat="1" x14ac:dyDescent="0.25"/>
    <row r="103778" s="12" customFormat="1" x14ac:dyDescent="0.25"/>
    <row r="103779" s="12" customFormat="1" x14ac:dyDescent="0.25"/>
    <row r="103780" s="12" customFormat="1" x14ac:dyDescent="0.25"/>
    <row r="103781" s="12" customFormat="1" x14ac:dyDescent="0.25"/>
    <row r="103782" s="12" customFormat="1" x14ac:dyDescent="0.25"/>
    <row r="103783" s="12" customFormat="1" x14ac:dyDescent="0.25"/>
    <row r="103784" s="12" customFormat="1" x14ac:dyDescent="0.25"/>
    <row r="103785" s="12" customFormat="1" x14ac:dyDescent="0.25"/>
    <row r="103786" s="12" customFormat="1" x14ac:dyDescent="0.25"/>
    <row r="103787" s="12" customFormat="1" x14ac:dyDescent="0.25"/>
    <row r="103788" s="12" customFormat="1" x14ac:dyDescent="0.25"/>
    <row r="103789" s="12" customFormat="1" x14ac:dyDescent="0.25"/>
    <row r="103790" s="12" customFormat="1" x14ac:dyDescent="0.25"/>
    <row r="103791" s="12" customFormat="1" x14ac:dyDescent="0.25"/>
    <row r="103792" s="12" customFormat="1" x14ac:dyDescent="0.25"/>
    <row r="103793" s="12" customFormat="1" x14ac:dyDescent="0.25"/>
    <row r="103794" s="12" customFormat="1" x14ac:dyDescent="0.25"/>
    <row r="103795" s="12" customFormat="1" x14ac:dyDescent="0.25"/>
    <row r="103796" s="12" customFormat="1" x14ac:dyDescent="0.25"/>
    <row r="103797" s="12" customFormat="1" x14ac:dyDescent="0.25"/>
    <row r="103798" s="12" customFormat="1" x14ac:dyDescent="0.25"/>
    <row r="103799" s="12" customFormat="1" x14ac:dyDescent="0.25"/>
    <row r="103800" s="12" customFormat="1" x14ac:dyDescent="0.25"/>
    <row r="103801" s="12" customFormat="1" x14ac:dyDescent="0.25"/>
    <row r="103802" s="12" customFormat="1" x14ac:dyDescent="0.25"/>
    <row r="103803" s="12" customFormat="1" x14ac:dyDescent="0.25"/>
    <row r="103804" s="12" customFormat="1" x14ac:dyDescent="0.25"/>
    <row r="103805" s="12" customFormat="1" x14ac:dyDescent="0.25"/>
    <row r="103806" s="12" customFormat="1" x14ac:dyDescent="0.25"/>
    <row r="103807" s="12" customFormat="1" x14ac:dyDescent="0.25"/>
    <row r="103808" s="12" customFormat="1" x14ac:dyDescent="0.25"/>
    <row r="103809" s="12" customFormat="1" x14ac:dyDescent="0.25"/>
    <row r="103810" s="12" customFormat="1" x14ac:dyDescent="0.25"/>
    <row r="103811" s="12" customFormat="1" x14ac:dyDescent="0.25"/>
    <row r="103812" s="12" customFormat="1" x14ac:dyDescent="0.25"/>
    <row r="103813" s="12" customFormat="1" x14ac:dyDescent="0.25"/>
    <row r="103814" s="12" customFormat="1" x14ac:dyDescent="0.25"/>
    <row r="103815" s="12" customFormat="1" x14ac:dyDescent="0.25"/>
    <row r="103816" s="12" customFormat="1" x14ac:dyDescent="0.25"/>
    <row r="103817" s="12" customFormat="1" x14ac:dyDescent="0.25"/>
    <row r="103818" s="12" customFormat="1" x14ac:dyDescent="0.25"/>
    <row r="103819" s="12" customFormat="1" x14ac:dyDescent="0.25"/>
    <row r="103820" s="12" customFormat="1" x14ac:dyDescent="0.25"/>
    <row r="103821" s="12" customFormat="1" x14ac:dyDescent="0.25"/>
    <row r="103822" s="12" customFormat="1" x14ac:dyDescent="0.25"/>
    <row r="103823" s="12" customFormat="1" x14ac:dyDescent="0.25"/>
    <row r="103824" s="12" customFormat="1" x14ac:dyDescent="0.25"/>
    <row r="103825" s="12" customFormat="1" x14ac:dyDescent="0.25"/>
    <row r="103826" s="12" customFormat="1" x14ac:dyDescent="0.25"/>
    <row r="103827" s="12" customFormat="1" x14ac:dyDescent="0.25"/>
    <row r="103828" s="12" customFormat="1" x14ac:dyDescent="0.25"/>
    <row r="103829" s="12" customFormat="1" x14ac:dyDescent="0.25"/>
    <row r="103830" s="12" customFormat="1" x14ac:dyDescent="0.25"/>
    <row r="103831" s="12" customFormat="1" x14ac:dyDescent="0.25"/>
    <row r="103832" s="12" customFormat="1" x14ac:dyDescent="0.25"/>
    <row r="103833" s="12" customFormat="1" x14ac:dyDescent="0.25"/>
    <row r="103834" s="12" customFormat="1" x14ac:dyDescent="0.25"/>
    <row r="103835" s="12" customFormat="1" x14ac:dyDescent="0.25"/>
    <row r="103836" s="12" customFormat="1" x14ac:dyDescent="0.25"/>
    <row r="103837" s="12" customFormat="1" x14ac:dyDescent="0.25"/>
    <row r="103838" s="12" customFormat="1" x14ac:dyDescent="0.25"/>
    <row r="103839" s="12" customFormat="1" x14ac:dyDescent="0.25"/>
    <row r="103840" s="12" customFormat="1" x14ac:dyDescent="0.25"/>
    <row r="103841" s="12" customFormat="1" x14ac:dyDescent="0.25"/>
    <row r="103842" s="12" customFormat="1" x14ac:dyDescent="0.25"/>
    <row r="103843" s="12" customFormat="1" x14ac:dyDescent="0.25"/>
    <row r="103844" s="12" customFormat="1" x14ac:dyDescent="0.25"/>
    <row r="103845" s="12" customFormat="1" x14ac:dyDescent="0.25"/>
    <row r="103846" s="12" customFormat="1" x14ac:dyDescent="0.25"/>
    <row r="103847" s="12" customFormat="1" x14ac:dyDescent="0.25"/>
    <row r="103848" s="12" customFormat="1" x14ac:dyDescent="0.25"/>
    <row r="103849" s="12" customFormat="1" x14ac:dyDescent="0.25"/>
    <row r="103850" s="12" customFormat="1" x14ac:dyDescent="0.25"/>
    <row r="103851" s="12" customFormat="1" x14ac:dyDescent="0.25"/>
    <row r="103852" s="12" customFormat="1" x14ac:dyDescent="0.25"/>
    <row r="103853" s="12" customFormat="1" x14ac:dyDescent="0.25"/>
    <row r="103854" s="12" customFormat="1" x14ac:dyDescent="0.25"/>
    <row r="103855" s="12" customFormat="1" x14ac:dyDescent="0.25"/>
    <row r="103856" s="12" customFormat="1" x14ac:dyDescent="0.25"/>
    <row r="103857" s="12" customFormat="1" x14ac:dyDescent="0.25"/>
    <row r="103858" s="12" customFormat="1" x14ac:dyDescent="0.25"/>
    <row r="103859" s="12" customFormat="1" x14ac:dyDescent="0.25"/>
    <row r="103860" s="12" customFormat="1" x14ac:dyDescent="0.25"/>
    <row r="103861" s="12" customFormat="1" x14ac:dyDescent="0.25"/>
    <row r="103862" s="12" customFormat="1" x14ac:dyDescent="0.25"/>
    <row r="103863" s="12" customFormat="1" x14ac:dyDescent="0.25"/>
    <row r="103864" s="12" customFormat="1" x14ac:dyDescent="0.25"/>
    <row r="103865" s="12" customFormat="1" x14ac:dyDescent="0.25"/>
    <row r="103866" s="12" customFormat="1" x14ac:dyDescent="0.25"/>
    <row r="103867" s="12" customFormat="1" x14ac:dyDescent="0.25"/>
    <row r="103868" s="12" customFormat="1" x14ac:dyDescent="0.25"/>
    <row r="103869" s="12" customFormat="1" x14ac:dyDescent="0.25"/>
    <row r="103870" s="12" customFormat="1" x14ac:dyDescent="0.25"/>
    <row r="103871" s="12" customFormat="1" x14ac:dyDescent="0.25"/>
    <row r="103872" s="12" customFormat="1" x14ac:dyDescent="0.25"/>
    <row r="103873" s="12" customFormat="1" x14ac:dyDescent="0.25"/>
    <row r="103874" s="12" customFormat="1" x14ac:dyDescent="0.25"/>
    <row r="103875" s="12" customFormat="1" x14ac:dyDescent="0.25"/>
    <row r="103876" s="12" customFormat="1" x14ac:dyDescent="0.25"/>
    <row r="103877" s="12" customFormat="1" x14ac:dyDescent="0.25"/>
    <row r="103878" s="12" customFormat="1" x14ac:dyDescent="0.25"/>
    <row r="103879" s="12" customFormat="1" x14ac:dyDescent="0.25"/>
    <row r="103880" s="12" customFormat="1" x14ac:dyDescent="0.25"/>
    <row r="103881" s="12" customFormat="1" x14ac:dyDescent="0.25"/>
    <row r="103882" s="12" customFormat="1" x14ac:dyDescent="0.25"/>
    <row r="103883" s="12" customFormat="1" x14ac:dyDescent="0.25"/>
    <row r="103884" s="12" customFormat="1" x14ac:dyDescent="0.25"/>
    <row r="103885" s="12" customFormat="1" x14ac:dyDescent="0.25"/>
    <row r="103886" s="12" customFormat="1" x14ac:dyDescent="0.25"/>
    <row r="103887" s="12" customFormat="1" x14ac:dyDescent="0.25"/>
    <row r="103888" s="12" customFormat="1" x14ac:dyDescent="0.25"/>
    <row r="103889" s="12" customFormat="1" x14ac:dyDescent="0.25"/>
    <row r="103890" s="12" customFormat="1" x14ac:dyDescent="0.25"/>
    <row r="103891" s="12" customFormat="1" x14ac:dyDescent="0.25"/>
    <row r="103892" s="12" customFormat="1" x14ac:dyDescent="0.25"/>
    <row r="103893" s="12" customFormat="1" x14ac:dyDescent="0.25"/>
    <row r="103894" s="12" customFormat="1" x14ac:dyDescent="0.25"/>
    <row r="103895" s="12" customFormat="1" x14ac:dyDescent="0.25"/>
    <row r="103896" s="12" customFormat="1" x14ac:dyDescent="0.25"/>
    <row r="103897" s="12" customFormat="1" x14ac:dyDescent="0.25"/>
    <row r="103898" s="12" customFormat="1" x14ac:dyDescent="0.25"/>
    <row r="103899" s="12" customFormat="1" x14ac:dyDescent="0.25"/>
    <row r="103900" s="12" customFormat="1" x14ac:dyDescent="0.25"/>
    <row r="103901" s="12" customFormat="1" x14ac:dyDescent="0.25"/>
    <row r="103902" s="12" customFormat="1" x14ac:dyDescent="0.25"/>
    <row r="103903" s="12" customFormat="1" x14ac:dyDescent="0.25"/>
    <row r="103904" s="12" customFormat="1" x14ac:dyDescent="0.25"/>
    <row r="103905" s="12" customFormat="1" x14ac:dyDescent="0.25"/>
    <row r="103906" s="12" customFormat="1" x14ac:dyDescent="0.25"/>
    <row r="103907" s="12" customFormat="1" x14ac:dyDescent="0.25"/>
    <row r="103908" s="12" customFormat="1" x14ac:dyDescent="0.25"/>
    <row r="103909" s="12" customFormat="1" x14ac:dyDescent="0.25"/>
    <row r="103910" s="12" customFormat="1" x14ac:dyDescent="0.25"/>
    <row r="103911" s="12" customFormat="1" x14ac:dyDescent="0.25"/>
    <row r="103912" s="12" customFormat="1" x14ac:dyDescent="0.25"/>
    <row r="103913" s="12" customFormat="1" x14ac:dyDescent="0.25"/>
    <row r="103914" s="12" customFormat="1" x14ac:dyDescent="0.25"/>
    <row r="103915" s="12" customFormat="1" x14ac:dyDescent="0.25"/>
    <row r="103916" s="12" customFormat="1" x14ac:dyDescent="0.25"/>
    <row r="103917" s="12" customFormat="1" x14ac:dyDescent="0.25"/>
    <row r="103918" s="12" customFormat="1" x14ac:dyDescent="0.25"/>
    <row r="103919" s="12" customFormat="1" x14ac:dyDescent="0.25"/>
    <row r="103920" s="12" customFormat="1" x14ac:dyDescent="0.25"/>
    <row r="103921" s="12" customFormat="1" x14ac:dyDescent="0.25"/>
    <row r="103922" s="12" customFormat="1" x14ac:dyDescent="0.25"/>
    <row r="103923" s="12" customFormat="1" x14ac:dyDescent="0.25"/>
    <row r="103924" s="12" customFormat="1" x14ac:dyDescent="0.25"/>
    <row r="103925" s="12" customFormat="1" x14ac:dyDescent="0.25"/>
    <row r="103926" s="12" customFormat="1" x14ac:dyDescent="0.25"/>
    <row r="103927" s="12" customFormat="1" x14ac:dyDescent="0.25"/>
    <row r="103928" s="12" customFormat="1" x14ac:dyDescent="0.25"/>
    <row r="103929" s="12" customFormat="1" x14ac:dyDescent="0.25"/>
    <row r="103930" s="12" customFormat="1" x14ac:dyDescent="0.25"/>
    <row r="103931" s="12" customFormat="1" x14ac:dyDescent="0.25"/>
    <row r="103932" s="12" customFormat="1" x14ac:dyDescent="0.25"/>
    <row r="103933" s="12" customFormat="1" x14ac:dyDescent="0.25"/>
    <row r="103934" s="12" customFormat="1" x14ac:dyDescent="0.25"/>
    <row r="103935" s="12" customFormat="1" x14ac:dyDescent="0.25"/>
    <row r="103936" s="12" customFormat="1" x14ac:dyDescent="0.25"/>
    <row r="103937" s="12" customFormat="1" x14ac:dyDescent="0.25"/>
    <row r="103938" s="12" customFormat="1" x14ac:dyDescent="0.25"/>
    <row r="103939" s="12" customFormat="1" x14ac:dyDescent="0.25"/>
    <row r="103940" s="12" customFormat="1" x14ac:dyDescent="0.25"/>
    <row r="103941" s="12" customFormat="1" x14ac:dyDescent="0.25"/>
    <row r="103942" s="12" customFormat="1" x14ac:dyDescent="0.25"/>
    <row r="103943" s="12" customFormat="1" x14ac:dyDescent="0.25"/>
    <row r="103944" s="12" customFormat="1" x14ac:dyDescent="0.25"/>
    <row r="103945" s="12" customFormat="1" x14ac:dyDescent="0.25"/>
    <row r="103946" s="12" customFormat="1" x14ac:dyDescent="0.25"/>
    <row r="103947" s="12" customFormat="1" x14ac:dyDescent="0.25"/>
    <row r="103948" s="12" customFormat="1" x14ac:dyDescent="0.25"/>
    <row r="103949" s="12" customFormat="1" x14ac:dyDescent="0.25"/>
    <row r="103950" s="12" customFormat="1" x14ac:dyDescent="0.25"/>
    <row r="103951" s="12" customFormat="1" x14ac:dyDescent="0.25"/>
    <row r="103952" s="12" customFormat="1" x14ac:dyDescent="0.25"/>
    <row r="103953" s="12" customFormat="1" x14ac:dyDescent="0.25"/>
    <row r="103954" s="12" customFormat="1" x14ac:dyDescent="0.25"/>
    <row r="103955" s="12" customFormat="1" x14ac:dyDescent="0.25"/>
    <row r="103956" s="12" customFormat="1" x14ac:dyDescent="0.25"/>
    <row r="103957" s="12" customFormat="1" x14ac:dyDescent="0.25"/>
    <row r="103958" s="12" customFormat="1" x14ac:dyDescent="0.25"/>
    <row r="103959" s="12" customFormat="1" x14ac:dyDescent="0.25"/>
    <row r="103960" s="12" customFormat="1" x14ac:dyDescent="0.25"/>
    <row r="103961" s="12" customFormat="1" x14ac:dyDescent="0.25"/>
    <row r="103962" s="12" customFormat="1" x14ac:dyDescent="0.25"/>
    <row r="103963" s="12" customFormat="1" x14ac:dyDescent="0.25"/>
    <row r="103964" s="12" customFormat="1" x14ac:dyDescent="0.25"/>
    <row r="103965" s="12" customFormat="1" x14ac:dyDescent="0.25"/>
    <row r="103966" s="12" customFormat="1" x14ac:dyDescent="0.25"/>
    <row r="103967" s="12" customFormat="1" x14ac:dyDescent="0.25"/>
    <row r="103968" s="12" customFormat="1" x14ac:dyDescent="0.25"/>
    <row r="103969" s="12" customFormat="1" x14ac:dyDescent="0.25"/>
    <row r="103970" s="12" customFormat="1" x14ac:dyDescent="0.25"/>
    <row r="103971" s="12" customFormat="1" x14ac:dyDescent="0.25"/>
    <row r="103972" s="12" customFormat="1" x14ac:dyDescent="0.25"/>
    <row r="103973" s="12" customFormat="1" x14ac:dyDescent="0.25"/>
    <row r="103974" s="12" customFormat="1" x14ac:dyDescent="0.25"/>
    <row r="103975" s="12" customFormat="1" x14ac:dyDescent="0.25"/>
    <row r="103976" s="12" customFormat="1" x14ac:dyDescent="0.25"/>
    <row r="103977" s="12" customFormat="1" x14ac:dyDescent="0.25"/>
    <row r="103978" s="12" customFormat="1" x14ac:dyDescent="0.25"/>
    <row r="103979" s="12" customFormat="1" x14ac:dyDescent="0.25"/>
    <row r="103980" s="12" customFormat="1" x14ac:dyDescent="0.25"/>
    <row r="103981" s="12" customFormat="1" x14ac:dyDescent="0.25"/>
    <row r="103982" s="12" customFormat="1" x14ac:dyDescent="0.25"/>
    <row r="103983" s="12" customFormat="1" x14ac:dyDescent="0.25"/>
    <row r="103984" s="12" customFormat="1" x14ac:dyDescent="0.25"/>
    <row r="103985" s="12" customFormat="1" x14ac:dyDescent="0.25"/>
    <row r="103986" s="12" customFormat="1" x14ac:dyDescent="0.25"/>
    <row r="103987" s="12" customFormat="1" x14ac:dyDescent="0.25"/>
    <row r="103988" s="12" customFormat="1" x14ac:dyDescent="0.25"/>
    <row r="103989" s="12" customFormat="1" x14ac:dyDescent="0.25"/>
    <row r="103990" s="12" customFormat="1" x14ac:dyDescent="0.25"/>
    <row r="103991" s="12" customFormat="1" x14ac:dyDescent="0.25"/>
    <row r="103992" s="12" customFormat="1" x14ac:dyDescent="0.25"/>
    <row r="103993" s="12" customFormat="1" x14ac:dyDescent="0.25"/>
    <row r="103994" s="12" customFormat="1" x14ac:dyDescent="0.25"/>
    <row r="103995" s="12" customFormat="1" x14ac:dyDescent="0.25"/>
    <row r="103996" s="12" customFormat="1" x14ac:dyDescent="0.25"/>
    <row r="103997" s="12" customFormat="1" x14ac:dyDescent="0.25"/>
    <row r="103998" s="12" customFormat="1" x14ac:dyDescent="0.25"/>
    <row r="103999" s="12" customFormat="1" x14ac:dyDescent="0.25"/>
    <row r="104000" s="12" customFormat="1" x14ac:dyDescent="0.25"/>
    <row r="104001" s="12" customFormat="1" x14ac:dyDescent="0.25"/>
    <row r="104002" s="12" customFormat="1" x14ac:dyDescent="0.25"/>
    <row r="104003" s="12" customFormat="1" x14ac:dyDescent="0.25"/>
    <row r="104004" s="12" customFormat="1" x14ac:dyDescent="0.25"/>
    <row r="104005" s="12" customFormat="1" x14ac:dyDescent="0.25"/>
    <row r="104006" s="12" customFormat="1" x14ac:dyDescent="0.25"/>
    <row r="104007" s="12" customFormat="1" x14ac:dyDescent="0.25"/>
    <row r="104008" s="12" customFormat="1" x14ac:dyDescent="0.25"/>
    <row r="104009" s="12" customFormat="1" x14ac:dyDescent="0.25"/>
    <row r="104010" s="12" customFormat="1" x14ac:dyDescent="0.25"/>
    <row r="104011" s="12" customFormat="1" x14ac:dyDescent="0.25"/>
    <row r="104012" s="12" customFormat="1" x14ac:dyDescent="0.25"/>
    <row r="104013" s="12" customFormat="1" x14ac:dyDescent="0.25"/>
    <row r="104014" s="12" customFormat="1" x14ac:dyDescent="0.25"/>
    <row r="104015" s="12" customFormat="1" x14ac:dyDescent="0.25"/>
    <row r="104016" s="12" customFormat="1" x14ac:dyDescent="0.25"/>
    <row r="104017" s="12" customFormat="1" x14ac:dyDescent="0.25"/>
    <row r="104018" s="12" customFormat="1" x14ac:dyDescent="0.25"/>
    <row r="104019" s="12" customFormat="1" x14ac:dyDescent="0.25"/>
    <row r="104020" s="12" customFormat="1" x14ac:dyDescent="0.25"/>
    <row r="104021" s="12" customFormat="1" x14ac:dyDescent="0.25"/>
    <row r="104022" s="12" customFormat="1" x14ac:dyDescent="0.25"/>
    <row r="104023" s="12" customFormat="1" x14ac:dyDescent="0.25"/>
    <row r="104024" s="12" customFormat="1" x14ac:dyDescent="0.25"/>
    <row r="104025" s="12" customFormat="1" x14ac:dyDescent="0.25"/>
    <row r="104026" s="12" customFormat="1" x14ac:dyDescent="0.25"/>
    <row r="104027" s="12" customFormat="1" x14ac:dyDescent="0.25"/>
    <row r="104028" s="12" customFormat="1" x14ac:dyDescent="0.25"/>
    <row r="104029" s="12" customFormat="1" x14ac:dyDescent="0.25"/>
    <row r="104030" s="12" customFormat="1" x14ac:dyDescent="0.25"/>
    <row r="104031" s="12" customFormat="1" x14ac:dyDescent="0.25"/>
    <row r="104032" s="12" customFormat="1" x14ac:dyDescent="0.25"/>
    <row r="104033" s="12" customFormat="1" x14ac:dyDescent="0.25"/>
    <row r="104034" s="12" customFormat="1" x14ac:dyDescent="0.25"/>
    <row r="104035" s="12" customFormat="1" x14ac:dyDescent="0.25"/>
    <row r="104036" s="12" customFormat="1" x14ac:dyDescent="0.25"/>
    <row r="104037" s="12" customFormat="1" x14ac:dyDescent="0.25"/>
    <row r="104038" s="12" customFormat="1" x14ac:dyDescent="0.25"/>
    <row r="104039" s="12" customFormat="1" x14ac:dyDescent="0.25"/>
    <row r="104040" s="12" customFormat="1" x14ac:dyDescent="0.25"/>
    <row r="104041" s="12" customFormat="1" x14ac:dyDescent="0.25"/>
    <row r="104042" s="12" customFormat="1" x14ac:dyDescent="0.25"/>
    <row r="104043" s="12" customFormat="1" x14ac:dyDescent="0.25"/>
    <row r="104044" s="12" customFormat="1" x14ac:dyDescent="0.25"/>
    <row r="104045" s="12" customFormat="1" x14ac:dyDescent="0.25"/>
    <row r="104046" s="12" customFormat="1" x14ac:dyDescent="0.25"/>
    <row r="104047" s="12" customFormat="1" x14ac:dyDescent="0.25"/>
    <row r="104048" s="12" customFormat="1" x14ac:dyDescent="0.25"/>
    <row r="104049" s="12" customFormat="1" x14ac:dyDescent="0.25"/>
    <row r="104050" s="12" customFormat="1" x14ac:dyDescent="0.25"/>
    <row r="104051" s="12" customFormat="1" x14ac:dyDescent="0.25"/>
    <row r="104052" s="12" customFormat="1" x14ac:dyDescent="0.25"/>
    <row r="104053" s="12" customFormat="1" x14ac:dyDescent="0.25"/>
    <row r="104054" s="12" customFormat="1" x14ac:dyDescent="0.25"/>
    <row r="104055" s="12" customFormat="1" x14ac:dyDescent="0.25"/>
    <row r="104056" s="12" customFormat="1" x14ac:dyDescent="0.25"/>
    <row r="104057" s="12" customFormat="1" x14ac:dyDescent="0.25"/>
    <row r="104058" s="12" customFormat="1" x14ac:dyDescent="0.25"/>
    <row r="104059" s="12" customFormat="1" x14ac:dyDescent="0.25"/>
    <row r="104060" s="12" customFormat="1" x14ac:dyDescent="0.25"/>
    <row r="104061" s="12" customFormat="1" x14ac:dyDescent="0.25"/>
    <row r="104062" s="12" customFormat="1" x14ac:dyDescent="0.25"/>
    <row r="104063" s="12" customFormat="1" x14ac:dyDescent="0.25"/>
    <row r="104064" s="12" customFormat="1" x14ac:dyDescent="0.25"/>
    <row r="104065" s="12" customFormat="1" x14ac:dyDescent="0.25"/>
    <row r="104066" s="12" customFormat="1" x14ac:dyDescent="0.25"/>
    <row r="104067" s="12" customFormat="1" x14ac:dyDescent="0.25"/>
    <row r="104068" s="12" customFormat="1" x14ac:dyDescent="0.25"/>
    <row r="104069" s="12" customFormat="1" x14ac:dyDescent="0.25"/>
    <row r="104070" s="12" customFormat="1" x14ac:dyDescent="0.25"/>
    <row r="104071" s="12" customFormat="1" x14ac:dyDescent="0.25"/>
    <row r="104072" s="12" customFormat="1" x14ac:dyDescent="0.25"/>
    <row r="104073" s="12" customFormat="1" x14ac:dyDescent="0.25"/>
    <row r="104074" s="12" customFormat="1" x14ac:dyDescent="0.25"/>
    <row r="104075" s="12" customFormat="1" x14ac:dyDescent="0.25"/>
    <row r="104076" s="12" customFormat="1" x14ac:dyDescent="0.25"/>
    <row r="104077" s="12" customFormat="1" x14ac:dyDescent="0.25"/>
    <row r="104078" s="12" customFormat="1" x14ac:dyDescent="0.25"/>
    <row r="104079" s="12" customFormat="1" x14ac:dyDescent="0.25"/>
    <row r="104080" s="12" customFormat="1" x14ac:dyDescent="0.25"/>
    <row r="104081" s="12" customFormat="1" x14ac:dyDescent="0.25"/>
    <row r="104082" s="12" customFormat="1" x14ac:dyDescent="0.25"/>
    <row r="104083" s="12" customFormat="1" x14ac:dyDescent="0.25"/>
    <row r="104084" s="12" customFormat="1" x14ac:dyDescent="0.25"/>
    <row r="104085" s="12" customFormat="1" x14ac:dyDescent="0.25"/>
    <row r="104086" s="12" customFormat="1" x14ac:dyDescent="0.25"/>
    <row r="104087" s="12" customFormat="1" x14ac:dyDescent="0.25"/>
    <row r="104088" s="12" customFormat="1" x14ac:dyDescent="0.25"/>
    <row r="104089" s="12" customFormat="1" x14ac:dyDescent="0.25"/>
    <row r="104090" s="12" customFormat="1" x14ac:dyDescent="0.25"/>
    <row r="104091" s="12" customFormat="1" x14ac:dyDescent="0.25"/>
    <row r="104092" s="12" customFormat="1" x14ac:dyDescent="0.25"/>
    <row r="104093" s="12" customFormat="1" x14ac:dyDescent="0.25"/>
    <row r="104094" s="12" customFormat="1" x14ac:dyDescent="0.25"/>
    <row r="104095" s="12" customFormat="1" x14ac:dyDescent="0.25"/>
    <row r="104096" s="12" customFormat="1" x14ac:dyDescent="0.25"/>
    <row r="104097" s="12" customFormat="1" x14ac:dyDescent="0.25"/>
    <row r="104098" s="12" customFormat="1" x14ac:dyDescent="0.25"/>
    <row r="104099" s="12" customFormat="1" x14ac:dyDescent="0.25"/>
    <row r="104100" s="12" customFormat="1" x14ac:dyDescent="0.25"/>
    <row r="104101" s="12" customFormat="1" x14ac:dyDescent="0.25"/>
    <row r="104102" s="12" customFormat="1" x14ac:dyDescent="0.25"/>
    <row r="104103" s="12" customFormat="1" x14ac:dyDescent="0.25"/>
    <row r="104104" s="12" customFormat="1" x14ac:dyDescent="0.25"/>
    <row r="104105" s="12" customFormat="1" x14ac:dyDescent="0.25"/>
    <row r="104106" s="12" customFormat="1" x14ac:dyDescent="0.25"/>
    <row r="104107" s="12" customFormat="1" x14ac:dyDescent="0.25"/>
    <row r="104108" s="12" customFormat="1" x14ac:dyDescent="0.25"/>
    <row r="104109" s="12" customFormat="1" x14ac:dyDescent="0.25"/>
    <row r="104110" s="12" customFormat="1" x14ac:dyDescent="0.25"/>
    <row r="104111" s="12" customFormat="1" x14ac:dyDescent="0.25"/>
    <row r="104112" s="12" customFormat="1" x14ac:dyDescent="0.25"/>
    <row r="104113" s="12" customFormat="1" x14ac:dyDescent="0.25"/>
    <row r="104114" s="12" customFormat="1" x14ac:dyDescent="0.25"/>
    <row r="104115" s="12" customFormat="1" x14ac:dyDescent="0.25"/>
    <row r="104116" s="12" customFormat="1" x14ac:dyDescent="0.25"/>
    <row r="104117" s="12" customFormat="1" x14ac:dyDescent="0.25"/>
    <row r="104118" s="12" customFormat="1" x14ac:dyDescent="0.25"/>
    <row r="104119" s="12" customFormat="1" x14ac:dyDescent="0.25"/>
    <row r="104120" s="12" customFormat="1" x14ac:dyDescent="0.25"/>
    <row r="104121" s="12" customFormat="1" x14ac:dyDescent="0.25"/>
    <row r="104122" s="12" customFormat="1" x14ac:dyDescent="0.25"/>
    <row r="104123" s="12" customFormat="1" x14ac:dyDescent="0.25"/>
    <row r="104124" s="12" customFormat="1" x14ac:dyDescent="0.25"/>
    <row r="104125" s="12" customFormat="1" x14ac:dyDescent="0.25"/>
    <row r="104126" s="12" customFormat="1" x14ac:dyDescent="0.25"/>
    <row r="104127" s="12" customFormat="1" x14ac:dyDescent="0.25"/>
    <row r="104128" s="12" customFormat="1" x14ac:dyDescent="0.25"/>
    <row r="104129" s="12" customFormat="1" x14ac:dyDescent="0.25"/>
    <row r="104130" s="12" customFormat="1" x14ac:dyDescent="0.25"/>
    <row r="104131" s="12" customFormat="1" x14ac:dyDescent="0.25"/>
    <row r="104132" s="12" customFormat="1" x14ac:dyDescent="0.25"/>
    <row r="104133" s="12" customFormat="1" x14ac:dyDescent="0.25"/>
    <row r="104134" s="12" customFormat="1" x14ac:dyDescent="0.25"/>
    <row r="104135" s="12" customFormat="1" x14ac:dyDescent="0.25"/>
    <row r="104136" s="12" customFormat="1" x14ac:dyDescent="0.25"/>
    <row r="104137" s="12" customFormat="1" x14ac:dyDescent="0.25"/>
    <row r="104138" s="12" customFormat="1" x14ac:dyDescent="0.25"/>
    <row r="104139" s="12" customFormat="1" x14ac:dyDescent="0.25"/>
    <row r="104140" s="12" customFormat="1" x14ac:dyDescent="0.25"/>
    <row r="104141" s="12" customFormat="1" x14ac:dyDescent="0.25"/>
    <row r="104142" s="12" customFormat="1" x14ac:dyDescent="0.25"/>
    <row r="104143" s="12" customFormat="1" x14ac:dyDescent="0.25"/>
    <row r="104144" s="12" customFormat="1" x14ac:dyDescent="0.25"/>
    <row r="104145" s="12" customFormat="1" x14ac:dyDescent="0.25"/>
    <row r="104146" s="12" customFormat="1" x14ac:dyDescent="0.25"/>
    <row r="104147" s="12" customFormat="1" x14ac:dyDescent="0.25"/>
    <row r="104148" s="12" customFormat="1" x14ac:dyDescent="0.25"/>
    <row r="104149" s="12" customFormat="1" x14ac:dyDescent="0.25"/>
    <row r="104150" s="12" customFormat="1" x14ac:dyDescent="0.25"/>
    <row r="104151" s="12" customFormat="1" x14ac:dyDescent="0.25"/>
    <row r="104152" s="12" customFormat="1" x14ac:dyDescent="0.25"/>
    <row r="104153" s="12" customFormat="1" x14ac:dyDescent="0.25"/>
    <row r="104154" s="12" customFormat="1" x14ac:dyDescent="0.25"/>
    <row r="104155" s="12" customFormat="1" x14ac:dyDescent="0.25"/>
    <row r="104156" s="12" customFormat="1" x14ac:dyDescent="0.25"/>
    <row r="104157" s="12" customFormat="1" x14ac:dyDescent="0.25"/>
    <row r="104158" s="12" customFormat="1" x14ac:dyDescent="0.25"/>
    <row r="104159" s="12" customFormat="1" x14ac:dyDescent="0.25"/>
    <row r="104160" s="12" customFormat="1" x14ac:dyDescent="0.25"/>
    <row r="104161" s="12" customFormat="1" x14ac:dyDescent="0.25"/>
    <row r="104162" s="12" customFormat="1" x14ac:dyDescent="0.25"/>
    <row r="104163" s="12" customFormat="1" x14ac:dyDescent="0.25"/>
    <row r="104164" s="12" customFormat="1" x14ac:dyDescent="0.25"/>
    <row r="104165" s="12" customFormat="1" x14ac:dyDescent="0.25"/>
    <row r="104166" s="12" customFormat="1" x14ac:dyDescent="0.25"/>
    <row r="104167" s="12" customFormat="1" x14ac:dyDescent="0.25"/>
    <row r="104168" s="12" customFormat="1" x14ac:dyDescent="0.25"/>
    <row r="104169" s="12" customFormat="1" x14ac:dyDescent="0.25"/>
    <row r="104170" s="12" customFormat="1" x14ac:dyDescent="0.25"/>
    <row r="104171" s="12" customFormat="1" x14ac:dyDescent="0.25"/>
    <row r="104172" s="12" customFormat="1" x14ac:dyDescent="0.25"/>
    <row r="104173" s="12" customFormat="1" x14ac:dyDescent="0.25"/>
    <row r="104174" s="12" customFormat="1" x14ac:dyDescent="0.25"/>
    <row r="104175" s="12" customFormat="1" x14ac:dyDescent="0.25"/>
    <row r="104176" s="12" customFormat="1" x14ac:dyDescent="0.25"/>
    <row r="104177" s="12" customFormat="1" x14ac:dyDescent="0.25"/>
    <row r="104178" s="12" customFormat="1" x14ac:dyDescent="0.25"/>
    <row r="104179" s="12" customFormat="1" x14ac:dyDescent="0.25"/>
    <row r="104180" s="12" customFormat="1" x14ac:dyDescent="0.25"/>
    <row r="104181" s="12" customFormat="1" x14ac:dyDescent="0.25"/>
    <row r="104182" s="12" customFormat="1" x14ac:dyDescent="0.25"/>
    <row r="104183" s="12" customFormat="1" x14ac:dyDescent="0.25"/>
    <row r="104184" s="12" customFormat="1" x14ac:dyDescent="0.25"/>
    <row r="104185" s="12" customFormat="1" x14ac:dyDescent="0.25"/>
    <row r="104186" s="12" customFormat="1" x14ac:dyDescent="0.25"/>
    <row r="104187" s="12" customFormat="1" x14ac:dyDescent="0.25"/>
    <row r="104188" s="12" customFormat="1" x14ac:dyDescent="0.25"/>
    <row r="104189" s="12" customFormat="1" x14ac:dyDescent="0.25"/>
    <row r="104190" s="12" customFormat="1" x14ac:dyDescent="0.25"/>
    <row r="104191" s="12" customFormat="1" x14ac:dyDescent="0.25"/>
    <row r="104192" s="12" customFormat="1" x14ac:dyDescent="0.25"/>
    <row r="104193" s="12" customFormat="1" x14ac:dyDescent="0.25"/>
    <row r="104194" s="12" customFormat="1" x14ac:dyDescent="0.25"/>
    <row r="104195" s="12" customFormat="1" x14ac:dyDescent="0.25"/>
    <row r="104196" s="12" customFormat="1" x14ac:dyDescent="0.25"/>
    <row r="104197" s="12" customFormat="1" x14ac:dyDescent="0.25"/>
    <row r="104198" s="12" customFormat="1" x14ac:dyDescent="0.25"/>
    <row r="104199" s="12" customFormat="1" x14ac:dyDescent="0.25"/>
    <row r="104200" s="12" customFormat="1" x14ac:dyDescent="0.25"/>
    <row r="104201" s="12" customFormat="1" x14ac:dyDescent="0.25"/>
    <row r="104202" s="12" customFormat="1" x14ac:dyDescent="0.25"/>
    <row r="104203" s="12" customFormat="1" x14ac:dyDescent="0.25"/>
    <row r="104204" s="12" customFormat="1" x14ac:dyDescent="0.25"/>
    <row r="104205" s="12" customFormat="1" x14ac:dyDescent="0.25"/>
    <row r="104206" s="12" customFormat="1" x14ac:dyDescent="0.25"/>
    <row r="104207" s="12" customFormat="1" x14ac:dyDescent="0.25"/>
    <row r="104208" s="12" customFormat="1" x14ac:dyDescent="0.25"/>
    <row r="104209" s="12" customFormat="1" x14ac:dyDescent="0.25"/>
    <row r="104210" s="12" customFormat="1" x14ac:dyDescent="0.25"/>
    <row r="104211" s="12" customFormat="1" x14ac:dyDescent="0.25"/>
    <row r="104212" s="12" customFormat="1" x14ac:dyDescent="0.25"/>
    <row r="104213" s="12" customFormat="1" x14ac:dyDescent="0.25"/>
    <row r="104214" s="12" customFormat="1" x14ac:dyDescent="0.25"/>
    <row r="104215" s="12" customFormat="1" x14ac:dyDescent="0.25"/>
    <row r="104216" s="12" customFormat="1" x14ac:dyDescent="0.25"/>
    <row r="104217" s="12" customFormat="1" x14ac:dyDescent="0.25"/>
    <row r="104218" s="12" customFormat="1" x14ac:dyDescent="0.25"/>
    <row r="104219" s="12" customFormat="1" x14ac:dyDescent="0.25"/>
    <row r="104220" s="12" customFormat="1" x14ac:dyDescent="0.25"/>
    <row r="104221" s="12" customFormat="1" x14ac:dyDescent="0.25"/>
    <row r="104222" s="12" customFormat="1" x14ac:dyDescent="0.25"/>
    <row r="104223" s="12" customFormat="1" x14ac:dyDescent="0.25"/>
    <row r="104224" s="12" customFormat="1" x14ac:dyDescent="0.25"/>
    <row r="104225" s="12" customFormat="1" x14ac:dyDescent="0.25"/>
    <row r="104226" s="12" customFormat="1" x14ac:dyDescent="0.25"/>
    <row r="104227" s="12" customFormat="1" x14ac:dyDescent="0.25"/>
    <row r="104228" s="12" customFormat="1" x14ac:dyDescent="0.25"/>
    <row r="104229" s="12" customFormat="1" x14ac:dyDescent="0.25"/>
    <row r="104230" s="12" customFormat="1" x14ac:dyDescent="0.25"/>
    <row r="104231" s="12" customFormat="1" x14ac:dyDescent="0.25"/>
    <row r="104232" s="12" customFormat="1" x14ac:dyDescent="0.25"/>
    <row r="104233" s="12" customFormat="1" x14ac:dyDescent="0.25"/>
    <row r="104234" s="12" customFormat="1" x14ac:dyDescent="0.25"/>
    <row r="104235" s="12" customFormat="1" x14ac:dyDescent="0.25"/>
    <row r="104236" s="12" customFormat="1" x14ac:dyDescent="0.25"/>
    <row r="104237" s="12" customFormat="1" x14ac:dyDescent="0.25"/>
    <row r="104238" s="12" customFormat="1" x14ac:dyDescent="0.25"/>
    <row r="104239" s="12" customFormat="1" x14ac:dyDescent="0.25"/>
    <row r="104240" s="12" customFormat="1" x14ac:dyDescent="0.25"/>
    <row r="104241" s="12" customFormat="1" x14ac:dyDescent="0.25"/>
    <row r="104242" s="12" customFormat="1" x14ac:dyDescent="0.25"/>
    <row r="104243" s="12" customFormat="1" x14ac:dyDescent="0.25"/>
    <row r="104244" s="12" customFormat="1" x14ac:dyDescent="0.25"/>
    <row r="104245" s="12" customFormat="1" x14ac:dyDescent="0.25"/>
    <row r="104246" s="12" customFormat="1" x14ac:dyDescent="0.25"/>
    <row r="104247" s="12" customFormat="1" x14ac:dyDescent="0.25"/>
    <row r="104248" s="12" customFormat="1" x14ac:dyDescent="0.25"/>
    <row r="104249" s="12" customFormat="1" x14ac:dyDescent="0.25"/>
    <row r="104250" s="12" customFormat="1" x14ac:dyDescent="0.25"/>
    <row r="104251" s="12" customFormat="1" x14ac:dyDescent="0.25"/>
    <row r="104252" s="12" customFormat="1" x14ac:dyDescent="0.25"/>
    <row r="104253" s="12" customFormat="1" x14ac:dyDescent="0.25"/>
    <row r="104254" s="12" customFormat="1" x14ac:dyDescent="0.25"/>
    <row r="104255" s="12" customFormat="1" x14ac:dyDescent="0.25"/>
    <row r="104256" s="12" customFormat="1" x14ac:dyDescent="0.25"/>
    <row r="104257" s="12" customFormat="1" x14ac:dyDescent="0.25"/>
    <row r="104258" s="12" customFormat="1" x14ac:dyDescent="0.25"/>
    <row r="104259" s="12" customFormat="1" x14ac:dyDescent="0.25"/>
    <row r="104260" s="12" customFormat="1" x14ac:dyDescent="0.25"/>
    <row r="104261" s="12" customFormat="1" x14ac:dyDescent="0.25"/>
    <row r="104262" s="12" customFormat="1" x14ac:dyDescent="0.25"/>
    <row r="104263" s="12" customFormat="1" x14ac:dyDescent="0.25"/>
    <row r="104264" s="12" customFormat="1" x14ac:dyDescent="0.25"/>
    <row r="104265" s="12" customFormat="1" x14ac:dyDescent="0.25"/>
    <row r="104266" s="12" customFormat="1" x14ac:dyDescent="0.25"/>
    <row r="104267" s="12" customFormat="1" x14ac:dyDescent="0.25"/>
    <row r="104268" s="12" customFormat="1" x14ac:dyDescent="0.25"/>
    <row r="104269" s="12" customFormat="1" x14ac:dyDescent="0.25"/>
    <row r="104270" s="12" customFormat="1" x14ac:dyDescent="0.25"/>
    <row r="104271" s="12" customFormat="1" x14ac:dyDescent="0.25"/>
    <row r="104272" s="12" customFormat="1" x14ac:dyDescent="0.25"/>
    <row r="104273" s="12" customFormat="1" x14ac:dyDescent="0.25"/>
    <row r="104274" s="12" customFormat="1" x14ac:dyDescent="0.25"/>
    <row r="104275" s="12" customFormat="1" x14ac:dyDescent="0.25"/>
    <row r="104276" s="12" customFormat="1" x14ac:dyDescent="0.25"/>
    <row r="104277" s="12" customFormat="1" x14ac:dyDescent="0.25"/>
    <row r="104278" s="12" customFormat="1" x14ac:dyDescent="0.25"/>
    <row r="104279" s="12" customFormat="1" x14ac:dyDescent="0.25"/>
    <row r="104280" s="12" customFormat="1" x14ac:dyDescent="0.25"/>
    <row r="104281" s="12" customFormat="1" x14ac:dyDescent="0.25"/>
    <row r="104282" s="12" customFormat="1" x14ac:dyDescent="0.25"/>
    <row r="104283" s="12" customFormat="1" x14ac:dyDescent="0.25"/>
    <row r="104284" s="12" customFormat="1" x14ac:dyDescent="0.25"/>
    <row r="104285" s="12" customFormat="1" x14ac:dyDescent="0.25"/>
    <row r="104286" s="12" customFormat="1" x14ac:dyDescent="0.25"/>
    <row r="104287" s="12" customFormat="1" x14ac:dyDescent="0.25"/>
    <row r="104288" s="12" customFormat="1" x14ac:dyDescent="0.25"/>
    <row r="104289" s="12" customFormat="1" x14ac:dyDescent="0.25"/>
    <row r="104290" s="12" customFormat="1" x14ac:dyDescent="0.25"/>
    <row r="104291" s="12" customFormat="1" x14ac:dyDescent="0.25"/>
    <row r="104292" s="12" customFormat="1" x14ac:dyDescent="0.25"/>
    <row r="104293" s="12" customFormat="1" x14ac:dyDescent="0.25"/>
    <row r="104294" s="12" customFormat="1" x14ac:dyDescent="0.25"/>
    <row r="104295" s="12" customFormat="1" x14ac:dyDescent="0.25"/>
    <row r="104296" s="12" customFormat="1" x14ac:dyDescent="0.25"/>
    <row r="104297" s="12" customFormat="1" x14ac:dyDescent="0.25"/>
    <row r="104298" s="12" customFormat="1" x14ac:dyDescent="0.25"/>
    <row r="104299" s="12" customFormat="1" x14ac:dyDescent="0.25"/>
    <row r="104300" s="12" customFormat="1" x14ac:dyDescent="0.25"/>
    <row r="104301" s="12" customFormat="1" x14ac:dyDescent="0.25"/>
    <row r="104302" s="12" customFormat="1" x14ac:dyDescent="0.25"/>
    <row r="104303" s="12" customFormat="1" x14ac:dyDescent="0.25"/>
    <row r="104304" s="12" customFormat="1" x14ac:dyDescent="0.25"/>
    <row r="104305" s="12" customFormat="1" x14ac:dyDescent="0.25"/>
    <row r="104306" s="12" customFormat="1" x14ac:dyDescent="0.25"/>
    <row r="104307" s="12" customFormat="1" x14ac:dyDescent="0.25"/>
    <row r="104308" s="12" customFormat="1" x14ac:dyDescent="0.25"/>
    <row r="104309" s="12" customFormat="1" x14ac:dyDescent="0.25"/>
    <row r="104310" s="12" customFormat="1" x14ac:dyDescent="0.25"/>
    <row r="104311" s="12" customFormat="1" x14ac:dyDescent="0.25"/>
    <row r="104312" s="12" customFormat="1" x14ac:dyDescent="0.25"/>
    <row r="104313" s="12" customFormat="1" x14ac:dyDescent="0.25"/>
    <row r="104314" s="12" customFormat="1" x14ac:dyDescent="0.25"/>
    <row r="104315" s="12" customFormat="1" x14ac:dyDescent="0.25"/>
    <row r="104316" s="12" customFormat="1" x14ac:dyDescent="0.25"/>
    <row r="104317" s="12" customFormat="1" x14ac:dyDescent="0.25"/>
    <row r="104318" s="12" customFormat="1" x14ac:dyDescent="0.25"/>
    <row r="104319" s="12" customFormat="1" x14ac:dyDescent="0.25"/>
    <row r="104320" s="12" customFormat="1" x14ac:dyDescent="0.25"/>
    <row r="104321" s="12" customFormat="1" x14ac:dyDescent="0.25"/>
    <row r="104322" s="12" customFormat="1" x14ac:dyDescent="0.25"/>
    <row r="104323" s="12" customFormat="1" x14ac:dyDescent="0.25"/>
    <row r="104324" s="12" customFormat="1" x14ac:dyDescent="0.25"/>
    <row r="104325" s="12" customFormat="1" x14ac:dyDescent="0.25"/>
    <row r="104326" s="12" customFormat="1" x14ac:dyDescent="0.25"/>
    <row r="104327" s="12" customFormat="1" x14ac:dyDescent="0.25"/>
    <row r="104328" s="12" customFormat="1" x14ac:dyDescent="0.25"/>
    <row r="104329" s="12" customFormat="1" x14ac:dyDescent="0.25"/>
    <row r="104330" s="12" customFormat="1" x14ac:dyDescent="0.25"/>
    <row r="104331" s="12" customFormat="1" x14ac:dyDescent="0.25"/>
    <row r="104332" s="12" customFormat="1" x14ac:dyDescent="0.25"/>
    <row r="104333" s="12" customFormat="1" x14ac:dyDescent="0.25"/>
    <row r="104334" s="12" customFormat="1" x14ac:dyDescent="0.25"/>
    <row r="104335" s="12" customFormat="1" x14ac:dyDescent="0.25"/>
    <row r="104336" s="12" customFormat="1" x14ac:dyDescent="0.25"/>
    <row r="104337" s="12" customFormat="1" x14ac:dyDescent="0.25"/>
    <row r="104338" s="12" customFormat="1" x14ac:dyDescent="0.25"/>
    <row r="104339" s="12" customFormat="1" x14ac:dyDescent="0.25"/>
    <row r="104340" s="12" customFormat="1" x14ac:dyDescent="0.25"/>
    <row r="104341" s="12" customFormat="1" x14ac:dyDescent="0.25"/>
    <row r="104342" s="12" customFormat="1" x14ac:dyDescent="0.25"/>
    <row r="104343" s="12" customFormat="1" x14ac:dyDescent="0.25"/>
    <row r="104344" s="12" customFormat="1" x14ac:dyDescent="0.25"/>
    <row r="104345" s="12" customFormat="1" x14ac:dyDescent="0.25"/>
    <row r="104346" s="12" customFormat="1" x14ac:dyDescent="0.25"/>
    <row r="104347" s="12" customFormat="1" x14ac:dyDescent="0.25"/>
    <row r="104348" s="12" customFormat="1" x14ac:dyDescent="0.25"/>
    <row r="104349" s="12" customFormat="1" x14ac:dyDescent="0.25"/>
    <row r="104350" s="12" customFormat="1" x14ac:dyDescent="0.25"/>
    <row r="104351" s="12" customFormat="1" x14ac:dyDescent="0.25"/>
    <row r="104352" s="12" customFormat="1" x14ac:dyDescent="0.25"/>
    <row r="104353" s="12" customFormat="1" x14ac:dyDescent="0.25"/>
    <row r="104354" s="12" customFormat="1" x14ac:dyDescent="0.25"/>
    <row r="104355" s="12" customFormat="1" x14ac:dyDescent="0.25"/>
    <row r="104356" s="12" customFormat="1" x14ac:dyDescent="0.25"/>
    <row r="104357" s="12" customFormat="1" x14ac:dyDescent="0.25"/>
    <row r="104358" s="12" customFormat="1" x14ac:dyDescent="0.25"/>
    <row r="104359" s="12" customFormat="1" x14ac:dyDescent="0.25"/>
    <row r="104360" s="12" customFormat="1" x14ac:dyDescent="0.25"/>
    <row r="104361" s="12" customFormat="1" x14ac:dyDescent="0.25"/>
    <row r="104362" s="12" customFormat="1" x14ac:dyDescent="0.25"/>
    <row r="104363" s="12" customFormat="1" x14ac:dyDescent="0.25"/>
    <row r="104364" s="12" customFormat="1" x14ac:dyDescent="0.25"/>
    <row r="104365" s="12" customFormat="1" x14ac:dyDescent="0.25"/>
    <row r="104366" s="12" customFormat="1" x14ac:dyDescent="0.25"/>
    <row r="104367" s="12" customFormat="1" x14ac:dyDescent="0.25"/>
    <row r="104368" s="12" customFormat="1" x14ac:dyDescent="0.25"/>
    <row r="104369" s="12" customFormat="1" x14ac:dyDescent="0.25"/>
    <row r="104370" s="12" customFormat="1" x14ac:dyDescent="0.25"/>
    <row r="104371" s="12" customFormat="1" x14ac:dyDescent="0.25"/>
    <row r="104372" s="12" customFormat="1" x14ac:dyDescent="0.25"/>
    <row r="104373" s="12" customFormat="1" x14ac:dyDescent="0.25"/>
    <row r="104374" s="12" customFormat="1" x14ac:dyDescent="0.25"/>
    <row r="104375" s="12" customFormat="1" x14ac:dyDescent="0.25"/>
    <row r="104376" s="12" customFormat="1" x14ac:dyDescent="0.25"/>
    <row r="104377" s="12" customFormat="1" x14ac:dyDescent="0.25"/>
    <row r="104378" s="12" customFormat="1" x14ac:dyDescent="0.25"/>
    <row r="104379" s="12" customFormat="1" x14ac:dyDescent="0.25"/>
    <row r="104380" s="12" customFormat="1" x14ac:dyDescent="0.25"/>
    <row r="104381" s="12" customFormat="1" x14ac:dyDescent="0.25"/>
    <row r="104382" s="12" customFormat="1" x14ac:dyDescent="0.25"/>
    <row r="104383" s="12" customFormat="1" x14ac:dyDescent="0.25"/>
    <row r="104384" s="12" customFormat="1" x14ac:dyDescent="0.25"/>
    <row r="104385" s="12" customFormat="1" x14ac:dyDescent="0.25"/>
    <row r="104386" s="12" customFormat="1" x14ac:dyDescent="0.25"/>
    <row r="104387" s="12" customFormat="1" x14ac:dyDescent="0.25"/>
    <row r="104388" s="12" customFormat="1" x14ac:dyDescent="0.25"/>
    <row r="104389" s="12" customFormat="1" x14ac:dyDescent="0.25"/>
    <row r="104390" s="12" customFormat="1" x14ac:dyDescent="0.25"/>
    <row r="104391" s="12" customFormat="1" x14ac:dyDescent="0.25"/>
    <row r="104392" s="12" customFormat="1" x14ac:dyDescent="0.25"/>
    <row r="104393" s="12" customFormat="1" x14ac:dyDescent="0.25"/>
    <row r="104394" s="12" customFormat="1" x14ac:dyDescent="0.25"/>
    <row r="104395" s="12" customFormat="1" x14ac:dyDescent="0.25"/>
    <row r="104396" s="12" customFormat="1" x14ac:dyDescent="0.25"/>
    <row r="104397" s="12" customFormat="1" x14ac:dyDescent="0.25"/>
    <row r="104398" s="12" customFormat="1" x14ac:dyDescent="0.25"/>
    <row r="104399" s="12" customFormat="1" x14ac:dyDescent="0.25"/>
    <row r="104400" s="12" customFormat="1" x14ac:dyDescent="0.25"/>
    <row r="104401" s="12" customFormat="1" x14ac:dyDescent="0.25"/>
    <row r="104402" s="12" customFormat="1" x14ac:dyDescent="0.25"/>
    <row r="104403" s="12" customFormat="1" x14ac:dyDescent="0.25"/>
    <row r="104404" s="12" customFormat="1" x14ac:dyDescent="0.25"/>
    <row r="104405" s="12" customFormat="1" x14ac:dyDescent="0.25"/>
    <row r="104406" s="12" customFormat="1" x14ac:dyDescent="0.25"/>
    <row r="104407" s="12" customFormat="1" x14ac:dyDescent="0.25"/>
    <row r="104408" s="12" customFormat="1" x14ac:dyDescent="0.25"/>
    <row r="104409" s="12" customFormat="1" x14ac:dyDescent="0.25"/>
    <row r="104410" s="12" customFormat="1" x14ac:dyDescent="0.25"/>
    <row r="104411" s="12" customFormat="1" x14ac:dyDescent="0.25"/>
    <row r="104412" s="12" customFormat="1" x14ac:dyDescent="0.25"/>
    <row r="104413" s="12" customFormat="1" x14ac:dyDescent="0.25"/>
    <row r="104414" s="12" customFormat="1" x14ac:dyDescent="0.25"/>
    <row r="104415" s="12" customFormat="1" x14ac:dyDescent="0.25"/>
    <row r="104416" s="12" customFormat="1" x14ac:dyDescent="0.25"/>
    <row r="104417" s="12" customFormat="1" x14ac:dyDescent="0.25"/>
    <row r="104418" s="12" customFormat="1" x14ac:dyDescent="0.25"/>
    <row r="104419" s="12" customFormat="1" x14ac:dyDescent="0.25"/>
    <row r="104420" s="12" customFormat="1" x14ac:dyDescent="0.25"/>
    <row r="104421" s="12" customFormat="1" x14ac:dyDescent="0.25"/>
    <row r="104422" s="12" customFormat="1" x14ac:dyDescent="0.25"/>
    <row r="104423" s="12" customFormat="1" x14ac:dyDescent="0.25"/>
    <row r="104424" s="12" customFormat="1" x14ac:dyDescent="0.25"/>
    <row r="104425" s="12" customFormat="1" x14ac:dyDescent="0.25"/>
    <row r="104426" s="12" customFormat="1" x14ac:dyDescent="0.25"/>
    <row r="104427" s="12" customFormat="1" x14ac:dyDescent="0.25"/>
    <row r="104428" s="12" customFormat="1" x14ac:dyDescent="0.25"/>
    <row r="104429" s="12" customFormat="1" x14ac:dyDescent="0.25"/>
    <row r="104430" s="12" customFormat="1" x14ac:dyDescent="0.25"/>
    <row r="104431" s="12" customFormat="1" x14ac:dyDescent="0.25"/>
    <row r="104432" s="12" customFormat="1" x14ac:dyDescent="0.25"/>
    <row r="104433" s="12" customFormat="1" x14ac:dyDescent="0.25"/>
    <row r="104434" s="12" customFormat="1" x14ac:dyDescent="0.25"/>
    <row r="104435" s="12" customFormat="1" x14ac:dyDescent="0.25"/>
    <row r="104436" s="12" customFormat="1" x14ac:dyDescent="0.25"/>
    <row r="104437" s="12" customFormat="1" x14ac:dyDescent="0.25"/>
    <row r="104438" s="12" customFormat="1" x14ac:dyDescent="0.25"/>
    <row r="104439" s="12" customFormat="1" x14ac:dyDescent="0.25"/>
    <row r="104440" s="12" customFormat="1" x14ac:dyDescent="0.25"/>
    <row r="104441" s="12" customFormat="1" x14ac:dyDescent="0.25"/>
    <row r="104442" s="12" customFormat="1" x14ac:dyDescent="0.25"/>
    <row r="104443" s="12" customFormat="1" x14ac:dyDescent="0.25"/>
    <row r="104444" s="12" customFormat="1" x14ac:dyDescent="0.25"/>
    <row r="104445" s="12" customFormat="1" x14ac:dyDescent="0.25"/>
    <row r="104446" s="12" customFormat="1" x14ac:dyDescent="0.25"/>
    <row r="104447" s="12" customFormat="1" x14ac:dyDescent="0.25"/>
    <row r="104448" s="12" customFormat="1" x14ac:dyDescent="0.25"/>
    <row r="104449" s="12" customFormat="1" x14ac:dyDescent="0.25"/>
    <row r="104450" s="12" customFormat="1" x14ac:dyDescent="0.25"/>
    <row r="104451" s="12" customFormat="1" x14ac:dyDescent="0.25"/>
    <row r="104452" s="12" customFormat="1" x14ac:dyDescent="0.25"/>
    <row r="104453" s="12" customFormat="1" x14ac:dyDescent="0.25"/>
    <row r="104454" s="12" customFormat="1" x14ac:dyDescent="0.25"/>
    <row r="104455" s="12" customFormat="1" x14ac:dyDescent="0.25"/>
    <row r="104456" s="12" customFormat="1" x14ac:dyDescent="0.25"/>
    <row r="104457" s="12" customFormat="1" x14ac:dyDescent="0.25"/>
    <row r="104458" s="12" customFormat="1" x14ac:dyDescent="0.25"/>
    <row r="104459" s="12" customFormat="1" x14ac:dyDescent="0.25"/>
    <row r="104460" s="12" customFormat="1" x14ac:dyDescent="0.25"/>
    <row r="104461" s="12" customFormat="1" x14ac:dyDescent="0.25"/>
    <row r="104462" s="12" customFormat="1" x14ac:dyDescent="0.25"/>
    <row r="104463" s="12" customFormat="1" x14ac:dyDescent="0.25"/>
    <row r="104464" s="12" customFormat="1" x14ac:dyDescent="0.25"/>
    <row r="104465" s="12" customFormat="1" x14ac:dyDescent="0.25"/>
    <row r="104466" s="12" customFormat="1" x14ac:dyDescent="0.25"/>
    <row r="104467" s="12" customFormat="1" x14ac:dyDescent="0.25"/>
    <row r="104468" s="12" customFormat="1" x14ac:dyDescent="0.25"/>
    <row r="104469" s="12" customFormat="1" x14ac:dyDescent="0.25"/>
    <row r="104470" s="12" customFormat="1" x14ac:dyDescent="0.25"/>
    <row r="104471" s="12" customFormat="1" x14ac:dyDescent="0.25"/>
    <row r="104472" s="12" customFormat="1" x14ac:dyDescent="0.25"/>
    <row r="104473" s="12" customFormat="1" x14ac:dyDescent="0.25"/>
    <row r="104474" s="12" customFormat="1" x14ac:dyDescent="0.25"/>
    <row r="104475" s="12" customFormat="1" x14ac:dyDescent="0.25"/>
    <row r="104476" s="12" customFormat="1" x14ac:dyDescent="0.25"/>
    <row r="104477" s="12" customFormat="1" x14ac:dyDescent="0.25"/>
    <row r="104478" s="12" customFormat="1" x14ac:dyDescent="0.25"/>
    <row r="104479" s="12" customFormat="1" x14ac:dyDescent="0.25"/>
    <row r="104480" s="12" customFormat="1" x14ac:dyDescent="0.25"/>
    <row r="104481" s="12" customFormat="1" x14ac:dyDescent="0.25"/>
    <row r="104482" s="12" customFormat="1" x14ac:dyDescent="0.25"/>
    <row r="104483" s="12" customFormat="1" x14ac:dyDescent="0.25"/>
    <row r="104484" s="12" customFormat="1" x14ac:dyDescent="0.25"/>
    <row r="104485" s="12" customFormat="1" x14ac:dyDescent="0.25"/>
    <row r="104486" s="12" customFormat="1" x14ac:dyDescent="0.25"/>
    <row r="104487" s="12" customFormat="1" x14ac:dyDescent="0.25"/>
    <row r="104488" s="12" customFormat="1" x14ac:dyDescent="0.25"/>
    <row r="104489" s="12" customFormat="1" x14ac:dyDescent="0.25"/>
    <row r="104490" s="12" customFormat="1" x14ac:dyDescent="0.25"/>
    <row r="104491" s="12" customFormat="1" x14ac:dyDescent="0.25"/>
    <row r="104492" s="12" customFormat="1" x14ac:dyDescent="0.25"/>
    <row r="104493" s="12" customFormat="1" x14ac:dyDescent="0.25"/>
    <row r="104494" s="12" customFormat="1" x14ac:dyDescent="0.25"/>
    <row r="104495" s="12" customFormat="1" x14ac:dyDescent="0.25"/>
    <row r="104496" s="12" customFormat="1" x14ac:dyDescent="0.25"/>
    <row r="104497" s="12" customFormat="1" x14ac:dyDescent="0.25"/>
    <row r="104498" s="12" customFormat="1" x14ac:dyDescent="0.25"/>
    <row r="104499" s="12" customFormat="1" x14ac:dyDescent="0.25"/>
    <row r="104500" s="12" customFormat="1" x14ac:dyDescent="0.25"/>
    <row r="104501" s="12" customFormat="1" x14ac:dyDescent="0.25"/>
    <row r="104502" s="12" customFormat="1" x14ac:dyDescent="0.25"/>
    <row r="104503" s="12" customFormat="1" x14ac:dyDescent="0.25"/>
    <row r="104504" s="12" customFormat="1" x14ac:dyDescent="0.25"/>
    <row r="104505" s="12" customFormat="1" x14ac:dyDescent="0.25"/>
    <row r="104506" s="12" customFormat="1" x14ac:dyDescent="0.25"/>
    <row r="104507" s="12" customFormat="1" x14ac:dyDescent="0.25"/>
    <row r="104508" s="12" customFormat="1" x14ac:dyDescent="0.25"/>
    <row r="104509" s="12" customFormat="1" x14ac:dyDescent="0.25"/>
    <row r="104510" s="12" customFormat="1" x14ac:dyDescent="0.25"/>
    <row r="104511" s="12" customFormat="1" x14ac:dyDescent="0.25"/>
    <row r="104512" s="12" customFormat="1" x14ac:dyDescent="0.25"/>
    <row r="104513" s="12" customFormat="1" x14ac:dyDescent="0.25"/>
    <row r="104514" s="12" customFormat="1" x14ac:dyDescent="0.25"/>
    <row r="104515" s="12" customFormat="1" x14ac:dyDescent="0.25"/>
    <row r="104516" s="12" customFormat="1" x14ac:dyDescent="0.25"/>
    <row r="104517" s="12" customFormat="1" x14ac:dyDescent="0.25"/>
    <row r="104518" s="12" customFormat="1" x14ac:dyDescent="0.25"/>
    <row r="104519" s="12" customFormat="1" x14ac:dyDescent="0.25"/>
    <row r="104520" s="12" customFormat="1" x14ac:dyDescent="0.25"/>
    <row r="104521" s="12" customFormat="1" x14ac:dyDescent="0.25"/>
    <row r="104522" s="12" customFormat="1" x14ac:dyDescent="0.25"/>
    <row r="104523" s="12" customFormat="1" x14ac:dyDescent="0.25"/>
    <row r="104524" s="12" customFormat="1" x14ac:dyDescent="0.25"/>
    <row r="104525" s="12" customFormat="1" x14ac:dyDescent="0.25"/>
    <row r="104526" s="12" customFormat="1" x14ac:dyDescent="0.25"/>
    <row r="104527" s="12" customFormat="1" x14ac:dyDescent="0.25"/>
    <row r="104528" s="12" customFormat="1" x14ac:dyDescent="0.25"/>
    <row r="104529" s="12" customFormat="1" x14ac:dyDescent="0.25"/>
    <row r="104530" s="12" customFormat="1" x14ac:dyDescent="0.25"/>
    <row r="104531" s="12" customFormat="1" x14ac:dyDescent="0.25"/>
    <row r="104532" s="12" customFormat="1" x14ac:dyDescent="0.25"/>
    <row r="104533" s="12" customFormat="1" x14ac:dyDescent="0.25"/>
    <row r="104534" s="12" customFormat="1" x14ac:dyDescent="0.25"/>
    <row r="104535" s="12" customFormat="1" x14ac:dyDescent="0.25"/>
    <row r="104536" s="12" customFormat="1" x14ac:dyDescent="0.25"/>
    <row r="104537" s="12" customFormat="1" x14ac:dyDescent="0.25"/>
    <row r="104538" s="12" customFormat="1" x14ac:dyDescent="0.25"/>
    <row r="104539" s="12" customFormat="1" x14ac:dyDescent="0.25"/>
    <row r="104540" s="12" customFormat="1" x14ac:dyDescent="0.25"/>
    <row r="104541" s="12" customFormat="1" x14ac:dyDescent="0.25"/>
    <row r="104542" s="12" customFormat="1" x14ac:dyDescent="0.25"/>
    <row r="104543" s="12" customFormat="1" x14ac:dyDescent="0.25"/>
    <row r="104544" s="12" customFormat="1" x14ac:dyDescent="0.25"/>
    <row r="104545" s="12" customFormat="1" x14ac:dyDescent="0.25"/>
    <row r="104546" s="12" customFormat="1" x14ac:dyDescent="0.25"/>
    <row r="104547" s="12" customFormat="1" x14ac:dyDescent="0.25"/>
    <row r="104548" s="12" customFormat="1" x14ac:dyDescent="0.25"/>
    <row r="104549" s="12" customFormat="1" x14ac:dyDescent="0.25"/>
    <row r="104550" s="12" customFormat="1" x14ac:dyDescent="0.25"/>
    <row r="104551" s="12" customFormat="1" x14ac:dyDescent="0.25"/>
    <row r="104552" s="12" customFormat="1" x14ac:dyDescent="0.25"/>
    <row r="104553" s="12" customFormat="1" x14ac:dyDescent="0.25"/>
    <row r="104554" s="12" customFormat="1" x14ac:dyDescent="0.25"/>
    <row r="104555" s="12" customFormat="1" x14ac:dyDescent="0.25"/>
    <row r="104556" s="12" customFormat="1" x14ac:dyDescent="0.25"/>
    <row r="104557" s="12" customFormat="1" x14ac:dyDescent="0.25"/>
    <row r="104558" s="12" customFormat="1" x14ac:dyDescent="0.25"/>
    <row r="104559" s="12" customFormat="1" x14ac:dyDescent="0.25"/>
    <row r="104560" s="12" customFormat="1" x14ac:dyDescent="0.25"/>
    <row r="104561" s="12" customFormat="1" x14ac:dyDescent="0.25"/>
    <row r="104562" s="12" customFormat="1" x14ac:dyDescent="0.25"/>
    <row r="104563" s="12" customFormat="1" x14ac:dyDescent="0.25"/>
    <row r="104564" s="12" customFormat="1" x14ac:dyDescent="0.25"/>
    <row r="104565" s="12" customFormat="1" x14ac:dyDescent="0.25"/>
    <row r="104566" s="12" customFormat="1" x14ac:dyDescent="0.25"/>
    <row r="104567" s="12" customFormat="1" x14ac:dyDescent="0.25"/>
    <row r="104568" s="12" customFormat="1" x14ac:dyDescent="0.25"/>
    <row r="104569" s="12" customFormat="1" x14ac:dyDescent="0.25"/>
    <row r="104570" s="12" customFormat="1" x14ac:dyDescent="0.25"/>
    <row r="104571" s="12" customFormat="1" x14ac:dyDescent="0.25"/>
    <row r="104572" s="12" customFormat="1" x14ac:dyDescent="0.25"/>
    <row r="104573" s="12" customFormat="1" x14ac:dyDescent="0.25"/>
    <row r="104574" s="12" customFormat="1" x14ac:dyDescent="0.25"/>
    <row r="104575" s="12" customFormat="1" x14ac:dyDescent="0.25"/>
    <row r="104576" s="12" customFormat="1" x14ac:dyDescent="0.25"/>
    <row r="104577" s="12" customFormat="1" x14ac:dyDescent="0.25"/>
    <row r="104578" s="12" customFormat="1" x14ac:dyDescent="0.25"/>
    <row r="104579" s="12" customFormat="1" x14ac:dyDescent="0.25"/>
    <row r="104580" s="12" customFormat="1" x14ac:dyDescent="0.25"/>
    <row r="104581" s="12" customFormat="1" x14ac:dyDescent="0.25"/>
    <row r="104582" s="12" customFormat="1" x14ac:dyDescent="0.25"/>
    <row r="104583" s="12" customFormat="1" x14ac:dyDescent="0.25"/>
    <row r="104584" s="12" customFormat="1" x14ac:dyDescent="0.25"/>
    <row r="104585" s="12" customFormat="1" x14ac:dyDescent="0.25"/>
    <row r="104586" s="12" customFormat="1" x14ac:dyDescent="0.25"/>
    <row r="104587" s="12" customFormat="1" x14ac:dyDescent="0.25"/>
    <row r="104588" s="12" customFormat="1" x14ac:dyDescent="0.25"/>
    <row r="104589" s="12" customFormat="1" x14ac:dyDescent="0.25"/>
    <row r="104590" s="12" customFormat="1" x14ac:dyDescent="0.25"/>
    <row r="104591" s="12" customFormat="1" x14ac:dyDescent="0.25"/>
    <row r="104592" s="12" customFormat="1" x14ac:dyDescent="0.25"/>
    <row r="104593" s="12" customFormat="1" x14ac:dyDescent="0.25"/>
    <row r="104594" s="12" customFormat="1" x14ac:dyDescent="0.25"/>
    <row r="104595" s="12" customFormat="1" x14ac:dyDescent="0.25"/>
    <row r="104596" s="12" customFormat="1" x14ac:dyDescent="0.25"/>
    <row r="104597" s="12" customFormat="1" x14ac:dyDescent="0.25"/>
    <row r="104598" s="12" customFormat="1" x14ac:dyDescent="0.25"/>
    <row r="104599" s="12" customFormat="1" x14ac:dyDescent="0.25"/>
    <row r="104600" s="12" customFormat="1" x14ac:dyDescent="0.25"/>
    <row r="104601" s="12" customFormat="1" x14ac:dyDescent="0.25"/>
    <row r="104602" s="12" customFormat="1" x14ac:dyDescent="0.25"/>
    <row r="104603" s="12" customFormat="1" x14ac:dyDescent="0.25"/>
    <row r="104604" s="12" customFormat="1" x14ac:dyDescent="0.25"/>
    <row r="104605" s="12" customFormat="1" x14ac:dyDescent="0.25"/>
    <row r="104606" s="12" customFormat="1" x14ac:dyDescent="0.25"/>
    <row r="104607" s="12" customFormat="1" x14ac:dyDescent="0.25"/>
    <row r="104608" s="12" customFormat="1" x14ac:dyDescent="0.25"/>
    <row r="104609" s="12" customFormat="1" x14ac:dyDescent="0.25"/>
    <row r="104610" s="12" customFormat="1" x14ac:dyDescent="0.25"/>
    <row r="104611" s="12" customFormat="1" x14ac:dyDescent="0.25"/>
    <row r="104612" s="12" customFormat="1" x14ac:dyDescent="0.25"/>
    <row r="104613" s="12" customFormat="1" x14ac:dyDescent="0.25"/>
    <row r="104614" s="12" customFormat="1" x14ac:dyDescent="0.25"/>
    <row r="104615" s="12" customFormat="1" x14ac:dyDescent="0.25"/>
    <row r="104616" s="12" customFormat="1" x14ac:dyDescent="0.25"/>
    <row r="104617" s="12" customFormat="1" x14ac:dyDescent="0.25"/>
    <row r="104618" s="12" customFormat="1" x14ac:dyDescent="0.25"/>
    <row r="104619" s="12" customFormat="1" x14ac:dyDescent="0.25"/>
    <row r="104620" s="12" customFormat="1" x14ac:dyDescent="0.25"/>
    <row r="104621" s="12" customFormat="1" x14ac:dyDescent="0.25"/>
    <row r="104622" s="12" customFormat="1" x14ac:dyDescent="0.25"/>
    <row r="104623" s="12" customFormat="1" x14ac:dyDescent="0.25"/>
    <row r="104624" s="12" customFormat="1" x14ac:dyDescent="0.25"/>
    <row r="104625" s="12" customFormat="1" x14ac:dyDescent="0.25"/>
    <row r="104626" s="12" customFormat="1" x14ac:dyDescent="0.25"/>
    <row r="104627" s="12" customFormat="1" x14ac:dyDescent="0.25"/>
    <row r="104628" s="12" customFormat="1" x14ac:dyDescent="0.25"/>
    <row r="104629" s="12" customFormat="1" x14ac:dyDescent="0.25"/>
    <row r="104630" s="12" customFormat="1" x14ac:dyDescent="0.25"/>
    <row r="104631" s="12" customFormat="1" x14ac:dyDescent="0.25"/>
    <row r="104632" s="12" customFormat="1" x14ac:dyDescent="0.25"/>
    <row r="104633" s="12" customFormat="1" x14ac:dyDescent="0.25"/>
    <row r="104634" s="12" customFormat="1" x14ac:dyDescent="0.25"/>
    <row r="104635" s="12" customFormat="1" x14ac:dyDescent="0.25"/>
    <row r="104636" s="12" customFormat="1" x14ac:dyDescent="0.25"/>
    <row r="104637" s="12" customFormat="1" x14ac:dyDescent="0.25"/>
    <row r="104638" s="12" customFormat="1" x14ac:dyDescent="0.25"/>
    <row r="104639" s="12" customFormat="1" x14ac:dyDescent="0.25"/>
    <row r="104640" s="12" customFormat="1" x14ac:dyDescent="0.25"/>
    <row r="104641" s="12" customFormat="1" x14ac:dyDescent="0.25"/>
    <row r="104642" s="12" customFormat="1" x14ac:dyDescent="0.25"/>
    <row r="104643" s="12" customFormat="1" x14ac:dyDescent="0.25"/>
    <row r="104644" s="12" customFormat="1" x14ac:dyDescent="0.25"/>
    <row r="104645" s="12" customFormat="1" x14ac:dyDescent="0.25"/>
    <row r="104646" s="12" customFormat="1" x14ac:dyDescent="0.25"/>
    <row r="104647" s="12" customFormat="1" x14ac:dyDescent="0.25"/>
    <row r="104648" s="12" customFormat="1" x14ac:dyDescent="0.25"/>
    <row r="104649" s="12" customFormat="1" x14ac:dyDescent="0.25"/>
    <row r="104650" s="12" customFormat="1" x14ac:dyDescent="0.25"/>
    <row r="104651" s="12" customFormat="1" x14ac:dyDescent="0.25"/>
    <row r="104652" s="12" customFormat="1" x14ac:dyDescent="0.25"/>
    <row r="104653" s="12" customFormat="1" x14ac:dyDescent="0.25"/>
    <row r="104654" s="12" customFormat="1" x14ac:dyDescent="0.25"/>
    <row r="104655" s="12" customFormat="1" x14ac:dyDescent="0.25"/>
    <row r="104656" s="12" customFormat="1" x14ac:dyDescent="0.25"/>
    <row r="104657" s="12" customFormat="1" x14ac:dyDescent="0.25"/>
    <row r="104658" s="12" customFormat="1" x14ac:dyDescent="0.25"/>
    <row r="104659" s="12" customFormat="1" x14ac:dyDescent="0.25"/>
    <row r="104660" s="12" customFormat="1" x14ac:dyDescent="0.25"/>
    <row r="104661" s="12" customFormat="1" x14ac:dyDescent="0.25"/>
    <row r="104662" s="12" customFormat="1" x14ac:dyDescent="0.25"/>
    <row r="104663" s="12" customFormat="1" x14ac:dyDescent="0.25"/>
    <row r="104664" s="12" customFormat="1" x14ac:dyDescent="0.25"/>
    <row r="104665" s="12" customFormat="1" x14ac:dyDescent="0.25"/>
    <row r="104666" s="12" customFormat="1" x14ac:dyDescent="0.25"/>
    <row r="104667" s="12" customFormat="1" x14ac:dyDescent="0.25"/>
    <row r="104668" s="12" customFormat="1" x14ac:dyDescent="0.25"/>
    <row r="104669" s="12" customFormat="1" x14ac:dyDescent="0.25"/>
    <row r="104670" s="12" customFormat="1" x14ac:dyDescent="0.25"/>
    <row r="104671" s="12" customFormat="1" x14ac:dyDescent="0.25"/>
    <row r="104672" s="12" customFormat="1" x14ac:dyDescent="0.25"/>
    <row r="104673" s="12" customFormat="1" x14ac:dyDescent="0.25"/>
    <row r="104674" s="12" customFormat="1" x14ac:dyDescent="0.25"/>
    <row r="104675" s="12" customFormat="1" x14ac:dyDescent="0.25"/>
    <row r="104676" s="12" customFormat="1" x14ac:dyDescent="0.25"/>
    <row r="104677" s="12" customFormat="1" x14ac:dyDescent="0.25"/>
    <row r="104678" s="12" customFormat="1" x14ac:dyDescent="0.25"/>
    <row r="104679" s="12" customFormat="1" x14ac:dyDescent="0.25"/>
    <row r="104680" s="12" customFormat="1" x14ac:dyDescent="0.25"/>
    <row r="104681" s="12" customFormat="1" x14ac:dyDescent="0.25"/>
    <row r="104682" s="12" customFormat="1" x14ac:dyDescent="0.25"/>
    <row r="104683" s="12" customFormat="1" x14ac:dyDescent="0.25"/>
    <row r="104684" s="12" customFormat="1" x14ac:dyDescent="0.25"/>
    <row r="104685" s="12" customFormat="1" x14ac:dyDescent="0.25"/>
    <row r="104686" s="12" customFormat="1" x14ac:dyDescent="0.25"/>
    <row r="104687" s="12" customFormat="1" x14ac:dyDescent="0.25"/>
    <row r="104688" s="12" customFormat="1" x14ac:dyDescent="0.25"/>
    <row r="104689" s="12" customFormat="1" x14ac:dyDescent="0.25"/>
    <row r="104690" s="12" customFormat="1" x14ac:dyDescent="0.25"/>
    <row r="104691" s="12" customFormat="1" x14ac:dyDescent="0.25"/>
    <row r="104692" s="12" customFormat="1" x14ac:dyDescent="0.25"/>
    <row r="104693" s="12" customFormat="1" x14ac:dyDescent="0.25"/>
    <row r="104694" s="12" customFormat="1" x14ac:dyDescent="0.25"/>
    <row r="104695" s="12" customFormat="1" x14ac:dyDescent="0.25"/>
    <row r="104696" s="12" customFormat="1" x14ac:dyDescent="0.25"/>
    <row r="104697" s="12" customFormat="1" x14ac:dyDescent="0.25"/>
    <row r="104698" s="12" customFormat="1" x14ac:dyDescent="0.25"/>
    <row r="104699" s="12" customFormat="1" x14ac:dyDescent="0.25"/>
    <row r="104700" s="12" customFormat="1" x14ac:dyDescent="0.25"/>
    <row r="104701" s="12" customFormat="1" x14ac:dyDescent="0.25"/>
    <row r="104702" s="12" customFormat="1" x14ac:dyDescent="0.25"/>
    <row r="104703" s="12" customFormat="1" x14ac:dyDescent="0.25"/>
    <row r="104704" s="12" customFormat="1" x14ac:dyDescent="0.25"/>
    <row r="104705" s="12" customFormat="1" x14ac:dyDescent="0.25"/>
    <row r="104706" s="12" customFormat="1" x14ac:dyDescent="0.25"/>
    <row r="104707" s="12" customFormat="1" x14ac:dyDescent="0.25"/>
    <row r="104708" s="12" customFormat="1" x14ac:dyDescent="0.25"/>
    <row r="104709" s="12" customFormat="1" x14ac:dyDescent="0.25"/>
    <row r="104710" s="12" customFormat="1" x14ac:dyDescent="0.25"/>
    <row r="104711" s="12" customFormat="1" x14ac:dyDescent="0.25"/>
    <row r="104712" s="12" customFormat="1" x14ac:dyDescent="0.25"/>
    <row r="104713" s="12" customFormat="1" x14ac:dyDescent="0.25"/>
    <row r="104714" s="12" customFormat="1" x14ac:dyDescent="0.25"/>
    <row r="104715" s="12" customFormat="1" x14ac:dyDescent="0.25"/>
    <row r="104716" s="12" customFormat="1" x14ac:dyDescent="0.25"/>
    <row r="104717" s="12" customFormat="1" x14ac:dyDescent="0.25"/>
    <row r="104718" s="12" customFormat="1" x14ac:dyDescent="0.25"/>
    <row r="104719" s="12" customFormat="1" x14ac:dyDescent="0.25"/>
    <row r="104720" s="12" customFormat="1" x14ac:dyDescent="0.25"/>
    <row r="104721" s="12" customFormat="1" x14ac:dyDescent="0.25"/>
    <row r="104722" s="12" customFormat="1" x14ac:dyDescent="0.25"/>
    <row r="104723" s="12" customFormat="1" x14ac:dyDescent="0.25"/>
    <row r="104724" s="12" customFormat="1" x14ac:dyDescent="0.25"/>
    <row r="104725" s="12" customFormat="1" x14ac:dyDescent="0.25"/>
    <row r="104726" s="12" customFormat="1" x14ac:dyDescent="0.25"/>
    <row r="104727" s="12" customFormat="1" x14ac:dyDescent="0.25"/>
    <row r="104728" s="12" customFormat="1" x14ac:dyDescent="0.25"/>
    <row r="104729" s="12" customFormat="1" x14ac:dyDescent="0.25"/>
    <row r="104730" s="12" customFormat="1" x14ac:dyDescent="0.25"/>
    <row r="104731" s="12" customFormat="1" x14ac:dyDescent="0.25"/>
    <row r="104732" s="12" customFormat="1" x14ac:dyDescent="0.25"/>
    <row r="104733" s="12" customFormat="1" x14ac:dyDescent="0.25"/>
    <row r="104734" s="12" customFormat="1" x14ac:dyDescent="0.25"/>
    <row r="104735" s="12" customFormat="1" x14ac:dyDescent="0.25"/>
    <row r="104736" s="12" customFormat="1" x14ac:dyDescent="0.25"/>
    <row r="104737" s="12" customFormat="1" x14ac:dyDescent="0.25"/>
    <row r="104738" s="12" customFormat="1" x14ac:dyDescent="0.25"/>
    <row r="104739" s="12" customFormat="1" x14ac:dyDescent="0.25"/>
    <row r="104740" s="12" customFormat="1" x14ac:dyDescent="0.25"/>
    <row r="104741" s="12" customFormat="1" x14ac:dyDescent="0.25"/>
    <row r="104742" s="12" customFormat="1" x14ac:dyDescent="0.25"/>
    <row r="104743" s="12" customFormat="1" x14ac:dyDescent="0.25"/>
    <row r="104744" s="12" customFormat="1" x14ac:dyDescent="0.25"/>
    <row r="104745" s="12" customFormat="1" x14ac:dyDescent="0.25"/>
    <row r="104746" s="12" customFormat="1" x14ac:dyDescent="0.25"/>
    <row r="104747" s="12" customFormat="1" x14ac:dyDescent="0.25"/>
    <row r="104748" s="12" customFormat="1" x14ac:dyDescent="0.25"/>
    <row r="104749" s="12" customFormat="1" x14ac:dyDescent="0.25"/>
    <row r="104750" s="12" customFormat="1" x14ac:dyDescent="0.25"/>
    <row r="104751" s="12" customFormat="1" x14ac:dyDescent="0.25"/>
    <row r="104752" s="12" customFormat="1" x14ac:dyDescent="0.25"/>
    <row r="104753" s="12" customFormat="1" x14ac:dyDescent="0.25"/>
    <row r="104754" s="12" customFormat="1" x14ac:dyDescent="0.25"/>
    <row r="104755" s="12" customFormat="1" x14ac:dyDescent="0.25"/>
    <row r="104756" s="12" customFormat="1" x14ac:dyDescent="0.25"/>
    <row r="104757" s="12" customFormat="1" x14ac:dyDescent="0.25"/>
    <row r="104758" s="12" customFormat="1" x14ac:dyDescent="0.25"/>
    <row r="104759" s="12" customFormat="1" x14ac:dyDescent="0.25"/>
    <row r="104760" s="12" customFormat="1" x14ac:dyDescent="0.25"/>
    <row r="104761" s="12" customFormat="1" x14ac:dyDescent="0.25"/>
    <row r="104762" s="12" customFormat="1" x14ac:dyDescent="0.25"/>
    <row r="104763" s="12" customFormat="1" x14ac:dyDescent="0.25"/>
    <row r="104764" s="12" customFormat="1" x14ac:dyDescent="0.25"/>
    <row r="104765" s="12" customFormat="1" x14ac:dyDescent="0.25"/>
    <row r="104766" s="12" customFormat="1" x14ac:dyDescent="0.25"/>
    <row r="104767" s="12" customFormat="1" x14ac:dyDescent="0.25"/>
    <row r="104768" s="12" customFormat="1" x14ac:dyDescent="0.25"/>
    <row r="104769" s="12" customFormat="1" x14ac:dyDescent="0.25"/>
    <row r="104770" s="12" customFormat="1" x14ac:dyDescent="0.25"/>
    <row r="104771" s="12" customFormat="1" x14ac:dyDescent="0.25"/>
    <row r="104772" s="12" customFormat="1" x14ac:dyDescent="0.25"/>
    <row r="104773" s="12" customFormat="1" x14ac:dyDescent="0.25"/>
    <row r="104774" s="12" customFormat="1" x14ac:dyDescent="0.25"/>
    <row r="104775" s="12" customFormat="1" x14ac:dyDescent="0.25"/>
    <row r="104776" s="12" customFormat="1" x14ac:dyDescent="0.25"/>
    <row r="104777" s="12" customFormat="1" x14ac:dyDescent="0.25"/>
    <row r="104778" s="12" customFormat="1" x14ac:dyDescent="0.25"/>
    <row r="104779" s="12" customFormat="1" x14ac:dyDescent="0.25"/>
    <row r="104780" s="12" customFormat="1" x14ac:dyDescent="0.25"/>
    <row r="104781" s="12" customFormat="1" x14ac:dyDescent="0.25"/>
    <row r="104782" s="12" customFormat="1" x14ac:dyDescent="0.25"/>
    <row r="104783" s="12" customFormat="1" x14ac:dyDescent="0.25"/>
    <row r="104784" s="12" customFormat="1" x14ac:dyDescent="0.25"/>
    <row r="104785" s="12" customFormat="1" x14ac:dyDescent="0.25"/>
    <row r="104786" s="12" customFormat="1" x14ac:dyDescent="0.25"/>
    <row r="104787" s="12" customFormat="1" x14ac:dyDescent="0.25"/>
    <row r="104788" s="12" customFormat="1" x14ac:dyDescent="0.25"/>
    <row r="104789" s="12" customFormat="1" x14ac:dyDescent="0.25"/>
    <row r="104790" s="12" customFormat="1" x14ac:dyDescent="0.25"/>
    <row r="104791" s="12" customFormat="1" x14ac:dyDescent="0.25"/>
    <row r="104792" s="12" customFormat="1" x14ac:dyDescent="0.25"/>
    <row r="104793" s="12" customFormat="1" x14ac:dyDescent="0.25"/>
    <row r="104794" s="12" customFormat="1" x14ac:dyDescent="0.25"/>
    <row r="104795" s="12" customFormat="1" x14ac:dyDescent="0.25"/>
    <row r="104796" s="12" customFormat="1" x14ac:dyDescent="0.25"/>
    <row r="104797" s="12" customFormat="1" x14ac:dyDescent="0.25"/>
    <row r="104798" s="12" customFormat="1" x14ac:dyDescent="0.25"/>
    <row r="104799" s="12" customFormat="1" x14ac:dyDescent="0.25"/>
    <row r="104800" s="12" customFormat="1" x14ac:dyDescent="0.25"/>
    <row r="104801" s="12" customFormat="1" x14ac:dyDescent="0.25"/>
    <row r="104802" s="12" customFormat="1" x14ac:dyDescent="0.25"/>
    <row r="104803" s="12" customFormat="1" x14ac:dyDescent="0.25"/>
    <row r="104804" s="12" customFormat="1" x14ac:dyDescent="0.25"/>
    <row r="104805" s="12" customFormat="1" x14ac:dyDescent="0.25"/>
    <row r="104806" s="12" customFormat="1" x14ac:dyDescent="0.25"/>
    <row r="104807" s="12" customFormat="1" x14ac:dyDescent="0.25"/>
    <row r="104808" s="12" customFormat="1" x14ac:dyDescent="0.25"/>
    <row r="104809" s="12" customFormat="1" x14ac:dyDescent="0.25"/>
    <row r="104810" s="12" customFormat="1" x14ac:dyDescent="0.25"/>
    <row r="104811" s="12" customFormat="1" x14ac:dyDescent="0.25"/>
    <row r="104812" s="12" customFormat="1" x14ac:dyDescent="0.25"/>
    <row r="104813" s="12" customFormat="1" x14ac:dyDescent="0.25"/>
    <row r="104814" s="12" customFormat="1" x14ac:dyDescent="0.25"/>
    <row r="104815" s="12" customFormat="1" x14ac:dyDescent="0.25"/>
    <row r="104816" s="12" customFormat="1" x14ac:dyDescent="0.25"/>
    <row r="104817" s="12" customFormat="1" x14ac:dyDescent="0.25"/>
    <row r="104818" s="12" customFormat="1" x14ac:dyDescent="0.25"/>
    <row r="104819" s="12" customFormat="1" x14ac:dyDescent="0.25"/>
    <row r="104820" s="12" customFormat="1" x14ac:dyDescent="0.25"/>
    <row r="104821" s="12" customFormat="1" x14ac:dyDescent="0.25"/>
    <row r="104822" s="12" customFormat="1" x14ac:dyDescent="0.25"/>
    <row r="104823" s="12" customFormat="1" x14ac:dyDescent="0.25"/>
    <row r="104824" s="12" customFormat="1" x14ac:dyDescent="0.25"/>
    <row r="104825" s="12" customFormat="1" x14ac:dyDescent="0.25"/>
    <row r="104826" s="12" customFormat="1" x14ac:dyDescent="0.25"/>
    <row r="104827" s="12" customFormat="1" x14ac:dyDescent="0.25"/>
    <row r="104828" s="12" customFormat="1" x14ac:dyDescent="0.25"/>
    <row r="104829" s="12" customFormat="1" x14ac:dyDescent="0.25"/>
    <row r="104830" s="12" customFormat="1" x14ac:dyDescent="0.25"/>
    <row r="104831" s="12" customFormat="1" x14ac:dyDescent="0.25"/>
    <row r="104832" s="12" customFormat="1" x14ac:dyDescent="0.25"/>
    <row r="104833" s="12" customFormat="1" x14ac:dyDescent="0.25"/>
    <row r="104834" s="12" customFormat="1" x14ac:dyDescent="0.25"/>
    <row r="104835" s="12" customFormat="1" x14ac:dyDescent="0.25"/>
    <row r="104836" s="12" customFormat="1" x14ac:dyDescent="0.25"/>
    <row r="104837" s="12" customFormat="1" x14ac:dyDescent="0.25"/>
    <row r="104838" s="12" customFormat="1" x14ac:dyDescent="0.25"/>
    <row r="104839" s="12" customFormat="1" x14ac:dyDescent="0.25"/>
    <row r="104840" s="12" customFormat="1" x14ac:dyDescent="0.25"/>
    <row r="104841" s="12" customFormat="1" x14ac:dyDescent="0.25"/>
    <row r="104842" s="12" customFormat="1" x14ac:dyDescent="0.25"/>
    <row r="104843" s="12" customFormat="1" x14ac:dyDescent="0.25"/>
    <row r="104844" s="12" customFormat="1" x14ac:dyDescent="0.25"/>
    <row r="104845" s="12" customFormat="1" x14ac:dyDescent="0.25"/>
    <row r="104846" s="12" customFormat="1" x14ac:dyDescent="0.25"/>
    <row r="104847" s="12" customFormat="1" x14ac:dyDescent="0.25"/>
    <row r="104848" s="12" customFormat="1" x14ac:dyDescent="0.25"/>
    <row r="104849" s="12" customFormat="1" x14ac:dyDescent="0.25"/>
    <row r="104850" s="12" customFormat="1" x14ac:dyDescent="0.25"/>
    <row r="104851" s="12" customFormat="1" x14ac:dyDescent="0.25"/>
    <row r="104852" s="12" customFormat="1" x14ac:dyDescent="0.25"/>
    <row r="104853" s="12" customFormat="1" x14ac:dyDescent="0.25"/>
    <row r="104854" s="12" customFormat="1" x14ac:dyDescent="0.25"/>
    <row r="104855" s="12" customFormat="1" x14ac:dyDescent="0.25"/>
    <row r="104856" s="12" customFormat="1" x14ac:dyDescent="0.25"/>
    <row r="104857" s="12" customFormat="1" x14ac:dyDescent="0.25"/>
    <row r="104858" s="12" customFormat="1" x14ac:dyDescent="0.25"/>
    <row r="104859" s="12" customFormat="1" x14ac:dyDescent="0.25"/>
    <row r="104860" s="12" customFormat="1" x14ac:dyDescent="0.25"/>
    <row r="104861" s="12" customFormat="1" x14ac:dyDescent="0.25"/>
    <row r="104862" s="12" customFormat="1" x14ac:dyDescent="0.25"/>
    <row r="104863" s="12" customFormat="1" x14ac:dyDescent="0.25"/>
    <row r="104864" s="12" customFormat="1" x14ac:dyDescent="0.25"/>
    <row r="104865" s="12" customFormat="1" x14ac:dyDescent="0.25"/>
    <row r="104866" s="12" customFormat="1" x14ac:dyDescent="0.25"/>
    <row r="104867" s="12" customFormat="1" x14ac:dyDescent="0.25"/>
    <row r="104868" s="12" customFormat="1" x14ac:dyDescent="0.25"/>
    <row r="104869" s="12" customFormat="1" x14ac:dyDescent="0.25"/>
    <row r="104870" s="12" customFormat="1" x14ac:dyDescent="0.25"/>
    <row r="104871" s="12" customFormat="1" x14ac:dyDescent="0.25"/>
    <row r="104872" s="12" customFormat="1" x14ac:dyDescent="0.25"/>
    <row r="104873" s="12" customFormat="1" x14ac:dyDescent="0.25"/>
    <row r="104874" s="12" customFormat="1" x14ac:dyDescent="0.25"/>
    <row r="104875" s="12" customFormat="1" x14ac:dyDescent="0.25"/>
    <row r="104876" s="12" customFormat="1" x14ac:dyDescent="0.25"/>
    <row r="104877" s="12" customFormat="1" x14ac:dyDescent="0.25"/>
    <row r="104878" s="12" customFormat="1" x14ac:dyDescent="0.25"/>
    <row r="104879" s="12" customFormat="1" x14ac:dyDescent="0.25"/>
    <row r="104880" s="12" customFormat="1" x14ac:dyDescent="0.25"/>
    <row r="104881" s="12" customFormat="1" x14ac:dyDescent="0.25"/>
    <row r="104882" s="12" customFormat="1" x14ac:dyDescent="0.25"/>
    <row r="104883" s="12" customFormat="1" x14ac:dyDescent="0.25"/>
    <row r="104884" s="12" customFormat="1" x14ac:dyDescent="0.25"/>
    <row r="104885" s="12" customFormat="1" x14ac:dyDescent="0.25"/>
    <row r="104886" s="12" customFormat="1" x14ac:dyDescent="0.25"/>
    <row r="104887" s="12" customFormat="1" x14ac:dyDescent="0.25"/>
    <row r="104888" s="12" customFormat="1" x14ac:dyDescent="0.25"/>
    <row r="104889" s="12" customFormat="1" x14ac:dyDescent="0.25"/>
    <row r="104890" s="12" customFormat="1" x14ac:dyDescent="0.25"/>
    <row r="104891" s="12" customFormat="1" x14ac:dyDescent="0.25"/>
    <row r="104892" s="12" customFormat="1" x14ac:dyDescent="0.25"/>
    <row r="104893" s="12" customFormat="1" x14ac:dyDescent="0.25"/>
    <row r="104894" s="12" customFormat="1" x14ac:dyDescent="0.25"/>
    <row r="104895" s="12" customFormat="1" x14ac:dyDescent="0.25"/>
    <row r="104896" s="12" customFormat="1" x14ac:dyDescent="0.25"/>
    <row r="104897" s="12" customFormat="1" x14ac:dyDescent="0.25"/>
    <row r="104898" s="12" customFormat="1" x14ac:dyDescent="0.25"/>
    <row r="104899" s="12" customFormat="1" x14ac:dyDescent="0.25"/>
    <row r="104900" s="12" customFormat="1" x14ac:dyDescent="0.25"/>
    <row r="104901" s="12" customFormat="1" x14ac:dyDescent="0.25"/>
    <row r="104902" s="12" customFormat="1" x14ac:dyDescent="0.25"/>
    <row r="104903" s="12" customFormat="1" x14ac:dyDescent="0.25"/>
    <row r="104904" s="12" customFormat="1" x14ac:dyDescent="0.25"/>
    <row r="104905" s="12" customFormat="1" x14ac:dyDescent="0.25"/>
    <row r="104906" s="12" customFormat="1" x14ac:dyDescent="0.25"/>
    <row r="104907" s="12" customFormat="1" x14ac:dyDescent="0.25"/>
    <row r="104908" s="12" customFormat="1" x14ac:dyDescent="0.25"/>
    <row r="104909" s="12" customFormat="1" x14ac:dyDescent="0.25"/>
    <row r="104910" s="12" customFormat="1" x14ac:dyDescent="0.25"/>
    <row r="104911" s="12" customFormat="1" x14ac:dyDescent="0.25"/>
    <row r="104912" s="12" customFormat="1" x14ac:dyDescent="0.25"/>
    <row r="104913" s="12" customFormat="1" x14ac:dyDescent="0.25"/>
    <row r="104914" s="12" customFormat="1" x14ac:dyDescent="0.25"/>
    <row r="104915" s="12" customFormat="1" x14ac:dyDescent="0.25"/>
    <row r="104916" s="12" customFormat="1" x14ac:dyDescent="0.25"/>
    <row r="104917" s="12" customFormat="1" x14ac:dyDescent="0.25"/>
    <row r="104918" s="12" customFormat="1" x14ac:dyDescent="0.25"/>
    <row r="104919" s="12" customFormat="1" x14ac:dyDescent="0.25"/>
    <row r="104920" s="12" customFormat="1" x14ac:dyDescent="0.25"/>
    <row r="104921" s="12" customFormat="1" x14ac:dyDescent="0.25"/>
    <row r="104922" s="12" customFormat="1" x14ac:dyDescent="0.25"/>
    <row r="104923" s="12" customFormat="1" x14ac:dyDescent="0.25"/>
    <row r="104924" s="12" customFormat="1" x14ac:dyDescent="0.25"/>
    <row r="104925" s="12" customFormat="1" x14ac:dyDescent="0.25"/>
    <row r="104926" s="12" customFormat="1" x14ac:dyDescent="0.25"/>
    <row r="104927" s="12" customFormat="1" x14ac:dyDescent="0.25"/>
    <row r="104928" s="12" customFormat="1" x14ac:dyDescent="0.25"/>
    <row r="104929" s="12" customFormat="1" x14ac:dyDescent="0.25"/>
    <row r="104930" s="12" customFormat="1" x14ac:dyDescent="0.25"/>
    <row r="104931" s="12" customFormat="1" x14ac:dyDescent="0.25"/>
    <row r="104932" s="12" customFormat="1" x14ac:dyDescent="0.25"/>
    <row r="104933" s="12" customFormat="1" x14ac:dyDescent="0.25"/>
    <row r="104934" s="12" customFormat="1" x14ac:dyDescent="0.25"/>
    <row r="104935" s="12" customFormat="1" x14ac:dyDescent="0.25"/>
    <row r="104936" s="12" customFormat="1" x14ac:dyDescent="0.25"/>
    <row r="104937" s="12" customFormat="1" x14ac:dyDescent="0.25"/>
    <row r="104938" s="12" customFormat="1" x14ac:dyDescent="0.25"/>
    <row r="104939" s="12" customFormat="1" x14ac:dyDescent="0.25"/>
    <row r="104940" s="12" customFormat="1" x14ac:dyDescent="0.25"/>
    <row r="104941" s="12" customFormat="1" x14ac:dyDescent="0.25"/>
    <row r="104942" s="12" customFormat="1" x14ac:dyDescent="0.25"/>
    <row r="104943" s="12" customFormat="1" x14ac:dyDescent="0.25"/>
    <row r="104944" s="12" customFormat="1" x14ac:dyDescent="0.25"/>
    <row r="104945" s="12" customFormat="1" x14ac:dyDescent="0.25"/>
    <row r="104946" s="12" customFormat="1" x14ac:dyDescent="0.25"/>
    <row r="104947" s="12" customFormat="1" x14ac:dyDescent="0.25"/>
    <row r="104948" s="12" customFormat="1" x14ac:dyDescent="0.25"/>
    <row r="104949" s="12" customFormat="1" x14ac:dyDescent="0.25"/>
    <row r="104950" s="12" customFormat="1" x14ac:dyDescent="0.25"/>
    <row r="104951" s="12" customFormat="1" x14ac:dyDescent="0.25"/>
    <row r="104952" s="12" customFormat="1" x14ac:dyDescent="0.25"/>
    <row r="104953" s="12" customFormat="1" x14ac:dyDescent="0.25"/>
    <row r="104954" s="12" customFormat="1" x14ac:dyDescent="0.25"/>
    <row r="104955" s="12" customFormat="1" x14ac:dyDescent="0.25"/>
    <row r="104956" s="12" customFormat="1" x14ac:dyDescent="0.25"/>
    <row r="104957" s="12" customFormat="1" x14ac:dyDescent="0.25"/>
    <row r="104958" s="12" customFormat="1" x14ac:dyDescent="0.25"/>
    <row r="104959" s="12" customFormat="1" x14ac:dyDescent="0.25"/>
    <row r="104960" s="12" customFormat="1" x14ac:dyDescent="0.25"/>
    <row r="104961" s="12" customFormat="1" x14ac:dyDescent="0.25"/>
    <row r="104962" s="12" customFormat="1" x14ac:dyDescent="0.25"/>
    <row r="104963" s="12" customFormat="1" x14ac:dyDescent="0.25"/>
    <row r="104964" s="12" customFormat="1" x14ac:dyDescent="0.25"/>
    <row r="104965" s="12" customFormat="1" x14ac:dyDescent="0.25"/>
    <row r="104966" s="12" customFormat="1" x14ac:dyDescent="0.25"/>
    <row r="104967" s="12" customFormat="1" x14ac:dyDescent="0.25"/>
    <row r="104968" s="12" customFormat="1" x14ac:dyDescent="0.25"/>
    <row r="104969" s="12" customFormat="1" x14ac:dyDescent="0.25"/>
    <row r="104970" s="12" customFormat="1" x14ac:dyDescent="0.25"/>
    <row r="104971" s="12" customFormat="1" x14ac:dyDescent="0.25"/>
    <row r="104972" s="12" customFormat="1" x14ac:dyDescent="0.25"/>
    <row r="104973" s="12" customFormat="1" x14ac:dyDescent="0.25"/>
    <row r="104974" s="12" customFormat="1" x14ac:dyDescent="0.25"/>
    <row r="104975" s="12" customFormat="1" x14ac:dyDescent="0.25"/>
    <row r="104976" s="12" customFormat="1" x14ac:dyDescent="0.25"/>
    <row r="104977" s="12" customFormat="1" x14ac:dyDescent="0.25"/>
    <row r="104978" s="12" customFormat="1" x14ac:dyDescent="0.25"/>
    <row r="104979" s="12" customFormat="1" x14ac:dyDescent="0.25"/>
    <row r="104980" s="12" customFormat="1" x14ac:dyDescent="0.25"/>
    <row r="104981" s="12" customFormat="1" x14ac:dyDescent="0.25"/>
    <row r="104982" s="12" customFormat="1" x14ac:dyDescent="0.25"/>
    <row r="104983" s="12" customFormat="1" x14ac:dyDescent="0.25"/>
    <row r="104984" s="12" customFormat="1" x14ac:dyDescent="0.25"/>
    <row r="104985" s="12" customFormat="1" x14ac:dyDescent="0.25"/>
    <row r="104986" s="12" customFormat="1" x14ac:dyDescent="0.25"/>
    <row r="104987" s="12" customFormat="1" x14ac:dyDescent="0.25"/>
    <row r="104988" s="12" customFormat="1" x14ac:dyDescent="0.25"/>
    <row r="104989" s="12" customFormat="1" x14ac:dyDescent="0.25"/>
    <row r="104990" s="12" customFormat="1" x14ac:dyDescent="0.25"/>
    <row r="104991" s="12" customFormat="1" x14ac:dyDescent="0.25"/>
    <row r="104992" s="12" customFormat="1" x14ac:dyDescent="0.25"/>
    <row r="104993" s="12" customFormat="1" x14ac:dyDescent="0.25"/>
    <row r="104994" s="12" customFormat="1" x14ac:dyDescent="0.25"/>
    <row r="104995" s="12" customFormat="1" x14ac:dyDescent="0.25"/>
    <row r="104996" s="12" customFormat="1" x14ac:dyDescent="0.25"/>
    <row r="104997" s="12" customFormat="1" x14ac:dyDescent="0.25"/>
    <row r="104998" s="12" customFormat="1" x14ac:dyDescent="0.25"/>
    <row r="104999" s="12" customFormat="1" x14ac:dyDescent="0.25"/>
    <row r="105000" s="12" customFormat="1" x14ac:dyDescent="0.25"/>
    <row r="105001" s="12" customFormat="1" x14ac:dyDescent="0.25"/>
    <row r="105002" s="12" customFormat="1" x14ac:dyDescent="0.25"/>
    <row r="105003" s="12" customFormat="1" x14ac:dyDescent="0.25"/>
    <row r="105004" s="12" customFormat="1" x14ac:dyDescent="0.25"/>
    <row r="105005" s="12" customFormat="1" x14ac:dyDescent="0.25"/>
    <row r="105006" s="12" customFormat="1" x14ac:dyDescent="0.25"/>
    <row r="105007" s="12" customFormat="1" x14ac:dyDescent="0.25"/>
    <row r="105008" s="12" customFormat="1" x14ac:dyDescent="0.25"/>
    <row r="105009" s="12" customFormat="1" x14ac:dyDescent="0.25"/>
    <row r="105010" s="12" customFormat="1" x14ac:dyDescent="0.25"/>
    <row r="105011" s="12" customFormat="1" x14ac:dyDescent="0.25"/>
    <row r="105012" s="12" customFormat="1" x14ac:dyDescent="0.25"/>
    <row r="105013" s="12" customFormat="1" x14ac:dyDescent="0.25"/>
    <row r="105014" s="12" customFormat="1" x14ac:dyDescent="0.25"/>
    <row r="105015" s="12" customFormat="1" x14ac:dyDescent="0.25"/>
    <row r="105016" s="12" customFormat="1" x14ac:dyDescent="0.25"/>
    <row r="105017" s="12" customFormat="1" x14ac:dyDescent="0.25"/>
    <row r="105018" s="12" customFormat="1" x14ac:dyDescent="0.25"/>
    <row r="105019" s="12" customFormat="1" x14ac:dyDescent="0.25"/>
    <row r="105020" s="12" customFormat="1" x14ac:dyDescent="0.25"/>
    <row r="105021" s="12" customFormat="1" x14ac:dyDescent="0.25"/>
    <row r="105022" s="12" customFormat="1" x14ac:dyDescent="0.25"/>
    <row r="105023" s="12" customFormat="1" x14ac:dyDescent="0.25"/>
    <row r="105024" s="12" customFormat="1" x14ac:dyDescent="0.25"/>
    <row r="105025" s="12" customFormat="1" x14ac:dyDescent="0.25"/>
    <row r="105026" s="12" customFormat="1" x14ac:dyDescent="0.25"/>
    <row r="105027" s="12" customFormat="1" x14ac:dyDescent="0.25"/>
    <row r="105028" s="12" customFormat="1" x14ac:dyDescent="0.25"/>
    <row r="105029" s="12" customFormat="1" x14ac:dyDescent="0.25"/>
    <row r="105030" s="12" customFormat="1" x14ac:dyDescent="0.25"/>
    <row r="105031" s="12" customFormat="1" x14ac:dyDescent="0.25"/>
    <row r="105032" s="12" customFormat="1" x14ac:dyDescent="0.25"/>
    <row r="105033" s="12" customFormat="1" x14ac:dyDescent="0.25"/>
    <row r="105034" s="12" customFormat="1" x14ac:dyDescent="0.25"/>
    <row r="105035" s="12" customFormat="1" x14ac:dyDescent="0.25"/>
    <row r="105036" s="12" customFormat="1" x14ac:dyDescent="0.25"/>
    <row r="105037" s="12" customFormat="1" x14ac:dyDescent="0.25"/>
    <row r="105038" s="12" customFormat="1" x14ac:dyDescent="0.25"/>
    <row r="105039" s="12" customFormat="1" x14ac:dyDescent="0.25"/>
    <row r="105040" s="12" customFormat="1" x14ac:dyDescent="0.25"/>
    <row r="105041" s="12" customFormat="1" x14ac:dyDescent="0.25"/>
    <row r="105042" s="12" customFormat="1" x14ac:dyDescent="0.25"/>
    <row r="105043" s="12" customFormat="1" x14ac:dyDescent="0.25"/>
    <row r="105044" s="12" customFormat="1" x14ac:dyDescent="0.25"/>
    <row r="105045" s="12" customFormat="1" x14ac:dyDescent="0.25"/>
    <row r="105046" s="12" customFormat="1" x14ac:dyDescent="0.25"/>
    <row r="105047" s="12" customFormat="1" x14ac:dyDescent="0.25"/>
    <row r="105048" s="12" customFormat="1" x14ac:dyDescent="0.25"/>
    <row r="105049" s="12" customFormat="1" x14ac:dyDescent="0.25"/>
    <row r="105050" s="12" customFormat="1" x14ac:dyDescent="0.25"/>
    <row r="105051" s="12" customFormat="1" x14ac:dyDescent="0.25"/>
    <row r="105052" s="12" customFormat="1" x14ac:dyDescent="0.25"/>
    <row r="105053" s="12" customFormat="1" x14ac:dyDescent="0.25"/>
    <row r="105054" s="12" customFormat="1" x14ac:dyDescent="0.25"/>
    <row r="105055" s="12" customFormat="1" x14ac:dyDescent="0.25"/>
    <row r="105056" s="12" customFormat="1" x14ac:dyDescent="0.25"/>
    <row r="105057" s="12" customFormat="1" x14ac:dyDescent="0.25"/>
    <row r="105058" s="12" customFormat="1" x14ac:dyDescent="0.25"/>
    <row r="105059" s="12" customFormat="1" x14ac:dyDescent="0.25"/>
    <row r="105060" s="12" customFormat="1" x14ac:dyDescent="0.25"/>
    <row r="105061" s="12" customFormat="1" x14ac:dyDescent="0.25"/>
    <row r="105062" s="12" customFormat="1" x14ac:dyDescent="0.25"/>
    <row r="105063" s="12" customFormat="1" x14ac:dyDescent="0.25"/>
    <row r="105064" s="12" customFormat="1" x14ac:dyDescent="0.25"/>
    <row r="105065" s="12" customFormat="1" x14ac:dyDescent="0.25"/>
    <row r="105066" s="12" customFormat="1" x14ac:dyDescent="0.25"/>
    <row r="105067" s="12" customFormat="1" x14ac:dyDescent="0.25"/>
    <row r="105068" s="12" customFormat="1" x14ac:dyDescent="0.25"/>
    <row r="105069" s="12" customFormat="1" x14ac:dyDescent="0.25"/>
    <row r="105070" s="12" customFormat="1" x14ac:dyDescent="0.25"/>
    <row r="105071" s="12" customFormat="1" x14ac:dyDescent="0.25"/>
    <row r="105072" s="12" customFormat="1" x14ac:dyDescent="0.25"/>
    <row r="105073" s="12" customFormat="1" x14ac:dyDescent="0.25"/>
    <row r="105074" s="12" customFormat="1" x14ac:dyDescent="0.25"/>
    <row r="105075" s="12" customFormat="1" x14ac:dyDescent="0.25"/>
    <row r="105076" s="12" customFormat="1" x14ac:dyDescent="0.25"/>
    <row r="105077" s="12" customFormat="1" x14ac:dyDescent="0.25"/>
    <row r="105078" s="12" customFormat="1" x14ac:dyDescent="0.25"/>
    <row r="105079" s="12" customFormat="1" x14ac:dyDescent="0.25"/>
    <row r="105080" s="12" customFormat="1" x14ac:dyDescent="0.25"/>
    <row r="105081" s="12" customFormat="1" x14ac:dyDescent="0.25"/>
    <row r="105082" s="12" customFormat="1" x14ac:dyDescent="0.25"/>
    <row r="105083" s="12" customFormat="1" x14ac:dyDescent="0.25"/>
    <row r="105084" s="12" customFormat="1" x14ac:dyDescent="0.25"/>
    <row r="105085" s="12" customFormat="1" x14ac:dyDescent="0.25"/>
    <row r="105086" s="12" customFormat="1" x14ac:dyDescent="0.25"/>
    <row r="105087" s="12" customFormat="1" x14ac:dyDescent="0.25"/>
    <row r="105088" s="12" customFormat="1" x14ac:dyDescent="0.25"/>
    <row r="105089" s="12" customFormat="1" x14ac:dyDescent="0.25"/>
    <row r="105090" s="12" customFormat="1" x14ac:dyDescent="0.25"/>
    <row r="105091" s="12" customFormat="1" x14ac:dyDescent="0.25"/>
    <row r="105092" s="12" customFormat="1" x14ac:dyDescent="0.25"/>
    <row r="105093" s="12" customFormat="1" x14ac:dyDescent="0.25"/>
    <row r="105094" s="12" customFormat="1" x14ac:dyDescent="0.25"/>
    <row r="105095" s="12" customFormat="1" x14ac:dyDescent="0.25"/>
    <row r="105096" s="12" customFormat="1" x14ac:dyDescent="0.25"/>
    <row r="105097" s="12" customFormat="1" x14ac:dyDescent="0.25"/>
    <row r="105098" s="12" customFormat="1" x14ac:dyDescent="0.25"/>
    <row r="105099" s="12" customFormat="1" x14ac:dyDescent="0.25"/>
    <row r="105100" s="12" customFormat="1" x14ac:dyDescent="0.25"/>
    <row r="105101" s="12" customFormat="1" x14ac:dyDescent="0.25"/>
    <row r="105102" s="12" customFormat="1" x14ac:dyDescent="0.25"/>
    <row r="105103" s="12" customFormat="1" x14ac:dyDescent="0.25"/>
    <row r="105104" s="12" customFormat="1" x14ac:dyDescent="0.25"/>
    <row r="105105" s="12" customFormat="1" x14ac:dyDescent="0.25"/>
    <row r="105106" s="12" customFormat="1" x14ac:dyDescent="0.25"/>
    <row r="105107" s="12" customFormat="1" x14ac:dyDescent="0.25"/>
    <row r="105108" s="12" customFormat="1" x14ac:dyDescent="0.25"/>
    <row r="105109" s="12" customFormat="1" x14ac:dyDescent="0.25"/>
    <row r="105110" s="12" customFormat="1" x14ac:dyDescent="0.25"/>
    <row r="105111" s="12" customFormat="1" x14ac:dyDescent="0.25"/>
    <row r="105112" s="12" customFormat="1" x14ac:dyDescent="0.25"/>
    <row r="105113" s="12" customFormat="1" x14ac:dyDescent="0.25"/>
    <row r="105114" s="12" customFormat="1" x14ac:dyDescent="0.25"/>
    <row r="105115" s="12" customFormat="1" x14ac:dyDescent="0.25"/>
    <row r="105116" s="12" customFormat="1" x14ac:dyDescent="0.25"/>
    <row r="105117" s="12" customFormat="1" x14ac:dyDescent="0.25"/>
    <row r="105118" s="12" customFormat="1" x14ac:dyDescent="0.25"/>
    <row r="105119" s="12" customFormat="1" x14ac:dyDescent="0.25"/>
    <row r="105120" s="12" customFormat="1" x14ac:dyDescent="0.25"/>
    <row r="105121" s="12" customFormat="1" x14ac:dyDescent="0.25"/>
    <row r="105122" s="12" customFormat="1" x14ac:dyDescent="0.25"/>
    <row r="105123" s="12" customFormat="1" x14ac:dyDescent="0.25"/>
    <row r="105124" s="12" customFormat="1" x14ac:dyDescent="0.25"/>
    <row r="105125" s="12" customFormat="1" x14ac:dyDescent="0.25"/>
    <row r="105126" s="12" customFormat="1" x14ac:dyDescent="0.25"/>
    <row r="105127" s="12" customFormat="1" x14ac:dyDescent="0.25"/>
    <row r="105128" s="12" customFormat="1" x14ac:dyDescent="0.25"/>
    <row r="105129" s="12" customFormat="1" x14ac:dyDescent="0.25"/>
    <row r="105130" s="12" customFormat="1" x14ac:dyDescent="0.25"/>
    <row r="105131" s="12" customFormat="1" x14ac:dyDescent="0.25"/>
    <row r="105132" s="12" customFormat="1" x14ac:dyDescent="0.25"/>
    <row r="105133" s="12" customFormat="1" x14ac:dyDescent="0.25"/>
    <row r="105134" s="12" customFormat="1" x14ac:dyDescent="0.25"/>
    <row r="105135" s="12" customFormat="1" x14ac:dyDescent="0.25"/>
    <row r="105136" s="12" customFormat="1" x14ac:dyDescent="0.25"/>
    <row r="105137" s="12" customFormat="1" x14ac:dyDescent="0.25"/>
    <row r="105138" s="12" customFormat="1" x14ac:dyDescent="0.25"/>
    <row r="105139" s="12" customFormat="1" x14ac:dyDescent="0.25"/>
    <row r="105140" s="12" customFormat="1" x14ac:dyDescent="0.25"/>
    <row r="105141" s="12" customFormat="1" x14ac:dyDescent="0.25"/>
    <row r="105142" s="12" customFormat="1" x14ac:dyDescent="0.25"/>
    <row r="105143" s="12" customFormat="1" x14ac:dyDescent="0.25"/>
    <row r="105144" s="12" customFormat="1" x14ac:dyDescent="0.25"/>
    <row r="105145" s="12" customFormat="1" x14ac:dyDescent="0.25"/>
    <row r="105146" s="12" customFormat="1" x14ac:dyDescent="0.25"/>
    <row r="105147" s="12" customFormat="1" x14ac:dyDescent="0.25"/>
    <row r="105148" s="12" customFormat="1" x14ac:dyDescent="0.25"/>
    <row r="105149" s="12" customFormat="1" x14ac:dyDescent="0.25"/>
    <row r="105150" s="12" customFormat="1" x14ac:dyDescent="0.25"/>
    <row r="105151" s="12" customFormat="1" x14ac:dyDescent="0.25"/>
    <row r="105152" s="12" customFormat="1" x14ac:dyDescent="0.25"/>
    <row r="105153" s="12" customFormat="1" x14ac:dyDescent="0.25"/>
    <row r="105154" s="12" customFormat="1" x14ac:dyDescent="0.25"/>
    <row r="105155" s="12" customFormat="1" x14ac:dyDescent="0.25"/>
    <row r="105156" s="12" customFormat="1" x14ac:dyDescent="0.25"/>
    <row r="105157" s="12" customFormat="1" x14ac:dyDescent="0.25"/>
    <row r="105158" s="12" customFormat="1" x14ac:dyDescent="0.25"/>
    <row r="105159" s="12" customFormat="1" x14ac:dyDescent="0.25"/>
    <row r="105160" s="12" customFormat="1" x14ac:dyDescent="0.25"/>
    <row r="105161" s="12" customFormat="1" x14ac:dyDescent="0.25"/>
    <row r="105162" s="12" customFormat="1" x14ac:dyDescent="0.25"/>
    <row r="105163" s="12" customFormat="1" x14ac:dyDescent="0.25"/>
    <row r="105164" s="12" customFormat="1" x14ac:dyDescent="0.25"/>
    <row r="105165" s="12" customFormat="1" x14ac:dyDescent="0.25"/>
    <row r="105166" s="12" customFormat="1" x14ac:dyDescent="0.25"/>
    <row r="105167" s="12" customFormat="1" x14ac:dyDescent="0.25"/>
    <row r="105168" s="12" customFormat="1" x14ac:dyDescent="0.25"/>
    <row r="105169" s="12" customFormat="1" x14ac:dyDescent="0.25"/>
    <row r="105170" s="12" customFormat="1" x14ac:dyDescent="0.25"/>
    <row r="105171" s="12" customFormat="1" x14ac:dyDescent="0.25"/>
    <row r="105172" s="12" customFormat="1" x14ac:dyDescent="0.25"/>
    <row r="105173" s="12" customFormat="1" x14ac:dyDescent="0.25"/>
    <row r="105174" s="12" customFormat="1" x14ac:dyDescent="0.25"/>
    <row r="105175" s="12" customFormat="1" x14ac:dyDescent="0.25"/>
    <row r="105176" s="12" customFormat="1" x14ac:dyDescent="0.25"/>
    <row r="105177" s="12" customFormat="1" x14ac:dyDescent="0.25"/>
    <row r="105178" s="12" customFormat="1" x14ac:dyDescent="0.25"/>
    <row r="105179" s="12" customFormat="1" x14ac:dyDescent="0.25"/>
    <row r="105180" s="12" customFormat="1" x14ac:dyDescent="0.25"/>
    <row r="105181" s="12" customFormat="1" x14ac:dyDescent="0.25"/>
    <row r="105182" s="12" customFormat="1" x14ac:dyDescent="0.25"/>
    <row r="105183" s="12" customFormat="1" x14ac:dyDescent="0.25"/>
    <row r="105184" s="12" customFormat="1" x14ac:dyDescent="0.25"/>
    <row r="105185" s="12" customFormat="1" x14ac:dyDescent="0.25"/>
    <row r="105186" s="12" customFormat="1" x14ac:dyDescent="0.25"/>
    <row r="105187" s="12" customFormat="1" x14ac:dyDescent="0.25"/>
    <row r="105188" s="12" customFormat="1" x14ac:dyDescent="0.25"/>
    <row r="105189" s="12" customFormat="1" x14ac:dyDescent="0.25"/>
    <row r="105190" s="12" customFormat="1" x14ac:dyDescent="0.25"/>
    <row r="105191" s="12" customFormat="1" x14ac:dyDescent="0.25"/>
    <row r="105192" s="12" customFormat="1" x14ac:dyDescent="0.25"/>
    <row r="105193" s="12" customFormat="1" x14ac:dyDescent="0.25"/>
    <row r="105194" s="12" customFormat="1" x14ac:dyDescent="0.25"/>
    <row r="105195" s="12" customFormat="1" x14ac:dyDescent="0.25"/>
    <row r="105196" s="12" customFormat="1" x14ac:dyDescent="0.25"/>
    <row r="105197" s="12" customFormat="1" x14ac:dyDescent="0.25"/>
    <row r="105198" s="12" customFormat="1" x14ac:dyDescent="0.25"/>
    <row r="105199" s="12" customFormat="1" x14ac:dyDescent="0.25"/>
    <row r="105200" s="12" customFormat="1" x14ac:dyDescent="0.25"/>
    <row r="105201" s="12" customFormat="1" x14ac:dyDescent="0.25"/>
    <row r="105202" s="12" customFormat="1" x14ac:dyDescent="0.25"/>
    <row r="105203" s="12" customFormat="1" x14ac:dyDescent="0.25"/>
    <row r="105204" s="12" customFormat="1" x14ac:dyDescent="0.25"/>
    <row r="105205" s="12" customFormat="1" x14ac:dyDescent="0.25"/>
    <row r="105206" s="12" customFormat="1" x14ac:dyDescent="0.25"/>
    <row r="105207" s="12" customFormat="1" x14ac:dyDescent="0.25"/>
    <row r="105208" s="12" customFormat="1" x14ac:dyDescent="0.25"/>
    <row r="105209" s="12" customFormat="1" x14ac:dyDescent="0.25"/>
    <row r="105210" s="12" customFormat="1" x14ac:dyDescent="0.25"/>
    <row r="105211" s="12" customFormat="1" x14ac:dyDescent="0.25"/>
    <row r="105212" s="12" customFormat="1" x14ac:dyDescent="0.25"/>
    <row r="105213" s="12" customFormat="1" x14ac:dyDescent="0.25"/>
    <row r="105214" s="12" customFormat="1" x14ac:dyDescent="0.25"/>
    <row r="105215" s="12" customFormat="1" x14ac:dyDescent="0.25"/>
    <row r="105216" s="12" customFormat="1" x14ac:dyDescent="0.25"/>
    <row r="105217" s="12" customFormat="1" x14ac:dyDescent="0.25"/>
    <row r="105218" s="12" customFormat="1" x14ac:dyDescent="0.25"/>
    <row r="105219" s="12" customFormat="1" x14ac:dyDescent="0.25"/>
    <row r="105220" s="12" customFormat="1" x14ac:dyDescent="0.25"/>
    <row r="105221" s="12" customFormat="1" x14ac:dyDescent="0.25"/>
    <row r="105222" s="12" customFormat="1" x14ac:dyDescent="0.25"/>
    <row r="105223" s="12" customFormat="1" x14ac:dyDescent="0.25"/>
    <row r="105224" s="12" customFormat="1" x14ac:dyDescent="0.25"/>
    <row r="105225" s="12" customFormat="1" x14ac:dyDescent="0.25"/>
    <row r="105226" s="12" customFormat="1" x14ac:dyDescent="0.25"/>
    <row r="105227" s="12" customFormat="1" x14ac:dyDescent="0.25"/>
    <row r="105228" s="12" customFormat="1" x14ac:dyDescent="0.25"/>
    <row r="105229" s="12" customFormat="1" x14ac:dyDescent="0.25"/>
    <row r="105230" s="12" customFormat="1" x14ac:dyDescent="0.25"/>
    <row r="105231" s="12" customFormat="1" x14ac:dyDescent="0.25"/>
    <row r="105232" s="12" customFormat="1" x14ac:dyDescent="0.25"/>
    <row r="105233" s="12" customFormat="1" x14ac:dyDescent="0.25"/>
    <row r="105234" s="12" customFormat="1" x14ac:dyDescent="0.25"/>
    <row r="105235" s="12" customFormat="1" x14ac:dyDescent="0.25"/>
    <row r="105236" s="12" customFormat="1" x14ac:dyDescent="0.25"/>
    <row r="105237" s="12" customFormat="1" x14ac:dyDescent="0.25"/>
    <row r="105238" s="12" customFormat="1" x14ac:dyDescent="0.25"/>
    <row r="105239" s="12" customFormat="1" x14ac:dyDescent="0.25"/>
    <row r="105240" s="12" customFormat="1" x14ac:dyDescent="0.25"/>
    <row r="105241" s="12" customFormat="1" x14ac:dyDescent="0.25"/>
    <row r="105242" s="12" customFormat="1" x14ac:dyDescent="0.25"/>
    <row r="105243" s="12" customFormat="1" x14ac:dyDescent="0.25"/>
    <row r="105244" s="12" customFormat="1" x14ac:dyDescent="0.25"/>
    <row r="105245" s="12" customFormat="1" x14ac:dyDescent="0.25"/>
    <row r="105246" s="12" customFormat="1" x14ac:dyDescent="0.25"/>
    <row r="105247" s="12" customFormat="1" x14ac:dyDescent="0.25"/>
    <row r="105248" s="12" customFormat="1" x14ac:dyDescent="0.25"/>
    <row r="105249" s="12" customFormat="1" x14ac:dyDescent="0.25"/>
    <row r="105250" s="12" customFormat="1" x14ac:dyDescent="0.25"/>
    <row r="105251" s="12" customFormat="1" x14ac:dyDescent="0.25"/>
    <row r="105252" s="12" customFormat="1" x14ac:dyDescent="0.25"/>
    <row r="105253" s="12" customFormat="1" x14ac:dyDescent="0.25"/>
    <row r="105254" s="12" customFormat="1" x14ac:dyDescent="0.25"/>
    <row r="105255" s="12" customFormat="1" x14ac:dyDescent="0.25"/>
    <row r="105256" s="12" customFormat="1" x14ac:dyDescent="0.25"/>
    <row r="105257" s="12" customFormat="1" x14ac:dyDescent="0.25"/>
    <row r="105258" s="12" customFormat="1" x14ac:dyDescent="0.25"/>
    <row r="105259" s="12" customFormat="1" x14ac:dyDescent="0.25"/>
    <row r="105260" s="12" customFormat="1" x14ac:dyDescent="0.25"/>
    <row r="105261" s="12" customFormat="1" x14ac:dyDescent="0.25"/>
    <row r="105262" s="12" customFormat="1" x14ac:dyDescent="0.25"/>
    <row r="105263" s="12" customFormat="1" x14ac:dyDescent="0.25"/>
    <row r="105264" s="12" customFormat="1" x14ac:dyDescent="0.25"/>
    <row r="105265" s="12" customFormat="1" x14ac:dyDescent="0.25"/>
    <row r="105266" s="12" customFormat="1" x14ac:dyDescent="0.25"/>
    <row r="105267" s="12" customFormat="1" x14ac:dyDescent="0.25"/>
    <row r="105268" s="12" customFormat="1" x14ac:dyDescent="0.25"/>
    <row r="105269" s="12" customFormat="1" x14ac:dyDescent="0.25"/>
    <row r="105270" s="12" customFormat="1" x14ac:dyDescent="0.25"/>
    <row r="105271" s="12" customFormat="1" x14ac:dyDescent="0.25"/>
    <row r="105272" s="12" customFormat="1" x14ac:dyDescent="0.25"/>
    <row r="105273" s="12" customFormat="1" x14ac:dyDescent="0.25"/>
    <row r="105274" s="12" customFormat="1" x14ac:dyDescent="0.25"/>
    <row r="105275" s="12" customFormat="1" x14ac:dyDescent="0.25"/>
    <row r="105276" s="12" customFormat="1" x14ac:dyDescent="0.25"/>
    <row r="105277" s="12" customFormat="1" x14ac:dyDescent="0.25"/>
    <row r="105278" s="12" customFormat="1" x14ac:dyDescent="0.25"/>
    <row r="105279" s="12" customFormat="1" x14ac:dyDescent="0.25"/>
    <row r="105280" s="12" customFormat="1" x14ac:dyDescent="0.25"/>
    <row r="105281" s="12" customFormat="1" x14ac:dyDescent="0.25"/>
    <row r="105282" s="12" customFormat="1" x14ac:dyDescent="0.25"/>
    <row r="105283" s="12" customFormat="1" x14ac:dyDescent="0.25"/>
    <row r="105284" s="12" customFormat="1" x14ac:dyDescent="0.25"/>
    <row r="105285" s="12" customFormat="1" x14ac:dyDescent="0.25"/>
    <row r="105286" s="12" customFormat="1" x14ac:dyDescent="0.25"/>
    <row r="105287" s="12" customFormat="1" x14ac:dyDescent="0.25"/>
    <row r="105288" s="12" customFormat="1" x14ac:dyDescent="0.25"/>
    <row r="105289" s="12" customFormat="1" x14ac:dyDescent="0.25"/>
    <row r="105290" s="12" customFormat="1" x14ac:dyDescent="0.25"/>
    <row r="105291" s="12" customFormat="1" x14ac:dyDescent="0.25"/>
    <row r="105292" s="12" customFormat="1" x14ac:dyDescent="0.25"/>
    <row r="105293" s="12" customFormat="1" x14ac:dyDescent="0.25"/>
    <row r="105294" s="12" customFormat="1" x14ac:dyDescent="0.25"/>
    <row r="105295" s="12" customFormat="1" x14ac:dyDescent="0.25"/>
    <row r="105296" s="12" customFormat="1" x14ac:dyDescent="0.25"/>
    <row r="105297" s="12" customFormat="1" x14ac:dyDescent="0.25"/>
    <row r="105298" s="12" customFormat="1" x14ac:dyDescent="0.25"/>
    <row r="105299" s="12" customFormat="1" x14ac:dyDescent="0.25"/>
    <row r="105300" s="12" customFormat="1" x14ac:dyDescent="0.25"/>
    <row r="105301" s="12" customFormat="1" x14ac:dyDescent="0.25"/>
    <row r="105302" s="12" customFormat="1" x14ac:dyDescent="0.25"/>
    <row r="105303" s="12" customFormat="1" x14ac:dyDescent="0.25"/>
    <row r="105304" s="12" customFormat="1" x14ac:dyDescent="0.25"/>
    <row r="105305" s="12" customFormat="1" x14ac:dyDescent="0.25"/>
    <row r="105306" s="12" customFormat="1" x14ac:dyDescent="0.25"/>
    <row r="105307" s="12" customFormat="1" x14ac:dyDescent="0.25"/>
    <row r="105308" s="12" customFormat="1" x14ac:dyDescent="0.25"/>
    <row r="105309" s="12" customFormat="1" x14ac:dyDescent="0.25"/>
    <row r="105310" s="12" customFormat="1" x14ac:dyDescent="0.25"/>
    <row r="105311" s="12" customFormat="1" x14ac:dyDescent="0.25"/>
    <row r="105312" s="12" customFormat="1" x14ac:dyDescent="0.25"/>
    <row r="105313" s="12" customFormat="1" x14ac:dyDescent="0.25"/>
    <row r="105314" s="12" customFormat="1" x14ac:dyDescent="0.25"/>
    <row r="105315" s="12" customFormat="1" x14ac:dyDescent="0.25"/>
    <row r="105316" s="12" customFormat="1" x14ac:dyDescent="0.25"/>
    <row r="105317" s="12" customFormat="1" x14ac:dyDescent="0.25"/>
    <row r="105318" s="12" customFormat="1" x14ac:dyDescent="0.25"/>
    <row r="105319" s="12" customFormat="1" x14ac:dyDescent="0.25"/>
    <row r="105320" s="12" customFormat="1" x14ac:dyDescent="0.25"/>
    <row r="105321" s="12" customFormat="1" x14ac:dyDescent="0.25"/>
    <row r="105322" s="12" customFormat="1" x14ac:dyDescent="0.25"/>
    <row r="105323" s="12" customFormat="1" x14ac:dyDescent="0.25"/>
    <row r="105324" s="12" customFormat="1" x14ac:dyDescent="0.25"/>
    <row r="105325" s="12" customFormat="1" x14ac:dyDescent="0.25"/>
    <row r="105326" s="12" customFormat="1" x14ac:dyDescent="0.25"/>
    <row r="105327" s="12" customFormat="1" x14ac:dyDescent="0.25"/>
    <row r="105328" s="12" customFormat="1" x14ac:dyDescent="0.25"/>
    <row r="105329" s="12" customFormat="1" x14ac:dyDescent="0.25"/>
    <row r="105330" s="12" customFormat="1" x14ac:dyDescent="0.25"/>
    <row r="105331" s="12" customFormat="1" x14ac:dyDescent="0.25"/>
    <row r="105332" s="12" customFormat="1" x14ac:dyDescent="0.25"/>
    <row r="105333" s="12" customFormat="1" x14ac:dyDescent="0.25"/>
    <row r="105334" s="12" customFormat="1" x14ac:dyDescent="0.25"/>
    <row r="105335" s="12" customFormat="1" x14ac:dyDescent="0.25"/>
    <row r="105336" s="12" customFormat="1" x14ac:dyDescent="0.25"/>
    <row r="105337" s="12" customFormat="1" x14ac:dyDescent="0.25"/>
    <row r="105338" s="12" customFormat="1" x14ac:dyDescent="0.25"/>
    <row r="105339" s="12" customFormat="1" x14ac:dyDescent="0.25"/>
    <row r="105340" s="12" customFormat="1" x14ac:dyDescent="0.25"/>
    <row r="105341" s="12" customFormat="1" x14ac:dyDescent="0.25"/>
    <row r="105342" s="12" customFormat="1" x14ac:dyDescent="0.25"/>
    <row r="105343" s="12" customFormat="1" x14ac:dyDescent="0.25"/>
    <row r="105344" s="12" customFormat="1" x14ac:dyDescent="0.25"/>
    <row r="105345" s="12" customFormat="1" x14ac:dyDescent="0.25"/>
    <row r="105346" s="12" customFormat="1" x14ac:dyDescent="0.25"/>
    <row r="105347" s="12" customFormat="1" x14ac:dyDescent="0.25"/>
    <row r="105348" s="12" customFormat="1" x14ac:dyDescent="0.25"/>
    <row r="105349" s="12" customFormat="1" x14ac:dyDescent="0.25"/>
    <row r="105350" s="12" customFormat="1" x14ac:dyDescent="0.25"/>
    <row r="105351" s="12" customFormat="1" x14ac:dyDescent="0.25"/>
    <row r="105352" s="12" customFormat="1" x14ac:dyDescent="0.25"/>
    <row r="105353" s="12" customFormat="1" x14ac:dyDescent="0.25"/>
    <row r="105354" s="12" customFormat="1" x14ac:dyDescent="0.25"/>
    <row r="105355" s="12" customFormat="1" x14ac:dyDescent="0.25"/>
    <row r="105356" s="12" customFormat="1" x14ac:dyDescent="0.25"/>
    <row r="105357" s="12" customFormat="1" x14ac:dyDescent="0.25"/>
    <row r="105358" s="12" customFormat="1" x14ac:dyDescent="0.25"/>
    <row r="105359" s="12" customFormat="1" x14ac:dyDescent="0.25"/>
    <row r="105360" s="12" customFormat="1" x14ac:dyDescent="0.25"/>
    <row r="105361" s="12" customFormat="1" x14ac:dyDescent="0.25"/>
    <row r="105362" s="12" customFormat="1" x14ac:dyDescent="0.25"/>
    <row r="105363" s="12" customFormat="1" x14ac:dyDescent="0.25"/>
    <row r="105364" s="12" customFormat="1" x14ac:dyDescent="0.25"/>
    <row r="105365" s="12" customFormat="1" x14ac:dyDescent="0.25"/>
    <row r="105366" s="12" customFormat="1" x14ac:dyDescent="0.25"/>
    <row r="105367" s="12" customFormat="1" x14ac:dyDescent="0.25"/>
    <row r="105368" s="12" customFormat="1" x14ac:dyDescent="0.25"/>
    <row r="105369" s="12" customFormat="1" x14ac:dyDescent="0.25"/>
    <row r="105370" s="12" customFormat="1" x14ac:dyDescent="0.25"/>
    <row r="105371" s="12" customFormat="1" x14ac:dyDescent="0.25"/>
    <row r="105372" s="12" customFormat="1" x14ac:dyDescent="0.25"/>
    <row r="105373" s="12" customFormat="1" x14ac:dyDescent="0.25"/>
    <row r="105374" s="12" customFormat="1" x14ac:dyDescent="0.25"/>
    <row r="105375" s="12" customFormat="1" x14ac:dyDescent="0.25"/>
    <row r="105376" s="12" customFormat="1" x14ac:dyDescent="0.25"/>
    <row r="105377" s="12" customFormat="1" x14ac:dyDescent="0.25"/>
    <row r="105378" s="12" customFormat="1" x14ac:dyDescent="0.25"/>
    <row r="105379" s="12" customFormat="1" x14ac:dyDescent="0.25"/>
    <row r="105380" s="12" customFormat="1" x14ac:dyDescent="0.25"/>
    <row r="105381" s="12" customFormat="1" x14ac:dyDescent="0.25"/>
    <row r="105382" s="12" customFormat="1" x14ac:dyDescent="0.25"/>
    <row r="105383" s="12" customFormat="1" x14ac:dyDescent="0.25"/>
    <row r="105384" s="12" customFormat="1" x14ac:dyDescent="0.25"/>
    <row r="105385" s="12" customFormat="1" x14ac:dyDescent="0.25"/>
    <row r="105386" s="12" customFormat="1" x14ac:dyDescent="0.25"/>
    <row r="105387" s="12" customFormat="1" x14ac:dyDescent="0.25"/>
    <row r="105388" s="12" customFormat="1" x14ac:dyDescent="0.25"/>
    <row r="105389" s="12" customFormat="1" x14ac:dyDescent="0.25"/>
    <row r="105390" s="12" customFormat="1" x14ac:dyDescent="0.25"/>
    <row r="105391" s="12" customFormat="1" x14ac:dyDescent="0.25"/>
    <row r="105392" s="12" customFormat="1" x14ac:dyDescent="0.25"/>
    <row r="105393" s="12" customFormat="1" x14ac:dyDescent="0.25"/>
    <row r="105394" s="12" customFormat="1" x14ac:dyDescent="0.25"/>
    <row r="105395" s="12" customFormat="1" x14ac:dyDescent="0.25"/>
    <row r="105396" s="12" customFormat="1" x14ac:dyDescent="0.25"/>
    <row r="105397" s="12" customFormat="1" x14ac:dyDescent="0.25"/>
    <row r="105398" s="12" customFormat="1" x14ac:dyDescent="0.25"/>
    <row r="105399" s="12" customFormat="1" x14ac:dyDescent="0.25"/>
    <row r="105400" s="12" customFormat="1" x14ac:dyDescent="0.25"/>
    <row r="105401" s="12" customFormat="1" x14ac:dyDescent="0.25"/>
    <row r="105402" s="12" customFormat="1" x14ac:dyDescent="0.25"/>
    <row r="105403" s="12" customFormat="1" x14ac:dyDescent="0.25"/>
    <row r="105404" s="12" customFormat="1" x14ac:dyDescent="0.25"/>
    <row r="105405" s="12" customFormat="1" x14ac:dyDescent="0.25"/>
    <row r="105406" s="12" customFormat="1" x14ac:dyDescent="0.25"/>
    <row r="105407" s="12" customFormat="1" x14ac:dyDescent="0.25"/>
    <row r="105408" s="12" customFormat="1" x14ac:dyDescent="0.25"/>
    <row r="105409" s="12" customFormat="1" x14ac:dyDescent="0.25"/>
    <row r="105410" s="12" customFormat="1" x14ac:dyDescent="0.25"/>
    <row r="105411" s="12" customFormat="1" x14ac:dyDescent="0.25"/>
    <row r="105412" s="12" customFormat="1" x14ac:dyDescent="0.25"/>
    <row r="105413" s="12" customFormat="1" x14ac:dyDescent="0.25"/>
    <row r="105414" s="12" customFormat="1" x14ac:dyDescent="0.25"/>
    <row r="105415" s="12" customFormat="1" x14ac:dyDescent="0.25"/>
    <row r="105416" s="12" customFormat="1" x14ac:dyDescent="0.25"/>
    <row r="105417" s="12" customFormat="1" x14ac:dyDescent="0.25"/>
    <row r="105418" s="12" customFormat="1" x14ac:dyDescent="0.25"/>
    <row r="105419" s="12" customFormat="1" x14ac:dyDescent="0.25"/>
    <row r="105420" s="12" customFormat="1" x14ac:dyDescent="0.25"/>
    <row r="105421" s="12" customFormat="1" x14ac:dyDescent="0.25"/>
    <row r="105422" s="12" customFormat="1" x14ac:dyDescent="0.25"/>
    <row r="105423" s="12" customFormat="1" x14ac:dyDescent="0.25"/>
    <row r="105424" s="12" customFormat="1" x14ac:dyDescent="0.25"/>
    <row r="105425" s="12" customFormat="1" x14ac:dyDescent="0.25"/>
    <row r="105426" s="12" customFormat="1" x14ac:dyDescent="0.25"/>
    <row r="105427" s="12" customFormat="1" x14ac:dyDescent="0.25"/>
    <row r="105428" s="12" customFormat="1" x14ac:dyDescent="0.25"/>
    <row r="105429" s="12" customFormat="1" x14ac:dyDescent="0.25"/>
    <row r="105430" s="12" customFormat="1" x14ac:dyDescent="0.25"/>
    <row r="105431" s="12" customFormat="1" x14ac:dyDescent="0.25"/>
    <row r="105432" s="12" customFormat="1" x14ac:dyDescent="0.25"/>
    <row r="105433" s="12" customFormat="1" x14ac:dyDescent="0.25"/>
    <row r="105434" s="12" customFormat="1" x14ac:dyDescent="0.25"/>
    <row r="105435" s="12" customFormat="1" x14ac:dyDescent="0.25"/>
    <row r="105436" s="12" customFormat="1" x14ac:dyDescent="0.25"/>
    <row r="105437" s="12" customFormat="1" x14ac:dyDescent="0.25"/>
    <row r="105438" s="12" customFormat="1" x14ac:dyDescent="0.25"/>
    <row r="105439" s="12" customFormat="1" x14ac:dyDescent="0.25"/>
    <row r="105440" s="12" customFormat="1" x14ac:dyDescent="0.25"/>
    <row r="105441" s="12" customFormat="1" x14ac:dyDescent="0.25"/>
    <row r="105442" s="12" customFormat="1" x14ac:dyDescent="0.25"/>
    <row r="105443" s="12" customFormat="1" x14ac:dyDescent="0.25"/>
    <row r="105444" s="12" customFormat="1" x14ac:dyDescent="0.25"/>
    <row r="105445" s="12" customFormat="1" x14ac:dyDescent="0.25"/>
    <row r="105446" s="12" customFormat="1" x14ac:dyDescent="0.25"/>
    <row r="105447" s="12" customFormat="1" x14ac:dyDescent="0.25"/>
    <row r="105448" s="12" customFormat="1" x14ac:dyDescent="0.25"/>
    <row r="105449" s="12" customFormat="1" x14ac:dyDescent="0.25"/>
    <row r="105450" s="12" customFormat="1" x14ac:dyDescent="0.25"/>
    <row r="105451" s="12" customFormat="1" x14ac:dyDescent="0.25"/>
    <row r="105452" s="12" customFormat="1" x14ac:dyDescent="0.25"/>
    <row r="105453" s="12" customFormat="1" x14ac:dyDescent="0.25"/>
    <row r="105454" s="12" customFormat="1" x14ac:dyDescent="0.25"/>
    <row r="105455" s="12" customFormat="1" x14ac:dyDescent="0.25"/>
    <row r="105456" s="12" customFormat="1" x14ac:dyDescent="0.25"/>
    <row r="105457" s="12" customFormat="1" x14ac:dyDescent="0.25"/>
    <row r="105458" s="12" customFormat="1" x14ac:dyDescent="0.25"/>
    <row r="105459" s="12" customFormat="1" x14ac:dyDescent="0.25"/>
    <row r="105460" s="12" customFormat="1" x14ac:dyDescent="0.25"/>
    <row r="105461" s="12" customFormat="1" x14ac:dyDescent="0.25"/>
    <row r="105462" s="12" customFormat="1" x14ac:dyDescent="0.25"/>
    <row r="105463" s="12" customFormat="1" x14ac:dyDescent="0.25"/>
    <row r="105464" s="12" customFormat="1" x14ac:dyDescent="0.25"/>
    <row r="105465" s="12" customFormat="1" x14ac:dyDescent="0.25"/>
    <row r="105466" s="12" customFormat="1" x14ac:dyDescent="0.25"/>
    <row r="105467" s="12" customFormat="1" x14ac:dyDescent="0.25"/>
    <row r="105468" s="12" customFormat="1" x14ac:dyDescent="0.25"/>
    <row r="105469" s="12" customFormat="1" x14ac:dyDescent="0.25"/>
    <row r="105470" s="12" customFormat="1" x14ac:dyDescent="0.25"/>
    <row r="105471" s="12" customFormat="1" x14ac:dyDescent="0.25"/>
    <row r="105472" s="12" customFormat="1" x14ac:dyDescent="0.25"/>
    <row r="105473" s="12" customFormat="1" x14ac:dyDescent="0.25"/>
    <row r="105474" s="12" customFormat="1" x14ac:dyDescent="0.25"/>
    <row r="105475" s="12" customFormat="1" x14ac:dyDescent="0.25"/>
    <row r="105476" s="12" customFormat="1" x14ac:dyDescent="0.25"/>
    <row r="105477" s="12" customFormat="1" x14ac:dyDescent="0.25"/>
    <row r="105478" s="12" customFormat="1" x14ac:dyDescent="0.25"/>
    <row r="105479" s="12" customFormat="1" x14ac:dyDescent="0.25"/>
    <row r="105480" s="12" customFormat="1" x14ac:dyDescent="0.25"/>
    <row r="105481" s="12" customFormat="1" x14ac:dyDescent="0.25"/>
    <row r="105482" s="12" customFormat="1" x14ac:dyDescent="0.25"/>
    <row r="105483" s="12" customFormat="1" x14ac:dyDescent="0.25"/>
    <row r="105484" s="12" customFormat="1" x14ac:dyDescent="0.25"/>
    <row r="105485" s="12" customFormat="1" x14ac:dyDescent="0.25"/>
    <row r="105486" s="12" customFormat="1" x14ac:dyDescent="0.25"/>
    <row r="105487" s="12" customFormat="1" x14ac:dyDescent="0.25"/>
    <row r="105488" s="12" customFormat="1" x14ac:dyDescent="0.25"/>
    <row r="105489" s="12" customFormat="1" x14ac:dyDescent="0.25"/>
    <row r="105490" s="12" customFormat="1" x14ac:dyDescent="0.25"/>
    <row r="105491" s="12" customFormat="1" x14ac:dyDescent="0.25"/>
    <row r="105492" s="12" customFormat="1" x14ac:dyDescent="0.25"/>
    <row r="105493" s="12" customFormat="1" x14ac:dyDescent="0.25"/>
    <row r="105494" s="12" customFormat="1" x14ac:dyDescent="0.25"/>
    <row r="105495" s="12" customFormat="1" x14ac:dyDescent="0.25"/>
    <row r="105496" s="12" customFormat="1" x14ac:dyDescent="0.25"/>
    <row r="105497" s="12" customFormat="1" x14ac:dyDescent="0.25"/>
    <row r="105498" s="12" customFormat="1" x14ac:dyDescent="0.25"/>
    <row r="105499" s="12" customFormat="1" x14ac:dyDescent="0.25"/>
    <row r="105500" s="12" customFormat="1" x14ac:dyDescent="0.25"/>
    <row r="105501" s="12" customFormat="1" x14ac:dyDescent="0.25"/>
    <row r="105502" s="12" customFormat="1" x14ac:dyDescent="0.25"/>
    <row r="105503" s="12" customFormat="1" x14ac:dyDescent="0.25"/>
    <row r="105504" s="12" customFormat="1" x14ac:dyDescent="0.25"/>
    <row r="105505" s="12" customFormat="1" x14ac:dyDescent="0.25"/>
    <row r="105506" s="12" customFormat="1" x14ac:dyDescent="0.25"/>
    <row r="105507" s="12" customFormat="1" x14ac:dyDescent="0.25"/>
    <row r="105508" s="12" customFormat="1" x14ac:dyDescent="0.25"/>
    <row r="105509" s="12" customFormat="1" x14ac:dyDescent="0.25"/>
    <row r="105510" s="12" customFormat="1" x14ac:dyDescent="0.25"/>
    <row r="105511" s="12" customFormat="1" x14ac:dyDescent="0.25"/>
    <row r="105512" s="12" customFormat="1" x14ac:dyDescent="0.25"/>
    <row r="105513" s="12" customFormat="1" x14ac:dyDescent="0.25"/>
    <row r="105514" s="12" customFormat="1" x14ac:dyDescent="0.25"/>
    <row r="105515" s="12" customFormat="1" x14ac:dyDescent="0.25"/>
    <row r="105516" s="12" customFormat="1" x14ac:dyDescent="0.25"/>
    <row r="105517" s="12" customFormat="1" x14ac:dyDescent="0.25"/>
    <row r="105518" s="12" customFormat="1" x14ac:dyDescent="0.25"/>
    <row r="105519" s="12" customFormat="1" x14ac:dyDescent="0.25"/>
    <row r="105520" s="12" customFormat="1" x14ac:dyDescent="0.25"/>
    <row r="105521" s="12" customFormat="1" x14ac:dyDescent="0.25"/>
    <row r="105522" s="12" customFormat="1" x14ac:dyDescent="0.25"/>
    <row r="105523" s="12" customFormat="1" x14ac:dyDescent="0.25"/>
    <row r="105524" s="12" customFormat="1" x14ac:dyDescent="0.25"/>
    <row r="105525" s="12" customFormat="1" x14ac:dyDescent="0.25"/>
    <row r="105526" s="12" customFormat="1" x14ac:dyDescent="0.25"/>
    <row r="105527" s="12" customFormat="1" x14ac:dyDescent="0.25"/>
    <row r="105528" s="12" customFormat="1" x14ac:dyDescent="0.25"/>
    <row r="105529" s="12" customFormat="1" x14ac:dyDescent="0.25"/>
    <row r="105530" s="12" customFormat="1" x14ac:dyDescent="0.25"/>
    <row r="105531" s="12" customFormat="1" x14ac:dyDescent="0.25"/>
    <row r="105532" s="12" customFormat="1" x14ac:dyDescent="0.25"/>
    <row r="105533" s="12" customFormat="1" x14ac:dyDescent="0.25"/>
    <row r="105534" s="12" customFormat="1" x14ac:dyDescent="0.25"/>
    <row r="105535" s="12" customFormat="1" x14ac:dyDescent="0.25"/>
    <row r="105536" s="12" customFormat="1" x14ac:dyDescent="0.25"/>
    <row r="105537" s="12" customFormat="1" x14ac:dyDescent="0.25"/>
    <row r="105538" s="12" customFormat="1" x14ac:dyDescent="0.25"/>
    <row r="105539" s="12" customFormat="1" x14ac:dyDescent="0.25"/>
    <row r="105540" s="12" customFormat="1" x14ac:dyDescent="0.25"/>
    <row r="105541" s="12" customFormat="1" x14ac:dyDescent="0.25"/>
    <row r="105542" s="12" customFormat="1" x14ac:dyDescent="0.25"/>
    <row r="105543" s="12" customFormat="1" x14ac:dyDescent="0.25"/>
    <row r="105544" s="12" customFormat="1" x14ac:dyDescent="0.25"/>
    <row r="105545" s="12" customFormat="1" x14ac:dyDescent="0.25"/>
    <row r="105546" s="12" customFormat="1" x14ac:dyDescent="0.25"/>
    <row r="105547" s="12" customFormat="1" x14ac:dyDescent="0.25"/>
    <row r="105548" s="12" customFormat="1" x14ac:dyDescent="0.25"/>
    <row r="105549" s="12" customFormat="1" x14ac:dyDescent="0.25"/>
    <row r="105550" s="12" customFormat="1" x14ac:dyDescent="0.25"/>
    <row r="105551" s="12" customFormat="1" x14ac:dyDescent="0.25"/>
    <row r="105552" s="12" customFormat="1" x14ac:dyDescent="0.25"/>
    <row r="105553" s="12" customFormat="1" x14ac:dyDescent="0.25"/>
    <row r="105554" s="12" customFormat="1" x14ac:dyDescent="0.25"/>
    <row r="105555" s="12" customFormat="1" x14ac:dyDescent="0.25"/>
    <row r="105556" s="12" customFormat="1" x14ac:dyDescent="0.25"/>
    <row r="105557" s="12" customFormat="1" x14ac:dyDescent="0.25"/>
    <row r="105558" s="12" customFormat="1" x14ac:dyDescent="0.25"/>
    <row r="105559" s="12" customFormat="1" x14ac:dyDescent="0.25"/>
    <row r="105560" s="12" customFormat="1" x14ac:dyDescent="0.25"/>
    <row r="105561" s="12" customFormat="1" x14ac:dyDescent="0.25"/>
    <row r="105562" s="12" customFormat="1" x14ac:dyDescent="0.25"/>
    <row r="105563" s="12" customFormat="1" x14ac:dyDescent="0.25"/>
    <row r="105564" s="12" customFormat="1" x14ac:dyDescent="0.25"/>
    <row r="105565" s="12" customFormat="1" x14ac:dyDescent="0.25"/>
    <row r="105566" s="12" customFormat="1" x14ac:dyDescent="0.25"/>
    <row r="105567" s="12" customFormat="1" x14ac:dyDescent="0.25"/>
    <row r="105568" s="12" customFormat="1" x14ac:dyDescent="0.25"/>
    <row r="105569" s="12" customFormat="1" x14ac:dyDescent="0.25"/>
    <row r="105570" s="12" customFormat="1" x14ac:dyDescent="0.25"/>
    <row r="105571" s="12" customFormat="1" x14ac:dyDescent="0.25"/>
    <row r="105572" s="12" customFormat="1" x14ac:dyDescent="0.25"/>
    <row r="105573" s="12" customFormat="1" x14ac:dyDescent="0.25"/>
    <row r="105574" s="12" customFormat="1" x14ac:dyDescent="0.25"/>
    <row r="105575" s="12" customFormat="1" x14ac:dyDescent="0.25"/>
    <row r="105576" s="12" customFormat="1" x14ac:dyDescent="0.25"/>
    <row r="105577" s="12" customFormat="1" x14ac:dyDescent="0.25"/>
    <row r="105578" s="12" customFormat="1" x14ac:dyDescent="0.25"/>
    <row r="105579" s="12" customFormat="1" x14ac:dyDescent="0.25"/>
    <row r="105580" s="12" customFormat="1" x14ac:dyDescent="0.25"/>
    <row r="105581" s="12" customFormat="1" x14ac:dyDescent="0.25"/>
    <row r="105582" s="12" customFormat="1" x14ac:dyDescent="0.25"/>
    <row r="105583" s="12" customFormat="1" x14ac:dyDescent="0.25"/>
    <row r="105584" s="12" customFormat="1" x14ac:dyDescent="0.25"/>
    <row r="105585" s="12" customFormat="1" x14ac:dyDescent="0.25"/>
    <row r="105586" s="12" customFormat="1" x14ac:dyDescent="0.25"/>
    <row r="105587" s="12" customFormat="1" x14ac:dyDescent="0.25"/>
    <row r="105588" s="12" customFormat="1" x14ac:dyDescent="0.25"/>
    <row r="105589" s="12" customFormat="1" x14ac:dyDescent="0.25"/>
    <row r="105590" s="12" customFormat="1" x14ac:dyDescent="0.25"/>
    <row r="105591" s="12" customFormat="1" x14ac:dyDescent="0.25"/>
    <row r="105592" s="12" customFormat="1" x14ac:dyDescent="0.25"/>
    <row r="105593" s="12" customFormat="1" x14ac:dyDescent="0.25"/>
    <row r="105594" s="12" customFormat="1" x14ac:dyDescent="0.25"/>
    <row r="105595" s="12" customFormat="1" x14ac:dyDescent="0.25"/>
    <row r="105596" s="12" customFormat="1" x14ac:dyDescent="0.25"/>
    <row r="105597" s="12" customFormat="1" x14ac:dyDescent="0.25"/>
    <row r="105598" s="12" customFormat="1" x14ac:dyDescent="0.25"/>
    <row r="105599" s="12" customFormat="1" x14ac:dyDescent="0.25"/>
    <row r="105600" s="12" customFormat="1" x14ac:dyDescent="0.25"/>
    <row r="105601" s="12" customFormat="1" x14ac:dyDescent="0.25"/>
    <row r="105602" s="12" customFormat="1" x14ac:dyDescent="0.25"/>
    <row r="105603" s="12" customFormat="1" x14ac:dyDescent="0.25"/>
    <row r="105604" s="12" customFormat="1" x14ac:dyDescent="0.25"/>
    <row r="105605" s="12" customFormat="1" x14ac:dyDescent="0.25"/>
    <row r="105606" s="12" customFormat="1" x14ac:dyDescent="0.25"/>
    <row r="105607" s="12" customFormat="1" x14ac:dyDescent="0.25"/>
    <row r="105608" s="12" customFormat="1" x14ac:dyDescent="0.25"/>
    <row r="105609" s="12" customFormat="1" x14ac:dyDescent="0.25"/>
    <row r="105610" s="12" customFormat="1" x14ac:dyDescent="0.25"/>
    <row r="105611" s="12" customFormat="1" x14ac:dyDescent="0.25"/>
    <row r="105612" s="12" customFormat="1" x14ac:dyDescent="0.25"/>
    <row r="105613" s="12" customFormat="1" x14ac:dyDescent="0.25"/>
    <row r="105614" s="12" customFormat="1" x14ac:dyDescent="0.25"/>
    <row r="105615" s="12" customFormat="1" x14ac:dyDescent="0.25"/>
    <row r="105616" s="12" customFormat="1" x14ac:dyDescent="0.25"/>
    <row r="105617" s="12" customFormat="1" x14ac:dyDescent="0.25"/>
    <row r="105618" s="12" customFormat="1" x14ac:dyDescent="0.25"/>
    <row r="105619" s="12" customFormat="1" x14ac:dyDescent="0.25"/>
    <row r="105620" s="12" customFormat="1" x14ac:dyDescent="0.25"/>
    <row r="105621" s="12" customFormat="1" x14ac:dyDescent="0.25"/>
    <row r="105622" s="12" customFormat="1" x14ac:dyDescent="0.25"/>
    <row r="105623" s="12" customFormat="1" x14ac:dyDescent="0.25"/>
    <row r="105624" s="12" customFormat="1" x14ac:dyDescent="0.25"/>
    <row r="105625" s="12" customFormat="1" x14ac:dyDescent="0.25"/>
    <row r="105626" s="12" customFormat="1" x14ac:dyDescent="0.25"/>
    <row r="105627" s="12" customFormat="1" x14ac:dyDescent="0.25"/>
    <row r="105628" s="12" customFormat="1" x14ac:dyDescent="0.25"/>
    <row r="105629" s="12" customFormat="1" x14ac:dyDescent="0.25"/>
    <row r="105630" s="12" customFormat="1" x14ac:dyDescent="0.25"/>
    <row r="105631" s="12" customFormat="1" x14ac:dyDescent="0.25"/>
    <row r="105632" s="12" customFormat="1" x14ac:dyDescent="0.25"/>
    <row r="105633" s="12" customFormat="1" x14ac:dyDescent="0.25"/>
    <row r="105634" s="12" customFormat="1" x14ac:dyDescent="0.25"/>
    <row r="105635" s="12" customFormat="1" x14ac:dyDescent="0.25"/>
    <row r="105636" s="12" customFormat="1" x14ac:dyDescent="0.25"/>
    <row r="105637" s="12" customFormat="1" x14ac:dyDescent="0.25"/>
    <row r="105638" s="12" customFormat="1" x14ac:dyDescent="0.25"/>
    <row r="105639" s="12" customFormat="1" x14ac:dyDescent="0.25"/>
    <row r="105640" s="12" customFormat="1" x14ac:dyDescent="0.25"/>
    <row r="105641" s="12" customFormat="1" x14ac:dyDescent="0.25"/>
    <row r="105642" s="12" customFormat="1" x14ac:dyDescent="0.25"/>
    <row r="105643" s="12" customFormat="1" x14ac:dyDescent="0.25"/>
    <row r="105644" s="12" customFormat="1" x14ac:dyDescent="0.25"/>
    <row r="105645" s="12" customFormat="1" x14ac:dyDescent="0.25"/>
    <row r="105646" s="12" customFormat="1" x14ac:dyDescent="0.25"/>
    <row r="105647" s="12" customFormat="1" x14ac:dyDescent="0.25"/>
    <row r="105648" s="12" customFormat="1" x14ac:dyDescent="0.25"/>
    <row r="105649" s="12" customFormat="1" x14ac:dyDescent="0.25"/>
    <row r="105650" s="12" customFormat="1" x14ac:dyDescent="0.25"/>
    <row r="105651" s="12" customFormat="1" x14ac:dyDescent="0.25"/>
    <row r="105652" s="12" customFormat="1" x14ac:dyDescent="0.25"/>
    <row r="105653" s="12" customFormat="1" x14ac:dyDescent="0.25"/>
    <row r="105654" s="12" customFormat="1" x14ac:dyDescent="0.25"/>
    <row r="105655" s="12" customFormat="1" x14ac:dyDescent="0.25"/>
    <row r="105656" s="12" customFormat="1" x14ac:dyDescent="0.25"/>
    <row r="105657" s="12" customFormat="1" x14ac:dyDescent="0.25"/>
    <row r="105658" s="12" customFormat="1" x14ac:dyDescent="0.25"/>
    <row r="105659" s="12" customFormat="1" x14ac:dyDescent="0.25"/>
    <row r="105660" s="12" customFormat="1" x14ac:dyDescent="0.25"/>
    <row r="105661" s="12" customFormat="1" x14ac:dyDescent="0.25"/>
    <row r="105662" s="12" customFormat="1" x14ac:dyDescent="0.25"/>
    <row r="105663" s="12" customFormat="1" x14ac:dyDescent="0.25"/>
    <row r="105664" s="12" customFormat="1" x14ac:dyDescent="0.25"/>
    <row r="105665" s="12" customFormat="1" x14ac:dyDescent="0.25"/>
    <row r="105666" s="12" customFormat="1" x14ac:dyDescent="0.25"/>
    <row r="105667" s="12" customFormat="1" x14ac:dyDescent="0.25"/>
    <row r="105668" s="12" customFormat="1" x14ac:dyDescent="0.25"/>
    <row r="105669" s="12" customFormat="1" x14ac:dyDescent="0.25"/>
    <row r="105670" s="12" customFormat="1" x14ac:dyDescent="0.25"/>
    <row r="105671" s="12" customFormat="1" x14ac:dyDescent="0.25"/>
    <row r="105672" s="12" customFormat="1" x14ac:dyDescent="0.25"/>
    <row r="105673" s="12" customFormat="1" x14ac:dyDescent="0.25"/>
    <row r="105674" s="12" customFormat="1" x14ac:dyDescent="0.25"/>
    <row r="105675" s="12" customFormat="1" x14ac:dyDescent="0.25"/>
    <row r="105676" s="12" customFormat="1" x14ac:dyDescent="0.25"/>
    <row r="105677" s="12" customFormat="1" x14ac:dyDescent="0.25"/>
    <row r="105678" s="12" customFormat="1" x14ac:dyDescent="0.25"/>
    <row r="105679" s="12" customFormat="1" x14ac:dyDescent="0.25"/>
    <row r="105680" s="12" customFormat="1" x14ac:dyDescent="0.25"/>
    <row r="105681" s="12" customFormat="1" x14ac:dyDescent="0.25"/>
    <row r="105682" s="12" customFormat="1" x14ac:dyDescent="0.25"/>
    <row r="105683" s="12" customFormat="1" x14ac:dyDescent="0.25"/>
    <row r="105684" s="12" customFormat="1" x14ac:dyDescent="0.25"/>
    <row r="105685" s="12" customFormat="1" x14ac:dyDescent="0.25"/>
    <row r="105686" s="12" customFormat="1" x14ac:dyDescent="0.25"/>
    <row r="105687" s="12" customFormat="1" x14ac:dyDescent="0.25"/>
    <row r="105688" s="12" customFormat="1" x14ac:dyDescent="0.25"/>
    <row r="105689" s="12" customFormat="1" x14ac:dyDescent="0.25"/>
    <row r="105690" s="12" customFormat="1" x14ac:dyDescent="0.25"/>
    <row r="105691" s="12" customFormat="1" x14ac:dyDescent="0.25"/>
    <row r="105692" s="12" customFormat="1" x14ac:dyDescent="0.25"/>
    <row r="105693" s="12" customFormat="1" x14ac:dyDescent="0.25"/>
    <row r="105694" s="12" customFormat="1" x14ac:dyDescent="0.25"/>
    <row r="105695" s="12" customFormat="1" x14ac:dyDescent="0.25"/>
    <row r="105696" s="12" customFormat="1" x14ac:dyDescent="0.25"/>
    <row r="105697" s="12" customFormat="1" x14ac:dyDescent="0.25"/>
    <row r="105698" s="12" customFormat="1" x14ac:dyDescent="0.25"/>
    <row r="105699" s="12" customFormat="1" x14ac:dyDescent="0.25"/>
    <row r="105700" s="12" customFormat="1" x14ac:dyDescent="0.25"/>
    <row r="105701" s="12" customFormat="1" x14ac:dyDescent="0.25"/>
    <row r="105702" s="12" customFormat="1" x14ac:dyDescent="0.25"/>
    <row r="105703" s="12" customFormat="1" x14ac:dyDescent="0.25"/>
    <row r="105704" s="12" customFormat="1" x14ac:dyDescent="0.25"/>
    <row r="105705" s="12" customFormat="1" x14ac:dyDescent="0.25"/>
    <row r="105706" s="12" customFormat="1" x14ac:dyDescent="0.25"/>
    <row r="105707" s="12" customFormat="1" x14ac:dyDescent="0.25"/>
    <row r="105708" s="12" customFormat="1" x14ac:dyDescent="0.25"/>
    <row r="105709" s="12" customFormat="1" x14ac:dyDescent="0.25"/>
    <row r="105710" s="12" customFormat="1" x14ac:dyDescent="0.25"/>
    <row r="105711" s="12" customFormat="1" x14ac:dyDescent="0.25"/>
    <row r="105712" s="12" customFormat="1" x14ac:dyDescent="0.25"/>
    <row r="105713" s="12" customFormat="1" x14ac:dyDescent="0.25"/>
    <row r="105714" s="12" customFormat="1" x14ac:dyDescent="0.25"/>
    <row r="105715" s="12" customFormat="1" x14ac:dyDescent="0.25"/>
    <row r="105716" s="12" customFormat="1" x14ac:dyDescent="0.25"/>
    <row r="105717" s="12" customFormat="1" x14ac:dyDescent="0.25"/>
    <row r="105718" s="12" customFormat="1" x14ac:dyDescent="0.25"/>
    <row r="105719" s="12" customFormat="1" x14ac:dyDescent="0.25"/>
    <row r="105720" s="12" customFormat="1" x14ac:dyDescent="0.25"/>
    <row r="105721" s="12" customFormat="1" x14ac:dyDescent="0.25"/>
    <row r="105722" s="12" customFormat="1" x14ac:dyDescent="0.25"/>
    <row r="105723" s="12" customFormat="1" x14ac:dyDescent="0.25"/>
    <row r="105724" s="12" customFormat="1" x14ac:dyDescent="0.25"/>
    <row r="105725" s="12" customFormat="1" x14ac:dyDescent="0.25"/>
    <row r="105726" s="12" customFormat="1" x14ac:dyDescent="0.25"/>
    <row r="105727" s="12" customFormat="1" x14ac:dyDescent="0.25"/>
    <row r="105728" s="12" customFormat="1" x14ac:dyDescent="0.25"/>
    <row r="105729" s="12" customFormat="1" x14ac:dyDescent="0.25"/>
    <row r="105730" s="12" customFormat="1" x14ac:dyDescent="0.25"/>
    <row r="105731" s="12" customFormat="1" x14ac:dyDescent="0.25"/>
    <row r="105732" s="12" customFormat="1" x14ac:dyDescent="0.25"/>
    <row r="105733" s="12" customFormat="1" x14ac:dyDescent="0.25"/>
    <row r="105734" s="12" customFormat="1" x14ac:dyDescent="0.25"/>
    <row r="105735" s="12" customFormat="1" x14ac:dyDescent="0.25"/>
    <row r="105736" s="12" customFormat="1" x14ac:dyDescent="0.25"/>
    <row r="105737" s="12" customFormat="1" x14ac:dyDescent="0.25"/>
    <row r="105738" s="12" customFormat="1" x14ac:dyDescent="0.25"/>
    <row r="105739" s="12" customFormat="1" x14ac:dyDescent="0.25"/>
    <row r="105740" s="12" customFormat="1" x14ac:dyDescent="0.25"/>
    <row r="105741" s="12" customFormat="1" x14ac:dyDescent="0.25"/>
    <row r="105742" s="12" customFormat="1" x14ac:dyDescent="0.25"/>
    <row r="105743" s="12" customFormat="1" x14ac:dyDescent="0.25"/>
    <row r="105744" s="12" customFormat="1" x14ac:dyDescent="0.25"/>
    <row r="105745" s="12" customFormat="1" x14ac:dyDescent="0.25"/>
    <row r="105746" s="12" customFormat="1" x14ac:dyDescent="0.25"/>
    <row r="105747" s="12" customFormat="1" x14ac:dyDescent="0.25"/>
    <row r="105748" s="12" customFormat="1" x14ac:dyDescent="0.25"/>
    <row r="105749" s="12" customFormat="1" x14ac:dyDescent="0.25"/>
    <row r="105750" s="12" customFormat="1" x14ac:dyDescent="0.25"/>
    <row r="105751" s="12" customFormat="1" x14ac:dyDescent="0.25"/>
    <row r="105752" s="12" customFormat="1" x14ac:dyDescent="0.25"/>
    <row r="105753" s="12" customFormat="1" x14ac:dyDescent="0.25"/>
    <row r="105754" s="12" customFormat="1" x14ac:dyDescent="0.25"/>
    <row r="105755" s="12" customFormat="1" x14ac:dyDescent="0.25"/>
    <row r="105756" s="12" customFormat="1" x14ac:dyDescent="0.25"/>
    <row r="105757" s="12" customFormat="1" x14ac:dyDescent="0.25"/>
    <row r="105758" s="12" customFormat="1" x14ac:dyDescent="0.25"/>
    <row r="105759" s="12" customFormat="1" x14ac:dyDescent="0.25"/>
    <row r="105760" s="12" customFormat="1" x14ac:dyDescent="0.25"/>
    <row r="105761" s="12" customFormat="1" x14ac:dyDescent="0.25"/>
    <row r="105762" s="12" customFormat="1" x14ac:dyDescent="0.25"/>
    <row r="105763" s="12" customFormat="1" x14ac:dyDescent="0.25"/>
    <row r="105764" s="12" customFormat="1" x14ac:dyDescent="0.25"/>
    <row r="105765" s="12" customFormat="1" x14ac:dyDescent="0.25"/>
    <row r="105766" s="12" customFormat="1" x14ac:dyDescent="0.25"/>
    <row r="105767" s="12" customFormat="1" x14ac:dyDescent="0.25"/>
    <row r="105768" s="12" customFormat="1" x14ac:dyDescent="0.25"/>
    <row r="105769" s="12" customFormat="1" x14ac:dyDescent="0.25"/>
    <row r="105770" s="12" customFormat="1" x14ac:dyDescent="0.25"/>
    <row r="105771" s="12" customFormat="1" x14ac:dyDescent="0.25"/>
    <row r="105772" s="12" customFormat="1" x14ac:dyDescent="0.25"/>
    <row r="105773" s="12" customFormat="1" x14ac:dyDescent="0.25"/>
    <row r="105774" s="12" customFormat="1" x14ac:dyDescent="0.25"/>
    <row r="105775" s="12" customFormat="1" x14ac:dyDescent="0.25"/>
    <row r="105776" s="12" customFormat="1" x14ac:dyDescent="0.25"/>
    <row r="105777" s="12" customFormat="1" x14ac:dyDescent="0.25"/>
    <row r="105778" s="12" customFormat="1" x14ac:dyDescent="0.25"/>
    <row r="105779" s="12" customFormat="1" x14ac:dyDescent="0.25"/>
    <row r="105780" s="12" customFormat="1" x14ac:dyDescent="0.25"/>
    <row r="105781" s="12" customFormat="1" x14ac:dyDescent="0.25"/>
    <row r="105782" s="12" customFormat="1" x14ac:dyDescent="0.25"/>
    <row r="105783" s="12" customFormat="1" x14ac:dyDescent="0.25"/>
    <row r="105784" s="12" customFormat="1" x14ac:dyDescent="0.25"/>
    <row r="105785" s="12" customFormat="1" x14ac:dyDescent="0.25"/>
    <row r="105786" s="12" customFormat="1" x14ac:dyDescent="0.25"/>
    <row r="105787" s="12" customFormat="1" x14ac:dyDescent="0.25"/>
    <row r="105788" s="12" customFormat="1" x14ac:dyDescent="0.25"/>
    <row r="105789" s="12" customFormat="1" x14ac:dyDescent="0.25"/>
    <row r="105790" s="12" customFormat="1" x14ac:dyDescent="0.25"/>
    <row r="105791" s="12" customFormat="1" x14ac:dyDescent="0.25"/>
    <row r="105792" s="12" customFormat="1" x14ac:dyDescent="0.25"/>
    <row r="105793" s="12" customFormat="1" x14ac:dyDescent="0.25"/>
    <row r="105794" s="12" customFormat="1" x14ac:dyDescent="0.25"/>
    <row r="105795" s="12" customFormat="1" x14ac:dyDescent="0.25"/>
    <row r="105796" s="12" customFormat="1" x14ac:dyDescent="0.25"/>
    <row r="105797" s="12" customFormat="1" x14ac:dyDescent="0.25"/>
    <row r="105798" s="12" customFormat="1" x14ac:dyDescent="0.25"/>
    <row r="105799" s="12" customFormat="1" x14ac:dyDescent="0.25"/>
    <row r="105800" s="12" customFormat="1" x14ac:dyDescent="0.25"/>
    <row r="105801" s="12" customFormat="1" x14ac:dyDescent="0.25"/>
    <row r="105802" s="12" customFormat="1" x14ac:dyDescent="0.25"/>
    <row r="105803" s="12" customFormat="1" x14ac:dyDescent="0.25"/>
    <row r="105804" s="12" customFormat="1" x14ac:dyDescent="0.25"/>
    <row r="105805" s="12" customFormat="1" x14ac:dyDescent="0.25"/>
    <row r="105806" s="12" customFormat="1" x14ac:dyDescent="0.25"/>
    <row r="105807" s="12" customFormat="1" x14ac:dyDescent="0.25"/>
    <row r="105808" s="12" customFormat="1" x14ac:dyDescent="0.25"/>
    <row r="105809" s="12" customFormat="1" x14ac:dyDescent="0.25"/>
    <row r="105810" s="12" customFormat="1" x14ac:dyDescent="0.25"/>
    <row r="105811" s="12" customFormat="1" x14ac:dyDescent="0.25"/>
    <row r="105812" s="12" customFormat="1" x14ac:dyDescent="0.25"/>
    <row r="105813" s="12" customFormat="1" x14ac:dyDescent="0.25"/>
    <row r="105814" s="12" customFormat="1" x14ac:dyDescent="0.25"/>
    <row r="105815" s="12" customFormat="1" x14ac:dyDescent="0.25"/>
    <row r="105816" s="12" customFormat="1" x14ac:dyDescent="0.25"/>
    <row r="105817" s="12" customFormat="1" x14ac:dyDescent="0.25"/>
    <row r="105818" s="12" customFormat="1" x14ac:dyDescent="0.25"/>
    <row r="105819" s="12" customFormat="1" x14ac:dyDescent="0.25"/>
    <row r="105820" s="12" customFormat="1" x14ac:dyDescent="0.25"/>
    <row r="105821" s="12" customFormat="1" x14ac:dyDescent="0.25"/>
    <row r="105822" s="12" customFormat="1" x14ac:dyDescent="0.25"/>
    <row r="105823" s="12" customFormat="1" x14ac:dyDescent="0.25"/>
    <row r="105824" s="12" customFormat="1" x14ac:dyDescent="0.25"/>
    <row r="105825" s="12" customFormat="1" x14ac:dyDescent="0.25"/>
    <row r="105826" s="12" customFormat="1" x14ac:dyDescent="0.25"/>
    <row r="105827" s="12" customFormat="1" x14ac:dyDescent="0.25"/>
    <row r="105828" s="12" customFormat="1" x14ac:dyDescent="0.25"/>
    <row r="105829" s="12" customFormat="1" x14ac:dyDescent="0.25"/>
    <row r="105830" s="12" customFormat="1" x14ac:dyDescent="0.25"/>
    <row r="105831" s="12" customFormat="1" x14ac:dyDescent="0.25"/>
    <row r="105832" s="12" customFormat="1" x14ac:dyDescent="0.25"/>
    <row r="105833" s="12" customFormat="1" x14ac:dyDescent="0.25"/>
    <row r="105834" s="12" customFormat="1" x14ac:dyDescent="0.25"/>
    <row r="105835" s="12" customFormat="1" x14ac:dyDescent="0.25"/>
    <row r="105836" s="12" customFormat="1" x14ac:dyDescent="0.25"/>
    <row r="105837" s="12" customFormat="1" x14ac:dyDescent="0.25"/>
    <row r="105838" s="12" customFormat="1" x14ac:dyDescent="0.25"/>
    <row r="105839" s="12" customFormat="1" x14ac:dyDescent="0.25"/>
    <row r="105840" s="12" customFormat="1" x14ac:dyDescent="0.25"/>
    <row r="105841" s="12" customFormat="1" x14ac:dyDescent="0.25"/>
    <row r="105842" s="12" customFormat="1" x14ac:dyDescent="0.25"/>
    <row r="105843" s="12" customFormat="1" x14ac:dyDescent="0.25"/>
    <row r="105844" s="12" customFormat="1" x14ac:dyDescent="0.25"/>
    <row r="105845" s="12" customFormat="1" x14ac:dyDescent="0.25"/>
    <row r="105846" s="12" customFormat="1" x14ac:dyDescent="0.25"/>
    <row r="105847" s="12" customFormat="1" x14ac:dyDescent="0.25"/>
    <row r="105848" s="12" customFormat="1" x14ac:dyDescent="0.25"/>
    <row r="105849" s="12" customFormat="1" x14ac:dyDescent="0.25"/>
    <row r="105850" s="12" customFormat="1" x14ac:dyDescent="0.25"/>
    <row r="105851" s="12" customFormat="1" x14ac:dyDescent="0.25"/>
    <row r="105852" s="12" customFormat="1" x14ac:dyDescent="0.25"/>
    <row r="105853" s="12" customFormat="1" x14ac:dyDescent="0.25"/>
    <row r="105854" s="12" customFormat="1" x14ac:dyDescent="0.25"/>
    <row r="105855" s="12" customFormat="1" x14ac:dyDescent="0.25"/>
    <row r="105856" s="12" customFormat="1" x14ac:dyDescent="0.25"/>
    <row r="105857" s="12" customFormat="1" x14ac:dyDescent="0.25"/>
    <row r="105858" s="12" customFormat="1" x14ac:dyDescent="0.25"/>
    <row r="105859" s="12" customFormat="1" x14ac:dyDescent="0.25"/>
    <row r="105860" s="12" customFormat="1" x14ac:dyDescent="0.25"/>
    <row r="105861" s="12" customFormat="1" x14ac:dyDescent="0.25"/>
    <row r="105862" s="12" customFormat="1" x14ac:dyDescent="0.25"/>
    <row r="105863" s="12" customFormat="1" x14ac:dyDescent="0.25"/>
    <row r="105864" s="12" customFormat="1" x14ac:dyDescent="0.25"/>
    <row r="105865" s="12" customFormat="1" x14ac:dyDescent="0.25"/>
    <row r="105866" s="12" customFormat="1" x14ac:dyDescent="0.25"/>
    <row r="105867" s="12" customFormat="1" x14ac:dyDescent="0.25"/>
    <row r="105868" s="12" customFormat="1" x14ac:dyDescent="0.25"/>
    <row r="105869" s="12" customFormat="1" x14ac:dyDescent="0.25"/>
    <row r="105870" s="12" customFormat="1" x14ac:dyDescent="0.25"/>
    <row r="105871" s="12" customFormat="1" x14ac:dyDescent="0.25"/>
    <row r="105872" s="12" customFormat="1" x14ac:dyDescent="0.25"/>
    <row r="105873" s="12" customFormat="1" x14ac:dyDescent="0.25"/>
    <row r="105874" s="12" customFormat="1" x14ac:dyDescent="0.25"/>
    <row r="105875" s="12" customFormat="1" x14ac:dyDescent="0.25"/>
    <row r="105876" s="12" customFormat="1" x14ac:dyDescent="0.25"/>
    <row r="105877" s="12" customFormat="1" x14ac:dyDescent="0.25"/>
    <row r="105878" s="12" customFormat="1" x14ac:dyDescent="0.25"/>
    <row r="105879" s="12" customFormat="1" x14ac:dyDescent="0.25"/>
    <row r="105880" s="12" customFormat="1" x14ac:dyDescent="0.25"/>
    <row r="105881" s="12" customFormat="1" x14ac:dyDescent="0.25"/>
    <row r="105882" s="12" customFormat="1" x14ac:dyDescent="0.25"/>
    <row r="105883" s="12" customFormat="1" x14ac:dyDescent="0.25"/>
    <row r="105884" s="12" customFormat="1" x14ac:dyDescent="0.25"/>
    <row r="105885" s="12" customFormat="1" x14ac:dyDescent="0.25"/>
    <row r="105886" s="12" customFormat="1" x14ac:dyDescent="0.25"/>
    <row r="105887" s="12" customFormat="1" x14ac:dyDescent="0.25"/>
    <row r="105888" s="12" customFormat="1" x14ac:dyDescent="0.25"/>
    <row r="105889" s="12" customFormat="1" x14ac:dyDescent="0.25"/>
    <row r="105890" s="12" customFormat="1" x14ac:dyDescent="0.25"/>
    <row r="105891" s="12" customFormat="1" x14ac:dyDescent="0.25"/>
    <row r="105892" s="12" customFormat="1" x14ac:dyDescent="0.25"/>
    <row r="105893" s="12" customFormat="1" x14ac:dyDescent="0.25"/>
    <row r="105894" s="12" customFormat="1" x14ac:dyDescent="0.25"/>
    <row r="105895" s="12" customFormat="1" x14ac:dyDescent="0.25"/>
    <row r="105896" s="12" customFormat="1" x14ac:dyDescent="0.25"/>
    <row r="105897" s="12" customFormat="1" x14ac:dyDescent="0.25"/>
    <row r="105898" s="12" customFormat="1" x14ac:dyDescent="0.25"/>
    <row r="105899" s="12" customFormat="1" x14ac:dyDescent="0.25"/>
    <row r="105900" s="12" customFormat="1" x14ac:dyDescent="0.25"/>
    <row r="105901" s="12" customFormat="1" x14ac:dyDescent="0.25"/>
    <row r="105902" s="12" customFormat="1" x14ac:dyDescent="0.25"/>
    <row r="105903" s="12" customFormat="1" x14ac:dyDescent="0.25"/>
    <row r="105904" s="12" customFormat="1" x14ac:dyDescent="0.25"/>
    <row r="105905" s="12" customFormat="1" x14ac:dyDescent="0.25"/>
    <row r="105906" s="12" customFormat="1" x14ac:dyDescent="0.25"/>
    <row r="105907" s="12" customFormat="1" x14ac:dyDescent="0.25"/>
    <row r="105908" s="12" customFormat="1" x14ac:dyDescent="0.25"/>
    <row r="105909" s="12" customFormat="1" x14ac:dyDescent="0.25"/>
    <row r="105910" s="12" customFormat="1" x14ac:dyDescent="0.25"/>
    <row r="105911" s="12" customFormat="1" x14ac:dyDescent="0.25"/>
    <row r="105912" s="12" customFormat="1" x14ac:dyDescent="0.25"/>
    <row r="105913" s="12" customFormat="1" x14ac:dyDescent="0.25"/>
    <row r="105914" s="12" customFormat="1" x14ac:dyDescent="0.25"/>
    <row r="105915" s="12" customFormat="1" x14ac:dyDescent="0.25"/>
    <row r="105916" s="12" customFormat="1" x14ac:dyDescent="0.25"/>
    <row r="105917" s="12" customFormat="1" x14ac:dyDescent="0.25"/>
    <row r="105918" s="12" customFormat="1" x14ac:dyDescent="0.25"/>
    <row r="105919" s="12" customFormat="1" x14ac:dyDescent="0.25"/>
    <row r="105920" s="12" customFormat="1" x14ac:dyDescent="0.25"/>
    <row r="105921" s="12" customFormat="1" x14ac:dyDescent="0.25"/>
    <row r="105922" s="12" customFormat="1" x14ac:dyDescent="0.25"/>
    <row r="105923" s="12" customFormat="1" x14ac:dyDescent="0.25"/>
    <row r="105924" s="12" customFormat="1" x14ac:dyDescent="0.25"/>
    <row r="105925" s="12" customFormat="1" x14ac:dyDescent="0.25"/>
    <row r="105926" s="12" customFormat="1" x14ac:dyDescent="0.25"/>
    <row r="105927" s="12" customFormat="1" x14ac:dyDescent="0.25"/>
    <row r="105928" s="12" customFormat="1" x14ac:dyDescent="0.25"/>
    <row r="105929" s="12" customFormat="1" x14ac:dyDescent="0.25"/>
    <row r="105930" s="12" customFormat="1" x14ac:dyDescent="0.25"/>
    <row r="105931" s="12" customFormat="1" x14ac:dyDescent="0.25"/>
    <row r="105932" s="12" customFormat="1" x14ac:dyDescent="0.25"/>
    <row r="105933" s="12" customFormat="1" x14ac:dyDescent="0.25"/>
    <row r="105934" s="12" customFormat="1" x14ac:dyDescent="0.25"/>
    <row r="105935" s="12" customFormat="1" x14ac:dyDescent="0.25"/>
    <row r="105936" s="12" customFormat="1" x14ac:dyDescent="0.25"/>
    <row r="105937" s="12" customFormat="1" x14ac:dyDescent="0.25"/>
    <row r="105938" s="12" customFormat="1" x14ac:dyDescent="0.25"/>
    <row r="105939" s="12" customFormat="1" x14ac:dyDescent="0.25"/>
    <row r="105940" s="12" customFormat="1" x14ac:dyDescent="0.25"/>
    <row r="105941" s="12" customFormat="1" x14ac:dyDescent="0.25"/>
    <row r="105942" s="12" customFormat="1" x14ac:dyDescent="0.25"/>
    <row r="105943" s="12" customFormat="1" x14ac:dyDescent="0.25"/>
    <row r="105944" s="12" customFormat="1" x14ac:dyDescent="0.25"/>
    <row r="105945" s="12" customFormat="1" x14ac:dyDescent="0.25"/>
    <row r="105946" s="12" customFormat="1" x14ac:dyDescent="0.25"/>
    <row r="105947" s="12" customFormat="1" x14ac:dyDescent="0.25"/>
    <row r="105948" s="12" customFormat="1" x14ac:dyDescent="0.25"/>
    <row r="105949" s="12" customFormat="1" x14ac:dyDescent="0.25"/>
    <row r="105950" s="12" customFormat="1" x14ac:dyDescent="0.25"/>
    <row r="105951" s="12" customFormat="1" x14ac:dyDescent="0.25"/>
    <row r="105952" s="12" customFormat="1" x14ac:dyDescent="0.25"/>
    <row r="105953" s="12" customFormat="1" x14ac:dyDescent="0.25"/>
    <row r="105954" s="12" customFormat="1" x14ac:dyDescent="0.25"/>
    <row r="105955" s="12" customFormat="1" x14ac:dyDescent="0.25"/>
    <row r="105956" s="12" customFormat="1" x14ac:dyDescent="0.25"/>
    <row r="105957" s="12" customFormat="1" x14ac:dyDescent="0.25"/>
    <row r="105958" s="12" customFormat="1" x14ac:dyDescent="0.25"/>
    <row r="105959" s="12" customFormat="1" x14ac:dyDescent="0.25"/>
    <row r="105960" s="12" customFormat="1" x14ac:dyDescent="0.25"/>
    <row r="105961" s="12" customFormat="1" x14ac:dyDescent="0.25"/>
    <row r="105962" s="12" customFormat="1" x14ac:dyDescent="0.25"/>
    <row r="105963" s="12" customFormat="1" x14ac:dyDescent="0.25"/>
    <row r="105964" s="12" customFormat="1" x14ac:dyDescent="0.25"/>
    <row r="105965" s="12" customFormat="1" x14ac:dyDescent="0.25"/>
    <row r="105966" s="12" customFormat="1" x14ac:dyDescent="0.25"/>
    <row r="105967" s="12" customFormat="1" x14ac:dyDescent="0.25"/>
    <row r="105968" s="12" customFormat="1" x14ac:dyDescent="0.25"/>
    <row r="105969" s="12" customFormat="1" x14ac:dyDescent="0.25"/>
    <row r="105970" s="12" customFormat="1" x14ac:dyDescent="0.25"/>
    <row r="105971" s="12" customFormat="1" x14ac:dyDescent="0.25"/>
    <row r="105972" s="12" customFormat="1" x14ac:dyDescent="0.25"/>
    <row r="105973" s="12" customFormat="1" x14ac:dyDescent="0.25"/>
    <row r="105974" s="12" customFormat="1" x14ac:dyDescent="0.25"/>
    <row r="105975" s="12" customFormat="1" x14ac:dyDescent="0.25"/>
    <row r="105976" s="12" customFormat="1" x14ac:dyDescent="0.25"/>
    <row r="105977" s="12" customFormat="1" x14ac:dyDescent="0.25"/>
    <row r="105978" s="12" customFormat="1" x14ac:dyDescent="0.25"/>
    <row r="105979" s="12" customFormat="1" x14ac:dyDescent="0.25"/>
    <row r="105980" s="12" customFormat="1" x14ac:dyDescent="0.25"/>
    <row r="105981" s="12" customFormat="1" x14ac:dyDescent="0.25"/>
    <row r="105982" s="12" customFormat="1" x14ac:dyDescent="0.25"/>
    <row r="105983" s="12" customFormat="1" x14ac:dyDescent="0.25"/>
    <row r="105984" s="12" customFormat="1" x14ac:dyDescent="0.25"/>
    <row r="105985" s="12" customFormat="1" x14ac:dyDescent="0.25"/>
    <row r="105986" s="12" customFormat="1" x14ac:dyDescent="0.25"/>
    <row r="105987" s="12" customFormat="1" x14ac:dyDescent="0.25"/>
    <row r="105988" s="12" customFormat="1" x14ac:dyDescent="0.25"/>
    <row r="105989" s="12" customFormat="1" x14ac:dyDescent="0.25"/>
    <row r="105990" s="12" customFormat="1" x14ac:dyDescent="0.25"/>
    <row r="105991" s="12" customFormat="1" x14ac:dyDescent="0.25"/>
    <row r="105992" s="12" customFormat="1" x14ac:dyDescent="0.25"/>
    <row r="105993" s="12" customFormat="1" x14ac:dyDescent="0.25"/>
    <row r="105994" s="12" customFormat="1" x14ac:dyDescent="0.25"/>
    <row r="105995" s="12" customFormat="1" x14ac:dyDescent="0.25"/>
    <row r="105996" s="12" customFormat="1" x14ac:dyDescent="0.25"/>
    <row r="105997" s="12" customFormat="1" x14ac:dyDescent="0.25"/>
    <row r="105998" s="12" customFormat="1" x14ac:dyDescent="0.25"/>
    <row r="105999" s="12" customFormat="1" x14ac:dyDescent="0.25"/>
    <row r="106000" s="12" customFormat="1" x14ac:dyDescent="0.25"/>
    <row r="106001" s="12" customFormat="1" x14ac:dyDescent="0.25"/>
    <row r="106002" s="12" customFormat="1" x14ac:dyDescent="0.25"/>
    <row r="106003" s="12" customFormat="1" x14ac:dyDescent="0.25"/>
    <row r="106004" s="12" customFormat="1" x14ac:dyDescent="0.25"/>
    <row r="106005" s="12" customFormat="1" x14ac:dyDescent="0.25"/>
    <row r="106006" s="12" customFormat="1" x14ac:dyDescent="0.25"/>
    <row r="106007" s="12" customFormat="1" x14ac:dyDescent="0.25"/>
    <row r="106008" s="12" customFormat="1" x14ac:dyDescent="0.25"/>
    <row r="106009" s="12" customFormat="1" x14ac:dyDescent="0.25"/>
    <row r="106010" s="12" customFormat="1" x14ac:dyDescent="0.25"/>
    <row r="106011" s="12" customFormat="1" x14ac:dyDescent="0.25"/>
    <row r="106012" s="12" customFormat="1" x14ac:dyDescent="0.25"/>
    <row r="106013" s="12" customFormat="1" x14ac:dyDescent="0.25"/>
    <row r="106014" s="12" customFormat="1" x14ac:dyDescent="0.25"/>
    <row r="106015" s="12" customFormat="1" x14ac:dyDescent="0.25"/>
    <row r="106016" s="12" customFormat="1" x14ac:dyDescent="0.25"/>
    <row r="106017" s="12" customFormat="1" x14ac:dyDescent="0.25"/>
    <row r="106018" s="12" customFormat="1" x14ac:dyDescent="0.25"/>
    <row r="106019" s="12" customFormat="1" x14ac:dyDescent="0.25"/>
    <row r="106020" s="12" customFormat="1" x14ac:dyDescent="0.25"/>
    <row r="106021" s="12" customFormat="1" x14ac:dyDescent="0.25"/>
    <row r="106022" s="12" customFormat="1" x14ac:dyDescent="0.25"/>
    <row r="106023" s="12" customFormat="1" x14ac:dyDescent="0.25"/>
    <row r="106024" s="12" customFormat="1" x14ac:dyDescent="0.25"/>
    <row r="106025" s="12" customFormat="1" x14ac:dyDescent="0.25"/>
    <row r="106026" s="12" customFormat="1" x14ac:dyDescent="0.25"/>
    <row r="106027" s="12" customFormat="1" x14ac:dyDescent="0.25"/>
    <row r="106028" s="12" customFormat="1" x14ac:dyDescent="0.25"/>
    <row r="106029" s="12" customFormat="1" x14ac:dyDescent="0.25"/>
    <row r="106030" s="12" customFormat="1" x14ac:dyDescent="0.25"/>
    <row r="106031" s="12" customFormat="1" x14ac:dyDescent="0.25"/>
    <row r="106032" s="12" customFormat="1" x14ac:dyDescent="0.25"/>
    <row r="106033" s="12" customFormat="1" x14ac:dyDescent="0.25"/>
    <row r="106034" s="12" customFormat="1" x14ac:dyDescent="0.25"/>
    <row r="106035" s="12" customFormat="1" x14ac:dyDescent="0.25"/>
    <row r="106036" s="12" customFormat="1" x14ac:dyDescent="0.25"/>
    <row r="106037" s="12" customFormat="1" x14ac:dyDescent="0.25"/>
    <row r="106038" s="12" customFormat="1" x14ac:dyDescent="0.25"/>
    <row r="106039" s="12" customFormat="1" x14ac:dyDescent="0.25"/>
    <row r="106040" s="12" customFormat="1" x14ac:dyDescent="0.25"/>
    <row r="106041" s="12" customFormat="1" x14ac:dyDescent="0.25"/>
    <row r="106042" s="12" customFormat="1" x14ac:dyDescent="0.25"/>
    <row r="106043" s="12" customFormat="1" x14ac:dyDescent="0.25"/>
    <row r="106044" s="12" customFormat="1" x14ac:dyDescent="0.25"/>
    <row r="106045" s="12" customFormat="1" x14ac:dyDescent="0.25"/>
    <row r="106046" s="12" customFormat="1" x14ac:dyDescent="0.25"/>
    <row r="106047" s="12" customFormat="1" x14ac:dyDescent="0.25"/>
    <row r="106048" s="12" customFormat="1" x14ac:dyDescent="0.25"/>
    <row r="106049" s="12" customFormat="1" x14ac:dyDescent="0.25"/>
    <row r="106050" s="12" customFormat="1" x14ac:dyDescent="0.25"/>
    <row r="106051" s="12" customFormat="1" x14ac:dyDescent="0.25"/>
    <row r="106052" s="12" customFormat="1" x14ac:dyDescent="0.25"/>
    <row r="106053" s="12" customFormat="1" x14ac:dyDescent="0.25"/>
    <row r="106054" s="12" customFormat="1" x14ac:dyDescent="0.25"/>
    <row r="106055" s="12" customFormat="1" x14ac:dyDescent="0.25"/>
    <row r="106056" s="12" customFormat="1" x14ac:dyDescent="0.25"/>
    <row r="106057" s="12" customFormat="1" x14ac:dyDescent="0.25"/>
    <row r="106058" s="12" customFormat="1" x14ac:dyDescent="0.25"/>
    <row r="106059" s="12" customFormat="1" x14ac:dyDescent="0.25"/>
    <row r="106060" s="12" customFormat="1" x14ac:dyDescent="0.25"/>
    <row r="106061" s="12" customFormat="1" x14ac:dyDescent="0.25"/>
    <row r="106062" s="12" customFormat="1" x14ac:dyDescent="0.25"/>
    <row r="106063" s="12" customFormat="1" x14ac:dyDescent="0.25"/>
    <row r="106064" s="12" customFormat="1" x14ac:dyDescent="0.25"/>
    <row r="106065" s="12" customFormat="1" x14ac:dyDescent="0.25"/>
    <row r="106066" s="12" customFormat="1" x14ac:dyDescent="0.25"/>
    <row r="106067" s="12" customFormat="1" x14ac:dyDescent="0.25"/>
    <row r="106068" s="12" customFormat="1" x14ac:dyDescent="0.25"/>
    <row r="106069" s="12" customFormat="1" x14ac:dyDescent="0.25"/>
    <row r="106070" s="12" customFormat="1" x14ac:dyDescent="0.25"/>
    <row r="106071" s="12" customFormat="1" x14ac:dyDescent="0.25"/>
    <row r="106072" s="12" customFormat="1" x14ac:dyDescent="0.25"/>
    <row r="106073" s="12" customFormat="1" x14ac:dyDescent="0.25"/>
    <row r="106074" s="12" customFormat="1" x14ac:dyDescent="0.25"/>
    <row r="106075" s="12" customFormat="1" x14ac:dyDescent="0.25"/>
    <row r="106076" s="12" customFormat="1" x14ac:dyDescent="0.25"/>
    <row r="106077" s="12" customFormat="1" x14ac:dyDescent="0.25"/>
    <row r="106078" s="12" customFormat="1" x14ac:dyDescent="0.25"/>
    <row r="106079" s="12" customFormat="1" x14ac:dyDescent="0.25"/>
    <row r="106080" s="12" customFormat="1" x14ac:dyDescent="0.25"/>
    <row r="106081" s="12" customFormat="1" x14ac:dyDescent="0.25"/>
    <row r="106082" s="12" customFormat="1" x14ac:dyDescent="0.25"/>
    <row r="106083" s="12" customFormat="1" x14ac:dyDescent="0.25"/>
    <row r="106084" s="12" customFormat="1" x14ac:dyDescent="0.25"/>
    <row r="106085" s="12" customFormat="1" x14ac:dyDescent="0.25"/>
    <row r="106086" s="12" customFormat="1" x14ac:dyDescent="0.25"/>
    <row r="106087" s="12" customFormat="1" x14ac:dyDescent="0.25"/>
    <row r="106088" s="12" customFormat="1" x14ac:dyDescent="0.25"/>
    <row r="106089" s="12" customFormat="1" x14ac:dyDescent="0.25"/>
    <row r="106090" s="12" customFormat="1" x14ac:dyDescent="0.25"/>
    <row r="106091" s="12" customFormat="1" x14ac:dyDescent="0.25"/>
    <row r="106092" s="12" customFormat="1" x14ac:dyDescent="0.25"/>
    <row r="106093" s="12" customFormat="1" x14ac:dyDescent="0.25"/>
    <row r="106094" s="12" customFormat="1" x14ac:dyDescent="0.25"/>
    <row r="106095" s="12" customFormat="1" x14ac:dyDescent="0.25"/>
    <row r="106096" s="12" customFormat="1" x14ac:dyDescent="0.25"/>
    <row r="106097" s="12" customFormat="1" x14ac:dyDescent="0.25"/>
    <row r="106098" s="12" customFormat="1" x14ac:dyDescent="0.25"/>
    <row r="106099" s="12" customFormat="1" x14ac:dyDescent="0.25"/>
    <row r="106100" s="12" customFormat="1" x14ac:dyDescent="0.25"/>
    <row r="106101" s="12" customFormat="1" x14ac:dyDescent="0.25"/>
    <row r="106102" s="12" customFormat="1" x14ac:dyDescent="0.25"/>
    <row r="106103" s="12" customFormat="1" x14ac:dyDescent="0.25"/>
    <row r="106104" s="12" customFormat="1" x14ac:dyDescent="0.25"/>
    <row r="106105" s="12" customFormat="1" x14ac:dyDescent="0.25"/>
    <row r="106106" s="12" customFormat="1" x14ac:dyDescent="0.25"/>
    <row r="106107" s="12" customFormat="1" x14ac:dyDescent="0.25"/>
    <row r="106108" s="12" customFormat="1" x14ac:dyDescent="0.25"/>
    <row r="106109" s="12" customFormat="1" x14ac:dyDescent="0.25"/>
    <row r="106110" s="12" customFormat="1" x14ac:dyDescent="0.25"/>
    <row r="106111" s="12" customFormat="1" x14ac:dyDescent="0.25"/>
    <row r="106112" s="12" customFormat="1" x14ac:dyDescent="0.25"/>
    <row r="106113" s="12" customFormat="1" x14ac:dyDescent="0.25"/>
    <row r="106114" s="12" customFormat="1" x14ac:dyDescent="0.25"/>
    <row r="106115" s="12" customFormat="1" x14ac:dyDescent="0.25"/>
    <row r="106116" s="12" customFormat="1" x14ac:dyDescent="0.25"/>
    <row r="106117" s="12" customFormat="1" x14ac:dyDescent="0.25"/>
    <row r="106118" s="12" customFormat="1" x14ac:dyDescent="0.25"/>
    <row r="106119" s="12" customFormat="1" x14ac:dyDescent="0.25"/>
    <row r="106120" s="12" customFormat="1" x14ac:dyDescent="0.25"/>
    <row r="106121" s="12" customFormat="1" x14ac:dyDescent="0.25"/>
    <row r="106122" s="12" customFormat="1" x14ac:dyDescent="0.25"/>
    <row r="106123" s="12" customFormat="1" x14ac:dyDescent="0.25"/>
    <row r="106124" s="12" customFormat="1" x14ac:dyDescent="0.25"/>
    <row r="106125" s="12" customFormat="1" x14ac:dyDescent="0.25"/>
    <row r="106126" s="12" customFormat="1" x14ac:dyDescent="0.25"/>
    <row r="106127" s="12" customFormat="1" x14ac:dyDescent="0.25"/>
    <row r="106128" s="12" customFormat="1" x14ac:dyDescent="0.25"/>
    <row r="106129" s="12" customFormat="1" x14ac:dyDescent="0.25"/>
    <row r="106130" s="12" customFormat="1" x14ac:dyDescent="0.25"/>
    <row r="106131" s="12" customFormat="1" x14ac:dyDescent="0.25"/>
    <row r="106132" s="12" customFormat="1" x14ac:dyDescent="0.25"/>
    <row r="106133" s="12" customFormat="1" x14ac:dyDescent="0.25"/>
    <row r="106134" s="12" customFormat="1" x14ac:dyDescent="0.25"/>
    <row r="106135" s="12" customFormat="1" x14ac:dyDescent="0.25"/>
    <row r="106136" s="12" customFormat="1" x14ac:dyDescent="0.25"/>
    <row r="106137" s="12" customFormat="1" x14ac:dyDescent="0.25"/>
    <row r="106138" s="12" customFormat="1" x14ac:dyDescent="0.25"/>
    <row r="106139" s="12" customFormat="1" x14ac:dyDescent="0.25"/>
    <row r="106140" s="12" customFormat="1" x14ac:dyDescent="0.25"/>
    <row r="106141" s="12" customFormat="1" x14ac:dyDescent="0.25"/>
    <row r="106142" s="12" customFormat="1" x14ac:dyDescent="0.25"/>
    <row r="106143" s="12" customFormat="1" x14ac:dyDescent="0.25"/>
    <row r="106144" s="12" customFormat="1" x14ac:dyDescent="0.25"/>
    <row r="106145" s="12" customFormat="1" x14ac:dyDescent="0.25"/>
    <row r="106146" s="12" customFormat="1" x14ac:dyDescent="0.25"/>
    <row r="106147" s="12" customFormat="1" x14ac:dyDescent="0.25"/>
    <row r="106148" s="12" customFormat="1" x14ac:dyDescent="0.25"/>
    <row r="106149" s="12" customFormat="1" x14ac:dyDescent="0.25"/>
    <row r="106150" s="12" customFormat="1" x14ac:dyDescent="0.25"/>
    <row r="106151" s="12" customFormat="1" x14ac:dyDescent="0.25"/>
    <row r="106152" s="12" customFormat="1" x14ac:dyDescent="0.25"/>
    <row r="106153" s="12" customFormat="1" x14ac:dyDescent="0.25"/>
    <row r="106154" s="12" customFormat="1" x14ac:dyDescent="0.25"/>
    <row r="106155" s="12" customFormat="1" x14ac:dyDescent="0.25"/>
    <row r="106156" s="12" customFormat="1" x14ac:dyDescent="0.25"/>
    <row r="106157" s="12" customFormat="1" x14ac:dyDescent="0.25"/>
    <row r="106158" s="12" customFormat="1" x14ac:dyDescent="0.25"/>
    <row r="106159" s="12" customFormat="1" x14ac:dyDescent="0.25"/>
    <row r="106160" s="12" customFormat="1" x14ac:dyDescent="0.25"/>
    <row r="106161" s="12" customFormat="1" x14ac:dyDescent="0.25"/>
    <row r="106162" s="12" customFormat="1" x14ac:dyDescent="0.25"/>
    <row r="106163" s="12" customFormat="1" x14ac:dyDescent="0.25"/>
    <row r="106164" s="12" customFormat="1" x14ac:dyDescent="0.25"/>
    <row r="106165" s="12" customFormat="1" x14ac:dyDescent="0.25"/>
    <row r="106166" s="12" customFormat="1" x14ac:dyDescent="0.25"/>
    <row r="106167" s="12" customFormat="1" x14ac:dyDescent="0.25"/>
    <row r="106168" s="12" customFormat="1" x14ac:dyDescent="0.25"/>
    <row r="106169" s="12" customFormat="1" x14ac:dyDescent="0.25"/>
    <row r="106170" s="12" customFormat="1" x14ac:dyDescent="0.25"/>
    <row r="106171" s="12" customFormat="1" x14ac:dyDescent="0.25"/>
    <row r="106172" s="12" customFormat="1" x14ac:dyDescent="0.25"/>
    <row r="106173" s="12" customFormat="1" x14ac:dyDescent="0.25"/>
    <row r="106174" s="12" customFormat="1" x14ac:dyDescent="0.25"/>
    <row r="106175" s="12" customFormat="1" x14ac:dyDescent="0.25"/>
    <row r="106176" s="12" customFormat="1" x14ac:dyDescent="0.25"/>
    <row r="106177" s="12" customFormat="1" x14ac:dyDescent="0.25"/>
    <row r="106178" s="12" customFormat="1" x14ac:dyDescent="0.25"/>
    <row r="106179" s="12" customFormat="1" x14ac:dyDescent="0.25"/>
    <row r="106180" s="12" customFormat="1" x14ac:dyDescent="0.25"/>
    <row r="106181" s="12" customFormat="1" x14ac:dyDescent="0.25"/>
    <row r="106182" s="12" customFormat="1" x14ac:dyDescent="0.25"/>
    <row r="106183" s="12" customFormat="1" x14ac:dyDescent="0.25"/>
    <row r="106184" s="12" customFormat="1" x14ac:dyDescent="0.25"/>
    <row r="106185" s="12" customFormat="1" x14ac:dyDescent="0.25"/>
    <row r="106186" s="12" customFormat="1" x14ac:dyDescent="0.25"/>
    <row r="106187" s="12" customFormat="1" x14ac:dyDescent="0.25"/>
    <row r="106188" s="12" customFormat="1" x14ac:dyDescent="0.25"/>
    <row r="106189" s="12" customFormat="1" x14ac:dyDescent="0.25"/>
    <row r="106190" s="12" customFormat="1" x14ac:dyDescent="0.25"/>
    <row r="106191" s="12" customFormat="1" x14ac:dyDescent="0.25"/>
    <row r="106192" s="12" customFormat="1" x14ac:dyDescent="0.25"/>
    <row r="106193" s="12" customFormat="1" x14ac:dyDescent="0.25"/>
    <row r="106194" s="12" customFormat="1" x14ac:dyDescent="0.25"/>
    <row r="106195" s="12" customFormat="1" x14ac:dyDescent="0.25"/>
    <row r="106196" s="12" customFormat="1" x14ac:dyDescent="0.25"/>
    <row r="106197" s="12" customFormat="1" x14ac:dyDescent="0.25"/>
    <row r="106198" s="12" customFormat="1" x14ac:dyDescent="0.25"/>
    <row r="106199" s="12" customFormat="1" x14ac:dyDescent="0.25"/>
    <row r="106200" s="12" customFormat="1" x14ac:dyDescent="0.25"/>
    <row r="106201" s="12" customFormat="1" x14ac:dyDescent="0.25"/>
    <row r="106202" s="12" customFormat="1" x14ac:dyDescent="0.25"/>
    <row r="106203" s="12" customFormat="1" x14ac:dyDescent="0.25"/>
    <row r="106204" s="12" customFormat="1" x14ac:dyDescent="0.25"/>
    <row r="106205" s="12" customFormat="1" x14ac:dyDescent="0.25"/>
    <row r="106206" s="12" customFormat="1" x14ac:dyDescent="0.25"/>
    <row r="106207" s="12" customFormat="1" x14ac:dyDescent="0.25"/>
    <row r="106208" s="12" customFormat="1" x14ac:dyDescent="0.25"/>
    <row r="106209" s="12" customFormat="1" x14ac:dyDescent="0.25"/>
    <row r="106210" s="12" customFormat="1" x14ac:dyDescent="0.25"/>
    <row r="106211" s="12" customFormat="1" x14ac:dyDescent="0.25"/>
    <row r="106212" s="12" customFormat="1" x14ac:dyDescent="0.25"/>
    <row r="106213" s="12" customFormat="1" x14ac:dyDescent="0.25"/>
    <row r="106214" s="12" customFormat="1" x14ac:dyDescent="0.25"/>
    <row r="106215" s="12" customFormat="1" x14ac:dyDescent="0.25"/>
    <row r="106216" s="12" customFormat="1" x14ac:dyDescent="0.25"/>
    <row r="106217" s="12" customFormat="1" x14ac:dyDescent="0.25"/>
    <row r="106218" s="12" customFormat="1" x14ac:dyDescent="0.25"/>
    <row r="106219" s="12" customFormat="1" x14ac:dyDescent="0.25"/>
    <row r="106220" s="12" customFormat="1" x14ac:dyDescent="0.25"/>
    <row r="106221" s="12" customFormat="1" x14ac:dyDescent="0.25"/>
    <row r="106222" s="12" customFormat="1" x14ac:dyDescent="0.25"/>
    <row r="106223" s="12" customFormat="1" x14ac:dyDescent="0.25"/>
    <row r="106224" s="12" customFormat="1" x14ac:dyDescent="0.25"/>
    <row r="106225" s="12" customFormat="1" x14ac:dyDescent="0.25"/>
    <row r="106226" s="12" customFormat="1" x14ac:dyDescent="0.25"/>
    <row r="106227" s="12" customFormat="1" x14ac:dyDescent="0.25"/>
    <row r="106228" s="12" customFormat="1" x14ac:dyDescent="0.25"/>
    <row r="106229" s="12" customFormat="1" x14ac:dyDescent="0.25"/>
    <row r="106230" s="12" customFormat="1" x14ac:dyDescent="0.25"/>
    <row r="106231" s="12" customFormat="1" x14ac:dyDescent="0.25"/>
    <row r="106232" s="12" customFormat="1" x14ac:dyDescent="0.25"/>
    <row r="106233" s="12" customFormat="1" x14ac:dyDescent="0.25"/>
    <row r="106234" s="12" customFormat="1" x14ac:dyDescent="0.25"/>
    <row r="106235" s="12" customFormat="1" x14ac:dyDescent="0.25"/>
    <row r="106236" s="12" customFormat="1" x14ac:dyDescent="0.25"/>
    <row r="106237" s="12" customFormat="1" x14ac:dyDescent="0.25"/>
    <row r="106238" s="12" customFormat="1" x14ac:dyDescent="0.25"/>
    <row r="106239" s="12" customFormat="1" x14ac:dyDescent="0.25"/>
    <row r="106240" s="12" customFormat="1" x14ac:dyDescent="0.25"/>
    <row r="106241" s="12" customFormat="1" x14ac:dyDescent="0.25"/>
    <row r="106242" s="12" customFormat="1" x14ac:dyDescent="0.25"/>
    <row r="106243" s="12" customFormat="1" x14ac:dyDescent="0.25"/>
    <row r="106244" s="12" customFormat="1" x14ac:dyDescent="0.25"/>
    <row r="106245" s="12" customFormat="1" x14ac:dyDescent="0.25"/>
    <row r="106246" s="12" customFormat="1" x14ac:dyDescent="0.25"/>
    <row r="106247" s="12" customFormat="1" x14ac:dyDescent="0.25"/>
    <row r="106248" s="12" customFormat="1" x14ac:dyDescent="0.25"/>
    <row r="106249" s="12" customFormat="1" x14ac:dyDescent="0.25"/>
    <row r="106250" s="12" customFormat="1" x14ac:dyDescent="0.25"/>
    <row r="106251" s="12" customFormat="1" x14ac:dyDescent="0.25"/>
    <row r="106252" s="12" customFormat="1" x14ac:dyDescent="0.25"/>
    <row r="106253" s="12" customFormat="1" x14ac:dyDescent="0.25"/>
    <row r="106254" s="12" customFormat="1" x14ac:dyDescent="0.25"/>
    <row r="106255" s="12" customFormat="1" x14ac:dyDescent="0.25"/>
    <row r="106256" s="12" customFormat="1" x14ac:dyDescent="0.25"/>
    <row r="106257" s="12" customFormat="1" x14ac:dyDescent="0.25"/>
    <row r="106258" s="12" customFormat="1" x14ac:dyDescent="0.25"/>
    <row r="106259" s="12" customFormat="1" x14ac:dyDescent="0.25"/>
    <row r="106260" s="12" customFormat="1" x14ac:dyDescent="0.25"/>
    <row r="106261" s="12" customFormat="1" x14ac:dyDescent="0.25"/>
    <row r="106262" s="12" customFormat="1" x14ac:dyDescent="0.25"/>
    <row r="106263" s="12" customFormat="1" x14ac:dyDescent="0.25"/>
    <row r="106264" s="12" customFormat="1" x14ac:dyDescent="0.25"/>
    <row r="106265" s="12" customFormat="1" x14ac:dyDescent="0.25"/>
    <row r="106266" s="12" customFormat="1" x14ac:dyDescent="0.25"/>
    <row r="106267" s="12" customFormat="1" x14ac:dyDescent="0.25"/>
    <row r="106268" s="12" customFormat="1" x14ac:dyDescent="0.25"/>
    <row r="106269" s="12" customFormat="1" x14ac:dyDescent="0.25"/>
    <row r="106270" s="12" customFormat="1" x14ac:dyDescent="0.25"/>
    <row r="106271" s="12" customFormat="1" x14ac:dyDescent="0.25"/>
    <row r="106272" s="12" customFormat="1" x14ac:dyDescent="0.25"/>
    <row r="106273" s="12" customFormat="1" x14ac:dyDescent="0.25"/>
    <row r="106274" s="12" customFormat="1" x14ac:dyDescent="0.25"/>
    <row r="106275" s="12" customFormat="1" x14ac:dyDescent="0.25"/>
    <row r="106276" s="12" customFormat="1" x14ac:dyDescent="0.25"/>
    <row r="106277" s="12" customFormat="1" x14ac:dyDescent="0.25"/>
    <row r="106278" s="12" customFormat="1" x14ac:dyDescent="0.25"/>
    <row r="106279" s="12" customFormat="1" x14ac:dyDescent="0.25"/>
    <row r="106280" s="12" customFormat="1" x14ac:dyDescent="0.25"/>
    <row r="106281" s="12" customFormat="1" x14ac:dyDescent="0.25"/>
    <row r="106282" s="12" customFormat="1" x14ac:dyDescent="0.25"/>
    <row r="106283" s="12" customFormat="1" x14ac:dyDescent="0.25"/>
    <row r="106284" s="12" customFormat="1" x14ac:dyDescent="0.25"/>
    <row r="106285" s="12" customFormat="1" x14ac:dyDescent="0.25"/>
    <row r="106286" s="12" customFormat="1" x14ac:dyDescent="0.25"/>
    <row r="106287" s="12" customFormat="1" x14ac:dyDescent="0.25"/>
    <row r="106288" s="12" customFormat="1" x14ac:dyDescent="0.25"/>
    <row r="106289" s="12" customFormat="1" x14ac:dyDescent="0.25"/>
    <row r="106290" s="12" customFormat="1" x14ac:dyDescent="0.25"/>
    <row r="106291" s="12" customFormat="1" x14ac:dyDescent="0.25"/>
    <row r="106292" s="12" customFormat="1" x14ac:dyDescent="0.25"/>
    <row r="106293" s="12" customFormat="1" x14ac:dyDescent="0.25"/>
    <row r="106294" s="12" customFormat="1" x14ac:dyDescent="0.25"/>
    <row r="106295" s="12" customFormat="1" x14ac:dyDescent="0.25"/>
    <row r="106296" s="12" customFormat="1" x14ac:dyDescent="0.25"/>
    <row r="106297" s="12" customFormat="1" x14ac:dyDescent="0.25"/>
    <row r="106298" s="12" customFormat="1" x14ac:dyDescent="0.25"/>
    <row r="106299" s="12" customFormat="1" x14ac:dyDescent="0.25"/>
    <row r="106300" s="12" customFormat="1" x14ac:dyDescent="0.25"/>
    <row r="106301" s="12" customFormat="1" x14ac:dyDescent="0.25"/>
    <row r="106302" s="12" customFormat="1" x14ac:dyDescent="0.25"/>
    <row r="106303" s="12" customFormat="1" x14ac:dyDescent="0.25"/>
    <row r="106304" s="12" customFormat="1" x14ac:dyDescent="0.25"/>
    <row r="106305" s="12" customFormat="1" x14ac:dyDescent="0.25"/>
    <row r="106306" s="12" customFormat="1" x14ac:dyDescent="0.25"/>
    <row r="106307" s="12" customFormat="1" x14ac:dyDescent="0.25"/>
    <row r="106308" s="12" customFormat="1" x14ac:dyDescent="0.25"/>
    <row r="106309" s="12" customFormat="1" x14ac:dyDescent="0.25"/>
    <row r="106310" s="12" customFormat="1" x14ac:dyDescent="0.25"/>
    <row r="106311" s="12" customFormat="1" x14ac:dyDescent="0.25"/>
    <row r="106312" s="12" customFormat="1" x14ac:dyDescent="0.25"/>
    <row r="106313" s="12" customFormat="1" x14ac:dyDescent="0.25"/>
    <row r="106314" s="12" customFormat="1" x14ac:dyDescent="0.25"/>
    <row r="106315" s="12" customFormat="1" x14ac:dyDescent="0.25"/>
    <row r="106316" s="12" customFormat="1" x14ac:dyDescent="0.25"/>
    <row r="106317" s="12" customFormat="1" x14ac:dyDescent="0.25"/>
    <row r="106318" s="12" customFormat="1" x14ac:dyDescent="0.25"/>
    <row r="106319" s="12" customFormat="1" x14ac:dyDescent="0.25"/>
    <row r="106320" s="12" customFormat="1" x14ac:dyDescent="0.25"/>
    <row r="106321" s="12" customFormat="1" x14ac:dyDescent="0.25"/>
    <row r="106322" s="12" customFormat="1" x14ac:dyDescent="0.25"/>
    <row r="106323" s="12" customFormat="1" x14ac:dyDescent="0.25"/>
    <row r="106324" s="12" customFormat="1" x14ac:dyDescent="0.25"/>
    <row r="106325" s="12" customFormat="1" x14ac:dyDescent="0.25"/>
    <row r="106326" s="12" customFormat="1" x14ac:dyDescent="0.25"/>
    <row r="106327" s="12" customFormat="1" x14ac:dyDescent="0.25"/>
    <row r="106328" s="12" customFormat="1" x14ac:dyDescent="0.25"/>
    <row r="106329" s="12" customFormat="1" x14ac:dyDescent="0.25"/>
    <row r="106330" s="12" customFormat="1" x14ac:dyDescent="0.25"/>
    <row r="106331" s="12" customFormat="1" x14ac:dyDescent="0.25"/>
    <row r="106332" s="12" customFormat="1" x14ac:dyDescent="0.25"/>
    <row r="106333" s="12" customFormat="1" x14ac:dyDescent="0.25"/>
    <row r="106334" s="12" customFormat="1" x14ac:dyDescent="0.25"/>
    <row r="106335" s="12" customFormat="1" x14ac:dyDescent="0.25"/>
    <row r="106336" s="12" customFormat="1" x14ac:dyDescent="0.25"/>
    <row r="106337" s="12" customFormat="1" x14ac:dyDescent="0.25"/>
    <row r="106338" s="12" customFormat="1" x14ac:dyDescent="0.25"/>
    <row r="106339" s="12" customFormat="1" x14ac:dyDescent="0.25"/>
    <row r="106340" s="12" customFormat="1" x14ac:dyDescent="0.25"/>
    <row r="106341" s="12" customFormat="1" x14ac:dyDescent="0.25"/>
    <row r="106342" s="12" customFormat="1" x14ac:dyDescent="0.25"/>
    <row r="106343" s="12" customFormat="1" x14ac:dyDescent="0.25"/>
    <row r="106344" s="12" customFormat="1" x14ac:dyDescent="0.25"/>
    <row r="106345" s="12" customFormat="1" x14ac:dyDescent="0.25"/>
    <row r="106346" s="12" customFormat="1" x14ac:dyDescent="0.25"/>
    <row r="106347" s="12" customFormat="1" x14ac:dyDescent="0.25"/>
    <row r="106348" s="12" customFormat="1" x14ac:dyDescent="0.25"/>
    <row r="106349" s="12" customFormat="1" x14ac:dyDescent="0.25"/>
    <row r="106350" s="12" customFormat="1" x14ac:dyDescent="0.25"/>
    <row r="106351" s="12" customFormat="1" x14ac:dyDescent="0.25"/>
    <row r="106352" s="12" customFormat="1" x14ac:dyDescent="0.25"/>
    <row r="106353" s="12" customFormat="1" x14ac:dyDescent="0.25"/>
    <row r="106354" s="12" customFormat="1" x14ac:dyDescent="0.25"/>
    <row r="106355" s="12" customFormat="1" x14ac:dyDescent="0.25"/>
    <row r="106356" s="12" customFormat="1" x14ac:dyDescent="0.25"/>
    <row r="106357" s="12" customFormat="1" x14ac:dyDescent="0.25"/>
    <row r="106358" s="12" customFormat="1" x14ac:dyDescent="0.25"/>
    <row r="106359" s="12" customFormat="1" x14ac:dyDescent="0.25"/>
    <row r="106360" s="12" customFormat="1" x14ac:dyDescent="0.25"/>
    <row r="106361" s="12" customFormat="1" x14ac:dyDescent="0.25"/>
    <row r="106362" s="12" customFormat="1" x14ac:dyDescent="0.25"/>
    <row r="106363" s="12" customFormat="1" x14ac:dyDescent="0.25"/>
    <row r="106364" s="12" customFormat="1" x14ac:dyDescent="0.25"/>
    <row r="106365" s="12" customFormat="1" x14ac:dyDescent="0.25"/>
    <row r="106366" s="12" customFormat="1" x14ac:dyDescent="0.25"/>
    <row r="106367" s="12" customFormat="1" x14ac:dyDescent="0.25"/>
    <row r="106368" s="12" customFormat="1" x14ac:dyDescent="0.25"/>
    <row r="106369" s="12" customFormat="1" x14ac:dyDescent="0.25"/>
    <row r="106370" s="12" customFormat="1" x14ac:dyDescent="0.25"/>
    <row r="106371" s="12" customFormat="1" x14ac:dyDescent="0.25"/>
    <row r="106372" s="12" customFormat="1" x14ac:dyDescent="0.25"/>
    <row r="106373" s="12" customFormat="1" x14ac:dyDescent="0.25"/>
    <row r="106374" s="12" customFormat="1" x14ac:dyDescent="0.25"/>
    <row r="106375" s="12" customFormat="1" x14ac:dyDescent="0.25"/>
    <row r="106376" s="12" customFormat="1" x14ac:dyDescent="0.25"/>
    <row r="106377" s="12" customFormat="1" x14ac:dyDescent="0.25"/>
    <row r="106378" s="12" customFormat="1" x14ac:dyDescent="0.25"/>
    <row r="106379" s="12" customFormat="1" x14ac:dyDescent="0.25"/>
    <row r="106380" s="12" customFormat="1" x14ac:dyDescent="0.25"/>
    <row r="106381" s="12" customFormat="1" x14ac:dyDescent="0.25"/>
    <row r="106382" s="12" customFormat="1" x14ac:dyDescent="0.25"/>
    <row r="106383" s="12" customFormat="1" x14ac:dyDescent="0.25"/>
    <row r="106384" s="12" customFormat="1" x14ac:dyDescent="0.25"/>
    <row r="106385" s="12" customFormat="1" x14ac:dyDescent="0.25"/>
    <row r="106386" s="12" customFormat="1" x14ac:dyDescent="0.25"/>
    <row r="106387" s="12" customFormat="1" x14ac:dyDescent="0.25"/>
    <row r="106388" s="12" customFormat="1" x14ac:dyDescent="0.25"/>
    <row r="106389" s="12" customFormat="1" x14ac:dyDescent="0.25"/>
    <row r="106390" s="12" customFormat="1" x14ac:dyDescent="0.25"/>
    <row r="106391" s="12" customFormat="1" x14ac:dyDescent="0.25"/>
    <row r="106392" s="12" customFormat="1" x14ac:dyDescent="0.25"/>
    <row r="106393" s="12" customFormat="1" x14ac:dyDescent="0.25"/>
    <row r="106394" s="12" customFormat="1" x14ac:dyDescent="0.25"/>
    <row r="106395" s="12" customFormat="1" x14ac:dyDescent="0.25"/>
    <row r="106396" s="12" customFormat="1" x14ac:dyDescent="0.25"/>
    <row r="106397" s="12" customFormat="1" x14ac:dyDescent="0.25"/>
    <row r="106398" s="12" customFormat="1" x14ac:dyDescent="0.25"/>
    <row r="106399" s="12" customFormat="1" x14ac:dyDescent="0.25"/>
    <row r="106400" s="12" customFormat="1" x14ac:dyDescent="0.25"/>
    <row r="106401" s="12" customFormat="1" x14ac:dyDescent="0.25"/>
    <row r="106402" s="12" customFormat="1" x14ac:dyDescent="0.25"/>
    <row r="106403" s="12" customFormat="1" x14ac:dyDescent="0.25"/>
    <row r="106404" s="12" customFormat="1" x14ac:dyDescent="0.25"/>
    <row r="106405" s="12" customFormat="1" x14ac:dyDescent="0.25"/>
    <row r="106406" s="12" customFormat="1" x14ac:dyDescent="0.25"/>
    <row r="106407" s="12" customFormat="1" x14ac:dyDescent="0.25"/>
    <row r="106408" s="12" customFormat="1" x14ac:dyDescent="0.25"/>
    <row r="106409" s="12" customFormat="1" x14ac:dyDescent="0.25"/>
    <row r="106410" s="12" customFormat="1" x14ac:dyDescent="0.25"/>
    <row r="106411" s="12" customFormat="1" x14ac:dyDescent="0.25"/>
    <row r="106412" s="12" customFormat="1" x14ac:dyDescent="0.25"/>
    <row r="106413" s="12" customFormat="1" x14ac:dyDescent="0.25"/>
    <row r="106414" s="12" customFormat="1" x14ac:dyDescent="0.25"/>
    <row r="106415" s="12" customFormat="1" x14ac:dyDescent="0.25"/>
    <row r="106416" s="12" customFormat="1" x14ac:dyDescent="0.25"/>
    <row r="106417" s="12" customFormat="1" x14ac:dyDescent="0.25"/>
    <row r="106418" s="12" customFormat="1" x14ac:dyDescent="0.25"/>
    <row r="106419" s="12" customFormat="1" x14ac:dyDescent="0.25"/>
    <row r="106420" s="12" customFormat="1" x14ac:dyDescent="0.25"/>
    <row r="106421" s="12" customFormat="1" x14ac:dyDescent="0.25"/>
    <row r="106422" s="12" customFormat="1" x14ac:dyDescent="0.25"/>
    <row r="106423" s="12" customFormat="1" x14ac:dyDescent="0.25"/>
    <row r="106424" s="12" customFormat="1" x14ac:dyDescent="0.25"/>
    <row r="106425" s="12" customFormat="1" x14ac:dyDescent="0.25"/>
    <row r="106426" s="12" customFormat="1" x14ac:dyDescent="0.25"/>
    <row r="106427" s="12" customFormat="1" x14ac:dyDescent="0.25"/>
    <row r="106428" s="12" customFormat="1" x14ac:dyDescent="0.25"/>
    <row r="106429" s="12" customFormat="1" x14ac:dyDescent="0.25"/>
    <row r="106430" s="12" customFormat="1" x14ac:dyDescent="0.25"/>
    <row r="106431" s="12" customFormat="1" x14ac:dyDescent="0.25"/>
    <row r="106432" s="12" customFormat="1" x14ac:dyDescent="0.25"/>
    <row r="106433" s="12" customFormat="1" x14ac:dyDescent="0.25"/>
    <row r="106434" s="12" customFormat="1" x14ac:dyDescent="0.25"/>
    <row r="106435" s="12" customFormat="1" x14ac:dyDescent="0.25"/>
    <row r="106436" s="12" customFormat="1" x14ac:dyDescent="0.25"/>
    <row r="106437" s="12" customFormat="1" x14ac:dyDescent="0.25"/>
    <row r="106438" s="12" customFormat="1" x14ac:dyDescent="0.25"/>
    <row r="106439" s="12" customFormat="1" x14ac:dyDescent="0.25"/>
    <row r="106440" s="12" customFormat="1" x14ac:dyDescent="0.25"/>
    <row r="106441" s="12" customFormat="1" x14ac:dyDescent="0.25"/>
    <row r="106442" s="12" customFormat="1" x14ac:dyDescent="0.25"/>
    <row r="106443" s="12" customFormat="1" x14ac:dyDescent="0.25"/>
    <row r="106444" s="12" customFormat="1" x14ac:dyDescent="0.25"/>
    <row r="106445" s="12" customFormat="1" x14ac:dyDescent="0.25"/>
    <row r="106446" s="12" customFormat="1" x14ac:dyDescent="0.25"/>
    <row r="106447" s="12" customFormat="1" x14ac:dyDescent="0.25"/>
    <row r="106448" s="12" customFormat="1" x14ac:dyDescent="0.25"/>
    <row r="106449" s="12" customFormat="1" x14ac:dyDescent="0.25"/>
    <row r="106450" s="12" customFormat="1" x14ac:dyDescent="0.25"/>
    <row r="106451" s="12" customFormat="1" x14ac:dyDescent="0.25"/>
    <row r="106452" s="12" customFormat="1" x14ac:dyDescent="0.25"/>
    <row r="106453" s="12" customFormat="1" x14ac:dyDescent="0.25"/>
    <row r="106454" s="12" customFormat="1" x14ac:dyDescent="0.25"/>
    <row r="106455" s="12" customFormat="1" x14ac:dyDescent="0.25"/>
    <row r="106456" s="12" customFormat="1" x14ac:dyDescent="0.25"/>
    <row r="106457" s="12" customFormat="1" x14ac:dyDescent="0.25"/>
    <row r="106458" s="12" customFormat="1" x14ac:dyDescent="0.25"/>
    <row r="106459" s="12" customFormat="1" x14ac:dyDescent="0.25"/>
    <row r="106460" s="12" customFormat="1" x14ac:dyDescent="0.25"/>
    <row r="106461" s="12" customFormat="1" x14ac:dyDescent="0.25"/>
    <row r="106462" s="12" customFormat="1" x14ac:dyDescent="0.25"/>
    <row r="106463" s="12" customFormat="1" x14ac:dyDescent="0.25"/>
    <row r="106464" s="12" customFormat="1" x14ac:dyDescent="0.25"/>
    <row r="106465" s="12" customFormat="1" x14ac:dyDescent="0.25"/>
    <row r="106466" s="12" customFormat="1" x14ac:dyDescent="0.25"/>
    <row r="106467" s="12" customFormat="1" x14ac:dyDescent="0.25"/>
    <row r="106468" s="12" customFormat="1" x14ac:dyDescent="0.25"/>
    <row r="106469" s="12" customFormat="1" x14ac:dyDescent="0.25"/>
    <row r="106470" s="12" customFormat="1" x14ac:dyDescent="0.25"/>
    <row r="106471" s="12" customFormat="1" x14ac:dyDescent="0.25"/>
    <row r="106472" s="12" customFormat="1" x14ac:dyDescent="0.25"/>
    <row r="106473" s="12" customFormat="1" x14ac:dyDescent="0.25"/>
    <row r="106474" s="12" customFormat="1" x14ac:dyDescent="0.25"/>
    <row r="106475" s="12" customFormat="1" x14ac:dyDescent="0.25"/>
    <row r="106476" s="12" customFormat="1" x14ac:dyDescent="0.25"/>
    <row r="106477" s="12" customFormat="1" x14ac:dyDescent="0.25"/>
    <row r="106478" s="12" customFormat="1" x14ac:dyDescent="0.25"/>
    <row r="106479" s="12" customFormat="1" x14ac:dyDescent="0.25"/>
    <row r="106480" s="12" customFormat="1" x14ac:dyDescent="0.25"/>
    <row r="106481" s="12" customFormat="1" x14ac:dyDescent="0.25"/>
    <row r="106482" s="12" customFormat="1" x14ac:dyDescent="0.25"/>
    <row r="106483" s="12" customFormat="1" x14ac:dyDescent="0.25"/>
    <row r="106484" s="12" customFormat="1" x14ac:dyDescent="0.25"/>
    <row r="106485" s="12" customFormat="1" x14ac:dyDescent="0.25"/>
    <row r="106486" s="12" customFormat="1" x14ac:dyDescent="0.25"/>
    <row r="106487" s="12" customFormat="1" x14ac:dyDescent="0.25"/>
    <row r="106488" s="12" customFormat="1" x14ac:dyDescent="0.25"/>
    <row r="106489" s="12" customFormat="1" x14ac:dyDescent="0.25"/>
    <row r="106490" s="12" customFormat="1" x14ac:dyDescent="0.25"/>
    <row r="106491" s="12" customFormat="1" x14ac:dyDescent="0.25"/>
    <row r="106492" s="12" customFormat="1" x14ac:dyDescent="0.25"/>
    <row r="106493" s="12" customFormat="1" x14ac:dyDescent="0.25"/>
    <row r="106494" s="12" customFormat="1" x14ac:dyDescent="0.25"/>
    <row r="106495" s="12" customFormat="1" x14ac:dyDescent="0.25"/>
    <row r="106496" s="12" customFormat="1" x14ac:dyDescent="0.25"/>
    <row r="106497" s="12" customFormat="1" x14ac:dyDescent="0.25"/>
    <row r="106498" s="12" customFormat="1" x14ac:dyDescent="0.25"/>
    <row r="106499" s="12" customFormat="1" x14ac:dyDescent="0.25"/>
    <row r="106500" s="12" customFormat="1" x14ac:dyDescent="0.25"/>
    <row r="106501" s="12" customFormat="1" x14ac:dyDescent="0.25"/>
    <row r="106502" s="12" customFormat="1" x14ac:dyDescent="0.25"/>
    <row r="106503" s="12" customFormat="1" x14ac:dyDescent="0.25"/>
    <row r="106504" s="12" customFormat="1" x14ac:dyDescent="0.25"/>
    <row r="106505" s="12" customFormat="1" x14ac:dyDescent="0.25"/>
    <row r="106506" s="12" customFormat="1" x14ac:dyDescent="0.25"/>
    <row r="106507" s="12" customFormat="1" x14ac:dyDescent="0.25"/>
    <row r="106508" s="12" customFormat="1" x14ac:dyDescent="0.25"/>
    <row r="106509" s="12" customFormat="1" x14ac:dyDescent="0.25"/>
    <row r="106510" s="12" customFormat="1" x14ac:dyDescent="0.25"/>
    <row r="106511" s="12" customFormat="1" x14ac:dyDescent="0.25"/>
    <row r="106512" s="12" customFormat="1" x14ac:dyDescent="0.25"/>
    <row r="106513" s="12" customFormat="1" x14ac:dyDescent="0.25"/>
    <row r="106514" s="12" customFormat="1" x14ac:dyDescent="0.25"/>
    <row r="106515" s="12" customFormat="1" x14ac:dyDescent="0.25"/>
    <row r="106516" s="12" customFormat="1" x14ac:dyDescent="0.25"/>
    <row r="106517" s="12" customFormat="1" x14ac:dyDescent="0.25"/>
    <row r="106518" s="12" customFormat="1" x14ac:dyDescent="0.25"/>
    <row r="106519" s="12" customFormat="1" x14ac:dyDescent="0.25"/>
    <row r="106520" s="12" customFormat="1" x14ac:dyDescent="0.25"/>
    <row r="106521" s="12" customFormat="1" x14ac:dyDescent="0.25"/>
    <row r="106522" s="12" customFormat="1" x14ac:dyDescent="0.25"/>
    <row r="106523" s="12" customFormat="1" x14ac:dyDescent="0.25"/>
    <row r="106524" s="12" customFormat="1" x14ac:dyDescent="0.25"/>
    <row r="106525" s="12" customFormat="1" x14ac:dyDescent="0.25"/>
    <row r="106526" s="12" customFormat="1" x14ac:dyDescent="0.25"/>
    <row r="106527" s="12" customFormat="1" x14ac:dyDescent="0.25"/>
    <row r="106528" s="12" customFormat="1" x14ac:dyDescent="0.25"/>
    <row r="106529" s="12" customFormat="1" x14ac:dyDescent="0.25"/>
    <row r="106530" s="12" customFormat="1" x14ac:dyDescent="0.25"/>
    <row r="106531" s="12" customFormat="1" x14ac:dyDescent="0.25"/>
    <row r="106532" s="12" customFormat="1" x14ac:dyDescent="0.25"/>
    <row r="106533" s="12" customFormat="1" x14ac:dyDescent="0.25"/>
    <row r="106534" s="12" customFormat="1" x14ac:dyDescent="0.25"/>
    <row r="106535" s="12" customFormat="1" x14ac:dyDescent="0.25"/>
    <row r="106536" s="12" customFormat="1" x14ac:dyDescent="0.25"/>
    <row r="106537" s="12" customFormat="1" x14ac:dyDescent="0.25"/>
    <row r="106538" s="12" customFormat="1" x14ac:dyDescent="0.25"/>
    <row r="106539" s="12" customFormat="1" x14ac:dyDescent="0.25"/>
    <row r="106540" s="12" customFormat="1" x14ac:dyDescent="0.25"/>
    <row r="106541" s="12" customFormat="1" x14ac:dyDescent="0.25"/>
    <row r="106542" s="12" customFormat="1" x14ac:dyDescent="0.25"/>
    <row r="106543" s="12" customFormat="1" x14ac:dyDescent="0.25"/>
    <row r="106544" s="12" customFormat="1" x14ac:dyDescent="0.25"/>
    <row r="106545" s="12" customFormat="1" x14ac:dyDescent="0.25"/>
    <row r="106546" s="12" customFormat="1" x14ac:dyDescent="0.25"/>
    <row r="106547" s="12" customFormat="1" x14ac:dyDescent="0.25"/>
    <row r="106548" s="12" customFormat="1" x14ac:dyDescent="0.25"/>
    <row r="106549" s="12" customFormat="1" x14ac:dyDescent="0.25"/>
    <row r="106550" s="12" customFormat="1" x14ac:dyDescent="0.25"/>
    <row r="106551" s="12" customFormat="1" x14ac:dyDescent="0.25"/>
    <row r="106552" s="12" customFormat="1" x14ac:dyDescent="0.25"/>
    <row r="106553" s="12" customFormat="1" x14ac:dyDescent="0.25"/>
    <row r="106554" s="12" customFormat="1" x14ac:dyDescent="0.25"/>
    <row r="106555" s="12" customFormat="1" x14ac:dyDescent="0.25"/>
    <row r="106556" s="12" customFormat="1" x14ac:dyDescent="0.25"/>
    <row r="106557" s="12" customFormat="1" x14ac:dyDescent="0.25"/>
    <row r="106558" s="12" customFormat="1" x14ac:dyDescent="0.25"/>
    <row r="106559" s="12" customFormat="1" x14ac:dyDescent="0.25"/>
    <row r="106560" s="12" customFormat="1" x14ac:dyDescent="0.25"/>
    <row r="106561" s="12" customFormat="1" x14ac:dyDescent="0.25"/>
    <row r="106562" s="12" customFormat="1" x14ac:dyDescent="0.25"/>
    <row r="106563" s="12" customFormat="1" x14ac:dyDescent="0.25"/>
    <row r="106564" s="12" customFormat="1" x14ac:dyDescent="0.25"/>
    <row r="106565" s="12" customFormat="1" x14ac:dyDescent="0.25"/>
    <row r="106566" s="12" customFormat="1" x14ac:dyDescent="0.25"/>
    <row r="106567" s="12" customFormat="1" x14ac:dyDescent="0.25"/>
    <row r="106568" s="12" customFormat="1" x14ac:dyDescent="0.25"/>
    <row r="106569" s="12" customFormat="1" x14ac:dyDescent="0.25"/>
    <row r="106570" s="12" customFormat="1" x14ac:dyDescent="0.25"/>
    <row r="106571" s="12" customFormat="1" x14ac:dyDescent="0.25"/>
    <row r="106572" s="12" customFormat="1" x14ac:dyDescent="0.25"/>
    <row r="106573" s="12" customFormat="1" x14ac:dyDescent="0.25"/>
    <row r="106574" s="12" customFormat="1" x14ac:dyDescent="0.25"/>
    <row r="106575" s="12" customFormat="1" x14ac:dyDescent="0.25"/>
    <row r="106576" s="12" customFormat="1" x14ac:dyDescent="0.25"/>
    <row r="106577" s="12" customFormat="1" x14ac:dyDescent="0.25"/>
    <row r="106578" s="12" customFormat="1" x14ac:dyDescent="0.25"/>
    <row r="106579" s="12" customFormat="1" x14ac:dyDescent="0.25"/>
    <row r="106580" s="12" customFormat="1" x14ac:dyDescent="0.25"/>
    <row r="106581" s="12" customFormat="1" x14ac:dyDescent="0.25"/>
    <row r="106582" s="12" customFormat="1" x14ac:dyDescent="0.25"/>
    <row r="106583" s="12" customFormat="1" x14ac:dyDescent="0.25"/>
    <row r="106584" s="12" customFormat="1" x14ac:dyDescent="0.25"/>
    <row r="106585" s="12" customFormat="1" x14ac:dyDescent="0.25"/>
    <row r="106586" s="12" customFormat="1" x14ac:dyDescent="0.25"/>
    <row r="106587" s="12" customFormat="1" x14ac:dyDescent="0.25"/>
    <row r="106588" s="12" customFormat="1" x14ac:dyDescent="0.25"/>
    <row r="106589" s="12" customFormat="1" x14ac:dyDescent="0.25"/>
    <row r="106590" s="12" customFormat="1" x14ac:dyDescent="0.25"/>
    <row r="106591" s="12" customFormat="1" x14ac:dyDescent="0.25"/>
    <row r="106592" s="12" customFormat="1" x14ac:dyDescent="0.25"/>
    <row r="106593" s="12" customFormat="1" x14ac:dyDescent="0.25"/>
    <row r="106594" s="12" customFormat="1" x14ac:dyDescent="0.25"/>
    <row r="106595" s="12" customFormat="1" x14ac:dyDescent="0.25"/>
    <row r="106596" s="12" customFormat="1" x14ac:dyDescent="0.25"/>
    <row r="106597" s="12" customFormat="1" x14ac:dyDescent="0.25"/>
    <row r="106598" s="12" customFormat="1" x14ac:dyDescent="0.25"/>
    <row r="106599" s="12" customFormat="1" x14ac:dyDescent="0.25"/>
    <row r="106600" s="12" customFormat="1" x14ac:dyDescent="0.25"/>
    <row r="106601" s="12" customFormat="1" x14ac:dyDescent="0.25"/>
    <row r="106602" s="12" customFormat="1" x14ac:dyDescent="0.25"/>
    <row r="106603" s="12" customFormat="1" x14ac:dyDescent="0.25"/>
    <row r="106604" s="12" customFormat="1" x14ac:dyDescent="0.25"/>
    <row r="106605" s="12" customFormat="1" x14ac:dyDescent="0.25"/>
    <row r="106606" s="12" customFormat="1" x14ac:dyDescent="0.25"/>
    <row r="106607" s="12" customFormat="1" x14ac:dyDescent="0.25"/>
    <row r="106608" s="12" customFormat="1" x14ac:dyDescent="0.25"/>
    <row r="106609" s="12" customFormat="1" x14ac:dyDescent="0.25"/>
    <row r="106610" s="12" customFormat="1" x14ac:dyDescent="0.25"/>
    <row r="106611" s="12" customFormat="1" x14ac:dyDescent="0.25"/>
    <row r="106612" s="12" customFormat="1" x14ac:dyDescent="0.25"/>
    <row r="106613" s="12" customFormat="1" x14ac:dyDescent="0.25"/>
    <row r="106614" s="12" customFormat="1" x14ac:dyDescent="0.25"/>
    <row r="106615" s="12" customFormat="1" x14ac:dyDescent="0.25"/>
    <row r="106616" s="12" customFormat="1" x14ac:dyDescent="0.25"/>
    <row r="106617" s="12" customFormat="1" x14ac:dyDescent="0.25"/>
    <row r="106618" s="12" customFormat="1" x14ac:dyDescent="0.25"/>
    <row r="106619" s="12" customFormat="1" x14ac:dyDescent="0.25"/>
    <row r="106620" s="12" customFormat="1" x14ac:dyDescent="0.25"/>
    <row r="106621" s="12" customFormat="1" x14ac:dyDescent="0.25"/>
    <row r="106622" s="12" customFormat="1" x14ac:dyDescent="0.25"/>
    <row r="106623" s="12" customFormat="1" x14ac:dyDescent="0.25"/>
    <row r="106624" s="12" customFormat="1" x14ac:dyDescent="0.25"/>
    <row r="106625" s="12" customFormat="1" x14ac:dyDescent="0.25"/>
    <row r="106626" s="12" customFormat="1" x14ac:dyDescent="0.25"/>
    <row r="106627" s="12" customFormat="1" x14ac:dyDescent="0.25"/>
    <row r="106628" s="12" customFormat="1" x14ac:dyDescent="0.25"/>
    <row r="106629" s="12" customFormat="1" x14ac:dyDescent="0.25"/>
    <row r="106630" s="12" customFormat="1" x14ac:dyDescent="0.25"/>
    <row r="106631" s="12" customFormat="1" x14ac:dyDescent="0.25"/>
    <row r="106632" s="12" customFormat="1" x14ac:dyDescent="0.25"/>
    <row r="106633" s="12" customFormat="1" x14ac:dyDescent="0.25"/>
    <row r="106634" s="12" customFormat="1" x14ac:dyDescent="0.25"/>
    <row r="106635" s="12" customFormat="1" x14ac:dyDescent="0.25"/>
    <row r="106636" s="12" customFormat="1" x14ac:dyDescent="0.25"/>
    <row r="106637" s="12" customFormat="1" x14ac:dyDescent="0.25"/>
    <row r="106638" s="12" customFormat="1" x14ac:dyDescent="0.25"/>
    <row r="106639" s="12" customFormat="1" x14ac:dyDescent="0.25"/>
    <row r="106640" s="12" customFormat="1" x14ac:dyDescent="0.25"/>
    <row r="106641" s="12" customFormat="1" x14ac:dyDescent="0.25"/>
    <row r="106642" s="12" customFormat="1" x14ac:dyDescent="0.25"/>
    <row r="106643" s="12" customFormat="1" x14ac:dyDescent="0.25"/>
    <row r="106644" s="12" customFormat="1" x14ac:dyDescent="0.25"/>
    <row r="106645" s="12" customFormat="1" x14ac:dyDescent="0.25"/>
    <row r="106646" s="12" customFormat="1" x14ac:dyDescent="0.25"/>
    <row r="106647" s="12" customFormat="1" x14ac:dyDescent="0.25"/>
    <row r="106648" s="12" customFormat="1" x14ac:dyDescent="0.25"/>
    <row r="106649" s="12" customFormat="1" x14ac:dyDescent="0.25"/>
    <row r="106650" s="12" customFormat="1" x14ac:dyDescent="0.25"/>
    <row r="106651" s="12" customFormat="1" x14ac:dyDescent="0.25"/>
    <row r="106652" s="12" customFormat="1" x14ac:dyDescent="0.25"/>
    <row r="106653" s="12" customFormat="1" x14ac:dyDescent="0.25"/>
    <row r="106654" s="12" customFormat="1" x14ac:dyDescent="0.25"/>
    <row r="106655" s="12" customFormat="1" x14ac:dyDescent="0.25"/>
    <row r="106656" s="12" customFormat="1" x14ac:dyDescent="0.25"/>
    <row r="106657" s="12" customFormat="1" x14ac:dyDescent="0.25"/>
    <row r="106658" s="12" customFormat="1" x14ac:dyDescent="0.25"/>
    <row r="106659" s="12" customFormat="1" x14ac:dyDescent="0.25"/>
    <row r="106660" s="12" customFormat="1" x14ac:dyDescent="0.25"/>
    <row r="106661" s="12" customFormat="1" x14ac:dyDescent="0.25"/>
    <row r="106662" s="12" customFormat="1" x14ac:dyDescent="0.25"/>
    <row r="106663" s="12" customFormat="1" x14ac:dyDescent="0.25"/>
    <row r="106664" s="12" customFormat="1" x14ac:dyDescent="0.25"/>
    <row r="106665" s="12" customFormat="1" x14ac:dyDescent="0.25"/>
    <row r="106666" s="12" customFormat="1" x14ac:dyDescent="0.25"/>
    <row r="106667" s="12" customFormat="1" x14ac:dyDescent="0.25"/>
    <row r="106668" s="12" customFormat="1" x14ac:dyDescent="0.25"/>
    <row r="106669" s="12" customFormat="1" x14ac:dyDescent="0.25"/>
    <row r="106670" s="12" customFormat="1" x14ac:dyDescent="0.25"/>
    <row r="106671" s="12" customFormat="1" x14ac:dyDescent="0.25"/>
    <row r="106672" s="12" customFormat="1" x14ac:dyDescent="0.25"/>
    <row r="106673" s="12" customFormat="1" x14ac:dyDescent="0.25"/>
    <row r="106674" s="12" customFormat="1" x14ac:dyDescent="0.25"/>
    <row r="106675" s="12" customFormat="1" x14ac:dyDescent="0.25"/>
    <row r="106676" s="12" customFormat="1" x14ac:dyDescent="0.25"/>
    <row r="106677" s="12" customFormat="1" x14ac:dyDescent="0.25"/>
    <row r="106678" s="12" customFormat="1" x14ac:dyDescent="0.25"/>
    <row r="106679" s="12" customFormat="1" x14ac:dyDescent="0.25"/>
    <row r="106680" s="12" customFormat="1" x14ac:dyDescent="0.25"/>
    <row r="106681" s="12" customFormat="1" x14ac:dyDescent="0.25"/>
    <row r="106682" s="12" customFormat="1" x14ac:dyDescent="0.25"/>
    <row r="106683" s="12" customFormat="1" x14ac:dyDescent="0.25"/>
    <row r="106684" s="12" customFormat="1" x14ac:dyDescent="0.25"/>
    <row r="106685" s="12" customFormat="1" x14ac:dyDescent="0.25"/>
    <row r="106686" s="12" customFormat="1" x14ac:dyDescent="0.25"/>
    <row r="106687" s="12" customFormat="1" x14ac:dyDescent="0.25"/>
    <row r="106688" s="12" customFormat="1" x14ac:dyDescent="0.25"/>
    <row r="106689" s="12" customFormat="1" x14ac:dyDescent="0.25"/>
    <row r="106690" s="12" customFormat="1" x14ac:dyDescent="0.25"/>
    <row r="106691" s="12" customFormat="1" x14ac:dyDescent="0.25"/>
    <row r="106692" s="12" customFormat="1" x14ac:dyDescent="0.25"/>
    <row r="106693" s="12" customFormat="1" x14ac:dyDescent="0.25"/>
    <row r="106694" s="12" customFormat="1" x14ac:dyDescent="0.25"/>
    <row r="106695" s="12" customFormat="1" x14ac:dyDescent="0.25"/>
    <row r="106696" s="12" customFormat="1" x14ac:dyDescent="0.25"/>
    <row r="106697" s="12" customFormat="1" x14ac:dyDescent="0.25"/>
    <row r="106698" s="12" customFormat="1" x14ac:dyDescent="0.25"/>
    <row r="106699" s="12" customFormat="1" x14ac:dyDescent="0.25"/>
    <row r="106700" s="12" customFormat="1" x14ac:dyDescent="0.25"/>
    <row r="106701" s="12" customFormat="1" x14ac:dyDescent="0.25"/>
    <row r="106702" s="12" customFormat="1" x14ac:dyDescent="0.25"/>
    <row r="106703" s="12" customFormat="1" x14ac:dyDescent="0.25"/>
    <row r="106704" s="12" customFormat="1" x14ac:dyDescent="0.25"/>
    <row r="106705" s="12" customFormat="1" x14ac:dyDescent="0.25"/>
    <row r="106706" s="12" customFormat="1" x14ac:dyDescent="0.25"/>
    <row r="106707" s="12" customFormat="1" x14ac:dyDescent="0.25"/>
    <row r="106708" s="12" customFormat="1" x14ac:dyDescent="0.25"/>
    <row r="106709" s="12" customFormat="1" x14ac:dyDescent="0.25"/>
    <row r="106710" s="12" customFormat="1" x14ac:dyDescent="0.25"/>
    <row r="106711" s="12" customFormat="1" x14ac:dyDescent="0.25"/>
    <row r="106712" s="12" customFormat="1" x14ac:dyDescent="0.25"/>
    <row r="106713" s="12" customFormat="1" x14ac:dyDescent="0.25"/>
    <row r="106714" s="12" customFormat="1" x14ac:dyDescent="0.25"/>
    <row r="106715" s="12" customFormat="1" x14ac:dyDescent="0.25"/>
    <row r="106716" s="12" customFormat="1" x14ac:dyDescent="0.25"/>
    <row r="106717" s="12" customFormat="1" x14ac:dyDescent="0.25"/>
    <row r="106718" s="12" customFormat="1" x14ac:dyDescent="0.25"/>
    <row r="106719" s="12" customFormat="1" x14ac:dyDescent="0.25"/>
    <row r="106720" s="12" customFormat="1" x14ac:dyDescent="0.25"/>
    <row r="106721" s="12" customFormat="1" x14ac:dyDescent="0.25"/>
    <row r="106722" s="12" customFormat="1" x14ac:dyDescent="0.25"/>
    <row r="106723" s="12" customFormat="1" x14ac:dyDescent="0.25"/>
    <row r="106724" s="12" customFormat="1" x14ac:dyDescent="0.25"/>
    <row r="106725" s="12" customFormat="1" x14ac:dyDescent="0.25"/>
    <row r="106726" s="12" customFormat="1" x14ac:dyDescent="0.25"/>
    <row r="106727" s="12" customFormat="1" x14ac:dyDescent="0.25"/>
    <row r="106728" s="12" customFormat="1" x14ac:dyDescent="0.25"/>
    <row r="106729" s="12" customFormat="1" x14ac:dyDescent="0.25"/>
    <row r="106730" s="12" customFormat="1" x14ac:dyDescent="0.25"/>
    <row r="106731" s="12" customFormat="1" x14ac:dyDescent="0.25"/>
    <row r="106732" s="12" customFormat="1" x14ac:dyDescent="0.25"/>
    <row r="106733" s="12" customFormat="1" x14ac:dyDescent="0.25"/>
    <row r="106734" s="12" customFormat="1" x14ac:dyDescent="0.25"/>
    <row r="106735" s="12" customFormat="1" x14ac:dyDescent="0.25"/>
    <row r="106736" s="12" customFormat="1" x14ac:dyDescent="0.25"/>
    <row r="106737" s="12" customFormat="1" x14ac:dyDescent="0.25"/>
    <row r="106738" s="12" customFormat="1" x14ac:dyDescent="0.25"/>
    <row r="106739" s="12" customFormat="1" x14ac:dyDescent="0.25"/>
    <row r="106740" s="12" customFormat="1" x14ac:dyDescent="0.25"/>
    <row r="106741" s="12" customFormat="1" x14ac:dyDescent="0.25"/>
    <row r="106742" s="12" customFormat="1" x14ac:dyDescent="0.25"/>
    <row r="106743" s="12" customFormat="1" x14ac:dyDescent="0.25"/>
    <row r="106744" s="12" customFormat="1" x14ac:dyDescent="0.25"/>
    <row r="106745" s="12" customFormat="1" x14ac:dyDescent="0.25"/>
    <row r="106746" s="12" customFormat="1" x14ac:dyDescent="0.25"/>
    <row r="106747" s="12" customFormat="1" x14ac:dyDescent="0.25"/>
    <row r="106748" s="12" customFormat="1" x14ac:dyDescent="0.25"/>
    <row r="106749" s="12" customFormat="1" x14ac:dyDescent="0.25"/>
    <row r="106750" s="12" customFormat="1" x14ac:dyDescent="0.25"/>
    <row r="106751" s="12" customFormat="1" x14ac:dyDescent="0.25"/>
    <row r="106752" s="12" customFormat="1" x14ac:dyDescent="0.25"/>
    <row r="106753" s="12" customFormat="1" x14ac:dyDescent="0.25"/>
    <row r="106754" s="12" customFormat="1" x14ac:dyDescent="0.25"/>
    <row r="106755" s="12" customFormat="1" x14ac:dyDescent="0.25"/>
    <row r="106756" s="12" customFormat="1" x14ac:dyDescent="0.25"/>
    <row r="106757" s="12" customFormat="1" x14ac:dyDescent="0.25"/>
    <row r="106758" s="12" customFormat="1" x14ac:dyDescent="0.25"/>
    <row r="106759" s="12" customFormat="1" x14ac:dyDescent="0.25"/>
    <row r="106760" s="12" customFormat="1" x14ac:dyDescent="0.25"/>
    <row r="106761" s="12" customFormat="1" x14ac:dyDescent="0.25"/>
    <row r="106762" s="12" customFormat="1" x14ac:dyDescent="0.25"/>
    <row r="106763" s="12" customFormat="1" x14ac:dyDescent="0.25"/>
    <row r="106764" s="12" customFormat="1" x14ac:dyDescent="0.25"/>
    <row r="106765" s="12" customFormat="1" x14ac:dyDescent="0.25"/>
    <row r="106766" s="12" customFormat="1" x14ac:dyDescent="0.25"/>
    <row r="106767" s="12" customFormat="1" x14ac:dyDescent="0.25"/>
    <row r="106768" s="12" customFormat="1" x14ac:dyDescent="0.25"/>
    <row r="106769" s="12" customFormat="1" x14ac:dyDescent="0.25"/>
    <row r="106770" s="12" customFormat="1" x14ac:dyDescent="0.25"/>
    <row r="106771" s="12" customFormat="1" x14ac:dyDescent="0.25"/>
    <row r="106772" s="12" customFormat="1" x14ac:dyDescent="0.25"/>
    <row r="106773" s="12" customFormat="1" x14ac:dyDescent="0.25"/>
    <row r="106774" s="12" customFormat="1" x14ac:dyDescent="0.25"/>
    <row r="106775" s="12" customFormat="1" x14ac:dyDescent="0.25"/>
    <row r="106776" s="12" customFormat="1" x14ac:dyDescent="0.25"/>
    <row r="106777" s="12" customFormat="1" x14ac:dyDescent="0.25"/>
    <row r="106778" s="12" customFormat="1" x14ac:dyDescent="0.25"/>
    <row r="106779" s="12" customFormat="1" x14ac:dyDescent="0.25"/>
    <row r="106780" s="12" customFormat="1" x14ac:dyDescent="0.25"/>
    <row r="106781" s="12" customFormat="1" x14ac:dyDescent="0.25"/>
    <row r="106782" s="12" customFormat="1" x14ac:dyDescent="0.25"/>
    <row r="106783" s="12" customFormat="1" x14ac:dyDescent="0.25"/>
    <row r="106784" s="12" customFormat="1" x14ac:dyDescent="0.25"/>
    <row r="106785" s="12" customFormat="1" x14ac:dyDescent="0.25"/>
    <row r="106786" s="12" customFormat="1" x14ac:dyDescent="0.25"/>
    <row r="106787" s="12" customFormat="1" x14ac:dyDescent="0.25"/>
    <row r="106788" s="12" customFormat="1" x14ac:dyDescent="0.25"/>
    <row r="106789" s="12" customFormat="1" x14ac:dyDescent="0.25"/>
    <row r="106790" s="12" customFormat="1" x14ac:dyDescent="0.25"/>
    <row r="106791" s="12" customFormat="1" x14ac:dyDescent="0.25"/>
    <row r="106792" s="12" customFormat="1" x14ac:dyDescent="0.25"/>
    <row r="106793" s="12" customFormat="1" x14ac:dyDescent="0.25"/>
    <row r="106794" s="12" customFormat="1" x14ac:dyDescent="0.25"/>
    <row r="106795" s="12" customFormat="1" x14ac:dyDescent="0.25"/>
    <row r="106796" s="12" customFormat="1" x14ac:dyDescent="0.25"/>
    <row r="106797" s="12" customFormat="1" x14ac:dyDescent="0.25"/>
    <row r="106798" s="12" customFormat="1" x14ac:dyDescent="0.25"/>
    <row r="106799" s="12" customFormat="1" x14ac:dyDescent="0.25"/>
    <row r="106800" s="12" customFormat="1" x14ac:dyDescent="0.25"/>
    <row r="106801" s="12" customFormat="1" x14ac:dyDescent="0.25"/>
    <row r="106802" s="12" customFormat="1" x14ac:dyDescent="0.25"/>
    <row r="106803" s="12" customFormat="1" x14ac:dyDescent="0.25"/>
    <row r="106804" s="12" customFormat="1" x14ac:dyDescent="0.25"/>
    <row r="106805" s="12" customFormat="1" x14ac:dyDescent="0.25"/>
    <row r="106806" s="12" customFormat="1" x14ac:dyDescent="0.25"/>
    <row r="106807" s="12" customFormat="1" x14ac:dyDescent="0.25"/>
    <row r="106808" s="12" customFormat="1" x14ac:dyDescent="0.25"/>
    <row r="106809" s="12" customFormat="1" x14ac:dyDescent="0.25"/>
    <row r="106810" s="12" customFormat="1" x14ac:dyDescent="0.25"/>
    <row r="106811" s="12" customFormat="1" x14ac:dyDescent="0.25"/>
    <row r="106812" s="12" customFormat="1" x14ac:dyDescent="0.25"/>
    <row r="106813" s="12" customFormat="1" x14ac:dyDescent="0.25"/>
    <row r="106814" s="12" customFormat="1" x14ac:dyDescent="0.25"/>
    <row r="106815" s="12" customFormat="1" x14ac:dyDescent="0.25"/>
    <row r="106816" s="12" customFormat="1" x14ac:dyDescent="0.25"/>
    <row r="106817" s="12" customFormat="1" x14ac:dyDescent="0.25"/>
    <row r="106818" s="12" customFormat="1" x14ac:dyDescent="0.25"/>
    <row r="106819" s="12" customFormat="1" x14ac:dyDescent="0.25"/>
    <row r="106820" s="12" customFormat="1" x14ac:dyDescent="0.25"/>
    <row r="106821" s="12" customFormat="1" x14ac:dyDescent="0.25"/>
    <row r="106822" s="12" customFormat="1" x14ac:dyDescent="0.25"/>
    <row r="106823" s="12" customFormat="1" x14ac:dyDescent="0.25"/>
    <row r="106824" s="12" customFormat="1" x14ac:dyDescent="0.25"/>
    <row r="106825" s="12" customFormat="1" x14ac:dyDescent="0.25"/>
    <row r="106826" s="12" customFormat="1" x14ac:dyDescent="0.25"/>
    <row r="106827" s="12" customFormat="1" x14ac:dyDescent="0.25"/>
    <row r="106828" s="12" customFormat="1" x14ac:dyDescent="0.25"/>
    <row r="106829" s="12" customFormat="1" x14ac:dyDescent="0.25"/>
    <row r="106830" s="12" customFormat="1" x14ac:dyDescent="0.25"/>
    <row r="106831" s="12" customFormat="1" x14ac:dyDescent="0.25"/>
    <row r="106832" s="12" customFormat="1" x14ac:dyDescent="0.25"/>
    <row r="106833" s="12" customFormat="1" x14ac:dyDescent="0.25"/>
    <row r="106834" s="12" customFormat="1" x14ac:dyDescent="0.25"/>
    <row r="106835" s="12" customFormat="1" x14ac:dyDescent="0.25"/>
    <row r="106836" s="12" customFormat="1" x14ac:dyDescent="0.25"/>
    <row r="106837" s="12" customFormat="1" x14ac:dyDescent="0.25"/>
    <row r="106838" s="12" customFormat="1" x14ac:dyDescent="0.25"/>
    <row r="106839" s="12" customFormat="1" x14ac:dyDescent="0.25"/>
    <row r="106840" s="12" customFormat="1" x14ac:dyDescent="0.25"/>
    <row r="106841" s="12" customFormat="1" x14ac:dyDescent="0.25"/>
    <row r="106842" s="12" customFormat="1" x14ac:dyDescent="0.25"/>
    <row r="106843" s="12" customFormat="1" x14ac:dyDescent="0.25"/>
    <row r="106844" s="12" customFormat="1" x14ac:dyDescent="0.25"/>
    <row r="106845" s="12" customFormat="1" x14ac:dyDescent="0.25"/>
    <row r="106846" s="12" customFormat="1" x14ac:dyDescent="0.25"/>
    <row r="106847" s="12" customFormat="1" x14ac:dyDescent="0.25"/>
    <row r="106848" s="12" customFormat="1" x14ac:dyDescent="0.25"/>
    <row r="106849" s="12" customFormat="1" x14ac:dyDescent="0.25"/>
    <row r="106850" s="12" customFormat="1" x14ac:dyDescent="0.25"/>
    <row r="106851" s="12" customFormat="1" x14ac:dyDescent="0.25"/>
    <row r="106852" s="12" customFormat="1" x14ac:dyDescent="0.25"/>
    <row r="106853" s="12" customFormat="1" x14ac:dyDescent="0.25"/>
    <row r="106854" s="12" customFormat="1" x14ac:dyDescent="0.25"/>
    <row r="106855" s="12" customFormat="1" x14ac:dyDescent="0.25"/>
    <row r="106856" s="12" customFormat="1" x14ac:dyDescent="0.25"/>
    <row r="106857" s="12" customFormat="1" x14ac:dyDescent="0.25"/>
    <row r="106858" s="12" customFormat="1" x14ac:dyDescent="0.25"/>
    <row r="106859" s="12" customFormat="1" x14ac:dyDescent="0.25"/>
    <row r="106860" s="12" customFormat="1" x14ac:dyDescent="0.25"/>
    <row r="106861" s="12" customFormat="1" x14ac:dyDescent="0.25"/>
    <row r="106862" s="12" customFormat="1" x14ac:dyDescent="0.25"/>
    <row r="106863" s="12" customFormat="1" x14ac:dyDescent="0.25"/>
    <row r="106864" s="12" customFormat="1" x14ac:dyDescent="0.25"/>
    <row r="106865" s="12" customFormat="1" x14ac:dyDescent="0.25"/>
    <row r="106866" s="12" customFormat="1" x14ac:dyDescent="0.25"/>
    <row r="106867" s="12" customFormat="1" x14ac:dyDescent="0.25"/>
    <row r="106868" s="12" customFormat="1" x14ac:dyDescent="0.25"/>
    <row r="106869" s="12" customFormat="1" x14ac:dyDescent="0.25"/>
    <row r="106870" s="12" customFormat="1" x14ac:dyDescent="0.25"/>
    <row r="106871" s="12" customFormat="1" x14ac:dyDescent="0.25"/>
    <row r="106872" s="12" customFormat="1" x14ac:dyDescent="0.25"/>
    <row r="106873" s="12" customFormat="1" x14ac:dyDescent="0.25"/>
    <row r="106874" s="12" customFormat="1" x14ac:dyDescent="0.25"/>
    <row r="106875" s="12" customFormat="1" x14ac:dyDescent="0.25"/>
    <row r="106876" s="12" customFormat="1" x14ac:dyDescent="0.25"/>
    <row r="106877" s="12" customFormat="1" x14ac:dyDescent="0.25"/>
    <row r="106878" s="12" customFormat="1" x14ac:dyDescent="0.25"/>
    <row r="106879" s="12" customFormat="1" x14ac:dyDescent="0.25"/>
    <row r="106880" s="12" customFormat="1" x14ac:dyDescent="0.25"/>
    <row r="106881" s="12" customFormat="1" x14ac:dyDescent="0.25"/>
    <row r="106882" s="12" customFormat="1" x14ac:dyDescent="0.25"/>
    <row r="106883" s="12" customFormat="1" x14ac:dyDescent="0.25"/>
    <row r="106884" s="12" customFormat="1" x14ac:dyDescent="0.25"/>
    <row r="106885" s="12" customFormat="1" x14ac:dyDescent="0.25"/>
    <row r="106886" s="12" customFormat="1" x14ac:dyDescent="0.25"/>
    <row r="106887" s="12" customFormat="1" x14ac:dyDescent="0.25"/>
    <row r="106888" s="12" customFormat="1" x14ac:dyDescent="0.25"/>
    <row r="106889" s="12" customFormat="1" x14ac:dyDescent="0.25"/>
    <row r="106890" s="12" customFormat="1" x14ac:dyDescent="0.25"/>
    <row r="106891" s="12" customFormat="1" x14ac:dyDescent="0.25"/>
    <row r="106892" s="12" customFormat="1" x14ac:dyDescent="0.25"/>
    <row r="106893" s="12" customFormat="1" x14ac:dyDescent="0.25"/>
    <row r="106894" s="12" customFormat="1" x14ac:dyDescent="0.25"/>
    <row r="106895" s="12" customFormat="1" x14ac:dyDescent="0.25"/>
    <row r="106896" s="12" customFormat="1" x14ac:dyDescent="0.25"/>
    <row r="106897" s="12" customFormat="1" x14ac:dyDescent="0.25"/>
    <row r="106898" s="12" customFormat="1" x14ac:dyDescent="0.25"/>
    <row r="106899" s="12" customFormat="1" x14ac:dyDescent="0.25"/>
    <row r="106900" s="12" customFormat="1" x14ac:dyDescent="0.25"/>
    <row r="106901" s="12" customFormat="1" x14ac:dyDescent="0.25"/>
    <row r="106902" s="12" customFormat="1" x14ac:dyDescent="0.25"/>
    <row r="106903" s="12" customFormat="1" x14ac:dyDescent="0.25"/>
    <row r="106904" s="12" customFormat="1" x14ac:dyDescent="0.25"/>
    <row r="106905" s="12" customFormat="1" x14ac:dyDescent="0.25"/>
    <row r="106906" s="12" customFormat="1" x14ac:dyDescent="0.25"/>
    <row r="106907" s="12" customFormat="1" x14ac:dyDescent="0.25"/>
    <row r="106908" s="12" customFormat="1" x14ac:dyDescent="0.25"/>
    <row r="106909" s="12" customFormat="1" x14ac:dyDescent="0.25"/>
    <row r="106910" s="12" customFormat="1" x14ac:dyDescent="0.25"/>
    <row r="106911" s="12" customFormat="1" x14ac:dyDescent="0.25"/>
    <row r="106912" s="12" customFormat="1" x14ac:dyDescent="0.25"/>
    <row r="106913" s="12" customFormat="1" x14ac:dyDescent="0.25"/>
    <row r="106914" s="12" customFormat="1" x14ac:dyDescent="0.25"/>
    <row r="106915" s="12" customFormat="1" x14ac:dyDescent="0.25"/>
    <row r="106916" s="12" customFormat="1" x14ac:dyDescent="0.25"/>
    <row r="106917" s="12" customFormat="1" x14ac:dyDescent="0.25"/>
    <row r="106918" s="12" customFormat="1" x14ac:dyDescent="0.25"/>
    <row r="106919" s="12" customFormat="1" x14ac:dyDescent="0.25"/>
    <row r="106920" s="12" customFormat="1" x14ac:dyDescent="0.25"/>
    <row r="106921" s="12" customFormat="1" x14ac:dyDescent="0.25"/>
    <row r="106922" s="12" customFormat="1" x14ac:dyDescent="0.25"/>
    <row r="106923" s="12" customFormat="1" x14ac:dyDescent="0.25"/>
    <row r="106924" s="12" customFormat="1" x14ac:dyDescent="0.25"/>
    <row r="106925" s="12" customFormat="1" x14ac:dyDescent="0.25"/>
    <row r="106926" s="12" customFormat="1" x14ac:dyDescent="0.25"/>
    <row r="106927" s="12" customFormat="1" x14ac:dyDescent="0.25"/>
    <row r="106928" s="12" customFormat="1" x14ac:dyDescent="0.25"/>
    <row r="106929" s="12" customFormat="1" x14ac:dyDescent="0.25"/>
    <row r="106930" s="12" customFormat="1" x14ac:dyDescent="0.25"/>
    <row r="106931" s="12" customFormat="1" x14ac:dyDescent="0.25"/>
    <row r="106932" s="12" customFormat="1" x14ac:dyDescent="0.25"/>
    <row r="106933" s="12" customFormat="1" x14ac:dyDescent="0.25"/>
    <row r="106934" s="12" customFormat="1" x14ac:dyDescent="0.25"/>
    <row r="106935" s="12" customFormat="1" x14ac:dyDescent="0.25"/>
    <row r="106936" s="12" customFormat="1" x14ac:dyDescent="0.25"/>
    <row r="106937" s="12" customFormat="1" x14ac:dyDescent="0.25"/>
    <row r="106938" s="12" customFormat="1" x14ac:dyDescent="0.25"/>
    <row r="106939" s="12" customFormat="1" x14ac:dyDescent="0.25"/>
    <row r="106940" s="12" customFormat="1" x14ac:dyDescent="0.25"/>
    <row r="106941" s="12" customFormat="1" x14ac:dyDescent="0.25"/>
    <row r="106942" s="12" customFormat="1" x14ac:dyDescent="0.25"/>
    <row r="106943" s="12" customFormat="1" x14ac:dyDescent="0.25"/>
    <row r="106944" s="12" customFormat="1" x14ac:dyDescent="0.25"/>
    <row r="106945" s="12" customFormat="1" x14ac:dyDescent="0.25"/>
    <row r="106946" s="12" customFormat="1" x14ac:dyDescent="0.25"/>
    <row r="106947" s="12" customFormat="1" x14ac:dyDescent="0.25"/>
    <row r="106948" s="12" customFormat="1" x14ac:dyDescent="0.25"/>
    <row r="106949" s="12" customFormat="1" x14ac:dyDescent="0.25"/>
    <row r="106950" s="12" customFormat="1" x14ac:dyDescent="0.25"/>
    <row r="106951" s="12" customFormat="1" x14ac:dyDescent="0.25"/>
    <row r="106952" s="12" customFormat="1" x14ac:dyDescent="0.25"/>
    <row r="106953" s="12" customFormat="1" x14ac:dyDescent="0.25"/>
    <row r="106954" s="12" customFormat="1" x14ac:dyDescent="0.25"/>
    <row r="106955" s="12" customFormat="1" x14ac:dyDescent="0.25"/>
    <row r="106956" s="12" customFormat="1" x14ac:dyDescent="0.25"/>
    <row r="106957" s="12" customFormat="1" x14ac:dyDescent="0.25"/>
    <row r="106958" s="12" customFormat="1" x14ac:dyDescent="0.25"/>
    <row r="106959" s="12" customFormat="1" x14ac:dyDescent="0.25"/>
    <row r="106960" s="12" customFormat="1" x14ac:dyDescent="0.25"/>
    <row r="106961" s="12" customFormat="1" x14ac:dyDescent="0.25"/>
    <row r="106962" s="12" customFormat="1" x14ac:dyDescent="0.25"/>
    <row r="106963" s="12" customFormat="1" x14ac:dyDescent="0.25"/>
    <row r="106964" s="12" customFormat="1" x14ac:dyDescent="0.25"/>
    <row r="106965" s="12" customFormat="1" x14ac:dyDescent="0.25"/>
    <row r="106966" s="12" customFormat="1" x14ac:dyDescent="0.25"/>
    <row r="106967" s="12" customFormat="1" x14ac:dyDescent="0.25"/>
    <row r="106968" s="12" customFormat="1" x14ac:dyDescent="0.25"/>
    <row r="106969" s="12" customFormat="1" x14ac:dyDescent="0.25"/>
    <row r="106970" s="12" customFormat="1" x14ac:dyDescent="0.25"/>
    <row r="106971" s="12" customFormat="1" x14ac:dyDescent="0.25"/>
    <row r="106972" s="12" customFormat="1" x14ac:dyDescent="0.25"/>
    <row r="106973" s="12" customFormat="1" x14ac:dyDescent="0.25"/>
    <row r="106974" s="12" customFormat="1" x14ac:dyDescent="0.25"/>
    <row r="106975" s="12" customFormat="1" x14ac:dyDescent="0.25"/>
    <row r="106976" s="12" customFormat="1" x14ac:dyDescent="0.25"/>
    <row r="106977" s="12" customFormat="1" x14ac:dyDescent="0.25"/>
    <row r="106978" s="12" customFormat="1" x14ac:dyDescent="0.25"/>
    <row r="106979" s="12" customFormat="1" x14ac:dyDescent="0.25"/>
    <row r="106980" s="12" customFormat="1" x14ac:dyDescent="0.25"/>
    <row r="106981" s="12" customFormat="1" x14ac:dyDescent="0.25"/>
    <row r="106982" s="12" customFormat="1" x14ac:dyDescent="0.25"/>
    <row r="106983" s="12" customFormat="1" x14ac:dyDescent="0.25"/>
    <row r="106984" s="12" customFormat="1" x14ac:dyDescent="0.25"/>
    <row r="106985" s="12" customFormat="1" x14ac:dyDescent="0.25"/>
    <row r="106986" s="12" customFormat="1" x14ac:dyDescent="0.25"/>
    <row r="106987" s="12" customFormat="1" x14ac:dyDescent="0.25"/>
    <row r="106988" s="12" customFormat="1" x14ac:dyDescent="0.25"/>
    <row r="106989" s="12" customFormat="1" x14ac:dyDescent="0.25"/>
    <row r="106990" s="12" customFormat="1" x14ac:dyDescent="0.25"/>
    <row r="106991" s="12" customFormat="1" x14ac:dyDescent="0.25"/>
    <row r="106992" s="12" customFormat="1" x14ac:dyDescent="0.25"/>
    <row r="106993" s="12" customFormat="1" x14ac:dyDescent="0.25"/>
    <row r="106994" s="12" customFormat="1" x14ac:dyDescent="0.25"/>
    <row r="106995" s="12" customFormat="1" x14ac:dyDescent="0.25"/>
    <row r="106996" s="12" customFormat="1" x14ac:dyDescent="0.25"/>
    <row r="106997" s="12" customFormat="1" x14ac:dyDescent="0.25"/>
    <row r="106998" s="12" customFormat="1" x14ac:dyDescent="0.25"/>
    <row r="106999" s="12" customFormat="1" x14ac:dyDescent="0.25"/>
    <row r="107000" s="12" customFormat="1" x14ac:dyDescent="0.25"/>
    <row r="107001" s="12" customFormat="1" x14ac:dyDescent="0.25"/>
    <row r="107002" s="12" customFormat="1" x14ac:dyDescent="0.25"/>
    <row r="107003" s="12" customFormat="1" x14ac:dyDescent="0.25"/>
    <row r="107004" s="12" customFormat="1" x14ac:dyDescent="0.25"/>
    <row r="107005" s="12" customFormat="1" x14ac:dyDescent="0.25"/>
    <row r="107006" s="12" customFormat="1" x14ac:dyDescent="0.25"/>
    <row r="107007" s="12" customFormat="1" x14ac:dyDescent="0.25"/>
    <row r="107008" s="12" customFormat="1" x14ac:dyDescent="0.25"/>
    <row r="107009" s="12" customFormat="1" x14ac:dyDescent="0.25"/>
    <row r="107010" s="12" customFormat="1" x14ac:dyDescent="0.25"/>
    <row r="107011" s="12" customFormat="1" x14ac:dyDescent="0.25"/>
    <row r="107012" s="12" customFormat="1" x14ac:dyDescent="0.25"/>
    <row r="107013" s="12" customFormat="1" x14ac:dyDescent="0.25"/>
    <row r="107014" s="12" customFormat="1" x14ac:dyDescent="0.25"/>
    <row r="107015" s="12" customFormat="1" x14ac:dyDescent="0.25"/>
    <row r="107016" s="12" customFormat="1" x14ac:dyDescent="0.25"/>
    <row r="107017" s="12" customFormat="1" x14ac:dyDescent="0.25"/>
    <row r="107018" s="12" customFormat="1" x14ac:dyDescent="0.25"/>
    <row r="107019" s="12" customFormat="1" x14ac:dyDescent="0.25"/>
    <row r="107020" s="12" customFormat="1" x14ac:dyDescent="0.25"/>
    <row r="107021" s="12" customFormat="1" x14ac:dyDescent="0.25"/>
    <row r="107022" s="12" customFormat="1" x14ac:dyDescent="0.25"/>
    <row r="107023" s="12" customFormat="1" x14ac:dyDescent="0.25"/>
    <row r="107024" s="12" customFormat="1" x14ac:dyDescent="0.25"/>
    <row r="107025" s="12" customFormat="1" x14ac:dyDescent="0.25"/>
    <row r="107026" s="12" customFormat="1" x14ac:dyDescent="0.25"/>
    <row r="107027" s="12" customFormat="1" x14ac:dyDescent="0.25"/>
    <row r="107028" s="12" customFormat="1" x14ac:dyDescent="0.25"/>
    <row r="107029" s="12" customFormat="1" x14ac:dyDescent="0.25"/>
    <row r="107030" s="12" customFormat="1" x14ac:dyDescent="0.25"/>
    <row r="107031" s="12" customFormat="1" x14ac:dyDescent="0.25"/>
    <row r="107032" s="12" customFormat="1" x14ac:dyDescent="0.25"/>
    <row r="107033" s="12" customFormat="1" x14ac:dyDescent="0.25"/>
    <row r="107034" s="12" customFormat="1" x14ac:dyDescent="0.25"/>
    <row r="107035" s="12" customFormat="1" x14ac:dyDescent="0.25"/>
    <row r="107036" s="12" customFormat="1" x14ac:dyDescent="0.25"/>
    <row r="107037" s="12" customFormat="1" x14ac:dyDescent="0.25"/>
    <row r="107038" s="12" customFormat="1" x14ac:dyDescent="0.25"/>
    <row r="107039" s="12" customFormat="1" x14ac:dyDescent="0.25"/>
    <row r="107040" s="12" customFormat="1" x14ac:dyDescent="0.25"/>
    <row r="107041" s="12" customFormat="1" x14ac:dyDescent="0.25"/>
    <row r="107042" s="12" customFormat="1" x14ac:dyDescent="0.25"/>
    <row r="107043" s="12" customFormat="1" x14ac:dyDescent="0.25"/>
    <row r="107044" s="12" customFormat="1" x14ac:dyDescent="0.25"/>
    <row r="107045" s="12" customFormat="1" x14ac:dyDescent="0.25"/>
    <row r="107046" s="12" customFormat="1" x14ac:dyDescent="0.25"/>
    <row r="107047" s="12" customFormat="1" x14ac:dyDescent="0.25"/>
    <row r="107048" s="12" customFormat="1" x14ac:dyDescent="0.25"/>
    <row r="107049" s="12" customFormat="1" x14ac:dyDescent="0.25"/>
    <row r="107050" s="12" customFormat="1" x14ac:dyDescent="0.25"/>
    <row r="107051" s="12" customFormat="1" x14ac:dyDescent="0.25"/>
    <row r="107052" s="12" customFormat="1" x14ac:dyDescent="0.25"/>
    <row r="107053" s="12" customFormat="1" x14ac:dyDescent="0.25"/>
    <row r="107054" s="12" customFormat="1" x14ac:dyDescent="0.25"/>
    <row r="107055" s="12" customFormat="1" x14ac:dyDescent="0.25"/>
    <row r="107056" s="12" customFormat="1" x14ac:dyDescent="0.25"/>
    <row r="107057" s="12" customFormat="1" x14ac:dyDescent="0.25"/>
    <row r="107058" s="12" customFormat="1" x14ac:dyDescent="0.25"/>
    <row r="107059" s="12" customFormat="1" x14ac:dyDescent="0.25"/>
    <row r="107060" s="12" customFormat="1" x14ac:dyDescent="0.25"/>
    <row r="107061" s="12" customFormat="1" x14ac:dyDescent="0.25"/>
    <row r="107062" s="12" customFormat="1" x14ac:dyDescent="0.25"/>
    <row r="107063" s="12" customFormat="1" x14ac:dyDescent="0.25"/>
    <row r="107064" s="12" customFormat="1" x14ac:dyDescent="0.25"/>
    <row r="107065" s="12" customFormat="1" x14ac:dyDescent="0.25"/>
    <row r="107066" s="12" customFormat="1" x14ac:dyDescent="0.25"/>
    <row r="107067" s="12" customFormat="1" x14ac:dyDescent="0.25"/>
    <row r="107068" s="12" customFormat="1" x14ac:dyDescent="0.25"/>
    <row r="107069" s="12" customFormat="1" x14ac:dyDescent="0.25"/>
    <row r="107070" s="12" customFormat="1" x14ac:dyDescent="0.25"/>
    <row r="107071" s="12" customFormat="1" x14ac:dyDescent="0.25"/>
    <row r="107072" s="12" customFormat="1" x14ac:dyDescent="0.25"/>
    <row r="107073" s="12" customFormat="1" x14ac:dyDescent="0.25"/>
    <row r="107074" s="12" customFormat="1" x14ac:dyDescent="0.25"/>
    <row r="107075" s="12" customFormat="1" x14ac:dyDescent="0.25"/>
    <row r="107076" s="12" customFormat="1" x14ac:dyDescent="0.25"/>
    <row r="107077" s="12" customFormat="1" x14ac:dyDescent="0.25"/>
    <row r="107078" s="12" customFormat="1" x14ac:dyDescent="0.25"/>
    <row r="107079" s="12" customFormat="1" x14ac:dyDescent="0.25"/>
    <row r="107080" s="12" customFormat="1" x14ac:dyDescent="0.25"/>
    <row r="107081" s="12" customFormat="1" x14ac:dyDescent="0.25"/>
    <row r="107082" s="12" customFormat="1" x14ac:dyDescent="0.25"/>
    <row r="107083" s="12" customFormat="1" x14ac:dyDescent="0.25"/>
    <row r="107084" s="12" customFormat="1" x14ac:dyDescent="0.25"/>
    <row r="107085" s="12" customFormat="1" x14ac:dyDescent="0.25"/>
    <row r="107086" s="12" customFormat="1" x14ac:dyDescent="0.25"/>
    <row r="107087" s="12" customFormat="1" x14ac:dyDescent="0.25"/>
    <row r="107088" s="12" customFormat="1" x14ac:dyDescent="0.25"/>
    <row r="107089" s="12" customFormat="1" x14ac:dyDescent="0.25"/>
    <row r="107090" s="12" customFormat="1" x14ac:dyDescent="0.25"/>
    <row r="107091" s="12" customFormat="1" x14ac:dyDescent="0.25"/>
    <row r="107092" s="12" customFormat="1" x14ac:dyDescent="0.25"/>
    <row r="107093" s="12" customFormat="1" x14ac:dyDescent="0.25"/>
    <row r="107094" s="12" customFormat="1" x14ac:dyDescent="0.25"/>
    <row r="107095" s="12" customFormat="1" x14ac:dyDescent="0.25"/>
    <row r="107096" s="12" customFormat="1" x14ac:dyDescent="0.25"/>
    <row r="107097" s="12" customFormat="1" x14ac:dyDescent="0.25"/>
    <row r="107098" s="12" customFormat="1" x14ac:dyDescent="0.25"/>
    <row r="107099" s="12" customFormat="1" x14ac:dyDescent="0.25"/>
    <row r="107100" s="12" customFormat="1" x14ac:dyDescent="0.25"/>
    <row r="107101" s="12" customFormat="1" x14ac:dyDescent="0.25"/>
    <row r="107102" s="12" customFormat="1" x14ac:dyDescent="0.25"/>
    <row r="107103" s="12" customFormat="1" x14ac:dyDescent="0.25"/>
    <row r="107104" s="12" customFormat="1" x14ac:dyDescent="0.25"/>
    <row r="107105" s="12" customFormat="1" x14ac:dyDescent="0.25"/>
    <row r="107106" s="12" customFormat="1" x14ac:dyDescent="0.25"/>
    <row r="107107" s="12" customFormat="1" x14ac:dyDescent="0.25"/>
    <row r="107108" s="12" customFormat="1" x14ac:dyDescent="0.25"/>
    <row r="107109" s="12" customFormat="1" x14ac:dyDescent="0.25"/>
    <row r="107110" s="12" customFormat="1" x14ac:dyDescent="0.25"/>
    <row r="107111" s="12" customFormat="1" x14ac:dyDescent="0.25"/>
    <row r="107112" s="12" customFormat="1" x14ac:dyDescent="0.25"/>
    <row r="107113" s="12" customFormat="1" x14ac:dyDescent="0.25"/>
    <row r="107114" s="12" customFormat="1" x14ac:dyDescent="0.25"/>
    <row r="107115" s="12" customFormat="1" x14ac:dyDescent="0.25"/>
    <row r="107116" s="12" customFormat="1" x14ac:dyDescent="0.25"/>
    <row r="107117" s="12" customFormat="1" x14ac:dyDescent="0.25"/>
    <row r="107118" s="12" customFormat="1" x14ac:dyDescent="0.25"/>
    <row r="107119" s="12" customFormat="1" x14ac:dyDescent="0.25"/>
    <row r="107120" s="12" customFormat="1" x14ac:dyDescent="0.25"/>
    <row r="107121" s="12" customFormat="1" x14ac:dyDescent="0.25"/>
    <row r="107122" s="12" customFormat="1" x14ac:dyDescent="0.25"/>
    <row r="107123" s="12" customFormat="1" x14ac:dyDescent="0.25"/>
    <row r="107124" s="12" customFormat="1" x14ac:dyDescent="0.25"/>
    <row r="107125" s="12" customFormat="1" x14ac:dyDescent="0.25"/>
    <row r="107126" s="12" customFormat="1" x14ac:dyDescent="0.25"/>
    <row r="107127" s="12" customFormat="1" x14ac:dyDescent="0.25"/>
    <row r="107128" s="12" customFormat="1" x14ac:dyDescent="0.25"/>
    <row r="107129" s="12" customFormat="1" x14ac:dyDescent="0.25"/>
    <row r="107130" s="12" customFormat="1" x14ac:dyDescent="0.25"/>
    <row r="107131" s="12" customFormat="1" x14ac:dyDescent="0.25"/>
    <row r="107132" s="12" customFormat="1" x14ac:dyDescent="0.25"/>
    <row r="107133" s="12" customFormat="1" x14ac:dyDescent="0.25"/>
    <row r="107134" s="12" customFormat="1" x14ac:dyDescent="0.25"/>
    <row r="107135" s="12" customFormat="1" x14ac:dyDescent="0.25"/>
    <row r="107136" s="12" customFormat="1" x14ac:dyDescent="0.25"/>
    <row r="107137" s="12" customFormat="1" x14ac:dyDescent="0.25"/>
    <row r="107138" s="12" customFormat="1" x14ac:dyDescent="0.25"/>
    <row r="107139" s="12" customFormat="1" x14ac:dyDescent="0.25"/>
    <row r="107140" s="12" customFormat="1" x14ac:dyDescent="0.25"/>
    <row r="107141" s="12" customFormat="1" x14ac:dyDescent="0.25"/>
    <row r="107142" s="12" customFormat="1" x14ac:dyDescent="0.25"/>
    <row r="107143" s="12" customFormat="1" x14ac:dyDescent="0.25"/>
    <row r="107144" s="12" customFormat="1" x14ac:dyDescent="0.25"/>
    <row r="107145" s="12" customFormat="1" x14ac:dyDescent="0.25"/>
    <row r="107146" s="12" customFormat="1" x14ac:dyDescent="0.25"/>
    <row r="107147" s="12" customFormat="1" x14ac:dyDescent="0.25"/>
    <row r="107148" s="12" customFormat="1" x14ac:dyDescent="0.25"/>
    <row r="107149" s="12" customFormat="1" x14ac:dyDescent="0.25"/>
    <row r="107150" s="12" customFormat="1" x14ac:dyDescent="0.25"/>
    <row r="107151" s="12" customFormat="1" x14ac:dyDescent="0.25"/>
    <row r="107152" s="12" customFormat="1" x14ac:dyDescent="0.25"/>
    <row r="107153" s="12" customFormat="1" x14ac:dyDescent="0.25"/>
    <row r="107154" s="12" customFormat="1" x14ac:dyDescent="0.25"/>
    <row r="107155" s="12" customFormat="1" x14ac:dyDescent="0.25"/>
    <row r="107156" s="12" customFormat="1" x14ac:dyDescent="0.25"/>
    <row r="107157" s="12" customFormat="1" x14ac:dyDescent="0.25"/>
    <row r="107158" s="12" customFormat="1" x14ac:dyDescent="0.25"/>
    <row r="107159" s="12" customFormat="1" x14ac:dyDescent="0.25"/>
    <row r="107160" s="12" customFormat="1" x14ac:dyDescent="0.25"/>
    <row r="107161" s="12" customFormat="1" x14ac:dyDescent="0.25"/>
    <row r="107162" s="12" customFormat="1" x14ac:dyDescent="0.25"/>
    <row r="107163" s="12" customFormat="1" x14ac:dyDescent="0.25"/>
    <row r="107164" s="12" customFormat="1" x14ac:dyDescent="0.25"/>
    <row r="107165" s="12" customFormat="1" x14ac:dyDescent="0.25"/>
    <row r="107166" s="12" customFormat="1" x14ac:dyDescent="0.25"/>
    <row r="107167" s="12" customFormat="1" x14ac:dyDescent="0.25"/>
    <row r="107168" s="12" customFormat="1" x14ac:dyDescent="0.25"/>
    <row r="107169" s="12" customFormat="1" x14ac:dyDescent="0.25"/>
    <row r="107170" s="12" customFormat="1" x14ac:dyDescent="0.25"/>
    <row r="107171" s="12" customFormat="1" x14ac:dyDescent="0.25"/>
    <row r="107172" s="12" customFormat="1" x14ac:dyDescent="0.25"/>
    <row r="107173" s="12" customFormat="1" x14ac:dyDescent="0.25"/>
    <row r="107174" s="12" customFormat="1" x14ac:dyDescent="0.25"/>
    <row r="107175" s="12" customFormat="1" x14ac:dyDescent="0.25"/>
    <row r="107176" s="12" customFormat="1" x14ac:dyDescent="0.25"/>
    <row r="107177" s="12" customFormat="1" x14ac:dyDescent="0.25"/>
    <row r="107178" s="12" customFormat="1" x14ac:dyDescent="0.25"/>
    <row r="107179" s="12" customFormat="1" x14ac:dyDescent="0.25"/>
    <row r="107180" s="12" customFormat="1" x14ac:dyDescent="0.25"/>
    <row r="107181" s="12" customFormat="1" x14ac:dyDescent="0.25"/>
    <row r="107182" s="12" customFormat="1" x14ac:dyDescent="0.25"/>
    <row r="107183" s="12" customFormat="1" x14ac:dyDescent="0.25"/>
    <row r="107184" s="12" customFormat="1" x14ac:dyDescent="0.25"/>
    <row r="107185" s="12" customFormat="1" x14ac:dyDescent="0.25"/>
    <row r="107186" s="12" customFormat="1" x14ac:dyDescent="0.25"/>
    <row r="107187" s="12" customFormat="1" x14ac:dyDescent="0.25"/>
    <row r="107188" s="12" customFormat="1" x14ac:dyDescent="0.25"/>
    <row r="107189" s="12" customFormat="1" x14ac:dyDescent="0.25"/>
    <row r="107190" s="12" customFormat="1" x14ac:dyDescent="0.25"/>
    <row r="107191" s="12" customFormat="1" x14ac:dyDescent="0.25"/>
    <row r="107192" s="12" customFormat="1" x14ac:dyDescent="0.25"/>
    <row r="107193" s="12" customFormat="1" x14ac:dyDescent="0.25"/>
    <row r="107194" s="12" customFormat="1" x14ac:dyDescent="0.25"/>
    <row r="107195" s="12" customFormat="1" x14ac:dyDescent="0.25"/>
    <row r="107196" s="12" customFormat="1" x14ac:dyDescent="0.25"/>
    <row r="107197" s="12" customFormat="1" x14ac:dyDescent="0.25"/>
    <row r="107198" s="12" customFormat="1" x14ac:dyDescent="0.25"/>
    <row r="107199" s="12" customFormat="1" x14ac:dyDescent="0.25"/>
    <row r="107200" s="12" customFormat="1" x14ac:dyDescent="0.25"/>
    <row r="107201" s="12" customFormat="1" x14ac:dyDescent="0.25"/>
    <row r="107202" s="12" customFormat="1" x14ac:dyDescent="0.25"/>
    <row r="107203" s="12" customFormat="1" x14ac:dyDescent="0.25"/>
    <row r="107204" s="12" customFormat="1" x14ac:dyDescent="0.25"/>
    <row r="107205" s="12" customFormat="1" x14ac:dyDescent="0.25"/>
    <row r="107206" s="12" customFormat="1" x14ac:dyDescent="0.25"/>
    <row r="107207" s="12" customFormat="1" x14ac:dyDescent="0.25"/>
    <row r="107208" s="12" customFormat="1" x14ac:dyDescent="0.25"/>
    <row r="107209" s="12" customFormat="1" x14ac:dyDescent="0.25"/>
    <row r="107210" s="12" customFormat="1" x14ac:dyDescent="0.25"/>
    <row r="107211" s="12" customFormat="1" x14ac:dyDescent="0.25"/>
    <row r="107212" s="12" customFormat="1" x14ac:dyDescent="0.25"/>
    <row r="107213" s="12" customFormat="1" x14ac:dyDescent="0.25"/>
    <row r="107214" s="12" customFormat="1" x14ac:dyDescent="0.25"/>
    <row r="107215" s="12" customFormat="1" x14ac:dyDescent="0.25"/>
    <row r="107216" s="12" customFormat="1" x14ac:dyDescent="0.25"/>
    <row r="107217" s="12" customFormat="1" x14ac:dyDescent="0.25"/>
    <row r="107218" s="12" customFormat="1" x14ac:dyDescent="0.25"/>
    <row r="107219" s="12" customFormat="1" x14ac:dyDescent="0.25"/>
    <row r="107220" s="12" customFormat="1" x14ac:dyDescent="0.25"/>
    <row r="107221" s="12" customFormat="1" x14ac:dyDescent="0.25"/>
    <row r="107222" s="12" customFormat="1" x14ac:dyDescent="0.25"/>
    <row r="107223" s="12" customFormat="1" x14ac:dyDescent="0.25"/>
    <row r="107224" s="12" customFormat="1" x14ac:dyDescent="0.25"/>
    <row r="107225" s="12" customFormat="1" x14ac:dyDescent="0.25"/>
    <row r="107226" s="12" customFormat="1" x14ac:dyDescent="0.25"/>
    <row r="107227" s="12" customFormat="1" x14ac:dyDescent="0.25"/>
    <row r="107228" s="12" customFormat="1" x14ac:dyDescent="0.25"/>
    <row r="107229" s="12" customFormat="1" x14ac:dyDescent="0.25"/>
    <row r="107230" s="12" customFormat="1" x14ac:dyDescent="0.25"/>
    <row r="107231" s="12" customFormat="1" x14ac:dyDescent="0.25"/>
    <row r="107232" s="12" customFormat="1" x14ac:dyDescent="0.25"/>
    <row r="107233" s="12" customFormat="1" x14ac:dyDescent="0.25"/>
    <row r="107234" s="12" customFormat="1" x14ac:dyDescent="0.25"/>
    <row r="107235" s="12" customFormat="1" x14ac:dyDescent="0.25"/>
    <row r="107236" s="12" customFormat="1" x14ac:dyDescent="0.25"/>
    <row r="107237" s="12" customFormat="1" x14ac:dyDescent="0.25"/>
    <row r="107238" s="12" customFormat="1" x14ac:dyDescent="0.25"/>
    <row r="107239" s="12" customFormat="1" x14ac:dyDescent="0.25"/>
    <row r="107240" s="12" customFormat="1" x14ac:dyDescent="0.25"/>
    <row r="107241" s="12" customFormat="1" x14ac:dyDescent="0.25"/>
    <row r="107242" s="12" customFormat="1" x14ac:dyDescent="0.25"/>
    <row r="107243" s="12" customFormat="1" x14ac:dyDescent="0.25"/>
    <row r="107244" s="12" customFormat="1" x14ac:dyDescent="0.25"/>
    <row r="107245" s="12" customFormat="1" x14ac:dyDescent="0.25"/>
    <row r="107246" s="12" customFormat="1" x14ac:dyDescent="0.25"/>
    <row r="107247" s="12" customFormat="1" x14ac:dyDescent="0.25"/>
    <row r="107248" s="12" customFormat="1" x14ac:dyDescent="0.25"/>
    <row r="107249" s="12" customFormat="1" x14ac:dyDescent="0.25"/>
    <row r="107250" s="12" customFormat="1" x14ac:dyDescent="0.25"/>
    <row r="107251" s="12" customFormat="1" x14ac:dyDescent="0.25"/>
    <row r="107252" s="12" customFormat="1" x14ac:dyDescent="0.25"/>
    <row r="107253" s="12" customFormat="1" x14ac:dyDescent="0.25"/>
    <row r="107254" s="12" customFormat="1" x14ac:dyDescent="0.25"/>
    <row r="107255" s="12" customFormat="1" x14ac:dyDescent="0.25"/>
    <row r="107256" s="12" customFormat="1" x14ac:dyDescent="0.25"/>
    <row r="107257" s="12" customFormat="1" x14ac:dyDescent="0.25"/>
    <row r="107258" s="12" customFormat="1" x14ac:dyDescent="0.25"/>
    <row r="107259" s="12" customFormat="1" x14ac:dyDescent="0.25"/>
    <row r="107260" s="12" customFormat="1" x14ac:dyDescent="0.25"/>
    <row r="107261" s="12" customFormat="1" x14ac:dyDescent="0.25"/>
    <row r="107262" s="12" customFormat="1" x14ac:dyDescent="0.25"/>
    <row r="107263" s="12" customFormat="1" x14ac:dyDescent="0.25"/>
    <row r="107264" s="12" customFormat="1" x14ac:dyDescent="0.25"/>
    <row r="107265" s="12" customFormat="1" x14ac:dyDescent="0.25"/>
    <row r="107266" s="12" customFormat="1" x14ac:dyDescent="0.25"/>
    <row r="107267" s="12" customFormat="1" x14ac:dyDescent="0.25"/>
    <row r="107268" s="12" customFormat="1" x14ac:dyDescent="0.25"/>
    <row r="107269" s="12" customFormat="1" x14ac:dyDescent="0.25"/>
    <row r="107270" s="12" customFormat="1" x14ac:dyDescent="0.25"/>
    <row r="107271" s="12" customFormat="1" x14ac:dyDescent="0.25"/>
    <row r="107272" s="12" customFormat="1" x14ac:dyDescent="0.25"/>
    <row r="107273" s="12" customFormat="1" x14ac:dyDescent="0.25"/>
    <row r="107274" s="12" customFormat="1" x14ac:dyDescent="0.25"/>
    <row r="107275" s="12" customFormat="1" x14ac:dyDescent="0.25"/>
    <row r="107276" s="12" customFormat="1" x14ac:dyDescent="0.25"/>
    <row r="107277" s="12" customFormat="1" x14ac:dyDescent="0.25"/>
    <row r="107278" s="12" customFormat="1" x14ac:dyDescent="0.25"/>
    <row r="107279" s="12" customFormat="1" x14ac:dyDescent="0.25"/>
    <row r="107280" s="12" customFormat="1" x14ac:dyDescent="0.25"/>
    <row r="107281" s="12" customFormat="1" x14ac:dyDescent="0.25"/>
    <row r="107282" s="12" customFormat="1" x14ac:dyDescent="0.25"/>
    <row r="107283" s="12" customFormat="1" x14ac:dyDescent="0.25"/>
    <row r="107284" s="12" customFormat="1" x14ac:dyDescent="0.25"/>
    <row r="107285" s="12" customFormat="1" x14ac:dyDescent="0.25"/>
    <row r="107286" s="12" customFormat="1" x14ac:dyDescent="0.25"/>
    <row r="107287" s="12" customFormat="1" x14ac:dyDescent="0.25"/>
    <row r="107288" s="12" customFormat="1" x14ac:dyDescent="0.25"/>
    <row r="107289" s="12" customFormat="1" x14ac:dyDescent="0.25"/>
    <row r="107290" s="12" customFormat="1" x14ac:dyDescent="0.25"/>
    <row r="107291" s="12" customFormat="1" x14ac:dyDescent="0.25"/>
    <row r="107292" s="12" customFormat="1" x14ac:dyDescent="0.25"/>
    <row r="107293" s="12" customFormat="1" x14ac:dyDescent="0.25"/>
    <row r="107294" s="12" customFormat="1" x14ac:dyDescent="0.25"/>
    <row r="107295" s="12" customFormat="1" x14ac:dyDescent="0.25"/>
    <row r="107296" s="12" customFormat="1" x14ac:dyDescent="0.25"/>
    <row r="107297" s="12" customFormat="1" x14ac:dyDescent="0.25"/>
    <row r="107298" s="12" customFormat="1" x14ac:dyDescent="0.25"/>
    <row r="107299" s="12" customFormat="1" x14ac:dyDescent="0.25"/>
    <row r="107300" s="12" customFormat="1" x14ac:dyDescent="0.25"/>
    <row r="107301" s="12" customFormat="1" x14ac:dyDescent="0.25"/>
    <row r="107302" s="12" customFormat="1" x14ac:dyDescent="0.25"/>
    <row r="107303" s="12" customFormat="1" x14ac:dyDescent="0.25"/>
    <row r="107304" s="12" customFormat="1" x14ac:dyDescent="0.25"/>
    <row r="107305" s="12" customFormat="1" x14ac:dyDescent="0.25"/>
    <row r="107306" s="12" customFormat="1" x14ac:dyDescent="0.25"/>
    <row r="107307" s="12" customFormat="1" x14ac:dyDescent="0.25"/>
    <row r="107308" s="12" customFormat="1" x14ac:dyDescent="0.25"/>
    <row r="107309" s="12" customFormat="1" x14ac:dyDescent="0.25"/>
    <row r="107310" s="12" customFormat="1" x14ac:dyDescent="0.25"/>
    <row r="107311" s="12" customFormat="1" x14ac:dyDescent="0.25"/>
    <row r="107312" s="12" customFormat="1" x14ac:dyDescent="0.25"/>
    <row r="107313" s="12" customFormat="1" x14ac:dyDescent="0.25"/>
    <row r="107314" s="12" customFormat="1" x14ac:dyDescent="0.25"/>
    <row r="107315" s="12" customFormat="1" x14ac:dyDescent="0.25"/>
    <row r="107316" s="12" customFormat="1" x14ac:dyDescent="0.25"/>
    <row r="107317" s="12" customFormat="1" x14ac:dyDescent="0.25"/>
    <row r="107318" s="12" customFormat="1" x14ac:dyDescent="0.25"/>
    <row r="107319" s="12" customFormat="1" x14ac:dyDescent="0.25"/>
    <row r="107320" s="12" customFormat="1" x14ac:dyDescent="0.25"/>
    <row r="107321" s="12" customFormat="1" x14ac:dyDescent="0.25"/>
    <row r="107322" s="12" customFormat="1" x14ac:dyDescent="0.25"/>
    <row r="107323" s="12" customFormat="1" x14ac:dyDescent="0.25"/>
    <row r="107324" s="12" customFormat="1" x14ac:dyDescent="0.25"/>
    <row r="107325" s="12" customFormat="1" x14ac:dyDescent="0.25"/>
    <row r="107326" s="12" customFormat="1" x14ac:dyDescent="0.25"/>
    <row r="107327" s="12" customFormat="1" x14ac:dyDescent="0.25"/>
    <row r="107328" s="12" customFormat="1" x14ac:dyDescent="0.25"/>
    <row r="107329" s="12" customFormat="1" x14ac:dyDescent="0.25"/>
    <row r="107330" s="12" customFormat="1" x14ac:dyDescent="0.25"/>
    <row r="107331" s="12" customFormat="1" x14ac:dyDescent="0.25"/>
    <row r="107332" s="12" customFormat="1" x14ac:dyDescent="0.25"/>
    <row r="107333" s="12" customFormat="1" x14ac:dyDescent="0.25"/>
    <row r="107334" s="12" customFormat="1" x14ac:dyDescent="0.25"/>
    <row r="107335" s="12" customFormat="1" x14ac:dyDescent="0.25"/>
    <row r="107336" s="12" customFormat="1" x14ac:dyDescent="0.25"/>
    <row r="107337" s="12" customFormat="1" x14ac:dyDescent="0.25"/>
    <row r="107338" s="12" customFormat="1" x14ac:dyDescent="0.25"/>
    <row r="107339" s="12" customFormat="1" x14ac:dyDescent="0.25"/>
    <row r="107340" s="12" customFormat="1" x14ac:dyDescent="0.25"/>
    <row r="107341" s="12" customFormat="1" x14ac:dyDescent="0.25"/>
    <row r="107342" s="12" customFormat="1" x14ac:dyDescent="0.25"/>
    <row r="107343" s="12" customFormat="1" x14ac:dyDescent="0.25"/>
    <row r="107344" s="12" customFormat="1" x14ac:dyDescent="0.25"/>
    <row r="107345" s="12" customFormat="1" x14ac:dyDescent="0.25"/>
    <row r="107346" s="12" customFormat="1" x14ac:dyDescent="0.25"/>
    <row r="107347" s="12" customFormat="1" x14ac:dyDescent="0.25"/>
    <row r="107348" s="12" customFormat="1" x14ac:dyDescent="0.25"/>
    <row r="107349" s="12" customFormat="1" x14ac:dyDescent="0.25"/>
    <row r="107350" s="12" customFormat="1" x14ac:dyDescent="0.25"/>
    <row r="107351" s="12" customFormat="1" x14ac:dyDescent="0.25"/>
    <row r="107352" s="12" customFormat="1" x14ac:dyDescent="0.25"/>
    <row r="107353" s="12" customFormat="1" x14ac:dyDescent="0.25"/>
    <row r="107354" s="12" customFormat="1" x14ac:dyDescent="0.25"/>
    <row r="107355" s="12" customFormat="1" x14ac:dyDescent="0.25"/>
    <row r="107356" s="12" customFormat="1" x14ac:dyDescent="0.25"/>
    <row r="107357" s="12" customFormat="1" x14ac:dyDescent="0.25"/>
    <row r="107358" s="12" customFormat="1" x14ac:dyDescent="0.25"/>
    <row r="107359" s="12" customFormat="1" x14ac:dyDescent="0.25"/>
    <row r="107360" s="12" customFormat="1" x14ac:dyDescent="0.25"/>
    <row r="107361" s="12" customFormat="1" x14ac:dyDescent="0.25"/>
    <row r="107362" s="12" customFormat="1" x14ac:dyDescent="0.25"/>
    <row r="107363" s="12" customFormat="1" x14ac:dyDescent="0.25"/>
    <row r="107364" s="12" customFormat="1" x14ac:dyDescent="0.25"/>
    <row r="107365" s="12" customFormat="1" x14ac:dyDescent="0.25"/>
    <row r="107366" s="12" customFormat="1" x14ac:dyDescent="0.25"/>
    <row r="107367" s="12" customFormat="1" x14ac:dyDescent="0.25"/>
    <row r="107368" s="12" customFormat="1" x14ac:dyDescent="0.25"/>
    <row r="107369" s="12" customFormat="1" x14ac:dyDescent="0.25"/>
    <row r="107370" s="12" customFormat="1" x14ac:dyDescent="0.25"/>
    <row r="107371" s="12" customFormat="1" x14ac:dyDescent="0.25"/>
    <row r="107372" s="12" customFormat="1" x14ac:dyDescent="0.25"/>
    <row r="107373" s="12" customFormat="1" x14ac:dyDescent="0.25"/>
    <row r="107374" s="12" customFormat="1" x14ac:dyDescent="0.25"/>
    <row r="107375" s="12" customFormat="1" x14ac:dyDescent="0.25"/>
    <row r="107376" s="12" customFormat="1" x14ac:dyDescent="0.25"/>
    <row r="107377" s="12" customFormat="1" x14ac:dyDescent="0.25"/>
    <row r="107378" s="12" customFormat="1" x14ac:dyDescent="0.25"/>
    <row r="107379" s="12" customFormat="1" x14ac:dyDescent="0.25"/>
    <row r="107380" s="12" customFormat="1" x14ac:dyDescent="0.25"/>
    <row r="107381" s="12" customFormat="1" x14ac:dyDescent="0.25"/>
    <row r="107382" s="12" customFormat="1" x14ac:dyDescent="0.25"/>
    <row r="107383" s="12" customFormat="1" x14ac:dyDescent="0.25"/>
    <row r="107384" s="12" customFormat="1" x14ac:dyDescent="0.25"/>
    <row r="107385" s="12" customFormat="1" x14ac:dyDescent="0.25"/>
    <row r="107386" s="12" customFormat="1" x14ac:dyDescent="0.25"/>
    <row r="107387" s="12" customFormat="1" x14ac:dyDescent="0.25"/>
    <row r="107388" s="12" customFormat="1" x14ac:dyDescent="0.25"/>
    <row r="107389" s="12" customFormat="1" x14ac:dyDescent="0.25"/>
    <row r="107390" s="12" customFormat="1" x14ac:dyDescent="0.25"/>
    <row r="107391" s="12" customFormat="1" x14ac:dyDescent="0.25"/>
    <row r="107392" s="12" customFormat="1" x14ac:dyDescent="0.25"/>
    <row r="107393" s="12" customFormat="1" x14ac:dyDescent="0.25"/>
    <row r="107394" s="12" customFormat="1" x14ac:dyDescent="0.25"/>
    <row r="107395" s="12" customFormat="1" x14ac:dyDescent="0.25"/>
    <row r="107396" s="12" customFormat="1" x14ac:dyDescent="0.25"/>
    <row r="107397" s="12" customFormat="1" x14ac:dyDescent="0.25"/>
    <row r="107398" s="12" customFormat="1" x14ac:dyDescent="0.25"/>
    <row r="107399" s="12" customFormat="1" x14ac:dyDescent="0.25"/>
    <row r="107400" s="12" customFormat="1" x14ac:dyDescent="0.25"/>
    <row r="107401" s="12" customFormat="1" x14ac:dyDescent="0.25"/>
    <row r="107402" s="12" customFormat="1" x14ac:dyDescent="0.25"/>
    <row r="107403" s="12" customFormat="1" x14ac:dyDescent="0.25"/>
    <row r="107404" s="12" customFormat="1" x14ac:dyDescent="0.25"/>
    <row r="107405" s="12" customFormat="1" x14ac:dyDescent="0.25"/>
    <row r="107406" s="12" customFormat="1" x14ac:dyDescent="0.25"/>
    <row r="107407" s="12" customFormat="1" x14ac:dyDescent="0.25"/>
    <row r="107408" s="12" customFormat="1" x14ac:dyDescent="0.25"/>
    <row r="107409" s="12" customFormat="1" x14ac:dyDescent="0.25"/>
    <row r="107410" s="12" customFormat="1" x14ac:dyDescent="0.25"/>
    <row r="107411" s="12" customFormat="1" x14ac:dyDescent="0.25"/>
    <row r="107412" s="12" customFormat="1" x14ac:dyDescent="0.25"/>
    <row r="107413" s="12" customFormat="1" x14ac:dyDescent="0.25"/>
    <row r="107414" s="12" customFormat="1" x14ac:dyDescent="0.25"/>
    <row r="107415" s="12" customFormat="1" x14ac:dyDescent="0.25"/>
    <row r="107416" s="12" customFormat="1" x14ac:dyDescent="0.25"/>
    <row r="107417" s="12" customFormat="1" x14ac:dyDescent="0.25"/>
    <row r="107418" s="12" customFormat="1" x14ac:dyDescent="0.25"/>
    <row r="107419" s="12" customFormat="1" x14ac:dyDescent="0.25"/>
    <row r="107420" s="12" customFormat="1" x14ac:dyDescent="0.25"/>
    <row r="107421" s="12" customFormat="1" x14ac:dyDescent="0.25"/>
    <row r="107422" s="12" customFormat="1" x14ac:dyDescent="0.25"/>
    <row r="107423" s="12" customFormat="1" x14ac:dyDescent="0.25"/>
    <row r="107424" s="12" customFormat="1" x14ac:dyDescent="0.25"/>
    <row r="107425" s="12" customFormat="1" x14ac:dyDescent="0.25"/>
    <row r="107426" s="12" customFormat="1" x14ac:dyDescent="0.25"/>
    <row r="107427" s="12" customFormat="1" x14ac:dyDescent="0.25"/>
    <row r="107428" s="12" customFormat="1" x14ac:dyDescent="0.25"/>
    <row r="107429" s="12" customFormat="1" x14ac:dyDescent="0.25"/>
    <row r="107430" s="12" customFormat="1" x14ac:dyDescent="0.25"/>
    <row r="107431" s="12" customFormat="1" x14ac:dyDescent="0.25"/>
    <row r="107432" s="12" customFormat="1" x14ac:dyDescent="0.25"/>
    <row r="107433" s="12" customFormat="1" x14ac:dyDescent="0.25"/>
    <row r="107434" s="12" customFormat="1" x14ac:dyDescent="0.25"/>
    <row r="107435" s="12" customFormat="1" x14ac:dyDescent="0.25"/>
    <row r="107436" s="12" customFormat="1" x14ac:dyDescent="0.25"/>
    <row r="107437" s="12" customFormat="1" x14ac:dyDescent="0.25"/>
    <row r="107438" s="12" customFormat="1" x14ac:dyDescent="0.25"/>
    <row r="107439" s="12" customFormat="1" x14ac:dyDescent="0.25"/>
    <row r="107440" s="12" customFormat="1" x14ac:dyDescent="0.25"/>
    <row r="107441" s="12" customFormat="1" x14ac:dyDescent="0.25"/>
    <row r="107442" s="12" customFormat="1" x14ac:dyDescent="0.25"/>
    <row r="107443" s="12" customFormat="1" x14ac:dyDescent="0.25"/>
    <row r="107444" s="12" customFormat="1" x14ac:dyDescent="0.25"/>
    <row r="107445" s="12" customFormat="1" x14ac:dyDescent="0.25"/>
    <row r="107446" s="12" customFormat="1" x14ac:dyDescent="0.25"/>
    <row r="107447" s="12" customFormat="1" x14ac:dyDescent="0.25"/>
    <row r="107448" s="12" customFormat="1" x14ac:dyDescent="0.25"/>
    <row r="107449" s="12" customFormat="1" x14ac:dyDescent="0.25"/>
    <row r="107450" s="12" customFormat="1" x14ac:dyDescent="0.25"/>
    <row r="107451" s="12" customFormat="1" x14ac:dyDescent="0.25"/>
    <row r="107452" s="12" customFormat="1" x14ac:dyDescent="0.25"/>
    <row r="107453" s="12" customFormat="1" x14ac:dyDescent="0.25"/>
    <row r="107454" s="12" customFormat="1" x14ac:dyDescent="0.25"/>
    <row r="107455" s="12" customFormat="1" x14ac:dyDescent="0.25"/>
    <row r="107456" s="12" customFormat="1" x14ac:dyDescent="0.25"/>
    <row r="107457" s="12" customFormat="1" x14ac:dyDescent="0.25"/>
    <row r="107458" s="12" customFormat="1" x14ac:dyDescent="0.25"/>
    <row r="107459" s="12" customFormat="1" x14ac:dyDescent="0.25"/>
    <row r="107460" s="12" customFormat="1" x14ac:dyDescent="0.25"/>
    <row r="107461" s="12" customFormat="1" x14ac:dyDescent="0.25"/>
    <row r="107462" s="12" customFormat="1" x14ac:dyDescent="0.25"/>
    <row r="107463" s="12" customFormat="1" x14ac:dyDescent="0.25"/>
    <row r="107464" s="12" customFormat="1" x14ac:dyDescent="0.25"/>
    <row r="107465" s="12" customFormat="1" x14ac:dyDescent="0.25"/>
    <row r="107466" s="12" customFormat="1" x14ac:dyDescent="0.25"/>
    <row r="107467" s="12" customFormat="1" x14ac:dyDescent="0.25"/>
    <row r="107468" s="12" customFormat="1" x14ac:dyDescent="0.25"/>
    <row r="107469" s="12" customFormat="1" x14ac:dyDescent="0.25"/>
    <row r="107470" s="12" customFormat="1" x14ac:dyDescent="0.25"/>
    <row r="107471" s="12" customFormat="1" x14ac:dyDescent="0.25"/>
    <row r="107472" s="12" customFormat="1" x14ac:dyDescent="0.25"/>
    <row r="107473" s="12" customFormat="1" x14ac:dyDescent="0.25"/>
    <row r="107474" s="12" customFormat="1" x14ac:dyDescent="0.25"/>
    <row r="107475" s="12" customFormat="1" x14ac:dyDescent="0.25"/>
    <row r="107476" s="12" customFormat="1" x14ac:dyDescent="0.25"/>
    <row r="107477" s="12" customFormat="1" x14ac:dyDescent="0.25"/>
    <row r="107478" s="12" customFormat="1" x14ac:dyDescent="0.25"/>
    <row r="107479" s="12" customFormat="1" x14ac:dyDescent="0.25"/>
    <row r="107480" s="12" customFormat="1" x14ac:dyDescent="0.25"/>
    <row r="107481" s="12" customFormat="1" x14ac:dyDescent="0.25"/>
    <row r="107482" s="12" customFormat="1" x14ac:dyDescent="0.25"/>
    <row r="107483" s="12" customFormat="1" x14ac:dyDescent="0.25"/>
    <row r="107484" s="12" customFormat="1" x14ac:dyDescent="0.25"/>
    <row r="107485" s="12" customFormat="1" x14ac:dyDescent="0.25"/>
    <row r="107486" s="12" customFormat="1" x14ac:dyDescent="0.25"/>
    <row r="107487" s="12" customFormat="1" x14ac:dyDescent="0.25"/>
    <row r="107488" s="12" customFormat="1" x14ac:dyDescent="0.25"/>
    <row r="107489" s="12" customFormat="1" x14ac:dyDescent="0.25"/>
    <row r="107490" s="12" customFormat="1" x14ac:dyDescent="0.25"/>
    <row r="107491" s="12" customFormat="1" x14ac:dyDescent="0.25"/>
    <row r="107492" s="12" customFormat="1" x14ac:dyDescent="0.25"/>
    <row r="107493" s="12" customFormat="1" x14ac:dyDescent="0.25"/>
    <row r="107494" s="12" customFormat="1" x14ac:dyDescent="0.25"/>
    <row r="107495" s="12" customFormat="1" x14ac:dyDescent="0.25"/>
    <row r="107496" s="12" customFormat="1" x14ac:dyDescent="0.25"/>
    <row r="107497" s="12" customFormat="1" x14ac:dyDescent="0.25"/>
    <row r="107498" s="12" customFormat="1" x14ac:dyDescent="0.25"/>
    <row r="107499" s="12" customFormat="1" x14ac:dyDescent="0.25"/>
    <row r="107500" s="12" customFormat="1" x14ac:dyDescent="0.25"/>
    <row r="107501" s="12" customFormat="1" x14ac:dyDescent="0.25"/>
    <row r="107502" s="12" customFormat="1" x14ac:dyDescent="0.25"/>
    <row r="107503" s="12" customFormat="1" x14ac:dyDescent="0.25"/>
    <row r="107504" s="12" customFormat="1" x14ac:dyDescent="0.25"/>
    <row r="107505" s="12" customFormat="1" x14ac:dyDescent="0.25"/>
    <row r="107506" s="12" customFormat="1" x14ac:dyDescent="0.25"/>
    <row r="107507" s="12" customFormat="1" x14ac:dyDescent="0.25"/>
    <row r="107508" s="12" customFormat="1" x14ac:dyDescent="0.25"/>
    <row r="107509" s="12" customFormat="1" x14ac:dyDescent="0.25"/>
    <row r="107510" s="12" customFormat="1" x14ac:dyDescent="0.25"/>
    <row r="107511" s="12" customFormat="1" x14ac:dyDescent="0.25"/>
    <row r="107512" s="12" customFormat="1" x14ac:dyDescent="0.25"/>
    <row r="107513" s="12" customFormat="1" x14ac:dyDescent="0.25"/>
    <row r="107514" s="12" customFormat="1" x14ac:dyDescent="0.25"/>
    <row r="107515" s="12" customFormat="1" x14ac:dyDescent="0.25"/>
    <row r="107516" s="12" customFormat="1" x14ac:dyDescent="0.25"/>
    <row r="107517" s="12" customFormat="1" x14ac:dyDescent="0.25"/>
    <row r="107518" s="12" customFormat="1" x14ac:dyDescent="0.25"/>
    <row r="107519" s="12" customFormat="1" x14ac:dyDescent="0.25"/>
    <row r="107520" s="12" customFormat="1" x14ac:dyDescent="0.25"/>
    <row r="107521" s="12" customFormat="1" x14ac:dyDescent="0.25"/>
    <row r="107522" s="12" customFormat="1" x14ac:dyDescent="0.25"/>
    <row r="107523" s="12" customFormat="1" x14ac:dyDescent="0.25"/>
    <row r="107524" s="12" customFormat="1" x14ac:dyDescent="0.25"/>
    <row r="107525" s="12" customFormat="1" x14ac:dyDescent="0.25"/>
    <row r="107526" s="12" customFormat="1" x14ac:dyDescent="0.25"/>
    <row r="107527" s="12" customFormat="1" x14ac:dyDescent="0.25"/>
    <row r="107528" s="12" customFormat="1" x14ac:dyDescent="0.25"/>
    <row r="107529" s="12" customFormat="1" x14ac:dyDescent="0.25"/>
    <row r="107530" s="12" customFormat="1" x14ac:dyDescent="0.25"/>
    <row r="107531" s="12" customFormat="1" x14ac:dyDescent="0.25"/>
    <row r="107532" s="12" customFormat="1" x14ac:dyDescent="0.25"/>
    <row r="107533" s="12" customFormat="1" x14ac:dyDescent="0.25"/>
    <row r="107534" s="12" customFormat="1" x14ac:dyDescent="0.25"/>
    <row r="107535" s="12" customFormat="1" x14ac:dyDescent="0.25"/>
    <row r="107536" s="12" customFormat="1" x14ac:dyDescent="0.25"/>
    <row r="107537" s="12" customFormat="1" x14ac:dyDescent="0.25"/>
    <row r="107538" s="12" customFormat="1" x14ac:dyDescent="0.25"/>
    <row r="107539" s="12" customFormat="1" x14ac:dyDescent="0.25"/>
    <row r="107540" s="12" customFormat="1" x14ac:dyDescent="0.25"/>
    <row r="107541" s="12" customFormat="1" x14ac:dyDescent="0.25"/>
    <row r="107542" s="12" customFormat="1" x14ac:dyDescent="0.25"/>
    <row r="107543" s="12" customFormat="1" x14ac:dyDescent="0.25"/>
    <row r="107544" s="12" customFormat="1" x14ac:dyDescent="0.25"/>
    <row r="107545" s="12" customFormat="1" x14ac:dyDescent="0.25"/>
    <row r="107546" s="12" customFormat="1" x14ac:dyDescent="0.25"/>
    <row r="107547" s="12" customFormat="1" x14ac:dyDescent="0.25"/>
    <row r="107548" s="12" customFormat="1" x14ac:dyDescent="0.25"/>
    <row r="107549" s="12" customFormat="1" x14ac:dyDescent="0.25"/>
    <row r="107550" s="12" customFormat="1" x14ac:dyDescent="0.25"/>
    <row r="107551" s="12" customFormat="1" x14ac:dyDescent="0.25"/>
    <row r="107552" s="12" customFormat="1" x14ac:dyDescent="0.25"/>
    <row r="107553" s="12" customFormat="1" x14ac:dyDescent="0.25"/>
    <row r="107554" s="12" customFormat="1" x14ac:dyDescent="0.25"/>
    <row r="107555" s="12" customFormat="1" x14ac:dyDescent="0.25"/>
    <row r="107556" s="12" customFormat="1" x14ac:dyDescent="0.25"/>
    <row r="107557" s="12" customFormat="1" x14ac:dyDescent="0.25"/>
    <row r="107558" s="12" customFormat="1" x14ac:dyDescent="0.25"/>
    <row r="107559" s="12" customFormat="1" x14ac:dyDescent="0.25"/>
    <row r="107560" s="12" customFormat="1" x14ac:dyDescent="0.25"/>
    <row r="107561" s="12" customFormat="1" x14ac:dyDescent="0.25"/>
    <row r="107562" s="12" customFormat="1" x14ac:dyDescent="0.25"/>
    <row r="107563" s="12" customFormat="1" x14ac:dyDescent="0.25"/>
    <row r="107564" s="12" customFormat="1" x14ac:dyDescent="0.25"/>
    <row r="107565" s="12" customFormat="1" x14ac:dyDescent="0.25"/>
    <row r="107566" s="12" customFormat="1" x14ac:dyDescent="0.25"/>
    <row r="107567" s="12" customFormat="1" x14ac:dyDescent="0.25"/>
    <row r="107568" s="12" customFormat="1" x14ac:dyDescent="0.25"/>
    <row r="107569" s="12" customFormat="1" x14ac:dyDescent="0.25"/>
    <row r="107570" s="12" customFormat="1" x14ac:dyDescent="0.25"/>
    <row r="107571" s="12" customFormat="1" x14ac:dyDescent="0.25"/>
    <row r="107572" s="12" customFormat="1" x14ac:dyDescent="0.25"/>
    <row r="107573" s="12" customFormat="1" x14ac:dyDescent="0.25"/>
    <row r="107574" s="12" customFormat="1" x14ac:dyDescent="0.25"/>
    <row r="107575" s="12" customFormat="1" x14ac:dyDescent="0.25"/>
    <row r="107576" s="12" customFormat="1" x14ac:dyDescent="0.25"/>
    <row r="107577" s="12" customFormat="1" x14ac:dyDescent="0.25"/>
    <row r="107578" s="12" customFormat="1" x14ac:dyDescent="0.25"/>
    <row r="107579" s="12" customFormat="1" x14ac:dyDescent="0.25"/>
    <row r="107580" s="12" customFormat="1" x14ac:dyDescent="0.25"/>
    <row r="107581" s="12" customFormat="1" x14ac:dyDescent="0.25"/>
    <row r="107582" s="12" customFormat="1" x14ac:dyDescent="0.25"/>
    <row r="107583" s="12" customFormat="1" x14ac:dyDescent="0.25"/>
    <row r="107584" s="12" customFormat="1" x14ac:dyDescent="0.25"/>
    <row r="107585" s="12" customFormat="1" x14ac:dyDescent="0.25"/>
    <row r="107586" s="12" customFormat="1" x14ac:dyDescent="0.25"/>
    <row r="107587" s="12" customFormat="1" x14ac:dyDescent="0.25"/>
    <row r="107588" s="12" customFormat="1" x14ac:dyDescent="0.25"/>
    <row r="107589" s="12" customFormat="1" x14ac:dyDescent="0.25"/>
    <row r="107590" s="12" customFormat="1" x14ac:dyDescent="0.25"/>
    <row r="107591" s="12" customFormat="1" x14ac:dyDescent="0.25"/>
    <row r="107592" s="12" customFormat="1" x14ac:dyDescent="0.25"/>
    <row r="107593" s="12" customFormat="1" x14ac:dyDescent="0.25"/>
    <row r="107594" s="12" customFormat="1" x14ac:dyDescent="0.25"/>
    <row r="107595" s="12" customFormat="1" x14ac:dyDescent="0.25"/>
    <row r="107596" s="12" customFormat="1" x14ac:dyDescent="0.25"/>
    <row r="107597" s="12" customFormat="1" x14ac:dyDescent="0.25"/>
    <row r="107598" s="12" customFormat="1" x14ac:dyDescent="0.25"/>
    <row r="107599" s="12" customFormat="1" x14ac:dyDescent="0.25"/>
    <row r="107600" s="12" customFormat="1" x14ac:dyDescent="0.25"/>
    <row r="107601" s="12" customFormat="1" x14ac:dyDescent="0.25"/>
    <row r="107602" s="12" customFormat="1" x14ac:dyDescent="0.25"/>
    <row r="107603" s="12" customFormat="1" x14ac:dyDescent="0.25"/>
    <row r="107604" s="12" customFormat="1" x14ac:dyDescent="0.25"/>
    <row r="107605" s="12" customFormat="1" x14ac:dyDescent="0.25"/>
    <row r="107606" s="12" customFormat="1" x14ac:dyDescent="0.25"/>
    <row r="107607" s="12" customFormat="1" x14ac:dyDescent="0.25"/>
    <row r="107608" s="12" customFormat="1" x14ac:dyDescent="0.25"/>
    <row r="107609" s="12" customFormat="1" x14ac:dyDescent="0.25"/>
    <row r="107610" s="12" customFormat="1" x14ac:dyDescent="0.25"/>
    <row r="107611" s="12" customFormat="1" x14ac:dyDescent="0.25"/>
    <row r="107612" s="12" customFormat="1" x14ac:dyDescent="0.25"/>
    <row r="107613" s="12" customFormat="1" x14ac:dyDescent="0.25"/>
    <row r="107614" s="12" customFormat="1" x14ac:dyDescent="0.25"/>
    <row r="107615" s="12" customFormat="1" x14ac:dyDescent="0.25"/>
    <row r="107616" s="12" customFormat="1" x14ac:dyDescent="0.25"/>
    <row r="107617" s="12" customFormat="1" x14ac:dyDescent="0.25"/>
    <row r="107618" s="12" customFormat="1" x14ac:dyDescent="0.25"/>
    <row r="107619" s="12" customFormat="1" x14ac:dyDescent="0.25"/>
    <row r="107620" s="12" customFormat="1" x14ac:dyDescent="0.25"/>
    <row r="107621" s="12" customFormat="1" x14ac:dyDescent="0.25"/>
    <row r="107622" s="12" customFormat="1" x14ac:dyDescent="0.25"/>
    <row r="107623" s="12" customFormat="1" x14ac:dyDescent="0.25"/>
    <row r="107624" s="12" customFormat="1" x14ac:dyDescent="0.25"/>
    <row r="107625" s="12" customFormat="1" x14ac:dyDescent="0.25"/>
    <row r="107626" s="12" customFormat="1" x14ac:dyDescent="0.25"/>
    <row r="107627" s="12" customFormat="1" x14ac:dyDescent="0.25"/>
    <row r="107628" s="12" customFormat="1" x14ac:dyDescent="0.25"/>
    <row r="107629" s="12" customFormat="1" x14ac:dyDescent="0.25"/>
    <row r="107630" s="12" customFormat="1" x14ac:dyDescent="0.25"/>
    <row r="107631" s="12" customFormat="1" x14ac:dyDescent="0.25"/>
    <row r="107632" s="12" customFormat="1" x14ac:dyDescent="0.25"/>
    <row r="107633" s="12" customFormat="1" x14ac:dyDescent="0.25"/>
    <row r="107634" s="12" customFormat="1" x14ac:dyDescent="0.25"/>
    <row r="107635" s="12" customFormat="1" x14ac:dyDescent="0.25"/>
    <row r="107636" s="12" customFormat="1" x14ac:dyDescent="0.25"/>
    <row r="107637" s="12" customFormat="1" x14ac:dyDescent="0.25"/>
    <row r="107638" s="12" customFormat="1" x14ac:dyDescent="0.25"/>
    <row r="107639" s="12" customFormat="1" x14ac:dyDescent="0.25"/>
    <row r="107640" s="12" customFormat="1" x14ac:dyDescent="0.25"/>
    <row r="107641" s="12" customFormat="1" x14ac:dyDescent="0.25"/>
    <row r="107642" s="12" customFormat="1" x14ac:dyDescent="0.25"/>
    <row r="107643" s="12" customFormat="1" x14ac:dyDescent="0.25"/>
    <row r="107644" s="12" customFormat="1" x14ac:dyDescent="0.25"/>
    <row r="107645" s="12" customFormat="1" x14ac:dyDescent="0.25"/>
    <row r="107646" s="12" customFormat="1" x14ac:dyDescent="0.25"/>
    <row r="107647" s="12" customFormat="1" x14ac:dyDescent="0.25"/>
    <row r="107648" s="12" customFormat="1" x14ac:dyDescent="0.25"/>
    <row r="107649" s="12" customFormat="1" x14ac:dyDescent="0.25"/>
    <row r="107650" s="12" customFormat="1" x14ac:dyDescent="0.25"/>
    <row r="107651" s="12" customFormat="1" x14ac:dyDescent="0.25"/>
    <row r="107652" s="12" customFormat="1" x14ac:dyDescent="0.25"/>
    <row r="107653" s="12" customFormat="1" x14ac:dyDescent="0.25"/>
    <row r="107654" s="12" customFormat="1" x14ac:dyDescent="0.25"/>
    <row r="107655" s="12" customFormat="1" x14ac:dyDescent="0.25"/>
    <row r="107656" s="12" customFormat="1" x14ac:dyDescent="0.25"/>
    <row r="107657" s="12" customFormat="1" x14ac:dyDescent="0.25"/>
    <row r="107658" s="12" customFormat="1" x14ac:dyDescent="0.25"/>
    <row r="107659" s="12" customFormat="1" x14ac:dyDescent="0.25"/>
    <row r="107660" s="12" customFormat="1" x14ac:dyDescent="0.25"/>
    <row r="107661" s="12" customFormat="1" x14ac:dyDescent="0.25"/>
    <row r="107662" s="12" customFormat="1" x14ac:dyDescent="0.25"/>
    <row r="107663" s="12" customFormat="1" x14ac:dyDescent="0.25"/>
    <row r="107664" s="12" customFormat="1" x14ac:dyDescent="0.25"/>
    <row r="107665" s="12" customFormat="1" x14ac:dyDescent="0.25"/>
    <row r="107666" s="12" customFormat="1" x14ac:dyDescent="0.25"/>
    <row r="107667" s="12" customFormat="1" x14ac:dyDescent="0.25"/>
    <row r="107668" s="12" customFormat="1" x14ac:dyDescent="0.25"/>
    <row r="107669" s="12" customFormat="1" x14ac:dyDescent="0.25"/>
    <row r="107670" s="12" customFormat="1" x14ac:dyDescent="0.25"/>
    <row r="107671" s="12" customFormat="1" x14ac:dyDescent="0.25"/>
    <row r="107672" s="12" customFormat="1" x14ac:dyDescent="0.25"/>
    <row r="107673" s="12" customFormat="1" x14ac:dyDescent="0.25"/>
    <row r="107674" s="12" customFormat="1" x14ac:dyDescent="0.25"/>
    <row r="107675" s="12" customFormat="1" x14ac:dyDescent="0.25"/>
    <row r="107676" s="12" customFormat="1" x14ac:dyDescent="0.25"/>
    <row r="107677" s="12" customFormat="1" x14ac:dyDescent="0.25"/>
    <row r="107678" s="12" customFormat="1" x14ac:dyDescent="0.25"/>
    <row r="107679" s="12" customFormat="1" x14ac:dyDescent="0.25"/>
    <row r="107680" s="12" customFormat="1" x14ac:dyDescent="0.25"/>
    <row r="107681" s="12" customFormat="1" x14ac:dyDescent="0.25"/>
    <row r="107682" s="12" customFormat="1" x14ac:dyDescent="0.25"/>
    <row r="107683" s="12" customFormat="1" x14ac:dyDescent="0.25"/>
    <row r="107684" s="12" customFormat="1" x14ac:dyDescent="0.25"/>
    <row r="107685" s="12" customFormat="1" x14ac:dyDescent="0.25"/>
    <row r="107686" s="12" customFormat="1" x14ac:dyDescent="0.25"/>
    <row r="107687" s="12" customFormat="1" x14ac:dyDescent="0.25"/>
    <row r="107688" s="12" customFormat="1" x14ac:dyDescent="0.25"/>
    <row r="107689" s="12" customFormat="1" x14ac:dyDescent="0.25"/>
    <row r="107690" s="12" customFormat="1" x14ac:dyDescent="0.25"/>
    <row r="107691" s="12" customFormat="1" x14ac:dyDescent="0.25"/>
    <row r="107692" s="12" customFormat="1" x14ac:dyDescent="0.25"/>
    <row r="107693" s="12" customFormat="1" x14ac:dyDescent="0.25"/>
    <row r="107694" s="12" customFormat="1" x14ac:dyDescent="0.25"/>
    <row r="107695" s="12" customFormat="1" x14ac:dyDescent="0.25"/>
    <row r="107696" s="12" customFormat="1" x14ac:dyDescent="0.25"/>
    <row r="107697" s="12" customFormat="1" x14ac:dyDescent="0.25"/>
    <row r="107698" s="12" customFormat="1" x14ac:dyDescent="0.25"/>
    <row r="107699" s="12" customFormat="1" x14ac:dyDescent="0.25"/>
    <row r="107700" s="12" customFormat="1" x14ac:dyDescent="0.25"/>
    <row r="107701" s="12" customFormat="1" x14ac:dyDescent="0.25"/>
    <row r="107702" s="12" customFormat="1" x14ac:dyDescent="0.25"/>
    <row r="107703" s="12" customFormat="1" x14ac:dyDescent="0.25"/>
    <row r="107704" s="12" customFormat="1" x14ac:dyDescent="0.25"/>
    <row r="107705" s="12" customFormat="1" x14ac:dyDescent="0.25"/>
    <row r="107706" s="12" customFormat="1" x14ac:dyDescent="0.25"/>
    <row r="107707" s="12" customFormat="1" x14ac:dyDescent="0.25"/>
    <row r="107708" s="12" customFormat="1" x14ac:dyDescent="0.25"/>
    <row r="107709" s="12" customFormat="1" x14ac:dyDescent="0.25"/>
    <row r="107710" s="12" customFormat="1" x14ac:dyDescent="0.25"/>
    <row r="107711" s="12" customFormat="1" x14ac:dyDescent="0.25"/>
    <row r="107712" s="12" customFormat="1" x14ac:dyDescent="0.25"/>
    <row r="107713" s="12" customFormat="1" x14ac:dyDescent="0.25"/>
    <row r="107714" s="12" customFormat="1" x14ac:dyDescent="0.25"/>
    <row r="107715" s="12" customFormat="1" x14ac:dyDescent="0.25"/>
    <row r="107716" s="12" customFormat="1" x14ac:dyDescent="0.25"/>
    <row r="107717" s="12" customFormat="1" x14ac:dyDescent="0.25"/>
    <row r="107718" s="12" customFormat="1" x14ac:dyDescent="0.25"/>
    <row r="107719" s="12" customFormat="1" x14ac:dyDescent="0.25"/>
    <row r="107720" s="12" customFormat="1" x14ac:dyDescent="0.25"/>
    <row r="107721" s="12" customFormat="1" x14ac:dyDescent="0.25"/>
    <row r="107722" s="12" customFormat="1" x14ac:dyDescent="0.25"/>
    <row r="107723" s="12" customFormat="1" x14ac:dyDescent="0.25"/>
    <row r="107724" s="12" customFormat="1" x14ac:dyDescent="0.25"/>
    <row r="107725" s="12" customFormat="1" x14ac:dyDescent="0.25"/>
    <row r="107726" s="12" customFormat="1" x14ac:dyDescent="0.25"/>
    <row r="107727" s="12" customFormat="1" x14ac:dyDescent="0.25"/>
    <row r="107728" s="12" customFormat="1" x14ac:dyDescent="0.25"/>
    <row r="107729" s="12" customFormat="1" x14ac:dyDescent="0.25"/>
    <row r="107730" s="12" customFormat="1" x14ac:dyDescent="0.25"/>
    <row r="107731" s="12" customFormat="1" x14ac:dyDescent="0.25"/>
    <row r="107732" s="12" customFormat="1" x14ac:dyDescent="0.25"/>
    <row r="107733" s="12" customFormat="1" x14ac:dyDescent="0.25"/>
    <row r="107734" s="12" customFormat="1" x14ac:dyDescent="0.25"/>
    <row r="107735" s="12" customFormat="1" x14ac:dyDescent="0.25"/>
    <row r="107736" s="12" customFormat="1" x14ac:dyDescent="0.25"/>
    <row r="107737" s="12" customFormat="1" x14ac:dyDescent="0.25"/>
    <row r="107738" s="12" customFormat="1" x14ac:dyDescent="0.25"/>
    <row r="107739" s="12" customFormat="1" x14ac:dyDescent="0.25"/>
    <row r="107740" s="12" customFormat="1" x14ac:dyDescent="0.25"/>
    <row r="107741" s="12" customFormat="1" x14ac:dyDescent="0.25"/>
    <row r="107742" s="12" customFormat="1" x14ac:dyDescent="0.25"/>
    <row r="107743" s="12" customFormat="1" x14ac:dyDescent="0.25"/>
    <row r="107744" s="12" customFormat="1" x14ac:dyDescent="0.25"/>
    <row r="107745" s="12" customFormat="1" x14ac:dyDescent="0.25"/>
    <row r="107746" s="12" customFormat="1" x14ac:dyDescent="0.25"/>
    <row r="107747" s="12" customFormat="1" x14ac:dyDescent="0.25"/>
    <row r="107748" s="12" customFormat="1" x14ac:dyDescent="0.25"/>
    <row r="107749" s="12" customFormat="1" x14ac:dyDescent="0.25"/>
    <row r="107750" s="12" customFormat="1" x14ac:dyDescent="0.25"/>
    <row r="107751" s="12" customFormat="1" x14ac:dyDescent="0.25"/>
    <row r="107752" s="12" customFormat="1" x14ac:dyDescent="0.25"/>
    <row r="107753" s="12" customFormat="1" x14ac:dyDescent="0.25"/>
    <row r="107754" s="12" customFormat="1" x14ac:dyDescent="0.25"/>
    <row r="107755" s="12" customFormat="1" x14ac:dyDescent="0.25"/>
    <row r="107756" s="12" customFormat="1" x14ac:dyDescent="0.25"/>
    <row r="107757" s="12" customFormat="1" x14ac:dyDescent="0.25"/>
    <row r="107758" s="12" customFormat="1" x14ac:dyDescent="0.25"/>
    <row r="107759" s="12" customFormat="1" x14ac:dyDescent="0.25"/>
    <row r="107760" s="12" customFormat="1" x14ac:dyDescent="0.25"/>
    <row r="107761" s="12" customFormat="1" x14ac:dyDescent="0.25"/>
    <row r="107762" s="12" customFormat="1" x14ac:dyDescent="0.25"/>
    <row r="107763" s="12" customFormat="1" x14ac:dyDescent="0.25"/>
    <row r="107764" s="12" customFormat="1" x14ac:dyDescent="0.25"/>
    <row r="107765" s="12" customFormat="1" x14ac:dyDescent="0.25"/>
    <row r="107766" s="12" customFormat="1" x14ac:dyDescent="0.25"/>
    <row r="107767" s="12" customFormat="1" x14ac:dyDescent="0.25"/>
    <row r="107768" s="12" customFormat="1" x14ac:dyDescent="0.25"/>
    <row r="107769" s="12" customFormat="1" x14ac:dyDescent="0.25"/>
    <row r="107770" s="12" customFormat="1" x14ac:dyDescent="0.25"/>
    <row r="107771" s="12" customFormat="1" x14ac:dyDescent="0.25"/>
    <row r="107772" s="12" customFormat="1" x14ac:dyDescent="0.25"/>
    <row r="107773" s="12" customFormat="1" x14ac:dyDescent="0.25"/>
    <row r="107774" s="12" customFormat="1" x14ac:dyDescent="0.25"/>
    <row r="107775" s="12" customFormat="1" x14ac:dyDescent="0.25"/>
    <row r="107776" s="12" customFormat="1" x14ac:dyDescent="0.25"/>
    <row r="107777" s="12" customFormat="1" x14ac:dyDescent="0.25"/>
    <row r="107778" s="12" customFormat="1" x14ac:dyDescent="0.25"/>
    <row r="107779" s="12" customFormat="1" x14ac:dyDescent="0.25"/>
    <row r="107780" s="12" customFormat="1" x14ac:dyDescent="0.25"/>
    <row r="107781" s="12" customFormat="1" x14ac:dyDescent="0.25"/>
    <row r="107782" s="12" customFormat="1" x14ac:dyDescent="0.25"/>
    <row r="107783" s="12" customFormat="1" x14ac:dyDescent="0.25"/>
    <row r="107784" s="12" customFormat="1" x14ac:dyDescent="0.25"/>
    <row r="107785" s="12" customFormat="1" x14ac:dyDescent="0.25"/>
    <row r="107786" s="12" customFormat="1" x14ac:dyDescent="0.25"/>
    <row r="107787" s="12" customFormat="1" x14ac:dyDescent="0.25"/>
    <row r="107788" s="12" customFormat="1" x14ac:dyDescent="0.25"/>
    <row r="107789" s="12" customFormat="1" x14ac:dyDescent="0.25"/>
    <row r="107790" s="12" customFormat="1" x14ac:dyDescent="0.25"/>
    <row r="107791" s="12" customFormat="1" x14ac:dyDescent="0.25"/>
    <row r="107792" s="12" customFormat="1" x14ac:dyDescent="0.25"/>
    <row r="107793" s="12" customFormat="1" x14ac:dyDescent="0.25"/>
    <row r="107794" s="12" customFormat="1" x14ac:dyDescent="0.25"/>
    <row r="107795" s="12" customFormat="1" x14ac:dyDescent="0.25"/>
    <row r="107796" s="12" customFormat="1" x14ac:dyDescent="0.25"/>
    <row r="107797" s="12" customFormat="1" x14ac:dyDescent="0.25"/>
    <row r="107798" s="12" customFormat="1" x14ac:dyDescent="0.25"/>
    <row r="107799" s="12" customFormat="1" x14ac:dyDescent="0.25"/>
    <row r="107800" s="12" customFormat="1" x14ac:dyDescent="0.25"/>
    <row r="107801" s="12" customFormat="1" x14ac:dyDescent="0.25"/>
    <row r="107802" s="12" customFormat="1" x14ac:dyDescent="0.25"/>
    <row r="107803" s="12" customFormat="1" x14ac:dyDescent="0.25"/>
    <row r="107804" s="12" customFormat="1" x14ac:dyDescent="0.25"/>
    <row r="107805" s="12" customFormat="1" x14ac:dyDescent="0.25"/>
    <row r="107806" s="12" customFormat="1" x14ac:dyDescent="0.25"/>
    <row r="107807" s="12" customFormat="1" x14ac:dyDescent="0.25"/>
    <row r="107808" s="12" customFormat="1" x14ac:dyDescent="0.25"/>
    <row r="107809" s="12" customFormat="1" x14ac:dyDescent="0.25"/>
    <row r="107810" s="12" customFormat="1" x14ac:dyDescent="0.25"/>
    <row r="107811" s="12" customFormat="1" x14ac:dyDescent="0.25"/>
    <row r="107812" s="12" customFormat="1" x14ac:dyDescent="0.25"/>
    <row r="107813" s="12" customFormat="1" x14ac:dyDescent="0.25"/>
    <row r="107814" s="12" customFormat="1" x14ac:dyDescent="0.25"/>
    <row r="107815" s="12" customFormat="1" x14ac:dyDescent="0.25"/>
    <row r="107816" s="12" customFormat="1" x14ac:dyDescent="0.25"/>
    <row r="107817" s="12" customFormat="1" x14ac:dyDescent="0.25"/>
    <row r="107818" s="12" customFormat="1" x14ac:dyDescent="0.25"/>
    <row r="107819" s="12" customFormat="1" x14ac:dyDescent="0.25"/>
    <row r="107820" s="12" customFormat="1" x14ac:dyDescent="0.25"/>
    <row r="107821" s="12" customFormat="1" x14ac:dyDescent="0.25"/>
    <row r="107822" s="12" customFormat="1" x14ac:dyDescent="0.25"/>
    <row r="107823" s="12" customFormat="1" x14ac:dyDescent="0.25"/>
    <row r="107824" s="12" customFormat="1" x14ac:dyDescent="0.25"/>
    <row r="107825" s="12" customFormat="1" x14ac:dyDescent="0.25"/>
    <row r="107826" s="12" customFormat="1" x14ac:dyDescent="0.25"/>
    <row r="107827" s="12" customFormat="1" x14ac:dyDescent="0.25"/>
    <row r="107828" s="12" customFormat="1" x14ac:dyDescent="0.25"/>
    <row r="107829" s="12" customFormat="1" x14ac:dyDescent="0.25"/>
    <row r="107830" s="12" customFormat="1" x14ac:dyDescent="0.25"/>
    <row r="107831" s="12" customFormat="1" x14ac:dyDescent="0.25"/>
    <row r="107832" s="12" customFormat="1" x14ac:dyDescent="0.25"/>
    <row r="107833" s="12" customFormat="1" x14ac:dyDescent="0.25"/>
    <row r="107834" s="12" customFormat="1" x14ac:dyDescent="0.25"/>
    <row r="107835" s="12" customFormat="1" x14ac:dyDescent="0.25"/>
    <row r="107836" s="12" customFormat="1" x14ac:dyDescent="0.25"/>
    <row r="107837" s="12" customFormat="1" x14ac:dyDescent="0.25"/>
    <row r="107838" s="12" customFormat="1" x14ac:dyDescent="0.25"/>
    <row r="107839" s="12" customFormat="1" x14ac:dyDescent="0.25"/>
    <row r="107840" s="12" customFormat="1" x14ac:dyDescent="0.25"/>
    <row r="107841" s="12" customFormat="1" x14ac:dyDescent="0.25"/>
    <row r="107842" s="12" customFormat="1" x14ac:dyDescent="0.25"/>
    <row r="107843" s="12" customFormat="1" x14ac:dyDescent="0.25"/>
    <row r="107844" s="12" customFormat="1" x14ac:dyDescent="0.25"/>
    <row r="107845" s="12" customFormat="1" x14ac:dyDescent="0.25"/>
    <row r="107846" s="12" customFormat="1" x14ac:dyDescent="0.25"/>
    <row r="107847" s="12" customFormat="1" x14ac:dyDescent="0.25"/>
    <row r="107848" s="12" customFormat="1" x14ac:dyDescent="0.25"/>
    <row r="107849" s="12" customFormat="1" x14ac:dyDescent="0.25"/>
    <row r="107850" s="12" customFormat="1" x14ac:dyDescent="0.25"/>
    <row r="107851" s="12" customFormat="1" x14ac:dyDescent="0.25"/>
    <row r="107852" s="12" customFormat="1" x14ac:dyDescent="0.25"/>
    <row r="107853" s="12" customFormat="1" x14ac:dyDescent="0.25"/>
    <row r="107854" s="12" customFormat="1" x14ac:dyDescent="0.25"/>
    <row r="107855" s="12" customFormat="1" x14ac:dyDescent="0.25"/>
    <row r="107856" s="12" customFormat="1" x14ac:dyDescent="0.25"/>
    <row r="107857" s="12" customFormat="1" x14ac:dyDescent="0.25"/>
    <row r="107858" s="12" customFormat="1" x14ac:dyDescent="0.25"/>
    <row r="107859" s="12" customFormat="1" x14ac:dyDescent="0.25"/>
    <row r="107860" s="12" customFormat="1" x14ac:dyDescent="0.25"/>
    <row r="107861" s="12" customFormat="1" x14ac:dyDescent="0.25"/>
    <row r="107862" s="12" customFormat="1" x14ac:dyDescent="0.25"/>
    <row r="107863" s="12" customFormat="1" x14ac:dyDescent="0.25"/>
    <row r="107864" s="12" customFormat="1" x14ac:dyDescent="0.25"/>
    <row r="107865" s="12" customFormat="1" x14ac:dyDescent="0.25"/>
    <row r="107866" s="12" customFormat="1" x14ac:dyDescent="0.25"/>
    <row r="107867" s="12" customFormat="1" x14ac:dyDescent="0.25"/>
    <row r="107868" s="12" customFormat="1" x14ac:dyDescent="0.25"/>
    <row r="107869" s="12" customFormat="1" x14ac:dyDescent="0.25"/>
    <row r="107870" s="12" customFormat="1" x14ac:dyDescent="0.25"/>
    <row r="107871" s="12" customFormat="1" x14ac:dyDescent="0.25"/>
    <row r="107872" s="12" customFormat="1" x14ac:dyDescent="0.25"/>
    <row r="107873" s="12" customFormat="1" x14ac:dyDescent="0.25"/>
    <row r="107874" s="12" customFormat="1" x14ac:dyDescent="0.25"/>
    <row r="107875" s="12" customFormat="1" x14ac:dyDescent="0.25"/>
    <row r="107876" s="12" customFormat="1" x14ac:dyDescent="0.25"/>
    <row r="107877" s="12" customFormat="1" x14ac:dyDescent="0.25"/>
    <row r="107878" s="12" customFormat="1" x14ac:dyDescent="0.25"/>
    <row r="107879" s="12" customFormat="1" x14ac:dyDescent="0.25"/>
    <row r="107880" s="12" customFormat="1" x14ac:dyDescent="0.25"/>
    <row r="107881" s="12" customFormat="1" x14ac:dyDescent="0.25"/>
    <row r="107882" s="12" customFormat="1" x14ac:dyDescent="0.25"/>
    <row r="107883" s="12" customFormat="1" x14ac:dyDescent="0.25"/>
    <row r="107884" s="12" customFormat="1" x14ac:dyDescent="0.25"/>
    <row r="107885" s="12" customFormat="1" x14ac:dyDescent="0.25"/>
    <row r="107886" s="12" customFormat="1" x14ac:dyDescent="0.25"/>
    <row r="107887" s="12" customFormat="1" x14ac:dyDescent="0.25"/>
    <row r="107888" s="12" customFormat="1" x14ac:dyDescent="0.25"/>
    <row r="107889" s="12" customFormat="1" x14ac:dyDescent="0.25"/>
    <row r="107890" s="12" customFormat="1" x14ac:dyDescent="0.25"/>
    <row r="107891" s="12" customFormat="1" x14ac:dyDescent="0.25"/>
    <row r="107892" s="12" customFormat="1" x14ac:dyDescent="0.25"/>
    <row r="107893" s="12" customFormat="1" x14ac:dyDescent="0.25"/>
    <row r="107894" s="12" customFormat="1" x14ac:dyDescent="0.25"/>
    <row r="107895" s="12" customFormat="1" x14ac:dyDescent="0.25"/>
    <row r="107896" s="12" customFormat="1" x14ac:dyDescent="0.25"/>
    <row r="107897" s="12" customFormat="1" x14ac:dyDescent="0.25"/>
    <row r="107898" s="12" customFormat="1" x14ac:dyDescent="0.25"/>
    <row r="107899" s="12" customFormat="1" x14ac:dyDescent="0.25"/>
    <row r="107900" s="12" customFormat="1" x14ac:dyDescent="0.25"/>
    <row r="107901" s="12" customFormat="1" x14ac:dyDescent="0.25"/>
    <row r="107902" s="12" customFormat="1" x14ac:dyDescent="0.25"/>
    <row r="107903" s="12" customFormat="1" x14ac:dyDescent="0.25"/>
    <row r="107904" s="12" customFormat="1" x14ac:dyDescent="0.25"/>
    <row r="107905" s="12" customFormat="1" x14ac:dyDescent="0.25"/>
    <row r="107906" s="12" customFormat="1" x14ac:dyDescent="0.25"/>
    <row r="107907" s="12" customFormat="1" x14ac:dyDescent="0.25"/>
    <row r="107908" s="12" customFormat="1" x14ac:dyDescent="0.25"/>
    <row r="107909" s="12" customFormat="1" x14ac:dyDescent="0.25"/>
    <row r="107910" s="12" customFormat="1" x14ac:dyDescent="0.25"/>
    <row r="107911" s="12" customFormat="1" x14ac:dyDescent="0.25"/>
    <row r="107912" s="12" customFormat="1" x14ac:dyDescent="0.25"/>
    <row r="107913" s="12" customFormat="1" x14ac:dyDescent="0.25"/>
    <row r="107914" s="12" customFormat="1" x14ac:dyDescent="0.25"/>
    <row r="107915" s="12" customFormat="1" x14ac:dyDescent="0.25"/>
    <row r="107916" s="12" customFormat="1" x14ac:dyDescent="0.25"/>
    <row r="107917" s="12" customFormat="1" x14ac:dyDescent="0.25"/>
    <row r="107918" s="12" customFormat="1" x14ac:dyDescent="0.25"/>
    <row r="107919" s="12" customFormat="1" x14ac:dyDescent="0.25"/>
    <row r="107920" s="12" customFormat="1" x14ac:dyDescent="0.25"/>
    <row r="107921" s="12" customFormat="1" x14ac:dyDescent="0.25"/>
    <row r="107922" s="12" customFormat="1" x14ac:dyDescent="0.25"/>
    <row r="107923" s="12" customFormat="1" x14ac:dyDescent="0.25"/>
    <row r="107924" s="12" customFormat="1" x14ac:dyDescent="0.25"/>
    <row r="107925" s="12" customFormat="1" x14ac:dyDescent="0.25"/>
    <row r="107926" s="12" customFormat="1" x14ac:dyDescent="0.25"/>
    <row r="107927" s="12" customFormat="1" x14ac:dyDescent="0.25"/>
    <row r="107928" s="12" customFormat="1" x14ac:dyDescent="0.25"/>
    <row r="107929" s="12" customFormat="1" x14ac:dyDescent="0.25"/>
    <row r="107930" s="12" customFormat="1" x14ac:dyDescent="0.25"/>
    <row r="107931" s="12" customFormat="1" x14ac:dyDescent="0.25"/>
    <row r="107932" s="12" customFormat="1" x14ac:dyDescent="0.25"/>
    <row r="107933" s="12" customFormat="1" x14ac:dyDescent="0.25"/>
    <row r="107934" s="12" customFormat="1" x14ac:dyDescent="0.25"/>
    <row r="107935" s="12" customFormat="1" x14ac:dyDescent="0.25"/>
    <row r="107936" s="12" customFormat="1" x14ac:dyDescent="0.25"/>
    <row r="107937" s="12" customFormat="1" x14ac:dyDescent="0.25"/>
    <row r="107938" s="12" customFormat="1" x14ac:dyDescent="0.25"/>
    <row r="107939" s="12" customFormat="1" x14ac:dyDescent="0.25"/>
    <row r="107940" s="12" customFormat="1" x14ac:dyDescent="0.25"/>
    <row r="107941" s="12" customFormat="1" x14ac:dyDescent="0.25"/>
    <row r="107942" s="12" customFormat="1" x14ac:dyDescent="0.25"/>
    <row r="107943" s="12" customFormat="1" x14ac:dyDescent="0.25"/>
    <row r="107944" s="12" customFormat="1" x14ac:dyDescent="0.25"/>
    <row r="107945" s="12" customFormat="1" x14ac:dyDescent="0.25"/>
    <row r="107946" s="12" customFormat="1" x14ac:dyDescent="0.25"/>
    <row r="107947" s="12" customFormat="1" x14ac:dyDescent="0.25"/>
    <row r="107948" s="12" customFormat="1" x14ac:dyDescent="0.25"/>
    <row r="107949" s="12" customFormat="1" x14ac:dyDescent="0.25"/>
    <row r="107950" s="12" customFormat="1" x14ac:dyDescent="0.25"/>
    <row r="107951" s="12" customFormat="1" x14ac:dyDescent="0.25"/>
    <row r="107952" s="12" customFormat="1" x14ac:dyDescent="0.25"/>
    <row r="107953" s="12" customFormat="1" x14ac:dyDescent="0.25"/>
    <row r="107954" s="12" customFormat="1" x14ac:dyDescent="0.25"/>
    <row r="107955" s="12" customFormat="1" x14ac:dyDescent="0.25"/>
    <row r="107956" s="12" customFormat="1" x14ac:dyDescent="0.25"/>
    <row r="107957" s="12" customFormat="1" x14ac:dyDescent="0.25"/>
    <row r="107958" s="12" customFormat="1" x14ac:dyDescent="0.25"/>
    <row r="107959" s="12" customFormat="1" x14ac:dyDescent="0.25"/>
    <row r="107960" s="12" customFormat="1" x14ac:dyDescent="0.25"/>
    <row r="107961" s="12" customFormat="1" x14ac:dyDescent="0.25"/>
    <row r="107962" s="12" customFormat="1" x14ac:dyDescent="0.25"/>
    <row r="107963" s="12" customFormat="1" x14ac:dyDescent="0.25"/>
    <row r="107964" s="12" customFormat="1" x14ac:dyDescent="0.25"/>
    <row r="107965" s="12" customFormat="1" x14ac:dyDescent="0.25"/>
    <row r="107966" s="12" customFormat="1" x14ac:dyDescent="0.25"/>
    <row r="107967" s="12" customFormat="1" x14ac:dyDescent="0.25"/>
    <row r="107968" s="12" customFormat="1" x14ac:dyDescent="0.25"/>
    <row r="107969" s="12" customFormat="1" x14ac:dyDescent="0.25"/>
    <row r="107970" s="12" customFormat="1" x14ac:dyDescent="0.25"/>
    <row r="107971" s="12" customFormat="1" x14ac:dyDescent="0.25"/>
    <row r="107972" s="12" customFormat="1" x14ac:dyDescent="0.25"/>
    <row r="107973" s="12" customFormat="1" x14ac:dyDescent="0.25"/>
    <row r="107974" s="12" customFormat="1" x14ac:dyDescent="0.25"/>
    <row r="107975" s="12" customFormat="1" x14ac:dyDescent="0.25"/>
    <row r="107976" s="12" customFormat="1" x14ac:dyDescent="0.25"/>
    <row r="107977" s="12" customFormat="1" x14ac:dyDescent="0.25"/>
    <row r="107978" s="12" customFormat="1" x14ac:dyDescent="0.25"/>
    <row r="107979" s="12" customFormat="1" x14ac:dyDescent="0.25"/>
    <row r="107980" s="12" customFormat="1" x14ac:dyDescent="0.25"/>
    <row r="107981" s="12" customFormat="1" x14ac:dyDescent="0.25"/>
    <row r="107982" s="12" customFormat="1" x14ac:dyDescent="0.25"/>
    <row r="107983" s="12" customFormat="1" x14ac:dyDescent="0.25"/>
    <row r="107984" s="12" customFormat="1" x14ac:dyDescent="0.25"/>
    <row r="107985" s="12" customFormat="1" x14ac:dyDescent="0.25"/>
    <row r="107986" s="12" customFormat="1" x14ac:dyDescent="0.25"/>
    <row r="107987" s="12" customFormat="1" x14ac:dyDescent="0.25"/>
    <row r="107988" s="12" customFormat="1" x14ac:dyDescent="0.25"/>
    <row r="107989" s="12" customFormat="1" x14ac:dyDescent="0.25"/>
    <row r="107990" s="12" customFormat="1" x14ac:dyDescent="0.25"/>
    <row r="107991" s="12" customFormat="1" x14ac:dyDescent="0.25"/>
    <row r="107992" s="12" customFormat="1" x14ac:dyDescent="0.25"/>
    <row r="107993" s="12" customFormat="1" x14ac:dyDescent="0.25"/>
    <row r="107994" s="12" customFormat="1" x14ac:dyDescent="0.25"/>
    <row r="107995" s="12" customFormat="1" x14ac:dyDescent="0.25"/>
    <row r="107996" s="12" customFormat="1" x14ac:dyDescent="0.25"/>
    <row r="107997" s="12" customFormat="1" x14ac:dyDescent="0.25"/>
    <row r="107998" s="12" customFormat="1" x14ac:dyDescent="0.25"/>
    <row r="107999" s="12" customFormat="1" x14ac:dyDescent="0.25"/>
    <row r="108000" s="12" customFormat="1" x14ac:dyDescent="0.25"/>
    <row r="108001" s="12" customFormat="1" x14ac:dyDescent="0.25"/>
    <row r="108002" s="12" customFormat="1" x14ac:dyDescent="0.25"/>
    <row r="108003" s="12" customFormat="1" x14ac:dyDescent="0.25"/>
    <row r="108004" s="12" customFormat="1" x14ac:dyDescent="0.25"/>
    <row r="108005" s="12" customFormat="1" x14ac:dyDescent="0.25"/>
    <row r="108006" s="12" customFormat="1" x14ac:dyDescent="0.25"/>
    <row r="108007" s="12" customFormat="1" x14ac:dyDescent="0.25"/>
    <row r="108008" s="12" customFormat="1" x14ac:dyDescent="0.25"/>
    <row r="108009" s="12" customFormat="1" x14ac:dyDescent="0.25"/>
    <row r="108010" s="12" customFormat="1" x14ac:dyDescent="0.25"/>
    <row r="108011" s="12" customFormat="1" x14ac:dyDescent="0.25"/>
    <row r="108012" s="12" customFormat="1" x14ac:dyDescent="0.25"/>
    <row r="108013" s="12" customFormat="1" x14ac:dyDescent="0.25"/>
    <row r="108014" s="12" customFormat="1" x14ac:dyDescent="0.25"/>
    <row r="108015" s="12" customFormat="1" x14ac:dyDescent="0.25"/>
    <row r="108016" s="12" customFormat="1" x14ac:dyDescent="0.25"/>
    <row r="108017" s="12" customFormat="1" x14ac:dyDescent="0.25"/>
    <row r="108018" s="12" customFormat="1" x14ac:dyDescent="0.25"/>
    <row r="108019" s="12" customFormat="1" x14ac:dyDescent="0.25"/>
    <row r="108020" s="12" customFormat="1" x14ac:dyDescent="0.25"/>
    <row r="108021" s="12" customFormat="1" x14ac:dyDescent="0.25"/>
    <row r="108022" s="12" customFormat="1" x14ac:dyDescent="0.25"/>
    <row r="108023" s="12" customFormat="1" x14ac:dyDescent="0.25"/>
    <row r="108024" s="12" customFormat="1" x14ac:dyDescent="0.25"/>
    <row r="108025" s="12" customFormat="1" x14ac:dyDescent="0.25"/>
    <row r="108026" s="12" customFormat="1" x14ac:dyDescent="0.25"/>
    <row r="108027" s="12" customFormat="1" x14ac:dyDescent="0.25"/>
    <row r="108028" s="12" customFormat="1" x14ac:dyDescent="0.25"/>
    <row r="108029" s="12" customFormat="1" x14ac:dyDescent="0.25"/>
    <row r="108030" s="12" customFormat="1" x14ac:dyDescent="0.25"/>
    <row r="108031" s="12" customFormat="1" x14ac:dyDescent="0.25"/>
    <row r="108032" s="12" customFormat="1" x14ac:dyDescent="0.25"/>
    <row r="108033" s="12" customFormat="1" x14ac:dyDescent="0.25"/>
    <row r="108034" s="12" customFormat="1" x14ac:dyDescent="0.25"/>
    <row r="108035" s="12" customFormat="1" x14ac:dyDescent="0.25"/>
    <row r="108036" s="12" customFormat="1" x14ac:dyDescent="0.25"/>
    <row r="108037" s="12" customFormat="1" x14ac:dyDescent="0.25"/>
    <row r="108038" s="12" customFormat="1" x14ac:dyDescent="0.25"/>
    <row r="108039" s="12" customFormat="1" x14ac:dyDescent="0.25"/>
    <row r="108040" s="12" customFormat="1" x14ac:dyDescent="0.25"/>
    <row r="108041" s="12" customFormat="1" x14ac:dyDescent="0.25"/>
    <row r="108042" s="12" customFormat="1" x14ac:dyDescent="0.25"/>
    <row r="108043" s="12" customFormat="1" x14ac:dyDescent="0.25"/>
    <row r="108044" s="12" customFormat="1" x14ac:dyDescent="0.25"/>
    <row r="108045" s="12" customFormat="1" x14ac:dyDescent="0.25"/>
    <row r="108046" s="12" customFormat="1" x14ac:dyDescent="0.25"/>
    <row r="108047" s="12" customFormat="1" x14ac:dyDescent="0.25"/>
    <row r="108048" s="12" customFormat="1" x14ac:dyDescent="0.25"/>
    <row r="108049" s="12" customFormat="1" x14ac:dyDescent="0.25"/>
    <row r="108050" s="12" customFormat="1" x14ac:dyDescent="0.25"/>
    <row r="108051" s="12" customFormat="1" x14ac:dyDescent="0.25"/>
    <row r="108052" s="12" customFormat="1" x14ac:dyDescent="0.25"/>
    <row r="108053" s="12" customFormat="1" x14ac:dyDescent="0.25"/>
    <row r="108054" s="12" customFormat="1" x14ac:dyDescent="0.25"/>
    <row r="108055" s="12" customFormat="1" x14ac:dyDescent="0.25"/>
    <row r="108056" s="12" customFormat="1" x14ac:dyDescent="0.25"/>
    <row r="108057" s="12" customFormat="1" x14ac:dyDescent="0.25"/>
    <row r="108058" s="12" customFormat="1" x14ac:dyDescent="0.25"/>
    <row r="108059" s="12" customFormat="1" x14ac:dyDescent="0.25"/>
    <row r="108060" s="12" customFormat="1" x14ac:dyDescent="0.25"/>
    <row r="108061" s="12" customFormat="1" x14ac:dyDescent="0.25"/>
    <row r="108062" s="12" customFormat="1" x14ac:dyDescent="0.25"/>
    <row r="108063" s="12" customFormat="1" x14ac:dyDescent="0.25"/>
    <row r="108064" s="12" customFormat="1" x14ac:dyDescent="0.25"/>
    <row r="108065" s="12" customFormat="1" x14ac:dyDescent="0.25"/>
    <row r="108066" s="12" customFormat="1" x14ac:dyDescent="0.25"/>
    <row r="108067" s="12" customFormat="1" x14ac:dyDescent="0.25"/>
    <row r="108068" s="12" customFormat="1" x14ac:dyDescent="0.25"/>
    <row r="108069" s="12" customFormat="1" x14ac:dyDescent="0.25"/>
    <row r="108070" s="12" customFormat="1" x14ac:dyDescent="0.25"/>
    <row r="108071" s="12" customFormat="1" x14ac:dyDescent="0.25"/>
    <row r="108072" s="12" customFormat="1" x14ac:dyDescent="0.25"/>
    <row r="108073" s="12" customFormat="1" x14ac:dyDescent="0.25"/>
    <row r="108074" s="12" customFormat="1" x14ac:dyDescent="0.25"/>
    <row r="108075" s="12" customFormat="1" x14ac:dyDescent="0.25"/>
    <row r="108076" s="12" customFormat="1" x14ac:dyDescent="0.25"/>
    <row r="108077" s="12" customFormat="1" x14ac:dyDescent="0.25"/>
    <row r="108078" s="12" customFormat="1" x14ac:dyDescent="0.25"/>
    <row r="108079" s="12" customFormat="1" x14ac:dyDescent="0.25"/>
    <row r="108080" s="12" customFormat="1" x14ac:dyDescent="0.25"/>
    <row r="108081" s="12" customFormat="1" x14ac:dyDescent="0.25"/>
    <row r="108082" s="12" customFormat="1" x14ac:dyDescent="0.25"/>
    <row r="108083" s="12" customFormat="1" x14ac:dyDescent="0.25"/>
    <row r="108084" s="12" customFormat="1" x14ac:dyDescent="0.25"/>
    <row r="108085" s="12" customFormat="1" x14ac:dyDescent="0.25"/>
    <row r="108086" s="12" customFormat="1" x14ac:dyDescent="0.25"/>
    <row r="108087" s="12" customFormat="1" x14ac:dyDescent="0.25"/>
    <row r="108088" s="12" customFormat="1" x14ac:dyDescent="0.25"/>
    <row r="108089" s="12" customFormat="1" x14ac:dyDescent="0.25"/>
    <row r="108090" s="12" customFormat="1" x14ac:dyDescent="0.25"/>
    <row r="108091" s="12" customFormat="1" x14ac:dyDescent="0.25"/>
    <row r="108092" s="12" customFormat="1" x14ac:dyDescent="0.25"/>
    <row r="108093" s="12" customFormat="1" x14ac:dyDescent="0.25"/>
    <row r="108094" s="12" customFormat="1" x14ac:dyDescent="0.25"/>
    <row r="108095" s="12" customFormat="1" x14ac:dyDescent="0.25"/>
    <row r="108096" s="12" customFormat="1" x14ac:dyDescent="0.25"/>
    <row r="108097" s="12" customFormat="1" x14ac:dyDescent="0.25"/>
    <row r="108098" s="12" customFormat="1" x14ac:dyDescent="0.25"/>
    <row r="108099" s="12" customFormat="1" x14ac:dyDescent="0.25"/>
    <row r="108100" s="12" customFormat="1" x14ac:dyDescent="0.25"/>
    <row r="108101" s="12" customFormat="1" x14ac:dyDescent="0.25"/>
    <row r="108102" s="12" customFormat="1" x14ac:dyDescent="0.25"/>
    <row r="108103" s="12" customFormat="1" x14ac:dyDescent="0.25"/>
    <row r="108104" s="12" customFormat="1" x14ac:dyDescent="0.25"/>
    <row r="108105" s="12" customFormat="1" x14ac:dyDescent="0.25"/>
    <row r="108106" s="12" customFormat="1" x14ac:dyDescent="0.25"/>
    <row r="108107" s="12" customFormat="1" x14ac:dyDescent="0.25"/>
    <row r="108108" s="12" customFormat="1" x14ac:dyDescent="0.25"/>
    <row r="108109" s="12" customFormat="1" x14ac:dyDescent="0.25"/>
    <row r="108110" s="12" customFormat="1" x14ac:dyDescent="0.25"/>
    <row r="108111" s="12" customFormat="1" x14ac:dyDescent="0.25"/>
    <row r="108112" s="12" customFormat="1" x14ac:dyDescent="0.25"/>
    <row r="108113" s="12" customFormat="1" x14ac:dyDescent="0.25"/>
    <row r="108114" s="12" customFormat="1" x14ac:dyDescent="0.25"/>
    <row r="108115" s="12" customFormat="1" x14ac:dyDescent="0.25"/>
    <row r="108116" s="12" customFormat="1" x14ac:dyDescent="0.25"/>
    <row r="108117" s="12" customFormat="1" x14ac:dyDescent="0.25"/>
    <row r="108118" s="12" customFormat="1" x14ac:dyDescent="0.25"/>
    <row r="108119" s="12" customFormat="1" x14ac:dyDescent="0.25"/>
    <row r="108120" s="12" customFormat="1" x14ac:dyDescent="0.25"/>
    <row r="108121" s="12" customFormat="1" x14ac:dyDescent="0.25"/>
    <row r="108122" s="12" customFormat="1" x14ac:dyDescent="0.25"/>
    <row r="108123" s="12" customFormat="1" x14ac:dyDescent="0.25"/>
    <row r="108124" s="12" customFormat="1" x14ac:dyDescent="0.25"/>
    <row r="108125" s="12" customFormat="1" x14ac:dyDescent="0.25"/>
    <row r="108126" s="12" customFormat="1" x14ac:dyDescent="0.25"/>
    <row r="108127" s="12" customFormat="1" x14ac:dyDescent="0.25"/>
    <row r="108128" s="12" customFormat="1" x14ac:dyDescent="0.25"/>
    <row r="108129" s="12" customFormat="1" x14ac:dyDescent="0.25"/>
    <row r="108130" s="12" customFormat="1" x14ac:dyDescent="0.25"/>
    <row r="108131" s="12" customFormat="1" x14ac:dyDescent="0.25"/>
    <row r="108132" s="12" customFormat="1" x14ac:dyDescent="0.25"/>
    <row r="108133" s="12" customFormat="1" x14ac:dyDescent="0.25"/>
    <row r="108134" s="12" customFormat="1" x14ac:dyDescent="0.25"/>
    <row r="108135" s="12" customFormat="1" x14ac:dyDescent="0.25"/>
    <row r="108136" s="12" customFormat="1" x14ac:dyDescent="0.25"/>
    <row r="108137" s="12" customFormat="1" x14ac:dyDescent="0.25"/>
    <row r="108138" s="12" customFormat="1" x14ac:dyDescent="0.25"/>
    <row r="108139" s="12" customFormat="1" x14ac:dyDescent="0.25"/>
    <row r="108140" s="12" customFormat="1" x14ac:dyDescent="0.25"/>
    <row r="108141" s="12" customFormat="1" x14ac:dyDescent="0.25"/>
    <row r="108142" s="12" customFormat="1" x14ac:dyDescent="0.25"/>
    <row r="108143" s="12" customFormat="1" x14ac:dyDescent="0.25"/>
    <row r="108144" s="12" customFormat="1" x14ac:dyDescent="0.25"/>
    <row r="108145" s="12" customFormat="1" x14ac:dyDescent="0.25"/>
    <row r="108146" s="12" customFormat="1" x14ac:dyDescent="0.25"/>
    <row r="108147" s="12" customFormat="1" x14ac:dyDescent="0.25"/>
    <row r="108148" s="12" customFormat="1" x14ac:dyDescent="0.25"/>
    <row r="108149" s="12" customFormat="1" x14ac:dyDescent="0.25"/>
    <row r="108150" s="12" customFormat="1" x14ac:dyDescent="0.25"/>
    <row r="108151" s="12" customFormat="1" x14ac:dyDescent="0.25"/>
    <row r="108152" s="12" customFormat="1" x14ac:dyDescent="0.25"/>
    <row r="108153" s="12" customFormat="1" x14ac:dyDescent="0.25"/>
    <row r="108154" s="12" customFormat="1" x14ac:dyDescent="0.25"/>
    <row r="108155" s="12" customFormat="1" x14ac:dyDescent="0.25"/>
    <row r="108156" s="12" customFormat="1" x14ac:dyDescent="0.25"/>
    <row r="108157" s="12" customFormat="1" x14ac:dyDescent="0.25"/>
    <row r="108158" s="12" customFormat="1" x14ac:dyDescent="0.25"/>
    <row r="108159" s="12" customFormat="1" x14ac:dyDescent="0.25"/>
    <row r="108160" s="12" customFormat="1" x14ac:dyDescent="0.25"/>
    <row r="108161" s="12" customFormat="1" x14ac:dyDescent="0.25"/>
    <row r="108162" s="12" customFormat="1" x14ac:dyDescent="0.25"/>
    <row r="108163" s="12" customFormat="1" x14ac:dyDescent="0.25"/>
    <row r="108164" s="12" customFormat="1" x14ac:dyDescent="0.25"/>
    <row r="108165" s="12" customFormat="1" x14ac:dyDescent="0.25"/>
    <row r="108166" s="12" customFormat="1" x14ac:dyDescent="0.25"/>
    <row r="108167" s="12" customFormat="1" x14ac:dyDescent="0.25"/>
    <row r="108168" s="12" customFormat="1" x14ac:dyDescent="0.25"/>
    <row r="108169" s="12" customFormat="1" x14ac:dyDescent="0.25"/>
    <row r="108170" s="12" customFormat="1" x14ac:dyDescent="0.25"/>
    <row r="108171" s="12" customFormat="1" x14ac:dyDescent="0.25"/>
    <row r="108172" s="12" customFormat="1" x14ac:dyDescent="0.25"/>
    <row r="108173" s="12" customFormat="1" x14ac:dyDescent="0.25"/>
    <row r="108174" s="12" customFormat="1" x14ac:dyDescent="0.25"/>
    <row r="108175" s="12" customFormat="1" x14ac:dyDescent="0.25"/>
    <row r="108176" s="12" customFormat="1" x14ac:dyDescent="0.25"/>
    <row r="108177" s="12" customFormat="1" x14ac:dyDescent="0.25"/>
    <row r="108178" s="12" customFormat="1" x14ac:dyDescent="0.25"/>
    <row r="108179" s="12" customFormat="1" x14ac:dyDescent="0.25"/>
    <row r="108180" s="12" customFormat="1" x14ac:dyDescent="0.25"/>
    <row r="108181" s="12" customFormat="1" x14ac:dyDescent="0.25"/>
    <row r="108182" s="12" customFormat="1" x14ac:dyDescent="0.25"/>
    <row r="108183" s="12" customFormat="1" x14ac:dyDescent="0.25"/>
    <row r="108184" s="12" customFormat="1" x14ac:dyDescent="0.25"/>
    <row r="108185" s="12" customFormat="1" x14ac:dyDescent="0.25"/>
    <row r="108186" s="12" customFormat="1" x14ac:dyDescent="0.25"/>
    <row r="108187" s="12" customFormat="1" x14ac:dyDescent="0.25"/>
    <row r="108188" s="12" customFormat="1" x14ac:dyDescent="0.25"/>
    <row r="108189" s="12" customFormat="1" x14ac:dyDescent="0.25"/>
    <row r="108190" s="12" customFormat="1" x14ac:dyDescent="0.25"/>
    <row r="108191" s="12" customFormat="1" x14ac:dyDescent="0.25"/>
    <row r="108192" s="12" customFormat="1" x14ac:dyDescent="0.25"/>
    <row r="108193" s="12" customFormat="1" x14ac:dyDescent="0.25"/>
    <row r="108194" s="12" customFormat="1" x14ac:dyDescent="0.25"/>
    <row r="108195" s="12" customFormat="1" x14ac:dyDescent="0.25"/>
    <row r="108196" s="12" customFormat="1" x14ac:dyDescent="0.25"/>
    <row r="108197" s="12" customFormat="1" x14ac:dyDescent="0.25"/>
    <row r="108198" s="12" customFormat="1" x14ac:dyDescent="0.25"/>
    <row r="108199" s="12" customFormat="1" x14ac:dyDescent="0.25"/>
    <row r="108200" s="12" customFormat="1" x14ac:dyDescent="0.25"/>
    <row r="108201" s="12" customFormat="1" x14ac:dyDescent="0.25"/>
    <row r="108202" s="12" customFormat="1" x14ac:dyDescent="0.25"/>
    <row r="108203" s="12" customFormat="1" x14ac:dyDescent="0.25"/>
    <row r="108204" s="12" customFormat="1" x14ac:dyDescent="0.25"/>
    <row r="108205" s="12" customFormat="1" x14ac:dyDescent="0.25"/>
    <row r="108206" s="12" customFormat="1" x14ac:dyDescent="0.25"/>
    <row r="108207" s="12" customFormat="1" x14ac:dyDescent="0.25"/>
    <row r="108208" s="12" customFormat="1" x14ac:dyDescent="0.25"/>
    <row r="108209" s="12" customFormat="1" x14ac:dyDescent="0.25"/>
    <row r="108210" s="12" customFormat="1" x14ac:dyDescent="0.25"/>
    <row r="108211" s="12" customFormat="1" x14ac:dyDescent="0.25"/>
    <row r="108212" s="12" customFormat="1" x14ac:dyDescent="0.25"/>
    <row r="108213" s="12" customFormat="1" x14ac:dyDescent="0.25"/>
    <row r="108214" s="12" customFormat="1" x14ac:dyDescent="0.25"/>
    <row r="108215" s="12" customFormat="1" x14ac:dyDescent="0.25"/>
    <row r="108216" s="12" customFormat="1" x14ac:dyDescent="0.25"/>
    <row r="108217" s="12" customFormat="1" x14ac:dyDescent="0.25"/>
    <row r="108218" s="12" customFormat="1" x14ac:dyDescent="0.25"/>
    <row r="108219" s="12" customFormat="1" x14ac:dyDescent="0.25"/>
    <row r="108220" s="12" customFormat="1" x14ac:dyDescent="0.25"/>
    <row r="108221" s="12" customFormat="1" x14ac:dyDescent="0.25"/>
    <row r="108222" s="12" customFormat="1" x14ac:dyDescent="0.25"/>
    <row r="108223" s="12" customFormat="1" x14ac:dyDescent="0.25"/>
    <row r="108224" s="12" customFormat="1" x14ac:dyDescent="0.25"/>
    <row r="108225" s="12" customFormat="1" x14ac:dyDescent="0.25"/>
    <row r="108226" s="12" customFormat="1" x14ac:dyDescent="0.25"/>
    <row r="108227" s="12" customFormat="1" x14ac:dyDescent="0.25"/>
    <row r="108228" s="12" customFormat="1" x14ac:dyDescent="0.25"/>
    <row r="108229" s="12" customFormat="1" x14ac:dyDescent="0.25"/>
    <row r="108230" s="12" customFormat="1" x14ac:dyDescent="0.25"/>
    <row r="108231" s="12" customFormat="1" x14ac:dyDescent="0.25"/>
    <row r="108232" s="12" customFormat="1" x14ac:dyDescent="0.25"/>
    <row r="108233" s="12" customFormat="1" x14ac:dyDescent="0.25"/>
    <row r="108234" s="12" customFormat="1" x14ac:dyDescent="0.25"/>
    <row r="108235" s="12" customFormat="1" x14ac:dyDescent="0.25"/>
    <row r="108236" s="12" customFormat="1" x14ac:dyDescent="0.25"/>
    <row r="108237" s="12" customFormat="1" x14ac:dyDescent="0.25"/>
    <row r="108238" s="12" customFormat="1" x14ac:dyDescent="0.25"/>
    <row r="108239" s="12" customFormat="1" x14ac:dyDescent="0.25"/>
    <row r="108240" s="12" customFormat="1" x14ac:dyDescent="0.25"/>
    <row r="108241" s="12" customFormat="1" x14ac:dyDescent="0.25"/>
    <row r="108242" s="12" customFormat="1" x14ac:dyDescent="0.25"/>
    <row r="108243" s="12" customFormat="1" x14ac:dyDescent="0.25"/>
    <row r="108244" s="12" customFormat="1" x14ac:dyDescent="0.25"/>
    <row r="108245" s="12" customFormat="1" x14ac:dyDescent="0.25"/>
    <row r="108246" s="12" customFormat="1" x14ac:dyDescent="0.25"/>
    <row r="108247" s="12" customFormat="1" x14ac:dyDescent="0.25"/>
    <row r="108248" s="12" customFormat="1" x14ac:dyDescent="0.25"/>
    <row r="108249" s="12" customFormat="1" x14ac:dyDescent="0.25"/>
    <row r="108250" s="12" customFormat="1" x14ac:dyDescent="0.25"/>
    <row r="108251" s="12" customFormat="1" x14ac:dyDescent="0.25"/>
    <row r="108252" s="12" customFormat="1" x14ac:dyDescent="0.25"/>
    <row r="108253" s="12" customFormat="1" x14ac:dyDescent="0.25"/>
    <row r="108254" s="12" customFormat="1" x14ac:dyDescent="0.25"/>
    <row r="108255" s="12" customFormat="1" x14ac:dyDescent="0.25"/>
    <row r="108256" s="12" customFormat="1" x14ac:dyDescent="0.25"/>
    <row r="108257" s="12" customFormat="1" x14ac:dyDescent="0.25"/>
    <row r="108258" s="12" customFormat="1" x14ac:dyDescent="0.25"/>
    <row r="108259" s="12" customFormat="1" x14ac:dyDescent="0.25"/>
    <row r="108260" s="12" customFormat="1" x14ac:dyDescent="0.25"/>
    <row r="108261" s="12" customFormat="1" x14ac:dyDescent="0.25"/>
    <row r="108262" s="12" customFormat="1" x14ac:dyDescent="0.25"/>
    <row r="108263" s="12" customFormat="1" x14ac:dyDescent="0.25"/>
    <row r="108264" s="12" customFormat="1" x14ac:dyDescent="0.25"/>
    <row r="108265" s="12" customFormat="1" x14ac:dyDescent="0.25"/>
    <row r="108266" s="12" customFormat="1" x14ac:dyDescent="0.25"/>
    <row r="108267" s="12" customFormat="1" x14ac:dyDescent="0.25"/>
    <row r="108268" s="12" customFormat="1" x14ac:dyDescent="0.25"/>
    <row r="108269" s="12" customFormat="1" x14ac:dyDescent="0.25"/>
    <row r="108270" s="12" customFormat="1" x14ac:dyDescent="0.25"/>
    <row r="108271" s="12" customFormat="1" x14ac:dyDescent="0.25"/>
    <row r="108272" s="12" customFormat="1" x14ac:dyDescent="0.25"/>
    <row r="108273" s="12" customFormat="1" x14ac:dyDescent="0.25"/>
    <row r="108274" s="12" customFormat="1" x14ac:dyDescent="0.25"/>
    <row r="108275" s="12" customFormat="1" x14ac:dyDescent="0.25"/>
    <row r="108276" s="12" customFormat="1" x14ac:dyDescent="0.25"/>
    <row r="108277" s="12" customFormat="1" x14ac:dyDescent="0.25"/>
    <row r="108278" s="12" customFormat="1" x14ac:dyDescent="0.25"/>
    <row r="108279" s="12" customFormat="1" x14ac:dyDescent="0.25"/>
    <row r="108280" s="12" customFormat="1" x14ac:dyDescent="0.25"/>
    <row r="108281" s="12" customFormat="1" x14ac:dyDescent="0.25"/>
    <row r="108282" s="12" customFormat="1" x14ac:dyDescent="0.25"/>
    <row r="108283" s="12" customFormat="1" x14ac:dyDescent="0.25"/>
    <row r="108284" s="12" customFormat="1" x14ac:dyDescent="0.25"/>
    <row r="108285" s="12" customFormat="1" x14ac:dyDescent="0.25"/>
    <row r="108286" s="12" customFormat="1" x14ac:dyDescent="0.25"/>
    <row r="108287" s="12" customFormat="1" x14ac:dyDescent="0.25"/>
    <row r="108288" s="12" customFormat="1" x14ac:dyDescent="0.25"/>
    <row r="108289" s="12" customFormat="1" x14ac:dyDescent="0.25"/>
    <row r="108290" s="12" customFormat="1" x14ac:dyDescent="0.25"/>
    <row r="108291" s="12" customFormat="1" x14ac:dyDescent="0.25"/>
    <row r="108292" s="12" customFormat="1" x14ac:dyDescent="0.25"/>
    <row r="108293" s="12" customFormat="1" x14ac:dyDescent="0.25"/>
    <row r="108294" s="12" customFormat="1" x14ac:dyDescent="0.25"/>
    <row r="108295" s="12" customFormat="1" x14ac:dyDescent="0.25"/>
    <row r="108296" s="12" customFormat="1" x14ac:dyDescent="0.25"/>
    <row r="108297" s="12" customFormat="1" x14ac:dyDescent="0.25"/>
    <row r="108298" s="12" customFormat="1" x14ac:dyDescent="0.25"/>
    <row r="108299" s="12" customFormat="1" x14ac:dyDescent="0.25"/>
    <row r="108300" s="12" customFormat="1" x14ac:dyDescent="0.25"/>
    <row r="108301" s="12" customFormat="1" x14ac:dyDescent="0.25"/>
    <row r="108302" s="12" customFormat="1" x14ac:dyDescent="0.25"/>
    <row r="108303" s="12" customFormat="1" x14ac:dyDescent="0.25"/>
    <row r="108304" s="12" customFormat="1" x14ac:dyDescent="0.25"/>
    <row r="108305" s="12" customFormat="1" x14ac:dyDescent="0.25"/>
    <row r="108306" s="12" customFormat="1" x14ac:dyDescent="0.25"/>
    <row r="108307" s="12" customFormat="1" x14ac:dyDescent="0.25"/>
    <row r="108308" s="12" customFormat="1" x14ac:dyDescent="0.25"/>
    <row r="108309" s="12" customFormat="1" x14ac:dyDescent="0.25"/>
    <row r="108310" s="12" customFormat="1" x14ac:dyDescent="0.25"/>
    <row r="108311" s="12" customFormat="1" x14ac:dyDescent="0.25"/>
    <row r="108312" s="12" customFormat="1" x14ac:dyDescent="0.25"/>
    <row r="108313" s="12" customFormat="1" x14ac:dyDescent="0.25"/>
    <row r="108314" s="12" customFormat="1" x14ac:dyDescent="0.25"/>
    <row r="108315" s="12" customFormat="1" x14ac:dyDescent="0.25"/>
    <row r="108316" s="12" customFormat="1" x14ac:dyDescent="0.25"/>
    <row r="108317" s="12" customFormat="1" x14ac:dyDescent="0.25"/>
    <row r="108318" s="12" customFormat="1" x14ac:dyDescent="0.25"/>
    <row r="108319" s="12" customFormat="1" x14ac:dyDescent="0.25"/>
    <row r="108320" s="12" customFormat="1" x14ac:dyDescent="0.25"/>
    <row r="108321" s="12" customFormat="1" x14ac:dyDescent="0.25"/>
    <row r="108322" s="12" customFormat="1" x14ac:dyDescent="0.25"/>
    <row r="108323" s="12" customFormat="1" x14ac:dyDescent="0.25"/>
    <row r="108324" s="12" customFormat="1" x14ac:dyDescent="0.25"/>
    <row r="108325" s="12" customFormat="1" x14ac:dyDescent="0.25"/>
    <row r="108326" s="12" customFormat="1" x14ac:dyDescent="0.25"/>
    <row r="108327" s="12" customFormat="1" x14ac:dyDescent="0.25"/>
    <row r="108328" s="12" customFormat="1" x14ac:dyDescent="0.25"/>
    <row r="108329" s="12" customFormat="1" x14ac:dyDescent="0.25"/>
    <row r="108330" s="12" customFormat="1" x14ac:dyDescent="0.25"/>
    <row r="108331" s="12" customFormat="1" x14ac:dyDescent="0.25"/>
    <row r="108332" s="12" customFormat="1" x14ac:dyDescent="0.25"/>
    <row r="108333" s="12" customFormat="1" x14ac:dyDescent="0.25"/>
    <row r="108334" s="12" customFormat="1" x14ac:dyDescent="0.25"/>
    <row r="108335" s="12" customFormat="1" x14ac:dyDescent="0.25"/>
    <row r="108336" s="12" customFormat="1" x14ac:dyDescent="0.25"/>
    <row r="108337" s="12" customFormat="1" x14ac:dyDescent="0.25"/>
    <row r="108338" s="12" customFormat="1" x14ac:dyDescent="0.25"/>
    <row r="108339" s="12" customFormat="1" x14ac:dyDescent="0.25"/>
    <row r="108340" s="12" customFormat="1" x14ac:dyDescent="0.25"/>
    <row r="108341" s="12" customFormat="1" x14ac:dyDescent="0.25"/>
    <row r="108342" s="12" customFormat="1" x14ac:dyDescent="0.25"/>
    <row r="108343" s="12" customFormat="1" x14ac:dyDescent="0.25"/>
    <row r="108344" s="12" customFormat="1" x14ac:dyDescent="0.25"/>
    <row r="108345" s="12" customFormat="1" x14ac:dyDescent="0.25"/>
    <row r="108346" s="12" customFormat="1" x14ac:dyDescent="0.25"/>
    <row r="108347" s="12" customFormat="1" x14ac:dyDescent="0.25"/>
    <row r="108348" s="12" customFormat="1" x14ac:dyDescent="0.25"/>
    <row r="108349" s="12" customFormat="1" x14ac:dyDescent="0.25"/>
    <row r="108350" s="12" customFormat="1" x14ac:dyDescent="0.25"/>
    <row r="108351" s="12" customFormat="1" x14ac:dyDescent="0.25"/>
    <row r="108352" s="12" customFormat="1" x14ac:dyDescent="0.25"/>
    <row r="108353" s="12" customFormat="1" x14ac:dyDescent="0.25"/>
    <row r="108354" s="12" customFormat="1" x14ac:dyDescent="0.25"/>
    <row r="108355" s="12" customFormat="1" x14ac:dyDescent="0.25"/>
    <row r="108356" s="12" customFormat="1" x14ac:dyDescent="0.25"/>
    <row r="108357" s="12" customFormat="1" x14ac:dyDescent="0.25"/>
    <row r="108358" s="12" customFormat="1" x14ac:dyDescent="0.25"/>
    <row r="108359" s="12" customFormat="1" x14ac:dyDescent="0.25"/>
    <row r="108360" s="12" customFormat="1" x14ac:dyDescent="0.25"/>
    <row r="108361" s="12" customFormat="1" x14ac:dyDescent="0.25"/>
    <row r="108362" s="12" customFormat="1" x14ac:dyDescent="0.25"/>
    <row r="108363" s="12" customFormat="1" x14ac:dyDescent="0.25"/>
    <row r="108364" s="12" customFormat="1" x14ac:dyDescent="0.25"/>
    <row r="108365" s="12" customFormat="1" x14ac:dyDescent="0.25"/>
    <row r="108366" s="12" customFormat="1" x14ac:dyDescent="0.25"/>
    <row r="108367" s="12" customFormat="1" x14ac:dyDescent="0.25"/>
    <row r="108368" s="12" customFormat="1" x14ac:dyDescent="0.25"/>
    <row r="108369" s="12" customFormat="1" x14ac:dyDescent="0.25"/>
    <row r="108370" s="12" customFormat="1" x14ac:dyDescent="0.25"/>
    <row r="108371" s="12" customFormat="1" x14ac:dyDescent="0.25"/>
    <row r="108372" s="12" customFormat="1" x14ac:dyDescent="0.25"/>
    <row r="108373" s="12" customFormat="1" x14ac:dyDescent="0.25"/>
    <row r="108374" s="12" customFormat="1" x14ac:dyDescent="0.25"/>
    <row r="108375" s="12" customFormat="1" x14ac:dyDescent="0.25"/>
    <row r="108376" s="12" customFormat="1" x14ac:dyDescent="0.25"/>
    <row r="108377" s="12" customFormat="1" x14ac:dyDescent="0.25"/>
    <row r="108378" s="12" customFormat="1" x14ac:dyDescent="0.25"/>
    <row r="108379" s="12" customFormat="1" x14ac:dyDescent="0.25"/>
    <row r="108380" s="12" customFormat="1" x14ac:dyDescent="0.25"/>
    <row r="108381" s="12" customFormat="1" x14ac:dyDescent="0.25"/>
    <row r="108382" s="12" customFormat="1" x14ac:dyDescent="0.25"/>
    <row r="108383" s="12" customFormat="1" x14ac:dyDescent="0.25"/>
    <row r="108384" s="12" customFormat="1" x14ac:dyDescent="0.25"/>
    <row r="108385" s="12" customFormat="1" x14ac:dyDescent="0.25"/>
    <row r="108386" s="12" customFormat="1" x14ac:dyDescent="0.25"/>
    <row r="108387" s="12" customFormat="1" x14ac:dyDescent="0.25"/>
    <row r="108388" s="12" customFormat="1" x14ac:dyDescent="0.25"/>
    <row r="108389" s="12" customFormat="1" x14ac:dyDescent="0.25"/>
    <row r="108390" s="12" customFormat="1" x14ac:dyDescent="0.25"/>
    <row r="108391" s="12" customFormat="1" x14ac:dyDescent="0.25"/>
    <row r="108392" s="12" customFormat="1" x14ac:dyDescent="0.25"/>
    <row r="108393" s="12" customFormat="1" x14ac:dyDescent="0.25"/>
    <row r="108394" s="12" customFormat="1" x14ac:dyDescent="0.25"/>
    <row r="108395" s="12" customFormat="1" x14ac:dyDescent="0.25"/>
    <row r="108396" s="12" customFormat="1" x14ac:dyDescent="0.25"/>
    <row r="108397" s="12" customFormat="1" x14ac:dyDescent="0.25"/>
    <row r="108398" s="12" customFormat="1" x14ac:dyDescent="0.25"/>
    <row r="108399" s="12" customFormat="1" x14ac:dyDescent="0.25"/>
    <row r="108400" s="12" customFormat="1" x14ac:dyDescent="0.25"/>
    <row r="108401" s="12" customFormat="1" x14ac:dyDescent="0.25"/>
    <row r="108402" s="12" customFormat="1" x14ac:dyDescent="0.25"/>
    <row r="108403" s="12" customFormat="1" x14ac:dyDescent="0.25"/>
    <row r="108404" s="12" customFormat="1" x14ac:dyDescent="0.25"/>
    <row r="108405" s="12" customFormat="1" x14ac:dyDescent="0.25"/>
    <row r="108406" s="12" customFormat="1" x14ac:dyDescent="0.25"/>
    <row r="108407" s="12" customFormat="1" x14ac:dyDescent="0.25"/>
    <row r="108408" s="12" customFormat="1" x14ac:dyDescent="0.25"/>
    <row r="108409" s="12" customFormat="1" x14ac:dyDescent="0.25"/>
    <row r="108410" s="12" customFormat="1" x14ac:dyDescent="0.25"/>
    <row r="108411" s="12" customFormat="1" x14ac:dyDescent="0.25"/>
    <row r="108412" s="12" customFormat="1" x14ac:dyDescent="0.25"/>
    <row r="108413" s="12" customFormat="1" x14ac:dyDescent="0.25"/>
    <row r="108414" s="12" customFormat="1" x14ac:dyDescent="0.25"/>
    <row r="108415" s="12" customFormat="1" x14ac:dyDescent="0.25"/>
    <row r="108416" s="12" customFormat="1" x14ac:dyDescent="0.25"/>
    <row r="108417" s="12" customFormat="1" x14ac:dyDescent="0.25"/>
    <row r="108418" s="12" customFormat="1" x14ac:dyDescent="0.25"/>
    <row r="108419" s="12" customFormat="1" x14ac:dyDescent="0.25"/>
    <row r="108420" s="12" customFormat="1" x14ac:dyDescent="0.25"/>
    <row r="108421" s="12" customFormat="1" x14ac:dyDescent="0.25"/>
    <row r="108422" s="12" customFormat="1" x14ac:dyDescent="0.25"/>
    <row r="108423" s="12" customFormat="1" x14ac:dyDescent="0.25"/>
    <row r="108424" s="12" customFormat="1" x14ac:dyDescent="0.25"/>
    <row r="108425" s="12" customFormat="1" x14ac:dyDescent="0.25"/>
    <row r="108426" s="12" customFormat="1" x14ac:dyDescent="0.25"/>
    <row r="108427" s="12" customFormat="1" x14ac:dyDescent="0.25"/>
    <row r="108428" s="12" customFormat="1" x14ac:dyDescent="0.25"/>
    <row r="108429" s="12" customFormat="1" x14ac:dyDescent="0.25"/>
    <row r="108430" s="12" customFormat="1" x14ac:dyDescent="0.25"/>
    <row r="108431" s="12" customFormat="1" x14ac:dyDescent="0.25"/>
    <row r="108432" s="12" customFormat="1" x14ac:dyDescent="0.25"/>
    <row r="108433" s="12" customFormat="1" x14ac:dyDescent="0.25"/>
    <row r="108434" s="12" customFormat="1" x14ac:dyDescent="0.25"/>
    <row r="108435" s="12" customFormat="1" x14ac:dyDescent="0.25"/>
    <row r="108436" s="12" customFormat="1" x14ac:dyDescent="0.25"/>
    <row r="108437" s="12" customFormat="1" x14ac:dyDescent="0.25"/>
    <row r="108438" s="12" customFormat="1" x14ac:dyDescent="0.25"/>
    <row r="108439" s="12" customFormat="1" x14ac:dyDescent="0.25"/>
    <row r="108440" s="12" customFormat="1" x14ac:dyDescent="0.25"/>
    <row r="108441" s="12" customFormat="1" x14ac:dyDescent="0.25"/>
    <row r="108442" s="12" customFormat="1" x14ac:dyDescent="0.25"/>
    <row r="108443" s="12" customFormat="1" x14ac:dyDescent="0.25"/>
    <row r="108444" s="12" customFormat="1" x14ac:dyDescent="0.25"/>
    <row r="108445" s="12" customFormat="1" x14ac:dyDescent="0.25"/>
    <row r="108446" s="12" customFormat="1" x14ac:dyDescent="0.25"/>
    <row r="108447" s="12" customFormat="1" x14ac:dyDescent="0.25"/>
    <row r="108448" s="12" customFormat="1" x14ac:dyDescent="0.25"/>
    <row r="108449" s="12" customFormat="1" x14ac:dyDescent="0.25"/>
    <row r="108450" s="12" customFormat="1" x14ac:dyDescent="0.25"/>
    <row r="108451" s="12" customFormat="1" x14ac:dyDescent="0.25"/>
    <row r="108452" s="12" customFormat="1" x14ac:dyDescent="0.25"/>
    <row r="108453" s="12" customFormat="1" x14ac:dyDescent="0.25"/>
    <row r="108454" s="12" customFormat="1" x14ac:dyDescent="0.25"/>
    <row r="108455" s="12" customFormat="1" x14ac:dyDescent="0.25"/>
    <row r="108456" s="12" customFormat="1" x14ac:dyDescent="0.25"/>
    <row r="108457" s="12" customFormat="1" x14ac:dyDescent="0.25"/>
    <row r="108458" s="12" customFormat="1" x14ac:dyDescent="0.25"/>
    <row r="108459" s="12" customFormat="1" x14ac:dyDescent="0.25"/>
    <row r="108460" s="12" customFormat="1" x14ac:dyDescent="0.25"/>
    <row r="108461" s="12" customFormat="1" x14ac:dyDescent="0.25"/>
    <row r="108462" s="12" customFormat="1" x14ac:dyDescent="0.25"/>
    <row r="108463" s="12" customFormat="1" x14ac:dyDescent="0.25"/>
    <row r="108464" s="12" customFormat="1" x14ac:dyDescent="0.25"/>
    <row r="108465" s="12" customFormat="1" x14ac:dyDescent="0.25"/>
    <row r="108466" s="12" customFormat="1" x14ac:dyDescent="0.25"/>
    <row r="108467" s="12" customFormat="1" x14ac:dyDescent="0.25"/>
    <row r="108468" s="12" customFormat="1" x14ac:dyDescent="0.25"/>
    <row r="108469" s="12" customFormat="1" x14ac:dyDescent="0.25"/>
    <row r="108470" s="12" customFormat="1" x14ac:dyDescent="0.25"/>
    <row r="108471" s="12" customFormat="1" x14ac:dyDescent="0.25"/>
    <row r="108472" s="12" customFormat="1" x14ac:dyDescent="0.25"/>
    <row r="108473" s="12" customFormat="1" x14ac:dyDescent="0.25"/>
    <row r="108474" s="12" customFormat="1" x14ac:dyDescent="0.25"/>
    <row r="108475" s="12" customFormat="1" x14ac:dyDescent="0.25"/>
    <row r="108476" s="12" customFormat="1" x14ac:dyDescent="0.25"/>
    <row r="108477" s="12" customFormat="1" x14ac:dyDescent="0.25"/>
    <row r="108478" s="12" customFormat="1" x14ac:dyDescent="0.25"/>
    <row r="108479" s="12" customFormat="1" x14ac:dyDescent="0.25"/>
    <row r="108480" s="12" customFormat="1" x14ac:dyDescent="0.25"/>
    <row r="108481" s="12" customFormat="1" x14ac:dyDescent="0.25"/>
    <row r="108482" s="12" customFormat="1" x14ac:dyDescent="0.25"/>
    <row r="108483" s="12" customFormat="1" x14ac:dyDescent="0.25"/>
    <row r="108484" s="12" customFormat="1" x14ac:dyDescent="0.25"/>
    <row r="108485" s="12" customFormat="1" x14ac:dyDescent="0.25"/>
    <row r="108486" s="12" customFormat="1" x14ac:dyDescent="0.25"/>
    <row r="108487" s="12" customFormat="1" x14ac:dyDescent="0.25"/>
    <row r="108488" s="12" customFormat="1" x14ac:dyDescent="0.25"/>
    <row r="108489" s="12" customFormat="1" x14ac:dyDescent="0.25"/>
    <row r="108490" s="12" customFormat="1" x14ac:dyDescent="0.25"/>
    <row r="108491" s="12" customFormat="1" x14ac:dyDescent="0.25"/>
    <row r="108492" s="12" customFormat="1" x14ac:dyDescent="0.25"/>
    <row r="108493" s="12" customFormat="1" x14ac:dyDescent="0.25"/>
    <row r="108494" s="12" customFormat="1" x14ac:dyDescent="0.25"/>
    <row r="108495" s="12" customFormat="1" x14ac:dyDescent="0.25"/>
    <row r="108496" s="12" customFormat="1" x14ac:dyDescent="0.25"/>
    <row r="108497" s="12" customFormat="1" x14ac:dyDescent="0.25"/>
    <row r="108498" s="12" customFormat="1" x14ac:dyDescent="0.25"/>
    <row r="108499" s="12" customFormat="1" x14ac:dyDescent="0.25"/>
    <row r="108500" s="12" customFormat="1" x14ac:dyDescent="0.25"/>
    <row r="108501" s="12" customFormat="1" x14ac:dyDescent="0.25"/>
    <row r="108502" s="12" customFormat="1" x14ac:dyDescent="0.25"/>
    <row r="108503" s="12" customFormat="1" x14ac:dyDescent="0.25"/>
    <row r="108504" s="12" customFormat="1" x14ac:dyDescent="0.25"/>
    <row r="108505" s="12" customFormat="1" x14ac:dyDescent="0.25"/>
    <row r="108506" s="12" customFormat="1" x14ac:dyDescent="0.25"/>
    <row r="108507" s="12" customFormat="1" x14ac:dyDescent="0.25"/>
    <row r="108508" s="12" customFormat="1" x14ac:dyDescent="0.25"/>
    <row r="108509" s="12" customFormat="1" x14ac:dyDescent="0.25"/>
    <row r="108510" s="12" customFormat="1" x14ac:dyDescent="0.25"/>
    <row r="108511" s="12" customFormat="1" x14ac:dyDescent="0.25"/>
    <row r="108512" s="12" customFormat="1" x14ac:dyDescent="0.25"/>
    <row r="108513" s="12" customFormat="1" x14ac:dyDescent="0.25"/>
    <row r="108514" s="12" customFormat="1" x14ac:dyDescent="0.25"/>
    <row r="108515" s="12" customFormat="1" x14ac:dyDescent="0.25"/>
    <row r="108516" s="12" customFormat="1" x14ac:dyDescent="0.25"/>
    <row r="108517" s="12" customFormat="1" x14ac:dyDescent="0.25"/>
    <row r="108518" s="12" customFormat="1" x14ac:dyDescent="0.25"/>
    <row r="108519" s="12" customFormat="1" x14ac:dyDescent="0.25"/>
    <row r="108520" s="12" customFormat="1" x14ac:dyDescent="0.25"/>
    <row r="108521" s="12" customFormat="1" x14ac:dyDescent="0.25"/>
    <row r="108522" s="12" customFormat="1" x14ac:dyDescent="0.25"/>
    <row r="108523" s="12" customFormat="1" x14ac:dyDescent="0.25"/>
    <row r="108524" s="12" customFormat="1" x14ac:dyDescent="0.25"/>
    <row r="108525" s="12" customFormat="1" x14ac:dyDescent="0.25"/>
    <row r="108526" s="12" customFormat="1" x14ac:dyDescent="0.25"/>
    <row r="108527" s="12" customFormat="1" x14ac:dyDescent="0.25"/>
    <row r="108528" s="12" customFormat="1" x14ac:dyDescent="0.25"/>
    <row r="108529" s="12" customFormat="1" x14ac:dyDescent="0.25"/>
    <row r="108530" s="12" customFormat="1" x14ac:dyDescent="0.25"/>
    <row r="108531" s="12" customFormat="1" x14ac:dyDescent="0.25"/>
    <row r="108532" s="12" customFormat="1" x14ac:dyDescent="0.25"/>
    <row r="108533" s="12" customFormat="1" x14ac:dyDescent="0.25"/>
    <row r="108534" s="12" customFormat="1" x14ac:dyDescent="0.25"/>
    <row r="108535" s="12" customFormat="1" x14ac:dyDescent="0.25"/>
    <row r="108536" s="12" customFormat="1" x14ac:dyDescent="0.25"/>
    <row r="108537" s="12" customFormat="1" x14ac:dyDescent="0.25"/>
    <row r="108538" s="12" customFormat="1" x14ac:dyDescent="0.25"/>
    <row r="108539" s="12" customFormat="1" x14ac:dyDescent="0.25"/>
    <row r="108540" s="12" customFormat="1" x14ac:dyDescent="0.25"/>
    <row r="108541" s="12" customFormat="1" x14ac:dyDescent="0.25"/>
    <row r="108542" s="12" customFormat="1" x14ac:dyDescent="0.25"/>
    <row r="108543" s="12" customFormat="1" x14ac:dyDescent="0.25"/>
    <row r="108544" s="12" customFormat="1" x14ac:dyDescent="0.25"/>
    <row r="108545" s="12" customFormat="1" x14ac:dyDescent="0.25"/>
    <row r="108546" s="12" customFormat="1" x14ac:dyDescent="0.25"/>
    <row r="108547" s="12" customFormat="1" x14ac:dyDescent="0.25"/>
    <row r="108548" s="12" customFormat="1" x14ac:dyDescent="0.25"/>
    <row r="108549" s="12" customFormat="1" x14ac:dyDescent="0.25"/>
    <row r="108550" s="12" customFormat="1" x14ac:dyDescent="0.25"/>
    <row r="108551" s="12" customFormat="1" x14ac:dyDescent="0.25"/>
    <row r="108552" s="12" customFormat="1" x14ac:dyDescent="0.25"/>
    <row r="108553" s="12" customFormat="1" x14ac:dyDescent="0.25"/>
    <row r="108554" s="12" customFormat="1" x14ac:dyDescent="0.25"/>
    <row r="108555" s="12" customFormat="1" x14ac:dyDescent="0.25"/>
    <row r="108556" s="12" customFormat="1" x14ac:dyDescent="0.25"/>
    <row r="108557" s="12" customFormat="1" x14ac:dyDescent="0.25"/>
    <row r="108558" s="12" customFormat="1" x14ac:dyDescent="0.25"/>
    <row r="108559" s="12" customFormat="1" x14ac:dyDescent="0.25"/>
    <row r="108560" s="12" customFormat="1" x14ac:dyDescent="0.25"/>
    <row r="108561" s="12" customFormat="1" x14ac:dyDescent="0.25"/>
    <row r="108562" s="12" customFormat="1" x14ac:dyDescent="0.25"/>
    <row r="108563" s="12" customFormat="1" x14ac:dyDescent="0.25"/>
    <row r="108564" s="12" customFormat="1" x14ac:dyDescent="0.25"/>
    <row r="108565" s="12" customFormat="1" x14ac:dyDescent="0.25"/>
    <row r="108566" s="12" customFormat="1" x14ac:dyDescent="0.25"/>
    <row r="108567" s="12" customFormat="1" x14ac:dyDescent="0.25"/>
    <row r="108568" s="12" customFormat="1" x14ac:dyDescent="0.25"/>
    <row r="108569" s="12" customFormat="1" x14ac:dyDescent="0.25"/>
    <row r="108570" s="12" customFormat="1" x14ac:dyDescent="0.25"/>
    <row r="108571" s="12" customFormat="1" x14ac:dyDescent="0.25"/>
    <row r="108572" s="12" customFormat="1" x14ac:dyDescent="0.25"/>
    <row r="108573" s="12" customFormat="1" x14ac:dyDescent="0.25"/>
    <row r="108574" s="12" customFormat="1" x14ac:dyDescent="0.25"/>
    <row r="108575" s="12" customFormat="1" x14ac:dyDescent="0.25"/>
    <row r="108576" s="12" customFormat="1" x14ac:dyDescent="0.25"/>
    <row r="108577" s="12" customFormat="1" x14ac:dyDescent="0.25"/>
    <row r="108578" s="12" customFormat="1" x14ac:dyDescent="0.25"/>
    <row r="108579" s="12" customFormat="1" x14ac:dyDescent="0.25"/>
    <row r="108580" s="12" customFormat="1" x14ac:dyDescent="0.25"/>
    <row r="108581" s="12" customFormat="1" x14ac:dyDescent="0.25"/>
    <row r="108582" s="12" customFormat="1" x14ac:dyDescent="0.25"/>
    <row r="108583" s="12" customFormat="1" x14ac:dyDescent="0.25"/>
    <row r="108584" s="12" customFormat="1" x14ac:dyDescent="0.25"/>
    <row r="108585" s="12" customFormat="1" x14ac:dyDescent="0.25"/>
    <row r="108586" s="12" customFormat="1" x14ac:dyDescent="0.25"/>
    <row r="108587" s="12" customFormat="1" x14ac:dyDescent="0.25"/>
    <row r="108588" s="12" customFormat="1" x14ac:dyDescent="0.25"/>
    <row r="108589" s="12" customFormat="1" x14ac:dyDescent="0.25"/>
    <row r="108590" s="12" customFormat="1" x14ac:dyDescent="0.25"/>
    <row r="108591" s="12" customFormat="1" x14ac:dyDescent="0.25"/>
    <row r="108592" s="12" customFormat="1" x14ac:dyDescent="0.25"/>
    <row r="108593" s="12" customFormat="1" x14ac:dyDescent="0.25"/>
    <row r="108594" s="12" customFormat="1" x14ac:dyDescent="0.25"/>
    <row r="108595" s="12" customFormat="1" x14ac:dyDescent="0.25"/>
    <row r="108596" s="12" customFormat="1" x14ac:dyDescent="0.25"/>
    <row r="108597" s="12" customFormat="1" x14ac:dyDescent="0.25"/>
    <row r="108598" s="12" customFormat="1" x14ac:dyDescent="0.25"/>
    <row r="108599" s="12" customFormat="1" x14ac:dyDescent="0.25"/>
    <row r="108600" s="12" customFormat="1" x14ac:dyDescent="0.25"/>
    <row r="108601" s="12" customFormat="1" x14ac:dyDescent="0.25"/>
    <row r="108602" s="12" customFormat="1" x14ac:dyDescent="0.25"/>
    <row r="108603" s="12" customFormat="1" x14ac:dyDescent="0.25"/>
    <row r="108604" s="12" customFormat="1" x14ac:dyDescent="0.25"/>
    <row r="108605" s="12" customFormat="1" x14ac:dyDescent="0.25"/>
    <row r="108606" s="12" customFormat="1" x14ac:dyDescent="0.25"/>
    <row r="108607" s="12" customFormat="1" x14ac:dyDescent="0.25"/>
    <row r="108608" s="12" customFormat="1" x14ac:dyDescent="0.25"/>
    <row r="108609" s="12" customFormat="1" x14ac:dyDescent="0.25"/>
    <row r="108610" s="12" customFormat="1" x14ac:dyDescent="0.25"/>
    <row r="108611" s="12" customFormat="1" x14ac:dyDescent="0.25"/>
    <row r="108612" s="12" customFormat="1" x14ac:dyDescent="0.25"/>
    <row r="108613" s="12" customFormat="1" x14ac:dyDescent="0.25"/>
    <row r="108614" s="12" customFormat="1" x14ac:dyDescent="0.25"/>
    <row r="108615" s="12" customFormat="1" x14ac:dyDescent="0.25"/>
    <row r="108616" s="12" customFormat="1" x14ac:dyDescent="0.25"/>
    <row r="108617" s="12" customFormat="1" x14ac:dyDescent="0.25"/>
    <row r="108618" s="12" customFormat="1" x14ac:dyDescent="0.25"/>
    <row r="108619" s="12" customFormat="1" x14ac:dyDescent="0.25"/>
    <row r="108620" s="12" customFormat="1" x14ac:dyDescent="0.25"/>
    <row r="108621" s="12" customFormat="1" x14ac:dyDescent="0.25"/>
    <row r="108622" s="12" customFormat="1" x14ac:dyDescent="0.25"/>
    <row r="108623" s="12" customFormat="1" x14ac:dyDescent="0.25"/>
    <row r="108624" s="12" customFormat="1" x14ac:dyDescent="0.25"/>
    <row r="108625" s="12" customFormat="1" x14ac:dyDescent="0.25"/>
    <row r="108626" s="12" customFormat="1" x14ac:dyDescent="0.25"/>
    <row r="108627" s="12" customFormat="1" x14ac:dyDescent="0.25"/>
    <row r="108628" s="12" customFormat="1" x14ac:dyDescent="0.25"/>
    <row r="108629" s="12" customFormat="1" x14ac:dyDescent="0.25"/>
    <row r="108630" s="12" customFormat="1" x14ac:dyDescent="0.25"/>
    <row r="108631" s="12" customFormat="1" x14ac:dyDescent="0.25"/>
    <row r="108632" s="12" customFormat="1" x14ac:dyDescent="0.25"/>
    <row r="108633" s="12" customFormat="1" x14ac:dyDescent="0.25"/>
    <row r="108634" s="12" customFormat="1" x14ac:dyDescent="0.25"/>
    <row r="108635" s="12" customFormat="1" x14ac:dyDescent="0.25"/>
    <row r="108636" s="12" customFormat="1" x14ac:dyDescent="0.25"/>
    <row r="108637" s="12" customFormat="1" x14ac:dyDescent="0.25"/>
    <row r="108638" s="12" customFormat="1" x14ac:dyDescent="0.25"/>
    <row r="108639" s="12" customFormat="1" x14ac:dyDescent="0.25"/>
    <row r="108640" s="12" customFormat="1" x14ac:dyDescent="0.25"/>
    <row r="108641" s="12" customFormat="1" x14ac:dyDescent="0.25"/>
    <row r="108642" s="12" customFormat="1" x14ac:dyDescent="0.25"/>
    <row r="108643" s="12" customFormat="1" x14ac:dyDescent="0.25"/>
    <row r="108644" s="12" customFormat="1" x14ac:dyDescent="0.25"/>
    <row r="108645" s="12" customFormat="1" x14ac:dyDescent="0.25"/>
    <row r="108646" s="12" customFormat="1" x14ac:dyDescent="0.25"/>
    <row r="108647" s="12" customFormat="1" x14ac:dyDescent="0.25"/>
    <row r="108648" s="12" customFormat="1" x14ac:dyDescent="0.25"/>
    <row r="108649" s="12" customFormat="1" x14ac:dyDescent="0.25"/>
    <row r="108650" s="12" customFormat="1" x14ac:dyDescent="0.25"/>
    <row r="108651" s="12" customFormat="1" x14ac:dyDescent="0.25"/>
    <row r="108652" s="12" customFormat="1" x14ac:dyDescent="0.25"/>
    <row r="108653" s="12" customFormat="1" x14ac:dyDescent="0.25"/>
    <row r="108654" s="12" customFormat="1" x14ac:dyDescent="0.25"/>
    <row r="108655" s="12" customFormat="1" x14ac:dyDescent="0.25"/>
    <row r="108656" s="12" customFormat="1" x14ac:dyDescent="0.25"/>
    <row r="108657" s="12" customFormat="1" x14ac:dyDescent="0.25"/>
    <row r="108658" s="12" customFormat="1" x14ac:dyDescent="0.25"/>
    <row r="108659" s="12" customFormat="1" x14ac:dyDescent="0.25"/>
    <row r="108660" s="12" customFormat="1" x14ac:dyDescent="0.25"/>
    <row r="108661" s="12" customFormat="1" x14ac:dyDescent="0.25"/>
    <row r="108662" s="12" customFormat="1" x14ac:dyDescent="0.25"/>
    <row r="108663" s="12" customFormat="1" x14ac:dyDescent="0.25"/>
    <row r="108664" s="12" customFormat="1" x14ac:dyDescent="0.25"/>
    <row r="108665" s="12" customFormat="1" x14ac:dyDescent="0.25"/>
    <row r="108666" s="12" customFormat="1" x14ac:dyDescent="0.25"/>
    <row r="108667" s="12" customFormat="1" x14ac:dyDescent="0.25"/>
    <row r="108668" s="12" customFormat="1" x14ac:dyDescent="0.25"/>
    <row r="108669" s="12" customFormat="1" x14ac:dyDescent="0.25"/>
    <row r="108670" s="12" customFormat="1" x14ac:dyDescent="0.25"/>
    <row r="108671" s="12" customFormat="1" x14ac:dyDescent="0.25"/>
    <row r="108672" s="12" customFormat="1" x14ac:dyDescent="0.25"/>
    <row r="108673" s="12" customFormat="1" x14ac:dyDescent="0.25"/>
    <row r="108674" s="12" customFormat="1" x14ac:dyDescent="0.25"/>
    <row r="108675" s="12" customFormat="1" x14ac:dyDescent="0.25"/>
    <row r="108676" s="12" customFormat="1" x14ac:dyDescent="0.25"/>
    <row r="108677" s="12" customFormat="1" x14ac:dyDescent="0.25"/>
    <row r="108678" s="12" customFormat="1" x14ac:dyDescent="0.25"/>
    <row r="108679" s="12" customFormat="1" x14ac:dyDescent="0.25"/>
    <row r="108680" s="12" customFormat="1" x14ac:dyDescent="0.25"/>
    <row r="108681" s="12" customFormat="1" x14ac:dyDescent="0.25"/>
    <row r="108682" s="12" customFormat="1" x14ac:dyDescent="0.25"/>
    <row r="108683" s="12" customFormat="1" x14ac:dyDescent="0.25"/>
    <row r="108684" s="12" customFormat="1" x14ac:dyDescent="0.25"/>
    <row r="108685" s="12" customFormat="1" x14ac:dyDescent="0.25"/>
    <row r="108686" s="12" customFormat="1" x14ac:dyDescent="0.25"/>
    <row r="108687" s="12" customFormat="1" x14ac:dyDescent="0.25"/>
    <row r="108688" s="12" customFormat="1" x14ac:dyDescent="0.25"/>
    <row r="108689" s="12" customFormat="1" x14ac:dyDescent="0.25"/>
    <row r="108690" s="12" customFormat="1" x14ac:dyDescent="0.25"/>
    <row r="108691" s="12" customFormat="1" x14ac:dyDescent="0.25"/>
    <row r="108692" s="12" customFormat="1" x14ac:dyDescent="0.25"/>
    <row r="108693" s="12" customFormat="1" x14ac:dyDescent="0.25"/>
    <row r="108694" s="12" customFormat="1" x14ac:dyDescent="0.25"/>
    <row r="108695" s="12" customFormat="1" x14ac:dyDescent="0.25"/>
    <row r="108696" s="12" customFormat="1" x14ac:dyDescent="0.25"/>
    <row r="108697" s="12" customFormat="1" x14ac:dyDescent="0.25"/>
    <row r="108698" s="12" customFormat="1" x14ac:dyDescent="0.25"/>
    <row r="108699" s="12" customFormat="1" x14ac:dyDescent="0.25"/>
    <row r="108700" s="12" customFormat="1" x14ac:dyDescent="0.25"/>
    <row r="108701" s="12" customFormat="1" x14ac:dyDescent="0.25"/>
    <row r="108702" s="12" customFormat="1" x14ac:dyDescent="0.25"/>
    <row r="108703" s="12" customFormat="1" x14ac:dyDescent="0.25"/>
    <row r="108704" s="12" customFormat="1" x14ac:dyDescent="0.25"/>
    <row r="108705" s="12" customFormat="1" x14ac:dyDescent="0.25"/>
    <row r="108706" s="12" customFormat="1" x14ac:dyDescent="0.25"/>
    <row r="108707" s="12" customFormat="1" x14ac:dyDescent="0.25"/>
    <row r="108708" s="12" customFormat="1" x14ac:dyDescent="0.25"/>
    <row r="108709" s="12" customFormat="1" x14ac:dyDescent="0.25"/>
    <row r="108710" s="12" customFormat="1" x14ac:dyDescent="0.25"/>
    <row r="108711" s="12" customFormat="1" x14ac:dyDescent="0.25"/>
    <row r="108712" s="12" customFormat="1" x14ac:dyDescent="0.25"/>
    <row r="108713" s="12" customFormat="1" x14ac:dyDescent="0.25"/>
    <row r="108714" s="12" customFormat="1" x14ac:dyDescent="0.25"/>
    <row r="108715" s="12" customFormat="1" x14ac:dyDescent="0.25"/>
    <row r="108716" s="12" customFormat="1" x14ac:dyDescent="0.25"/>
    <row r="108717" s="12" customFormat="1" x14ac:dyDescent="0.25"/>
    <row r="108718" s="12" customFormat="1" x14ac:dyDescent="0.25"/>
    <row r="108719" s="12" customFormat="1" x14ac:dyDescent="0.25"/>
    <row r="108720" s="12" customFormat="1" x14ac:dyDescent="0.25"/>
    <row r="108721" s="12" customFormat="1" x14ac:dyDescent="0.25"/>
    <row r="108722" s="12" customFormat="1" x14ac:dyDescent="0.25"/>
    <row r="108723" s="12" customFormat="1" x14ac:dyDescent="0.25"/>
    <row r="108724" s="12" customFormat="1" x14ac:dyDescent="0.25"/>
    <row r="108725" s="12" customFormat="1" x14ac:dyDescent="0.25"/>
    <row r="108726" s="12" customFormat="1" x14ac:dyDescent="0.25"/>
    <row r="108727" s="12" customFormat="1" x14ac:dyDescent="0.25"/>
    <row r="108728" s="12" customFormat="1" x14ac:dyDescent="0.25"/>
    <row r="108729" s="12" customFormat="1" x14ac:dyDescent="0.25"/>
    <row r="108730" s="12" customFormat="1" x14ac:dyDescent="0.25"/>
    <row r="108731" s="12" customFormat="1" x14ac:dyDescent="0.25"/>
    <row r="108732" s="12" customFormat="1" x14ac:dyDescent="0.25"/>
    <row r="108733" s="12" customFormat="1" x14ac:dyDescent="0.25"/>
    <row r="108734" s="12" customFormat="1" x14ac:dyDescent="0.25"/>
    <row r="108735" s="12" customFormat="1" x14ac:dyDescent="0.25"/>
    <row r="108736" s="12" customFormat="1" x14ac:dyDescent="0.25"/>
    <row r="108737" s="12" customFormat="1" x14ac:dyDescent="0.25"/>
    <row r="108738" s="12" customFormat="1" x14ac:dyDescent="0.25"/>
    <row r="108739" s="12" customFormat="1" x14ac:dyDescent="0.25"/>
    <row r="108740" s="12" customFormat="1" x14ac:dyDescent="0.25"/>
    <row r="108741" s="12" customFormat="1" x14ac:dyDescent="0.25"/>
    <row r="108742" s="12" customFormat="1" x14ac:dyDescent="0.25"/>
    <row r="108743" s="12" customFormat="1" x14ac:dyDescent="0.25"/>
    <row r="108744" s="12" customFormat="1" x14ac:dyDescent="0.25"/>
    <row r="108745" s="12" customFormat="1" x14ac:dyDescent="0.25"/>
    <row r="108746" s="12" customFormat="1" x14ac:dyDescent="0.25"/>
    <row r="108747" s="12" customFormat="1" x14ac:dyDescent="0.25"/>
    <row r="108748" s="12" customFormat="1" x14ac:dyDescent="0.25"/>
    <row r="108749" s="12" customFormat="1" x14ac:dyDescent="0.25"/>
    <row r="108750" s="12" customFormat="1" x14ac:dyDescent="0.25"/>
    <row r="108751" s="12" customFormat="1" x14ac:dyDescent="0.25"/>
    <row r="108752" s="12" customFormat="1" x14ac:dyDescent="0.25"/>
    <row r="108753" s="12" customFormat="1" x14ac:dyDescent="0.25"/>
    <row r="108754" s="12" customFormat="1" x14ac:dyDescent="0.25"/>
    <row r="108755" s="12" customFormat="1" x14ac:dyDescent="0.25"/>
    <row r="108756" s="12" customFormat="1" x14ac:dyDescent="0.25"/>
    <row r="108757" s="12" customFormat="1" x14ac:dyDescent="0.25"/>
    <row r="108758" s="12" customFormat="1" x14ac:dyDescent="0.25"/>
    <row r="108759" s="12" customFormat="1" x14ac:dyDescent="0.25"/>
    <row r="108760" s="12" customFormat="1" x14ac:dyDescent="0.25"/>
    <row r="108761" s="12" customFormat="1" x14ac:dyDescent="0.25"/>
    <row r="108762" s="12" customFormat="1" x14ac:dyDescent="0.25"/>
    <row r="108763" s="12" customFormat="1" x14ac:dyDescent="0.25"/>
    <row r="108764" s="12" customFormat="1" x14ac:dyDescent="0.25"/>
    <row r="108765" s="12" customFormat="1" x14ac:dyDescent="0.25"/>
    <row r="108766" s="12" customFormat="1" x14ac:dyDescent="0.25"/>
    <row r="108767" s="12" customFormat="1" x14ac:dyDescent="0.25"/>
    <row r="108768" s="12" customFormat="1" x14ac:dyDescent="0.25"/>
    <row r="108769" s="12" customFormat="1" x14ac:dyDescent="0.25"/>
    <row r="108770" s="12" customFormat="1" x14ac:dyDescent="0.25"/>
    <row r="108771" s="12" customFormat="1" x14ac:dyDescent="0.25"/>
    <row r="108772" s="12" customFormat="1" x14ac:dyDescent="0.25"/>
    <row r="108773" s="12" customFormat="1" x14ac:dyDescent="0.25"/>
    <row r="108774" s="12" customFormat="1" x14ac:dyDescent="0.25"/>
    <row r="108775" s="12" customFormat="1" x14ac:dyDescent="0.25"/>
    <row r="108776" s="12" customFormat="1" x14ac:dyDescent="0.25"/>
    <row r="108777" s="12" customFormat="1" x14ac:dyDescent="0.25"/>
    <row r="108778" s="12" customFormat="1" x14ac:dyDescent="0.25"/>
    <row r="108779" s="12" customFormat="1" x14ac:dyDescent="0.25"/>
    <row r="108780" s="12" customFormat="1" x14ac:dyDescent="0.25"/>
    <row r="108781" s="12" customFormat="1" x14ac:dyDescent="0.25"/>
    <row r="108782" s="12" customFormat="1" x14ac:dyDescent="0.25"/>
    <row r="108783" s="12" customFormat="1" x14ac:dyDescent="0.25"/>
    <row r="108784" s="12" customFormat="1" x14ac:dyDescent="0.25"/>
    <row r="108785" s="12" customFormat="1" x14ac:dyDescent="0.25"/>
    <row r="108786" s="12" customFormat="1" x14ac:dyDescent="0.25"/>
    <row r="108787" s="12" customFormat="1" x14ac:dyDescent="0.25"/>
    <row r="108788" s="12" customFormat="1" x14ac:dyDescent="0.25"/>
    <row r="108789" s="12" customFormat="1" x14ac:dyDescent="0.25"/>
    <row r="108790" s="12" customFormat="1" x14ac:dyDescent="0.25"/>
    <row r="108791" s="12" customFormat="1" x14ac:dyDescent="0.25"/>
    <row r="108792" s="12" customFormat="1" x14ac:dyDescent="0.25"/>
    <row r="108793" s="12" customFormat="1" x14ac:dyDescent="0.25"/>
    <row r="108794" s="12" customFormat="1" x14ac:dyDescent="0.25"/>
    <row r="108795" s="12" customFormat="1" x14ac:dyDescent="0.25"/>
    <row r="108796" s="12" customFormat="1" x14ac:dyDescent="0.25"/>
    <row r="108797" s="12" customFormat="1" x14ac:dyDescent="0.25"/>
    <row r="108798" s="12" customFormat="1" x14ac:dyDescent="0.25"/>
    <row r="108799" s="12" customFormat="1" x14ac:dyDescent="0.25"/>
    <row r="108800" s="12" customFormat="1" x14ac:dyDescent="0.25"/>
    <row r="108801" s="12" customFormat="1" x14ac:dyDescent="0.25"/>
    <row r="108802" s="12" customFormat="1" x14ac:dyDescent="0.25"/>
    <row r="108803" s="12" customFormat="1" x14ac:dyDescent="0.25"/>
    <row r="108804" s="12" customFormat="1" x14ac:dyDescent="0.25"/>
    <row r="108805" s="12" customFormat="1" x14ac:dyDescent="0.25"/>
    <row r="108806" s="12" customFormat="1" x14ac:dyDescent="0.25"/>
    <row r="108807" s="12" customFormat="1" x14ac:dyDescent="0.25"/>
    <row r="108808" s="12" customFormat="1" x14ac:dyDescent="0.25"/>
    <row r="108809" s="12" customFormat="1" x14ac:dyDescent="0.25"/>
    <row r="108810" s="12" customFormat="1" x14ac:dyDescent="0.25"/>
    <row r="108811" s="12" customFormat="1" x14ac:dyDescent="0.25"/>
    <row r="108812" s="12" customFormat="1" x14ac:dyDescent="0.25"/>
    <row r="108813" s="12" customFormat="1" x14ac:dyDescent="0.25"/>
    <row r="108814" s="12" customFormat="1" x14ac:dyDescent="0.25"/>
    <row r="108815" s="12" customFormat="1" x14ac:dyDescent="0.25"/>
    <row r="108816" s="12" customFormat="1" x14ac:dyDescent="0.25"/>
    <row r="108817" s="12" customFormat="1" x14ac:dyDescent="0.25"/>
    <row r="108818" s="12" customFormat="1" x14ac:dyDescent="0.25"/>
    <row r="108819" s="12" customFormat="1" x14ac:dyDescent="0.25"/>
    <row r="108820" s="12" customFormat="1" x14ac:dyDescent="0.25"/>
    <row r="108821" s="12" customFormat="1" x14ac:dyDescent="0.25"/>
    <row r="108822" s="12" customFormat="1" x14ac:dyDescent="0.25"/>
    <row r="108823" s="12" customFormat="1" x14ac:dyDescent="0.25"/>
    <row r="108824" s="12" customFormat="1" x14ac:dyDescent="0.25"/>
    <row r="108825" s="12" customFormat="1" x14ac:dyDescent="0.25"/>
    <row r="108826" s="12" customFormat="1" x14ac:dyDescent="0.25"/>
    <row r="108827" s="12" customFormat="1" x14ac:dyDescent="0.25"/>
    <row r="108828" s="12" customFormat="1" x14ac:dyDescent="0.25"/>
    <row r="108829" s="12" customFormat="1" x14ac:dyDescent="0.25"/>
    <row r="108830" s="12" customFormat="1" x14ac:dyDescent="0.25"/>
    <row r="108831" s="12" customFormat="1" x14ac:dyDescent="0.25"/>
    <row r="108832" s="12" customFormat="1" x14ac:dyDescent="0.25"/>
    <row r="108833" s="12" customFormat="1" x14ac:dyDescent="0.25"/>
    <row r="108834" s="12" customFormat="1" x14ac:dyDescent="0.25"/>
    <row r="108835" s="12" customFormat="1" x14ac:dyDescent="0.25"/>
    <row r="108836" s="12" customFormat="1" x14ac:dyDescent="0.25"/>
    <row r="108837" s="12" customFormat="1" x14ac:dyDescent="0.25"/>
    <row r="108838" s="12" customFormat="1" x14ac:dyDescent="0.25"/>
    <row r="108839" s="12" customFormat="1" x14ac:dyDescent="0.25"/>
    <row r="108840" s="12" customFormat="1" x14ac:dyDescent="0.25"/>
    <row r="108841" s="12" customFormat="1" x14ac:dyDescent="0.25"/>
    <row r="108842" s="12" customFormat="1" x14ac:dyDescent="0.25"/>
    <row r="108843" s="12" customFormat="1" x14ac:dyDescent="0.25"/>
    <row r="108844" s="12" customFormat="1" x14ac:dyDescent="0.25"/>
    <row r="108845" s="12" customFormat="1" x14ac:dyDescent="0.25"/>
    <row r="108846" s="12" customFormat="1" x14ac:dyDescent="0.25"/>
    <row r="108847" s="12" customFormat="1" x14ac:dyDescent="0.25"/>
    <row r="108848" s="12" customFormat="1" x14ac:dyDescent="0.25"/>
    <row r="108849" s="12" customFormat="1" x14ac:dyDescent="0.25"/>
    <row r="108850" s="12" customFormat="1" x14ac:dyDescent="0.25"/>
    <row r="108851" s="12" customFormat="1" x14ac:dyDescent="0.25"/>
    <row r="108852" s="12" customFormat="1" x14ac:dyDescent="0.25"/>
    <row r="108853" s="12" customFormat="1" x14ac:dyDescent="0.25"/>
    <row r="108854" s="12" customFormat="1" x14ac:dyDescent="0.25"/>
    <row r="108855" s="12" customFormat="1" x14ac:dyDescent="0.25"/>
    <row r="108856" s="12" customFormat="1" x14ac:dyDescent="0.25"/>
    <row r="108857" s="12" customFormat="1" x14ac:dyDescent="0.25"/>
    <row r="108858" s="12" customFormat="1" x14ac:dyDescent="0.25"/>
    <row r="108859" s="12" customFormat="1" x14ac:dyDescent="0.25"/>
    <row r="108860" s="12" customFormat="1" x14ac:dyDescent="0.25"/>
    <row r="108861" s="12" customFormat="1" x14ac:dyDescent="0.25"/>
    <row r="108862" s="12" customFormat="1" x14ac:dyDescent="0.25"/>
    <row r="108863" s="12" customFormat="1" x14ac:dyDescent="0.25"/>
    <row r="108864" s="12" customFormat="1" x14ac:dyDescent="0.25"/>
    <row r="108865" s="12" customFormat="1" x14ac:dyDescent="0.25"/>
    <row r="108866" s="12" customFormat="1" x14ac:dyDescent="0.25"/>
    <row r="108867" s="12" customFormat="1" x14ac:dyDescent="0.25"/>
    <row r="108868" s="12" customFormat="1" x14ac:dyDescent="0.25"/>
    <row r="108869" s="12" customFormat="1" x14ac:dyDescent="0.25"/>
    <row r="108870" s="12" customFormat="1" x14ac:dyDescent="0.25"/>
    <row r="108871" s="12" customFormat="1" x14ac:dyDescent="0.25"/>
    <row r="108872" s="12" customFormat="1" x14ac:dyDescent="0.25"/>
    <row r="108873" s="12" customFormat="1" x14ac:dyDescent="0.25"/>
    <row r="108874" s="12" customFormat="1" x14ac:dyDescent="0.25"/>
    <row r="108875" s="12" customFormat="1" x14ac:dyDescent="0.25"/>
    <row r="108876" s="12" customFormat="1" x14ac:dyDescent="0.25"/>
    <row r="108877" s="12" customFormat="1" x14ac:dyDescent="0.25"/>
    <row r="108878" s="12" customFormat="1" x14ac:dyDescent="0.25"/>
    <row r="108879" s="12" customFormat="1" x14ac:dyDescent="0.25"/>
    <row r="108880" s="12" customFormat="1" x14ac:dyDescent="0.25"/>
    <row r="108881" s="12" customFormat="1" x14ac:dyDescent="0.25"/>
    <row r="108882" s="12" customFormat="1" x14ac:dyDescent="0.25"/>
    <row r="108883" s="12" customFormat="1" x14ac:dyDescent="0.25"/>
    <row r="108884" s="12" customFormat="1" x14ac:dyDescent="0.25"/>
    <row r="108885" s="12" customFormat="1" x14ac:dyDescent="0.25"/>
    <row r="108886" s="12" customFormat="1" x14ac:dyDescent="0.25"/>
    <row r="108887" s="12" customFormat="1" x14ac:dyDescent="0.25"/>
    <row r="108888" s="12" customFormat="1" x14ac:dyDescent="0.25"/>
    <row r="108889" s="12" customFormat="1" x14ac:dyDescent="0.25"/>
    <row r="108890" s="12" customFormat="1" x14ac:dyDescent="0.25"/>
    <row r="108891" s="12" customFormat="1" x14ac:dyDescent="0.25"/>
    <row r="108892" s="12" customFormat="1" x14ac:dyDescent="0.25"/>
    <row r="108893" s="12" customFormat="1" x14ac:dyDescent="0.25"/>
    <row r="108894" s="12" customFormat="1" x14ac:dyDescent="0.25"/>
    <row r="108895" s="12" customFormat="1" x14ac:dyDescent="0.25"/>
    <row r="108896" s="12" customFormat="1" x14ac:dyDescent="0.25"/>
    <row r="108897" s="12" customFormat="1" x14ac:dyDescent="0.25"/>
    <row r="108898" s="12" customFormat="1" x14ac:dyDescent="0.25"/>
    <row r="108899" s="12" customFormat="1" x14ac:dyDescent="0.25"/>
    <row r="108900" s="12" customFormat="1" x14ac:dyDescent="0.25"/>
    <row r="108901" s="12" customFormat="1" x14ac:dyDescent="0.25"/>
    <row r="108902" s="12" customFormat="1" x14ac:dyDescent="0.25"/>
    <row r="108903" s="12" customFormat="1" x14ac:dyDescent="0.25"/>
    <row r="108904" s="12" customFormat="1" x14ac:dyDescent="0.25"/>
    <row r="108905" s="12" customFormat="1" x14ac:dyDescent="0.25"/>
    <row r="108906" s="12" customFormat="1" x14ac:dyDescent="0.25"/>
    <row r="108907" s="12" customFormat="1" x14ac:dyDescent="0.25"/>
    <row r="108908" s="12" customFormat="1" x14ac:dyDescent="0.25"/>
    <row r="108909" s="12" customFormat="1" x14ac:dyDescent="0.25"/>
    <row r="108910" s="12" customFormat="1" x14ac:dyDescent="0.25"/>
    <row r="108911" s="12" customFormat="1" x14ac:dyDescent="0.25"/>
    <row r="108912" s="12" customFormat="1" x14ac:dyDescent="0.25"/>
    <row r="108913" s="12" customFormat="1" x14ac:dyDescent="0.25"/>
    <row r="108914" s="12" customFormat="1" x14ac:dyDescent="0.25"/>
    <row r="108915" s="12" customFormat="1" x14ac:dyDescent="0.25"/>
    <row r="108916" s="12" customFormat="1" x14ac:dyDescent="0.25"/>
    <row r="108917" s="12" customFormat="1" x14ac:dyDescent="0.25"/>
    <row r="108918" s="12" customFormat="1" x14ac:dyDescent="0.25"/>
    <row r="108919" s="12" customFormat="1" x14ac:dyDescent="0.25"/>
    <row r="108920" s="12" customFormat="1" x14ac:dyDescent="0.25"/>
    <row r="108921" s="12" customFormat="1" x14ac:dyDescent="0.25"/>
    <row r="108922" s="12" customFormat="1" x14ac:dyDescent="0.25"/>
    <row r="108923" s="12" customFormat="1" x14ac:dyDescent="0.25"/>
    <row r="108924" s="12" customFormat="1" x14ac:dyDescent="0.25"/>
    <row r="108925" s="12" customFormat="1" x14ac:dyDescent="0.25"/>
    <row r="108926" s="12" customFormat="1" x14ac:dyDescent="0.25"/>
    <row r="108927" s="12" customFormat="1" x14ac:dyDescent="0.25"/>
    <row r="108928" s="12" customFormat="1" x14ac:dyDescent="0.25"/>
    <row r="108929" s="12" customFormat="1" x14ac:dyDescent="0.25"/>
    <row r="108930" s="12" customFormat="1" x14ac:dyDescent="0.25"/>
    <row r="108931" s="12" customFormat="1" x14ac:dyDescent="0.25"/>
    <row r="108932" s="12" customFormat="1" x14ac:dyDescent="0.25"/>
    <row r="108933" s="12" customFormat="1" x14ac:dyDescent="0.25"/>
    <row r="108934" s="12" customFormat="1" x14ac:dyDescent="0.25"/>
    <row r="108935" s="12" customFormat="1" x14ac:dyDescent="0.25"/>
    <row r="108936" s="12" customFormat="1" x14ac:dyDescent="0.25"/>
    <row r="108937" s="12" customFormat="1" x14ac:dyDescent="0.25"/>
    <row r="108938" s="12" customFormat="1" x14ac:dyDescent="0.25"/>
    <row r="108939" s="12" customFormat="1" x14ac:dyDescent="0.25"/>
    <row r="108940" s="12" customFormat="1" x14ac:dyDescent="0.25"/>
    <row r="108941" s="12" customFormat="1" x14ac:dyDescent="0.25"/>
    <row r="108942" s="12" customFormat="1" x14ac:dyDescent="0.25"/>
    <row r="108943" s="12" customFormat="1" x14ac:dyDescent="0.25"/>
    <row r="108944" s="12" customFormat="1" x14ac:dyDescent="0.25"/>
    <row r="108945" s="12" customFormat="1" x14ac:dyDescent="0.25"/>
    <row r="108946" s="12" customFormat="1" x14ac:dyDescent="0.25"/>
    <row r="108947" s="12" customFormat="1" x14ac:dyDescent="0.25"/>
    <row r="108948" s="12" customFormat="1" x14ac:dyDescent="0.25"/>
    <row r="108949" s="12" customFormat="1" x14ac:dyDescent="0.25"/>
    <row r="108950" s="12" customFormat="1" x14ac:dyDescent="0.25"/>
    <row r="108951" s="12" customFormat="1" x14ac:dyDescent="0.25"/>
    <row r="108952" s="12" customFormat="1" x14ac:dyDescent="0.25"/>
    <row r="108953" s="12" customFormat="1" x14ac:dyDescent="0.25"/>
    <row r="108954" s="12" customFormat="1" x14ac:dyDescent="0.25"/>
    <row r="108955" s="12" customFormat="1" x14ac:dyDescent="0.25"/>
    <row r="108956" s="12" customFormat="1" x14ac:dyDescent="0.25"/>
    <row r="108957" s="12" customFormat="1" x14ac:dyDescent="0.25"/>
    <row r="108958" s="12" customFormat="1" x14ac:dyDescent="0.25"/>
    <row r="108959" s="12" customFormat="1" x14ac:dyDescent="0.25"/>
    <row r="108960" s="12" customFormat="1" x14ac:dyDescent="0.25"/>
    <row r="108961" s="12" customFormat="1" x14ac:dyDescent="0.25"/>
    <row r="108962" s="12" customFormat="1" x14ac:dyDescent="0.25"/>
    <row r="108963" s="12" customFormat="1" x14ac:dyDescent="0.25"/>
    <row r="108964" s="12" customFormat="1" x14ac:dyDescent="0.25"/>
    <row r="108965" s="12" customFormat="1" x14ac:dyDescent="0.25"/>
    <row r="108966" s="12" customFormat="1" x14ac:dyDescent="0.25"/>
    <row r="108967" s="12" customFormat="1" x14ac:dyDescent="0.25"/>
    <row r="108968" s="12" customFormat="1" x14ac:dyDescent="0.25"/>
    <row r="108969" s="12" customFormat="1" x14ac:dyDescent="0.25"/>
    <row r="108970" s="12" customFormat="1" x14ac:dyDescent="0.25"/>
    <row r="108971" s="12" customFormat="1" x14ac:dyDescent="0.25"/>
    <row r="108972" s="12" customFormat="1" x14ac:dyDescent="0.25"/>
    <row r="108973" s="12" customFormat="1" x14ac:dyDescent="0.25"/>
    <row r="108974" s="12" customFormat="1" x14ac:dyDescent="0.25"/>
    <row r="108975" s="12" customFormat="1" x14ac:dyDescent="0.25"/>
    <row r="108976" s="12" customFormat="1" x14ac:dyDescent="0.25"/>
    <row r="108977" s="12" customFormat="1" x14ac:dyDescent="0.25"/>
    <row r="108978" s="12" customFormat="1" x14ac:dyDescent="0.25"/>
    <row r="108979" s="12" customFormat="1" x14ac:dyDescent="0.25"/>
    <row r="108980" s="12" customFormat="1" x14ac:dyDescent="0.25"/>
    <row r="108981" s="12" customFormat="1" x14ac:dyDescent="0.25"/>
    <row r="108982" s="12" customFormat="1" x14ac:dyDescent="0.25"/>
    <row r="108983" s="12" customFormat="1" x14ac:dyDescent="0.25"/>
    <row r="108984" s="12" customFormat="1" x14ac:dyDescent="0.25"/>
    <row r="108985" s="12" customFormat="1" x14ac:dyDescent="0.25"/>
    <row r="108986" s="12" customFormat="1" x14ac:dyDescent="0.25"/>
    <row r="108987" s="12" customFormat="1" x14ac:dyDescent="0.25"/>
    <row r="108988" s="12" customFormat="1" x14ac:dyDescent="0.25"/>
    <row r="108989" s="12" customFormat="1" x14ac:dyDescent="0.25"/>
    <row r="108990" s="12" customFormat="1" x14ac:dyDescent="0.25"/>
    <row r="108991" s="12" customFormat="1" x14ac:dyDescent="0.25"/>
    <row r="108992" s="12" customFormat="1" x14ac:dyDescent="0.25"/>
    <row r="108993" s="12" customFormat="1" x14ac:dyDescent="0.25"/>
    <row r="108994" s="12" customFormat="1" x14ac:dyDescent="0.25"/>
    <row r="108995" s="12" customFormat="1" x14ac:dyDescent="0.25"/>
    <row r="108996" s="12" customFormat="1" x14ac:dyDescent="0.25"/>
    <row r="108997" s="12" customFormat="1" x14ac:dyDescent="0.25"/>
    <row r="108998" s="12" customFormat="1" x14ac:dyDescent="0.25"/>
    <row r="108999" s="12" customFormat="1" x14ac:dyDescent="0.25"/>
    <row r="109000" s="12" customFormat="1" x14ac:dyDescent="0.25"/>
    <row r="109001" s="12" customFormat="1" x14ac:dyDescent="0.25"/>
    <row r="109002" s="12" customFormat="1" x14ac:dyDescent="0.25"/>
    <row r="109003" s="12" customFormat="1" x14ac:dyDescent="0.25"/>
    <row r="109004" s="12" customFormat="1" x14ac:dyDescent="0.25"/>
    <row r="109005" s="12" customFormat="1" x14ac:dyDescent="0.25"/>
    <row r="109006" s="12" customFormat="1" x14ac:dyDescent="0.25"/>
    <row r="109007" s="12" customFormat="1" x14ac:dyDescent="0.25"/>
    <row r="109008" s="12" customFormat="1" x14ac:dyDescent="0.25"/>
    <row r="109009" s="12" customFormat="1" x14ac:dyDescent="0.25"/>
    <row r="109010" s="12" customFormat="1" x14ac:dyDescent="0.25"/>
    <row r="109011" s="12" customFormat="1" x14ac:dyDescent="0.25"/>
    <row r="109012" s="12" customFormat="1" x14ac:dyDescent="0.25"/>
    <row r="109013" s="12" customFormat="1" x14ac:dyDescent="0.25"/>
    <row r="109014" s="12" customFormat="1" x14ac:dyDescent="0.25"/>
    <row r="109015" s="12" customFormat="1" x14ac:dyDescent="0.25"/>
    <row r="109016" s="12" customFormat="1" x14ac:dyDescent="0.25"/>
    <row r="109017" s="12" customFormat="1" x14ac:dyDescent="0.25"/>
    <row r="109018" s="12" customFormat="1" x14ac:dyDescent="0.25"/>
    <row r="109019" s="12" customFormat="1" x14ac:dyDescent="0.25"/>
    <row r="109020" s="12" customFormat="1" x14ac:dyDescent="0.25"/>
    <row r="109021" s="12" customFormat="1" x14ac:dyDescent="0.25"/>
    <row r="109022" s="12" customFormat="1" x14ac:dyDescent="0.25"/>
    <row r="109023" s="12" customFormat="1" x14ac:dyDescent="0.25"/>
    <row r="109024" s="12" customFormat="1" x14ac:dyDescent="0.25"/>
    <row r="109025" s="12" customFormat="1" x14ac:dyDescent="0.25"/>
    <row r="109026" s="12" customFormat="1" x14ac:dyDescent="0.25"/>
    <row r="109027" s="12" customFormat="1" x14ac:dyDescent="0.25"/>
    <row r="109028" s="12" customFormat="1" x14ac:dyDescent="0.25"/>
    <row r="109029" s="12" customFormat="1" x14ac:dyDescent="0.25"/>
    <row r="109030" s="12" customFormat="1" x14ac:dyDescent="0.25"/>
    <row r="109031" s="12" customFormat="1" x14ac:dyDescent="0.25"/>
    <row r="109032" s="12" customFormat="1" x14ac:dyDescent="0.25"/>
    <row r="109033" s="12" customFormat="1" x14ac:dyDescent="0.25"/>
    <row r="109034" s="12" customFormat="1" x14ac:dyDescent="0.25"/>
    <row r="109035" s="12" customFormat="1" x14ac:dyDescent="0.25"/>
    <row r="109036" s="12" customFormat="1" x14ac:dyDescent="0.25"/>
    <row r="109037" s="12" customFormat="1" x14ac:dyDescent="0.25"/>
    <row r="109038" s="12" customFormat="1" x14ac:dyDescent="0.25"/>
    <row r="109039" s="12" customFormat="1" x14ac:dyDescent="0.25"/>
    <row r="109040" s="12" customFormat="1" x14ac:dyDescent="0.25"/>
    <row r="109041" s="12" customFormat="1" x14ac:dyDescent="0.25"/>
    <row r="109042" s="12" customFormat="1" x14ac:dyDescent="0.25"/>
    <row r="109043" s="12" customFormat="1" x14ac:dyDescent="0.25"/>
    <row r="109044" s="12" customFormat="1" x14ac:dyDescent="0.25"/>
    <row r="109045" s="12" customFormat="1" x14ac:dyDescent="0.25"/>
    <row r="109046" s="12" customFormat="1" x14ac:dyDescent="0.25"/>
    <row r="109047" s="12" customFormat="1" x14ac:dyDescent="0.25"/>
    <row r="109048" s="12" customFormat="1" x14ac:dyDescent="0.25"/>
    <row r="109049" s="12" customFormat="1" x14ac:dyDescent="0.25"/>
    <row r="109050" s="12" customFormat="1" x14ac:dyDescent="0.25"/>
    <row r="109051" s="12" customFormat="1" x14ac:dyDescent="0.25"/>
    <row r="109052" s="12" customFormat="1" x14ac:dyDescent="0.25"/>
    <row r="109053" s="12" customFormat="1" x14ac:dyDescent="0.25"/>
    <row r="109054" s="12" customFormat="1" x14ac:dyDescent="0.25"/>
    <row r="109055" s="12" customFormat="1" x14ac:dyDescent="0.25"/>
    <row r="109056" s="12" customFormat="1" x14ac:dyDescent="0.25"/>
    <row r="109057" s="12" customFormat="1" x14ac:dyDescent="0.25"/>
    <row r="109058" s="12" customFormat="1" x14ac:dyDescent="0.25"/>
    <row r="109059" s="12" customFormat="1" x14ac:dyDescent="0.25"/>
    <row r="109060" s="12" customFormat="1" x14ac:dyDescent="0.25"/>
    <row r="109061" s="12" customFormat="1" x14ac:dyDescent="0.25"/>
    <row r="109062" s="12" customFormat="1" x14ac:dyDescent="0.25"/>
    <row r="109063" s="12" customFormat="1" x14ac:dyDescent="0.25"/>
    <row r="109064" s="12" customFormat="1" x14ac:dyDescent="0.25"/>
    <row r="109065" s="12" customFormat="1" x14ac:dyDescent="0.25"/>
    <row r="109066" s="12" customFormat="1" x14ac:dyDescent="0.25"/>
    <row r="109067" s="12" customFormat="1" x14ac:dyDescent="0.25"/>
    <row r="109068" s="12" customFormat="1" x14ac:dyDescent="0.25"/>
    <row r="109069" s="12" customFormat="1" x14ac:dyDescent="0.25"/>
    <row r="109070" s="12" customFormat="1" x14ac:dyDescent="0.25"/>
    <row r="109071" s="12" customFormat="1" x14ac:dyDescent="0.25"/>
    <row r="109072" s="12" customFormat="1" x14ac:dyDescent="0.25"/>
    <row r="109073" s="12" customFormat="1" x14ac:dyDescent="0.25"/>
    <row r="109074" s="12" customFormat="1" x14ac:dyDescent="0.25"/>
    <row r="109075" s="12" customFormat="1" x14ac:dyDescent="0.25"/>
    <row r="109076" s="12" customFormat="1" x14ac:dyDescent="0.25"/>
    <row r="109077" s="12" customFormat="1" x14ac:dyDescent="0.25"/>
    <row r="109078" s="12" customFormat="1" x14ac:dyDescent="0.25"/>
    <row r="109079" s="12" customFormat="1" x14ac:dyDescent="0.25"/>
    <row r="109080" s="12" customFormat="1" x14ac:dyDescent="0.25"/>
    <row r="109081" s="12" customFormat="1" x14ac:dyDescent="0.25"/>
    <row r="109082" s="12" customFormat="1" x14ac:dyDescent="0.25"/>
    <row r="109083" s="12" customFormat="1" x14ac:dyDescent="0.25"/>
    <row r="109084" s="12" customFormat="1" x14ac:dyDescent="0.25"/>
    <row r="109085" s="12" customFormat="1" x14ac:dyDescent="0.25"/>
    <row r="109086" s="12" customFormat="1" x14ac:dyDescent="0.25"/>
    <row r="109087" s="12" customFormat="1" x14ac:dyDescent="0.25"/>
    <row r="109088" s="12" customFormat="1" x14ac:dyDescent="0.25"/>
    <row r="109089" s="12" customFormat="1" x14ac:dyDescent="0.25"/>
    <row r="109090" s="12" customFormat="1" x14ac:dyDescent="0.25"/>
    <row r="109091" s="12" customFormat="1" x14ac:dyDescent="0.25"/>
    <row r="109092" s="12" customFormat="1" x14ac:dyDescent="0.25"/>
    <row r="109093" s="12" customFormat="1" x14ac:dyDescent="0.25"/>
    <row r="109094" s="12" customFormat="1" x14ac:dyDescent="0.25"/>
    <row r="109095" s="12" customFormat="1" x14ac:dyDescent="0.25"/>
    <row r="109096" s="12" customFormat="1" x14ac:dyDescent="0.25"/>
    <row r="109097" s="12" customFormat="1" x14ac:dyDescent="0.25"/>
    <row r="109098" s="12" customFormat="1" x14ac:dyDescent="0.25"/>
    <row r="109099" s="12" customFormat="1" x14ac:dyDescent="0.25"/>
    <row r="109100" s="12" customFormat="1" x14ac:dyDescent="0.25"/>
    <row r="109101" s="12" customFormat="1" x14ac:dyDescent="0.25"/>
    <row r="109102" s="12" customFormat="1" x14ac:dyDescent="0.25"/>
    <row r="109103" s="12" customFormat="1" x14ac:dyDescent="0.25"/>
    <row r="109104" s="12" customFormat="1" x14ac:dyDescent="0.25"/>
    <row r="109105" s="12" customFormat="1" x14ac:dyDescent="0.25"/>
    <row r="109106" s="12" customFormat="1" x14ac:dyDescent="0.25"/>
    <row r="109107" s="12" customFormat="1" x14ac:dyDescent="0.25"/>
    <row r="109108" s="12" customFormat="1" x14ac:dyDescent="0.25"/>
    <row r="109109" s="12" customFormat="1" x14ac:dyDescent="0.25"/>
    <row r="109110" s="12" customFormat="1" x14ac:dyDescent="0.25"/>
    <row r="109111" s="12" customFormat="1" x14ac:dyDescent="0.25"/>
    <row r="109112" s="12" customFormat="1" x14ac:dyDescent="0.25"/>
    <row r="109113" s="12" customFormat="1" x14ac:dyDescent="0.25"/>
    <row r="109114" s="12" customFormat="1" x14ac:dyDescent="0.25"/>
    <row r="109115" s="12" customFormat="1" x14ac:dyDescent="0.25"/>
    <row r="109116" s="12" customFormat="1" x14ac:dyDescent="0.25"/>
    <row r="109117" s="12" customFormat="1" x14ac:dyDescent="0.25"/>
    <row r="109118" s="12" customFormat="1" x14ac:dyDescent="0.25"/>
    <row r="109119" s="12" customFormat="1" x14ac:dyDescent="0.25"/>
    <row r="109120" s="12" customFormat="1" x14ac:dyDescent="0.25"/>
    <row r="109121" s="12" customFormat="1" x14ac:dyDescent="0.25"/>
    <row r="109122" s="12" customFormat="1" x14ac:dyDescent="0.25"/>
    <row r="109123" s="12" customFormat="1" x14ac:dyDescent="0.25"/>
    <row r="109124" s="12" customFormat="1" x14ac:dyDescent="0.25"/>
    <row r="109125" s="12" customFormat="1" x14ac:dyDescent="0.25"/>
    <row r="109126" s="12" customFormat="1" x14ac:dyDescent="0.25"/>
    <row r="109127" s="12" customFormat="1" x14ac:dyDescent="0.25"/>
    <row r="109128" s="12" customFormat="1" x14ac:dyDescent="0.25"/>
    <row r="109129" s="12" customFormat="1" x14ac:dyDescent="0.25"/>
    <row r="109130" s="12" customFormat="1" x14ac:dyDescent="0.25"/>
    <row r="109131" s="12" customFormat="1" x14ac:dyDescent="0.25"/>
    <row r="109132" s="12" customFormat="1" x14ac:dyDescent="0.25"/>
    <row r="109133" s="12" customFormat="1" x14ac:dyDescent="0.25"/>
    <row r="109134" s="12" customFormat="1" x14ac:dyDescent="0.25"/>
    <row r="109135" s="12" customFormat="1" x14ac:dyDescent="0.25"/>
    <row r="109136" s="12" customFormat="1" x14ac:dyDescent="0.25"/>
    <row r="109137" s="12" customFormat="1" x14ac:dyDescent="0.25"/>
    <row r="109138" s="12" customFormat="1" x14ac:dyDescent="0.25"/>
    <row r="109139" s="12" customFormat="1" x14ac:dyDescent="0.25"/>
    <row r="109140" s="12" customFormat="1" x14ac:dyDescent="0.25"/>
    <row r="109141" s="12" customFormat="1" x14ac:dyDescent="0.25"/>
    <row r="109142" s="12" customFormat="1" x14ac:dyDescent="0.25"/>
    <row r="109143" s="12" customFormat="1" x14ac:dyDescent="0.25"/>
    <row r="109144" s="12" customFormat="1" x14ac:dyDescent="0.25"/>
    <row r="109145" s="12" customFormat="1" x14ac:dyDescent="0.25"/>
    <row r="109146" s="12" customFormat="1" x14ac:dyDescent="0.25"/>
    <row r="109147" s="12" customFormat="1" x14ac:dyDescent="0.25"/>
    <row r="109148" s="12" customFormat="1" x14ac:dyDescent="0.25"/>
    <row r="109149" s="12" customFormat="1" x14ac:dyDescent="0.25"/>
    <row r="109150" s="12" customFormat="1" x14ac:dyDescent="0.25"/>
    <row r="109151" s="12" customFormat="1" x14ac:dyDescent="0.25"/>
    <row r="109152" s="12" customFormat="1" x14ac:dyDescent="0.25"/>
    <row r="109153" s="12" customFormat="1" x14ac:dyDescent="0.25"/>
    <row r="109154" s="12" customFormat="1" x14ac:dyDescent="0.25"/>
    <row r="109155" s="12" customFormat="1" x14ac:dyDescent="0.25"/>
    <row r="109156" s="12" customFormat="1" x14ac:dyDescent="0.25"/>
    <row r="109157" s="12" customFormat="1" x14ac:dyDescent="0.25"/>
    <row r="109158" s="12" customFormat="1" x14ac:dyDescent="0.25"/>
    <row r="109159" s="12" customFormat="1" x14ac:dyDescent="0.25"/>
    <row r="109160" s="12" customFormat="1" x14ac:dyDescent="0.25"/>
    <row r="109161" s="12" customFormat="1" x14ac:dyDescent="0.25"/>
    <row r="109162" s="12" customFormat="1" x14ac:dyDescent="0.25"/>
    <row r="109163" s="12" customFormat="1" x14ac:dyDescent="0.25"/>
    <row r="109164" s="12" customFormat="1" x14ac:dyDescent="0.25"/>
    <row r="109165" s="12" customFormat="1" x14ac:dyDescent="0.25"/>
    <row r="109166" s="12" customFormat="1" x14ac:dyDescent="0.25"/>
    <row r="109167" s="12" customFormat="1" x14ac:dyDescent="0.25"/>
    <row r="109168" s="12" customFormat="1" x14ac:dyDescent="0.25"/>
    <row r="109169" s="12" customFormat="1" x14ac:dyDescent="0.25"/>
    <row r="109170" s="12" customFormat="1" x14ac:dyDescent="0.25"/>
    <row r="109171" s="12" customFormat="1" x14ac:dyDescent="0.25"/>
    <row r="109172" s="12" customFormat="1" x14ac:dyDescent="0.25"/>
    <row r="109173" s="12" customFormat="1" x14ac:dyDescent="0.25"/>
    <row r="109174" s="12" customFormat="1" x14ac:dyDescent="0.25"/>
    <row r="109175" s="12" customFormat="1" x14ac:dyDescent="0.25"/>
    <row r="109176" s="12" customFormat="1" x14ac:dyDescent="0.25"/>
    <row r="109177" s="12" customFormat="1" x14ac:dyDescent="0.25"/>
    <row r="109178" s="12" customFormat="1" x14ac:dyDescent="0.25"/>
    <row r="109179" s="12" customFormat="1" x14ac:dyDescent="0.25"/>
    <row r="109180" s="12" customFormat="1" x14ac:dyDescent="0.25"/>
    <row r="109181" s="12" customFormat="1" x14ac:dyDescent="0.25"/>
    <row r="109182" s="12" customFormat="1" x14ac:dyDescent="0.25"/>
    <row r="109183" s="12" customFormat="1" x14ac:dyDescent="0.25"/>
    <row r="109184" s="12" customFormat="1" x14ac:dyDescent="0.25"/>
    <row r="109185" s="12" customFormat="1" x14ac:dyDescent="0.25"/>
    <row r="109186" s="12" customFormat="1" x14ac:dyDescent="0.25"/>
    <row r="109187" s="12" customFormat="1" x14ac:dyDescent="0.25"/>
    <row r="109188" s="12" customFormat="1" x14ac:dyDescent="0.25"/>
    <row r="109189" s="12" customFormat="1" x14ac:dyDescent="0.25"/>
    <row r="109190" s="12" customFormat="1" x14ac:dyDescent="0.25"/>
    <row r="109191" s="12" customFormat="1" x14ac:dyDescent="0.25"/>
    <row r="109192" s="12" customFormat="1" x14ac:dyDescent="0.25"/>
    <row r="109193" s="12" customFormat="1" x14ac:dyDescent="0.25"/>
    <row r="109194" s="12" customFormat="1" x14ac:dyDescent="0.25"/>
    <row r="109195" s="12" customFormat="1" x14ac:dyDescent="0.25"/>
    <row r="109196" s="12" customFormat="1" x14ac:dyDescent="0.25"/>
    <row r="109197" s="12" customFormat="1" x14ac:dyDescent="0.25"/>
    <row r="109198" s="12" customFormat="1" x14ac:dyDescent="0.25"/>
    <row r="109199" s="12" customFormat="1" x14ac:dyDescent="0.25"/>
    <row r="109200" s="12" customFormat="1" x14ac:dyDescent="0.25"/>
    <row r="109201" s="12" customFormat="1" x14ac:dyDescent="0.25"/>
    <row r="109202" s="12" customFormat="1" x14ac:dyDescent="0.25"/>
    <row r="109203" s="12" customFormat="1" x14ac:dyDescent="0.25"/>
    <row r="109204" s="12" customFormat="1" x14ac:dyDescent="0.25"/>
    <row r="109205" s="12" customFormat="1" x14ac:dyDescent="0.25"/>
    <row r="109206" s="12" customFormat="1" x14ac:dyDescent="0.25"/>
    <row r="109207" s="12" customFormat="1" x14ac:dyDescent="0.25"/>
    <row r="109208" s="12" customFormat="1" x14ac:dyDescent="0.25"/>
    <row r="109209" s="12" customFormat="1" x14ac:dyDescent="0.25"/>
    <row r="109210" s="12" customFormat="1" x14ac:dyDescent="0.25"/>
    <row r="109211" s="12" customFormat="1" x14ac:dyDescent="0.25"/>
    <row r="109212" s="12" customFormat="1" x14ac:dyDescent="0.25"/>
    <row r="109213" s="12" customFormat="1" x14ac:dyDescent="0.25"/>
    <row r="109214" s="12" customFormat="1" x14ac:dyDescent="0.25"/>
    <row r="109215" s="12" customFormat="1" x14ac:dyDescent="0.25"/>
    <row r="109216" s="12" customFormat="1" x14ac:dyDescent="0.25"/>
    <row r="109217" s="12" customFormat="1" x14ac:dyDescent="0.25"/>
    <row r="109218" s="12" customFormat="1" x14ac:dyDescent="0.25"/>
    <row r="109219" s="12" customFormat="1" x14ac:dyDescent="0.25"/>
    <row r="109220" s="12" customFormat="1" x14ac:dyDescent="0.25"/>
    <row r="109221" s="12" customFormat="1" x14ac:dyDescent="0.25"/>
    <row r="109222" s="12" customFormat="1" x14ac:dyDescent="0.25"/>
    <row r="109223" s="12" customFormat="1" x14ac:dyDescent="0.25"/>
    <row r="109224" s="12" customFormat="1" x14ac:dyDescent="0.25"/>
    <row r="109225" s="12" customFormat="1" x14ac:dyDescent="0.25"/>
    <row r="109226" s="12" customFormat="1" x14ac:dyDescent="0.25"/>
    <row r="109227" s="12" customFormat="1" x14ac:dyDescent="0.25"/>
    <row r="109228" s="12" customFormat="1" x14ac:dyDescent="0.25"/>
    <row r="109229" s="12" customFormat="1" x14ac:dyDescent="0.25"/>
    <row r="109230" s="12" customFormat="1" x14ac:dyDescent="0.25"/>
    <row r="109231" s="12" customFormat="1" x14ac:dyDescent="0.25"/>
    <row r="109232" s="12" customFormat="1" x14ac:dyDescent="0.25"/>
    <row r="109233" s="12" customFormat="1" x14ac:dyDescent="0.25"/>
    <row r="109234" s="12" customFormat="1" x14ac:dyDescent="0.25"/>
    <row r="109235" s="12" customFormat="1" x14ac:dyDescent="0.25"/>
    <row r="109236" s="12" customFormat="1" x14ac:dyDescent="0.25"/>
    <row r="109237" s="12" customFormat="1" x14ac:dyDescent="0.25"/>
    <row r="109238" s="12" customFormat="1" x14ac:dyDescent="0.25"/>
    <row r="109239" s="12" customFormat="1" x14ac:dyDescent="0.25"/>
    <row r="109240" s="12" customFormat="1" x14ac:dyDescent="0.25"/>
    <row r="109241" s="12" customFormat="1" x14ac:dyDescent="0.25"/>
    <row r="109242" s="12" customFormat="1" x14ac:dyDescent="0.25"/>
    <row r="109243" s="12" customFormat="1" x14ac:dyDescent="0.25"/>
    <row r="109244" s="12" customFormat="1" x14ac:dyDescent="0.25"/>
    <row r="109245" s="12" customFormat="1" x14ac:dyDescent="0.25"/>
    <row r="109246" s="12" customFormat="1" x14ac:dyDescent="0.25"/>
    <row r="109247" s="12" customFormat="1" x14ac:dyDescent="0.25"/>
    <row r="109248" s="12" customFormat="1" x14ac:dyDescent="0.25"/>
    <row r="109249" s="12" customFormat="1" x14ac:dyDescent="0.25"/>
    <row r="109250" s="12" customFormat="1" x14ac:dyDescent="0.25"/>
    <row r="109251" s="12" customFormat="1" x14ac:dyDescent="0.25"/>
    <row r="109252" s="12" customFormat="1" x14ac:dyDescent="0.25"/>
    <row r="109253" s="12" customFormat="1" x14ac:dyDescent="0.25"/>
    <row r="109254" s="12" customFormat="1" x14ac:dyDescent="0.25"/>
    <row r="109255" s="12" customFormat="1" x14ac:dyDescent="0.25"/>
    <row r="109256" s="12" customFormat="1" x14ac:dyDescent="0.25"/>
    <row r="109257" s="12" customFormat="1" x14ac:dyDescent="0.25"/>
    <row r="109258" s="12" customFormat="1" x14ac:dyDescent="0.25"/>
    <row r="109259" s="12" customFormat="1" x14ac:dyDescent="0.25"/>
    <row r="109260" s="12" customFormat="1" x14ac:dyDescent="0.25"/>
    <row r="109261" s="12" customFormat="1" x14ac:dyDescent="0.25"/>
    <row r="109262" s="12" customFormat="1" x14ac:dyDescent="0.25"/>
    <row r="109263" s="12" customFormat="1" x14ac:dyDescent="0.25"/>
    <row r="109264" s="12" customFormat="1" x14ac:dyDescent="0.25"/>
    <row r="109265" s="12" customFormat="1" x14ac:dyDescent="0.25"/>
    <row r="109266" s="12" customFormat="1" x14ac:dyDescent="0.25"/>
    <row r="109267" s="12" customFormat="1" x14ac:dyDescent="0.25"/>
    <row r="109268" s="12" customFormat="1" x14ac:dyDescent="0.25"/>
    <row r="109269" s="12" customFormat="1" x14ac:dyDescent="0.25"/>
    <row r="109270" s="12" customFormat="1" x14ac:dyDescent="0.25"/>
    <row r="109271" s="12" customFormat="1" x14ac:dyDescent="0.25"/>
    <row r="109272" s="12" customFormat="1" x14ac:dyDescent="0.25"/>
    <row r="109273" s="12" customFormat="1" x14ac:dyDescent="0.25"/>
    <row r="109274" s="12" customFormat="1" x14ac:dyDescent="0.25"/>
    <row r="109275" s="12" customFormat="1" x14ac:dyDescent="0.25"/>
    <row r="109276" s="12" customFormat="1" x14ac:dyDescent="0.25"/>
    <row r="109277" s="12" customFormat="1" x14ac:dyDescent="0.25"/>
    <row r="109278" s="12" customFormat="1" x14ac:dyDescent="0.25"/>
    <row r="109279" s="12" customFormat="1" x14ac:dyDescent="0.25"/>
    <row r="109280" s="12" customFormat="1" x14ac:dyDescent="0.25"/>
    <row r="109281" s="12" customFormat="1" x14ac:dyDescent="0.25"/>
    <row r="109282" s="12" customFormat="1" x14ac:dyDescent="0.25"/>
    <row r="109283" s="12" customFormat="1" x14ac:dyDescent="0.25"/>
    <row r="109284" s="12" customFormat="1" x14ac:dyDescent="0.25"/>
    <row r="109285" s="12" customFormat="1" x14ac:dyDescent="0.25"/>
    <row r="109286" s="12" customFormat="1" x14ac:dyDescent="0.25"/>
    <row r="109287" s="12" customFormat="1" x14ac:dyDescent="0.25"/>
    <row r="109288" s="12" customFormat="1" x14ac:dyDescent="0.25"/>
    <row r="109289" s="12" customFormat="1" x14ac:dyDescent="0.25"/>
    <row r="109290" s="12" customFormat="1" x14ac:dyDescent="0.25"/>
    <row r="109291" s="12" customFormat="1" x14ac:dyDescent="0.25"/>
    <row r="109292" s="12" customFormat="1" x14ac:dyDescent="0.25"/>
    <row r="109293" s="12" customFormat="1" x14ac:dyDescent="0.25"/>
    <row r="109294" s="12" customFormat="1" x14ac:dyDescent="0.25"/>
    <row r="109295" s="12" customFormat="1" x14ac:dyDescent="0.25"/>
    <row r="109296" s="12" customFormat="1" x14ac:dyDescent="0.25"/>
    <row r="109297" s="12" customFormat="1" x14ac:dyDescent="0.25"/>
    <row r="109298" s="12" customFormat="1" x14ac:dyDescent="0.25"/>
    <row r="109299" s="12" customFormat="1" x14ac:dyDescent="0.25"/>
    <row r="109300" s="12" customFormat="1" x14ac:dyDescent="0.25"/>
    <row r="109301" s="12" customFormat="1" x14ac:dyDescent="0.25"/>
    <row r="109302" s="12" customFormat="1" x14ac:dyDescent="0.25"/>
    <row r="109303" s="12" customFormat="1" x14ac:dyDescent="0.25"/>
    <row r="109304" s="12" customFormat="1" x14ac:dyDescent="0.25"/>
    <row r="109305" s="12" customFormat="1" x14ac:dyDescent="0.25"/>
    <row r="109306" s="12" customFormat="1" x14ac:dyDescent="0.25"/>
    <row r="109307" s="12" customFormat="1" x14ac:dyDescent="0.25"/>
    <row r="109308" s="12" customFormat="1" x14ac:dyDescent="0.25"/>
    <row r="109309" s="12" customFormat="1" x14ac:dyDescent="0.25"/>
    <row r="109310" s="12" customFormat="1" x14ac:dyDescent="0.25"/>
    <row r="109311" s="12" customFormat="1" x14ac:dyDescent="0.25"/>
    <row r="109312" s="12" customFormat="1" x14ac:dyDescent="0.25"/>
    <row r="109313" s="12" customFormat="1" x14ac:dyDescent="0.25"/>
    <row r="109314" s="12" customFormat="1" x14ac:dyDescent="0.25"/>
    <row r="109315" s="12" customFormat="1" x14ac:dyDescent="0.25"/>
    <row r="109316" s="12" customFormat="1" x14ac:dyDescent="0.25"/>
    <row r="109317" s="12" customFormat="1" x14ac:dyDescent="0.25"/>
    <row r="109318" s="12" customFormat="1" x14ac:dyDescent="0.25"/>
    <row r="109319" s="12" customFormat="1" x14ac:dyDescent="0.25"/>
    <row r="109320" s="12" customFormat="1" x14ac:dyDescent="0.25"/>
    <row r="109321" s="12" customFormat="1" x14ac:dyDescent="0.25"/>
    <row r="109322" s="12" customFormat="1" x14ac:dyDescent="0.25"/>
    <row r="109323" s="12" customFormat="1" x14ac:dyDescent="0.25"/>
    <row r="109324" s="12" customFormat="1" x14ac:dyDescent="0.25"/>
    <row r="109325" s="12" customFormat="1" x14ac:dyDescent="0.25"/>
    <row r="109326" s="12" customFormat="1" x14ac:dyDescent="0.25"/>
    <row r="109327" s="12" customFormat="1" x14ac:dyDescent="0.25"/>
    <row r="109328" s="12" customFormat="1" x14ac:dyDescent="0.25"/>
    <row r="109329" s="12" customFormat="1" x14ac:dyDescent="0.25"/>
    <row r="109330" s="12" customFormat="1" x14ac:dyDescent="0.25"/>
    <row r="109331" s="12" customFormat="1" x14ac:dyDescent="0.25"/>
    <row r="109332" s="12" customFormat="1" x14ac:dyDescent="0.25"/>
    <row r="109333" s="12" customFormat="1" x14ac:dyDescent="0.25"/>
    <row r="109334" s="12" customFormat="1" x14ac:dyDescent="0.25"/>
    <row r="109335" s="12" customFormat="1" x14ac:dyDescent="0.25"/>
    <row r="109336" s="12" customFormat="1" x14ac:dyDescent="0.25"/>
    <row r="109337" s="12" customFormat="1" x14ac:dyDescent="0.25"/>
    <row r="109338" s="12" customFormat="1" x14ac:dyDescent="0.25"/>
    <row r="109339" s="12" customFormat="1" x14ac:dyDescent="0.25"/>
    <row r="109340" s="12" customFormat="1" x14ac:dyDescent="0.25"/>
    <row r="109341" s="12" customFormat="1" x14ac:dyDescent="0.25"/>
    <row r="109342" s="12" customFormat="1" x14ac:dyDescent="0.25"/>
    <row r="109343" s="12" customFormat="1" x14ac:dyDescent="0.25"/>
    <row r="109344" s="12" customFormat="1" x14ac:dyDescent="0.25"/>
    <row r="109345" s="12" customFormat="1" x14ac:dyDescent="0.25"/>
    <row r="109346" s="12" customFormat="1" x14ac:dyDescent="0.25"/>
    <row r="109347" s="12" customFormat="1" x14ac:dyDescent="0.25"/>
    <row r="109348" s="12" customFormat="1" x14ac:dyDescent="0.25"/>
    <row r="109349" s="12" customFormat="1" x14ac:dyDescent="0.25"/>
    <row r="109350" s="12" customFormat="1" x14ac:dyDescent="0.25"/>
    <row r="109351" s="12" customFormat="1" x14ac:dyDescent="0.25"/>
    <row r="109352" s="12" customFormat="1" x14ac:dyDescent="0.25"/>
    <row r="109353" s="12" customFormat="1" x14ac:dyDescent="0.25"/>
    <row r="109354" s="12" customFormat="1" x14ac:dyDescent="0.25"/>
    <row r="109355" s="12" customFormat="1" x14ac:dyDescent="0.25"/>
    <row r="109356" s="12" customFormat="1" x14ac:dyDescent="0.25"/>
    <row r="109357" s="12" customFormat="1" x14ac:dyDescent="0.25"/>
    <row r="109358" s="12" customFormat="1" x14ac:dyDescent="0.25"/>
    <row r="109359" s="12" customFormat="1" x14ac:dyDescent="0.25"/>
    <row r="109360" s="12" customFormat="1" x14ac:dyDescent="0.25"/>
    <row r="109361" s="12" customFormat="1" x14ac:dyDescent="0.25"/>
    <row r="109362" s="12" customFormat="1" x14ac:dyDescent="0.25"/>
    <row r="109363" s="12" customFormat="1" x14ac:dyDescent="0.25"/>
    <row r="109364" s="12" customFormat="1" x14ac:dyDescent="0.25"/>
    <row r="109365" s="12" customFormat="1" x14ac:dyDescent="0.25"/>
    <row r="109366" s="12" customFormat="1" x14ac:dyDescent="0.25"/>
    <row r="109367" s="12" customFormat="1" x14ac:dyDescent="0.25"/>
    <row r="109368" s="12" customFormat="1" x14ac:dyDescent="0.25"/>
    <row r="109369" s="12" customFormat="1" x14ac:dyDescent="0.25"/>
    <row r="109370" s="12" customFormat="1" x14ac:dyDescent="0.25"/>
    <row r="109371" s="12" customFormat="1" x14ac:dyDescent="0.25"/>
    <row r="109372" s="12" customFormat="1" x14ac:dyDescent="0.25"/>
    <row r="109373" s="12" customFormat="1" x14ac:dyDescent="0.25"/>
    <row r="109374" s="12" customFormat="1" x14ac:dyDescent="0.25"/>
    <row r="109375" s="12" customFormat="1" x14ac:dyDescent="0.25"/>
    <row r="109376" s="12" customFormat="1" x14ac:dyDescent="0.25"/>
    <row r="109377" s="12" customFormat="1" x14ac:dyDescent="0.25"/>
    <row r="109378" s="12" customFormat="1" x14ac:dyDescent="0.25"/>
    <row r="109379" s="12" customFormat="1" x14ac:dyDescent="0.25"/>
    <row r="109380" s="12" customFormat="1" x14ac:dyDescent="0.25"/>
    <row r="109381" s="12" customFormat="1" x14ac:dyDescent="0.25"/>
    <row r="109382" s="12" customFormat="1" x14ac:dyDescent="0.25"/>
    <row r="109383" s="12" customFormat="1" x14ac:dyDescent="0.25"/>
    <row r="109384" s="12" customFormat="1" x14ac:dyDescent="0.25"/>
    <row r="109385" s="12" customFormat="1" x14ac:dyDescent="0.25"/>
    <row r="109386" s="12" customFormat="1" x14ac:dyDescent="0.25"/>
    <row r="109387" s="12" customFormat="1" x14ac:dyDescent="0.25"/>
    <row r="109388" s="12" customFormat="1" x14ac:dyDescent="0.25"/>
    <row r="109389" s="12" customFormat="1" x14ac:dyDescent="0.25"/>
    <row r="109390" s="12" customFormat="1" x14ac:dyDescent="0.25"/>
    <row r="109391" s="12" customFormat="1" x14ac:dyDescent="0.25"/>
    <row r="109392" s="12" customFormat="1" x14ac:dyDescent="0.25"/>
    <row r="109393" s="12" customFormat="1" x14ac:dyDescent="0.25"/>
    <row r="109394" s="12" customFormat="1" x14ac:dyDescent="0.25"/>
    <row r="109395" s="12" customFormat="1" x14ac:dyDescent="0.25"/>
    <row r="109396" s="12" customFormat="1" x14ac:dyDescent="0.25"/>
    <row r="109397" s="12" customFormat="1" x14ac:dyDescent="0.25"/>
    <row r="109398" s="12" customFormat="1" x14ac:dyDescent="0.25"/>
    <row r="109399" s="12" customFormat="1" x14ac:dyDescent="0.25"/>
    <row r="109400" s="12" customFormat="1" x14ac:dyDescent="0.25"/>
    <row r="109401" s="12" customFormat="1" x14ac:dyDescent="0.25"/>
    <row r="109402" s="12" customFormat="1" x14ac:dyDescent="0.25"/>
    <row r="109403" s="12" customFormat="1" x14ac:dyDescent="0.25"/>
    <row r="109404" s="12" customFormat="1" x14ac:dyDescent="0.25"/>
    <row r="109405" s="12" customFormat="1" x14ac:dyDescent="0.25"/>
    <row r="109406" s="12" customFormat="1" x14ac:dyDescent="0.25"/>
    <row r="109407" s="12" customFormat="1" x14ac:dyDescent="0.25"/>
    <row r="109408" s="12" customFormat="1" x14ac:dyDescent="0.25"/>
    <row r="109409" s="12" customFormat="1" x14ac:dyDescent="0.25"/>
    <row r="109410" s="12" customFormat="1" x14ac:dyDescent="0.25"/>
    <row r="109411" s="12" customFormat="1" x14ac:dyDescent="0.25"/>
    <row r="109412" s="12" customFormat="1" x14ac:dyDescent="0.25"/>
    <row r="109413" s="12" customFormat="1" x14ac:dyDescent="0.25"/>
    <row r="109414" s="12" customFormat="1" x14ac:dyDescent="0.25"/>
    <row r="109415" s="12" customFormat="1" x14ac:dyDescent="0.25"/>
    <row r="109416" s="12" customFormat="1" x14ac:dyDescent="0.25"/>
    <row r="109417" s="12" customFormat="1" x14ac:dyDescent="0.25"/>
    <row r="109418" s="12" customFormat="1" x14ac:dyDescent="0.25"/>
    <row r="109419" s="12" customFormat="1" x14ac:dyDescent="0.25"/>
    <row r="109420" s="12" customFormat="1" x14ac:dyDescent="0.25"/>
    <row r="109421" s="12" customFormat="1" x14ac:dyDescent="0.25"/>
    <row r="109422" s="12" customFormat="1" x14ac:dyDescent="0.25"/>
    <row r="109423" s="12" customFormat="1" x14ac:dyDescent="0.25"/>
    <row r="109424" s="12" customFormat="1" x14ac:dyDescent="0.25"/>
    <row r="109425" s="12" customFormat="1" x14ac:dyDescent="0.25"/>
    <row r="109426" s="12" customFormat="1" x14ac:dyDescent="0.25"/>
    <row r="109427" s="12" customFormat="1" x14ac:dyDescent="0.25"/>
    <row r="109428" s="12" customFormat="1" x14ac:dyDescent="0.25"/>
    <row r="109429" s="12" customFormat="1" x14ac:dyDescent="0.25"/>
    <row r="109430" s="12" customFormat="1" x14ac:dyDescent="0.25"/>
    <row r="109431" s="12" customFormat="1" x14ac:dyDescent="0.25"/>
    <row r="109432" s="12" customFormat="1" x14ac:dyDescent="0.25"/>
    <row r="109433" s="12" customFormat="1" x14ac:dyDescent="0.25"/>
    <row r="109434" s="12" customFormat="1" x14ac:dyDescent="0.25"/>
    <row r="109435" s="12" customFormat="1" x14ac:dyDescent="0.25"/>
    <row r="109436" s="12" customFormat="1" x14ac:dyDescent="0.25"/>
    <row r="109437" s="12" customFormat="1" x14ac:dyDescent="0.25"/>
    <row r="109438" s="12" customFormat="1" x14ac:dyDescent="0.25"/>
    <row r="109439" s="12" customFormat="1" x14ac:dyDescent="0.25"/>
    <row r="109440" s="12" customFormat="1" x14ac:dyDescent="0.25"/>
    <row r="109441" s="12" customFormat="1" x14ac:dyDescent="0.25"/>
    <row r="109442" s="12" customFormat="1" x14ac:dyDescent="0.25"/>
    <row r="109443" s="12" customFormat="1" x14ac:dyDescent="0.25"/>
    <row r="109444" s="12" customFormat="1" x14ac:dyDescent="0.25"/>
    <row r="109445" s="12" customFormat="1" x14ac:dyDescent="0.25"/>
    <row r="109446" s="12" customFormat="1" x14ac:dyDescent="0.25"/>
    <row r="109447" s="12" customFormat="1" x14ac:dyDescent="0.25"/>
    <row r="109448" s="12" customFormat="1" x14ac:dyDescent="0.25"/>
    <row r="109449" s="12" customFormat="1" x14ac:dyDescent="0.25"/>
    <row r="109450" s="12" customFormat="1" x14ac:dyDescent="0.25"/>
    <row r="109451" s="12" customFormat="1" x14ac:dyDescent="0.25"/>
    <row r="109452" s="12" customFormat="1" x14ac:dyDescent="0.25"/>
    <row r="109453" s="12" customFormat="1" x14ac:dyDescent="0.25"/>
    <row r="109454" s="12" customFormat="1" x14ac:dyDescent="0.25"/>
    <row r="109455" s="12" customFormat="1" x14ac:dyDescent="0.25"/>
    <row r="109456" s="12" customFormat="1" x14ac:dyDescent="0.25"/>
    <row r="109457" s="12" customFormat="1" x14ac:dyDescent="0.25"/>
    <row r="109458" s="12" customFormat="1" x14ac:dyDescent="0.25"/>
    <row r="109459" s="12" customFormat="1" x14ac:dyDescent="0.25"/>
    <row r="109460" s="12" customFormat="1" x14ac:dyDescent="0.25"/>
    <row r="109461" s="12" customFormat="1" x14ac:dyDescent="0.25"/>
    <row r="109462" s="12" customFormat="1" x14ac:dyDescent="0.25"/>
    <row r="109463" s="12" customFormat="1" x14ac:dyDescent="0.25"/>
    <row r="109464" s="12" customFormat="1" x14ac:dyDescent="0.25"/>
    <row r="109465" s="12" customFormat="1" x14ac:dyDescent="0.25"/>
    <row r="109466" s="12" customFormat="1" x14ac:dyDescent="0.25"/>
    <row r="109467" s="12" customFormat="1" x14ac:dyDescent="0.25"/>
    <row r="109468" s="12" customFormat="1" x14ac:dyDescent="0.25"/>
    <row r="109469" s="12" customFormat="1" x14ac:dyDescent="0.25"/>
    <row r="109470" s="12" customFormat="1" x14ac:dyDescent="0.25"/>
    <row r="109471" s="12" customFormat="1" x14ac:dyDescent="0.25"/>
    <row r="109472" s="12" customFormat="1" x14ac:dyDescent="0.25"/>
    <row r="109473" s="12" customFormat="1" x14ac:dyDescent="0.25"/>
    <row r="109474" s="12" customFormat="1" x14ac:dyDescent="0.25"/>
    <row r="109475" s="12" customFormat="1" x14ac:dyDescent="0.25"/>
    <row r="109476" s="12" customFormat="1" x14ac:dyDescent="0.25"/>
    <row r="109477" s="12" customFormat="1" x14ac:dyDescent="0.25"/>
    <row r="109478" s="12" customFormat="1" x14ac:dyDescent="0.25"/>
    <row r="109479" s="12" customFormat="1" x14ac:dyDescent="0.25"/>
    <row r="109480" s="12" customFormat="1" x14ac:dyDescent="0.25"/>
    <row r="109481" s="12" customFormat="1" x14ac:dyDescent="0.25"/>
    <row r="109482" s="12" customFormat="1" x14ac:dyDescent="0.25"/>
    <row r="109483" s="12" customFormat="1" x14ac:dyDescent="0.25"/>
    <row r="109484" s="12" customFormat="1" x14ac:dyDescent="0.25"/>
    <row r="109485" s="12" customFormat="1" x14ac:dyDescent="0.25"/>
    <row r="109486" s="12" customFormat="1" x14ac:dyDescent="0.25"/>
    <row r="109487" s="12" customFormat="1" x14ac:dyDescent="0.25"/>
    <row r="109488" s="12" customFormat="1" x14ac:dyDescent="0.25"/>
    <row r="109489" s="12" customFormat="1" x14ac:dyDescent="0.25"/>
    <row r="109490" s="12" customFormat="1" x14ac:dyDescent="0.25"/>
    <row r="109491" s="12" customFormat="1" x14ac:dyDescent="0.25"/>
    <row r="109492" s="12" customFormat="1" x14ac:dyDescent="0.25"/>
    <row r="109493" s="12" customFormat="1" x14ac:dyDescent="0.25"/>
    <row r="109494" s="12" customFormat="1" x14ac:dyDescent="0.25"/>
    <row r="109495" s="12" customFormat="1" x14ac:dyDescent="0.25"/>
    <row r="109496" s="12" customFormat="1" x14ac:dyDescent="0.25"/>
    <row r="109497" s="12" customFormat="1" x14ac:dyDescent="0.25"/>
    <row r="109498" s="12" customFormat="1" x14ac:dyDescent="0.25"/>
    <row r="109499" s="12" customFormat="1" x14ac:dyDescent="0.25"/>
    <row r="109500" s="12" customFormat="1" x14ac:dyDescent="0.25"/>
    <row r="109501" s="12" customFormat="1" x14ac:dyDescent="0.25"/>
    <row r="109502" s="12" customFormat="1" x14ac:dyDescent="0.25"/>
    <row r="109503" s="12" customFormat="1" x14ac:dyDescent="0.25"/>
    <row r="109504" s="12" customFormat="1" x14ac:dyDescent="0.25"/>
    <row r="109505" s="12" customFormat="1" x14ac:dyDescent="0.25"/>
    <row r="109506" s="12" customFormat="1" x14ac:dyDescent="0.25"/>
    <row r="109507" s="12" customFormat="1" x14ac:dyDescent="0.25"/>
    <row r="109508" s="12" customFormat="1" x14ac:dyDescent="0.25"/>
    <row r="109509" s="12" customFormat="1" x14ac:dyDescent="0.25"/>
    <row r="109510" s="12" customFormat="1" x14ac:dyDescent="0.25"/>
    <row r="109511" s="12" customFormat="1" x14ac:dyDescent="0.25"/>
    <row r="109512" s="12" customFormat="1" x14ac:dyDescent="0.25"/>
    <row r="109513" s="12" customFormat="1" x14ac:dyDescent="0.25"/>
    <row r="109514" s="12" customFormat="1" x14ac:dyDescent="0.25"/>
    <row r="109515" s="12" customFormat="1" x14ac:dyDescent="0.25"/>
    <row r="109516" s="12" customFormat="1" x14ac:dyDescent="0.25"/>
    <row r="109517" s="12" customFormat="1" x14ac:dyDescent="0.25"/>
    <row r="109518" s="12" customFormat="1" x14ac:dyDescent="0.25"/>
    <row r="109519" s="12" customFormat="1" x14ac:dyDescent="0.25"/>
    <row r="109520" s="12" customFormat="1" x14ac:dyDescent="0.25"/>
    <row r="109521" s="12" customFormat="1" x14ac:dyDescent="0.25"/>
    <row r="109522" s="12" customFormat="1" x14ac:dyDescent="0.25"/>
    <row r="109523" s="12" customFormat="1" x14ac:dyDescent="0.25"/>
    <row r="109524" s="12" customFormat="1" x14ac:dyDescent="0.25"/>
    <row r="109525" s="12" customFormat="1" x14ac:dyDescent="0.25"/>
    <row r="109526" s="12" customFormat="1" x14ac:dyDescent="0.25"/>
    <row r="109527" s="12" customFormat="1" x14ac:dyDescent="0.25"/>
    <row r="109528" s="12" customFormat="1" x14ac:dyDescent="0.25"/>
    <row r="109529" s="12" customFormat="1" x14ac:dyDescent="0.25"/>
    <row r="109530" s="12" customFormat="1" x14ac:dyDescent="0.25"/>
    <row r="109531" s="12" customFormat="1" x14ac:dyDescent="0.25"/>
    <row r="109532" s="12" customFormat="1" x14ac:dyDescent="0.25"/>
    <row r="109533" s="12" customFormat="1" x14ac:dyDescent="0.25"/>
    <row r="109534" s="12" customFormat="1" x14ac:dyDescent="0.25"/>
    <row r="109535" s="12" customFormat="1" x14ac:dyDescent="0.25"/>
    <row r="109536" s="12" customFormat="1" x14ac:dyDescent="0.25"/>
    <row r="109537" s="12" customFormat="1" x14ac:dyDescent="0.25"/>
    <row r="109538" s="12" customFormat="1" x14ac:dyDescent="0.25"/>
    <row r="109539" s="12" customFormat="1" x14ac:dyDescent="0.25"/>
    <row r="109540" s="12" customFormat="1" x14ac:dyDescent="0.25"/>
    <row r="109541" s="12" customFormat="1" x14ac:dyDescent="0.25"/>
    <row r="109542" s="12" customFormat="1" x14ac:dyDescent="0.25"/>
    <row r="109543" s="12" customFormat="1" x14ac:dyDescent="0.25"/>
    <row r="109544" s="12" customFormat="1" x14ac:dyDescent="0.25"/>
    <row r="109545" s="12" customFormat="1" x14ac:dyDescent="0.25"/>
    <row r="109546" s="12" customFormat="1" x14ac:dyDescent="0.25"/>
    <row r="109547" s="12" customFormat="1" x14ac:dyDescent="0.25"/>
    <row r="109548" s="12" customFormat="1" x14ac:dyDescent="0.25"/>
    <row r="109549" s="12" customFormat="1" x14ac:dyDescent="0.25"/>
    <row r="109550" s="12" customFormat="1" x14ac:dyDescent="0.25"/>
    <row r="109551" s="12" customFormat="1" x14ac:dyDescent="0.25"/>
    <row r="109552" s="12" customFormat="1" x14ac:dyDescent="0.25"/>
    <row r="109553" s="12" customFormat="1" x14ac:dyDescent="0.25"/>
    <row r="109554" s="12" customFormat="1" x14ac:dyDescent="0.25"/>
    <row r="109555" s="12" customFormat="1" x14ac:dyDescent="0.25"/>
    <row r="109556" s="12" customFormat="1" x14ac:dyDescent="0.25"/>
    <row r="109557" s="12" customFormat="1" x14ac:dyDescent="0.25"/>
    <row r="109558" s="12" customFormat="1" x14ac:dyDescent="0.25"/>
    <row r="109559" s="12" customFormat="1" x14ac:dyDescent="0.25"/>
    <row r="109560" s="12" customFormat="1" x14ac:dyDescent="0.25"/>
    <row r="109561" s="12" customFormat="1" x14ac:dyDescent="0.25"/>
    <row r="109562" s="12" customFormat="1" x14ac:dyDescent="0.25"/>
    <row r="109563" s="12" customFormat="1" x14ac:dyDescent="0.25"/>
    <row r="109564" s="12" customFormat="1" x14ac:dyDescent="0.25"/>
    <row r="109565" s="12" customFormat="1" x14ac:dyDescent="0.25"/>
    <row r="109566" s="12" customFormat="1" x14ac:dyDescent="0.25"/>
    <row r="109567" s="12" customFormat="1" x14ac:dyDescent="0.25"/>
    <row r="109568" s="12" customFormat="1" x14ac:dyDescent="0.25"/>
    <row r="109569" s="12" customFormat="1" x14ac:dyDescent="0.25"/>
    <row r="109570" s="12" customFormat="1" x14ac:dyDescent="0.25"/>
    <row r="109571" s="12" customFormat="1" x14ac:dyDescent="0.25"/>
    <row r="109572" s="12" customFormat="1" x14ac:dyDescent="0.25"/>
    <row r="109573" s="12" customFormat="1" x14ac:dyDescent="0.25"/>
    <row r="109574" s="12" customFormat="1" x14ac:dyDescent="0.25"/>
    <row r="109575" s="12" customFormat="1" x14ac:dyDescent="0.25"/>
    <row r="109576" s="12" customFormat="1" x14ac:dyDescent="0.25"/>
    <row r="109577" s="12" customFormat="1" x14ac:dyDescent="0.25"/>
    <row r="109578" s="12" customFormat="1" x14ac:dyDescent="0.25"/>
    <row r="109579" s="12" customFormat="1" x14ac:dyDescent="0.25"/>
    <row r="109580" s="12" customFormat="1" x14ac:dyDescent="0.25"/>
    <row r="109581" s="12" customFormat="1" x14ac:dyDescent="0.25"/>
    <row r="109582" s="12" customFormat="1" x14ac:dyDescent="0.25"/>
    <row r="109583" s="12" customFormat="1" x14ac:dyDescent="0.25"/>
    <row r="109584" s="12" customFormat="1" x14ac:dyDescent="0.25"/>
    <row r="109585" s="12" customFormat="1" x14ac:dyDescent="0.25"/>
    <row r="109586" s="12" customFormat="1" x14ac:dyDescent="0.25"/>
    <row r="109587" s="12" customFormat="1" x14ac:dyDescent="0.25"/>
    <row r="109588" s="12" customFormat="1" x14ac:dyDescent="0.25"/>
    <row r="109589" s="12" customFormat="1" x14ac:dyDescent="0.25"/>
    <row r="109590" s="12" customFormat="1" x14ac:dyDescent="0.25"/>
    <row r="109591" s="12" customFormat="1" x14ac:dyDescent="0.25"/>
    <row r="109592" s="12" customFormat="1" x14ac:dyDescent="0.25"/>
    <row r="109593" s="12" customFormat="1" x14ac:dyDescent="0.25"/>
    <row r="109594" s="12" customFormat="1" x14ac:dyDescent="0.25"/>
    <row r="109595" s="12" customFormat="1" x14ac:dyDescent="0.25"/>
    <row r="109596" s="12" customFormat="1" x14ac:dyDescent="0.25"/>
    <row r="109597" s="12" customFormat="1" x14ac:dyDescent="0.25"/>
    <row r="109598" s="12" customFormat="1" x14ac:dyDescent="0.25"/>
    <row r="109599" s="12" customFormat="1" x14ac:dyDescent="0.25"/>
    <row r="109600" s="12" customFormat="1" x14ac:dyDescent="0.25"/>
    <row r="109601" s="12" customFormat="1" x14ac:dyDescent="0.25"/>
    <row r="109602" s="12" customFormat="1" x14ac:dyDescent="0.25"/>
    <row r="109603" s="12" customFormat="1" x14ac:dyDescent="0.25"/>
    <row r="109604" s="12" customFormat="1" x14ac:dyDescent="0.25"/>
    <row r="109605" s="12" customFormat="1" x14ac:dyDescent="0.25"/>
    <row r="109606" s="12" customFormat="1" x14ac:dyDescent="0.25"/>
    <row r="109607" s="12" customFormat="1" x14ac:dyDescent="0.25"/>
    <row r="109608" s="12" customFormat="1" x14ac:dyDescent="0.25"/>
    <row r="109609" s="12" customFormat="1" x14ac:dyDescent="0.25"/>
    <row r="109610" s="12" customFormat="1" x14ac:dyDescent="0.25"/>
    <row r="109611" s="12" customFormat="1" x14ac:dyDescent="0.25"/>
    <row r="109612" s="12" customFormat="1" x14ac:dyDescent="0.25"/>
    <row r="109613" s="12" customFormat="1" x14ac:dyDescent="0.25"/>
    <row r="109614" s="12" customFormat="1" x14ac:dyDescent="0.25"/>
    <row r="109615" s="12" customFormat="1" x14ac:dyDescent="0.25"/>
    <row r="109616" s="12" customFormat="1" x14ac:dyDescent="0.25"/>
    <row r="109617" s="12" customFormat="1" x14ac:dyDescent="0.25"/>
    <row r="109618" s="12" customFormat="1" x14ac:dyDescent="0.25"/>
    <row r="109619" s="12" customFormat="1" x14ac:dyDescent="0.25"/>
    <row r="109620" s="12" customFormat="1" x14ac:dyDescent="0.25"/>
    <row r="109621" s="12" customFormat="1" x14ac:dyDescent="0.25"/>
    <row r="109622" s="12" customFormat="1" x14ac:dyDescent="0.25"/>
    <row r="109623" s="12" customFormat="1" x14ac:dyDescent="0.25"/>
    <row r="109624" s="12" customFormat="1" x14ac:dyDescent="0.25"/>
    <row r="109625" s="12" customFormat="1" x14ac:dyDescent="0.25"/>
    <row r="109626" s="12" customFormat="1" x14ac:dyDescent="0.25"/>
    <row r="109627" s="12" customFormat="1" x14ac:dyDescent="0.25"/>
    <row r="109628" s="12" customFormat="1" x14ac:dyDescent="0.25"/>
    <row r="109629" s="12" customFormat="1" x14ac:dyDescent="0.25"/>
    <row r="109630" s="12" customFormat="1" x14ac:dyDescent="0.25"/>
    <row r="109631" s="12" customFormat="1" x14ac:dyDescent="0.25"/>
    <row r="109632" s="12" customFormat="1" x14ac:dyDescent="0.25"/>
    <row r="109633" s="12" customFormat="1" x14ac:dyDescent="0.25"/>
    <row r="109634" s="12" customFormat="1" x14ac:dyDescent="0.25"/>
    <row r="109635" s="12" customFormat="1" x14ac:dyDescent="0.25"/>
    <row r="109636" s="12" customFormat="1" x14ac:dyDescent="0.25"/>
    <row r="109637" s="12" customFormat="1" x14ac:dyDescent="0.25"/>
    <row r="109638" s="12" customFormat="1" x14ac:dyDescent="0.25"/>
    <row r="109639" s="12" customFormat="1" x14ac:dyDescent="0.25"/>
    <row r="109640" s="12" customFormat="1" x14ac:dyDescent="0.25"/>
    <row r="109641" s="12" customFormat="1" x14ac:dyDescent="0.25"/>
    <row r="109642" s="12" customFormat="1" x14ac:dyDescent="0.25"/>
    <row r="109643" s="12" customFormat="1" x14ac:dyDescent="0.25"/>
    <row r="109644" s="12" customFormat="1" x14ac:dyDescent="0.25"/>
    <row r="109645" s="12" customFormat="1" x14ac:dyDescent="0.25"/>
    <row r="109646" s="12" customFormat="1" x14ac:dyDescent="0.25"/>
    <row r="109647" s="12" customFormat="1" x14ac:dyDescent="0.25"/>
    <row r="109648" s="12" customFormat="1" x14ac:dyDescent="0.25"/>
    <row r="109649" s="12" customFormat="1" x14ac:dyDescent="0.25"/>
    <row r="109650" s="12" customFormat="1" x14ac:dyDescent="0.25"/>
    <row r="109651" s="12" customFormat="1" x14ac:dyDescent="0.25"/>
    <row r="109652" s="12" customFormat="1" x14ac:dyDescent="0.25"/>
    <row r="109653" s="12" customFormat="1" x14ac:dyDescent="0.25"/>
    <row r="109654" s="12" customFormat="1" x14ac:dyDescent="0.25"/>
    <row r="109655" s="12" customFormat="1" x14ac:dyDescent="0.25"/>
    <row r="109656" s="12" customFormat="1" x14ac:dyDescent="0.25"/>
    <row r="109657" s="12" customFormat="1" x14ac:dyDescent="0.25"/>
    <row r="109658" s="12" customFormat="1" x14ac:dyDescent="0.25"/>
    <row r="109659" s="12" customFormat="1" x14ac:dyDescent="0.25"/>
    <row r="109660" s="12" customFormat="1" x14ac:dyDescent="0.25"/>
    <row r="109661" s="12" customFormat="1" x14ac:dyDescent="0.25"/>
    <row r="109662" s="12" customFormat="1" x14ac:dyDescent="0.25"/>
    <row r="109663" s="12" customFormat="1" x14ac:dyDescent="0.25"/>
    <row r="109664" s="12" customFormat="1" x14ac:dyDescent="0.25"/>
    <row r="109665" s="12" customFormat="1" x14ac:dyDescent="0.25"/>
    <row r="109666" s="12" customFormat="1" x14ac:dyDescent="0.25"/>
    <row r="109667" s="12" customFormat="1" x14ac:dyDescent="0.25"/>
    <row r="109668" s="12" customFormat="1" x14ac:dyDescent="0.25"/>
    <row r="109669" s="12" customFormat="1" x14ac:dyDescent="0.25"/>
    <row r="109670" s="12" customFormat="1" x14ac:dyDescent="0.25"/>
    <row r="109671" s="12" customFormat="1" x14ac:dyDescent="0.25"/>
    <row r="109672" s="12" customFormat="1" x14ac:dyDescent="0.25"/>
    <row r="109673" s="12" customFormat="1" x14ac:dyDescent="0.25"/>
    <row r="109674" s="12" customFormat="1" x14ac:dyDescent="0.25"/>
    <row r="109675" s="12" customFormat="1" x14ac:dyDescent="0.25"/>
    <row r="109676" s="12" customFormat="1" x14ac:dyDescent="0.25"/>
    <row r="109677" s="12" customFormat="1" x14ac:dyDescent="0.25"/>
    <row r="109678" s="12" customFormat="1" x14ac:dyDescent="0.25"/>
    <row r="109679" s="12" customFormat="1" x14ac:dyDescent="0.25"/>
    <row r="109680" s="12" customFormat="1" x14ac:dyDescent="0.25"/>
    <row r="109681" s="12" customFormat="1" x14ac:dyDescent="0.25"/>
    <row r="109682" s="12" customFormat="1" x14ac:dyDescent="0.25"/>
    <row r="109683" s="12" customFormat="1" x14ac:dyDescent="0.25"/>
    <row r="109684" s="12" customFormat="1" x14ac:dyDescent="0.25"/>
    <row r="109685" s="12" customFormat="1" x14ac:dyDescent="0.25"/>
    <row r="109686" s="12" customFormat="1" x14ac:dyDescent="0.25"/>
    <row r="109687" s="12" customFormat="1" x14ac:dyDescent="0.25"/>
    <row r="109688" s="12" customFormat="1" x14ac:dyDescent="0.25"/>
    <row r="109689" s="12" customFormat="1" x14ac:dyDescent="0.25"/>
    <row r="109690" s="12" customFormat="1" x14ac:dyDescent="0.25"/>
    <row r="109691" s="12" customFormat="1" x14ac:dyDescent="0.25"/>
    <row r="109692" s="12" customFormat="1" x14ac:dyDescent="0.25"/>
    <row r="109693" s="12" customFormat="1" x14ac:dyDescent="0.25"/>
    <row r="109694" s="12" customFormat="1" x14ac:dyDescent="0.25"/>
    <row r="109695" s="12" customFormat="1" x14ac:dyDescent="0.25"/>
    <row r="109696" s="12" customFormat="1" x14ac:dyDescent="0.25"/>
    <row r="109697" s="12" customFormat="1" x14ac:dyDescent="0.25"/>
    <row r="109698" s="12" customFormat="1" x14ac:dyDescent="0.25"/>
    <row r="109699" s="12" customFormat="1" x14ac:dyDescent="0.25"/>
    <row r="109700" s="12" customFormat="1" x14ac:dyDescent="0.25"/>
    <row r="109701" s="12" customFormat="1" x14ac:dyDescent="0.25"/>
    <row r="109702" s="12" customFormat="1" x14ac:dyDescent="0.25"/>
    <row r="109703" s="12" customFormat="1" x14ac:dyDescent="0.25"/>
    <row r="109704" s="12" customFormat="1" x14ac:dyDescent="0.25"/>
    <row r="109705" s="12" customFormat="1" x14ac:dyDescent="0.25"/>
    <row r="109706" s="12" customFormat="1" x14ac:dyDescent="0.25"/>
    <row r="109707" s="12" customFormat="1" x14ac:dyDescent="0.25"/>
    <row r="109708" s="12" customFormat="1" x14ac:dyDescent="0.25"/>
    <row r="109709" s="12" customFormat="1" x14ac:dyDescent="0.25"/>
    <row r="109710" s="12" customFormat="1" x14ac:dyDescent="0.25"/>
    <row r="109711" s="12" customFormat="1" x14ac:dyDescent="0.25"/>
    <row r="109712" s="12" customFormat="1" x14ac:dyDescent="0.25"/>
    <row r="109713" s="12" customFormat="1" x14ac:dyDescent="0.25"/>
    <row r="109714" s="12" customFormat="1" x14ac:dyDescent="0.25"/>
    <row r="109715" s="12" customFormat="1" x14ac:dyDescent="0.25"/>
    <row r="109716" s="12" customFormat="1" x14ac:dyDescent="0.25"/>
    <row r="109717" s="12" customFormat="1" x14ac:dyDescent="0.25"/>
    <row r="109718" s="12" customFormat="1" x14ac:dyDescent="0.25"/>
    <row r="109719" s="12" customFormat="1" x14ac:dyDescent="0.25"/>
    <row r="109720" s="12" customFormat="1" x14ac:dyDescent="0.25"/>
    <row r="109721" s="12" customFormat="1" x14ac:dyDescent="0.25"/>
    <row r="109722" s="12" customFormat="1" x14ac:dyDescent="0.25"/>
    <row r="109723" s="12" customFormat="1" x14ac:dyDescent="0.25"/>
    <row r="109724" s="12" customFormat="1" x14ac:dyDescent="0.25"/>
    <row r="109725" s="12" customFormat="1" x14ac:dyDescent="0.25"/>
    <row r="109726" s="12" customFormat="1" x14ac:dyDescent="0.25"/>
    <row r="109727" s="12" customFormat="1" x14ac:dyDescent="0.25"/>
    <row r="109728" s="12" customFormat="1" x14ac:dyDescent="0.25"/>
    <row r="109729" s="12" customFormat="1" x14ac:dyDescent="0.25"/>
    <row r="109730" s="12" customFormat="1" x14ac:dyDescent="0.25"/>
    <row r="109731" s="12" customFormat="1" x14ac:dyDescent="0.25"/>
    <row r="109732" s="12" customFormat="1" x14ac:dyDescent="0.25"/>
    <row r="109733" s="12" customFormat="1" x14ac:dyDescent="0.25"/>
    <row r="109734" s="12" customFormat="1" x14ac:dyDescent="0.25"/>
    <row r="109735" s="12" customFormat="1" x14ac:dyDescent="0.25"/>
    <row r="109736" s="12" customFormat="1" x14ac:dyDescent="0.25"/>
    <row r="109737" s="12" customFormat="1" x14ac:dyDescent="0.25"/>
    <row r="109738" s="12" customFormat="1" x14ac:dyDescent="0.25"/>
    <row r="109739" s="12" customFormat="1" x14ac:dyDescent="0.25"/>
    <row r="109740" s="12" customFormat="1" x14ac:dyDescent="0.25"/>
    <row r="109741" s="12" customFormat="1" x14ac:dyDescent="0.25"/>
    <row r="109742" s="12" customFormat="1" x14ac:dyDescent="0.25"/>
    <row r="109743" s="12" customFormat="1" x14ac:dyDescent="0.25"/>
    <row r="109744" s="12" customFormat="1" x14ac:dyDescent="0.25"/>
    <row r="109745" s="12" customFormat="1" x14ac:dyDescent="0.25"/>
    <row r="109746" s="12" customFormat="1" x14ac:dyDescent="0.25"/>
    <row r="109747" s="12" customFormat="1" x14ac:dyDescent="0.25"/>
    <row r="109748" s="12" customFormat="1" x14ac:dyDescent="0.25"/>
    <row r="109749" s="12" customFormat="1" x14ac:dyDescent="0.25"/>
    <row r="109750" s="12" customFormat="1" x14ac:dyDescent="0.25"/>
    <row r="109751" s="12" customFormat="1" x14ac:dyDescent="0.25"/>
    <row r="109752" s="12" customFormat="1" x14ac:dyDescent="0.25"/>
    <row r="109753" s="12" customFormat="1" x14ac:dyDescent="0.25"/>
    <row r="109754" s="12" customFormat="1" x14ac:dyDescent="0.25"/>
    <row r="109755" s="12" customFormat="1" x14ac:dyDescent="0.25"/>
    <row r="109756" s="12" customFormat="1" x14ac:dyDescent="0.25"/>
    <row r="109757" s="12" customFormat="1" x14ac:dyDescent="0.25"/>
    <row r="109758" s="12" customFormat="1" x14ac:dyDescent="0.25"/>
    <row r="109759" s="12" customFormat="1" x14ac:dyDescent="0.25"/>
    <row r="109760" s="12" customFormat="1" x14ac:dyDescent="0.25"/>
    <row r="109761" s="12" customFormat="1" x14ac:dyDescent="0.25"/>
    <row r="109762" s="12" customFormat="1" x14ac:dyDescent="0.25"/>
    <row r="109763" s="12" customFormat="1" x14ac:dyDescent="0.25"/>
    <row r="109764" s="12" customFormat="1" x14ac:dyDescent="0.25"/>
    <row r="109765" s="12" customFormat="1" x14ac:dyDescent="0.25"/>
    <row r="109766" s="12" customFormat="1" x14ac:dyDescent="0.25"/>
    <row r="109767" s="12" customFormat="1" x14ac:dyDescent="0.25"/>
    <row r="109768" s="12" customFormat="1" x14ac:dyDescent="0.25"/>
    <row r="109769" s="12" customFormat="1" x14ac:dyDescent="0.25"/>
    <row r="109770" s="12" customFormat="1" x14ac:dyDescent="0.25"/>
    <row r="109771" s="12" customFormat="1" x14ac:dyDescent="0.25"/>
    <row r="109772" s="12" customFormat="1" x14ac:dyDescent="0.25"/>
    <row r="109773" s="12" customFormat="1" x14ac:dyDescent="0.25"/>
    <row r="109774" s="12" customFormat="1" x14ac:dyDescent="0.25"/>
    <row r="109775" s="12" customFormat="1" x14ac:dyDescent="0.25"/>
    <row r="109776" s="12" customFormat="1" x14ac:dyDescent="0.25"/>
    <row r="109777" s="12" customFormat="1" x14ac:dyDescent="0.25"/>
    <row r="109778" s="12" customFormat="1" x14ac:dyDescent="0.25"/>
    <row r="109779" s="12" customFormat="1" x14ac:dyDescent="0.25"/>
    <row r="109780" s="12" customFormat="1" x14ac:dyDescent="0.25"/>
    <row r="109781" s="12" customFormat="1" x14ac:dyDescent="0.25"/>
    <row r="109782" s="12" customFormat="1" x14ac:dyDescent="0.25"/>
    <row r="109783" s="12" customFormat="1" x14ac:dyDescent="0.25"/>
    <row r="109784" s="12" customFormat="1" x14ac:dyDescent="0.25"/>
    <row r="109785" s="12" customFormat="1" x14ac:dyDescent="0.25"/>
    <row r="109786" s="12" customFormat="1" x14ac:dyDescent="0.25"/>
    <row r="109787" s="12" customFormat="1" x14ac:dyDescent="0.25"/>
    <row r="109788" s="12" customFormat="1" x14ac:dyDescent="0.25"/>
    <row r="109789" s="12" customFormat="1" x14ac:dyDescent="0.25"/>
    <row r="109790" s="12" customFormat="1" x14ac:dyDescent="0.25"/>
    <row r="109791" s="12" customFormat="1" x14ac:dyDescent="0.25"/>
    <row r="109792" s="12" customFormat="1" x14ac:dyDescent="0.25"/>
    <row r="109793" s="12" customFormat="1" x14ac:dyDescent="0.25"/>
    <row r="109794" s="12" customFormat="1" x14ac:dyDescent="0.25"/>
    <row r="109795" s="12" customFormat="1" x14ac:dyDescent="0.25"/>
    <row r="109796" s="12" customFormat="1" x14ac:dyDescent="0.25"/>
    <row r="109797" s="12" customFormat="1" x14ac:dyDescent="0.25"/>
    <row r="109798" s="12" customFormat="1" x14ac:dyDescent="0.25"/>
    <row r="109799" s="12" customFormat="1" x14ac:dyDescent="0.25"/>
    <row r="109800" s="12" customFormat="1" x14ac:dyDescent="0.25"/>
    <row r="109801" s="12" customFormat="1" x14ac:dyDescent="0.25"/>
    <row r="109802" s="12" customFormat="1" x14ac:dyDescent="0.25"/>
    <row r="109803" s="12" customFormat="1" x14ac:dyDescent="0.25"/>
    <row r="109804" s="12" customFormat="1" x14ac:dyDescent="0.25"/>
    <row r="109805" s="12" customFormat="1" x14ac:dyDescent="0.25"/>
    <row r="109806" s="12" customFormat="1" x14ac:dyDescent="0.25"/>
    <row r="109807" s="12" customFormat="1" x14ac:dyDescent="0.25"/>
    <row r="109808" s="12" customFormat="1" x14ac:dyDescent="0.25"/>
    <row r="109809" s="12" customFormat="1" x14ac:dyDescent="0.25"/>
    <row r="109810" s="12" customFormat="1" x14ac:dyDescent="0.25"/>
    <row r="109811" s="12" customFormat="1" x14ac:dyDescent="0.25"/>
    <row r="109812" s="12" customFormat="1" x14ac:dyDescent="0.25"/>
    <row r="109813" s="12" customFormat="1" x14ac:dyDescent="0.25"/>
    <row r="109814" s="12" customFormat="1" x14ac:dyDescent="0.25"/>
    <row r="109815" s="12" customFormat="1" x14ac:dyDescent="0.25"/>
    <row r="109816" s="12" customFormat="1" x14ac:dyDescent="0.25"/>
    <row r="109817" s="12" customFormat="1" x14ac:dyDescent="0.25"/>
    <row r="109818" s="12" customFormat="1" x14ac:dyDescent="0.25"/>
    <row r="109819" s="12" customFormat="1" x14ac:dyDescent="0.25"/>
    <row r="109820" s="12" customFormat="1" x14ac:dyDescent="0.25"/>
    <row r="109821" s="12" customFormat="1" x14ac:dyDescent="0.25"/>
    <row r="109822" s="12" customFormat="1" x14ac:dyDescent="0.25"/>
    <row r="109823" s="12" customFormat="1" x14ac:dyDescent="0.25"/>
    <row r="109824" s="12" customFormat="1" x14ac:dyDescent="0.25"/>
    <row r="109825" s="12" customFormat="1" x14ac:dyDescent="0.25"/>
    <row r="109826" s="12" customFormat="1" x14ac:dyDescent="0.25"/>
    <row r="109827" s="12" customFormat="1" x14ac:dyDescent="0.25"/>
    <row r="109828" s="12" customFormat="1" x14ac:dyDescent="0.25"/>
    <row r="109829" s="12" customFormat="1" x14ac:dyDescent="0.25"/>
    <row r="109830" s="12" customFormat="1" x14ac:dyDescent="0.25"/>
    <row r="109831" s="12" customFormat="1" x14ac:dyDescent="0.25"/>
    <row r="109832" s="12" customFormat="1" x14ac:dyDescent="0.25"/>
    <row r="109833" s="12" customFormat="1" x14ac:dyDescent="0.25"/>
    <row r="109834" s="12" customFormat="1" x14ac:dyDescent="0.25"/>
    <row r="109835" s="12" customFormat="1" x14ac:dyDescent="0.25"/>
    <row r="109836" s="12" customFormat="1" x14ac:dyDescent="0.25"/>
    <row r="109837" s="12" customFormat="1" x14ac:dyDescent="0.25"/>
    <row r="109838" s="12" customFormat="1" x14ac:dyDescent="0.25"/>
    <row r="109839" s="12" customFormat="1" x14ac:dyDescent="0.25"/>
    <row r="109840" s="12" customFormat="1" x14ac:dyDescent="0.25"/>
    <row r="109841" s="12" customFormat="1" x14ac:dyDescent="0.25"/>
    <row r="109842" s="12" customFormat="1" x14ac:dyDescent="0.25"/>
    <row r="109843" s="12" customFormat="1" x14ac:dyDescent="0.25"/>
    <row r="109844" s="12" customFormat="1" x14ac:dyDescent="0.25"/>
    <row r="109845" s="12" customFormat="1" x14ac:dyDescent="0.25"/>
    <row r="109846" s="12" customFormat="1" x14ac:dyDescent="0.25"/>
    <row r="109847" s="12" customFormat="1" x14ac:dyDescent="0.25"/>
    <row r="109848" s="12" customFormat="1" x14ac:dyDescent="0.25"/>
    <row r="109849" s="12" customFormat="1" x14ac:dyDescent="0.25"/>
    <row r="109850" s="12" customFormat="1" x14ac:dyDescent="0.25"/>
    <row r="109851" s="12" customFormat="1" x14ac:dyDescent="0.25"/>
    <row r="109852" s="12" customFormat="1" x14ac:dyDescent="0.25"/>
    <row r="109853" s="12" customFormat="1" x14ac:dyDescent="0.25"/>
    <row r="109854" s="12" customFormat="1" x14ac:dyDescent="0.25"/>
    <row r="109855" s="12" customFormat="1" x14ac:dyDescent="0.25"/>
    <row r="109856" s="12" customFormat="1" x14ac:dyDescent="0.25"/>
    <row r="109857" s="12" customFormat="1" x14ac:dyDescent="0.25"/>
    <row r="109858" s="12" customFormat="1" x14ac:dyDescent="0.25"/>
    <row r="109859" s="12" customFormat="1" x14ac:dyDescent="0.25"/>
    <row r="109860" s="12" customFormat="1" x14ac:dyDescent="0.25"/>
    <row r="109861" s="12" customFormat="1" x14ac:dyDescent="0.25"/>
    <row r="109862" s="12" customFormat="1" x14ac:dyDescent="0.25"/>
    <row r="109863" s="12" customFormat="1" x14ac:dyDescent="0.25"/>
    <row r="109864" s="12" customFormat="1" x14ac:dyDescent="0.25"/>
    <row r="109865" s="12" customFormat="1" x14ac:dyDescent="0.25"/>
    <row r="109866" s="12" customFormat="1" x14ac:dyDescent="0.25"/>
    <row r="109867" s="12" customFormat="1" x14ac:dyDescent="0.25"/>
    <row r="109868" s="12" customFormat="1" x14ac:dyDescent="0.25"/>
    <row r="109869" s="12" customFormat="1" x14ac:dyDescent="0.25"/>
    <row r="109870" s="12" customFormat="1" x14ac:dyDescent="0.25"/>
    <row r="109871" s="12" customFormat="1" x14ac:dyDescent="0.25"/>
    <row r="109872" s="12" customFormat="1" x14ac:dyDescent="0.25"/>
    <row r="109873" s="12" customFormat="1" x14ac:dyDescent="0.25"/>
    <row r="109874" s="12" customFormat="1" x14ac:dyDescent="0.25"/>
    <row r="109875" s="12" customFormat="1" x14ac:dyDescent="0.25"/>
    <row r="109876" s="12" customFormat="1" x14ac:dyDescent="0.25"/>
    <row r="109877" s="12" customFormat="1" x14ac:dyDescent="0.25"/>
    <row r="109878" s="12" customFormat="1" x14ac:dyDescent="0.25"/>
    <row r="109879" s="12" customFormat="1" x14ac:dyDescent="0.25"/>
    <row r="109880" s="12" customFormat="1" x14ac:dyDescent="0.25"/>
    <row r="109881" s="12" customFormat="1" x14ac:dyDescent="0.25"/>
    <row r="109882" s="12" customFormat="1" x14ac:dyDescent="0.25"/>
    <row r="109883" s="12" customFormat="1" x14ac:dyDescent="0.25"/>
    <row r="109884" s="12" customFormat="1" x14ac:dyDescent="0.25"/>
    <row r="109885" s="12" customFormat="1" x14ac:dyDescent="0.25"/>
    <row r="109886" s="12" customFormat="1" x14ac:dyDescent="0.25"/>
    <row r="109887" s="12" customFormat="1" x14ac:dyDescent="0.25"/>
    <row r="109888" s="12" customFormat="1" x14ac:dyDescent="0.25"/>
    <row r="109889" s="12" customFormat="1" x14ac:dyDescent="0.25"/>
    <row r="109890" s="12" customFormat="1" x14ac:dyDescent="0.25"/>
    <row r="109891" s="12" customFormat="1" x14ac:dyDescent="0.25"/>
    <row r="109892" s="12" customFormat="1" x14ac:dyDescent="0.25"/>
    <row r="109893" s="12" customFormat="1" x14ac:dyDescent="0.25"/>
    <row r="109894" s="12" customFormat="1" x14ac:dyDescent="0.25"/>
    <row r="109895" s="12" customFormat="1" x14ac:dyDescent="0.25"/>
    <row r="109896" s="12" customFormat="1" x14ac:dyDescent="0.25"/>
    <row r="109897" s="12" customFormat="1" x14ac:dyDescent="0.25"/>
    <row r="109898" s="12" customFormat="1" x14ac:dyDescent="0.25"/>
    <row r="109899" s="12" customFormat="1" x14ac:dyDescent="0.25"/>
    <row r="109900" s="12" customFormat="1" x14ac:dyDescent="0.25"/>
    <row r="109901" s="12" customFormat="1" x14ac:dyDescent="0.25"/>
    <row r="109902" s="12" customFormat="1" x14ac:dyDescent="0.25"/>
    <row r="109903" s="12" customFormat="1" x14ac:dyDescent="0.25"/>
    <row r="109904" s="12" customFormat="1" x14ac:dyDescent="0.25"/>
    <row r="109905" s="12" customFormat="1" x14ac:dyDescent="0.25"/>
    <row r="109906" s="12" customFormat="1" x14ac:dyDescent="0.25"/>
    <row r="109907" s="12" customFormat="1" x14ac:dyDescent="0.25"/>
    <row r="109908" s="12" customFormat="1" x14ac:dyDescent="0.25"/>
    <row r="109909" s="12" customFormat="1" x14ac:dyDescent="0.25"/>
    <row r="109910" s="12" customFormat="1" x14ac:dyDescent="0.25"/>
    <row r="109911" s="12" customFormat="1" x14ac:dyDescent="0.25"/>
    <row r="109912" s="12" customFormat="1" x14ac:dyDescent="0.25"/>
    <row r="109913" s="12" customFormat="1" x14ac:dyDescent="0.25"/>
    <row r="109914" s="12" customFormat="1" x14ac:dyDescent="0.25"/>
    <row r="109915" s="12" customFormat="1" x14ac:dyDescent="0.25"/>
    <row r="109916" s="12" customFormat="1" x14ac:dyDescent="0.25"/>
    <row r="109917" s="12" customFormat="1" x14ac:dyDescent="0.25"/>
    <row r="109918" s="12" customFormat="1" x14ac:dyDescent="0.25"/>
    <row r="109919" s="12" customFormat="1" x14ac:dyDescent="0.25"/>
    <row r="109920" s="12" customFormat="1" x14ac:dyDescent="0.25"/>
    <row r="109921" s="12" customFormat="1" x14ac:dyDescent="0.25"/>
    <row r="109922" s="12" customFormat="1" x14ac:dyDescent="0.25"/>
    <row r="109923" s="12" customFormat="1" x14ac:dyDescent="0.25"/>
    <row r="109924" s="12" customFormat="1" x14ac:dyDescent="0.25"/>
    <row r="109925" s="12" customFormat="1" x14ac:dyDescent="0.25"/>
    <row r="109926" s="12" customFormat="1" x14ac:dyDescent="0.25"/>
    <row r="109927" s="12" customFormat="1" x14ac:dyDescent="0.25"/>
    <row r="109928" s="12" customFormat="1" x14ac:dyDescent="0.25"/>
    <row r="109929" s="12" customFormat="1" x14ac:dyDescent="0.25"/>
    <row r="109930" s="12" customFormat="1" x14ac:dyDescent="0.25"/>
    <row r="109931" s="12" customFormat="1" x14ac:dyDescent="0.25"/>
    <row r="109932" s="12" customFormat="1" x14ac:dyDescent="0.25"/>
    <row r="109933" s="12" customFormat="1" x14ac:dyDescent="0.25"/>
    <row r="109934" s="12" customFormat="1" x14ac:dyDescent="0.25"/>
    <row r="109935" s="12" customFormat="1" x14ac:dyDescent="0.25"/>
    <row r="109936" s="12" customFormat="1" x14ac:dyDescent="0.25"/>
    <row r="109937" s="12" customFormat="1" x14ac:dyDescent="0.25"/>
    <row r="109938" s="12" customFormat="1" x14ac:dyDescent="0.25"/>
    <row r="109939" s="12" customFormat="1" x14ac:dyDescent="0.25"/>
    <row r="109940" s="12" customFormat="1" x14ac:dyDescent="0.25"/>
    <row r="109941" s="12" customFormat="1" x14ac:dyDescent="0.25"/>
    <row r="109942" s="12" customFormat="1" x14ac:dyDescent="0.25"/>
    <row r="109943" s="12" customFormat="1" x14ac:dyDescent="0.25"/>
    <row r="109944" s="12" customFormat="1" x14ac:dyDescent="0.25"/>
    <row r="109945" s="12" customFormat="1" x14ac:dyDescent="0.25"/>
    <row r="109946" s="12" customFormat="1" x14ac:dyDescent="0.25"/>
    <row r="109947" s="12" customFormat="1" x14ac:dyDescent="0.25"/>
    <row r="109948" s="12" customFormat="1" x14ac:dyDescent="0.25"/>
    <row r="109949" s="12" customFormat="1" x14ac:dyDescent="0.25"/>
    <row r="109950" s="12" customFormat="1" x14ac:dyDescent="0.25"/>
    <row r="109951" s="12" customFormat="1" x14ac:dyDescent="0.25"/>
    <row r="109952" s="12" customFormat="1" x14ac:dyDescent="0.25"/>
    <row r="109953" s="12" customFormat="1" x14ac:dyDescent="0.25"/>
    <row r="109954" s="12" customFormat="1" x14ac:dyDescent="0.25"/>
    <row r="109955" s="12" customFormat="1" x14ac:dyDescent="0.25"/>
    <row r="109956" s="12" customFormat="1" x14ac:dyDescent="0.25"/>
    <row r="109957" s="12" customFormat="1" x14ac:dyDescent="0.25"/>
    <row r="109958" s="12" customFormat="1" x14ac:dyDescent="0.25"/>
    <row r="109959" s="12" customFormat="1" x14ac:dyDescent="0.25"/>
    <row r="109960" s="12" customFormat="1" x14ac:dyDescent="0.25"/>
    <row r="109961" s="12" customFormat="1" x14ac:dyDescent="0.25"/>
    <row r="109962" s="12" customFormat="1" x14ac:dyDescent="0.25"/>
    <row r="109963" s="12" customFormat="1" x14ac:dyDescent="0.25"/>
    <row r="109964" s="12" customFormat="1" x14ac:dyDescent="0.25"/>
    <row r="109965" s="12" customFormat="1" x14ac:dyDescent="0.25"/>
    <row r="109966" s="12" customFormat="1" x14ac:dyDescent="0.25"/>
    <row r="109967" s="12" customFormat="1" x14ac:dyDescent="0.25"/>
    <row r="109968" s="12" customFormat="1" x14ac:dyDescent="0.25"/>
    <row r="109969" s="12" customFormat="1" x14ac:dyDescent="0.25"/>
    <row r="109970" s="12" customFormat="1" x14ac:dyDescent="0.25"/>
    <row r="109971" s="12" customFormat="1" x14ac:dyDescent="0.25"/>
    <row r="109972" s="12" customFormat="1" x14ac:dyDescent="0.25"/>
    <row r="109973" s="12" customFormat="1" x14ac:dyDescent="0.25"/>
    <row r="109974" s="12" customFormat="1" x14ac:dyDescent="0.25"/>
    <row r="109975" s="12" customFormat="1" x14ac:dyDescent="0.25"/>
    <row r="109976" s="12" customFormat="1" x14ac:dyDescent="0.25"/>
    <row r="109977" s="12" customFormat="1" x14ac:dyDescent="0.25"/>
    <row r="109978" s="12" customFormat="1" x14ac:dyDescent="0.25"/>
    <row r="109979" s="12" customFormat="1" x14ac:dyDescent="0.25"/>
    <row r="109980" s="12" customFormat="1" x14ac:dyDescent="0.25"/>
    <row r="109981" s="12" customFormat="1" x14ac:dyDescent="0.25"/>
    <row r="109982" s="12" customFormat="1" x14ac:dyDescent="0.25"/>
    <row r="109983" s="12" customFormat="1" x14ac:dyDescent="0.25"/>
    <row r="109984" s="12" customFormat="1" x14ac:dyDescent="0.25"/>
    <row r="109985" s="12" customFormat="1" x14ac:dyDescent="0.25"/>
    <row r="109986" s="12" customFormat="1" x14ac:dyDescent="0.25"/>
    <row r="109987" s="12" customFormat="1" x14ac:dyDescent="0.25"/>
    <row r="109988" s="12" customFormat="1" x14ac:dyDescent="0.25"/>
    <row r="109989" s="12" customFormat="1" x14ac:dyDescent="0.25"/>
    <row r="109990" s="12" customFormat="1" x14ac:dyDescent="0.25"/>
    <row r="109991" s="12" customFormat="1" x14ac:dyDescent="0.25"/>
    <row r="109992" s="12" customFormat="1" x14ac:dyDescent="0.25"/>
    <row r="109993" s="12" customFormat="1" x14ac:dyDescent="0.25"/>
    <row r="109994" s="12" customFormat="1" x14ac:dyDescent="0.25"/>
    <row r="109995" s="12" customFormat="1" x14ac:dyDescent="0.25"/>
    <row r="109996" s="12" customFormat="1" x14ac:dyDescent="0.25"/>
    <row r="109997" s="12" customFormat="1" x14ac:dyDescent="0.25"/>
    <row r="109998" s="12" customFormat="1" x14ac:dyDescent="0.25"/>
    <row r="109999" s="12" customFormat="1" x14ac:dyDescent="0.25"/>
    <row r="110000" s="12" customFormat="1" x14ac:dyDescent="0.25"/>
    <row r="110001" s="12" customFormat="1" x14ac:dyDescent="0.25"/>
    <row r="110002" s="12" customFormat="1" x14ac:dyDescent="0.25"/>
    <row r="110003" s="12" customFormat="1" x14ac:dyDescent="0.25"/>
    <row r="110004" s="12" customFormat="1" x14ac:dyDescent="0.25"/>
    <row r="110005" s="12" customFormat="1" x14ac:dyDescent="0.25"/>
    <row r="110006" s="12" customFormat="1" x14ac:dyDescent="0.25"/>
    <row r="110007" s="12" customFormat="1" x14ac:dyDescent="0.25"/>
    <row r="110008" s="12" customFormat="1" x14ac:dyDescent="0.25"/>
    <row r="110009" s="12" customFormat="1" x14ac:dyDescent="0.25"/>
    <row r="110010" s="12" customFormat="1" x14ac:dyDescent="0.25"/>
    <row r="110011" s="12" customFormat="1" x14ac:dyDescent="0.25"/>
    <row r="110012" s="12" customFormat="1" x14ac:dyDescent="0.25"/>
    <row r="110013" s="12" customFormat="1" x14ac:dyDescent="0.25"/>
    <row r="110014" s="12" customFormat="1" x14ac:dyDescent="0.25"/>
    <row r="110015" s="12" customFormat="1" x14ac:dyDescent="0.25"/>
    <row r="110016" s="12" customFormat="1" x14ac:dyDescent="0.25"/>
    <row r="110017" s="12" customFormat="1" x14ac:dyDescent="0.25"/>
    <row r="110018" s="12" customFormat="1" x14ac:dyDescent="0.25"/>
    <row r="110019" s="12" customFormat="1" x14ac:dyDescent="0.25"/>
    <row r="110020" s="12" customFormat="1" x14ac:dyDescent="0.25"/>
    <row r="110021" s="12" customFormat="1" x14ac:dyDescent="0.25"/>
    <row r="110022" s="12" customFormat="1" x14ac:dyDescent="0.25"/>
    <row r="110023" s="12" customFormat="1" x14ac:dyDescent="0.25"/>
    <row r="110024" s="12" customFormat="1" x14ac:dyDescent="0.25"/>
    <row r="110025" s="12" customFormat="1" x14ac:dyDescent="0.25"/>
    <row r="110026" s="12" customFormat="1" x14ac:dyDescent="0.25"/>
    <row r="110027" s="12" customFormat="1" x14ac:dyDescent="0.25"/>
    <row r="110028" s="12" customFormat="1" x14ac:dyDescent="0.25"/>
    <row r="110029" s="12" customFormat="1" x14ac:dyDescent="0.25"/>
    <row r="110030" s="12" customFormat="1" x14ac:dyDescent="0.25"/>
    <row r="110031" s="12" customFormat="1" x14ac:dyDescent="0.25"/>
    <row r="110032" s="12" customFormat="1" x14ac:dyDescent="0.25"/>
    <row r="110033" s="12" customFormat="1" x14ac:dyDescent="0.25"/>
    <row r="110034" s="12" customFormat="1" x14ac:dyDescent="0.25"/>
    <row r="110035" s="12" customFormat="1" x14ac:dyDescent="0.25"/>
    <row r="110036" s="12" customFormat="1" x14ac:dyDescent="0.25"/>
    <row r="110037" s="12" customFormat="1" x14ac:dyDescent="0.25"/>
    <row r="110038" s="12" customFormat="1" x14ac:dyDescent="0.25"/>
    <row r="110039" s="12" customFormat="1" x14ac:dyDescent="0.25"/>
    <row r="110040" s="12" customFormat="1" x14ac:dyDescent="0.25"/>
    <row r="110041" s="12" customFormat="1" x14ac:dyDescent="0.25"/>
    <row r="110042" s="12" customFormat="1" x14ac:dyDescent="0.25"/>
    <row r="110043" s="12" customFormat="1" x14ac:dyDescent="0.25"/>
    <row r="110044" s="12" customFormat="1" x14ac:dyDescent="0.25"/>
    <row r="110045" s="12" customFormat="1" x14ac:dyDescent="0.25"/>
    <row r="110046" s="12" customFormat="1" x14ac:dyDescent="0.25"/>
    <row r="110047" s="12" customFormat="1" x14ac:dyDescent="0.25"/>
    <row r="110048" s="12" customFormat="1" x14ac:dyDescent="0.25"/>
    <row r="110049" s="12" customFormat="1" x14ac:dyDescent="0.25"/>
    <row r="110050" s="12" customFormat="1" x14ac:dyDescent="0.25"/>
    <row r="110051" s="12" customFormat="1" x14ac:dyDescent="0.25"/>
    <row r="110052" s="12" customFormat="1" x14ac:dyDescent="0.25"/>
    <row r="110053" s="12" customFormat="1" x14ac:dyDescent="0.25"/>
    <row r="110054" s="12" customFormat="1" x14ac:dyDescent="0.25"/>
    <row r="110055" s="12" customFormat="1" x14ac:dyDescent="0.25"/>
    <row r="110056" s="12" customFormat="1" x14ac:dyDescent="0.25"/>
    <row r="110057" s="12" customFormat="1" x14ac:dyDescent="0.25"/>
    <row r="110058" s="12" customFormat="1" x14ac:dyDescent="0.25"/>
    <row r="110059" s="12" customFormat="1" x14ac:dyDescent="0.25"/>
    <row r="110060" s="12" customFormat="1" x14ac:dyDescent="0.25"/>
    <row r="110061" s="12" customFormat="1" x14ac:dyDescent="0.25"/>
    <row r="110062" s="12" customFormat="1" x14ac:dyDescent="0.25"/>
    <row r="110063" s="12" customFormat="1" x14ac:dyDescent="0.25"/>
    <row r="110064" s="12" customFormat="1" x14ac:dyDescent="0.25"/>
    <row r="110065" s="12" customFormat="1" x14ac:dyDescent="0.25"/>
    <row r="110066" s="12" customFormat="1" x14ac:dyDescent="0.25"/>
    <row r="110067" s="12" customFormat="1" x14ac:dyDescent="0.25"/>
    <row r="110068" s="12" customFormat="1" x14ac:dyDescent="0.25"/>
    <row r="110069" s="12" customFormat="1" x14ac:dyDescent="0.25"/>
    <row r="110070" s="12" customFormat="1" x14ac:dyDescent="0.25"/>
    <row r="110071" s="12" customFormat="1" x14ac:dyDescent="0.25"/>
    <row r="110072" s="12" customFormat="1" x14ac:dyDescent="0.25"/>
    <row r="110073" s="12" customFormat="1" x14ac:dyDescent="0.25"/>
    <row r="110074" s="12" customFormat="1" x14ac:dyDescent="0.25"/>
    <row r="110075" s="12" customFormat="1" x14ac:dyDescent="0.25"/>
    <row r="110076" s="12" customFormat="1" x14ac:dyDescent="0.25"/>
    <row r="110077" s="12" customFormat="1" x14ac:dyDescent="0.25"/>
    <row r="110078" s="12" customFormat="1" x14ac:dyDescent="0.25"/>
    <row r="110079" s="12" customFormat="1" x14ac:dyDescent="0.25"/>
    <row r="110080" s="12" customFormat="1" x14ac:dyDescent="0.25"/>
    <row r="110081" s="12" customFormat="1" x14ac:dyDescent="0.25"/>
    <row r="110082" s="12" customFormat="1" x14ac:dyDescent="0.25"/>
    <row r="110083" s="12" customFormat="1" x14ac:dyDescent="0.25"/>
    <row r="110084" s="12" customFormat="1" x14ac:dyDescent="0.25"/>
    <row r="110085" s="12" customFormat="1" x14ac:dyDescent="0.25"/>
    <row r="110086" s="12" customFormat="1" x14ac:dyDescent="0.25"/>
    <row r="110087" s="12" customFormat="1" x14ac:dyDescent="0.25"/>
    <row r="110088" s="12" customFormat="1" x14ac:dyDescent="0.25"/>
    <row r="110089" s="12" customFormat="1" x14ac:dyDescent="0.25"/>
    <row r="110090" s="12" customFormat="1" x14ac:dyDescent="0.25"/>
    <row r="110091" s="12" customFormat="1" x14ac:dyDescent="0.25"/>
    <row r="110092" s="12" customFormat="1" x14ac:dyDescent="0.25"/>
    <row r="110093" s="12" customFormat="1" x14ac:dyDescent="0.25"/>
    <row r="110094" s="12" customFormat="1" x14ac:dyDescent="0.25"/>
    <row r="110095" s="12" customFormat="1" x14ac:dyDescent="0.25"/>
    <row r="110096" s="12" customFormat="1" x14ac:dyDescent="0.25"/>
    <row r="110097" s="12" customFormat="1" x14ac:dyDescent="0.25"/>
    <row r="110098" s="12" customFormat="1" x14ac:dyDescent="0.25"/>
    <row r="110099" s="12" customFormat="1" x14ac:dyDescent="0.25"/>
    <row r="110100" s="12" customFormat="1" x14ac:dyDescent="0.25"/>
    <row r="110101" s="12" customFormat="1" x14ac:dyDescent="0.25"/>
    <row r="110102" s="12" customFormat="1" x14ac:dyDescent="0.25"/>
    <row r="110103" s="12" customFormat="1" x14ac:dyDescent="0.25"/>
    <row r="110104" s="12" customFormat="1" x14ac:dyDescent="0.25"/>
    <row r="110105" s="12" customFormat="1" x14ac:dyDescent="0.25"/>
    <row r="110106" s="12" customFormat="1" x14ac:dyDescent="0.25"/>
    <row r="110107" s="12" customFormat="1" x14ac:dyDescent="0.25"/>
    <row r="110108" s="12" customFormat="1" x14ac:dyDescent="0.25"/>
    <row r="110109" s="12" customFormat="1" x14ac:dyDescent="0.25"/>
    <row r="110110" s="12" customFormat="1" x14ac:dyDescent="0.25"/>
    <row r="110111" s="12" customFormat="1" x14ac:dyDescent="0.25"/>
    <row r="110112" s="12" customFormat="1" x14ac:dyDescent="0.25"/>
    <row r="110113" s="12" customFormat="1" x14ac:dyDescent="0.25"/>
    <row r="110114" s="12" customFormat="1" x14ac:dyDescent="0.25"/>
    <row r="110115" s="12" customFormat="1" x14ac:dyDescent="0.25"/>
    <row r="110116" s="12" customFormat="1" x14ac:dyDescent="0.25"/>
    <row r="110117" s="12" customFormat="1" x14ac:dyDescent="0.25"/>
    <row r="110118" s="12" customFormat="1" x14ac:dyDescent="0.25"/>
    <row r="110119" s="12" customFormat="1" x14ac:dyDescent="0.25"/>
    <row r="110120" s="12" customFormat="1" x14ac:dyDescent="0.25"/>
    <row r="110121" s="12" customFormat="1" x14ac:dyDescent="0.25"/>
    <row r="110122" s="12" customFormat="1" x14ac:dyDescent="0.25"/>
    <row r="110123" s="12" customFormat="1" x14ac:dyDescent="0.25"/>
    <row r="110124" s="12" customFormat="1" x14ac:dyDescent="0.25"/>
    <row r="110125" s="12" customFormat="1" x14ac:dyDescent="0.25"/>
    <row r="110126" s="12" customFormat="1" x14ac:dyDescent="0.25"/>
    <row r="110127" s="12" customFormat="1" x14ac:dyDescent="0.25"/>
    <row r="110128" s="12" customFormat="1" x14ac:dyDescent="0.25"/>
    <row r="110129" s="12" customFormat="1" x14ac:dyDescent="0.25"/>
    <row r="110130" s="12" customFormat="1" x14ac:dyDescent="0.25"/>
    <row r="110131" s="12" customFormat="1" x14ac:dyDescent="0.25"/>
    <row r="110132" s="12" customFormat="1" x14ac:dyDescent="0.25"/>
    <row r="110133" s="12" customFormat="1" x14ac:dyDescent="0.25"/>
    <row r="110134" s="12" customFormat="1" x14ac:dyDescent="0.25"/>
    <row r="110135" s="12" customFormat="1" x14ac:dyDescent="0.25"/>
    <row r="110136" s="12" customFormat="1" x14ac:dyDescent="0.25"/>
    <row r="110137" s="12" customFormat="1" x14ac:dyDescent="0.25"/>
    <row r="110138" s="12" customFormat="1" x14ac:dyDescent="0.25"/>
    <row r="110139" s="12" customFormat="1" x14ac:dyDescent="0.25"/>
    <row r="110140" s="12" customFormat="1" x14ac:dyDescent="0.25"/>
    <row r="110141" s="12" customFormat="1" x14ac:dyDescent="0.25"/>
    <row r="110142" s="12" customFormat="1" x14ac:dyDescent="0.25"/>
    <row r="110143" s="12" customFormat="1" x14ac:dyDescent="0.25"/>
    <row r="110144" s="12" customFormat="1" x14ac:dyDescent="0.25"/>
    <row r="110145" s="12" customFormat="1" x14ac:dyDescent="0.25"/>
    <row r="110146" s="12" customFormat="1" x14ac:dyDescent="0.25"/>
    <row r="110147" s="12" customFormat="1" x14ac:dyDescent="0.25"/>
    <row r="110148" s="12" customFormat="1" x14ac:dyDescent="0.25"/>
    <row r="110149" s="12" customFormat="1" x14ac:dyDescent="0.25"/>
    <row r="110150" s="12" customFormat="1" x14ac:dyDescent="0.25"/>
    <row r="110151" s="12" customFormat="1" x14ac:dyDescent="0.25"/>
    <row r="110152" s="12" customFormat="1" x14ac:dyDescent="0.25"/>
    <row r="110153" s="12" customFormat="1" x14ac:dyDescent="0.25"/>
    <row r="110154" s="12" customFormat="1" x14ac:dyDescent="0.25"/>
    <row r="110155" s="12" customFormat="1" x14ac:dyDescent="0.25"/>
    <row r="110156" s="12" customFormat="1" x14ac:dyDescent="0.25"/>
    <row r="110157" s="12" customFormat="1" x14ac:dyDescent="0.25"/>
    <row r="110158" s="12" customFormat="1" x14ac:dyDescent="0.25"/>
    <row r="110159" s="12" customFormat="1" x14ac:dyDescent="0.25"/>
    <row r="110160" s="12" customFormat="1" x14ac:dyDescent="0.25"/>
    <row r="110161" s="12" customFormat="1" x14ac:dyDescent="0.25"/>
    <row r="110162" s="12" customFormat="1" x14ac:dyDescent="0.25"/>
    <row r="110163" s="12" customFormat="1" x14ac:dyDescent="0.25"/>
    <row r="110164" s="12" customFormat="1" x14ac:dyDescent="0.25"/>
    <row r="110165" s="12" customFormat="1" x14ac:dyDescent="0.25"/>
    <row r="110166" s="12" customFormat="1" x14ac:dyDescent="0.25"/>
    <row r="110167" s="12" customFormat="1" x14ac:dyDescent="0.25"/>
    <row r="110168" s="12" customFormat="1" x14ac:dyDescent="0.25"/>
    <row r="110169" s="12" customFormat="1" x14ac:dyDescent="0.25"/>
    <row r="110170" s="12" customFormat="1" x14ac:dyDescent="0.25"/>
    <row r="110171" s="12" customFormat="1" x14ac:dyDescent="0.25"/>
    <row r="110172" s="12" customFormat="1" x14ac:dyDescent="0.25"/>
    <row r="110173" s="12" customFormat="1" x14ac:dyDescent="0.25"/>
    <row r="110174" s="12" customFormat="1" x14ac:dyDescent="0.25"/>
    <row r="110175" s="12" customFormat="1" x14ac:dyDescent="0.25"/>
    <row r="110176" s="12" customFormat="1" x14ac:dyDescent="0.25"/>
    <row r="110177" s="12" customFormat="1" x14ac:dyDescent="0.25"/>
    <row r="110178" s="12" customFormat="1" x14ac:dyDescent="0.25"/>
    <row r="110179" s="12" customFormat="1" x14ac:dyDescent="0.25"/>
    <row r="110180" s="12" customFormat="1" x14ac:dyDescent="0.25"/>
    <row r="110181" s="12" customFormat="1" x14ac:dyDescent="0.25"/>
    <row r="110182" s="12" customFormat="1" x14ac:dyDescent="0.25"/>
    <row r="110183" s="12" customFormat="1" x14ac:dyDescent="0.25"/>
    <row r="110184" s="12" customFormat="1" x14ac:dyDescent="0.25"/>
    <row r="110185" s="12" customFormat="1" x14ac:dyDescent="0.25"/>
    <row r="110186" s="12" customFormat="1" x14ac:dyDescent="0.25"/>
    <row r="110187" s="12" customFormat="1" x14ac:dyDescent="0.25"/>
    <row r="110188" s="12" customFormat="1" x14ac:dyDescent="0.25"/>
    <row r="110189" s="12" customFormat="1" x14ac:dyDescent="0.25"/>
    <row r="110190" s="12" customFormat="1" x14ac:dyDescent="0.25"/>
    <row r="110191" s="12" customFormat="1" x14ac:dyDescent="0.25"/>
    <row r="110192" s="12" customFormat="1" x14ac:dyDescent="0.25"/>
    <row r="110193" s="12" customFormat="1" x14ac:dyDescent="0.25"/>
    <row r="110194" s="12" customFormat="1" x14ac:dyDescent="0.25"/>
    <row r="110195" s="12" customFormat="1" x14ac:dyDescent="0.25"/>
    <row r="110196" s="12" customFormat="1" x14ac:dyDescent="0.25"/>
    <row r="110197" s="12" customFormat="1" x14ac:dyDescent="0.25"/>
    <row r="110198" s="12" customFormat="1" x14ac:dyDescent="0.25"/>
    <row r="110199" s="12" customFormat="1" x14ac:dyDescent="0.25"/>
    <row r="110200" s="12" customFormat="1" x14ac:dyDescent="0.25"/>
    <row r="110201" s="12" customFormat="1" x14ac:dyDescent="0.25"/>
    <row r="110202" s="12" customFormat="1" x14ac:dyDescent="0.25"/>
    <row r="110203" s="12" customFormat="1" x14ac:dyDescent="0.25"/>
    <row r="110204" s="12" customFormat="1" x14ac:dyDescent="0.25"/>
    <row r="110205" s="12" customFormat="1" x14ac:dyDescent="0.25"/>
    <row r="110206" s="12" customFormat="1" x14ac:dyDescent="0.25"/>
    <row r="110207" s="12" customFormat="1" x14ac:dyDescent="0.25"/>
    <row r="110208" s="12" customFormat="1" x14ac:dyDescent="0.25"/>
    <row r="110209" s="12" customFormat="1" x14ac:dyDescent="0.25"/>
    <row r="110210" s="12" customFormat="1" x14ac:dyDescent="0.25"/>
    <row r="110211" s="12" customFormat="1" x14ac:dyDescent="0.25"/>
    <row r="110212" s="12" customFormat="1" x14ac:dyDescent="0.25"/>
    <row r="110213" s="12" customFormat="1" x14ac:dyDescent="0.25"/>
    <row r="110214" s="12" customFormat="1" x14ac:dyDescent="0.25"/>
    <row r="110215" s="12" customFormat="1" x14ac:dyDescent="0.25"/>
    <row r="110216" s="12" customFormat="1" x14ac:dyDescent="0.25"/>
    <row r="110217" s="12" customFormat="1" x14ac:dyDescent="0.25"/>
    <row r="110218" s="12" customFormat="1" x14ac:dyDescent="0.25"/>
    <row r="110219" s="12" customFormat="1" x14ac:dyDescent="0.25"/>
    <row r="110220" s="12" customFormat="1" x14ac:dyDescent="0.25"/>
    <row r="110221" s="12" customFormat="1" x14ac:dyDescent="0.25"/>
    <row r="110222" s="12" customFormat="1" x14ac:dyDescent="0.25"/>
    <row r="110223" s="12" customFormat="1" x14ac:dyDescent="0.25"/>
    <row r="110224" s="12" customFormat="1" x14ac:dyDescent="0.25"/>
    <row r="110225" s="12" customFormat="1" x14ac:dyDescent="0.25"/>
    <row r="110226" s="12" customFormat="1" x14ac:dyDescent="0.25"/>
    <row r="110227" s="12" customFormat="1" x14ac:dyDescent="0.25"/>
    <row r="110228" s="12" customFormat="1" x14ac:dyDescent="0.25"/>
    <row r="110229" s="12" customFormat="1" x14ac:dyDescent="0.25"/>
    <row r="110230" s="12" customFormat="1" x14ac:dyDescent="0.25"/>
    <row r="110231" s="12" customFormat="1" x14ac:dyDescent="0.25"/>
    <row r="110232" s="12" customFormat="1" x14ac:dyDescent="0.25"/>
    <row r="110233" s="12" customFormat="1" x14ac:dyDescent="0.25"/>
    <row r="110234" s="12" customFormat="1" x14ac:dyDescent="0.25"/>
    <row r="110235" s="12" customFormat="1" x14ac:dyDescent="0.25"/>
    <row r="110236" s="12" customFormat="1" x14ac:dyDescent="0.25"/>
    <row r="110237" s="12" customFormat="1" x14ac:dyDescent="0.25"/>
    <row r="110238" s="12" customFormat="1" x14ac:dyDescent="0.25"/>
    <row r="110239" s="12" customFormat="1" x14ac:dyDescent="0.25"/>
    <row r="110240" s="12" customFormat="1" x14ac:dyDescent="0.25"/>
    <row r="110241" s="12" customFormat="1" x14ac:dyDescent="0.25"/>
    <row r="110242" s="12" customFormat="1" x14ac:dyDescent="0.25"/>
    <row r="110243" s="12" customFormat="1" x14ac:dyDescent="0.25"/>
    <row r="110244" s="12" customFormat="1" x14ac:dyDescent="0.25"/>
    <row r="110245" s="12" customFormat="1" x14ac:dyDescent="0.25"/>
    <row r="110246" s="12" customFormat="1" x14ac:dyDescent="0.25"/>
    <row r="110247" s="12" customFormat="1" x14ac:dyDescent="0.25"/>
    <row r="110248" s="12" customFormat="1" x14ac:dyDescent="0.25"/>
    <row r="110249" s="12" customFormat="1" x14ac:dyDescent="0.25"/>
    <row r="110250" s="12" customFormat="1" x14ac:dyDescent="0.25"/>
    <row r="110251" s="12" customFormat="1" x14ac:dyDescent="0.25"/>
    <row r="110252" s="12" customFormat="1" x14ac:dyDescent="0.25"/>
    <row r="110253" s="12" customFormat="1" x14ac:dyDescent="0.25"/>
    <row r="110254" s="12" customFormat="1" x14ac:dyDescent="0.25"/>
    <row r="110255" s="12" customFormat="1" x14ac:dyDescent="0.25"/>
    <row r="110256" s="12" customFormat="1" x14ac:dyDescent="0.25"/>
    <row r="110257" s="12" customFormat="1" x14ac:dyDescent="0.25"/>
    <row r="110258" s="12" customFormat="1" x14ac:dyDescent="0.25"/>
    <row r="110259" s="12" customFormat="1" x14ac:dyDescent="0.25"/>
    <row r="110260" s="12" customFormat="1" x14ac:dyDescent="0.25"/>
    <row r="110261" s="12" customFormat="1" x14ac:dyDescent="0.25"/>
    <row r="110262" s="12" customFormat="1" x14ac:dyDescent="0.25"/>
    <row r="110263" s="12" customFormat="1" x14ac:dyDescent="0.25"/>
    <row r="110264" s="12" customFormat="1" x14ac:dyDescent="0.25"/>
    <row r="110265" s="12" customFormat="1" x14ac:dyDescent="0.25"/>
    <row r="110266" s="12" customFormat="1" x14ac:dyDescent="0.25"/>
    <row r="110267" s="12" customFormat="1" x14ac:dyDescent="0.25"/>
    <row r="110268" s="12" customFormat="1" x14ac:dyDescent="0.25"/>
    <row r="110269" s="12" customFormat="1" x14ac:dyDescent="0.25"/>
    <row r="110270" s="12" customFormat="1" x14ac:dyDescent="0.25"/>
    <row r="110271" s="12" customFormat="1" x14ac:dyDescent="0.25"/>
    <row r="110272" s="12" customFormat="1" x14ac:dyDescent="0.25"/>
    <row r="110273" s="12" customFormat="1" x14ac:dyDescent="0.25"/>
    <row r="110274" s="12" customFormat="1" x14ac:dyDescent="0.25"/>
    <row r="110275" s="12" customFormat="1" x14ac:dyDescent="0.25"/>
    <row r="110276" s="12" customFormat="1" x14ac:dyDescent="0.25"/>
    <row r="110277" s="12" customFormat="1" x14ac:dyDescent="0.25"/>
    <row r="110278" s="12" customFormat="1" x14ac:dyDescent="0.25"/>
    <row r="110279" s="12" customFormat="1" x14ac:dyDescent="0.25"/>
    <row r="110280" s="12" customFormat="1" x14ac:dyDescent="0.25"/>
    <row r="110281" s="12" customFormat="1" x14ac:dyDescent="0.25"/>
    <row r="110282" s="12" customFormat="1" x14ac:dyDescent="0.25"/>
    <row r="110283" s="12" customFormat="1" x14ac:dyDescent="0.25"/>
    <row r="110284" s="12" customFormat="1" x14ac:dyDescent="0.25"/>
    <row r="110285" s="12" customFormat="1" x14ac:dyDescent="0.25"/>
    <row r="110286" s="12" customFormat="1" x14ac:dyDescent="0.25"/>
    <row r="110287" s="12" customFormat="1" x14ac:dyDescent="0.25"/>
    <row r="110288" s="12" customFormat="1" x14ac:dyDescent="0.25"/>
    <row r="110289" s="12" customFormat="1" x14ac:dyDescent="0.25"/>
    <row r="110290" s="12" customFormat="1" x14ac:dyDescent="0.25"/>
    <row r="110291" s="12" customFormat="1" x14ac:dyDescent="0.25"/>
    <row r="110292" s="12" customFormat="1" x14ac:dyDescent="0.25"/>
    <row r="110293" s="12" customFormat="1" x14ac:dyDescent="0.25"/>
    <row r="110294" s="12" customFormat="1" x14ac:dyDescent="0.25"/>
    <row r="110295" s="12" customFormat="1" x14ac:dyDescent="0.25"/>
    <row r="110296" s="12" customFormat="1" x14ac:dyDescent="0.25"/>
    <row r="110297" s="12" customFormat="1" x14ac:dyDescent="0.25"/>
    <row r="110298" s="12" customFormat="1" x14ac:dyDescent="0.25"/>
    <row r="110299" s="12" customFormat="1" x14ac:dyDescent="0.25"/>
    <row r="110300" s="12" customFormat="1" x14ac:dyDescent="0.25"/>
    <row r="110301" s="12" customFormat="1" x14ac:dyDescent="0.25"/>
    <row r="110302" s="12" customFormat="1" x14ac:dyDescent="0.25"/>
    <row r="110303" s="12" customFormat="1" x14ac:dyDescent="0.25"/>
    <row r="110304" s="12" customFormat="1" x14ac:dyDescent="0.25"/>
    <row r="110305" s="12" customFormat="1" x14ac:dyDescent="0.25"/>
    <row r="110306" s="12" customFormat="1" x14ac:dyDescent="0.25"/>
    <row r="110307" s="12" customFormat="1" x14ac:dyDescent="0.25"/>
    <row r="110308" s="12" customFormat="1" x14ac:dyDescent="0.25"/>
    <row r="110309" s="12" customFormat="1" x14ac:dyDescent="0.25"/>
    <row r="110310" s="12" customFormat="1" x14ac:dyDescent="0.25"/>
    <row r="110311" s="12" customFormat="1" x14ac:dyDescent="0.25"/>
    <row r="110312" s="12" customFormat="1" x14ac:dyDescent="0.25"/>
    <row r="110313" s="12" customFormat="1" x14ac:dyDescent="0.25"/>
    <row r="110314" s="12" customFormat="1" x14ac:dyDescent="0.25"/>
    <row r="110315" s="12" customFormat="1" x14ac:dyDescent="0.25"/>
    <row r="110316" s="12" customFormat="1" x14ac:dyDescent="0.25"/>
    <row r="110317" s="12" customFormat="1" x14ac:dyDescent="0.25"/>
    <row r="110318" s="12" customFormat="1" x14ac:dyDescent="0.25"/>
    <row r="110319" s="12" customFormat="1" x14ac:dyDescent="0.25"/>
    <row r="110320" s="12" customFormat="1" x14ac:dyDescent="0.25"/>
    <row r="110321" s="12" customFormat="1" x14ac:dyDescent="0.25"/>
    <row r="110322" s="12" customFormat="1" x14ac:dyDescent="0.25"/>
    <row r="110323" s="12" customFormat="1" x14ac:dyDescent="0.25"/>
    <row r="110324" s="12" customFormat="1" x14ac:dyDescent="0.25"/>
    <row r="110325" s="12" customFormat="1" x14ac:dyDescent="0.25"/>
    <row r="110326" s="12" customFormat="1" x14ac:dyDescent="0.25"/>
    <row r="110327" s="12" customFormat="1" x14ac:dyDescent="0.25"/>
    <row r="110328" s="12" customFormat="1" x14ac:dyDescent="0.25"/>
    <row r="110329" s="12" customFormat="1" x14ac:dyDescent="0.25"/>
    <row r="110330" s="12" customFormat="1" x14ac:dyDescent="0.25"/>
    <row r="110331" s="12" customFormat="1" x14ac:dyDescent="0.25"/>
    <row r="110332" s="12" customFormat="1" x14ac:dyDescent="0.25"/>
    <row r="110333" s="12" customFormat="1" x14ac:dyDescent="0.25"/>
    <row r="110334" s="12" customFormat="1" x14ac:dyDescent="0.25"/>
    <row r="110335" s="12" customFormat="1" x14ac:dyDescent="0.25"/>
    <row r="110336" s="12" customFormat="1" x14ac:dyDescent="0.25"/>
    <row r="110337" s="12" customFormat="1" x14ac:dyDescent="0.25"/>
    <row r="110338" s="12" customFormat="1" x14ac:dyDescent="0.25"/>
    <row r="110339" s="12" customFormat="1" x14ac:dyDescent="0.25"/>
    <row r="110340" s="12" customFormat="1" x14ac:dyDescent="0.25"/>
    <row r="110341" s="12" customFormat="1" x14ac:dyDescent="0.25"/>
    <row r="110342" s="12" customFormat="1" x14ac:dyDescent="0.25"/>
    <row r="110343" s="12" customFormat="1" x14ac:dyDescent="0.25"/>
    <row r="110344" s="12" customFormat="1" x14ac:dyDescent="0.25"/>
    <row r="110345" s="12" customFormat="1" x14ac:dyDescent="0.25"/>
    <row r="110346" s="12" customFormat="1" x14ac:dyDescent="0.25"/>
    <row r="110347" s="12" customFormat="1" x14ac:dyDescent="0.25"/>
    <row r="110348" s="12" customFormat="1" x14ac:dyDescent="0.25"/>
    <row r="110349" s="12" customFormat="1" x14ac:dyDescent="0.25"/>
    <row r="110350" s="12" customFormat="1" x14ac:dyDescent="0.25"/>
    <row r="110351" s="12" customFormat="1" x14ac:dyDescent="0.25"/>
    <row r="110352" s="12" customFormat="1" x14ac:dyDescent="0.25"/>
    <row r="110353" s="12" customFormat="1" x14ac:dyDescent="0.25"/>
    <row r="110354" s="12" customFormat="1" x14ac:dyDescent="0.25"/>
    <row r="110355" s="12" customFormat="1" x14ac:dyDescent="0.25"/>
    <row r="110356" s="12" customFormat="1" x14ac:dyDescent="0.25"/>
    <row r="110357" s="12" customFormat="1" x14ac:dyDescent="0.25"/>
    <row r="110358" s="12" customFormat="1" x14ac:dyDescent="0.25"/>
    <row r="110359" s="12" customFormat="1" x14ac:dyDescent="0.25"/>
    <row r="110360" s="12" customFormat="1" x14ac:dyDescent="0.25"/>
    <row r="110361" s="12" customFormat="1" x14ac:dyDescent="0.25"/>
    <row r="110362" s="12" customFormat="1" x14ac:dyDescent="0.25"/>
    <row r="110363" s="12" customFormat="1" x14ac:dyDescent="0.25"/>
    <row r="110364" s="12" customFormat="1" x14ac:dyDescent="0.25"/>
    <row r="110365" s="12" customFormat="1" x14ac:dyDescent="0.25"/>
    <row r="110366" s="12" customFormat="1" x14ac:dyDescent="0.25"/>
    <row r="110367" s="12" customFormat="1" x14ac:dyDescent="0.25"/>
    <row r="110368" s="12" customFormat="1" x14ac:dyDescent="0.25"/>
    <row r="110369" s="12" customFormat="1" x14ac:dyDescent="0.25"/>
    <row r="110370" s="12" customFormat="1" x14ac:dyDescent="0.25"/>
    <row r="110371" s="12" customFormat="1" x14ac:dyDescent="0.25"/>
    <row r="110372" s="12" customFormat="1" x14ac:dyDescent="0.25"/>
    <row r="110373" s="12" customFormat="1" x14ac:dyDescent="0.25"/>
    <row r="110374" s="12" customFormat="1" x14ac:dyDescent="0.25"/>
    <row r="110375" s="12" customFormat="1" x14ac:dyDescent="0.25"/>
    <row r="110376" s="12" customFormat="1" x14ac:dyDescent="0.25"/>
    <row r="110377" s="12" customFormat="1" x14ac:dyDescent="0.25"/>
    <row r="110378" s="12" customFormat="1" x14ac:dyDescent="0.25"/>
    <row r="110379" s="12" customFormat="1" x14ac:dyDescent="0.25"/>
    <row r="110380" s="12" customFormat="1" x14ac:dyDescent="0.25"/>
    <row r="110381" s="12" customFormat="1" x14ac:dyDescent="0.25"/>
    <row r="110382" s="12" customFormat="1" x14ac:dyDescent="0.25"/>
    <row r="110383" s="12" customFormat="1" x14ac:dyDescent="0.25"/>
    <row r="110384" s="12" customFormat="1" x14ac:dyDescent="0.25"/>
    <row r="110385" s="12" customFormat="1" x14ac:dyDescent="0.25"/>
    <row r="110386" s="12" customFormat="1" x14ac:dyDescent="0.25"/>
    <row r="110387" s="12" customFormat="1" x14ac:dyDescent="0.25"/>
    <row r="110388" s="12" customFormat="1" x14ac:dyDescent="0.25"/>
    <row r="110389" s="12" customFormat="1" x14ac:dyDescent="0.25"/>
    <row r="110390" s="12" customFormat="1" x14ac:dyDescent="0.25"/>
    <row r="110391" s="12" customFormat="1" x14ac:dyDescent="0.25"/>
    <row r="110392" s="12" customFormat="1" x14ac:dyDescent="0.25"/>
    <row r="110393" s="12" customFormat="1" x14ac:dyDescent="0.25"/>
    <row r="110394" s="12" customFormat="1" x14ac:dyDescent="0.25"/>
    <row r="110395" s="12" customFormat="1" x14ac:dyDescent="0.25"/>
    <row r="110396" s="12" customFormat="1" x14ac:dyDescent="0.25"/>
    <row r="110397" s="12" customFormat="1" x14ac:dyDescent="0.25"/>
    <row r="110398" s="12" customFormat="1" x14ac:dyDescent="0.25"/>
    <row r="110399" s="12" customFormat="1" x14ac:dyDescent="0.25"/>
    <row r="110400" s="12" customFormat="1" x14ac:dyDescent="0.25"/>
    <row r="110401" s="12" customFormat="1" x14ac:dyDescent="0.25"/>
    <row r="110402" s="12" customFormat="1" x14ac:dyDescent="0.25"/>
    <row r="110403" s="12" customFormat="1" x14ac:dyDescent="0.25"/>
    <row r="110404" s="12" customFormat="1" x14ac:dyDescent="0.25"/>
    <row r="110405" s="12" customFormat="1" x14ac:dyDescent="0.25"/>
    <row r="110406" s="12" customFormat="1" x14ac:dyDescent="0.25"/>
    <row r="110407" s="12" customFormat="1" x14ac:dyDescent="0.25"/>
    <row r="110408" s="12" customFormat="1" x14ac:dyDescent="0.25"/>
    <row r="110409" s="12" customFormat="1" x14ac:dyDescent="0.25"/>
    <row r="110410" s="12" customFormat="1" x14ac:dyDescent="0.25"/>
    <row r="110411" s="12" customFormat="1" x14ac:dyDescent="0.25"/>
    <row r="110412" s="12" customFormat="1" x14ac:dyDescent="0.25"/>
    <row r="110413" s="12" customFormat="1" x14ac:dyDescent="0.25"/>
    <row r="110414" s="12" customFormat="1" x14ac:dyDescent="0.25"/>
    <row r="110415" s="12" customFormat="1" x14ac:dyDescent="0.25"/>
    <row r="110416" s="12" customFormat="1" x14ac:dyDescent="0.25"/>
    <row r="110417" s="12" customFormat="1" x14ac:dyDescent="0.25"/>
    <row r="110418" s="12" customFormat="1" x14ac:dyDescent="0.25"/>
    <row r="110419" s="12" customFormat="1" x14ac:dyDescent="0.25"/>
    <row r="110420" s="12" customFormat="1" x14ac:dyDescent="0.25"/>
    <row r="110421" s="12" customFormat="1" x14ac:dyDescent="0.25"/>
    <row r="110422" s="12" customFormat="1" x14ac:dyDescent="0.25"/>
    <row r="110423" s="12" customFormat="1" x14ac:dyDescent="0.25"/>
    <row r="110424" s="12" customFormat="1" x14ac:dyDescent="0.25"/>
    <row r="110425" s="12" customFormat="1" x14ac:dyDescent="0.25"/>
    <row r="110426" s="12" customFormat="1" x14ac:dyDescent="0.25"/>
    <row r="110427" s="12" customFormat="1" x14ac:dyDescent="0.25"/>
    <row r="110428" s="12" customFormat="1" x14ac:dyDescent="0.25"/>
    <row r="110429" s="12" customFormat="1" x14ac:dyDescent="0.25"/>
    <row r="110430" s="12" customFormat="1" x14ac:dyDescent="0.25"/>
    <row r="110431" s="12" customFormat="1" x14ac:dyDescent="0.25"/>
    <row r="110432" s="12" customFormat="1" x14ac:dyDescent="0.25"/>
    <row r="110433" s="12" customFormat="1" x14ac:dyDescent="0.25"/>
    <row r="110434" s="12" customFormat="1" x14ac:dyDescent="0.25"/>
    <row r="110435" s="12" customFormat="1" x14ac:dyDescent="0.25"/>
    <row r="110436" s="12" customFormat="1" x14ac:dyDescent="0.25"/>
    <row r="110437" s="12" customFormat="1" x14ac:dyDescent="0.25"/>
    <row r="110438" s="12" customFormat="1" x14ac:dyDescent="0.25"/>
    <row r="110439" s="12" customFormat="1" x14ac:dyDescent="0.25"/>
    <row r="110440" s="12" customFormat="1" x14ac:dyDescent="0.25"/>
    <row r="110441" s="12" customFormat="1" x14ac:dyDescent="0.25"/>
    <row r="110442" s="12" customFormat="1" x14ac:dyDescent="0.25"/>
    <row r="110443" s="12" customFormat="1" x14ac:dyDescent="0.25"/>
    <row r="110444" s="12" customFormat="1" x14ac:dyDescent="0.25"/>
    <row r="110445" s="12" customFormat="1" x14ac:dyDescent="0.25"/>
    <row r="110446" s="12" customFormat="1" x14ac:dyDescent="0.25"/>
    <row r="110447" s="12" customFormat="1" x14ac:dyDescent="0.25"/>
    <row r="110448" s="12" customFormat="1" x14ac:dyDescent="0.25"/>
    <row r="110449" s="12" customFormat="1" x14ac:dyDescent="0.25"/>
    <row r="110450" s="12" customFormat="1" x14ac:dyDescent="0.25"/>
    <row r="110451" s="12" customFormat="1" x14ac:dyDescent="0.25"/>
    <row r="110452" s="12" customFormat="1" x14ac:dyDescent="0.25"/>
    <row r="110453" s="12" customFormat="1" x14ac:dyDescent="0.25"/>
    <row r="110454" s="12" customFormat="1" x14ac:dyDescent="0.25"/>
    <row r="110455" s="12" customFormat="1" x14ac:dyDescent="0.25"/>
    <row r="110456" s="12" customFormat="1" x14ac:dyDescent="0.25"/>
    <row r="110457" s="12" customFormat="1" x14ac:dyDescent="0.25"/>
    <row r="110458" s="12" customFormat="1" x14ac:dyDescent="0.25"/>
    <row r="110459" s="12" customFormat="1" x14ac:dyDescent="0.25"/>
    <row r="110460" s="12" customFormat="1" x14ac:dyDescent="0.25"/>
    <row r="110461" s="12" customFormat="1" x14ac:dyDescent="0.25"/>
    <row r="110462" s="12" customFormat="1" x14ac:dyDescent="0.25"/>
    <row r="110463" s="12" customFormat="1" x14ac:dyDescent="0.25"/>
    <row r="110464" s="12" customFormat="1" x14ac:dyDescent="0.25"/>
    <row r="110465" s="12" customFormat="1" x14ac:dyDescent="0.25"/>
    <row r="110466" s="12" customFormat="1" x14ac:dyDescent="0.25"/>
    <row r="110467" s="12" customFormat="1" x14ac:dyDescent="0.25"/>
    <row r="110468" s="12" customFormat="1" x14ac:dyDescent="0.25"/>
    <row r="110469" s="12" customFormat="1" x14ac:dyDescent="0.25"/>
    <row r="110470" s="12" customFormat="1" x14ac:dyDescent="0.25"/>
    <row r="110471" s="12" customFormat="1" x14ac:dyDescent="0.25"/>
    <row r="110472" s="12" customFormat="1" x14ac:dyDescent="0.25"/>
    <row r="110473" s="12" customFormat="1" x14ac:dyDescent="0.25"/>
    <row r="110474" s="12" customFormat="1" x14ac:dyDescent="0.25"/>
    <row r="110475" s="12" customFormat="1" x14ac:dyDescent="0.25"/>
    <row r="110476" s="12" customFormat="1" x14ac:dyDescent="0.25"/>
    <row r="110477" s="12" customFormat="1" x14ac:dyDescent="0.25"/>
    <row r="110478" s="12" customFormat="1" x14ac:dyDescent="0.25"/>
    <row r="110479" s="12" customFormat="1" x14ac:dyDescent="0.25"/>
    <row r="110480" s="12" customFormat="1" x14ac:dyDescent="0.25"/>
    <row r="110481" s="12" customFormat="1" x14ac:dyDescent="0.25"/>
    <row r="110482" s="12" customFormat="1" x14ac:dyDescent="0.25"/>
    <row r="110483" s="12" customFormat="1" x14ac:dyDescent="0.25"/>
    <row r="110484" s="12" customFormat="1" x14ac:dyDescent="0.25"/>
    <row r="110485" s="12" customFormat="1" x14ac:dyDescent="0.25"/>
    <row r="110486" s="12" customFormat="1" x14ac:dyDescent="0.25"/>
    <row r="110487" s="12" customFormat="1" x14ac:dyDescent="0.25"/>
    <row r="110488" s="12" customFormat="1" x14ac:dyDescent="0.25"/>
    <row r="110489" s="12" customFormat="1" x14ac:dyDescent="0.25"/>
    <row r="110490" s="12" customFormat="1" x14ac:dyDescent="0.25"/>
    <row r="110491" s="12" customFormat="1" x14ac:dyDescent="0.25"/>
    <row r="110492" s="12" customFormat="1" x14ac:dyDescent="0.25"/>
    <row r="110493" s="12" customFormat="1" x14ac:dyDescent="0.25"/>
    <row r="110494" s="12" customFormat="1" x14ac:dyDescent="0.25"/>
    <row r="110495" s="12" customFormat="1" x14ac:dyDescent="0.25"/>
    <row r="110496" s="12" customFormat="1" x14ac:dyDescent="0.25"/>
    <row r="110497" s="12" customFormat="1" x14ac:dyDescent="0.25"/>
    <row r="110498" s="12" customFormat="1" x14ac:dyDescent="0.25"/>
    <row r="110499" s="12" customFormat="1" x14ac:dyDescent="0.25"/>
    <row r="110500" s="12" customFormat="1" x14ac:dyDescent="0.25"/>
    <row r="110501" s="12" customFormat="1" x14ac:dyDescent="0.25"/>
    <row r="110502" s="12" customFormat="1" x14ac:dyDescent="0.25"/>
    <row r="110503" s="12" customFormat="1" x14ac:dyDescent="0.25"/>
    <row r="110504" s="12" customFormat="1" x14ac:dyDescent="0.25"/>
    <row r="110505" s="12" customFormat="1" x14ac:dyDescent="0.25"/>
    <row r="110506" s="12" customFormat="1" x14ac:dyDescent="0.25"/>
    <row r="110507" s="12" customFormat="1" x14ac:dyDescent="0.25"/>
    <row r="110508" s="12" customFormat="1" x14ac:dyDescent="0.25"/>
    <row r="110509" s="12" customFormat="1" x14ac:dyDescent="0.25"/>
    <row r="110510" s="12" customFormat="1" x14ac:dyDescent="0.25"/>
    <row r="110511" s="12" customFormat="1" x14ac:dyDescent="0.25"/>
    <row r="110512" s="12" customFormat="1" x14ac:dyDescent="0.25"/>
    <row r="110513" s="12" customFormat="1" x14ac:dyDescent="0.25"/>
    <row r="110514" s="12" customFormat="1" x14ac:dyDescent="0.25"/>
    <row r="110515" s="12" customFormat="1" x14ac:dyDescent="0.25"/>
    <row r="110516" s="12" customFormat="1" x14ac:dyDescent="0.25"/>
    <row r="110517" s="12" customFormat="1" x14ac:dyDescent="0.25"/>
    <row r="110518" s="12" customFormat="1" x14ac:dyDescent="0.25"/>
    <row r="110519" s="12" customFormat="1" x14ac:dyDescent="0.25"/>
    <row r="110520" s="12" customFormat="1" x14ac:dyDescent="0.25"/>
    <row r="110521" s="12" customFormat="1" x14ac:dyDescent="0.25"/>
    <row r="110522" s="12" customFormat="1" x14ac:dyDescent="0.25"/>
    <row r="110523" s="12" customFormat="1" x14ac:dyDescent="0.25"/>
    <row r="110524" s="12" customFormat="1" x14ac:dyDescent="0.25"/>
    <row r="110525" s="12" customFormat="1" x14ac:dyDescent="0.25"/>
    <row r="110526" s="12" customFormat="1" x14ac:dyDescent="0.25"/>
    <row r="110527" s="12" customFormat="1" x14ac:dyDescent="0.25"/>
    <row r="110528" s="12" customFormat="1" x14ac:dyDescent="0.25"/>
    <row r="110529" s="12" customFormat="1" x14ac:dyDescent="0.25"/>
    <row r="110530" s="12" customFormat="1" x14ac:dyDescent="0.25"/>
    <row r="110531" s="12" customFormat="1" x14ac:dyDescent="0.25"/>
    <row r="110532" s="12" customFormat="1" x14ac:dyDescent="0.25"/>
    <row r="110533" s="12" customFormat="1" x14ac:dyDescent="0.25"/>
    <row r="110534" s="12" customFormat="1" x14ac:dyDescent="0.25"/>
    <row r="110535" s="12" customFormat="1" x14ac:dyDescent="0.25"/>
    <row r="110536" s="12" customFormat="1" x14ac:dyDescent="0.25"/>
    <row r="110537" s="12" customFormat="1" x14ac:dyDescent="0.25"/>
    <row r="110538" s="12" customFormat="1" x14ac:dyDescent="0.25"/>
    <row r="110539" s="12" customFormat="1" x14ac:dyDescent="0.25"/>
    <row r="110540" s="12" customFormat="1" x14ac:dyDescent="0.25"/>
    <row r="110541" s="12" customFormat="1" x14ac:dyDescent="0.25"/>
    <row r="110542" s="12" customFormat="1" x14ac:dyDescent="0.25"/>
    <row r="110543" s="12" customFormat="1" x14ac:dyDescent="0.25"/>
    <row r="110544" s="12" customFormat="1" x14ac:dyDescent="0.25"/>
    <row r="110545" s="12" customFormat="1" x14ac:dyDescent="0.25"/>
    <row r="110546" s="12" customFormat="1" x14ac:dyDescent="0.25"/>
    <row r="110547" s="12" customFormat="1" x14ac:dyDescent="0.25"/>
    <row r="110548" s="12" customFormat="1" x14ac:dyDescent="0.25"/>
    <row r="110549" s="12" customFormat="1" x14ac:dyDescent="0.25"/>
    <row r="110550" s="12" customFormat="1" x14ac:dyDescent="0.25"/>
    <row r="110551" s="12" customFormat="1" x14ac:dyDescent="0.25"/>
    <row r="110552" s="12" customFormat="1" x14ac:dyDescent="0.25"/>
    <row r="110553" s="12" customFormat="1" x14ac:dyDescent="0.25"/>
    <row r="110554" s="12" customFormat="1" x14ac:dyDescent="0.25"/>
    <row r="110555" s="12" customFormat="1" x14ac:dyDescent="0.25"/>
    <row r="110556" s="12" customFormat="1" x14ac:dyDescent="0.25"/>
    <row r="110557" s="12" customFormat="1" x14ac:dyDescent="0.25"/>
    <row r="110558" s="12" customFormat="1" x14ac:dyDescent="0.25"/>
    <row r="110559" s="12" customFormat="1" x14ac:dyDescent="0.25"/>
    <row r="110560" s="12" customFormat="1" x14ac:dyDescent="0.25"/>
    <row r="110561" s="12" customFormat="1" x14ac:dyDescent="0.25"/>
    <row r="110562" s="12" customFormat="1" x14ac:dyDescent="0.25"/>
    <row r="110563" s="12" customFormat="1" x14ac:dyDescent="0.25"/>
    <row r="110564" s="12" customFormat="1" x14ac:dyDescent="0.25"/>
    <row r="110565" s="12" customFormat="1" x14ac:dyDescent="0.25"/>
    <row r="110566" s="12" customFormat="1" x14ac:dyDescent="0.25"/>
    <row r="110567" s="12" customFormat="1" x14ac:dyDescent="0.25"/>
    <row r="110568" s="12" customFormat="1" x14ac:dyDescent="0.25"/>
    <row r="110569" s="12" customFormat="1" x14ac:dyDescent="0.25"/>
    <row r="110570" s="12" customFormat="1" x14ac:dyDescent="0.25"/>
    <row r="110571" s="12" customFormat="1" x14ac:dyDescent="0.25"/>
    <row r="110572" s="12" customFormat="1" x14ac:dyDescent="0.25"/>
    <row r="110573" s="12" customFormat="1" x14ac:dyDescent="0.25"/>
    <row r="110574" s="12" customFormat="1" x14ac:dyDescent="0.25"/>
    <row r="110575" s="12" customFormat="1" x14ac:dyDescent="0.25"/>
    <row r="110576" s="12" customFormat="1" x14ac:dyDescent="0.25"/>
    <row r="110577" s="12" customFormat="1" x14ac:dyDescent="0.25"/>
    <row r="110578" s="12" customFormat="1" x14ac:dyDescent="0.25"/>
    <row r="110579" s="12" customFormat="1" x14ac:dyDescent="0.25"/>
    <row r="110580" s="12" customFormat="1" x14ac:dyDescent="0.25"/>
    <row r="110581" s="12" customFormat="1" x14ac:dyDescent="0.25"/>
    <row r="110582" s="12" customFormat="1" x14ac:dyDescent="0.25"/>
    <row r="110583" s="12" customFormat="1" x14ac:dyDescent="0.25"/>
    <row r="110584" s="12" customFormat="1" x14ac:dyDescent="0.25"/>
    <row r="110585" s="12" customFormat="1" x14ac:dyDescent="0.25"/>
    <row r="110586" s="12" customFormat="1" x14ac:dyDescent="0.25"/>
    <row r="110587" s="12" customFormat="1" x14ac:dyDescent="0.25"/>
    <row r="110588" s="12" customFormat="1" x14ac:dyDescent="0.25"/>
    <row r="110589" s="12" customFormat="1" x14ac:dyDescent="0.25"/>
    <row r="110590" s="12" customFormat="1" x14ac:dyDescent="0.25"/>
    <row r="110591" s="12" customFormat="1" x14ac:dyDescent="0.25"/>
    <row r="110592" s="12" customFormat="1" x14ac:dyDescent="0.25"/>
    <row r="110593" s="12" customFormat="1" x14ac:dyDescent="0.25"/>
    <row r="110594" s="12" customFormat="1" x14ac:dyDescent="0.25"/>
    <row r="110595" s="12" customFormat="1" x14ac:dyDescent="0.25"/>
    <row r="110596" s="12" customFormat="1" x14ac:dyDescent="0.25"/>
    <row r="110597" s="12" customFormat="1" x14ac:dyDescent="0.25"/>
    <row r="110598" s="12" customFormat="1" x14ac:dyDescent="0.25"/>
    <row r="110599" s="12" customFormat="1" x14ac:dyDescent="0.25"/>
    <row r="110600" s="12" customFormat="1" x14ac:dyDescent="0.25"/>
    <row r="110601" s="12" customFormat="1" x14ac:dyDescent="0.25"/>
    <row r="110602" s="12" customFormat="1" x14ac:dyDescent="0.25"/>
    <row r="110603" s="12" customFormat="1" x14ac:dyDescent="0.25"/>
    <row r="110604" s="12" customFormat="1" x14ac:dyDescent="0.25"/>
    <row r="110605" s="12" customFormat="1" x14ac:dyDescent="0.25"/>
    <row r="110606" s="12" customFormat="1" x14ac:dyDescent="0.25"/>
    <row r="110607" s="12" customFormat="1" x14ac:dyDescent="0.25"/>
    <row r="110608" s="12" customFormat="1" x14ac:dyDescent="0.25"/>
    <row r="110609" s="12" customFormat="1" x14ac:dyDescent="0.25"/>
    <row r="110610" s="12" customFormat="1" x14ac:dyDescent="0.25"/>
    <row r="110611" s="12" customFormat="1" x14ac:dyDescent="0.25"/>
    <row r="110612" s="12" customFormat="1" x14ac:dyDescent="0.25"/>
    <row r="110613" s="12" customFormat="1" x14ac:dyDescent="0.25"/>
    <row r="110614" s="12" customFormat="1" x14ac:dyDescent="0.25"/>
    <row r="110615" s="12" customFormat="1" x14ac:dyDescent="0.25"/>
    <row r="110616" s="12" customFormat="1" x14ac:dyDescent="0.25"/>
    <row r="110617" s="12" customFormat="1" x14ac:dyDescent="0.25"/>
    <row r="110618" s="12" customFormat="1" x14ac:dyDescent="0.25"/>
    <row r="110619" s="12" customFormat="1" x14ac:dyDescent="0.25"/>
    <row r="110620" s="12" customFormat="1" x14ac:dyDescent="0.25"/>
    <row r="110621" s="12" customFormat="1" x14ac:dyDescent="0.25"/>
    <row r="110622" s="12" customFormat="1" x14ac:dyDescent="0.25"/>
    <row r="110623" s="12" customFormat="1" x14ac:dyDescent="0.25"/>
    <row r="110624" s="12" customFormat="1" x14ac:dyDescent="0.25"/>
    <row r="110625" s="12" customFormat="1" x14ac:dyDescent="0.25"/>
    <row r="110626" s="12" customFormat="1" x14ac:dyDescent="0.25"/>
    <row r="110627" s="12" customFormat="1" x14ac:dyDescent="0.25"/>
    <row r="110628" s="12" customFormat="1" x14ac:dyDescent="0.25"/>
    <row r="110629" s="12" customFormat="1" x14ac:dyDescent="0.25"/>
    <row r="110630" s="12" customFormat="1" x14ac:dyDescent="0.25"/>
    <row r="110631" s="12" customFormat="1" x14ac:dyDescent="0.25"/>
    <row r="110632" s="12" customFormat="1" x14ac:dyDescent="0.25"/>
    <row r="110633" s="12" customFormat="1" x14ac:dyDescent="0.25"/>
    <row r="110634" s="12" customFormat="1" x14ac:dyDescent="0.25"/>
    <row r="110635" s="12" customFormat="1" x14ac:dyDescent="0.25"/>
    <row r="110636" s="12" customFormat="1" x14ac:dyDescent="0.25"/>
    <row r="110637" s="12" customFormat="1" x14ac:dyDescent="0.25"/>
    <row r="110638" s="12" customFormat="1" x14ac:dyDescent="0.25"/>
    <row r="110639" s="12" customFormat="1" x14ac:dyDescent="0.25"/>
    <row r="110640" s="12" customFormat="1" x14ac:dyDescent="0.25"/>
    <row r="110641" s="12" customFormat="1" x14ac:dyDescent="0.25"/>
    <row r="110642" s="12" customFormat="1" x14ac:dyDescent="0.25"/>
    <row r="110643" s="12" customFormat="1" x14ac:dyDescent="0.25"/>
    <row r="110644" s="12" customFormat="1" x14ac:dyDescent="0.25"/>
    <row r="110645" s="12" customFormat="1" x14ac:dyDescent="0.25"/>
    <row r="110646" s="12" customFormat="1" x14ac:dyDescent="0.25"/>
    <row r="110647" s="12" customFormat="1" x14ac:dyDescent="0.25"/>
    <row r="110648" s="12" customFormat="1" x14ac:dyDescent="0.25"/>
    <row r="110649" s="12" customFormat="1" x14ac:dyDescent="0.25"/>
    <row r="110650" s="12" customFormat="1" x14ac:dyDescent="0.25"/>
    <row r="110651" s="12" customFormat="1" x14ac:dyDescent="0.25"/>
    <row r="110652" s="12" customFormat="1" x14ac:dyDescent="0.25"/>
    <row r="110653" s="12" customFormat="1" x14ac:dyDescent="0.25"/>
    <row r="110654" s="12" customFormat="1" x14ac:dyDescent="0.25"/>
    <row r="110655" s="12" customFormat="1" x14ac:dyDescent="0.25"/>
    <row r="110656" s="12" customFormat="1" x14ac:dyDescent="0.25"/>
    <row r="110657" s="12" customFormat="1" x14ac:dyDescent="0.25"/>
    <row r="110658" s="12" customFormat="1" x14ac:dyDescent="0.25"/>
    <row r="110659" s="12" customFormat="1" x14ac:dyDescent="0.25"/>
    <row r="110660" s="12" customFormat="1" x14ac:dyDescent="0.25"/>
    <row r="110661" s="12" customFormat="1" x14ac:dyDescent="0.25"/>
    <row r="110662" s="12" customFormat="1" x14ac:dyDescent="0.25"/>
    <row r="110663" s="12" customFormat="1" x14ac:dyDescent="0.25"/>
    <row r="110664" s="12" customFormat="1" x14ac:dyDescent="0.25"/>
    <row r="110665" s="12" customFormat="1" x14ac:dyDescent="0.25"/>
    <row r="110666" s="12" customFormat="1" x14ac:dyDescent="0.25"/>
    <row r="110667" s="12" customFormat="1" x14ac:dyDescent="0.25"/>
    <row r="110668" s="12" customFormat="1" x14ac:dyDescent="0.25"/>
    <row r="110669" s="12" customFormat="1" x14ac:dyDescent="0.25"/>
    <row r="110670" s="12" customFormat="1" x14ac:dyDescent="0.25"/>
    <row r="110671" s="12" customFormat="1" x14ac:dyDescent="0.25"/>
    <row r="110672" s="12" customFormat="1" x14ac:dyDescent="0.25"/>
    <row r="110673" s="12" customFormat="1" x14ac:dyDescent="0.25"/>
    <row r="110674" s="12" customFormat="1" x14ac:dyDescent="0.25"/>
    <row r="110675" s="12" customFormat="1" x14ac:dyDescent="0.25"/>
    <row r="110676" s="12" customFormat="1" x14ac:dyDescent="0.25"/>
    <row r="110677" s="12" customFormat="1" x14ac:dyDescent="0.25"/>
    <row r="110678" s="12" customFormat="1" x14ac:dyDescent="0.25"/>
    <row r="110679" s="12" customFormat="1" x14ac:dyDescent="0.25"/>
    <row r="110680" s="12" customFormat="1" x14ac:dyDescent="0.25"/>
    <row r="110681" s="12" customFormat="1" x14ac:dyDescent="0.25"/>
    <row r="110682" s="12" customFormat="1" x14ac:dyDescent="0.25"/>
    <row r="110683" s="12" customFormat="1" x14ac:dyDescent="0.25"/>
    <row r="110684" s="12" customFormat="1" x14ac:dyDescent="0.25"/>
    <row r="110685" s="12" customFormat="1" x14ac:dyDescent="0.25"/>
    <row r="110686" s="12" customFormat="1" x14ac:dyDescent="0.25"/>
    <row r="110687" s="12" customFormat="1" x14ac:dyDescent="0.25"/>
    <row r="110688" s="12" customFormat="1" x14ac:dyDescent="0.25"/>
    <row r="110689" s="12" customFormat="1" x14ac:dyDescent="0.25"/>
    <row r="110690" s="12" customFormat="1" x14ac:dyDescent="0.25"/>
    <row r="110691" s="12" customFormat="1" x14ac:dyDescent="0.25"/>
    <row r="110692" s="12" customFormat="1" x14ac:dyDescent="0.25"/>
    <row r="110693" s="12" customFormat="1" x14ac:dyDescent="0.25"/>
    <row r="110694" s="12" customFormat="1" x14ac:dyDescent="0.25"/>
    <row r="110695" s="12" customFormat="1" x14ac:dyDescent="0.25"/>
    <row r="110696" s="12" customFormat="1" x14ac:dyDescent="0.25"/>
    <row r="110697" s="12" customFormat="1" x14ac:dyDescent="0.25"/>
    <row r="110698" s="12" customFormat="1" x14ac:dyDescent="0.25"/>
    <row r="110699" s="12" customFormat="1" x14ac:dyDescent="0.25"/>
    <row r="110700" s="12" customFormat="1" x14ac:dyDescent="0.25"/>
    <row r="110701" s="12" customFormat="1" x14ac:dyDescent="0.25"/>
    <row r="110702" s="12" customFormat="1" x14ac:dyDescent="0.25"/>
    <row r="110703" s="12" customFormat="1" x14ac:dyDescent="0.25"/>
    <row r="110704" s="12" customFormat="1" x14ac:dyDescent="0.25"/>
    <row r="110705" s="12" customFormat="1" x14ac:dyDescent="0.25"/>
    <row r="110706" s="12" customFormat="1" x14ac:dyDescent="0.25"/>
    <row r="110707" s="12" customFormat="1" x14ac:dyDescent="0.25"/>
    <row r="110708" s="12" customFormat="1" x14ac:dyDescent="0.25"/>
    <row r="110709" s="12" customFormat="1" x14ac:dyDescent="0.25"/>
    <row r="110710" s="12" customFormat="1" x14ac:dyDescent="0.25"/>
    <row r="110711" s="12" customFormat="1" x14ac:dyDescent="0.25"/>
    <row r="110712" s="12" customFormat="1" x14ac:dyDescent="0.25"/>
    <row r="110713" s="12" customFormat="1" x14ac:dyDescent="0.25"/>
    <row r="110714" s="12" customFormat="1" x14ac:dyDescent="0.25"/>
    <row r="110715" s="12" customFormat="1" x14ac:dyDescent="0.25"/>
    <row r="110716" s="12" customFormat="1" x14ac:dyDescent="0.25"/>
    <row r="110717" s="12" customFormat="1" x14ac:dyDescent="0.25"/>
    <row r="110718" s="12" customFormat="1" x14ac:dyDescent="0.25"/>
    <row r="110719" s="12" customFormat="1" x14ac:dyDescent="0.25"/>
    <row r="110720" s="12" customFormat="1" x14ac:dyDescent="0.25"/>
    <row r="110721" s="12" customFormat="1" x14ac:dyDescent="0.25"/>
    <row r="110722" s="12" customFormat="1" x14ac:dyDescent="0.25"/>
    <row r="110723" s="12" customFormat="1" x14ac:dyDescent="0.25"/>
    <row r="110724" s="12" customFormat="1" x14ac:dyDescent="0.25"/>
    <row r="110725" s="12" customFormat="1" x14ac:dyDescent="0.25"/>
    <row r="110726" s="12" customFormat="1" x14ac:dyDescent="0.25"/>
    <row r="110727" s="12" customFormat="1" x14ac:dyDescent="0.25"/>
    <row r="110728" s="12" customFormat="1" x14ac:dyDescent="0.25"/>
    <row r="110729" s="12" customFormat="1" x14ac:dyDescent="0.25"/>
    <row r="110730" s="12" customFormat="1" x14ac:dyDescent="0.25"/>
    <row r="110731" s="12" customFormat="1" x14ac:dyDescent="0.25"/>
    <row r="110732" s="12" customFormat="1" x14ac:dyDescent="0.25"/>
    <row r="110733" s="12" customFormat="1" x14ac:dyDescent="0.25"/>
    <row r="110734" s="12" customFormat="1" x14ac:dyDescent="0.25"/>
    <row r="110735" s="12" customFormat="1" x14ac:dyDescent="0.25"/>
    <row r="110736" s="12" customFormat="1" x14ac:dyDescent="0.25"/>
    <row r="110737" s="12" customFormat="1" x14ac:dyDescent="0.25"/>
    <row r="110738" s="12" customFormat="1" x14ac:dyDescent="0.25"/>
    <row r="110739" s="12" customFormat="1" x14ac:dyDescent="0.25"/>
    <row r="110740" s="12" customFormat="1" x14ac:dyDescent="0.25"/>
    <row r="110741" s="12" customFormat="1" x14ac:dyDescent="0.25"/>
    <row r="110742" s="12" customFormat="1" x14ac:dyDescent="0.25"/>
    <row r="110743" s="12" customFormat="1" x14ac:dyDescent="0.25"/>
    <row r="110744" s="12" customFormat="1" x14ac:dyDescent="0.25"/>
    <row r="110745" s="12" customFormat="1" x14ac:dyDescent="0.25"/>
    <row r="110746" s="12" customFormat="1" x14ac:dyDescent="0.25"/>
    <row r="110747" s="12" customFormat="1" x14ac:dyDescent="0.25"/>
    <row r="110748" s="12" customFormat="1" x14ac:dyDescent="0.25"/>
    <row r="110749" s="12" customFormat="1" x14ac:dyDescent="0.25"/>
    <row r="110750" s="12" customFormat="1" x14ac:dyDescent="0.25"/>
    <row r="110751" s="12" customFormat="1" x14ac:dyDescent="0.25"/>
    <row r="110752" s="12" customFormat="1" x14ac:dyDescent="0.25"/>
    <row r="110753" s="12" customFormat="1" x14ac:dyDescent="0.25"/>
    <row r="110754" s="12" customFormat="1" x14ac:dyDescent="0.25"/>
    <row r="110755" s="12" customFormat="1" x14ac:dyDescent="0.25"/>
    <row r="110756" s="12" customFormat="1" x14ac:dyDescent="0.25"/>
    <row r="110757" s="12" customFormat="1" x14ac:dyDescent="0.25"/>
    <row r="110758" s="12" customFormat="1" x14ac:dyDescent="0.25"/>
    <row r="110759" s="12" customFormat="1" x14ac:dyDescent="0.25"/>
    <row r="110760" s="12" customFormat="1" x14ac:dyDescent="0.25"/>
    <row r="110761" s="12" customFormat="1" x14ac:dyDescent="0.25"/>
    <row r="110762" s="12" customFormat="1" x14ac:dyDescent="0.25"/>
    <row r="110763" s="12" customFormat="1" x14ac:dyDescent="0.25"/>
    <row r="110764" s="12" customFormat="1" x14ac:dyDescent="0.25"/>
    <row r="110765" s="12" customFormat="1" x14ac:dyDescent="0.25"/>
    <row r="110766" s="12" customFormat="1" x14ac:dyDescent="0.25"/>
    <row r="110767" s="12" customFormat="1" x14ac:dyDescent="0.25"/>
    <row r="110768" s="12" customFormat="1" x14ac:dyDescent="0.25"/>
    <row r="110769" s="12" customFormat="1" x14ac:dyDescent="0.25"/>
    <row r="110770" s="12" customFormat="1" x14ac:dyDescent="0.25"/>
    <row r="110771" s="12" customFormat="1" x14ac:dyDescent="0.25"/>
    <row r="110772" s="12" customFormat="1" x14ac:dyDescent="0.25"/>
    <row r="110773" s="12" customFormat="1" x14ac:dyDescent="0.25"/>
    <row r="110774" s="12" customFormat="1" x14ac:dyDescent="0.25"/>
    <row r="110775" s="12" customFormat="1" x14ac:dyDescent="0.25"/>
    <row r="110776" s="12" customFormat="1" x14ac:dyDescent="0.25"/>
    <row r="110777" s="12" customFormat="1" x14ac:dyDescent="0.25"/>
    <row r="110778" s="12" customFormat="1" x14ac:dyDescent="0.25"/>
    <row r="110779" s="12" customFormat="1" x14ac:dyDescent="0.25"/>
    <row r="110780" s="12" customFormat="1" x14ac:dyDescent="0.25"/>
    <row r="110781" s="12" customFormat="1" x14ac:dyDescent="0.25"/>
    <row r="110782" s="12" customFormat="1" x14ac:dyDescent="0.25"/>
    <row r="110783" s="12" customFormat="1" x14ac:dyDescent="0.25"/>
    <row r="110784" s="12" customFormat="1" x14ac:dyDescent="0.25"/>
    <row r="110785" s="12" customFormat="1" x14ac:dyDescent="0.25"/>
    <row r="110786" s="12" customFormat="1" x14ac:dyDescent="0.25"/>
    <row r="110787" s="12" customFormat="1" x14ac:dyDescent="0.25"/>
    <row r="110788" s="12" customFormat="1" x14ac:dyDescent="0.25"/>
    <row r="110789" s="12" customFormat="1" x14ac:dyDescent="0.25"/>
    <row r="110790" s="12" customFormat="1" x14ac:dyDescent="0.25"/>
    <row r="110791" s="12" customFormat="1" x14ac:dyDescent="0.25"/>
    <row r="110792" s="12" customFormat="1" x14ac:dyDescent="0.25"/>
    <row r="110793" s="12" customFormat="1" x14ac:dyDescent="0.25"/>
    <row r="110794" s="12" customFormat="1" x14ac:dyDescent="0.25"/>
    <row r="110795" s="12" customFormat="1" x14ac:dyDescent="0.25"/>
    <row r="110796" s="12" customFormat="1" x14ac:dyDescent="0.25"/>
    <row r="110797" s="12" customFormat="1" x14ac:dyDescent="0.25"/>
    <row r="110798" s="12" customFormat="1" x14ac:dyDescent="0.25"/>
    <row r="110799" s="12" customFormat="1" x14ac:dyDescent="0.25"/>
    <row r="110800" s="12" customFormat="1" x14ac:dyDescent="0.25"/>
    <row r="110801" s="12" customFormat="1" x14ac:dyDescent="0.25"/>
    <row r="110802" s="12" customFormat="1" x14ac:dyDescent="0.25"/>
    <row r="110803" s="12" customFormat="1" x14ac:dyDescent="0.25"/>
    <row r="110804" s="12" customFormat="1" x14ac:dyDescent="0.25"/>
    <row r="110805" s="12" customFormat="1" x14ac:dyDescent="0.25"/>
    <row r="110806" s="12" customFormat="1" x14ac:dyDescent="0.25"/>
    <row r="110807" s="12" customFormat="1" x14ac:dyDescent="0.25"/>
    <row r="110808" s="12" customFormat="1" x14ac:dyDescent="0.25"/>
    <row r="110809" s="12" customFormat="1" x14ac:dyDescent="0.25"/>
    <row r="110810" s="12" customFormat="1" x14ac:dyDescent="0.25"/>
    <row r="110811" s="12" customFormat="1" x14ac:dyDescent="0.25"/>
    <row r="110812" s="12" customFormat="1" x14ac:dyDescent="0.25"/>
    <row r="110813" s="12" customFormat="1" x14ac:dyDescent="0.25"/>
    <row r="110814" s="12" customFormat="1" x14ac:dyDescent="0.25"/>
    <row r="110815" s="12" customFormat="1" x14ac:dyDescent="0.25"/>
    <row r="110816" s="12" customFormat="1" x14ac:dyDescent="0.25"/>
    <row r="110817" s="12" customFormat="1" x14ac:dyDescent="0.25"/>
    <row r="110818" s="12" customFormat="1" x14ac:dyDescent="0.25"/>
    <row r="110819" s="12" customFormat="1" x14ac:dyDescent="0.25"/>
    <row r="110820" s="12" customFormat="1" x14ac:dyDescent="0.25"/>
    <row r="110821" s="12" customFormat="1" x14ac:dyDescent="0.25"/>
    <row r="110822" s="12" customFormat="1" x14ac:dyDescent="0.25"/>
    <row r="110823" s="12" customFormat="1" x14ac:dyDescent="0.25"/>
    <row r="110824" s="12" customFormat="1" x14ac:dyDescent="0.25"/>
    <row r="110825" s="12" customFormat="1" x14ac:dyDescent="0.25"/>
    <row r="110826" s="12" customFormat="1" x14ac:dyDescent="0.25"/>
    <row r="110827" s="12" customFormat="1" x14ac:dyDescent="0.25"/>
    <row r="110828" s="12" customFormat="1" x14ac:dyDescent="0.25"/>
    <row r="110829" s="12" customFormat="1" x14ac:dyDescent="0.25"/>
    <row r="110830" s="12" customFormat="1" x14ac:dyDescent="0.25"/>
    <row r="110831" s="12" customFormat="1" x14ac:dyDescent="0.25"/>
    <row r="110832" s="12" customFormat="1" x14ac:dyDescent="0.25"/>
    <row r="110833" s="12" customFormat="1" x14ac:dyDescent="0.25"/>
    <row r="110834" s="12" customFormat="1" x14ac:dyDescent="0.25"/>
    <row r="110835" s="12" customFormat="1" x14ac:dyDescent="0.25"/>
    <row r="110836" s="12" customFormat="1" x14ac:dyDescent="0.25"/>
    <row r="110837" s="12" customFormat="1" x14ac:dyDescent="0.25"/>
    <row r="110838" s="12" customFormat="1" x14ac:dyDescent="0.25"/>
    <row r="110839" s="12" customFormat="1" x14ac:dyDescent="0.25"/>
    <row r="110840" s="12" customFormat="1" x14ac:dyDescent="0.25"/>
    <row r="110841" s="12" customFormat="1" x14ac:dyDescent="0.25"/>
    <row r="110842" s="12" customFormat="1" x14ac:dyDescent="0.25"/>
    <row r="110843" s="12" customFormat="1" x14ac:dyDescent="0.25"/>
    <row r="110844" s="12" customFormat="1" x14ac:dyDescent="0.25"/>
    <row r="110845" s="12" customFormat="1" x14ac:dyDescent="0.25"/>
    <row r="110846" s="12" customFormat="1" x14ac:dyDescent="0.25"/>
    <row r="110847" s="12" customFormat="1" x14ac:dyDescent="0.25"/>
    <row r="110848" s="12" customFormat="1" x14ac:dyDescent="0.25"/>
    <row r="110849" s="12" customFormat="1" x14ac:dyDescent="0.25"/>
    <row r="110850" s="12" customFormat="1" x14ac:dyDescent="0.25"/>
    <row r="110851" s="12" customFormat="1" x14ac:dyDescent="0.25"/>
    <row r="110852" s="12" customFormat="1" x14ac:dyDescent="0.25"/>
    <row r="110853" s="12" customFormat="1" x14ac:dyDescent="0.25"/>
    <row r="110854" s="12" customFormat="1" x14ac:dyDescent="0.25"/>
    <row r="110855" s="12" customFormat="1" x14ac:dyDescent="0.25"/>
    <row r="110856" s="12" customFormat="1" x14ac:dyDescent="0.25"/>
    <row r="110857" s="12" customFormat="1" x14ac:dyDescent="0.25"/>
    <row r="110858" s="12" customFormat="1" x14ac:dyDescent="0.25"/>
    <row r="110859" s="12" customFormat="1" x14ac:dyDescent="0.25"/>
    <row r="110860" s="12" customFormat="1" x14ac:dyDescent="0.25"/>
    <row r="110861" s="12" customFormat="1" x14ac:dyDescent="0.25"/>
    <row r="110862" s="12" customFormat="1" x14ac:dyDescent="0.25"/>
    <row r="110863" s="12" customFormat="1" x14ac:dyDescent="0.25"/>
    <row r="110864" s="12" customFormat="1" x14ac:dyDescent="0.25"/>
    <row r="110865" s="12" customFormat="1" x14ac:dyDescent="0.25"/>
    <row r="110866" s="12" customFormat="1" x14ac:dyDescent="0.25"/>
    <row r="110867" s="12" customFormat="1" x14ac:dyDescent="0.25"/>
    <row r="110868" s="12" customFormat="1" x14ac:dyDescent="0.25"/>
    <row r="110869" s="12" customFormat="1" x14ac:dyDescent="0.25"/>
    <row r="110870" s="12" customFormat="1" x14ac:dyDescent="0.25"/>
    <row r="110871" s="12" customFormat="1" x14ac:dyDescent="0.25"/>
    <row r="110872" s="12" customFormat="1" x14ac:dyDescent="0.25"/>
    <row r="110873" s="12" customFormat="1" x14ac:dyDescent="0.25"/>
    <row r="110874" s="12" customFormat="1" x14ac:dyDescent="0.25"/>
    <row r="110875" s="12" customFormat="1" x14ac:dyDescent="0.25"/>
    <row r="110876" s="12" customFormat="1" x14ac:dyDescent="0.25"/>
    <row r="110877" s="12" customFormat="1" x14ac:dyDescent="0.25"/>
    <row r="110878" s="12" customFormat="1" x14ac:dyDescent="0.25"/>
    <row r="110879" s="12" customFormat="1" x14ac:dyDescent="0.25"/>
    <row r="110880" s="12" customFormat="1" x14ac:dyDescent="0.25"/>
    <row r="110881" s="12" customFormat="1" x14ac:dyDescent="0.25"/>
    <row r="110882" s="12" customFormat="1" x14ac:dyDescent="0.25"/>
    <row r="110883" s="12" customFormat="1" x14ac:dyDescent="0.25"/>
    <row r="110884" s="12" customFormat="1" x14ac:dyDescent="0.25"/>
    <row r="110885" s="12" customFormat="1" x14ac:dyDescent="0.25"/>
    <row r="110886" s="12" customFormat="1" x14ac:dyDescent="0.25"/>
    <row r="110887" s="12" customFormat="1" x14ac:dyDescent="0.25"/>
    <row r="110888" s="12" customFormat="1" x14ac:dyDescent="0.25"/>
    <row r="110889" s="12" customFormat="1" x14ac:dyDescent="0.25"/>
    <row r="110890" s="12" customFormat="1" x14ac:dyDescent="0.25"/>
    <row r="110891" s="12" customFormat="1" x14ac:dyDescent="0.25"/>
    <row r="110892" s="12" customFormat="1" x14ac:dyDescent="0.25"/>
    <row r="110893" s="12" customFormat="1" x14ac:dyDescent="0.25"/>
    <row r="110894" s="12" customFormat="1" x14ac:dyDescent="0.25"/>
    <row r="110895" s="12" customFormat="1" x14ac:dyDescent="0.25"/>
    <row r="110896" s="12" customFormat="1" x14ac:dyDescent="0.25"/>
    <row r="110897" s="12" customFormat="1" x14ac:dyDescent="0.25"/>
    <row r="110898" s="12" customFormat="1" x14ac:dyDescent="0.25"/>
    <row r="110899" s="12" customFormat="1" x14ac:dyDescent="0.25"/>
    <row r="110900" s="12" customFormat="1" x14ac:dyDescent="0.25"/>
    <row r="110901" s="12" customFormat="1" x14ac:dyDescent="0.25"/>
    <row r="110902" s="12" customFormat="1" x14ac:dyDescent="0.25"/>
    <row r="110903" s="12" customFormat="1" x14ac:dyDescent="0.25"/>
    <row r="110904" s="12" customFormat="1" x14ac:dyDescent="0.25"/>
    <row r="110905" s="12" customFormat="1" x14ac:dyDescent="0.25"/>
    <row r="110906" s="12" customFormat="1" x14ac:dyDescent="0.25"/>
    <row r="110907" s="12" customFormat="1" x14ac:dyDescent="0.25"/>
    <row r="110908" s="12" customFormat="1" x14ac:dyDescent="0.25"/>
    <row r="110909" s="12" customFormat="1" x14ac:dyDescent="0.25"/>
    <row r="110910" s="12" customFormat="1" x14ac:dyDescent="0.25"/>
    <row r="110911" s="12" customFormat="1" x14ac:dyDescent="0.25"/>
    <row r="110912" s="12" customFormat="1" x14ac:dyDescent="0.25"/>
    <row r="110913" s="12" customFormat="1" x14ac:dyDescent="0.25"/>
    <row r="110914" s="12" customFormat="1" x14ac:dyDescent="0.25"/>
    <row r="110915" s="12" customFormat="1" x14ac:dyDescent="0.25"/>
    <row r="110916" s="12" customFormat="1" x14ac:dyDescent="0.25"/>
    <row r="110917" s="12" customFormat="1" x14ac:dyDescent="0.25"/>
    <row r="110918" s="12" customFormat="1" x14ac:dyDescent="0.25"/>
    <row r="110919" s="12" customFormat="1" x14ac:dyDescent="0.25"/>
    <row r="110920" s="12" customFormat="1" x14ac:dyDescent="0.25"/>
    <row r="110921" s="12" customFormat="1" x14ac:dyDescent="0.25"/>
    <row r="110922" s="12" customFormat="1" x14ac:dyDescent="0.25"/>
    <row r="110923" s="12" customFormat="1" x14ac:dyDescent="0.25"/>
    <row r="110924" s="12" customFormat="1" x14ac:dyDescent="0.25"/>
    <row r="110925" s="12" customFormat="1" x14ac:dyDescent="0.25"/>
    <row r="110926" s="12" customFormat="1" x14ac:dyDescent="0.25"/>
    <row r="110927" s="12" customFormat="1" x14ac:dyDescent="0.25"/>
    <row r="110928" s="12" customFormat="1" x14ac:dyDescent="0.25"/>
    <row r="110929" s="12" customFormat="1" x14ac:dyDescent="0.25"/>
    <row r="110930" s="12" customFormat="1" x14ac:dyDescent="0.25"/>
    <row r="110931" s="12" customFormat="1" x14ac:dyDescent="0.25"/>
    <row r="110932" s="12" customFormat="1" x14ac:dyDescent="0.25"/>
    <row r="110933" s="12" customFormat="1" x14ac:dyDescent="0.25"/>
    <row r="110934" s="12" customFormat="1" x14ac:dyDescent="0.25"/>
    <row r="110935" s="12" customFormat="1" x14ac:dyDescent="0.25"/>
    <row r="110936" s="12" customFormat="1" x14ac:dyDescent="0.25"/>
    <row r="110937" s="12" customFormat="1" x14ac:dyDescent="0.25"/>
    <row r="110938" s="12" customFormat="1" x14ac:dyDescent="0.25"/>
    <row r="110939" s="12" customFormat="1" x14ac:dyDescent="0.25"/>
    <row r="110940" s="12" customFormat="1" x14ac:dyDescent="0.25"/>
    <row r="110941" s="12" customFormat="1" x14ac:dyDescent="0.25"/>
    <row r="110942" s="12" customFormat="1" x14ac:dyDescent="0.25"/>
    <row r="110943" s="12" customFormat="1" x14ac:dyDescent="0.25"/>
    <row r="110944" s="12" customFormat="1" x14ac:dyDescent="0.25"/>
    <row r="110945" s="12" customFormat="1" x14ac:dyDescent="0.25"/>
    <row r="110946" s="12" customFormat="1" x14ac:dyDescent="0.25"/>
    <row r="110947" s="12" customFormat="1" x14ac:dyDescent="0.25"/>
    <row r="110948" s="12" customFormat="1" x14ac:dyDescent="0.25"/>
    <row r="110949" s="12" customFormat="1" x14ac:dyDescent="0.25"/>
    <row r="110950" s="12" customFormat="1" x14ac:dyDescent="0.25"/>
    <row r="110951" s="12" customFormat="1" x14ac:dyDescent="0.25"/>
    <row r="110952" s="12" customFormat="1" x14ac:dyDescent="0.25"/>
    <row r="110953" s="12" customFormat="1" x14ac:dyDescent="0.25"/>
    <row r="110954" s="12" customFormat="1" x14ac:dyDescent="0.25"/>
    <row r="110955" s="12" customFormat="1" x14ac:dyDescent="0.25"/>
    <row r="110956" s="12" customFormat="1" x14ac:dyDescent="0.25"/>
    <row r="110957" s="12" customFormat="1" x14ac:dyDescent="0.25"/>
    <row r="110958" s="12" customFormat="1" x14ac:dyDescent="0.25"/>
    <row r="110959" s="12" customFormat="1" x14ac:dyDescent="0.25"/>
    <row r="110960" s="12" customFormat="1" x14ac:dyDescent="0.25"/>
    <row r="110961" s="12" customFormat="1" x14ac:dyDescent="0.25"/>
    <row r="110962" s="12" customFormat="1" x14ac:dyDescent="0.25"/>
    <row r="110963" s="12" customFormat="1" x14ac:dyDescent="0.25"/>
    <row r="110964" s="12" customFormat="1" x14ac:dyDescent="0.25"/>
    <row r="110965" s="12" customFormat="1" x14ac:dyDescent="0.25"/>
    <row r="110966" s="12" customFormat="1" x14ac:dyDescent="0.25"/>
    <row r="110967" s="12" customFormat="1" x14ac:dyDescent="0.25"/>
    <row r="110968" s="12" customFormat="1" x14ac:dyDescent="0.25"/>
    <row r="110969" s="12" customFormat="1" x14ac:dyDescent="0.25"/>
    <row r="110970" s="12" customFormat="1" x14ac:dyDescent="0.25"/>
    <row r="110971" s="12" customFormat="1" x14ac:dyDescent="0.25"/>
    <row r="110972" s="12" customFormat="1" x14ac:dyDescent="0.25"/>
    <row r="110973" s="12" customFormat="1" x14ac:dyDescent="0.25"/>
    <row r="110974" s="12" customFormat="1" x14ac:dyDescent="0.25"/>
    <row r="110975" s="12" customFormat="1" x14ac:dyDescent="0.25"/>
    <row r="110976" s="12" customFormat="1" x14ac:dyDescent="0.25"/>
    <row r="110977" s="12" customFormat="1" x14ac:dyDescent="0.25"/>
    <row r="110978" s="12" customFormat="1" x14ac:dyDescent="0.25"/>
    <row r="110979" s="12" customFormat="1" x14ac:dyDescent="0.25"/>
    <row r="110980" s="12" customFormat="1" x14ac:dyDescent="0.25"/>
    <row r="110981" s="12" customFormat="1" x14ac:dyDescent="0.25"/>
    <row r="110982" s="12" customFormat="1" x14ac:dyDescent="0.25"/>
    <row r="110983" s="12" customFormat="1" x14ac:dyDescent="0.25"/>
    <row r="110984" s="12" customFormat="1" x14ac:dyDescent="0.25"/>
    <row r="110985" s="12" customFormat="1" x14ac:dyDescent="0.25"/>
    <row r="110986" s="12" customFormat="1" x14ac:dyDescent="0.25"/>
    <row r="110987" s="12" customFormat="1" x14ac:dyDescent="0.25"/>
    <row r="110988" s="12" customFormat="1" x14ac:dyDescent="0.25"/>
    <row r="110989" s="12" customFormat="1" x14ac:dyDescent="0.25"/>
    <row r="110990" s="12" customFormat="1" x14ac:dyDescent="0.25"/>
    <row r="110991" s="12" customFormat="1" x14ac:dyDescent="0.25"/>
    <row r="110992" s="12" customFormat="1" x14ac:dyDescent="0.25"/>
    <row r="110993" s="12" customFormat="1" x14ac:dyDescent="0.25"/>
    <row r="110994" s="12" customFormat="1" x14ac:dyDescent="0.25"/>
    <row r="110995" s="12" customFormat="1" x14ac:dyDescent="0.25"/>
    <row r="110996" s="12" customFormat="1" x14ac:dyDescent="0.25"/>
    <row r="110997" s="12" customFormat="1" x14ac:dyDescent="0.25"/>
    <row r="110998" s="12" customFormat="1" x14ac:dyDescent="0.25"/>
    <row r="110999" s="12" customFormat="1" x14ac:dyDescent="0.25"/>
    <row r="111000" s="12" customFormat="1" x14ac:dyDescent="0.25"/>
    <row r="111001" s="12" customFormat="1" x14ac:dyDescent="0.25"/>
    <row r="111002" s="12" customFormat="1" x14ac:dyDescent="0.25"/>
    <row r="111003" s="12" customFormat="1" x14ac:dyDescent="0.25"/>
    <row r="111004" s="12" customFormat="1" x14ac:dyDescent="0.25"/>
    <row r="111005" s="12" customFormat="1" x14ac:dyDescent="0.25"/>
    <row r="111006" s="12" customFormat="1" x14ac:dyDescent="0.25"/>
    <row r="111007" s="12" customFormat="1" x14ac:dyDescent="0.25"/>
    <row r="111008" s="12" customFormat="1" x14ac:dyDescent="0.25"/>
    <row r="111009" s="12" customFormat="1" x14ac:dyDescent="0.25"/>
    <row r="111010" s="12" customFormat="1" x14ac:dyDescent="0.25"/>
    <row r="111011" s="12" customFormat="1" x14ac:dyDescent="0.25"/>
    <row r="111012" s="12" customFormat="1" x14ac:dyDescent="0.25"/>
    <row r="111013" s="12" customFormat="1" x14ac:dyDescent="0.25"/>
    <row r="111014" s="12" customFormat="1" x14ac:dyDescent="0.25"/>
    <row r="111015" s="12" customFormat="1" x14ac:dyDescent="0.25"/>
    <row r="111016" s="12" customFormat="1" x14ac:dyDescent="0.25"/>
    <row r="111017" s="12" customFormat="1" x14ac:dyDescent="0.25"/>
    <row r="111018" s="12" customFormat="1" x14ac:dyDescent="0.25"/>
    <row r="111019" s="12" customFormat="1" x14ac:dyDescent="0.25"/>
    <row r="111020" s="12" customFormat="1" x14ac:dyDescent="0.25"/>
    <row r="111021" s="12" customFormat="1" x14ac:dyDescent="0.25"/>
    <row r="111022" s="12" customFormat="1" x14ac:dyDescent="0.25"/>
    <row r="111023" s="12" customFormat="1" x14ac:dyDescent="0.25"/>
    <row r="111024" s="12" customFormat="1" x14ac:dyDescent="0.25"/>
    <row r="111025" s="12" customFormat="1" x14ac:dyDescent="0.25"/>
    <row r="111026" s="12" customFormat="1" x14ac:dyDescent="0.25"/>
    <row r="111027" s="12" customFormat="1" x14ac:dyDescent="0.25"/>
    <row r="111028" s="12" customFormat="1" x14ac:dyDescent="0.25"/>
    <row r="111029" s="12" customFormat="1" x14ac:dyDescent="0.25"/>
    <row r="111030" s="12" customFormat="1" x14ac:dyDescent="0.25"/>
    <row r="111031" s="12" customFormat="1" x14ac:dyDescent="0.25"/>
    <row r="111032" s="12" customFormat="1" x14ac:dyDescent="0.25"/>
    <row r="111033" s="12" customFormat="1" x14ac:dyDescent="0.25"/>
    <row r="111034" s="12" customFormat="1" x14ac:dyDescent="0.25"/>
    <row r="111035" s="12" customFormat="1" x14ac:dyDescent="0.25"/>
    <row r="111036" s="12" customFormat="1" x14ac:dyDescent="0.25"/>
    <row r="111037" s="12" customFormat="1" x14ac:dyDescent="0.25"/>
    <row r="111038" s="12" customFormat="1" x14ac:dyDescent="0.25"/>
    <row r="111039" s="12" customFormat="1" x14ac:dyDescent="0.25"/>
    <row r="111040" s="12" customFormat="1" x14ac:dyDescent="0.25"/>
    <row r="111041" s="12" customFormat="1" x14ac:dyDescent="0.25"/>
    <row r="111042" s="12" customFormat="1" x14ac:dyDescent="0.25"/>
    <row r="111043" s="12" customFormat="1" x14ac:dyDescent="0.25"/>
    <row r="111044" s="12" customFormat="1" x14ac:dyDescent="0.25"/>
    <row r="111045" s="12" customFormat="1" x14ac:dyDescent="0.25"/>
    <row r="111046" s="12" customFormat="1" x14ac:dyDescent="0.25"/>
    <row r="111047" s="12" customFormat="1" x14ac:dyDescent="0.25"/>
    <row r="111048" s="12" customFormat="1" x14ac:dyDescent="0.25"/>
    <row r="111049" s="12" customFormat="1" x14ac:dyDescent="0.25"/>
    <row r="111050" s="12" customFormat="1" x14ac:dyDescent="0.25"/>
    <row r="111051" s="12" customFormat="1" x14ac:dyDescent="0.25"/>
    <row r="111052" s="12" customFormat="1" x14ac:dyDescent="0.25"/>
    <row r="111053" s="12" customFormat="1" x14ac:dyDescent="0.25"/>
    <row r="111054" s="12" customFormat="1" x14ac:dyDescent="0.25"/>
    <row r="111055" s="12" customFormat="1" x14ac:dyDescent="0.25"/>
    <row r="111056" s="12" customFormat="1" x14ac:dyDescent="0.25"/>
    <row r="111057" s="12" customFormat="1" x14ac:dyDescent="0.25"/>
    <row r="111058" s="12" customFormat="1" x14ac:dyDescent="0.25"/>
    <row r="111059" s="12" customFormat="1" x14ac:dyDescent="0.25"/>
    <row r="111060" s="12" customFormat="1" x14ac:dyDescent="0.25"/>
    <row r="111061" s="12" customFormat="1" x14ac:dyDescent="0.25"/>
    <row r="111062" s="12" customFormat="1" x14ac:dyDescent="0.25"/>
    <row r="111063" s="12" customFormat="1" x14ac:dyDescent="0.25"/>
    <row r="111064" s="12" customFormat="1" x14ac:dyDescent="0.25"/>
    <row r="111065" s="12" customFormat="1" x14ac:dyDescent="0.25"/>
    <row r="111066" s="12" customFormat="1" x14ac:dyDescent="0.25"/>
    <row r="111067" s="12" customFormat="1" x14ac:dyDescent="0.25"/>
    <row r="111068" s="12" customFormat="1" x14ac:dyDescent="0.25"/>
    <row r="111069" s="12" customFormat="1" x14ac:dyDescent="0.25"/>
    <row r="111070" s="12" customFormat="1" x14ac:dyDescent="0.25"/>
    <row r="111071" s="12" customFormat="1" x14ac:dyDescent="0.25"/>
    <row r="111072" s="12" customFormat="1" x14ac:dyDescent="0.25"/>
    <row r="111073" s="12" customFormat="1" x14ac:dyDescent="0.25"/>
    <row r="111074" s="12" customFormat="1" x14ac:dyDescent="0.25"/>
    <row r="111075" s="12" customFormat="1" x14ac:dyDescent="0.25"/>
    <row r="111076" s="12" customFormat="1" x14ac:dyDescent="0.25"/>
    <row r="111077" s="12" customFormat="1" x14ac:dyDescent="0.25"/>
    <row r="111078" s="12" customFormat="1" x14ac:dyDescent="0.25"/>
    <row r="111079" s="12" customFormat="1" x14ac:dyDescent="0.25"/>
    <row r="111080" s="12" customFormat="1" x14ac:dyDescent="0.25"/>
    <row r="111081" s="12" customFormat="1" x14ac:dyDescent="0.25"/>
    <row r="111082" s="12" customFormat="1" x14ac:dyDescent="0.25"/>
    <row r="111083" s="12" customFormat="1" x14ac:dyDescent="0.25"/>
    <row r="111084" s="12" customFormat="1" x14ac:dyDescent="0.25"/>
    <row r="111085" s="12" customFormat="1" x14ac:dyDescent="0.25"/>
    <row r="111086" s="12" customFormat="1" x14ac:dyDescent="0.25"/>
    <row r="111087" s="12" customFormat="1" x14ac:dyDescent="0.25"/>
    <row r="111088" s="12" customFormat="1" x14ac:dyDescent="0.25"/>
    <row r="111089" s="12" customFormat="1" x14ac:dyDescent="0.25"/>
    <row r="111090" s="12" customFormat="1" x14ac:dyDescent="0.25"/>
    <row r="111091" s="12" customFormat="1" x14ac:dyDescent="0.25"/>
    <row r="111092" s="12" customFormat="1" x14ac:dyDescent="0.25"/>
    <row r="111093" s="12" customFormat="1" x14ac:dyDescent="0.25"/>
    <row r="111094" s="12" customFormat="1" x14ac:dyDescent="0.25"/>
    <row r="111095" s="12" customFormat="1" x14ac:dyDescent="0.25"/>
    <row r="111096" s="12" customFormat="1" x14ac:dyDescent="0.25"/>
    <row r="111097" s="12" customFormat="1" x14ac:dyDescent="0.25"/>
    <row r="111098" s="12" customFormat="1" x14ac:dyDescent="0.25"/>
    <row r="111099" s="12" customFormat="1" x14ac:dyDescent="0.25"/>
    <row r="111100" s="12" customFormat="1" x14ac:dyDescent="0.25"/>
    <row r="111101" s="12" customFormat="1" x14ac:dyDescent="0.25"/>
    <row r="111102" s="12" customFormat="1" x14ac:dyDescent="0.25"/>
    <row r="111103" s="12" customFormat="1" x14ac:dyDescent="0.25"/>
    <row r="111104" s="12" customFormat="1" x14ac:dyDescent="0.25"/>
    <row r="111105" s="12" customFormat="1" x14ac:dyDescent="0.25"/>
    <row r="111106" s="12" customFormat="1" x14ac:dyDescent="0.25"/>
    <row r="111107" s="12" customFormat="1" x14ac:dyDescent="0.25"/>
    <row r="111108" s="12" customFormat="1" x14ac:dyDescent="0.25"/>
    <row r="111109" s="12" customFormat="1" x14ac:dyDescent="0.25"/>
    <row r="111110" s="12" customFormat="1" x14ac:dyDescent="0.25"/>
    <row r="111111" s="12" customFormat="1" x14ac:dyDescent="0.25"/>
    <row r="111112" s="12" customFormat="1" x14ac:dyDescent="0.25"/>
    <row r="111113" s="12" customFormat="1" x14ac:dyDescent="0.25"/>
    <row r="111114" s="12" customFormat="1" x14ac:dyDescent="0.25"/>
    <row r="111115" s="12" customFormat="1" x14ac:dyDescent="0.25"/>
    <row r="111116" s="12" customFormat="1" x14ac:dyDescent="0.25"/>
    <row r="111117" s="12" customFormat="1" x14ac:dyDescent="0.25"/>
    <row r="111118" s="12" customFormat="1" x14ac:dyDescent="0.25"/>
    <row r="111119" s="12" customFormat="1" x14ac:dyDescent="0.25"/>
    <row r="111120" s="12" customFormat="1" x14ac:dyDescent="0.25"/>
    <row r="111121" s="12" customFormat="1" x14ac:dyDescent="0.25"/>
    <row r="111122" s="12" customFormat="1" x14ac:dyDescent="0.25"/>
    <row r="111123" s="12" customFormat="1" x14ac:dyDescent="0.25"/>
    <row r="111124" s="12" customFormat="1" x14ac:dyDescent="0.25"/>
    <row r="111125" s="12" customFormat="1" x14ac:dyDescent="0.25"/>
    <row r="111126" s="12" customFormat="1" x14ac:dyDescent="0.25"/>
    <row r="111127" s="12" customFormat="1" x14ac:dyDescent="0.25"/>
    <row r="111128" s="12" customFormat="1" x14ac:dyDescent="0.25"/>
    <row r="111129" s="12" customFormat="1" x14ac:dyDescent="0.25"/>
    <row r="111130" s="12" customFormat="1" x14ac:dyDescent="0.25"/>
    <row r="111131" s="12" customFormat="1" x14ac:dyDescent="0.25"/>
    <row r="111132" s="12" customFormat="1" x14ac:dyDescent="0.25"/>
    <row r="111133" s="12" customFormat="1" x14ac:dyDescent="0.25"/>
    <row r="111134" s="12" customFormat="1" x14ac:dyDescent="0.25"/>
    <row r="111135" s="12" customFormat="1" x14ac:dyDescent="0.25"/>
    <row r="111136" s="12" customFormat="1" x14ac:dyDescent="0.25"/>
    <row r="111137" s="12" customFormat="1" x14ac:dyDescent="0.25"/>
    <row r="111138" s="12" customFormat="1" x14ac:dyDescent="0.25"/>
    <row r="111139" s="12" customFormat="1" x14ac:dyDescent="0.25"/>
    <row r="111140" s="12" customFormat="1" x14ac:dyDescent="0.25"/>
    <row r="111141" s="12" customFormat="1" x14ac:dyDescent="0.25"/>
    <row r="111142" s="12" customFormat="1" x14ac:dyDescent="0.25"/>
    <row r="111143" s="12" customFormat="1" x14ac:dyDescent="0.25"/>
    <row r="111144" s="12" customFormat="1" x14ac:dyDescent="0.25"/>
    <row r="111145" s="12" customFormat="1" x14ac:dyDescent="0.25"/>
    <row r="111146" s="12" customFormat="1" x14ac:dyDescent="0.25"/>
    <row r="111147" s="12" customFormat="1" x14ac:dyDescent="0.25"/>
    <row r="111148" s="12" customFormat="1" x14ac:dyDescent="0.25"/>
    <row r="111149" s="12" customFormat="1" x14ac:dyDescent="0.25"/>
    <row r="111150" s="12" customFormat="1" x14ac:dyDescent="0.25"/>
    <row r="111151" s="12" customFormat="1" x14ac:dyDescent="0.25"/>
    <row r="111152" s="12" customFormat="1" x14ac:dyDescent="0.25"/>
    <row r="111153" s="12" customFormat="1" x14ac:dyDescent="0.25"/>
    <row r="111154" s="12" customFormat="1" x14ac:dyDescent="0.25"/>
    <row r="111155" s="12" customFormat="1" x14ac:dyDescent="0.25"/>
    <row r="111156" s="12" customFormat="1" x14ac:dyDescent="0.25"/>
    <row r="111157" s="12" customFormat="1" x14ac:dyDescent="0.25"/>
    <row r="111158" s="12" customFormat="1" x14ac:dyDescent="0.25"/>
    <row r="111159" s="12" customFormat="1" x14ac:dyDescent="0.25"/>
    <row r="111160" s="12" customFormat="1" x14ac:dyDescent="0.25"/>
    <row r="111161" s="12" customFormat="1" x14ac:dyDescent="0.25"/>
    <row r="111162" s="12" customFormat="1" x14ac:dyDescent="0.25"/>
    <row r="111163" s="12" customFormat="1" x14ac:dyDescent="0.25"/>
    <row r="111164" s="12" customFormat="1" x14ac:dyDescent="0.25"/>
    <row r="111165" s="12" customFormat="1" x14ac:dyDescent="0.25"/>
    <row r="111166" s="12" customFormat="1" x14ac:dyDescent="0.25"/>
    <row r="111167" s="12" customFormat="1" x14ac:dyDescent="0.25"/>
    <row r="111168" s="12" customFormat="1" x14ac:dyDescent="0.25"/>
    <row r="111169" s="12" customFormat="1" x14ac:dyDescent="0.25"/>
    <row r="111170" s="12" customFormat="1" x14ac:dyDescent="0.25"/>
    <row r="111171" s="12" customFormat="1" x14ac:dyDescent="0.25"/>
    <row r="111172" s="12" customFormat="1" x14ac:dyDescent="0.25"/>
    <row r="111173" s="12" customFormat="1" x14ac:dyDescent="0.25"/>
    <row r="111174" s="12" customFormat="1" x14ac:dyDescent="0.25"/>
    <row r="111175" s="12" customFormat="1" x14ac:dyDescent="0.25"/>
    <row r="111176" s="12" customFormat="1" x14ac:dyDescent="0.25"/>
    <row r="111177" s="12" customFormat="1" x14ac:dyDescent="0.25"/>
    <row r="111178" s="12" customFormat="1" x14ac:dyDescent="0.25"/>
    <row r="111179" s="12" customFormat="1" x14ac:dyDescent="0.25"/>
    <row r="111180" s="12" customFormat="1" x14ac:dyDescent="0.25"/>
    <row r="111181" s="12" customFormat="1" x14ac:dyDescent="0.25"/>
    <row r="111182" s="12" customFormat="1" x14ac:dyDescent="0.25"/>
    <row r="111183" s="12" customFormat="1" x14ac:dyDescent="0.25"/>
    <row r="111184" s="12" customFormat="1" x14ac:dyDescent="0.25"/>
    <row r="111185" s="12" customFormat="1" x14ac:dyDescent="0.25"/>
    <row r="111186" s="12" customFormat="1" x14ac:dyDescent="0.25"/>
    <row r="111187" s="12" customFormat="1" x14ac:dyDescent="0.25"/>
    <row r="111188" s="12" customFormat="1" x14ac:dyDescent="0.25"/>
    <row r="111189" s="12" customFormat="1" x14ac:dyDescent="0.25"/>
    <row r="111190" s="12" customFormat="1" x14ac:dyDescent="0.25"/>
    <row r="111191" s="12" customFormat="1" x14ac:dyDescent="0.25"/>
    <row r="111192" s="12" customFormat="1" x14ac:dyDescent="0.25"/>
    <row r="111193" s="12" customFormat="1" x14ac:dyDescent="0.25"/>
    <row r="111194" s="12" customFormat="1" x14ac:dyDescent="0.25"/>
    <row r="111195" s="12" customFormat="1" x14ac:dyDescent="0.25"/>
    <row r="111196" s="12" customFormat="1" x14ac:dyDescent="0.25"/>
    <row r="111197" s="12" customFormat="1" x14ac:dyDescent="0.25"/>
    <row r="111198" s="12" customFormat="1" x14ac:dyDescent="0.25"/>
    <row r="111199" s="12" customFormat="1" x14ac:dyDescent="0.25"/>
    <row r="111200" s="12" customFormat="1" x14ac:dyDescent="0.25"/>
    <row r="111201" s="12" customFormat="1" x14ac:dyDescent="0.25"/>
    <row r="111202" s="12" customFormat="1" x14ac:dyDescent="0.25"/>
    <row r="111203" s="12" customFormat="1" x14ac:dyDescent="0.25"/>
    <row r="111204" s="12" customFormat="1" x14ac:dyDescent="0.25"/>
    <row r="111205" s="12" customFormat="1" x14ac:dyDescent="0.25"/>
    <row r="111206" s="12" customFormat="1" x14ac:dyDescent="0.25"/>
    <row r="111207" s="12" customFormat="1" x14ac:dyDescent="0.25"/>
    <row r="111208" s="12" customFormat="1" x14ac:dyDescent="0.25"/>
    <row r="111209" s="12" customFormat="1" x14ac:dyDescent="0.25"/>
    <row r="111210" s="12" customFormat="1" x14ac:dyDescent="0.25"/>
    <row r="111211" s="12" customFormat="1" x14ac:dyDescent="0.25"/>
    <row r="111212" s="12" customFormat="1" x14ac:dyDescent="0.25"/>
    <row r="111213" s="12" customFormat="1" x14ac:dyDescent="0.25"/>
    <row r="111214" s="12" customFormat="1" x14ac:dyDescent="0.25"/>
    <row r="111215" s="12" customFormat="1" x14ac:dyDescent="0.25"/>
    <row r="111216" s="12" customFormat="1" x14ac:dyDescent="0.25"/>
    <row r="111217" s="12" customFormat="1" x14ac:dyDescent="0.25"/>
    <row r="111218" s="12" customFormat="1" x14ac:dyDescent="0.25"/>
    <row r="111219" s="12" customFormat="1" x14ac:dyDescent="0.25"/>
    <row r="111220" s="12" customFormat="1" x14ac:dyDescent="0.25"/>
    <row r="111221" s="12" customFormat="1" x14ac:dyDescent="0.25"/>
    <row r="111222" s="12" customFormat="1" x14ac:dyDescent="0.25"/>
    <row r="111223" s="12" customFormat="1" x14ac:dyDescent="0.25"/>
    <row r="111224" s="12" customFormat="1" x14ac:dyDescent="0.25"/>
    <row r="111225" s="12" customFormat="1" x14ac:dyDescent="0.25"/>
    <row r="111226" s="12" customFormat="1" x14ac:dyDescent="0.25"/>
    <row r="111227" s="12" customFormat="1" x14ac:dyDescent="0.25"/>
    <row r="111228" s="12" customFormat="1" x14ac:dyDescent="0.25"/>
    <row r="111229" s="12" customFormat="1" x14ac:dyDescent="0.25"/>
    <row r="111230" s="12" customFormat="1" x14ac:dyDescent="0.25"/>
    <row r="111231" s="12" customFormat="1" x14ac:dyDescent="0.25"/>
    <row r="111232" s="12" customFormat="1" x14ac:dyDescent="0.25"/>
    <row r="111233" s="12" customFormat="1" x14ac:dyDescent="0.25"/>
    <row r="111234" s="12" customFormat="1" x14ac:dyDescent="0.25"/>
    <row r="111235" s="12" customFormat="1" x14ac:dyDescent="0.25"/>
    <row r="111236" s="12" customFormat="1" x14ac:dyDescent="0.25"/>
    <row r="111237" s="12" customFormat="1" x14ac:dyDescent="0.25"/>
    <row r="111238" s="12" customFormat="1" x14ac:dyDescent="0.25"/>
    <row r="111239" s="12" customFormat="1" x14ac:dyDescent="0.25"/>
    <row r="111240" s="12" customFormat="1" x14ac:dyDescent="0.25"/>
    <row r="111241" s="12" customFormat="1" x14ac:dyDescent="0.25"/>
    <row r="111242" s="12" customFormat="1" x14ac:dyDescent="0.25"/>
    <row r="111243" s="12" customFormat="1" x14ac:dyDescent="0.25"/>
    <row r="111244" s="12" customFormat="1" x14ac:dyDescent="0.25"/>
    <row r="111245" s="12" customFormat="1" x14ac:dyDescent="0.25"/>
    <row r="111246" s="12" customFormat="1" x14ac:dyDescent="0.25"/>
    <row r="111247" s="12" customFormat="1" x14ac:dyDescent="0.25"/>
    <row r="111248" s="12" customFormat="1" x14ac:dyDescent="0.25"/>
    <row r="111249" s="12" customFormat="1" x14ac:dyDescent="0.25"/>
    <row r="111250" s="12" customFormat="1" x14ac:dyDescent="0.25"/>
    <row r="111251" s="12" customFormat="1" x14ac:dyDescent="0.25"/>
    <row r="111252" s="12" customFormat="1" x14ac:dyDescent="0.25"/>
    <row r="111253" s="12" customFormat="1" x14ac:dyDescent="0.25"/>
    <row r="111254" s="12" customFormat="1" x14ac:dyDescent="0.25"/>
    <row r="111255" s="12" customFormat="1" x14ac:dyDescent="0.25"/>
    <row r="111256" s="12" customFormat="1" x14ac:dyDescent="0.25"/>
    <row r="111257" s="12" customFormat="1" x14ac:dyDescent="0.25"/>
    <row r="111258" s="12" customFormat="1" x14ac:dyDescent="0.25"/>
    <row r="111259" s="12" customFormat="1" x14ac:dyDescent="0.25"/>
    <row r="111260" s="12" customFormat="1" x14ac:dyDescent="0.25"/>
    <row r="111261" s="12" customFormat="1" x14ac:dyDescent="0.25"/>
    <row r="111262" s="12" customFormat="1" x14ac:dyDescent="0.25"/>
    <row r="111263" s="12" customFormat="1" x14ac:dyDescent="0.25"/>
    <row r="111264" s="12" customFormat="1" x14ac:dyDescent="0.25"/>
    <row r="111265" s="12" customFormat="1" x14ac:dyDescent="0.25"/>
    <row r="111266" s="12" customFormat="1" x14ac:dyDescent="0.25"/>
    <row r="111267" s="12" customFormat="1" x14ac:dyDescent="0.25"/>
    <row r="111268" s="12" customFormat="1" x14ac:dyDescent="0.25"/>
    <row r="111269" s="12" customFormat="1" x14ac:dyDescent="0.25"/>
    <row r="111270" s="12" customFormat="1" x14ac:dyDescent="0.25"/>
    <row r="111271" s="12" customFormat="1" x14ac:dyDescent="0.25"/>
    <row r="111272" s="12" customFormat="1" x14ac:dyDescent="0.25"/>
    <row r="111273" s="12" customFormat="1" x14ac:dyDescent="0.25"/>
    <row r="111274" s="12" customFormat="1" x14ac:dyDescent="0.25"/>
    <row r="111275" s="12" customFormat="1" x14ac:dyDescent="0.25"/>
    <row r="111276" s="12" customFormat="1" x14ac:dyDescent="0.25"/>
    <row r="111277" s="12" customFormat="1" x14ac:dyDescent="0.25"/>
    <row r="111278" s="12" customFormat="1" x14ac:dyDescent="0.25"/>
    <row r="111279" s="12" customFormat="1" x14ac:dyDescent="0.25"/>
    <row r="111280" s="12" customFormat="1" x14ac:dyDescent="0.25"/>
    <row r="111281" s="12" customFormat="1" x14ac:dyDescent="0.25"/>
    <row r="111282" s="12" customFormat="1" x14ac:dyDescent="0.25"/>
    <row r="111283" s="12" customFormat="1" x14ac:dyDescent="0.25"/>
    <row r="111284" s="12" customFormat="1" x14ac:dyDescent="0.25"/>
    <row r="111285" s="12" customFormat="1" x14ac:dyDescent="0.25"/>
    <row r="111286" s="12" customFormat="1" x14ac:dyDescent="0.25"/>
    <row r="111287" s="12" customFormat="1" x14ac:dyDescent="0.25"/>
    <row r="111288" s="12" customFormat="1" x14ac:dyDescent="0.25"/>
    <row r="111289" s="12" customFormat="1" x14ac:dyDescent="0.25"/>
    <row r="111290" s="12" customFormat="1" x14ac:dyDescent="0.25"/>
    <row r="111291" s="12" customFormat="1" x14ac:dyDescent="0.25"/>
    <row r="111292" s="12" customFormat="1" x14ac:dyDescent="0.25"/>
    <row r="111293" s="12" customFormat="1" x14ac:dyDescent="0.25"/>
    <row r="111294" s="12" customFormat="1" x14ac:dyDescent="0.25"/>
    <row r="111295" s="12" customFormat="1" x14ac:dyDescent="0.25"/>
    <row r="111296" s="12" customFormat="1" x14ac:dyDescent="0.25"/>
    <row r="111297" s="12" customFormat="1" x14ac:dyDescent="0.25"/>
    <row r="111298" s="12" customFormat="1" x14ac:dyDescent="0.25"/>
    <row r="111299" s="12" customFormat="1" x14ac:dyDescent="0.25"/>
    <row r="111300" s="12" customFormat="1" x14ac:dyDescent="0.25"/>
    <row r="111301" s="12" customFormat="1" x14ac:dyDescent="0.25"/>
    <row r="111302" s="12" customFormat="1" x14ac:dyDescent="0.25"/>
    <row r="111303" s="12" customFormat="1" x14ac:dyDescent="0.25"/>
    <row r="111304" s="12" customFormat="1" x14ac:dyDescent="0.25"/>
    <row r="111305" s="12" customFormat="1" x14ac:dyDescent="0.25"/>
    <row r="111306" s="12" customFormat="1" x14ac:dyDescent="0.25"/>
    <row r="111307" s="12" customFormat="1" x14ac:dyDescent="0.25"/>
    <row r="111308" s="12" customFormat="1" x14ac:dyDescent="0.25"/>
    <row r="111309" s="12" customFormat="1" x14ac:dyDescent="0.25"/>
    <row r="111310" s="12" customFormat="1" x14ac:dyDescent="0.25"/>
    <row r="111311" s="12" customFormat="1" x14ac:dyDescent="0.25"/>
    <row r="111312" s="12" customFormat="1" x14ac:dyDescent="0.25"/>
    <row r="111313" s="12" customFormat="1" x14ac:dyDescent="0.25"/>
    <row r="111314" s="12" customFormat="1" x14ac:dyDescent="0.25"/>
    <row r="111315" s="12" customFormat="1" x14ac:dyDescent="0.25"/>
    <row r="111316" s="12" customFormat="1" x14ac:dyDescent="0.25"/>
    <row r="111317" s="12" customFormat="1" x14ac:dyDescent="0.25"/>
    <row r="111318" s="12" customFormat="1" x14ac:dyDescent="0.25"/>
    <row r="111319" s="12" customFormat="1" x14ac:dyDescent="0.25"/>
    <row r="111320" s="12" customFormat="1" x14ac:dyDescent="0.25"/>
    <row r="111321" s="12" customFormat="1" x14ac:dyDescent="0.25"/>
    <row r="111322" s="12" customFormat="1" x14ac:dyDescent="0.25"/>
    <row r="111323" s="12" customFormat="1" x14ac:dyDescent="0.25"/>
    <row r="111324" s="12" customFormat="1" x14ac:dyDescent="0.25"/>
    <row r="111325" s="12" customFormat="1" x14ac:dyDescent="0.25"/>
    <row r="111326" s="12" customFormat="1" x14ac:dyDescent="0.25"/>
    <row r="111327" s="12" customFormat="1" x14ac:dyDescent="0.25"/>
    <row r="111328" s="12" customFormat="1" x14ac:dyDescent="0.25"/>
    <row r="111329" s="12" customFormat="1" x14ac:dyDescent="0.25"/>
    <row r="111330" s="12" customFormat="1" x14ac:dyDescent="0.25"/>
    <row r="111331" s="12" customFormat="1" x14ac:dyDescent="0.25"/>
    <row r="111332" s="12" customFormat="1" x14ac:dyDescent="0.25"/>
    <row r="111333" s="12" customFormat="1" x14ac:dyDescent="0.25"/>
    <row r="111334" s="12" customFormat="1" x14ac:dyDescent="0.25"/>
    <row r="111335" s="12" customFormat="1" x14ac:dyDescent="0.25"/>
    <row r="111336" s="12" customFormat="1" x14ac:dyDescent="0.25"/>
    <row r="111337" s="12" customFormat="1" x14ac:dyDescent="0.25"/>
    <row r="111338" s="12" customFormat="1" x14ac:dyDescent="0.25"/>
    <row r="111339" s="12" customFormat="1" x14ac:dyDescent="0.25"/>
    <row r="111340" s="12" customFormat="1" x14ac:dyDescent="0.25"/>
    <row r="111341" s="12" customFormat="1" x14ac:dyDescent="0.25"/>
    <row r="111342" s="12" customFormat="1" x14ac:dyDescent="0.25"/>
    <row r="111343" s="12" customFormat="1" x14ac:dyDescent="0.25"/>
    <row r="111344" s="12" customFormat="1" x14ac:dyDescent="0.25"/>
    <row r="111345" s="12" customFormat="1" x14ac:dyDescent="0.25"/>
    <row r="111346" s="12" customFormat="1" x14ac:dyDescent="0.25"/>
    <row r="111347" s="12" customFormat="1" x14ac:dyDescent="0.25"/>
    <row r="111348" s="12" customFormat="1" x14ac:dyDescent="0.25"/>
    <row r="111349" s="12" customFormat="1" x14ac:dyDescent="0.25"/>
    <row r="111350" s="12" customFormat="1" x14ac:dyDescent="0.25"/>
    <row r="111351" s="12" customFormat="1" x14ac:dyDescent="0.25"/>
    <row r="111352" s="12" customFormat="1" x14ac:dyDescent="0.25"/>
    <row r="111353" s="12" customFormat="1" x14ac:dyDescent="0.25"/>
    <row r="111354" s="12" customFormat="1" x14ac:dyDescent="0.25"/>
    <row r="111355" s="12" customFormat="1" x14ac:dyDescent="0.25"/>
    <row r="111356" s="12" customFormat="1" x14ac:dyDescent="0.25"/>
    <row r="111357" s="12" customFormat="1" x14ac:dyDescent="0.25"/>
    <row r="111358" s="12" customFormat="1" x14ac:dyDescent="0.25"/>
    <row r="111359" s="12" customFormat="1" x14ac:dyDescent="0.25"/>
    <row r="111360" s="12" customFormat="1" x14ac:dyDescent="0.25"/>
    <row r="111361" s="12" customFormat="1" x14ac:dyDescent="0.25"/>
    <row r="111362" s="12" customFormat="1" x14ac:dyDescent="0.25"/>
    <row r="111363" s="12" customFormat="1" x14ac:dyDescent="0.25"/>
    <row r="111364" s="12" customFormat="1" x14ac:dyDescent="0.25"/>
    <row r="111365" s="12" customFormat="1" x14ac:dyDescent="0.25"/>
    <row r="111366" s="12" customFormat="1" x14ac:dyDescent="0.25"/>
    <row r="111367" s="12" customFormat="1" x14ac:dyDescent="0.25"/>
    <row r="111368" s="12" customFormat="1" x14ac:dyDescent="0.25"/>
    <row r="111369" s="12" customFormat="1" x14ac:dyDescent="0.25"/>
    <row r="111370" s="12" customFormat="1" x14ac:dyDescent="0.25"/>
    <row r="111371" s="12" customFormat="1" x14ac:dyDescent="0.25"/>
    <row r="111372" s="12" customFormat="1" x14ac:dyDescent="0.25"/>
    <row r="111373" s="12" customFormat="1" x14ac:dyDescent="0.25"/>
    <row r="111374" s="12" customFormat="1" x14ac:dyDescent="0.25"/>
    <row r="111375" s="12" customFormat="1" x14ac:dyDescent="0.25"/>
    <row r="111376" s="12" customFormat="1" x14ac:dyDescent="0.25"/>
    <row r="111377" s="12" customFormat="1" x14ac:dyDescent="0.25"/>
    <row r="111378" s="12" customFormat="1" x14ac:dyDescent="0.25"/>
    <row r="111379" s="12" customFormat="1" x14ac:dyDescent="0.25"/>
    <row r="111380" s="12" customFormat="1" x14ac:dyDescent="0.25"/>
    <row r="111381" s="12" customFormat="1" x14ac:dyDescent="0.25"/>
    <row r="111382" s="12" customFormat="1" x14ac:dyDescent="0.25"/>
    <row r="111383" s="12" customFormat="1" x14ac:dyDescent="0.25"/>
    <row r="111384" s="12" customFormat="1" x14ac:dyDescent="0.25"/>
    <row r="111385" s="12" customFormat="1" x14ac:dyDescent="0.25"/>
    <row r="111386" s="12" customFormat="1" x14ac:dyDescent="0.25"/>
    <row r="111387" s="12" customFormat="1" x14ac:dyDescent="0.25"/>
    <row r="111388" s="12" customFormat="1" x14ac:dyDescent="0.25"/>
    <row r="111389" s="12" customFormat="1" x14ac:dyDescent="0.25"/>
    <row r="111390" s="12" customFormat="1" x14ac:dyDescent="0.25"/>
    <row r="111391" s="12" customFormat="1" x14ac:dyDescent="0.25"/>
    <row r="111392" s="12" customFormat="1" x14ac:dyDescent="0.25"/>
    <row r="111393" s="12" customFormat="1" x14ac:dyDescent="0.25"/>
    <row r="111394" s="12" customFormat="1" x14ac:dyDescent="0.25"/>
    <row r="111395" s="12" customFormat="1" x14ac:dyDescent="0.25"/>
    <row r="111396" s="12" customFormat="1" x14ac:dyDescent="0.25"/>
    <row r="111397" s="12" customFormat="1" x14ac:dyDescent="0.25"/>
    <row r="111398" s="12" customFormat="1" x14ac:dyDescent="0.25"/>
    <row r="111399" s="12" customFormat="1" x14ac:dyDescent="0.25"/>
    <row r="111400" s="12" customFormat="1" x14ac:dyDescent="0.25"/>
    <row r="111401" s="12" customFormat="1" x14ac:dyDescent="0.25"/>
    <row r="111402" s="12" customFormat="1" x14ac:dyDescent="0.25"/>
    <row r="111403" s="12" customFormat="1" x14ac:dyDescent="0.25"/>
    <row r="111404" s="12" customFormat="1" x14ac:dyDescent="0.25"/>
    <row r="111405" s="12" customFormat="1" x14ac:dyDescent="0.25"/>
    <row r="111406" s="12" customFormat="1" x14ac:dyDescent="0.25"/>
    <row r="111407" s="12" customFormat="1" x14ac:dyDescent="0.25"/>
    <row r="111408" s="12" customFormat="1" x14ac:dyDescent="0.25"/>
    <row r="111409" s="12" customFormat="1" x14ac:dyDescent="0.25"/>
    <row r="111410" s="12" customFormat="1" x14ac:dyDescent="0.25"/>
    <row r="111411" s="12" customFormat="1" x14ac:dyDescent="0.25"/>
    <row r="111412" s="12" customFormat="1" x14ac:dyDescent="0.25"/>
    <row r="111413" s="12" customFormat="1" x14ac:dyDescent="0.25"/>
    <row r="111414" s="12" customFormat="1" x14ac:dyDescent="0.25"/>
    <row r="111415" s="12" customFormat="1" x14ac:dyDescent="0.25"/>
    <row r="111416" s="12" customFormat="1" x14ac:dyDescent="0.25"/>
    <row r="111417" s="12" customFormat="1" x14ac:dyDescent="0.25"/>
    <row r="111418" s="12" customFormat="1" x14ac:dyDescent="0.25"/>
    <row r="111419" s="12" customFormat="1" x14ac:dyDescent="0.25"/>
    <row r="111420" s="12" customFormat="1" x14ac:dyDescent="0.25"/>
    <row r="111421" s="12" customFormat="1" x14ac:dyDescent="0.25"/>
    <row r="111422" s="12" customFormat="1" x14ac:dyDescent="0.25"/>
    <row r="111423" s="12" customFormat="1" x14ac:dyDescent="0.25"/>
    <row r="111424" s="12" customFormat="1" x14ac:dyDescent="0.25"/>
    <row r="111425" s="12" customFormat="1" x14ac:dyDescent="0.25"/>
    <row r="111426" s="12" customFormat="1" x14ac:dyDescent="0.25"/>
    <row r="111427" s="12" customFormat="1" x14ac:dyDescent="0.25"/>
    <row r="111428" s="12" customFormat="1" x14ac:dyDescent="0.25"/>
    <row r="111429" s="12" customFormat="1" x14ac:dyDescent="0.25"/>
    <row r="111430" s="12" customFormat="1" x14ac:dyDescent="0.25"/>
    <row r="111431" s="12" customFormat="1" x14ac:dyDescent="0.25"/>
    <row r="111432" s="12" customFormat="1" x14ac:dyDescent="0.25"/>
    <row r="111433" s="12" customFormat="1" x14ac:dyDescent="0.25"/>
    <row r="111434" s="12" customFormat="1" x14ac:dyDescent="0.25"/>
    <row r="111435" s="12" customFormat="1" x14ac:dyDescent="0.25"/>
    <row r="111436" s="12" customFormat="1" x14ac:dyDescent="0.25"/>
    <row r="111437" s="12" customFormat="1" x14ac:dyDescent="0.25"/>
    <row r="111438" s="12" customFormat="1" x14ac:dyDescent="0.25"/>
    <row r="111439" s="12" customFormat="1" x14ac:dyDescent="0.25"/>
    <row r="111440" s="12" customFormat="1" x14ac:dyDescent="0.25"/>
    <row r="111441" s="12" customFormat="1" x14ac:dyDescent="0.25"/>
    <row r="111442" s="12" customFormat="1" x14ac:dyDescent="0.25"/>
    <row r="111443" s="12" customFormat="1" x14ac:dyDescent="0.25"/>
    <row r="111444" s="12" customFormat="1" x14ac:dyDescent="0.25"/>
    <row r="111445" s="12" customFormat="1" x14ac:dyDescent="0.25"/>
    <row r="111446" s="12" customFormat="1" x14ac:dyDescent="0.25"/>
    <row r="111447" s="12" customFormat="1" x14ac:dyDescent="0.25"/>
    <row r="111448" s="12" customFormat="1" x14ac:dyDescent="0.25"/>
    <row r="111449" s="12" customFormat="1" x14ac:dyDescent="0.25"/>
    <row r="111450" s="12" customFormat="1" x14ac:dyDescent="0.25"/>
    <row r="111451" s="12" customFormat="1" x14ac:dyDescent="0.25"/>
    <row r="111452" s="12" customFormat="1" x14ac:dyDescent="0.25"/>
    <row r="111453" s="12" customFormat="1" x14ac:dyDescent="0.25"/>
    <row r="111454" s="12" customFormat="1" x14ac:dyDescent="0.25"/>
    <row r="111455" s="12" customFormat="1" x14ac:dyDescent="0.25"/>
    <row r="111456" s="12" customFormat="1" x14ac:dyDescent="0.25"/>
    <row r="111457" s="12" customFormat="1" x14ac:dyDescent="0.25"/>
    <row r="111458" s="12" customFormat="1" x14ac:dyDescent="0.25"/>
    <row r="111459" s="12" customFormat="1" x14ac:dyDescent="0.25"/>
    <row r="111460" s="12" customFormat="1" x14ac:dyDescent="0.25"/>
    <row r="111461" s="12" customFormat="1" x14ac:dyDescent="0.25"/>
    <row r="111462" s="12" customFormat="1" x14ac:dyDescent="0.25"/>
    <row r="111463" s="12" customFormat="1" x14ac:dyDescent="0.25"/>
    <row r="111464" s="12" customFormat="1" x14ac:dyDescent="0.25"/>
    <row r="111465" s="12" customFormat="1" x14ac:dyDescent="0.25"/>
    <row r="111466" s="12" customFormat="1" x14ac:dyDescent="0.25"/>
    <row r="111467" s="12" customFormat="1" x14ac:dyDescent="0.25"/>
    <row r="111468" s="12" customFormat="1" x14ac:dyDescent="0.25"/>
    <row r="111469" s="12" customFormat="1" x14ac:dyDescent="0.25"/>
    <row r="111470" s="12" customFormat="1" x14ac:dyDescent="0.25"/>
    <row r="111471" s="12" customFormat="1" x14ac:dyDescent="0.25"/>
    <row r="111472" s="12" customFormat="1" x14ac:dyDescent="0.25"/>
    <row r="111473" s="12" customFormat="1" x14ac:dyDescent="0.25"/>
    <row r="111474" s="12" customFormat="1" x14ac:dyDescent="0.25"/>
    <row r="111475" s="12" customFormat="1" x14ac:dyDescent="0.25"/>
    <row r="111476" s="12" customFormat="1" x14ac:dyDescent="0.25"/>
    <row r="111477" s="12" customFormat="1" x14ac:dyDescent="0.25"/>
    <row r="111478" s="12" customFormat="1" x14ac:dyDescent="0.25"/>
    <row r="111479" s="12" customFormat="1" x14ac:dyDescent="0.25"/>
    <row r="111480" s="12" customFormat="1" x14ac:dyDescent="0.25"/>
    <row r="111481" s="12" customFormat="1" x14ac:dyDescent="0.25"/>
    <row r="111482" s="12" customFormat="1" x14ac:dyDescent="0.25"/>
    <row r="111483" s="12" customFormat="1" x14ac:dyDescent="0.25"/>
    <row r="111484" s="12" customFormat="1" x14ac:dyDescent="0.25"/>
    <row r="111485" s="12" customFormat="1" x14ac:dyDescent="0.25"/>
    <row r="111486" s="12" customFormat="1" x14ac:dyDescent="0.25"/>
    <row r="111487" s="12" customFormat="1" x14ac:dyDescent="0.25"/>
    <row r="111488" s="12" customFormat="1" x14ac:dyDescent="0.25"/>
    <row r="111489" s="12" customFormat="1" x14ac:dyDescent="0.25"/>
    <row r="111490" s="12" customFormat="1" x14ac:dyDescent="0.25"/>
    <row r="111491" s="12" customFormat="1" x14ac:dyDescent="0.25"/>
    <row r="111492" s="12" customFormat="1" x14ac:dyDescent="0.25"/>
    <row r="111493" s="12" customFormat="1" x14ac:dyDescent="0.25"/>
    <row r="111494" s="12" customFormat="1" x14ac:dyDescent="0.25"/>
    <row r="111495" s="12" customFormat="1" x14ac:dyDescent="0.25"/>
    <row r="111496" s="12" customFormat="1" x14ac:dyDescent="0.25"/>
    <row r="111497" s="12" customFormat="1" x14ac:dyDescent="0.25"/>
    <row r="111498" s="12" customFormat="1" x14ac:dyDescent="0.25"/>
    <row r="111499" s="12" customFormat="1" x14ac:dyDescent="0.25"/>
    <row r="111500" s="12" customFormat="1" x14ac:dyDescent="0.25"/>
    <row r="111501" s="12" customFormat="1" x14ac:dyDescent="0.25"/>
    <row r="111502" s="12" customFormat="1" x14ac:dyDescent="0.25"/>
    <row r="111503" s="12" customFormat="1" x14ac:dyDescent="0.25"/>
    <row r="111504" s="12" customFormat="1" x14ac:dyDescent="0.25"/>
    <row r="111505" s="12" customFormat="1" x14ac:dyDescent="0.25"/>
    <row r="111506" s="12" customFormat="1" x14ac:dyDescent="0.25"/>
    <row r="111507" s="12" customFormat="1" x14ac:dyDescent="0.25"/>
    <row r="111508" s="12" customFormat="1" x14ac:dyDescent="0.25"/>
    <row r="111509" s="12" customFormat="1" x14ac:dyDescent="0.25"/>
    <row r="111510" s="12" customFormat="1" x14ac:dyDescent="0.25"/>
    <row r="111511" s="12" customFormat="1" x14ac:dyDescent="0.25"/>
    <row r="111512" s="12" customFormat="1" x14ac:dyDescent="0.25"/>
    <row r="111513" s="12" customFormat="1" x14ac:dyDescent="0.25"/>
    <row r="111514" s="12" customFormat="1" x14ac:dyDescent="0.25"/>
    <row r="111515" s="12" customFormat="1" x14ac:dyDescent="0.25"/>
    <row r="111516" s="12" customFormat="1" x14ac:dyDescent="0.25"/>
    <row r="111517" s="12" customFormat="1" x14ac:dyDescent="0.25"/>
    <row r="111518" s="12" customFormat="1" x14ac:dyDescent="0.25"/>
    <row r="111519" s="12" customFormat="1" x14ac:dyDescent="0.25"/>
    <row r="111520" s="12" customFormat="1" x14ac:dyDescent="0.25"/>
    <row r="111521" s="12" customFormat="1" x14ac:dyDescent="0.25"/>
    <row r="111522" s="12" customFormat="1" x14ac:dyDescent="0.25"/>
    <row r="111523" s="12" customFormat="1" x14ac:dyDescent="0.25"/>
    <row r="111524" s="12" customFormat="1" x14ac:dyDescent="0.25"/>
    <row r="111525" s="12" customFormat="1" x14ac:dyDescent="0.25"/>
    <row r="111526" s="12" customFormat="1" x14ac:dyDescent="0.25"/>
    <row r="111527" s="12" customFormat="1" x14ac:dyDescent="0.25"/>
    <row r="111528" s="12" customFormat="1" x14ac:dyDescent="0.25"/>
    <row r="111529" s="12" customFormat="1" x14ac:dyDescent="0.25"/>
    <row r="111530" s="12" customFormat="1" x14ac:dyDescent="0.25"/>
    <row r="111531" s="12" customFormat="1" x14ac:dyDescent="0.25"/>
    <row r="111532" s="12" customFormat="1" x14ac:dyDescent="0.25"/>
    <row r="111533" s="12" customFormat="1" x14ac:dyDescent="0.25"/>
    <row r="111534" s="12" customFormat="1" x14ac:dyDescent="0.25"/>
    <row r="111535" s="12" customFormat="1" x14ac:dyDescent="0.25"/>
    <row r="111536" s="12" customFormat="1" x14ac:dyDescent="0.25"/>
    <row r="111537" s="12" customFormat="1" x14ac:dyDescent="0.25"/>
    <row r="111538" s="12" customFormat="1" x14ac:dyDescent="0.25"/>
    <row r="111539" s="12" customFormat="1" x14ac:dyDescent="0.25"/>
    <row r="111540" s="12" customFormat="1" x14ac:dyDescent="0.25"/>
    <row r="111541" s="12" customFormat="1" x14ac:dyDescent="0.25"/>
    <row r="111542" s="12" customFormat="1" x14ac:dyDescent="0.25"/>
    <row r="111543" s="12" customFormat="1" x14ac:dyDescent="0.25"/>
    <row r="111544" s="12" customFormat="1" x14ac:dyDescent="0.25"/>
    <row r="111545" s="12" customFormat="1" x14ac:dyDescent="0.25"/>
    <row r="111546" s="12" customFormat="1" x14ac:dyDescent="0.25"/>
    <row r="111547" s="12" customFormat="1" x14ac:dyDescent="0.25"/>
    <row r="111548" s="12" customFormat="1" x14ac:dyDescent="0.25"/>
    <row r="111549" s="12" customFormat="1" x14ac:dyDescent="0.25"/>
    <row r="111550" s="12" customFormat="1" x14ac:dyDescent="0.25"/>
    <row r="111551" s="12" customFormat="1" x14ac:dyDescent="0.25"/>
    <row r="111552" s="12" customFormat="1" x14ac:dyDescent="0.25"/>
    <row r="111553" s="12" customFormat="1" x14ac:dyDescent="0.25"/>
    <row r="111554" s="12" customFormat="1" x14ac:dyDescent="0.25"/>
    <row r="111555" s="12" customFormat="1" x14ac:dyDescent="0.25"/>
    <row r="111556" s="12" customFormat="1" x14ac:dyDescent="0.25"/>
    <row r="111557" s="12" customFormat="1" x14ac:dyDescent="0.25"/>
    <row r="111558" s="12" customFormat="1" x14ac:dyDescent="0.25"/>
    <row r="111559" s="12" customFormat="1" x14ac:dyDescent="0.25"/>
    <row r="111560" s="12" customFormat="1" x14ac:dyDescent="0.25"/>
    <row r="111561" s="12" customFormat="1" x14ac:dyDescent="0.25"/>
    <row r="111562" s="12" customFormat="1" x14ac:dyDescent="0.25"/>
    <row r="111563" s="12" customFormat="1" x14ac:dyDescent="0.25"/>
    <row r="111564" s="12" customFormat="1" x14ac:dyDescent="0.25"/>
    <row r="111565" s="12" customFormat="1" x14ac:dyDescent="0.25"/>
    <row r="111566" s="12" customFormat="1" x14ac:dyDescent="0.25"/>
    <row r="111567" s="12" customFormat="1" x14ac:dyDescent="0.25"/>
    <row r="111568" s="12" customFormat="1" x14ac:dyDescent="0.25"/>
    <row r="111569" s="12" customFormat="1" x14ac:dyDescent="0.25"/>
    <row r="111570" s="12" customFormat="1" x14ac:dyDescent="0.25"/>
    <row r="111571" s="12" customFormat="1" x14ac:dyDescent="0.25"/>
    <row r="111572" s="12" customFormat="1" x14ac:dyDescent="0.25"/>
    <row r="111573" s="12" customFormat="1" x14ac:dyDescent="0.25"/>
    <row r="111574" s="12" customFormat="1" x14ac:dyDescent="0.25"/>
    <row r="111575" s="12" customFormat="1" x14ac:dyDescent="0.25"/>
    <row r="111576" s="12" customFormat="1" x14ac:dyDescent="0.25"/>
    <row r="111577" s="12" customFormat="1" x14ac:dyDescent="0.25"/>
    <row r="111578" s="12" customFormat="1" x14ac:dyDescent="0.25"/>
    <row r="111579" s="12" customFormat="1" x14ac:dyDescent="0.25"/>
    <row r="111580" s="12" customFormat="1" x14ac:dyDescent="0.25"/>
    <row r="111581" s="12" customFormat="1" x14ac:dyDescent="0.25"/>
    <row r="111582" s="12" customFormat="1" x14ac:dyDescent="0.25"/>
    <row r="111583" s="12" customFormat="1" x14ac:dyDescent="0.25"/>
    <row r="111584" s="12" customFormat="1" x14ac:dyDescent="0.25"/>
    <row r="111585" s="12" customFormat="1" x14ac:dyDescent="0.25"/>
    <row r="111586" s="12" customFormat="1" x14ac:dyDescent="0.25"/>
    <row r="111587" s="12" customFormat="1" x14ac:dyDescent="0.25"/>
    <row r="111588" s="12" customFormat="1" x14ac:dyDescent="0.25"/>
    <row r="111589" s="12" customFormat="1" x14ac:dyDescent="0.25"/>
    <row r="111590" s="12" customFormat="1" x14ac:dyDescent="0.25"/>
    <row r="111591" s="12" customFormat="1" x14ac:dyDescent="0.25"/>
    <row r="111592" s="12" customFormat="1" x14ac:dyDescent="0.25"/>
    <row r="111593" s="12" customFormat="1" x14ac:dyDescent="0.25"/>
    <row r="111594" s="12" customFormat="1" x14ac:dyDescent="0.25"/>
    <row r="111595" s="12" customFormat="1" x14ac:dyDescent="0.25"/>
    <row r="111596" s="12" customFormat="1" x14ac:dyDescent="0.25"/>
    <row r="111597" s="12" customFormat="1" x14ac:dyDescent="0.25"/>
    <row r="111598" s="12" customFormat="1" x14ac:dyDescent="0.25"/>
    <row r="111599" s="12" customFormat="1" x14ac:dyDescent="0.25"/>
    <row r="111600" s="12" customFormat="1" x14ac:dyDescent="0.25"/>
    <row r="111601" s="12" customFormat="1" x14ac:dyDescent="0.25"/>
    <row r="111602" s="12" customFormat="1" x14ac:dyDescent="0.25"/>
    <row r="111603" s="12" customFormat="1" x14ac:dyDescent="0.25"/>
    <row r="111604" s="12" customFormat="1" x14ac:dyDescent="0.25"/>
    <row r="111605" s="12" customFormat="1" x14ac:dyDescent="0.25"/>
    <row r="111606" s="12" customFormat="1" x14ac:dyDescent="0.25"/>
    <row r="111607" s="12" customFormat="1" x14ac:dyDescent="0.25"/>
    <row r="111608" s="12" customFormat="1" x14ac:dyDescent="0.25"/>
    <row r="111609" s="12" customFormat="1" x14ac:dyDescent="0.25"/>
    <row r="111610" s="12" customFormat="1" x14ac:dyDescent="0.25"/>
    <row r="111611" s="12" customFormat="1" x14ac:dyDescent="0.25"/>
    <row r="111612" s="12" customFormat="1" x14ac:dyDescent="0.25"/>
    <row r="111613" s="12" customFormat="1" x14ac:dyDescent="0.25"/>
    <row r="111614" s="12" customFormat="1" x14ac:dyDescent="0.25"/>
    <row r="111615" s="12" customFormat="1" x14ac:dyDescent="0.25"/>
    <row r="111616" s="12" customFormat="1" x14ac:dyDescent="0.25"/>
    <row r="111617" s="12" customFormat="1" x14ac:dyDescent="0.25"/>
    <row r="111618" s="12" customFormat="1" x14ac:dyDescent="0.25"/>
    <row r="111619" s="12" customFormat="1" x14ac:dyDescent="0.25"/>
    <row r="111620" s="12" customFormat="1" x14ac:dyDescent="0.25"/>
    <row r="111621" s="12" customFormat="1" x14ac:dyDescent="0.25"/>
    <row r="111622" s="12" customFormat="1" x14ac:dyDescent="0.25"/>
    <row r="111623" s="12" customFormat="1" x14ac:dyDescent="0.25"/>
    <row r="111624" s="12" customFormat="1" x14ac:dyDescent="0.25"/>
    <row r="111625" s="12" customFormat="1" x14ac:dyDescent="0.25"/>
    <row r="111626" s="12" customFormat="1" x14ac:dyDescent="0.25"/>
    <row r="111627" s="12" customFormat="1" x14ac:dyDescent="0.25"/>
    <row r="111628" s="12" customFormat="1" x14ac:dyDescent="0.25"/>
    <row r="111629" s="12" customFormat="1" x14ac:dyDescent="0.25"/>
    <row r="111630" s="12" customFormat="1" x14ac:dyDescent="0.25"/>
    <row r="111631" s="12" customFormat="1" x14ac:dyDescent="0.25"/>
    <row r="111632" s="12" customFormat="1" x14ac:dyDescent="0.25"/>
    <row r="111633" s="12" customFormat="1" x14ac:dyDescent="0.25"/>
    <row r="111634" s="12" customFormat="1" x14ac:dyDescent="0.25"/>
    <row r="111635" s="12" customFormat="1" x14ac:dyDescent="0.25"/>
    <row r="111636" s="12" customFormat="1" x14ac:dyDescent="0.25"/>
    <row r="111637" s="12" customFormat="1" x14ac:dyDescent="0.25"/>
    <row r="111638" s="12" customFormat="1" x14ac:dyDescent="0.25"/>
    <row r="111639" s="12" customFormat="1" x14ac:dyDescent="0.25"/>
    <row r="111640" s="12" customFormat="1" x14ac:dyDescent="0.25"/>
    <row r="111641" s="12" customFormat="1" x14ac:dyDescent="0.25"/>
    <row r="111642" s="12" customFormat="1" x14ac:dyDescent="0.25"/>
    <row r="111643" s="12" customFormat="1" x14ac:dyDescent="0.25"/>
    <row r="111644" s="12" customFormat="1" x14ac:dyDescent="0.25"/>
    <row r="111645" s="12" customFormat="1" x14ac:dyDescent="0.25"/>
    <row r="111646" s="12" customFormat="1" x14ac:dyDescent="0.25"/>
    <row r="111647" s="12" customFormat="1" x14ac:dyDescent="0.25"/>
    <row r="111648" s="12" customFormat="1" x14ac:dyDescent="0.25"/>
    <row r="111649" s="12" customFormat="1" x14ac:dyDescent="0.25"/>
    <row r="111650" s="12" customFormat="1" x14ac:dyDescent="0.25"/>
    <row r="111651" s="12" customFormat="1" x14ac:dyDescent="0.25"/>
    <row r="111652" s="12" customFormat="1" x14ac:dyDescent="0.25"/>
    <row r="111653" s="12" customFormat="1" x14ac:dyDescent="0.25"/>
    <row r="111654" s="12" customFormat="1" x14ac:dyDescent="0.25"/>
    <row r="111655" s="12" customFormat="1" x14ac:dyDescent="0.25"/>
    <row r="111656" s="12" customFormat="1" x14ac:dyDescent="0.25"/>
    <row r="111657" s="12" customFormat="1" x14ac:dyDescent="0.25"/>
    <row r="111658" s="12" customFormat="1" x14ac:dyDescent="0.25"/>
    <row r="111659" s="12" customFormat="1" x14ac:dyDescent="0.25"/>
    <row r="111660" s="12" customFormat="1" x14ac:dyDescent="0.25"/>
    <row r="111661" s="12" customFormat="1" x14ac:dyDescent="0.25"/>
    <row r="111662" s="12" customFormat="1" x14ac:dyDescent="0.25"/>
    <row r="111663" s="12" customFormat="1" x14ac:dyDescent="0.25"/>
    <row r="111664" s="12" customFormat="1" x14ac:dyDescent="0.25"/>
    <row r="111665" s="12" customFormat="1" x14ac:dyDescent="0.25"/>
    <row r="111666" s="12" customFormat="1" x14ac:dyDescent="0.25"/>
    <row r="111667" s="12" customFormat="1" x14ac:dyDescent="0.25"/>
    <row r="111668" s="12" customFormat="1" x14ac:dyDescent="0.25"/>
    <row r="111669" s="12" customFormat="1" x14ac:dyDescent="0.25"/>
    <row r="111670" s="12" customFormat="1" x14ac:dyDescent="0.25"/>
    <row r="111671" s="12" customFormat="1" x14ac:dyDescent="0.25"/>
    <row r="111672" s="12" customFormat="1" x14ac:dyDescent="0.25"/>
    <row r="111673" s="12" customFormat="1" x14ac:dyDescent="0.25"/>
    <row r="111674" s="12" customFormat="1" x14ac:dyDescent="0.25"/>
    <row r="111675" s="12" customFormat="1" x14ac:dyDescent="0.25"/>
    <row r="111676" s="12" customFormat="1" x14ac:dyDescent="0.25"/>
    <row r="111677" s="12" customFormat="1" x14ac:dyDescent="0.25"/>
    <row r="111678" s="12" customFormat="1" x14ac:dyDescent="0.25"/>
    <row r="111679" s="12" customFormat="1" x14ac:dyDescent="0.25"/>
    <row r="111680" s="12" customFormat="1" x14ac:dyDescent="0.25"/>
    <row r="111681" s="12" customFormat="1" x14ac:dyDescent="0.25"/>
    <row r="111682" s="12" customFormat="1" x14ac:dyDescent="0.25"/>
    <row r="111683" s="12" customFormat="1" x14ac:dyDescent="0.25"/>
    <row r="111684" s="12" customFormat="1" x14ac:dyDescent="0.25"/>
    <row r="111685" s="12" customFormat="1" x14ac:dyDescent="0.25"/>
    <row r="111686" s="12" customFormat="1" x14ac:dyDescent="0.25"/>
    <row r="111687" s="12" customFormat="1" x14ac:dyDescent="0.25"/>
    <row r="111688" s="12" customFormat="1" x14ac:dyDescent="0.25"/>
    <row r="111689" s="12" customFormat="1" x14ac:dyDescent="0.25"/>
    <row r="111690" s="12" customFormat="1" x14ac:dyDescent="0.25"/>
    <row r="111691" s="12" customFormat="1" x14ac:dyDescent="0.25"/>
    <row r="111692" s="12" customFormat="1" x14ac:dyDescent="0.25"/>
    <row r="111693" s="12" customFormat="1" x14ac:dyDescent="0.25"/>
    <row r="111694" s="12" customFormat="1" x14ac:dyDescent="0.25"/>
    <row r="111695" s="12" customFormat="1" x14ac:dyDescent="0.25"/>
    <row r="111696" s="12" customFormat="1" x14ac:dyDescent="0.25"/>
    <row r="111697" s="12" customFormat="1" x14ac:dyDescent="0.25"/>
    <row r="111698" s="12" customFormat="1" x14ac:dyDescent="0.25"/>
    <row r="111699" s="12" customFormat="1" x14ac:dyDescent="0.25"/>
    <row r="111700" s="12" customFormat="1" x14ac:dyDescent="0.25"/>
    <row r="111701" s="12" customFormat="1" x14ac:dyDescent="0.25"/>
    <row r="111702" s="12" customFormat="1" x14ac:dyDescent="0.25"/>
    <row r="111703" s="12" customFormat="1" x14ac:dyDescent="0.25"/>
    <row r="111704" s="12" customFormat="1" x14ac:dyDescent="0.25"/>
    <row r="111705" s="12" customFormat="1" x14ac:dyDescent="0.25"/>
    <row r="111706" s="12" customFormat="1" x14ac:dyDescent="0.25"/>
    <row r="111707" s="12" customFormat="1" x14ac:dyDescent="0.25"/>
    <row r="111708" s="12" customFormat="1" x14ac:dyDescent="0.25"/>
    <row r="111709" s="12" customFormat="1" x14ac:dyDescent="0.25"/>
    <row r="111710" s="12" customFormat="1" x14ac:dyDescent="0.25"/>
    <row r="111711" s="12" customFormat="1" x14ac:dyDescent="0.25"/>
    <row r="111712" s="12" customFormat="1" x14ac:dyDescent="0.25"/>
    <row r="111713" s="12" customFormat="1" x14ac:dyDescent="0.25"/>
    <row r="111714" s="12" customFormat="1" x14ac:dyDescent="0.25"/>
    <row r="111715" s="12" customFormat="1" x14ac:dyDescent="0.25"/>
    <row r="111716" s="12" customFormat="1" x14ac:dyDescent="0.25"/>
    <row r="111717" s="12" customFormat="1" x14ac:dyDescent="0.25"/>
    <row r="111718" s="12" customFormat="1" x14ac:dyDescent="0.25"/>
    <row r="111719" s="12" customFormat="1" x14ac:dyDescent="0.25"/>
    <row r="111720" s="12" customFormat="1" x14ac:dyDescent="0.25"/>
    <row r="111721" s="12" customFormat="1" x14ac:dyDescent="0.25"/>
    <row r="111722" s="12" customFormat="1" x14ac:dyDescent="0.25"/>
    <row r="111723" s="12" customFormat="1" x14ac:dyDescent="0.25"/>
    <row r="111724" s="12" customFormat="1" x14ac:dyDescent="0.25"/>
    <row r="111725" s="12" customFormat="1" x14ac:dyDescent="0.25"/>
    <row r="111726" s="12" customFormat="1" x14ac:dyDescent="0.25"/>
    <row r="111727" s="12" customFormat="1" x14ac:dyDescent="0.25"/>
    <row r="111728" s="12" customFormat="1" x14ac:dyDescent="0.25"/>
    <row r="111729" s="12" customFormat="1" x14ac:dyDescent="0.25"/>
    <row r="111730" s="12" customFormat="1" x14ac:dyDescent="0.25"/>
    <row r="111731" s="12" customFormat="1" x14ac:dyDescent="0.25"/>
    <row r="111732" s="12" customFormat="1" x14ac:dyDescent="0.25"/>
    <row r="111733" s="12" customFormat="1" x14ac:dyDescent="0.25"/>
    <row r="111734" s="12" customFormat="1" x14ac:dyDescent="0.25"/>
    <row r="111735" s="12" customFormat="1" x14ac:dyDescent="0.25"/>
    <row r="111736" s="12" customFormat="1" x14ac:dyDescent="0.25"/>
    <row r="111737" s="12" customFormat="1" x14ac:dyDescent="0.25"/>
    <row r="111738" s="12" customFormat="1" x14ac:dyDescent="0.25"/>
    <row r="111739" s="12" customFormat="1" x14ac:dyDescent="0.25"/>
    <row r="111740" s="12" customFormat="1" x14ac:dyDescent="0.25"/>
    <row r="111741" s="12" customFormat="1" x14ac:dyDescent="0.25"/>
    <row r="111742" s="12" customFormat="1" x14ac:dyDescent="0.25"/>
    <row r="111743" s="12" customFormat="1" x14ac:dyDescent="0.25"/>
    <row r="111744" s="12" customFormat="1" x14ac:dyDescent="0.25"/>
    <row r="111745" s="12" customFormat="1" x14ac:dyDescent="0.25"/>
    <row r="111746" s="12" customFormat="1" x14ac:dyDescent="0.25"/>
    <row r="111747" s="12" customFormat="1" x14ac:dyDescent="0.25"/>
    <row r="111748" s="12" customFormat="1" x14ac:dyDescent="0.25"/>
    <row r="111749" s="12" customFormat="1" x14ac:dyDescent="0.25"/>
    <row r="111750" s="12" customFormat="1" x14ac:dyDescent="0.25"/>
    <row r="111751" s="12" customFormat="1" x14ac:dyDescent="0.25"/>
    <row r="111752" s="12" customFormat="1" x14ac:dyDescent="0.25"/>
    <row r="111753" s="12" customFormat="1" x14ac:dyDescent="0.25"/>
    <row r="111754" s="12" customFormat="1" x14ac:dyDescent="0.25"/>
    <row r="111755" s="12" customFormat="1" x14ac:dyDescent="0.25"/>
    <row r="111756" s="12" customFormat="1" x14ac:dyDescent="0.25"/>
    <row r="111757" s="12" customFormat="1" x14ac:dyDescent="0.25"/>
    <row r="111758" s="12" customFormat="1" x14ac:dyDescent="0.25"/>
    <row r="111759" s="12" customFormat="1" x14ac:dyDescent="0.25"/>
    <row r="111760" s="12" customFormat="1" x14ac:dyDescent="0.25"/>
    <row r="111761" s="12" customFormat="1" x14ac:dyDescent="0.25"/>
    <row r="111762" s="12" customFormat="1" x14ac:dyDescent="0.25"/>
    <row r="111763" s="12" customFormat="1" x14ac:dyDescent="0.25"/>
    <row r="111764" s="12" customFormat="1" x14ac:dyDescent="0.25"/>
    <row r="111765" s="12" customFormat="1" x14ac:dyDescent="0.25"/>
    <row r="111766" s="12" customFormat="1" x14ac:dyDescent="0.25"/>
    <row r="111767" s="12" customFormat="1" x14ac:dyDescent="0.25"/>
    <row r="111768" s="12" customFormat="1" x14ac:dyDescent="0.25"/>
    <row r="111769" s="12" customFormat="1" x14ac:dyDescent="0.25"/>
    <row r="111770" s="12" customFormat="1" x14ac:dyDescent="0.25"/>
    <row r="111771" s="12" customFormat="1" x14ac:dyDescent="0.25"/>
    <row r="111772" s="12" customFormat="1" x14ac:dyDescent="0.25"/>
    <row r="111773" s="12" customFormat="1" x14ac:dyDescent="0.25"/>
    <row r="111774" s="12" customFormat="1" x14ac:dyDescent="0.25"/>
    <row r="111775" s="12" customFormat="1" x14ac:dyDescent="0.25"/>
    <row r="111776" s="12" customFormat="1" x14ac:dyDescent="0.25"/>
    <row r="111777" s="12" customFormat="1" x14ac:dyDescent="0.25"/>
    <row r="111778" s="12" customFormat="1" x14ac:dyDescent="0.25"/>
    <row r="111779" s="12" customFormat="1" x14ac:dyDescent="0.25"/>
    <row r="111780" s="12" customFormat="1" x14ac:dyDescent="0.25"/>
    <row r="111781" s="12" customFormat="1" x14ac:dyDescent="0.25"/>
    <row r="111782" s="12" customFormat="1" x14ac:dyDescent="0.25"/>
    <row r="111783" s="12" customFormat="1" x14ac:dyDescent="0.25"/>
    <row r="111784" s="12" customFormat="1" x14ac:dyDescent="0.25"/>
    <row r="111785" s="12" customFormat="1" x14ac:dyDescent="0.25"/>
    <row r="111786" s="12" customFormat="1" x14ac:dyDescent="0.25"/>
    <row r="111787" s="12" customFormat="1" x14ac:dyDescent="0.25"/>
    <row r="111788" s="12" customFormat="1" x14ac:dyDescent="0.25"/>
    <row r="111789" s="12" customFormat="1" x14ac:dyDescent="0.25"/>
    <row r="111790" s="12" customFormat="1" x14ac:dyDescent="0.25"/>
    <row r="111791" s="12" customFormat="1" x14ac:dyDescent="0.25"/>
    <row r="111792" s="12" customFormat="1" x14ac:dyDescent="0.25"/>
    <row r="111793" s="12" customFormat="1" x14ac:dyDescent="0.25"/>
    <row r="111794" s="12" customFormat="1" x14ac:dyDescent="0.25"/>
    <row r="111795" s="12" customFormat="1" x14ac:dyDescent="0.25"/>
    <row r="111796" s="12" customFormat="1" x14ac:dyDescent="0.25"/>
    <row r="111797" s="12" customFormat="1" x14ac:dyDescent="0.25"/>
    <row r="111798" s="12" customFormat="1" x14ac:dyDescent="0.25"/>
    <row r="111799" s="12" customFormat="1" x14ac:dyDescent="0.25"/>
    <row r="111800" s="12" customFormat="1" x14ac:dyDescent="0.25"/>
    <row r="111801" s="12" customFormat="1" x14ac:dyDescent="0.25"/>
    <row r="111802" s="12" customFormat="1" x14ac:dyDescent="0.25"/>
    <row r="111803" s="12" customFormat="1" x14ac:dyDescent="0.25"/>
    <row r="111804" s="12" customFormat="1" x14ac:dyDescent="0.25"/>
    <row r="111805" s="12" customFormat="1" x14ac:dyDescent="0.25"/>
    <row r="111806" s="12" customFormat="1" x14ac:dyDescent="0.25"/>
    <row r="111807" s="12" customFormat="1" x14ac:dyDescent="0.25"/>
    <row r="111808" s="12" customFormat="1" x14ac:dyDescent="0.25"/>
    <row r="111809" s="12" customFormat="1" x14ac:dyDescent="0.25"/>
    <row r="111810" s="12" customFormat="1" x14ac:dyDescent="0.25"/>
    <row r="111811" s="12" customFormat="1" x14ac:dyDescent="0.25"/>
    <row r="111812" s="12" customFormat="1" x14ac:dyDescent="0.25"/>
    <row r="111813" s="12" customFormat="1" x14ac:dyDescent="0.25"/>
    <row r="111814" s="12" customFormat="1" x14ac:dyDescent="0.25"/>
    <row r="111815" s="12" customFormat="1" x14ac:dyDescent="0.25"/>
    <row r="111816" s="12" customFormat="1" x14ac:dyDescent="0.25"/>
    <row r="111817" s="12" customFormat="1" x14ac:dyDescent="0.25"/>
    <row r="111818" s="12" customFormat="1" x14ac:dyDescent="0.25"/>
    <row r="111819" s="12" customFormat="1" x14ac:dyDescent="0.25"/>
    <row r="111820" s="12" customFormat="1" x14ac:dyDescent="0.25"/>
    <row r="111821" s="12" customFormat="1" x14ac:dyDescent="0.25"/>
    <row r="111822" s="12" customFormat="1" x14ac:dyDescent="0.25"/>
    <row r="111823" s="12" customFormat="1" x14ac:dyDescent="0.25"/>
    <row r="111824" s="12" customFormat="1" x14ac:dyDescent="0.25"/>
    <row r="111825" s="12" customFormat="1" x14ac:dyDescent="0.25"/>
    <row r="111826" s="12" customFormat="1" x14ac:dyDescent="0.25"/>
    <row r="111827" s="12" customFormat="1" x14ac:dyDescent="0.25"/>
    <row r="111828" s="12" customFormat="1" x14ac:dyDescent="0.25"/>
    <row r="111829" s="12" customFormat="1" x14ac:dyDescent="0.25"/>
    <row r="111830" s="12" customFormat="1" x14ac:dyDescent="0.25"/>
    <row r="111831" s="12" customFormat="1" x14ac:dyDescent="0.25"/>
    <row r="111832" s="12" customFormat="1" x14ac:dyDescent="0.25"/>
    <row r="111833" s="12" customFormat="1" x14ac:dyDescent="0.25"/>
    <row r="111834" s="12" customFormat="1" x14ac:dyDescent="0.25"/>
    <row r="111835" s="12" customFormat="1" x14ac:dyDescent="0.25"/>
    <row r="111836" s="12" customFormat="1" x14ac:dyDescent="0.25"/>
    <row r="111837" s="12" customFormat="1" x14ac:dyDescent="0.25"/>
    <row r="111838" s="12" customFormat="1" x14ac:dyDescent="0.25"/>
    <row r="111839" s="12" customFormat="1" x14ac:dyDescent="0.25"/>
    <row r="111840" s="12" customFormat="1" x14ac:dyDescent="0.25"/>
    <row r="111841" s="12" customFormat="1" x14ac:dyDescent="0.25"/>
    <row r="111842" s="12" customFormat="1" x14ac:dyDescent="0.25"/>
    <row r="111843" s="12" customFormat="1" x14ac:dyDescent="0.25"/>
    <row r="111844" s="12" customFormat="1" x14ac:dyDescent="0.25"/>
    <row r="111845" s="12" customFormat="1" x14ac:dyDescent="0.25"/>
    <row r="111846" s="12" customFormat="1" x14ac:dyDescent="0.25"/>
    <row r="111847" s="12" customFormat="1" x14ac:dyDescent="0.25"/>
    <row r="111848" s="12" customFormat="1" x14ac:dyDescent="0.25"/>
    <row r="111849" s="12" customFormat="1" x14ac:dyDescent="0.25"/>
    <row r="111850" s="12" customFormat="1" x14ac:dyDescent="0.25"/>
    <row r="111851" s="12" customFormat="1" x14ac:dyDescent="0.25"/>
    <row r="111852" s="12" customFormat="1" x14ac:dyDescent="0.25"/>
    <row r="111853" s="12" customFormat="1" x14ac:dyDescent="0.25"/>
    <row r="111854" s="12" customFormat="1" x14ac:dyDescent="0.25"/>
    <row r="111855" s="12" customFormat="1" x14ac:dyDescent="0.25"/>
    <row r="111856" s="12" customFormat="1" x14ac:dyDescent="0.25"/>
    <row r="111857" s="12" customFormat="1" x14ac:dyDescent="0.25"/>
    <row r="111858" s="12" customFormat="1" x14ac:dyDescent="0.25"/>
    <row r="111859" s="12" customFormat="1" x14ac:dyDescent="0.25"/>
    <row r="111860" s="12" customFormat="1" x14ac:dyDescent="0.25"/>
    <row r="111861" s="12" customFormat="1" x14ac:dyDescent="0.25"/>
    <row r="111862" s="12" customFormat="1" x14ac:dyDescent="0.25"/>
    <row r="111863" s="12" customFormat="1" x14ac:dyDescent="0.25"/>
    <row r="111864" s="12" customFormat="1" x14ac:dyDescent="0.25"/>
    <row r="111865" s="12" customFormat="1" x14ac:dyDescent="0.25"/>
    <row r="111866" s="12" customFormat="1" x14ac:dyDescent="0.25"/>
    <row r="111867" s="12" customFormat="1" x14ac:dyDescent="0.25"/>
    <row r="111868" s="12" customFormat="1" x14ac:dyDescent="0.25"/>
    <row r="111869" s="12" customFormat="1" x14ac:dyDescent="0.25"/>
    <row r="111870" s="12" customFormat="1" x14ac:dyDescent="0.25"/>
    <row r="111871" s="12" customFormat="1" x14ac:dyDescent="0.25"/>
    <row r="111872" s="12" customFormat="1" x14ac:dyDescent="0.25"/>
    <row r="111873" s="12" customFormat="1" x14ac:dyDescent="0.25"/>
    <row r="111874" s="12" customFormat="1" x14ac:dyDescent="0.25"/>
    <row r="111875" s="12" customFormat="1" x14ac:dyDescent="0.25"/>
    <row r="111876" s="12" customFormat="1" x14ac:dyDescent="0.25"/>
    <row r="111877" s="12" customFormat="1" x14ac:dyDescent="0.25"/>
    <row r="111878" s="12" customFormat="1" x14ac:dyDescent="0.25"/>
    <row r="111879" s="12" customFormat="1" x14ac:dyDescent="0.25"/>
    <row r="111880" s="12" customFormat="1" x14ac:dyDescent="0.25"/>
    <row r="111881" s="12" customFormat="1" x14ac:dyDescent="0.25"/>
    <row r="111882" s="12" customFormat="1" x14ac:dyDescent="0.25"/>
    <row r="111883" s="12" customFormat="1" x14ac:dyDescent="0.25"/>
    <row r="111884" s="12" customFormat="1" x14ac:dyDescent="0.25"/>
    <row r="111885" s="12" customFormat="1" x14ac:dyDescent="0.25"/>
    <row r="111886" s="12" customFormat="1" x14ac:dyDescent="0.25"/>
    <row r="111887" s="12" customFormat="1" x14ac:dyDescent="0.25"/>
    <row r="111888" s="12" customFormat="1" x14ac:dyDescent="0.25"/>
    <row r="111889" s="12" customFormat="1" x14ac:dyDescent="0.25"/>
    <row r="111890" s="12" customFormat="1" x14ac:dyDescent="0.25"/>
    <row r="111891" s="12" customFormat="1" x14ac:dyDescent="0.25"/>
    <row r="111892" s="12" customFormat="1" x14ac:dyDescent="0.25"/>
    <row r="111893" s="12" customFormat="1" x14ac:dyDescent="0.25"/>
    <row r="111894" s="12" customFormat="1" x14ac:dyDescent="0.25"/>
    <row r="111895" s="12" customFormat="1" x14ac:dyDescent="0.25"/>
    <row r="111896" s="12" customFormat="1" x14ac:dyDescent="0.25"/>
    <row r="111897" s="12" customFormat="1" x14ac:dyDescent="0.25"/>
    <row r="111898" s="12" customFormat="1" x14ac:dyDescent="0.25"/>
    <row r="111899" s="12" customFormat="1" x14ac:dyDescent="0.25"/>
    <row r="111900" s="12" customFormat="1" x14ac:dyDescent="0.25"/>
    <row r="111901" s="12" customFormat="1" x14ac:dyDescent="0.25"/>
    <row r="111902" s="12" customFormat="1" x14ac:dyDescent="0.25"/>
    <row r="111903" s="12" customFormat="1" x14ac:dyDescent="0.25"/>
    <row r="111904" s="12" customFormat="1" x14ac:dyDescent="0.25"/>
    <row r="111905" s="12" customFormat="1" x14ac:dyDescent="0.25"/>
    <row r="111906" s="12" customFormat="1" x14ac:dyDescent="0.25"/>
    <row r="111907" s="12" customFormat="1" x14ac:dyDescent="0.25"/>
    <row r="111908" s="12" customFormat="1" x14ac:dyDescent="0.25"/>
    <row r="111909" s="12" customFormat="1" x14ac:dyDescent="0.25"/>
    <row r="111910" s="12" customFormat="1" x14ac:dyDescent="0.25"/>
    <row r="111911" s="12" customFormat="1" x14ac:dyDescent="0.25"/>
    <row r="111912" s="12" customFormat="1" x14ac:dyDescent="0.25"/>
    <row r="111913" s="12" customFormat="1" x14ac:dyDescent="0.25"/>
    <row r="111914" s="12" customFormat="1" x14ac:dyDescent="0.25"/>
    <row r="111915" s="12" customFormat="1" x14ac:dyDescent="0.25"/>
    <row r="111916" s="12" customFormat="1" x14ac:dyDescent="0.25"/>
    <row r="111917" s="12" customFormat="1" x14ac:dyDescent="0.25"/>
    <row r="111918" s="12" customFormat="1" x14ac:dyDescent="0.25"/>
    <row r="111919" s="12" customFormat="1" x14ac:dyDescent="0.25"/>
    <row r="111920" s="12" customFormat="1" x14ac:dyDescent="0.25"/>
    <row r="111921" s="12" customFormat="1" x14ac:dyDescent="0.25"/>
    <row r="111922" s="12" customFormat="1" x14ac:dyDescent="0.25"/>
    <row r="111923" s="12" customFormat="1" x14ac:dyDescent="0.25"/>
    <row r="111924" s="12" customFormat="1" x14ac:dyDescent="0.25"/>
    <row r="111925" s="12" customFormat="1" x14ac:dyDescent="0.25"/>
    <row r="111926" s="12" customFormat="1" x14ac:dyDescent="0.25"/>
    <row r="111927" s="12" customFormat="1" x14ac:dyDescent="0.25"/>
    <row r="111928" s="12" customFormat="1" x14ac:dyDescent="0.25"/>
    <row r="111929" s="12" customFormat="1" x14ac:dyDescent="0.25"/>
    <row r="111930" s="12" customFormat="1" x14ac:dyDescent="0.25"/>
    <row r="111931" s="12" customFormat="1" x14ac:dyDescent="0.25"/>
    <row r="111932" s="12" customFormat="1" x14ac:dyDescent="0.25"/>
    <row r="111933" s="12" customFormat="1" x14ac:dyDescent="0.25"/>
    <row r="111934" s="12" customFormat="1" x14ac:dyDescent="0.25"/>
    <row r="111935" s="12" customFormat="1" x14ac:dyDescent="0.25"/>
    <row r="111936" s="12" customFormat="1" x14ac:dyDescent="0.25"/>
    <row r="111937" s="12" customFormat="1" x14ac:dyDescent="0.25"/>
    <row r="111938" s="12" customFormat="1" x14ac:dyDescent="0.25"/>
    <row r="111939" s="12" customFormat="1" x14ac:dyDescent="0.25"/>
    <row r="111940" s="12" customFormat="1" x14ac:dyDescent="0.25"/>
    <row r="111941" s="12" customFormat="1" x14ac:dyDescent="0.25"/>
    <row r="111942" s="12" customFormat="1" x14ac:dyDescent="0.25"/>
    <row r="111943" s="12" customFormat="1" x14ac:dyDescent="0.25"/>
    <row r="111944" s="12" customFormat="1" x14ac:dyDescent="0.25"/>
    <row r="111945" s="12" customFormat="1" x14ac:dyDescent="0.25"/>
    <row r="111946" s="12" customFormat="1" x14ac:dyDescent="0.25"/>
    <row r="111947" s="12" customFormat="1" x14ac:dyDescent="0.25"/>
    <row r="111948" s="12" customFormat="1" x14ac:dyDescent="0.25"/>
    <row r="111949" s="12" customFormat="1" x14ac:dyDescent="0.25"/>
    <row r="111950" s="12" customFormat="1" x14ac:dyDescent="0.25"/>
    <row r="111951" s="12" customFormat="1" x14ac:dyDescent="0.25"/>
    <row r="111952" s="12" customFormat="1" x14ac:dyDescent="0.25"/>
    <row r="111953" s="12" customFormat="1" x14ac:dyDescent="0.25"/>
    <row r="111954" s="12" customFormat="1" x14ac:dyDescent="0.25"/>
    <row r="111955" s="12" customFormat="1" x14ac:dyDescent="0.25"/>
    <row r="111956" s="12" customFormat="1" x14ac:dyDescent="0.25"/>
    <row r="111957" s="12" customFormat="1" x14ac:dyDescent="0.25"/>
    <row r="111958" s="12" customFormat="1" x14ac:dyDescent="0.25"/>
    <row r="111959" s="12" customFormat="1" x14ac:dyDescent="0.25"/>
    <row r="111960" s="12" customFormat="1" x14ac:dyDescent="0.25"/>
    <row r="111961" s="12" customFormat="1" x14ac:dyDescent="0.25"/>
    <row r="111962" s="12" customFormat="1" x14ac:dyDescent="0.25"/>
    <row r="111963" s="12" customFormat="1" x14ac:dyDescent="0.25"/>
    <row r="111964" s="12" customFormat="1" x14ac:dyDescent="0.25"/>
    <row r="111965" s="12" customFormat="1" x14ac:dyDescent="0.25"/>
    <row r="111966" s="12" customFormat="1" x14ac:dyDescent="0.25"/>
    <row r="111967" s="12" customFormat="1" x14ac:dyDescent="0.25"/>
    <row r="111968" s="12" customFormat="1" x14ac:dyDescent="0.25"/>
    <row r="111969" s="12" customFormat="1" x14ac:dyDescent="0.25"/>
    <row r="111970" s="12" customFormat="1" x14ac:dyDescent="0.25"/>
    <row r="111971" s="12" customFormat="1" x14ac:dyDescent="0.25"/>
    <row r="111972" s="12" customFormat="1" x14ac:dyDescent="0.25"/>
    <row r="111973" s="12" customFormat="1" x14ac:dyDescent="0.25"/>
    <row r="111974" s="12" customFormat="1" x14ac:dyDescent="0.25"/>
    <row r="111975" s="12" customFormat="1" x14ac:dyDescent="0.25"/>
    <row r="111976" s="12" customFormat="1" x14ac:dyDescent="0.25"/>
    <row r="111977" s="12" customFormat="1" x14ac:dyDescent="0.25"/>
    <row r="111978" s="12" customFormat="1" x14ac:dyDescent="0.25"/>
    <row r="111979" s="12" customFormat="1" x14ac:dyDescent="0.25"/>
    <row r="111980" s="12" customFormat="1" x14ac:dyDescent="0.25"/>
    <row r="111981" s="12" customFormat="1" x14ac:dyDescent="0.25"/>
    <row r="111982" s="12" customFormat="1" x14ac:dyDescent="0.25"/>
    <row r="111983" s="12" customFormat="1" x14ac:dyDescent="0.25"/>
    <row r="111984" s="12" customFormat="1" x14ac:dyDescent="0.25"/>
    <row r="111985" s="12" customFormat="1" x14ac:dyDescent="0.25"/>
    <row r="111986" s="12" customFormat="1" x14ac:dyDescent="0.25"/>
    <row r="111987" s="12" customFormat="1" x14ac:dyDescent="0.25"/>
    <row r="111988" s="12" customFormat="1" x14ac:dyDescent="0.25"/>
    <row r="111989" s="12" customFormat="1" x14ac:dyDescent="0.25"/>
    <row r="111990" s="12" customFormat="1" x14ac:dyDescent="0.25"/>
    <row r="111991" s="12" customFormat="1" x14ac:dyDescent="0.25"/>
    <row r="111992" s="12" customFormat="1" x14ac:dyDescent="0.25"/>
    <row r="111993" s="12" customFormat="1" x14ac:dyDescent="0.25"/>
    <row r="111994" s="12" customFormat="1" x14ac:dyDescent="0.25"/>
    <row r="111995" s="12" customFormat="1" x14ac:dyDescent="0.25"/>
    <row r="111996" s="12" customFormat="1" x14ac:dyDescent="0.25"/>
    <row r="111997" s="12" customFormat="1" x14ac:dyDescent="0.25"/>
    <row r="111998" s="12" customFormat="1" x14ac:dyDescent="0.25"/>
    <row r="111999" s="12" customFormat="1" x14ac:dyDescent="0.25"/>
    <row r="112000" s="12" customFormat="1" x14ac:dyDescent="0.25"/>
    <row r="112001" s="12" customFormat="1" x14ac:dyDescent="0.25"/>
    <row r="112002" s="12" customFormat="1" x14ac:dyDescent="0.25"/>
    <row r="112003" s="12" customFormat="1" x14ac:dyDescent="0.25"/>
    <row r="112004" s="12" customFormat="1" x14ac:dyDescent="0.25"/>
    <row r="112005" s="12" customFormat="1" x14ac:dyDescent="0.25"/>
    <row r="112006" s="12" customFormat="1" x14ac:dyDescent="0.25"/>
    <row r="112007" s="12" customFormat="1" x14ac:dyDescent="0.25"/>
    <row r="112008" s="12" customFormat="1" x14ac:dyDescent="0.25"/>
    <row r="112009" s="12" customFormat="1" x14ac:dyDescent="0.25"/>
    <row r="112010" s="12" customFormat="1" x14ac:dyDescent="0.25"/>
    <row r="112011" s="12" customFormat="1" x14ac:dyDescent="0.25"/>
    <row r="112012" s="12" customFormat="1" x14ac:dyDescent="0.25"/>
    <row r="112013" s="12" customFormat="1" x14ac:dyDescent="0.25"/>
    <row r="112014" s="12" customFormat="1" x14ac:dyDescent="0.25"/>
    <row r="112015" s="12" customFormat="1" x14ac:dyDescent="0.25"/>
    <row r="112016" s="12" customFormat="1" x14ac:dyDescent="0.25"/>
    <row r="112017" s="12" customFormat="1" x14ac:dyDescent="0.25"/>
    <row r="112018" s="12" customFormat="1" x14ac:dyDescent="0.25"/>
    <row r="112019" s="12" customFormat="1" x14ac:dyDescent="0.25"/>
    <row r="112020" s="12" customFormat="1" x14ac:dyDescent="0.25"/>
    <row r="112021" s="12" customFormat="1" x14ac:dyDescent="0.25"/>
    <row r="112022" s="12" customFormat="1" x14ac:dyDescent="0.25"/>
    <row r="112023" s="12" customFormat="1" x14ac:dyDescent="0.25"/>
    <row r="112024" s="12" customFormat="1" x14ac:dyDescent="0.25"/>
    <row r="112025" s="12" customFormat="1" x14ac:dyDescent="0.25"/>
    <row r="112026" s="12" customFormat="1" x14ac:dyDescent="0.25"/>
    <row r="112027" s="12" customFormat="1" x14ac:dyDescent="0.25"/>
    <row r="112028" s="12" customFormat="1" x14ac:dyDescent="0.25"/>
    <row r="112029" s="12" customFormat="1" x14ac:dyDescent="0.25"/>
    <row r="112030" s="12" customFormat="1" x14ac:dyDescent="0.25"/>
    <row r="112031" s="12" customFormat="1" x14ac:dyDescent="0.25"/>
    <row r="112032" s="12" customFormat="1" x14ac:dyDescent="0.25"/>
    <row r="112033" s="12" customFormat="1" x14ac:dyDescent="0.25"/>
    <row r="112034" s="12" customFormat="1" x14ac:dyDescent="0.25"/>
    <row r="112035" s="12" customFormat="1" x14ac:dyDescent="0.25"/>
    <row r="112036" s="12" customFormat="1" x14ac:dyDescent="0.25"/>
    <row r="112037" s="12" customFormat="1" x14ac:dyDescent="0.25"/>
    <row r="112038" s="12" customFormat="1" x14ac:dyDescent="0.25"/>
    <row r="112039" s="12" customFormat="1" x14ac:dyDescent="0.25"/>
    <row r="112040" s="12" customFormat="1" x14ac:dyDescent="0.25"/>
    <row r="112041" s="12" customFormat="1" x14ac:dyDescent="0.25"/>
    <row r="112042" s="12" customFormat="1" x14ac:dyDescent="0.25"/>
    <row r="112043" s="12" customFormat="1" x14ac:dyDescent="0.25"/>
    <row r="112044" s="12" customFormat="1" x14ac:dyDescent="0.25"/>
    <row r="112045" s="12" customFormat="1" x14ac:dyDescent="0.25"/>
    <row r="112046" s="12" customFormat="1" x14ac:dyDescent="0.25"/>
    <row r="112047" s="12" customFormat="1" x14ac:dyDescent="0.25"/>
    <row r="112048" s="12" customFormat="1" x14ac:dyDescent="0.25"/>
    <row r="112049" s="12" customFormat="1" x14ac:dyDescent="0.25"/>
    <row r="112050" s="12" customFormat="1" x14ac:dyDescent="0.25"/>
    <row r="112051" s="12" customFormat="1" x14ac:dyDescent="0.25"/>
    <row r="112052" s="12" customFormat="1" x14ac:dyDescent="0.25"/>
    <row r="112053" s="12" customFormat="1" x14ac:dyDescent="0.25"/>
    <row r="112054" s="12" customFormat="1" x14ac:dyDescent="0.25"/>
    <row r="112055" s="12" customFormat="1" x14ac:dyDescent="0.25"/>
    <row r="112056" s="12" customFormat="1" x14ac:dyDescent="0.25"/>
    <row r="112057" s="12" customFormat="1" x14ac:dyDescent="0.25"/>
    <row r="112058" s="12" customFormat="1" x14ac:dyDescent="0.25"/>
    <row r="112059" s="12" customFormat="1" x14ac:dyDescent="0.25"/>
    <row r="112060" s="12" customFormat="1" x14ac:dyDescent="0.25"/>
    <row r="112061" s="12" customFormat="1" x14ac:dyDescent="0.25"/>
    <row r="112062" s="12" customFormat="1" x14ac:dyDescent="0.25"/>
    <row r="112063" s="12" customFormat="1" x14ac:dyDescent="0.25"/>
    <row r="112064" s="12" customFormat="1" x14ac:dyDescent="0.25"/>
    <row r="112065" s="12" customFormat="1" x14ac:dyDescent="0.25"/>
    <row r="112066" s="12" customFormat="1" x14ac:dyDescent="0.25"/>
    <row r="112067" s="12" customFormat="1" x14ac:dyDescent="0.25"/>
    <row r="112068" s="12" customFormat="1" x14ac:dyDescent="0.25"/>
    <row r="112069" s="12" customFormat="1" x14ac:dyDescent="0.25"/>
    <row r="112070" s="12" customFormat="1" x14ac:dyDescent="0.25"/>
    <row r="112071" s="12" customFormat="1" x14ac:dyDescent="0.25"/>
    <row r="112072" s="12" customFormat="1" x14ac:dyDescent="0.25"/>
    <row r="112073" s="12" customFormat="1" x14ac:dyDescent="0.25"/>
    <row r="112074" s="12" customFormat="1" x14ac:dyDescent="0.25"/>
    <row r="112075" s="12" customFormat="1" x14ac:dyDescent="0.25"/>
    <row r="112076" s="12" customFormat="1" x14ac:dyDescent="0.25"/>
    <row r="112077" s="12" customFormat="1" x14ac:dyDescent="0.25"/>
    <row r="112078" s="12" customFormat="1" x14ac:dyDescent="0.25"/>
    <row r="112079" s="12" customFormat="1" x14ac:dyDescent="0.25"/>
    <row r="112080" s="12" customFormat="1" x14ac:dyDescent="0.25"/>
    <row r="112081" s="12" customFormat="1" x14ac:dyDescent="0.25"/>
    <row r="112082" s="12" customFormat="1" x14ac:dyDescent="0.25"/>
    <row r="112083" s="12" customFormat="1" x14ac:dyDescent="0.25"/>
    <row r="112084" s="12" customFormat="1" x14ac:dyDescent="0.25"/>
    <row r="112085" s="12" customFormat="1" x14ac:dyDescent="0.25"/>
    <row r="112086" s="12" customFormat="1" x14ac:dyDescent="0.25"/>
    <row r="112087" s="12" customFormat="1" x14ac:dyDescent="0.25"/>
    <row r="112088" s="12" customFormat="1" x14ac:dyDescent="0.25"/>
    <row r="112089" s="12" customFormat="1" x14ac:dyDescent="0.25"/>
    <row r="112090" s="12" customFormat="1" x14ac:dyDescent="0.25"/>
    <row r="112091" s="12" customFormat="1" x14ac:dyDescent="0.25"/>
    <row r="112092" s="12" customFormat="1" x14ac:dyDescent="0.25"/>
    <row r="112093" s="12" customFormat="1" x14ac:dyDescent="0.25"/>
    <row r="112094" s="12" customFormat="1" x14ac:dyDescent="0.25"/>
    <row r="112095" s="12" customFormat="1" x14ac:dyDescent="0.25"/>
    <row r="112096" s="12" customFormat="1" x14ac:dyDescent="0.25"/>
    <row r="112097" s="12" customFormat="1" x14ac:dyDescent="0.25"/>
    <row r="112098" s="12" customFormat="1" x14ac:dyDescent="0.25"/>
    <row r="112099" s="12" customFormat="1" x14ac:dyDescent="0.25"/>
    <row r="112100" s="12" customFormat="1" x14ac:dyDescent="0.25"/>
    <row r="112101" s="12" customFormat="1" x14ac:dyDescent="0.25"/>
    <row r="112102" s="12" customFormat="1" x14ac:dyDescent="0.25"/>
    <row r="112103" s="12" customFormat="1" x14ac:dyDescent="0.25"/>
    <row r="112104" s="12" customFormat="1" x14ac:dyDescent="0.25"/>
    <row r="112105" s="12" customFormat="1" x14ac:dyDescent="0.25"/>
    <row r="112106" s="12" customFormat="1" x14ac:dyDescent="0.25"/>
    <row r="112107" s="12" customFormat="1" x14ac:dyDescent="0.25"/>
    <row r="112108" s="12" customFormat="1" x14ac:dyDescent="0.25"/>
    <row r="112109" s="12" customFormat="1" x14ac:dyDescent="0.25"/>
    <row r="112110" s="12" customFormat="1" x14ac:dyDescent="0.25"/>
    <row r="112111" s="12" customFormat="1" x14ac:dyDescent="0.25"/>
    <row r="112112" s="12" customFormat="1" x14ac:dyDescent="0.25"/>
    <row r="112113" s="12" customFormat="1" x14ac:dyDescent="0.25"/>
    <row r="112114" s="12" customFormat="1" x14ac:dyDescent="0.25"/>
    <row r="112115" s="12" customFormat="1" x14ac:dyDescent="0.25"/>
    <row r="112116" s="12" customFormat="1" x14ac:dyDescent="0.25"/>
    <row r="112117" s="12" customFormat="1" x14ac:dyDescent="0.25"/>
    <row r="112118" s="12" customFormat="1" x14ac:dyDescent="0.25"/>
    <row r="112119" s="12" customFormat="1" x14ac:dyDescent="0.25"/>
    <row r="112120" s="12" customFormat="1" x14ac:dyDescent="0.25"/>
    <row r="112121" s="12" customFormat="1" x14ac:dyDescent="0.25"/>
    <row r="112122" s="12" customFormat="1" x14ac:dyDescent="0.25"/>
    <row r="112123" s="12" customFormat="1" x14ac:dyDescent="0.25"/>
    <row r="112124" s="12" customFormat="1" x14ac:dyDescent="0.25"/>
    <row r="112125" s="12" customFormat="1" x14ac:dyDescent="0.25"/>
    <row r="112126" s="12" customFormat="1" x14ac:dyDescent="0.25"/>
    <row r="112127" s="12" customFormat="1" x14ac:dyDescent="0.25"/>
    <row r="112128" s="12" customFormat="1" x14ac:dyDescent="0.25"/>
    <row r="112129" s="12" customFormat="1" x14ac:dyDescent="0.25"/>
    <row r="112130" s="12" customFormat="1" x14ac:dyDescent="0.25"/>
    <row r="112131" s="12" customFormat="1" x14ac:dyDescent="0.25"/>
    <row r="112132" s="12" customFormat="1" x14ac:dyDescent="0.25"/>
    <row r="112133" s="12" customFormat="1" x14ac:dyDescent="0.25"/>
    <row r="112134" s="12" customFormat="1" x14ac:dyDescent="0.25"/>
    <row r="112135" s="12" customFormat="1" x14ac:dyDescent="0.25"/>
    <row r="112136" s="12" customFormat="1" x14ac:dyDescent="0.25"/>
    <row r="112137" s="12" customFormat="1" x14ac:dyDescent="0.25"/>
    <row r="112138" s="12" customFormat="1" x14ac:dyDescent="0.25"/>
    <row r="112139" s="12" customFormat="1" x14ac:dyDescent="0.25"/>
    <row r="112140" s="12" customFormat="1" x14ac:dyDescent="0.25"/>
    <row r="112141" s="12" customFormat="1" x14ac:dyDescent="0.25"/>
    <row r="112142" s="12" customFormat="1" x14ac:dyDescent="0.25"/>
    <row r="112143" s="12" customFormat="1" x14ac:dyDescent="0.25"/>
    <row r="112144" s="12" customFormat="1" x14ac:dyDescent="0.25"/>
    <row r="112145" s="12" customFormat="1" x14ac:dyDescent="0.25"/>
    <row r="112146" s="12" customFormat="1" x14ac:dyDescent="0.25"/>
    <row r="112147" s="12" customFormat="1" x14ac:dyDescent="0.25"/>
    <row r="112148" s="12" customFormat="1" x14ac:dyDescent="0.25"/>
    <row r="112149" s="12" customFormat="1" x14ac:dyDescent="0.25"/>
    <row r="112150" s="12" customFormat="1" x14ac:dyDescent="0.25"/>
    <row r="112151" s="12" customFormat="1" x14ac:dyDescent="0.25"/>
    <row r="112152" s="12" customFormat="1" x14ac:dyDescent="0.25"/>
    <row r="112153" s="12" customFormat="1" x14ac:dyDescent="0.25"/>
    <row r="112154" s="12" customFormat="1" x14ac:dyDescent="0.25"/>
    <row r="112155" s="12" customFormat="1" x14ac:dyDescent="0.25"/>
    <row r="112156" s="12" customFormat="1" x14ac:dyDescent="0.25"/>
    <row r="112157" s="12" customFormat="1" x14ac:dyDescent="0.25"/>
    <row r="112158" s="12" customFormat="1" x14ac:dyDescent="0.25"/>
    <row r="112159" s="12" customFormat="1" x14ac:dyDescent="0.25"/>
    <row r="112160" s="12" customFormat="1" x14ac:dyDescent="0.25"/>
    <row r="112161" s="12" customFormat="1" x14ac:dyDescent="0.25"/>
    <row r="112162" s="12" customFormat="1" x14ac:dyDescent="0.25"/>
    <row r="112163" s="12" customFormat="1" x14ac:dyDescent="0.25"/>
    <row r="112164" s="12" customFormat="1" x14ac:dyDescent="0.25"/>
    <row r="112165" s="12" customFormat="1" x14ac:dyDescent="0.25"/>
    <row r="112166" s="12" customFormat="1" x14ac:dyDescent="0.25"/>
    <row r="112167" s="12" customFormat="1" x14ac:dyDescent="0.25"/>
    <row r="112168" s="12" customFormat="1" x14ac:dyDescent="0.25"/>
    <row r="112169" s="12" customFormat="1" x14ac:dyDescent="0.25"/>
    <row r="112170" s="12" customFormat="1" x14ac:dyDescent="0.25"/>
    <row r="112171" s="12" customFormat="1" x14ac:dyDescent="0.25"/>
    <row r="112172" s="12" customFormat="1" x14ac:dyDescent="0.25"/>
    <row r="112173" s="12" customFormat="1" x14ac:dyDescent="0.25"/>
    <row r="112174" s="12" customFormat="1" x14ac:dyDescent="0.25"/>
    <row r="112175" s="12" customFormat="1" x14ac:dyDescent="0.25"/>
    <row r="112176" s="12" customFormat="1" x14ac:dyDescent="0.25"/>
    <row r="112177" s="12" customFormat="1" x14ac:dyDescent="0.25"/>
    <row r="112178" s="12" customFormat="1" x14ac:dyDescent="0.25"/>
    <row r="112179" s="12" customFormat="1" x14ac:dyDescent="0.25"/>
    <row r="112180" s="12" customFormat="1" x14ac:dyDescent="0.25"/>
    <row r="112181" s="12" customFormat="1" x14ac:dyDescent="0.25"/>
    <row r="112182" s="12" customFormat="1" x14ac:dyDescent="0.25"/>
    <row r="112183" s="12" customFormat="1" x14ac:dyDescent="0.25"/>
    <row r="112184" s="12" customFormat="1" x14ac:dyDescent="0.25"/>
    <row r="112185" s="12" customFormat="1" x14ac:dyDescent="0.25"/>
    <row r="112186" s="12" customFormat="1" x14ac:dyDescent="0.25"/>
    <row r="112187" s="12" customFormat="1" x14ac:dyDescent="0.25"/>
    <row r="112188" s="12" customFormat="1" x14ac:dyDescent="0.25"/>
    <row r="112189" s="12" customFormat="1" x14ac:dyDescent="0.25"/>
    <row r="112190" s="12" customFormat="1" x14ac:dyDescent="0.25"/>
    <row r="112191" s="12" customFormat="1" x14ac:dyDescent="0.25"/>
    <row r="112192" s="12" customFormat="1" x14ac:dyDescent="0.25"/>
    <row r="112193" s="12" customFormat="1" x14ac:dyDescent="0.25"/>
    <row r="112194" s="12" customFormat="1" x14ac:dyDescent="0.25"/>
    <row r="112195" s="12" customFormat="1" x14ac:dyDescent="0.25"/>
    <row r="112196" s="12" customFormat="1" x14ac:dyDescent="0.25"/>
    <row r="112197" s="12" customFormat="1" x14ac:dyDescent="0.25"/>
    <row r="112198" s="12" customFormat="1" x14ac:dyDescent="0.25"/>
    <row r="112199" s="12" customFormat="1" x14ac:dyDescent="0.25"/>
    <row r="112200" s="12" customFormat="1" x14ac:dyDescent="0.25"/>
    <row r="112201" s="12" customFormat="1" x14ac:dyDescent="0.25"/>
    <row r="112202" s="12" customFormat="1" x14ac:dyDescent="0.25"/>
    <row r="112203" s="12" customFormat="1" x14ac:dyDescent="0.25"/>
    <row r="112204" s="12" customFormat="1" x14ac:dyDescent="0.25"/>
    <row r="112205" s="12" customFormat="1" x14ac:dyDescent="0.25"/>
    <row r="112206" s="12" customFormat="1" x14ac:dyDescent="0.25"/>
    <row r="112207" s="12" customFormat="1" x14ac:dyDescent="0.25"/>
    <row r="112208" s="12" customFormat="1" x14ac:dyDescent="0.25"/>
    <row r="112209" s="12" customFormat="1" x14ac:dyDescent="0.25"/>
    <row r="112210" s="12" customFormat="1" x14ac:dyDescent="0.25"/>
    <row r="112211" s="12" customFormat="1" x14ac:dyDescent="0.25"/>
    <row r="112212" s="12" customFormat="1" x14ac:dyDescent="0.25"/>
    <row r="112213" s="12" customFormat="1" x14ac:dyDescent="0.25"/>
    <row r="112214" s="12" customFormat="1" x14ac:dyDescent="0.25"/>
    <row r="112215" s="12" customFormat="1" x14ac:dyDescent="0.25"/>
    <row r="112216" s="12" customFormat="1" x14ac:dyDescent="0.25"/>
    <row r="112217" s="12" customFormat="1" x14ac:dyDescent="0.25"/>
    <row r="112218" s="12" customFormat="1" x14ac:dyDescent="0.25"/>
    <row r="112219" s="12" customFormat="1" x14ac:dyDescent="0.25"/>
    <row r="112220" s="12" customFormat="1" x14ac:dyDescent="0.25"/>
    <row r="112221" s="12" customFormat="1" x14ac:dyDescent="0.25"/>
    <row r="112222" s="12" customFormat="1" x14ac:dyDescent="0.25"/>
    <row r="112223" s="12" customFormat="1" x14ac:dyDescent="0.25"/>
    <row r="112224" s="12" customFormat="1" x14ac:dyDescent="0.25"/>
    <row r="112225" s="12" customFormat="1" x14ac:dyDescent="0.25"/>
    <row r="112226" s="12" customFormat="1" x14ac:dyDescent="0.25"/>
    <row r="112227" s="12" customFormat="1" x14ac:dyDescent="0.25"/>
    <row r="112228" s="12" customFormat="1" x14ac:dyDescent="0.25"/>
    <row r="112229" s="12" customFormat="1" x14ac:dyDescent="0.25"/>
    <row r="112230" s="12" customFormat="1" x14ac:dyDescent="0.25"/>
    <row r="112231" s="12" customFormat="1" x14ac:dyDescent="0.25"/>
    <row r="112232" s="12" customFormat="1" x14ac:dyDescent="0.25"/>
    <row r="112233" s="12" customFormat="1" x14ac:dyDescent="0.25"/>
    <row r="112234" s="12" customFormat="1" x14ac:dyDescent="0.25"/>
    <row r="112235" s="12" customFormat="1" x14ac:dyDescent="0.25"/>
    <row r="112236" s="12" customFormat="1" x14ac:dyDescent="0.25"/>
    <row r="112237" s="12" customFormat="1" x14ac:dyDescent="0.25"/>
    <row r="112238" s="12" customFormat="1" x14ac:dyDescent="0.25"/>
    <row r="112239" s="12" customFormat="1" x14ac:dyDescent="0.25"/>
    <row r="112240" s="12" customFormat="1" x14ac:dyDescent="0.25"/>
    <row r="112241" s="12" customFormat="1" x14ac:dyDescent="0.25"/>
    <row r="112242" s="12" customFormat="1" x14ac:dyDescent="0.25"/>
    <row r="112243" s="12" customFormat="1" x14ac:dyDescent="0.25"/>
    <row r="112244" s="12" customFormat="1" x14ac:dyDescent="0.25"/>
    <row r="112245" s="12" customFormat="1" x14ac:dyDescent="0.25"/>
    <row r="112246" s="12" customFormat="1" x14ac:dyDescent="0.25"/>
    <row r="112247" s="12" customFormat="1" x14ac:dyDescent="0.25"/>
    <row r="112248" s="12" customFormat="1" x14ac:dyDescent="0.25"/>
    <row r="112249" s="12" customFormat="1" x14ac:dyDescent="0.25"/>
    <row r="112250" s="12" customFormat="1" x14ac:dyDescent="0.25"/>
    <row r="112251" s="12" customFormat="1" x14ac:dyDescent="0.25"/>
    <row r="112252" s="12" customFormat="1" x14ac:dyDescent="0.25"/>
    <row r="112253" s="12" customFormat="1" x14ac:dyDescent="0.25"/>
    <row r="112254" s="12" customFormat="1" x14ac:dyDescent="0.25"/>
    <row r="112255" s="12" customFormat="1" x14ac:dyDescent="0.25"/>
    <row r="112256" s="12" customFormat="1" x14ac:dyDescent="0.25"/>
    <row r="112257" s="12" customFormat="1" x14ac:dyDescent="0.25"/>
    <row r="112258" s="12" customFormat="1" x14ac:dyDescent="0.25"/>
    <row r="112259" s="12" customFormat="1" x14ac:dyDescent="0.25"/>
    <row r="112260" s="12" customFormat="1" x14ac:dyDescent="0.25"/>
    <row r="112261" s="12" customFormat="1" x14ac:dyDescent="0.25"/>
    <row r="112262" s="12" customFormat="1" x14ac:dyDescent="0.25"/>
    <row r="112263" s="12" customFormat="1" x14ac:dyDescent="0.25"/>
    <row r="112264" s="12" customFormat="1" x14ac:dyDescent="0.25"/>
    <row r="112265" s="12" customFormat="1" x14ac:dyDescent="0.25"/>
    <row r="112266" s="12" customFormat="1" x14ac:dyDescent="0.25"/>
    <row r="112267" s="12" customFormat="1" x14ac:dyDescent="0.25"/>
    <row r="112268" s="12" customFormat="1" x14ac:dyDescent="0.25"/>
    <row r="112269" s="12" customFormat="1" x14ac:dyDescent="0.25"/>
    <row r="112270" s="12" customFormat="1" x14ac:dyDescent="0.25"/>
    <row r="112271" s="12" customFormat="1" x14ac:dyDescent="0.25"/>
    <row r="112272" s="12" customFormat="1" x14ac:dyDescent="0.25"/>
    <row r="112273" s="12" customFormat="1" x14ac:dyDescent="0.25"/>
    <row r="112274" s="12" customFormat="1" x14ac:dyDescent="0.25"/>
    <row r="112275" s="12" customFormat="1" x14ac:dyDescent="0.25"/>
    <row r="112276" s="12" customFormat="1" x14ac:dyDescent="0.25"/>
    <row r="112277" s="12" customFormat="1" x14ac:dyDescent="0.25"/>
    <row r="112278" s="12" customFormat="1" x14ac:dyDescent="0.25"/>
    <row r="112279" s="12" customFormat="1" x14ac:dyDescent="0.25"/>
    <row r="112280" s="12" customFormat="1" x14ac:dyDescent="0.25"/>
    <row r="112281" s="12" customFormat="1" x14ac:dyDescent="0.25"/>
    <row r="112282" s="12" customFormat="1" x14ac:dyDescent="0.25"/>
    <row r="112283" s="12" customFormat="1" x14ac:dyDescent="0.25"/>
    <row r="112284" s="12" customFormat="1" x14ac:dyDescent="0.25"/>
    <row r="112285" s="12" customFormat="1" x14ac:dyDescent="0.25"/>
    <row r="112286" s="12" customFormat="1" x14ac:dyDescent="0.25"/>
    <row r="112287" s="12" customFormat="1" x14ac:dyDescent="0.25"/>
    <row r="112288" s="12" customFormat="1" x14ac:dyDescent="0.25"/>
    <row r="112289" s="12" customFormat="1" x14ac:dyDescent="0.25"/>
    <row r="112290" s="12" customFormat="1" x14ac:dyDescent="0.25"/>
    <row r="112291" s="12" customFormat="1" x14ac:dyDescent="0.25"/>
    <row r="112292" s="12" customFormat="1" x14ac:dyDescent="0.25"/>
    <row r="112293" s="12" customFormat="1" x14ac:dyDescent="0.25"/>
    <row r="112294" s="12" customFormat="1" x14ac:dyDescent="0.25"/>
    <row r="112295" s="12" customFormat="1" x14ac:dyDescent="0.25"/>
    <row r="112296" s="12" customFormat="1" x14ac:dyDescent="0.25"/>
    <row r="112297" s="12" customFormat="1" x14ac:dyDescent="0.25"/>
    <row r="112298" s="12" customFormat="1" x14ac:dyDescent="0.25"/>
    <row r="112299" s="12" customFormat="1" x14ac:dyDescent="0.25"/>
    <row r="112300" s="12" customFormat="1" x14ac:dyDescent="0.25"/>
    <row r="112301" s="12" customFormat="1" x14ac:dyDescent="0.25"/>
    <row r="112302" s="12" customFormat="1" x14ac:dyDescent="0.25"/>
    <row r="112303" s="12" customFormat="1" x14ac:dyDescent="0.25"/>
    <row r="112304" s="12" customFormat="1" x14ac:dyDescent="0.25"/>
    <row r="112305" s="12" customFormat="1" x14ac:dyDescent="0.25"/>
    <row r="112306" s="12" customFormat="1" x14ac:dyDescent="0.25"/>
    <row r="112307" s="12" customFormat="1" x14ac:dyDescent="0.25"/>
    <row r="112308" s="12" customFormat="1" x14ac:dyDescent="0.25"/>
    <row r="112309" s="12" customFormat="1" x14ac:dyDescent="0.25"/>
    <row r="112310" s="12" customFormat="1" x14ac:dyDescent="0.25"/>
    <row r="112311" s="12" customFormat="1" x14ac:dyDescent="0.25"/>
    <row r="112312" s="12" customFormat="1" x14ac:dyDescent="0.25"/>
    <row r="112313" s="12" customFormat="1" x14ac:dyDescent="0.25"/>
    <row r="112314" s="12" customFormat="1" x14ac:dyDescent="0.25"/>
    <row r="112315" s="12" customFormat="1" x14ac:dyDescent="0.25"/>
    <row r="112316" s="12" customFormat="1" x14ac:dyDescent="0.25"/>
    <row r="112317" s="12" customFormat="1" x14ac:dyDescent="0.25"/>
    <row r="112318" s="12" customFormat="1" x14ac:dyDescent="0.25"/>
    <row r="112319" s="12" customFormat="1" x14ac:dyDescent="0.25"/>
    <row r="112320" s="12" customFormat="1" x14ac:dyDescent="0.25"/>
    <row r="112321" s="12" customFormat="1" x14ac:dyDescent="0.25"/>
    <row r="112322" s="12" customFormat="1" x14ac:dyDescent="0.25"/>
    <row r="112323" s="12" customFormat="1" x14ac:dyDescent="0.25"/>
    <row r="112324" s="12" customFormat="1" x14ac:dyDescent="0.25"/>
    <row r="112325" s="12" customFormat="1" x14ac:dyDescent="0.25"/>
    <row r="112326" s="12" customFormat="1" x14ac:dyDescent="0.25"/>
    <row r="112327" s="12" customFormat="1" x14ac:dyDescent="0.25"/>
    <row r="112328" s="12" customFormat="1" x14ac:dyDescent="0.25"/>
    <row r="112329" s="12" customFormat="1" x14ac:dyDescent="0.25"/>
    <row r="112330" s="12" customFormat="1" x14ac:dyDescent="0.25"/>
    <row r="112331" s="12" customFormat="1" x14ac:dyDescent="0.25"/>
    <row r="112332" s="12" customFormat="1" x14ac:dyDescent="0.25"/>
    <row r="112333" s="12" customFormat="1" x14ac:dyDescent="0.25"/>
    <row r="112334" s="12" customFormat="1" x14ac:dyDescent="0.25"/>
    <row r="112335" s="12" customFormat="1" x14ac:dyDescent="0.25"/>
    <row r="112336" s="12" customFormat="1" x14ac:dyDescent="0.25"/>
    <row r="112337" s="12" customFormat="1" x14ac:dyDescent="0.25"/>
    <row r="112338" s="12" customFormat="1" x14ac:dyDescent="0.25"/>
    <row r="112339" s="12" customFormat="1" x14ac:dyDescent="0.25"/>
    <row r="112340" s="12" customFormat="1" x14ac:dyDescent="0.25"/>
    <row r="112341" s="12" customFormat="1" x14ac:dyDescent="0.25"/>
    <row r="112342" s="12" customFormat="1" x14ac:dyDescent="0.25"/>
    <row r="112343" s="12" customFormat="1" x14ac:dyDescent="0.25"/>
    <row r="112344" s="12" customFormat="1" x14ac:dyDescent="0.25"/>
    <row r="112345" s="12" customFormat="1" x14ac:dyDescent="0.25"/>
    <row r="112346" s="12" customFormat="1" x14ac:dyDescent="0.25"/>
    <row r="112347" s="12" customFormat="1" x14ac:dyDescent="0.25"/>
    <row r="112348" s="12" customFormat="1" x14ac:dyDescent="0.25"/>
    <row r="112349" s="12" customFormat="1" x14ac:dyDescent="0.25"/>
    <row r="112350" s="12" customFormat="1" x14ac:dyDescent="0.25"/>
    <row r="112351" s="12" customFormat="1" x14ac:dyDescent="0.25"/>
    <row r="112352" s="12" customFormat="1" x14ac:dyDescent="0.25"/>
    <row r="112353" s="12" customFormat="1" x14ac:dyDescent="0.25"/>
    <row r="112354" s="12" customFormat="1" x14ac:dyDescent="0.25"/>
    <row r="112355" s="12" customFormat="1" x14ac:dyDescent="0.25"/>
    <row r="112356" s="12" customFormat="1" x14ac:dyDescent="0.25"/>
    <row r="112357" s="12" customFormat="1" x14ac:dyDescent="0.25"/>
    <row r="112358" s="12" customFormat="1" x14ac:dyDescent="0.25"/>
    <row r="112359" s="12" customFormat="1" x14ac:dyDescent="0.25"/>
    <row r="112360" s="12" customFormat="1" x14ac:dyDescent="0.25"/>
    <row r="112361" s="12" customFormat="1" x14ac:dyDescent="0.25"/>
    <row r="112362" s="12" customFormat="1" x14ac:dyDescent="0.25"/>
    <row r="112363" s="12" customFormat="1" x14ac:dyDescent="0.25"/>
    <row r="112364" s="12" customFormat="1" x14ac:dyDescent="0.25"/>
    <row r="112365" s="12" customFormat="1" x14ac:dyDescent="0.25"/>
    <row r="112366" s="12" customFormat="1" x14ac:dyDescent="0.25"/>
    <row r="112367" s="12" customFormat="1" x14ac:dyDescent="0.25"/>
    <row r="112368" s="12" customFormat="1" x14ac:dyDescent="0.25"/>
    <row r="112369" s="12" customFormat="1" x14ac:dyDescent="0.25"/>
    <row r="112370" s="12" customFormat="1" x14ac:dyDescent="0.25"/>
    <row r="112371" s="12" customFormat="1" x14ac:dyDescent="0.25"/>
    <row r="112372" s="12" customFormat="1" x14ac:dyDescent="0.25"/>
    <row r="112373" s="12" customFormat="1" x14ac:dyDescent="0.25"/>
    <row r="112374" s="12" customFormat="1" x14ac:dyDescent="0.25"/>
    <row r="112375" s="12" customFormat="1" x14ac:dyDescent="0.25"/>
    <row r="112376" s="12" customFormat="1" x14ac:dyDescent="0.25"/>
    <row r="112377" s="12" customFormat="1" x14ac:dyDescent="0.25"/>
    <row r="112378" s="12" customFormat="1" x14ac:dyDescent="0.25"/>
    <row r="112379" s="12" customFormat="1" x14ac:dyDescent="0.25"/>
    <row r="112380" s="12" customFormat="1" x14ac:dyDescent="0.25"/>
    <row r="112381" s="12" customFormat="1" x14ac:dyDescent="0.25"/>
    <row r="112382" s="12" customFormat="1" x14ac:dyDescent="0.25"/>
    <row r="112383" s="12" customFormat="1" x14ac:dyDescent="0.25"/>
    <row r="112384" s="12" customFormat="1" x14ac:dyDescent="0.25"/>
    <row r="112385" s="12" customFormat="1" x14ac:dyDescent="0.25"/>
    <row r="112386" s="12" customFormat="1" x14ac:dyDescent="0.25"/>
    <row r="112387" s="12" customFormat="1" x14ac:dyDescent="0.25"/>
    <row r="112388" s="12" customFormat="1" x14ac:dyDescent="0.25"/>
    <row r="112389" s="12" customFormat="1" x14ac:dyDescent="0.25"/>
    <row r="112390" s="12" customFormat="1" x14ac:dyDescent="0.25"/>
    <row r="112391" s="12" customFormat="1" x14ac:dyDescent="0.25"/>
    <row r="112392" s="12" customFormat="1" x14ac:dyDescent="0.25"/>
    <row r="112393" s="12" customFormat="1" x14ac:dyDescent="0.25"/>
    <row r="112394" s="12" customFormat="1" x14ac:dyDescent="0.25"/>
    <row r="112395" s="12" customFormat="1" x14ac:dyDescent="0.25"/>
    <row r="112396" s="12" customFormat="1" x14ac:dyDescent="0.25"/>
    <row r="112397" s="12" customFormat="1" x14ac:dyDescent="0.25"/>
    <row r="112398" s="12" customFormat="1" x14ac:dyDescent="0.25"/>
    <row r="112399" s="12" customFormat="1" x14ac:dyDescent="0.25"/>
    <row r="112400" s="12" customFormat="1" x14ac:dyDescent="0.25"/>
    <row r="112401" s="12" customFormat="1" x14ac:dyDescent="0.25"/>
    <row r="112402" s="12" customFormat="1" x14ac:dyDescent="0.25"/>
    <row r="112403" s="12" customFormat="1" x14ac:dyDescent="0.25"/>
    <row r="112404" s="12" customFormat="1" x14ac:dyDescent="0.25"/>
    <row r="112405" s="12" customFormat="1" x14ac:dyDescent="0.25"/>
    <row r="112406" s="12" customFormat="1" x14ac:dyDescent="0.25"/>
    <row r="112407" s="12" customFormat="1" x14ac:dyDescent="0.25"/>
    <row r="112408" s="12" customFormat="1" x14ac:dyDescent="0.25"/>
    <row r="112409" s="12" customFormat="1" x14ac:dyDescent="0.25"/>
    <row r="112410" s="12" customFormat="1" x14ac:dyDescent="0.25"/>
    <row r="112411" s="12" customFormat="1" x14ac:dyDescent="0.25"/>
    <row r="112412" s="12" customFormat="1" x14ac:dyDescent="0.25"/>
    <row r="112413" s="12" customFormat="1" x14ac:dyDescent="0.25"/>
    <row r="112414" s="12" customFormat="1" x14ac:dyDescent="0.25"/>
    <row r="112415" s="12" customFormat="1" x14ac:dyDescent="0.25"/>
    <row r="112416" s="12" customFormat="1" x14ac:dyDescent="0.25"/>
    <row r="112417" s="12" customFormat="1" x14ac:dyDescent="0.25"/>
    <row r="112418" s="12" customFormat="1" x14ac:dyDescent="0.25"/>
    <row r="112419" s="12" customFormat="1" x14ac:dyDescent="0.25"/>
    <row r="112420" s="12" customFormat="1" x14ac:dyDescent="0.25"/>
    <row r="112421" s="12" customFormat="1" x14ac:dyDescent="0.25"/>
    <row r="112422" s="12" customFormat="1" x14ac:dyDescent="0.25"/>
    <row r="112423" s="12" customFormat="1" x14ac:dyDescent="0.25"/>
    <row r="112424" s="12" customFormat="1" x14ac:dyDescent="0.25"/>
    <row r="112425" s="12" customFormat="1" x14ac:dyDescent="0.25"/>
    <row r="112426" s="12" customFormat="1" x14ac:dyDescent="0.25"/>
    <row r="112427" s="12" customFormat="1" x14ac:dyDescent="0.25"/>
    <row r="112428" s="12" customFormat="1" x14ac:dyDescent="0.25"/>
    <row r="112429" s="12" customFormat="1" x14ac:dyDescent="0.25"/>
    <row r="112430" s="12" customFormat="1" x14ac:dyDescent="0.25"/>
    <row r="112431" s="12" customFormat="1" x14ac:dyDescent="0.25"/>
    <row r="112432" s="12" customFormat="1" x14ac:dyDescent="0.25"/>
    <row r="112433" s="12" customFormat="1" x14ac:dyDescent="0.25"/>
    <row r="112434" s="12" customFormat="1" x14ac:dyDescent="0.25"/>
    <row r="112435" s="12" customFormat="1" x14ac:dyDescent="0.25"/>
    <row r="112436" s="12" customFormat="1" x14ac:dyDescent="0.25"/>
    <row r="112437" s="12" customFormat="1" x14ac:dyDescent="0.25"/>
    <row r="112438" s="12" customFormat="1" x14ac:dyDescent="0.25"/>
    <row r="112439" s="12" customFormat="1" x14ac:dyDescent="0.25"/>
    <row r="112440" s="12" customFormat="1" x14ac:dyDescent="0.25"/>
    <row r="112441" s="12" customFormat="1" x14ac:dyDescent="0.25"/>
    <row r="112442" s="12" customFormat="1" x14ac:dyDescent="0.25"/>
    <row r="112443" s="12" customFormat="1" x14ac:dyDescent="0.25"/>
    <row r="112444" s="12" customFormat="1" x14ac:dyDescent="0.25"/>
    <row r="112445" s="12" customFormat="1" x14ac:dyDescent="0.25"/>
    <row r="112446" s="12" customFormat="1" x14ac:dyDescent="0.25"/>
    <row r="112447" s="12" customFormat="1" x14ac:dyDescent="0.25"/>
    <row r="112448" s="12" customFormat="1" x14ac:dyDescent="0.25"/>
    <row r="112449" s="12" customFormat="1" x14ac:dyDescent="0.25"/>
    <row r="112450" s="12" customFormat="1" x14ac:dyDescent="0.25"/>
    <row r="112451" s="12" customFormat="1" x14ac:dyDescent="0.25"/>
    <row r="112452" s="12" customFormat="1" x14ac:dyDescent="0.25"/>
    <row r="112453" s="12" customFormat="1" x14ac:dyDescent="0.25"/>
    <row r="112454" s="12" customFormat="1" x14ac:dyDescent="0.25"/>
    <row r="112455" s="12" customFormat="1" x14ac:dyDescent="0.25"/>
    <row r="112456" s="12" customFormat="1" x14ac:dyDescent="0.25"/>
    <row r="112457" s="12" customFormat="1" x14ac:dyDescent="0.25"/>
    <row r="112458" s="12" customFormat="1" x14ac:dyDescent="0.25"/>
    <row r="112459" s="12" customFormat="1" x14ac:dyDescent="0.25"/>
    <row r="112460" s="12" customFormat="1" x14ac:dyDescent="0.25"/>
    <row r="112461" s="12" customFormat="1" x14ac:dyDescent="0.25"/>
    <row r="112462" s="12" customFormat="1" x14ac:dyDescent="0.25"/>
    <row r="112463" s="12" customFormat="1" x14ac:dyDescent="0.25"/>
    <row r="112464" s="12" customFormat="1" x14ac:dyDescent="0.25"/>
    <row r="112465" s="12" customFormat="1" x14ac:dyDescent="0.25"/>
    <row r="112466" s="12" customFormat="1" x14ac:dyDescent="0.25"/>
    <row r="112467" s="12" customFormat="1" x14ac:dyDescent="0.25"/>
    <row r="112468" s="12" customFormat="1" x14ac:dyDescent="0.25"/>
    <row r="112469" s="12" customFormat="1" x14ac:dyDescent="0.25"/>
    <row r="112470" s="12" customFormat="1" x14ac:dyDescent="0.25"/>
    <row r="112471" s="12" customFormat="1" x14ac:dyDescent="0.25"/>
    <row r="112472" s="12" customFormat="1" x14ac:dyDescent="0.25"/>
    <row r="112473" s="12" customFormat="1" x14ac:dyDescent="0.25"/>
    <row r="112474" s="12" customFormat="1" x14ac:dyDescent="0.25"/>
    <row r="112475" s="12" customFormat="1" x14ac:dyDescent="0.25"/>
    <row r="112476" s="12" customFormat="1" x14ac:dyDescent="0.25"/>
    <row r="112477" s="12" customFormat="1" x14ac:dyDescent="0.25"/>
    <row r="112478" s="12" customFormat="1" x14ac:dyDescent="0.25"/>
    <row r="112479" s="12" customFormat="1" x14ac:dyDescent="0.25"/>
    <row r="112480" s="12" customFormat="1" x14ac:dyDescent="0.25"/>
    <row r="112481" s="12" customFormat="1" x14ac:dyDescent="0.25"/>
    <row r="112482" s="12" customFormat="1" x14ac:dyDescent="0.25"/>
    <row r="112483" s="12" customFormat="1" x14ac:dyDescent="0.25"/>
    <row r="112484" s="12" customFormat="1" x14ac:dyDescent="0.25"/>
    <row r="112485" s="12" customFormat="1" x14ac:dyDescent="0.25"/>
    <row r="112486" s="12" customFormat="1" x14ac:dyDescent="0.25"/>
    <row r="112487" s="12" customFormat="1" x14ac:dyDescent="0.25"/>
    <row r="112488" s="12" customFormat="1" x14ac:dyDescent="0.25"/>
    <row r="112489" s="12" customFormat="1" x14ac:dyDescent="0.25"/>
    <row r="112490" s="12" customFormat="1" x14ac:dyDescent="0.25"/>
    <row r="112491" s="12" customFormat="1" x14ac:dyDescent="0.25"/>
    <row r="112492" s="12" customFormat="1" x14ac:dyDescent="0.25"/>
    <row r="112493" s="12" customFormat="1" x14ac:dyDescent="0.25"/>
    <row r="112494" s="12" customFormat="1" x14ac:dyDescent="0.25"/>
    <row r="112495" s="12" customFormat="1" x14ac:dyDescent="0.25"/>
    <row r="112496" s="12" customFormat="1" x14ac:dyDescent="0.25"/>
    <row r="112497" s="12" customFormat="1" x14ac:dyDescent="0.25"/>
    <row r="112498" s="12" customFormat="1" x14ac:dyDescent="0.25"/>
    <row r="112499" s="12" customFormat="1" x14ac:dyDescent="0.25"/>
    <row r="112500" s="12" customFormat="1" x14ac:dyDescent="0.25"/>
    <row r="112501" s="12" customFormat="1" x14ac:dyDescent="0.25"/>
    <row r="112502" s="12" customFormat="1" x14ac:dyDescent="0.25"/>
    <row r="112503" s="12" customFormat="1" x14ac:dyDescent="0.25"/>
    <row r="112504" s="12" customFormat="1" x14ac:dyDescent="0.25"/>
    <row r="112505" s="12" customFormat="1" x14ac:dyDescent="0.25"/>
    <row r="112506" s="12" customFormat="1" x14ac:dyDescent="0.25"/>
    <row r="112507" s="12" customFormat="1" x14ac:dyDescent="0.25"/>
    <row r="112508" s="12" customFormat="1" x14ac:dyDescent="0.25"/>
    <row r="112509" s="12" customFormat="1" x14ac:dyDescent="0.25"/>
    <row r="112510" s="12" customFormat="1" x14ac:dyDescent="0.25"/>
    <row r="112511" s="12" customFormat="1" x14ac:dyDescent="0.25"/>
    <row r="112512" s="12" customFormat="1" x14ac:dyDescent="0.25"/>
    <row r="112513" s="12" customFormat="1" x14ac:dyDescent="0.25"/>
    <row r="112514" s="12" customFormat="1" x14ac:dyDescent="0.25"/>
    <row r="112515" s="12" customFormat="1" x14ac:dyDescent="0.25"/>
    <row r="112516" s="12" customFormat="1" x14ac:dyDescent="0.25"/>
    <row r="112517" s="12" customFormat="1" x14ac:dyDescent="0.25"/>
    <row r="112518" s="12" customFormat="1" x14ac:dyDescent="0.25"/>
    <row r="112519" s="12" customFormat="1" x14ac:dyDescent="0.25"/>
    <row r="112520" s="12" customFormat="1" x14ac:dyDescent="0.25"/>
    <row r="112521" s="12" customFormat="1" x14ac:dyDescent="0.25"/>
    <row r="112522" s="12" customFormat="1" x14ac:dyDescent="0.25"/>
    <row r="112523" s="12" customFormat="1" x14ac:dyDescent="0.25"/>
    <row r="112524" s="12" customFormat="1" x14ac:dyDescent="0.25"/>
    <row r="112525" s="12" customFormat="1" x14ac:dyDescent="0.25"/>
    <row r="112526" s="12" customFormat="1" x14ac:dyDescent="0.25"/>
    <row r="112527" s="12" customFormat="1" x14ac:dyDescent="0.25"/>
    <row r="112528" s="12" customFormat="1" x14ac:dyDescent="0.25"/>
    <row r="112529" s="12" customFormat="1" x14ac:dyDescent="0.25"/>
    <row r="112530" s="12" customFormat="1" x14ac:dyDescent="0.25"/>
    <row r="112531" s="12" customFormat="1" x14ac:dyDescent="0.25"/>
    <row r="112532" s="12" customFormat="1" x14ac:dyDescent="0.25"/>
    <row r="112533" s="12" customFormat="1" x14ac:dyDescent="0.25"/>
    <row r="112534" s="12" customFormat="1" x14ac:dyDescent="0.25"/>
    <row r="112535" s="12" customFormat="1" x14ac:dyDescent="0.25"/>
    <row r="112536" s="12" customFormat="1" x14ac:dyDescent="0.25"/>
    <row r="112537" s="12" customFormat="1" x14ac:dyDescent="0.25"/>
    <row r="112538" s="12" customFormat="1" x14ac:dyDescent="0.25"/>
    <row r="112539" s="12" customFormat="1" x14ac:dyDescent="0.25"/>
    <row r="112540" s="12" customFormat="1" x14ac:dyDescent="0.25"/>
    <row r="112541" s="12" customFormat="1" x14ac:dyDescent="0.25"/>
    <row r="112542" s="12" customFormat="1" x14ac:dyDescent="0.25"/>
    <row r="112543" s="12" customFormat="1" x14ac:dyDescent="0.25"/>
    <row r="112544" s="12" customFormat="1" x14ac:dyDescent="0.25"/>
    <row r="112545" s="12" customFormat="1" x14ac:dyDescent="0.25"/>
    <row r="112546" s="12" customFormat="1" x14ac:dyDescent="0.25"/>
    <row r="112547" s="12" customFormat="1" x14ac:dyDescent="0.25"/>
    <row r="112548" s="12" customFormat="1" x14ac:dyDescent="0.25"/>
    <row r="112549" s="12" customFormat="1" x14ac:dyDescent="0.25"/>
    <row r="112550" s="12" customFormat="1" x14ac:dyDescent="0.25"/>
    <row r="112551" s="12" customFormat="1" x14ac:dyDescent="0.25"/>
    <row r="112552" s="12" customFormat="1" x14ac:dyDescent="0.25"/>
    <row r="112553" s="12" customFormat="1" x14ac:dyDescent="0.25"/>
    <row r="112554" s="12" customFormat="1" x14ac:dyDescent="0.25"/>
    <row r="112555" s="12" customFormat="1" x14ac:dyDescent="0.25"/>
    <row r="112556" s="12" customFormat="1" x14ac:dyDescent="0.25"/>
    <row r="112557" s="12" customFormat="1" x14ac:dyDescent="0.25"/>
    <row r="112558" s="12" customFormat="1" x14ac:dyDescent="0.25"/>
    <row r="112559" s="12" customFormat="1" x14ac:dyDescent="0.25"/>
    <row r="112560" s="12" customFormat="1" x14ac:dyDescent="0.25"/>
    <row r="112561" s="12" customFormat="1" x14ac:dyDescent="0.25"/>
    <row r="112562" s="12" customFormat="1" x14ac:dyDescent="0.25"/>
    <row r="112563" s="12" customFormat="1" x14ac:dyDescent="0.25"/>
    <row r="112564" s="12" customFormat="1" x14ac:dyDescent="0.25"/>
    <row r="112565" s="12" customFormat="1" x14ac:dyDescent="0.25"/>
    <row r="112566" s="12" customFormat="1" x14ac:dyDescent="0.25"/>
    <row r="112567" s="12" customFormat="1" x14ac:dyDescent="0.25"/>
    <row r="112568" s="12" customFormat="1" x14ac:dyDescent="0.25"/>
    <row r="112569" s="12" customFormat="1" x14ac:dyDescent="0.25"/>
    <row r="112570" s="12" customFormat="1" x14ac:dyDescent="0.25"/>
    <row r="112571" s="12" customFormat="1" x14ac:dyDescent="0.25"/>
    <row r="112572" s="12" customFormat="1" x14ac:dyDescent="0.25"/>
    <row r="112573" s="12" customFormat="1" x14ac:dyDescent="0.25"/>
    <row r="112574" s="12" customFormat="1" x14ac:dyDescent="0.25"/>
    <row r="112575" s="12" customFormat="1" x14ac:dyDescent="0.25"/>
    <row r="112576" s="12" customFormat="1" x14ac:dyDescent="0.25"/>
    <row r="112577" s="12" customFormat="1" x14ac:dyDescent="0.25"/>
    <row r="112578" s="12" customFormat="1" x14ac:dyDescent="0.25"/>
    <row r="112579" s="12" customFormat="1" x14ac:dyDescent="0.25"/>
    <row r="112580" s="12" customFormat="1" x14ac:dyDescent="0.25"/>
    <row r="112581" s="12" customFormat="1" x14ac:dyDescent="0.25"/>
    <row r="112582" s="12" customFormat="1" x14ac:dyDescent="0.25"/>
    <row r="112583" s="12" customFormat="1" x14ac:dyDescent="0.25"/>
    <row r="112584" s="12" customFormat="1" x14ac:dyDescent="0.25"/>
    <row r="112585" s="12" customFormat="1" x14ac:dyDescent="0.25"/>
    <row r="112586" s="12" customFormat="1" x14ac:dyDescent="0.25"/>
    <row r="112587" s="12" customFormat="1" x14ac:dyDescent="0.25"/>
    <row r="112588" s="12" customFormat="1" x14ac:dyDescent="0.25"/>
    <row r="112589" s="12" customFormat="1" x14ac:dyDescent="0.25"/>
    <row r="112590" s="12" customFormat="1" x14ac:dyDescent="0.25"/>
    <row r="112591" s="12" customFormat="1" x14ac:dyDescent="0.25"/>
    <row r="112592" s="12" customFormat="1" x14ac:dyDescent="0.25"/>
    <row r="112593" s="12" customFormat="1" x14ac:dyDescent="0.25"/>
    <row r="112594" s="12" customFormat="1" x14ac:dyDescent="0.25"/>
    <row r="112595" s="12" customFormat="1" x14ac:dyDescent="0.25"/>
    <row r="112596" s="12" customFormat="1" x14ac:dyDescent="0.25"/>
    <row r="112597" s="12" customFormat="1" x14ac:dyDescent="0.25"/>
    <row r="112598" s="12" customFormat="1" x14ac:dyDescent="0.25"/>
    <row r="112599" s="12" customFormat="1" x14ac:dyDescent="0.25"/>
    <row r="112600" s="12" customFormat="1" x14ac:dyDescent="0.25"/>
    <row r="112601" s="12" customFormat="1" x14ac:dyDescent="0.25"/>
    <row r="112602" s="12" customFormat="1" x14ac:dyDescent="0.25"/>
    <row r="112603" s="12" customFormat="1" x14ac:dyDescent="0.25"/>
    <row r="112604" s="12" customFormat="1" x14ac:dyDescent="0.25"/>
    <row r="112605" s="12" customFormat="1" x14ac:dyDescent="0.25"/>
    <row r="112606" s="12" customFormat="1" x14ac:dyDescent="0.25"/>
    <row r="112607" s="12" customFormat="1" x14ac:dyDescent="0.25"/>
    <row r="112608" s="12" customFormat="1" x14ac:dyDescent="0.25"/>
    <row r="112609" s="12" customFormat="1" x14ac:dyDescent="0.25"/>
    <row r="112610" s="12" customFormat="1" x14ac:dyDescent="0.25"/>
    <row r="112611" s="12" customFormat="1" x14ac:dyDescent="0.25"/>
    <row r="112612" s="12" customFormat="1" x14ac:dyDescent="0.25"/>
    <row r="112613" s="12" customFormat="1" x14ac:dyDescent="0.25"/>
    <row r="112614" s="12" customFormat="1" x14ac:dyDescent="0.25"/>
    <row r="112615" s="12" customFormat="1" x14ac:dyDescent="0.25"/>
    <row r="112616" s="12" customFormat="1" x14ac:dyDescent="0.25"/>
    <row r="112617" s="12" customFormat="1" x14ac:dyDescent="0.25"/>
    <row r="112618" s="12" customFormat="1" x14ac:dyDescent="0.25"/>
    <row r="112619" s="12" customFormat="1" x14ac:dyDescent="0.25"/>
    <row r="112620" s="12" customFormat="1" x14ac:dyDescent="0.25"/>
    <row r="112621" s="12" customFormat="1" x14ac:dyDescent="0.25"/>
    <row r="112622" s="12" customFormat="1" x14ac:dyDescent="0.25"/>
    <row r="112623" s="12" customFormat="1" x14ac:dyDescent="0.25"/>
    <row r="112624" s="12" customFormat="1" x14ac:dyDescent="0.25"/>
    <row r="112625" s="12" customFormat="1" x14ac:dyDescent="0.25"/>
    <row r="112626" s="12" customFormat="1" x14ac:dyDescent="0.25"/>
    <row r="112627" s="12" customFormat="1" x14ac:dyDescent="0.25"/>
    <row r="112628" s="12" customFormat="1" x14ac:dyDescent="0.25"/>
    <row r="112629" s="12" customFormat="1" x14ac:dyDescent="0.25"/>
    <row r="112630" s="12" customFormat="1" x14ac:dyDescent="0.25"/>
    <row r="112631" s="12" customFormat="1" x14ac:dyDescent="0.25"/>
    <row r="112632" s="12" customFormat="1" x14ac:dyDescent="0.25"/>
    <row r="112633" s="12" customFormat="1" x14ac:dyDescent="0.25"/>
    <row r="112634" s="12" customFormat="1" x14ac:dyDescent="0.25"/>
    <row r="112635" s="12" customFormat="1" x14ac:dyDescent="0.25"/>
    <row r="112636" s="12" customFormat="1" x14ac:dyDescent="0.25"/>
    <row r="112637" s="12" customFormat="1" x14ac:dyDescent="0.25"/>
    <row r="112638" s="12" customFormat="1" x14ac:dyDescent="0.25"/>
    <row r="112639" s="12" customFormat="1" x14ac:dyDescent="0.25"/>
    <row r="112640" s="12" customFormat="1" x14ac:dyDescent="0.25"/>
    <row r="112641" s="12" customFormat="1" x14ac:dyDescent="0.25"/>
    <row r="112642" s="12" customFormat="1" x14ac:dyDescent="0.25"/>
    <row r="112643" s="12" customFormat="1" x14ac:dyDescent="0.25"/>
    <row r="112644" s="12" customFormat="1" x14ac:dyDescent="0.25"/>
    <row r="112645" s="12" customFormat="1" x14ac:dyDescent="0.25"/>
    <row r="112646" s="12" customFormat="1" x14ac:dyDescent="0.25"/>
    <row r="112647" s="12" customFormat="1" x14ac:dyDescent="0.25"/>
    <row r="112648" s="12" customFormat="1" x14ac:dyDescent="0.25"/>
    <row r="112649" s="12" customFormat="1" x14ac:dyDescent="0.25"/>
    <row r="112650" s="12" customFormat="1" x14ac:dyDescent="0.25"/>
    <row r="112651" s="12" customFormat="1" x14ac:dyDescent="0.25"/>
    <row r="112652" s="12" customFormat="1" x14ac:dyDescent="0.25"/>
    <row r="112653" s="12" customFormat="1" x14ac:dyDescent="0.25"/>
    <row r="112654" s="12" customFormat="1" x14ac:dyDescent="0.25"/>
    <row r="112655" s="12" customFormat="1" x14ac:dyDescent="0.25"/>
    <row r="112656" s="12" customFormat="1" x14ac:dyDescent="0.25"/>
    <row r="112657" s="12" customFormat="1" x14ac:dyDescent="0.25"/>
    <row r="112658" s="12" customFormat="1" x14ac:dyDescent="0.25"/>
    <row r="112659" s="12" customFormat="1" x14ac:dyDescent="0.25"/>
    <row r="112660" s="12" customFormat="1" x14ac:dyDescent="0.25"/>
    <row r="112661" s="12" customFormat="1" x14ac:dyDescent="0.25"/>
    <row r="112662" s="12" customFormat="1" x14ac:dyDescent="0.25"/>
    <row r="112663" s="12" customFormat="1" x14ac:dyDescent="0.25"/>
    <row r="112664" s="12" customFormat="1" x14ac:dyDescent="0.25"/>
    <row r="112665" s="12" customFormat="1" x14ac:dyDescent="0.25"/>
    <row r="112666" s="12" customFormat="1" x14ac:dyDescent="0.25"/>
    <row r="112667" s="12" customFormat="1" x14ac:dyDescent="0.25"/>
    <row r="112668" s="12" customFormat="1" x14ac:dyDescent="0.25"/>
    <row r="112669" s="12" customFormat="1" x14ac:dyDescent="0.25"/>
    <row r="112670" s="12" customFormat="1" x14ac:dyDescent="0.25"/>
    <row r="112671" s="12" customFormat="1" x14ac:dyDescent="0.25"/>
    <row r="112672" s="12" customFormat="1" x14ac:dyDescent="0.25"/>
    <row r="112673" s="12" customFormat="1" x14ac:dyDescent="0.25"/>
    <row r="112674" s="12" customFormat="1" x14ac:dyDescent="0.25"/>
    <row r="112675" s="12" customFormat="1" x14ac:dyDescent="0.25"/>
    <row r="112676" s="12" customFormat="1" x14ac:dyDescent="0.25"/>
    <row r="112677" s="12" customFormat="1" x14ac:dyDescent="0.25"/>
    <row r="112678" s="12" customFormat="1" x14ac:dyDescent="0.25"/>
    <row r="112679" s="12" customFormat="1" x14ac:dyDescent="0.25"/>
    <row r="112680" s="12" customFormat="1" x14ac:dyDescent="0.25"/>
    <row r="112681" s="12" customFormat="1" x14ac:dyDescent="0.25"/>
    <row r="112682" s="12" customFormat="1" x14ac:dyDescent="0.25"/>
    <row r="112683" s="12" customFormat="1" x14ac:dyDescent="0.25"/>
    <row r="112684" s="12" customFormat="1" x14ac:dyDescent="0.25"/>
    <row r="112685" s="12" customFormat="1" x14ac:dyDescent="0.25"/>
    <row r="112686" s="12" customFormat="1" x14ac:dyDescent="0.25"/>
    <row r="112687" s="12" customFormat="1" x14ac:dyDescent="0.25"/>
    <row r="112688" s="12" customFormat="1" x14ac:dyDescent="0.25"/>
    <row r="112689" s="12" customFormat="1" x14ac:dyDescent="0.25"/>
    <row r="112690" s="12" customFormat="1" x14ac:dyDescent="0.25"/>
    <row r="112691" s="12" customFormat="1" x14ac:dyDescent="0.25"/>
    <row r="112692" s="12" customFormat="1" x14ac:dyDescent="0.25"/>
    <row r="112693" s="12" customFormat="1" x14ac:dyDescent="0.25"/>
    <row r="112694" s="12" customFormat="1" x14ac:dyDescent="0.25"/>
    <row r="112695" s="12" customFormat="1" x14ac:dyDescent="0.25"/>
    <row r="112696" s="12" customFormat="1" x14ac:dyDescent="0.25"/>
    <row r="112697" s="12" customFormat="1" x14ac:dyDescent="0.25"/>
    <row r="112698" s="12" customFormat="1" x14ac:dyDescent="0.25"/>
    <row r="112699" s="12" customFormat="1" x14ac:dyDescent="0.25"/>
    <row r="112700" s="12" customFormat="1" x14ac:dyDescent="0.25"/>
    <row r="112701" s="12" customFormat="1" x14ac:dyDescent="0.25"/>
    <row r="112702" s="12" customFormat="1" x14ac:dyDescent="0.25"/>
    <row r="112703" s="12" customFormat="1" x14ac:dyDescent="0.25"/>
    <row r="112704" s="12" customFormat="1" x14ac:dyDescent="0.25"/>
    <row r="112705" s="12" customFormat="1" x14ac:dyDescent="0.25"/>
    <row r="112706" s="12" customFormat="1" x14ac:dyDescent="0.25"/>
    <row r="112707" s="12" customFormat="1" x14ac:dyDescent="0.25"/>
    <row r="112708" s="12" customFormat="1" x14ac:dyDescent="0.25"/>
    <row r="112709" s="12" customFormat="1" x14ac:dyDescent="0.25"/>
    <row r="112710" s="12" customFormat="1" x14ac:dyDescent="0.25"/>
    <row r="112711" s="12" customFormat="1" x14ac:dyDescent="0.25"/>
    <row r="112712" s="12" customFormat="1" x14ac:dyDescent="0.25"/>
    <row r="112713" s="12" customFormat="1" x14ac:dyDescent="0.25"/>
    <row r="112714" s="12" customFormat="1" x14ac:dyDescent="0.25"/>
    <row r="112715" s="12" customFormat="1" x14ac:dyDescent="0.25"/>
    <row r="112716" s="12" customFormat="1" x14ac:dyDescent="0.25"/>
    <row r="112717" s="12" customFormat="1" x14ac:dyDescent="0.25"/>
    <row r="112718" s="12" customFormat="1" x14ac:dyDescent="0.25"/>
    <row r="112719" s="12" customFormat="1" x14ac:dyDescent="0.25"/>
    <row r="112720" s="12" customFormat="1" x14ac:dyDescent="0.25"/>
    <row r="112721" s="12" customFormat="1" x14ac:dyDescent="0.25"/>
    <row r="112722" s="12" customFormat="1" x14ac:dyDescent="0.25"/>
    <row r="112723" s="12" customFormat="1" x14ac:dyDescent="0.25"/>
    <row r="112724" s="12" customFormat="1" x14ac:dyDescent="0.25"/>
    <row r="112725" s="12" customFormat="1" x14ac:dyDescent="0.25"/>
    <row r="112726" s="12" customFormat="1" x14ac:dyDescent="0.25"/>
    <row r="112727" s="12" customFormat="1" x14ac:dyDescent="0.25"/>
    <row r="112728" s="12" customFormat="1" x14ac:dyDescent="0.25"/>
    <row r="112729" s="12" customFormat="1" x14ac:dyDescent="0.25"/>
    <row r="112730" s="12" customFormat="1" x14ac:dyDescent="0.25"/>
    <row r="112731" s="12" customFormat="1" x14ac:dyDescent="0.25"/>
    <row r="112732" s="12" customFormat="1" x14ac:dyDescent="0.25"/>
    <row r="112733" s="12" customFormat="1" x14ac:dyDescent="0.25"/>
    <row r="112734" s="12" customFormat="1" x14ac:dyDescent="0.25"/>
    <row r="112735" s="12" customFormat="1" x14ac:dyDescent="0.25"/>
    <row r="112736" s="12" customFormat="1" x14ac:dyDescent="0.25"/>
    <row r="112737" s="12" customFormat="1" x14ac:dyDescent="0.25"/>
    <row r="112738" s="12" customFormat="1" x14ac:dyDescent="0.25"/>
    <row r="112739" s="12" customFormat="1" x14ac:dyDescent="0.25"/>
    <row r="112740" s="12" customFormat="1" x14ac:dyDescent="0.25"/>
    <row r="112741" s="12" customFormat="1" x14ac:dyDescent="0.25"/>
    <row r="112742" s="12" customFormat="1" x14ac:dyDescent="0.25"/>
    <row r="112743" s="12" customFormat="1" x14ac:dyDescent="0.25"/>
    <row r="112744" s="12" customFormat="1" x14ac:dyDescent="0.25"/>
    <row r="112745" s="12" customFormat="1" x14ac:dyDescent="0.25"/>
    <row r="112746" s="12" customFormat="1" x14ac:dyDescent="0.25"/>
    <row r="112747" s="12" customFormat="1" x14ac:dyDescent="0.25"/>
    <row r="112748" s="12" customFormat="1" x14ac:dyDescent="0.25"/>
    <row r="112749" s="12" customFormat="1" x14ac:dyDescent="0.25"/>
    <row r="112750" s="12" customFormat="1" x14ac:dyDescent="0.25"/>
    <row r="112751" s="12" customFormat="1" x14ac:dyDescent="0.25"/>
    <row r="112752" s="12" customFormat="1" x14ac:dyDescent="0.25"/>
    <row r="112753" s="12" customFormat="1" x14ac:dyDescent="0.25"/>
    <row r="112754" s="12" customFormat="1" x14ac:dyDescent="0.25"/>
    <row r="112755" s="12" customFormat="1" x14ac:dyDescent="0.25"/>
    <row r="112756" s="12" customFormat="1" x14ac:dyDescent="0.25"/>
    <row r="112757" s="12" customFormat="1" x14ac:dyDescent="0.25"/>
    <row r="112758" s="12" customFormat="1" x14ac:dyDescent="0.25"/>
    <row r="112759" s="12" customFormat="1" x14ac:dyDescent="0.25"/>
    <row r="112760" s="12" customFormat="1" x14ac:dyDescent="0.25"/>
    <row r="112761" s="12" customFormat="1" x14ac:dyDescent="0.25"/>
    <row r="112762" s="12" customFormat="1" x14ac:dyDescent="0.25"/>
    <row r="112763" s="12" customFormat="1" x14ac:dyDescent="0.25"/>
    <row r="112764" s="12" customFormat="1" x14ac:dyDescent="0.25"/>
    <row r="112765" s="12" customFormat="1" x14ac:dyDescent="0.25"/>
    <row r="112766" s="12" customFormat="1" x14ac:dyDescent="0.25"/>
    <row r="112767" s="12" customFormat="1" x14ac:dyDescent="0.25"/>
    <row r="112768" s="12" customFormat="1" x14ac:dyDescent="0.25"/>
    <row r="112769" s="12" customFormat="1" x14ac:dyDescent="0.25"/>
    <row r="112770" s="12" customFormat="1" x14ac:dyDescent="0.25"/>
    <row r="112771" s="12" customFormat="1" x14ac:dyDescent="0.25"/>
    <row r="112772" s="12" customFormat="1" x14ac:dyDescent="0.25"/>
    <row r="112773" s="12" customFormat="1" x14ac:dyDescent="0.25"/>
    <row r="112774" s="12" customFormat="1" x14ac:dyDescent="0.25"/>
    <row r="112775" s="12" customFormat="1" x14ac:dyDescent="0.25"/>
    <row r="112776" s="12" customFormat="1" x14ac:dyDescent="0.25"/>
    <row r="112777" s="12" customFormat="1" x14ac:dyDescent="0.25"/>
    <row r="112778" s="12" customFormat="1" x14ac:dyDescent="0.25"/>
    <row r="112779" s="12" customFormat="1" x14ac:dyDescent="0.25"/>
    <row r="112780" s="12" customFormat="1" x14ac:dyDescent="0.25"/>
    <row r="112781" s="12" customFormat="1" x14ac:dyDescent="0.25"/>
    <row r="112782" s="12" customFormat="1" x14ac:dyDescent="0.25"/>
    <row r="112783" s="12" customFormat="1" x14ac:dyDescent="0.25"/>
    <row r="112784" s="12" customFormat="1" x14ac:dyDescent="0.25"/>
    <row r="112785" s="12" customFormat="1" x14ac:dyDescent="0.25"/>
    <row r="112786" s="12" customFormat="1" x14ac:dyDescent="0.25"/>
    <row r="112787" s="12" customFormat="1" x14ac:dyDescent="0.25"/>
    <row r="112788" s="12" customFormat="1" x14ac:dyDescent="0.25"/>
    <row r="112789" s="12" customFormat="1" x14ac:dyDescent="0.25"/>
    <row r="112790" s="12" customFormat="1" x14ac:dyDescent="0.25"/>
    <row r="112791" s="12" customFormat="1" x14ac:dyDescent="0.25"/>
    <row r="112792" s="12" customFormat="1" x14ac:dyDescent="0.25"/>
    <row r="112793" s="12" customFormat="1" x14ac:dyDescent="0.25"/>
    <row r="112794" s="12" customFormat="1" x14ac:dyDescent="0.25"/>
    <row r="112795" s="12" customFormat="1" x14ac:dyDescent="0.25"/>
    <row r="112796" s="12" customFormat="1" x14ac:dyDescent="0.25"/>
    <row r="112797" s="12" customFormat="1" x14ac:dyDescent="0.25"/>
    <row r="112798" s="12" customFormat="1" x14ac:dyDescent="0.25"/>
    <row r="112799" s="12" customFormat="1" x14ac:dyDescent="0.25"/>
    <row r="112800" s="12" customFormat="1" x14ac:dyDescent="0.25"/>
    <row r="112801" s="12" customFormat="1" x14ac:dyDescent="0.25"/>
    <row r="112802" s="12" customFormat="1" x14ac:dyDescent="0.25"/>
    <row r="112803" s="12" customFormat="1" x14ac:dyDescent="0.25"/>
    <row r="112804" s="12" customFormat="1" x14ac:dyDescent="0.25"/>
    <row r="112805" s="12" customFormat="1" x14ac:dyDescent="0.25"/>
    <row r="112806" s="12" customFormat="1" x14ac:dyDescent="0.25"/>
    <row r="112807" s="12" customFormat="1" x14ac:dyDescent="0.25"/>
    <row r="112808" s="12" customFormat="1" x14ac:dyDescent="0.25"/>
    <row r="112809" s="12" customFormat="1" x14ac:dyDescent="0.25"/>
    <row r="112810" s="12" customFormat="1" x14ac:dyDescent="0.25"/>
    <row r="112811" s="12" customFormat="1" x14ac:dyDescent="0.25"/>
    <row r="112812" s="12" customFormat="1" x14ac:dyDescent="0.25"/>
    <row r="112813" s="12" customFormat="1" x14ac:dyDescent="0.25"/>
    <row r="112814" s="12" customFormat="1" x14ac:dyDescent="0.25"/>
    <row r="112815" s="12" customFormat="1" x14ac:dyDescent="0.25"/>
    <row r="112816" s="12" customFormat="1" x14ac:dyDescent="0.25"/>
    <row r="112817" s="12" customFormat="1" x14ac:dyDescent="0.25"/>
    <row r="112818" s="12" customFormat="1" x14ac:dyDescent="0.25"/>
    <row r="112819" s="12" customFormat="1" x14ac:dyDescent="0.25"/>
    <row r="112820" s="12" customFormat="1" x14ac:dyDescent="0.25"/>
    <row r="112821" s="12" customFormat="1" x14ac:dyDescent="0.25"/>
    <row r="112822" s="12" customFormat="1" x14ac:dyDescent="0.25"/>
    <row r="112823" s="12" customFormat="1" x14ac:dyDescent="0.25"/>
    <row r="112824" s="12" customFormat="1" x14ac:dyDescent="0.25"/>
    <row r="112825" s="12" customFormat="1" x14ac:dyDescent="0.25"/>
    <row r="112826" s="12" customFormat="1" x14ac:dyDescent="0.25"/>
    <row r="112827" s="12" customFormat="1" x14ac:dyDescent="0.25"/>
    <row r="112828" s="12" customFormat="1" x14ac:dyDescent="0.25"/>
    <row r="112829" s="12" customFormat="1" x14ac:dyDescent="0.25"/>
    <row r="112830" s="12" customFormat="1" x14ac:dyDescent="0.25"/>
    <row r="112831" s="12" customFormat="1" x14ac:dyDescent="0.25"/>
    <row r="112832" s="12" customFormat="1" x14ac:dyDescent="0.25"/>
    <row r="112833" s="12" customFormat="1" x14ac:dyDescent="0.25"/>
    <row r="112834" s="12" customFormat="1" x14ac:dyDescent="0.25"/>
    <row r="112835" s="12" customFormat="1" x14ac:dyDescent="0.25"/>
    <row r="112836" s="12" customFormat="1" x14ac:dyDescent="0.25"/>
    <row r="112837" s="12" customFormat="1" x14ac:dyDescent="0.25"/>
    <row r="112838" s="12" customFormat="1" x14ac:dyDescent="0.25"/>
    <row r="112839" s="12" customFormat="1" x14ac:dyDescent="0.25"/>
    <row r="112840" s="12" customFormat="1" x14ac:dyDescent="0.25"/>
    <row r="112841" s="12" customFormat="1" x14ac:dyDescent="0.25"/>
    <row r="112842" s="12" customFormat="1" x14ac:dyDescent="0.25"/>
    <row r="112843" s="12" customFormat="1" x14ac:dyDescent="0.25"/>
    <row r="112844" s="12" customFormat="1" x14ac:dyDescent="0.25"/>
    <row r="112845" s="12" customFormat="1" x14ac:dyDescent="0.25"/>
    <row r="112846" s="12" customFormat="1" x14ac:dyDescent="0.25"/>
    <row r="112847" s="12" customFormat="1" x14ac:dyDescent="0.25"/>
    <row r="112848" s="12" customFormat="1" x14ac:dyDescent="0.25"/>
    <row r="112849" s="12" customFormat="1" x14ac:dyDescent="0.25"/>
    <row r="112850" s="12" customFormat="1" x14ac:dyDescent="0.25"/>
    <row r="112851" s="12" customFormat="1" x14ac:dyDescent="0.25"/>
    <row r="112852" s="12" customFormat="1" x14ac:dyDescent="0.25"/>
    <row r="112853" s="12" customFormat="1" x14ac:dyDescent="0.25"/>
    <row r="112854" s="12" customFormat="1" x14ac:dyDescent="0.25"/>
    <row r="112855" s="12" customFormat="1" x14ac:dyDescent="0.25"/>
    <row r="112856" s="12" customFormat="1" x14ac:dyDescent="0.25"/>
    <row r="112857" s="12" customFormat="1" x14ac:dyDescent="0.25"/>
    <row r="112858" s="12" customFormat="1" x14ac:dyDescent="0.25"/>
    <row r="112859" s="12" customFormat="1" x14ac:dyDescent="0.25"/>
    <row r="112860" s="12" customFormat="1" x14ac:dyDescent="0.25"/>
    <row r="112861" s="12" customFormat="1" x14ac:dyDescent="0.25"/>
    <row r="112862" s="12" customFormat="1" x14ac:dyDescent="0.25"/>
    <row r="112863" s="12" customFormat="1" x14ac:dyDescent="0.25"/>
    <row r="112864" s="12" customFormat="1" x14ac:dyDescent="0.25"/>
    <row r="112865" s="12" customFormat="1" x14ac:dyDescent="0.25"/>
    <row r="112866" s="12" customFormat="1" x14ac:dyDescent="0.25"/>
    <row r="112867" s="12" customFormat="1" x14ac:dyDescent="0.25"/>
    <row r="112868" s="12" customFormat="1" x14ac:dyDescent="0.25"/>
    <row r="112869" s="12" customFormat="1" x14ac:dyDescent="0.25"/>
    <row r="112870" s="12" customFormat="1" x14ac:dyDescent="0.25"/>
    <row r="112871" s="12" customFormat="1" x14ac:dyDescent="0.25"/>
    <row r="112872" s="12" customFormat="1" x14ac:dyDescent="0.25"/>
    <row r="112873" s="12" customFormat="1" x14ac:dyDescent="0.25"/>
    <row r="112874" s="12" customFormat="1" x14ac:dyDescent="0.25"/>
    <row r="112875" s="12" customFormat="1" x14ac:dyDescent="0.25"/>
    <row r="112876" s="12" customFormat="1" x14ac:dyDescent="0.25"/>
    <row r="112877" s="12" customFormat="1" x14ac:dyDescent="0.25"/>
    <row r="112878" s="12" customFormat="1" x14ac:dyDescent="0.25"/>
    <row r="112879" s="12" customFormat="1" x14ac:dyDescent="0.25"/>
    <row r="112880" s="12" customFormat="1" x14ac:dyDescent="0.25"/>
    <row r="112881" s="12" customFormat="1" x14ac:dyDescent="0.25"/>
    <row r="112882" s="12" customFormat="1" x14ac:dyDescent="0.25"/>
    <row r="112883" s="12" customFormat="1" x14ac:dyDescent="0.25"/>
    <row r="112884" s="12" customFormat="1" x14ac:dyDescent="0.25"/>
    <row r="112885" s="12" customFormat="1" x14ac:dyDescent="0.25"/>
    <row r="112886" s="12" customFormat="1" x14ac:dyDescent="0.25"/>
    <row r="112887" s="12" customFormat="1" x14ac:dyDescent="0.25"/>
    <row r="112888" s="12" customFormat="1" x14ac:dyDescent="0.25"/>
    <row r="112889" s="12" customFormat="1" x14ac:dyDescent="0.25"/>
    <row r="112890" s="12" customFormat="1" x14ac:dyDescent="0.25"/>
    <row r="112891" s="12" customFormat="1" x14ac:dyDescent="0.25"/>
    <row r="112892" s="12" customFormat="1" x14ac:dyDescent="0.25"/>
    <row r="112893" s="12" customFormat="1" x14ac:dyDescent="0.25"/>
    <row r="112894" s="12" customFormat="1" x14ac:dyDescent="0.25"/>
    <row r="112895" s="12" customFormat="1" x14ac:dyDescent="0.25"/>
    <row r="112896" s="12" customFormat="1" x14ac:dyDescent="0.25"/>
    <row r="112897" s="12" customFormat="1" x14ac:dyDescent="0.25"/>
    <row r="112898" s="12" customFormat="1" x14ac:dyDescent="0.25"/>
    <row r="112899" s="12" customFormat="1" x14ac:dyDescent="0.25"/>
    <row r="112900" s="12" customFormat="1" x14ac:dyDescent="0.25"/>
    <row r="112901" s="12" customFormat="1" x14ac:dyDescent="0.25"/>
    <row r="112902" s="12" customFormat="1" x14ac:dyDescent="0.25"/>
    <row r="112903" s="12" customFormat="1" x14ac:dyDescent="0.25"/>
    <row r="112904" s="12" customFormat="1" x14ac:dyDescent="0.25"/>
    <row r="112905" s="12" customFormat="1" x14ac:dyDescent="0.25"/>
    <row r="112906" s="12" customFormat="1" x14ac:dyDescent="0.25"/>
    <row r="112907" s="12" customFormat="1" x14ac:dyDescent="0.25"/>
    <row r="112908" s="12" customFormat="1" x14ac:dyDescent="0.25"/>
    <row r="112909" s="12" customFormat="1" x14ac:dyDescent="0.25"/>
    <row r="112910" s="12" customFormat="1" x14ac:dyDescent="0.25"/>
    <row r="112911" s="12" customFormat="1" x14ac:dyDescent="0.25"/>
    <row r="112912" s="12" customFormat="1" x14ac:dyDescent="0.25"/>
    <row r="112913" s="12" customFormat="1" x14ac:dyDescent="0.25"/>
    <row r="112914" s="12" customFormat="1" x14ac:dyDescent="0.25"/>
    <row r="112915" s="12" customFormat="1" x14ac:dyDescent="0.25"/>
    <row r="112916" s="12" customFormat="1" x14ac:dyDescent="0.25"/>
    <row r="112917" s="12" customFormat="1" x14ac:dyDescent="0.25"/>
    <row r="112918" s="12" customFormat="1" x14ac:dyDescent="0.25"/>
    <row r="112919" s="12" customFormat="1" x14ac:dyDescent="0.25"/>
    <row r="112920" s="12" customFormat="1" x14ac:dyDescent="0.25"/>
    <row r="112921" s="12" customFormat="1" x14ac:dyDescent="0.25"/>
    <row r="112922" s="12" customFormat="1" x14ac:dyDescent="0.25"/>
    <row r="112923" s="12" customFormat="1" x14ac:dyDescent="0.25"/>
    <row r="112924" s="12" customFormat="1" x14ac:dyDescent="0.25"/>
    <row r="112925" s="12" customFormat="1" x14ac:dyDescent="0.25"/>
    <row r="112926" s="12" customFormat="1" x14ac:dyDescent="0.25"/>
    <row r="112927" s="12" customFormat="1" x14ac:dyDescent="0.25"/>
    <row r="112928" s="12" customFormat="1" x14ac:dyDescent="0.25"/>
    <row r="112929" s="12" customFormat="1" x14ac:dyDescent="0.25"/>
    <row r="112930" s="12" customFormat="1" x14ac:dyDescent="0.25"/>
    <row r="112931" s="12" customFormat="1" x14ac:dyDescent="0.25"/>
    <row r="112932" s="12" customFormat="1" x14ac:dyDescent="0.25"/>
    <row r="112933" s="12" customFormat="1" x14ac:dyDescent="0.25"/>
    <row r="112934" s="12" customFormat="1" x14ac:dyDescent="0.25"/>
    <row r="112935" s="12" customFormat="1" x14ac:dyDescent="0.25"/>
    <row r="112936" s="12" customFormat="1" x14ac:dyDescent="0.25"/>
    <row r="112937" s="12" customFormat="1" x14ac:dyDescent="0.25"/>
    <row r="112938" s="12" customFormat="1" x14ac:dyDescent="0.25"/>
    <row r="112939" s="12" customFormat="1" x14ac:dyDescent="0.25"/>
    <row r="112940" s="12" customFormat="1" x14ac:dyDescent="0.25"/>
    <row r="112941" s="12" customFormat="1" x14ac:dyDescent="0.25"/>
    <row r="112942" s="12" customFormat="1" x14ac:dyDescent="0.25"/>
    <row r="112943" s="12" customFormat="1" x14ac:dyDescent="0.25"/>
    <row r="112944" s="12" customFormat="1" x14ac:dyDescent="0.25"/>
    <row r="112945" s="12" customFormat="1" x14ac:dyDescent="0.25"/>
    <row r="112946" s="12" customFormat="1" x14ac:dyDescent="0.25"/>
    <row r="112947" s="12" customFormat="1" x14ac:dyDescent="0.25"/>
    <row r="112948" s="12" customFormat="1" x14ac:dyDescent="0.25"/>
    <row r="112949" s="12" customFormat="1" x14ac:dyDescent="0.25"/>
    <row r="112950" s="12" customFormat="1" x14ac:dyDescent="0.25"/>
    <row r="112951" s="12" customFormat="1" x14ac:dyDescent="0.25"/>
    <row r="112952" s="12" customFormat="1" x14ac:dyDescent="0.25"/>
    <row r="112953" s="12" customFormat="1" x14ac:dyDescent="0.25"/>
    <row r="112954" s="12" customFormat="1" x14ac:dyDescent="0.25"/>
    <row r="112955" s="12" customFormat="1" x14ac:dyDescent="0.25"/>
    <row r="112956" s="12" customFormat="1" x14ac:dyDescent="0.25"/>
    <row r="112957" s="12" customFormat="1" x14ac:dyDescent="0.25"/>
    <row r="112958" s="12" customFormat="1" x14ac:dyDescent="0.25"/>
    <row r="112959" s="12" customFormat="1" x14ac:dyDescent="0.25"/>
    <row r="112960" s="12" customFormat="1" x14ac:dyDescent="0.25"/>
    <row r="112961" s="12" customFormat="1" x14ac:dyDescent="0.25"/>
    <row r="112962" s="12" customFormat="1" x14ac:dyDescent="0.25"/>
    <row r="112963" s="12" customFormat="1" x14ac:dyDescent="0.25"/>
    <row r="112964" s="12" customFormat="1" x14ac:dyDescent="0.25"/>
    <row r="112965" s="12" customFormat="1" x14ac:dyDescent="0.25"/>
    <row r="112966" s="12" customFormat="1" x14ac:dyDescent="0.25"/>
    <row r="112967" s="12" customFormat="1" x14ac:dyDescent="0.25"/>
    <row r="112968" s="12" customFormat="1" x14ac:dyDescent="0.25"/>
    <row r="112969" s="12" customFormat="1" x14ac:dyDescent="0.25"/>
    <row r="112970" s="12" customFormat="1" x14ac:dyDescent="0.25"/>
    <row r="112971" s="12" customFormat="1" x14ac:dyDescent="0.25"/>
    <row r="112972" s="12" customFormat="1" x14ac:dyDescent="0.25"/>
    <row r="112973" s="12" customFormat="1" x14ac:dyDescent="0.25"/>
    <row r="112974" s="12" customFormat="1" x14ac:dyDescent="0.25"/>
    <row r="112975" s="12" customFormat="1" x14ac:dyDescent="0.25"/>
    <row r="112976" s="12" customFormat="1" x14ac:dyDescent="0.25"/>
    <row r="112977" s="12" customFormat="1" x14ac:dyDescent="0.25"/>
    <row r="112978" s="12" customFormat="1" x14ac:dyDescent="0.25"/>
    <row r="112979" s="12" customFormat="1" x14ac:dyDescent="0.25"/>
    <row r="112980" s="12" customFormat="1" x14ac:dyDescent="0.25"/>
    <row r="112981" s="12" customFormat="1" x14ac:dyDescent="0.25"/>
    <row r="112982" s="12" customFormat="1" x14ac:dyDescent="0.25"/>
    <row r="112983" s="12" customFormat="1" x14ac:dyDescent="0.25"/>
    <row r="112984" s="12" customFormat="1" x14ac:dyDescent="0.25"/>
    <row r="112985" s="12" customFormat="1" x14ac:dyDescent="0.25"/>
    <row r="112986" s="12" customFormat="1" x14ac:dyDescent="0.25"/>
    <row r="112987" s="12" customFormat="1" x14ac:dyDescent="0.25"/>
    <row r="112988" s="12" customFormat="1" x14ac:dyDescent="0.25"/>
    <row r="112989" s="12" customFormat="1" x14ac:dyDescent="0.25"/>
    <row r="112990" s="12" customFormat="1" x14ac:dyDescent="0.25"/>
    <row r="112991" s="12" customFormat="1" x14ac:dyDescent="0.25"/>
    <row r="112992" s="12" customFormat="1" x14ac:dyDescent="0.25"/>
    <row r="112993" s="12" customFormat="1" x14ac:dyDescent="0.25"/>
    <row r="112994" s="12" customFormat="1" x14ac:dyDescent="0.25"/>
    <row r="112995" s="12" customFormat="1" x14ac:dyDescent="0.25"/>
    <row r="112996" s="12" customFormat="1" x14ac:dyDescent="0.25"/>
    <row r="112997" s="12" customFormat="1" x14ac:dyDescent="0.25"/>
    <row r="112998" s="12" customFormat="1" x14ac:dyDescent="0.25"/>
    <row r="112999" s="12" customFormat="1" x14ac:dyDescent="0.25"/>
    <row r="113000" s="12" customFormat="1" x14ac:dyDescent="0.25"/>
    <row r="113001" s="12" customFormat="1" x14ac:dyDescent="0.25"/>
    <row r="113002" s="12" customFormat="1" x14ac:dyDescent="0.25"/>
    <row r="113003" s="12" customFormat="1" x14ac:dyDescent="0.25"/>
    <row r="113004" s="12" customFormat="1" x14ac:dyDescent="0.25"/>
    <row r="113005" s="12" customFormat="1" x14ac:dyDescent="0.25"/>
    <row r="113006" s="12" customFormat="1" x14ac:dyDescent="0.25"/>
    <row r="113007" s="12" customFormat="1" x14ac:dyDescent="0.25"/>
    <row r="113008" s="12" customFormat="1" x14ac:dyDescent="0.25"/>
    <row r="113009" s="12" customFormat="1" x14ac:dyDescent="0.25"/>
    <row r="113010" s="12" customFormat="1" x14ac:dyDescent="0.25"/>
    <row r="113011" s="12" customFormat="1" x14ac:dyDescent="0.25"/>
    <row r="113012" s="12" customFormat="1" x14ac:dyDescent="0.25"/>
    <row r="113013" s="12" customFormat="1" x14ac:dyDescent="0.25"/>
    <row r="113014" s="12" customFormat="1" x14ac:dyDescent="0.25"/>
    <row r="113015" s="12" customFormat="1" x14ac:dyDescent="0.25"/>
    <row r="113016" s="12" customFormat="1" x14ac:dyDescent="0.25"/>
    <row r="113017" s="12" customFormat="1" x14ac:dyDescent="0.25"/>
    <row r="113018" s="12" customFormat="1" x14ac:dyDescent="0.25"/>
    <row r="113019" s="12" customFormat="1" x14ac:dyDescent="0.25"/>
    <row r="113020" s="12" customFormat="1" x14ac:dyDescent="0.25"/>
    <row r="113021" s="12" customFormat="1" x14ac:dyDescent="0.25"/>
    <row r="113022" s="12" customFormat="1" x14ac:dyDescent="0.25"/>
    <row r="113023" s="12" customFormat="1" x14ac:dyDescent="0.25"/>
    <row r="113024" s="12" customFormat="1" x14ac:dyDescent="0.25"/>
    <row r="113025" s="12" customFormat="1" x14ac:dyDescent="0.25"/>
    <row r="113026" s="12" customFormat="1" x14ac:dyDescent="0.25"/>
    <row r="113027" s="12" customFormat="1" x14ac:dyDescent="0.25"/>
    <row r="113028" s="12" customFormat="1" x14ac:dyDescent="0.25"/>
    <row r="113029" s="12" customFormat="1" x14ac:dyDescent="0.25"/>
    <row r="113030" s="12" customFormat="1" x14ac:dyDescent="0.25"/>
    <row r="113031" s="12" customFormat="1" x14ac:dyDescent="0.25"/>
    <row r="113032" s="12" customFormat="1" x14ac:dyDescent="0.25"/>
    <row r="113033" s="12" customFormat="1" x14ac:dyDescent="0.25"/>
    <row r="113034" s="12" customFormat="1" x14ac:dyDescent="0.25"/>
    <row r="113035" s="12" customFormat="1" x14ac:dyDescent="0.25"/>
    <row r="113036" s="12" customFormat="1" x14ac:dyDescent="0.25"/>
    <row r="113037" s="12" customFormat="1" x14ac:dyDescent="0.25"/>
    <row r="113038" s="12" customFormat="1" x14ac:dyDescent="0.25"/>
    <row r="113039" s="12" customFormat="1" x14ac:dyDescent="0.25"/>
    <row r="113040" s="12" customFormat="1" x14ac:dyDescent="0.25"/>
    <row r="113041" s="12" customFormat="1" x14ac:dyDescent="0.25"/>
    <row r="113042" s="12" customFormat="1" x14ac:dyDescent="0.25"/>
    <row r="113043" s="12" customFormat="1" x14ac:dyDescent="0.25"/>
    <row r="113044" s="12" customFormat="1" x14ac:dyDescent="0.25"/>
    <row r="113045" s="12" customFormat="1" x14ac:dyDescent="0.25"/>
    <row r="113046" s="12" customFormat="1" x14ac:dyDescent="0.25"/>
    <row r="113047" s="12" customFormat="1" x14ac:dyDescent="0.25"/>
    <row r="113048" s="12" customFormat="1" x14ac:dyDescent="0.25"/>
    <row r="113049" s="12" customFormat="1" x14ac:dyDescent="0.25"/>
    <row r="113050" s="12" customFormat="1" x14ac:dyDescent="0.25"/>
    <row r="113051" s="12" customFormat="1" x14ac:dyDescent="0.25"/>
    <row r="113052" s="12" customFormat="1" x14ac:dyDescent="0.25"/>
    <row r="113053" s="12" customFormat="1" x14ac:dyDescent="0.25"/>
    <row r="113054" s="12" customFormat="1" x14ac:dyDescent="0.25"/>
    <row r="113055" s="12" customFormat="1" x14ac:dyDescent="0.25"/>
    <row r="113056" s="12" customFormat="1" x14ac:dyDescent="0.25"/>
    <row r="113057" s="12" customFormat="1" x14ac:dyDescent="0.25"/>
    <row r="113058" s="12" customFormat="1" x14ac:dyDescent="0.25"/>
    <row r="113059" s="12" customFormat="1" x14ac:dyDescent="0.25"/>
    <row r="113060" s="12" customFormat="1" x14ac:dyDescent="0.25"/>
    <row r="113061" s="12" customFormat="1" x14ac:dyDescent="0.25"/>
    <row r="113062" s="12" customFormat="1" x14ac:dyDescent="0.25"/>
    <row r="113063" s="12" customFormat="1" x14ac:dyDescent="0.25"/>
    <row r="113064" s="12" customFormat="1" x14ac:dyDescent="0.25"/>
    <row r="113065" s="12" customFormat="1" x14ac:dyDescent="0.25"/>
    <row r="113066" s="12" customFormat="1" x14ac:dyDescent="0.25"/>
    <row r="113067" s="12" customFormat="1" x14ac:dyDescent="0.25"/>
    <row r="113068" s="12" customFormat="1" x14ac:dyDescent="0.25"/>
    <row r="113069" s="12" customFormat="1" x14ac:dyDescent="0.25"/>
    <row r="113070" s="12" customFormat="1" x14ac:dyDescent="0.25"/>
    <row r="113071" s="12" customFormat="1" x14ac:dyDescent="0.25"/>
    <row r="113072" s="12" customFormat="1" x14ac:dyDescent="0.25"/>
    <row r="113073" s="12" customFormat="1" x14ac:dyDescent="0.25"/>
    <row r="113074" s="12" customFormat="1" x14ac:dyDescent="0.25"/>
    <row r="113075" s="12" customFormat="1" x14ac:dyDescent="0.25"/>
    <row r="113076" s="12" customFormat="1" x14ac:dyDescent="0.25"/>
    <row r="113077" s="12" customFormat="1" x14ac:dyDescent="0.25"/>
    <row r="113078" s="12" customFormat="1" x14ac:dyDescent="0.25"/>
    <row r="113079" s="12" customFormat="1" x14ac:dyDescent="0.25"/>
    <row r="113080" s="12" customFormat="1" x14ac:dyDescent="0.25"/>
    <row r="113081" s="12" customFormat="1" x14ac:dyDescent="0.25"/>
    <row r="113082" s="12" customFormat="1" x14ac:dyDescent="0.25"/>
    <row r="113083" s="12" customFormat="1" x14ac:dyDescent="0.25"/>
    <row r="113084" s="12" customFormat="1" x14ac:dyDescent="0.25"/>
    <row r="113085" s="12" customFormat="1" x14ac:dyDescent="0.25"/>
    <row r="113086" s="12" customFormat="1" x14ac:dyDescent="0.25"/>
    <row r="113087" s="12" customFormat="1" x14ac:dyDescent="0.25"/>
    <row r="113088" s="12" customFormat="1" x14ac:dyDescent="0.25"/>
    <row r="113089" s="12" customFormat="1" x14ac:dyDescent="0.25"/>
    <row r="113090" s="12" customFormat="1" x14ac:dyDescent="0.25"/>
    <row r="113091" s="12" customFormat="1" x14ac:dyDescent="0.25"/>
    <row r="113092" s="12" customFormat="1" x14ac:dyDescent="0.25"/>
    <row r="113093" s="12" customFormat="1" x14ac:dyDescent="0.25"/>
    <row r="113094" s="12" customFormat="1" x14ac:dyDescent="0.25"/>
    <row r="113095" s="12" customFormat="1" x14ac:dyDescent="0.25"/>
    <row r="113096" s="12" customFormat="1" x14ac:dyDescent="0.25"/>
    <row r="113097" s="12" customFormat="1" x14ac:dyDescent="0.25"/>
    <row r="113098" s="12" customFormat="1" x14ac:dyDescent="0.25"/>
    <row r="113099" s="12" customFormat="1" x14ac:dyDescent="0.25"/>
    <row r="113100" s="12" customFormat="1" x14ac:dyDescent="0.25"/>
    <row r="113101" s="12" customFormat="1" x14ac:dyDescent="0.25"/>
    <row r="113102" s="12" customFormat="1" x14ac:dyDescent="0.25"/>
    <row r="113103" s="12" customFormat="1" x14ac:dyDescent="0.25"/>
    <row r="113104" s="12" customFormat="1" x14ac:dyDescent="0.25"/>
    <row r="113105" s="12" customFormat="1" x14ac:dyDescent="0.25"/>
    <row r="113106" s="12" customFormat="1" x14ac:dyDescent="0.25"/>
    <row r="113107" s="12" customFormat="1" x14ac:dyDescent="0.25"/>
    <row r="113108" s="12" customFormat="1" x14ac:dyDescent="0.25"/>
    <row r="113109" s="12" customFormat="1" x14ac:dyDescent="0.25"/>
    <row r="113110" s="12" customFormat="1" x14ac:dyDescent="0.25"/>
    <row r="113111" s="12" customFormat="1" x14ac:dyDescent="0.25"/>
    <row r="113112" s="12" customFormat="1" x14ac:dyDescent="0.25"/>
    <row r="113113" s="12" customFormat="1" x14ac:dyDescent="0.25"/>
    <row r="113114" s="12" customFormat="1" x14ac:dyDescent="0.25"/>
    <row r="113115" s="12" customFormat="1" x14ac:dyDescent="0.25"/>
    <row r="113116" s="12" customFormat="1" x14ac:dyDescent="0.25"/>
    <row r="113117" s="12" customFormat="1" x14ac:dyDescent="0.25"/>
    <row r="113118" s="12" customFormat="1" x14ac:dyDescent="0.25"/>
    <row r="113119" s="12" customFormat="1" x14ac:dyDescent="0.25"/>
    <row r="113120" s="12" customFormat="1" x14ac:dyDescent="0.25"/>
    <row r="113121" s="12" customFormat="1" x14ac:dyDescent="0.25"/>
    <row r="113122" s="12" customFormat="1" x14ac:dyDescent="0.25"/>
    <row r="113123" s="12" customFormat="1" x14ac:dyDescent="0.25"/>
    <row r="113124" s="12" customFormat="1" x14ac:dyDescent="0.25"/>
    <row r="113125" s="12" customFormat="1" x14ac:dyDescent="0.25"/>
    <row r="113126" s="12" customFormat="1" x14ac:dyDescent="0.25"/>
    <row r="113127" s="12" customFormat="1" x14ac:dyDescent="0.25"/>
    <row r="113128" s="12" customFormat="1" x14ac:dyDescent="0.25"/>
    <row r="113129" s="12" customFormat="1" x14ac:dyDescent="0.25"/>
    <row r="113130" s="12" customFormat="1" x14ac:dyDescent="0.25"/>
    <row r="113131" s="12" customFormat="1" x14ac:dyDescent="0.25"/>
    <row r="113132" s="12" customFormat="1" x14ac:dyDescent="0.25"/>
    <row r="113133" s="12" customFormat="1" x14ac:dyDescent="0.25"/>
    <row r="113134" s="12" customFormat="1" x14ac:dyDescent="0.25"/>
    <row r="113135" s="12" customFormat="1" x14ac:dyDescent="0.25"/>
    <row r="113136" s="12" customFormat="1" x14ac:dyDescent="0.25"/>
    <row r="113137" s="12" customFormat="1" x14ac:dyDescent="0.25"/>
    <row r="113138" s="12" customFormat="1" x14ac:dyDescent="0.25"/>
    <row r="113139" s="12" customFormat="1" x14ac:dyDescent="0.25"/>
    <row r="113140" s="12" customFormat="1" x14ac:dyDescent="0.25"/>
    <row r="113141" s="12" customFormat="1" x14ac:dyDescent="0.25"/>
    <row r="113142" s="12" customFormat="1" x14ac:dyDescent="0.25"/>
    <row r="113143" s="12" customFormat="1" x14ac:dyDescent="0.25"/>
    <row r="113144" s="12" customFormat="1" x14ac:dyDescent="0.25"/>
    <row r="113145" s="12" customFormat="1" x14ac:dyDescent="0.25"/>
    <row r="113146" s="12" customFormat="1" x14ac:dyDescent="0.25"/>
    <row r="113147" s="12" customFormat="1" x14ac:dyDescent="0.25"/>
    <row r="113148" s="12" customFormat="1" x14ac:dyDescent="0.25"/>
    <row r="113149" s="12" customFormat="1" x14ac:dyDescent="0.25"/>
    <row r="113150" s="12" customFormat="1" x14ac:dyDescent="0.25"/>
    <row r="113151" s="12" customFormat="1" x14ac:dyDescent="0.25"/>
    <row r="113152" s="12" customFormat="1" x14ac:dyDescent="0.25"/>
    <row r="113153" s="12" customFormat="1" x14ac:dyDescent="0.25"/>
    <row r="113154" s="12" customFormat="1" x14ac:dyDescent="0.25"/>
    <row r="113155" s="12" customFormat="1" x14ac:dyDescent="0.25"/>
    <row r="113156" s="12" customFormat="1" x14ac:dyDescent="0.25"/>
    <row r="113157" s="12" customFormat="1" x14ac:dyDescent="0.25"/>
    <row r="113158" s="12" customFormat="1" x14ac:dyDescent="0.25"/>
    <row r="113159" s="12" customFormat="1" x14ac:dyDescent="0.25"/>
    <row r="113160" s="12" customFormat="1" x14ac:dyDescent="0.25"/>
    <row r="113161" s="12" customFormat="1" x14ac:dyDescent="0.25"/>
    <row r="113162" s="12" customFormat="1" x14ac:dyDescent="0.25"/>
    <row r="113163" s="12" customFormat="1" x14ac:dyDescent="0.25"/>
    <row r="113164" s="12" customFormat="1" x14ac:dyDescent="0.25"/>
    <row r="113165" s="12" customFormat="1" x14ac:dyDescent="0.25"/>
    <row r="113166" s="12" customFormat="1" x14ac:dyDescent="0.25"/>
    <row r="113167" s="12" customFormat="1" x14ac:dyDescent="0.25"/>
    <row r="113168" s="12" customFormat="1" x14ac:dyDescent="0.25"/>
    <row r="113169" s="12" customFormat="1" x14ac:dyDescent="0.25"/>
    <row r="113170" s="12" customFormat="1" x14ac:dyDescent="0.25"/>
    <row r="113171" s="12" customFormat="1" x14ac:dyDescent="0.25"/>
    <row r="113172" s="12" customFormat="1" x14ac:dyDescent="0.25"/>
    <row r="113173" s="12" customFormat="1" x14ac:dyDescent="0.25"/>
    <row r="113174" s="12" customFormat="1" x14ac:dyDescent="0.25"/>
    <row r="113175" s="12" customFormat="1" x14ac:dyDescent="0.25"/>
    <row r="113176" s="12" customFormat="1" x14ac:dyDescent="0.25"/>
    <row r="113177" s="12" customFormat="1" x14ac:dyDescent="0.25"/>
    <row r="113178" s="12" customFormat="1" x14ac:dyDescent="0.25"/>
    <row r="113179" s="12" customFormat="1" x14ac:dyDescent="0.25"/>
    <row r="113180" s="12" customFormat="1" x14ac:dyDescent="0.25"/>
    <row r="113181" s="12" customFormat="1" x14ac:dyDescent="0.25"/>
    <row r="113182" s="12" customFormat="1" x14ac:dyDescent="0.25"/>
    <row r="113183" s="12" customFormat="1" x14ac:dyDescent="0.25"/>
    <row r="113184" s="12" customFormat="1" x14ac:dyDescent="0.25"/>
    <row r="113185" s="12" customFormat="1" x14ac:dyDescent="0.25"/>
    <row r="113186" s="12" customFormat="1" x14ac:dyDescent="0.25"/>
    <row r="113187" s="12" customFormat="1" x14ac:dyDescent="0.25"/>
    <row r="113188" s="12" customFormat="1" x14ac:dyDescent="0.25"/>
    <row r="113189" s="12" customFormat="1" x14ac:dyDescent="0.25"/>
    <row r="113190" s="12" customFormat="1" x14ac:dyDescent="0.25"/>
    <row r="113191" s="12" customFormat="1" x14ac:dyDescent="0.25"/>
    <row r="113192" s="12" customFormat="1" x14ac:dyDescent="0.25"/>
    <row r="113193" s="12" customFormat="1" x14ac:dyDescent="0.25"/>
    <row r="113194" s="12" customFormat="1" x14ac:dyDescent="0.25"/>
    <row r="113195" s="12" customFormat="1" x14ac:dyDescent="0.25"/>
    <row r="113196" s="12" customFormat="1" x14ac:dyDescent="0.25"/>
    <row r="113197" s="12" customFormat="1" x14ac:dyDescent="0.25"/>
    <row r="113198" s="12" customFormat="1" x14ac:dyDescent="0.25"/>
    <row r="113199" s="12" customFormat="1" x14ac:dyDescent="0.25"/>
    <row r="113200" s="12" customFormat="1" x14ac:dyDescent="0.25"/>
    <row r="113201" s="12" customFormat="1" x14ac:dyDescent="0.25"/>
    <row r="113202" s="12" customFormat="1" x14ac:dyDescent="0.25"/>
    <row r="113203" s="12" customFormat="1" x14ac:dyDescent="0.25"/>
    <row r="113204" s="12" customFormat="1" x14ac:dyDescent="0.25"/>
    <row r="113205" s="12" customFormat="1" x14ac:dyDescent="0.25"/>
    <row r="113206" s="12" customFormat="1" x14ac:dyDescent="0.25"/>
    <row r="113207" s="12" customFormat="1" x14ac:dyDescent="0.25"/>
    <row r="113208" s="12" customFormat="1" x14ac:dyDescent="0.25"/>
    <row r="113209" s="12" customFormat="1" x14ac:dyDescent="0.25"/>
    <row r="113210" s="12" customFormat="1" x14ac:dyDescent="0.25"/>
    <row r="113211" s="12" customFormat="1" x14ac:dyDescent="0.25"/>
    <row r="113212" s="12" customFormat="1" x14ac:dyDescent="0.25"/>
    <row r="113213" s="12" customFormat="1" x14ac:dyDescent="0.25"/>
    <row r="113214" s="12" customFormat="1" x14ac:dyDescent="0.25"/>
    <row r="113215" s="12" customFormat="1" x14ac:dyDescent="0.25"/>
    <row r="113216" s="12" customFormat="1" x14ac:dyDescent="0.25"/>
    <row r="113217" s="12" customFormat="1" x14ac:dyDescent="0.25"/>
    <row r="113218" s="12" customFormat="1" x14ac:dyDescent="0.25"/>
    <row r="113219" s="12" customFormat="1" x14ac:dyDescent="0.25"/>
    <row r="113220" s="12" customFormat="1" x14ac:dyDescent="0.25"/>
    <row r="113221" s="12" customFormat="1" x14ac:dyDescent="0.25"/>
    <row r="113222" s="12" customFormat="1" x14ac:dyDescent="0.25"/>
    <row r="113223" s="12" customFormat="1" x14ac:dyDescent="0.25"/>
    <row r="113224" s="12" customFormat="1" x14ac:dyDescent="0.25"/>
    <row r="113225" s="12" customFormat="1" x14ac:dyDescent="0.25"/>
    <row r="113226" s="12" customFormat="1" x14ac:dyDescent="0.25"/>
    <row r="113227" s="12" customFormat="1" x14ac:dyDescent="0.25"/>
    <row r="113228" s="12" customFormat="1" x14ac:dyDescent="0.25"/>
    <row r="113229" s="12" customFormat="1" x14ac:dyDescent="0.25"/>
    <row r="113230" s="12" customFormat="1" x14ac:dyDescent="0.25"/>
    <row r="113231" s="12" customFormat="1" x14ac:dyDescent="0.25"/>
    <row r="113232" s="12" customFormat="1" x14ac:dyDescent="0.25"/>
    <row r="113233" s="12" customFormat="1" x14ac:dyDescent="0.25"/>
    <row r="113234" s="12" customFormat="1" x14ac:dyDescent="0.25"/>
    <row r="113235" s="12" customFormat="1" x14ac:dyDescent="0.25"/>
    <row r="113236" s="12" customFormat="1" x14ac:dyDescent="0.25"/>
    <row r="113237" s="12" customFormat="1" x14ac:dyDescent="0.25"/>
    <row r="113238" s="12" customFormat="1" x14ac:dyDescent="0.25"/>
    <row r="113239" s="12" customFormat="1" x14ac:dyDescent="0.25"/>
    <row r="113240" s="12" customFormat="1" x14ac:dyDescent="0.25"/>
    <row r="113241" s="12" customFormat="1" x14ac:dyDescent="0.25"/>
    <row r="113242" s="12" customFormat="1" x14ac:dyDescent="0.25"/>
    <row r="113243" s="12" customFormat="1" x14ac:dyDescent="0.25"/>
    <row r="113244" s="12" customFormat="1" x14ac:dyDescent="0.25"/>
    <row r="113245" s="12" customFormat="1" x14ac:dyDescent="0.25"/>
    <row r="113246" s="12" customFormat="1" x14ac:dyDescent="0.25"/>
    <row r="113247" s="12" customFormat="1" x14ac:dyDescent="0.25"/>
    <row r="113248" s="12" customFormat="1" x14ac:dyDescent="0.25"/>
    <row r="113249" s="12" customFormat="1" x14ac:dyDescent="0.25"/>
    <row r="113250" s="12" customFormat="1" x14ac:dyDescent="0.25"/>
    <row r="113251" s="12" customFormat="1" x14ac:dyDescent="0.25"/>
    <row r="113252" s="12" customFormat="1" x14ac:dyDescent="0.25"/>
    <row r="113253" s="12" customFormat="1" x14ac:dyDescent="0.25"/>
    <row r="113254" s="12" customFormat="1" x14ac:dyDescent="0.25"/>
    <row r="113255" s="12" customFormat="1" x14ac:dyDescent="0.25"/>
    <row r="113256" s="12" customFormat="1" x14ac:dyDescent="0.25"/>
    <row r="113257" s="12" customFormat="1" x14ac:dyDescent="0.25"/>
    <row r="113258" s="12" customFormat="1" x14ac:dyDescent="0.25"/>
    <row r="113259" s="12" customFormat="1" x14ac:dyDescent="0.25"/>
    <row r="113260" s="12" customFormat="1" x14ac:dyDescent="0.25"/>
    <row r="113261" s="12" customFormat="1" x14ac:dyDescent="0.25"/>
    <row r="113262" s="12" customFormat="1" x14ac:dyDescent="0.25"/>
    <row r="113263" s="12" customFormat="1" x14ac:dyDescent="0.25"/>
    <row r="113264" s="12" customFormat="1" x14ac:dyDescent="0.25"/>
    <row r="113265" s="12" customFormat="1" x14ac:dyDescent="0.25"/>
    <row r="113266" s="12" customFormat="1" x14ac:dyDescent="0.25"/>
    <row r="113267" s="12" customFormat="1" x14ac:dyDescent="0.25"/>
    <row r="113268" s="12" customFormat="1" x14ac:dyDescent="0.25"/>
    <row r="113269" s="12" customFormat="1" x14ac:dyDescent="0.25"/>
    <row r="113270" s="12" customFormat="1" x14ac:dyDescent="0.25"/>
    <row r="113271" s="12" customFormat="1" x14ac:dyDescent="0.25"/>
    <row r="113272" s="12" customFormat="1" x14ac:dyDescent="0.25"/>
    <row r="113273" s="12" customFormat="1" x14ac:dyDescent="0.25"/>
    <row r="113274" s="12" customFormat="1" x14ac:dyDescent="0.25"/>
    <row r="113275" s="12" customFormat="1" x14ac:dyDescent="0.25"/>
    <row r="113276" s="12" customFormat="1" x14ac:dyDescent="0.25"/>
    <row r="113277" s="12" customFormat="1" x14ac:dyDescent="0.25"/>
    <row r="113278" s="12" customFormat="1" x14ac:dyDescent="0.25"/>
    <row r="113279" s="12" customFormat="1" x14ac:dyDescent="0.25"/>
    <row r="113280" s="12" customFormat="1" x14ac:dyDescent="0.25"/>
    <row r="113281" s="12" customFormat="1" x14ac:dyDescent="0.25"/>
    <row r="113282" s="12" customFormat="1" x14ac:dyDescent="0.25"/>
    <row r="113283" s="12" customFormat="1" x14ac:dyDescent="0.25"/>
    <row r="113284" s="12" customFormat="1" x14ac:dyDescent="0.25"/>
    <row r="113285" s="12" customFormat="1" x14ac:dyDescent="0.25"/>
    <row r="113286" s="12" customFormat="1" x14ac:dyDescent="0.25"/>
    <row r="113287" s="12" customFormat="1" x14ac:dyDescent="0.25"/>
    <row r="113288" s="12" customFormat="1" x14ac:dyDescent="0.25"/>
    <row r="113289" s="12" customFormat="1" x14ac:dyDescent="0.25"/>
    <row r="113290" s="12" customFormat="1" x14ac:dyDescent="0.25"/>
    <row r="113291" s="12" customFormat="1" x14ac:dyDescent="0.25"/>
    <row r="113292" s="12" customFormat="1" x14ac:dyDescent="0.25"/>
    <row r="113293" s="12" customFormat="1" x14ac:dyDescent="0.25"/>
    <row r="113294" s="12" customFormat="1" x14ac:dyDescent="0.25"/>
    <row r="113295" s="12" customFormat="1" x14ac:dyDescent="0.25"/>
    <row r="113296" s="12" customFormat="1" x14ac:dyDescent="0.25"/>
    <row r="113297" s="12" customFormat="1" x14ac:dyDescent="0.25"/>
    <row r="113298" s="12" customFormat="1" x14ac:dyDescent="0.25"/>
    <row r="113299" s="12" customFormat="1" x14ac:dyDescent="0.25"/>
    <row r="113300" s="12" customFormat="1" x14ac:dyDescent="0.25"/>
    <row r="113301" s="12" customFormat="1" x14ac:dyDescent="0.25"/>
    <row r="113302" s="12" customFormat="1" x14ac:dyDescent="0.25"/>
    <row r="113303" s="12" customFormat="1" x14ac:dyDescent="0.25"/>
    <row r="113304" s="12" customFormat="1" x14ac:dyDescent="0.25"/>
    <row r="113305" s="12" customFormat="1" x14ac:dyDescent="0.25"/>
    <row r="113306" s="12" customFormat="1" x14ac:dyDescent="0.25"/>
    <row r="113307" s="12" customFormat="1" x14ac:dyDescent="0.25"/>
    <row r="113308" s="12" customFormat="1" x14ac:dyDescent="0.25"/>
    <row r="113309" s="12" customFormat="1" x14ac:dyDescent="0.25"/>
    <row r="113310" s="12" customFormat="1" x14ac:dyDescent="0.25"/>
    <row r="113311" s="12" customFormat="1" x14ac:dyDescent="0.25"/>
    <row r="113312" s="12" customFormat="1" x14ac:dyDescent="0.25"/>
    <row r="113313" s="12" customFormat="1" x14ac:dyDescent="0.25"/>
    <row r="113314" s="12" customFormat="1" x14ac:dyDescent="0.25"/>
    <row r="113315" s="12" customFormat="1" x14ac:dyDescent="0.25"/>
    <row r="113316" s="12" customFormat="1" x14ac:dyDescent="0.25"/>
    <row r="113317" s="12" customFormat="1" x14ac:dyDescent="0.25"/>
    <row r="113318" s="12" customFormat="1" x14ac:dyDescent="0.25"/>
    <row r="113319" s="12" customFormat="1" x14ac:dyDescent="0.25"/>
    <row r="113320" s="12" customFormat="1" x14ac:dyDescent="0.25"/>
    <row r="113321" s="12" customFormat="1" x14ac:dyDescent="0.25"/>
    <row r="113322" s="12" customFormat="1" x14ac:dyDescent="0.25"/>
    <row r="113323" s="12" customFormat="1" x14ac:dyDescent="0.25"/>
    <row r="113324" s="12" customFormat="1" x14ac:dyDescent="0.25"/>
    <row r="113325" s="12" customFormat="1" x14ac:dyDescent="0.25"/>
    <row r="113326" s="12" customFormat="1" x14ac:dyDescent="0.25"/>
    <row r="113327" s="12" customFormat="1" x14ac:dyDescent="0.25"/>
    <row r="113328" s="12" customFormat="1" x14ac:dyDescent="0.25"/>
    <row r="113329" s="12" customFormat="1" x14ac:dyDescent="0.25"/>
    <row r="113330" s="12" customFormat="1" x14ac:dyDescent="0.25"/>
    <row r="113331" s="12" customFormat="1" x14ac:dyDescent="0.25"/>
    <row r="113332" s="12" customFormat="1" x14ac:dyDescent="0.25"/>
    <row r="113333" s="12" customFormat="1" x14ac:dyDescent="0.25"/>
    <row r="113334" s="12" customFormat="1" x14ac:dyDescent="0.25"/>
    <row r="113335" s="12" customFormat="1" x14ac:dyDescent="0.25"/>
    <row r="113336" s="12" customFormat="1" x14ac:dyDescent="0.25"/>
    <row r="113337" s="12" customFormat="1" x14ac:dyDescent="0.25"/>
    <row r="113338" s="12" customFormat="1" x14ac:dyDescent="0.25"/>
    <row r="113339" s="12" customFormat="1" x14ac:dyDescent="0.25"/>
    <row r="113340" s="12" customFormat="1" x14ac:dyDescent="0.25"/>
    <row r="113341" s="12" customFormat="1" x14ac:dyDescent="0.25"/>
    <row r="113342" s="12" customFormat="1" x14ac:dyDescent="0.25"/>
    <row r="113343" s="12" customFormat="1" x14ac:dyDescent="0.25"/>
    <row r="113344" s="12" customFormat="1" x14ac:dyDescent="0.25"/>
    <row r="113345" s="12" customFormat="1" x14ac:dyDescent="0.25"/>
    <row r="113346" s="12" customFormat="1" x14ac:dyDescent="0.25"/>
    <row r="113347" s="12" customFormat="1" x14ac:dyDescent="0.25"/>
    <row r="113348" s="12" customFormat="1" x14ac:dyDescent="0.25"/>
    <row r="113349" s="12" customFormat="1" x14ac:dyDescent="0.25"/>
    <row r="113350" s="12" customFormat="1" x14ac:dyDescent="0.25"/>
    <row r="113351" s="12" customFormat="1" x14ac:dyDescent="0.25"/>
    <row r="113352" s="12" customFormat="1" x14ac:dyDescent="0.25"/>
    <row r="113353" s="12" customFormat="1" x14ac:dyDescent="0.25"/>
    <row r="113354" s="12" customFormat="1" x14ac:dyDescent="0.25"/>
    <row r="113355" s="12" customFormat="1" x14ac:dyDescent="0.25"/>
    <row r="113356" s="12" customFormat="1" x14ac:dyDescent="0.25"/>
    <row r="113357" s="12" customFormat="1" x14ac:dyDescent="0.25"/>
    <row r="113358" s="12" customFormat="1" x14ac:dyDescent="0.25"/>
    <row r="113359" s="12" customFormat="1" x14ac:dyDescent="0.25"/>
    <row r="113360" s="12" customFormat="1" x14ac:dyDescent="0.25"/>
    <row r="113361" s="12" customFormat="1" x14ac:dyDescent="0.25"/>
    <row r="113362" s="12" customFormat="1" x14ac:dyDescent="0.25"/>
    <row r="113363" s="12" customFormat="1" x14ac:dyDescent="0.25"/>
    <row r="113364" s="12" customFormat="1" x14ac:dyDescent="0.25"/>
    <row r="113365" s="12" customFormat="1" x14ac:dyDescent="0.25"/>
    <row r="113366" s="12" customFormat="1" x14ac:dyDescent="0.25"/>
    <row r="113367" s="12" customFormat="1" x14ac:dyDescent="0.25"/>
    <row r="113368" s="12" customFormat="1" x14ac:dyDescent="0.25"/>
    <row r="113369" s="12" customFormat="1" x14ac:dyDescent="0.25"/>
    <row r="113370" s="12" customFormat="1" x14ac:dyDescent="0.25"/>
    <row r="113371" s="12" customFormat="1" x14ac:dyDescent="0.25"/>
    <row r="113372" s="12" customFormat="1" x14ac:dyDescent="0.25"/>
    <row r="113373" s="12" customFormat="1" x14ac:dyDescent="0.25"/>
    <row r="113374" s="12" customFormat="1" x14ac:dyDescent="0.25"/>
    <row r="113375" s="12" customFormat="1" x14ac:dyDescent="0.25"/>
    <row r="113376" s="12" customFormat="1" x14ac:dyDescent="0.25"/>
    <row r="113377" s="12" customFormat="1" x14ac:dyDescent="0.25"/>
    <row r="113378" s="12" customFormat="1" x14ac:dyDescent="0.25"/>
    <row r="113379" s="12" customFormat="1" x14ac:dyDescent="0.25"/>
    <row r="113380" s="12" customFormat="1" x14ac:dyDescent="0.25"/>
    <row r="113381" s="12" customFormat="1" x14ac:dyDescent="0.25"/>
    <row r="113382" s="12" customFormat="1" x14ac:dyDescent="0.25"/>
    <row r="113383" s="12" customFormat="1" x14ac:dyDescent="0.25"/>
    <row r="113384" s="12" customFormat="1" x14ac:dyDescent="0.25"/>
    <row r="113385" s="12" customFormat="1" x14ac:dyDescent="0.25"/>
    <row r="113386" s="12" customFormat="1" x14ac:dyDescent="0.25"/>
    <row r="113387" s="12" customFormat="1" x14ac:dyDescent="0.25"/>
    <row r="113388" s="12" customFormat="1" x14ac:dyDescent="0.25"/>
    <row r="113389" s="12" customFormat="1" x14ac:dyDescent="0.25"/>
    <row r="113390" s="12" customFormat="1" x14ac:dyDescent="0.25"/>
    <row r="113391" s="12" customFormat="1" x14ac:dyDescent="0.25"/>
    <row r="113392" s="12" customFormat="1" x14ac:dyDescent="0.25"/>
    <row r="113393" s="12" customFormat="1" x14ac:dyDescent="0.25"/>
    <row r="113394" s="12" customFormat="1" x14ac:dyDescent="0.25"/>
    <row r="113395" s="12" customFormat="1" x14ac:dyDescent="0.25"/>
    <row r="113396" s="12" customFormat="1" x14ac:dyDescent="0.25"/>
    <row r="113397" s="12" customFormat="1" x14ac:dyDescent="0.25"/>
    <row r="113398" s="12" customFormat="1" x14ac:dyDescent="0.25"/>
    <row r="113399" s="12" customFormat="1" x14ac:dyDescent="0.25"/>
    <row r="113400" s="12" customFormat="1" x14ac:dyDescent="0.25"/>
    <row r="113401" s="12" customFormat="1" x14ac:dyDescent="0.25"/>
    <row r="113402" s="12" customFormat="1" x14ac:dyDescent="0.25"/>
    <row r="113403" s="12" customFormat="1" x14ac:dyDescent="0.25"/>
    <row r="113404" s="12" customFormat="1" x14ac:dyDescent="0.25"/>
    <row r="113405" s="12" customFormat="1" x14ac:dyDescent="0.25"/>
    <row r="113406" s="12" customFormat="1" x14ac:dyDescent="0.25"/>
    <row r="113407" s="12" customFormat="1" x14ac:dyDescent="0.25"/>
    <row r="113408" s="12" customFormat="1" x14ac:dyDescent="0.25"/>
    <row r="113409" s="12" customFormat="1" x14ac:dyDescent="0.25"/>
    <row r="113410" s="12" customFormat="1" x14ac:dyDescent="0.25"/>
    <row r="113411" s="12" customFormat="1" x14ac:dyDescent="0.25"/>
    <row r="113412" s="12" customFormat="1" x14ac:dyDescent="0.25"/>
    <row r="113413" s="12" customFormat="1" x14ac:dyDescent="0.25"/>
    <row r="113414" s="12" customFormat="1" x14ac:dyDescent="0.25"/>
    <row r="113415" s="12" customFormat="1" x14ac:dyDescent="0.25"/>
    <row r="113416" s="12" customFormat="1" x14ac:dyDescent="0.25"/>
    <row r="113417" s="12" customFormat="1" x14ac:dyDescent="0.25"/>
    <row r="113418" s="12" customFormat="1" x14ac:dyDescent="0.25"/>
    <row r="113419" s="12" customFormat="1" x14ac:dyDescent="0.25"/>
    <row r="113420" s="12" customFormat="1" x14ac:dyDescent="0.25"/>
    <row r="113421" s="12" customFormat="1" x14ac:dyDescent="0.25"/>
    <row r="113422" s="12" customFormat="1" x14ac:dyDescent="0.25"/>
    <row r="113423" s="12" customFormat="1" x14ac:dyDescent="0.25"/>
    <row r="113424" s="12" customFormat="1" x14ac:dyDescent="0.25"/>
    <row r="113425" s="12" customFormat="1" x14ac:dyDescent="0.25"/>
    <row r="113426" s="12" customFormat="1" x14ac:dyDescent="0.25"/>
    <row r="113427" s="12" customFormat="1" x14ac:dyDescent="0.25"/>
    <row r="113428" s="12" customFormat="1" x14ac:dyDescent="0.25"/>
    <row r="113429" s="12" customFormat="1" x14ac:dyDescent="0.25"/>
    <row r="113430" s="12" customFormat="1" x14ac:dyDescent="0.25"/>
    <row r="113431" s="12" customFormat="1" x14ac:dyDescent="0.25"/>
    <row r="113432" s="12" customFormat="1" x14ac:dyDescent="0.25"/>
    <row r="113433" s="12" customFormat="1" x14ac:dyDescent="0.25"/>
    <row r="113434" s="12" customFormat="1" x14ac:dyDescent="0.25"/>
    <row r="113435" s="12" customFormat="1" x14ac:dyDescent="0.25"/>
    <row r="113436" s="12" customFormat="1" x14ac:dyDescent="0.25"/>
    <row r="113437" s="12" customFormat="1" x14ac:dyDescent="0.25"/>
    <row r="113438" s="12" customFormat="1" x14ac:dyDescent="0.25"/>
    <row r="113439" s="12" customFormat="1" x14ac:dyDescent="0.25"/>
    <row r="113440" s="12" customFormat="1" x14ac:dyDescent="0.25"/>
    <row r="113441" s="12" customFormat="1" x14ac:dyDescent="0.25"/>
    <row r="113442" s="12" customFormat="1" x14ac:dyDescent="0.25"/>
    <row r="113443" s="12" customFormat="1" x14ac:dyDescent="0.25"/>
    <row r="113444" s="12" customFormat="1" x14ac:dyDescent="0.25"/>
    <row r="113445" s="12" customFormat="1" x14ac:dyDescent="0.25"/>
    <row r="113446" s="12" customFormat="1" x14ac:dyDescent="0.25"/>
    <row r="113447" s="12" customFormat="1" x14ac:dyDescent="0.25"/>
    <row r="113448" s="12" customFormat="1" x14ac:dyDescent="0.25"/>
    <row r="113449" s="12" customFormat="1" x14ac:dyDescent="0.25"/>
    <row r="113450" s="12" customFormat="1" x14ac:dyDescent="0.25"/>
    <row r="113451" s="12" customFormat="1" x14ac:dyDescent="0.25"/>
    <row r="113452" s="12" customFormat="1" x14ac:dyDescent="0.25"/>
    <row r="113453" s="12" customFormat="1" x14ac:dyDescent="0.25"/>
    <row r="113454" s="12" customFormat="1" x14ac:dyDescent="0.25"/>
    <row r="113455" s="12" customFormat="1" x14ac:dyDescent="0.25"/>
    <row r="113456" s="12" customFormat="1" x14ac:dyDescent="0.25"/>
    <row r="113457" s="12" customFormat="1" x14ac:dyDescent="0.25"/>
    <row r="113458" s="12" customFormat="1" x14ac:dyDescent="0.25"/>
    <row r="113459" s="12" customFormat="1" x14ac:dyDescent="0.25"/>
    <row r="113460" s="12" customFormat="1" x14ac:dyDescent="0.25"/>
    <row r="113461" s="12" customFormat="1" x14ac:dyDescent="0.25"/>
    <row r="113462" s="12" customFormat="1" x14ac:dyDescent="0.25"/>
    <row r="113463" s="12" customFormat="1" x14ac:dyDescent="0.25"/>
    <row r="113464" s="12" customFormat="1" x14ac:dyDescent="0.25"/>
    <row r="113465" s="12" customFormat="1" x14ac:dyDescent="0.25"/>
    <row r="113466" s="12" customFormat="1" x14ac:dyDescent="0.25"/>
    <row r="113467" s="12" customFormat="1" x14ac:dyDescent="0.25"/>
    <row r="113468" s="12" customFormat="1" x14ac:dyDescent="0.25"/>
    <row r="113469" s="12" customFormat="1" x14ac:dyDescent="0.25"/>
    <row r="113470" s="12" customFormat="1" x14ac:dyDescent="0.25"/>
    <row r="113471" s="12" customFormat="1" x14ac:dyDescent="0.25"/>
    <row r="113472" s="12" customFormat="1" x14ac:dyDescent="0.25"/>
    <row r="113473" s="12" customFormat="1" x14ac:dyDescent="0.25"/>
    <row r="113474" s="12" customFormat="1" x14ac:dyDescent="0.25"/>
    <row r="113475" s="12" customFormat="1" x14ac:dyDescent="0.25"/>
    <row r="113476" s="12" customFormat="1" x14ac:dyDescent="0.25"/>
    <row r="113477" s="12" customFormat="1" x14ac:dyDescent="0.25"/>
    <row r="113478" s="12" customFormat="1" x14ac:dyDescent="0.25"/>
    <row r="113479" s="12" customFormat="1" x14ac:dyDescent="0.25"/>
    <row r="113480" s="12" customFormat="1" x14ac:dyDescent="0.25"/>
    <row r="113481" s="12" customFormat="1" x14ac:dyDescent="0.25"/>
    <row r="113482" s="12" customFormat="1" x14ac:dyDescent="0.25"/>
    <row r="113483" s="12" customFormat="1" x14ac:dyDescent="0.25"/>
    <row r="113484" s="12" customFormat="1" x14ac:dyDescent="0.25"/>
    <row r="113485" s="12" customFormat="1" x14ac:dyDescent="0.25"/>
    <row r="113486" s="12" customFormat="1" x14ac:dyDescent="0.25"/>
    <row r="113487" s="12" customFormat="1" x14ac:dyDescent="0.25"/>
    <row r="113488" s="12" customFormat="1" x14ac:dyDescent="0.25"/>
    <row r="113489" s="12" customFormat="1" x14ac:dyDescent="0.25"/>
    <row r="113490" s="12" customFormat="1" x14ac:dyDescent="0.25"/>
    <row r="113491" s="12" customFormat="1" x14ac:dyDescent="0.25"/>
    <row r="113492" s="12" customFormat="1" x14ac:dyDescent="0.25"/>
    <row r="113493" s="12" customFormat="1" x14ac:dyDescent="0.25"/>
    <row r="113494" s="12" customFormat="1" x14ac:dyDescent="0.25"/>
    <row r="113495" s="12" customFormat="1" x14ac:dyDescent="0.25"/>
    <row r="113496" s="12" customFormat="1" x14ac:dyDescent="0.25"/>
    <row r="113497" s="12" customFormat="1" x14ac:dyDescent="0.25"/>
    <row r="113498" s="12" customFormat="1" x14ac:dyDescent="0.25"/>
    <row r="113499" s="12" customFormat="1" x14ac:dyDescent="0.25"/>
    <row r="113500" s="12" customFormat="1" x14ac:dyDescent="0.25"/>
    <row r="113501" s="12" customFormat="1" x14ac:dyDescent="0.25"/>
    <row r="113502" s="12" customFormat="1" x14ac:dyDescent="0.25"/>
    <row r="113503" s="12" customFormat="1" x14ac:dyDescent="0.25"/>
    <row r="113504" s="12" customFormat="1" x14ac:dyDescent="0.25"/>
    <row r="113505" s="12" customFormat="1" x14ac:dyDescent="0.25"/>
    <row r="113506" s="12" customFormat="1" x14ac:dyDescent="0.25"/>
    <row r="113507" s="12" customFormat="1" x14ac:dyDescent="0.25"/>
    <row r="113508" s="12" customFormat="1" x14ac:dyDescent="0.25"/>
    <row r="113509" s="12" customFormat="1" x14ac:dyDescent="0.25"/>
    <row r="113510" s="12" customFormat="1" x14ac:dyDescent="0.25"/>
    <row r="113511" s="12" customFormat="1" x14ac:dyDescent="0.25"/>
    <row r="113512" s="12" customFormat="1" x14ac:dyDescent="0.25"/>
    <row r="113513" s="12" customFormat="1" x14ac:dyDescent="0.25"/>
    <row r="113514" s="12" customFormat="1" x14ac:dyDescent="0.25"/>
    <row r="113515" s="12" customFormat="1" x14ac:dyDescent="0.25"/>
    <row r="113516" s="12" customFormat="1" x14ac:dyDescent="0.25"/>
    <row r="113517" s="12" customFormat="1" x14ac:dyDescent="0.25"/>
    <row r="113518" s="12" customFormat="1" x14ac:dyDescent="0.25"/>
    <row r="113519" s="12" customFormat="1" x14ac:dyDescent="0.25"/>
    <row r="113520" s="12" customFormat="1" x14ac:dyDescent="0.25"/>
    <row r="113521" s="12" customFormat="1" x14ac:dyDescent="0.25"/>
    <row r="113522" s="12" customFormat="1" x14ac:dyDescent="0.25"/>
    <row r="113523" s="12" customFormat="1" x14ac:dyDescent="0.25"/>
    <row r="113524" s="12" customFormat="1" x14ac:dyDescent="0.25"/>
    <row r="113525" s="12" customFormat="1" x14ac:dyDescent="0.25"/>
    <row r="113526" s="12" customFormat="1" x14ac:dyDescent="0.25"/>
    <row r="113527" s="12" customFormat="1" x14ac:dyDescent="0.25"/>
    <row r="113528" s="12" customFormat="1" x14ac:dyDescent="0.25"/>
    <row r="113529" s="12" customFormat="1" x14ac:dyDescent="0.25"/>
    <row r="113530" s="12" customFormat="1" x14ac:dyDescent="0.25"/>
    <row r="113531" s="12" customFormat="1" x14ac:dyDescent="0.25"/>
    <row r="113532" s="12" customFormat="1" x14ac:dyDescent="0.25"/>
    <row r="113533" s="12" customFormat="1" x14ac:dyDescent="0.25"/>
    <row r="113534" s="12" customFormat="1" x14ac:dyDescent="0.25"/>
    <row r="113535" s="12" customFormat="1" x14ac:dyDescent="0.25"/>
    <row r="113536" s="12" customFormat="1" x14ac:dyDescent="0.25"/>
    <row r="113537" s="12" customFormat="1" x14ac:dyDescent="0.25"/>
    <row r="113538" s="12" customFormat="1" x14ac:dyDescent="0.25"/>
    <row r="113539" s="12" customFormat="1" x14ac:dyDescent="0.25"/>
    <row r="113540" s="12" customFormat="1" x14ac:dyDescent="0.25"/>
    <row r="113541" s="12" customFormat="1" x14ac:dyDescent="0.25"/>
    <row r="113542" s="12" customFormat="1" x14ac:dyDescent="0.25"/>
    <row r="113543" s="12" customFormat="1" x14ac:dyDescent="0.25"/>
    <row r="113544" s="12" customFormat="1" x14ac:dyDescent="0.25"/>
    <row r="113545" s="12" customFormat="1" x14ac:dyDescent="0.25"/>
    <row r="113546" s="12" customFormat="1" x14ac:dyDescent="0.25"/>
    <row r="113547" s="12" customFormat="1" x14ac:dyDescent="0.25"/>
    <row r="113548" s="12" customFormat="1" x14ac:dyDescent="0.25"/>
    <row r="113549" s="12" customFormat="1" x14ac:dyDescent="0.25"/>
    <row r="113550" s="12" customFormat="1" x14ac:dyDescent="0.25"/>
    <row r="113551" s="12" customFormat="1" x14ac:dyDescent="0.25"/>
    <row r="113552" s="12" customFormat="1" x14ac:dyDescent="0.25"/>
    <row r="113553" s="12" customFormat="1" x14ac:dyDescent="0.25"/>
    <row r="113554" s="12" customFormat="1" x14ac:dyDescent="0.25"/>
    <row r="113555" s="12" customFormat="1" x14ac:dyDescent="0.25"/>
    <row r="113556" s="12" customFormat="1" x14ac:dyDescent="0.25"/>
    <row r="113557" s="12" customFormat="1" x14ac:dyDescent="0.25"/>
    <row r="113558" s="12" customFormat="1" x14ac:dyDescent="0.25"/>
    <row r="113559" s="12" customFormat="1" x14ac:dyDescent="0.25"/>
    <row r="113560" s="12" customFormat="1" x14ac:dyDescent="0.25"/>
    <row r="113561" s="12" customFormat="1" x14ac:dyDescent="0.25"/>
    <row r="113562" s="12" customFormat="1" x14ac:dyDescent="0.25"/>
    <row r="113563" s="12" customFormat="1" x14ac:dyDescent="0.25"/>
    <row r="113564" s="12" customFormat="1" x14ac:dyDescent="0.25"/>
    <row r="113565" s="12" customFormat="1" x14ac:dyDescent="0.25"/>
    <row r="113566" s="12" customFormat="1" x14ac:dyDescent="0.25"/>
    <row r="113567" s="12" customFormat="1" x14ac:dyDescent="0.25"/>
    <row r="113568" s="12" customFormat="1" x14ac:dyDescent="0.25"/>
    <row r="113569" s="12" customFormat="1" x14ac:dyDescent="0.25"/>
    <row r="113570" s="12" customFormat="1" x14ac:dyDescent="0.25"/>
    <row r="113571" s="12" customFormat="1" x14ac:dyDescent="0.25"/>
    <row r="113572" s="12" customFormat="1" x14ac:dyDescent="0.25"/>
    <row r="113573" s="12" customFormat="1" x14ac:dyDescent="0.25"/>
    <row r="113574" s="12" customFormat="1" x14ac:dyDescent="0.25"/>
    <row r="113575" s="12" customFormat="1" x14ac:dyDescent="0.25"/>
    <row r="113576" s="12" customFormat="1" x14ac:dyDescent="0.25"/>
    <row r="113577" s="12" customFormat="1" x14ac:dyDescent="0.25"/>
    <row r="113578" s="12" customFormat="1" x14ac:dyDescent="0.25"/>
    <row r="113579" s="12" customFormat="1" x14ac:dyDescent="0.25"/>
    <row r="113580" s="12" customFormat="1" x14ac:dyDescent="0.25"/>
    <row r="113581" s="12" customFormat="1" x14ac:dyDescent="0.25"/>
    <row r="113582" s="12" customFormat="1" x14ac:dyDescent="0.25"/>
    <row r="113583" s="12" customFormat="1" x14ac:dyDescent="0.25"/>
    <row r="113584" s="12" customFormat="1" x14ac:dyDescent="0.25"/>
    <row r="113585" s="12" customFormat="1" x14ac:dyDescent="0.25"/>
    <row r="113586" s="12" customFormat="1" x14ac:dyDescent="0.25"/>
    <row r="113587" s="12" customFormat="1" x14ac:dyDescent="0.25"/>
    <row r="113588" s="12" customFormat="1" x14ac:dyDescent="0.25"/>
    <row r="113589" s="12" customFormat="1" x14ac:dyDescent="0.25"/>
    <row r="113590" s="12" customFormat="1" x14ac:dyDescent="0.25"/>
    <row r="113591" s="12" customFormat="1" x14ac:dyDescent="0.25"/>
    <row r="113592" s="12" customFormat="1" x14ac:dyDescent="0.25"/>
    <row r="113593" s="12" customFormat="1" x14ac:dyDescent="0.25"/>
    <row r="113594" s="12" customFormat="1" x14ac:dyDescent="0.25"/>
    <row r="113595" s="12" customFormat="1" x14ac:dyDescent="0.25"/>
    <row r="113596" s="12" customFormat="1" x14ac:dyDescent="0.25"/>
    <row r="113597" s="12" customFormat="1" x14ac:dyDescent="0.25"/>
    <row r="113598" s="12" customFormat="1" x14ac:dyDescent="0.25"/>
    <row r="113599" s="12" customFormat="1" x14ac:dyDescent="0.25"/>
    <row r="113600" s="12" customFormat="1" x14ac:dyDescent="0.25"/>
    <row r="113601" s="12" customFormat="1" x14ac:dyDescent="0.25"/>
    <row r="113602" s="12" customFormat="1" x14ac:dyDescent="0.25"/>
    <row r="113603" s="12" customFormat="1" x14ac:dyDescent="0.25"/>
    <row r="113604" s="12" customFormat="1" x14ac:dyDescent="0.25"/>
    <row r="113605" s="12" customFormat="1" x14ac:dyDescent="0.25"/>
    <row r="113606" s="12" customFormat="1" x14ac:dyDescent="0.25"/>
    <row r="113607" s="12" customFormat="1" x14ac:dyDescent="0.25"/>
    <row r="113608" s="12" customFormat="1" x14ac:dyDescent="0.25"/>
    <row r="113609" s="12" customFormat="1" x14ac:dyDescent="0.25"/>
    <row r="113610" s="12" customFormat="1" x14ac:dyDescent="0.25"/>
    <row r="113611" s="12" customFormat="1" x14ac:dyDescent="0.25"/>
    <row r="113612" s="12" customFormat="1" x14ac:dyDescent="0.25"/>
    <row r="113613" s="12" customFormat="1" x14ac:dyDescent="0.25"/>
    <row r="113614" s="12" customFormat="1" x14ac:dyDescent="0.25"/>
    <row r="113615" s="12" customFormat="1" x14ac:dyDescent="0.25"/>
    <row r="113616" s="12" customFormat="1" x14ac:dyDescent="0.25"/>
    <row r="113617" s="12" customFormat="1" x14ac:dyDescent="0.25"/>
    <row r="113618" s="12" customFormat="1" x14ac:dyDescent="0.25"/>
    <row r="113619" s="12" customFormat="1" x14ac:dyDescent="0.25"/>
    <row r="113620" s="12" customFormat="1" x14ac:dyDescent="0.25"/>
    <row r="113621" s="12" customFormat="1" x14ac:dyDescent="0.25"/>
    <row r="113622" s="12" customFormat="1" x14ac:dyDescent="0.25"/>
    <row r="113623" s="12" customFormat="1" x14ac:dyDescent="0.25"/>
    <row r="113624" s="12" customFormat="1" x14ac:dyDescent="0.25"/>
    <row r="113625" s="12" customFormat="1" x14ac:dyDescent="0.25"/>
    <row r="113626" s="12" customFormat="1" x14ac:dyDescent="0.25"/>
    <row r="113627" s="12" customFormat="1" x14ac:dyDescent="0.25"/>
    <row r="113628" s="12" customFormat="1" x14ac:dyDescent="0.25"/>
    <row r="113629" s="12" customFormat="1" x14ac:dyDescent="0.25"/>
    <row r="113630" s="12" customFormat="1" x14ac:dyDescent="0.25"/>
    <row r="113631" s="12" customFormat="1" x14ac:dyDescent="0.25"/>
    <row r="113632" s="12" customFormat="1" x14ac:dyDescent="0.25"/>
    <row r="113633" s="12" customFormat="1" x14ac:dyDescent="0.25"/>
    <row r="113634" s="12" customFormat="1" x14ac:dyDescent="0.25"/>
    <row r="113635" s="12" customFormat="1" x14ac:dyDescent="0.25"/>
    <row r="113636" s="12" customFormat="1" x14ac:dyDescent="0.25"/>
    <row r="113637" s="12" customFormat="1" x14ac:dyDescent="0.25"/>
    <row r="113638" s="12" customFormat="1" x14ac:dyDescent="0.25"/>
    <row r="113639" s="12" customFormat="1" x14ac:dyDescent="0.25"/>
    <row r="113640" s="12" customFormat="1" x14ac:dyDescent="0.25"/>
    <row r="113641" s="12" customFormat="1" x14ac:dyDescent="0.25"/>
    <row r="113642" s="12" customFormat="1" x14ac:dyDescent="0.25"/>
    <row r="113643" s="12" customFormat="1" x14ac:dyDescent="0.25"/>
    <row r="113644" s="12" customFormat="1" x14ac:dyDescent="0.25"/>
    <row r="113645" s="12" customFormat="1" x14ac:dyDescent="0.25"/>
    <row r="113646" s="12" customFormat="1" x14ac:dyDescent="0.25"/>
    <row r="113647" s="12" customFormat="1" x14ac:dyDescent="0.25"/>
    <row r="113648" s="12" customFormat="1" x14ac:dyDescent="0.25"/>
    <row r="113649" s="12" customFormat="1" x14ac:dyDescent="0.25"/>
    <row r="113650" s="12" customFormat="1" x14ac:dyDescent="0.25"/>
    <row r="113651" s="12" customFormat="1" x14ac:dyDescent="0.25"/>
    <row r="113652" s="12" customFormat="1" x14ac:dyDescent="0.25"/>
    <row r="113653" s="12" customFormat="1" x14ac:dyDescent="0.25"/>
    <row r="113654" s="12" customFormat="1" x14ac:dyDescent="0.25"/>
    <row r="113655" s="12" customFormat="1" x14ac:dyDescent="0.25"/>
    <row r="113656" s="12" customFormat="1" x14ac:dyDescent="0.25"/>
    <row r="113657" s="12" customFormat="1" x14ac:dyDescent="0.25"/>
    <row r="113658" s="12" customFormat="1" x14ac:dyDescent="0.25"/>
    <row r="113659" s="12" customFormat="1" x14ac:dyDescent="0.25"/>
    <row r="113660" s="12" customFormat="1" x14ac:dyDescent="0.25"/>
    <row r="113661" s="12" customFormat="1" x14ac:dyDescent="0.25"/>
    <row r="113662" s="12" customFormat="1" x14ac:dyDescent="0.25"/>
    <row r="113663" s="12" customFormat="1" x14ac:dyDescent="0.25"/>
    <row r="113664" s="12" customFormat="1" x14ac:dyDescent="0.25"/>
    <row r="113665" s="12" customFormat="1" x14ac:dyDescent="0.25"/>
    <row r="113666" s="12" customFormat="1" x14ac:dyDescent="0.25"/>
    <row r="113667" s="12" customFormat="1" x14ac:dyDescent="0.25"/>
    <row r="113668" s="12" customFormat="1" x14ac:dyDescent="0.25"/>
    <row r="113669" s="12" customFormat="1" x14ac:dyDescent="0.25"/>
    <row r="113670" s="12" customFormat="1" x14ac:dyDescent="0.25"/>
    <row r="113671" s="12" customFormat="1" x14ac:dyDescent="0.25"/>
    <row r="113672" s="12" customFormat="1" x14ac:dyDescent="0.25"/>
    <row r="113673" s="12" customFormat="1" x14ac:dyDescent="0.25"/>
    <row r="113674" s="12" customFormat="1" x14ac:dyDescent="0.25"/>
    <row r="113675" s="12" customFormat="1" x14ac:dyDescent="0.25"/>
    <row r="113676" s="12" customFormat="1" x14ac:dyDescent="0.25"/>
    <row r="113677" s="12" customFormat="1" x14ac:dyDescent="0.25"/>
    <row r="113678" s="12" customFormat="1" x14ac:dyDescent="0.25"/>
    <row r="113679" s="12" customFormat="1" x14ac:dyDescent="0.25"/>
    <row r="113680" s="12" customFormat="1" x14ac:dyDescent="0.25"/>
    <row r="113681" s="12" customFormat="1" x14ac:dyDescent="0.25"/>
    <row r="113682" s="12" customFormat="1" x14ac:dyDescent="0.25"/>
    <row r="113683" s="12" customFormat="1" x14ac:dyDescent="0.25"/>
    <row r="113684" s="12" customFormat="1" x14ac:dyDescent="0.25"/>
    <row r="113685" s="12" customFormat="1" x14ac:dyDescent="0.25"/>
    <row r="113686" s="12" customFormat="1" x14ac:dyDescent="0.25"/>
    <row r="113687" s="12" customFormat="1" x14ac:dyDescent="0.25"/>
    <row r="113688" s="12" customFormat="1" x14ac:dyDescent="0.25"/>
    <row r="113689" s="12" customFormat="1" x14ac:dyDescent="0.25"/>
    <row r="113690" s="12" customFormat="1" x14ac:dyDescent="0.25"/>
    <row r="113691" s="12" customFormat="1" x14ac:dyDescent="0.25"/>
    <row r="113692" s="12" customFormat="1" x14ac:dyDescent="0.25"/>
    <row r="113693" s="12" customFormat="1" x14ac:dyDescent="0.25"/>
    <row r="113694" s="12" customFormat="1" x14ac:dyDescent="0.25"/>
    <row r="113695" s="12" customFormat="1" x14ac:dyDescent="0.25"/>
    <row r="113696" s="12" customFormat="1" x14ac:dyDescent="0.25"/>
    <row r="113697" s="12" customFormat="1" x14ac:dyDescent="0.25"/>
    <row r="113698" s="12" customFormat="1" x14ac:dyDescent="0.25"/>
    <row r="113699" s="12" customFormat="1" x14ac:dyDescent="0.25"/>
    <row r="113700" s="12" customFormat="1" x14ac:dyDescent="0.25"/>
    <row r="113701" s="12" customFormat="1" x14ac:dyDescent="0.25"/>
    <row r="113702" s="12" customFormat="1" x14ac:dyDescent="0.25"/>
    <row r="113703" s="12" customFormat="1" x14ac:dyDescent="0.25"/>
    <row r="113704" s="12" customFormat="1" x14ac:dyDescent="0.25"/>
    <row r="113705" s="12" customFormat="1" x14ac:dyDescent="0.25"/>
    <row r="113706" s="12" customFormat="1" x14ac:dyDescent="0.25"/>
    <row r="113707" s="12" customFormat="1" x14ac:dyDescent="0.25"/>
    <row r="113708" s="12" customFormat="1" x14ac:dyDescent="0.25"/>
    <row r="113709" s="12" customFormat="1" x14ac:dyDescent="0.25"/>
    <row r="113710" s="12" customFormat="1" x14ac:dyDescent="0.25"/>
    <row r="113711" s="12" customFormat="1" x14ac:dyDescent="0.25"/>
    <row r="113712" s="12" customFormat="1" x14ac:dyDescent="0.25"/>
    <row r="113713" s="12" customFormat="1" x14ac:dyDescent="0.25"/>
    <row r="113714" s="12" customFormat="1" x14ac:dyDescent="0.25"/>
    <row r="113715" s="12" customFormat="1" x14ac:dyDescent="0.25"/>
    <row r="113716" s="12" customFormat="1" x14ac:dyDescent="0.25"/>
    <row r="113717" s="12" customFormat="1" x14ac:dyDescent="0.25"/>
    <row r="113718" s="12" customFormat="1" x14ac:dyDescent="0.25"/>
    <row r="113719" s="12" customFormat="1" x14ac:dyDescent="0.25"/>
    <row r="113720" s="12" customFormat="1" x14ac:dyDescent="0.25"/>
    <row r="113721" s="12" customFormat="1" x14ac:dyDescent="0.25"/>
    <row r="113722" s="12" customFormat="1" x14ac:dyDescent="0.25"/>
    <row r="113723" s="12" customFormat="1" x14ac:dyDescent="0.25"/>
    <row r="113724" s="12" customFormat="1" x14ac:dyDescent="0.25"/>
    <row r="113725" s="12" customFormat="1" x14ac:dyDescent="0.25"/>
    <row r="113726" s="12" customFormat="1" x14ac:dyDescent="0.25"/>
    <row r="113727" s="12" customFormat="1" x14ac:dyDescent="0.25"/>
    <row r="113728" s="12" customFormat="1" x14ac:dyDescent="0.25"/>
    <row r="113729" s="12" customFormat="1" x14ac:dyDescent="0.25"/>
    <row r="113730" s="12" customFormat="1" x14ac:dyDescent="0.25"/>
    <row r="113731" s="12" customFormat="1" x14ac:dyDescent="0.25"/>
    <row r="113732" s="12" customFormat="1" x14ac:dyDescent="0.25"/>
    <row r="113733" s="12" customFormat="1" x14ac:dyDescent="0.25"/>
    <row r="113734" s="12" customFormat="1" x14ac:dyDescent="0.25"/>
    <row r="113735" s="12" customFormat="1" x14ac:dyDescent="0.25"/>
    <row r="113736" s="12" customFormat="1" x14ac:dyDescent="0.25"/>
    <row r="113737" s="12" customFormat="1" x14ac:dyDescent="0.25"/>
    <row r="113738" s="12" customFormat="1" x14ac:dyDescent="0.25"/>
    <row r="113739" s="12" customFormat="1" x14ac:dyDescent="0.25"/>
    <row r="113740" s="12" customFormat="1" x14ac:dyDescent="0.25"/>
    <row r="113741" s="12" customFormat="1" x14ac:dyDescent="0.25"/>
    <row r="113742" s="12" customFormat="1" x14ac:dyDescent="0.25"/>
    <row r="113743" s="12" customFormat="1" x14ac:dyDescent="0.25"/>
    <row r="113744" s="12" customFormat="1" x14ac:dyDescent="0.25"/>
    <row r="113745" s="12" customFormat="1" x14ac:dyDescent="0.25"/>
    <row r="113746" s="12" customFormat="1" x14ac:dyDescent="0.25"/>
    <row r="113747" s="12" customFormat="1" x14ac:dyDescent="0.25"/>
    <row r="113748" s="12" customFormat="1" x14ac:dyDescent="0.25"/>
    <row r="113749" s="12" customFormat="1" x14ac:dyDescent="0.25"/>
    <row r="113750" s="12" customFormat="1" x14ac:dyDescent="0.25"/>
    <row r="113751" s="12" customFormat="1" x14ac:dyDescent="0.25"/>
    <row r="113752" s="12" customFormat="1" x14ac:dyDescent="0.25"/>
    <row r="113753" s="12" customFormat="1" x14ac:dyDescent="0.25"/>
    <row r="113754" s="12" customFormat="1" x14ac:dyDescent="0.25"/>
    <row r="113755" s="12" customFormat="1" x14ac:dyDescent="0.25"/>
    <row r="113756" s="12" customFormat="1" x14ac:dyDescent="0.25"/>
    <row r="113757" s="12" customFormat="1" x14ac:dyDescent="0.25"/>
    <row r="113758" s="12" customFormat="1" x14ac:dyDescent="0.25"/>
    <row r="113759" s="12" customFormat="1" x14ac:dyDescent="0.25"/>
    <row r="113760" s="12" customFormat="1" x14ac:dyDescent="0.25"/>
    <row r="113761" s="12" customFormat="1" x14ac:dyDescent="0.25"/>
    <row r="113762" s="12" customFormat="1" x14ac:dyDescent="0.25"/>
    <row r="113763" s="12" customFormat="1" x14ac:dyDescent="0.25"/>
    <row r="113764" s="12" customFormat="1" x14ac:dyDescent="0.25"/>
    <row r="113765" s="12" customFormat="1" x14ac:dyDescent="0.25"/>
    <row r="113766" s="12" customFormat="1" x14ac:dyDescent="0.25"/>
    <row r="113767" s="12" customFormat="1" x14ac:dyDescent="0.25"/>
    <row r="113768" s="12" customFormat="1" x14ac:dyDescent="0.25"/>
    <row r="113769" s="12" customFormat="1" x14ac:dyDescent="0.25"/>
    <row r="113770" s="12" customFormat="1" x14ac:dyDescent="0.25"/>
    <row r="113771" s="12" customFormat="1" x14ac:dyDescent="0.25"/>
    <row r="113772" s="12" customFormat="1" x14ac:dyDescent="0.25"/>
    <row r="113773" s="12" customFormat="1" x14ac:dyDescent="0.25"/>
    <row r="113774" s="12" customFormat="1" x14ac:dyDescent="0.25"/>
    <row r="113775" s="12" customFormat="1" x14ac:dyDescent="0.25"/>
    <row r="113776" s="12" customFormat="1" x14ac:dyDescent="0.25"/>
    <row r="113777" s="12" customFormat="1" x14ac:dyDescent="0.25"/>
    <row r="113778" s="12" customFormat="1" x14ac:dyDescent="0.25"/>
    <row r="113779" s="12" customFormat="1" x14ac:dyDescent="0.25"/>
    <row r="113780" s="12" customFormat="1" x14ac:dyDescent="0.25"/>
    <row r="113781" s="12" customFormat="1" x14ac:dyDescent="0.25"/>
    <row r="113782" s="12" customFormat="1" x14ac:dyDescent="0.25"/>
    <row r="113783" s="12" customFormat="1" x14ac:dyDescent="0.25"/>
    <row r="113784" s="12" customFormat="1" x14ac:dyDescent="0.25"/>
    <row r="113785" s="12" customFormat="1" x14ac:dyDescent="0.25"/>
    <row r="113786" s="12" customFormat="1" x14ac:dyDescent="0.25"/>
    <row r="113787" s="12" customFormat="1" x14ac:dyDescent="0.25"/>
    <row r="113788" s="12" customFormat="1" x14ac:dyDescent="0.25"/>
    <row r="113789" s="12" customFormat="1" x14ac:dyDescent="0.25"/>
    <row r="113790" s="12" customFormat="1" x14ac:dyDescent="0.25"/>
    <row r="113791" s="12" customFormat="1" x14ac:dyDescent="0.25"/>
    <row r="113792" s="12" customFormat="1" x14ac:dyDescent="0.25"/>
    <row r="113793" s="12" customFormat="1" x14ac:dyDescent="0.25"/>
    <row r="113794" s="12" customFormat="1" x14ac:dyDescent="0.25"/>
    <row r="113795" s="12" customFormat="1" x14ac:dyDescent="0.25"/>
    <row r="113796" s="12" customFormat="1" x14ac:dyDescent="0.25"/>
    <row r="113797" s="12" customFormat="1" x14ac:dyDescent="0.25"/>
    <row r="113798" s="12" customFormat="1" x14ac:dyDescent="0.25"/>
    <row r="113799" s="12" customFormat="1" x14ac:dyDescent="0.25"/>
    <row r="113800" s="12" customFormat="1" x14ac:dyDescent="0.25"/>
    <row r="113801" s="12" customFormat="1" x14ac:dyDescent="0.25"/>
    <row r="113802" s="12" customFormat="1" x14ac:dyDescent="0.25"/>
    <row r="113803" s="12" customFormat="1" x14ac:dyDescent="0.25"/>
    <row r="113804" s="12" customFormat="1" x14ac:dyDescent="0.25"/>
    <row r="113805" s="12" customFormat="1" x14ac:dyDescent="0.25"/>
    <row r="113806" s="12" customFormat="1" x14ac:dyDescent="0.25"/>
    <row r="113807" s="12" customFormat="1" x14ac:dyDescent="0.25"/>
    <row r="113808" s="12" customFormat="1" x14ac:dyDescent="0.25"/>
    <row r="113809" s="12" customFormat="1" x14ac:dyDescent="0.25"/>
    <row r="113810" s="12" customFormat="1" x14ac:dyDescent="0.25"/>
    <row r="113811" s="12" customFormat="1" x14ac:dyDescent="0.25"/>
    <row r="113812" s="12" customFormat="1" x14ac:dyDescent="0.25"/>
    <row r="113813" s="12" customFormat="1" x14ac:dyDescent="0.25"/>
    <row r="113814" s="12" customFormat="1" x14ac:dyDescent="0.25"/>
    <row r="113815" s="12" customFormat="1" x14ac:dyDescent="0.25"/>
    <row r="113816" s="12" customFormat="1" x14ac:dyDescent="0.25"/>
    <row r="113817" s="12" customFormat="1" x14ac:dyDescent="0.25"/>
    <row r="113818" s="12" customFormat="1" x14ac:dyDescent="0.25"/>
    <row r="113819" s="12" customFormat="1" x14ac:dyDescent="0.25"/>
    <row r="113820" s="12" customFormat="1" x14ac:dyDescent="0.25"/>
    <row r="113821" s="12" customFormat="1" x14ac:dyDescent="0.25"/>
    <row r="113822" s="12" customFormat="1" x14ac:dyDescent="0.25"/>
    <row r="113823" s="12" customFormat="1" x14ac:dyDescent="0.25"/>
    <row r="113824" s="12" customFormat="1" x14ac:dyDescent="0.25"/>
    <row r="113825" s="12" customFormat="1" x14ac:dyDescent="0.25"/>
    <row r="113826" s="12" customFormat="1" x14ac:dyDescent="0.25"/>
    <row r="113827" s="12" customFormat="1" x14ac:dyDescent="0.25"/>
    <row r="113828" s="12" customFormat="1" x14ac:dyDescent="0.25"/>
    <row r="113829" s="12" customFormat="1" x14ac:dyDescent="0.25"/>
    <row r="113830" s="12" customFormat="1" x14ac:dyDescent="0.25"/>
    <row r="113831" s="12" customFormat="1" x14ac:dyDescent="0.25"/>
    <row r="113832" s="12" customFormat="1" x14ac:dyDescent="0.25"/>
    <row r="113833" s="12" customFormat="1" x14ac:dyDescent="0.25"/>
    <row r="113834" s="12" customFormat="1" x14ac:dyDescent="0.25"/>
    <row r="113835" s="12" customFormat="1" x14ac:dyDescent="0.25"/>
    <row r="113836" s="12" customFormat="1" x14ac:dyDescent="0.25"/>
    <row r="113837" s="12" customFormat="1" x14ac:dyDescent="0.25"/>
    <row r="113838" s="12" customFormat="1" x14ac:dyDescent="0.25"/>
    <row r="113839" s="12" customFormat="1" x14ac:dyDescent="0.25"/>
    <row r="113840" s="12" customFormat="1" x14ac:dyDescent="0.25"/>
    <row r="113841" s="12" customFormat="1" x14ac:dyDescent="0.25"/>
    <row r="113842" s="12" customFormat="1" x14ac:dyDescent="0.25"/>
    <row r="113843" s="12" customFormat="1" x14ac:dyDescent="0.25"/>
    <row r="113844" s="12" customFormat="1" x14ac:dyDescent="0.25"/>
    <row r="113845" s="12" customFormat="1" x14ac:dyDescent="0.25"/>
    <row r="113846" s="12" customFormat="1" x14ac:dyDescent="0.25"/>
    <row r="113847" s="12" customFormat="1" x14ac:dyDescent="0.25"/>
    <row r="113848" s="12" customFormat="1" x14ac:dyDescent="0.25"/>
    <row r="113849" s="12" customFormat="1" x14ac:dyDescent="0.25"/>
    <row r="113850" s="12" customFormat="1" x14ac:dyDescent="0.25"/>
    <row r="113851" s="12" customFormat="1" x14ac:dyDescent="0.25"/>
    <row r="113852" s="12" customFormat="1" x14ac:dyDescent="0.25"/>
    <row r="113853" s="12" customFormat="1" x14ac:dyDescent="0.25"/>
    <row r="113854" s="12" customFormat="1" x14ac:dyDescent="0.25"/>
    <row r="113855" s="12" customFormat="1" x14ac:dyDescent="0.25"/>
    <row r="113856" s="12" customFormat="1" x14ac:dyDescent="0.25"/>
    <row r="113857" s="12" customFormat="1" x14ac:dyDescent="0.25"/>
    <row r="113858" s="12" customFormat="1" x14ac:dyDescent="0.25"/>
    <row r="113859" s="12" customFormat="1" x14ac:dyDescent="0.25"/>
    <row r="113860" s="12" customFormat="1" x14ac:dyDescent="0.25"/>
    <row r="113861" s="12" customFormat="1" x14ac:dyDescent="0.25"/>
    <row r="113862" s="12" customFormat="1" x14ac:dyDescent="0.25"/>
    <row r="113863" s="12" customFormat="1" x14ac:dyDescent="0.25"/>
    <row r="113864" s="12" customFormat="1" x14ac:dyDescent="0.25"/>
    <row r="113865" s="12" customFormat="1" x14ac:dyDescent="0.25"/>
    <row r="113866" s="12" customFormat="1" x14ac:dyDescent="0.25"/>
    <row r="113867" s="12" customFormat="1" x14ac:dyDescent="0.25"/>
    <row r="113868" s="12" customFormat="1" x14ac:dyDescent="0.25"/>
    <row r="113869" s="12" customFormat="1" x14ac:dyDescent="0.25"/>
    <row r="113870" s="12" customFormat="1" x14ac:dyDescent="0.25"/>
    <row r="113871" s="12" customFormat="1" x14ac:dyDescent="0.25"/>
    <row r="113872" s="12" customFormat="1" x14ac:dyDescent="0.25"/>
    <row r="113873" s="12" customFormat="1" x14ac:dyDescent="0.25"/>
    <row r="113874" s="12" customFormat="1" x14ac:dyDescent="0.25"/>
    <row r="113875" s="12" customFormat="1" x14ac:dyDescent="0.25"/>
    <row r="113876" s="12" customFormat="1" x14ac:dyDescent="0.25"/>
    <row r="113877" s="12" customFormat="1" x14ac:dyDescent="0.25"/>
    <row r="113878" s="12" customFormat="1" x14ac:dyDescent="0.25"/>
    <row r="113879" s="12" customFormat="1" x14ac:dyDescent="0.25"/>
    <row r="113880" s="12" customFormat="1" x14ac:dyDescent="0.25"/>
    <row r="113881" s="12" customFormat="1" x14ac:dyDescent="0.25"/>
    <row r="113882" s="12" customFormat="1" x14ac:dyDescent="0.25"/>
    <row r="113883" s="12" customFormat="1" x14ac:dyDescent="0.25"/>
    <row r="113884" s="12" customFormat="1" x14ac:dyDescent="0.25"/>
    <row r="113885" s="12" customFormat="1" x14ac:dyDescent="0.25"/>
    <row r="113886" s="12" customFormat="1" x14ac:dyDescent="0.25"/>
    <row r="113887" s="12" customFormat="1" x14ac:dyDescent="0.25"/>
    <row r="113888" s="12" customFormat="1" x14ac:dyDescent="0.25"/>
    <row r="113889" s="12" customFormat="1" x14ac:dyDescent="0.25"/>
    <row r="113890" s="12" customFormat="1" x14ac:dyDescent="0.25"/>
    <row r="113891" s="12" customFormat="1" x14ac:dyDescent="0.25"/>
    <row r="113892" s="12" customFormat="1" x14ac:dyDescent="0.25"/>
    <row r="113893" s="12" customFormat="1" x14ac:dyDescent="0.25"/>
    <row r="113894" s="12" customFormat="1" x14ac:dyDescent="0.25"/>
    <row r="113895" s="12" customFormat="1" x14ac:dyDescent="0.25"/>
    <row r="113896" s="12" customFormat="1" x14ac:dyDescent="0.25"/>
    <row r="113897" s="12" customFormat="1" x14ac:dyDescent="0.25"/>
    <row r="113898" s="12" customFormat="1" x14ac:dyDescent="0.25"/>
    <row r="113899" s="12" customFormat="1" x14ac:dyDescent="0.25"/>
    <row r="113900" s="12" customFormat="1" x14ac:dyDescent="0.25"/>
    <row r="113901" s="12" customFormat="1" x14ac:dyDescent="0.25"/>
    <row r="113902" s="12" customFormat="1" x14ac:dyDescent="0.25"/>
    <row r="113903" s="12" customFormat="1" x14ac:dyDescent="0.25"/>
    <row r="113904" s="12" customFormat="1" x14ac:dyDescent="0.25"/>
    <row r="113905" s="12" customFormat="1" x14ac:dyDescent="0.25"/>
    <row r="113906" s="12" customFormat="1" x14ac:dyDescent="0.25"/>
    <row r="113907" s="12" customFormat="1" x14ac:dyDescent="0.25"/>
    <row r="113908" s="12" customFormat="1" x14ac:dyDescent="0.25"/>
    <row r="113909" s="12" customFormat="1" x14ac:dyDescent="0.25"/>
    <row r="113910" s="12" customFormat="1" x14ac:dyDescent="0.25"/>
    <row r="113911" s="12" customFormat="1" x14ac:dyDescent="0.25"/>
    <row r="113912" s="12" customFormat="1" x14ac:dyDescent="0.25"/>
    <row r="113913" s="12" customFormat="1" x14ac:dyDescent="0.25"/>
    <row r="113914" s="12" customFormat="1" x14ac:dyDescent="0.25"/>
    <row r="113915" s="12" customFormat="1" x14ac:dyDescent="0.25"/>
    <row r="113916" s="12" customFormat="1" x14ac:dyDescent="0.25"/>
    <row r="113917" s="12" customFormat="1" x14ac:dyDescent="0.25"/>
    <row r="113918" s="12" customFormat="1" x14ac:dyDescent="0.25"/>
    <row r="113919" s="12" customFormat="1" x14ac:dyDescent="0.25"/>
    <row r="113920" s="12" customFormat="1" x14ac:dyDescent="0.25"/>
    <row r="113921" s="12" customFormat="1" x14ac:dyDescent="0.25"/>
    <row r="113922" s="12" customFormat="1" x14ac:dyDescent="0.25"/>
    <row r="113923" s="12" customFormat="1" x14ac:dyDescent="0.25"/>
    <row r="113924" s="12" customFormat="1" x14ac:dyDescent="0.25"/>
    <row r="113925" s="12" customFormat="1" x14ac:dyDescent="0.25"/>
    <row r="113926" s="12" customFormat="1" x14ac:dyDescent="0.25"/>
    <row r="113927" s="12" customFormat="1" x14ac:dyDescent="0.25"/>
    <row r="113928" s="12" customFormat="1" x14ac:dyDescent="0.25"/>
    <row r="113929" s="12" customFormat="1" x14ac:dyDescent="0.25"/>
    <row r="113930" s="12" customFormat="1" x14ac:dyDescent="0.25"/>
    <row r="113931" s="12" customFormat="1" x14ac:dyDescent="0.25"/>
    <row r="113932" s="12" customFormat="1" x14ac:dyDescent="0.25"/>
    <row r="113933" s="12" customFormat="1" x14ac:dyDescent="0.25"/>
    <row r="113934" s="12" customFormat="1" x14ac:dyDescent="0.25"/>
    <row r="113935" s="12" customFormat="1" x14ac:dyDescent="0.25"/>
    <row r="113936" s="12" customFormat="1" x14ac:dyDescent="0.25"/>
    <row r="113937" s="12" customFormat="1" x14ac:dyDescent="0.25"/>
    <row r="113938" s="12" customFormat="1" x14ac:dyDescent="0.25"/>
    <row r="113939" s="12" customFormat="1" x14ac:dyDescent="0.25"/>
    <row r="113940" s="12" customFormat="1" x14ac:dyDescent="0.25"/>
    <row r="113941" s="12" customFormat="1" x14ac:dyDescent="0.25"/>
    <row r="113942" s="12" customFormat="1" x14ac:dyDescent="0.25"/>
    <row r="113943" s="12" customFormat="1" x14ac:dyDescent="0.25"/>
    <row r="113944" s="12" customFormat="1" x14ac:dyDescent="0.25"/>
    <row r="113945" s="12" customFormat="1" x14ac:dyDescent="0.25"/>
    <row r="113946" s="12" customFormat="1" x14ac:dyDescent="0.25"/>
    <row r="113947" s="12" customFormat="1" x14ac:dyDescent="0.25"/>
    <row r="113948" s="12" customFormat="1" x14ac:dyDescent="0.25"/>
    <row r="113949" s="12" customFormat="1" x14ac:dyDescent="0.25"/>
    <row r="113950" s="12" customFormat="1" x14ac:dyDescent="0.25"/>
    <row r="113951" s="12" customFormat="1" x14ac:dyDescent="0.25"/>
    <row r="113952" s="12" customFormat="1" x14ac:dyDescent="0.25"/>
    <row r="113953" s="12" customFormat="1" x14ac:dyDescent="0.25"/>
    <row r="113954" s="12" customFormat="1" x14ac:dyDescent="0.25"/>
    <row r="113955" s="12" customFormat="1" x14ac:dyDescent="0.25"/>
    <row r="113956" s="12" customFormat="1" x14ac:dyDescent="0.25"/>
    <row r="113957" s="12" customFormat="1" x14ac:dyDescent="0.25"/>
    <row r="113958" s="12" customFormat="1" x14ac:dyDescent="0.25"/>
    <row r="113959" s="12" customFormat="1" x14ac:dyDescent="0.25"/>
    <row r="113960" s="12" customFormat="1" x14ac:dyDescent="0.25"/>
    <row r="113961" s="12" customFormat="1" x14ac:dyDescent="0.25"/>
    <row r="113962" s="12" customFormat="1" x14ac:dyDescent="0.25"/>
    <row r="113963" s="12" customFormat="1" x14ac:dyDescent="0.25"/>
    <row r="113964" s="12" customFormat="1" x14ac:dyDescent="0.25"/>
    <row r="113965" s="12" customFormat="1" x14ac:dyDescent="0.25"/>
    <row r="113966" s="12" customFormat="1" x14ac:dyDescent="0.25"/>
    <row r="113967" s="12" customFormat="1" x14ac:dyDescent="0.25"/>
    <row r="113968" s="12" customFormat="1" x14ac:dyDescent="0.25"/>
    <row r="113969" s="12" customFormat="1" x14ac:dyDescent="0.25"/>
    <row r="113970" s="12" customFormat="1" x14ac:dyDescent="0.25"/>
    <row r="113971" s="12" customFormat="1" x14ac:dyDescent="0.25"/>
    <row r="113972" s="12" customFormat="1" x14ac:dyDescent="0.25"/>
    <row r="113973" s="12" customFormat="1" x14ac:dyDescent="0.25"/>
    <row r="113974" s="12" customFormat="1" x14ac:dyDescent="0.25"/>
    <row r="113975" s="12" customFormat="1" x14ac:dyDescent="0.25"/>
    <row r="113976" s="12" customFormat="1" x14ac:dyDescent="0.25"/>
    <row r="113977" s="12" customFormat="1" x14ac:dyDescent="0.25"/>
    <row r="113978" s="12" customFormat="1" x14ac:dyDescent="0.25"/>
    <row r="113979" s="12" customFormat="1" x14ac:dyDescent="0.25"/>
    <row r="113980" s="12" customFormat="1" x14ac:dyDescent="0.25"/>
    <row r="113981" s="12" customFormat="1" x14ac:dyDescent="0.25"/>
    <row r="113982" s="12" customFormat="1" x14ac:dyDescent="0.25"/>
    <row r="113983" s="12" customFormat="1" x14ac:dyDescent="0.25"/>
    <row r="113984" s="12" customFormat="1" x14ac:dyDescent="0.25"/>
    <row r="113985" s="12" customFormat="1" x14ac:dyDescent="0.25"/>
    <row r="113986" s="12" customFormat="1" x14ac:dyDescent="0.25"/>
    <row r="113987" s="12" customFormat="1" x14ac:dyDescent="0.25"/>
    <row r="113988" s="12" customFormat="1" x14ac:dyDescent="0.25"/>
    <row r="113989" s="12" customFormat="1" x14ac:dyDescent="0.25"/>
    <row r="113990" s="12" customFormat="1" x14ac:dyDescent="0.25"/>
    <row r="113991" s="12" customFormat="1" x14ac:dyDescent="0.25"/>
    <row r="113992" s="12" customFormat="1" x14ac:dyDescent="0.25"/>
    <row r="113993" s="12" customFormat="1" x14ac:dyDescent="0.25"/>
    <row r="113994" s="12" customFormat="1" x14ac:dyDescent="0.25"/>
    <row r="113995" s="12" customFormat="1" x14ac:dyDescent="0.25"/>
    <row r="113996" s="12" customFormat="1" x14ac:dyDescent="0.25"/>
    <row r="113997" s="12" customFormat="1" x14ac:dyDescent="0.25"/>
    <row r="113998" s="12" customFormat="1" x14ac:dyDescent="0.25"/>
    <row r="113999" s="12" customFormat="1" x14ac:dyDescent="0.25"/>
    <row r="114000" s="12" customFormat="1" x14ac:dyDescent="0.25"/>
    <row r="114001" s="12" customFormat="1" x14ac:dyDescent="0.25"/>
    <row r="114002" s="12" customFormat="1" x14ac:dyDescent="0.25"/>
    <row r="114003" s="12" customFormat="1" x14ac:dyDescent="0.25"/>
    <row r="114004" s="12" customFormat="1" x14ac:dyDescent="0.25"/>
    <row r="114005" s="12" customFormat="1" x14ac:dyDescent="0.25"/>
    <row r="114006" s="12" customFormat="1" x14ac:dyDescent="0.25"/>
    <row r="114007" s="12" customFormat="1" x14ac:dyDescent="0.25"/>
    <row r="114008" s="12" customFormat="1" x14ac:dyDescent="0.25"/>
    <row r="114009" s="12" customFormat="1" x14ac:dyDescent="0.25"/>
    <row r="114010" s="12" customFormat="1" x14ac:dyDescent="0.25"/>
    <row r="114011" s="12" customFormat="1" x14ac:dyDescent="0.25"/>
    <row r="114012" s="12" customFormat="1" x14ac:dyDescent="0.25"/>
    <row r="114013" s="12" customFormat="1" x14ac:dyDescent="0.25"/>
    <row r="114014" s="12" customFormat="1" x14ac:dyDescent="0.25"/>
    <row r="114015" s="12" customFormat="1" x14ac:dyDescent="0.25"/>
    <row r="114016" s="12" customFormat="1" x14ac:dyDescent="0.25"/>
    <row r="114017" s="12" customFormat="1" x14ac:dyDescent="0.25"/>
    <row r="114018" s="12" customFormat="1" x14ac:dyDescent="0.25"/>
    <row r="114019" s="12" customFormat="1" x14ac:dyDescent="0.25"/>
    <row r="114020" s="12" customFormat="1" x14ac:dyDescent="0.25"/>
    <row r="114021" s="12" customFormat="1" x14ac:dyDescent="0.25"/>
    <row r="114022" s="12" customFormat="1" x14ac:dyDescent="0.25"/>
    <row r="114023" s="12" customFormat="1" x14ac:dyDescent="0.25"/>
    <row r="114024" s="12" customFormat="1" x14ac:dyDescent="0.25"/>
    <row r="114025" s="12" customFormat="1" x14ac:dyDescent="0.25"/>
    <row r="114026" s="12" customFormat="1" x14ac:dyDescent="0.25"/>
    <row r="114027" s="12" customFormat="1" x14ac:dyDescent="0.25"/>
    <row r="114028" s="12" customFormat="1" x14ac:dyDescent="0.25"/>
    <row r="114029" s="12" customFormat="1" x14ac:dyDescent="0.25"/>
    <row r="114030" s="12" customFormat="1" x14ac:dyDescent="0.25"/>
    <row r="114031" s="12" customFormat="1" x14ac:dyDescent="0.25"/>
    <row r="114032" s="12" customFormat="1" x14ac:dyDescent="0.25"/>
    <row r="114033" s="12" customFormat="1" x14ac:dyDescent="0.25"/>
    <row r="114034" s="12" customFormat="1" x14ac:dyDescent="0.25"/>
    <row r="114035" s="12" customFormat="1" x14ac:dyDescent="0.25"/>
    <row r="114036" s="12" customFormat="1" x14ac:dyDescent="0.25"/>
    <row r="114037" s="12" customFormat="1" x14ac:dyDescent="0.25"/>
    <row r="114038" s="12" customFormat="1" x14ac:dyDescent="0.25"/>
    <row r="114039" s="12" customFormat="1" x14ac:dyDescent="0.25"/>
    <row r="114040" s="12" customFormat="1" x14ac:dyDescent="0.25"/>
    <row r="114041" s="12" customFormat="1" x14ac:dyDescent="0.25"/>
    <row r="114042" s="12" customFormat="1" x14ac:dyDescent="0.25"/>
    <row r="114043" s="12" customFormat="1" x14ac:dyDescent="0.25"/>
    <row r="114044" s="12" customFormat="1" x14ac:dyDescent="0.25"/>
    <row r="114045" s="12" customFormat="1" x14ac:dyDescent="0.25"/>
    <row r="114046" s="12" customFormat="1" x14ac:dyDescent="0.25"/>
    <row r="114047" s="12" customFormat="1" x14ac:dyDescent="0.25"/>
    <row r="114048" s="12" customFormat="1" x14ac:dyDescent="0.25"/>
    <row r="114049" s="12" customFormat="1" x14ac:dyDescent="0.25"/>
    <row r="114050" s="12" customFormat="1" x14ac:dyDescent="0.25"/>
    <row r="114051" s="12" customFormat="1" x14ac:dyDescent="0.25"/>
    <row r="114052" s="12" customFormat="1" x14ac:dyDescent="0.25"/>
    <row r="114053" s="12" customFormat="1" x14ac:dyDescent="0.25"/>
    <row r="114054" s="12" customFormat="1" x14ac:dyDescent="0.25"/>
    <row r="114055" s="12" customFormat="1" x14ac:dyDescent="0.25"/>
    <row r="114056" s="12" customFormat="1" x14ac:dyDescent="0.25"/>
    <row r="114057" s="12" customFormat="1" x14ac:dyDescent="0.25"/>
    <row r="114058" s="12" customFormat="1" x14ac:dyDescent="0.25"/>
    <row r="114059" s="12" customFormat="1" x14ac:dyDescent="0.25"/>
    <row r="114060" s="12" customFormat="1" x14ac:dyDescent="0.25"/>
    <row r="114061" s="12" customFormat="1" x14ac:dyDescent="0.25"/>
    <row r="114062" s="12" customFormat="1" x14ac:dyDescent="0.25"/>
    <row r="114063" s="12" customFormat="1" x14ac:dyDescent="0.25"/>
    <row r="114064" s="12" customFormat="1" x14ac:dyDescent="0.25"/>
    <row r="114065" s="12" customFormat="1" x14ac:dyDescent="0.25"/>
    <row r="114066" s="12" customFormat="1" x14ac:dyDescent="0.25"/>
    <row r="114067" s="12" customFormat="1" x14ac:dyDescent="0.25"/>
    <row r="114068" s="12" customFormat="1" x14ac:dyDescent="0.25"/>
    <row r="114069" s="12" customFormat="1" x14ac:dyDescent="0.25"/>
    <row r="114070" s="12" customFormat="1" x14ac:dyDescent="0.25"/>
    <row r="114071" s="12" customFormat="1" x14ac:dyDescent="0.25"/>
    <row r="114072" s="12" customFormat="1" x14ac:dyDescent="0.25"/>
    <row r="114073" s="12" customFormat="1" x14ac:dyDescent="0.25"/>
    <row r="114074" s="12" customFormat="1" x14ac:dyDescent="0.25"/>
    <row r="114075" s="12" customFormat="1" x14ac:dyDescent="0.25"/>
    <row r="114076" s="12" customFormat="1" x14ac:dyDescent="0.25"/>
    <row r="114077" s="12" customFormat="1" x14ac:dyDescent="0.25"/>
    <row r="114078" s="12" customFormat="1" x14ac:dyDescent="0.25"/>
    <row r="114079" s="12" customFormat="1" x14ac:dyDescent="0.25"/>
    <row r="114080" s="12" customFormat="1" x14ac:dyDescent="0.25"/>
    <row r="114081" s="12" customFormat="1" x14ac:dyDescent="0.25"/>
    <row r="114082" s="12" customFormat="1" x14ac:dyDescent="0.25"/>
    <row r="114083" s="12" customFormat="1" x14ac:dyDescent="0.25"/>
    <row r="114084" s="12" customFormat="1" x14ac:dyDescent="0.25"/>
    <row r="114085" s="12" customFormat="1" x14ac:dyDescent="0.25"/>
    <row r="114086" s="12" customFormat="1" x14ac:dyDescent="0.25"/>
    <row r="114087" s="12" customFormat="1" x14ac:dyDescent="0.25"/>
    <row r="114088" s="12" customFormat="1" x14ac:dyDescent="0.25"/>
    <row r="114089" s="12" customFormat="1" x14ac:dyDescent="0.25"/>
    <row r="114090" s="12" customFormat="1" x14ac:dyDescent="0.25"/>
    <row r="114091" s="12" customFormat="1" x14ac:dyDescent="0.25"/>
    <row r="114092" s="12" customFormat="1" x14ac:dyDescent="0.25"/>
    <row r="114093" s="12" customFormat="1" x14ac:dyDescent="0.25"/>
    <row r="114094" s="12" customFormat="1" x14ac:dyDescent="0.25"/>
    <row r="114095" s="12" customFormat="1" x14ac:dyDescent="0.25"/>
    <row r="114096" s="12" customFormat="1" x14ac:dyDescent="0.25"/>
    <row r="114097" s="12" customFormat="1" x14ac:dyDescent="0.25"/>
    <row r="114098" s="12" customFormat="1" x14ac:dyDescent="0.25"/>
    <row r="114099" s="12" customFormat="1" x14ac:dyDescent="0.25"/>
    <row r="114100" s="12" customFormat="1" x14ac:dyDescent="0.25"/>
    <row r="114101" s="12" customFormat="1" x14ac:dyDescent="0.25"/>
    <row r="114102" s="12" customFormat="1" x14ac:dyDescent="0.25"/>
    <row r="114103" s="12" customFormat="1" x14ac:dyDescent="0.25"/>
    <row r="114104" s="12" customFormat="1" x14ac:dyDescent="0.25"/>
    <row r="114105" s="12" customFormat="1" x14ac:dyDescent="0.25"/>
    <row r="114106" s="12" customFormat="1" x14ac:dyDescent="0.25"/>
    <row r="114107" s="12" customFormat="1" x14ac:dyDescent="0.25"/>
    <row r="114108" s="12" customFormat="1" x14ac:dyDescent="0.25"/>
    <row r="114109" s="12" customFormat="1" x14ac:dyDescent="0.25"/>
    <row r="114110" s="12" customFormat="1" x14ac:dyDescent="0.25"/>
    <row r="114111" s="12" customFormat="1" x14ac:dyDescent="0.25"/>
    <row r="114112" s="12" customFormat="1" x14ac:dyDescent="0.25"/>
    <row r="114113" s="12" customFormat="1" x14ac:dyDescent="0.25"/>
    <row r="114114" s="12" customFormat="1" x14ac:dyDescent="0.25"/>
    <row r="114115" s="12" customFormat="1" x14ac:dyDescent="0.25"/>
    <row r="114116" s="12" customFormat="1" x14ac:dyDescent="0.25"/>
    <row r="114117" s="12" customFormat="1" x14ac:dyDescent="0.25"/>
    <row r="114118" s="12" customFormat="1" x14ac:dyDescent="0.25"/>
    <row r="114119" s="12" customFormat="1" x14ac:dyDescent="0.25"/>
    <row r="114120" s="12" customFormat="1" x14ac:dyDescent="0.25"/>
    <row r="114121" s="12" customFormat="1" x14ac:dyDescent="0.25"/>
    <row r="114122" s="12" customFormat="1" x14ac:dyDescent="0.25"/>
    <row r="114123" s="12" customFormat="1" x14ac:dyDescent="0.25"/>
    <row r="114124" s="12" customFormat="1" x14ac:dyDescent="0.25"/>
    <row r="114125" s="12" customFormat="1" x14ac:dyDescent="0.25"/>
    <row r="114126" s="12" customFormat="1" x14ac:dyDescent="0.25"/>
    <row r="114127" s="12" customFormat="1" x14ac:dyDescent="0.25"/>
    <row r="114128" s="12" customFormat="1" x14ac:dyDescent="0.25"/>
    <row r="114129" s="12" customFormat="1" x14ac:dyDescent="0.25"/>
    <row r="114130" s="12" customFormat="1" x14ac:dyDescent="0.25"/>
    <row r="114131" s="12" customFormat="1" x14ac:dyDescent="0.25"/>
    <row r="114132" s="12" customFormat="1" x14ac:dyDescent="0.25"/>
    <row r="114133" s="12" customFormat="1" x14ac:dyDescent="0.25"/>
    <row r="114134" s="12" customFormat="1" x14ac:dyDescent="0.25"/>
    <row r="114135" s="12" customFormat="1" x14ac:dyDescent="0.25"/>
    <row r="114136" s="12" customFormat="1" x14ac:dyDescent="0.25"/>
    <row r="114137" s="12" customFormat="1" x14ac:dyDescent="0.25"/>
    <row r="114138" s="12" customFormat="1" x14ac:dyDescent="0.25"/>
    <row r="114139" s="12" customFormat="1" x14ac:dyDescent="0.25"/>
    <row r="114140" s="12" customFormat="1" x14ac:dyDescent="0.25"/>
    <row r="114141" s="12" customFormat="1" x14ac:dyDescent="0.25"/>
    <row r="114142" s="12" customFormat="1" x14ac:dyDescent="0.25"/>
    <row r="114143" s="12" customFormat="1" x14ac:dyDescent="0.25"/>
    <row r="114144" s="12" customFormat="1" x14ac:dyDescent="0.25"/>
    <row r="114145" s="12" customFormat="1" x14ac:dyDescent="0.25"/>
    <row r="114146" s="12" customFormat="1" x14ac:dyDescent="0.25"/>
    <row r="114147" s="12" customFormat="1" x14ac:dyDescent="0.25"/>
    <row r="114148" s="12" customFormat="1" x14ac:dyDescent="0.25"/>
    <row r="114149" s="12" customFormat="1" x14ac:dyDescent="0.25"/>
    <row r="114150" s="12" customFormat="1" x14ac:dyDescent="0.25"/>
    <row r="114151" s="12" customFormat="1" x14ac:dyDescent="0.25"/>
    <row r="114152" s="12" customFormat="1" x14ac:dyDescent="0.25"/>
    <row r="114153" s="12" customFormat="1" x14ac:dyDescent="0.25"/>
    <row r="114154" s="12" customFormat="1" x14ac:dyDescent="0.25"/>
    <row r="114155" s="12" customFormat="1" x14ac:dyDescent="0.25"/>
    <row r="114156" s="12" customFormat="1" x14ac:dyDescent="0.25"/>
    <row r="114157" s="12" customFormat="1" x14ac:dyDescent="0.25"/>
    <row r="114158" s="12" customFormat="1" x14ac:dyDescent="0.25"/>
    <row r="114159" s="12" customFormat="1" x14ac:dyDescent="0.25"/>
    <row r="114160" s="12" customFormat="1" x14ac:dyDescent="0.25"/>
    <row r="114161" s="12" customFormat="1" x14ac:dyDescent="0.25"/>
    <row r="114162" s="12" customFormat="1" x14ac:dyDescent="0.25"/>
    <row r="114163" s="12" customFormat="1" x14ac:dyDescent="0.25"/>
    <row r="114164" s="12" customFormat="1" x14ac:dyDescent="0.25"/>
    <row r="114165" s="12" customFormat="1" x14ac:dyDescent="0.25"/>
    <row r="114166" s="12" customFormat="1" x14ac:dyDescent="0.25"/>
    <row r="114167" s="12" customFormat="1" x14ac:dyDescent="0.25"/>
    <row r="114168" s="12" customFormat="1" x14ac:dyDescent="0.25"/>
    <row r="114169" s="12" customFormat="1" x14ac:dyDescent="0.25"/>
    <row r="114170" s="12" customFormat="1" x14ac:dyDescent="0.25"/>
    <row r="114171" s="12" customFormat="1" x14ac:dyDescent="0.25"/>
    <row r="114172" s="12" customFormat="1" x14ac:dyDescent="0.25"/>
    <row r="114173" s="12" customFormat="1" x14ac:dyDescent="0.25"/>
    <row r="114174" s="12" customFormat="1" x14ac:dyDescent="0.25"/>
    <row r="114175" s="12" customFormat="1" x14ac:dyDescent="0.25"/>
    <row r="114176" s="12" customFormat="1" x14ac:dyDescent="0.25"/>
    <row r="114177" s="12" customFormat="1" x14ac:dyDescent="0.25"/>
    <row r="114178" s="12" customFormat="1" x14ac:dyDescent="0.25"/>
    <row r="114179" s="12" customFormat="1" x14ac:dyDescent="0.25"/>
    <row r="114180" s="12" customFormat="1" x14ac:dyDescent="0.25"/>
    <row r="114181" s="12" customFormat="1" x14ac:dyDescent="0.25"/>
    <row r="114182" s="12" customFormat="1" x14ac:dyDescent="0.25"/>
    <row r="114183" s="12" customFormat="1" x14ac:dyDescent="0.25"/>
    <row r="114184" s="12" customFormat="1" x14ac:dyDescent="0.25"/>
    <row r="114185" s="12" customFormat="1" x14ac:dyDescent="0.25"/>
    <row r="114186" s="12" customFormat="1" x14ac:dyDescent="0.25"/>
    <row r="114187" s="12" customFormat="1" x14ac:dyDescent="0.25"/>
    <row r="114188" s="12" customFormat="1" x14ac:dyDescent="0.25"/>
    <row r="114189" s="12" customFormat="1" x14ac:dyDescent="0.25"/>
    <row r="114190" s="12" customFormat="1" x14ac:dyDescent="0.25"/>
    <row r="114191" s="12" customFormat="1" x14ac:dyDescent="0.25"/>
    <row r="114192" s="12" customFormat="1" x14ac:dyDescent="0.25"/>
    <row r="114193" s="12" customFormat="1" x14ac:dyDescent="0.25"/>
    <row r="114194" s="12" customFormat="1" x14ac:dyDescent="0.25"/>
    <row r="114195" s="12" customFormat="1" x14ac:dyDescent="0.25"/>
    <row r="114196" s="12" customFormat="1" x14ac:dyDescent="0.25"/>
    <row r="114197" s="12" customFormat="1" x14ac:dyDescent="0.25"/>
    <row r="114198" s="12" customFormat="1" x14ac:dyDescent="0.25"/>
    <row r="114199" s="12" customFormat="1" x14ac:dyDescent="0.25"/>
    <row r="114200" s="12" customFormat="1" x14ac:dyDescent="0.25"/>
    <row r="114201" s="12" customFormat="1" x14ac:dyDescent="0.25"/>
    <row r="114202" s="12" customFormat="1" x14ac:dyDescent="0.25"/>
    <row r="114203" s="12" customFormat="1" x14ac:dyDescent="0.25"/>
    <row r="114204" s="12" customFormat="1" x14ac:dyDescent="0.25"/>
    <row r="114205" s="12" customFormat="1" x14ac:dyDescent="0.25"/>
    <row r="114206" s="12" customFormat="1" x14ac:dyDescent="0.25"/>
    <row r="114207" s="12" customFormat="1" x14ac:dyDescent="0.25"/>
    <row r="114208" s="12" customFormat="1" x14ac:dyDescent="0.25"/>
    <row r="114209" s="12" customFormat="1" x14ac:dyDescent="0.25"/>
    <row r="114210" s="12" customFormat="1" x14ac:dyDescent="0.25"/>
    <row r="114211" s="12" customFormat="1" x14ac:dyDescent="0.25"/>
    <row r="114212" s="12" customFormat="1" x14ac:dyDescent="0.25"/>
    <row r="114213" s="12" customFormat="1" x14ac:dyDescent="0.25"/>
    <row r="114214" s="12" customFormat="1" x14ac:dyDescent="0.25"/>
    <row r="114215" s="12" customFormat="1" x14ac:dyDescent="0.25"/>
    <row r="114216" s="12" customFormat="1" x14ac:dyDescent="0.25"/>
    <row r="114217" s="12" customFormat="1" x14ac:dyDescent="0.25"/>
    <row r="114218" s="12" customFormat="1" x14ac:dyDescent="0.25"/>
    <row r="114219" s="12" customFormat="1" x14ac:dyDescent="0.25"/>
    <row r="114220" s="12" customFormat="1" x14ac:dyDescent="0.25"/>
    <row r="114221" s="12" customFormat="1" x14ac:dyDescent="0.25"/>
    <row r="114222" s="12" customFormat="1" x14ac:dyDescent="0.25"/>
    <row r="114223" s="12" customFormat="1" x14ac:dyDescent="0.25"/>
    <row r="114224" s="12" customFormat="1" x14ac:dyDescent="0.25"/>
    <row r="114225" s="12" customFormat="1" x14ac:dyDescent="0.25"/>
    <row r="114226" s="12" customFormat="1" x14ac:dyDescent="0.25"/>
    <row r="114227" s="12" customFormat="1" x14ac:dyDescent="0.25"/>
    <row r="114228" s="12" customFormat="1" x14ac:dyDescent="0.25"/>
    <row r="114229" s="12" customFormat="1" x14ac:dyDescent="0.25"/>
    <row r="114230" s="12" customFormat="1" x14ac:dyDescent="0.25"/>
    <row r="114231" s="12" customFormat="1" x14ac:dyDescent="0.25"/>
    <row r="114232" s="12" customFormat="1" x14ac:dyDescent="0.25"/>
    <row r="114233" s="12" customFormat="1" x14ac:dyDescent="0.25"/>
    <row r="114234" s="12" customFormat="1" x14ac:dyDescent="0.25"/>
    <row r="114235" s="12" customFormat="1" x14ac:dyDescent="0.25"/>
    <row r="114236" s="12" customFormat="1" x14ac:dyDescent="0.25"/>
    <row r="114237" s="12" customFormat="1" x14ac:dyDescent="0.25"/>
    <row r="114238" s="12" customFormat="1" x14ac:dyDescent="0.25"/>
    <row r="114239" s="12" customFormat="1" x14ac:dyDescent="0.25"/>
    <row r="114240" s="12" customFormat="1" x14ac:dyDescent="0.25"/>
    <row r="114241" s="12" customFormat="1" x14ac:dyDescent="0.25"/>
    <row r="114242" s="12" customFormat="1" x14ac:dyDescent="0.25"/>
    <row r="114243" s="12" customFormat="1" x14ac:dyDescent="0.25"/>
    <row r="114244" s="12" customFormat="1" x14ac:dyDescent="0.25"/>
    <row r="114245" s="12" customFormat="1" x14ac:dyDescent="0.25"/>
    <row r="114246" s="12" customFormat="1" x14ac:dyDescent="0.25"/>
    <row r="114247" s="12" customFormat="1" x14ac:dyDescent="0.25"/>
    <row r="114248" s="12" customFormat="1" x14ac:dyDescent="0.25"/>
    <row r="114249" s="12" customFormat="1" x14ac:dyDescent="0.25"/>
    <row r="114250" s="12" customFormat="1" x14ac:dyDescent="0.25"/>
    <row r="114251" s="12" customFormat="1" x14ac:dyDescent="0.25"/>
    <row r="114252" s="12" customFormat="1" x14ac:dyDescent="0.25"/>
    <row r="114253" s="12" customFormat="1" x14ac:dyDescent="0.25"/>
    <row r="114254" s="12" customFormat="1" x14ac:dyDescent="0.25"/>
    <row r="114255" s="12" customFormat="1" x14ac:dyDescent="0.25"/>
    <row r="114256" s="12" customFormat="1" x14ac:dyDescent="0.25"/>
    <row r="114257" s="12" customFormat="1" x14ac:dyDescent="0.25"/>
    <row r="114258" s="12" customFormat="1" x14ac:dyDescent="0.25"/>
    <row r="114259" s="12" customFormat="1" x14ac:dyDescent="0.25"/>
    <row r="114260" s="12" customFormat="1" x14ac:dyDescent="0.25"/>
    <row r="114261" s="12" customFormat="1" x14ac:dyDescent="0.25"/>
    <row r="114262" s="12" customFormat="1" x14ac:dyDescent="0.25"/>
    <row r="114263" s="12" customFormat="1" x14ac:dyDescent="0.25"/>
    <row r="114264" s="12" customFormat="1" x14ac:dyDescent="0.25"/>
    <row r="114265" s="12" customFormat="1" x14ac:dyDescent="0.25"/>
    <row r="114266" s="12" customFormat="1" x14ac:dyDescent="0.25"/>
    <row r="114267" s="12" customFormat="1" x14ac:dyDescent="0.25"/>
    <row r="114268" s="12" customFormat="1" x14ac:dyDescent="0.25"/>
    <row r="114269" s="12" customFormat="1" x14ac:dyDescent="0.25"/>
    <row r="114270" s="12" customFormat="1" x14ac:dyDescent="0.25"/>
    <row r="114271" s="12" customFormat="1" x14ac:dyDescent="0.25"/>
    <row r="114272" s="12" customFormat="1" x14ac:dyDescent="0.25"/>
    <row r="114273" s="12" customFormat="1" x14ac:dyDescent="0.25"/>
    <row r="114274" s="12" customFormat="1" x14ac:dyDescent="0.25"/>
    <row r="114275" s="12" customFormat="1" x14ac:dyDescent="0.25"/>
    <row r="114276" s="12" customFormat="1" x14ac:dyDescent="0.25"/>
    <row r="114277" s="12" customFormat="1" x14ac:dyDescent="0.25"/>
    <row r="114278" s="12" customFormat="1" x14ac:dyDescent="0.25"/>
    <row r="114279" s="12" customFormat="1" x14ac:dyDescent="0.25"/>
    <row r="114280" s="12" customFormat="1" x14ac:dyDescent="0.25"/>
    <row r="114281" s="12" customFormat="1" x14ac:dyDescent="0.25"/>
    <row r="114282" s="12" customFormat="1" x14ac:dyDescent="0.25"/>
    <row r="114283" s="12" customFormat="1" x14ac:dyDescent="0.25"/>
    <row r="114284" s="12" customFormat="1" x14ac:dyDescent="0.25"/>
    <row r="114285" s="12" customFormat="1" x14ac:dyDescent="0.25"/>
    <row r="114286" s="12" customFormat="1" x14ac:dyDescent="0.25"/>
    <row r="114287" s="12" customFormat="1" x14ac:dyDescent="0.25"/>
    <row r="114288" s="12" customFormat="1" x14ac:dyDescent="0.25"/>
    <row r="114289" s="12" customFormat="1" x14ac:dyDescent="0.25"/>
    <row r="114290" s="12" customFormat="1" x14ac:dyDescent="0.25"/>
    <row r="114291" s="12" customFormat="1" x14ac:dyDescent="0.25"/>
    <row r="114292" s="12" customFormat="1" x14ac:dyDescent="0.25"/>
    <row r="114293" s="12" customFormat="1" x14ac:dyDescent="0.25"/>
    <row r="114294" s="12" customFormat="1" x14ac:dyDescent="0.25"/>
    <row r="114295" s="12" customFormat="1" x14ac:dyDescent="0.25"/>
    <row r="114296" s="12" customFormat="1" x14ac:dyDescent="0.25"/>
    <row r="114297" s="12" customFormat="1" x14ac:dyDescent="0.25"/>
    <row r="114298" s="12" customFormat="1" x14ac:dyDescent="0.25"/>
    <row r="114299" s="12" customFormat="1" x14ac:dyDescent="0.25"/>
    <row r="114300" s="12" customFormat="1" x14ac:dyDescent="0.25"/>
    <row r="114301" s="12" customFormat="1" x14ac:dyDescent="0.25"/>
    <row r="114302" s="12" customFormat="1" x14ac:dyDescent="0.25"/>
    <row r="114303" s="12" customFormat="1" x14ac:dyDescent="0.25"/>
    <row r="114304" s="12" customFormat="1" x14ac:dyDescent="0.25"/>
    <row r="114305" s="12" customFormat="1" x14ac:dyDescent="0.25"/>
    <row r="114306" s="12" customFormat="1" x14ac:dyDescent="0.25"/>
    <row r="114307" s="12" customFormat="1" x14ac:dyDescent="0.25"/>
    <row r="114308" s="12" customFormat="1" x14ac:dyDescent="0.25"/>
    <row r="114309" s="12" customFormat="1" x14ac:dyDescent="0.25"/>
    <row r="114310" s="12" customFormat="1" x14ac:dyDescent="0.25"/>
    <row r="114311" s="12" customFormat="1" x14ac:dyDescent="0.25"/>
    <row r="114312" s="12" customFormat="1" x14ac:dyDescent="0.25"/>
    <row r="114313" s="12" customFormat="1" x14ac:dyDescent="0.25"/>
    <row r="114314" s="12" customFormat="1" x14ac:dyDescent="0.25"/>
    <row r="114315" s="12" customFormat="1" x14ac:dyDescent="0.25"/>
    <row r="114316" s="12" customFormat="1" x14ac:dyDescent="0.25"/>
    <row r="114317" s="12" customFormat="1" x14ac:dyDescent="0.25"/>
    <row r="114318" s="12" customFormat="1" x14ac:dyDescent="0.25"/>
    <row r="114319" s="12" customFormat="1" x14ac:dyDescent="0.25"/>
    <row r="114320" s="12" customFormat="1" x14ac:dyDescent="0.25"/>
    <row r="114321" s="12" customFormat="1" x14ac:dyDescent="0.25"/>
    <row r="114322" s="12" customFormat="1" x14ac:dyDescent="0.25"/>
    <row r="114323" s="12" customFormat="1" x14ac:dyDescent="0.25"/>
    <row r="114324" s="12" customFormat="1" x14ac:dyDescent="0.25"/>
    <row r="114325" s="12" customFormat="1" x14ac:dyDescent="0.25"/>
    <row r="114326" s="12" customFormat="1" x14ac:dyDescent="0.25"/>
    <row r="114327" s="12" customFormat="1" x14ac:dyDescent="0.25"/>
    <row r="114328" s="12" customFormat="1" x14ac:dyDescent="0.25"/>
    <row r="114329" s="12" customFormat="1" x14ac:dyDescent="0.25"/>
    <row r="114330" s="12" customFormat="1" x14ac:dyDescent="0.25"/>
    <row r="114331" s="12" customFormat="1" x14ac:dyDescent="0.25"/>
    <row r="114332" s="12" customFormat="1" x14ac:dyDescent="0.25"/>
    <row r="114333" s="12" customFormat="1" x14ac:dyDescent="0.25"/>
    <row r="114334" s="12" customFormat="1" x14ac:dyDescent="0.25"/>
    <row r="114335" s="12" customFormat="1" x14ac:dyDescent="0.25"/>
    <row r="114336" s="12" customFormat="1" x14ac:dyDescent="0.25"/>
    <row r="114337" s="12" customFormat="1" x14ac:dyDescent="0.25"/>
    <row r="114338" s="12" customFormat="1" x14ac:dyDescent="0.25"/>
    <row r="114339" s="12" customFormat="1" x14ac:dyDescent="0.25"/>
    <row r="114340" s="12" customFormat="1" x14ac:dyDescent="0.25"/>
    <row r="114341" s="12" customFormat="1" x14ac:dyDescent="0.25"/>
    <row r="114342" s="12" customFormat="1" x14ac:dyDescent="0.25"/>
    <row r="114343" s="12" customFormat="1" x14ac:dyDescent="0.25"/>
    <row r="114344" s="12" customFormat="1" x14ac:dyDescent="0.25"/>
    <row r="114345" s="12" customFormat="1" x14ac:dyDescent="0.25"/>
    <row r="114346" s="12" customFormat="1" x14ac:dyDescent="0.25"/>
    <row r="114347" s="12" customFormat="1" x14ac:dyDescent="0.25"/>
    <row r="114348" s="12" customFormat="1" x14ac:dyDescent="0.25"/>
    <row r="114349" s="12" customFormat="1" x14ac:dyDescent="0.25"/>
    <row r="114350" s="12" customFormat="1" x14ac:dyDescent="0.25"/>
    <row r="114351" s="12" customFormat="1" x14ac:dyDescent="0.25"/>
    <row r="114352" s="12" customFormat="1" x14ac:dyDescent="0.25"/>
    <row r="114353" s="12" customFormat="1" x14ac:dyDescent="0.25"/>
    <row r="114354" s="12" customFormat="1" x14ac:dyDescent="0.25"/>
    <row r="114355" s="12" customFormat="1" x14ac:dyDescent="0.25"/>
    <row r="114356" s="12" customFormat="1" x14ac:dyDescent="0.25"/>
    <row r="114357" s="12" customFormat="1" x14ac:dyDescent="0.25"/>
    <row r="114358" s="12" customFormat="1" x14ac:dyDescent="0.25"/>
    <row r="114359" s="12" customFormat="1" x14ac:dyDescent="0.25"/>
    <row r="114360" s="12" customFormat="1" x14ac:dyDescent="0.25"/>
    <row r="114361" s="12" customFormat="1" x14ac:dyDescent="0.25"/>
    <row r="114362" s="12" customFormat="1" x14ac:dyDescent="0.25"/>
    <row r="114363" s="12" customFormat="1" x14ac:dyDescent="0.25"/>
    <row r="114364" s="12" customFormat="1" x14ac:dyDescent="0.25"/>
    <row r="114365" s="12" customFormat="1" x14ac:dyDescent="0.25"/>
    <row r="114366" s="12" customFormat="1" x14ac:dyDescent="0.25"/>
    <row r="114367" s="12" customFormat="1" x14ac:dyDescent="0.25"/>
    <row r="114368" s="12" customFormat="1" x14ac:dyDescent="0.25"/>
    <row r="114369" s="12" customFormat="1" x14ac:dyDescent="0.25"/>
    <row r="114370" s="12" customFormat="1" x14ac:dyDescent="0.25"/>
    <row r="114371" s="12" customFormat="1" x14ac:dyDescent="0.25"/>
    <row r="114372" s="12" customFormat="1" x14ac:dyDescent="0.25"/>
    <row r="114373" s="12" customFormat="1" x14ac:dyDescent="0.25"/>
    <row r="114374" s="12" customFormat="1" x14ac:dyDescent="0.25"/>
    <row r="114375" s="12" customFormat="1" x14ac:dyDescent="0.25"/>
    <row r="114376" s="12" customFormat="1" x14ac:dyDescent="0.25"/>
    <row r="114377" s="12" customFormat="1" x14ac:dyDescent="0.25"/>
    <row r="114378" s="12" customFormat="1" x14ac:dyDescent="0.25"/>
    <row r="114379" s="12" customFormat="1" x14ac:dyDescent="0.25"/>
    <row r="114380" s="12" customFormat="1" x14ac:dyDescent="0.25"/>
    <row r="114381" s="12" customFormat="1" x14ac:dyDescent="0.25"/>
    <row r="114382" s="12" customFormat="1" x14ac:dyDescent="0.25"/>
    <row r="114383" s="12" customFormat="1" x14ac:dyDescent="0.25"/>
    <row r="114384" s="12" customFormat="1" x14ac:dyDescent="0.25"/>
    <row r="114385" s="12" customFormat="1" x14ac:dyDescent="0.25"/>
    <row r="114386" s="12" customFormat="1" x14ac:dyDescent="0.25"/>
    <row r="114387" s="12" customFormat="1" x14ac:dyDescent="0.25"/>
    <row r="114388" s="12" customFormat="1" x14ac:dyDescent="0.25"/>
    <row r="114389" s="12" customFormat="1" x14ac:dyDescent="0.25"/>
    <row r="114390" s="12" customFormat="1" x14ac:dyDescent="0.25"/>
    <row r="114391" s="12" customFormat="1" x14ac:dyDescent="0.25"/>
    <row r="114392" s="12" customFormat="1" x14ac:dyDescent="0.25"/>
    <row r="114393" s="12" customFormat="1" x14ac:dyDescent="0.25"/>
    <row r="114394" s="12" customFormat="1" x14ac:dyDescent="0.25"/>
    <row r="114395" s="12" customFormat="1" x14ac:dyDescent="0.25"/>
    <row r="114396" s="12" customFormat="1" x14ac:dyDescent="0.25"/>
    <row r="114397" s="12" customFormat="1" x14ac:dyDescent="0.25"/>
    <row r="114398" s="12" customFormat="1" x14ac:dyDescent="0.25"/>
    <row r="114399" s="12" customFormat="1" x14ac:dyDescent="0.25"/>
    <row r="114400" s="12" customFormat="1" x14ac:dyDescent="0.25"/>
    <row r="114401" s="12" customFormat="1" x14ac:dyDescent="0.25"/>
    <row r="114402" s="12" customFormat="1" x14ac:dyDescent="0.25"/>
    <row r="114403" s="12" customFormat="1" x14ac:dyDescent="0.25"/>
    <row r="114404" s="12" customFormat="1" x14ac:dyDescent="0.25"/>
    <row r="114405" s="12" customFormat="1" x14ac:dyDescent="0.25"/>
    <row r="114406" s="12" customFormat="1" x14ac:dyDescent="0.25"/>
    <row r="114407" s="12" customFormat="1" x14ac:dyDescent="0.25"/>
    <row r="114408" s="12" customFormat="1" x14ac:dyDescent="0.25"/>
    <row r="114409" s="12" customFormat="1" x14ac:dyDescent="0.25"/>
    <row r="114410" s="12" customFormat="1" x14ac:dyDescent="0.25"/>
    <row r="114411" s="12" customFormat="1" x14ac:dyDescent="0.25"/>
    <row r="114412" s="12" customFormat="1" x14ac:dyDescent="0.25"/>
    <row r="114413" s="12" customFormat="1" x14ac:dyDescent="0.25"/>
    <row r="114414" s="12" customFormat="1" x14ac:dyDescent="0.25"/>
    <row r="114415" s="12" customFormat="1" x14ac:dyDescent="0.25"/>
    <row r="114416" s="12" customFormat="1" x14ac:dyDescent="0.25"/>
    <row r="114417" s="12" customFormat="1" x14ac:dyDescent="0.25"/>
    <row r="114418" s="12" customFormat="1" x14ac:dyDescent="0.25"/>
    <row r="114419" s="12" customFormat="1" x14ac:dyDescent="0.25"/>
    <row r="114420" s="12" customFormat="1" x14ac:dyDescent="0.25"/>
    <row r="114421" s="12" customFormat="1" x14ac:dyDescent="0.25"/>
    <row r="114422" s="12" customFormat="1" x14ac:dyDescent="0.25"/>
    <row r="114423" s="12" customFormat="1" x14ac:dyDescent="0.25"/>
    <row r="114424" s="12" customFormat="1" x14ac:dyDescent="0.25"/>
    <row r="114425" s="12" customFormat="1" x14ac:dyDescent="0.25"/>
    <row r="114426" s="12" customFormat="1" x14ac:dyDescent="0.25"/>
    <row r="114427" s="12" customFormat="1" x14ac:dyDescent="0.25"/>
    <row r="114428" s="12" customFormat="1" x14ac:dyDescent="0.25"/>
    <row r="114429" s="12" customFormat="1" x14ac:dyDescent="0.25"/>
    <row r="114430" s="12" customFormat="1" x14ac:dyDescent="0.25"/>
    <row r="114431" s="12" customFormat="1" x14ac:dyDescent="0.25"/>
    <row r="114432" s="12" customFormat="1" x14ac:dyDescent="0.25"/>
    <row r="114433" s="12" customFormat="1" x14ac:dyDescent="0.25"/>
    <row r="114434" s="12" customFormat="1" x14ac:dyDescent="0.25"/>
    <row r="114435" s="12" customFormat="1" x14ac:dyDescent="0.25"/>
    <row r="114436" s="12" customFormat="1" x14ac:dyDescent="0.25"/>
    <row r="114437" s="12" customFormat="1" x14ac:dyDescent="0.25"/>
    <row r="114438" s="12" customFormat="1" x14ac:dyDescent="0.25"/>
    <row r="114439" s="12" customFormat="1" x14ac:dyDescent="0.25"/>
    <row r="114440" s="12" customFormat="1" x14ac:dyDescent="0.25"/>
    <row r="114441" s="12" customFormat="1" x14ac:dyDescent="0.25"/>
    <row r="114442" s="12" customFormat="1" x14ac:dyDescent="0.25"/>
    <row r="114443" s="12" customFormat="1" x14ac:dyDescent="0.25"/>
    <row r="114444" s="12" customFormat="1" x14ac:dyDescent="0.25"/>
    <row r="114445" s="12" customFormat="1" x14ac:dyDescent="0.25"/>
    <row r="114446" s="12" customFormat="1" x14ac:dyDescent="0.25"/>
    <row r="114447" s="12" customFormat="1" x14ac:dyDescent="0.25"/>
    <row r="114448" s="12" customFormat="1" x14ac:dyDescent="0.25"/>
    <row r="114449" s="12" customFormat="1" x14ac:dyDescent="0.25"/>
    <row r="114450" s="12" customFormat="1" x14ac:dyDescent="0.25"/>
    <row r="114451" s="12" customFormat="1" x14ac:dyDescent="0.25"/>
    <row r="114452" s="12" customFormat="1" x14ac:dyDescent="0.25"/>
    <row r="114453" s="12" customFormat="1" x14ac:dyDescent="0.25"/>
    <row r="114454" s="12" customFormat="1" x14ac:dyDescent="0.25"/>
    <row r="114455" s="12" customFormat="1" x14ac:dyDescent="0.25"/>
    <row r="114456" s="12" customFormat="1" x14ac:dyDescent="0.25"/>
    <row r="114457" s="12" customFormat="1" x14ac:dyDescent="0.25"/>
    <row r="114458" s="12" customFormat="1" x14ac:dyDescent="0.25"/>
    <row r="114459" s="12" customFormat="1" x14ac:dyDescent="0.25"/>
    <row r="114460" s="12" customFormat="1" x14ac:dyDescent="0.25"/>
    <row r="114461" s="12" customFormat="1" x14ac:dyDescent="0.25"/>
    <row r="114462" s="12" customFormat="1" x14ac:dyDescent="0.25"/>
    <row r="114463" s="12" customFormat="1" x14ac:dyDescent="0.25"/>
    <row r="114464" s="12" customFormat="1" x14ac:dyDescent="0.25"/>
    <row r="114465" s="12" customFormat="1" x14ac:dyDescent="0.25"/>
    <row r="114466" s="12" customFormat="1" x14ac:dyDescent="0.25"/>
    <row r="114467" s="12" customFormat="1" x14ac:dyDescent="0.25"/>
    <row r="114468" s="12" customFormat="1" x14ac:dyDescent="0.25"/>
    <row r="114469" s="12" customFormat="1" x14ac:dyDescent="0.25"/>
    <row r="114470" s="12" customFormat="1" x14ac:dyDescent="0.25"/>
    <row r="114471" s="12" customFormat="1" x14ac:dyDescent="0.25"/>
    <row r="114472" s="12" customFormat="1" x14ac:dyDescent="0.25"/>
    <row r="114473" s="12" customFormat="1" x14ac:dyDescent="0.25"/>
    <row r="114474" s="12" customFormat="1" x14ac:dyDescent="0.25"/>
    <row r="114475" s="12" customFormat="1" x14ac:dyDescent="0.25"/>
    <row r="114476" s="12" customFormat="1" x14ac:dyDescent="0.25"/>
    <row r="114477" s="12" customFormat="1" x14ac:dyDescent="0.25"/>
    <row r="114478" s="12" customFormat="1" x14ac:dyDescent="0.25"/>
    <row r="114479" s="12" customFormat="1" x14ac:dyDescent="0.25"/>
    <row r="114480" s="12" customFormat="1" x14ac:dyDescent="0.25"/>
    <row r="114481" s="12" customFormat="1" x14ac:dyDescent="0.25"/>
    <row r="114482" s="12" customFormat="1" x14ac:dyDescent="0.25"/>
    <row r="114483" s="12" customFormat="1" x14ac:dyDescent="0.25"/>
    <row r="114484" s="12" customFormat="1" x14ac:dyDescent="0.25"/>
    <row r="114485" s="12" customFormat="1" x14ac:dyDescent="0.25"/>
    <row r="114486" s="12" customFormat="1" x14ac:dyDescent="0.25"/>
    <row r="114487" s="12" customFormat="1" x14ac:dyDescent="0.25"/>
    <row r="114488" s="12" customFormat="1" x14ac:dyDescent="0.25"/>
    <row r="114489" s="12" customFormat="1" x14ac:dyDescent="0.25"/>
    <row r="114490" s="12" customFormat="1" x14ac:dyDescent="0.25"/>
    <row r="114491" s="12" customFormat="1" x14ac:dyDescent="0.25"/>
    <row r="114492" s="12" customFormat="1" x14ac:dyDescent="0.25"/>
    <row r="114493" s="12" customFormat="1" x14ac:dyDescent="0.25"/>
    <row r="114494" s="12" customFormat="1" x14ac:dyDescent="0.25"/>
    <row r="114495" s="12" customFormat="1" x14ac:dyDescent="0.25"/>
    <row r="114496" s="12" customFormat="1" x14ac:dyDescent="0.25"/>
    <row r="114497" s="12" customFormat="1" x14ac:dyDescent="0.25"/>
    <row r="114498" s="12" customFormat="1" x14ac:dyDescent="0.25"/>
    <row r="114499" s="12" customFormat="1" x14ac:dyDescent="0.25"/>
    <row r="114500" s="12" customFormat="1" x14ac:dyDescent="0.25"/>
    <row r="114501" s="12" customFormat="1" x14ac:dyDescent="0.25"/>
    <row r="114502" s="12" customFormat="1" x14ac:dyDescent="0.25"/>
    <row r="114503" s="12" customFormat="1" x14ac:dyDescent="0.25"/>
    <row r="114504" s="12" customFormat="1" x14ac:dyDescent="0.25"/>
    <row r="114505" s="12" customFormat="1" x14ac:dyDescent="0.25"/>
    <row r="114506" s="12" customFormat="1" x14ac:dyDescent="0.25"/>
    <row r="114507" s="12" customFormat="1" x14ac:dyDescent="0.25"/>
    <row r="114508" s="12" customFormat="1" x14ac:dyDescent="0.25"/>
    <row r="114509" s="12" customFormat="1" x14ac:dyDescent="0.25"/>
    <row r="114510" s="12" customFormat="1" x14ac:dyDescent="0.25"/>
    <row r="114511" s="12" customFormat="1" x14ac:dyDescent="0.25"/>
    <row r="114512" s="12" customFormat="1" x14ac:dyDescent="0.25"/>
    <row r="114513" s="12" customFormat="1" x14ac:dyDescent="0.25"/>
    <row r="114514" s="12" customFormat="1" x14ac:dyDescent="0.25"/>
    <row r="114515" s="12" customFormat="1" x14ac:dyDescent="0.25"/>
    <row r="114516" s="12" customFormat="1" x14ac:dyDescent="0.25"/>
    <row r="114517" s="12" customFormat="1" x14ac:dyDescent="0.25"/>
    <row r="114518" s="12" customFormat="1" x14ac:dyDescent="0.25"/>
    <row r="114519" s="12" customFormat="1" x14ac:dyDescent="0.25"/>
    <row r="114520" s="12" customFormat="1" x14ac:dyDescent="0.25"/>
    <row r="114521" s="12" customFormat="1" x14ac:dyDescent="0.25"/>
    <row r="114522" s="12" customFormat="1" x14ac:dyDescent="0.25"/>
    <row r="114523" s="12" customFormat="1" x14ac:dyDescent="0.25"/>
    <row r="114524" s="12" customFormat="1" x14ac:dyDescent="0.25"/>
    <row r="114525" s="12" customFormat="1" x14ac:dyDescent="0.25"/>
    <row r="114526" s="12" customFormat="1" x14ac:dyDescent="0.25"/>
    <row r="114527" s="12" customFormat="1" x14ac:dyDescent="0.25"/>
    <row r="114528" s="12" customFormat="1" x14ac:dyDescent="0.25"/>
    <row r="114529" s="12" customFormat="1" x14ac:dyDescent="0.25"/>
    <row r="114530" s="12" customFormat="1" x14ac:dyDescent="0.25"/>
    <row r="114531" s="12" customFormat="1" x14ac:dyDescent="0.25"/>
    <row r="114532" s="12" customFormat="1" x14ac:dyDescent="0.25"/>
    <row r="114533" s="12" customFormat="1" x14ac:dyDescent="0.25"/>
    <row r="114534" s="12" customFormat="1" x14ac:dyDescent="0.25"/>
    <row r="114535" s="12" customFormat="1" x14ac:dyDescent="0.25"/>
    <row r="114536" s="12" customFormat="1" x14ac:dyDescent="0.25"/>
    <row r="114537" s="12" customFormat="1" x14ac:dyDescent="0.25"/>
    <row r="114538" s="12" customFormat="1" x14ac:dyDescent="0.25"/>
    <row r="114539" s="12" customFormat="1" x14ac:dyDescent="0.25"/>
    <row r="114540" s="12" customFormat="1" x14ac:dyDescent="0.25"/>
    <row r="114541" s="12" customFormat="1" x14ac:dyDescent="0.25"/>
    <row r="114542" s="12" customFormat="1" x14ac:dyDescent="0.25"/>
    <row r="114543" s="12" customFormat="1" x14ac:dyDescent="0.25"/>
    <row r="114544" s="12" customFormat="1" x14ac:dyDescent="0.25"/>
    <row r="114545" s="12" customFormat="1" x14ac:dyDescent="0.25"/>
    <row r="114546" s="12" customFormat="1" x14ac:dyDescent="0.25"/>
    <row r="114547" s="12" customFormat="1" x14ac:dyDescent="0.25"/>
    <row r="114548" s="12" customFormat="1" x14ac:dyDescent="0.25"/>
    <row r="114549" s="12" customFormat="1" x14ac:dyDescent="0.25"/>
    <row r="114550" s="12" customFormat="1" x14ac:dyDescent="0.25"/>
    <row r="114551" s="12" customFormat="1" x14ac:dyDescent="0.25"/>
    <row r="114552" s="12" customFormat="1" x14ac:dyDescent="0.25"/>
    <row r="114553" s="12" customFormat="1" x14ac:dyDescent="0.25"/>
    <row r="114554" s="12" customFormat="1" x14ac:dyDescent="0.25"/>
    <row r="114555" s="12" customFormat="1" x14ac:dyDescent="0.25"/>
    <row r="114556" s="12" customFormat="1" x14ac:dyDescent="0.25"/>
    <row r="114557" s="12" customFormat="1" x14ac:dyDescent="0.25"/>
    <row r="114558" s="12" customFormat="1" x14ac:dyDescent="0.25"/>
    <row r="114559" s="12" customFormat="1" x14ac:dyDescent="0.25"/>
    <row r="114560" s="12" customFormat="1" x14ac:dyDescent="0.25"/>
    <row r="114561" s="12" customFormat="1" x14ac:dyDescent="0.25"/>
    <row r="114562" s="12" customFormat="1" x14ac:dyDescent="0.25"/>
    <row r="114563" s="12" customFormat="1" x14ac:dyDescent="0.25"/>
    <row r="114564" s="12" customFormat="1" x14ac:dyDescent="0.25"/>
    <row r="114565" s="12" customFormat="1" x14ac:dyDescent="0.25"/>
    <row r="114566" s="12" customFormat="1" x14ac:dyDescent="0.25"/>
    <row r="114567" s="12" customFormat="1" x14ac:dyDescent="0.25"/>
    <row r="114568" s="12" customFormat="1" x14ac:dyDescent="0.25"/>
    <row r="114569" s="12" customFormat="1" x14ac:dyDescent="0.25"/>
    <row r="114570" s="12" customFormat="1" x14ac:dyDescent="0.25"/>
    <row r="114571" s="12" customFormat="1" x14ac:dyDescent="0.25"/>
    <row r="114572" s="12" customFormat="1" x14ac:dyDescent="0.25"/>
    <row r="114573" s="12" customFormat="1" x14ac:dyDescent="0.25"/>
    <row r="114574" s="12" customFormat="1" x14ac:dyDescent="0.25"/>
    <row r="114575" s="12" customFormat="1" x14ac:dyDescent="0.25"/>
    <row r="114576" s="12" customFormat="1" x14ac:dyDescent="0.25"/>
    <row r="114577" s="12" customFormat="1" x14ac:dyDescent="0.25"/>
    <row r="114578" s="12" customFormat="1" x14ac:dyDescent="0.25"/>
    <row r="114579" s="12" customFormat="1" x14ac:dyDescent="0.25"/>
    <row r="114580" s="12" customFormat="1" x14ac:dyDescent="0.25"/>
    <row r="114581" s="12" customFormat="1" x14ac:dyDescent="0.25"/>
    <row r="114582" s="12" customFormat="1" x14ac:dyDescent="0.25"/>
    <row r="114583" s="12" customFormat="1" x14ac:dyDescent="0.25"/>
    <row r="114584" s="12" customFormat="1" x14ac:dyDescent="0.25"/>
    <row r="114585" s="12" customFormat="1" x14ac:dyDescent="0.25"/>
    <row r="114586" s="12" customFormat="1" x14ac:dyDescent="0.25"/>
    <row r="114587" s="12" customFormat="1" x14ac:dyDescent="0.25"/>
    <row r="114588" s="12" customFormat="1" x14ac:dyDescent="0.25"/>
    <row r="114589" s="12" customFormat="1" x14ac:dyDescent="0.25"/>
    <row r="114590" s="12" customFormat="1" x14ac:dyDescent="0.25"/>
    <row r="114591" s="12" customFormat="1" x14ac:dyDescent="0.25"/>
    <row r="114592" s="12" customFormat="1" x14ac:dyDescent="0.25"/>
    <row r="114593" s="12" customFormat="1" x14ac:dyDescent="0.25"/>
    <row r="114594" s="12" customFormat="1" x14ac:dyDescent="0.25"/>
    <row r="114595" s="12" customFormat="1" x14ac:dyDescent="0.25"/>
    <row r="114596" s="12" customFormat="1" x14ac:dyDescent="0.25"/>
    <row r="114597" s="12" customFormat="1" x14ac:dyDescent="0.25"/>
    <row r="114598" s="12" customFormat="1" x14ac:dyDescent="0.25"/>
    <row r="114599" s="12" customFormat="1" x14ac:dyDescent="0.25"/>
    <row r="114600" s="12" customFormat="1" x14ac:dyDescent="0.25"/>
    <row r="114601" s="12" customFormat="1" x14ac:dyDescent="0.25"/>
    <row r="114602" s="12" customFormat="1" x14ac:dyDescent="0.25"/>
    <row r="114603" s="12" customFormat="1" x14ac:dyDescent="0.25"/>
    <row r="114604" s="12" customFormat="1" x14ac:dyDescent="0.25"/>
    <row r="114605" s="12" customFormat="1" x14ac:dyDescent="0.25"/>
    <row r="114606" s="12" customFormat="1" x14ac:dyDescent="0.25"/>
    <row r="114607" s="12" customFormat="1" x14ac:dyDescent="0.25"/>
    <row r="114608" s="12" customFormat="1" x14ac:dyDescent="0.25"/>
    <row r="114609" s="12" customFormat="1" x14ac:dyDescent="0.25"/>
    <row r="114610" s="12" customFormat="1" x14ac:dyDescent="0.25"/>
    <row r="114611" s="12" customFormat="1" x14ac:dyDescent="0.25"/>
    <row r="114612" s="12" customFormat="1" x14ac:dyDescent="0.25"/>
    <row r="114613" s="12" customFormat="1" x14ac:dyDescent="0.25"/>
    <row r="114614" s="12" customFormat="1" x14ac:dyDescent="0.25"/>
    <row r="114615" s="12" customFormat="1" x14ac:dyDescent="0.25"/>
    <row r="114616" s="12" customFormat="1" x14ac:dyDescent="0.25"/>
    <row r="114617" s="12" customFormat="1" x14ac:dyDescent="0.25"/>
    <row r="114618" s="12" customFormat="1" x14ac:dyDescent="0.25"/>
    <row r="114619" s="12" customFormat="1" x14ac:dyDescent="0.25"/>
    <row r="114620" s="12" customFormat="1" x14ac:dyDescent="0.25"/>
    <row r="114621" s="12" customFormat="1" x14ac:dyDescent="0.25"/>
    <row r="114622" s="12" customFormat="1" x14ac:dyDescent="0.25"/>
    <row r="114623" s="12" customFormat="1" x14ac:dyDescent="0.25"/>
    <row r="114624" s="12" customFormat="1" x14ac:dyDescent="0.25"/>
    <row r="114625" s="12" customFormat="1" x14ac:dyDescent="0.25"/>
    <row r="114626" s="12" customFormat="1" x14ac:dyDescent="0.25"/>
    <row r="114627" s="12" customFormat="1" x14ac:dyDescent="0.25"/>
    <row r="114628" s="12" customFormat="1" x14ac:dyDescent="0.25"/>
    <row r="114629" s="12" customFormat="1" x14ac:dyDescent="0.25"/>
    <row r="114630" s="12" customFormat="1" x14ac:dyDescent="0.25"/>
    <row r="114631" s="12" customFormat="1" x14ac:dyDescent="0.25"/>
    <row r="114632" s="12" customFormat="1" x14ac:dyDescent="0.25"/>
    <row r="114633" s="12" customFormat="1" x14ac:dyDescent="0.25"/>
    <row r="114634" s="12" customFormat="1" x14ac:dyDescent="0.25"/>
    <row r="114635" s="12" customFormat="1" x14ac:dyDescent="0.25"/>
    <row r="114636" s="12" customFormat="1" x14ac:dyDescent="0.25"/>
    <row r="114637" s="12" customFormat="1" x14ac:dyDescent="0.25"/>
    <row r="114638" s="12" customFormat="1" x14ac:dyDescent="0.25"/>
    <row r="114639" s="12" customFormat="1" x14ac:dyDescent="0.25"/>
    <row r="114640" s="12" customFormat="1" x14ac:dyDescent="0.25"/>
    <row r="114641" s="12" customFormat="1" x14ac:dyDescent="0.25"/>
    <row r="114642" s="12" customFormat="1" x14ac:dyDescent="0.25"/>
    <row r="114643" s="12" customFormat="1" x14ac:dyDescent="0.25"/>
    <row r="114644" s="12" customFormat="1" x14ac:dyDescent="0.25"/>
    <row r="114645" s="12" customFormat="1" x14ac:dyDescent="0.25"/>
    <row r="114646" s="12" customFormat="1" x14ac:dyDescent="0.25"/>
    <row r="114647" s="12" customFormat="1" x14ac:dyDescent="0.25"/>
    <row r="114648" s="12" customFormat="1" x14ac:dyDescent="0.25"/>
    <row r="114649" s="12" customFormat="1" x14ac:dyDescent="0.25"/>
    <row r="114650" s="12" customFormat="1" x14ac:dyDescent="0.25"/>
    <row r="114651" s="12" customFormat="1" x14ac:dyDescent="0.25"/>
    <row r="114652" s="12" customFormat="1" x14ac:dyDescent="0.25"/>
    <row r="114653" s="12" customFormat="1" x14ac:dyDescent="0.25"/>
    <row r="114654" s="12" customFormat="1" x14ac:dyDescent="0.25"/>
    <row r="114655" s="12" customFormat="1" x14ac:dyDescent="0.25"/>
    <row r="114656" s="12" customFormat="1" x14ac:dyDescent="0.25"/>
    <row r="114657" s="12" customFormat="1" x14ac:dyDescent="0.25"/>
    <row r="114658" s="12" customFormat="1" x14ac:dyDescent="0.25"/>
    <row r="114659" s="12" customFormat="1" x14ac:dyDescent="0.25"/>
    <row r="114660" s="12" customFormat="1" x14ac:dyDescent="0.25"/>
    <row r="114661" s="12" customFormat="1" x14ac:dyDescent="0.25"/>
    <row r="114662" s="12" customFormat="1" x14ac:dyDescent="0.25"/>
    <row r="114663" s="12" customFormat="1" x14ac:dyDescent="0.25"/>
    <row r="114664" s="12" customFormat="1" x14ac:dyDescent="0.25"/>
    <row r="114665" s="12" customFormat="1" x14ac:dyDescent="0.25"/>
    <row r="114666" s="12" customFormat="1" x14ac:dyDescent="0.25"/>
    <row r="114667" s="12" customFormat="1" x14ac:dyDescent="0.25"/>
    <row r="114668" s="12" customFormat="1" x14ac:dyDescent="0.25"/>
    <row r="114669" s="12" customFormat="1" x14ac:dyDescent="0.25"/>
    <row r="114670" s="12" customFormat="1" x14ac:dyDescent="0.25"/>
    <row r="114671" s="12" customFormat="1" x14ac:dyDescent="0.25"/>
    <row r="114672" s="12" customFormat="1" x14ac:dyDescent="0.25"/>
    <row r="114673" s="12" customFormat="1" x14ac:dyDescent="0.25"/>
    <row r="114674" s="12" customFormat="1" x14ac:dyDescent="0.25"/>
    <row r="114675" s="12" customFormat="1" x14ac:dyDescent="0.25"/>
    <row r="114676" s="12" customFormat="1" x14ac:dyDescent="0.25"/>
    <row r="114677" s="12" customFormat="1" x14ac:dyDescent="0.25"/>
    <row r="114678" s="12" customFormat="1" x14ac:dyDescent="0.25"/>
    <row r="114679" s="12" customFormat="1" x14ac:dyDescent="0.25"/>
    <row r="114680" s="12" customFormat="1" x14ac:dyDescent="0.25"/>
    <row r="114681" s="12" customFormat="1" x14ac:dyDescent="0.25"/>
    <row r="114682" s="12" customFormat="1" x14ac:dyDescent="0.25"/>
    <row r="114683" s="12" customFormat="1" x14ac:dyDescent="0.25"/>
    <row r="114684" s="12" customFormat="1" x14ac:dyDescent="0.25"/>
    <row r="114685" s="12" customFormat="1" x14ac:dyDescent="0.25"/>
    <row r="114686" s="12" customFormat="1" x14ac:dyDescent="0.25"/>
    <row r="114687" s="12" customFormat="1" x14ac:dyDescent="0.25"/>
    <row r="114688" s="12" customFormat="1" x14ac:dyDescent="0.25"/>
    <row r="114689" s="12" customFormat="1" x14ac:dyDescent="0.25"/>
    <row r="114690" s="12" customFormat="1" x14ac:dyDescent="0.25"/>
    <row r="114691" s="12" customFormat="1" x14ac:dyDescent="0.25"/>
    <row r="114692" s="12" customFormat="1" x14ac:dyDescent="0.25"/>
    <row r="114693" s="12" customFormat="1" x14ac:dyDescent="0.25"/>
    <row r="114694" s="12" customFormat="1" x14ac:dyDescent="0.25"/>
    <row r="114695" s="12" customFormat="1" x14ac:dyDescent="0.25"/>
    <row r="114696" s="12" customFormat="1" x14ac:dyDescent="0.25"/>
    <row r="114697" s="12" customFormat="1" x14ac:dyDescent="0.25"/>
    <row r="114698" s="12" customFormat="1" x14ac:dyDescent="0.25"/>
    <row r="114699" s="12" customFormat="1" x14ac:dyDescent="0.25"/>
    <row r="114700" s="12" customFormat="1" x14ac:dyDescent="0.25"/>
    <row r="114701" s="12" customFormat="1" x14ac:dyDescent="0.25"/>
    <row r="114702" s="12" customFormat="1" x14ac:dyDescent="0.25"/>
    <row r="114703" s="12" customFormat="1" x14ac:dyDescent="0.25"/>
    <row r="114704" s="12" customFormat="1" x14ac:dyDescent="0.25"/>
    <row r="114705" s="12" customFormat="1" x14ac:dyDescent="0.25"/>
    <row r="114706" s="12" customFormat="1" x14ac:dyDescent="0.25"/>
    <row r="114707" s="12" customFormat="1" x14ac:dyDescent="0.25"/>
    <row r="114708" s="12" customFormat="1" x14ac:dyDescent="0.25"/>
    <row r="114709" s="12" customFormat="1" x14ac:dyDescent="0.25"/>
    <row r="114710" s="12" customFormat="1" x14ac:dyDescent="0.25"/>
    <row r="114711" s="12" customFormat="1" x14ac:dyDescent="0.25"/>
    <row r="114712" s="12" customFormat="1" x14ac:dyDescent="0.25"/>
    <row r="114713" s="12" customFormat="1" x14ac:dyDescent="0.25"/>
    <row r="114714" s="12" customFormat="1" x14ac:dyDescent="0.25"/>
    <row r="114715" s="12" customFormat="1" x14ac:dyDescent="0.25"/>
    <row r="114716" s="12" customFormat="1" x14ac:dyDescent="0.25"/>
    <row r="114717" s="12" customFormat="1" x14ac:dyDescent="0.25"/>
    <row r="114718" s="12" customFormat="1" x14ac:dyDescent="0.25"/>
    <row r="114719" s="12" customFormat="1" x14ac:dyDescent="0.25"/>
    <row r="114720" s="12" customFormat="1" x14ac:dyDescent="0.25"/>
    <row r="114721" s="12" customFormat="1" x14ac:dyDescent="0.25"/>
    <row r="114722" s="12" customFormat="1" x14ac:dyDescent="0.25"/>
    <row r="114723" s="12" customFormat="1" x14ac:dyDescent="0.25"/>
    <row r="114724" s="12" customFormat="1" x14ac:dyDescent="0.25"/>
    <row r="114725" s="12" customFormat="1" x14ac:dyDescent="0.25"/>
    <row r="114726" s="12" customFormat="1" x14ac:dyDescent="0.25"/>
    <row r="114727" s="12" customFormat="1" x14ac:dyDescent="0.25"/>
    <row r="114728" s="12" customFormat="1" x14ac:dyDescent="0.25"/>
    <row r="114729" s="12" customFormat="1" x14ac:dyDescent="0.25"/>
    <row r="114730" s="12" customFormat="1" x14ac:dyDescent="0.25"/>
    <row r="114731" s="12" customFormat="1" x14ac:dyDescent="0.25"/>
    <row r="114732" s="12" customFormat="1" x14ac:dyDescent="0.25"/>
    <row r="114733" s="12" customFormat="1" x14ac:dyDescent="0.25"/>
    <row r="114734" s="12" customFormat="1" x14ac:dyDescent="0.25"/>
    <row r="114735" s="12" customFormat="1" x14ac:dyDescent="0.25"/>
    <row r="114736" s="12" customFormat="1" x14ac:dyDescent="0.25"/>
    <row r="114737" s="12" customFormat="1" x14ac:dyDescent="0.25"/>
    <row r="114738" s="12" customFormat="1" x14ac:dyDescent="0.25"/>
    <row r="114739" s="12" customFormat="1" x14ac:dyDescent="0.25"/>
    <row r="114740" s="12" customFormat="1" x14ac:dyDescent="0.25"/>
    <row r="114741" s="12" customFormat="1" x14ac:dyDescent="0.25"/>
    <row r="114742" s="12" customFormat="1" x14ac:dyDescent="0.25"/>
    <row r="114743" s="12" customFormat="1" x14ac:dyDescent="0.25"/>
    <row r="114744" s="12" customFormat="1" x14ac:dyDescent="0.25"/>
    <row r="114745" s="12" customFormat="1" x14ac:dyDescent="0.25"/>
    <row r="114746" s="12" customFormat="1" x14ac:dyDescent="0.25"/>
    <row r="114747" s="12" customFormat="1" x14ac:dyDescent="0.25"/>
    <row r="114748" s="12" customFormat="1" x14ac:dyDescent="0.25"/>
    <row r="114749" s="12" customFormat="1" x14ac:dyDescent="0.25"/>
    <row r="114750" s="12" customFormat="1" x14ac:dyDescent="0.25"/>
    <row r="114751" s="12" customFormat="1" x14ac:dyDescent="0.25"/>
    <row r="114752" s="12" customFormat="1" x14ac:dyDescent="0.25"/>
    <row r="114753" s="12" customFormat="1" x14ac:dyDescent="0.25"/>
    <row r="114754" s="12" customFormat="1" x14ac:dyDescent="0.25"/>
    <row r="114755" s="12" customFormat="1" x14ac:dyDescent="0.25"/>
    <row r="114756" s="12" customFormat="1" x14ac:dyDescent="0.25"/>
    <row r="114757" s="12" customFormat="1" x14ac:dyDescent="0.25"/>
    <row r="114758" s="12" customFormat="1" x14ac:dyDescent="0.25"/>
    <row r="114759" s="12" customFormat="1" x14ac:dyDescent="0.25"/>
    <row r="114760" s="12" customFormat="1" x14ac:dyDescent="0.25"/>
    <row r="114761" s="12" customFormat="1" x14ac:dyDescent="0.25"/>
    <row r="114762" s="12" customFormat="1" x14ac:dyDescent="0.25"/>
    <row r="114763" s="12" customFormat="1" x14ac:dyDescent="0.25"/>
    <row r="114764" s="12" customFormat="1" x14ac:dyDescent="0.25"/>
    <row r="114765" s="12" customFormat="1" x14ac:dyDescent="0.25"/>
    <row r="114766" s="12" customFormat="1" x14ac:dyDescent="0.25"/>
    <row r="114767" s="12" customFormat="1" x14ac:dyDescent="0.25"/>
    <row r="114768" s="12" customFormat="1" x14ac:dyDescent="0.25"/>
    <row r="114769" s="12" customFormat="1" x14ac:dyDescent="0.25"/>
    <row r="114770" s="12" customFormat="1" x14ac:dyDescent="0.25"/>
    <row r="114771" s="12" customFormat="1" x14ac:dyDescent="0.25"/>
    <row r="114772" s="12" customFormat="1" x14ac:dyDescent="0.25"/>
    <row r="114773" s="12" customFormat="1" x14ac:dyDescent="0.25"/>
    <row r="114774" s="12" customFormat="1" x14ac:dyDescent="0.25"/>
    <row r="114775" s="12" customFormat="1" x14ac:dyDescent="0.25"/>
    <row r="114776" s="12" customFormat="1" x14ac:dyDescent="0.25"/>
    <row r="114777" s="12" customFormat="1" x14ac:dyDescent="0.25"/>
    <row r="114778" s="12" customFormat="1" x14ac:dyDescent="0.25"/>
    <row r="114779" s="12" customFormat="1" x14ac:dyDescent="0.25"/>
    <row r="114780" s="12" customFormat="1" x14ac:dyDescent="0.25"/>
    <row r="114781" s="12" customFormat="1" x14ac:dyDescent="0.25"/>
    <row r="114782" s="12" customFormat="1" x14ac:dyDescent="0.25"/>
    <row r="114783" s="12" customFormat="1" x14ac:dyDescent="0.25"/>
    <row r="114784" s="12" customFormat="1" x14ac:dyDescent="0.25"/>
    <row r="114785" s="12" customFormat="1" x14ac:dyDescent="0.25"/>
    <row r="114786" s="12" customFormat="1" x14ac:dyDescent="0.25"/>
    <row r="114787" s="12" customFormat="1" x14ac:dyDescent="0.25"/>
    <row r="114788" s="12" customFormat="1" x14ac:dyDescent="0.25"/>
    <row r="114789" s="12" customFormat="1" x14ac:dyDescent="0.25"/>
    <row r="114790" s="12" customFormat="1" x14ac:dyDescent="0.25"/>
    <row r="114791" s="12" customFormat="1" x14ac:dyDescent="0.25"/>
    <row r="114792" s="12" customFormat="1" x14ac:dyDescent="0.25"/>
    <row r="114793" s="12" customFormat="1" x14ac:dyDescent="0.25"/>
    <row r="114794" s="12" customFormat="1" x14ac:dyDescent="0.25"/>
    <row r="114795" s="12" customFormat="1" x14ac:dyDescent="0.25"/>
    <row r="114796" s="12" customFormat="1" x14ac:dyDescent="0.25"/>
    <row r="114797" s="12" customFormat="1" x14ac:dyDescent="0.25"/>
    <row r="114798" s="12" customFormat="1" x14ac:dyDescent="0.25"/>
    <row r="114799" s="12" customFormat="1" x14ac:dyDescent="0.25"/>
    <row r="114800" s="12" customFormat="1" x14ac:dyDescent="0.25"/>
    <row r="114801" s="12" customFormat="1" x14ac:dyDescent="0.25"/>
    <row r="114802" s="12" customFormat="1" x14ac:dyDescent="0.25"/>
    <row r="114803" s="12" customFormat="1" x14ac:dyDescent="0.25"/>
    <row r="114804" s="12" customFormat="1" x14ac:dyDescent="0.25"/>
    <row r="114805" s="12" customFormat="1" x14ac:dyDescent="0.25"/>
    <row r="114806" s="12" customFormat="1" x14ac:dyDescent="0.25"/>
    <row r="114807" s="12" customFormat="1" x14ac:dyDescent="0.25"/>
    <row r="114808" s="12" customFormat="1" x14ac:dyDescent="0.25"/>
    <row r="114809" s="12" customFormat="1" x14ac:dyDescent="0.25"/>
    <row r="114810" s="12" customFormat="1" x14ac:dyDescent="0.25"/>
    <row r="114811" s="12" customFormat="1" x14ac:dyDescent="0.25"/>
    <row r="114812" s="12" customFormat="1" x14ac:dyDescent="0.25"/>
    <row r="114813" s="12" customFormat="1" x14ac:dyDescent="0.25"/>
    <row r="114814" s="12" customFormat="1" x14ac:dyDescent="0.25"/>
    <row r="114815" s="12" customFormat="1" x14ac:dyDescent="0.25"/>
    <row r="114816" s="12" customFormat="1" x14ac:dyDescent="0.25"/>
    <row r="114817" s="12" customFormat="1" x14ac:dyDescent="0.25"/>
    <row r="114818" s="12" customFormat="1" x14ac:dyDescent="0.25"/>
    <row r="114819" s="12" customFormat="1" x14ac:dyDescent="0.25"/>
    <row r="114820" s="12" customFormat="1" x14ac:dyDescent="0.25"/>
    <row r="114821" s="12" customFormat="1" x14ac:dyDescent="0.25"/>
    <row r="114822" s="12" customFormat="1" x14ac:dyDescent="0.25"/>
    <row r="114823" s="12" customFormat="1" x14ac:dyDescent="0.25"/>
    <row r="114824" s="12" customFormat="1" x14ac:dyDescent="0.25"/>
    <row r="114825" s="12" customFormat="1" x14ac:dyDescent="0.25"/>
    <row r="114826" s="12" customFormat="1" x14ac:dyDescent="0.25"/>
    <row r="114827" s="12" customFormat="1" x14ac:dyDescent="0.25"/>
    <row r="114828" s="12" customFormat="1" x14ac:dyDescent="0.25"/>
    <row r="114829" s="12" customFormat="1" x14ac:dyDescent="0.25"/>
    <row r="114830" s="12" customFormat="1" x14ac:dyDescent="0.25"/>
    <row r="114831" s="12" customFormat="1" x14ac:dyDescent="0.25"/>
    <row r="114832" s="12" customFormat="1" x14ac:dyDescent="0.25"/>
    <row r="114833" s="12" customFormat="1" x14ac:dyDescent="0.25"/>
    <row r="114834" s="12" customFormat="1" x14ac:dyDescent="0.25"/>
    <row r="114835" s="12" customFormat="1" x14ac:dyDescent="0.25"/>
    <row r="114836" s="12" customFormat="1" x14ac:dyDescent="0.25"/>
    <row r="114837" s="12" customFormat="1" x14ac:dyDescent="0.25"/>
    <row r="114838" s="12" customFormat="1" x14ac:dyDescent="0.25"/>
    <row r="114839" s="12" customFormat="1" x14ac:dyDescent="0.25"/>
    <row r="114840" s="12" customFormat="1" x14ac:dyDescent="0.25"/>
    <row r="114841" s="12" customFormat="1" x14ac:dyDescent="0.25"/>
    <row r="114842" s="12" customFormat="1" x14ac:dyDescent="0.25"/>
    <row r="114843" s="12" customFormat="1" x14ac:dyDescent="0.25"/>
    <row r="114844" s="12" customFormat="1" x14ac:dyDescent="0.25"/>
    <row r="114845" s="12" customFormat="1" x14ac:dyDescent="0.25"/>
    <row r="114846" s="12" customFormat="1" x14ac:dyDescent="0.25"/>
    <row r="114847" s="12" customFormat="1" x14ac:dyDescent="0.25"/>
    <row r="114848" s="12" customFormat="1" x14ac:dyDescent="0.25"/>
    <row r="114849" s="12" customFormat="1" x14ac:dyDescent="0.25"/>
    <row r="114850" s="12" customFormat="1" x14ac:dyDescent="0.25"/>
    <row r="114851" s="12" customFormat="1" x14ac:dyDescent="0.25"/>
    <row r="114852" s="12" customFormat="1" x14ac:dyDescent="0.25"/>
    <row r="114853" s="12" customFormat="1" x14ac:dyDescent="0.25"/>
    <row r="114854" s="12" customFormat="1" x14ac:dyDescent="0.25"/>
    <row r="114855" s="12" customFormat="1" x14ac:dyDescent="0.25"/>
    <row r="114856" s="12" customFormat="1" x14ac:dyDescent="0.25"/>
    <row r="114857" s="12" customFormat="1" x14ac:dyDescent="0.25"/>
    <row r="114858" s="12" customFormat="1" x14ac:dyDescent="0.25"/>
    <row r="114859" s="12" customFormat="1" x14ac:dyDescent="0.25"/>
    <row r="114860" s="12" customFormat="1" x14ac:dyDescent="0.25"/>
    <row r="114861" s="12" customFormat="1" x14ac:dyDescent="0.25"/>
    <row r="114862" s="12" customFormat="1" x14ac:dyDescent="0.25"/>
    <row r="114863" s="12" customFormat="1" x14ac:dyDescent="0.25"/>
    <row r="114864" s="12" customFormat="1" x14ac:dyDescent="0.25"/>
    <row r="114865" s="12" customFormat="1" x14ac:dyDescent="0.25"/>
    <row r="114866" s="12" customFormat="1" x14ac:dyDescent="0.25"/>
    <row r="114867" s="12" customFormat="1" x14ac:dyDescent="0.25"/>
    <row r="114868" s="12" customFormat="1" x14ac:dyDescent="0.25"/>
    <row r="114869" s="12" customFormat="1" x14ac:dyDescent="0.25"/>
    <row r="114870" s="12" customFormat="1" x14ac:dyDescent="0.25"/>
    <row r="114871" s="12" customFormat="1" x14ac:dyDescent="0.25"/>
    <row r="114872" s="12" customFormat="1" x14ac:dyDescent="0.25"/>
    <row r="114873" s="12" customFormat="1" x14ac:dyDescent="0.25"/>
    <row r="114874" s="12" customFormat="1" x14ac:dyDescent="0.25"/>
    <row r="114875" s="12" customFormat="1" x14ac:dyDescent="0.25"/>
    <row r="114876" s="12" customFormat="1" x14ac:dyDescent="0.25"/>
    <row r="114877" s="12" customFormat="1" x14ac:dyDescent="0.25"/>
    <row r="114878" s="12" customFormat="1" x14ac:dyDescent="0.25"/>
    <row r="114879" s="12" customFormat="1" x14ac:dyDescent="0.25"/>
    <row r="114880" s="12" customFormat="1" x14ac:dyDescent="0.25"/>
    <row r="114881" s="12" customFormat="1" x14ac:dyDescent="0.25"/>
    <row r="114882" s="12" customFormat="1" x14ac:dyDescent="0.25"/>
    <row r="114883" s="12" customFormat="1" x14ac:dyDescent="0.25"/>
    <row r="114884" s="12" customFormat="1" x14ac:dyDescent="0.25"/>
    <row r="114885" s="12" customFormat="1" x14ac:dyDescent="0.25"/>
    <row r="114886" s="12" customFormat="1" x14ac:dyDescent="0.25"/>
    <row r="114887" s="12" customFormat="1" x14ac:dyDescent="0.25"/>
    <row r="114888" s="12" customFormat="1" x14ac:dyDescent="0.25"/>
    <row r="114889" s="12" customFormat="1" x14ac:dyDescent="0.25"/>
    <row r="114890" s="12" customFormat="1" x14ac:dyDescent="0.25"/>
    <row r="114891" s="12" customFormat="1" x14ac:dyDescent="0.25"/>
    <row r="114892" s="12" customFormat="1" x14ac:dyDescent="0.25"/>
    <row r="114893" s="12" customFormat="1" x14ac:dyDescent="0.25"/>
    <row r="114894" s="12" customFormat="1" x14ac:dyDescent="0.25"/>
    <row r="114895" s="12" customFormat="1" x14ac:dyDescent="0.25"/>
    <row r="114896" s="12" customFormat="1" x14ac:dyDescent="0.25"/>
    <row r="114897" s="12" customFormat="1" x14ac:dyDescent="0.25"/>
    <row r="114898" s="12" customFormat="1" x14ac:dyDescent="0.25"/>
    <row r="114899" s="12" customFormat="1" x14ac:dyDescent="0.25"/>
    <row r="114900" s="12" customFormat="1" x14ac:dyDescent="0.25"/>
    <row r="114901" s="12" customFormat="1" x14ac:dyDescent="0.25"/>
    <row r="114902" s="12" customFormat="1" x14ac:dyDescent="0.25"/>
    <row r="114903" s="12" customFormat="1" x14ac:dyDescent="0.25"/>
    <row r="114904" s="12" customFormat="1" x14ac:dyDescent="0.25"/>
    <row r="114905" s="12" customFormat="1" x14ac:dyDescent="0.25"/>
    <row r="114906" s="12" customFormat="1" x14ac:dyDescent="0.25"/>
    <row r="114907" s="12" customFormat="1" x14ac:dyDescent="0.25"/>
    <row r="114908" s="12" customFormat="1" x14ac:dyDescent="0.25"/>
    <row r="114909" s="12" customFormat="1" x14ac:dyDescent="0.25"/>
    <row r="114910" s="12" customFormat="1" x14ac:dyDescent="0.25"/>
    <row r="114911" s="12" customFormat="1" x14ac:dyDescent="0.25"/>
    <row r="114912" s="12" customFormat="1" x14ac:dyDescent="0.25"/>
    <row r="114913" s="12" customFormat="1" x14ac:dyDescent="0.25"/>
    <row r="114914" s="12" customFormat="1" x14ac:dyDescent="0.25"/>
    <row r="114915" s="12" customFormat="1" x14ac:dyDescent="0.25"/>
    <row r="114916" s="12" customFormat="1" x14ac:dyDescent="0.25"/>
    <row r="114917" s="12" customFormat="1" x14ac:dyDescent="0.25"/>
    <row r="114918" s="12" customFormat="1" x14ac:dyDescent="0.25"/>
    <row r="114919" s="12" customFormat="1" x14ac:dyDescent="0.25"/>
    <row r="114920" s="12" customFormat="1" x14ac:dyDescent="0.25"/>
    <row r="114921" s="12" customFormat="1" x14ac:dyDescent="0.25"/>
    <row r="114922" s="12" customFormat="1" x14ac:dyDescent="0.25"/>
    <row r="114923" s="12" customFormat="1" x14ac:dyDescent="0.25"/>
    <row r="114924" s="12" customFormat="1" x14ac:dyDescent="0.25"/>
    <row r="114925" s="12" customFormat="1" x14ac:dyDescent="0.25"/>
    <row r="114926" s="12" customFormat="1" x14ac:dyDescent="0.25"/>
    <row r="114927" s="12" customFormat="1" x14ac:dyDescent="0.25"/>
    <row r="114928" s="12" customFormat="1" x14ac:dyDescent="0.25"/>
    <row r="114929" s="12" customFormat="1" x14ac:dyDescent="0.25"/>
    <row r="114930" s="12" customFormat="1" x14ac:dyDescent="0.25"/>
    <row r="114931" s="12" customFormat="1" x14ac:dyDescent="0.25"/>
    <row r="114932" s="12" customFormat="1" x14ac:dyDescent="0.25"/>
    <row r="114933" s="12" customFormat="1" x14ac:dyDescent="0.25"/>
    <row r="114934" s="12" customFormat="1" x14ac:dyDescent="0.25"/>
    <row r="114935" s="12" customFormat="1" x14ac:dyDescent="0.25"/>
    <row r="114936" s="12" customFormat="1" x14ac:dyDescent="0.25"/>
    <row r="114937" s="12" customFormat="1" x14ac:dyDescent="0.25"/>
    <row r="114938" s="12" customFormat="1" x14ac:dyDescent="0.25"/>
    <row r="114939" s="12" customFormat="1" x14ac:dyDescent="0.25"/>
    <row r="114940" s="12" customFormat="1" x14ac:dyDescent="0.25"/>
    <row r="114941" s="12" customFormat="1" x14ac:dyDescent="0.25"/>
    <row r="114942" s="12" customFormat="1" x14ac:dyDescent="0.25"/>
    <row r="114943" s="12" customFormat="1" x14ac:dyDescent="0.25"/>
    <row r="114944" s="12" customFormat="1" x14ac:dyDescent="0.25"/>
    <row r="114945" s="12" customFormat="1" x14ac:dyDescent="0.25"/>
    <row r="114946" s="12" customFormat="1" x14ac:dyDescent="0.25"/>
    <row r="114947" s="12" customFormat="1" x14ac:dyDescent="0.25"/>
    <row r="114948" s="12" customFormat="1" x14ac:dyDescent="0.25"/>
    <row r="114949" s="12" customFormat="1" x14ac:dyDescent="0.25"/>
    <row r="114950" s="12" customFormat="1" x14ac:dyDescent="0.25"/>
    <row r="114951" s="12" customFormat="1" x14ac:dyDescent="0.25"/>
    <row r="114952" s="12" customFormat="1" x14ac:dyDescent="0.25"/>
    <row r="114953" s="12" customFormat="1" x14ac:dyDescent="0.25"/>
    <row r="114954" s="12" customFormat="1" x14ac:dyDescent="0.25"/>
    <row r="114955" s="12" customFormat="1" x14ac:dyDescent="0.25"/>
    <row r="114956" s="12" customFormat="1" x14ac:dyDescent="0.25"/>
    <row r="114957" s="12" customFormat="1" x14ac:dyDescent="0.25"/>
    <row r="114958" s="12" customFormat="1" x14ac:dyDescent="0.25"/>
    <row r="114959" s="12" customFormat="1" x14ac:dyDescent="0.25"/>
    <row r="114960" s="12" customFormat="1" x14ac:dyDescent="0.25"/>
    <row r="114961" s="12" customFormat="1" x14ac:dyDescent="0.25"/>
    <row r="114962" s="12" customFormat="1" x14ac:dyDescent="0.25"/>
    <row r="114963" s="12" customFormat="1" x14ac:dyDescent="0.25"/>
    <row r="114964" s="12" customFormat="1" x14ac:dyDescent="0.25"/>
    <row r="114965" s="12" customFormat="1" x14ac:dyDescent="0.25"/>
    <row r="114966" s="12" customFormat="1" x14ac:dyDescent="0.25"/>
    <row r="114967" s="12" customFormat="1" x14ac:dyDescent="0.25"/>
    <row r="114968" s="12" customFormat="1" x14ac:dyDescent="0.25"/>
    <row r="114969" s="12" customFormat="1" x14ac:dyDescent="0.25"/>
    <row r="114970" s="12" customFormat="1" x14ac:dyDescent="0.25"/>
    <row r="114971" s="12" customFormat="1" x14ac:dyDescent="0.25"/>
    <row r="114972" s="12" customFormat="1" x14ac:dyDescent="0.25"/>
    <row r="114973" s="12" customFormat="1" x14ac:dyDescent="0.25"/>
    <row r="114974" s="12" customFormat="1" x14ac:dyDescent="0.25"/>
    <row r="114975" s="12" customFormat="1" x14ac:dyDescent="0.25"/>
    <row r="114976" s="12" customFormat="1" x14ac:dyDescent="0.25"/>
    <row r="114977" s="12" customFormat="1" x14ac:dyDescent="0.25"/>
    <row r="114978" s="12" customFormat="1" x14ac:dyDescent="0.25"/>
    <row r="114979" s="12" customFormat="1" x14ac:dyDescent="0.25"/>
    <row r="114980" s="12" customFormat="1" x14ac:dyDescent="0.25"/>
    <row r="114981" s="12" customFormat="1" x14ac:dyDescent="0.25"/>
    <row r="114982" s="12" customFormat="1" x14ac:dyDescent="0.25"/>
    <row r="114983" s="12" customFormat="1" x14ac:dyDescent="0.25"/>
    <row r="114984" s="12" customFormat="1" x14ac:dyDescent="0.25"/>
    <row r="114985" s="12" customFormat="1" x14ac:dyDescent="0.25"/>
    <row r="114986" s="12" customFormat="1" x14ac:dyDescent="0.25"/>
    <row r="114987" s="12" customFormat="1" x14ac:dyDescent="0.25"/>
    <row r="114988" s="12" customFormat="1" x14ac:dyDescent="0.25"/>
    <row r="114989" s="12" customFormat="1" x14ac:dyDescent="0.25"/>
    <row r="114990" s="12" customFormat="1" x14ac:dyDescent="0.25"/>
    <row r="114991" s="12" customFormat="1" x14ac:dyDescent="0.25"/>
    <row r="114992" s="12" customFormat="1" x14ac:dyDescent="0.25"/>
    <row r="114993" s="12" customFormat="1" x14ac:dyDescent="0.25"/>
    <row r="114994" s="12" customFormat="1" x14ac:dyDescent="0.25"/>
    <row r="114995" s="12" customFormat="1" x14ac:dyDescent="0.25"/>
    <row r="114996" s="12" customFormat="1" x14ac:dyDescent="0.25"/>
    <row r="114997" s="12" customFormat="1" x14ac:dyDescent="0.25"/>
    <row r="114998" s="12" customFormat="1" x14ac:dyDescent="0.25"/>
    <row r="114999" s="12" customFormat="1" x14ac:dyDescent="0.25"/>
    <row r="115000" s="12" customFormat="1" x14ac:dyDescent="0.25"/>
    <row r="115001" s="12" customFormat="1" x14ac:dyDescent="0.25"/>
    <row r="115002" s="12" customFormat="1" x14ac:dyDescent="0.25"/>
    <row r="115003" s="12" customFormat="1" x14ac:dyDescent="0.25"/>
    <row r="115004" s="12" customFormat="1" x14ac:dyDescent="0.25"/>
    <row r="115005" s="12" customFormat="1" x14ac:dyDescent="0.25"/>
    <row r="115006" s="12" customFormat="1" x14ac:dyDescent="0.25"/>
    <row r="115007" s="12" customFormat="1" x14ac:dyDescent="0.25"/>
    <row r="115008" s="12" customFormat="1" x14ac:dyDescent="0.25"/>
    <row r="115009" s="12" customFormat="1" x14ac:dyDescent="0.25"/>
    <row r="115010" s="12" customFormat="1" x14ac:dyDescent="0.25"/>
    <row r="115011" s="12" customFormat="1" x14ac:dyDescent="0.25"/>
    <row r="115012" s="12" customFormat="1" x14ac:dyDescent="0.25"/>
    <row r="115013" s="12" customFormat="1" x14ac:dyDescent="0.25"/>
    <row r="115014" s="12" customFormat="1" x14ac:dyDescent="0.25"/>
    <row r="115015" s="12" customFormat="1" x14ac:dyDescent="0.25"/>
    <row r="115016" s="12" customFormat="1" x14ac:dyDescent="0.25"/>
    <row r="115017" s="12" customFormat="1" x14ac:dyDescent="0.25"/>
    <row r="115018" s="12" customFormat="1" x14ac:dyDescent="0.25"/>
    <row r="115019" s="12" customFormat="1" x14ac:dyDescent="0.25"/>
    <row r="115020" s="12" customFormat="1" x14ac:dyDescent="0.25"/>
    <row r="115021" s="12" customFormat="1" x14ac:dyDescent="0.25"/>
    <row r="115022" s="12" customFormat="1" x14ac:dyDescent="0.25"/>
    <row r="115023" s="12" customFormat="1" x14ac:dyDescent="0.25"/>
    <row r="115024" s="12" customFormat="1" x14ac:dyDescent="0.25"/>
    <row r="115025" s="12" customFormat="1" x14ac:dyDescent="0.25"/>
    <row r="115026" s="12" customFormat="1" x14ac:dyDescent="0.25"/>
    <row r="115027" s="12" customFormat="1" x14ac:dyDescent="0.25"/>
    <row r="115028" s="12" customFormat="1" x14ac:dyDescent="0.25"/>
    <row r="115029" s="12" customFormat="1" x14ac:dyDescent="0.25"/>
    <row r="115030" s="12" customFormat="1" x14ac:dyDescent="0.25"/>
    <row r="115031" s="12" customFormat="1" x14ac:dyDescent="0.25"/>
    <row r="115032" s="12" customFormat="1" x14ac:dyDescent="0.25"/>
    <row r="115033" s="12" customFormat="1" x14ac:dyDescent="0.25"/>
    <row r="115034" s="12" customFormat="1" x14ac:dyDescent="0.25"/>
    <row r="115035" s="12" customFormat="1" x14ac:dyDescent="0.25"/>
    <row r="115036" s="12" customFormat="1" x14ac:dyDescent="0.25"/>
    <row r="115037" s="12" customFormat="1" x14ac:dyDescent="0.25"/>
    <row r="115038" s="12" customFormat="1" x14ac:dyDescent="0.25"/>
    <row r="115039" s="12" customFormat="1" x14ac:dyDescent="0.25"/>
    <row r="115040" s="12" customFormat="1" x14ac:dyDescent="0.25"/>
    <row r="115041" s="12" customFormat="1" x14ac:dyDescent="0.25"/>
    <row r="115042" s="12" customFormat="1" x14ac:dyDescent="0.25"/>
    <row r="115043" s="12" customFormat="1" x14ac:dyDescent="0.25"/>
    <row r="115044" s="12" customFormat="1" x14ac:dyDescent="0.25"/>
    <row r="115045" s="12" customFormat="1" x14ac:dyDescent="0.25"/>
    <row r="115046" s="12" customFormat="1" x14ac:dyDescent="0.25"/>
    <row r="115047" s="12" customFormat="1" x14ac:dyDescent="0.25"/>
    <row r="115048" s="12" customFormat="1" x14ac:dyDescent="0.25"/>
    <row r="115049" s="12" customFormat="1" x14ac:dyDescent="0.25"/>
    <row r="115050" s="12" customFormat="1" x14ac:dyDescent="0.25"/>
    <row r="115051" s="12" customFormat="1" x14ac:dyDescent="0.25"/>
    <row r="115052" s="12" customFormat="1" x14ac:dyDescent="0.25"/>
    <row r="115053" s="12" customFormat="1" x14ac:dyDescent="0.25"/>
    <row r="115054" s="12" customFormat="1" x14ac:dyDescent="0.25"/>
    <row r="115055" s="12" customFormat="1" x14ac:dyDescent="0.25"/>
    <row r="115056" s="12" customFormat="1" x14ac:dyDescent="0.25"/>
    <row r="115057" s="12" customFormat="1" x14ac:dyDescent="0.25"/>
    <row r="115058" s="12" customFormat="1" x14ac:dyDescent="0.25"/>
    <row r="115059" s="12" customFormat="1" x14ac:dyDescent="0.25"/>
    <row r="115060" s="12" customFormat="1" x14ac:dyDescent="0.25"/>
    <row r="115061" s="12" customFormat="1" x14ac:dyDescent="0.25"/>
    <row r="115062" s="12" customFormat="1" x14ac:dyDescent="0.25"/>
    <row r="115063" s="12" customFormat="1" x14ac:dyDescent="0.25"/>
    <row r="115064" s="12" customFormat="1" x14ac:dyDescent="0.25"/>
    <row r="115065" s="12" customFormat="1" x14ac:dyDescent="0.25"/>
    <row r="115066" s="12" customFormat="1" x14ac:dyDescent="0.25"/>
    <row r="115067" s="12" customFormat="1" x14ac:dyDescent="0.25"/>
    <row r="115068" s="12" customFormat="1" x14ac:dyDescent="0.25"/>
    <row r="115069" s="12" customFormat="1" x14ac:dyDescent="0.25"/>
    <row r="115070" s="12" customFormat="1" x14ac:dyDescent="0.25"/>
    <row r="115071" s="12" customFormat="1" x14ac:dyDescent="0.25"/>
    <row r="115072" s="12" customFormat="1" x14ac:dyDescent="0.25"/>
    <row r="115073" s="12" customFormat="1" x14ac:dyDescent="0.25"/>
    <row r="115074" s="12" customFormat="1" x14ac:dyDescent="0.25"/>
    <row r="115075" s="12" customFormat="1" x14ac:dyDescent="0.25"/>
    <row r="115076" s="12" customFormat="1" x14ac:dyDescent="0.25"/>
    <row r="115077" s="12" customFormat="1" x14ac:dyDescent="0.25"/>
    <row r="115078" s="12" customFormat="1" x14ac:dyDescent="0.25"/>
    <row r="115079" s="12" customFormat="1" x14ac:dyDescent="0.25"/>
    <row r="115080" s="12" customFormat="1" x14ac:dyDescent="0.25"/>
    <row r="115081" s="12" customFormat="1" x14ac:dyDescent="0.25"/>
    <row r="115082" s="12" customFormat="1" x14ac:dyDescent="0.25"/>
    <row r="115083" s="12" customFormat="1" x14ac:dyDescent="0.25"/>
    <row r="115084" s="12" customFormat="1" x14ac:dyDescent="0.25"/>
    <row r="115085" s="12" customFormat="1" x14ac:dyDescent="0.25"/>
    <row r="115086" s="12" customFormat="1" x14ac:dyDescent="0.25"/>
    <row r="115087" s="12" customFormat="1" x14ac:dyDescent="0.25"/>
    <row r="115088" s="12" customFormat="1" x14ac:dyDescent="0.25"/>
    <row r="115089" s="12" customFormat="1" x14ac:dyDescent="0.25"/>
    <row r="115090" s="12" customFormat="1" x14ac:dyDescent="0.25"/>
    <row r="115091" s="12" customFormat="1" x14ac:dyDescent="0.25"/>
    <row r="115092" s="12" customFormat="1" x14ac:dyDescent="0.25"/>
    <row r="115093" s="12" customFormat="1" x14ac:dyDescent="0.25"/>
    <row r="115094" s="12" customFormat="1" x14ac:dyDescent="0.25"/>
    <row r="115095" s="12" customFormat="1" x14ac:dyDescent="0.25"/>
    <row r="115096" s="12" customFormat="1" x14ac:dyDescent="0.25"/>
    <row r="115097" s="12" customFormat="1" x14ac:dyDescent="0.25"/>
    <row r="115098" s="12" customFormat="1" x14ac:dyDescent="0.25"/>
    <row r="115099" s="12" customFormat="1" x14ac:dyDescent="0.25"/>
    <row r="115100" s="12" customFormat="1" x14ac:dyDescent="0.25"/>
    <row r="115101" s="12" customFormat="1" x14ac:dyDescent="0.25"/>
    <row r="115102" s="12" customFormat="1" x14ac:dyDescent="0.25"/>
    <row r="115103" s="12" customFormat="1" x14ac:dyDescent="0.25"/>
    <row r="115104" s="12" customFormat="1" x14ac:dyDescent="0.25"/>
    <row r="115105" s="12" customFormat="1" x14ac:dyDescent="0.25"/>
    <row r="115106" s="12" customFormat="1" x14ac:dyDescent="0.25"/>
    <row r="115107" s="12" customFormat="1" x14ac:dyDescent="0.25"/>
    <row r="115108" s="12" customFormat="1" x14ac:dyDescent="0.25"/>
    <row r="115109" s="12" customFormat="1" x14ac:dyDescent="0.25"/>
    <row r="115110" s="12" customFormat="1" x14ac:dyDescent="0.25"/>
    <row r="115111" s="12" customFormat="1" x14ac:dyDescent="0.25"/>
    <row r="115112" s="12" customFormat="1" x14ac:dyDescent="0.25"/>
    <row r="115113" s="12" customFormat="1" x14ac:dyDescent="0.25"/>
    <row r="115114" s="12" customFormat="1" x14ac:dyDescent="0.25"/>
    <row r="115115" s="12" customFormat="1" x14ac:dyDescent="0.25"/>
    <row r="115116" s="12" customFormat="1" x14ac:dyDescent="0.25"/>
    <row r="115117" s="12" customFormat="1" x14ac:dyDescent="0.25"/>
    <row r="115118" s="12" customFormat="1" x14ac:dyDescent="0.25"/>
    <row r="115119" s="12" customFormat="1" x14ac:dyDescent="0.25"/>
    <row r="115120" s="12" customFormat="1" x14ac:dyDescent="0.25"/>
    <row r="115121" s="12" customFormat="1" x14ac:dyDescent="0.25"/>
    <row r="115122" s="12" customFormat="1" x14ac:dyDescent="0.25"/>
    <row r="115123" s="12" customFormat="1" x14ac:dyDescent="0.25"/>
    <row r="115124" s="12" customFormat="1" x14ac:dyDescent="0.25"/>
    <row r="115125" s="12" customFormat="1" x14ac:dyDescent="0.25"/>
    <row r="115126" s="12" customFormat="1" x14ac:dyDescent="0.25"/>
    <row r="115127" s="12" customFormat="1" x14ac:dyDescent="0.25"/>
    <row r="115128" s="12" customFormat="1" x14ac:dyDescent="0.25"/>
    <row r="115129" s="12" customFormat="1" x14ac:dyDescent="0.25"/>
    <row r="115130" s="12" customFormat="1" x14ac:dyDescent="0.25"/>
    <row r="115131" s="12" customFormat="1" x14ac:dyDescent="0.25"/>
    <row r="115132" s="12" customFormat="1" x14ac:dyDescent="0.25"/>
    <row r="115133" s="12" customFormat="1" x14ac:dyDescent="0.25"/>
    <row r="115134" s="12" customFormat="1" x14ac:dyDescent="0.25"/>
    <row r="115135" s="12" customFormat="1" x14ac:dyDescent="0.25"/>
    <row r="115136" s="12" customFormat="1" x14ac:dyDescent="0.25"/>
    <row r="115137" s="12" customFormat="1" x14ac:dyDescent="0.25"/>
    <row r="115138" s="12" customFormat="1" x14ac:dyDescent="0.25"/>
    <row r="115139" s="12" customFormat="1" x14ac:dyDescent="0.25"/>
    <row r="115140" s="12" customFormat="1" x14ac:dyDescent="0.25"/>
    <row r="115141" s="12" customFormat="1" x14ac:dyDescent="0.25"/>
    <row r="115142" s="12" customFormat="1" x14ac:dyDescent="0.25"/>
    <row r="115143" s="12" customFormat="1" x14ac:dyDescent="0.25"/>
    <row r="115144" s="12" customFormat="1" x14ac:dyDescent="0.25"/>
    <row r="115145" s="12" customFormat="1" x14ac:dyDescent="0.25"/>
    <row r="115146" s="12" customFormat="1" x14ac:dyDescent="0.25"/>
    <row r="115147" s="12" customFormat="1" x14ac:dyDescent="0.25"/>
    <row r="115148" s="12" customFormat="1" x14ac:dyDescent="0.25"/>
    <row r="115149" s="12" customFormat="1" x14ac:dyDescent="0.25"/>
    <row r="115150" s="12" customFormat="1" x14ac:dyDescent="0.25"/>
    <row r="115151" s="12" customFormat="1" x14ac:dyDescent="0.25"/>
    <row r="115152" s="12" customFormat="1" x14ac:dyDescent="0.25"/>
    <row r="115153" s="12" customFormat="1" x14ac:dyDescent="0.25"/>
    <row r="115154" s="12" customFormat="1" x14ac:dyDescent="0.25"/>
    <row r="115155" s="12" customFormat="1" x14ac:dyDescent="0.25"/>
    <row r="115156" s="12" customFormat="1" x14ac:dyDescent="0.25"/>
    <row r="115157" s="12" customFormat="1" x14ac:dyDescent="0.25"/>
    <row r="115158" s="12" customFormat="1" x14ac:dyDescent="0.25"/>
    <row r="115159" s="12" customFormat="1" x14ac:dyDescent="0.25"/>
    <row r="115160" s="12" customFormat="1" x14ac:dyDescent="0.25"/>
    <row r="115161" s="12" customFormat="1" x14ac:dyDescent="0.25"/>
    <row r="115162" s="12" customFormat="1" x14ac:dyDescent="0.25"/>
    <row r="115163" s="12" customFormat="1" x14ac:dyDescent="0.25"/>
    <row r="115164" s="12" customFormat="1" x14ac:dyDescent="0.25"/>
    <row r="115165" s="12" customFormat="1" x14ac:dyDescent="0.25"/>
    <row r="115166" s="12" customFormat="1" x14ac:dyDescent="0.25"/>
    <row r="115167" s="12" customFormat="1" x14ac:dyDescent="0.25"/>
    <row r="115168" s="12" customFormat="1" x14ac:dyDescent="0.25"/>
    <row r="115169" s="12" customFormat="1" x14ac:dyDescent="0.25"/>
    <row r="115170" s="12" customFormat="1" x14ac:dyDescent="0.25"/>
    <row r="115171" s="12" customFormat="1" x14ac:dyDescent="0.25"/>
    <row r="115172" s="12" customFormat="1" x14ac:dyDescent="0.25"/>
    <row r="115173" s="12" customFormat="1" x14ac:dyDescent="0.25"/>
    <row r="115174" s="12" customFormat="1" x14ac:dyDescent="0.25"/>
    <row r="115175" s="12" customFormat="1" x14ac:dyDescent="0.25"/>
    <row r="115176" s="12" customFormat="1" x14ac:dyDescent="0.25"/>
    <row r="115177" s="12" customFormat="1" x14ac:dyDescent="0.25"/>
    <row r="115178" s="12" customFormat="1" x14ac:dyDescent="0.25"/>
    <row r="115179" s="12" customFormat="1" x14ac:dyDescent="0.25"/>
    <row r="115180" s="12" customFormat="1" x14ac:dyDescent="0.25"/>
    <row r="115181" s="12" customFormat="1" x14ac:dyDescent="0.25"/>
    <row r="115182" s="12" customFormat="1" x14ac:dyDescent="0.25"/>
    <row r="115183" s="12" customFormat="1" x14ac:dyDescent="0.25"/>
    <row r="115184" s="12" customFormat="1" x14ac:dyDescent="0.25"/>
    <row r="115185" s="12" customFormat="1" x14ac:dyDescent="0.25"/>
    <row r="115186" s="12" customFormat="1" x14ac:dyDescent="0.25"/>
    <row r="115187" s="12" customFormat="1" x14ac:dyDescent="0.25"/>
    <row r="115188" s="12" customFormat="1" x14ac:dyDescent="0.25"/>
    <row r="115189" s="12" customFormat="1" x14ac:dyDescent="0.25"/>
    <row r="115190" s="12" customFormat="1" x14ac:dyDescent="0.25"/>
    <row r="115191" s="12" customFormat="1" x14ac:dyDescent="0.25"/>
    <row r="115192" s="12" customFormat="1" x14ac:dyDescent="0.25"/>
    <row r="115193" s="12" customFormat="1" x14ac:dyDescent="0.25"/>
    <row r="115194" s="12" customFormat="1" x14ac:dyDescent="0.25"/>
    <row r="115195" s="12" customFormat="1" x14ac:dyDescent="0.25"/>
    <row r="115196" s="12" customFormat="1" x14ac:dyDescent="0.25"/>
    <row r="115197" s="12" customFormat="1" x14ac:dyDescent="0.25"/>
    <row r="115198" s="12" customFormat="1" x14ac:dyDescent="0.25"/>
    <row r="115199" s="12" customFormat="1" x14ac:dyDescent="0.25"/>
    <row r="115200" s="12" customFormat="1" x14ac:dyDescent="0.25"/>
    <row r="115201" s="12" customFormat="1" x14ac:dyDescent="0.25"/>
    <row r="115202" s="12" customFormat="1" x14ac:dyDescent="0.25"/>
    <row r="115203" s="12" customFormat="1" x14ac:dyDescent="0.25"/>
    <row r="115204" s="12" customFormat="1" x14ac:dyDescent="0.25"/>
    <row r="115205" s="12" customFormat="1" x14ac:dyDescent="0.25"/>
    <row r="115206" s="12" customFormat="1" x14ac:dyDescent="0.25"/>
    <row r="115207" s="12" customFormat="1" x14ac:dyDescent="0.25"/>
    <row r="115208" s="12" customFormat="1" x14ac:dyDescent="0.25"/>
    <row r="115209" s="12" customFormat="1" x14ac:dyDescent="0.25"/>
    <row r="115210" s="12" customFormat="1" x14ac:dyDescent="0.25"/>
    <row r="115211" s="12" customFormat="1" x14ac:dyDescent="0.25"/>
    <row r="115212" s="12" customFormat="1" x14ac:dyDescent="0.25"/>
    <row r="115213" s="12" customFormat="1" x14ac:dyDescent="0.25"/>
    <row r="115214" s="12" customFormat="1" x14ac:dyDescent="0.25"/>
    <row r="115215" s="12" customFormat="1" x14ac:dyDescent="0.25"/>
    <row r="115216" s="12" customFormat="1" x14ac:dyDescent="0.25"/>
    <row r="115217" s="12" customFormat="1" x14ac:dyDescent="0.25"/>
    <row r="115218" s="12" customFormat="1" x14ac:dyDescent="0.25"/>
    <row r="115219" s="12" customFormat="1" x14ac:dyDescent="0.25"/>
    <row r="115220" s="12" customFormat="1" x14ac:dyDescent="0.25"/>
    <row r="115221" s="12" customFormat="1" x14ac:dyDescent="0.25"/>
    <row r="115222" s="12" customFormat="1" x14ac:dyDescent="0.25"/>
    <row r="115223" s="12" customFormat="1" x14ac:dyDescent="0.25"/>
    <row r="115224" s="12" customFormat="1" x14ac:dyDescent="0.25"/>
    <row r="115225" s="12" customFormat="1" x14ac:dyDescent="0.25"/>
    <row r="115226" s="12" customFormat="1" x14ac:dyDescent="0.25"/>
    <row r="115227" s="12" customFormat="1" x14ac:dyDescent="0.25"/>
    <row r="115228" s="12" customFormat="1" x14ac:dyDescent="0.25"/>
    <row r="115229" s="12" customFormat="1" x14ac:dyDescent="0.25"/>
    <row r="115230" s="12" customFormat="1" x14ac:dyDescent="0.25"/>
    <row r="115231" s="12" customFormat="1" x14ac:dyDescent="0.25"/>
    <row r="115232" s="12" customFormat="1" x14ac:dyDescent="0.25"/>
    <row r="115233" s="12" customFormat="1" x14ac:dyDescent="0.25"/>
    <row r="115234" s="12" customFormat="1" x14ac:dyDescent="0.25"/>
    <row r="115235" s="12" customFormat="1" x14ac:dyDescent="0.25"/>
    <row r="115236" s="12" customFormat="1" x14ac:dyDescent="0.25"/>
    <row r="115237" s="12" customFormat="1" x14ac:dyDescent="0.25"/>
    <row r="115238" s="12" customFormat="1" x14ac:dyDescent="0.25"/>
    <row r="115239" s="12" customFormat="1" x14ac:dyDescent="0.25"/>
    <row r="115240" s="12" customFormat="1" x14ac:dyDescent="0.25"/>
    <row r="115241" s="12" customFormat="1" x14ac:dyDescent="0.25"/>
    <row r="115242" s="12" customFormat="1" x14ac:dyDescent="0.25"/>
    <row r="115243" s="12" customFormat="1" x14ac:dyDescent="0.25"/>
    <row r="115244" s="12" customFormat="1" x14ac:dyDescent="0.25"/>
    <row r="115245" s="12" customFormat="1" x14ac:dyDescent="0.25"/>
    <row r="115246" s="12" customFormat="1" x14ac:dyDescent="0.25"/>
    <row r="115247" s="12" customFormat="1" x14ac:dyDescent="0.25"/>
    <row r="115248" s="12" customFormat="1" x14ac:dyDescent="0.25"/>
    <row r="115249" s="12" customFormat="1" x14ac:dyDescent="0.25"/>
    <row r="115250" s="12" customFormat="1" x14ac:dyDescent="0.25"/>
    <row r="115251" s="12" customFormat="1" x14ac:dyDescent="0.25"/>
    <row r="115252" s="12" customFormat="1" x14ac:dyDescent="0.25"/>
    <row r="115253" s="12" customFormat="1" x14ac:dyDescent="0.25"/>
    <row r="115254" s="12" customFormat="1" x14ac:dyDescent="0.25"/>
    <row r="115255" s="12" customFormat="1" x14ac:dyDescent="0.25"/>
    <row r="115256" s="12" customFormat="1" x14ac:dyDescent="0.25"/>
    <row r="115257" s="12" customFormat="1" x14ac:dyDescent="0.25"/>
    <row r="115258" s="12" customFormat="1" x14ac:dyDescent="0.25"/>
    <row r="115259" s="12" customFormat="1" x14ac:dyDescent="0.25"/>
    <row r="115260" s="12" customFormat="1" x14ac:dyDescent="0.25"/>
    <row r="115261" s="12" customFormat="1" x14ac:dyDescent="0.25"/>
    <row r="115262" s="12" customFormat="1" x14ac:dyDescent="0.25"/>
    <row r="115263" s="12" customFormat="1" x14ac:dyDescent="0.25"/>
    <row r="115264" s="12" customFormat="1" x14ac:dyDescent="0.25"/>
    <row r="115265" s="12" customFormat="1" x14ac:dyDescent="0.25"/>
    <row r="115266" s="12" customFormat="1" x14ac:dyDescent="0.25"/>
    <row r="115267" s="12" customFormat="1" x14ac:dyDescent="0.25"/>
    <row r="115268" s="12" customFormat="1" x14ac:dyDescent="0.25"/>
    <row r="115269" s="12" customFormat="1" x14ac:dyDescent="0.25"/>
    <row r="115270" s="12" customFormat="1" x14ac:dyDescent="0.25"/>
    <row r="115271" s="12" customFormat="1" x14ac:dyDescent="0.25"/>
    <row r="115272" s="12" customFormat="1" x14ac:dyDescent="0.25"/>
    <row r="115273" s="12" customFormat="1" x14ac:dyDescent="0.25"/>
    <row r="115274" s="12" customFormat="1" x14ac:dyDescent="0.25"/>
    <row r="115275" s="12" customFormat="1" x14ac:dyDescent="0.25"/>
    <row r="115276" s="12" customFormat="1" x14ac:dyDescent="0.25"/>
    <row r="115277" s="12" customFormat="1" x14ac:dyDescent="0.25"/>
    <row r="115278" s="12" customFormat="1" x14ac:dyDescent="0.25"/>
    <row r="115279" s="12" customFormat="1" x14ac:dyDescent="0.25"/>
    <row r="115280" s="12" customFormat="1" x14ac:dyDescent="0.25"/>
    <row r="115281" s="12" customFormat="1" x14ac:dyDescent="0.25"/>
    <row r="115282" s="12" customFormat="1" x14ac:dyDescent="0.25"/>
    <row r="115283" s="12" customFormat="1" x14ac:dyDescent="0.25"/>
    <row r="115284" s="12" customFormat="1" x14ac:dyDescent="0.25"/>
    <row r="115285" s="12" customFormat="1" x14ac:dyDescent="0.25"/>
    <row r="115286" s="12" customFormat="1" x14ac:dyDescent="0.25"/>
    <row r="115287" s="12" customFormat="1" x14ac:dyDescent="0.25"/>
    <row r="115288" s="12" customFormat="1" x14ac:dyDescent="0.25"/>
    <row r="115289" s="12" customFormat="1" x14ac:dyDescent="0.25"/>
    <row r="115290" s="12" customFormat="1" x14ac:dyDescent="0.25"/>
    <row r="115291" s="12" customFormat="1" x14ac:dyDescent="0.25"/>
    <row r="115292" s="12" customFormat="1" x14ac:dyDescent="0.25"/>
    <row r="115293" s="12" customFormat="1" x14ac:dyDescent="0.25"/>
    <row r="115294" s="12" customFormat="1" x14ac:dyDescent="0.25"/>
    <row r="115295" s="12" customFormat="1" x14ac:dyDescent="0.25"/>
    <row r="115296" s="12" customFormat="1" x14ac:dyDescent="0.25"/>
    <row r="115297" s="12" customFormat="1" x14ac:dyDescent="0.25"/>
    <row r="115298" s="12" customFormat="1" x14ac:dyDescent="0.25"/>
    <row r="115299" s="12" customFormat="1" x14ac:dyDescent="0.25"/>
    <row r="115300" s="12" customFormat="1" x14ac:dyDescent="0.25"/>
    <row r="115301" s="12" customFormat="1" x14ac:dyDescent="0.25"/>
    <row r="115302" s="12" customFormat="1" x14ac:dyDescent="0.25"/>
    <row r="115303" s="12" customFormat="1" x14ac:dyDescent="0.25"/>
    <row r="115304" s="12" customFormat="1" x14ac:dyDescent="0.25"/>
    <row r="115305" s="12" customFormat="1" x14ac:dyDescent="0.25"/>
    <row r="115306" s="12" customFormat="1" x14ac:dyDescent="0.25"/>
    <row r="115307" s="12" customFormat="1" x14ac:dyDescent="0.25"/>
    <row r="115308" s="12" customFormat="1" x14ac:dyDescent="0.25"/>
    <row r="115309" s="12" customFormat="1" x14ac:dyDescent="0.25"/>
    <row r="115310" s="12" customFormat="1" x14ac:dyDescent="0.25"/>
    <row r="115311" s="12" customFormat="1" x14ac:dyDescent="0.25"/>
    <row r="115312" s="12" customFormat="1" x14ac:dyDescent="0.25"/>
    <row r="115313" s="12" customFormat="1" x14ac:dyDescent="0.25"/>
    <row r="115314" s="12" customFormat="1" x14ac:dyDescent="0.25"/>
    <row r="115315" s="12" customFormat="1" x14ac:dyDescent="0.25"/>
    <row r="115316" s="12" customFormat="1" x14ac:dyDescent="0.25"/>
    <row r="115317" s="12" customFormat="1" x14ac:dyDescent="0.25"/>
    <row r="115318" s="12" customFormat="1" x14ac:dyDescent="0.25"/>
    <row r="115319" s="12" customFormat="1" x14ac:dyDescent="0.25"/>
    <row r="115320" s="12" customFormat="1" x14ac:dyDescent="0.25"/>
    <row r="115321" s="12" customFormat="1" x14ac:dyDescent="0.25"/>
    <row r="115322" s="12" customFormat="1" x14ac:dyDescent="0.25"/>
    <row r="115323" s="12" customFormat="1" x14ac:dyDescent="0.25"/>
    <row r="115324" s="12" customFormat="1" x14ac:dyDescent="0.25"/>
    <row r="115325" s="12" customFormat="1" x14ac:dyDescent="0.25"/>
    <row r="115326" s="12" customFormat="1" x14ac:dyDescent="0.25"/>
    <row r="115327" s="12" customFormat="1" x14ac:dyDescent="0.25"/>
    <row r="115328" s="12" customFormat="1" x14ac:dyDescent="0.25"/>
    <row r="115329" s="12" customFormat="1" x14ac:dyDescent="0.25"/>
    <row r="115330" s="12" customFormat="1" x14ac:dyDescent="0.25"/>
    <row r="115331" s="12" customFormat="1" x14ac:dyDescent="0.25"/>
    <row r="115332" s="12" customFormat="1" x14ac:dyDescent="0.25"/>
    <row r="115333" s="12" customFormat="1" x14ac:dyDescent="0.25"/>
    <row r="115334" s="12" customFormat="1" x14ac:dyDescent="0.25"/>
    <row r="115335" s="12" customFormat="1" x14ac:dyDescent="0.25"/>
    <row r="115336" s="12" customFormat="1" x14ac:dyDescent="0.25"/>
    <row r="115337" s="12" customFormat="1" x14ac:dyDescent="0.25"/>
    <row r="115338" s="12" customFormat="1" x14ac:dyDescent="0.25"/>
    <row r="115339" s="12" customFormat="1" x14ac:dyDescent="0.25"/>
    <row r="115340" s="12" customFormat="1" x14ac:dyDescent="0.25"/>
    <row r="115341" s="12" customFormat="1" x14ac:dyDescent="0.25"/>
    <row r="115342" s="12" customFormat="1" x14ac:dyDescent="0.25"/>
    <row r="115343" s="12" customFormat="1" x14ac:dyDescent="0.25"/>
    <row r="115344" s="12" customFormat="1" x14ac:dyDescent="0.25"/>
    <row r="115345" s="12" customFormat="1" x14ac:dyDescent="0.25"/>
    <row r="115346" s="12" customFormat="1" x14ac:dyDescent="0.25"/>
    <row r="115347" s="12" customFormat="1" x14ac:dyDescent="0.25"/>
    <row r="115348" s="12" customFormat="1" x14ac:dyDescent="0.25"/>
    <row r="115349" s="12" customFormat="1" x14ac:dyDescent="0.25"/>
    <row r="115350" s="12" customFormat="1" x14ac:dyDescent="0.25"/>
    <row r="115351" s="12" customFormat="1" x14ac:dyDescent="0.25"/>
    <row r="115352" s="12" customFormat="1" x14ac:dyDescent="0.25"/>
    <row r="115353" s="12" customFormat="1" x14ac:dyDescent="0.25"/>
    <row r="115354" s="12" customFormat="1" x14ac:dyDescent="0.25"/>
    <row r="115355" s="12" customFormat="1" x14ac:dyDescent="0.25"/>
    <row r="115356" s="12" customFormat="1" x14ac:dyDescent="0.25"/>
    <row r="115357" s="12" customFormat="1" x14ac:dyDescent="0.25"/>
    <row r="115358" s="12" customFormat="1" x14ac:dyDescent="0.25"/>
    <row r="115359" s="12" customFormat="1" x14ac:dyDescent="0.25"/>
    <row r="115360" s="12" customFormat="1" x14ac:dyDescent="0.25"/>
    <row r="115361" s="12" customFormat="1" x14ac:dyDescent="0.25"/>
    <row r="115362" s="12" customFormat="1" x14ac:dyDescent="0.25"/>
    <row r="115363" s="12" customFormat="1" x14ac:dyDescent="0.25"/>
    <row r="115364" s="12" customFormat="1" x14ac:dyDescent="0.25"/>
    <row r="115365" s="12" customFormat="1" x14ac:dyDescent="0.25"/>
    <row r="115366" s="12" customFormat="1" x14ac:dyDescent="0.25"/>
    <row r="115367" s="12" customFormat="1" x14ac:dyDescent="0.25"/>
    <row r="115368" s="12" customFormat="1" x14ac:dyDescent="0.25"/>
    <row r="115369" s="12" customFormat="1" x14ac:dyDescent="0.25"/>
    <row r="115370" s="12" customFormat="1" x14ac:dyDescent="0.25"/>
    <row r="115371" s="12" customFormat="1" x14ac:dyDescent="0.25"/>
    <row r="115372" s="12" customFormat="1" x14ac:dyDescent="0.25"/>
    <row r="115373" s="12" customFormat="1" x14ac:dyDescent="0.25"/>
    <row r="115374" s="12" customFormat="1" x14ac:dyDescent="0.25"/>
    <row r="115375" s="12" customFormat="1" x14ac:dyDescent="0.25"/>
    <row r="115376" s="12" customFormat="1" x14ac:dyDescent="0.25"/>
    <row r="115377" s="12" customFormat="1" x14ac:dyDescent="0.25"/>
    <row r="115378" s="12" customFormat="1" x14ac:dyDescent="0.25"/>
    <row r="115379" s="12" customFormat="1" x14ac:dyDescent="0.25"/>
    <row r="115380" s="12" customFormat="1" x14ac:dyDescent="0.25"/>
    <row r="115381" s="12" customFormat="1" x14ac:dyDescent="0.25"/>
    <row r="115382" s="12" customFormat="1" x14ac:dyDescent="0.25"/>
    <row r="115383" s="12" customFormat="1" x14ac:dyDescent="0.25"/>
    <row r="115384" s="12" customFormat="1" x14ac:dyDescent="0.25"/>
    <row r="115385" s="12" customFormat="1" x14ac:dyDescent="0.25"/>
    <row r="115386" s="12" customFormat="1" x14ac:dyDescent="0.25"/>
    <row r="115387" s="12" customFormat="1" x14ac:dyDescent="0.25"/>
    <row r="115388" s="12" customFormat="1" x14ac:dyDescent="0.25"/>
    <row r="115389" s="12" customFormat="1" x14ac:dyDescent="0.25"/>
    <row r="115390" s="12" customFormat="1" x14ac:dyDescent="0.25"/>
    <row r="115391" s="12" customFormat="1" x14ac:dyDescent="0.25"/>
    <row r="115392" s="12" customFormat="1" x14ac:dyDescent="0.25"/>
    <row r="115393" s="12" customFormat="1" x14ac:dyDescent="0.25"/>
    <row r="115394" s="12" customFormat="1" x14ac:dyDescent="0.25"/>
    <row r="115395" s="12" customFormat="1" x14ac:dyDescent="0.25"/>
    <row r="115396" s="12" customFormat="1" x14ac:dyDescent="0.25"/>
    <row r="115397" s="12" customFormat="1" x14ac:dyDescent="0.25"/>
    <row r="115398" s="12" customFormat="1" x14ac:dyDescent="0.25"/>
    <row r="115399" s="12" customFormat="1" x14ac:dyDescent="0.25"/>
    <row r="115400" s="12" customFormat="1" x14ac:dyDescent="0.25"/>
    <row r="115401" s="12" customFormat="1" x14ac:dyDescent="0.25"/>
    <row r="115402" s="12" customFormat="1" x14ac:dyDescent="0.25"/>
    <row r="115403" s="12" customFormat="1" x14ac:dyDescent="0.25"/>
    <row r="115404" s="12" customFormat="1" x14ac:dyDescent="0.25"/>
    <row r="115405" s="12" customFormat="1" x14ac:dyDescent="0.25"/>
    <row r="115406" s="12" customFormat="1" x14ac:dyDescent="0.25"/>
    <row r="115407" s="12" customFormat="1" x14ac:dyDescent="0.25"/>
    <row r="115408" s="12" customFormat="1" x14ac:dyDescent="0.25"/>
    <row r="115409" s="12" customFormat="1" x14ac:dyDescent="0.25"/>
    <row r="115410" s="12" customFormat="1" x14ac:dyDescent="0.25"/>
    <row r="115411" s="12" customFormat="1" x14ac:dyDescent="0.25"/>
    <row r="115412" s="12" customFormat="1" x14ac:dyDescent="0.25"/>
    <row r="115413" s="12" customFormat="1" x14ac:dyDescent="0.25"/>
    <row r="115414" s="12" customFormat="1" x14ac:dyDescent="0.25"/>
    <row r="115415" s="12" customFormat="1" x14ac:dyDescent="0.25"/>
    <row r="115416" s="12" customFormat="1" x14ac:dyDescent="0.25"/>
    <row r="115417" s="12" customFormat="1" x14ac:dyDescent="0.25"/>
    <row r="115418" s="12" customFormat="1" x14ac:dyDescent="0.25"/>
    <row r="115419" s="12" customFormat="1" x14ac:dyDescent="0.25"/>
    <row r="115420" s="12" customFormat="1" x14ac:dyDescent="0.25"/>
    <row r="115421" s="12" customFormat="1" x14ac:dyDescent="0.25"/>
    <row r="115422" s="12" customFormat="1" x14ac:dyDescent="0.25"/>
    <row r="115423" s="12" customFormat="1" x14ac:dyDescent="0.25"/>
    <row r="115424" s="12" customFormat="1" x14ac:dyDescent="0.25"/>
    <row r="115425" s="12" customFormat="1" x14ac:dyDescent="0.25"/>
    <row r="115426" s="12" customFormat="1" x14ac:dyDescent="0.25"/>
    <row r="115427" s="12" customFormat="1" x14ac:dyDescent="0.25"/>
    <row r="115428" s="12" customFormat="1" x14ac:dyDescent="0.25"/>
    <row r="115429" s="12" customFormat="1" x14ac:dyDescent="0.25"/>
    <row r="115430" s="12" customFormat="1" x14ac:dyDescent="0.25"/>
    <row r="115431" s="12" customFormat="1" x14ac:dyDescent="0.25"/>
    <row r="115432" s="12" customFormat="1" x14ac:dyDescent="0.25"/>
    <row r="115433" s="12" customFormat="1" x14ac:dyDescent="0.25"/>
    <row r="115434" s="12" customFormat="1" x14ac:dyDescent="0.25"/>
    <row r="115435" s="12" customFormat="1" x14ac:dyDescent="0.25"/>
    <row r="115436" s="12" customFormat="1" x14ac:dyDescent="0.25"/>
    <row r="115437" s="12" customFormat="1" x14ac:dyDescent="0.25"/>
    <row r="115438" s="12" customFormat="1" x14ac:dyDescent="0.25"/>
    <row r="115439" s="12" customFormat="1" x14ac:dyDescent="0.25"/>
    <row r="115440" s="12" customFormat="1" x14ac:dyDescent="0.25"/>
    <row r="115441" s="12" customFormat="1" x14ac:dyDescent="0.25"/>
    <row r="115442" s="12" customFormat="1" x14ac:dyDescent="0.25"/>
    <row r="115443" s="12" customFormat="1" x14ac:dyDescent="0.25"/>
    <row r="115444" s="12" customFormat="1" x14ac:dyDescent="0.25"/>
    <row r="115445" s="12" customFormat="1" x14ac:dyDescent="0.25"/>
    <row r="115446" s="12" customFormat="1" x14ac:dyDescent="0.25"/>
    <row r="115447" s="12" customFormat="1" x14ac:dyDescent="0.25"/>
    <row r="115448" s="12" customFormat="1" x14ac:dyDescent="0.25"/>
    <row r="115449" s="12" customFormat="1" x14ac:dyDescent="0.25"/>
    <row r="115450" s="12" customFormat="1" x14ac:dyDescent="0.25"/>
    <row r="115451" s="12" customFormat="1" x14ac:dyDescent="0.25"/>
    <row r="115452" s="12" customFormat="1" x14ac:dyDescent="0.25"/>
    <row r="115453" s="12" customFormat="1" x14ac:dyDescent="0.25"/>
    <row r="115454" s="12" customFormat="1" x14ac:dyDescent="0.25"/>
    <row r="115455" s="12" customFormat="1" x14ac:dyDescent="0.25"/>
    <row r="115456" s="12" customFormat="1" x14ac:dyDescent="0.25"/>
    <row r="115457" s="12" customFormat="1" x14ac:dyDescent="0.25"/>
    <row r="115458" s="12" customFormat="1" x14ac:dyDescent="0.25"/>
    <row r="115459" s="12" customFormat="1" x14ac:dyDescent="0.25"/>
    <row r="115460" s="12" customFormat="1" x14ac:dyDescent="0.25"/>
    <row r="115461" s="12" customFormat="1" x14ac:dyDescent="0.25"/>
    <row r="115462" s="12" customFormat="1" x14ac:dyDescent="0.25"/>
    <row r="115463" s="12" customFormat="1" x14ac:dyDescent="0.25"/>
    <row r="115464" s="12" customFormat="1" x14ac:dyDescent="0.25"/>
    <row r="115465" s="12" customFormat="1" x14ac:dyDescent="0.25"/>
    <row r="115466" s="12" customFormat="1" x14ac:dyDescent="0.25"/>
    <row r="115467" s="12" customFormat="1" x14ac:dyDescent="0.25"/>
    <row r="115468" s="12" customFormat="1" x14ac:dyDescent="0.25"/>
    <row r="115469" s="12" customFormat="1" x14ac:dyDescent="0.25"/>
    <row r="115470" s="12" customFormat="1" x14ac:dyDescent="0.25"/>
    <row r="115471" s="12" customFormat="1" x14ac:dyDescent="0.25"/>
    <row r="115472" s="12" customFormat="1" x14ac:dyDescent="0.25"/>
    <row r="115473" s="12" customFormat="1" x14ac:dyDescent="0.25"/>
    <row r="115474" s="12" customFormat="1" x14ac:dyDescent="0.25"/>
    <row r="115475" s="12" customFormat="1" x14ac:dyDescent="0.25"/>
    <row r="115476" s="12" customFormat="1" x14ac:dyDescent="0.25"/>
    <row r="115477" s="12" customFormat="1" x14ac:dyDescent="0.25"/>
    <row r="115478" s="12" customFormat="1" x14ac:dyDescent="0.25"/>
    <row r="115479" s="12" customFormat="1" x14ac:dyDescent="0.25"/>
    <row r="115480" s="12" customFormat="1" x14ac:dyDescent="0.25"/>
    <row r="115481" s="12" customFormat="1" x14ac:dyDescent="0.25"/>
    <row r="115482" s="12" customFormat="1" x14ac:dyDescent="0.25"/>
    <row r="115483" s="12" customFormat="1" x14ac:dyDescent="0.25"/>
    <row r="115484" s="12" customFormat="1" x14ac:dyDescent="0.25"/>
    <row r="115485" s="12" customFormat="1" x14ac:dyDescent="0.25"/>
    <row r="115486" s="12" customFormat="1" x14ac:dyDescent="0.25"/>
    <row r="115487" s="12" customFormat="1" x14ac:dyDescent="0.25"/>
    <row r="115488" s="12" customFormat="1" x14ac:dyDescent="0.25"/>
    <row r="115489" s="12" customFormat="1" x14ac:dyDescent="0.25"/>
    <row r="115490" s="12" customFormat="1" x14ac:dyDescent="0.25"/>
    <row r="115491" s="12" customFormat="1" x14ac:dyDescent="0.25"/>
    <row r="115492" s="12" customFormat="1" x14ac:dyDescent="0.25"/>
    <row r="115493" s="12" customFormat="1" x14ac:dyDescent="0.25"/>
    <row r="115494" s="12" customFormat="1" x14ac:dyDescent="0.25"/>
    <row r="115495" s="12" customFormat="1" x14ac:dyDescent="0.25"/>
    <row r="115496" s="12" customFormat="1" x14ac:dyDescent="0.25"/>
    <row r="115497" s="12" customFormat="1" x14ac:dyDescent="0.25"/>
    <row r="115498" s="12" customFormat="1" x14ac:dyDescent="0.25"/>
    <row r="115499" s="12" customFormat="1" x14ac:dyDescent="0.25"/>
    <row r="115500" s="12" customFormat="1" x14ac:dyDescent="0.25"/>
    <row r="115501" s="12" customFormat="1" x14ac:dyDescent="0.25"/>
    <row r="115502" s="12" customFormat="1" x14ac:dyDescent="0.25"/>
    <row r="115503" s="12" customFormat="1" x14ac:dyDescent="0.25"/>
    <row r="115504" s="12" customFormat="1" x14ac:dyDescent="0.25"/>
    <row r="115505" s="12" customFormat="1" x14ac:dyDescent="0.25"/>
    <row r="115506" s="12" customFormat="1" x14ac:dyDescent="0.25"/>
    <row r="115507" s="12" customFormat="1" x14ac:dyDescent="0.25"/>
    <row r="115508" s="12" customFormat="1" x14ac:dyDescent="0.25"/>
    <row r="115509" s="12" customFormat="1" x14ac:dyDescent="0.25"/>
    <row r="115510" s="12" customFormat="1" x14ac:dyDescent="0.25"/>
    <row r="115511" s="12" customFormat="1" x14ac:dyDescent="0.25"/>
    <row r="115512" s="12" customFormat="1" x14ac:dyDescent="0.25"/>
    <row r="115513" s="12" customFormat="1" x14ac:dyDescent="0.25"/>
    <row r="115514" s="12" customFormat="1" x14ac:dyDescent="0.25"/>
    <row r="115515" s="12" customFormat="1" x14ac:dyDescent="0.25"/>
    <row r="115516" s="12" customFormat="1" x14ac:dyDescent="0.25"/>
    <row r="115517" s="12" customFormat="1" x14ac:dyDescent="0.25"/>
    <row r="115518" s="12" customFormat="1" x14ac:dyDescent="0.25"/>
    <row r="115519" s="12" customFormat="1" x14ac:dyDescent="0.25"/>
    <row r="115520" s="12" customFormat="1" x14ac:dyDescent="0.25"/>
    <row r="115521" s="12" customFormat="1" x14ac:dyDescent="0.25"/>
    <row r="115522" s="12" customFormat="1" x14ac:dyDescent="0.25"/>
    <row r="115523" s="12" customFormat="1" x14ac:dyDescent="0.25"/>
    <row r="115524" s="12" customFormat="1" x14ac:dyDescent="0.25"/>
    <row r="115525" s="12" customFormat="1" x14ac:dyDescent="0.25"/>
    <row r="115526" s="12" customFormat="1" x14ac:dyDescent="0.25"/>
    <row r="115527" s="12" customFormat="1" x14ac:dyDescent="0.25"/>
    <row r="115528" s="12" customFormat="1" x14ac:dyDescent="0.25"/>
    <row r="115529" s="12" customFormat="1" x14ac:dyDescent="0.25"/>
    <row r="115530" s="12" customFormat="1" x14ac:dyDescent="0.25"/>
    <row r="115531" s="12" customFormat="1" x14ac:dyDescent="0.25"/>
    <row r="115532" s="12" customFormat="1" x14ac:dyDescent="0.25"/>
    <row r="115533" s="12" customFormat="1" x14ac:dyDescent="0.25"/>
    <row r="115534" s="12" customFormat="1" x14ac:dyDescent="0.25"/>
    <row r="115535" s="12" customFormat="1" x14ac:dyDescent="0.25"/>
    <row r="115536" s="12" customFormat="1" x14ac:dyDescent="0.25"/>
    <row r="115537" s="12" customFormat="1" x14ac:dyDescent="0.25"/>
    <row r="115538" s="12" customFormat="1" x14ac:dyDescent="0.25"/>
    <row r="115539" s="12" customFormat="1" x14ac:dyDescent="0.25"/>
    <row r="115540" s="12" customFormat="1" x14ac:dyDescent="0.25"/>
    <row r="115541" s="12" customFormat="1" x14ac:dyDescent="0.25"/>
    <row r="115542" s="12" customFormat="1" x14ac:dyDescent="0.25"/>
    <row r="115543" s="12" customFormat="1" x14ac:dyDescent="0.25"/>
    <row r="115544" s="12" customFormat="1" x14ac:dyDescent="0.25"/>
    <row r="115545" s="12" customFormat="1" x14ac:dyDescent="0.25"/>
    <row r="115546" s="12" customFormat="1" x14ac:dyDescent="0.25"/>
    <row r="115547" s="12" customFormat="1" x14ac:dyDescent="0.25"/>
    <row r="115548" s="12" customFormat="1" x14ac:dyDescent="0.25"/>
    <row r="115549" s="12" customFormat="1" x14ac:dyDescent="0.25"/>
    <row r="115550" s="12" customFormat="1" x14ac:dyDescent="0.25"/>
    <row r="115551" s="12" customFormat="1" x14ac:dyDescent="0.25"/>
    <row r="115552" s="12" customFormat="1" x14ac:dyDescent="0.25"/>
    <row r="115553" s="12" customFormat="1" x14ac:dyDescent="0.25"/>
    <row r="115554" s="12" customFormat="1" x14ac:dyDescent="0.25"/>
    <row r="115555" s="12" customFormat="1" x14ac:dyDescent="0.25"/>
    <row r="115556" s="12" customFormat="1" x14ac:dyDescent="0.25"/>
    <row r="115557" s="12" customFormat="1" x14ac:dyDescent="0.25"/>
    <row r="115558" s="12" customFormat="1" x14ac:dyDescent="0.25"/>
    <row r="115559" s="12" customFormat="1" x14ac:dyDescent="0.25"/>
    <row r="115560" s="12" customFormat="1" x14ac:dyDescent="0.25"/>
    <row r="115561" s="12" customFormat="1" x14ac:dyDescent="0.25"/>
    <row r="115562" s="12" customFormat="1" x14ac:dyDescent="0.25"/>
    <row r="115563" s="12" customFormat="1" x14ac:dyDescent="0.25"/>
    <row r="115564" s="12" customFormat="1" x14ac:dyDescent="0.25"/>
    <row r="115565" s="12" customFormat="1" x14ac:dyDescent="0.25"/>
    <row r="115566" s="12" customFormat="1" x14ac:dyDescent="0.25"/>
    <row r="115567" s="12" customFormat="1" x14ac:dyDescent="0.25"/>
    <row r="115568" s="12" customFormat="1" x14ac:dyDescent="0.25"/>
    <row r="115569" s="12" customFormat="1" x14ac:dyDescent="0.25"/>
    <row r="115570" s="12" customFormat="1" x14ac:dyDescent="0.25"/>
    <row r="115571" s="12" customFormat="1" x14ac:dyDescent="0.25"/>
    <row r="115572" s="12" customFormat="1" x14ac:dyDescent="0.25"/>
    <row r="115573" s="12" customFormat="1" x14ac:dyDescent="0.25"/>
    <row r="115574" s="12" customFormat="1" x14ac:dyDescent="0.25"/>
    <row r="115575" s="12" customFormat="1" x14ac:dyDescent="0.25"/>
    <row r="115576" s="12" customFormat="1" x14ac:dyDescent="0.25"/>
    <row r="115577" s="12" customFormat="1" x14ac:dyDescent="0.25"/>
    <row r="115578" s="12" customFormat="1" x14ac:dyDescent="0.25"/>
    <row r="115579" s="12" customFormat="1" x14ac:dyDescent="0.25"/>
    <row r="115580" s="12" customFormat="1" x14ac:dyDescent="0.25"/>
    <row r="115581" s="12" customFormat="1" x14ac:dyDescent="0.25"/>
    <row r="115582" s="12" customFormat="1" x14ac:dyDescent="0.25"/>
    <row r="115583" s="12" customFormat="1" x14ac:dyDescent="0.25"/>
    <row r="115584" s="12" customFormat="1" x14ac:dyDescent="0.25"/>
    <row r="115585" s="12" customFormat="1" x14ac:dyDescent="0.25"/>
    <row r="115586" s="12" customFormat="1" x14ac:dyDescent="0.25"/>
    <row r="115587" s="12" customFormat="1" x14ac:dyDescent="0.25"/>
    <row r="115588" s="12" customFormat="1" x14ac:dyDescent="0.25"/>
    <row r="115589" s="12" customFormat="1" x14ac:dyDescent="0.25"/>
    <row r="115590" s="12" customFormat="1" x14ac:dyDescent="0.25"/>
    <row r="115591" s="12" customFormat="1" x14ac:dyDescent="0.25"/>
    <row r="115592" s="12" customFormat="1" x14ac:dyDescent="0.25"/>
    <row r="115593" s="12" customFormat="1" x14ac:dyDescent="0.25"/>
    <row r="115594" s="12" customFormat="1" x14ac:dyDescent="0.25"/>
    <row r="115595" s="12" customFormat="1" x14ac:dyDescent="0.25"/>
    <row r="115596" s="12" customFormat="1" x14ac:dyDescent="0.25"/>
    <row r="115597" s="12" customFormat="1" x14ac:dyDescent="0.25"/>
    <row r="115598" s="12" customFormat="1" x14ac:dyDescent="0.25"/>
    <row r="115599" s="12" customFormat="1" x14ac:dyDescent="0.25"/>
    <row r="115600" s="12" customFormat="1" x14ac:dyDescent="0.25"/>
    <row r="115601" s="12" customFormat="1" x14ac:dyDescent="0.25"/>
    <row r="115602" s="12" customFormat="1" x14ac:dyDescent="0.25"/>
    <row r="115603" s="12" customFormat="1" x14ac:dyDescent="0.25"/>
    <row r="115604" s="12" customFormat="1" x14ac:dyDescent="0.25"/>
    <row r="115605" s="12" customFormat="1" x14ac:dyDescent="0.25"/>
    <row r="115606" s="12" customFormat="1" x14ac:dyDescent="0.25"/>
    <row r="115607" s="12" customFormat="1" x14ac:dyDescent="0.25"/>
    <row r="115608" s="12" customFormat="1" x14ac:dyDescent="0.25"/>
    <row r="115609" s="12" customFormat="1" x14ac:dyDescent="0.25"/>
    <row r="115610" s="12" customFormat="1" x14ac:dyDescent="0.25"/>
    <row r="115611" s="12" customFormat="1" x14ac:dyDescent="0.25"/>
    <row r="115612" s="12" customFormat="1" x14ac:dyDescent="0.25"/>
    <row r="115613" s="12" customFormat="1" x14ac:dyDescent="0.25"/>
    <row r="115614" s="12" customFormat="1" x14ac:dyDescent="0.25"/>
    <row r="115615" s="12" customFormat="1" x14ac:dyDescent="0.25"/>
    <row r="115616" s="12" customFormat="1" x14ac:dyDescent="0.25"/>
    <row r="115617" s="12" customFormat="1" x14ac:dyDescent="0.25"/>
    <row r="115618" s="12" customFormat="1" x14ac:dyDescent="0.25"/>
    <row r="115619" s="12" customFormat="1" x14ac:dyDescent="0.25"/>
    <row r="115620" s="12" customFormat="1" x14ac:dyDescent="0.25"/>
    <row r="115621" s="12" customFormat="1" x14ac:dyDescent="0.25"/>
    <row r="115622" s="12" customFormat="1" x14ac:dyDescent="0.25"/>
    <row r="115623" s="12" customFormat="1" x14ac:dyDescent="0.25"/>
    <row r="115624" s="12" customFormat="1" x14ac:dyDescent="0.25"/>
    <row r="115625" s="12" customFormat="1" x14ac:dyDescent="0.25"/>
    <row r="115626" s="12" customFormat="1" x14ac:dyDescent="0.25"/>
    <row r="115627" s="12" customFormat="1" x14ac:dyDescent="0.25"/>
    <row r="115628" s="12" customFormat="1" x14ac:dyDescent="0.25"/>
    <row r="115629" s="12" customFormat="1" x14ac:dyDescent="0.25"/>
    <row r="115630" s="12" customFormat="1" x14ac:dyDescent="0.25"/>
    <row r="115631" s="12" customFormat="1" x14ac:dyDescent="0.25"/>
    <row r="115632" s="12" customFormat="1" x14ac:dyDescent="0.25"/>
    <row r="115633" s="12" customFormat="1" x14ac:dyDescent="0.25"/>
    <row r="115634" s="12" customFormat="1" x14ac:dyDescent="0.25"/>
    <row r="115635" s="12" customFormat="1" x14ac:dyDescent="0.25"/>
    <row r="115636" s="12" customFormat="1" x14ac:dyDescent="0.25"/>
    <row r="115637" s="12" customFormat="1" x14ac:dyDescent="0.25"/>
    <row r="115638" s="12" customFormat="1" x14ac:dyDescent="0.25"/>
    <row r="115639" s="12" customFormat="1" x14ac:dyDescent="0.25"/>
    <row r="115640" s="12" customFormat="1" x14ac:dyDescent="0.25"/>
    <row r="115641" s="12" customFormat="1" x14ac:dyDescent="0.25"/>
    <row r="115642" s="12" customFormat="1" x14ac:dyDescent="0.25"/>
    <row r="115643" s="12" customFormat="1" x14ac:dyDescent="0.25"/>
    <row r="115644" s="12" customFormat="1" x14ac:dyDescent="0.25"/>
    <row r="115645" s="12" customFormat="1" x14ac:dyDescent="0.25"/>
    <row r="115646" s="12" customFormat="1" x14ac:dyDescent="0.25"/>
    <row r="115647" s="12" customFormat="1" x14ac:dyDescent="0.25"/>
    <row r="115648" s="12" customFormat="1" x14ac:dyDescent="0.25"/>
    <row r="115649" s="12" customFormat="1" x14ac:dyDescent="0.25"/>
    <row r="115650" s="12" customFormat="1" x14ac:dyDescent="0.25"/>
    <row r="115651" s="12" customFormat="1" x14ac:dyDescent="0.25"/>
    <row r="115652" s="12" customFormat="1" x14ac:dyDescent="0.25"/>
    <row r="115653" s="12" customFormat="1" x14ac:dyDescent="0.25"/>
    <row r="115654" s="12" customFormat="1" x14ac:dyDescent="0.25"/>
    <row r="115655" s="12" customFormat="1" x14ac:dyDescent="0.25"/>
    <row r="115656" s="12" customFormat="1" x14ac:dyDescent="0.25"/>
    <row r="115657" s="12" customFormat="1" x14ac:dyDescent="0.25"/>
    <row r="115658" s="12" customFormat="1" x14ac:dyDescent="0.25"/>
    <row r="115659" s="12" customFormat="1" x14ac:dyDescent="0.25"/>
    <row r="115660" s="12" customFormat="1" x14ac:dyDescent="0.25"/>
    <row r="115661" s="12" customFormat="1" x14ac:dyDescent="0.25"/>
    <row r="115662" s="12" customFormat="1" x14ac:dyDescent="0.25"/>
    <row r="115663" s="12" customFormat="1" x14ac:dyDescent="0.25"/>
    <row r="115664" s="12" customFormat="1" x14ac:dyDescent="0.25"/>
    <row r="115665" s="12" customFormat="1" x14ac:dyDescent="0.25"/>
    <row r="115666" s="12" customFormat="1" x14ac:dyDescent="0.25"/>
    <row r="115667" s="12" customFormat="1" x14ac:dyDescent="0.25"/>
    <row r="115668" s="12" customFormat="1" x14ac:dyDescent="0.25"/>
    <row r="115669" s="12" customFormat="1" x14ac:dyDescent="0.25"/>
    <row r="115670" s="12" customFormat="1" x14ac:dyDescent="0.25"/>
    <row r="115671" s="12" customFormat="1" x14ac:dyDescent="0.25"/>
    <row r="115672" s="12" customFormat="1" x14ac:dyDescent="0.25"/>
    <row r="115673" s="12" customFormat="1" x14ac:dyDescent="0.25"/>
    <row r="115674" s="12" customFormat="1" x14ac:dyDescent="0.25"/>
    <row r="115675" s="12" customFormat="1" x14ac:dyDescent="0.25"/>
    <row r="115676" s="12" customFormat="1" x14ac:dyDescent="0.25"/>
    <row r="115677" s="12" customFormat="1" x14ac:dyDescent="0.25"/>
    <row r="115678" s="12" customFormat="1" x14ac:dyDescent="0.25"/>
    <row r="115679" s="12" customFormat="1" x14ac:dyDescent="0.25"/>
    <row r="115680" s="12" customFormat="1" x14ac:dyDescent="0.25"/>
    <row r="115681" s="12" customFormat="1" x14ac:dyDescent="0.25"/>
    <row r="115682" s="12" customFormat="1" x14ac:dyDescent="0.25"/>
    <row r="115683" s="12" customFormat="1" x14ac:dyDescent="0.25"/>
    <row r="115684" s="12" customFormat="1" x14ac:dyDescent="0.25"/>
    <row r="115685" s="12" customFormat="1" x14ac:dyDescent="0.25"/>
    <row r="115686" s="12" customFormat="1" x14ac:dyDescent="0.25"/>
    <row r="115687" s="12" customFormat="1" x14ac:dyDescent="0.25"/>
    <row r="115688" s="12" customFormat="1" x14ac:dyDescent="0.25"/>
    <row r="115689" s="12" customFormat="1" x14ac:dyDescent="0.25"/>
    <row r="115690" s="12" customFormat="1" x14ac:dyDescent="0.25"/>
    <row r="115691" s="12" customFormat="1" x14ac:dyDescent="0.25"/>
    <row r="115692" s="12" customFormat="1" x14ac:dyDescent="0.25"/>
    <row r="115693" s="12" customFormat="1" x14ac:dyDescent="0.25"/>
    <row r="115694" s="12" customFormat="1" x14ac:dyDescent="0.25"/>
    <row r="115695" s="12" customFormat="1" x14ac:dyDescent="0.25"/>
    <row r="115696" s="12" customFormat="1" x14ac:dyDescent="0.25"/>
    <row r="115697" s="12" customFormat="1" x14ac:dyDescent="0.25"/>
    <row r="115698" s="12" customFormat="1" x14ac:dyDescent="0.25"/>
    <row r="115699" s="12" customFormat="1" x14ac:dyDescent="0.25"/>
    <row r="115700" s="12" customFormat="1" x14ac:dyDescent="0.25"/>
    <row r="115701" s="12" customFormat="1" x14ac:dyDescent="0.25"/>
    <row r="115702" s="12" customFormat="1" x14ac:dyDescent="0.25"/>
    <row r="115703" s="12" customFormat="1" x14ac:dyDescent="0.25"/>
    <row r="115704" s="12" customFormat="1" x14ac:dyDescent="0.25"/>
    <row r="115705" s="12" customFormat="1" x14ac:dyDescent="0.25"/>
    <row r="115706" s="12" customFormat="1" x14ac:dyDescent="0.25"/>
    <row r="115707" s="12" customFormat="1" x14ac:dyDescent="0.25"/>
    <row r="115708" s="12" customFormat="1" x14ac:dyDescent="0.25"/>
    <row r="115709" s="12" customFormat="1" x14ac:dyDescent="0.25"/>
    <row r="115710" s="12" customFormat="1" x14ac:dyDescent="0.25"/>
    <row r="115711" s="12" customFormat="1" x14ac:dyDescent="0.25"/>
    <row r="115712" s="12" customFormat="1" x14ac:dyDescent="0.25"/>
    <row r="115713" s="12" customFormat="1" x14ac:dyDescent="0.25"/>
    <row r="115714" s="12" customFormat="1" x14ac:dyDescent="0.25"/>
    <row r="115715" s="12" customFormat="1" x14ac:dyDescent="0.25"/>
    <row r="115716" s="12" customFormat="1" x14ac:dyDescent="0.25"/>
    <row r="115717" s="12" customFormat="1" x14ac:dyDescent="0.25"/>
    <row r="115718" s="12" customFormat="1" x14ac:dyDescent="0.25"/>
    <row r="115719" s="12" customFormat="1" x14ac:dyDescent="0.25"/>
    <row r="115720" s="12" customFormat="1" x14ac:dyDescent="0.25"/>
    <row r="115721" s="12" customFormat="1" x14ac:dyDescent="0.25"/>
    <row r="115722" s="12" customFormat="1" x14ac:dyDescent="0.25"/>
    <row r="115723" s="12" customFormat="1" x14ac:dyDescent="0.25"/>
    <row r="115724" s="12" customFormat="1" x14ac:dyDescent="0.25"/>
    <row r="115725" s="12" customFormat="1" x14ac:dyDescent="0.25"/>
    <row r="115726" s="12" customFormat="1" x14ac:dyDescent="0.25"/>
    <row r="115727" s="12" customFormat="1" x14ac:dyDescent="0.25"/>
    <row r="115728" s="12" customFormat="1" x14ac:dyDescent="0.25"/>
    <row r="115729" s="12" customFormat="1" x14ac:dyDescent="0.25"/>
    <row r="115730" s="12" customFormat="1" x14ac:dyDescent="0.25"/>
    <row r="115731" s="12" customFormat="1" x14ac:dyDescent="0.25"/>
    <row r="115732" s="12" customFormat="1" x14ac:dyDescent="0.25"/>
    <row r="115733" s="12" customFormat="1" x14ac:dyDescent="0.25"/>
    <row r="115734" s="12" customFormat="1" x14ac:dyDescent="0.25"/>
    <row r="115735" s="12" customFormat="1" x14ac:dyDescent="0.25"/>
    <row r="115736" s="12" customFormat="1" x14ac:dyDescent="0.25"/>
    <row r="115737" s="12" customFormat="1" x14ac:dyDescent="0.25"/>
    <row r="115738" s="12" customFormat="1" x14ac:dyDescent="0.25"/>
    <row r="115739" s="12" customFormat="1" x14ac:dyDescent="0.25"/>
    <row r="115740" s="12" customFormat="1" x14ac:dyDescent="0.25"/>
    <row r="115741" s="12" customFormat="1" x14ac:dyDescent="0.25"/>
    <row r="115742" s="12" customFormat="1" x14ac:dyDescent="0.25"/>
    <row r="115743" s="12" customFormat="1" x14ac:dyDescent="0.25"/>
    <row r="115744" s="12" customFormat="1" x14ac:dyDescent="0.25"/>
    <row r="115745" s="12" customFormat="1" x14ac:dyDescent="0.25"/>
    <row r="115746" s="12" customFormat="1" x14ac:dyDescent="0.25"/>
    <row r="115747" s="12" customFormat="1" x14ac:dyDescent="0.25"/>
    <row r="115748" s="12" customFormat="1" x14ac:dyDescent="0.25"/>
    <row r="115749" s="12" customFormat="1" x14ac:dyDescent="0.25"/>
    <row r="115750" s="12" customFormat="1" x14ac:dyDescent="0.25"/>
    <row r="115751" s="12" customFormat="1" x14ac:dyDescent="0.25"/>
    <row r="115752" s="12" customFormat="1" x14ac:dyDescent="0.25"/>
    <row r="115753" s="12" customFormat="1" x14ac:dyDescent="0.25"/>
    <row r="115754" s="12" customFormat="1" x14ac:dyDescent="0.25"/>
    <row r="115755" s="12" customFormat="1" x14ac:dyDescent="0.25"/>
    <row r="115756" s="12" customFormat="1" x14ac:dyDescent="0.25"/>
    <row r="115757" s="12" customFormat="1" x14ac:dyDescent="0.25"/>
    <row r="115758" s="12" customFormat="1" x14ac:dyDescent="0.25"/>
    <row r="115759" s="12" customFormat="1" x14ac:dyDescent="0.25"/>
    <row r="115760" s="12" customFormat="1" x14ac:dyDescent="0.25"/>
    <row r="115761" s="12" customFormat="1" x14ac:dyDescent="0.25"/>
    <row r="115762" s="12" customFormat="1" x14ac:dyDescent="0.25"/>
    <row r="115763" s="12" customFormat="1" x14ac:dyDescent="0.25"/>
    <row r="115764" s="12" customFormat="1" x14ac:dyDescent="0.25"/>
    <row r="115765" s="12" customFormat="1" x14ac:dyDescent="0.25"/>
    <row r="115766" s="12" customFormat="1" x14ac:dyDescent="0.25"/>
    <row r="115767" s="12" customFormat="1" x14ac:dyDescent="0.25"/>
    <row r="115768" s="12" customFormat="1" x14ac:dyDescent="0.25"/>
    <row r="115769" s="12" customFormat="1" x14ac:dyDescent="0.25"/>
    <row r="115770" s="12" customFormat="1" x14ac:dyDescent="0.25"/>
    <row r="115771" s="12" customFormat="1" x14ac:dyDescent="0.25"/>
    <row r="115772" s="12" customFormat="1" x14ac:dyDescent="0.25"/>
    <row r="115773" s="12" customFormat="1" x14ac:dyDescent="0.25"/>
    <row r="115774" s="12" customFormat="1" x14ac:dyDescent="0.25"/>
    <row r="115775" s="12" customFormat="1" x14ac:dyDescent="0.25"/>
    <row r="115776" s="12" customFormat="1" x14ac:dyDescent="0.25"/>
    <row r="115777" s="12" customFormat="1" x14ac:dyDescent="0.25"/>
    <row r="115778" s="12" customFormat="1" x14ac:dyDescent="0.25"/>
    <row r="115779" s="12" customFormat="1" x14ac:dyDescent="0.25"/>
    <row r="115780" s="12" customFormat="1" x14ac:dyDescent="0.25"/>
    <row r="115781" s="12" customFormat="1" x14ac:dyDescent="0.25"/>
    <row r="115782" s="12" customFormat="1" x14ac:dyDescent="0.25"/>
    <row r="115783" s="12" customFormat="1" x14ac:dyDescent="0.25"/>
    <row r="115784" s="12" customFormat="1" x14ac:dyDescent="0.25"/>
    <row r="115785" s="12" customFormat="1" x14ac:dyDescent="0.25"/>
    <row r="115786" s="12" customFormat="1" x14ac:dyDescent="0.25"/>
    <row r="115787" s="12" customFormat="1" x14ac:dyDescent="0.25"/>
    <row r="115788" s="12" customFormat="1" x14ac:dyDescent="0.25"/>
    <row r="115789" s="12" customFormat="1" x14ac:dyDescent="0.25"/>
    <row r="115790" s="12" customFormat="1" x14ac:dyDescent="0.25"/>
    <row r="115791" s="12" customFormat="1" x14ac:dyDescent="0.25"/>
    <row r="115792" s="12" customFormat="1" x14ac:dyDescent="0.25"/>
    <row r="115793" s="12" customFormat="1" x14ac:dyDescent="0.25"/>
    <row r="115794" s="12" customFormat="1" x14ac:dyDescent="0.25"/>
    <row r="115795" s="12" customFormat="1" x14ac:dyDescent="0.25"/>
    <row r="115796" s="12" customFormat="1" x14ac:dyDescent="0.25"/>
    <row r="115797" s="12" customFormat="1" x14ac:dyDescent="0.25"/>
    <row r="115798" s="12" customFormat="1" x14ac:dyDescent="0.25"/>
    <row r="115799" s="12" customFormat="1" x14ac:dyDescent="0.25"/>
    <row r="115800" s="12" customFormat="1" x14ac:dyDescent="0.25"/>
    <row r="115801" s="12" customFormat="1" x14ac:dyDescent="0.25"/>
    <row r="115802" s="12" customFormat="1" x14ac:dyDescent="0.25"/>
    <row r="115803" s="12" customFormat="1" x14ac:dyDescent="0.25"/>
    <row r="115804" s="12" customFormat="1" x14ac:dyDescent="0.25"/>
    <row r="115805" s="12" customFormat="1" x14ac:dyDescent="0.25"/>
    <row r="115806" s="12" customFormat="1" x14ac:dyDescent="0.25"/>
    <row r="115807" s="12" customFormat="1" x14ac:dyDescent="0.25"/>
    <row r="115808" s="12" customFormat="1" x14ac:dyDescent="0.25"/>
    <row r="115809" s="12" customFormat="1" x14ac:dyDescent="0.25"/>
    <row r="115810" s="12" customFormat="1" x14ac:dyDescent="0.25"/>
    <row r="115811" s="12" customFormat="1" x14ac:dyDescent="0.25"/>
    <row r="115812" s="12" customFormat="1" x14ac:dyDescent="0.25"/>
    <row r="115813" s="12" customFormat="1" x14ac:dyDescent="0.25"/>
    <row r="115814" s="12" customFormat="1" x14ac:dyDescent="0.25"/>
    <row r="115815" s="12" customFormat="1" x14ac:dyDescent="0.25"/>
    <row r="115816" s="12" customFormat="1" x14ac:dyDescent="0.25"/>
    <row r="115817" s="12" customFormat="1" x14ac:dyDescent="0.25"/>
    <row r="115818" s="12" customFormat="1" x14ac:dyDescent="0.25"/>
    <row r="115819" s="12" customFormat="1" x14ac:dyDescent="0.25"/>
    <row r="115820" s="12" customFormat="1" x14ac:dyDescent="0.25"/>
    <row r="115821" s="12" customFormat="1" x14ac:dyDescent="0.25"/>
    <row r="115822" s="12" customFormat="1" x14ac:dyDescent="0.25"/>
    <row r="115823" s="12" customFormat="1" x14ac:dyDescent="0.25"/>
    <row r="115824" s="12" customFormat="1" x14ac:dyDescent="0.25"/>
    <row r="115825" s="12" customFormat="1" x14ac:dyDescent="0.25"/>
    <row r="115826" s="12" customFormat="1" x14ac:dyDescent="0.25"/>
    <row r="115827" s="12" customFormat="1" x14ac:dyDescent="0.25"/>
    <row r="115828" s="12" customFormat="1" x14ac:dyDescent="0.25"/>
    <row r="115829" s="12" customFormat="1" x14ac:dyDescent="0.25"/>
    <row r="115830" s="12" customFormat="1" x14ac:dyDescent="0.25"/>
    <row r="115831" s="12" customFormat="1" x14ac:dyDescent="0.25"/>
    <row r="115832" s="12" customFormat="1" x14ac:dyDescent="0.25"/>
    <row r="115833" s="12" customFormat="1" x14ac:dyDescent="0.25"/>
    <row r="115834" s="12" customFormat="1" x14ac:dyDescent="0.25"/>
    <row r="115835" s="12" customFormat="1" x14ac:dyDescent="0.25"/>
    <row r="115836" s="12" customFormat="1" x14ac:dyDescent="0.25"/>
    <row r="115837" s="12" customFormat="1" x14ac:dyDescent="0.25"/>
    <row r="115838" s="12" customFormat="1" x14ac:dyDescent="0.25"/>
    <row r="115839" s="12" customFormat="1" x14ac:dyDescent="0.25"/>
    <row r="115840" s="12" customFormat="1" x14ac:dyDescent="0.25"/>
    <row r="115841" s="12" customFormat="1" x14ac:dyDescent="0.25"/>
    <row r="115842" s="12" customFormat="1" x14ac:dyDescent="0.25"/>
    <row r="115843" s="12" customFormat="1" x14ac:dyDescent="0.25"/>
    <row r="115844" s="12" customFormat="1" x14ac:dyDescent="0.25"/>
    <row r="115845" s="12" customFormat="1" x14ac:dyDescent="0.25"/>
    <row r="115846" s="12" customFormat="1" x14ac:dyDescent="0.25"/>
    <row r="115847" s="12" customFormat="1" x14ac:dyDescent="0.25"/>
    <row r="115848" s="12" customFormat="1" x14ac:dyDescent="0.25"/>
    <row r="115849" s="12" customFormat="1" x14ac:dyDescent="0.25"/>
    <row r="115850" s="12" customFormat="1" x14ac:dyDescent="0.25"/>
    <row r="115851" s="12" customFormat="1" x14ac:dyDescent="0.25"/>
    <row r="115852" s="12" customFormat="1" x14ac:dyDescent="0.25"/>
    <row r="115853" s="12" customFormat="1" x14ac:dyDescent="0.25"/>
    <row r="115854" s="12" customFormat="1" x14ac:dyDescent="0.25"/>
    <row r="115855" s="12" customFormat="1" x14ac:dyDescent="0.25"/>
    <row r="115856" s="12" customFormat="1" x14ac:dyDescent="0.25"/>
    <row r="115857" s="12" customFormat="1" x14ac:dyDescent="0.25"/>
    <row r="115858" s="12" customFormat="1" x14ac:dyDescent="0.25"/>
    <row r="115859" s="12" customFormat="1" x14ac:dyDescent="0.25"/>
    <row r="115860" s="12" customFormat="1" x14ac:dyDescent="0.25"/>
    <row r="115861" s="12" customFormat="1" x14ac:dyDescent="0.25"/>
    <row r="115862" s="12" customFormat="1" x14ac:dyDescent="0.25"/>
    <row r="115863" s="12" customFormat="1" x14ac:dyDescent="0.25"/>
    <row r="115864" s="12" customFormat="1" x14ac:dyDescent="0.25"/>
    <row r="115865" s="12" customFormat="1" x14ac:dyDescent="0.25"/>
    <row r="115866" s="12" customFormat="1" x14ac:dyDescent="0.25"/>
    <row r="115867" s="12" customFormat="1" x14ac:dyDescent="0.25"/>
    <row r="115868" s="12" customFormat="1" x14ac:dyDescent="0.25"/>
    <row r="115869" s="12" customFormat="1" x14ac:dyDescent="0.25"/>
    <row r="115870" s="12" customFormat="1" x14ac:dyDescent="0.25"/>
    <row r="115871" s="12" customFormat="1" x14ac:dyDescent="0.25"/>
    <row r="115872" s="12" customFormat="1" x14ac:dyDescent="0.25"/>
    <row r="115873" s="12" customFormat="1" x14ac:dyDescent="0.25"/>
    <row r="115874" s="12" customFormat="1" x14ac:dyDescent="0.25"/>
    <row r="115875" s="12" customFormat="1" x14ac:dyDescent="0.25"/>
    <row r="115876" s="12" customFormat="1" x14ac:dyDescent="0.25"/>
    <row r="115877" s="12" customFormat="1" x14ac:dyDescent="0.25"/>
    <row r="115878" s="12" customFormat="1" x14ac:dyDescent="0.25"/>
    <row r="115879" s="12" customFormat="1" x14ac:dyDescent="0.25"/>
    <row r="115880" s="12" customFormat="1" x14ac:dyDescent="0.25"/>
    <row r="115881" s="12" customFormat="1" x14ac:dyDescent="0.25"/>
    <row r="115882" s="12" customFormat="1" x14ac:dyDescent="0.25"/>
    <row r="115883" s="12" customFormat="1" x14ac:dyDescent="0.25"/>
    <row r="115884" s="12" customFormat="1" x14ac:dyDescent="0.25"/>
    <row r="115885" s="12" customFormat="1" x14ac:dyDescent="0.25"/>
    <row r="115886" s="12" customFormat="1" x14ac:dyDescent="0.25"/>
    <row r="115887" s="12" customFormat="1" x14ac:dyDescent="0.25"/>
    <row r="115888" s="12" customFormat="1" x14ac:dyDescent="0.25"/>
    <row r="115889" s="12" customFormat="1" x14ac:dyDescent="0.25"/>
    <row r="115890" s="12" customFormat="1" x14ac:dyDescent="0.25"/>
    <row r="115891" s="12" customFormat="1" x14ac:dyDescent="0.25"/>
    <row r="115892" s="12" customFormat="1" x14ac:dyDescent="0.25"/>
    <row r="115893" s="12" customFormat="1" x14ac:dyDescent="0.25"/>
    <row r="115894" s="12" customFormat="1" x14ac:dyDescent="0.25"/>
    <row r="115895" s="12" customFormat="1" x14ac:dyDescent="0.25"/>
    <row r="115896" s="12" customFormat="1" x14ac:dyDescent="0.25"/>
    <row r="115897" s="12" customFormat="1" x14ac:dyDescent="0.25"/>
    <row r="115898" s="12" customFormat="1" x14ac:dyDescent="0.25"/>
    <row r="115899" s="12" customFormat="1" x14ac:dyDescent="0.25"/>
    <row r="115900" s="12" customFormat="1" x14ac:dyDescent="0.25"/>
    <row r="115901" s="12" customFormat="1" x14ac:dyDescent="0.25"/>
    <row r="115902" s="12" customFormat="1" x14ac:dyDescent="0.25"/>
    <row r="115903" s="12" customFormat="1" x14ac:dyDescent="0.25"/>
    <row r="115904" s="12" customFormat="1" x14ac:dyDescent="0.25"/>
    <row r="115905" s="12" customFormat="1" x14ac:dyDescent="0.25"/>
    <row r="115906" s="12" customFormat="1" x14ac:dyDescent="0.25"/>
    <row r="115907" s="12" customFormat="1" x14ac:dyDescent="0.25"/>
    <row r="115908" s="12" customFormat="1" x14ac:dyDescent="0.25"/>
    <row r="115909" s="12" customFormat="1" x14ac:dyDescent="0.25"/>
    <row r="115910" s="12" customFormat="1" x14ac:dyDescent="0.25"/>
    <row r="115911" s="12" customFormat="1" x14ac:dyDescent="0.25"/>
    <row r="115912" s="12" customFormat="1" x14ac:dyDescent="0.25"/>
    <row r="115913" s="12" customFormat="1" x14ac:dyDescent="0.25"/>
    <row r="115914" s="12" customFormat="1" x14ac:dyDescent="0.25"/>
    <row r="115915" s="12" customFormat="1" x14ac:dyDescent="0.25"/>
    <row r="115916" s="12" customFormat="1" x14ac:dyDescent="0.25"/>
    <row r="115917" s="12" customFormat="1" x14ac:dyDescent="0.25"/>
    <row r="115918" s="12" customFormat="1" x14ac:dyDescent="0.25"/>
    <row r="115919" s="12" customFormat="1" x14ac:dyDescent="0.25"/>
    <row r="115920" s="12" customFormat="1" x14ac:dyDescent="0.25"/>
    <row r="115921" s="12" customFormat="1" x14ac:dyDescent="0.25"/>
    <row r="115922" s="12" customFormat="1" x14ac:dyDescent="0.25"/>
    <row r="115923" s="12" customFormat="1" x14ac:dyDescent="0.25"/>
    <row r="115924" s="12" customFormat="1" x14ac:dyDescent="0.25"/>
    <row r="115925" s="12" customFormat="1" x14ac:dyDescent="0.25"/>
    <row r="115926" s="12" customFormat="1" x14ac:dyDescent="0.25"/>
    <row r="115927" s="12" customFormat="1" x14ac:dyDescent="0.25"/>
    <row r="115928" s="12" customFormat="1" x14ac:dyDescent="0.25"/>
    <row r="115929" s="12" customFormat="1" x14ac:dyDescent="0.25"/>
    <row r="115930" s="12" customFormat="1" x14ac:dyDescent="0.25"/>
    <row r="115931" s="12" customFormat="1" x14ac:dyDescent="0.25"/>
    <row r="115932" s="12" customFormat="1" x14ac:dyDescent="0.25"/>
    <row r="115933" s="12" customFormat="1" x14ac:dyDescent="0.25"/>
    <row r="115934" s="12" customFormat="1" x14ac:dyDescent="0.25"/>
    <row r="115935" s="12" customFormat="1" x14ac:dyDescent="0.25"/>
    <row r="115936" s="12" customFormat="1" x14ac:dyDescent="0.25"/>
    <row r="115937" s="12" customFormat="1" x14ac:dyDescent="0.25"/>
    <row r="115938" s="12" customFormat="1" x14ac:dyDescent="0.25"/>
    <row r="115939" s="12" customFormat="1" x14ac:dyDescent="0.25"/>
    <row r="115940" s="12" customFormat="1" x14ac:dyDescent="0.25"/>
    <row r="115941" s="12" customFormat="1" x14ac:dyDescent="0.25"/>
    <row r="115942" s="12" customFormat="1" x14ac:dyDescent="0.25"/>
    <row r="115943" s="12" customFormat="1" x14ac:dyDescent="0.25"/>
    <row r="115944" s="12" customFormat="1" x14ac:dyDescent="0.25"/>
    <row r="115945" s="12" customFormat="1" x14ac:dyDescent="0.25"/>
    <row r="115946" s="12" customFormat="1" x14ac:dyDescent="0.25"/>
    <row r="115947" s="12" customFormat="1" x14ac:dyDescent="0.25"/>
    <row r="115948" s="12" customFormat="1" x14ac:dyDescent="0.25"/>
    <row r="115949" s="12" customFormat="1" x14ac:dyDescent="0.25"/>
    <row r="115950" s="12" customFormat="1" x14ac:dyDescent="0.25"/>
    <row r="115951" s="12" customFormat="1" x14ac:dyDescent="0.25"/>
    <row r="115952" s="12" customFormat="1" x14ac:dyDescent="0.25"/>
    <row r="115953" s="12" customFormat="1" x14ac:dyDescent="0.25"/>
    <row r="115954" s="12" customFormat="1" x14ac:dyDescent="0.25"/>
    <row r="115955" s="12" customFormat="1" x14ac:dyDescent="0.25"/>
    <row r="115956" s="12" customFormat="1" x14ac:dyDescent="0.25"/>
    <row r="115957" s="12" customFormat="1" x14ac:dyDescent="0.25"/>
    <row r="115958" s="12" customFormat="1" x14ac:dyDescent="0.25"/>
    <row r="115959" s="12" customFormat="1" x14ac:dyDescent="0.25"/>
    <row r="115960" s="12" customFormat="1" x14ac:dyDescent="0.25"/>
    <row r="115961" s="12" customFormat="1" x14ac:dyDescent="0.25"/>
    <row r="115962" s="12" customFormat="1" x14ac:dyDescent="0.25"/>
    <row r="115963" s="12" customFormat="1" x14ac:dyDescent="0.25"/>
    <row r="115964" s="12" customFormat="1" x14ac:dyDescent="0.25"/>
    <row r="115965" s="12" customFormat="1" x14ac:dyDescent="0.25"/>
    <row r="115966" s="12" customFormat="1" x14ac:dyDescent="0.25"/>
    <row r="115967" s="12" customFormat="1" x14ac:dyDescent="0.25"/>
    <row r="115968" s="12" customFormat="1" x14ac:dyDescent="0.25"/>
    <row r="115969" s="12" customFormat="1" x14ac:dyDescent="0.25"/>
    <row r="115970" s="12" customFormat="1" x14ac:dyDescent="0.25"/>
    <row r="115971" s="12" customFormat="1" x14ac:dyDescent="0.25"/>
    <row r="115972" s="12" customFormat="1" x14ac:dyDescent="0.25"/>
    <row r="115973" s="12" customFormat="1" x14ac:dyDescent="0.25"/>
    <row r="115974" s="12" customFormat="1" x14ac:dyDescent="0.25"/>
    <row r="115975" s="12" customFormat="1" x14ac:dyDescent="0.25"/>
    <row r="115976" s="12" customFormat="1" x14ac:dyDescent="0.25"/>
    <row r="115977" s="12" customFormat="1" x14ac:dyDescent="0.25"/>
    <row r="115978" s="12" customFormat="1" x14ac:dyDescent="0.25"/>
    <row r="115979" s="12" customFormat="1" x14ac:dyDescent="0.25"/>
    <row r="115980" s="12" customFormat="1" x14ac:dyDescent="0.25"/>
    <row r="115981" s="12" customFormat="1" x14ac:dyDescent="0.25"/>
    <row r="115982" s="12" customFormat="1" x14ac:dyDescent="0.25"/>
    <row r="115983" s="12" customFormat="1" x14ac:dyDescent="0.25"/>
    <row r="115984" s="12" customFormat="1" x14ac:dyDescent="0.25"/>
    <row r="115985" s="12" customFormat="1" x14ac:dyDescent="0.25"/>
    <row r="115986" s="12" customFormat="1" x14ac:dyDescent="0.25"/>
    <row r="115987" s="12" customFormat="1" x14ac:dyDescent="0.25"/>
    <row r="115988" s="12" customFormat="1" x14ac:dyDescent="0.25"/>
    <row r="115989" s="12" customFormat="1" x14ac:dyDescent="0.25"/>
    <row r="115990" s="12" customFormat="1" x14ac:dyDescent="0.25"/>
    <row r="115991" s="12" customFormat="1" x14ac:dyDescent="0.25"/>
    <row r="115992" s="12" customFormat="1" x14ac:dyDescent="0.25"/>
    <row r="115993" s="12" customFormat="1" x14ac:dyDescent="0.25"/>
    <row r="115994" s="12" customFormat="1" x14ac:dyDescent="0.25"/>
    <row r="115995" s="12" customFormat="1" x14ac:dyDescent="0.25"/>
    <row r="115996" s="12" customFormat="1" x14ac:dyDescent="0.25"/>
    <row r="115997" s="12" customFormat="1" x14ac:dyDescent="0.25"/>
    <row r="115998" s="12" customFormat="1" x14ac:dyDescent="0.25"/>
    <row r="115999" s="12" customFormat="1" x14ac:dyDescent="0.25"/>
    <row r="116000" s="12" customFormat="1" x14ac:dyDescent="0.25"/>
    <row r="116001" s="12" customFormat="1" x14ac:dyDescent="0.25"/>
    <row r="116002" s="12" customFormat="1" x14ac:dyDescent="0.25"/>
    <row r="116003" s="12" customFormat="1" x14ac:dyDescent="0.25"/>
    <row r="116004" s="12" customFormat="1" x14ac:dyDescent="0.25"/>
    <row r="116005" s="12" customFormat="1" x14ac:dyDescent="0.25"/>
    <row r="116006" s="12" customFormat="1" x14ac:dyDescent="0.25"/>
    <row r="116007" s="12" customFormat="1" x14ac:dyDescent="0.25"/>
    <row r="116008" s="12" customFormat="1" x14ac:dyDescent="0.25"/>
    <row r="116009" s="12" customFormat="1" x14ac:dyDescent="0.25"/>
    <row r="116010" s="12" customFormat="1" x14ac:dyDescent="0.25"/>
    <row r="116011" s="12" customFormat="1" x14ac:dyDescent="0.25"/>
    <row r="116012" s="12" customFormat="1" x14ac:dyDescent="0.25"/>
    <row r="116013" s="12" customFormat="1" x14ac:dyDescent="0.25"/>
    <row r="116014" s="12" customFormat="1" x14ac:dyDescent="0.25"/>
    <row r="116015" s="12" customFormat="1" x14ac:dyDescent="0.25"/>
    <row r="116016" s="12" customFormat="1" x14ac:dyDescent="0.25"/>
    <row r="116017" s="12" customFormat="1" x14ac:dyDescent="0.25"/>
    <row r="116018" s="12" customFormat="1" x14ac:dyDescent="0.25"/>
    <row r="116019" s="12" customFormat="1" x14ac:dyDescent="0.25"/>
    <row r="116020" s="12" customFormat="1" x14ac:dyDescent="0.25"/>
    <row r="116021" s="12" customFormat="1" x14ac:dyDescent="0.25"/>
    <row r="116022" s="12" customFormat="1" x14ac:dyDescent="0.25"/>
    <row r="116023" s="12" customFormat="1" x14ac:dyDescent="0.25"/>
    <row r="116024" s="12" customFormat="1" x14ac:dyDescent="0.25"/>
    <row r="116025" s="12" customFormat="1" x14ac:dyDescent="0.25"/>
    <row r="116026" s="12" customFormat="1" x14ac:dyDescent="0.25"/>
    <row r="116027" s="12" customFormat="1" x14ac:dyDescent="0.25"/>
    <row r="116028" s="12" customFormat="1" x14ac:dyDescent="0.25"/>
    <row r="116029" s="12" customFormat="1" x14ac:dyDescent="0.25"/>
    <row r="116030" s="12" customFormat="1" x14ac:dyDescent="0.25"/>
    <row r="116031" s="12" customFormat="1" x14ac:dyDescent="0.25"/>
    <row r="116032" s="12" customFormat="1" x14ac:dyDescent="0.25"/>
    <row r="116033" s="12" customFormat="1" x14ac:dyDescent="0.25"/>
    <row r="116034" s="12" customFormat="1" x14ac:dyDescent="0.25"/>
    <row r="116035" s="12" customFormat="1" x14ac:dyDescent="0.25"/>
    <row r="116036" s="12" customFormat="1" x14ac:dyDescent="0.25"/>
    <row r="116037" s="12" customFormat="1" x14ac:dyDescent="0.25"/>
    <row r="116038" s="12" customFormat="1" x14ac:dyDescent="0.25"/>
    <row r="116039" s="12" customFormat="1" x14ac:dyDescent="0.25"/>
    <row r="116040" s="12" customFormat="1" x14ac:dyDescent="0.25"/>
    <row r="116041" s="12" customFormat="1" x14ac:dyDescent="0.25"/>
    <row r="116042" s="12" customFormat="1" x14ac:dyDescent="0.25"/>
    <row r="116043" s="12" customFormat="1" x14ac:dyDescent="0.25"/>
    <row r="116044" s="12" customFormat="1" x14ac:dyDescent="0.25"/>
    <row r="116045" s="12" customFormat="1" x14ac:dyDescent="0.25"/>
    <row r="116046" s="12" customFormat="1" x14ac:dyDescent="0.25"/>
    <row r="116047" s="12" customFormat="1" x14ac:dyDescent="0.25"/>
    <row r="116048" s="12" customFormat="1" x14ac:dyDescent="0.25"/>
    <row r="116049" s="12" customFormat="1" x14ac:dyDescent="0.25"/>
    <row r="116050" s="12" customFormat="1" x14ac:dyDescent="0.25"/>
    <row r="116051" s="12" customFormat="1" x14ac:dyDescent="0.25"/>
    <row r="116052" s="12" customFormat="1" x14ac:dyDescent="0.25"/>
    <row r="116053" s="12" customFormat="1" x14ac:dyDescent="0.25"/>
    <row r="116054" s="12" customFormat="1" x14ac:dyDescent="0.25"/>
    <row r="116055" s="12" customFormat="1" x14ac:dyDescent="0.25"/>
    <row r="116056" s="12" customFormat="1" x14ac:dyDescent="0.25"/>
    <row r="116057" s="12" customFormat="1" x14ac:dyDescent="0.25"/>
    <row r="116058" s="12" customFormat="1" x14ac:dyDescent="0.25"/>
    <row r="116059" s="12" customFormat="1" x14ac:dyDescent="0.25"/>
    <row r="116060" s="12" customFormat="1" x14ac:dyDescent="0.25"/>
    <row r="116061" s="12" customFormat="1" x14ac:dyDescent="0.25"/>
    <row r="116062" s="12" customFormat="1" x14ac:dyDescent="0.25"/>
    <row r="116063" s="12" customFormat="1" x14ac:dyDescent="0.25"/>
    <row r="116064" s="12" customFormat="1" x14ac:dyDescent="0.25"/>
    <row r="116065" s="12" customFormat="1" x14ac:dyDescent="0.25"/>
    <row r="116066" s="12" customFormat="1" x14ac:dyDescent="0.25"/>
    <row r="116067" s="12" customFormat="1" x14ac:dyDescent="0.25"/>
    <row r="116068" s="12" customFormat="1" x14ac:dyDescent="0.25"/>
    <row r="116069" s="12" customFormat="1" x14ac:dyDescent="0.25"/>
    <row r="116070" s="12" customFormat="1" x14ac:dyDescent="0.25"/>
    <row r="116071" s="12" customFormat="1" x14ac:dyDescent="0.25"/>
    <row r="116072" s="12" customFormat="1" x14ac:dyDescent="0.25"/>
    <row r="116073" s="12" customFormat="1" x14ac:dyDescent="0.25"/>
    <row r="116074" s="12" customFormat="1" x14ac:dyDescent="0.25"/>
    <row r="116075" s="12" customFormat="1" x14ac:dyDescent="0.25"/>
    <row r="116076" s="12" customFormat="1" x14ac:dyDescent="0.25"/>
    <row r="116077" s="12" customFormat="1" x14ac:dyDescent="0.25"/>
    <row r="116078" s="12" customFormat="1" x14ac:dyDescent="0.25"/>
    <row r="116079" s="12" customFormat="1" x14ac:dyDescent="0.25"/>
    <row r="116080" s="12" customFormat="1" x14ac:dyDescent="0.25"/>
    <row r="116081" s="12" customFormat="1" x14ac:dyDescent="0.25"/>
    <row r="116082" s="12" customFormat="1" x14ac:dyDescent="0.25"/>
    <row r="116083" s="12" customFormat="1" x14ac:dyDescent="0.25"/>
    <row r="116084" s="12" customFormat="1" x14ac:dyDescent="0.25"/>
    <row r="116085" s="12" customFormat="1" x14ac:dyDescent="0.25"/>
    <row r="116086" s="12" customFormat="1" x14ac:dyDescent="0.25"/>
    <row r="116087" s="12" customFormat="1" x14ac:dyDescent="0.25"/>
    <row r="116088" s="12" customFormat="1" x14ac:dyDescent="0.25"/>
    <row r="116089" s="12" customFormat="1" x14ac:dyDescent="0.25"/>
    <row r="116090" s="12" customFormat="1" x14ac:dyDescent="0.25"/>
    <row r="116091" s="12" customFormat="1" x14ac:dyDescent="0.25"/>
    <row r="116092" s="12" customFormat="1" x14ac:dyDescent="0.25"/>
    <row r="116093" s="12" customFormat="1" x14ac:dyDescent="0.25"/>
    <row r="116094" s="12" customFormat="1" x14ac:dyDescent="0.25"/>
    <row r="116095" s="12" customFormat="1" x14ac:dyDescent="0.25"/>
    <row r="116096" s="12" customFormat="1" x14ac:dyDescent="0.25"/>
    <row r="116097" s="12" customFormat="1" x14ac:dyDescent="0.25"/>
    <row r="116098" s="12" customFormat="1" x14ac:dyDescent="0.25"/>
    <row r="116099" s="12" customFormat="1" x14ac:dyDescent="0.25"/>
    <row r="116100" s="12" customFormat="1" x14ac:dyDescent="0.25"/>
    <row r="116101" s="12" customFormat="1" x14ac:dyDescent="0.25"/>
    <row r="116102" s="12" customFormat="1" x14ac:dyDescent="0.25"/>
    <row r="116103" s="12" customFormat="1" x14ac:dyDescent="0.25"/>
    <row r="116104" s="12" customFormat="1" x14ac:dyDescent="0.25"/>
    <row r="116105" s="12" customFormat="1" x14ac:dyDescent="0.25"/>
    <row r="116106" s="12" customFormat="1" x14ac:dyDescent="0.25"/>
    <row r="116107" s="12" customFormat="1" x14ac:dyDescent="0.25"/>
    <row r="116108" s="12" customFormat="1" x14ac:dyDescent="0.25"/>
    <row r="116109" s="12" customFormat="1" x14ac:dyDescent="0.25"/>
    <row r="116110" s="12" customFormat="1" x14ac:dyDescent="0.25"/>
    <row r="116111" s="12" customFormat="1" x14ac:dyDescent="0.25"/>
    <row r="116112" s="12" customFormat="1" x14ac:dyDescent="0.25"/>
    <row r="116113" s="12" customFormat="1" x14ac:dyDescent="0.25"/>
    <row r="116114" s="12" customFormat="1" x14ac:dyDescent="0.25"/>
    <row r="116115" s="12" customFormat="1" x14ac:dyDescent="0.25"/>
    <row r="116116" s="12" customFormat="1" x14ac:dyDescent="0.25"/>
    <row r="116117" s="12" customFormat="1" x14ac:dyDescent="0.25"/>
    <row r="116118" s="12" customFormat="1" x14ac:dyDescent="0.25"/>
    <row r="116119" s="12" customFormat="1" x14ac:dyDescent="0.25"/>
    <row r="116120" s="12" customFormat="1" x14ac:dyDescent="0.25"/>
    <row r="116121" s="12" customFormat="1" x14ac:dyDescent="0.25"/>
    <row r="116122" s="12" customFormat="1" x14ac:dyDescent="0.25"/>
    <row r="116123" s="12" customFormat="1" x14ac:dyDescent="0.25"/>
    <row r="116124" s="12" customFormat="1" x14ac:dyDescent="0.25"/>
    <row r="116125" s="12" customFormat="1" x14ac:dyDescent="0.25"/>
    <row r="116126" s="12" customFormat="1" x14ac:dyDescent="0.25"/>
    <row r="116127" s="12" customFormat="1" x14ac:dyDescent="0.25"/>
    <row r="116128" s="12" customFormat="1" x14ac:dyDescent="0.25"/>
    <row r="116129" s="12" customFormat="1" x14ac:dyDescent="0.25"/>
    <row r="116130" s="12" customFormat="1" x14ac:dyDescent="0.25"/>
    <row r="116131" s="12" customFormat="1" x14ac:dyDescent="0.25"/>
    <row r="116132" s="12" customFormat="1" x14ac:dyDescent="0.25"/>
    <row r="116133" s="12" customFormat="1" x14ac:dyDescent="0.25"/>
    <row r="116134" s="12" customFormat="1" x14ac:dyDescent="0.25"/>
    <row r="116135" s="12" customFormat="1" x14ac:dyDescent="0.25"/>
    <row r="116136" s="12" customFormat="1" x14ac:dyDescent="0.25"/>
    <row r="116137" s="12" customFormat="1" x14ac:dyDescent="0.25"/>
    <row r="116138" s="12" customFormat="1" x14ac:dyDescent="0.25"/>
    <row r="116139" s="12" customFormat="1" x14ac:dyDescent="0.25"/>
    <row r="116140" s="12" customFormat="1" x14ac:dyDescent="0.25"/>
    <row r="116141" s="12" customFormat="1" x14ac:dyDescent="0.25"/>
    <row r="116142" s="12" customFormat="1" x14ac:dyDescent="0.25"/>
    <row r="116143" s="12" customFormat="1" x14ac:dyDescent="0.25"/>
    <row r="116144" s="12" customFormat="1" x14ac:dyDescent="0.25"/>
    <row r="116145" s="12" customFormat="1" x14ac:dyDescent="0.25"/>
    <row r="116146" s="12" customFormat="1" x14ac:dyDescent="0.25"/>
    <row r="116147" s="12" customFormat="1" x14ac:dyDescent="0.25"/>
    <row r="116148" s="12" customFormat="1" x14ac:dyDescent="0.25"/>
    <row r="116149" s="12" customFormat="1" x14ac:dyDescent="0.25"/>
    <row r="116150" s="12" customFormat="1" x14ac:dyDescent="0.25"/>
    <row r="116151" s="12" customFormat="1" x14ac:dyDescent="0.25"/>
    <row r="116152" s="12" customFormat="1" x14ac:dyDescent="0.25"/>
    <row r="116153" s="12" customFormat="1" x14ac:dyDescent="0.25"/>
    <row r="116154" s="12" customFormat="1" x14ac:dyDescent="0.25"/>
    <row r="116155" s="12" customFormat="1" x14ac:dyDescent="0.25"/>
    <row r="116156" s="12" customFormat="1" x14ac:dyDescent="0.25"/>
    <row r="116157" s="12" customFormat="1" x14ac:dyDescent="0.25"/>
    <row r="116158" s="12" customFormat="1" x14ac:dyDescent="0.25"/>
    <row r="116159" s="12" customFormat="1" x14ac:dyDescent="0.25"/>
    <row r="116160" s="12" customFormat="1" x14ac:dyDescent="0.25"/>
    <row r="116161" s="12" customFormat="1" x14ac:dyDescent="0.25"/>
    <row r="116162" s="12" customFormat="1" x14ac:dyDescent="0.25"/>
    <row r="116163" s="12" customFormat="1" x14ac:dyDescent="0.25"/>
    <row r="116164" s="12" customFormat="1" x14ac:dyDescent="0.25"/>
    <row r="116165" s="12" customFormat="1" x14ac:dyDescent="0.25"/>
    <row r="116166" s="12" customFormat="1" x14ac:dyDescent="0.25"/>
    <row r="116167" s="12" customFormat="1" x14ac:dyDescent="0.25"/>
    <row r="116168" s="12" customFormat="1" x14ac:dyDescent="0.25"/>
    <row r="116169" s="12" customFormat="1" x14ac:dyDescent="0.25"/>
    <row r="116170" s="12" customFormat="1" x14ac:dyDescent="0.25"/>
    <row r="116171" s="12" customFormat="1" x14ac:dyDescent="0.25"/>
    <row r="116172" s="12" customFormat="1" x14ac:dyDescent="0.25"/>
    <row r="116173" s="12" customFormat="1" x14ac:dyDescent="0.25"/>
    <row r="116174" s="12" customFormat="1" x14ac:dyDescent="0.25"/>
    <row r="116175" s="12" customFormat="1" x14ac:dyDescent="0.25"/>
    <row r="116176" s="12" customFormat="1" x14ac:dyDescent="0.25"/>
    <row r="116177" s="12" customFormat="1" x14ac:dyDescent="0.25"/>
    <row r="116178" s="12" customFormat="1" x14ac:dyDescent="0.25"/>
    <row r="116179" s="12" customFormat="1" x14ac:dyDescent="0.25"/>
    <row r="116180" s="12" customFormat="1" x14ac:dyDescent="0.25"/>
    <row r="116181" s="12" customFormat="1" x14ac:dyDescent="0.25"/>
    <row r="116182" s="12" customFormat="1" x14ac:dyDescent="0.25"/>
    <row r="116183" s="12" customFormat="1" x14ac:dyDescent="0.25"/>
    <row r="116184" s="12" customFormat="1" x14ac:dyDescent="0.25"/>
    <row r="116185" s="12" customFormat="1" x14ac:dyDescent="0.25"/>
    <row r="116186" s="12" customFormat="1" x14ac:dyDescent="0.25"/>
    <row r="116187" s="12" customFormat="1" x14ac:dyDescent="0.25"/>
    <row r="116188" s="12" customFormat="1" x14ac:dyDescent="0.25"/>
    <row r="116189" s="12" customFormat="1" x14ac:dyDescent="0.25"/>
    <row r="116190" s="12" customFormat="1" x14ac:dyDescent="0.25"/>
    <row r="116191" s="12" customFormat="1" x14ac:dyDescent="0.25"/>
    <row r="116192" s="12" customFormat="1" x14ac:dyDescent="0.25"/>
    <row r="116193" s="12" customFormat="1" x14ac:dyDescent="0.25"/>
    <row r="116194" s="12" customFormat="1" x14ac:dyDescent="0.25"/>
    <row r="116195" s="12" customFormat="1" x14ac:dyDescent="0.25"/>
    <row r="116196" s="12" customFormat="1" x14ac:dyDescent="0.25"/>
    <row r="116197" s="12" customFormat="1" x14ac:dyDescent="0.25"/>
    <row r="116198" s="12" customFormat="1" x14ac:dyDescent="0.25"/>
    <row r="116199" s="12" customFormat="1" x14ac:dyDescent="0.25"/>
    <row r="116200" s="12" customFormat="1" x14ac:dyDescent="0.25"/>
    <row r="116201" s="12" customFormat="1" x14ac:dyDescent="0.25"/>
    <row r="116202" s="12" customFormat="1" x14ac:dyDescent="0.25"/>
    <row r="116203" s="12" customFormat="1" x14ac:dyDescent="0.25"/>
    <row r="116204" s="12" customFormat="1" x14ac:dyDescent="0.25"/>
    <row r="116205" s="12" customFormat="1" x14ac:dyDescent="0.25"/>
    <row r="116206" s="12" customFormat="1" x14ac:dyDescent="0.25"/>
    <row r="116207" s="12" customFormat="1" x14ac:dyDescent="0.25"/>
    <row r="116208" s="12" customFormat="1" x14ac:dyDescent="0.25"/>
    <row r="116209" s="12" customFormat="1" x14ac:dyDescent="0.25"/>
    <row r="116210" s="12" customFormat="1" x14ac:dyDescent="0.25"/>
    <row r="116211" s="12" customFormat="1" x14ac:dyDescent="0.25"/>
    <row r="116212" s="12" customFormat="1" x14ac:dyDescent="0.25"/>
    <row r="116213" s="12" customFormat="1" x14ac:dyDescent="0.25"/>
    <row r="116214" s="12" customFormat="1" x14ac:dyDescent="0.25"/>
    <row r="116215" s="12" customFormat="1" x14ac:dyDescent="0.25"/>
    <row r="116216" s="12" customFormat="1" x14ac:dyDescent="0.25"/>
    <row r="116217" s="12" customFormat="1" x14ac:dyDescent="0.25"/>
    <row r="116218" s="12" customFormat="1" x14ac:dyDescent="0.25"/>
    <row r="116219" s="12" customFormat="1" x14ac:dyDescent="0.25"/>
    <row r="116220" s="12" customFormat="1" x14ac:dyDescent="0.25"/>
    <row r="116221" s="12" customFormat="1" x14ac:dyDescent="0.25"/>
    <row r="116222" s="12" customFormat="1" x14ac:dyDescent="0.25"/>
    <row r="116223" s="12" customFormat="1" x14ac:dyDescent="0.25"/>
    <row r="116224" s="12" customFormat="1" x14ac:dyDescent="0.25"/>
    <row r="116225" s="12" customFormat="1" x14ac:dyDescent="0.25"/>
    <row r="116226" s="12" customFormat="1" x14ac:dyDescent="0.25"/>
    <row r="116227" s="12" customFormat="1" x14ac:dyDescent="0.25"/>
    <row r="116228" s="12" customFormat="1" x14ac:dyDescent="0.25"/>
    <row r="116229" s="12" customFormat="1" x14ac:dyDescent="0.25"/>
    <row r="116230" s="12" customFormat="1" x14ac:dyDescent="0.25"/>
    <row r="116231" s="12" customFormat="1" x14ac:dyDescent="0.25"/>
    <row r="116232" s="12" customFormat="1" x14ac:dyDescent="0.25"/>
    <row r="116233" s="12" customFormat="1" x14ac:dyDescent="0.25"/>
    <row r="116234" s="12" customFormat="1" x14ac:dyDescent="0.25"/>
    <row r="116235" s="12" customFormat="1" x14ac:dyDescent="0.25"/>
    <row r="116236" s="12" customFormat="1" x14ac:dyDescent="0.25"/>
    <row r="116237" s="12" customFormat="1" x14ac:dyDescent="0.25"/>
    <row r="116238" s="12" customFormat="1" x14ac:dyDescent="0.25"/>
    <row r="116239" s="12" customFormat="1" x14ac:dyDescent="0.25"/>
    <row r="116240" s="12" customFormat="1" x14ac:dyDescent="0.25"/>
    <row r="116241" s="12" customFormat="1" x14ac:dyDescent="0.25"/>
    <row r="116242" s="12" customFormat="1" x14ac:dyDescent="0.25"/>
    <row r="116243" s="12" customFormat="1" x14ac:dyDescent="0.25"/>
    <row r="116244" s="12" customFormat="1" x14ac:dyDescent="0.25"/>
    <row r="116245" s="12" customFormat="1" x14ac:dyDescent="0.25"/>
    <row r="116246" s="12" customFormat="1" x14ac:dyDescent="0.25"/>
    <row r="116247" s="12" customFormat="1" x14ac:dyDescent="0.25"/>
    <row r="116248" s="12" customFormat="1" x14ac:dyDescent="0.25"/>
    <row r="116249" s="12" customFormat="1" x14ac:dyDescent="0.25"/>
    <row r="116250" s="12" customFormat="1" x14ac:dyDescent="0.25"/>
    <row r="116251" s="12" customFormat="1" x14ac:dyDescent="0.25"/>
    <row r="116252" s="12" customFormat="1" x14ac:dyDescent="0.25"/>
    <row r="116253" s="12" customFormat="1" x14ac:dyDescent="0.25"/>
    <row r="116254" s="12" customFormat="1" x14ac:dyDescent="0.25"/>
    <row r="116255" s="12" customFormat="1" x14ac:dyDescent="0.25"/>
    <row r="116256" s="12" customFormat="1" x14ac:dyDescent="0.25"/>
    <row r="116257" s="12" customFormat="1" x14ac:dyDescent="0.25"/>
    <row r="116258" s="12" customFormat="1" x14ac:dyDescent="0.25"/>
    <row r="116259" s="12" customFormat="1" x14ac:dyDescent="0.25"/>
    <row r="116260" s="12" customFormat="1" x14ac:dyDescent="0.25"/>
    <row r="116261" s="12" customFormat="1" x14ac:dyDescent="0.25"/>
    <row r="116262" s="12" customFormat="1" x14ac:dyDescent="0.25"/>
    <row r="116263" s="12" customFormat="1" x14ac:dyDescent="0.25"/>
    <row r="116264" s="12" customFormat="1" x14ac:dyDescent="0.25"/>
    <row r="116265" s="12" customFormat="1" x14ac:dyDescent="0.25"/>
    <row r="116266" s="12" customFormat="1" x14ac:dyDescent="0.25"/>
    <row r="116267" s="12" customFormat="1" x14ac:dyDescent="0.25"/>
    <row r="116268" s="12" customFormat="1" x14ac:dyDescent="0.25"/>
    <row r="116269" s="12" customFormat="1" x14ac:dyDescent="0.25"/>
    <row r="116270" s="12" customFormat="1" x14ac:dyDescent="0.25"/>
    <row r="116271" s="12" customFormat="1" x14ac:dyDescent="0.25"/>
    <row r="116272" s="12" customFormat="1" x14ac:dyDescent="0.25"/>
    <row r="116273" s="12" customFormat="1" x14ac:dyDescent="0.25"/>
    <row r="116274" s="12" customFormat="1" x14ac:dyDescent="0.25"/>
    <row r="116275" s="12" customFormat="1" x14ac:dyDescent="0.25"/>
    <row r="116276" s="12" customFormat="1" x14ac:dyDescent="0.25"/>
    <row r="116277" s="12" customFormat="1" x14ac:dyDescent="0.25"/>
    <row r="116278" s="12" customFormat="1" x14ac:dyDescent="0.25"/>
    <row r="116279" s="12" customFormat="1" x14ac:dyDescent="0.25"/>
    <row r="116280" s="12" customFormat="1" x14ac:dyDescent="0.25"/>
    <row r="116281" s="12" customFormat="1" x14ac:dyDescent="0.25"/>
    <row r="116282" s="12" customFormat="1" x14ac:dyDescent="0.25"/>
    <row r="116283" s="12" customFormat="1" x14ac:dyDescent="0.25"/>
    <row r="116284" s="12" customFormat="1" x14ac:dyDescent="0.25"/>
    <row r="116285" s="12" customFormat="1" x14ac:dyDescent="0.25"/>
    <row r="116286" s="12" customFormat="1" x14ac:dyDescent="0.25"/>
    <row r="116287" s="12" customFormat="1" x14ac:dyDescent="0.25"/>
    <row r="116288" s="12" customFormat="1" x14ac:dyDescent="0.25"/>
    <row r="116289" s="12" customFormat="1" x14ac:dyDescent="0.25"/>
    <row r="116290" s="12" customFormat="1" x14ac:dyDescent="0.25"/>
    <row r="116291" s="12" customFormat="1" x14ac:dyDescent="0.25"/>
    <row r="116292" s="12" customFormat="1" x14ac:dyDescent="0.25"/>
    <row r="116293" s="12" customFormat="1" x14ac:dyDescent="0.25"/>
    <row r="116294" s="12" customFormat="1" x14ac:dyDescent="0.25"/>
    <row r="116295" s="12" customFormat="1" x14ac:dyDescent="0.25"/>
    <row r="116296" s="12" customFormat="1" x14ac:dyDescent="0.25"/>
    <row r="116297" s="12" customFormat="1" x14ac:dyDescent="0.25"/>
    <row r="116298" s="12" customFormat="1" x14ac:dyDescent="0.25"/>
    <row r="116299" s="12" customFormat="1" x14ac:dyDescent="0.25"/>
    <row r="116300" s="12" customFormat="1" x14ac:dyDescent="0.25"/>
    <row r="116301" s="12" customFormat="1" x14ac:dyDescent="0.25"/>
    <row r="116302" s="12" customFormat="1" x14ac:dyDescent="0.25"/>
    <row r="116303" s="12" customFormat="1" x14ac:dyDescent="0.25"/>
    <row r="116304" s="12" customFormat="1" x14ac:dyDescent="0.25"/>
    <row r="116305" s="12" customFormat="1" x14ac:dyDescent="0.25"/>
    <row r="116306" s="12" customFormat="1" x14ac:dyDescent="0.25"/>
    <row r="116307" s="12" customFormat="1" x14ac:dyDescent="0.25"/>
    <row r="116308" s="12" customFormat="1" x14ac:dyDescent="0.25"/>
    <row r="116309" s="12" customFormat="1" x14ac:dyDescent="0.25"/>
    <row r="116310" s="12" customFormat="1" x14ac:dyDescent="0.25"/>
    <row r="116311" s="12" customFormat="1" x14ac:dyDescent="0.25"/>
    <row r="116312" s="12" customFormat="1" x14ac:dyDescent="0.25"/>
    <row r="116313" s="12" customFormat="1" x14ac:dyDescent="0.25"/>
    <row r="116314" s="12" customFormat="1" x14ac:dyDescent="0.25"/>
    <row r="116315" s="12" customFormat="1" x14ac:dyDescent="0.25"/>
    <row r="116316" s="12" customFormat="1" x14ac:dyDescent="0.25"/>
    <row r="116317" s="12" customFormat="1" x14ac:dyDescent="0.25"/>
    <row r="116318" s="12" customFormat="1" x14ac:dyDescent="0.25"/>
    <row r="116319" s="12" customFormat="1" x14ac:dyDescent="0.25"/>
    <row r="116320" s="12" customFormat="1" x14ac:dyDescent="0.25"/>
    <row r="116321" s="12" customFormat="1" x14ac:dyDescent="0.25"/>
    <row r="116322" s="12" customFormat="1" x14ac:dyDescent="0.25"/>
    <row r="116323" s="12" customFormat="1" x14ac:dyDescent="0.25"/>
    <row r="116324" s="12" customFormat="1" x14ac:dyDescent="0.25"/>
    <row r="116325" s="12" customFormat="1" x14ac:dyDescent="0.25"/>
    <row r="116326" s="12" customFormat="1" x14ac:dyDescent="0.25"/>
    <row r="116327" s="12" customFormat="1" x14ac:dyDescent="0.25"/>
    <row r="116328" s="12" customFormat="1" x14ac:dyDescent="0.25"/>
    <row r="116329" s="12" customFormat="1" x14ac:dyDescent="0.25"/>
    <row r="116330" s="12" customFormat="1" x14ac:dyDescent="0.25"/>
    <row r="116331" s="12" customFormat="1" x14ac:dyDescent="0.25"/>
    <row r="116332" s="12" customFormat="1" x14ac:dyDescent="0.25"/>
    <row r="116333" s="12" customFormat="1" x14ac:dyDescent="0.25"/>
    <row r="116334" s="12" customFormat="1" x14ac:dyDescent="0.25"/>
    <row r="116335" s="12" customFormat="1" x14ac:dyDescent="0.25"/>
    <row r="116336" s="12" customFormat="1" x14ac:dyDescent="0.25"/>
    <row r="116337" s="12" customFormat="1" x14ac:dyDescent="0.25"/>
    <row r="116338" s="12" customFormat="1" x14ac:dyDescent="0.25"/>
    <row r="116339" s="12" customFormat="1" x14ac:dyDescent="0.25"/>
    <row r="116340" s="12" customFormat="1" x14ac:dyDescent="0.25"/>
    <row r="116341" s="12" customFormat="1" x14ac:dyDescent="0.25"/>
    <row r="116342" s="12" customFormat="1" x14ac:dyDescent="0.25"/>
    <row r="116343" s="12" customFormat="1" x14ac:dyDescent="0.25"/>
    <row r="116344" s="12" customFormat="1" x14ac:dyDescent="0.25"/>
    <row r="116345" s="12" customFormat="1" x14ac:dyDescent="0.25"/>
    <row r="116346" s="12" customFormat="1" x14ac:dyDescent="0.25"/>
    <row r="116347" s="12" customFormat="1" x14ac:dyDescent="0.25"/>
    <row r="116348" s="12" customFormat="1" x14ac:dyDescent="0.25"/>
    <row r="116349" s="12" customFormat="1" x14ac:dyDescent="0.25"/>
    <row r="116350" s="12" customFormat="1" x14ac:dyDescent="0.25"/>
    <row r="116351" s="12" customFormat="1" x14ac:dyDescent="0.25"/>
    <row r="116352" s="12" customFormat="1" x14ac:dyDescent="0.25"/>
    <row r="116353" s="12" customFormat="1" x14ac:dyDescent="0.25"/>
    <row r="116354" s="12" customFormat="1" x14ac:dyDescent="0.25"/>
    <row r="116355" s="12" customFormat="1" x14ac:dyDescent="0.25"/>
    <row r="116356" s="12" customFormat="1" x14ac:dyDescent="0.25"/>
    <row r="116357" s="12" customFormat="1" x14ac:dyDescent="0.25"/>
    <row r="116358" s="12" customFormat="1" x14ac:dyDescent="0.25"/>
    <row r="116359" s="12" customFormat="1" x14ac:dyDescent="0.25"/>
    <row r="116360" s="12" customFormat="1" x14ac:dyDescent="0.25"/>
    <row r="116361" s="12" customFormat="1" x14ac:dyDescent="0.25"/>
    <row r="116362" s="12" customFormat="1" x14ac:dyDescent="0.25"/>
    <row r="116363" s="12" customFormat="1" x14ac:dyDescent="0.25"/>
    <row r="116364" s="12" customFormat="1" x14ac:dyDescent="0.25"/>
    <row r="116365" s="12" customFormat="1" x14ac:dyDescent="0.25"/>
    <row r="116366" s="12" customFormat="1" x14ac:dyDescent="0.25"/>
    <row r="116367" s="12" customFormat="1" x14ac:dyDescent="0.25"/>
    <row r="116368" s="12" customFormat="1" x14ac:dyDescent="0.25"/>
    <row r="116369" s="12" customFormat="1" x14ac:dyDescent="0.25"/>
    <row r="116370" s="12" customFormat="1" x14ac:dyDescent="0.25"/>
    <row r="116371" s="12" customFormat="1" x14ac:dyDescent="0.25"/>
    <row r="116372" s="12" customFormat="1" x14ac:dyDescent="0.25"/>
    <row r="116373" s="12" customFormat="1" x14ac:dyDescent="0.25"/>
    <row r="116374" s="12" customFormat="1" x14ac:dyDescent="0.25"/>
    <row r="116375" s="12" customFormat="1" x14ac:dyDescent="0.25"/>
    <row r="116376" s="12" customFormat="1" x14ac:dyDescent="0.25"/>
    <row r="116377" s="12" customFormat="1" x14ac:dyDescent="0.25"/>
    <row r="116378" s="12" customFormat="1" x14ac:dyDescent="0.25"/>
    <row r="116379" s="12" customFormat="1" x14ac:dyDescent="0.25"/>
    <row r="116380" s="12" customFormat="1" x14ac:dyDescent="0.25"/>
    <row r="116381" s="12" customFormat="1" x14ac:dyDescent="0.25"/>
    <row r="116382" s="12" customFormat="1" x14ac:dyDescent="0.25"/>
    <row r="116383" s="12" customFormat="1" x14ac:dyDescent="0.25"/>
    <row r="116384" s="12" customFormat="1" x14ac:dyDescent="0.25"/>
    <row r="116385" s="12" customFormat="1" x14ac:dyDescent="0.25"/>
    <row r="116386" s="12" customFormat="1" x14ac:dyDescent="0.25"/>
    <row r="116387" s="12" customFormat="1" x14ac:dyDescent="0.25"/>
    <row r="116388" s="12" customFormat="1" x14ac:dyDescent="0.25"/>
    <row r="116389" s="12" customFormat="1" x14ac:dyDescent="0.25"/>
    <row r="116390" s="12" customFormat="1" x14ac:dyDescent="0.25"/>
    <row r="116391" s="12" customFormat="1" x14ac:dyDescent="0.25"/>
    <row r="116392" s="12" customFormat="1" x14ac:dyDescent="0.25"/>
    <row r="116393" s="12" customFormat="1" x14ac:dyDescent="0.25"/>
    <row r="116394" s="12" customFormat="1" x14ac:dyDescent="0.25"/>
    <row r="116395" s="12" customFormat="1" x14ac:dyDescent="0.25"/>
    <row r="116396" s="12" customFormat="1" x14ac:dyDescent="0.25"/>
    <row r="116397" s="12" customFormat="1" x14ac:dyDescent="0.25"/>
    <row r="116398" s="12" customFormat="1" x14ac:dyDescent="0.25"/>
    <row r="116399" s="12" customFormat="1" x14ac:dyDescent="0.25"/>
    <row r="116400" s="12" customFormat="1" x14ac:dyDescent="0.25"/>
    <row r="116401" s="12" customFormat="1" x14ac:dyDescent="0.25"/>
    <row r="116402" s="12" customFormat="1" x14ac:dyDescent="0.25"/>
    <row r="116403" s="12" customFormat="1" x14ac:dyDescent="0.25"/>
    <row r="116404" s="12" customFormat="1" x14ac:dyDescent="0.25"/>
    <row r="116405" s="12" customFormat="1" x14ac:dyDescent="0.25"/>
    <row r="116406" s="12" customFormat="1" x14ac:dyDescent="0.25"/>
    <row r="116407" s="12" customFormat="1" x14ac:dyDescent="0.25"/>
    <row r="116408" s="12" customFormat="1" x14ac:dyDescent="0.25"/>
    <row r="116409" s="12" customFormat="1" x14ac:dyDescent="0.25"/>
    <row r="116410" s="12" customFormat="1" x14ac:dyDescent="0.25"/>
    <row r="116411" s="12" customFormat="1" x14ac:dyDescent="0.25"/>
    <row r="116412" s="12" customFormat="1" x14ac:dyDescent="0.25"/>
    <row r="116413" s="12" customFormat="1" x14ac:dyDescent="0.25"/>
    <row r="116414" s="12" customFormat="1" x14ac:dyDescent="0.25"/>
    <row r="116415" s="12" customFormat="1" x14ac:dyDescent="0.25"/>
    <row r="116416" s="12" customFormat="1" x14ac:dyDescent="0.25"/>
    <row r="116417" s="12" customFormat="1" x14ac:dyDescent="0.25"/>
    <row r="116418" s="12" customFormat="1" x14ac:dyDescent="0.25"/>
    <row r="116419" s="12" customFormat="1" x14ac:dyDescent="0.25"/>
    <row r="116420" s="12" customFormat="1" x14ac:dyDescent="0.25"/>
    <row r="116421" s="12" customFormat="1" x14ac:dyDescent="0.25"/>
    <row r="116422" s="12" customFormat="1" x14ac:dyDescent="0.25"/>
    <row r="116423" s="12" customFormat="1" x14ac:dyDescent="0.25"/>
    <row r="116424" s="12" customFormat="1" x14ac:dyDescent="0.25"/>
    <row r="116425" s="12" customFormat="1" x14ac:dyDescent="0.25"/>
    <row r="116426" s="12" customFormat="1" x14ac:dyDescent="0.25"/>
    <row r="116427" s="12" customFormat="1" x14ac:dyDescent="0.25"/>
    <row r="116428" s="12" customFormat="1" x14ac:dyDescent="0.25"/>
    <row r="116429" s="12" customFormat="1" x14ac:dyDescent="0.25"/>
    <row r="116430" s="12" customFormat="1" x14ac:dyDescent="0.25"/>
    <row r="116431" s="12" customFormat="1" x14ac:dyDescent="0.25"/>
    <row r="116432" s="12" customFormat="1" x14ac:dyDescent="0.25"/>
    <row r="116433" s="12" customFormat="1" x14ac:dyDescent="0.25"/>
    <row r="116434" s="12" customFormat="1" x14ac:dyDescent="0.25"/>
    <row r="116435" s="12" customFormat="1" x14ac:dyDescent="0.25"/>
    <row r="116436" s="12" customFormat="1" x14ac:dyDescent="0.25"/>
    <row r="116437" s="12" customFormat="1" x14ac:dyDescent="0.25"/>
    <row r="116438" s="12" customFormat="1" x14ac:dyDescent="0.25"/>
    <row r="116439" s="12" customFormat="1" x14ac:dyDescent="0.25"/>
    <row r="116440" s="12" customFormat="1" x14ac:dyDescent="0.25"/>
    <row r="116441" s="12" customFormat="1" x14ac:dyDescent="0.25"/>
    <row r="116442" s="12" customFormat="1" x14ac:dyDescent="0.25"/>
    <row r="116443" s="12" customFormat="1" x14ac:dyDescent="0.25"/>
    <row r="116444" s="12" customFormat="1" x14ac:dyDescent="0.25"/>
    <row r="116445" s="12" customFormat="1" x14ac:dyDescent="0.25"/>
    <row r="116446" s="12" customFormat="1" x14ac:dyDescent="0.25"/>
    <row r="116447" s="12" customFormat="1" x14ac:dyDescent="0.25"/>
    <row r="116448" s="12" customFormat="1" x14ac:dyDescent="0.25"/>
    <row r="116449" s="12" customFormat="1" x14ac:dyDescent="0.25"/>
    <row r="116450" s="12" customFormat="1" x14ac:dyDescent="0.25"/>
    <row r="116451" s="12" customFormat="1" x14ac:dyDescent="0.25"/>
    <row r="116452" s="12" customFormat="1" x14ac:dyDescent="0.25"/>
    <row r="116453" s="12" customFormat="1" x14ac:dyDescent="0.25"/>
    <row r="116454" s="12" customFormat="1" x14ac:dyDescent="0.25"/>
    <row r="116455" s="12" customFormat="1" x14ac:dyDescent="0.25"/>
    <row r="116456" s="12" customFormat="1" x14ac:dyDescent="0.25"/>
    <row r="116457" s="12" customFormat="1" x14ac:dyDescent="0.25"/>
    <row r="116458" s="12" customFormat="1" x14ac:dyDescent="0.25"/>
    <row r="116459" s="12" customFormat="1" x14ac:dyDescent="0.25"/>
    <row r="116460" s="12" customFormat="1" x14ac:dyDescent="0.25"/>
    <row r="116461" s="12" customFormat="1" x14ac:dyDescent="0.25"/>
    <row r="116462" s="12" customFormat="1" x14ac:dyDescent="0.25"/>
    <row r="116463" s="12" customFormat="1" x14ac:dyDescent="0.25"/>
    <row r="116464" s="12" customFormat="1" x14ac:dyDescent="0.25"/>
    <row r="116465" s="12" customFormat="1" x14ac:dyDescent="0.25"/>
    <row r="116466" s="12" customFormat="1" x14ac:dyDescent="0.25"/>
    <row r="116467" s="12" customFormat="1" x14ac:dyDescent="0.25"/>
    <row r="116468" s="12" customFormat="1" x14ac:dyDescent="0.25"/>
    <row r="116469" s="12" customFormat="1" x14ac:dyDescent="0.25"/>
    <row r="116470" s="12" customFormat="1" x14ac:dyDescent="0.25"/>
    <row r="116471" s="12" customFormat="1" x14ac:dyDescent="0.25"/>
    <row r="116472" s="12" customFormat="1" x14ac:dyDescent="0.25"/>
    <row r="116473" s="12" customFormat="1" x14ac:dyDescent="0.25"/>
    <row r="116474" s="12" customFormat="1" x14ac:dyDescent="0.25"/>
    <row r="116475" s="12" customFormat="1" x14ac:dyDescent="0.25"/>
    <row r="116476" s="12" customFormat="1" x14ac:dyDescent="0.25"/>
    <row r="116477" s="12" customFormat="1" x14ac:dyDescent="0.25"/>
    <row r="116478" s="12" customFormat="1" x14ac:dyDescent="0.25"/>
    <row r="116479" s="12" customFormat="1" x14ac:dyDescent="0.25"/>
    <row r="116480" s="12" customFormat="1" x14ac:dyDescent="0.25"/>
    <row r="116481" s="12" customFormat="1" x14ac:dyDescent="0.25"/>
    <row r="116482" s="12" customFormat="1" x14ac:dyDescent="0.25"/>
    <row r="116483" s="12" customFormat="1" x14ac:dyDescent="0.25"/>
    <row r="116484" s="12" customFormat="1" x14ac:dyDescent="0.25"/>
    <row r="116485" s="12" customFormat="1" x14ac:dyDescent="0.25"/>
    <row r="116486" s="12" customFormat="1" x14ac:dyDescent="0.25"/>
    <row r="116487" s="12" customFormat="1" x14ac:dyDescent="0.25"/>
    <row r="116488" s="12" customFormat="1" x14ac:dyDescent="0.25"/>
    <row r="116489" s="12" customFormat="1" x14ac:dyDescent="0.25"/>
    <row r="116490" s="12" customFormat="1" x14ac:dyDescent="0.25"/>
    <row r="116491" s="12" customFormat="1" x14ac:dyDescent="0.25"/>
    <row r="116492" s="12" customFormat="1" x14ac:dyDescent="0.25"/>
    <row r="116493" s="12" customFormat="1" x14ac:dyDescent="0.25"/>
    <row r="116494" s="12" customFormat="1" x14ac:dyDescent="0.25"/>
    <row r="116495" s="12" customFormat="1" x14ac:dyDescent="0.25"/>
    <row r="116496" s="12" customFormat="1" x14ac:dyDescent="0.25"/>
    <row r="116497" s="12" customFormat="1" x14ac:dyDescent="0.25"/>
    <row r="116498" s="12" customFormat="1" x14ac:dyDescent="0.25"/>
    <row r="116499" s="12" customFormat="1" x14ac:dyDescent="0.25"/>
    <row r="116500" s="12" customFormat="1" x14ac:dyDescent="0.25"/>
    <row r="116501" s="12" customFormat="1" x14ac:dyDescent="0.25"/>
    <row r="116502" s="12" customFormat="1" x14ac:dyDescent="0.25"/>
    <row r="116503" s="12" customFormat="1" x14ac:dyDescent="0.25"/>
    <row r="116504" s="12" customFormat="1" x14ac:dyDescent="0.25"/>
    <row r="116505" s="12" customFormat="1" x14ac:dyDescent="0.25"/>
    <row r="116506" s="12" customFormat="1" x14ac:dyDescent="0.25"/>
    <row r="116507" s="12" customFormat="1" x14ac:dyDescent="0.25"/>
    <row r="116508" s="12" customFormat="1" x14ac:dyDescent="0.25"/>
    <row r="116509" s="12" customFormat="1" x14ac:dyDescent="0.25"/>
    <row r="116510" s="12" customFormat="1" x14ac:dyDescent="0.25"/>
    <row r="116511" s="12" customFormat="1" x14ac:dyDescent="0.25"/>
    <row r="116512" s="12" customFormat="1" x14ac:dyDescent="0.25"/>
    <row r="116513" s="12" customFormat="1" x14ac:dyDescent="0.25"/>
    <row r="116514" s="12" customFormat="1" x14ac:dyDescent="0.25"/>
    <row r="116515" s="12" customFormat="1" x14ac:dyDescent="0.25"/>
    <row r="116516" s="12" customFormat="1" x14ac:dyDescent="0.25"/>
    <row r="116517" s="12" customFormat="1" x14ac:dyDescent="0.25"/>
    <row r="116518" s="12" customFormat="1" x14ac:dyDescent="0.25"/>
    <row r="116519" s="12" customFormat="1" x14ac:dyDescent="0.25"/>
    <row r="116520" s="12" customFormat="1" x14ac:dyDescent="0.25"/>
    <row r="116521" s="12" customFormat="1" x14ac:dyDescent="0.25"/>
    <row r="116522" s="12" customFormat="1" x14ac:dyDescent="0.25"/>
    <row r="116523" s="12" customFormat="1" x14ac:dyDescent="0.25"/>
    <row r="116524" s="12" customFormat="1" x14ac:dyDescent="0.25"/>
    <row r="116525" s="12" customFormat="1" x14ac:dyDescent="0.25"/>
    <row r="116526" s="12" customFormat="1" x14ac:dyDescent="0.25"/>
    <row r="116527" s="12" customFormat="1" x14ac:dyDescent="0.25"/>
    <row r="116528" s="12" customFormat="1" x14ac:dyDescent="0.25"/>
    <row r="116529" s="12" customFormat="1" x14ac:dyDescent="0.25"/>
    <row r="116530" s="12" customFormat="1" x14ac:dyDescent="0.25"/>
    <row r="116531" s="12" customFormat="1" x14ac:dyDescent="0.25"/>
    <row r="116532" s="12" customFormat="1" x14ac:dyDescent="0.25"/>
    <row r="116533" s="12" customFormat="1" x14ac:dyDescent="0.25"/>
    <row r="116534" s="12" customFormat="1" x14ac:dyDescent="0.25"/>
    <row r="116535" s="12" customFormat="1" x14ac:dyDescent="0.25"/>
    <row r="116536" s="12" customFormat="1" x14ac:dyDescent="0.25"/>
    <row r="116537" s="12" customFormat="1" x14ac:dyDescent="0.25"/>
    <row r="116538" s="12" customFormat="1" x14ac:dyDescent="0.25"/>
    <row r="116539" s="12" customFormat="1" x14ac:dyDescent="0.25"/>
    <row r="116540" s="12" customFormat="1" x14ac:dyDescent="0.25"/>
    <row r="116541" s="12" customFormat="1" x14ac:dyDescent="0.25"/>
    <row r="116542" s="12" customFormat="1" x14ac:dyDescent="0.25"/>
    <row r="116543" s="12" customFormat="1" x14ac:dyDescent="0.25"/>
    <row r="116544" s="12" customFormat="1" x14ac:dyDescent="0.25"/>
    <row r="116545" s="12" customFormat="1" x14ac:dyDescent="0.25"/>
    <row r="116546" s="12" customFormat="1" x14ac:dyDescent="0.25"/>
    <row r="116547" s="12" customFormat="1" x14ac:dyDescent="0.25"/>
    <row r="116548" s="12" customFormat="1" x14ac:dyDescent="0.25"/>
    <row r="116549" s="12" customFormat="1" x14ac:dyDescent="0.25"/>
    <row r="116550" s="12" customFormat="1" x14ac:dyDescent="0.25"/>
    <row r="116551" s="12" customFormat="1" x14ac:dyDescent="0.25"/>
    <row r="116552" s="12" customFormat="1" x14ac:dyDescent="0.25"/>
    <row r="116553" s="12" customFormat="1" x14ac:dyDescent="0.25"/>
    <row r="116554" s="12" customFormat="1" x14ac:dyDescent="0.25"/>
    <row r="116555" s="12" customFormat="1" x14ac:dyDescent="0.25"/>
    <row r="116556" s="12" customFormat="1" x14ac:dyDescent="0.25"/>
    <row r="116557" s="12" customFormat="1" x14ac:dyDescent="0.25"/>
    <row r="116558" s="12" customFormat="1" x14ac:dyDescent="0.25"/>
    <row r="116559" s="12" customFormat="1" x14ac:dyDescent="0.25"/>
    <row r="116560" s="12" customFormat="1" x14ac:dyDescent="0.25"/>
    <row r="116561" s="12" customFormat="1" x14ac:dyDescent="0.25"/>
    <row r="116562" s="12" customFormat="1" x14ac:dyDescent="0.25"/>
    <row r="116563" s="12" customFormat="1" x14ac:dyDescent="0.25"/>
    <row r="116564" s="12" customFormat="1" x14ac:dyDescent="0.25"/>
    <row r="116565" s="12" customFormat="1" x14ac:dyDescent="0.25"/>
    <row r="116566" s="12" customFormat="1" x14ac:dyDescent="0.25"/>
    <row r="116567" s="12" customFormat="1" x14ac:dyDescent="0.25"/>
    <row r="116568" s="12" customFormat="1" x14ac:dyDescent="0.25"/>
    <row r="116569" s="12" customFormat="1" x14ac:dyDescent="0.25"/>
    <row r="116570" s="12" customFormat="1" x14ac:dyDescent="0.25"/>
    <row r="116571" s="12" customFormat="1" x14ac:dyDescent="0.25"/>
    <row r="116572" s="12" customFormat="1" x14ac:dyDescent="0.25"/>
    <row r="116573" s="12" customFormat="1" x14ac:dyDescent="0.25"/>
    <row r="116574" s="12" customFormat="1" x14ac:dyDescent="0.25"/>
    <row r="116575" s="12" customFormat="1" x14ac:dyDescent="0.25"/>
    <row r="116576" s="12" customFormat="1" x14ac:dyDescent="0.25"/>
    <row r="116577" s="12" customFormat="1" x14ac:dyDescent="0.25"/>
    <row r="116578" s="12" customFormat="1" x14ac:dyDescent="0.25"/>
    <row r="116579" s="12" customFormat="1" x14ac:dyDescent="0.25"/>
    <row r="116580" s="12" customFormat="1" x14ac:dyDescent="0.25"/>
    <row r="116581" s="12" customFormat="1" x14ac:dyDescent="0.25"/>
    <row r="116582" s="12" customFormat="1" x14ac:dyDescent="0.25"/>
    <row r="116583" s="12" customFormat="1" x14ac:dyDescent="0.25"/>
    <row r="116584" s="12" customFormat="1" x14ac:dyDescent="0.25"/>
    <row r="116585" s="12" customFormat="1" x14ac:dyDescent="0.25"/>
    <row r="116586" s="12" customFormat="1" x14ac:dyDescent="0.25"/>
    <row r="116587" s="12" customFormat="1" x14ac:dyDescent="0.25"/>
    <row r="116588" s="12" customFormat="1" x14ac:dyDescent="0.25"/>
    <row r="116589" s="12" customFormat="1" x14ac:dyDescent="0.25"/>
    <row r="116590" s="12" customFormat="1" x14ac:dyDescent="0.25"/>
    <row r="116591" s="12" customFormat="1" x14ac:dyDescent="0.25"/>
    <row r="116592" s="12" customFormat="1" x14ac:dyDescent="0.25"/>
    <row r="116593" s="12" customFormat="1" x14ac:dyDescent="0.25"/>
    <row r="116594" s="12" customFormat="1" x14ac:dyDescent="0.25"/>
    <row r="116595" s="12" customFormat="1" x14ac:dyDescent="0.25"/>
    <row r="116596" s="12" customFormat="1" x14ac:dyDescent="0.25"/>
    <row r="116597" s="12" customFormat="1" x14ac:dyDescent="0.25"/>
    <row r="116598" s="12" customFormat="1" x14ac:dyDescent="0.25"/>
    <row r="116599" s="12" customFormat="1" x14ac:dyDescent="0.25"/>
    <row r="116600" s="12" customFormat="1" x14ac:dyDescent="0.25"/>
    <row r="116601" s="12" customFormat="1" x14ac:dyDescent="0.25"/>
    <row r="116602" s="12" customFormat="1" x14ac:dyDescent="0.25"/>
    <row r="116603" s="12" customFormat="1" x14ac:dyDescent="0.25"/>
    <row r="116604" s="12" customFormat="1" x14ac:dyDescent="0.25"/>
    <row r="116605" s="12" customFormat="1" x14ac:dyDescent="0.25"/>
    <row r="116606" s="12" customFormat="1" x14ac:dyDescent="0.25"/>
    <row r="116607" s="12" customFormat="1" x14ac:dyDescent="0.25"/>
    <row r="116608" s="12" customFormat="1" x14ac:dyDescent="0.25"/>
    <row r="116609" s="12" customFormat="1" x14ac:dyDescent="0.25"/>
    <row r="116610" s="12" customFormat="1" x14ac:dyDescent="0.25"/>
    <row r="116611" s="12" customFormat="1" x14ac:dyDescent="0.25"/>
    <row r="116612" s="12" customFormat="1" x14ac:dyDescent="0.25"/>
    <row r="116613" s="12" customFormat="1" x14ac:dyDescent="0.25"/>
    <row r="116614" s="12" customFormat="1" x14ac:dyDescent="0.25"/>
    <row r="116615" s="12" customFormat="1" x14ac:dyDescent="0.25"/>
    <row r="116616" s="12" customFormat="1" x14ac:dyDescent="0.25"/>
    <row r="116617" s="12" customFormat="1" x14ac:dyDescent="0.25"/>
    <row r="116618" s="12" customFormat="1" x14ac:dyDescent="0.25"/>
    <row r="116619" s="12" customFormat="1" x14ac:dyDescent="0.25"/>
    <row r="116620" s="12" customFormat="1" x14ac:dyDescent="0.25"/>
    <row r="116621" s="12" customFormat="1" x14ac:dyDescent="0.25"/>
    <row r="116622" s="12" customFormat="1" x14ac:dyDescent="0.25"/>
    <row r="116623" s="12" customFormat="1" x14ac:dyDescent="0.25"/>
    <row r="116624" s="12" customFormat="1" x14ac:dyDescent="0.25"/>
    <row r="116625" s="12" customFormat="1" x14ac:dyDescent="0.25"/>
    <row r="116626" s="12" customFormat="1" x14ac:dyDescent="0.25"/>
    <row r="116627" s="12" customFormat="1" x14ac:dyDescent="0.25"/>
    <row r="116628" s="12" customFormat="1" x14ac:dyDescent="0.25"/>
    <row r="116629" s="12" customFormat="1" x14ac:dyDescent="0.25"/>
    <row r="116630" s="12" customFormat="1" x14ac:dyDescent="0.25"/>
    <row r="116631" s="12" customFormat="1" x14ac:dyDescent="0.25"/>
    <row r="116632" s="12" customFormat="1" x14ac:dyDescent="0.25"/>
    <row r="116633" s="12" customFormat="1" x14ac:dyDescent="0.25"/>
    <row r="116634" s="12" customFormat="1" x14ac:dyDescent="0.25"/>
    <row r="116635" s="12" customFormat="1" x14ac:dyDescent="0.25"/>
    <row r="116636" s="12" customFormat="1" x14ac:dyDescent="0.25"/>
    <row r="116637" s="12" customFormat="1" x14ac:dyDescent="0.25"/>
    <row r="116638" s="12" customFormat="1" x14ac:dyDescent="0.25"/>
    <row r="116639" s="12" customFormat="1" x14ac:dyDescent="0.25"/>
    <row r="116640" s="12" customFormat="1" x14ac:dyDescent="0.25"/>
    <row r="116641" s="12" customFormat="1" x14ac:dyDescent="0.25"/>
    <row r="116642" s="12" customFormat="1" x14ac:dyDescent="0.25"/>
    <row r="116643" s="12" customFormat="1" x14ac:dyDescent="0.25"/>
    <row r="116644" s="12" customFormat="1" x14ac:dyDescent="0.25"/>
    <row r="116645" s="12" customFormat="1" x14ac:dyDescent="0.25"/>
    <row r="116646" s="12" customFormat="1" x14ac:dyDescent="0.25"/>
    <row r="116647" s="12" customFormat="1" x14ac:dyDescent="0.25"/>
    <row r="116648" s="12" customFormat="1" x14ac:dyDescent="0.25"/>
    <row r="116649" s="12" customFormat="1" x14ac:dyDescent="0.25"/>
    <row r="116650" s="12" customFormat="1" x14ac:dyDescent="0.25"/>
    <row r="116651" s="12" customFormat="1" x14ac:dyDescent="0.25"/>
    <row r="116652" s="12" customFormat="1" x14ac:dyDescent="0.25"/>
    <row r="116653" s="12" customFormat="1" x14ac:dyDescent="0.25"/>
    <row r="116654" s="12" customFormat="1" x14ac:dyDescent="0.25"/>
    <row r="116655" s="12" customFormat="1" x14ac:dyDescent="0.25"/>
    <row r="116656" s="12" customFormat="1" x14ac:dyDescent="0.25"/>
    <row r="116657" s="12" customFormat="1" x14ac:dyDescent="0.25"/>
    <row r="116658" s="12" customFormat="1" x14ac:dyDescent="0.25"/>
    <row r="116659" s="12" customFormat="1" x14ac:dyDescent="0.25"/>
    <row r="116660" s="12" customFormat="1" x14ac:dyDescent="0.25"/>
    <row r="116661" s="12" customFormat="1" x14ac:dyDescent="0.25"/>
    <row r="116662" s="12" customFormat="1" x14ac:dyDescent="0.25"/>
    <row r="116663" s="12" customFormat="1" x14ac:dyDescent="0.25"/>
    <row r="116664" s="12" customFormat="1" x14ac:dyDescent="0.25"/>
    <row r="116665" s="12" customFormat="1" x14ac:dyDescent="0.25"/>
    <row r="116666" s="12" customFormat="1" x14ac:dyDescent="0.25"/>
    <row r="116667" s="12" customFormat="1" x14ac:dyDescent="0.25"/>
    <row r="116668" s="12" customFormat="1" x14ac:dyDescent="0.25"/>
    <row r="116669" s="12" customFormat="1" x14ac:dyDescent="0.25"/>
    <row r="116670" s="12" customFormat="1" x14ac:dyDescent="0.25"/>
    <row r="116671" s="12" customFormat="1" x14ac:dyDescent="0.25"/>
    <row r="116672" s="12" customFormat="1" x14ac:dyDescent="0.25"/>
    <row r="116673" s="12" customFormat="1" x14ac:dyDescent="0.25"/>
    <row r="116674" s="12" customFormat="1" x14ac:dyDescent="0.25"/>
    <row r="116675" s="12" customFormat="1" x14ac:dyDescent="0.25"/>
    <row r="116676" s="12" customFormat="1" x14ac:dyDescent="0.25"/>
    <row r="116677" s="12" customFormat="1" x14ac:dyDescent="0.25"/>
    <row r="116678" s="12" customFormat="1" x14ac:dyDescent="0.25"/>
    <row r="116679" s="12" customFormat="1" x14ac:dyDescent="0.25"/>
    <row r="116680" s="12" customFormat="1" x14ac:dyDescent="0.25"/>
    <row r="116681" s="12" customFormat="1" x14ac:dyDescent="0.25"/>
    <row r="116682" s="12" customFormat="1" x14ac:dyDescent="0.25"/>
    <row r="116683" s="12" customFormat="1" x14ac:dyDescent="0.25"/>
    <row r="116684" s="12" customFormat="1" x14ac:dyDescent="0.25"/>
    <row r="116685" s="12" customFormat="1" x14ac:dyDescent="0.25"/>
    <row r="116686" s="12" customFormat="1" x14ac:dyDescent="0.25"/>
    <row r="116687" s="12" customFormat="1" x14ac:dyDescent="0.25"/>
    <row r="116688" s="12" customFormat="1" x14ac:dyDescent="0.25"/>
    <row r="116689" s="12" customFormat="1" x14ac:dyDescent="0.25"/>
    <row r="116690" s="12" customFormat="1" x14ac:dyDescent="0.25"/>
    <row r="116691" s="12" customFormat="1" x14ac:dyDescent="0.25"/>
    <row r="116692" s="12" customFormat="1" x14ac:dyDescent="0.25"/>
    <row r="116693" s="12" customFormat="1" x14ac:dyDescent="0.25"/>
    <row r="116694" s="12" customFormat="1" x14ac:dyDescent="0.25"/>
    <row r="116695" s="12" customFormat="1" x14ac:dyDescent="0.25"/>
    <row r="116696" s="12" customFormat="1" x14ac:dyDescent="0.25"/>
    <row r="116697" s="12" customFormat="1" x14ac:dyDescent="0.25"/>
    <row r="116698" s="12" customFormat="1" x14ac:dyDescent="0.25"/>
    <row r="116699" s="12" customFormat="1" x14ac:dyDescent="0.25"/>
    <row r="116700" s="12" customFormat="1" x14ac:dyDescent="0.25"/>
    <row r="116701" s="12" customFormat="1" x14ac:dyDescent="0.25"/>
    <row r="116702" s="12" customFormat="1" x14ac:dyDescent="0.25"/>
    <row r="116703" s="12" customFormat="1" x14ac:dyDescent="0.25"/>
    <row r="116704" s="12" customFormat="1" x14ac:dyDescent="0.25"/>
    <row r="116705" s="12" customFormat="1" x14ac:dyDescent="0.25"/>
    <row r="116706" s="12" customFormat="1" x14ac:dyDescent="0.25"/>
    <row r="116707" s="12" customFormat="1" x14ac:dyDescent="0.25"/>
    <row r="116708" s="12" customFormat="1" x14ac:dyDescent="0.25"/>
    <row r="116709" s="12" customFormat="1" x14ac:dyDescent="0.25"/>
    <row r="116710" s="12" customFormat="1" x14ac:dyDescent="0.25"/>
    <row r="116711" s="12" customFormat="1" x14ac:dyDescent="0.25"/>
    <row r="116712" s="12" customFormat="1" x14ac:dyDescent="0.25"/>
    <row r="116713" s="12" customFormat="1" x14ac:dyDescent="0.25"/>
    <row r="116714" s="12" customFormat="1" x14ac:dyDescent="0.25"/>
    <row r="116715" s="12" customFormat="1" x14ac:dyDescent="0.25"/>
    <row r="116716" s="12" customFormat="1" x14ac:dyDescent="0.25"/>
    <row r="116717" s="12" customFormat="1" x14ac:dyDescent="0.25"/>
    <row r="116718" s="12" customFormat="1" x14ac:dyDescent="0.25"/>
    <row r="116719" s="12" customFormat="1" x14ac:dyDescent="0.25"/>
    <row r="116720" s="12" customFormat="1" x14ac:dyDescent="0.25"/>
    <row r="116721" s="12" customFormat="1" x14ac:dyDescent="0.25"/>
    <row r="116722" s="12" customFormat="1" x14ac:dyDescent="0.25"/>
    <row r="116723" s="12" customFormat="1" x14ac:dyDescent="0.25"/>
    <row r="116724" s="12" customFormat="1" x14ac:dyDescent="0.25"/>
    <row r="116725" s="12" customFormat="1" x14ac:dyDescent="0.25"/>
    <row r="116726" s="12" customFormat="1" x14ac:dyDescent="0.25"/>
    <row r="116727" s="12" customFormat="1" x14ac:dyDescent="0.25"/>
    <row r="116728" s="12" customFormat="1" x14ac:dyDescent="0.25"/>
    <row r="116729" s="12" customFormat="1" x14ac:dyDescent="0.25"/>
    <row r="116730" s="12" customFormat="1" x14ac:dyDescent="0.25"/>
    <row r="116731" s="12" customFormat="1" x14ac:dyDescent="0.25"/>
    <row r="116732" s="12" customFormat="1" x14ac:dyDescent="0.25"/>
    <row r="116733" s="12" customFormat="1" x14ac:dyDescent="0.25"/>
    <row r="116734" s="12" customFormat="1" x14ac:dyDescent="0.25"/>
    <row r="116735" s="12" customFormat="1" x14ac:dyDescent="0.25"/>
    <row r="116736" s="12" customFormat="1" x14ac:dyDescent="0.25"/>
    <row r="116737" s="12" customFormat="1" x14ac:dyDescent="0.25"/>
    <row r="116738" s="12" customFormat="1" x14ac:dyDescent="0.25"/>
    <row r="116739" s="12" customFormat="1" x14ac:dyDescent="0.25"/>
    <row r="116740" s="12" customFormat="1" x14ac:dyDescent="0.25"/>
    <row r="116741" s="12" customFormat="1" x14ac:dyDescent="0.25"/>
    <row r="116742" s="12" customFormat="1" x14ac:dyDescent="0.25"/>
    <row r="116743" s="12" customFormat="1" x14ac:dyDescent="0.25"/>
    <row r="116744" s="12" customFormat="1" x14ac:dyDescent="0.25"/>
    <row r="116745" s="12" customFormat="1" x14ac:dyDescent="0.25"/>
    <row r="116746" s="12" customFormat="1" x14ac:dyDescent="0.25"/>
    <row r="116747" s="12" customFormat="1" x14ac:dyDescent="0.25"/>
    <row r="116748" s="12" customFormat="1" x14ac:dyDescent="0.25"/>
    <row r="116749" s="12" customFormat="1" x14ac:dyDescent="0.25"/>
    <row r="116750" s="12" customFormat="1" x14ac:dyDescent="0.25"/>
    <row r="116751" s="12" customFormat="1" x14ac:dyDescent="0.25"/>
    <row r="116752" s="12" customFormat="1" x14ac:dyDescent="0.25"/>
    <row r="116753" s="12" customFormat="1" x14ac:dyDescent="0.25"/>
    <row r="116754" s="12" customFormat="1" x14ac:dyDescent="0.25"/>
    <row r="116755" s="12" customFormat="1" x14ac:dyDescent="0.25"/>
    <row r="116756" s="12" customFormat="1" x14ac:dyDescent="0.25"/>
    <row r="116757" s="12" customFormat="1" x14ac:dyDescent="0.25"/>
    <row r="116758" s="12" customFormat="1" x14ac:dyDescent="0.25"/>
    <row r="116759" s="12" customFormat="1" x14ac:dyDescent="0.25"/>
    <row r="116760" s="12" customFormat="1" x14ac:dyDescent="0.25"/>
    <row r="116761" s="12" customFormat="1" x14ac:dyDescent="0.25"/>
    <row r="116762" s="12" customFormat="1" x14ac:dyDescent="0.25"/>
    <row r="116763" s="12" customFormat="1" x14ac:dyDescent="0.25"/>
    <row r="116764" s="12" customFormat="1" x14ac:dyDescent="0.25"/>
    <row r="116765" s="12" customFormat="1" x14ac:dyDescent="0.25"/>
    <row r="116766" s="12" customFormat="1" x14ac:dyDescent="0.25"/>
    <row r="116767" s="12" customFormat="1" x14ac:dyDescent="0.25"/>
    <row r="116768" s="12" customFormat="1" x14ac:dyDescent="0.25"/>
    <row r="116769" s="12" customFormat="1" x14ac:dyDescent="0.25"/>
    <row r="116770" s="12" customFormat="1" x14ac:dyDescent="0.25"/>
    <row r="116771" s="12" customFormat="1" x14ac:dyDescent="0.25"/>
    <row r="116772" s="12" customFormat="1" x14ac:dyDescent="0.25"/>
    <row r="116773" s="12" customFormat="1" x14ac:dyDescent="0.25"/>
    <row r="116774" s="12" customFormat="1" x14ac:dyDescent="0.25"/>
    <row r="116775" s="12" customFormat="1" x14ac:dyDescent="0.25"/>
    <row r="116776" s="12" customFormat="1" x14ac:dyDescent="0.25"/>
    <row r="116777" s="12" customFormat="1" x14ac:dyDescent="0.25"/>
    <row r="116778" s="12" customFormat="1" x14ac:dyDescent="0.25"/>
    <row r="116779" s="12" customFormat="1" x14ac:dyDescent="0.25"/>
    <row r="116780" s="12" customFormat="1" x14ac:dyDescent="0.25"/>
    <row r="116781" s="12" customFormat="1" x14ac:dyDescent="0.25"/>
    <row r="116782" s="12" customFormat="1" x14ac:dyDescent="0.25"/>
    <row r="116783" s="12" customFormat="1" x14ac:dyDescent="0.25"/>
    <row r="116784" s="12" customFormat="1" x14ac:dyDescent="0.25"/>
    <row r="116785" s="12" customFormat="1" x14ac:dyDescent="0.25"/>
    <row r="116786" s="12" customFormat="1" x14ac:dyDescent="0.25"/>
    <row r="116787" s="12" customFormat="1" x14ac:dyDescent="0.25"/>
    <row r="116788" s="12" customFormat="1" x14ac:dyDescent="0.25"/>
    <row r="116789" s="12" customFormat="1" x14ac:dyDescent="0.25"/>
    <row r="116790" s="12" customFormat="1" x14ac:dyDescent="0.25"/>
    <row r="116791" s="12" customFormat="1" x14ac:dyDescent="0.25"/>
    <row r="116792" s="12" customFormat="1" x14ac:dyDescent="0.25"/>
    <row r="116793" s="12" customFormat="1" x14ac:dyDescent="0.25"/>
    <row r="116794" s="12" customFormat="1" x14ac:dyDescent="0.25"/>
    <row r="116795" s="12" customFormat="1" x14ac:dyDescent="0.25"/>
    <row r="116796" s="12" customFormat="1" x14ac:dyDescent="0.25"/>
    <row r="116797" s="12" customFormat="1" x14ac:dyDescent="0.25"/>
    <row r="116798" s="12" customFormat="1" x14ac:dyDescent="0.25"/>
    <row r="116799" s="12" customFormat="1" x14ac:dyDescent="0.25"/>
    <row r="116800" s="12" customFormat="1" x14ac:dyDescent="0.25"/>
    <row r="116801" s="12" customFormat="1" x14ac:dyDescent="0.25"/>
    <row r="116802" s="12" customFormat="1" x14ac:dyDescent="0.25"/>
    <row r="116803" s="12" customFormat="1" x14ac:dyDescent="0.25"/>
    <row r="116804" s="12" customFormat="1" x14ac:dyDescent="0.25"/>
    <row r="116805" s="12" customFormat="1" x14ac:dyDescent="0.25"/>
    <row r="116806" s="12" customFormat="1" x14ac:dyDescent="0.25"/>
    <row r="116807" s="12" customFormat="1" x14ac:dyDescent="0.25"/>
    <row r="116808" s="12" customFormat="1" x14ac:dyDescent="0.25"/>
    <row r="116809" s="12" customFormat="1" x14ac:dyDescent="0.25"/>
    <row r="116810" s="12" customFormat="1" x14ac:dyDescent="0.25"/>
    <row r="116811" s="12" customFormat="1" x14ac:dyDescent="0.25"/>
    <row r="116812" s="12" customFormat="1" x14ac:dyDescent="0.25"/>
    <row r="116813" s="12" customFormat="1" x14ac:dyDescent="0.25"/>
    <row r="116814" s="12" customFormat="1" x14ac:dyDescent="0.25"/>
    <row r="116815" s="12" customFormat="1" x14ac:dyDescent="0.25"/>
    <row r="116816" s="12" customFormat="1" x14ac:dyDescent="0.25"/>
    <row r="116817" s="12" customFormat="1" x14ac:dyDescent="0.25"/>
    <row r="116818" s="12" customFormat="1" x14ac:dyDescent="0.25"/>
    <row r="116819" s="12" customFormat="1" x14ac:dyDescent="0.25"/>
    <row r="116820" s="12" customFormat="1" x14ac:dyDescent="0.25"/>
    <row r="116821" s="12" customFormat="1" x14ac:dyDescent="0.25"/>
    <row r="116822" s="12" customFormat="1" x14ac:dyDescent="0.25"/>
    <row r="116823" s="12" customFormat="1" x14ac:dyDescent="0.25"/>
    <row r="116824" s="12" customFormat="1" x14ac:dyDescent="0.25"/>
    <row r="116825" s="12" customFormat="1" x14ac:dyDescent="0.25"/>
    <row r="116826" s="12" customFormat="1" x14ac:dyDescent="0.25"/>
    <row r="116827" s="12" customFormat="1" x14ac:dyDescent="0.25"/>
    <row r="116828" s="12" customFormat="1" x14ac:dyDescent="0.25"/>
    <row r="116829" s="12" customFormat="1" x14ac:dyDescent="0.25"/>
    <row r="116830" s="12" customFormat="1" x14ac:dyDescent="0.25"/>
    <row r="116831" s="12" customFormat="1" x14ac:dyDescent="0.25"/>
    <row r="116832" s="12" customFormat="1" x14ac:dyDescent="0.25"/>
    <row r="116833" s="12" customFormat="1" x14ac:dyDescent="0.25"/>
    <row r="116834" s="12" customFormat="1" x14ac:dyDescent="0.25"/>
    <row r="116835" s="12" customFormat="1" x14ac:dyDescent="0.25"/>
    <row r="116836" s="12" customFormat="1" x14ac:dyDescent="0.25"/>
    <row r="116837" s="12" customFormat="1" x14ac:dyDescent="0.25"/>
    <row r="116838" s="12" customFormat="1" x14ac:dyDescent="0.25"/>
    <row r="116839" s="12" customFormat="1" x14ac:dyDescent="0.25"/>
    <row r="116840" s="12" customFormat="1" x14ac:dyDescent="0.25"/>
    <row r="116841" s="12" customFormat="1" x14ac:dyDescent="0.25"/>
    <row r="116842" s="12" customFormat="1" x14ac:dyDescent="0.25"/>
    <row r="116843" s="12" customFormat="1" x14ac:dyDescent="0.25"/>
    <row r="116844" s="12" customFormat="1" x14ac:dyDescent="0.25"/>
    <row r="116845" s="12" customFormat="1" x14ac:dyDescent="0.25"/>
    <row r="116846" s="12" customFormat="1" x14ac:dyDescent="0.25"/>
    <row r="116847" s="12" customFormat="1" x14ac:dyDescent="0.25"/>
    <row r="116848" s="12" customFormat="1" x14ac:dyDescent="0.25"/>
    <row r="116849" s="12" customFormat="1" x14ac:dyDescent="0.25"/>
    <row r="116850" s="12" customFormat="1" x14ac:dyDescent="0.25"/>
    <row r="116851" s="12" customFormat="1" x14ac:dyDescent="0.25"/>
    <row r="116852" s="12" customFormat="1" x14ac:dyDescent="0.25"/>
    <row r="116853" s="12" customFormat="1" x14ac:dyDescent="0.25"/>
    <row r="116854" s="12" customFormat="1" x14ac:dyDescent="0.25"/>
    <row r="116855" s="12" customFormat="1" x14ac:dyDescent="0.25"/>
    <row r="116856" s="12" customFormat="1" x14ac:dyDescent="0.25"/>
    <row r="116857" s="12" customFormat="1" x14ac:dyDescent="0.25"/>
    <row r="116858" s="12" customFormat="1" x14ac:dyDescent="0.25"/>
    <row r="116859" s="12" customFormat="1" x14ac:dyDescent="0.25"/>
    <row r="116860" s="12" customFormat="1" x14ac:dyDescent="0.25"/>
    <row r="116861" s="12" customFormat="1" x14ac:dyDescent="0.25"/>
    <row r="116862" s="12" customFormat="1" x14ac:dyDescent="0.25"/>
    <row r="116863" s="12" customFormat="1" x14ac:dyDescent="0.25"/>
    <row r="116864" s="12" customFormat="1" x14ac:dyDescent="0.25"/>
    <row r="116865" s="12" customFormat="1" x14ac:dyDescent="0.25"/>
    <row r="116866" s="12" customFormat="1" x14ac:dyDescent="0.25"/>
    <row r="116867" s="12" customFormat="1" x14ac:dyDescent="0.25"/>
    <row r="116868" s="12" customFormat="1" x14ac:dyDescent="0.25"/>
    <row r="116869" s="12" customFormat="1" x14ac:dyDescent="0.25"/>
    <row r="116870" s="12" customFormat="1" x14ac:dyDescent="0.25"/>
    <row r="116871" s="12" customFormat="1" x14ac:dyDescent="0.25"/>
    <row r="116872" s="12" customFormat="1" x14ac:dyDescent="0.25"/>
    <row r="116873" s="12" customFormat="1" x14ac:dyDescent="0.25"/>
    <row r="116874" s="12" customFormat="1" x14ac:dyDescent="0.25"/>
    <row r="116875" s="12" customFormat="1" x14ac:dyDescent="0.25"/>
    <row r="116876" s="12" customFormat="1" x14ac:dyDescent="0.25"/>
    <row r="116877" s="12" customFormat="1" x14ac:dyDescent="0.25"/>
    <row r="116878" s="12" customFormat="1" x14ac:dyDescent="0.25"/>
    <row r="116879" s="12" customFormat="1" x14ac:dyDescent="0.25"/>
    <row r="116880" s="12" customFormat="1" x14ac:dyDescent="0.25"/>
    <row r="116881" s="12" customFormat="1" x14ac:dyDescent="0.25"/>
    <row r="116882" s="12" customFormat="1" x14ac:dyDescent="0.25"/>
    <row r="116883" s="12" customFormat="1" x14ac:dyDescent="0.25"/>
    <row r="116884" s="12" customFormat="1" x14ac:dyDescent="0.25"/>
    <row r="116885" s="12" customFormat="1" x14ac:dyDescent="0.25"/>
    <row r="116886" s="12" customFormat="1" x14ac:dyDescent="0.25"/>
    <row r="116887" s="12" customFormat="1" x14ac:dyDescent="0.25"/>
    <row r="116888" s="12" customFormat="1" x14ac:dyDescent="0.25"/>
    <row r="116889" s="12" customFormat="1" x14ac:dyDescent="0.25"/>
    <row r="116890" s="12" customFormat="1" x14ac:dyDescent="0.25"/>
    <row r="116891" s="12" customFormat="1" x14ac:dyDescent="0.25"/>
    <row r="116892" s="12" customFormat="1" x14ac:dyDescent="0.25"/>
    <row r="116893" s="12" customFormat="1" x14ac:dyDescent="0.25"/>
    <row r="116894" s="12" customFormat="1" x14ac:dyDescent="0.25"/>
    <row r="116895" s="12" customFormat="1" x14ac:dyDescent="0.25"/>
    <row r="116896" s="12" customFormat="1" x14ac:dyDescent="0.25"/>
    <row r="116897" s="12" customFormat="1" x14ac:dyDescent="0.25"/>
    <row r="116898" s="12" customFormat="1" x14ac:dyDescent="0.25"/>
    <row r="116899" s="12" customFormat="1" x14ac:dyDescent="0.25"/>
    <row r="116900" s="12" customFormat="1" x14ac:dyDescent="0.25"/>
    <row r="116901" s="12" customFormat="1" x14ac:dyDescent="0.25"/>
    <row r="116902" s="12" customFormat="1" x14ac:dyDescent="0.25"/>
    <row r="116903" s="12" customFormat="1" x14ac:dyDescent="0.25"/>
    <row r="116904" s="12" customFormat="1" x14ac:dyDescent="0.25"/>
    <row r="116905" s="12" customFormat="1" x14ac:dyDescent="0.25"/>
    <row r="116906" s="12" customFormat="1" x14ac:dyDescent="0.25"/>
    <row r="116907" s="12" customFormat="1" x14ac:dyDescent="0.25"/>
    <row r="116908" s="12" customFormat="1" x14ac:dyDescent="0.25"/>
    <row r="116909" s="12" customFormat="1" x14ac:dyDescent="0.25"/>
    <row r="116910" s="12" customFormat="1" x14ac:dyDescent="0.25"/>
    <row r="116911" s="12" customFormat="1" x14ac:dyDescent="0.25"/>
    <row r="116912" s="12" customFormat="1" x14ac:dyDescent="0.25"/>
    <row r="116913" s="12" customFormat="1" x14ac:dyDescent="0.25"/>
    <row r="116914" s="12" customFormat="1" x14ac:dyDescent="0.25"/>
    <row r="116915" s="12" customFormat="1" x14ac:dyDescent="0.25"/>
    <row r="116916" s="12" customFormat="1" x14ac:dyDescent="0.25"/>
    <row r="116917" s="12" customFormat="1" x14ac:dyDescent="0.25"/>
    <row r="116918" s="12" customFormat="1" x14ac:dyDescent="0.25"/>
    <row r="116919" s="12" customFormat="1" x14ac:dyDescent="0.25"/>
    <row r="116920" s="12" customFormat="1" x14ac:dyDescent="0.25"/>
    <row r="116921" s="12" customFormat="1" x14ac:dyDescent="0.25"/>
    <row r="116922" s="12" customFormat="1" x14ac:dyDescent="0.25"/>
    <row r="116923" s="12" customFormat="1" x14ac:dyDescent="0.25"/>
    <row r="116924" s="12" customFormat="1" x14ac:dyDescent="0.25"/>
    <row r="116925" s="12" customFormat="1" x14ac:dyDescent="0.25"/>
    <row r="116926" s="12" customFormat="1" x14ac:dyDescent="0.25"/>
    <row r="116927" s="12" customFormat="1" x14ac:dyDescent="0.25"/>
    <row r="116928" s="12" customFormat="1" x14ac:dyDescent="0.25"/>
    <row r="116929" s="12" customFormat="1" x14ac:dyDescent="0.25"/>
    <row r="116930" s="12" customFormat="1" x14ac:dyDescent="0.25"/>
    <row r="116931" s="12" customFormat="1" x14ac:dyDescent="0.25"/>
    <row r="116932" s="12" customFormat="1" x14ac:dyDescent="0.25"/>
    <row r="116933" s="12" customFormat="1" x14ac:dyDescent="0.25"/>
    <row r="116934" s="12" customFormat="1" x14ac:dyDescent="0.25"/>
    <row r="116935" s="12" customFormat="1" x14ac:dyDescent="0.25"/>
    <row r="116936" s="12" customFormat="1" x14ac:dyDescent="0.25"/>
    <row r="116937" s="12" customFormat="1" x14ac:dyDescent="0.25"/>
    <row r="116938" s="12" customFormat="1" x14ac:dyDescent="0.25"/>
    <row r="116939" s="12" customFormat="1" x14ac:dyDescent="0.25"/>
    <row r="116940" s="12" customFormat="1" x14ac:dyDescent="0.25"/>
    <row r="116941" s="12" customFormat="1" x14ac:dyDescent="0.25"/>
    <row r="116942" s="12" customFormat="1" x14ac:dyDescent="0.25"/>
    <row r="116943" s="12" customFormat="1" x14ac:dyDescent="0.25"/>
    <row r="116944" s="12" customFormat="1" x14ac:dyDescent="0.25"/>
    <row r="116945" s="12" customFormat="1" x14ac:dyDescent="0.25"/>
    <row r="116946" s="12" customFormat="1" x14ac:dyDescent="0.25"/>
    <row r="116947" s="12" customFormat="1" x14ac:dyDescent="0.25"/>
    <row r="116948" s="12" customFormat="1" x14ac:dyDescent="0.25"/>
    <row r="116949" s="12" customFormat="1" x14ac:dyDescent="0.25"/>
    <row r="116950" s="12" customFormat="1" x14ac:dyDescent="0.25"/>
    <row r="116951" s="12" customFormat="1" x14ac:dyDescent="0.25"/>
    <row r="116952" s="12" customFormat="1" x14ac:dyDescent="0.25"/>
    <row r="116953" s="12" customFormat="1" x14ac:dyDescent="0.25"/>
    <row r="116954" s="12" customFormat="1" x14ac:dyDescent="0.25"/>
    <row r="116955" s="12" customFormat="1" x14ac:dyDescent="0.25"/>
    <row r="116956" s="12" customFormat="1" x14ac:dyDescent="0.25"/>
    <row r="116957" s="12" customFormat="1" x14ac:dyDescent="0.25"/>
    <row r="116958" s="12" customFormat="1" x14ac:dyDescent="0.25"/>
    <row r="116959" s="12" customFormat="1" x14ac:dyDescent="0.25"/>
    <row r="116960" s="12" customFormat="1" x14ac:dyDescent="0.25"/>
    <row r="116961" s="12" customFormat="1" x14ac:dyDescent="0.25"/>
    <row r="116962" s="12" customFormat="1" x14ac:dyDescent="0.25"/>
    <row r="116963" s="12" customFormat="1" x14ac:dyDescent="0.25"/>
    <row r="116964" s="12" customFormat="1" x14ac:dyDescent="0.25"/>
    <row r="116965" s="12" customFormat="1" x14ac:dyDescent="0.25"/>
    <row r="116966" s="12" customFormat="1" x14ac:dyDescent="0.25"/>
    <row r="116967" s="12" customFormat="1" x14ac:dyDescent="0.25"/>
    <row r="116968" s="12" customFormat="1" x14ac:dyDescent="0.25"/>
    <row r="116969" s="12" customFormat="1" x14ac:dyDescent="0.25"/>
    <row r="116970" s="12" customFormat="1" x14ac:dyDescent="0.25"/>
    <row r="116971" s="12" customFormat="1" x14ac:dyDescent="0.25"/>
    <row r="116972" s="12" customFormat="1" x14ac:dyDescent="0.25"/>
    <row r="116973" s="12" customFormat="1" x14ac:dyDescent="0.25"/>
    <row r="116974" s="12" customFormat="1" x14ac:dyDescent="0.25"/>
    <row r="116975" s="12" customFormat="1" x14ac:dyDescent="0.25"/>
    <row r="116976" s="12" customFormat="1" x14ac:dyDescent="0.25"/>
    <row r="116977" s="12" customFormat="1" x14ac:dyDescent="0.25"/>
    <row r="116978" s="12" customFormat="1" x14ac:dyDescent="0.25"/>
    <row r="116979" s="12" customFormat="1" x14ac:dyDescent="0.25"/>
    <row r="116980" s="12" customFormat="1" x14ac:dyDescent="0.25"/>
    <row r="116981" s="12" customFormat="1" x14ac:dyDescent="0.25"/>
    <row r="116982" s="12" customFormat="1" x14ac:dyDescent="0.25"/>
    <row r="116983" s="12" customFormat="1" x14ac:dyDescent="0.25"/>
    <row r="116984" s="12" customFormat="1" x14ac:dyDescent="0.25"/>
    <row r="116985" s="12" customFormat="1" x14ac:dyDescent="0.25"/>
    <row r="116986" s="12" customFormat="1" x14ac:dyDescent="0.25"/>
    <row r="116987" s="12" customFormat="1" x14ac:dyDescent="0.25"/>
    <row r="116988" s="12" customFormat="1" x14ac:dyDescent="0.25"/>
    <row r="116989" s="12" customFormat="1" x14ac:dyDescent="0.25"/>
    <row r="116990" s="12" customFormat="1" x14ac:dyDescent="0.25"/>
    <row r="116991" s="12" customFormat="1" x14ac:dyDescent="0.25"/>
    <row r="116992" s="12" customFormat="1" x14ac:dyDescent="0.25"/>
    <row r="116993" s="12" customFormat="1" x14ac:dyDescent="0.25"/>
    <row r="116994" s="12" customFormat="1" x14ac:dyDescent="0.25"/>
    <row r="116995" s="12" customFormat="1" x14ac:dyDescent="0.25"/>
    <row r="116996" s="12" customFormat="1" x14ac:dyDescent="0.25"/>
    <row r="116997" s="12" customFormat="1" x14ac:dyDescent="0.25"/>
    <row r="116998" s="12" customFormat="1" x14ac:dyDescent="0.25"/>
    <row r="116999" s="12" customFormat="1" x14ac:dyDescent="0.25"/>
    <row r="117000" s="12" customFormat="1" x14ac:dyDescent="0.25"/>
    <row r="117001" s="12" customFormat="1" x14ac:dyDescent="0.25"/>
    <row r="117002" s="12" customFormat="1" x14ac:dyDescent="0.25"/>
    <row r="117003" s="12" customFormat="1" x14ac:dyDescent="0.25"/>
    <row r="117004" s="12" customFormat="1" x14ac:dyDescent="0.25"/>
    <row r="117005" s="12" customFormat="1" x14ac:dyDescent="0.25"/>
    <row r="117006" s="12" customFormat="1" x14ac:dyDescent="0.25"/>
    <row r="117007" s="12" customFormat="1" x14ac:dyDescent="0.25"/>
    <row r="117008" s="12" customFormat="1" x14ac:dyDescent="0.25"/>
    <row r="117009" s="12" customFormat="1" x14ac:dyDescent="0.25"/>
    <row r="117010" s="12" customFormat="1" x14ac:dyDescent="0.25"/>
    <row r="117011" s="12" customFormat="1" x14ac:dyDescent="0.25"/>
    <row r="117012" s="12" customFormat="1" x14ac:dyDescent="0.25"/>
    <row r="117013" s="12" customFormat="1" x14ac:dyDescent="0.25"/>
    <row r="117014" s="12" customFormat="1" x14ac:dyDescent="0.25"/>
    <row r="117015" s="12" customFormat="1" x14ac:dyDescent="0.25"/>
    <row r="117016" s="12" customFormat="1" x14ac:dyDescent="0.25"/>
    <row r="117017" s="12" customFormat="1" x14ac:dyDescent="0.25"/>
    <row r="117018" s="12" customFormat="1" x14ac:dyDescent="0.25"/>
    <row r="117019" s="12" customFormat="1" x14ac:dyDescent="0.25"/>
    <row r="117020" s="12" customFormat="1" x14ac:dyDescent="0.25"/>
    <row r="117021" s="12" customFormat="1" x14ac:dyDescent="0.25"/>
    <row r="117022" s="12" customFormat="1" x14ac:dyDescent="0.25"/>
    <row r="117023" s="12" customFormat="1" x14ac:dyDescent="0.25"/>
    <row r="117024" s="12" customFormat="1" x14ac:dyDescent="0.25"/>
    <row r="117025" s="12" customFormat="1" x14ac:dyDescent="0.25"/>
    <row r="117026" s="12" customFormat="1" x14ac:dyDescent="0.25"/>
    <row r="117027" s="12" customFormat="1" x14ac:dyDescent="0.25"/>
    <row r="117028" s="12" customFormat="1" x14ac:dyDescent="0.25"/>
    <row r="117029" s="12" customFormat="1" x14ac:dyDescent="0.25"/>
    <row r="117030" s="12" customFormat="1" x14ac:dyDescent="0.25"/>
    <row r="117031" s="12" customFormat="1" x14ac:dyDescent="0.25"/>
    <row r="117032" s="12" customFormat="1" x14ac:dyDescent="0.25"/>
    <row r="117033" s="12" customFormat="1" x14ac:dyDescent="0.25"/>
    <row r="117034" s="12" customFormat="1" x14ac:dyDescent="0.25"/>
    <row r="117035" s="12" customFormat="1" x14ac:dyDescent="0.25"/>
    <row r="117036" s="12" customFormat="1" x14ac:dyDescent="0.25"/>
    <row r="117037" s="12" customFormat="1" x14ac:dyDescent="0.25"/>
    <row r="117038" s="12" customFormat="1" x14ac:dyDescent="0.25"/>
    <row r="117039" s="12" customFormat="1" x14ac:dyDescent="0.25"/>
    <row r="117040" s="12" customFormat="1" x14ac:dyDescent="0.25"/>
    <row r="117041" s="12" customFormat="1" x14ac:dyDescent="0.25"/>
    <row r="117042" s="12" customFormat="1" x14ac:dyDescent="0.25"/>
    <row r="117043" s="12" customFormat="1" x14ac:dyDescent="0.25"/>
    <row r="117044" s="12" customFormat="1" x14ac:dyDescent="0.25"/>
    <row r="117045" s="12" customFormat="1" x14ac:dyDescent="0.25"/>
    <row r="117046" s="12" customFormat="1" x14ac:dyDescent="0.25"/>
    <row r="117047" s="12" customFormat="1" x14ac:dyDescent="0.25"/>
    <row r="117048" s="12" customFormat="1" x14ac:dyDescent="0.25"/>
    <row r="117049" s="12" customFormat="1" x14ac:dyDescent="0.25"/>
    <row r="117050" s="12" customFormat="1" x14ac:dyDescent="0.25"/>
    <row r="117051" s="12" customFormat="1" x14ac:dyDescent="0.25"/>
    <row r="117052" s="12" customFormat="1" x14ac:dyDescent="0.25"/>
    <row r="117053" s="12" customFormat="1" x14ac:dyDescent="0.25"/>
    <row r="117054" s="12" customFormat="1" x14ac:dyDescent="0.25"/>
    <row r="117055" s="12" customFormat="1" x14ac:dyDescent="0.25"/>
    <row r="117056" s="12" customFormat="1" x14ac:dyDescent="0.25"/>
    <row r="117057" s="12" customFormat="1" x14ac:dyDescent="0.25"/>
    <row r="117058" s="12" customFormat="1" x14ac:dyDescent="0.25"/>
    <row r="117059" s="12" customFormat="1" x14ac:dyDescent="0.25"/>
    <row r="117060" s="12" customFormat="1" x14ac:dyDescent="0.25"/>
    <row r="117061" s="12" customFormat="1" x14ac:dyDescent="0.25"/>
    <row r="117062" s="12" customFormat="1" x14ac:dyDescent="0.25"/>
    <row r="117063" s="12" customFormat="1" x14ac:dyDescent="0.25"/>
    <row r="117064" s="12" customFormat="1" x14ac:dyDescent="0.25"/>
    <row r="117065" s="12" customFormat="1" x14ac:dyDescent="0.25"/>
    <row r="117066" s="12" customFormat="1" x14ac:dyDescent="0.25"/>
    <row r="117067" s="12" customFormat="1" x14ac:dyDescent="0.25"/>
    <row r="117068" s="12" customFormat="1" x14ac:dyDescent="0.25"/>
    <row r="117069" s="12" customFormat="1" x14ac:dyDescent="0.25"/>
    <row r="117070" s="12" customFormat="1" x14ac:dyDescent="0.25"/>
    <row r="117071" s="12" customFormat="1" x14ac:dyDescent="0.25"/>
    <row r="117072" s="12" customFormat="1" x14ac:dyDescent="0.25"/>
    <row r="117073" s="12" customFormat="1" x14ac:dyDescent="0.25"/>
    <row r="117074" s="12" customFormat="1" x14ac:dyDescent="0.25"/>
    <row r="117075" s="12" customFormat="1" x14ac:dyDescent="0.25"/>
    <row r="117076" s="12" customFormat="1" x14ac:dyDescent="0.25"/>
    <row r="117077" s="12" customFormat="1" x14ac:dyDescent="0.25"/>
    <row r="117078" s="12" customFormat="1" x14ac:dyDescent="0.25"/>
    <row r="117079" s="12" customFormat="1" x14ac:dyDescent="0.25"/>
    <row r="117080" s="12" customFormat="1" x14ac:dyDescent="0.25"/>
    <row r="117081" s="12" customFormat="1" x14ac:dyDescent="0.25"/>
    <row r="117082" s="12" customFormat="1" x14ac:dyDescent="0.25"/>
    <row r="117083" s="12" customFormat="1" x14ac:dyDescent="0.25"/>
    <row r="117084" s="12" customFormat="1" x14ac:dyDescent="0.25"/>
    <row r="117085" s="12" customFormat="1" x14ac:dyDescent="0.25"/>
    <row r="117086" s="12" customFormat="1" x14ac:dyDescent="0.25"/>
    <row r="117087" s="12" customFormat="1" x14ac:dyDescent="0.25"/>
    <row r="117088" s="12" customFormat="1" x14ac:dyDescent="0.25"/>
    <row r="117089" s="12" customFormat="1" x14ac:dyDescent="0.25"/>
    <row r="117090" s="12" customFormat="1" x14ac:dyDescent="0.25"/>
    <row r="117091" s="12" customFormat="1" x14ac:dyDescent="0.25"/>
    <row r="117092" s="12" customFormat="1" x14ac:dyDescent="0.25"/>
    <row r="117093" s="12" customFormat="1" x14ac:dyDescent="0.25"/>
    <row r="117094" s="12" customFormat="1" x14ac:dyDescent="0.25"/>
    <row r="117095" s="12" customFormat="1" x14ac:dyDescent="0.25"/>
    <row r="117096" s="12" customFormat="1" x14ac:dyDescent="0.25"/>
    <row r="117097" s="12" customFormat="1" x14ac:dyDescent="0.25"/>
    <row r="117098" s="12" customFormat="1" x14ac:dyDescent="0.25"/>
    <row r="117099" s="12" customFormat="1" x14ac:dyDescent="0.25"/>
    <row r="117100" s="12" customFormat="1" x14ac:dyDescent="0.25"/>
    <row r="117101" s="12" customFormat="1" x14ac:dyDescent="0.25"/>
    <row r="117102" s="12" customFormat="1" x14ac:dyDescent="0.25"/>
    <row r="117103" s="12" customFormat="1" x14ac:dyDescent="0.25"/>
    <row r="117104" s="12" customFormat="1" x14ac:dyDescent="0.25"/>
    <row r="117105" s="12" customFormat="1" x14ac:dyDescent="0.25"/>
    <row r="117106" s="12" customFormat="1" x14ac:dyDescent="0.25"/>
    <row r="117107" s="12" customFormat="1" x14ac:dyDescent="0.25"/>
    <row r="117108" s="12" customFormat="1" x14ac:dyDescent="0.25"/>
    <row r="117109" s="12" customFormat="1" x14ac:dyDescent="0.25"/>
    <row r="117110" s="12" customFormat="1" x14ac:dyDescent="0.25"/>
    <row r="117111" s="12" customFormat="1" x14ac:dyDescent="0.25"/>
    <row r="117112" s="12" customFormat="1" x14ac:dyDescent="0.25"/>
    <row r="117113" s="12" customFormat="1" x14ac:dyDescent="0.25"/>
    <row r="117114" s="12" customFormat="1" x14ac:dyDescent="0.25"/>
    <row r="117115" s="12" customFormat="1" x14ac:dyDescent="0.25"/>
    <row r="117116" s="12" customFormat="1" x14ac:dyDescent="0.25"/>
    <row r="117117" s="12" customFormat="1" x14ac:dyDescent="0.25"/>
    <row r="117118" s="12" customFormat="1" x14ac:dyDescent="0.25"/>
    <row r="117119" s="12" customFormat="1" x14ac:dyDescent="0.25"/>
    <row r="117120" s="12" customFormat="1" x14ac:dyDescent="0.25"/>
    <row r="117121" s="12" customFormat="1" x14ac:dyDescent="0.25"/>
    <row r="117122" s="12" customFormat="1" x14ac:dyDescent="0.25"/>
    <row r="117123" s="12" customFormat="1" x14ac:dyDescent="0.25"/>
    <row r="117124" s="12" customFormat="1" x14ac:dyDescent="0.25"/>
    <row r="117125" s="12" customFormat="1" x14ac:dyDescent="0.25"/>
    <row r="117126" s="12" customFormat="1" x14ac:dyDescent="0.25"/>
    <row r="117127" s="12" customFormat="1" x14ac:dyDescent="0.25"/>
    <row r="117128" s="12" customFormat="1" x14ac:dyDescent="0.25"/>
    <row r="117129" s="12" customFormat="1" x14ac:dyDescent="0.25"/>
    <row r="117130" s="12" customFormat="1" x14ac:dyDescent="0.25"/>
    <row r="117131" s="12" customFormat="1" x14ac:dyDescent="0.25"/>
    <row r="117132" s="12" customFormat="1" x14ac:dyDescent="0.25"/>
    <row r="117133" s="12" customFormat="1" x14ac:dyDescent="0.25"/>
    <row r="117134" s="12" customFormat="1" x14ac:dyDescent="0.25"/>
    <row r="117135" s="12" customFormat="1" x14ac:dyDescent="0.25"/>
    <row r="117136" s="12" customFormat="1" x14ac:dyDescent="0.25"/>
    <row r="117137" s="12" customFormat="1" x14ac:dyDescent="0.25"/>
    <row r="117138" s="12" customFormat="1" x14ac:dyDescent="0.25"/>
    <row r="117139" s="12" customFormat="1" x14ac:dyDescent="0.25"/>
    <row r="117140" s="12" customFormat="1" x14ac:dyDescent="0.25"/>
    <row r="117141" s="12" customFormat="1" x14ac:dyDescent="0.25"/>
    <row r="117142" s="12" customFormat="1" x14ac:dyDescent="0.25"/>
    <row r="117143" s="12" customFormat="1" x14ac:dyDescent="0.25"/>
    <row r="117144" s="12" customFormat="1" x14ac:dyDescent="0.25"/>
    <row r="117145" s="12" customFormat="1" x14ac:dyDescent="0.25"/>
    <row r="117146" s="12" customFormat="1" x14ac:dyDescent="0.25"/>
    <row r="117147" s="12" customFormat="1" x14ac:dyDescent="0.25"/>
    <row r="117148" s="12" customFormat="1" x14ac:dyDescent="0.25"/>
    <row r="117149" s="12" customFormat="1" x14ac:dyDescent="0.25"/>
    <row r="117150" s="12" customFormat="1" x14ac:dyDescent="0.25"/>
    <row r="117151" s="12" customFormat="1" x14ac:dyDescent="0.25"/>
    <row r="117152" s="12" customFormat="1" x14ac:dyDescent="0.25"/>
    <row r="117153" s="12" customFormat="1" x14ac:dyDescent="0.25"/>
    <row r="117154" s="12" customFormat="1" x14ac:dyDescent="0.25"/>
    <row r="117155" s="12" customFormat="1" x14ac:dyDescent="0.25"/>
    <row r="117156" s="12" customFormat="1" x14ac:dyDescent="0.25"/>
    <row r="117157" s="12" customFormat="1" x14ac:dyDescent="0.25"/>
    <row r="117158" s="12" customFormat="1" x14ac:dyDescent="0.25"/>
    <row r="117159" s="12" customFormat="1" x14ac:dyDescent="0.25"/>
    <row r="117160" s="12" customFormat="1" x14ac:dyDescent="0.25"/>
    <row r="117161" s="12" customFormat="1" x14ac:dyDescent="0.25"/>
    <row r="117162" s="12" customFormat="1" x14ac:dyDescent="0.25"/>
    <row r="117163" s="12" customFormat="1" x14ac:dyDescent="0.25"/>
    <row r="117164" s="12" customFormat="1" x14ac:dyDescent="0.25"/>
    <row r="117165" s="12" customFormat="1" x14ac:dyDescent="0.25"/>
    <row r="117166" s="12" customFormat="1" x14ac:dyDescent="0.25"/>
    <row r="117167" s="12" customFormat="1" x14ac:dyDescent="0.25"/>
    <row r="117168" s="12" customFormat="1" x14ac:dyDescent="0.25"/>
    <row r="117169" s="12" customFormat="1" x14ac:dyDescent="0.25"/>
    <row r="117170" s="12" customFormat="1" x14ac:dyDescent="0.25"/>
    <row r="117171" s="12" customFormat="1" x14ac:dyDescent="0.25"/>
    <row r="117172" s="12" customFormat="1" x14ac:dyDescent="0.25"/>
    <row r="117173" s="12" customFormat="1" x14ac:dyDescent="0.25"/>
    <row r="117174" s="12" customFormat="1" x14ac:dyDescent="0.25"/>
    <row r="117175" s="12" customFormat="1" x14ac:dyDescent="0.25"/>
    <row r="117176" s="12" customFormat="1" x14ac:dyDescent="0.25"/>
    <row r="117177" s="12" customFormat="1" x14ac:dyDescent="0.25"/>
    <row r="117178" s="12" customFormat="1" x14ac:dyDescent="0.25"/>
    <row r="117179" s="12" customFormat="1" x14ac:dyDescent="0.25"/>
    <row r="117180" s="12" customFormat="1" x14ac:dyDescent="0.25"/>
    <row r="117181" s="12" customFormat="1" x14ac:dyDescent="0.25"/>
    <row r="117182" s="12" customFormat="1" x14ac:dyDescent="0.25"/>
    <row r="117183" s="12" customFormat="1" x14ac:dyDescent="0.25"/>
    <row r="117184" s="12" customFormat="1" x14ac:dyDescent="0.25"/>
    <row r="117185" s="12" customFormat="1" x14ac:dyDescent="0.25"/>
    <row r="117186" s="12" customFormat="1" x14ac:dyDescent="0.25"/>
    <row r="117187" s="12" customFormat="1" x14ac:dyDescent="0.25"/>
    <row r="117188" s="12" customFormat="1" x14ac:dyDescent="0.25"/>
    <row r="117189" s="12" customFormat="1" x14ac:dyDescent="0.25"/>
    <row r="117190" s="12" customFormat="1" x14ac:dyDescent="0.25"/>
    <row r="117191" s="12" customFormat="1" x14ac:dyDescent="0.25"/>
    <row r="117192" s="12" customFormat="1" x14ac:dyDescent="0.25"/>
    <row r="117193" s="12" customFormat="1" x14ac:dyDescent="0.25"/>
    <row r="117194" s="12" customFormat="1" x14ac:dyDescent="0.25"/>
    <row r="117195" s="12" customFormat="1" x14ac:dyDescent="0.25"/>
    <row r="117196" s="12" customFormat="1" x14ac:dyDescent="0.25"/>
    <row r="117197" s="12" customFormat="1" x14ac:dyDescent="0.25"/>
    <row r="117198" s="12" customFormat="1" x14ac:dyDescent="0.25"/>
    <row r="117199" s="12" customFormat="1" x14ac:dyDescent="0.25"/>
    <row r="117200" s="12" customFormat="1" x14ac:dyDescent="0.25"/>
    <row r="117201" s="12" customFormat="1" x14ac:dyDescent="0.25"/>
    <row r="117202" s="12" customFormat="1" x14ac:dyDescent="0.25"/>
    <row r="117203" s="12" customFormat="1" x14ac:dyDescent="0.25"/>
    <row r="117204" s="12" customFormat="1" x14ac:dyDescent="0.25"/>
    <row r="117205" s="12" customFormat="1" x14ac:dyDescent="0.25"/>
    <row r="117206" s="12" customFormat="1" x14ac:dyDescent="0.25"/>
    <row r="117207" s="12" customFormat="1" x14ac:dyDescent="0.25"/>
    <row r="117208" s="12" customFormat="1" x14ac:dyDescent="0.25"/>
    <row r="117209" s="12" customFormat="1" x14ac:dyDescent="0.25"/>
    <row r="117210" s="12" customFormat="1" x14ac:dyDescent="0.25"/>
    <row r="117211" s="12" customFormat="1" x14ac:dyDescent="0.25"/>
    <row r="117212" s="12" customFormat="1" x14ac:dyDescent="0.25"/>
    <row r="117213" s="12" customFormat="1" x14ac:dyDescent="0.25"/>
    <row r="117214" s="12" customFormat="1" x14ac:dyDescent="0.25"/>
    <row r="117215" s="12" customFormat="1" x14ac:dyDescent="0.25"/>
    <row r="117216" s="12" customFormat="1" x14ac:dyDescent="0.25"/>
    <row r="117217" s="12" customFormat="1" x14ac:dyDescent="0.25"/>
    <row r="117218" s="12" customFormat="1" x14ac:dyDescent="0.25"/>
    <row r="117219" s="12" customFormat="1" x14ac:dyDescent="0.25"/>
    <row r="117220" s="12" customFormat="1" x14ac:dyDescent="0.25"/>
    <row r="117221" s="12" customFormat="1" x14ac:dyDescent="0.25"/>
    <row r="117222" s="12" customFormat="1" x14ac:dyDescent="0.25"/>
    <row r="117223" s="12" customFormat="1" x14ac:dyDescent="0.25"/>
    <row r="117224" s="12" customFormat="1" x14ac:dyDescent="0.25"/>
    <row r="117225" s="12" customFormat="1" x14ac:dyDescent="0.25"/>
    <row r="117226" s="12" customFormat="1" x14ac:dyDescent="0.25"/>
    <row r="117227" s="12" customFormat="1" x14ac:dyDescent="0.25"/>
    <row r="117228" s="12" customFormat="1" x14ac:dyDescent="0.25"/>
    <row r="117229" s="12" customFormat="1" x14ac:dyDescent="0.25"/>
    <row r="117230" s="12" customFormat="1" x14ac:dyDescent="0.25"/>
    <row r="117231" s="12" customFormat="1" x14ac:dyDescent="0.25"/>
    <row r="117232" s="12" customFormat="1" x14ac:dyDescent="0.25"/>
    <row r="117233" s="12" customFormat="1" x14ac:dyDescent="0.25"/>
    <row r="117234" s="12" customFormat="1" x14ac:dyDescent="0.25"/>
    <row r="117235" s="12" customFormat="1" x14ac:dyDescent="0.25"/>
    <row r="117236" s="12" customFormat="1" x14ac:dyDescent="0.25"/>
    <row r="117237" s="12" customFormat="1" x14ac:dyDescent="0.25"/>
    <row r="117238" s="12" customFormat="1" x14ac:dyDescent="0.25"/>
    <row r="117239" s="12" customFormat="1" x14ac:dyDescent="0.25"/>
    <row r="117240" s="12" customFormat="1" x14ac:dyDescent="0.25"/>
    <row r="117241" s="12" customFormat="1" x14ac:dyDescent="0.25"/>
    <row r="117242" s="12" customFormat="1" x14ac:dyDescent="0.25"/>
    <row r="117243" s="12" customFormat="1" x14ac:dyDescent="0.25"/>
    <row r="117244" s="12" customFormat="1" x14ac:dyDescent="0.25"/>
    <row r="117245" s="12" customFormat="1" x14ac:dyDescent="0.25"/>
    <row r="117246" s="12" customFormat="1" x14ac:dyDescent="0.25"/>
    <row r="117247" s="12" customFormat="1" x14ac:dyDescent="0.25"/>
    <row r="117248" s="12" customFormat="1" x14ac:dyDescent="0.25"/>
    <row r="117249" s="12" customFormat="1" x14ac:dyDescent="0.25"/>
    <row r="117250" s="12" customFormat="1" x14ac:dyDescent="0.25"/>
    <row r="117251" s="12" customFormat="1" x14ac:dyDescent="0.25"/>
    <row r="117252" s="12" customFormat="1" x14ac:dyDescent="0.25"/>
    <row r="117253" s="12" customFormat="1" x14ac:dyDescent="0.25"/>
    <row r="117254" s="12" customFormat="1" x14ac:dyDescent="0.25"/>
    <row r="117255" s="12" customFormat="1" x14ac:dyDescent="0.25"/>
    <row r="117256" s="12" customFormat="1" x14ac:dyDescent="0.25"/>
    <row r="117257" s="12" customFormat="1" x14ac:dyDescent="0.25"/>
    <row r="117258" s="12" customFormat="1" x14ac:dyDescent="0.25"/>
    <row r="117259" s="12" customFormat="1" x14ac:dyDescent="0.25"/>
    <row r="117260" s="12" customFormat="1" x14ac:dyDescent="0.25"/>
    <row r="117261" s="12" customFormat="1" x14ac:dyDescent="0.25"/>
    <row r="117262" s="12" customFormat="1" x14ac:dyDescent="0.25"/>
    <row r="117263" s="12" customFormat="1" x14ac:dyDescent="0.25"/>
    <row r="117264" s="12" customFormat="1" x14ac:dyDescent="0.25"/>
    <row r="117265" s="12" customFormat="1" x14ac:dyDescent="0.25"/>
    <row r="117266" s="12" customFormat="1" x14ac:dyDescent="0.25"/>
    <row r="117267" s="12" customFormat="1" x14ac:dyDescent="0.25"/>
    <row r="117268" s="12" customFormat="1" x14ac:dyDescent="0.25"/>
    <row r="117269" s="12" customFormat="1" x14ac:dyDescent="0.25"/>
    <row r="117270" s="12" customFormat="1" x14ac:dyDescent="0.25"/>
    <row r="117271" s="12" customFormat="1" x14ac:dyDescent="0.25"/>
    <row r="117272" s="12" customFormat="1" x14ac:dyDescent="0.25"/>
    <row r="117273" s="12" customFormat="1" x14ac:dyDescent="0.25"/>
    <row r="117274" s="12" customFormat="1" x14ac:dyDescent="0.25"/>
    <row r="117275" s="12" customFormat="1" x14ac:dyDescent="0.25"/>
    <row r="117276" s="12" customFormat="1" x14ac:dyDescent="0.25"/>
    <row r="117277" s="12" customFormat="1" x14ac:dyDescent="0.25"/>
    <row r="117278" s="12" customFormat="1" x14ac:dyDescent="0.25"/>
    <row r="117279" s="12" customFormat="1" x14ac:dyDescent="0.25"/>
    <row r="117280" s="12" customFormat="1" x14ac:dyDescent="0.25"/>
    <row r="117281" s="12" customFormat="1" x14ac:dyDescent="0.25"/>
    <row r="117282" s="12" customFormat="1" x14ac:dyDescent="0.25"/>
    <row r="117283" s="12" customFormat="1" x14ac:dyDescent="0.25"/>
    <row r="117284" s="12" customFormat="1" x14ac:dyDescent="0.25"/>
    <row r="117285" s="12" customFormat="1" x14ac:dyDescent="0.25"/>
    <row r="117286" s="12" customFormat="1" x14ac:dyDescent="0.25"/>
    <row r="117287" s="12" customFormat="1" x14ac:dyDescent="0.25"/>
    <row r="117288" s="12" customFormat="1" x14ac:dyDescent="0.25"/>
    <row r="117289" s="12" customFormat="1" x14ac:dyDescent="0.25"/>
    <row r="117290" s="12" customFormat="1" x14ac:dyDescent="0.25"/>
    <row r="117291" s="12" customFormat="1" x14ac:dyDescent="0.25"/>
    <row r="117292" s="12" customFormat="1" x14ac:dyDescent="0.25"/>
    <row r="117293" s="12" customFormat="1" x14ac:dyDescent="0.25"/>
    <row r="117294" s="12" customFormat="1" x14ac:dyDescent="0.25"/>
    <row r="117295" s="12" customFormat="1" x14ac:dyDescent="0.25"/>
    <row r="117296" s="12" customFormat="1" x14ac:dyDescent="0.25"/>
    <row r="117297" s="12" customFormat="1" x14ac:dyDescent="0.25"/>
    <row r="117298" s="12" customFormat="1" x14ac:dyDescent="0.25"/>
    <row r="117299" s="12" customFormat="1" x14ac:dyDescent="0.25"/>
    <row r="117300" s="12" customFormat="1" x14ac:dyDescent="0.25"/>
    <row r="117301" s="12" customFormat="1" x14ac:dyDescent="0.25"/>
    <row r="117302" s="12" customFormat="1" x14ac:dyDescent="0.25"/>
    <row r="117303" s="12" customFormat="1" x14ac:dyDescent="0.25"/>
    <row r="117304" s="12" customFormat="1" x14ac:dyDescent="0.25"/>
    <row r="117305" s="12" customFormat="1" x14ac:dyDescent="0.25"/>
    <row r="117306" s="12" customFormat="1" x14ac:dyDescent="0.25"/>
    <row r="117307" s="12" customFormat="1" x14ac:dyDescent="0.25"/>
    <row r="117308" s="12" customFormat="1" x14ac:dyDescent="0.25"/>
    <row r="117309" s="12" customFormat="1" x14ac:dyDescent="0.25"/>
    <row r="117310" s="12" customFormat="1" x14ac:dyDescent="0.25"/>
    <row r="117311" s="12" customFormat="1" x14ac:dyDescent="0.25"/>
    <row r="117312" s="12" customFormat="1" x14ac:dyDescent="0.25"/>
    <row r="117313" s="12" customFormat="1" x14ac:dyDescent="0.25"/>
    <row r="117314" s="12" customFormat="1" x14ac:dyDescent="0.25"/>
    <row r="117315" s="12" customFormat="1" x14ac:dyDescent="0.25"/>
    <row r="117316" s="12" customFormat="1" x14ac:dyDescent="0.25"/>
    <row r="117317" s="12" customFormat="1" x14ac:dyDescent="0.25"/>
    <row r="117318" s="12" customFormat="1" x14ac:dyDescent="0.25"/>
    <row r="117319" s="12" customFormat="1" x14ac:dyDescent="0.25"/>
    <row r="117320" s="12" customFormat="1" x14ac:dyDescent="0.25"/>
    <row r="117321" s="12" customFormat="1" x14ac:dyDescent="0.25"/>
    <row r="117322" s="12" customFormat="1" x14ac:dyDescent="0.25"/>
    <row r="117323" s="12" customFormat="1" x14ac:dyDescent="0.25"/>
    <row r="117324" s="12" customFormat="1" x14ac:dyDescent="0.25"/>
    <row r="117325" s="12" customFormat="1" x14ac:dyDescent="0.25"/>
    <row r="117326" s="12" customFormat="1" x14ac:dyDescent="0.25"/>
    <row r="117327" s="12" customFormat="1" x14ac:dyDescent="0.25"/>
    <row r="117328" s="12" customFormat="1" x14ac:dyDescent="0.25"/>
    <row r="117329" s="12" customFormat="1" x14ac:dyDescent="0.25"/>
    <row r="117330" s="12" customFormat="1" x14ac:dyDescent="0.25"/>
    <row r="117331" s="12" customFormat="1" x14ac:dyDescent="0.25"/>
    <row r="117332" s="12" customFormat="1" x14ac:dyDescent="0.25"/>
    <row r="117333" s="12" customFormat="1" x14ac:dyDescent="0.25"/>
    <row r="117334" s="12" customFormat="1" x14ac:dyDescent="0.25"/>
    <row r="117335" s="12" customFormat="1" x14ac:dyDescent="0.25"/>
    <row r="117336" s="12" customFormat="1" x14ac:dyDescent="0.25"/>
    <row r="117337" s="12" customFormat="1" x14ac:dyDescent="0.25"/>
    <row r="117338" s="12" customFormat="1" x14ac:dyDescent="0.25"/>
    <row r="117339" s="12" customFormat="1" x14ac:dyDescent="0.25"/>
    <row r="117340" s="12" customFormat="1" x14ac:dyDescent="0.25"/>
    <row r="117341" s="12" customFormat="1" x14ac:dyDescent="0.25"/>
    <row r="117342" s="12" customFormat="1" x14ac:dyDescent="0.25"/>
    <row r="117343" s="12" customFormat="1" x14ac:dyDescent="0.25"/>
    <row r="117344" s="12" customFormat="1" x14ac:dyDescent="0.25"/>
    <row r="117345" s="12" customFormat="1" x14ac:dyDescent="0.25"/>
    <row r="117346" s="12" customFormat="1" x14ac:dyDescent="0.25"/>
    <row r="117347" s="12" customFormat="1" x14ac:dyDescent="0.25"/>
    <row r="117348" s="12" customFormat="1" x14ac:dyDescent="0.25"/>
    <row r="117349" s="12" customFormat="1" x14ac:dyDescent="0.25"/>
    <row r="117350" s="12" customFormat="1" x14ac:dyDescent="0.25"/>
    <row r="117351" s="12" customFormat="1" x14ac:dyDescent="0.25"/>
    <row r="117352" s="12" customFormat="1" x14ac:dyDescent="0.25"/>
    <row r="117353" s="12" customFormat="1" x14ac:dyDescent="0.25"/>
    <row r="117354" s="12" customFormat="1" x14ac:dyDescent="0.25"/>
    <row r="117355" s="12" customFormat="1" x14ac:dyDescent="0.25"/>
    <row r="117356" s="12" customFormat="1" x14ac:dyDescent="0.25"/>
    <row r="117357" s="12" customFormat="1" x14ac:dyDescent="0.25"/>
    <row r="117358" s="12" customFormat="1" x14ac:dyDescent="0.25"/>
    <row r="117359" s="12" customFormat="1" x14ac:dyDescent="0.25"/>
    <row r="117360" s="12" customFormat="1" x14ac:dyDescent="0.25"/>
    <row r="117361" s="12" customFormat="1" x14ac:dyDescent="0.25"/>
    <row r="117362" s="12" customFormat="1" x14ac:dyDescent="0.25"/>
    <row r="117363" s="12" customFormat="1" x14ac:dyDescent="0.25"/>
    <row r="117364" s="12" customFormat="1" x14ac:dyDescent="0.25"/>
    <row r="117365" s="12" customFormat="1" x14ac:dyDescent="0.25"/>
    <row r="117366" s="12" customFormat="1" x14ac:dyDescent="0.25"/>
    <row r="117367" s="12" customFormat="1" x14ac:dyDescent="0.25"/>
    <row r="117368" s="12" customFormat="1" x14ac:dyDescent="0.25"/>
    <row r="117369" s="12" customFormat="1" x14ac:dyDescent="0.25"/>
    <row r="117370" s="12" customFormat="1" x14ac:dyDescent="0.25"/>
    <row r="117371" s="12" customFormat="1" x14ac:dyDescent="0.25"/>
    <row r="117372" s="12" customFormat="1" x14ac:dyDescent="0.25"/>
    <row r="117373" s="12" customFormat="1" x14ac:dyDescent="0.25"/>
    <row r="117374" s="12" customFormat="1" x14ac:dyDescent="0.25"/>
    <row r="117375" s="12" customFormat="1" x14ac:dyDescent="0.25"/>
    <row r="117376" s="12" customFormat="1" x14ac:dyDescent="0.25"/>
    <row r="117377" s="12" customFormat="1" x14ac:dyDescent="0.25"/>
    <row r="117378" s="12" customFormat="1" x14ac:dyDescent="0.25"/>
    <row r="117379" s="12" customFormat="1" x14ac:dyDescent="0.25"/>
    <row r="117380" s="12" customFormat="1" x14ac:dyDescent="0.25"/>
    <row r="117381" s="12" customFormat="1" x14ac:dyDescent="0.25"/>
    <row r="117382" s="12" customFormat="1" x14ac:dyDescent="0.25"/>
    <row r="117383" s="12" customFormat="1" x14ac:dyDescent="0.25"/>
    <row r="117384" s="12" customFormat="1" x14ac:dyDescent="0.25"/>
    <row r="117385" s="12" customFormat="1" x14ac:dyDescent="0.25"/>
    <row r="117386" s="12" customFormat="1" x14ac:dyDescent="0.25"/>
    <row r="117387" s="12" customFormat="1" x14ac:dyDescent="0.25"/>
    <row r="117388" s="12" customFormat="1" x14ac:dyDescent="0.25"/>
    <row r="117389" s="12" customFormat="1" x14ac:dyDescent="0.25"/>
    <row r="117390" s="12" customFormat="1" x14ac:dyDescent="0.25"/>
    <row r="117391" s="12" customFormat="1" x14ac:dyDescent="0.25"/>
    <row r="117392" s="12" customFormat="1" x14ac:dyDescent="0.25"/>
    <row r="117393" s="12" customFormat="1" x14ac:dyDescent="0.25"/>
    <row r="117394" s="12" customFormat="1" x14ac:dyDescent="0.25"/>
    <row r="117395" s="12" customFormat="1" x14ac:dyDescent="0.25"/>
    <row r="117396" s="12" customFormat="1" x14ac:dyDescent="0.25"/>
    <row r="117397" s="12" customFormat="1" x14ac:dyDescent="0.25"/>
    <row r="117398" s="12" customFormat="1" x14ac:dyDescent="0.25"/>
    <row r="117399" s="12" customFormat="1" x14ac:dyDescent="0.25"/>
    <row r="117400" s="12" customFormat="1" x14ac:dyDescent="0.25"/>
    <row r="117401" s="12" customFormat="1" x14ac:dyDescent="0.25"/>
    <row r="117402" s="12" customFormat="1" x14ac:dyDescent="0.25"/>
    <row r="117403" s="12" customFormat="1" x14ac:dyDescent="0.25"/>
    <row r="117404" s="12" customFormat="1" x14ac:dyDescent="0.25"/>
    <row r="117405" s="12" customFormat="1" x14ac:dyDescent="0.25"/>
    <row r="117406" s="12" customFormat="1" x14ac:dyDescent="0.25"/>
    <row r="117407" s="12" customFormat="1" x14ac:dyDescent="0.25"/>
    <row r="117408" s="12" customFormat="1" x14ac:dyDescent="0.25"/>
    <row r="117409" s="12" customFormat="1" x14ac:dyDescent="0.25"/>
    <row r="117410" s="12" customFormat="1" x14ac:dyDescent="0.25"/>
    <row r="117411" s="12" customFormat="1" x14ac:dyDescent="0.25"/>
    <row r="117412" s="12" customFormat="1" x14ac:dyDescent="0.25"/>
    <row r="117413" s="12" customFormat="1" x14ac:dyDescent="0.25"/>
    <row r="117414" s="12" customFormat="1" x14ac:dyDescent="0.25"/>
    <row r="117415" s="12" customFormat="1" x14ac:dyDescent="0.25"/>
    <row r="117416" s="12" customFormat="1" x14ac:dyDescent="0.25"/>
    <row r="117417" s="12" customFormat="1" x14ac:dyDescent="0.25"/>
    <row r="117418" s="12" customFormat="1" x14ac:dyDescent="0.25"/>
    <row r="117419" s="12" customFormat="1" x14ac:dyDescent="0.25"/>
    <row r="117420" s="12" customFormat="1" x14ac:dyDescent="0.25"/>
    <row r="117421" s="12" customFormat="1" x14ac:dyDescent="0.25"/>
    <row r="117422" s="12" customFormat="1" x14ac:dyDescent="0.25"/>
    <row r="117423" s="12" customFormat="1" x14ac:dyDescent="0.25"/>
    <row r="117424" s="12" customFormat="1" x14ac:dyDescent="0.25"/>
    <row r="117425" s="12" customFormat="1" x14ac:dyDescent="0.25"/>
    <row r="117426" s="12" customFormat="1" x14ac:dyDescent="0.25"/>
    <row r="117427" s="12" customFormat="1" x14ac:dyDescent="0.25"/>
    <row r="117428" s="12" customFormat="1" x14ac:dyDescent="0.25"/>
    <row r="117429" s="12" customFormat="1" x14ac:dyDescent="0.25"/>
    <row r="117430" s="12" customFormat="1" x14ac:dyDescent="0.25"/>
    <row r="117431" s="12" customFormat="1" x14ac:dyDescent="0.25"/>
    <row r="117432" s="12" customFormat="1" x14ac:dyDescent="0.25"/>
    <row r="117433" s="12" customFormat="1" x14ac:dyDescent="0.25"/>
    <row r="117434" s="12" customFormat="1" x14ac:dyDescent="0.25"/>
    <row r="117435" s="12" customFormat="1" x14ac:dyDescent="0.25"/>
    <row r="117436" s="12" customFormat="1" x14ac:dyDescent="0.25"/>
    <row r="117437" s="12" customFormat="1" x14ac:dyDescent="0.25"/>
    <row r="117438" s="12" customFormat="1" x14ac:dyDescent="0.25"/>
    <row r="117439" s="12" customFormat="1" x14ac:dyDescent="0.25"/>
    <row r="117440" s="12" customFormat="1" x14ac:dyDescent="0.25"/>
    <row r="117441" s="12" customFormat="1" x14ac:dyDescent="0.25"/>
    <row r="117442" s="12" customFormat="1" x14ac:dyDescent="0.25"/>
    <row r="117443" s="12" customFormat="1" x14ac:dyDescent="0.25"/>
    <row r="117444" s="12" customFormat="1" x14ac:dyDescent="0.25"/>
    <row r="117445" s="12" customFormat="1" x14ac:dyDescent="0.25"/>
    <row r="117446" s="12" customFormat="1" x14ac:dyDescent="0.25"/>
    <row r="117447" s="12" customFormat="1" x14ac:dyDescent="0.25"/>
    <row r="117448" s="12" customFormat="1" x14ac:dyDescent="0.25"/>
    <row r="117449" s="12" customFormat="1" x14ac:dyDescent="0.25"/>
    <row r="117450" s="12" customFormat="1" x14ac:dyDescent="0.25"/>
    <row r="117451" s="12" customFormat="1" x14ac:dyDescent="0.25"/>
    <row r="117452" s="12" customFormat="1" x14ac:dyDescent="0.25"/>
    <row r="117453" s="12" customFormat="1" x14ac:dyDescent="0.25"/>
    <row r="117454" s="12" customFormat="1" x14ac:dyDescent="0.25"/>
    <row r="117455" s="12" customFormat="1" x14ac:dyDescent="0.25"/>
    <row r="117456" s="12" customFormat="1" x14ac:dyDescent="0.25"/>
    <row r="117457" s="12" customFormat="1" x14ac:dyDescent="0.25"/>
    <row r="117458" s="12" customFormat="1" x14ac:dyDescent="0.25"/>
    <row r="117459" s="12" customFormat="1" x14ac:dyDescent="0.25"/>
    <row r="117460" s="12" customFormat="1" x14ac:dyDescent="0.25"/>
    <row r="117461" s="12" customFormat="1" x14ac:dyDescent="0.25"/>
    <row r="117462" s="12" customFormat="1" x14ac:dyDescent="0.25"/>
    <row r="117463" s="12" customFormat="1" x14ac:dyDescent="0.25"/>
    <row r="117464" s="12" customFormat="1" x14ac:dyDescent="0.25"/>
    <row r="117465" s="12" customFormat="1" x14ac:dyDescent="0.25"/>
    <row r="117466" s="12" customFormat="1" x14ac:dyDescent="0.25"/>
    <row r="117467" s="12" customFormat="1" x14ac:dyDescent="0.25"/>
    <row r="117468" s="12" customFormat="1" x14ac:dyDescent="0.25"/>
    <row r="117469" s="12" customFormat="1" x14ac:dyDescent="0.25"/>
    <row r="117470" s="12" customFormat="1" x14ac:dyDescent="0.25"/>
    <row r="117471" s="12" customFormat="1" x14ac:dyDescent="0.25"/>
    <row r="117472" s="12" customFormat="1" x14ac:dyDescent="0.25"/>
    <row r="117473" s="12" customFormat="1" x14ac:dyDescent="0.25"/>
    <row r="117474" s="12" customFormat="1" x14ac:dyDescent="0.25"/>
    <row r="117475" s="12" customFormat="1" x14ac:dyDescent="0.25"/>
    <row r="117476" s="12" customFormat="1" x14ac:dyDescent="0.25"/>
    <row r="117477" s="12" customFormat="1" x14ac:dyDescent="0.25"/>
    <row r="117478" s="12" customFormat="1" x14ac:dyDescent="0.25"/>
    <row r="117479" s="12" customFormat="1" x14ac:dyDescent="0.25"/>
    <row r="117480" s="12" customFormat="1" x14ac:dyDescent="0.25"/>
    <row r="117481" s="12" customFormat="1" x14ac:dyDescent="0.25"/>
    <row r="117482" s="12" customFormat="1" x14ac:dyDescent="0.25"/>
    <row r="117483" s="12" customFormat="1" x14ac:dyDescent="0.25"/>
    <row r="117484" s="12" customFormat="1" x14ac:dyDescent="0.25"/>
    <row r="117485" s="12" customFormat="1" x14ac:dyDescent="0.25"/>
    <row r="117486" s="12" customFormat="1" x14ac:dyDescent="0.25"/>
    <row r="117487" s="12" customFormat="1" x14ac:dyDescent="0.25"/>
    <row r="117488" s="12" customFormat="1" x14ac:dyDescent="0.25"/>
    <row r="117489" s="12" customFormat="1" x14ac:dyDescent="0.25"/>
    <row r="117490" s="12" customFormat="1" x14ac:dyDescent="0.25"/>
    <row r="117491" s="12" customFormat="1" x14ac:dyDescent="0.25"/>
    <row r="117492" s="12" customFormat="1" x14ac:dyDescent="0.25"/>
    <row r="117493" s="12" customFormat="1" x14ac:dyDescent="0.25"/>
    <row r="117494" s="12" customFormat="1" x14ac:dyDescent="0.25"/>
    <row r="117495" s="12" customFormat="1" x14ac:dyDescent="0.25"/>
    <row r="117496" s="12" customFormat="1" x14ac:dyDescent="0.25"/>
    <row r="117497" s="12" customFormat="1" x14ac:dyDescent="0.25"/>
    <row r="117498" s="12" customFormat="1" x14ac:dyDescent="0.25"/>
    <row r="117499" s="12" customFormat="1" x14ac:dyDescent="0.25"/>
    <row r="117500" s="12" customFormat="1" x14ac:dyDescent="0.25"/>
    <row r="117501" s="12" customFormat="1" x14ac:dyDescent="0.25"/>
    <row r="117502" s="12" customFormat="1" x14ac:dyDescent="0.25"/>
    <row r="117503" s="12" customFormat="1" x14ac:dyDescent="0.25"/>
    <row r="117504" s="12" customFormat="1" x14ac:dyDescent="0.25"/>
    <row r="117505" s="12" customFormat="1" x14ac:dyDescent="0.25"/>
    <row r="117506" s="12" customFormat="1" x14ac:dyDescent="0.25"/>
    <row r="117507" s="12" customFormat="1" x14ac:dyDescent="0.25"/>
    <row r="117508" s="12" customFormat="1" x14ac:dyDescent="0.25"/>
    <row r="117509" s="12" customFormat="1" x14ac:dyDescent="0.25"/>
    <row r="117510" s="12" customFormat="1" x14ac:dyDescent="0.25"/>
    <row r="117511" s="12" customFormat="1" x14ac:dyDescent="0.25"/>
    <row r="117512" s="12" customFormat="1" x14ac:dyDescent="0.25"/>
    <row r="117513" s="12" customFormat="1" x14ac:dyDescent="0.25"/>
    <row r="117514" s="12" customFormat="1" x14ac:dyDescent="0.25"/>
    <row r="117515" s="12" customFormat="1" x14ac:dyDescent="0.25"/>
    <row r="117516" s="12" customFormat="1" x14ac:dyDescent="0.25"/>
    <row r="117517" s="12" customFormat="1" x14ac:dyDescent="0.25"/>
    <row r="117518" s="12" customFormat="1" x14ac:dyDescent="0.25"/>
    <row r="117519" s="12" customFormat="1" x14ac:dyDescent="0.25"/>
    <row r="117520" s="12" customFormat="1" x14ac:dyDescent="0.25"/>
    <row r="117521" s="12" customFormat="1" x14ac:dyDescent="0.25"/>
    <row r="117522" s="12" customFormat="1" x14ac:dyDescent="0.25"/>
    <row r="117523" s="12" customFormat="1" x14ac:dyDescent="0.25"/>
    <row r="117524" s="12" customFormat="1" x14ac:dyDescent="0.25"/>
    <row r="117525" s="12" customFormat="1" x14ac:dyDescent="0.25"/>
    <row r="117526" s="12" customFormat="1" x14ac:dyDescent="0.25"/>
    <row r="117527" s="12" customFormat="1" x14ac:dyDescent="0.25"/>
    <row r="117528" s="12" customFormat="1" x14ac:dyDescent="0.25"/>
    <row r="117529" s="12" customFormat="1" x14ac:dyDescent="0.25"/>
    <row r="117530" s="12" customFormat="1" x14ac:dyDescent="0.25"/>
    <row r="117531" s="12" customFormat="1" x14ac:dyDescent="0.25"/>
    <row r="117532" s="12" customFormat="1" x14ac:dyDescent="0.25"/>
    <row r="117533" s="12" customFormat="1" x14ac:dyDescent="0.25"/>
    <row r="117534" s="12" customFormat="1" x14ac:dyDescent="0.25"/>
    <row r="117535" s="12" customFormat="1" x14ac:dyDescent="0.25"/>
    <row r="117536" s="12" customFormat="1" x14ac:dyDescent="0.25"/>
    <row r="117537" s="12" customFormat="1" x14ac:dyDescent="0.25"/>
    <row r="117538" s="12" customFormat="1" x14ac:dyDescent="0.25"/>
    <row r="117539" s="12" customFormat="1" x14ac:dyDescent="0.25"/>
    <row r="117540" s="12" customFormat="1" x14ac:dyDescent="0.25"/>
    <row r="117541" s="12" customFormat="1" x14ac:dyDescent="0.25"/>
    <row r="117542" s="12" customFormat="1" x14ac:dyDescent="0.25"/>
    <row r="117543" s="12" customFormat="1" x14ac:dyDescent="0.25"/>
    <row r="117544" s="12" customFormat="1" x14ac:dyDescent="0.25"/>
    <row r="117545" s="12" customFormat="1" x14ac:dyDescent="0.25"/>
    <row r="117546" s="12" customFormat="1" x14ac:dyDescent="0.25"/>
    <row r="117547" s="12" customFormat="1" x14ac:dyDescent="0.25"/>
    <row r="117548" s="12" customFormat="1" x14ac:dyDescent="0.25"/>
    <row r="117549" s="12" customFormat="1" x14ac:dyDescent="0.25"/>
    <row r="117550" s="12" customFormat="1" x14ac:dyDescent="0.25"/>
    <row r="117551" s="12" customFormat="1" x14ac:dyDescent="0.25"/>
    <row r="117552" s="12" customFormat="1" x14ac:dyDescent="0.25"/>
    <row r="117553" s="12" customFormat="1" x14ac:dyDescent="0.25"/>
    <row r="117554" s="12" customFormat="1" x14ac:dyDescent="0.25"/>
    <row r="117555" s="12" customFormat="1" x14ac:dyDescent="0.25"/>
    <row r="117556" s="12" customFormat="1" x14ac:dyDescent="0.25"/>
    <row r="117557" s="12" customFormat="1" x14ac:dyDescent="0.25"/>
    <row r="117558" s="12" customFormat="1" x14ac:dyDescent="0.25"/>
    <row r="117559" s="12" customFormat="1" x14ac:dyDescent="0.25"/>
    <row r="117560" s="12" customFormat="1" x14ac:dyDescent="0.25"/>
    <row r="117561" s="12" customFormat="1" x14ac:dyDescent="0.25"/>
    <row r="117562" s="12" customFormat="1" x14ac:dyDescent="0.25"/>
    <row r="117563" s="12" customFormat="1" x14ac:dyDescent="0.25"/>
    <row r="117564" s="12" customFormat="1" x14ac:dyDescent="0.25"/>
    <row r="117565" s="12" customFormat="1" x14ac:dyDescent="0.25"/>
    <row r="117566" s="12" customFormat="1" x14ac:dyDescent="0.25"/>
    <row r="117567" s="12" customFormat="1" x14ac:dyDescent="0.25"/>
    <row r="117568" s="12" customFormat="1" x14ac:dyDescent="0.25"/>
    <row r="117569" s="12" customFormat="1" x14ac:dyDescent="0.25"/>
    <row r="117570" s="12" customFormat="1" x14ac:dyDescent="0.25"/>
    <row r="117571" s="12" customFormat="1" x14ac:dyDescent="0.25"/>
    <row r="117572" s="12" customFormat="1" x14ac:dyDescent="0.25"/>
    <row r="117573" s="12" customFormat="1" x14ac:dyDescent="0.25"/>
    <row r="117574" s="12" customFormat="1" x14ac:dyDescent="0.25"/>
    <row r="117575" s="12" customFormat="1" x14ac:dyDescent="0.25"/>
    <row r="117576" s="12" customFormat="1" x14ac:dyDescent="0.25"/>
    <row r="117577" s="12" customFormat="1" x14ac:dyDescent="0.25"/>
    <row r="117578" s="12" customFormat="1" x14ac:dyDescent="0.25"/>
    <row r="117579" s="12" customFormat="1" x14ac:dyDescent="0.25"/>
    <row r="117580" s="12" customFormat="1" x14ac:dyDescent="0.25"/>
    <row r="117581" s="12" customFormat="1" x14ac:dyDescent="0.25"/>
    <row r="117582" s="12" customFormat="1" x14ac:dyDescent="0.25"/>
    <row r="117583" s="12" customFormat="1" x14ac:dyDescent="0.25"/>
    <row r="117584" s="12" customFormat="1" x14ac:dyDescent="0.25"/>
    <row r="117585" s="12" customFormat="1" x14ac:dyDescent="0.25"/>
    <row r="117586" s="12" customFormat="1" x14ac:dyDescent="0.25"/>
    <row r="117587" s="12" customFormat="1" x14ac:dyDescent="0.25"/>
    <row r="117588" s="12" customFormat="1" x14ac:dyDescent="0.25"/>
    <row r="117589" s="12" customFormat="1" x14ac:dyDescent="0.25"/>
    <row r="117590" s="12" customFormat="1" x14ac:dyDescent="0.25"/>
    <row r="117591" s="12" customFormat="1" x14ac:dyDescent="0.25"/>
    <row r="117592" s="12" customFormat="1" x14ac:dyDescent="0.25"/>
    <row r="117593" s="12" customFormat="1" x14ac:dyDescent="0.25"/>
    <row r="117594" s="12" customFormat="1" x14ac:dyDescent="0.25"/>
    <row r="117595" s="12" customFormat="1" x14ac:dyDescent="0.25"/>
    <row r="117596" s="12" customFormat="1" x14ac:dyDescent="0.25"/>
    <row r="117597" s="12" customFormat="1" x14ac:dyDescent="0.25"/>
    <row r="117598" s="12" customFormat="1" x14ac:dyDescent="0.25"/>
    <row r="117599" s="12" customFormat="1" x14ac:dyDescent="0.25"/>
    <row r="117600" s="12" customFormat="1" x14ac:dyDescent="0.25"/>
    <row r="117601" s="12" customFormat="1" x14ac:dyDescent="0.25"/>
    <row r="117602" s="12" customFormat="1" x14ac:dyDescent="0.25"/>
    <row r="117603" s="12" customFormat="1" x14ac:dyDescent="0.25"/>
    <row r="117604" s="12" customFormat="1" x14ac:dyDescent="0.25"/>
    <row r="117605" s="12" customFormat="1" x14ac:dyDescent="0.25"/>
    <row r="117606" s="12" customFormat="1" x14ac:dyDescent="0.25"/>
    <row r="117607" s="12" customFormat="1" x14ac:dyDescent="0.25"/>
    <row r="117608" s="12" customFormat="1" x14ac:dyDescent="0.25"/>
    <row r="117609" s="12" customFormat="1" x14ac:dyDescent="0.25"/>
    <row r="117610" s="12" customFormat="1" x14ac:dyDescent="0.25"/>
    <row r="117611" s="12" customFormat="1" x14ac:dyDescent="0.25"/>
    <row r="117612" s="12" customFormat="1" x14ac:dyDescent="0.25"/>
    <row r="117613" s="12" customFormat="1" x14ac:dyDescent="0.25"/>
    <row r="117614" s="12" customFormat="1" x14ac:dyDescent="0.25"/>
    <row r="117615" s="12" customFormat="1" x14ac:dyDescent="0.25"/>
    <row r="117616" s="12" customFormat="1" x14ac:dyDescent="0.25"/>
    <row r="117617" s="12" customFormat="1" x14ac:dyDescent="0.25"/>
    <row r="117618" s="12" customFormat="1" x14ac:dyDescent="0.25"/>
    <row r="117619" s="12" customFormat="1" x14ac:dyDescent="0.25"/>
    <row r="117620" s="12" customFormat="1" x14ac:dyDescent="0.25"/>
    <row r="117621" s="12" customFormat="1" x14ac:dyDescent="0.25"/>
    <row r="117622" s="12" customFormat="1" x14ac:dyDescent="0.25"/>
    <row r="117623" s="12" customFormat="1" x14ac:dyDescent="0.25"/>
    <row r="117624" s="12" customFormat="1" x14ac:dyDescent="0.25"/>
    <row r="117625" s="12" customFormat="1" x14ac:dyDescent="0.25"/>
    <row r="117626" s="12" customFormat="1" x14ac:dyDescent="0.25"/>
    <row r="117627" s="12" customFormat="1" x14ac:dyDescent="0.25"/>
    <row r="117628" s="12" customFormat="1" x14ac:dyDescent="0.25"/>
    <row r="117629" s="12" customFormat="1" x14ac:dyDescent="0.25"/>
    <row r="117630" s="12" customFormat="1" x14ac:dyDescent="0.25"/>
    <row r="117631" s="12" customFormat="1" x14ac:dyDescent="0.25"/>
    <row r="117632" s="12" customFormat="1" x14ac:dyDescent="0.25"/>
    <row r="117633" s="12" customFormat="1" x14ac:dyDescent="0.25"/>
    <row r="117634" s="12" customFormat="1" x14ac:dyDescent="0.25"/>
    <row r="117635" s="12" customFormat="1" x14ac:dyDescent="0.25"/>
    <row r="117636" s="12" customFormat="1" x14ac:dyDescent="0.25"/>
    <row r="117637" s="12" customFormat="1" x14ac:dyDescent="0.25"/>
    <row r="117638" s="12" customFormat="1" x14ac:dyDescent="0.25"/>
    <row r="117639" s="12" customFormat="1" x14ac:dyDescent="0.25"/>
    <row r="117640" s="12" customFormat="1" x14ac:dyDescent="0.25"/>
    <row r="117641" s="12" customFormat="1" x14ac:dyDescent="0.25"/>
    <row r="117642" s="12" customFormat="1" x14ac:dyDescent="0.25"/>
    <row r="117643" s="12" customFormat="1" x14ac:dyDescent="0.25"/>
    <row r="117644" s="12" customFormat="1" x14ac:dyDescent="0.25"/>
    <row r="117645" s="12" customFormat="1" x14ac:dyDescent="0.25"/>
    <row r="117646" s="12" customFormat="1" x14ac:dyDescent="0.25"/>
    <row r="117647" s="12" customFormat="1" x14ac:dyDescent="0.25"/>
    <row r="117648" s="12" customFormat="1" x14ac:dyDescent="0.25"/>
    <row r="117649" s="12" customFormat="1" x14ac:dyDescent="0.25"/>
    <row r="117650" s="12" customFormat="1" x14ac:dyDescent="0.25"/>
    <row r="117651" s="12" customFormat="1" x14ac:dyDescent="0.25"/>
    <row r="117652" s="12" customFormat="1" x14ac:dyDescent="0.25"/>
    <row r="117653" s="12" customFormat="1" x14ac:dyDescent="0.25"/>
    <row r="117654" s="12" customFormat="1" x14ac:dyDescent="0.25"/>
    <row r="117655" s="12" customFormat="1" x14ac:dyDescent="0.25"/>
    <row r="117656" s="12" customFormat="1" x14ac:dyDescent="0.25"/>
    <row r="117657" s="12" customFormat="1" x14ac:dyDescent="0.25"/>
    <row r="117658" s="12" customFormat="1" x14ac:dyDescent="0.25"/>
    <row r="117659" s="12" customFormat="1" x14ac:dyDescent="0.25"/>
    <row r="117660" s="12" customFormat="1" x14ac:dyDescent="0.25"/>
    <row r="117661" s="12" customFormat="1" x14ac:dyDescent="0.25"/>
    <row r="117662" s="12" customFormat="1" x14ac:dyDescent="0.25"/>
    <row r="117663" s="12" customFormat="1" x14ac:dyDescent="0.25"/>
    <row r="117664" s="12" customFormat="1" x14ac:dyDescent="0.25"/>
    <row r="117665" s="12" customFormat="1" x14ac:dyDescent="0.25"/>
    <row r="117666" s="12" customFormat="1" x14ac:dyDescent="0.25"/>
    <row r="117667" s="12" customFormat="1" x14ac:dyDescent="0.25"/>
    <row r="117668" s="12" customFormat="1" x14ac:dyDescent="0.25"/>
    <row r="117669" s="12" customFormat="1" x14ac:dyDescent="0.25"/>
    <row r="117670" s="12" customFormat="1" x14ac:dyDescent="0.25"/>
    <row r="117671" s="12" customFormat="1" x14ac:dyDescent="0.25"/>
    <row r="117672" s="12" customFormat="1" x14ac:dyDescent="0.25"/>
    <row r="117673" s="12" customFormat="1" x14ac:dyDescent="0.25"/>
    <row r="117674" s="12" customFormat="1" x14ac:dyDescent="0.25"/>
    <row r="117675" s="12" customFormat="1" x14ac:dyDescent="0.25"/>
    <row r="117676" s="12" customFormat="1" x14ac:dyDescent="0.25"/>
    <row r="117677" s="12" customFormat="1" x14ac:dyDescent="0.25"/>
    <row r="117678" s="12" customFormat="1" x14ac:dyDescent="0.25"/>
    <row r="117679" s="12" customFormat="1" x14ac:dyDescent="0.25"/>
    <row r="117680" s="12" customFormat="1" x14ac:dyDescent="0.25"/>
    <row r="117681" s="12" customFormat="1" x14ac:dyDescent="0.25"/>
    <row r="117682" s="12" customFormat="1" x14ac:dyDescent="0.25"/>
    <row r="117683" s="12" customFormat="1" x14ac:dyDescent="0.25"/>
    <row r="117684" s="12" customFormat="1" x14ac:dyDescent="0.25"/>
    <row r="117685" s="12" customFormat="1" x14ac:dyDescent="0.25"/>
    <row r="117686" s="12" customFormat="1" x14ac:dyDescent="0.25"/>
    <row r="117687" s="12" customFormat="1" x14ac:dyDescent="0.25"/>
    <row r="117688" s="12" customFormat="1" x14ac:dyDescent="0.25"/>
    <row r="117689" s="12" customFormat="1" x14ac:dyDescent="0.25"/>
    <row r="117690" s="12" customFormat="1" x14ac:dyDescent="0.25"/>
    <row r="117691" s="12" customFormat="1" x14ac:dyDescent="0.25"/>
    <row r="117692" s="12" customFormat="1" x14ac:dyDescent="0.25"/>
    <row r="117693" s="12" customFormat="1" x14ac:dyDescent="0.25"/>
    <row r="117694" s="12" customFormat="1" x14ac:dyDescent="0.25"/>
    <row r="117695" s="12" customFormat="1" x14ac:dyDescent="0.25"/>
    <row r="117696" s="12" customFormat="1" x14ac:dyDescent="0.25"/>
    <row r="117697" s="12" customFormat="1" x14ac:dyDescent="0.25"/>
    <row r="117698" s="12" customFormat="1" x14ac:dyDescent="0.25"/>
    <row r="117699" s="12" customFormat="1" x14ac:dyDescent="0.25"/>
    <row r="117700" s="12" customFormat="1" x14ac:dyDescent="0.25"/>
    <row r="117701" s="12" customFormat="1" x14ac:dyDescent="0.25"/>
    <row r="117702" s="12" customFormat="1" x14ac:dyDescent="0.25"/>
    <row r="117703" s="12" customFormat="1" x14ac:dyDescent="0.25"/>
    <row r="117704" s="12" customFormat="1" x14ac:dyDescent="0.25"/>
    <row r="117705" s="12" customFormat="1" x14ac:dyDescent="0.25"/>
    <row r="117706" s="12" customFormat="1" x14ac:dyDescent="0.25"/>
    <row r="117707" s="12" customFormat="1" x14ac:dyDescent="0.25"/>
    <row r="117708" s="12" customFormat="1" x14ac:dyDescent="0.25"/>
    <row r="117709" s="12" customFormat="1" x14ac:dyDescent="0.25"/>
    <row r="117710" s="12" customFormat="1" x14ac:dyDescent="0.25"/>
    <row r="117711" s="12" customFormat="1" x14ac:dyDescent="0.25"/>
    <row r="117712" s="12" customFormat="1" x14ac:dyDescent="0.25"/>
    <row r="117713" s="12" customFormat="1" x14ac:dyDescent="0.25"/>
    <row r="117714" s="12" customFormat="1" x14ac:dyDescent="0.25"/>
    <row r="117715" s="12" customFormat="1" x14ac:dyDescent="0.25"/>
    <row r="117716" s="12" customFormat="1" x14ac:dyDescent="0.25"/>
    <row r="117717" s="12" customFormat="1" x14ac:dyDescent="0.25"/>
    <row r="117718" s="12" customFormat="1" x14ac:dyDescent="0.25"/>
    <row r="117719" s="12" customFormat="1" x14ac:dyDescent="0.25"/>
    <row r="117720" s="12" customFormat="1" x14ac:dyDescent="0.25"/>
    <row r="117721" s="12" customFormat="1" x14ac:dyDescent="0.25"/>
    <row r="117722" s="12" customFormat="1" x14ac:dyDescent="0.25"/>
    <row r="117723" s="12" customFormat="1" x14ac:dyDescent="0.25"/>
    <row r="117724" s="12" customFormat="1" x14ac:dyDescent="0.25"/>
    <row r="117725" s="12" customFormat="1" x14ac:dyDescent="0.25"/>
    <row r="117726" s="12" customFormat="1" x14ac:dyDescent="0.25"/>
    <row r="117727" s="12" customFormat="1" x14ac:dyDescent="0.25"/>
    <row r="117728" s="12" customFormat="1" x14ac:dyDescent="0.25"/>
    <row r="117729" s="12" customFormat="1" x14ac:dyDescent="0.25"/>
    <row r="117730" s="12" customFormat="1" x14ac:dyDescent="0.25"/>
    <row r="117731" s="12" customFormat="1" x14ac:dyDescent="0.25"/>
    <row r="117732" s="12" customFormat="1" x14ac:dyDescent="0.25"/>
    <row r="117733" s="12" customFormat="1" x14ac:dyDescent="0.25"/>
    <row r="117734" s="12" customFormat="1" x14ac:dyDescent="0.25"/>
    <row r="117735" s="12" customFormat="1" x14ac:dyDescent="0.25"/>
    <row r="117736" s="12" customFormat="1" x14ac:dyDescent="0.25"/>
    <row r="117737" s="12" customFormat="1" x14ac:dyDescent="0.25"/>
    <row r="117738" s="12" customFormat="1" x14ac:dyDescent="0.25"/>
    <row r="117739" s="12" customFormat="1" x14ac:dyDescent="0.25"/>
    <row r="117740" s="12" customFormat="1" x14ac:dyDescent="0.25"/>
    <row r="117741" s="12" customFormat="1" x14ac:dyDescent="0.25"/>
    <row r="117742" s="12" customFormat="1" x14ac:dyDescent="0.25"/>
    <row r="117743" s="12" customFormat="1" x14ac:dyDescent="0.25"/>
    <row r="117744" s="12" customFormat="1" x14ac:dyDescent="0.25"/>
    <row r="117745" s="12" customFormat="1" x14ac:dyDescent="0.25"/>
    <row r="117746" s="12" customFormat="1" x14ac:dyDescent="0.25"/>
    <row r="117747" s="12" customFormat="1" x14ac:dyDescent="0.25"/>
    <row r="117748" s="12" customFormat="1" x14ac:dyDescent="0.25"/>
    <row r="117749" s="12" customFormat="1" x14ac:dyDescent="0.25"/>
    <row r="117750" s="12" customFormat="1" x14ac:dyDescent="0.25"/>
    <row r="117751" s="12" customFormat="1" x14ac:dyDescent="0.25"/>
    <row r="117752" s="12" customFormat="1" x14ac:dyDescent="0.25"/>
    <row r="117753" s="12" customFormat="1" x14ac:dyDescent="0.25"/>
    <row r="117754" s="12" customFormat="1" x14ac:dyDescent="0.25"/>
    <row r="117755" s="12" customFormat="1" x14ac:dyDescent="0.25"/>
    <row r="117756" s="12" customFormat="1" x14ac:dyDescent="0.25"/>
    <row r="117757" s="12" customFormat="1" x14ac:dyDescent="0.25"/>
    <row r="117758" s="12" customFormat="1" x14ac:dyDescent="0.25"/>
    <row r="117759" s="12" customFormat="1" x14ac:dyDescent="0.25"/>
    <row r="117760" s="12" customFormat="1" x14ac:dyDescent="0.25"/>
    <row r="117761" s="12" customFormat="1" x14ac:dyDescent="0.25"/>
    <row r="117762" s="12" customFormat="1" x14ac:dyDescent="0.25"/>
    <row r="117763" s="12" customFormat="1" x14ac:dyDescent="0.25"/>
    <row r="117764" s="12" customFormat="1" x14ac:dyDescent="0.25"/>
    <row r="117765" s="12" customFormat="1" x14ac:dyDescent="0.25"/>
    <row r="117766" s="12" customFormat="1" x14ac:dyDescent="0.25"/>
    <row r="117767" s="12" customFormat="1" x14ac:dyDescent="0.25"/>
    <row r="117768" s="12" customFormat="1" x14ac:dyDescent="0.25"/>
    <row r="117769" s="12" customFormat="1" x14ac:dyDescent="0.25"/>
    <row r="117770" s="12" customFormat="1" x14ac:dyDescent="0.25"/>
    <row r="117771" s="12" customFormat="1" x14ac:dyDescent="0.25"/>
    <row r="117772" s="12" customFormat="1" x14ac:dyDescent="0.25"/>
    <row r="117773" s="12" customFormat="1" x14ac:dyDescent="0.25"/>
    <row r="117774" s="12" customFormat="1" x14ac:dyDescent="0.25"/>
    <row r="117775" s="12" customFormat="1" x14ac:dyDescent="0.25"/>
    <row r="117776" s="12" customFormat="1" x14ac:dyDescent="0.25"/>
    <row r="117777" s="12" customFormat="1" x14ac:dyDescent="0.25"/>
    <row r="117778" s="12" customFormat="1" x14ac:dyDescent="0.25"/>
    <row r="117779" s="12" customFormat="1" x14ac:dyDescent="0.25"/>
    <row r="117780" s="12" customFormat="1" x14ac:dyDescent="0.25"/>
    <row r="117781" s="12" customFormat="1" x14ac:dyDescent="0.25"/>
    <row r="117782" s="12" customFormat="1" x14ac:dyDescent="0.25"/>
    <row r="117783" s="12" customFormat="1" x14ac:dyDescent="0.25"/>
    <row r="117784" s="12" customFormat="1" x14ac:dyDescent="0.25"/>
    <row r="117785" s="12" customFormat="1" x14ac:dyDescent="0.25"/>
    <row r="117786" s="12" customFormat="1" x14ac:dyDescent="0.25"/>
    <row r="117787" s="12" customFormat="1" x14ac:dyDescent="0.25"/>
    <row r="117788" s="12" customFormat="1" x14ac:dyDescent="0.25"/>
    <row r="117789" s="12" customFormat="1" x14ac:dyDescent="0.25"/>
    <row r="117790" s="12" customFormat="1" x14ac:dyDescent="0.25"/>
    <row r="117791" s="12" customFormat="1" x14ac:dyDescent="0.25"/>
    <row r="117792" s="12" customFormat="1" x14ac:dyDescent="0.25"/>
    <row r="117793" s="12" customFormat="1" x14ac:dyDescent="0.25"/>
    <row r="117794" s="12" customFormat="1" x14ac:dyDescent="0.25"/>
    <row r="117795" s="12" customFormat="1" x14ac:dyDescent="0.25"/>
    <row r="117796" s="12" customFormat="1" x14ac:dyDescent="0.25"/>
    <row r="117797" s="12" customFormat="1" x14ac:dyDescent="0.25"/>
    <row r="117798" s="12" customFormat="1" x14ac:dyDescent="0.25"/>
    <row r="117799" s="12" customFormat="1" x14ac:dyDescent="0.25"/>
    <row r="117800" s="12" customFormat="1" x14ac:dyDescent="0.25"/>
    <row r="117801" s="12" customFormat="1" x14ac:dyDescent="0.25"/>
    <row r="117802" s="12" customFormat="1" x14ac:dyDescent="0.25"/>
    <row r="117803" s="12" customFormat="1" x14ac:dyDescent="0.25"/>
    <row r="117804" s="12" customFormat="1" x14ac:dyDescent="0.25"/>
    <row r="117805" s="12" customFormat="1" x14ac:dyDescent="0.25"/>
    <row r="117806" s="12" customFormat="1" x14ac:dyDescent="0.25"/>
    <row r="117807" s="12" customFormat="1" x14ac:dyDescent="0.25"/>
    <row r="117808" s="12" customFormat="1" x14ac:dyDescent="0.25"/>
    <row r="117809" s="12" customFormat="1" x14ac:dyDescent="0.25"/>
    <row r="117810" s="12" customFormat="1" x14ac:dyDescent="0.25"/>
    <row r="117811" s="12" customFormat="1" x14ac:dyDescent="0.25"/>
    <row r="117812" s="12" customFormat="1" x14ac:dyDescent="0.25"/>
    <row r="117813" s="12" customFormat="1" x14ac:dyDescent="0.25"/>
    <row r="117814" s="12" customFormat="1" x14ac:dyDescent="0.25"/>
    <row r="117815" s="12" customFormat="1" x14ac:dyDescent="0.25"/>
    <row r="117816" s="12" customFormat="1" x14ac:dyDescent="0.25"/>
    <row r="117817" s="12" customFormat="1" x14ac:dyDescent="0.25"/>
    <row r="117818" s="12" customFormat="1" x14ac:dyDescent="0.25"/>
    <row r="117819" s="12" customFormat="1" x14ac:dyDescent="0.25"/>
    <row r="117820" s="12" customFormat="1" x14ac:dyDescent="0.25"/>
    <row r="117821" s="12" customFormat="1" x14ac:dyDescent="0.25"/>
    <row r="117822" s="12" customFormat="1" x14ac:dyDescent="0.25"/>
    <row r="117823" s="12" customFormat="1" x14ac:dyDescent="0.25"/>
    <row r="117824" s="12" customFormat="1" x14ac:dyDescent="0.25"/>
    <row r="117825" s="12" customFormat="1" x14ac:dyDescent="0.25"/>
    <row r="117826" s="12" customFormat="1" x14ac:dyDescent="0.25"/>
    <row r="117827" s="12" customFormat="1" x14ac:dyDescent="0.25"/>
    <row r="117828" s="12" customFormat="1" x14ac:dyDescent="0.25"/>
    <row r="117829" s="12" customFormat="1" x14ac:dyDescent="0.25"/>
    <row r="117830" s="12" customFormat="1" x14ac:dyDescent="0.25"/>
    <row r="117831" s="12" customFormat="1" x14ac:dyDescent="0.25"/>
    <row r="117832" s="12" customFormat="1" x14ac:dyDescent="0.25"/>
    <row r="117833" s="12" customFormat="1" x14ac:dyDescent="0.25"/>
    <row r="117834" s="12" customFormat="1" x14ac:dyDescent="0.25"/>
    <row r="117835" s="12" customFormat="1" x14ac:dyDescent="0.25"/>
    <row r="117836" s="12" customFormat="1" x14ac:dyDescent="0.25"/>
    <row r="117837" s="12" customFormat="1" x14ac:dyDescent="0.25"/>
    <row r="117838" s="12" customFormat="1" x14ac:dyDescent="0.25"/>
    <row r="117839" s="12" customFormat="1" x14ac:dyDescent="0.25"/>
    <row r="117840" s="12" customFormat="1" x14ac:dyDescent="0.25"/>
    <row r="117841" s="12" customFormat="1" x14ac:dyDescent="0.25"/>
    <row r="117842" s="12" customFormat="1" x14ac:dyDescent="0.25"/>
    <row r="117843" s="12" customFormat="1" x14ac:dyDescent="0.25"/>
    <row r="117844" s="12" customFormat="1" x14ac:dyDescent="0.25"/>
    <row r="117845" s="12" customFormat="1" x14ac:dyDescent="0.25"/>
    <row r="117846" s="12" customFormat="1" x14ac:dyDescent="0.25"/>
    <row r="117847" s="12" customFormat="1" x14ac:dyDescent="0.25"/>
    <row r="117848" s="12" customFormat="1" x14ac:dyDescent="0.25"/>
    <row r="117849" s="12" customFormat="1" x14ac:dyDescent="0.25"/>
    <row r="117850" s="12" customFormat="1" x14ac:dyDescent="0.25"/>
    <row r="117851" s="12" customFormat="1" x14ac:dyDescent="0.25"/>
    <row r="117852" s="12" customFormat="1" x14ac:dyDescent="0.25"/>
    <row r="117853" s="12" customFormat="1" x14ac:dyDescent="0.25"/>
    <row r="117854" s="12" customFormat="1" x14ac:dyDescent="0.25"/>
    <row r="117855" s="12" customFormat="1" x14ac:dyDescent="0.25"/>
    <row r="117856" s="12" customFormat="1" x14ac:dyDescent="0.25"/>
    <row r="117857" s="12" customFormat="1" x14ac:dyDescent="0.25"/>
    <row r="117858" s="12" customFormat="1" x14ac:dyDescent="0.25"/>
    <row r="117859" s="12" customFormat="1" x14ac:dyDescent="0.25"/>
    <row r="117860" s="12" customFormat="1" x14ac:dyDescent="0.25"/>
    <row r="117861" s="12" customFormat="1" x14ac:dyDescent="0.25"/>
    <row r="117862" s="12" customFormat="1" x14ac:dyDescent="0.25"/>
    <row r="117863" s="12" customFormat="1" x14ac:dyDescent="0.25"/>
    <row r="117864" s="12" customFormat="1" x14ac:dyDescent="0.25"/>
    <row r="117865" s="12" customFormat="1" x14ac:dyDescent="0.25"/>
    <row r="117866" s="12" customFormat="1" x14ac:dyDescent="0.25"/>
    <row r="117867" s="12" customFormat="1" x14ac:dyDescent="0.25"/>
    <row r="117868" s="12" customFormat="1" x14ac:dyDescent="0.25"/>
    <row r="117869" s="12" customFormat="1" x14ac:dyDescent="0.25"/>
    <row r="117870" s="12" customFormat="1" x14ac:dyDescent="0.25"/>
    <row r="117871" s="12" customFormat="1" x14ac:dyDescent="0.25"/>
    <row r="117872" s="12" customFormat="1" x14ac:dyDescent="0.25"/>
    <row r="117873" s="12" customFormat="1" x14ac:dyDescent="0.25"/>
    <row r="117874" s="12" customFormat="1" x14ac:dyDescent="0.25"/>
    <row r="117875" s="12" customFormat="1" x14ac:dyDescent="0.25"/>
    <row r="117876" s="12" customFormat="1" x14ac:dyDescent="0.25"/>
    <row r="117877" s="12" customFormat="1" x14ac:dyDescent="0.25"/>
    <row r="117878" s="12" customFormat="1" x14ac:dyDescent="0.25"/>
    <row r="117879" s="12" customFormat="1" x14ac:dyDescent="0.25"/>
    <row r="117880" s="12" customFormat="1" x14ac:dyDescent="0.25"/>
    <row r="117881" s="12" customFormat="1" x14ac:dyDescent="0.25"/>
    <row r="117882" s="12" customFormat="1" x14ac:dyDescent="0.25"/>
    <row r="117883" s="12" customFormat="1" x14ac:dyDescent="0.25"/>
    <row r="117884" s="12" customFormat="1" x14ac:dyDescent="0.25"/>
    <row r="117885" s="12" customFormat="1" x14ac:dyDescent="0.25"/>
    <row r="117886" s="12" customFormat="1" x14ac:dyDescent="0.25"/>
    <row r="117887" s="12" customFormat="1" x14ac:dyDescent="0.25"/>
    <row r="117888" s="12" customFormat="1" x14ac:dyDescent="0.25"/>
    <row r="117889" s="12" customFormat="1" x14ac:dyDescent="0.25"/>
    <row r="117890" s="12" customFormat="1" x14ac:dyDescent="0.25"/>
    <row r="117891" s="12" customFormat="1" x14ac:dyDescent="0.25"/>
    <row r="117892" s="12" customFormat="1" x14ac:dyDescent="0.25"/>
    <row r="117893" s="12" customFormat="1" x14ac:dyDescent="0.25"/>
    <row r="117894" s="12" customFormat="1" x14ac:dyDescent="0.25"/>
    <row r="117895" s="12" customFormat="1" x14ac:dyDescent="0.25"/>
    <row r="117896" s="12" customFormat="1" x14ac:dyDescent="0.25"/>
    <row r="117897" s="12" customFormat="1" x14ac:dyDescent="0.25"/>
    <row r="117898" s="12" customFormat="1" x14ac:dyDescent="0.25"/>
    <row r="117899" s="12" customFormat="1" x14ac:dyDescent="0.25"/>
    <row r="117900" s="12" customFormat="1" x14ac:dyDescent="0.25"/>
    <row r="117901" s="12" customFormat="1" x14ac:dyDescent="0.25"/>
    <row r="117902" s="12" customFormat="1" x14ac:dyDescent="0.25"/>
    <row r="117903" s="12" customFormat="1" x14ac:dyDescent="0.25"/>
    <row r="117904" s="12" customFormat="1" x14ac:dyDescent="0.25"/>
    <row r="117905" s="12" customFormat="1" x14ac:dyDescent="0.25"/>
    <row r="117906" s="12" customFormat="1" x14ac:dyDescent="0.25"/>
    <row r="117907" s="12" customFormat="1" x14ac:dyDescent="0.25"/>
    <row r="117908" s="12" customFormat="1" x14ac:dyDescent="0.25"/>
    <row r="117909" s="12" customFormat="1" x14ac:dyDescent="0.25"/>
    <row r="117910" s="12" customFormat="1" x14ac:dyDescent="0.25"/>
    <row r="117911" s="12" customFormat="1" x14ac:dyDescent="0.25"/>
    <row r="117912" s="12" customFormat="1" x14ac:dyDescent="0.25"/>
    <row r="117913" s="12" customFormat="1" x14ac:dyDescent="0.25"/>
    <row r="117914" s="12" customFormat="1" x14ac:dyDescent="0.25"/>
    <row r="117915" s="12" customFormat="1" x14ac:dyDescent="0.25"/>
    <row r="117916" s="12" customFormat="1" x14ac:dyDescent="0.25"/>
    <row r="117917" s="12" customFormat="1" x14ac:dyDescent="0.25"/>
    <row r="117918" s="12" customFormat="1" x14ac:dyDescent="0.25"/>
    <row r="117919" s="12" customFormat="1" x14ac:dyDescent="0.25"/>
    <row r="117920" s="12" customFormat="1" x14ac:dyDescent="0.25"/>
    <row r="117921" s="12" customFormat="1" x14ac:dyDescent="0.25"/>
    <row r="117922" s="12" customFormat="1" x14ac:dyDescent="0.25"/>
    <row r="117923" s="12" customFormat="1" x14ac:dyDescent="0.25"/>
    <row r="117924" s="12" customFormat="1" x14ac:dyDescent="0.25"/>
    <row r="117925" s="12" customFormat="1" x14ac:dyDescent="0.25"/>
    <row r="117926" s="12" customFormat="1" x14ac:dyDescent="0.25"/>
    <row r="117927" s="12" customFormat="1" x14ac:dyDescent="0.25"/>
    <row r="117928" s="12" customFormat="1" x14ac:dyDescent="0.25"/>
    <row r="117929" s="12" customFormat="1" x14ac:dyDescent="0.25"/>
    <row r="117930" s="12" customFormat="1" x14ac:dyDescent="0.25"/>
    <row r="117931" s="12" customFormat="1" x14ac:dyDescent="0.25"/>
    <row r="117932" s="12" customFormat="1" x14ac:dyDescent="0.25"/>
    <row r="117933" s="12" customFormat="1" x14ac:dyDescent="0.25"/>
    <row r="117934" s="12" customFormat="1" x14ac:dyDescent="0.25"/>
    <row r="117935" s="12" customFormat="1" x14ac:dyDescent="0.25"/>
    <row r="117936" s="12" customFormat="1" x14ac:dyDescent="0.25"/>
    <row r="117937" s="12" customFormat="1" x14ac:dyDescent="0.25"/>
    <row r="117938" s="12" customFormat="1" x14ac:dyDescent="0.25"/>
    <row r="117939" s="12" customFormat="1" x14ac:dyDescent="0.25"/>
    <row r="117940" s="12" customFormat="1" x14ac:dyDescent="0.25"/>
    <row r="117941" s="12" customFormat="1" x14ac:dyDescent="0.25"/>
    <row r="117942" s="12" customFormat="1" x14ac:dyDescent="0.25"/>
    <row r="117943" s="12" customFormat="1" x14ac:dyDescent="0.25"/>
    <row r="117944" s="12" customFormat="1" x14ac:dyDescent="0.25"/>
    <row r="117945" s="12" customFormat="1" x14ac:dyDescent="0.25"/>
    <row r="117946" s="12" customFormat="1" x14ac:dyDescent="0.25"/>
    <row r="117947" s="12" customFormat="1" x14ac:dyDescent="0.25"/>
    <row r="117948" s="12" customFormat="1" x14ac:dyDescent="0.25"/>
    <row r="117949" s="12" customFormat="1" x14ac:dyDescent="0.25"/>
    <row r="117950" s="12" customFormat="1" x14ac:dyDescent="0.25"/>
    <row r="117951" s="12" customFormat="1" x14ac:dyDescent="0.25"/>
    <row r="117952" s="12" customFormat="1" x14ac:dyDescent="0.25"/>
    <row r="117953" s="12" customFormat="1" x14ac:dyDescent="0.25"/>
    <row r="117954" s="12" customFormat="1" x14ac:dyDescent="0.25"/>
    <row r="117955" s="12" customFormat="1" x14ac:dyDescent="0.25"/>
    <row r="117956" s="12" customFormat="1" x14ac:dyDescent="0.25"/>
    <row r="117957" s="12" customFormat="1" x14ac:dyDescent="0.25"/>
    <row r="117958" s="12" customFormat="1" x14ac:dyDescent="0.25"/>
    <row r="117959" s="12" customFormat="1" x14ac:dyDescent="0.25"/>
    <row r="117960" s="12" customFormat="1" x14ac:dyDescent="0.25"/>
    <row r="117961" s="12" customFormat="1" x14ac:dyDescent="0.25"/>
    <row r="117962" s="12" customFormat="1" x14ac:dyDescent="0.25"/>
    <row r="117963" s="12" customFormat="1" x14ac:dyDescent="0.25"/>
    <row r="117964" s="12" customFormat="1" x14ac:dyDescent="0.25"/>
    <row r="117965" s="12" customFormat="1" x14ac:dyDescent="0.25"/>
    <row r="117966" s="12" customFormat="1" x14ac:dyDescent="0.25"/>
    <row r="117967" s="12" customFormat="1" x14ac:dyDescent="0.25"/>
    <row r="117968" s="12" customFormat="1" x14ac:dyDescent="0.25"/>
    <row r="117969" s="12" customFormat="1" x14ac:dyDescent="0.25"/>
    <row r="117970" s="12" customFormat="1" x14ac:dyDescent="0.25"/>
    <row r="117971" s="12" customFormat="1" x14ac:dyDescent="0.25"/>
    <row r="117972" s="12" customFormat="1" x14ac:dyDescent="0.25"/>
    <row r="117973" s="12" customFormat="1" x14ac:dyDescent="0.25"/>
    <row r="117974" s="12" customFormat="1" x14ac:dyDescent="0.25"/>
    <row r="117975" s="12" customFormat="1" x14ac:dyDescent="0.25"/>
    <row r="117976" s="12" customFormat="1" x14ac:dyDescent="0.25"/>
    <row r="117977" s="12" customFormat="1" x14ac:dyDescent="0.25"/>
    <row r="117978" s="12" customFormat="1" x14ac:dyDescent="0.25"/>
    <row r="117979" s="12" customFormat="1" x14ac:dyDescent="0.25"/>
    <row r="117980" s="12" customFormat="1" x14ac:dyDescent="0.25"/>
    <row r="117981" s="12" customFormat="1" x14ac:dyDescent="0.25"/>
    <row r="117982" s="12" customFormat="1" x14ac:dyDescent="0.25"/>
    <row r="117983" s="12" customFormat="1" x14ac:dyDescent="0.25"/>
    <row r="117984" s="12" customFormat="1" x14ac:dyDescent="0.25"/>
    <row r="117985" s="12" customFormat="1" x14ac:dyDescent="0.25"/>
    <row r="117986" s="12" customFormat="1" x14ac:dyDescent="0.25"/>
    <row r="117987" s="12" customFormat="1" x14ac:dyDescent="0.25"/>
    <row r="117988" s="12" customFormat="1" x14ac:dyDescent="0.25"/>
    <row r="117989" s="12" customFormat="1" x14ac:dyDescent="0.25"/>
    <row r="117990" s="12" customFormat="1" x14ac:dyDescent="0.25"/>
    <row r="117991" s="12" customFormat="1" x14ac:dyDescent="0.25"/>
    <row r="117992" s="12" customFormat="1" x14ac:dyDescent="0.25"/>
    <row r="117993" s="12" customFormat="1" x14ac:dyDescent="0.25"/>
    <row r="117994" s="12" customFormat="1" x14ac:dyDescent="0.25"/>
    <row r="117995" s="12" customFormat="1" x14ac:dyDescent="0.25"/>
    <row r="117996" s="12" customFormat="1" x14ac:dyDescent="0.25"/>
    <row r="117997" s="12" customFormat="1" x14ac:dyDescent="0.25"/>
    <row r="117998" s="12" customFormat="1" x14ac:dyDescent="0.25"/>
    <row r="117999" s="12" customFormat="1" x14ac:dyDescent="0.25"/>
    <row r="118000" s="12" customFormat="1" x14ac:dyDescent="0.25"/>
    <row r="118001" s="12" customFormat="1" x14ac:dyDescent="0.25"/>
    <row r="118002" s="12" customFormat="1" x14ac:dyDescent="0.25"/>
    <row r="118003" s="12" customFormat="1" x14ac:dyDescent="0.25"/>
    <row r="118004" s="12" customFormat="1" x14ac:dyDescent="0.25"/>
    <row r="118005" s="12" customFormat="1" x14ac:dyDescent="0.25"/>
    <row r="118006" s="12" customFormat="1" x14ac:dyDescent="0.25"/>
    <row r="118007" s="12" customFormat="1" x14ac:dyDescent="0.25"/>
    <row r="118008" s="12" customFormat="1" x14ac:dyDescent="0.25"/>
    <row r="118009" s="12" customFormat="1" x14ac:dyDescent="0.25"/>
    <row r="118010" s="12" customFormat="1" x14ac:dyDescent="0.25"/>
    <row r="118011" s="12" customFormat="1" x14ac:dyDescent="0.25"/>
    <row r="118012" s="12" customFormat="1" x14ac:dyDescent="0.25"/>
    <row r="118013" s="12" customFormat="1" x14ac:dyDescent="0.25"/>
    <row r="118014" s="12" customFormat="1" x14ac:dyDescent="0.25"/>
    <row r="118015" s="12" customFormat="1" x14ac:dyDescent="0.25"/>
    <row r="118016" s="12" customFormat="1" x14ac:dyDescent="0.25"/>
    <row r="118017" s="12" customFormat="1" x14ac:dyDescent="0.25"/>
    <row r="118018" s="12" customFormat="1" x14ac:dyDescent="0.25"/>
    <row r="118019" s="12" customFormat="1" x14ac:dyDescent="0.25"/>
    <row r="118020" s="12" customFormat="1" x14ac:dyDescent="0.25"/>
    <row r="118021" s="12" customFormat="1" x14ac:dyDescent="0.25"/>
    <row r="118022" s="12" customFormat="1" x14ac:dyDescent="0.25"/>
    <row r="118023" s="12" customFormat="1" x14ac:dyDescent="0.25"/>
    <row r="118024" s="12" customFormat="1" x14ac:dyDescent="0.25"/>
    <row r="118025" s="12" customFormat="1" x14ac:dyDescent="0.25"/>
    <row r="118026" s="12" customFormat="1" x14ac:dyDescent="0.25"/>
    <row r="118027" s="12" customFormat="1" x14ac:dyDescent="0.25"/>
    <row r="118028" s="12" customFormat="1" x14ac:dyDescent="0.25"/>
    <row r="118029" s="12" customFormat="1" x14ac:dyDescent="0.25"/>
    <row r="118030" s="12" customFormat="1" x14ac:dyDescent="0.25"/>
    <row r="118031" s="12" customFormat="1" x14ac:dyDescent="0.25"/>
    <row r="118032" s="12" customFormat="1" x14ac:dyDescent="0.25"/>
    <row r="118033" s="12" customFormat="1" x14ac:dyDescent="0.25"/>
    <row r="118034" s="12" customFormat="1" x14ac:dyDescent="0.25"/>
    <row r="118035" s="12" customFormat="1" x14ac:dyDescent="0.25"/>
    <row r="118036" s="12" customFormat="1" x14ac:dyDescent="0.25"/>
    <row r="118037" s="12" customFormat="1" x14ac:dyDescent="0.25"/>
    <row r="118038" s="12" customFormat="1" x14ac:dyDescent="0.25"/>
    <row r="118039" s="12" customFormat="1" x14ac:dyDescent="0.25"/>
    <row r="118040" s="12" customFormat="1" x14ac:dyDescent="0.25"/>
    <row r="118041" s="12" customFormat="1" x14ac:dyDescent="0.25"/>
    <row r="118042" s="12" customFormat="1" x14ac:dyDescent="0.25"/>
    <row r="118043" s="12" customFormat="1" x14ac:dyDescent="0.25"/>
    <row r="118044" s="12" customFormat="1" x14ac:dyDescent="0.25"/>
    <row r="118045" s="12" customFormat="1" x14ac:dyDescent="0.25"/>
    <row r="118046" s="12" customFormat="1" x14ac:dyDescent="0.25"/>
    <row r="118047" s="12" customFormat="1" x14ac:dyDescent="0.25"/>
    <row r="118048" s="12" customFormat="1" x14ac:dyDescent="0.25"/>
    <row r="118049" s="12" customFormat="1" x14ac:dyDescent="0.25"/>
    <row r="118050" s="12" customFormat="1" x14ac:dyDescent="0.25"/>
    <row r="118051" s="12" customFormat="1" x14ac:dyDescent="0.25"/>
    <row r="118052" s="12" customFormat="1" x14ac:dyDescent="0.25"/>
    <row r="118053" s="12" customFormat="1" x14ac:dyDescent="0.25"/>
    <row r="118054" s="12" customFormat="1" x14ac:dyDescent="0.25"/>
    <row r="118055" s="12" customFormat="1" x14ac:dyDescent="0.25"/>
    <row r="118056" s="12" customFormat="1" x14ac:dyDescent="0.25"/>
    <row r="118057" s="12" customFormat="1" x14ac:dyDescent="0.25"/>
    <row r="118058" s="12" customFormat="1" x14ac:dyDescent="0.25"/>
    <row r="118059" s="12" customFormat="1" x14ac:dyDescent="0.25"/>
    <row r="118060" s="12" customFormat="1" x14ac:dyDescent="0.25"/>
    <row r="118061" s="12" customFormat="1" x14ac:dyDescent="0.25"/>
    <row r="118062" s="12" customFormat="1" x14ac:dyDescent="0.25"/>
    <row r="118063" s="12" customFormat="1" x14ac:dyDescent="0.25"/>
    <row r="118064" s="12" customFormat="1" x14ac:dyDescent="0.25"/>
    <row r="118065" s="12" customFormat="1" x14ac:dyDescent="0.25"/>
    <row r="118066" s="12" customFormat="1" x14ac:dyDescent="0.25"/>
    <row r="118067" s="12" customFormat="1" x14ac:dyDescent="0.25"/>
    <row r="118068" s="12" customFormat="1" x14ac:dyDescent="0.25"/>
    <row r="118069" s="12" customFormat="1" x14ac:dyDescent="0.25"/>
    <row r="118070" s="12" customFormat="1" x14ac:dyDescent="0.25"/>
    <row r="118071" s="12" customFormat="1" x14ac:dyDescent="0.25"/>
    <row r="118072" s="12" customFormat="1" x14ac:dyDescent="0.25"/>
    <row r="118073" s="12" customFormat="1" x14ac:dyDescent="0.25"/>
    <row r="118074" s="12" customFormat="1" x14ac:dyDescent="0.25"/>
    <row r="118075" s="12" customFormat="1" x14ac:dyDescent="0.25"/>
    <row r="118076" s="12" customFormat="1" x14ac:dyDescent="0.25"/>
    <row r="118077" s="12" customFormat="1" x14ac:dyDescent="0.25"/>
    <row r="118078" s="12" customFormat="1" x14ac:dyDescent="0.25"/>
    <row r="118079" s="12" customFormat="1" x14ac:dyDescent="0.25"/>
    <row r="118080" s="12" customFormat="1" x14ac:dyDescent="0.25"/>
    <row r="118081" s="12" customFormat="1" x14ac:dyDescent="0.25"/>
    <row r="118082" s="12" customFormat="1" x14ac:dyDescent="0.25"/>
    <row r="118083" s="12" customFormat="1" x14ac:dyDescent="0.25"/>
    <row r="118084" s="12" customFormat="1" x14ac:dyDescent="0.25"/>
    <row r="118085" s="12" customFormat="1" x14ac:dyDescent="0.25"/>
    <row r="118086" s="12" customFormat="1" x14ac:dyDescent="0.25"/>
    <row r="118087" s="12" customFormat="1" x14ac:dyDescent="0.25"/>
    <row r="118088" s="12" customFormat="1" x14ac:dyDescent="0.25"/>
    <row r="118089" s="12" customFormat="1" x14ac:dyDescent="0.25"/>
    <row r="118090" s="12" customFormat="1" x14ac:dyDescent="0.25"/>
    <row r="118091" s="12" customFormat="1" x14ac:dyDescent="0.25"/>
    <row r="118092" s="12" customFormat="1" x14ac:dyDescent="0.25"/>
    <row r="118093" s="12" customFormat="1" x14ac:dyDescent="0.25"/>
    <row r="118094" s="12" customFormat="1" x14ac:dyDescent="0.25"/>
    <row r="118095" s="12" customFormat="1" x14ac:dyDescent="0.25"/>
    <row r="118096" s="12" customFormat="1" x14ac:dyDescent="0.25"/>
    <row r="118097" s="12" customFormat="1" x14ac:dyDescent="0.25"/>
    <row r="118098" s="12" customFormat="1" x14ac:dyDescent="0.25"/>
    <row r="118099" s="12" customFormat="1" x14ac:dyDescent="0.25"/>
    <row r="118100" s="12" customFormat="1" x14ac:dyDescent="0.25"/>
    <row r="118101" s="12" customFormat="1" x14ac:dyDescent="0.25"/>
    <row r="118102" s="12" customFormat="1" x14ac:dyDescent="0.25"/>
    <row r="118103" s="12" customFormat="1" x14ac:dyDescent="0.25"/>
    <row r="118104" s="12" customFormat="1" x14ac:dyDescent="0.25"/>
    <row r="118105" s="12" customFormat="1" x14ac:dyDescent="0.25"/>
    <row r="118106" s="12" customFormat="1" x14ac:dyDescent="0.25"/>
    <row r="118107" s="12" customFormat="1" x14ac:dyDescent="0.25"/>
    <row r="118108" s="12" customFormat="1" x14ac:dyDescent="0.25"/>
    <row r="118109" s="12" customFormat="1" x14ac:dyDescent="0.25"/>
    <row r="118110" s="12" customFormat="1" x14ac:dyDescent="0.25"/>
    <row r="118111" s="12" customFormat="1" x14ac:dyDescent="0.25"/>
    <row r="118112" s="12" customFormat="1" x14ac:dyDescent="0.25"/>
    <row r="118113" s="12" customFormat="1" x14ac:dyDescent="0.25"/>
    <row r="118114" s="12" customFormat="1" x14ac:dyDescent="0.25"/>
    <row r="118115" s="12" customFormat="1" x14ac:dyDescent="0.25"/>
    <row r="118116" s="12" customFormat="1" x14ac:dyDescent="0.25"/>
    <row r="118117" s="12" customFormat="1" x14ac:dyDescent="0.25"/>
    <row r="118118" s="12" customFormat="1" x14ac:dyDescent="0.25"/>
    <row r="118119" s="12" customFormat="1" x14ac:dyDescent="0.25"/>
    <row r="118120" s="12" customFormat="1" x14ac:dyDescent="0.25"/>
    <row r="118121" s="12" customFormat="1" x14ac:dyDescent="0.25"/>
    <row r="118122" s="12" customFormat="1" x14ac:dyDescent="0.25"/>
    <row r="118123" s="12" customFormat="1" x14ac:dyDescent="0.25"/>
    <row r="118124" s="12" customFormat="1" x14ac:dyDescent="0.25"/>
    <row r="118125" s="12" customFormat="1" x14ac:dyDescent="0.25"/>
    <row r="118126" s="12" customFormat="1" x14ac:dyDescent="0.25"/>
    <row r="118127" s="12" customFormat="1" x14ac:dyDescent="0.25"/>
    <row r="118128" s="12" customFormat="1" x14ac:dyDescent="0.25"/>
    <row r="118129" s="12" customFormat="1" x14ac:dyDescent="0.25"/>
    <row r="118130" s="12" customFormat="1" x14ac:dyDescent="0.25"/>
    <row r="118131" s="12" customFormat="1" x14ac:dyDescent="0.25"/>
    <row r="118132" s="12" customFormat="1" x14ac:dyDescent="0.25"/>
    <row r="118133" s="12" customFormat="1" x14ac:dyDescent="0.25"/>
    <row r="118134" s="12" customFormat="1" x14ac:dyDescent="0.25"/>
    <row r="118135" s="12" customFormat="1" x14ac:dyDescent="0.25"/>
    <row r="118136" s="12" customFormat="1" x14ac:dyDescent="0.25"/>
    <row r="118137" s="12" customFormat="1" x14ac:dyDescent="0.25"/>
    <row r="118138" s="12" customFormat="1" x14ac:dyDescent="0.25"/>
    <row r="118139" s="12" customFormat="1" x14ac:dyDescent="0.25"/>
    <row r="118140" s="12" customFormat="1" x14ac:dyDescent="0.25"/>
    <row r="118141" s="12" customFormat="1" x14ac:dyDescent="0.25"/>
    <row r="118142" s="12" customFormat="1" x14ac:dyDescent="0.25"/>
    <row r="118143" s="12" customFormat="1" x14ac:dyDescent="0.25"/>
    <row r="118144" s="12" customFormat="1" x14ac:dyDescent="0.25"/>
    <row r="118145" s="12" customFormat="1" x14ac:dyDescent="0.25"/>
    <row r="118146" s="12" customFormat="1" x14ac:dyDescent="0.25"/>
    <row r="118147" s="12" customFormat="1" x14ac:dyDescent="0.25"/>
    <row r="118148" s="12" customFormat="1" x14ac:dyDescent="0.25"/>
    <row r="118149" s="12" customFormat="1" x14ac:dyDescent="0.25"/>
    <row r="118150" s="12" customFormat="1" x14ac:dyDescent="0.25"/>
    <row r="118151" s="12" customFormat="1" x14ac:dyDescent="0.25"/>
    <row r="118152" s="12" customFormat="1" x14ac:dyDescent="0.25"/>
    <row r="118153" s="12" customFormat="1" x14ac:dyDescent="0.25"/>
    <row r="118154" s="12" customFormat="1" x14ac:dyDescent="0.25"/>
    <row r="118155" s="12" customFormat="1" x14ac:dyDescent="0.25"/>
    <row r="118156" s="12" customFormat="1" x14ac:dyDescent="0.25"/>
    <row r="118157" s="12" customFormat="1" x14ac:dyDescent="0.25"/>
    <row r="118158" s="12" customFormat="1" x14ac:dyDescent="0.25"/>
    <row r="118159" s="12" customFormat="1" x14ac:dyDescent="0.25"/>
    <row r="118160" s="12" customFormat="1" x14ac:dyDescent="0.25"/>
    <row r="118161" s="12" customFormat="1" x14ac:dyDescent="0.25"/>
    <row r="118162" s="12" customFormat="1" x14ac:dyDescent="0.25"/>
    <row r="118163" s="12" customFormat="1" x14ac:dyDescent="0.25"/>
    <row r="118164" s="12" customFormat="1" x14ac:dyDescent="0.25"/>
    <row r="118165" s="12" customFormat="1" x14ac:dyDescent="0.25"/>
    <row r="118166" s="12" customFormat="1" x14ac:dyDescent="0.25"/>
    <row r="118167" s="12" customFormat="1" x14ac:dyDescent="0.25"/>
    <row r="118168" s="12" customFormat="1" x14ac:dyDescent="0.25"/>
    <row r="118169" s="12" customFormat="1" x14ac:dyDescent="0.25"/>
    <row r="118170" s="12" customFormat="1" x14ac:dyDescent="0.25"/>
    <row r="118171" s="12" customFormat="1" x14ac:dyDescent="0.25"/>
    <row r="118172" s="12" customFormat="1" x14ac:dyDescent="0.25"/>
    <row r="118173" s="12" customFormat="1" x14ac:dyDescent="0.25"/>
    <row r="118174" s="12" customFormat="1" x14ac:dyDescent="0.25"/>
    <row r="118175" s="12" customFormat="1" x14ac:dyDescent="0.25"/>
    <row r="118176" s="12" customFormat="1" x14ac:dyDescent="0.25"/>
    <row r="118177" s="12" customFormat="1" x14ac:dyDescent="0.25"/>
    <row r="118178" s="12" customFormat="1" x14ac:dyDescent="0.25"/>
    <row r="118179" s="12" customFormat="1" x14ac:dyDescent="0.25"/>
    <row r="118180" s="12" customFormat="1" x14ac:dyDescent="0.25"/>
    <row r="118181" s="12" customFormat="1" x14ac:dyDescent="0.25"/>
    <row r="118182" s="12" customFormat="1" x14ac:dyDescent="0.25"/>
    <row r="118183" s="12" customFormat="1" x14ac:dyDescent="0.25"/>
    <row r="118184" s="12" customFormat="1" x14ac:dyDescent="0.25"/>
    <row r="118185" s="12" customFormat="1" x14ac:dyDescent="0.25"/>
    <row r="118186" s="12" customFormat="1" x14ac:dyDescent="0.25"/>
    <row r="118187" s="12" customFormat="1" x14ac:dyDescent="0.25"/>
    <row r="118188" s="12" customFormat="1" x14ac:dyDescent="0.25"/>
    <row r="118189" s="12" customFormat="1" x14ac:dyDescent="0.25"/>
    <row r="118190" s="12" customFormat="1" x14ac:dyDescent="0.25"/>
    <row r="118191" s="12" customFormat="1" x14ac:dyDescent="0.25"/>
    <row r="118192" s="12" customFormat="1" x14ac:dyDescent="0.25"/>
    <row r="118193" s="12" customFormat="1" x14ac:dyDescent="0.25"/>
    <row r="118194" s="12" customFormat="1" x14ac:dyDescent="0.25"/>
    <row r="118195" s="12" customFormat="1" x14ac:dyDescent="0.25"/>
    <row r="118196" s="12" customFormat="1" x14ac:dyDescent="0.25"/>
    <row r="118197" s="12" customFormat="1" x14ac:dyDescent="0.25"/>
    <row r="118198" s="12" customFormat="1" x14ac:dyDescent="0.25"/>
    <row r="118199" s="12" customFormat="1" x14ac:dyDescent="0.25"/>
    <row r="118200" s="12" customFormat="1" x14ac:dyDescent="0.25"/>
    <row r="118201" s="12" customFormat="1" x14ac:dyDescent="0.25"/>
    <row r="118202" s="12" customFormat="1" x14ac:dyDescent="0.25"/>
    <row r="118203" s="12" customFormat="1" x14ac:dyDescent="0.25"/>
    <row r="118204" s="12" customFormat="1" x14ac:dyDescent="0.25"/>
    <row r="118205" s="12" customFormat="1" x14ac:dyDescent="0.25"/>
    <row r="118206" s="12" customFormat="1" x14ac:dyDescent="0.25"/>
    <row r="118207" s="12" customFormat="1" x14ac:dyDescent="0.25"/>
    <row r="118208" s="12" customFormat="1" x14ac:dyDescent="0.25"/>
    <row r="118209" s="12" customFormat="1" x14ac:dyDescent="0.25"/>
    <row r="118210" s="12" customFormat="1" x14ac:dyDescent="0.25"/>
    <row r="118211" s="12" customFormat="1" x14ac:dyDescent="0.25"/>
    <row r="118212" s="12" customFormat="1" x14ac:dyDescent="0.25"/>
    <row r="118213" s="12" customFormat="1" x14ac:dyDescent="0.25"/>
    <row r="118214" s="12" customFormat="1" x14ac:dyDescent="0.25"/>
    <row r="118215" s="12" customFormat="1" x14ac:dyDescent="0.25"/>
    <row r="118216" s="12" customFormat="1" x14ac:dyDescent="0.25"/>
    <row r="118217" s="12" customFormat="1" x14ac:dyDescent="0.25"/>
    <row r="118218" s="12" customFormat="1" x14ac:dyDescent="0.25"/>
    <row r="118219" s="12" customFormat="1" x14ac:dyDescent="0.25"/>
    <row r="118220" s="12" customFormat="1" x14ac:dyDescent="0.25"/>
    <row r="118221" s="12" customFormat="1" x14ac:dyDescent="0.25"/>
    <row r="118222" s="12" customFormat="1" x14ac:dyDescent="0.25"/>
    <row r="118223" s="12" customFormat="1" x14ac:dyDescent="0.25"/>
    <row r="118224" s="12" customFormat="1" x14ac:dyDescent="0.25"/>
    <row r="118225" s="12" customFormat="1" x14ac:dyDescent="0.25"/>
    <row r="118226" s="12" customFormat="1" x14ac:dyDescent="0.25"/>
    <row r="118227" s="12" customFormat="1" x14ac:dyDescent="0.25"/>
    <row r="118228" s="12" customFormat="1" x14ac:dyDescent="0.25"/>
    <row r="118229" s="12" customFormat="1" x14ac:dyDescent="0.25"/>
    <row r="118230" s="12" customFormat="1" x14ac:dyDescent="0.25"/>
    <row r="118231" s="12" customFormat="1" x14ac:dyDescent="0.25"/>
    <row r="118232" s="12" customFormat="1" x14ac:dyDescent="0.25"/>
    <row r="118233" s="12" customFormat="1" x14ac:dyDescent="0.25"/>
    <row r="118234" s="12" customFormat="1" x14ac:dyDescent="0.25"/>
    <row r="118235" s="12" customFormat="1" x14ac:dyDescent="0.25"/>
    <row r="118236" s="12" customFormat="1" x14ac:dyDescent="0.25"/>
    <row r="118237" s="12" customFormat="1" x14ac:dyDescent="0.25"/>
    <row r="118238" s="12" customFormat="1" x14ac:dyDescent="0.25"/>
    <row r="118239" s="12" customFormat="1" x14ac:dyDescent="0.25"/>
    <row r="118240" s="12" customFormat="1" x14ac:dyDescent="0.25"/>
    <row r="118241" s="12" customFormat="1" x14ac:dyDescent="0.25"/>
    <row r="118242" s="12" customFormat="1" x14ac:dyDescent="0.25"/>
    <row r="118243" s="12" customFormat="1" x14ac:dyDescent="0.25"/>
    <row r="118244" s="12" customFormat="1" x14ac:dyDescent="0.25"/>
    <row r="118245" s="12" customFormat="1" x14ac:dyDescent="0.25"/>
    <row r="118246" s="12" customFormat="1" x14ac:dyDescent="0.25"/>
    <row r="118247" s="12" customFormat="1" x14ac:dyDescent="0.25"/>
    <row r="118248" s="12" customFormat="1" x14ac:dyDescent="0.25"/>
    <row r="118249" s="12" customFormat="1" x14ac:dyDescent="0.25"/>
    <row r="118250" s="12" customFormat="1" x14ac:dyDescent="0.25"/>
    <row r="118251" s="12" customFormat="1" x14ac:dyDescent="0.25"/>
    <row r="118252" s="12" customFormat="1" x14ac:dyDescent="0.25"/>
    <row r="118253" s="12" customFormat="1" x14ac:dyDescent="0.25"/>
    <row r="118254" s="12" customFormat="1" x14ac:dyDescent="0.25"/>
    <row r="118255" s="12" customFormat="1" x14ac:dyDescent="0.25"/>
    <row r="118256" s="12" customFormat="1" x14ac:dyDescent="0.25"/>
    <row r="118257" s="12" customFormat="1" x14ac:dyDescent="0.25"/>
    <row r="118258" s="12" customFormat="1" x14ac:dyDescent="0.25"/>
    <row r="118259" s="12" customFormat="1" x14ac:dyDescent="0.25"/>
    <row r="118260" s="12" customFormat="1" x14ac:dyDescent="0.25"/>
    <row r="118261" s="12" customFormat="1" x14ac:dyDescent="0.25"/>
    <row r="118262" s="12" customFormat="1" x14ac:dyDescent="0.25"/>
    <row r="118263" s="12" customFormat="1" x14ac:dyDescent="0.25"/>
    <row r="118264" s="12" customFormat="1" x14ac:dyDescent="0.25"/>
    <row r="118265" s="12" customFormat="1" x14ac:dyDescent="0.25"/>
    <row r="118266" s="12" customFormat="1" x14ac:dyDescent="0.25"/>
    <row r="118267" s="12" customFormat="1" x14ac:dyDescent="0.25"/>
    <row r="118268" s="12" customFormat="1" x14ac:dyDescent="0.25"/>
    <row r="118269" s="12" customFormat="1" x14ac:dyDescent="0.25"/>
    <row r="118270" s="12" customFormat="1" x14ac:dyDescent="0.25"/>
    <row r="118271" s="12" customFormat="1" x14ac:dyDescent="0.25"/>
    <row r="118272" s="12" customFormat="1" x14ac:dyDescent="0.25"/>
    <row r="118273" s="12" customFormat="1" x14ac:dyDescent="0.25"/>
    <row r="118274" s="12" customFormat="1" x14ac:dyDescent="0.25"/>
    <row r="118275" s="12" customFormat="1" x14ac:dyDescent="0.25"/>
    <row r="118276" s="12" customFormat="1" x14ac:dyDescent="0.25"/>
    <row r="118277" s="12" customFormat="1" x14ac:dyDescent="0.25"/>
    <row r="118278" s="12" customFormat="1" x14ac:dyDescent="0.25"/>
    <row r="118279" s="12" customFormat="1" x14ac:dyDescent="0.25"/>
    <row r="118280" s="12" customFormat="1" x14ac:dyDescent="0.25"/>
    <row r="118281" s="12" customFormat="1" x14ac:dyDescent="0.25"/>
    <row r="118282" s="12" customFormat="1" x14ac:dyDescent="0.25"/>
    <row r="118283" s="12" customFormat="1" x14ac:dyDescent="0.25"/>
    <row r="118284" s="12" customFormat="1" x14ac:dyDescent="0.25"/>
    <row r="118285" s="12" customFormat="1" x14ac:dyDescent="0.25"/>
    <row r="118286" s="12" customFormat="1" x14ac:dyDescent="0.25"/>
    <row r="118287" s="12" customFormat="1" x14ac:dyDescent="0.25"/>
    <row r="118288" s="12" customFormat="1" x14ac:dyDescent="0.25"/>
    <row r="118289" s="12" customFormat="1" x14ac:dyDescent="0.25"/>
    <row r="118290" s="12" customFormat="1" x14ac:dyDescent="0.25"/>
    <row r="118291" s="12" customFormat="1" x14ac:dyDescent="0.25"/>
    <row r="118292" s="12" customFormat="1" x14ac:dyDescent="0.25"/>
    <row r="118293" s="12" customFormat="1" x14ac:dyDescent="0.25"/>
    <row r="118294" s="12" customFormat="1" x14ac:dyDescent="0.25"/>
    <row r="118295" s="12" customFormat="1" x14ac:dyDescent="0.25"/>
    <row r="118296" s="12" customFormat="1" x14ac:dyDescent="0.25"/>
    <row r="118297" s="12" customFormat="1" x14ac:dyDescent="0.25"/>
    <row r="118298" s="12" customFormat="1" x14ac:dyDescent="0.25"/>
    <row r="118299" s="12" customFormat="1" x14ac:dyDescent="0.25"/>
    <row r="118300" s="12" customFormat="1" x14ac:dyDescent="0.25"/>
    <row r="118301" s="12" customFormat="1" x14ac:dyDescent="0.25"/>
    <row r="118302" s="12" customFormat="1" x14ac:dyDescent="0.25"/>
    <row r="118303" s="12" customFormat="1" x14ac:dyDescent="0.25"/>
    <row r="118304" s="12" customFormat="1" x14ac:dyDescent="0.25"/>
    <row r="118305" s="12" customFormat="1" x14ac:dyDescent="0.25"/>
    <row r="118306" s="12" customFormat="1" x14ac:dyDescent="0.25"/>
    <row r="118307" s="12" customFormat="1" x14ac:dyDescent="0.25"/>
    <row r="118308" s="12" customFormat="1" x14ac:dyDescent="0.25"/>
    <row r="118309" s="12" customFormat="1" x14ac:dyDescent="0.25"/>
    <row r="118310" s="12" customFormat="1" x14ac:dyDescent="0.25"/>
    <row r="118311" s="12" customFormat="1" x14ac:dyDescent="0.25"/>
    <row r="118312" s="12" customFormat="1" x14ac:dyDescent="0.25"/>
    <row r="118313" s="12" customFormat="1" x14ac:dyDescent="0.25"/>
    <row r="118314" s="12" customFormat="1" x14ac:dyDescent="0.25"/>
    <row r="118315" s="12" customFormat="1" x14ac:dyDescent="0.25"/>
    <row r="118316" s="12" customFormat="1" x14ac:dyDescent="0.25"/>
    <row r="118317" s="12" customFormat="1" x14ac:dyDescent="0.25"/>
    <row r="118318" s="12" customFormat="1" x14ac:dyDescent="0.25"/>
    <row r="118319" s="12" customFormat="1" x14ac:dyDescent="0.25"/>
    <row r="118320" s="12" customFormat="1" x14ac:dyDescent="0.25"/>
    <row r="118321" s="12" customFormat="1" x14ac:dyDescent="0.25"/>
    <row r="118322" s="12" customFormat="1" x14ac:dyDescent="0.25"/>
    <row r="118323" s="12" customFormat="1" x14ac:dyDescent="0.25"/>
    <row r="118324" s="12" customFormat="1" x14ac:dyDescent="0.25"/>
    <row r="118325" s="12" customFormat="1" x14ac:dyDescent="0.25"/>
    <row r="118326" s="12" customFormat="1" x14ac:dyDescent="0.25"/>
    <row r="118327" s="12" customFormat="1" x14ac:dyDescent="0.25"/>
    <row r="118328" s="12" customFormat="1" x14ac:dyDescent="0.25"/>
    <row r="118329" s="12" customFormat="1" x14ac:dyDescent="0.25"/>
    <row r="118330" s="12" customFormat="1" x14ac:dyDescent="0.25"/>
    <row r="118331" s="12" customFormat="1" x14ac:dyDescent="0.25"/>
    <row r="118332" s="12" customFormat="1" x14ac:dyDescent="0.25"/>
    <row r="118333" s="12" customFormat="1" x14ac:dyDescent="0.25"/>
    <row r="118334" s="12" customFormat="1" x14ac:dyDescent="0.25"/>
    <row r="118335" s="12" customFormat="1" x14ac:dyDescent="0.25"/>
    <row r="118336" s="12" customFormat="1" x14ac:dyDescent="0.25"/>
    <row r="118337" s="12" customFormat="1" x14ac:dyDescent="0.25"/>
    <row r="118338" s="12" customFormat="1" x14ac:dyDescent="0.25"/>
    <row r="118339" s="12" customFormat="1" x14ac:dyDescent="0.25"/>
    <row r="118340" s="12" customFormat="1" x14ac:dyDescent="0.25"/>
    <row r="118341" s="12" customFormat="1" x14ac:dyDescent="0.25"/>
    <row r="118342" s="12" customFormat="1" x14ac:dyDescent="0.25"/>
    <row r="118343" s="12" customFormat="1" x14ac:dyDescent="0.25"/>
    <row r="118344" s="12" customFormat="1" x14ac:dyDescent="0.25"/>
    <row r="118345" s="12" customFormat="1" x14ac:dyDescent="0.25"/>
    <row r="118346" s="12" customFormat="1" x14ac:dyDescent="0.25"/>
    <row r="118347" s="12" customFormat="1" x14ac:dyDescent="0.25"/>
    <row r="118348" s="12" customFormat="1" x14ac:dyDescent="0.25"/>
    <row r="118349" s="12" customFormat="1" x14ac:dyDescent="0.25"/>
    <row r="118350" s="12" customFormat="1" x14ac:dyDescent="0.25"/>
    <row r="118351" s="12" customFormat="1" x14ac:dyDescent="0.25"/>
    <row r="118352" s="12" customFormat="1" x14ac:dyDescent="0.25"/>
    <row r="118353" s="12" customFormat="1" x14ac:dyDescent="0.25"/>
    <row r="118354" s="12" customFormat="1" x14ac:dyDescent="0.25"/>
    <row r="118355" s="12" customFormat="1" x14ac:dyDescent="0.25"/>
    <row r="118356" s="12" customFormat="1" x14ac:dyDescent="0.25"/>
    <row r="118357" s="12" customFormat="1" x14ac:dyDescent="0.25"/>
    <row r="118358" s="12" customFormat="1" x14ac:dyDescent="0.25"/>
    <row r="118359" s="12" customFormat="1" x14ac:dyDescent="0.25"/>
    <row r="118360" s="12" customFormat="1" x14ac:dyDescent="0.25"/>
    <row r="118361" s="12" customFormat="1" x14ac:dyDescent="0.25"/>
    <row r="118362" s="12" customFormat="1" x14ac:dyDescent="0.25"/>
    <row r="118363" s="12" customFormat="1" x14ac:dyDescent="0.25"/>
    <row r="118364" s="12" customFormat="1" x14ac:dyDescent="0.25"/>
    <row r="118365" s="12" customFormat="1" x14ac:dyDescent="0.25"/>
    <row r="118366" s="12" customFormat="1" x14ac:dyDescent="0.25"/>
    <row r="118367" s="12" customFormat="1" x14ac:dyDescent="0.25"/>
    <row r="118368" s="12" customFormat="1" x14ac:dyDescent="0.25"/>
    <row r="118369" s="12" customFormat="1" x14ac:dyDescent="0.25"/>
    <row r="118370" s="12" customFormat="1" x14ac:dyDescent="0.25"/>
    <row r="118371" s="12" customFormat="1" x14ac:dyDescent="0.25"/>
    <row r="118372" s="12" customFormat="1" x14ac:dyDescent="0.25"/>
    <row r="118373" s="12" customFormat="1" x14ac:dyDescent="0.25"/>
    <row r="118374" s="12" customFormat="1" x14ac:dyDescent="0.25"/>
    <row r="118375" s="12" customFormat="1" x14ac:dyDescent="0.25"/>
    <row r="118376" s="12" customFormat="1" x14ac:dyDescent="0.25"/>
    <row r="118377" s="12" customFormat="1" x14ac:dyDescent="0.25"/>
    <row r="118378" s="12" customFormat="1" x14ac:dyDescent="0.25"/>
    <row r="118379" s="12" customFormat="1" x14ac:dyDescent="0.25"/>
    <row r="118380" s="12" customFormat="1" x14ac:dyDescent="0.25"/>
    <row r="118381" s="12" customFormat="1" x14ac:dyDescent="0.25"/>
    <row r="118382" s="12" customFormat="1" x14ac:dyDescent="0.25"/>
    <row r="118383" s="12" customFormat="1" x14ac:dyDescent="0.25"/>
    <row r="118384" s="12" customFormat="1" x14ac:dyDescent="0.25"/>
    <row r="118385" s="12" customFormat="1" x14ac:dyDescent="0.25"/>
    <row r="118386" s="12" customFormat="1" x14ac:dyDescent="0.25"/>
    <row r="118387" s="12" customFormat="1" x14ac:dyDescent="0.25"/>
    <row r="118388" s="12" customFormat="1" x14ac:dyDescent="0.25"/>
    <row r="118389" s="12" customFormat="1" x14ac:dyDescent="0.25"/>
    <row r="118390" s="12" customFormat="1" x14ac:dyDescent="0.25"/>
    <row r="118391" s="12" customFormat="1" x14ac:dyDescent="0.25"/>
    <row r="118392" s="12" customFormat="1" x14ac:dyDescent="0.25"/>
    <row r="118393" s="12" customFormat="1" x14ac:dyDescent="0.25"/>
    <row r="118394" s="12" customFormat="1" x14ac:dyDescent="0.25"/>
    <row r="118395" s="12" customFormat="1" x14ac:dyDescent="0.25"/>
    <row r="118396" s="12" customFormat="1" x14ac:dyDescent="0.25"/>
    <row r="118397" s="12" customFormat="1" x14ac:dyDescent="0.25"/>
    <row r="118398" s="12" customFormat="1" x14ac:dyDescent="0.25"/>
    <row r="118399" s="12" customFormat="1" x14ac:dyDescent="0.25"/>
    <row r="118400" s="12" customFormat="1" x14ac:dyDescent="0.25"/>
    <row r="118401" s="12" customFormat="1" x14ac:dyDescent="0.25"/>
    <row r="118402" s="12" customFormat="1" x14ac:dyDescent="0.25"/>
    <row r="118403" s="12" customFormat="1" x14ac:dyDescent="0.25"/>
    <row r="118404" s="12" customFormat="1" x14ac:dyDescent="0.25"/>
    <row r="118405" s="12" customFormat="1" x14ac:dyDescent="0.25"/>
    <row r="118406" s="12" customFormat="1" x14ac:dyDescent="0.25"/>
    <row r="118407" s="12" customFormat="1" x14ac:dyDescent="0.25"/>
    <row r="118408" s="12" customFormat="1" x14ac:dyDescent="0.25"/>
    <row r="118409" s="12" customFormat="1" x14ac:dyDescent="0.25"/>
    <row r="118410" s="12" customFormat="1" x14ac:dyDescent="0.25"/>
    <row r="118411" s="12" customFormat="1" x14ac:dyDescent="0.25"/>
    <row r="118412" s="12" customFormat="1" x14ac:dyDescent="0.25"/>
    <row r="118413" s="12" customFormat="1" x14ac:dyDescent="0.25"/>
    <row r="118414" s="12" customFormat="1" x14ac:dyDescent="0.25"/>
    <row r="118415" s="12" customFormat="1" x14ac:dyDescent="0.25"/>
    <row r="118416" s="12" customFormat="1" x14ac:dyDescent="0.25"/>
    <row r="118417" s="12" customFormat="1" x14ac:dyDescent="0.25"/>
    <row r="118418" s="12" customFormat="1" x14ac:dyDescent="0.25"/>
    <row r="118419" s="12" customFormat="1" x14ac:dyDescent="0.25"/>
    <row r="118420" s="12" customFormat="1" x14ac:dyDescent="0.25"/>
    <row r="118421" s="12" customFormat="1" x14ac:dyDescent="0.25"/>
    <row r="118422" s="12" customFormat="1" x14ac:dyDescent="0.25"/>
    <row r="118423" s="12" customFormat="1" x14ac:dyDescent="0.25"/>
    <row r="118424" s="12" customFormat="1" x14ac:dyDescent="0.25"/>
    <row r="118425" s="12" customFormat="1" x14ac:dyDescent="0.25"/>
    <row r="118426" s="12" customFormat="1" x14ac:dyDescent="0.25"/>
    <row r="118427" s="12" customFormat="1" x14ac:dyDescent="0.25"/>
    <row r="118428" s="12" customFormat="1" x14ac:dyDescent="0.25"/>
    <row r="118429" s="12" customFormat="1" x14ac:dyDescent="0.25"/>
    <row r="118430" s="12" customFormat="1" x14ac:dyDescent="0.25"/>
    <row r="118431" s="12" customFormat="1" x14ac:dyDescent="0.25"/>
    <row r="118432" s="12" customFormat="1" x14ac:dyDescent="0.25"/>
    <row r="118433" s="12" customFormat="1" x14ac:dyDescent="0.25"/>
    <row r="118434" s="12" customFormat="1" x14ac:dyDescent="0.25"/>
    <row r="118435" s="12" customFormat="1" x14ac:dyDescent="0.25"/>
    <row r="118436" s="12" customFormat="1" x14ac:dyDescent="0.25"/>
    <row r="118437" s="12" customFormat="1" x14ac:dyDescent="0.25"/>
    <row r="118438" s="12" customFormat="1" x14ac:dyDescent="0.25"/>
    <row r="118439" s="12" customFormat="1" x14ac:dyDescent="0.25"/>
    <row r="118440" s="12" customFormat="1" x14ac:dyDescent="0.25"/>
    <row r="118441" s="12" customFormat="1" x14ac:dyDescent="0.25"/>
    <row r="118442" s="12" customFormat="1" x14ac:dyDescent="0.25"/>
    <row r="118443" s="12" customFormat="1" x14ac:dyDescent="0.25"/>
    <row r="118444" s="12" customFormat="1" x14ac:dyDescent="0.25"/>
    <row r="118445" s="12" customFormat="1" x14ac:dyDescent="0.25"/>
    <row r="118446" s="12" customFormat="1" x14ac:dyDescent="0.25"/>
    <row r="118447" s="12" customFormat="1" x14ac:dyDescent="0.25"/>
    <row r="118448" s="12" customFormat="1" x14ac:dyDescent="0.25"/>
    <row r="118449" s="12" customFormat="1" x14ac:dyDescent="0.25"/>
    <row r="118450" s="12" customFormat="1" x14ac:dyDescent="0.25"/>
    <row r="118451" s="12" customFormat="1" x14ac:dyDescent="0.25"/>
    <row r="118452" s="12" customFormat="1" x14ac:dyDescent="0.25"/>
    <row r="118453" s="12" customFormat="1" x14ac:dyDescent="0.25"/>
    <row r="118454" s="12" customFormat="1" x14ac:dyDescent="0.25"/>
    <row r="118455" s="12" customFormat="1" x14ac:dyDescent="0.25"/>
    <row r="118456" s="12" customFormat="1" x14ac:dyDescent="0.25"/>
    <row r="118457" s="12" customFormat="1" x14ac:dyDescent="0.25"/>
    <row r="118458" s="12" customFormat="1" x14ac:dyDescent="0.25"/>
    <row r="118459" s="12" customFormat="1" x14ac:dyDescent="0.25"/>
    <row r="118460" s="12" customFormat="1" x14ac:dyDescent="0.25"/>
    <row r="118461" s="12" customFormat="1" x14ac:dyDescent="0.25"/>
    <row r="118462" s="12" customFormat="1" x14ac:dyDescent="0.25"/>
    <row r="118463" s="12" customFormat="1" x14ac:dyDescent="0.25"/>
    <row r="118464" s="12" customFormat="1" x14ac:dyDescent="0.25"/>
    <row r="118465" s="12" customFormat="1" x14ac:dyDescent="0.25"/>
    <row r="118466" s="12" customFormat="1" x14ac:dyDescent="0.25"/>
    <row r="118467" s="12" customFormat="1" x14ac:dyDescent="0.25"/>
    <row r="118468" s="12" customFormat="1" x14ac:dyDescent="0.25"/>
    <row r="118469" s="12" customFormat="1" x14ac:dyDescent="0.25"/>
    <row r="118470" s="12" customFormat="1" x14ac:dyDescent="0.25"/>
    <row r="118471" s="12" customFormat="1" x14ac:dyDescent="0.25"/>
    <row r="118472" s="12" customFormat="1" x14ac:dyDescent="0.25"/>
    <row r="118473" s="12" customFormat="1" x14ac:dyDescent="0.25"/>
    <row r="118474" s="12" customFormat="1" x14ac:dyDescent="0.25"/>
    <row r="118475" s="12" customFormat="1" x14ac:dyDescent="0.25"/>
    <row r="118476" s="12" customFormat="1" x14ac:dyDescent="0.25"/>
    <row r="118477" s="12" customFormat="1" x14ac:dyDescent="0.25"/>
    <row r="118478" s="12" customFormat="1" x14ac:dyDescent="0.25"/>
    <row r="118479" s="12" customFormat="1" x14ac:dyDescent="0.25"/>
    <row r="118480" s="12" customFormat="1" x14ac:dyDescent="0.25"/>
    <row r="118481" s="12" customFormat="1" x14ac:dyDescent="0.25"/>
    <row r="118482" s="12" customFormat="1" x14ac:dyDescent="0.25"/>
    <row r="118483" s="12" customFormat="1" x14ac:dyDescent="0.25"/>
    <row r="118484" s="12" customFormat="1" x14ac:dyDescent="0.25"/>
    <row r="118485" s="12" customFormat="1" x14ac:dyDescent="0.25"/>
    <row r="118486" s="12" customFormat="1" x14ac:dyDescent="0.25"/>
    <row r="118487" s="12" customFormat="1" x14ac:dyDescent="0.25"/>
    <row r="118488" s="12" customFormat="1" x14ac:dyDescent="0.25"/>
    <row r="118489" s="12" customFormat="1" x14ac:dyDescent="0.25"/>
    <row r="118490" s="12" customFormat="1" x14ac:dyDescent="0.25"/>
    <row r="118491" s="12" customFormat="1" x14ac:dyDescent="0.25"/>
    <row r="118492" s="12" customFormat="1" x14ac:dyDescent="0.25"/>
    <row r="118493" s="12" customFormat="1" x14ac:dyDescent="0.25"/>
    <row r="118494" s="12" customFormat="1" x14ac:dyDescent="0.25"/>
    <row r="118495" s="12" customFormat="1" x14ac:dyDescent="0.25"/>
    <row r="118496" s="12" customFormat="1" x14ac:dyDescent="0.25"/>
    <row r="118497" s="12" customFormat="1" x14ac:dyDescent="0.25"/>
    <row r="118498" s="12" customFormat="1" x14ac:dyDescent="0.25"/>
    <row r="118499" s="12" customFormat="1" x14ac:dyDescent="0.25"/>
    <row r="118500" s="12" customFormat="1" x14ac:dyDescent="0.25"/>
    <row r="118501" s="12" customFormat="1" x14ac:dyDescent="0.25"/>
    <row r="118502" s="12" customFormat="1" x14ac:dyDescent="0.25"/>
    <row r="118503" s="12" customFormat="1" x14ac:dyDescent="0.25"/>
    <row r="118504" s="12" customFormat="1" x14ac:dyDescent="0.25"/>
    <row r="118505" s="12" customFormat="1" x14ac:dyDescent="0.25"/>
    <row r="118506" s="12" customFormat="1" x14ac:dyDescent="0.25"/>
    <row r="118507" s="12" customFormat="1" x14ac:dyDescent="0.25"/>
    <row r="118508" s="12" customFormat="1" x14ac:dyDescent="0.25"/>
    <row r="118509" s="12" customFormat="1" x14ac:dyDescent="0.25"/>
    <row r="118510" s="12" customFormat="1" x14ac:dyDescent="0.25"/>
    <row r="118511" s="12" customFormat="1" x14ac:dyDescent="0.25"/>
    <row r="118512" s="12" customFormat="1" x14ac:dyDescent="0.25"/>
    <row r="118513" s="12" customFormat="1" x14ac:dyDescent="0.25"/>
    <row r="118514" s="12" customFormat="1" x14ac:dyDescent="0.25"/>
    <row r="118515" s="12" customFormat="1" x14ac:dyDescent="0.25"/>
    <row r="118516" s="12" customFormat="1" x14ac:dyDescent="0.25"/>
    <row r="118517" s="12" customFormat="1" x14ac:dyDescent="0.25"/>
    <row r="118518" s="12" customFormat="1" x14ac:dyDescent="0.25"/>
    <row r="118519" s="12" customFormat="1" x14ac:dyDescent="0.25"/>
    <row r="118520" s="12" customFormat="1" x14ac:dyDescent="0.25"/>
    <row r="118521" s="12" customFormat="1" x14ac:dyDescent="0.25"/>
    <row r="118522" s="12" customFormat="1" x14ac:dyDescent="0.25"/>
    <row r="118523" s="12" customFormat="1" x14ac:dyDescent="0.25"/>
    <row r="118524" s="12" customFormat="1" x14ac:dyDescent="0.25"/>
    <row r="118525" s="12" customFormat="1" x14ac:dyDescent="0.25"/>
    <row r="118526" s="12" customFormat="1" x14ac:dyDescent="0.25"/>
    <row r="118527" s="12" customFormat="1" x14ac:dyDescent="0.25"/>
    <row r="118528" s="12" customFormat="1" x14ac:dyDescent="0.25"/>
    <row r="118529" s="12" customFormat="1" x14ac:dyDescent="0.25"/>
    <row r="118530" s="12" customFormat="1" x14ac:dyDescent="0.25"/>
    <row r="118531" s="12" customFormat="1" x14ac:dyDescent="0.25"/>
    <row r="118532" s="12" customFormat="1" x14ac:dyDescent="0.25"/>
    <row r="118533" s="12" customFormat="1" x14ac:dyDescent="0.25"/>
    <row r="118534" s="12" customFormat="1" x14ac:dyDescent="0.25"/>
    <row r="118535" s="12" customFormat="1" x14ac:dyDescent="0.25"/>
    <row r="118536" s="12" customFormat="1" x14ac:dyDescent="0.25"/>
    <row r="118537" s="12" customFormat="1" x14ac:dyDescent="0.25"/>
    <row r="118538" s="12" customFormat="1" x14ac:dyDescent="0.25"/>
    <row r="118539" s="12" customFormat="1" x14ac:dyDescent="0.25"/>
    <row r="118540" s="12" customFormat="1" x14ac:dyDescent="0.25"/>
    <row r="118541" s="12" customFormat="1" x14ac:dyDescent="0.25"/>
    <row r="118542" s="12" customFormat="1" x14ac:dyDescent="0.25"/>
    <row r="118543" s="12" customFormat="1" x14ac:dyDescent="0.25"/>
    <row r="118544" s="12" customFormat="1" x14ac:dyDescent="0.25"/>
    <row r="118545" s="12" customFormat="1" x14ac:dyDescent="0.25"/>
    <row r="118546" s="12" customFormat="1" x14ac:dyDescent="0.25"/>
    <row r="118547" s="12" customFormat="1" x14ac:dyDescent="0.25"/>
    <row r="118548" s="12" customFormat="1" x14ac:dyDescent="0.25"/>
    <row r="118549" s="12" customFormat="1" x14ac:dyDescent="0.25"/>
    <row r="118550" s="12" customFormat="1" x14ac:dyDescent="0.25"/>
    <row r="118551" s="12" customFormat="1" x14ac:dyDescent="0.25"/>
    <row r="118552" s="12" customFormat="1" x14ac:dyDescent="0.25"/>
    <row r="118553" s="12" customFormat="1" x14ac:dyDescent="0.25"/>
    <row r="118554" s="12" customFormat="1" x14ac:dyDescent="0.25"/>
    <row r="118555" s="12" customFormat="1" x14ac:dyDescent="0.25"/>
    <row r="118556" s="12" customFormat="1" x14ac:dyDescent="0.25"/>
    <row r="118557" s="12" customFormat="1" x14ac:dyDescent="0.25"/>
    <row r="118558" s="12" customFormat="1" x14ac:dyDescent="0.25"/>
    <row r="118559" s="12" customFormat="1" x14ac:dyDescent="0.25"/>
    <row r="118560" s="12" customFormat="1" x14ac:dyDescent="0.25"/>
    <row r="118561" s="12" customFormat="1" x14ac:dyDescent="0.25"/>
    <row r="118562" s="12" customFormat="1" x14ac:dyDescent="0.25"/>
    <row r="118563" s="12" customFormat="1" x14ac:dyDescent="0.25"/>
    <row r="118564" s="12" customFormat="1" x14ac:dyDescent="0.25"/>
    <row r="118565" s="12" customFormat="1" x14ac:dyDescent="0.25"/>
    <row r="118566" s="12" customFormat="1" x14ac:dyDescent="0.25"/>
    <row r="118567" s="12" customFormat="1" x14ac:dyDescent="0.25"/>
    <row r="118568" s="12" customFormat="1" x14ac:dyDescent="0.25"/>
    <row r="118569" s="12" customFormat="1" x14ac:dyDescent="0.25"/>
    <row r="118570" s="12" customFormat="1" x14ac:dyDescent="0.25"/>
    <row r="118571" s="12" customFormat="1" x14ac:dyDescent="0.25"/>
    <row r="118572" s="12" customFormat="1" x14ac:dyDescent="0.25"/>
    <row r="118573" s="12" customFormat="1" x14ac:dyDescent="0.25"/>
    <row r="118574" s="12" customFormat="1" x14ac:dyDescent="0.25"/>
    <row r="118575" s="12" customFormat="1" x14ac:dyDescent="0.25"/>
    <row r="118576" s="12" customFormat="1" x14ac:dyDescent="0.25"/>
    <row r="118577" s="12" customFormat="1" x14ac:dyDescent="0.25"/>
    <row r="118578" s="12" customFormat="1" x14ac:dyDescent="0.25"/>
    <row r="118579" s="12" customFormat="1" x14ac:dyDescent="0.25"/>
    <row r="118580" s="12" customFormat="1" x14ac:dyDescent="0.25"/>
    <row r="118581" s="12" customFormat="1" x14ac:dyDescent="0.25"/>
    <row r="118582" s="12" customFormat="1" x14ac:dyDescent="0.25"/>
    <row r="118583" s="12" customFormat="1" x14ac:dyDescent="0.25"/>
    <row r="118584" s="12" customFormat="1" x14ac:dyDescent="0.25"/>
    <row r="118585" s="12" customFormat="1" x14ac:dyDescent="0.25"/>
    <row r="118586" s="12" customFormat="1" x14ac:dyDescent="0.25"/>
    <row r="118587" s="12" customFormat="1" x14ac:dyDescent="0.25"/>
    <row r="118588" s="12" customFormat="1" x14ac:dyDescent="0.25"/>
    <row r="118589" s="12" customFormat="1" x14ac:dyDescent="0.25"/>
    <row r="118590" s="12" customFormat="1" x14ac:dyDescent="0.25"/>
    <row r="118591" s="12" customFormat="1" x14ac:dyDescent="0.25"/>
    <row r="118592" s="12" customFormat="1" x14ac:dyDescent="0.25"/>
    <row r="118593" s="12" customFormat="1" x14ac:dyDescent="0.25"/>
    <row r="118594" s="12" customFormat="1" x14ac:dyDescent="0.25"/>
    <row r="118595" s="12" customFormat="1" x14ac:dyDescent="0.25"/>
    <row r="118596" s="12" customFormat="1" x14ac:dyDescent="0.25"/>
    <row r="118597" s="12" customFormat="1" x14ac:dyDescent="0.25"/>
    <row r="118598" s="12" customFormat="1" x14ac:dyDescent="0.25"/>
    <row r="118599" s="12" customFormat="1" x14ac:dyDescent="0.25"/>
    <row r="118600" s="12" customFormat="1" x14ac:dyDescent="0.25"/>
    <row r="118601" s="12" customFormat="1" x14ac:dyDescent="0.25"/>
    <row r="118602" s="12" customFormat="1" x14ac:dyDescent="0.25"/>
    <row r="118603" s="12" customFormat="1" x14ac:dyDescent="0.25"/>
    <row r="118604" s="12" customFormat="1" x14ac:dyDescent="0.25"/>
    <row r="118605" s="12" customFormat="1" x14ac:dyDescent="0.25"/>
    <row r="118606" s="12" customFormat="1" x14ac:dyDescent="0.25"/>
    <row r="118607" s="12" customFormat="1" x14ac:dyDescent="0.25"/>
    <row r="118608" s="12" customFormat="1" x14ac:dyDescent="0.25"/>
    <row r="118609" s="12" customFormat="1" x14ac:dyDescent="0.25"/>
    <row r="118610" s="12" customFormat="1" x14ac:dyDescent="0.25"/>
    <row r="118611" s="12" customFormat="1" x14ac:dyDescent="0.25"/>
    <row r="118612" s="12" customFormat="1" x14ac:dyDescent="0.25"/>
    <row r="118613" s="12" customFormat="1" x14ac:dyDescent="0.25"/>
    <row r="118614" s="12" customFormat="1" x14ac:dyDescent="0.25"/>
    <row r="118615" s="12" customFormat="1" x14ac:dyDescent="0.25"/>
    <row r="118616" s="12" customFormat="1" x14ac:dyDescent="0.25"/>
    <row r="118617" s="12" customFormat="1" x14ac:dyDescent="0.25"/>
    <row r="118618" s="12" customFormat="1" x14ac:dyDescent="0.25"/>
    <row r="118619" s="12" customFormat="1" x14ac:dyDescent="0.25"/>
    <row r="118620" s="12" customFormat="1" x14ac:dyDescent="0.25"/>
    <row r="118621" s="12" customFormat="1" x14ac:dyDescent="0.25"/>
    <row r="118622" s="12" customFormat="1" x14ac:dyDescent="0.25"/>
    <row r="118623" s="12" customFormat="1" x14ac:dyDescent="0.25"/>
    <row r="118624" s="12" customFormat="1" x14ac:dyDescent="0.25"/>
    <row r="118625" s="12" customFormat="1" x14ac:dyDescent="0.25"/>
    <row r="118626" s="12" customFormat="1" x14ac:dyDescent="0.25"/>
    <row r="118627" s="12" customFormat="1" x14ac:dyDescent="0.25"/>
    <row r="118628" s="12" customFormat="1" x14ac:dyDescent="0.25"/>
    <row r="118629" s="12" customFormat="1" x14ac:dyDescent="0.25"/>
    <row r="118630" s="12" customFormat="1" x14ac:dyDescent="0.25"/>
    <row r="118631" s="12" customFormat="1" x14ac:dyDescent="0.25"/>
    <row r="118632" s="12" customFormat="1" x14ac:dyDescent="0.25"/>
    <row r="118633" s="12" customFormat="1" x14ac:dyDescent="0.25"/>
    <row r="118634" s="12" customFormat="1" x14ac:dyDescent="0.25"/>
    <row r="118635" s="12" customFormat="1" x14ac:dyDescent="0.25"/>
    <row r="118636" s="12" customFormat="1" x14ac:dyDescent="0.25"/>
    <row r="118637" s="12" customFormat="1" x14ac:dyDescent="0.25"/>
    <row r="118638" s="12" customFormat="1" x14ac:dyDescent="0.25"/>
    <row r="118639" s="12" customFormat="1" x14ac:dyDescent="0.25"/>
    <row r="118640" s="12" customFormat="1" x14ac:dyDescent="0.25"/>
    <row r="118641" s="12" customFormat="1" x14ac:dyDescent="0.25"/>
    <row r="118642" s="12" customFormat="1" x14ac:dyDescent="0.25"/>
    <row r="118643" s="12" customFormat="1" x14ac:dyDescent="0.25"/>
    <row r="118644" s="12" customFormat="1" x14ac:dyDescent="0.25"/>
    <row r="118645" s="12" customFormat="1" x14ac:dyDescent="0.25"/>
    <row r="118646" s="12" customFormat="1" x14ac:dyDescent="0.25"/>
    <row r="118647" s="12" customFormat="1" x14ac:dyDescent="0.25"/>
    <row r="118648" s="12" customFormat="1" x14ac:dyDescent="0.25"/>
    <row r="118649" s="12" customFormat="1" x14ac:dyDescent="0.25"/>
    <row r="118650" s="12" customFormat="1" x14ac:dyDescent="0.25"/>
    <row r="118651" s="12" customFormat="1" x14ac:dyDescent="0.25"/>
    <row r="118652" s="12" customFormat="1" x14ac:dyDescent="0.25"/>
    <row r="118653" s="12" customFormat="1" x14ac:dyDescent="0.25"/>
    <row r="118654" s="12" customFormat="1" x14ac:dyDescent="0.25"/>
    <row r="118655" s="12" customFormat="1" x14ac:dyDescent="0.25"/>
    <row r="118656" s="12" customFormat="1" x14ac:dyDescent="0.25"/>
    <row r="118657" s="12" customFormat="1" x14ac:dyDescent="0.25"/>
    <row r="118658" s="12" customFormat="1" x14ac:dyDescent="0.25"/>
    <row r="118659" s="12" customFormat="1" x14ac:dyDescent="0.25"/>
    <row r="118660" s="12" customFormat="1" x14ac:dyDescent="0.25"/>
    <row r="118661" s="12" customFormat="1" x14ac:dyDescent="0.25"/>
    <row r="118662" s="12" customFormat="1" x14ac:dyDescent="0.25"/>
    <row r="118663" s="12" customFormat="1" x14ac:dyDescent="0.25"/>
    <row r="118664" s="12" customFormat="1" x14ac:dyDescent="0.25"/>
    <row r="118665" s="12" customFormat="1" x14ac:dyDescent="0.25"/>
    <row r="118666" s="12" customFormat="1" x14ac:dyDescent="0.25"/>
    <row r="118667" s="12" customFormat="1" x14ac:dyDescent="0.25"/>
    <row r="118668" s="12" customFormat="1" x14ac:dyDescent="0.25"/>
    <row r="118669" s="12" customFormat="1" x14ac:dyDescent="0.25"/>
    <row r="118670" s="12" customFormat="1" x14ac:dyDescent="0.25"/>
    <row r="118671" s="12" customFormat="1" x14ac:dyDescent="0.25"/>
    <row r="118672" s="12" customFormat="1" x14ac:dyDescent="0.25"/>
    <row r="118673" s="12" customFormat="1" x14ac:dyDescent="0.25"/>
    <row r="118674" s="12" customFormat="1" x14ac:dyDescent="0.25"/>
    <row r="118675" s="12" customFormat="1" x14ac:dyDescent="0.25"/>
    <row r="118676" s="12" customFormat="1" x14ac:dyDescent="0.25"/>
    <row r="118677" s="12" customFormat="1" x14ac:dyDescent="0.25"/>
    <row r="118678" s="12" customFormat="1" x14ac:dyDescent="0.25"/>
    <row r="118679" s="12" customFormat="1" x14ac:dyDescent="0.25"/>
    <row r="118680" s="12" customFormat="1" x14ac:dyDescent="0.25"/>
    <row r="118681" s="12" customFormat="1" x14ac:dyDescent="0.25"/>
    <row r="118682" s="12" customFormat="1" x14ac:dyDescent="0.25"/>
    <row r="118683" s="12" customFormat="1" x14ac:dyDescent="0.25"/>
    <row r="118684" s="12" customFormat="1" x14ac:dyDescent="0.25"/>
    <row r="118685" s="12" customFormat="1" x14ac:dyDescent="0.25"/>
    <row r="118686" s="12" customFormat="1" x14ac:dyDescent="0.25"/>
    <row r="118687" s="12" customFormat="1" x14ac:dyDescent="0.25"/>
    <row r="118688" s="12" customFormat="1" x14ac:dyDescent="0.25"/>
    <row r="118689" s="12" customFormat="1" x14ac:dyDescent="0.25"/>
    <row r="118690" s="12" customFormat="1" x14ac:dyDescent="0.25"/>
    <row r="118691" s="12" customFormat="1" x14ac:dyDescent="0.25"/>
    <row r="118692" s="12" customFormat="1" x14ac:dyDescent="0.25"/>
    <row r="118693" s="12" customFormat="1" x14ac:dyDescent="0.25"/>
    <row r="118694" s="12" customFormat="1" x14ac:dyDescent="0.25"/>
    <row r="118695" s="12" customFormat="1" x14ac:dyDescent="0.25"/>
    <row r="118696" s="12" customFormat="1" x14ac:dyDescent="0.25"/>
    <row r="118697" s="12" customFormat="1" x14ac:dyDescent="0.25"/>
    <row r="118698" s="12" customFormat="1" x14ac:dyDescent="0.25"/>
    <row r="118699" s="12" customFormat="1" x14ac:dyDescent="0.25"/>
    <row r="118700" s="12" customFormat="1" x14ac:dyDescent="0.25"/>
    <row r="118701" s="12" customFormat="1" x14ac:dyDescent="0.25"/>
    <row r="118702" s="12" customFormat="1" x14ac:dyDescent="0.25"/>
    <row r="118703" s="12" customFormat="1" x14ac:dyDescent="0.25"/>
    <row r="118704" s="12" customFormat="1" x14ac:dyDescent="0.25"/>
    <row r="118705" s="12" customFormat="1" x14ac:dyDescent="0.25"/>
    <row r="118706" s="12" customFormat="1" x14ac:dyDescent="0.25"/>
    <row r="118707" s="12" customFormat="1" x14ac:dyDescent="0.25"/>
    <row r="118708" s="12" customFormat="1" x14ac:dyDescent="0.25"/>
    <row r="118709" s="12" customFormat="1" x14ac:dyDescent="0.25"/>
    <row r="118710" s="12" customFormat="1" x14ac:dyDescent="0.25"/>
    <row r="118711" s="12" customFormat="1" x14ac:dyDescent="0.25"/>
    <row r="118712" s="12" customFormat="1" x14ac:dyDescent="0.25"/>
    <row r="118713" s="12" customFormat="1" x14ac:dyDescent="0.25"/>
    <row r="118714" s="12" customFormat="1" x14ac:dyDescent="0.25"/>
    <row r="118715" s="12" customFormat="1" x14ac:dyDescent="0.25"/>
    <row r="118716" s="12" customFormat="1" x14ac:dyDescent="0.25"/>
    <row r="118717" s="12" customFormat="1" x14ac:dyDescent="0.25"/>
    <row r="118718" s="12" customFormat="1" x14ac:dyDescent="0.25"/>
    <row r="118719" s="12" customFormat="1" x14ac:dyDescent="0.25"/>
    <row r="118720" s="12" customFormat="1" x14ac:dyDescent="0.25"/>
    <row r="118721" s="12" customFormat="1" x14ac:dyDescent="0.25"/>
    <row r="118722" s="12" customFormat="1" x14ac:dyDescent="0.25"/>
    <row r="118723" s="12" customFormat="1" x14ac:dyDescent="0.25"/>
    <row r="118724" s="12" customFormat="1" x14ac:dyDescent="0.25"/>
    <row r="118725" s="12" customFormat="1" x14ac:dyDescent="0.25"/>
    <row r="118726" s="12" customFormat="1" x14ac:dyDescent="0.25"/>
    <row r="118727" s="12" customFormat="1" x14ac:dyDescent="0.25"/>
    <row r="118728" s="12" customFormat="1" x14ac:dyDescent="0.25"/>
    <row r="118729" s="12" customFormat="1" x14ac:dyDescent="0.25"/>
    <row r="118730" s="12" customFormat="1" x14ac:dyDescent="0.25"/>
    <row r="118731" s="12" customFormat="1" x14ac:dyDescent="0.25"/>
    <row r="118732" s="12" customFormat="1" x14ac:dyDescent="0.25"/>
    <row r="118733" s="12" customFormat="1" x14ac:dyDescent="0.25"/>
    <row r="118734" s="12" customFormat="1" x14ac:dyDescent="0.25"/>
    <row r="118735" s="12" customFormat="1" x14ac:dyDescent="0.25"/>
    <row r="118736" s="12" customFormat="1" x14ac:dyDescent="0.25"/>
    <row r="118737" s="12" customFormat="1" x14ac:dyDescent="0.25"/>
    <row r="118738" s="12" customFormat="1" x14ac:dyDescent="0.25"/>
    <row r="118739" s="12" customFormat="1" x14ac:dyDescent="0.25"/>
    <row r="118740" s="12" customFormat="1" x14ac:dyDescent="0.25"/>
    <row r="118741" s="12" customFormat="1" x14ac:dyDescent="0.25"/>
    <row r="118742" s="12" customFormat="1" x14ac:dyDescent="0.25"/>
    <row r="118743" s="12" customFormat="1" x14ac:dyDescent="0.25"/>
    <row r="118744" s="12" customFormat="1" x14ac:dyDescent="0.25"/>
    <row r="118745" s="12" customFormat="1" x14ac:dyDescent="0.25"/>
    <row r="118746" s="12" customFormat="1" x14ac:dyDescent="0.25"/>
    <row r="118747" s="12" customFormat="1" x14ac:dyDescent="0.25"/>
    <row r="118748" s="12" customFormat="1" x14ac:dyDescent="0.25"/>
    <row r="118749" s="12" customFormat="1" x14ac:dyDescent="0.25"/>
    <row r="118750" s="12" customFormat="1" x14ac:dyDescent="0.25"/>
    <row r="118751" s="12" customFormat="1" x14ac:dyDescent="0.25"/>
    <row r="118752" s="12" customFormat="1" x14ac:dyDescent="0.25"/>
    <row r="118753" s="12" customFormat="1" x14ac:dyDescent="0.25"/>
    <row r="118754" s="12" customFormat="1" x14ac:dyDescent="0.25"/>
    <row r="118755" s="12" customFormat="1" x14ac:dyDescent="0.25"/>
    <row r="118756" s="12" customFormat="1" x14ac:dyDescent="0.25"/>
    <row r="118757" s="12" customFormat="1" x14ac:dyDescent="0.25"/>
    <row r="118758" s="12" customFormat="1" x14ac:dyDescent="0.25"/>
    <row r="118759" s="12" customFormat="1" x14ac:dyDescent="0.25"/>
    <row r="118760" s="12" customFormat="1" x14ac:dyDescent="0.25"/>
    <row r="118761" s="12" customFormat="1" x14ac:dyDescent="0.25"/>
    <row r="118762" s="12" customFormat="1" x14ac:dyDescent="0.25"/>
    <row r="118763" s="12" customFormat="1" x14ac:dyDescent="0.25"/>
    <row r="118764" s="12" customFormat="1" x14ac:dyDescent="0.25"/>
    <row r="118765" s="12" customFormat="1" x14ac:dyDescent="0.25"/>
    <row r="118766" s="12" customFormat="1" x14ac:dyDescent="0.25"/>
    <row r="118767" s="12" customFormat="1" x14ac:dyDescent="0.25"/>
    <row r="118768" s="12" customFormat="1" x14ac:dyDescent="0.25"/>
    <row r="118769" s="12" customFormat="1" x14ac:dyDescent="0.25"/>
    <row r="118770" s="12" customFormat="1" x14ac:dyDescent="0.25"/>
    <row r="118771" s="12" customFormat="1" x14ac:dyDescent="0.25"/>
    <row r="118772" s="12" customFormat="1" x14ac:dyDescent="0.25"/>
    <row r="118773" s="12" customFormat="1" x14ac:dyDescent="0.25"/>
    <row r="118774" s="12" customFormat="1" x14ac:dyDescent="0.25"/>
    <row r="118775" s="12" customFormat="1" x14ac:dyDescent="0.25"/>
    <row r="118776" s="12" customFormat="1" x14ac:dyDescent="0.25"/>
    <row r="118777" s="12" customFormat="1" x14ac:dyDescent="0.25"/>
    <row r="118778" s="12" customFormat="1" x14ac:dyDescent="0.25"/>
    <row r="118779" s="12" customFormat="1" x14ac:dyDescent="0.25"/>
    <row r="118780" s="12" customFormat="1" x14ac:dyDescent="0.25"/>
    <row r="118781" s="12" customFormat="1" x14ac:dyDescent="0.25"/>
    <row r="118782" s="12" customFormat="1" x14ac:dyDescent="0.25"/>
    <row r="118783" s="12" customFormat="1" x14ac:dyDescent="0.25"/>
    <row r="118784" s="12" customFormat="1" x14ac:dyDescent="0.25"/>
    <row r="118785" s="12" customFormat="1" x14ac:dyDescent="0.25"/>
    <row r="118786" s="12" customFormat="1" x14ac:dyDescent="0.25"/>
    <row r="118787" s="12" customFormat="1" x14ac:dyDescent="0.25"/>
    <row r="118788" s="12" customFormat="1" x14ac:dyDescent="0.25"/>
    <row r="118789" s="12" customFormat="1" x14ac:dyDescent="0.25"/>
    <row r="118790" s="12" customFormat="1" x14ac:dyDescent="0.25"/>
    <row r="118791" s="12" customFormat="1" x14ac:dyDescent="0.25"/>
    <row r="118792" s="12" customFormat="1" x14ac:dyDescent="0.25"/>
    <row r="118793" s="12" customFormat="1" x14ac:dyDescent="0.25"/>
    <row r="118794" s="12" customFormat="1" x14ac:dyDescent="0.25"/>
    <row r="118795" s="12" customFormat="1" x14ac:dyDescent="0.25"/>
    <row r="118796" s="12" customFormat="1" x14ac:dyDescent="0.25"/>
    <row r="118797" s="12" customFormat="1" x14ac:dyDescent="0.25"/>
    <row r="118798" s="12" customFormat="1" x14ac:dyDescent="0.25"/>
    <row r="118799" s="12" customFormat="1" x14ac:dyDescent="0.25"/>
    <row r="118800" s="12" customFormat="1" x14ac:dyDescent="0.25"/>
    <row r="118801" s="12" customFormat="1" x14ac:dyDescent="0.25"/>
    <row r="118802" s="12" customFormat="1" x14ac:dyDescent="0.25"/>
    <row r="118803" s="12" customFormat="1" x14ac:dyDescent="0.25"/>
    <row r="118804" s="12" customFormat="1" x14ac:dyDescent="0.25"/>
    <row r="118805" s="12" customFormat="1" x14ac:dyDescent="0.25"/>
    <row r="118806" s="12" customFormat="1" x14ac:dyDescent="0.25"/>
    <row r="118807" s="12" customFormat="1" x14ac:dyDescent="0.25"/>
    <row r="118808" s="12" customFormat="1" x14ac:dyDescent="0.25"/>
    <row r="118809" s="12" customFormat="1" x14ac:dyDescent="0.25"/>
    <row r="118810" s="12" customFormat="1" x14ac:dyDescent="0.25"/>
    <row r="118811" s="12" customFormat="1" x14ac:dyDescent="0.25"/>
    <row r="118812" s="12" customFormat="1" x14ac:dyDescent="0.25"/>
    <row r="118813" s="12" customFormat="1" x14ac:dyDescent="0.25"/>
    <row r="118814" s="12" customFormat="1" x14ac:dyDescent="0.25"/>
    <row r="118815" s="12" customFormat="1" x14ac:dyDescent="0.25"/>
    <row r="118816" s="12" customFormat="1" x14ac:dyDescent="0.25"/>
    <row r="118817" s="12" customFormat="1" x14ac:dyDescent="0.25"/>
    <row r="118818" s="12" customFormat="1" x14ac:dyDescent="0.25"/>
    <row r="118819" s="12" customFormat="1" x14ac:dyDescent="0.25"/>
    <row r="118820" s="12" customFormat="1" x14ac:dyDescent="0.25"/>
    <row r="118821" s="12" customFormat="1" x14ac:dyDescent="0.25"/>
    <row r="118822" s="12" customFormat="1" x14ac:dyDescent="0.25"/>
    <row r="118823" s="12" customFormat="1" x14ac:dyDescent="0.25"/>
    <row r="118824" s="12" customFormat="1" x14ac:dyDescent="0.25"/>
    <row r="118825" s="12" customFormat="1" x14ac:dyDescent="0.25"/>
    <row r="118826" s="12" customFormat="1" x14ac:dyDescent="0.25"/>
    <row r="118827" s="12" customFormat="1" x14ac:dyDescent="0.25"/>
    <row r="118828" s="12" customFormat="1" x14ac:dyDescent="0.25"/>
    <row r="118829" s="12" customFormat="1" x14ac:dyDescent="0.25"/>
    <row r="118830" s="12" customFormat="1" x14ac:dyDescent="0.25"/>
    <row r="118831" s="12" customFormat="1" x14ac:dyDescent="0.25"/>
    <row r="118832" s="12" customFormat="1" x14ac:dyDescent="0.25"/>
    <row r="118833" s="12" customFormat="1" x14ac:dyDescent="0.25"/>
    <row r="118834" s="12" customFormat="1" x14ac:dyDescent="0.25"/>
    <row r="118835" s="12" customFormat="1" x14ac:dyDescent="0.25"/>
    <row r="118836" s="12" customFormat="1" x14ac:dyDescent="0.25"/>
    <row r="118837" s="12" customFormat="1" x14ac:dyDescent="0.25"/>
    <row r="118838" s="12" customFormat="1" x14ac:dyDescent="0.25"/>
    <row r="118839" s="12" customFormat="1" x14ac:dyDescent="0.25"/>
    <row r="118840" s="12" customFormat="1" x14ac:dyDescent="0.25"/>
    <row r="118841" s="12" customFormat="1" x14ac:dyDescent="0.25"/>
    <row r="118842" s="12" customFormat="1" x14ac:dyDescent="0.25"/>
    <row r="118843" s="12" customFormat="1" x14ac:dyDescent="0.25"/>
    <row r="118844" s="12" customFormat="1" x14ac:dyDescent="0.25"/>
    <row r="118845" s="12" customFormat="1" x14ac:dyDescent="0.25"/>
    <row r="118846" s="12" customFormat="1" x14ac:dyDescent="0.25"/>
    <row r="118847" s="12" customFormat="1" x14ac:dyDescent="0.25"/>
    <row r="118848" s="12" customFormat="1" x14ac:dyDescent="0.25"/>
    <row r="118849" s="12" customFormat="1" x14ac:dyDescent="0.25"/>
    <row r="118850" s="12" customFormat="1" x14ac:dyDescent="0.25"/>
    <row r="118851" s="12" customFormat="1" x14ac:dyDescent="0.25"/>
    <row r="118852" s="12" customFormat="1" x14ac:dyDescent="0.25"/>
    <row r="118853" s="12" customFormat="1" x14ac:dyDescent="0.25"/>
    <row r="118854" s="12" customFormat="1" x14ac:dyDescent="0.25"/>
    <row r="118855" s="12" customFormat="1" x14ac:dyDescent="0.25"/>
    <row r="118856" s="12" customFormat="1" x14ac:dyDescent="0.25"/>
    <row r="118857" s="12" customFormat="1" x14ac:dyDescent="0.25"/>
    <row r="118858" s="12" customFormat="1" x14ac:dyDescent="0.25"/>
    <row r="118859" s="12" customFormat="1" x14ac:dyDescent="0.25"/>
    <row r="118860" s="12" customFormat="1" x14ac:dyDescent="0.25"/>
    <row r="118861" s="12" customFormat="1" x14ac:dyDescent="0.25"/>
    <row r="118862" s="12" customFormat="1" x14ac:dyDescent="0.25"/>
    <row r="118863" s="12" customFormat="1" x14ac:dyDescent="0.25"/>
    <row r="118864" s="12" customFormat="1" x14ac:dyDescent="0.25"/>
    <row r="118865" s="12" customFormat="1" x14ac:dyDescent="0.25"/>
    <row r="118866" s="12" customFormat="1" x14ac:dyDescent="0.25"/>
    <row r="118867" s="12" customFormat="1" x14ac:dyDescent="0.25"/>
    <row r="118868" s="12" customFormat="1" x14ac:dyDescent="0.25"/>
    <row r="118869" s="12" customFormat="1" x14ac:dyDescent="0.25"/>
    <row r="118870" s="12" customFormat="1" x14ac:dyDescent="0.25"/>
    <row r="118871" s="12" customFormat="1" x14ac:dyDescent="0.25"/>
    <row r="118872" s="12" customFormat="1" x14ac:dyDescent="0.25"/>
    <row r="118873" s="12" customFormat="1" x14ac:dyDescent="0.25"/>
    <row r="118874" s="12" customFormat="1" x14ac:dyDescent="0.25"/>
    <row r="118875" s="12" customFormat="1" x14ac:dyDescent="0.25"/>
    <row r="118876" s="12" customFormat="1" x14ac:dyDescent="0.25"/>
    <row r="118877" s="12" customFormat="1" x14ac:dyDescent="0.25"/>
    <row r="118878" s="12" customFormat="1" x14ac:dyDescent="0.25"/>
    <row r="118879" s="12" customFormat="1" x14ac:dyDescent="0.25"/>
    <row r="118880" s="12" customFormat="1" x14ac:dyDescent="0.25"/>
    <row r="118881" s="12" customFormat="1" x14ac:dyDescent="0.25"/>
    <row r="118882" s="12" customFormat="1" x14ac:dyDescent="0.25"/>
    <row r="118883" s="12" customFormat="1" x14ac:dyDescent="0.25"/>
    <row r="118884" s="12" customFormat="1" x14ac:dyDescent="0.25"/>
    <row r="118885" s="12" customFormat="1" x14ac:dyDescent="0.25"/>
    <row r="118886" s="12" customFormat="1" x14ac:dyDescent="0.25"/>
    <row r="118887" s="12" customFormat="1" x14ac:dyDescent="0.25"/>
    <row r="118888" s="12" customFormat="1" x14ac:dyDescent="0.25"/>
    <row r="118889" s="12" customFormat="1" x14ac:dyDescent="0.25"/>
    <row r="118890" s="12" customFormat="1" x14ac:dyDescent="0.25"/>
    <row r="118891" s="12" customFormat="1" x14ac:dyDescent="0.25"/>
    <row r="118892" s="12" customFormat="1" x14ac:dyDescent="0.25"/>
    <row r="118893" s="12" customFormat="1" x14ac:dyDescent="0.25"/>
    <row r="118894" s="12" customFormat="1" x14ac:dyDescent="0.25"/>
    <row r="118895" s="12" customFormat="1" x14ac:dyDescent="0.25"/>
    <row r="118896" s="12" customFormat="1" x14ac:dyDescent="0.25"/>
    <row r="118897" s="12" customFormat="1" x14ac:dyDescent="0.25"/>
    <row r="118898" s="12" customFormat="1" x14ac:dyDescent="0.25"/>
    <row r="118899" s="12" customFormat="1" x14ac:dyDescent="0.25"/>
    <row r="118900" s="12" customFormat="1" x14ac:dyDescent="0.25"/>
    <row r="118901" s="12" customFormat="1" x14ac:dyDescent="0.25"/>
    <row r="118902" s="12" customFormat="1" x14ac:dyDescent="0.25"/>
    <row r="118903" s="12" customFormat="1" x14ac:dyDescent="0.25"/>
    <row r="118904" s="12" customFormat="1" x14ac:dyDescent="0.25"/>
    <row r="118905" s="12" customFormat="1" x14ac:dyDescent="0.25"/>
    <row r="118906" s="12" customFormat="1" x14ac:dyDescent="0.25"/>
    <row r="118907" s="12" customFormat="1" x14ac:dyDescent="0.25"/>
    <row r="118908" s="12" customFormat="1" x14ac:dyDescent="0.25"/>
    <row r="118909" s="12" customFormat="1" x14ac:dyDescent="0.25"/>
    <row r="118910" s="12" customFormat="1" x14ac:dyDescent="0.25"/>
    <row r="118911" s="12" customFormat="1" x14ac:dyDescent="0.25"/>
    <row r="118912" s="12" customFormat="1" x14ac:dyDescent="0.25"/>
    <row r="118913" s="12" customFormat="1" x14ac:dyDescent="0.25"/>
    <row r="118914" s="12" customFormat="1" x14ac:dyDescent="0.25"/>
    <row r="118915" s="12" customFormat="1" x14ac:dyDescent="0.25"/>
    <row r="118916" s="12" customFormat="1" x14ac:dyDescent="0.25"/>
    <row r="118917" s="12" customFormat="1" x14ac:dyDescent="0.25"/>
    <row r="118918" s="12" customFormat="1" x14ac:dyDescent="0.25"/>
    <row r="118919" s="12" customFormat="1" x14ac:dyDescent="0.25"/>
    <row r="118920" s="12" customFormat="1" x14ac:dyDescent="0.25"/>
    <row r="118921" s="12" customFormat="1" x14ac:dyDescent="0.25"/>
    <row r="118922" s="12" customFormat="1" x14ac:dyDescent="0.25"/>
    <row r="118923" s="12" customFormat="1" x14ac:dyDescent="0.25"/>
    <row r="118924" s="12" customFormat="1" x14ac:dyDescent="0.25"/>
    <row r="118925" s="12" customFormat="1" x14ac:dyDescent="0.25"/>
    <row r="118926" s="12" customFormat="1" x14ac:dyDescent="0.25"/>
    <row r="118927" s="12" customFormat="1" x14ac:dyDescent="0.25"/>
    <row r="118928" s="12" customFormat="1" x14ac:dyDescent="0.25"/>
    <row r="118929" s="12" customFormat="1" x14ac:dyDescent="0.25"/>
    <row r="118930" s="12" customFormat="1" x14ac:dyDescent="0.25"/>
    <row r="118931" s="12" customFormat="1" x14ac:dyDescent="0.25"/>
    <row r="118932" s="12" customFormat="1" x14ac:dyDescent="0.25"/>
    <row r="118933" s="12" customFormat="1" x14ac:dyDescent="0.25"/>
    <row r="118934" s="12" customFormat="1" x14ac:dyDescent="0.25"/>
    <row r="118935" s="12" customFormat="1" x14ac:dyDescent="0.25"/>
    <row r="118936" s="12" customFormat="1" x14ac:dyDescent="0.25"/>
    <row r="118937" s="12" customFormat="1" x14ac:dyDescent="0.25"/>
    <row r="118938" s="12" customFormat="1" x14ac:dyDescent="0.25"/>
    <row r="118939" s="12" customFormat="1" x14ac:dyDescent="0.25"/>
    <row r="118940" s="12" customFormat="1" x14ac:dyDescent="0.25"/>
    <row r="118941" s="12" customFormat="1" x14ac:dyDescent="0.25"/>
    <row r="118942" s="12" customFormat="1" x14ac:dyDescent="0.25"/>
    <row r="118943" s="12" customFormat="1" x14ac:dyDescent="0.25"/>
    <row r="118944" s="12" customFormat="1" x14ac:dyDescent="0.25"/>
    <row r="118945" s="12" customFormat="1" x14ac:dyDescent="0.25"/>
    <row r="118946" s="12" customFormat="1" x14ac:dyDescent="0.25"/>
    <row r="118947" s="12" customFormat="1" x14ac:dyDescent="0.25"/>
    <row r="118948" s="12" customFormat="1" x14ac:dyDescent="0.25"/>
    <row r="118949" s="12" customFormat="1" x14ac:dyDescent="0.25"/>
    <row r="118950" s="12" customFormat="1" x14ac:dyDescent="0.25"/>
    <row r="118951" s="12" customFormat="1" x14ac:dyDescent="0.25"/>
    <row r="118952" s="12" customFormat="1" x14ac:dyDescent="0.25"/>
    <row r="118953" s="12" customFormat="1" x14ac:dyDescent="0.25"/>
    <row r="118954" s="12" customFormat="1" x14ac:dyDescent="0.25"/>
    <row r="118955" s="12" customFormat="1" x14ac:dyDescent="0.25"/>
    <row r="118956" s="12" customFormat="1" x14ac:dyDescent="0.25"/>
    <row r="118957" s="12" customFormat="1" x14ac:dyDescent="0.25"/>
    <row r="118958" s="12" customFormat="1" x14ac:dyDescent="0.25"/>
    <row r="118959" s="12" customFormat="1" x14ac:dyDescent="0.25"/>
    <row r="118960" s="12" customFormat="1" x14ac:dyDescent="0.25"/>
    <row r="118961" s="12" customFormat="1" x14ac:dyDescent="0.25"/>
    <row r="118962" s="12" customFormat="1" x14ac:dyDescent="0.25"/>
    <row r="118963" s="12" customFormat="1" x14ac:dyDescent="0.25"/>
    <row r="118964" s="12" customFormat="1" x14ac:dyDescent="0.25"/>
    <row r="118965" s="12" customFormat="1" x14ac:dyDescent="0.25"/>
    <row r="118966" s="12" customFormat="1" x14ac:dyDescent="0.25"/>
    <row r="118967" s="12" customFormat="1" x14ac:dyDescent="0.25"/>
    <row r="118968" s="12" customFormat="1" x14ac:dyDescent="0.25"/>
    <row r="118969" s="12" customFormat="1" x14ac:dyDescent="0.25"/>
    <row r="118970" s="12" customFormat="1" x14ac:dyDescent="0.25"/>
    <row r="118971" s="12" customFormat="1" x14ac:dyDescent="0.25"/>
    <row r="118972" s="12" customFormat="1" x14ac:dyDescent="0.25"/>
    <row r="118973" s="12" customFormat="1" x14ac:dyDescent="0.25"/>
    <row r="118974" s="12" customFormat="1" x14ac:dyDescent="0.25"/>
    <row r="118975" s="12" customFormat="1" x14ac:dyDescent="0.25"/>
    <row r="118976" s="12" customFormat="1" x14ac:dyDescent="0.25"/>
    <row r="118977" s="12" customFormat="1" x14ac:dyDescent="0.25"/>
    <row r="118978" s="12" customFormat="1" x14ac:dyDescent="0.25"/>
    <row r="118979" s="12" customFormat="1" x14ac:dyDescent="0.25"/>
    <row r="118980" s="12" customFormat="1" x14ac:dyDescent="0.25"/>
    <row r="118981" s="12" customFormat="1" x14ac:dyDescent="0.25"/>
    <row r="118982" s="12" customFormat="1" x14ac:dyDescent="0.25"/>
    <row r="118983" s="12" customFormat="1" x14ac:dyDescent="0.25"/>
    <row r="118984" s="12" customFormat="1" x14ac:dyDescent="0.25"/>
    <row r="118985" s="12" customFormat="1" x14ac:dyDescent="0.25"/>
    <row r="118986" s="12" customFormat="1" x14ac:dyDescent="0.25"/>
    <row r="118987" s="12" customFormat="1" x14ac:dyDescent="0.25"/>
    <row r="118988" s="12" customFormat="1" x14ac:dyDescent="0.25"/>
    <row r="118989" s="12" customFormat="1" x14ac:dyDescent="0.25"/>
    <row r="118990" s="12" customFormat="1" x14ac:dyDescent="0.25"/>
    <row r="118991" s="12" customFormat="1" x14ac:dyDescent="0.25"/>
    <row r="118992" s="12" customFormat="1" x14ac:dyDescent="0.25"/>
    <row r="118993" s="12" customFormat="1" x14ac:dyDescent="0.25"/>
    <row r="118994" s="12" customFormat="1" x14ac:dyDescent="0.25"/>
    <row r="118995" s="12" customFormat="1" x14ac:dyDescent="0.25"/>
    <row r="118996" s="12" customFormat="1" x14ac:dyDescent="0.25"/>
    <row r="118997" s="12" customFormat="1" x14ac:dyDescent="0.25"/>
    <row r="118998" s="12" customFormat="1" x14ac:dyDescent="0.25"/>
    <row r="118999" s="12" customFormat="1" x14ac:dyDescent="0.25"/>
    <row r="119000" s="12" customFormat="1" x14ac:dyDescent="0.25"/>
    <row r="119001" s="12" customFormat="1" x14ac:dyDescent="0.25"/>
    <row r="119002" s="12" customFormat="1" x14ac:dyDescent="0.25"/>
    <row r="119003" s="12" customFormat="1" x14ac:dyDescent="0.25"/>
    <row r="119004" s="12" customFormat="1" x14ac:dyDescent="0.25"/>
    <row r="119005" s="12" customFormat="1" x14ac:dyDescent="0.25"/>
    <row r="119006" s="12" customFormat="1" x14ac:dyDescent="0.25"/>
    <row r="119007" s="12" customFormat="1" x14ac:dyDescent="0.25"/>
    <row r="119008" s="12" customFormat="1" x14ac:dyDescent="0.25"/>
    <row r="119009" s="12" customFormat="1" x14ac:dyDescent="0.25"/>
    <row r="119010" s="12" customFormat="1" x14ac:dyDescent="0.25"/>
    <row r="119011" s="12" customFormat="1" x14ac:dyDescent="0.25"/>
    <row r="119012" s="12" customFormat="1" x14ac:dyDescent="0.25"/>
    <row r="119013" s="12" customFormat="1" x14ac:dyDescent="0.25"/>
    <row r="119014" s="12" customFormat="1" x14ac:dyDescent="0.25"/>
    <row r="119015" s="12" customFormat="1" x14ac:dyDescent="0.25"/>
    <row r="119016" s="12" customFormat="1" x14ac:dyDescent="0.25"/>
    <row r="119017" s="12" customFormat="1" x14ac:dyDescent="0.25"/>
    <row r="119018" s="12" customFormat="1" x14ac:dyDescent="0.25"/>
    <row r="119019" s="12" customFormat="1" x14ac:dyDescent="0.25"/>
    <row r="119020" s="12" customFormat="1" x14ac:dyDescent="0.25"/>
    <row r="119021" s="12" customFormat="1" x14ac:dyDescent="0.25"/>
    <row r="119022" s="12" customFormat="1" x14ac:dyDescent="0.25"/>
    <row r="119023" s="12" customFormat="1" x14ac:dyDescent="0.25"/>
    <row r="119024" s="12" customFormat="1" x14ac:dyDescent="0.25"/>
    <row r="119025" s="12" customFormat="1" x14ac:dyDescent="0.25"/>
    <row r="119026" s="12" customFormat="1" x14ac:dyDescent="0.25"/>
    <row r="119027" s="12" customFormat="1" x14ac:dyDescent="0.25"/>
    <row r="119028" s="12" customFormat="1" x14ac:dyDescent="0.25"/>
    <row r="119029" s="12" customFormat="1" x14ac:dyDescent="0.25"/>
    <row r="119030" s="12" customFormat="1" x14ac:dyDescent="0.25"/>
    <row r="119031" s="12" customFormat="1" x14ac:dyDescent="0.25"/>
    <row r="119032" s="12" customFormat="1" x14ac:dyDescent="0.25"/>
    <row r="119033" s="12" customFormat="1" x14ac:dyDescent="0.25"/>
    <row r="119034" s="12" customFormat="1" x14ac:dyDescent="0.25"/>
    <row r="119035" s="12" customFormat="1" x14ac:dyDescent="0.25"/>
    <row r="119036" s="12" customFormat="1" x14ac:dyDescent="0.25"/>
    <row r="119037" s="12" customFormat="1" x14ac:dyDescent="0.25"/>
    <row r="119038" s="12" customFormat="1" x14ac:dyDescent="0.25"/>
    <row r="119039" s="12" customFormat="1" x14ac:dyDescent="0.25"/>
    <row r="119040" s="12" customFormat="1" x14ac:dyDescent="0.25"/>
    <row r="119041" s="12" customFormat="1" x14ac:dyDescent="0.25"/>
    <row r="119042" s="12" customFormat="1" x14ac:dyDescent="0.25"/>
    <row r="119043" s="12" customFormat="1" x14ac:dyDescent="0.25"/>
    <row r="119044" s="12" customFormat="1" x14ac:dyDescent="0.25"/>
    <row r="119045" s="12" customFormat="1" x14ac:dyDescent="0.25"/>
    <row r="119046" s="12" customFormat="1" x14ac:dyDescent="0.25"/>
    <row r="119047" s="12" customFormat="1" x14ac:dyDescent="0.25"/>
    <row r="119048" s="12" customFormat="1" x14ac:dyDescent="0.25"/>
    <row r="119049" s="12" customFormat="1" x14ac:dyDescent="0.25"/>
    <row r="119050" s="12" customFormat="1" x14ac:dyDescent="0.25"/>
    <row r="119051" s="12" customFormat="1" x14ac:dyDescent="0.25"/>
    <row r="119052" s="12" customFormat="1" x14ac:dyDescent="0.25"/>
    <row r="119053" s="12" customFormat="1" x14ac:dyDescent="0.25"/>
    <row r="119054" s="12" customFormat="1" x14ac:dyDescent="0.25"/>
    <row r="119055" s="12" customFormat="1" x14ac:dyDescent="0.25"/>
    <row r="119056" s="12" customFormat="1" x14ac:dyDescent="0.25"/>
    <row r="119057" s="12" customFormat="1" x14ac:dyDescent="0.25"/>
    <row r="119058" s="12" customFormat="1" x14ac:dyDescent="0.25"/>
    <row r="119059" s="12" customFormat="1" x14ac:dyDescent="0.25"/>
    <row r="119060" s="12" customFormat="1" x14ac:dyDescent="0.25"/>
    <row r="119061" s="12" customFormat="1" x14ac:dyDescent="0.25"/>
    <row r="119062" s="12" customFormat="1" x14ac:dyDescent="0.25"/>
    <row r="119063" s="12" customFormat="1" x14ac:dyDescent="0.25"/>
    <row r="119064" s="12" customFormat="1" x14ac:dyDescent="0.25"/>
    <row r="119065" s="12" customFormat="1" x14ac:dyDescent="0.25"/>
    <row r="119066" s="12" customFormat="1" x14ac:dyDescent="0.25"/>
    <row r="119067" s="12" customFormat="1" x14ac:dyDescent="0.25"/>
    <row r="119068" s="12" customFormat="1" x14ac:dyDescent="0.25"/>
    <row r="119069" s="12" customFormat="1" x14ac:dyDescent="0.25"/>
    <row r="119070" s="12" customFormat="1" x14ac:dyDescent="0.25"/>
    <row r="119071" s="12" customFormat="1" x14ac:dyDescent="0.25"/>
    <row r="119072" s="12" customFormat="1" x14ac:dyDescent="0.25"/>
    <row r="119073" s="12" customFormat="1" x14ac:dyDescent="0.25"/>
    <row r="119074" s="12" customFormat="1" x14ac:dyDescent="0.25"/>
    <row r="119075" s="12" customFormat="1" x14ac:dyDescent="0.25"/>
    <row r="119076" s="12" customFormat="1" x14ac:dyDescent="0.25"/>
    <row r="119077" s="12" customFormat="1" x14ac:dyDescent="0.25"/>
    <row r="119078" s="12" customFormat="1" x14ac:dyDescent="0.25"/>
    <row r="119079" s="12" customFormat="1" x14ac:dyDescent="0.25"/>
    <row r="119080" s="12" customFormat="1" x14ac:dyDescent="0.25"/>
    <row r="119081" s="12" customFormat="1" x14ac:dyDescent="0.25"/>
    <row r="119082" s="12" customFormat="1" x14ac:dyDescent="0.25"/>
    <row r="119083" s="12" customFormat="1" x14ac:dyDescent="0.25"/>
    <row r="119084" s="12" customFormat="1" x14ac:dyDescent="0.25"/>
    <row r="119085" s="12" customFormat="1" x14ac:dyDescent="0.25"/>
    <row r="119086" s="12" customFormat="1" x14ac:dyDescent="0.25"/>
    <row r="119087" s="12" customFormat="1" x14ac:dyDescent="0.25"/>
    <row r="119088" s="12" customFormat="1" x14ac:dyDescent="0.25"/>
    <row r="119089" s="12" customFormat="1" x14ac:dyDescent="0.25"/>
    <row r="119090" s="12" customFormat="1" x14ac:dyDescent="0.25"/>
    <row r="119091" s="12" customFormat="1" x14ac:dyDescent="0.25"/>
    <row r="119092" s="12" customFormat="1" x14ac:dyDescent="0.25"/>
    <row r="119093" s="12" customFormat="1" x14ac:dyDescent="0.25"/>
    <row r="119094" s="12" customFormat="1" x14ac:dyDescent="0.25"/>
    <row r="119095" s="12" customFormat="1" x14ac:dyDescent="0.25"/>
    <row r="119096" s="12" customFormat="1" x14ac:dyDescent="0.25"/>
    <row r="119097" s="12" customFormat="1" x14ac:dyDescent="0.25"/>
    <row r="119098" s="12" customFormat="1" x14ac:dyDescent="0.25"/>
    <row r="119099" s="12" customFormat="1" x14ac:dyDescent="0.25"/>
    <row r="119100" s="12" customFormat="1" x14ac:dyDescent="0.25"/>
    <row r="119101" s="12" customFormat="1" x14ac:dyDescent="0.25"/>
    <row r="119102" s="12" customFormat="1" x14ac:dyDescent="0.25"/>
    <row r="119103" s="12" customFormat="1" x14ac:dyDescent="0.25"/>
    <row r="119104" s="12" customFormat="1" x14ac:dyDescent="0.25"/>
    <row r="119105" s="12" customFormat="1" x14ac:dyDescent="0.25"/>
    <row r="119106" s="12" customFormat="1" x14ac:dyDescent="0.25"/>
    <row r="119107" s="12" customFormat="1" x14ac:dyDescent="0.25"/>
    <row r="119108" s="12" customFormat="1" x14ac:dyDescent="0.25"/>
    <row r="119109" s="12" customFormat="1" x14ac:dyDescent="0.25"/>
    <row r="119110" s="12" customFormat="1" x14ac:dyDescent="0.25"/>
    <row r="119111" s="12" customFormat="1" x14ac:dyDescent="0.25"/>
    <row r="119112" s="12" customFormat="1" x14ac:dyDescent="0.25"/>
    <row r="119113" s="12" customFormat="1" x14ac:dyDescent="0.25"/>
    <row r="119114" s="12" customFormat="1" x14ac:dyDescent="0.25"/>
    <row r="119115" s="12" customFormat="1" x14ac:dyDescent="0.25"/>
    <row r="119116" s="12" customFormat="1" x14ac:dyDescent="0.25"/>
    <row r="119117" s="12" customFormat="1" x14ac:dyDescent="0.25"/>
    <row r="119118" s="12" customFormat="1" x14ac:dyDescent="0.25"/>
    <row r="119119" s="12" customFormat="1" x14ac:dyDescent="0.25"/>
    <row r="119120" s="12" customFormat="1" x14ac:dyDescent="0.25"/>
    <row r="119121" s="12" customFormat="1" x14ac:dyDescent="0.25"/>
    <row r="119122" s="12" customFormat="1" x14ac:dyDescent="0.25"/>
    <row r="119123" s="12" customFormat="1" x14ac:dyDescent="0.25"/>
    <row r="119124" s="12" customFormat="1" x14ac:dyDescent="0.25"/>
    <row r="119125" s="12" customFormat="1" x14ac:dyDescent="0.25"/>
    <row r="119126" s="12" customFormat="1" x14ac:dyDescent="0.25"/>
    <row r="119127" s="12" customFormat="1" x14ac:dyDescent="0.25"/>
    <row r="119128" s="12" customFormat="1" x14ac:dyDescent="0.25"/>
    <row r="119129" s="12" customFormat="1" x14ac:dyDescent="0.25"/>
    <row r="119130" s="12" customFormat="1" x14ac:dyDescent="0.25"/>
    <row r="119131" s="12" customFormat="1" x14ac:dyDescent="0.25"/>
    <row r="119132" s="12" customFormat="1" x14ac:dyDescent="0.25"/>
    <row r="119133" s="12" customFormat="1" x14ac:dyDescent="0.25"/>
    <row r="119134" s="12" customFormat="1" x14ac:dyDescent="0.25"/>
    <row r="119135" s="12" customFormat="1" x14ac:dyDescent="0.25"/>
    <row r="119136" s="12" customFormat="1" x14ac:dyDescent="0.25"/>
    <row r="119137" s="12" customFormat="1" x14ac:dyDescent="0.25"/>
    <row r="119138" s="12" customFormat="1" x14ac:dyDescent="0.25"/>
    <row r="119139" s="12" customFormat="1" x14ac:dyDescent="0.25"/>
    <row r="119140" s="12" customFormat="1" x14ac:dyDescent="0.25"/>
    <row r="119141" s="12" customFormat="1" x14ac:dyDescent="0.25"/>
    <row r="119142" s="12" customFormat="1" x14ac:dyDescent="0.25"/>
    <row r="119143" s="12" customFormat="1" x14ac:dyDescent="0.25"/>
    <row r="119144" s="12" customFormat="1" x14ac:dyDescent="0.25"/>
    <row r="119145" s="12" customFormat="1" x14ac:dyDescent="0.25"/>
    <row r="119146" s="12" customFormat="1" x14ac:dyDescent="0.25"/>
    <row r="119147" s="12" customFormat="1" x14ac:dyDescent="0.25"/>
    <row r="119148" s="12" customFormat="1" x14ac:dyDescent="0.25"/>
    <row r="119149" s="12" customFormat="1" x14ac:dyDescent="0.25"/>
    <row r="119150" s="12" customFormat="1" x14ac:dyDescent="0.25"/>
    <row r="119151" s="12" customFormat="1" x14ac:dyDescent="0.25"/>
    <row r="119152" s="12" customFormat="1" x14ac:dyDescent="0.25"/>
    <row r="119153" s="12" customFormat="1" x14ac:dyDescent="0.25"/>
    <row r="119154" s="12" customFormat="1" x14ac:dyDescent="0.25"/>
    <row r="119155" s="12" customFormat="1" x14ac:dyDescent="0.25"/>
    <row r="119156" s="12" customFormat="1" x14ac:dyDescent="0.25"/>
    <row r="119157" s="12" customFormat="1" x14ac:dyDescent="0.25"/>
    <row r="119158" s="12" customFormat="1" x14ac:dyDescent="0.25"/>
    <row r="119159" s="12" customFormat="1" x14ac:dyDescent="0.25"/>
    <row r="119160" s="12" customFormat="1" x14ac:dyDescent="0.25"/>
    <row r="119161" s="12" customFormat="1" x14ac:dyDescent="0.25"/>
    <row r="119162" s="12" customFormat="1" x14ac:dyDescent="0.25"/>
    <row r="119163" s="12" customFormat="1" x14ac:dyDescent="0.25"/>
    <row r="119164" s="12" customFormat="1" x14ac:dyDescent="0.25"/>
    <row r="119165" s="12" customFormat="1" x14ac:dyDescent="0.25"/>
    <row r="119166" s="12" customFormat="1" x14ac:dyDescent="0.25"/>
    <row r="119167" s="12" customFormat="1" x14ac:dyDescent="0.25"/>
    <row r="119168" s="12" customFormat="1" x14ac:dyDescent="0.25"/>
    <row r="119169" s="12" customFormat="1" x14ac:dyDescent="0.25"/>
    <row r="119170" s="12" customFormat="1" x14ac:dyDescent="0.25"/>
    <row r="119171" s="12" customFormat="1" x14ac:dyDescent="0.25"/>
    <row r="119172" s="12" customFormat="1" x14ac:dyDescent="0.25"/>
    <row r="119173" s="12" customFormat="1" x14ac:dyDescent="0.25"/>
    <row r="119174" s="12" customFormat="1" x14ac:dyDescent="0.25"/>
    <row r="119175" s="12" customFormat="1" x14ac:dyDescent="0.25"/>
    <row r="119176" s="12" customFormat="1" x14ac:dyDescent="0.25"/>
    <row r="119177" s="12" customFormat="1" x14ac:dyDescent="0.25"/>
    <row r="119178" s="12" customFormat="1" x14ac:dyDescent="0.25"/>
    <row r="119179" s="12" customFormat="1" x14ac:dyDescent="0.25"/>
    <row r="119180" s="12" customFormat="1" x14ac:dyDescent="0.25"/>
    <row r="119181" s="12" customFormat="1" x14ac:dyDescent="0.25"/>
    <row r="119182" s="12" customFormat="1" x14ac:dyDescent="0.25"/>
    <row r="119183" s="12" customFormat="1" x14ac:dyDescent="0.25"/>
    <row r="119184" s="12" customFormat="1" x14ac:dyDescent="0.25"/>
    <row r="119185" s="12" customFormat="1" x14ac:dyDescent="0.25"/>
    <row r="119186" s="12" customFormat="1" x14ac:dyDescent="0.25"/>
    <row r="119187" s="12" customFormat="1" x14ac:dyDescent="0.25"/>
    <row r="119188" s="12" customFormat="1" x14ac:dyDescent="0.25"/>
    <row r="119189" s="12" customFormat="1" x14ac:dyDescent="0.25"/>
    <row r="119190" s="12" customFormat="1" x14ac:dyDescent="0.25"/>
    <row r="119191" s="12" customFormat="1" x14ac:dyDescent="0.25"/>
    <row r="119192" s="12" customFormat="1" x14ac:dyDescent="0.25"/>
    <row r="119193" s="12" customFormat="1" x14ac:dyDescent="0.25"/>
    <row r="119194" s="12" customFormat="1" x14ac:dyDescent="0.25"/>
    <row r="119195" s="12" customFormat="1" x14ac:dyDescent="0.25"/>
    <row r="119196" s="12" customFormat="1" x14ac:dyDescent="0.25"/>
    <row r="119197" s="12" customFormat="1" x14ac:dyDescent="0.25"/>
    <row r="119198" s="12" customFormat="1" x14ac:dyDescent="0.25"/>
    <row r="119199" s="12" customFormat="1" x14ac:dyDescent="0.25"/>
    <row r="119200" s="12" customFormat="1" x14ac:dyDescent="0.25"/>
    <row r="119201" s="12" customFormat="1" x14ac:dyDescent="0.25"/>
    <row r="119202" s="12" customFormat="1" x14ac:dyDescent="0.25"/>
    <row r="119203" s="12" customFormat="1" x14ac:dyDescent="0.25"/>
    <row r="119204" s="12" customFormat="1" x14ac:dyDescent="0.25"/>
    <row r="119205" s="12" customFormat="1" x14ac:dyDescent="0.25"/>
    <row r="119206" s="12" customFormat="1" x14ac:dyDescent="0.25"/>
    <row r="119207" s="12" customFormat="1" x14ac:dyDescent="0.25"/>
    <row r="119208" s="12" customFormat="1" x14ac:dyDescent="0.25"/>
    <row r="119209" s="12" customFormat="1" x14ac:dyDescent="0.25"/>
    <row r="119210" s="12" customFormat="1" x14ac:dyDescent="0.25"/>
    <row r="119211" s="12" customFormat="1" x14ac:dyDescent="0.25"/>
    <row r="119212" s="12" customFormat="1" x14ac:dyDescent="0.25"/>
    <row r="119213" s="12" customFormat="1" x14ac:dyDescent="0.25"/>
    <row r="119214" s="12" customFormat="1" x14ac:dyDescent="0.25"/>
    <row r="119215" s="12" customFormat="1" x14ac:dyDescent="0.25"/>
    <row r="119216" s="12" customFormat="1" x14ac:dyDescent="0.25"/>
    <row r="119217" s="12" customFormat="1" x14ac:dyDescent="0.25"/>
    <row r="119218" s="12" customFormat="1" x14ac:dyDescent="0.25"/>
    <row r="119219" s="12" customFormat="1" x14ac:dyDescent="0.25"/>
    <row r="119220" s="12" customFormat="1" x14ac:dyDescent="0.25"/>
    <row r="119221" s="12" customFormat="1" x14ac:dyDescent="0.25"/>
    <row r="119222" s="12" customFormat="1" x14ac:dyDescent="0.25"/>
    <row r="119223" s="12" customFormat="1" x14ac:dyDescent="0.25"/>
    <row r="119224" s="12" customFormat="1" x14ac:dyDescent="0.25"/>
    <row r="119225" s="12" customFormat="1" x14ac:dyDescent="0.25"/>
    <row r="119226" s="12" customFormat="1" x14ac:dyDescent="0.25"/>
    <row r="119227" s="12" customFormat="1" x14ac:dyDescent="0.25"/>
    <row r="119228" s="12" customFormat="1" x14ac:dyDescent="0.25"/>
    <row r="119229" s="12" customFormat="1" x14ac:dyDescent="0.25"/>
    <row r="119230" s="12" customFormat="1" x14ac:dyDescent="0.25"/>
    <row r="119231" s="12" customFormat="1" x14ac:dyDescent="0.25"/>
    <row r="119232" s="12" customFormat="1" x14ac:dyDescent="0.25"/>
    <row r="119233" s="12" customFormat="1" x14ac:dyDescent="0.25"/>
    <row r="119234" s="12" customFormat="1" x14ac:dyDescent="0.25"/>
    <row r="119235" s="12" customFormat="1" x14ac:dyDescent="0.25"/>
    <row r="119236" s="12" customFormat="1" x14ac:dyDescent="0.25"/>
    <row r="119237" s="12" customFormat="1" x14ac:dyDescent="0.25"/>
    <row r="119238" s="12" customFormat="1" x14ac:dyDescent="0.25"/>
    <row r="119239" s="12" customFormat="1" x14ac:dyDescent="0.25"/>
    <row r="119240" s="12" customFormat="1" x14ac:dyDescent="0.25"/>
    <row r="119241" s="12" customFormat="1" x14ac:dyDescent="0.25"/>
    <row r="119242" s="12" customFormat="1" x14ac:dyDescent="0.25"/>
    <row r="119243" s="12" customFormat="1" x14ac:dyDescent="0.25"/>
    <row r="119244" s="12" customFormat="1" x14ac:dyDescent="0.25"/>
    <row r="119245" s="12" customFormat="1" x14ac:dyDescent="0.25"/>
    <row r="119246" s="12" customFormat="1" x14ac:dyDescent="0.25"/>
    <row r="119247" s="12" customFormat="1" x14ac:dyDescent="0.25"/>
    <row r="119248" s="12" customFormat="1" x14ac:dyDescent="0.25"/>
    <row r="119249" s="12" customFormat="1" x14ac:dyDescent="0.25"/>
    <row r="119250" s="12" customFormat="1" x14ac:dyDescent="0.25"/>
    <row r="119251" s="12" customFormat="1" x14ac:dyDescent="0.25"/>
    <row r="119252" s="12" customFormat="1" x14ac:dyDescent="0.25"/>
    <row r="119253" s="12" customFormat="1" x14ac:dyDescent="0.25"/>
    <row r="119254" s="12" customFormat="1" x14ac:dyDescent="0.25"/>
    <row r="119255" s="12" customFormat="1" x14ac:dyDescent="0.25"/>
    <row r="119256" s="12" customFormat="1" x14ac:dyDescent="0.25"/>
    <row r="119257" s="12" customFormat="1" x14ac:dyDescent="0.25"/>
    <row r="119258" s="12" customFormat="1" x14ac:dyDescent="0.25"/>
    <row r="119259" s="12" customFormat="1" x14ac:dyDescent="0.25"/>
    <row r="119260" s="12" customFormat="1" x14ac:dyDescent="0.25"/>
    <row r="119261" s="12" customFormat="1" x14ac:dyDescent="0.25"/>
    <row r="119262" s="12" customFormat="1" x14ac:dyDescent="0.25"/>
    <row r="119263" s="12" customFormat="1" x14ac:dyDescent="0.25"/>
    <row r="119264" s="12" customFormat="1" x14ac:dyDescent="0.25"/>
    <row r="119265" s="12" customFormat="1" x14ac:dyDescent="0.25"/>
    <row r="119266" s="12" customFormat="1" x14ac:dyDescent="0.25"/>
    <row r="119267" s="12" customFormat="1" x14ac:dyDescent="0.25"/>
    <row r="119268" s="12" customFormat="1" x14ac:dyDescent="0.25"/>
    <row r="119269" s="12" customFormat="1" x14ac:dyDescent="0.25"/>
    <row r="119270" s="12" customFormat="1" x14ac:dyDescent="0.25"/>
    <row r="119271" s="12" customFormat="1" x14ac:dyDescent="0.25"/>
    <row r="119272" s="12" customFormat="1" x14ac:dyDescent="0.25"/>
    <row r="119273" s="12" customFormat="1" x14ac:dyDescent="0.25"/>
    <row r="119274" s="12" customFormat="1" x14ac:dyDescent="0.25"/>
    <row r="119275" s="12" customFormat="1" x14ac:dyDescent="0.25"/>
    <row r="119276" s="12" customFormat="1" x14ac:dyDescent="0.25"/>
    <row r="119277" s="12" customFormat="1" x14ac:dyDescent="0.25"/>
    <row r="119278" s="12" customFormat="1" x14ac:dyDescent="0.25"/>
    <row r="119279" s="12" customFormat="1" x14ac:dyDescent="0.25"/>
    <row r="119280" s="12" customFormat="1" x14ac:dyDescent="0.25"/>
    <row r="119281" s="12" customFormat="1" x14ac:dyDescent="0.25"/>
    <row r="119282" s="12" customFormat="1" x14ac:dyDescent="0.25"/>
    <row r="119283" s="12" customFormat="1" x14ac:dyDescent="0.25"/>
    <row r="119284" s="12" customFormat="1" x14ac:dyDescent="0.25"/>
    <row r="119285" s="12" customFormat="1" x14ac:dyDescent="0.25"/>
    <row r="119286" s="12" customFormat="1" x14ac:dyDescent="0.25"/>
    <row r="119287" s="12" customFormat="1" x14ac:dyDescent="0.25"/>
    <row r="119288" s="12" customFormat="1" x14ac:dyDescent="0.25"/>
    <row r="119289" s="12" customFormat="1" x14ac:dyDescent="0.25"/>
    <row r="119290" s="12" customFormat="1" x14ac:dyDescent="0.25"/>
    <row r="119291" s="12" customFormat="1" x14ac:dyDescent="0.25"/>
    <row r="119292" s="12" customFormat="1" x14ac:dyDescent="0.25"/>
    <row r="119293" s="12" customFormat="1" x14ac:dyDescent="0.25"/>
    <row r="119294" s="12" customFormat="1" x14ac:dyDescent="0.25"/>
    <row r="119295" s="12" customFormat="1" x14ac:dyDescent="0.25"/>
    <row r="119296" s="12" customFormat="1" x14ac:dyDescent="0.25"/>
    <row r="119297" s="12" customFormat="1" x14ac:dyDescent="0.25"/>
    <row r="119298" s="12" customFormat="1" x14ac:dyDescent="0.25"/>
    <row r="119299" s="12" customFormat="1" x14ac:dyDescent="0.25"/>
    <row r="119300" s="12" customFormat="1" x14ac:dyDescent="0.25"/>
    <row r="119301" s="12" customFormat="1" x14ac:dyDescent="0.25"/>
    <row r="119302" s="12" customFormat="1" x14ac:dyDescent="0.25"/>
    <row r="119303" s="12" customFormat="1" x14ac:dyDescent="0.25"/>
    <row r="119304" s="12" customFormat="1" x14ac:dyDescent="0.25"/>
    <row r="119305" s="12" customFormat="1" x14ac:dyDescent="0.25"/>
    <row r="119306" s="12" customFormat="1" x14ac:dyDescent="0.25"/>
    <row r="119307" s="12" customFormat="1" x14ac:dyDescent="0.25"/>
    <row r="119308" s="12" customFormat="1" x14ac:dyDescent="0.25"/>
    <row r="119309" s="12" customFormat="1" x14ac:dyDescent="0.25"/>
    <row r="119310" s="12" customFormat="1" x14ac:dyDescent="0.25"/>
    <row r="119311" s="12" customFormat="1" x14ac:dyDescent="0.25"/>
    <row r="119312" s="12" customFormat="1" x14ac:dyDescent="0.25"/>
    <row r="119313" s="12" customFormat="1" x14ac:dyDescent="0.25"/>
    <row r="119314" s="12" customFormat="1" x14ac:dyDescent="0.25"/>
    <row r="119315" s="12" customFormat="1" x14ac:dyDescent="0.25"/>
    <row r="119316" s="12" customFormat="1" x14ac:dyDescent="0.25"/>
    <row r="119317" s="12" customFormat="1" x14ac:dyDescent="0.25"/>
    <row r="119318" s="12" customFormat="1" x14ac:dyDescent="0.25"/>
    <row r="119319" s="12" customFormat="1" x14ac:dyDescent="0.25"/>
    <row r="119320" s="12" customFormat="1" x14ac:dyDescent="0.25"/>
    <row r="119321" s="12" customFormat="1" x14ac:dyDescent="0.25"/>
    <row r="119322" s="12" customFormat="1" x14ac:dyDescent="0.25"/>
    <row r="119323" s="12" customFormat="1" x14ac:dyDescent="0.25"/>
    <row r="119324" s="12" customFormat="1" x14ac:dyDescent="0.25"/>
    <row r="119325" s="12" customFormat="1" x14ac:dyDescent="0.25"/>
    <row r="119326" s="12" customFormat="1" x14ac:dyDescent="0.25"/>
    <row r="119327" s="12" customFormat="1" x14ac:dyDescent="0.25"/>
    <row r="119328" s="12" customFormat="1" x14ac:dyDescent="0.25"/>
    <row r="119329" s="12" customFormat="1" x14ac:dyDescent="0.25"/>
    <row r="119330" s="12" customFormat="1" x14ac:dyDescent="0.25"/>
    <row r="119331" s="12" customFormat="1" x14ac:dyDescent="0.25"/>
    <row r="119332" s="12" customFormat="1" x14ac:dyDescent="0.25"/>
    <row r="119333" s="12" customFormat="1" x14ac:dyDescent="0.25"/>
    <row r="119334" s="12" customFormat="1" x14ac:dyDescent="0.25"/>
    <row r="119335" s="12" customFormat="1" x14ac:dyDescent="0.25"/>
    <row r="119336" s="12" customFormat="1" x14ac:dyDescent="0.25"/>
    <row r="119337" s="12" customFormat="1" x14ac:dyDescent="0.25"/>
    <row r="119338" s="12" customFormat="1" x14ac:dyDescent="0.25"/>
    <row r="119339" s="12" customFormat="1" x14ac:dyDescent="0.25"/>
    <row r="119340" s="12" customFormat="1" x14ac:dyDescent="0.25"/>
    <row r="119341" s="12" customFormat="1" x14ac:dyDescent="0.25"/>
    <row r="119342" s="12" customFormat="1" x14ac:dyDescent="0.25"/>
    <row r="119343" s="12" customFormat="1" x14ac:dyDescent="0.25"/>
    <row r="119344" s="12" customFormat="1" x14ac:dyDescent="0.25"/>
    <row r="119345" s="12" customFormat="1" x14ac:dyDescent="0.25"/>
    <row r="119346" s="12" customFormat="1" x14ac:dyDescent="0.25"/>
    <row r="119347" s="12" customFormat="1" x14ac:dyDescent="0.25"/>
    <row r="119348" s="12" customFormat="1" x14ac:dyDescent="0.25"/>
    <row r="119349" s="12" customFormat="1" x14ac:dyDescent="0.25"/>
    <row r="119350" s="12" customFormat="1" x14ac:dyDescent="0.25"/>
    <row r="119351" s="12" customFormat="1" x14ac:dyDescent="0.25"/>
    <row r="119352" s="12" customFormat="1" x14ac:dyDescent="0.25"/>
    <row r="119353" s="12" customFormat="1" x14ac:dyDescent="0.25"/>
    <row r="119354" s="12" customFormat="1" x14ac:dyDescent="0.25"/>
    <row r="119355" s="12" customFormat="1" x14ac:dyDescent="0.25"/>
    <row r="119356" s="12" customFormat="1" x14ac:dyDescent="0.25"/>
    <row r="119357" s="12" customFormat="1" x14ac:dyDescent="0.25"/>
    <row r="119358" s="12" customFormat="1" x14ac:dyDescent="0.25"/>
    <row r="119359" s="12" customFormat="1" x14ac:dyDescent="0.25"/>
    <row r="119360" s="12" customFormat="1" x14ac:dyDescent="0.25"/>
    <row r="119361" s="12" customFormat="1" x14ac:dyDescent="0.25"/>
    <row r="119362" s="12" customFormat="1" x14ac:dyDescent="0.25"/>
    <row r="119363" s="12" customFormat="1" x14ac:dyDescent="0.25"/>
    <row r="119364" s="12" customFormat="1" x14ac:dyDescent="0.25"/>
    <row r="119365" s="12" customFormat="1" x14ac:dyDescent="0.25"/>
    <row r="119366" s="12" customFormat="1" x14ac:dyDescent="0.25"/>
    <row r="119367" s="12" customFormat="1" x14ac:dyDescent="0.25"/>
    <row r="119368" s="12" customFormat="1" x14ac:dyDescent="0.25"/>
    <row r="119369" s="12" customFormat="1" x14ac:dyDescent="0.25"/>
    <row r="119370" s="12" customFormat="1" x14ac:dyDescent="0.25"/>
    <row r="119371" s="12" customFormat="1" x14ac:dyDescent="0.25"/>
    <row r="119372" s="12" customFormat="1" x14ac:dyDescent="0.25"/>
    <row r="119373" s="12" customFormat="1" x14ac:dyDescent="0.25"/>
    <row r="119374" s="12" customFormat="1" x14ac:dyDescent="0.25"/>
    <row r="119375" s="12" customFormat="1" x14ac:dyDescent="0.25"/>
    <row r="119376" s="12" customFormat="1" x14ac:dyDescent="0.25"/>
    <row r="119377" s="12" customFormat="1" x14ac:dyDescent="0.25"/>
    <row r="119378" s="12" customFormat="1" x14ac:dyDescent="0.25"/>
    <row r="119379" s="12" customFormat="1" x14ac:dyDescent="0.25"/>
    <row r="119380" s="12" customFormat="1" x14ac:dyDescent="0.25"/>
    <row r="119381" s="12" customFormat="1" x14ac:dyDescent="0.25"/>
    <row r="119382" s="12" customFormat="1" x14ac:dyDescent="0.25"/>
    <row r="119383" s="12" customFormat="1" x14ac:dyDescent="0.25"/>
    <row r="119384" s="12" customFormat="1" x14ac:dyDescent="0.25"/>
    <row r="119385" s="12" customFormat="1" x14ac:dyDescent="0.25"/>
    <row r="119386" s="12" customFormat="1" x14ac:dyDescent="0.25"/>
    <row r="119387" s="12" customFormat="1" x14ac:dyDescent="0.25"/>
    <row r="119388" s="12" customFormat="1" x14ac:dyDescent="0.25"/>
    <row r="119389" s="12" customFormat="1" x14ac:dyDescent="0.25"/>
    <row r="119390" s="12" customFormat="1" x14ac:dyDescent="0.25"/>
    <row r="119391" s="12" customFormat="1" x14ac:dyDescent="0.25"/>
    <row r="119392" s="12" customFormat="1" x14ac:dyDescent="0.25"/>
    <row r="119393" s="12" customFormat="1" x14ac:dyDescent="0.25"/>
    <row r="119394" s="12" customFormat="1" x14ac:dyDescent="0.25"/>
    <row r="119395" s="12" customFormat="1" x14ac:dyDescent="0.25"/>
    <row r="119396" s="12" customFormat="1" x14ac:dyDescent="0.25"/>
    <row r="119397" s="12" customFormat="1" x14ac:dyDescent="0.25"/>
    <row r="119398" s="12" customFormat="1" x14ac:dyDescent="0.25"/>
    <row r="119399" s="12" customFormat="1" x14ac:dyDescent="0.25"/>
    <row r="119400" s="12" customFormat="1" x14ac:dyDescent="0.25"/>
    <row r="119401" s="12" customFormat="1" x14ac:dyDescent="0.25"/>
    <row r="119402" s="12" customFormat="1" x14ac:dyDescent="0.25"/>
    <row r="119403" s="12" customFormat="1" x14ac:dyDescent="0.25"/>
    <row r="119404" s="12" customFormat="1" x14ac:dyDescent="0.25"/>
    <row r="119405" s="12" customFormat="1" x14ac:dyDescent="0.25"/>
    <row r="119406" s="12" customFormat="1" x14ac:dyDescent="0.25"/>
    <row r="119407" s="12" customFormat="1" x14ac:dyDescent="0.25"/>
    <row r="119408" s="12" customFormat="1" x14ac:dyDescent="0.25"/>
    <row r="119409" s="12" customFormat="1" x14ac:dyDescent="0.25"/>
    <row r="119410" s="12" customFormat="1" x14ac:dyDescent="0.25"/>
    <row r="119411" s="12" customFormat="1" x14ac:dyDescent="0.25"/>
    <row r="119412" s="12" customFormat="1" x14ac:dyDescent="0.25"/>
    <row r="119413" s="12" customFormat="1" x14ac:dyDescent="0.25"/>
    <row r="119414" s="12" customFormat="1" x14ac:dyDescent="0.25"/>
    <row r="119415" s="12" customFormat="1" x14ac:dyDescent="0.25"/>
    <row r="119416" s="12" customFormat="1" x14ac:dyDescent="0.25"/>
    <row r="119417" s="12" customFormat="1" x14ac:dyDescent="0.25"/>
    <row r="119418" s="12" customFormat="1" x14ac:dyDescent="0.25"/>
    <row r="119419" s="12" customFormat="1" x14ac:dyDescent="0.25"/>
    <row r="119420" s="12" customFormat="1" x14ac:dyDescent="0.25"/>
    <row r="119421" s="12" customFormat="1" x14ac:dyDescent="0.25"/>
    <row r="119422" s="12" customFormat="1" x14ac:dyDescent="0.25"/>
    <row r="119423" s="12" customFormat="1" x14ac:dyDescent="0.25"/>
    <row r="119424" s="12" customFormat="1" x14ac:dyDescent="0.25"/>
    <row r="119425" s="12" customFormat="1" x14ac:dyDescent="0.25"/>
    <row r="119426" s="12" customFormat="1" x14ac:dyDescent="0.25"/>
    <row r="119427" s="12" customFormat="1" x14ac:dyDescent="0.25"/>
    <row r="119428" s="12" customFormat="1" x14ac:dyDescent="0.25"/>
    <row r="119429" s="12" customFormat="1" x14ac:dyDescent="0.25"/>
    <row r="119430" s="12" customFormat="1" x14ac:dyDescent="0.25"/>
    <row r="119431" s="12" customFormat="1" x14ac:dyDescent="0.25"/>
    <row r="119432" s="12" customFormat="1" x14ac:dyDescent="0.25"/>
    <row r="119433" s="12" customFormat="1" x14ac:dyDescent="0.25"/>
    <row r="119434" s="12" customFormat="1" x14ac:dyDescent="0.25"/>
    <row r="119435" s="12" customFormat="1" x14ac:dyDescent="0.25"/>
    <row r="119436" s="12" customFormat="1" x14ac:dyDescent="0.25"/>
    <row r="119437" s="12" customFormat="1" x14ac:dyDescent="0.25"/>
    <row r="119438" s="12" customFormat="1" x14ac:dyDescent="0.25"/>
    <row r="119439" s="12" customFormat="1" x14ac:dyDescent="0.25"/>
    <row r="119440" s="12" customFormat="1" x14ac:dyDescent="0.25"/>
    <row r="119441" s="12" customFormat="1" x14ac:dyDescent="0.25"/>
    <row r="119442" s="12" customFormat="1" x14ac:dyDescent="0.25"/>
    <row r="119443" s="12" customFormat="1" x14ac:dyDescent="0.25"/>
    <row r="119444" s="12" customFormat="1" x14ac:dyDescent="0.25"/>
    <row r="119445" s="12" customFormat="1" x14ac:dyDescent="0.25"/>
    <row r="119446" s="12" customFormat="1" x14ac:dyDescent="0.25"/>
    <row r="119447" s="12" customFormat="1" x14ac:dyDescent="0.25"/>
    <row r="119448" s="12" customFormat="1" x14ac:dyDescent="0.25"/>
    <row r="119449" s="12" customFormat="1" x14ac:dyDescent="0.25"/>
    <row r="119450" s="12" customFormat="1" x14ac:dyDescent="0.25"/>
    <row r="119451" s="12" customFormat="1" x14ac:dyDescent="0.25"/>
    <row r="119452" s="12" customFormat="1" x14ac:dyDescent="0.25"/>
    <row r="119453" s="12" customFormat="1" x14ac:dyDescent="0.25"/>
    <row r="119454" s="12" customFormat="1" x14ac:dyDescent="0.25"/>
    <row r="119455" s="12" customFormat="1" x14ac:dyDescent="0.25"/>
    <row r="119456" s="12" customFormat="1" x14ac:dyDescent="0.25"/>
    <row r="119457" s="12" customFormat="1" x14ac:dyDescent="0.25"/>
    <row r="119458" s="12" customFormat="1" x14ac:dyDescent="0.25"/>
    <row r="119459" s="12" customFormat="1" x14ac:dyDescent="0.25"/>
    <row r="119460" s="12" customFormat="1" x14ac:dyDescent="0.25"/>
    <row r="119461" s="12" customFormat="1" x14ac:dyDescent="0.25"/>
    <row r="119462" s="12" customFormat="1" x14ac:dyDescent="0.25"/>
    <row r="119463" s="12" customFormat="1" x14ac:dyDescent="0.25"/>
    <row r="119464" s="12" customFormat="1" x14ac:dyDescent="0.25"/>
    <row r="119465" s="12" customFormat="1" x14ac:dyDescent="0.25"/>
    <row r="119466" s="12" customFormat="1" x14ac:dyDescent="0.25"/>
    <row r="119467" s="12" customFormat="1" x14ac:dyDescent="0.25"/>
    <row r="119468" s="12" customFormat="1" x14ac:dyDescent="0.25"/>
    <row r="119469" s="12" customFormat="1" x14ac:dyDescent="0.25"/>
    <row r="119470" s="12" customFormat="1" x14ac:dyDescent="0.25"/>
    <row r="119471" s="12" customFormat="1" x14ac:dyDescent="0.25"/>
    <row r="119472" s="12" customFormat="1" x14ac:dyDescent="0.25"/>
    <row r="119473" s="12" customFormat="1" x14ac:dyDescent="0.25"/>
    <row r="119474" s="12" customFormat="1" x14ac:dyDescent="0.25"/>
    <row r="119475" s="12" customFormat="1" x14ac:dyDescent="0.25"/>
    <row r="119476" s="12" customFormat="1" x14ac:dyDescent="0.25"/>
    <row r="119477" s="12" customFormat="1" x14ac:dyDescent="0.25"/>
    <row r="119478" s="12" customFormat="1" x14ac:dyDescent="0.25"/>
    <row r="119479" s="12" customFormat="1" x14ac:dyDescent="0.25"/>
    <row r="119480" s="12" customFormat="1" x14ac:dyDescent="0.25"/>
    <row r="119481" s="12" customFormat="1" x14ac:dyDescent="0.25"/>
    <row r="119482" s="12" customFormat="1" x14ac:dyDescent="0.25"/>
    <row r="119483" s="12" customFormat="1" x14ac:dyDescent="0.25"/>
    <row r="119484" s="12" customFormat="1" x14ac:dyDescent="0.25"/>
    <row r="119485" s="12" customFormat="1" x14ac:dyDescent="0.25"/>
    <row r="119486" s="12" customFormat="1" x14ac:dyDescent="0.25"/>
    <row r="119487" s="12" customFormat="1" x14ac:dyDescent="0.25"/>
    <row r="119488" s="12" customFormat="1" x14ac:dyDescent="0.25"/>
    <row r="119489" s="12" customFormat="1" x14ac:dyDescent="0.25"/>
    <row r="119490" s="12" customFormat="1" x14ac:dyDescent="0.25"/>
    <row r="119491" s="12" customFormat="1" x14ac:dyDescent="0.25"/>
    <row r="119492" s="12" customFormat="1" x14ac:dyDescent="0.25"/>
    <row r="119493" s="12" customFormat="1" x14ac:dyDescent="0.25"/>
    <row r="119494" s="12" customFormat="1" x14ac:dyDescent="0.25"/>
    <row r="119495" s="12" customFormat="1" x14ac:dyDescent="0.25"/>
    <row r="119496" s="12" customFormat="1" x14ac:dyDescent="0.25"/>
    <row r="119497" s="12" customFormat="1" x14ac:dyDescent="0.25"/>
    <row r="119498" s="12" customFormat="1" x14ac:dyDescent="0.25"/>
    <row r="119499" s="12" customFormat="1" x14ac:dyDescent="0.25"/>
    <row r="119500" s="12" customFormat="1" x14ac:dyDescent="0.25"/>
    <row r="119501" s="12" customFormat="1" x14ac:dyDescent="0.25"/>
    <row r="119502" s="12" customFormat="1" x14ac:dyDescent="0.25"/>
    <row r="119503" s="12" customFormat="1" x14ac:dyDescent="0.25"/>
    <row r="119504" s="12" customFormat="1" x14ac:dyDescent="0.25"/>
    <row r="119505" s="12" customFormat="1" x14ac:dyDescent="0.25"/>
    <row r="119506" s="12" customFormat="1" x14ac:dyDescent="0.25"/>
    <row r="119507" s="12" customFormat="1" x14ac:dyDescent="0.25"/>
    <row r="119508" s="12" customFormat="1" x14ac:dyDescent="0.25"/>
    <row r="119509" s="12" customFormat="1" x14ac:dyDescent="0.25"/>
    <row r="119510" s="12" customFormat="1" x14ac:dyDescent="0.25"/>
    <row r="119511" s="12" customFormat="1" x14ac:dyDescent="0.25"/>
    <row r="119512" s="12" customFormat="1" x14ac:dyDescent="0.25"/>
    <row r="119513" s="12" customFormat="1" x14ac:dyDescent="0.25"/>
    <row r="119514" s="12" customFormat="1" x14ac:dyDescent="0.25"/>
    <row r="119515" s="12" customFormat="1" x14ac:dyDescent="0.25"/>
    <row r="119516" s="12" customFormat="1" x14ac:dyDescent="0.25"/>
    <row r="119517" s="12" customFormat="1" x14ac:dyDescent="0.25"/>
    <row r="119518" s="12" customFormat="1" x14ac:dyDescent="0.25"/>
    <row r="119519" s="12" customFormat="1" x14ac:dyDescent="0.25"/>
    <row r="119520" s="12" customFormat="1" x14ac:dyDescent="0.25"/>
    <row r="119521" s="12" customFormat="1" x14ac:dyDescent="0.25"/>
    <row r="119522" s="12" customFormat="1" x14ac:dyDescent="0.25"/>
    <row r="119523" s="12" customFormat="1" x14ac:dyDescent="0.25"/>
    <row r="119524" s="12" customFormat="1" x14ac:dyDescent="0.25"/>
    <row r="119525" s="12" customFormat="1" x14ac:dyDescent="0.25"/>
    <row r="119526" s="12" customFormat="1" x14ac:dyDescent="0.25"/>
    <row r="119527" s="12" customFormat="1" x14ac:dyDescent="0.25"/>
    <row r="119528" s="12" customFormat="1" x14ac:dyDescent="0.25"/>
    <row r="119529" s="12" customFormat="1" x14ac:dyDescent="0.25"/>
    <row r="119530" s="12" customFormat="1" x14ac:dyDescent="0.25"/>
    <row r="119531" s="12" customFormat="1" x14ac:dyDescent="0.25"/>
    <row r="119532" s="12" customFormat="1" x14ac:dyDescent="0.25"/>
    <row r="119533" s="12" customFormat="1" x14ac:dyDescent="0.25"/>
    <row r="119534" s="12" customFormat="1" x14ac:dyDescent="0.25"/>
    <row r="119535" s="12" customFormat="1" x14ac:dyDescent="0.25"/>
    <row r="119536" s="12" customFormat="1" x14ac:dyDescent="0.25"/>
    <row r="119537" s="12" customFormat="1" x14ac:dyDescent="0.25"/>
    <row r="119538" s="12" customFormat="1" x14ac:dyDescent="0.25"/>
    <row r="119539" s="12" customFormat="1" x14ac:dyDescent="0.25"/>
    <row r="119540" s="12" customFormat="1" x14ac:dyDescent="0.25"/>
    <row r="119541" s="12" customFormat="1" x14ac:dyDescent="0.25"/>
    <row r="119542" s="12" customFormat="1" x14ac:dyDescent="0.25"/>
    <row r="119543" s="12" customFormat="1" x14ac:dyDescent="0.25"/>
    <row r="119544" s="12" customFormat="1" x14ac:dyDescent="0.25"/>
    <row r="119545" s="12" customFormat="1" x14ac:dyDescent="0.25"/>
    <row r="119546" s="12" customFormat="1" x14ac:dyDescent="0.25"/>
    <row r="119547" s="12" customFormat="1" x14ac:dyDescent="0.25"/>
    <row r="119548" s="12" customFormat="1" x14ac:dyDescent="0.25"/>
    <row r="119549" s="12" customFormat="1" x14ac:dyDescent="0.25"/>
    <row r="119550" s="12" customFormat="1" x14ac:dyDescent="0.25"/>
    <row r="119551" s="12" customFormat="1" x14ac:dyDescent="0.25"/>
    <row r="119552" s="12" customFormat="1" x14ac:dyDescent="0.25"/>
    <row r="119553" s="12" customFormat="1" x14ac:dyDescent="0.25"/>
    <row r="119554" s="12" customFormat="1" x14ac:dyDescent="0.25"/>
    <row r="119555" s="12" customFormat="1" x14ac:dyDescent="0.25"/>
    <row r="119556" s="12" customFormat="1" x14ac:dyDescent="0.25"/>
    <row r="119557" s="12" customFormat="1" x14ac:dyDescent="0.25"/>
    <row r="119558" s="12" customFormat="1" x14ac:dyDescent="0.25"/>
    <row r="119559" s="12" customFormat="1" x14ac:dyDescent="0.25"/>
    <row r="119560" s="12" customFormat="1" x14ac:dyDescent="0.25"/>
    <row r="119561" s="12" customFormat="1" x14ac:dyDescent="0.25"/>
    <row r="119562" s="12" customFormat="1" x14ac:dyDescent="0.25"/>
    <row r="119563" s="12" customFormat="1" x14ac:dyDescent="0.25"/>
    <row r="119564" s="12" customFormat="1" x14ac:dyDescent="0.25"/>
    <row r="119565" s="12" customFormat="1" x14ac:dyDescent="0.25"/>
    <row r="119566" s="12" customFormat="1" x14ac:dyDescent="0.25"/>
    <row r="119567" s="12" customFormat="1" x14ac:dyDescent="0.25"/>
    <row r="119568" s="12" customFormat="1" x14ac:dyDescent="0.25"/>
    <row r="119569" s="12" customFormat="1" x14ac:dyDescent="0.25"/>
    <row r="119570" s="12" customFormat="1" x14ac:dyDescent="0.25"/>
    <row r="119571" s="12" customFormat="1" x14ac:dyDescent="0.25"/>
    <row r="119572" s="12" customFormat="1" x14ac:dyDescent="0.25"/>
    <row r="119573" s="12" customFormat="1" x14ac:dyDescent="0.25"/>
    <row r="119574" s="12" customFormat="1" x14ac:dyDescent="0.25"/>
    <row r="119575" s="12" customFormat="1" x14ac:dyDescent="0.25"/>
    <row r="119576" s="12" customFormat="1" x14ac:dyDescent="0.25"/>
    <row r="119577" s="12" customFormat="1" x14ac:dyDescent="0.25"/>
    <row r="119578" s="12" customFormat="1" x14ac:dyDescent="0.25"/>
    <row r="119579" s="12" customFormat="1" x14ac:dyDescent="0.25"/>
    <row r="119580" s="12" customFormat="1" x14ac:dyDescent="0.25"/>
    <row r="119581" s="12" customFormat="1" x14ac:dyDescent="0.25"/>
    <row r="119582" s="12" customFormat="1" x14ac:dyDescent="0.25"/>
    <row r="119583" s="12" customFormat="1" x14ac:dyDescent="0.25"/>
    <row r="119584" s="12" customFormat="1" x14ac:dyDescent="0.25"/>
    <row r="119585" s="12" customFormat="1" x14ac:dyDescent="0.25"/>
    <row r="119586" s="12" customFormat="1" x14ac:dyDescent="0.25"/>
    <row r="119587" s="12" customFormat="1" x14ac:dyDescent="0.25"/>
    <row r="119588" s="12" customFormat="1" x14ac:dyDescent="0.25"/>
    <row r="119589" s="12" customFormat="1" x14ac:dyDescent="0.25"/>
    <row r="119590" s="12" customFormat="1" x14ac:dyDescent="0.25"/>
    <row r="119591" s="12" customFormat="1" x14ac:dyDescent="0.25"/>
    <row r="119592" s="12" customFormat="1" x14ac:dyDescent="0.25"/>
    <row r="119593" s="12" customFormat="1" x14ac:dyDescent="0.25"/>
    <row r="119594" s="12" customFormat="1" x14ac:dyDescent="0.25"/>
    <row r="119595" s="12" customFormat="1" x14ac:dyDescent="0.25"/>
    <row r="119596" s="12" customFormat="1" x14ac:dyDescent="0.25"/>
    <row r="119597" s="12" customFormat="1" x14ac:dyDescent="0.25"/>
    <row r="119598" s="12" customFormat="1" x14ac:dyDescent="0.25"/>
    <row r="119599" s="12" customFormat="1" x14ac:dyDescent="0.25"/>
    <row r="119600" s="12" customFormat="1" x14ac:dyDescent="0.25"/>
    <row r="119601" s="12" customFormat="1" x14ac:dyDescent="0.25"/>
    <row r="119602" s="12" customFormat="1" x14ac:dyDescent="0.25"/>
    <row r="119603" s="12" customFormat="1" x14ac:dyDescent="0.25"/>
    <row r="119604" s="12" customFormat="1" x14ac:dyDescent="0.25"/>
    <row r="119605" s="12" customFormat="1" x14ac:dyDescent="0.25"/>
    <row r="119606" s="12" customFormat="1" x14ac:dyDescent="0.25"/>
    <row r="119607" s="12" customFormat="1" x14ac:dyDescent="0.25"/>
    <row r="119608" s="12" customFormat="1" x14ac:dyDescent="0.25"/>
    <row r="119609" s="12" customFormat="1" x14ac:dyDescent="0.25"/>
    <row r="119610" s="12" customFormat="1" x14ac:dyDescent="0.25"/>
    <row r="119611" s="12" customFormat="1" x14ac:dyDescent="0.25"/>
    <row r="119612" s="12" customFormat="1" x14ac:dyDescent="0.25"/>
    <row r="119613" s="12" customFormat="1" x14ac:dyDescent="0.25"/>
    <row r="119614" s="12" customFormat="1" x14ac:dyDescent="0.25"/>
    <row r="119615" s="12" customFormat="1" x14ac:dyDescent="0.25"/>
    <row r="119616" s="12" customFormat="1" x14ac:dyDescent="0.25"/>
    <row r="119617" s="12" customFormat="1" x14ac:dyDescent="0.25"/>
    <row r="119618" s="12" customFormat="1" x14ac:dyDescent="0.25"/>
    <row r="119619" s="12" customFormat="1" x14ac:dyDescent="0.25"/>
    <row r="119620" s="12" customFormat="1" x14ac:dyDescent="0.25"/>
    <row r="119621" s="12" customFormat="1" x14ac:dyDescent="0.25"/>
    <row r="119622" s="12" customFormat="1" x14ac:dyDescent="0.25"/>
    <row r="119623" s="12" customFormat="1" x14ac:dyDescent="0.25"/>
    <row r="119624" s="12" customFormat="1" x14ac:dyDescent="0.25"/>
    <row r="119625" s="12" customFormat="1" x14ac:dyDescent="0.25"/>
    <row r="119626" s="12" customFormat="1" x14ac:dyDescent="0.25"/>
    <row r="119627" s="12" customFormat="1" x14ac:dyDescent="0.25"/>
    <row r="119628" s="12" customFormat="1" x14ac:dyDescent="0.25"/>
    <row r="119629" s="12" customFormat="1" x14ac:dyDescent="0.25"/>
    <row r="119630" s="12" customFormat="1" x14ac:dyDescent="0.25"/>
    <row r="119631" s="12" customFormat="1" x14ac:dyDescent="0.25"/>
    <row r="119632" s="12" customFormat="1" x14ac:dyDescent="0.25"/>
    <row r="119633" s="12" customFormat="1" x14ac:dyDescent="0.25"/>
    <row r="119634" s="12" customFormat="1" x14ac:dyDescent="0.25"/>
    <row r="119635" s="12" customFormat="1" x14ac:dyDescent="0.25"/>
    <row r="119636" s="12" customFormat="1" x14ac:dyDescent="0.25"/>
    <row r="119637" s="12" customFormat="1" x14ac:dyDescent="0.25"/>
    <row r="119638" s="12" customFormat="1" x14ac:dyDescent="0.25"/>
    <row r="119639" s="12" customFormat="1" x14ac:dyDescent="0.25"/>
    <row r="119640" s="12" customFormat="1" x14ac:dyDescent="0.25"/>
    <row r="119641" s="12" customFormat="1" x14ac:dyDescent="0.25"/>
    <row r="119642" s="12" customFormat="1" x14ac:dyDescent="0.25"/>
    <row r="119643" s="12" customFormat="1" x14ac:dyDescent="0.25"/>
    <row r="119644" s="12" customFormat="1" x14ac:dyDescent="0.25"/>
    <row r="119645" s="12" customFormat="1" x14ac:dyDescent="0.25"/>
    <row r="119646" s="12" customFormat="1" x14ac:dyDescent="0.25"/>
    <row r="119647" s="12" customFormat="1" x14ac:dyDescent="0.25"/>
    <row r="119648" s="12" customFormat="1" x14ac:dyDescent="0.25"/>
    <row r="119649" s="12" customFormat="1" x14ac:dyDescent="0.25"/>
    <row r="119650" s="12" customFormat="1" x14ac:dyDescent="0.25"/>
    <row r="119651" s="12" customFormat="1" x14ac:dyDescent="0.25"/>
    <row r="119652" s="12" customFormat="1" x14ac:dyDescent="0.25"/>
    <row r="119653" s="12" customFormat="1" x14ac:dyDescent="0.25"/>
    <row r="119654" s="12" customFormat="1" x14ac:dyDescent="0.25"/>
    <row r="119655" s="12" customFormat="1" x14ac:dyDescent="0.25"/>
    <row r="119656" s="12" customFormat="1" x14ac:dyDescent="0.25"/>
    <row r="119657" s="12" customFormat="1" x14ac:dyDescent="0.25"/>
    <row r="119658" s="12" customFormat="1" x14ac:dyDescent="0.25"/>
    <row r="119659" s="12" customFormat="1" x14ac:dyDescent="0.25"/>
    <row r="119660" s="12" customFormat="1" x14ac:dyDescent="0.25"/>
    <row r="119661" s="12" customFormat="1" x14ac:dyDescent="0.25"/>
    <row r="119662" s="12" customFormat="1" x14ac:dyDescent="0.25"/>
    <row r="119663" s="12" customFormat="1" x14ac:dyDescent="0.25"/>
    <row r="119664" s="12" customFormat="1" x14ac:dyDescent="0.25"/>
    <row r="119665" s="12" customFormat="1" x14ac:dyDescent="0.25"/>
    <row r="119666" s="12" customFormat="1" x14ac:dyDescent="0.25"/>
    <row r="119667" s="12" customFormat="1" x14ac:dyDescent="0.25"/>
    <row r="119668" s="12" customFormat="1" x14ac:dyDescent="0.25"/>
    <row r="119669" s="12" customFormat="1" x14ac:dyDescent="0.25"/>
    <row r="119670" s="12" customFormat="1" x14ac:dyDescent="0.25"/>
    <row r="119671" s="12" customFormat="1" x14ac:dyDescent="0.25"/>
    <row r="119672" s="12" customFormat="1" x14ac:dyDescent="0.25"/>
    <row r="119673" s="12" customFormat="1" x14ac:dyDescent="0.25"/>
    <row r="119674" s="12" customFormat="1" x14ac:dyDescent="0.25"/>
    <row r="119675" s="12" customFormat="1" x14ac:dyDescent="0.25"/>
    <row r="119676" s="12" customFormat="1" x14ac:dyDescent="0.25"/>
    <row r="119677" s="12" customFormat="1" x14ac:dyDescent="0.25"/>
    <row r="119678" s="12" customFormat="1" x14ac:dyDescent="0.25"/>
    <row r="119679" s="12" customFormat="1" x14ac:dyDescent="0.25"/>
    <row r="119680" s="12" customFormat="1" x14ac:dyDescent="0.25"/>
    <row r="119681" s="12" customFormat="1" x14ac:dyDescent="0.25"/>
    <row r="119682" s="12" customFormat="1" x14ac:dyDescent="0.25"/>
    <row r="119683" s="12" customFormat="1" x14ac:dyDescent="0.25"/>
    <row r="119684" s="12" customFormat="1" x14ac:dyDescent="0.25"/>
    <row r="119685" s="12" customFormat="1" x14ac:dyDescent="0.25"/>
    <row r="119686" s="12" customFormat="1" x14ac:dyDescent="0.25"/>
    <row r="119687" s="12" customFormat="1" x14ac:dyDescent="0.25"/>
    <row r="119688" s="12" customFormat="1" x14ac:dyDescent="0.25"/>
    <row r="119689" s="12" customFormat="1" x14ac:dyDescent="0.25"/>
    <row r="119690" s="12" customFormat="1" x14ac:dyDescent="0.25"/>
    <row r="119691" s="12" customFormat="1" x14ac:dyDescent="0.25"/>
    <row r="119692" s="12" customFormat="1" x14ac:dyDescent="0.25"/>
    <row r="119693" s="12" customFormat="1" x14ac:dyDescent="0.25"/>
    <row r="119694" s="12" customFormat="1" x14ac:dyDescent="0.25"/>
    <row r="119695" s="12" customFormat="1" x14ac:dyDescent="0.25"/>
    <row r="119696" s="12" customFormat="1" x14ac:dyDescent="0.25"/>
    <row r="119697" s="12" customFormat="1" x14ac:dyDescent="0.25"/>
    <row r="119698" s="12" customFormat="1" x14ac:dyDescent="0.25"/>
    <row r="119699" s="12" customFormat="1" x14ac:dyDescent="0.25"/>
    <row r="119700" s="12" customFormat="1" x14ac:dyDescent="0.25"/>
    <row r="119701" s="12" customFormat="1" x14ac:dyDescent="0.25"/>
    <row r="119702" s="12" customFormat="1" x14ac:dyDescent="0.25"/>
    <row r="119703" s="12" customFormat="1" x14ac:dyDescent="0.25"/>
    <row r="119704" s="12" customFormat="1" x14ac:dyDescent="0.25"/>
    <row r="119705" s="12" customFormat="1" x14ac:dyDescent="0.25"/>
    <row r="119706" s="12" customFormat="1" x14ac:dyDescent="0.25"/>
    <row r="119707" s="12" customFormat="1" x14ac:dyDescent="0.25"/>
    <row r="119708" s="12" customFormat="1" x14ac:dyDescent="0.25"/>
    <row r="119709" s="12" customFormat="1" x14ac:dyDescent="0.25"/>
    <row r="119710" s="12" customFormat="1" x14ac:dyDescent="0.25"/>
    <row r="119711" s="12" customFormat="1" x14ac:dyDescent="0.25"/>
    <row r="119712" s="12" customFormat="1" x14ac:dyDescent="0.25"/>
    <row r="119713" s="12" customFormat="1" x14ac:dyDescent="0.25"/>
    <row r="119714" s="12" customFormat="1" x14ac:dyDescent="0.25"/>
    <row r="119715" s="12" customFormat="1" x14ac:dyDescent="0.25"/>
    <row r="119716" s="12" customFormat="1" x14ac:dyDescent="0.25"/>
    <row r="119717" s="12" customFormat="1" x14ac:dyDescent="0.25"/>
    <row r="119718" s="12" customFormat="1" x14ac:dyDescent="0.25"/>
    <row r="119719" s="12" customFormat="1" x14ac:dyDescent="0.25"/>
    <row r="119720" s="12" customFormat="1" x14ac:dyDescent="0.25"/>
    <row r="119721" s="12" customFormat="1" x14ac:dyDescent="0.25"/>
    <row r="119722" s="12" customFormat="1" x14ac:dyDescent="0.25"/>
    <row r="119723" s="12" customFormat="1" x14ac:dyDescent="0.25"/>
    <row r="119724" s="12" customFormat="1" x14ac:dyDescent="0.25"/>
    <row r="119725" s="12" customFormat="1" x14ac:dyDescent="0.25"/>
    <row r="119726" s="12" customFormat="1" x14ac:dyDescent="0.25"/>
    <row r="119727" s="12" customFormat="1" x14ac:dyDescent="0.25"/>
    <row r="119728" s="12" customFormat="1" x14ac:dyDescent="0.25"/>
    <row r="119729" s="12" customFormat="1" x14ac:dyDescent="0.25"/>
    <row r="119730" s="12" customFormat="1" x14ac:dyDescent="0.25"/>
    <row r="119731" s="12" customFormat="1" x14ac:dyDescent="0.25"/>
    <row r="119732" s="12" customFormat="1" x14ac:dyDescent="0.25"/>
    <row r="119733" s="12" customFormat="1" x14ac:dyDescent="0.25"/>
    <row r="119734" s="12" customFormat="1" x14ac:dyDescent="0.25"/>
    <row r="119735" s="12" customFormat="1" x14ac:dyDescent="0.25"/>
    <row r="119736" s="12" customFormat="1" x14ac:dyDescent="0.25"/>
    <row r="119737" s="12" customFormat="1" x14ac:dyDescent="0.25"/>
    <row r="119738" s="12" customFormat="1" x14ac:dyDescent="0.25"/>
    <row r="119739" s="12" customFormat="1" x14ac:dyDescent="0.25"/>
    <row r="119740" s="12" customFormat="1" x14ac:dyDescent="0.25"/>
    <row r="119741" s="12" customFormat="1" x14ac:dyDescent="0.25"/>
    <row r="119742" s="12" customFormat="1" x14ac:dyDescent="0.25"/>
    <row r="119743" s="12" customFormat="1" x14ac:dyDescent="0.25"/>
    <row r="119744" s="12" customFormat="1" x14ac:dyDescent="0.25"/>
    <row r="119745" s="12" customFormat="1" x14ac:dyDescent="0.25"/>
    <row r="119746" s="12" customFormat="1" x14ac:dyDescent="0.25"/>
    <row r="119747" s="12" customFormat="1" x14ac:dyDescent="0.25"/>
    <row r="119748" s="12" customFormat="1" x14ac:dyDescent="0.25"/>
    <row r="119749" s="12" customFormat="1" x14ac:dyDescent="0.25"/>
    <row r="119750" s="12" customFormat="1" x14ac:dyDescent="0.25"/>
    <row r="119751" s="12" customFormat="1" x14ac:dyDescent="0.25"/>
    <row r="119752" s="12" customFormat="1" x14ac:dyDescent="0.25"/>
    <row r="119753" s="12" customFormat="1" x14ac:dyDescent="0.25"/>
    <row r="119754" s="12" customFormat="1" x14ac:dyDescent="0.25"/>
    <row r="119755" s="12" customFormat="1" x14ac:dyDescent="0.25"/>
    <row r="119756" s="12" customFormat="1" x14ac:dyDescent="0.25"/>
    <row r="119757" s="12" customFormat="1" x14ac:dyDescent="0.25"/>
    <row r="119758" s="12" customFormat="1" x14ac:dyDescent="0.25"/>
    <row r="119759" s="12" customFormat="1" x14ac:dyDescent="0.25"/>
    <row r="119760" s="12" customFormat="1" x14ac:dyDescent="0.25"/>
    <row r="119761" s="12" customFormat="1" x14ac:dyDescent="0.25"/>
    <row r="119762" s="12" customFormat="1" x14ac:dyDescent="0.25"/>
    <row r="119763" s="12" customFormat="1" x14ac:dyDescent="0.25"/>
    <row r="119764" s="12" customFormat="1" x14ac:dyDescent="0.25"/>
    <row r="119765" s="12" customFormat="1" x14ac:dyDescent="0.25"/>
    <row r="119766" s="12" customFormat="1" x14ac:dyDescent="0.25"/>
    <row r="119767" s="12" customFormat="1" x14ac:dyDescent="0.25"/>
    <row r="119768" s="12" customFormat="1" x14ac:dyDescent="0.25"/>
    <row r="119769" s="12" customFormat="1" x14ac:dyDescent="0.25"/>
    <row r="119770" s="12" customFormat="1" x14ac:dyDescent="0.25"/>
    <row r="119771" s="12" customFormat="1" x14ac:dyDescent="0.25"/>
    <row r="119772" s="12" customFormat="1" x14ac:dyDescent="0.25"/>
    <row r="119773" s="12" customFormat="1" x14ac:dyDescent="0.25"/>
    <row r="119774" s="12" customFormat="1" x14ac:dyDescent="0.25"/>
    <row r="119775" s="12" customFormat="1" x14ac:dyDescent="0.25"/>
    <row r="119776" s="12" customFormat="1" x14ac:dyDescent="0.25"/>
    <row r="119777" s="12" customFormat="1" x14ac:dyDescent="0.25"/>
    <row r="119778" s="12" customFormat="1" x14ac:dyDescent="0.25"/>
    <row r="119779" s="12" customFormat="1" x14ac:dyDescent="0.25"/>
    <row r="119780" s="12" customFormat="1" x14ac:dyDescent="0.25"/>
    <row r="119781" s="12" customFormat="1" x14ac:dyDescent="0.25"/>
    <row r="119782" s="12" customFormat="1" x14ac:dyDescent="0.25"/>
    <row r="119783" s="12" customFormat="1" x14ac:dyDescent="0.25"/>
    <row r="119784" s="12" customFormat="1" x14ac:dyDescent="0.25"/>
    <row r="119785" s="12" customFormat="1" x14ac:dyDescent="0.25"/>
    <row r="119786" s="12" customFormat="1" x14ac:dyDescent="0.25"/>
    <row r="119787" s="12" customFormat="1" x14ac:dyDescent="0.25"/>
    <row r="119788" s="12" customFormat="1" x14ac:dyDescent="0.25"/>
    <row r="119789" s="12" customFormat="1" x14ac:dyDescent="0.25"/>
    <row r="119790" s="12" customFormat="1" x14ac:dyDescent="0.25"/>
    <row r="119791" s="12" customFormat="1" x14ac:dyDescent="0.25"/>
    <row r="119792" s="12" customFormat="1" x14ac:dyDescent="0.25"/>
    <row r="119793" s="12" customFormat="1" x14ac:dyDescent="0.25"/>
    <row r="119794" s="12" customFormat="1" x14ac:dyDescent="0.25"/>
    <row r="119795" s="12" customFormat="1" x14ac:dyDescent="0.25"/>
    <row r="119796" s="12" customFormat="1" x14ac:dyDescent="0.25"/>
    <row r="119797" s="12" customFormat="1" x14ac:dyDescent="0.25"/>
    <row r="119798" s="12" customFormat="1" x14ac:dyDescent="0.25"/>
    <row r="119799" s="12" customFormat="1" x14ac:dyDescent="0.25"/>
    <row r="119800" s="12" customFormat="1" x14ac:dyDescent="0.25"/>
    <row r="119801" s="12" customFormat="1" x14ac:dyDescent="0.25"/>
    <row r="119802" s="12" customFormat="1" x14ac:dyDescent="0.25"/>
    <row r="119803" s="12" customFormat="1" x14ac:dyDescent="0.25"/>
    <row r="119804" s="12" customFormat="1" x14ac:dyDescent="0.25"/>
    <row r="119805" s="12" customFormat="1" x14ac:dyDescent="0.25"/>
    <row r="119806" s="12" customFormat="1" x14ac:dyDescent="0.25"/>
    <row r="119807" s="12" customFormat="1" x14ac:dyDescent="0.25"/>
    <row r="119808" s="12" customFormat="1" x14ac:dyDescent="0.25"/>
    <row r="119809" s="12" customFormat="1" x14ac:dyDescent="0.25"/>
    <row r="119810" s="12" customFormat="1" x14ac:dyDescent="0.25"/>
    <row r="119811" s="12" customFormat="1" x14ac:dyDescent="0.25"/>
    <row r="119812" s="12" customFormat="1" x14ac:dyDescent="0.25"/>
    <row r="119813" s="12" customFormat="1" x14ac:dyDescent="0.25"/>
    <row r="119814" s="12" customFormat="1" x14ac:dyDescent="0.25"/>
    <row r="119815" s="12" customFormat="1" x14ac:dyDescent="0.25"/>
    <row r="119816" s="12" customFormat="1" x14ac:dyDescent="0.25"/>
    <row r="119817" s="12" customFormat="1" x14ac:dyDescent="0.25"/>
    <row r="119818" s="12" customFormat="1" x14ac:dyDescent="0.25"/>
    <row r="119819" s="12" customFormat="1" x14ac:dyDescent="0.25"/>
    <row r="119820" s="12" customFormat="1" x14ac:dyDescent="0.25"/>
    <row r="119821" s="12" customFormat="1" x14ac:dyDescent="0.25"/>
    <row r="119822" s="12" customFormat="1" x14ac:dyDescent="0.25"/>
    <row r="119823" s="12" customFormat="1" x14ac:dyDescent="0.25"/>
    <row r="119824" s="12" customFormat="1" x14ac:dyDescent="0.25"/>
    <row r="119825" s="12" customFormat="1" x14ac:dyDescent="0.25"/>
    <row r="119826" s="12" customFormat="1" x14ac:dyDescent="0.25"/>
    <row r="119827" s="12" customFormat="1" x14ac:dyDescent="0.25"/>
    <row r="119828" s="12" customFormat="1" x14ac:dyDescent="0.25"/>
    <row r="119829" s="12" customFormat="1" x14ac:dyDescent="0.25"/>
    <row r="119830" s="12" customFormat="1" x14ac:dyDescent="0.25"/>
    <row r="119831" s="12" customFormat="1" x14ac:dyDescent="0.25"/>
    <row r="119832" s="12" customFormat="1" x14ac:dyDescent="0.25"/>
    <row r="119833" s="12" customFormat="1" x14ac:dyDescent="0.25"/>
    <row r="119834" s="12" customFormat="1" x14ac:dyDescent="0.25"/>
    <row r="119835" s="12" customFormat="1" x14ac:dyDescent="0.25"/>
    <row r="119836" s="12" customFormat="1" x14ac:dyDescent="0.25"/>
    <row r="119837" s="12" customFormat="1" x14ac:dyDescent="0.25"/>
    <row r="119838" s="12" customFormat="1" x14ac:dyDescent="0.25"/>
    <row r="119839" s="12" customFormat="1" x14ac:dyDescent="0.25"/>
    <row r="119840" s="12" customFormat="1" x14ac:dyDescent="0.25"/>
    <row r="119841" s="12" customFormat="1" x14ac:dyDescent="0.25"/>
    <row r="119842" s="12" customFormat="1" x14ac:dyDescent="0.25"/>
    <row r="119843" s="12" customFormat="1" x14ac:dyDescent="0.25"/>
    <row r="119844" s="12" customFormat="1" x14ac:dyDescent="0.25"/>
    <row r="119845" s="12" customFormat="1" x14ac:dyDescent="0.25"/>
    <row r="119846" s="12" customFormat="1" x14ac:dyDescent="0.25"/>
    <row r="119847" s="12" customFormat="1" x14ac:dyDescent="0.25"/>
    <row r="119848" s="12" customFormat="1" x14ac:dyDescent="0.25"/>
    <row r="119849" s="12" customFormat="1" x14ac:dyDescent="0.25"/>
    <row r="119850" s="12" customFormat="1" x14ac:dyDescent="0.25"/>
    <row r="119851" s="12" customFormat="1" x14ac:dyDescent="0.25"/>
    <row r="119852" s="12" customFormat="1" x14ac:dyDescent="0.25"/>
    <row r="119853" s="12" customFormat="1" x14ac:dyDescent="0.25"/>
    <row r="119854" s="12" customFormat="1" x14ac:dyDescent="0.25"/>
    <row r="119855" s="12" customFormat="1" x14ac:dyDescent="0.25"/>
    <row r="119856" s="12" customFormat="1" x14ac:dyDescent="0.25"/>
    <row r="119857" s="12" customFormat="1" x14ac:dyDescent="0.25"/>
    <row r="119858" s="12" customFormat="1" x14ac:dyDescent="0.25"/>
    <row r="119859" s="12" customFormat="1" x14ac:dyDescent="0.25"/>
    <row r="119860" s="12" customFormat="1" x14ac:dyDescent="0.25"/>
    <row r="119861" s="12" customFormat="1" x14ac:dyDescent="0.25"/>
    <row r="119862" s="12" customFormat="1" x14ac:dyDescent="0.25"/>
    <row r="119863" s="12" customFormat="1" x14ac:dyDescent="0.25"/>
    <row r="119864" s="12" customFormat="1" x14ac:dyDescent="0.25"/>
    <row r="119865" s="12" customFormat="1" x14ac:dyDescent="0.25"/>
    <row r="119866" s="12" customFormat="1" x14ac:dyDescent="0.25"/>
    <row r="119867" s="12" customFormat="1" x14ac:dyDescent="0.25"/>
    <row r="119868" s="12" customFormat="1" x14ac:dyDescent="0.25"/>
    <row r="119869" s="12" customFormat="1" x14ac:dyDescent="0.25"/>
    <row r="119870" s="12" customFormat="1" x14ac:dyDescent="0.25"/>
    <row r="119871" s="12" customFormat="1" x14ac:dyDescent="0.25"/>
    <row r="119872" s="12" customFormat="1" x14ac:dyDescent="0.25"/>
    <row r="119873" s="12" customFormat="1" x14ac:dyDescent="0.25"/>
    <row r="119874" s="12" customFormat="1" x14ac:dyDescent="0.25"/>
    <row r="119875" s="12" customFormat="1" x14ac:dyDescent="0.25"/>
    <row r="119876" s="12" customFormat="1" x14ac:dyDescent="0.25"/>
    <row r="119877" s="12" customFormat="1" x14ac:dyDescent="0.25"/>
    <row r="119878" s="12" customFormat="1" x14ac:dyDescent="0.25"/>
    <row r="119879" s="12" customFormat="1" x14ac:dyDescent="0.25"/>
    <row r="119880" s="12" customFormat="1" x14ac:dyDescent="0.25"/>
    <row r="119881" s="12" customFormat="1" x14ac:dyDescent="0.25"/>
    <row r="119882" s="12" customFormat="1" x14ac:dyDescent="0.25"/>
    <row r="119883" s="12" customFormat="1" x14ac:dyDescent="0.25"/>
    <row r="119884" s="12" customFormat="1" x14ac:dyDescent="0.25"/>
    <row r="119885" s="12" customFormat="1" x14ac:dyDescent="0.25"/>
    <row r="119886" s="12" customFormat="1" x14ac:dyDescent="0.25"/>
    <row r="119887" s="12" customFormat="1" x14ac:dyDescent="0.25"/>
    <row r="119888" s="12" customFormat="1" x14ac:dyDescent="0.25"/>
    <row r="119889" s="12" customFormat="1" x14ac:dyDescent="0.25"/>
    <row r="119890" s="12" customFormat="1" x14ac:dyDescent="0.25"/>
    <row r="119891" s="12" customFormat="1" x14ac:dyDescent="0.25"/>
    <row r="119892" s="12" customFormat="1" x14ac:dyDescent="0.25"/>
    <row r="119893" s="12" customFormat="1" x14ac:dyDescent="0.25"/>
    <row r="119894" s="12" customFormat="1" x14ac:dyDescent="0.25"/>
    <row r="119895" s="12" customFormat="1" x14ac:dyDescent="0.25"/>
    <row r="119896" s="12" customFormat="1" x14ac:dyDescent="0.25"/>
    <row r="119897" s="12" customFormat="1" x14ac:dyDescent="0.25"/>
    <row r="119898" s="12" customFormat="1" x14ac:dyDescent="0.25"/>
    <row r="119899" s="12" customFormat="1" x14ac:dyDescent="0.25"/>
    <row r="119900" s="12" customFormat="1" x14ac:dyDescent="0.25"/>
    <row r="119901" s="12" customFormat="1" x14ac:dyDescent="0.25"/>
    <row r="119902" s="12" customFormat="1" x14ac:dyDescent="0.25"/>
    <row r="119903" s="12" customFormat="1" x14ac:dyDescent="0.25"/>
    <row r="119904" s="12" customFormat="1" x14ac:dyDescent="0.25"/>
    <row r="119905" s="12" customFormat="1" x14ac:dyDescent="0.25"/>
    <row r="119906" s="12" customFormat="1" x14ac:dyDescent="0.25"/>
    <row r="119907" s="12" customFormat="1" x14ac:dyDescent="0.25"/>
    <row r="119908" s="12" customFormat="1" x14ac:dyDescent="0.25"/>
    <row r="119909" s="12" customFormat="1" x14ac:dyDescent="0.25"/>
    <row r="119910" s="12" customFormat="1" x14ac:dyDescent="0.25"/>
    <row r="119911" s="12" customFormat="1" x14ac:dyDescent="0.25"/>
    <row r="119912" s="12" customFormat="1" x14ac:dyDescent="0.25"/>
    <row r="119913" s="12" customFormat="1" x14ac:dyDescent="0.25"/>
    <row r="119914" s="12" customFormat="1" x14ac:dyDescent="0.25"/>
    <row r="119915" s="12" customFormat="1" x14ac:dyDescent="0.25"/>
    <row r="119916" s="12" customFormat="1" x14ac:dyDescent="0.25"/>
    <row r="119917" s="12" customFormat="1" x14ac:dyDescent="0.25"/>
    <row r="119918" s="12" customFormat="1" x14ac:dyDescent="0.25"/>
    <row r="119919" s="12" customFormat="1" x14ac:dyDescent="0.25"/>
    <row r="119920" s="12" customFormat="1" x14ac:dyDescent="0.25"/>
    <row r="119921" s="12" customFormat="1" x14ac:dyDescent="0.25"/>
    <row r="119922" s="12" customFormat="1" x14ac:dyDescent="0.25"/>
    <row r="119923" s="12" customFormat="1" x14ac:dyDescent="0.25"/>
    <row r="119924" s="12" customFormat="1" x14ac:dyDescent="0.25"/>
    <row r="119925" s="12" customFormat="1" x14ac:dyDescent="0.25"/>
    <row r="119926" s="12" customFormat="1" x14ac:dyDescent="0.25"/>
    <row r="119927" s="12" customFormat="1" x14ac:dyDescent="0.25"/>
    <row r="119928" s="12" customFormat="1" x14ac:dyDescent="0.25"/>
    <row r="119929" s="12" customFormat="1" x14ac:dyDescent="0.25"/>
    <row r="119930" s="12" customFormat="1" x14ac:dyDescent="0.25"/>
    <row r="119931" s="12" customFormat="1" x14ac:dyDescent="0.25"/>
    <row r="119932" s="12" customFormat="1" x14ac:dyDescent="0.25"/>
    <row r="119933" s="12" customFormat="1" x14ac:dyDescent="0.25"/>
    <row r="119934" s="12" customFormat="1" x14ac:dyDescent="0.25"/>
    <row r="119935" s="12" customFormat="1" x14ac:dyDescent="0.25"/>
    <row r="119936" s="12" customFormat="1" x14ac:dyDescent="0.25"/>
    <row r="119937" s="12" customFormat="1" x14ac:dyDescent="0.25"/>
    <row r="119938" s="12" customFormat="1" x14ac:dyDescent="0.25"/>
    <row r="119939" s="12" customFormat="1" x14ac:dyDescent="0.25"/>
    <row r="119940" s="12" customFormat="1" x14ac:dyDescent="0.25"/>
    <row r="119941" s="12" customFormat="1" x14ac:dyDescent="0.25"/>
    <row r="119942" s="12" customFormat="1" x14ac:dyDescent="0.25"/>
    <row r="119943" s="12" customFormat="1" x14ac:dyDescent="0.25"/>
    <row r="119944" s="12" customFormat="1" x14ac:dyDescent="0.25"/>
    <row r="119945" s="12" customFormat="1" x14ac:dyDescent="0.25"/>
    <row r="119946" s="12" customFormat="1" x14ac:dyDescent="0.25"/>
    <row r="119947" s="12" customFormat="1" x14ac:dyDescent="0.25"/>
    <row r="119948" s="12" customFormat="1" x14ac:dyDescent="0.25"/>
    <row r="119949" s="12" customFormat="1" x14ac:dyDescent="0.25"/>
    <row r="119950" s="12" customFormat="1" x14ac:dyDescent="0.25"/>
    <row r="119951" s="12" customFormat="1" x14ac:dyDescent="0.25"/>
    <row r="119952" s="12" customFormat="1" x14ac:dyDescent="0.25"/>
    <row r="119953" s="12" customFormat="1" x14ac:dyDescent="0.25"/>
    <row r="119954" s="12" customFormat="1" x14ac:dyDescent="0.25"/>
    <row r="119955" s="12" customFormat="1" x14ac:dyDescent="0.25"/>
    <row r="119956" s="12" customFormat="1" x14ac:dyDescent="0.25"/>
    <row r="119957" s="12" customFormat="1" x14ac:dyDescent="0.25"/>
    <row r="119958" s="12" customFormat="1" x14ac:dyDescent="0.25"/>
    <row r="119959" s="12" customFormat="1" x14ac:dyDescent="0.25"/>
    <row r="119960" s="12" customFormat="1" x14ac:dyDescent="0.25"/>
    <row r="119961" s="12" customFormat="1" x14ac:dyDescent="0.25"/>
    <row r="119962" s="12" customFormat="1" x14ac:dyDescent="0.25"/>
    <row r="119963" s="12" customFormat="1" x14ac:dyDescent="0.25"/>
    <row r="119964" s="12" customFormat="1" x14ac:dyDescent="0.25"/>
    <row r="119965" s="12" customFormat="1" x14ac:dyDescent="0.25"/>
    <row r="119966" s="12" customFormat="1" x14ac:dyDescent="0.25"/>
    <row r="119967" s="12" customFormat="1" x14ac:dyDescent="0.25"/>
    <row r="119968" s="12" customFormat="1" x14ac:dyDescent="0.25"/>
    <row r="119969" s="12" customFormat="1" x14ac:dyDescent="0.25"/>
    <row r="119970" s="12" customFormat="1" x14ac:dyDescent="0.25"/>
    <row r="119971" s="12" customFormat="1" x14ac:dyDescent="0.25"/>
    <row r="119972" s="12" customFormat="1" x14ac:dyDescent="0.25"/>
    <row r="119973" s="12" customFormat="1" x14ac:dyDescent="0.25"/>
    <row r="119974" s="12" customFormat="1" x14ac:dyDescent="0.25"/>
    <row r="119975" s="12" customFormat="1" x14ac:dyDescent="0.25"/>
    <row r="119976" s="12" customFormat="1" x14ac:dyDescent="0.25"/>
    <row r="119977" s="12" customFormat="1" x14ac:dyDescent="0.25"/>
    <row r="119978" s="12" customFormat="1" x14ac:dyDescent="0.25"/>
    <row r="119979" s="12" customFormat="1" x14ac:dyDescent="0.25"/>
    <row r="119980" s="12" customFormat="1" x14ac:dyDescent="0.25"/>
    <row r="119981" s="12" customFormat="1" x14ac:dyDescent="0.25"/>
    <row r="119982" s="12" customFormat="1" x14ac:dyDescent="0.25"/>
    <row r="119983" s="12" customFormat="1" x14ac:dyDescent="0.25"/>
    <row r="119984" s="12" customFormat="1" x14ac:dyDescent="0.25"/>
    <row r="119985" s="12" customFormat="1" x14ac:dyDescent="0.25"/>
    <row r="119986" s="12" customFormat="1" x14ac:dyDescent="0.25"/>
    <row r="119987" s="12" customFormat="1" x14ac:dyDescent="0.25"/>
    <row r="119988" s="12" customFormat="1" x14ac:dyDescent="0.25"/>
    <row r="119989" s="12" customFormat="1" x14ac:dyDescent="0.25"/>
    <row r="119990" s="12" customFormat="1" x14ac:dyDescent="0.25"/>
    <row r="119991" s="12" customFormat="1" x14ac:dyDescent="0.25"/>
    <row r="119992" s="12" customFormat="1" x14ac:dyDescent="0.25"/>
    <row r="119993" s="12" customFormat="1" x14ac:dyDescent="0.25"/>
    <row r="119994" s="12" customFormat="1" x14ac:dyDescent="0.25"/>
    <row r="119995" s="12" customFormat="1" x14ac:dyDescent="0.25"/>
    <row r="119996" s="12" customFormat="1" x14ac:dyDescent="0.25"/>
    <row r="119997" s="12" customFormat="1" x14ac:dyDescent="0.25"/>
    <row r="119998" s="12" customFormat="1" x14ac:dyDescent="0.25"/>
    <row r="119999" s="12" customFormat="1" x14ac:dyDescent="0.25"/>
    <row r="120000" s="12" customFormat="1" x14ac:dyDescent="0.25"/>
    <row r="120001" s="12" customFormat="1" x14ac:dyDescent="0.25"/>
    <row r="120002" s="12" customFormat="1" x14ac:dyDescent="0.25"/>
    <row r="120003" s="12" customFormat="1" x14ac:dyDescent="0.25"/>
    <row r="120004" s="12" customFormat="1" x14ac:dyDescent="0.25"/>
    <row r="120005" s="12" customFormat="1" x14ac:dyDescent="0.25"/>
    <row r="120006" s="12" customFormat="1" x14ac:dyDescent="0.25"/>
    <row r="120007" s="12" customFormat="1" x14ac:dyDescent="0.25"/>
    <row r="120008" s="12" customFormat="1" x14ac:dyDescent="0.25"/>
    <row r="120009" s="12" customFormat="1" x14ac:dyDescent="0.25"/>
    <row r="120010" s="12" customFormat="1" x14ac:dyDescent="0.25"/>
    <row r="120011" s="12" customFormat="1" x14ac:dyDescent="0.25"/>
    <row r="120012" s="12" customFormat="1" x14ac:dyDescent="0.25"/>
    <row r="120013" s="12" customFormat="1" x14ac:dyDescent="0.25"/>
    <row r="120014" s="12" customFormat="1" x14ac:dyDescent="0.25"/>
    <row r="120015" s="12" customFormat="1" x14ac:dyDescent="0.25"/>
    <row r="120016" s="12" customFormat="1" x14ac:dyDescent="0.25"/>
    <row r="120017" s="12" customFormat="1" x14ac:dyDescent="0.25"/>
    <row r="120018" s="12" customFormat="1" x14ac:dyDescent="0.25"/>
    <row r="120019" s="12" customFormat="1" x14ac:dyDescent="0.25"/>
    <row r="120020" s="12" customFormat="1" x14ac:dyDescent="0.25"/>
    <row r="120021" s="12" customFormat="1" x14ac:dyDescent="0.25"/>
    <row r="120022" s="12" customFormat="1" x14ac:dyDescent="0.25"/>
    <row r="120023" s="12" customFormat="1" x14ac:dyDescent="0.25"/>
    <row r="120024" s="12" customFormat="1" x14ac:dyDescent="0.25"/>
    <row r="120025" s="12" customFormat="1" x14ac:dyDescent="0.25"/>
    <row r="120026" s="12" customFormat="1" x14ac:dyDescent="0.25"/>
    <row r="120027" s="12" customFormat="1" x14ac:dyDescent="0.25"/>
    <row r="120028" s="12" customFormat="1" x14ac:dyDescent="0.25"/>
    <row r="120029" s="12" customFormat="1" x14ac:dyDescent="0.25"/>
    <row r="120030" s="12" customFormat="1" x14ac:dyDescent="0.25"/>
    <row r="120031" s="12" customFormat="1" x14ac:dyDescent="0.25"/>
    <row r="120032" s="12" customFormat="1" x14ac:dyDescent="0.25"/>
    <row r="120033" s="12" customFormat="1" x14ac:dyDescent="0.25"/>
    <row r="120034" s="12" customFormat="1" x14ac:dyDescent="0.25"/>
    <row r="120035" s="12" customFormat="1" x14ac:dyDescent="0.25"/>
    <row r="120036" s="12" customFormat="1" x14ac:dyDescent="0.25"/>
    <row r="120037" s="12" customFormat="1" x14ac:dyDescent="0.25"/>
    <row r="120038" s="12" customFormat="1" x14ac:dyDescent="0.25"/>
    <row r="120039" s="12" customFormat="1" x14ac:dyDescent="0.25"/>
    <row r="120040" s="12" customFormat="1" x14ac:dyDescent="0.25"/>
    <row r="120041" s="12" customFormat="1" x14ac:dyDescent="0.25"/>
    <row r="120042" s="12" customFormat="1" x14ac:dyDescent="0.25"/>
    <row r="120043" s="12" customFormat="1" x14ac:dyDescent="0.25"/>
    <row r="120044" s="12" customFormat="1" x14ac:dyDescent="0.25"/>
    <row r="120045" s="12" customFormat="1" x14ac:dyDescent="0.25"/>
    <row r="120046" s="12" customFormat="1" x14ac:dyDescent="0.25"/>
    <row r="120047" s="12" customFormat="1" x14ac:dyDescent="0.25"/>
    <row r="120048" s="12" customFormat="1" x14ac:dyDescent="0.25"/>
    <row r="120049" s="12" customFormat="1" x14ac:dyDescent="0.25"/>
    <row r="120050" s="12" customFormat="1" x14ac:dyDescent="0.25"/>
    <row r="120051" s="12" customFormat="1" x14ac:dyDescent="0.25"/>
    <row r="120052" s="12" customFormat="1" x14ac:dyDescent="0.25"/>
    <row r="120053" s="12" customFormat="1" x14ac:dyDescent="0.25"/>
    <row r="120054" s="12" customFormat="1" x14ac:dyDescent="0.25"/>
    <row r="120055" s="12" customFormat="1" x14ac:dyDescent="0.25"/>
    <row r="120056" s="12" customFormat="1" x14ac:dyDescent="0.25"/>
    <row r="120057" s="12" customFormat="1" x14ac:dyDescent="0.25"/>
    <row r="120058" s="12" customFormat="1" x14ac:dyDescent="0.25"/>
    <row r="120059" s="12" customFormat="1" x14ac:dyDescent="0.25"/>
    <row r="120060" s="12" customFormat="1" x14ac:dyDescent="0.25"/>
    <row r="120061" s="12" customFormat="1" x14ac:dyDescent="0.25"/>
    <row r="120062" s="12" customFormat="1" x14ac:dyDescent="0.25"/>
    <row r="120063" s="12" customFormat="1" x14ac:dyDescent="0.25"/>
    <row r="120064" s="12" customFormat="1" x14ac:dyDescent="0.25"/>
    <row r="120065" s="12" customFormat="1" x14ac:dyDescent="0.25"/>
    <row r="120066" s="12" customFormat="1" x14ac:dyDescent="0.25"/>
    <row r="120067" s="12" customFormat="1" x14ac:dyDescent="0.25"/>
    <row r="120068" s="12" customFormat="1" x14ac:dyDescent="0.25"/>
    <row r="120069" s="12" customFormat="1" x14ac:dyDescent="0.25"/>
    <row r="120070" s="12" customFormat="1" x14ac:dyDescent="0.25"/>
    <row r="120071" s="12" customFormat="1" x14ac:dyDescent="0.25"/>
    <row r="120072" s="12" customFormat="1" x14ac:dyDescent="0.25"/>
    <row r="120073" s="12" customFormat="1" x14ac:dyDescent="0.25"/>
    <row r="120074" s="12" customFormat="1" x14ac:dyDescent="0.25"/>
    <row r="120075" s="12" customFormat="1" x14ac:dyDescent="0.25"/>
    <row r="120076" s="12" customFormat="1" x14ac:dyDescent="0.25"/>
    <row r="120077" s="12" customFormat="1" x14ac:dyDescent="0.25"/>
    <row r="120078" s="12" customFormat="1" x14ac:dyDescent="0.25"/>
    <row r="120079" s="12" customFormat="1" x14ac:dyDescent="0.25"/>
    <row r="120080" s="12" customFormat="1" x14ac:dyDescent="0.25"/>
    <row r="120081" s="12" customFormat="1" x14ac:dyDescent="0.25"/>
    <row r="120082" s="12" customFormat="1" x14ac:dyDescent="0.25"/>
    <row r="120083" s="12" customFormat="1" x14ac:dyDescent="0.25"/>
    <row r="120084" s="12" customFormat="1" x14ac:dyDescent="0.25"/>
    <row r="120085" s="12" customFormat="1" x14ac:dyDescent="0.25"/>
    <row r="120086" s="12" customFormat="1" x14ac:dyDescent="0.25"/>
    <row r="120087" s="12" customFormat="1" x14ac:dyDescent="0.25"/>
    <row r="120088" s="12" customFormat="1" x14ac:dyDescent="0.25"/>
    <row r="120089" s="12" customFormat="1" x14ac:dyDescent="0.25"/>
    <row r="120090" s="12" customFormat="1" x14ac:dyDescent="0.25"/>
    <row r="120091" s="12" customFormat="1" x14ac:dyDescent="0.25"/>
    <row r="120092" s="12" customFormat="1" x14ac:dyDescent="0.25"/>
    <row r="120093" s="12" customFormat="1" x14ac:dyDescent="0.25"/>
    <row r="120094" s="12" customFormat="1" x14ac:dyDescent="0.25"/>
    <row r="120095" s="12" customFormat="1" x14ac:dyDescent="0.25"/>
    <row r="120096" s="12" customFormat="1" x14ac:dyDescent="0.25"/>
    <row r="120097" s="12" customFormat="1" x14ac:dyDescent="0.25"/>
    <row r="120098" s="12" customFormat="1" x14ac:dyDescent="0.25"/>
    <row r="120099" s="12" customFormat="1" x14ac:dyDescent="0.25"/>
    <row r="120100" s="12" customFormat="1" x14ac:dyDescent="0.25"/>
    <row r="120101" s="12" customFormat="1" x14ac:dyDescent="0.25"/>
    <row r="120102" s="12" customFormat="1" x14ac:dyDescent="0.25"/>
    <row r="120103" s="12" customFormat="1" x14ac:dyDescent="0.25"/>
    <row r="120104" s="12" customFormat="1" x14ac:dyDescent="0.25"/>
    <row r="120105" s="12" customFormat="1" x14ac:dyDescent="0.25"/>
    <row r="120106" s="12" customFormat="1" x14ac:dyDescent="0.25"/>
    <row r="120107" s="12" customFormat="1" x14ac:dyDescent="0.25"/>
    <row r="120108" s="12" customFormat="1" x14ac:dyDescent="0.25"/>
    <row r="120109" s="12" customFormat="1" x14ac:dyDescent="0.25"/>
    <row r="120110" s="12" customFormat="1" x14ac:dyDescent="0.25"/>
    <row r="120111" s="12" customFormat="1" x14ac:dyDescent="0.25"/>
    <row r="120112" s="12" customFormat="1" x14ac:dyDescent="0.25"/>
    <row r="120113" s="12" customFormat="1" x14ac:dyDescent="0.25"/>
    <row r="120114" s="12" customFormat="1" x14ac:dyDescent="0.25"/>
    <row r="120115" s="12" customFormat="1" x14ac:dyDescent="0.25"/>
    <row r="120116" s="12" customFormat="1" x14ac:dyDescent="0.25"/>
    <row r="120117" s="12" customFormat="1" x14ac:dyDescent="0.25"/>
    <row r="120118" s="12" customFormat="1" x14ac:dyDescent="0.25"/>
    <row r="120119" s="12" customFormat="1" x14ac:dyDescent="0.25"/>
    <row r="120120" s="12" customFormat="1" x14ac:dyDescent="0.25"/>
    <row r="120121" s="12" customFormat="1" x14ac:dyDescent="0.25"/>
    <row r="120122" s="12" customFormat="1" x14ac:dyDescent="0.25"/>
    <row r="120123" s="12" customFormat="1" x14ac:dyDescent="0.25"/>
    <row r="120124" s="12" customFormat="1" x14ac:dyDescent="0.25"/>
    <row r="120125" s="12" customFormat="1" x14ac:dyDescent="0.25"/>
    <row r="120126" s="12" customFormat="1" x14ac:dyDescent="0.25"/>
    <row r="120127" s="12" customFormat="1" x14ac:dyDescent="0.25"/>
    <row r="120128" s="12" customFormat="1" x14ac:dyDescent="0.25"/>
    <row r="120129" s="12" customFormat="1" x14ac:dyDescent="0.25"/>
    <row r="120130" s="12" customFormat="1" x14ac:dyDescent="0.25"/>
    <row r="120131" s="12" customFormat="1" x14ac:dyDescent="0.25"/>
    <row r="120132" s="12" customFormat="1" x14ac:dyDescent="0.25"/>
    <row r="120133" s="12" customFormat="1" x14ac:dyDescent="0.25"/>
    <row r="120134" s="12" customFormat="1" x14ac:dyDescent="0.25"/>
    <row r="120135" s="12" customFormat="1" x14ac:dyDescent="0.25"/>
    <row r="120136" s="12" customFormat="1" x14ac:dyDescent="0.25"/>
    <row r="120137" s="12" customFormat="1" x14ac:dyDescent="0.25"/>
    <row r="120138" s="12" customFormat="1" x14ac:dyDescent="0.25"/>
    <row r="120139" s="12" customFormat="1" x14ac:dyDescent="0.25"/>
    <row r="120140" s="12" customFormat="1" x14ac:dyDescent="0.25"/>
    <row r="120141" s="12" customFormat="1" x14ac:dyDescent="0.25"/>
    <row r="120142" s="12" customFormat="1" x14ac:dyDescent="0.25"/>
    <row r="120143" s="12" customFormat="1" x14ac:dyDescent="0.25"/>
    <row r="120144" s="12" customFormat="1" x14ac:dyDescent="0.25"/>
    <row r="120145" s="12" customFormat="1" x14ac:dyDescent="0.25"/>
    <row r="120146" s="12" customFormat="1" x14ac:dyDescent="0.25"/>
    <row r="120147" s="12" customFormat="1" x14ac:dyDescent="0.25"/>
    <row r="120148" s="12" customFormat="1" x14ac:dyDescent="0.25"/>
    <row r="120149" s="12" customFormat="1" x14ac:dyDescent="0.25"/>
    <row r="120150" s="12" customFormat="1" x14ac:dyDescent="0.25"/>
    <row r="120151" s="12" customFormat="1" x14ac:dyDescent="0.25"/>
    <row r="120152" s="12" customFormat="1" x14ac:dyDescent="0.25"/>
    <row r="120153" s="12" customFormat="1" x14ac:dyDescent="0.25"/>
    <row r="120154" s="12" customFormat="1" x14ac:dyDescent="0.25"/>
    <row r="120155" s="12" customFormat="1" x14ac:dyDescent="0.25"/>
    <row r="120156" s="12" customFormat="1" x14ac:dyDescent="0.25"/>
    <row r="120157" s="12" customFormat="1" x14ac:dyDescent="0.25"/>
    <row r="120158" s="12" customFormat="1" x14ac:dyDescent="0.25"/>
    <row r="120159" s="12" customFormat="1" x14ac:dyDescent="0.25"/>
    <row r="120160" s="12" customFormat="1" x14ac:dyDescent="0.25"/>
    <row r="120161" s="12" customFormat="1" x14ac:dyDescent="0.25"/>
    <row r="120162" s="12" customFormat="1" x14ac:dyDescent="0.25"/>
    <row r="120163" s="12" customFormat="1" x14ac:dyDescent="0.25"/>
    <row r="120164" s="12" customFormat="1" x14ac:dyDescent="0.25"/>
    <row r="120165" s="12" customFormat="1" x14ac:dyDescent="0.25"/>
    <row r="120166" s="12" customFormat="1" x14ac:dyDescent="0.25"/>
    <row r="120167" s="12" customFormat="1" x14ac:dyDescent="0.25"/>
    <row r="120168" s="12" customFormat="1" x14ac:dyDescent="0.25"/>
    <row r="120169" s="12" customFormat="1" x14ac:dyDescent="0.25"/>
    <row r="120170" s="12" customFormat="1" x14ac:dyDescent="0.25"/>
    <row r="120171" s="12" customFormat="1" x14ac:dyDescent="0.25"/>
    <row r="120172" s="12" customFormat="1" x14ac:dyDescent="0.25"/>
    <row r="120173" s="12" customFormat="1" x14ac:dyDescent="0.25"/>
    <row r="120174" s="12" customFormat="1" x14ac:dyDescent="0.25"/>
    <row r="120175" s="12" customFormat="1" x14ac:dyDescent="0.25"/>
    <row r="120176" s="12" customFormat="1" x14ac:dyDescent="0.25"/>
    <row r="120177" s="12" customFormat="1" x14ac:dyDescent="0.25"/>
    <row r="120178" s="12" customFormat="1" x14ac:dyDescent="0.25"/>
    <row r="120179" s="12" customFormat="1" x14ac:dyDescent="0.25"/>
    <row r="120180" s="12" customFormat="1" x14ac:dyDescent="0.25"/>
    <row r="120181" s="12" customFormat="1" x14ac:dyDescent="0.25"/>
    <row r="120182" s="12" customFormat="1" x14ac:dyDescent="0.25"/>
    <row r="120183" s="12" customFormat="1" x14ac:dyDescent="0.25"/>
    <row r="120184" s="12" customFormat="1" x14ac:dyDescent="0.25"/>
    <row r="120185" s="12" customFormat="1" x14ac:dyDescent="0.25"/>
    <row r="120186" s="12" customFormat="1" x14ac:dyDescent="0.25"/>
    <row r="120187" s="12" customFormat="1" x14ac:dyDescent="0.25"/>
    <row r="120188" s="12" customFormat="1" x14ac:dyDescent="0.25"/>
    <row r="120189" s="12" customFormat="1" x14ac:dyDescent="0.25"/>
    <row r="120190" s="12" customFormat="1" x14ac:dyDescent="0.25"/>
    <row r="120191" s="12" customFormat="1" x14ac:dyDescent="0.25"/>
    <row r="120192" s="12" customFormat="1" x14ac:dyDescent="0.25"/>
    <row r="120193" s="12" customFormat="1" x14ac:dyDescent="0.25"/>
    <row r="120194" s="12" customFormat="1" x14ac:dyDescent="0.25"/>
    <row r="120195" s="12" customFormat="1" x14ac:dyDescent="0.25"/>
    <row r="120196" s="12" customFormat="1" x14ac:dyDescent="0.25"/>
    <row r="120197" s="12" customFormat="1" x14ac:dyDescent="0.25"/>
    <row r="120198" s="12" customFormat="1" x14ac:dyDescent="0.25"/>
    <row r="120199" s="12" customFormat="1" x14ac:dyDescent="0.25"/>
    <row r="120200" s="12" customFormat="1" x14ac:dyDescent="0.25"/>
    <row r="120201" s="12" customFormat="1" x14ac:dyDescent="0.25"/>
    <row r="120202" s="12" customFormat="1" x14ac:dyDescent="0.25"/>
    <row r="120203" s="12" customFormat="1" x14ac:dyDescent="0.25"/>
    <row r="120204" s="12" customFormat="1" x14ac:dyDescent="0.25"/>
    <row r="120205" s="12" customFormat="1" x14ac:dyDescent="0.25"/>
    <row r="120206" s="12" customFormat="1" x14ac:dyDescent="0.25"/>
    <row r="120207" s="12" customFormat="1" x14ac:dyDescent="0.25"/>
    <row r="120208" s="12" customFormat="1" x14ac:dyDescent="0.25"/>
    <row r="120209" s="12" customFormat="1" x14ac:dyDescent="0.25"/>
    <row r="120210" s="12" customFormat="1" x14ac:dyDescent="0.25"/>
    <row r="120211" s="12" customFormat="1" x14ac:dyDescent="0.25"/>
    <row r="120212" s="12" customFormat="1" x14ac:dyDescent="0.25"/>
    <row r="120213" s="12" customFormat="1" x14ac:dyDescent="0.25"/>
    <row r="120214" s="12" customFormat="1" x14ac:dyDescent="0.25"/>
    <row r="120215" s="12" customFormat="1" x14ac:dyDescent="0.25"/>
    <row r="120216" s="12" customFormat="1" x14ac:dyDescent="0.25"/>
    <row r="120217" s="12" customFormat="1" x14ac:dyDescent="0.25"/>
    <row r="120218" s="12" customFormat="1" x14ac:dyDescent="0.25"/>
    <row r="120219" s="12" customFormat="1" x14ac:dyDescent="0.25"/>
    <row r="120220" s="12" customFormat="1" x14ac:dyDescent="0.25"/>
    <row r="120221" s="12" customFormat="1" x14ac:dyDescent="0.25"/>
    <row r="120222" s="12" customFormat="1" x14ac:dyDescent="0.25"/>
    <row r="120223" s="12" customFormat="1" x14ac:dyDescent="0.25"/>
    <row r="120224" s="12" customFormat="1" x14ac:dyDescent="0.25"/>
    <row r="120225" s="12" customFormat="1" x14ac:dyDescent="0.25"/>
    <row r="120226" s="12" customFormat="1" x14ac:dyDescent="0.25"/>
    <row r="120227" s="12" customFormat="1" x14ac:dyDescent="0.25"/>
    <row r="120228" s="12" customFormat="1" x14ac:dyDescent="0.25"/>
    <row r="120229" s="12" customFormat="1" x14ac:dyDescent="0.25"/>
    <row r="120230" s="12" customFormat="1" x14ac:dyDescent="0.25"/>
    <row r="120231" s="12" customFormat="1" x14ac:dyDescent="0.25"/>
    <row r="120232" s="12" customFormat="1" x14ac:dyDescent="0.25"/>
    <row r="120233" s="12" customFormat="1" x14ac:dyDescent="0.25"/>
    <row r="120234" s="12" customFormat="1" x14ac:dyDescent="0.25"/>
    <row r="120235" s="12" customFormat="1" x14ac:dyDescent="0.25"/>
    <row r="120236" s="12" customFormat="1" x14ac:dyDescent="0.25"/>
    <row r="120237" s="12" customFormat="1" x14ac:dyDescent="0.25"/>
    <row r="120238" s="12" customFormat="1" x14ac:dyDescent="0.25"/>
    <row r="120239" s="12" customFormat="1" x14ac:dyDescent="0.25"/>
    <row r="120240" s="12" customFormat="1" x14ac:dyDescent="0.25"/>
    <row r="120241" s="12" customFormat="1" x14ac:dyDescent="0.25"/>
    <row r="120242" s="12" customFormat="1" x14ac:dyDescent="0.25"/>
    <row r="120243" s="12" customFormat="1" x14ac:dyDescent="0.25"/>
    <row r="120244" s="12" customFormat="1" x14ac:dyDescent="0.25"/>
    <row r="120245" s="12" customFormat="1" x14ac:dyDescent="0.25"/>
    <row r="120246" s="12" customFormat="1" x14ac:dyDescent="0.25"/>
    <row r="120247" s="12" customFormat="1" x14ac:dyDescent="0.25"/>
    <row r="120248" s="12" customFormat="1" x14ac:dyDescent="0.25"/>
    <row r="120249" s="12" customFormat="1" x14ac:dyDescent="0.25"/>
    <row r="120250" s="12" customFormat="1" x14ac:dyDescent="0.25"/>
    <row r="120251" s="12" customFormat="1" x14ac:dyDescent="0.25"/>
    <row r="120252" s="12" customFormat="1" x14ac:dyDescent="0.25"/>
    <row r="120253" s="12" customFormat="1" x14ac:dyDescent="0.25"/>
    <row r="120254" s="12" customFormat="1" x14ac:dyDescent="0.25"/>
    <row r="120255" s="12" customFormat="1" x14ac:dyDescent="0.25"/>
    <row r="120256" s="12" customFormat="1" x14ac:dyDescent="0.25"/>
    <row r="120257" s="12" customFormat="1" x14ac:dyDescent="0.25"/>
    <row r="120258" s="12" customFormat="1" x14ac:dyDescent="0.25"/>
    <row r="120259" s="12" customFormat="1" x14ac:dyDescent="0.25"/>
    <row r="120260" s="12" customFormat="1" x14ac:dyDescent="0.25"/>
    <row r="120261" s="12" customFormat="1" x14ac:dyDescent="0.25"/>
    <row r="120262" s="12" customFormat="1" x14ac:dyDescent="0.25"/>
    <row r="120263" s="12" customFormat="1" x14ac:dyDescent="0.25"/>
    <row r="120264" s="12" customFormat="1" x14ac:dyDescent="0.25"/>
    <row r="120265" s="12" customFormat="1" x14ac:dyDescent="0.25"/>
    <row r="120266" s="12" customFormat="1" x14ac:dyDescent="0.25"/>
    <row r="120267" s="12" customFormat="1" x14ac:dyDescent="0.25"/>
    <row r="120268" s="12" customFormat="1" x14ac:dyDescent="0.25"/>
    <row r="120269" s="12" customFormat="1" x14ac:dyDescent="0.25"/>
    <row r="120270" s="12" customFormat="1" x14ac:dyDescent="0.25"/>
    <row r="120271" s="12" customFormat="1" x14ac:dyDescent="0.25"/>
    <row r="120272" s="12" customFormat="1" x14ac:dyDescent="0.25"/>
    <row r="120273" s="12" customFormat="1" x14ac:dyDescent="0.25"/>
    <row r="120274" s="12" customFormat="1" x14ac:dyDescent="0.25"/>
    <row r="120275" s="12" customFormat="1" x14ac:dyDescent="0.25"/>
    <row r="120276" s="12" customFormat="1" x14ac:dyDescent="0.25"/>
    <row r="120277" s="12" customFormat="1" x14ac:dyDescent="0.25"/>
    <row r="120278" s="12" customFormat="1" x14ac:dyDescent="0.25"/>
    <row r="120279" s="12" customFormat="1" x14ac:dyDescent="0.25"/>
    <row r="120280" s="12" customFormat="1" x14ac:dyDescent="0.25"/>
    <row r="120281" s="12" customFormat="1" x14ac:dyDescent="0.25"/>
    <row r="120282" s="12" customFormat="1" x14ac:dyDescent="0.25"/>
    <row r="120283" s="12" customFormat="1" x14ac:dyDescent="0.25"/>
    <row r="120284" s="12" customFormat="1" x14ac:dyDescent="0.25"/>
    <row r="120285" s="12" customFormat="1" x14ac:dyDescent="0.25"/>
    <row r="120286" s="12" customFormat="1" x14ac:dyDescent="0.25"/>
    <row r="120287" s="12" customFormat="1" x14ac:dyDescent="0.25"/>
    <row r="120288" s="12" customFormat="1" x14ac:dyDescent="0.25"/>
    <row r="120289" s="12" customFormat="1" x14ac:dyDescent="0.25"/>
    <row r="120290" s="12" customFormat="1" x14ac:dyDescent="0.25"/>
    <row r="120291" s="12" customFormat="1" x14ac:dyDescent="0.25"/>
    <row r="120292" s="12" customFormat="1" x14ac:dyDescent="0.25"/>
    <row r="120293" s="12" customFormat="1" x14ac:dyDescent="0.25"/>
    <row r="120294" s="12" customFormat="1" x14ac:dyDescent="0.25"/>
    <row r="120295" s="12" customFormat="1" x14ac:dyDescent="0.25"/>
    <row r="120296" s="12" customFormat="1" x14ac:dyDescent="0.25"/>
    <row r="120297" s="12" customFormat="1" x14ac:dyDescent="0.25"/>
    <row r="120298" s="12" customFormat="1" x14ac:dyDescent="0.25"/>
    <row r="120299" s="12" customFormat="1" x14ac:dyDescent="0.25"/>
    <row r="120300" s="12" customFormat="1" x14ac:dyDescent="0.25"/>
    <row r="120301" s="12" customFormat="1" x14ac:dyDescent="0.25"/>
    <row r="120302" s="12" customFormat="1" x14ac:dyDescent="0.25"/>
    <row r="120303" s="12" customFormat="1" x14ac:dyDescent="0.25"/>
    <row r="120304" s="12" customFormat="1" x14ac:dyDescent="0.25"/>
    <row r="120305" s="12" customFormat="1" x14ac:dyDescent="0.25"/>
    <row r="120306" s="12" customFormat="1" x14ac:dyDescent="0.25"/>
    <row r="120307" s="12" customFormat="1" x14ac:dyDescent="0.25"/>
    <row r="120308" s="12" customFormat="1" x14ac:dyDescent="0.25"/>
    <row r="120309" s="12" customFormat="1" x14ac:dyDescent="0.25"/>
    <row r="120310" s="12" customFormat="1" x14ac:dyDescent="0.25"/>
    <row r="120311" s="12" customFormat="1" x14ac:dyDescent="0.25"/>
    <row r="120312" s="12" customFormat="1" x14ac:dyDescent="0.25"/>
    <row r="120313" s="12" customFormat="1" x14ac:dyDescent="0.25"/>
    <row r="120314" s="12" customFormat="1" x14ac:dyDescent="0.25"/>
    <row r="120315" s="12" customFormat="1" x14ac:dyDescent="0.25"/>
    <row r="120316" s="12" customFormat="1" x14ac:dyDescent="0.25"/>
    <row r="120317" s="12" customFormat="1" x14ac:dyDescent="0.25"/>
    <row r="120318" s="12" customFormat="1" x14ac:dyDescent="0.25"/>
    <row r="120319" s="12" customFormat="1" x14ac:dyDescent="0.25"/>
    <row r="120320" s="12" customFormat="1" x14ac:dyDescent="0.25"/>
    <row r="120321" s="12" customFormat="1" x14ac:dyDescent="0.25"/>
    <row r="120322" s="12" customFormat="1" x14ac:dyDescent="0.25"/>
    <row r="120323" s="12" customFormat="1" x14ac:dyDescent="0.25"/>
    <row r="120324" s="12" customFormat="1" x14ac:dyDescent="0.25"/>
    <row r="120325" s="12" customFormat="1" x14ac:dyDescent="0.25"/>
    <row r="120326" s="12" customFormat="1" x14ac:dyDescent="0.25"/>
    <row r="120327" s="12" customFormat="1" x14ac:dyDescent="0.25"/>
    <row r="120328" s="12" customFormat="1" x14ac:dyDescent="0.25"/>
    <row r="120329" s="12" customFormat="1" x14ac:dyDescent="0.25"/>
    <row r="120330" s="12" customFormat="1" x14ac:dyDescent="0.25"/>
    <row r="120331" s="12" customFormat="1" x14ac:dyDescent="0.25"/>
    <row r="120332" s="12" customFormat="1" x14ac:dyDescent="0.25"/>
    <row r="120333" s="12" customFormat="1" x14ac:dyDescent="0.25"/>
    <row r="120334" s="12" customFormat="1" x14ac:dyDescent="0.25"/>
    <row r="120335" s="12" customFormat="1" x14ac:dyDescent="0.25"/>
    <row r="120336" s="12" customFormat="1" x14ac:dyDescent="0.25"/>
    <row r="120337" s="12" customFormat="1" x14ac:dyDescent="0.25"/>
    <row r="120338" s="12" customFormat="1" x14ac:dyDescent="0.25"/>
    <row r="120339" s="12" customFormat="1" x14ac:dyDescent="0.25"/>
    <row r="120340" s="12" customFormat="1" x14ac:dyDescent="0.25"/>
    <row r="120341" s="12" customFormat="1" x14ac:dyDescent="0.25"/>
    <row r="120342" s="12" customFormat="1" x14ac:dyDescent="0.25"/>
    <row r="120343" s="12" customFormat="1" x14ac:dyDescent="0.25"/>
    <row r="120344" s="12" customFormat="1" x14ac:dyDescent="0.25"/>
    <row r="120345" s="12" customFormat="1" x14ac:dyDescent="0.25"/>
    <row r="120346" s="12" customFormat="1" x14ac:dyDescent="0.25"/>
    <row r="120347" s="12" customFormat="1" x14ac:dyDescent="0.25"/>
    <row r="120348" s="12" customFormat="1" x14ac:dyDescent="0.25"/>
    <row r="120349" s="12" customFormat="1" x14ac:dyDescent="0.25"/>
    <row r="120350" s="12" customFormat="1" x14ac:dyDescent="0.25"/>
    <row r="120351" s="12" customFormat="1" x14ac:dyDescent="0.25"/>
    <row r="120352" s="12" customFormat="1" x14ac:dyDescent="0.25"/>
    <row r="120353" s="12" customFormat="1" x14ac:dyDescent="0.25"/>
    <row r="120354" s="12" customFormat="1" x14ac:dyDescent="0.25"/>
    <row r="120355" s="12" customFormat="1" x14ac:dyDescent="0.25"/>
    <row r="120356" s="12" customFormat="1" x14ac:dyDescent="0.25"/>
    <row r="120357" s="12" customFormat="1" x14ac:dyDescent="0.25"/>
    <row r="120358" s="12" customFormat="1" x14ac:dyDescent="0.25"/>
    <row r="120359" s="12" customFormat="1" x14ac:dyDescent="0.25"/>
    <row r="120360" s="12" customFormat="1" x14ac:dyDescent="0.25"/>
    <row r="120361" s="12" customFormat="1" x14ac:dyDescent="0.25"/>
    <row r="120362" s="12" customFormat="1" x14ac:dyDescent="0.25"/>
    <row r="120363" s="12" customFormat="1" x14ac:dyDescent="0.25"/>
    <row r="120364" s="12" customFormat="1" x14ac:dyDescent="0.25"/>
    <row r="120365" s="12" customFormat="1" x14ac:dyDescent="0.25"/>
    <row r="120366" s="12" customFormat="1" x14ac:dyDescent="0.25"/>
    <row r="120367" s="12" customFormat="1" x14ac:dyDescent="0.25"/>
    <row r="120368" s="12" customFormat="1" x14ac:dyDescent="0.25"/>
    <row r="120369" s="12" customFormat="1" x14ac:dyDescent="0.25"/>
    <row r="120370" s="12" customFormat="1" x14ac:dyDescent="0.25"/>
    <row r="120371" s="12" customFormat="1" x14ac:dyDescent="0.25"/>
    <row r="120372" s="12" customFormat="1" x14ac:dyDescent="0.25"/>
    <row r="120373" s="12" customFormat="1" x14ac:dyDescent="0.25"/>
    <row r="120374" s="12" customFormat="1" x14ac:dyDescent="0.25"/>
    <row r="120375" s="12" customFormat="1" x14ac:dyDescent="0.25"/>
    <row r="120376" s="12" customFormat="1" x14ac:dyDescent="0.25"/>
    <row r="120377" s="12" customFormat="1" x14ac:dyDescent="0.25"/>
    <row r="120378" s="12" customFormat="1" x14ac:dyDescent="0.25"/>
    <row r="120379" s="12" customFormat="1" x14ac:dyDescent="0.25"/>
    <row r="120380" s="12" customFormat="1" x14ac:dyDescent="0.25"/>
    <row r="120381" s="12" customFormat="1" x14ac:dyDescent="0.25"/>
    <row r="120382" s="12" customFormat="1" x14ac:dyDescent="0.25"/>
    <row r="120383" s="12" customFormat="1" x14ac:dyDescent="0.25"/>
    <row r="120384" s="12" customFormat="1" x14ac:dyDescent="0.25"/>
    <row r="120385" s="12" customFormat="1" x14ac:dyDescent="0.25"/>
    <row r="120386" s="12" customFormat="1" x14ac:dyDescent="0.25"/>
    <row r="120387" s="12" customFormat="1" x14ac:dyDescent="0.25"/>
    <row r="120388" s="12" customFormat="1" x14ac:dyDescent="0.25"/>
    <row r="120389" s="12" customFormat="1" x14ac:dyDescent="0.25"/>
    <row r="120390" s="12" customFormat="1" x14ac:dyDescent="0.25"/>
    <row r="120391" s="12" customFormat="1" x14ac:dyDescent="0.25"/>
    <row r="120392" s="12" customFormat="1" x14ac:dyDescent="0.25"/>
    <row r="120393" s="12" customFormat="1" x14ac:dyDescent="0.25"/>
    <row r="120394" s="12" customFormat="1" x14ac:dyDescent="0.25"/>
    <row r="120395" s="12" customFormat="1" x14ac:dyDescent="0.25"/>
    <row r="120396" s="12" customFormat="1" x14ac:dyDescent="0.25"/>
    <row r="120397" s="12" customFormat="1" x14ac:dyDescent="0.25"/>
    <row r="120398" s="12" customFormat="1" x14ac:dyDescent="0.25"/>
    <row r="120399" s="12" customFormat="1" x14ac:dyDescent="0.25"/>
    <row r="120400" s="12" customFormat="1" x14ac:dyDescent="0.25"/>
    <row r="120401" s="12" customFormat="1" x14ac:dyDescent="0.25"/>
    <row r="120402" s="12" customFormat="1" x14ac:dyDescent="0.25"/>
    <row r="120403" s="12" customFormat="1" x14ac:dyDescent="0.25"/>
    <row r="120404" s="12" customFormat="1" x14ac:dyDescent="0.25"/>
    <row r="120405" s="12" customFormat="1" x14ac:dyDescent="0.25"/>
    <row r="120406" s="12" customFormat="1" x14ac:dyDescent="0.25"/>
    <row r="120407" s="12" customFormat="1" x14ac:dyDescent="0.25"/>
    <row r="120408" s="12" customFormat="1" x14ac:dyDescent="0.25"/>
    <row r="120409" s="12" customFormat="1" x14ac:dyDescent="0.25"/>
    <row r="120410" s="12" customFormat="1" x14ac:dyDescent="0.25"/>
    <row r="120411" s="12" customFormat="1" x14ac:dyDescent="0.25"/>
    <row r="120412" s="12" customFormat="1" x14ac:dyDescent="0.25"/>
    <row r="120413" s="12" customFormat="1" x14ac:dyDescent="0.25"/>
    <row r="120414" s="12" customFormat="1" x14ac:dyDescent="0.25"/>
    <row r="120415" s="12" customFormat="1" x14ac:dyDescent="0.25"/>
    <row r="120416" s="12" customFormat="1" x14ac:dyDescent="0.25"/>
    <row r="120417" s="12" customFormat="1" x14ac:dyDescent="0.25"/>
    <row r="120418" s="12" customFormat="1" x14ac:dyDescent="0.25"/>
    <row r="120419" s="12" customFormat="1" x14ac:dyDescent="0.25"/>
    <row r="120420" s="12" customFormat="1" x14ac:dyDescent="0.25"/>
    <row r="120421" s="12" customFormat="1" x14ac:dyDescent="0.25"/>
    <row r="120422" s="12" customFormat="1" x14ac:dyDescent="0.25"/>
    <row r="120423" s="12" customFormat="1" x14ac:dyDescent="0.25"/>
    <row r="120424" s="12" customFormat="1" x14ac:dyDescent="0.25"/>
    <row r="120425" s="12" customFormat="1" x14ac:dyDescent="0.25"/>
    <row r="120426" s="12" customFormat="1" x14ac:dyDescent="0.25"/>
    <row r="120427" s="12" customFormat="1" x14ac:dyDescent="0.25"/>
    <row r="120428" s="12" customFormat="1" x14ac:dyDescent="0.25"/>
    <row r="120429" s="12" customFormat="1" x14ac:dyDescent="0.25"/>
    <row r="120430" s="12" customFormat="1" x14ac:dyDescent="0.25"/>
    <row r="120431" s="12" customFormat="1" x14ac:dyDescent="0.25"/>
    <row r="120432" s="12" customFormat="1" x14ac:dyDescent="0.25"/>
    <row r="120433" s="12" customFormat="1" x14ac:dyDescent="0.25"/>
    <row r="120434" s="12" customFormat="1" x14ac:dyDescent="0.25"/>
    <row r="120435" s="12" customFormat="1" x14ac:dyDescent="0.25"/>
    <row r="120436" s="12" customFormat="1" x14ac:dyDescent="0.25"/>
    <row r="120437" s="12" customFormat="1" x14ac:dyDescent="0.25"/>
    <row r="120438" s="12" customFormat="1" x14ac:dyDescent="0.25"/>
    <row r="120439" s="12" customFormat="1" x14ac:dyDescent="0.25"/>
    <row r="120440" s="12" customFormat="1" x14ac:dyDescent="0.25"/>
    <row r="120441" s="12" customFormat="1" x14ac:dyDescent="0.25"/>
    <row r="120442" s="12" customFormat="1" x14ac:dyDescent="0.25"/>
    <row r="120443" s="12" customFormat="1" x14ac:dyDescent="0.25"/>
    <row r="120444" s="12" customFormat="1" x14ac:dyDescent="0.25"/>
    <row r="120445" s="12" customFormat="1" x14ac:dyDescent="0.25"/>
    <row r="120446" s="12" customFormat="1" x14ac:dyDescent="0.25"/>
    <row r="120447" s="12" customFormat="1" x14ac:dyDescent="0.25"/>
    <row r="120448" s="12" customFormat="1" x14ac:dyDescent="0.25"/>
    <row r="120449" s="12" customFormat="1" x14ac:dyDescent="0.25"/>
    <row r="120450" s="12" customFormat="1" x14ac:dyDescent="0.25"/>
    <row r="120451" s="12" customFormat="1" x14ac:dyDescent="0.25"/>
    <row r="120452" s="12" customFormat="1" x14ac:dyDescent="0.25"/>
    <row r="120453" s="12" customFormat="1" x14ac:dyDescent="0.25"/>
    <row r="120454" s="12" customFormat="1" x14ac:dyDescent="0.25"/>
    <row r="120455" s="12" customFormat="1" x14ac:dyDescent="0.25"/>
    <row r="120456" s="12" customFormat="1" x14ac:dyDescent="0.25"/>
    <row r="120457" s="12" customFormat="1" x14ac:dyDescent="0.25"/>
    <row r="120458" s="12" customFormat="1" x14ac:dyDescent="0.25"/>
    <row r="120459" s="12" customFormat="1" x14ac:dyDescent="0.25"/>
    <row r="120460" s="12" customFormat="1" x14ac:dyDescent="0.25"/>
    <row r="120461" s="12" customFormat="1" x14ac:dyDescent="0.25"/>
    <row r="120462" s="12" customFormat="1" x14ac:dyDescent="0.25"/>
    <row r="120463" s="12" customFormat="1" x14ac:dyDescent="0.25"/>
    <row r="120464" s="12" customFormat="1" x14ac:dyDescent="0.25"/>
    <row r="120465" s="12" customFormat="1" x14ac:dyDescent="0.25"/>
    <row r="120466" s="12" customFormat="1" x14ac:dyDescent="0.25"/>
    <row r="120467" s="12" customFormat="1" x14ac:dyDescent="0.25"/>
    <row r="120468" s="12" customFormat="1" x14ac:dyDescent="0.25"/>
    <row r="120469" s="12" customFormat="1" x14ac:dyDescent="0.25"/>
    <row r="120470" s="12" customFormat="1" x14ac:dyDescent="0.25"/>
    <row r="120471" s="12" customFormat="1" x14ac:dyDescent="0.25"/>
    <row r="120472" s="12" customFormat="1" x14ac:dyDescent="0.25"/>
    <row r="120473" s="12" customFormat="1" x14ac:dyDescent="0.25"/>
    <row r="120474" s="12" customFormat="1" x14ac:dyDescent="0.25"/>
    <row r="120475" s="12" customFormat="1" x14ac:dyDescent="0.25"/>
    <row r="120476" s="12" customFormat="1" x14ac:dyDescent="0.25"/>
    <row r="120477" s="12" customFormat="1" x14ac:dyDescent="0.25"/>
    <row r="120478" s="12" customFormat="1" x14ac:dyDescent="0.25"/>
    <row r="120479" s="12" customFormat="1" x14ac:dyDescent="0.25"/>
    <row r="120480" s="12" customFormat="1" x14ac:dyDescent="0.25"/>
    <row r="120481" s="12" customFormat="1" x14ac:dyDescent="0.25"/>
    <row r="120482" s="12" customFormat="1" x14ac:dyDescent="0.25"/>
    <row r="120483" s="12" customFormat="1" x14ac:dyDescent="0.25"/>
    <row r="120484" s="12" customFormat="1" x14ac:dyDescent="0.25"/>
    <row r="120485" s="12" customFormat="1" x14ac:dyDescent="0.25"/>
    <row r="120486" s="12" customFormat="1" x14ac:dyDescent="0.25"/>
    <row r="120487" s="12" customFormat="1" x14ac:dyDescent="0.25"/>
    <row r="120488" s="12" customFormat="1" x14ac:dyDescent="0.25"/>
    <row r="120489" s="12" customFormat="1" x14ac:dyDescent="0.25"/>
    <row r="120490" s="12" customFormat="1" x14ac:dyDescent="0.25"/>
    <row r="120491" s="12" customFormat="1" x14ac:dyDescent="0.25"/>
    <row r="120492" s="12" customFormat="1" x14ac:dyDescent="0.25"/>
    <row r="120493" s="12" customFormat="1" x14ac:dyDescent="0.25"/>
    <row r="120494" s="12" customFormat="1" x14ac:dyDescent="0.25"/>
    <row r="120495" s="12" customFormat="1" x14ac:dyDescent="0.25"/>
    <row r="120496" s="12" customFormat="1" x14ac:dyDescent="0.25"/>
    <row r="120497" s="12" customFormat="1" x14ac:dyDescent="0.25"/>
    <row r="120498" s="12" customFormat="1" x14ac:dyDescent="0.25"/>
    <row r="120499" s="12" customFormat="1" x14ac:dyDescent="0.25"/>
    <row r="120500" s="12" customFormat="1" x14ac:dyDescent="0.25"/>
    <row r="120501" s="12" customFormat="1" x14ac:dyDescent="0.25"/>
    <row r="120502" s="12" customFormat="1" x14ac:dyDescent="0.25"/>
    <row r="120503" s="12" customFormat="1" x14ac:dyDescent="0.25"/>
    <row r="120504" s="12" customFormat="1" x14ac:dyDescent="0.25"/>
    <row r="120505" s="12" customFormat="1" x14ac:dyDescent="0.25"/>
    <row r="120506" s="12" customFormat="1" x14ac:dyDescent="0.25"/>
    <row r="120507" s="12" customFormat="1" x14ac:dyDescent="0.25"/>
    <row r="120508" s="12" customFormat="1" x14ac:dyDescent="0.25"/>
    <row r="120509" s="12" customFormat="1" x14ac:dyDescent="0.25"/>
    <row r="120510" s="12" customFormat="1" x14ac:dyDescent="0.25"/>
    <row r="120511" s="12" customFormat="1" x14ac:dyDescent="0.25"/>
    <row r="120512" s="12" customFormat="1" x14ac:dyDescent="0.25"/>
    <row r="120513" s="12" customFormat="1" x14ac:dyDescent="0.25"/>
    <row r="120514" s="12" customFormat="1" x14ac:dyDescent="0.25"/>
    <row r="120515" s="12" customFormat="1" x14ac:dyDescent="0.25"/>
    <row r="120516" s="12" customFormat="1" x14ac:dyDescent="0.25"/>
    <row r="120517" s="12" customFormat="1" x14ac:dyDescent="0.25"/>
    <row r="120518" s="12" customFormat="1" x14ac:dyDescent="0.25"/>
    <row r="120519" s="12" customFormat="1" x14ac:dyDescent="0.25"/>
    <row r="120520" s="12" customFormat="1" x14ac:dyDescent="0.25"/>
    <row r="120521" s="12" customFormat="1" x14ac:dyDescent="0.25"/>
    <row r="120522" s="12" customFormat="1" x14ac:dyDescent="0.25"/>
    <row r="120523" s="12" customFormat="1" x14ac:dyDescent="0.25"/>
    <row r="120524" s="12" customFormat="1" x14ac:dyDescent="0.25"/>
    <row r="120525" s="12" customFormat="1" x14ac:dyDescent="0.25"/>
    <row r="120526" s="12" customFormat="1" x14ac:dyDescent="0.25"/>
    <row r="120527" s="12" customFormat="1" x14ac:dyDescent="0.25"/>
    <row r="120528" s="12" customFormat="1" x14ac:dyDescent="0.25"/>
    <row r="120529" s="12" customFormat="1" x14ac:dyDescent="0.25"/>
    <row r="120530" s="12" customFormat="1" x14ac:dyDescent="0.25"/>
    <row r="120531" s="12" customFormat="1" x14ac:dyDescent="0.25"/>
    <row r="120532" s="12" customFormat="1" x14ac:dyDescent="0.25"/>
    <row r="120533" s="12" customFormat="1" x14ac:dyDescent="0.25"/>
    <row r="120534" s="12" customFormat="1" x14ac:dyDescent="0.25"/>
    <row r="120535" s="12" customFormat="1" x14ac:dyDescent="0.25"/>
    <row r="120536" s="12" customFormat="1" x14ac:dyDescent="0.25"/>
    <row r="120537" s="12" customFormat="1" x14ac:dyDescent="0.25"/>
    <row r="120538" s="12" customFormat="1" x14ac:dyDescent="0.25"/>
    <row r="120539" s="12" customFormat="1" x14ac:dyDescent="0.25"/>
    <row r="120540" s="12" customFormat="1" x14ac:dyDescent="0.25"/>
    <row r="120541" s="12" customFormat="1" x14ac:dyDescent="0.25"/>
    <row r="120542" s="12" customFormat="1" x14ac:dyDescent="0.25"/>
    <row r="120543" s="12" customFormat="1" x14ac:dyDescent="0.25"/>
    <row r="120544" s="12" customFormat="1" x14ac:dyDescent="0.25"/>
    <row r="120545" s="12" customFormat="1" x14ac:dyDescent="0.25"/>
    <row r="120546" s="12" customFormat="1" x14ac:dyDescent="0.25"/>
    <row r="120547" s="12" customFormat="1" x14ac:dyDescent="0.25"/>
    <row r="120548" s="12" customFormat="1" x14ac:dyDescent="0.25"/>
    <row r="120549" s="12" customFormat="1" x14ac:dyDescent="0.25"/>
    <row r="120550" s="12" customFormat="1" x14ac:dyDescent="0.25"/>
    <row r="120551" s="12" customFormat="1" x14ac:dyDescent="0.25"/>
    <row r="120552" s="12" customFormat="1" x14ac:dyDescent="0.25"/>
    <row r="120553" s="12" customFormat="1" x14ac:dyDescent="0.25"/>
    <row r="120554" s="12" customFormat="1" x14ac:dyDescent="0.25"/>
    <row r="120555" s="12" customFormat="1" x14ac:dyDescent="0.25"/>
    <row r="120556" s="12" customFormat="1" x14ac:dyDescent="0.25"/>
    <row r="120557" s="12" customFormat="1" x14ac:dyDescent="0.25"/>
    <row r="120558" s="12" customFormat="1" x14ac:dyDescent="0.25"/>
    <row r="120559" s="12" customFormat="1" x14ac:dyDescent="0.25"/>
    <row r="120560" s="12" customFormat="1" x14ac:dyDescent="0.25"/>
    <row r="120561" s="12" customFormat="1" x14ac:dyDescent="0.25"/>
    <row r="120562" s="12" customFormat="1" x14ac:dyDescent="0.25"/>
    <row r="120563" s="12" customFormat="1" x14ac:dyDescent="0.25"/>
    <row r="120564" s="12" customFormat="1" x14ac:dyDescent="0.25"/>
    <row r="120565" s="12" customFormat="1" x14ac:dyDescent="0.25"/>
    <row r="120566" s="12" customFormat="1" x14ac:dyDescent="0.25"/>
    <row r="120567" s="12" customFormat="1" x14ac:dyDescent="0.25"/>
    <row r="120568" s="12" customFormat="1" x14ac:dyDescent="0.25"/>
    <row r="120569" s="12" customFormat="1" x14ac:dyDescent="0.25"/>
    <row r="120570" s="12" customFormat="1" x14ac:dyDescent="0.25"/>
    <row r="120571" s="12" customFormat="1" x14ac:dyDescent="0.25"/>
    <row r="120572" s="12" customFormat="1" x14ac:dyDescent="0.25"/>
    <row r="120573" s="12" customFormat="1" x14ac:dyDescent="0.25"/>
    <row r="120574" s="12" customFormat="1" x14ac:dyDescent="0.25"/>
    <row r="120575" s="12" customFormat="1" x14ac:dyDescent="0.25"/>
    <row r="120576" s="12" customFormat="1" x14ac:dyDescent="0.25"/>
    <row r="120577" s="12" customFormat="1" x14ac:dyDescent="0.25"/>
    <row r="120578" s="12" customFormat="1" x14ac:dyDescent="0.25"/>
    <row r="120579" s="12" customFormat="1" x14ac:dyDescent="0.25"/>
    <row r="120580" s="12" customFormat="1" x14ac:dyDescent="0.25"/>
    <row r="120581" s="12" customFormat="1" x14ac:dyDescent="0.25"/>
    <row r="120582" s="12" customFormat="1" x14ac:dyDescent="0.25"/>
    <row r="120583" s="12" customFormat="1" x14ac:dyDescent="0.25"/>
    <row r="120584" s="12" customFormat="1" x14ac:dyDescent="0.25"/>
    <row r="120585" s="12" customFormat="1" x14ac:dyDescent="0.25"/>
    <row r="120586" s="12" customFormat="1" x14ac:dyDescent="0.25"/>
    <row r="120587" s="12" customFormat="1" x14ac:dyDescent="0.25"/>
    <row r="120588" s="12" customFormat="1" x14ac:dyDescent="0.25"/>
    <row r="120589" s="12" customFormat="1" x14ac:dyDescent="0.25"/>
    <row r="120590" s="12" customFormat="1" x14ac:dyDescent="0.25"/>
    <row r="120591" s="12" customFormat="1" x14ac:dyDescent="0.25"/>
    <row r="120592" s="12" customFormat="1" x14ac:dyDescent="0.25"/>
    <row r="120593" s="12" customFormat="1" x14ac:dyDescent="0.25"/>
    <row r="120594" s="12" customFormat="1" x14ac:dyDescent="0.25"/>
    <row r="120595" s="12" customFormat="1" x14ac:dyDescent="0.25"/>
    <row r="120596" s="12" customFormat="1" x14ac:dyDescent="0.25"/>
    <row r="120597" s="12" customFormat="1" x14ac:dyDescent="0.25"/>
    <row r="120598" s="12" customFormat="1" x14ac:dyDescent="0.25"/>
    <row r="120599" s="12" customFormat="1" x14ac:dyDescent="0.25"/>
    <row r="120600" s="12" customFormat="1" x14ac:dyDescent="0.25"/>
    <row r="120601" s="12" customFormat="1" x14ac:dyDescent="0.25"/>
    <row r="120602" s="12" customFormat="1" x14ac:dyDescent="0.25"/>
    <row r="120603" s="12" customFormat="1" x14ac:dyDescent="0.25"/>
    <row r="120604" s="12" customFormat="1" x14ac:dyDescent="0.25"/>
    <row r="120605" s="12" customFormat="1" x14ac:dyDescent="0.25"/>
    <row r="120606" s="12" customFormat="1" x14ac:dyDescent="0.25"/>
    <row r="120607" s="12" customFormat="1" x14ac:dyDescent="0.25"/>
    <row r="120608" s="12" customFormat="1" x14ac:dyDescent="0.25"/>
    <row r="120609" s="12" customFormat="1" x14ac:dyDescent="0.25"/>
    <row r="120610" s="12" customFormat="1" x14ac:dyDescent="0.25"/>
    <row r="120611" s="12" customFormat="1" x14ac:dyDescent="0.25"/>
    <row r="120612" s="12" customFormat="1" x14ac:dyDescent="0.25"/>
    <row r="120613" s="12" customFormat="1" x14ac:dyDescent="0.25"/>
    <row r="120614" s="12" customFormat="1" x14ac:dyDescent="0.25"/>
    <row r="120615" s="12" customFormat="1" x14ac:dyDescent="0.25"/>
    <row r="120616" s="12" customFormat="1" x14ac:dyDescent="0.25"/>
    <row r="120617" s="12" customFormat="1" x14ac:dyDescent="0.25"/>
    <row r="120618" s="12" customFormat="1" x14ac:dyDescent="0.25"/>
    <row r="120619" s="12" customFormat="1" x14ac:dyDescent="0.25"/>
    <row r="120620" s="12" customFormat="1" x14ac:dyDescent="0.25"/>
    <row r="120621" s="12" customFormat="1" x14ac:dyDescent="0.25"/>
    <row r="120622" s="12" customFormat="1" x14ac:dyDescent="0.25"/>
    <row r="120623" s="12" customFormat="1" x14ac:dyDescent="0.25"/>
    <row r="120624" s="12" customFormat="1" x14ac:dyDescent="0.25"/>
    <row r="120625" s="12" customFormat="1" x14ac:dyDescent="0.25"/>
    <row r="120626" s="12" customFormat="1" x14ac:dyDescent="0.25"/>
    <row r="120627" s="12" customFormat="1" x14ac:dyDescent="0.25"/>
    <row r="120628" s="12" customFormat="1" x14ac:dyDescent="0.25"/>
    <row r="120629" s="12" customFormat="1" x14ac:dyDescent="0.25"/>
    <row r="120630" s="12" customFormat="1" x14ac:dyDescent="0.25"/>
    <row r="120631" s="12" customFormat="1" x14ac:dyDescent="0.25"/>
    <row r="120632" s="12" customFormat="1" x14ac:dyDescent="0.25"/>
    <row r="120633" s="12" customFormat="1" x14ac:dyDescent="0.25"/>
    <row r="120634" s="12" customFormat="1" x14ac:dyDescent="0.25"/>
    <row r="120635" s="12" customFormat="1" x14ac:dyDescent="0.25"/>
    <row r="120636" s="12" customFormat="1" x14ac:dyDescent="0.25"/>
    <row r="120637" s="12" customFormat="1" x14ac:dyDescent="0.25"/>
    <row r="120638" s="12" customFormat="1" x14ac:dyDescent="0.25"/>
    <row r="120639" s="12" customFormat="1" x14ac:dyDescent="0.25"/>
    <row r="120640" s="12" customFormat="1" x14ac:dyDescent="0.25"/>
    <row r="120641" s="12" customFormat="1" x14ac:dyDescent="0.25"/>
    <row r="120642" s="12" customFormat="1" x14ac:dyDescent="0.25"/>
    <row r="120643" s="12" customFormat="1" x14ac:dyDescent="0.25"/>
    <row r="120644" s="12" customFormat="1" x14ac:dyDescent="0.25"/>
    <row r="120645" s="12" customFormat="1" x14ac:dyDescent="0.25"/>
    <row r="120646" s="12" customFormat="1" x14ac:dyDescent="0.25"/>
    <row r="120647" s="12" customFormat="1" x14ac:dyDescent="0.25"/>
    <row r="120648" s="12" customFormat="1" x14ac:dyDescent="0.25"/>
    <row r="120649" s="12" customFormat="1" x14ac:dyDescent="0.25"/>
    <row r="120650" s="12" customFormat="1" x14ac:dyDescent="0.25"/>
    <row r="120651" s="12" customFormat="1" x14ac:dyDescent="0.25"/>
    <row r="120652" s="12" customFormat="1" x14ac:dyDescent="0.25"/>
    <row r="120653" s="12" customFormat="1" x14ac:dyDescent="0.25"/>
    <row r="120654" s="12" customFormat="1" x14ac:dyDescent="0.25"/>
    <row r="120655" s="12" customFormat="1" x14ac:dyDescent="0.25"/>
    <row r="120656" s="12" customFormat="1" x14ac:dyDescent="0.25"/>
    <row r="120657" s="12" customFormat="1" x14ac:dyDescent="0.25"/>
    <row r="120658" s="12" customFormat="1" x14ac:dyDescent="0.25"/>
    <row r="120659" s="12" customFormat="1" x14ac:dyDescent="0.25"/>
    <row r="120660" s="12" customFormat="1" x14ac:dyDescent="0.25"/>
    <row r="120661" s="12" customFormat="1" x14ac:dyDescent="0.25"/>
    <row r="120662" s="12" customFormat="1" x14ac:dyDescent="0.25"/>
    <row r="120663" s="12" customFormat="1" x14ac:dyDescent="0.25"/>
    <row r="120664" s="12" customFormat="1" x14ac:dyDescent="0.25"/>
    <row r="120665" s="12" customFormat="1" x14ac:dyDescent="0.25"/>
    <row r="120666" s="12" customFormat="1" x14ac:dyDescent="0.25"/>
    <row r="120667" s="12" customFormat="1" x14ac:dyDescent="0.25"/>
    <row r="120668" s="12" customFormat="1" x14ac:dyDescent="0.25"/>
    <row r="120669" s="12" customFormat="1" x14ac:dyDescent="0.25"/>
    <row r="120670" s="12" customFormat="1" x14ac:dyDescent="0.25"/>
    <row r="120671" s="12" customFormat="1" x14ac:dyDescent="0.25"/>
    <row r="120672" s="12" customFormat="1" x14ac:dyDescent="0.25"/>
    <row r="120673" s="12" customFormat="1" x14ac:dyDescent="0.25"/>
    <row r="120674" s="12" customFormat="1" x14ac:dyDescent="0.25"/>
    <row r="120675" s="12" customFormat="1" x14ac:dyDescent="0.25"/>
    <row r="120676" s="12" customFormat="1" x14ac:dyDescent="0.25"/>
    <row r="120677" s="12" customFormat="1" x14ac:dyDescent="0.25"/>
    <row r="120678" s="12" customFormat="1" x14ac:dyDescent="0.25"/>
    <row r="120679" s="12" customFormat="1" x14ac:dyDescent="0.25"/>
    <row r="120680" s="12" customFormat="1" x14ac:dyDescent="0.25"/>
    <row r="120681" s="12" customFormat="1" x14ac:dyDescent="0.25"/>
    <row r="120682" s="12" customFormat="1" x14ac:dyDescent="0.25"/>
    <row r="120683" s="12" customFormat="1" x14ac:dyDescent="0.25"/>
    <row r="120684" s="12" customFormat="1" x14ac:dyDescent="0.25"/>
    <row r="120685" s="12" customFormat="1" x14ac:dyDescent="0.25"/>
    <row r="120686" s="12" customFormat="1" x14ac:dyDescent="0.25"/>
    <row r="120687" s="12" customFormat="1" x14ac:dyDescent="0.25"/>
    <row r="120688" s="12" customFormat="1" x14ac:dyDescent="0.25"/>
    <row r="120689" s="12" customFormat="1" x14ac:dyDescent="0.25"/>
    <row r="120690" s="12" customFormat="1" x14ac:dyDescent="0.25"/>
    <row r="120691" s="12" customFormat="1" x14ac:dyDescent="0.25"/>
    <row r="120692" s="12" customFormat="1" x14ac:dyDescent="0.25"/>
    <row r="120693" s="12" customFormat="1" x14ac:dyDescent="0.25"/>
    <row r="120694" s="12" customFormat="1" x14ac:dyDescent="0.25"/>
    <row r="120695" s="12" customFormat="1" x14ac:dyDescent="0.25"/>
    <row r="120696" s="12" customFormat="1" x14ac:dyDescent="0.25"/>
    <row r="120697" s="12" customFormat="1" x14ac:dyDescent="0.25"/>
    <row r="120698" s="12" customFormat="1" x14ac:dyDescent="0.25"/>
    <row r="120699" s="12" customFormat="1" x14ac:dyDescent="0.25"/>
    <row r="120700" s="12" customFormat="1" x14ac:dyDescent="0.25"/>
    <row r="120701" s="12" customFormat="1" x14ac:dyDescent="0.25"/>
    <row r="120702" s="12" customFormat="1" x14ac:dyDescent="0.25"/>
    <row r="120703" s="12" customFormat="1" x14ac:dyDescent="0.25"/>
    <row r="120704" s="12" customFormat="1" x14ac:dyDescent="0.25"/>
    <row r="120705" s="12" customFormat="1" x14ac:dyDescent="0.25"/>
    <row r="120706" s="12" customFormat="1" x14ac:dyDescent="0.25"/>
    <row r="120707" s="12" customFormat="1" x14ac:dyDescent="0.25"/>
    <row r="120708" s="12" customFormat="1" x14ac:dyDescent="0.25"/>
    <row r="120709" s="12" customFormat="1" x14ac:dyDescent="0.25"/>
    <row r="120710" s="12" customFormat="1" x14ac:dyDescent="0.25"/>
    <row r="120711" s="12" customFormat="1" x14ac:dyDescent="0.25"/>
    <row r="120712" s="12" customFormat="1" x14ac:dyDescent="0.25"/>
    <row r="120713" s="12" customFormat="1" x14ac:dyDescent="0.25"/>
    <row r="120714" s="12" customFormat="1" x14ac:dyDescent="0.25"/>
    <row r="120715" s="12" customFormat="1" x14ac:dyDescent="0.25"/>
    <row r="120716" s="12" customFormat="1" x14ac:dyDescent="0.25"/>
    <row r="120717" s="12" customFormat="1" x14ac:dyDescent="0.25"/>
    <row r="120718" s="12" customFormat="1" x14ac:dyDescent="0.25"/>
    <row r="120719" s="12" customFormat="1" x14ac:dyDescent="0.25"/>
    <row r="120720" s="12" customFormat="1" x14ac:dyDescent="0.25"/>
    <row r="120721" s="12" customFormat="1" x14ac:dyDescent="0.25"/>
    <row r="120722" s="12" customFormat="1" x14ac:dyDescent="0.25"/>
    <row r="120723" s="12" customFormat="1" x14ac:dyDescent="0.25"/>
    <row r="120724" s="12" customFormat="1" x14ac:dyDescent="0.25"/>
    <row r="120725" s="12" customFormat="1" x14ac:dyDescent="0.25"/>
    <row r="120726" s="12" customFormat="1" x14ac:dyDescent="0.25"/>
    <row r="120727" s="12" customFormat="1" x14ac:dyDescent="0.25"/>
    <row r="120728" s="12" customFormat="1" x14ac:dyDescent="0.25"/>
    <row r="120729" s="12" customFormat="1" x14ac:dyDescent="0.25"/>
    <row r="120730" s="12" customFormat="1" x14ac:dyDescent="0.25"/>
    <row r="120731" s="12" customFormat="1" x14ac:dyDescent="0.25"/>
    <row r="120732" s="12" customFormat="1" x14ac:dyDescent="0.25"/>
    <row r="120733" s="12" customFormat="1" x14ac:dyDescent="0.25"/>
    <row r="120734" s="12" customFormat="1" x14ac:dyDescent="0.25"/>
    <row r="120735" s="12" customFormat="1" x14ac:dyDescent="0.25"/>
    <row r="120736" s="12" customFormat="1" x14ac:dyDescent="0.25"/>
    <row r="120737" s="12" customFormat="1" x14ac:dyDescent="0.25"/>
    <row r="120738" s="12" customFormat="1" x14ac:dyDescent="0.25"/>
    <row r="120739" s="12" customFormat="1" x14ac:dyDescent="0.25"/>
    <row r="120740" s="12" customFormat="1" x14ac:dyDescent="0.25"/>
    <row r="120741" s="12" customFormat="1" x14ac:dyDescent="0.25"/>
    <row r="120742" s="12" customFormat="1" x14ac:dyDescent="0.25"/>
    <row r="120743" s="12" customFormat="1" x14ac:dyDescent="0.25"/>
    <row r="120744" s="12" customFormat="1" x14ac:dyDescent="0.25"/>
    <row r="120745" s="12" customFormat="1" x14ac:dyDescent="0.25"/>
    <row r="120746" s="12" customFormat="1" x14ac:dyDescent="0.25"/>
    <row r="120747" s="12" customFormat="1" x14ac:dyDescent="0.25"/>
    <row r="120748" s="12" customFormat="1" x14ac:dyDescent="0.25"/>
    <row r="120749" s="12" customFormat="1" x14ac:dyDescent="0.25"/>
    <row r="120750" s="12" customFormat="1" x14ac:dyDescent="0.25"/>
    <row r="120751" s="12" customFormat="1" x14ac:dyDescent="0.25"/>
    <row r="120752" s="12" customFormat="1" x14ac:dyDescent="0.25"/>
    <row r="120753" s="12" customFormat="1" x14ac:dyDescent="0.25"/>
    <row r="120754" s="12" customFormat="1" x14ac:dyDescent="0.25"/>
    <row r="120755" s="12" customFormat="1" x14ac:dyDescent="0.25"/>
    <row r="120756" s="12" customFormat="1" x14ac:dyDescent="0.25"/>
    <row r="120757" s="12" customFormat="1" x14ac:dyDescent="0.25"/>
    <row r="120758" s="12" customFormat="1" x14ac:dyDescent="0.25"/>
    <row r="120759" s="12" customFormat="1" x14ac:dyDescent="0.25"/>
    <row r="120760" s="12" customFormat="1" x14ac:dyDescent="0.25"/>
    <row r="120761" s="12" customFormat="1" x14ac:dyDescent="0.25"/>
    <row r="120762" s="12" customFormat="1" x14ac:dyDescent="0.25"/>
    <row r="120763" s="12" customFormat="1" x14ac:dyDescent="0.25"/>
    <row r="120764" s="12" customFormat="1" x14ac:dyDescent="0.25"/>
    <row r="120765" s="12" customFormat="1" x14ac:dyDescent="0.25"/>
    <row r="120766" s="12" customFormat="1" x14ac:dyDescent="0.25"/>
    <row r="120767" s="12" customFormat="1" x14ac:dyDescent="0.25"/>
    <row r="120768" s="12" customFormat="1" x14ac:dyDescent="0.25"/>
    <row r="120769" s="12" customFormat="1" x14ac:dyDescent="0.25"/>
    <row r="120770" s="12" customFormat="1" x14ac:dyDescent="0.25"/>
    <row r="120771" s="12" customFormat="1" x14ac:dyDescent="0.25"/>
    <row r="120772" s="12" customFormat="1" x14ac:dyDescent="0.25"/>
    <row r="120773" s="12" customFormat="1" x14ac:dyDescent="0.25"/>
    <row r="120774" s="12" customFormat="1" x14ac:dyDescent="0.25"/>
    <row r="120775" s="12" customFormat="1" x14ac:dyDescent="0.25"/>
    <row r="120776" s="12" customFormat="1" x14ac:dyDescent="0.25"/>
    <row r="120777" s="12" customFormat="1" x14ac:dyDescent="0.25"/>
    <row r="120778" s="12" customFormat="1" x14ac:dyDescent="0.25"/>
    <row r="120779" s="12" customFormat="1" x14ac:dyDescent="0.25"/>
    <row r="120780" s="12" customFormat="1" x14ac:dyDescent="0.25"/>
    <row r="120781" s="12" customFormat="1" x14ac:dyDescent="0.25"/>
    <row r="120782" s="12" customFormat="1" x14ac:dyDescent="0.25"/>
    <row r="120783" s="12" customFormat="1" x14ac:dyDescent="0.25"/>
    <row r="120784" s="12" customFormat="1" x14ac:dyDescent="0.25"/>
    <row r="120785" s="12" customFormat="1" x14ac:dyDescent="0.25"/>
    <row r="120786" s="12" customFormat="1" x14ac:dyDescent="0.25"/>
    <row r="120787" s="12" customFormat="1" x14ac:dyDescent="0.25"/>
    <row r="120788" s="12" customFormat="1" x14ac:dyDescent="0.25"/>
    <row r="120789" s="12" customFormat="1" x14ac:dyDescent="0.25"/>
    <row r="120790" s="12" customFormat="1" x14ac:dyDescent="0.25"/>
    <row r="120791" s="12" customFormat="1" x14ac:dyDescent="0.25"/>
    <row r="120792" s="12" customFormat="1" x14ac:dyDescent="0.25"/>
    <row r="120793" s="12" customFormat="1" x14ac:dyDescent="0.25"/>
    <row r="120794" s="12" customFormat="1" x14ac:dyDescent="0.25"/>
    <row r="120795" s="12" customFormat="1" x14ac:dyDescent="0.25"/>
    <row r="120796" s="12" customFormat="1" x14ac:dyDescent="0.25"/>
    <row r="120797" s="12" customFormat="1" x14ac:dyDescent="0.25"/>
    <row r="120798" s="12" customFormat="1" x14ac:dyDescent="0.25"/>
    <row r="120799" s="12" customFormat="1" x14ac:dyDescent="0.25"/>
    <row r="120800" s="12" customFormat="1" x14ac:dyDescent="0.25"/>
    <row r="120801" s="12" customFormat="1" x14ac:dyDescent="0.25"/>
    <row r="120802" s="12" customFormat="1" x14ac:dyDescent="0.25"/>
    <row r="120803" s="12" customFormat="1" x14ac:dyDescent="0.25"/>
    <row r="120804" s="12" customFormat="1" x14ac:dyDescent="0.25"/>
    <row r="120805" s="12" customFormat="1" x14ac:dyDescent="0.25"/>
    <row r="120806" s="12" customFormat="1" x14ac:dyDescent="0.25"/>
    <row r="120807" s="12" customFormat="1" x14ac:dyDescent="0.25"/>
    <row r="120808" s="12" customFormat="1" x14ac:dyDescent="0.25"/>
    <row r="120809" s="12" customFormat="1" x14ac:dyDescent="0.25"/>
    <row r="120810" s="12" customFormat="1" x14ac:dyDescent="0.25"/>
    <row r="120811" s="12" customFormat="1" x14ac:dyDescent="0.25"/>
    <row r="120812" s="12" customFormat="1" x14ac:dyDescent="0.25"/>
    <row r="120813" s="12" customFormat="1" x14ac:dyDescent="0.25"/>
    <row r="120814" s="12" customFormat="1" x14ac:dyDescent="0.25"/>
    <row r="120815" s="12" customFormat="1" x14ac:dyDescent="0.25"/>
    <row r="120816" s="12" customFormat="1" x14ac:dyDescent="0.25"/>
    <row r="120817" s="12" customFormat="1" x14ac:dyDescent="0.25"/>
    <row r="120818" s="12" customFormat="1" x14ac:dyDescent="0.25"/>
    <row r="120819" s="12" customFormat="1" x14ac:dyDescent="0.25"/>
    <row r="120820" s="12" customFormat="1" x14ac:dyDescent="0.25"/>
    <row r="120821" s="12" customFormat="1" x14ac:dyDescent="0.25"/>
    <row r="120822" s="12" customFormat="1" x14ac:dyDescent="0.25"/>
    <row r="120823" s="12" customFormat="1" x14ac:dyDescent="0.25"/>
    <row r="120824" s="12" customFormat="1" x14ac:dyDescent="0.25"/>
    <row r="120825" s="12" customFormat="1" x14ac:dyDescent="0.25"/>
    <row r="120826" s="12" customFormat="1" x14ac:dyDescent="0.25"/>
    <row r="120827" s="12" customFormat="1" x14ac:dyDescent="0.25"/>
    <row r="120828" s="12" customFormat="1" x14ac:dyDescent="0.25"/>
    <row r="120829" s="12" customFormat="1" x14ac:dyDescent="0.25"/>
    <row r="120830" s="12" customFormat="1" x14ac:dyDescent="0.25"/>
    <row r="120831" s="12" customFormat="1" x14ac:dyDescent="0.25"/>
    <row r="120832" s="12" customFormat="1" x14ac:dyDescent="0.25"/>
    <row r="120833" s="12" customFormat="1" x14ac:dyDescent="0.25"/>
    <row r="120834" s="12" customFormat="1" x14ac:dyDescent="0.25"/>
    <row r="120835" s="12" customFormat="1" x14ac:dyDescent="0.25"/>
    <row r="120836" s="12" customFormat="1" x14ac:dyDescent="0.25"/>
    <row r="120837" s="12" customFormat="1" x14ac:dyDescent="0.25"/>
    <row r="120838" s="12" customFormat="1" x14ac:dyDescent="0.25"/>
    <row r="120839" s="12" customFormat="1" x14ac:dyDescent="0.25"/>
    <row r="120840" s="12" customFormat="1" x14ac:dyDescent="0.25"/>
    <row r="120841" s="12" customFormat="1" x14ac:dyDescent="0.25"/>
    <row r="120842" s="12" customFormat="1" x14ac:dyDescent="0.25"/>
    <row r="120843" s="12" customFormat="1" x14ac:dyDescent="0.25"/>
    <row r="120844" s="12" customFormat="1" x14ac:dyDescent="0.25"/>
    <row r="120845" s="12" customFormat="1" x14ac:dyDescent="0.25"/>
    <row r="120846" s="12" customFormat="1" x14ac:dyDescent="0.25"/>
    <row r="120847" s="12" customFormat="1" x14ac:dyDescent="0.25"/>
    <row r="120848" s="12" customFormat="1" x14ac:dyDescent="0.25"/>
    <row r="120849" s="12" customFormat="1" x14ac:dyDescent="0.25"/>
    <row r="120850" s="12" customFormat="1" x14ac:dyDescent="0.25"/>
    <row r="120851" s="12" customFormat="1" x14ac:dyDescent="0.25"/>
    <row r="120852" s="12" customFormat="1" x14ac:dyDescent="0.25"/>
    <row r="120853" s="12" customFormat="1" x14ac:dyDescent="0.25"/>
    <row r="120854" s="12" customFormat="1" x14ac:dyDescent="0.25"/>
    <row r="120855" s="12" customFormat="1" x14ac:dyDescent="0.25"/>
    <row r="120856" s="12" customFormat="1" x14ac:dyDescent="0.25"/>
    <row r="120857" s="12" customFormat="1" x14ac:dyDescent="0.25"/>
    <row r="120858" s="12" customFormat="1" x14ac:dyDescent="0.25"/>
    <row r="120859" s="12" customFormat="1" x14ac:dyDescent="0.25"/>
    <row r="120860" s="12" customFormat="1" x14ac:dyDescent="0.25"/>
    <row r="120861" s="12" customFormat="1" x14ac:dyDescent="0.25"/>
    <row r="120862" s="12" customFormat="1" x14ac:dyDescent="0.25"/>
    <row r="120863" s="12" customFormat="1" x14ac:dyDescent="0.25"/>
    <row r="120864" s="12" customFormat="1" x14ac:dyDescent="0.25"/>
    <row r="120865" s="12" customFormat="1" x14ac:dyDescent="0.25"/>
    <row r="120866" s="12" customFormat="1" x14ac:dyDescent="0.25"/>
    <row r="120867" s="12" customFormat="1" x14ac:dyDescent="0.25"/>
    <row r="120868" s="12" customFormat="1" x14ac:dyDescent="0.25"/>
    <row r="120869" s="12" customFormat="1" x14ac:dyDescent="0.25"/>
    <row r="120870" s="12" customFormat="1" x14ac:dyDescent="0.25"/>
    <row r="120871" s="12" customFormat="1" x14ac:dyDescent="0.25"/>
    <row r="120872" s="12" customFormat="1" x14ac:dyDescent="0.25"/>
    <row r="120873" s="12" customFormat="1" x14ac:dyDescent="0.25"/>
    <row r="120874" s="12" customFormat="1" x14ac:dyDescent="0.25"/>
    <row r="120875" s="12" customFormat="1" x14ac:dyDescent="0.25"/>
    <row r="120876" s="12" customFormat="1" x14ac:dyDescent="0.25"/>
    <row r="120877" s="12" customFormat="1" x14ac:dyDescent="0.25"/>
    <row r="120878" s="12" customFormat="1" x14ac:dyDescent="0.25"/>
    <row r="120879" s="12" customFormat="1" x14ac:dyDescent="0.25"/>
    <row r="120880" s="12" customFormat="1" x14ac:dyDescent="0.25"/>
    <row r="120881" s="12" customFormat="1" x14ac:dyDescent="0.25"/>
    <row r="120882" s="12" customFormat="1" x14ac:dyDescent="0.25"/>
    <row r="120883" s="12" customFormat="1" x14ac:dyDescent="0.25"/>
    <row r="120884" s="12" customFormat="1" x14ac:dyDescent="0.25"/>
    <row r="120885" s="12" customFormat="1" x14ac:dyDescent="0.25"/>
    <row r="120886" s="12" customFormat="1" x14ac:dyDescent="0.25"/>
    <row r="120887" s="12" customFormat="1" x14ac:dyDescent="0.25"/>
    <row r="120888" s="12" customFormat="1" x14ac:dyDescent="0.25"/>
    <row r="120889" s="12" customFormat="1" x14ac:dyDescent="0.25"/>
    <row r="120890" s="12" customFormat="1" x14ac:dyDescent="0.25"/>
    <row r="120891" s="12" customFormat="1" x14ac:dyDescent="0.25"/>
    <row r="120892" s="12" customFormat="1" x14ac:dyDescent="0.25"/>
    <row r="120893" s="12" customFormat="1" x14ac:dyDescent="0.25"/>
    <row r="120894" s="12" customFormat="1" x14ac:dyDescent="0.25"/>
    <row r="120895" s="12" customFormat="1" x14ac:dyDescent="0.25"/>
    <row r="120896" s="12" customFormat="1" x14ac:dyDescent="0.25"/>
    <row r="120897" s="12" customFormat="1" x14ac:dyDescent="0.25"/>
    <row r="120898" s="12" customFormat="1" x14ac:dyDescent="0.25"/>
    <row r="120899" s="12" customFormat="1" x14ac:dyDescent="0.25"/>
    <row r="120900" s="12" customFormat="1" x14ac:dyDescent="0.25"/>
    <row r="120901" s="12" customFormat="1" x14ac:dyDescent="0.25"/>
    <row r="120902" s="12" customFormat="1" x14ac:dyDescent="0.25"/>
    <row r="120903" s="12" customFormat="1" x14ac:dyDescent="0.25"/>
    <row r="120904" s="12" customFormat="1" x14ac:dyDescent="0.25"/>
    <row r="120905" s="12" customFormat="1" x14ac:dyDescent="0.25"/>
    <row r="120906" s="12" customFormat="1" x14ac:dyDescent="0.25"/>
    <row r="120907" s="12" customFormat="1" x14ac:dyDescent="0.25"/>
    <row r="120908" s="12" customFormat="1" x14ac:dyDescent="0.25"/>
    <row r="120909" s="12" customFormat="1" x14ac:dyDescent="0.25"/>
    <row r="120910" s="12" customFormat="1" x14ac:dyDescent="0.25"/>
    <row r="120911" s="12" customFormat="1" x14ac:dyDescent="0.25"/>
    <row r="120912" s="12" customFormat="1" x14ac:dyDescent="0.25"/>
    <row r="120913" s="12" customFormat="1" x14ac:dyDescent="0.25"/>
    <row r="120914" s="12" customFormat="1" x14ac:dyDescent="0.25"/>
    <row r="120915" s="12" customFormat="1" x14ac:dyDescent="0.25"/>
    <row r="120916" s="12" customFormat="1" x14ac:dyDescent="0.25"/>
    <row r="120917" s="12" customFormat="1" x14ac:dyDescent="0.25"/>
    <row r="120918" s="12" customFormat="1" x14ac:dyDescent="0.25"/>
    <row r="120919" s="12" customFormat="1" x14ac:dyDescent="0.25"/>
    <row r="120920" s="12" customFormat="1" x14ac:dyDescent="0.25"/>
    <row r="120921" s="12" customFormat="1" x14ac:dyDescent="0.25"/>
    <row r="120922" s="12" customFormat="1" x14ac:dyDescent="0.25"/>
    <row r="120923" s="12" customFormat="1" x14ac:dyDescent="0.25"/>
    <row r="120924" s="12" customFormat="1" x14ac:dyDescent="0.25"/>
    <row r="120925" s="12" customFormat="1" x14ac:dyDescent="0.25"/>
    <row r="120926" s="12" customFormat="1" x14ac:dyDescent="0.25"/>
    <row r="120927" s="12" customFormat="1" x14ac:dyDescent="0.25"/>
    <row r="120928" s="12" customFormat="1" x14ac:dyDescent="0.25"/>
    <row r="120929" s="12" customFormat="1" x14ac:dyDescent="0.25"/>
    <row r="120930" s="12" customFormat="1" x14ac:dyDescent="0.25"/>
    <row r="120931" s="12" customFormat="1" x14ac:dyDescent="0.25"/>
    <row r="120932" s="12" customFormat="1" x14ac:dyDescent="0.25"/>
    <row r="120933" s="12" customFormat="1" x14ac:dyDescent="0.25"/>
    <row r="120934" s="12" customFormat="1" x14ac:dyDescent="0.25"/>
    <row r="120935" s="12" customFormat="1" x14ac:dyDescent="0.25"/>
    <row r="120936" s="12" customFormat="1" x14ac:dyDescent="0.25"/>
    <row r="120937" s="12" customFormat="1" x14ac:dyDescent="0.25"/>
    <row r="120938" s="12" customFormat="1" x14ac:dyDescent="0.25"/>
    <row r="120939" s="12" customFormat="1" x14ac:dyDescent="0.25"/>
    <row r="120940" s="12" customFormat="1" x14ac:dyDescent="0.25"/>
    <row r="120941" s="12" customFormat="1" x14ac:dyDescent="0.25"/>
    <row r="120942" s="12" customFormat="1" x14ac:dyDescent="0.25"/>
    <row r="120943" s="12" customFormat="1" x14ac:dyDescent="0.25"/>
    <row r="120944" s="12" customFormat="1" x14ac:dyDescent="0.25"/>
    <row r="120945" s="12" customFormat="1" x14ac:dyDescent="0.25"/>
    <row r="120946" s="12" customFormat="1" x14ac:dyDescent="0.25"/>
    <row r="120947" s="12" customFormat="1" x14ac:dyDescent="0.25"/>
    <row r="120948" s="12" customFormat="1" x14ac:dyDescent="0.25"/>
    <row r="120949" s="12" customFormat="1" x14ac:dyDescent="0.25"/>
    <row r="120950" s="12" customFormat="1" x14ac:dyDescent="0.25"/>
    <row r="120951" s="12" customFormat="1" x14ac:dyDescent="0.25"/>
    <row r="120952" s="12" customFormat="1" x14ac:dyDescent="0.25"/>
    <row r="120953" s="12" customFormat="1" x14ac:dyDescent="0.25"/>
    <row r="120954" s="12" customFormat="1" x14ac:dyDescent="0.25"/>
    <row r="120955" s="12" customFormat="1" x14ac:dyDescent="0.25"/>
    <row r="120956" s="12" customFormat="1" x14ac:dyDescent="0.25"/>
    <row r="120957" s="12" customFormat="1" x14ac:dyDescent="0.25"/>
    <row r="120958" s="12" customFormat="1" x14ac:dyDescent="0.25"/>
    <row r="120959" s="12" customFormat="1" x14ac:dyDescent="0.25"/>
    <row r="120960" s="12" customFormat="1" x14ac:dyDescent="0.25"/>
    <row r="120961" s="12" customFormat="1" x14ac:dyDescent="0.25"/>
    <row r="120962" s="12" customFormat="1" x14ac:dyDescent="0.25"/>
    <row r="120963" s="12" customFormat="1" x14ac:dyDescent="0.25"/>
    <row r="120964" s="12" customFormat="1" x14ac:dyDescent="0.25"/>
    <row r="120965" s="12" customFormat="1" x14ac:dyDescent="0.25"/>
    <row r="120966" s="12" customFormat="1" x14ac:dyDescent="0.25"/>
    <row r="120967" s="12" customFormat="1" x14ac:dyDescent="0.25"/>
    <row r="120968" s="12" customFormat="1" x14ac:dyDescent="0.25"/>
    <row r="120969" s="12" customFormat="1" x14ac:dyDescent="0.25"/>
    <row r="120970" s="12" customFormat="1" x14ac:dyDescent="0.25"/>
    <row r="120971" s="12" customFormat="1" x14ac:dyDescent="0.25"/>
    <row r="120972" s="12" customFormat="1" x14ac:dyDescent="0.25"/>
    <row r="120973" s="12" customFormat="1" x14ac:dyDescent="0.25"/>
    <row r="120974" s="12" customFormat="1" x14ac:dyDescent="0.25"/>
    <row r="120975" s="12" customFormat="1" x14ac:dyDescent="0.25"/>
    <row r="120976" s="12" customFormat="1" x14ac:dyDescent="0.25"/>
    <row r="120977" s="12" customFormat="1" x14ac:dyDescent="0.25"/>
    <row r="120978" s="12" customFormat="1" x14ac:dyDescent="0.25"/>
    <row r="120979" s="12" customFormat="1" x14ac:dyDescent="0.25"/>
    <row r="120980" s="12" customFormat="1" x14ac:dyDescent="0.25"/>
    <row r="120981" s="12" customFormat="1" x14ac:dyDescent="0.25"/>
    <row r="120982" s="12" customFormat="1" x14ac:dyDescent="0.25"/>
    <row r="120983" s="12" customFormat="1" x14ac:dyDescent="0.25"/>
    <row r="120984" s="12" customFormat="1" x14ac:dyDescent="0.25"/>
    <row r="120985" s="12" customFormat="1" x14ac:dyDescent="0.25"/>
    <row r="120986" s="12" customFormat="1" x14ac:dyDescent="0.25"/>
    <row r="120987" s="12" customFormat="1" x14ac:dyDescent="0.25"/>
    <row r="120988" s="12" customFormat="1" x14ac:dyDescent="0.25"/>
    <row r="120989" s="12" customFormat="1" x14ac:dyDescent="0.25"/>
    <row r="120990" s="12" customFormat="1" x14ac:dyDescent="0.25"/>
    <row r="120991" s="12" customFormat="1" x14ac:dyDescent="0.25"/>
    <row r="120992" s="12" customFormat="1" x14ac:dyDescent="0.25"/>
    <row r="120993" s="12" customFormat="1" x14ac:dyDescent="0.25"/>
    <row r="120994" s="12" customFormat="1" x14ac:dyDescent="0.25"/>
    <row r="120995" s="12" customFormat="1" x14ac:dyDescent="0.25"/>
    <row r="120996" s="12" customFormat="1" x14ac:dyDescent="0.25"/>
    <row r="120997" s="12" customFormat="1" x14ac:dyDescent="0.25"/>
    <row r="120998" s="12" customFormat="1" x14ac:dyDescent="0.25"/>
    <row r="120999" s="12" customFormat="1" x14ac:dyDescent="0.25"/>
    <row r="121000" s="12" customFormat="1" x14ac:dyDescent="0.25"/>
    <row r="121001" s="12" customFormat="1" x14ac:dyDescent="0.25"/>
    <row r="121002" s="12" customFormat="1" x14ac:dyDescent="0.25"/>
    <row r="121003" s="12" customFormat="1" x14ac:dyDescent="0.25"/>
    <row r="121004" s="12" customFormat="1" x14ac:dyDescent="0.25"/>
    <row r="121005" s="12" customFormat="1" x14ac:dyDescent="0.25"/>
    <row r="121006" s="12" customFormat="1" x14ac:dyDescent="0.25"/>
    <row r="121007" s="12" customFormat="1" x14ac:dyDescent="0.25"/>
    <row r="121008" s="12" customFormat="1" x14ac:dyDescent="0.25"/>
    <row r="121009" s="12" customFormat="1" x14ac:dyDescent="0.25"/>
    <row r="121010" s="12" customFormat="1" x14ac:dyDescent="0.25"/>
    <row r="121011" s="12" customFormat="1" x14ac:dyDescent="0.25"/>
    <row r="121012" s="12" customFormat="1" x14ac:dyDescent="0.25"/>
    <row r="121013" s="12" customFormat="1" x14ac:dyDescent="0.25"/>
    <row r="121014" s="12" customFormat="1" x14ac:dyDescent="0.25"/>
    <row r="121015" s="12" customFormat="1" x14ac:dyDescent="0.25"/>
    <row r="121016" s="12" customFormat="1" x14ac:dyDescent="0.25"/>
    <row r="121017" s="12" customFormat="1" x14ac:dyDescent="0.25"/>
    <row r="121018" s="12" customFormat="1" x14ac:dyDescent="0.25"/>
    <row r="121019" s="12" customFormat="1" x14ac:dyDescent="0.25"/>
    <row r="121020" s="12" customFormat="1" x14ac:dyDescent="0.25"/>
    <row r="121021" s="12" customFormat="1" x14ac:dyDescent="0.25"/>
    <row r="121022" s="12" customFormat="1" x14ac:dyDescent="0.25"/>
    <row r="121023" s="12" customFormat="1" x14ac:dyDescent="0.25"/>
    <row r="121024" s="12" customFormat="1" x14ac:dyDescent="0.25"/>
    <row r="121025" s="12" customFormat="1" x14ac:dyDescent="0.25"/>
    <row r="121026" s="12" customFormat="1" x14ac:dyDescent="0.25"/>
    <row r="121027" s="12" customFormat="1" x14ac:dyDescent="0.25"/>
    <row r="121028" s="12" customFormat="1" x14ac:dyDescent="0.25"/>
    <row r="121029" s="12" customFormat="1" x14ac:dyDescent="0.25"/>
    <row r="121030" s="12" customFormat="1" x14ac:dyDescent="0.25"/>
    <row r="121031" s="12" customFormat="1" x14ac:dyDescent="0.25"/>
    <row r="121032" s="12" customFormat="1" x14ac:dyDescent="0.25"/>
    <row r="121033" s="12" customFormat="1" x14ac:dyDescent="0.25"/>
    <row r="121034" s="12" customFormat="1" x14ac:dyDescent="0.25"/>
    <row r="121035" s="12" customFormat="1" x14ac:dyDescent="0.25"/>
    <row r="121036" s="12" customFormat="1" x14ac:dyDescent="0.25"/>
    <row r="121037" s="12" customFormat="1" x14ac:dyDescent="0.25"/>
    <row r="121038" s="12" customFormat="1" x14ac:dyDescent="0.25"/>
    <row r="121039" s="12" customFormat="1" x14ac:dyDescent="0.25"/>
    <row r="121040" s="12" customFormat="1" x14ac:dyDescent="0.25"/>
    <row r="121041" s="12" customFormat="1" x14ac:dyDescent="0.25"/>
    <row r="121042" s="12" customFormat="1" x14ac:dyDescent="0.25"/>
    <row r="121043" s="12" customFormat="1" x14ac:dyDescent="0.25"/>
    <row r="121044" s="12" customFormat="1" x14ac:dyDescent="0.25"/>
    <row r="121045" s="12" customFormat="1" x14ac:dyDescent="0.25"/>
    <row r="121046" s="12" customFormat="1" x14ac:dyDescent="0.25"/>
    <row r="121047" s="12" customFormat="1" x14ac:dyDescent="0.25"/>
    <row r="121048" s="12" customFormat="1" x14ac:dyDescent="0.25"/>
    <row r="121049" s="12" customFormat="1" x14ac:dyDescent="0.25"/>
    <row r="121050" s="12" customFormat="1" x14ac:dyDescent="0.25"/>
    <row r="121051" s="12" customFormat="1" x14ac:dyDescent="0.25"/>
    <row r="121052" s="12" customFormat="1" x14ac:dyDescent="0.25"/>
    <row r="121053" s="12" customFormat="1" x14ac:dyDescent="0.25"/>
    <row r="121054" s="12" customFormat="1" x14ac:dyDescent="0.25"/>
    <row r="121055" s="12" customFormat="1" x14ac:dyDescent="0.25"/>
    <row r="121056" s="12" customFormat="1" x14ac:dyDescent="0.25"/>
    <row r="121057" s="12" customFormat="1" x14ac:dyDescent="0.25"/>
    <row r="121058" s="12" customFormat="1" x14ac:dyDescent="0.25"/>
    <row r="121059" s="12" customFormat="1" x14ac:dyDescent="0.25"/>
    <row r="121060" s="12" customFormat="1" x14ac:dyDescent="0.25"/>
    <row r="121061" s="12" customFormat="1" x14ac:dyDescent="0.25"/>
    <row r="121062" s="12" customFormat="1" x14ac:dyDescent="0.25"/>
    <row r="121063" s="12" customFormat="1" x14ac:dyDescent="0.25"/>
    <row r="121064" s="12" customFormat="1" x14ac:dyDescent="0.25"/>
    <row r="121065" s="12" customFormat="1" x14ac:dyDescent="0.25"/>
    <row r="121066" s="12" customFormat="1" x14ac:dyDescent="0.25"/>
    <row r="121067" s="12" customFormat="1" x14ac:dyDescent="0.25"/>
    <row r="121068" s="12" customFormat="1" x14ac:dyDescent="0.25"/>
    <row r="121069" s="12" customFormat="1" x14ac:dyDescent="0.25"/>
    <row r="121070" s="12" customFormat="1" x14ac:dyDescent="0.25"/>
    <row r="121071" s="12" customFormat="1" x14ac:dyDescent="0.25"/>
    <row r="121072" s="12" customFormat="1" x14ac:dyDescent="0.25"/>
    <row r="121073" s="12" customFormat="1" x14ac:dyDescent="0.25"/>
    <row r="121074" s="12" customFormat="1" x14ac:dyDescent="0.25"/>
    <row r="121075" s="12" customFormat="1" x14ac:dyDescent="0.25"/>
    <row r="121076" s="12" customFormat="1" x14ac:dyDescent="0.25"/>
    <row r="121077" s="12" customFormat="1" x14ac:dyDescent="0.25"/>
    <row r="121078" s="12" customFormat="1" x14ac:dyDescent="0.25"/>
    <row r="121079" s="12" customFormat="1" x14ac:dyDescent="0.25"/>
    <row r="121080" s="12" customFormat="1" x14ac:dyDescent="0.25"/>
    <row r="121081" s="12" customFormat="1" x14ac:dyDescent="0.25"/>
    <row r="121082" s="12" customFormat="1" x14ac:dyDescent="0.25"/>
    <row r="121083" s="12" customFormat="1" x14ac:dyDescent="0.25"/>
    <row r="121084" s="12" customFormat="1" x14ac:dyDescent="0.25"/>
    <row r="121085" s="12" customFormat="1" x14ac:dyDescent="0.25"/>
    <row r="121086" s="12" customFormat="1" x14ac:dyDescent="0.25"/>
    <row r="121087" s="12" customFormat="1" x14ac:dyDescent="0.25"/>
    <row r="121088" s="12" customFormat="1" x14ac:dyDescent="0.25"/>
    <row r="121089" s="12" customFormat="1" x14ac:dyDescent="0.25"/>
    <row r="121090" s="12" customFormat="1" x14ac:dyDescent="0.25"/>
    <row r="121091" s="12" customFormat="1" x14ac:dyDescent="0.25"/>
    <row r="121092" s="12" customFormat="1" x14ac:dyDescent="0.25"/>
    <row r="121093" s="12" customFormat="1" x14ac:dyDescent="0.25"/>
    <row r="121094" s="12" customFormat="1" x14ac:dyDescent="0.25"/>
    <row r="121095" s="12" customFormat="1" x14ac:dyDescent="0.25"/>
    <row r="121096" s="12" customFormat="1" x14ac:dyDescent="0.25"/>
    <row r="121097" s="12" customFormat="1" x14ac:dyDescent="0.25"/>
    <row r="121098" s="12" customFormat="1" x14ac:dyDescent="0.25"/>
    <row r="121099" s="12" customFormat="1" x14ac:dyDescent="0.25"/>
    <row r="121100" s="12" customFormat="1" x14ac:dyDescent="0.25"/>
    <row r="121101" s="12" customFormat="1" x14ac:dyDescent="0.25"/>
    <row r="121102" s="12" customFormat="1" x14ac:dyDescent="0.25"/>
    <row r="121103" s="12" customFormat="1" x14ac:dyDescent="0.25"/>
    <row r="121104" s="12" customFormat="1" x14ac:dyDescent="0.25"/>
    <row r="121105" s="12" customFormat="1" x14ac:dyDescent="0.25"/>
    <row r="121106" s="12" customFormat="1" x14ac:dyDescent="0.25"/>
    <row r="121107" s="12" customFormat="1" x14ac:dyDescent="0.25"/>
    <row r="121108" s="12" customFormat="1" x14ac:dyDescent="0.25"/>
    <row r="121109" s="12" customFormat="1" x14ac:dyDescent="0.25"/>
    <row r="121110" s="12" customFormat="1" x14ac:dyDescent="0.25"/>
    <row r="121111" s="12" customFormat="1" x14ac:dyDescent="0.25"/>
    <row r="121112" s="12" customFormat="1" x14ac:dyDescent="0.25"/>
    <row r="121113" s="12" customFormat="1" x14ac:dyDescent="0.25"/>
    <row r="121114" s="12" customFormat="1" x14ac:dyDescent="0.25"/>
    <row r="121115" s="12" customFormat="1" x14ac:dyDescent="0.25"/>
    <row r="121116" s="12" customFormat="1" x14ac:dyDescent="0.25"/>
    <row r="121117" s="12" customFormat="1" x14ac:dyDescent="0.25"/>
    <row r="121118" s="12" customFormat="1" x14ac:dyDescent="0.25"/>
    <row r="121119" s="12" customFormat="1" x14ac:dyDescent="0.25"/>
    <row r="121120" s="12" customFormat="1" x14ac:dyDescent="0.25"/>
    <row r="121121" s="12" customFormat="1" x14ac:dyDescent="0.25"/>
    <row r="121122" s="12" customFormat="1" x14ac:dyDescent="0.25"/>
    <row r="121123" s="12" customFormat="1" x14ac:dyDescent="0.25"/>
    <row r="121124" s="12" customFormat="1" x14ac:dyDescent="0.25"/>
    <row r="121125" s="12" customFormat="1" x14ac:dyDescent="0.25"/>
    <row r="121126" s="12" customFormat="1" x14ac:dyDescent="0.25"/>
    <row r="121127" s="12" customFormat="1" x14ac:dyDescent="0.25"/>
    <row r="121128" s="12" customFormat="1" x14ac:dyDescent="0.25"/>
    <row r="121129" s="12" customFormat="1" x14ac:dyDescent="0.25"/>
    <row r="121130" s="12" customFormat="1" x14ac:dyDescent="0.25"/>
    <row r="121131" s="12" customFormat="1" x14ac:dyDescent="0.25"/>
    <row r="121132" s="12" customFormat="1" x14ac:dyDescent="0.25"/>
    <row r="121133" s="12" customFormat="1" x14ac:dyDescent="0.25"/>
    <row r="121134" s="12" customFormat="1" x14ac:dyDescent="0.25"/>
    <row r="121135" s="12" customFormat="1" x14ac:dyDescent="0.25"/>
    <row r="121136" s="12" customFormat="1" x14ac:dyDescent="0.25"/>
    <row r="121137" s="12" customFormat="1" x14ac:dyDescent="0.25"/>
    <row r="121138" s="12" customFormat="1" x14ac:dyDescent="0.25"/>
    <row r="121139" s="12" customFormat="1" x14ac:dyDescent="0.25"/>
    <row r="121140" s="12" customFormat="1" x14ac:dyDescent="0.25"/>
    <row r="121141" s="12" customFormat="1" x14ac:dyDescent="0.25"/>
    <row r="121142" s="12" customFormat="1" x14ac:dyDescent="0.25"/>
    <row r="121143" s="12" customFormat="1" x14ac:dyDescent="0.25"/>
    <row r="121144" s="12" customFormat="1" x14ac:dyDescent="0.25"/>
    <row r="121145" s="12" customFormat="1" x14ac:dyDescent="0.25"/>
    <row r="121146" s="12" customFormat="1" x14ac:dyDescent="0.25"/>
    <row r="121147" s="12" customFormat="1" x14ac:dyDescent="0.25"/>
    <row r="121148" s="12" customFormat="1" x14ac:dyDescent="0.25"/>
    <row r="121149" s="12" customFormat="1" x14ac:dyDescent="0.25"/>
    <row r="121150" s="12" customFormat="1" x14ac:dyDescent="0.25"/>
    <row r="121151" s="12" customFormat="1" x14ac:dyDescent="0.25"/>
    <row r="121152" s="12" customFormat="1" x14ac:dyDescent="0.25"/>
    <row r="121153" s="12" customFormat="1" x14ac:dyDescent="0.25"/>
    <row r="121154" s="12" customFormat="1" x14ac:dyDescent="0.25"/>
    <row r="121155" s="12" customFormat="1" x14ac:dyDescent="0.25"/>
    <row r="121156" s="12" customFormat="1" x14ac:dyDescent="0.25"/>
    <row r="121157" s="12" customFormat="1" x14ac:dyDescent="0.25"/>
    <row r="121158" s="12" customFormat="1" x14ac:dyDescent="0.25"/>
    <row r="121159" s="12" customFormat="1" x14ac:dyDescent="0.25"/>
    <row r="121160" s="12" customFormat="1" x14ac:dyDescent="0.25"/>
    <row r="121161" s="12" customFormat="1" x14ac:dyDescent="0.25"/>
    <row r="121162" s="12" customFormat="1" x14ac:dyDescent="0.25"/>
    <row r="121163" s="12" customFormat="1" x14ac:dyDescent="0.25"/>
    <row r="121164" s="12" customFormat="1" x14ac:dyDescent="0.25"/>
    <row r="121165" s="12" customFormat="1" x14ac:dyDescent="0.25"/>
    <row r="121166" s="12" customFormat="1" x14ac:dyDescent="0.25"/>
    <row r="121167" s="12" customFormat="1" x14ac:dyDescent="0.25"/>
    <row r="121168" s="12" customFormat="1" x14ac:dyDescent="0.25"/>
    <row r="121169" s="12" customFormat="1" x14ac:dyDescent="0.25"/>
    <row r="121170" s="12" customFormat="1" x14ac:dyDescent="0.25"/>
    <row r="121171" s="12" customFormat="1" x14ac:dyDescent="0.25"/>
    <row r="121172" s="12" customFormat="1" x14ac:dyDescent="0.25"/>
    <row r="121173" s="12" customFormat="1" x14ac:dyDescent="0.25"/>
    <row r="121174" s="12" customFormat="1" x14ac:dyDescent="0.25"/>
    <row r="121175" s="12" customFormat="1" x14ac:dyDescent="0.25"/>
    <row r="121176" s="12" customFormat="1" x14ac:dyDescent="0.25"/>
    <row r="121177" s="12" customFormat="1" x14ac:dyDescent="0.25"/>
    <row r="121178" s="12" customFormat="1" x14ac:dyDescent="0.25"/>
    <row r="121179" s="12" customFormat="1" x14ac:dyDescent="0.25"/>
    <row r="121180" s="12" customFormat="1" x14ac:dyDescent="0.25"/>
    <row r="121181" s="12" customFormat="1" x14ac:dyDescent="0.25"/>
    <row r="121182" s="12" customFormat="1" x14ac:dyDescent="0.25"/>
    <row r="121183" s="12" customFormat="1" x14ac:dyDescent="0.25"/>
    <row r="121184" s="12" customFormat="1" x14ac:dyDescent="0.25"/>
    <row r="121185" s="12" customFormat="1" x14ac:dyDescent="0.25"/>
    <row r="121186" s="12" customFormat="1" x14ac:dyDescent="0.25"/>
    <row r="121187" s="12" customFormat="1" x14ac:dyDescent="0.25"/>
    <row r="121188" s="12" customFormat="1" x14ac:dyDescent="0.25"/>
    <row r="121189" s="12" customFormat="1" x14ac:dyDescent="0.25"/>
    <row r="121190" s="12" customFormat="1" x14ac:dyDescent="0.25"/>
    <row r="121191" s="12" customFormat="1" x14ac:dyDescent="0.25"/>
    <row r="121192" s="12" customFormat="1" x14ac:dyDescent="0.25"/>
    <row r="121193" s="12" customFormat="1" x14ac:dyDescent="0.25"/>
    <row r="121194" s="12" customFormat="1" x14ac:dyDescent="0.25"/>
    <row r="121195" s="12" customFormat="1" x14ac:dyDescent="0.25"/>
    <row r="121196" s="12" customFormat="1" x14ac:dyDescent="0.25"/>
    <row r="121197" s="12" customFormat="1" x14ac:dyDescent="0.25"/>
    <row r="121198" s="12" customFormat="1" x14ac:dyDescent="0.25"/>
    <row r="121199" s="12" customFormat="1" x14ac:dyDescent="0.25"/>
    <row r="121200" s="12" customFormat="1" x14ac:dyDescent="0.25"/>
    <row r="121201" s="12" customFormat="1" x14ac:dyDescent="0.25"/>
    <row r="121202" s="12" customFormat="1" x14ac:dyDescent="0.25"/>
    <row r="121203" s="12" customFormat="1" x14ac:dyDescent="0.25"/>
    <row r="121204" s="12" customFormat="1" x14ac:dyDescent="0.25"/>
    <row r="121205" s="12" customFormat="1" x14ac:dyDescent="0.25"/>
    <row r="121206" s="12" customFormat="1" x14ac:dyDescent="0.25"/>
    <row r="121207" s="12" customFormat="1" x14ac:dyDescent="0.25"/>
    <row r="121208" s="12" customFormat="1" x14ac:dyDescent="0.25"/>
    <row r="121209" s="12" customFormat="1" x14ac:dyDescent="0.25"/>
    <row r="121210" s="12" customFormat="1" x14ac:dyDescent="0.25"/>
    <row r="121211" s="12" customFormat="1" x14ac:dyDescent="0.25"/>
    <row r="121212" s="12" customFormat="1" x14ac:dyDescent="0.25"/>
    <row r="121213" s="12" customFormat="1" x14ac:dyDescent="0.25"/>
    <row r="121214" s="12" customFormat="1" x14ac:dyDescent="0.25"/>
    <row r="121215" s="12" customFormat="1" x14ac:dyDescent="0.25"/>
    <row r="121216" s="12" customFormat="1" x14ac:dyDescent="0.25"/>
    <row r="121217" s="12" customFormat="1" x14ac:dyDescent="0.25"/>
    <row r="121218" s="12" customFormat="1" x14ac:dyDescent="0.25"/>
    <row r="121219" s="12" customFormat="1" x14ac:dyDescent="0.25"/>
    <row r="121220" s="12" customFormat="1" x14ac:dyDescent="0.25"/>
    <row r="121221" s="12" customFormat="1" x14ac:dyDescent="0.25"/>
    <row r="121222" s="12" customFormat="1" x14ac:dyDescent="0.25"/>
    <row r="121223" s="12" customFormat="1" x14ac:dyDescent="0.25"/>
    <row r="121224" s="12" customFormat="1" x14ac:dyDescent="0.25"/>
    <row r="121225" s="12" customFormat="1" x14ac:dyDescent="0.25"/>
    <row r="121226" s="12" customFormat="1" x14ac:dyDescent="0.25"/>
    <row r="121227" s="12" customFormat="1" x14ac:dyDescent="0.25"/>
    <row r="121228" s="12" customFormat="1" x14ac:dyDescent="0.25"/>
    <row r="121229" s="12" customFormat="1" x14ac:dyDescent="0.25"/>
    <row r="121230" s="12" customFormat="1" x14ac:dyDescent="0.25"/>
    <row r="121231" s="12" customFormat="1" x14ac:dyDescent="0.25"/>
    <row r="121232" s="12" customFormat="1" x14ac:dyDescent="0.25"/>
    <row r="121233" s="12" customFormat="1" x14ac:dyDescent="0.25"/>
    <row r="121234" s="12" customFormat="1" x14ac:dyDescent="0.25"/>
    <row r="121235" s="12" customFormat="1" x14ac:dyDescent="0.25"/>
    <row r="121236" s="12" customFormat="1" x14ac:dyDescent="0.25"/>
    <row r="121237" s="12" customFormat="1" x14ac:dyDescent="0.25"/>
    <row r="121238" s="12" customFormat="1" x14ac:dyDescent="0.25"/>
    <row r="121239" s="12" customFormat="1" x14ac:dyDescent="0.25"/>
    <row r="121240" s="12" customFormat="1" x14ac:dyDescent="0.25"/>
    <row r="121241" s="12" customFormat="1" x14ac:dyDescent="0.25"/>
    <row r="121242" s="12" customFormat="1" x14ac:dyDescent="0.25"/>
    <row r="121243" s="12" customFormat="1" x14ac:dyDescent="0.25"/>
    <row r="121244" s="12" customFormat="1" x14ac:dyDescent="0.25"/>
    <row r="121245" s="12" customFormat="1" x14ac:dyDescent="0.25"/>
    <row r="121246" s="12" customFormat="1" x14ac:dyDescent="0.25"/>
    <row r="121247" s="12" customFormat="1" x14ac:dyDescent="0.25"/>
    <row r="121248" s="12" customFormat="1" x14ac:dyDescent="0.25"/>
    <row r="121249" s="12" customFormat="1" x14ac:dyDescent="0.25"/>
    <row r="121250" s="12" customFormat="1" x14ac:dyDescent="0.25"/>
    <row r="121251" s="12" customFormat="1" x14ac:dyDescent="0.25"/>
    <row r="121252" s="12" customFormat="1" x14ac:dyDescent="0.25"/>
    <row r="121253" s="12" customFormat="1" x14ac:dyDescent="0.25"/>
    <row r="121254" s="12" customFormat="1" x14ac:dyDescent="0.25"/>
    <row r="121255" s="12" customFormat="1" x14ac:dyDescent="0.25"/>
    <row r="121256" s="12" customFormat="1" x14ac:dyDescent="0.25"/>
    <row r="121257" s="12" customFormat="1" x14ac:dyDescent="0.25"/>
    <row r="121258" s="12" customFormat="1" x14ac:dyDescent="0.25"/>
    <row r="121259" s="12" customFormat="1" x14ac:dyDescent="0.25"/>
    <row r="121260" s="12" customFormat="1" x14ac:dyDescent="0.25"/>
    <row r="121261" s="12" customFormat="1" x14ac:dyDescent="0.25"/>
    <row r="121262" s="12" customFormat="1" x14ac:dyDescent="0.25"/>
    <row r="121263" s="12" customFormat="1" x14ac:dyDescent="0.25"/>
    <row r="121264" s="12" customFormat="1" x14ac:dyDescent="0.25"/>
    <row r="121265" s="12" customFormat="1" x14ac:dyDescent="0.25"/>
    <row r="121266" s="12" customFormat="1" x14ac:dyDescent="0.25"/>
    <row r="121267" s="12" customFormat="1" x14ac:dyDescent="0.25"/>
    <row r="121268" s="12" customFormat="1" x14ac:dyDescent="0.25"/>
    <row r="121269" s="12" customFormat="1" x14ac:dyDescent="0.25"/>
    <row r="121270" s="12" customFormat="1" x14ac:dyDescent="0.25"/>
    <row r="121271" s="12" customFormat="1" x14ac:dyDescent="0.25"/>
    <row r="121272" s="12" customFormat="1" x14ac:dyDescent="0.25"/>
    <row r="121273" s="12" customFormat="1" x14ac:dyDescent="0.25"/>
    <row r="121274" s="12" customFormat="1" x14ac:dyDescent="0.25"/>
    <row r="121275" s="12" customFormat="1" x14ac:dyDescent="0.25"/>
    <row r="121276" s="12" customFormat="1" x14ac:dyDescent="0.25"/>
    <row r="121277" s="12" customFormat="1" x14ac:dyDescent="0.25"/>
    <row r="121278" s="12" customFormat="1" x14ac:dyDescent="0.25"/>
    <row r="121279" s="12" customFormat="1" x14ac:dyDescent="0.25"/>
    <row r="121280" s="12" customFormat="1" x14ac:dyDescent="0.25"/>
    <row r="121281" s="12" customFormat="1" x14ac:dyDescent="0.25"/>
    <row r="121282" s="12" customFormat="1" x14ac:dyDescent="0.25"/>
    <row r="121283" s="12" customFormat="1" x14ac:dyDescent="0.25"/>
    <row r="121284" s="12" customFormat="1" x14ac:dyDescent="0.25"/>
    <row r="121285" s="12" customFormat="1" x14ac:dyDescent="0.25"/>
    <row r="121286" s="12" customFormat="1" x14ac:dyDescent="0.25"/>
    <row r="121287" s="12" customFormat="1" x14ac:dyDescent="0.25"/>
    <row r="121288" s="12" customFormat="1" x14ac:dyDescent="0.25"/>
    <row r="121289" s="12" customFormat="1" x14ac:dyDescent="0.25"/>
    <row r="121290" s="12" customFormat="1" x14ac:dyDescent="0.25"/>
    <row r="121291" s="12" customFormat="1" x14ac:dyDescent="0.25"/>
    <row r="121292" s="12" customFormat="1" x14ac:dyDescent="0.25"/>
    <row r="121293" s="12" customFormat="1" x14ac:dyDescent="0.25"/>
    <row r="121294" s="12" customFormat="1" x14ac:dyDescent="0.25"/>
    <row r="121295" s="12" customFormat="1" x14ac:dyDescent="0.25"/>
    <row r="121296" s="12" customFormat="1" x14ac:dyDescent="0.25"/>
    <row r="121297" s="12" customFormat="1" x14ac:dyDescent="0.25"/>
    <row r="121298" s="12" customFormat="1" x14ac:dyDescent="0.25"/>
    <row r="121299" s="12" customFormat="1" x14ac:dyDescent="0.25"/>
    <row r="121300" s="12" customFormat="1" x14ac:dyDescent="0.25"/>
    <row r="121301" s="12" customFormat="1" x14ac:dyDescent="0.25"/>
    <row r="121302" s="12" customFormat="1" x14ac:dyDescent="0.25"/>
    <row r="121303" s="12" customFormat="1" x14ac:dyDescent="0.25"/>
    <row r="121304" s="12" customFormat="1" x14ac:dyDescent="0.25"/>
    <row r="121305" s="12" customFormat="1" x14ac:dyDescent="0.25"/>
    <row r="121306" s="12" customFormat="1" x14ac:dyDescent="0.25"/>
    <row r="121307" s="12" customFormat="1" x14ac:dyDescent="0.25"/>
    <row r="121308" s="12" customFormat="1" x14ac:dyDescent="0.25"/>
    <row r="121309" s="12" customFormat="1" x14ac:dyDescent="0.25"/>
    <row r="121310" s="12" customFormat="1" x14ac:dyDescent="0.25"/>
    <row r="121311" s="12" customFormat="1" x14ac:dyDescent="0.25"/>
    <row r="121312" s="12" customFormat="1" x14ac:dyDescent="0.25"/>
    <row r="121313" s="12" customFormat="1" x14ac:dyDescent="0.25"/>
    <row r="121314" s="12" customFormat="1" x14ac:dyDescent="0.25"/>
    <row r="121315" s="12" customFormat="1" x14ac:dyDescent="0.25"/>
    <row r="121316" s="12" customFormat="1" x14ac:dyDescent="0.25"/>
    <row r="121317" s="12" customFormat="1" x14ac:dyDescent="0.25"/>
    <row r="121318" s="12" customFormat="1" x14ac:dyDescent="0.25"/>
    <row r="121319" s="12" customFormat="1" x14ac:dyDescent="0.25"/>
    <row r="121320" s="12" customFormat="1" x14ac:dyDescent="0.25"/>
    <row r="121321" s="12" customFormat="1" x14ac:dyDescent="0.25"/>
    <row r="121322" s="12" customFormat="1" x14ac:dyDescent="0.25"/>
    <row r="121323" s="12" customFormat="1" x14ac:dyDescent="0.25"/>
    <row r="121324" s="12" customFormat="1" x14ac:dyDescent="0.25"/>
    <row r="121325" s="12" customFormat="1" x14ac:dyDescent="0.25"/>
    <row r="121326" s="12" customFormat="1" x14ac:dyDescent="0.25"/>
    <row r="121327" s="12" customFormat="1" x14ac:dyDescent="0.25"/>
    <row r="121328" s="12" customFormat="1" x14ac:dyDescent="0.25"/>
    <row r="121329" s="12" customFormat="1" x14ac:dyDescent="0.25"/>
    <row r="121330" s="12" customFormat="1" x14ac:dyDescent="0.25"/>
    <row r="121331" s="12" customFormat="1" x14ac:dyDescent="0.25"/>
    <row r="121332" s="12" customFormat="1" x14ac:dyDescent="0.25"/>
    <row r="121333" s="12" customFormat="1" x14ac:dyDescent="0.25"/>
    <row r="121334" s="12" customFormat="1" x14ac:dyDescent="0.25"/>
    <row r="121335" s="12" customFormat="1" x14ac:dyDescent="0.25"/>
    <row r="121336" s="12" customFormat="1" x14ac:dyDescent="0.25"/>
    <row r="121337" s="12" customFormat="1" x14ac:dyDescent="0.25"/>
    <row r="121338" s="12" customFormat="1" x14ac:dyDescent="0.25"/>
    <row r="121339" s="12" customFormat="1" x14ac:dyDescent="0.25"/>
    <row r="121340" s="12" customFormat="1" x14ac:dyDescent="0.25"/>
    <row r="121341" s="12" customFormat="1" x14ac:dyDescent="0.25"/>
    <row r="121342" s="12" customFormat="1" x14ac:dyDescent="0.25"/>
    <row r="121343" s="12" customFormat="1" x14ac:dyDescent="0.25"/>
    <row r="121344" s="12" customFormat="1" x14ac:dyDescent="0.25"/>
    <row r="121345" s="12" customFormat="1" x14ac:dyDescent="0.25"/>
    <row r="121346" s="12" customFormat="1" x14ac:dyDescent="0.25"/>
    <row r="121347" s="12" customFormat="1" x14ac:dyDescent="0.25"/>
    <row r="121348" s="12" customFormat="1" x14ac:dyDescent="0.25"/>
    <row r="121349" s="12" customFormat="1" x14ac:dyDescent="0.25"/>
    <row r="121350" s="12" customFormat="1" x14ac:dyDescent="0.25"/>
    <row r="121351" s="12" customFormat="1" x14ac:dyDescent="0.25"/>
    <row r="121352" s="12" customFormat="1" x14ac:dyDescent="0.25"/>
    <row r="121353" s="12" customFormat="1" x14ac:dyDescent="0.25"/>
    <row r="121354" s="12" customFormat="1" x14ac:dyDescent="0.25"/>
    <row r="121355" s="12" customFormat="1" x14ac:dyDescent="0.25"/>
    <row r="121356" s="12" customFormat="1" x14ac:dyDescent="0.25"/>
    <row r="121357" s="12" customFormat="1" x14ac:dyDescent="0.25"/>
    <row r="121358" s="12" customFormat="1" x14ac:dyDescent="0.25"/>
    <row r="121359" s="12" customFormat="1" x14ac:dyDescent="0.25"/>
    <row r="121360" s="12" customFormat="1" x14ac:dyDescent="0.25"/>
    <row r="121361" s="12" customFormat="1" x14ac:dyDescent="0.25"/>
    <row r="121362" s="12" customFormat="1" x14ac:dyDescent="0.25"/>
    <row r="121363" s="12" customFormat="1" x14ac:dyDescent="0.25"/>
    <row r="121364" s="12" customFormat="1" x14ac:dyDescent="0.25"/>
    <row r="121365" s="12" customFormat="1" x14ac:dyDescent="0.25"/>
    <row r="121366" s="12" customFormat="1" x14ac:dyDescent="0.25"/>
    <row r="121367" s="12" customFormat="1" x14ac:dyDescent="0.25"/>
    <row r="121368" s="12" customFormat="1" x14ac:dyDescent="0.25"/>
    <row r="121369" s="12" customFormat="1" x14ac:dyDescent="0.25"/>
    <row r="121370" s="12" customFormat="1" x14ac:dyDescent="0.25"/>
    <row r="121371" s="12" customFormat="1" x14ac:dyDescent="0.25"/>
    <row r="121372" s="12" customFormat="1" x14ac:dyDescent="0.25"/>
    <row r="121373" s="12" customFormat="1" x14ac:dyDescent="0.25"/>
    <row r="121374" s="12" customFormat="1" x14ac:dyDescent="0.25"/>
    <row r="121375" s="12" customFormat="1" x14ac:dyDescent="0.25"/>
    <row r="121376" s="12" customFormat="1" x14ac:dyDescent="0.25"/>
    <row r="121377" s="12" customFormat="1" x14ac:dyDescent="0.25"/>
    <row r="121378" s="12" customFormat="1" x14ac:dyDescent="0.25"/>
    <row r="121379" s="12" customFormat="1" x14ac:dyDescent="0.25"/>
    <row r="121380" s="12" customFormat="1" x14ac:dyDescent="0.25"/>
    <row r="121381" s="12" customFormat="1" x14ac:dyDescent="0.25"/>
    <row r="121382" s="12" customFormat="1" x14ac:dyDescent="0.25"/>
    <row r="121383" s="12" customFormat="1" x14ac:dyDescent="0.25"/>
    <row r="121384" s="12" customFormat="1" x14ac:dyDescent="0.25"/>
    <row r="121385" s="12" customFormat="1" x14ac:dyDescent="0.25"/>
    <row r="121386" s="12" customFormat="1" x14ac:dyDescent="0.25"/>
    <row r="121387" s="12" customFormat="1" x14ac:dyDescent="0.25"/>
    <row r="121388" s="12" customFormat="1" x14ac:dyDescent="0.25"/>
    <row r="121389" s="12" customFormat="1" x14ac:dyDescent="0.25"/>
    <row r="121390" s="12" customFormat="1" x14ac:dyDescent="0.25"/>
    <row r="121391" s="12" customFormat="1" x14ac:dyDescent="0.25"/>
    <row r="121392" s="12" customFormat="1" x14ac:dyDescent="0.25"/>
    <row r="121393" s="12" customFormat="1" x14ac:dyDescent="0.25"/>
    <row r="121394" s="12" customFormat="1" x14ac:dyDescent="0.25"/>
    <row r="121395" s="12" customFormat="1" x14ac:dyDescent="0.25"/>
    <row r="121396" s="12" customFormat="1" x14ac:dyDescent="0.25"/>
    <row r="121397" s="12" customFormat="1" x14ac:dyDescent="0.25"/>
    <row r="121398" s="12" customFormat="1" x14ac:dyDescent="0.25"/>
    <row r="121399" s="12" customFormat="1" x14ac:dyDescent="0.25"/>
    <row r="121400" s="12" customFormat="1" x14ac:dyDescent="0.25"/>
    <row r="121401" s="12" customFormat="1" x14ac:dyDescent="0.25"/>
    <row r="121402" s="12" customFormat="1" x14ac:dyDescent="0.25"/>
    <row r="121403" s="12" customFormat="1" x14ac:dyDescent="0.25"/>
    <row r="121404" s="12" customFormat="1" x14ac:dyDescent="0.25"/>
    <row r="121405" s="12" customFormat="1" x14ac:dyDescent="0.25"/>
    <row r="121406" s="12" customFormat="1" x14ac:dyDescent="0.25"/>
    <row r="121407" s="12" customFormat="1" x14ac:dyDescent="0.25"/>
    <row r="121408" s="12" customFormat="1" x14ac:dyDescent="0.25"/>
    <row r="121409" s="12" customFormat="1" x14ac:dyDescent="0.25"/>
    <row r="121410" s="12" customFormat="1" x14ac:dyDescent="0.25"/>
    <row r="121411" s="12" customFormat="1" x14ac:dyDescent="0.25"/>
    <row r="121412" s="12" customFormat="1" x14ac:dyDescent="0.25"/>
    <row r="121413" s="12" customFormat="1" x14ac:dyDescent="0.25"/>
    <row r="121414" s="12" customFormat="1" x14ac:dyDescent="0.25"/>
    <row r="121415" s="12" customFormat="1" x14ac:dyDescent="0.25"/>
    <row r="121416" s="12" customFormat="1" x14ac:dyDescent="0.25"/>
    <row r="121417" s="12" customFormat="1" x14ac:dyDescent="0.25"/>
    <row r="121418" s="12" customFormat="1" x14ac:dyDescent="0.25"/>
    <row r="121419" s="12" customFormat="1" x14ac:dyDescent="0.25"/>
    <row r="121420" s="12" customFormat="1" x14ac:dyDescent="0.25"/>
    <row r="121421" s="12" customFormat="1" x14ac:dyDescent="0.25"/>
    <row r="121422" s="12" customFormat="1" x14ac:dyDescent="0.25"/>
    <row r="121423" s="12" customFormat="1" x14ac:dyDescent="0.25"/>
    <row r="121424" s="12" customFormat="1" x14ac:dyDescent="0.25"/>
    <row r="121425" s="12" customFormat="1" x14ac:dyDescent="0.25"/>
    <row r="121426" s="12" customFormat="1" x14ac:dyDescent="0.25"/>
    <row r="121427" s="12" customFormat="1" x14ac:dyDescent="0.25"/>
    <row r="121428" s="12" customFormat="1" x14ac:dyDescent="0.25"/>
    <row r="121429" s="12" customFormat="1" x14ac:dyDescent="0.25"/>
    <row r="121430" s="12" customFormat="1" x14ac:dyDescent="0.25"/>
    <row r="121431" s="12" customFormat="1" x14ac:dyDescent="0.25"/>
    <row r="121432" s="12" customFormat="1" x14ac:dyDescent="0.25"/>
    <row r="121433" s="12" customFormat="1" x14ac:dyDescent="0.25"/>
    <row r="121434" s="12" customFormat="1" x14ac:dyDescent="0.25"/>
    <row r="121435" s="12" customFormat="1" x14ac:dyDescent="0.25"/>
    <row r="121436" s="12" customFormat="1" x14ac:dyDescent="0.25"/>
    <row r="121437" s="12" customFormat="1" x14ac:dyDescent="0.25"/>
    <row r="121438" s="12" customFormat="1" x14ac:dyDescent="0.25"/>
    <row r="121439" s="12" customFormat="1" x14ac:dyDescent="0.25"/>
    <row r="121440" s="12" customFormat="1" x14ac:dyDescent="0.25"/>
    <row r="121441" s="12" customFormat="1" x14ac:dyDescent="0.25"/>
    <row r="121442" s="12" customFormat="1" x14ac:dyDescent="0.25"/>
    <row r="121443" s="12" customFormat="1" x14ac:dyDescent="0.25"/>
    <row r="121444" s="12" customFormat="1" x14ac:dyDescent="0.25"/>
    <row r="121445" s="12" customFormat="1" x14ac:dyDescent="0.25"/>
    <row r="121446" s="12" customFormat="1" x14ac:dyDescent="0.25"/>
    <row r="121447" s="12" customFormat="1" x14ac:dyDescent="0.25"/>
    <row r="121448" s="12" customFormat="1" x14ac:dyDescent="0.25"/>
    <row r="121449" s="12" customFormat="1" x14ac:dyDescent="0.25"/>
    <row r="121450" s="12" customFormat="1" x14ac:dyDescent="0.25"/>
    <row r="121451" s="12" customFormat="1" x14ac:dyDescent="0.25"/>
    <row r="121452" s="12" customFormat="1" x14ac:dyDescent="0.25"/>
    <row r="121453" s="12" customFormat="1" x14ac:dyDescent="0.25"/>
    <row r="121454" s="12" customFormat="1" x14ac:dyDescent="0.25"/>
    <row r="121455" s="12" customFormat="1" x14ac:dyDescent="0.25"/>
    <row r="121456" s="12" customFormat="1" x14ac:dyDescent="0.25"/>
    <row r="121457" s="12" customFormat="1" x14ac:dyDescent="0.25"/>
    <row r="121458" s="12" customFormat="1" x14ac:dyDescent="0.25"/>
    <row r="121459" s="12" customFormat="1" x14ac:dyDescent="0.25"/>
    <row r="121460" s="12" customFormat="1" x14ac:dyDescent="0.25"/>
    <row r="121461" s="12" customFormat="1" x14ac:dyDescent="0.25"/>
    <row r="121462" s="12" customFormat="1" x14ac:dyDescent="0.25"/>
    <row r="121463" s="12" customFormat="1" x14ac:dyDescent="0.25"/>
    <row r="121464" s="12" customFormat="1" x14ac:dyDescent="0.25"/>
    <row r="121465" s="12" customFormat="1" x14ac:dyDescent="0.25"/>
    <row r="121466" s="12" customFormat="1" x14ac:dyDescent="0.25"/>
    <row r="121467" s="12" customFormat="1" x14ac:dyDescent="0.25"/>
    <row r="121468" s="12" customFormat="1" x14ac:dyDescent="0.25"/>
    <row r="121469" s="12" customFormat="1" x14ac:dyDescent="0.25"/>
    <row r="121470" s="12" customFormat="1" x14ac:dyDescent="0.25"/>
    <row r="121471" s="12" customFormat="1" x14ac:dyDescent="0.25"/>
    <row r="121472" s="12" customFormat="1" x14ac:dyDescent="0.25"/>
    <row r="121473" s="12" customFormat="1" x14ac:dyDescent="0.25"/>
    <row r="121474" s="12" customFormat="1" x14ac:dyDescent="0.25"/>
    <row r="121475" s="12" customFormat="1" x14ac:dyDescent="0.25"/>
    <row r="121476" s="12" customFormat="1" x14ac:dyDescent="0.25"/>
    <row r="121477" s="12" customFormat="1" x14ac:dyDescent="0.25"/>
    <row r="121478" s="12" customFormat="1" x14ac:dyDescent="0.25"/>
    <row r="121479" s="12" customFormat="1" x14ac:dyDescent="0.25"/>
    <row r="121480" s="12" customFormat="1" x14ac:dyDescent="0.25"/>
    <row r="121481" s="12" customFormat="1" x14ac:dyDescent="0.25"/>
    <row r="121482" s="12" customFormat="1" x14ac:dyDescent="0.25"/>
    <row r="121483" s="12" customFormat="1" x14ac:dyDescent="0.25"/>
    <row r="121484" s="12" customFormat="1" x14ac:dyDescent="0.25"/>
    <row r="121485" s="12" customFormat="1" x14ac:dyDescent="0.25"/>
    <row r="121486" s="12" customFormat="1" x14ac:dyDescent="0.25"/>
    <row r="121487" s="12" customFormat="1" x14ac:dyDescent="0.25"/>
    <row r="121488" s="12" customFormat="1" x14ac:dyDescent="0.25"/>
    <row r="121489" s="12" customFormat="1" x14ac:dyDescent="0.25"/>
    <row r="121490" s="12" customFormat="1" x14ac:dyDescent="0.25"/>
    <row r="121491" s="12" customFormat="1" x14ac:dyDescent="0.25"/>
    <row r="121492" s="12" customFormat="1" x14ac:dyDescent="0.25"/>
    <row r="121493" s="12" customFormat="1" x14ac:dyDescent="0.25"/>
    <row r="121494" s="12" customFormat="1" x14ac:dyDescent="0.25"/>
    <row r="121495" s="12" customFormat="1" x14ac:dyDescent="0.25"/>
    <row r="121496" s="12" customFormat="1" x14ac:dyDescent="0.25"/>
    <row r="121497" s="12" customFormat="1" x14ac:dyDescent="0.25"/>
    <row r="121498" s="12" customFormat="1" x14ac:dyDescent="0.25"/>
    <row r="121499" s="12" customFormat="1" x14ac:dyDescent="0.25"/>
    <row r="121500" s="12" customFormat="1" x14ac:dyDescent="0.25"/>
    <row r="121501" s="12" customFormat="1" x14ac:dyDescent="0.25"/>
    <row r="121502" s="12" customFormat="1" x14ac:dyDescent="0.25"/>
    <row r="121503" s="12" customFormat="1" x14ac:dyDescent="0.25"/>
    <row r="121504" s="12" customFormat="1" x14ac:dyDescent="0.25"/>
    <row r="121505" s="12" customFormat="1" x14ac:dyDescent="0.25"/>
    <row r="121506" s="12" customFormat="1" x14ac:dyDescent="0.25"/>
    <row r="121507" s="12" customFormat="1" x14ac:dyDescent="0.25"/>
    <row r="121508" s="12" customFormat="1" x14ac:dyDescent="0.25"/>
    <row r="121509" s="12" customFormat="1" x14ac:dyDescent="0.25"/>
    <row r="121510" s="12" customFormat="1" x14ac:dyDescent="0.25"/>
    <row r="121511" s="12" customFormat="1" x14ac:dyDescent="0.25"/>
    <row r="121512" s="12" customFormat="1" x14ac:dyDescent="0.25"/>
    <row r="121513" s="12" customFormat="1" x14ac:dyDescent="0.25"/>
    <row r="121514" s="12" customFormat="1" x14ac:dyDescent="0.25"/>
    <row r="121515" s="12" customFormat="1" x14ac:dyDescent="0.25"/>
    <row r="121516" s="12" customFormat="1" x14ac:dyDescent="0.25"/>
    <row r="121517" s="12" customFormat="1" x14ac:dyDescent="0.25"/>
    <row r="121518" s="12" customFormat="1" x14ac:dyDescent="0.25"/>
    <row r="121519" s="12" customFormat="1" x14ac:dyDescent="0.25"/>
    <row r="121520" s="12" customFormat="1" x14ac:dyDescent="0.25"/>
    <row r="121521" s="12" customFormat="1" x14ac:dyDescent="0.25"/>
    <row r="121522" s="12" customFormat="1" x14ac:dyDescent="0.25"/>
    <row r="121523" s="12" customFormat="1" x14ac:dyDescent="0.25"/>
    <row r="121524" s="12" customFormat="1" x14ac:dyDescent="0.25"/>
    <row r="121525" s="12" customFormat="1" x14ac:dyDescent="0.25"/>
    <row r="121526" s="12" customFormat="1" x14ac:dyDescent="0.25"/>
    <row r="121527" s="12" customFormat="1" x14ac:dyDescent="0.25"/>
    <row r="121528" s="12" customFormat="1" x14ac:dyDescent="0.25"/>
    <row r="121529" s="12" customFormat="1" x14ac:dyDescent="0.25"/>
    <row r="121530" s="12" customFormat="1" x14ac:dyDescent="0.25"/>
    <row r="121531" s="12" customFormat="1" x14ac:dyDescent="0.25"/>
    <row r="121532" s="12" customFormat="1" x14ac:dyDescent="0.25"/>
    <row r="121533" s="12" customFormat="1" x14ac:dyDescent="0.25"/>
    <row r="121534" s="12" customFormat="1" x14ac:dyDescent="0.25"/>
    <row r="121535" s="12" customFormat="1" x14ac:dyDescent="0.25"/>
    <row r="121536" s="12" customFormat="1" x14ac:dyDescent="0.25"/>
    <row r="121537" s="12" customFormat="1" x14ac:dyDescent="0.25"/>
    <row r="121538" s="12" customFormat="1" x14ac:dyDescent="0.25"/>
    <row r="121539" s="12" customFormat="1" x14ac:dyDescent="0.25"/>
    <row r="121540" s="12" customFormat="1" x14ac:dyDescent="0.25"/>
    <row r="121541" s="12" customFormat="1" x14ac:dyDescent="0.25"/>
    <row r="121542" s="12" customFormat="1" x14ac:dyDescent="0.25"/>
    <row r="121543" s="12" customFormat="1" x14ac:dyDescent="0.25"/>
    <row r="121544" s="12" customFormat="1" x14ac:dyDescent="0.25"/>
    <row r="121545" s="12" customFormat="1" x14ac:dyDescent="0.25"/>
    <row r="121546" s="12" customFormat="1" x14ac:dyDescent="0.25"/>
    <row r="121547" s="12" customFormat="1" x14ac:dyDescent="0.25"/>
    <row r="121548" s="12" customFormat="1" x14ac:dyDescent="0.25"/>
    <row r="121549" s="12" customFormat="1" x14ac:dyDescent="0.25"/>
    <row r="121550" s="12" customFormat="1" x14ac:dyDescent="0.25"/>
    <row r="121551" s="12" customFormat="1" x14ac:dyDescent="0.25"/>
    <row r="121552" s="12" customFormat="1" x14ac:dyDescent="0.25"/>
    <row r="121553" s="12" customFormat="1" x14ac:dyDescent="0.25"/>
    <row r="121554" s="12" customFormat="1" x14ac:dyDescent="0.25"/>
    <row r="121555" s="12" customFormat="1" x14ac:dyDescent="0.25"/>
    <row r="121556" s="12" customFormat="1" x14ac:dyDescent="0.25"/>
    <row r="121557" s="12" customFormat="1" x14ac:dyDescent="0.25"/>
    <row r="121558" s="12" customFormat="1" x14ac:dyDescent="0.25"/>
    <row r="121559" s="12" customFormat="1" x14ac:dyDescent="0.25"/>
    <row r="121560" s="12" customFormat="1" x14ac:dyDescent="0.25"/>
    <row r="121561" s="12" customFormat="1" x14ac:dyDescent="0.25"/>
    <row r="121562" s="12" customFormat="1" x14ac:dyDescent="0.25"/>
    <row r="121563" s="12" customFormat="1" x14ac:dyDescent="0.25"/>
    <row r="121564" s="12" customFormat="1" x14ac:dyDescent="0.25"/>
    <row r="121565" s="12" customFormat="1" x14ac:dyDescent="0.25"/>
    <row r="121566" s="12" customFormat="1" x14ac:dyDescent="0.25"/>
    <row r="121567" s="12" customFormat="1" x14ac:dyDescent="0.25"/>
    <row r="121568" s="12" customFormat="1" x14ac:dyDescent="0.25"/>
    <row r="121569" s="12" customFormat="1" x14ac:dyDescent="0.25"/>
    <row r="121570" s="12" customFormat="1" x14ac:dyDescent="0.25"/>
    <row r="121571" s="12" customFormat="1" x14ac:dyDescent="0.25"/>
    <row r="121572" s="12" customFormat="1" x14ac:dyDescent="0.25"/>
    <row r="121573" s="12" customFormat="1" x14ac:dyDescent="0.25"/>
    <row r="121574" s="12" customFormat="1" x14ac:dyDescent="0.25"/>
    <row r="121575" s="12" customFormat="1" x14ac:dyDescent="0.25"/>
    <row r="121576" s="12" customFormat="1" x14ac:dyDescent="0.25"/>
    <row r="121577" s="12" customFormat="1" x14ac:dyDescent="0.25"/>
    <row r="121578" s="12" customFormat="1" x14ac:dyDescent="0.25"/>
    <row r="121579" s="12" customFormat="1" x14ac:dyDescent="0.25"/>
    <row r="121580" s="12" customFormat="1" x14ac:dyDescent="0.25"/>
    <row r="121581" s="12" customFormat="1" x14ac:dyDescent="0.25"/>
    <row r="121582" s="12" customFormat="1" x14ac:dyDescent="0.25"/>
    <row r="121583" s="12" customFormat="1" x14ac:dyDescent="0.25"/>
    <row r="121584" s="12" customFormat="1" x14ac:dyDescent="0.25"/>
    <row r="121585" s="12" customFormat="1" x14ac:dyDescent="0.25"/>
    <row r="121586" s="12" customFormat="1" x14ac:dyDescent="0.25"/>
    <row r="121587" s="12" customFormat="1" x14ac:dyDescent="0.25"/>
    <row r="121588" s="12" customFormat="1" x14ac:dyDescent="0.25"/>
    <row r="121589" s="12" customFormat="1" x14ac:dyDescent="0.25"/>
    <row r="121590" s="12" customFormat="1" x14ac:dyDescent="0.25"/>
    <row r="121591" s="12" customFormat="1" x14ac:dyDescent="0.25"/>
    <row r="121592" s="12" customFormat="1" x14ac:dyDescent="0.25"/>
    <row r="121593" s="12" customFormat="1" x14ac:dyDescent="0.25"/>
    <row r="121594" s="12" customFormat="1" x14ac:dyDescent="0.25"/>
    <row r="121595" s="12" customFormat="1" x14ac:dyDescent="0.25"/>
    <row r="121596" s="12" customFormat="1" x14ac:dyDescent="0.25"/>
    <row r="121597" s="12" customFormat="1" x14ac:dyDescent="0.25"/>
    <row r="121598" s="12" customFormat="1" x14ac:dyDescent="0.25"/>
    <row r="121599" s="12" customFormat="1" x14ac:dyDescent="0.25"/>
    <row r="121600" s="12" customFormat="1" x14ac:dyDescent="0.25"/>
    <row r="121601" s="12" customFormat="1" x14ac:dyDescent="0.25"/>
    <row r="121602" s="12" customFormat="1" x14ac:dyDescent="0.25"/>
    <row r="121603" s="12" customFormat="1" x14ac:dyDescent="0.25"/>
    <row r="121604" s="12" customFormat="1" x14ac:dyDescent="0.25"/>
    <row r="121605" s="12" customFormat="1" x14ac:dyDescent="0.25"/>
    <row r="121606" s="12" customFormat="1" x14ac:dyDescent="0.25"/>
    <row r="121607" s="12" customFormat="1" x14ac:dyDescent="0.25"/>
    <row r="121608" s="12" customFormat="1" x14ac:dyDescent="0.25"/>
    <row r="121609" s="12" customFormat="1" x14ac:dyDescent="0.25"/>
    <row r="121610" s="12" customFormat="1" x14ac:dyDescent="0.25"/>
    <row r="121611" s="12" customFormat="1" x14ac:dyDescent="0.25"/>
    <row r="121612" s="12" customFormat="1" x14ac:dyDescent="0.25"/>
    <row r="121613" s="12" customFormat="1" x14ac:dyDescent="0.25"/>
    <row r="121614" s="12" customFormat="1" x14ac:dyDescent="0.25"/>
    <row r="121615" s="12" customFormat="1" x14ac:dyDescent="0.25"/>
    <row r="121616" s="12" customFormat="1" x14ac:dyDescent="0.25"/>
    <row r="121617" s="12" customFormat="1" x14ac:dyDescent="0.25"/>
    <row r="121618" s="12" customFormat="1" x14ac:dyDescent="0.25"/>
    <row r="121619" s="12" customFormat="1" x14ac:dyDescent="0.25"/>
    <row r="121620" s="12" customFormat="1" x14ac:dyDescent="0.25"/>
    <row r="121621" s="12" customFormat="1" x14ac:dyDescent="0.25"/>
    <row r="121622" s="12" customFormat="1" x14ac:dyDescent="0.25"/>
    <row r="121623" s="12" customFormat="1" x14ac:dyDescent="0.25"/>
    <row r="121624" s="12" customFormat="1" x14ac:dyDescent="0.25"/>
    <row r="121625" s="12" customFormat="1" x14ac:dyDescent="0.25"/>
    <row r="121626" s="12" customFormat="1" x14ac:dyDescent="0.25"/>
    <row r="121627" s="12" customFormat="1" x14ac:dyDescent="0.25"/>
    <row r="121628" s="12" customFormat="1" x14ac:dyDescent="0.25"/>
    <row r="121629" s="12" customFormat="1" x14ac:dyDescent="0.25"/>
    <row r="121630" s="12" customFormat="1" x14ac:dyDescent="0.25"/>
    <row r="121631" s="12" customFormat="1" x14ac:dyDescent="0.25"/>
    <row r="121632" s="12" customFormat="1" x14ac:dyDescent="0.25"/>
    <row r="121633" s="12" customFormat="1" x14ac:dyDescent="0.25"/>
    <row r="121634" s="12" customFormat="1" x14ac:dyDescent="0.25"/>
    <row r="121635" s="12" customFormat="1" x14ac:dyDescent="0.25"/>
    <row r="121636" s="12" customFormat="1" x14ac:dyDescent="0.25"/>
    <row r="121637" s="12" customFormat="1" x14ac:dyDescent="0.25"/>
    <row r="121638" s="12" customFormat="1" x14ac:dyDescent="0.25"/>
    <row r="121639" s="12" customFormat="1" x14ac:dyDescent="0.25"/>
    <row r="121640" s="12" customFormat="1" x14ac:dyDescent="0.25"/>
    <row r="121641" s="12" customFormat="1" x14ac:dyDescent="0.25"/>
    <row r="121642" s="12" customFormat="1" x14ac:dyDescent="0.25"/>
    <row r="121643" s="12" customFormat="1" x14ac:dyDescent="0.25"/>
    <row r="121644" s="12" customFormat="1" x14ac:dyDescent="0.25"/>
    <row r="121645" s="12" customFormat="1" x14ac:dyDescent="0.25"/>
    <row r="121646" s="12" customFormat="1" x14ac:dyDescent="0.25"/>
    <row r="121647" s="12" customFormat="1" x14ac:dyDescent="0.25"/>
    <row r="121648" s="12" customFormat="1" x14ac:dyDescent="0.25"/>
    <row r="121649" s="12" customFormat="1" x14ac:dyDescent="0.25"/>
    <row r="121650" s="12" customFormat="1" x14ac:dyDescent="0.25"/>
    <row r="121651" s="12" customFormat="1" x14ac:dyDescent="0.25"/>
    <row r="121652" s="12" customFormat="1" x14ac:dyDescent="0.25"/>
    <row r="121653" s="12" customFormat="1" x14ac:dyDescent="0.25"/>
    <row r="121654" s="12" customFormat="1" x14ac:dyDescent="0.25"/>
    <row r="121655" s="12" customFormat="1" x14ac:dyDescent="0.25"/>
    <row r="121656" s="12" customFormat="1" x14ac:dyDescent="0.25"/>
    <row r="121657" s="12" customFormat="1" x14ac:dyDescent="0.25"/>
    <row r="121658" s="12" customFormat="1" x14ac:dyDescent="0.25"/>
    <row r="121659" s="12" customFormat="1" x14ac:dyDescent="0.25"/>
    <row r="121660" s="12" customFormat="1" x14ac:dyDescent="0.25"/>
    <row r="121661" s="12" customFormat="1" x14ac:dyDescent="0.25"/>
    <row r="121662" s="12" customFormat="1" x14ac:dyDescent="0.25"/>
    <row r="121663" s="12" customFormat="1" x14ac:dyDescent="0.25"/>
    <row r="121664" s="12" customFormat="1" x14ac:dyDescent="0.25"/>
    <row r="121665" s="12" customFormat="1" x14ac:dyDescent="0.25"/>
    <row r="121666" s="12" customFormat="1" x14ac:dyDescent="0.25"/>
    <row r="121667" s="12" customFormat="1" x14ac:dyDescent="0.25"/>
    <row r="121668" s="12" customFormat="1" x14ac:dyDescent="0.25"/>
    <row r="121669" s="12" customFormat="1" x14ac:dyDescent="0.25"/>
    <row r="121670" s="12" customFormat="1" x14ac:dyDescent="0.25"/>
    <row r="121671" s="12" customFormat="1" x14ac:dyDescent="0.25"/>
    <row r="121672" s="12" customFormat="1" x14ac:dyDescent="0.25"/>
    <row r="121673" s="12" customFormat="1" x14ac:dyDescent="0.25"/>
    <row r="121674" s="12" customFormat="1" x14ac:dyDescent="0.25"/>
    <row r="121675" s="12" customFormat="1" x14ac:dyDescent="0.25"/>
    <row r="121676" s="12" customFormat="1" x14ac:dyDescent="0.25"/>
    <row r="121677" s="12" customFormat="1" x14ac:dyDescent="0.25"/>
    <row r="121678" s="12" customFormat="1" x14ac:dyDescent="0.25"/>
    <row r="121679" s="12" customFormat="1" x14ac:dyDescent="0.25"/>
    <row r="121680" s="12" customFormat="1" x14ac:dyDescent="0.25"/>
    <row r="121681" s="12" customFormat="1" x14ac:dyDescent="0.25"/>
    <row r="121682" s="12" customFormat="1" x14ac:dyDescent="0.25"/>
    <row r="121683" s="12" customFormat="1" x14ac:dyDescent="0.25"/>
    <row r="121684" s="12" customFormat="1" x14ac:dyDescent="0.25"/>
    <row r="121685" s="12" customFormat="1" x14ac:dyDescent="0.25"/>
    <row r="121686" s="12" customFormat="1" x14ac:dyDescent="0.25"/>
    <row r="121687" s="12" customFormat="1" x14ac:dyDescent="0.25"/>
    <row r="121688" s="12" customFormat="1" x14ac:dyDescent="0.25"/>
    <row r="121689" s="12" customFormat="1" x14ac:dyDescent="0.25"/>
    <row r="121690" s="12" customFormat="1" x14ac:dyDescent="0.25"/>
    <row r="121691" s="12" customFormat="1" x14ac:dyDescent="0.25"/>
    <row r="121692" s="12" customFormat="1" x14ac:dyDescent="0.25"/>
    <row r="121693" s="12" customFormat="1" x14ac:dyDescent="0.25"/>
    <row r="121694" s="12" customFormat="1" x14ac:dyDescent="0.25"/>
    <row r="121695" s="12" customFormat="1" x14ac:dyDescent="0.25"/>
    <row r="121696" s="12" customFormat="1" x14ac:dyDescent="0.25"/>
    <row r="121697" s="12" customFormat="1" x14ac:dyDescent="0.25"/>
    <row r="121698" s="12" customFormat="1" x14ac:dyDescent="0.25"/>
    <row r="121699" s="12" customFormat="1" x14ac:dyDescent="0.25"/>
    <row r="121700" s="12" customFormat="1" x14ac:dyDescent="0.25"/>
    <row r="121701" s="12" customFormat="1" x14ac:dyDescent="0.25"/>
    <row r="121702" s="12" customFormat="1" x14ac:dyDescent="0.25"/>
    <row r="121703" s="12" customFormat="1" x14ac:dyDescent="0.25"/>
    <row r="121704" s="12" customFormat="1" x14ac:dyDescent="0.25"/>
    <row r="121705" s="12" customFormat="1" x14ac:dyDescent="0.25"/>
    <row r="121706" s="12" customFormat="1" x14ac:dyDescent="0.25"/>
    <row r="121707" s="12" customFormat="1" x14ac:dyDescent="0.25"/>
    <row r="121708" s="12" customFormat="1" x14ac:dyDescent="0.25"/>
    <row r="121709" s="12" customFormat="1" x14ac:dyDescent="0.25"/>
    <row r="121710" s="12" customFormat="1" x14ac:dyDescent="0.25"/>
    <row r="121711" s="12" customFormat="1" x14ac:dyDescent="0.25"/>
    <row r="121712" s="12" customFormat="1" x14ac:dyDescent="0.25"/>
    <row r="121713" s="12" customFormat="1" x14ac:dyDescent="0.25"/>
    <row r="121714" s="12" customFormat="1" x14ac:dyDescent="0.25"/>
    <row r="121715" s="12" customFormat="1" x14ac:dyDescent="0.25"/>
    <row r="121716" s="12" customFormat="1" x14ac:dyDescent="0.25"/>
    <row r="121717" s="12" customFormat="1" x14ac:dyDescent="0.25"/>
    <row r="121718" s="12" customFormat="1" x14ac:dyDescent="0.25"/>
    <row r="121719" s="12" customFormat="1" x14ac:dyDescent="0.25"/>
    <row r="121720" s="12" customFormat="1" x14ac:dyDescent="0.25"/>
    <row r="121721" s="12" customFormat="1" x14ac:dyDescent="0.25"/>
    <row r="121722" s="12" customFormat="1" x14ac:dyDescent="0.25"/>
    <row r="121723" s="12" customFormat="1" x14ac:dyDescent="0.25"/>
    <row r="121724" s="12" customFormat="1" x14ac:dyDescent="0.25"/>
    <row r="121725" s="12" customFormat="1" x14ac:dyDescent="0.25"/>
    <row r="121726" s="12" customFormat="1" x14ac:dyDescent="0.25"/>
    <row r="121727" s="12" customFormat="1" x14ac:dyDescent="0.25"/>
    <row r="121728" s="12" customFormat="1" x14ac:dyDescent="0.25"/>
    <row r="121729" s="12" customFormat="1" x14ac:dyDescent="0.25"/>
    <row r="121730" s="12" customFormat="1" x14ac:dyDescent="0.25"/>
    <row r="121731" s="12" customFormat="1" x14ac:dyDescent="0.25"/>
    <row r="121732" s="12" customFormat="1" x14ac:dyDescent="0.25"/>
    <row r="121733" s="12" customFormat="1" x14ac:dyDescent="0.25"/>
    <row r="121734" s="12" customFormat="1" x14ac:dyDescent="0.25"/>
    <row r="121735" s="12" customFormat="1" x14ac:dyDescent="0.25"/>
    <row r="121736" s="12" customFormat="1" x14ac:dyDescent="0.25"/>
    <row r="121737" s="12" customFormat="1" x14ac:dyDescent="0.25"/>
    <row r="121738" s="12" customFormat="1" x14ac:dyDescent="0.25"/>
    <row r="121739" s="12" customFormat="1" x14ac:dyDescent="0.25"/>
    <row r="121740" s="12" customFormat="1" x14ac:dyDescent="0.25"/>
    <row r="121741" s="12" customFormat="1" x14ac:dyDescent="0.25"/>
    <row r="121742" s="12" customFormat="1" x14ac:dyDescent="0.25"/>
    <row r="121743" s="12" customFormat="1" x14ac:dyDescent="0.25"/>
    <row r="121744" s="12" customFormat="1" x14ac:dyDescent="0.25"/>
    <row r="121745" s="12" customFormat="1" x14ac:dyDescent="0.25"/>
    <row r="121746" s="12" customFormat="1" x14ac:dyDescent="0.25"/>
    <row r="121747" s="12" customFormat="1" x14ac:dyDescent="0.25"/>
    <row r="121748" s="12" customFormat="1" x14ac:dyDescent="0.25"/>
    <row r="121749" s="12" customFormat="1" x14ac:dyDescent="0.25"/>
    <row r="121750" s="12" customFormat="1" x14ac:dyDescent="0.25"/>
    <row r="121751" s="12" customFormat="1" x14ac:dyDescent="0.25"/>
    <row r="121752" s="12" customFormat="1" x14ac:dyDescent="0.25"/>
    <row r="121753" s="12" customFormat="1" x14ac:dyDescent="0.25"/>
    <row r="121754" s="12" customFormat="1" x14ac:dyDescent="0.25"/>
    <row r="121755" s="12" customFormat="1" x14ac:dyDescent="0.25"/>
    <row r="121756" s="12" customFormat="1" x14ac:dyDescent="0.25"/>
    <row r="121757" s="12" customFormat="1" x14ac:dyDescent="0.25"/>
    <row r="121758" s="12" customFormat="1" x14ac:dyDescent="0.25"/>
    <row r="121759" s="12" customFormat="1" x14ac:dyDescent="0.25"/>
    <row r="121760" s="12" customFormat="1" x14ac:dyDescent="0.25"/>
    <row r="121761" s="12" customFormat="1" x14ac:dyDescent="0.25"/>
    <row r="121762" s="12" customFormat="1" x14ac:dyDescent="0.25"/>
    <row r="121763" s="12" customFormat="1" x14ac:dyDescent="0.25"/>
    <row r="121764" s="12" customFormat="1" x14ac:dyDescent="0.25"/>
    <row r="121765" s="12" customFormat="1" x14ac:dyDescent="0.25"/>
    <row r="121766" s="12" customFormat="1" x14ac:dyDescent="0.25"/>
    <row r="121767" s="12" customFormat="1" x14ac:dyDescent="0.25"/>
    <row r="121768" s="12" customFormat="1" x14ac:dyDescent="0.25"/>
    <row r="121769" s="12" customFormat="1" x14ac:dyDescent="0.25"/>
    <row r="121770" s="12" customFormat="1" x14ac:dyDescent="0.25"/>
    <row r="121771" s="12" customFormat="1" x14ac:dyDescent="0.25"/>
    <row r="121772" s="12" customFormat="1" x14ac:dyDescent="0.25"/>
    <row r="121773" s="12" customFormat="1" x14ac:dyDescent="0.25"/>
    <row r="121774" s="12" customFormat="1" x14ac:dyDescent="0.25"/>
    <row r="121775" s="12" customFormat="1" x14ac:dyDescent="0.25"/>
    <row r="121776" s="12" customFormat="1" x14ac:dyDescent="0.25"/>
    <row r="121777" s="12" customFormat="1" x14ac:dyDescent="0.25"/>
    <row r="121778" s="12" customFormat="1" x14ac:dyDescent="0.25"/>
    <row r="121779" s="12" customFormat="1" x14ac:dyDescent="0.25"/>
    <row r="121780" s="12" customFormat="1" x14ac:dyDescent="0.25"/>
    <row r="121781" s="12" customFormat="1" x14ac:dyDescent="0.25"/>
    <row r="121782" s="12" customFormat="1" x14ac:dyDescent="0.25"/>
    <row r="121783" s="12" customFormat="1" x14ac:dyDescent="0.25"/>
    <row r="121784" s="12" customFormat="1" x14ac:dyDescent="0.25"/>
    <row r="121785" s="12" customFormat="1" x14ac:dyDescent="0.25"/>
    <row r="121786" s="12" customFormat="1" x14ac:dyDescent="0.25"/>
    <row r="121787" s="12" customFormat="1" x14ac:dyDescent="0.25"/>
    <row r="121788" s="12" customFormat="1" x14ac:dyDescent="0.25"/>
    <row r="121789" s="12" customFormat="1" x14ac:dyDescent="0.25"/>
    <row r="121790" s="12" customFormat="1" x14ac:dyDescent="0.25"/>
    <row r="121791" s="12" customFormat="1" x14ac:dyDescent="0.25"/>
    <row r="121792" s="12" customFormat="1" x14ac:dyDescent="0.25"/>
    <row r="121793" s="12" customFormat="1" x14ac:dyDescent="0.25"/>
    <row r="121794" s="12" customFormat="1" x14ac:dyDescent="0.25"/>
    <row r="121795" s="12" customFormat="1" x14ac:dyDescent="0.25"/>
    <row r="121796" s="12" customFormat="1" x14ac:dyDescent="0.25"/>
    <row r="121797" s="12" customFormat="1" x14ac:dyDescent="0.25"/>
    <row r="121798" s="12" customFormat="1" x14ac:dyDescent="0.25"/>
    <row r="121799" s="12" customFormat="1" x14ac:dyDescent="0.25"/>
    <row r="121800" s="12" customFormat="1" x14ac:dyDescent="0.25"/>
    <row r="121801" s="12" customFormat="1" x14ac:dyDescent="0.25"/>
    <row r="121802" s="12" customFormat="1" x14ac:dyDescent="0.25"/>
    <row r="121803" s="12" customFormat="1" x14ac:dyDescent="0.25"/>
    <row r="121804" s="12" customFormat="1" x14ac:dyDescent="0.25"/>
    <row r="121805" s="12" customFormat="1" x14ac:dyDescent="0.25"/>
    <row r="121806" s="12" customFormat="1" x14ac:dyDescent="0.25"/>
    <row r="121807" s="12" customFormat="1" x14ac:dyDescent="0.25"/>
    <row r="121808" s="12" customFormat="1" x14ac:dyDescent="0.25"/>
    <row r="121809" s="12" customFormat="1" x14ac:dyDescent="0.25"/>
    <row r="121810" s="12" customFormat="1" x14ac:dyDescent="0.25"/>
    <row r="121811" s="12" customFormat="1" x14ac:dyDescent="0.25"/>
    <row r="121812" s="12" customFormat="1" x14ac:dyDescent="0.25"/>
    <row r="121813" s="12" customFormat="1" x14ac:dyDescent="0.25"/>
    <row r="121814" s="12" customFormat="1" x14ac:dyDescent="0.25"/>
    <row r="121815" s="12" customFormat="1" x14ac:dyDescent="0.25"/>
    <row r="121816" s="12" customFormat="1" x14ac:dyDescent="0.25"/>
    <row r="121817" s="12" customFormat="1" x14ac:dyDescent="0.25"/>
    <row r="121818" s="12" customFormat="1" x14ac:dyDescent="0.25"/>
    <row r="121819" s="12" customFormat="1" x14ac:dyDescent="0.25"/>
    <row r="121820" s="12" customFormat="1" x14ac:dyDescent="0.25"/>
    <row r="121821" s="12" customFormat="1" x14ac:dyDescent="0.25"/>
    <row r="121822" s="12" customFormat="1" x14ac:dyDescent="0.25"/>
    <row r="121823" s="12" customFormat="1" x14ac:dyDescent="0.25"/>
    <row r="121824" s="12" customFormat="1" x14ac:dyDescent="0.25"/>
    <row r="121825" s="12" customFormat="1" x14ac:dyDescent="0.25"/>
    <row r="121826" s="12" customFormat="1" x14ac:dyDescent="0.25"/>
    <row r="121827" s="12" customFormat="1" x14ac:dyDescent="0.25"/>
    <row r="121828" s="12" customFormat="1" x14ac:dyDescent="0.25"/>
    <row r="121829" s="12" customFormat="1" x14ac:dyDescent="0.25"/>
    <row r="121830" s="12" customFormat="1" x14ac:dyDescent="0.25"/>
    <row r="121831" s="12" customFormat="1" x14ac:dyDescent="0.25"/>
    <row r="121832" s="12" customFormat="1" x14ac:dyDescent="0.25"/>
    <row r="121833" s="12" customFormat="1" x14ac:dyDescent="0.25"/>
    <row r="121834" s="12" customFormat="1" x14ac:dyDescent="0.25"/>
    <row r="121835" s="12" customFormat="1" x14ac:dyDescent="0.25"/>
    <row r="121836" s="12" customFormat="1" x14ac:dyDescent="0.25"/>
    <row r="121837" s="12" customFormat="1" x14ac:dyDescent="0.25"/>
    <row r="121838" s="12" customFormat="1" x14ac:dyDescent="0.25"/>
    <row r="121839" s="12" customFormat="1" x14ac:dyDescent="0.25"/>
    <row r="121840" s="12" customFormat="1" x14ac:dyDescent="0.25"/>
    <row r="121841" s="12" customFormat="1" x14ac:dyDescent="0.25"/>
    <row r="121842" s="12" customFormat="1" x14ac:dyDescent="0.25"/>
    <row r="121843" s="12" customFormat="1" x14ac:dyDescent="0.25"/>
    <row r="121844" s="12" customFormat="1" x14ac:dyDescent="0.25"/>
    <row r="121845" s="12" customFormat="1" x14ac:dyDescent="0.25"/>
    <row r="121846" s="12" customFormat="1" x14ac:dyDescent="0.25"/>
    <row r="121847" s="12" customFormat="1" x14ac:dyDescent="0.25"/>
    <row r="121848" s="12" customFormat="1" x14ac:dyDescent="0.25"/>
    <row r="121849" s="12" customFormat="1" x14ac:dyDescent="0.25"/>
    <row r="121850" s="12" customFormat="1" x14ac:dyDescent="0.25"/>
    <row r="121851" s="12" customFormat="1" x14ac:dyDescent="0.25"/>
    <row r="121852" s="12" customFormat="1" x14ac:dyDescent="0.25"/>
    <row r="121853" s="12" customFormat="1" x14ac:dyDescent="0.25"/>
    <row r="121854" s="12" customFormat="1" x14ac:dyDescent="0.25"/>
    <row r="121855" s="12" customFormat="1" x14ac:dyDescent="0.25"/>
    <row r="121856" s="12" customFormat="1" x14ac:dyDescent="0.25"/>
    <row r="121857" s="12" customFormat="1" x14ac:dyDescent="0.25"/>
    <row r="121858" s="12" customFormat="1" x14ac:dyDescent="0.25"/>
    <row r="121859" s="12" customFormat="1" x14ac:dyDescent="0.25"/>
    <row r="121860" s="12" customFormat="1" x14ac:dyDescent="0.25"/>
    <row r="121861" s="12" customFormat="1" x14ac:dyDescent="0.25"/>
    <row r="121862" s="12" customFormat="1" x14ac:dyDescent="0.25"/>
    <row r="121863" s="12" customFormat="1" x14ac:dyDescent="0.25"/>
    <row r="121864" s="12" customFormat="1" x14ac:dyDescent="0.25"/>
    <row r="121865" s="12" customFormat="1" x14ac:dyDescent="0.25"/>
    <row r="121866" s="12" customFormat="1" x14ac:dyDescent="0.25"/>
    <row r="121867" s="12" customFormat="1" x14ac:dyDescent="0.25"/>
    <row r="121868" s="12" customFormat="1" x14ac:dyDescent="0.25"/>
    <row r="121869" s="12" customFormat="1" x14ac:dyDescent="0.25"/>
    <row r="121870" s="12" customFormat="1" x14ac:dyDescent="0.25"/>
    <row r="121871" s="12" customFormat="1" x14ac:dyDescent="0.25"/>
    <row r="121872" s="12" customFormat="1" x14ac:dyDescent="0.25"/>
    <row r="121873" s="12" customFormat="1" x14ac:dyDescent="0.25"/>
    <row r="121874" s="12" customFormat="1" x14ac:dyDescent="0.25"/>
    <row r="121875" s="12" customFormat="1" x14ac:dyDescent="0.25"/>
    <row r="121876" s="12" customFormat="1" x14ac:dyDescent="0.25"/>
    <row r="121877" s="12" customFormat="1" x14ac:dyDescent="0.25"/>
    <row r="121878" s="12" customFormat="1" x14ac:dyDescent="0.25"/>
    <row r="121879" s="12" customFormat="1" x14ac:dyDescent="0.25"/>
    <row r="121880" s="12" customFormat="1" x14ac:dyDescent="0.25"/>
    <row r="121881" s="12" customFormat="1" x14ac:dyDescent="0.25"/>
    <row r="121882" s="12" customFormat="1" x14ac:dyDescent="0.25"/>
    <row r="121883" s="12" customFormat="1" x14ac:dyDescent="0.25"/>
    <row r="121884" s="12" customFormat="1" x14ac:dyDescent="0.25"/>
    <row r="121885" s="12" customFormat="1" x14ac:dyDescent="0.25"/>
    <row r="121886" s="12" customFormat="1" x14ac:dyDescent="0.25"/>
    <row r="121887" s="12" customFormat="1" x14ac:dyDescent="0.25"/>
    <row r="121888" s="12" customFormat="1" x14ac:dyDescent="0.25"/>
    <row r="121889" s="12" customFormat="1" x14ac:dyDescent="0.25"/>
    <row r="121890" s="12" customFormat="1" x14ac:dyDescent="0.25"/>
    <row r="121891" s="12" customFormat="1" x14ac:dyDescent="0.25"/>
    <row r="121892" s="12" customFormat="1" x14ac:dyDescent="0.25"/>
    <row r="121893" s="12" customFormat="1" x14ac:dyDescent="0.25"/>
    <row r="121894" s="12" customFormat="1" x14ac:dyDescent="0.25"/>
    <row r="121895" s="12" customFormat="1" x14ac:dyDescent="0.25"/>
    <row r="121896" s="12" customFormat="1" x14ac:dyDescent="0.25"/>
    <row r="121897" s="12" customFormat="1" x14ac:dyDescent="0.25"/>
    <row r="121898" s="12" customFormat="1" x14ac:dyDescent="0.25"/>
    <row r="121899" s="12" customFormat="1" x14ac:dyDescent="0.25"/>
    <row r="121900" s="12" customFormat="1" x14ac:dyDescent="0.25"/>
    <row r="121901" s="12" customFormat="1" x14ac:dyDescent="0.25"/>
    <row r="121902" s="12" customFormat="1" x14ac:dyDescent="0.25"/>
    <row r="121903" s="12" customFormat="1" x14ac:dyDescent="0.25"/>
    <row r="121904" s="12" customFormat="1" x14ac:dyDescent="0.25"/>
    <row r="121905" s="12" customFormat="1" x14ac:dyDescent="0.25"/>
    <row r="121906" s="12" customFormat="1" x14ac:dyDescent="0.25"/>
    <row r="121907" s="12" customFormat="1" x14ac:dyDescent="0.25"/>
    <row r="121908" s="12" customFormat="1" x14ac:dyDescent="0.25"/>
    <row r="121909" s="12" customFormat="1" x14ac:dyDescent="0.25"/>
    <row r="121910" s="12" customFormat="1" x14ac:dyDescent="0.25"/>
    <row r="121911" s="12" customFormat="1" x14ac:dyDescent="0.25"/>
    <row r="121912" s="12" customFormat="1" x14ac:dyDescent="0.25"/>
    <row r="121913" s="12" customFormat="1" x14ac:dyDescent="0.25"/>
    <row r="121914" s="12" customFormat="1" x14ac:dyDescent="0.25"/>
    <row r="121915" s="12" customFormat="1" x14ac:dyDescent="0.25"/>
    <row r="121916" s="12" customFormat="1" x14ac:dyDescent="0.25"/>
    <row r="121917" s="12" customFormat="1" x14ac:dyDescent="0.25"/>
    <row r="121918" s="12" customFormat="1" x14ac:dyDescent="0.25"/>
    <row r="121919" s="12" customFormat="1" x14ac:dyDescent="0.25"/>
    <row r="121920" s="12" customFormat="1" x14ac:dyDescent="0.25"/>
    <row r="121921" s="12" customFormat="1" x14ac:dyDescent="0.25"/>
    <row r="121922" s="12" customFormat="1" x14ac:dyDescent="0.25"/>
    <row r="121923" s="12" customFormat="1" x14ac:dyDescent="0.25"/>
    <row r="121924" s="12" customFormat="1" x14ac:dyDescent="0.25"/>
    <row r="121925" s="12" customFormat="1" x14ac:dyDescent="0.25"/>
    <row r="121926" s="12" customFormat="1" x14ac:dyDescent="0.25"/>
    <row r="121927" s="12" customFormat="1" x14ac:dyDescent="0.25"/>
    <row r="121928" s="12" customFormat="1" x14ac:dyDescent="0.25"/>
    <row r="121929" s="12" customFormat="1" x14ac:dyDescent="0.25"/>
    <row r="121930" s="12" customFormat="1" x14ac:dyDescent="0.25"/>
    <row r="121931" s="12" customFormat="1" x14ac:dyDescent="0.25"/>
    <row r="121932" s="12" customFormat="1" x14ac:dyDescent="0.25"/>
    <row r="121933" s="12" customFormat="1" x14ac:dyDescent="0.25"/>
    <row r="121934" s="12" customFormat="1" x14ac:dyDescent="0.25"/>
    <row r="121935" s="12" customFormat="1" x14ac:dyDescent="0.25"/>
    <row r="121936" s="12" customFormat="1" x14ac:dyDescent="0.25"/>
    <row r="121937" s="12" customFormat="1" x14ac:dyDescent="0.25"/>
    <row r="121938" s="12" customFormat="1" x14ac:dyDescent="0.25"/>
    <row r="121939" s="12" customFormat="1" x14ac:dyDescent="0.25"/>
    <row r="121940" s="12" customFormat="1" x14ac:dyDescent="0.25"/>
    <row r="121941" s="12" customFormat="1" x14ac:dyDescent="0.25"/>
    <row r="121942" s="12" customFormat="1" x14ac:dyDescent="0.25"/>
    <row r="121943" s="12" customFormat="1" x14ac:dyDescent="0.25"/>
    <row r="121944" s="12" customFormat="1" x14ac:dyDescent="0.25"/>
    <row r="121945" s="12" customFormat="1" x14ac:dyDescent="0.25"/>
    <row r="121946" s="12" customFormat="1" x14ac:dyDescent="0.25"/>
    <row r="121947" s="12" customFormat="1" x14ac:dyDescent="0.25"/>
    <row r="121948" s="12" customFormat="1" x14ac:dyDescent="0.25"/>
    <row r="121949" s="12" customFormat="1" x14ac:dyDescent="0.25"/>
    <row r="121950" s="12" customFormat="1" x14ac:dyDescent="0.25"/>
    <row r="121951" s="12" customFormat="1" x14ac:dyDescent="0.25"/>
    <row r="121952" s="12" customFormat="1" x14ac:dyDescent="0.25"/>
    <row r="121953" s="12" customFormat="1" x14ac:dyDescent="0.25"/>
    <row r="121954" s="12" customFormat="1" x14ac:dyDescent="0.25"/>
    <row r="121955" s="12" customFormat="1" x14ac:dyDescent="0.25"/>
    <row r="121956" s="12" customFormat="1" x14ac:dyDescent="0.25"/>
    <row r="121957" s="12" customFormat="1" x14ac:dyDescent="0.25"/>
    <row r="121958" s="12" customFormat="1" x14ac:dyDescent="0.25"/>
    <row r="121959" s="12" customFormat="1" x14ac:dyDescent="0.25"/>
    <row r="121960" s="12" customFormat="1" x14ac:dyDescent="0.25"/>
    <row r="121961" s="12" customFormat="1" x14ac:dyDescent="0.25"/>
    <row r="121962" s="12" customFormat="1" x14ac:dyDescent="0.25"/>
    <row r="121963" s="12" customFormat="1" x14ac:dyDescent="0.25"/>
    <row r="121964" s="12" customFormat="1" x14ac:dyDescent="0.25"/>
    <row r="121965" s="12" customFormat="1" x14ac:dyDescent="0.25"/>
    <row r="121966" s="12" customFormat="1" x14ac:dyDescent="0.25"/>
    <row r="121967" s="12" customFormat="1" x14ac:dyDescent="0.25"/>
    <row r="121968" s="12" customFormat="1" x14ac:dyDescent="0.25"/>
    <row r="121969" s="12" customFormat="1" x14ac:dyDescent="0.25"/>
    <row r="121970" s="12" customFormat="1" x14ac:dyDescent="0.25"/>
    <row r="121971" s="12" customFormat="1" x14ac:dyDescent="0.25"/>
    <row r="121972" s="12" customFormat="1" x14ac:dyDescent="0.25"/>
    <row r="121973" s="12" customFormat="1" x14ac:dyDescent="0.25"/>
    <row r="121974" s="12" customFormat="1" x14ac:dyDescent="0.25"/>
    <row r="121975" s="12" customFormat="1" x14ac:dyDescent="0.25"/>
    <row r="121976" s="12" customFormat="1" x14ac:dyDescent="0.25"/>
    <row r="121977" s="12" customFormat="1" x14ac:dyDescent="0.25"/>
    <row r="121978" s="12" customFormat="1" x14ac:dyDescent="0.25"/>
    <row r="121979" s="12" customFormat="1" x14ac:dyDescent="0.25"/>
    <row r="121980" s="12" customFormat="1" x14ac:dyDescent="0.25"/>
    <row r="121981" s="12" customFormat="1" x14ac:dyDescent="0.25"/>
    <row r="121982" s="12" customFormat="1" x14ac:dyDescent="0.25"/>
    <row r="121983" s="12" customFormat="1" x14ac:dyDescent="0.25"/>
    <row r="121984" s="12" customFormat="1" x14ac:dyDescent="0.25"/>
    <row r="121985" s="12" customFormat="1" x14ac:dyDescent="0.25"/>
    <row r="121986" s="12" customFormat="1" x14ac:dyDescent="0.25"/>
    <row r="121987" s="12" customFormat="1" x14ac:dyDescent="0.25"/>
    <row r="121988" s="12" customFormat="1" x14ac:dyDescent="0.25"/>
    <row r="121989" s="12" customFormat="1" x14ac:dyDescent="0.25"/>
    <row r="121990" s="12" customFormat="1" x14ac:dyDescent="0.25"/>
    <row r="121991" s="12" customFormat="1" x14ac:dyDescent="0.25"/>
    <row r="121992" s="12" customFormat="1" x14ac:dyDescent="0.25"/>
    <row r="121993" s="12" customFormat="1" x14ac:dyDescent="0.25"/>
    <row r="121994" s="12" customFormat="1" x14ac:dyDescent="0.25"/>
    <row r="121995" s="12" customFormat="1" x14ac:dyDescent="0.25"/>
    <row r="121996" s="12" customFormat="1" x14ac:dyDescent="0.25"/>
    <row r="121997" s="12" customFormat="1" x14ac:dyDescent="0.25"/>
    <row r="121998" s="12" customFormat="1" x14ac:dyDescent="0.25"/>
    <row r="121999" s="12" customFormat="1" x14ac:dyDescent="0.25"/>
    <row r="122000" s="12" customFormat="1" x14ac:dyDescent="0.25"/>
    <row r="122001" s="12" customFormat="1" x14ac:dyDescent="0.25"/>
    <row r="122002" s="12" customFormat="1" x14ac:dyDescent="0.25"/>
    <row r="122003" s="12" customFormat="1" x14ac:dyDescent="0.25"/>
    <row r="122004" s="12" customFormat="1" x14ac:dyDescent="0.25"/>
    <row r="122005" s="12" customFormat="1" x14ac:dyDescent="0.25"/>
    <row r="122006" s="12" customFormat="1" x14ac:dyDescent="0.25"/>
    <row r="122007" s="12" customFormat="1" x14ac:dyDescent="0.25"/>
    <row r="122008" s="12" customFormat="1" x14ac:dyDescent="0.25"/>
    <row r="122009" s="12" customFormat="1" x14ac:dyDescent="0.25"/>
    <row r="122010" s="12" customFormat="1" x14ac:dyDescent="0.25"/>
    <row r="122011" s="12" customFormat="1" x14ac:dyDescent="0.25"/>
    <row r="122012" s="12" customFormat="1" x14ac:dyDescent="0.25"/>
    <row r="122013" s="12" customFormat="1" x14ac:dyDescent="0.25"/>
    <row r="122014" s="12" customFormat="1" x14ac:dyDescent="0.25"/>
    <row r="122015" s="12" customFormat="1" x14ac:dyDescent="0.25"/>
    <row r="122016" s="12" customFormat="1" x14ac:dyDescent="0.25"/>
    <row r="122017" s="12" customFormat="1" x14ac:dyDescent="0.25"/>
    <row r="122018" s="12" customFormat="1" x14ac:dyDescent="0.25"/>
    <row r="122019" s="12" customFormat="1" x14ac:dyDescent="0.25"/>
    <row r="122020" s="12" customFormat="1" x14ac:dyDescent="0.25"/>
    <row r="122021" s="12" customFormat="1" x14ac:dyDescent="0.25"/>
    <row r="122022" s="12" customFormat="1" x14ac:dyDescent="0.25"/>
    <row r="122023" s="12" customFormat="1" x14ac:dyDescent="0.25"/>
    <row r="122024" s="12" customFormat="1" x14ac:dyDescent="0.25"/>
    <row r="122025" s="12" customFormat="1" x14ac:dyDescent="0.25"/>
    <row r="122026" s="12" customFormat="1" x14ac:dyDescent="0.25"/>
    <row r="122027" s="12" customFormat="1" x14ac:dyDescent="0.25"/>
    <row r="122028" s="12" customFormat="1" x14ac:dyDescent="0.25"/>
    <row r="122029" s="12" customFormat="1" x14ac:dyDescent="0.25"/>
    <row r="122030" s="12" customFormat="1" x14ac:dyDescent="0.25"/>
    <row r="122031" s="12" customFormat="1" x14ac:dyDescent="0.25"/>
    <row r="122032" s="12" customFormat="1" x14ac:dyDescent="0.25"/>
    <row r="122033" s="12" customFormat="1" x14ac:dyDescent="0.25"/>
    <row r="122034" s="12" customFormat="1" x14ac:dyDescent="0.25"/>
    <row r="122035" s="12" customFormat="1" x14ac:dyDescent="0.25"/>
    <row r="122036" s="12" customFormat="1" x14ac:dyDescent="0.25"/>
    <row r="122037" s="12" customFormat="1" x14ac:dyDescent="0.25"/>
    <row r="122038" s="12" customFormat="1" x14ac:dyDescent="0.25"/>
    <row r="122039" s="12" customFormat="1" x14ac:dyDescent="0.25"/>
    <row r="122040" s="12" customFormat="1" x14ac:dyDescent="0.25"/>
    <row r="122041" s="12" customFormat="1" x14ac:dyDescent="0.25"/>
    <row r="122042" s="12" customFormat="1" x14ac:dyDescent="0.25"/>
    <row r="122043" s="12" customFormat="1" x14ac:dyDescent="0.25"/>
    <row r="122044" s="12" customFormat="1" x14ac:dyDescent="0.25"/>
    <row r="122045" s="12" customFormat="1" x14ac:dyDescent="0.25"/>
    <row r="122046" s="12" customFormat="1" x14ac:dyDescent="0.25"/>
    <row r="122047" s="12" customFormat="1" x14ac:dyDescent="0.25"/>
    <row r="122048" s="12" customFormat="1" x14ac:dyDescent="0.25"/>
    <row r="122049" s="12" customFormat="1" x14ac:dyDescent="0.25"/>
    <row r="122050" s="12" customFormat="1" x14ac:dyDescent="0.25"/>
    <row r="122051" s="12" customFormat="1" x14ac:dyDescent="0.25"/>
    <row r="122052" s="12" customFormat="1" x14ac:dyDescent="0.25"/>
    <row r="122053" s="12" customFormat="1" x14ac:dyDescent="0.25"/>
    <row r="122054" s="12" customFormat="1" x14ac:dyDescent="0.25"/>
    <row r="122055" s="12" customFormat="1" x14ac:dyDescent="0.25"/>
    <row r="122056" s="12" customFormat="1" x14ac:dyDescent="0.25"/>
    <row r="122057" s="12" customFormat="1" x14ac:dyDescent="0.25"/>
    <row r="122058" s="12" customFormat="1" x14ac:dyDescent="0.25"/>
    <row r="122059" s="12" customFormat="1" x14ac:dyDescent="0.25"/>
    <row r="122060" s="12" customFormat="1" x14ac:dyDescent="0.25"/>
    <row r="122061" s="12" customFormat="1" x14ac:dyDescent="0.25"/>
    <row r="122062" s="12" customFormat="1" x14ac:dyDescent="0.25"/>
    <row r="122063" s="12" customFormat="1" x14ac:dyDescent="0.25"/>
    <row r="122064" s="12" customFormat="1" x14ac:dyDescent="0.25"/>
    <row r="122065" s="12" customFormat="1" x14ac:dyDescent="0.25"/>
    <row r="122066" s="12" customFormat="1" x14ac:dyDescent="0.25"/>
    <row r="122067" s="12" customFormat="1" x14ac:dyDescent="0.25"/>
    <row r="122068" s="12" customFormat="1" x14ac:dyDescent="0.25"/>
    <row r="122069" s="12" customFormat="1" x14ac:dyDescent="0.25"/>
    <row r="122070" s="12" customFormat="1" x14ac:dyDescent="0.25"/>
    <row r="122071" s="12" customFormat="1" x14ac:dyDescent="0.25"/>
    <row r="122072" s="12" customFormat="1" x14ac:dyDescent="0.25"/>
    <row r="122073" s="12" customFormat="1" x14ac:dyDescent="0.25"/>
    <row r="122074" s="12" customFormat="1" x14ac:dyDescent="0.25"/>
    <row r="122075" s="12" customFormat="1" x14ac:dyDescent="0.25"/>
    <row r="122076" s="12" customFormat="1" x14ac:dyDescent="0.25"/>
    <row r="122077" s="12" customFormat="1" x14ac:dyDescent="0.25"/>
    <row r="122078" s="12" customFormat="1" x14ac:dyDescent="0.25"/>
    <row r="122079" s="12" customFormat="1" x14ac:dyDescent="0.25"/>
    <row r="122080" s="12" customFormat="1" x14ac:dyDescent="0.25"/>
    <row r="122081" s="12" customFormat="1" x14ac:dyDescent="0.25"/>
    <row r="122082" s="12" customFormat="1" x14ac:dyDescent="0.25"/>
    <row r="122083" s="12" customFormat="1" x14ac:dyDescent="0.25"/>
    <row r="122084" s="12" customFormat="1" x14ac:dyDescent="0.25"/>
    <row r="122085" s="12" customFormat="1" x14ac:dyDescent="0.25"/>
    <row r="122086" s="12" customFormat="1" x14ac:dyDescent="0.25"/>
    <row r="122087" s="12" customFormat="1" x14ac:dyDescent="0.25"/>
    <row r="122088" s="12" customFormat="1" x14ac:dyDescent="0.25"/>
    <row r="122089" s="12" customFormat="1" x14ac:dyDescent="0.25"/>
    <row r="122090" s="12" customFormat="1" x14ac:dyDescent="0.25"/>
    <row r="122091" s="12" customFormat="1" x14ac:dyDescent="0.25"/>
    <row r="122092" s="12" customFormat="1" x14ac:dyDescent="0.25"/>
    <row r="122093" s="12" customFormat="1" x14ac:dyDescent="0.25"/>
    <row r="122094" s="12" customFormat="1" x14ac:dyDescent="0.25"/>
    <row r="122095" s="12" customFormat="1" x14ac:dyDescent="0.25"/>
    <row r="122096" s="12" customFormat="1" x14ac:dyDescent="0.25"/>
    <row r="122097" s="12" customFormat="1" x14ac:dyDescent="0.25"/>
    <row r="122098" s="12" customFormat="1" x14ac:dyDescent="0.25"/>
    <row r="122099" s="12" customFormat="1" x14ac:dyDescent="0.25"/>
    <row r="122100" s="12" customFormat="1" x14ac:dyDescent="0.25"/>
    <row r="122101" s="12" customFormat="1" x14ac:dyDescent="0.25"/>
    <row r="122102" s="12" customFormat="1" x14ac:dyDescent="0.25"/>
    <row r="122103" s="12" customFormat="1" x14ac:dyDescent="0.25"/>
    <row r="122104" s="12" customFormat="1" x14ac:dyDescent="0.25"/>
    <row r="122105" s="12" customFormat="1" x14ac:dyDescent="0.25"/>
    <row r="122106" s="12" customFormat="1" x14ac:dyDescent="0.25"/>
    <row r="122107" s="12" customFormat="1" x14ac:dyDescent="0.25"/>
    <row r="122108" s="12" customFormat="1" x14ac:dyDescent="0.25"/>
    <row r="122109" s="12" customFormat="1" x14ac:dyDescent="0.25"/>
    <row r="122110" s="12" customFormat="1" x14ac:dyDescent="0.25"/>
    <row r="122111" s="12" customFormat="1" x14ac:dyDescent="0.25"/>
    <row r="122112" s="12" customFormat="1" x14ac:dyDescent="0.25"/>
    <row r="122113" s="12" customFormat="1" x14ac:dyDescent="0.25"/>
    <row r="122114" s="12" customFormat="1" x14ac:dyDescent="0.25"/>
    <row r="122115" s="12" customFormat="1" x14ac:dyDescent="0.25"/>
    <row r="122116" s="12" customFormat="1" x14ac:dyDescent="0.25"/>
    <row r="122117" s="12" customFormat="1" x14ac:dyDescent="0.25"/>
    <row r="122118" s="12" customFormat="1" x14ac:dyDescent="0.25"/>
    <row r="122119" s="12" customFormat="1" x14ac:dyDescent="0.25"/>
    <row r="122120" s="12" customFormat="1" x14ac:dyDescent="0.25"/>
    <row r="122121" s="12" customFormat="1" x14ac:dyDescent="0.25"/>
    <row r="122122" s="12" customFormat="1" x14ac:dyDescent="0.25"/>
    <row r="122123" s="12" customFormat="1" x14ac:dyDescent="0.25"/>
    <row r="122124" s="12" customFormat="1" x14ac:dyDescent="0.25"/>
    <row r="122125" s="12" customFormat="1" x14ac:dyDescent="0.25"/>
    <row r="122126" s="12" customFormat="1" x14ac:dyDescent="0.25"/>
    <row r="122127" s="12" customFormat="1" x14ac:dyDescent="0.25"/>
    <row r="122128" s="12" customFormat="1" x14ac:dyDescent="0.25"/>
    <row r="122129" s="12" customFormat="1" x14ac:dyDescent="0.25"/>
    <row r="122130" s="12" customFormat="1" x14ac:dyDescent="0.25"/>
    <row r="122131" s="12" customFormat="1" x14ac:dyDescent="0.25"/>
    <row r="122132" s="12" customFormat="1" x14ac:dyDescent="0.25"/>
    <row r="122133" s="12" customFormat="1" x14ac:dyDescent="0.25"/>
    <row r="122134" s="12" customFormat="1" x14ac:dyDescent="0.25"/>
    <row r="122135" s="12" customFormat="1" x14ac:dyDescent="0.25"/>
    <row r="122136" s="12" customFormat="1" x14ac:dyDescent="0.25"/>
    <row r="122137" s="12" customFormat="1" x14ac:dyDescent="0.25"/>
    <row r="122138" s="12" customFormat="1" x14ac:dyDescent="0.25"/>
    <row r="122139" s="12" customFormat="1" x14ac:dyDescent="0.25"/>
    <row r="122140" s="12" customFormat="1" x14ac:dyDescent="0.25"/>
    <row r="122141" s="12" customFormat="1" x14ac:dyDescent="0.25"/>
    <row r="122142" s="12" customFormat="1" x14ac:dyDescent="0.25"/>
    <row r="122143" s="12" customFormat="1" x14ac:dyDescent="0.25"/>
    <row r="122144" s="12" customFormat="1" x14ac:dyDescent="0.25"/>
    <row r="122145" s="12" customFormat="1" x14ac:dyDescent="0.25"/>
    <row r="122146" s="12" customFormat="1" x14ac:dyDescent="0.25"/>
    <row r="122147" s="12" customFormat="1" x14ac:dyDescent="0.25"/>
    <row r="122148" s="12" customFormat="1" x14ac:dyDescent="0.25"/>
    <row r="122149" s="12" customFormat="1" x14ac:dyDescent="0.25"/>
    <row r="122150" s="12" customFormat="1" x14ac:dyDescent="0.25"/>
    <row r="122151" s="12" customFormat="1" x14ac:dyDescent="0.25"/>
    <row r="122152" s="12" customFormat="1" x14ac:dyDescent="0.25"/>
    <row r="122153" s="12" customFormat="1" x14ac:dyDescent="0.25"/>
    <row r="122154" s="12" customFormat="1" x14ac:dyDescent="0.25"/>
    <row r="122155" s="12" customFormat="1" x14ac:dyDescent="0.25"/>
    <row r="122156" s="12" customFormat="1" x14ac:dyDescent="0.25"/>
    <row r="122157" s="12" customFormat="1" x14ac:dyDescent="0.25"/>
    <row r="122158" s="12" customFormat="1" x14ac:dyDescent="0.25"/>
    <row r="122159" s="12" customFormat="1" x14ac:dyDescent="0.25"/>
    <row r="122160" s="12" customFormat="1" x14ac:dyDescent="0.25"/>
    <row r="122161" s="12" customFormat="1" x14ac:dyDescent="0.25"/>
    <row r="122162" s="12" customFormat="1" x14ac:dyDescent="0.25"/>
    <row r="122163" s="12" customFormat="1" x14ac:dyDescent="0.25"/>
    <row r="122164" s="12" customFormat="1" x14ac:dyDescent="0.25"/>
    <row r="122165" s="12" customFormat="1" x14ac:dyDescent="0.25"/>
    <row r="122166" s="12" customFormat="1" x14ac:dyDescent="0.25"/>
    <row r="122167" s="12" customFormat="1" x14ac:dyDescent="0.25"/>
    <row r="122168" s="12" customFormat="1" x14ac:dyDescent="0.25"/>
    <row r="122169" s="12" customFormat="1" x14ac:dyDescent="0.25"/>
    <row r="122170" s="12" customFormat="1" x14ac:dyDescent="0.25"/>
    <row r="122171" s="12" customFormat="1" x14ac:dyDescent="0.25"/>
    <row r="122172" s="12" customFormat="1" x14ac:dyDescent="0.25"/>
    <row r="122173" s="12" customFormat="1" x14ac:dyDescent="0.25"/>
    <row r="122174" s="12" customFormat="1" x14ac:dyDescent="0.25"/>
    <row r="122175" s="12" customFormat="1" x14ac:dyDescent="0.25"/>
    <row r="122176" s="12" customFormat="1" x14ac:dyDescent="0.25"/>
    <row r="122177" s="12" customFormat="1" x14ac:dyDescent="0.25"/>
    <row r="122178" s="12" customFormat="1" x14ac:dyDescent="0.25"/>
    <row r="122179" s="12" customFormat="1" x14ac:dyDescent="0.25"/>
    <row r="122180" s="12" customFormat="1" x14ac:dyDescent="0.25"/>
    <row r="122181" s="12" customFormat="1" x14ac:dyDescent="0.25"/>
    <row r="122182" s="12" customFormat="1" x14ac:dyDescent="0.25"/>
    <row r="122183" s="12" customFormat="1" x14ac:dyDescent="0.25"/>
    <row r="122184" s="12" customFormat="1" x14ac:dyDescent="0.25"/>
    <row r="122185" s="12" customFormat="1" x14ac:dyDescent="0.25"/>
    <row r="122186" s="12" customFormat="1" x14ac:dyDescent="0.25"/>
    <row r="122187" s="12" customFormat="1" x14ac:dyDescent="0.25"/>
    <row r="122188" s="12" customFormat="1" x14ac:dyDescent="0.25"/>
    <row r="122189" s="12" customFormat="1" x14ac:dyDescent="0.25"/>
    <row r="122190" s="12" customFormat="1" x14ac:dyDescent="0.25"/>
    <row r="122191" s="12" customFormat="1" x14ac:dyDescent="0.25"/>
    <row r="122192" s="12" customFormat="1" x14ac:dyDescent="0.25"/>
    <row r="122193" s="12" customFormat="1" x14ac:dyDescent="0.25"/>
    <row r="122194" s="12" customFormat="1" x14ac:dyDescent="0.25"/>
    <row r="122195" s="12" customFormat="1" x14ac:dyDescent="0.25"/>
    <row r="122196" s="12" customFormat="1" x14ac:dyDescent="0.25"/>
    <row r="122197" s="12" customFormat="1" x14ac:dyDescent="0.25"/>
    <row r="122198" s="12" customFormat="1" x14ac:dyDescent="0.25"/>
    <row r="122199" s="12" customFormat="1" x14ac:dyDescent="0.25"/>
    <row r="122200" s="12" customFormat="1" x14ac:dyDescent="0.25"/>
    <row r="122201" s="12" customFormat="1" x14ac:dyDescent="0.25"/>
    <row r="122202" s="12" customFormat="1" x14ac:dyDescent="0.25"/>
    <row r="122203" s="12" customFormat="1" x14ac:dyDescent="0.25"/>
    <row r="122204" s="12" customFormat="1" x14ac:dyDescent="0.25"/>
    <row r="122205" s="12" customFormat="1" x14ac:dyDescent="0.25"/>
    <row r="122206" s="12" customFormat="1" x14ac:dyDescent="0.25"/>
    <row r="122207" s="12" customFormat="1" x14ac:dyDescent="0.25"/>
    <row r="122208" s="12" customFormat="1" x14ac:dyDescent="0.25"/>
    <row r="122209" s="12" customFormat="1" x14ac:dyDescent="0.25"/>
    <row r="122210" s="12" customFormat="1" x14ac:dyDescent="0.25"/>
    <row r="122211" s="12" customFormat="1" x14ac:dyDescent="0.25"/>
    <row r="122212" s="12" customFormat="1" x14ac:dyDescent="0.25"/>
    <row r="122213" s="12" customFormat="1" x14ac:dyDescent="0.25"/>
    <row r="122214" s="12" customFormat="1" x14ac:dyDescent="0.25"/>
    <row r="122215" s="12" customFormat="1" x14ac:dyDescent="0.25"/>
    <row r="122216" s="12" customFormat="1" x14ac:dyDescent="0.25"/>
    <row r="122217" s="12" customFormat="1" x14ac:dyDescent="0.25"/>
    <row r="122218" s="12" customFormat="1" x14ac:dyDescent="0.25"/>
    <row r="122219" s="12" customFormat="1" x14ac:dyDescent="0.25"/>
    <row r="122220" s="12" customFormat="1" x14ac:dyDescent="0.25"/>
    <row r="122221" s="12" customFormat="1" x14ac:dyDescent="0.25"/>
    <row r="122222" s="12" customFormat="1" x14ac:dyDescent="0.25"/>
    <row r="122223" s="12" customFormat="1" x14ac:dyDescent="0.25"/>
    <row r="122224" s="12" customFormat="1" x14ac:dyDescent="0.25"/>
    <row r="122225" s="12" customFormat="1" x14ac:dyDescent="0.25"/>
    <row r="122226" s="12" customFormat="1" x14ac:dyDescent="0.25"/>
    <row r="122227" s="12" customFormat="1" x14ac:dyDescent="0.25"/>
    <row r="122228" s="12" customFormat="1" x14ac:dyDescent="0.25"/>
    <row r="122229" s="12" customFormat="1" x14ac:dyDescent="0.25"/>
    <row r="122230" s="12" customFormat="1" x14ac:dyDescent="0.25"/>
    <row r="122231" s="12" customFormat="1" x14ac:dyDescent="0.25"/>
    <row r="122232" s="12" customFormat="1" x14ac:dyDescent="0.25"/>
    <row r="122233" s="12" customFormat="1" x14ac:dyDescent="0.25"/>
    <row r="122234" s="12" customFormat="1" x14ac:dyDescent="0.25"/>
    <row r="122235" s="12" customFormat="1" x14ac:dyDescent="0.25"/>
    <row r="122236" s="12" customFormat="1" x14ac:dyDescent="0.25"/>
    <row r="122237" s="12" customFormat="1" x14ac:dyDescent="0.25"/>
    <row r="122238" s="12" customFormat="1" x14ac:dyDescent="0.25"/>
    <row r="122239" s="12" customFormat="1" x14ac:dyDescent="0.25"/>
    <row r="122240" s="12" customFormat="1" x14ac:dyDescent="0.25"/>
    <row r="122241" s="12" customFormat="1" x14ac:dyDescent="0.25"/>
    <row r="122242" s="12" customFormat="1" x14ac:dyDescent="0.25"/>
    <row r="122243" s="12" customFormat="1" x14ac:dyDescent="0.25"/>
    <row r="122244" s="12" customFormat="1" x14ac:dyDescent="0.25"/>
    <row r="122245" s="12" customFormat="1" x14ac:dyDescent="0.25"/>
    <row r="122246" s="12" customFormat="1" x14ac:dyDescent="0.25"/>
    <row r="122247" s="12" customFormat="1" x14ac:dyDescent="0.25"/>
    <row r="122248" s="12" customFormat="1" x14ac:dyDescent="0.25"/>
    <row r="122249" s="12" customFormat="1" x14ac:dyDescent="0.25"/>
    <row r="122250" s="12" customFormat="1" x14ac:dyDescent="0.25"/>
    <row r="122251" s="12" customFormat="1" x14ac:dyDescent="0.25"/>
    <row r="122252" s="12" customFormat="1" x14ac:dyDescent="0.25"/>
    <row r="122253" s="12" customFormat="1" x14ac:dyDescent="0.25"/>
    <row r="122254" s="12" customFormat="1" x14ac:dyDescent="0.25"/>
    <row r="122255" s="12" customFormat="1" x14ac:dyDescent="0.25"/>
    <row r="122256" s="12" customFormat="1" x14ac:dyDescent="0.25"/>
    <row r="122257" s="12" customFormat="1" x14ac:dyDescent="0.25"/>
    <row r="122258" s="12" customFormat="1" x14ac:dyDescent="0.25"/>
    <row r="122259" s="12" customFormat="1" x14ac:dyDescent="0.25"/>
    <row r="122260" s="12" customFormat="1" x14ac:dyDescent="0.25"/>
    <row r="122261" s="12" customFormat="1" x14ac:dyDescent="0.25"/>
    <row r="122262" s="12" customFormat="1" x14ac:dyDescent="0.25"/>
    <row r="122263" s="12" customFormat="1" x14ac:dyDescent="0.25"/>
    <row r="122264" s="12" customFormat="1" x14ac:dyDescent="0.25"/>
    <row r="122265" s="12" customFormat="1" x14ac:dyDescent="0.25"/>
    <row r="122266" s="12" customFormat="1" x14ac:dyDescent="0.25"/>
    <row r="122267" s="12" customFormat="1" x14ac:dyDescent="0.25"/>
    <row r="122268" s="12" customFormat="1" x14ac:dyDescent="0.25"/>
    <row r="122269" s="12" customFormat="1" x14ac:dyDescent="0.25"/>
    <row r="122270" s="12" customFormat="1" x14ac:dyDescent="0.25"/>
    <row r="122271" s="12" customFormat="1" x14ac:dyDescent="0.25"/>
    <row r="122272" s="12" customFormat="1" x14ac:dyDescent="0.25"/>
    <row r="122273" s="12" customFormat="1" x14ac:dyDescent="0.25"/>
    <row r="122274" s="12" customFormat="1" x14ac:dyDescent="0.25"/>
    <row r="122275" s="12" customFormat="1" x14ac:dyDescent="0.25"/>
    <row r="122276" s="12" customFormat="1" x14ac:dyDescent="0.25"/>
    <row r="122277" s="12" customFormat="1" x14ac:dyDescent="0.25"/>
    <row r="122278" s="12" customFormat="1" x14ac:dyDescent="0.25"/>
    <row r="122279" s="12" customFormat="1" x14ac:dyDescent="0.25"/>
    <row r="122280" s="12" customFormat="1" x14ac:dyDescent="0.25"/>
    <row r="122281" s="12" customFormat="1" x14ac:dyDescent="0.25"/>
    <row r="122282" s="12" customFormat="1" x14ac:dyDescent="0.25"/>
    <row r="122283" s="12" customFormat="1" x14ac:dyDescent="0.25"/>
    <row r="122284" s="12" customFormat="1" x14ac:dyDescent="0.25"/>
    <row r="122285" s="12" customFormat="1" x14ac:dyDescent="0.25"/>
    <row r="122286" s="12" customFormat="1" x14ac:dyDescent="0.25"/>
    <row r="122287" s="12" customFormat="1" x14ac:dyDescent="0.25"/>
    <row r="122288" s="12" customFormat="1" x14ac:dyDescent="0.25"/>
    <row r="122289" s="12" customFormat="1" x14ac:dyDescent="0.25"/>
    <row r="122290" s="12" customFormat="1" x14ac:dyDescent="0.25"/>
    <row r="122291" s="12" customFormat="1" x14ac:dyDescent="0.25"/>
    <row r="122292" s="12" customFormat="1" x14ac:dyDescent="0.25"/>
    <row r="122293" s="12" customFormat="1" x14ac:dyDescent="0.25"/>
    <row r="122294" s="12" customFormat="1" x14ac:dyDescent="0.25"/>
    <row r="122295" s="12" customFormat="1" x14ac:dyDescent="0.25"/>
    <row r="122296" s="12" customFormat="1" x14ac:dyDescent="0.25"/>
    <row r="122297" s="12" customFormat="1" x14ac:dyDescent="0.25"/>
    <row r="122298" s="12" customFormat="1" x14ac:dyDescent="0.25"/>
    <row r="122299" s="12" customFormat="1" x14ac:dyDescent="0.25"/>
    <row r="122300" s="12" customFormat="1" x14ac:dyDescent="0.25"/>
    <row r="122301" s="12" customFormat="1" x14ac:dyDescent="0.25"/>
    <row r="122302" s="12" customFormat="1" x14ac:dyDescent="0.25"/>
    <row r="122303" s="12" customFormat="1" x14ac:dyDescent="0.25"/>
    <row r="122304" s="12" customFormat="1" x14ac:dyDescent="0.25"/>
    <row r="122305" s="12" customFormat="1" x14ac:dyDescent="0.25"/>
    <row r="122306" s="12" customFormat="1" x14ac:dyDescent="0.25"/>
    <row r="122307" s="12" customFormat="1" x14ac:dyDescent="0.25"/>
    <row r="122308" s="12" customFormat="1" x14ac:dyDescent="0.25"/>
    <row r="122309" s="12" customFormat="1" x14ac:dyDescent="0.25"/>
    <row r="122310" s="12" customFormat="1" x14ac:dyDescent="0.25"/>
    <row r="122311" s="12" customFormat="1" x14ac:dyDescent="0.25"/>
    <row r="122312" s="12" customFormat="1" x14ac:dyDescent="0.25"/>
    <row r="122313" s="12" customFormat="1" x14ac:dyDescent="0.25"/>
    <row r="122314" s="12" customFormat="1" x14ac:dyDescent="0.25"/>
    <row r="122315" s="12" customFormat="1" x14ac:dyDescent="0.25"/>
    <row r="122316" s="12" customFormat="1" x14ac:dyDescent="0.25"/>
    <row r="122317" s="12" customFormat="1" x14ac:dyDescent="0.25"/>
    <row r="122318" s="12" customFormat="1" x14ac:dyDescent="0.25"/>
    <row r="122319" s="12" customFormat="1" x14ac:dyDescent="0.25"/>
    <row r="122320" s="12" customFormat="1" x14ac:dyDescent="0.25"/>
    <row r="122321" s="12" customFormat="1" x14ac:dyDescent="0.25"/>
    <row r="122322" s="12" customFormat="1" x14ac:dyDescent="0.25"/>
    <row r="122323" s="12" customFormat="1" x14ac:dyDescent="0.25"/>
    <row r="122324" s="12" customFormat="1" x14ac:dyDescent="0.25"/>
    <row r="122325" s="12" customFormat="1" x14ac:dyDescent="0.25"/>
    <row r="122326" s="12" customFormat="1" x14ac:dyDescent="0.25"/>
    <row r="122327" s="12" customFormat="1" x14ac:dyDescent="0.25"/>
    <row r="122328" s="12" customFormat="1" x14ac:dyDescent="0.25"/>
    <row r="122329" s="12" customFormat="1" x14ac:dyDescent="0.25"/>
    <row r="122330" s="12" customFormat="1" x14ac:dyDescent="0.25"/>
    <row r="122331" s="12" customFormat="1" x14ac:dyDescent="0.25"/>
    <row r="122332" s="12" customFormat="1" x14ac:dyDescent="0.25"/>
    <row r="122333" s="12" customFormat="1" x14ac:dyDescent="0.25"/>
    <row r="122334" s="12" customFormat="1" x14ac:dyDescent="0.25"/>
    <row r="122335" s="12" customFormat="1" x14ac:dyDescent="0.25"/>
    <row r="122336" s="12" customFormat="1" x14ac:dyDescent="0.25"/>
    <row r="122337" s="12" customFormat="1" x14ac:dyDescent="0.25"/>
    <row r="122338" s="12" customFormat="1" x14ac:dyDescent="0.25"/>
    <row r="122339" s="12" customFormat="1" x14ac:dyDescent="0.25"/>
    <row r="122340" s="12" customFormat="1" x14ac:dyDescent="0.25"/>
    <row r="122341" s="12" customFormat="1" x14ac:dyDescent="0.25"/>
    <row r="122342" s="12" customFormat="1" x14ac:dyDescent="0.25"/>
    <row r="122343" s="12" customFormat="1" x14ac:dyDescent="0.25"/>
    <row r="122344" s="12" customFormat="1" x14ac:dyDescent="0.25"/>
    <row r="122345" s="12" customFormat="1" x14ac:dyDescent="0.25"/>
    <row r="122346" s="12" customFormat="1" x14ac:dyDescent="0.25"/>
    <row r="122347" s="12" customFormat="1" x14ac:dyDescent="0.25"/>
    <row r="122348" s="12" customFormat="1" x14ac:dyDescent="0.25"/>
    <row r="122349" s="12" customFormat="1" x14ac:dyDescent="0.25"/>
    <row r="122350" s="12" customFormat="1" x14ac:dyDescent="0.25"/>
    <row r="122351" s="12" customFormat="1" x14ac:dyDescent="0.25"/>
    <row r="122352" s="12" customFormat="1" x14ac:dyDescent="0.25"/>
    <row r="122353" s="12" customFormat="1" x14ac:dyDescent="0.25"/>
    <row r="122354" s="12" customFormat="1" x14ac:dyDescent="0.25"/>
    <row r="122355" s="12" customFormat="1" x14ac:dyDescent="0.25"/>
    <row r="122356" s="12" customFormat="1" x14ac:dyDescent="0.25"/>
    <row r="122357" s="12" customFormat="1" x14ac:dyDescent="0.25"/>
    <row r="122358" s="12" customFormat="1" x14ac:dyDescent="0.25"/>
    <row r="122359" s="12" customFormat="1" x14ac:dyDescent="0.25"/>
    <row r="122360" s="12" customFormat="1" x14ac:dyDescent="0.25"/>
    <row r="122361" s="12" customFormat="1" x14ac:dyDescent="0.25"/>
    <row r="122362" s="12" customFormat="1" x14ac:dyDescent="0.25"/>
    <row r="122363" s="12" customFormat="1" x14ac:dyDescent="0.25"/>
    <row r="122364" s="12" customFormat="1" x14ac:dyDescent="0.25"/>
    <row r="122365" s="12" customFormat="1" x14ac:dyDescent="0.25"/>
    <row r="122366" s="12" customFormat="1" x14ac:dyDescent="0.25"/>
    <row r="122367" s="12" customFormat="1" x14ac:dyDescent="0.25"/>
    <row r="122368" s="12" customFormat="1" x14ac:dyDescent="0.25"/>
    <row r="122369" s="12" customFormat="1" x14ac:dyDescent="0.25"/>
    <row r="122370" s="12" customFormat="1" x14ac:dyDescent="0.25"/>
    <row r="122371" s="12" customFormat="1" x14ac:dyDescent="0.25"/>
    <row r="122372" s="12" customFormat="1" x14ac:dyDescent="0.25"/>
    <row r="122373" s="12" customFormat="1" x14ac:dyDescent="0.25"/>
    <row r="122374" s="12" customFormat="1" x14ac:dyDescent="0.25"/>
    <row r="122375" s="12" customFormat="1" x14ac:dyDescent="0.25"/>
    <row r="122376" s="12" customFormat="1" x14ac:dyDescent="0.25"/>
    <row r="122377" s="12" customFormat="1" x14ac:dyDescent="0.25"/>
    <row r="122378" s="12" customFormat="1" x14ac:dyDescent="0.25"/>
    <row r="122379" s="12" customFormat="1" x14ac:dyDescent="0.25"/>
    <row r="122380" s="12" customFormat="1" x14ac:dyDescent="0.25"/>
    <row r="122381" s="12" customFormat="1" x14ac:dyDescent="0.25"/>
    <row r="122382" s="12" customFormat="1" x14ac:dyDescent="0.25"/>
    <row r="122383" s="12" customFormat="1" x14ac:dyDescent="0.25"/>
    <row r="122384" s="12" customFormat="1" x14ac:dyDescent="0.25"/>
    <row r="122385" s="12" customFormat="1" x14ac:dyDescent="0.25"/>
    <row r="122386" s="12" customFormat="1" x14ac:dyDescent="0.25"/>
    <row r="122387" s="12" customFormat="1" x14ac:dyDescent="0.25"/>
    <row r="122388" s="12" customFormat="1" x14ac:dyDescent="0.25"/>
    <row r="122389" s="12" customFormat="1" x14ac:dyDescent="0.25"/>
    <row r="122390" s="12" customFormat="1" x14ac:dyDescent="0.25"/>
    <row r="122391" s="12" customFormat="1" x14ac:dyDescent="0.25"/>
    <row r="122392" s="12" customFormat="1" x14ac:dyDescent="0.25"/>
    <row r="122393" s="12" customFormat="1" x14ac:dyDescent="0.25"/>
    <row r="122394" s="12" customFormat="1" x14ac:dyDescent="0.25"/>
    <row r="122395" s="12" customFormat="1" x14ac:dyDescent="0.25"/>
    <row r="122396" s="12" customFormat="1" x14ac:dyDescent="0.25"/>
    <row r="122397" s="12" customFormat="1" x14ac:dyDescent="0.25"/>
    <row r="122398" s="12" customFormat="1" x14ac:dyDescent="0.25"/>
    <row r="122399" s="12" customFormat="1" x14ac:dyDescent="0.25"/>
    <row r="122400" s="12" customFormat="1" x14ac:dyDescent="0.25"/>
    <row r="122401" s="12" customFormat="1" x14ac:dyDescent="0.25"/>
    <row r="122402" s="12" customFormat="1" x14ac:dyDescent="0.25"/>
    <row r="122403" s="12" customFormat="1" x14ac:dyDescent="0.25"/>
    <row r="122404" s="12" customFormat="1" x14ac:dyDescent="0.25"/>
    <row r="122405" s="12" customFormat="1" x14ac:dyDescent="0.25"/>
    <row r="122406" s="12" customFormat="1" x14ac:dyDescent="0.25"/>
    <row r="122407" s="12" customFormat="1" x14ac:dyDescent="0.25"/>
    <row r="122408" s="12" customFormat="1" x14ac:dyDescent="0.25"/>
    <row r="122409" s="12" customFormat="1" x14ac:dyDescent="0.25"/>
    <row r="122410" s="12" customFormat="1" x14ac:dyDescent="0.25"/>
    <row r="122411" s="12" customFormat="1" x14ac:dyDescent="0.25"/>
    <row r="122412" s="12" customFormat="1" x14ac:dyDescent="0.25"/>
    <row r="122413" s="12" customFormat="1" x14ac:dyDescent="0.25"/>
    <row r="122414" s="12" customFormat="1" x14ac:dyDescent="0.25"/>
    <row r="122415" s="12" customFormat="1" x14ac:dyDescent="0.25"/>
    <row r="122416" s="12" customFormat="1" x14ac:dyDescent="0.25"/>
    <row r="122417" s="12" customFormat="1" x14ac:dyDescent="0.25"/>
    <row r="122418" s="12" customFormat="1" x14ac:dyDescent="0.25"/>
    <row r="122419" s="12" customFormat="1" x14ac:dyDescent="0.25"/>
    <row r="122420" s="12" customFormat="1" x14ac:dyDescent="0.25"/>
    <row r="122421" s="12" customFormat="1" x14ac:dyDescent="0.25"/>
    <row r="122422" s="12" customFormat="1" x14ac:dyDescent="0.25"/>
    <row r="122423" s="12" customFormat="1" x14ac:dyDescent="0.25"/>
    <row r="122424" s="12" customFormat="1" x14ac:dyDescent="0.25"/>
    <row r="122425" s="12" customFormat="1" x14ac:dyDescent="0.25"/>
    <row r="122426" s="12" customFormat="1" x14ac:dyDescent="0.25"/>
    <row r="122427" s="12" customFormat="1" x14ac:dyDescent="0.25"/>
    <row r="122428" s="12" customFormat="1" x14ac:dyDescent="0.25"/>
    <row r="122429" s="12" customFormat="1" x14ac:dyDescent="0.25"/>
    <row r="122430" s="12" customFormat="1" x14ac:dyDescent="0.25"/>
    <row r="122431" s="12" customFormat="1" x14ac:dyDescent="0.25"/>
    <row r="122432" s="12" customFormat="1" x14ac:dyDescent="0.25"/>
    <row r="122433" s="12" customFormat="1" x14ac:dyDescent="0.25"/>
    <row r="122434" s="12" customFormat="1" x14ac:dyDescent="0.25"/>
    <row r="122435" s="12" customFormat="1" x14ac:dyDescent="0.25"/>
    <row r="122436" s="12" customFormat="1" x14ac:dyDescent="0.25"/>
    <row r="122437" s="12" customFormat="1" x14ac:dyDescent="0.25"/>
    <row r="122438" s="12" customFormat="1" x14ac:dyDescent="0.25"/>
    <row r="122439" s="12" customFormat="1" x14ac:dyDescent="0.25"/>
    <row r="122440" s="12" customFormat="1" x14ac:dyDescent="0.25"/>
    <row r="122441" s="12" customFormat="1" x14ac:dyDescent="0.25"/>
    <row r="122442" s="12" customFormat="1" x14ac:dyDescent="0.25"/>
    <row r="122443" s="12" customFormat="1" x14ac:dyDescent="0.25"/>
    <row r="122444" s="12" customFormat="1" x14ac:dyDescent="0.25"/>
    <row r="122445" s="12" customFormat="1" x14ac:dyDescent="0.25"/>
    <row r="122446" s="12" customFormat="1" x14ac:dyDescent="0.25"/>
    <row r="122447" s="12" customFormat="1" x14ac:dyDescent="0.25"/>
    <row r="122448" s="12" customFormat="1" x14ac:dyDescent="0.25"/>
    <row r="122449" s="12" customFormat="1" x14ac:dyDescent="0.25"/>
    <row r="122450" s="12" customFormat="1" x14ac:dyDescent="0.25"/>
    <row r="122451" s="12" customFormat="1" x14ac:dyDescent="0.25"/>
    <row r="122452" s="12" customFormat="1" x14ac:dyDescent="0.25"/>
    <row r="122453" s="12" customFormat="1" x14ac:dyDescent="0.25"/>
    <row r="122454" s="12" customFormat="1" x14ac:dyDescent="0.25"/>
    <row r="122455" s="12" customFormat="1" x14ac:dyDescent="0.25"/>
    <row r="122456" s="12" customFormat="1" x14ac:dyDescent="0.25"/>
    <row r="122457" s="12" customFormat="1" x14ac:dyDescent="0.25"/>
    <row r="122458" s="12" customFormat="1" x14ac:dyDescent="0.25"/>
    <row r="122459" s="12" customFormat="1" x14ac:dyDescent="0.25"/>
    <row r="122460" s="12" customFormat="1" x14ac:dyDescent="0.25"/>
    <row r="122461" s="12" customFormat="1" x14ac:dyDescent="0.25"/>
    <row r="122462" s="12" customFormat="1" x14ac:dyDescent="0.25"/>
    <row r="122463" s="12" customFormat="1" x14ac:dyDescent="0.25"/>
    <row r="122464" s="12" customFormat="1" x14ac:dyDescent="0.25"/>
    <row r="122465" s="12" customFormat="1" x14ac:dyDescent="0.25"/>
    <row r="122466" s="12" customFormat="1" x14ac:dyDescent="0.25"/>
    <row r="122467" s="12" customFormat="1" x14ac:dyDescent="0.25"/>
    <row r="122468" s="12" customFormat="1" x14ac:dyDescent="0.25"/>
    <row r="122469" s="12" customFormat="1" x14ac:dyDescent="0.25"/>
    <row r="122470" s="12" customFormat="1" x14ac:dyDescent="0.25"/>
    <row r="122471" s="12" customFormat="1" x14ac:dyDescent="0.25"/>
    <row r="122472" s="12" customFormat="1" x14ac:dyDescent="0.25"/>
    <row r="122473" s="12" customFormat="1" x14ac:dyDescent="0.25"/>
    <row r="122474" s="12" customFormat="1" x14ac:dyDescent="0.25"/>
    <row r="122475" s="12" customFormat="1" x14ac:dyDescent="0.25"/>
    <row r="122476" s="12" customFormat="1" x14ac:dyDescent="0.25"/>
    <row r="122477" s="12" customFormat="1" x14ac:dyDescent="0.25"/>
    <row r="122478" s="12" customFormat="1" x14ac:dyDescent="0.25"/>
    <row r="122479" s="12" customFormat="1" x14ac:dyDescent="0.25"/>
    <row r="122480" s="12" customFormat="1" x14ac:dyDescent="0.25"/>
    <row r="122481" s="12" customFormat="1" x14ac:dyDescent="0.25"/>
    <row r="122482" s="12" customFormat="1" x14ac:dyDescent="0.25"/>
    <row r="122483" s="12" customFormat="1" x14ac:dyDescent="0.25"/>
    <row r="122484" s="12" customFormat="1" x14ac:dyDescent="0.25"/>
    <row r="122485" s="12" customFormat="1" x14ac:dyDescent="0.25"/>
    <row r="122486" s="12" customFormat="1" x14ac:dyDescent="0.25"/>
    <row r="122487" s="12" customFormat="1" x14ac:dyDescent="0.25"/>
    <row r="122488" s="12" customFormat="1" x14ac:dyDescent="0.25"/>
    <row r="122489" s="12" customFormat="1" x14ac:dyDescent="0.25"/>
    <row r="122490" s="12" customFormat="1" x14ac:dyDescent="0.25"/>
    <row r="122491" s="12" customFormat="1" x14ac:dyDescent="0.25"/>
    <row r="122492" s="12" customFormat="1" x14ac:dyDescent="0.25"/>
    <row r="122493" s="12" customFormat="1" x14ac:dyDescent="0.25"/>
    <row r="122494" s="12" customFormat="1" x14ac:dyDescent="0.25"/>
    <row r="122495" s="12" customFormat="1" x14ac:dyDescent="0.25"/>
    <row r="122496" s="12" customFormat="1" x14ac:dyDescent="0.25"/>
    <row r="122497" s="12" customFormat="1" x14ac:dyDescent="0.25"/>
    <row r="122498" s="12" customFormat="1" x14ac:dyDescent="0.25"/>
    <row r="122499" s="12" customFormat="1" x14ac:dyDescent="0.25"/>
    <row r="122500" s="12" customFormat="1" x14ac:dyDescent="0.25"/>
    <row r="122501" s="12" customFormat="1" x14ac:dyDescent="0.25"/>
    <row r="122502" s="12" customFormat="1" x14ac:dyDescent="0.25"/>
    <row r="122503" s="12" customFormat="1" x14ac:dyDescent="0.25"/>
    <row r="122504" s="12" customFormat="1" x14ac:dyDescent="0.25"/>
    <row r="122505" s="12" customFormat="1" x14ac:dyDescent="0.25"/>
    <row r="122506" s="12" customFormat="1" x14ac:dyDescent="0.25"/>
    <row r="122507" s="12" customFormat="1" x14ac:dyDescent="0.25"/>
    <row r="122508" s="12" customFormat="1" x14ac:dyDescent="0.25"/>
    <row r="122509" s="12" customFormat="1" x14ac:dyDescent="0.25"/>
    <row r="122510" s="12" customFormat="1" x14ac:dyDescent="0.25"/>
    <row r="122511" s="12" customFormat="1" x14ac:dyDescent="0.25"/>
    <row r="122512" s="12" customFormat="1" x14ac:dyDescent="0.25"/>
    <row r="122513" s="12" customFormat="1" x14ac:dyDescent="0.25"/>
    <row r="122514" s="12" customFormat="1" x14ac:dyDescent="0.25"/>
    <row r="122515" s="12" customFormat="1" x14ac:dyDescent="0.25"/>
    <row r="122516" s="12" customFormat="1" x14ac:dyDescent="0.25"/>
    <row r="122517" s="12" customFormat="1" x14ac:dyDescent="0.25"/>
    <row r="122518" s="12" customFormat="1" x14ac:dyDescent="0.25"/>
    <row r="122519" s="12" customFormat="1" x14ac:dyDescent="0.25"/>
    <row r="122520" s="12" customFormat="1" x14ac:dyDescent="0.25"/>
    <row r="122521" s="12" customFormat="1" x14ac:dyDescent="0.25"/>
    <row r="122522" s="12" customFormat="1" x14ac:dyDescent="0.25"/>
    <row r="122523" s="12" customFormat="1" x14ac:dyDescent="0.25"/>
    <row r="122524" s="12" customFormat="1" x14ac:dyDescent="0.25"/>
    <row r="122525" s="12" customFormat="1" x14ac:dyDescent="0.25"/>
    <row r="122526" s="12" customFormat="1" x14ac:dyDescent="0.25"/>
    <row r="122527" s="12" customFormat="1" x14ac:dyDescent="0.25"/>
    <row r="122528" s="12" customFormat="1" x14ac:dyDescent="0.25"/>
    <row r="122529" s="12" customFormat="1" x14ac:dyDescent="0.25"/>
    <row r="122530" s="12" customFormat="1" x14ac:dyDescent="0.25"/>
    <row r="122531" s="12" customFormat="1" x14ac:dyDescent="0.25"/>
    <row r="122532" s="12" customFormat="1" x14ac:dyDescent="0.25"/>
    <row r="122533" s="12" customFormat="1" x14ac:dyDescent="0.25"/>
    <row r="122534" s="12" customFormat="1" x14ac:dyDescent="0.25"/>
    <row r="122535" s="12" customFormat="1" x14ac:dyDescent="0.25"/>
    <row r="122536" s="12" customFormat="1" x14ac:dyDescent="0.25"/>
    <row r="122537" s="12" customFormat="1" x14ac:dyDescent="0.25"/>
    <row r="122538" s="12" customFormat="1" x14ac:dyDescent="0.25"/>
    <row r="122539" s="12" customFormat="1" x14ac:dyDescent="0.25"/>
    <row r="122540" s="12" customFormat="1" x14ac:dyDescent="0.25"/>
    <row r="122541" s="12" customFormat="1" x14ac:dyDescent="0.25"/>
    <row r="122542" s="12" customFormat="1" x14ac:dyDescent="0.25"/>
    <row r="122543" s="12" customFormat="1" x14ac:dyDescent="0.25"/>
    <row r="122544" s="12" customFormat="1" x14ac:dyDescent="0.25"/>
    <row r="122545" s="12" customFormat="1" x14ac:dyDescent="0.25"/>
    <row r="122546" s="12" customFormat="1" x14ac:dyDescent="0.25"/>
    <row r="122547" s="12" customFormat="1" x14ac:dyDescent="0.25"/>
    <row r="122548" s="12" customFormat="1" x14ac:dyDescent="0.25"/>
    <row r="122549" s="12" customFormat="1" x14ac:dyDescent="0.25"/>
    <row r="122550" s="12" customFormat="1" x14ac:dyDescent="0.25"/>
    <row r="122551" s="12" customFormat="1" x14ac:dyDescent="0.25"/>
    <row r="122552" s="12" customFormat="1" x14ac:dyDescent="0.25"/>
    <row r="122553" s="12" customFormat="1" x14ac:dyDescent="0.25"/>
    <row r="122554" s="12" customFormat="1" x14ac:dyDescent="0.25"/>
    <row r="122555" s="12" customFormat="1" x14ac:dyDescent="0.25"/>
    <row r="122556" s="12" customFormat="1" x14ac:dyDescent="0.25"/>
    <row r="122557" s="12" customFormat="1" x14ac:dyDescent="0.25"/>
    <row r="122558" s="12" customFormat="1" x14ac:dyDescent="0.25"/>
    <row r="122559" s="12" customFormat="1" x14ac:dyDescent="0.25"/>
    <row r="122560" s="12" customFormat="1" x14ac:dyDescent="0.25"/>
    <row r="122561" s="12" customFormat="1" x14ac:dyDescent="0.25"/>
    <row r="122562" s="12" customFormat="1" x14ac:dyDescent="0.25"/>
    <row r="122563" s="12" customFormat="1" x14ac:dyDescent="0.25"/>
    <row r="122564" s="12" customFormat="1" x14ac:dyDescent="0.25"/>
    <row r="122565" s="12" customFormat="1" x14ac:dyDescent="0.25"/>
    <row r="122566" s="12" customFormat="1" x14ac:dyDescent="0.25"/>
    <row r="122567" s="12" customFormat="1" x14ac:dyDescent="0.25"/>
    <row r="122568" s="12" customFormat="1" x14ac:dyDescent="0.25"/>
    <row r="122569" s="12" customFormat="1" x14ac:dyDescent="0.25"/>
    <row r="122570" s="12" customFormat="1" x14ac:dyDescent="0.25"/>
    <row r="122571" s="12" customFormat="1" x14ac:dyDescent="0.25"/>
    <row r="122572" s="12" customFormat="1" x14ac:dyDescent="0.25"/>
    <row r="122573" s="12" customFormat="1" x14ac:dyDescent="0.25"/>
    <row r="122574" s="12" customFormat="1" x14ac:dyDescent="0.25"/>
    <row r="122575" s="12" customFormat="1" x14ac:dyDescent="0.25"/>
    <row r="122576" s="12" customFormat="1" x14ac:dyDescent="0.25"/>
    <row r="122577" s="12" customFormat="1" x14ac:dyDescent="0.25"/>
    <row r="122578" s="12" customFormat="1" x14ac:dyDescent="0.25"/>
    <row r="122579" s="12" customFormat="1" x14ac:dyDescent="0.25"/>
    <row r="122580" s="12" customFormat="1" x14ac:dyDescent="0.25"/>
    <row r="122581" s="12" customFormat="1" x14ac:dyDescent="0.25"/>
    <row r="122582" s="12" customFormat="1" x14ac:dyDescent="0.25"/>
    <row r="122583" s="12" customFormat="1" x14ac:dyDescent="0.25"/>
    <row r="122584" s="12" customFormat="1" x14ac:dyDescent="0.25"/>
    <row r="122585" s="12" customFormat="1" x14ac:dyDescent="0.25"/>
    <row r="122586" s="12" customFormat="1" x14ac:dyDescent="0.25"/>
    <row r="122587" s="12" customFormat="1" x14ac:dyDescent="0.25"/>
    <row r="122588" s="12" customFormat="1" x14ac:dyDescent="0.25"/>
    <row r="122589" s="12" customFormat="1" x14ac:dyDescent="0.25"/>
    <row r="122590" s="12" customFormat="1" x14ac:dyDescent="0.25"/>
    <row r="122591" s="12" customFormat="1" x14ac:dyDescent="0.25"/>
    <row r="122592" s="12" customFormat="1" x14ac:dyDescent="0.25"/>
    <row r="122593" s="12" customFormat="1" x14ac:dyDescent="0.25"/>
    <row r="122594" s="12" customFormat="1" x14ac:dyDescent="0.25"/>
    <row r="122595" s="12" customFormat="1" x14ac:dyDescent="0.25"/>
    <row r="122596" s="12" customFormat="1" x14ac:dyDescent="0.25"/>
    <row r="122597" s="12" customFormat="1" x14ac:dyDescent="0.25"/>
    <row r="122598" s="12" customFormat="1" x14ac:dyDescent="0.25"/>
    <row r="122599" s="12" customFormat="1" x14ac:dyDescent="0.25"/>
    <row r="122600" s="12" customFormat="1" x14ac:dyDescent="0.25"/>
    <row r="122601" s="12" customFormat="1" x14ac:dyDescent="0.25"/>
    <row r="122602" s="12" customFormat="1" x14ac:dyDescent="0.25"/>
    <row r="122603" s="12" customFormat="1" x14ac:dyDescent="0.25"/>
    <row r="122604" s="12" customFormat="1" x14ac:dyDescent="0.25"/>
    <row r="122605" s="12" customFormat="1" x14ac:dyDescent="0.25"/>
    <row r="122606" s="12" customFormat="1" x14ac:dyDescent="0.25"/>
    <row r="122607" s="12" customFormat="1" x14ac:dyDescent="0.25"/>
    <row r="122608" s="12" customFormat="1" x14ac:dyDescent="0.25"/>
    <row r="122609" s="12" customFormat="1" x14ac:dyDescent="0.25"/>
    <row r="122610" s="12" customFormat="1" x14ac:dyDescent="0.25"/>
    <row r="122611" s="12" customFormat="1" x14ac:dyDescent="0.25"/>
    <row r="122612" s="12" customFormat="1" x14ac:dyDescent="0.25"/>
    <row r="122613" s="12" customFormat="1" x14ac:dyDescent="0.25"/>
    <row r="122614" s="12" customFormat="1" x14ac:dyDescent="0.25"/>
    <row r="122615" s="12" customFormat="1" x14ac:dyDescent="0.25"/>
    <row r="122616" s="12" customFormat="1" x14ac:dyDescent="0.25"/>
    <row r="122617" s="12" customFormat="1" x14ac:dyDescent="0.25"/>
    <row r="122618" s="12" customFormat="1" x14ac:dyDescent="0.25"/>
    <row r="122619" s="12" customFormat="1" x14ac:dyDescent="0.25"/>
    <row r="122620" s="12" customFormat="1" x14ac:dyDescent="0.25"/>
    <row r="122621" s="12" customFormat="1" x14ac:dyDescent="0.25"/>
    <row r="122622" s="12" customFormat="1" x14ac:dyDescent="0.25"/>
    <row r="122623" s="12" customFormat="1" x14ac:dyDescent="0.25"/>
    <row r="122624" s="12" customFormat="1" x14ac:dyDescent="0.25"/>
    <row r="122625" s="12" customFormat="1" x14ac:dyDescent="0.25"/>
    <row r="122626" s="12" customFormat="1" x14ac:dyDescent="0.25"/>
    <row r="122627" s="12" customFormat="1" x14ac:dyDescent="0.25"/>
    <row r="122628" s="12" customFormat="1" x14ac:dyDescent="0.25"/>
    <row r="122629" s="12" customFormat="1" x14ac:dyDescent="0.25"/>
    <row r="122630" s="12" customFormat="1" x14ac:dyDescent="0.25"/>
    <row r="122631" s="12" customFormat="1" x14ac:dyDescent="0.25"/>
    <row r="122632" s="12" customFormat="1" x14ac:dyDescent="0.25"/>
    <row r="122633" s="12" customFormat="1" x14ac:dyDescent="0.25"/>
    <row r="122634" s="12" customFormat="1" x14ac:dyDescent="0.25"/>
    <row r="122635" s="12" customFormat="1" x14ac:dyDescent="0.25"/>
    <row r="122636" s="12" customFormat="1" x14ac:dyDescent="0.25"/>
    <row r="122637" s="12" customFormat="1" x14ac:dyDescent="0.25"/>
    <row r="122638" s="12" customFormat="1" x14ac:dyDescent="0.25"/>
    <row r="122639" s="12" customFormat="1" x14ac:dyDescent="0.25"/>
    <row r="122640" s="12" customFormat="1" x14ac:dyDescent="0.25"/>
    <row r="122641" s="12" customFormat="1" x14ac:dyDescent="0.25"/>
    <row r="122642" s="12" customFormat="1" x14ac:dyDescent="0.25"/>
    <row r="122643" s="12" customFormat="1" x14ac:dyDescent="0.25"/>
    <row r="122644" s="12" customFormat="1" x14ac:dyDescent="0.25"/>
    <row r="122645" s="12" customFormat="1" x14ac:dyDescent="0.25"/>
    <row r="122646" s="12" customFormat="1" x14ac:dyDescent="0.25"/>
    <row r="122647" s="12" customFormat="1" x14ac:dyDescent="0.25"/>
    <row r="122648" s="12" customFormat="1" x14ac:dyDescent="0.25"/>
    <row r="122649" s="12" customFormat="1" x14ac:dyDescent="0.25"/>
    <row r="122650" s="12" customFormat="1" x14ac:dyDescent="0.25"/>
    <row r="122651" s="12" customFormat="1" x14ac:dyDescent="0.25"/>
    <row r="122652" s="12" customFormat="1" x14ac:dyDescent="0.25"/>
    <row r="122653" s="12" customFormat="1" x14ac:dyDescent="0.25"/>
    <row r="122654" s="12" customFormat="1" x14ac:dyDescent="0.25"/>
    <row r="122655" s="12" customFormat="1" x14ac:dyDescent="0.25"/>
    <row r="122656" s="12" customFormat="1" x14ac:dyDescent="0.25"/>
    <row r="122657" s="12" customFormat="1" x14ac:dyDescent="0.25"/>
    <row r="122658" s="12" customFormat="1" x14ac:dyDescent="0.25"/>
    <row r="122659" s="12" customFormat="1" x14ac:dyDescent="0.25"/>
    <row r="122660" s="12" customFormat="1" x14ac:dyDescent="0.25"/>
    <row r="122661" s="12" customFormat="1" x14ac:dyDescent="0.25"/>
    <row r="122662" s="12" customFormat="1" x14ac:dyDescent="0.25"/>
    <row r="122663" s="12" customFormat="1" x14ac:dyDescent="0.25"/>
    <row r="122664" s="12" customFormat="1" x14ac:dyDescent="0.25"/>
    <row r="122665" s="12" customFormat="1" x14ac:dyDescent="0.25"/>
    <row r="122666" s="12" customFormat="1" x14ac:dyDescent="0.25"/>
    <row r="122667" s="12" customFormat="1" x14ac:dyDescent="0.25"/>
    <row r="122668" s="12" customFormat="1" x14ac:dyDescent="0.25"/>
    <row r="122669" s="12" customFormat="1" x14ac:dyDescent="0.25"/>
    <row r="122670" s="12" customFormat="1" x14ac:dyDescent="0.25"/>
    <row r="122671" s="12" customFormat="1" x14ac:dyDescent="0.25"/>
    <row r="122672" s="12" customFormat="1" x14ac:dyDescent="0.25"/>
    <row r="122673" s="12" customFormat="1" x14ac:dyDescent="0.25"/>
    <row r="122674" s="12" customFormat="1" x14ac:dyDescent="0.25"/>
    <row r="122675" s="12" customFormat="1" x14ac:dyDescent="0.25"/>
    <row r="122676" s="12" customFormat="1" x14ac:dyDescent="0.25"/>
    <row r="122677" s="12" customFormat="1" x14ac:dyDescent="0.25"/>
    <row r="122678" s="12" customFormat="1" x14ac:dyDescent="0.25"/>
    <row r="122679" s="12" customFormat="1" x14ac:dyDescent="0.25"/>
    <row r="122680" s="12" customFormat="1" x14ac:dyDescent="0.25"/>
    <row r="122681" s="12" customFormat="1" x14ac:dyDescent="0.25"/>
    <row r="122682" s="12" customFormat="1" x14ac:dyDescent="0.25"/>
    <row r="122683" s="12" customFormat="1" x14ac:dyDescent="0.25"/>
    <row r="122684" s="12" customFormat="1" x14ac:dyDescent="0.25"/>
    <row r="122685" s="12" customFormat="1" x14ac:dyDescent="0.25"/>
    <row r="122686" s="12" customFormat="1" x14ac:dyDescent="0.25"/>
    <row r="122687" s="12" customFormat="1" x14ac:dyDescent="0.25"/>
    <row r="122688" s="12" customFormat="1" x14ac:dyDescent="0.25"/>
    <row r="122689" s="12" customFormat="1" x14ac:dyDescent="0.25"/>
    <row r="122690" s="12" customFormat="1" x14ac:dyDescent="0.25"/>
    <row r="122691" s="12" customFormat="1" x14ac:dyDescent="0.25"/>
    <row r="122692" s="12" customFormat="1" x14ac:dyDescent="0.25"/>
    <row r="122693" s="12" customFormat="1" x14ac:dyDescent="0.25"/>
    <row r="122694" s="12" customFormat="1" x14ac:dyDescent="0.25"/>
    <row r="122695" s="12" customFormat="1" x14ac:dyDescent="0.25"/>
    <row r="122696" s="12" customFormat="1" x14ac:dyDescent="0.25"/>
    <row r="122697" s="12" customFormat="1" x14ac:dyDescent="0.25"/>
    <row r="122698" s="12" customFormat="1" x14ac:dyDescent="0.25"/>
    <row r="122699" s="12" customFormat="1" x14ac:dyDescent="0.25"/>
    <row r="122700" s="12" customFormat="1" x14ac:dyDescent="0.25"/>
    <row r="122701" s="12" customFormat="1" x14ac:dyDescent="0.25"/>
    <row r="122702" s="12" customFormat="1" x14ac:dyDescent="0.25"/>
    <row r="122703" s="12" customFormat="1" x14ac:dyDescent="0.25"/>
    <row r="122704" s="12" customFormat="1" x14ac:dyDescent="0.25"/>
    <row r="122705" s="12" customFormat="1" x14ac:dyDescent="0.25"/>
    <row r="122706" s="12" customFormat="1" x14ac:dyDescent="0.25"/>
    <row r="122707" s="12" customFormat="1" x14ac:dyDescent="0.25"/>
    <row r="122708" s="12" customFormat="1" x14ac:dyDescent="0.25"/>
    <row r="122709" s="12" customFormat="1" x14ac:dyDescent="0.25"/>
    <row r="122710" s="12" customFormat="1" x14ac:dyDescent="0.25"/>
    <row r="122711" s="12" customFormat="1" x14ac:dyDescent="0.25"/>
    <row r="122712" s="12" customFormat="1" x14ac:dyDescent="0.25"/>
    <row r="122713" s="12" customFormat="1" x14ac:dyDescent="0.25"/>
    <row r="122714" s="12" customFormat="1" x14ac:dyDescent="0.25"/>
    <row r="122715" s="12" customFormat="1" x14ac:dyDescent="0.25"/>
    <row r="122716" s="12" customFormat="1" x14ac:dyDescent="0.25"/>
    <row r="122717" s="12" customFormat="1" x14ac:dyDescent="0.25"/>
    <row r="122718" s="12" customFormat="1" x14ac:dyDescent="0.25"/>
    <row r="122719" s="12" customFormat="1" x14ac:dyDescent="0.25"/>
    <row r="122720" s="12" customFormat="1" x14ac:dyDescent="0.25"/>
    <row r="122721" s="12" customFormat="1" x14ac:dyDescent="0.25"/>
    <row r="122722" s="12" customFormat="1" x14ac:dyDescent="0.25"/>
    <row r="122723" s="12" customFormat="1" x14ac:dyDescent="0.25"/>
    <row r="122724" s="12" customFormat="1" x14ac:dyDescent="0.25"/>
    <row r="122725" s="12" customFormat="1" x14ac:dyDescent="0.25"/>
    <row r="122726" s="12" customFormat="1" x14ac:dyDescent="0.25"/>
    <row r="122727" s="12" customFormat="1" x14ac:dyDescent="0.25"/>
    <row r="122728" s="12" customFormat="1" x14ac:dyDescent="0.25"/>
    <row r="122729" s="12" customFormat="1" x14ac:dyDescent="0.25"/>
    <row r="122730" s="12" customFormat="1" x14ac:dyDescent="0.25"/>
    <row r="122731" s="12" customFormat="1" x14ac:dyDescent="0.25"/>
    <row r="122732" s="12" customFormat="1" x14ac:dyDescent="0.25"/>
    <row r="122733" s="12" customFormat="1" x14ac:dyDescent="0.25"/>
    <row r="122734" s="12" customFormat="1" x14ac:dyDescent="0.25"/>
    <row r="122735" s="12" customFormat="1" x14ac:dyDescent="0.25"/>
    <row r="122736" s="12" customFormat="1" x14ac:dyDescent="0.25"/>
    <row r="122737" s="12" customFormat="1" x14ac:dyDescent="0.25"/>
    <row r="122738" s="12" customFormat="1" x14ac:dyDescent="0.25"/>
    <row r="122739" s="12" customFormat="1" x14ac:dyDescent="0.25"/>
    <row r="122740" s="12" customFormat="1" x14ac:dyDescent="0.25"/>
    <row r="122741" s="12" customFormat="1" x14ac:dyDescent="0.25"/>
    <row r="122742" s="12" customFormat="1" x14ac:dyDescent="0.25"/>
    <row r="122743" s="12" customFormat="1" x14ac:dyDescent="0.25"/>
    <row r="122744" s="12" customFormat="1" x14ac:dyDescent="0.25"/>
    <row r="122745" s="12" customFormat="1" x14ac:dyDescent="0.25"/>
    <row r="122746" s="12" customFormat="1" x14ac:dyDescent="0.25"/>
    <row r="122747" s="12" customFormat="1" x14ac:dyDescent="0.25"/>
    <row r="122748" s="12" customFormat="1" x14ac:dyDescent="0.25"/>
    <row r="122749" s="12" customFormat="1" x14ac:dyDescent="0.25"/>
    <row r="122750" s="12" customFormat="1" x14ac:dyDescent="0.25"/>
    <row r="122751" s="12" customFormat="1" x14ac:dyDescent="0.25"/>
    <row r="122752" s="12" customFormat="1" x14ac:dyDescent="0.25"/>
    <row r="122753" s="12" customFormat="1" x14ac:dyDescent="0.25"/>
    <row r="122754" s="12" customFormat="1" x14ac:dyDescent="0.25"/>
    <row r="122755" s="12" customFormat="1" x14ac:dyDescent="0.25"/>
    <row r="122756" s="12" customFormat="1" x14ac:dyDescent="0.25"/>
    <row r="122757" s="12" customFormat="1" x14ac:dyDescent="0.25"/>
    <row r="122758" s="12" customFormat="1" x14ac:dyDescent="0.25"/>
    <row r="122759" s="12" customFormat="1" x14ac:dyDescent="0.25"/>
    <row r="122760" s="12" customFormat="1" x14ac:dyDescent="0.25"/>
    <row r="122761" s="12" customFormat="1" x14ac:dyDescent="0.25"/>
    <row r="122762" s="12" customFormat="1" x14ac:dyDescent="0.25"/>
    <row r="122763" s="12" customFormat="1" x14ac:dyDescent="0.25"/>
    <row r="122764" s="12" customFormat="1" x14ac:dyDescent="0.25"/>
    <row r="122765" s="12" customFormat="1" x14ac:dyDescent="0.25"/>
    <row r="122766" s="12" customFormat="1" x14ac:dyDescent="0.25"/>
    <row r="122767" s="12" customFormat="1" x14ac:dyDescent="0.25"/>
    <row r="122768" s="12" customFormat="1" x14ac:dyDescent="0.25"/>
    <row r="122769" s="12" customFormat="1" x14ac:dyDescent="0.25"/>
    <row r="122770" s="12" customFormat="1" x14ac:dyDescent="0.25"/>
    <row r="122771" s="12" customFormat="1" x14ac:dyDescent="0.25"/>
    <row r="122772" s="12" customFormat="1" x14ac:dyDescent="0.25"/>
    <row r="122773" s="12" customFormat="1" x14ac:dyDescent="0.25"/>
    <row r="122774" s="12" customFormat="1" x14ac:dyDescent="0.25"/>
    <row r="122775" s="12" customFormat="1" x14ac:dyDescent="0.25"/>
    <row r="122776" s="12" customFormat="1" x14ac:dyDescent="0.25"/>
    <row r="122777" s="12" customFormat="1" x14ac:dyDescent="0.25"/>
    <row r="122778" s="12" customFormat="1" x14ac:dyDescent="0.25"/>
    <row r="122779" s="12" customFormat="1" x14ac:dyDescent="0.25"/>
    <row r="122780" s="12" customFormat="1" x14ac:dyDescent="0.25"/>
    <row r="122781" s="12" customFormat="1" x14ac:dyDescent="0.25"/>
    <row r="122782" s="12" customFormat="1" x14ac:dyDescent="0.25"/>
    <row r="122783" s="12" customFormat="1" x14ac:dyDescent="0.25"/>
    <row r="122784" s="12" customFormat="1" x14ac:dyDescent="0.25"/>
    <row r="122785" s="12" customFormat="1" x14ac:dyDescent="0.25"/>
    <row r="122786" s="12" customFormat="1" x14ac:dyDescent="0.25"/>
    <row r="122787" s="12" customFormat="1" x14ac:dyDescent="0.25"/>
    <row r="122788" s="12" customFormat="1" x14ac:dyDescent="0.25"/>
    <row r="122789" s="12" customFormat="1" x14ac:dyDescent="0.25"/>
    <row r="122790" s="12" customFormat="1" x14ac:dyDescent="0.25"/>
    <row r="122791" s="12" customFormat="1" x14ac:dyDescent="0.25"/>
    <row r="122792" s="12" customFormat="1" x14ac:dyDescent="0.25"/>
    <row r="122793" s="12" customFormat="1" x14ac:dyDescent="0.25"/>
    <row r="122794" s="12" customFormat="1" x14ac:dyDescent="0.25"/>
    <row r="122795" s="12" customFormat="1" x14ac:dyDescent="0.25"/>
    <row r="122796" s="12" customFormat="1" x14ac:dyDescent="0.25"/>
    <row r="122797" s="12" customFormat="1" x14ac:dyDescent="0.25"/>
    <row r="122798" s="12" customFormat="1" x14ac:dyDescent="0.25"/>
    <row r="122799" s="12" customFormat="1" x14ac:dyDescent="0.25"/>
    <row r="122800" s="12" customFormat="1" x14ac:dyDescent="0.25"/>
    <row r="122801" s="12" customFormat="1" x14ac:dyDescent="0.25"/>
    <row r="122802" s="12" customFormat="1" x14ac:dyDescent="0.25"/>
    <row r="122803" s="12" customFormat="1" x14ac:dyDescent="0.25"/>
    <row r="122804" s="12" customFormat="1" x14ac:dyDescent="0.25"/>
    <row r="122805" s="12" customFormat="1" x14ac:dyDescent="0.25"/>
    <row r="122806" s="12" customFormat="1" x14ac:dyDescent="0.25"/>
    <row r="122807" s="12" customFormat="1" x14ac:dyDescent="0.25"/>
    <row r="122808" s="12" customFormat="1" x14ac:dyDescent="0.25"/>
    <row r="122809" s="12" customFormat="1" x14ac:dyDescent="0.25"/>
    <row r="122810" s="12" customFormat="1" x14ac:dyDescent="0.25"/>
    <row r="122811" s="12" customFormat="1" x14ac:dyDescent="0.25"/>
    <row r="122812" s="12" customFormat="1" x14ac:dyDescent="0.25"/>
    <row r="122813" s="12" customFormat="1" x14ac:dyDescent="0.25"/>
    <row r="122814" s="12" customFormat="1" x14ac:dyDescent="0.25"/>
    <row r="122815" s="12" customFormat="1" x14ac:dyDescent="0.25"/>
    <row r="122816" s="12" customFormat="1" x14ac:dyDescent="0.25"/>
    <row r="122817" s="12" customFormat="1" x14ac:dyDescent="0.25"/>
    <row r="122818" s="12" customFormat="1" x14ac:dyDescent="0.25"/>
    <row r="122819" s="12" customFormat="1" x14ac:dyDescent="0.25"/>
    <row r="122820" s="12" customFormat="1" x14ac:dyDescent="0.25"/>
    <row r="122821" s="12" customFormat="1" x14ac:dyDescent="0.25"/>
    <row r="122822" s="12" customFormat="1" x14ac:dyDescent="0.25"/>
    <row r="122823" s="12" customFormat="1" x14ac:dyDescent="0.25"/>
    <row r="122824" s="12" customFormat="1" x14ac:dyDescent="0.25"/>
    <row r="122825" s="12" customFormat="1" x14ac:dyDescent="0.25"/>
    <row r="122826" s="12" customFormat="1" x14ac:dyDescent="0.25"/>
    <row r="122827" s="12" customFormat="1" x14ac:dyDescent="0.25"/>
    <row r="122828" s="12" customFormat="1" x14ac:dyDescent="0.25"/>
    <row r="122829" s="12" customFormat="1" x14ac:dyDescent="0.25"/>
    <row r="122830" s="12" customFormat="1" x14ac:dyDescent="0.25"/>
    <row r="122831" s="12" customFormat="1" x14ac:dyDescent="0.25"/>
    <row r="122832" s="12" customFormat="1" x14ac:dyDescent="0.25"/>
    <row r="122833" s="12" customFormat="1" x14ac:dyDescent="0.25"/>
    <row r="122834" s="12" customFormat="1" x14ac:dyDescent="0.25"/>
    <row r="122835" s="12" customFormat="1" x14ac:dyDescent="0.25"/>
    <row r="122836" s="12" customFormat="1" x14ac:dyDescent="0.25"/>
    <row r="122837" s="12" customFormat="1" x14ac:dyDescent="0.25"/>
    <row r="122838" s="12" customFormat="1" x14ac:dyDescent="0.25"/>
    <row r="122839" s="12" customFormat="1" x14ac:dyDescent="0.25"/>
    <row r="122840" s="12" customFormat="1" x14ac:dyDescent="0.25"/>
    <row r="122841" s="12" customFormat="1" x14ac:dyDescent="0.25"/>
    <row r="122842" s="12" customFormat="1" x14ac:dyDescent="0.25"/>
    <row r="122843" s="12" customFormat="1" x14ac:dyDescent="0.25"/>
    <row r="122844" s="12" customFormat="1" x14ac:dyDescent="0.25"/>
    <row r="122845" s="12" customFormat="1" x14ac:dyDescent="0.25"/>
    <row r="122846" s="12" customFormat="1" x14ac:dyDescent="0.25"/>
    <row r="122847" s="12" customFormat="1" x14ac:dyDescent="0.25"/>
    <row r="122848" s="12" customFormat="1" x14ac:dyDescent="0.25"/>
    <row r="122849" s="12" customFormat="1" x14ac:dyDescent="0.25"/>
    <row r="122850" s="12" customFormat="1" x14ac:dyDescent="0.25"/>
    <row r="122851" s="12" customFormat="1" x14ac:dyDescent="0.25"/>
    <row r="122852" s="12" customFormat="1" x14ac:dyDescent="0.25"/>
    <row r="122853" s="12" customFormat="1" x14ac:dyDescent="0.25"/>
    <row r="122854" s="12" customFormat="1" x14ac:dyDescent="0.25"/>
    <row r="122855" s="12" customFormat="1" x14ac:dyDescent="0.25"/>
    <row r="122856" s="12" customFormat="1" x14ac:dyDescent="0.25"/>
    <row r="122857" s="12" customFormat="1" x14ac:dyDescent="0.25"/>
    <row r="122858" s="12" customFormat="1" x14ac:dyDescent="0.25"/>
    <row r="122859" s="12" customFormat="1" x14ac:dyDescent="0.25"/>
    <row r="122860" s="12" customFormat="1" x14ac:dyDescent="0.25"/>
    <row r="122861" s="12" customFormat="1" x14ac:dyDescent="0.25"/>
    <row r="122862" s="12" customFormat="1" x14ac:dyDescent="0.25"/>
    <row r="122863" s="12" customFormat="1" x14ac:dyDescent="0.25"/>
    <row r="122864" s="12" customFormat="1" x14ac:dyDescent="0.25"/>
    <row r="122865" s="12" customFormat="1" x14ac:dyDescent="0.25"/>
    <row r="122866" s="12" customFormat="1" x14ac:dyDescent="0.25"/>
    <row r="122867" s="12" customFormat="1" x14ac:dyDescent="0.25"/>
    <row r="122868" s="12" customFormat="1" x14ac:dyDescent="0.25"/>
    <row r="122869" s="12" customFormat="1" x14ac:dyDescent="0.25"/>
    <row r="122870" s="12" customFormat="1" x14ac:dyDescent="0.25"/>
    <row r="122871" s="12" customFormat="1" x14ac:dyDescent="0.25"/>
    <row r="122872" s="12" customFormat="1" x14ac:dyDescent="0.25"/>
    <row r="122873" s="12" customFormat="1" x14ac:dyDescent="0.25"/>
    <row r="122874" s="12" customFormat="1" x14ac:dyDescent="0.25"/>
    <row r="122875" s="12" customFormat="1" x14ac:dyDescent="0.25"/>
    <row r="122876" s="12" customFormat="1" x14ac:dyDescent="0.25"/>
    <row r="122877" s="12" customFormat="1" x14ac:dyDescent="0.25"/>
    <row r="122878" s="12" customFormat="1" x14ac:dyDescent="0.25"/>
    <row r="122879" s="12" customFormat="1" x14ac:dyDescent="0.25"/>
    <row r="122880" s="12" customFormat="1" x14ac:dyDescent="0.25"/>
    <row r="122881" s="12" customFormat="1" x14ac:dyDescent="0.25"/>
    <row r="122882" s="12" customFormat="1" x14ac:dyDescent="0.25"/>
    <row r="122883" s="12" customFormat="1" x14ac:dyDescent="0.25"/>
    <row r="122884" s="12" customFormat="1" x14ac:dyDescent="0.25"/>
    <row r="122885" s="12" customFormat="1" x14ac:dyDescent="0.25"/>
    <row r="122886" s="12" customFormat="1" x14ac:dyDescent="0.25"/>
    <row r="122887" s="12" customFormat="1" x14ac:dyDescent="0.25"/>
    <row r="122888" s="12" customFormat="1" x14ac:dyDescent="0.25"/>
    <row r="122889" s="12" customFormat="1" x14ac:dyDescent="0.25"/>
    <row r="122890" s="12" customFormat="1" x14ac:dyDescent="0.25"/>
    <row r="122891" s="12" customFormat="1" x14ac:dyDescent="0.25"/>
    <row r="122892" s="12" customFormat="1" x14ac:dyDescent="0.25"/>
    <row r="122893" s="12" customFormat="1" x14ac:dyDescent="0.25"/>
    <row r="122894" s="12" customFormat="1" x14ac:dyDescent="0.25"/>
    <row r="122895" s="12" customFormat="1" x14ac:dyDescent="0.25"/>
    <row r="122896" s="12" customFormat="1" x14ac:dyDescent="0.25"/>
    <row r="122897" s="12" customFormat="1" x14ac:dyDescent="0.25"/>
    <row r="122898" s="12" customFormat="1" x14ac:dyDescent="0.25"/>
    <row r="122899" s="12" customFormat="1" x14ac:dyDescent="0.25"/>
    <row r="122900" s="12" customFormat="1" x14ac:dyDescent="0.25"/>
    <row r="122901" s="12" customFormat="1" x14ac:dyDescent="0.25"/>
    <row r="122902" s="12" customFormat="1" x14ac:dyDescent="0.25"/>
    <row r="122903" s="12" customFormat="1" x14ac:dyDescent="0.25"/>
    <row r="122904" s="12" customFormat="1" x14ac:dyDescent="0.25"/>
    <row r="122905" s="12" customFormat="1" x14ac:dyDescent="0.25"/>
    <row r="122906" s="12" customFormat="1" x14ac:dyDescent="0.25"/>
    <row r="122907" s="12" customFormat="1" x14ac:dyDescent="0.25"/>
    <row r="122908" s="12" customFormat="1" x14ac:dyDescent="0.25"/>
    <row r="122909" s="12" customFormat="1" x14ac:dyDescent="0.25"/>
    <row r="122910" s="12" customFormat="1" x14ac:dyDescent="0.25"/>
    <row r="122911" s="12" customFormat="1" x14ac:dyDescent="0.25"/>
    <row r="122912" s="12" customFormat="1" x14ac:dyDescent="0.25"/>
    <row r="122913" s="12" customFormat="1" x14ac:dyDescent="0.25"/>
    <row r="122914" s="12" customFormat="1" x14ac:dyDescent="0.25"/>
    <row r="122915" s="12" customFormat="1" x14ac:dyDescent="0.25"/>
    <row r="122916" s="12" customFormat="1" x14ac:dyDescent="0.25"/>
    <row r="122917" s="12" customFormat="1" x14ac:dyDescent="0.25"/>
    <row r="122918" s="12" customFormat="1" x14ac:dyDescent="0.25"/>
    <row r="122919" s="12" customFormat="1" x14ac:dyDescent="0.25"/>
    <row r="122920" s="12" customFormat="1" x14ac:dyDescent="0.25"/>
    <row r="122921" s="12" customFormat="1" x14ac:dyDescent="0.25"/>
    <row r="122922" s="12" customFormat="1" x14ac:dyDescent="0.25"/>
    <row r="122923" s="12" customFormat="1" x14ac:dyDescent="0.25"/>
    <row r="122924" s="12" customFormat="1" x14ac:dyDescent="0.25"/>
    <row r="122925" s="12" customFormat="1" x14ac:dyDescent="0.25"/>
    <row r="122926" s="12" customFormat="1" x14ac:dyDescent="0.25"/>
    <row r="122927" s="12" customFormat="1" x14ac:dyDescent="0.25"/>
    <row r="122928" s="12" customFormat="1" x14ac:dyDescent="0.25"/>
    <row r="122929" s="12" customFormat="1" x14ac:dyDescent="0.25"/>
    <row r="122930" s="12" customFormat="1" x14ac:dyDescent="0.25"/>
    <row r="122931" s="12" customFormat="1" x14ac:dyDescent="0.25"/>
    <row r="122932" s="12" customFormat="1" x14ac:dyDescent="0.25"/>
    <row r="122933" s="12" customFormat="1" x14ac:dyDescent="0.25"/>
    <row r="122934" s="12" customFormat="1" x14ac:dyDescent="0.25"/>
    <row r="122935" s="12" customFormat="1" x14ac:dyDescent="0.25"/>
    <row r="122936" s="12" customFormat="1" x14ac:dyDescent="0.25"/>
    <row r="122937" s="12" customFormat="1" x14ac:dyDescent="0.25"/>
    <row r="122938" s="12" customFormat="1" x14ac:dyDescent="0.25"/>
    <row r="122939" s="12" customFormat="1" x14ac:dyDescent="0.25"/>
    <row r="122940" s="12" customFormat="1" x14ac:dyDescent="0.25"/>
    <row r="122941" s="12" customFormat="1" x14ac:dyDescent="0.25"/>
    <row r="122942" s="12" customFormat="1" x14ac:dyDescent="0.25"/>
    <row r="122943" s="12" customFormat="1" x14ac:dyDescent="0.25"/>
    <row r="122944" s="12" customFormat="1" x14ac:dyDescent="0.25"/>
    <row r="122945" s="12" customFormat="1" x14ac:dyDescent="0.25"/>
    <row r="122946" s="12" customFormat="1" x14ac:dyDescent="0.25"/>
    <row r="122947" s="12" customFormat="1" x14ac:dyDescent="0.25"/>
    <row r="122948" s="12" customFormat="1" x14ac:dyDescent="0.25"/>
    <row r="122949" s="12" customFormat="1" x14ac:dyDescent="0.25"/>
    <row r="122950" s="12" customFormat="1" x14ac:dyDescent="0.25"/>
    <row r="122951" s="12" customFormat="1" x14ac:dyDescent="0.25"/>
    <row r="122952" s="12" customFormat="1" x14ac:dyDescent="0.25"/>
    <row r="122953" s="12" customFormat="1" x14ac:dyDescent="0.25"/>
    <row r="122954" s="12" customFormat="1" x14ac:dyDescent="0.25"/>
    <row r="122955" s="12" customFormat="1" x14ac:dyDescent="0.25"/>
    <row r="122956" s="12" customFormat="1" x14ac:dyDescent="0.25"/>
    <row r="122957" s="12" customFormat="1" x14ac:dyDescent="0.25"/>
    <row r="122958" s="12" customFormat="1" x14ac:dyDescent="0.25"/>
    <row r="122959" s="12" customFormat="1" x14ac:dyDescent="0.25"/>
    <row r="122960" s="12" customFormat="1" x14ac:dyDescent="0.25"/>
    <row r="122961" s="12" customFormat="1" x14ac:dyDescent="0.25"/>
    <row r="122962" s="12" customFormat="1" x14ac:dyDescent="0.25"/>
    <row r="122963" s="12" customFormat="1" x14ac:dyDescent="0.25"/>
    <row r="122964" s="12" customFormat="1" x14ac:dyDescent="0.25"/>
    <row r="122965" s="12" customFormat="1" x14ac:dyDescent="0.25"/>
    <row r="122966" s="12" customFormat="1" x14ac:dyDescent="0.25"/>
    <row r="122967" s="12" customFormat="1" x14ac:dyDescent="0.25"/>
    <row r="122968" s="12" customFormat="1" x14ac:dyDescent="0.25"/>
    <row r="122969" s="12" customFormat="1" x14ac:dyDescent="0.25"/>
    <row r="122970" s="12" customFormat="1" x14ac:dyDescent="0.25"/>
    <row r="122971" s="12" customFormat="1" x14ac:dyDescent="0.25"/>
    <row r="122972" s="12" customFormat="1" x14ac:dyDescent="0.25"/>
    <row r="122973" s="12" customFormat="1" x14ac:dyDescent="0.25"/>
    <row r="122974" s="12" customFormat="1" x14ac:dyDescent="0.25"/>
    <row r="122975" s="12" customFormat="1" x14ac:dyDescent="0.25"/>
    <row r="122976" s="12" customFormat="1" x14ac:dyDescent="0.25"/>
    <row r="122977" s="12" customFormat="1" x14ac:dyDescent="0.25"/>
    <row r="122978" s="12" customFormat="1" x14ac:dyDescent="0.25"/>
    <row r="122979" s="12" customFormat="1" x14ac:dyDescent="0.25"/>
    <row r="122980" s="12" customFormat="1" x14ac:dyDescent="0.25"/>
    <row r="122981" s="12" customFormat="1" x14ac:dyDescent="0.25"/>
    <row r="122982" s="12" customFormat="1" x14ac:dyDescent="0.25"/>
    <row r="122983" s="12" customFormat="1" x14ac:dyDescent="0.25"/>
    <row r="122984" s="12" customFormat="1" x14ac:dyDescent="0.25"/>
    <row r="122985" s="12" customFormat="1" x14ac:dyDescent="0.25"/>
    <row r="122986" s="12" customFormat="1" x14ac:dyDescent="0.25"/>
    <row r="122987" s="12" customFormat="1" x14ac:dyDescent="0.25"/>
    <row r="122988" s="12" customFormat="1" x14ac:dyDescent="0.25"/>
    <row r="122989" s="12" customFormat="1" x14ac:dyDescent="0.25"/>
    <row r="122990" s="12" customFormat="1" x14ac:dyDescent="0.25"/>
    <row r="122991" s="12" customFormat="1" x14ac:dyDescent="0.25"/>
    <row r="122992" s="12" customFormat="1" x14ac:dyDescent="0.25"/>
    <row r="122993" s="12" customFormat="1" x14ac:dyDescent="0.25"/>
    <row r="122994" s="12" customFormat="1" x14ac:dyDescent="0.25"/>
    <row r="122995" s="12" customFormat="1" x14ac:dyDescent="0.25"/>
    <row r="122996" s="12" customFormat="1" x14ac:dyDescent="0.25"/>
    <row r="122997" s="12" customFormat="1" x14ac:dyDescent="0.25"/>
    <row r="122998" s="12" customFormat="1" x14ac:dyDescent="0.25"/>
    <row r="122999" s="12" customFormat="1" x14ac:dyDescent="0.25"/>
    <row r="123000" s="12" customFormat="1" x14ac:dyDescent="0.25"/>
    <row r="123001" s="12" customFormat="1" x14ac:dyDescent="0.25"/>
    <row r="123002" s="12" customFormat="1" x14ac:dyDescent="0.25"/>
    <row r="123003" s="12" customFormat="1" x14ac:dyDescent="0.25"/>
    <row r="123004" s="12" customFormat="1" x14ac:dyDescent="0.25"/>
    <row r="123005" s="12" customFormat="1" x14ac:dyDescent="0.25"/>
    <row r="123006" s="12" customFormat="1" x14ac:dyDescent="0.25"/>
    <row r="123007" s="12" customFormat="1" x14ac:dyDescent="0.25"/>
    <row r="123008" s="12" customFormat="1" x14ac:dyDescent="0.25"/>
    <row r="123009" s="12" customFormat="1" x14ac:dyDescent="0.25"/>
    <row r="123010" s="12" customFormat="1" x14ac:dyDescent="0.25"/>
    <row r="123011" s="12" customFormat="1" x14ac:dyDescent="0.25"/>
    <row r="123012" s="12" customFormat="1" x14ac:dyDescent="0.25"/>
    <row r="123013" s="12" customFormat="1" x14ac:dyDescent="0.25"/>
    <row r="123014" s="12" customFormat="1" x14ac:dyDescent="0.25"/>
    <row r="123015" s="12" customFormat="1" x14ac:dyDescent="0.25"/>
    <row r="123016" s="12" customFormat="1" x14ac:dyDescent="0.25"/>
    <row r="123017" s="12" customFormat="1" x14ac:dyDescent="0.25"/>
    <row r="123018" s="12" customFormat="1" x14ac:dyDescent="0.25"/>
    <row r="123019" s="12" customFormat="1" x14ac:dyDescent="0.25"/>
    <row r="123020" s="12" customFormat="1" x14ac:dyDescent="0.25"/>
    <row r="123021" s="12" customFormat="1" x14ac:dyDescent="0.25"/>
    <row r="123022" s="12" customFormat="1" x14ac:dyDescent="0.25"/>
    <row r="123023" s="12" customFormat="1" x14ac:dyDescent="0.25"/>
    <row r="123024" s="12" customFormat="1" x14ac:dyDescent="0.25"/>
    <row r="123025" s="12" customFormat="1" x14ac:dyDescent="0.25"/>
    <row r="123026" s="12" customFormat="1" x14ac:dyDescent="0.25"/>
    <row r="123027" s="12" customFormat="1" x14ac:dyDescent="0.25"/>
    <row r="123028" s="12" customFormat="1" x14ac:dyDescent="0.25"/>
    <row r="123029" s="12" customFormat="1" x14ac:dyDescent="0.25"/>
    <row r="123030" s="12" customFormat="1" x14ac:dyDescent="0.25"/>
    <row r="123031" s="12" customFormat="1" x14ac:dyDescent="0.25"/>
    <row r="123032" s="12" customFormat="1" x14ac:dyDescent="0.25"/>
    <row r="123033" s="12" customFormat="1" x14ac:dyDescent="0.25"/>
    <row r="123034" s="12" customFormat="1" x14ac:dyDescent="0.25"/>
    <row r="123035" s="12" customFormat="1" x14ac:dyDescent="0.25"/>
    <row r="123036" s="12" customFormat="1" x14ac:dyDescent="0.25"/>
    <row r="123037" s="12" customFormat="1" x14ac:dyDescent="0.25"/>
    <row r="123038" s="12" customFormat="1" x14ac:dyDescent="0.25"/>
    <row r="123039" s="12" customFormat="1" x14ac:dyDescent="0.25"/>
    <row r="123040" s="12" customFormat="1" x14ac:dyDescent="0.25"/>
    <row r="123041" s="12" customFormat="1" x14ac:dyDescent="0.25"/>
    <row r="123042" s="12" customFormat="1" x14ac:dyDescent="0.25"/>
    <row r="123043" s="12" customFormat="1" x14ac:dyDescent="0.25"/>
    <row r="123044" s="12" customFormat="1" x14ac:dyDescent="0.25"/>
    <row r="123045" s="12" customFormat="1" x14ac:dyDescent="0.25"/>
    <row r="123046" s="12" customFormat="1" x14ac:dyDescent="0.25"/>
    <row r="123047" s="12" customFormat="1" x14ac:dyDescent="0.25"/>
    <row r="123048" s="12" customFormat="1" x14ac:dyDescent="0.25"/>
    <row r="123049" s="12" customFormat="1" x14ac:dyDescent="0.25"/>
    <row r="123050" s="12" customFormat="1" x14ac:dyDescent="0.25"/>
    <row r="123051" s="12" customFormat="1" x14ac:dyDescent="0.25"/>
    <row r="123052" s="12" customFormat="1" x14ac:dyDescent="0.25"/>
    <row r="123053" s="12" customFormat="1" x14ac:dyDescent="0.25"/>
    <row r="123054" s="12" customFormat="1" x14ac:dyDescent="0.25"/>
    <row r="123055" s="12" customFormat="1" x14ac:dyDescent="0.25"/>
    <row r="123056" s="12" customFormat="1" x14ac:dyDescent="0.25"/>
    <row r="123057" s="12" customFormat="1" x14ac:dyDescent="0.25"/>
    <row r="123058" s="12" customFormat="1" x14ac:dyDescent="0.25"/>
    <row r="123059" s="12" customFormat="1" x14ac:dyDescent="0.25"/>
    <row r="123060" s="12" customFormat="1" x14ac:dyDescent="0.25"/>
    <row r="123061" s="12" customFormat="1" x14ac:dyDescent="0.25"/>
    <row r="123062" s="12" customFormat="1" x14ac:dyDescent="0.25"/>
    <row r="123063" s="12" customFormat="1" x14ac:dyDescent="0.25"/>
    <row r="123064" s="12" customFormat="1" x14ac:dyDescent="0.25"/>
    <row r="123065" s="12" customFormat="1" x14ac:dyDescent="0.25"/>
    <row r="123066" s="12" customFormat="1" x14ac:dyDescent="0.25"/>
    <row r="123067" s="12" customFormat="1" x14ac:dyDescent="0.25"/>
    <row r="123068" s="12" customFormat="1" x14ac:dyDescent="0.25"/>
    <row r="123069" s="12" customFormat="1" x14ac:dyDescent="0.25"/>
    <row r="123070" s="12" customFormat="1" x14ac:dyDescent="0.25"/>
    <row r="123071" s="12" customFormat="1" x14ac:dyDescent="0.25"/>
    <row r="123072" s="12" customFormat="1" x14ac:dyDescent="0.25"/>
    <row r="123073" s="12" customFormat="1" x14ac:dyDescent="0.25"/>
    <row r="123074" s="12" customFormat="1" x14ac:dyDescent="0.25"/>
    <row r="123075" s="12" customFormat="1" x14ac:dyDescent="0.25"/>
    <row r="123076" s="12" customFormat="1" x14ac:dyDescent="0.25"/>
    <row r="123077" s="12" customFormat="1" x14ac:dyDescent="0.25"/>
    <row r="123078" s="12" customFormat="1" x14ac:dyDescent="0.25"/>
    <row r="123079" s="12" customFormat="1" x14ac:dyDescent="0.25"/>
    <row r="123080" s="12" customFormat="1" x14ac:dyDescent="0.25"/>
    <row r="123081" s="12" customFormat="1" x14ac:dyDescent="0.25"/>
    <row r="123082" s="12" customFormat="1" x14ac:dyDescent="0.25"/>
    <row r="123083" s="12" customFormat="1" x14ac:dyDescent="0.25"/>
    <row r="123084" s="12" customFormat="1" x14ac:dyDescent="0.25"/>
    <row r="123085" s="12" customFormat="1" x14ac:dyDescent="0.25"/>
    <row r="123086" s="12" customFormat="1" x14ac:dyDescent="0.25"/>
    <row r="123087" s="12" customFormat="1" x14ac:dyDescent="0.25"/>
    <row r="123088" s="12" customFormat="1" x14ac:dyDescent="0.25"/>
    <row r="123089" s="12" customFormat="1" x14ac:dyDescent="0.25"/>
    <row r="123090" s="12" customFormat="1" x14ac:dyDescent="0.25"/>
    <row r="123091" s="12" customFormat="1" x14ac:dyDescent="0.25"/>
    <row r="123092" s="12" customFormat="1" x14ac:dyDescent="0.25"/>
    <row r="123093" s="12" customFormat="1" x14ac:dyDescent="0.25"/>
    <row r="123094" s="12" customFormat="1" x14ac:dyDescent="0.25"/>
    <row r="123095" s="12" customFormat="1" x14ac:dyDescent="0.25"/>
    <row r="123096" s="12" customFormat="1" x14ac:dyDescent="0.25"/>
    <row r="123097" s="12" customFormat="1" x14ac:dyDescent="0.25"/>
    <row r="123098" s="12" customFormat="1" x14ac:dyDescent="0.25"/>
    <row r="123099" s="12" customFormat="1" x14ac:dyDescent="0.25"/>
    <row r="123100" s="12" customFormat="1" x14ac:dyDescent="0.25"/>
    <row r="123101" s="12" customFormat="1" x14ac:dyDescent="0.25"/>
    <row r="123102" s="12" customFormat="1" x14ac:dyDescent="0.25"/>
    <row r="123103" s="12" customFormat="1" x14ac:dyDescent="0.25"/>
    <row r="123104" s="12" customFormat="1" x14ac:dyDescent="0.25"/>
    <row r="123105" s="12" customFormat="1" x14ac:dyDescent="0.25"/>
    <row r="123106" s="12" customFormat="1" x14ac:dyDescent="0.25"/>
    <row r="123107" s="12" customFormat="1" x14ac:dyDescent="0.25"/>
    <row r="123108" s="12" customFormat="1" x14ac:dyDescent="0.25"/>
    <row r="123109" s="12" customFormat="1" x14ac:dyDescent="0.25"/>
    <row r="123110" s="12" customFormat="1" x14ac:dyDescent="0.25"/>
    <row r="123111" s="12" customFormat="1" x14ac:dyDescent="0.25"/>
    <row r="123112" s="12" customFormat="1" x14ac:dyDescent="0.25"/>
    <row r="123113" s="12" customFormat="1" x14ac:dyDescent="0.25"/>
    <row r="123114" s="12" customFormat="1" x14ac:dyDescent="0.25"/>
    <row r="123115" s="12" customFormat="1" x14ac:dyDescent="0.25"/>
    <row r="123116" s="12" customFormat="1" x14ac:dyDescent="0.25"/>
    <row r="123117" s="12" customFormat="1" x14ac:dyDescent="0.25"/>
    <row r="123118" s="12" customFormat="1" x14ac:dyDescent="0.25"/>
    <row r="123119" s="12" customFormat="1" x14ac:dyDescent="0.25"/>
    <row r="123120" s="12" customFormat="1" x14ac:dyDescent="0.25"/>
    <row r="123121" s="12" customFormat="1" x14ac:dyDescent="0.25"/>
    <row r="123122" s="12" customFormat="1" x14ac:dyDescent="0.25"/>
    <row r="123123" s="12" customFormat="1" x14ac:dyDescent="0.25"/>
    <row r="123124" s="12" customFormat="1" x14ac:dyDescent="0.25"/>
    <row r="123125" s="12" customFormat="1" x14ac:dyDescent="0.25"/>
    <row r="123126" s="12" customFormat="1" x14ac:dyDescent="0.25"/>
    <row r="123127" s="12" customFormat="1" x14ac:dyDescent="0.25"/>
    <row r="123128" s="12" customFormat="1" x14ac:dyDescent="0.25"/>
    <row r="123129" s="12" customFormat="1" x14ac:dyDescent="0.25"/>
    <row r="123130" s="12" customFormat="1" x14ac:dyDescent="0.25"/>
    <row r="123131" s="12" customFormat="1" x14ac:dyDescent="0.25"/>
    <row r="123132" s="12" customFormat="1" x14ac:dyDescent="0.25"/>
    <row r="123133" s="12" customFormat="1" x14ac:dyDescent="0.25"/>
    <row r="123134" s="12" customFormat="1" x14ac:dyDescent="0.25"/>
    <row r="123135" s="12" customFormat="1" x14ac:dyDescent="0.25"/>
    <row r="123136" s="12" customFormat="1" x14ac:dyDescent="0.25"/>
    <row r="123137" s="12" customFormat="1" x14ac:dyDescent="0.25"/>
    <row r="123138" s="12" customFormat="1" x14ac:dyDescent="0.25"/>
    <row r="123139" s="12" customFormat="1" x14ac:dyDescent="0.25"/>
    <row r="123140" s="12" customFormat="1" x14ac:dyDescent="0.25"/>
    <row r="123141" s="12" customFormat="1" x14ac:dyDescent="0.25"/>
    <row r="123142" s="12" customFormat="1" x14ac:dyDescent="0.25"/>
    <row r="123143" s="12" customFormat="1" x14ac:dyDescent="0.25"/>
    <row r="123144" s="12" customFormat="1" x14ac:dyDescent="0.25"/>
    <row r="123145" s="12" customFormat="1" x14ac:dyDescent="0.25"/>
    <row r="123146" s="12" customFormat="1" x14ac:dyDescent="0.25"/>
    <row r="123147" s="12" customFormat="1" x14ac:dyDescent="0.25"/>
    <row r="123148" s="12" customFormat="1" x14ac:dyDescent="0.25"/>
    <row r="123149" s="12" customFormat="1" x14ac:dyDescent="0.25"/>
    <row r="123150" s="12" customFormat="1" x14ac:dyDescent="0.25"/>
    <row r="123151" s="12" customFormat="1" x14ac:dyDescent="0.25"/>
    <row r="123152" s="12" customFormat="1" x14ac:dyDescent="0.25"/>
    <row r="123153" s="12" customFormat="1" x14ac:dyDescent="0.25"/>
    <row r="123154" s="12" customFormat="1" x14ac:dyDescent="0.25"/>
    <row r="123155" s="12" customFormat="1" x14ac:dyDescent="0.25"/>
    <row r="123156" s="12" customFormat="1" x14ac:dyDescent="0.25"/>
    <row r="123157" s="12" customFormat="1" x14ac:dyDescent="0.25"/>
    <row r="123158" s="12" customFormat="1" x14ac:dyDescent="0.25"/>
    <row r="123159" s="12" customFormat="1" x14ac:dyDescent="0.25"/>
    <row r="123160" s="12" customFormat="1" x14ac:dyDescent="0.25"/>
    <row r="123161" s="12" customFormat="1" x14ac:dyDescent="0.25"/>
    <row r="123162" s="12" customFormat="1" x14ac:dyDescent="0.25"/>
    <row r="123163" s="12" customFormat="1" x14ac:dyDescent="0.25"/>
    <row r="123164" s="12" customFormat="1" x14ac:dyDescent="0.25"/>
    <row r="123165" s="12" customFormat="1" x14ac:dyDescent="0.25"/>
    <row r="123166" s="12" customFormat="1" x14ac:dyDescent="0.25"/>
    <row r="123167" s="12" customFormat="1" x14ac:dyDescent="0.25"/>
    <row r="123168" s="12" customFormat="1" x14ac:dyDescent="0.25"/>
    <row r="123169" s="12" customFormat="1" x14ac:dyDescent="0.25"/>
    <row r="123170" s="12" customFormat="1" x14ac:dyDescent="0.25"/>
    <row r="123171" s="12" customFormat="1" x14ac:dyDescent="0.25"/>
    <row r="123172" s="12" customFormat="1" x14ac:dyDescent="0.25"/>
    <row r="123173" s="12" customFormat="1" x14ac:dyDescent="0.25"/>
    <row r="123174" s="12" customFormat="1" x14ac:dyDescent="0.25"/>
    <row r="123175" s="12" customFormat="1" x14ac:dyDescent="0.25"/>
    <row r="123176" s="12" customFormat="1" x14ac:dyDescent="0.25"/>
    <row r="123177" s="12" customFormat="1" x14ac:dyDescent="0.25"/>
    <row r="123178" s="12" customFormat="1" x14ac:dyDescent="0.25"/>
    <row r="123179" s="12" customFormat="1" x14ac:dyDescent="0.25"/>
    <row r="123180" s="12" customFormat="1" x14ac:dyDescent="0.25"/>
    <row r="123181" s="12" customFormat="1" x14ac:dyDescent="0.25"/>
    <row r="123182" s="12" customFormat="1" x14ac:dyDescent="0.25"/>
    <row r="123183" s="12" customFormat="1" x14ac:dyDescent="0.25"/>
    <row r="123184" s="12" customFormat="1" x14ac:dyDescent="0.25"/>
    <row r="123185" s="12" customFormat="1" x14ac:dyDescent="0.25"/>
    <row r="123186" s="12" customFormat="1" x14ac:dyDescent="0.25"/>
    <row r="123187" s="12" customFormat="1" x14ac:dyDescent="0.25"/>
    <row r="123188" s="12" customFormat="1" x14ac:dyDescent="0.25"/>
    <row r="123189" s="12" customFormat="1" x14ac:dyDescent="0.25"/>
    <row r="123190" s="12" customFormat="1" x14ac:dyDescent="0.25"/>
    <row r="123191" s="12" customFormat="1" x14ac:dyDescent="0.25"/>
    <row r="123192" s="12" customFormat="1" x14ac:dyDescent="0.25"/>
    <row r="123193" s="12" customFormat="1" x14ac:dyDescent="0.25"/>
    <row r="123194" s="12" customFormat="1" x14ac:dyDescent="0.25"/>
    <row r="123195" s="12" customFormat="1" x14ac:dyDescent="0.25"/>
    <row r="123196" s="12" customFormat="1" x14ac:dyDescent="0.25"/>
    <row r="123197" s="12" customFormat="1" x14ac:dyDescent="0.25"/>
    <row r="123198" s="12" customFormat="1" x14ac:dyDescent="0.25"/>
    <row r="123199" s="12" customFormat="1" x14ac:dyDescent="0.25"/>
    <row r="123200" s="12" customFormat="1" x14ac:dyDescent="0.25"/>
    <row r="123201" s="12" customFormat="1" x14ac:dyDescent="0.25"/>
    <row r="123202" s="12" customFormat="1" x14ac:dyDescent="0.25"/>
    <row r="123203" s="12" customFormat="1" x14ac:dyDescent="0.25"/>
    <row r="123204" s="12" customFormat="1" x14ac:dyDescent="0.25"/>
    <row r="123205" s="12" customFormat="1" x14ac:dyDescent="0.25"/>
    <row r="123206" s="12" customFormat="1" x14ac:dyDescent="0.25"/>
    <row r="123207" s="12" customFormat="1" x14ac:dyDescent="0.25"/>
    <row r="123208" s="12" customFormat="1" x14ac:dyDescent="0.25"/>
    <row r="123209" s="12" customFormat="1" x14ac:dyDescent="0.25"/>
    <row r="123210" s="12" customFormat="1" x14ac:dyDescent="0.25"/>
    <row r="123211" s="12" customFormat="1" x14ac:dyDescent="0.25"/>
    <row r="123212" s="12" customFormat="1" x14ac:dyDescent="0.25"/>
    <row r="123213" s="12" customFormat="1" x14ac:dyDescent="0.25"/>
    <row r="123214" s="12" customFormat="1" x14ac:dyDescent="0.25"/>
    <row r="123215" s="12" customFormat="1" x14ac:dyDescent="0.25"/>
    <row r="123216" s="12" customFormat="1" x14ac:dyDescent="0.25"/>
    <row r="123217" s="12" customFormat="1" x14ac:dyDescent="0.25"/>
    <row r="123218" s="12" customFormat="1" x14ac:dyDescent="0.25"/>
    <row r="123219" s="12" customFormat="1" x14ac:dyDescent="0.25"/>
    <row r="123220" s="12" customFormat="1" x14ac:dyDescent="0.25"/>
    <row r="123221" s="12" customFormat="1" x14ac:dyDescent="0.25"/>
    <row r="123222" s="12" customFormat="1" x14ac:dyDescent="0.25"/>
    <row r="123223" s="12" customFormat="1" x14ac:dyDescent="0.25"/>
    <row r="123224" s="12" customFormat="1" x14ac:dyDescent="0.25"/>
    <row r="123225" s="12" customFormat="1" x14ac:dyDescent="0.25"/>
    <row r="123226" s="12" customFormat="1" x14ac:dyDescent="0.25"/>
    <row r="123227" s="12" customFormat="1" x14ac:dyDescent="0.25"/>
    <row r="123228" s="12" customFormat="1" x14ac:dyDescent="0.25"/>
    <row r="123229" s="12" customFormat="1" x14ac:dyDescent="0.25"/>
    <row r="123230" s="12" customFormat="1" x14ac:dyDescent="0.25"/>
    <row r="123231" s="12" customFormat="1" x14ac:dyDescent="0.25"/>
    <row r="123232" s="12" customFormat="1" x14ac:dyDescent="0.25"/>
    <row r="123233" s="12" customFormat="1" x14ac:dyDescent="0.25"/>
    <row r="123234" s="12" customFormat="1" x14ac:dyDescent="0.25"/>
    <row r="123235" s="12" customFormat="1" x14ac:dyDescent="0.25"/>
    <row r="123236" s="12" customFormat="1" x14ac:dyDescent="0.25"/>
    <row r="123237" s="12" customFormat="1" x14ac:dyDescent="0.25"/>
    <row r="123238" s="12" customFormat="1" x14ac:dyDescent="0.25"/>
    <row r="123239" s="12" customFormat="1" x14ac:dyDescent="0.25"/>
    <row r="123240" s="12" customFormat="1" x14ac:dyDescent="0.25"/>
    <row r="123241" s="12" customFormat="1" x14ac:dyDescent="0.25"/>
    <row r="123242" s="12" customFormat="1" x14ac:dyDescent="0.25"/>
    <row r="123243" s="12" customFormat="1" x14ac:dyDescent="0.25"/>
    <row r="123244" s="12" customFormat="1" x14ac:dyDescent="0.25"/>
    <row r="123245" s="12" customFormat="1" x14ac:dyDescent="0.25"/>
    <row r="123246" s="12" customFormat="1" x14ac:dyDescent="0.25"/>
    <row r="123247" s="12" customFormat="1" x14ac:dyDescent="0.25"/>
    <row r="123248" s="12" customFormat="1" x14ac:dyDescent="0.25"/>
    <row r="123249" s="12" customFormat="1" x14ac:dyDescent="0.25"/>
    <row r="123250" s="12" customFormat="1" x14ac:dyDescent="0.25"/>
    <row r="123251" s="12" customFormat="1" x14ac:dyDescent="0.25"/>
    <row r="123252" s="12" customFormat="1" x14ac:dyDescent="0.25"/>
    <row r="123253" s="12" customFormat="1" x14ac:dyDescent="0.25"/>
    <row r="123254" s="12" customFormat="1" x14ac:dyDescent="0.25"/>
    <row r="123255" s="12" customFormat="1" x14ac:dyDescent="0.25"/>
    <row r="123256" s="12" customFormat="1" x14ac:dyDescent="0.25"/>
    <row r="123257" s="12" customFormat="1" x14ac:dyDescent="0.25"/>
    <row r="123258" s="12" customFormat="1" x14ac:dyDescent="0.25"/>
    <row r="123259" s="12" customFormat="1" x14ac:dyDescent="0.25"/>
    <row r="123260" s="12" customFormat="1" x14ac:dyDescent="0.25"/>
    <row r="123261" s="12" customFormat="1" x14ac:dyDescent="0.25"/>
    <row r="123262" s="12" customFormat="1" x14ac:dyDescent="0.25"/>
    <row r="123263" s="12" customFormat="1" x14ac:dyDescent="0.25"/>
    <row r="123264" s="12" customFormat="1" x14ac:dyDescent="0.25"/>
    <row r="123265" s="12" customFormat="1" x14ac:dyDescent="0.25"/>
    <row r="123266" s="12" customFormat="1" x14ac:dyDescent="0.25"/>
    <row r="123267" s="12" customFormat="1" x14ac:dyDescent="0.25"/>
    <row r="123268" s="12" customFormat="1" x14ac:dyDescent="0.25"/>
    <row r="123269" s="12" customFormat="1" x14ac:dyDescent="0.25"/>
    <row r="123270" s="12" customFormat="1" x14ac:dyDescent="0.25"/>
    <row r="123271" s="12" customFormat="1" x14ac:dyDescent="0.25"/>
    <row r="123272" s="12" customFormat="1" x14ac:dyDescent="0.25"/>
    <row r="123273" s="12" customFormat="1" x14ac:dyDescent="0.25"/>
    <row r="123274" s="12" customFormat="1" x14ac:dyDescent="0.25"/>
    <row r="123275" s="12" customFormat="1" x14ac:dyDescent="0.25"/>
    <row r="123276" s="12" customFormat="1" x14ac:dyDescent="0.25"/>
    <row r="123277" s="12" customFormat="1" x14ac:dyDescent="0.25"/>
    <row r="123278" s="12" customFormat="1" x14ac:dyDescent="0.25"/>
    <row r="123279" s="12" customFormat="1" x14ac:dyDescent="0.25"/>
    <row r="123280" s="12" customFormat="1" x14ac:dyDescent="0.25"/>
    <row r="123281" s="12" customFormat="1" x14ac:dyDescent="0.25"/>
    <row r="123282" s="12" customFormat="1" x14ac:dyDescent="0.25"/>
    <row r="123283" s="12" customFormat="1" x14ac:dyDescent="0.25"/>
    <row r="123284" s="12" customFormat="1" x14ac:dyDescent="0.25"/>
    <row r="123285" s="12" customFormat="1" x14ac:dyDescent="0.25"/>
    <row r="123286" s="12" customFormat="1" x14ac:dyDescent="0.25"/>
    <row r="123287" s="12" customFormat="1" x14ac:dyDescent="0.25"/>
    <row r="123288" s="12" customFormat="1" x14ac:dyDescent="0.25"/>
    <row r="123289" s="12" customFormat="1" x14ac:dyDescent="0.25"/>
    <row r="123290" s="12" customFormat="1" x14ac:dyDescent="0.25"/>
    <row r="123291" s="12" customFormat="1" x14ac:dyDescent="0.25"/>
    <row r="123292" s="12" customFormat="1" x14ac:dyDescent="0.25"/>
    <row r="123293" s="12" customFormat="1" x14ac:dyDescent="0.25"/>
    <row r="123294" s="12" customFormat="1" x14ac:dyDescent="0.25"/>
    <row r="123295" s="12" customFormat="1" x14ac:dyDescent="0.25"/>
    <row r="123296" s="12" customFormat="1" x14ac:dyDescent="0.25"/>
    <row r="123297" s="12" customFormat="1" x14ac:dyDescent="0.25"/>
    <row r="123298" s="12" customFormat="1" x14ac:dyDescent="0.25"/>
    <row r="123299" s="12" customFormat="1" x14ac:dyDescent="0.25"/>
    <row r="123300" s="12" customFormat="1" x14ac:dyDescent="0.25"/>
    <row r="123301" s="12" customFormat="1" x14ac:dyDescent="0.25"/>
    <row r="123302" s="12" customFormat="1" x14ac:dyDescent="0.25"/>
    <row r="123303" s="12" customFormat="1" x14ac:dyDescent="0.25"/>
    <row r="123304" s="12" customFormat="1" x14ac:dyDescent="0.25"/>
    <row r="123305" s="12" customFormat="1" x14ac:dyDescent="0.25"/>
    <row r="123306" s="12" customFormat="1" x14ac:dyDescent="0.25"/>
    <row r="123307" s="12" customFormat="1" x14ac:dyDescent="0.25"/>
    <row r="123308" s="12" customFormat="1" x14ac:dyDescent="0.25"/>
    <row r="123309" s="12" customFormat="1" x14ac:dyDescent="0.25"/>
    <row r="123310" s="12" customFormat="1" x14ac:dyDescent="0.25"/>
    <row r="123311" s="12" customFormat="1" x14ac:dyDescent="0.25"/>
    <row r="123312" s="12" customFormat="1" x14ac:dyDescent="0.25"/>
    <row r="123313" s="12" customFormat="1" x14ac:dyDescent="0.25"/>
    <row r="123314" s="12" customFormat="1" x14ac:dyDescent="0.25"/>
    <row r="123315" s="12" customFormat="1" x14ac:dyDescent="0.25"/>
    <row r="123316" s="12" customFormat="1" x14ac:dyDescent="0.25"/>
    <row r="123317" s="12" customFormat="1" x14ac:dyDescent="0.25"/>
    <row r="123318" s="12" customFormat="1" x14ac:dyDescent="0.25"/>
    <row r="123319" s="12" customFormat="1" x14ac:dyDescent="0.25"/>
    <row r="123320" s="12" customFormat="1" x14ac:dyDescent="0.25"/>
    <row r="123321" s="12" customFormat="1" x14ac:dyDescent="0.25"/>
    <row r="123322" s="12" customFormat="1" x14ac:dyDescent="0.25"/>
    <row r="123323" s="12" customFormat="1" x14ac:dyDescent="0.25"/>
    <row r="123324" s="12" customFormat="1" x14ac:dyDescent="0.25"/>
    <row r="123325" s="12" customFormat="1" x14ac:dyDescent="0.25"/>
    <row r="123326" s="12" customFormat="1" x14ac:dyDescent="0.25"/>
    <row r="123327" s="12" customFormat="1" x14ac:dyDescent="0.25"/>
    <row r="123328" s="12" customFormat="1" x14ac:dyDescent="0.25"/>
    <row r="123329" s="12" customFormat="1" x14ac:dyDescent="0.25"/>
    <row r="123330" s="12" customFormat="1" x14ac:dyDescent="0.25"/>
    <row r="123331" s="12" customFormat="1" x14ac:dyDescent="0.25"/>
    <row r="123332" s="12" customFormat="1" x14ac:dyDescent="0.25"/>
    <row r="123333" s="12" customFormat="1" x14ac:dyDescent="0.25"/>
    <row r="123334" s="12" customFormat="1" x14ac:dyDescent="0.25"/>
    <row r="123335" s="12" customFormat="1" x14ac:dyDescent="0.25"/>
    <row r="123336" s="12" customFormat="1" x14ac:dyDescent="0.25"/>
    <row r="123337" s="12" customFormat="1" x14ac:dyDescent="0.25"/>
    <row r="123338" s="12" customFormat="1" x14ac:dyDescent="0.25"/>
    <row r="123339" s="12" customFormat="1" x14ac:dyDescent="0.25"/>
    <row r="123340" s="12" customFormat="1" x14ac:dyDescent="0.25"/>
    <row r="123341" s="12" customFormat="1" x14ac:dyDescent="0.25"/>
    <row r="123342" s="12" customFormat="1" x14ac:dyDescent="0.25"/>
    <row r="123343" s="12" customFormat="1" x14ac:dyDescent="0.25"/>
    <row r="123344" s="12" customFormat="1" x14ac:dyDescent="0.25"/>
    <row r="123345" s="12" customFormat="1" x14ac:dyDescent="0.25"/>
    <row r="123346" s="12" customFormat="1" x14ac:dyDescent="0.25"/>
    <row r="123347" s="12" customFormat="1" x14ac:dyDescent="0.25"/>
    <row r="123348" s="12" customFormat="1" x14ac:dyDescent="0.25"/>
    <row r="123349" s="12" customFormat="1" x14ac:dyDescent="0.25"/>
    <row r="123350" s="12" customFormat="1" x14ac:dyDescent="0.25"/>
    <row r="123351" s="12" customFormat="1" x14ac:dyDescent="0.25"/>
    <row r="123352" s="12" customFormat="1" x14ac:dyDescent="0.25"/>
    <row r="123353" s="12" customFormat="1" x14ac:dyDescent="0.25"/>
    <row r="123354" s="12" customFormat="1" x14ac:dyDescent="0.25"/>
    <row r="123355" s="12" customFormat="1" x14ac:dyDescent="0.25"/>
    <row r="123356" s="12" customFormat="1" x14ac:dyDescent="0.25"/>
    <row r="123357" s="12" customFormat="1" x14ac:dyDescent="0.25"/>
    <row r="123358" s="12" customFormat="1" x14ac:dyDescent="0.25"/>
    <row r="123359" s="12" customFormat="1" x14ac:dyDescent="0.25"/>
    <row r="123360" s="12" customFormat="1" x14ac:dyDescent="0.25"/>
    <row r="123361" s="12" customFormat="1" x14ac:dyDescent="0.25"/>
    <row r="123362" s="12" customFormat="1" x14ac:dyDescent="0.25"/>
    <row r="123363" s="12" customFormat="1" x14ac:dyDescent="0.25"/>
    <row r="123364" s="12" customFormat="1" x14ac:dyDescent="0.25"/>
    <row r="123365" s="12" customFormat="1" x14ac:dyDescent="0.25"/>
    <row r="123366" s="12" customFormat="1" x14ac:dyDescent="0.25"/>
    <row r="123367" s="12" customFormat="1" x14ac:dyDescent="0.25"/>
    <row r="123368" s="12" customFormat="1" x14ac:dyDescent="0.25"/>
    <row r="123369" s="12" customFormat="1" x14ac:dyDescent="0.25"/>
    <row r="123370" s="12" customFormat="1" x14ac:dyDescent="0.25"/>
    <row r="123371" s="12" customFormat="1" x14ac:dyDescent="0.25"/>
    <row r="123372" s="12" customFormat="1" x14ac:dyDescent="0.25"/>
    <row r="123373" s="12" customFormat="1" x14ac:dyDescent="0.25"/>
    <row r="123374" s="12" customFormat="1" x14ac:dyDescent="0.25"/>
    <row r="123375" s="12" customFormat="1" x14ac:dyDescent="0.25"/>
    <row r="123376" s="12" customFormat="1" x14ac:dyDescent="0.25"/>
    <row r="123377" s="12" customFormat="1" x14ac:dyDescent="0.25"/>
    <row r="123378" s="12" customFormat="1" x14ac:dyDescent="0.25"/>
    <row r="123379" s="12" customFormat="1" x14ac:dyDescent="0.25"/>
    <row r="123380" s="12" customFormat="1" x14ac:dyDescent="0.25"/>
    <row r="123381" s="12" customFormat="1" x14ac:dyDescent="0.25"/>
    <row r="123382" s="12" customFormat="1" x14ac:dyDescent="0.25"/>
    <row r="123383" s="12" customFormat="1" x14ac:dyDescent="0.25"/>
    <row r="123384" s="12" customFormat="1" x14ac:dyDescent="0.25"/>
    <row r="123385" s="12" customFormat="1" x14ac:dyDescent="0.25"/>
    <row r="123386" s="12" customFormat="1" x14ac:dyDescent="0.25"/>
    <row r="123387" s="12" customFormat="1" x14ac:dyDescent="0.25"/>
    <row r="123388" s="12" customFormat="1" x14ac:dyDescent="0.25"/>
    <row r="123389" s="12" customFormat="1" x14ac:dyDescent="0.25"/>
    <row r="123390" s="12" customFormat="1" x14ac:dyDescent="0.25"/>
    <row r="123391" s="12" customFormat="1" x14ac:dyDescent="0.25"/>
    <row r="123392" s="12" customFormat="1" x14ac:dyDescent="0.25"/>
    <row r="123393" s="12" customFormat="1" x14ac:dyDescent="0.25"/>
    <row r="123394" s="12" customFormat="1" x14ac:dyDescent="0.25"/>
    <row r="123395" s="12" customFormat="1" x14ac:dyDescent="0.25"/>
    <row r="123396" s="12" customFormat="1" x14ac:dyDescent="0.25"/>
    <row r="123397" s="12" customFormat="1" x14ac:dyDescent="0.25"/>
    <row r="123398" s="12" customFormat="1" x14ac:dyDescent="0.25"/>
    <row r="123399" s="12" customFormat="1" x14ac:dyDescent="0.25"/>
    <row r="123400" s="12" customFormat="1" x14ac:dyDescent="0.25"/>
    <row r="123401" s="12" customFormat="1" x14ac:dyDescent="0.25"/>
    <row r="123402" s="12" customFormat="1" x14ac:dyDescent="0.25"/>
    <row r="123403" s="12" customFormat="1" x14ac:dyDescent="0.25"/>
    <row r="123404" s="12" customFormat="1" x14ac:dyDescent="0.25"/>
    <row r="123405" s="12" customFormat="1" x14ac:dyDescent="0.25"/>
    <row r="123406" s="12" customFormat="1" x14ac:dyDescent="0.25"/>
    <row r="123407" s="12" customFormat="1" x14ac:dyDescent="0.25"/>
    <row r="123408" s="12" customFormat="1" x14ac:dyDescent="0.25"/>
    <row r="123409" s="12" customFormat="1" x14ac:dyDescent="0.25"/>
    <row r="123410" s="12" customFormat="1" x14ac:dyDescent="0.25"/>
    <row r="123411" s="12" customFormat="1" x14ac:dyDescent="0.25"/>
    <row r="123412" s="12" customFormat="1" x14ac:dyDescent="0.25"/>
    <row r="123413" s="12" customFormat="1" x14ac:dyDescent="0.25"/>
    <row r="123414" s="12" customFormat="1" x14ac:dyDescent="0.25"/>
    <row r="123415" s="12" customFormat="1" x14ac:dyDescent="0.25"/>
    <row r="123416" s="12" customFormat="1" x14ac:dyDescent="0.25"/>
    <row r="123417" s="12" customFormat="1" x14ac:dyDescent="0.25"/>
    <row r="123418" s="12" customFormat="1" x14ac:dyDescent="0.25"/>
    <row r="123419" s="12" customFormat="1" x14ac:dyDescent="0.25"/>
    <row r="123420" s="12" customFormat="1" x14ac:dyDescent="0.25"/>
    <row r="123421" s="12" customFormat="1" x14ac:dyDescent="0.25"/>
    <row r="123422" s="12" customFormat="1" x14ac:dyDescent="0.25"/>
    <row r="123423" s="12" customFormat="1" x14ac:dyDescent="0.25"/>
    <row r="123424" s="12" customFormat="1" x14ac:dyDescent="0.25"/>
    <row r="123425" s="12" customFormat="1" x14ac:dyDescent="0.25"/>
    <row r="123426" s="12" customFormat="1" x14ac:dyDescent="0.25"/>
    <row r="123427" s="12" customFormat="1" x14ac:dyDescent="0.25"/>
    <row r="123428" s="12" customFormat="1" x14ac:dyDescent="0.25"/>
    <row r="123429" s="12" customFormat="1" x14ac:dyDescent="0.25"/>
    <row r="123430" s="12" customFormat="1" x14ac:dyDescent="0.25"/>
    <row r="123431" s="12" customFormat="1" x14ac:dyDescent="0.25"/>
    <row r="123432" s="12" customFormat="1" x14ac:dyDescent="0.25"/>
    <row r="123433" s="12" customFormat="1" x14ac:dyDescent="0.25"/>
    <row r="123434" s="12" customFormat="1" x14ac:dyDescent="0.25"/>
    <row r="123435" s="12" customFormat="1" x14ac:dyDescent="0.25"/>
    <row r="123436" s="12" customFormat="1" x14ac:dyDescent="0.25"/>
    <row r="123437" s="12" customFormat="1" x14ac:dyDescent="0.25"/>
    <row r="123438" s="12" customFormat="1" x14ac:dyDescent="0.25"/>
    <row r="123439" s="12" customFormat="1" x14ac:dyDescent="0.25"/>
    <row r="123440" s="12" customFormat="1" x14ac:dyDescent="0.25"/>
    <row r="123441" s="12" customFormat="1" x14ac:dyDescent="0.25"/>
    <row r="123442" s="12" customFormat="1" x14ac:dyDescent="0.25"/>
    <row r="123443" s="12" customFormat="1" x14ac:dyDescent="0.25"/>
    <row r="123444" s="12" customFormat="1" x14ac:dyDescent="0.25"/>
    <row r="123445" s="12" customFormat="1" x14ac:dyDescent="0.25"/>
    <row r="123446" s="12" customFormat="1" x14ac:dyDescent="0.25"/>
    <row r="123447" s="12" customFormat="1" x14ac:dyDescent="0.25"/>
    <row r="123448" s="12" customFormat="1" x14ac:dyDescent="0.25"/>
    <row r="123449" s="12" customFormat="1" x14ac:dyDescent="0.25"/>
    <row r="123450" s="12" customFormat="1" x14ac:dyDescent="0.25"/>
    <row r="123451" s="12" customFormat="1" x14ac:dyDescent="0.25"/>
    <row r="123452" s="12" customFormat="1" x14ac:dyDescent="0.25"/>
    <row r="123453" s="12" customFormat="1" x14ac:dyDescent="0.25"/>
    <row r="123454" s="12" customFormat="1" x14ac:dyDescent="0.25"/>
    <row r="123455" s="12" customFormat="1" x14ac:dyDescent="0.25"/>
    <row r="123456" s="12" customFormat="1" x14ac:dyDescent="0.25"/>
    <row r="123457" s="12" customFormat="1" x14ac:dyDescent="0.25"/>
    <row r="123458" s="12" customFormat="1" x14ac:dyDescent="0.25"/>
    <row r="123459" s="12" customFormat="1" x14ac:dyDescent="0.25"/>
    <row r="123460" s="12" customFormat="1" x14ac:dyDescent="0.25"/>
    <row r="123461" s="12" customFormat="1" x14ac:dyDescent="0.25"/>
    <row r="123462" s="12" customFormat="1" x14ac:dyDescent="0.25"/>
    <row r="123463" s="12" customFormat="1" x14ac:dyDescent="0.25"/>
    <row r="123464" s="12" customFormat="1" x14ac:dyDescent="0.25"/>
    <row r="123465" s="12" customFormat="1" x14ac:dyDescent="0.25"/>
    <row r="123466" s="12" customFormat="1" x14ac:dyDescent="0.25"/>
    <row r="123467" s="12" customFormat="1" x14ac:dyDescent="0.25"/>
    <row r="123468" s="12" customFormat="1" x14ac:dyDescent="0.25"/>
    <row r="123469" s="12" customFormat="1" x14ac:dyDescent="0.25"/>
    <row r="123470" s="12" customFormat="1" x14ac:dyDescent="0.25"/>
    <row r="123471" s="12" customFormat="1" x14ac:dyDescent="0.25"/>
    <row r="123472" s="12" customFormat="1" x14ac:dyDescent="0.25"/>
    <row r="123473" s="12" customFormat="1" x14ac:dyDescent="0.25"/>
    <row r="123474" s="12" customFormat="1" x14ac:dyDescent="0.25"/>
    <row r="123475" s="12" customFormat="1" x14ac:dyDescent="0.25"/>
    <row r="123476" s="12" customFormat="1" x14ac:dyDescent="0.25"/>
    <row r="123477" s="12" customFormat="1" x14ac:dyDescent="0.25"/>
    <row r="123478" s="12" customFormat="1" x14ac:dyDescent="0.25"/>
    <row r="123479" s="12" customFormat="1" x14ac:dyDescent="0.25"/>
    <row r="123480" s="12" customFormat="1" x14ac:dyDescent="0.25"/>
    <row r="123481" s="12" customFormat="1" x14ac:dyDescent="0.25"/>
    <row r="123482" s="12" customFormat="1" x14ac:dyDescent="0.25"/>
    <row r="123483" s="12" customFormat="1" x14ac:dyDescent="0.25"/>
    <row r="123484" s="12" customFormat="1" x14ac:dyDescent="0.25"/>
    <row r="123485" s="12" customFormat="1" x14ac:dyDescent="0.25"/>
    <row r="123486" s="12" customFormat="1" x14ac:dyDescent="0.25"/>
    <row r="123487" s="12" customFormat="1" x14ac:dyDescent="0.25"/>
    <row r="123488" s="12" customFormat="1" x14ac:dyDescent="0.25"/>
    <row r="123489" s="12" customFormat="1" x14ac:dyDescent="0.25"/>
    <row r="123490" s="12" customFormat="1" x14ac:dyDescent="0.25"/>
    <row r="123491" s="12" customFormat="1" x14ac:dyDescent="0.25"/>
    <row r="123492" s="12" customFormat="1" x14ac:dyDescent="0.25"/>
    <row r="123493" s="12" customFormat="1" x14ac:dyDescent="0.25"/>
    <row r="123494" s="12" customFormat="1" x14ac:dyDescent="0.25"/>
    <row r="123495" s="12" customFormat="1" x14ac:dyDescent="0.25"/>
    <row r="123496" s="12" customFormat="1" x14ac:dyDescent="0.25"/>
    <row r="123497" s="12" customFormat="1" x14ac:dyDescent="0.25"/>
    <row r="123498" s="12" customFormat="1" x14ac:dyDescent="0.25"/>
    <row r="123499" s="12" customFormat="1" x14ac:dyDescent="0.25"/>
    <row r="123500" s="12" customFormat="1" x14ac:dyDescent="0.25"/>
    <row r="123501" s="12" customFormat="1" x14ac:dyDescent="0.25"/>
    <row r="123502" s="12" customFormat="1" x14ac:dyDescent="0.25"/>
    <row r="123503" s="12" customFormat="1" x14ac:dyDescent="0.25"/>
    <row r="123504" s="12" customFormat="1" x14ac:dyDescent="0.25"/>
    <row r="123505" s="12" customFormat="1" x14ac:dyDescent="0.25"/>
    <row r="123506" s="12" customFormat="1" x14ac:dyDescent="0.25"/>
    <row r="123507" s="12" customFormat="1" x14ac:dyDescent="0.25"/>
    <row r="123508" s="12" customFormat="1" x14ac:dyDescent="0.25"/>
    <row r="123509" s="12" customFormat="1" x14ac:dyDescent="0.25"/>
    <row r="123510" s="12" customFormat="1" x14ac:dyDescent="0.25"/>
    <row r="123511" s="12" customFormat="1" x14ac:dyDescent="0.25"/>
    <row r="123512" s="12" customFormat="1" x14ac:dyDescent="0.25"/>
    <row r="123513" s="12" customFormat="1" x14ac:dyDescent="0.25"/>
    <row r="123514" s="12" customFormat="1" x14ac:dyDescent="0.25"/>
    <row r="123515" s="12" customFormat="1" x14ac:dyDescent="0.25"/>
    <row r="123516" s="12" customFormat="1" x14ac:dyDescent="0.25"/>
    <row r="123517" s="12" customFormat="1" x14ac:dyDescent="0.25"/>
    <row r="123518" s="12" customFormat="1" x14ac:dyDescent="0.25"/>
    <row r="123519" s="12" customFormat="1" x14ac:dyDescent="0.25"/>
    <row r="123520" s="12" customFormat="1" x14ac:dyDescent="0.25"/>
    <row r="123521" s="12" customFormat="1" x14ac:dyDescent="0.25"/>
    <row r="123522" s="12" customFormat="1" x14ac:dyDescent="0.25"/>
    <row r="123523" s="12" customFormat="1" x14ac:dyDescent="0.25"/>
    <row r="123524" s="12" customFormat="1" x14ac:dyDescent="0.25"/>
    <row r="123525" s="12" customFormat="1" x14ac:dyDescent="0.25"/>
    <row r="123526" s="12" customFormat="1" x14ac:dyDescent="0.25"/>
    <row r="123527" s="12" customFormat="1" x14ac:dyDescent="0.25"/>
    <row r="123528" s="12" customFormat="1" x14ac:dyDescent="0.25"/>
    <row r="123529" s="12" customFormat="1" x14ac:dyDescent="0.25"/>
    <row r="123530" s="12" customFormat="1" x14ac:dyDescent="0.25"/>
    <row r="123531" s="12" customFormat="1" x14ac:dyDescent="0.25"/>
    <row r="123532" s="12" customFormat="1" x14ac:dyDescent="0.25"/>
    <row r="123533" s="12" customFormat="1" x14ac:dyDescent="0.25"/>
    <row r="123534" s="12" customFormat="1" x14ac:dyDescent="0.25"/>
    <row r="123535" s="12" customFormat="1" x14ac:dyDescent="0.25"/>
    <row r="123536" s="12" customFormat="1" x14ac:dyDescent="0.25"/>
    <row r="123537" s="12" customFormat="1" x14ac:dyDescent="0.25"/>
    <row r="123538" s="12" customFormat="1" x14ac:dyDescent="0.25"/>
    <row r="123539" s="12" customFormat="1" x14ac:dyDescent="0.25"/>
    <row r="123540" s="12" customFormat="1" x14ac:dyDescent="0.25"/>
    <row r="123541" s="12" customFormat="1" x14ac:dyDescent="0.25"/>
    <row r="123542" s="12" customFormat="1" x14ac:dyDescent="0.25"/>
    <row r="123543" s="12" customFormat="1" x14ac:dyDescent="0.25"/>
    <row r="123544" s="12" customFormat="1" x14ac:dyDescent="0.25"/>
    <row r="123545" s="12" customFormat="1" x14ac:dyDescent="0.25"/>
    <row r="123546" s="12" customFormat="1" x14ac:dyDescent="0.25"/>
    <row r="123547" s="12" customFormat="1" x14ac:dyDescent="0.25"/>
    <row r="123548" s="12" customFormat="1" x14ac:dyDescent="0.25"/>
    <row r="123549" s="12" customFormat="1" x14ac:dyDescent="0.25"/>
    <row r="123550" s="12" customFormat="1" x14ac:dyDescent="0.25"/>
    <row r="123551" s="12" customFormat="1" x14ac:dyDescent="0.25"/>
    <row r="123552" s="12" customFormat="1" x14ac:dyDescent="0.25"/>
    <row r="123553" s="12" customFormat="1" x14ac:dyDescent="0.25"/>
    <row r="123554" s="12" customFormat="1" x14ac:dyDescent="0.25"/>
    <row r="123555" s="12" customFormat="1" x14ac:dyDescent="0.25"/>
    <row r="123556" s="12" customFormat="1" x14ac:dyDescent="0.25"/>
    <row r="123557" s="12" customFormat="1" x14ac:dyDescent="0.25"/>
    <row r="123558" s="12" customFormat="1" x14ac:dyDescent="0.25"/>
    <row r="123559" s="12" customFormat="1" x14ac:dyDescent="0.25"/>
    <row r="123560" s="12" customFormat="1" x14ac:dyDescent="0.25"/>
    <row r="123561" s="12" customFormat="1" x14ac:dyDescent="0.25"/>
    <row r="123562" s="12" customFormat="1" x14ac:dyDescent="0.25"/>
    <row r="123563" s="12" customFormat="1" x14ac:dyDescent="0.25"/>
    <row r="123564" s="12" customFormat="1" x14ac:dyDescent="0.25"/>
    <row r="123565" s="12" customFormat="1" x14ac:dyDescent="0.25"/>
    <row r="123566" s="12" customFormat="1" x14ac:dyDescent="0.25"/>
    <row r="123567" s="12" customFormat="1" x14ac:dyDescent="0.25"/>
    <row r="123568" s="12" customFormat="1" x14ac:dyDescent="0.25"/>
    <row r="123569" s="12" customFormat="1" x14ac:dyDescent="0.25"/>
    <row r="123570" s="12" customFormat="1" x14ac:dyDescent="0.25"/>
    <row r="123571" s="12" customFormat="1" x14ac:dyDescent="0.25"/>
    <row r="123572" s="12" customFormat="1" x14ac:dyDescent="0.25"/>
    <row r="123573" s="12" customFormat="1" x14ac:dyDescent="0.25"/>
    <row r="123574" s="12" customFormat="1" x14ac:dyDescent="0.25"/>
    <row r="123575" s="12" customFormat="1" x14ac:dyDescent="0.25"/>
    <row r="123576" s="12" customFormat="1" x14ac:dyDescent="0.25"/>
    <row r="123577" s="12" customFormat="1" x14ac:dyDescent="0.25"/>
    <row r="123578" s="12" customFormat="1" x14ac:dyDescent="0.25"/>
    <row r="123579" s="12" customFormat="1" x14ac:dyDescent="0.25"/>
    <row r="123580" s="12" customFormat="1" x14ac:dyDescent="0.25"/>
    <row r="123581" s="12" customFormat="1" x14ac:dyDescent="0.25"/>
    <row r="123582" s="12" customFormat="1" x14ac:dyDescent="0.25"/>
    <row r="123583" s="12" customFormat="1" x14ac:dyDescent="0.25"/>
    <row r="123584" s="12" customFormat="1" x14ac:dyDescent="0.25"/>
    <row r="123585" s="12" customFormat="1" x14ac:dyDescent="0.25"/>
    <row r="123586" s="12" customFormat="1" x14ac:dyDescent="0.25"/>
    <row r="123587" s="12" customFormat="1" x14ac:dyDescent="0.25"/>
    <row r="123588" s="12" customFormat="1" x14ac:dyDescent="0.25"/>
    <row r="123589" s="12" customFormat="1" x14ac:dyDescent="0.25"/>
    <row r="123590" s="12" customFormat="1" x14ac:dyDescent="0.25"/>
    <row r="123591" s="12" customFormat="1" x14ac:dyDescent="0.25"/>
    <row r="123592" s="12" customFormat="1" x14ac:dyDescent="0.25"/>
    <row r="123593" s="12" customFormat="1" x14ac:dyDescent="0.25"/>
    <row r="123594" s="12" customFormat="1" x14ac:dyDescent="0.25"/>
    <row r="123595" s="12" customFormat="1" x14ac:dyDescent="0.25"/>
    <row r="123596" s="12" customFormat="1" x14ac:dyDescent="0.25"/>
    <row r="123597" s="12" customFormat="1" x14ac:dyDescent="0.25"/>
    <row r="123598" s="12" customFormat="1" x14ac:dyDescent="0.25"/>
    <row r="123599" s="12" customFormat="1" x14ac:dyDescent="0.25"/>
    <row r="123600" s="12" customFormat="1" x14ac:dyDescent="0.25"/>
    <row r="123601" s="12" customFormat="1" x14ac:dyDescent="0.25"/>
    <row r="123602" s="12" customFormat="1" x14ac:dyDescent="0.25"/>
    <row r="123603" s="12" customFormat="1" x14ac:dyDescent="0.25"/>
    <row r="123604" s="12" customFormat="1" x14ac:dyDescent="0.25"/>
    <row r="123605" s="12" customFormat="1" x14ac:dyDescent="0.25"/>
    <row r="123606" s="12" customFormat="1" x14ac:dyDescent="0.25"/>
    <row r="123607" s="12" customFormat="1" x14ac:dyDescent="0.25"/>
    <row r="123608" s="12" customFormat="1" x14ac:dyDescent="0.25"/>
    <row r="123609" s="12" customFormat="1" x14ac:dyDescent="0.25"/>
    <row r="123610" s="12" customFormat="1" x14ac:dyDescent="0.25"/>
    <row r="123611" s="12" customFormat="1" x14ac:dyDescent="0.25"/>
    <row r="123612" s="12" customFormat="1" x14ac:dyDescent="0.25"/>
    <row r="123613" s="12" customFormat="1" x14ac:dyDescent="0.25"/>
    <row r="123614" s="12" customFormat="1" x14ac:dyDescent="0.25"/>
    <row r="123615" s="12" customFormat="1" x14ac:dyDescent="0.25"/>
    <row r="123616" s="12" customFormat="1" x14ac:dyDescent="0.25"/>
    <row r="123617" s="12" customFormat="1" x14ac:dyDescent="0.25"/>
    <row r="123618" s="12" customFormat="1" x14ac:dyDescent="0.25"/>
    <row r="123619" s="12" customFormat="1" x14ac:dyDescent="0.25"/>
    <row r="123620" s="12" customFormat="1" x14ac:dyDescent="0.25"/>
    <row r="123621" s="12" customFormat="1" x14ac:dyDescent="0.25"/>
    <row r="123622" s="12" customFormat="1" x14ac:dyDescent="0.25"/>
    <row r="123623" s="12" customFormat="1" x14ac:dyDescent="0.25"/>
    <row r="123624" s="12" customFormat="1" x14ac:dyDescent="0.25"/>
    <row r="123625" s="12" customFormat="1" x14ac:dyDescent="0.25"/>
    <row r="123626" s="12" customFormat="1" x14ac:dyDescent="0.25"/>
    <row r="123627" s="12" customFormat="1" x14ac:dyDescent="0.25"/>
    <row r="123628" s="12" customFormat="1" x14ac:dyDescent="0.25"/>
    <row r="123629" s="12" customFormat="1" x14ac:dyDescent="0.25"/>
    <row r="123630" s="12" customFormat="1" x14ac:dyDescent="0.25"/>
    <row r="123631" s="12" customFormat="1" x14ac:dyDescent="0.25"/>
    <row r="123632" s="12" customFormat="1" x14ac:dyDescent="0.25"/>
    <row r="123633" s="12" customFormat="1" x14ac:dyDescent="0.25"/>
    <row r="123634" s="12" customFormat="1" x14ac:dyDescent="0.25"/>
    <row r="123635" s="12" customFormat="1" x14ac:dyDescent="0.25"/>
    <row r="123636" s="12" customFormat="1" x14ac:dyDescent="0.25"/>
    <row r="123637" s="12" customFormat="1" x14ac:dyDescent="0.25"/>
    <row r="123638" s="12" customFormat="1" x14ac:dyDescent="0.25"/>
    <row r="123639" s="12" customFormat="1" x14ac:dyDescent="0.25"/>
    <row r="123640" s="12" customFormat="1" x14ac:dyDescent="0.25"/>
    <row r="123641" s="12" customFormat="1" x14ac:dyDescent="0.25"/>
    <row r="123642" s="12" customFormat="1" x14ac:dyDescent="0.25"/>
    <row r="123643" s="12" customFormat="1" x14ac:dyDescent="0.25"/>
    <row r="123644" s="12" customFormat="1" x14ac:dyDescent="0.25"/>
    <row r="123645" s="12" customFormat="1" x14ac:dyDescent="0.25"/>
    <row r="123646" s="12" customFormat="1" x14ac:dyDescent="0.25"/>
    <row r="123647" s="12" customFormat="1" x14ac:dyDescent="0.25"/>
    <row r="123648" s="12" customFormat="1" x14ac:dyDescent="0.25"/>
    <row r="123649" s="12" customFormat="1" x14ac:dyDescent="0.25"/>
    <row r="123650" s="12" customFormat="1" x14ac:dyDescent="0.25"/>
    <row r="123651" s="12" customFormat="1" x14ac:dyDescent="0.25"/>
    <row r="123652" s="12" customFormat="1" x14ac:dyDescent="0.25"/>
    <row r="123653" s="12" customFormat="1" x14ac:dyDescent="0.25"/>
    <row r="123654" s="12" customFormat="1" x14ac:dyDescent="0.25"/>
    <row r="123655" s="12" customFormat="1" x14ac:dyDescent="0.25"/>
    <row r="123656" s="12" customFormat="1" x14ac:dyDescent="0.25"/>
    <row r="123657" s="12" customFormat="1" x14ac:dyDescent="0.25"/>
    <row r="123658" s="12" customFormat="1" x14ac:dyDescent="0.25"/>
    <row r="123659" s="12" customFormat="1" x14ac:dyDescent="0.25"/>
    <row r="123660" s="12" customFormat="1" x14ac:dyDescent="0.25"/>
    <row r="123661" s="12" customFormat="1" x14ac:dyDescent="0.25"/>
    <row r="123662" s="12" customFormat="1" x14ac:dyDescent="0.25"/>
    <row r="123663" s="12" customFormat="1" x14ac:dyDescent="0.25"/>
    <row r="123664" s="12" customFormat="1" x14ac:dyDescent="0.25"/>
    <row r="123665" s="12" customFormat="1" x14ac:dyDescent="0.25"/>
    <row r="123666" s="12" customFormat="1" x14ac:dyDescent="0.25"/>
    <row r="123667" s="12" customFormat="1" x14ac:dyDescent="0.25"/>
    <row r="123668" s="12" customFormat="1" x14ac:dyDescent="0.25"/>
    <row r="123669" s="12" customFormat="1" x14ac:dyDescent="0.25"/>
    <row r="123670" s="12" customFormat="1" x14ac:dyDescent="0.25"/>
    <row r="123671" s="12" customFormat="1" x14ac:dyDescent="0.25"/>
    <row r="123672" s="12" customFormat="1" x14ac:dyDescent="0.25"/>
    <row r="123673" s="12" customFormat="1" x14ac:dyDescent="0.25"/>
    <row r="123674" s="12" customFormat="1" x14ac:dyDescent="0.25"/>
    <row r="123675" s="12" customFormat="1" x14ac:dyDescent="0.25"/>
    <row r="123676" s="12" customFormat="1" x14ac:dyDescent="0.25"/>
    <row r="123677" s="12" customFormat="1" x14ac:dyDescent="0.25"/>
    <row r="123678" s="12" customFormat="1" x14ac:dyDescent="0.25"/>
    <row r="123679" s="12" customFormat="1" x14ac:dyDescent="0.25"/>
    <row r="123680" s="12" customFormat="1" x14ac:dyDescent="0.25"/>
    <row r="123681" s="12" customFormat="1" x14ac:dyDescent="0.25"/>
    <row r="123682" s="12" customFormat="1" x14ac:dyDescent="0.25"/>
    <row r="123683" s="12" customFormat="1" x14ac:dyDescent="0.25"/>
    <row r="123684" s="12" customFormat="1" x14ac:dyDescent="0.25"/>
    <row r="123685" s="12" customFormat="1" x14ac:dyDescent="0.25"/>
    <row r="123686" s="12" customFormat="1" x14ac:dyDescent="0.25"/>
    <row r="123687" s="12" customFormat="1" x14ac:dyDescent="0.25"/>
    <row r="123688" s="12" customFormat="1" x14ac:dyDescent="0.25"/>
    <row r="123689" s="12" customFormat="1" x14ac:dyDescent="0.25"/>
    <row r="123690" s="12" customFormat="1" x14ac:dyDescent="0.25"/>
    <row r="123691" s="12" customFormat="1" x14ac:dyDescent="0.25"/>
    <row r="123692" s="12" customFormat="1" x14ac:dyDescent="0.25"/>
    <row r="123693" s="12" customFormat="1" x14ac:dyDescent="0.25"/>
    <row r="123694" s="12" customFormat="1" x14ac:dyDescent="0.25"/>
    <row r="123695" s="12" customFormat="1" x14ac:dyDescent="0.25"/>
    <row r="123696" s="12" customFormat="1" x14ac:dyDescent="0.25"/>
    <row r="123697" s="12" customFormat="1" x14ac:dyDescent="0.25"/>
    <row r="123698" s="12" customFormat="1" x14ac:dyDescent="0.25"/>
    <row r="123699" s="12" customFormat="1" x14ac:dyDescent="0.25"/>
    <row r="123700" s="12" customFormat="1" x14ac:dyDescent="0.25"/>
    <row r="123701" s="12" customFormat="1" x14ac:dyDescent="0.25"/>
    <row r="123702" s="12" customFormat="1" x14ac:dyDescent="0.25"/>
    <row r="123703" s="12" customFormat="1" x14ac:dyDescent="0.25"/>
    <row r="123704" s="12" customFormat="1" x14ac:dyDescent="0.25"/>
    <row r="123705" s="12" customFormat="1" x14ac:dyDescent="0.25"/>
    <row r="123706" s="12" customFormat="1" x14ac:dyDescent="0.25"/>
    <row r="123707" s="12" customFormat="1" x14ac:dyDescent="0.25"/>
    <row r="123708" s="12" customFormat="1" x14ac:dyDescent="0.25"/>
    <row r="123709" s="12" customFormat="1" x14ac:dyDescent="0.25"/>
    <row r="123710" s="12" customFormat="1" x14ac:dyDescent="0.25"/>
    <row r="123711" s="12" customFormat="1" x14ac:dyDescent="0.25"/>
    <row r="123712" s="12" customFormat="1" x14ac:dyDescent="0.25"/>
    <row r="123713" s="12" customFormat="1" x14ac:dyDescent="0.25"/>
    <row r="123714" s="12" customFormat="1" x14ac:dyDescent="0.25"/>
    <row r="123715" s="12" customFormat="1" x14ac:dyDescent="0.25"/>
    <row r="123716" s="12" customFormat="1" x14ac:dyDescent="0.25"/>
    <row r="123717" s="12" customFormat="1" x14ac:dyDescent="0.25"/>
    <row r="123718" s="12" customFormat="1" x14ac:dyDescent="0.25"/>
    <row r="123719" s="12" customFormat="1" x14ac:dyDescent="0.25"/>
    <row r="123720" s="12" customFormat="1" x14ac:dyDescent="0.25"/>
    <row r="123721" s="12" customFormat="1" x14ac:dyDescent="0.25"/>
    <row r="123722" s="12" customFormat="1" x14ac:dyDescent="0.25"/>
    <row r="123723" s="12" customFormat="1" x14ac:dyDescent="0.25"/>
    <row r="123724" s="12" customFormat="1" x14ac:dyDescent="0.25"/>
    <row r="123725" s="12" customFormat="1" x14ac:dyDescent="0.25"/>
    <row r="123726" s="12" customFormat="1" x14ac:dyDescent="0.25"/>
    <row r="123727" s="12" customFormat="1" x14ac:dyDescent="0.25"/>
    <row r="123728" s="12" customFormat="1" x14ac:dyDescent="0.25"/>
    <row r="123729" s="12" customFormat="1" x14ac:dyDescent="0.25"/>
    <row r="123730" s="12" customFormat="1" x14ac:dyDescent="0.25"/>
    <row r="123731" s="12" customFormat="1" x14ac:dyDescent="0.25"/>
    <row r="123732" s="12" customFormat="1" x14ac:dyDescent="0.25"/>
    <row r="123733" s="12" customFormat="1" x14ac:dyDescent="0.25"/>
    <row r="123734" s="12" customFormat="1" x14ac:dyDescent="0.25"/>
    <row r="123735" s="12" customFormat="1" x14ac:dyDescent="0.25"/>
    <row r="123736" s="12" customFormat="1" x14ac:dyDescent="0.25"/>
    <row r="123737" s="12" customFormat="1" x14ac:dyDescent="0.25"/>
    <row r="123738" s="12" customFormat="1" x14ac:dyDescent="0.25"/>
    <row r="123739" s="12" customFormat="1" x14ac:dyDescent="0.25"/>
    <row r="123740" s="12" customFormat="1" x14ac:dyDescent="0.25"/>
    <row r="123741" s="12" customFormat="1" x14ac:dyDescent="0.25"/>
    <row r="123742" s="12" customFormat="1" x14ac:dyDescent="0.25"/>
    <row r="123743" s="12" customFormat="1" x14ac:dyDescent="0.25"/>
    <row r="123744" s="12" customFormat="1" x14ac:dyDescent="0.25"/>
    <row r="123745" s="12" customFormat="1" x14ac:dyDescent="0.25"/>
    <row r="123746" s="12" customFormat="1" x14ac:dyDescent="0.25"/>
    <row r="123747" s="12" customFormat="1" x14ac:dyDescent="0.25"/>
    <row r="123748" s="12" customFormat="1" x14ac:dyDescent="0.25"/>
    <row r="123749" s="12" customFormat="1" x14ac:dyDescent="0.25"/>
    <row r="123750" s="12" customFormat="1" x14ac:dyDescent="0.25"/>
    <row r="123751" s="12" customFormat="1" x14ac:dyDescent="0.25"/>
    <row r="123752" s="12" customFormat="1" x14ac:dyDescent="0.25"/>
    <row r="123753" s="12" customFormat="1" x14ac:dyDescent="0.25"/>
    <row r="123754" s="12" customFormat="1" x14ac:dyDescent="0.25"/>
    <row r="123755" s="12" customFormat="1" x14ac:dyDescent="0.25"/>
    <row r="123756" s="12" customFormat="1" x14ac:dyDescent="0.25"/>
    <row r="123757" s="12" customFormat="1" x14ac:dyDescent="0.25"/>
    <row r="123758" s="12" customFormat="1" x14ac:dyDescent="0.25"/>
    <row r="123759" s="12" customFormat="1" x14ac:dyDescent="0.25"/>
    <row r="123760" s="12" customFormat="1" x14ac:dyDescent="0.25"/>
    <row r="123761" s="12" customFormat="1" x14ac:dyDescent="0.25"/>
    <row r="123762" s="12" customFormat="1" x14ac:dyDescent="0.25"/>
    <row r="123763" s="12" customFormat="1" x14ac:dyDescent="0.25"/>
    <row r="123764" s="12" customFormat="1" x14ac:dyDescent="0.25"/>
    <row r="123765" s="12" customFormat="1" x14ac:dyDescent="0.25"/>
    <row r="123766" s="12" customFormat="1" x14ac:dyDescent="0.25"/>
    <row r="123767" s="12" customFormat="1" x14ac:dyDescent="0.25"/>
    <row r="123768" s="12" customFormat="1" x14ac:dyDescent="0.25"/>
    <row r="123769" s="12" customFormat="1" x14ac:dyDescent="0.25"/>
    <row r="123770" s="12" customFormat="1" x14ac:dyDescent="0.25"/>
    <row r="123771" s="12" customFormat="1" x14ac:dyDescent="0.25"/>
    <row r="123772" s="12" customFormat="1" x14ac:dyDescent="0.25"/>
    <row r="123773" s="12" customFormat="1" x14ac:dyDescent="0.25"/>
    <row r="123774" s="12" customFormat="1" x14ac:dyDescent="0.25"/>
    <row r="123775" s="12" customFormat="1" x14ac:dyDescent="0.25"/>
    <row r="123776" s="12" customFormat="1" x14ac:dyDescent="0.25"/>
    <row r="123777" s="12" customFormat="1" x14ac:dyDescent="0.25"/>
    <row r="123778" s="12" customFormat="1" x14ac:dyDescent="0.25"/>
    <row r="123779" s="12" customFormat="1" x14ac:dyDescent="0.25"/>
    <row r="123780" s="12" customFormat="1" x14ac:dyDescent="0.25"/>
    <row r="123781" s="12" customFormat="1" x14ac:dyDescent="0.25"/>
    <row r="123782" s="12" customFormat="1" x14ac:dyDescent="0.25"/>
    <row r="123783" s="12" customFormat="1" x14ac:dyDescent="0.25"/>
    <row r="123784" s="12" customFormat="1" x14ac:dyDescent="0.25"/>
    <row r="123785" s="12" customFormat="1" x14ac:dyDescent="0.25"/>
    <row r="123786" s="12" customFormat="1" x14ac:dyDescent="0.25"/>
    <row r="123787" s="12" customFormat="1" x14ac:dyDescent="0.25"/>
    <row r="123788" s="12" customFormat="1" x14ac:dyDescent="0.25"/>
    <row r="123789" s="12" customFormat="1" x14ac:dyDescent="0.25"/>
    <row r="123790" s="12" customFormat="1" x14ac:dyDescent="0.25"/>
    <row r="123791" s="12" customFormat="1" x14ac:dyDescent="0.25"/>
    <row r="123792" s="12" customFormat="1" x14ac:dyDescent="0.25"/>
    <row r="123793" s="12" customFormat="1" x14ac:dyDescent="0.25"/>
    <row r="123794" s="12" customFormat="1" x14ac:dyDescent="0.25"/>
    <row r="123795" s="12" customFormat="1" x14ac:dyDescent="0.25"/>
    <row r="123796" s="12" customFormat="1" x14ac:dyDescent="0.25"/>
    <row r="123797" s="12" customFormat="1" x14ac:dyDescent="0.25"/>
    <row r="123798" s="12" customFormat="1" x14ac:dyDescent="0.25"/>
    <row r="123799" s="12" customFormat="1" x14ac:dyDescent="0.25"/>
    <row r="123800" s="12" customFormat="1" x14ac:dyDescent="0.25"/>
    <row r="123801" s="12" customFormat="1" x14ac:dyDescent="0.25"/>
    <row r="123802" s="12" customFormat="1" x14ac:dyDescent="0.25"/>
    <row r="123803" s="12" customFormat="1" x14ac:dyDescent="0.25"/>
    <row r="123804" s="12" customFormat="1" x14ac:dyDescent="0.25"/>
    <row r="123805" s="12" customFormat="1" x14ac:dyDescent="0.25"/>
    <row r="123806" s="12" customFormat="1" x14ac:dyDescent="0.25"/>
    <row r="123807" s="12" customFormat="1" x14ac:dyDescent="0.25"/>
    <row r="123808" s="12" customFormat="1" x14ac:dyDescent="0.25"/>
    <row r="123809" s="12" customFormat="1" x14ac:dyDescent="0.25"/>
    <row r="123810" s="12" customFormat="1" x14ac:dyDescent="0.25"/>
    <row r="123811" s="12" customFormat="1" x14ac:dyDescent="0.25"/>
    <row r="123812" s="12" customFormat="1" x14ac:dyDescent="0.25"/>
    <row r="123813" s="12" customFormat="1" x14ac:dyDescent="0.25"/>
    <row r="123814" s="12" customFormat="1" x14ac:dyDescent="0.25"/>
    <row r="123815" s="12" customFormat="1" x14ac:dyDescent="0.25"/>
    <row r="123816" s="12" customFormat="1" x14ac:dyDescent="0.25"/>
    <row r="123817" s="12" customFormat="1" x14ac:dyDescent="0.25"/>
    <row r="123818" s="12" customFormat="1" x14ac:dyDescent="0.25"/>
    <row r="123819" s="12" customFormat="1" x14ac:dyDescent="0.25"/>
    <row r="123820" s="12" customFormat="1" x14ac:dyDescent="0.25"/>
    <row r="123821" s="12" customFormat="1" x14ac:dyDescent="0.25"/>
    <row r="123822" s="12" customFormat="1" x14ac:dyDescent="0.25"/>
    <row r="123823" s="12" customFormat="1" x14ac:dyDescent="0.25"/>
    <row r="123824" s="12" customFormat="1" x14ac:dyDescent="0.25"/>
    <row r="123825" s="12" customFormat="1" x14ac:dyDescent="0.25"/>
    <row r="123826" s="12" customFormat="1" x14ac:dyDescent="0.25"/>
    <row r="123827" s="12" customFormat="1" x14ac:dyDescent="0.25"/>
    <row r="123828" s="12" customFormat="1" x14ac:dyDescent="0.25"/>
    <row r="123829" s="12" customFormat="1" x14ac:dyDescent="0.25"/>
    <row r="123830" s="12" customFormat="1" x14ac:dyDescent="0.25"/>
    <row r="123831" s="12" customFormat="1" x14ac:dyDescent="0.25"/>
    <row r="123832" s="12" customFormat="1" x14ac:dyDescent="0.25"/>
    <row r="123833" s="12" customFormat="1" x14ac:dyDescent="0.25"/>
    <row r="123834" s="12" customFormat="1" x14ac:dyDescent="0.25"/>
    <row r="123835" s="12" customFormat="1" x14ac:dyDescent="0.25"/>
    <row r="123836" s="12" customFormat="1" x14ac:dyDescent="0.25"/>
    <row r="123837" s="12" customFormat="1" x14ac:dyDescent="0.25"/>
    <row r="123838" s="12" customFormat="1" x14ac:dyDescent="0.25"/>
    <row r="123839" s="12" customFormat="1" x14ac:dyDescent="0.25"/>
    <row r="123840" s="12" customFormat="1" x14ac:dyDescent="0.25"/>
    <row r="123841" s="12" customFormat="1" x14ac:dyDescent="0.25"/>
    <row r="123842" s="12" customFormat="1" x14ac:dyDescent="0.25"/>
    <row r="123843" s="12" customFormat="1" x14ac:dyDescent="0.25"/>
    <row r="123844" s="12" customFormat="1" x14ac:dyDescent="0.25"/>
    <row r="123845" s="12" customFormat="1" x14ac:dyDescent="0.25"/>
    <row r="123846" s="12" customFormat="1" x14ac:dyDescent="0.25"/>
    <row r="123847" s="12" customFormat="1" x14ac:dyDescent="0.25"/>
    <row r="123848" s="12" customFormat="1" x14ac:dyDescent="0.25"/>
    <row r="123849" s="12" customFormat="1" x14ac:dyDescent="0.25"/>
    <row r="123850" s="12" customFormat="1" x14ac:dyDescent="0.25"/>
    <row r="123851" s="12" customFormat="1" x14ac:dyDescent="0.25"/>
    <row r="123852" s="12" customFormat="1" x14ac:dyDescent="0.25"/>
    <row r="123853" s="12" customFormat="1" x14ac:dyDescent="0.25"/>
    <row r="123854" s="12" customFormat="1" x14ac:dyDescent="0.25"/>
    <row r="123855" s="12" customFormat="1" x14ac:dyDescent="0.25"/>
    <row r="123856" s="12" customFormat="1" x14ac:dyDescent="0.25"/>
    <row r="123857" s="12" customFormat="1" x14ac:dyDescent="0.25"/>
    <row r="123858" s="12" customFormat="1" x14ac:dyDescent="0.25"/>
    <row r="123859" s="12" customFormat="1" x14ac:dyDescent="0.25"/>
    <row r="123860" s="12" customFormat="1" x14ac:dyDescent="0.25"/>
    <row r="123861" s="12" customFormat="1" x14ac:dyDescent="0.25"/>
    <row r="123862" s="12" customFormat="1" x14ac:dyDescent="0.25"/>
    <row r="123863" s="12" customFormat="1" x14ac:dyDescent="0.25"/>
    <row r="123864" s="12" customFormat="1" x14ac:dyDescent="0.25"/>
    <row r="123865" s="12" customFormat="1" x14ac:dyDescent="0.25"/>
    <row r="123866" s="12" customFormat="1" x14ac:dyDescent="0.25"/>
    <row r="123867" s="12" customFormat="1" x14ac:dyDescent="0.25"/>
    <row r="123868" s="12" customFormat="1" x14ac:dyDescent="0.25"/>
    <row r="123869" s="12" customFormat="1" x14ac:dyDescent="0.25"/>
    <row r="123870" s="12" customFormat="1" x14ac:dyDescent="0.25"/>
    <row r="123871" s="12" customFormat="1" x14ac:dyDescent="0.25"/>
    <row r="123872" s="12" customFormat="1" x14ac:dyDescent="0.25"/>
    <row r="123873" s="12" customFormat="1" x14ac:dyDescent="0.25"/>
    <row r="123874" s="12" customFormat="1" x14ac:dyDescent="0.25"/>
    <row r="123875" s="12" customFormat="1" x14ac:dyDescent="0.25"/>
    <row r="123876" s="12" customFormat="1" x14ac:dyDescent="0.25"/>
    <row r="123877" s="12" customFormat="1" x14ac:dyDescent="0.25"/>
    <row r="123878" s="12" customFormat="1" x14ac:dyDescent="0.25"/>
    <row r="123879" s="12" customFormat="1" x14ac:dyDescent="0.25"/>
    <row r="123880" s="12" customFormat="1" x14ac:dyDescent="0.25"/>
    <row r="123881" s="12" customFormat="1" x14ac:dyDescent="0.25"/>
    <row r="123882" s="12" customFormat="1" x14ac:dyDescent="0.25"/>
    <row r="123883" s="12" customFormat="1" x14ac:dyDescent="0.25"/>
    <row r="123884" s="12" customFormat="1" x14ac:dyDescent="0.25"/>
    <row r="123885" s="12" customFormat="1" x14ac:dyDescent="0.25"/>
    <row r="123886" s="12" customFormat="1" x14ac:dyDescent="0.25"/>
    <row r="123887" s="12" customFormat="1" x14ac:dyDescent="0.25"/>
    <row r="123888" s="12" customFormat="1" x14ac:dyDescent="0.25"/>
    <row r="123889" s="12" customFormat="1" x14ac:dyDescent="0.25"/>
    <row r="123890" s="12" customFormat="1" x14ac:dyDescent="0.25"/>
    <row r="123891" s="12" customFormat="1" x14ac:dyDescent="0.25"/>
    <row r="123892" s="12" customFormat="1" x14ac:dyDescent="0.25"/>
    <row r="123893" s="12" customFormat="1" x14ac:dyDescent="0.25"/>
    <row r="123894" s="12" customFormat="1" x14ac:dyDescent="0.25"/>
    <row r="123895" s="12" customFormat="1" x14ac:dyDescent="0.25"/>
    <row r="123896" s="12" customFormat="1" x14ac:dyDescent="0.25"/>
    <row r="123897" s="12" customFormat="1" x14ac:dyDescent="0.25"/>
    <row r="123898" s="12" customFormat="1" x14ac:dyDescent="0.25"/>
    <row r="123899" s="12" customFormat="1" x14ac:dyDescent="0.25"/>
    <row r="123900" s="12" customFormat="1" x14ac:dyDescent="0.25"/>
    <row r="123901" s="12" customFormat="1" x14ac:dyDescent="0.25"/>
    <row r="123902" s="12" customFormat="1" x14ac:dyDescent="0.25"/>
    <row r="123903" s="12" customFormat="1" x14ac:dyDescent="0.25"/>
    <row r="123904" s="12" customFormat="1" x14ac:dyDescent="0.25"/>
    <row r="123905" s="12" customFormat="1" x14ac:dyDescent="0.25"/>
    <row r="123906" s="12" customFormat="1" x14ac:dyDescent="0.25"/>
    <row r="123907" s="12" customFormat="1" x14ac:dyDescent="0.25"/>
    <row r="123908" s="12" customFormat="1" x14ac:dyDescent="0.25"/>
    <row r="123909" s="12" customFormat="1" x14ac:dyDescent="0.25"/>
    <row r="123910" s="12" customFormat="1" x14ac:dyDescent="0.25"/>
    <row r="123911" s="12" customFormat="1" x14ac:dyDescent="0.25"/>
    <row r="123912" s="12" customFormat="1" x14ac:dyDescent="0.25"/>
    <row r="123913" s="12" customFormat="1" x14ac:dyDescent="0.25"/>
    <row r="123914" s="12" customFormat="1" x14ac:dyDescent="0.25"/>
    <row r="123915" s="12" customFormat="1" x14ac:dyDescent="0.25"/>
    <row r="123916" s="12" customFormat="1" x14ac:dyDescent="0.25"/>
    <row r="123917" s="12" customFormat="1" x14ac:dyDescent="0.25"/>
    <row r="123918" s="12" customFormat="1" x14ac:dyDescent="0.25"/>
    <row r="123919" s="12" customFormat="1" x14ac:dyDescent="0.25"/>
    <row r="123920" s="12" customFormat="1" x14ac:dyDescent="0.25"/>
    <row r="123921" s="12" customFormat="1" x14ac:dyDescent="0.25"/>
    <row r="123922" s="12" customFormat="1" x14ac:dyDescent="0.25"/>
    <row r="123923" s="12" customFormat="1" x14ac:dyDescent="0.25"/>
    <row r="123924" s="12" customFormat="1" x14ac:dyDescent="0.25"/>
    <row r="123925" s="12" customFormat="1" x14ac:dyDescent="0.25"/>
    <row r="123926" s="12" customFormat="1" x14ac:dyDescent="0.25"/>
    <row r="123927" s="12" customFormat="1" x14ac:dyDescent="0.25"/>
    <row r="123928" s="12" customFormat="1" x14ac:dyDescent="0.25"/>
    <row r="123929" s="12" customFormat="1" x14ac:dyDescent="0.25"/>
    <row r="123930" s="12" customFormat="1" x14ac:dyDescent="0.25"/>
    <row r="123931" s="12" customFormat="1" x14ac:dyDescent="0.25"/>
    <row r="123932" s="12" customFormat="1" x14ac:dyDescent="0.25"/>
    <row r="123933" s="12" customFormat="1" x14ac:dyDescent="0.25"/>
    <row r="123934" s="12" customFormat="1" x14ac:dyDescent="0.25"/>
    <row r="123935" s="12" customFormat="1" x14ac:dyDescent="0.25"/>
    <row r="123936" s="12" customFormat="1" x14ac:dyDescent="0.25"/>
    <row r="123937" s="12" customFormat="1" x14ac:dyDescent="0.25"/>
    <row r="123938" s="12" customFormat="1" x14ac:dyDescent="0.25"/>
    <row r="123939" s="12" customFormat="1" x14ac:dyDescent="0.25"/>
    <row r="123940" s="12" customFormat="1" x14ac:dyDescent="0.25"/>
    <row r="123941" s="12" customFormat="1" x14ac:dyDescent="0.25"/>
    <row r="123942" s="12" customFormat="1" x14ac:dyDescent="0.25"/>
    <row r="123943" s="12" customFormat="1" x14ac:dyDescent="0.25"/>
    <row r="123944" s="12" customFormat="1" x14ac:dyDescent="0.25"/>
    <row r="123945" s="12" customFormat="1" x14ac:dyDescent="0.25"/>
    <row r="123946" s="12" customFormat="1" x14ac:dyDescent="0.25"/>
    <row r="123947" s="12" customFormat="1" x14ac:dyDescent="0.25"/>
    <row r="123948" s="12" customFormat="1" x14ac:dyDescent="0.25"/>
    <row r="123949" s="12" customFormat="1" x14ac:dyDescent="0.25"/>
    <row r="123950" s="12" customFormat="1" x14ac:dyDescent="0.25"/>
    <row r="123951" s="12" customFormat="1" x14ac:dyDescent="0.25"/>
    <row r="123952" s="12" customFormat="1" x14ac:dyDescent="0.25"/>
    <row r="123953" s="12" customFormat="1" x14ac:dyDescent="0.25"/>
    <row r="123954" s="12" customFormat="1" x14ac:dyDescent="0.25"/>
    <row r="123955" s="12" customFormat="1" x14ac:dyDescent="0.25"/>
    <row r="123956" s="12" customFormat="1" x14ac:dyDescent="0.25"/>
    <row r="123957" s="12" customFormat="1" x14ac:dyDescent="0.25"/>
    <row r="123958" s="12" customFormat="1" x14ac:dyDescent="0.25"/>
    <row r="123959" s="12" customFormat="1" x14ac:dyDescent="0.25"/>
    <row r="123960" s="12" customFormat="1" x14ac:dyDescent="0.25"/>
    <row r="123961" s="12" customFormat="1" x14ac:dyDescent="0.25"/>
    <row r="123962" s="12" customFormat="1" x14ac:dyDescent="0.25"/>
    <row r="123963" s="12" customFormat="1" x14ac:dyDescent="0.25"/>
    <row r="123964" s="12" customFormat="1" x14ac:dyDescent="0.25"/>
    <row r="123965" s="12" customFormat="1" x14ac:dyDescent="0.25"/>
    <row r="123966" s="12" customFormat="1" x14ac:dyDescent="0.25"/>
    <row r="123967" s="12" customFormat="1" x14ac:dyDescent="0.25"/>
    <row r="123968" s="12" customFormat="1" x14ac:dyDescent="0.25"/>
    <row r="123969" s="12" customFormat="1" x14ac:dyDescent="0.25"/>
    <row r="123970" s="12" customFormat="1" x14ac:dyDescent="0.25"/>
    <row r="123971" s="12" customFormat="1" x14ac:dyDescent="0.25"/>
    <row r="123972" s="12" customFormat="1" x14ac:dyDescent="0.25"/>
    <row r="123973" s="12" customFormat="1" x14ac:dyDescent="0.25"/>
    <row r="123974" s="12" customFormat="1" x14ac:dyDescent="0.25"/>
    <row r="123975" s="12" customFormat="1" x14ac:dyDescent="0.25"/>
    <row r="123976" s="12" customFormat="1" x14ac:dyDescent="0.25"/>
    <row r="123977" s="12" customFormat="1" x14ac:dyDescent="0.25"/>
    <row r="123978" s="12" customFormat="1" x14ac:dyDescent="0.25"/>
    <row r="123979" s="12" customFormat="1" x14ac:dyDescent="0.25"/>
    <row r="123980" s="12" customFormat="1" x14ac:dyDescent="0.25"/>
    <row r="123981" s="12" customFormat="1" x14ac:dyDescent="0.25"/>
    <row r="123982" s="12" customFormat="1" x14ac:dyDescent="0.25"/>
    <row r="123983" s="12" customFormat="1" x14ac:dyDescent="0.25"/>
    <row r="123984" s="12" customFormat="1" x14ac:dyDescent="0.25"/>
    <row r="123985" s="12" customFormat="1" x14ac:dyDescent="0.25"/>
    <row r="123986" s="12" customFormat="1" x14ac:dyDescent="0.25"/>
    <row r="123987" s="12" customFormat="1" x14ac:dyDescent="0.25"/>
    <row r="123988" s="12" customFormat="1" x14ac:dyDescent="0.25"/>
    <row r="123989" s="12" customFormat="1" x14ac:dyDescent="0.25"/>
    <row r="123990" s="12" customFormat="1" x14ac:dyDescent="0.25"/>
    <row r="123991" s="12" customFormat="1" x14ac:dyDescent="0.25"/>
    <row r="123992" s="12" customFormat="1" x14ac:dyDescent="0.25"/>
    <row r="123993" s="12" customFormat="1" x14ac:dyDescent="0.25"/>
    <row r="123994" s="12" customFormat="1" x14ac:dyDescent="0.25"/>
    <row r="123995" s="12" customFormat="1" x14ac:dyDescent="0.25"/>
    <row r="123996" s="12" customFormat="1" x14ac:dyDescent="0.25"/>
    <row r="123997" s="12" customFormat="1" x14ac:dyDescent="0.25"/>
    <row r="123998" s="12" customFormat="1" x14ac:dyDescent="0.25"/>
    <row r="123999" s="12" customFormat="1" x14ac:dyDescent="0.25"/>
    <row r="124000" s="12" customFormat="1" x14ac:dyDescent="0.25"/>
    <row r="124001" s="12" customFormat="1" x14ac:dyDescent="0.25"/>
    <row r="124002" s="12" customFormat="1" x14ac:dyDescent="0.25"/>
    <row r="124003" s="12" customFormat="1" x14ac:dyDescent="0.25"/>
    <row r="124004" s="12" customFormat="1" x14ac:dyDescent="0.25"/>
    <row r="124005" s="12" customFormat="1" x14ac:dyDescent="0.25"/>
    <row r="124006" s="12" customFormat="1" x14ac:dyDescent="0.25"/>
    <row r="124007" s="12" customFormat="1" x14ac:dyDescent="0.25"/>
    <row r="124008" s="12" customFormat="1" x14ac:dyDescent="0.25"/>
    <row r="124009" s="12" customFormat="1" x14ac:dyDescent="0.25"/>
    <row r="124010" s="12" customFormat="1" x14ac:dyDescent="0.25"/>
    <row r="124011" s="12" customFormat="1" x14ac:dyDescent="0.25"/>
    <row r="124012" s="12" customFormat="1" x14ac:dyDescent="0.25"/>
    <row r="124013" s="12" customFormat="1" x14ac:dyDescent="0.25"/>
    <row r="124014" s="12" customFormat="1" x14ac:dyDescent="0.25"/>
    <row r="124015" s="12" customFormat="1" x14ac:dyDescent="0.25"/>
    <row r="124016" s="12" customFormat="1" x14ac:dyDescent="0.25"/>
    <row r="124017" s="12" customFormat="1" x14ac:dyDescent="0.25"/>
    <row r="124018" s="12" customFormat="1" x14ac:dyDescent="0.25"/>
    <row r="124019" s="12" customFormat="1" x14ac:dyDescent="0.25"/>
    <row r="124020" s="12" customFormat="1" x14ac:dyDescent="0.25"/>
    <row r="124021" s="12" customFormat="1" x14ac:dyDescent="0.25"/>
    <row r="124022" s="12" customFormat="1" x14ac:dyDescent="0.25"/>
    <row r="124023" s="12" customFormat="1" x14ac:dyDescent="0.25"/>
    <row r="124024" s="12" customFormat="1" x14ac:dyDescent="0.25"/>
    <row r="124025" s="12" customFormat="1" x14ac:dyDescent="0.25"/>
    <row r="124026" s="12" customFormat="1" x14ac:dyDescent="0.25"/>
    <row r="124027" s="12" customFormat="1" x14ac:dyDescent="0.25"/>
    <row r="124028" s="12" customFormat="1" x14ac:dyDescent="0.25"/>
    <row r="124029" s="12" customFormat="1" x14ac:dyDescent="0.25"/>
    <row r="124030" s="12" customFormat="1" x14ac:dyDescent="0.25"/>
    <row r="124031" s="12" customFormat="1" x14ac:dyDescent="0.25"/>
    <row r="124032" s="12" customFormat="1" x14ac:dyDescent="0.25"/>
    <row r="124033" s="12" customFormat="1" x14ac:dyDescent="0.25"/>
    <row r="124034" s="12" customFormat="1" x14ac:dyDescent="0.25"/>
    <row r="124035" s="12" customFormat="1" x14ac:dyDescent="0.25"/>
    <row r="124036" s="12" customFormat="1" x14ac:dyDescent="0.25"/>
    <row r="124037" s="12" customFormat="1" x14ac:dyDescent="0.25"/>
    <row r="124038" s="12" customFormat="1" x14ac:dyDescent="0.25"/>
    <row r="124039" s="12" customFormat="1" x14ac:dyDescent="0.25"/>
    <row r="124040" s="12" customFormat="1" x14ac:dyDescent="0.25"/>
    <row r="124041" s="12" customFormat="1" x14ac:dyDescent="0.25"/>
    <row r="124042" s="12" customFormat="1" x14ac:dyDescent="0.25"/>
    <row r="124043" s="12" customFormat="1" x14ac:dyDescent="0.25"/>
    <row r="124044" s="12" customFormat="1" x14ac:dyDescent="0.25"/>
    <row r="124045" s="12" customFormat="1" x14ac:dyDescent="0.25"/>
    <row r="124046" s="12" customFormat="1" x14ac:dyDescent="0.25"/>
    <row r="124047" s="12" customFormat="1" x14ac:dyDescent="0.25"/>
    <row r="124048" s="12" customFormat="1" x14ac:dyDescent="0.25"/>
    <row r="124049" s="12" customFormat="1" x14ac:dyDescent="0.25"/>
    <row r="124050" s="12" customFormat="1" x14ac:dyDescent="0.25"/>
    <row r="124051" s="12" customFormat="1" x14ac:dyDescent="0.25"/>
    <row r="124052" s="12" customFormat="1" x14ac:dyDescent="0.25"/>
    <row r="124053" s="12" customFormat="1" x14ac:dyDescent="0.25"/>
    <row r="124054" s="12" customFormat="1" x14ac:dyDescent="0.25"/>
    <row r="124055" s="12" customFormat="1" x14ac:dyDescent="0.25"/>
    <row r="124056" s="12" customFormat="1" x14ac:dyDescent="0.25"/>
    <row r="124057" s="12" customFormat="1" x14ac:dyDescent="0.25"/>
    <row r="124058" s="12" customFormat="1" x14ac:dyDescent="0.25"/>
    <row r="124059" s="12" customFormat="1" x14ac:dyDescent="0.25"/>
    <row r="124060" s="12" customFormat="1" x14ac:dyDescent="0.25"/>
    <row r="124061" s="12" customFormat="1" x14ac:dyDescent="0.25"/>
    <row r="124062" s="12" customFormat="1" x14ac:dyDescent="0.25"/>
    <row r="124063" s="12" customFormat="1" x14ac:dyDescent="0.25"/>
    <row r="124064" s="12" customFormat="1" x14ac:dyDescent="0.25"/>
    <row r="124065" s="12" customFormat="1" x14ac:dyDescent="0.25"/>
    <row r="124066" s="12" customFormat="1" x14ac:dyDescent="0.25"/>
    <row r="124067" s="12" customFormat="1" x14ac:dyDescent="0.25"/>
    <row r="124068" s="12" customFormat="1" x14ac:dyDescent="0.25"/>
    <row r="124069" s="12" customFormat="1" x14ac:dyDescent="0.25"/>
    <row r="124070" s="12" customFormat="1" x14ac:dyDescent="0.25"/>
    <row r="124071" s="12" customFormat="1" x14ac:dyDescent="0.25"/>
    <row r="124072" s="12" customFormat="1" x14ac:dyDescent="0.25"/>
    <row r="124073" s="12" customFormat="1" x14ac:dyDescent="0.25"/>
    <row r="124074" s="12" customFormat="1" x14ac:dyDescent="0.25"/>
    <row r="124075" s="12" customFormat="1" x14ac:dyDescent="0.25"/>
    <row r="124076" s="12" customFormat="1" x14ac:dyDescent="0.25"/>
    <row r="124077" s="12" customFormat="1" x14ac:dyDescent="0.25"/>
    <row r="124078" s="12" customFormat="1" x14ac:dyDescent="0.25"/>
    <row r="124079" s="12" customFormat="1" x14ac:dyDescent="0.25"/>
    <row r="124080" s="12" customFormat="1" x14ac:dyDescent="0.25"/>
    <row r="124081" s="12" customFormat="1" x14ac:dyDescent="0.25"/>
    <row r="124082" s="12" customFormat="1" x14ac:dyDescent="0.25"/>
    <row r="124083" s="12" customFormat="1" x14ac:dyDescent="0.25"/>
    <row r="124084" s="12" customFormat="1" x14ac:dyDescent="0.25"/>
    <row r="124085" s="12" customFormat="1" x14ac:dyDescent="0.25"/>
    <row r="124086" s="12" customFormat="1" x14ac:dyDescent="0.25"/>
    <row r="124087" s="12" customFormat="1" x14ac:dyDescent="0.25"/>
    <row r="124088" s="12" customFormat="1" x14ac:dyDescent="0.25"/>
    <row r="124089" s="12" customFormat="1" x14ac:dyDescent="0.25"/>
    <row r="124090" s="12" customFormat="1" x14ac:dyDescent="0.25"/>
    <row r="124091" s="12" customFormat="1" x14ac:dyDescent="0.25"/>
    <row r="124092" s="12" customFormat="1" x14ac:dyDescent="0.25"/>
    <row r="124093" s="12" customFormat="1" x14ac:dyDescent="0.25"/>
    <row r="124094" s="12" customFormat="1" x14ac:dyDescent="0.25"/>
    <row r="124095" s="12" customFormat="1" x14ac:dyDescent="0.25"/>
    <row r="124096" s="12" customFormat="1" x14ac:dyDescent="0.25"/>
    <row r="124097" s="12" customFormat="1" x14ac:dyDescent="0.25"/>
    <row r="124098" s="12" customFormat="1" x14ac:dyDescent="0.25"/>
    <row r="124099" s="12" customFormat="1" x14ac:dyDescent="0.25"/>
    <row r="124100" s="12" customFormat="1" x14ac:dyDescent="0.25"/>
    <row r="124101" s="12" customFormat="1" x14ac:dyDescent="0.25"/>
    <row r="124102" s="12" customFormat="1" x14ac:dyDescent="0.25"/>
    <row r="124103" s="12" customFormat="1" x14ac:dyDescent="0.25"/>
    <row r="124104" s="12" customFormat="1" x14ac:dyDescent="0.25"/>
    <row r="124105" s="12" customFormat="1" x14ac:dyDescent="0.25"/>
    <row r="124106" s="12" customFormat="1" x14ac:dyDescent="0.25"/>
    <row r="124107" s="12" customFormat="1" x14ac:dyDescent="0.25"/>
    <row r="124108" s="12" customFormat="1" x14ac:dyDescent="0.25"/>
    <row r="124109" s="12" customFormat="1" x14ac:dyDescent="0.25"/>
    <row r="124110" s="12" customFormat="1" x14ac:dyDescent="0.25"/>
    <row r="124111" s="12" customFormat="1" x14ac:dyDescent="0.25"/>
    <row r="124112" s="12" customFormat="1" x14ac:dyDescent="0.25"/>
    <row r="124113" s="12" customFormat="1" x14ac:dyDescent="0.25"/>
    <row r="124114" s="12" customFormat="1" x14ac:dyDescent="0.25"/>
    <row r="124115" s="12" customFormat="1" x14ac:dyDescent="0.25"/>
    <row r="124116" s="12" customFormat="1" x14ac:dyDescent="0.25"/>
    <row r="124117" s="12" customFormat="1" x14ac:dyDescent="0.25"/>
    <row r="124118" s="12" customFormat="1" x14ac:dyDescent="0.25"/>
    <row r="124119" s="12" customFormat="1" x14ac:dyDescent="0.25"/>
    <row r="124120" s="12" customFormat="1" x14ac:dyDescent="0.25"/>
    <row r="124121" s="12" customFormat="1" x14ac:dyDescent="0.25"/>
    <row r="124122" s="12" customFormat="1" x14ac:dyDescent="0.25"/>
    <row r="124123" s="12" customFormat="1" x14ac:dyDescent="0.25"/>
    <row r="124124" s="12" customFormat="1" x14ac:dyDescent="0.25"/>
    <row r="124125" s="12" customFormat="1" x14ac:dyDescent="0.25"/>
    <row r="124126" s="12" customFormat="1" x14ac:dyDescent="0.25"/>
    <row r="124127" s="12" customFormat="1" x14ac:dyDescent="0.25"/>
    <row r="124128" s="12" customFormat="1" x14ac:dyDescent="0.25"/>
    <row r="124129" s="12" customFormat="1" x14ac:dyDescent="0.25"/>
    <row r="124130" s="12" customFormat="1" x14ac:dyDescent="0.25"/>
    <row r="124131" s="12" customFormat="1" x14ac:dyDescent="0.25"/>
    <row r="124132" s="12" customFormat="1" x14ac:dyDescent="0.25"/>
    <row r="124133" s="12" customFormat="1" x14ac:dyDescent="0.25"/>
    <row r="124134" s="12" customFormat="1" x14ac:dyDescent="0.25"/>
    <row r="124135" s="12" customFormat="1" x14ac:dyDescent="0.25"/>
    <row r="124136" s="12" customFormat="1" x14ac:dyDescent="0.25"/>
    <row r="124137" s="12" customFormat="1" x14ac:dyDescent="0.25"/>
    <row r="124138" s="12" customFormat="1" x14ac:dyDescent="0.25"/>
    <row r="124139" s="12" customFormat="1" x14ac:dyDescent="0.25"/>
    <row r="124140" s="12" customFormat="1" x14ac:dyDescent="0.25"/>
    <row r="124141" s="12" customFormat="1" x14ac:dyDescent="0.25"/>
    <row r="124142" s="12" customFormat="1" x14ac:dyDescent="0.25"/>
    <row r="124143" s="12" customFormat="1" x14ac:dyDescent="0.25"/>
    <row r="124144" s="12" customFormat="1" x14ac:dyDescent="0.25"/>
    <row r="124145" s="12" customFormat="1" x14ac:dyDescent="0.25"/>
    <row r="124146" s="12" customFormat="1" x14ac:dyDescent="0.25"/>
    <row r="124147" s="12" customFormat="1" x14ac:dyDescent="0.25"/>
    <row r="124148" s="12" customFormat="1" x14ac:dyDescent="0.25"/>
    <row r="124149" s="12" customFormat="1" x14ac:dyDescent="0.25"/>
    <row r="124150" s="12" customFormat="1" x14ac:dyDescent="0.25"/>
    <row r="124151" s="12" customFormat="1" x14ac:dyDescent="0.25"/>
    <row r="124152" s="12" customFormat="1" x14ac:dyDescent="0.25"/>
    <row r="124153" s="12" customFormat="1" x14ac:dyDescent="0.25"/>
    <row r="124154" s="12" customFormat="1" x14ac:dyDescent="0.25"/>
    <row r="124155" s="12" customFormat="1" x14ac:dyDescent="0.25"/>
    <row r="124156" s="12" customFormat="1" x14ac:dyDescent="0.25"/>
    <row r="124157" s="12" customFormat="1" x14ac:dyDescent="0.25"/>
    <row r="124158" s="12" customFormat="1" x14ac:dyDescent="0.25"/>
    <row r="124159" s="12" customFormat="1" x14ac:dyDescent="0.25"/>
    <row r="124160" s="12" customFormat="1" x14ac:dyDescent="0.25"/>
    <row r="124161" s="12" customFormat="1" x14ac:dyDescent="0.25"/>
    <row r="124162" s="12" customFormat="1" x14ac:dyDescent="0.25"/>
    <row r="124163" s="12" customFormat="1" x14ac:dyDescent="0.25"/>
    <row r="124164" s="12" customFormat="1" x14ac:dyDescent="0.25"/>
    <row r="124165" s="12" customFormat="1" x14ac:dyDescent="0.25"/>
    <row r="124166" s="12" customFormat="1" x14ac:dyDescent="0.25"/>
    <row r="124167" s="12" customFormat="1" x14ac:dyDescent="0.25"/>
    <row r="124168" s="12" customFormat="1" x14ac:dyDescent="0.25"/>
    <row r="124169" s="12" customFormat="1" x14ac:dyDescent="0.25"/>
    <row r="124170" s="12" customFormat="1" x14ac:dyDescent="0.25"/>
    <row r="124171" s="12" customFormat="1" x14ac:dyDescent="0.25"/>
    <row r="124172" s="12" customFormat="1" x14ac:dyDescent="0.25"/>
    <row r="124173" s="12" customFormat="1" x14ac:dyDescent="0.25"/>
    <row r="124174" s="12" customFormat="1" x14ac:dyDescent="0.25"/>
    <row r="124175" s="12" customFormat="1" x14ac:dyDescent="0.25"/>
    <row r="124176" s="12" customFormat="1" x14ac:dyDescent="0.25"/>
    <row r="124177" s="12" customFormat="1" x14ac:dyDescent="0.25"/>
    <row r="124178" s="12" customFormat="1" x14ac:dyDescent="0.25"/>
    <row r="124179" s="12" customFormat="1" x14ac:dyDescent="0.25"/>
    <row r="124180" s="12" customFormat="1" x14ac:dyDescent="0.25"/>
    <row r="124181" s="12" customFormat="1" x14ac:dyDescent="0.25"/>
    <row r="124182" s="12" customFormat="1" x14ac:dyDescent="0.25"/>
    <row r="124183" s="12" customFormat="1" x14ac:dyDescent="0.25"/>
    <row r="124184" s="12" customFormat="1" x14ac:dyDescent="0.25"/>
    <row r="124185" s="12" customFormat="1" x14ac:dyDescent="0.25"/>
    <row r="124186" s="12" customFormat="1" x14ac:dyDescent="0.25"/>
    <row r="124187" s="12" customFormat="1" x14ac:dyDescent="0.25"/>
    <row r="124188" s="12" customFormat="1" x14ac:dyDescent="0.25"/>
    <row r="124189" s="12" customFormat="1" x14ac:dyDescent="0.25"/>
    <row r="124190" s="12" customFormat="1" x14ac:dyDescent="0.25"/>
    <row r="124191" s="12" customFormat="1" x14ac:dyDescent="0.25"/>
    <row r="124192" s="12" customFormat="1" x14ac:dyDescent="0.25"/>
    <row r="124193" s="12" customFormat="1" x14ac:dyDescent="0.25"/>
    <row r="124194" s="12" customFormat="1" x14ac:dyDescent="0.25"/>
    <row r="124195" s="12" customFormat="1" x14ac:dyDescent="0.25"/>
    <row r="124196" s="12" customFormat="1" x14ac:dyDescent="0.25"/>
    <row r="124197" s="12" customFormat="1" x14ac:dyDescent="0.25"/>
    <row r="124198" s="12" customFormat="1" x14ac:dyDescent="0.25"/>
    <row r="124199" s="12" customFormat="1" x14ac:dyDescent="0.25"/>
    <row r="124200" s="12" customFormat="1" x14ac:dyDescent="0.25"/>
    <row r="124201" s="12" customFormat="1" x14ac:dyDescent="0.25"/>
    <row r="124202" s="12" customFormat="1" x14ac:dyDescent="0.25"/>
    <row r="124203" s="12" customFormat="1" x14ac:dyDescent="0.25"/>
    <row r="124204" s="12" customFormat="1" x14ac:dyDescent="0.25"/>
    <row r="124205" s="12" customFormat="1" x14ac:dyDescent="0.25"/>
    <row r="124206" s="12" customFormat="1" x14ac:dyDescent="0.25"/>
    <row r="124207" s="12" customFormat="1" x14ac:dyDescent="0.25"/>
    <row r="124208" s="12" customFormat="1" x14ac:dyDescent="0.25"/>
    <row r="124209" s="12" customFormat="1" x14ac:dyDescent="0.25"/>
    <row r="124210" s="12" customFormat="1" x14ac:dyDescent="0.25"/>
    <row r="124211" s="12" customFormat="1" x14ac:dyDescent="0.25"/>
    <row r="124212" s="12" customFormat="1" x14ac:dyDescent="0.25"/>
    <row r="124213" s="12" customFormat="1" x14ac:dyDescent="0.25"/>
    <row r="124214" s="12" customFormat="1" x14ac:dyDescent="0.25"/>
    <row r="124215" s="12" customFormat="1" x14ac:dyDescent="0.25"/>
    <row r="124216" s="12" customFormat="1" x14ac:dyDescent="0.25"/>
    <row r="124217" s="12" customFormat="1" x14ac:dyDescent="0.25"/>
    <row r="124218" s="12" customFormat="1" x14ac:dyDescent="0.25"/>
    <row r="124219" s="12" customFormat="1" x14ac:dyDescent="0.25"/>
    <row r="124220" s="12" customFormat="1" x14ac:dyDescent="0.25"/>
    <row r="124221" s="12" customFormat="1" x14ac:dyDescent="0.25"/>
    <row r="124222" s="12" customFormat="1" x14ac:dyDescent="0.25"/>
    <row r="124223" s="12" customFormat="1" x14ac:dyDescent="0.25"/>
    <row r="124224" s="12" customFormat="1" x14ac:dyDescent="0.25"/>
    <row r="124225" s="12" customFormat="1" x14ac:dyDescent="0.25"/>
    <row r="124226" s="12" customFormat="1" x14ac:dyDescent="0.25"/>
    <row r="124227" s="12" customFormat="1" x14ac:dyDescent="0.25"/>
    <row r="124228" s="12" customFormat="1" x14ac:dyDescent="0.25"/>
    <row r="124229" s="12" customFormat="1" x14ac:dyDescent="0.25"/>
    <row r="124230" s="12" customFormat="1" x14ac:dyDescent="0.25"/>
    <row r="124231" s="12" customFormat="1" x14ac:dyDescent="0.25"/>
    <row r="124232" s="12" customFormat="1" x14ac:dyDescent="0.25"/>
    <row r="124233" s="12" customFormat="1" x14ac:dyDescent="0.25"/>
    <row r="124234" s="12" customFormat="1" x14ac:dyDescent="0.25"/>
    <row r="124235" s="12" customFormat="1" x14ac:dyDescent="0.25"/>
    <row r="124236" s="12" customFormat="1" x14ac:dyDescent="0.25"/>
    <row r="124237" s="12" customFormat="1" x14ac:dyDescent="0.25"/>
    <row r="124238" s="12" customFormat="1" x14ac:dyDescent="0.25"/>
    <row r="124239" s="12" customFormat="1" x14ac:dyDescent="0.25"/>
    <row r="124240" s="12" customFormat="1" x14ac:dyDescent="0.25"/>
    <row r="124241" s="12" customFormat="1" x14ac:dyDescent="0.25"/>
    <row r="124242" s="12" customFormat="1" x14ac:dyDescent="0.25"/>
    <row r="124243" s="12" customFormat="1" x14ac:dyDescent="0.25"/>
    <row r="124244" s="12" customFormat="1" x14ac:dyDescent="0.25"/>
    <row r="124245" s="12" customFormat="1" x14ac:dyDescent="0.25"/>
    <row r="124246" s="12" customFormat="1" x14ac:dyDescent="0.25"/>
    <row r="124247" s="12" customFormat="1" x14ac:dyDescent="0.25"/>
    <row r="124248" s="12" customFormat="1" x14ac:dyDescent="0.25"/>
    <row r="124249" s="12" customFormat="1" x14ac:dyDescent="0.25"/>
    <row r="124250" s="12" customFormat="1" x14ac:dyDescent="0.25"/>
    <row r="124251" s="12" customFormat="1" x14ac:dyDescent="0.25"/>
    <row r="124252" s="12" customFormat="1" x14ac:dyDescent="0.25"/>
    <row r="124253" s="12" customFormat="1" x14ac:dyDescent="0.25"/>
    <row r="124254" s="12" customFormat="1" x14ac:dyDescent="0.25"/>
    <row r="124255" s="12" customFormat="1" x14ac:dyDescent="0.25"/>
    <row r="124256" s="12" customFormat="1" x14ac:dyDescent="0.25"/>
    <row r="124257" s="12" customFormat="1" x14ac:dyDescent="0.25"/>
    <row r="124258" s="12" customFormat="1" x14ac:dyDescent="0.25"/>
    <row r="124259" s="12" customFormat="1" x14ac:dyDescent="0.25"/>
    <row r="124260" s="12" customFormat="1" x14ac:dyDescent="0.25"/>
    <row r="124261" s="12" customFormat="1" x14ac:dyDescent="0.25"/>
    <row r="124262" s="12" customFormat="1" x14ac:dyDescent="0.25"/>
    <row r="124263" s="12" customFormat="1" x14ac:dyDescent="0.25"/>
    <row r="124264" s="12" customFormat="1" x14ac:dyDescent="0.25"/>
    <row r="124265" s="12" customFormat="1" x14ac:dyDescent="0.25"/>
    <row r="124266" s="12" customFormat="1" x14ac:dyDescent="0.25"/>
    <row r="124267" s="12" customFormat="1" x14ac:dyDescent="0.25"/>
    <row r="124268" s="12" customFormat="1" x14ac:dyDescent="0.25"/>
    <row r="124269" s="12" customFormat="1" x14ac:dyDescent="0.25"/>
    <row r="124270" s="12" customFormat="1" x14ac:dyDescent="0.25"/>
    <row r="124271" s="12" customFormat="1" x14ac:dyDescent="0.25"/>
    <row r="124272" s="12" customFormat="1" x14ac:dyDescent="0.25"/>
    <row r="124273" s="12" customFormat="1" x14ac:dyDescent="0.25"/>
    <row r="124274" s="12" customFormat="1" x14ac:dyDescent="0.25"/>
    <row r="124275" s="12" customFormat="1" x14ac:dyDescent="0.25"/>
    <row r="124276" s="12" customFormat="1" x14ac:dyDescent="0.25"/>
    <row r="124277" s="12" customFormat="1" x14ac:dyDescent="0.25"/>
    <row r="124278" s="12" customFormat="1" x14ac:dyDescent="0.25"/>
    <row r="124279" s="12" customFormat="1" x14ac:dyDescent="0.25"/>
    <row r="124280" s="12" customFormat="1" x14ac:dyDescent="0.25"/>
    <row r="124281" s="12" customFormat="1" x14ac:dyDescent="0.25"/>
    <row r="124282" s="12" customFormat="1" x14ac:dyDescent="0.25"/>
    <row r="124283" s="12" customFormat="1" x14ac:dyDescent="0.25"/>
    <row r="124284" s="12" customFormat="1" x14ac:dyDescent="0.25"/>
    <row r="124285" s="12" customFormat="1" x14ac:dyDescent="0.25"/>
    <row r="124286" s="12" customFormat="1" x14ac:dyDescent="0.25"/>
    <row r="124287" s="12" customFormat="1" x14ac:dyDescent="0.25"/>
    <row r="124288" s="12" customFormat="1" x14ac:dyDescent="0.25"/>
    <row r="124289" s="12" customFormat="1" x14ac:dyDescent="0.25"/>
    <row r="124290" s="12" customFormat="1" x14ac:dyDescent="0.25"/>
    <row r="124291" s="12" customFormat="1" x14ac:dyDescent="0.25"/>
    <row r="124292" s="12" customFormat="1" x14ac:dyDescent="0.25"/>
    <row r="124293" s="12" customFormat="1" x14ac:dyDescent="0.25"/>
    <row r="124294" s="12" customFormat="1" x14ac:dyDescent="0.25"/>
    <row r="124295" s="12" customFormat="1" x14ac:dyDescent="0.25"/>
    <row r="124296" s="12" customFormat="1" x14ac:dyDescent="0.25"/>
    <row r="124297" s="12" customFormat="1" x14ac:dyDescent="0.25"/>
    <row r="124298" s="12" customFormat="1" x14ac:dyDescent="0.25"/>
    <row r="124299" s="12" customFormat="1" x14ac:dyDescent="0.25"/>
    <row r="124300" s="12" customFormat="1" x14ac:dyDescent="0.25"/>
    <row r="124301" s="12" customFormat="1" x14ac:dyDescent="0.25"/>
    <row r="124302" s="12" customFormat="1" x14ac:dyDescent="0.25"/>
    <row r="124303" s="12" customFormat="1" x14ac:dyDescent="0.25"/>
    <row r="124304" s="12" customFormat="1" x14ac:dyDescent="0.25"/>
    <row r="124305" s="12" customFormat="1" x14ac:dyDescent="0.25"/>
    <row r="124306" s="12" customFormat="1" x14ac:dyDescent="0.25"/>
    <row r="124307" s="12" customFormat="1" x14ac:dyDescent="0.25"/>
    <row r="124308" s="12" customFormat="1" x14ac:dyDescent="0.25"/>
    <row r="124309" s="12" customFormat="1" x14ac:dyDescent="0.25"/>
    <row r="124310" s="12" customFormat="1" x14ac:dyDescent="0.25"/>
    <row r="124311" s="12" customFormat="1" x14ac:dyDescent="0.25"/>
    <row r="124312" s="12" customFormat="1" x14ac:dyDescent="0.25"/>
    <row r="124313" s="12" customFormat="1" x14ac:dyDescent="0.25"/>
    <row r="124314" s="12" customFormat="1" x14ac:dyDescent="0.25"/>
    <row r="124315" s="12" customFormat="1" x14ac:dyDescent="0.25"/>
    <row r="124316" s="12" customFormat="1" x14ac:dyDescent="0.25"/>
    <row r="124317" s="12" customFormat="1" x14ac:dyDescent="0.25"/>
    <row r="124318" s="12" customFormat="1" x14ac:dyDescent="0.25"/>
    <row r="124319" s="12" customFormat="1" x14ac:dyDescent="0.25"/>
    <row r="124320" s="12" customFormat="1" x14ac:dyDescent="0.25"/>
    <row r="124321" s="12" customFormat="1" x14ac:dyDescent="0.25"/>
    <row r="124322" s="12" customFormat="1" x14ac:dyDescent="0.25"/>
    <row r="124323" s="12" customFormat="1" x14ac:dyDescent="0.25"/>
    <row r="124324" s="12" customFormat="1" x14ac:dyDescent="0.25"/>
    <row r="124325" s="12" customFormat="1" x14ac:dyDescent="0.25"/>
    <row r="124326" s="12" customFormat="1" x14ac:dyDescent="0.25"/>
    <row r="124327" s="12" customFormat="1" x14ac:dyDescent="0.25"/>
    <row r="124328" s="12" customFormat="1" x14ac:dyDescent="0.25"/>
    <row r="124329" s="12" customFormat="1" x14ac:dyDescent="0.25"/>
    <row r="124330" s="12" customFormat="1" x14ac:dyDescent="0.25"/>
    <row r="124331" s="12" customFormat="1" x14ac:dyDescent="0.25"/>
    <row r="124332" s="12" customFormat="1" x14ac:dyDescent="0.25"/>
    <row r="124333" s="12" customFormat="1" x14ac:dyDescent="0.25"/>
    <row r="124334" s="12" customFormat="1" x14ac:dyDescent="0.25"/>
    <row r="124335" s="12" customFormat="1" x14ac:dyDescent="0.25"/>
    <row r="124336" s="12" customFormat="1" x14ac:dyDescent="0.25"/>
    <row r="124337" s="12" customFormat="1" x14ac:dyDescent="0.25"/>
    <row r="124338" s="12" customFormat="1" x14ac:dyDescent="0.25"/>
    <row r="124339" s="12" customFormat="1" x14ac:dyDescent="0.25"/>
    <row r="124340" s="12" customFormat="1" x14ac:dyDescent="0.25"/>
    <row r="124341" s="12" customFormat="1" x14ac:dyDescent="0.25"/>
    <row r="124342" s="12" customFormat="1" x14ac:dyDescent="0.25"/>
    <row r="124343" s="12" customFormat="1" x14ac:dyDescent="0.25"/>
    <row r="124344" s="12" customFormat="1" x14ac:dyDescent="0.25"/>
    <row r="124345" s="12" customFormat="1" x14ac:dyDescent="0.25"/>
    <row r="124346" s="12" customFormat="1" x14ac:dyDescent="0.25"/>
    <row r="124347" s="12" customFormat="1" x14ac:dyDescent="0.25"/>
    <row r="124348" s="12" customFormat="1" x14ac:dyDescent="0.25"/>
    <row r="124349" s="12" customFormat="1" x14ac:dyDescent="0.25"/>
    <row r="124350" s="12" customFormat="1" x14ac:dyDescent="0.25"/>
    <row r="124351" s="12" customFormat="1" x14ac:dyDescent="0.25"/>
    <row r="124352" s="12" customFormat="1" x14ac:dyDescent="0.25"/>
    <row r="124353" s="12" customFormat="1" x14ac:dyDescent="0.25"/>
    <row r="124354" s="12" customFormat="1" x14ac:dyDescent="0.25"/>
    <row r="124355" s="12" customFormat="1" x14ac:dyDescent="0.25"/>
    <row r="124356" s="12" customFormat="1" x14ac:dyDescent="0.25"/>
    <row r="124357" s="12" customFormat="1" x14ac:dyDescent="0.25"/>
    <row r="124358" s="12" customFormat="1" x14ac:dyDescent="0.25"/>
    <row r="124359" s="12" customFormat="1" x14ac:dyDescent="0.25"/>
    <row r="124360" s="12" customFormat="1" x14ac:dyDescent="0.25"/>
    <row r="124361" s="12" customFormat="1" x14ac:dyDescent="0.25"/>
    <row r="124362" s="12" customFormat="1" x14ac:dyDescent="0.25"/>
    <row r="124363" s="12" customFormat="1" x14ac:dyDescent="0.25"/>
    <row r="124364" s="12" customFormat="1" x14ac:dyDescent="0.25"/>
    <row r="124365" s="12" customFormat="1" x14ac:dyDescent="0.25"/>
    <row r="124366" s="12" customFormat="1" x14ac:dyDescent="0.25"/>
    <row r="124367" s="12" customFormat="1" x14ac:dyDescent="0.25"/>
    <row r="124368" s="12" customFormat="1" x14ac:dyDescent="0.25"/>
    <row r="124369" s="12" customFormat="1" x14ac:dyDescent="0.25"/>
    <row r="124370" s="12" customFormat="1" x14ac:dyDescent="0.25"/>
    <row r="124371" s="12" customFormat="1" x14ac:dyDescent="0.25"/>
    <row r="124372" s="12" customFormat="1" x14ac:dyDescent="0.25"/>
    <row r="124373" s="12" customFormat="1" x14ac:dyDescent="0.25"/>
    <row r="124374" s="12" customFormat="1" x14ac:dyDescent="0.25"/>
    <row r="124375" s="12" customFormat="1" x14ac:dyDescent="0.25"/>
    <row r="124376" s="12" customFormat="1" x14ac:dyDescent="0.25"/>
    <row r="124377" s="12" customFormat="1" x14ac:dyDescent="0.25"/>
    <row r="124378" s="12" customFormat="1" x14ac:dyDescent="0.25"/>
    <row r="124379" s="12" customFormat="1" x14ac:dyDescent="0.25"/>
    <row r="124380" s="12" customFormat="1" x14ac:dyDescent="0.25"/>
    <row r="124381" s="12" customFormat="1" x14ac:dyDescent="0.25"/>
    <row r="124382" s="12" customFormat="1" x14ac:dyDescent="0.25"/>
    <row r="124383" s="12" customFormat="1" x14ac:dyDescent="0.25"/>
    <row r="124384" s="12" customFormat="1" x14ac:dyDescent="0.25"/>
    <row r="124385" s="12" customFormat="1" x14ac:dyDescent="0.25"/>
    <row r="124386" s="12" customFormat="1" x14ac:dyDescent="0.25"/>
    <row r="124387" s="12" customFormat="1" x14ac:dyDescent="0.25"/>
    <row r="124388" s="12" customFormat="1" x14ac:dyDescent="0.25"/>
    <row r="124389" s="12" customFormat="1" x14ac:dyDescent="0.25"/>
    <row r="124390" s="12" customFormat="1" x14ac:dyDescent="0.25"/>
    <row r="124391" s="12" customFormat="1" x14ac:dyDescent="0.25"/>
    <row r="124392" s="12" customFormat="1" x14ac:dyDescent="0.25"/>
    <row r="124393" s="12" customFormat="1" x14ac:dyDescent="0.25"/>
    <row r="124394" s="12" customFormat="1" x14ac:dyDescent="0.25"/>
    <row r="124395" s="12" customFormat="1" x14ac:dyDescent="0.25"/>
    <row r="124396" s="12" customFormat="1" x14ac:dyDescent="0.25"/>
    <row r="124397" s="12" customFormat="1" x14ac:dyDescent="0.25"/>
    <row r="124398" s="12" customFormat="1" x14ac:dyDescent="0.25"/>
    <row r="124399" s="12" customFormat="1" x14ac:dyDescent="0.25"/>
    <row r="124400" s="12" customFormat="1" x14ac:dyDescent="0.25"/>
    <row r="124401" s="12" customFormat="1" x14ac:dyDescent="0.25"/>
    <row r="124402" s="12" customFormat="1" x14ac:dyDescent="0.25"/>
    <row r="124403" s="12" customFormat="1" x14ac:dyDescent="0.25"/>
    <row r="124404" s="12" customFormat="1" x14ac:dyDescent="0.25"/>
    <row r="124405" s="12" customFormat="1" x14ac:dyDescent="0.25"/>
    <row r="124406" s="12" customFormat="1" x14ac:dyDescent="0.25"/>
    <row r="124407" s="12" customFormat="1" x14ac:dyDescent="0.25"/>
    <row r="124408" s="12" customFormat="1" x14ac:dyDescent="0.25"/>
    <row r="124409" s="12" customFormat="1" x14ac:dyDescent="0.25"/>
    <row r="124410" s="12" customFormat="1" x14ac:dyDescent="0.25"/>
    <row r="124411" s="12" customFormat="1" x14ac:dyDescent="0.25"/>
    <row r="124412" s="12" customFormat="1" x14ac:dyDescent="0.25"/>
    <row r="124413" s="12" customFormat="1" x14ac:dyDescent="0.25"/>
    <row r="124414" s="12" customFormat="1" x14ac:dyDescent="0.25"/>
    <row r="124415" s="12" customFormat="1" x14ac:dyDescent="0.25"/>
    <row r="124416" s="12" customFormat="1" x14ac:dyDescent="0.25"/>
    <row r="124417" s="12" customFormat="1" x14ac:dyDescent="0.25"/>
    <row r="124418" s="12" customFormat="1" x14ac:dyDescent="0.25"/>
    <row r="124419" s="12" customFormat="1" x14ac:dyDescent="0.25"/>
    <row r="124420" s="12" customFormat="1" x14ac:dyDescent="0.25"/>
    <row r="124421" s="12" customFormat="1" x14ac:dyDescent="0.25"/>
    <row r="124422" s="12" customFormat="1" x14ac:dyDescent="0.25"/>
    <row r="124423" s="12" customFormat="1" x14ac:dyDescent="0.25"/>
    <row r="124424" s="12" customFormat="1" x14ac:dyDescent="0.25"/>
    <row r="124425" s="12" customFormat="1" x14ac:dyDescent="0.25"/>
    <row r="124426" s="12" customFormat="1" x14ac:dyDescent="0.25"/>
    <row r="124427" s="12" customFormat="1" x14ac:dyDescent="0.25"/>
    <row r="124428" s="12" customFormat="1" x14ac:dyDescent="0.25"/>
    <row r="124429" s="12" customFormat="1" x14ac:dyDescent="0.25"/>
    <row r="124430" s="12" customFormat="1" x14ac:dyDescent="0.25"/>
    <row r="124431" s="12" customFormat="1" x14ac:dyDescent="0.25"/>
    <row r="124432" s="12" customFormat="1" x14ac:dyDescent="0.25"/>
    <row r="124433" s="12" customFormat="1" x14ac:dyDescent="0.25"/>
    <row r="124434" s="12" customFormat="1" x14ac:dyDescent="0.25"/>
    <row r="124435" s="12" customFormat="1" x14ac:dyDescent="0.25"/>
    <row r="124436" s="12" customFormat="1" x14ac:dyDescent="0.25"/>
    <row r="124437" s="12" customFormat="1" x14ac:dyDescent="0.25"/>
    <row r="124438" s="12" customFormat="1" x14ac:dyDescent="0.25"/>
    <row r="124439" s="12" customFormat="1" x14ac:dyDescent="0.25"/>
    <row r="124440" s="12" customFormat="1" x14ac:dyDescent="0.25"/>
    <row r="124441" s="12" customFormat="1" x14ac:dyDescent="0.25"/>
    <row r="124442" s="12" customFormat="1" x14ac:dyDescent="0.25"/>
    <row r="124443" s="12" customFormat="1" x14ac:dyDescent="0.25"/>
    <row r="124444" s="12" customFormat="1" x14ac:dyDescent="0.25"/>
    <row r="124445" s="12" customFormat="1" x14ac:dyDescent="0.25"/>
    <row r="124446" s="12" customFormat="1" x14ac:dyDescent="0.25"/>
    <row r="124447" s="12" customFormat="1" x14ac:dyDescent="0.25"/>
    <row r="124448" s="12" customFormat="1" x14ac:dyDescent="0.25"/>
    <row r="124449" s="12" customFormat="1" x14ac:dyDescent="0.25"/>
    <row r="124450" s="12" customFormat="1" x14ac:dyDescent="0.25"/>
    <row r="124451" s="12" customFormat="1" x14ac:dyDescent="0.25"/>
    <row r="124452" s="12" customFormat="1" x14ac:dyDescent="0.25"/>
    <row r="124453" s="12" customFormat="1" x14ac:dyDescent="0.25"/>
    <row r="124454" s="12" customFormat="1" x14ac:dyDescent="0.25"/>
    <row r="124455" s="12" customFormat="1" x14ac:dyDescent="0.25"/>
    <row r="124456" s="12" customFormat="1" x14ac:dyDescent="0.25"/>
    <row r="124457" s="12" customFormat="1" x14ac:dyDescent="0.25"/>
    <row r="124458" s="12" customFormat="1" x14ac:dyDescent="0.25"/>
    <row r="124459" s="12" customFormat="1" x14ac:dyDescent="0.25"/>
    <row r="124460" s="12" customFormat="1" x14ac:dyDescent="0.25"/>
    <row r="124461" s="12" customFormat="1" x14ac:dyDescent="0.25"/>
    <row r="124462" s="12" customFormat="1" x14ac:dyDescent="0.25"/>
    <row r="124463" s="12" customFormat="1" x14ac:dyDescent="0.25"/>
    <row r="124464" s="12" customFormat="1" x14ac:dyDescent="0.25"/>
    <row r="124465" s="12" customFormat="1" x14ac:dyDescent="0.25"/>
    <row r="124466" s="12" customFormat="1" x14ac:dyDescent="0.25"/>
    <row r="124467" s="12" customFormat="1" x14ac:dyDescent="0.25"/>
    <row r="124468" s="12" customFormat="1" x14ac:dyDescent="0.25"/>
    <row r="124469" s="12" customFormat="1" x14ac:dyDescent="0.25"/>
    <row r="124470" s="12" customFormat="1" x14ac:dyDescent="0.25"/>
    <row r="124471" s="12" customFormat="1" x14ac:dyDescent="0.25"/>
    <row r="124472" s="12" customFormat="1" x14ac:dyDescent="0.25"/>
    <row r="124473" s="12" customFormat="1" x14ac:dyDescent="0.25"/>
    <row r="124474" s="12" customFormat="1" x14ac:dyDescent="0.25"/>
    <row r="124475" s="12" customFormat="1" x14ac:dyDescent="0.25"/>
    <row r="124476" s="12" customFormat="1" x14ac:dyDescent="0.25"/>
    <row r="124477" s="12" customFormat="1" x14ac:dyDescent="0.25"/>
    <row r="124478" s="12" customFormat="1" x14ac:dyDescent="0.25"/>
    <row r="124479" s="12" customFormat="1" x14ac:dyDescent="0.25"/>
    <row r="124480" s="12" customFormat="1" x14ac:dyDescent="0.25"/>
    <row r="124481" s="12" customFormat="1" x14ac:dyDescent="0.25"/>
    <row r="124482" s="12" customFormat="1" x14ac:dyDescent="0.25"/>
    <row r="124483" s="12" customFormat="1" x14ac:dyDescent="0.25"/>
    <row r="124484" s="12" customFormat="1" x14ac:dyDescent="0.25"/>
    <row r="124485" s="12" customFormat="1" x14ac:dyDescent="0.25"/>
    <row r="124486" s="12" customFormat="1" x14ac:dyDescent="0.25"/>
    <row r="124487" s="12" customFormat="1" x14ac:dyDescent="0.25"/>
    <row r="124488" s="12" customFormat="1" x14ac:dyDescent="0.25"/>
    <row r="124489" s="12" customFormat="1" x14ac:dyDescent="0.25"/>
    <row r="124490" s="12" customFormat="1" x14ac:dyDescent="0.25"/>
    <row r="124491" s="12" customFormat="1" x14ac:dyDescent="0.25"/>
    <row r="124492" s="12" customFormat="1" x14ac:dyDescent="0.25"/>
    <row r="124493" s="12" customFormat="1" x14ac:dyDescent="0.25"/>
    <row r="124494" s="12" customFormat="1" x14ac:dyDescent="0.25"/>
    <row r="124495" s="12" customFormat="1" x14ac:dyDescent="0.25"/>
    <row r="124496" s="12" customFormat="1" x14ac:dyDescent="0.25"/>
    <row r="124497" s="12" customFormat="1" x14ac:dyDescent="0.25"/>
    <row r="124498" s="12" customFormat="1" x14ac:dyDescent="0.25"/>
    <row r="124499" s="12" customFormat="1" x14ac:dyDescent="0.25"/>
    <row r="124500" s="12" customFormat="1" x14ac:dyDescent="0.25"/>
    <row r="124501" s="12" customFormat="1" x14ac:dyDescent="0.25"/>
    <row r="124502" s="12" customFormat="1" x14ac:dyDescent="0.25"/>
    <row r="124503" s="12" customFormat="1" x14ac:dyDescent="0.25"/>
    <row r="124504" s="12" customFormat="1" x14ac:dyDescent="0.25"/>
    <row r="124505" s="12" customFormat="1" x14ac:dyDescent="0.25"/>
    <row r="124506" s="12" customFormat="1" x14ac:dyDescent="0.25"/>
    <row r="124507" s="12" customFormat="1" x14ac:dyDescent="0.25"/>
    <row r="124508" s="12" customFormat="1" x14ac:dyDescent="0.25"/>
    <row r="124509" s="12" customFormat="1" x14ac:dyDescent="0.25"/>
    <row r="124510" s="12" customFormat="1" x14ac:dyDescent="0.25"/>
    <row r="124511" s="12" customFormat="1" x14ac:dyDescent="0.25"/>
    <row r="124512" s="12" customFormat="1" x14ac:dyDescent="0.25"/>
    <row r="124513" s="12" customFormat="1" x14ac:dyDescent="0.25"/>
    <row r="124514" s="12" customFormat="1" x14ac:dyDescent="0.25"/>
    <row r="124515" s="12" customFormat="1" x14ac:dyDescent="0.25"/>
    <row r="124516" s="12" customFormat="1" x14ac:dyDescent="0.25"/>
    <row r="124517" s="12" customFormat="1" x14ac:dyDescent="0.25"/>
    <row r="124518" s="12" customFormat="1" x14ac:dyDescent="0.25"/>
    <row r="124519" s="12" customFormat="1" x14ac:dyDescent="0.25"/>
    <row r="124520" s="12" customFormat="1" x14ac:dyDescent="0.25"/>
    <row r="124521" s="12" customFormat="1" x14ac:dyDescent="0.25"/>
    <row r="124522" s="12" customFormat="1" x14ac:dyDescent="0.25"/>
    <row r="124523" s="12" customFormat="1" x14ac:dyDescent="0.25"/>
    <row r="124524" s="12" customFormat="1" x14ac:dyDescent="0.25"/>
    <row r="124525" s="12" customFormat="1" x14ac:dyDescent="0.25"/>
    <row r="124526" s="12" customFormat="1" x14ac:dyDescent="0.25"/>
    <row r="124527" s="12" customFormat="1" x14ac:dyDescent="0.25"/>
    <row r="124528" s="12" customFormat="1" x14ac:dyDescent="0.25"/>
    <row r="124529" s="12" customFormat="1" x14ac:dyDescent="0.25"/>
    <row r="124530" s="12" customFormat="1" x14ac:dyDescent="0.25"/>
    <row r="124531" s="12" customFormat="1" x14ac:dyDescent="0.25"/>
    <row r="124532" s="12" customFormat="1" x14ac:dyDescent="0.25"/>
    <row r="124533" s="12" customFormat="1" x14ac:dyDescent="0.25"/>
    <row r="124534" s="12" customFormat="1" x14ac:dyDescent="0.25"/>
    <row r="124535" s="12" customFormat="1" x14ac:dyDescent="0.25"/>
    <row r="124536" s="12" customFormat="1" x14ac:dyDescent="0.25"/>
    <row r="124537" s="12" customFormat="1" x14ac:dyDescent="0.25"/>
    <row r="124538" s="12" customFormat="1" x14ac:dyDescent="0.25"/>
    <row r="124539" s="12" customFormat="1" x14ac:dyDescent="0.25"/>
    <row r="124540" s="12" customFormat="1" x14ac:dyDescent="0.25"/>
    <row r="124541" s="12" customFormat="1" x14ac:dyDescent="0.25"/>
    <row r="124542" s="12" customFormat="1" x14ac:dyDescent="0.25"/>
    <row r="124543" s="12" customFormat="1" x14ac:dyDescent="0.25"/>
    <row r="124544" s="12" customFormat="1" x14ac:dyDescent="0.25"/>
    <row r="124545" s="12" customFormat="1" x14ac:dyDescent="0.25"/>
    <row r="124546" s="12" customFormat="1" x14ac:dyDescent="0.25"/>
    <row r="124547" s="12" customFormat="1" x14ac:dyDescent="0.25"/>
    <row r="124548" s="12" customFormat="1" x14ac:dyDescent="0.25"/>
    <row r="124549" s="12" customFormat="1" x14ac:dyDescent="0.25"/>
    <row r="124550" s="12" customFormat="1" x14ac:dyDescent="0.25"/>
    <row r="124551" s="12" customFormat="1" x14ac:dyDescent="0.25"/>
    <row r="124552" s="12" customFormat="1" x14ac:dyDescent="0.25"/>
    <row r="124553" s="12" customFormat="1" x14ac:dyDescent="0.25"/>
    <row r="124554" s="12" customFormat="1" x14ac:dyDescent="0.25"/>
    <row r="124555" s="12" customFormat="1" x14ac:dyDescent="0.25"/>
    <row r="124556" s="12" customFormat="1" x14ac:dyDescent="0.25"/>
    <row r="124557" s="12" customFormat="1" x14ac:dyDescent="0.25"/>
    <row r="124558" s="12" customFormat="1" x14ac:dyDescent="0.25"/>
    <row r="124559" s="12" customFormat="1" x14ac:dyDescent="0.25"/>
    <row r="124560" s="12" customFormat="1" x14ac:dyDescent="0.25"/>
    <row r="124561" s="12" customFormat="1" x14ac:dyDescent="0.25"/>
    <row r="124562" s="12" customFormat="1" x14ac:dyDescent="0.25"/>
    <row r="124563" s="12" customFormat="1" x14ac:dyDescent="0.25"/>
    <row r="124564" s="12" customFormat="1" x14ac:dyDescent="0.25"/>
    <row r="124565" s="12" customFormat="1" x14ac:dyDescent="0.25"/>
    <row r="124566" s="12" customFormat="1" x14ac:dyDescent="0.25"/>
    <row r="124567" s="12" customFormat="1" x14ac:dyDescent="0.25"/>
    <row r="124568" s="12" customFormat="1" x14ac:dyDescent="0.25"/>
    <row r="124569" s="12" customFormat="1" x14ac:dyDescent="0.25"/>
    <row r="124570" s="12" customFormat="1" x14ac:dyDescent="0.25"/>
    <row r="124571" s="12" customFormat="1" x14ac:dyDescent="0.25"/>
    <row r="124572" s="12" customFormat="1" x14ac:dyDescent="0.25"/>
    <row r="124573" s="12" customFormat="1" x14ac:dyDescent="0.25"/>
    <row r="124574" s="12" customFormat="1" x14ac:dyDescent="0.25"/>
    <row r="124575" s="12" customFormat="1" x14ac:dyDescent="0.25"/>
    <row r="124576" s="12" customFormat="1" x14ac:dyDescent="0.25"/>
    <row r="124577" s="12" customFormat="1" x14ac:dyDescent="0.25"/>
    <row r="124578" s="12" customFormat="1" x14ac:dyDescent="0.25"/>
    <row r="124579" s="12" customFormat="1" x14ac:dyDescent="0.25"/>
    <row r="124580" s="12" customFormat="1" x14ac:dyDescent="0.25"/>
    <row r="124581" s="12" customFormat="1" x14ac:dyDescent="0.25"/>
    <row r="124582" s="12" customFormat="1" x14ac:dyDescent="0.25"/>
    <row r="124583" s="12" customFormat="1" x14ac:dyDescent="0.25"/>
    <row r="124584" s="12" customFormat="1" x14ac:dyDescent="0.25"/>
    <row r="124585" s="12" customFormat="1" x14ac:dyDescent="0.25"/>
    <row r="124586" s="12" customFormat="1" x14ac:dyDescent="0.25"/>
    <row r="124587" s="12" customFormat="1" x14ac:dyDescent="0.25"/>
    <row r="124588" s="12" customFormat="1" x14ac:dyDescent="0.25"/>
    <row r="124589" s="12" customFormat="1" x14ac:dyDescent="0.25"/>
    <row r="124590" s="12" customFormat="1" x14ac:dyDescent="0.25"/>
    <row r="124591" s="12" customFormat="1" x14ac:dyDescent="0.25"/>
    <row r="124592" s="12" customFormat="1" x14ac:dyDescent="0.25"/>
    <row r="124593" s="12" customFormat="1" x14ac:dyDescent="0.25"/>
    <row r="124594" s="12" customFormat="1" x14ac:dyDescent="0.25"/>
    <row r="124595" s="12" customFormat="1" x14ac:dyDescent="0.25"/>
    <row r="124596" s="12" customFormat="1" x14ac:dyDescent="0.25"/>
    <row r="124597" s="12" customFormat="1" x14ac:dyDescent="0.25"/>
    <row r="124598" s="12" customFormat="1" x14ac:dyDescent="0.25"/>
    <row r="124599" s="12" customFormat="1" x14ac:dyDescent="0.25"/>
    <row r="124600" s="12" customFormat="1" x14ac:dyDescent="0.25"/>
    <row r="124601" s="12" customFormat="1" x14ac:dyDescent="0.25"/>
    <row r="124602" s="12" customFormat="1" x14ac:dyDescent="0.25"/>
    <row r="124603" s="12" customFormat="1" x14ac:dyDescent="0.25"/>
    <row r="124604" s="12" customFormat="1" x14ac:dyDescent="0.25"/>
    <row r="124605" s="12" customFormat="1" x14ac:dyDescent="0.25"/>
    <row r="124606" s="12" customFormat="1" x14ac:dyDescent="0.25"/>
    <row r="124607" s="12" customFormat="1" x14ac:dyDescent="0.25"/>
    <row r="124608" s="12" customFormat="1" x14ac:dyDescent="0.25"/>
    <row r="124609" s="12" customFormat="1" x14ac:dyDescent="0.25"/>
    <row r="124610" s="12" customFormat="1" x14ac:dyDescent="0.25"/>
    <row r="124611" s="12" customFormat="1" x14ac:dyDescent="0.25"/>
    <row r="124612" s="12" customFormat="1" x14ac:dyDescent="0.25"/>
    <row r="124613" s="12" customFormat="1" x14ac:dyDescent="0.25"/>
    <row r="124614" s="12" customFormat="1" x14ac:dyDescent="0.25"/>
    <row r="124615" s="12" customFormat="1" x14ac:dyDescent="0.25"/>
    <row r="124616" s="12" customFormat="1" x14ac:dyDescent="0.25"/>
    <row r="124617" s="12" customFormat="1" x14ac:dyDescent="0.25"/>
    <row r="124618" s="12" customFormat="1" x14ac:dyDescent="0.25"/>
    <row r="124619" s="12" customFormat="1" x14ac:dyDescent="0.25"/>
    <row r="124620" s="12" customFormat="1" x14ac:dyDescent="0.25"/>
    <row r="124621" s="12" customFormat="1" x14ac:dyDescent="0.25"/>
    <row r="124622" s="12" customFormat="1" x14ac:dyDescent="0.25"/>
    <row r="124623" s="12" customFormat="1" x14ac:dyDescent="0.25"/>
    <row r="124624" s="12" customFormat="1" x14ac:dyDescent="0.25"/>
    <row r="124625" s="12" customFormat="1" x14ac:dyDescent="0.25"/>
    <row r="124626" s="12" customFormat="1" x14ac:dyDescent="0.25"/>
    <row r="124627" s="12" customFormat="1" x14ac:dyDescent="0.25"/>
    <row r="124628" s="12" customFormat="1" x14ac:dyDescent="0.25"/>
    <row r="124629" s="12" customFormat="1" x14ac:dyDescent="0.25"/>
    <row r="124630" s="12" customFormat="1" x14ac:dyDescent="0.25"/>
    <row r="124631" s="12" customFormat="1" x14ac:dyDescent="0.25"/>
    <row r="124632" s="12" customFormat="1" x14ac:dyDescent="0.25"/>
    <row r="124633" s="12" customFormat="1" x14ac:dyDescent="0.25"/>
    <row r="124634" s="12" customFormat="1" x14ac:dyDescent="0.25"/>
    <row r="124635" s="12" customFormat="1" x14ac:dyDescent="0.25"/>
    <row r="124636" s="12" customFormat="1" x14ac:dyDescent="0.25"/>
    <row r="124637" s="12" customFormat="1" x14ac:dyDescent="0.25"/>
    <row r="124638" s="12" customFormat="1" x14ac:dyDescent="0.25"/>
    <row r="124639" s="12" customFormat="1" x14ac:dyDescent="0.25"/>
    <row r="124640" s="12" customFormat="1" x14ac:dyDescent="0.25"/>
    <row r="124641" s="12" customFormat="1" x14ac:dyDescent="0.25"/>
    <row r="124642" s="12" customFormat="1" x14ac:dyDescent="0.25"/>
    <row r="124643" s="12" customFormat="1" x14ac:dyDescent="0.25"/>
    <row r="124644" s="12" customFormat="1" x14ac:dyDescent="0.25"/>
    <row r="124645" s="12" customFormat="1" x14ac:dyDescent="0.25"/>
    <row r="124646" s="12" customFormat="1" x14ac:dyDescent="0.25"/>
    <row r="124647" s="12" customFormat="1" x14ac:dyDescent="0.25"/>
    <row r="124648" s="12" customFormat="1" x14ac:dyDescent="0.25"/>
    <row r="124649" s="12" customFormat="1" x14ac:dyDescent="0.25"/>
    <row r="124650" s="12" customFormat="1" x14ac:dyDescent="0.25"/>
    <row r="124651" s="12" customFormat="1" x14ac:dyDescent="0.25"/>
    <row r="124652" s="12" customFormat="1" x14ac:dyDescent="0.25"/>
    <row r="124653" s="12" customFormat="1" x14ac:dyDescent="0.25"/>
    <row r="124654" s="12" customFormat="1" x14ac:dyDescent="0.25"/>
    <row r="124655" s="12" customFormat="1" x14ac:dyDescent="0.25"/>
    <row r="124656" s="12" customFormat="1" x14ac:dyDescent="0.25"/>
    <row r="124657" s="12" customFormat="1" x14ac:dyDescent="0.25"/>
    <row r="124658" s="12" customFormat="1" x14ac:dyDescent="0.25"/>
    <row r="124659" s="12" customFormat="1" x14ac:dyDescent="0.25"/>
    <row r="124660" s="12" customFormat="1" x14ac:dyDescent="0.25"/>
    <row r="124661" s="12" customFormat="1" x14ac:dyDescent="0.25"/>
    <row r="124662" s="12" customFormat="1" x14ac:dyDescent="0.25"/>
    <row r="124663" s="12" customFormat="1" x14ac:dyDescent="0.25"/>
    <row r="124664" s="12" customFormat="1" x14ac:dyDescent="0.25"/>
    <row r="124665" s="12" customFormat="1" x14ac:dyDescent="0.25"/>
    <row r="124666" s="12" customFormat="1" x14ac:dyDescent="0.25"/>
    <row r="124667" s="12" customFormat="1" x14ac:dyDescent="0.25"/>
    <row r="124668" s="12" customFormat="1" x14ac:dyDescent="0.25"/>
    <row r="124669" s="12" customFormat="1" x14ac:dyDescent="0.25"/>
    <row r="124670" s="12" customFormat="1" x14ac:dyDescent="0.25"/>
    <row r="124671" s="12" customFormat="1" x14ac:dyDescent="0.25"/>
    <row r="124672" s="12" customFormat="1" x14ac:dyDescent="0.25"/>
    <row r="124673" s="12" customFormat="1" x14ac:dyDescent="0.25"/>
    <row r="124674" s="12" customFormat="1" x14ac:dyDescent="0.25"/>
    <row r="124675" s="12" customFormat="1" x14ac:dyDescent="0.25"/>
    <row r="124676" s="12" customFormat="1" x14ac:dyDescent="0.25"/>
    <row r="124677" s="12" customFormat="1" x14ac:dyDescent="0.25"/>
    <row r="124678" s="12" customFormat="1" x14ac:dyDescent="0.25"/>
    <row r="124679" s="12" customFormat="1" x14ac:dyDescent="0.25"/>
    <row r="124680" s="12" customFormat="1" x14ac:dyDescent="0.25"/>
    <row r="124681" s="12" customFormat="1" x14ac:dyDescent="0.25"/>
    <row r="124682" s="12" customFormat="1" x14ac:dyDescent="0.25"/>
    <row r="124683" s="12" customFormat="1" x14ac:dyDescent="0.25"/>
    <row r="124684" s="12" customFormat="1" x14ac:dyDescent="0.25"/>
    <row r="124685" s="12" customFormat="1" x14ac:dyDescent="0.25"/>
    <row r="124686" s="12" customFormat="1" x14ac:dyDescent="0.25"/>
    <row r="124687" s="12" customFormat="1" x14ac:dyDescent="0.25"/>
    <row r="124688" s="12" customFormat="1" x14ac:dyDescent="0.25"/>
    <row r="124689" s="12" customFormat="1" x14ac:dyDescent="0.25"/>
    <row r="124690" s="12" customFormat="1" x14ac:dyDescent="0.25"/>
    <row r="124691" s="12" customFormat="1" x14ac:dyDescent="0.25"/>
    <row r="124692" s="12" customFormat="1" x14ac:dyDescent="0.25"/>
    <row r="124693" s="12" customFormat="1" x14ac:dyDescent="0.25"/>
    <row r="124694" s="12" customFormat="1" x14ac:dyDescent="0.25"/>
    <row r="124695" s="12" customFormat="1" x14ac:dyDescent="0.25"/>
    <row r="124696" s="12" customFormat="1" x14ac:dyDescent="0.25"/>
    <row r="124697" s="12" customFormat="1" x14ac:dyDescent="0.25"/>
    <row r="124698" s="12" customFormat="1" x14ac:dyDescent="0.25"/>
    <row r="124699" s="12" customFormat="1" x14ac:dyDescent="0.25"/>
    <row r="124700" s="12" customFormat="1" x14ac:dyDescent="0.25"/>
    <row r="124701" s="12" customFormat="1" x14ac:dyDescent="0.25"/>
    <row r="124702" s="12" customFormat="1" x14ac:dyDescent="0.25"/>
    <row r="124703" s="12" customFormat="1" x14ac:dyDescent="0.25"/>
    <row r="124704" s="12" customFormat="1" x14ac:dyDescent="0.25"/>
    <row r="124705" s="12" customFormat="1" x14ac:dyDescent="0.25"/>
    <row r="124706" s="12" customFormat="1" x14ac:dyDescent="0.25"/>
    <row r="124707" s="12" customFormat="1" x14ac:dyDescent="0.25"/>
    <row r="124708" s="12" customFormat="1" x14ac:dyDescent="0.25"/>
    <row r="124709" s="12" customFormat="1" x14ac:dyDescent="0.25"/>
    <row r="124710" s="12" customFormat="1" x14ac:dyDescent="0.25"/>
    <row r="124711" s="12" customFormat="1" x14ac:dyDescent="0.25"/>
    <row r="124712" s="12" customFormat="1" x14ac:dyDescent="0.25"/>
    <row r="124713" s="12" customFormat="1" x14ac:dyDescent="0.25"/>
    <row r="124714" s="12" customFormat="1" x14ac:dyDescent="0.25"/>
    <row r="124715" s="12" customFormat="1" x14ac:dyDescent="0.25"/>
    <row r="124716" s="12" customFormat="1" x14ac:dyDescent="0.25"/>
    <row r="124717" s="12" customFormat="1" x14ac:dyDescent="0.25"/>
    <row r="124718" s="12" customFormat="1" x14ac:dyDescent="0.25"/>
    <row r="124719" s="12" customFormat="1" x14ac:dyDescent="0.25"/>
    <row r="124720" s="12" customFormat="1" x14ac:dyDescent="0.25"/>
    <row r="124721" s="12" customFormat="1" x14ac:dyDescent="0.25"/>
    <row r="124722" s="12" customFormat="1" x14ac:dyDescent="0.25"/>
    <row r="124723" s="12" customFormat="1" x14ac:dyDescent="0.25"/>
    <row r="124724" s="12" customFormat="1" x14ac:dyDescent="0.25"/>
    <row r="124725" s="12" customFormat="1" x14ac:dyDescent="0.25"/>
    <row r="124726" s="12" customFormat="1" x14ac:dyDescent="0.25"/>
    <row r="124727" s="12" customFormat="1" x14ac:dyDescent="0.25"/>
    <row r="124728" s="12" customFormat="1" x14ac:dyDescent="0.25"/>
    <row r="124729" s="12" customFormat="1" x14ac:dyDescent="0.25"/>
    <row r="124730" s="12" customFormat="1" x14ac:dyDescent="0.25"/>
    <row r="124731" s="12" customFormat="1" x14ac:dyDescent="0.25"/>
    <row r="124732" s="12" customFormat="1" x14ac:dyDescent="0.25"/>
    <row r="124733" s="12" customFormat="1" x14ac:dyDescent="0.25"/>
    <row r="124734" s="12" customFormat="1" x14ac:dyDescent="0.25"/>
    <row r="124735" s="12" customFormat="1" x14ac:dyDescent="0.25"/>
    <row r="124736" s="12" customFormat="1" x14ac:dyDescent="0.25"/>
    <row r="124737" s="12" customFormat="1" x14ac:dyDescent="0.25"/>
    <row r="124738" s="12" customFormat="1" x14ac:dyDescent="0.25"/>
    <row r="124739" s="12" customFormat="1" x14ac:dyDescent="0.25"/>
    <row r="124740" s="12" customFormat="1" x14ac:dyDescent="0.25"/>
    <row r="124741" s="12" customFormat="1" x14ac:dyDescent="0.25"/>
    <row r="124742" s="12" customFormat="1" x14ac:dyDescent="0.25"/>
    <row r="124743" s="12" customFormat="1" x14ac:dyDescent="0.25"/>
    <row r="124744" s="12" customFormat="1" x14ac:dyDescent="0.25"/>
    <row r="124745" s="12" customFormat="1" x14ac:dyDescent="0.25"/>
    <row r="124746" s="12" customFormat="1" x14ac:dyDescent="0.25"/>
    <row r="124747" s="12" customFormat="1" x14ac:dyDescent="0.25"/>
    <row r="124748" s="12" customFormat="1" x14ac:dyDescent="0.25"/>
    <row r="124749" s="12" customFormat="1" x14ac:dyDescent="0.25"/>
    <row r="124750" s="12" customFormat="1" x14ac:dyDescent="0.25"/>
    <row r="124751" s="12" customFormat="1" x14ac:dyDescent="0.25"/>
    <row r="124752" s="12" customFormat="1" x14ac:dyDescent="0.25"/>
    <row r="124753" s="12" customFormat="1" x14ac:dyDescent="0.25"/>
    <row r="124754" s="12" customFormat="1" x14ac:dyDescent="0.25"/>
    <row r="124755" s="12" customFormat="1" x14ac:dyDescent="0.25"/>
    <row r="124756" s="12" customFormat="1" x14ac:dyDescent="0.25"/>
    <row r="124757" s="12" customFormat="1" x14ac:dyDescent="0.25"/>
    <row r="124758" s="12" customFormat="1" x14ac:dyDescent="0.25"/>
    <row r="124759" s="12" customFormat="1" x14ac:dyDescent="0.25"/>
    <row r="124760" s="12" customFormat="1" x14ac:dyDescent="0.25"/>
    <row r="124761" s="12" customFormat="1" x14ac:dyDescent="0.25"/>
    <row r="124762" s="12" customFormat="1" x14ac:dyDescent="0.25"/>
    <row r="124763" s="12" customFormat="1" x14ac:dyDescent="0.25"/>
    <row r="124764" s="12" customFormat="1" x14ac:dyDescent="0.25"/>
    <row r="124765" s="12" customFormat="1" x14ac:dyDescent="0.25"/>
    <row r="124766" s="12" customFormat="1" x14ac:dyDescent="0.25"/>
    <row r="124767" s="12" customFormat="1" x14ac:dyDescent="0.25"/>
    <row r="124768" s="12" customFormat="1" x14ac:dyDescent="0.25"/>
    <row r="124769" s="12" customFormat="1" x14ac:dyDescent="0.25"/>
    <row r="124770" s="12" customFormat="1" x14ac:dyDescent="0.25"/>
    <row r="124771" s="12" customFormat="1" x14ac:dyDescent="0.25"/>
    <row r="124772" s="12" customFormat="1" x14ac:dyDescent="0.25"/>
    <row r="124773" s="12" customFormat="1" x14ac:dyDescent="0.25"/>
    <row r="124774" s="12" customFormat="1" x14ac:dyDescent="0.25"/>
    <row r="124775" s="12" customFormat="1" x14ac:dyDescent="0.25"/>
    <row r="124776" s="12" customFormat="1" x14ac:dyDescent="0.25"/>
    <row r="124777" s="12" customFormat="1" x14ac:dyDescent="0.25"/>
    <row r="124778" s="12" customFormat="1" x14ac:dyDescent="0.25"/>
    <row r="124779" s="12" customFormat="1" x14ac:dyDescent="0.25"/>
    <row r="124780" s="12" customFormat="1" x14ac:dyDescent="0.25"/>
    <row r="124781" s="12" customFormat="1" x14ac:dyDescent="0.25"/>
    <row r="124782" s="12" customFormat="1" x14ac:dyDescent="0.25"/>
    <row r="124783" s="12" customFormat="1" x14ac:dyDescent="0.25"/>
    <row r="124784" s="12" customFormat="1" x14ac:dyDescent="0.25"/>
    <row r="124785" s="12" customFormat="1" x14ac:dyDescent="0.25"/>
    <row r="124786" s="12" customFormat="1" x14ac:dyDescent="0.25"/>
    <row r="124787" s="12" customFormat="1" x14ac:dyDescent="0.25"/>
    <row r="124788" s="12" customFormat="1" x14ac:dyDescent="0.25"/>
    <row r="124789" s="12" customFormat="1" x14ac:dyDescent="0.25"/>
    <row r="124790" s="12" customFormat="1" x14ac:dyDescent="0.25"/>
    <row r="124791" s="12" customFormat="1" x14ac:dyDescent="0.25"/>
    <row r="124792" s="12" customFormat="1" x14ac:dyDescent="0.25"/>
    <row r="124793" s="12" customFormat="1" x14ac:dyDescent="0.25"/>
    <row r="124794" s="12" customFormat="1" x14ac:dyDescent="0.25"/>
    <row r="124795" s="12" customFormat="1" x14ac:dyDescent="0.25"/>
    <row r="124796" s="12" customFormat="1" x14ac:dyDescent="0.25"/>
    <row r="124797" s="12" customFormat="1" x14ac:dyDescent="0.25"/>
    <row r="124798" s="12" customFormat="1" x14ac:dyDescent="0.25"/>
    <row r="124799" s="12" customFormat="1" x14ac:dyDescent="0.25"/>
    <row r="124800" s="12" customFormat="1" x14ac:dyDescent="0.25"/>
    <row r="124801" s="12" customFormat="1" x14ac:dyDescent="0.25"/>
    <row r="124802" s="12" customFormat="1" x14ac:dyDescent="0.25"/>
    <row r="124803" s="12" customFormat="1" x14ac:dyDescent="0.25"/>
    <row r="124804" s="12" customFormat="1" x14ac:dyDescent="0.25"/>
    <row r="124805" s="12" customFormat="1" x14ac:dyDescent="0.25"/>
    <row r="124806" s="12" customFormat="1" x14ac:dyDescent="0.25"/>
    <row r="124807" s="12" customFormat="1" x14ac:dyDescent="0.25"/>
    <row r="124808" s="12" customFormat="1" x14ac:dyDescent="0.25"/>
    <row r="124809" s="12" customFormat="1" x14ac:dyDescent="0.25"/>
    <row r="124810" s="12" customFormat="1" x14ac:dyDescent="0.25"/>
    <row r="124811" s="12" customFormat="1" x14ac:dyDescent="0.25"/>
    <row r="124812" s="12" customFormat="1" x14ac:dyDescent="0.25"/>
    <row r="124813" s="12" customFormat="1" x14ac:dyDescent="0.25"/>
    <row r="124814" s="12" customFormat="1" x14ac:dyDescent="0.25"/>
    <row r="124815" s="12" customFormat="1" x14ac:dyDescent="0.25"/>
    <row r="124816" s="12" customFormat="1" x14ac:dyDescent="0.25"/>
    <row r="124817" s="12" customFormat="1" x14ac:dyDescent="0.25"/>
    <row r="124818" s="12" customFormat="1" x14ac:dyDescent="0.25"/>
    <row r="124819" s="12" customFormat="1" x14ac:dyDescent="0.25"/>
    <row r="124820" s="12" customFormat="1" x14ac:dyDescent="0.25"/>
    <row r="124821" s="12" customFormat="1" x14ac:dyDescent="0.25"/>
    <row r="124822" s="12" customFormat="1" x14ac:dyDescent="0.25"/>
    <row r="124823" s="12" customFormat="1" x14ac:dyDescent="0.25"/>
    <row r="124824" s="12" customFormat="1" x14ac:dyDescent="0.25"/>
    <row r="124825" s="12" customFormat="1" x14ac:dyDescent="0.25"/>
    <row r="124826" s="12" customFormat="1" x14ac:dyDescent="0.25"/>
    <row r="124827" s="12" customFormat="1" x14ac:dyDescent="0.25"/>
    <row r="124828" s="12" customFormat="1" x14ac:dyDescent="0.25"/>
    <row r="124829" s="12" customFormat="1" x14ac:dyDescent="0.25"/>
    <row r="124830" s="12" customFormat="1" x14ac:dyDescent="0.25"/>
    <row r="124831" s="12" customFormat="1" x14ac:dyDescent="0.25"/>
    <row r="124832" s="12" customFormat="1" x14ac:dyDescent="0.25"/>
    <row r="124833" s="12" customFormat="1" x14ac:dyDescent="0.25"/>
    <row r="124834" s="12" customFormat="1" x14ac:dyDescent="0.25"/>
    <row r="124835" s="12" customFormat="1" x14ac:dyDescent="0.25"/>
    <row r="124836" s="12" customFormat="1" x14ac:dyDescent="0.25"/>
    <row r="124837" s="12" customFormat="1" x14ac:dyDescent="0.25"/>
    <row r="124838" s="12" customFormat="1" x14ac:dyDescent="0.25"/>
    <row r="124839" s="12" customFormat="1" x14ac:dyDescent="0.25"/>
    <row r="124840" s="12" customFormat="1" x14ac:dyDescent="0.25"/>
    <row r="124841" s="12" customFormat="1" x14ac:dyDescent="0.25"/>
    <row r="124842" s="12" customFormat="1" x14ac:dyDescent="0.25"/>
    <row r="124843" s="12" customFormat="1" x14ac:dyDescent="0.25"/>
    <row r="124844" s="12" customFormat="1" x14ac:dyDescent="0.25"/>
    <row r="124845" s="12" customFormat="1" x14ac:dyDescent="0.25"/>
    <row r="124846" s="12" customFormat="1" x14ac:dyDescent="0.25"/>
    <row r="124847" s="12" customFormat="1" x14ac:dyDescent="0.25"/>
    <row r="124848" s="12" customFormat="1" x14ac:dyDescent="0.25"/>
    <row r="124849" s="12" customFormat="1" x14ac:dyDescent="0.25"/>
    <row r="124850" s="12" customFormat="1" x14ac:dyDescent="0.25"/>
    <row r="124851" s="12" customFormat="1" x14ac:dyDescent="0.25"/>
    <row r="124852" s="12" customFormat="1" x14ac:dyDescent="0.25"/>
    <row r="124853" s="12" customFormat="1" x14ac:dyDescent="0.25"/>
    <row r="124854" s="12" customFormat="1" x14ac:dyDescent="0.25"/>
    <row r="124855" s="12" customFormat="1" x14ac:dyDescent="0.25"/>
    <row r="124856" s="12" customFormat="1" x14ac:dyDescent="0.25"/>
    <row r="124857" s="12" customFormat="1" x14ac:dyDescent="0.25"/>
    <row r="124858" s="12" customFormat="1" x14ac:dyDescent="0.25"/>
    <row r="124859" s="12" customFormat="1" x14ac:dyDescent="0.25"/>
    <row r="124860" s="12" customFormat="1" x14ac:dyDescent="0.25"/>
    <row r="124861" s="12" customFormat="1" x14ac:dyDescent="0.25"/>
    <row r="124862" s="12" customFormat="1" x14ac:dyDescent="0.25"/>
    <row r="124863" s="12" customFormat="1" x14ac:dyDescent="0.25"/>
    <row r="124864" s="12" customFormat="1" x14ac:dyDescent="0.25"/>
    <row r="124865" s="12" customFormat="1" x14ac:dyDescent="0.25"/>
    <row r="124866" s="12" customFormat="1" x14ac:dyDescent="0.25"/>
    <row r="124867" s="12" customFormat="1" x14ac:dyDescent="0.25"/>
    <row r="124868" s="12" customFormat="1" x14ac:dyDescent="0.25"/>
    <row r="124869" s="12" customFormat="1" x14ac:dyDescent="0.25"/>
    <row r="124870" s="12" customFormat="1" x14ac:dyDescent="0.25"/>
    <row r="124871" s="12" customFormat="1" x14ac:dyDescent="0.25"/>
    <row r="124872" s="12" customFormat="1" x14ac:dyDescent="0.25"/>
    <row r="124873" s="12" customFormat="1" x14ac:dyDescent="0.25"/>
    <row r="124874" s="12" customFormat="1" x14ac:dyDescent="0.25"/>
    <row r="124875" s="12" customFormat="1" x14ac:dyDescent="0.25"/>
    <row r="124876" s="12" customFormat="1" x14ac:dyDescent="0.25"/>
    <row r="124877" s="12" customFormat="1" x14ac:dyDescent="0.25"/>
    <row r="124878" s="12" customFormat="1" x14ac:dyDescent="0.25"/>
    <row r="124879" s="12" customFormat="1" x14ac:dyDescent="0.25"/>
    <row r="124880" s="12" customFormat="1" x14ac:dyDescent="0.25"/>
    <row r="124881" s="12" customFormat="1" x14ac:dyDescent="0.25"/>
    <row r="124882" s="12" customFormat="1" x14ac:dyDescent="0.25"/>
    <row r="124883" s="12" customFormat="1" x14ac:dyDescent="0.25"/>
    <row r="124884" s="12" customFormat="1" x14ac:dyDescent="0.25"/>
    <row r="124885" s="12" customFormat="1" x14ac:dyDescent="0.25"/>
    <row r="124886" s="12" customFormat="1" x14ac:dyDescent="0.25"/>
    <row r="124887" s="12" customFormat="1" x14ac:dyDescent="0.25"/>
    <row r="124888" s="12" customFormat="1" x14ac:dyDescent="0.25"/>
    <row r="124889" s="12" customFormat="1" x14ac:dyDescent="0.25"/>
    <row r="124890" s="12" customFormat="1" x14ac:dyDescent="0.25"/>
    <row r="124891" s="12" customFormat="1" x14ac:dyDescent="0.25"/>
    <row r="124892" s="12" customFormat="1" x14ac:dyDescent="0.25"/>
    <row r="124893" s="12" customFormat="1" x14ac:dyDescent="0.25"/>
    <row r="124894" s="12" customFormat="1" x14ac:dyDescent="0.25"/>
    <row r="124895" s="12" customFormat="1" x14ac:dyDescent="0.25"/>
    <row r="124896" s="12" customFormat="1" x14ac:dyDescent="0.25"/>
    <row r="124897" s="12" customFormat="1" x14ac:dyDescent="0.25"/>
    <row r="124898" s="12" customFormat="1" x14ac:dyDescent="0.25"/>
    <row r="124899" s="12" customFormat="1" x14ac:dyDescent="0.25"/>
    <row r="124900" s="12" customFormat="1" x14ac:dyDescent="0.25"/>
    <row r="124901" s="12" customFormat="1" x14ac:dyDescent="0.25"/>
    <row r="124902" s="12" customFormat="1" x14ac:dyDescent="0.25"/>
    <row r="124903" s="12" customFormat="1" x14ac:dyDescent="0.25"/>
    <row r="124904" s="12" customFormat="1" x14ac:dyDescent="0.25"/>
    <row r="124905" s="12" customFormat="1" x14ac:dyDescent="0.25"/>
    <row r="124906" s="12" customFormat="1" x14ac:dyDescent="0.25"/>
    <row r="124907" s="12" customFormat="1" x14ac:dyDescent="0.25"/>
    <row r="124908" s="12" customFormat="1" x14ac:dyDescent="0.25"/>
    <row r="124909" s="12" customFormat="1" x14ac:dyDescent="0.25"/>
    <row r="124910" s="12" customFormat="1" x14ac:dyDescent="0.25"/>
    <row r="124911" s="12" customFormat="1" x14ac:dyDescent="0.25"/>
    <row r="124912" s="12" customFormat="1" x14ac:dyDescent="0.25"/>
    <row r="124913" s="12" customFormat="1" x14ac:dyDescent="0.25"/>
    <row r="124914" s="12" customFormat="1" x14ac:dyDescent="0.25"/>
    <row r="124915" s="12" customFormat="1" x14ac:dyDescent="0.25"/>
    <row r="124916" s="12" customFormat="1" x14ac:dyDescent="0.25"/>
    <row r="124917" s="12" customFormat="1" x14ac:dyDescent="0.25"/>
    <row r="124918" s="12" customFormat="1" x14ac:dyDescent="0.25"/>
    <row r="124919" s="12" customFormat="1" x14ac:dyDescent="0.25"/>
    <row r="124920" s="12" customFormat="1" x14ac:dyDescent="0.25"/>
    <row r="124921" s="12" customFormat="1" x14ac:dyDescent="0.25"/>
    <row r="124922" s="12" customFormat="1" x14ac:dyDescent="0.25"/>
    <row r="124923" s="12" customFormat="1" x14ac:dyDescent="0.25"/>
    <row r="124924" s="12" customFormat="1" x14ac:dyDescent="0.25"/>
    <row r="124925" s="12" customFormat="1" x14ac:dyDescent="0.25"/>
    <row r="124926" s="12" customFormat="1" x14ac:dyDescent="0.25"/>
    <row r="124927" s="12" customFormat="1" x14ac:dyDescent="0.25"/>
    <row r="124928" s="12" customFormat="1" x14ac:dyDescent="0.25"/>
    <row r="124929" s="12" customFormat="1" x14ac:dyDescent="0.25"/>
    <row r="124930" s="12" customFormat="1" x14ac:dyDescent="0.25"/>
    <row r="124931" s="12" customFormat="1" x14ac:dyDescent="0.25"/>
    <row r="124932" s="12" customFormat="1" x14ac:dyDescent="0.25"/>
    <row r="124933" s="12" customFormat="1" x14ac:dyDescent="0.25"/>
    <row r="124934" s="12" customFormat="1" x14ac:dyDescent="0.25"/>
    <row r="124935" s="12" customFormat="1" x14ac:dyDescent="0.25"/>
    <row r="124936" s="12" customFormat="1" x14ac:dyDescent="0.25"/>
    <row r="124937" s="12" customFormat="1" x14ac:dyDescent="0.25"/>
    <row r="124938" s="12" customFormat="1" x14ac:dyDescent="0.25"/>
    <row r="124939" s="12" customFormat="1" x14ac:dyDescent="0.25"/>
    <row r="124940" s="12" customFormat="1" x14ac:dyDescent="0.25"/>
    <row r="124941" s="12" customFormat="1" x14ac:dyDescent="0.25"/>
    <row r="124942" s="12" customFormat="1" x14ac:dyDescent="0.25"/>
    <row r="124943" s="12" customFormat="1" x14ac:dyDescent="0.25"/>
    <row r="124944" s="12" customFormat="1" x14ac:dyDescent="0.25"/>
    <row r="124945" s="12" customFormat="1" x14ac:dyDescent="0.25"/>
    <row r="124946" s="12" customFormat="1" x14ac:dyDescent="0.25"/>
    <row r="124947" s="12" customFormat="1" x14ac:dyDescent="0.25"/>
    <row r="124948" s="12" customFormat="1" x14ac:dyDescent="0.25"/>
    <row r="124949" s="12" customFormat="1" x14ac:dyDescent="0.25"/>
    <row r="124950" s="12" customFormat="1" x14ac:dyDescent="0.25"/>
    <row r="124951" s="12" customFormat="1" x14ac:dyDescent="0.25"/>
    <row r="124952" s="12" customFormat="1" x14ac:dyDescent="0.25"/>
    <row r="124953" s="12" customFormat="1" x14ac:dyDescent="0.25"/>
    <row r="124954" s="12" customFormat="1" x14ac:dyDescent="0.25"/>
    <row r="124955" s="12" customFormat="1" x14ac:dyDescent="0.25"/>
    <row r="124956" s="12" customFormat="1" x14ac:dyDescent="0.25"/>
    <row r="124957" s="12" customFormat="1" x14ac:dyDescent="0.25"/>
    <row r="124958" s="12" customFormat="1" x14ac:dyDescent="0.25"/>
    <row r="124959" s="12" customFormat="1" x14ac:dyDescent="0.25"/>
    <row r="124960" s="12" customFormat="1" x14ac:dyDescent="0.25"/>
    <row r="124961" s="12" customFormat="1" x14ac:dyDescent="0.25"/>
    <row r="124962" s="12" customFormat="1" x14ac:dyDescent="0.25"/>
    <row r="124963" s="12" customFormat="1" x14ac:dyDescent="0.25"/>
    <row r="124964" s="12" customFormat="1" x14ac:dyDescent="0.25"/>
    <row r="124965" s="12" customFormat="1" x14ac:dyDescent="0.25"/>
    <row r="124966" s="12" customFormat="1" x14ac:dyDescent="0.25"/>
    <row r="124967" s="12" customFormat="1" x14ac:dyDescent="0.25"/>
    <row r="124968" s="12" customFormat="1" x14ac:dyDescent="0.25"/>
    <row r="124969" s="12" customFormat="1" x14ac:dyDescent="0.25"/>
    <row r="124970" s="12" customFormat="1" x14ac:dyDescent="0.25"/>
    <row r="124971" s="12" customFormat="1" x14ac:dyDescent="0.25"/>
    <row r="124972" s="12" customFormat="1" x14ac:dyDescent="0.25"/>
    <row r="124973" s="12" customFormat="1" x14ac:dyDescent="0.25"/>
    <row r="124974" s="12" customFormat="1" x14ac:dyDescent="0.25"/>
    <row r="124975" s="12" customFormat="1" x14ac:dyDescent="0.25"/>
    <row r="124976" s="12" customFormat="1" x14ac:dyDescent="0.25"/>
    <row r="124977" s="12" customFormat="1" x14ac:dyDescent="0.25"/>
    <row r="124978" s="12" customFormat="1" x14ac:dyDescent="0.25"/>
    <row r="124979" s="12" customFormat="1" x14ac:dyDescent="0.25"/>
    <row r="124980" s="12" customFormat="1" x14ac:dyDescent="0.25"/>
    <row r="124981" s="12" customFormat="1" x14ac:dyDescent="0.25"/>
    <row r="124982" s="12" customFormat="1" x14ac:dyDescent="0.25"/>
    <row r="124983" s="12" customFormat="1" x14ac:dyDescent="0.25"/>
    <row r="124984" s="12" customFormat="1" x14ac:dyDescent="0.25"/>
    <row r="124985" s="12" customFormat="1" x14ac:dyDescent="0.25"/>
    <row r="124986" s="12" customFormat="1" x14ac:dyDescent="0.25"/>
    <row r="124987" s="12" customFormat="1" x14ac:dyDescent="0.25"/>
    <row r="124988" s="12" customFormat="1" x14ac:dyDescent="0.25"/>
    <row r="124989" s="12" customFormat="1" x14ac:dyDescent="0.25"/>
    <row r="124990" s="12" customFormat="1" x14ac:dyDescent="0.25"/>
    <row r="124991" s="12" customFormat="1" x14ac:dyDescent="0.25"/>
    <row r="124992" s="12" customFormat="1" x14ac:dyDescent="0.25"/>
    <row r="124993" s="12" customFormat="1" x14ac:dyDescent="0.25"/>
    <row r="124994" s="12" customFormat="1" x14ac:dyDescent="0.25"/>
    <row r="124995" s="12" customFormat="1" x14ac:dyDescent="0.25"/>
    <row r="124996" s="12" customFormat="1" x14ac:dyDescent="0.25"/>
    <row r="124997" s="12" customFormat="1" x14ac:dyDescent="0.25"/>
    <row r="124998" s="12" customFormat="1" x14ac:dyDescent="0.25"/>
    <row r="124999" s="12" customFormat="1" x14ac:dyDescent="0.25"/>
    <row r="125000" s="12" customFormat="1" x14ac:dyDescent="0.25"/>
    <row r="125001" s="12" customFormat="1" x14ac:dyDescent="0.25"/>
    <row r="125002" s="12" customFormat="1" x14ac:dyDescent="0.25"/>
    <row r="125003" s="12" customFormat="1" x14ac:dyDescent="0.25"/>
    <row r="125004" s="12" customFormat="1" x14ac:dyDescent="0.25"/>
    <row r="125005" s="12" customFormat="1" x14ac:dyDescent="0.25"/>
    <row r="125006" s="12" customFormat="1" x14ac:dyDescent="0.25"/>
    <row r="125007" s="12" customFormat="1" x14ac:dyDescent="0.25"/>
    <row r="125008" s="12" customFormat="1" x14ac:dyDescent="0.25"/>
    <row r="125009" s="12" customFormat="1" x14ac:dyDescent="0.25"/>
    <row r="125010" s="12" customFormat="1" x14ac:dyDescent="0.25"/>
    <row r="125011" s="12" customFormat="1" x14ac:dyDescent="0.25"/>
    <row r="125012" s="12" customFormat="1" x14ac:dyDescent="0.25"/>
    <row r="125013" s="12" customFormat="1" x14ac:dyDescent="0.25"/>
    <row r="125014" s="12" customFormat="1" x14ac:dyDescent="0.25"/>
    <row r="125015" s="12" customFormat="1" x14ac:dyDescent="0.25"/>
    <row r="125016" s="12" customFormat="1" x14ac:dyDescent="0.25"/>
    <row r="125017" s="12" customFormat="1" x14ac:dyDescent="0.25"/>
    <row r="125018" s="12" customFormat="1" x14ac:dyDescent="0.25"/>
    <row r="125019" s="12" customFormat="1" x14ac:dyDescent="0.25"/>
    <row r="125020" s="12" customFormat="1" x14ac:dyDescent="0.25"/>
    <row r="125021" s="12" customFormat="1" x14ac:dyDescent="0.25"/>
    <row r="125022" s="12" customFormat="1" x14ac:dyDescent="0.25"/>
    <row r="125023" s="12" customFormat="1" x14ac:dyDescent="0.25"/>
    <row r="125024" s="12" customFormat="1" x14ac:dyDescent="0.25"/>
    <row r="125025" s="12" customFormat="1" x14ac:dyDescent="0.25"/>
    <row r="125026" s="12" customFormat="1" x14ac:dyDescent="0.25"/>
    <row r="125027" s="12" customFormat="1" x14ac:dyDescent="0.25"/>
    <row r="125028" s="12" customFormat="1" x14ac:dyDescent="0.25"/>
    <row r="125029" s="12" customFormat="1" x14ac:dyDescent="0.25"/>
    <row r="125030" s="12" customFormat="1" x14ac:dyDescent="0.25"/>
    <row r="125031" s="12" customFormat="1" x14ac:dyDescent="0.25"/>
    <row r="125032" s="12" customFormat="1" x14ac:dyDescent="0.25"/>
    <row r="125033" s="12" customFormat="1" x14ac:dyDescent="0.25"/>
    <row r="125034" s="12" customFormat="1" x14ac:dyDescent="0.25"/>
    <row r="125035" s="12" customFormat="1" x14ac:dyDescent="0.25"/>
    <row r="125036" s="12" customFormat="1" x14ac:dyDescent="0.25"/>
    <row r="125037" s="12" customFormat="1" x14ac:dyDescent="0.25"/>
    <row r="125038" s="12" customFormat="1" x14ac:dyDescent="0.25"/>
    <row r="125039" s="12" customFormat="1" x14ac:dyDescent="0.25"/>
    <row r="125040" s="12" customFormat="1" x14ac:dyDescent="0.25"/>
    <row r="125041" s="12" customFormat="1" x14ac:dyDescent="0.25"/>
    <row r="125042" s="12" customFormat="1" x14ac:dyDescent="0.25"/>
    <row r="125043" s="12" customFormat="1" x14ac:dyDescent="0.25"/>
    <row r="125044" s="12" customFormat="1" x14ac:dyDescent="0.25"/>
    <row r="125045" s="12" customFormat="1" x14ac:dyDescent="0.25"/>
    <row r="125046" s="12" customFormat="1" x14ac:dyDescent="0.25"/>
    <row r="125047" s="12" customFormat="1" x14ac:dyDescent="0.25"/>
    <row r="125048" s="12" customFormat="1" x14ac:dyDescent="0.25"/>
    <row r="125049" s="12" customFormat="1" x14ac:dyDescent="0.25"/>
    <row r="125050" s="12" customFormat="1" x14ac:dyDescent="0.25"/>
    <row r="125051" s="12" customFormat="1" x14ac:dyDescent="0.25"/>
    <row r="125052" s="12" customFormat="1" x14ac:dyDescent="0.25"/>
    <row r="125053" s="12" customFormat="1" x14ac:dyDescent="0.25"/>
    <row r="125054" s="12" customFormat="1" x14ac:dyDescent="0.25"/>
    <row r="125055" s="12" customFormat="1" x14ac:dyDescent="0.25"/>
    <row r="125056" s="12" customFormat="1" x14ac:dyDescent="0.25"/>
    <row r="125057" s="12" customFormat="1" x14ac:dyDescent="0.25"/>
    <row r="125058" s="12" customFormat="1" x14ac:dyDescent="0.25"/>
    <row r="125059" s="12" customFormat="1" x14ac:dyDescent="0.25"/>
    <row r="125060" s="12" customFormat="1" x14ac:dyDescent="0.25"/>
    <row r="125061" s="12" customFormat="1" x14ac:dyDescent="0.25"/>
    <row r="125062" s="12" customFormat="1" x14ac:dyDescent="0.25"/>
    <row r="125063" s="12" customFormat="1" x14ac:dyDescent="0.25"/>
    <row r="125064" s="12" customFormat="1" x14ac:dyDescent="0.25"/>
    <row r="125065" s="12" customFormat="1" x14ac:dyDescent="0.25"/>
    <row r="125066" s="12" customFormat="1" x14ac:dyDescent="0.25"/>
    <row r="125067" s="12" customFormat="1" x14ac:dyDescent="0.25"/>
    <row r="125068" s="12" customFormat="1" x14ac:dyDescent="0.25"/>
    <row r="125069" s="12" customFormat="1" x14ac:dyDescent="0.25"/>
    <row r="125070" s="12" customFormat="1" x14ac:dyDescent="0.25"/>
    <row r="125071" s="12" customFormat="1" x14ac:dyDescent="0.25"/>
    <row r="125072" s="12" customFormat="1" x14ac:dyDescent="0.25"/>
    <row r="125073" s="12" customFormat="1" x14ac:dyDescent="0.25"/>
    <row r="125074" s="12" customFormat="1" x14ac:dyDescent="0.25"/>
    <row r="125075" s="12" customFormat="1" x14ac:dyDescent="0.25"/>
    <row r="125076" s="12" customFormat="1" x14ac:dyDescent="0.25"/>
    <row r="125077" s="12" customFormat="1" x14ac:dyDescent="0.25"/>
    <row r="125078" s="12" customFormat="1" x14ac:dyDescent="0.25"/>
    <row r="125079" s="12" customFormat="1" x14ac:dyDescent="0.25"/>
    <row r="125080" s="12" customFormat="1" x14ac:dyDescent="0.25"/>
    <row r="125081" s="12" customFormat="1" x14ac:dyDescent="0.25"/>
    <row r="125082" s="12" customFormat="1" x14ac:dyDescent="0.25"/>
    <row r="125083" s="12" customFormat="1" x14ac:dyDescent="0.25"/>
    <row r="125084" s="12" customFormat="1" x14ac:dyDescent="0.25"/>
    <row r="125085" s="12" customFormat="1" x14ac:dyDescent="0.25"/>
    <row r="125086" s="12" customFormat="1" x14ac:dyDescent="0.25"/>
    <row r="125087" s="12" customFormat="1" x14ac:dyDescent="0.25"/>
    <row r="125088" s="12" customFormat="1" x14ac:dyDescent="0.25"/>
    <row r="125089" s="12" customFormat="1" x14ac:dyDescent="0.25"/>
    <row r="125090" s="12" customFormat="1" x14ac:dyDescent="0.25"/>
    <row r="125091" s="12" customFormat="1" x14ac:dyDescent="0.25"/>
    <row r="125092" s="12" customFormat="1" x14ac:dyDescent="0.25"/>
    <row r="125093" s="12" customFormat="1" x14ac:dyDescent="0.25"/>
    <row r="125094" s="12" customFormat="1" x14ac:dyDescent="0.25"/>
    <row r="125095" s="12" customFormat="1" x14ac:dyDescent="0.25"/>
    <row r="125096" s="12" customFormat="1" x14ac:dyDescent="0.25"/>
    <row r="125097" s="12" customFormat="1" x14ac:dyDescent="0.25"/>
    <row r="125098" s="12" customFormat="1" x14ac:dyDescent="0.25"/>
    <row r="125099" s="12" customFormat="1" x14ac:dyDescent="0.25"/>
    <row r="125100" s="12" customFormat="1" x14ac:dyDescent="0.25"/>
    <row r="125101" s="12" customFormat="1" x14ac:dyDescent="0.25"/>
    <row r="125102" s="12" customFormat="1" x14ac:dyDescent="0.25"/>
    <row r="125103" s="12" customFormat="1" x14ac:dyDescent="0.25"/>
    <row r="125104" s="12" customFormat="1" x14ac:dyDescent="0.25"/>
    <row r="125105" s="12" customFormat="1" x14ac:dyDescent="0.25"/>
    <row r="125106" s="12" customFormat="1" x14ac:dyDescent="0.25"/>
    <row r="125107" s="12" customFormat="1" x14ac:dyDescent="0.25"/>
    <row r="125108" s="12" customFormat="1" x14ac:dyDescent="0.25"/>
    <row r="125109" s="12" customFormat="1" x14ac:dyDescent="0.25"/>
    <row r="125110" s="12" customFormat="1" x14ac:dyDescent="0.25"/>
    <row r="125111" s="12" customFormat="1" x14ac:dyDescent="0.25"/>
    <row r="125112" s="12" customFormat="1" x14ac:dyDescent="0.25"/>
    <row r="125113" s="12" customFormat="1" x14ac:dyDescent="0.25"/>
    <row r="125114" s="12" customFormat="1" x14ac:dyDescent="0.25"/>
    <row r="125115" s="12" customFormat="1" x14ac:dyDescent="0.25"/>
    <row r="125116" s="12" customFormat="1" x14ac:dyDescent="0.25"/>
    <row r="125117" s="12" customFormat="1" x14ac:dyDescent="0.25"/>
    <row r="125118" s="12" customFormat="1" x14ac:dyDescent="0.25"/>
    <row r="125119" s="12" customFormat="1" x14ac:dyDescent="0.25"/>
    <row r="125120" s="12" customFormat="1" x14ac:dyDescent="0.25"/>
    <row r="125121" s="12" customFormat="1" x14ac:dyDescent="0.25"/>
    <row r="125122" s="12" customFormat="1" x14ac:dyDescent="0.25"/>
    <row r="125123" s="12" customFormat="1" x14ac:dyDescent="0.25"/>
    <row r="125124" s="12" customFormat="1" x14ac:dyDescent="0.25"/>
    <row r="125125" s="12" customFormat="1" x14ac:dyDescent="0.25"/>
    <row r="125126" s="12" customFormat="1" x14ac:dyDescent="0.25"/>
    <row r="125127" s="12" customFormat="1" x14ac:dyDescent="0.25"/>
    <row r="125128" s="12" customFormat="1" x14ac:dyDescent="0.25"/>
    <row r="125129" s="12" customFormat="1" x14ac:dyDescent="0.25"/>
    <row r="125130" s="12" customFormat="1" x14ac:dyDescent="0.25"/>
    <row r="125131" s="12" customFormat="1" x14ac:dyDescent="0.25"/>
    <row r="125132" s="12" customFormat="1" x14ac:dyDescent="0.25"/>
    <row r="125133" s="12" customFormat="1" x14ac:dyDescent="0.25"/>
    <row r="125134" s="12" customFormat="1" x14ac:dyDescent="0.25"/>
    <row r="125135" s="12" customFormat="1" x14ac:dyDescent="0.25"/>
    <row r="125136" s="12" customFormat="1" x14ac:dyDescent="0.25"/>
    <row r="125137" s="12" customFormat="1" x14ac:dyDescent="0.25"/>
    <row r="125138" s="12" customFormat="1" x14ac:dyDescent="0.25"/>
    <row r="125139" s="12" customFormat="1" x14ac:dyDescent="0.25"/>
    <row r="125140" s="12" customFormat="1" x14ac:dyDescent="0.25"/>
    <row r="125141" s="12" customFormat="1" x14ac:dyDescent="0.25"/>
    <row r="125142" s="12" customFormat="1" x14ac:dyDescent="0.25"/>
    <row r="125143" s="12" customFormat="1" x14ac:dyDescent="0.25"/>
    <row r="125144" s="12" customFormat="1" x14ac:dyDescent="0.25"/>
    <row r="125145" s="12" customFormat="1" x14ac:dyDescent="0.25"/>
    <row r="125146" s="12" customFormat="1" x14ac:dyDescent="0.25"/>
    <row r="125147" s="12" customFormat="1" x14ac:dyDescent="0.25"/>
    <row r="125148" s="12" customFormat="1" x14ac:dyDescent="0.25"/>
    <row r="125149" s="12" customFormat="1" x14ac:dyDescent="0.25"/>
    <row r="125150" s="12" customFormat="1" x14ac:dyDescent="0.25"/>
    <row r="125151" s="12" customFormat="1" x14ac:dyDescent="0.25"/>
    <row r="125152" s="12" customFormat="1" x14ac:dyDescent="0.25"/>
    <row r="125153" s="12" customFormat="1" x14ac:dyDescent="0.25"/>
    <row r="125154" s="12" customFormat="1" x14ac:dyDescent="0.25"/>
    <row r="125155" s="12" customFormat="1" x14ac:dyDescent="0.25"/>
    <row r="125156" s="12" customFormat="1" x14ac:dyDescent="0.25"/>
    <row r="125157" s="12" customFormat="1" x14ac:dyDescent="0.25"/>
    <row r="125158" s="12" customFormat="1" x14ac:dyDescent="0.25"/>
    <row r="125159" s="12" customFormat="1" x14ac:dyDescent="0.25"/>
    <row r="125160" s="12" customFormat="1" x14ac:dyDescent="0.25"/>
    <row r="125161" s="12" customFormat="1" x14ac:dyDescent="0.25"/>
    <row r="125162" s="12" customFormat="1" x14ac:dyDescent="0.25"/>
    <row r="125163" s="12" customFormat="1" x14ac:dyDescent="0.25"/>
    <row r="125164" s="12" customFormat="1" x14ac:dyDescent="0.25"/>
    <row r="125165" s="12" customFormat="1" x14ac:dyDescent="0.25"/>
    <row r="125166" s="12" customFormat="1" x14ac:dyDescent="0.25"/>
    <row r="125167" s="12" customFormat="1" x14ac:dyDescent="0.25"/>
    <row r="125168" s="12" customFormat="1" x14ac:dyDescent="0.25"/>
    <row r="125169" s="12" customFormat="1" x14ac:dyDescent="0.25"/>
    <row r="125170" s="12" customFormat="1" x14ac:dyDescent="0.25"/>
    <row r="125171" s="12" customFormat="1" x14ac:dyDescent="0.25"/>
    <row r="125172" s="12" customFormat="1" x14ac:dyDescent="0.25"/>
    <row r="125173" s="12" customFormat="1" x14ac:dyDescent="0.25"/>
    <row r="125174" s="12" customFormat="1" x14ac:dyDescent="0.25"/>
    <row r="125175" s="12" customFormat="1" x14ac:dyDescent="0.25"/>
    <row r="125176" s="12" customFormat="1" x14ac:dyDescent="0.25"/>
    <row r="125177" s="12" customFormat="1" x14ac:dyDescent="0.25"/>
    <row r="125178" s="12" customFormat="1" x14ac:dyDescent="0.25"/>
    <row r="125179" s="12" customFormat="1" x14ac:dyDescent="0.25"/>
    <row r="125180" s="12" customFormat="1" x14ac:dyDescent="0.25"/>
    <row r="125181" s="12" customFormat="1" x14ac:dyDescent="0.25"/>
    <row r="125182" s="12" customFormat="1" x14ac:dyDescent="0.25"/>
    <row r="125183" s="12" customFormat="1" x14ac:dyDescent="0.25"/>
    <row r="125184" s="12" customFormat="1" x14ac:dyDescent="0.25"/>
    <row r="125185" s="12" customFormat="1" x14ac:dyDescent="0.25"/>
    <row r="125186" s="12" customFormat="1" x14ac:dyDescent="0.25"/>
    <row r="125187" s="12" customFormat="1" x14ac:dyDescent="0.25"/>
    <row r="125188" s="12" customFormat="1" x14ac:dyDescent="0.25"/>
    <row r="125189" s="12" customFormat="1" x14ac:dyDescent="0.25"/>
    <row r="125190" s="12" customFormat="1" x14ac:dyDescent="0.25"/>
    <row r="125191" s="12" customFormat="1" x14ac:dyDescent="0.25"/>
    <row r="125192" s="12" customFormat="1" x14ac:dyDescent="0.25"/>
    <row r="125193" s="12" customFormat="1" x14ac:dyDescent="0.25"/>
    <row r="125194" s="12" customFormat="1" x14ac:dyDescent="0.25"/>
    <row r="125195" s="12" customFormat="1" x14ac:dyDescent="0.25"/>
    <row r="125196" s="12" customFormat="1" x14ac:dyDescent="0.25"/>
    <row r="125197" s="12" customFormat="1" x14ac:dyDescent="0.25"/>
    <row r="125198" s="12" customFormat="1" x14ac:dyDescent="0.25"/>
    <row r="125199" s="12" customFormat="1" x14ac:dyDescent="0.25"/>
    <row r="125200" s="12" customFormat="1" x14ac:dyDescent="0.25"/>
    <row r="125201" s="12" customFormat="1" x14ac:dyDescent="0.25"/>
    <row r="125202" s="12" customFormat="1" x14ac:dyDescent="0.25"/>
    <row r="125203" s="12" customFormat="1" x14ac:dyDescent="0.25"/>
    <row r="125204" s="12" customFormat="1" x14ac:dyDescent="0.25"/>
    <row r="125205" s="12" customFormat="1" x14ac:dyDescent="0.25"/>
    <row r="125206" s="12" customFormat="1" x14ac:dyDescent="0.25"/>
    <row r="125207" s="12" customFormat="1" x14ac:dyDescent="0.25"/>
    <row r="125208" s="12" customFormat="1" x14ac:dyDescent="0.25"/>
    <row r="125209" s="12" customFormat="1" x14ac:dyDescent="0.25"/>
    <row r="125210" s="12" customFormat="1" x14ac:dyDescent="0.25"/>
    <row r="125211" s="12" customFormat="1" x14ac:dyDescent="0.25"/>
    <row r="125212" s="12" customFormat="1" x14ac:dyDescent="0.25"/>
    <row r="125213" s="12" customFormat="1" x14ac:dyDescent="0.25"/>
    <row r="125214" s="12" customFormat="1" x14ac:dyDescent="0.25"/>
    <row r="125215" s="12" customFormat="1" x14ac:dyDescent="0.25"/>
    <row r="125216" s="12" customFormat="1" x14ac:dyDescent="0.25"/>
    <row r="125217" s="12" customFormat="1" x14ac:dyDescent="0.25"/>
    <row r="125218" s="12" customFormat="1" x14ac:dyDescent="0.25"/>
    <row r="125219" s="12" customFormat="1" x14ac:dyDescent="0.25"/>
    <row r="125220" s="12" customFormat="1" x14ac:dyDescent="0.25"/>
    <row r="125221" s="12" customFormat="1" x14ac:dyDescent="0.25"/>
    <row r="125222" s="12" customFormat="1" x14ac:dyDescent="0.25"/>
    <row r="125223" s="12" customFormat="1" x14ac:dyDescent="0.25"/>
    <row r="125224" s="12" customFormat="1" x14ac:dyDescent="0.25"/>
    <row r="125225" s="12" customFormat="1" x14ac:dyDescent="0.25"/>
    <row r="125226" s="12" customFormat="1" x14ac:dyDescent="0.25"/>
    <row r="125227" s="12" customFormat="1" x14ac:dyDescent="0.25"/>
    <row r="125228" s="12" customFormat="1" x14ac:dyDescent="0.25"/>
    <row r="125229" s="12" customFormat="1" x14ac:dyDescent="0.25"/>
    <row r="125230" s="12" customFormat="1" x14ac:dyDescent="0.25"/>
    <row r="125231" s="12" customFormat="1" x14ac:dyDescent="0.25"/>
    <row r="125232" s="12" customFormat="1" x14ac:dyDescent="0.25"/>
    <row r="125233" s="12" customFormat="1" x14ac:dyDescent="0.25"/>
    <row r="125234" s="12" customFormat="1" x14ac:dyDescent="0.25"/>
    <row r="125235" s="12" customFormat="1" x14ac:dyDescent="0.25"/>
    <row r="125236" s="12" customFormat="1" x14ac:dyDescent="0.25"/>
    <row r="125237" s="12" customFormat="1" x14ac:dyDescent="0.25"/>
    <row r="125238" s="12" customFormat="1" x14ac:dyDescent="0.25"/>
    <row r="125239" s="12" customFormat="1" x14ac:dyDescent="0.25"/>
    <row r="125240" s="12" customFormat="1" x14ac:dyDescent="0.25"/>
    <row r="125241" s="12" customFormat="1" x14ac:dyDescent="0.25"/>
    <row r="125242" s="12" customFormat="1" x14ac:dyDescent="0.25"/>
    <row r="125243" s="12" customFormat="1" x14ac:dyDescent="0.25"/>
    <row r="125244" s="12" customFormat="1" x14ac:dyDescent="0.25"/>
    <row r="125245" s="12" customFormat="1" x14ac:dyDescent="0.25"/>
    <row r="125246" s="12" customFormat="1" x14ac:dyDescent="0.25"/>
    <row r="125247" s="12" customFormat="1" x14ac:dyDescent="0.25"/>
    <row r="125248" s="12" customFormat="1" x14ac:dyDescent="0.25"/>
    <row r="125249" s="12" customFormat="1" x14ac:dyDescent="0.25"/>
    <row r="125250" s="12" customFormat="1" x14ac:dyDescent="0.25"/>
    <row r="125251" s="12" customFormat="1" x14ac:dyDescent="0.25"/>
    <row r="125252" s="12" customFormat="1" x14ac:dyDescent="0.25"/>
    <row r="125253" s="12" customFormat="1" x14ac:dyDescent="0.25"/>
    <row r="125254" s="12" customFormat="1" x14ac:dyDescent="0.25"/>
    <row r="125255" s="12" customFormat="1" x14ac:dyDescent="0.25"/>
    <row r="125256" s="12" customFormat="1" x14ac:dyDescent="0.25"/>
    <row r="125257" s="12" customFormat="1" x14ac:dyDescent="0.25"/>
    <row r="125258" s="12" customFormat="1" x14ac:dyDescent="0.25"/>
    <row r="125259" s="12" customFormat="1" x14ac:dyDescent="0.25"/>
    <row r="125260" s="12" customFormat="1" x14ac:dyDescent="0.25"/>
    <row r="125261" s="12" customFormat="1" x14ac:dyDescent="0.25"/>
    <row r="125262" s="12" customFormat="1" x14ac:dyDescent="0.25"/>
    <row r="125263" s="12" customFormat="1" x14ac:dyDescent="0.25"/>
    <row r="125264" s="12" customFormat="1" x14ac:dyDescent="0.25"/>
    <row r="125265" s="12" customFormat="1" x14ac:dyDescent="0.25"/>
    <row r="125266" s="12" customFormat="1" x14ac:dyDescent="0.25"/>
    <row r="125267" s="12" customFormat="1" x14ac:dyDescent="0.25"/>
    <row r="125268" s="12" customFormat="1" x14ac:dyDescent="0.25"/>
    <row r="125269" s="12" customFormat="1" x14ac:dyDescent="0.25"/>
    <row r="125270" s="12" customFormat="1" x14ac:dyDescent="0.25"/>
    <row r="125271" s="12" customFormat="1" x14ac:dyDescent="0.25"/>
    <row r="125272" s="12" customFormat="1" x14ac:dyDescent="0.25"/>
    <row r="125273" s="12" customFormat="1" x14ac:dyDescent="0.25"/>
    <row r="125274" s="12" customFormat="1" x14ac:dyDescent="0.25"/>
    <row r="125275" s="12" customFormat="1" x14ac:dyDescent="0.25"/>
    <row r="125276" s="12" customFormat="1" x14ac:dyDescent="0.25"/>
    <row r="125277" s="12" customFormat="1" x14ac:dyDescent="0.25"/>
    <row r="125278" s="12" customFormat="1" x14ac:dyDescent="0.25"/>
    <row r="125279" s="12" customFormat="1" x14ac:dyDescent="0.25"/>
    <row r="125280" s="12" customFormat="1" x14ac:dyDescent="0.25"/>
    <row r="125281" s="12" customFormat="1" x14ac:dyDescent="0.25"/>
    <row r="125282" s="12" customFormat="1" x14ac:dyDescent="0.25"/>
    <row r="125283" s="12" customFormat="1" x14ac:dyDescent="0.25"/>
    <row r="125284" s="12" customFormat="1" x14ac:dyDescent="0.25"/>
    <row r="125285" s="12" customFormat="1" x14ac:dyDescent="0.25"/>
    <row r="125286" s="12" customFormat="1" x14ac:dyDescent="0.25"/>
    <row r="125287" s="12" customFormat="1" x14ac:dyDescent="0.25"/>
    <row r="125288" s="12" customFormat="1" x14ac:dyDescent="0.25"/>
    <row r="125289" s="12" customFormat="1" x14ac:dyDescent="0.25"/>
    <row r="125290" s="12" customFormat="1" x14ac:dyDescent="0.25"/>
    <row r="125291" s="12" customFormat="1" x14ac:dyDescent="0.25"/>
    <row r="125292" s="12" customFormat="1" x14ac:dyDescent="0.25"/>
    <row r="125293" s="12" customFormat="1" x14ac:dyDescent="0.25"/>
    <row r="125294" s="12" customFormat="1" x14ac:dyDescent="0.25"/>
    <row r="125295" s="12" customFormat="1" x14ac:dyDescent="0.25"/>
    <row r="125296" s="12" customFormat="1" x14ac:dyDescent="0.25"/>
    <row r="125297" s="12" customFormat="1" x14ac:dyDescent="0.25"/>
    <row r="125298" s="12" customFormat="1" x14ac:dyDescent="0.25"/>
    <row r="125299" s="12" customFormat="1" x14ac:dyDescent="0.25"/>
    <row r="125300" s="12" customFormat="1" x14ac:dyDescent="0.25"/>
    <row r="125301" s="12" customFormat="1" x14ac:dyDescent="0.25"/>
    <row r="125302" s="12" customFormat="1" x14ac:dyDescent="0.25"/>
    <row r="125303" s="12" customFormat="1" x14ac:dyDescent="0.25"/>
    <row r="125304" s="12" customFormat="1" x14ac:dyDescent="0.25"/>
    <row r="125305" s="12" customFormat="1" x14ac:dyDescent="0.25"/>
    <row r="125306" s="12" customFormat="1" x14ac:dyDescent="0.25"/>
    <row r="125307" s="12" customFormat="1" x14ac:dyDescent="0.25"/>
    <row r="125308" s="12" customFormat="1" x14ac:dyDescent="0.25"/>
    <row r="125309" s="12" customFormat="1" x14ac:dyDescent="0.25"/>
    <row r="125310" s="12" customFormat="1" x14ac:dyDescent="0.25"/>
    <row r="125311" s="12" customFormat="1" x14ac:dyDescent="0.25"/>
    <row r="125312" s="12" customFormat="1" x14ac:dyDescent="0.25"/>
    <row r="125313" s="12" customFormat="1" x14ac:dyDescent="0.25"/>
    <row r="125314" s="12" customFormat="1" x14ac:dyDescent="0.25"/>
    <row r="125315" s="12" customFormat="1" x14ac:dyDescent="0.25"/>
    <row r="125316" s="12" customFormat="1" x14ac:dyDescent="0.25"/>
    <row r="125317" s="12" customFormat="1" x14ac:dyDescent="0.25"/>
    <row r="125318" s="12" customFormat="1" x14ac:dyDescent="0.25"/>
    <row r="125319" s="12" customFormat="1" x14ac:dyDescent="0.25"/>
    <row r="125320" s="12" customFormat="1" x14ac:dyDescent="0.25"/>
    <row r="125321" s="12" customFormat="1" x14ac:dyDescent="0.25"/>
    <row r="125322" s="12" customFormat="1" x14ac:dyDescent="0.25"/>
    <row r="125323" s="12" customFormat="1" x14ac:dyDescent="0.25"/>
    <row r="125324" s="12" customFormat="1" x14ac:dyDescent="0.25"/>
    <row r="125325" s="12" customFormat="1" x14ac:dyDescent="0.25"/>
    <row r="125326" s="12" customFormat="1" x14ac:dyDescent="0.25"/>
    <row r="125327" s="12" customFormat="1" x14ac:dyDescent="0.25"/>
    <row r="125328" s="12" customFormat="1" x14ac:dyDescent="0.25"/>
    <row r="125329" s="12" customFormat="1" x14ac:dyDescent="0.25"/>
    <row r="125330" s="12" customFormat="1" x14ac:dyDescent="0.25"/>
    <row r="125331" s="12" customFormat="1" x14ac:dyDescent="0.25"/>
    <row r="125332" s="12" customFormat="1" x14ac:dyDescent="0.25"/>
    <row r="125333" s="12" customFormat="1" x14ac:dyDescent="0.25"/>
    <row r="125334" s="12" customFormat="1" x14ac:dyDescent="0.25"/>
    <row r="125335" s="12" customFormat="1" x14ac:dyDescent="0.25"/>
    <row r="125336" s="12" customFormat="1" x14ac:dyDescent="0.25"/>
    <row r="125337" s="12" customFormat="1" x14ac:dyDescent="0.25"/>
    <row r="125338" s="12" customFormat="1" x14ac:dyDescent="0.25"/>
    <row r="125339" s="12" customFormat="1" x14ac:dyDescent="0.25"/>
    <row r="125340" s="12" customFormat="1" x14ac:dyDescent="0.25"/>
    <row r="125341" s="12" customFormat="1" x14ac:dyDescent="0.25"/>
    <row r="125342" s="12" customFormat="1" x14ac:dyDescent="0.25"/>
    <row r="125343" s="12" customFormat="1" x14ac:dyDescent="0.25"/>
    <row r="125344" s="12" customFormat="1" x14ac:dyDescent="0.25"/>
    <row r="125345" s="12" customFormat="1" x14ac:dyDescent="0.25"/>
    <row r="125346" s="12" customFormat="1" x14ac:dyDescent="0.25"/>
    <row r="125347" s="12" customFormat="1" x14ac:dyDescent="0.25"/>
    <row r="125348" s="12" customFormat="1" x14ac:dyDescent="0.25"/>
    <row r="125349" s="12" customFormat="1" x14ac:dyDescent="0.25"/>
    <row r="125350" s="12" customFormat="1" x14ac:dyDescent="0.25"/>
    <row r="125351" s="12" customFormat="1" x14ac:dyDescent="0.25"/>
    <row r="125352" s="12" customFormat="1" x14ac:dyDescent="0.25"/>
    <row r="125353" s="12" customFormat="1" x14ac:dyDescent="0.25"/>
    <row r="125354" s="12" customFormat="1" x14ac:dyDescent="0.25"/>
    <row r="125355" s="12" customFormat="1" x14ac:dyDescent="0.25"/>
    <row r="125356" s="12" customFormat="1" x14ac:dyDescent="0.25"/>
    <row r="125357" s="12" customFormat="1" x14ac:dyDescent="0.25"/>
    <row r="125358" s="12" customFormat="1" x14ac:dyDescent="0.25"/>
    <row r="125359" s="12" customFormat="1" x14ac:dyDescent="0.25"/>
    <row r="125360" s="12" customFormat="1" x14ac:dyDescent="0.25"/>
    <row r="125361" s="12" customFormat="1" x14ac:dyDescent="0.25"/>
    <row r="125362" s="12" customFormat="1" x14ac:dyDescent="0.25"/>
    <row r="125363" s="12" customFormat="1" x14ac:dyDescent="0.25"/>
    <row r="125364" s="12" customFormat="1" x14ac:dyDescent="0.25"/>
    <row r="125365" s="12" customFormat="1" x14ac:dyDescent="0.25"/>
    <row r="125366" s="12" customFormat="1" x14ac:dyDescent="0.25"/>
    <row r="125367" s="12" customFormat="1" x14ac:dyDescent="0.25"/>
    <row r="125368" s="12" customFormat="1" x14ac:dyDescent="0.25"/>
    <row r="125369" s="12" customFormat="1" x14ac:dyDescent="0.25"/>
    <row r="125370" s="12" customFormat="1" x14ac:dyDescent="0.25"/>
    <row r="125371" s="12" customFormat="1" x14ac:dyDescent="0.25"/>
    <row r="125372" s="12" customFormat="1" x14ac:dyDescent="0.25"/>
    <row r="125373" s="12" customFormat="1" x14ac:dyDescent="0.25"/>
    <row r="125374" s="12" customFormat="1" x14ac:dyDescent="0.25"/>
    <row r="125375" s="12" customFormat="1" x14ac:dyDescent="0.25"/>
    <row r="125376" s="12" customFormat="1" x14ac:dyDescent="0.25"/>
    <row r="125377" s="12" customFormat="1" x14ac:dyDescent="0.25"/>
    <row r="125378" s="12" customFormat="1" x14ac:dyDescent="0.25"/>
    <row r="125379" s="12" customFormat="1" x14ac:dyDescent="0.25"/>
    <row r="125380" s="12" customFormat="1" x14ac:dyDescent="0.25"/>
    <row r="125381" s="12" customFormat="1" x14ac:dyDescent="0.25"/>
    <row r="125382" s="12" customFormat="1" x14ac:dyDescent="0.25"/>
    <row r="125383" s="12" customFormat="1" x14ac:dyDescent="0.25"/>
    <row r="125384" s="12" customFormat="1" x14ac:dyDescent="0.25"/>
    <row r="125385" s="12" customFormat="1" x14ac:dyDescent="0.25"/>
    <row r="125386" s="12" customFormat="1" x14ac:dyDescent="0.25"/>
    <row r="125387" s="12" customFormat="1" x14ac:dyDescent="0.25"/>
    <row r="125388" s="12" customFormat="1" x14ac:dyDescent="0.25"/>
    <row r="125389" s="12" customFormat="1" x14ac:dyDescent="0.25"/>
    <row r="125390" s="12" customFormat="1" x14ac:dyDescent="0.25"/>
    <row r="125391" s="12" customFormat="1" x14ac:dyDescent="0.25"/>
    <row r="125392" s="12" customFormat="1" x14ac:dyDescent="0.25"/>
    <row r="125393" s="12" customFormat="1" x14ac:dyDescent="0.25"/>
    <row r="125394" s="12" customFormat="1" x14ac:dyDescent="0.25"/>
    <row r="125395" s="12" customFormat="1" x14ac:dyDescent="0.25"/>
    <row r="125396" s="12" customFormat="1" x14ac:dyDescent="0.25"/>
    <row r="125397" s="12" customFormat="1" x14ac:dyDescent="0.25"/>
    <row r="125398" s="12" customFormat="1" x14ac:dyDescent="0.25"/>
    <row r="125399" s="12" customFormat="1" x14ac:dyDescent="0.25"/>
    <row r="125400" s="12" customFormat="1" x14ac:dyDescent="0.25"/>
    <row r="125401" s="12" customFormat="1" x14ac:dyDescent="0.25"/>
    <row r="125402" s="12" customFormat="1" x14ac:dyDescent="0.25"/>
    <row r="125403" s="12" customFormat="1" x14ac:dyDescent="0.25"/>
    <row r="125404" s="12" customFormat="1" x14ac:dyDescent="0.25"/>
    <row r="125405" s="12" customFormat="1" x14ac:dyDescent="0.25"/>
    <row r="125406" s="12" customFormat="1" x14ac:dyDescent="0.25"/>
    <row r="125407" s="12" customFormat="1" x14ac:dyDescent="0.25"/>
    <row r="125408" s="12" customFormat="1" x14ac:dyDescent="0.25"/>
    <row r="125409" s="12" customFormat="1" x14ac:dyDescent="0.25"/>
    <row r="125410" s="12" customFormat="1" x14ac:dyDescent="0.25"/>
    <row r="125411" s="12" customFormat="1" x14ac:dyDescent="0.25"/>
    <row r="125412" s="12" customFormat="1" x14ac:dyDescent="0.25"/>
    <row r="125413" s="12" customFormat="1" x14ac:dyDescent="0.25"/>
    <row r="125414" s="12" customFormat="1" x14ac:dyDescent="0.25"/>
    <row r="125415" s="12" customFormat="1" x14ac:dyDescent="0.25"/>
    <row r="125416" s="12" customFormat="1" x14ac:dyDescent="0.25"/>
    <row r="125417" s="12" customFormat="1" x14ac:dyDescent="0.25"/>
    <row r="125418" s="12" customFormat="1" x14ac:dyDescent="0.25"/>
    <row r="125419" s="12" customFormat="1" x14ac:dyDescent="0.25"/>
    <row r="125420" s="12" customFormat="1" x14ac:dyDescent="0.25"/>
    <row r="125421" s="12" customFormat="1" x14ac:dyDescent="0.25"/>
    <row r="125422" s="12" customFormat="1" x14ac:dyDescent="0.25"/>
    <row r="125423" s="12" customFormat="1" x14ac:dyDescent="0.25"/>
    <row r="125424" s="12" customFormat="1" x14ac:dyDescent="0.25"/>
    <row r="125425" s="12" customFormat="1" x14ac:dyDescent="0.25"/>
    <row r="125426" s="12" customFormat="1" x14ac:dyDescent="0.25"/>
    <row r="125427" s="12" customFormat="1" x14ac:dyDescent="0.25"/>
    <row r="125428" s="12" customFormat="1" x14ac:dyDescent="0.25"/>
    <row r="125429" s="12" customFormat="1" x14ac:dyDescent="0.25"/>
    <row r="125430" s="12" customFormat="1" x14ac:dyDescent="0.25"/>
    <row r="125431" s="12" customFormat="1" x14ac:dyDescent="0.25"/>
    <row r="125432" s="12" customFormat="1" x14ac:dyDescent="0.25"/>
    <row r="125433" s="12" customFormat="1" x14ac:dyDescent="0.25"/>
    <row r="125434" s="12" customFormat="1" x14ac:dyDescent="0.25"/>
    <row r="125435" s="12" customFormat="1" x14ac:dyDescent="0.25"/>
    <row r="125436" s="12" customFormat="1" x14ac:dyDescent="0.25"/>
    <row r="125437" s="12" customFormat="1" x14ac:dyDescent="0.25"/>
    <row r="125438" s="12" customFormat="1" x14ac:dyDescent="0.25"/>
    <row r="125439" s="12" customFormat="1" x14ac:dyDescent="0.25"/>
    <row r="125440" s="12" customFormat="1" x14ac:dyDescent="0.25"/>
    <row r="125441" s="12" customFormat="1" x14ac:dyDescent="0.25"/>
    <row r="125442" s="12" customFormat="1" x14ac:dyDescent="0.25"/>
    <row r="125443" s="12" customFormat="1" x14ac:dyDescent="0.25"/>
    <row r="125444" s="12" customFormat="1" x14ac:dyDescent="0.25"/>
    <row r="125445" s="12" customFormat="1" x14ac:dyDescent="0.25"/>
    <row r="125446" s="12" customFormat="1" x14ac:dyDescent="0.25"/>
    <row r="125447" s="12" customFormat="1" x14ac:dyDescent="0.25"/>
    <row r="125448" s="12" customFormat="1" x14ac:dyDescent="0.25"/>
    <row r="125449" s="12" customFormat="1" x14ac:dyDescent="0.25"/>
    <row r="125450" s="12" customFormat="1" x14ac:dyDescent="0.25"/>
    <row r="125451" s="12" customFormat="1" x14ac:dyDescent="0.25"/>
    <row r="125452" s="12" customFormat="1" x14ac:dyDescent="0.25"/>
    <row r="125453" s="12" customFormat="1" x14ac:dyDescent="0.25"/>
    <row r="125454" s="12" customFormat="1" x14ac:dyDescent="0.25"/>
    <row r="125455" s="12" customFormat="1" x14ac:dyDescent="0.25"/>
    <row r="125456" s="12" customFormat="1" x14ac:dyDescent="0.25"/>
    <row r="125457" s="12" customFormat="1" x14ac:dyDescent="0.25"/>
    <row r="125458" s="12" customFormat="1" x14ac:dyDescent="0.25"/>
    <row r="125459" s="12" customFormat="1" x14ac:dyDescent="0.25"/>
    <row r="125460" s="12" customFormat="1" x14ac:dyDescent="0.25"/>
    <row r="125461" s="12" customFormat="1" x14ac:dyDescent="0.25"/>
    <row r="125462" s="12" customFormat="1" x14ac:dyDescent="0.25"/>
    <row r="125463" s="12" customFormat="1" x14ac:dyDescent="0.25"/>
    <row r="125464" s="12" customFormat="1" x14ac:dyDescent="0.25"/>
    <row r="125465" s="12" customFormat="1" x14ac:dyDescent="0.25"/>
    <row r="125466" s="12" customFormat="1" x14ac:dyDescent="0.25"/>
    <row r="125467" s="12" customFormat="1" x14ac:dyDescent="0.25"/>
    <row r="125468" s="12" customFormat="1" x14ac:dyDescent="0.25"/>
    <row r="125469" s="12" customFormat="1" x14ac:dyDescent="0.25"/>
    <row r="125470" s="12" customFormat="1" x14ac:dyDescent="0.25"/>
    <row r="125471" s="12" customFormat="1" x14ac:dyDescent="0.25"/>
    <row r="125472" s="12" customFormat="1" x14ac:dyDescent="0.25"/>
    <row r="125473" s="12" customFormat="1" x14ac:dyDescent="0.25"/>
    <row r="125474" s="12" customFormat="1" x14ac:dyDescent="0.25"/>
    <row r="125475" s="12" customFormat="1" x14ac:dyDescent="0.25"/>
    <row r="125476" s="12" customFormat="1" x14ac:dyDescent="0.25"/>
    <row r="125477" s="12" customFormat="1" x14ac:dyDescent="0.25"/>
    <row r="125478" s="12" customFormat="1" x14ac:dyDescent="0.25"/>
    <row r="125479" s="12" customFormat="1" x14ac:dyDescent="0.25"/>
    <row r="125480" s="12" customFormat="1" x14ac:dyDescent="0.25"/>
    <row r="125481" s="12" customFormat="1" x14ac:dyDescent="0.25"/>
    <row r="125482" s="12" customFormat="1" x14ac:dyDescent="0.25"/>
    <row r="125483" s="12" customFormat="1" x14ac:dyDescent="0.25"/>
    <row r="125484" s="12" customFormat="1" x14ac:dyDescent="0.25"/>
    <row r="125485" s="12" customFormat="1" x14ac:dyDescent="0.25"/>
    <row r="125486" s="12" customFormat="1" x14ac:dyDescent="0.25"/>
    <row r="125487" s="12" customFormat="1" x14ac:dyDescent="0.25"/>
    <row r="125488" s="12" customFormat="1" x14ac:dyDescent="0.25"/>
    <row r="125489" s="12" customFormat="1" x14ac:dyDescent="0.25"/>
    <row r="125490" s="12" customFormat="1" x14ac:dyDescent="0.25"/>
    <row r="125491" s="12" customFormat="1" x14ac:dyDescent="0.25"/>
    <row r="125492" s="12" customFormat="1" x14ac:dyDescent="0.25"/>
    <row r="125493" s="12" customFormat="1" x14ac:dyDescent="0.25"/>
    <row r="125494" s="12" customFormat="1" x14ac:dyDescent="0.25"/>
    <row r="125495" s="12" customFormat="1" x14ac:dyDescent="0.25"/>
    <row r="125496" s="12" customFormat="1" x14ac:dyDescent="0.25"/>
    <row r="125497" s="12" customFormat="1" x14ac:dyDescent="0.25"/>
    <row r="125498" s="12" customFormat="1" x14ac:dyDescent="0.25"/>
    <row r="125499" s="12" customFormat="1" x14ac:dyDescent="0.25"/>
    <row r="125500" s="12" customFormat="1" x14ac:dyDescent="0.25"/>
    <row r="125501" s="12" customFormat="1" x14ac:dyDescent="0.25"/>
    <row r="125502" s="12" customFormat="1" x14ac:dyDescent="0.25"/>
    <row r="125503" s="12" customFormat="1" x14ac:dyDescent="0.25"/>
    <row r="125504" s="12" customFormat="1" x14ac:dyDescent="0.25"/>
    <row r="125505" s="12" customFormat="1" x14ac:dyDescent="0.25"/>
    <row r="125506" s="12" customFormat="1" x14ac:dyDescent="0.25"/>
    <row r="125507" s="12" customFormat="1" x14ac:dyDescent="0.25"/>
    <row r="125508" s="12" customFormat="1" x14ac:dyDescent="0.25"/>
    <row r="125509" s="12" customFormat="1" x14ac:dyDescent="0.25"/>
    <row r="125510" s="12" customFormat="1" x14ac:dyDescent="0.25"/>
    <row r="125511" s="12" customFormat="1" x14ac:dyDescent="0.25"/>
    <row r="125512" s="12" customFormat="1" x14ac:dyDescent="0.25"/>
    <row r="125513" s="12" customFormat="1" x14ac:dyDescent="0.25"/>
    <row r="125514" s="12" customFormat="1" x14ac:dyDescent="0.25"/>
    <row r="125515" s="12" customFormat="1" x14ac:dyDescent="0.25"/>
    <row r="125516" s="12" customFormat="1" x14ac:dyDescent="0.25"/>
    <row r="125517" s="12" customFormat="1" x14ac:dyDescent="0.25"/>
    <row r="125518" s="12" customFormat="1" x14ac:dyDescent="0.25"/>
    <row r="125519" s="12" customFormat="1" x14ac:dyDescent="0.25"/>
    <row r="125520" s="12" customFormat="1" x14ac:dyDescent="0.25"/>
    <row r="125521" s="12" customFormat="1" x14ac:dyDescent="0.25"/>
    <row r="125522" s="12" customFormat="1" x14ac:dyDescent="0.25"/>
    <row r="125523" s="12" customFormat="1" x14ac:dyDescent="0.25"/>
    <row r="125524" s="12" customFormat="1" x14ac:dyDescent="0.25"/>
    <row r="125525" s="12" customFormat="1" x14ac:dyDescent="0.25"/>
    <row r="125526" s="12" customFormat="1" x14ac:dyDescent="0.25"/>
    <row r="125527" s="12" customFormat="1" x14ac:dyDescent="0.25"/>
    <row r="125528" s="12" customFormat="1" x14ac:dyDescent="0.25"/>
    <row r="125529" s="12" customFormat="1" x14ac:dyDescent="0.25"/>
    <row r="125530" s="12" customFormat="1" x14ac:dyDescent="0.25"/>
    <row r="125531" s="12" customFormat="1" x14ac:dyDescent="0.25"/>
    <row r="125532" s="12" customFormat="1" x14ac:dyDescent="0.25"/>
    <row r="125533" s="12" customFormat="1" x14ac:dyDescent="0.25"/>
    <row r="125534" s="12" customFormat="1" x14ac:dyDescent="0.25"/>
    <row r="125535" s="12" customFormat="1" x14ac:dyDescent="0.25"/>
    <row r="125536" s="12" customFormat="1" x14ac:dyDescent="0.25"/>
    <row r="125537" s="12" customFormat="1" x14ac:dyDescent="0.25"/>
    <row r="125538" s="12" customFormat="1" x14ac:dyDescent="0.25"/>
    <row r="125539" s="12" customFormat="1" x14ac:dyDescent="0.25"/>
    <row r="125540" s="12" customFormat="1" x14ac:dyDescent="0.25"/>
    <row r="125541" s="12" customFormat="1" x14ac:dyDescent="0.25"/>
    <row r="125542" s="12" customFormat="1" x14ac:dyDescent="0.25"/>
    <row r="125543" s="12" customFormat="1" x14ac:dyDescent="0.25"/>
    <row r="125544" s="12" customFormat="1" x14ac:dyDescent="0.25"/>
    <row r="125545" s="12" customFormat="1" x14ac:dyDescent="0.25"/>
    <row r="125546" s="12" customFormat="1" x14ac:dyDescent="0.25"/>
    <row r="125547" s="12" customFormat="1" x14ac:dyDescent="0.25"/>
    <row r="125548" s="12" customFormat="1" x14ac:dyDescent="0.25"/>
    <row r="125549" s="12" customFormat="1" x14ac:dyDescent="0.25"/>
    <row r="125550" s="12" customFormat="1" x14ac:dyDescent="0.25"/>
    <row r="125551" s="12" customFormat="1" x14ac:dyDescent="0.25"/>
    <row r="125552" s="12" customFormat="1" x14ac:dyDescent="0.25"/>
    <row r="125553" s="12" customFormat="1" x14ac:dyDescent="0.25"/>
    <row r="125554" s="12" customFormat="1" x14ac:dyDescent="0.25"/>
    <row r="125555" s="12" customFormat="1" x14ac:dyDescent="0.25"/>
    <row r="125556" s="12" customFormat="1" x14ac:dyDescent="0.25"/>
    <row r="125557" s="12" customFormat="1" x14ac:dyDescent="0.25"/>
    <row r="125558" s="12" customFormat="1" x14ac:dyDescent="0.25"/>
    <row r="125559" s="12" customFormat="1" x14ac:dyDescent="0.25"/>
    <row r="125560" s="12" customFormat="1" x14ac:dyDescent="0.25"/>
    <row r="125561" s="12" customFormat="1" x14ac:dyDescent="0.25"/>
    <row r="125562" s="12" customFormat="1" x14ac:dyDescent="0.25"/>
    <row r="125563" s="12" customFormat="1" x14ac:dyDescent="0.25"/>
    <row r="125564" s="12" customFormat="1" x14ac:dyDescent="0.25"/>
    <row r="125565" s="12" customFormat="1" x14ac:dyDescent="0.25"/>
    <row r="125566" s="12" customFormat="1" x14ac:dyDescent="0.25"/>
    <row r="125567" s="12" customFormat="1" x14ac:dyDescent="0.25"/>
    <row r="125568" s="12" customFormat="1" x14ac:dyDescent="0.25"/>
    <row r="125569" s="12" customFormat="1" x14ac:dyDescent="0.25"/>
    <row r="125570" s="12" customFormat="1" x14ac:dyDescent="0.25"/>
    <row r="125571" s="12" customFormat="1" x14ac:dyDescent="0.25"/>
    <row r="125572" s="12" customFormat="1" x14ac:dyDescent="0.25"/>
    <row r="125573" s="12" customFormat="1" x14ac:dyDescent="0.25"/>
    <row r="125574" s="12" customFormat="1" x14ac:dyDescent="0.25"/>
    <row r="125575" s="12" customFormat="1" x14ac:dyDescent="0.25"/>
    <row r="125576" s="12" customFormat="1" x14ac:dyDescent="0.25"/>
    <row r="125577" s="12" customFormat="1" x14ac:dyDescent="0.25"/>
    <row r="125578" s="12" customFormat="1" x14ac:dyDescent="0.25"/>
    <row r="125579" s="12" customFormat="1" x14ac:dyDescent="0.25"/>
    <row r="125580" s="12" customFormat="1" x14ac:dyDescent="0.25"/>
    <row r="125581" s="12" customFormat="1" x14ac:dyDescent="0.25"/>
    <row r="125582" s="12" customFormat="1" x14ac:dyDescent="0.25"/>
    <row r="125583" s="12" customFormat="1" x14ac:dyDescent="0.25"/>
    <row r="125584" s="12" customFormat="1" x14ac:dyDescent="0.25"/>
    <row r="125585" s="12" customFormat="1" x14ac:dyDescent="0.25"/>
    <row r="125586" s="12" customFormat="1" x14ac:dyDescent="0.25"/>
    <row r="125587" s="12" customFormat="1" x14ac:dyDescent="0.25"/>
    <row r="125588" s="12" customFormat="1" x14ac:dyDescent="0.25"/>
    <row r="125589" s="12" customFormat="1" x14ac:dyDescent="0.25"/>
    <row r="125590" s="12" customFormat="1" x14ac:dyDescent="0.25"/>
    <row r="125591" s="12" customFormat="1" x14ac:dyDescent="0.25"/>
    <row r="125592" s="12" customFormat="1" x14ac:dyDescent="0.25"/>
    <row r="125593" s="12" customFormat="1" x14ac:dyDescent="0.25"/>
    <row r="125594" s="12" customFormat="1" x14ac:dyDescent="0.25"/>
    <row r="125595" s="12" customFormat="1" x14ac:dyDescent="0.25"/>
    <row r="125596" s="12" customFormat="1" x14ac:dyDescent="0.25"/>
    <row r="125597" s="12" customFormat="1" x14ac:dyDescent="0.25"/>
    <row r="125598" s="12" customFormat="1" x14ac:dyDescent="0.25"/>
    <row r="125599" s="12" customFormat="1" x14ac:dyDescent="0.25"/>
    <row r="125600" s="12" customFormat="1" x14ac:dyDescent="0.25"/>
    <row r="125601" s="12" customFormat="1" x14ac:dyDescent="0.25"/>
    <row r="125602" s="12" customFormat="1" x14ac:dyDescent="0.25"/>
    <row r="125603" s="12" customFormat="1" x14ac:dyDescent="0.25"/>
    <row r="125604" s="12" customFormat="1" x14ac:dyDescent="0.25"/>
    <row r="125605" s="12" customFormat="1" x14ac:dyDescent="0.25"/>
    <row r="125606" s="12" customFormat="1" x14ac:dyDescent="0.25"/>
    <row r="125607" s="12" customFormat="1" x14ac:dyDescent="0.25"/>
    <row r="125608" s="12" customFormat="1" x14ac:dyDescent="0.25"/>
    <row r="125609" s="12" customFormat="1" x14ac:dyDescent="0.25"/>
    <row r="125610" s="12" customFormat="1" x14ac:dyDescent="0.25"/>
    <row r="125611" s="12" customFormat="1" x14ac:dyDescent="0.25"/>
    <row r="125612" s="12" customFormat="1" x14ac:dyDescent="0.25"/>
    <row r="125613" s="12" customFormat="1" x14ac:dyDescent="0.25"/>
    <row r="125614" s="12" customFormat="1" x14ac:dyDescent="0.25"/>
    <row r="125615" s="12" customFormat="1" x14ac:dyDescent="0.25"/>
    <row r="125616" s="12" customFormat="1" x14ac:dyDescent="0.25"/>
    <row r="125617" s="12" customFormat="1" x14ac:dyDescent="0.25"/>
    <row r="125618" s="12" customFormat="1" x14ac:dyDescent="0.25"/>
    <row r="125619" s="12" customFormat="1" x14ac:dyDescent="0.25"/>
    <row r="125620" s="12" customFormat="1" x14ac:dyDescent="0.25"/>
    <row r="125621" s="12" customFormat="1" x14ac:dyDescent="0.25"/>
    <row r="125622" s="12" customFormat="1" x14ac:dyDescent="0.25"/>
    <row r="125623" s="12" customFormat="1" x14ac:dyDescent="0.25"/>
    <row r="125624" s="12" customFormat="1" x14ac:dyDescent="0.25"/>
    <row r="125625" s="12" customFormat="1" x14ac:dyDescent="0.25"/>
    <row r="125626" s="12" customFormat="1" x14ac:dyDescent="0.25"/>
    <row r="125627" s="12" customFormat="1" x14ac:dyDescent="0.25"/>
    <row r="125628" s="12" customFormat="1" x14ac:dyDescent="0.25"/>
    <row r="125629" s="12" customFormat="1" x14ac:dyDescent="0.25"/>
    <row r="125630" s="12" customFormat="1" x14ac:dyDescent="0.25"/>
    <row r="125631" s="12" customFormat="1" x14ac:dyDescent="0.25"/>
    <row r="125632" s="12" customFormat="1" x14ac:dyDescent="0.25"/>
    <row r="125633" s="12" customFormat="1" x14ac:dyDescent="0.25"/>
    <row r="125634" s="12" customFormat="1" x14ac:dyDescent="0.25"/>
    <row r="125635" s="12" customFormat="1" x14ac:dyDescent="0.25"/>
    <row r="125636" s="12" customFormat="1" x14ac:dyDescent="0.25"/>
    <row r="125637" s="12" customFormat="1" x14ac:dyDescent="0.25"/>
    <row r="125638" s="12" customFormat="1" x14ac:dyDescent="0.25"/>
    <row r="125639" s="12" customFormat="1" x14ac:dyDescent="0.25"/>
    <row r="125640" s="12" customFormat="1" x14ac:dyDescent="0.25"/>
    <row r="125641" s="12" customFormat="1" x14ac:dyDescent="0.25"/>
    <row r="125642" s="12" customFormat="1" x14ac:dyDescent="0.25"/>
    <row r="125643" s="12" customFormat="1" x14ac:dyDescent="0.25"/>
    <row r="125644" s="12" customFormat="1" x14ac:dyDescent="0.25"/>
    <row r="125645" s="12" customFormat="1" x14ac:dyDescent="0.25"/>
    <row r="125646" s="12" customFormat="1" x14ac:dyDescent="0.25"/>
    <row r="125647" s="12" customFormat="1" x14ac:dyDescent="0.25"/>
    <row r="125648" s="12" customFormat="1" x14ac:dyDescent="0.25"/>
    <row r="125649" s="12" customFormat="1" x14ac:dyDescent="0.25"/>
    <row r="125650" s="12" customFormat="1" x14ac:dyDescent="0.25"/>
    <row r="125651" s="12" customFormat="1" x14ac:dyDescent="0.25"/>
    <row r="125652" s="12" customFormat="1" x14ac:dyDescent="0.25"/>
    <row r="125653" s="12" customFormat="1" x14ac:dyDescent="0.25"/>
    <row r="125654" s="12" customFormat="1" x14ac:dyDescent="0.25"/>
    <row r="125655" s="12" customFormat="1" x14ac:dyDescent="0.25"/>
    <row r="125656" s="12" customFormat="1" x14ac:dyDescent="0.25"/>
    <row r="125657" s="12" customFormat="1" x14ac:dyDescent="0.25"/>
    <row r="125658" s="12" customFormat="1" x14ac:dyDescent="0.25"/>
    <row r="125659" s="12" customFormat="1" x14ac:dyDescent="0.25"/>
    <row r="125660" s="12" customFormat="1" x14ac:dyDescent="0.25"/>
    <row r="125661" s="12" customFormat="1" x14ac:dyDescent="0.25"/>
    <row r="125662" s="12" customFormat="1" x14ac:dyDescent="0.25"/>
    <row r="125663" s="12" customFormat="1" x14ac:dyDescent="0.25"/>
    <row r="125664" s="12" customFormat="1" x14ac:dyDescent="0.25"/>
    <row r="125665" s="12" customFormat="1" x14ac:dyDescent="0.25"/>
    <row r="125666" s="12" customFormat="1" x14ac:dyDescent="0.25"/>
    <row r="125667" s="12" customFormat="1" x14ac:dyDescent="0.25"/>
    <row r="125668" s="12" customFormat="1" x14ac:dyDescent="0.25"/>
    <row r="125669" s="12" customFormat="1" x14ac:dyDescent="0.25"/>
    <row r="125670" s="12" customFormat="1" x14ac:dyDescent="0.25"/>
    <row r="125671" s="12" customFormat="1" x14ac:dyDescent="0.25"/>
    <row r="125672" s="12" customFormat="1" x14ac:dyDescent="0.25"/>
    <row r="125673" s="12" customFormat="1" x14ac:dyDescent="0.25"/>
    <row r="125674" s="12" customFormat="1" x14ac:dyDescent="0.25"/>
    <row r="125675" s="12" customFormat="1" x14ac:dyDescent="0.25"/>
    <row r="125676" s="12" customFormat="1" x14ac:dyDescent="0.25"/>
    <row r="125677" s="12" customFormat="1" x14ac:dyDescent="0.25"/>
    <row r="125678" s="12" customFormat="1" x14ac:dyDescent="0.25"/>
    <row r="125679" s="12" customFormat="1" x14ac:dyDescent="0.25"/>
    <row r="125680" s="12" customFormat="1" x14ac:dyDescent="0.25"/>
    <row r="125681" s="12" customFormat="1" x14ac:dyDescent="0.25"/>
    <row r="125682" s="12" customFormat="1" x14ac:dyDescent="0.25"/>
    <row r="125683" s="12" customFormat="1" x14ac:dyDescent="0.25"/>
    <row r="125684" s="12" customFormat="1" x14ac:dyDescent="0.25"/>
    <row r="125685" s="12" customFormat="1" x14ac:dyDescent="0.25"/>
    <row r="125686" s="12" customFormat="1" x14ac:dyDescent="0.25"/>
    <row r="125687" s="12" customFormat="1" x14ac:dyDescent="0.25"/>
    <row r="125688" s="12" customFormat="1" x14ac:dyDescent="0.25"/>
    <row r="125689" s="12" customFormat="1" x14ac:dyDescent="0.25"/>
    <row r="125690" s="12" customFormat="1" x14ac:dyDescent="0.25"/>
    <row r="125691" s="12" customFormat="1" x14ac:dyDescent="0.25"/>
    <row r="125692" s="12" customFormat="1" x14ac:dyDescent="0.25"/>
    <row r="125693" s="12" customFormat="1" x14ac:dyDescent="0.25"/>
    <row r="125694" s="12" customFormat="1" x14ac:dyDescent="0.25"/>
    <row r="125695" s="12" customFormat="1" x14ac:dyDescent="0.25"/>
    <row r="125696" s="12" customFormat="1" x14ac:dyDescent="0.25"/>
    <row r="125697" s="12" customFormat="1" x14ac:dyDescent="0.25"/>
    <row r="125698" s="12" customFormat="1" x14ac:dyDescent="0.25"/>
    <row r="125699" s="12" customFormat="1" x14ac:dyDescent="0.25"/>
    <row r="125700" s="12" customFormat="1" x14ac:dyDescent="0.25"/>
    <row r="125701" s="12" customFormat="1" x14ac:dyDescent="0.25"/>
    <row r="125702" s="12" customFormat="1" x14ac:dyDescent="0.25"/>
    <row r="125703" s="12" customFormat="1" x14ac:dyDescent="0.25"/>
    <row r="125704" s="12" customFormat="1" x14ac:dyDescent="0.25"/>
    <row r="125705" s="12" customFormat="1" x14ac:dyDescent="0.25"/>
    <row r="125706" s="12" customFormat="1" x14ac:dyDescent="0.25"/>
    <row r="125707" s="12" customFormat="1" x14ac:dyDescent="0.25"/>
    <row r="125708" s="12" customFormat="1" x14ac:dyDescent="0.25"/>
    <row r="125709" s="12" customFormat="1" x14ac:dyDescent="0.25"/>
    <row r="125710" s="12" customFormat="1" x14ac:dyDescent="0.25"/>
    <row r="125711" s="12" customFormat="1" x14ac:dyDescent="0.25"/>
    <row r="125712" s="12" customFormat="1" x14ac:dyDescent="0.25"/>
    <row r="125713" s="12" customFormat="1" x14ac:dyDescent="0.25"/>
    <row r="125714" s="12" customFormat="1" x14ac:dyDescent="0.25"/>
    <row r="125715" s="12" customFormat="1" x14ac:dyDescent="0.25"/>
    <row r="125716" s="12" customFormat="1" x14ac:dyDescent="0.25"/>
    <row r="125717" s="12" customFormat="1" x14ac:dyDescent="0.25"/>
    <row r="125718" s="12" customFormat="1" x14ac:dyDescent="0.25"/>
    <row r="125719" s="12" customFormat="1" x14ac:dyDescent="0.25"/>
    <row r="125720" s="12" customFormat="1" x14ac:dyDescent="0.25"/>
    <row r="125721" s="12" customFormat="1" x14ac:dyDescent="0.25"/>
    <row r="125722" s="12" customFormat="1" x14ac:dyDescent="0.25"/>
    <row r="125723" s="12" customFormat="1" x14ac:dyDescent="0.25"/>
    <row r="125724" s="12" customFormat="1" x14ac:dyDescent="0.25"/>
    <row r="125725" s="12" customFormat="1" x14ac:dyDescent="0.25"/>
    <row r="125726" s="12" customFormat="1" x14ac:dyDescent="0.25"/>
    <row r="125727" s="12" customFormat="1" x14ac:dyDescent="0.25"/>
    <row r="125728" s="12" customFormat="1" x14ac:dyDescent="0.25"/>
    <row r="125729" s="12" customFormat="1" x14ac:dyDescent="0.25"/>
    <row r="125730" s="12" customFormat="1" x14ac:dyDescent="0.25"/>
    <row r="125731" s="12" customFormat="1" x14ac:dyDescent="0.25"/>
    <row r="125732" s="12" customFormat="1" x14ac:dyDescent="0.25"/>
    <row r="125733" s="12" customFormat="1" x14ac:dyDescent="0.25"/>
    <row r="125734" s="12" customFormat="1" x14ac:dyDescent="0.25"/>
    <row r="125735" s="12" customFormat="1" x14ac:dyDescent="0.25"/>
    <row r="125736" s="12" customFormat="1" x14ac:dyDescent="0.25"/>
    <row r="125737" s="12" customFormat="1" x14ac:dyDescent="0.25"/>
    <row r="125738" s="12" customFormat="1" x14ac:dyDescent="0.25"/>
    <row r="125739" s="12" customFormat="1" x14ac:dyDescent="0.25"/>
    <row r="125740" s="12" customFormat="1" x14ac:dyDescent="0.25"/>
    <row r="125741" s="12" customFormat="1" x14ac:dyDescent="0.25"/>
    <row r="125742" s="12" customFormat="1" x14ac:dyDescent="0.25"/>
    <row r="125743" s="12" customFormat="1" x14ac:dyDescent="0.25"/>
    <row r="125744" s="12" customFormat="1" x14ac:dyDescent="0.25"/>
    <row r="125745" s="12" customFormat="1" x14ac:dyDescent="0.25"/>
    <row r="125746" s="12" customFormat="1" x14ac:dyDescent="0.25"/>
    <row r="125747" s="12" customFormat="1" x14ac:dyDescent="0.25"/>
    <row r="125748" s="12" customFormat="1" x14ac:dyDescent="0.25"/>
    <row r="125749" s="12" customFormat="1" x14ac:dyDescent="0.25"/>
    <row r="125750" s="12" customFormat="1" x14ac:dyDescent="0.25"/>
    <row r="125751" s="12" customFormat="1" x14ac:dyDescent="0.25"/>
    <row r="125752" s="12" customFormat="1" x14ac:dyDescent="0.25"/>
    <row r="125753" s="12" customFormat="1" x14ac:dyDescent="0.25"/>
    <row r="125754" s="12" customFormat="1" x14ac:dyDescent="0.25"/>
    <row r="125755" s="12" customFormat="1" x14ac:dyDescent="0.25"/>
    <row r="125756" s="12" customFormat="1" x14ac:dyDescent="0.25"/>
    <row r="125757" s="12" customFormat="1" x14ac:dyDescent="0.25"/>
    <row r="125758" s="12" customFormat="1" x14ac:dyDescent="0.25"/>
    <row r="125759" s="12" customFormat="1" x14ac:dyDescent="0.25"/>
    <row r="125760" s="12" customFormat="1" x14ac:dyDescent="0.25"/>
    <row r="125761" s="12" customFormat="1" x14ac:dyDescent="0.25"/>
    <row r="125762" s="12" customFormat="1" x14ac:dyDescent="0.25"/>
    <row r="125763" s="12" customFormat="1" x14ac:dyDescent="0.25"/>
    <row r="125764" s="12" customFormat="1" x14ac:dyDescent="0.25"/>
    <row r="125765" s="12" customFormat="1" x14ac:dyDescent="0.25"/>
    <row r="125766" s="12" customFormat="1" x14ac:dyDescent="0.25"/>
    <row r="125767" s="12" customFormat="1" x14ac:dyDescent="0.25"/>
    <row r="125768" s="12" customFormat="1" x14ac:dyDescent="0.25"/>
    <row r="125769" s="12" customFormat="1" x14ac:dyDescent="0.25"/>
    <row r="125770" s="12" customFormat="1" x14ac:dyDescent="0.25"/>
    <row r="125771" s="12" customFormat="1" x14ac:dyDescent="0.25"/>
    <row r="125772" s="12" customFormat="1" x14ac:dyDescent="0.25"/>
    <row r="125773" s="12" customFormat="1" x14ac:dyDescent="0.25"/>
    <row r="125774" s="12" customFormat="1" x14ac:dyDescent="0.25"/>
    <row r="125775" s="12" customFormat="1" x14ac:dyDescent="0.25"/>
    <row r="125776" s="12" customFormat="1" x14ac:dyDescent="0.25"/>
    <row r="125777" s="12" customFormat="1" x14ac:dyDescent="0.25"/>
    <row r="125778" s="12" customFormat="1" x14ac:dyDescent="0.25"/>
    <row r="125779" s="12" customFormat="1" x14ac:dyDescent="0.25"/>
    <row r="125780" s="12" customFormat="1" x14ac:dyDescent="0.25"/>
    <row r="125781" s="12" customFormat="1" x14ac:dyDescent="0.25"/>
    <row r="125782" s="12" customFormat="1" x14ac:dyDescent="0.25"/>
    <row r="125783" s="12" customFormat="1" x14ac:dyDescent="0.25"/>
    <row r="125784" s="12" customFormat="1" x14ac:dyDescent="0.25"/>
    <row r="125785" s="12" customFormat="1" x14ac:dyDescent="0.25"/>
    <row r="125786" s="12" customFormat="1" x14ac:dyDescent="0.25"/>
    <row r="125787" s="12" customFormat="1" x14ac:dyDescent="0.25"/>
    <row r="125788" s="12" customFormat="1" x14ac:dyDescent="0.25"/>
    <row r="125789" s="12" customFormat="1" x14ac:dyDescent="0.25"/>
    <row r="125790" s="12" customFormat="1" x14ac:dyDescent="0.25"/>
    <row r="125791" s="12" customFormat="1" x14ac:dyDescent="0.25"/>
    <row r="125792" s="12" customFormat="1" x14ac:dyDescent="0.25"/>
    <row r="125793" s="12" customFormat="1" x14ac:dyDescent="0.25"/>
    <row r="125794" s="12" customFormat="1" x14ac:dyDescent="0.25"/>
    <row r="125795" s="12" customFormat="1" x14ac:dyDescent="0.25"/>
    <row r="125796" s="12" customFormat="1" x14ac:dyDescent="0.25"/>
    <row r="125797" s="12" customFormat="1" x14ac:dyDescent="0.25"/>
    <row r="125798" s="12" customFormat="1" x14ac:dyDescent="0.25"/>
    <row r="125799" s="12" customFormat="1" x14ac:dyDescent="0.25"/>
    <row r="125800" s="12" customFormat="1" x14ac:dyDescent="0.25"/>
    <row r="125801" s="12" customFormat="1" x14ac:dyDescent="0.25"/>
    <row r="125802" s="12" customFormat="1" x14ac:dyDescent="0.25"/>
    <row r="125803" s="12" customFormat="1" x14ac:dyDescent="0.25"/>
    <row r="125804" s="12" customFormat="1" x14ac:dyDescent="0.25"/>
    <row r="125805" s="12" customFormat="1" x14ac:dyDescent="0.25"/>
    <row r="125806" s="12" customFormat="1" x14ac:dyDescent="0.25"/>
    <row r="125807" s="12" customFormat="1" x14ac:dyDescent="0.25"/>
    <row r="125808" s="12" customFormat="1" x14ac:dyDescent="0.25"/>
    <row r="125809" s="12" customFormat="1" x14ac:dyDescent="0.25"/>
    <row r="125810" s="12" customFormat="1" x14ac:dyDescent="0.25"/>
    <row r="125811" s="12" customFormat="1" x14ac:dyDescent="0.25"/>
    <row r="125812" s="12" customFormat="1" x14ac:dyDescent="0.25"/>
    <row r="125813" s="12" customFormat="1" x14ac:dyDescent="0.25"/>
    <row r="125814" s="12" customFormat="1" x14ac:dyDescent="0.25"/>
    <row r="125815" s="12" customFormat="1" x14ac:dyDescent="0.25"/>
    <row r="125816" s="12" customFormat="1" x14ac:dyDescent="0.25"/>
    <row r="125817" s="12" customFormat="1" x14ac:dyDescent="0.25"/>
    <row r="125818" s="12" customFormat="1" x14ac:dyDescent="0.25"/>
    <row r="125819" s="12" customFormat="1" x14ac:dyDescent="0.25"/>
    <row r="125820" s="12" customFormat="1" x14ac:dyDescent="0.25"/>
    <row r="125821" s="12" customFormat="1" x14ac:dyDescent="0.25"/>
    <row r="125822" s="12" customFormat="1" x14ac:dyDescent="0.25"/>
    <row r="125823" s="12" customFormat="1" x14ac:dyDescent="0.25"/>
    <row r="125824" s="12" customFormat="1" x14ac:dyDescent="0.25"/>
    <row r="125825" s="12" customFormat="1" x14ac:dyDescent="0.25"/>
    <row r="125826" s="12" customFormat="1" x14ac:dyDescent="0.25"/>
    <row r="125827" s="12" customFormat="1" x14ac:dyDescent="0.25"/>
    <row r="125828" s="12" customFormat="1" x14ac:dyDescent="0.25"/>
    <row r="125829" s="12" customFormat="1" x14ac:dyDescent="0.25"/>
    <row r="125830" s="12" customFormat="1" x14ac:dyDescent="0.25"/>
    <row r="125831" s="12" customFormat="1" x14ac:dyDescent="0.25"/>
    <row r="125832" s="12" customFormat="1" x14ac:dyDescent="0.25"/>
    <row r="125833" s="12" customFormat="1" x14ac:dyDescent="0.25"/>
    <row r="125834" s="12" customFormat="1" x14ac:dyDescent="0.25"/>
    <row r="125835" s="12" customFormat="1" x14ac:dyDescent="0.25"/>
    <row r="125836" s="12" customFormat="1" x14ac:dyDescent="0.25"/>
    <row r="125837" s="12" customFormat="1" x14ac:dyDescent="0.25"/>
    <row r="125838" s="12" customFormat="1" x14ac:dyDescent="0.25"/>
    <row r="125839" s="12" customFormat="1" x14ac:dyDescent="0.25"/>
    <row r="125840" s="12" customFormat="1" x14ac:dyDescent="0.25"/>
    <row r="125841" s="12" customFormat="1" x14ac:dyDescent="0.25"/>
    <row r="125842" s="12" customFormat="1" x14ac:dyDescent="0.25"/>
    <row r="125843" s="12" customFormat="1" x14ac:dyDescent="0.25"/>
    <row r="125844" s="12" customFormat="1" x14ac:dyDescent="0.25"/>
    <row r="125845" s="12" customFormat="1" x14ac:dyDescent="0.25"/>
    <row r="125846" s="12" customFormat="1" x14ac:dyDescent="0.25"/>
    <row r="125847" s="12" customFormat="1" x14ac:dyDescent="0.25"/>
    <row r="125848" s="12" customFormat="1" x14ac:dyDescent="0.25"/>
    <row r="125849" s="12" customFormat="1" x14ac:dyDescent="0.25"/>
    <row r="125850" s="12" customFormat="1" x14ac:dyDescent="0.25"/>
    <row r="125851" s="12" customFormat="1" x14ac:dyDescent="0.25"/>
    <row r="125852" s="12" customFormat="1" x14ac:dyDescent="0.25"/>
    <row r="125853" s="12" customFormat="1" x14ac:dyDescent="0.25"/>
    <row r="125854" s="12" customFormat="1" x14ac:dyDescent="0.25"/>
    <row r="125855" s="12" customFormat="1" x14ac:dyDescent="0.25"/>
    <row r="125856" s="12" customFormat="1" x14ac:dyDescent="0.25"/>
    <row r="125857" s="12" customFormat="1" x14ac:dyDescent="0.25"/>
    <row r="125858" s="12" customFormat="1" x14ac:dyDescent="0.25"/>
    <row r="125859" s="12" customFormat="1" x14ac:dyDescent="0.25"/>
    <row r="125860" s="12" customFormat="1" x14ac:dyDescent="0.25"/>
    <row r="125861" s="12" customFormat="1" x14ac:dyDescent="0.25"/>
    <row r="125862" s="12" customFormat="1" x14ac:dyDescent="0.25"/>
    <row r="125863" s="12" customFormat="1" x14ac:dyDescent="0.25"/>
    <row r="125864" s="12" customFormat="1" x14ac:dyDescent="0.25"/>
    <row r="125865" s="12" customFormat="1" x14ac:dyDescent="0.25"/>
    <row r="125866" s="12" customFormat="1" x14ac:dyDescent="0.25"/>
    <row r="125867" s="12" customFormat="1" x14ac:dyDescent="0.25"/>
    <row r="125868" s="12" customFormat="1" x14ac:dyDescent="0.25"/>
    <row r="125869" s="12" customFormat="1" x14ac:dyDescent="0.25"/>
    <row r="125870" s="12" customFormat="1" x14ac:dyDescent="0.25"/>
    <row r="125871" s="12" customFormat="1" x14ac:dyDescent="0.25"/>
    <row r="125872" s="12" customFormat="1" x14ac:dyDescent="0.25"/>
    <row r="125873" s="12" customFormat="1" x14ac:dyDescent="0.25"/>
    <row r="125874" s="12" customFormat="1" x14ac:dyDescent="0.25"/>
    <row r="125875" s="12" customFormat="1" x14ac:dyDescent="0.25"/>
    <row r="125876" s="12" customFormat="1" x14ac:dyDescent="0.25"/>
    <row r="125877" s="12" customFormat="1" x14ac:dyDescent="0.25"/>
    <row r="125878" s="12" customFormat="1" x14ac:dyDescent="0.25"/>
    <row r="125879" s="12" customFormat="1" x14ac:dyDescent="0.25"/>
    <row r="125880" s="12" customFormat="1" x14ac:dyDescent="0.25"/>
    <row r="125881" s="12" customFormat="1" x14ac:dyDescent="0.25"/>
    <row r="125882" s="12" customFormat="1" x14ac:dyDescent="0.25"/>
    <row r="125883" s="12" customFormat="1" x14ac:dyDescent="0.25"/>
    <row r="125884" s="12" customFormat="1" x14ac:dyDescent="0.25"/>
    <row r="125885" s="12" customFormat="1" x14ac:dyDescent="0.25"/>
    <row r="125886" s="12" customFormat="1" x14ac:dyDescent="0.25"/>
    <row r="125887" s="12" customFormat="1" x14ac:dyDescent="0.25"/>
    <row r="125888" s="12" customFormat="1" x14ac:dyDescent="0.25"/>
    <row r="125889" s="12" customFormat="1" x14ac:dyDescent="0.25"/>
    <row r="125890" s="12" customFormat="1" x14ac:dyDescent="0.25"/>
    <row r="125891" s="12" customFormat="1" x14ac:dyDescent="0.25"/>
    <row r="125892" s="12" customFormat="1" x14ac:dyDescent="0.25"/>
    <row r="125893" s="12" customFormat="1" x14ac:dyDescent="0.25"/>
    <row r="125894" s="12" customFormat="1" x14ac:dyDescent="0.25"/>
    <row r="125895" s="12" customFormat="1" x14ac:dyDescent="0.25"/>
    <row r="125896" s="12" customFormat="1" x14ac:dyDescent="0.25"/>
    <row r="125897" s="12" customFormat="1" x14ac:dyDescent="0.25"/>
    <row r="125898" s="12" customFormat="1" x14ac:dyDescent="0.25"/>
    <row r="125899" s="12" customFormat="1" x14ac:dyDescent="0.25"/>
    <row r="125900" s="12" customFormat="1" x14ac:dyDescent="0.25"/>
    <row r="125901" s="12" customFormat="1" x14ac:dyDescent="0.25"/>
    <row r="125902" s="12" customFormat="1" x14ac:dyDescent="0.25"/>
    <row r="125903" s="12" customFormat="1" x14ac:dyDescent="0.25"/>
    <row r="125904" s="12" customFormat="1" x14ac:dyDescent="0.25"/>
    <row r="125905" s="12" customFormat="1" x14ac:dyDescent="0.25"/>
    <row r="125906" s="12" customFormat="1" x14ac:dyDescent="0.25"/>
    <row r="125907" s="12" customFormat="1" x14ac:dyDescent="0.25"/>
    <row r="125908" s="12" customFormat="1" x14ac:dyDescent="0.25"/>
    <row r="125909" s="12" customFormat="1" x14ac:dyDescent="0.25"/>
    <row r="125910" s="12" customFormat="1" x14ac:dyDescent="0.25"/>
    <row r="125911" s="12" customFormat="1" x14ac:dyDescent="0.25"/>
    <row r="125912" s="12" customFormat="1" x14ac:dyDescent="0.25"/>
    <row r="125913" s="12" customFormat="1" x14ac:dyDescent="0.25"/>
    <row r="125914" s="12" customFormat="1" x14ac:dyDescent="0.25"/>
    <row r="125915" s="12" customFormat="1" x14ac:dyDescent="0.25"/>
    <row r="125916" s="12" customFormat="1" x14ac:dyDescent="0.25"/>
    <row r="125917" s="12" customFormat="1" x14ac:dyDescent="0.25"/>
    <row r="125918" s="12" customFormat="1" x14ac:dyDescent="0.25"/>
    <row r="125919" s="12" customFormat="1" x14ac:dyDescent="0.25"/>
    <row r="125920" s="12" customFormat="1" x14ac:dyDescent="0.25"/>
    <row r="125921" s="12" customFormat="1" x14ac:dyDescent="0.25"/>
    <row r="125922" s="12" customFormat="1" x14ac:dyDescent="0.25"/>
    <row r="125923" s="12" customFormat="1" x14ac:dyDescent="0.25"/>
    <row r="125924" s="12" customFormat="1" x14ac:dyDescent="0.25"/>
    <row r="125925" s="12" customFormat="1" x14ac:dyDescent="0.25"/>
    <row r="125926" s="12" customFormat="1" x14ac:dyDescent="0.25"/>
    <row r="125927" s="12" customFormat="1" x14ac:dyDescent="0.25"/>
    <row r="125928" s="12" customFormat="1" x14ac:dyDescent="0.25"/>
    <row r="125929" s="12" customFormat="1" x14ac:dyDescent="0.25"/>
    <row r="125930" s="12" customFormat="1" x14ac:dyDescent="0.25"/>
    <row r="125931" s="12" customFormat="1" x14ac:dyDescent="0.25"/>
    <row r="125932" s="12" customFormat="1" x14ac:dyDescent="0.25"/>
    <row r="125933" s="12" customFormat="1" x14ac:dyDescent="0.25"/>
    <row r="125934" s="12" customFormat="1" x14ac:dyDescent="0.25"/>
    <row r="125935" s="12" customFormat="1" x14ac:dyDescent="0.25"/>
    <row r="125936" s="12" customFormat="1" x14ac:dyDescent="0.25"/>
    <row r="125937" s="12" customFormat="1" x14ac:dyDescent="0.25"/>
    <row r="125938" s="12" customFormat="1" x14ac:dyDescent="0.25"/>
    <row r="125939" s="12" customFormat="1" x14ac:dyDescent="0.25"/>
    <row r="125940" s="12" customFormat="1" x14ac:dyDescent="0.25"/>
    <row r="125941" s="12" customFormat="1" x14ac:dyDescent="0.25"/>
    <row r="125942" s="12" customFormat="1" x14ac:dyDescent="0.25"/>
    <row r="125943" s="12" customFormat="1" x14ac:dyDescent="0.25"/>
    <row r="125944" s="12" customFormat="1" x14ac:dyDescent="0.25"/>
    <row r="125945" s="12" customFormat="1" x14ac:dyDescent="0.25"/>
    <row r="125946" s="12" customFormat="1" x14ac:dyDescent="0.25"/>
    <row r="125947" s="12" customFormat="1" x14ac:dyDescent="0.25"/>
    <row r="125948" s="12" customFormat="1" x14ac:dyDescent="0.25"/>
    <row r="125949" s="12" customFormat="1" x14ac:dyDescent="0.25"/>
    <row r="125950" s="12" customFormat="1" x14ac:dyDescent="0.25"/>
    <row r="125951" s="12" customFormat="1" x14ac:dyDescent="0.25"/>
    <row r="125952" s="12" customFormat="1" x14ac:dyDescent="0.25"/>
    <row r="125953" s="12" customFormat="1" x14ac:dyDescent="0.25"/>
    <row r="125954" s="12" customFormat="1" x14ac:dyDescent="0.25"/>
    <row r="125955" s="12" customFormat="1" x14ac:dyDescent="0.25"/>
    <row r="125956" s="12" customFormat="1" x14ac:dyDescent="0.25"/>
    <row r="125957" s="12" customFormat="1" x14ac:dyDescent="0.25"/>
    <row r="125958" s="12" customFormat="1" x14ac:dyDescent="0.25"/>
    <row r="125959" s="12" customFormat="1" x14ac:dyDescent="0.25"/>
    <row r="125960" s="12" customFormat="1" x14ac:dyDescent="0.25"/>
    <row r="125961" s="12" customFormat="1" x14ac:dyDescent="0.25"/>
    <row r="125962" s="12" customFormat="1" x14ac:dyDescent="0.25"/>
    <row r="125963" s="12" customFormat="1" x14ac:dyDescent="0.25"/>
    <row r="125964" s="12" customFormat="1" x14ac:dyDescent="0.25"/>
    <row r="125965" s="12" customFormat="1" x14ac:dyDescent="0.25"/>
    <row r="125966" s="12" customFormat="1" x14ac:dyDescent="0.25"/>
    <row r="125967" s="12" customFormat="1" x14ac:dyDescent="0.25"/>
    <row r="125968" s="12" customFormat="1" x14ac:dyDescent="0.25"/>
    <row r="125969" s="12" customFormat="1" x14ac:dyDescent="0.25"/>
    <row r="125970" s="12" customFormat="1" x14ac:dyDescent="0.25"/>
    <row r="125971" s="12" customFormat="1" x14ac:dyDescent="0.25"/>
    <row r="125972" s="12" customFormat="1" x14ac:dyDescent="0.25"/>
    <row r="125973" s="12" customFormat="1" x14ac:dyDescent="0.25"/>
    <row r="125974" s="12" customFormat="1" x14ac:dyDescent="0.25"/>
    <row r="125975" s="12" customFormat="1" x14ac:dyDescent="0.25"/>
    <row r="125976" s="12" customFormat="1" x14ac:dyDescent="0.25"/>
    <row r="125977" s="12" customFormat="1" x14ac:dyDescent="0.25"/>
    <row r="125978" s="12" customFormat="1" x14ac:dyDescent="0.25"/>
    <row r="125979" s="12" customFormat="1" x14ac:dyDescent="0.25"/>
    <row r="125980" s="12" customFormat="1" x14ac:dyDescent="0.25"/>
    <row r="125981" s="12" customFormat="1" x14ac:dyDescent="0.25"/>
    <row r="125982" s="12" customFormat="1" x14ac:dyDescent="0.25"/>
    <row r="125983" s="12" customFormat="1" x14ac:dyDescent="0.25"/>
    <row r="125984" s="12" customFormat="1" x14ac:dyDescent="0.25"/>
    <row r="125985" s="12" customFormat="1" x14ac:dyDescent="0.25"/>
    <row r="125986" s="12" customFormat="1" x14ac:dyDescent="0.25"/>
    <row r="125987" s="12" customFormat="1" x14ac:dyDescent="0.25"/>
    <row r="125988" s="12" customFormat="1" x14ac:dyDescent="0.25"/>
    <row r="125989" s="12" customFormat="1" x14ac:dyDescent="0.25"/>
    <row r="125990" s="12" customFormat="1" x14ac:dyDescent="0.25"/>
    <row r="125991" s="12" customFormat="1" x14ac:dyDescent="0.25"/>
    <row r="125992" s="12" customFormat="1" x14ac:dyDescent="0.25"/>
    <row r="125993" s="12" customFormat="1" x14ac:dyDescent="0.25"/>
    <row r="125994" s="12" customFormat="1" x14ac:dyDescent="0.25"/>
    <row r="125995" s="12" customFormat="1" x14ac:dyDescent="0.25"/>
    <row r="125996" s="12" customFormat="1" x14ac:dyDescent="0.25"/>
    <row r="125997" s="12" customFormat="1" x14ac:dyDescent="0.25"/>
    <row r="125998" s="12" customFormat="1" x14ac:dyDescent="0.25"/>
    <row r="125999" s="12" customFormat="1" x14ac:dyDescent="0.25"/>
    <row r="126000" s="12" customFormat="1" x14ac:dyDescent="0.25"/>
    <row r="126001" s="12" customFormat="1" x14ac:dyDescent="0.25"/>
    <row r="126002" s="12" customFormat="1" x14ac:dyDescent="0.25"/>
    <row r="126003" s="12" customFormat="1" x14ac:dyDescent="0.25"/>
    <row r="126004" s="12" customFormat="1" x14ac:dyDescent="0.25"/>
    <row r="126005" s="12" customFormat="1" x14ac:dyDescent="0.25"/>
    <row r="126006" s="12" customFormat="1" x14ac:dyDescent="0.25"/>
    <row r="126007" s="12" customFormat="1" x14ac:dyDescent="0.25"/>
    <row r="126008" s="12" customFormat="1" x14ac:dyDescent="0.25"/>
    <row r="126009" s="12" customFormat="1" x14ac:dyDescent="0.25"/>
    <row r="126010" s="12" customFormat="1" x14ac:dyDescent="0.25"/>
    <row r="126011" s="12" customFormat="1" x14ac:dyDescent="0.25"/>
    <row r="126012" s="12" customFormat="1" x14ac:dyDescent="0.25"/>
    <row r="126013" s="12" customFormat="1" x14ac:dyDescent="0.25"/>
    <row r="126014" s="12" customFormat="1" x14ac:dyDescent="0.25"/>
    <row r="126015" s="12" customFormat="1" x14ac:dyDescent="0.25"/>
    <row r="126016" s="12" customFormat="1" x14ac:dyDescent="0.25"/>
    <row r="126017" s="12" customFormat="1" x14ac:dyDescent="0.25"/>
    <row r="126018" s="12" customFormat="1" x14ac:dyDescent="0.25"/>
    <row r="126019" s="12" customFormat="1" x14ac:dyDescent="0.25"/>
    <row r="126020" s="12" customFormat="1" x14ac:dyDescent="0.25"/>
    <row r="126021" s="12" customFormat="1" x14ac:dyDescent="0.25"/>
    <row r="126022" s="12" customFormat="1" x14ac:dyDescent="0.25"/>
    <row r="126023" s="12" customFormat="1" x14ac:dyDescent="0.25"/>
    <row r="126024" s="12" customFormat="1" x14ac:dyDescent="0.25"/>
    <row r="126025" s="12" customFormat="1" x14ac:dyDescent="0.25"/>
    <row r="126026" s="12" customFormat="1" x14ac:dyDescent="0.25"/>
    <row r="126027" s="12" customFormat="1" x14ac:dyDescent="0.25"/>
    <row r="126028" s="12" customFormat="1" x14ac:dyDescent="0.25"/>
    <row r="126029" s="12" customFormat="1" x14ac:dyDescent="0.25"/>
    <row r="126030" s="12" customFormat="1" x14ac:dyDescent="0.25"/>
    <row r="126031" s="12" customFormat="1" x14ac:dyDescent="0.25"/>
    <row r="126032" s="12" customFormat="1" x14ac:dyDescent="0.25"/>
    <row r="126033" s="12" customFormat="1" x14ac:dyDescent="0.25"/>
    <row r="126034" s="12" customFormat="1" x14ac:dyDescent="0.25"/>
    <row r="126035" s="12" customFormat="1" x14ac:dyDescent="0.25"/>
    <row r="126036" s="12" customFormat="1" x14ac:dyDescent="0.25"/>
    <row r="126037" s="12" customFormat="1" x14ac:dyDescent="0.25"/>
    <row r="126038" s="12" customFormat="1" x14ac:dyDescent="0.25"/>
    <row r="126039" s="12" customFormat="1" x14ac:dyDescent="0.25"/>
    <row r="126040" s="12" customFormat="1" x14ac:dyDescent="0.25"/>
    <row r="126041" s="12" customFormat="1" x14ac:dyDescent="0.25"/>
    <row r="126042" s="12" customFormat="1" x14ac:dyDescent="0.25"/>
    <row r="126043" s="12" customFormat="1" x14ac:dyDescent="0.25"/>
    <row r="126044" s="12" customFormat="1" x14ac:dyDescent="0.25"/>
    <row r="126045" s="12" customFormat="1" x14ac:dyDescent="0.25"/>
    <row r="126046" s="12" customFormat="1" x14ac:dyDescent="0.25"/>
    <row r="126047" s="12" customFormat="1" x14ac:dyDescent="0.25"/>
    <row r="126048" s="12" customFormat="1" x14ac:dyDescent="0.25"/>
    <row r="126049" s="12" customFormat="1" x14ac:dyDescent="0.25"/>
    <row r="126050" s="12" customFormat="1" x14ac:dyDescent="0.25"/>
    <row r="126051" s="12" customFormat="1" x14ac:dyDescent="0.25"/>
    <row r="126052" s="12" customFormat="1" x14ac:dyDescent="0.25"/>
    <row r="126053" s="12" customFormat="1" x14ac:dyDescent="0.25"/>
    <row r="126054" s="12" customFormat="1" x14ac:dyDescent="0.25"/>
    <row r="126055" s="12" customFormat="1" x14ac:dyDescent="0.25"/>
    <row r="126056" s="12" customFormat="1" x14ac:dyDescent="0.25"/>
    <row r="126057" s="12" customFormat="1" x14ac:dyDescent="0.25"/>
    <row r="126058" s="12" customFormat="1" x14ac:dyDescent="0.25"/>
    <row r="126059" s="12" customFormat="1" x14ac:dyDescent="0.25"/>
    <row r="126060" s="12" customFormat="1" x14ac:dyDescent="0.25"/>
    <row r="126061" s="12" customFormat="1" x14ac:dyDescent="0.25"/>
    <row r="126062" s="12" customFormat="1" x14ac:dyDescent="0.25"/>
    <row r="126063" s="12" customFormat="1" x14ac:dyDescent="0.25"/>
    <row r="126064" s="12" customFormat="1" x14ac:dyDescent="0.25"/>
    <row r="126065" s="12" customFormat="1" x14ac:dyDescent="0.25"/>
    <row r="126066" s="12" customFormat="1" x14ac:dyDescent="0.25"/>
    <row r="126067" s="12" customFormat="1" x14ac:dyDescent="0.25"/>
    <row r="126068" s="12" customFormat="1" x14ac:dyDescent="0.25"/>
    <row r="126069" s="12" customFormat="1" x14ac:dyDescent="0.25"/>
    <row r="126070" s="12" customFormat="1" x14ac:dyDescent="0.25"/>
    <row r="126071" s="12" customFormat="1" x14ac:dyDescent="0.25"/>
    <row r="126072" s="12" customFormat="1" x14ac:dyDescent="0.25"/>
    <row r="126073" s="12" customFormat="1" x14ac:dyDescent="0.25"/>
    <row r="126074" s="12" customFormat="1" x14ac:dyDescent="0.25"/>
    <row r="126075" s="12" customFormat="1" x14ac:dyDescent="0.25"/>
    <row r="126076" s="12" customFormat="1" x14ac:dyDescent="0.25"/>
    <row r="126077" s="12" customFormat="1" x14ac:dyDescent="0.25"/>
    <row r="126078" s="12" customFormat="1" x14ac:dyDescent="0.25"/>
    <row r="126079" s="12" customFormat="1" x14ac:dyDescent="0.25"/>
    <row r="126080" s="12" customFormat="1" x14ac:dyDescent="0.25"/>
    <row r="126081" s="12" customFormat="1" x14ac:dyDescent="0.25"/>
    <row r="126082" s="12" customFormat="1" x14ac:dyDescent="0.25"/>
    <row r="126083" s="12" customFormat="1" x14ac:dyDescent="0.25"/>
    <row r="126084" s="12" customFormat="1" x14ac:dyDescent="0.25"/>
    <row r="126085" s="12" customFormat="1" x14ac:dyDescent="0.25"/>
    <row r="126086" s="12" customFormat="1" x14ac:dyDescent="0.25"/>
    <row r="126087" s="12" customFormat="1" x14ac:dyDescent="0.25"/>
    <row r="126088" s="12" customFormat="1" x14ac:dyDescent="0.25"/>
    <row r="126089" s="12" customFormat="1" x14ac:dyDescent="0.25"/>
    <row r="126090" s="12" customFormat="1" x14ac:dyDescent="0.25"/>
    <row r="126091" s="12" customFormat="1" x14ac:dyDescent="0.25"/>
    <row r="126092" s="12" customFormat="1" x14ac:dyDescent="0.25"/>
    <row r="126093" s="12" customFormat="1" x14ac:dyDescent="0.25"/>
    <row r="126094" s="12" customFormat="1" x14ac:dyDescent="0.25"/>
    <row r="126095" s="12" customFormat="1" x14ac:dyDescent="0.25"/>
    <row r="126096" s="12" customFormat="1" x14ac:dyDescent="0.25"/>
    <row r="126097" s="12" customFormat="1" x14ac:dyDescent="0.25"/>
    <row r="126098" s="12" customFormat="1" x14ac:dyDescent="0.25"/>
    <row r="126099" s="12" customFormat="1" x14ac:dyDescent="0.25"/>
    <row r="126100" s="12" customFormat="1" x14ac:dyDescent="0.25"/>
    <row r="126101" s="12" customFormat="1" x14ac:dyDescent="0.25"/>
    <row r="126102" s="12" customFormat="1" x14ac:dyDescent="0.25"/>
    <row r="126103" s="12" customFormat="1" x14ac:dyDescent="0.25"/>
    <row r="126104" s="12" customFormat="1" x14ac:dyDescent="0.25"/>
    <row r="126105" s="12" customFormat="1" x14ac:dyDescent="0.25"/>
    <row r="126106" s="12" customFormat="1" x14ac:dyDescent="0.25"/>
    <row r="126107" s="12" customFormat="1" x14ac:dyDescent="0.25"/>
    <row r="126108" s="12" customFormat="1" x14ac:dyDescent="0.25"/>
    <row r="126109" s="12" customFormat="1" x14ac:dyDescent="0.25"/>
    <row r="126110" s="12" customFormat="1" x14ac:dyDescent="0.25"/>
    <row r="126111" s="12" customFormat="1" x14ac:dyDescent="0.25"/>
    <row r="126112" s="12" customFormat="1" x14ac:dyDescent="0.25"/>
    <row r="126113" s="12" customFormat="1" x14ac:dyDescent="0.25"/>
    <row r="126114" s="12" customFormat="1" x14ac:dyDescent="0.25"/>
    <row r="126115" s="12" customFormat="1" x14ac:dyDescent="0.25"/>
    <row r="126116" s="12" customFormat="1" x14ac:dyDescent="0.25"/>
    <row r="126117" s="12" customFormat="1" x14ac:dyDescent="0.25"/>
    <row r="126118" s="12" customFormat="1" x14ac:dyDescent="0.25"/>
    <row r="126119" s="12" customFormat="1" x14ac:dyDescent="0.25"/>
    <row r="126120" s="12" customFormat="1" x14ac:dyDescent="0.25"/>
    <row r="126121" s="12" customFormat="1" x14ac:dyDescent="0.25"/>
    <row r="126122" s="12" customFormat="1" x14ac:dyDescent="0.25"/>
    <row r="126123" s="12" customFormat="1" x14ac:dyDescent="0.25"/>
    <row r="126124" s="12" customFormat="1" x14ac:dyDescent="0.25"/>
    <row r="126125" s="12" customFormat="1" x14ac:dyDescent="0.25"/>
    <row r="126126" s="12" customFormat="1" x14ac:dyDescent="0.25"/>
    <row r="126127" s="12" customFormat="1" x14ac:dyDescent="0.25"/>
    <row r="126128" s="12" customFormat="1" x14ac:dyDescent="0.25"/>
    <row r="126129" s="12" customFormat="1" x14ac:dyDescent="0.25"/>
    <row r="126130" s="12" customFormat="1" x14ac:dyDescent="0.25"/>
    <row r="126131" s="12" customFormat="1" x14ac:dyDescent="0.25"/>
    <row r="126132" s="12" customFormat="1" x14ac:dyDescent="0.25"/>
    <row r="126133" s="12" customFormat="1" x14ac:dyDescent="0.25"/>
    <row r="126134" s="12" customFormat="1" x14ac:dyDescent="0.25"/>
    <row r="126135" s="12" customFormat="1" x14ac:dyDescent="0.25"/>
    <row r="126136" s="12" customFormat="1" x14ac:dyDescent="0.25"/>
    <row r="126137" s="12" customFormat="1" x14ac:dyDescent="0.25"/>
    <row r="126138" s="12" customFormat="1" x14ac:dyDescent="0.25"/>
    <row r="126139" s="12" customFormat="1" x14ac:dyDescent="0.25"/>
    <row r="126140" s="12" customFormat="1" x14ac:dyDescent="0.25"/>
    <row r="126141" s="12" customFormat="1" x14ac:dyDescent="0.25"/>
    <row r="126142" s="12" customFormat="1" x14ac:dyDescent="0.25"/>
    <row r="126143" s="12" customFormat="1" x14ac:dyDescent="0.25"/>
    <row r="126144" s="12" customFormat="1" x14ac:dyDescent="0.25"/>
    <row r="126145" s="12" customFormat="1" x14ac:dyDescent="0.25"/>
    <row r="126146" s="12" customFormat="1" x14ac:dyDescent="0.25"/>
    <row r="126147" s="12" customFormat="1" x14ac:dyDescent="0.25"/>
    <row r="126148" s="12" customFormat="1" x14ac:dyDescent="0.25"/>
    <row r="126149" s="12" customFormat="1" x14ac:dyDescent="0.25"/>
    <row r="126150" s="12" customFormat="1" x14ac:dyDescent="0.25"/>
    <row r="126151" s="12" customFormat="1" x14ac:dyDescent="0.25"/>
    <row r="126152" s="12" customFormat="1" x14ac:dyDescent="0.25"/>
    <row r="126153" s="12" customFormat="1" x14ac:dyDescent="0.25"/>
    <row r="126154" s="12" customFormat="1" x14ac:dyDescent="0.25"/>
    <row r="126155" s="12" customFormat="1" x14ac:dyDescent="0.25"/>
    <row r="126156" s="12" customFormat="1" x14ac:dyDescent="0.25"/>
    <row r="126157" s="12" customFormat="1" x14ac:dyDescent="0.25"/>
    <row r="126158" s="12" customFormat="1" x14ac:dyDescent="0.25"/>
    <row r="126159" s="12" customFormat="1" x14ac:dyDescent="0.25"/>
    <row r="126160" s="12" customFormat="1" x14ac:dyDescent="0.25"/>
    <row r="126161" s="12" customFormat="1" x14ac:dyDescent="0.25"/>
    <row r="126162" s="12" customFormat="1" x14ac:dyDescent="0.25"/>
    <row r="126163" s="12" customFormat="1" x14ac:dyDescent="0.25"/>
    <row r="126164" s="12" customFormat="1" x14ac:dyDescent="0.25"/>
    <row r="126165" s="12" customFormat="1" x14ac:dyDescent="0.25"/>
    <row r="126166" s="12" customFormat="1" x14ac:dyDescent="0.25"/>
    <row r="126167" s="12" customFormat="1" x14ac:dyDescent="0.25"/>
    <row r="126168" s="12" customFormat="1" x14ac:dyDescent="0.25"/>
    <row r="126169" s="12" customFormat="1" x14ac:dyDescent="0.25"/>
    <row r="126170" s="12" customFormat="1" x14ac:dyDescent="0.25"/>
    <row r="126171" s="12" customFormat="1" x14ac:dyDescent="0.25"/>
    <row r="126172" s="12" customFormat="1" x14ac:dyDescent="0.25"/>
    <row r="126173" s="12" customFormat="1" x14ac:dyDescent="0.25"/>
    <row r="126174" s="12" customFormat="1" x14ac:dyDescent="0.25"/>
    <row r="126175" s="12" customFormat="1" x14ac:dyDescent="0.25"/>
    <row r="126176" s="12" customFormat="1" x14ac:dyDescent="0.25"/>
    <row r="126177" s="12" customFormat="1" x14ac:dyDescent="0.25"/>
    <row r="126178" s="12" customFormat="1" x14ac:dyDescent="0.25"/>
    <row r="126179" s="12" customFormat="1" x14ac:dyDescent="0.25"/>
    <row r="126180" s="12" customFormat="1" x14ac:dyDescent="0.25"/>
    <row r="126181" s="12" customFormat="1" x14ac:dyDescent="0.25"/>
    <row r="126182" s="12" customFormat="1" x14ac:dyDescent="0.25"/>
    <row r="126183" s="12" customFormat="1" x14ac:dyDescent="0.25"/>
    <row r="126184" s="12" customFormat="1" x14ac:dyDescent="0.25"/>
    <row r="126185" s="12" customFormat="1" x14ac:dyDescent="0.25"/>
    <row r="126186" s="12" customFormat="1" x14ac:dyDescent="0.25"/>
    <row r="126187" s="12" customFormat="1" x14ac:dyDescent="0.25"/>
    <row r="126188" s="12" customFormat="1" x14ac:dyDescent="0.25"/>
    <row r="126189" s="12" customFormat="1" x14ac:dyDescent="0.25"/>
    <row r="126190" s="12" customFormat="1" x14ac:dyDescent="0.25"/>
    <row r="126191" s="12" customFormat="1" x14ac:dyDescent="0.25"/>
    <row r="126192" s="12" customFormat="1" x14ac:dyDescent="0.25"/>
    <row r="126193" s="12" customFormat="1" x14ac:dyDescent="0.25"/>
    <row r="126194" s="12" customFormat="1" x14ac:dyDescent="0.25"/>
    <row r="126195" s="12" customFormat="1" x14ac:dyDescent="0.25"/>
    <row r="126196" s="12" customFormat="1" x14ac:dyDescent="0.25"/>
    <row r="126197" s="12" customFormat="1" x14ac:dyDescent="0.25"/>
    <row r="126198" s="12" customFormat="1" x14ac:dyDescent="0.25"/>
    <row r="126199" s="12" customFormat="1" x14ac:dyDescent="0.25"/>
    <row r="126200" s="12" customFormat="1" x14ac:dyDescent="0.25"/>
    <row r="126201" s="12" customFormat="1" x14ac:dyDescent="0.25"/>
    <row r="126202" s="12" customFormat="1" x14ac:dyDescent="0.25"/>
    <row r="126203" s="12" customFormat="1" x14ac:dyDescent="0.25"/>
    <row r="126204" s="12" customFormat="1" x14ac:dyDescent="0.25"/>
    <row r="126205" s="12" customFormat="1" x14ac:dyDescent="0.25"/>
    <row r="126206" s="12" customFormat="1" x14ac:dyDescent="0.25"/>
    <row r="126207" s="12" customFormat="1" x14ac:dyDescent="0.25"/>
    <row r="126208" s="12" customFormat="1" x14ac:dyDescent="0.25"/>
    <row r="126209" s="12" customFormat="1" x14ac:dyDescent="0.25"/>
    <row r="126210" s="12" customFormat="1" x14ac:dyDescent="0.25"/>
    <row r="126211" s="12" customFormat="1" x14ac:dyDescent="0.25"/>
    <row r="126212" s="12" customFormat="1" x14ac:dyDescent="0.25"/>
    <row r="126213" s="12" customFormat="1" x14ac:dyDescent="0.25"/>
    <row r="126214" s="12" customFormat="1" x14ac:dyDescent="0.25"/>
    <row r="126215" s="12" customFormat="1" x14ac:dyDescent="0.25"/>
    <row r="126216" s="12" customFormat="1" x14ac:dyDescent="0.25"/>
    <row r="126217" s="12" customFormat="1" x14ac:dyDescent="0.25"/>
    <row r="126218" s="12" customFormat="1" x14ac:dyDescent="0.25"/>
    <row r="126219" s="12" customFormat="1" x14ac:dyDescent="0.25"/>
    <row r="126220" s="12" customFormat="1" x14ac:dyDescent="0.25"/>
    <row r="126221" s="12" customFormat="1" x14ac:dyDescent="0.25"/>
    <row r="126222" s="12" customFormat="1" x14ac:dyDescent="0.25"/>
    <row r="126223" s="12" customFormat="1" x14ac:dyDescent="0.25"/>
    <row r="126224" s="12" customFormat="1" x14ac:dyDescent="0.25"/>
    <row r="126225" s="12" customFormat="1" x14ac:dyDescent="0.25"/>
    <row r="126226" s="12" customFormat="1" x14ac:dyDescent="0.25"/>
    <row r="126227" s="12" customFormat="1" x14ac:dyDescent="0.25"/>
    <row r="126228" s="12" customFormat="1" x14ac:dyDescent="0.25"/>
    <row r="126229" s="12" customFormat="1" x14ac:dyDescent="0.25"/>
    <row r="126230" s="12" customFormat="1" x14ac:dyDescent="0.25"/>
    <row r="126231" s="12" customFormat="1" x14ac:dyDescent="0.25"/>
    <row r="126232" s="12" customFormat="1" x14ac:dyDescent="0.25"/>
    <row r="126233" s="12" customFormat="1" x14ac:dyDescent="0.25"/>
    <row r="126234" s="12" customFormat="1" x14ac:dyDescent="0.25"/>
    <row r="126235" s="12" customFormat="1" x14ac:dyDescent="0.25"/>
    <row r="126236" s="12" customFormat="1" x14ac:dyDescent="0.25"/>
    <row r="126237" s="12" customFormat="1" x14ac:dyDescent="0.25"/>
    <row r="126238" s="12" customFormat="1" x14ac:dyDescent="0.25"/>
    <row r="126239" s="12" customFormat="1" x14ac:dyDescent="0.25"/>
    <row r="126240" s="12" customFormat="1" x14ac:dyDescent="0.25"/>
    <row r="126241" s="12" customFormat="1" x14ac:dyDescent="0.25"/>
    <row r="126242" s="12" customFormat="1" x14ac:dyDescent="0.25"/>
    <row r="126243" s="12" customFormat="1" x14ac:dyDescent="0.25"/>
    <row r="126244" s="12" customFormat="1" x14ac:dyDescent="0.25"/>
    <row r="126245" s="12" customFormat="1" x14ac:dyDescent="0.25"/>
    <row r="126246" s="12" customFormat="1" x14ac:dyDescent="0.25"/>
    <row r="126247" s="12" customFormat="1" x14ac:dyDescent="0.25"/>
    <row r="126248" s="12" customFormat="1" x14ac:dyDescent="0.25"/>
    <row r="126249" s="12" customFormat="1" x14ac:dyDescent="0.25"/>
    <row r="126250" s="12" customFormat="1" x14ac:dyDescent="0.25"/>
    <row r="126251" s="12" customFormat="1" x14ac:dyDescent="0.25"/>
    <row r="126252" s="12" customFormat="1" x14ac:dyDescent="0.25"/>
    <row r="126253" s="12" customFormat="1" x14ac:dyDescent="0.25"/>
    <row r="126254" s="12" customFormat="1" x14ac:dyDescent="0.25"/>
    <row r="126255" s="12" customFormat="1" x14ac:dyDescent="0.25"/>
    <row r="126256" s="12" customFormat="1" x14ac:dyDescent="0.25"/>
    <row r="126257" s="12" customFormat="1" x14ac:dyDescent="0.25"/>
    <row r="126258" s="12" customFormat="1" x14ac:dyDescent="0.25"/>
    <row r="126259" s="12" customFormat="1" x14ac:dyDescent="0.25"/>
    <row r="126260" s="12" customFormat="1" x14ac:dyDescent="0.25"/>
    <row r="126261" s="12" customFormat="1" x14ac:dyDescent="0.25"/>
    <row r="126262" s="12" customFormat="1" x14ac:dyDescent="0.25"/>
    <row r="126263" s="12" customFormat="1" x14ac:dyDescent="0.25"/>
    <row r="126264" s="12" customFormat="1" x14ac:dyDescent="0.25"/>
    <row r="126265" s="12" customFormat="1" x14ac:dyDescent="0.25"/>
    <row r="126266" s="12" customFormat="1" x14ac:dyDescent="0.25"/>
    <row r="126267" s="12" customFormat="1" x14ac:dyDescent="0.25"/>
    <row r="126268" s="12" customFormat="1" x14ac:dyDescent="0.25"/>
    <row r="126269" s="12" customFormat="1" x14ac:dyDescent="0.25"/>
    <row r="126270" s="12" customFormat="1" x14ac:dyDescent="0.25"/>
    <row r="126271" s="12" customFormat="1" x14ac:dyDescent="0.25"/>
    <row r="126272" s="12" customFormat="1" x14ac:dyDescent="0.25"/>
    <row r="126273" s="12" customFormat="1" x14ac:dyDescent="0.25"/>
    <row r="126274" s="12" customFormat="1" x14ac:dyDescent="0.25"/>
    <row r="126275" s="12" customFormat="1" x14ac:dyDescent="0.25"/>
    <row r="126276" s="12" customFormat="1" x14ac:dyDescent="0.25"/>
    <row r="126277" s="12" customFormat="1" x14ac:dyDescent="0.25"/>
    <row r="126278" s="12" customFormat="1" x14ac:dyDescent="0.25"/>
    <row r="126279" s="12" customFormat="1" x14ac:dyDescent="0.25"/>
    <row r="126280" s="12" customFormat="1" x14ac:dyDescent="0.25"/>
    <row r="126281" s="12" customFormat="1" x14ac:dyDescent="0.25"/>
    <row r="126282" s="12" customFormat="1" x14ac:dyDescent="0.25"/>
    <row r="126283" s="12" customFormat="1" x14ac:dyDescent="0.25"/>
    <row r="126284" s="12" customFormat="1" x14ac:dyDescent="0.25"/>
    <row r="126285" s="12" customFormat="1" x14ac:dyDescent="0.25"/>
    <row r="126286" s="12" customFormat="1" x14ac:dyDescent="0.25"/>
    <row r="126287" s="12" customFormat="1" x14ac:dyDescent="0.25"/>
    <row r="126288" s="12" customFormat="1" x14ac:dyDescent="0.25"/>
    <row r="126289" s="12" customFormat="1" x14ac:dyDescent="0.25"/>
    <row r="126290" s="12" customFormat="1" x14ac:dyDescent="0.25"/>
    <row r="126291" s="12" customFormat="1" x14ac:dyDescent="0.25"/>
    <row r="126292" s="12" customFormat="1" x14ac:dyDescent="0.25"/>
    <row r="126293" s="12" customFormat="1" x14ac:dyDescent="0.25"/>
    <row r="126294" s="12" customFormat="1" x14ac:dyDescent="0.25"/>
    <row r="126295" s="12" customFormat="1" x14ac:dyDescent="0.25"/>
    <row r="126296" s="12" customFormat="1" x14ac:dyDescent="0.25"/>
    <row r="126297" s="12" customFormat="1" x14ac:dyDescent="0.25"/>
    <row r="126298" s="12" customFormat="1" x14ac:dyDescent="0.25"/>
    <row r="126299" s="12" customFormat="1" x14ac:dyDescent="0.25"/>
    <row r="126300" s="12" customFormat="1" x14ac:dyDescent="0.25"/>
    <row r="126301" s="12" customFormat="1" x14ac:dyDescent="0.25"/>
    <row r="126302" s="12" customFormat="1" x14ac:dyDescent="0.25"/>
    <row r="126303" s="12" customFormat="1" x14ac:dyDescent="0.25"/>
    <row r="126304" s="12" customFormat="1" x14ac:dyDescent="0.25"/>
    <row r="126305" s="12" customFormat="1" x14ac:dyDescent="0.25"/>
    <row r="126306" s="12" customFormat="1" x14ac:dyDescent="0.25"/>
    <row r="126307" s="12" customFormat="1" x14ac:dyDescent="0.25"/>
    <row r="126308" s="12" customFormat="1" x14ac:dyDescent="0.25"/>
    <row r="126309" s="12" customFormat="1" x14ac:dyDescent="0.25"/>
    <row r="126310" s="12" customFormat="1" x14ac:dyDescent="0.25"/>
    <row r="126311" s="12" customFormat="1" x14ac:dyDescent="0.25"/>
    <row r="126312" s="12" customFormat="1" x14ac:dyDescent="0.25"/>
    <row r="126313" s="12" customFormat="1" x14ac:dyDescent="0.25"/>
    <row r="126314" s="12" customFormat="1" x14ac:dyDescent="0.25"/>
    <row r="126315" s="12" customFormat="1" x14ac:dyDescent="0.25"/>
    <row r="126316" s="12" customFormat="1" x14ac:dyDescent="0.25"/>
    <row r="126317" s="12" customFormat="1" x14ac:dyDescent="0.25"/>
    <row r="126318" s="12" customFormat="1" x14ac:dyDescent="0.25"/>
    <row r="126319" s="12" customFormat="1" x14ac:dyDescent="0.25"/>
    <row r="126320" s="12" customFormat="1" x14ac:dyDescent="0.25"/>
    <row r="126321" s="12" customFormat="1" x14ac:dyDescent="0.25"/>
    <row r="126322" s="12" customFormat="1" x14ac:dyDescent="0.25"/>
    <row r="126323" s="12" customFormat="1" x14ac:dyDescent="0.25"/>
    <row r="126324" s="12" customFormat="1" x14ac:dyDescent="0.25"/>
    <row r="126325" s="12" customFormat="1" x14ac:dyDescent="0.25"/>
    <row r="126326" s="12" customFormat="1" x14ac:dyDescent="0.25"/>
    <row r="126327" s="12" customFormat="1" x14ac:dyDescent="0.25"/>
    <row r="126328" s="12" customFormat="1" x14ac:dyDescent="0.25"/>
    <row r="126329" s="12" customFormat="1" x14ac:dyDescent="0.25"/>
    <row r="126330" s="12" customFormat="1" x14ac:dyDescent="0.25"/>
    <row r="126331" s="12" customFormat="1" x14ac:dyDescent="0.25"/>
    <row r="126332" s="12" customFormat="1" x14ac:dyDescent="0.25"/>
    <row r="126333" s="12" customFormat="1" x14ac:dyDescent="0.25"/>
    <row r="126334" s="12" customFormat="1" x14ac:dyDescent="0.25"/>
    <row r="126335" s="12" customFormat="1" x14ac:dyDescent="0.25"/>
    <row r="126336" s="12" customFormat="1" x14ac:dyDescent="0.25"/>
    <row r="126337" s="12" customFormat="1" x14ac:dyDescent="0.25"/>
    <row r="126338" s="12" customFormat="1" x14ac:dyDescent="0.25"/>
    <row r="126339" s="12" customFormat="1" x14ac:dyDescent="0.25"/>
    <row r="126340" s="12" customFormat="1" x14ac:dyDescent="0.25"/>
    <row r="126341" s="12" customFormat="1" x14ac:dyDescent="0.25"/>
    <row r="126342" s="12" customFormat="1" x14ac:dyDescent="0.25"/>
    <row r="126343" s="12" customFormat="1" x14ac:dyDescent="0.25"/>
    <row r="126344" s="12" customFormat="1" x14ac:dyDescent="0.25"/>
    <row r="126345" s="12" customFormat="1" x14ac:dyDescent="0.25"/>
    <row r="126346" s="12" customFormat="1" x14ac:dyDescent="0.25"/>
    <row r="126347" s="12" customFormat="1" x14ac:dyDescent="0.25"/>
    <row r="126348" s="12" customFormat="1" x14ac:dyDescent="0.25"/>
    <row r="126349" s="12" customFormat="1" x14ac:dyDescent="0.25"/>
    <row r="126350" s="12" customFormat="1" x14ac:dyDescent="0.25"/>
    <row r="126351" s="12" customFormat="1" x14ac:dyDescent="0.25"/>
    <row r="126352" s="12" customFormat="1" x14ac:dyDescent="0.25"/>
    <row r="126353" s="12" customFormat="1" x14ac:dyDescent="0.25"/>
    <row r="126354" s="12" customFormat="1" x14ac:dyDescent="0.25"/>
    <row r="126355" s="12" customFormat="1" x14ac:dyDescent="0.25"/>
    <row r="126356" s="12" customFormat="1" x14ac:dyDescent="0.25"/>
    <row r="126357" s="12" customFormat="1" x14ac:dyDescent="0.25"/>
    <row r="126358" s="12" customFormat="1" x14ac:dyDescent="0.25"/>
    <row r="126359" s="12" customFormat="1" x14ac:dyDescent="0.25"/>
    <row r="126360" s="12" customFormat="1" x14ac:dyDescent="0.25"/>
    <row r="126361" s="12" customFormat="1" x14ac:dyDescent="0.25"/>
    <row r="126362" s="12" customFormat="1" x14ac:dyDescent="0.25"/>
    <row r="126363" s="12" customFormat="1" x14ac:dyDescent="0.25"/>
    <row r="126364" s="12" customFormat="1" x14ac:dyDescent="0.25"/>
    <row r="126365" s="12" customFormat="1" x14ac:dyDescent="0.25"/>
    <row r="126366" s="12" customFormat="1" x14ac:dyDescent="0.25"/>
    <row r="126367" s="12" customFormat="1" x14ac:dyDescent="0.25"/>
    <row r="126368" s="12" customFormat="1" x14ac:dyDescent="0.25"/>
    <row r="126369" s="12" customFormat="1" x14ac:dyDescent="0.25"/>
    <row r="126370" s="12" customFormat="1" x14ac:dyDescent="0.25"/>
    <row r="126371" s="12" customFormat="1" x14ac:dyDescent="0.25"/>
    <row r="126372" s="12" customFormat="1" x14ac:dyDescent="0.25"/>
    <row r="126373" s="12" customFormat="1" x14ac:dyDescent="0.25"/>
    <row r="126374" s="12" customFormat="1" x14ac:dyDescent="0.25"/>
    <row r="126375" s="12" customFormat="1" x14ac:dyDescent="0.25"/>
    <row r="126376" s="12" customFormat="1" x14ac:dyDescent="0.25"/>
    <row r="126377" s="12" customFormat="1" x14ac:dyDescent="0.25"/>
    <row r="126378" s="12" customFormat="1" x14ac:dyDescent="0.25"/>
    <row r="126379" s="12" customFormat="1" x14ac:dyDescent="0.25"/>
    <row r="126380" s="12" customFormat="1" x14ac:dyDescent="0.25"/>
    <row r="126381" s="12" customFormat="1" x14ac:dyDescent="0.25"/>
    <row r="126382" s="12" customFormat="1" x14ac:dyDescent="0.25"/>
    <row r="126383" s="12" customFormat="1" x14ac:dyDescent="0.25"/>
    <row r="126384" s="12" customFormat="1" x14ac:dyDescent="0.25"/>
    <row r="126385" s="12" customFormat="1" x14ac:dyDescent="0.25"/>
    <row r="126386" s="12" customFormat="1" x14ac:dyDescent="0.25"/>
    <row r="126387" s="12" customFormat="1" x14ac:dyDescent="0.25"/>
    <row r="126388" s="12" customFormat="1" x14ac:dyDescent="0.25"/>
    <row r="126389" s="12" customFormat="1" x14ac:dyDescent="0.25"/>
    <row r="126390" s="12" customFormat="1" x14ac:dyDescent="0.25"/>
    <row r="126391" s="12" customFormat="1" x14ac:dyDescent="0.25"/>
    <row r="126392" s="12" customFormat="1" x14ac:dyDescent="0.25"/>
    <row r="126393" s="12" customFormat="1" x14ac:dyDescent="0.25"/>
    <row r="126394" s="12" customFormat="1" x14ac:dyDescent="0.25"/>
    <row r="126395" s="12" customFormat="1" x14ac:dyDescent="0.25"/>
    <row r="126396" s="12" customFormat="1" x14ac:dyDescent="0.25"/>
    <row r="126397" s="12" customFormat="1" x14ac:dyDescent="0.25"/>
    <row r="126398" s="12" customFormat="1" x14ac:dyDescent="0.25"/>
    <row r="126399" s="12" customFormat="1" x14ac:dyDescent="0.25"/>
    <row r="126400" s="12" customFormat="1" x14ac:dyDescent="0.25"/>
    <row r="126401" s="12" customFormat="1" x14ac:dyDescent="0.25"/>
    <row r="126402" s="12" customFormat="1" x14ac:dyDescent="0.25"/>
    <row r="126403" s="12" customFormat="1" x14ac:dyDescent="0.25"/>
    <row r="126404" s="12" customFormat="1" x14ac:dyDescent="0.25"/>
    <row r="126405" s="12" customFormat="1" x14ac:dyDescent="0.25"/>
    <row r="126406" s="12" customFormat="1" x14ac:dyDescent="0.25"/>
    <row r="126407" s="12" customFormat="1" x14ac:dyDescent="0.25"/>
    <row r="126408" s="12" customFormat="1" x14ac:dyDescent="0.25"/>
    <row r="126409" s="12" customFormat="1" x14ac:dyDescent="0.25"/>
    <row r="126410" s="12" customFormat="1" x14ac:dyDescent="0.25"/>
    <row r="126411" s="12" customFormat="1" x14ac:dyDescent="0.25"/>
    <row r="126412" s="12" customFormat="1" x14ac:dyDescent="0.25"/>
    <row r="126413" s="12" customFormat="1" x14ac:dyDescent="0.25"/>
    <row r="126414" s="12" customFormat="1" x14ac:dyDescent="0.25"/>
    <row r="126415" s="12" customFormat="1" x14ac:dyDescent="0.25"/>
    <row r="126416" s="12" customFormat="1" x14ac:dyDescent="0.25"/>
    <row r="126417" s="12" customFormat="1" x14ac:dyDescent="0.25"/>
    <row r="126418" s="12" customFormat="1" x14ac:dyDescent="0.25"/>
    <row r="126419" s="12" customFormat="1" x14ac:dyDescent="0.25"/>
    <row r="126420" s="12" customFormat="1" x14ac:dyDescent="0.25"/>
    <row r="126421" s="12" customFormat="1" x14ac:dyDescent="0.25"/>
    <row r="126422" s="12" customFormat="1" x14ac:dyDescent="0.25"/>
    <row r="126423" s="12" customFormat="1" x14ac:dyDescent="0.25"/>
    <row r="126424" s="12" customFormat="1" x14ac:dyDescent="0.25"/>
    <row r="126425" s="12" customFormat="1" x14ac:dyDescent="0.25"/>
    <row r="126426" s="12" customFormat="1" x14ac:dyDescent="0.25"/>
    <row r="126427" s="12" customFormat="1" x14ac:dyDescent="0.25"/>
    <row r="126428" s="12" customFormat="1" x14ac:dyDescent="0.25"/>
    <row r="126429" s="12" customFormat="1" x14ac:dyDescent="0.25"/>
    <row r="126430" s="12" customFormat="1" x14ac:dyDescent="0.25"/>
    <row r="126431" s="12" customFormat="1" x14ac:dyDescent="0.25"/>
    <row r="126432" s="12" customFormat="1" x14ac:dyDescent="0.25"/>
    <row r="126433" s="12" customFormat="1" x14ac:dyDescent="0.25"/>
    <row r="126434" s="12" customFormat="1" x14ac:dyDescent="0.25"/>
    <row r="126435" s="12" customFormat="1" x14ac:dyDescent="0.25"/>
    <row r="126436" s="12" customFormat="1" x14ac:dyDescent="0.25"/>
    <row r="126437" s="12" customFormat="1" x14ac:dyDescent="0.25"/>
    <row r="126438" s="12" customFormat="1" x14ac:dyDescent="0.25"/>
    <row r="126439" s="12" customFormat="1" x14ac:dyDescent="0.25"/>
    <row r="126440" s="12" customFormat="1" x14ac:dyDescent="0.25"/>
    <row r="126441" s="12" customFormat="1" x14ac:dyDescent="0.25"/>
    <row r="126442" s="12" customFormat="1" x14ac:dyDescent="0.25"/>
    <row r="126443" s="12" customFormat="1" x14ac:dyDescent="0.25"/>
    <row r="126444" s="12" customFormat="1" x14ac:dyDescent="0.25"/>
    <row r="126445" s="12" customFormat="1" x14ac:dyDescent="0.25"/>
    <row r="126446" s="12" customFormat="1" x14ac:dyDescent="0.25"/>
    <row r="126447" s="12" customFormat="1" x14ac:dyDescent="0.25"/>
    <row r="126448" s="12" customFormat="1" x14ac:dyDescent="0.25"/>
    <row r="126449" s="12" customFormat="1" x14ac:dyDescent="0.25"/>
    <row r="126450" s="12" customFormat="1" x14ac:dyDescent="0.25"/>
    <row r="126451" s="12" customFormat="1" x14ac:dyDescent="0.25"/>
    <row r="126452" s="12" customFormat="1" x14ac:dyDescent="0.25"/>
    <row r="126453" s="12" customFormat="1" x14ac:dyDescent="0.25"/>
    <row r="126454" s="12" customFormat="1" x14ac:dyDescent="0.25"/>
    <row r="126455" s="12" customFormat="1" x14ac:dyDescent="0.25"/>
    <row r="126456" s="12" customFormat="1" x14ac:dyDescent="0.25"/>
    <row r="126457" s="12" customFormat="1" x14ac:dyDescent="0.25"/>
    <row r="126458" s="12" customFormat="1" x14ac:dyDescent="0.25"/>
    <row r="126459" s="12" customFormat="1" x14ac:dyDescent="0.25"/>
    <row r="126460" s="12" customFormat="1" x14ac:dyDescent="0.25"/>
    <row r="126461" s="12" customFormat="1" x14ac:dyDescent="0.25"/>
    <row r="126462" s="12" customFormat="1" x14ac:dyDescent="0.25"/>
    <row r="126463" s="12" customFormat="1" x14ac:dyDescent="0.25"/>
    <row r="126464" s="12" customFormat="1" x14ac:dyDescent="0.25"/>
    <row r="126465" s="12" customFormat="1" x14ac:dyDescent="0.25"/>
    <row r="126466" s="12" customFormat="1" x14ac:dyDescent="0.25"/>
    <row r="126467" s="12" customFormat="1" x14ac:dyDescent="0.25"/>
    <row r="126468" s="12" customFormat="1" x14ac:dyDescent="0.25"/>
    <row r="126469" s="12" customFormat="1" x14ac:dyDescent="0.25"/>
    <row r="126470" s="12" customFormat="1" x14ac:dyDescent="0.25"/>
    <row r="126471" s="12" customFormat="1" x14ac:dyDescent="0.25"/>
    <row r="126472" s="12" customFormat="1" x14ac:dyDescent="0.25"/>
    <row r="126473" s="12" customFormat="1" x14ac:dyDescent="0.25"/>
    <row r="126474" s="12" customFormat="1" x14ac:dyDescent="0.25"/>
    <row r="126475" s="12" customFormat="1" x14ac:dyDescent="0.25"/>
    <row r="126476" s="12" customFormat="1" x14ac:dyDescent="0.25"/>
    <row r="126477" s="12" customFormat="1" x14ac:dyDescent="0.25"/>
    <row r="126478" s="12" customFormat="1" x14ac:dyDescent="0.25"/>
    <row r="126479" s="12" customFormat="1" x14ac:dyDescent="0.25"/>
    <row r="126480" s="12" customFormat="1" x14ac:dyDescent="0.25"/>
    <row r="126481" s="12" customFormat="1" x14ac:dyDescent="0.25"/>
    <row r="126482" s="12" customFormat="1" x14ac:dyDescent="0.25"/>
    <row r="126483" s="12" customFormat="1" x14ac:dyDescent="0.25"/>
    <row r="126484" s="12" customFormat="1" x14ac:dyDescent="0.25"/>
    <row r="126485" s="12" customFormat="1" x14ac:dyDescent="0.25"/>
    <row r="126486" s="12" customFormat="1" x14ac:dyDescent="0.25"/>
    <row r="126487" s="12" customFormat="1" x14ac:dyDescent="0.25"/>
    <row r="126488" s="12" customFormat="1" x14ac:dyDescent="0.25"/>
    <row r="126489" s="12" customFormat="1" x14ac:dyDescent="0.25"/>
    <row r="126490" s="12" customFormat="1" x14ac:dyDescent="0.25"/>
    <row r="126491" s="12" customFormat="1" x14ac:dyDescent="0.25"/>
    <row r="126492" s="12" customFormat="1" x14ac:dyDescent="0.25"/>
    <row r="126493" s="12" customFormat="1" x14ac:dyDescent="0.25"/>
    <row r="126494" s="12" customFormat="1" x14ac:dyDescent="0.25"/>
    <row r="126495" s="12" customFormat="1" x14ac:dyDescent="0.25"/>
    <row r="126496" s="12" customFormat="1" x14ac:dyDescent="0.25"/>
    <row r="126497" s="12" customFormat="1" x14ac:dyDescent="0.25"/>
    <row r="126498" s="12" customFormat="1" x14ac:dyDescent="0.25"/>
    <row r="126499" s="12" customFormat="1" x14ac:dyDescent="0.25"/>
    <row r="126500" s="12" customFormat="1" x14ac:dyDescent="0.25"/>
    <row r="126501" s="12" customFormat="1" x14ac:dyDescent="0.25"/>
    <row r="126502" s="12" customFormat="1" x14ac:dyDescent="0.25"/>
    <row r="126503" s="12" customFormat="1" x14ac:dyDescent="0.25"/>
    <row r="126504" s="12" customFormat="1" x14ac:dyDescent="0.25"/>
    <row r="126505" s="12" customFormat="1" x14ac:dyDescent="0.25"/>
    <row r="126506" s="12" customFormat="1" x14ac:dyDescent="0.25"/>
    <row r="126507" s="12" customFormat="1" x14ac:dyDescent="0.25"/>
    <row r="126508" s="12" customFormat="1" x14ac:dyDescent="0.25"/>
    <row r="126509" s="12" customFormat="1" x14ac:dyDescent="0.25"/>
    <row r="126510" s="12" customFormat="1" x14ac:dyDescent="0.25"/>
    <row r="126511" s="12" customFormat="1" x14ac:dyDescent="0.25"/>
    <row r="126512" s="12" customFormat="1" x14ac:dyDescent="0.25"/>
    <row r="126513" s="12" customFormat="1" x14ac:dyDescent="0.25"/>
    <row r="126514" s="12" customFormat="1" x14ac:dyDescent="0.25"/>
    <row r="126515" s="12" customFormat="1" x14ac:dyDescent="0.25"/>
    <row r="126516" s="12" customFormat="1" x14ac:dyDescent="0.25"/>
    <row r="126517" s="12" customFormat="1" x14ac:dyDescent="0.25"/>
    <row r="126518" s="12" customFormat="1" x14ac:dyDescent="0.25"/>
    <row r="126519" s="12" customFormat="1" x14ac:dyDescent="0.25"/>
    <row r="126520" s="12" customFormat="1" x14ac:dyDescent="0.25"/>
    <row r="126521" s="12" customFormat="1" x14ac:dyDescent="0.25"/>
    <row r="126522" s="12" customFormat="1" x14ac:dyDescent="0.25"/>
    <row r="126523" s="12" customFormat="1" x14ac:dyDescent="0.25"/>
    <row r="126524" s="12" customFormat="1" x14ac:dyDescent="0.25"/>
    <row r="126525" s="12" customFormat="1" x14ac:dyDescent="0.25"/>
    <row r="126526" s="12" customFormat="1" x14ac:dyDescent="0.25"/>
    <row r="126527" s="12" customFormat="1" x14ac:dyDescent="0.25"/>
    <row r="126528" s="12" customFormat="1" x14ac:dyDescent="0.25"/>
    <row r="126529" s="12" customFormat="1" x14ac:dyDescent="0.25"/>
    <row r="126530" s="12" customFormat="1" x14ac:dyDescent="0.25"/>
    <row r="126531" s="12" customFormat="1" x14ac:dyDescent="0.25"/>
    <row r="126532" s="12" customFormat="1" x14ac:dyDescent="0.25"/>
    <row r="126533" s="12" customFormat="1" x14ac:dyDescent="0.25"/>
    <row r="126534" s="12" customFormat="1" x14ac:dyDescent="0.25"/>
    <row r="126535" s="12" customFormat="1" x14ac:dyDescent="0.25"/>
    <row r="126536" s="12" customFormat="1" x14ac:dyDescent="0.25"/>
    <row r="126537" s="12" customFormat="1" x14ac:dyDescent="0.25"/>
    <row r="126538" s="12" customFormat="1" x14ac:dyDescent="0.25"/>
    <row r="126539" s="12" customFormat="1" x14ac:dyDescent="0.25"/>
    <row r="126540" s="12" customFormat="1" x14ac:dyDescent="0.25"/>
    <row r="126541" s="12" customFormat="1" x14ac:dyDescent="0.25"/>
    <row r="126542" s="12" customFormat="1" x14ac:dyDescent="0.25"/>
    <row r="126543" s="12" customFormat="1" x14ac:dyDescent="0.25"/>
    <row r="126544" s="12" customFormat="1" x14ac:dyDescent="0.25"/>
    <row r="126545" s="12" customFormat="1" x14ac:dyDescent="0.25"/>
    <row r="126546" s="12" customFormat="1" x14ac:dyDescent="0.25"/>
    <row r="126547" s="12" customFormat="1" x14ac:dyDescent="0.25"/>
    <row r="126548" s="12" customFormat="1" x14ac:dyDescent="0.25"/>
    <row r="126549" s="12" customFormat="1" x14ac:dyDescent="0.25"/>
    <row r="126550" s="12" customFormat="1" x14ac:dyDescent="0.25"/>
    <row r="126551" s="12" customFormat="1" x14ac:dyDescent="0.25"/>
    <row r="126552" s="12" customFormat="1" x14ac:dyDescent="0.25"/>
    <row r="126553" s="12" customFormat="1" x14ac:dyDescent="0.25"/>
    <row r="126554" s="12" customFormat="1" x14ac:dyDescent="0.25"/>
    <row r="126555" s="12" customFormat="1" x14ac:dyDescent="0.25"/>
    <row r="126556" s="12" customFormat="1" x14ac:dyDescent="0.25"/>
    <row r="126557" s="12" customFormat="1" x14ac:dyDescent="0.25"/>
    <row r="126558" s="12" customFormat="1" x14ac:dyDescent="0.25"/>
    <row r="126559" s="12" customFormat="1" x14ac:dyDescent="0.25"/>
    <row r="126560" s="12" customFormat="1" x14ac:dyDescent="0.25"/>
    <row r="126561" s="12" customFormat="1" x14ac:dyDescent="0.25"/>
    <row r="126562" s="12" customFormat="1" x14ac:dyDescent="0.25"/>
    <row r="126563" s="12" customFormat="1" x14ac:dyDescent="0.25"/>
    <row r="126564" s="12" customFormat="1" x14ac:dyDescent="0.25"/>
    <row r="126565" s="12" customFormat="1" x14ac:dyDescent="0.25"/>
    <row r="126566" s="12" customFormat="1" x14ac:dyDescent="0.25"/>
    <row r="126567" s="12" customFormat="1" x14ac:dyDescent="0.25"/>
    <row r="126568" s="12" customFormat="1" x14ac:dyDescent="0.25"/>
    <row r="126569" s="12" customFormat="1" x14ac:dyDescent="0.25"/>
    <row r="126570" s="12" customFormat="1" x14ac:dyDescent="0.25"/>
    <row r="126571" s="12" customFormat="1" x14ac:dyDescent="0.25"/>
    <row r="126572" s="12" customFormat="1" x14ac:dyDescent="0.25"/>
    <row r="126573" s="12" customFormat="1" x14ac:dyDescent="0.25"/>
    <row r="126574" s="12" customFormat="1" x14ac:dyDescent="0.25"/>
    <row r="126575" s="12" customFormat="1" x14ac:dyDescent="0.25"/>
    <row r="126576" s="12" customFormat="1" x14ac:dyDescent="0.25"/>
    <row r="126577" s="12" customFormat="1" x14ac:dyDescent="0.25"/>
    <row r="126578" s="12" customFormat="1" x14ac:dyDescent="0.25"/>
    <row r="126579" s="12" customFormat="1" x14ac:dyDescent="0.25"/>
    <row r="126580" s="12" customFormat="1" x14ac:dyDescent="0.25"/>
    <row r="126581" s="12" customFormat="1" x14ac:dyDescent="0.25"/>
    <row r="126582" s="12" customFormat="1" x14ac:dyDescent="0.25"/>
    <row r="126583" s="12" customFormat="1" x14ac:dyDescent="0.25"/>
    <row r="126584" s="12" customFormat="1" x14ac:dyDescent="0.25"/>
    <row r="126585" s="12" customFormat="1" x14ac:dyDescent="0.25"/>
    <row r="126586" s="12" customFormat="1" x14ac:dyDescent="0.25"/>
    <row r="126587" s="12" customFormat="1" x14ac:dyDescent="0.25"/>
    <row r="126588" s="12" customFormat="1" x14ac:dyDescent="0.25"/>
    <row r="126589" s="12" customFormat="1" x14ac:dyDescent="0.25"/>
    <row r="126590" s="12" customFormat="1" x14ac:dyDescent="0.25"/>
    <row r="126591" s="12" customFormat="1" x14ac:dyDescent="0.25"/>
    <row r="126592" s="12" customFormat="1" x14ac:dyDescent="0.25"/>
    <row r="126593" s="12" customFormat="1" x14ac:dyDescent="0.25"/>
    <row r="126594" s="12" customFormat="1" x14ac:dyDescent="0.25"/>
    <row r="126595" s="12" customFormat="1" x14ac:dyDescent="0.25"/>
    <row r="126596" s="12" customFormat="1" x14ac:dyDescent="0.25"/>
    <row r="126597" s="12" customFormat="1" x14ac:dyDescent="0.25"/>
    <row r="126598" s="12" customFormat="1" x14ac:dyDescent="0.25"/>
    <row r="126599" s="12" customFormat="1" x14ac:dyDescent="0.25"/>
    <row r="126600" s="12" customFormat="1" x14ac:dyDescent="0.25"/>
    <row r="126601" s="12" customFormat="1" x14ac:dyDescent="0.25"/>
    <row r="126602" s="12" customFormat="1" x14ac:dyDescent="0.25"/>
    <row r="126603" s="12" customFormat="1" x14ac:dyDescent="0.25"/>
    <row r="126604" s="12" customFormat="1" x14ac:dyDescent="0.25"/>
    <row r="126605" s="12" customFormat="1" x14ac:dyDescent="0.25"/>
    <row r="126606" s="12" customFormat="1" x14ac:dyDescent="0.25"/>
    <row r="126607" s="12" customFormat="1" x14ac:dyDescent="0.25"/>
    <row r="126608" s="12" customFormat="1" x14ac:dyDescent="0.25"/>
    <row r="126609" s="12" customFormat="1" x14ac:dyDescent="0.25"/>
    <row r="126610" s="12" customFormat="1" x14ac:dyDescent="0.25"/>
    <row r="126611" s="12" customFormat="1" x14ac:dyDescent="0.25"/>
    <row r="126612" s="12" customFormat="1" x14ac:dyDescent="0.25"/>
    <row r="126613" s="12" customFormat="1" x14ac:dyDescent="0.25"/>
    <row r="126614" s="12" customFormat="1" x14ac:dyDescent="0.25"/>
    <row r="126615" s="12" customFormat="1" x14ac:dyDescent="0.25"/>
    <row r="126616" s="12" customFormat="1" x14ac:dyDescent="0.25"/>
    <row r="126617" s="12" customFormat="1" x14ac:dyDescent="0.25"/>
    <row r="126618" s="12" customFormat="1" x14ac:dyDescent="0.25"/>
    <row r="126619" s="12" customFormat="1" x14ac:dyDescent="0.25"/>
    <row r="126620" s="12" customFormat="1" x14ac:dyDescent="0.25"/>
    <row r="126621" s="12" customFormat="1" x14ac:dyDescent="0.25"/>
    <row r="126622" s="12" customFormat="1" x14ac:dyDescent="0.25"/>
    <row r="126623" s="12" customFormat="1" x14ac:dyDescent="0.25"/>
    <row r="126624" s="12" customFormat="1" x14ac:dyDescent="0.25"/>
    <row r="126625" s="12" customFormat="1" x14ac:dyDescent="0.25"/>
    <row r="126626" s="12" customFormat="1" x14ac:dyDescent="0.25"/>
    <row r="126627" s="12" customFormat="1" x14ac:dyDescent="0.25"/>
    <row r="126628" s="12" customFormat="1" x14ac:dyDescent="0.25"/>
    <row r="126629" s="12" customFormat="1" x14ac:dyDescent="0.25"/>
    <row r="126630" s="12" customFormat="1" x14ac:dyDescent="0.25"/>
    <row r="126631" s="12" customFormat="1" x14ac:dyDescent="0.25"/>
    <row r="126632" s="12" customFormat="1" x14ac:dyDescent="0.25"/>
    <row r="126633" s="12" customFormat="1" x14ac:dyDescent="0.25"/>
    <row r="126634" s="12" customFormat="1" x14ac:dyDescent="0.25"/>
    <row r="126635" s="12" customFormat="1" x14ac:dyDescent="0.25"/>
    <row r="126636" s="12" customFormat="1" x14ac:dyDescent="0.25"/>
    <row r="126637" s="12" customFormat="1" x14ac:dyDescent="0.25"/>
    <row r="126638" s="12" customFormat="1" x14ac:dyDescent="0.25"/>
    <row r="126639" s="12" customFormat="1" x14ac:dyDescent="0.25"/>
    <row r="126640" s="12" customFormat="1" x14ac:dyDescent="0.25"/>
    <row r="126641" s="12" customFormat="1" x14ac:dyDescent="0.25"/>
    <row r="126642" s="12" customFormat="1" x14ac:dyDescent="0.25"/>
    <row r="126643" s="12" customFormat="1" x14ac:dyDescent="0.25"/>
    <row r="126644" s="12" customFormat="1" x14ac:dyDescent="0.25"/>
    <row r="126645" s="12" customFormat="1" x14ac:dyDescent="0.25"/>
    <row r="126646" s="12" customFormat="1" x14ac:dyDescent="0.25"/>
    <row r="126647" s="12" customFormat="1" x14ac:dyDescent="0.25"/>
    <row r="126648" s="12" customFormat="1" x14ac:dyDescent="0.25"/>
    <row r="126649" s="12" customFormat="1" x14ac:dyDescent="0.25"/>
    <row r="126650" s="12" customFormat="1" x14ac:dyDescent="0.25"/>
    <row r="126651" s="12" customFormat="1" x14ac:dyDescent="0.25"/>
    <row r="126652" s="12" customFormat="1" x14ac:dyDescent="0.25"/>
    <row r="126653" s="12" customFormat="1" x14ac:dyDescent="0.25"/>
    <row r="126654" s="12" customFormat="1" x14ac:dyDescent="0.25"/>
    <row r="126655" s="12" customFormat="1" x14ac:dyDescent="0.25"/>
    <row r="126656" s="12" customFormat="1" x14ac:dyDescent="0.25"/>
    <row r="126657" s="12" customFormat="1" x14ac:dyDescent="0.25"/>
    <row r="126658" s="12" customFormat="1" x14ac:dyDescent="0.25"/>
    <row r="126659" s="12" customFormat="1" x14ac:dyDescent="0.25"/>
    <row r="126660" s="12" customFormat="1" x14ac:dyDescent="0.25"/>
    <row r="126661" s="12" customFormat="1" x14ac:dyDescent="0.25"/>
    <row r="126662" s="12" customFormat="1" x14ac:dyDescent="0.25"/>
    <row r="126663" s="12" customFormat="1" x14ac:dyDescent="0.25"/>
    <row r="126664" s="12" customFormat="1" x14ac:dyDescent="0.25"/>
    <row r="126665" s="12" customFormat="1" x14ac:dyDescent="0.25"/>
    <row r="126666" s="12" customFormat="1" x14ac:dyDescent="0.25"/>
    <row r="126667" s="12" customFormat="1" x14ac:dyDescent="0.25"/>
    <row r="126668" s="12" customFormat="1" x14ac:dyDescent="0.25"/>
    <row r="126669" s="12" customFormat="1" x14ac:dyDescent="0.25"/>
    <row r="126670" s="12" customFormat="1" x14ac:dyDescent="0.25"/>
    <row r="126671" s="12" customFormat="1" x14ac:dyDescent="0.25"/>
    <row r="126672" s="12" customFormat="1" x14ac:dyDescent="0.25"/>
    <row r="126673" s="12" customFormat="1" x14ac:dyDescent="0.25"/>
    <row r="126674" s="12" customFormat="1" x14ac:dyDescent="0.25"/>
    <row r="126675" s="12" customFormat="1" x14ac:dyDescent="0.25"/>
    <row r="126676" s="12" customFormat="1" x14ac:dyDescent="0.25"/>
    <row r="126677" s="12" customFormat="1" x14ac:dyDescent="0.25"/>
    <row r="126678" s="12" customFormat="1" x14ac:dyDescent="0.25"/>
    <row r="126679" s="12" customFormat="1" x14ac:dyDescent="0.25"/>
    <row r="126680" s="12" customFormat="1" x14ac:dyDescent="0.25"/>
    <row r="126681" s="12" customFormat="1" x14ac:dyDescent="0.25"/>
    <row r="126682" s="12" customFormat="1" x14ac:dyDescent="0.25"/>
    <row r="126683" s="12" customFormat="1" x14ac:dyDescent="0.25"/>
    <row r="126684" s="12" customFormat="1" x14ac:dyDescent="0.25"/>
    <row r="126685" s="12" customFormat="1" x14ac:dyDescent="0.25"/>
    <row r="126686" s="12" customFormat="1" x14ac:dyDescent="0.25"/>
    <row r="126687" s="12" customFormat="1" x14ac:dyDescent="0.25"/>
    <row r="126688" s="12" customFormat="1" x14ac:dyDescent="0.25"/>
    <row r="126689" s="12" customFormat="1" x14ac:dyDescent="0.25"/>
    <row r="126690" s="12" customFormat="1" x14ac:dyDescent="0.25"/>
    <row r="126691" s="12" customFormat="1" x14ac:dyDescent="0.25"/>
    <row r="126692" s="12" customFormat="1" x14ac:dyDescent="0.25"/>
    <row r="126693" s="12" customFormat="1" x14ac:dyDescent="0.25"/>
    <row r="126694" s="12" customFormat="1" x14ac:dyDescent="0.25"/>
    <row r="126695" s="12" customFormat="1" x14ac:dyDescent="0.25"/>
    <row r="126696" s="12" customFormat="1" x14ac:dyDescent="0.25"/>
    <row r="126697" s="12" customFormat="1" x14ac:dyDescent="0.25"/>
    <row r="126698" s="12" customFormat="1" x14ac:dyDescent="0.25"/>
    <row r="126699" s="12" customFormat="1" x14ac:dyDescent="0.25"/>
    <row r="126700" s="12" customFormat="1" x14ac:dyDescent="0.25"/>
    <row r="126701" s="12" customFormat="1" x14ac:dyDescent="0.25"/>
    <row r="126702" s="12" customFormat="1" x14ac:dyDescent="0.25"/>
    <row r="126703" s="12" customFormat="1" x14ac:dyDescent="0.25"/>
    <row r="126704" s="12" customFormat="1" x14ac:dyDescent="0.25"/>
    <row r="126705" s="12" customFormat="1" x14ac:dyDescent="0.25"/>
    <row r="126706" s="12" customFormat="1" x14ac:dyDescent="0.25"/>
    <row r="126707" s="12" customFormat="1" x14ac:dyDescent="0.25"/>
    <row r="126708" s="12" customFormat="1" x14ac:dyDescent="0.25"/>
    <row r="126709" s="12" customFormat="1" x14ac:dyDescent="0.25"/>
    <row r="126710" s="12" customFormat="1" x14ac:dyDescent="0.25"/>
    <row r="126711" s="12" customFormat="1" x14ac:dyDescent="0.25"/>
    <row r="126712" s="12" customFormat="1" x14ac:dyDescent="0.25"/>
    <row r="126713" s="12" customFormat="1" x14ac:dyDescent="0.25"/>
    <row r="126714" s="12" customFormat="1" x14ac:dyDescent="0.25"/>
    <row r="126715" s="12" customFormat="1" x14ac:dyDescent="0.25"/>
    <row r="126716" s="12" customFormat="1" x14ac:dyDescent="0.25"/>
    <row r="126717" s="12" customFormat="1" x14ac:dyDescent="0.25"/>
    <row r="126718" s="12" customFormat="1" x14ac:dyDescent="0.25"/>
    <row r="126719" s="12" customFormat="1" x14ac:dyDescent="0.25"/>
    <row r="126720" s="12" customFormat="1" x14ac:dyDescent="0.25"/>
    <row r="126721" s="12" customFormat="1" x14ac:dyDescent="0.25"/>
    <row r="126722" s="12" customFormat="1" x14ac:dyDescent="0.25"/>
    <row r="126723" s="12" customFormat="1" x14ac:dyDescent="0.25"/>
    <row r="126724" s="12" customFormat="1" x14ac:dyDescent="0.25"/>
    <row r="126725" s="12" customFormat="1" x14ac:dyDescent="0.25"/>
    <row r="126726" s="12" customFormat="1" x14ac:dyDescent="0.25"/>
    <row r="126727" s="12" customFormat="1" x14ac:dyDescent="0.25"/>
    <row r="126728" s="12" customFormat="1" x14ac:dyDescent="0.25"/>
    <row r="126729" s="12" customFormat="1" x14ac:dyDescent="0.25"/>
    <row r="126730" s="12" customFormat="1" x14ac:dyDescent="0.25"/>
    <row r="126731" s="12" customFormat="1" x14ac:dyDescent="0.25"/>
    <row r="126732" s="12" customFormat="1" x14ac:dyDescent="0.25"/>
    <row r="126733" s="12" customFormat="1" x14ac:dyDescent="0.25"/>
    <row r="126734" s="12" customFormat="1" x14ac:dyDescent="0.25"/>
    <row r="126735" s="12" customFormat="1" x14ac:dyDescent="0.25"/>
    <row r="126736" s="12" customFormat="1" x14ac:dyDescent="0.25"/>
    <row r="126737" s="12" customFormat="1" x14ac:dyDescent="0.25"/>
    <row r="126738" s="12" customFormat="1" x14ac:dyDescent="0.25"/>
    <row r="126739" s="12" customFormat="1" x14ac:dyDescent="0.25"/>
    <row r="126740" s="12" customFormat="1" x14ac:dyDescent="0.25"/>
    <row r="126741" s="12" customFormat="1" x14ac:dyDescent="0.25"/>
    <row r="126742" s="12" customFormat="1" x14ac:dyDescent="0.25"/>
    <row r="126743" s="12" customFormat="1" x14ac:dyDescent="0.25"/>
    <row r="126744" s="12" customFormat="1" x14ac:dyDescent="0.25"/>
    <row r="126745" s="12" customFormat="1" x14ac:dyDescent="0.25"/>
    <row r="126746" s="12" customFormat="1" x14ac:dyDescent="0.25"/>
    <row r="126747" s="12" customFormat="1" x14ac:dyDescent="0.25"/>
    <row r="126748" s="12" customFormat="1" x14ac:dyDescent="0.25"/>
    <row r="126749" s="12" customFormat="1" x14ac:dyDescent="0.25"/>
    <row r="126750" s="12" customFormat="1" x14ac:dyDescent="0.25"/>
    <row r="126751" s="12" customFormat="1" x14ac:dyDescent="0.25"/>
    <row r="126752" s="12" customFormat="1" x14ac:dyDescent="0.25"/>
    <row r="126753" s="12" customFormat="1" x14ac:dyDescent="0.25"/>
    <row r="126754" s="12" customFormat="1" x14ac:dyDescent="0.25"/>
    <row r="126755" s="12" customFormat="1" x14ac:dyDescent="0.25"/>
    <row r="126756" s="12" customFormat="1" x14ac:dyDescent="0.25"/>
    <row r="126757" s="12" customFormat="1" x14ac:dyDescent="0.25"/>
    <row r="126758" s="12" customFormat="1" x14ac:dyDescent="0.25"/>
    <row r="126759" s="12" customFormat="1" x14ac:dyDescent="0.25"/>
    <row r="126760" s="12" customFormat="1" x14ac:dyDescent="0.25"/>
    <row r="126761" s="12" customFormat="1" x14ac:dyDescent="0.25"/>
    <row r="126762" s="12" customFormat="1" x14ac:dyDescent="0.25"/>
    <row r="126763" s="12" customFormat="1" x14ac:dyDescent="0.25"/>
    <row r="126764" s="12" customFormat="1" x14ac:dyDescent="0.25"/>
    <row r="126765" s="12" customFormat="1" x14ac:dyDescent="0.25"/>
    <row r="126766" s="12" customFormat="1" x14ac:dyDescent="0.25"/>
    <row r="126767" s="12" customFormat="1" x14ac:dyDescent="0.25"/>
    <row r="126768" s="12" customFormat="1" x14ac:dyDescent="0.25"/>
    <row r="126769" s="12" customFormat="1" x14ac:dyDescent="0.25"/>
    <row r="126770" s="12" customFormat="1" x14ac:dyDescent="0.25"/>
    <row r="126771" s="12" customFormat="1" x14ac:dyDescent="0.25"/>
    <row r="126772" s="12" customFormat="1" x14ac:dyDescent="0.25"/>
    <row r="126773" s="12" customFormat="1" x14ac:dyDescent="0.25"/>
    <row r="126774" s="12" customFormat="1" x14ac:dyDescent="0.25"/>
    <row r="126775" s="12" customFormat="1" x14ac:dyDescent="0.25"/>
    <row r="126776" s="12" customFormat="1" x14ac:dyDescent="0.25"/>
    <row r="126777" s="12" customFormat="1" x14ac:dyDescent="0.25"/>
    <row r="126778" s="12" customFormat="1" x14ac:dyDescent="0.25"/>
    <row r="126779" s="12" customFormat="1" x14ac:dyDescent="0.25"/>
    <row r="126780" s="12" customFormat="1" x14ac:dyDescent="0.25"/>
    <row r="126781" s="12" customFormat="1" x14ac:dyDescent="0.25"/>
    <row r="126782" s="12" customFormat="1" x14ac:dyDescent="0.25"/>
    <row r="126783" s="12" customFormat="1" x14ac:dyDescent="0.25"/>
    <row r="126784" s="12" customFormat="1" x14ac:dyDescent="0.25"/>
    <row r="126785" s="12" customFormat="1" x14ac:dyDescent="0.25"/>
    <row r="126786" s="12" customFormat="1" x14ac:dyDescent="0.25"/>
    <row r="126787" s="12" customFormat="1" x14ac:dyDescent="0.25"/>
    <row r="126788" s="12" customFormat="1" x14ac:dyDescent="0.25"/>
    <row r="126789" s="12" customFormat="1" x14ac:dyDescent="0.25"/>
    <row r="126790" s="12" customFormat="1" x14ac:dyDescent="0.25"/>
    <row r="126791" s="12" customFormat="1" x14ac:dyDescent="0.25"/>
    <row r="126792" s="12" customFormat="1" x14ac:dyDescent="0.25"/>
    <row r="126793" s="12" customFormat="1" x14ac:dyDescent="0.25"/>
    <row r="126794" s="12" customFormat="1" x14ac:dyDescent="0.25"/>
    <row r="126795" s="12" customFormat="1" x14ac:dyDescent="0.25"/>
    <row r="126796" s="12" customFormat="1" x14ac:dyDescent="0.25"/>
    <row r="126797" s="12" customFormat="1" x14ac:dyDescent="0.25"/>
    <row r="126798" s="12" customFormat="1" x14ac:dyDescent="0.25"/>
    <row r="126799" s="12" customFormat="1" x14ac:dyDescent="0.25"/>
    <row r="126800" s="12" customFormat="1" x14ac:dyDescent="0.25"/>
    <row r="126801" s="12" customFormat="1" x14ac:dyDescent="0.25"/>
    <row r="126802" s="12" customFormat="1" x14ac:dyDescent="0.25"/>
    <row r="126803" s="12" customFormat="1" x14ac:dyDescent="0.25"/>
    <row r="126804" s="12" customFormat="1" x14ac:dyDescent="0.25"/>
    <row r="126805" s="12" customFormat="1" x14ac:dyDescent="0.25"/>
    <row r="126806" s="12" customFormat="1" x14ac:dyDescent="0.25"/>
    <row r="126807" s="12" customFormat="1" x14ac:dyDescent="0.25"/>
    <row r="126808" s="12" customFormat="1" x14ac:dyDescent="0.25"/>
    <row r="126809" s="12" customFormat="1" x14ac:dyDescent="0.25"/>
    <row r="126810" s="12" customFormat="1" x14ac:dyDescent="0.25"/>
    <row r="126811" s="12" customFormat="1" x14ac:dyDescent="0.25"/>
    <row r="126812" s="12" customFormat="1" x14ac:dyDescent="0.25"/>
    <row r="126813" s="12" customFormat="1" x14ac:dyDescent="0.25"/>
    <row r="126814" s="12" customFormat="1" x14ac:dyDescent="0.25"/>
    <row r="126815" s="12" customFormat="1" x14ac:dyDescent="0.25"/>
    <row r="126816" s="12" customFormat="1" x14ac:dyDescent="0.25"/>
    <row r="126817" s="12" customFormat="1" x14ac:dyDescent="0.25"/>
    <row r="126818" s="12" customFormat="1" x14ac:dyDescent="0.25"/>
    <row r="126819" s="12" customFormat="1" x14ac:dyDescent="0.25"/>
    <row r="126820" s="12" customFormat="1" x14ac:dyDescent="0.25"/>
    <row r="126821" s="12" customFormat="1" x14ac:dyDescent="0.25"/>
    <row r="126822" s="12" customFormat="1" x14ac:dyDescent="0.25"/>
    <row r="126823" s="12" customFormat="1" x14ac:dyDescent="0.25"/>
    <row r="126824" s="12" customFormat="1" x14ac:dyDescent="0.25"/>
    <row r="126825" s="12" customFormat="1" x14ac:dyDescent="0.25"/>
    <row r="126826" s="12" customFormat="1" x14ac:dyDescent="0.25"/>
    <row r="126827" s="12" customFormat="1" x14ac:dyDescent="0.25"/>
    <row r="126828" s="12" customFormat="1" x14ac:dyDescent="0.25"/>
    <row r="126829" s="12" customFormat="1" x14ac:dyDescent="0.25"/>
    <row r="126830" s="12" customFormat="1" x14ac:dyDescent="0.25"/>
    <row r="126831" s="12" customFormat="1" x14ac:dyDescent="0.25"/>
    <row r="126832" s="12" customFormat="1" x14ac:dyDescent="0.25"/>
    <row r="126833" s="12" customFormat="1" x14ac:dyDescent="0.25"/>
    <row r="126834" s="12" customFormat="1" x14ac:dyDescent="0.25"/>
    <row r="126835" s="12" customFormat="1" x14ac:dyDescent="0.25"/>
    <row r="126836" s="12" customFormat="1" x14ac:dyDescent="0.25"/>
    <row r="126837" s="12" customFormat="1" x14ac:dyDescent="0.25"/>
    <row r="126838" s="12" customFormat="1" x14ac:dyDescent="0.25"/>
    <row r="126839" s="12" customFormat="1" x14ac:dyDescent="0.25"/>
    <row r="126840" s="12" customFormat="1" x14ac:dyDescent="0.25"/>
    <row r="126841" s="12" customFormat="1" x14ac:dyDescent="0.25"/>
    <row r="126842" s="12" customFormat="1" x14ac:dyDescent="0.25"/>
    <row r="126843" s="12" customFormat="1" x14ac:dyDescent="0.25"/>
    <row r="126844" s="12" customFormat="1" x14ac:dyDescent="0.25"/>
    <row r="126845" s="12" customFormat="1" x14ac:dyDescent="0.25"/>
    <row r="126846" s="12" customFormat="1" x14ac:dyDescent="0.25"/>
    <row r="126847" s="12" customFormat="1" x14ac:dyDescent="0.25"/>
    <row r="126848" s="12" customFormat="1" x14ac:dyDescent="0.25"/>
    <row r="126849" s="12" customFormat="1" x14ac:dyDescent="0.25"/>
    <row r="126850" s="12" customFormat="1" x14ac:dyDescent="0.25"/>
    <row r="126851" s="12" customFormat="1" x14ac:dyDescent="0.25"/>
    <row r="126852" s="12" customFormat="1" x14ac:dyDescent="0.25"/>
    <row r="126853" s="12" customFormat="1" x14ac:dyDescent="0.25"/>
    <row r="126854" s="12" customFormat="1" x14ac:dyDescent="0.25"/>
    <row r="126855" s="12" customFormat="1" x14ac:dyDescent="0.25"/>
    <row r="126856" s="12" customFormat="1" x14ac:dyDescent="0.25"/>
    <row r="126857" s="12" customFormat="1" x14ac:dyDescent="0.25"/>
    <row r="126858" s="12" customFormat="1" x14ac:dyDescent="0.25"/>
    <row r="126859" s="12" customFormat="1" x14ac:dyDescent="0.25"/>
    <row r="126860" s="12" customFormat="1" x14ac:dyDescent="0.25"/>
    <row r="126861" s="12" customFormat="1" x14ac:dyDescent="0.25"/>
    <row r="126862" s="12" customFormat="1" x14ac:dyDescent="0.25"/>
    <row r="126863" s="12" customFormat="1" x14ac:dyDescent="0.25"/>
    <row r="126864" s="12" customFormat="1" x14ac:dyDescent="0.25"/>
    <row r="126865" s="12" customFormat="1" x14ac:dyDescent="0.25"/>
    <row r="126866" s="12" customFormat="1" x14ac:dyDescent="0.25"/>
    <row r="126867" s="12" customFormat="1" x14ac:dyDescent="0.25"/>
    <row r="126868" s="12" customFormat="1" x14ac:dyDescent="0.25"/>
    <row r="126869" s="12" customFormat="1" x14ac:dyDescent="0.25"/>
    <row r="126870" s="12" customFormat="1" x14ac:dyDescent="0.25"/>
    <row r="126871" s="12" customFormat="1" x14ac:dyDescent="0.25"/>
    <row r="126872" s="12" customFormat="1" x14ac:dyDescent="0.25"/>
    <row r="126873" s="12" customFormat="1" x14ac:dyDescent="0.25"/>
    <row r="126874" s="12" customFormat="1" x14ac:dyDescent="0.25"/>
    <row r="126875" s="12" customFormat="1" x14ac:dyDescent="0.25"/>
    <row r="126876" s="12" customFormat="1" x14ac:dyDescent="0.25"/>
    <row r="126877" s="12" customFormat="1" x14ac:dyDescent="0.25"/>
    <row r="126878" s="12" customFormat="1" x14ac:dyDescent="0.25"/>
    <row r="126879" s="12" customFormat="1" x14ac:dyDescent="0.25"/>
    <row r="126880" s="12" customFormat="1" x14ac:dyDescent="0.25"/>
    <row r="126881" s="12" customFormat="1" x14ac:dyDescent="0.25"/>
    <row r="126882" s="12" customFormat="1" x14ac:dyDescent="0.25"/>
    <row r="126883" s="12" customFormat="1" x14ac:dyDescent="0.25"/>
    <row r="126884" s="12" customFormat="1" x14ac:dyDescent="0.25"/>
    <row r="126885" s="12" customFormat="1" x14ac:dyDescent="0.25"/>
    <row r="126886" s="12" customFormat="1" x14ac:dyDescent="0.25"/>
    <row r="126887" s="12" customFormat="1" x14ac:dyDescent="0.25"/>
    <row r="126888" s="12" customFormat="1" x14ac:dyDescent="0.25"/>
    <row r="126889" s="12" customFormat="1" x14ac:dyDescent="0.25"/>
    <row r="126890" s="12" customFormat="1" x14ac:dyDescent="0.25"/>
    <row r="126891" s="12" customFormat="1" x14ac:dyDescent="0.25"/>
    <row r="126892" s="12" customFormat="1" x14ac:dyDescent="0.25"/>
    <row r="126893" s="12" customFormat="1" x14ac:dyDescent="0.25"/>
    <row r="126894" s="12" customFormat="1" x14ac:dyDescent="0.25"/>
    <row r="126895" s="12" customFormat="1" x14ac:dyDescent="0.25"/>
    <row r="126896" s="12" customFormat="1" x14ac:dyDescent="0.25"/>
    <row r="126897" s="12" customFormat="1" x14ac:dyDescent="0.25"/>
    <row r="126898" s="12" customFormat="1" x14ac:dyDescent="0.25"/>
    <row r="126899" s="12" customFormat="1" x14ac:dyDescent="0.25"/>
    <row r="126900" s="12" customFormat="1" x14ac:dyDescent="0.25"/>
    <row r="126901" s="12" customFormat="1" x14ac:dyDescent="0.25"/>
    <row r="126902" s="12" customFormat="1" x14ac:dyDescent="0.25"/>
    <row r="126903" s="12" customFormat="1" x14ac:dyDescent="0.25"/>
    <row r="126904" s="12" customFormat="1" x14ac:dyDescent="0.25"/>
    <row r="126905" s="12" customFormat="1" x14ac:dyDescent="0.25"/>
    <row r="126906" s="12" customFormat="1" x14ac:dyDescent="0.25"/>
    <row r="126907" s="12" customFormat="1" x14ac:dyDescent="0.25"/>
    <row r="126908" s="12" customFormat="1" x14ac:dyDescent="0.25"/>
    <row r="126909" s="12" customFormat="1" x14ac:dyDescent="0.25"/>
    <row r="126910" s="12" customFormat="1" x14ac:dyDescent="0.25"/>
    <row r="126911" s="12" customFormat="1" x14ac:dyDescent="0.25"/>
    <row r="126912" s="12" customFormat="1" x14ac:dyDescent="0.25"/>
    <row r="126913" s="12" customFormat="1" x14ac:dyDescent="0.25"/>
    <row r="126914" s="12" customFormat="1" x14ac:dyDescent="0.25"/>
    <row r="126915" s="12" customFormat="1" x14ac:dyDescent="0.25"/>
    <row r="126916" s="12" customFormat="1" x14ac:dyDescent="0.25"/>
    <row r="126917" s="12" customFormat="1" x14ac:dyDescent="0.25"/>
    <row r="126918" s="12" customFormat="1" x14ac:dyDescent="0.25"/>
    <row r="126919" s="12" customFormat="1" x14ac:dyDescent="0.25"/>
    <row r="126920" s="12" customFormat="1" x14ac:dyDescent="0.25"/>
    <row r="126921" s="12" customFormat="1" x14ac:dyDescent="0.25"/>
    <row r="126922" s="12" customFormat="1" x14ac:dyDescent="0.25"/>
    <row r="126923" s="12" customFormat="1" x14ac:dyDescent="0.25"/>
    <row r="126924" s="12" customFormat="1" x14ac:dyDescent="0.25"/>
    <row r="126925" s="12" customFormat="1" x14ac:dyDescent="0.25"/>
    <row r="126926" s="12" customFormat="1" x14ac:dyDescent="0.25"/>
    <row r="126927" s="12" customFormat="1" x14ac:dyDescent="0.25"/>
    <row r="126928" s="12" customFormat="1" x14ac:dyDescent="0.25"/>
    <row r="126929" s="12" customFormat="1" x14ac:dyDescent="0.25"/>
    <row r="126930" s="12" customFormat="1" x14ac:dyDescent="0.25"/>
    <row r="126931" s="12" customFormat="1" x14ac:dyDescent="0.25"/>
    <row r="126932" s="12" customFormat="1" x14ac:dyDescent="0.25"/>
    <row r="126933" s="12" customFormat="1" x14ac:dyDescent="0.25"/>
    <row r="126934" s="12" customFormat="1" x14ac:dyDescent="0.25"/>
    <row r="126935" s="12" customFormat="1" x14ac:dyDescent="0.25"/>
    <row r="126936" s="12" customFormat="1" x14ac:dyDescent="0.25"/>
    <row r="126937" s="12" customFormat="1" x14ac:dyDescent="0.25"/>
    <row r="126938" s="12" customFormat="1" x14ac:dyDescent="0.25"/>
    <row r="126939" s="12" customFormat="1" x14ac:dyDescent="0.25"/>
    <row r="126940" s="12" customFormat="1" x14ac:dyDescent="0.25"/>
    <row r="126941" s="12" customFormat="1" x14ac:dyDescent="0.25"/>
    <row r="126942" s="12" customFormat="1" x14ac:dyDescent="0.25"/>
    <row r="126943" s="12" customFormat="1" x14ac:dyDescent="0.25"/>
    <row r="126944" s="12" customFormat="1" x14ac:dyDescent="0.25"/>
    <row r="126945" s="12" customFormat="1" x14ac:dyDescent="0.25"/>
    <row r="126946" s="12" customFormat="1" x14ac:dyDescent="0.25"/>
    <row r="126947" s="12" customFormat="1" x14ac:dyDescent="0.25"/>
    <row r="126948" s="12" customFormat="1" x14ac:dyDescent="0.25"/>
    <row r="126949" s="12" customFormat="1" x14ac:dyDescent="0.25"/>
    <row r="126950" s="12" customFormat="1" x14ac:dyDescent="0.25"/>
    <row r="126951" s="12" customFormat="1" x14ac:dyDescent="0.25"/>
    <row r="126952" s="12" customFormat="1" x14ac:dyDescent="0.25"/>
    <row r="126953" s="12" customFormat="1" x14ac:dyDescent="0.25"/>
    <row r="126954" s="12" customFormat="1" x14ac:dyDescent="0.25"/>
    <row r="126955" s="12" customFormat="1" x14ac:dyDescent="0.25"/>
    <row r="126956" s="12" customFormat="1" x14ac:dyDescent="0.25"/>
    <row r="126957" s="12" customFormat="1" x14ac:dyDescent="0.25"/>
    <row r="126958" s="12" customFormat="1" x14ac:dyDescent="0.25"/>
    <row r="126959" s="12" customFormat="1" x14ac:dyDescent="0.25"/>
    <row r="126960" s="12" customFormat="1" x14ac:dyDescent="0.25"/>
    <row r="126961" s="12" customFormat="1" x14ac:dyDescent="0.25"/>
    <row r="126962" s="12" customFormat="1" x14ac:dyDescent="0.25"/>
    <row r="126963" s="12" customFormat="1" x14ac:dyDescent="0.25"/>
    <row r="126964" s="12" customFormat="1" x14ac:dyDescent="0.25"/>
    <row r="126965" s="12" customFormat="1" x14ac:dyDescent="0.25"/>
    <row r="126966" s="12" customFormat="1" x14ac:dyDescent="0.25"/>
    <row r="126967" s="12" customFormat="1" x14ac:dyDescent="0.25"/>
    <row r="126968" s="12" customFormat="1" x14ac:dyDescent="0.25"/>
    <row r="126969" s="12" customFormat="1" x14ac:dyDescent="0.25"/>
    <row r="126970" s="12" customFormat="1" x14ac:dyDescent="0.25"/>
    <row r="126971" s="12" customFormat="1" x14ac:dyDescent="0.25"/>
    <row r="126972" s="12" customFormat="1" x14ac:dyDescent="0.25"/>
    <row r="126973" s="12" customFormat="1" x14ac:dyDescent="0.25"/>
    <row r="126974" s="12" customFormat="1" x14ac:dyDescent="0.25"/>
    <row r="126975" s="12" customFormat="1" x14ac:dyDescent="0.25"/>
    <row r="126976" s="12" customFormat="1" x14ac:dyDescent="0.25"/>
    <row r="126977" s="12" customFormat="1" x14ac:dyDescent="0.25"/>
    <row r="126978" s="12" customFormat="1" x14ac:dyDescent="0.25"/>
    <row r="126979" s="12" customFormat="1" x14ac:dyDescent="0.25"/>
    <row r="126980" s="12" customFormat="1" x14ac:dyDescent="0.25"/>
    <row r="126981" s="12" customFormat="1" x14ac:dyDescent="0.25"/>
    <row r="126982" s="12" customFormat="1" x14ac:dyDescent="0.25"/>
    <row r="126983" s="12" customFormat="1" x14ac:dyDescent="0.25"/>
    <row r="126984" s="12" customFormat="1" x14ac:dyDescent="0.25"/>
    <row r="126985" s="12" customFormat="1" x14ac:dyDescent="0.25"/>
    <row r="126986" s="12" customFormat="1" x14ac:dyDescent="0.25"/>
    <row r="126987" s="12" customFormat="1" x14ac:dyDescent="0.25"/>
    <row r="126988" s="12" customFormat="1" x14ac:dyDescent="0.25"/>
    <row r="126989" s="12" customFormat="1" x14ac:dyDescent="0.25"/>
    <row r="126990" s="12" customFormat="1" x14ac:dyDescent="0.25"/>
    <row r="126991" s="12" customFormat="1" x14ac:dyDescent="0.25"/>
    <row r="126992" s="12" customFormat="1" x14ac:dyDescent="0.25"/>
    <row r="126993" s="12" customFormat="1" x14ac:dyDescent="0.25"/>
    <row r="126994" s="12" customFormat="1" x14ac:dyDescent="0.25"/>
    <row r="126995" s="12" customFormat="1" x14ac:dyDescent="0.25"/>
    <row r="126996" s="12" customFormat="1" x14ac:dyDescent="0.25"/>
    <row r="126997" s="12" customFormat="1" x14ac:dyDescent="0.25"/>
    <row r="126998" s="12" customFormat="1" x14ac:dyDescent="0.25"/>
    <row r="126999" s="12" customFormat="1" x14ac:dyDescent="0.25"/>
    <row r="127000" s="12" customFormat="1" x14ac:dyDescent="0.25"/>
    <row r="127001" s="12" customFormat="1" x14ac:dyDescent="0.25"/>
    <row r="127002" s="12" customFormat="1" x14ac:dyDescent="0.25"/>
    <row r="127003" s="12" customFormat="1" x14ac:dyDescent="0.25"/>
    <row r="127004" s="12" customFormat="1" x14ac:dyDescent="0.25"/>
    <row r="127005" s="12" customFormat="1" x14ac:dyDescent="0.25"/>
    <row r="127006" s="12" customFormat="1" x14ac:dyDescent="0.25"/>
    <row r="127007" s="12" customFormat="1" x14ac:dyDescent="0.25"/>
    <row r="127008" s="12" customFormat="1" x14ac:dyDescent="0.25"/>
    <row r="127009" s="12" customFormat="1" x14ac:dyDescent="0.25"/>
    <row r="127010" s="12" customFormat="1" x14ac:dyDescent="0.25"/>
    <row r="127011" s="12" customFormat="1" x14ac:dyDescent="0.25"/>
    <row r="127012" s="12" customFormat="1" x14ac:dyDescent="0.25"/>
    <row r="127013" s="12" customFormat="1" x14ac:dyDescent="0.25"/>
    <row r="127014" s="12" customFormat="1" x14ac:dyDescent="0.25"/>
    <row r="127015" s="12" customFormat="1" x14ac:dyDescent="0.25"/>
    <row r="127016" s="12" customFormat="1" x14ac:dyDescent="0.25"/>
    <row r="127017" s="12" customFormat="1" x14ac:dyDescent="0.25"/>
    <row r="127018" s="12" customFormat="1" x14ac:dyDescent="0.25"/>
    <row r="127019" s="12" customFormat="1" x14ac:dyDescent="0.25"/>
    <row r="127020" s="12" customFormat="1" x14ac:dyDescent="0.25"/>
    <row r="127021" s="12" customFormat="1" x14ac:dyDescent="0.25"/>
    <row r="127022" s="12" customFormat="1" x14ac:dyDescent="0.25"/>
    <row r="127023" s="12" customFormat="1" x14ac:dyDescent="0.25"/>
    <row r="127024" s="12" customFormat="1" x14ac:dyDescent="0.25"/>
    <row r="127025" s="12" customFormat="1" x14ac:dyDescent="0.25"/>
    <row r="127026" s="12" customFormat="1" x14ac:dyDescent="0.25"/>
    <row r="127027" s="12" customFormat="1" x14ac:dyDescent="0.25"/>
    <row r="127028" s="12" customFormat="1" x14ac:dyDescent="0.25"/>
    <row r="127029" s="12" customFormat="1" x14ac:dyDescent="0.25"/>
    <row r="127030" s="12" customFormat="1" x14ac:dyDescent="0.25"/>
    <row r="127031" s="12" customFormat="1" x14ac:dyDescent="0.25"/>
    <row r="127032" s="12" customFormat="1" x14ac:dyDescent="0.25"/>
    <row r="127033" s="12" customFormat="1" x14ac:dyDescent="0.25"/>
    <row r="127034" s="12" customFormat="1" x14ac:dyDescent="0.25"/>
    <row r="127035" s="12" customFormat="1" x14ac:dyDescent="0.25"/>
    <row r="127036" s="12" customFormat="1" x14ac:dyDescent="0.25"/>
    <row r="127037" s="12" customFormat="1" x14ac:dyDescent="0.25"/>
    <row r="127038" s="12" customFormat="1" x14ac:dyDescent="0.25"/>
    <row r="127039" s="12" customFormat="1" x14ac:dyDescent="0.25"/>
    <row r="127040" s="12" customFormat="1" x14ac:dyDescent="0.25"/>
    <row r="127041" s="12" customFormat="1" x14ac:dyDescent="0.25"/>
    <row r="127042" s="12" customFormat="1" x14ac:dyDescent="0.25"/>
    <row r="127043" s="12" customFormat="1" x14ac:dyDescent="0.25"/>
    <row r="127044" s="12" customFormat="1" x14ac:dyDescent="0.25"/>
    <row r="127045" s="12" customFormat="1" x14ac:dyDescent="0.25"/>
    <row r="127046" s="12" customFormat="1" x14ac:dyDescent="0.25"/>
    <row r="127047" s="12" customFormat="1" x14ac:dyDescent="0.25"/>
    <row r="127048" s="12" customFormat="1" x14ac:dyDescent="0.25"/>
    <row r="127049" s="12" customFormat="1" x14ac:dyDescent="0.25"/>
    <row r="127050" s="12" customFormat="1" x14ac:dyDescent="0.25"/>
    <row r="127051" s="12" customFormat="1" x14ac:dyDescent="0.25"/>
    <row r="127052" s="12" customFormat="1" x14ac:dyDescent="0.25"/>
    <row r="127053" s="12" customFormat="1" x14ac:dyDescent="0.25"/>
    <row r="127054" s="12" customFormat="1" x14ac:dyDescent="0.25"/>
    <row r="127055" s="12" customFormat="1" x14ac:dyDescent="0.25"/>
    <row r="127056" s="12" customFormat="1" x14ac:dyDescent="0.25"/>
    <row r="127057" s="12" customFormat="1" x14ac:dyDescent="0.25"/>
    <row r="127058" s="12" customFormat="1" x14ac:dyDescent="0.25"/>
    <row r="127059" s="12" customFormat="1" x14ac:dyDescent="0.25"/>
    <row r="127060" s="12" customFormat="1" x14ac:dyDescent="0.25"/>
    <row r="127061" s="12" customFormat="1" x14ac:dyDescent="0.25"/>
    <row r="127062" s="12" customFormat="1" x14ac:dyDescent="0.25"/>
    <row r="127063" s="12" customFormat="1" x14ac:dyDescent="0.25"/>
    <row r="127064" s="12" customFormat="1" x14ac:dyDescent="0.25"/>
    <row r="127065" s="12" customFormat="1" x14ac:dyDescent="0.25"/>
    <row r="127066" s="12" customFormat="1" x14ac:dyDescent="0.25"/>
    <row r="127067" s="12" customFormat="1" x14ac:dyDescent="0.25"/>
    <row r="127068" s="12" customFormat="1" x14ac:dyDescent="0.25"/>
    <row r="127069" s="12" customFormat="1" x14ac:dyDescent="0.25"/>
    <row r="127070" s="12" customFormat="1" x14ac:dyDescent="0.25"/>
    <row r="127071" s="12" customFormat="1" x14ac:dyDescent="0.25"/>
    <row r="127072" s="12" customFormat="1" x14ac:dyDescent="0.25"/>
    <row r="127073" s="12" customFormat="1" x14ac:dyDescent="0.25"/>
    <row r="127074" s="12" customFormat="1" x14ac:dyDescent="0.25"/>
    <row r="127075" s="12" customFormat="1" x14ac:dyDescent="0.25"/>
    <row r="127076" s="12" customFormat="1" x14ac:dyDescent="0.25"/>
    <row r="127077" s="12" customFormat="1" x14ac:dyDescent="0.25"/>
    <row r="127078" s="12" customFormat="1" x14ac:dyDescent="0.25"/>
    <row r="127079" s="12" customFormat="1" x14ac:dyDescent="0.25"/>
    <row r="127080" s="12" customFormat="1" x14ac:dyDescent="0.25"/>
    <row r="127081" s="12" customFormat="1" x14ac:dyDescent="0.25"/>
    <row r="127082" s="12" customFormat="1" x14ac:dyDescent="0.25"/>
    <row r="127083" s="12" customFormat="1" x14ac:dyDescent="0.25"/>
    <row r="127084" s="12" customFormat="1" x14ac:dyDescent="0.25"/>
    <row r="127085" s="12" customFormat="1" x14ac:dyDescent="0.25"/>
    <row r="127086" s="12" customFormat="1" x14ac:dyDescent="0.25"/>
    <row r="127087" s="12" customFormat="1" x14ac:dyDescent="0.25"/>
    <row r="127088" s="12" customFormat="1" x14ac:dyDescent="0.25"/>
    <row r="127089" s="12" customFormat="1" x14ac:dyDescent="0.25"/>
    <row r="127090" s="12" customFormat="1" x14ac:dyDescent="0.25"/>
    <row r="127091" s="12" customFormat="1" x14ac:dyDescent="0.25"/>
    <row r="127092" s="12" customFormat="1" x14ac:dyDescent="0.25"/>
    <row r="127093" s="12" customFormat="1" x14ac:dyDescent="0.25"/>
    <row r="127094" s="12" customFormat="1" x14ac:dyDescent="0.25"/>
    <row r="127095" s="12" customFormat="1" x14ac:dyDescent="0.25"/>
    <row r="127096" s="12" customFormat="1" x14ac:dyDescent="0.25"/>
    <row r="127097" s="12" customFormat="1" x14ac:dyDescent="0.25"/>
    <row r="127098" s="12" customFormat="1" x14ac:dyDescent="0.25"/>
    <row r="127099" s="12" customFormat="1" x14ac:dyDescent="0.25"/>
    <row r="127100" s="12" customFormat="1" x14ac:dyDescent="0.25"/>
    <row r="127101" s="12" customFormat="1" x14ac:dyDescent="0.25"/>
    <row r="127102" s="12" customFormat="1" x14ac:dyDescent="0.25"/>
    <row r="127103" s="12" customFormat="1" x14ac:dyDescent="0.25"/>
    <row r="127104" s="12" customFormat="1" x14ac:dyDescent="0.25"/>
    <row r="127105" s="12" customFormat="1" x14ac:dyDescent="0.25"/>
    <row r="127106" s="12" customFormat="1" x14ac:dyDescent="0.25"/>
    <row r="127107" s="12" customFormat="1" x14ac:dyDescent="0.25"/>
    <row r="127108" s="12" customFormat="1" x14ac:dyDescent="0.25"/>
    <row r="127109" s="12" customFormat="1" x14ac:dyDescent="0.25"/>
    <row r="127110" s="12" customFormat="1" x14ac:dyDescent="0.25"/>
    <row r="127111" s="12" customFormat="1" x14ac:dyDescent="0.25"/>
    <row r="127112" s="12" customFormat="1" x14ac:dyDescent="0.25"/>
    <row r="127113" s="12" customFormat="1" x14ac:dyDescent="0.25"/>
    <row r="127114" s="12" customFormat="1" x14ac:dyDescent="0.25"/>
    <row r="127115" s="12" customFormat="1" x14ac:dyDescent="0.25"/>
    <row r="127116" s="12" customFormat="1" x14ac:dyDescent="0.25"/>
    <row r="127117" s="12" customFormat="1" x14ac:dyDescent="0.25"/>
    <row r="127118" s="12" customFormat="1" x14ac:dyDescent="0.25"/>
    <row r="127119" s="12" customFormat="1" x14ac:dyDescent="0.25"/>
    <row r="127120" s="12" customFormat="1" x14ac:dyDescent="0.25"/>
    <row r="127121" s="12" customFormat="1" x14ac:dyDescent="0.25"/>
    <row r="127122" s="12" customFormat="1" x14ac:dyDescent="0.25"/>
    <row r="127123" s="12" customFormat="1" x14ac:dyDescent="0.25"/>
    <row r="127124" s="12" customFormat="1" x14ac:dyDescent="0.25"/>
    <row r="127125" s="12" customFormat="1" x14ac:dyDescent="0.25"/>
    <row r="127126" s="12" customFormat="1" x14ac:dyDescent="0.25"/>
    <row r="127127" s="12" customFormat="1" x14ac:dyDescent="0.25"/>
    <row r="127128" s="12" customFormat="1" x14ac:dyDescent="0.25"/>
    <row r="127129" s="12" customFormat="1" x14ac:dyDescent="0.25"/>
    <row r="127130" s="12" customFormat="1" x14ac:dyDescent="0.25"/>
    <row r="127131" s="12" customFormat="1" x14ac:dyDescent="0.25"/>
    <row r="127132" s="12" customFormat="1" x14ac:dyDescent="0.25"/>
    <row r="127133" s="12" customFormat="1" x14ac:dyDescent="0.25"/>
    <row r="127134" s="12" customFormat="1" x14ac:dyDescent="0.25"/>
    <row r="127135" s="12" customFormat="1" x14ac:dyDescent="0.25"/>
    <row r="127136" s="12" customFormat="1" x14ac:dyDescent="0.25"/>
    <row r="127137" s="12" customFormat="1" x14ac:dyDescent="0.25"/>
    <row r="127138" s="12" customFormat="1" x14ac:dyDescent="0.25"/>
    <row r="127139" s="12" customFormat="1" x14ac:dyDescent="0.25"/>
    <row r="127140" s="12" customFormat="1" x14ac:dyDescent="0.25"/>
    <row r="127141" s="12" customFormat="1" x14ac:dyDescent="0.25"/>
    <row r="127142" s="12" customFormat="1" x14ac:dyDescent="0.25"/>
    <row r="127143" s="12" customFormat="1" x14ac:dyDescent="0.25"/>
    <row r="127144" s="12" customFormat="1" x14ac:dyDescent="0.25"/>
    <row r="127145" s="12" customFormat="1" x14ac:dyDescent="0.25"/>
    <row r="127146" s="12" customFormat="1" x14ac:dyDescent="0.25"/>
    <row r="127147" s="12" customFormat="1" x14ac:dyDescent="0.25"/>
    <row r="127148" s="12" customFormat="1" x14ac:dyDescent="0.25"/>
    <row r="127149" s="12" customFormat="1" x14ac:dyDescent="0.25"/>
    <row r="127150" s="12" customFormat="1" x14ac:dyDescent="0.25"/>
    <row r="127151" s="12" customFormat="1" x14ac:dyDescent="0.25"/>
    <row r="127152" s="12" customFormat="1" x14ac:dyDescent="0.25"/>
    <row r="127153" s="12" customFormat="1" x14ac:dyDescent="0.25"/>
    <row r="127154" s="12" customFormat="1" x14ac:dyDescent="0.25"/>
    <row r="127155" s="12" customFormat="1" x14ac:dyDescent="0.25"/>
    <row r="127156" s="12" customFormat="1" x14ac:dyDescent="0.25"/>
    <row r="127157" s="12" customFormat="1" x14ac:dyDescent="0.25"/>
    <row r="127158" s="12" customFormat="1" x14ac:dyDescent="0.25"/>
    <row r="127159" s="12" customFormat="1" x14ac:dyDescent="0.25"/>
    <row r="127160" s="12" customFormat="1" x14ac:dyDescent="0.25"/>
    <row r="127161" s="12" customFormat="1" x14ac:dyDescent="0.25"/>
    <row r="127162" s="12" customFormat="1" x14ac:dyDescent="0.25"/>
    <row r="127163" s="12" customFormat="1" x14ac:dyDescent="0.25"/>
    <row r="127164" s="12" customFormat="1" x14ac:dyDescent="0.25"/>
    <row r="127165" s="12" customFormat="1" x14ac:dyDescent="0.25"/>
    <row r="127166" s="12" customFormat="1" x14ac:dyDescent="0.25"/>
    <row r="127167" s="12" customFormat="1" x14ac:dyDescent="0.25"/>
    <row r="127168" s="12" customFormat="1" x14ac:dyDescent="0.25"/>
    <row r="127169" s="12" customFormat="1" x14ac:dyDescent="0.25"/>
    <row r="127170" s="12" customFormat="1" x14ac:dyDescent="0.25"/>
    <row r="127171" s="12" customFormat="1" x14ac:dyDescent="0.25"/>
    <row r="127172" s="12" customFormat="1" x14ac:dyDescent="0.25"/>
    <row r="127173" s="12" customFormat="1" x14ac:dyDescent="0.25"/>
    <row r="127174" s="12" customFormat="1" x14ac:dyDescent="0.25"/>
    <row r="127175" s="12" customFormat="1" x14ac:dyDescent="0.25"/>
    <row r="127176" s="12" customFormat="1" x14ac:dyDescent="0.25"/>
    <row r="127177" s="12" customFormat="1" x14ac:dyDescent="0.25"/>
    <row r="127178" s="12" customFormat="1" x14ac:dyDescent="0.25"/>
    <row r="127179" s="12" customFormat="1" x14ac:dyDescent="0.25"/>
    <row r="127180" s="12" customFormat="1" x14ac:dyDescent="0.25"/>
    <row r="127181" s="12" customFormat="1" x14ac:dyDescent="0.25"/>
    <row r="127182" s="12" customFormat="1" x14ac:dyDescent="0.25"/>
    <row r="127183" s="12" customFormat="1" x14ac:dyDescent="0.25"/>
    <row r="127184" s="12" customFormat="1" x14ac:dyDescent="0.25"/>
    <row r="127185" s="12" customFormat="1" x14ac:dyDescent="0.25"/>
    <row r="127186" s="12" customFormat="1" x14ac:dyDescent="0.25"/>
    <row r="127187" s="12" customFormat="1" x14ac:dyDescent="0.25"/>
    <row r="127188" s="12" customFormat="1" x14ac:dyDescent="0.25"/>
    <row r="127189" s="12" customFormat="1" x14ac:dyDescent="0.25"/>
    <row r="127190" s="12" customFormat="1" x14ac:dyDescent="0.25"/>
    <row r="127191" s="12" customFormat="1" x14ac:dyDescent="0.25"/>
    <row r="127192" s="12" customFormat="1" x14ac:dyDescent="0.25"/>
    <row r="127193" s="12" customFormat="1" x14ac:dyDescent="0.25"/>
    <row r="127194" s="12" customFormat="1" x14ac:dyDescent="0.25"/>
    <row r="127195" s="12" customFormat="1" x14ac:dyDescent="0.25"/>
    <row r="127196" s="12" customFormat="1" x14ac:dyDescent="0.25"/>
    <row r="127197" s="12" customFormat="1" x14ac:dyDescent="0.25"/>
    <row r="127198" s="12" customFormat="1" x14ac:dyDescent="0.25"/>
    <row r="127199" s="12" customFormat="1" x14ac:dyDescent="0.25"/>
    <row r="127200" s="12" customFormat="1" x14ac:dyDescent="0.25"/>
    <row r="127201" s="12" customFormat="1" x14ac:dyDescent="0.25"/>
    <row r="127202" s="12" customFormat="1" x14ac:dyDescent="0.25"/>
    <row r="127203" s="12" customFormat="1" x14ac:dyDescent="0.25"/>
    <row r="127204" s="12" customFormat="1" x14ac:dyDescent="0.25"/>
    <row r="127205" s="12" customFormat="1" x14ac:dyDescent="0.25"/>
    <row r="127206" s="12" customFormat="1" x14ac:dyDescent="0.25"/>
    <row r="127207" s="12" customFormat="1" x14ac:dyDescent="0.25"/>
    <row r="127208" s="12" customFormat="1" x14ac:dyDescent="0.25"/>
    <row r="127209" s="12" customFormat="1" x14ac:dyDescent="0.25"/>
    <row r="127210" s="12" customFormat="1" x14ac:dyDescent="0.25"/>
    <row r="127211" s="12" customFormat="1" x14ac:dyDescent="0.25"/>
    <row r="127212" s="12" customFormat="1" x14ac:dyDescent="0.25"/>
    <row r="127213" s="12" customFormat="1" x14ac:dyDescent="0.25"/>
    <row r="127214" s="12" customFormat="1" x14ac:dyDescent="0.25"/>
    <row r="127215" s="12" customFormat="1" x14ac:dyDescent="0.25"/>
    <row r="127216" s="12" customFormat="1" x14ac:dyDescent="0.25"/>
    <row r="127217" s="12" customFormat="1" x14ac:dyDescent="0.25"/>
    <row r="127218" s="12" customFormat="1" x14ac:dyDescent="0.25"/>
    <row r="127219" s="12" customFormat="1" x14ac:dyDescent="0.25"/>
    <row r="127220" s="12" customFormat="1" x14ac:dyDescent="0.25"/>
    <row r="127221" s="12" customFormat="1" x14ac:dyDescent="0.25"/>
    <row r="127222" s="12" customFormat="1" x14ac:dyDescent="0.25"/>
    <row r="127223" s="12" customFormat="1" x14ac:dyDescent="0.25"/>
    <row r="127224" s="12" customFormat="1" x14ac:dyDescent="0.25"/>
    <row r="127225" s="12" customFormat="1" x14ac:dyDescent="0.25"/>
    <row r="127226" s="12" customFormat="1" x14ac:dyDescent="0.25"/>
    <row r="127227" s="12" customFormat="1" x14ac:dyDescent="0.25"/>
    <row r="127228" s="12" customFormat="1" x14ac:dyDescent="0.25"/>
    <row r="127229" s="12" customFormat="1" x14ac:dyDescent="0.25"/>
    <row r="127230" s="12" customFormat="1" x14ac:dyDescent="0.25"/>
    <row r="127231" s="12" customFormat="1" x14ac:dyDescent="0.25"/>
    <row r="127232" s="12" customFormat="1" x14ac:dyDescent="0.25"/>
    <row r="127233" s="12" customFormat="1" x14ac:dyDescent="0.25"/>
    <row r="127234" s="12" customFormat="1" x14ac:dyDescent="0.25"/>
    <row r="127235" s="12" customFormat="1" x14ac:dyDescent="0.25"/>
    <row r="127236" s="12" customFormat="1" x14ac:dyDescent="0.25"/>
    <row r="127237" s="12" customFormat="1" x14ac:dyDescent="0.25"/>
    <row r="127238" s="12" customFormat="1" x14ac:dyDescent="0.25"/>
    <row r="127239" s="12" customFormat="1" x14ac:dyDescent="0.25"/>
    <row r="127240" s="12" customFormat="1" x14ac:dyDescent="0.25"/>
    <row r="127241" s="12" customFormat="1" x14ac:dyDescent="0.25"/>
    <row r="127242" s="12" customFormat="1" x14ac:dyDescent="0.25"/>
    <row r="127243" s="12" customFormat="1" x14ac:dyDescent="0.25"/>
    <row r="127244" s="12" customFormat="1" x14ac:dyDescent="0.25"/>
    <row r="127245" s="12" customFormat="1" x14ac:dyDescent="0.25"/>
    <row r="127246" s="12" customFormat="1" x14ac:dyDescent="0.25"/>
    <row r="127247" s="12" customFormat="1" x14ac:dyDescent="0.25"/>
    <row r="127248" s="12" customFormat="1" x14ac:dyDescent="0.25"/>
    <row r="127249" s="12" customFormat="1" x14ac:dyDescent="0.25"/>
    <row r="127250" s="12" customFormat="1" x14ac:dyDescent="0.25"/>
    <row r="127251" s="12" customFormat="1" x14ac:dyDescent="0.25"/>
    <row r="127252" s="12" customFormat="1" x14ac:dyDescent="0.25"/>
    <row r="127253" s="12" customFormat="1" x14ac:dyDescent="0.25"/>
    <row r="127254" s="12" customFormat="1" x14ac:dyDescent="0.25"/>
    <row r="127255" s="12" customFormat="1" x14ac:dyDescent="0.25"/>
    <row r="127256" s="12" customFormat="1" x14ac:dyDescent="0.25"/>
    <row r="127257" s="12" customFormat="1" x14ac:dyDescent="0.25"/>
    <row r="127258" s="12" customFormat="1" x14ac:dyDescent="0.25"/>
    <row r="127259" s="12" customFormat="1" x14ac:dyDescent="0.25"/>
    <row r="127260" s="12" customFormat="1" x14ac:dyDescent="0.25"/>
    <row r="127261" s="12" customFormat="1" x14ac:dyDescent="0.25"/>
    <row r="127262" s="12" customFormat="1" x14ac:dyDescent="0.25"/>
    <row r="127263" s="12" customFormat="1" x14ac:dyDescent="0.25"/>
    <row r="127264" s="12" customFormat="1" x14ac:dyDescent="0.25"/>
    <row r="127265" s="12" customFormat="1" x14ac:dyDescent="0.25"/>
    <row r="127266" s="12" customFormat="1" x14ac:dyDescent="0.25"/>
    <row r="127267" s="12" customFormat="1" x14ac:dyDescent="0.25"/>
    <row r="127268" s="12" customFormat="1" x14ac:dyDescent="0.25"/>
    <row r="127269" s="12" customFormat="1" x14ac:dyDescent="0.25"/>
    <row r="127270" s="12" customFormat="1" x14ac:dyDescent="0.25"/>
    <row r="127271" s="12" customFormat="1" x14ac:dyDescent="0.25"/>
    <row r="127272" s="12" customFormat="1" x14ac:dyDescent="0.25"/>
    <row r="127273" s="12" customFormat="1" x14ac:dyDescent="0.25"/>
    <row r="127274" s="12" customFormat="1" x14ac:dyDescent="0.25"/>
    <row r="127275" s="12" customFormat="1" x14ac:dyDescent="0.25"/>
    <row r="127276" s="12" customFormat="1" x14ac:dyDescent="0.25"/>
    <row r="127277" s="12" customFormat="1" x14ac:dyDescent="0.25"/>
    <row r="127278" s="12" customFormat="1" x14ac:dyDescent="0.25"/>
    <row r="127279" s="12" customFormat="1" x14ac:dyDescent="0.25"/>
    <row r="127280" s="12" customFormat="1" x14ac:dyDescent="0.25"/>
    <row r="127281" s="12" customFormat="1" x14ac:dyDescent="0.25"/>
    <row r="127282" s="12" customFormat="1" x14ac:dyDescent="0.25"/>
    <row r="127283" s="12" customFormat="1" x14ac:dyDescent="0.25"/>
    <row r="127284" s="12" customFormat="1" x14ac:dyDescent="0.25"/>
    <row r="127285" s="12" customFormat="1" x14ac:dyDescent="0.25"/>
    <row r="127286" s="12" customFormat="1" x14ac:dyDescent="0.25"/>
    <row r="127287" s="12" customFormat="1" x14ac:dyDescent="0.25"/>
    <row r="127288" s="12" customFormat="1" x14ac:dyDescent="0.25"/>
    <row r="127289" s="12" customFormat="1" x14ac:dyDescent="0.25"/>
    <row r="127290" s="12" customFormat="1" x14ac:dyDescent="0.25"/>
    <row r="127291" s="12" customFormat="1" x14ac:dyDescent="0.25"/>
    <row r="127292" s="12" customFormat="1" x14ac:dyDescent="0.25"/>
    <row r="127293" s="12" customFormat="1" x14ac:dyDescent="0.25"/>
    <row r="127294" s="12" customFormat="1" x14ac:dyDescent="0.25"/>
    <row r="127295" s="12" customFormat="1" x14ac:dyDescent="0.25"/>
    <row r="127296" s="12" customFormat="1" x14ac:dyDescent="0.25"/>
    <row r="127297" s="12" customFormat="1" x14ac:dyDescent="0.25"/>
    <row r="127298" s="12" customFormat="1" x14ac:dyDescent="0.25"/>
    <row r="127299" s="12" customFormat="1" x14ac:dyDescent="0.25"/>
    <row r="127300" s="12" customFormat="1" x14ac:dyDescent="0.25"/>
    <row r="127301" s="12" customFormat="1" x14ac:dyDescent="0.25"/>
    <row r="127302" s="12" customFormat="1" x14ac:dyDescent="0.25"/>
    <row r="127303" s="12" customFormat="1" x14ac:dyDescent="0.25"/>
    <row r="127304" s="12" customFormat="1" x14ac:dyDescent="0.25"/>
    <row r="127305" s="12" customFormat="1" x14ac:dyDescent="0.25"/>
    <row r="127306" s="12" customFormat="1" x14ac:dyDescent="0.25"/>
    <row r="127307" s="12" customFormat="1" x14ac:dyDescent="0.25"/>
    <row r="127308" s="12" customFormat="1" x14ac:dyDescent="0.25"/>
    <row r="127309" s="12" customFormat="1" x14ac:dyDescent="0.25"/>
    <row r="127310" s="12" customFormat="1" x14ac:dyDescent="0.25"/>
    <row r="127311" s="12" customFormat="1" x14ac:dyDescent="0.25"/>
    <row r="127312" s="12" customFormat="1" x14ac:dyDescent="0.25"/>
    <row r="127313" s="12" customFormat="1" x14ac:dyDescent="0.25"/>
    <row r="127314" s="12" customFormat="1" x14ac:dyDescent="0.25"/>
    <row r="127315" s="12" customFormat="1" x14ac:dyDescent="0.25"/>
    <row r="127316" s="12" customFormat="1" x14ac:dyDescent="0.25"/>
    <row r="127317" s="12" customFormat="1" x14ac:dyDescent="0.25"/>
    <row r="127318" s="12" customFormat="1" x14ac:dyDescent="0.25"/>
    <row r="127319" s="12" customFormat="1" x14ac:dyDescent="0.25"/>
    <row r="127320" s="12" customFormat="1" x14ac:dyDescent="0.25"/>
    <row r="127321" s="12" customFormat="1" x14ac:dyDescent="0.25"/>
    <row r="127322" s="12" customFormat="1" x14ac:dyDescent="0.25"/>
    <row r="127323" s="12" customFormat="1" x14ac:dyDescent="0.25"/>
    <row r="127324" s="12" customFormat="1" x14ac:dyDescent="0.25"/>
    <row r="127325" s="12" customFormat="1" x14ac:dyDescent="0.25"/>
    <row r="127326" s="12" customFormat="1" x14ac:dyDescent="0.25"/>
    <row r="127327" s="12" customFormat="1" x14ac:dyDescent="0.25"/>
    <row r="127328" s="12" customFormat="1" x14ac:dyDescent="0.25"/>
    <row r="127329" s="12" customFormat="1" x14ac:dyDescent="0.25"/>
    <row r="127330" s="12" customFormat="1" x14ac:dyDescent="0.25"/>
    <row r="127331" s="12" customFormat="1" x14ac:dyDescent="0.25"/>
    <row r="127332" s="12" customFormat="1" x14ac:dyDescent="0.25"/>
    <row r="127333" s="12" customFormat="1" x14ac:dyDescent="0.25"/>
    <row r="127334" s="12" customFormat="1" x14ac:dyDescent="0.25"/>
    <row r="127335" s="12" customFormat="1" x14ac:dyDescent="0.25"/>
    <row r="127336" s="12" customFormat="1" x14ac:dyDescent="0.25"/>
    <row r="127337" s="12" customFormat="1" x14ac:dyDescent="0.25"/>
    <row r="127338" s="12" customFormat="1" x14ac:dyDescent="0.25"/>
    <row r="127339" s="12" customFormat="1" x14ac:dyDescent="0.25"/>
    <row r="127340" s="12" customFormat="1" x14ac:dyDescent="0.25"/>
    <row r="127341" s="12" customFormat="1" x14ac:dyDescent="0.25"/>
    <row r="127342" s="12" customFormat="1" x14ac:dyDescent="0.25"/>
    <row r="127343" s="12" customFormat="1" x14ac:dyDescent="0.25"/>
    <row r="127344" s="12" customFormat="1" x14ac:dyDescent="0.25"/>
    <row r="127345" s="12" customFormat="1" x14ac:dyDescent="0.25"/>
    <row r="127346" s="12" customFormat="1" x14ac:dyDescent="0.25"/>
    <row r="127347" s="12" customFormat="1" x14ac:dyDescent="0.25"/>
    <row r="127348" s="12" customFormat="1" x14ac:dyDescent="0.25"/>
    <row r="127349" s="12" customFormat="1" x14ac:dyDescent="0.25"/>
    <row r="127350" s="12" customFormat="1" x14ac:dyDescent="0.25"/>
    <row r="127351" s="12" customFormat="1" x14ac:dyDescent="0.25"/>
    <row r="127352" s="12" customFormat="1" x14ac:dyDescent="0.25"/>
    <row r="127353" s="12" customFormat="1" x14ac:dyDescent="0.25"/>
    <row r="127354" s="12" customFormat="1" x14ac:dyDescent="0.25"/>
    <row r="127355" s="12" customFormat="1" x14ac:dyDescent="0.25"/>
    <row r="127356" s="12" customFormat="1" x14ac:dyDescent="0.25"/>
    <row r="127357" s="12" customFormat="1" x14ac:dyDescent="0.25"/>
    <row r="127358" s="12" customFormat="1" x14ac:dyDescent="0.25"/>
    <row r="127359" s="12" customFormat="1" x14ac:dyDescent="0.25"/>
    <row r="127360" s="12" customFormat="1" x14ac:dyDescent="0.25"/>
    <row r="127361" s="12" customFormat="1" x14ac:dyDescent="0.25"/>
    <row r="127362" s="12" customFormat="1" x14ac:dyDescent="0.25"/>
    <row r="127363" s="12" customFormat="1" x14ac:dyDescent="0.25"/>
    <row r="127364" s="12" customFormat="1" x14ac:dyDescent="0.25"/>
    <row r="127365" s="12" customFormat="1" x14ac:dyDescent="0.25"/>
    <row r="127366" s="12" customFormat="1" x14ac:dyDescent="0.25"/>
    <row r="127367" s="12" customFormat="1" x14ac:dyDescent="0.25"/>
    <row r="127368" s="12" customFormat="1" x14ac:dyDescent="0.25"/>
    <row r="127369" s="12" customFormat="1" x14ac:dyDescent="0.25"/>
    <row r="127370" s="12" customFormat="1" x14ac:dyDescent="0.25"/>
    <row r="127371" s="12" customFormat="1" x14ac:dyDescent="0.25"/>
    <row r="127372" s="12" customFormat="1" x14ac:dyDescent="0.25"/>
    <row r="127373" s="12" customFormat="1" x14ac:dyDescent="0.25"/>
    <row r="127374" s="12" customFormat="1" x14ac:dyDescent="0.25"/>
    <row r="127375" s="12" customFormat="1" x14ac:dyDescent="0.25"/>
    <row r="127376" s="12" customFormat="1" x14ac:dyDescent="0.25"/>
    <row r="127377" s="12" customFormat="1" x14ac:dyDescent="0.25"/>
    <row r="127378" s="12" customFormat="1" x14ac:dyDescent="0.25"/>
    <row r="127379" s="12" customFormat="1" x14ac:dyDescent="0.25"/>
    <row r="127380" s="12" customFormat="1" x14ac:dyDescent="0.25"/>
    <row r="127381" s="12" customFormat="1" x14ac:dyDescent="0.25"/>
    <row r="127382" s="12" customFormat="1" x14ac:dyDescent="0.25"/>
    <row r="127383" s="12" customFormat="1" x14ac:dyDescent="0.25"/>
    <row r="127384" s="12" customFormat="1" x14ac:dyDescent="0.25"/>
    <row r="127385" s="12" customFormat="1" x14ac:dyDescent="0.25"/>
    <row r="127386" s="12" customFormat="1" x14ac:dyDescent="0.25"/>
    <row r="127387" s="12" customFormat="1" x14ac:dyDescent="0.25"/>
    <row r="127388" s="12" customFormat="1" x14ac:dyDescent="0.25"/>
    <row r="127389" s="12" customFormat="1" x14ac:dyDescent="0.25"/>
    <row r="127390" s="12" customFormat="1" x14ac:dyDescent="0.25"/>
    <row r="127391" s="12" customFormat="1" x14ac:dyDescent="0.25"/>
    <row r="127392" s="12" customFormat="1" x14ac:dyDescent="0.25"/>
    <row r="127393" s="12" customFormat="1" x14ac:dyDescent="0.25"/>
    <row r="127394" s="12" customFormat="1" x14ac:dyDescent="0.25"/>
    <row r="127395" s="12" customFormat="1" x14ac:dyDescent="0.25"/>
    <row r="127396" s="12" customFormat="1" x14ac:dyDescent="0.25"/>
    <row r="127397" s="12" customFormat="1" x14ac:dyDescent="0.25"/>
    <row r="127398" s="12" customFormat="1" x14ac:dyDescent="0.25"/>
    <row r="127399" s="12" customFormat="1" x14ac:dyDescent="0.25"/>
    <row r="127400" s="12" customFormat="1" x14ac:dyDescent="0.25"/>
    <row r="127401" s="12" customFormat="1" x14ac:dyDescent="0.25"/>
    <row r="127402" s="12" customFormat="1" x14ac:dyDescent="0.25"/>
    <row r="127403" s="12" customFormat="1" x14ac:dyDescent="0.25"/>
    <row r="127404" s="12" customFormat="1" x14ac:dyDescent="0.25"/>
    <row r="127405" s="12" customFormat="1" x14ac:dyDescent="0.25"/>
    <row r="127406" s="12" customFormat="1" x14ac:dyDescent="0.25"/>
    <row r="127407" s="12" customFormat="1" x14ac:dyDescent="0.25"/>
    <row r="127408" s="12" customFormat="1" x14ac:dyDescent="0.25"/>
    <row r="127409" s="12" customFormat="1" x14ac:dyDescent="0.25"/>
    <row r="127410" s="12" customFormat="1" x14ac:dyDescent="0.25"/>
    <row r="127411" s="12" customFormat="1" x14ac:dyDescent="0.25"/>
    <row r="127412" s="12" customFormat="1" x14ac:dyDescent="0.25"/>
    <row r="127413" s="12" customFormat="1" x14ac:dyDescent="0.25"/>
    <row r="127414" s="12" customFormat="1" x14ac:dyDescent="0.25"/>
    <row r="127415" s="12" customFormat="1" x14ac:dyDescent="0.25"/>
    <row r="127416" s="12" customFormat="1" x14ac:dyDescent="0.25"/>
    <row r="127417" s="12" customFormat="1" x14ac:dyDescent="0.25"/>
    <row r="127418" s="12" customFormat="1" x14ac:dyDescent="0.25"/>
    <row r="127419" s="12" customFormat="1" x14ac:dyDescent="0.25"/>
    <row r="127420" s="12" customFormat="1" x14ac:dyDescent="0.25"/>
    <row r="127421" s="12" customFormat="1" x14ac:dyDescent="0.25"/>
    <row r="127422" s="12" customFormat="1" x14ac:dyDescent="0.25"/>
    <row r="127423" s="12" customFormat="1" x14ac:dyDescent="0.25"/>
    <row r="127424" s="12" customFormat="1" x14ac:dyDescent="0.25"/>
    <row r="127425" s="12" customFormat="1" x14ac:dyDescent="0.25"/>
    <row r="127426" s="12" customFormat="1" x14ac:dyDescent="0.25"/>
    <row r="127427" s="12" customFormat="1" x14ac:dyDescent="0.25"/>
    <row r="127428" s="12" customFormat="1" x14ac:dyDescent="0.25"/>
    <row r="127429" s="12" customFormat="1" x14ac:dyDescent="0.25"/>
    <row r="127430" s="12" customFormat="1" x14ac:dyDescent="0.25"/>
    <row r="127431" s="12" customFormat="1" x14ac:dyDescent="0.25"/>
    <row r="127432" s="12" customFormat="1" x14ac:dyDescent="0.25"/>
    <row r="127433" s="12" customFormat="1" x14ac:dyDescent="0.25"/>
    <row r="127434" s="12" customFormat="1" x14ac:dyDescent="0.25"/>
    <row r="127435" s="12" customFormat="1" x14ac:dyDescent="0.25"/>
    <row r="127436" s="12" customFormat="1" x14ac:dyDescent="0.25"/>
    <row r="127437" s="12" customFormat="1" x14ac:dyDescent="0.25"/>
    <row r="127438" s="12" customFormat="1" x14ac:dyDescent="0.25"/>
    <row r="127439" s="12" customFormat="1" x14ac:dyDescent="0.25"/>
    <row r="127440" s="12" customFormat="1" x14ac:dyDescent="0.25"/>
    <row r="127441" s="12" customFormat="1" x14ac:dyDescent="0.25"/>
    <row r="127442" s="12" customFormat="1" x14ac:dyDescent="0.25"/>
    <row r="127443" s="12" customFormat="1" x14ac:dyDescent="0.25"/>
    <row r="127444" s="12" customFormat="1" x14ac:dyDescent="0.25"/>
    <row r="127445" s="12" customFormat="1" x14ac:dyDescent="0.25"/>
    <row r="127446" s="12" customFormat="1" x14ac:dyDescent="0.25"/>
    <row r="127447" s="12" customFormat="1" x14ac:dyDescent="0.25"/>
    <row r="127448" s="12" customFormat="1" x14ac:dyDescent="0.25"/>
    <row r="127449" s="12" customFormat="1" x14ac:dyDescent="0.25"/>
    <row r="127450" s="12" customFormat="1" x14ac:dyDescent="0.25"/>
    <row r="127451" s="12" customFormat="1" x14ac:dyDescent="0.25"/>
    <row r="127452" s="12" customFormat="1" x14ac:dyDescent="0.25"/>
    <row r="127453" s="12" customFormat="1" x14ac:dyDescent="0.25"/>
    <row r="127454" s="12" customFormat="1" x14ac:dyDescent="0.25"/>
    <row r="127455" s="12" customFormat="1" x14ac:dyDescent="0.25"/>
    <row r="127456" s="12" customFormat="1" x14ac:dyDescent="0.25"/>
    <row r="127457" s="12" customFormat="1" x14ac:dyDescent="0.25"/>
    <row r="127458" s="12" customFormat="1" x14ac:dyDescent="0.25"/>
    <row r="127459" s="12" customFormat="1" x14ac:dyDescent="0.25"/>
    <row r="127460" s="12" customFormat="1" x14ac:dyDescent="0.25"/>
    <row r="127461" s="12" customFormat="1" x14ac:dyDescent="0.25"/>
    <row r="127462" s="12" customFormat="1" x14ac:dyDescent="0.25"/>
    <row r="127463" s="12" customFormat="1" x14ac:dyDescent="0.25"/>
    <row r="127464" s="12" customFormat="1" x14ac:dyDescent="0.25"/>
    <row r="127465" s="12" customFormat="1" x14ac:dyDescent="0.25"/>
    <row r="127466" s="12" customFormat="1" x14ac:dyDescent="0.25"/>
    <row r="127467" s="12" customFormat="1" x14ac:dyDescent="0.25"/>
    <row r="127468" s="12" customFormat="1" x14ac:dyDescent="0.25"/>
    <row r="127469" s="12" customFormat="1" x14ac:dyDescent="0.25"/>
    <row r="127470" s="12" customFormat="1" x14ac:dyDescent="0.25"/>
    <row r="127471" s="12" customFormat="1" x14ac:dyDescent="0.25"/>
    <row r="127472" s="12" customFormat="1" x14ac:dyDescent="0.25"/>
    <row r="127473" s="12" customFormat="1" x14ac:dyDescent="0.25"/>
    <row r="127474" s="12" customFormat="1" x14ac:dyDescent="0.25"/>
    <row r="127475" s="12" customFormat="1" x14ac:dyDescent="0.25"/>
    <row r="127476" s="12" customFormat="1" x14ac:dyDescent="0.25"/>
    <row r="127477" s="12" customFormat="1" x14ac:dyDescent="0.25"/>
    <row r="127478" s="12" customFormat="1" x14ac:dyDescent="0.25"/>
    <row r="127479" s="12" customFormat="1" x14ac:dyDescent="0.25"/>
    <row r="127480" s="12" customFormat="1" x14ac:dyDescent="0.25"/>
    <row r="127481" s="12" customFormat="1" x14ac:dyDescent="0.25"/>
    <row r="127482" s="12" customFormat="1" x14ac:dyDescent="0.25"/>
    <row r="127483" s="12" customFormat="1" x14ac:dyDescent="0.25"/>
    <row r="127484" s="12" customFormat="1" x14ac:dyDescent="0.25"/>
    <row r="127485" s="12" customFormat="1" x14ac:dyDescent="0.25"/>
    <row r="127486" s="12" customFormat="1" x14ac:dyDescent="0.25"/>
    <row r="127487" s="12" customFormat="1" x14ac:dyDescent="0.25"/>
    <row r="127488" s="12" customFormat="1" x14ac:dyDescent="0.25"/>
    <row r="127489" s="12" customFormat="1" x14ac:dyDescent="0.25"/>
    <row r="127490" s="12" customFormat="1" x14ac:dyDescent="0.25"/>
    <row r="127491" s="12" customFormat="1" x14ac:dyDescent="0.25"/>
    <row r="127492" s="12" customFormat="1" x14ac:dyDescent="0.25"/>
    <row r="127493" s="12" customFormat="1" x14ac:dyDescent="0.25"/>
    <row r="127494" s="12" customFormat="1" x14ac:dyDescent="0.25"/>
    <row r="127495" s="12" customFormat="1" x14ac:dyDescent="0.25"/>
    <row r="127496" s="12" customFormat="1" x14ac:dyDescent="0.25"/>
    <row r="127497" s="12" customFormat="1" x14ac:dyDescent="0.25"/>
    <row r="127498" s="12" customFormat="1" x14ac:dyDescent="0.25"/>
    <row r="127499" s="12" customFormat="1" x14ac:dyDescent="0.25"/>
    <row r="127500" s="12" customFormat="1" x14ac:dyDescent="0.25"/>
    <row r="127501" s="12" customFormat="1" x14ac:dyDescent="0.25"/>
    <row r="127502" s="12" customFormat="1" x14ac:dyDescent="0.25"/>
    <row r="127503" s="12" customFormat="1" x14ac:dyDescent="0.25"/>
    <row r="127504" s="12" customFormat="1" x14ac:dyDescent="0.25"/>
    <row r="127505" s="12" customFormat="1" x14ac:dyDescent="0.25"/>
    <row r="127506" s="12" customFormat="1" x14ac:dyDescent="0.25"/>
    <row r="127507" s="12" customFormat="1" x14ac:dyDescent="0.25"/>
    <row r="127508" s="12" customFormat="1" x14ac:dyDescent="0.25"/>
    <row r="127509" s="12" customFormat="1" x14ac:dyDescent="0.25"/>
    <row r="127510" s="12" customFormat="1" x14ac:dyDescent="0.25"/>
    <row r="127511" s="12" customFormat="1" x14ac:dyDescent="0.25"/>
    <row r="127512" s="12" customFormat="1" x14ac:dyDescent="0.25"/>
    <row r="127513" s="12" customFormat="1" x14ac:dyDescent="0.25"/>
    <row r="127514" s="12" customFormat="1" x14ac:dyDescent="0.25"/>
    <row r="127515" s="12" customFormat="1" x14ac:dyDescent="0.25"/>
    <row r="127516" s="12" customFormat="1" x14ac:dyDescent="0.25"/>
    <row r="127517" s="12" customFormat="1" x14ac:dyDescent="0.25"/>
    <row r="127518" s="12" customFormat="1" x14ac:dyDescent="0.25"/>
    <row r="127519" s="12" customFormat="1" x14ac:dyDescent="0.25"/>
    <row r="127520" s="12" customFormat="1" x14ac:dyDescent="0.25"/>
    <row r="127521" s="12" customFormat="1" x14ac:dyDescent="0.25"/>
    <row r="127522" s="12" customFormat="1" x14ac:dyDescent="0.25"/>
    <row r="127523" s="12" customFormat="1" x14ac:dyDescent="0.25"/>
    <row r="127524" s="12" customFormat="1" x14ac:dyDescent="0.25"/>
    <row r="127525" s="12" customFormat="1" x14ac:dyDescent="0.25"/>
    <row r="127526" s="12" customFormat="1" x14ac:dyDescent="0.25"/>
    <row r="127527" s="12" customFormat="1" x14ac:dyDescent="0.25"/>
    <row r="127528" s="12" customFormat="1" x14ac:dyDescent="0.25"/>
    <row r="127529" s="12" customFormat="1" x14ac:dyDescent="0.25"/>
    <row r="127530" s="12" customFormat="1" x14ac:dyDescent="0.25"/>
    <row r="127531" s="12" customFormat="1" x14ac:dyDescent="0.25"/>
    <row r="127532" s="12" customFormat="1" x14ac:dyDescent="0.25"/>
    <row r="127533" s="12" customFormat="1" x14ac:dyDescent="0.25"/>
    <row r="127534" s="12" customFormat="1" x14ac:dyDescent="0.25"/>
    <row r="127535" s="12" customFormat="1" x14ac:dyDescent="0.25"/>
    <row r="127536" s="12" customFormat="1" x14ac:dyDescent="0.25"/>
    <row r="127537" s="12" customFormat="1" x14ac:dyDescent="0.25"/>
    <row r="127538" s="12" customFormat="1" x14ac:dyDescent="0.25"/>
    <row r="127539" s="12" customFormat="1" x14ac:dyDescent="0.25"/>
    <row r="127540" s="12" customFormat="1" x14ac:dyDescent="0.25"/>
    <row r="127541" s="12" customFormat="1" x14ac:dyDescent="0.25"/>
    <row r="127542" s="12" customFormat="1" x14ac:dyDescent="0.25"/>
    <row r="127543" s="12" customFormat="1" x14ac:dyDescent="0.25"/>
    <row r="127544" s="12" customFormat="1" x14ac:dyDescent="0.25"/>
    <row r="127545" s="12" customFormat="1" x14ac:dyDescent="0.25"/>
    <row r="127546" s="12" customFormat="1" x14ac:dyDescent="0.25"/>
    <row r="127547" s="12" customFormat="1" x14ac:dyDescent="0.25"/>
    <row r="127548" s="12" customFormat="1" x14ac:dyDescent="0.25"/>
    <row r="127549" s="12" customFormat="1" x14ac:dyDescent="0.25"/>
    <row r="127550" s="12" customFormat="1" x14ac:dyDescent="0.25"/>
    <row r="127551" s="12" customFormat="1" x14ac:dyDescent="0.25"/>
    <row r="127552" s="12" customFormat="1" x14ac:dyDescent="0.25"/>
    <row r="127553" s="12" customFormat="1" x14ac:dyDescent="0.25"/>
    <row r="127554" s="12" customFormat="1" x14ac:dyDescent="0.25"/>
    <row r="127555" s="12" customFormat="1" x14ac:dyDescent="0.25"/>
    <row r="127556" s="12" customFormat="1" x14ac:dyDescent="0.25"/>
    <row r="127557" s="12" customFormat="1" x14ac:dyDescent="0.25"/>
    <row r="127558" s="12" customFormat="1" x14ac:dyDescent="0.25"/>
    <row r="127559" s="12" customFormat="1" x14ac:dyDescent="0.25"/>
    <row r="127560" s="12" customFormat="1" x14ac:dyDescent="0.25"/>
    <row r="127561" s="12" customFormat="1" x14ac:dyDescent="0.25"/>
    <row r="127562" s="12" customFormat="1" x14ac:dyDescent="0.25"/>
    <row r="127563" s="12" customFormat="1" x14ac:dyDescent="0.25"/>
    <row r="127564" s="12" customFormat="1" x14ac:dyDescent="0.25"/>
    <row r="127565" s="12" customFormat="1" x14ac:dyDescent="0.25"/>
    <row r="127566" s="12" customFormat="1" x14ac:dyDescent="0.25"/>
    <row r="127567" s="12" customFormat="1" x14ac:dyDescent="0.25"/>
    <row r="127568" s="12" customFormat="1" x14ac:dyDescent="0.25"/>
    <row r="127569" s="12" customFormat="1" x14ac:dyDescent="0.25"/>
    <row r="127570" s="12" customFormat="1" x14ac:dyDescent="0.25"/>
    <row r="127571" s="12" customFormat="1" x14ac:dyDescent="0.25"/>
    <row r="127572" s="12" customFormat="1" x14ac:dyDescent="0.25"/>
    <row r="127573" s="12" customFormat="1" x14ac:dyDescent="0.25"/>
    <row r="127574" s="12" customFormat="1" x14ac:dyDescent="0.25"/>
    <row r="127575" s="12" customFormat="1" x14ac:dyDescent="0.25"/>
    <row r="127576" s="12" customFormat="1" x14ac:dyDescent="0.25"/>
    <row r="127577" s="12" customFormat="1" x14ac:dyDescent="0.25"/>
    <row r="127578" s="12" customFormat="1" x14ac:dyDescent="0.25"/>
    <row r="127579" s="12" customFormat="1" x14ac:dyDescent="0.25"/>
    <row r="127580" s="12" customFormat="1" x14ac:dyDescent="0.25"/>
    <row r="127581" s="12" customFormat="1" x14ac:dyDescent="0.25"/>
    <row r="127582" s="12" customFormat="1" x14ac:dyDescent="0.25"/>
    <row r="127583" s="12" customFormat="1" x14ac:dyDescent="0.25"/>
    <row r="127584" s="12" customFormat="1" x14ac:dyDescent="0.25"/>
    <row r="127585" s="12" customFormat="1" x14ac:dyDescent="0.25"/>
    <row r="127586" s="12" customFormat="1" x14ac:dyDescent="0.25"/>
    <row r="127587" s="12" customFormat="1" x14ac:dyDescent="0.25"/>
    <row r="127588" s="12" customFormat="1" x14ac:dyDescent="0.25"/>
    <row r="127589" s="12" customFormat="1" x14ac:dyDescent="0.25"/>
    <row r="127590" s="12" customFormat="1" x14ac:dyDescent="0.25"/>
    <row r="127591" s="12" customFormat="1" x14ac:dyDescent="0.25"/>
    <row r="127592" s="12" customFormat="1" x14ac:dyDescent="0.25"/>
    <row r="127593" s="12" customFormat="1" x14ac:dyDescent="0.25"/>
    <row r="127594" s="12" customFormat="1" x14ac:dyDescent="0.25"/>
    <row r="127595" s="12" customFormat="1" x14ac:dyDescent="0.25"/>
    <row r="127596" s="12" customFormat="1" x14ac:dyDescent="0.25"/>
    <row r="127597" s="12" customFormat="1" x14ac:dyDescent="0.25"/>
    <row r="127598" s="12" customFormat="1" x14ac:dyDescent="0.25"/>
    <row r="127599" s="12" customFormat="1" x14ac:dyDescent="0.25"/>
    <row r="127600" s="12" customFormat="1" x14ac:dyDescent="0.25"/>
    <row r="127601" s="12" customFormat="1" x14ac:dyDescent="0.25"/>
    <row r="127602" s="12" customFormat="1" x14ac:dyDescent="0.25"/>
    <row r="127603" s="12" customFormat="1" x14ac:dyDescent="0.25"/>
    <row r="127604" s="12" customFormat="1" x14ac:dyDescent="0.25"/>
    <row r="127605" s="12" customFormat="1" x14ac:dyDescent="0.25"/>
    <row r="127606" s="12" customFormat="1" x14ac:dyDescent="0.25"/>
    <row r="127607" s="12" customFormat="1" x14ac:dyDescent="0.25"/>
    <row r="127608" s="12" customFormat="1" x14ac:dyDescent="0.25"/>
    <row r="127609" s="12" customFormat="1" x14ac:dyDescent="0.25"/>
    <row r="127610" s="12" customFormat="1" x14ac:dyDescent="0.25"/>
    <row r="127611" s="12" customFormat="1" x14ac:dyDescent="0.25"/>
    <row r="127612" s="12" customFormat="1" x14ac:dyDescent="0.25"/>
    <row r="127613" s="12" customFormat="1" x14ac:dyDescent="0.25"/>
    <row r="127614" s="12" customFormat="1" x14ac:dyDescent="0.25"/>
    <row r="127615" s="12" customFormat="1" x14ac:dyDescent="0.25"/>
    <row r="127616" s="12" customFormat="1" x14ac:dyDescent="0.25"/>
    <row r="127617" s="12" customFormat="1" x14ac:dyDescent="0.25"/>
    <row r="127618" s="12" customFormat="1" x14ac:dyDescent="0.25"/>
    <row r="127619" s="12" customFormat="1" x14ac:dyDescent="0.25"/>
    <row r="127620" s="12" customFormat="1" x14ac:dyDescent="0.25"/>
    <row r="127621" s="12" customFormat="1" x14ac:dyDescent="0.25"/>
    <row r="127622" s="12" customFormat="1" x14ac:dyDescent="0.25"/>
    <row r="127623" s="12" customFormat="1" x14ac:dyDescent="0.25"/>
    <row r="127624" s="12" customFormat="1" x14ac:dyDescent="0.25"/>
    <row r="127625" s="12" customFormat="1" x14ac:dyDescent="0.25"/>
    <row r="127626" s="12" customFormat="1" x14ac:dyDescent="0.25"/>
    <row r="127627" s="12" customFormat="1" x14ac:dyDescent="0.25"/>
    <row r="127628" s="12" customFormat="1" x14ac:dyDescent="0.25"/>
    <row r="127629" s="12" customFormat="1" x14ac:dyDescent="0.25"/>
    <row r="127630" s="12" customFormat="1" x14ac:dyDescent="0.25"/>
    <row r="127631" s="12" customFormat="1" x14ac:dyDescent="0.25"/>
    <row r="127632" s="12" customFormat="1" x14ac:dyDescent="0.25"/>
    <row r="127633" s="12" customFormat="1" x14ac:dyDescent="0.25"/>
    <row r="127634" s="12" customFormat="1" x14ac:dyDescent="0.25"/>
    <row r="127635" s="12" customFormat="1" x14ac:dyDescent="0.25"/>
    <row r="127636" s="12" customFormat="1" x14ac:dyDescent="0.25"/>
    <row r="127637" s="12" customFormat="1" x14ac:dyDescent="0.25"/>
    <row r="127638" s="12" customFormat="1" x14ac:dyDescent="0.25"/>
    <row r="127639" s="12" customFormat="1" x14ac:dyDescent="0.25"/>
    <row r="127640" s="12" customFormat="1" x14ac:dyDescent="0.25"/>
    <row r="127641" s="12" customFormat="1" x14ac:dyDescent="0.25"/>
    <row r="127642" s="12" customFormat="1" x14ac:dyDescent="0.25"/>
    <row r="127643" s="12" customFormat="1" x14ac:dyDescent="0.25"/>
    <row r="127644" s="12" customFormat="1" x14ac:dyDescent="0.25"/>
    <row r="127645" s="12" customFormat="1" x14ac:dyDescent="0.25"/>
    <row r="127646" s="12" customFormat="1" x14ac:dyDescent="0.25"/>
    <row r="127647" s="12" customFormat="1" x14ac:dyDescent="0.25"/>
    <row r="127648" s="12" customFormat="1" x14ac:dyDescent="0.25"/>
    <row r="127649" s="12" customFormat="1" x14ac:dyDescent="0.25"/>
    <row r="127650" s="12" customFormat="1" x14ac:dyDescent="0.25"/>
    <row r="127651" s="12" customFormat="1" x14ac:dyDescent="0.25"/>
    <row r="127652" s="12" customFormat="1" x14ac:dyDescent="0.25"/>
    <row r="127653" s="12" customFormat="1" x14ac:dyDescent="0.25"/>
    <row r="127654" s="12" customFormat="1" x14ac:dyDescent="0.25"/>
    <row r="127655" s="12" customFormat="1" x14ac:dyDescent="0.25"/>
    <row r="127656" s="12" customFormat="1" x14ac:dyDescent="0.25"/>
    <row r="127657" s="12" customFormat="1" x14ac:dyDescent="0.25"/>
    <row r="127658" s="12" customFormat="1" x14ac:dyDescent="0.25"/>
    <row r="127659" s="12" customFormat="1" x14ac:dyDescent="0.25"/>
    <row r="127660" s="12" customFormat="1" x14ac:dyDescent="0.25"/>
    <row r="127661" s="12" customFormat="1" x14ac:dyDescent="0.25"/>
    <row r="127662" s="12" customFormat="1" x14ac:dyDescent="0.25"/>
    <row r="127663" s="12" customFormat="1" x14ac:dyDescent="0.25"/>
    <row r="127664" s="12" customFormat="1" x14ac:dyDescent="0.25"/>
    <row r="127665" s="12" customFormat="1" x14ac:dyDescent="0.25"/>
    <row r="127666" s="12" customFormat="1" x14ac:dyDescent="0.25"/>
    <row r="127667" s="12" customFormat="1" x14ac:dyDescent="0.25"/>
    <row r="127668" s="12" customFormat="1" x14ac:dyDescent="0.25"/>
    <row r="127669" s="12" customFormat="1" x14ac:dyDescent="0.25"/>
    <row r="127670" s="12" customFormat="1" x14ac:dyDescent="0.25"/>
    <row r="127671" s="12" customFormat="1" x14ac:dyDescent="0.25"/>
    <row r="127672" s="12" customFormat="1" x14ac:dyDescent="0.25"/>
    <row r="127673" s="12" customFormat="1" x14ac:dyDescent="0.25"/>
    <row r="127674" s="12" customFormat="1" x14ac:dyDescent="0.25"/>
    <row r="127675" s="12" customFormat="1" x14ac:dyDescent="0.25"/>
    <row r="127676" s="12" customFormat="1" x14ac:dyDescent="0.25"/>
    <row r="127677" s="12" customFormat="1" x14ac:dyDescent="0.25"/>
    <row r="127678" s="12" customFormat="1" x14ac:dyDescent="0.25"/>
    <row r="127679" s="12" customFormat="1" x14ac:dyDescent="0.25"/>
    <row r="127680" s="12" customFormat="1" x14ac:dyDescent="0.25"/>
    <row r="127681" s="12" customFormat="1" x14ac:dyDescent="0.25"/>
    <row r="127682" s="12" customFormat="1" x14ac:dyDescent="0.25"/>
    <row r="127683" s="12" customFormat="1" x14ac:dyDescent="0.25"/>
    <row r="127684" s="12" customFormat="1" x14ac:dyDescent="0.25"/>
    <row r="127685" s="12" customFormat="1" x14ac:dyDescent="0.25"/>
    <row r="127686" s="12" customFormat="1" x14ac:dyDescent="0.25"/>
    <row r="127687" s="12" customFormat="1" x14ac:dyDescent="0.25"/>
    <row r="127688" s="12" customFormat="1" x14ac:dyDescent="0.25"/>
    <row r="127689" s="12" customFormat="1" x14ac:dyDescent="0.25"/>
    <row r="127690" s="12" customFormat="1" x14ac:dyDescent="0.25"/>
    <row r="127691" s="12" customFormat="1" x14ac:dyDescent="0.25"/>
    <row r="127692" s="12" customFormat="1" x14ac:dyDescent="0.25"/>
    <row r="127693" s="12" customFormat="1" x14ac:dyDescent="0.25"/>
    <row r="127694" s="12" customFormat="1" x14ac:dyDescent="0.25"/>
    <row r="127695" s="12" customFormat="1" x14ac:dyDescent="0.25"/>
    <row r="127696" s="12" customFormat="1" x14ac:dyDescent="0.25"/>
    <row r="127697" s="12" customFormat="1" x14ac:dyDescent="0.25"/>
    <row r="127698" s="12" customFormat="1" x14ac:dyDescent="0.25"/>
    <row r="127699" s="12" customFormat="1" x14ac:dyDescent="0.25"/>
    <row r="127700" s="12" customFormat="1" x14ac:dyDescent="0.25"/>
    <row r="127701" s="12" customFormat="1" x14ac:dyDescent="0.25"/>
    <row r="127702" s="12" customFormat="1" x14ac:dyDescent="0.25"/>
    <row r="127703" s="12" customFormat="1" x14ac:dyDescent="0.25"/>
    <row r="127704" s="12" customFormat="1" x14ac:dyDescent="0.25"/>
    <row r="127705" s="12" customFormat="1" x14ac:dyDescent="0.25"/>
    <row r="127706" s="12" customFormat="1" x14ac:dyDescent="0.25"/>
    <row r="127707" s="12" customFormat="1" x14ac:dyDescent="0.25"/>
    <row r="127708" s="12" customFormat="1" x14ac:dyDescent="0.25"/>
    <row r="127709" s="12" customFormat="1" x14ac:dyDescent="0.25"/>
    <row r="127710" s="12" customFormat="1" x14ac:dyDescent="0.25"/>
    <row r="127711" s="12" customFormat="1" x14ac:dyDescent="0.25"/>
    <row r="127712" s="12" customFormat="1" x14ac:dyDescent="0.25"/>
    <row r="127713" s="12" customFormat="1" x14ac:dyDescent="0.25"/>
    <row r="127714" s="12" customFormat="1" x14ac:dyDescent="0.25"/>
    <row r="127715" s="12" customFormat="1" x14ac:dyDescent="0.25"/>
    <row r="127716" s="12" customFormat="1" x14ac:dyDescent="0.25"/>
    <row r="127717" s="12" customFormat="1" x14ac:dyDescent="0.25"/>
    <row r="127718" s="12" customFormat="1" x14ac:dyDescent="0.25"/>
    <row r="127719" s="12" customFormat="1" x14ac:dyDescent="0.25"/>
    <row r="127720" s="12" customFormat="1" x14ac:dyDescent="0.25"/>
    <row r="127721" s="12" customFormat="1" x14ac:dyDescent="0.25"/>
    <row r="127722" s="12" customFormat="1" x14ac:dyDescent="0.25"/>
    <row r="127723" s="12" customFormat="1" x14ac:dyDescent="0.25"/>
    <row r="127724" s="12" customFormat="1" x14ac:dyDescent="0.25"/>
    <row r="127725" s="12" customFormat="1" x14ac:dyDescent="0.25"/>
    <row r="127726" s="12" customFormat="1" x14ac:dyDescent="0.25"/>
    <row r="127727" s="12" customFormat="1" x14ac:dyDescent="0.25"/>
    <row r="127728" s="12" customFormat="1" x14ac:dyDescent="0.25"/>
    <row r="127729" s="12" customFormat="1" x14ac:dyDescent="0.25"/>
    <row r="127730" s="12" customFormat="1" x14ac:dyDescent="0.25"/>
    <row r="127731" s="12" customFormat="1" x14ac:dyDescent="0.25"/>
    <row r="127732" s="12" customFormat="1" x14ac:dyDescent="0.25"/>
    <row r="127733" s="12" customFormat="1" x14ac:dyDescent="0.25"/>
    <row r="127734" s="12" customFormat="1" x14ac:dyDescent="0.25"/>
    <row r="127735" s="12" customFormat="1" x14ac:dyDescent="0.25"/>
    <row r="127736" s="12" customFormat="1" x14ac:dyDescent="0.25"/>
    <row r="127737" s="12" customFormat="1" x14ac:dyDescent="0.25"/>
    <row r="127738" s="12" customFormat="1" x14ac:dyDescent="0.25"/>
    <row r="127739" s="12" customFormat="1" x14ac:dyDescent="0.25"/>
    <row r="127740" s="12" customFormat="1" x14ac:dyDescent="0.25"/>
    <row r="127741" s="12" customFormat="1" x14ac:dyDescent="0.25"/>
    <row r="127742" s="12" customFormat="1" x14ac:dyDescent="0.25"/>
    <row r="127743" s="12" customFormat="1" x14ac:dyDescent="0.25"/>
    <row r="127744" s="12" customFormat="1" x14ac:dyDescent="0.25"/>
    <row r="127745" s="12" customFormat="1" x14ac:dyDescent="0.25"/>
    <row r="127746" s="12" customFormat="1" x14ac:dyDescent="0.25"/>
    <row r="127747" s="12" customFormat="1" x14ac:dyDescent="0.25"/>
    <row r="127748" s="12" customFormat="1" x14ac:dyDescent="0.25"/>
    <row r="127749" s="12" customFormat="1" x14ac:dyDescent="0.25"/>
    <row r="127750" s="12" customFormat="1" x14ac:dyDescent="0.25"/>
    <row r="127751" s="12" customFormat="1" x14ac:dyDescent="0.25"/>
    <row r="127752" s="12" customFormat="1" x14ac:dyDescent="0.25"/>
    <row r="127753" s="12" customFormat="1" x14ac:dyDescent="0.25"/>
    <row r="127754" s="12" customFormat="1" x14ac:dyDescent="0.25"/>
    <row r="127755" s="12" customFormat="1" x14ac:dyDescent="0.25"/>
    <row r="127756" s="12" customFormat="1" x14ac:dyDescent="0.25"/>
    <row r="127757" s="12" customFormat="1" x14ac:dyDescent="0.25"/>
    <row r="127758" s="12" customFormat="1" x14ac:dyDescent="0.25"/>
    <row r="127759" s="12" customFormat="1" x14ac:dyDescent="0.25"/>
    <row r="127760" s="12" customFormat="1" x14ac:dyDescent="0.25"/>
    <row r="127761" s="12" customFormat="1" x14ac:dyDescent="0.25"/>
    <row r="127762" s="12" customFormat="1" x14ac:dyDescent="0.25"/>
    <row r="127763" s="12" customFormat="1" x14ac:dyDescent="0.25"/>
    <row r="127764" s="12" customFormat="1" x14ac:dyDescent="0.25"/>
    <row r="127765" s="12" customFormat="1" x14ac:dyDescent="0.25"/>
    <row r="127766" s="12" customFormat="1" x14ac:dyDescent="0.25"/>
    <row r="127767" s="12" customFormat="1" x14ac:dyDescent="0.25"/>
    <row r="127768" s="12" customFormat="1" x14ac:dyDescent="0.25"/>
    <row r="127769" s="12" customFormat="1" x14ac:dyDescent="0.25"/>
    <row r="127770" s="12" customFormat="1" x14ac:dyDescent="0.25"/>
    <row r="127771" s="12" customFormat="1" x14ac:dyDescent="0.25"/>
    <row r="127772" s="12" customFormat="1" x14ac:dyDescent="0.25"/>
    <row r="127773" s="12" customFormat="1" x14ac:dyDescent="0.25"/>
    <row r="127774" s="12" customFormat="1" x14ac:dyDescent="0.25"/>
    <row r="127775" s="12" customFormat="1" x14ac:dyDescent="0.25"/>
    <row r="127776" s="12" customFormat="1" x14ac:dyDescent="0.25"/>
    <row r="127777" s="12" customFormat="1" x14ac:dyDescent="0.25"/>
    <row r="127778" s="12" customFormat="1" x14ac:dyDescent="0.25"/>
    <row r="127779" s="12" customFormat="1" x14ac:dyDescent="0.25"/>
    <row r="127780" s="12" customFormat="1" x14ac:dyDescent="0.25"/>
    <row r="127781" s="12" customFormat="1" x14ac:dyDescent="0.25"/>
    <row r="127782" s="12" customFormat="1" x14ac:dyDescent="0.25"/>
    <row r="127783" s="12" customFormat="1" x14ac:dyDescent="0.25"/>
    <row r="127784" s="12" customFormat="1" x14ac:dyDescent="0.25"/>
    <row r="127785" s="12" customFormat="1" x14ac:dyDescent="0.25"/>
    <row r="127786" s="12" customFormat="1" x14ac:dyDescent="0.25"/>
    <row r="127787" s="12" customFormat="1" x14ac:dyDescent="0.25"/>
    <row r="127788" s="12" customFormat="1" x14ac:dyDescent="0.25"/>
    <row r="127789" s="12" customFormat="1" x14ac:dyDescent="0.25"/>
    <row r="127790" s="12" customFormat="1" x14ac:dyDescent="0.25"/>
    <row r="127791" s="12" customFormat="1" x14ac:dyDescent="0.25"/>
    <row r="127792" s="12" customFormat="1" x14ac:dyDescent="0.25"/>
    <row r="127793" s="12" customFormat="1" x14ac:dyDescent="0.25"/>
    <row r="127794" s="12" customFormat="1" x14ac:dyDescent="0.25"/>
    <row r="127795" s="12" customFormat="1" x14ac:dyDescent="0.25"/>
    <row r="127796" s="12" customFormat="1" x14ac:dyDescent="0.25"/>
    <row r="127797" s="12" customFormat="1" x14ac:dyDescent="0.25"/>
    <row r="127798" s="12" customFormat="1" x14ac:dyDescent="0.25"/>
    <row r="127799" s="12" customFormat="1" x14ac:dyDescent="0.25"/>
    <row r="127800" s="12" customFormat="1" x14ac:dyDescent="0.25"/>
    <row r="127801" s="12" customFormat="1" x14ac:dyDescent="0.25"/>
    <row r="127802" s="12" customFormat="1" x14ac:dyDescent="0.25"/>
    <row r="127803" s="12" customFormat="1" x14ac:dyDescent="0.25"/>
    <row r="127804" s="12" customFormat="1" x14ac:dyDescent="0.25"/>
    <row r="127805" s="12" customFormat="1" x14ac:dyDescent="0.25"/>
    <row r="127806" s="12" customFormat="1" x14ac:dyDescent="0.25"/>
    <row r="127807" s="12" customFormat="1" x14ac:dyDescent="0.25"/>
    <row r="127808" s="12" customFormat="1" x14ac:dyDescent="0.25"/>
    <row r="127809" s="12" customFormat="1" x14ac:dyDescent="0.25"/>
    <row r="127810" s="12" customFormat="1" x14ac:dyDescent="0.25"/>
    <row r="127811" s="12" customFormat="1" x14ac:dyDescent="0.25"/>
    <row r="127812" s="12" customFormat="1" x14ac:dyDescent="0.25"/>
    <row r="127813" s="12" customFormat="1" x14ac:dyDescent="0.25"/>
    <row r="127814" s="12" customFormat="1" x14ac:dyDescent="0.25"/>
    <row r="127815" s="12" customFormat="1" x14ac:dyDescent="0.25"/>
    <row r="127816" s="12" customFormat="1" x14ac:dyDescent="0.25"/>
    <row r="127817" s="12" customFormat="1" x14ac:dyDescent="0.25"/>
    <row r="127818" s="12" customFormat="1" x14ac:dyDescent="0.25"/>
    <row r="127819" s="12" customFormat="1" x14ac:dyDescent="0.25"/>
    <row r="127820" s="12" customFormat="1" x14ac:dyDescent="0.25"/>
    <row r="127821" s="12" customFormat="1" x14ac:dyDescent="0.25"/>
    <row r="127822" s="12" customFormat="1" x14ac:dyDescent="0.25"/>
    <row r="127823" s="12" customFormat="1" x14ac:dyDescent="0.25"/>
    <row r="127824" s="12" customFormat="1" x14ac:dyDescent="0.25"/>
    <row r="127825" s="12" customFormat="1" x14ac:dyDescent="0.25"/>
    <row r="127826" s="12" customFormat="1" x14ac:dyDescent="0.25"/>
    <row r="127827" s="12" customFormat="1" x14ac:dyDescent="0.25"/>
    <row r="127828" s="12" customFormat="1" x14ac:dyDescent="0.25"/>
    <row r="127829" s="12" customFormat="1" x14ac:dyDescent="0.25"/>
    <row r="127830" s="12" customFormat="1" x14ac:dyDescent="0.25"/>
    <row r="127831" s="12" customFormat="1" x14ac:dyDescent="0.25"/>
    <row r="127832" s="12" customFormat="1" x14ac:dyDescent="0.25"/>
    <row r="127833" s="12" customFormat="1" x14ac:dyDescent="0.25"/>
    <row r="127834" s="12" customFormat="1" x14ac:dyDescent="0.25"/>
    <row r="127835" s="12" customFormat="1" x14ac:dyDescent="0.25"/>
    <row r="127836" s="12" customFormat="1" x14ac:dyDescent="0.25"/>
    <row r="127837" s="12" customFormat="1" x14ac:dyDescent="0.25"/>
    <row r="127838" s="12" customFormat="1" x14ac:dyDescent="0.25"/>
    <row r="127839" s="12" customFormat="1" x14ac:dyDescent="0.25"/>
    <row r="127840" s="12" customFormat="1" x14ac:dyDescent="0.25"/>
    <row r="127841" s="12" customFormat="1" x14ac:dyDescent="0.25"/>
    <row r="127842" s="12" customFormat="1" x14ac:dyDescent="0.25"/>
    <row r="127843" s="12" customFormat="1" x14ac:dyDescent="0.25"/>
    <row r="127844" s="12" customFormat="1" x14ac:dyDescent="0.25"/>
    <row r="127845" s="12" customFormat="1" x14ac:dyDescent="0.25"/>
    <row r="127846" s="12" customFormat="1" x14ac:dyDescent="0.25"/>
    <row r="127847" s="12" customFormat="1" x14ac:dyDescent="0.25"/>
    <row r="127848" s="12" customFormat="1" x14ac:dyDescent="0.25"/>
    <row r="127849" s="12" customFormat="1" x14ac:dyDescent="0.25"/>
    <row r="127850" s="12" customFormat="1" x14ac:dyDescent="0.25"/>
    <row r="127851" s="12" customFormat="1" x14ac:dyDescent="0.25"/>
    <row r="127852" s="12" customFormat="1" x14ac:dyDescent="0.25"/>
    <row r="127853" s="12" customFormat="1" x14ac:dyDescent="0.25"/>
    <row r="127854" s="12" customFormat="1" x14ac:dyDescent="0.25"/>
    <row r="127855" s="12" customFormat="1" x14ac:dyDescent="0.25"/>
    <row r="127856" s="12" customFormat="1" x14ac:dyDescent="0.25"/>
    <row r="127857" s="12" customFormat="1" x14ac:dyDescent="0.25"/>
    <row r="127858" s="12" customFormat="1" x14ac:dyDescent="0.25"/>
    <row r="127859" s="12" customFormat="1" x14ac:dyDescent="0.25"/>
    <row r="127860" s="12" customFormat="1" x14ac:dyDescent="0.25"/>
    <row r="127861" s="12" customFormat="1" x14ac:dyDescent="0.25"/>
    <row r="127862" s="12" customFormat="1" x14ac:dyDescent="0.25"/>
    <row r="127863" s="12" customFormat="1" x14ac:dyDescent="0.25"/>
    <row r="127864" s="12" customFormat="1" x14ac:dyDescent="0.25"/>
    <row r="127865" s="12" customFormat="1" x14ac:dyDescent="0.25"/>
    <row r="127866" s="12" customFormat="1" x14ac:dyDescent="0.25"/>
    <row r="127867" s="12" customFormat="1" x14ac:dyDescent="0.25"/>
    <row r="127868" s="12" customFormat="1" x14ac:dyDescent="0.25"/>
    <row r="127869" s="12" customFormat="1" x14ac:dyDescent="0.25"/>
    <row r="127870" s="12" customFormat="1" x14ac:dyDescent="0.25"/>
    <row r="127871" s="12" customFormat="1" x14ac:dyDescent="0.25"/>
    <row r="127872" s="12" customFormat="1" x14ac:dyDescent="0.25"/>
    <row r="127873" s="12" customFormat="1" x14ac:dyDescent="0.25"/>
    <row r="127874" s="12" customFormat="1" x14ac:dyDescent="0.25"/>
    <row r="127875" s="12" customFormat="1" x14ac:dyDescent="0.25"/>
    <row r="127876" s="12" customFormat="1" x14ac:dyDescent="0.25"/>
    <row r="127877" s="12" customFormat="1" x14ac:dyDescent="0.25"/>
    <row r="127878" s="12" customFormat="1" x14ac:dyDescent="0.25"/>
    <row r="127879" s="12" customFormat="1" x14ac:dyDescent="0.25"/>
    <row r="127880" s="12" customFormat="1" x14ac:dyDescent="0.25"/>
    <row r="127881" s="12" customFormat="1" x14ac:dyDescent="0.25"/>
    <row r="127882" s="12" customFormat="1" x14ac:dyDescent="0.25"/>
    <row r="127883" s="12" customFormat="1" x14ac:dyDescent="0.25"/>
    <row r="127884" s="12" customFormat="1" x14ac:dyDescent="0.25"/>
    <row r="127885" s="12" customFormat="1" x14ac:dyDescent="0.25"/>
    <row r="127886" s="12" customFormat="1" x14ac:dyDescent="0.25"/>
    <row r="127887" s="12" customFormat="1" x14ac:dyDescent="0.25"/>
    <row r="127888" s="12" customFormat="1" x14ac:dyDescent="0.25"/>
    <row r="127889" s="12" customFormat="1" x14ac:dyDescent="0.25"/>
    <row r="127890" s="12" customFormat="1" x14ac:dyDescent="0.25"/>
    <row r="127891" s="12" customFormat="1" x14ac:dyDescent="0.25"/>
    <row r="127892" s="12" customFormat="1" x14ac:dyDescent="0.25"/>
    <row r="127893" s="12" customFormat="1" x14ac:dyDescent="0.25"/>
    <row r="127894" s="12" customFormat="1" x14ac:dyDescent="0.25"/>
    <row r="127895" s="12" customFormat="1" x14ac:dyDescent="0.25"/>
    <row r="127896" s="12" customFormat="1" x14ac:dyDescent="0.25"/>
    <row r="127897" s="12" customFormat="1" x14ac:dyDescent="0.25"/>
    <row r="127898" s="12" customFormat="1" x14ac:dyDescent="0.25"/>
    <row r="127899" s="12" customFormat="1" x14ac:dyDescent="0.25"/>
    <row r="127900" s="12" customFormat="1" x14ac:dyDescent="0.25"/>
    <row r="127901" s="12" customFormat="1" x14ac:dyDescent="0.25"/>
    <row r="127902" s="12" customFormat="1" x14ac:dyDescent="0.25"/>
    <row r="127903" s="12" customFormat="1" x14ac:dyDescent="0.25"/>
    <row r="127904" s="12" customFormat="1" x14ac:dyDescent="0.25"/>
    <row r="127905" s="12" customFormat="1" x14ac:dyDescent="0.25"/>
    <row r="127906" s="12" customFormat="1" x14ac:dyDescent="0.25"/>
    <row r="127907" s="12" customFormat="1" x14ac:dyDescent="0.25"/>
    <row r="127908" s="12" customFormat="1" x14ac:dyDescent="0.25"/>
    <row r="127909" s="12" customFormat="1" x14ac:dyDescent="0.25"/>
    <row r="127910" s="12" customFormat="1" x14ac:dyDescent="0.25"/>
    <row r="127911" s="12" customFormat="1" x14ac:dyDescent="0.25"/>
    <row r="127912" s="12" customFormat="1" x14ac:dyDescent="0.25"/>
    <row r="127913" s="12" customFormat="1" x14ac:dyDescent="0.25"/>
    <row r="127914" s="12" customFormat="1" x14ac:dyDescent="0.25"/>
    <row r="127915" s="12" customFormat="1" x14ac:dyDescent="0.25"/>
    <row r="127916" s="12" customFormat="1" x14ac:dyDescent="0.25"/>
    <row r="127917" s="12" customFormat="1" x14ac:dyDescent="0.25"/>
    <row r="127918" s="12" customFormat="1" x14ac:dyDescent="0.25"/>
    <row r="127919" s="12" customFormat="1" x14ac:dyDescent="0.25"/>
    <row r="127920" s="12" customFormat="1" x14ac:dyDescent="0.25"/>
    <row r="127921" s="12" customFormat="1" x14ac:dyDescent="0.25"/>
    <row r="127922" s="12" customFormat="1" x14ac:dyDescent="0.25"/>
    <row r="127923" s="12" customFormat="1" x14ac:dyDescent="0.25"/>
    <row r="127924" s="12" customFormat="1" x14ac:dyDescent="0.25"/>
    <row r="127925" s="12" customFormat="1" x14ac:dyDescent="0.25"/>
    <row r="127926" s="12" customFormat="1" x14ac:dyDescent="0.25"/>
    <row r="127927" s="12" customFormat="1" x14ac:dyDescent="0.25"/>
    <row r="127928" s="12" customFormat="1" x14ac:dyDescent="0.25"/>
    <row r="127929" s="12" customFormat="1" x14ac:dyDescent="0.25"/>
    <row r="127930" s="12" customFormat="1" x14ac:dyDescent="0.25"/>
    <row r="127931" s="12" customFormat="1" x14ac:dyDescent="0.25"/>
    <row r="127932" s="12" customFormat="1" x14ac:dyDescent="0.25"/>
    <row r="127933" s="12" customFormat="1" x14ac:dyDescent="0.25"/>
    <row r="127934" s="12" customFormat="1" x14ac:dyDescent="0.25"/>
    <row r="127935" s="12" customFormat="1" x14ac:dyDescent="0.25"/>
    <row r="127936" s="12" customFormat="1" x14ac:dyDescent="0.25"/>
    <row r="127937" s="12" customFormat="1" x14ac:dyDescent="0.25"/>
    <row r="127938" s="12" customFormat="1" x14ac:dyDescent="0.25"/>
    <row r="127939" s="12" customFormat="1" x14ac:dyDescent="0.25"/>
    <row r="127940" s="12" customFormat="1" x14ac:dyDescent="0.25"/>
    <row r="127941" s="12" customFormat="1" x14ac:dyDescent="0.25"/>
    <row r="127942" s="12" customFormat="1" x14ac:dyDescent="0.25"/>
    <row r="127943" s="12" customFormat="1" x14ac:dyDescent="0.25"/>
    <row r="127944" s="12" customFormat="1" x14ac:dyDescent="0.25"/>
    <row r="127945" s="12" customFormat="1" x14ac:dyDescent="0.25"/>
    <row r="127946" s="12" customFormat="1" x14ac:dyDescent="0.25"/>
    <row r="127947" s="12" customFormat="1" x14ac:dyDescent="0.25"/>
    <row r="127948" s="12" customFormat="1" x14ac:dyDescent="0.25"/>
    <row r="127949" s="12" customFormat="1" x14ac:dyDescent="0.25"/>
    <row r="127950" s="12" customFormat="1" x14ac:dyDescent="0.25"/>
    <row r="127951" s="12" customFormat="1" x14ac:dyDescent="0.25"/>
    <row r="127952" s="12" customFormat="1" x14ac:dyDescent="0.25"/>
    <row r="127953" s="12" customFormat="1" x14ac:dyDescent="0.25"/>
    <row r="127954" s="12" customFormat="1" x14ac:dyDescent="0.25"/>
    <row r="127955" s="12" customFormat="1" x14ac:dyDescent="0.25"/>
    <row r="127956" s="12" customFormat="1" x14ac:dyDescent="0.25"/>
    <row r="127957" s="12" customFormat="1" x14ac:dyDescent="0.25"/>
    <row r="127958" s="12" customFormat="1" x14ac:dyDescent="0.25"/>
    <row r="127959" s="12" customFormat="1" x14ac:dyDescent="0.25"/>
    <row r="127960" s="12" customFormat="1" x14ac:dyDescent="0.25"/>
    <row r="127961" s="12" customFormat="1" x14ac:dyDescent="0.25"/>
    <row r="127962" s="12" customFormat="1" x14ac:dyDescent="0.25"/>
    <row r="127963" s="12" customFormat="1" x14ac:dyDescent="0.25"/>
    <row r="127964" s="12" customFormat="1" x14ac:dyDescent="0.25"/>
    <row r="127965" s="12" customFormat="1" x14ac:dyDescent="0.25"/>
    <row r="127966" s="12" customFormat="1" x14ac:dyDescent="0.25"/>
    <row r="127967" s="12" customFormat="1" x14ac:dyDescent="0.25"/>
    <row r="127968" s="12" customFormat="1" x14ac:dyDescent="0.25"/>
    <row r="127969" s="12" customFormat="1" x14ac:dyDescent="0.25"/>
    <row r="127970" s="12" customFormat="1" x14ac:dyDescent="0.25"/>
    <row r="127971" s="12" customFormat="1" x14ac:dyDescent="0.25"/>
    <row r="127972" s="12" customFormat="1" x14ac:dyDescent="0.25"/>
    <row r="127973" s="12" customFormat="1" x14ac:dyDescent="0.25"/>
    <row r="127974" s="12" customFormat="1" x14ac:dyDescent="0.25"/>
    <row r="127975" s="12" customFormat="1" x14ac:dyDescent="0.25"/>
    <row r="127976" s="12" customFormat="1" x14ac:dyDescent="0.25"/>
    <row r="127977" s="12" customFormat="1" x14ac:dyDescent="0.25"/>
    <row r="127978" s="12" customFormat="1" x14ac:dyDescent="0.25"/>
    <row r="127979" s="12" customFormat="1" x14ac:dyDescent="0.25"/>
    <row r="127980" s="12" customFormat="1" x14ac:dyDescent="0.25"/>
    <row r="127981" s="12" customFormat="1" x14ac:dyDescent="0.25"/>
    <row r="127982" s="12" customFormat="1" x14ac:dyDescent="0.25"/>
    <row r="127983" s="12" customFormat="1" x14ac:dyDescent="0.25"/>
    <row r="127984" s="12" customFormat="1" x14ac:dyDescent="0.25"/>
    <row r="127985" s="12" customFormat="1" x14ac:dyDescent="0.25"/>
    <row r="127986" s="12" customFormat="1" x14ac:dyDescent="0.25"/>
    <row r="127987" s="12" customFormat="1" x14ac:dyDescent="0.25"/>
    <row r="127988" s="12" customFormat="1" x14ac:dyDescent="0.25"/>
    <row r="127989" s="12" customFormat="1" x14ac:dyDescent="0.25"/>
    <row r="127990" s="12" customFormat="1" x14ac:dyDescent="0.25"/>
    <row r="127991" s="12" customFormat="1" x14ac:dyDescent="0.25"/>
    <row r="127992" s="12" customFormat="1" x14ac:dyDescent="0.25"/>
    <row r="127993" s="12" customFormat="1" x14ac:dyDescent="0.25"/>
    <row r="127994" s="12" customFormat="1" x14ac:dyDescent="0.25"/>
    <row r="127995" s="12" customFormat="1" x14ac:dyDescent="0.25"/>
    <row r="127996" s="12" customFormat="1" x14ac:dyDescent="0.25"/>
    <row r="127997" s="12" customFormat="1" x14ac:dyDescent="0.25"/>
    <row r="127998" s="12" customFormat="1" x14ac:dyDescent="0.25"/>
    <row r="127999" s="12" customFormat="1" x14ac:dyDescent="0.25"/>
    <row r="128000" s="12" customFormat="1" x14ac:dyDescent="0.25"/>
    <row r="128001" s="12" customFormat="1" x14ac:dyDescent="0.25"/>
    <row r="128002" s="12" customFormat="1" x14ac:dyDescent="0.25"/>
    <row r="128003" s="12" customFormat="1" x14ac:dyDescent="0.25"/>
    <row r="128004" s="12" customFormat="1" x14ac:dyDescent="0.25"/>
    <row r="128005" s="12" customFormat="1" x14ac:dyDescent="0.25"/>
    <row r="128006" s="12" customFormat="1" x14ac:dyDescent="0.25"/>
    <row r="128007" s="12" customFormat="1" x14ac:dyDescent="0.25"/>
    <row r="128008" s="12" customFormat="1" x14ac:dyDescent="0.25"/>
    <row r="128009" s="12" customFormat="1" x14ac:dyDescent="0.25"/>
    <row r="128010" s="12" customFormat="1" x14ac:dyDescent="0.25"/>
    <row r="128011" s="12" customFormat="1" x14ac:dyDescent="0.25"/>
    <row r="128012" s="12" customFormat="1" x14ac:dyDescent="0.25"/>
    <row r="128013" s="12" customFormat="1" x14ac:dyDescent="0.25"/>
    <row r="128014" s="12" customFormat="1" x14ac:dyDescent="0.25"/>
    <row r="128015" s="12" customFormat="1" x14ac:dyDescent="0.25"/>
    <row r="128016" s="12" customFormat="1" x14ac:dyDescent="0.25"/>
    <row r="128017" s="12" customFormat="1" x14ac:dyDescent="0.25"/>
    <row r="128018" s="12" customFormat="1" x14ac:dyDescent="0.25"/>
    <row r="128019" s="12" customFormat="1" x14ac:dyDescent="0.25"/>
    <row r="128020" s="12" customFormat="1" x14ac:dyDescent="0.25"/>
    <row r="128021" s="12" customFormat="1" x14ac:dyDescent="0.25"/>
    <row r="128022" s="12" customFormat="1" x14ac:dyDescent="0.25"/>
    <row r="128023" s="12" customFormat="1" x14ac:dyDescent="0.25"/>
    <row r="128024" s="12" customFormat="1" x14ac:dyDescent="0.25"/>
    <row r="128025" s="12" customFormat="1" x14ac:dyDescent="0.25"/>
    <row r="128026" s="12" customFormat="1" x14ac:dyDescent="0.25"/>
    <row r="128027" s="12" customFormat="1" x14ac:dyDescent="0.25"/>
    <row r="128028" s="12" customFormat="1" x14ac:dyDescent="0.25"/>
    <row r="128029" s="12" customFormat="1" x14ac:dyDescent="0.25"/>
    <row r="128030" s="12" customFormat="1" x14ac:dyDescent="0.25"/>
    <row r="128031" s="12" customFormat="1" x14ac:dyDescent="0.25"/>
    <row r="128032" s="12" customFormat="1" x14ac:dyDescent="0.25"/>
    <row r="128033" s="12" customFormat="1" x14ac:dyDescent="0.25"/>
    <row r="128034" s="12" customFormat="1" x14ac:dyDescent="0.25"/>
    <row r="128035" s="12" customFormat="1" x14ac:dyDescent="0.25"/>
    <row r="128036" s="12" customFormat="1" x14ac:dyDescent="0.25"/>
    <row r="128037" s="12" customFormat="1" x14ac:dyDescent="0.25"/>
    <row r="128038" s="12" customFormat="1" x14ac:dyDescent="0.25"/>
    <row r="128039" s="12" customFormat="1" x14ac:dyDescent="0.25"/>
    <row r="128040" s="12" customFormat="1" x14ac:dyDescent="0.25"/>
    <row r="128041" s="12" customFormat="1" x14ac:dyDescent="0.25"/>
    <row r="128042" s="12" customFormat="1" x14ac:dyDescent="0.25"/>
    <row r="128043" s="12" customFormat="1" x14ac:dyDescent="0.25"/>
    <row r="128044" s="12" customFormat="1" x14ac:dyDescent="0.25"/>
    <row r="128045" s="12" customFormat="1" x14ac:dyDescent="0.25"/>
    <row r="128046" s="12" customFormat="1" x14ac:dyDescent="0.25"/>
    <row r="128047" s="12" customFormat="1" x14ac:dyDescent="0.25"/>
    <row r="128048" s="12" customFormat="1" x14ac:dyDescent="0.25"/>
    <row r="128049" s="12" customFormat="1" x14ac:dyDescent="0.25"/>
    <row r="128050" s="12" customFormat="1" x14ac:dyDescent="0.25"/>
    <row r="128051" s="12" customFormat="1" x14ac:dyDescent="0.25"/>
    <row r="128052" s="12" customFormat="1" x14ac:dyDescent="0.25"/>
    <row r="128053" s="12" customFormat="1" x14ac:dyDescent="0.25"/>
    <row r="128054" s="12" customFormat="1" x14ac:dyDescent="0.25"/>
    <row r="128055" s="12" customFormat="1" x14ac:dyDescent="0.25"/>
    <row r="128056" s="12" customFormat="1" x14ac:dyDescent="0.25"/>
    <row r="128057" s="12" customFormat="1" x14ac:dyDescent="0.25"/>
    <row r="128058" s="12" customFormat="1" x14ac:dyDescent="0.25"/>
    <row r="128059" s="12" customFormat="1" x14ac:dyDescent="0.25"/>
    <row r="128060" s="12" customFormat="1" x14ac:dyDescent="0.25"/>
    <row r="128061" s="12" customFormat="1" x14ac:dyDescent="0.25"/>
    <row r="128062" s="12" customFormat="1" x14ac:dyDescent="0.25"/>
    <row r="128063" s="12" customFormat="1" x14ac:dyDescent="0.25"/>
    <row r="128064" s="12" customFormat="1" x14ac:dyDescent="0.25"/>
    <row r="128065" s="12" customFormat="1" x14ac:dyDescent="0.25"/>
    <row r="128066" s="12" customFormat="1" x14ac:dyDescent="0.25"/>
    <row r="128067" s="12" customFormat="1" x14ac:dyDescent="0.25"/>
    <row r="128068" s="12" customFormat="1" x14ac:dyDescent="0.25"/>
    <row r="128069" s="12" customFormat="1" x14ac:dyDescent="0.25"/>
    <row r="128070" s="12" customFormat="1" x14ac:dyDescent="0.25"/>
    <row r="128071" s="12" customFormat="1" x14ac:dyDescent="0.25"/>
    <row r="128072" s="12" customFormat="1" x14ac:dyDescent="0.25"/>
    <row r="128073" s="12" customFormat="1" x14ac:dyDescent="0.25"/>
    <row r="128074" s="12" customFormat="1" x14ac:dyDescent="0.25"/>
    <row r="128075" s="12" customFormat="1" x14ac:dyDescent="0.25"/>
    <row r="128076" s="12" customFormat="1" x14ac:dyDescent="0.25"/>
    <row r="128077" s="12" customFormat="1" x14ac:dyDescent="0.25"/>
    <row r="128078" s="12" customFormat="1" x14ac:dyDescent="0.25"/>
    <row r="128079" s="12" customFormat="1" x14ac:dyDescent="0.25"/>
    <row r="128080" s="12" customFormat="1" x14ac:dyDescent="0.25"/>
    <row r="128081" s="12" customFormat="1" x14ac:dyDescent="0.25"/>
    <row r="128082" s="12" customFormat="1" x14ac:dyDescent="0.25"/>
    <row r="128083" s="12" customFormat="1" x14ac:dyDescent="0.25"/>
    <row r="128084" s="12" customFormat="1" x14ac:dyDescent="0.25"/>
    <row r="128085" s="12" customFormat="1" x14ac:dyDescent="0.25"/>
    <row r="128086" s="12" customFormat="1" x14ac:dyDescent="0.25"/>
    <row r="128087" s="12" customFormat="1" x14ac:dyDescent="0.25"/>
    <row r="128088" s="12" customFormat="1" x14ac:dyDescent="0.25"/>
    <row r="128089" s="12" customFormat="1" x14ac:dyDescent="0.25"/>
    <row r="128090" s="12" customFormat="1" x14ac:dyDescent="0.25"/>
    <row r="128091" s="12" customFormat="1" x14ac:dyDescent="0.25"/>
    <row r="128092" s="12" customFormat="1" x14ac:dyDescent="0.25"/>
    <row r="128093" s="12" customFormat="1" x14ac:dyDescent="0.25"/>
    <row r="128094" s="12" customFormat="1" x14ac:dyDescent="0.25"/>
    <row r="128095" s="12" customFormat="1" x14ac:dyDescent="0.25"/>
    <row r="128096" s="12" customFormat="1" x14ac:dyDescent="0.25"/>
    <row r="128097" s="12" customFormat="1" x14ac:dyDescent="0.25"/>
    <row r="128098" s="12" customFormat="1" x14ac:dyDescent="0.25"/>
    <row r="128099" s="12" customFormat="1" x14ac:dyDescent="0.25"/>
    <row r="128100" s="12" customFormat="1" x14ac:dyDescent="0.25"/>
    <row r="128101" s="12" customFormat="1" x14ac:dyDescent="0.25"/>
    <row r="128102" s="12" customFormat="1" x14ac:dyDescent="0.25"/>
    <row r="128103" s="12" customFormat="1" x14ac:dyDescent="0.25"/>
    <row r="128104" s="12" customFormat="1" x14ac:dyDescent="0.25"/>
    <row r="128105" s="12" customFormat="1" x14ac:dyDescent="0.25"/>
    <row r="128106" s="12" customFormat="1" x14ac:dyDescent="0.25"/>
    <row r="128107" s="12" customFormat="1" x14ac:dyDescent="0.25"/>
    <row r="128108" s="12" customFormat="1" x14ac:dyDescent="0.25"/>
    <row r="128109" s="12" customFormat="1" x14ac:dyDescent="0.25"/>
    <row r="128110" s="12" customFormat="1" x14ac:dyDescent="0.25"/>
    <row r="128111" s="12" customFormat="1" x14ac:dyDescent="0.25"/>
    <row r="128112" s="12" customFormat="1" x14ac:dyDescent="0.25"/>
    <row r="128113" s="12" customFormat="1" x14ac:dyDescent="0.25"/>
    <row r="128114" s="12" customFormat="1" x14ac:dyDescent="0.25"/>
    <row r="128115" s="12" customFormat="1" x14ac:dyDescent="0.25"/>
    <row r="128116" s="12" customFormat="1" x14ac:dyDescent="0.25"/>
    <row r="128117" s="12" customFormat="1" x14ac:dyDescent="0.25"/>
    <row r="128118" s="12" customFormat="1" x14ac:dyDescent="0.25"/>
    <row r="128119" s="12" customFormat="1" x14ac:dyDescent="0.25"/>
    <row r="128120" s="12" customFormat="1" x14ac:dyDescent="0.25"/>
    <row r="128121" s="12" customFormat="1" x14ac:dyDescent="0.25"/>
    <row r="128122" s="12" customFormat="1" x14ac:dyDescent="0.25"/>
    <row r="128123" s="12" customFormat="1" x14ac:dyDescent="0.25"/>
    <row r="128124" s="12" customFormat="1" x14ac:dyDescent="0.25"/>
    <row r="128125" s="12" customFormat="1" x14ac:dyDescent="0.25"/>
    <row r="128126" s="12" customFormat="1" x14ac:dyDescent="0.25"/>
    <row r="128127" s="12" customFormat="1" x14ac:dyDescent="0.25"/>
    <row r="128128" s="12" customFormat="1" x14ac:dyDescent="0.25"/>
    <row r="128129" s="12" customFormat="1" x14ac:dyDescent="0.25"/>
    <row r="128130" s="12" customFormat="1" x14ac:dyDescent="0.25"/>
    <row r="128131" s="12" customFormat="1" x14ac:dyDescent="0.25"/>
    <row r="128132" s="12" customFormat="1" x14ac:dyDescent="0.25"/>
    <row r="128133" s="12" customFormat="1" x14ac:dyDescent="0.25"/>
    <row r="128134" s="12" customFormat="1" x14ac:dyDescent="0.25"/>
    <row r="128135" s="12" customFormat="1" x14ac:dyDescent="0.25"/>
    <row r="128136" s="12" customFormat="1" x14ac:dyDescent="0.25"/>
    <row r="128137" s="12" customFormat="1" x14ac:dyDescent="0.25"/>
    <row r="128138" s="12" customFormat="1" x14ac:dyDescent="0.25"/>
    <row r="128139" s="12" customFormat="1" x14ac:dyDescent="0.25"/>
    <row r="128140" s="12" customFormat="1" x14ac:dyDescent="0.25"/>
    <row r="128141" s="12" customFormat="1" x14ac:dyDescent="0.25"/>
    <row r="128142" s="12" customFormat="1" x14ac:dyDescent="0.25"/>
    <row r="128143" s="12" customFormat="1" x14ac:dyDescent="0.25"/>
    <row r="128144" s="12" customFormat="1" x14ac:dyDescent="0.25"/>
    <row r="128145" s="12" customFormat="1" x14ac:dyDescent="0.25"/>
    <row r="128146" s="12" customFormat="1" x14ac:dyDescent="0.25"/>
    <row r="128147" s="12" customFormat="1" x14ac:dyDescent="0.25"/>
    <row r="128148" s="12" customFormat="1" x14ac:dyDescent="0.25"/>
    <row r="128149" s="12" customFormat="1" x14ac:dyDescent="0.25"/>
    <row r="128150" s="12" customFormat="1" x14ac:dyDescent="0.25"/>
    <row r="128151" s="12" customFormat="1" x14ac:dyDescent="0.25"/>
    <row r="128152" s="12" customFormat="1" x14ac:dyDescent="0.25"/>
    <row r="128153" s="12" customFormat="1" x14ac:dyDescent="0.25"/>
    <row r="128154" s="12" customFormat="1" x14ac:dyDescent="0.25"/>
    <row r="128155" s="12" customFormat="1" x14ac:dyDescent="0.25"/>
    <row r="128156" s="12" customFormat="1" x14ac:dyDescent="0.25"/>
    <row r="128157" s="12" customFormat="1" x14ac:dyDescent="0.25"/>
    <row r="128158" s="12" customFormat="1" x14ac:dyDescent="0.25"/>
    <row r="128159" s="12" customFormat="1" x14ac:dyDescent="0.25"/>
    <row r="128160" s="12" customFormat="1" x14ac:dyDescent="0.25"/>
    <row r="128161" s="12" customFormat="1" x14ac:dyDescent="0.25"/>
    <row r="128162" s="12" customFormat="1" x14ac:dyDescent="0.25"/>
    <row r="128163" s="12" customFormat="1" x14ac:dyDescent="0.25"/>
    <row r="128164" s="12" customFormat="1" x14ac:dyDescent="0.25"/>
    <row r="128165" s="12" customFormat="1" x14ac:dyDescent="0.25"/>
    <row r="128166" s="12" customFormat="1" x14ac:dyDescent="0.25"/>
    <row r="128167" s="12" customFormat="1" x14ac:dyDescent="0.25"/>
    <row r="128168" s="12" customFormat="1" x14ac:dyDescent="0.25"/>
    <row r="128169" s="12" customFormat="1" x14ac:dyDescent="0.25"/>
    <row r="128170" s="12" customFormat="1" x14ac:dyDescent="0.25"/>
    <row r="128171" s="12" customFormat="1" x14ac:dyDescent="0.25"/>
    <row r="128172" s="12" customFormat="1" x14ac:dyDescent="0.25"/>
    <row r="128173" s="12" customFormat="1" x14ac:dyDescent="0.25"/>
    <row r="128174" s="12" customFormat="1" x14ac:dyDescent="0.25"/>
    <row r="128175" s="12" customFormat="1" x14ac:dyDescent="0.25"/>
    <row r="128176" s="12" customFormat="1" x14ac:dyDescent="0.25"/>
    <row r="128177" s="12" customFormat="1" x14ac:dyDescent="0.25"/>
    <row r="128178" s="12" customFormat="1" x14ac:dyDescent="0.25"/>
    <row r="128179" s="12" customFormat="1" x14ac:dyDescent="0.25"/>
    <row r="128180" s="12" customFormat="1" x14ac:dyDescent="0.25"/>
    <row r="128181" s="12" customFormat="1" x14ac:dyDescent="0.25"/>
    <row r="128182" s="12" customFormat="1" x14ac:dyDescent="0.25"/>
    <row r="128183" s="12" customFormat="1" x14ac:dyDescent="0.25"/>
    <row r="128184" s="12" customFormat="1" x14ac:dyDescent="0.25"/>
    <row r="128185" s="12" customFormat="1" x14ac:dyDescent="0.25"/>
    <row r="128186" s="12" customFormat="1" x14ac:dyDescent="0.25"/>
    <row r="128187" s="12" customFormat="1" x14ac:dyDescent="0.25"/>
    <row r="128188" s="12" customFormat="1" x14ac:dyDescent="0.25"/>
    <row r="128189" s="12" customFormat="1" x14ac:dyDescent="0.25"/>
    <row r="128190" s="12" customFormat="1" x14ac:dyDescent="0.25"/>
    <row r="128191" s="12" customFormat="1" x14ac:dyDescent="0.25"/>
    <row r="128192" s="12" customFormat="1" x14ac:dyDescent="0.25"/>
    <row r="128193" s="12" customFormat="1" x14ac:dyDescent="0.25"/>
    <row r="128194" s="12" customFormat="1" x14ac:dyDescent="0.25"/>
    <row r="128195" s="12" customFormat="1" x14ac:dyDescent="0.25"/>
    <row r="128196" s="12" customFormat="1" x14ac:dyDescent="0.25"/>
    <row r="128197" s="12" customFormat="1" x14ac:dyDescent="0.25"/>
    <row r="128198" s="12" customFormat="1" x14ac:dyDescent="0.25"/>
    <row r="128199" s="12" customFormat="1" x14ac:dyDescent="0.25"/>
    <row r="128200" s="12" customFormat="1" x14ac:dyDescent="0.25"/>
    <row r="128201" s="12" customFormat="1" x14ac:dyDescent="0.25"/>
    <row r="128202" s="12" customFormat="1" x14ac:dyDescent="0.25"/>
    <row r="128203" s="12" customFormat="1" x14ac:dyDescent="0.25"/>
    <row r="128204" s="12" customFormat="1" x14ac:dyDescent="0.25"/>
    <row r="128205" s="12" customFormat="1" x14ac:dyDescent="0.25"/>
    <row r="128206" s="12" customFormat="1" x14ac:dyDescent="0.25"/>
    <row r="128207" s="12" customFormat="1" x14ac:dyDescent="0.25"/>
    <row r="128208" s="12" customFormat="1" x14ac:dyDescent="0.25"/>
    <row r="128209" s="12" customFormat="1" x14ac:dyDescent="0.25"/>
    <row r="128210" s="12" customFormat="1" x14ac:dyDescent="0.25"/>
    <row r="128211" s="12" customFormat="1" x14ac:dyDescent="0.25"/>
    <row r="128212" s="12" customFormat="1" x14ac:dyDescent="0.25"/>
    <row r="128213" s="12" customFormat="1" x14ac:dyDescent="0.25"/>
    <row r="128214" s="12" customFormat="1" x14ac:dyDescent="0.25"/>
    <row r="128215" s="12" customFormat="1" x14ac:dyDescent="0.25"/>
    <row r="128216" s="12" customFormat="1" x14ac:dyDescent="0.25"/>
    <row r="128217" s="12" customFormat="1" x14ac:dyDescent="0.25"/>
    <row r="128218" s="12" customFormat="1" x14ac:dyDescent="0.25"/>
    <row r="128219" s="12" customFormat="1" x14ac:dyDescent="0.25"/>
    <row r="128220" s="12" customFormat="1" x14ac:dyDescent="0.25"/>
    <row r="128221" s="12" customFormat="1" x14ac:dyDescent="0.25"/>
    <row r="128222" s="12" customFormat="1" x14ac:dyDescent="0.25"/>
    <row r="128223" s="12" customFormat="1" x14ac:dyDescent="0.25"/>
    <row r="128224" s="12" customFormat="1" x14ac:dyDescent="0.25"/>
    <row r="128225" s="12" customFormat="1" x14ac:dyDescent="0.25"/>
    <row r="128226" s="12" customFormat="1" x14ac:dyDescent="0.25"/>
    <row r="128227" s="12" customFormat="1" x14ac:dyDescent="0.25"/>
    <row r="128228" s="12" customFormat="1" x14ac:dyDescent="0.25"/>
    <row r="128229" s="12" customFormat="1" x14ac:dyDescent="0.25"/>
    <row r="128230" s="12" customFormat="1" x14ac:dyDescent="0.25"/>
    <row r="128231" s="12" customFormat="1" x14ac:dyDescent="0.25"/>
    <row r="128232" s="12" customFormat="1" x14ac:dyDescent="0.25"/>
    <row r="128233" s="12" customFormat="1" x14ac:dyDescent="0.25"/>
    <row r="128234" s="12" customFormat="1" x14ac:dyDescent="0.25"/>
    <row r="128235" s="12" customFormat="1" x14ac:dyDescent="0.25"/>
    <row r="128236" s="12" customFormat="1" x14ac:dyDescent="0.25"/>
    <row r="128237" s="12" customFormat="1" x14ac:dyDescent="0.25"/>
    <row r="128238" s="12" customFormat="1" x14ac:dyDescent="0.25"/>
    <row r="128239" s="12" customFormat="1" x14ac:dyDescent="0.25"/>
    <row r="128240" s="12" customFormat="1" x14ac:dyDescent="0.25"/>
    <row r="128241" s="12" customFormat="1" x14ac:dyDescent="0.25"/>
    <row r="128242" s="12" customFormat="1" x14ac:dyDescent="0.25"/>
    <row r="128243" s="12" customFormat="1" x14ac:dyDescent="0.25"/>
    <row r="128244" s="12" customFormat="1" x14ac:dyDescent="0.25"/>
    <row r="128245" s="12" customFormat="1" x14ac:dyDescent="0.25"/>
    <row r="128246" s="12" customFormat="1" x14ac:dyDescent="0.25"/>
    <row r="128247" s="12" customFormat="1" x14ac:dyDescent="0.25"/>
    <row r="128248" s="12" customFormat="1" x14ac:dyDescent="0.25"/>
    <row r="128249" s="12" customFormat="1" x14ac:dyDescent="0.25"/>
    <row r="128250" s="12" customFormat="1" x14ac:dyDescent="0.25"/>
    <row r="128251" s="12" customFormat="1" x14ac:dyDescent="0.25"/>
    <row r="128252" s="12" customFormat="1" x14ac:dyDescent="0.25"/>
    <row r="128253" s="12" customFormat="1" x14ac:dyDescent="0.25"/>
    <row r="128254" s="12" customFormat="1" x14ac:dyDescent="0.25"/>
    <row r="128255" s="12" customFormat="1" x14ac:dyDescent="0.25"/>
    <row r="128256" s="12" customFormat="1" x14ac:dyDescent="0.25"/>
    <row r="128257" s="12" customFormat="1" x14ac:dyDescent="0.25"/>
    <row r="128258" s="12" customFormat="1" x14ac:dyDescent="0.25"/>
    <row r="128259" s="12" customFormat="1" x14ac:dyDescent="0.25"/>
    <row r="128260" s="12" customFormat="1" x14ac:dyDescent="0.25"/>
    <row r="128261" s="12" customFormat="1" x14ac:dyDescent="0.25"/>
    <row r="128262" s="12" customFormat="1" x14ac:dyDescent="0.25"/>
    <row r="128263" s="12" customFormat="1" x14ac:dyDescent="0.25"/>
    <row r="128264" s="12" customFormat="1" x14ac:dyDescent="0.25"/>
    <row r="128265" s="12" customFormat="1" x14ac:dyDescent="0.25"/>
    <row r="128266" s="12" customFormat="1" x14ac:dyDescent="0.25"/>
    <row r="128267" s="12" customFormat="1" x14ac:dyDescent="0.25"/>
    <row r="128268" s="12" customFormat="1" x14ac:dyDescent="0.25"/>
    <row r="128269" s="12" customFormat="1" x14ac:dyDescent="0.25"/>
    <row r="128270" s="12" customFormat="1" x14ac:dyDescent="0.25"/>
    <row r="128271" s="12" customFormat="1" x14ac:dyDescent="0.25"/>
    <row r="128272" s="12" customFormat="1" x14ac:dyDescent="0.25"/>
    <row r="128273" s="12" customFormat="1" x14ac:dyDescent="0.25"/>
    <row r="128274" s="12" customFormat="1" x14ac:dyDescent="0.25"/>
    <row r="128275" s="12" customFormat="1" x14ac:dyDescent="0.25"/>
    <row r="128276" s="12" customFormat="1" x14ac:dyDescent="0.25"/>
    <row r="128277" s="12" customFormat="1" x14ac:dyDescent="0.25"/>
    <row r="128278" s="12" customFormat="1" x14ac:dyDescent="0.25"/>
    <row r="128279" s="12" customFormat="1" x14ac:dyDescent="0.25"/>
    <row r="128280" s="12" customFormat="1" x14ac:dyDescent="0.25"/>
    <row r="128281" s="12" customFormat="1" x14ac:dyDescent="0.25"/>
    <row r="128282" s="12" customFormat="1" x14ac:dyDescent="0.25"/>
    <row r="128283" s="12" customFormat="1" x14ac:dyDescent="0.25"/>
    <row r="128284" s="12" customFormat="1" x14ac:dyDescent="0.25"/>
    <row r="128285" s="12" customFormat="1" x14ac:dyDescent="0.25"/>
    <row r="128286" s="12" customFormat="1" x14ac:dyDescent="0.25"/>
    <row r="128287" s="12" customFormat="1" x14ac:dyDescent="0.25"/>
    <row r="128288" s="12" customFormat="1" x14ac:dyDescent="0.25"/>
    <row r="128289" s="12" customFormat="1" x14ac:dyDescent="0.25"/>
    <row r="128290" s="12" customFormat="1" x14ac:dyDescent="0.25"/>
    <row r="128291" s="12" customFormat="1" x14ac:dyDescent="0.25"/>
    <row r="128292" s="12" customFormat="1" x14ac:dyDescent="0.25"/>
    <row r="128293" s="12" customFormat="1" x14ac:dyDescent="0.25"/>
    <row r="128294" s="12" customFormat="1" x14ac:dyDescent="0.25"/>
    <row r="128295" s="12" customFormat="1" x14ac:dyDescent="0.25"/>
    <row r="128296" s="12" customFormat="1" x14ac:dyDescent="0.25"/>
    <row r="128297" s="12" customFormat="1" x14ac:dyDescent="0.25"/>
    <row r="128298" s="12" customFormat="1" x14ac:dyDescent="0.25"/>
    <row r="128299" s="12" customFormat="1" x14ac:dyDescent="0.25"/>
    <row r="128300" s="12" customFormat="1" x14ac:dyDescent="0.25"/>
    <row r="128301" s="12" customFormat="1" x14ac:dyDescent="0.25"/>
    <row r="128302" s="12" customFormat="1" x14ac:dyDescent="0.25"/>
    <row r="128303" s="12" customFormat="1" x14ac:dyDescent="0.25"/>
    <row r="128304" s="12" customFormat="1" x14ac:dyDescent="0.25"/>
    <row r="128305" s="12" customFormat="1" x14ac:dyDescent="0.25"/>
    <row r="128306" s="12" customFormat="1" x14ac:dyDescent="0.25"/>
    <row r="128307" s="12" customFormat="1" x14ac:dyDescent="0.25"/>
    <row r="128308" s="12" customFormat="1" x14ac:dyDescent="0.25"/>
    <row r="128309" s="12" customFormat="1" x14ac:dyDescent="0.25"/>
    <row r="128310" s="12" customFormat="1" x14ac:dyDescent="0.25"/>
    <row r="128311" s="12" customFormat="1" x14ac:dyDescent="0.25"/>
    <row r="128312" s="12" customFormat="1" x14ac:dyDescent="0.25"/>
    <row r="128313" s="12" customFormat="1" x14ac:dyDescent="0.25"/>
    <row r="128314" s="12" customFormat="1" x14ac:dyDescent="0.25"/>
    <row r="128315" s="12" customFormat="1" x14ac:dyDescent="0.25"/>
    <row r="128316" s="12" customFormat="1" x14ac:dyDescent="0.25"/>
    <row r="128317" s="12" customFormat="1" x14ac:dyDescent="0.25"/>
    <row r="128318" s="12" customFormat="1" x14ac:dyDescent="0.25"/>
    <row r="128319" s="12" customFormat="1" x14ac:dyDescent="0.25"/>
    <row r="128320" s="12" customFormat="1" x14ac:dyDescent="0.25"/>
    <row r="128321" s="12" customFormat="1" x14ac:dyDescent="0.25"/>
    <row r="128322" s="12" customFormat="1" x14ac:dyDescent="0.25"/>
    <row r="128323" s="12" customFormat="1" x14ac:dyDescent="0.25"/>
    <row r="128324" s="12" customFormat="1" x14ac:dyDescent="0.25"/>
    <row r="128325" s="12" customFormat="1" x14ac:dyDescent="0.25"/>
    <row r="128326" s="12" customFormat="1" x14ac:dyDescent="0.25"/>
    <row r="128327" s="12" customFormat="1" x14ac:dyDescent="0.25"/>
    <row r="128328" s="12" customFormat="1" x14ac:dyDescent="0.25"/>
    <row r="128329" s="12" customFormat="1" x14ac:dyDescent="0.25"/>
    <row r="128330" s="12" customFormat="1" x14ac:dyDescent="0.25"/>
    <row r="128331" s="12" customFormat="1" x14ac:dyDescent="0.25"/>
    <row r="128332" s="12" customFormat="1" x14ac:dyDescent="0.25"/>
    <row r="128333" s="12" customFormat="1" x14ac:dyDescent="0.25"/>
    <row r="128334" s="12" customFormat="1" x14ac:dyDescent="0.25"/>
    <row r="128335" s="12" customFormat="1" x14ac:dyDescent="0.25"/>
    <row r="128336" s="12" customFormat="1" x14ac:dyDescent="0.25"/>
    <row r="128337" s="12" customFormat="1" x14ac:dyDescent="0.25"/>
    <row r="128338" s="12" customFormat="1" x14ac:dyDescent="0.25"/>
    <row r="128339" s="12" customFormat="1" x14ac:dyDescent="0.25"/>
    <row r="128340" s="12" customFormat="1" x14ac:dyDescent="0.25"/>
    <row r="128341" s="12" customFormat="1" x14ac:dyDescent="0.25"/>
    <row r="128342" s="12" customFormat="1" x14ac:dyDescent="0.25"/>
    <row r="128343" s="12" customFormat="1" x14ac:dyDescent="0.25"/>
    <row r="128344" s="12" customFormat="1" x14ac:dyDescent="0.25"/>
    <row r="128345" s="12" customFormat="1" x14ac:dyDescent="0.25"/>
    <row r="128346" s="12" customFormat="1" x14ac:dyDescent="0.25"/>
    <row r="128347" s="12" customFormat="1" x14ac:dyDescent="0.25"/>
    <row r="128348" s="12" customFormat="1" x14ac:dyDescent="0.25"/>
    <row r="128349" s="12" customFormat="1" x14ac:dyDescent="0.25"/>
    <row r="128350" s="12" customFormat="1" x14ac:dyDescent="0.25"/>
    <row r="128351" s="12" customFormat="1" x14ac:dyDescent="0.25"/>
    <row r="128352" s="12" customFormat="1" x14ac:dyDescent="0.25"/>
    <row r="128353" s="12" customFormat="1" x14ac:dyDescent="0.25"/>
    <row r="128354" s="12" customFormat="1" x14ac:dyDescent="0.25"/>
    <row r="128355" s="12" customFormat="1" x14ac:dyDescent="0.25"/>
    <row r="128356" s="12" customFormat="1" x14ac:dyDescent="0.25"/>
    <row r="128357" s="12" customFormat="1" x14ac:dyDescent="0.25"/>
    <row r="128358" s="12" customFormat="1" x14ac:dyDescent="0.25"/>
    <row r="128359" s="12" customFormat="1" x14ac:dyDescent="0.25"/>
    <row r="128360" s="12" customFormat="1" x14ac:dyDescent="0.25"/>
    <row r="128361" s="12" customFormat="1" x14ac:dyDescent="0.25"/>
    <row r="128362" s="12" customFormat="1" x14ac:dyDescent="0.25"/>
    <row r="128363" s="12" customFormat="1" x14ac:dyDescent="0.25"/>
    <row r="128364" s="12" customFormat="1" x14ac:dyDescent="0.25"/>
    <row r="128365" s="12" customFormat="1" x14ac:dyDescent="0.25"/>
    <row r="128366" s="12" customFormat="1" x14ac:dyDescent="0.25"/>
    <row r="128367" s="12" customFormat="1" x14ac:dyDescent="0.25"/>
    <row r="128368" s="12" customFormat="1" x14ac:dyDescent="0.25"/>
    <row r="128369" s="12" customFormat="1" x14ac:dyDescent="0.25"/>
    <row r="128370" s="12" customFormat="1" x14ac:dyDescent="0.25"/>
    <row r="128371" s="12" customFormat="1" x14ac:dyDescent="0.25"/>
    <row r="128372" s="12" customFormat="1" x14ac:dyDescent="0.25"/>
    <row r="128373" s="12" customFormat="1" x14ac:dyDescent="0.25"/>
    <row r="128374" s="12" customFormat="1" x14ac:dyDescent="0.25"/>
    <row r="128375" s="12" customFormat="1" x14ac:dyDescent="0.25"/>
    <row r="128376" s="12" customFormat="1" x14ac:dyDescent="0.25"/>
    <row r="128377" s="12" customFormat="1" x14ac:dyDescent="0.25"/>
    <row r="128378" s="12" customFormat="1" x14ac:dyDescent="0.25"/>
    <row r="128379" s="12" customFormat="1" x14ac:dyDescent="0.25"/>
    <row r="128380" s="12" customFormat="1" x14ac:dyDescent="0.25"/>
    <row r="128381" s="12" customFormat="1" x14ac:dyDescent="0.25"/>
    <row r="128382" s="12" customFormat="1" x14ac:dyDescent="0.25"/>
    <row r="128383" s="12" customFormat="1" x14ac:dyDescent="0.25"/>
    <row r="128384" s="12" customFormat="1" x14ac:dyDescent="0.25"/>
    <row r="128385" s="12" customFormat="1" x14ac:dyDescent="0.25"/>
    <row r="128386" s="12" customFormat="1" x14ac:dyDescent="0.25"/>
    <row r="128387" s="12" customFormat="1" x14ac:dyDescent="0.25"/>
    <row r="128388" s="12" customFormat="1" x14ac:dyDescent="0.25"/>
    <row r="128389" s="12" customFormat="1" x14ac:dyDescent="0.25"/>
    <row r="128390" s="12" customFormat="1" x14ac:dyDescent="0.25"/>
    <row r="128391" s="12" customFormat="1" x14ac:dyDescent="0.25"/>
    <row r="128392" s="12" customFormat="1" x14ac:dyDescent="0.25"/>
    <row r="128393" s="12" customFormat="1" x14ac:dyDescent="0.25"/>
    <row r="128394" s="12" customFormat="1" x14ac:dyDescent="0.25"/>
    <row r="128395" s="12" customFormat="1" x14ac:dyDescent="0.25"/>
    <row r="128396" s="12" customFormat="1" x14ac:dyDescent="0.25"/>
    <row r="128397" s="12" customFormat="1" x14ac:dyDescent="0.25"/>
    <row r="128398" s="12" customFormat="1" x14ac:dyDescent="0.25"/>
    <row r="128399" s="12" customFormat="1" x14ac:dyDescent="0.25"/>
    <row r="128400" s="12" customFormat="1" x14ac:dyDescent="0.25"/>
    <row r="128401" s="12" customFormat="1" x14ac:dyDescent="0.25"/>
    <row r="128402" s="12" customFormat="1" x14ac:dyDescent="0.25"/>
    <row r="128403" s="12" customFormat="1" x14ac:dyDescent="0.25"/>
    <row r="128404" s="12" customFormat="1" x14ac:dyDescent="0.25"/>
    <row r="128405" s="12" customFormat="1" x14ac:dyDescent="0.25"/>
    <row r="128406" s="12" customFormat="1" x14ac:dyDescent="0.25"/>
    <row r="128407" s="12" customFormat="1" x14ac:dyDescent="0.25"/>
    <row r="128408" s="12" customFormat="1" x14ac:dyDescent="0.25"/>
    <row r="128409" s="12" customFormat="1" x14ac:dyDescent="0.25"/>
    <row r="128410" s="12" customFormat="1" x14ac:dyDescent="0.25"/>
    <row r="128411" s="12" customFormat="1" x14ac:dyDescent="0.25"/>
    <row r="128412" s="12" customFormat="1" x14ac:dyDescent="0.25"/>
    <row r="128413" s="12" customFormat="1" x14ac:dyDescent="0.25"/>
    <row r="128414" s="12" customFormat="1" x14ac:dyDescent="0.25"/>
    <row r="128415" s="12" customFormat="1" x14ac:dyDescent="0.25"/>
    <row r="128416" s="12" customFormat="1" x14ac:dyDescent="0.25"/>
    <row r="128417" s="12" customFormat="1" x14ac:dyDescent="0.25"/>
    <row r="128418" s="12" customFormat="1" x14ac:dyDescent="0.25"/>
    <row r="128419" s="12" customFormat="1" x14ac:dyDescent="0.25"/>
    <row r="128420" s="12" customFormat="1" x14ac:dyDescent="0.25"/>
    <row r="128421" s="12" customFormat="1" x14ac:dyDescent="0.25"/>
    <row r="128422" s="12" customFormat="1" x14ac:dyDescent="0.25"/>
    <row r="128423" s="12" customFormat="1" x14ac:dyDescent="0.25"/>
    <row r="128424" s="12" customFormat="1" x14ac:dyDescent="0.25"/>
    <row r="128425" s="12" customFormat="1" x14ac:dyDescent="0.25"/>
    <row r="128426" s="12" customFormat="1" x14ac:dyDescent="0.25"/>
    <row r="128427" s="12" customFormat="1" x14ac:dyDescent="0.25"/>
    <row r="128428" s="12" customFormat="1" x14ac:dyDescent="0.25"/>
    <row r="128429" s="12" customFormat="1" x14ac:dyDescent="0.25"/>
    <row r="128430" s="12" customFormat="1" x14ac:dyDescent="0.25"/>
    <row r="128431" s="12" customFormat="1" x14ac:dyDescent="0.25"/>
    <row r="128432" s="12" customFormat="1" x14ac:dyDescent="0.25"/>
    <row r="128433" s="12" customFormat="1" x14ac:dyDescent="0.25"/>
    <row r="128434" s="12" customFormat="1" x14ac:dyDescent="0.25"/>
    <row r="128435" s="12" customFormat="1" x14ac:dyDescent="0.25"/>
    <row r="128436" s="12" customFormat="1" x14ac:dyDescent="0.25"/>
    <row r="128437" s="12" customFormat="1" x14ac:dyDescent="0.25"/>
    <row r="128438" s="12" customFormat="1" x14ac:dyDescent="0.25"/>
    <row r="128439" s="12" customFormat="1" x14ac:dyDescent="0.25"/>
    <row r="128440" s="12" customFormat="1" x14ac:dyDescent="0.25"/>
    <row r="128441" s="12" customFormat="1" x14ac:dyDescent="0.25"/>
    <row r="128442" s="12" customFormat="1" x14ac:dyDescent="0.25"/>
    <row r="128443" s="12" customFormat="1" x14ac:dyDescent="0.25"/>
    <row r="128444" s="12" customFormat="1" x14ac:dyDescent="0.25"/>
    <row r="128445" s="12" customFormat="1" x14ac:dyDescent="0.25"/>
    <row r="128446" s="12" customFormat="1" x14ac:dyDescent="0.25"/>
    <row r="128447" s="12" customFormat="1" x14ac:dyDescent="0.25"/>
    <row r="128448" s="12" customFormat="1" x14ac:dyDescent="0.25"/>
    <row r="128449" s="12" customFormat="1" x14ac:dyDescent="0.25"/>
    <row r="128450" s="12" customFormat="1" x14ac:dyDescent="0.25"/>
    <row r="128451" s="12" customFormat="1" x14ac:dyDescent="0.25"/>
    <row r="128452" s="12" customFormat="1" x14ac:dyDescent="0.25"/>
    <row r="128453" s="12" customFormat="1" x14ac:dyDescent="0.25"/>
    <row r="128454" s="12" customFormat="1" x14ac:dyDescent="0.25"/>
    <row r="128455" s="12" customFormat="1" x14ac:dyDescent="0.25"/>
    <row r="128456" s="12" customFormat="1" x14ac:dyDescent="0.25"/>
    <row r="128457" s="12" customFormat="1" x14ac:dyDescent="0.25"/>
    <row r="128458" s="12" customFormat="1" x14ac:dyDescent="0.25"/>
    <row r="128459" s="12" customFormat="1" x14ac:dyDescent="0.25"/>
    <row r="128460" s="12" customFormat="1" x14ac:dyDescent="0.25"/>
    <row r="128461" s="12" customFormat="1" x14ac:dyDescent="0.25"/>
    <row r="128462" s="12" customFormat="1" x14ac:dyDescent="0.25"/>
    <row r="128463" s="12" customFormat="1" x14ac:dyDescent="0.25"/>
    <row r="128464" s="12" customFormat="1" x14ac:dyDescent="0.25"/>
    <row r="128465" s="12" customFormat="1" x14ac:dyDescent="0.25"/>
    <row r="128466" s="12" customFormat="1" x14ac:dyDescent="0.25"/>
    <row r="128467" s="12" customFormat="1" x14ac:dyDescent="0.25"/>
    <row r="128468" s="12" customFormat="1" x14ac:dyDescent="0.25"/>
    <row r="128469" s="12" customFormat="1" x14ac:dyDescent="0.25"/>
    <row r="128470" s="12" customFormat="1" x14ac:dyDescent="0.25"/>
    <row r="128471" s="12" customFormat="1" x14ac:dyDescent="0.25"/>
    <row r="128472" s="12" customFormat="1" x14ac:dyDescent="0.25"/>
    <row r="128473" s="12" customFormat="1" x14ac:dyDescent="0.25"/>
    <row r="128474" s="12" customFormat="1" x14ac:dyDescent="0.25"/>
    <row r="128475" s="12" customFormat="1" x14ac:dyDescent="0.25"/>
    <row r="128476" s="12" customFormat="1" x14ac:dyDescent="0.25"/>
    <row r="128477" s="12" customFormat="1" x14ac:dyDescent="0.25"/>
    <row r="128478" s="12" customFormat="1" x14ac:dyDescent="0.25"/>
    <row r="128479" s="12" customFormat="1" x14ac:dyDescent="0.25"/>
    <row r="128480" s="12" customFormat="1" x14ac:dyDescent="0.25"/>
    <row r="128481" s="12" customFormat="1" x14ac:dyDescent="0.25"/>
    <row r="128482" s="12" customFormat="1" x14ac:dyDescent="0.25"/>
    <row r="128483" s="12" customFormat="1" x14ac:dyDescent="0.25"/>
    <row r="128484" s="12" customFormat="1" x14ac:dyDescent="0.25"/>
    <row r="128485" s="12" customFormat="1" x14ac:dyDescent="0.25"/>
    <row r="128486" s="12" customFormat="1" x14ac:dyDescent="0.25"/>
    <row r="128487" s="12" customFormat="1" x14ac:dyDescent="0.25"/>
    <row r="128488" s="12" customFormat="1" x14ac:dyDescent="0.25"/>
    <row r="128489" s="12" customFormat="1" x14ac:dyDescent="0.25"/>
    <row r="128490" s="12" customFormat="1" x14ac:dyDescent="0.25"/>
    <row r="128491" s="12" customFormat="1" x14ac:dyDescent="0.25"/>
    <row r="128492" s="12" customFormat="1" x14ac:dyDescent="0.25"/>
    <row r="128493" s="12" customFormat="1" x14ac:dyDescent="0.25"/>
    <row r="128494" s="12" customFormat="1" x14ac:dyDescent="0.25"/>
    <row r="128495" s="12" customFormat="1" x14ac:dyDescent="0.25"/>
    <row r="128496" s="12" customFormat="1" x14ac:dyDescent="0.25"/>
    <row r="128497" s="12" customFormat="1" x14ac:dyDescent="0.25"/>
    <row r="128498" s="12" customFormat="1" x14ac:dyDescent="0.25"/>
    <row r="128499" s="12" customFormat="1" x14ac:dyDescent="0.25"/>
    <row r="128500" s="12" customFormat="1" x14ac:dyDescent="0.25"/>
    <row r="128501" s="12" customFormat="1" x14ac:dyDescent="0.25"/>
    <row r="128502" s="12" customFormat="1" x14ac:dyDescent="0.25"/>
    <row r="128503" s="12" customFormat="1" x14ac:dyDescent="0.25"/>
    <row r="128504" s="12" customFormat="1" x14ac:dyDescent="0.25"/>
    <row r="128505" s="12" customFormat="1" x14ac:dyDescent="0.25"/>
    <row r="128506" s="12" customFormat="1" x14ac:dyDescent="0.25"/>
    <row r="128507" s="12" customFormat="1" x14ac:dyDescent="0.25"/>
    <row r="128508" s="12" customFormat="1" x14ac:dyDescent="0.25"/>
    <row r="128509" s="12" customFormat="1" x14ac:dyDescent="0.25"/>
    <row r="128510" s="12" customFormat="1" x14ac:dyDescent="0.25"/>
    <row r="128511" s="12" customFormat="1" x14ac:dyDescent="0.25"/>
    <row r="128512" s="12" customFormat="1" x14ac:dyDescent="0.25"/>
    <row r="128513" s="12" customFormat="1" x14ac:dyDescent="0.25"/>
    <row r="128514" s="12" customFormat="1" x14ac:dyDescent="0.25"/>
    <row r="128515" s="12" customFormat="1" x14ac:dyDescent="0.25"/>
    <row r="128516" s="12" customFormat="1" x14ac:dyDescent="0.25"/>
    <row r="128517" s="12" customFormat="1" x14ac:dyDescent="0.25"/>
    <row r="128518" s="12" customFormat="1" x14ac:dyDescent="0.25"/>
    <row r="128519" s="12" customFormat="1" x14ac:dyDescent="0.25"/>
    <row r="128520" s="12" customFormat="1" x14ac:dyDescent="0.25"/>
    <row r="128521" s="12" customFormat="1" x14ac:dyDescent="0.25"/>
    <row r="128522" s="12" customFormat="1" x14ac:dyDescent="0.25"/>
    <row r="128523" s="12" customFormat="1" x14ac:dyDescent="0.25"/>
    <row r="128524" s="12" customFormat="1" x14ac:dyDescent="0.25"/>
    <row r="128525" s="12" customFormat="1" x14ac:dyDescent="0.25"/>
    <row r="128526" s="12" customFormat="1" x14ac:dyDescent="0.25"/>
    <row r="128527" s="12" customFormat="1" x14ac:dyDescent="0.25"/>
    <row r="128528" s="12" customFormat="1" x14ac:dyDescent="0.25"/>
    <row r="128529" s="12" customFormat="1" x14ac:dyDescent="0.25"/>
    <row r="128530" s="12" customFormat="1" x14ac:dyDescent="0.25"/>
    <row r="128531" s="12" customFormat="1" x14ac:dyDescent="0.25"/>
    <row r="128532" s="12" customFormat="1" x14ac:dyDescent="0.25"/>
    <row r="128533" s="12" customFormat="1" x14ac:dyDescent="0.25"/>
    <row r="128534" s="12" customFormat="1" x14ac:dyDescent="0.25"/>
    <row r="128535" s="12" customFormat="1" x14ac:dyDescent="0.25"/>
    <row r="128536" s="12" customFormat="1" x14ac:dyDescent="0.25"/>
    <row r="128537" s="12" customFormat="1" x14ac:dyDescent="0.25"/>
    <row r="128538" s="12" customFormat="1" x14ac:dyDescent="0.25"/>
    <row r="128539" s="12" customFormat="1" x14ac:dyDescent="0.25"/>
    <row r="128540" s="12" customFormat="1" x14ac:dyDescent="0.25"/>
    <row r="128541" s="12" customFormat="1" x14ac:dyDescent="0.25"/>
    <row r="128542" s="12" customFormat="1" x14ac:dyDescent="0.25"/>
    <row r="128543" s="12" customFormat="1" x14ac:dyDescent="0.25"/>
    <row r="128544" s="12" customFormat="1" x14ac:dyDescent="0.25"/>
    <row r="128545" s="12" customFormat="1" x14ac:dyDescent="0.25"/>
    <row r="128546" s="12" customFormat="1" x14ac:dyDescent="0.25"/>
    <row r="128547" s="12" customFormat="1" x14ac:dyDescent="0.25"/>
    <row r="128548" s="12" customFormat="1" x14ac:dyDescent="0.25"/>
    <row r="128549" s="12" customFormat="1" x14ac:dyDescent="0.25"/>
    <row r="128550" s="12" customFormat="1" x14ac:dyDescent="0.25"/>
    <row r="128551" s="12" customFormat="1" x14ac:dyDescent="0.25"/>
    <row r="128552" s="12" customFormat="1" x14ac:dyDescent="0.25"/>
    <row r="128553" s="12" customFormat="1" x14ac:dyDescent="0.25"/>
    <row r="128554" s="12" customFormat="1" x14ac:dyDescent="0.25"/>
    <row r="128555" s="12" customFormat="1" x14ac:dyDescent="0.25"/>
    <row r="128556" s="12" customFormat="1" x14ac:dyDescent="0.25"/>
    <row r="128557" s="12" customFormat="1" x14ac:dyDescent="0.25"/>
    <row r="128558" s="12" customFormat="1" x14ac:dyDescent="0.25"/>
    <row r="128559" s="12" customFormat="1" x14ac:dyDescent="0.25"/>
    <row r="128560" s="12" customFormat="1" x14ac:dyDescent="0.25"/>
    <row r="128561" s="12" customFormat="1" x14ac:dyDescent="0.25"/>
    <row r="128562" s="12" customFormat="1" x14ac:dyDescent="0.25"/>
    <row r="128563" s="12" customFormat="1" x14ac:dyDescent="0.25"/>
    <row r="128564" s="12" customFormat="1" x14ac:dyDescent="0.25"/>
    <row r="128565" s="12" customFormat="1" x14ac:dyDescent="0.25"/>
    <row r="128566" s="12" customFormat="1" x14ac:dyDescent="0.25"/>
    <row r="128567" s="12" customFormat="1" x14ac:dyDescent="0.25"/>
    <row r="128568" s="12" customFormat="1" x14ac:dyDescent="0.25"/>
    <row r="128569" s="12" customFormat="1" x14ac:dyDescent="0.25"/>
    <row r="128570" s="12" customFormat="1" x14ac:dyDescent="0.25"/>
    <row r="128571" s="12" customFormat="1" x14ac:dyDescent="0.25"/>
    <row r="128572" s="12" customFormat="1" x14ac:dyDescent="0.25"/>
    <row r="128573" s="12" customFormat="1" x14ac:dyDescent="0.25"/>
    <row r="128574" s="12" customFormat="1" x14ac:dyDescent="0.25"/>
    <row r="128575" s="12" customFormat="1" x14ac:dyDescent="0.25"/>
    <row r="128576" s="12" customFormat="1" x14ac:dyDescent="0.25"/>
    <row r="128577" s="12" customFormat="1" x14ac:dyDescent="0.25"/>
    <row r="128578" s="12" customFormat="1" x14ac:dyDescent="0.25"/>
    <row r="128579" s="12" customFormat="1" x14ac:dyDescent="0.25"/>
    <row r="128580" s="12" customFormat="1" x14ac:dyDescent="0.25"/>
    <row r="128581" s="12" customFormat="1" x14ac:dyDescent="0.25"/>
    <row r="128582" s="12" customFormat="1" x14ac:dyDescent="0.25"/>
    <row r="128583" s="12" customFormat="1" x14ac:dyDescent="0.25"/>
    <row r="128584" s="12" customFormat="1" x14ac:dyDescent="0.25"/>
    <row r="128585" s="12" customFormat="1" x14ac:dyDescent="0.25"/>
    <row r="128586" s="12" customFormat="1" x14ac:dyDescent="0.25"/>
    <row r="128587" s="12" customFormat="1" x14ac:dyDescent="0.25"/>
    <row r="128588" s="12" customFormat="1" x14ac:dyDescent="0.25"/>
    <row r="128589" s="12" customFormat="1" x14ac:dyDescent="0.25"/>
    <row r="128590" s="12" customFormat="1" x14ac:dyDescent="0.25"/>
    <row r="128591" s="12" customFormat="1" x14ac:dyDescent="0.25"/>
    <row r="128592" s="12" customFormat="1" x14ac:dyDescent="0.25"/>
    <row r="128593" s="12" customFormat="1" x14ac:dyDescent="0.25"/>
    <row r="128594" s="12" customFormat="1" x14ac:dyDescent="0.25"/>
    <row r="128595" s="12" customFormat="1" x14ac:dyDescent="0.25"/>
    <row r="128596" s="12" customFormat="1" x14ac:dyDescent="0.25"/>
    <row r="128597" s="12" customFormat="1" x14ac:dyDescent="0.25"/>
    <row r="128598" s="12" customFormat="1" x14ac:dyDescent="0.25"/>
    <row r="128599" s="12" customFormat="1" x14ac:dyDescent="0.25"/>
    <row r="128600" s="12" customFormat="1" x14ac:dyDescent="0.25"/>
    <row r="128601" s="12" customFormat="1" x14ac:dyDescent="0.25"/>
    <row r="128602" s="12" customFormat="1" x14ac:dyDescent="0.25"/>
    <row r="128603" s="12" customFormat="1" x14ac:dyDescent="0.25"/>
    <row r="128604" s="12" customFormat="1" x14ac:dyDescent="0.25"/>
    <row r="128605" s="12" customFormat="1" x14ac:dyDescent="0.25"/>
    <row r="128606" s="12" customFormat="1" x14ac:dyDescent="0.25"/>
    <row r="128607" s="12" customFormat="1" x14ac:dyDescent="0.25"/>
    <row r="128608" s="12" customFormat="1" x14ac:dyDescent="0.25"/>
    <row r="128609" s="12" customFormat="1" x14ac:dyDescent="0.25"/>
    <row r="128610" s="12" customFormat="1" x14ac:dyDescent="0.25"/>
    <row r="128611" s="12" customFormat="1" x14ac:dyDescent="0.25"/>
    <row r="128612" s="12" customFormat="1" x14ac:dyDescent="0.25"/>
    <row r="128613" s="12" customFormat="1" x14ac:dyDescent="0.25"/>
    <row r="128614" s="12" customFormat="1" x14ac:dyDescent="0.25"/>
    <row r="128615" s="12" customFormat="1" x14ac:dyDescent="0.25"/>
    <row r="128616" s="12" customFormat="1" x14ac:dyDescent="0.25"/>
    <row r="128617" s="12" customFormat="1" x14ac:dyDescent="0.25"/>
    <row r="128618" s="12" customFormat="1" x14ac:dyDescent="0.25"/>
    <row r="128619" s="12" customFormat="1" x14ac:dyDescent="0.25"/>
    <row r="128620" s="12" customFormat="1" x14ac:dyDescent="0.25"/>
    <row r="128621" s="12" customFormat="1" x14ac:dyDescent="0.25"/>
    <row r="128622" s="12" customFormat="1" x14ac:dyDescent="0.25"/>
    <row r="128623" s="12" customFormat="1" x14ac:dyDescent="0.25"/>
    <row r="128624" s="12" customFormat="1" x14ac:dyDescent="0.25"/>
    <row r="128625" s="12" customFormat="1" x14ac:dyDescent="0.25"/>
    <row r="128626" s="12" customFormat="1" x14ac:dyDescent="0.25"/>
    <row r="128627" s="12" customFormat="1" x14ac:dyDescent="0.25"/>
    <row r="128628" s="12" customFormat="1" x14ac:dyDescent="0.25"/>
    <row r="128629" s="12" customFormat="1" x14ac:dyDescent="0.25"/>
    <row r="128630" s="12" customFormat="1" x14ac:dyDescent="0.25"/>
    <row r="128631" s="12" customFormat="1" x14ac:dyDescent="0.25"/>
    <row r="128632" s="12" customFormat="1" x14ac:dyDescent="0.25"/>
    <row r="128633" s="12" customFormat="1" x14ac:dyDescent="0.25"/>
    <row r="128634" s="12" customFormat="1" x14ac:dyDescent="0.25"/>
    <row r="128635" s="12" customFormat="1" x14ac:dyDescent="0.25"/>
    <row r="128636" s="12" customFormat="1" x14ac:dyDescent="0.25"/>
    <row r="128637" s="12" customFormat="1" x14ac:dyDescent="0.25"/>
    <row r="128638" s="12" customFormat="1" x14ac:dyDescent="0.25"/>
    <row r="128639" s="12" customFormat="1" x14ac:dyDescent="0.25"/>
    <row r="128640" s="12" customFormat="1" x14ac:dyDescent="0.25"/>
    <row r="128641" s="12" customFormat="1" x14ac:dyDescent="0.25"/>
    <row r="128642" s="12" customFormat="1" x14ac:dyDescent="0.25"/>
    <row r="128643" s="12" customFormat="1" x14ac:dyDescent="0.25"/>
    <row r="128644" s="12" customFormat="1" x14ac:dyDescent="0.25"/>
    <row r="128645" s="12" customFormat="1" x14ac:dyDescent="0.25"/>
    <row r="128646" s="12" customFormat="1" x14ac:dyDescent="0.25"/>
    <row r="128647" s="12" customFormat="1" x14ac:dyDescent="0.25"/>
    <row r="128648" s="12" customFormat="1" x14ac:dyDescent="0.25"/>
    <row r="128649" s="12" customFormat="1" x14ac:dyDescent="0.25"/>
    <row r="128650" s="12" customFormat="1" x14ac:dyDescent="0.25"/>
    <row r="128651" s="12" customFormat="1" x14ac:dyDescent="0.25"/>
    <row r="128652" s="12" customFormat="1" x14ac:dyDescent="0.25"/>
    <row r="128653" s="12" customFormat="1" x14ac:dyDescent="0.25"/>
    <row r="128654" s="12" customFormat="1" x14ac:dyDescent="0.25"/>
    <row r="128655" s="12" customFormat="1" x14ac:dyDescent="0.25"/>
    <row r="128656" s="12" customFormat="1" x14ac:dyDescent="0.25"/>
    <row r="128657" s="12" customFormat="1" x14ac:dyDescent="0.25"/>
    <row r="128658" s="12" customFormat="1" x14ac:dyDescent="0.25"/>
    <row r="128659" s="12" customFormat="1" x14ac:dyDescent="0.25"/>
    <row r="128660" s="12" customFormat="1" x14ac:dyDescent="0.25"/>
    <row r="128661" s="12" customFormat="1" x14ac:dyDescent="0.25"/>
    <row r="128662" s="12" customFormat="1" x14ac:dyDescent="0.25"/>
    <row r="128663" s="12" customFormat="1" x14ac:dyDescent="0.25"/>
    <row r="128664" s="12" customFormat="1" x14ac:dyDescent="0.25"/>
    <row r="128665" s="12" customFormat="1" x14ac:dyDescent="0.25"/>
    <row r="128666" s="12" customFormat="1" x14ac:dyDescent="0.25"/>
    <row r="128667" s="12" customFormat="1" x14ac:dyDescent="0.25"/>
    <row r="128668" s="12" customFormat="1" x14ac:dyDescent="0.25"/>
    <row r="128669" s="12" customFormat="1" x14ac:dyDescent="0.25"/>
    <row r="128670" s="12" customFormat="1" x14ac:dyDescent="0.25"/>
    <row r="128671" s="12" customFormat="1" x14ac:dyDescent="0.25"/>
    <row r="128672" s="12" customFormat="1" x14ac:dyDescent="0.25"/>
    <row r="128673" s="12" customFormat="1" x14ac:dyDescent="0.25"/>
    <row r="128674" s="12" customFormat="1" x14ac:dyDescent="0.25"/>
    <row r="128675" s="12" customFormat="1" x14ac:dyDescent="0.25"/>
    <row r="128676" s="12" customFormat="1" x14ac:dyDescent="0.25"/>
    <row r="128677" s="12" customFormat="1" x14ac:dyDescent="0.25"/>
    <row r="128678" s="12" customFormat="1" x14ac:dyDescent="0.25"/>
    <row r="128679" s="12" customFormat="1" x14ac:dyDescent="0.25"/>
    <row r="128680" s="12" customFormat="1" x14ac:dyDescent="0.25"/>
    <row r="128681" s="12" customFormat="1" x14ac:dyDescent="0.25"/>
    <row r="128682" s="12" customFormat="1" x14ac:dyDescent="0.25"/>
    <row r="128683" s="12" customFormat="1" x14ac:dyDescent="0.25"/>
    <row r="128684" s="12" customFormat="1" x14ac:dyDescent="0.25"/>
    <row r="128685" s="12" customFormat="1" x14ac:dyDescent="0.25"/>
    <row r="128686" s="12" customFormat="1" x14ac:dyDescent="0.25"/>
    <row r="128687" s="12" customFormat="1" x14ac:dyDescent="0.25"/>
    <row r="128688" s="12" customFormat="1" x14ac:dyDescent="0.25"/>
    <row r="128689" s="12" customFormat="1" x14ac:dyDescent="0.25"/>
    <row r="128690" s="12" customFormat="1" x14ac:dyDescent="0.25"/>
    <row r="128691" s="12" customFormat="1" x14ac:dyDescent="0.25"/>
    <row r="128692" s="12" customFormat="1" x14ac:dyDescent="0.25"/>
    <row r="128693" s="12" customFormat="1" x14ac:dyDescent="0.25"/>
    <row r="128694" s="12" customFormat="1" x14ac:dyDescent="0.25"/>
    <row r="128695" s="12" customFormat="1" x14ac:dyDescent="0.25"/>
    <row r="128696" s="12" customFormat="1" x14ac:dyDescent="0.25"/>
    <row r="128697" s="12" customFormat="1" x14ac:dyDescent="0.25"/>
    <row r="128698" s="12" customFormat="1" x14ac:dyDescent="0.25"/>
    <row r="128699" s="12" customFormat="1" x14ac:dyDescent="0.25"/>
    <row r="128700" s="12" customFormat="1" x14ac:dyDescent="0.25"/>
    <row r="128701" s="12" customFormat="1" x14ac:dyDescent="0.25"/>
    <row r="128702" s="12" customFormat="1" x14ac:dyDescent="0.25"/>
    <row r="128703" s="12" customFormat="1" x14ac:dyDescent="0.25"/>
    <row r="128704" s="12" customFormat="1" x14ac:dyDescent="0.25"/>
    <row r="128705" s="12" customFormat="1" x14ac:dyDescent="0.25"/>
    <row r="128706" s="12" customFormat="1" x14ac:dyDescent="0.25"/>
    <row r="128707" s="12" customFormat="1" x14ac:dyDescent="0.25"/>
    <row r="128708" s="12" customFormat="1" x14ac:dyDescent="0.25"/>
    <row r="128709" s="12" customFormat="1" x14ac:dyDescent="0.25"/>
    <row r="128710" s="12" customFormat="1" x14ac:dyDescent="0.25"/>
    <row r="128711" s="12" customFormat="1" x14ac:dyDescent="0.25"/>
    <row r="128712" s="12" customFormat="1" x14ac:dyDescent="0.25"/>
    <row r="128713" s="12" customFormat="1" x14ac:dyDescent="0.25"/>
    <row r="128714" s="12" customFormat="1" x14ac:dyDescent="0.25"/>
    <row r="128715" s="12" customFormat="1" x14ac:dyDescent="0.25"/>
    <row r="128716" s="12" customFormat="1" x14ac:dyDescent="0.25"/>
    <row r="128717" s="12" customFormat="1" x14ac:dyDescent="0.25"/>
    <row r="128718" s="12" customFormat="1" x14ac:dyDescent="0.25"/>
    <row r="128719" s="12" customFormat="1" x14ac:dyDescent="0.25"/>
    <row r="128720" s="12" customFormat="1" x14ac:dyDescent="0.25"/>
    <row r="128721" s="12" customFormat="1" x14ac:dyDescent="0.25"/>
    <row r="128722" s="12" customFormat="1" x14ac:dyDescent="0.25"/>
    <row r="128723" s="12" customFormat="1" x14ac:dyDescent="0.25"/>
    <row r="128724" s="12" customFormat="1" x14ac:dyDescent="0.25"/>
    <row r="128725" s="12" customFormat="1" x14ac:dyDescent="0.25"/>
    <row r="128726" s="12" customFormat="1" x14ac:dyDescent="0.25"/>
    <row r="128727" s="12" customFormat="1" x14ac:dyDescent="0.25"/>
    <row r="128728" s="12" customFormat="1" x14ac:dyDescent="0.25"/>
    <row r="128729" s="12" customFormat="1" x14ac:dyDescent="0.25"/>
    <row r="128730" s="12" customFormat="1" x14ac:dyDescent="0.25"/>
    <row r="128731" s="12" customFormat="1" x14ac:dyDescent="0.25"/>
    <row r="128732" s="12" customFormat="1" x14ac:dyDescent="0.25"/>
    <row r="128733" s="12" customFormat="1" x14ac:dyDescent="0.25"/>
    <row r="128734" s="12" customFormat="1" x14ac:dyDescent="0.25"/>
    <row r="128735" s="12" customFormat="1" x14ac:dyDescent="0.25"/>
    <row r="128736" s="12" customFormat="1" x14ac:dyDescent="0.25"/>
    <row r="128737" s="12" customFormat="1" x14ac:dyDescent="0.25"/>
    <row r="128738" s="12" customFormat="1" x14ac:dyDescent="0.25"/>
    <row r="128739" s="12" customFormat="1" x14ac:dyDescent="0.25"/>
    <row r="128740" s="12" customFormat="1" x14ac:dyDescent="0.25"/>
    <row r="128741" s="12" customFormat="1" x14ac:dyDescent="0.25"/>
    <row r="128742" s="12" customFormat="1" x14ac:dyDescent="0.25"/>
    <row r="128743" s="12" customFormat="1" x14ac:dyDescent="0.25"/>
    <row r="128744" s="12" customFormat="1" x14ac:dyDescent="0.25"/>
    <row r="128745" s="12" customFormat="1" x14ac:dyDescent="0.25"/>
    <row r="128746" s="12" customFormat="1" x14ac:dyDescent="0.25"/>
    <row r="128747" s="12" customFormat="1" x14ac:dyDescent="0.25"/>
    <row r="128748" s="12" customFormat="1" x14ac:dyDescent="0.25"/>
    <row r="128749" s="12" customFormat="1" x14ac:dyDescent="0.25"/>
    <row r="128750" s="12" customFormat="1" x14ac:dyDescent="0.25"/>
    <row r="128751" s="12" customFormat="1" x14ac:dyDescent="0.25"/>
    <row r="128752" s="12" customFormat="1" x14ac:dyDescent="0.25"/>
    <row r="128753" s="12" customFormat="1" x14ac:dyDescent="0.25"/>
    <row r="128754" s="12" customFormat="1" x14ac:dyDescent="0.25"/>
    <row r="128755" s="12" customFormat="1" x14ac:dyDescent="0.25"/>
    <row r="128756" s="12" customFormat="1" x14ac:dyDescent="0.25"/>
    <row r="128757" s="12" customFormat="1" x14ac:dyDescent="0.25"/>
    <row r="128758" s="12" customFormat="1" x14ac:dyDescent="0.25"/>
    <row r="128759" s="12" customFormat="1" x14ac:dyDescent="0.25"/>
    <row r="128760" s="12" customFormat="1" x14ac:dyDescent="0.25"/>
    <row r="128761" s="12" customFormat="1" x14ac:dyDescent="0.25"/>
    <row r="128762" s="12" customFormat="1" x14ac:dyDescent="0.25"/>
    <row r="128763" s="12" customFormat="1" x14ac:dyDescent="0.25"/>
    <row r="128764" s="12" customFormat="1" x14ac:dyDescent="0.25"/>
    <row r="128765" s="12" customFormat="1" x14ac:dyDescent="0.25"/>
    <row r="128766" s="12" customFormat="1" x14ac:dyDescent="0.25"/>
    <row r="128767" s="12" customFormat="1" x14ac:dyDescent="0.25"/>
    <row r="128768" s="12" customFormat="1" x14ac:dyDescent="0.25"/>
    <row r="128769" s="12" customFormat="1" x14ac:dyDescent="0.25"/>
    <row r="128770" s="12" customFormat="1" x14ac:dyDescent="0.25"/>
    <row r="128771" s="12" customFormat="1" x14ac:dyDescent="0.25"/>
    <row r="128772" s="12" customFormat="1" x14ac:dyDescent="0.25"/>
    <row r="128773" s="12" customFormat="1" x14ac:dyDescent="0.25"/>
    <row r="128774" s="12" customFormat="1" x14ac:dyDescent="0.25"/>
    <row r="128775" s="12" customFormat="1" x14ac:dyDescent="0.25"/>
    <row r="128776" s="12" customFormat="1" x14ac:dyDescent="0.25"/>
    <row r="128777" s="12" customFormat="1" x14ac:dyDescent="0.25"/>
    <row r="128778" s="12" customFormat="1" x14ac:dyDescent="0.25"/>
    <row r="128779" s="12" customFormat="1" x14ac:dyDescent="0.25"/>
    <row r="128780" s="12" customFormat="1" x14ac:dyDescent="0.25"/>
    <row r="128781" s="12" customFormat="1" x14ac:dyDescent="0.25"/>
    <row r="128782" s="12" customFormat="1" x14ac:dyDescent="0.25"/>
    <row r="128783" s="12" customFormat="1" x14ac:dyDescent="0.25"/>
    <row r="128784" s="12" customFormat="1" x14ac:dyDescent="0.25"/>
    <row r="128785" s="12" customFormat="1" x14ac:dyDescent="0.25"/>
    <row r="128786" s="12" customFormat="1" x14ac:dyDescent="0.25"/>
    <row r="128787" s="12" customFormat="1" x14ac:dyDescent="0.25"/>
    <row r="128788" s="12" customFormat="1" x14ac:dyDescent="0.25"/>
    <row r="128789" s="12" customFormat="1" x14ac:dyDescent="0.25"/>
    <row r="128790" s="12" customFormat="1" x14ac:dyDescent="0.25"/>
    <row r="128791" s="12" customFormat="1" x14ac:dyDescent="0.25"/>
    <row r="128792" s="12" customFormat="1" x14ac:dyDescent="0.25"/>
    <row r="128793" s="12" customFormat="1" x14ac:dyDescent="0.25"/>
    <row r="128794" s="12" customFormat="1" x14ac:dyDescent="0.25"/>
    <row r="128795" s="12" customFormat="1" x14ac:dyDescent="0.25"/>
    <row r="128796" s="12" customFormat="1" x14ac:dyDescent="0.25"/>
    <row r="128797" s="12" customFormat="1" x14ac:dyDescent="0.25"/>
    <row r="128798" s="12" customFormat="1" x14ac:dyDescent="0.25"/>
    <row r="128799" s="12" customFormat="1" x14ac:dyDescent="0.25"/>
    <row r="128800" s="12" customFormat="1" x14ac:dyDescent="0.25"/>
    <row r="128801" s="12" customFormat="1" x14ac:dyDescent="0.25"/>
    <row r="128802" s="12" customFormat="1" x14ac:dyDescent="0.25"/>
    <row r="128803" s="12" customFormat="1" x14ac:dyDescent="0.25"/>
    <row r="128804" s="12" customFormat="1" x14ac:dyDescent="0.25"/>
    <row r="128805" s="12" customFormat="1" x14ac:dyDescent="0.25"/>
    <row r="128806" s="12" customFormat="1" x14ac:dyDescent="0.25"/>
    <row r="128807" s="12" customFormat="1" x14ac:dyDescent="0.25"/>
    <row r="128808" s="12" customFormat="1" x14ac:dyDescent="0.25"/>
    <row r="128809" s="12" customFormat="1" x14ac:dyDescent="0.25"/>
    <row r="128810" s="12" customFormat="1" x14ac:dyDescent="0.25"/>
    <row r="128811" s="12" customFormat="1" x14ac:dyDescent="0.25"/>
    <row r="128812" s="12" customFormat="1" x14ac:dyDescent="0.25"/>
    <row r="128813" s="12" customFormat="1" x14ac:dyDescent="0.25"/>
    <row r="128814" s="12" customFormat="1" x14ac:dyDescent="0.25"/>
    <row r="128815" s="12" customFormat="1" x14ac:dyDescent="0.25"/>
    <row r="128816" s="12" customFormat="1" x14ac:dyDescent="0.25"/>
    <row r="128817" s="12" customFormat="1" x14ac:dyDescent="0.25"/>
    <row r="128818" s="12" customFormat="1" x14ac:dyDescent="0.25"/>
    <row r="128819" s="12" customFormat="1" x14ac:dyDescent="0.25"/>
    <row r="128820" s="12" customFormat="1" x14ac:dyDescent="0.25"/>
    <row r="128821" s="12" customFormat="1" x14ac:dyDescent="0.25"/>
    <row r="128822" s="12" customFormat="1" x14ac:dyDescent="0.25"/>
    <row r="128823" s="12" customFormat="1" x14ac:dyDescent="0.25"/>
    <row r="128824" s="12" customFormat="1" x14ac:dyDescent="0.25"/>
    <row r="128825" s="12" customFormat="1" x14ac:dyDescent="0.25"/>
    <row r="128826" s="12" customFormat="1" x14ac:dyDescent="0.25"/>
    <row r="128827" s="12" customFormat="1" x14ac:dyDescent="0.25"/>
    <row r="128828" s="12" customFormat="1" x14ac:dyDescent="0.25"/>
    <row r="128829" s="12" customFormat="1" x14ac:dyDescent="0.25"/>
    <row r="128830" s="12" customFormat="1" x14ac:dyDescent="0.25"/>
    <row r="128831" s="12" customFormat="1" x14ac:dyDescent="0.25"/>
    <row r="128832" s="12" customFormat="1" x14ac:dyDescent="0.25"/>
    <row r="128833" s="12" customFormat="1" x14ac:dyDescent="0.25"/>
    <row r="128834" s="12" customFormat="1" x14ac:dyDescent="0.25"/>
    <row r="128835" s="12" customFormat="1" x14ac:dyDescent="0.25"/>
    <row r="128836" s="12" customFormat="1" x14ac:dyDescent="0.25"/>
    <row r="128837" s="12" customFormat="1" x14ac:dyDescent="0.25"/>
    <row r="128838" s="12" customFormat="1" x14ac:dyDescent="0.25"/>
    <row r="128839" s="12" customFormat="1" x14ac:dyDescent="0.25"/>
    <row r="128840" s="12" customFormat="1" x14ac:dyDescent="0.25"/>
    <row r="128841" s="12" customFormat="1" x14ac:dyDescent="0.25"/>
    <row r="128842" s="12" customFormat="1" x14ac:dyDescent="0.25"/>
    <row r="128843" s="12" customFormat="1" x14ac:dyDescent="0.25"/>
    <row r="128844" s="12" customFormat="1" x14ac:dyDescent="0.25"/>
    <row r="128845" s="12" customFormat="1" x14ac:dyDescent="0.25"/>
    <row r="128846" s="12" customFormat="1" x14ac:dyDescent="0.25"/>
    <row r="128847" s="12" customFormat="1" x14ac:dyDescent="0.25"/>
    <row r="128848" s="12" customFormat="1" x14ac:dyDescent="0.25"/>
    <row r="128849" s="12" customFormat="1" x14ac:dyDescent="0.25"/>
    <row r="128850" s="12" customFormat="1" x14ac:dyDescent="0.25"/>
    <row r="128851" s="12" customFormat="1" x14ac:dyDescent="0.25"/>
    <row r="128852" s="12" customFormat="1" x14ac:dyDescent="0.25"/>
    <row r="128853" s="12" customFormat="1" x14ac:dyDescent="0.25"/>
    <row r="128854" s="12" customFormat="1" x14ac:dyDescent="0.25"/>
    <row r="128855" s="12" customFormat="1" x14ac:dyDescent="0.25"/>
    <row r="128856" s="12" customFormat="1" x14ac:dyDescent="0.25"/>
    <row r="128857" s="12" customFormat="1" x14ac:dyDescent="0.25"/>
    <row r="128858" s="12" customFormat="1" x14ac:dyDescent="0.25"/>
    <row r="128859" s="12" customFormat="1" x14ac:dyDescent="0.25"/>
    <row r="128860" s="12" customFormat="1" x14ac:dyDescent="0.25"/>
    <row r="128861" s="12" customFormat="1" x14ac:dyDescent="0.25"/>
    <row r="128862" s="12" customFormat="1" x14ac:dyDescent="0.25"/>
    <row r="128863" s="12" customFormat="1" x14ac:dyDescent="0.25"/>
    <row r="128864" s="12" customFormat="1" x14ac:dyDescent="0.25"/>
    <row r="128865" s="12" customFormat="1" x14ac:dyDescent="0.25"/>
    <row r="128866" s="12" customFormat="1" x14ac:dyDescent="0.25"/>
    <row r="128867" s="12" customFormat="1" x14ac:dyDescent="0.25"/>
    <row r="128868" s="12" customFormat="1" x14ac:dyDescent="0.25"/>
    <row r="128869" s="12" customFormat="1" x14ac:dyDescent="0.25"/>
    <row r="128870" s="12" customFormat="1" x14ac:dyDescent="0.25"/>
    <row r="128871" s="12" customFormat="1" x14ac:dyDescent="0.25"/>
    <row r="128872" s="12" customFormat="1" x14ac:dyDescent="0.25"/>
    <row r="128873" s="12" customFormat="1" x14ac:dyDescent="0.25"/>
    <row r="128874" s="12" customFormat="1" x14ac:dyDescent="0.25"/>
    <row r="128875" s="12" customFormat="1" x14ac:dyDescent="0.25"/>
    <row r="128876" s="12" customFormat="1" x14ac:dyDescent="0.25"/>
    <row r="128877" s="12" customFormat="1" x14ac:dyDescent="0.25"/>
    <row r="128878" s="12" customFormat="1" x14ac:dyDescent="0.25"/>
    <row r="128879" s="12" customFormat="1" x14ac:dyDescent="0.25"/>
    <row r="128880" s="12" customFormat="1" x14ac:dyDescent="0.25"/>
    <row r="128881" s="12" customFormat="1" x14ac:dyDescent="0.25"/>
    <row r="128882" s="12" customFormat="1" x14ac:dyDescent="0.25"/>
    <row r="128883" s="12" customFormat="1" x14ac:dyDescent="0.25"/>
    <row r="128884" s="12" customFormat="1" x14ac:dyDescent="0.25"/>
    <row r="128885" s="12" customFormat="1" x14ac:dyDescent="0.25"/>
    <row r="128886" s="12" customFormat="1" x14ac:dyDescent="0.25"/>
    <row r="128887" s="12" customFormat="1" x14ac:dyDescent="0.25"/>
    <row r="128888" s="12" customFormat="1" x14ac:dyDescent="0.25"/>
    <row r="128889" s="12" customFormat="1" x14ac:dyDescent="0.25"/>
    <row r="128890" s="12" customFormat="1" x14ac:dyDescent="0.25"/>
    <row r="128891" s="12" customFormat="1" x14ac:dyDescent="0.25"/>
    <row r="128892" s="12" customFormat="1" x14ac:dyDescent="0.25"/>
    <row r="128893" s="12" customFormat="1" x14ac:dyDescent="0.25"/>
    <row r="128894" s="12" customFormat="1" x14ac:dyDescent="0.25"/>
    <row r="128895" s="12" customFormat="1" x14ac:dyDescent="0.25"/>
    <row r="128896" s="12" customFormat="1" x14ac:dyDescent="0.25"/>
    <row r="128897" s="12" customFormat="1" x14ac:dyDescent="0.25"/>
    <row r="128898" s="12" customFormat="1" x14ac:dyDescent="0.25"/>
    <row r="128899" s="12" customFormat="1" x14ac:dyDescent="0.25"/>
    <row r="128900" s="12" customFormat="1" x14ac:dyDescent="0.25"/>
    <row r="128901" s="12" customFormat="1" x14ac:dyDescent="0.25"/>
    <row r="128902" s="12" customFormat="1" x14ac:dyDescent="0.25"/>
    <row r="128903" s="12" customFormat="1" x14ac:dyDescent="0.25"/>
    <row r="128904" s="12" customFormat="1" x14ac:dyDescent="0.25"/>
    <row r="128905" s="12" customFormat="1" x14ac:dyDescent="0.25"/>
    <row r="128906" s="12" customFormat="1" x14ac:dyDescent="0.25"/>
    <row r="128907" s="12" customFormat="1" x14ac:dyDescent="0.25"/>
    <row r="128908" s="12" customFormat="1" x14ac:dyDescent="0.25"/>
    <row r="128909" s="12" customFormat="1" x14ac:dyDescent="0.25"/>
    <row r="128910" s="12" customFormat="1" x14ac:dyDescent="0.25"/>
    <row r="128911" s="12" customFormat="1" x14ac:dyDescent="0.25"/>
    <row r="128912" s="12" customFormat="1" x14ac:dyDescent="0.25"/>
    <row r="128913" s="12" customFormat="1" x14ac:dyDescent="0.25"/>
    <row r="128914" s="12" customFormat="1" x14ac:dyDescent="0.25"/>
    <row r="128915" s="12" customFormat="1" x14ac:dyDescent="0.25"/>
    <row r="128916" s="12" customFormat="1" x14ac:dyDescent="0.25"/>
    <row r="128917" s="12" customFormat="1" x14ac:dyDescent="0.25"/>
    <row r="128918" s="12" customFormat="1" x14ac:dyDescent="0.25"/>
    <row r="128919" s="12" customFormat="1" x14ac:dyDescent="0.25"/>
    <row r="128920" s="12" customFormat="1" x14ac:dyDescent="0.25"/>
    <row r="128921" s="12" customFormat="1" x14ac:dyDescent="0.25"/>
    <row r="128922" s="12" customFormat="1" x14ac:dyDescent="0.25"/>
    <row r="128923" s="12" customFormat="1" x14ac:dyDescent="0.25"/>
    <row r="128924" s="12" customFormat="1" x14ac:dyDescent="0.25"/>
    <row r="128925" s="12" customFormat="1" x14ac:dyDescent="0.25"/>
    <row r="128926" s="12" customFormat="1" x14ac:dyDescent="0.25"/>
    <row r="128927" s="12" customFormat="1" x14ac:dyDescent="0.25"/>
    <row r="128928" s="12" customFormat="1" x14ac:dyDescent="0.25"/>
    <row r="128929" s="12" customFormat="1" x14ac:dyDescent="0.25"/>
    <row r="128930" s="12" customFormat="1" x14ac:dyDescent="0.25"/>
    <row r="128931" s="12" customFormat="1" x14ac:dyDescent="0.25"/>
    <row r="128932" s="12" customFormat="1" x14ac:dyDescent="0.25"/>
    <row r="128933" s="12" customFormat="1" x14ac:dyDescent="0.25"/>
    <row r="128934" s="12" customFormat="1" x14ac:dyDescent="0.25"/>
    <row r="128935" s="12" customFormat="1" x14ac:dyDescent="0.25"/>
    <row r="128936" s="12" customFormat="1" x14ac:dyDescent="0.25"/>
    <row r="128937" s="12" customFormat="1" x14ac:dyDescent="0.25"/>
    <row r="128938" s="12" customFormat="1" x14ac:dyDescent="0.25"/>
    <row r="128939" s="12" customFormat="1" x14ac:dyDescent="0.25"/>
    <row r="128940" s="12" customFormat="1" x14ac:dyDescent="0.25"/>
    <row r="128941" s="12" customFormat="1" x14ac:dyDescent="0.25"/>
    <row r="128942" s="12" customFormat="1" x14ac:dyDescent="0.25"/>
    <row r="128943" s="12" customFormat="1" x14ac:dyDescent="0.25"/>
    <row r="128944" s="12" customFormat="1" x14ac:dyDescent="0.25"/>
    <row r="128945" s="12" customFormat="1" x14ac:dyDescent="0.25"/>
    <row r="128946" s="12" customFormat="1" x14ac:dyDescent="0.25"/>
    <row r="128947" s="12" customFormat="1" x14ac:dyDescent="0.25"/>
    <row r="128948" s="12" customFormat="1" x14ac:dyDescent="0.25"/>
    <row r="128949" s="12" customFormat="1" x14ac:dyDescent="0.25"/>
    <row r="128950" s="12" customFormat="1" x14ac:dyDescent="0.25"/>
    <row r="128951" s="12" customFormat="1" x14ac:dyDescent="0.25"/>
    <row r="128952" s="12" customFormat="1" x14ac:dyDescent="0.25"/>
    <row r="128953" s="12" customFormat="1" x14ac:dyDescent="0.25"/>
    <row r="128954" s="12" customFormat="1" x14ac:dyDescent="0.25"/>
    <row r="128955" s="12" customFormat="1" x14ac:dyDescent="0.25"/>
    <row r="128956" s="12" customFormat="1" x14ac:dyDescent="0.25"/>
    <row r="128957" s="12" customFormat="1" x14ac:dyDescent="0.25"/>
    <row r="128958" s="12" customFormat="1" x14ac:dyDescent="0.25"/>
    <row r="128959" s="12" customFormat="1" x14ac:dyDescent="0.25"/>
    <row r="128960" s="12" customFormat="1" x14ac:dyDescent="0.25"/>
    <row r="128961" s="12" customFormat="1" x14ac:dyDescent="0.25"/>
    <row r="128962" s="12" customFormat="1" x14ac:dyDescent="0.25"/>
    <row r="128963" s="12" customFormat="1" x14ac:dyDescent="0.25"/>
    <row r="128964" s="12" customFormat="1" x14ac:dyDescent="0.25"/>
    <row r="128965" s="12" customFormat="1" x14ac:dyDescent="0.25"/>
    <row r="128966" s="12" customFormat="1" x14ac:dyDescent="0.25"/>
    <row r="128967" s="12" customFormat="1" x14ac:dyDescent="0.25"/>
    <row r="128968" s="12" customFormat="1" x14ac:dyDescent="0.25"/>
    <row r="128969" s="12" customFormat="1" x14ac:dyDescent="0.25"/>
    <row r="128970" s="12" customFormat="1" x14ac:dyDescent="0.25"/>
    <row r="128971" s="12" customFormat="1" x14ac:dyDescent="0.25"/>
    <row r="128972" s="12" customFormat="1" x14ac:dyDescent="0.25"/>
    <row r="128973" s="12" customFormat="1" x14ac:dyDescent="0.25"/>
    <row r="128974" s="12" customFormat="1" x14ac:dyDescent="0.25"/>
    <row r="128975" s="12" customFormat="1" x14ac:dyDescent="0.25"/>
    <row r="128976" s="12" customFormat="1" x14ac:dyDescent="0.25"/>
    <row r="128977" s="12" customFormat="1" x14ac:dyDescent="0.25"/>
    <row r="128978" s="12" customFormat="1" x14ac:dyDescent="0.25"/>
    <row r="128979" s="12" customFormat="1" x14ac:dyDescent="0.25"/>
    <row r="128980" s="12" customFormat="1" x14ac:dyDescent="0.25"/>
    <row r="128981" s="12" customFormat="1" x14ac:dyDescent="0.25"/>
    <row r="128982" s="12" customFormat="1" x14ac:dyDescent="0.25"/>
    <row r="128983" s="12" customFormat="1" x14ac:dyDescent="0.25"/>
    <row r="128984" s="12" customFormat="1" x14ac:dyDescent="0.25"/>
    <row r="128985" s="12" customFormat="1" x14ac:dyDescent="0.25"/>
    <row r="128986" s="12" customFormat="1" x14ac:dyDescent="0.25"/>
    <row r="128987" s="12" customFormat="1" x14ac:dyDescent="0.25"/>
    <row r="128988" s="12" customFormat="1" x14ac:dyDescent="0.25"/>
    <row r="128989" s="12" customFormat="1" x14ac:dyDescent="0.25"/>
    <row r="128990" s="12" customFormat="1" x14ac:dyDescent="0.25"/>
    <row r="128991" s="12" customFormat="1" x14ac:dyDescent="0.25"/>
    <row r="128992" s="12" customFormat="1" x14ac:dyDescent="0.25"/>
    <row r="128993" s="12" customFormat="1" x14ac:dyDescent="0.25"/>
    <row r="128994" s="12" customFormat="1" x14ac:dyDescent="0.25"/>
    <row r="128995" s="12" customFormat="1" x14ac:dyDescent="0.25"/>
    <row r="128996" s="12" customFormat="1" x14ac:dyDescent="0.25"/>
    <row r="128997" s="12" customFormat="1" x14ac:dyDescent="0.25"/>
    <row r="128998" s="12" customFormat="1" x14ac:dyDescent="0.25"/>
    <row r="128999" s="12" customFormat="1" x14ac:dyDescent="0.25"/>
    <row r="129000" s="12" customFormat="1" x14ac:dyDescent="0.25"/>
    <row r="129001" s="12" customFormat="1" x14ac:dyDescent="0.25"/>
    <row r="129002" s="12" customFormat="1" x14ac:dyDescent="0.25"/>
    <row r="129003" s="12" customFormat="1" x14ac:dyDescent="0.25"/>
    <row r="129004" s="12" customFormat="1" x14ac:dyDescent="0.25"/>
    <row r="129005" s="12" customFormat="1" x14ac:dyDescent="0.25"/>
    <row r="129006" s="12" customFormat="1" x14ac:dyDescent="0.25"/>
    <row r="129007" s="12" customFormat="1" x14ac:dyDescent="0.25"/>
    <row r="129008" s="12" customFormat="1" x14ac:dyDescent="0.25"/>
    <row r="129009" s="12" customFormat="1" x14ac:dyDescent="0.25"/>
    <row r="129010" s="12" customFormat="1" x14ac:dyDescent="0.25"/>
    <row r="129011" s="12" customFormat="1" x14ac:dyDescent="0.25"/>
    <row r="129012" s="12" customFormat="1" x14ac:dyDescent="0.25"/>
    <row r="129013" s="12" customFormat="1" x14ac:dyDescent="0.25"/>
    <row r="129014" s="12" customFormat="1" x14ac:dyDescent="0.25"/>
    <row r="129015" s="12" customFormat="1" x14ac:dyDescent="0.25"/>
    <row r="129016" s="12" customFormat="1" x14ac:dyDescent="0.25"/>
    <row r="129017" s="12" customFormat="1" x14ac:dyDescent="0.25"/>
    <row r="129018" s="12" customFormat="1" x14ac:dyDescent="0.25"/>
    <row r="129019" s="12" customFormat="1" x14ac:dyDescent="0.25"/>
    <row r="129020" s="12" customFormat="1" x14ac:dyDescent="0.25"/>
    <row r="129021" s="12" customFormat="1" x14ac:dyDescent="0.25"/>
    <row r="129022" s="12" customFormat="1" x14ac:dyDescent="0.25"/>
    <row r="129023" s="12" customFormat="1" x14ac:dyDescent="0.25"/>
    <row r="129024" s="12" customFormat="1" x14ac:dyDescent="0.25"/>
    <row r="129025" s="12" customFormat="1" x14ac:dyDescent="0.25"/>
    <row r="129026" s="12" customFormat="1" x14ac:dyDescent="0.25"/>
    <row r="129027" s="12" customFormat="1" x14ac:dyDescent="0.25"/>
    <row r="129028" s="12" customFormat="1" x14ac:dyDescent="0.25"/>
    <row r="129029" s="12" customFormat="1" x14ac:dyDescent="0.25"/>
    <row r="129030" s="12" customFormat="1" x14ac:dyDescent="0.25"/>
    <row r="129031" s="12" customFormat="1" x14ac:dyDescent="0.25"/>
    <row r="129032" s="12" customFormat="1" x14ac:dyDescent="0.25"/>
    <row r="129033" s="12" customFormat="1" x14ac:dyDescent="0.25"/>
    <row r="129034" s="12" customFormat="1" x14ac:dyDescent="0.25"/>
    <row r="129035" s="12" customFormat="1" x14ac:dyDescent="0.25"/>
    <row r="129036" s="12" customFormat="1" x14ac:dyDescent="0.25"/>
    <row r="129037" s="12" customFormat="1" x14ac:dyDescent="0.25"/>
    <row r="129038" s="12" customFormat="1" x14ac:dyDescent="0.25"/>
    <row r="129039" s="12" customFormat="1" x14ac:dyDescent="0.25"/>
    <row r="129040" s="12" customFormat="1" x14ac:dyDescent="0.25"/>
    <row r="129041" s="12" customFormat="1" x14ac:dyDescent="0.25"/>
    <row r="129042" s="12" customFormat="1" x14ac:dyDescent="0.25"/>
    <row r="129043" s="12" customFormat="1" x14ac:dyDescent="0.25"/>
    <row r="129044" s="12" customFormat="1" x14ac:dyDescent="0.25"/>
    <row r="129045" s="12" customFormat="1" x14ac:dyDescent="0.25"/>
    <row r="129046" s="12" customFormat="1" x14ac:dyDescent="0.25"/>
    <row r="129047" s="12" customFormat="1" x14ac:dyDescent="0.25"/>
    <row r="129048" s="12" customFormat="1" x14ac:dyDescent="0.25"/>
    <row r="129049" s="12" customFormat="1" x14ac:dyDescent="0.25"/>
    <row r="129050" s="12" customFormat="1" x14ac:dyDescent="0.25"/>
    <row r="129051" s="12" customFormat="1" x14ac:dyDescent="0.25"/>
    <row r="129052" s="12" customFormat="1" x14ac:dyDescent="0.25"/>
    <row r="129053" s="12" customFormat="1" x14ac:dyDescent="0.25"/>
    <row r="129054" s="12" customFormat="1" x14ac:dyDescent="0.25"/>
    <row r="129055" s="12" customFormat="1" x14ac:dyDescent="0.25"/>
    <row r="129056" s="12" customFormat="1" x14ac:dyDescent="0.25"/>
    <row r="129057" s="12" customFormat="1" x14ac:dyDescent="0.25"/>
    <row r="129058" s="12" customFormat="1" x14ac:dyDescent="0.25"/>
    <row r="129059" s="12" customFormat="1" x14ac:dyDescent="0.25"/>
    <row r="129060" s="12" customFormat="1" x14ac:dyDescent="0.25"/>
    <row r="129061" s="12" customFormat="1" x14ac:dyDescent="0.25"/>
    <row r="129062" s="12" customFormat="1" x14ac:dyDescent="0.25"/>
    <row r="129063" s="12" customFormat="1" x14ac:dyDescent="0.25"/>
    <row r="129064" s="12" customFormat="1" x14ac:dyDescent="0.25"/>
    <row r="129065" s="12" customFormat="1" x14ac:dyDescent="0.25"/>
    <row r="129066" s="12" customFormat="1" x14ac:dyDescent="0.25"/>
    <row r="129067" s="12" customFormat="1" x14ac:dyDescent="0.25"/>
    <row r="129068" s="12" customFormat="1" x14ac:dyDescent="0.25"/>
    <row r="129069" s="12" customFormat="1" x14ac:dyDescent="0.25"/>
    <row r="129070" s="12" customFormat="1" x14ac:dyDescent="0.25"/>
    <row r="129071" s="12" customFormat="1" x14ac:dyDescent="0.25"/>
    <row r="129072" s="12" customFormat="1" x14ac:dyDescent="0.25"/>
    <row r="129073" s="12" customFormat="1" x14ac:dyDescent="0.25"/>
    <row r="129074" s="12" customFormat="1" x14ac:dyDescent="0.25"/>
    <row r="129075" s="12" customFormat="1" x14ac:dyDescent="0.25"/>
    <row r="129076" s="12" customFormat="1" x14ac:dyDescent="0.25"/>
    <row r="129077" s="12" customFormat="1" x14ac:dyDescent="0.25"/>
    <row r="129078" s="12" customFormat="1" x14ac:dyDescent="0.25"/>
    <row r="129079" s="12" customFormat="1" x14ac:dyDescent="0.25"/>
    <row r="129080" s="12" customFormat="1" x14ac:dyDescent="0.25"/>
    <row r="129081" s="12" customFormat="1" x14ac:dyDescent="0.25"/>
    <row r="129082" s="12" customFormat="1" x14ac:dyDescent="0.25"/>
    <row r="129083" s="12" customFormat="1" x14ac:dyDescent="0.25"/>
    <row r="129084" s="12" customFormat="1" x14ac:dyDescent="0.25"/>
    <row r="129085" s="12" customFormat="1" x14ac:dyDescent="0.25"/>
    <row r="129086" s="12" customFormat="1" x14ac:dyDescent="0.25"/>
    <row r="129087" s="12" customFormat="1" x14ac:dyDescent="0.25"/>
    <row r="129088" s="12" customFormat="1" x14ac:dyDescent="0.25"/>
    <row r="129089" s="12" customFormat="1" x14ac:dyDescent="0.25"/>
    <row r="129090" s="12" customFormat="1" x14ac:dyDescent="0.25"/>
    <row r="129091" s="12" customFormat="1" x14ac:dyDescent="0.25"/>
    <row r="129092" s="12" customFormat="1" x14ac:dyDescent="0.25"/>
    <row r="129093" s="12" customFormat="1" x14ac:dyDescent="0.25"/>
    <row r="129094" s="12" customFormat="1" x14ac:dyDescent="0.25"/>
    <row r="129095" s="12" customFormat="1" x14ac:dyDescent="0.25"/>
    <row r="129096" s="12" customFormat="1" x14ac:dyDescent="0.25"/>
    <row r="129097" s="12" customFormat="1" x14ac:dyDescent="0.25"/>
    <row r="129098" s="12" customFormat="1" x14ac:dyDescent="0.25"/>
    <row r="129099" s="12" customFormat="1" x14ac:dyDescent="0.25"/>
    <row r="129100" s="12" customFormat="1" x14ac:dyDescent="0.25"/>
    <row r="129101" s="12" customFormat="1" x14ac:dyDescent="0.25"/>
    <row r="129102" s="12" customFormat="1" x14ac:dyDescent="0.25"/>
    <row r="129103" s="12" customFormat="1" x14ac:dyDescent="0.25"/>
    <row r="129104" s="12" customFormat="1" x14ac:dyDescent="0.25"/>
    <row r="129105" s="12" customFormat="1" x14ac:dyDescent="0.25"/>
    <row r="129106" s="12" customFormat="1" x14ac:dyDescent="0.25"/>
    <row r="129107" s="12" customFormat="1" x14ac:dyDescent="0.25"/>
    <row r="129108" s="12" customFormat="1" x14ac:dyDescent="0.25"/>
    <row r="129109" s="12" customFormat="1" x14ac:dyDescent="0.25"/>
    <row r="129110" s="12" customFormat="1" x14ac:dyDescent="0.25"/>
    <row r="129111" s="12" customFormat="1" x14ac:dyDescent="0.25"/>
    <row r="129112" s="12" customFormat="1" x14ac:dyDescent="0.25"/>
    <row r="129113" s="12" customFormat="1" x14ac:dyDescent="0.25"/>
    <row r="129114" s="12" customFormat="1" x14ac:dyDescent="0.25"/>
    <row r="129115" s="12" customFormat="1" x14ac:dyDescent="0.25"/>
    <row r="129116" s="12" customFormat="1" x14ac:dyDescent="0.25"/>
    <row r="129117" s="12" customFormat="1" x14ac:dyDescent="0.25"/>
    <row r="129118" s="12" customFormat="1" x14ac:dyDescent="0.25"/>
    <row r="129119" s="12" customFormat="1" x14ac:dyDescent="0.25"/>
    <row r="129120" s="12" customFormat="1" x14ac:dyDescent="0.25"/>
    <row r="129121" s="12" customFormat="1" x14ac:dyDescent="0.25"/>
    <row r="129122" s="12" customFormat="1" x14ac:dyDescent="0.25"/>
    <row r="129123" s="12" customFormat="1" x14ac:dyDescent="0.25"/>
    <row r="129124" s="12" customFormat="1" x14ac:dyDescent="0.25"/>
    <row r="129125" s="12" customFormat="1" x14ac:dyDescent="0.25"/>
    <row r="129126" s="12" customFormat="1" x14ac:dyDescent="0.25"/>
    <row r="129127" s="12" customFormat="1" x14ac:dyDescent="0.25"/>
    <row r="129128" s="12" customFormat="1" x14ac:dyDescent="0.25"/>
    <row r="129129" s="12" customFormat="1" x14ac:dyDescent="0.25"/>
    <row r="129130" s="12" customFormat="1" x14ac:dyDescent="0.25"/>
    <row r="129131" s="12" customFormat="1" x14ac:dyDescent="0.25"/>
    <row r="129132" s="12" customFormat="1" x14ac:dyDescent="0.25"/>
    <row r="129133" s="12" customFormat="1" x14ac:dyDescent="0.25"/>
    <row r="129134" s="12" customFormat="1" x14ac:dyDescent="0.25"/>
    <row r="129135" s="12" customFormat="1" x14ac:dyDescent="0.25"/>
    <row r="129136" s="12" customFormat="1" x14ac:dyDescent="0.25"/>
    <row r="129137" s="12" customFormat="1" x14ac:dyDescent="0.25"/>
    <row r="129138" s="12" customFormat="1" x14ac:dyDescent="0.25"/>
    <row r="129139" s="12" customFormat="1" x14ac:dyDescent="0.25"/>
    <row r="129140" s="12" customFormat="1" x14ac:dyDescent="0.25"/>
    <row r="129141" s="12" customFormat="1" x14ac:dyDescent="0.25"/>
    <row r="129142" s="12" customFormat="1" x14ac:dyDescent="0.25"/>
    <row r="129143" s="12" customFormat="1" x14ac:dyDescent="0.25"/>
    <row r="129144" s="12" customFormat="1" x14ac:dyDescent="0.25"/>
    <row r="129145" s="12" customFormat="1" x14ac:dyDescent="0.25"/>
    <row r="129146" s="12" customFormat="1" x14ac:dyDescent="0.25"/>
    <row r="129147" s="12" customFormat="1" x14ac:dyDescent="0.25"/>
    <row r="129148" s="12" customFormat="1" x14ac:dyDescent="0.25"/>
    <row r="129149" s="12" customFormat="1" x14ac:dyDescent="0.25"/>
    <row r="129150" s="12" customFormat="1" x14ac:dyDescent="0.25"/>
    <row r="129151" s="12" customFormat="1" x14ac:dyDescent="0.25"/>
    <row r="129152" s="12" customFormat="1" x14ac:dyDescent="0.25"/>
    <row r="129153" s="12" customFormat="1" x14ac:dyDescent="0.25"/>
    <row r="129154" s="12" customFormat="1" x14ac:dyDescent="0.25"/>
    <row r="129155" s="12" customFormat="1" x14ac:dyDescent="0.25"/>
    <row r="129156" s="12" customFormat="1" x14ac:dyDescent="0.25"/>
    <row r="129157" s="12" customFormat="1" x14ac:dyDescent="0.25"/>
    <row r="129158" s="12" customFormat="1" x14ac:dyDescent="0.25"/>
    <row r="129159" s="12" customFormat="1" x14ac:dyDescent="0.25"/>
    <row r="129160" s="12" customFormat="1" x14ac:dyDescent="0.25"/>
    <row r="129161" s="12" customFormat="1" x14ac:dyDescent="0.25"/>
    <row r="129162" s="12" customFormat="1" x14ac:dyDescent="0.25"/>
    <row r="129163" s="12" customFormat="1" x14ac:dyDescent="0.25"/>
    <row r="129164" s="12" customFormat="1" x14ac:dyDescent="0.25"/>
    <row r="129165" s="12" customFormat="1" x14ac:dyDescent="0.25"/>
    <row r="129166" s="12" customFormat="1" x14ac:dyDescent="0.25"/>
    <row r="129167" s="12" customFormat="1" x14ac:dyDescent="0.25"/>
    <row r="129168" s="12" customFormat="1" x14ac:dyDescent="0.25"/>
    <row r="129169" s="12" customFormat="1" x14ac:dyDescent="0.25"/>
    <row r="129170" s="12" customFormat="1" x14ac:dyDescent="0.25"/>
    <row r="129171" s="12" customFormat="1" x14ac:dyDescent="0.25"/>
    <row r="129172" s="12" customFormat="1" x14ac:dyDescent="0.25"/>
    <row r="129173" s="12" customFormat="1" x14ac:dyDescent="0.25"/>
    <row r="129174" s="12" customFormat="1" x14ac:dyDescent="0.25"/>
    <row r="129175" s="12" customFormat="1" x14ac:dyDescent="0.25"/>
    <row r="129176" s="12" customFormat="1" x14ac:dyDescent="0.25"/>
    <row r="129177" s="12" customFormat="1" x14ac:dyDescent="0.25"/>
    <row r="129178" s="12" customFormat="1" x14ac:dyDescent="0.25"/>
    <row r="129179" s="12" customFormat="1" x14ac:dyDescent="0.25"/>
    <row r="129180" s="12" customFormat="1" x14ac:dyDescent="0.25"/>
    <row r="129181" s="12" customFormat="1" x14ac:dyDescent="0.25"/>
    <row r="129182" s="12" customFormat="1" x14ac:dyDescent="0.25"/>
    <row r="129183" s="12" customFormat="1" x14ac:dyDescent="0.25"/>
    <row r="129184" s="12" customFormat="1" x14ac:dyDescent="0.25"/>
    <row r="129185" s="12" customFormat="1" x14ac:dyDescent="0.25"/>
    <row r="129186" s="12" customFormat="1" x14ac:dyDescent="0.25"/>
    <row r="129187" s="12" customFormat="1" x14ac:dyDescent="0.25"/>
    <row r="129188" s="12" customFormat="1" x14ac:dyDescent="0.25"/>
    <row r="129189" s="12" customFormat="1" x14ac:dyDescent="0.25"/>
    <row r="129190" s="12" customFormat="1" x14ac:dyDescent="0.25"/>
    <row r="129191" s="12" customFormat="1" x14ac:dyDescent="0.25"/>
    <row r="129192" s="12" customFormat="1" x14ac:dyDescent="0.25"/>
    <row r="129193" s="12" customFormat="1" x14ac:dyDescent="0.25"/>
    <row r="129194" s="12" customFormat="1" x14ac:dyDescent="0.25"/>
    <row r="129195" s="12" customFormat="1" x14ac:dyDescent="0.25"/>
    <row r="129196" s="12" customFormat="1" x14ac:dyDescent="0.25"/>
    <row r="129197" s="12" customFormat="1" x14ac:dyDescent="0.25"/>
    <row r="129198" s="12" customFormat="1" x14ac:dyDescent="0.25"/>
    <row r="129199" s="12" customFormat="1" x14ac:dyDescent="0.25"/>
    <row r="129200" s="12" customFormat="1" x14ac:dyDescent="0.25"/>
    <row r="129201" s="12" customFormat="1" x14ac:dyDescent="0.25"/>
    <row r="129202" s="12" customFormat="1" x14ac:dyDescent="0.25"/>
    <row r="129203" s="12" customFormat="1" x14ac:dyDescent="0.25"/>
    <row r="129204" s="12" customFormat="1" x14ac:dyDescent="0.25"/>
    <row r="129205" s="12" customFormat="1" x14ac:dyDescent="0.25"/>
    <row r="129206" s="12" customFormat="1" x14ac:dyDescent="0.25"/>
    <row r="129207" s="12" customFormat="1" x14ac:dyDescent="0.25"/>
    <row r="129208" s="12" customFormat="1" x14ac:dyDescent="0.25"/>
    <row r="129209" s="12" customFormat="1" x14ac:dyDescent="0.25"/>
    <row r="129210" s="12" customFormat="1" x14ac:dyDescent="0.25"/>
    <row r="129211" s="12" customFormat="1" x14ac:dyDescent="0.25"/>
    <row r="129212" s="12" customFormat="1" x14ac:dyDescent="0.25"/>
    <row r="129213" s="12" customFormat="1" x14ac:dyDescent="0.25"/>
    <row r="129214" s="12" customFormat="1" x14ac:dyDescent="0.25"/>
    <row r="129215" s="12" customFormat="1" x14ac:dyDescent="0.25"/>
    <row r="129216" s="12" customFormat="1" x14ac:dyDescent="0.25"/>
    <row r="129217" s="12" customFormat="1" x14ac:dyDescent="0.25"/>
    <row r="129218" s="12" customFormat="1" x14ac:dyDescent="0.25"/>
    <row r="129219" s="12" customFormat="1" x14ac:dyDescent="0.25"/>
    <row r="129220" s="12" customFormat="1" x14ac:dyDescent="0.25"/>
    <row r="129221" s="12" customFormat="1" x14ac:dyDescent="0.25"/>
    <row r="129222" s="12" customFormat="1" x14ac:dyDescent="0.25"/>
    <row r="129223" s="12" customFormat="1" x14ac:dyDescent="0.25"/>
    <row r="129224" s="12" customFormat="1" x14ac:dyDescent="0.25"/>
    <row r="129225" s="12" customFormat="1" x14ac:dyDescent="0.25"/>
    <row r="129226" s="12" customFormat="1" x14ac:dyDescent="0.25"/>
    <row r="129227" s="12" customFormat="1" x14ac:dyDescent="0.25"/>
    <row r="129228" s="12" customFormat="1" x14ac:dyDescent="0.25"/>
    <row r="129229" s="12" customFormat="1" x14ac:dyDescent="0.25"/>
    <row r="129230" s="12" customFormat="1" x14ac:dyDescent="0.25"/>
    <row r="129231" s="12" customFormat="1" x14ac:dyDescent="0.25"/>
    <row r="129232" s="12" customFormat="1" x14ac:dyDescent="0.25"/>
    <row r="129233" s="12" customFormat="1" x14ac:dyDescent="0.25"/>
    <row r="129234" s="12" customFormat="1" x14ac:dyDescent="0.25"/>
    <row r="129235" s="12" customFormat="1" x14ac:dyDescent="0.25"/>
    <row r="129236" s="12" customFormat="1" x14ac:dyDescent="0.25"/>
    <row r="129237" s="12" customFormat="1" x14ac:dyDescent="0.25"/>
    <row r="129238" s="12" customFormat="1" x14ac:dyDescent="0.25"/>
    <row r="129239" s="12" customFormat="1" x14ac:dyDescent="0.25"/>
    <row r="129240" s="12" customFormat="1" x14ac:dyDescent="0.25"/>
    <row r="129241" s="12" customFormat="1" x14ac:dyDescent="0.25"/>
    <row r="129242" s="12" customFormat="1" x14ac:dyDescent="0.25"/>
    <row r="129243" s="12" customFormat="1" x14ac:dyDescent="0.25"/>
    <row r="129244" s="12" customFormat="1" x14ac:dyDescent="0.25"/>
    <row r="129245" s="12" customFormat="1" x14ac:dyDescent="0.25"/>
    <row r="129246" s="12" customFormat="1" x14ac:dyDescent="0.25"/>
    <row r="129247" s="12" customFormat="1" x14ac:dyDescent="0.25"/>
    <row r="129248" s="12" customFormat="1" x14ac:dyDescent="0.25"/>
    <row r="129249" s="12" customFormat="1" x14ac:dyDescent="0.25"/>
    <row r="129250" s="12" customFormat="1" x14ac:dyDescent="0.25"/>
    <row r="129251" s="12" customFormat="1" x14ac:dyDescent="0.25"/>
    <row r="129252" s="12" customFormat="1" x14ac:dyDescent="0.25"/>
    <row r="129253" s="12" customFormat="1" x14ac:dyDescent="0.25"/>
    <row r="129254" s="12" customFormat="1" x14ac:dyDescent="0.25"/>
    <row r="129255" s="12" customFormat="1" x14ac:dyDescent="0.25"/>
    <row r="129256" s="12" customFormat="1" x14ac:dyDescent="0.25"/>
    <row r="129257" s="12" customFormat="1" x14ac:dyDescent="0.25"/>
    <row r="129258" s="12" customFormat="1" x14ac:dyDescent="0.25"/>
    <row r="129259" s="12" customFormat="1" x14ac:dyDescent="0.25"/>
    <row r="129260" s="12" customFormat="1" x14ac:dyDescent="0.25"/>
    <row r="129261" s="12" customFormat="1" x14ac:dyDescent="0.25"/>
    <row r="129262" s="12" customFormat="1" x14ac:dyDescent="0.25"/>
    <row r="129263" s="12" customFormat="1" x14ac:dyDescent="0.25"/>
    <row r="129264" s="12" customFormat="1" x14ac:dyDescent="0.25"/>
    <row r="129265" s="12" customFormat="1" x14ac:dyDescent="0.25"/>
    <row r="129266" s="12" customFormat="1" x14ac:dyDescent="0.25"/>
    <row r="129267" s="12" customFormat="1" x14ac:dyDescent="0.25"/>
    <row r="129268" s="12" customFormat="1" x14ac:dyDescent="0.25"/>
    <row r="129269" s="12" customFormat="1" x14ac:dyDescent="0.25"/>
    <row r="129270" s="12" customFormat="1" x14ac:dyDescent="0.25"/>
    <row r="129271" s="12" customFormat="1" x14ac:dyDescent="0.25"/>
    <row r="129272" s="12" customFormat="1" x14ac:dyDescent="0.25"/>
    <row r="129273" s="12" customFormat="1" x14ac:dyDescent="0.25"/>
    <row r="129274" s="12" customFormat="1" x14ac:dyDescent="0.25"/>
    <row r="129275" s="12" customFormat="1" x14ac:dyDescent="0.25"/>
    <row r="129276" s="12" customFormat="1" x14ac:dyDescent="0.25"/>
    <row r="129277" s="12" customFormat="1" x14ac:dyDescent="0.25"/>
    <row r="129278" s="12" customFormat="1" x14ac:dyDescent="0.25"/>
    <row r="129279" s="12" customFormat="1" x14ac:dyDescent="0.25"/>
    <row r="129280" s="12" customFormat="1" x14ac:dyDescent="0.25"/>
    <row r="129281" s="12" customFormat="1" x14ac:dyDescent="0.25"/>
    <row r="129282" s="12" customFormat="1" x14ac:dyDescent="0.25"/>
    <row r="129283" s="12" customFormat="1" x14ac:dyDescent="0.25"/>
    <row r="129284" s="12" customFormat="1" x14ac:dyDescent="0.25"/>
    <row r="129285" s="12" customFormat="1" x14ac:dyDescent="0.25"/>
    <row r="129286" s="12" customFormat="1" x14ac:dyDescent="0.25"/>
    <row r="129287" s="12" customFormat="1" x14ac:dyDescent="0.25"/>
    <row r="129288" s="12" customFormat="1" x14ac:dyDescent="0.25"/>
    <row r="129289" s="12" customFormat="1" x14ac:dyDescent="0.25"/>
    <row r="129290" s="12" customFormat="1" x14ac:dyDescent="0.25"/>
    <row r="129291" s="12" customFormat="1" x14ac:dyDescent="0.25"/>
    <row r="129292" s="12" customFormat="1" x14ac:dyDescent="0.25"/>
    <row r="129293" s="12" customFormat="1" x14ac:dyDescent="0.25"/>
    <row r="129294" s="12" customFormat="1" x14ac:dyDescent="0.25"/>
    <row r="129295" s="12" customFormat="1" x14ac:dyDescent="0.25"/>
    <row r="129296" s="12" customFormat="1" x14ac:dyDescent="0.25"/>
    <row r="129297" s="12" customFormat="1" x14ac:dyDescent="0.25"/>
    <row r="129298" s="12" customFormat="1" x14ac:dyDescent="0.25"/>
    <row r="129299" s="12" customFormat="1" x14ac:dyDescent="0.25"/>
    <row r="129300" s="12" customFormat="1" x14ac:dyDescent="0.25"/>
    <row r="129301" s="12" customFormat="1" x14ac:dyDescent="0.25"/>
    <row r="129302" s="12" customFormat="1" x14ac:dyDescent="0.25"/>
    <row r="129303" s="12" customFormat="1" x14ac:dyDescent="0.25"/>
    <row r="129304" s="12" customFormat="1" x14ac:dyDescent="0.25"/>
    <row r="129305" s="12" customFormat="1" x14ac:dyDescent="0.25"/>
    <row r="129306" s="12" customFormat="1" x14ac:dyDescent="0.25"/>
    <row r="129307" s="12" customFormat="1" x14ac:dyDescent="0.25"/>
    <row r="129308" s="12" customFormat="1" x14ac:dyDescent="0.25"/>
    <row r="129309" s="12" customFormat="1" x14ac:dyDescent="0.25"/>
    <row r="129310" s="12" customFormat="1" x14ac:dyDescent="0.25"/>
    <row r="129311" s="12" customFormat="1" x14ac:dyDescent="0.25"/>
    <row r="129312" s="12" customFormat="1" x14ac:dyDescent="0.25"/>
    <row r="129313" s="12" customFormat="1" x14ac:dyDescent="0.25"/>
    <row r="129314" s="12" customFormat="1" x14ac:dyDescent="0.25"/>
    <row r="129315" s="12" customFormat="1" x14ac:dyDescent="0.25"/>
    <row r="129316" s="12" customFormat="1" x14ac:dyDescent="0.25"/>
    <row r="129317" s="12" customFormat="1" x14ac:dyDescent="0.25"/>
    <row r="129318" s="12" customFormat="1" x14ac:dyDescent="0.25"/>
    <row r="129319" s="12" customFormat="1" x14ac:dyDescent="0.25"/>
    <row r="129320" s="12" customFormat="1" x14ac:dyDescent="0.25"/>
    <row r="129321" s="12" customFormat="1" x14ac:dyDescent="0.25"/>
    <row r="129322" s="12" customFormat="1" x14ac:dyDescent="0.25"/>
    <row r="129323" s="12" customFormat="1" x14ac:dyDescent="0.25"/>
    <row r="129324" s="12" customFormat="1" x14ac:dyDescent="0.25"/>
    <row r="129325" s="12" customFormat="1" x14ac:dyDescent="0.25"/>
    <row r="129326" s="12" customFormat="1" x14ac:dyDescent="0.25"/>
    <row r="129327" s="12" customFormat="1" x14ac:dyDescent="0.25"/>
    <row r="129328" s="12" customFormat="1" x14ac:dyDescent="0.25"/>
    <row r="129329" s="12" customFormat="1" x14ac:dyDescent="0.25"/>
    <row r="129330" s="12" customFormat="1" x14ac:dyDescent="0.25"/>
    <row r="129331" s="12" customFormat="1" x14ac:dyDescent="0.25"/>
    <row r="129332" s="12" customFormat="1" x14ac:dyDescent="0.25"/>
    <row r="129333" s="12" customFormat="1" x14ac:dyDescent="0.25"/>
    <row r="129334" s="12" customFormat="1" x14ac:dyDescent="0.25"/>
    <row r="129335" s="12" customFormat="1" x14ac:dyDescent="0.25"/>
    <row r="129336" s="12" customFormat="1" x14ac:dyDescent="0.25"/>
    <row r="129337" s="12" customFormat="1" x14ac:dyDescent="0.25"/>
    <row r="129338" s="12" customFormat="1" x14ac:dyDescent="0.25"/>
    <row r="129339" s="12" customFormat="1" x14ac:dyDescent="0.25"/>
    <row r="129340" s="12" customFormat="1" x14ac:dyDescent="0.25"/>
    <row r="129341" s="12" customFormat="1" x14ac:dyDescent="0.25"/>
    <row r="129342" s="12" customFormat="1" x14ac:dyDescent="0.25"/>
    <row r="129343" s="12" customFormat="1" x14ac:dyDescent="0.25"/>
    <row r="129344" s="12" customFormat="1" x14ac:dyDescent="0.25"/>
    <row r="129345" s="12" customFormat="1" x14ac:dyDescent="0.25"/>
    <row r="129346" s="12" customFormat="1" x14ac:dyDescent="0.25"/>
    <row r="129347" s="12" customFormat="1" x14ac:dyDescent="0.25"/>
    <row r="129348" s="12" customFormat="1" x14ac:dyDescent="0.25"/>
    <row r="129349" s="12" customFormat="1" x14ac:dyDescent="0.25"/>
    <row r="129350" s="12" customFormat="1" x14ac:dyDescent="0.25"/>
    <row r="129351" s="12" customFormat="1" x14ac:dyDescent="0.25"/>
    <row r="129352" s="12" customFormat="1" x14ac:dyDescent="0.25"/>
    <row r="129353" s="12" customFormat="1" x14ac:dyDescent="0.25"/>
    <row r="129354" s="12" customFormat="1" x14ac:dyDescent="0.25"/>
    <row r="129355" s="12" customFormat="1" x14ac:dyDescent="0.25"/>
    <row r="129356" s="12" customFormat="1" x14ac:dyDescent="0.25"/>
    <row r="129357" s="12" customFormat="1" x14ac:dyDescent="0.25"/>
    <row r="129358" s="12" customFormat="1" x14ac:dyDescent="0.25"/>
    <row r="129359" s="12" customFormat="1" x14ac:dyDescent="0.25"/>
    <row r="129360" s="12" customFormat="1" x14ac:dyDescent="0.25"/>
    <row r="129361" s="12" customFormat="1" x14ac:dyDescent="0.25"/>
    <row r="129362" s="12" customFormat="1" x14ac:dyDescent="0.25"/>
    <row r="129363" s="12" customFormat="1" x14ac:dyDescent="0.25"/>
    <row r="129364" s="12" customFormat="1" x14ac:dyDescent="0.25"/>
    <row r="129365" s="12" customFormat="1" x14ac:dyDescent="0.25"/>
    <row r="129366" s="12" customFormat="1" x14ac:dyDescent="0.25"/>
    <row r="129367" s="12" customFormat="1" x14ac:dyDescent="0.25"/>
    <row r="129368" s="12" customFormat="1" x14ac:dyDescent="0.25"/>
    <row r="129369" s="12" customFormat="1" x14ac:dyDescent="0.25"/>
    <row r="129370" s="12" customFormat="1" x14ac:dyDescent="0.25"/>
    <row r="129371" s="12" customFormat="1" x14ac:dyDescent="0.25"/>
    <row r="129372" s="12" customFormat="1" x14ac:dyDescent="0.25"/>
    <row r="129373" s="12" customFormat="1" x14ac:dyDescent="0.25"/>
    <row r="129374" s="12" customFormat="1" x14ac:dyDescent="0.25"/>
    <row r="129375" s="12" customFormat="1" x14ac:dyDescent="0.25"/>
    <row r="129376" s="12" customFormat="1" x14ac:dyDescent="0.25"/>
    <row r="129377" s="12" customFormat="1" x14ac:dyDescent="0.25"/>
    <row r="129378" s="12" customFormat="1" x14ac:dyDescent="0.25"/>
    <row r="129379" s="12" customFormat="1" x14ac:dyDescent="0.25"/>
    <row r="129380" s="12" customFormat="1" x14ac:dyDescent="0.25"/>
    <row r="129381" s="12" customFormat="1" x14ac:dyDescent="0.25"/>
    <row r="129382" s="12" customFormat="1" x14ac:dyDescent="0.25"/>
    <row r="129383" s="12" customFormat="1" x14ac:dyDescent="0.25"/>
    <row r="129384" s="12" customFormat="1" x14ac:dyDescent="0.25"/>
    <row r="129385" s="12" customFormat="1" x14ac:dyDescent="0.25"/>
    <row r="129386" s="12" customFormat="1" x14ac:dyDescent="0.25"/>
    <row r="129387" s="12" customFormat="1" x14ac:dyDescent="0.25"/>
    <row r="129388" s="12" customFormat="1" x14ac:dyDescent="0.25"/>
    <row r="129389" s="12" customFormat="1" x14ac:dyDescent="0.25"/>
    <row r="129390" s="12" customFormat="1" x14ac:dyDescent="0.25"/>
    <row r="129391" s="12" customFormat="1" x14ac:dyDescent="0.25"/>
    <row r="129392" s="12" customFormat="1" x14ac:dyDescent="0.25"/>
    <row r="129393" s="12" customFormat="1" x14ac:dyDescent="0.25"/>
    <row r="129394" s="12" customFormat="1" x14ac:dyDescent="0.25"/>
    <row r="129395" s="12" customFormat="1" x14ac:dyDescent="0.25"/>
    <row r="129396" s="12" customFormat="1" x14ac:dyDescent="0.25"/>
    <row r="129397" s="12" customFormat="1" x14ac:dyDescent="0.25"/>
    <row r="129398" s="12" customFormat="1" x14ac:dyDescent="0.25"/>
    <row r="129399" s="12" customFormat="1" x14ac:dyDescent="0.25"/>
    <row r="129400" s="12" customFormat="1" x14ac:dyDescent="0.25"/>
    <row r="129401" s="12" customFormat="1" x14ac:dyDescent="0.25"/>
    <row r="129402" s="12" customFormat="1" x14ac:dyDescent="0.25"/>
    <row r="129403" s="12" customFormat="1" x14ac:dyDescent="0.25"/>
    <row r="129404" s="12" customFormat="1" x14ac:dyDescent="0.25"/>
    <row r="129405" s="12" customFormat="1" x14ac:dyDescent="0.25"/>
    <row r="129406" s="12" customFormat="1" x14ac:dyDescent="0.25"/>
    <row r="129407" s="12" customFormat="1" x14ac:dyDescent="0.25"/>
    <row r="129408" s="12" customFormat="1" x14ac:dyDescent="0.25"/>
    <row r="129409" s="12" customFormat="1" x14ac:dyDescent="0.25"/>
    <row r="129410" s="12" customFormat="1" x14ac:dyDescent="0.25"/>
    <row r="129411" s="12" customFormat="1" x14ac:dyDescent="0.25"/>
    <row r="129412" s="12" customFormat="1" x14ac:dyDescent="0.25"/>
    <row r="129413" s="12" customFormat="1" x14ac:dyDescent="0.25"/>
    <row r="129414" s="12" customFormat="1" x14ac:dyDescent="0.25"/>
    <row r="129415" s="12" customFormat="1" x14ac:dyDescent="0.25"/>
    <row r="129416" s="12" customFormat="1" x14ac:dyDescent="0.25"/>
    <row r="129417" s="12" customFormat="1" x14ac:dyDescent="0.25"/>
    <row r="129418" s="12" customFormat="1" x14ac:dyDescent="0.25"/>
    <row r="129419" s="12" customFormat="1" x14ac:dyDescent="0.25"/>
    <row r="129420" s="12" customFormat="1" x14ac:dyDescent="0.25"/>
    <row r="129421" s="12" customFormat="1" x14ac:dyDescent="0.25"/>
    <row r="129422" s="12" customFormat="1" x14ac:dyDescent="0.25"/>
    <row r="129423" s="12" customFormat="1" x14ac:dyDescent="0.25"/>
    <row r="129424" s="12" customFormat="1" x14ac:dyDescent="0.25"/>
    <row r="129425" s="12" customFormat="1" x14ac:dyDescent="0.25"/>
    <row r="129426" s="12" customFormat="1" x14ac:dyDescent="0.25"/>
    <row r="129427" s="12" customFormat="1" x14ac:dyDescent="0.25"/>
    <row r="129428" s="12" customFormat="1" x14ac:dyDescent="0.25"/>
    <row r="129429" s="12" customFormat="1" x14ac:dyDescent="0.25"/>
    <row r="129430" s="12" customFormat="1" x14ac:dyDescent="0.25"/>
    <row r="129431" s="12" customFormat="1" x14ac:dyDescent="0.25"/>
    <row r="129432" s="12" customFormat="1" x14ac:dyDescent="0.25"/>
    <row r="129433" s="12" customFormat="1" x14ac:dyDescent="0.25"/>
    <row r="129434" s="12" customFormat="1" x14ac:dyDescent="0.25"/>
    <row r="129435" s="12" customFormat="1" x14ac:dyDescent="0.25"/>
    <row r="129436" s="12" customFormat="1" x14ac:dyDescent="0.25"/>
    <row r="129437" s="12" customFormat="1" x14ac:dyDescent="0.25"/>
    <row r="129438" s="12" customFormat="1" x14ac:dyDescent="0.25"/>
    <row r="129439" s="12" customFormat="1" x14ac:dyDescent="0.25"/>
    <row r="129440" s="12" customFormat="1" x14ac:dyDescent="0.25"/>
    <row r="129441" s="12" customFormat="1" x14ac:dyDescent="0.25"/>
    <row r="129442" s="12" customFormat="1" x14ac:dyDescent="0.25"/>
    <row r="129443" s="12" customFormat="1" x14ac:dyDescent="0.25"/>
    <row r="129444" s="12" customFormat="1" x14ac:dyDescent="0.25"/>
    <row r="129445" s="12" customFormat="1" x14ac:dyDescent="0.25"/>
    <row r="129446" s="12" customFormat="1" x14ac:dyDescent="0.25"/>
    <row r="129447" s="12" customFormat="1" x14ac:dyDescent="0.25"/>
    <row r="129448" s="12" customFormat="1" x14ac:dyDescent="0.25"/>
    <row r="129449" s="12" customFormat="1" x14ac:dyDescent="0.25"/>
    <row r="129450" s="12" customFormat="1" x14ac:dyDescent="0.25"/>
    <row r="129451" s="12" customFormat="1" x14ac:dyDescent="0.25"/>
    <row r="129452" s="12" customFormat="1" x14ac:dyDescent="0.25"/>
    <row r="129453" s="12" customFormat="1" x14ac:dyDescent="0.25"/>
    <row r="129454" s="12" customFormat="1" x14ac:dyDescent="0.25"/>
    <row r="129455" s="12" customFormat="1" x14ac:dyDescent="0.25"/>
    <row r="129456" s="12" customFormat="1" x14ac:dyDescent="0.25"/>
    <row r="129457" s="12" customFormat="1" x14ac:dyDescent="0.25"/>
    <row r="129458" s="12" customFormat="1" x14ac:dyDescent="0.25"/>
    <row r="129459" s="12" customFormat="1" x14ac:dyDescent="0.25"/>
    <row r="129460" s="12" customFormat="1" x14ac:dyDescent="0.25"/>
    <row r="129461" s="12" customFormat="1" x14ac:dyDescent="0.25"/>
    <row r="129462" s="12" customFormat="1" x14ac:dyDescent="0.25"/>
    <row r="129463" s="12" customFormat="1" x14ac:dyDescent="0.25"/>
    <row r="129464" s="12" customFormat="1" x14ac:dyDescent="0.25"/>
    <row r="129465" s="12" customFormat="1" x14ac:dyDescent="0.25"/>
    <row r="129466" s="12" customFormat="1" x14ac:dyDescent="0.25"/>
    <row r="129467" s="12" customFormat="1" x14ac:dyDescent="0.25"/>
    <row r="129468" s="12" customFormat="1" x14ac:dyDescent="0.25"/>
    <row r="129469" s="12" customFormat="1" x14ac:dyDescent="0.25"/>
    <row r="129470" s="12" customFormat="1" x14ac:dyDescent="0.25"/>
    <row r="129471" s="12" customFormat="1" x14ac:dyDescent="0.25"/>
    <row r="129472" s="12" customFormat="1" x14ac:dyDescent="0.25"/>
    <row r="129473" s="12" customFormat="1" x14ac:dyDescent="0.25"/>
    <row r="129474" s="12" customFormat="1" x14ac:dyDescent="0.25"/>
    <row r="129475" s="12" customFormat="1" x14ac:dyDescent="0.25"/>
    <row r="129476" s="12" customFormat="1" x14ac:dyDescent="0.25"/>
    <row r="129477" s="12" customFormat="1" x14ac:dyDescent="0.25"/>
    <row r="129478" s="12" customFormat="1" x14ac:dyDescent="0.25"/>
    <row r="129479" s="12" customFormat="1" x14ac:dyDescent="0.25"/>
    <row r="129480" s="12" customFormat="1" x14ac:dyDescent="0.25"/>
    <row r="129481" s="12" customFormat="1" x14ac:dyDescent="0.25"/>
    <row r="129482" s="12" customFormat="1" x14ac:dyDescent="0.25"/>
    <row r="129483" s="12" customFormat="1" x14ac:dyDescent="0.25"/>
    <row r="129484" s="12" customFormat="1" x14ac:dyDescent="0.25"/>
    <row r="129485" s="12" customFormat="1" x14ac:dyDescent="0.25"/>
    <row r="129486" s="12" customFormat="1" x14ac:dyDescent="0.25"/>
    <row r="129487" s="12" customFormat="1" x14ac:dyDescent="0.25"/>
    <row r="129488" s="12" customFormat="1" x14ac:dyDescent="0.25"/>
    <row r="129489" s="12" customFormat="1" x14ac:dyDescent="0.25"/>
    <row r="129490" s="12" customFormat="1" x14ac:dyDescent="0.25"/>
    <row r="129491" s="12" customFormat="1" x14ac:dyDescent="0.25"/>
    <row r="129492" s="12" customFormat="1" x14ac:dyDescent="0.25"/>
    <row r="129493" s="12" customFormat="1" x14ac:dyDescent="0.25"/>
    <row r="129494" s="12" customFormat="1" x14ac:dyDescent="0.25"/>
    <row r="129495" s="12" customFormat="1" x14ac:dyDescent="0.25"/>
    <row r="129496" s="12" customFormat="1" x14ac:dyDescent="0.25"/>
    <row r="129497" s="12" customFormat="1" x14ac:dyDescent="0.25"/>
    <row r="129498" s="12" customFormat="1" x14ac:dyDescent="0.25"/>
    <row r="129499" s="12" customFormat="1" x14ac:dyDescent="0.25"/>
    <row r="129500" s="12" customFormat="1" x14ac:dyDescent="0.25"/>
    <row r="129501" s="12" customFormat="1" x14ac:dyDescent="0.25"/>
    <row r="129502" s="12" customFormat="1" x14ac:dyDescent="0.25"/>
    <row r="129503" s="12" customFormat="1" x14ac:dyDescent="0.25"/>
    <row r="129504" s="12" customFormat="1" x14ac:dyDescent="0.25"/>
    <row r="129505" s="12" customFormat="1" x14ac:dyDescent="0.25"/>
    <row r="129506" s="12" customFormat="1" x14ac:dyDescent="0.25"/>
    <row r="129507" s="12" customFormat="1" x14ac:dyDescent="0.25"/>
    <row r="129508" s="12" customFormat="1" x14ac:dyDescent="0.25"/>
    <row r="129509" s="12" customFormat="1" x14ac:dyDescent="0.25"/>
    <row r="129510" s="12" customFormat="1" x14ac:dyDescent="0.25"/>
    <row r="129511" s="12" customFormat="1" x14ac:dyDescent="0.25"/>
    <row r="129512" s="12" customFormat="1" x14ac:dyDescent="0.25"/>
    <row r="129513" s="12" customFormat="1" x14ac:dyDescent="0.25"/>
    <row r="129514" s="12" customFormat="1" x14ac:dyDescent="0.25"/>
    <row r="129515" s="12" customFormat="1" x14ac:dyDescent="0.25"/>
    <row r="129516" s="12" customFormat="1" x14ac:dyDescent="0.25"/>
    <row r="129517" s="12" customFormat="1" x14ac:dyDescent="0.25"/>
    <row r="129518" s="12" customFormat="1" x14ac:dyDescent="0.25"/>
    <row r="129519" s="12" customFormat="1" x14ac:dyDescent="0.25"/>
    <row r="129520" s="12" customFormat="1" x14ac:dyDescent="0.25"/>
    <row r="129521" s="12" customFormat="1" x14ac:dyDescent="0.25"/>
    <row r="129522" s="12" customFormat="1" x14ac:dyDescent="0.25"/>
    <row r="129523" s="12" customFormat="1" x14ac:dyDescent="0.25"/>
    <row r="129524" s="12" customFormat="1" x14ac:dyDescent="0.25"/>
    <row r="129525" s="12" customFormat="1" x14ac:dyDescent="0.25"/>
    <row r="129526" s="12" customFormat="1" x14ac:dyDescent="0.25"/>
    <row r="129527" s="12" customFormat="1" x14ac:dyDescent="0.25"/>
    <row r="129528" s="12" customFormat="1" x14ac:dyDescent="0.25"/>
    <row r="129529" s="12" customFormat="1" x14ac:dyDescent="0.25"/>
    <row r="129530" s="12" customFormat="1" x14ac:dyDescent="0.25"/>
    <row r="129531" s="12" customFormat="1" x14ac:dyDescent="0.25"/>
    <row r="129532" s="12" customFormat="1" x14ac:dyDescent="0.25"/>
    <row r="129533" s="12" customFormat="1" x14ac:dyDescent="0.25"/>
    <row r="129534" s="12" customFormat="1" x14ac:dyDescent="0.25"/>
    <row r="129535" s="12" customFormat="1" x14ac:dyDescent="0.25"/>
    <row r="129536" s="12" customFormat="1" x14ac:dyDescent="0.25"/>
    <row r="129537" s="12" customFormat="1" x14ac:dyDescent="0.25"/>
    <row r="129538" s="12" customFormat="1" x14ac:dyDescent="0.25"/>
    <row r="129539" s="12" customFormat="1" x14ac:dyDescent="0.25"/>
    <row r="129540" s="12" customFormat="1" x14ac:dyDescent="0.25"/>
    <row r="129541" s="12" customFormat="1" x14ac:dyDescent="0.25"/>
    <row r="129542" s="12" customFormat="1" x14ac:dyDescent="0.25"/>
    <row r="129543" s="12" customFormat="1" x14ac:dyDescent="0.25"/>
    <row r="129544" s="12" customFormat="1" x14ac:dyDescent="0.25"/>
    <row r="129545" s="12" customFormat="1" x14ac:dyDescent="0.25"/>
    <row r="129546" s="12" customFormat="1" x14ac:dyDescent="0.25"/>
    <row r="129547" s="12" customFormat="1" x14ac:dyDescent="0.25"/>
    <row r="129548" s="12" customFormat="1" x14ac:dyDescent="0.25"/>
    <row r="129549" s="12" customFormat="1" x14ac:dyDescent="0.25"/>
    <row r="129550" s="12" customFormat="1" x14ac:dyDescent="0.25"/>
    <row r="129551" s="12" customFormat="1" x14ac:dyDescent="0.25"/>
    <row r="129552" s="12" customFormat="1" x14ac:dyDescent="0.25"/>
    <row r="129553" s="12" customFormat="1" x14ac:dyDescent="0.25"/>
    <row r="129554" s="12" customFormat="1" x14ac:dyDescent="0.25"/>
    <row r="129555" s="12" customFormat="1" x14ac:dyDescent="0.25"/>
    <row r="129556" s="12" customFormat="1" x14ac:dyDescent="0.25"/>
    <row r="129557" s="12" customFormat="1" x14ac:dyDescent="0.25"/>
    <row r="129558" s="12" customFormat="1" x14ac:dyDescent="0.25"/>
    <row r="129559" s="12" customFormat="1" x14ac:dyDescent="0.25"/>
    <row r="129560" s="12" customFormat="1" x14ac:dyDescent="0.25"/>
    <row r="129561" s="12" customFormat="1" x14ac:dyDescent="0.25"/>
    <row r="129562" s="12" customFormat="1" x14ac:dyDescent="0.25"/>
    <row r="129563" s="12" customFormat="1" x14ac:dyDescent="0.25"/>
    <row r="129564" s="12" customFormat="1" x14ac:dyDescent="0.25"/>
    <row r="129565" s="12" customFormat="1" x14ac:dyDescent="0.25"/>
    <row r="129566" s="12" customFormat="1" x14ac:dyDescent="0.25"/>
    <row r="129567" s="12" customFormat="1" x14ac:dyDescent="0.25"/>
    <row r="129568" s="12" customFormat="1" x14ac:dyDescent="0.25"/>
    <row r="129569" s="12" customFormat="1" x14ac:dyDescent="0.25"/>
    <row r="129570" s="12" customFormat="1" x14ac:dyDescent="0.25"/>
    <row r="129571" s="12" customFormat="1" x14ac:dyDescent="0.25"/>
    <row r="129572" s="12" customFormat="1" x14ac:dyDescent="0.25"/>
    <row r="129573" s="12" customFormat="1" x14ac:dyDescent="0.25"/>
    <row r="129574" s="12" customFormat="1" x14ac:dyDescent="0.25"/>
    <row r="129575" s="12" customFormat="1" x14ac:dyDescent="0.25"/>
    <row r="129576" s="12" customFormat="1" x14ac:dyDescent="0.25"/>
    <row r="129577" s="12" customFormat="1" x14ac:dyDescent="0.25"/>
    <row r="129578" s="12" customFormat="1" x14ac:dyDescent="0.25"/>
    <row r="129579" s="12" customFormat="1" x14ac:dyDescent="0.25"/>
    <row r="129580" s="12" customFormat="1" x14ac:dyDescent="0.25"/>
    <row r="129581" s="12" customFormat="1" x14ac:dyDescent="0.25"/>
    <row r="129582" s="12" customFormat="1" x14ac:dyDescent="0.25"/>
    <row r="129583" s="12" customFormat="1" x14ac:dyDescent="0.25"/>
    <row r="129584" s="12" customFormat="1" x14ac:dyDescent="0.25"/>
    <row r="129585" s="12" customFormat="1" x14ac:dyDescent="0.25"/>
    <row r="129586" s="12" customFormat="1" x14ac:dyDescent="0.25"/>
    <row r="129587" s="12" customFormat="1" x14ac:dyDescent="0.25"/>
    <row r="129588" s="12" customFormat="1" x14ac:dyDescent="0.25"/>
    <row r="129589" s="12" customFormat="1" x14ac:dyDescent="0.25"/>
    <row r="129590" s="12" customFormat="1" x14ac:dyDescent="0.25"/>
    <row r="129591" s="12" customFormat="1" x14ac:dyDescent="0.25"/>
    <row r="129592" s="12" customFormat="1" x14ac:dyDescent="0.25"/>
    <row r="129593" s="12" customFormat="1" x14ac:dyDescent="0.25"/>
    <row r="129594" s="12" customFormat="1" x14ac:dyDescent="0.25"/>
    <row r="129595" s="12" customFormat="1" x14ac:dyDescent="0.25"/>
    <row r="129596" s="12" customFormat="1" x14ac:dyDescent="0.25"/>
    <row r="129597" s="12" customFormat="1" x14ac:dyDescent="0.25"/>
    <row r="129598" s="12" customFormat="1" x14ac:dyDescent="0.25"/>
    <row r="129599" s="12" customFormat="1" x14ac:dyDescent="0.25"/>
    <row r="129600" s="12" customFormat="1" x14ac:dyDescent="0.25"/>
    <row r="129601" s="12" customFormat="1" x14ac:dyDescent="0.25"/>
    <row r="129602" s="12" customFormat="1" x14ac:dyDescent="0.25"/>
    <row r="129603" s="12" customFormat="1" x14ac:dyDescent="0.25"/>
    <row r="129604" s="12" customFormat="1" x14ac:dyDescent="0.25"/>
    <row r="129605" s="12" customFormat="1" x14ac:dyDescent="0.25"/>
    <row r="129606" s="12" customFormat="1" x14ac:dyDescent="0.25"/>
    <row r="129607" s="12" customFormat="1" x14ac:dyDescent="0.25"/>
    <row r="129608" s="12" customFormat="1" x14ac:dyDescent="0.25"/>
    <row r="129609" s="12" customFormat="1" x14ac:dyDescent="0.25"/>
    <row r="129610" s="12" customFormat="1" x14ac:dyDescent="0.25"/>
    <row r="129611" s="12" customFormat="1" x14ac:dyDescent="0.25"/>
    <row r="129612" s="12" customFormat="1" x14ac:dyDescent="0.25"/>
    <row r="129613" s="12" customFormat="1" x14ac:dyDescent="0.25"/>
    <row r="129614" s="12" customFormat="1" x14ac:dyDescent="0.25"/>
    <row r="129615" s="12" customFormat="1" x14ac:dyDescent="0.25"/>
    <row r="129616" s="12" customFormat="1" x14ac:dyDescent="0.25"/>
    <row r="129617" s="12" customFormat="1" x14ac:dyDescent="0.25"/>
    <row r="129618" s="12" customFormat="1" x14ac:dyDescent="0.25"/>
    <row r="129619" s="12" customFormat="1" x14ac:dyDescent="0.25"/>
    <row r="129620" s="12" customFormat="1" x14ac:dyDescent="0.25"/>
    <row r="129621" s="12" customFormat="1" x14ac:dyDescent="0.25"/>
    <row r="129622" s="12" customFormat="1" x14ac:dyDescent="0.25"/>
    <row r="129623" s="12" customFormat="1" x14ac:dyDescent="0.25"/>
    <row r="129624" s="12" customFormat="1" x14ac:dyDescent="0.25"/>
    <row r="129625" s="12" customFormat="1" x14ac:dyDescent="0.25"/>
    <row r="129626" s="12" customFormat="1" x14ac:dyDescent="0.25"/>
    <row r="129627" s="12" customFormat="1" x14ac:dyDescent="0.25"/>
    <row r="129628" s="12" customFormat="1" x14ac:dyDescent="0.25"/>
    <row r="129629" s="12" customFormat="1" x14ac:dyDescent="0.25"/>
    <row r="129630" s="12" customFormat="1" x14ac:dyDescent="0.25"/>
    <row r="129631" s="12" customFormat="1" x14ac:dyDescent="0.25"/>
    <row r="129632" s="12" customFormat="1" x14ac:dyDescent="0.25"/>
    <row r="129633" s="12" customFormat="1" x14ac:dyDescent="0.25"/>
    <row r="129634" s="12" customFormat="1" x14ac:dyDescent="0.25"/>
    <row r="129635" s="12" customFormat="1" x14ac:dyDescent="0.25"/>
    <row r="129636" s="12" customFormat="1" x14ac:dyDescent="0.25"/>
    <row r="129637" s="12" customFormat="1" x14ac:dyDescent="0.25"/>
    <row r="129638" s="12" customFormat="1" x14ac:dyDescent="0.25"/>
    <row r="129639" s="12" customFormat="1" x14ac:dyDescent="0.25"/>
    <row r="129640" s="12" customFormat="1" x14ac:dyDescent="0.25"/>
    <row r="129641" s="12" customFormat="1" x14ac:dyDescent="0.25"/>
    <row r="129642" s="12" customFormat="1" x14ac:dyDescent="0.25"/>
    <row r="129643" s="12" customFormat="1" x14ac:dyDescent="0.25"/>
    <row r="129644" s="12" customFormat="1" x14ac:dyDescent="0.25"/>
    <row r="129645" s="12" customFormat="1" x14ac:dyDescent="0.25"/>
    <row r="129646" s="12" customFormat="1" x14ac:dyDescent="0.25"/>
    <row r="129647" s="12" customFormat="1" x14ac:dyDescent="0.25"/>
    <row r="129648" s="12" customFormat="1" x14ac:dyDescent="0.25"/>
    <row r="129649" s="12" customFormat="1" x14ac:dyDescent="0.25"/>
    <row r="129650" s="12" customFormat="1" x14ac:dyDescent="0.25"/>
    <row r="129651" s="12" customFormat="1" x14ac:dyDescent="0.25"/>
    <row r="129652" s="12" customFormat="1" x14ac:dyDescent="0.25"/>
    <row r="129653" s="12" customFormat="1" x14ac:dyDescent="0.25"/>
    <row r="129654" s="12" customFormat="1" x14ac:dyDescent="0.25"/>
    <row r="129655" s="12" customFormat="1" x14ac:dyDescent="0.25"/>
    <row r="129656" s="12" customFormat="1" x14ac:dyDescent="0.25"/>
    <row r="129657" s="12" customFormat="1" x14ac:dyDescent="0.25"/>
    <row r="129658" s="12" customFormat="1" x14ac:dyDescent="0.25"/>
    <row r="129659" s="12" customFormat="1" x14ac:dyDescent="0.25"/>
    <row r="129660" s="12" customFormat="1" x14ac:dyDescent="0.25"/>
    <row r="129661" s="12" customFormat="1" x14ac:dyDescent="0.25"/>
    <row r="129662" s="12" customFormat="1" x14ac:dyDescent="0.25"/>
    <row r="129663" s="12" customFormat="1" x14ac:dyDescent="0.25"/>
    <row r="129664" s="12" customFormat="1" x14ac:dyDescent="0.25"/>
    <row r="129665" s="12" customFormat="1" x14ac:dyDescent="0.25"/>
    <row r="129666" s="12" customFormat="1" x14ac:dyDescent="0.25"/>
    <row r="129667" s="12" customFormat="1" x14ac:dyDescent="0.25"/>
    <row r="129668" s="12" customFormat="1" x14ac:dyDescent="0.25"/>
    <row r="129669" s="12" customFormat="1" x14ac:dyDescent="0.25"/>
    <row r="129670" s="12" customFormat="1" x14ac:dyDescent="0.25"/>
    <row r="129671" s="12" customFormat="1" x14ac:dyDescent="0.25"/>
    <row r="129672" s="12" customFormat="1" x14ac:dyDescent="0.25"/>
    <row r="129673" s="12" customFormat="1" x14ac:dyDescent="0.25"/>
    <row r="129674" s="12" customFormat="1" x14ac:dyDescent="0.25"/>
    <row r="129675" s="12" customFormat="1" x14ac:dyDescent="0.25"/>
    <row r="129676" s="12" customFormat="1" x14ac:dyDescent="0.25"/>
    <row r="129677" s="12" customFormat="1" x14ac:dyDescent="0.25"/>
    <row r="129678" s="12" customFormat="1" x14ac:dyDescent="0.25"/>
    <row r="129679" s="12" customFormat="1" x14ac:dyDescent="0.25"/>
    <row r="129680" s="12" customFormat="1" x14ac:dyDescent="0.25"/>
    <row r="129681" s="12" customFormat="1" x14ac:dyDescent="0.25"/>
    <row r="129682" s="12" customFormat="1" x14ac:dyDescent="0.25"/>
    <row r="129683" s="12" customFormat="1" x14ac:dyDescent="0.25"/>
    <row r="129684" s="12" customFormat="1" x14ac:dyDescent="0.25"/>
    <row r="129685" s="12" customFormat="1" x14ac:dyDescent="0.25"/>
    <row r="129686" s="12" customFormat="1" x14ac:dyDescent="0.25"/>
    <row r="129687" s="12" customFormat="1" x14ac:dyDescent="0.25"/>
    <row r="129688" s="12" customFormat="1" x14ac:dyDescent="0.25"/>
    <row r="129689" s="12" customFormat="1" x14ac:dyDescent="0.25"/>
    <row r="129690" s="12" customFormat="1" x14ac:dyDescent="0.25"/>
    <row r="129691" s="12" customFormat="1" x14ac:dyDescent="0.25"/>
    <row r="129692" s="12" customFormat="1" x14ac:dyDescent="0.25"/>
    <row r="129693" s="12" customFormat="1" x14ac:dyDescent="0.25"/>
    <row r="129694" s="12" customFormat="1" x14ac:dyDescent="0.25"/>
    <row r="129695" s="12" customFormat="1" x14ac:dyDescent="0.25"/>
    <row r="129696" s="12" customFormat="1" x14ac:dyDescent="0.25"/>
    <row r="129697" s="12" customFormat="1" x14ac:dyDescent="0.25"/>
    <row r="129698" s="12" customFormat="1" x14ac:dyDescent="0.25"/>
    <row r="129699" s="12" customFormat="1" x14ac:dyDescent="0.25"/>
    <row r="129700" s="12" customFormat="1" x14ac:dyDescent="0.25"/>
    <row r="129701" s="12" customFormat="1" x14ac:dyDescent="0.25"/>
    <row r="129702" s="12" customFormat="1" x14ac:dyDescent="0.25"/>
    <row r="129703" s="12" customFormat="1" x14ac:dyDescent="0.25"/>
    <row r="129704" s="12" customFormat="1" x14ac:dyDescent="0.25"/>
    <row r="129705" s="12" customFormat="1" x14ac:dyDescent="0.25"/>
    <row r="129706" s="12" customFormat="1" x14ac:dyDescent="0.25"/>
    <row r="129707" s="12" customFormat="1" x14ac:dyDescent="0.25"/>
    <row r="129708" s="12" customFormat="1" x14ac:dyDescent="0.25"/>
    <row r="129709" s="12" customFormat="1" x14ac:dyDescent="0.25"/>
    <row r="129710" s="12" customFormat="1" x14ac:dyDescent="0.25"/>
    <row r="129711" s="12" customFormat="1" x14ac:dyDescent="0.25"/>
    <row r="129712" s="12" customFormat="1" x14ac:dyDescent="0.25"/>
    <row r="129713" s="12" customFormat="1" x14ac:dyDescent="0.25"/>
    <row r="129714" s="12" customFormat="1" x14ac:dyDescent="0.25"/>
    <row r="129715" s="12" customFormat="1" x14ac:dyDescent="0.25"/>
    <row r="129716" s="12" customFormat="1" x14ac:dyDescent="0.25"/>
    <row r="129717" s="12" customFormat="1" x14ac:dyDescent="0.25"/>
    <row r="129718" s="12" customFormat="1" x14ac:dyDescent="0.25"/>
    <row r="129719" s="12" customFormat="1" x14ac:dyDescent="0.25"/>
    <row r="129720" s="12" customFormat="1" x14ac:dyDescent="0.25"/>
    <row r="129721" s="12" customFormat="1" x14ac:dyDescent="0.25"/>
    <row r="129722" s="12" customFormat="1" x14ac:dyDescent="0.25"/>
    <row r="129723" s="12" customFormat="1" x14ac:dyDescent="0.25"/>
    <row r="129724" s="12" customFormat="1" x14ac:dyDescent="0.25"/>
    <row r="129725" s="12" customFormat="1" x14ac:dyDescent="0.25"/>
    <row r="129726" s="12" customFormat="1" x14ac:dyDescent="0.25"/>
    <row r="129727" s="12" customFormat="1" x14ac:dyDescent="0.25"/>
    <row r="129728" s="12" customFormat="1" x14ac:dyDescent="0.25"/>
    <row r="129729" s="12" customFormat="1" x14ac:dyDescent="0.25"/>
    <row r="129730" s="12" customFormat="1" x14ac:dyDescent="0.25"/>
    <row r="129731" s="12" customFormat="1" x14ac:dyDescent="0.25"/>
    <row r="129732" s="12" customFormat="1" x14ac:dyDescent="0.25"/>
    <row r="129733" s="12" customFormat="1" x14ac:dyDescent="0.25"/>
    <row r="129734" s="12" customFormat="1" x14ac:dyDescent="0.25"/>
    <row r="129735" s="12" customFormat="1" x14ac:dyDescent="0.25"/>
    <row r="129736" s="12" customFormat="1" x14ac:dyDescent="0.25"/>
    <row r="129737" s="12" customFormat="1" x14ac:dyDescent="0.25"/>
    <row r="129738" s="12" customFormat="1" x14ac:dyDescent="0.25"/>
    <row r="129739" s="12" customFormat="1" x14ac:dyDescent="0.25"/>
    <row r="129740" s="12" customFormat="1" x14ac:dyDescent="0.25"/>
    <row r="129741" s="12" customFormat="1" x14ac:dyDescent="0.25"/>
    <row r="129742" s="12" customFormat="1" x14ac:dyDescent="0.25"/>
    <row r="129743" s="12" customFormat="1" x14ac:dyDescent="0.25"/>
    <row r="129744" s="12" customFormat="1" x14ac:dyDescent="0.25"/>
    <row r="129745" s="12" customFormat="1" x14ac:dyDescent="0.25"/>
    <row r="129746" s="12" customFormat="1" x14ac:dyDescent="0.25"/>
    <row r="129747" s="12" customFormat="1" x14ac:dyDescent="0.25"/>
    <row r="129748" s="12" customFormat="1" x14ac:dyDescent="0.25"/>
    <row r="129749" s="12" customFormat="1" x14ac:dyDescent="0.25"/>
    <row r="129750" s="12" customFormat="1" x14ac:dyDescent="0.25"/>
    <row r="129751" s="12" customFormat="1" x14ac:dyDescent="0.25"/>
    <row r="129752" s="12" customFormat="1" x14ac:dyDescent="0.25"/>
    <row r="129753" s="12" customFormat="1" x14ac:dyDescent="0.25"/>
    <row r="129754" s="12" customFormat="1" x14ac:dyDescent="0.25"/>
    <row r="129755" s="12" customFormat="1" x14ac:dyDescent="0.25"/>
    <row r="129756" s="12" customFormat="1" x14ac:dyDescent="0.25"/>
    <row r="129757" s="12" customFormat="1" x14ac:dyDescent="0.25"/>
    <row r="129758" s="12" customFormat="1" x14ac:dyDescent="0.25"/>
    <row r="129759" s="12" customFormat="1" x14ac:dyDescent="0.25"/>
    <row r="129760" s="12" customFormat="1" x14ac:dyDescent="0.25"/>
    <row r="129761" s="12" customFormat="1" x14ac:dyDescent="0.25"/>
    <row r="129762" s="12" customFormat="1" x14ac:dyDescent="0.25"/>
    <row r="129763" s="12" customFormat="1" x14ac:dyDescent="0.25"/>
    <row r="129764" s="12" customFormat="1" x14ac:dyDescent="0.25"/>
    <row r="129765" s="12" customFormat="1" x14ac:dyDescent="0.25"/>
    <row r="129766" s="12" customFormat="1" x14ac:dyDescent="0.25"/>
    <row r="129767" s="12" customFormat="1" x14ac:dyDescent="0.25"/>
    <row r="129768" s="12" customFormat="1" x14ac:dyDescent="0.25"/>
    <row r="129769" s="12" customFormat="1" x14ac:dyDescent="0.25"/>
    <row r="129770" s="12" customFormat="1" x14ac:dyDescent="0.25"/>
    <row r="129771" s="12" customFormat="1" x14ac:dyDescent="0.25"/>
    <row r="129772" s="12" customFormat="1" x14ac:dyDescent="0.25"/>
    <row r="129773" s="12" customFormat="1" x14ac:dyDescent="0.25"/>
    <row r="129774" s="12" customFormat="1" x14ac:dyDescent="0.25"/>
    <row r="129775" s="12" customFormat="1" x14ac:dyDescent="0.25"/>
    <row r="129776" s="12" customFormat="1" x14ac:dyDescent="0.25"/>
    <row r="129777" s="12" customFormat="1" x14ac:dyDescent="0.25"/>
    <row r="129778" s="12" customFormat="1" x14ac:dyDescent="0.25"/>
    <row r="129779" s="12" customFormat="1" x14ac:dyDescent="0.25"/>
    <row r="129780" s="12" customFormat="1" x14ac:dyDescent="0.25"/>
    <row r="129781" s="12" customFormat="1" x14ac:dyDescent="0.25"/>
    <row r="129782" s="12" customFormat="1" x14ac:dyDescent="0.25"/>
    <row r="129783" s="12" customFormat="1" x14ac:dyDescent="0.25"/>
    <row r="129784" s="12" customFormat="1" x14ac:dyDescent="0.25"/>
    <row r="129785" s="12" customFormat="1" x14ac:dyDescent="0.25"/>
    <row r="129786" s="12" customFormat="1" x14ac:dyDescent="0.25"/>
    <row r="129787" s="12" customFormat="1" x14ac:dyDescent="0.25"/>
    <row r="129788" s="12" customFormat="1" x14ac:dyDescent="0.25"/>
    <row r="129789" s="12" customFormat="1" x14ac:dyDescent="0.25"/>
    <row r="129790" s="12" customFormat="1" x14ac:dyDescent="0.25"/>
    <row r="129791" s="12" customFormat="1" x14ac:dyDescent="0.25"/>
    <row r="129792" s="12" customFormat="1" x14ac:dyDescent="0.25"/>
    <row r="129793" s="12" customFormat="1" x14ac:dyDescent="0.25"/>
    <row r="129794" s="12" customFormat="1" x14ac:dyDescent="0.25"/>
    <row r="129795" s="12" customFormat="1" x14ac:dyDescent="0.25"/>
    <row r="129796" s="12" customFormat="1" x14ac:dyDescent="0.25"/>
    <row r="129797" s="12" customFormat="1" x14ac:dyDescent="0.25"/>
    <row r="129798" s="12" customFormat="1" x14ac:dyDescent="0.25"/>
    <row r="129799" s="12" customFormat="1" x14ac:dyDescent="0.25"/>
    <row r="129800" s="12" customFormat="1" x14ac:dyDescent="0.25"/>
    <row r="129801" s="12" customFormat="1" x14ac:dyDescent="0.25"/>
    <row r="129802" s="12" customFormat="1" x14ac:dyDescent="0.25"/>
    <row r="129803" s="12" customFormat="1" x14ac:dyDescent="0.25"/>
    <row r="129804" s="12" customFormat="1" x14ac:dyDescent="0.25"/>
    <row r="129805" s="12" customFormat="1" x14ac:dyDescent="0.25"/>
    <row r="129806" s="12" customFormat="1" x14ac:dyDescent="0.25"/>
    <row r="129807" s="12" customFormat="1" x14ac:dyDescent="0.25"/>
    <row r="129808" s="12" customFormat="1" x14ac:dyDescent="0.25"/>
    <row r="129809" s="12" customFormat="1" x14ac:dyDescent="0.25"/>
    <row r="129810" s="12" customFormat="1" x14ac:dyDescent="0.25"/>
    <row r="129811" s="12" customFormat="1" x14ac:dyDescent="0.25"/>
    <row r="129812" s="12" customFormat="1" x14ac:dyDescent="0.25"/>
    <row r="129813" s="12" customFormat="1" x14ac:dyDescent="0.25"/>
    <row r="129814" s="12" customFormat="1" x14ac:dyDescent="0.25"/>
    <row r="129815" s="12" customFormat="1" x14ac:dyDescent="0.25"/>
    <row r="129816" s="12" customFormat="1" x14ac:dyDescent="0.25"/>
    <row r="129817" s="12" customFormat="1" x14ac:dyDescent="0.25"/>
    <row r="129818" s="12" customFormat="1" x14ac:dyDescent="0.25"/>
    <row r="129819" s="12" customFormat="1" x14ac:dyDescent="0.25"/>
    <row r="129820" s="12" customFormat="1" x14ac:dyDescent="0.25"/>
    <row r="129821" s="12" customFormat="1" x14ac:dyDescent="0.25"/>
    <row r="129822" s="12" customFormat="1" x14ac:dyDescent="0.25"/>
    <row r="129823" s="12" customFormat="1" x14ac:dyDescent="0.25"/>
    <row r="129824" s="12" customFormat="1" x14ac:dyDescent="0.25"/>
    <row r="129825" s="12" customFormat="1" x14ac:dyDescent="0.25"/>
    <row r="129826" s="12" customFormat="1" x14ac:dyDescent="0.25"/>
    <row r="129827" s="12" customFormat="1" x14ac:dyDescent="0.25"/>
    <row r="129828" s="12" customFormat="1" x14ac:dyDescent="0.25"/>
    <row r="129829" s="12" customFormat="1" x14ac:dyDescent="0.25"/>
    <row r="129830" s="12" customFormat="1" x14ac:dyDescent="0.25"/>
    <row r="129831" s="12" customFormat="1" x14ac:dyDescent="0.25"/>
    <row r="129832" s="12" customFormat="1" x14ac:dyDescent="0.25"/>
    <row r="129833" s="12" customFormat="1" x14ac:dyDescent="0.25"/>
    <row r="129834" s="12" customFormat="1" x14ac:dyDescent="0.25"/>
    <row r="129835" s="12" customFormat="1" x14ac:dyDescent="0.25"/>
    <row r="129836" s="12" customFormat="1" x14ac:dyDescent="0.25"/>
    <row r="129837" s="12" customFormat="1" x14ac:dyDescent="0.25"/>
    <row r="129838" s="12" customFormat="1" x14ac:dyDescent="0.25"/>
    <row r="129839" s="12" customFormat="1" x14ac:dyDescent="0.25"/>
    <row r="129840" s="12" customFormat="1" x14ac:dyDescent="0.25"/>
    <row r="129841" s="12" customFormat="1" x14ac:dyDescent="0.25"/>
    <row r="129842" s="12" customFormat="1" x14ac:dyDescent="0.25"/>
    <row r="129843" s="12" customFormat="1" x14ac:dyDescent="0.25"/>
    <row r="129844" s="12" customFormat="1" x14ac:dyDescent="0.25"/>
    <row r="129845" s="12" customFormat="1" x14ac:dyDescent="0.25"/>
    <row r="129846" s="12" customFormat="1" x14ac:dyDescent="0.25"/>
    <row r="129847" s="12" customFormat="1" x14ac:dyDescent="0.25"/>
    <row r="129848" s="12" customFormat="1" x14ac:dyDescent="0.25"/>
    <row r="129849" s="12" customFormat="1" x14ac:dyDescent="0.25"/>
    <row r="129850" s="12" customFormat="1" x14ac:dyDescent="0.25"/>
    <row r="129851" s="12" customFormat="1" x14ac:dyDescent="0.25"/>
    <row r="129852" s="12" customFormat="1" x14ac:dyDescent="0.25"/>
    <row r="129853" s="12" customFormat="1" x14ac:dyDescent="0.25"/>
    <row r="129854" s="12" customFormat="1" x14ac:dyDescent="0.25"/>
    <row r="129855" s="12" customFormat="1" x14ac:dyDescent="0.25"/>
    <row r="129856" s="12" customFormat="1" x14ac:dyDescent="0.25"/>
    <row r="129857" s="12" customFormat="1" x14ac:dyDescent="0.25"/>
    <row r="129858" s="12" customFormat="1" x14ac:dyDescent="0.25"/>
    <row r="129859" s="12" customFormat="1" x14ac:dyDescent="0.25"/>
    <row r="129860" s="12" customFormat="1" x14ac:dyDescent="0.25"/>
    <row r="129861" s="12" customFormat="1" x14ac:dyDescent="0.25"/>
    <row r="129862" s="12" customFormat="1" x14ac:dyDescent="0.25"/>
    <row r="129863" s="12" customFormat="1" x14ac:dyDescent="0.25"/>
    <row r="129864" s="12" customFormat="1" x14ac:dyDescent="0.25"/>
    <row r="129865" s="12" customFormat="1" x14ac:dyDescent="0.25"/>
    <row r="129866" s="12" customFormat="1" x14ac:dyDescent="0.25"/>
    <row r="129867" s="12" customFormat="1" x14ac:dyDescent="0.25"/>
    <row r="129868" s="12" customFormat="1" x14ac:dyDescent="0.25"/>
    <row r="129869" s="12" customFormat="1" x14ac:dyDescent="0.25"/>
    <row r="129870" s="12" customFormat="1" x14ac:dyDescent="0.25"/>
    <row r="129871" s="12" customFormat="1" x14ac:dyDescent="0.25"/>
    <row r="129872" s="12" customFormat="1" x14ac:dyDescent="0.25"/>
    <row r="129873" s="12" customFormat="1" x14ac:dyDescent="0.25"/>
    <row r="129874" s="12" customFormat="1" x14ac:dyDescent="0.25"/>
    <row r="129875" s="12" customFormat="1" x14ac:dyDescent="0.25"/>
    <row r="129876" s="12" customFormat="1" x14ac:dyDescent="0.25"/>
    <row r="129877" s="12" customFormat="1" x14ac:dyDescent="0.25"/>
    <row r="129878" s="12" customFormat="1" x14ac:dyDescent="0.25"/>
    <row r="129879" s="12" customFormat="1" x14ac:dyDescent="0.25"/>
    <row r="129880" s="12" customFormat="1" x14ac:dyDescent="0.25"/>
    <row r="129881" s="12" customFormat="1" x14ac:dyDescent="0.25"/>
    <row r="129882" s="12" customFormat="1" x14ac:dyDescent="0.25"/>
    <row r="129883" s="12" customFormat="1" x14ac:dyDescent="0.25"/>
    <row r="129884" s="12" customFormat="1" x14ac:dyDescent="0.25"/>
    <row r="129885" s="12" customFormat="1" x14ac:dyDescent="0.25"/>
    <row r="129886" s="12" customFormat="1" x14ac:dyDescent="0.25"/>
    <row r="129887" s="12" customFormat="1" x14ac:dyDescent="0.25"/>
    <row r="129888" s="12" customFormat="1" x14ac:dyDescent="0.25"/>
    <row r="129889" s="12" customFormat="1" x14ac:dyDescent="0.25"/>
    <row r="129890" s="12" customFormat="1" x14ac:dyDescent="0.25"/>
    <row r="129891" s="12" customFormat="1" x14ac:dyDescent="0.25"/>
    <row r="129892" s="12" customFormat="1" x14ac:dyDescent="0.25"/>
    <row r="129893" s="12" customFormat="1" x14ac:dyDescent="0.25"/>
    <row r="129894" s="12" customFormat="1" x14ac:dyDescent="0.25"/>
    <row r="129895" s="12" customFormat="1" x14ac:dyDescent="0.25"/>
    <row r="129896" s="12" customFormat="1" x14ac:dyDescent="0.25"/>
    <row r="129897" s="12" customFormat="1" x14ac:dyDescent="0.25"/>
    <row r="129898" s="12" customFormat="1" x14ac:dyDescent="0.25"/>
    <row r="129899" s="12" customFormat="1" x14ac:dyDescent="0.25"/>
    <row r="129900" s="12" customFormat="1" x14ac:dyDescent="0.25"/>
    <row r="129901" s="12" customFormat="1" x14ac:dyDescent="0.25"/>
    <row r="129902" s="12" customFormat="1" x14ac:dyDescent="0.25"/>
    <row r="129903" s="12" customFormat="1" x14ac:dyDescent="0.25"/>
    <row r="129904" s="12" customFormat="1" x14ac:dyDescent="0.25"/>
    <row r="129905" s="12" customFormat="1" x14ac:dyDescent="0.25"/>
    <row r="129906" s="12" customFormat="1" x14ac:dyDescent="0.25"/>
    <row r="129907" s="12" customFormat="1" x14ac:dyDescent="0.25"/>
    <row r="129908" s="12" customFormat="1" x14ac:dyDescent="0.25"/>
    <row r="129909" s="12" customFormat="1" x14ac:dyDescent="0.25"/>
    <row r="129910" s="12" customFormat="1" x14ac:dyDescent="0.25"/>
    <row r="129911" s="12" customFormat="1" x14ac:dyDescent="0.25"/>
    <row r="129912" s="12" customFormat="1" x14ac:dyDescent="0.25"/>
    <row r="129913" s="12" customFormat="1" x14ac:dyDescent="0.25"/>
    <row r="129914" s="12" customFormat="1" x14ac:dyDescent="0.25"/>
    <row r="129915" s="12" customFormat="1" x14ac:dyDescent="0.25"/>
    <row r="129916" s="12" customFormat="1" x14ac:dyDescent="0.25"/>
    <row r="129917" s="12" customFormat="1" x14ac:dyDescent="0.25"/>
    <row r="129918" s="12" customFormat="1" x14ac:dyDescent="0.25"/>
    <row r="129919" s="12" customFormat="1" x14ac:dyDescent="0.25"/>
    <row r="129920" s="12" customFormat="1" x14ac:dyDescent="0.25"/>
    <row r="129921" s="12" customFormat="1" x14ac:dyDescent="0.25"/>
    <row r="129922" s="12" customFormat="1" x14ac:dyDescent="0.25"/>
    <row r="129923" s="12" customFormat="1" x14ac:dyDescent="0.25"/>
    <row r="129924" s="12" customFormat="1" x14ac:dyDescent="0.25"/>
    <row r="129925" s="12" customFormat="1" x14ac:dyDescent="0.25"/>
    <row r="129926" s="12" customFormat="1" x14ac:dyDescent="0.25"/>
    <row r="129927" s="12" customFormat="1" x14ac:dyDescent="0.25"/>
    <row r="129928" s="12" customFormat="1" x14ac:dyDescent="0.25"/>
    <row r="129929" s="12" customFormat="1" x14ac:dyDescent="0.25"/>
    <row r="129930" s="12" customFormat="1" x14ac:dyDescent="0.25"/>
    <row r="129931" s="12" customFormat="1" x14ac:dyDescent="0.25"/>
    <row r="129932" s="12" customFormat="1" x14ac:dyDescent="0.25"/>
    <row r="129933" s="12" customFormat="1" x14ac:dyDescent="0.25"/>
    <row r="129934" s="12" customFormat="1" x14ac:dyDescent="0.25"/>
    <row r="129935" s="12" customFormat="1" x14ac:dyDescent="0.25"/>
    <row r="129936" s="12" customFormat="1" x14ac:dyDescent="0.25"/>
    <row r="129937" s="12" customFormat="1" x14ac:dyDescent="0.25"/>
    <row r="129938" s="12" customFormat="1" x14ac:dyDescent="0.25"/>
    <row r="129939" s="12" customFormat="1" x14ac:dyDescent="0.25"/>
    <row r="129940" s="12" customFormat="1" x14ac:dyDescent="0.25"/>
    <row r="129941" s="12" customFormat="1" x14ac:dyDescent="0.25"/>
    <row r="129942" s="12" customFormat="1" x14ac:dyDescent="0.25"/>
    <row r="129943" s="12" customFormat="1" x14ac:dyDescent="0.25"/>
    <row r="129944" s="12" customFormat="1" x14ac:dyDescent="0.25"/>
    <row r="129945" s="12" customFormat="1" x14ac:dyDescent="0.25"/>
    <row r="129946" s="12" customFormat="1" x14ac:dyDescent="0.25"/>
    <row r="129947" s="12" customFormat="1" x14ac:dyDescent="0.25"/>
    <row r="129948" s="12" customFormat="1" x14ac:dyDescent="0.25"/>
    <row r="129949" s="12" customFormat="1" x14ac:dyDescent="0.25"/>
    <row r="129950" s="12" customFormat="1" x14ac:dyDescent="0.25"/>
    <row r="129951" s="12" customFormat="1" x14ac:dyDescent="0.25"/>
    <row r="129952" s="12" customFormat="1" x14ac:dyDescent="0.25"/>
    <row r="129953" s="12" customFormat="1" x14ac:dyDescent="0.25"/>
    <row r="129954" s="12" customFormat="1" x14ac:dyDescent="0.25"/>
    <row r="129955" s="12" customFormat="1" x14ac:dyDescent="0.25"/>
    <row r="129956" s="12" customFormat="1" x14ac:dyDescent="0.25"/>
    <row r="129957" s="12" customFormat="1" x14ac:dyDescent="0.25"/>
    <row r="129958" s="12" customFormat="1" x14ac:dyDescent="0.25"/>
    <row r="129959" s="12" customFormat="1" x14ac:dyDescent="0.25"/>
    <row r="129960" s="12" customFormat="1" x14ac:dyDescent="0.25"/>
    <row r="129961" s="12" customFormat="1" x14ac:dyDescent="0.25"/>
    <row r="129962" s="12" customFormat="1" x14ac:dyDescent="0.25"/>
    <row r="129963" s="12" customFormat="1" x14ac:dyDescent="0.25"/>
    <row r="129964" s="12" customFormat="1" x14ac:dyDescent="0.25"/>
    <row r="129965" s="12" customFormat="1" x14ac:dyDescent="0.25"/>
    <row r="129966" s="12" customFormat="1" x14ac:dyDescent="0.25"/>
    <row r="129967" s="12" customFormat="1" x14ac:dyDescent="0.25"/>
    <row r="129968" s="12" customFormat="1" x14ac:dyDescent="0.25"/>
    <row r="129969" s="12" customFormat="1" x14ac:dyDescent="0.25"/>
    <row r="129970" s="12" customFormat="1" x14ac:dyDescent="0.25"/>
    <row r="129971" s="12" customFormat="1" x14ac:dyDescent="0.25"/>
    <row r="129972" s="12" customFormat="1" x14ac:dyDescent="0.25"/>
    <row r="129973" s="12" customFormat="1" x14ac:dyDescent="0.25"/>
    <row r="129974" s="12" customFormat="1" x14ac:dyDescent="0.25"/>
    <row r="129975" s="12" customFormat="1" x14ac:dyDescent="0.25"/>
    <row r="129976" s="12" customFormat="1" x14ac:dyDescent="0.25"/>
    <row r="129977" s="12" customFormat="1" x14ac:dyDescent="0.25"/>
    <row r="129978" s="12" customFormat="1" x14ac:dyDescent="0.25"/>
    <row r="129979" s="12" customFormat="1" x14ac:dyDescent="0.25"/>
    <row r="129980" s="12" customFormat="1" x14ac:dyDescent="0.25"/>
    <row r="129981" s="12" customFormat="1" x14ac:dyDescent="0.25"/>
    <row r="129982" s="12" customFormat="1" x14ac:dyDescent="0.25"/>
    <row r="129983" s="12" customFormat="1" x14ac:dyDescent="0.25"/>
    <row r="129984" s="12" customFormat="1" x14ac:dyDescent="0.25"/>
    <row r="129985" s="12" customFormat="1" x14ac:dyDescent="0.25"/>
    <row r="129986" s="12" customFormat="1" x14ac:dyDescent="0.25"/>
    <row r="129987" s="12" customFormat="1" x14ac:dyDescent="0.25"/>
    <row r="129988" s="12" customFormat="1" x14ac:dyDescent="0.25"/>
    <row r="129989" s="12" customFormat="1" x14ac:dyDescent="0.25"/>
    <row r="129990" s="12" customFormat="1" x14ac:dyDescent="0.25"/>
    <row r="129991" s="12" customFormat="1" x14ac:dyDescent="0.25"/>
    <row r="129992" s="12" customFormat="1" x14ac:dyDescent="0.25"/>
    <row r="129993" s="12" customFormat="1" x14ac:dyDescent="0.25"/>
    <row r="129994" s="12" customFormat="1" x14ac:dyDescent="0.25"/>
    <row r="129995" s="12" customFormat="1" x14ac:dyDescent="0.25"/>
    <row r="129996" s="12" customFormat="1" x14ac:dyDescent="0.25"/>
    <row r="129997" s="12" customFormat="1" x14ac:dyDescent="0.25"/>
    <row r="129998" s="12" customFormat="1" x14ac:dyDescent="0.25"/>
    <row r="129999" s="12" customFormat="1" x14ac:dyDescent="0.25"/>
    <row r="130000" s="12" customFormat="1" x14ac:dyDescent="0.25"/>
    <row r="130001" s="12" customFormat="1" x14ac:dyDescent="0.25"/>
    <row r="130002" s="12" customFormat="1" x14ac:dyDescent="0.25"/>
    <row r="130003" s="12" customFormat="1" x14ac:dyDescent="0.25"/>
    <row r="130004" s="12" customFormat="1" x14ac:dyDescent="0.25"/>
    <row r="130005" s="12" customFormat="1" x14ac:dyDescent="0.25"/>
    <row r="130006" s="12" customFormat="1" x14ac:dyDescent="0.25"/>
    <row r="130007" s="12" customFormat="1" x14ac:dyDescent="0.25"/>
    <row r="130008" s="12" customFormat="1" x14ac:dyDescent="0.25"/>
    <row r="130009" s="12" customFormat="1" x14ac:dyDescent="0.25"/>
    <row r="130010" s="12" customFormat="1" x14ac:dyDescent="0.25"/>
    <row r="130011" s="12" customFormat="1" x14ac:dyDescent="0.25"/>
    <row r="130012" s="12" customFormat="1" x14ac:dyDescent="0.25"/>
    <row r="130013" s="12" customFormat="1" x14ac:dyDescent="0.25"/>
    <row r="130014" s="12" customFormat="1" x14ac:dyDescent="0.25"/>
    <row r="130015" s="12" customFormat="1" x14ac:dyDescent="0.25"/>
    <row r="130016" s="12" customFormat="1" x14ac:dyDescent="0.25"/>
    <row r="130017" s="12" customFormat="1" x14ac:dyDescent="0.25"/>
    <row r="130018" s="12" customFormat="1" x14ac:dyDescent="0.25"/>
    <row r="130019" s="12" customFormat="1" x14ac:dyDescent="0.25"/>
    <row r="130020" s="12" customFormat="1" x14ac:dyDescent="0.25"/>
    <row r="130021" s="12" customFormat="1" x14ac:dyDescent="0.25"/>
    <row r="130022" s="12" customFormat="1" x14ac:dyDescent="0.25"/>
    <row r="130023" s="12" customFormat="1" x14ac:dyDescent="0.25"/>
    <row r="130024" s="12" customFormat="1" x14ac:dyDescent="0.25"/>
    <row r="130025" s="12" customFormat="1" x14ac:dyDescent="0.25"/>
    <row r="130026" s="12" customFormat="1" x14ac:dyDescent="0.25"/>
    <row r="130027" s="12" customFormat="1" x14ac:dyDescent="0.25"/>
    <row r="130028" s="12" customFormat="1" x14ac:dyDescent="0.25"/>
    <row r="130029" s="12" customFormat="1" x14ac:dyDescent="0.25"/>
    <row r="130030" s="12" customFormat="1" x14ac:dyDescent="0.25"/>
    <row r="130031" s="12" customFormat="1" x14ac:dyDescent="0.25"/>
    <row r="130032" s="12" customFormat="1" x14ac:dyDescent="0.25"/>
    <row r="130033" s="12" customFormat="1" x14ac:dyDescent="0.25"/>
    <row r="130034" s="12" customFormat="1" x14ac:dyDescent="0.25"/>
    <row r="130035" s="12" customFormat="1" x14ac:dyDescent="0.25"/>
    <row r="130036" s="12" customFormat="1" x14ac:dyDescent="0.25"/>
    <row r="130037" s="12" customFormat="1" x14ac:dyDescent="0.25"/>
    <row r="130038" s="12" customFormat="1" x14ac:dyDescent="0.25"/>
    <row r="130039" s="12" customFormat="1" x14ac:dyDescent="0.25"/>
    <row r="130040" s="12" customFormat="1" x14ac:dyDescent="0.25"/>
    <row r="130041" s="12" customFormat="1" x14ac:dyDescent="0.25"/>
    <row r="130042" s="12" customFormat="1" x14ac:dyDescent="0.25"/>
    <row r="130043" s="12" customFormat="1" x14ac:dyDescent="0.25"/>
    <row r="130044" s="12" customFormat="1" x14ac:dyDescent="0.25"/>
    <row r="130045" s="12" customFormat="1" x14ac:dyDescent="0.25"/>
    <row r="130046" s="12" customFormat="1" x14ac:dyDescent="0.25"/>
    <row r="130047" s="12" customFormat="1" x14ac:dyDescent="0.25"/>
    <row r="130048" s="12" customFormat="1" x14ac:dyDescent="0.25"/>
    <row r="130049" s="12" customFormat="1" x14ac:dyDescent="0.25"/>
    <row r="130050" s="12" customFormat="1" x14ac:dyDescent="0.25"/>
    <row r="130051" s="12" customFormat="1" x14ac:dyDescent="0.25"/>
    <row r="130052" s="12" customFormat="1" x14ac:dyDescent="0.25"/>
    <row r="130053" s="12" customFormat="1" x14ac:dyDescent="0.25"/>
    <row r="130054" s="12" customFormat="1" x14ac:dyDescent="0.25"/>
    <row r="130055" s="12" customFormat="1" x14ac:dyDescent="0.25"/>
    <row r="130056" s="12" customFormat="1" x14ac:dyDescent="0.25"/>
    <row r="130057" s="12" customFormat="1" x14ac:dyDescent="0.25"/>
    <row r="130058" s="12" customFormat="1" x14ac:dyDescent="0.25"/>
    <row r="130059" s="12" customFormat="1" x14ac:dyDescent="0.25"/>
    <row r="130060" s="12" customFormat="1" x14ac:dyDescent="0.25"/>
    <row r="130061" s="12" customFormat="1" x14ac:dyDescent="0.25"/>
    <row r="130062" s="12" customFormat="1" x14ac:dyDescent="0.25"/>
    <row r="130063" s="12" customFormat="1" x14ac:dyDescent="0.25"/>
    <row r="130064" s="12" customFormat="1" x14ac:dyDescent="0.25"/>
    <row r="130065" s="12" customFormat="1" x14ac:dyDescent="0.25"/>
    <row r="130066" s="12" customFormat="1" x14ac:dyDescent="0.25"/>
    <row r="130067" s="12" customFormat="1" x14ac:dyDescent="0.25"/>
    <row r="130068" s="12" customFormat="1" x14ac:dyDescent="0.25"/>
    <row r="130069" s="12" customFormat="1" x14ac:dyDescent="0.25"/>
    <row r="130070" s="12" customFormat="1" x14ac:dyDescent="0.25"/>
    <row r="130071" s="12" customFormat="1" x14ac:dyDescent="0.25"/>
    <row r="130072" s="12" customFormat="1" x14ac:dyDescent="0.25"/>
    <row r="130073" s="12" customFormat="1" x14ac:dyDescent="0.25"/>
    <row r="130074" s="12" customFormat="1" x14ac:dyDescent="0.25"/>
    <row r="130075" s="12" customFormat="1" x14ac:dyDescent="0.25"/>
    <row r="130076" s="12" customFormat="1" x14ac:dyDescent="0.25"/>
    <row r="130077" s="12" customFormat="1" x14ac:dyDescent="0.25"/>
    <row r="130078" s="12" customFormat="1" x14ac:dyDescent="0.25"/>
    <row r="130079" s="12" customFormat="1" x14ac:dyDescent="0.25"/>
    <row r="130080" s="12" customFormat="1" x14ac:dyDescent="0.25"/>
    <row r="130081" s="12" customFormat="1" x14ac:dyDescent="0.25"/>
    <row r="130082" s="12" customFormat="1" x14ac:dyDescent="0.25"/>
    <row r="130083" s="12" customFormat="1" x14ac:dyDescent="0.25"/>
    <row r="130084" s="12" customFormat="1" x14ac:dyDescent="0.25"/>
    <row r="130085" s="12" customFormat="1" x14ac:dyDescent="0.25"/>
    <row r="130086" s="12" customFormat="1" x14ac:dyDescent="0.25"/>
    <row r="130087" s="12" customFormat="1" x14ac:dyDescent="0.25"/>
    <row r="130088" s="12" customFormat="1" x14ac:dyDescent="0.25"/>
    <row r="130089" s="12" customFormat="1" x14ac:dyDescent="0.25"/>
    <row r="130090" s="12" customFormat="1" x14ac:dyDescent="0.25"/>
    <row r="130091" s="12" customFormat="1" x14ac:dyDescent="0.25"/>
    <row r="130092" s="12" customFormat="1" x14ac:dyDescent="0.25"/>
    <row r="130093" s="12" customFormat="1" x14ac:dyDescent="0.25"/>
    <row r="130094" s="12" customFormat="1" x14ac:dyDescent="0.25"/>
    <row r="130095" s="12" customFormat="1" x14ac:dyDescent="0.25"/>
    <row r="130096" s="12" customFormat="1" x14ac:dyDescent="0.25"/>
    <row r="130097" s="12" customFormat="1" x14ac:dyDescent="0.25"/>
    <row r="130098" s="12" customFormat="1" x14ac:dyDescent="0.25"/>
    <row r="130099" s="12" customFormat="1" x14ac:dyDescent="0.25"/>
    <row r="130100" s="12" customFormat="1" x14ac:dyDescent="0.25"/>
    <row r="130101" s="12" customFormat="1" x14ac:dyDescent="0.25"/>
    <row r="130102" s="12" customFormat="1" x14ac:dyDescent="0.25"/>
    <row r="130103" s="12" customFormat="1" x14ac:dyDescent="0.25"/>
    <row r="130104" s="12" customFormat="1" x14ac:dyDescent="0.25"/>
    <row r="130105" s="12" customFormat="1" x14ac:dyDescent="0.25"/>
    <row r="130106" s="12" customFormat="1" x14ac:dyDescent="0.25"/>
    <row r="130107" s="12" customFormat="1" x14ac:dyDescent="0.25"/>
    <row r="130108" s="12" customFormat="1" x14ac:dyDescent="0.25"/>
    <row r="130109" s="12" customFormat="1" x14ac:dyDescent="0.25"/>
    <row r="130110" s="12" customFormat="1" x14ac:dyDescent="0.25"/>
    <row r="130111" s="12" customFormat="1" x14ac:dyDescent="0.25"/>
    <row r="130112" s="12" customFormat="1" x14ac:dyDescent="0.25"/>
    <row r="130113" s="12" customFormat="1" x14ac:dyDescent="0.25"/>
    <row r="130114" s="12" customFormat="1" x14ac:dyDescent="0.25"/>
    <row r="130115" s="12" customFormat="1" x14ac:dyDescent="0.25"/>
    <row r="130116" s="12" customFormat="1" x14ac:dyDescent="0.25"/>
    <row r="130117" s="12" customFormat="1" x14ac:dyDescent="0.25"/>
    <row r="130118" s="12" customFormat="1" x14ac:dyDescent="0.25"/>
    <row r="130119" s="12" customFormat="1" x14ac:dyDescent="0.25"/>
    <row r="130120" s="12" customFormat="1" x14ac:dyDescent="0.25"/>
    <row r="130121" s="12" customFormat="1" x14ac:dyDescent="0.25"/>
    <row r="130122" s="12" customFormat="1" x14ac:dyDescent="0.25"/>
    <row r="130123" s="12" customFormat="1" x14ac:dyDescent="0.25"/>
    <row r="130124" s="12" customFormat="1" x14ac:dyDescent="0.25"/>
    <row r="130125" s="12" customFormat="1" x14ac:dyDescent="0.25"/>
    <row r="130126" s="12" customFormat="1" x14ac:dyDescent="0.25"/>
    <row r="130127" s="12" customFormat="1" x14ac:dyDescent="0.25"/>
    <row r="130128" s="12" customFormat="1" x14ac:dyDescent="0.25"/>
    <row r="130129" s="12" customFormat="1" x14ac:dyDescent="0.25"/>
    <row r="130130" s="12" customFormat="1" x14ac:dyDescent="0.25"/>
    <row r="130131" s="12" customFormat="1" x14ac:dyDescent="0.25"/>
    <row r="130132" s="12" customFormat="1" x14ac:dyDescent="0.25"/>
    <row r="130133" s="12" customFormat="1" x14ac:dyDescent="0.25"/>
    <row r="130134" s="12" customFormat="1" x14ac:dyDescent="0.25"/>
    <row r="130135" s="12" customFormat="1" x14ac:dyDescent="0.25"/>
    <row r="130136" s="12" customFormat="1" x14ac:dyDescent="0.25"/>
    <row r="130137" s="12" customFormat="1" x14ac:dyDescent="0.25"/>
    <row r="130138" s="12" customFormat="1" x14ac:dyDescent="0.25"/>
    <row r="130139" s="12" customFormat="1" x14ac:dyDescent="0.25"/>
    <row r="130140" s="12" customFormat="1" x14ac:dyDescent="0.25"/>
    <row r="130141" s="12" customFormat="1" x14ac:dyDescent="0.25"/>
    <row r="130142" s="12" customFormat="1" x14ac:dyDescent="0.25"/>
    <row r="130143" s="12" customFormat="1" x14ac:dyDescent="0.25"/>
    <row r="130144" s="12" customFormat="1" x14ac:dyDescent="0.25"/>
    <row r="130145" s="12" customFormat="1" x14ac:dyDescent="0.25"/>
    <row r="130146" s="12" customFormat="1" x14ac:dyDescent="0.25"/>
    <row r="130147" s="12" customFormat="1" x14ac:dyDescent="0.25"/>
    <row r="130148" s="12" customFormat="1" x14ac:dyDescent="0.25"/>
    <row r="130149" s="12" customFormat="1" x14ac:dyDescent="0.25"/>
    <row r="130150" s="12" customFormat="1" x14ac:dyDescent="0.25"/>
    <row r="130151" s="12" customFormat="1" x14ac:dyDescent="0.25"/>
    <row r="130152" s="12" customFormat="1" x14ac:dyDescent="0.25"/>
    <row r="130153" s="12" customFormat="1" x14ac:dyDescent="0.25"/>
    <row r="130154" s="12" customFormat="1" x14ac:dyDescent="0.25"/>
    <row r="130155" s="12" customFormat="1" x14ac:dyDescent="0.25"/>
    <row r="130156" s="12" customFormat="1" x14ac:dyDescent="0.25"/>
    <row r="130157" s="12" customFormat="1" x14ac:dyDescent="0.25"/>
    <row r="130158" s="12" customFormat="1" x14ac:dyDescent="0.25"/>
    <row r="130159" s="12" customFormat="1" x14ac:dyDescent="0.25"/>
    <row r="130160" s="12" customFormat="1" x14ac:dyDescent="0.25"/>
    <row r="130161" s="12" customFormat="1" x14ac:dyDescent="0.25"/>
    <row r="130162" s="12" customFormat="1" x14ac:dyDescent="0.25"/>
    <row r="130163" s="12" customFormat="1" x14ac:dyDescent="0.25"/>
    <row r="130164" s="12" customFormat="1" x14ac:dyDescent="0.25"/>
    <row r="130165" s="12" customFormat="1" x14ac:dyDescent="0.25"/>
    <row r="130166" s="12" customFormat="1" x14ac:dyDescent="0.25"/>
    <row r="130167" s="12" customFormat="1" x14ac:dyDescent="0.25"/>
    <row r="130168" s="12" customFormat="1" x14ac:dyDescent="0.25"/>
    <row r="130169" s="12" customFormat="1" x14ac:dyDescent="0.25"/>
    <row r="130170" s="12" customFormat="1" x14ac:dyDescent="0.25"/>
    <row r="130171" s="12" customFormat="1" x14ac:dyDescent="0.25"/>
    <row r="130172" s="12" customFormat="1" x14ac:dyDescent="0.25"/>
    <row r="130173" s="12" customFormat="1" x14ac:dyDescent="0.25"/>
    <row r="130174" s="12" customFormat="1" x14ac:dyDescent="0.25"/>
    <row r="130175" s="12" customFormat="1" x14ac:dyDescent="0.25"/>
    <row r="130176" s="12" customFormat="1" x14ac:dyDescent="0.25"/>
    <row r="130177" s="12" customFormat="1" x14ac:dyDescent="0.25"/>
    <row r="130178" s="12" customFormat="1" x14ac:dyDescent="0.25"/>
    <row r="130179" s="12" customFormat="1" x14ac:dyDescent="0.25"/>
    <row r="130180" s="12" customFormat="1" x14ac:dyDescent="0.25"/>
    <row r="130181" s="12" customFormat="1" x14ac:dyDescent="0.25"/>
    <row r="130182" s="12" customFormat="1" x14ac:dyDescent="0.25"/>
    <row r="130183" s="12" customFormat="1" x14ac:dyDescent="0.25"/>
    <row r="130184" s="12" customFormat="1" x14ac:dyDescent="0.25"/>
    <row r="130185" s="12" customFormat="1" x14ac:dyDescent="0.25"/>
    <row r="130186" s="12" customFormat="1" x14ac:dyDescent="0.25"/>
    <row r="130187" s="12" customFormat="1" x14ac:dyDescent="0.25"/>
    <row r="130188" s="12" customFormat="1" x14ac:dyDescent="0.25"/>
    <row r="130189" s="12" customFormat="1" x14ac:dyDescent="0.25"/>
    <row r="130190" s="12" customFormat="1" x14ac:dyDescent="0.25"/>
    <row r="130191" s="12" customFormat="1" x14ac:dyDescent="0.25"/>
    <row r="130192" s="12" customFormat="1" x14ac:dyDescent="0.25"/>
    <row r="130193" s="12" customFormat="1" x14ac:dyDescent="0.25"/>
    <row r="130194" s="12" customFormat="1" x14ac:dyDescent="0.25"/>
    <row r="130195" s="12" customFormat="1" x14ac:dyDescent="0.25"/>
    <row r="130196" s="12" customFormat="1" x14ac:dyDescent="0.25"/>
    <row r="130197" s="12" customFormat="1" x14ac:dyDescent="0.25"/>
    <row r="130198" s="12" customFormat="1" x14ac:dyDescent="0.25"/>
    <row r="130199" s="12" customFormat="1" x14ac:dyDescent="0.25"/>
    <row r="130200" s="12" customFormat="1" x14ac:dyDescent="0.25"/>
    <row r="130201" s="12" customFormat="1" x14ac:dyDescent="0.25"/>
    <row r="130202" s="12" customFormat="1" x14ac:dyDescent="0.25"/>
    <row r="130203" s="12" customFormat="1" x14ac:dyDescent="0.25"/>
    <row r="130204" s="12" customFormat="1" x14ac:dyDescent="0.25"/>
    <row r="130205" s="12" customFormat="1" x14ac:dyDescent="0.25"/>
    <row r="130206" s="12" customFormat="1" x14ac:dyDescent="0.25"/>
    <row r="130207" s="12" customFormat="1" x14ac:dyDescent="0.25"/>
    <row r="130208" s="12" customFormat="1" x14ac:dyDescent="0.25"/>
    <row r="130209" s="12" customFormat="1" x14ac:dyDescent="0.25"/>
    <row r="130210" s="12" customFormat="1" x14ac:dyDescent="0.25"/>
    <row r="130211" s="12" customFormat="1" x14ac:dyDescent="0.25"/>
    <row r="130212" s="12" customFormat="1" x14ac:dyDescent="0.25"/>
    <row r="130213" s="12" customFormat="1" x14ac:dyDescent="0.25"/>
    <row r="130214" s="12" customFormat="1" x14ac:dyDescent="0.25"/>
    <row r="130215" s="12" customFormat="1" x14ac:dyDescent="0.25"/>
    <row r="130216" s="12" customFormat="1" x14ac:dyDescent="0.25"/>
    <row r="130217" s="12" customFormat="1" x14ac:dyDescent="0.25"/>
    <row r="130218" s="12" customFormat="1" x14ac:dyDescent="0.25"/>
    <row r="130219" s="12" customFormat="1" x14ac:dyDescent="0.25"/>
    <row r="130220" s="12" customFormat="1" x14ac:dyDescent="0.25"/>
    <row r="130221" s="12" customFormat="1" x14ac:dyDescent="0.25"/>
    <row r="130222" s="12" customFormat="1" x14ac:dyDescent="0.25"/>
    <row r="130223" s="12" customFormat="1" x14ac:dyDescent="0.25"/>
    <row r="130224" s="12" customFormat="1" x14ac:dyDescent="0.25"/>
    <row r="130225" s="12" customFormat="1" x14ac:dyDescent="0.25"/>
    <row r="130226" s="12" customFormat="1" x14ac:dyDescent="0.25"/>
    <row r="130227" s="12" customFormat="1" x14ac:dyDescent="0.25"/>
    <row r="130228" s="12" customFormat="1" x14ac:dyDescent="0.25"/>
    <row r="130229" s="12" customFormat="1" x14ac:dyDescent="0.25"/>
    <row r="130230" s="12" customFormat="1" x14ac:dyDescent="0.25"/>
    <row r="130231" s="12" customFormat="1" x14ac:dyDescent="0.25"/>
    <row r="130232" s="12" customFormat="1" x14ac:dyDescent="0.25"/>
    <row r="130233" s="12" customFormat="1" x14ac:dyDescent="0.25"/>
    <row r="130234" s="12" customFormat="1" x14ac:dyDescent="0.25"/>
    <row r="130235" s="12" customFormat="1" x14ac:dyDescent="0.25"/>
    <row r="130236" s="12" customFormat="1" x14ac:dyDescent="0.25"/>
    <row r="130237" s="12" customFormat="1" x14ac:dyDescent="0.25"/>
    <row r="130238" s="12" customFormat="1" x14ac:dyDescent="0.25"/>
    <row r="130239" s="12" customFormat="1" x14ac:dyDescent="0.25"/>
    <row r="130240" s="12" customFormat="1" x14ac:dyDescent="0.25"/>
    <row r="130241" s="12" customFormat="1" x14ac:dyDescent="0.25"/>
    <row r="130242" s="12" customFormat="1" x14ac:dyDescent="0.25"/>
    <row r="130243" s="12" customFormat="1" x14ac:dyDescent="0.25"/>
    <row r="130244" s="12" customFormat="1" x14ac:dyDescent="0.25"/>
    <row r="130245" s="12" customFormat="1" x14ac:dyDescent="0.25"/>
    <row r="130246" s="12" customFormat="1" x14ac:dyDescent="0.25"/>
    <row r="130247" s="12" customFormat="1" x14ac:dyDescent="0.25"/>
    <row r="130248" s="12" customFormat="1" x14ac:dyDescent="0.25"/>
    <row r="130249" s="12" customFormat="1" x14ac:dyDescent="0.25"/>
    <row r="130250" s="12" customFormat="1" x14ac:dyDescent="0.25"/>
    <row r="130251" s="12" customFormat="1" x14ac:dyDescent="0.25"/>
    <row r="130252" s="12" customFormat="1" x14ac:dyDescent="0.25"/>
    <row r="130253" s="12" customFormat="1" x14ac:dyDescent="0.25"/>
    <row r="130254" s="12" customFormat="1" x14ac:dyDescent="0.25"/>
    <row r="130255" s="12" customFormat="1" x14ac:dyDescent="0.25"/>
    <row r="130256" s="12" customFormat="1" x14ac:dyDescent="0.25"/>
    <row r="130257" s="12" customFormat="1" x14ac:dyDescent="0.25"/>
    <row r="130258" s="12" customFormat="1" x14ac:dyDescent="0.25"/>
    <row r="130259" s="12" customFormat="1" x14ac:dyDescent="0.25"/>
    <row r="130260" s="12" customFormat="1" x14ac:dyDescent="0.25"/>
    <row r="130261" s="12" customFormat="1" x14ac:dyDescent="0.25"/>
    <row r="130262" s="12" customFormat="1" x14ac:dyDescent="0.25"/>
    <row r="130263" s="12" customFormat="1" x14ac:dyDescent="0.25"/>
    <row r="130264" s="12" customFormat="1" x14ac:dyDescent="0.25"/>
    <row r="130265" s="12" customFormat="1" x14ac:dyDescent="0.25"/>
    <row r="130266" s="12" customFormat="1" x14ac:dyDescent="0.25"/>
    <row r="130267" s="12" customFormat="1" x14ac:dyDescent="0.25"/>
    <row r="130268" s="12" customFormat="1" x14ac:dyDescent="0.25"/>
    <row r="130269" s="12" customFormat="1" x14ac:dyDescent="0.25"/>
    <row r="130270" s="12" customFormat="1" x14ac:dyDescent="0.25"/>
    <row r="130271" s="12" customFormat="1" x14ac:dyDescent="0.25"/>
    <row r="130272" s="12" customFormat="1" x14ac:dyDescent="0.25"/>
    <row r="130273" s="12" customFormat="1" x14ac:dyDescent="0.25"/>
    <row r="130274" s="12" customFormat="1" x14ac:dyDescent="0.25"/>
    <row r="130275" s="12" customFormat="1" x14ac:dyDescent="0.25"/>
    <row r="130276" s="12" customFormat="1" x14ac:dyDescent="0.25"/>
    <row r="130277" s="12" customFormat="1" x14ac:dyDescent="0.25"/>
    <row r="130278" s="12" customFormat="1" x14ac:dyDescent="0.25"/>
    <row r="130279" s="12" customFormat="1" x14ac:dyDescent="0.25"/>
    <row r="130280" s="12" customFormat="1" x14ac:dyDescent="0.25"/>
    <row r="130281" s="12" customFormat="1" x14ac:dyDescent="0.25"/>
    <row r="130282" s="12" customFormat="1" x14ac:dyDescent="0.25"/>
    <row r="130283" s="12" customFormat="1" x14ac:dyDescent="0.25"/>
    <row r="130284" s="12" customFormat="1" x14ac:dyDescent="0.25"/>
    <row r="130285" s="12" customFormat="1" x14ac:dyDescent="0.25"/>
    <row r="130286" s="12" customFormat="1" x14ac:dyDescent="0.25"/>
    <row r="130287" s="12" customFormat="1" x14ac:dyDescent="0.25"/>
    <row r="130288" s="12" customFormat="1" x14ac:dyDescent="0.25"/>
    <row r="130289" s="12" customFormat="1" x14ac:dyDescent="0.25"/>
    <row r="130290" s="12" customFormat="1" x14ac:dyDescent="0.25"/>
    <row r="130291" s="12" customFormat="1" x14ac:dyDescent="0.25"/>
    <row r="130292" s="12" customFormat="1" x14ac:dyDescent="0.25"/>
    <row r="130293" s="12" customFormat="1" x14ac:dyDescent="0.25"/>
    <row r="130294" s="12" customFormat="1" x14ac:dyDescent="0.25"/>
    <row r="130295" s="12" customFormat="1" x14ac:dyDescent="0.25"/>
    <row r="130296" s="12" customFormat="1" x14ac:dyDescent="0.25"/>
    <row r="130297" s="12" customFormat="1" x14ac:dyDescent="0.25"/>
    <row r="130298" s="12" customFormat="1" x14ac:dyDescent="0.25"/>
    <row r="130299" s="12" customFormat="1" x14ac:dyDescent="0.25"/>
    <row r="130300" s="12" customFormat="1" x14ac:dyDescent="0.25"/>
    <row r="130301" s="12" customFormat="1" x14ac:dyDescent="0.25"/>
    <row r="130302" s="12" customFormat="1" x14ac:dyDescent="0.25"/>
    <row r="130303" s="12" customFormat="1" x14ac:dyDescent="0.25"/>
    <row r="130304" s="12" customFormat="1" x14ac:dyDescent="0.25"/>
    <row r="130305" s="12" customFormat="1" x14ac:dyDescent="0.25"/>
    <row r="130306" s="12" customFormat="1" x14ac:dyDescent="0.25"/>
    <row r="130307" s="12" customFormat="1" x14ac:dyDescent="0.25"/>
    <row r="130308" s="12" customFormat="1" x14ac:dyDescent="0.25"/>
    <row r="130309" s="12" customFormat="1" x14ac:dyDescent="0.25"/>
    <row r="130310" s="12" customFormat="1" x14ac:dyDescent="0.25"/>
    <row r="130311" s="12" customFormat="1" x14ac:dyDescent="0.25"/>
    <row r="130312" s="12" customFormat="1" x14ac:dyDescent="0.25"/>
    <row r="130313" s="12" customFormat="1" x14ac:dyDescent="0.25"/>
    <row r="130314" s="12" customFormat="1" x14ac:dyDescent="0.25"/>
    <row r="130315" s="12" customFormat="1" x14ac:dyDescent="0.25"/>
    <row r="130316" s="12" customFormat="1" x14ac:dyDescent="0.25"/>
    <row r="130317" s="12" customFormat="1" x14ac:dyDescent="0.25"/>
    <row r="130318" s="12" customFormat="1" x14ac:dyDescent="0.25"/>
    <row r="130319" s="12" customFormat="1" x14ac:dyDescent="0.25"/>
    <row r="130320" s="12" customFormat="1" x14ac:dyDescent="0.25"/>
    <row r="130321" s="12" customFormat="1" x14ac:dyDescent="0.25"/>
    <row r="130322" s="12" customFormat="1" x14ac:dyDescent="0.25"/>
    <row r="130323" s="12" customFormat="1" x14ac:dyDescent="0.25"/>
    <row r="130324" s="12" customFormat="1" x14ac:dyDescent="0.25"/>
    <row r="130325" s="12" customFormat="1" x14ac:dyDescent="0.25"/>
    <row r="130326" s="12" customFormat="1" x14ac:dyDescent="0.25"/>
    <row r="130327" s="12" customFormat="1" x14ac:dyDescent="0.25"/>
    <row r="130328" s="12" customFormat="1" x14ac:dyDescent="0.25"/>
    <row r="130329" s="12" customFormat="1" x14ac:dyDescent="0.25"/>
    <row r="130330" s="12" customFormat="1" x14ac:dyDescent="0.25"/>
    <row r="130331" s="12" customFormat="1" x14ac:dyDescent="0.25"/>
    <row r="130332" s="12" customFormat="1" x14ac:dyDescent="0.25"/>
    <row r="130333" s="12" customFormat="1" x14ac:dyDescent="0.25"/>
    <row r="130334" s="12" customFormat="1" x14ac:dyDescent="0.25"/>
    <row r="130335" s="12" customFormat="1" x14ac:dyDescent="0.25"/>
    <row r="130336" s="12" customFormat="1" x14ac:dyDescent="0.25"/>
    <row r="130337" s="12" customFormat="1" x14ac:dyDescent="0.25"/>
    <row r="130338" s="12" customFormat="1" x14ac:dyDescent="0.25"/>
    <row r="130339" s="12" customFormat="1" x14ac:dyDescent="0.25"/>
    <row r="130340" s="12" customFormat="1" x14ac:dyDescent="0.25"/>
    <row r="130341" s="12" customFormat="1" x14ac:dyDescent="0.25"/>
    <row r="130342" s="12" customFormat="1" x14ac:dyDescent="0.25"/>
    <row r="130343" s="12" customFormat="1" x14ac:dyDescent="0.25"/>
    <row r="130344" s="12" customFormat="1" x14ac:dyDescent="0.25"/>
    <row r="130345" s="12" customFormat="1" x14ac:dyDescent="0.25"/>
    <row r="130346" s="12" customFormat="1" x14ac:dyDescent="0.25"/>
    <row r="130347" s="12" customFormat="1" x14ac:dyDescent="0.25"/>
    <row r="130348" s="12" customFormat="1" x14ac:dyDescent="0.25"/>
    <row r="130349" s="12" customFormat="1" x14ac:dyDescent="0.25"/>
    <row r="130350" s="12" customFormat="1" x14ac:dyDescent="0.25"/>
    <row r="130351" s="12" customFormat="1" x14ac:dyDescent="0.25"/>
    <row r="130352" s="12" customFormat="1" x14ac:dyDescent="0.25"/>
    <row r="130353" s="12" customFormat="1" x14ac:dyDescent="0.25"/>
    <row r="130354" s="12" customFormat="1" x14ac:dyDescent="0.25"/>
    <row r="130355" s="12" customFormat="1" x14ac:dyDescent="0.25"/>
    <row r="130356" s="12" customFormat="1" x14ac:dyDescent="0.25"/>
    <row r="130357" s="12" customFormat="1" x14ac:dyDescent="0.25"/>
    <row r="130358" s="12" customFormat="1" x14ac:dyDescent="0.25"/>
    <row r="130359" s="12" customFormat="1" x14ac:dyDescent="0.25"/>
    <row r="130360" s="12" customFormat="1" x14ac:dyDescent="0.25"/>
    <row r="130361" s="12" customFormat="1" x14ac:dyDescent="0.25"/>
    <row r="130362" s="12" customFormat="1" x14ac:dyDescent="0.25"/>
    <row r="130363" s="12" customFormat="1" x14ac:dyDescent="0.25"/>
    <row r="130364" s="12" customFormat="1" x14ac:dyDescent="0.25"/>
    <row r="130365" s="12" customFormat="1" x14ac:dyDescent="0.25"/>
    <row r="130366" s="12" customFormat="1" x14ac:dyDescent="0.25"/>
    <row r="130367" s="12" customFormat="1" x14ac:dyDescent="0.25"/>
    <row r="130368" s="12" customFormat="1" x14ac:dyDescent="0.25"/>
    <row r="130369" s="12" customFormat="1" x14ac:dyDescent="0.25"/>
    <row r="130370" s="12" customFormat="1" x14ac:dyDescent="0.25"/>
    <row r="130371" s="12" customFormat="1" x14ac:dyDescent="0.25"/>
    <row r="130372" s="12" customFormat="1" x14ac:dyDescent="0.25"/>
    <row r="130373" s="12" customFormat="1" x14ac:dyDescent="0.25"/>
    <row r="130374" s="12" customFormat="1" x14ac:dyDescent="0.25"/>
    <row r="130375" s="12" customFormat="1" x14ac:dyDescent="0.25"/>
    <row r="130376" s="12" customFormat="1" x14ac:dyDescent="0.25"/>
    <row r="130377" s="12" customFormat="1" x14ac:dyDescent="0.25"/>
    <row r="130378" s="12" customFormat="1" x14ac:dyDescent="0.25"/>
    <row r="130379" s="12" customFormat="1" x14ac:dyDescent="0.25"/>
    <row r="130380" s="12" customFormat="1" x14ac:dyDescent="0.25"/>
    <row r="130381" s="12" customFormat="1" x14ac:dyDescent="0.25"/>
    <row r="130382" s="12" customFormat="1" x14ac:dyDescent="0.25"/>
    <row r="130383" s="12" customFormat="1" x14ac:dyDescent="0.25"/>
    <row r="130384" s="12" customFormat="1" x14ac:dyDescent="0.25"/>
    <row r="130385" s="12" customFormat="1" x14ac:dyDescent="0.25"/>
    <row r="130386" s="12" customFormat="1" x14ac:dyDescent="0.25"/>
    <row r="130387" s="12" customFormat="1" x14ac:dyDescent="0.25"/>
    <row r="130388" s="12" customFormat="1" x14ac:dyDescent="0.25"/>
    <row r="130389" s="12" customFormat="1" x14ac:dyDescent="0.25"/>
    <row r="130390" s="12" customFormat="1" x14ac:dyDescent="0.25"/>
    <row r="130391" s="12" customFormat="1" x14ac:dyDescent="0.25"/>
    <row r="130392" s="12" customFormat="1" x14ac:dyDescent="0.25"/>
    <row r="130393" s="12" customFormat="1" x14ac:dyDescent="0.25"/>
    <row r="130394" s="12" customFormat="1" x14ac:dyDescent="0.25"/>
    <row r="130395" s="12" customFormat="1" x14ac:dyDescent="0.25"/>
    <row r="130396" s="12" customFormat="1" x14ac:dyDescent="0.25"/>
    <row r="130397" s="12" customFormat="1" x14ac:dyDescent="0.25"/>
    <row r="130398" s="12" customFormat="1" x14ac:dyDescent="0.25"/>
    <row r="130399" s="12" customFormat="1" x14ac:dyDescent="0.25"/>
    <row r="130400" s="12" customFormat="1" x14ac:dyDescent="0.25"/>
    <row r="130401" s="12" customFormat="1" x14ac:dyDescent="0.25"/>
    <row r="130402" s="12" customFormat="1" x14ac:dyDescent="0.25"/>
    <row r="130403" s="12" customFormat="1" x14ac:dyDescent="0.25"/>
    <row r="130404" s="12" customFormat="1" x14ac:dyDescent="0.25"/>
    <row r="130405" s="12" customFormat="1" x14ac:dyDescent="0.25"/>
    <row r="130406" s="12" customFormat="1" x14ac:dyDescent="0.25"/>
    <row r="130407" s="12" customFormat="1" x14ac:dyDescent="0.25"/>
    <row r="130408" s="12" customFormat="1" x14ac:dyDescent="0.25"/>
    <row r="130409" s="12" customFormat="1" x14ac:dyDescent="0.25"/>
    <row r="130410" s="12" customFormat="1" x14ac:dyDescent="0.25"/>
    <row r="130411" s="12" customFormat="1" x14ac:dyDescent="0.25"/>
    <row r="130412" s="12" customFormat="1" x14ac:dyDescent="0.25"/>
    <row r="130413" s="12" customFormat="1" x14ac:dyDescent="0.25"/>
    <row r="130414" s="12" customFormat="1" x14ac:dyDescent="0.25"/>
    <row r="130415" s="12" customFormat="1" x14ac:dyDescent="0.25"/>
    <row r="130416" s="12" customFormat="1" x14ac:dyDescent="0.25"/>
    <row r="130417" s="12" customFormat="1" x14ac:dyDescent="0.25"/>
    <row r="130418" s="12" customFormat="1" x14ac:dyDescent="0.25"/>
    <row r="130419" s="12" customFormat="1" x14ac:dyDescent="0.25"/>
    <row r="130420" s="12" customFormat="1" x14ac:dyDescent="0.25"/>
    <row r="130421" s="12" customFormat="1" x14ac:dyDescent="0.25"/>
    <row r="130422" s="12" customFormat="1" x14ac:dyDescent="0.25"/>
    <row r="130423" s="12" customFormat="1" x14ac:dyDescent="0.25"/>
    <row r="130424" s="12" customFormat="1" x14ac:dyDescent="0.25"/>
    <row r="130425" s="12" customFormat="1" x14ac:dyDescent="0.25"/>
    <row r="130426" s="12" customFormat="1" x14ac:dyDescent="0.25"/>
    <row r="130427" s="12" customFormat="1" x14ac:dyDescent="0.25"/>
    <row r="130428" s="12" customFormat="1" x14ac:dyDescent="0.25"/>
    <row r="130429" s="12" customFormat="1" x14ac:dyDescent="0.25"/>
    <row r="130430" s="12" customFormat="1" x14ac:dyDescent="0.25"/>
    <row r="130431" s="12" customFormat="1" x14ac:dyDescent="0.25"/>
    <row r="130432" s="12" customFormat="1" x14ac:dyDescent="0.25"/>
    <row r="130433" s="12" customFormat="1" x14ac:dyDescent="0.25"/>
    <row r="130434" s="12" customFormat="1" x14ac:dyDescent="0.25"/>
    <row r="130435" s="12" customFormat="1" x14ac:dyDescent="0.25"/>
    <row r="130436" s="12" customFormat="1" x14ac:dyDescent="0.25"/>
    <row r="130437" s="12" customFormat="1" x14ac:dyDescent="0.25"/>
    <row r="130438" s="12" customFormat="1" x14ac:dyDescent="0.25"/>
    <row r="130439" s="12" customFormat="1" x14ac:dyDescent="0.25"/>
    <row r="130440" s="12" customFormat="1" x14ac:dyDescent="0.25"/>
    <row r="130441" s="12" customFormat="1" x14ac:dyDescent="0.25"/>
    <row r="130442" s="12" customFormat="1" x14ac:dyDescent="0.25"/>
    <row r="130443" s="12" customFormat="1" x14ac:dyDescent="0.25"/>
    <row r="130444" s="12" customFormat="1" x14ac:dyDescent="0.25"/>
    <row r="130445" s="12" customFormat="1" x14ac:dyDescent="0.25"/>
    <row r="130446" s="12" customFormat="1" x14ac:dyDescent="0.25"/>
    <row r="130447" s="12" customFormat="1" x14ac:dyDescent="0.25"/>
    <row r="130448" s="12" customFormat="1" x14ac:dyDescent="0.25"/>
    <row r="130449" s="12" customFormat="1" x14ac:dyDescent="0.25"/>
    <row r="130450" s="12" customFormat="1" x14ac:dyDescent="0.25"/>
    <row r="130451" s="12" customFormat="1" x14ac:dyDescent="0.25"/>
    <row r="130452" s="12" customFormat="1" x14ac:dyDescent="0.25"/>
    <row r="130453" s="12" customFormat="1" x14ac:dyDescent="0.25"/>
    <row r="130454" s="12" customFormat="1" x14ac:dyDescent="0.25"/>
    <row r="130455" s="12" customFormat="1" x14ac:dyDescent="0.25"/>
    <row r="130456" s="12" customFormat="1" x14ac:dyDescent="0.25"/>
    <row r="130457" s="12" customFormat="1" x14ac:dyDescent="0.25"/>
    <row r="130458" s="12" customFormat="1" x14ac:dyDescent="0.25"/>
    <row r="130459" s="12" customFormat="1" x14ac:dyDescent="0.25"/>
    <row r="130460" s="12" customFormat="1" x14ac:dyDescent="0.25"/>
    <row r="130461" s="12" customFormat="1" x14ac:dyDescent="0.25"/>
    <row r="130462" s="12" customFormat="1" x14ac:dyDescent="0.25"/>
    <row r="130463" s="12" customFormat="1" x14ac:dyDescent="0.25"/>
    <row r="130464" s="12" customFormat="1" x14ac:dyDescent="0.25"/>
    <row r="130465" s="12" customFormat="1" x14ac:dyDescent="0.25"/>
    <row r="130466" s="12" customFormat="1" x14ac:dyDescent="0.25"/>
    <row r="130467" s="12" customFormat="1" x14ac:dyDescent="0.25"/>
    <row r="130468" s="12" customFormat="1" x14ac:dyDescent="0.25"/>
    <row r="130469" s="12" customFormat="1" x14ac:dyDescent="0.25"/>
    <row r="130470" s="12" customFormat="1" x14ac:dyDescent="0.25"/>
    <row r="130471" s="12" customFormat="1" x14ac:dyDescent="0.25"/>
    <row r="130472" s="12" customFormat="1" x14ac:dyDescent="0.25"/>
    <row r="130473" s="12" customFormat="1" x14ac:dyDescent="0.25"/>
    <row r="130474" s="12" customFormat="1" x14ac:dyDescent="0.25"/>
    <row r="130475" s="12" customFormat="1" x14ac:dyDescent="0.25"/>
    <row r="130476" s="12" customFormat="1" x14ac:dyDescent="0.25"/>
    <row r="130477" s="12" customFormat="1" x14ac:dyDescent="0.25"/>
    <row r="130478" s="12" customFormat="1" x14ac:dyDescent="0.25"/>
    <row r="130479" s="12" customFormat="1" x14ac:dyDescent="0.25"/>
    <row r="130480" s="12" customFormat="1" x14ac:dyDescent="0.25"/>
    <row r="130481" s="12" customFormat="1" x14ac:dyDescent="0.25"/>
    <row r="130482" s="12" customFormat="1" x14ac:dyDescent="0.25"/>
    <row r="130483" s="12" customFormat="1" x14ac:dyDescent="0.25"/>
    <row r="130484" s="12" customFormat="1" x14ac:dyDescent="0.25"/>
    <row r="130485" s="12" customFormat="1" x14ac:dyDescent="0.25"/>
    <row r="130486" s="12" customFormat="1" x14ac:dyDescent="0.25"/>
    <row r="130487" s="12" customFormat="1" x14ac:dyDescent="0.25"/>
    <row r="130488" s="12" customFormat="1" x14ac:dyDescent="0.25"/>
    <row r="130489" s="12" customFormat="1" x14ac:dyDescent="0.25"/>
    <row r="130490" s="12" customFormat="1" x14ac:dyDescent="0.25"/>
    <row r="130491" s="12" customFormat="1" x14ac:dyDescent="0.25"/>
    <row r="130492" s="12" customFormat="1" x14ac:dyDescent="0.25"/>
    <row r="130493" s="12" customFormat="1" x14ac:dyDescent="0.25"/>
    <row r="130494" s="12" customFormat="1" x14ac:dyDescent="0.25"/>
    <row r="130495" s="12" customFormat="1" x14ac:dyDescent="0.25"/>
    <row r="130496" s="12" customFormat="1" x14ac:dyDescent="0.25"/>
    <row r="130497" s="12" customFormat="1" x14ac:dyDescent="0.25"/>
    <row r="130498" s="12" customFormat="1" x14ac:dyDescent="0.25"/>
    <row r="130499" s="12" customFormat="1" x14ac:dyDescent="0.25"/>
    <row r="130500" s="12" customFormat="1" x14ac:dyDescent="0.25"/>
    <row r="130501" s="12" customFormat="1" x14ac:dyDescent="0.25"/>
    <row r="130502" s="12" customFormat="1" x14ac:dyDescent="0.25"/>
    <row r="130503" s="12" customFormat="1" x14ac:dyDescent="0.25"/>
    <row r="130504" s="12" customFormat="1" x14ac:dyDescent="0.25"/>
    <row r="130505" s="12" customFormat="1" x14ac:dyDescent="0.25"/>
    <row r="130506" s="12" customFormat="1" x14ac:dyDescent="0.25"/>
    <row r="130507" s="12" customFormat="1" x14ac:dyDescent="0.25"/>
    <row r="130508" s="12" customFormat="1" x14ac:dyDescent="0.25"/>
    <row r="130509" s="12" customFormat="1" x14ac:dyDescent="0.25"/>
    <row r="130510" s="12" customFormat="1" x14ac:dyDescent="0.25"/>
    <row r="130511" s="12" customFormat="1" x14ac:dyDescent="0.25"/>
    <row r="130512" s="12" customFormat="1" x14ac:dyDescent="0.25"/>
    <row r="130513" s="12" customFormat="1" x14ac:dyDescent="0.25"/>
    <row r="130514" s="12" customFormat="1" x14ac:dyDescent="0.25"/>
    <row r="130515" s="12" customFormat="1" x14ac:dyDescent="0.25"/>
    <row r="130516" s="12" customFormat="1" x14ac:dyDescent="0.25"/>
    <row r="130517" s="12" customFormat="1" x14ac:dyDescent="0.25"/>
    <row r="130518" s="12" customFormat="1" x14ac:dyDescent="0.25"/>
    <row r="130519" s="12" customFormat="1" x14ac:dyDescent="0.25"/>
    <row r="130520" s="12" customFormat="1" x14ac:dyDescent="0.25"/>
    <row r="130521" s="12" customFormat="1" x14ac:dyDescent="0.25"/>
    <row r="130522" s="12" customFormat="1" x14ac:dyDescent="0.25"/>
    <row r="130523" s="12" customFormat="1" x14ac:dyDescent="0.25"/>
    <row r="130524" s="12" customFormat="1" x14ac:dyDescent="0.25"/>
    <row r="130525" s="12" customFormat="1" x14ac:dyDescent="0.25"/>
    <row r="130526" s="12" customFormat="1" x14ac:dyDescent="0.25"/>
    <row r="130527" s="12" customFormat="1" x14ac:dyDescent="0.25"/>
    <row r="130528" s="12" customFormat="1" x14ac:dyDescent="0.25"/>
    <row r="130529" s="12" customFormat="1" x14ac:dyDescent="0.25"/>
    <row r="130530" s="12" customFormat="1" x14ac:dyDescent="0.25"/>
    <row r="130531" s="12" customFormat="1" x14ac:dyDescent="0.25"/>
    <row r="130532" s="12" customFormat="1" x14ac:dyDescent="0.25"/>
    <row r="130533" s="12" customFormat="1" x14ac:dyDescent="0.25"/>
    <row r="130534" s="12" customFormat="1" x14ac:dyDescent="0.25"/>
    <row r="130535" s="12" customFormat="1" x14ac:dyDescent="0.25"/>
    <row r="130536" s="12" customFormat="1" x14ac:dyDescent="0.25"/>
    <row r="130537" s="12" customFormat="1" x14ac:dyDescent="0.25"/>
    <row r="130538" s="12" customFormat="1" x14ac:dyDescent="0.25"/>
    <row r="130539" s="12" customFormat="1" x14ac:dyDescent="0.25"/>
    <row r="130540" s="12" customFormat="1" x14ac:dyDescent="0.25"/>
    <row r="130541" s="12" customFormat="1" x14ac:dyDescent="0.25"/>
    <row r="130542" s="12" customFormat="1" x14ac:dyDescent="0.25"/>
    <row r="130543" s="12" customFormat="1" x14ac:dyDescent="0.25"/>
    <row r="130544" s="12" customFormat="1" x14ac:dyDescent="0.25"/>
    <row r="130545" s="12" customFormat="1" x14ac:dyDescent="0.25"/>
    <row r="130546" s="12" customFormat="1" x14ac:dyDescent="0.25"/>
    <row r="130547" s="12" customFormat="1" x14ac:dyDescent="0.25"/>
    <row r="130548" s="12" customFormat="1" x14ac:dyDescent="0.25"/>
    <row r="130549" s="12" customFormat="1" x14ac:dyDescent="0.25"/>
    <row r="130550" s="12" customFormat="1" x14ac:dyDescent="0.25"/>
    <row r="130551" s="12" customFormat="1" x14ac:dyDescent="0.25"/>
    <row r="130552" s="12" customFormat="1" x14ac:dyDescent="0.25"/>
    <row r="130553" s="12" customFormat="1" x14ac:dyDescent="0.25"/>
    <row r="130554" s="12" customFormat="1" x14ac:dyDescent="0.25"/>
    <row r="130555" s="12" customFormat="1" x14ac:dyDescent="0.25"/>
    <row r="130556" s="12" customFormat="1" x14ac:dyDescent="0.25"/>
    <row r="130557" s="12" customFormat="1" x14ac:dyDescent="0.25"/>
    <row r="130558" s="12" customFormat="1" x14ac:dyDescent="0.25"/>
    <row r="130559" s="12" customFormat="1" x14ac:dyDescent="0.25"/>
    <row r="130560" s="12" customFormat="1" x14ac:dyDescent="0.25"/>
    <row r="130561" s="12" customFormat="1" x14ac:dyDescent="0.25"/>
    <row r="130562" s="12" customFormat="1" x14ac:dyDescent="0.25"/>
    <row r="130563" s="12" customFormat="1" x14ac:dyDescent="0.25"/>
    <row r="130564" s="12" customFormat="1" x14ac:dyDescent="0.25"/>
    <row r="130565" s="12" customFormat="1" x14ac:dyDescent="0.25"/>
    <row r="130566" s="12" customFormat="1" x14ac:dyDescent="0.25"/>
    <row r="130567" s="12" customFormat="1" x14ac:dyDescent="0.25"/>
    <row r="130568" s="12" customFormat="1" x14ac:dyDescent="0.25"/>
    <row r="130569" s="12" customFormat="1" x14ac:dyDescent="0.25"/>
    <row r="130570" s="12" customFormat="1" x14ac:dyDescent="0.25"/>
    <row r="130571" s="12" customFormat="1" x14ac:dyDescent="0.25"/>
    <row r="130572" s="12" customFormat="1" x14ac:dyDescent="0.25"/>
    <row r="130573" s="12" customFormat="1" x14ac:dyDescent="0.25"/>
    <row r="130574" s="12" customFormat="1" x14ac:dyDescent="0.25"/>
    <row r="130575" s="12" customFormat="1" x14ac:dyDescent="0.25"/>
    <row r="130576" s="12" customFormat="1" x14ac:dyDescent="0.25"/>
    <row r="130577" s="12" customFormat="1" x14ac:dyDescent="0.25"/>
    <row r="130578" s="12" customFormat="1" x14ac:dyDescent="0.25"/>
    <row r="130579" s="12" customFormat="1" x14ac:dyDescent="0.25"/>
    <row r="130580" s="12" customFormat="1" x14ac:dyDescent="0.25"/>
    <row r="130581" s="12" customFormat="1" x14ac:dyDescent="0.25"/>
    <row r="130582" s="12" customFormat="1" x14ac:dyDescent="0.25"/>
    <row r="130583" s="12" customFormat="1" x14ac:dyDescent="0.25"/>
    <row r="130584" s="12" customFormat="1" x14ac:dyDescent="0.25"/>
    <row r="130585" s="12" customFormat="1" x14ac:dyDescent="0.25"/>
    <row r="130586" s="12" customFormat="1" x14ac:dyDescent="0.25"/>
    <row r="130587" s="12" customFormat="1" x14ac:dyDescent="0.25"/>
    <row r="130588" s="12" customFormat="1" x14ac:dyDescent="0.25"/>
    <row r="130589" s="12" customFormat="1" x14ac:dyDescent="0.25"/>
    <row r="130590" s="12" customFormat="1" x14ac:dyDescent="0.25"/>
    <row r="130591" s="12" customFormat="1" x14ac:dyDescent="0.25"/>
    <row r="130592" s="12" customFormat="1" x14ac:dyDescent="0.25"/>
    <row r="130593" s="12" customFormat="1" x14ac:dyDescent="0.25"/>
    <row r="130594" s="12" customFormat="1" x14ac:dyDescent="0.25"/>
    <row r="130595" s="12" customFormat="1" x14ac:dyDescent="0.25"/>
    <row r="130596" s="12" customFormat="1" x14ac:dyDescent="0.25"/>
    <row r="130597" s="12" customFormat="1" x14ac:dyDescent="0.25"/>
    <row r="130598" s="12" customFormat="1" x14ac:dyDescent="0.25"/>
    <row r="130599" s="12" customFormat="1" x14ac:dyDescent="0.25"/>
    <row r="130600" s="12" customFormat="1" x14ac:dyDescent="0.25"/>
    <row r="130601" s="12" customFormat="1" x14ac:dyDescent="0.25"/>
    <row r="130602" s="12" customFormat="1" x14ac:dyDescent="0.25"/>
    <row r="130603" s="12" customFormat="1" x14ac:dyDescent="0.25"/>
    <row r="130604" s="12" customFormat="1" x14ac:dyDescent="0.25"/>
    <row r="130605" s="12" customFormat="1" x14ac:dyDescent="0.25"/>
    <row r="130606" s="12" customFormat="1" x14ac:dyDescent="0.25"/>
    <row r="130607" s="12" customFormat="1" x14ac:dyDescent="0.25"/>
    <row r="130608" s="12" customFormat="1" x14ac:dyDescent="0.25"/>
    <row r="130609" s="12" customFormat="1" x14ac:dyDescent="0.25"/>
    <row r="130610" s="12" customFormat="1" x14ac:dyDescent="0.25"/>
    <row r="130611" s="12" customFormat="1" x14ac:dyDescent="0.25"/>
    <row r="130612" s="12" customFormat="1" x14ac:dyDescent="0.25"/>
    <row r="130613" s="12" customFormat="1" x14ac:dyDescent="0.25"/>
    <row r="130614" s="12" customFormat="1" x14ac:dyDescent="0.25"/>
    <row r="130615" s="12" customFormat="1" x14ac:dyDescent="0.25"/>
    <row r="130616" s="12" customFormat="1" x14ac:dyDescent="0.25"/>
    <row r="130617" s="12" customFormat="1" x14ac:dyDescent="0.25"/>
    <row r="130618" s="12" customFormat="1" x14ac:dyDescent="0.25"/>
    <row r="130619" s="12" customFormat="1" x14ac:dyDescent="0.25"/>
    <row r="130620" s="12" customFormat="1" x14ac:dyDescent="0.25"/>
    <row r="130621" s="12" customFormat="1" x14ac:dyDescent="0.25"/>
    <row r="130622" s="12" customFormat="1" x14ac:dyDescent="0.25"/>
    <row r="130623" s="12" customFormat="1" x14ac:dyDescent="0.25"/>
    <row r="130624" s="12" customFormat="1" x14ac:dyDescent="0.25"/>
    <row r="130625" s="12" customFormat="1" x14ac:dyDescent="0.25"/>
    <row r="130626" s="12" customFormat="1" x14ac:dyDescent="0.25"/>
    <row r="130627" s="12" customFormat="1" x14ac:dyDescent="0.25"/>
    <row r="130628" s="12" customFormat="1" x14ac:dyDescent="0.25"/>
    <row r="130629" s="12" customFormat="1" x14ac:dyDescent="0.25"/>
    <row r="130630" s="12" customFormat="1" x14ac:dyDescent="0.25"/>
    <row r="130631" s="12" customFormat="1" x14ac:dyDescent="0.25"/>
    <row r="130632" s="12" customFormat="1" x14ac:dyDescent="0.25"/>
    <row r="130633" s="12" customFormat="1" x14ac:dyDescent="0.25"/>
    <row r="130634" s="12" customFormat="1" x14ac:dyDescent="0.25"/>
    <row r="130635" s="12" customFormat="1" x14ac:dyDescent="0.25"/>
    <row r="130636" s="12" customFormat="1" x14ac:dyDescent="0.25"/>
    <row r="130637" s="12" customFormat="1" x14ac:dyDescent="0.25"/>
    <row r="130638" s="12" customFormat="1" x14ac:dyDescent="0.25"/>
    <row r="130639" s="12" customFormat="1" x14ac:dyDescent="0.25"/>
    <row r="130640" s="12" customFormat="1" x14ac:dyDescent="0.25"/>
    <row r="130641" s="12" customFormat="1" x14ac:dyDescent="0.25"/>
    <row r="130642" s="12" customFormat="1" x14ac:dyDescent="0.25"/>
    <row r="130643" s="12" customFormat="1" x14ac:dyDescent="0.25"/>
    <row r="130644" s="12" customFormat="1" x14ac:dyDescent="0.25"/>
    <row r="130645" s="12" customFormat="1" x14ac:dyDescent="0.25"/>
    <row r="130646" s="12" customFormat="1" x14ac:dyDescent="0.25"/>
    <row r="130647" s="12" customFormat="1" x14ac:dyDescent="0.25"/>
    <row r="130648" s="12" customFormat="1" x14ac:dyDescent="0.25"/>
    <row r="130649" s="12" customFormat="1" x14ac:dyDescent="0.25"/>
    <row r="130650" s="12" customFormat="1" x14ac:dyDescent="0.25"/>
    <row r="130651" s="12" customFormat="1" x14ac:dyDescent="0.25"/>
    <row r="130652" s="12" customFormat="1" x14ac:dyDescent="0.25"/>
    <row r="130653" s="12" customFormat="1" x14ac:dyDescent="0.25"/>
    <row r="130654" s="12" customFormat="1" x14ac:dyDescent="0.25"/>
    <row r="130655" s="12" customFormat="1" x14ac:dyDescent="0.25"/>
    <row r="130656" s="12" customFormat="1" x14ac:dyDescent="0.25"/>
    <row r="130657" s="12" customFormat="1" x14ac:dyDescent="0.25"/>
    <row r="130658" s="12" customFormat="1" x14ac:dyDescent="0.25"/>
    <row r="130659" s="12" customFormat="1" x14ac:dyDescent="0.25"/>
    <row r="130660" s="12" customFormat="1" x14ac:dyDescent="0.25"/>
    <row r="130661" s="12" customFormat="1" x14ac:dyDescent="0.25"/>
    <row r="130662" s="12" customFormat="1" x14ac:dyDescent="0.25"/>
    <row r="130663" s="12" customFormat="1" x14ac:dyDescent="0.25"/>
    <row r="130664" s="12" customFormat="1" x14ac:dyDescent="0.25"/>
    <row r="130665" s="12" customFormat="1" x14ac:dyDescent="0.25"/>
    <row r="130666" s="12" customFormat="1" x14ac:dyDescent="0.25"/>
    <row r="130667" s="12" customFormat="1" x14ac:dyDescent="0.25"/>
    <row r="130668" s="12" customFormat="1" x14ac:dyDescent="0.25"/>
    <row r="130669" s="12" customFormat="1" x14ac:dyDescent="0.25"/>
    <row r="130670" s="12" customFormat="1" x14ac:dyDescent="0.25"/>
    <row r="130671" s="12" customFormat="1" x14ac:dyDescent="0.25"/>
    <row r="130672" s="12" customFormat="1" x14ac:dyDescent="0.25"/>
    <row r="130673" s="12" customFormat="1" x14ac:dyDescent="0.25"/>
    <row r="130674" s="12" customFormat="1" x14ac:dyDescent="0.25"/>
    <row r="130675" s="12" customFormat="1" x14ac:dyDescent="0.25"/>
    <row r="130676" s="12" customFormat="1" x14ac:dyDescent="0.25"/>
    <row r="130677" s="12" customFormat="1" x14ac:dyDescent="0.25"/>
    <row r="130678" s="12" customFormat="1" x14ac:dyDescent="0.25"/>
    <row r="130679" s="12" customFormat="1" x14ac:dyDescent="0.25"/>
    <row r="130680" s="12" customFormat="1" x14ac:dyDescent="0.25"/>
    <row r="130681" s="12" customFormat="1" x14ac:dyDescent="0.25"/>
    <row r="130682" s="12" customFormat="1" x14ac:dyDescent="0.25"/>
    <row r="130683" s="12" customFormat="1" x14ac:dyDescent="0.25"/>
    <row r="130684" s="12" customFormat="1" x14ac:dyDescent="0.25"/>
    <row r="130685" s="12" customFormat="1" x14ac:dyDescent="0.25"/>
    <row r="130686" s="12" customFormat="1" x14ac:dyDescent="0.25"/>
    <row r="130687" s="12" customFormat="1" x14ac:dyDescent="0.25"/>
    <row r="130688" s="12" customFormat="1" x14ac:dyDescent="0.25"/>
    <row r="130689" s="12" customFormat="1" x14ac:dyDescent="0.25"/>
    <row r="130690" s="12" customFormat="1" x14ac:dyDescent="0.25"/>
    <row r="130691" s="12" customFormat="1" x14ac:dyDescent="0.25"/>
    <row r="130692" s="12" customFormat="1" x14ac:dyDescent="0.25"/>
    <row r="130693" s="12" customFormat="1" x14ac:dyDescent="0.25"/>
    <row r="130694" s="12" customFormat="1" x14ac:dyDescent="0.25"/>
    <row r="130695" s="12" customFormat="1" x14ac:dyDescent="0.25"/>
    <row r="130696" s="12" customFormat="1" x14ac:dyDescent="0.25"/>
    <row r="130697" s="12" customFormat="1" x14ac:dyDescent="0.25"/>
    <row r="130698" s="12" customFormat="1" x14ac:dyDescent="0.25"/>
    <row r="130699" s="12" customFormat="1" x14ac:dyDescent="0.25"/>
    <row r="130700" s="12" customFormat="1" x14ac:dyDescent="0.25"/>
    <row r="130701" s="12" customFormat="1" x14ac:dyDescent="0.25"/>
    <row r="130702" s="12" customFormat="1" x14ac:dyDescent="0.25"/>
    <row r="130703" s="12" customFormat="1" x14ac:dyDescent="0.25"/>
    <row r="130704" s="12" customFormat="1" x14ac:dyDescent="0.25"/>
    <row r="130705" s="12" customFormat="1" x14ac:dyDescent="0.25"/>
    <row r="130706" s="12" customFormat="1" x14ac:dyDescent="0.25"/>
    <row r="130707" s="12" customFormat="1" x14ac:dyDescent="0.25"/>
    <row r="130708" s="12" customFormat="1" x14ac:dyDescent="0.25"/>
    <row r="130709" s="12" customFormat="1" x14ac:dyDescent="0.25"/>
    <row r="130710" s="12" customFormat="1" x14ac:dyDescent="0.25"/>
    <row r="130711" s="12" customFormat="1" x14ac:dyDescent="0.25"/>
    <row r="130712" s="12" customFormat="1" x14ac:dyDescent="0.25"/>
    <row r="130713" s="12" customFormat="1" x14ac:dyDescent="0.25"/>
    <row r="130714" s="12" customFormat="1" x14ac:dyDescent="0.25"/>
    <row r="130715" s="12" customFormat="1" x14ac:dyDescent="0.25"/>
    <row r="130716" s="12" customFormat="1" x14ac:dyDescent="0.25"/>
    <row r="130717" s="12" customFormat="1" x14ac:dyDescent="0.25"/>
    <row r="130718" s="12" customFormat="1" x14ac:dyDescent="0.25"/>
    <row r="130719" s="12" customFormat="1" x14ac:dyDescent="0.25"/>
    <row r="130720" s="12" customFormat="1" x14ac:dyDescent="0.25"/>
    <row r="130721" s="12" customFormat="1" x14ac:dyDescent="0.25"/>
    <row r="130722" s="12" customFormat="1" x14ac:dyDescent="0.25"/>
    <row r="130723" s="12" customFormat="1" x14ac:dyDescent="0.25"/>
    <row r="130724" s="12" customFormat="1" x14ac:dyDescent="0.25"/>
    <row r="130725" s="12" customFormat="1" x14ac:dyDescent="0.25"/>
    <row r="130726" s="12" customFormat="1" x14ac:dyDescent="0.25"/>
    <row r="130727" s="12" customFormat="1" x14ac:dyDescent="0.25"/>
    <row r="130728" s="12" customFormat="1" x14ac:dyDescent="0.25"/>
    <row r="130729" s="12" customFormat="1" x14ac:dyDescent="0.25"/>
    <row r="130730" s="12" customFormat="1" x14ac:dyDescent="0.25"/>
    <row r="130731" s="12" customFormat="1" x14ac:dyDescent="0.25"/>
    <row r="130732" s="12" customFormat="1" x14ac:dyDescent="0.25"/>
    <row r="130733" s="12" customFormat="1" x14ac:dyDescent="0.25"/>
    <row r="130734" s="12" customFormat="1" x14ac:dyDescent="0.25"/>
    <row r="130735" s="12" customFormat="1" x14ac:dyDescent="0.25"/>
    <row r="130736" s="12" customFormat="1" x14ac:dyDescent="0.25"/>
    <row r="130737" s="12" customFormat="1" x14ac:dyDescent="0.25"/>
    <row r="130738" s="12" customFormat="1" x14ac:dyDescent="0.25"/>
    <row r="130739" s="12" customFormat="1" x14ac:dyDescent="0.25"/>
    <row r="130740" s="12" customFormat="1" x14ac:dyDescent="0.25"/>
    <row r="130741" s="12" customFormat="1" x14ac:dyDescent="0.25"/>
    <row r="130742" s="12" customFormat="1" x14ac:dyDescent="0.25"/>
    <row r="130743" s="12" customFormat="1" x14ac:dyDescent="0.25"/>
    <row r="130744" s="12" customFormat="1" x14ac:dyDescent="0.25"/>
    <row r="130745" s="12" customFormat="1" x14ac:dyDescent="0.25"/>
    <row r="130746" s="12" customFormat="1" x14ac:dyDescent="0.25"/>
    <row r="130747" s="12" customFormat="1" x14ac:dyDescent="0.25"/>
    <row r="130748" s="12" customFormat="1" x14ac:dyDescent="0.25"/>
    <row r="130749" s="12" customFormat="1" x14ac:dyDescent="0.25"/>
    <row r="130750" s="12" customFormat="1" x14ac:dyDescent="0.25"/>
    <row r="130751" s="12" customFormat="1" x14ac:dyDescent="0.25"/>
    <row r="130752" s="12" customFormat="1" x14ac:dyDescent="0.25"/>
    <row r="130753" s="12" customFormat="1" x14ac:dyDescent="0.25"/>
    <row r="130754" s="12" customFormat="1" x14ac:dyDescent="0.25"/>
    <row r="130755" s="12" customFormat="1" x14ac:dyDescent="0.25"/>
    <row r="130756" s="12" customFormat="1" x14ac:dyDescent="0.25"/>
    <row r="130757" s="12" customFormat="1" x14ac:dyDescent="0.25"/>
    <row r="130758" s="12" customFormat="1" x14ac:dyDescent="0.25"/>
    <row r="130759" s="12" customFormat="1" x14ac:dyDescent="0.25"/>
    <row r="130760" s="12" customFormat="1" x14ac:dyDescent="0.25"/>
    <row r="130761" s="12" customFormat="1" x14ac:dyDescent="0.25"/>
    <row r="130762" s="12" customFormat="1" x14ac:dyDescent="0.25"/>
    <row r="130763" s="12" customFormat="1" x14ac:dyDescent="0.25"/>
    <row r="130764" s="12" customFormat="1" x14ac:dyDescent="0.25"/>
    <row r="130765" s="12" customFormat="1" x14ac:dyDescent="0.25"/>
    <row r="130766" s="12" customFormat="1" x14ac:dyDescent="0.25"/>
    <row r="130767" s="12" customFormat="1" x14ac:dyDescent="0.25"/>
    <row r="130768" s="12" customFormat="1" x14ac:dyDescent="0.25"/>
    <row r="130769" s="12" customFormat="1" x14ac:dyDescent="0.25"/>
    <row r="130770" s="12" customFormat="1" x14ac:dyDescent="0.25"/>
    <row r="130771" s="12" customFormat="1" x14ac:dyDescent="0.25"/>
    <row r="130772" s="12" customFormat="1" x14ac:dyDescent="0.25"/>
    <row r="130773" s="12" customFormat="1" x14ac:dyDescent="0.25"/>
    <row r="130774" s="12" customFormat="1" x14ac:dyDescent="0.25"/>
    <row r="130775" s="12" customFormat="1" x14ac:dyDescent="0.25"/>
    <row r="130776" s="12" customFormat="1" x14ac:dyDescent="0.25"/>
    <row r="130777" s="12" customFormat="1" x14ac:dyDescent="0.25"/>
    <row r="130778" s="12" customFormat="1" x14ac:dyDescent="0.25"/>
    <row r="130779" s="12" customFormat="1" x14ac:dyDescent="0.25"/>
    <row r="130780" s="12" customFormat="1" x14ac:dyDescent="0.25"/>
    <row r="130781" s="12" customFormat="1" x14ac:dyDescent="0.25"/>
    <row r="130782" s="12" customFormat="1" x14ac:dyDescent="0.25"/>
    <row r="130783" s="12" customFormat="1" x14ac:dyDescent="0.25"/>
    <row r="130784" s="12" customFormat="1" x14ac:dyDescent="0.25"/>
    <row r="130785" s="12" customFormat="1" x14ac:dyDescent="0.25"/>
    <row r="130786" s="12" customFormat="1" x14ac:dyDescent="0.25"/>
    <row r="130787" s="12" customFormat="1" x14ac:dyDescent="0.25"/>
    <row r="130788" s="12" customFormat="1" x14ac:dyDescent="0.25"/>
    <row r="130789" s="12" customFormat="1" x14ac:dyDescent="0.25"/>
    <row r="130790" s="12" customFormat="1" x14ac:dyDescent="0.25"/>
    <row r="130791" s="12" customFormat="1" x14ac:dyDescent="0.25"/>
    <row r="130792" s="12" customFormat="1" x14ac:dyDescent="0.25"/>
    <row r="130793" s="12" customFormat="1" x14ac:dyDescent="0.25"/>
    <row r="130794" s="12" customFormat="1" x14ac:dyDescent="0.25"/>
    <row r="130795" s="12" customFormat="1" x14ac:dyDescent="0.25"/>
    <row r="130796" s="12" customFormat="1" x14ac:dyDescent="0.25"/>
    <row r="130797" s="12" customFormat="1" x14ac:dyDescent="0.25"/>
    <row r="130798" s="12" customFormat="1" x14ac:dyDescent="0.25"/>
    <row r="130799" s="12" customFormat="1" x14ac:dyDescent="0.25"/>
    <row r="130800" s="12" customFormat="1" x14ac:dyDescent="0.25"/>
    <row r="130801" s="12" customFormat="1" x14ac:dyDescent="0.25"/>
    <row r="130802" s="12" customFormat="1" x14ac:dyDescent="0.25"/>
    <row r="130803" s="12" customFormat="1" x14ac:dyDescent="0.25"/>
    <row r="130804" s="12" customFormat="1" x14ac:dyDescent="0.25"/>
    <row r="130805" s="12" customFormat="1" x14ac:dyDescent="0.25"/>
    <row r="130806" s="12" customFormat="1" x14ac:dyDescent="0.25"/>
    <row r="130807" s="12" customFormat="1" x14ac:dyDescent="0.25"/>
    <row r="130808" s="12" customFormat="1" x14ac:dyDescent="0.25"/>
    <row r="130809" s="12" customFormat="1" x14ac:dyDescent="0.25"/>
    <row r="130810" s="12" customFormat="1" x14ac:dyDescent="0.25"/>
    <row r="130811" s="12" customFormat="1" x14ac:dyDescent="0.25"/>
    <row r="130812" s="12" customFormat="1" x14ac:dyDescent="0.25"/>
    <row r="130813" s="12" customFormat="1" x14ac:dyDescent="0.25"/>
    <row r="130814" s="12" customFormat="1" x14ac:dyDescent="0.25"/>
    <row r="130815" s="12" customFormat="1" x14ac:dyDescent="0.25"/>
    <row r="130816" s="12" customFormat="1" x14ac:dyDescent="0.25"/>
    <row r="130817" s="12" customFormat="1" x14ac:dyDescent="0.25"/>
    <row r="130818" s="12" customFormat="1" x14ac:dyDescent="0.25"/>
    <row r="130819" s="12" customFormat="1" x14ac:dyDescent="0.25"/>
    <row r="130820" s="12" customFormat="1" x14ac:dyDescent="0.25"/>
    <row r="130821" s="12" customFormat="1" x14ac:dyDescent="0.25"/>
    <row r="130822" s="12" customFormat="1" x14ac:dyDescent="0.25"/>
    <row r="130823" s="12" customFormat="1" x14ac:dyDescent="0.25"/>
    <row r="130824" s="12" customFormat="1" x14ac:dyDescent="0.25"/>
    <row r="130825" s="12" customFormat="1" x14ac:dyDescent="0.25"/>
    <row r="130826" s="12" customFormat="1" x14ac:dyDescent="0.25"/>
    <row r="130827" s="12" customFormat="1" x14ac:dyDescent="0.25"/>
    <row r="130828" s="12" customFormat="1" x14ac:dyDescent="0.25"/>
    <row r="130829" s="12" customFormat="1" x14ac:dyDescent="0.25"/>
    <row r="130830" s="12" customFormat="1" x14ac:dyDescent="0.25"/>
    <row r="130831" s="12" customFormat="1" x14ac:dyDescent="0.25"/>
    <row r="130832" s="12" customFormat="1" x14ac:dyDescent="0.25"/>
    <row r="130833" s="12" customFormat="1" x14ac:dyDescent="0.25"/>
    <row r="130834" s="12" customFormat="1" x14ac:dyDescent="0.25"/>
    <row r="130835" s="12" customFormat="1" x14ac:dyDescent="0.25"/>
    <row r="130836" s="12" customFormat="1" x14ac:dyDescent="0.25"/>
    <row r="130837" s="12" customFormat="1" x14ac:dyDescent="0.25"/>
    <row r="130838" s="12" customFormat="1" x14ac:dyDescent="0.25"/>
    <row r="130839" s="12" customFormat="1" x14ac:dyDescent="0.25"/>
    <row r="130840" s="12" customFormat="1" x14ac:dyDescent="0.25"/>
    <row r="130841" s="12" customFormat="1" x14ac:dyDescent="0.25"/>
    <row r="130842" s="12" customFormat="1" x14ac:dyDescent="0.25"/>
    <row r="130843" s="12" customFormat="1" x14ac:dyDescent="0.25"/>
    <row r="130844" s="12" customFormat="1" x14ac:dyDescent="0.25"/>
    <row r="130845" s="12" customFormat="1" x14ac:dyDescent="0.25"/>
    <row r="130846" s="12" customFormat="1" x14ac:dyDescent="0.25"/>
    <row r="130847" s="12" customFormat="1" x14ac:dyDescent="0.25"/>
    <row r="130848" s="12" customFormat="1" x14ac:dyDescent="0.25"/>
    <row r="130849" s="12" customFormat="1" x14ac:dyDescent="0.25"/>
    <row r="130850" s="12" customFormat="1" x14ac:dyDescent="0.25"/>
    <row r="130851" s="12" customFormat="1" x14ac:dyDescent="0.25"/>
    <row r="130852" s="12" customFormat="1" x14ac:dyDescent="0.25"/>
    <row r="130853" s="12" customFormat="1" x14ac:dyDescent="0.25"/>
    <row r="130854" s="12" customFormat="1" x14ac:dyDescent="0.25"/>
    <row r="130855" s="12" customFormat="1" x14ac:dyDescent="0.25"/>
    <row r="130856" s="12" customFormat="1" x14ac:dyDescent="0.25"/>
    <row r="130857" s="12" customFormat="1" x14ac:dyDescent="0.25"/>
    <row r="130858" s="12" customFormat="1" x14ac:dyDescent="0.25"/>
    <row r="130859" s="12" customFormat="1" x14ac:dyDescent="0.25"/>
    <row r="130860" s="12" customFormat="1" x14ac:dyDescent="0.25"/>
    <row r="130861" s="12" customFormat="1" x14ac:dyDescent="0.25"/>
    <row r="130862" s="12" customFormat="1" x14ac:dyDescent="0.25"/>
    <row r="130863" s="12" customFormat="1" x14ac:dyDescent="0.25"/>
    <row r="130864" s="12" customFormat="1" x14ac:dyDescent="0.25"/>
    <row r="130865" s="12" customFormat="1" x14ac:dyDescent="0.25"/>
    <row r="130866" s="12" customFormat="1" x14ac:dyDescent="0.25"/>
    <row r="130867" s="12" customFormat="1" x14ac:dyDescent="0.25"/>
    <row r="130868" s="12" customFormat="1" x14ac:dyDescent="0.25"/>
    <row r="130869" s="12" customFormat="1" x14ac:dyDescent="0.25"/>
    <row r="130870" s="12" customFormat="1" x14ac:dyDescent="0.25"/>
    <row r="130871" s="12" customFormat="1" x14ac:dyDescent="0.25"/>
    <row r="130872" s="12" customFormat="1" x14ac:dyDescent="0.25"/>
    <row r="130873" s="12" customFormat="1" x14ac:dyDescent="0.25"/>
    <row r="130874" s="12" customFormat="1" x14ac:dyDescent="0.25"/>
    <row r="130875" s="12" customFormat="1" x14ac:dyDescent="0.25"/>
    <row r="130876" s="12" customFormat="1" x14ac:dyDescent="0.25"/>
    <row r="130877" s="12" customFormat="1" x14ac:dyDescent="0.25"/>
    <row r="130878" s="12" customFormat="1" x14ac:dyDescent="0.25"/>
    <row r="130879" s="12" customFormat="1" x14ac:dyDescent="0.25"/>
    <row r="130880" s="12" customFormat="1" x14ac:dyDescent="0.25"/>
    <row r="130881" s="12" customFormat="1" x14ac:dyDescent="0.25"/>
    <row r="130882" s="12" customFormat="1" x14ac:dyDescent="0.25"/>
    <row r="130883" s="12" customFormat="1" x14ac:dyDescent="0.25"/>
    <row r="130884" s="12" customFormat="1" x14ac:dyDescent="0.25"/>
    <row r="130885" s="12" customFormat="1" x14ac:dyDescent="0.25"/>
    <row r="130886" s="12" customFormat="1" x14ac:dyDescent="0.25"/>
    <row r="130887" s="12" customFormat="1" x14ac:dyDescent="0.25"/>
    <row r="130888" s="12" customFormat="1" x14ac:dyDescent="0.25"/>
    <row r="130889" s="12" customFormat="1" x14ac:dyDescent="0.25"/>
    <row r="130890" s="12" customFormat="1" x14ac:dyDescent="0.25"/>
    <row r="130891" s="12" customFormat="1" x14ac:dyDescent="0.25"/>
    <row r="130892" s="12" customFormat="1" x14ac:dyDescent="0.25"/>
    <row r="130893" s="12" customFormat="1" x14ac:dyDescent="0.25"/>
    <row r="130894" s="12" customFormat="1" x14ac:dyDescent="0.25"/>
    <row r="130895" s="12" customFormat="1" x14ac:dyDescent="0.25"/>
    <row r="130896" s="12" customFormat="1" x14ac:dyDescent="0.25"/>
    <row r="130897" s="12" customFormat="1" x14ac:dyDescent="0.25"/>
    <row r="130898" s="12" customFormat="1" x14ac:dyDescent="0.25"/>
    <row r="130899" s="12" customFormat="1" x14ac:dyDescent="0.25"/>
    <row r="130900" s="12" customFormat="1" x14ac:dyDescent="0.25"/>
    <row r="130901" s="12" customFormat="1" x14ac:dyDescent="0.25"/>
    <row r="130902" s="12" customFormat="1" x14ac:dyDescent="0.25"/>
    <row r="130903" s="12" customFormat="1" x14ac:dyDescent="0.25"/>
    <row r="130904" s="12" customFormat="1" x14ac:dyDescent="0.25"/>
    <row r="130905" s="12" customFormat="1" x14ac:dyDescent="0.25"/>
    <row r="130906" s="12" customFormat="1" x14ac:dyDescent="0.25"/>
    <row r="130907" s="12" customFormat="1" x14ac:dyDescent="0.25"/>
    <row r="130908" s="12" customFormat="1" x14ac:dyDescent="0.25"/>
    <row r="130909" s="12" customFormat="1" x14ac:dyDescent="0.25"/>
    <row r="130910" s="12" customFormat="1" x14ac:dyDescent="0.25"/>
    <row r="130911" s="12" customFormat="1" x14ac:dyDescent="0.25"/>
    <row r="130912" s="12" customFormat="1" x14ac:dyDescent="0.25"/>
    <row r="130913" s="12" customFormat="1" x14ac:dyDescent="0.25"/>
    <row r="130914" s="12" customFormat="1" x14ac:dyDescent="0.25"/>
    <row r="130915" s="12" customFormat="1" x14ac:dyDescent="0.25"/>
    <row r="130916" s="12" customFormat="1" x14ac:dyDescent="0.25"/>
    <row r="130917" s="12" customFormat="1" x14ac:dyDescent="0.25"/>
    <row r="130918" s="12" customFormat="1" x14ac:dyDescent="0.25"/>
    <row r="130919" s="12" customFormat="1" x14ac:dyDescent="0.25"/>
    <row r="130920" s="12" customFormat="1" x14ac:dyDescent="0.25"/>
    <row r="130921" s="12" customFormat="1" x14ac:dyDescent="0.25"/>
    <row r="130922" s="12" customFormat="1" x14ac:dyDescent="0.25"/>
    <row r="130923" s="12" customFormat="1" x14ac:dyDescent="0.25"/>
    <row r="130924" s="12" customFormat="1" x14ac:dyDescent="0.25"/>
    <row r="130925" s="12" customFormat="1" x14ac:dyDescent="0.25"/>
    <row r="130926" s="12" customFormat="1" x14ac:dyDescent="0.25"/>
    <row r="130927" s="12" customFormat="1" x14ac:dyDescent="0.25"/>
    <row r="130928" s="12" customFormat="1" x14ac:dyDescent="0.25"/>
    <row r="130929" s="12" customFormat="1" x14ac:dyDescent="0.25"/>
    <row r="130930" s="12" customFormat="1" x14ac:dyDescent="0.25"/>
    <row r="130931" s="12" customFormat="1" x14ac:dyDescent="0.25"/>
    <row r="130932" s="12" customFormat="1" x14ac:dyDescent="0.25"/>
    <row r="130933" s="12" customFormat="1" x14ac:dyDescent="0.25"/>
    <row r="130934" s="12" customFormat="1" x14ac:dyDescent="0.25"/>
    <row r="130935" s="12" customFormat="1" x14ac:dyDescent="0.25"/>
    <row r="130936" s="12" customFormat="1" x14ac:dyDescent="0.25"/>
    <row r="130937" s="12" customFormat="1" x14ac:dyDescent="0.25"/>
    <row r="130938" s="12" customFormat="1" x14ac:dyDescent="0.25"/>
    <row r="130939" s="12" customFormat="1" x14ac:dyDescent="0.25"/>
    <row r="130940" s="12" customFormat="1" x14ac:dyDescent="0.25"/>
    <row r="130941" s="12" customFormat="1" x14ac:dyDescent="0.25"/>
    <row r="130942" s="12" customFormat="1" x14ac:dyDescent="0.25"/>
    <row r="130943" s="12" customFormat="1" x14ac:dyDescent="0.25"/>
    <row r="130944" s="12" customFormat="1" x14ac:dyDescent="0.25"/>
    <row r="130945" s="12" customFormat="1" x14ac:dyDescent="0.25"/>
    <row r="130946" s="12" customFormat="1" x14ac:dyDescent="0.25"/>
    <row r="130947" s="12" customFormat="1" x14ac:dyDescent="0.25"/>
    <row r="130948" s="12" customFormat="1" x14ac:dyDescent="0.25"/>
    <row r="130949" s="12" customFormat="1" x14ac:dyDescent="0.25"/>
    <row r="130950" s="12" customFormat="1" x14ac:dyDescent="0.25"/>
    <row r="130951" s="12" customFormat="1" x14ac:dyDescent="0.25"/>
    <row r="130952" s="12" customFormat="1" x14ac:dyDescent="0.25"/>
    <row r="130953" s="12" customFormat="1" x14ac:dyDescent="0.25"/>
    <row r="130954" s="12" customFormat="1" x14ac:dyDescent="0.25"/>
    <row r="130955" s="12" customFormat="1" x14ac:dyDescent="0.25"/>
    <row r="130956" s="12" customFormat="1" x14ac:dyDescent="0.25"/>
    <row r="130957" s="12" customFormat="1" x14ac:dyDescent="0.25"/>
    <row r="130958" s="12" customFormat="1" x14ac:dyDescent="0.25"/>
    <row r="130959" s="12" customFormat="1" x14ac:dyDescent="0.25"/>
    <row r="130960" s="12" customFormat="1" x14ac:dyDescent="0.25"/>
    <row r="130961" s="12" customFormat="1" x14ac:dyDescent="0.25"/>
    <row r="130962" s="12" customFormat="1" x14ac:dyDescent="0.25"/>
    <row r="130963" s="12" customFormat="1" x14ac:dyDescent="0.25"/>
    <row r="130964" s="12" customFormat="1" x14ac:dyDescent="0.25"/>
    <row r="130965" s="12" customFormat="1" x14ac:dyDescent="0.25"/>
    <row r="130966" s="12" customFormat="1" x14ac:dyDescent="0.25"/>
    <row r="130967" s="12" customFormat="1" x14ac:dyDescent="0.25"/>
    <row r="130968" s="12" customFormat="1" x14ac:dyDescent="0.25"/>
    <row r="130969" s="12" customFormat="1" x14ac:dyDescent="0.25"/>
    <row r="130970" s="12" customFormat="1" x14ac:dyDescent="0.25"/>
    <row r="130971" s="12" customFormat="1" x14ac:dyDescent="0.25"/>
    <row r="130972" s="12" customFormat="1" x14ac:dyDescent="0.25"/>
    <row r="130973" s="12" customFormat="1" x14ac:dyDescent="0.25"/>
    <row r="130974" s="12" customFormat="1" x14ac:dyDescent="0.25"/>
    <row r="130975" s="12" customFormat="1" x14ac:dyDescent="0.25"/>
    <row r="130976" s="12" customFormat="1" x14ac:dyDescent="0.25"/>
    <row r="130977" s="12" customFormat="1" x14ac:dyDescent="0.25"/>
    <row r="130978" s="12" customFormat="1" x14ac:dyDescent="0.25"/>
    <row r="130979" s="12" customFormat="1" x14ac:dyDescent="0.25"/>
    <row r="130980" s="12" customFormat="1" x14ac:dyDescent="0.25"/>
    <row r="130981" s="12" customFormat="1" x14ac:dyDescent="0.25"/>
    <row r="130982" s="12" customFormat="1" x14ac:dyDescent="0.25"/>
    <row r="130983" s="12" customFormat="1" x14ac:dyDescent="0.25"/>
    <row r="130984" s="12" customFormat="1" x14ac:dyDescent="0.25"/>
    <row r="130985" s="12" customFormat="1" x14ac:dyDescent="0.25"/>
    <row r="130986" s="12" customFormat="1" x14ac:dyDescent="0.25"/>
    <row r="130987" s="12" customFormat="1" x14ac:dyDescent="0.25"/>
    <row r="130988" s="12" customFormat="1" x14ac:dyDescent="0.25"/>
    <row r="130989" s="12" customFormat="1" x14ac:dyDescent="0.25"/>
    <row r="130990" s="12" customFormat="1" x14ac:dyDescent="0.25"/>
    <row r="130991" s="12" customFormat="1" x14ac:dyDescent="0.25"/>
    <row r="130992" s="12" customFormat="1" x14ac:dyDescent="0.25"/>
    <row r="130993" s="12" customFormat="1" x14ac:dyDescent="0.25"/>
    <row r="130994" s="12" customFormat="1" x14ac:dyDescent="0.25"/>
    <row r="130995" s="12" customFormat="1" x14ac:dyDescent="0.25"/>
    <row r="130996" s="12" customFormat="1" x14ac:dyDescent="0.25"/>
    <row r="130997" s="12" customFormat="1" x14ac:dyDescent="0.25"/>
    <row r="130998" s="12" customFormat="1" x14ac:dyDescent="0.25"/>
    <row r="130999" s="12" customFormat="1" x14ac:dyDescent="0.25"/>
    <row r="131000" s="12" customFormat="1" x14ac:dyDescent="0.25"/>
    <row r="131001" s="12" customFormat="1" x14ac:dyDescent="0.25"/>
    <row r="131002" s="12" customFormat="1" x14ac:dyDescent="0.25"/>
    <row r="131003" s="12" customFormat="1" x14ac:dyDescent="0.25"/>
    <row r="131004" s="12" customFormat="1" x14ac:dyDescent="0.25"/>
    <row r="131005" s="12" customFormat="1" x14ac:dyDescent="0.25"/>
    <row r="131006" s="12" customFormat="1" x14ac:dyDescent="0.25"/>
    <row r="131007" s="12" customFormat="1" x14ac:dyDescent="0.25"/>
    <row r="131008" s="12" customFormat="1" x14ac:dyDescent="0.25"/>
    <row r="131009" s="12" customFormat="1" x14ac:dyDescent="0.25"/>
    <row r="131010" s="12" customFormat="1" x14ac:dyDescent="0.25"/>
    <row r="131011" s="12" customFormat="1" x14ac:dyDescent="0.25"/>
    <row r="131012" s="12" customFormat="1" x14ac:dyDescent="0.25"/>
    <row r="131013" s="12" customFormat="1" x14ac:dyDescent="0.25"/>
    <row r="131014" s="12" customFormat="1" x14ac:dyDescent="0.25"/>
    <row r="131015" s="12" customFormat="1" x14ac:dyDescent="0.25"/>
    <row r="131016" s="12" customFormat="1" x14ac:dyDescent="0.25"/>
    <row r="131017" s="12" customFormat="1" x14ac:dyDescent="0.25"/>
    <row r="131018" s="12" customFormat="1" x14ac:dyDescent="0.25"/>
    <row r="131019" s="12" customFormat="1" x14ac:dyDescent="0.25"/>
    <row r="131020" s="12" customFormat="1" x14ac:dyDescent="0.25"/>
    <row r="131021" s="12" customFormat="1" x14ac:dyDescent="0.25"/>
    <row r="131022" s="12" customFormat="1" x14ac:dyDescent="0.25"/>
    <row r="131023" s="12" customFormat="1" x14ac:dyDescent="0.25"/>
    <row r="131024" s="12" customFormat="1" x14ac:dyDescent="0.25"/>
    <row r="131025" s="12" customFormat="1" x14ac:dyDescent="0.25"/>
    <row r="131026" s="12" customFormat="1" x14ac:dyDescent="0.25"/>
    <row r="131027" s="12" customFormat="1" x14ac:dyDescent="0.25"/>
    <row r="131028" s="12" customFormat="1" x14ac:dyDescent="0.25"/>
    <row r="131029" s="12" customFormat="1" x14ac:dyDescent="0.25"/>
    <row r="131030" s="12" customFormat="1" x14ac:dyDescent="0.25"/>
    <row r="131031" s="12" customFormat="1" x14ac:dyDescent="0.25"/>
    <row r="131032" s="12" customFormat="1" x14ac:dyDescent="0.25"/>
    <row r="131033" s="12" customFormat="1" x14ac:dyDescent="0.25"/>
    <row r="131034" s="12" customFormat="1" x14ac:dyDescent="0.25"/>
    <row r="131035" s="12" customFormat="1" x14ac:dyDescent="0.25"/>
    <row r="131036" s="12" customFormat="1" x14ac:dyDescent="0.25"/>
    <row r="131037" s="12" customFormat="1" x14ac:dyDescent="0.25"/>
    <row r="131038" s="12" customFormat="1" x14ac:dyDescent="0.25"/>
    <row r="131039" s="12" customFormat="1" x14ac:dyDescent="0.25"/>
    <row r="131040" s="12" customFormat="1" x14ac:dyDescent="0.25"/>
    <row r="131041" s="12" customFormat="1" x14ac:dyDescent="0.25"/>
    <row r="131042" s="12" customFormat="1" x14ac:dyDescent="0.25"/>
    <row r="131043" s="12" customFormat="1" x14ac:dyDescent="0.25"/>
    <row r="131044" s="12" customFormat="1" x14ac:dyDescent="0.25"/>
    <row r="131045" s="12" customFormat="1" x14ac:dyDescent="0.25"/>
    <row r="131046" s="12" customFormat="1" x14ac:dyDescent="0.25"/>
    <row r="131047" s="12" customFormat="1" x14ac:dyDescent="0.25"/>
    <row r="131048" s="12" customFormat="1" x14ac:dyDescent="0.25"/>
    <row r="131049" s="12" customFormat="1" x14ac:dyDescent="0.25"/>
    <row r="131050" s="12" customFormat="1" x14ac:dyDescent="0.25"/>
    <row r="131051" s="12" customFormat="1" x14ac:dyDescent="0.25"/>
    <row r="131052" s="12" customFormat="1" x14ac:dyDescent="0.25"/>
    <row r="131053" s="12" customFormat="1" x14ac:dyDescent="0.25"/>
    <row r="131054" s="12" customFormat="1" x14ac:dyDescent="0.25"/>
    <row r="131055" s="12" customFormat="1" x14ac:dyDescent="0.25"/>
    <row r="131056" s="12" customFormat="1" x14ac:dyDescent="0.25"/>
    <row r="131057" s="12" customFormat="1" x14ac:dyDescent="0.25"/>
    <row r="131058" s="12" customFormat="1" x14ac:dyDescent="0.25"/>
    <row r="131059" s="12" customFormat="1" x14ac:dyDescent="0.25"/>
    <row r="131060" s="12" customFormat="1" x14ac:dyDescent="0.25"/>
    <row r="131061" s="12" customFormat="1" x14ac:dyDescent="0.25"/>
    <row r="131062" s="12" customFormat="1" x14ac:dyDescent="0.25"/>
    <row r="131063" s="12" customFormat="1" x14ac:dyDescent="0.25"/>
    <row r="131064" s="12" customFormat="1" x14ac:dyDescent="0.25"/>
    <row r="131065" s="12" customFormat="1" x14ac:dyDescent="0.25"/>
    <row r="131066" s="12" customFormat="1" x14ac:dyDescent="0.25"/>
    <row r="131067" s="12" customFormat="1" x14ac:dyDescent="0.25"/>
    <row r="131068" s="12" customFormat="1" x14ac:dyDescent="0.25"/>
    <row r="131069" s="12" customFormat="1" x14ac:dyDescent="0.25"/>
    <row r="131070" s="12" customFormat="1" x14ac:dyDescent="0.25"/>
    <row r="131071" s="12" customFormat="1" x14ac:dyDescent="0.25"/>
    <row r="131072" s="12" customFormat="1" x14ac:dyDescent="0.25"/>
    <row r="131073" s="12" customFormat="1" x14ac:dyDescent="0.25"/>
    <row r="131074" s="12" customFormat="1" x14ac:dyDescent="0.25"/>
    <row r="131075" s="12" customFormat="1" x14ac:dyDescent="0.25"/>
    <row r="131076" s="12" customFormat="1" x14ac:dyDescent="0.25"/>
    <row r="131077" s="12" customFormat="1" x14ac:dyDescent="0.25"/>
    <row r="131078" s="12" customFormat="1" x14ac:dyDescent="0.25"/>
    <row r="131079" s="12" customFormat="1" x14ac:dyDescent="0.25"/>
    <row r="131080" s="12" customFormat="1" x14ac:dyDescent="0.25"/>
    <row r="131081" s="12" customFormat="1" x14ac:dyDescent="0.25"/>
    <row r="131082" s="12" customFormat="1" x14ac:dyDescent="0.25"/>
    <row r="131083" s="12" customFormat="1" x14ac:dyDescent="0.25"/>
    <row r="131084" s="12" customFormat="1" x14ac:dyDescent="0.25"/>
    <row r="131085" s="12" customFormat="1" x14ac:dyDescent="0.25"/>
    <row r="131086" s="12" customFormat="1" x14ac:dyDescent="0.25"/>
    <row r="131087" s="12" customFormat="1" x14ac:dyDescent="0.25"/>
    <row r="131088" s="12" customFormat="1" x14ac:dyDescent="0.25"/>
    <row r="131089" s="12" customFormat="1" x14ac:dyDescent="0.25"/>
    <row r="131090" s="12" customFormat="1" x14ac:dyDescent="0.25"/>
    <row r="131091" s="12" customFormat="1" x14ac:dyDescent="0.25"/>
    <row r="131092" s="12" customFormat="1" x14ac:dyDescent="0.25"/>
    <row r="131093" s="12" customFormat="1" x14ac:dyDescent="0.25"/>
    <row r="131094" s="12" customFormat="1" x14ac:dyDescent="0.25"/>
    <row r="131095" s="12" customFormat="1" x14ac:dyDescent="0.25"/>
    <row r="131096" s="12" customFormat="1" x14ac:dyDescent="0.25"/>
    <row r="131097" s="12" customFormat="1" x14ac:dyDescent="0.25"/>
    <row r="131098" s="12" customFormat="1" x14ac:dyDescent="0.25"/>
    <row r="131099" s="12" customFormat="1" x14ac:dyDescent="0.25"/>
    <row r="131100" s="12" customFormat="1" x14ac:dyDescent="0.25"/>
    <row r="131101" s="12" customFormat="1" x14ac:dyDescent="0.25"/>
    <row r="131102" s="12" customFormat="1" x14ac:dyDescent="0.25"/>
    <row r="131103" s="12" customFormat="1" x14ac:dyDescent="0.25"/>
    <row r="131104" s="12" customFormat="1" x14ac:dyDescent="0.25"/>
    <row r="131105" s="12" customFormat="1" x14ac:dyDescent="0.25"/>
    <row r="131106" s="12" customFormat="1" x14ac:dyDescent="0.25"/>
    <row r="131107" s="12" customFormat="1" x14ac:dyDescent="0.25"/>
    <row r="131108" s="12" customFormat="1" x14ac:dyDescent="0.25"/>
    <row r="131109" s="12" customFormat="1" x14ac:dyDescent="0.25"/>
    <row r="131110" s="12" customFormat="1" x14ac:dyDescent="0.25"/>
    <row r="131111" s="12" customFormat="1" x14ac:dyDescent="0.25"/>
    <row r="131112" s="12" customFormat="1" x14ac:dyDescent="0.25"/>
    <row r="131113" s="12" customFormat="1" x14ac:dyDescent="0.25"/>
    <row r="131114" s="12" customFormat="1" x14ac:dyDescent="0.25"/>
    <row r="131115" s="12" customFormat="1" x14ac:dyDescent="0.25"/>
    <row r="131116" s="12" customFormat="1" x14ac:dyDescent="0.25"/>
    <row r="131117" s="12" customFormat="1" x14ac:dyDescent="0.25"/>
    <row r="131118" s="12" customFormat="1" x14ac:dyDescent="0.25"/>
    <row r="131119" s="12" customFormat="1" x14ac:dyDescent="0.25"/>
    <row r="131120" s="12" customFormat="1" x14ac:dyDescent="0.25"/>
    <row r="131121" s="12" customFormat="1" x14ac:dyDescent="0.25"/>
    <row r="131122" s="12" customFormat="1" x14ac:dyDescent="0.25"/>
    <row r="131123" s="12" customFormat="1" x14ac:dyDescent="0.25"/>
    <row r="131124" s="12" customFormat="1" x14ac:dyDescent="0.25"/>
    <row r="131125" s="12" customFormat="1" x14ac:dyDescent="0.25"/>
    <row r="131126" s="12" customFormat="1" x14ac:dyDescent="0.25"/>
    <row r="131127" s="12" customFormat="1" x14ac:dyDescent="0.25"/>
    <row r="131128" s="12" customFormat="1" x14ac:dyDescent="0.25"/>
    <row r="131129" s="12" customFormat="1" x14ac:dyDescent="0.25"/>
    <row r="131130" s="12" customFormat="1" x14ac:dyDescent="0.25"/>
    <row r="131131" s="12" customFormat="1" x14ac:dyDescent="0.25"/>
    <row r="131132" s="12" customFormat="1" x14ac:dyDescent="0.25"/>
    <row r="131133" s="12" customFormat="1" x14ac:dyDescent="0.25"/>
    <row r="131134" s="12" customFormat="1" x14ac:dyDescent="0.25"/>
    <row r="131135" s="12" customFormat="1" x14ac:dyDescent="0.25"/>
    <row r="131136" s="12" customFormat="1" x14ac:dyDescent="0.25"/>
    <row r="131137" s="12" customFormat="1" x14ac:dyDescent="0.25"/>
    <row r="131138" s="12" customFormat="1" x14ac:dyDescent="0.25"/>
    <row r="131139" s="12" customFormat="1" x14ac:dyDescent="0.25"/>
    <row r="131140" s="12" customFormat="1" x14ac:dyDescent="0.25"/>
    <row r="131141" s="12" customFormat="1" x14ac:dyDescent="0.25"/>
    <row r="131142" s="12" customFormat="1" x14ac:dyDescent="0.25"/>
    <row r="131143" s="12" customFormat="1" x14ac:dyDescent="0.25"/>
    <row r="131144" s="12" customFormat="1" x14ac:dyDescent="0.25"/>
    <row r="131145" s="12" customFormat="1" x14ac:dyDescent="0.25"/>
    <row r="131146" s="12" customFormat="1" x14ac:dyDescent="0.25"/>
    <row r="131147" s="12" customFormat="1" x14ac:dyDescent="0.25"/>
    <row r="131148" s="12" customFormat="1" x14ac:dyDescent="0.25"/>
    <row r="131149" s="12" customFormat="1" x14ac:dyDescent="0.25"/>
    <row r="131150" s="12" customFormat="1" x14ac:dyDescent="0.25"/>
    <row r="131151" s="12" customFormat="1" x14ac:dyDescent="0.25"/>
    <row r="131152" s="12" customFormat="1" x14ac:dyDescent="0.25"/>
    <row r="131153" s="12" customFormat="1" x14ac:dyDescent="0.25"/>
    <row r="131154" s="12" customFormat="1" x14ac:dyDescent="0.25"/>
    <row r="131155" s="12" customFormat="1" x14ac:dyDescent="0.25"/>
    <row r="131156" s="12" customFormat="1" x14ac:dyDescent="0.25"/>
    <row r="131157" s="12" customFormat="1" x14ac:dyDescent="0.25"/>
    <row r="131158" s="12" customFormat="1" x14ac:dyDescent="0.25"/>
    <row r="131159" s="12" customFormat="1" x14ac:dyDescent="0.25"/>
    <row r="131160" s="12" customFormat="1" x14ac:dyDescent="0.25"/>
    <row r="131161" s="12" customFormat="1" x14ac:dyDescent="0.25"/>
    <row r="131162" s="12" customFormat="1" x14ac:dyDescent="0.25"/>
    <row r="131163" s="12" customFormat="1" x14ac:dyDescent="0.25"/>
    <row r="131164" s="12" customFormat="1" x14ac:dyDescent="0.25"/>
    <row r="131165" s="12" customFormat="1" x14ac:dyDescent="0.25"/>
    <row r="131166" s="12" customFormat="1" x14ac:dyDescent="0.25"/>
    <row r="131167" s="12" customFormat="1" x14ac:dyDescent="0.25"/>
    <row r="131168" s="12" customFormat="1" x14ac:dyDescent="0.25"/>
    <row r="131169" s="12" customFormat="1" x14ac:dyDescent="0.25"/>
    <row r="131170" s="12" customFormat="1" x14ac:dyDescent="0.25"/>
    <row r="131171" s="12" customFormat="1" x14ac:dyDescent="0.25"/>
    <row r="131172" s="12" customFormat="1" x14ac:dyDescent="0.25"/>
    <row r="131173" s="12" customFormat="1" x14ac:dyDescent="0.25"/>
    <row r="131174" s="12" customFormat="1" x14ac:dyDescent="0.25"/>
    <row r="131175" s="12" customFormat="1" x14ac:dyDescent="0.25"/>
    <row r="131176" s="12" customFormat="1" x14ac:dyDescent="0.25"/>
    <row r="131177" s="12" customFormat="1" x14ac:dyDescent="0.25"/>
    <row r="131178" s="12" customFormat="1" x14ac:dyDescent="0.25"/>
    <row r="131179" s="12" customFormat="1" x14ac:dyDescent="0.25"/>
    <row r="131180" s="12" customFormat="1" x14ac:dyDescent="0.25"/>
    <row r="131181" s="12" customFormat="1" x14ac:dyDescent="0.25"/>
    <row r="131182" s="12" customFormat="1" x14ac:dyDescent="0.25"/>
    <row r="131183" s="12" customFormat="1" x14ac:dyDescent="0.25"/>
    <row r="131184" s="12" customFormat="1" x14ac:dyDescent="0.25"/>
    <row r="131185" s="12" customFormat="1" x14ac:dyDescent="0.25"/>
    <row r="131186" s="12" customFormat="1" x14ac:dyDescent="0.25"/>
    <row r="131187" s="12" customFormat="1" x14ac:dyDescent="0.25"/>
    <row r="131188" s="12" customFormat="1" x14ac:dyDescent="0.25"/>
    <row r="131189" s="12" customFormat="1" x14ac:dyDescent="0.25"/>
    <row r="131190" s="12" customFormat="1" x14ac:dyDescent="0.25"/>
    <row r="131191" s="12" customFormat="1" x14ac:dyDescent="0.25"/>
    <row r="131192" s="12" customFormat="1" x14ac:dyDescent="0.25"/>
    <row r="131193" s="12" customFormat="1" x14ac:dyDescent="0.25"/>
    <row r="131194" s="12" customFormat="1" x14ac:dyDescent="0.25"/>
    <row r="131195" s="12" customFormat="1" x14ac:dyDescent="0.25"/>
    <row r="131196" s="12" customFormat="1" x14ac:dyDescent="0.25"/>
    <row r="131197" s="12" customFormat="1" x14ac:dyDescent="0.25"/>
    <row r="131198" s="12" customFormat="1" x14ac:dyDescent="0.25"/>
    <row r="131199" s="12" customFormat="1" x14ac:dyDescent="0.25"/>
    <row r="131200" s="12" customFormat="1" x14ac:dyDescent="0.25"/>
    <row r="131201" s="12" customFormat="1" x14ac:dyDescent="0.25"/>
    <row r="131202" s="12" customFormat="1" x14ac:dyDescent="0.25"/>
    <row r="131203" s="12" customFormat="1" x14ac:dyDescent="0.25"/>
    <row r="131204" s="12" customFormat="1" x14ac:dyDescent="0.25"/>
    <row r="131205" s="12" customFormat="1" x14ac:dyDescent="0.25"/>
    <row r="131206" s="12" customFormat="1" x14ac:dyDescent="0.25"/>
    <row r="131207" s="12" customFormat="1" x14ac:dyDescent="0.25"/>
    <row r="131208" s="12" customFormat="1" x14ac:dyDescent="0.25"/>
    <row r="131209" s="12" customFormat="1" x14ac:dyDescent="0.25"/>
    <row r="131210" s="12" customFormat="1" x14ac:dyDescent="0.25"/>
    <row r="131211" s="12" customFormat="1" x14ac:dyDescent="0.25"/>
    <row r="131212" s="12" customFormat="1" x14ac:dyDescent="0.25"/>
    <row r="131213" s="12" customFormat="1" x14ac:dyDescent="0.25"/>
    <row r="131214" s="12" customFormat="1" x14ac:dyDescent="0.25"/>
    <row r="131215" s="12" customFormat="1" x14ac:dyDescent="0.25"/>
    <row r="131216" s="12" customFormat="1" x14ac:dyDescent="0.25"/>
    <row r="131217" s="12" customFormat="1" x14ac:dyDescent="0.25"/>
    <row r="131218" s="12" customFormat="1" x14ac:dyDescent="0.25"/>
    <row r="131219" s="12" customFormat="1" x14ac:dyDescent="0.25"/>
    <row r="131220" s="12" customFormat="1" x14ac:dyDescent="0.25"/>
    <row r="131221" s="12" customFormat="1" x14ac:dyDescent="0.25"/>
    <row r="131222" s="12" customFormat="1" x14ac:dyDescent="0.25"/>
    <row r="131223" s="12" customFormat="1" x14ac:dyDescent="0.25"/>
    <row r="131224" s="12" customFormat="1" x14ac:dyDescent="0.25"/>
    <row r="131225" s="12" customFormat="1" x14ac:dyDescent="0.25"/>
    <row r="131226" s="12" customFormat="1" x14ac:dyDescent="0.25"/>
    <row r="131227" s="12" customFormat="1" x14ac:dyDescent="0.25"/>
    <row r="131228" s="12" customFormat="1" x14ac:dyDescent="0.25"/>
    <row r="131229" s="12" customFormat="1" x14ac:dyDescent="0.25"/>
    <row r="131230" s="12" customFormat="1" x14ac:dyDescent="0.25"/>
    <row r="131231" s="12" customFormat="1" x14ac:dyDescent="0.25"/>
    <row r="131232" s="12" customFormat="1" x14ac:dyDescent="0.25"/>
    <row r="131233" s="12" customFormat="1" x14ac:dyDescent="0.25"/>
    <row r="131234" s="12" customFormat="1" x14ac:dyDescent="0.25"/>
    <row r="131235" s="12" customFormat="1" x14ac:dyDescent="0.25"/>
    <row r="131236" s="12" customFormat="1" x14ac:dyDescent="0.25"/>
    <row r="131237" s="12" customFormat="1" x14ac:dyDescent="0.25"/>
    <row r="131238" s="12" customFormat="1" x14ac:dyDescent="0.25"/>
    <row r="131239" s="12" customFormat="1" x14ac:dyDescent="0.25"/>
    <row r="131240" s="12" customFormat="1" x14ac:dyDescent="0.25"/>
    <row r="131241" s="12" customFormat="1" x14ac:dyDescent="0.25"/>
    <row r="131242" s="12" customFormat="1" x14ac:dyDescent="0.25"/>
    <row r="131243" s="12" customFormat="1" x14ac:dyDescent="0.25"/>
    <row r="131244" s="12" customFormat="1" x14ac:dyDescent="0.25"/>
    <row r="131245" s="12" customFormat="1" x14ac:dyDescent="0.25"/>
    <row r="131246" s="12" customFormat="1" x14ac:dyDescent="0.25"/>
    <row r="131247" s="12" customFormat="1" x14ac:dyDescent="0.25"/>
    <row r="131248" s="12" customFormat="1" x14ac:dyDescent="0.25"/>
    <row r="131249" s="12" customFormat="1" x14ac:dyDescent="0.25"/>
    <row r="131250" s="12" customFormat="1" x14ac:dyDescent="0.25"/>
    <row r="131251" s="12" customFormat="1" x14ac:dyDescent="0.25"/>
    <row r="131252" s="12" customFormat="1" x14ac:dyDescent="0.25"/>
    <row r="131253" s="12" customFormat="1" x14ac:dyDescent="0.25"/>
    <row r="131254" s="12" customFormat="1" x14ac:dyDescent="0.25"/>
    <row r="131255" s="12" customFormat="1" x14ac:dyDescent="0.25"/>
    <row r="131256" s="12" customFormat="1" x14ac:dyDescent="0.25"/>
    <row r="131257" s="12" customFormat="1" x14ac:dyDescent="0.25"/>
    <row r="131258" s="12" customFormat="1" x14ac:dyDescent="0.25"/>
    <row r="131259" s="12" customFormat="1" x14ac:dyDescent="0.25"/>
    <row r="131260" s="12" customFormat="1" x14ac:dyDescent="0.25"/>
    <row r="131261" s="12" customFormat="1" x14ac:dyDescent="0.25"/>
    <row r="131262" s="12" customFormat="1" x14ac:dyDescent="0.25"/>
    <row r="131263" s="12" customFormat="1" x14ac:dyDescent="0.25"/>
    <row r="131264" s="12" customFormat="1" x14ac:dyDescent="0.25"/>
    <row r="131265" s="12" customFormat="1" x14ac:dyDescent="0.25"/>
    <row r="131266" s="12" customFormat="1" x14ac:dyDescent="0.25"/>
    <row r="131267" s="12" customFormat="1" x14ac:dyDescent="0.25"/>
    <row r="131268" s="12" customFormat="1" x14ac:dyDescent="0.25"/>
    <row r="131269" s="12" customFormat="1" x14ac:dyDescent="0.25"/>
    <row r="131270" s="12" customFormat="1" x14ac:dyDescent="0.25"/>
    <row r="131271" s="12" customFormat="1" x14ac:dyDescent="0.25"/>
    <row r="131272" s="12" customFormat="1" x14ac:dyDescent="0.25"/>
    <row r="131273" s="12" customFormat="1" x14ac:dyDescent="0.25"/>
    <row r="131274" s="12" customFormat="1" x14ac:dyDescent="0.25"/>
    <row r="131275" s="12" customFormat="1" x14ac:dyDescent="0.25"/>
    <row r="131276" s="12" customFormat="1" x14ac:dyDescent="0.25"/>
    <row r="131277" s="12" customFormat="1" x14ac:dyDescent="0.25"/>
    <row r="131278" s="12" customFormat="1" x14ac:dyDescent="0.25"/>
    <row r="131279" s="12" customFormat="1" x14ac:dyDescent="0.25"/>
    <row r="131280" s="12" customFormat="1" x14ac:dyDescent="0.25"/>
    <row r="131281" s="12" customFormat="1" x14ac:dyDescent="0.25"/>
    <row r="131282" s="12" customFormat="1" x14ac:dyDescent="0.25"/>
    <row r="131283" s="12" customFormat="1" x14ac:dyDescent="0.25"/>
    <row r="131284" s="12" customFormat="1" x14ac:dyDescent="0.25"/>
    <row r="131285" s="12" customFormat="1" x14ac:dyDescent="0.25"/>
    <row r="131286" s="12" customFormat="1" x14ac:dyDescent="0.25"/>
    <row r="131287" s="12" customFormat="1" x14ac:dyDescent="0.25"/>
    <row r="131288" s="12" customFormat="1" x14ac:dyDescent="0.25"/>
    <row r="131289" s="12" customFormat="1" x14ac:dyDescent="0.25"/>
    <row r="131290" s="12" customFormat="1" x14ac:dyDescent="0.25"/>
    <row r="131291" s="12" customFormat="1" x14ac:dyDescent="0.25"/>
    <row r="131292" s="12" customFormat="1" x14ac:dyDescent="0.25"/>
    <row r="131293" s="12" customFormat="1" x14ac:dyDescent="0.25"/>
    <row r="131294" s="12" customFormat="1" x14ac:dyDescent="0.25"/>
    <row r="131295" s="12" customFormat="1" x14ac:dyDescent="0.25"/>
    <row r="131296" s="12" customFormat="1" x14ac:dyDescent="0.25"/>
    <row r="131297" s="12" customFormat="1" x14ac:dyDescent="0.25"/>
    <row r="131298" s="12" customFormat="1" x14ac:dyDescent="0.25"/>
    <row r="131299" s="12" customFormat="1" x14ac:dyDescent="0.25"/>
    <row r="131300" s="12" customFormat="1" x14ac:dyDescent="0.25"/>
    <row r="131301" s="12" customFormat="1" x14ac:dyDescent="0.25"/>
    <row r="131302" s="12" customFormat="1" x14ac:dyDescent="0.25"/>
    <row r="131303" s="12" customFormat="1" x14ac:dyDescent="0.25"/>
    <row r="131304" s="12" customFormat="1" x14ac:dyDescent="0.25"/>
    <row r="131305" s="12" customFormat="1" x14ac:dyDescent="0.25"/>
    <row r="131306" s="12" customFormat="1" x14ac:dyDescent="0.25"/>
    <row r="131307" s="12" customFormat="1" x14ac:dyDescent="0.25"/>
    <row r="131308" s="12" customFormat="1" x14ac:dyDescent="0.25"/>
    <row r="131309" s="12" customFormat="1" x14ac:dyDescent="0.25"/>
    <row r="131310" s="12" customFormat="1" x14ac:dyDescent="0.25"/>
    <row r="131311" s="12" customFormat="1" x14ac:dyDescent="0.25"/>
    <row r="131312" s="12" customFormat="1" x14ac:dyDescent="0.25"/>
    <row r="131313" s="12" customFormat="1" x14ac:dyDescent="0.25"/>
    <row r="131314" s="12" customFormat="1" x14ac:dyDescent="0.25"/>
    <row r="131315" s="12" customFormat="1" x14ac:dyDescent="0.25"/>
    <row r="131316" s="12" customFormat="1" x14ac:dyDescent="0.25"/>
    <row r="131317" s="12" customFormat="1" x14ac:dyDescent="0.25"/>
    <row r="131318" s="12" customFormat="1" x14ac:dyDescent="0.25"/>
    <row r="131319" s="12" customFormat="1" x14ac:dyDescent="0.25"/>
    <row r="131320" s="12" customFormat="1" x14ac:dyDescent="0.25"/>
    <row r="131321" s="12" customFormat="1" x14ac:dyDescent="0.25"/>
    <row r="131322" s="12" customFormat="1" x14ac:dyDescent="0.25"/>
    <row r="131323" s="12" customFormat="1" x14ac:dyDescent="0.25"/>
    <row r="131324" s="12" customFormat="1" x14ac:dyDescent="0.25"/>
    <row r="131325" s="12" customFormat="1" x14ac:dyDescent="0.25"/>
    <row r="131326" s="12" customFormat="1" x14ac:dyDescent="0.25"/>
    <row r="131327" s="12" customFormat="1" x14ac:dyDescent="0.25"/>
    <row r="131328" s="12" customFormat="1" x14ac:dyDescent="0.25"/>
    <row r="131329" s="12" customFormat="1" x14ac:dyDescent="0.25"/>
    <row r="131330" s="12" customFormat="1" x14ac:dyDescent="0.25"/>
    <row r="131331" s="12" customFormat="1" x14ac:dyDescent="0.25"/>
    <row r="131332" s="12" customFormat="1" x14ac:dyDescent="0.25"/>
    <row r="131333" s="12" customFormat="1" x14ac:dyDescent="0.25"/>
    <row r="131334" s="12" customFormat="1" x14ac:dyDescent="0.25"/>
    <row r="131335" s="12" customFormat="1" x14ac:dyDescent="0.25"/>
    <row r="131336" s="12" customFormat="1" x14ac:dyDescent="0.25"/>
    <row r="131337" s="12" customFormat="1" x14ac:dyDescent="0.25"/>
    <row r="131338" s="12" customFormat="1" x14ac:dyDescent="0.25"/>
    <row r="131339" s="12" customFormat="1" x14ac:dyDescent="0.25"/>
    <row r="131340" s="12" customFormat="1" x14ac:dyDescent="0.25"/>
    <row r="131341" s="12" customFormat="1" x14ac:dyDescent="0.25"/>
    <row r="131342" s="12" customFormat="1" x14ac:dyDescent="0.25"/>
    <row r="131343" s="12" customFormat="1" x14ac:dyDescent="0.25"/>
    <row r="131344" s="12" customFormat="1" x14ac:dyDescent="0.25"/>
    <row r="131345" s="12" customFormat="1" x14ac:dyDescent="0.25"/>
    <row r="131346" s="12" customFormat="1" x14ac:dyDescent="0.25"/>
    <row r="131347" s="12" customFormat="1" x14ac:dyDescent="0.25"/>
    <row r="131348" s="12" customFormat="1" x14ac:dyDescent="0.25"/>
    <row r="131349" s="12" customFormat="1" x14ac:dyDescent="0.25"/>
    <row r="131350" s="12" customFormat="1" x14ac:dyDescent="0.25"/>
    <row r="131351" s="12" customFormat="1" x14ac:dyDescent="0.25"/>
    <row r="131352" s="12" customFormat="1" x14ac:dyDescent="0.25"/>
    <row r="131353" s="12" customFormat="1" x14ac:dyDescent="0.25"/>
    <row r="131354" s="12" customFormat="1" x14ac:dyDescent="0.25"/>
    <row r="131355" s="12" customFormat="1" x14ac:dyDescent="0.25"/>
    <row r="131356" s="12" customFormat="1" x14ac:dyDescent="0.25"/>
    <row r="131357" s="12" customFormat="1" x14ac:dyDescent="0.25"/>
    <row r="131358" s="12" customFormat="1" x14ac:dyDescent="0.25"/>
    <row r="131359" s="12" customFormat="1" x14ac:dyDescent="0.25"/>
    <row r="131360" s="12" customFormat="1" x14ac:dyDescent="0.25"/>
    <row r="131361" s="12" customFormat="1" x14ac:dyDescent="0.25"/>
    <row r="131362" s="12" customFormat="1" x14ac:dyDescent="0.25"/>
    <row r="131363" s="12" customFormat="1" x14ac:dyDescent="0.25"/>
    <row r="131364" s="12" customFormat="1" x14ac:dyDescent="0.25"/>
    <row r="131365" s="12" customFormat="1" x14ac:dyDescent="0.25"/>
    <row r="131366" s="12" customFormat="1" x14ac:dyDescent="0.25"/>
    <row r="131367" s="12" customFormat="1" x14ac:dyDescent="0.25"/>
    <row r="131368" s="12" customFormat="1" x14ac:dyDescent="0.25"/>
    <row r="131369" s="12" customFormat="1" x14ac:dyDescent="0.25"/>
    <row r="131370" s="12" customFormat="1" x14ac:dyDescent="0.25"/>
    <row r="131371" s="12" customFormat="1" x14ac:dyDescent="0.25"/>
    <row r="131372" s="12" customFormat="1" x14ac:dyDescent="0.25"/>
    <row r="131373" s="12" customFormat="1" x14ac:dyDescent="0.25"/>
    <row r="131374" s="12" customFormat="1" x14ac:dyDescent="0.25"/>
    <row r="131375" s="12" customFormat="1" x14ac:dyDescent="0.25"/>
    <row r="131376" s="12" customFormat="1" x14ac:dyDescent="0.25"/>
    <row r="131377" s="12" customFormat="1" x14ac:dyDescent="0.25"/>
    <row r="131378" s="12" customFormat="1" x14ac:dyDescent="0.25"/>
    <row r="131379" s="12" customFormat="1" x14ac:dyDescent="0.25"/>
    <row r="131380" s="12" customFormat="1" x14ac:dyDescent="0.25"/>
    <row r="131381" s="12" customFormat="1" x14ac:dyDescent="0.25"/>
    <row r="131382" s="12" customFormat="1" x14ac:dyDescent="0.25"/>
    <row r="131383" s="12" customFormat="1" x14ac:dyDescent="0.25"/>
    <row r="131384" s="12" customFormat="1" x14ac:dyDescent="0.25"/>
    <row r="131385" s="12" customFormat="1" x14ac:dyDescent="0.25"/>
    <row r="131386" s="12" customFormat="1" x14ac:dyDescent="0.25"/>
    <row r="131387" s="12" customFormat="1" x14ac:dyDescent="0.25"/>
    <row r="131388" s="12" customFormat="1" x14ac:dyDescent="0.25"/>
    <row r="131389" s="12" customFormat="1" x14ac:dyDescent="0.25"/>
    <row r="131390" s="12" customFormat="1" x14ac:dyDescent="0.25"/>
    <row r="131391" s="12" customFormat="1" x14ac:dyDescent="0.25"/>
    <row r="131392" s="12" customFormat="1" x14ac:dyDescent="0.25"/>
    <row r="131393" s="12" customFormat="1" x14ac:dyDescent="0.25"/>
    <row r="131394" s="12" customFormat="1" x14ac:dyDescent="0.25"/>
    <row r="131395" s="12" customFormat="1" x14ac:dyDescent="0.25"/>
    <row r="131396" s="12" customFormat="1" x14ac:dyDescent="0.25"/>
    <row r="131397" s="12" customFormat="1" x14ac:dyDescent="0.25"/>
    <row r="131398" s="12" customFormat="1" x14ac:dyDescent="0.25"/>
    <row r="131399" s="12" customFormat="1" x14ac:dyDescent="0.25"/>
    <row r="131400" s="12" customFormat="1" x14ac:dyDescent="0.25"/>
    <row r="131401" s="12" customFormat="1" x14ac:dyDescent="0.25"/>
    <row r="131402" s="12" customFormat="1" x14ac:dyDescent="0.25"/>
    <row r="131403" s="12" customFormat="1" x14ac:dyDescent="0.25"/>
    <row r="131404" s="12" customFormat="1" x14ac:dyDescent="0.25"/>
    <row r="131405" s="12" customFormat="1" x14ac:dyDescent="0.25"/>
    <row r="131406" s="12" customFormat="1" x14ac:dyDescent="0.25"/>
    <row r="131407" s="12" customFormat="1" x14ac:dyDescent="0.25"/>
    <row r="131408" s="12" customFormat="1" x14ac:dyDescent="0.25"/>
    <row r="131409" s="12" customFormat="1" x14ac:dyDescent="0.25"/>
    <row r="131410" s="12" customFormat="1" x14ac:dyDescent="0.25"/>
    <row r="131411" s="12" customFormat="1" x14ac:dyDescent="0.25"/>
    <row r="131412" s="12" customFormat="1" x14ac:dyDescent="0.25"/>
    <row r="131413" s="12" customFormat="1" x14ac:dyDescent="0.25"/>
    <row r="131414" s="12" customFormat="1" x14ac:dyDescent="0.25"/>
    <row r="131415" s="12" customFormat="1" x14ac:dyDescent="0.25"/>
    <row r="131416" s="12" customFormat="1" x14ac:dyDescent="0.25"/>
    <row r="131417" s="12" customFormat="1" x14ac:dyDescent="0.25"/>
    <row r="131418" s="12" customFormat="1" x14ac:dyDescent="0.25"/>
    <row r="131419" s="12" customFormat="1" x14ac:dyDescent="0.25"/>
    <row r="131420" s="12" customFormat="1" x14ac:dyDescent="0.25"/>
    <row r="131421" s="12" customFormat="1" x14ac:dyDescent="0.25"/>
    <row r="131422" s="12" customFormat="1" x14ac:dyDescent="0.25"/>
    <row r="131423" s="12" customFormat="1" x14ac:dyDescent="0.25"/>
    <row r="131424" s="12" customFormat="1" x14ac:dyDescent="0.25"/>
    <row r="131425" s="12" customFormat="1" x14ac:dyDescent="0.25"/>
    <row r="131426" s="12" customFormat="1" x14ac:dyDescent="0.25"/>
    <row r="131427" s="12" customFormat="1" x14ac:dyDescent="0.25"/>
    <row r="131428" s="12" customFormat="1" x14ac:dyDescent="0.25"/>
    <row r="131429" s="12" customFormat="1" x14ac:dyDescent="0.25"/>
    <row r="131430" s="12" customFormat="1" x14ac:dyDescent="0.25"/>
    <row r="131431" s="12" customFormat="1" x14ac:dyDescent="0.25"/>
    <row r="131432" s="12" customFormat="1" x14ac:dyDescent="0.25"/>
    <row r="131433" s="12" customFormat="1" x14ac:dyDescent="0.25"/>
    <row r="131434" s="12" customFormat="1" x14ac:dyDescent="0.25"/>
    <row r="131435" s="12" customFormat="1" x14ac:dyDescent="0.25"/>
    <row r="131436" s="12" customFormat="1" x14ac:dyDescent="0.25"/>
    <row r="131437" s="12" customFormat="1" x14ac:dyDescent="0.25"/>
    <row r="131438" s="12" customFormat="1" x14ac:dyDescent="0.25"/>
    <row r="131439" s="12" customFormat="1" x14ac:dyDescent="0.25"/>
    <row r="131440" s="12" customFormat="1" x14ac:dyDescent="0.25"/>
    <row r="131441" s="12" customFormat="1" x14ac:dyDescent="0.25"/>
    <row r="131442" s="12" customFormat="1" x14ac:dyDescent="0.25"/>
    <row r="131443" s="12" customFormat="1" x14ac:dyDescent="0.25"/>
    <row r="131444" s="12" customFormat="1" x14ac:dyDescent="0.25"/>
    <row r="131445" s="12" customFormat="1" x14ac:dyDescent="0.25"/>
    <row r="131446" s="12" customFormat="1" x14ac:dyDescent="0.25"/>
    <row r="131447" s="12" customFormat="1" x14ac:dyDescent="0.25"/>
    <row r="131448" s="12" customFormat="1" x14ac:dyDescent="0.25"/>
    <row r="131449" s="12" customFormat="1" x14ac:dyDescent="0.25"/>
    <row r="131450" s="12" customFormat="1" x14ac:dyDescent="0.25"/>
    <row r="131451" s="12" customFormat="1" x14ac:dyDescent="0.25"/>
    <row r="131452" s="12" customFormat="1" x14ac:dyDescent="0.25"/>
    <row r="131453" s="12" customFormat="1" x14ac:dyDescent="0.25"/>
    <row r="131454" s="12" customFormat="1" x14ac:dyDescent="0.25"/>
    <row r="131455" s="12" customFormat="1" x14ac:dyDescent="0.25"/>
    <row r="131456" s="12" customFormat="1" x14ac:dyDescent="0.25"/>
    <row r="131457" s="12" customFormat="1" x14ac:dyDescent="0.25"/>
    <row r="131458" s="12" customFormat="1" x14ac:dyDescent="0.25"/>
    <row r="131459" s="12" customFormat="1" x14ac:dyDescent="0.25"/>
    <row r="131460" s="12" customFormat="1" x14ac:dyDescent="0.25"/>
    <row r="131461" s="12" customFormat="1" x14ac:dyDescent="0.25"/>
    <row r="131462" s="12" customFormat="1" x14ac:dyDescent="0.25"/>
    <row r="131463" s="12" customFormat="1" x14ac:dyDescent="0.25"/>
    <row r="131464" s="12" customFormat="1" x14ac:dyDescent="0.25"/>
    <row r="131465" s="12" customFormat="1" x14ac:dyDescent="0.25"/>
    <row r="131466" s="12" customFormat="1" x14ac:dyDescent="0.25"/>
    <row r="131467" s="12" customFormat="1" x14ac:dyDescent="0.25"/>
    <row r="131468" s="12" customFormat="1" x14ac:dyDescent="0.25"/>
    <row r="131469" s="12" customFormat="1" x14ac:dyDescent="0.25"/>
    <row r="131470" s="12" customFormat="1" x14ac:dyDescent="0.25"/>
    <row r="131471" s="12" customFormat="1" x14ac:dyDescent="0.25"/>
    <row r="131472" s="12" customFormat="1" x14ac:dyDescent="0.25"/>
    <row r="131473" s="12" customFormat="1" x14ac:dyDescent="0.25"/>
    <row r="131474" s="12" customFormat="1" x14ac:dyDescent="0.25"/>
    <row r="131475" s="12" customFormat="1" x14ac:dyDescent="0.25"/>
    <row r="131476" s="12" customFormat="1" x14ac:dyDescent="0.25"/>
    <row r="131477" s="12" customFormat="1" x14ac:dyDescent="0.25"/>
    <row r="131478" s="12" customFormat="1" x14ac:dyDescent="0.25"/>
    <row r="131479" s="12" customFormat="1" x14ac:dyDescent="0.25"/>
    <row r="131480" s="12" customFormat="1" x14ac:dyDescent="0.25"/>
    <row r="131481" s="12" customFormat="1" x14ac:dyDescent="0.25"/>
    <row r="131482" s="12" customFormat="1" x14ac:dyDescent="0.25"/>
    <row r="131483" s="12" customFormat="1" x14ac:dyDescent="0.25"/>
    <row r="131484" s="12" customFormat="1" x14ac:dyDescent="0.25"/>
    <row r="131485" s="12" customFormat="1" x14ac:dyDescent="0.25"/>
    <row r="131486" s="12" customFormat="1" x14ac:dyDescent="0.25"/>
    <row r="131487" s="12" customFormat="1" x14ac:dyDescent="0.25"/>
    <row r="131488" s="12" customFormat="1" x14ac:dyDescent="0.25"/>
    <row r="131489" s="12" customFormat="1" x14ac:dyDescent="0.25"/>
    <row r="131490" s="12" customFormat="1" x14ac:dyDescent="0.25"/>
    <row r="131491" s="12" customFormat="1" x14ac:dyDescent="0.25"/>
    <row r="131492" s="12" customFormat="1" x14ac:dyDescent="0.25"/>
    <row r="131493" s="12" customFormat="1" x14ac:dyDescent="0.25"/>
    <row r="131494" s="12" customFormat="1" x14ac:dyDescent="0.25"/>
    <row r="131495" s="12" customFormat="1" x14ac:dyDescent="0.25"/>
    <row r="131496" s="12" customFormat="1" x14ac:dyDescent="0.25"/>
    <row r="131497" s="12" customFormat="1" x14ac:dyDescent="0.25"/>
    <row r="131498" s="12" customFormat="1" x14ac:dyDescent="0.25"/>
    <row r="131499" s="12" customFormat="1" x14ac:dyDescent="0.25"/>
    <row r="131500" s="12" customFormat="1" x14ac:dyDescent="0.25"/>
    <row r="131501" s="12" customFormat="1" x14ac:dyDescent="0.25"/>
    <row r="131502" s="12" customFormat="1" x14ac:dyDescent="0.25"/>
    <row r="131503" s="12" customFormat="1" x14ac:dyDescent="0.25"/>
    <row r="131504" s="12" customFormat="1" x14ac:dyDescent="0.25"/>
    <row r="131505" s="12" customFormat="1" x14ac:dyDescent="0.25"/>
    <row r="131506" s="12" customFormat="1" x14ac:dyDescent="0.25"/>
    <row r="131507" s="12" customFormat="1" x14ac:dyDescent="0.25"/>
    <row r="131508" s="12" customFormat="1" x14ac:dyDescent="0.25"/>
    <row r="131509" s="12" customFormat="1" x14ac:dyDescent="0.25"/>
    <row r="131510" s="12" customFormat="1" x14ac:dyDescent="0.25"/>
    <row r="131511" s="12" customFormat="1" x14ac:dyDescent="0.25"/>
    <row r="131512" s="12" customFormat="1" x14ac:dyDescent="0.25"/>
    <row r="131513" s="12" customFormat="1" x14ac:dyDescent="0.25"/>
    <row r="131514" s="12" customFormat="1" x14ac:dyDescent="0.25"/>
    <row r="131515" s="12" customFormat="1" x14ac:dyDescent="0.25"/>
    <row r="131516" s="12" customFormat="1" x14ac:dyDescent="0.25"/>
    <row r="131517" s="12" customFormat="1" x14ac:dyDescent="0.25"/>
    <row r="131518" s="12" customFormat="1" x14ac:dyDescent="0.25"/>
    <row r="131519" s="12" customFormat="1" x14ac:dyDescent="0.25"/>
    <row r="131520" s="12" customFormat="1" x14ac:dyDescent="0.25"/>
    <row r="131521" s="12" customFormat="1" x14ac:dyDescent="0.25"/>
    <row r="131522" s="12" customFormat="1" x14ac:dyDescent="0.25"/>
    <row r="131523" s="12" customFormat="1" x14ac:dyDescent="0.25"/>
    <row r="131524" s="12" customFormat="1" x14ac:dyDescent="0.25"/>
    <row r="131525" s="12" customFormat="1" x14ac:dyDescent="0.25"/>
    <row r="131526" s="12" customFormat="1" x14ac:dyDescent="0.25"/>
    <row r="131527" s="12" customFormat="1" x14ac:dyDescent="0.25"/>
    <row r="131528" s="12" customFormat="1" x14ac:dyDescent="0.25"/>
    <row r="131529" s="12" customFormat="1" x14ac:dyDescent="0.25"/>
    <row r="131530" s="12" customFormat="1" x14ac:dyDescent="0.25"/>
    <row r="131531" s="12" customFormat="1" x14ac:dyDescent="0.25"/>
    <row r="131532" s="12" customFormat="1" x14ac:dyDescent="0.25"/>
    <row r="131533" s="12" customFormat="1" x14ac:dyDescent="0.25"/>
    <row r="131534" s="12" customFormat="1" x14ac:dyDescent="0.25"/>
    <row r="131535" s="12" customFormat="1" x14ac:dyDescent="0.25"/>
    <row r="131536" s="12" customFormat="1" x14ac:dyDescent="0.25"/>
    <row r="131537" s="12" customFormat="1" x14ac:dyDescent="0.25"/>
    <row r="131538" s="12" customFormat="1" x14ac:dyDescent="0.25"/>
    <row r="131539" s="12" customFormat="1" x14ac:dyDescent="0.25"/>
    <row r="131540" s="12" customFormat="1" x14ac:dyDescent="0.25"/>
    <row r="131541" s="12" customFormat="1" x14ac:dyDescent="0.25"/>
    <row r="131542" s="12" customFormat="1" x14ac:dyDescent="0.25"/>
    <row r="131543" s="12" customFormat="1" x14ac:dyDescent="0.25"/>
    <row r="131544" s="12" customFormat="1" x14ac:dyDescent="0.25"/>
    <row r="131545" s="12" customFormat="1" x14ac:dyDescent="0.25"/>
    <row r="131546" s="12" customFormat="1" x14ac:dyDescent="0.25"/>
    <row r="131547" s="12" customFormat="1" x14ac:dyDescent="0.25"/>
    <row r="131548" s="12" customFormat="1" x14ac:dyDescent="0.25"/>
    <row r="131549" s="12" customFormat="1" x14ac:dyDescent="0.25"/>
    <row r="131550" s="12" customFormat="1" x14ac:dyDescent="0.25"/>
    <row r="131551" s="12" customFormat="1" x14ac:dyDescent="0.25"/>
    <row r="131552" s="12" customFormat="1" x14ac:dyDescent="0.25"/>
    <row r="131553" s="12" customFormat="1" x14ac:dyDescent="0.25"/>
    <row r="131554" s="12" customFormat="1" x14ac:dyDescent="0.25"/>
    <row r="131555" s="12" customFormat="1" x14ac:dyDescent="0.25"/>
    <row r="131556" s="12" customFormat="1" x14ac:dyDescent="0.25"/>
    <row r="131557" s="12" customFormat="1" x14ac:dyDescent="0.25"/>
    <row r="131558" s="12" customFormat="1" x14ac:dyDescent="0.25"/>
    <row r="131559" s="12" customFormat="1" x14ac:dyDescent="0.25"/>
    <row r="131560" s="12" customFormat="1" x14ac:dyDescent="0.25"/>
    <row r="131561" s="12" customFormat="1" x14ac:dyDescent="0.25"/>
    <row r="131562" s="12" customFormat="1" x14ac:dyDescent="0.25"/>
    <row r="131563" s="12" customFormat="1" x14ac:dyDescent="0.25"/>
    <row r="131564" s="12" customFormat="1" x14ac:dyDescent="0.25"/>
    <row r="131565" s="12" customFormat="1" x14ac:dyDescent="0.25"/>
    <row r="131566" s="12" customFormat="1" x14ac:dyDescent="0.25"/>
    <row r="131567" s="12" customFormat="1" x14ac:dyDescent="0.25"/>
    <row r="131568" s="12" customFormat="1" x14ac:dyDescent="0.25"/>
    <row r="131569" s="12" customFormat="1" x14ac:dyDescent="0.25"/>
    <row r="131570" s="12" customFormat="1" x14ac:dyDescent="0.25"/>
    <row r="131571" s="12" customFormat="1" x14ac:dyDescent="0.25"/>
    <row r="131572" s="12" customFormat="1" x14ac:dyDescent="0.25"/>
    <row r="131573" s="12" customFormat="1" x14ac:dyDescent="0.25"/>
    <row r="131574" s="12" customFormat="1" x14ac:dyDescent="0.25"/>
    <row r="131575" s="12" customFormat="1" x14ac:dyDescent="0.25"/>
    <row r="131576" s="12" customFormat="1" x14ac:dyDescent="0.25"/>
    <row r="131577" s="12" customFormat="1" x14ac:dyDescent="0.25"/>
    <row r="131578" s="12" customFormat="1" x14ac:dyDescent="0.25"/>
    <row r="131579" s="12" customFormat="1" x14ac:dyDescent="0.25"/>
    <row r="131580" s="12" customFormat="1" x14ac:dyDescent="0.25"/>
    <row r="131581" s="12" customFormat="1" x14ac:dyDescent="0.25"/>
    <row r="131582" s="12" customFormat="1" x14ac:dyDescent="0.25"/>
    <row r="131583" s="12" customFormat="1" x14ac:dyDescent="0.25"/>
    <row r="131584" s="12" customFormat="1" x14ac:dyDescent="0.25"/>
    <row r="131585" s="12" customFormat="1" x14ac:dyDescent="0.25"/>
    <row r="131586" s="12" customFormat="1" x14ac:dyDescent="0.25"/>
    <row r="131587" s="12" customFormat="1" x14ac:dyDescent="0.25"/>
    <row r="131588" s="12" customFormat="1" x14ac:dyDescent="0.25"/>
    <row r="131589" s="12" customFormat="1" x14ac:dyDescent="0.25"/>
    <row r="131590" s="12" customFormat="1" x14ac:dyDescent="0.25"/>
    <row r="131591" s="12" customFormat="1" x14ac:dyDescent="0.25"/>
    <row r="131592" s="12" customFormat="1" x14ac:dyDescent="0.25"/>
    <row r="131593" s="12" customFormat="1" x14ac:dyDescent="0.25"/>
    <row r="131594" s="12" customFormat="1" x14ac:dyDescent="0.25"/>
    <row r="131595" s="12" customFormat="1" x14ac:dyDescent="0.25"/>
    <row r="131596" s="12" customFormat="1" x14ac:dyDescent="0.25"/>
    <row r="131597" s="12" customFormat="1" x14ac:dyDescent="0.25"/>
    <row r="131598" s="12" customFormat="1" x14ac:dyDescent="0.25"/>
    <row r="131599" s="12" customFormat="1" x14ac:dyDescent="0.25"/>
    <row r="131600" s="12" customFormat="1" x14ac:dyDescent="0.25"/>
    <row r="131601" s="12" customFormat="1" x14ac:dyDescent="0.25"/>
    <row r="131602" s="12" customFormat="1" x14ac:dyDescent="0.25"/>
    <row r="131603" s="12" customFormat="1" x14ac:dyDescent="0.25"/>
    <row r="131604" s="12" customFormat="1" x14ac:dyDescent="0.25"/>
    <row r="131605" s="12" customFormat="1" x14ac:dyDescent="0.25"/>
    <row r="131606" s="12" customFormat="1" x14ac:dyDescent="0.25"/>
    <row r="131607" s="12" customFormat="1" x14ac:dyDescent="0.25"/>
    <row r="131608" s="12" customFormat="1" x14ac:dyDescent="0.25"/>
    <row r="131609" s="12" customFormat="1" x14ac:dyDescent="0.25"/>
    <row r="131610" s="12" customFormat="1" x14ac:dyDescent="0.25"/>
    <row r="131611" s="12" customFormat="1" x14ac:dyDescent="0.25"/>
    <row r="131612" s="12" customFormat="1" x14ac:dyDescent="0.25"/>
    <row r="131613" s="12" customFormat="1" x14ac:dyDescent="0.25"/>
    <row r="131614" s="12" customFormat="1" x14ac:dyDescent="0.25"/>
    <row r="131615" s="12" customFormat="1" x14ac:dyDescent="0.25"/>
    <row r="131616" s="12" customFormat="1" x14ac:dyDescent="0.25"/>
    <row r="131617" s="12" customFormat="1" x14ac:dyDescent="0.25"/>
    <row r="131618" s="12" customFormat="1" x14ac:dyDescent="0.25"/>
    <row r="131619" s="12" customFormat="1" x14ac:dyDescent="0.25"/>
    <row r="131620" s="12" customFormat="1" x14ac:dyDescent="0.25"/>
    <row r="131621" s="12" customFormat="1" x14ac:dyDescent="0.25"/>
    <row r="131622" s="12" customFormat="1" x14ac:dyDescent="0.25"/>
    <row r="131623" s="12" customFormat="1" x14ac:dyDescent="0.25"/>
    <row r="131624" s="12" customFormat="1" x14ac:dyDescent="0.25"/>
    <row r="131625" s="12" customFormat="1" x14ac:dyDescent="0.25"/>
    <row r="131626" s="12" customFormat="1" x14ac:dyDescent="0.25"/>
    <row r="131627" s="12" customFormat="1" x14ac:dyDescent="0.25"/>
    <row r="131628" s="12" customFormat="1" x14ac:dyDescent="0.25"/>
    <row r="131629" s="12" customFormat="1" x14ac:dyDescent="0.25"/>
    <row r="131630" s="12" customFormat="1" x14ac:dyDescent="0.25"/>
    <row r="131631" s="12" customFormat="1" x14ac:dyDescent="0.25"/>
    <row r="131632" s="12" customFormat="1" x14ac:dyDescent="0.25"/>
    <row r="131633" s="12" customFormat="1" x14ac:dyDescent="0.25"/>
    <row r="131634" s="12" customFormat="1" x14ac:dyDescent="0.25"/>
    <row r="131635" s="12" customFormat="1" x14ac:dyDescent="0.25"/>
    <row r="131636" s="12" customFormat="1" x14ac:dyDescent="0.25"/>
    <row r="131637" s="12" customFormat="1" x14ac:dyDescent="0.25"/>
    <row r="131638" s="12" customFormat="1" x14ac:dyDescent="0.25"/>
    <row r="131639" s="12" customFormat="1" x14ac:dyDescent="0.25"/>
    <row r="131640" s="12" customFormat="1" x14ac:dyDescent="0.25"/>
    <row r="131641" s="12" customFormat="1" x14ac:dyDescent="0.25"/>
    <row r="131642" s="12" customFormat="1" x14ac:dyDescent="0.25"/>
    <row r="131643" s="12" customFormat="1" x14ac:dyDescent="0.25"/>
    <row r="131644" s="12" customFormat="1" x14ac:dyDescent="0.25"/>
    <row r="131645" s="12" customFormat="1" x14ac:dyDescent="0.25"/>
    <row r="131646" s="12" customFormat="1" x14ac:dyDescent="0.25"/>
    <row r="131647" s="12" customFormat="1" x14ac:dyDescent="0.25"/>
    <row r="131648" s="12" customFormat="1" x14ac:dyDescent="0.25"/>
    <row r="131649" s="12" customFormat="1" x14ac:dyDescent="0.25"/>
    <row r="131650" s="12" customFormat="1" x14ac:dyDescent="0.25"/>
    <row r="131651" s="12" customFormat="1" x14ac:dyDescent="0.25"/>
    <row r="131652" s="12" customFormat="1" x14ac:dyDescent="0.25"/>
    <row r="131653" s="12" customFormat="1" x14ac:dyDescent="0.25"/>
    <row r="131654" s="12" customFormat="1" x14ac:dyDescent="0.25"/>
    <row r="131655" s="12" customFormat="1" x14ac:dyDescent="0.25"/>
    <row r="131656" s="12" customFormat="1" x14ac:dyDescent="0.25"/>
    <row r="131657" s="12" customFormat="1" x14ac:dyDescent="0.25"/>
    <row r="131658" s="12" customFormat="1" x14ac:dyDescent="0.25"/>
    <row r="131659" s="12" customFormat="1" x14ac:dyDescent="0.25"/>
    <row r="131660" s="12" customFormat="1" x14ac:dyDescent="0.25"/>
    <row r="131661" s="12" customFormat="1" x14ac:dyDescent="0.25"/>
    <row r="131662" s="12" customFormat="1" x14ac:dyDescent="0.25"/>
    <row r="131663" s="12" customFormat="1" x14ac:dyDescent="0.25"/>
    <row r="131664" s="12" customFormat="1" x14ac:dyDescent="0.25"/>
    <row r="131665" s="12" customFormat="1" x14ac:dyDescent="0.25"/>
    <row r="131666" s="12" customFormat="1" x14ac:dyDescent="0.25"/>
    <row r="131667" s="12" customFormat="1" x14ac:dyDescent="0.25"/>
    <row r="131668" s="12" customFormat="1" x14ac:dyDescent="0.25"/>
    <row r="131669" s="12" customFormat="1" x14ac:dyDescent="0.25"/>
    <row r="131670" s="12" customFormat="1" x14ac:dyDescent="0.25"/>
    <row r="131671" s="12" customFormat="1" x14ac:dyDescent="0.25"/>
    <row r="131672" s="12" customFormat="1" x14ac:dyDescent="0.25"/>
    <row r="131673" s="12" customFormat="1" x14ac:dyDescent="0.25"/>
    <row r="131674" s="12" customFormat="1" x14ac:dyDescent="0.25"/>
    <row r="131675" s="12" customFormat="1" x14ac:dyDescent="0.25"/>
    <row r="131676" s="12" customFormat="1" x14ac:dyDescent="0.25"/>
    <row r="131677" s="12" customFormat="1" x14ac:dyDescent="0.25"/>
    <row r="131678" s="12" customFormat="1" x14ac:dyDescent="0.25"/>
    <row r="131679" s="12" customFormat="1" x14ac:dyDescent="0.25"/>
    <row r="131680" s="12" customFormat="1" x14ac:dyDescent="0.25"/>
    <row r="131681" s="12" customFormat="1" x14ac:dyDescent="0.25"/>
    <row r="131682" s="12" customFormat="1" x14ac:dyDescent="0.25"/>
    <row r="131683" s="12" customFormat="1" x14ac:dyDescent="0.25"/>
    <row r="131684" s="12" customFormat="1" x14ac:dyDescent="0.25"/>
    <row r="131685" s="12" customFormat="1" x14ac:dyDescent="0.25"/>
    <row r="131686" s="12" customFormat="1" x14ac:dyDescent="0.25"/>
    <row r="131687" s="12" customFormat="1" x14ac:dyDescent="0.25"/>
    <row r="131688" s="12" customFormat="1" x14ac:dyDescent="0.25"/>
    <row r="131689" s="12" customFormat="1" x14ac:dyDescent="0.25"/>
    <row r="131690" s="12" customFormat="1" x14ac:dyDescent="0.25"/>
    <row r="131691" s="12" customFormat="1" x14ac:dyDescent="0.25"/>
    <row r="131692" s="12" customFormat="1" x14ac:dyDescent="0.25"/>
    <row r="131693" s="12" customFormat="1" x14ac:dyDescent="0.25"/>
    <row r="131694" s="12" customFormat="1" x14ac:dyDescent="0.25"/>
    <row r="131695" s="12" customFormat="1" x14ac:dyDescent="0.25"/>
    <row r="131696" s="12" customFormat="1" x14ac:dyDescent="0.25"/>
    <row r="131697" s="12" customFormat="1" x14ac:dyDescent="0.25"/>
    <row r="131698" s="12" customFormat="1" x14ac:dyDescent="0.25"/>
    <row r="131699" s="12" customFormat="1" x14ac:dyDescent="0.25"/>
    <row r="131700" s="12" customFormat="1" x14ac:dyDescent="0.25"/>
    <row r="131701" s="12" customFormat="1" x14ac:dyDescent="0.25"/>
    <row r="131702" s="12" customFormat="1" x14ac:dyDescent="0.25"/>
    <row r="131703" s="12" customFormat="1" x14ac:dyDescent="0.25"/>
    <row r="131704" s="12" customFormat="1" x14ac:dyDescent="0.25"/>
    <row r="131705" s="12" customFormat="1" x14ac:dyDescent="0.25"/>
    <row r="131706" s="12" customFormat="1" x14ac:dyDescent="0.25"/>
    <row r="131707" s="12" customFormat="1" x14ac:dyDescent="0.25"/>
    <row r="131708" s="12" customFormat="1" x14ac:dyDescent="0.25"/>
    <row r="131709" s="12" customFormat="1" x14ac:dyDescent="0.25"/>
    <row r="131710" s="12" customFormat="1" x14ac:dyDescent="0.25"/>
    <row r="131711" s="12" customFormat="1" x14ac:dyDescent="0.25"/>
    <row r="131712" s="12" customFormat="1" x14ac:dyDescent="0.25"/>
    <row r="131713" s="12" customFormat="1" x14ac:dyDescent="0.25"/>
    <row r="131714" s="12" customFormat="1" x14ac:dyDescent="0.25"/>
    <row r="131715" s="12" customFormat="1" x14ac:dyDescent="0.25"/>
    <row r="131716" s="12" customFormat="1" x14ac:dyDescent="0.25"/>
    <row r="131717" s="12" customFormat="1" x14ac:dyDescent="0.25"/>
    <row r="131718" s="12" customFormat="1" x14ac:dyDescent="0.25"/>
    <row r="131719" s="12" customFormat="1" x14ac:dyDescent="0.25"/>
    <row r="131720" s="12" customFormat="1" x14ac:dyDescent="0.25"/>
    <row r="131721" s="12" customFormat="1" x14ac:dyDescent="0.25"/>
    <row r="131722" s="12" customFormat="1" x14ac:dyDescent="0.25"/>
    <row r="131723" s="12" customFormat="1" x14ac:dyDescent="0.25"/>
    <row r="131724" s="12" customFormat="1" x14ac:dyDescent="0.25"/>
    <row r="131725" s="12" customFormat="1" x14ac:dyDescent="0.25"/>
    <row r="131726" s="12" customFormat="1" x14ac:dyDescent="0.25"/>
    <row r="131727" s="12" customFormat="1" x14ac:dyDescent="0.25"/>
    <row r="131728" s="12" customFormat="1" x14ac:dyDescent="0.25"/>
    <row r="131729" s="12" customFormat="1" x14ac:dyDescent="0.25"/>
    <row r="131730" s="12" customFormat="1" x14ac:dyDescent="0.25"/>
    <row r="131731" s="12" customFormat="1" x14ac:dyDescent="0.25"/>
    <row r="131732" s="12" customFormat="1" x14ac:dyDescent="0.25"/>
    <row r="131733" s="12" customFormat="1" x14ac:dyDescent="0.25"/>
    <row r="131734" s="12" customFormat="1" x14ac:dyDescent="0.25"/>
    <row r="131735" s="12" customFormat="1" x14ac:dyDescent="0.25"/>
    <row r="131736" s="12" customFormat="1" x14ac:dyDescent="0.25"/>
    <row r="131737" s="12" customFormat="1" x14ac:dyDescent="0.25"/>
    <row r="131738" s="12" customFormat="1" x14ac:dyDescent="0.25"/>
    <row r="131739" s="12" customFormat="1" x14ac:dyDescent="0.25"/>
    <row r="131740" s="12" customFormat="1" x14ac:dyDescent="0.25"/>
    <row r="131741" s="12" customFormat="1" x14ac:dyDescent="0.25"/>
    <row r="131742" s="12" customFormat="1" x14ac:dyDescent="0.25"/>
    <row r="131743" s="12" customFormat="1" x14ac:dyDescent="0.25"/>
    <row r="131744" s="12" customFormat="1" x14ac:dyDescent="0.25"/>
    <row r="131745" s="12" customFormat="1" x14ac:dyDescent="0.25"/>
    <row r="131746" s="12" customFormat="1" x14ac:dyDescent="0.25"/>
    <row r="131747" s="12" customFormat="1" x14ac:dyDescent="0.25"/>
    <row r="131748" s="12" customFormat="1" x14ac:dyDescent="0.25"/>
    <row r="131749" s="12" customFormat="1" x14ac:dyDescent="0.25"/>
    <row r="131750" s="12" customFormat="1" x14ac:dyDescent="0.25"/>
    <row r="131751" s="12" customFormat="1" x14ac:dyDescent="0.25"/>
    <row r="131752" s="12" customFormat="1" x14ac:dyDescent="0.25"/>
    <row r="131753" s="12" customFormat="1" x14ac:dyDescent="0.25"/>
    <row r="131754" s="12" customFormat="1" x14ac:dyDescent="0.25"/>
    <row r="131755" s="12" customFormat="1" x14ac:dyDescent="0.25"/>
    <row r="131756" s="12" customFormat="1" x14ac:dyDescent="0.25"/>
    <row r="131757" s="12" customFormat="1" x14ac:dyDescent="0.25"/>
    <row r="131758" s="12" customFormat="1" x14ac:dyDescent="0.25"/>
    <row r="131759" s="12" customFormat="1" x14ac:dyDescent="0.25"/>
    <row r="131760" s="12" customFormat="1" x14ac:dyDescent="0.25"/>
    <row r="131761" s="12" customFormat="1" x14ac:dyDescent="0.25"/>
    <row r="131762" s="12" customFormat="1" x14ac:dyDescent="0.25"/>
    <row r="131763" s="12" customFormat="1" x14ac:dyDescent="0.25"/>
    <row r="131764" s="12" customFormat="1" x14ac:dyDescent="0.25"/>
    <row r="131765" s="12" customFormat="1" x14ac:dyDescent="0.25"/>
    <row r="131766" s="12" customFormat="1" x14ac:dyDescent="0.25"/>
    <row r="131767" s="12" customFormat="1" x14ac:dyDescent="0.25"/>
    <row r="131768" s="12" customFormat="1" x14ac:dyDescent="0.25"/>
    <row r="131769" s="12" customFormat="1" x14ac:dyDescent="0.25"/>
    <row r="131770" s="12" customFormat="1" x14ac:dyDescent="0.25"/>
    <row r="131771" s="12" customFormat="1" x14ac:dyDescent="0.25"/>
    <row r="131772" s="12" customFormat="1" x14ac:dyDescent="0.25"/>
    <row r="131773" s="12" customFormat="1" x14ac:dyDescent="0.25"/>
    <row r="131774" s="12" customFormat="1" x14ac:dyDescent="0.25"/>
    <row r="131775" s="12" customFormat="1" x14ac:dyDescent="0.25"/>
    <row r="131776" s="12" customFormat="1" x14ac:dyDescent="0.25"/>
    <row r="131777" s="12" customFormat="1" x14ac:dyDescent="0.25"/>
    <row r="131778" s="12" customFormat="1" x14ac:dyDescent="0.25"/>
    <row r="131779" s="12" customFormat="1" x14ac:dyDescent="0.25"/>
    <row r="131780" s="12" customFormat="1" x14ac:dyDescent="0.25"/>
    <row r="131781" s="12" customFormat="1" x14ac:dyDescent="0.25"/>
    <row r="131782" s="12" customFormat="1" x14ac:dyDescent="0.25"/>
    <row r="131783" s="12" customFormat="1" x14ac:dyDescent="0.25"/>
    <row r="131784" s="12" customFormat="1" x14ac:dyDescent="0.25"/>
    <row r="131785" s="12" customFormat="1" x14ac:dyDescent="0.25"/>
    <row r="131786" s="12" customFormat="1" x14ac:dyDescent="0.25"/>
    <row r="131787" s="12" customFormat="1" x14ac:dyDescent="0.25"/>
    <row r="131788" s="12" customFormat="1" x14ac:dyDescent="0.25"/>
    <row r="131789" s="12" customFormat="1" x14ac:dyDescent="0.25"/>
    <row r="131790" s="12" customFormat="1" x14ac:dyDescent="0.25"/>
    <row r="131791" s="12" customFormat="1" x14ac:dyDescent="0.25"/>
    <row r="131792" s="12" customFormat="1" x14ac:dyDescent="0.25"/>
    <row r="131793" s="12" customFormat="1" x14ac:dyDescent="0.25"/>
    <row r="131794" s="12" customFormat="1" x14ac:dyDescent="0.25"/>
    <row r="131795" s="12" customFormat="1" x14ac:dyDescent="0.25"/>
    <row r="131796" s="12" customFormat="1" x14ac:dyDescent="0.25"/>
    <row r="131797" s="12" customFormat="1" x14ac:dyDescent="0.25"/>
    <row r="131798" s="12" customFormat="1" x14ac:dyDescent="0.25"/>
    <row r="131799" s="12" customFormat="1" x14ac:dyDescent="0.25"/>
    <row r="131800" s="12" customFormat="1" x14ac:dyDescent="0.25"/>
    <row r="131801" s="12" customFormat="1" x14ac:dyDescent="0.25"/>
    <row r="131802" s="12" customFormat="1" x14ac:dyDescent="0.25"/>
    <row r="131803" s="12" customFormat="1" x14ac:dyDescent="0.25"/>
    <row r="131804" s="12" customFormat="1" x14ac:dyDescent="0.25"/>
    <row r="131805" s="12" customFormat="1" x14ac:dyDescent="0.25"/>
    <row r="131806" s="12" customFormat="1" x14ac:dyDescent="0.25"/>
    <row r="131807" s="12" customFormat="1" x14ac:dyDescent="0.25"/>
    <row r="131808" s="12" customFormat="1" x14ac:dyDescent="0.25"/>
    <row r="131809" s="12" customFormat="1" x14ac:dyDescent="0.25"/>
    <row r="131810" s="12" customFormat="1" x14ac:dyDescent="0.25"/>
    <row r="131811" s="12" customFormat="1" x14ac:dyDescent="0.25"/>
    <row r="131812" s="12" customFormat="1" x14ac:dyDescent="0.25"/>
    <row r="131813" s="12" customFormat="1" x14ac:dyDescent="0.25"/>
    <row r="131814" s="12" customFormat="1" x14ac:dyDescent="0.25"/>
    <row r="131815" s="12" customFormat="1" x14ac:dyDescent="0.25"/>
    <row r="131816" s="12" customFormat="1" x14ac:dyDescent="0.25"/>
    <row r="131817" s="12" customFormat="1" x14ac:dyDescent="0.25"/>
    <row r="131818" s="12" customFormat="1" x14ac:dyDescent="0.25"/>
    <row r="131819" s="12" customFormat="1" x14ac:dyDescent="0.25"/>
    <row r="131820" s="12" customFormat="1" x14ac:dyDescent="0.25"/>
    <row r="131821" s="12" customFormat="1" x14ac:dyDescent="0.25"/>
    <row r="131822" s="12" customFormat="1" x14ac:dyDescent="0.25"/>
    <row r="131823" s="12" customFormat="1" x14ac:dyDescent="0.25"/>
    <row r="131824" s="12" customFormat="1" x14ac:dyDescent="0.25"/>
    <row r="131825" s="12" customFormat="1" x14ac:dyDescent="0.25"/>
    <row r="131826" s="12" customFormat="1" x14ac:dyDescent="0.25"/>
    <row r="131827" s="12" customFormat="1" x14ac:dyDescent="0.25"/>
    <row r="131828" s="12" customFormat="1" x14ac:dyDescent="0.25"/>
    <row r="131829" s="12" customFormat="1" x14ac:dyDescent="0.25"/>
    <row r="131830" s="12" customFormat="1" x14ac:dyDescent="0.25"/>
    <row r="131831" s="12" customFormat="1" x14ac:dyDescent="0.25"/>
    <row r="131832" s="12" customFormat="1" x14ac:dyDescent="0.25"/>
    <row r="131833" s="12" customFormat="1" x14ac:dyDescent="0.25"/>
    <row r="131834" s="12" customFormat="1" x14ac:dyDescent="0.25"/>
    <row r="131835" s="12" customFormat="1" x14ac:dyDescent="0.25"/>
    <row r="131836" s="12" customFormat="1" x14ac:dyDescent="0.25"/>
    <row r="131837" s="12" customFormat="1" x14ac:dyDescent="0.25"/>
    <row r="131838" s="12" customFormat="1" x14ac:dyDescent="0.25"/>
    <row r="131839" s="12" customFormat="1" x14ac:dyDescent="0.25"/>
    <row r="131840" s="12" customFormat="1" x14ac:dyDescent="0.25"/>
    <row r="131841" s="12" customFormat="1" x14ac:dyDescent="0.25"/>
    <row r="131842" s="12" customFormat="1" x14ac:dyDescent="0.25"/>
    <row r="131843" s="12" customFormat="1" x14ac:dyDescent="0.25"/>
    <row r="131844" s="12" customFormat="1" x14ac:dyDescent="0.25"/>
    <row r="131845" s="12" customFormat="1" x14ac:dyDescent="0.25"/>
    <row r="131846" s="12" customFormat="1" x14ac:dyDescent="0.25"/>
    <row r="131847" s="12" customFormat="1" x14ac:dyDescent="0.25"/>
    <row r="131848" s="12" customFormat="1" x14ac:dyDescent="0.25"/>
    <row r="131849" s="12" customFormat="1" x14ac:dyDescent="0.25"/>
    <row r="131850" s="12" customFormat="1" x14ac:dyDescent="0.25"/>
    <row r="131851" s="12" customFormat="1" x14ac:dyDescent="0.25"/>
    <row r="131852" s="12" customFormat="1" x14ac:dyDescent="0.25"/>
    <row r="131853" s="12" customFormat="1" x14ac:dyDescent="0.25"/>
    <row r="131854" s="12" customFormat="1" x14ac:dyDescent="0.25"/>
    <row r="131855" s="12" customFormat="1" x14ac:dyDescent="0.25"/>
    <row r="131856" s="12" customFormat="1" x14ac:dyDescent="0.25"/>
    <row r="131857" s="12" customFormat="1" x14ac:dyDescent="0.25"/>
    <row r="131858" s="12" customFormat="1" x14ac:dyDescent="0.25"/>
    <row r="131859" s="12" customFormat="1" x14ac:dyDescent="0.25"/>
    <row r="131860" s="12" customFormat="1" x14ac:dyDescent="0.25"/>
    <row r="131861" s="12" customFormat="1" x14ac:dyDescent="0.25"/>
    <row r="131862" s="12" customFormat="1" x14ac:dyDescent="0.25"/>
    <row r="131863" s="12" customFormat="1" x14ac:dyDescent="0.25"/>
    <row r="131864" s="12" customFormat="1" x14ac:dyDescent="0.25"/>
    <row r="131865" s="12" customFormat="1" x14ac:dyDescent="0.25"/>
    <row r="131866" s="12" customFormat="1" x14ac:dyDescent="0.25"/>
    <row r="131867" s="12" customFormat="1" x14ac:dyDescent="0.25"/>
    <row r="131868" s="12" customFormat="1" x14ac:dyDescent="0.25"/>
    <row r="131869" s="12" customFormat="1" x14ac:dyDescent="0.25"/>
    <row r="131870" s="12" customFormat="1" x14ac:dyDescent="0.25"/>
    <row r="131871" s="12" customFormat="1" x14ac:dyDescent="0.25"/>
    <row r="131872" s="12" customFormat="1" x14ac:dyDescent="0.25"/>
    <row r="131873" s="12" customFormat="1" x14ac:dyDescent="0.25"/>
    <row r="131874" s="12" customFormat="1" x14ac:dyDescent="0.25"/>
    <row r="131875" s="12" customFormat="1" x14ac:dyDescent="0.25"/>
    <row r="131876" s="12" customFormat="1" x14ac:dyDescent="0.25"/>
    <row r="131877" s="12" customFormat="1" x14ac:dyDescent="0.25"/>
    <row r="131878" s="12" customFormat="1" x14ac:dyDescent="0.25"/>
    <row r="131879" s="12" customFormat="1" x14ac:dyDescent="0.25"/>
    <row r="131880" s="12" customFormat="1" x14ac:dyDescent="0.25"/>
    <row r="131881" s="12" customFormat="1" x14ac:dyDescent="0.25"/>
    <row r="131882" s="12" customFormat="1" x14ac:dyDescent="0.25"/>
    <row r="131883" s="12" customFormat="1" x14ac:dyDescent="0.25"/>
    <row r="131884" s="12" customFormat="1" x14ac:dyDescent="0.25"/>
    <row r="131885" s="12" customFormat="1" x14ac:dyDescent="0.25"/>
    <row r="131886" s="12" customFormat="1" x14ac:dyDescent="0.25"/>
    <row r="131887" s="12" customFormat="1" x14ac:dyDescent="0.25"/>
    <row r="131888" s="12" customFormat="1" x14ac:dyDescent="0.25"/>
    <row r="131889" s="12" customFormat="1" x14ac:dyDescent="0.25"/>
    <row r="131890" s="12" customFormat="1" x14ac:dyDescent="0.25"/>
    <row r="131891" s="12" customFormat="1" x14ac:dyDescent="0.25"/>
    <row r="131892" s="12" customFormat="1" x14ac:dyDescent="0.25"/>
    <row r="131893" s="12" customFormat="1" x14ac:dyDescent="0.25"/>
    <row r="131894" s="12" customFormat="1" x14ac:dyDescent="0.25"/>
    <row r="131895" s="12" customFormat="1" x14ac:dyDescent="0.25"/>
    <row r="131896" s="12" customFormat="1" x14ac:dyDescent="0.25"/>
    <row r="131897" s="12" customFormat="1" x14ac:dyDescent="0.25"/>
    <row r="131898" s="12" customFormat="1" x14ac:dyDescent="0.25"/>
    <row r="131899" s="12" customFormat="1" x14ac:dyDescent="0.25"/>
    <row r="131900" s="12" customFormat="1" x14ac:dyDescent="0.25"/>
    <row r="131901" s="12" customFormat="1" x14ac:dyDescent="0.25"/>
    <row r="131902" s="12" customFormat="1" x14ac:dyDescent="0.25"/>
    <row r="131903" s="12" customFormat="1" x14ac:dyDescent="0.25"/>
    <row r="131904" s="12" customFormat="1" x14ac:dyDescent="0.25"/>
    <row r="131905" s="12" customFormat="1" x14ac:dyDescent="0.25"/>
    <row r="131906" s="12" customFormat="1" x14ac:dyDescent="0.25"/>
    <row r="131907" s="12" customFormat="1" x14ac:dyDescent="0.25"/>
    <row r="131908" s="12" customFormat="1" x14ac:dyDescent="0.25"/>
    <row r="131909" s="12" customFormat="1" x14ac:dyDescent="0.25"/>
    <row r="131910" s="12" customFormat="1" x14ac:dyDescent="0.25"/>
    <row r="131911" s="12" customFormat="1" x14ac:dyDescent="0.25"/>
    <row r="131912" s="12" customFormat="1" x14ac:dyDescent="0.25"/>
    <row r="131913" s="12" customFormat="1" x14ac:dyDescent="0.25"/>
    <row r="131914" s="12" customFormat="1" x14ac:dyDescent="0.25"/>
    <row r="131915" s="12" customFormat="1" x14ac:dyDescent="0.25"/>
    <row r="131916" s="12" customFormat="1" x14ac:dyDescent="0.25"/>
    <row r="131917" s="12" customFormat="1" x14ac:dyDescent="0.25"/>
    <row r="131918" s="12" customFormat="1" x14ac:dyDescent="0.25"/>
    <row r="131919" s="12" customFormat="1" x14ac:dyDescent="0.25"/>
    <row r="131920" s="12" customFormat="1" x14ac:dyDescent="0.25"/>
    <row r="131921" s="12" customFormat="1" x14ac:dyDescent="0.25"/>
    <row r="131922" s="12" customFormat="1" x14ac:dyDescent="0.25"/>
    <row r="131923" s="12" customFormat="1" x14ac:dyDescent="0.25"/>
    <row r="131924" s="12" customFormat="1" x14ac:dyDescent="0.25"/>
    <row r="131925" s="12" customFormat="1" x14ac:dyDescent="0.25"/>
    <row r="131926" s="12" customFormat="1" x14ac:dyDescent="0.25"/>
    <row r="131927" s="12" customFormat="1" x14ac:dyDescent="0.25"/>
    <row r="131928" s="12" customFormat="1" x14ac:dyDescent="0.25"/>
    <row r="131929" s="12" customFormat="1" x14ac:dyDescent="0.25"/>
    <row r="131930" s="12" customFormat="1" x14ac:dyDescent="0.25"/>
    <row r="131931" s="12" customFormat="1" x14ac:dyDescent="0.25"/>
    <row r="131932" s="12" customFormat="1" x14ac:dyDescent="0.25"/>
    <row r="131933" s="12" customFormat="1" x14ac:dyDescent="0.25"/>
    <row r="131934" s="12" customFormat="1" x14ac:dyDescent="0.25"/>
    <row r="131935" s="12" customFormat="1" x14ac:dyDescent="0.25"/>
    <row r="131936" s="12" customFormat="1" x14ac:dyDescent="0.25"/>
    <row r="131937" s="12" customFormat="1" x14ac:dyDescent="0.25"/>
    <row r="131938" s="12" customFormat="1" x14ac:dyDescent="0.25"/>
    <row r="131939" s="12" customFormat="1" x14ac:dyDescent="0.25"/>
    <row r="131940" s="12" customFormat="1" x14ac:dyDescent="0.25"/>
    <row r="131941" s="12" customFormat="1" x14ac:dyDescent="0.25"/>
    <row r="131942" s="12" customFormat="1" x14ac:dyDescent="0.25"/>
    <row r="131943" s="12" customFormat="1" x14ac:dyDescent="0.25"/>
    <row r="131944" s="12" customFormat="1" x14ac:dyDescent="0.25"/>
    <row r="131945" s="12" customFormat="1" x14ac:dyDescent="0.25"/>
    <row r="131946" s="12" customFormat="1" x14ac:dyDescent="0.25"/>
    <row r="131947" s="12" customFormat="1" x14ac:dyDescent="0.25"/>
    <row r="131948" s="12" customFormat="1" x14ac:dyDescent="0.25"/>
    <row r="131949" s="12" customFormat="1" x14ac:dyDescent="0.25"/>
    <row r="131950" s="12" customFormat="1" x14ac:dyDescent="0.25"/>
    <row r="131951" s="12" customFormat="1" x14ac:dyDescent="0.25"/>
    <row r="131952" s="12" customFormat="1" x14ac:dyDescent="0.25"/>
    <row r="131953" s="12" customFormat="1" x14ac:dyDescent="0.25"/>
    <row r="131954" s="12" customFormat="1" x14ac:dyDescent="0.25"/>
    <row r="131955" s="12" customFormat="1" x14ac:dyDescent="0.25"/>
    <row r="131956" s="12" customFormat="1" x14ac:dyDescent="0.25"/>
    <row r="131957" s="12" customFormat="1" x14ac:dyDescent="0.25"/>
    <row r="131958" s="12" customFormat="1" x14ac:dyDescent="0.25"/>
    <row r="131959" s="12" customFormat="1" x14ac:dyDescent="0.25"/>
    <row r="131960" s="12" customFormat="1" x14ac:dyDescent="0.25"/>
    <row r="131961" s="12" customFormat="1" x14ac:dyDescent="0.25"/>
    <row r="131962" s="12" customFormat="1" x14ac:dyDescent="0.25"/>
    <row r="131963" s="12" customFormat="1" x14ac:dyDescent="0.25"/>
    <row r="131964" s="12" customFormat="1" x14ac:dyDescent="0.25"/>
    <row r="131965" s="12" customFormat="1" x14ac:dyDescent="0.25"/>
    <row r="131966" s="12" customFormat="1" x14ac:dyDescent="0.25"/>
    <row r="131967" s="12" customFormat="1" x14ac:dyDescent="0.25"/>
    <row r="131968" s="12" customFormat="1" x14ac:dyDescent="0.25"/>
    <row r="131969" s="12" customFormat="1" x14ac:dyDescent="0.25"/>
    <row r="131970" s="12" customFormat="1" x14ac:dyDescent="0.25"/>
    <row r="131971" s="12" customFormat="1" x14ac:dyDescent="0.25"/>
    <row r="131972" s="12" customFormat="1" x14ac:dyDescent="0.25"/>
    <row r="131973" s="12" customFormat="1" x14ac:dyDescent="0.25"/>
    <row r="131974" s="12" customFormat="1" x14ac:dyDescent="0.25"/>
    <row r="131975" s="12" customFormat="1" x14ac:dyDescent="0.25"/>
    <row r="131976" s="12" customFormat="1" x14ac:dyDescent="0.25"/>
    <row r="131977" s="12" customFormat="1" x14ac:dyDescent="0.25"/>
    <row r="131978" s="12" customFormat="1" x14ac:dyDescent="0.25"/>
    <row r="131979" s="12" customFormat="1" x14ac:dyDescent="0.25"/>
    <row r="131980" s="12" customFormat="1" x14ac:dyDescent="0.25"/>
    <row r="131981" s="12" customFormat="1" x14ac:dyDescent="0.25"/>
    <row r="131982" s="12" customFormat="1" x14ac:dyDescent="0.25"/>
    <row r="131983" s="12" customFormat="1" x14ac:dyDescent="0.25"/>
    <row r="131984" s="12" customFormat="1" x14ac:dyDescent="0.25"/>
    <row r="131985" s="12" customFormat="1" x14ac:dyDescent="0.25"/>
    <row r="131986" s="12" customFormat="1" x14ac:dyDescent="0.25"/>
    <row r="131987" s="12" customFormat="1" x14ac:dyDescent="0.25"/>
    <row r="131988" s="12" customFormat="1" x14ac:dyDescent="0.25"/>
    <row r="131989" s="12" customFormat="1" x14ac:dyDescent="0.25"/>
    <row r="131990" s="12" customFormat="1" x14ac:dyDescent="0.25"/>
    <row r="131991" s="12" customFormat="1" x14ac:dyDescent="0.25"/>
    <row r="131992" s="12" customFormat="1" x14ac:dyDescent="0.25"/>
    <row r="131993" s="12" customFormat="1" x14ac:dyDescent="0.25"/>
    <row r="131994" s="12" customFormat="1" x14ac:dyDescent="0.25"/>
    <row r="131995" s="12" customFormat="1" x14ac:dyDescent="0.25"/>
    <row r="131996" s="12" customFormat="1" x14ac:dyDescent="0.25"/>
    <row r="131997" s="12" customFormat="1" x14ac:dyDescent="0.25"/>
    <row r="131998" s="12" customFormat="1" x14ac:dyDescent="0.25"/>
    <row r="131999" s="12" customFormat="1" x14ac:dyDescent="0.25"/>
    <row r="132000" s="12" customFormat="1" x14ac:dyDescent="0.25"/>
    <row r="132001" s="12" customFormat="1" x14ac:dyDescent="0.25"/>
    <row r="132002" s="12" customFormat="1" x14ac:dyDescent="0.25"/>
    <row r="132003" s="12" customFormat="1" x14ac:dyDescent="0.25"/>
    <row r="132004" s="12" customFormat="1" x14ac:dyDescent="0.25"/>
    <row r="132005" s="12" customFormat="1" x14ac:dyDescent="0.25"/>
    <row r="132006" s="12" customFormat="1" x14ac:dyDescent="0.25"/>
    <row r="132007" s="12" customFormat="1" x14ac:dyDescent="0.25"/>
    <row r="132008" s="12" customFormat="1" x14ac:dyDescent="0.25"/>
    <row r="132009" s="12" customFormat="1" x14ac:dyDescent="0.25"/>
    <row r="132010" s="12" customFormat="1" x14ac:dyDescent="0.25"/>
    <row r="132011" s="12" customFormat="1" x14ac:dyDescent="0.25"/>
    <row r="132012" s="12" customFormat="1" x14ac:dyDescent="0.25"/>
    <row r="132013" s="12" customFormat="1" x14ac:dyDescent="0.25"/>
    <row r="132014" s="12" customFormat="1" x14ac:dyDescent="0.25"/>
    <row r="132015" s="12" customFormat="1" x14ac:dyDescent="0.25"/>
    <row r="132016" s="12" customFormat="1" x14ac:dyDescent="0.25"/>
    <row r="132017" s="12" customFormat="1" x14ac:dyDescent="0.25"/>
    <row r="132018" s="12" customFormat="1" x14ac:dyDescent="0.25"/>
    <row r="132019" s="12" customFormat="1" x14ac:dyDescent="0.25"/>
    <row r="132020" s="12" customFormat="1" x14ac:dyDescent="0.25"/>
    <row r="132021" s="12" customFormat="1" x14ac:dyDescent="0.25"/>
    <row r="132022" s="12" customFormat="1" x14ac:dyDescent="0.25"/>
    <row r="132023" s="12" customFormat="1" x14ac:dyDescent="0.25"/>
    <row r="132024" s="12" customFormat="1" x14ac:dyDescent="0.25"/>
    <row r="132025" s="12" customFormat="1" x14ac:dyDescent="0.25"/>
    <row r="132026" s="12" customFormat="1" x14ac:dyDescent="0.25"/>
    <row r="132027" s="12" customFormat="1" x14ac:dyDescent="0.25"/>
    <row r="132028" s="12" customFormat="1" x14ac:dyDescent="0.25"/>
    <row r="132029" s="12" customFormat="1" x14ac:dyDescent="0.25"/>
    <row r="132030" s="12" customFormat="1" x14ac:dyDescent="0.25"/>
    <row r="132031" s="12" customFormat="1" x14ac:dyDescent="0.25"/>
    <row r="132032" s="12" customFormat="1" x14ac:dyDescent="0.25"/>
    <row r="132033" s="12" customFormat="1" x14ac:dyDescent="0.25"/>
    <row r="132034" s="12" customFormat="1" x14ac:dyDescent="0.25"/>
    <row r="132035" s="12" customFormat="1" x14ac:dyDescent="0.25"/>
    <row r="132036" s="12" customFormat="1" x14ac:dyDescent="0.25"/>
    <row r="132037" s="12" customFormat="1" x14ac:dyDescent="0.25"/>
    <row r="132038" s="12" customFormat="1" x14ac:dyDescent="0.25"/>
    <row r="132039" s="12" customFormat="1" x14ac:dyDescent="0.25"/>
    <row r="132040" s="12" customFormat="1" x14ac:dyDescent="0.25"/>
    <row r="132041" s="12" customFormat="1" x14ac:dyDescent="0.25"/>
    <row r="132042" s="12" customFormat="1" x14ac:dyDescent="0.25"/>
    <row r="132043" s="12" customFormat="1" x14ac:dyDescent="0.25"/>
    <row r="132044" s="12" customFormat="1" x14ac:dyDescent="0.25"/>
    <row r="132045" s="12" customFormat="1" x14ac:dyDescent="0.25"/>
    <row r="132046" s="12" customFormat="1" x14ac:dyDescent="0.25"/>
    <row r="132047" s="12" customFormat="1" x14ac:dyDescent="0.25"/>
    <row r="132048" s="12" customFormat="1" x14ac:dyDescent="0.25"/>
    <row r="132049" s="12" customFormat="1" x14ac:dyDescent="0.25"/>
    <row r="132050" s="12" customFormat="1" x14ac:dyDescent="0.25"/>
    <row r="132051" s="12" customFormat="1" x14ac:dyDescent="0.25"/>
    <row r="132052" s="12" customFormat="1" x14ac:dyDescent="0.25"/>
    <row r="132053" s="12" customFormat="1" x14ac:dyDescent="0.25"/>
    <row r="132054" s="12" customFormat="1" x14ac:dyDescent="0.25"/>
    <row r="132055" s="12" customFormat="1" x14ac:dyDescent="0.25"/>
    <row r="132056" s="12" customFormat="1" x14ac:dyDescent="0.25"/>
    <row r="132057" s="12" customFormat="1" x14ac:dyDescent="0.25"/>
    <row r="132058" s="12" customFormat="1" x14ac:dyDescent="0.25"/>
    <row r="132059" s="12" customFormat="1" x14ac:dyDescent="0.25"/>
    <row r="132060" s="12" customFormat="1" x14ac:dyDescent="0.25"/>
    <row r="132061" s="12" customFormat="1" x14ac:dyDescent="0.25"/>
    <row r="132062" s="12" customFormat="1" x14ac:dyDescent="0.25"/>
    <row r="132063" s="12" customFormat="1" x14ac:dyDescent="0.25"/>
    <row r="132064" s="12" customFormat="1" x14ac:dyDescent="0.25"/>
    <row r="132065" s="12" customFormat="1" x14ac:dyDescent="0.25"/>
    <row r="132066" s="12" customFormat="1" x14ac:dyDescent="0.25"/>
    <row r="132067" s="12" customFormat="1" x14ac:dyDescent="0.25"/>
    <row r="132068" s="12" customFormat="1" x14ac:dyDescent="0.25"/>
    <row r="132069" s="12" customFormat="1" x14ac:dyDescent="0.25"/>
    <row r="132070" s="12" customFormat="1" x14ac:dyDescent="0.25"/>
    <row r="132071" s="12" customFormat="1" x14ac:dyDescent="0.25"/>
    <row r="132072" s="12" customFormat="1" x14ac:dyDescent="0.25"/>
    <row r="132073" s="12" customFormat="1" x14ac:dyDescent="0.25"/>
    <row r="132074" s="12" customFormat="1" x14ac:dyDescent="0.25"/>
    <row r="132075" s="12" customFormat="1" x14ac:dyDescent="0.25"/>
    <row r="132076" s="12" customFormat="1" x14ac:dyDescent="0.25"/>
    <row r="132077" s="12" customFormat="1" x14ac:dyDescent="0.25"/>
    <row r="132078" s="12" customFormat="1" x14ac:dyDescent="0.25"/>
    <row r="132079" s="12" customFormat="1" x14ac:dyDescent="0.25"/>
    <row r="132080" s="12" customFormat="1" x14ac:dyDescent="0.25"/>
    <row r="132081" s="12" customFormat="1" x14ac:dyDescent="0.25"/>
    <row r="132082" s="12" customFormat="1" x14ac:dyDescent="0.25"/>
    <row r="132083" s="12" customFormat="1" x14ac:dyDescent="0.25"/>
    <row r="132084" s="12" customFormat="1" x14ac:dyDescent="0.25"/>
    <row r="132085" s="12" customFormat="1" x14ac:dyDescent="0.25"/>
    <row r="132086" s="12" customFormat="1" x14ac:dyDescent="0.25"/>
    <row r="132087" s="12" customFormat="1" x14ac:dyDescent="0.25"/>
    <row r="132088" s="12" customFormat="1" x14ac:dyDescent="0.25"/>
    <row r="132089" s="12" customFormat="1" x14ac:dyDescent="0.25"/>
    <row r="132090" s="12" customFormat="1" x14ac:dyDescent="0.25"/>
    <row r="132091" s="12" customFormat="1" x14ac:dyDescent="0.25"/>
    <row r="132092" s="12" customFormat="1" x14ac:dyDescent="0.25"/>
    <row r="132093" s="12" customFormat="1" x14ac:dyDescent="0.25"/>
    <row r="132094" s="12" customFormat="1" x14ac:dyDescent="0.25"/>
    <row r="132095" s="12" customFormat="1" x14ac:dyDescent="0.25"/>
    <row r="132096" s="12" customFormat="1" x14ac:dyDescent="0.25"/>
    <row r="132097" s="12" customFormat="1" x14ac:dyDescent="0.25"/>
    <row r="132098" s="12" customFormat="1" x14ac:dyDescent="0.25"/>
    <row r="132099" s="12" customFormat="1" x14ac:dyDescent="0.25"/>
    <row r="132100" s="12" customFormat="1" x14ac:dyDescent="0.25"/>
    <row r="132101" s="12" customFormat="1" x14ac:dyDescent="0.25"/>
    <row r="132102" s="12" customFormat="1" x14ac:dyDescent="0.25"/>
    <row r="132103" s="12" customFormat="1" x14ac:dyDescent="0.25"/>
    <row r="132104" s="12" customFormat="1" x14ac:dyDescent="0.25"/>
    <row r="132105" s="12" customFormat="1" x14ac:dyDescent="0.25"/>
    <row r="132106" s="12" customFormat="1" x14ac:dyDescent="0.25"/>
    <row r="132107" s="12" customFormat="1" x14ac:dyDescent="0.25"/>
    <row r="132108" s="12" customFormat="1" x14ac:dyDescent="0.25"/>
    <row r="132109" s="12" customFormat="1" x14ac:dyDescent="0.25"/>
    <row r="132110" s="12" customFormat="1" x14ac:dyDescent="0.25"/>
    <row r="132111" s="12" customFormat="1" x14ac:dyDescent="0.25"/>
    <row r="132112" s="12" customFormat="1" x14ac:dyDescent="0.25"/>
    <row r="132113" s="12" customFormat="1" x14ac:dyDescent="0.25"/>
    <row r="132114" s="12" customFormat="1" x14ac:dyDescent="0.25"/>
    <row r="132115" s="12" customFormat="1" x14ac:dyDescent="0.25"/>
    <row r="132116" s="12" customFormat="1" x14ac:dyDescent="0.25"/>
    <row r="132117" s="12" customFormat="1" x14ac:dyDescent="0.25"/>
    <row r="132118" s="12" customFormat="1" x14ac:dyDescent="0.25"/>
    <row r="132119" s="12" customFormat="1" x14ac:dyDescent="0.25"/>
    <row r="132120" s="12" customFormat="1" x14ac:dyDescent="0.25"/>
    <row r="132121" s="12" customFormat="1" x14ac:dyDescent="0.25"/>
    <row r="132122" s="12" customFormat="1" x14ac:dyDescent="0.25"/>
    <row r="132123" s="12" customFormat="1" x14ac:dyDescent="0.25"/>
    <row r="132124" s="12" customFormat="1" x14ac:dyDescent="0.25"/>
    <row r="132125" s="12" customFormat="1" x14ac:dyDescent="0.25"/>
    <row r="132126" s="12" customFormat="1" x14ac:dyDescent="0.25"/>
    <row r="132127" s="12" customFormat="1" x14ac:dyDescent="0.25"/>
    <row r="132128" s="12" customFormat="1" x14ac:dyDescent="0.25"/>
    <row r="132129" s="12" customFormat="1" x14ac:dyDescent="0.25"/>
    <row r="132130" s="12" customFormat="1" x14ac:dyDescent="0.25"/>
    <row r="132131" s="12" customFormat="1" x14ac:dyDescent="0.25"/>
    <row r="132132" s="12" customFormat="1" x14ac:dyDescent="0.25"/>
    <row r="132133" s="12" customFormat="1" x14ac:dyDescent="0.25"/>
    <row r="132134" s="12" customFormat="1" x14ac:dyDescent="0.25"/>
    <row r="132135" s="12" customFormat="1" x14ac:dyDescent="0.25"/>
    <row r="132136" s="12" customFormat="1" x14ac:dyDescent="0.25"/>
    <row r="132137" s="12" customFormat="1" x14ac:dyDescent="0.25"/>
    <row r="132138" s="12" customFormat="1" x14ac:dyDescent="0.25"/>
    <row r="132139" s="12" customFormat="1" x14ac:dyDescent="0.25"/>
    <row r="132140" s="12" customFormat="1" x14ac:dyDescent="0.25"/>
    <row r="132141" s="12" customFormat="1" x14ac:dyDescent="0.25"/>
    <row r="132142" s="12" customFormat="1" x14ac:dyDescent="0.25"/>
    <row r="132143" s="12" customFormat="1" x14ac:dyDescent="0.25"/>
    <row r="132144" s="12" customFormat="1" x14ac:dyDescent="0.25"/>
    <row r="132145" s="12" customFormat="1" x14ac:dyDescent="0.25"/>
    <row r="132146" s="12" customFormat="1" x14ac:dyDescent="0.25"/>
    <row r="132147" s="12" customFormat="1" x14ac:dyDescent="0.25"/>
    <row r="132148" s="12" customFormat="1" x14ac:dyDescent="0.25"/>
    <row r="132149" s="12" customFormat="1" x14ac:dyDescent="0.25"/>
    <row r="132150" s="12" customFormat="1" x14ac:dyDescent="0.25"/>
    <row r="132151" s="12" customFormat="1" x14ac:dyDescent="0.25"/>
    <row r="132152" s="12" customFormat="1" x14ac:dyDescent="0.25"/>
    <row r="132153" s="12" customFormat="1" x14ac:dyDescent="0.25"/>
    <row r="132154" s="12" customFormat="1" x14ac:dyDescent="0.25"/>
    <row r="132155" s="12" customFormat="1" x14ac:dyDescent="0.25"/>
    <row r="132156" s="12" customFormat="1" x14ac:dyDescent="0.25"/>
    <row r="132157" s="12" customFormat="1" x14ac:dyDescent="0.25"/>
    <row r="132158" s="12" customFormat="1" x14ac:dyDescent="0.25"/>
    <row r="132159" s="12" customFormat="1" x14ac:dyDescent="0.25"/>
    <row r="132160" s="12" customFormat="1" x14ac:dyDescent="0.25"/>
    <row r="132161" s="12" customFormat="1" x14ac:dyDescent="0.25"/>
    <row r="132162" s="12" customFormat="1" x14ac:dyDescent="0.25"/>
    <row r="132163" s="12" customFormat="1" x14ac:dyDescent="0.25"/>
    <row r="132164" s="12" customFormat="1" x14ac:dyDescent="0.25"/>
    <row r="132165" s="12" customFormat="1" x14ac:dyDescent="0.25"/>
    <row r="132166" s="12" customFormat="1" x14ac:dyDescent="0.25"/>
    <row r="132167" s="12" customFormat="1" x14ac:dyDescent="0.25"/>
    <row r="132168" s="12" customFormat="1" x14ac:dyDescent="0.25"/>
    <row r="132169" s="12" customFormat="1" x14ac:dyDescent="0.25"/>
    <row r="132170" s="12" customFormat="1" x14ac:dyDescent="0.25"/>
    <row r="132171" s="12" customFormat="1" x14ac:dyDescent="0.25"/>
    <row r="132172" s="12" customFormat="1" x14ac:dyDescent="0.25"/>
    <row r="132173" s="12" customFormat="1" x14ac:dyDescent="0.25"/>
    <row r="132174" s="12" customFormat="1" x14ac:dyDescent="0.25"/>
    <row r="132175" s="12" customFormat="1" x14ac:dyDescent="0.25"/>
    <row r="132176" s="12" customFormat="1" x14ac:dyDescent="0.25"/>
    <row r="132177" s="12" customFormat="1" x14ac:dyDescent="0.25"/>
    <row r="132178" s="12" customFormat="1" x14ac:dyDescent="0.25"/>
    <row r="132179" s="12" customFormat="1" x14ac:dyDescent="0.25"/>
    <row r="132180" s="12" customFormat="1" x14ac:dyDescent="0.25"/>
    <row r="132181" s="12" customFormat="1" x14ac:dyDescent="0.25"/>
    <row r="132182" s="12" customFormat="1" x14ac:dyDescent="0.25"/>
    <row r="132183" s="12" customFormat="1" x14ac:dyDescent="0.25"/>
    <row r="132184" s="12" customFormat="1" x14ac:dyDescent="0.25"/>
    <row r="132185" s="12" customFormat="1" x14ac:dyDescent="0.25"/>
    <row r="132186" s="12" customFormat="1" x14ac:dyDescent="0.25"/>
    <row r="132187" s="12" customFormat="1" x14ac:dyDescent="0.25"/>
    <row r="132188" s="12" customFormat="1" x14ac:dyDescent="0.25"/>
    <row r="132189" s="12" customFormat="1" x14ac:dyDescent="0.25"/>
    <row r="132190" s="12" customFormat="1" x14ac:dyDescent="0.25"/>
    <row r="132191" s="12" customFormat="1" x14ac:dyDescent="0.25"/>
    <row r="132192" s="12" customFormat="1" x14ac:dyDescent="0.25"/>
    <row r="132193" s="12" customFormat="1" x14ac:dyDescent="0.25"/>
    <row r="132194" s="12" customFormat="1" x14ac:dyDescent="0.25"/>
    <row r="132195" s="12" customFormat="1" x14ac:dyDescent="0.25"/>
    <row r="132196" s="12" customFormat="1" x14ac:dyDescent="0.25"/>
    <row r="132197" s="12" customFormat="1" x14ac:dyDescent="0.25"/>
    <row r="132198" s="12" customFormat="1" x14ac:dyDescent="0.25"/>
    <row r="132199" s="12" customFormat="1" x14ac:dyDescent="0.25"/>
    <row r="132200" s="12" customFormat="1" x14ac:dyDescent="0.25"/>
    <row r="132201" s="12" customFormat="1" x14ac:dyDescent="0.25"/>
    <row r="132202" s="12" customFormat="1" x14ac:dyDescent="0.25"/>
    <row r="132203" s="12" customFormat="1" x14ac:dyDescent="0.25"/>
    <row r="132204" s="12" customFormat="1" x14ac:dyDescent="0.25"/>
    <row r="132205" s="12" customFormat="1" x14ac:dyDescent="0.25"/>
    <row r="132206" s="12" customFormat="1" x14ac:dyDescent="0.25"/>
    <row r="132207" s="12" customFormat="1" x14ac:dyDescent="0.25"/>
    <row r="132208" s="12" customFormat="1" x14ac:dyDescent="0.25"/>
    <row r="132209" s="12" customFormat="1" x14ac:dyDescent="0.25"/>
    <row r="132210" s="12" customFormat="1" x14ac:dyDescent="0.25"/>
    <row r="132211" s="12" customFormat="1" x14ac:dyDescent="0.25"/>
    <row r="132212" s="12" customFormat="1" x14ac:dyDescent="0.25"/>
    <row r="132213" s="12" customFormat="1" x14ac:dyDescent="0.25"/>
    <row r="132214" s="12" customFormat="1" x14ac:dyDescent="0.25"/>
    <row r="132215" s="12" customFormat="1" x14ac:dyDescent="0.25"/>
    <row r="132216" s="12" customFormat="1" x14ac:dyDescent="0.25"/>
    <row r="132217" s="12" customFormat="1" x14ac:dyDescent="0.25"/>
    <row r="132218" s="12" customFormat="1" x14ac:dyDescent="0.25"/>
    <row r="132219" s="12" customFormat="1" x14ac:dyDescent="0.25"/>
    <row r="132220" s="12" customFormat="1" x14ac:dyDescent="0.25"/>
    <row r="132221" s="12" customFormat="1" x14ac:dyDescent="0.25"/>
    <row r="132222" s="12" customFormat="1" x14ac:dyDescent="0.25"/>
    <row r="132223" s="12" customFormat="1" x14ac:dyDescent="0.25"/>
    <row r="132224" s="12" customFormat="1" x14ac:dyDescent="0.25"/>
    <row r="132225" s="12" customFormat="1" x14ac:dyDescent="0.25"/>
    <row r="132226" s="12" customFormat="1" x14ac:dyDescent="0.25"/>
    <row r="132227" s="12" customFormat="1" x14ac:dyDescent="0.25"/>
    <row r="132228" s="12" customFormat="1" x14ac:dyDescent="0.25"/>
    <row r="132229" s="12" customFormat="1" x14ac:dyDescent="0.25"/>
    <row r="132230" s="12" customFormat="1" x14ac:dyDescent="0.25"/>
    <row r="132231" s="12" customFormat="1" x14ac:dyDescent="0.25"/>
    <row r="132232" s="12" customFormat="1" x14ac:dyDescent="0.25"/>
    <row r="132233" s="12" customFormat="1" x14ac:dyDescent="0.25"/>
    <row r="132234" s="12" customFormat="1" x14ac:dyDescent="0.25"/>
    <row r="132235" s="12" customFormat="1" x14ac:dyDescent="0.25"/>
    <row r="132236" s="12" customFormat="1" x14ac:dyDescent="0.25"/>
    <row r="132237" s="12" customFormat="1" x14ac:dyDescent="0.25"/>
    <row r="132238" s="12" customFormat="1" x14ac:dyDescent="0.25"/>
    <row r="132239" s="12" customFormat="1" x14ac:dyDescent="0.25"/>
    <row r="132240" s="12" customFormat="1" x14ac:dyDescent="0.25"/>
    <row r="132241" s="12" customFormat="1" x14ac:dyDescent="0.25"/>
    <row r="132242" s="12" customFormat="1" x14ac:dyDescent="0.25"/>
    <row r="132243" s="12" customFormat="1" x14ac:dyDescent="0.25"/>
    <row r="132244" s="12" customFormat="1" x14ac:dyDescent="0.25"/>
    <row r="132245" s="12" customFormat="1" x14ac:dyDescent="0.25"/>
    <row r="132246" s="12" customFormat="1" x14ac:dyDescent="0.25"/>
    <row r="132247" s="12" customFormat="1" x14ac:dyDescent="0.25"/>
    <row r="132248" s="12" customFormat="1" x14ac:dyDescent="0.25"/>
    <row r="132249" s="12" customFormat="1" x14ac:dyDescent="0.25"/>
    <row r="132250" s="12" customFormat="1" x14ac:dyDescent="0.25"/>
    <row r="132251" s="12" customFormat="1" x14ac:dyDescent="0.25"/>
    <row r="132252" s="12" customFormat="1" x14ac:dyDescent="0.25"/>
    <row r="132253" s="12" customFormat="1" x14ac:dyDescent="0.25"/>
    <row r="132254" s="12" customFormat="1" x14ac:dyDescent="0.25"/>
    <row r="132255" s="12" customFormat="1" x14ac:dyDescent="0.25"/>
    <row r="132256" s="12" customFormat="1" x14ac:dyDescent="0.25"/>
    <row r="132257" s="12" customFormat="1" x14ac:dyDescent="0.25"/>
    <row r="132258" s="12" customFormat="1" x14ac:dyDescent="0.25"/>
    <row r="132259" s="12" customFormat="1" x14ac:dyDescent="0.25"/>
    <row r="132260" s="12" customFormat="1" x14ac:dyDescent="0.25"/>
    <row r="132261" s="12" customFormat="1" x14ac:dyDescent="0.25"/>
    <row r="132262" s="12" customFormat="1" x14ac:dyDescent="0.25"/>
    <row r="132263" s="12" customFormat="1" x14ac:dyDescent="0.25"/>
    <row r="132264" s="12" customFormat="1" x14ac:dyDescent="0.25"/>
    <row r="132265" s="12" customFormat="1" x14ac:dyDescent="0.25"/>
    <row r="132266" s="12" customFormat="1" x14ac:dyDescent="0.25"/>
    <row r="132267" s="12" customFormat="1" x14ac:dyDescent="0.25"/>
    <row r="132268" s="12" customFormat="1" x14ac:dyDescent="0.25"/>
    <row r="132269" s="12" customFormat="1" x14ac:dyDescent="0.25"/>
    <row r="132270" s="12" customFormat="1" x14ac:dyDescent="0.25"/>
    <row r="132271" s="12" customFormat="1" x14ac:dyDescent="0.25"/>
    <row r="132272" s="12" customFormat="1" x14ac:dyDescent="0.25"/>
    <row r="132273" s="12" customFormat="1" x14ac:dyDescent="0.25"/>
    <row r="132274" s="12" customFormat="1" x14ac:dyDescent="0.25"/>
    <row r="132275" s="12" customFormat="1" x14ac:dyDescent="0.25"/>
    <row r="132276" s="12" customFormat="1" x14ac:dyDescent="0.25"/>
    <row r="132277" s="12" customFormat="1" x14ac:dyDescent="0.25"/>
    <row r="132278" s="12" customFormat="1" x14ac:dyDescent="0.25"/>
    <row r="132279" s="12" customFormat="1" x14ac:dyDescent="0.25"/>
    <row r="132280" s="12" customFormat="1" x14ac:dyDescent="0.25"/>
    <row r="132281" s="12" customFormat="1" x14ac:dyDescent="0.25"/>
    <row r="132282" s="12" customFormat="1" x14ac:dyDescent="0.25"/>
    <row r="132283" s="12" customFormat="1" x14ac:dyDescent="0.25"/>
    <row r="132284" s="12" customFormat="1" x14ac:dyDescent="0.25"/>
    <row r="132285" s="12" customFormat="1" x14ac:dyDescent="0.25"/>
    <row r="132286" s="12" customFormat="1" x14ac:dyDescent="0.25"/>
    <row r="132287" s="12" customFormat="1" x14ac:dyDescent="0.25"/>
    <row r="132288" s="12" customFormat="1" x14ac:dyDescent="0.25"/>
    <row r="132289" s="12" customFormat="1" x14ac:dyDescent="0.25"/>
    <row r="132290" s="12" customFormat="1" x14ac:dyDescent="0.25"/>
    <row r="132291" s="12" customFormat="1" x14ac:dyDescent="0.25"/>
    <row r="132292" s="12" customFormat="1" x14ac:dyDescent="0.25"/>
    <row r="132293" s="12" customFormat="1" x14ac:dyDescent="0.25"/>
    <row r="132294" s="12" customFormat="1" x14ac:dyDescent="0.25"/>
    <row r="132295" s="12" customFormat="1" x14ac:dyDescent="0.25"/>
    <row r="132296" s="12" customFormat="1" x14ac:dyDescent="0.25"/>
    <row r="132297" s="12" customFormat="1" x14ac:dyDescent="0.25"/>
    <row r="132298" s="12" customFormat="1" x14ac:dyDescent="0.25"/>
    <row r="132299" s="12" customFormat="1" x14ac:dyDescent="0.25"/>
    <row r="132300" s="12" customFormat="1" x14ac:dyDescent="0.25"/>
    <row r="132301" s="12" customFormat="1" x14ac:dyDescent="0.25"/>
    <row r="132302" s="12" customFormat="1" x14ac:dyDescent="0.25"/>
    <row r="132303" s="12" customFormat="1" x14ac:dyDescent="0.25"/>
    <row r="132304" s="12" customFormat="1" x14ac:dyDescent="0.25"/>
    <row r="132305" s="12" customFormat="1" x14ac:dyDescent="0.25"/>
    <row r="132306" s="12" customFormat="1" x14ac:dyDescent="0.25"/>
    <row r="132307" s="12" customFormat="1" x14ac:dyDescent="0.25"/>
    <row r="132308" s="12" customFormat="1" x14ac:dyDescent="0.25"/>
    <row r="132309" s="12" customFormat="1" x14ac:dyDescent="0.25"/>
    <row r="132310" s="12" customFormat="1" x14ac:dyDescent="0.25"/>
    <row r="132311" s="12" customFormat="1" x14ac:dyDescent="0.25"/>
    <row r="132312" s="12" customFormat="1" x14ac:dyDescent="0.25"/>
    <row r="132313" s="12" customFormat="1" x14ac:dyDescent="0.25"/>
    <row r="132314" s="12" customFormat="1" x14ac:dyDescent="0.25"/>
    <row r="132315" s="12" customFormat="1" x14ac:dyDescent="0.25"/>
    <row r="132316" s="12" customFormat="1" x14ac:dyDescent="0.25"/>
    <row r="132317" s="12" customFormat="1" x14ac:dyDescent="0.25"/>
    <row r="132318" s="12" customFormat="1" x14ac:dyDescent="0.25"/>
    <row r="132319" s="12" customFormat="1" x14ac:dyDescent="0.25"/>
    <row r="132320" s="12" customFormat="1" x14ac:dyDescent="0.25"/>
    <row r="132321" s="12" customFormat="1" x14ac:dyDescent="0.25"/>
    <row r="132322" s="12" customFormat="1" x14ac:dyDescent="0.25"/>
    <row r="132323" s="12" customFormat="1" x14ac:dyDescent="0.25"/>
    <row r="132324" s="12" customFormat="1" x14ac:dyDescent="0.25"/>
    <row r="132325" s="12" customFormat="1" x14ac:dyDescent="0.25"/>
    <row r="132326" s="12" customFormat="1" x14ac:dyDescent="0.25"/>
    <row r="132327" s="12" customFormat="1" x14ac:dyDescent="0.25"/>
    <row r="132328" s="12" customFormat="1" x14ac:dyDescent="0.25"/>
    <row r="132329" s="12" customFormat="1" x14ac:dyDescent="0.25"/>
    <row r="132330" s="12" customFormat="1" x14ac:dyDescent="0.25"/>
    <row r="132331" s="12" customFormat="1" x14ac:dyDescent="0.25"/>
    <row r="132332" s="12" customFormat="1" x14ac:dyDescent="0.25"/>
    <row r="132333" s="12" customFormat="1" x14ac:dyDescent="0.25"/>
    <row r="132334" s="12" customFormat="1" x14ac:dyDescent="0.25"/>
    <row r="132335" s="12" customFormat="1" x14ac:dyDescent="0.25"/>
    <row r="132336" s="12" customFormat="1" x14ac:dyDescent="0.25"/>
    <row r="132337" s="12" customFormat="1" x14ac:dyDescent="0.25"/>
    <row r="132338" s="12" customFormat="1" x14ac:dyDescent="0.25"/>
    <row r="132339" s="12" customFormat="1" x14ac:dyDescent="0.25"/>
    <row r="132340" s="12" customFormat="1" x14ac:dyDescent="0.25"/>
    <row r="132341" s="12" customFormat="1" x14ac:dyDescent="0.25"/>
    <row r="132342" s="12" customFormat="1" x14ac:dyDescent="0.25"/>
    <row r="132343" s="12" customFormat="1" x14ac:dyDescent="0.25"/>
    <row r="132344" s="12" customFormat="1" x14ac:dyDescent="0.25"/>
    <row r="132345" s="12" customFormat="1" x14ac:dyDescent="0.25"/>
    <row r="132346" s="12" customFormat="1" x14ac:dyDescent="0.25"/>
    <row r="132347" s="12" customFormat="1" x14ac:dyDescent="0.25"/>
    <row r="132348" s="12" customFormat="1" x14ac:dyDescent="0.25"/>
    <row r="132349" s="12" customFormat="1" x14ac:dyDescent="0.25"/>
    <row r="132350" s="12" customFormat="1" x14ac:dyDescent="0.25"/>
    <row r="132351" s="12" customFormat="1" x14ac:dyDescent="0.25"/>
    <row r="132352" s="12" customFormat="1" x14ac:dyDescent="0.25"/>
    <row r="132353" s="12" customFormat="1" x14ac:dyDescent="0.25"/>
    <row r="132354" s="12" customFormat="1" x14ac:dyDescent="0.25"/>
    <row r="132355" s="12" customFormat="1" x14ac:dyDescent="0.25"/>
    <row r="132356" s="12" customFormat="1" x14ac:dyDescent="0.25"/>
    <row r="132357" s="12" customFormat="1" x14ac:dyDescent="0.25"/>
    <row r="132358" s="12" customFormat="1" x14ac:dyDescent="0.25"/>
    <row r="132359" s="12" customFormat="1" x14ac:dyDescent="0.25"/>
    <row r="132360" s="12" customFormat="1" x14ac:dyDescent="0.25"/>
    <row r="132361" s="12" customFormat="1" x14ac:dyDescent="0.25"/>
    <row r="132362" s="12" customFormat="1" x14ac:dyDescent="0.25"/>
    <row r="132363" s="12" customFormat="1" x14ac:dyDescent="0.25"/>
    <row r="132364" s="12" customFormat="1" x14ac:dyDescent="0.25"/>
    <row r="132365" s="12" customFormat="1" x14ac:dyDescent="0.25"/>
    <row r="132366" s="12" customFormat="1" x14ac:dyDescent="0.25"/>
    <row r="132367" s="12" customFormat="1" x14ac:dyDescent="0.25"/>
    <row r="132368" s="12" customFormat="1" x14ac:dyDescent="0.25"/>
    <row r="132369" s="12" customFormat="1" x14ac:dyDescent="0.25"/>
    <row r="132370" s="12" customFormat="1" x14ac:dyDescent="0.25"/>
    <row r="132371" s="12" customFormat="1" x14ac:dyDescent="0.25"/>
    <row r="132372" s="12" customFormat="1" x14ac:dyDescent="0.25"/>
    <row r="132373" s="12" customFormat="1" x14ac:dyDescent="0.25"/>
    <row r="132374" s="12" customFormat="1" x14ac:dyDescent="0.25"/>
    <row r="132375" s="12" customFormat="1" x14ac:dyDescent="0.25"/>
    <row r="132376" s="12" customFormat="1" x14ac:dyDescent="0.25"/>
    <row r="132377" s="12" customFormat="1" x14ac:dyDescent="0.25"/>
    <row r="132378" s="12" customFormat="1" x14ac:dyDescent="0.25"/>
    <row r="132379" s="12" customFormat="1" x14ac:dyDescent="0.25"/>
    <row r="132380" s="12" customFormat="1" x14ac:dyDescent="0.25"/>
    <row r="132381" s="12" customFormat="1" x14ac:dyDescent="0.25"/>
    <row r="132382" s="12" customFormat="1" x14ac:dyDescent="0.25"/>
    <row r="132383" s="12" customFormat="1" x14ac:dyDescent="0.25"/>
    <row r="132384" s="12" customFormat="1" x14ac:dyDescent="0.25"/>
    <row r="132385" s="12" customFormat="1" x14ac:dyDescent="0.25"/>
    <row r="132386" s="12" customFormat="1" x14ac:dyDescent="0.25"/>
    <row r="132387" s="12" customFormat="1" x14ac:dyDescent="0.25"/>
    <row r="132388" s="12" customFormat="1" x14ac:dyDescent="0.25"/>
    <row r="132389" s="12" customFormat="1" x14ac:dyDescent="0.25"/>
    <row r="132390" s="12" customFormat="1" x14ac:dyDescent="0.25"/>
    <row r="132391" s="12" customFormat="1" x14ac:dyDescent="0.25"/>
    <row r="132392" s="12" customFormat="1" x14ac:dyDescent="0.25"/>
    <row r="132393" s="12" customFormat="1" x14ac:dyDescent="0.25"/>
    <row r="132394" s="12" customFormat="1" x14ac:dyDescent="0.25"/>
    <row r="132395" s="12" customFormat="1" x14ac:dyDescent="0.25"/>
    <row r="132396" s="12" customFormat="1" x14ac:dyDescent="0.25"/>
    <row r="132397" s="12" customFormat="1" x14ac:dyDescent="0.25"/>
    <row r="132398" s="12" customFormat="1" x14ac:dyDescent="0.25"/>
    <row r="132399" s="12" customFormat="1" x14ac:dyDescent="0.25"/>
    <row r="132400" s="12" customFormat="1" x14ac:dyDescent="0.25"/>
    <row r="132401" s="12" customFormat="1" x14ac:dyDescent="0.25"/>
    <row r="132402" s="12" customFormat="1" x14ac:dyDescent="0.25"/>
    <row r="132403" s="12" customFormat="1" x14ac:dyDescent="0.25"/>
    <row r="132404" s="12" customFormat="1" x14ac:dyDescent="0.25"/>
    <row r="132405" s="12" customFormat="1" x14ac:dyDescent="0.25"/>
    <row r="132406" s="12" customFormat="1" x14ac:dyDescent="0.25"/>
    <row r="132407" s="12" customFormat="1" x14ac:dyDescent="0.25"/>
    <row r="132408" s="12" customFormat="1" x14ac:dyDescent="0.25"/>
    <row r="132409" s="12" customFormat="1" x14ac:dyDescent="0.25"/>
    <row r="132410" s="12" customFormat="1" x14ac:dyDescent="0.25"/>
    <row r="132411" s="12" customFormat="1" x14ac:dyDescent="0.25"/>
    <row r="132412" s="12" customFormat="1" x14ac:dyDescent="0.25"/>
    <row r="132413" s="12" customFormat="1" x14ac:dyDescent="0.25"/>
    <row r="132414" s="12" customFormat="1" x14ac:dyDescent="0.25"/>
    <row r="132415" s="12" customFormat="1" x14ac:dyDescent="0.25"/>
    <row r="132416" s="12" customFormat="1" x14ac:dyDescent="0.25"/>
    <row r="132417" s="12" customFormat="1" x14ac:dyDescent="0.25"/>
    <row r="132418" s="12" customFormat="1" x14ac:dyDescent="0.25"/>
    <row r="132419" s="12" customFormat="1" x14ac:dyDescent="0.25"/>
    <row r="132420" s="12" customFormat="1" x14ac:dyDescent="0.25"/>
    <row r="132421" s="12" customFormat="1" x14ac:dyDescent="0.25"/>
    <row r="132422" s="12" customFormat="1" x14ac:dyDescent="0.25"/>
    <row r="132423" s="12" customFormat="1" x14ac:dyDescent="0.25"/>
    <row r="132424" s="12" customFormat="1" x14ac:dyDescent="0.25"/>
    <row r="132425" s="12" customFormat="1" x14ac:dyDescent="0.25"/>
    <row r="132426" s="12" customFormat="1" x14ac:dyDescent="0.25"/>
    <row r="132427" s="12" customFormat="1" x14ac:dyDescent="0.25"/>
    <row r="132428" s="12" customFormat="1" x14ac:dyDescent="0.25"/>
    <row r="132429" s="12" customFormat="1" x14ac:dyDescent="0.25"/>
    <row r="132430" s="12" customFormat="1" x14ac:dyDescent="0.25"/>
    <row r="132431" s="12" customFormat="1" x14ac:dyDescent="0.25"/>
    <row r="132432" s="12" customFormat="1" x14ac:dyDescent="0.25"/>
    <row r="132433" s="12" customFormat="1" x14ac:dyDescent="0.25"/>
    <row r="132434" s="12" customFormat="1" x14ac:dyDescent="0.25"/>
    <row r="132435" s="12" customFormat="1" x14ac:dyDescent="0.25"/>
    <row r="132436" s="12" customFormat="1" x14ac:dyDescent="0.25"/>
    <row r="132437" s="12" customFormat="1" x14ac:dyDescent="0.25"/>
    <row r="132438" s="12" customFormat="1" x14ac:dyDescent="0.25"/>
    <row r="132439" s="12" customFormat="1" x14ac:dyDescent="0.25"/>
    <row r="132440" s="12" customFormat="1" x14ac:dyDescent="0.25"/>
    <row r="132441" s="12" customFormat="1" x14ac:dyDescent="0.25"/>
    <row r="132442" s="12" customFormat="1" x14ac:dyDescent="0.25"/>
    <row r="132443" s="12" customFormat="1" x14ac:dyDescent="0.25"/>
    <row r="132444" s="12" customFormat="1" x14ac:dyDescent="0.25"/>
    <row r="132445" s="12" customFormat="1" x14ac:dyDescent="0.25"/>
    <row r="132446" s="12" customFormat="1" x14ac:dyDescent="0.25"/>
    <row r="132447" s="12" customFormat="1" x14ac:dyDescent="0.25"/>
    <row r="132448" s="12" customFormat="1" x14ac:dyDescent="0.25"/>
    <row r="132449" s="12" customFormat="1" x14ac:dyDescent="0.25"/>
    <row r="132450" s="12" customFormat="1" x14ac:dyDescent="0.25"/>
    <row r="132451" s="12" customFormat="1" x14ac:dyDescent="0.25"/>
    <row r="132452" s="12" customFormat="1" x14ac:dyDescent="0.25"/>
    <row r="132453" s="12" customFormat="1" x14ac:dyDescent="0.25"/>
    <row r="132454" s="12" customFormat="1" x14ac:dyDescent="0.25"/>
    <row r="132455" s="12" customFormat="1" x14ac:dyDescent="0.25"/>
    <row r="132456" s="12" customFormat="1" x14ac:dyDescent="0.25"/>
    <row r="132457" s="12" customFormat="1" x14ac:dyDescent="0.25"/>
    <row r="132458" s="12" customFormat="1" x14ac:dyDescent="0.25"/>
    <row r="132459" s="12" customFormat="1" x14ac:dyDescent="0.25"/>
    <row r="132460" s="12" customFormat="1" x14ac:dyDescent="0.25"/>
    <row r="132461" s="12" customFormat="1" x14ac:dyDescent="0.25"/>
    <row r="132462" s="12" customFormat="1" x14ac:dyDescent="0.25"/>
    <row r="132463" s="12" customFormat="1" x14ac:dyDescent="0.25"/>
    <row r="132464" s="12" customFormat="1" x14ac:dyDescent="0.25"/>
    <row r="132465" s="12" customFormat="1" x14ac:dyDescent="0.25"/>
    <row r="132466" s="12" customFormat="1" x14ac:dyDescent="0.25"/>
    <row r="132467" s="12" customFormat="1" x14ac:dyDescent="0.25"/>
    <row r="132468" s="12" customFormat="1" x14ac:dyDescent="0.25"/>
    <row r="132469" s="12" customFormat="1" x14ac:dyDescent="0.25"/>
    <row r="132470" s="12" customFormat="1" x14ac:dyDescent="0.25"/>
    <row r="132471" s="12" customFormat="1" x14ac:dyDescent="0.25"/>
    <row r="132472" s="12" customFormat="1" x14ac:dyDescent="0.25"/>
    <row r="132473" s="12" customFormat="1" x14ac:dyDescent="0.25"/>
    <row r="132474" s="12" customFormat="1" x14ac:dyDescent="0.25"/>
    <row r="132475" s="12" customFormat="1" x14ac:dyDescent="0.25"/>
    <row r="132476" s="12" customFormat="1" x14ac:dyDescent="0.25"/>
    <row r="132477" s="12" customFormat="1" x14ac:dyDescent="0.25"/>
    <row r="132478" s="12" customFormat="1" x14ac:dyDescent="0.25"/>
    <row r="132479" s="12" customFormat="1" x14ac:dyDescent="0.25"/>
    <row r="132480" s="12" customFormat="1" x14ac:dyDescent="0.25"/>
    <row r="132481" s="12" customFormat="1" x14ac:dyDescent="0.25"/>
    <row r="132482" s="12" customFormat="1" x14ac:dyDescent="0.25"/>
    <row r="132483" s="12" customFormat="1" x14ac:dyDescent="0.25"/>
    <row r="132484" s="12" customFormat="1" x14ac:dyDescent="0.25"/>
    <row r="132485" s="12" customFormat="1" x14ac:dyDescent="0.25"/>
    <row r="132486" s="12" customFormat="1" x14ac:dyDescent="0.25"/>
    <row r="132487" s="12" customFormat="1" x14ac:dyDescent="0.25"/>
    <row r="132488" s="12" customFormat="1" x14ac:dyDescent="0.25"/>
    <row r="132489" s="12" customFormat="1" x14ac:dyDescent="0.25"/>
    <row r="132490" s="12" customFormat="1" x14ac:dyDescent="0.25"/>
    <row r="132491" s="12" customFormat="1" x14ac:dyDescent="0.25"/>
    <row r="132492" s="12" customFormat="1" x14ac:dyDescent="0.25"/>
    <row r="132493" s="12" customFormat="1" x14ac:dyDescent="0.25"/>
    <row r="132494" s="12" customFormat="1" x14ac:dyDescent="0.25"/>
    <row r="132495" s="12" customFormat="1" x14ac:dyDescent="0.25"/>
    <row r="132496" s="12" customFormat="1" x14ac:dyDescent="0.25"/>
    <row r="132497" s="12" customFormat="1" x14ac:dyDescent="0.25"/>
    <row r="132498" s="12" customFormat="1" x14ac:dyDescent="0.25"/>
    <row r="132499" s="12" customFormat="1" x14ac:dyDescent="0.25"/>
    <row r="132500" s="12" customFormat="1" x14ac:dyDescent="0.25"/>
    <row r="132501" s="12" customFormat="1" x14ac:dyDescent="0.25"/>
    <row r="132502" s="12" customFormat="1" x14ac:dyDescent="0.25"/>
    <row r="132503" s="12" customFormat="1" x14ac:dyDescent="0.25"/>
    <row r="132504" s="12" customFormat="1" x14ac:dyDescent="0.25"/>
    <row r="132505" s="12" customFormat="1" x14ac:dyDescent="0.25"/>
    <row r="132506" s="12" customFormat="1" x14ac:dyDescent="0.25"/>
    <row r="132507" s="12" customFormat="1" x14ac:dyDescent="0.25"/>
    <row r="132508" s="12" customFormat="1" x14ac:dyDescent="0.25"/>
    <row r="132509" s="12" customFormat="1" x14ac:dyDescent="0.25"/>
    <row r="132510" s="12" customFormat="1" x14ac:dyDescent="0.25"/>
    <row r="132511" s="12" customFormat="1" x14ac:dyDescent="0.25"/>
    <row r="132512" s="12" customFormat="1" x14ac:dyDescent="0.25"/>
    <row r="132513" s="12" customFormat="1" x14ac:dyDescent="0.25"/>
    <row r="132514" s="12" customFormat="1" x14ac:dyDescent="0.25"/>
    <row r="132515" s="12" customFormat="1" x14ac:dyDescent="0.25"/>
    <row r="132516" s="12" customFormat="1" x14ac:dyDescent="0.25"/>
    <row r="132517" s="12" customFormat="1" x14ac:dyDescent="0.25"/>
    <row r="132518" s="12" customFormat="1" x14ac:dyDescent="0.25"/>
    <row r="132519" s="12" customFormat="1" x14ac:dyDescent="0.25"/>
    <row r="132520" s="12" customFormat="1" x14ac:dyDescent="0.25"/>
    <row r="132521" s="12" customFormat="1" x14ac:dyDescent="0.25"/>
    <row r="132522" s="12" customFormat="1" x14ac:dyDescent="0.25"/>
    <row r="132523" s="12" customFormat="1" x14ac:dyDescent="0.25"/>
    <row r="132524" s="12" customFormat="1" x14ac:dyDescent="0.25"/>
    <row r="132525" s="12" customFormat="1" x14ac:dyDescent="0.25"/>
    <row r="132526" s="12" customFormat="1" x14ac:dyDescent="0.25"/>
    <row r="132527" s="12" customFormat="1" x14ac:dyDescent="0.25"/>
    <row r="132528" s="12" customFormat="1" x14ac:dyDescent="0.25"/>
    <row r="132529" s="12" customFormat="1" x14ac:dyDescent="0.25"/>
    <row r="132530" s="12" customFormat="1" x14ac:dyDescent="0.25"/>
    <row r="132531" s="12" customFormat="1" x14ac:dyDescent="0.25"/>
    <row r="132532" s="12" customFormat="1" x14ac:dyDescent="0.25"/>
    <row r="132533" s="12" customFormat="1" x14ac:dyDescent="0.25"/>
    <row r="132534" s="12" customFormat="1" x14ac:dyDescent="0.25"/>
    <row r="132535" s="12" customFormat="1" x14ac:dyDescent="0.25"/>
    <row r="132536" s="12" customFormat="1" x14ac:dyDescent="0.25"/>
    <row r="132537" s="12" customFormat="1" x14ac:dyDescent="0.25"/>
    <row r="132538" s="12" customFormat="1" x14ac:dyDescent="0.25"/>
    <row r="132539" s="12" customFormat="1" x14ac:dyDescent="0.25"/>
    <row r="132540" s="12" customFormat="1" x14ac:dyDescent="0.25"/>
    <row r="132541" s="12" customFormat="1" x14ac:dyDescent="0.25"/>
    <row r="132542" s="12" customFormat="1" x14ac:dyDescent="0.25"/>
    <row r="132543" s="12" customFormat="1" x14ac:dyDescent="0.25"/>
    <row r="132544" s="12" customFormat="1" x14ac:dyDescent="0.25"/>
    <row r="132545" s="12" customFormat="1" x14ac:dyDescent="0.25"/>
    <row r="132546" s="12" customFormat="1" x14ac:dyDescent="0.25"/>
    <row r="132547" s="12" customFormat="1" x14ac:dyDescent="0.25"/>
    <row r="132548" s="12" customFormat="1" x14ac:dyDescent="0.25"/>
    <row r="132549" s="12" customFormat="1" x14ac:dyDescent="0.25"/>
    <row r="132550" s="12" customFormat="1" x14ac:dyDescent="0.25"/>
    <row r="132551" s="12" customFormat="1" x14ac:dyDescent="0.25"/>
    <row r="132552" s="12" customFormat="1" x14ac:dyDescent="0.25"/>
    <row r="132553" s="12" customFormat="1" x14ac:dyDescent="0.25"/>
    <row r="132554" s="12" customFormat="1" x14ac:dyDescent="0.25"/>
    <row r="132555" s="12" customFormat="1" x14ac:dyDescent="0.25"/>
    <row r="132556" s="12" customFormat="1" x14ac:dyDescent="0.25"/>
    <row r="132557" s="12" customFormat="1" x14ac:dyDescent="0.25"/>
    <row r="132558" s="12" customFormat="1" x14ac:dyDescent="0.25"/>
    <row r="132559" s="12" customFormat="1" x14ac:dyDescent="0.25"/>
    <row r="132560" s="12" customFormat="1" x14ac:dyDescent="0.25"/>
    <row r="132561" s="12" customFormat="1" x14ac:dyDescent="0.25"/>
    <row r="132562" s="12" customFormat="1" x14ac:dyDescent="0.25"/>
    <row r="132563" s="12" customFormat="1" x14ac:dyDescent="0.25"/>
    <row r="132564" s="12" customFormat="1" x14ac:dyDescent="0.25"/>
    <row r="132565" s="12" customFormat="1" x14ac:dyDescent="0.25"/>
    <row r="132566" s="12" customFormat="1" x14ac:dyDescent="0.25"/>
    <row r="132567" s="12" customFormat="1" x14ac:dyDescent="0.25"/>
    <row r="132568" s="12" customFormat="1" x14ac:dyDescent="0.25"/>
    <row r="132569" s="12" customFormat="1" x14ac:dyDescent="0.25"/>
    <row r="132570" s="12" customFormat="1" x14ac:dyDescent="0.25"/>
    <row r="132571" s="12" customFormat="1" x14ac:dyDescent="0.25"/>
    <row r="132572" s="12" customFormat="1" x14ac:dyDescent="0.25"/>
    <row r="132573" s="12" customFormat="1" x14ac:dyDescent="0.25"/>
    <row r="132574" s="12" customFormat="1" x14ac:dyDescent="0.25"/>
    <row r="132575" s="12" customFormat="1" x14ac:dyDescent="0.25"/>
    <row r="132576" s="12" customFormat="1" x14ac:dyDescent="0.25"/>
    <row r="132577" s="12" customFormat="1" x14ac:dyDescent="0.25"/>
    <row r="132578" s="12" customFormat="1" x14ac:dyDescent="0.25"/>
    <row r="132579" s="12" customFormat="1" x14ac:dyDescent="0.25"/>
    <row r="132580" s="12" customFormat="1" x14ac:dyDescent="0.25"/>
    <row r="132581" s="12" customFormat="1" x14ac:dyDescent="0.25"/>
    <row r="132582" s="12" customFormat="1" x14ac:dyDescent="0.25"/>
    <row r="132583" s="12" customFormat="1" x14ac:dyDescent="0.25"/>
    <row r="132584" s="12" customFormat="1" x14ac:dyDescent="0.25"/>
    <row r="132585" s="12" customFormat="1" x14ac:dyDescent="0.25"/>
    <row r="132586" s="12" customFormat="1" x14ac:dyDescent="0.25"/>
    <row r="132587" s="12" customFormat="1" x14ac:dyDescent="0.25"/>
    <row r="132588" s="12" customFormat="1" x14ac:dyDescent="0.25"/>
    <row r="132589" s="12" customFormat="1" x14ac:dyDescent="0.25"/>
    <row r="132590" s="12" customFormat="1" x14ac:dyDescent="0.25"/>
    <row r="132591" s="12" customFormat="1" x14ac:dyDescent="0.25"/>
    <row r="132592" s="12" customFormat="1" x14ac:dyDescent="0.25"/>
    <row r="132593" s="12" customFormat="1" x14ac:dyDescent="0.25"/>
    <row r="132594" s="12" customFormat="1" x14ac:dyDescent="0.25"/>
    <row r="132595" s="12" customFormat="1" x14ac:dyDescent="0.25"/>
    <row r="132596" s="12" customFormat="1" x14ac:dyDescent="0.25"/>
    <row r="132597" s="12" customFormat="1" x14ac:dyDescent="0.25"/>
    <row r="132598" s="12" customFormat="1" x14ac:dyDescent="0.25"/>
    <row r="132599" s="12" customFormat="1" x14ac:dyDescent="0.25"/>
    <row r="132600" s="12" customFormat="1" x14ac:dyDescent="0.25"/>
    <row r="132601" s="12" customFormat="1" x14ac:dyDescent="0.25"/>
    <row r="132602" s="12" customFormat="1" x14ac:dyDescent="0.25"/>
    <row r="132603" s="12" customFormat="1" x14ac:dyDescent="0.25"/>
    <row r="132604" s="12" customFormat="1" x14ac:dyDescent="0.25"/>
    <row r="132605" s="12" customFormat="1" x14ac:dyDescent="0.25"/>
    <row r="132606" s="12" customFormat="1" x14ac:dyDescent="0.25"/>
    <row r="132607" s="12" customFormat="1" x14ac:dyDescent="0.25"/>
    <row r="132608" s="12" customFormat="1" x14ac:dyDescent="0.25"/>
    <row r="132609" s="12" customFormat="1" x14ac:dyDescent="0.25"/>
    <row r="132610" s="12" customFormat="1" x14ac:dyDescent="0.25"/>
    <row r="132611" s="12" customFormat="1" x14ac:dyDescent="0.25"/>
    <row r="132612" s="12" customFormat="1" x14ac:dyDescent="0.25"/>
    <row r="132613" s="12" customFormat="1" x14ac:dyDescent="0.25"/>
    <row r="132614" s="12" customFormat="1" x14ac:dyDescent="0.25"/>
    <row r="132615" s="12" customFormat="1" x14ac:dyDescent="0.25"/>
    <row r="132616" s="12" customFormat="1" x14ac:dyDescent="0.25"/>
    <row r="132617" s="12" customFormat="1" x14ac:dyDescent="0.25"/>
    <row r="132618" s="12" customFormat="1" x14ac:dyDescent="0.25"/>
    <row r="132619" s="12" customFormat="1" x14ac:dyDescent="0.25"/>
    <row r="132620" s="12" customFormat="1" x14ac:dyDescent="0.25"/>
    <row r="132621" s="12" customFormat="1" x14ac:dyDescent="0.25"/>
    <row r="132622" s="12" customFormat="1" x14ac:dyDescent="0.25"/>
    <row r="132623" s="12" customFormat="1" x14ac:dyDescent="0.25"/>
    <row r="132624" s="12" customFormat="1" x14ac:dyDescent="0.25"/>
    <row r="132625" s="12" customFormat="1" x14ac:dyDescent="0.25"/>
    <row r="132626" s="12" customFormat="1" x14ac:dyDescent="0.25"/>
    <row r="132627" s="12" customFormat="1" x14ac:dyDescent="0.25"/>
    <row r="132628" s="12" customFormat="1" x14ac:dyDescent="0.25"/>
    <row r="132629" s="12" customFormat="1" x14ac:dyDescent="0.25"/>
    <row r="132630" s="12" customFormat="1" x14ac:dyDescent="0.25"/>
    <row r="132631" s="12" customFormat="1" x14ac:dyDescent="0.25"/>
    <row r="132632" s="12" customFormat="1" x14ac:dyDescent="0.25"/>
    <row r="132633" s="12" customFormat="1" x14ac:dyDescent="0.25"/>
    <row r="132634" s="12" customFormat="1" x14ac:dyDescent="0.25"/>
    <row r="132635" s="12" customFormat="1" x14ac:dyDescent="0.25"/>
    <row r="132636" s="12" customFormat="1" x14ac:dyDescent="0.25"/>
    <row r="132637" s="12" customFormat="1" x14ac:dyDescent="0.25"/>
    <row r="132638" s="12" customFormat="1" x14ac:dyDescent="0.25"/>
    <row r="132639" s="12" customFormat="1" x14ac:dyDescent="0.25"/>
    <row r="132640" s="12" customFormat="1" x14ac:dyDescent="0.25"/>
    <row r="132641" s="12" customFormat="1" x14ac:dyDescent="0.25"/>
    <row r="132642" s="12" customFormat="1" x14ac:dyDescent="0.25"/>
    <row r="132643" s="12" customFormat="1" x14ac:dyDescent="0.25"/>
    <row r="132644" s="12" customFormat="1" x14ac:dyDescent="0.25"/>
    <row r="132645" s="12" customFormat="1" x14ac:dyDescent="0.25"/>
    <row r="132646" s="12" customFormat="1" x14ac:dyDescent="0.25"/>
    <row r="132647" s="12" customFormat="1" x14ac:dyDescent="0.25"/>
    <row r="132648" s="12" customFormat="1" x14ac:dyDescent="0.25"/>
    <row r="132649" s="12" customFormat="1" x14ac:dyDescent="0.25"/>
    <row r="132650" s="12" customFormat="1" x14ac:dyDescent="0.25"/>
    <row r="132651" s="12" customFormat="1" x14ac:dyDescent="0.25"/>
    <row r="132652" s="12" customFormat="1" x14ac:dyDescent="0.25"/>
    <row r="132653" s="12" customFormat="1" x14ac:dyDescent="0.25"/>
    <row r="132654" s="12" customFormat="1" x14ac:dyDescent="0.25"/>
    <row r="132655" s="12" customFormat="1" x14ac:dyDescent="0.25"/>
    <row r="132656" s="12" customFormat="1" x14ac:dyDescent="0.25"/>
    <row r="132657" s="12" customFormat="1" x14ac:dyDescent="0.25"/>
    <row r="132658" s="12" customFormat="1" x14ac:dyDescent="0.25"/>
    <row r="132659" s="12" customFormat="1" x14ac:dyDescent="0.25"/>
    <row r="132660" s="12" customFormat="1" x14ac:dyDescent="0.25"/>
    <row r="132661" s="12" customFormat="1" x14ac:dyDescent="0.25"/>
    <row r="132662" s="12" customFormat="1" x14ac:dyDescent="0.25"/>
    <row r="132663" s="12" customFormat="1" x14ac:dyDescent="0.25"/>
    <row r="132664" s="12" customFormat="1" x14ac:dyDescent="0.25"/>
    <row r="132665" s="12" customFormat="1" x14ac:dyDescent="0.25"/>
    <row r="132666" s="12" customFormat="1" x14ac:dyDescent="0.25"/>
    <row r="132667" s="12" customFormat="1" x14ac:dyDescent="0.25"/>
    <row r="132668" s="12" customFormat="1" x14ac:dyDescent="0.25"/>
    <row r="132669" s="12" customFormat="1" x14ac:dyDescent="0.25"/>
    <row r="132670" s="12" customFormat="1" x14ac:dyDescent="0.25"/>
    <row r="132671" s="12" customFormat="1" x14ac:dyDescent="0.25"/>
    <row r="132672" s="12" customFormat="1" x14ac:dyDescent="0.25"/>
    <row r="132673" s="12" customFormat="1" x14ac:dyDescent="0.25"/>
    <row r="132674" s="12" customFormat="1" x14ac:dyDescent="0.25"/>
    <row r="132675" s="12" customFormat="1" x14ac:dyDescent="0.25"/>
    <row r="132676" s="12" customFormat="1" x14ac:dyDescent="0.25"/>
    <row r="132677" s="12" customFormat="1" x14ac:dyDescent="0.25"/>
    <row r="132678" s="12" customFormat="1" x14ac:dyDescent="0.25"/>
    <row r="132679" s="12" customFormat="1" x14ac:dyDescent="0.25"/>
    <row r="132680" s="12" customFormat="1" x14ac:dyDescent="0.25"/>
    <row r="132681" s="12" customFormat="1" x14ac:dyDescent="0.25"/>
    <row r="132682" s="12" customFormat="1" x14ac:dyDescent="0.25"/>
    <row r="132683" s="12" customFormat="1" x14ac:dyDescent="0.25"/>
    <row r="132684" s="12" customFormat="1" x14ac:dyDescent="0.25"/>
    <row r="132685" s="12" customFormat="1" x14ac:dyDescent="0.25"/>
    <row r="132686" s="12" customFormat="1" x14ac:dyDescent="0.25"/>
    <row r="132687" s="12" customFormat="1" x14ac:dyDescent="0.25"/>
    <row r="132688" s="12" customFormat="1" x14ac:dyDescent="0.25"/>
    <row r="132689" s="12" customFormat="1" x14ac:dyDescent="0.25"/>
    <row r="132690" s="12" customFormat="1" x14ac:dyDescent="0.25"/>
    <row r="132691" s="12" customFormat="1" x14ac:dyDescent="0.25"/>
    <row r="132692" s="12" customFormat="1" x14ac:dyDescent="0.25"/>
    <row r="132693" s="12" customFormat="1" x14ac:dyDescent="0.25"/>
    <row r="132694" s="12" customFormat="1" x14ac:dyDescent="0.25"/>
    <row r="132695" s="12" customFormat="1" x14ac:dyDescent="0.25"/>
    <row r="132696" s="12" customFormat="1" x14ac:dyDescent="0.25"/>
    <row r="132697" s="12" customFormat="1" x14ac:dyDescent="0.25"/>
    <row r="132698" s="12" customFormat="1" x14ac:dyDescent="0.25"/>
    <row r="132699" s="12" customFormat="1" x14ac:dyDescent="0.25"/>
    <row r="132700" s="12" customFormat="1" x14ac:dyDescent="0.25"/>
    <row r="132701" s="12" customFormat="1" x14ac:dyDescent="0.25"/>
    <row r="132702" s="12" customFormat="1" x14ac:dyDescent="0.25"/>
    <row r="132703" s="12" customFormat="1" x14ac:dyDescent="0.25"/>
    <row r="132704" s="12" customFormat="1" x14ac:dyDescent="0.25"/>
    <row r="132705" s="12" customFormat="1" x14ac:dyDescent="0.25"/>
    <row r="132706" s="12" customFormat="1" x14ac:dyDescent="0.25"/>
    <row r="132707" s="12" customFormat="1" x14ac:dyDescent="0.25"/>
    <row r="132708" s="12" customFormat="1" x14ac:dyDescent="0.25"/>
    <row r="132709" s="12" customFormat="1" x14ac:dyDescent="0.25"/>
    <row r="132710" s="12" customFormat="1" x14ac:dyDescent="0.25"/>
    <row r="132711" s="12" customFormat="1" x14ac:dyDescent="0.25"/>
    <row r="132712" s="12" customFormat="1" x14ac:dyDescent="0.25"/>
    <row r="132713" s="12" customFormat="1" x14ac:dyDescent="0.25"/>
    <row r="132714" s="12" customFormat="1" x14ac:dyDescent="0.25"/>
    <row r="132715" s="12" customFormat="1" x14ac:dyDescent="0.25"/>
    <row r="132716" s="12" customFormat="1" x14ac:dyDescent="0.25"/>
    <row r="132717" s="12" customFormat="1" x14ac:dyDescent="0.25"/>
    <row r="132718" s="12" customFormat="1" x14ac:dyDescent="0.25"/>
    <row r="132719" s="12" customFormat="1" x14ac:dyDescent="0.25"/>
    <row r="132720" s="12" customFormat="1" x14ac:dyDescent="0.25"/>
    <row r="132721" s="12" customFormat="1" x14ac:dyDescent="0.25"/>
    <row r="132722" s="12" customFormat="1" x14ac:dyDescent="0.25"/>
    <row r="132723" s="12" customFormat="1" x14ac:dyDescent="0.25"/>
    <row r="132724" s="12" customFormat="1" x14ac:dyDescent="0.25"/>
    <row r="132725" s="12" customFormat="1" x14ac:dyDescent="0.25"/>
    <row r="132726" s="12" customFormat="1" x14ac:dyDescent="0.25"/>
    <row r="132727" s="12" customFormat="1" x14ac:dyDescent="0.25"/>
    <row r="132728" s="12" customFormat="1" x14ac:dyDescent="0.25"/>
    <row r="132729" s="12" customFormat="1" x14ac:dyDescent="0.25"/>
    <row r="132730" s="12" customFormat="1" x14ac:dyDescent="0.25"/>
    <row r="132731" s="12" customFormat="1" x14ac:dyDescent="0.25"/>
    <row r="132732" s="12" customFormat="1" x14ac:dyDescent="0.25"/>
    <row r="132733" s="12" customFormat="1" x14ac:dyDescent="0.25"/>
    <row r="132734" s="12" customFormat="1" x14ac:dyDescent="0.25"/>
    <row r="132735" s="12" customFormat="1" x14ac:dyDescent="0.25"/>
    <row r="132736" s="12" customFormat="1" x14ac:dyDescent="0.25"/>
    <row r="132737" s="12" customFormat="1" x14ac:dyDescent="0.25"/>
    <row r="132738" s="12" customFormat="1" x14ac:dyDescent="0.25"/>
    <row r="132739" s="12" customFormat="1" x14ac:dyDescent="0.25"/>
    <row r="132740" s="12" customFormat="1" x14ac:dyDescent="0.25"/>
    <row r="132741" s="12" customFormat="1" x14ac:dyDescent="0.25"/>
    <row r="132742" s="12" customFormat="1" x14ac:dyDescent="0.25"/>
    <row r="132743" s="12" customFormat="1" x14ac:dyDescent="0.25"/>
    <row r="132744" s="12" customFormat="1" x14ac:dyDescent="0.25"/>
    <row r="132745" s="12" customFormat="1" x14ac:dyDescent="0.25"/>
    <row r="132746" s="12" customFormat="1" x14ac:dyDescent="0.25"/>
    <row r="132747" s="12" customFormat="1" x14ac:dyDescent="0.25"/>
    <row r="132748" s="12" customFormat="1" x14ac:dyDescent="0.25"/>
    <row r="132749" s="12" customFormat="1" x14ac:dyDescent="0.25"/>
    <row r="132750" s="12" customFormat="1" x14ac:dyDescent="0.25"/>
    <row r="132751" s="12" customFormat="1" x14ac:dyDescent="0.25"/>
    <row r="132752" s="12" customFormat="1" x14ac:dyDescent="0.25"/>
    <row r="132753" s="12" customFormat="1" x14ac:dyDescent="0.25"/>
    <row r="132754" s="12" customFormat="1" x14ac:dyDescent="0.25"/>
    <row r="132755" s="12" customFormat="1" x14ac:dyDescent="0.25"/>
    <row r="132756" s="12" customFormat="1" x14ac:dyDescent="0.25"/>
    <row r="132757" s="12" customFormat="1" x14ac:dyDescent="0.25"/>
    <row r="132758" s="12" customFormat="1" x14ac:dyDescent="0.25"/>
    <row r="132759" s="12" customFormat="1" x14ac:dyDescent="0.25"/>
    <row r="132760" s="12" customFormat="1" x14ac:dyDescent="0.25"/>
    <row r="132761" s="12" customFormat="1" x14ac:dyDescent="0.25"/>
    <row r="132762" s="12" customFormat="1" x14ac:dyDescent="0.25"/>
    <row r="132763" s="12" customFormat="1" x14ac:dyDescent="0.25"/>
    <row r="132764" s="12" customFormat="1" x14ac:dyDescent="0.25"/>
    <row r="132765" s="12" customFormat="1" x14ac:dyDescent="0.25"/>
    <row r="132766" s="12" customFormat="1" x14ac:dyDescent="0.25"/>
    <row r="132767" s="12" customFormat="1" x14ac:dyDescent="0.25"/>
    <row r="132768" s="12" customFormat="1" x14ac:dyDescent="0.25"/>
    <row r="132769" s="12" customFormat="1" x14ac:dyDescent="0.25"/>
    <row r="132770" s="12" customFormat="1" x14ac:dyDescent="0.25"/>
    <row r="132771" s="12" customFormat="1" x14ac:dyDescent="0.25"/>
    <row r="132772" s="12" customFormat="1" x14ac:dyDescent="0.25"/>
    <row r="132773" s="12" customFormat="1" x14ac:dyDescent="0.25"/>
    <row r="132774" s="12" customFormat="1" x14ac:dyDescent="0.25"/>
    <row r="132775" s="12" customFormat="1" x14ac:dyDescent="0.25"/>
    <row r="132776" s="12" customFormat="1" x14ac:dyDescent="0.25"/>
    <row r="132777" s="12" customFormat="1" x14ac:dyDescent="0.25"/>
    <row r="132778" s="12" customFormat="1" x14ac:dyDescent="0.25"/>
    <row r="132779" s="12" customFormat="1" x14ac:dyDescent="0.25"/>
    <row r="132780" s="12" customFormat="1" x14ac:dyDescent="0.25"/>
    <row r="132781" s="12" customFormat="1" x14ac:dyDescent="0.25"/>
    <row r="132782" s="12" customFormat="1" x14ac:dyDescent="0.25"/>
    <row r="132783" s="12" customFormat="1" x14ac:dyDescent="0.25"/>
    <row r="132784" s="12" customFormat="1" x14ac:dyDescent="0.25"/>
    <row r="132785" s="12" customFormat="1" x14ac:dyDescent="0.25"/>
    <row r="132786" s="12" customFormat="1" x14ac:dyDescent="0.25"/>
    <row r="132787" s="12" customFormat="1" x14ac:dyDescent="0.25"/>
    <row r="132788" s="12" customFormat="1" x14ac:dyDescent="0.25"/>
    <row r="132789" s="12" customFormat="1" x14ac:dyDescent="0.25"/>
    <row r="132790" s="12" customFormat="1" x14ac:dyDescent="0.25"/>
    <row r="132791" s="12" customFormat="1" x14ac:dyDescent="0.25"/>
    <row r="132792" s="12" customFormat="1" x14ac:dyDescent="0.25"/>
    <row r="132793" s="12" customFormat="1" x14ac:dyDescent="0.25"/>
    <row r="132794" s="12" customFormat="1" x14ac:dyDescent="0.25"/>
    <row r="132795" s="12" customFormat="1" x14ac:dyDescent="0.25"/>
    <row r="132796" s="12" customFormat="1" x14ac:dyDescent="0.25"/>
    <row r="132797" s="12" customFormat="1" x14ac:dyDescent="0.25"/>
    <row r="132798" s="12" customFormat="1" x14ac:dyDescent="0.25"/>
    <row r="132799" s="12" customFormat="1" x14ac:dyDescent="0.25"/>
    <row r="132800" s="12" customFormat="1" x14ac:dyDescent="0.25"/>
    <row r="132801" s="12" customFormat="1" x14ac:dyDescent="0.25"/>
    <row r="132802" s="12" customFormat="1" x14ac:dyDescent="0.25"/>
    <row r="132803" s="12" customFormat="1" x14ac:dyDescent="0.25"/>
    <row r="132804" s="12" customFormat="1" x14ac:dyDescent="0.25"/>
    <row r="132805" s="12" customFormat="1" x14ac:dyDescent="0.25"/>
    <row r="132806" s="12" customFormat="1" x14ac:dyDescent="0.25"/>
    <row r="132807" s="12" customFormat="1" x14ac:dyDescent="0.25"/>
    <row r="132808" s="12" customFormat="1" x14ac:dyDescent="0.25"/>
    <row r="132809" s="12" customFormat="1" x14ac:dyDescent="0.25"/>
    <row r="132810" s="12" customFormat="1" x14ac:dyDescent="0.25"/>
    <row r="132811" s="12" customFormat="1" x14ac:dyDescent="0.25"/>
    <row r="132812" s="12" customFormat="1" x14ac:dyDescent="0.25"/>
    <row r="132813" s="12" customFormat="1" x14ac:dyDescent="0.25"/>
    <row r="132814" s="12" customFormat="1" x14ac:dyDescent="0.25"/>
    <row r="132815" s="12" customFormat="1" x14ac:dyDescent="0.25"/>
    <row r="132816" s="12" customFormat="1" x14ac:dyDescent="0.25"/>
    <row r="132817" s="12" customFormat="1" x14ac:dyDescent="0.25"/>
    <row r="132818" s="12" customFormat="1" x14ac:dyDescent="0.25"/>
    <row r="132819" s="12" customFormat="1" x14ac:dyDescent="0.25"/>
    <row r="132820" s="12" customFormat="1" x14ac:dyDescent="0.25"/>
    <row r="132821" s="12" customFormat="1" x14ac:dyDescent="0.25"/>
    <row r="132822" s="12" customFormat="1" x14ac:dyDescent="0.25"/>
    <row r="132823" s="12" customFormat="1" x14ac:dyDescent="0.25"/>
    <row r="132824" s="12" customFormat="1" x14ac:dyDescent="0.25"/>
    <row r="132825" s="12" customFormat="1" x14ac:dyDescent="0.25"/>
    <row r="132826" s="12" customFormat="1" x14ac:dyDescent="0.25"/>
    <row r="132827" s="12" customFormat="1" x14ac:dyDescent="0.25"/>
    <row r="132828" s="12" customFormat="1" x14ac:dyDescent="0.25"/>
    <row r="132829" s="12" customFormat="1" x14ac:dyDescent="0.25"/>
    <row r="132830" s="12" customFormat="1" x14ac:dyDescent="0.25"/>
    <row r="132831" s="12" customFormat="1" x14ac:dyDescent="0.25"/>
    <row r="132832" s="12" customFormat="1" x14ac:dyDescent="0.25"/>
    <row r="132833" s="12" customFormat="1" x14ac:dyDescent="0.25"/>
    <row r="132834" s="12" customFormat="1" x14ac:dyDescent="0.25"/>
    <row r="132835" s="12" customFormat="1" x14ac:dyDescent="0.25"/>
    <row r="132836" s="12" customFormat="1" x14ac:dyDescent="0.25"/>
    <row r="132837" s="12" customFormat="1" x14ac:dyDescent="0.25"/>
    <row r="132838" s="12" customFormat="1" x14ac:dyDescent="0.25"/>
    <row r="132839" s="12" customFormat="1" x14ac:dyDescent="0.25"/>
    <row r="132840" s="12" customFormat="1" x14ac:dyDescent="0.25"/>
    <row r="132841" s="12" customFormat="1" x14ac:dyDescent="0.25"/>
    <row r="132842" s="12" customFormat="1" x14ac:dyDescent="0.25"/>
    <row r="132843" s="12" customFormat="1" x14ac:dyDescent="0.25"/>
    <row r="132844" s="12" customFormat="1" x14ac:dyDescent="0.25"/>
    <row r="132845" s="12" customFormat="1" x14ac:dyDescent="0.25"/>
    <row r="132846" s="12" customFormat="1" x14ac:dyDescent="0.25"/>
    <row r="132847" s="12" customFormat="1" x14ac:dyDescent="0.25"/>
    <row r="132848" s="12" customFormat="1" x14ac:dyDescent="0.25"/>
    <row r="132849" s="12" customFormat="1" x14ac:dyDescent="0.25"/>
    <row r="132850" s="12" customFormat="1" x14ac:dyDescent="0.25"/>
    <row r="132851" s="12" customFormat="1" x14ac:dyDescent="0.25"/>
    <row r="132852" s="12" customFormat="1" x14ac:dyDescent="0.25"/>
    <row r="132853" s="12" customFormat="1" x14ac:dyDescent="0.25"/>
    <row r="132854" s="12" customFormat="1" x14ac:dyDescent="0.25"/>
    <row r="132855" s="12" customFormat="1" x14ac:dyDescent="0.25"/>
    <row r="132856" s="12" customFormat="1" x14ac:dyDescent="0.25"/>
    <row r="132857" s="12" customFormat="1" x14ac:dyDescent="0.25"/>
    <row r="132858" s="12" customFormat="1" x14ac:dyDescent="0.25"/>
    <row r="132859" s="12" customFormat="1" x14ac:dyDescent="0.25"/>
    <row r="132860" s="12" customFormat="1" x14ac:dyDescent="0.25"/>
    <row r="132861" s="12" customFormat="1" x14ac:dyDescent="0.25"/>
    <row r="132862" s="12" customFormat="1" x14ac:dyDescent="0.25"/>
    <row r="132863" s="12" customFormat="1" x14ac:dyDescent="0.25"/>
    <row r="132864" s="12" customFormat="1" x14ac:dyDescent="0.25"/>
    <row r="132865" s="12" customFormat="1" x14ac:dyDescent="0.25"/>
    <row r="132866" s="12" customFormat="1" x14ac:dyDescent="0.25"/>
    <row r="132867" s="12" customFormat="1" x14ac:dyDescent="0.25"/>
    <row r="132868" s="12" customFormat="1" x14ac:dyDescent="0.25"/>
    <row r="132869" s="12" customFormat="1" x14ac:dyDescent="0.25"/>
    <row r="132870" s="12" customFormat="1" x14ac:dyDescent="0.25"/>
    <row r="132871" s="12" customFormat="1" x14ac:dyDescent="0.25"/>
    <row r="132872" s="12" customFormat="1" x14ac:dyDescent="0.25"/>
    <row r="132873" s="12" customFormat="1" x14ac:dyDescent="0.25"/>
    <row r="132874" s="12" customFormat="1" x14ac:dyDescent="0.25"/>
    <row r="132875" s="12" customFormat="1" x14ac:dyDescent="0.25"/>
    <row r="132876" s="12" customFormat="1" x14ac:dyDescent="0.25"/>
    <row r="132877" s="12" customFormat="1" x14ac:dyDescent="0.25"/>
    <row r="132878" s="12" customFormat="1" x14ac:dyDescent="0.25"/>
    <row r="132879" s="12" customFormat="1" x14ac:dyDescent="0.25"/>
    <row r="132880" s="12" customFormat="1" x14ac:dyDescent="0.25"/>
    <row r="132881" s="12" customFormat="1" x14ac:dyDescent="0.25"/>
    <row r="132882" s="12" customFormat="1" x14ac:dyDescent="0.25"/>
    <row r="132883" s="12" customFormat="1" x14ac:dyDescent="0.25"/>
    <row r="132884" s="12" customFormat="1" x14ac:dyDescent="0.25"/>
    <row r="132885" s="12" customFormat="1" x14ac:dyDescent="0.25"/>
    <row r="132886" s="12" customFormat="1" x14ac:dyDescent="0.25"/>
    <row r="132887" s="12" customFormat="1" x14ac:dyDescent="0.25"/>
    <row r="132888" s="12" customFormat="1" x14ac:dyDescent="0.25"/>
    <row r="132889" s="12" customFormat="1" x14ac:dyDescent="0.25"/>
    <row r="132890" s="12" customFormat="1" x14ac:dyDescent="0.25"/>
    <row r="132891" s="12" customFormat="1" x14ac:dyDescent="0.25"/>
    <row r="132892" s="12" customFormat="1" x14ac:dyDescent="0.25"/>
    <row r="132893" s="12" customFormat="1" x14ac:dyDescent="0.25"/>
    <row r="132894" s="12" customFormat="1" x14ac:dyDescent="0.25"/>
    <row r="132895" s="12" customFormat="1" x14ac:dyDescent="0.25"/>
    <row r="132896" s="12" customFormat="1" x14ac:dyDescent="0.25"/>
    <row r="132897" s="12" customFormat="1" x14ac:dyDescent="0.25"/>
    <row r="132898" s="12" customFormat="1" x14ac:dyDescent="0.25"/>
    <row r="132899" s="12" customFormat="1" x14ac:dyDescent="0.25"/>
    <row r="132900" s="12" customFormat="1" x14ac:dyDescent="0.25"/>
    <row r="132901" s="12" customFormat="1" x14ac:dyDescent="0.25"/>
    <row r="132902" s="12" customFormat="1" x14ac:dyDescent="0.25"/>
    <row r="132903" s="12" customFormat="1" x14ac:dyDescent="0.25"/>
    <row r="132904" s="12" customFormat="1" x14ac:dyDescent="0.25"/>
    <row r="132905" s="12" customFormat="1" x14ac:dyDescent="0.25"/>
    <row r="132906" s="12" customFormat="1" x14ac:dyDescent="0.25"/>
    <row r="132907" s="12" customFormat="1" x14ac:dyDescent="0.25"/>
    <row r="132908" s="12" customFormat="1" x14ac:dyDescent="0.25"/>
    <row r="132909" s="12" customFormat="1" x14ac:dyDescent="0.25"/>
    <row r="132910" s="12" customFormat="1" x14ac:dyDescent="0.25"/>
    <row r="132911" s="12" customFormat="1" x14ac:dyDescent="0.25"/>
    <row r="132912" s="12" customFormat="1" x14ac:dyDescent="0.25"/>
    <row r="132913" s="12" customFormat="1" x14ac:dyDescent="0.25"/>
    <row r="132914" s="12" customFormat="1" x14ac:dyDescent="0.25"/>
    <row r="132915" s="12" customFormat="1" x14ac:dyDescent="0.25"/>
    <row r="132916" s="12" customFormat="1" x14ac:dyDescent="0.25"/>
    <row r="132917" s="12" customFormat="1" x14ac:dyDescent="0.25"/>
    <row r="132918" s="12" customFormat="1" x14ac:dyDescent="0.25"/>
    <row r="132919" s="12" customFormat="1" x14ac:dyDescent="0.25"/>
    <row r="132920" s="12" customFormat="1" x14ac:dyDescent="0.25"/>
    <row r="132921" s="12" customFormat="1" x14ac:dyDescent="0.25"/>
    <row r="132922" s="12" customFormat="1" x14ac:dyDescent="0.25"/>
    <row r="132923" s="12" customFormat="1" x14ac:dyDescent="0.25"/>
    <row r="132924" s="12" customFormat="1" x14ac:dyDescent="0.25"/>
    <row r="132925" s="12" customFormat="1" x14ac:dyDescent="0.25"/>
    <row r="132926" s="12" customFormat="1" x14ac:dyDescent="0.25"/>
    <row r="132927" s="12" customFormat="1" x14ac:dyDescent="0.25"/>
    <row r="132928" s="12" customFormat="1" x14ac:dyDescent="0.25"/>
    <row r="132929" s="12" customFormat="1" x14ac:dyDescent="0.25"/>
    <row r="132930" s="12" customFormat="1" x14ac:dyDescent="0.25"/>
    <row r="132931" s="12" customFormat="1" x14ac:dyDescent="0.25"/>
    <row r="132932" s="12" customFormat="1" x14ac:dyDescent="0.25"/>
    <row r="132933" s="12" customFormat="1" x14ac:dyDescent="0.25"/>
    <row r="132934" s="12" customFormat="1" x14ac:dyDescent="0.25"/>
    <row r="132935" s="12" customFormat="1" x14ac:dyDescent="0.25"/>
    <row r="132936" s="12" customFormat="1" x14ac:dyDescent="0.25"/>
    <row r="132937" s="12" customFormat="1" x14ac:dyDescent="0.25"/>
    <row r="132938" s="12" customFormat="1" x14ac:dyDescent="0.25"/>
    <row r="132939" s="12" customFormat="1" x14ac:dyDescent="0.25"/>
    <row r="132940" s="12" customFormat="1" x14ac:dyDescent="0.25"/>
    <row r="132941" s="12" customFormat="1" x14ac:dyDescent="0.25"/>
    <row r="132942" s="12" customFormat="1" x14ac:dyDescent="0.25"/>
    <row r="132943" s="12" customFormat="1" x14ac:dyDescent="0.25"/>
    <row r="132944" s="12" customFormat="1" x14ac:dyDescent="0.25"/>
    <row r="132945" s="12" customFormat="1" x14ac:dyDescent="0.25"/>
    <row r="132946" s="12" customFormat="1" x14ac:dyDescent="0.25"/>
    <row r="132947" s="12" customFormat="1" x14ac:dyDescent="0.25"/>
    <row r="132948" s="12" customFormat="1" x14ac:dyDescent="0.25"/>
    <row r="132949" s="12" customFormat="1" x14ac:dyDescent="0.25"/>
    <row r="132950" s="12" customFormat="1" x14ac:dyDescent="0.25"/>
    <row r="132951" s="12" customFormat="1" x14ac:dyDescent="0.25"/>
    <row r="132952" s="12" customFormat="1" x14ac:dyDescent="0.25"/>
    <row r="132953" s="12" customFormat="1" x14ac:dyDescent="0.25"/>
    <row r="132954" s="12" customFormat="1" x14ac:dyDescent="0.25"/>
    <row r="132955" s="12" customFormat="1" x14ac:dyDescent="0.25"/>
    <row r="132956" s="12" customFormat="1" x14ac:dyDescent="0.25"/>
    <row r="132957" s="12" customFormat="1" x14ac:dyDescent="0.25"/>
    <row r="132958" s="12" customFormat="1" x14ac:dyDescent="0.25"/>
    <row r="132959" s="12" customFormat="1" x14ac:dyDescent="0.25"/>
    <row r="132960" s="12" customFormat="1" x14ac:dyDescent="0.25"/>
    <row r="132961" s="12" customFormat="1" x14ac:dyDescent="0.25"/>
    <row r="132962" s="12" customFormat="1" x14ac:dyDescent="0.25"/>
    <row r="132963" s="12" customFormat="1" x14ac:dyDescent="0.25"/>
    <row r="132964" s="12" customFormat="1" x14ac:dyDescent="0.25"/>
    <row r="132965" s="12" customFormat="1" x14ac:dyDescent="0.25"/>
    <row r="132966" s="12" customFormat="1" x14ac:dyDescent="0.25"/>
    <row r="132967" s="12" customFormat="1" x14ac:dyDescent="0.25"/>
    <row r="132968" s="12" customFormat="1" x14ac:dyDescent="0.25"/>
    <row r="132969" s="12" customFormat="1" x14ac:dyDescent="0.25"/>
    <row r="132970" s="12" customFormat="1" x14ac:dyDescent="0.25"/>
    <row r="132971" s="12" customFormat="1" x14ac:dyDescent="0.25"/>
    <row r="132972" s="12" customFormat="1" x14ac:dyDescent="0.25"/>
    <row r="132973" s="12" customFormat="1" x14ac:dyDescent="0.25"/>
    <row r="132974" s="12" customFormat="1" x14ac:dyDescent="0.25"/>
    <row r="132975" s="12" customFormat="1" x14ac:dyDescent="0.25"/>
    <row r="132976" s="12" customFormat="1" x14ac:dyDescent="0.25"/>
    <row r="132977" s="12" customFormat="1" x14ac:dyDescent="0.25"/>
    <row r="132978" s="12" customFormat="1" x14ac:dyDescent="0.25"/>
    <row r="132979" s="12" customFormat="1" x14ac:dyDescent="0.25"/>
    <row r="132980" s="12" customFormat="1" x14ac:dyDescent="0.25"/>
    <row r="132981" s="12" customFormat="1" x14ac:dyDescent="0.25"/>
    <row r="132982" s="12" customFormat="1" x14ac:dyDescent="0.25"/>
    <row r="132983" s="12" customFormat="1" x14ac:dyDescent="0.25"/>
    <row r="132984" s="12" customFormat="1" x14ac:dyDescent="0.25"/>
    <row r="132985" s="12" customFormat="1" x14ac:dyDescent="0.25"/>
    <row r="132986" s="12" customFormat="1" x14ac:dyDescent="0.25"/>
    <row r="132987" s="12" customFormat="1" x14ac:dyDescent="0.25"/>
    <row r="132988" s="12" customFormat="1" x14ac:dyDescent="0.25"/>
    <row r="132989" s="12" customFormat="1" x14ac:dyDescent="0.25"/>
    <row r="132990" s="12" customFormat="1" x14ac:dyDescent="0.25"/>
    <row r="132991" s="12" customFormat="1" x14ac:dyDescent="0.25"/>
    <row r="132992" s="12" customFormat="1" x14ac:dyDescent="0.25"/>
    <row r="132993" s="12" customFormat="1" x14ac:dyDescent="0.25"/>
    <row r="132994" s="12" customFormat="1" x14ac:dyDescent="0.25"/>
    <row r="132995" s="12" customFormat="1" x14ac:dyDescent="0.25"/>
    <row r="132996" s="12" customFormat="1" x14ac:dyDescent="0.25"/>
    <row r="132997" s="12" customFormat="1" x14ac:dyDescent="0.25"/>
    <row r="132998" s="12" customFormat="1" x14ac:dyDescent="0.25"/>
    <row r="132999" s="12" customFormat="1" x14ac:dyDescent="0.25"/>
    <row r="133000" s="12" customFormat="1" x14ac:dyDescent="0.25"/>
    <row r="133001" s="12" customFormat="1" x14ac:dyDescent="0.25"/>
    <row r="133002" s="12" customFormat="1" x14ac:dyDescent="0.25"/>
    <row r="133003" s="12" customFormat="1" x14ac:dyDescent="0.25"/>
    <row r="133004" s="12" customFormat="1" x14ac:dyDescent="0.25"/>
    <row r="133005" s="12" customFormat="1" x14ac:dyDescent="0.25"/>
    <row r="133006" s="12" customFormat="1" x14ac:dyDescent="0.25"/>
    <row r="133007" s="12" customFormat="1" x14ac:dyDescent="0.25"/>
    <row r="133008" s="12" customFormat="1" x14ac:dyDescent="0.25"/>
    <row r="133009" s="12" customFormat="1" x14ac:dyDescent="0.25"/>
    <row r="133010" s="12" customFormat="1" x14ac:dyDescent="0.25"/>
    <row r="133011" s="12" customFormat="1" x14ac:dyDescent="0.25"/>
    <row r="133012" s="12" customFormat="1" x14ac:dyDescent="0.25"/>
    <row r="133013" s="12" customFormat="1" x14ac:dyDescent="0.25"/>
    <row r="133014" s="12" customFormat="1" x14ac:dyDescent="0.25"/>
    <row r="133015" s="12" customFormat="1" x14ac:dyDescent="0.25"/>
    <row r="133016" s="12" customFormat="1" x14ac:dyDescent="0.25"/>
    <row r="133017" s="12" customFormat="1" x14ac:dyDescent="0.25"/>
    <row r="133018" s="12" customFormat="1" x14ac:dyDescent="0.25"/>
    <row r="133019" s="12" customFormat="1" x14ac:dyDescent="0.25"/>
    <row r="133020" s="12" customFormat="1" x14ac:dyDescent="0.25"/>
    <row r="133021" s="12" customFormat="1" x14ac:dyDescent="0.25"/>
    <row r="133022" s="12" customFormat="1" x14ac:dyDescent="0.25"/>
    <row r="133023" s="12" customFormat="1" x14ac:dyDescent="0.25"/>
    <row r="133024" s="12" customFormat="1" x14ac:dyDescent="0.25"/>
    <row r="133025" s="12" customFormat="1" x14ac:dyDescent="0.25"/>
    <row r="133026" s="12" customFormat="1" x14ac:dyDescent="0.25"/>
    <row r="133027" s="12" customFormat="1" x14ac:dyDescent="0.25"/>
    <row r="133028" s="12" customFormat="1" x14ac:dyDescent="0.25"/>
    <row r="133029" s="12" customFormat="1" x14ac:dyDescent="0.25"/>
    <row r="133030" s="12" customFormat="1" x14ac:dyDescent="0.25"/>
    <row r="133031" s="12" customFormat="1" x14ac:dyDescent="0.25"/>
    <row r="133032" s="12" customFormat="1" x14ac:dyDescent="0.25"/>
    <row r="133033" s="12" customFormat="1" x14ac:dyDescent="0.25"/>
    <row r="133034" s="12" customFormat="1" x14ac:dyDescent="0.25"/>
    <row r="133035" s="12" customFormat="1" x14ac:dyDescent="0.25"/>
    <row r="133036" s="12" customFormat="1" x14ac:dyDescent="0.25"/>
    <row r="133037" s="12" customFormat="1" x14ac:dyDescent="0.25"/>
    <row r="133038" s="12" customFormat="1" x14ac:dyDescent="0.25"/>
    <row r="133039" s="12" customFormat="1" x14ac:dyDescent="0.25"/>
    <row r="133040" s="12" customFormat="1" x14ac:dyDescent="0.25"/>
    <row r="133041" s="12" customFormat="1" x14ac:dyDescent="0.25"/>
    <row r="133042" s="12" customFormat="1" x14ac:dyDescent="0.25"/>
    <row r="133043" s="12" customFormat="1" x14ac:dyDescent="0.25"/>
    <row r="133044" s="12" customFormat="1" x14ac:dyDescent="0.25"/>
    <row r="133045" s="12" customFormat="1" x14ac:dyDescent="0.25"/>
    <row r="133046" s="12" customFormat="1" x14ac:dyDescent="0.25"/>
    <row r="133047" s="12" customFormat="1" x14ac:dyDescent="0.25"/>
    <row r="133048" s="12" customFormat="1" x14ac:dyDescent="0.25"/>
    <row r="133049" s="12" customFormat="1" x14ac:dyDescent="0.25"/>
    <row r="133050" s="12" customFormat="1" x14ac:dyDescent="0.25"/>
    <row r="133051" s="12" customFormat="1" x14ac:dyDescent="0.25"/>
    <row r="133052" s="12" customFormat="1" x14ac:dyDescent="0.25"/>
    <row r="133053" s="12" customFormat="1" x14ac:dyDescent="0.25"/>
    <row r="133054" s="12" customFormat="1" x14ac:dyDescent="0.25"/>
    <row r="133055" s="12" customFormat="1" x14ac:dyDescent="0.25"/>
    <row r="133056" s="12" customFormat="1" x14ac:dyDescent="0.25"/>
    <row r="133057" s="12" customFormat="1" x14ac:dyDescent="0.25"/>
    <row r="133058" s="12" customFormat="1" x14ac:dyDescent="0.25"/>
    <row r="133059" s="12" customFormat="1" x14ac:dyDescent="0.25"/>
    <row r="133060" s="12" customFormat="1" x14ac:dyDescent="0.25"/>
    <row r="133061" s="12" customFormat="1" x14ac:dyDescent="0.25"/>
    <row r="133062" s="12" customFormat="1" x14ac:dyDescent="0.25"/>
    <row r="133063" s="12" customFormat="1" x14ac:dyDescent="0.25"/>
    <row r="133064" s="12" customFormat="1" x14ac:dyDescent="0.25"/>
    <row r="133065" s="12" customFormat="1" x14ac:dyDescent="0.25"/>
    <row r="133066" s="12" customFormat="1" x14ac:dyDescent="0.25"/>
    <row r="133067" s="12" customFormat="1" x14ac:dyDescent="0.25"/>
    <row r="133068" s="12" customFormat="1" x14ac:dyDescent="0.25"/>
    <row r="133069" s="12" customFormat="1" x14ac:dyDescent="0.25"/>
    <row r="133070" s="12" customFormat="1" x14ac:dyDescent="0.25"/>
    <row r="133071" s="12" customFormat="1" x14ac:dyDescent="0.25"/>
    <row r="133072" s="12" customFormat="1" x14ac:dyDescent="0.25"/>
    <row r="133073" s="12" customFormat="1" x14ac:dyDescent="0.25"/>
    <row r="133074" s="12" customFormat="1" x14ac:dyDescent="0.25"/>
    <row r="133075" s="12" customFormat="1" x14ac:dyDescent="0.25"/>
    <row r="133076" s="12" customFormat="1" x14ac:dyDescent="0.25"/>
    <row r="133077" s="12" customFormat="1" x14ac:dyDescent="0.25"/>
    <row r="133078" s="12" customFormat="1" x14ac:dyDescent="0.25"/>
    <row r="133079" s="12" customFormat="1" x14ac:dyDescent="0.25"/>
    <row r="133080" s="12" customFormat="1" x14ac:dyDescent="0.25"/>
    <row r="133081" s="12" customFormat="1" x14ac:dyDescent="0.25"/>
    <row r="133082" s="12" customFormat="1" x14ac:dyDescent="0.25"/>
    <row r="133083" s="12" customFormat="1" x14ac:dyDescent="0.25"/>
    <row r="133084" s="12" customFormat="1" x14ac:dyDescent="0.25"/>
    <row r="133085" s="12" customFormat="1" x14ac:dyDescent="0.25"/>
    <row r="133086" s="12" customFormat="1" x14ac:dyDescent="0.25"/>
    <row r="133087" s="12" customFormat="1" x14ac:dyDescent="0.25"/>
    <row r="133088" s="12" customFormat="1" x14ac:dyDescent="0.25"/>
    <row r="133089" s="12" customFormat="1" x14ac:dyDescent="0.25"/>
    <row r="133090" s="12" customFormat="1" x14ac:dyDescent="0.25"/>
    <row r="133091" s="12" customFormat="1" x14ac:dyDescent="0.25"/>
    <row r="133092" s="12" customFormat="1" x14ac:dyDescent="0.25"/>
    <row r="133093" s="12" customFormat="1" x14ac:dyDescent="0.25"/>
    <row r="133094" s="12" customFormat="1" x14ac:dyDescent="0.25"/>
    <row r="133095" s="12" customFormat="1" x14ac:dyDescent="0.25"/>
    <row r="133096" s="12" customFormat="1" x14ac:dyDescent="0.25"/>
    <row r="133097" s="12" customFormat="1" x14ac:dyDescent="0.25"/>
    <row r="133098" s="12" customFormat="1" x14ac:dyDescent="0.25"/>
    <row r="133099" s="12" customFormat="1" x14ac:dyDescent="0.25"/>
    <row r="133100" s="12" customFormat="1" x14ac:dyDescent="0.25"/>
    <row r="133101" s="12" customFormat="1" x14ac:dyDescent="0.25"/>
    <row r="133102" s="12" customFormat="1" x14ac:dyDescent="0.25"/>
    <row r="133103" s="12" customFormat="1" x14ac:dyDescent="0.25"/>
    <row r="133104" s="12" customFormat="1" x14ac:dyDescent="0.25"/>
    <row r="133105" s="12" customFormat="1" x14ac:dyDescent="0.25"/>
    <row r="133106" s="12" customFormat="1" x14ac:dyDescent="0.25"/>
    <row r="133107" s="12" customFormat="1" x14ac:dyDescent="0.25"/>
    <row r="133108" s="12" customFormat="1" x14ac:dyDescent="0.25"/>
    <row r="133109" s="12" customFormat="1" x14ac:dyDescent="0.25"/>
    <row r="133110" s="12" customFormat="1" x14ac:dyDescent="0.25"/>
    <row r="133111" s="12" customFormat="1" x14ac:dyDescent="0.25"/>
    <row r="133112" s="12" customFormat="1" x14ac:dyDescent="0.25"/>
    <row r="133113" s="12" customFormat="1" x14ac:dyDescent="0.25"/>
    <row r="133114" s="12" customFormat="1" x14ac:dyDescent="0.25"/>
    <row r="133115" s="12" customFormat="1" x14ac:dyDescent="0.25"/>
    <row r="133116" s="12" customFormat="1" x14ac:dyDescent="0.25"/>
    <row r="133117" s="12" customFormat="1" x14ac:dyDescent="0.25"/>
    <row r="133118" s="12" customFormat="1" x14ac:dyDescent="0.25"/>
    <row r="133119" s="12" customFormat="1" x14ac:dyDescent="0.25"/>
    <row r="133120" s="12" customFormat="1" x14ac:dyDescent="0.25"/>
    <row r="133121" s="12" customFormat="1" x14ac:dyDescent="0.25"/>
    <row r="133122" s="12" customFormat="1" x14ac:dyDescent="0.25"/>
    <row r="133123" s="12" customFormat="1" x14ac:dyDescent="0.25"/>
    <row r="133124" s="12" customFormat="1" x14ac:dyDescent="0.25"/>
    <row r="133125" s="12" customFormat="1" x14ac:dyDescent="0.25"/>
    <row r="133126" s="12" customFormat="1" x14ac:dyDescent="0.25"/>
    <row r="133127" s="12" customFormat="1" x14ac:dyDescent="0.25"/>
    <row r="133128" s="12" customFormat="1" x14ac:dyDescent="0.25"/>
    <row r="133129" s="12" customFormat="1" x14ac:dyDescent="0.25"/>
    <row r="133130" s="12" customFormat="1" x14ac:dyDescent="0.25"/>
    <row r="133131" s="12" customFormat="1" x14ac:dyDescent="0.25"/>
    <row r="133132" s="12" customFormat="1" x14ac:dyDescent="0.25"/>
    <row r="133133" s="12" customFormat="1" x14ac:dyDescent="0.25"/>
    <row r="133134" s="12" customFormat="1" x14ac:dyDescent="0.25"/>
    <row r="133135" s="12" customFormat="1" x14ac:dyDescent="0.25"/>
    <row r="133136" s="12" customFormat="1" x14ac:dyDescent="0.25"/>
    <row r="133137" s="12" customFormat="1" x14ac:dyDescent="0.25"/>
    <row r="133138" s="12" customFormat="1" x14ac:dyDescent="0.25"/>
    <row r="133139" s="12" customFormat="1" x14ac:dyDescent="0.25"/>
    <row r="133140" s="12" customFormat="1" x14ac:dyDescent="0.25"/>
    <row r="133141" s="12" customFormat="1" x14ac:dyDescent="0.25"/>
    <row r="133142" s="12" customFormat="1" x14ac:dyDescent="0.25"/>
    <row r="133143" s="12" customFormat="1" x14ac:dyDescent="0.25"/>
    <row r="133144" s="12" customFormat="1" x14ac:dyDescent="0.25"/>
    <row r="133145" s="12" customFormat="1" x14ac:dyDescent="0.25"/>
    <row r="133146" s="12" customFormat="1" x14ac:dyDescent="0.25"/>
    <row r="133147" s="12" customFormat="1" x14ac:dyDescent="0.25"/>
    <row r="133148" s="12" customFormat="1" x14ac:dyDescent="0.25"/>
    <row r="133149" s="12" customFormat="1" x14ac:dyDescent="0.25"/>
    <row r="133150" s="12" customFormat="1" x14ac:dyDescent="0.25"/>
    <row r="133151" s="12" customFormat="1" x14ac:dyDescent="0.25"/>
    <row r="133152" s="12" customFormat="1" x14ac:dyDescent="0.25"/>
    <row r="133153" s="12" customFormat="1" x14ac:dyDescent="0.25"/>
    <row r="133154" s="12" customFormat="1" x14ac:dyDescent="0.25"/>
    <row r="133155" s="12" customFormat="1" x14ac:dyDescent="0.25"/>
    <row r="133156" s="12" customFormat="1" x14ac:dyDescent="0.25"/>
    <row r="133157" s="12" customFormat="1" x14ac:dyDescent="0.25"/>
    <row r="133158" s="12" customFormat="1" x14ac:dyDescent="0.25"/>
    <row r="133159" s="12" customFormat="1" x14ac:dyDescent="0.25"/>
    <row r="133160" s="12" customFormat="1" x14ac:dyDescent="0.25"/>
    <row r="133161" s="12" customFormat="1" x14ac:dyDescent="0.25"/>
    <row r="133162" s="12" customFormat="1" x14ac:dyDescent="0.25"/>
    <row r="133163" s="12" customFormat="1" x14ac:dyDescent="0.25"/>
    <row r="133164" s="12" customFormat="1" x14ac:dyDescent="0.25"/>
    <row r="133165" s="12" customFormat="1" x14ac:dyDescent="0.25"/>
    <row r="133166" s="12" customFormat="1" x14ac:dyDescent="0.25"/>
    <row r="133167" s="12" customFormat="1" x14ac:dyDescent="0.25"/>
    <row r="133168" s="12" customFormat="1" x14ac:dyDescent="0.25"/>
    <row r="133169" s="12" customFormat="1" x14ac:dyDescent="0.25"/>
    <row r="133170" s="12" customFormat="1" x14ac:dyDescent="0.25"/>
    <row r="133171" s="12" customFormat="1" x14ac:dyDescent="0.25"/>
    <row r="133172" s="12" customFormat="1" x14ac:dyDescent="0.25"/>
    <row r="133173" s="12" customFormat="1" x14ac:dyDescent="0.25"/>
    <row r="133174" s="12" customFormat="1" x14ac:dyDescent="0.25"/>
    <row r="133175" s="12" customFormat="1" x14ac:dyDescent="0.25"/>
    <row r="133176" s="12" customFormat="1" x14ac:dyDescent="0.25"/>
    <row r="133177" s="12" customFormat="1" x14ac:dyDescent="0.25"/>
    <row r="133178" s="12" customFormat="1" x14ac:dyDescent="0.25"/>
    <row r="133179" s="12" customFormat="1" x14ac:dyDescent="0.25"/>
    <row r="133180" s="12" customFormat="1" x14ac:dyDescent="0.25"/>
    <row r="133181" s="12" customFormat="1" x14ac:dyDescent="0.25"/>
    <row r="133182" s="12" customFormat="1" x14ac:dyDescent="0.25"/>
    <row r="133183" s="12" customFormat="1" x14ac:dyDescent="0.25"/>
    <row r="133184" s="12" customFormat="1" x14ac:dyDescent="0.25"/>
    <row r="133185" s="12" customFormat="1" x14ac:dyDescent="0.25"/>
    <row r="133186" s="12" customFormat="1" x14ac:dyDescent="0.25"/>
    <row r="133187" s="12" customFormat="1" x14ac:dyDescent="0.25"/>
    <row r="133188" s="12" customFormat="1" x14ac:dyDescent="0.25"/>
    <row r="133189" s="12" customFormat="1" x14ac:dyDescent="0.25"/>
    <row r="133190" s="12" customFormat="1" x14ac:dyDescent="0.25"/>
    <row r="133191" s="12" customFormat="1" x14ac:dyDescent="0.25"/>
    <row r="133192" s="12" customFormat="1" x14ac:dyDescent="0.25"/>
    <row r="133193" s="12" customFormat="1" x14ac:dyDescent="0.25"/>
    <row r="133194" s="12" customFormat="1" x14ac:dyDescent="0.25"/>
    <row r="133195" s="12" customFormat="1" x14ac:dyDescent="0.25"/>
    <row r="133196" s="12" customFormat="1" x14ac:dyDescent="0.25"/>
    <row r="133197" s="12" customFormat="1" x14ac:dyDescent="0.25"/>
    <row r="133198" s="12" customFormat="1" x14ac:dyDescent="0.25"/>
    <row r="133199" s="12" customFormat="1" x14ac:dyDescent="0.25"/>
    <row r="133200" s="12" customFormat="1" x14ac:dyDescent="0.25"/>
    <row r="133201" s="12" customFormat="1" x14ac:dyDescent="0.25"/>
    <row r="133202" s="12" customFormat="1" x14ac:dyDescent="0.25"/>
    <row r="133203" s="12" customFormat="1" x14ac:dyDescent="0.25"/>
    <row r="133204" s="12" customFormat="1" x14ac:dyDescent="0.25"/>
    <row r="133205" s="12" customFormat="1" x14ac:dyDescent="0.25"/>
    <row r="133206" s="12" customFormat="1" x14ac:dyDescent="0.25"/>
    <row r="133207" s="12" customFormat="1" x14ac:dyDescent="0.25"/>
    <row r="133208" s="12" customFormat="1" x14ac:dyDescent="0.25"/>
    <row r="133209" s="12" customFormat="1" x14ac:dyDescent="0.25"/>
    <row r="133210" s="12" customFormat="1" x14ac:dyDescent="0.25"/>
    <row r="133211" s="12" customFormat="1" x14ac:dyDescent="0.25"/>
    <row r="133212" s="12" customFormat="1" x14ac:dyDescent="0.25"/>
    <row r="133213" s="12" customFormat="1" x14ac:dyDescent="0.25"/>
    <row r="133214" s="12" customFormat="1" x14ac:dyDescent="0.25"/>
    <row r="133215" s="12" customFormat="1" x14ac:dyDescent="0.25"/>
    <row r="133216" s="12" customFormat="1" x14ac:dyDescent="0.25"/>
    <row r="133217" s="12" customFormat="1" x14ac:dyDescent="0.25"/>
    <row r="133218" s="12" customFormat="1" x14ac:dyDescent="0.25"/>
    <row r="133219" s="12" customFormat="1" x14ac:dyDescent="0.25"/>
    <row r="133220" s="12" customFormat="1" x14ac:dyDescent="0.25"/>
    <row r="133221" s="12" customFormat="1" x14ac:dyDescent="0.25"/>
    <row r="133222" s="12" customFormat="1" x14ac:dyDescent="0.25"/>
    <row r="133223" s="12" customFormat="1" x14ac:dyDescent="0.25"/>
    <row r="133224" s="12" customFormat="1" x14ac:dyDescent="0.25"/>
    <row r="133225" s="12" customFormat="1" x14ac:dyDescent="0.25"/>
    <row r="133226" s="12" customFormat="1" x14ac:dyDescent="0.25"/>
    <row r="133227" s="12" customFormat="1" x14ac:dyDescent="0.25"/>
    <row r="133228" s="12" customFormat="1" x14ac:dyDescent="0.25"/>
    <row r="133229" s="12" customFormat="1" x14ac:dyDescent="0.25"/>
    <row r="133230" s="12" customFormat="1" x14ac:dyDescent="0.25"/>
    <row r="133231" s="12" customFormat="1" x14ac:dyDescent="0.25"/>
    <row r="133232" s="12" customFormat="1" x14ac:dyDescent="0.25"/>
    <row r="133233" s="12" customFormat="1" x14ac:dyDescent="0.25"/>
    <row r="133234" s="12" customFormat="1" x14ac:dyDescent="0.25"/>
    <row r="133235" s="12" customFormat="1" x14ac:dyDescent="0.25"/>
    <row r="133236" s="12" customFormat="1" x14ac:dyDescent="0.25"/>
    <row r="133237" s="12" customFormat="1" x14ac:dyDescent="0.25"/>
    <row r="133238" s="12" customFormat="1" x14ac:dyDescent="0.25"/>
    <row r="133239" s="12" customFormat="1" x14ac:dyDescent="0.25"/>
    <row r="133240" s="12" customFormat="1" x14ac:dyDescent="0.25"/>
    <row r="133241" s="12" customFormat="1" x14ac:dyDescent="0.25"/>
    <row r="133242" s="12" customFormat="1" x14ac:dyDescent="0.25"/>
    <row r="133243" s="12" customFormat="1" x14ac:dyDescent="0.25"/>
    <row r="133244" s="12" customFormat="1" x14ac:dyDescent="0.25"/>
    <row r="133245" s="12" customFormat="1" x14ac:dyDescent="0.25"/>
    <row r="133246" s="12" customFormat="1" x14ac:dyDescent="0.25"/>
    <row r="133247" s="12" customFormat="1" x14ac:dyDescent="0.25"/>
    <row r="133248" s="12" customFormat="1" x14ac:dyDescent="0.25"/>
    <row r="133249" s="12" customFormat="1" x14ac:dyDescent="0.25"/>
    <row r="133250" s="12" customFormat="1" x14ac:dyDescent="0.25"/>
    <row r="133251" s="12" customFormat="1" x14ac:dyDescent="0.25"/>
    <row r="133252" s="12" customFormat="1" x14ac:dyDescent="0.25"/>
    <row r="133253" s="12" customFormat="1" x14ac:dyDescent="0.25"/>
    <row r="133254" s="12" customFormat="1" x14ac:dyDescent="0.25"/>
    <row r="133255" s="12" customFormat="1" x14ac:dyDescent="0.25"/>
    <row r="133256" s="12" customFormat="1" x14ac:dyDescent="0.25"/>
    <row r="133257" s="12" customFormat="1" x14ac:dyDescent="0.25"/>
    <row r="133258" s="12" customFormat="1" x14ac:dyDescent="0.25"/>
    <row r="133259" s="12" customFormat="1" x14ac:dyDescent="0.25"/>
    <row r="133260" s="12" customFormat="1" x14ac:dyDescent="0.25"/>
    <row r="133261" s="12" customFormat="1" x14ac:dyDescent="0.25"/>
    <row r="133262" s="12" customFormat="1" x14ac:dyDescent="0.25"/>
    <row r="133263" s="12" customFormat="1" x14ac:dyDescent="0.25"/>
    <row r="133264" s="12" customFormat="1" x14ac:dyDescent="0.25"/>
    <row r="133265" s="12" customFormat="1" x14ac:dyDescent="0.25"/>
    <row r="133266" s="12" customFormat="1" x14ac:dyDescent="0.25"/>
    <row r="133267" s="12" customFormat="1" x14ac:dyDescent="0.25"/>
    <row r="133268" s="12" customFormat="1" x14ac:dyDescent="0.25"/>
    <row r="133269" s="12" customFormat="1" x14ac:dyDescent="0.25"/>
    <row r="133270" s="12" customFormat="1" x14ac:dyDescent="0.25"/>
    <row r="133271" s="12" customFormat="1" x14ac:dyDescent="0.25"/>
    <row r="133272" s="12" customFormat="1" x14ac:dyDescent="0.25"/>
    <row r="133273" s="12" customFormat="1" x14ac:dyDescent="0.25"/>
    <row r="133274" s="12" customFormat="1" x14ac:dyDescent="0.25"/>
    <row r="133275" s="12" customFormat="1" x14ac:dyDescent="0.25"/>
    <row r="133276" s="12" customFormat="1" x14ac:dyDescent="0.25"/>
    <row r="133277" s="12" customFormat="1" x14ac:dyDescent="0.25"/>
    <row r="133278" s="12" customFormat="1" x14ac:dyDescent="0.25"/>
    <row r="133279" s="12" customFormat="1" x14ac:dyDescent="0.25"/>
    <row r="133280" s="12" customFormat="1" x14ac:dyDescent="0.25"/>
    <row r="133281" s="12" customFormat="1" x14ac:dyDescent="0.25"/>
    <row r="133282" s="12" customFormat="1" x14ac:dyDescent="0.25"/>
    <row r="133283" s="12" customFormat="1" x14ac:dyDescent="0.25"/>
    <row r="133284" s="12" customFormat="1" x14ac:dyDescent="0.25"/>
    <row r="133285" s="12" customFormat="1" x14ac:dyDescent="0.25"/>
    <row r="133286" s="12" customFormat="1" x14ac:dyDescent="0.25"/>
    <row r="133287" s="12" customFormat="1" x14ac:dyDescent="0.25"/>
    <row r="133288" s="12" customFormat="1" x14ac:dyDescent="0.25"/>
    <row r="133289" s="12" customFormat="1" x14ac:dyDescent="0.25"/>
    <row r="133290" s="12" customFormat="1" x14ac:dyDescent="0.25"/>
    <row r="133291" s="12" customFormat="1" x14ac:dyDescent="0.25"/>
    <row r="133292" s="12" customFormat="1" x14ac:dyDescent="0.25"/>
    <row r="133293" s="12" customFormat="1" x14ac:dyDescent="0.25"/>
    <row r="133294" s="12" customFormat="1" x14ac:dyDescent="0.25"/>
    <row r="133295" s="12" customFormat="1" x14ac:dyDescent="0.25"/>
    <row r="133296" s="12" customFormat="1" x14ac:dyDescent="0.25"/>
    <row r="133297" s="12" customFormat="1" x14ac:dyDescent="0.25"/>
    <row r="133298" s="12" customFormat="1" x14ac:dyDescent="0.25"/>
    <row r="133299" s="12" customFormat="1" x14ac:dyDescent="0.25"/>
    <row r="133300" s="12" customFormat="1" x14ac:dyDescent="0.25"/>
    <row r="133301" s="12" customFormat="1" x14ac:dyDescent="0.25"/>
    <row r="133302" s="12" customFormat="1" x14ac:dyDescent="0.25"/>
    <row r="133303" s="12" customFormat="1" x14ac:dyDescent="0.25"/>
    <row r="133304" s="12" customFormat="1" x14ac:dyDescent="0.25"/>
    <row r="133305" s="12" customFormat="1" x14ac:dyDescent="0.25"/>
    <row r="133306" s="12" customFormat="1" x14ac:dyDescent="0.25"/>
    <row r="133307" s="12" customFormat="1" x14ac:dyDescent="0.25"/>
    <row r="133308" s="12" customFormat="1" x14ac:dyDescent="0.25"/>
    <row r="133309" s="12" customFormat="1" x14ac:dyDescent="0.25"/>
    <row r="133310" s="12" customFormat="1" x14ac:dyDescent="0.25"/>
    <row r="133311" s="12" customFormat="1" x14ac:dyDescent="0.25"/>
    <row r="133312" s="12" customFormat="1" x14ac:dyDescent="0.25"/>
    <row r="133313" s="12" customFormat="1" x14ac:dyDescent="0.25"/>
    <row r="133314" s="12" customFormat="1" x14ac:dyDescent="0.25"/>
    <row r="133315" s="12" customFormat="1" x14ac:dyDescent="0.25"/>
    <row r="133316" s="12" customFormat="1" x14ac:dyDescent="0.25"/>
    <row r="133317" s="12" customFormat="1" x14ac:dyDescent="0.25"/>
    <row r="133318" s="12" customFormat="1" x14ac:dyDescent="0.25"/>
    <row r="133319" s="12" customFormat="1" x14ac:dyDescent="0.25"/>
    <row r="133320" s="12" customFormat="1" x14ac:dyDescent="0.25"/>
    <row r="133321" s="12" customFormat="1" x14ac:dyDescent="0.25"/>
    <row r="133322" s="12" customFormat="1" x14ac:dyDescent="0.25"/>
    <row r="133323" s="12" customFormat="1" x14ac:dyDescent="0.25"/>
    <row r="133324" s="12" customFormat="1" x14ac:dyDescent="0.25"/>
    <row r="133325" s="12" customFormat="1" x14ac:dyDescent="0.25"/>
    <row r="133326" s="12" customFormat="1" x14ac:dyDescent="0.25"/>
    <row r="133327" s="12" customFormat="1" x14ac:dyDescent="0.25"/>
    <row r="133328" s="12" customFormat="1" x14ac:dyDescent="0.25"/>
    <row r="133329" s="12" customFormat="1" x14ac:dyDescent="0.25"/>
    <row r="133330" s="12" customFormat="1" x14ac:dyDescent="0.25"/>
    <row r="133331" s="12" customFormat="1" x14ac:dyDescent="0.25"/>
    <row r="133332" s="12" customFormat="1" x14ac:dyDescent="0.25"/>
    <row r="133333" s="12" customFormat="1" x14ac:dyDescent="0.25"/>
    <row r="133334" s="12" customFormat="1" x14ac:dyDescent="0.25"/>
    <row r="133335" s="12" customFormat="1" x14ac:dyDescent="0.25"/>
    <row r="133336" s="12" customFormat="1" x14ac:dyDescent="0.25"/>
    <row r="133337" s="12" customFormat="1" x14ac:dyDescent="0.25"/>
    <row r="133338" s="12" customFormat="1" x14ac:dyDescent="0.25"/>
    <row r="133339" s="12" customFormat="1" x14ac:dyDescent="0.25"/>
    <row r="133340" s="12" customFormat="1" x14ac:dyDescent="0.25"/>
    <row r="133341" s="12" customFormat="1" x14ac:dyDescent="0.25"/>
    <row r="133342" s="12" customFormat="1" x14ac:dyDescent="0.25"/>
    <row r="133343" s="12" customFormat="1" x14ac:dyDescent="0.25"/>
    <row r="133344" s="12" customFormat="1" x14ac:dyDescent="0.25"/>
    <row r="133345" s="12" customFormat="1" x14ac:dyDescent="0.25"/>
    <row r="133346" s="12" customFormat="1" x14ac:dyDescent="0.25"/>
    <row r="133347" s="12" customFormat="1" x14ac:dyDescent="0.25"/>
    <row r="133348" s="12" customFormat="1" x14ac:dyDescent="0.25"/>
    <row r="133349" s="12" customFormat="1" x14ac:dyDescent="0.25"/>
    <row r="133350" s="12" customFormat="1" x14ac:dyDescent="0.25"/>
    <row r="133351" s="12" customFormat="1" x14ac:dyDescent="0.25"/>
    <row r="133352" s="12" customFormat="1" x14ac:dyDescent="0.25"/>
    <row r="133353" s="12" customFormat="1" x14ac:dyDescent="0.25"/>
    <row r="133354" s="12" customFormat="1" x14ac:dyDescent="0.25"/>
    <row r="133355" s="12" customFormat="1" x14ac:dyDescent="0.25"/>
    <row r="133356" s="12" customFormat="1" x14ac:dyDescent="0.25"/>
    <row r="133357" s="12" customFormat="1" x14ac:dyDescent="0.25"/>
    <row r="133358" s="12" customFormat="1" x14ac:dyDescent="0.25"/>
    <row r="133359" s="12" customFormat="1" x14ac:dyDescent="0.25"/>
    <row r="133360" s="12" customFormat="1" x14ac:dyDescent="0.25"/>
    <row r="133361" s="12" customFormat="1" x14ac:dyDescent="0.25"/>
    <row r="133362" s="12" customFormat="1" x14ac:dyDescent="0.25"/>
    <row r="133363" s="12" customFormat="1" x14ac:dyDescent="0.25"/>
    <row r="133364" s="12" customFormat="1" x14ac:dyDescent="0.25"/>
    <row r="133365" s="12" customFormat="1" x14ac:dyDescent="0.25"/>
    <row r="133366" s="12" customFormat="1" x14ac:dyDescent="0.25"/>
    <row r="133367" s="12" customFormat="1" x14ac:dyDescent="0.25"/>
    <row r="133368" s="12" customFormat="1" x14ac:dyDescent="0.25"/>
    <row r="133369" s="12" customFormat="1" x14ac:dyDescent="0.25"/>
    <row r="133370" s="12" customFormat="1" x14ac:dyDescent="0.25"/>
    <row r="133371" s="12" customFormat="1" x14ac:dyDescent="0.25"/>
    <row r="133372" s="12" customFormat="1" x14ac:dyDescent="0.25"/>
    <row r="133373" s="12" customFormat="1" x14ac:dyDescent="0.25"/>
    <row r="133374" s="12" customFormat="1" x14ac:dyDescent="0.25"/>
    <row r="133375" s="12" customFormat="1" x14ac:dyDescent="0.25"/>
    <row r="133376" s="12" customFormat="1" x14ac:dyDescent="0.25"/>
    <row r="133377" s="12" customFormat="1" x14ac:dyDescent="0.25"/>
    <row r="133378" s="12" customFormat="1" x14ac:dyDescent="0.25"/>
    <row r="133379" s="12" customFormat="1" x14ac:dyDescent="0.25"/>
    <row r="133380" s="12" customFormat="1" x14ac:dyDescent="0.25"/>
    <row r="133381" s="12" customFormat="1" x14ac:dyDescent="0.25"/>
    <row r="133382" s="12" customFormat="1" x14ac:dyDescent="0.25"/>
    <row r="133383" s="12" customFormat="1" x14ac:dyDescent="0.25"/>
    <row r="133384" s="12" customFormat="1" x14ac:dyDescent="0.25"/>
    <row r="133385" s="12" customFormat="1" x14ac:dyDescent="0.25"/>
    <row r="133386" s="12" customFormat="1" x14ac:dyDescent="0.25"/>
    <row r="133387" s="12" customFormat="1" x14ac:dyDescent="0.25"/>
    <row r="133388" s="12" customFormat="1" x14ac:dyDescent="0.25"/>
    <row r="133389" s="12" customFormat="1" x14ac:dyDescent="0.25"/>
    <row r="133390" s="12" customFormat="1" x14ac:dyDescent="0.25"/>
    <row r="133391" s="12" customFormat="1" x14ac:dyDescent="0.25"/>
    <row r="133392" s="12" customFormat="1" x14ac:dyDescent="0.25"/>
    <row r="133393" s="12" customFormat="1" x14ac:dyDescent="0.25"/>
    <row r="133394" s="12" customFormat="1" x14ac:dyDescent="0.25"/>
    <row r="133395" s="12" customFormat="1" x14ac:dyDescent="0.25"/>
    <row r="133396" s="12" customFormat="1" x14ac:dyDescent="0.25"/>
    <row r="133397" s="12" customFormat="1" x14ac:dyDescent="0.25"/>
    <row r="133398" s="12" customFormat="1" x14ac:dyDescent="0.25"/>
    <row r="133399" s="12" customFormat="1" x14ac:dyDescent="0.25"/>
    <row r="133400" s="12" customFormat="1" x14ac:dyDescent="0.25"/>
    <row r="133401" s="12" customFormat="1" x14ac:dyDescent="0.25"/>
    <row r="133402" s="12" customFormat="1" x14ac:dyDescent="0.25"/>
    <row r="133403" s="12" customFormat="1" x14ac:dyDescent="0.25"/>
    <row r="133404" s="12" customFormat="1" x14ac:dyDescent="0.25"/>
    <row r="133405" s="12" customFormat="1" x14ac:dyDescent="0.25"/>
    <row r="133406" s="12" customFormat="1" x14ac:dyDescent="0.25"/>
    <row r="133407" s="12" customFormat="1" x14ac:dyDescent="0.25"/>
    <row r="133408" s="12" customFormat="1" x14ac:dyDescent="0.25"/>
    <row r="133409" s="12" customFormat="1" x14ac:dyDescent="0.25"/>
    <row r="133410" s="12" customFormat="1" x14ac:dyDescent="0.25"/>
    <row r="133411" s="12" customFormat="1" x14ac:dyDescent="0.25"/>
    <row r="133412" s="12" customFormat="1" x14ac:dyDescent="0.25"/>
    <row r="133413" s="12" customFormat="1" x14ac:dyDescent="0.25"/>
    <row r="133414" s="12" customFormat="1" x14ac:dyDescent="0.25"/>
    <row r="133415" s="12" customFormat="1" x14ac:dyDescent="0.25"/>
    <row r="133416" s="12" customFormat="1" x14ac:dyDescent="0.25"/>
    <row r="133417" s="12" customFormat="1" x14ac:dyDescent="0.25"/>
    <row r="133418" s="12" customFormat="1" x14ac:dyDescent="0.25"/>
    <row r="133419" s="12" customFormat="1" x14ac:dyDescent="0.25"/>
    <row r="133420" s="12" customFormat="1" x14ac:dyDescent="0.25"/>
    <row r="133421" s="12" customFormat="1" x14ac:dyDescent="0.25"/>
    <row r="133422" s="12" customFormat="1" x14ac:dyDescent="0.25"/>
    <row r="133423" s="12" customFormat="1" x14ac:dyDescent="0.25"/>
    <row r="133424" s="12" customFormat="1" x14ac:dyDescent="0.25"/>
    <row r="133425" s="12" customFormat="1" x14ac:dyDescent="0.25"/>
    <row r="133426" s="12" customFormat="1" x14ac:dyDescent="0.25"/>
    <row r="133427" s="12" customFormat="1" x14ac:dyDescent="0.25"/>
    <row r="133428" s="12" customFormat="1" x14ac:dyDescent="0.25"/>
    <row r="133429" s="12" customFormat="1" x14ac:dyDescent="0.25"/>
    <row r="133430" s="12" customFormat="1" x14ac:dyDescent="0.25"/>
    <row r="133431" s="12" customFormat="1" x14ac:dyDescent="0.25"/>
    <row r="133432" s="12" customFormat="1" x14ac:dyDescent="0.25"/>
    <row r="133433" s="12" customFormat="1" x14ac:dyDescent="0.25"/>
    <row r="133434" s="12" customFormat="1" x14ac:dyDescent="0.25"/>
    <row r="133435" s="12" customFormat="1" x14ac:dyDescent="0.25"/>
    <row r="133436" s="12" customFormat="1" x14ac:dyDescent="0.25"/>
    <row r="133437" s="12" customFormat="1" x14ac:dyDescent="0.25"/>
    <row r="133438" s="12" customFormat="1" x14ac:dyDescent="0.25"/>
    <row r="133439" s="12" customFormat="1" x14ac:dyDescent="0.25"/>
    <row r="133440" s="12" customFormat="1" x14ac:dyDescent="0.25"/>
    <row r="133441" s="12" customFormat="1" x14ac:dyDescent="0.25"/>
    <row r="133442" s="12" customFormat="1" x14ac:dyDescent="0.25"/>
    <row r="133443" s="12" customFormat="1" x14ac:dyDescent="0.25"/>
    <row r="133444" s="12" customFormat="1" x14ac:dyDescent="0.25"/>
    <row r="133445" s="12" customFormat="1" x14ac:dyDescent="0.25"/>
    <row r="133446" s="12" customFormat="1" x14ac:dyDescent="0.25"/>
    <row r="133447" s="12" customFormat="1" x14ac:dyDescent="0.25"/>
    <row r="133448" s="12" customFormat="1" x14ac:dyDescent="0.25"/>
    <row r="133449" s="12" customFormat="1" x14ac:dyDescent="0.25"/>
    <row r="133450" s="12" customFormat="1" x14ac:dyDescent="0.25"/>
    <row r="133451" s="12" customFormat="1" x14ac:dyDescent="0.25"/>
    <row r="133452" s="12" customFormat="1" x14ac:dyDescent="0.25"/>
    <row r="133453" s="12" customFormat="1" x14ac:dyDescent="0.25"/>
    <row r="133454" s="12" customFormat="1" x14ac:dyDescent="0.25"/>
    <row r="133455" s="12" customFormat="1" x14ac:dyDescent="0.25"/>
    <row r="133456" s="12" customFormat="1" x14ac:dyDescent="0.25"/>
    <row r="133457" s="12" customFormat="1" x14ac:dyDescent="0.25"/>
    <row r="133458" s="12" customFormat="1" x14ac:dyDescent="0.25"/>
    <row r="133459" s="12" customFormat="1" x14ac:dyDescent="0.25"/>
    <row r="133460" s="12" customFormat="1" x14ac:dyDescent="0.25"/>
    <row r="133461" s="12" customFormat="1" x14ac:dyDescent="0.25"/>
    <row r="133462" s="12" customFormat="1" x14ac:dyDescent="0.25"/>
    <row r="133463" s="12" customFormat="1" x14ac:dyDescent="0.25"/>
    <row r="133464" s="12" customFormat="1" x14ac:dyDescent="0.25"/>
    <row r="133465" s="12" customFormat="1" x14ac:dyDescent="0.25"/>
    <row r="133466" s="12" customFormat="1" x14ac:dyDescent="0.25"/>
    <row r="133467" s="12" customFormat="1" x14ac:dyDescent="0.25"/>
    <row r="133468" s="12" customFormat="1" x14ac:dyDescent="0.25"/>
    <row r="133469" s="12" customFormat="1" x14ac:dyDescent="0.25"/>
    <row r="133470" s="12" customFormat="1" x14ac:dyDescent="0.25"/>
    <row r="133471" s="12" customFormat="1" x14ac:dyDescent="0.25"/>
    <row r="133472" s="12" customFormat="1" x14ac:dyDescent="0.25"/>
    <row r="133473" s="12" customFormat="1" x14ac:dyDescent="0.25"/>
    <row r="133474" s="12" customFormat="1" x14ac:dyDescent="0.25"/>
    <row r="133475" s="12" customFormat="1" x14ac:dyDescent="0.25"/>
    <row r="133476" s="12" customFormat="1" x14ac:dyDescent="0.25"/>
    <row r="133477" s="12" customFormat="1" x14ac:dyDescent="0.25"/>
    <row r="133478" s="12" customFormat="1" x14ac:dyDescent="0.25"/>
    <row r="133479" s="12" customFormat="1" x14ac:dyDescent="0.25"/>
    <row r="133480" s="12" customFormat="1" x14ac:dyDescent="0.25"/>
    <row r="133481" s="12" customFormat="1" x14ac:dyDescent="0.25"/>
    <row r="133482" s="12" customFormat="1" x14ac:dyDescent="0.25"/>
    <row r="133483" s="12" customFormat="1" x14ac:dyDescent="0.25"/>
    <row r="133484" s="12" customFormat="1" x14ac:dyDescent="0.25"/>
    <row r="133485" s="12" customFormat="1" x14ac:dyDescent="0.25"/>
    <row r="133486" s="12" customFormat="1" x14ac:dyDescent="0.25"/>
    <row r="133487" s="12" customFormat="1" x14ac:dyDescent="0.25"/>
    <row r="133488" s="12" customFormat="1" x14ac:dyDescent="0.25"/>
    <row r="133489" s="12" customFormat="1" x14ac:dyDescent="0.25"/>
    <row r="133490" s="12" customFormat="1" x14ac:dyDescent="0.25"/>
    <row r="133491" s="12" customFormat="1" x14ac:dyDescent="0.25"/>
    <row r="133492" s="12" customFormat="1" x14ac:dyDescent="0.25"/>
    <row r="133493" s="12" customFormat="1" x14ac:dyDescent="0.25"/>
    <row r="133494" s="12" customFormat="1" x14ac:dyDescent="0.25"/>
    <row r="133495" s="12" customFormat="1" x14ac:dyDescent="0.25"/>
    <row r="133496" s="12" customFormat="1" x14ac:dyDescent="0.25"/>
    <row r="133497" s="12" customFormat="1" x14ac:dyDescent="0.25"/>
    <row r="133498" s="12" customFormat="1" x14ac:dyDescent="0.25"/>
    <row r="133499" s="12" customFormat="1" x14ac:dyDescent="0.25"/>
    <row r="133500" s="12" customFormat="1" x14ac:dyDescent="0.25"/>
    <row r="133501" s="12" customFormat="1" x14ac:dyDescent="0.25"/>
    <row r="133502" s="12" customFormat="1" x14ac:dyDescent="0.25"/>
    <row r="133503" s="12" customFormat="1" x14ac:dyDescent="0.25"/>
    <row r="133504" s="12" customFormat="1" x14ac:dyDescent="0.25"/>
    <row r="133505" s="12" customFormat="1" x14ac:dyDescent="0.25"/>
    <row r="133506" s="12" customFormat="1" x14ac:dyDescent="0.25"/>
    <row r="133507" s="12" customFormat="1" x14ac:dyDescent="0.25"/>
    <row r="133508" s="12" customFormat="1" x14ac:dyDescent="0.25"/>
    <row r="133509" s="12" customFormat="1" x14ac:dyDescent="0.25"/>
    <row r="133510" s="12" customFormat="1" x14ac:dyDescent="0.25"/>
    <row r="133511" s="12" customFormat="1" x14ac:dyDescent="0.25"/>
    <row r="133512" s="12" customFormat="1" x14ac:dyDescent="0.25"/>
    <row r="133513" s="12" customFormat="1" x14ac:dyDescent="0.25"/>
    <row r="133514" s="12" customFormat="1" x14ac:dyDescent="0.25"/>
    <row r="133515" s="12" customFormat="1" x14ac:dyDescent="0.25"/>
    <row r="133516" s="12" customFormat="1" x14ac:dyDescent="0.25"/>
    <row r="133517" s="12" customFormat="1" x14ac:dyDescent="0.25"/>
    <row r="133518" s="12" customFormat="1" x14ac:dyDescent="0.25"/>
    <row r="133519" s="12" customFormat="1" x14ac:dyDescent="0.25"/>
    <row r="133520" s="12" customFormat="1" x14ac:dyDescent="0.25"/>
    <row r="133521" s="12" customFormat="1" x14ac:dyDescent="0.25"/>
    <row r="133522" s="12" customFormat="1" x14ac:dyDescent="0.25"/>
    <row r="133523" s="12" customFormat="1" x14ac:dyDescent="0.25"/>
    <row r="133524" s="12" customFormat="1" x14ac:dyDescent="0.25"/>
    <row r="133525" s="12" customFormat="1" x14ac:dyDescent="0.25"/>
    <row r="133526" s="12" customFormat="1" x14ac:dyDescent="0.25"/>
    <row r="133527" s="12" customFormat="1" x14ac:dyDescent="0.25"/>
    <row r="133528" s="12" customFormat="1" x14ac:dyDescent="0.25"/>
    <row r="133529" s="12" customFormat="1" x14ac:dyDescent="0.25"/>
    <row r="133530" s="12" customFormat="1" x14ac:dyDescent="0.25"/>
    <row r="133531" s="12" customFormat="1" x14ac:dyDescent="0.25"/>
    <row r="133532" s="12" customFormat="1" x14ac:dyDescent="0.25"/>
    <row r="133533" s="12" customFormat="1" x14ac:dyDescent="0.25"/>
    <row r="133534" s="12" customFormat="1" x14ac:dyDescent="0.25"/>
    <row r="133535" s="12" customFormat="1" x14ac:dyDescent="0.25"/>
    <row r="133536" s="12" customFormat="1" x14ac:dyDescent="0.25"/>
    <row r="133537" s="12" customFormat="1" x14ac:dyDescent="0.25"/>
    <row r="133538" s="12" customFormat="1" x14ac:dyDescent="0.25"/>
    <row r="133539" s="12" customFormat="1" x14ac:dyDescent="0.25"/>
    <row r="133540" s="12" customFormat="1" x14ac:dyDescent="0.25"/>
    <row r="133541" s="12" customFormat="1" x14ac:dyDescent="0.25"/>
    <row r="133542" s="12" customFormat="1" x14ac:dyDescent="0.25"/>
    <row r="133543" s="12" customFormat="1" x14ac:dyDescent="0.25"/>
    <row r="133544" s="12" customFormat="1" x14ac:dyDescent="0.25"/>
    <row r="133545" s="12" customFormat="1" x14ac:dyDescent="0.25"/>
    <row r="133546" s="12" customFormat="1" x14ac:dyDescent="0.25"/>
    <row r="133547" s="12" customFormat="1" x14ac:dyDescent="0.25"/>
    <row r="133548" s="12" customFormat="1" x14ac:dyDescent="0.25"/>
    <row r="133549" s="12" customFormat="1" x14ac:dyDescent="0.25"/>
    <row r="133550" s="12" customFormat="1" x14ac:dyDescent="0.25"/>
    <row r="133551" s="12" customFormat="1" x14ac:dyDescent="0.25"/>
    <row r="133552" s="12" customFormat="1" x14ac:dyDescent="0.25"/>
    <row r="133553" s="12" customFormat="1" x14ac:dyDescent="0.25"/>
    <row r="133554" s="12" customFormat="1" x14ac:dyDescent="0.25"/>
    <row r="133555" s="12" customFormat="1" x14ac:dyDescent="0.25"/>
    <row r="133556" s="12" customFormat="1" x14ac:dyDescent="0.25"/>
    <row r="133557" s="12" customFormat="1" x14ac:dyDescent="0.25"/>
    <row r="133558" s="12" customFormat="1" x14ac:dyDescent="0.25"/>
    <row r="133559" s="12" customFormat="1" x14ac:dyDescent="0.25"/>
    <row r="133560" s="12" customFormat="1" x14ac:dyDescent="0.25"/>
    <row r="133561" s="12" customFormat="1" x14ac:dyDescent="0.25"/>
    <row r="133562" s="12" customFormat="1" x14ac:dyDescent="0.25"/>
    <row r="133563" s="12" customFormat="1" x14ac:dyDescent="0.25"/>
    <row r="133564" s="12" customFormat="1" x14ac:dyDescent="0.25"/>
    <row r="133565" s="12" customFormat="1" x14ac:dyDescent="0.25"/>
    <row r="133566" s="12" customFormat="1" x14ac:dyDescent="0.25"/>
    <row r="133567" s="12" customFormat="1" x14ac:dyDescent="0.25"/>
    <row r="133568" s="12" customFormat="1" x14ac:dyDescent="0.25"/>
    <row r="133569" s="12" customFormat="1" x14ac:dyDescent="0.25"/>
    <row r="133570" s="12" customFormat="1" x14ac:dyDescent="0.25"/>
    <row r="133571" s="12" customFormat="1" x14ac:dyDescent="0.25"/>
    <row r="133572" s="12" customFormat="1" x14ac:dyDescent="0.25"/>
    <row r="133573" s="12" customFormat="1" x14ac:dyDescent="0.25"/>
    <row r="133574" s="12" customFormat="1" x14ac:dyDescent="0.25"/>
    <row r="133575" s="12" customFormat="1" x14ac:dyDescent="0.25"/>
    <row r="133576" s="12" customFormat="1" x14ac:dyDescent="0.25"/>
    <row r="133577" s="12" customFormat="1" x14ac:dyDescent="0.25"/>
    <row r="133578" s="12" customFormat="1" x14ac:dyDescent="0.25"/>
    <row r="133579" s="12" customFormat="1" x14ac:dyDescent="0.25"/>
    <row r="133580" s="12" customFormat="1" x14ac:dyDescent="0.25"/>
    <row r="133581" s="12" customFormat="1" x14ac:dyDescent="0.25"/>
    <row r="133582" s="12" customFormat="1" x14ac:dyDescent="0.25"/>
    <row r="133583" s="12" customFormat="1" x14ac:dyDescent="0.25"/>
    <row r="133584" s="12" customFormat="1" x14ac:dyDescent="0.25"/>
    <row r="133585" s="12" customFormat="1" x14ac:dyDescent="0.25"/>
    <row r="133586" s="12" customFormat="1" x14ac:dyDescent="0.25"/>
    <row r="133587" s="12" customFormat="1" x14ac:dyDescent="0.25"/>
    <row r="133588" s="12" customFormat="1" x14ac:dyDescent="0.25"/>
    <row r="133589" s="12" customFormat="1" x14ac:dyDescent="0.25"/>
    <row r="133590" s="12" customFormat="1" x14ac:dyDescent="0.25"/>
    <row r="133591" s="12" customFormat="1" x14ac:dyDescent="0.25"/>
    <row r="133592" s="12" customFormat="1" x14ac:dyDescent="0.25"/>
    <row r="133593" s="12" customFormat="1" x14ac:dyDescent="0.25"/>
    <row r="133594" s="12" customFormat="1" x14ac:dyDescent="0.25"/>
    <row r="133595" s="12" customFormat="1" x14ac:dyDescent="0.25"/>
    <row r="133596" s="12" customFormat="1" x14ac:dyDescent="0.25"/>
    <row r="133597" s="12" customFormat="1" x14ac:dyDescent="0.25"/>
    <row r="133598" s="12" customFormat="1" x14ac:dyDescent="0.25"/>
    <row r="133599" s="12" customFormat="1" x14ac:dyDescent="0.25"/>
    <row r="133600" s="12" customFormat="1" x14ac:dyDescent="0.25"/>
    <row r="133601" s="12" customFormat="1" x14ac:dyDescent="0.25"/>
    <row r="133602" s="12" customFormat="1" x14ac:dyDescent="0.25"/>
    <row r="133603" s="12" customFormat="1" x14ac:dyDescent="0.25"/>
    <row r="133604" s="12" customFormat="1" x14ac:dyDescent="0.25"/>
    <row r="133605" s="12" customFormat="1" x14ac:dyDescent="0.25"/>
    <row r="133606" s="12" customFormat="1" x14ac:dyDescent="0.25"/>
    <row r="133607" s="12" customFormat="1" x14ac:dyDescent="0.25"/>
    <row r="133608" s="12" customFormat="1" x14ac:dyDescent="0.25"/>
    <row r="133609" s="12" customFormat="1" x14ac:dyDescent="0.25"/>
    <row r="133610" s="12" customFormat="1" x14ac:dyDescent="0.25"/>
    <row r="133611" s="12" customFormat="1" x14ac:dyDescent="0.25"/>
    <row r="133612" s="12" customFormat="1" x14ac:dyDescent="0.25"/>
    <row r="133613" s="12" customFormat="1" x14ac:dyDescent="0.25"/>
    <row r="133614" s="12" customFormat="1" x14ac:dyDescent="0.25"/>
    <row r="133615" s="12" customFormat="1" x14ac:dyDescent="0.25"/>
    <row r="133616" s="12" customFormat="1" x14ac:dyDescent="0.25"/>
    <row r="133617" s="12" customFormat="1" x14ac:dyDescent="0.25"/>
    <row r="133618" s="12" customFormat="1" x14ac:dyDescent="0.25"/>
    <row r="133619" s="12" customFormat="1" x14ac:dyDescent="0.25"/>
    <row r="133620" s="12" customFormat="1" x14ac:dyDescent="0.25"/>
    <row r="133621" s="12" customFormat="1" x14ac:dyDescent="0.25"/>
    <row r="133622" s="12" customFormat="1" x14ac:dyDescent="0.25"/>
    <row r="133623" s="12" customFormat="1" x14ac:dyDescent="0.25"/>
    <row r="133624" s="12" customFormat="1" x14ac:dyDescent="0.25"/>
    <row r="133625" s="12" customFormat="1" x14ac:dyDescent="0.25"/>
    <row r="133626" s="12" customFormat="1" x14ac:dyDescent="0.25"/>
    <row r="133627" s="12" customFormat="1" x14ac:dyDescent="0.25"/>
    <row r="133628" s="12" customFormat="1" x14ac:dyDescent="0.25"/>
    <row r="133629" s="12" customFormat="1" x14ac:dyDescent="0.25"/>
    <row r="133630" s="12" customFormat="1" x14ac:dyDescent="0.25"/>
    <row r="133631" s="12" customFormat="1" x14ac:dyDescent="0.25"/>
    <row r="133632" s="12" customFormat="1" x14ac:dyDescent="0.25"/>
    <row r="133633" s="12" customFormat="1" x14ac:dyDescent="0.25"/>
    <row r="133634" s="12" customFormat="1" x14ac:dyDescent="0.25"/>
    <row r="133635" s="12" customFormat="1" x14ac:dyDescent="0.25"/>
    <row r="133636" s="12" customFormat="1" x14ac:dyDescent="0.25"/>
    <row r="133637" s="12" customFormat="1" x14ac:dyDescent="0.25"/>
    <row r="133638" s="12" customFormat="1" x14ac:dyDescent="0.25"/>
    <row r="133639" s="12" customFormat="1" x14ac:dyDescent="0.25"/>
    <row r="133640" s="12" customFormat="1" x14ac:dyDescent="0.25"/>
    <row r="133641" s="12" customFormat="1" x14ac:dyDescent="0.25"/>
    <row r="133642" s="12" customFormat="1" x14ac:dyDescent="0.25"/>
    <row r="133643" s="12" customFormat="1" x14ac:dyDescent="0.25"/>
    <row r="133644" s="12" customFormat="1" x14ac:dyDescent="0.25"/>
    <row r="133645" s="12" customFormat="1" x14ac:dyDescent="0.25"/>
    <row r="133646" s="12" customFormat="1" x14ac:dyDescent="0.25"/>
    <row r="133647" s="12" customFormat="1" x14ac:dyDescent="0.25"/>
    <row r="133648" s="12" customFormat="1" x14ac:dyDescent="0.25"/>
    <row r="133649" s="12" customFormat="1" x14ac:dyDescent="0.25"/>
    <row r="133650" s="12" customFormat="1" x14ac:dyDescent="0.25"/>
    <row r="133651" s="12" customFormat="1" x14ac:dyDescent="0.25"/>
    <row r="133652" s="12" customFormat="1" x14ac:dyDescent="0.25"/>
    <row r="133653" s="12" customFormat="1" x14ac:dyDescent="0.25"/>
    <row r="133654" s="12" customFormat="1" x14ac:dyDescent="0.25"/>
    <row r="133655" s="12" customFormat="1" x14ac:dyDescent="0.25"/>
    <row r="133656" s="12" customFormat="1" x14ac:dyDescent="0.25"/>
    <row r="133657" s="12" customFormat="1" x14ac:dyDescent="0.25"/>
    <row r="133658" s="12" customFormat="1" x14ac:dyDescent="0.25"/>
    <row r="133659" s="12" customFormat="1" x14ac:dyDescent="0.25"/>
    <row r="133660" s="12" customFormat="1" x14ac:dyDescent="0.25"/>
    <row r="133661" s="12" customFormat="1" x14ac:dyDescent="0.25"/>
    <row r="133662" s="12" customFormat="1" x14ac:dyDescent="0.25"/>
    <row r="133663" s="12" customFormat="1" x14ac:dyDescent="0.25"/>
    <row r="133664" s="12" customFormat="1" x14ac:dyDescent="0.25"/>
    <row r="133665" s="12" customFormat="1" x14ac:dyDescent="0.25"/>
    <row r="133666" s="12" customFormat="1" x14ac:dyDescent="0.25"/>
    <row r="133667" s="12" customFormat="1" x14ac:dyDescent="0.25"/>
    <row r="133668" s="12" customFormat="1" x14ac:dyDescent="0.25"/>
    <row r="133669" s="12" customFormat="1" x14ac:dyDescent="0.25"/>
    <row r="133670" s="12" customFormat="1" x14ac:dyDescent="0.25"/>
    <row r="133671" s="12" customFormat="1" x14ac:dyDescent="0.25"/>
    <row r="133672" s="12" customFormat="1" x14ac:dyDescent="0.25"/>
    <row r="133673" s="12" customFormat="1" x14ac:dyDescent="0.25"/>
    <row r="133674" s="12" customFormat="1" x14ac:dyDescent="0.25"/>
    <row r="133675" s="12" customFormat="1" x14ac:dyDescent="0.25"/>
    <row r="133676" s="12" customFormat="1" x14ac:dyDescent="0.25"/>
    <row r="133677" s="12" customFormat="1" x14ac:dyDescent="0.25"/>
    <row r="133678" s="12" customFormat="1" x14ac:dyDescent="0.25"/>
    <row r="133679" s="12" customFormat="1" x14ac:dyDescent="0.25"/>
    <row r="133680" s="12" customFormat="1" x14ac:dyDescent="0.25"/>
    <row r="133681" s="12" customFormat="1" x14ac:dyDescent="0.25"/>
    <row r="133682" s="12" customFormat="1" x14ac:dyDescent="0.25"/>
    <row r="133683" s="12" customFormat="1" x14ac:dyDescent="0.25"/>
    <row r="133684" s="12" customFormat="1" x14ac:dyDescent="0.25"/>
    <row r="133685" s="12" customFormat="1" x14ac:dyDescent="0.25"/>
    <row r="133686" s="12" customFormat="1" x14ac:dyDescent="0.25"/>
    <row r="133687" s="12" customFormat="1" x14ac:dyDescent="0.25"/>
    <row r="133688" s="12" customFormat="1" x14ac:dyDescent="0.25"/>
    <row r="133689" s="12" customFormat="1" x14ac:dyDescent="0.25"/>
    <row r="133690" s="12" customFormat="1" x14ac:dyDescent="0.25"/>
    <row r="133691" s="12" customFormat="1" x14ac:dyDescent="0.25"/>
    <row r="133692" s="12" customFormat="1" x14ac:dyDescent="0.25"/>
    <row r="133693" s="12" customFormat="1" x14ac:dyDescent="0.25"/>
    <row r="133694" s="12" customFormat="1" x14ac:dyDescent="0.25"/>
    <row r="133695" s="12" customFormat="1" x14ac:dyDescent="0.25"/>
    <row r="133696" s="12" customFormat="1" x14ac:dyDescent="0.25"/>
    <row r="133697" s="12" customFormat="1" x14ac:dyDescent="0.25"/>
    <row r="133698" s="12" customFormat="1" x14ac:dyDescent="0.25"/>
    <row r="133699" s="12" customFormat="1" x14ac:dyDescent="0.25"/>
    <row r="133700" s="12" customFormat="1" x14ac:dyDescent="0.25"/>
    <row r="133701" s="12" customFormat="1" x14ac:dyDescent="0.25"/>
    <row r="133702" s="12" customFormat="1" x14ac:dyDescent="0.25"/>
    <row r="133703" s="12" customFormat="1" x14ac:dyDescent="0.25"/>
    <row r="133704" s="12" customFormat="1" x14ac:dyDescent="0.25"/>
    <row r="133705" s="12" customFormat="1" x14ac:dyDescent="0.25"/>
    <row r="133706" s="12" customFormat="1" x14ac:dyDescent="0.25"/>
    <row r="133707" s="12" customFormat="1" x14ac:dyDescent="0.25"/>
    <row r="133708" s="12" customFormat="1" x14ac:dyDescent="0.25"/>
    <row r="133709" s="12" customFormat="1" x14ac:dyDescent="0.25"/>
    <row r="133710" s="12" customFormat="1" x14ac:dyDescent="0.25"/>
    <row r="133711" s="12" customFormat="1" x14ac:dyDescent="0.25"/>
    <row r="133712" s="12" customFormat="1" x14ac:dyDescent="0.25"/>
    <row r="133713" s="12" customFormat="1" x14ac:dyDescent="0.25"/>
    <row r="133714" s="12" customFormat="1" x14ac:dyDescent="0.25"/>
    <row r="133715" s="12" customFormat="1" x14ac:dyDescent="0.25"/>
    <row r="133716" s="12" customFormat="1" x14ac:dyDescent="0.25"/>
    <row r="133717" s="12" customFormat="1" x14ac:dyDescent="0.25"/>
    <row r="133718" s="12" customFormat="1" x14ac:dyDescent="0.25"/>
    <row r="133719" s="12" customFormat="1" x14ac:dyDescent="0.25"/>
    <row r="133720" s="12" customFormat="1" x14ac:dyDescent="0.25"/>
    <row r="133721" s="12" customFormat="1" x14ac:dyDescent="0.25"/>
    <row r="133722" s="12" customFormat="1" x14ac:dyDescent="0.25"/>
    <row r="133723" s="12" customFormat="1" x14ac:dyDescent="0.25"/>
    <row r="133724" s="12" customFormat="1" x14ac:dyDescent="0.25"/>
    <row r="133725" s="12" customFormat="1" x14ac:dyDescent="0.25"/>
    <row r="133726" s="12" customFormat="1" x14ac:dyDescent="0.25"/>
    <row r="133727" s="12" customFormat="1" x14ac:dyDescent="0.25"/>
    <row r="133728" s="12" customFormat="1" x14ac:dyDescent="0.25"/>
    <row r="133729" s="12" customFormat="1" x14ac:dyDescent="0.25"/>
    <row r="133730" s="12" customFormat="1" x14ac:dyDescent="0.25"/>
    <row r="133731" s="12" customFormat="1" x14ac:dyDescent="0.25"/>
    <row r="133732" s="12" customFormat="1" x14ac:dyDescent="0.25"/>
    <row r="133733" s="12" customFormat="1" x14ac:dyDescent="0.25"/>
    <row r="133734" s="12" customFormat="1" x14ac:dyDescent="0.25"/>
    <row r="133735" s="12" customFormat="1" x14ac:dyDescent="0.25"/>
    <row r="133736" s="12" customFormat="1" x14ac:dyDescent="0.25"/>
    <row r="133737" s="12" customFormat="1" x14ac:dyDescent="0.25"/>
    <row r="133738" s="12" customFormat="1" x14ac:dyDescent="0.25"/>
    <row r="133739" s="12" customFormat="1" x14ac:dyDescent="0.25"/>
    <row r="133740" s="12" customFormat="1" x14ac:dyDescent="0.25"/>
    <row r="133741" s="12" customFormat="1" x14ac:dyDescent="0.25"/>
    <row r="133742" s="12" customFormat="1" x14ac:dyDescent="0.25"/>
    <row r="133743" s="12" customFormat="1" x14ac:dyDescent="0.25"/>
    <row r="133744" s="12" customFormat="1" x14ac:dyDescent="0.25"/>
    <row r="133745" s="12" customFormat="1" x14ac:dyDescent="0.25"/>
    <row r="133746" s="12" customFormat="1" x14ac:dyDescent="0.25"/>
    <row r="133747" s="12" customFormat="1" x14ac:dyDescent="0.25"/>
    <row r="133748" s="12" customFormat="1" x14ac:dyDescent="0.25"/>
    <row r="133749" s="12" customFormat="1" x14ac:dyDescent="0.25"/>
    <row r="133750" s="12" customFormat="1" x14ac:dyDescent="0.25"/>
    <row r="133751" s="12" customFormat="1" x14ac:dyDescent="0.25"/>
    <row r="133752" s="12" customFormat="1" x14ac:dyDescent="0.25"/>
    <row r="133753" s="12" customFormat="1" x14ac:dyDescent="0.25"/>
    <row r="133754" s="12" customFormat="1" x14ac:dyDescent="0.25"/>
    <row r="133755" s="12" customFormat="1" x14ac:dyDescent="0.25"/>
    <row r="133756" s="12" customFormat="1" x14ac:dyDescent="0.25"/>
    <row r="133757" s="12" customFormat="1" x14ac:dyDescent="0.25"/>
    <row r="133758" s="12" customFormat="1" x14ac:dyDescent="0.25"/>
    <row r="133759" s="12" customFormat="1" x14ac:dyDescent="0.25"/>
    <row r="133760" s="12" customFormat="1" x14ac:dyDescent="0.25"/>
    <row r="133761" s="12" customFormat="1" x14ac:dyDescent="0.25"/>
    <row r="133762" s="12" customFormat="1" x14ac:dyDescent="0.25"/>
    <row r="133763" s="12" customFormat="1" x14ac:dyDescent="0.25"/>
    <row r="133764" s="12" customFormat="1" x14ac:dyDescent="0.25"/>
    <row r="133765" s="12" customFormat="1" x14ac:dyDescent="0.25"/>
    <row r="133766" s="12" customFormat="1" x14ac:dyDescent="0.25"/>
    <row r="133767" s="12" customFormat="1" x14ac:dyDescent="0.25"/>
    <row r="133768" s="12" customFormat="1" x14ac:dyDescent="0.25"/>
    <row r="133769" s="12" customFormat="1" x14ac:dyDescent="0.25"/>
    <row r="133770" s="12" customFormat="1" x14ac:dyDescent="0.25"/>
    <row r="133771" s="12" customFormat="1" x14ac:dyDescent="0.25"/>
    <row r="133772" s="12" customFormat="1" x14ac:dyDescent="0.25"/>
    <row r="133773" s="12" customFormat="1" x14ac:dyDescent="0.25"/>
    <row r="133774" s="12" customFormat="1" x14ac:dyDescent="0.25"/>
    <row r="133775" s="12" customFormat="1" x14ac:dyDescent="0.25"/>
    <row r="133776" s="12" customFormat="1" x14ac:dyDescent="0.25"/>
    <row r="133777" s="12" customFormat="1" x14ac:dyDescent="0.25"/>
    <row r="133778" s="12" customFormat="1" x14ac:dyDescent="0.25"/>
    <row r="133779" s="12" customFormat="1" x14ac:dyDescent="0.25"/>
    <row r="133780" s="12" customFormat="1" x14ac:dyDescent="0.25"/>
    <row r="133781" s="12" customFormat="1" x14ac:dyDescent="0.25"/>
    <row r="133782" s="12" customFormat="1" x14ac:dyDescent="0.25"/>
    <row r="133783" s="12" customFormat="1" x14ac:dyDescent="0.25"/>
    <row r="133784" s="12" customFormat="1" x14ac:dyDescent="0.25"/>
    <row r="133785" s="12" customFormat="1" x14ac:dyDescent="0.25"/>
    <row r="133786" s="12" customFormat="1" x14ac:dyDescent="0.25"/>
    <row r="133787" s="12" customFormat="1" x14ac:dyDescent="0.25"/>
    <row r="133788" s="12" customFormat="1" x14ac:dyDescent="0.25"/>
    <row r="133789" s="12" customFormat="1" x14ac:dyDescent="0.25"/>
    <row r="133790" s="12" customFormat="1" x14ac:dyDescent="0.25"/>
    <row r="133791" s="12" customFormat="1" x14ac:dyDescent="0.25"/>
    <row r="133792" s="12" customFormat="1" x14ac:dyDescent="0.25"/>
    <row r="133793" s="12" customFormat="1" x14ac:dyDescent="0.25"/>
    <row r="133794" s="12" customFormat="1" x14ac:dyDescent="0.25"/>
    <row r="133795" s="12" customFormat="1" x14ac:dyDescent="0.25"/>
    <row r="133796" s="12" customFormat="1" x14ac:dyDescent="0.25"/>
    <row r="133797" s="12" customFormat="1" x14ac:dyDescent="0.25"/>
    <row r="133798" s="12" customFormat="1" x14ac:dyDescent="0.25"/>
    <row r="133799" s="12" customFormat="1" x14ac:dyDescent="0.25"/>
    <row r="133800" s="12" customFormat="1" x14ac:dyDescent="0.25"/>
    <row r="133801" s="12" customFormat="1" x14ac:dyDescent="0.25"/>
    <row r="133802" s="12" customFormat="1" x14ac:dyDescent="0.25"/>
    <row r="133803" s="12" customFormat="1" x14ac:dyDescent="0.25"/>
    <row r="133804" s="12" customFormat="1" x14ac:dyDescent="0.25"/>
    <row r="133805" s="12" customFormat="1" x14ac:dyDescent="0.25"/>
    <row r="133806" s="12" customFormat="1" x14ac:dyDescent="0.25"/>
    <row r="133807" s="12" customFormat="1" x14ac:dyDescent="0.25"/>
    <row r="133808" s="12" customFormat="1" x14ac:dyDescent="0.25"/>
    <row r="133809" s="12" customFormat="1" x14ac:dyDescent="0.25"/>
    <row r="133810" s="12" customFormat="1" x14ac:dyDescent="0.25"/>
    <row r="133811" s="12" customFormat="1" x14ac:dyDescent="0.25"/>
    <row r="133812" s="12" customFormat="1" x14ac:dyDescent="0.25"/>
    <row r="133813" s="12" customFormat="1" x14ac:dyDescent="0.25"/>
    <row r="133814" s="12" customFormat="1" x14ac:dyDescent="0.25"/>
    <row r="133815" s="12" customFormat="1" x14ac:dyDescent="0.25"/>
    <row r="133816" s="12" customFormat="1" x14ac:dyDescent="0.25"/>
    <row r="133817" s="12" customFormat="1" x14ac:dyDescent="0.25"/>
    <row r="133818" s="12" customFormat="1" x14ac:dyDescent="0.25"/>
    <row r="133819" s="12" customFormat="1" x14ac:dyDescent="0.25"/>
    <row r="133820" s="12" customFormat="1" x14ac:dyDescent="0.25"/>
    <row r="133821" s="12" customFormat="1" x14ac:dyDescent="0.25"/>
    <row r="133822" s="12" customFormat="1" x14ac:dyDescent="0.25"/>
    <row r="133823" s="12" customFormat="1" x14ac:dyDescent="0.25"/>
    <row r="133824" s="12" customFormat="1" x14ac:dyDescent="0.25"/>
    <row r="133825" s="12" customFormat="1" x14ac:dyDescent="0.25"/>
    <row r="133826" s="12" customFormat="1" x14ac:dyDescent="0.25"/>
    <row r="133827" s="12" customFormat="1" x14ac:dyDescent="0.25"/>
    <row r="133828" s="12" customFormat="1" x14ac:dyDescent="0.25"/>
    <row r="133829" s="12" customFormat="1" x14ac:dyDescent="0.25"/>
    <row r="133830" s="12" customFormat="1" x14ac:dyDescent="0.25"/>
    <row r="133831" s="12" customFormat="1" x14ac:dyDescent="0.25"/>
    <row r="133832" s="12" customFormat="1" x14ac:dyDescent="0.25"/>
    <row r="133833" s="12" customFormat="1" x14ac:dyDescent="0.25"/>
    <row r="133834" s="12" customFormat="1" x14ac:dyDescent="0.25"/>
    <row r="133835" s="12" customFormat="1" x14ac:dyDescent="0.25"/>
    <row r="133836" s="12" customFormat="1" x14ac:dyDescent="0.25"/>
    <row r="133837" s="12" customFormat="1" x14ac:dyDescent="0.25"/>
    <row r="133838" s="12" customFormat="1" x14ac:dyDescent="0.25"/>
    <row r="133839" s="12" customFormat="1" x14ac:dyDescent="0.25"/>
    <row r="133840" s="12" customFormat="1" x14ac:dyDescent="0.25"/>
    <row r="133841" s="12" customFormat="1" x14ac:dyDescent="0.25"/>
    <row r="133842" s="12" customFormat="1" x14ac:dyDescent="0.25"/>
    <row r="133843" s="12" customFormat="1" x14ac:dyDescent="0.25"/>
    <row r="133844" s="12" customFormat="1" x14ac:dyDescent="0.25"/>
    <row r="133845" s="12" customFormat="1" x14ac:dyDescent="0.25"/>
    <row r="133846" s="12" customFormat="1" x14ac:dyDescent="0.25"/>
    <row r="133847" s="12" customFormat="1" x14ac:dyDescent="0.25"/>
    <row r="133848" s="12" customFormat="1" x14ac:dyDescent="0.25"/>
    <row r="133849" s="12" customFormat="1" x14ac:dyDescent="0.25"/>
    <row r="133850" s="12" customFormat="1" x14ac:dyDescent="0.25"/>
    <row r="133851" s="12" customFormat="1" x14ac:dyDescent="0.25"/>
    <row r="133852" s="12" customFormat="1" x14ac:dyDescent="0.25"/>
    <row r="133853" s="12" customFormat="1" x14ac:dyDescent="0.25"/>
    <row r="133854" s="12" customFormat="1" x14ac:dyDescent="0.25"/>
    <row r="133855" s="12" customFormat="1" x14ac:dyDescent="0.25"/>
    <row r="133856" s="12" customFormat="1" x14ac:dyDescent="0.25"/>
    <row r="133857" s="12" customFormat="1" x14ac:dyDescent="0.25"/>
    <row r="133858" s="12" customFormat="1" x14ac:dyDescent="0.25"/>
    <row r="133859" s="12" customFormat="1" x14ac:dyDescent="0.25"/>
    <row r="133860" s="12" customFormat="1" x14ac:dyDescent="0.25"/>
    <row r="133861" s="12" customFormat="1" x14ac:dyDescent="0.25"/>
    <row r="133862" s="12" customFormat="1" x14ac:dyDescent="0.25"/>
    <row r="133863" s="12" customFormat="1" x14ac:dyDescent="0.25"/>
    <row r="133864" s="12" customFormat="1" x14ac:dyDescent="0.25"/>
    <row r="133865" s="12" customFormat="1" x14ac:dyDescent="0.25"/>
    <row r="133866" s="12" customFormat="1" x14ac:dyDescent="0.25"/>
    <row r="133867" s="12" customFormat="1" x14ac:dyDescent="0.25"/>
    <row r="133868" s="12" customFormat="1" x14ac:dyDescent="0.25"/>
    <row r="133869" s="12" customFormat="1" x14ac:dyDescent="0.25"/>
    <row r="133870" s="12" customFormat="1" x14ac:dyDescent="0.25"/>
    <row r="133871" s="12" customFormat="1" x14ac:dyDescent="0.25"/>
    <row r="133872" s="12" customFormat="1" x14ac:dyDescent="0.25"/>
    <row r="133873" s="12" customFormat="1" x14ac:dyDescent="0.25"/>
    <row r="133874" s="12" customFormat="1" x14ac:dyDescent="0.25"/>
    <row r="133875" s="12" customFormat="1" x14ac:dyDescent="0.25"/>
    <row r="133876" s="12" customFormat="1" x14ac:dyDescent="0.25"/>
    <row r="133877" s="12" customFormat="1" x14ac:dyDescent="0.25"/>
    <row r="133878" s="12" customFormat="1" x14ac:dyDescent="0.25"/>
    <row r="133879" s="12" customFormat="1" x14ac:dyDescent="0.25"/>
    <row r="133880" s="12" customFormat="1" x14ac:dyDescent="0.25"/>
    <row r="133881" s="12" customFormat="1" x14ac:dyDescent="0.25"/>
    <row r="133882" s="12" customFormat="1" x14ac:dyDescent="0.25"/>
    <row r="133883" s="12" customFormat="1" x14ac:dyDescent="0.25"/>
    <row r="133884" s="12" customFormat="1" x14ac:dyDescent="0.25"/>
    <row r="133885" s="12" customFormat="1" x14ac:dyDescent="0.25"/>
    <row r="133886" s="12" customFormat="1" x14ac:dyDescent="0.25"/>
    <row r="133887" s="12" customFormat="1" x14ac:dyDescent="0.25"/>
    <row r="133888" s="12" customFormat="1" x14ac:dyDescent="0.25"/>
    <row r="133889" s="12" customFormat="1" x14ac:dyDescent="0.25"/>
    <row r="133890" s="12" customFormat="1" x14ac:dyDescent="0.25"/>
    <row r="133891" s="12" customFormat="1" x14ac:dyDescent="0.25"/>
    <row r="133892" s="12" customFormat="1" x14ac:dyDescent="0.25"/>
    <row r="133893" s="12" customFormat="1" x14ac:dyDescent="0.25"/>
    <row r="133894" s="12" customFormat="1" x14ac:dyDescent="0.25"/>
    <row r="133895" s="12" customFormat="1" x14ac:dyDescent="0.25"/>
    <row r="133896" s="12" customFormat="1" x14ac:dyDescent="0.25"/>
    <row r="133897" s="12" customFormat="1" x14ac:dyDescent="0.25"/>
    <row r="133898" s="12" customFormat="1" x14ac:dyDescent="0.25"/>
    <row r="133899" s="12" customFormat="1" x14ac:dyDescent="0.25"/>
    <row r="133900" s="12" customFormat="1" x14ac:dyDescent="0.25"/>
    <row r="133901" s="12" customFormat="1" x14ac:dyDescent="0.25"/>
    <row r="133902" s="12" customFormat="1" x14ac:dyDescent="0.25"/>
    <row r="133903" s="12" customFormat="1" x14ac:dyDescent="0.25"/>
    <row r="133904" s="12" customFormat="1" x14ac:dyDescent="0.25"/>
    <row r="133905" s="12" customFormat="1" x14ac:dyDescent="0.25"/>
    <row r="133906" s="12" customFormat="1" x14ac:dyDescent="0.25"/>
    <row r="133907" s="12" customFormat="1" x14ac:dyDescent="0.25"/>
    <row r="133908" s="12" customFormat="1" x14ac:dyDescent="0.25"/>
    <row r="133909" s="12" customFormat="1" x14ac:dyDescent="0.25"/>
    <row r="133910" s="12" customFormat="1" x14ac:dyDescent="0.25"/>
    <row r="133911" s="12" customFormat="1" x14ac:dyDescent="0.25"/>
    <row r="133912" s="12" customFormat="1" x14ac:dyDescent="0.25"/>
    <row r="133913" s="12" customFormat="1" x14ac:dyDescent="0.25"/>
    <row r="133914" s="12" customFormat="1" x14ac:dyDescent="0.25"/>
    <row r="133915" s="12" customFormat="1" x14ac:dyDescent="0.25"/>
    <row r="133916" s="12" customFormat="1" x14ac:dyDescent="0.25"/>
    <row r="133917" s="12" customFormat="1" x14ac:dyDescent="0.25"/>
    <row r="133918" s="12" customFormat="1" x14ac:dyDescent="0.25"/>
    <row r="133919" s="12" customFormat="1" x14ac:dyDescent="0.25"/>
    <row r="133920" s="12" customFormat="1" x14ac:dyDescent="0.25"/>
    <row r="133921" s="12" customFormat="1" x14ac:dyDescent="0.25"/>
    <row r="133922" s="12" customFormat="1" x14ac:dyDescent="0.25"/>
    <row r="133923" s="12" customFormat="1" x14ac:dyDescent="0.25"/>
    <row r="133924" s="12" customFormat="1" x14ac:dyDescent="0.25"/>
    <row r="133925" s="12" customFormat="1" x14ac:dyDescent="0.25"/>
    <row r="133926" s="12" customFormat="1" x14ac:dyDescent="0.25"/>
    <row r="133927" s="12" customFormat="1" x14ac:dyDescent="0.25"/>
    <row r="133928" s="12" customFormat="1" x14ac:dyDescent="0.25"/>
    <row r="133929" s="12" customFormat="1" x14ac:dyDescent="0.25"/>
    <row r="133930" s="12" customFormat="1" x14ac:dyDescent="0.25"/>
    <row r="133931" s="12" customFormat="1" x14ac:dyDescent="0.25"/>
    <row r="133932" s="12" customFormat="1" x14ac:dyDescent="0.25"/>
    <row r="133933" s="12" customFormat="1" x14ac:dyDescent="0.25"/>
    <row r="133934" s="12" customFormat="1" x14ac:dyDescent="0.25"/>
    <row r="133935" s="12" customFormat="1" x14ac:dyDescent="0.25"/>
    <row r="133936" s="12" customFormat="1" x14ac:dyDescent="0.25"/>
    <row r="133937" s="12" customFormat="1" x14ac:dyDescent="0.25"/>
    <row r="133938" s="12" customFormat="1" x14ac:dyDescent="0.25"/>
    <row r="133939" s="12" customFormat="1" x14ac:dyDescent="0.25"/>
    <row r="133940" s="12" customFormat="1" x14ac:dyDescent="0.25"/>
    <row r="133941" s="12" customFormat="1" x14ac:dyDescent="0.25"/>
    <row r="133942" s="12" customFormat="1" x14ac:dyDescent="0.25"/>
    <row r="133943" s="12" customFormat="1" x14ac:dyDescent="0.25"/>
    <row r="133944" s="12" customFormat="1" x14ac:dyDescent="0.25"/>
    <row r="133945" s="12" customFormat="1" x14ac:dyDescent="0.25"/>
    <row r="133946" s="12" customFormat="1" x14ac:dyDescent="0.25"/>
    <row r="133947" s="12" customFormat="1" x14ac:dyDescent="0.25"/>
    <row r="133948" s="12" customFormat="1" x14ac:dyDescent="0.25"/>
    <row r="133949" s="12" customFormat="1" x14ac:dyDescent="0.25"/>
    <row r="133950" s="12" customFormat="1" x14ac:dyDescent="0.25"/>
    <row r="133951" s="12" customFormat="1" x14ac:dyDescent="0.25"/>
    <row r="133952" s="12" customFormat="1" x14ac:dyDescent="0.25"/>
    <row r="133953" s="12" customFormat="1" x14ac:dyDescent="0.25"/>
    <row r="133954" s="12" customFormat="1" x14ac:dyDescent="0.25"/>
    <row r="133955" s="12" customFormat="1" x14ac:dyDescent="0.25"/>
    <row r="133956" s="12" customFormat="1" x14ac:dyDescent="0.25"/>
    <row r="133957" s="12" customFormat="1" x14ac:dyDescent="0.25"/>
    <row r="133958" s="12" customFormat="1" x14ac:dyDescent="0.25"/>
    <row r="133959" s="12" customFormat="1" x14ac:dyDescent="0.25"/>
    <row r="133960" s="12" customFormat="1" x14ac:dyDescent="0.25"/>
    <row r="133961" s="12" customFormat="1" x14ac:dyDescent="0.25"/>
    <row r="133962" s="12" customFormat="1" x14ac:dyDescent="0.25"/>
    <row r="133963" s="12" customFormat="1" x14ac:dyDescent="0.25"/>
    <row r="133964" s="12" customFormat="1" x14ac:dyDescent="0.25"/>
    <row r="133965" s="12" customFormat="1" x14ac:dyDescent="0.25"/>
    <row r="133966" s="12" customFormat="1" x14ac:dyDescent="0.25"/>
    <row r="133967" s="12" customFormat="1" x14ac:dyDescent="0.25"/>
    <row r="133968" s="12" customFormat="1" x14ac:dyDescent="0.25"/>
    <row r="133969" s="12" customFormat="1" x14ac:dyDescent="0.25"/>
    <row r="133970" s="12" customFormat="1" x14ac:dyDescent="0.25"/>
    <row r="133971" s="12" customFormat="1" x14ac:dyDescent="0.25"/>
    <row r="133972" s="12" customFormat="1" x14ac:dyDescent="0.25"/>
    <row r="133973" s="12" customFormat="1" x14ac:dyDescent="0.25"/>
    <row r="133974" s="12" customFormat="1" x14ac:dyDescent="0.25"/>
    <row r="133975" s="12" customFormat="1" x14ac:dyDescent="0.25"/>
    <row r="133976" s="12" customFormat="1" x14ac:dyDescent="0.25"/>
    <row r="133977" s="12" customFormat="1" x14ac:dyDescent="0.25"/>
    <row r="133978" s="12" customFormat="1" x14ac:dyDescent="0.25"/>
    <row r="133979" s="12" customFormat="1" x14ac:dyDescent="0.25"/>
    <row r="133980" s="12" customFormat="1" x14ac:dyDescent="0.25"/>
    <row r="133981" s="12" customFormat="1" x14ac:dyDescent="0.25"/>
    <row r="133982" s="12" customFormat="1" x14ac:dyDescent="0.25"/>
    <row r="133983" s="12" customFormat="1" x14ac:dyDescent="0.25"/>
    <row r="133984" s="12" customFormat="1" x14ac:dyDescent="0.25"/>
    <row r="133985" s="12" customFormat="1" x14ac:dyDescent="0.25"/>
    <row r="133986" s="12" customFormat="1" x14ac:dyDescent="0.25"/>
    <row r="133987" s="12" customFormat="1" x14ac:dyDescent="0.25"/>
    <row r="133988" s="12" customFormat="1" x14ac:dyDescent="0.25"/>
    <row r="133989" s="12" customFormat="1" x14ac:dyDescent="0.25"/>
    <row r="133990" s="12" customFormat="1" x14ac:dyDescent="0.25"/>
    <row r="133991" s="12" customFormat="1" x14ac:dyDescent="0.25"/>
    <row r="133992" s="12" customFormat="1" x14ac:dyDescent="0.25"/>
    <row r="133993" s="12" customFormat="1" x14ac:dyDescent="0.25"/>
    <row r="133994" s="12" customFormat="1" x14ac:dyDescent="0.25"/>
    <row r="133995" s="12" customFormat="1" x14ac:dyDescent="0.25"/>
    <row r="133996" s="12" customFormat="1" x14ac:dyDescent="0.25"/>
    <row r="133997" s="12" customFormat="1" x14ac:dyDescent="0.25"/>
    <row r="133998" s="12" customFormat="1" x14ac:dyDescent="0.25"/>
    <row r="133999" s="12" customFormat="1" x14ac:dyDescent="0.25"/>
    <row r="134000" s="12" customFormat="1" x14ac:dyDescent="0.25"/>
    <row r="134001" s="12" customFormat="1" x14ac:dyDescent="0.25"/>
    <row r="134002" s="12" customFormat="1" x14ac:dyDescent="0.25"/>
    <row r="134003" s="12" customFormat="1" x14ac:dyDescent="0.25"/>
    <row r="134004" s="12" customFormat="1" x14ac:dyDescent="0.25"/>
    <row r="134005" s="12" customFormat="1" x14ac:dyDescent="0.25"/>
    <row r="134006" s="12" customFormat="1" x14ac:dyDescent="0.25"/>
    <row r="134007" s="12" customFormat="1" x14ac:dyDescent="0.25"/>
    <row r="134008" s="12" customFormat="1" x14ac:dyDescent="0.25"/>
    <row r="134009" s="12" customFormat="1" x14ac:dyDescent="0.25"/>
    <row r="134010" s="12" customFormat="1" x14ac:dyDescent="0.25"/>
    <row r="134011" s="12" customFormat="1" x14ac:dyDescent="0.25"/>
    <row r="134012" s="12" customFormat="1" x14ac:dyDescent="0.25"/>
    <row r="134013" s="12" customFormat="1" x14ac:dyDescent="0.25"/>
    <row r="134014" s="12" customFormat="1" x14ac:dyDescent="0.25"/>
    <row r="134015" s="12" customFormat="1" x14ac:dyDescent="0.25"/>
    <row r="134016" s="12" customFormat="1" x14ac:dyDescent="0.25"/>
    <row r="134017" s="12" customFormat="1" x14ac:dyDescent="0.25"/>
    <row r="134018" s="12" customFormat="1" x14ac:dyDescent="0.25"/>
    <row r="134019" s="12" customFormat="1" x14ac:dyDescent="0.25"/>
    <row r="134020" s="12" customFormat="1" x14ac:dyDescent="0.25"/>
    <row r="134021" s="12" customFormat="1" x14ac:dyDescent="0.25"/>
    <row r="134022" s="12" customFormat="1" x14ac:dyDescent="0.25"/>
    <row r="134023" s="12" customFormat="1" x14ac:dyDescent="0.25"/>
    <row r="134024" s="12" customFormat="1" x14ac:dyDescent="0.25"/>
    <row r="134025" s="12" customFormat="1" x14ac:dyDescent="0.25"/>
    <row r="134026" s="12" customFormat="1" x14ac:dyDescent="0.25"/>
    <row r="134027" s="12" customFormat="1" x14ac:dyDescent="0.25"/>
    <row r="134028" s="12" customFormat="1" x14ac:dyDescent="0.25"/>
    <row r="134029" s="12" customFormat="1" x14ac:dyDescent="0.25"/>
    <row r="134030" s="12" customFormat="1" x14ac:dyDescent="0.25"/>
    <row r="134031" s="12" customFormat="1" x14ac:dyDescent="0.25"/>
    <row r="134032" s="12" customFormat="1" x14ac:dyDescent="0.25"/>
    <row r="134033" s="12" customFormat="1" x14ac:dyDescent="0.25"/>
    <row r="134034" s="12" customFormat="1" x14ac:dyDescent="0.25"/>
    <row r="134035" s="12" customFormat="1" x14ac:dyDescent="0.25"/>
    <row r="134036" s="12" customFormat="1" x14ac:dyDescent="0.25"/>
    <row r="134037" s="12" customFormat="1" x14ac:dyDescent="0.25"/>
    <row r="134038" s="12" customFormat="1" x14ac:dyDescent="0.25"/>
    <row r="134039" s="12" customFormat="1" x14ac:dyDescent="0.25"/>
    <row r="134040" s="12" customFormat="1" x14ac:dyDescent="0.25"/>
    <row r="134041" s="12" customFormat="1" x14ac:dyDescent="0.25"/>
    <row r="134042" s="12" customFormat="1" x14ac:dyDescent="0.25"/>
    <row r="134043" s="12" customFormat="1" x14ac:dyDescent="0.25"/>
    <row r="134044" s="12" customFormat="1" x14ac:dyDescent="0.25"/>
    <row r="134045" s="12" customFormat="1" x14ac:dyDescent="0.25"/>
    <row r="134046" s="12" customFormat="1" x14ac:dyDescent="0.25"/>
    <row r="134047" s="12" customFormat="1" x14ac:dyDescent="0.25"/>
    <row r="134048" s="12" customFormat="1" x14ac:dyDescent="0.25"/>
    <row r="134049" s="12" customFormat="1" x14ac:dyDescent="0.25"/>
    <row r="134050" s="12" customFormat="1" x14ac:dyDescent="0.25"/>
    <row r="134051" s="12" customFormat="1" x14ac:dyDescent="0.25"/>
    <row r="134052" s="12" customFormat="1" x14ac:dyDescent="0.25"/>
    <row r="134053" s="12" customFormat="1" x14ac:dyDescent="0.25"/>
    <row r="134054" s="12" customFormat="1" x14ac:dyDescent="0.25"/>
    <row r="134055" s="12" customFormat="1" x14ac:dyDescent="0.25"/>
    <row r="134056" s="12" customFormat="1" x14ac:dyDescent="0.25"/>
    <row r="134057" s="12" customFormat="1" x14ac:dyDescent="0.25"/>
    <row r="134058" s="12" customFormat="1" x14ac:dyDescent="0.25"/>
    <row r="134059" s="12" customFormat="1" x14ac:dyDescent="0.25"/>
    <row r="134060" s="12" customFormat="1" x14ac:dyDescent="0.25"/>
    <row r="134061" s="12" customFormat="1" x14ac:dyDescent="0.25"/>
    <row r="134062" s="12" customFormat="1" x14ac:dyDescent="0.25"/>
    <row r="134063" s="12" customFormat="1" x14ac:dyDescent="0.25"/>
    <row r="134064" s="12" customFormat="1" x14ac:dyDescent="0.25"/>
    <row r="134065" s="12" customFormat="1" x14ac:dyDescent="0.25"/>
    <row r="134066" s="12" customFormat="1" x14ac:dyDescent="0.25"/>
    <row r="134067" s="12" customFormat="1" x14ac:dyDescent="0.25"/>
    <row r="134068" s="12" customFormat="1" x14ac:dyDescent="0.25"/>
    <row r="134069" s="12" customFormat="1" x14ac:dyDescent="0.25"/>
    <row r="134070" s="12" customFormat="1" x14ac:dyDescent="0.25"/>
    <row r="134071" s="12" customFormat="1" x14ac:dyDescent="0.25"/>
    <row r="134072" s="12" customFormat="1" x14ac:dyDescent="0.25"/>
    <row r="134073" s="12" customFormat="1" x14ac:dyDescent="0.25"/>
    <row r="134074" s="12" customFormat="1" x14ac:dyDescent="0.25"/>
    <row r="134075" s="12" customFormat="1" x14ac:dyDescent="0.25"/>
    <row r="134076" s="12" customFormat="1" x14ac:dyDescent="0.25"/>
    <row r="134077" s="12" customFormat="1" x14ac:dyDescent="0.25"/>
    <row r="134078" s="12" customFormat="1" x14ac:dyDescent="0.25"/>
    <row r="134079" s="12" customFormat="1" x14ac:dyDescent="0.25"/>
    <row r="134080" s="12" customFormat="1" x14ac:dyDescent="0.25"/>
    <row r="134081" s="12" customFormat="1" x14ac:dyDescent="0.25"/>
    <row r="134082" s="12" customFormat="1" x14ac:dyDescent="0.25"/>
    <row r="134083" s="12" customFormat="1" x14ac:dyDescent="0.25"/>
    <row r="134084" s="12" customFormat="1" x14ac:dyDescent="0.25"/>
    <row r="134085" s="12" customFormat="1" x14ac:dyDescent="0.25"/>
    <row r="134086" s="12" customFormat="1" x14ac:dyDescent="0.25"/>
    <row r="134087" s="12" customFormat="1" x14ac:dyDescent="0.25"/>
    <row r="134088" s="12" customFormat="1" x14ac:dyDescent="0.25"/>
    <row r="134089" s="12" customFormat="1" x14ac:dyDescent="0.25"/>
    <row r="134090" s="12" customFormat="1" x14ac:dyDescent="0.25"/>
    <row r="134091" s="12" customFormat="1" x14ac:dyDescent="0.25"/>
    <row r="134092" s="12" customFormat="1" x14ac:dyDescent="0.25"/>
    <row r="134093" s="12" customFormat="1" x14ac:dyDescent="0.25"/>
    <row r="134094" s="12" customFormat="1" x14ac:dyDescent="0.25"/>
    <row r="134095" s="12" customFormat="1" x14ac:dyDescent="0.25"/>
    <row r="134096" s="12" customFormat="1" x14ac:dyDescent="0.25"/>
    <row r="134097" s="12" customFormat="1" x14ac:dyDescent="0.25"/>
    <row r="134098" s="12" customFormat="1" x14ac:dyDescent="0.25"/>
    <row r="134099" s="12" customFormat="1" x14ac:dyDescent="0.25"/>
    <row r="134100" s="12" customFormat="1" x14ac:dyDescent="0.25"/>
    <row r="134101" s="12" customFormat="1" x14ac:dyDescent="0.25"/>
    <row r="134102" s="12" customFormat="1" x14ac:dyDescent="0.25"/>
    <row r="134103" s="12" customFormat="1" x14ac:dyDescent="0.25"/>
    <row r="134104" s="12" customFormat="1" x14ac:dyDescent="0.25"/>
    <row r="134105" s="12" customFormat="1" x14ac:dyDescent="0.25"/>
    <row r="134106" s="12" customFormat="1" x14ac:dyDescent="0.25"/>
    <row r="134107" s="12" customFormat="1" x14ac:dyDescent="0.25"/>
    <row r="134108" s="12" customFormat="1" x14ac:dyDescent="0.25"/>
    <row r="134109" s="12" customFormat="1" x14ac:dyDescent="0.25"/>
    <row r="134110" s="12" customFormat="1" x14ac:dyDescent="0.25"/>
    <row r="134111" s="12" customFormat="1" x14ac:dyDescent="0.25"/>
    <row r="134112" s="12" customFormat="1" x14ac:dyDescent="0.25"/>
    <row r="134113" s="12" customFormat="1" x14ac:dyDescent="0.25"/>
    <row r="134114" s="12" customFormat="1" x14ac:dyDescent="0.25"/>
    <row r="134115" s="12" customFormat="1" x14ac:dyDescent="0.25"/>
    <row r="134116" s="12" customFormat="1" x14ac:dyDescent="0.25"/>
    <row r="134117" s="12" customFormat="1" x14ac:dyDescent="0.25"/>
    <row r="134118" s="12" customFormat="1" x14ac:dyDescent="0.25"/>
    <row r="134119" s="12" customFormat="1" x14ac:dyDescent="0.25"/>
    <row r="134120" s="12" customFormat="1" x14ac:dyDescent="0.25"/>
    <row r="134121" s="12" customFormat="1" x14ac:dyDescent="0.25"/>
    <row r="134122" s="12" customFormat="1" x14ac:dyDescent="0.25"/>
    <row r="134123" s="12" customFormat="1" x14ac:dyDescent="0.25"/>
    <row r="134124" s="12" customFormat="1" x14ac:dyDescent="0.25"/>
    <row r="134125" s="12" customFormat="1" x14ac:dyDescent="0.25"/>
    <row r="134126" s="12" customFormat="1" x14ac:dyDescent="0.25"/>
    <row r="134127" s="12" customFormat="1" x14ac:dyDescent="0.25"/>
    <row r="134128" s="12" customFormat="1" x14ac:dyDescent="0.25"/>
    <row r="134129" s="12" customFormat="1" x14ac:dyDescent="0.25"/>
    <row r="134130" s="12" customFormat="1" x14ac:dyDescent="0.25"/>
    <row r="134131" s="12" customFormat="1" x14ac:dyDescent="0.25"/>
    <row r="134132" s="12" customFormat="1" x14ac:dyDescent="0.25"/>
    <row r="134133" s="12" customFormat="1" x14ac:dyDescent="0.25"/>
    <row r="134134" s="12" customFormat="1" x14ac:dyDescent="0.25"/>
    <row r="134135" s="12" customFormat="1" x14ac:dyDescent="0.25"/>
    <row r="134136" s="12" customFormat="1" x14ac:dyDescent="0.25"/>
    <row r="134137" s="12" customFormat="1" x14ac:dyDescent="0.25"/>
    <row r="134138" s="12" customFormat="1" x14ac:dyDescent="0.25"/>
    <row r="134139" s="12" customFormat="1" x14ac:dyDescent="0.25"/>
    <row r="134140" s="12" customFormat="1" x14ac:dyDescent="0.25"/>
    <row r="134141" s="12" customFormat="1" x14ac:dyDescent="0.25"/>
    <row r="134142" s="12" customFormat="1" x14ac:dyDescent="0.25"/>
    <row r="134143" s="12" customFormat="1" x14ac:dyDescent="0.25"/>
    <row r="134144" s="12" customFormat="1" x14ac:dyDescent="0.25"/>
    <row r="134145" s="12" customFormat="1" x14ac:dyDescent="0.25"/>
    <row r="134146" s="12" customFormat="1" x14ac:dyDescent="0.25"/>
    <row r="134147" s="12" customFormat="1" x14ac:dyDescent="0.25"/>
    <row r="134148" s="12" customFormat="1" x14ac:dyDescent="0.25"/>
    <row r="134149" s="12" customFormat="1" x14ac:dyDescent="0.25"/>
    <row r="134150" s="12" customFormat="1" x14ac:dyDescent="0.25"/>
    <row r="134151" s="12" customFormat="1" x14ac:dyDescent="0.25"/>
    <row r="134152" s="12" customFormat="1" x14ac:dyDescent="0.25"/>
    <row r="134153" s="12" customFormat="1" x14ac:dyDescent="0.25"/>
    <row r="134154" s="12" customFormat="1" x14ac:dyDescent="0.25"/>
    <row r="134155" s="12" customFormat="1" x14ac:dyDescent="0.25"/>
    <row r="134156" s="12" customFormat="1" x14ac:dyDescent="0.25"/>
    <row r="134157" s="12" customFormat="1" x14ac:dyDescent="0.25"/>
    <row r="134158" s="12" customFormat="1" x14ac:dyDescent="0.25"/>
    <row r="134159" s="12" customFormat="1" x14ac:dyDescent="0.25"/>
    <row r="134160" s="12" customFormat="1" x14ac:dyDescent="0.25"/>
    <row r="134161" s="12" customFormat="1" x14ac:dyDescent="0.25"/>
    <row r="134162" s="12" customFormat="1" x14ac:dyDescent="0.25"/>
    <row r="134163" s="12" customFormat="1" x14ac:dyDescent="0.25"/>
    <row r="134164" s="12" customFormat="1" x14ac:dyDescent="0.25"/>
    <row r="134165" s="12" customFormat="1" x14ac:dyDescent="0.25"/>
    <row r="134166" s="12" customFormat="1" x14ac:dyDescent="0.25"/>
    <row r="134167" s="12" customFormat="1" x14ac:dyDescent="0.25"/>
    <row r="134168" s="12" customFormat="1" x14ac:dyDescent="0.25"/>
    <row r="134169" s="12" customFormat="1" x14ac:dyDescent="0.25"/>
    <row r="134170" s="12" customFormat="1" x14ac:dyDescent="0.25"/>
    <row r="134171" s="12" customFormat="1" x14ac:dyDescent="0.25"/>
    <row r="134172" s="12" customFormat="1" x14ac:dyDescent="0.25"/>
    <row r="134173" s="12" customFormat="1" x14ac:dyDescent="0.25"/>
    <row r="134174" s="12" customFormat="1" x14ac:dyDescent="0.25"/>
    <row r="134175" s="12" customFormat="1" x14ac:dyDescent="0.25"/>
    <row r="134176" s="12" customFormat="1" x14ac:dyDescent="0.25"/>
    <row r="134177" s="12" customFormat="1" x14ac:dyDescent="0.25"/>
    <row r="134178" s="12" customFormat="1" x14ac:dyDescent="0.25"/>
    <row r="134179" s="12" customFormat="1" x14ac:dyDescent="0.25"/>
    <row r="134180" s="12" customFormat="1" x14ac:dyDescent="0.25"/>
    <row r="134181" s="12" customFormat="1" x14ac:dyDescent="0.25"/>
    <row r="134182" s="12" customFormat="1" x14ac:dyDescent="0.25"/>
    <row r="134183" s="12" customFormat="1" x14ac:dyDescent="0.25"/>
    <row r="134184" s="12" customFormat="1" x14ac:dyDescent="0.25"/>
    <row r="134185" s="12" customFormat="1" x14ac:dyDescent="0.25"/>
    <row r="134186" s="12" customFormat="1" x14ac:dyDescent="0.25"/>
    <row r="134187" s="12" customFormat="1" x14ac:dyDescent="0.25"/>
    <row r="134188" s="12" customFormat="1" x14ac:dyDescent="0.25"/>
    <row r="134189" s="12" customFormat="1" x14ac:dyDescent="0.25"/>
    <row r="134190" s="12" customFormat="1" x14ac:dyDescent="0.25"/>
    <row r="134191" s="12" customFormat="1" x14ac:dyDescent="0.25"/>
    <row r="134192" s="12" customFormat="1" x14ac:dyDescent="0.25"/>
    <row r="134193" s="12" customFormat="1" x14ac:dyDescent="0.25"/>
    <row r="134194" s="12" customFormat="1" x14ac:dyDescent="0.25"/>
    <row r="134195" s="12" customFormat="1" x14ac:dyDescent="0.25"/>
    <row r="134196" s="12" customFormat="1" x14ac:dyDescent="0.25"/>
    <row r="134197" s="12" customFormat="1" x14ac:dyDescent="0.25"/>
    <row r="134198" s="12" customFormat="1" x14ac:dyDescent="0.25"/>
    <row r="134199" s="12" customFormat="1" x14ac:dyDescent="0.25"/>
    <row r="134200" s="12" customFormat="1" x14ac:dyDescent="0.25"/>
    <row r="134201" s="12" customFormat="1" x14ac:dyDescent="0.25"/>
    <row r="134202" s="12" customFormat="1" x14ac:dyDescent="0.25"/>
    <row r="134203" s="12" customFormat="1" x14ac:dyDescent="0.25"/>
    <row r="134204" s="12" customFormat="1" x14ac:dyDescent="0.25"/>
    <row r="134205" s="12" customFormat="1" x14ac:dyDescent="0.25"/>
    <row r="134206" s="12" customFormat="1" x14ac:dyDescent="0.25"/>
    <row r="134207" s="12" customFormat="1" x14ac:dyDescent="0.25"/>
    <row r="134208" s="12" customFormat="1" x14ac:dyDescent="0.25"/>
    <row r="134209" s="12" customFormat="1" x14ac:dyDescent="0.25"/>
    <row r="134210" s="12" customFormat="1" x14ac:dyDescent="0.25"/>
    <row r="134211" s="12" customFormat="1" x14ac:dyDescent="0.25"/>
    <row r="134212" s="12" customFormat="1" x14ac:dyDescent="0.25"/>
    <row r="134213" s="12" customFormat="1" x14ac:dyDescent="0.25"/>
    <row r="134214" s="12" customFormat="1" x14ac:dyDescent="0.25"/>
    <row r="134215" s="12" customFormat="1" x14ac:dyDescent="0.25"/>
    <row r="134216" s="12" customFormat="1" x14ac:dyDescent="0.25"/>
    <row r="134217" s="12" customFormat="1" x14ac:dyDescent="0.25"/>
    <row r="134218" s="12" customFormat="1" x14ac:dyDescent="0.25"/>
    <row r="134219" s="12" customFormat="1" x14ac:dyDescent="0.25"/>
    <row r="134220" s="12" customFormat="1" x14ac:dyDescent="0.25"/>
    <row r="134221" s="12" customFormat="1" x14ac:dyDescent="0.25"/>
    <row r="134222" s="12" customFormat="1" x14ac:dyDescent="0.25"/>
    <row r="134223" s="12" customFormat="1" x14ac:dyDescent="0.25"/>
    <row r="134224" s="12" customFormat="1" x14ac:dyDescent="0.25"/>
    <row r="134225" s="12" customFormat="1" x14ac:dyDescent="0.25"/>
    <row r="134226" s="12" customFormat="1" x14ac:dyDescent="0.25"/>
    <row r="134227" s="12" customFormat="1" x14ac:dyDescent="0.25"/>
    <row r="134228" s="12" customFormat="1" x14ac:dyDescent="0.25"/>
    <row r="134229" s="12" customFormat="1" x14ac:dyDescent="0.25"/>
    <row r="134230" s="12" customFormat="1" x14ac:dyDescent="0.25"/>
    <row r="134231" s="12" customFormat="1" x14ac:dyDescent="0.25"/>
    <row r="134232" s="12" customFormat="1" x14ac:dyDescent="0.25"/>
    <row r="134233" s="12" customFormat="1" x14ac:dyDescent="0.25"/>
    <row r="134234" s="12" customFormat="1" x14ac:dyDescent="0.25"/>
    <row r="134235" s="12" customFormat="1" x14ac:dyDescent="0.25"/>
    <row r="134236" s="12" customFormat="1" x14ac:dyDescent="0.25"/>
    <row r="134237" s="12" customFormat="1" x14ac:dyDescent="0.25"/>
    <row r="134238" s="12" customFormat="1" x14ac:dyDescent="0.25"/>
    <row r="134239" s="12" customFormat="1" x14ac:dyDescent="0.25"/>
    <row r="134240" s="12" customFormat="1" x14ac:dyDescent="0.25"/>
    <row r="134241" s="12" customFormat="1" x14ac:dyDescent="0.25"/>
    <row r="134242" s="12" customFormat="1" x14ac:dyDescent="0.25"/>
    <row r="134243" s="12" customFormat="1" x14ac:dyDescent="0.25"/>
    <row r="134244" s="12" customFormat="1" x14ac:dyDescent="0.25"/>
    <row r="134245" s="12" customFormat="1" x14ac:dyDescent="0.25"/>
    <row r="134246" s="12" customFormat="1" x14ac:dyDescent="0.25"/>
    <row r="134247" s="12" customFormat="1" x14ac:dyDescent="0.25"/>
    <row r="134248" s="12" customFormat="1" x14ac:dyDescent="0.25"/>
    <row r="134249" s="12" customFormat="1" x14ac:dyDescent="0.25"/>
    <row r="134250" s="12" customFormat="1" x14ac:dyDescent="0.25"/>
    <row r="134251" s="12" customFormat="1" x14ac:dyDescent="0.25"/>
    <row r="134252" s="12" customFormat="1" x14ac:dyDescent="0.25"/>
    <row r="134253" s="12" customFormat="1" x14ac:dyDescent="0.25"/>
    <row r="134254" s="12" customFormat="1" x14ac:dyDescent="0.25"/>
    <row r="134255" s="12" customFormat="1" x14ac:dyDescent="0.25"/>
    <row r="134256" s="12" customFormat="1" x14ac:dyDescent="0.25"/>
    <row r="134257" s="12" customFormat="1" x14ac:dyDescent="0.25"/>
    <row r="134258" s="12" customFormat="1" x14ac:dyDescent="0.25"/>
    <row r="134259" s="12" customFormat="1" x14ac:dyDescent="0.25"/>
    <row r="134260" s="12" customFormat="1" x14ac:dyDescent="0.25"/>
    <row r="134261" s="12" customFormat="1" x14ac:dyDescent="0.25"/>
    <row r="134262" s="12" customFormat="1" x14ac:dyDescent="0.25"/>
    <row r="134263" s="12" customFormat="1" x14ac:dyDescent="0.25"/>
    <row r="134264" s="12" customFormat="1" x14ac:dyDescent="0.25"/>
    <row r="134265" s="12" customFormat="1" x14ac:dyDescent="0.25"/>
    <row r="134266" s="12" customFormat="1" x14ac:dyDescent="0.25"/>
    <row r="134267" s="12" customFormat="1" x14ac:dyDescent="0.25"/>
    <row r="134268" s="12" customFormat="1" x14ac:dyDescent="0.25"/>
    <row r="134269" s="12" customFormat="1" x14ac:dyDescent="0.25"/>
    <row r="134270" s="12" customFormat="1" x14ac:dyDescent="0.25"/>
    <row r="134271" s="12" customFormat="1" x14ac:dyDescent="0.25"/>
    <row r="134272" s="12" customFormat="1" x14ac:dyDescent="0.25"/>
    <row r="134273" s="12" customFormat="1" x14ac:dyDescent="0.25"/>
    <row r="134274" s="12" customFormat="1" x14ac:dyDescent="0.25"/>
    <row r="134275" s="12" customFormat="1" x14ac:dyDescent="0.25"/>
    <row r="134276" s="12" customFormat="1" x14ac:dyDescent="0.25"/>
    <row r="134277" s="12" customFormat="1" x14ac:dyDescent="0.25"/>
    <row r="134278" s="12" customFormat="1" x14ac:dyDescent="0.25"/>
    <row r="134279" s="12" customFormat="1" x14ac:dyDescent="0.25"/>
    <row r="134280" s="12" customFormat="1" x14ac:dyDescent="0.25"/>
    <row r="134281" s="12" customFormat="1" x14ac:dyDescent="0.25"/>
    <row r="134282" s="12" customFormat="1" x14ac:dyDescent="0.25"/>
    <row r="134283" s="12" customFormat="1" x14ac:dyDescent="0.25"/>
    <row r="134284" s="12" customFormat="1" x14ac:dyDescent="0.25"/>
    <row r="134285" s="12" customFormat="1" x14ac:dyDescent="0.25"/>
    <row r="134286" s="12" customFormat="1" x14ac:dyDescent="0.25"/>
    <row r="134287" s="12" customFormat="1" x14ac:dyDescent="0.25"/>
    <row r="134288" s="12" customFormat="1" x14ac:dyDescent="0.25"/>
    <row r="134289" s="12" customFormat="1" x14ac:dyDescent="0.25"/>
    <row r="134290" s="12" customFormat="1" x14ac:dyDescent="0.25"/>
    <row r="134291" s="12" customFormat="1" x14ac:dyDescent="0.25"/>
    <row r="134292" s="12" customFormat="1" x14ac:dyDescent="0.25"/>
    <row r="134293" s="12" customFormat="1" x14ac:dyDescent="0.25"/>
    <row r="134294" s="12" customFormat="1" x14ac:dyDescent="0.25"/>
    <row r="134295" s="12" customFormat="1" x14ac:dyDescent="0.25"/>
    <row r="134296" s="12" customFormat="1" x14ac:dyDescent="0.25"/>
    <row r="134297" s="12" customFormat="1" x14ac:dyDescent="0.25"/>
    <row r="134298" s="12" customFormat="1" x14ac:dyDescent="0.25"/>
    <row r="134299" s="12" customFormat="1" x14ac:dyDescent="0.25"/>
    <row r="134300" s="12" customFormat="1" x14ac:dyDescent="0.25"/>
    <row r="134301" s="12" customFormat="1" x14ac:dyDescent="0.25"/>
    <row r="134302" s="12" customFormat="1" x14ac:dyDescent="0.25"/>
    <row r="134303" s="12" customFormat="1" x14ac:dyDescent="0.25"/>
    <row r="134304" s="12" customFormat="1" x14ac:dyDescent="0.25"/>
    <row r="134305" s="12" customFormat="1" x14ac:dyDescent="0.25"/>
    <row r="134306" s="12" customFormat="1" x14ac:dyDescent="0.25"/>
    <row r="134307" s="12" customFormat="1" x14ac:dyDescent="0.25"/>
    <row r="134308" s="12" customFormat="1" x14ac:dyDescent="0.25"/>
    <row r="134309" s="12" customFormat="1" x14ac:dyDescent="0.25"/>
    <row r="134310" s="12" customFormat="1" x14ac:dyDescent="0.25"/>
    <row r="134311" s="12" customFormat="1" x14ac:dyDescent="0.25"/>
    <row r="134312" s="12" customFormat="1" x14ac:dyDescent="0.25"/>
    <row r="134313" s="12" customFormat="1" x14ac:dyDescent="0.25"/>
    <row r="134314" s="12" customFormat="1" x14ac:dyDescent="0.25"/>
    <row r="134315" s="12" customFormat="1" x14ac:dyDescent="0.25"/>
    <row r="134316" s="12" customFormat="1" x14ac:dyDescent="0.25"/>
    <row r="134317" s="12" customFormat="1" x14ac:dyDescent="0.25"/>
    <row r="134318" s="12" customFormat="1" x14ac:dyDescent="0.25"/>
    <row r="134319" s="12" customFormat="1" x14ac:dyDescent="0.25"/>
    <row r="134320" s="12" customFormat="1" x14ac:dyDescent="0.25"/>
    <row r="134321" s="12" customFormat="1" x14ac:dyDescent="0.25"/>
    <row r="134322" s="12" customFormat="1" x14ac:dyDescent="0.25"/>
    <row r="134323" s="12" customFormat="1" x14ac:dyDescent="0.25"/>
    <row r="134324" s="12" customFormat="1" x14ac:dyDescent="0.25"/>
    <row r="134325" s="12" customFormat="1" x14ac:dyDescent="0.25"/>
    <row r="134326" s="12" customFormat="1" x14ac:dyDescent="0.25"/>
    <row r="134327" s="12" customFormat="1" x14ac:dyDescent="0.25"/>
    <row r="134328" s="12" customFormat="1" x14ac:dyDescent="0.25"/>
    <row r="134329" s="12" customFormat="1" x14ac:dyDescent="0.25"/>
    <row r="134330" s="12" customFormat="1" x14ac:dyDescent="0.25"/>
    <row r="134331" s="12" customFormat="1" x14ac:dyDescent="0.25"/>
    <row r="134332" s="12" customFormat="1" x14ac:dyDescent="0.25"/>
    <row r="134333" s="12" customFormat="1" x14ac:dyDescent="0.25"/>
    <row r="134334" s="12" customFormat="1" x14ac:dyDescent="0.25"/>
    <row r="134335" s="12" customFormat="1" x14ac:dyDescent="0.25"/>
    <row r="134336" s="12" customFormat="1" x14ac:dyDescent="0.25"/>
    <row r="134337" s="12" customFormat="1" x14ac:dyDescent="0.25"/>
    <row r="134338" s="12" customFormat="1" x14ac:dyDescent="0.25"/>
    <row r="134339" s="12" customFormat="1" x14ac:dyDescent="0.25"/>
    <row r="134340" s="12" customFormat="1" x14ac:dyDescent="0.25"/>
    <row r="134341" s="12" customFormat="1" x14ac:dyDescent="0.25"/>
    <row r="134342" s="12" customFormat="1" x14ac:dyDescent="0.25"/>
    <row r="134343" s="12" customFormat="1" x14ac:dyDescent="0.25"/>
    <row r="134344" s="12" customFormat="1" x14ac:dyDescent="0.25"/>
    <row r="134345" s="12" customFormat="1" x14ac:dyDescent="0.25"/>
    <row r="134346" s="12" customFormat="1" x14ac:dyDescent="0.25"/>
    <row r="134347" s="12" customFormat="1" x14ac:dyDescent="0.25"/>
    <row r="134348" s="12" customFormat="1" x14ac:dyDescent="0.25"/>
    <row r="134349" s="12" customFormat="1" x14ac:dyDescent="0.25"/>
    <row r="134350" s="12" customFormat="1" x14ac:dyDescent="0.25"/>
    <row r="134351" s="12" customFormat="1" x14ac:dyDescent="0.25"/>
    <row r="134352" s="12" customFormat="1" x14ac:dyDescent="0.25"/>
    <row r="134353" s="12" customFormat="1" x14ac:dyDescent="0.25"/>
    <row r="134354" s="12" customFormat="1" x14ac:dyDescent="0.25"/>
    <row r="134355" s="12" customFormat="1" x14ac:dyDescent="0.25"/>
    <row r="134356" s="12" customFormat="1" x14ac:dyDescent="0.25"/>
    <row r="134357" s="12" customFormat="1" x14ac:dyDescent="0.25"/>
    <row r="134358" s="12" customFormat="1" x14ac:dyDescent="0.25"/>
    <row r="134359" s="12" customFormat="1" x14ac:dyDescent="0.25"/>
    <row r="134360" s="12" customFormat="1" x14ac:dyDescent="0.25"/>
    <row r="134361" s="12" customFormat="1" x14ac:dyDescent="0.25"/>
    <row r="134362" s="12" customFormat="1" x14ac:dyDescent="0.25"/>
    <row r="134363" s="12" customFormat="1" x14ac:dyDescent="0.25"/>
    <row r="134364" s="12" customFormat="1" x14ac:dyDescent="0.25"/>
    <row r="134365" s="12" customFormat="1" x14ac:dyDescent="0.25"/>
    <row r="134366" s="12" customFormat="1" x14ac:dyDescent="0.25"/>
    <row r="134367" s="12" customFormat="1" x14ac:dyDescent="0.25"/>
    <row r="134368" s="12" customFormat="1" x14ac:dyDescent="0.25"/>
    <row r="134369" s="12" customFormat="1" x14ac:dyDescent="0.25"/>
    <row r="134370" s="12" customFormat="1" x14ac:dyDescent="0.25"/>
    <row r="134371" s="12" customFormat="1" x14ac:dyDescent="0.25"/>
    <row r="134372" s="12" customFormat="1" x14ac:dyDescent="0.25"/>
    <row r="134373" s="12" customFormat="1" x14ac:dyDescent="0.25"/>
    <row r="134374" s="12" customFormat="1" x14ac:dyDescent="0.25"/>
    <row r="134375" s="12" customFormat="1" x14ac:dyDescent="0.25"/>
    <row r="134376" s="12" customFormat="1" x14ac:dyDescent="0.25"/>
    <row r="134377" s="12" customFormat="1" x14ac:dyDescent="0.25"/>
    <row r="134378" s="12" customFormat="1" x14ac:dyDescent="0.25"/>
    <row r="134379" s="12" customFormat="1" x14ac:dyDescent="0.25"/>
    <row r="134380" s="12" customFormat="1" x14ac:dyDescent="0.25"/>
    <row r="134381" s="12" customFormat="1" x14ac:dyDescent="0.25"/>
    <row r="134382" s="12" customFormat="1" x14ac:dyDescent="0.25"/>
    <row r="134383" s="12" customFormat="1" x14ac:dyDescent="0.25"/>
    <row r="134384" s="12" customFormat="1" x14ac:dyDescent="0.25"/>
    <row r="134385" s="12" customFormat="1" x14ac:dyDescent="0.25"/>
    <row r="134386" s="12" customFormat="1" x14ac:dyDescent="0.25"/>
    <row r="134387" s="12" customFormat="1" x14ac:dyDescent="0.25"/>
    <row r="134388" s="12" customFormat="1" x14ac:dyDescent="0.25"/>
    <row r="134389" s="12" customFormat="1" x14ac:dyDescent="0.25"/>
    <row r="134390" s="12" customFormat="1" x14ac:dyDescent="0.25"/>
    <row r="134391" s="12" customFormat="1" x14ac:dyDescent="0.25"/>
    <row r="134392" s="12" customFormat="1" x14ac:dyDescent="0.25"/>
    <row r="134393" s="12" customFormat="1" x14ac:dyDescent="0.25"/>
    <row r="134394" s="12" customFormat="1" x14ac:dyDescent="0.25"/>
    <row r="134395" s="12" customFormat="1" x14ac:dyDescent="0.25"/>
    <row r="134396" s="12" customFormat="1" x14ac:dyDescent="0.25"/>
    <row r="134397" s="12" customFormat="1" x14ac:dyDescent="0.25"/>
    <row r="134398" s="12" customFormat="1" x14ac:dyDescent="0.25"/>
    <row r="134399" s="12" customFormat="1" x14ac:dyDescent="0.25"/>
    <row r="134400" s="12" customFormat="1" x14ac:dyDescent="0.25"/>
    <row r="134401" s="12" customFormat="1" x14ac:dyDescent="0.25"/>
    <row r="134402" s="12" customFormat="1" x14ac:dyDescent="0.25"/>
    <row r="134403" s="12" customFormat="1" x14ac:dyDescent="0.25"/>
    <row r="134404" s="12" customFormat="1" x14ac:dyDescent="0.25"/>
    <row r="134405" s="12" customFormat="1" x14ac:dyDescent="0.25"/>
    <row r="134406" s="12" customFormat="1" x14ac:dyDescent="0.25"/>
    <row r="134407" s="12" customFormat="1" x14ac:dyDescent="0.25"/>
    <row r="134408" s="12" customFormat="1" x14ac:dyDescent="0.25"/>
    <row r="134409" s="12" customFormat="1" x14ac:dyDescent="0.25"/>
    <row r="134410" s="12" customFormat="1" x14ac:dyDescent="0.25"/>
    <row r="134411" s="12" customFormat="1" x14ac:dyDescent="0.25"/>
    <row r="134412" s="12" customFormat="1" x14ac:dyDescent="0.25"/>
    <row r="134413" s="12" customFormat="1" x14ac:dyDescent="0.25"/>
    <row r="134414" s="12" customFormat="1" x14ac:dyDescent="0.25"/>
    <row r="134415" s="12" customFormat="1" x14ac:dyDescent="0.25"/>
    <row r="134416" s="12" customFormat="1" x14ac:dyDescent="0.25"/>
    <row r="134417" s="12" customFormat="1" x14ac:dyDescent="0.25"/>
    <row r="134418" s="12" customFormat="1" x14ac:dyDescent="0.25"/>
    <row r="134419" s="12" customFormat="1" x14ac:dyDescent="0.25"/>
    <row r="134420" s="12" customFormat="1" x14ac:dyDescent="0.25"/>
    <row r="134421" s="12" customFormat="1" x14ac:dyDescent="0.25"/>
    <row r="134422" s="12" customFormat="1" x14ac:dyDescent="0.25"/>
    <row r="134423" s="12" customFormat="1" x14ac:dyDescent="0.25"/>
    <row r="134424" s="12" customFormat="1" x14ac:dyDescent="0.25"/>
    <row r="134425" s="12" customFormat="1" x14ac:dyDescent="0.25"/>
    <row r="134426" s="12" customFormat="1" x14ac:dyDescent="0.25"/>
    <row r="134427" s="12" customFormat="1" x14ac:dyDescent="0.25"/>
    <row r="134428" s="12" customFormat="1" x14ac:dyDescent="0.25"/>
    <row r="134429" s="12" customFormat="1" x14ac:dyDescent="0.25"/>
    <row r="134430" s="12" customFormat="1" x14ac:dyDescent="0.25"/>
    <row r="134431" s="12" customFormat="1" x14ac:dyDescent="0.25"/>
    <row r="134432" s="12" customFormat="1" x14ac:dyDescent="0.25"/>
    <row r="134433" s="12" customFormat="1" x14ac:dyDescent="0.25"/>
    <row r="134434" s="12" customFormat="1" x14ac:dyDescent="0.25"/>
    <row r="134435" s="12" customFormat="1" x14ac:dyDescent="0.25"/>
    <row r="134436" s="12" customFormat="1" x14ac:dyDescent="0.25"/>
    <row r="134437" s="12" customFormat="1" x14ac:dyDescent="0.25"/>
    <row r="134438" s="12" customFormat="1" x14ac:dyDescent="0.25"/>
    <row r="134439" s="12" customFormat="1" x14ac:dyDescent="0.25"/>
    <row r="134440" s="12" customFormat="1" x14ac:dyDescent="0.25"/>
    <row r="134441" s="12" customFormat="1" x14ac:dyDescent="0.25"/>
    <row r="134442" s="12" customFormat="1" x14ac:dyDescent="0.25"/>
    <row r="134443" s="12" customFormat="1" x14ac:dyDescent="0.25"/>
    <row r="134444" s="12" customFormat="1" x14ac:dyDescent="0.25"/>
    <row r="134445" s="12" customFormat="1" x14ac:dyDescent="0.25"/>
    <row r="134446" s="12" customFormat="1" x14ac:dyDescent="0.25"/>
    <row r="134447" s="12" customFormat="1" x14ac:dyDescent="0.25"/>
    <row r="134448" s="12" customFormat="1" x14ac:dyDescent="0.25"/>
    <row r="134449" s="12" customFormat="1" x14ac:dyDescent="0.25"/>
    <row r="134450" s="12" customFormat="1" x14ac:dyDescent="0.25"/>
    <row r="134451" s="12" customFormat="1" x14ac:dyDescent="0.25"/>
    <row r="134452" s="12" customFormat="1" x14ac:dyDescent="0.25"/>
    <row r="134453" s="12" customFormat="1" x14ac:dyDescent="0.25"/>
    <row r="134454" s="12" customFormat="1" x14ac:dyDescent="0.25"/>
    <row r="134455" s="12" customFormat="1" x14ac:dyDescent="0.25"/>
    <row r="134456" s="12" customFormat="1" x14ac:dyDescent="0.25"/>
    <row r="134457" s="12" customFormat="1" x14ac:dyDescent="0.25"/>
    <row r="134458" s="12" customFormat="1" x14ac:dyDescent="0.25"/>
    <row r="134459" s="12" customFormat="1" x14ac:dyDescent="0.25"/>
    <row r="134460" s="12" customFormat="1" x14ac:dyDescent="0.25"/>
    <row r="134461" s="12" customFormat="1" x14ac:dyDescent="0.25"/>
    <row r="134462" s="12" customFormat="1" x14ac:dyDescent="0.25"/>
    <row r="134463" s="12" customFormat="1" x14ac:dyDescent="0.25"/>
    <row r="134464" s="12" customFormat="1" x14ac:dyDescent="0.25"/>
    <row r="134465" s="12" customFormat="1" x14ac:dyDescent="0.25"/>
    <row r="134466" s="12" customFormat="1" x14ac:dyDescent="0.25"/>
    <row r="134467" s="12" customFormat="1" x14ac:dyDescent="0.25"/>
    <row r="134468" s="12" customFormat="1" x14ac:dyDescent="0.25"/>
    <row r="134469" s="12" customFormat="1" x14ac:dyDescent="0.25"/>
    <row r="134470" s="12" customFormat="1" x14ac:dyDescent="0.25"/>
    <row r="134471" s="12" customFormat="1" x14ac:dyDescent="0.25"/>
    <row r="134472" s="12" customFormat="1" x14ac:dyDescent="0.25"/>
    <row r="134473" s="12" customFormat="1" x14ac:dyDescent="0.25"/>
    <row r="134474" s="12" customFormat="1" x14ac:dyDescent="0.25"/>
    <row r="134475" s="12" customFormat="1" x14ac:dyDescent="0.25"/>
    <row r="134476" s="12" customFormat="1" x14ac:dyDescent="0.25"/>
    <row r="134477" s="12" customFormat="1" x14ac:dyDescent="0.25"/>
    <row r="134478" s="12" customFormat="1" x14ac:dyDescent="0.25"/>
    <row r="134479" s="12" customFormat="1" x14ac:dyDescent="0.25"/>
    <row r="134480" s="12" customFormat="1" x14ac:dyDescent="0.25"/>
    <row r="134481" s="12" customFormat="1" x14ac:dyDescent="0.25"/>
    <row r="134482" s="12" customFormat="1" x14ac:dyDescent="0.25"/>
    <row r="134483" s="12" customFormat="1" x14ac:dyDescent="0.25"/>
    <row r="134484" s="12" customFormat="1" x14ac:dyDescent="0.25"/>
    <row r="134485" s="12" customFormat="1" x14ac:dyDescent="0.25"/>
    <row r="134486" s="12" customFormat="1" x14ac:dyDescent="0.25"/>
    <row r="134487" s="12" customFormat="1" x14ac:dyDescent="0.25"/>
    <row r="134488" s="12" customFormat="1" x14ac:dyDescent="0.25"/>
    <row r="134489" s="12" customFormat="1" x14ac:dyDescent="0.25"/>
    <row r="134490" s="12" customFormat="1" x14ac:dyDescent="0.25"/>
    <row r="134491" s="12" customFormat="1" x14ac:dyDescent="0.25"/>
    <row r="134492" s="12" customFormat="1" x14ac:dyDescent="0.25"/>
    <row r="134493" s="12" customFormat="1" x14ac:dyDescent="0.25"/>
    <row r="134494" s="12" customFormat="1" x14ac:dyDescent="0.25"/>
    <row r="134495" s="12" customFormat="1" x14ac:dyDescent="0.25"/>
    <row r="134496" s="12" customFormat="1" x14ac:dyDescent="0.25"/>
    <row r="134497" s="12" customFormat="1" x14ac:dyDescent="0.25"/>
    <row r="134498" s="12" customFormat="1" x14ac:dyDescent="0.25"/>
    <row r="134499" s="12" customFormat="1" x14ac:dyDescent="0.25"/>
    <row r="134500" s="12" customFormat="1" x14ac:dyDescent="0.25"/>
    <row r="134501" s="12" customFormat="1" x14ac:dyDescent="0.25"/>
    <row r="134502" s="12" customFormat="1" x14ac:dyDescent="0.25"/>
    <row r="134503" s="12" customFormat="1" x14ac:dyDescent="0.25"/>
    <row r="134504" s="12" customFormat="1" x14ac:dyDescent="0.25"/>
    <row r="134505" s="12" customFormat="1" x14ac:dyDescent="0.25"/>
    <row r="134506" s="12" customFormat="1" x14ac:dyDescent="0.25"/>
    <row r="134507" s="12" customFormat="1" x14ac:dyDescent="0.25"/>
    <row r="134508" s="12" customFormat="1" x14ac:dyDescent="0.25"/>
    <row r="134509" s="12" customFormat="1" x14ac:dyDescent="0.25"/>
    <row r="134510" s="12" customFormat="1" x14ac:dyDescent="0.25"/>
    <row r="134511" s="12" customFormat="1" x14ac:dyDescent="0.25"/>
    <row r="134512" s="12" customFormat="1" x14ac:dyDescent="0.25"/>
    <row r="134513" s="12" customFormat="1" x14ac:dyDescent="0.25"/>
    <row r="134514" s="12" customFormat="1" x14ac:dyDescent="0.25"/>
    <row r="134515" s="12" customFormat="1" x14ac:dyDescent="0.25"/>
    <row r="134516" s="12" customFormat="1" x14ac:dyDescent="0.25"/>
    <row r="134517" s="12" customFormat="1" x14ac:dyDescent="0.25"/>
    <row r="134518" s="12" customFormat="1" x14ac:dyDescent="0.25"/>
    <row r="134519" s="12" customFormat="1" x14ac:dyDescent="0.25"/>
    <row r="134520" s="12" customFormat="1" x14ac:dyDescent="0.25"/>
    <row r="134521" s="12" customFormat="1" x14ac:dyDescent="0.25"/>
    <row r="134522" s="12" customFormat="1" x14ac:dyDescent="0.25"/>
    <row r="134523" s="12" customFormat="1" x14ac:dyDescent="0.25"/>
    <row r="134524" s="12" customFormat="1" x14ac:dyDescent="0.25"/>
    <row r="134525" s="12" customFormat="1" x14ac:dyDescent="0.25"/>
    <row r="134526" s="12" customFormat="1" x14ac:dyDescent="0.25"/>
    <row r="134527" s="12" customFormat="1" x14ac:dyDescent="0.25"/>
    <row r="134528" s="12" customFormat="1" x14ac:dyDescent="0.25"/>
    <row r="134529" s="12" customFormat="1" x14ac:dyDescent="0.25"/>
    <row r="134530" s="12" customFormat="1" x14ac:dyDescent="0.25"/>
    <row r="134531" s="12" customFormat="1" x14ac:dyDescent="0.25"/>
    <row r="134532" s="12" customFormat="1" x14ac:dyDescent="0.25"/>
    <row r="134533" s="12" customFormat="1" x14ac:dyDescent="0.25"/>
    <row r="134534" s="12" customFormat="1" x14ac:dyDescent="0.25"/>
    <row r="134535" s="12" customFormat="1" x14ac:dyDescent="0.25"/>
    <row r="134536" s="12" customFormat="1" x14ac:dyDescent="0.25"/>
    <row r="134537" s="12" customFormat="1" x14ac:dyDescent="0.25"/>
    <row r="134538" s="12" customFormat="1" x14ac:dyDescent="0.25"/>
    <row r="134539" s="12" customFormat="1" x14ac:dyDescent="0.25"/>
    <row r="134540" s="12" customFormat="1" x14ac:dyDescent="0.25"/>
    <row r="134541" s="12" customFormat="1" x14ac:dyDescent="0.25"/>
    <row r="134542" s="12" customFormat="1" x14ac:dyDescent="0.25"/>
    <row r="134543" s="12" customFormat="1" x14ac:dyDescent="0.25"/>
    <row r="134544" s="12" customFormat="1" x14ac:dyDescent="0.25"/>
    <row r="134545" s="12" customFormat="1" x14ac:dyDescent="0.25"/>
    <row r="134546" s="12" customFormat="1" x14ac:dyDescent="0.25"/>
    <row r="134547" s="12" customFormat="1" x14ac:dyDescent="0.25"/>
    <row r="134548" s="12" customFormat="1" x14ac:dyDescent="0.25"/>
    <row r="134549" s="12" customFormat="1" x14ac:dyDescent="0.25"/>
    <row r="134550" s="12" customFormat="1" x14ac:dyDescent="0.25"/>
    <row r="134551" s="12" customFormat="1" x14ac:dyDescent="0.25"/>
    <row r="134552" s="12" customFormat="1" x14ac:dyDescent="0.25"/>
    <row r="134553" s="12" customFormat="1" x14ac:dyDescent="0.25"/>
    <row r="134554" s="12" customFormat="1" x14ac:dyDescent="0.25"/>
    <row r="134555" s="12" customFormat="1" x14ac:dyDescent="0.25"/>
    <row r="134556" s="12" customFormat="1" x14ac:dyDescent="0.25"/>
    <row r="134557" s="12" customFormat="1" x14ac:dyDescent="0.25"/>
    <row r="134558" s="12" customFormat="1" x14ac:dyDescent="0.25"/>
    <row r="134559" s="12" customFormat="1" x14ac:dyDescent="0.25"/>
    <row r="134560" s="12" customFormat="1" x14ac:dyDescent="0.25"/>
    <row r="134561" s="12" customFormat="1" x14ac:dyDescent="0.25"/>
    <row r="134562" s="12" customFormat="1" x14ac:dyDescent="0.25"/>
    <row r="134563" s="12" customFormat="1" x14ac:dyDescent="0.25"/>
    <row r="134564" s="12" customFormat="1" x14ac:dyDescent="0.25"/>
    <row r="134565" s="12" customFormat="1" x14ac:dyDescent="0.25"/>
    <row r="134566" s="12" customFormat="1" x14ac:dyDescent="0.25"/>
    <row r="134567" s="12" customFormat="1" x14ac:dyDescent="0.25"/>
    <row r="134568" s="12" customFormat="1" x14ac:dyDescent="0.25"/>
    <row r="134569" s="12" customFormat="1" x14ac:dyDescent="0.25"/>
    <row r="134570" s="12" customFormat="1" x14ac:dyDescent="0.25"/>
    <row r="134571" s="12" customFormat="1" x14ac:dyDescent="0.25"/>
    <row r="134572" s="12" customFormat="1" x14ac:dyDescent="0.25"/>
    <row r="134573" s="12" customFormat="1" x14ac:dyDescent="0.25"/>
    <row r="134574" s="12" customFormat="1" x14ac:dyDescent="0.25"/>
    <row r="134575" s="12" customFormat="1" x14ac:dyDescent="0.25"/>
    <row r="134576" s="12" customFormat="1" x14ac:dyDescent="0.25"/>
    <row r="134577" s="12" customFormat="1" x14ac:dyDescent="0.25"/>
    <row r="134578" s="12" customFormat="1" x14ac:dyDescent="0.25"/>
    <row r="134579" s="12" customFormat="1" x14ac:dyDescent="0.25"/>
    <row r="134580" s="12" customFormat="1" x14ac:dyDescent="0.25"/>
    <row r="134581" s="12" customFormat="1" x14ac:dyDescent="0.25"/>
    <row r="134582" s="12" customFormat="1" x14ac:dyDescent="0.25"/>
    <row r="134583" s="12" customFormat="1" x14ac:dyDescent="0.25"/>
    <row r="134584" s="12" customFormat="1" x14ac:dyDescent="0.25"/>
    <row r="134585" s="12" customFormat="1" x14ac:dyDescent="0.25"/>
    <row r="134586" s="12" customFormat="1" x14ac:dyDescent="0.25"/>
    <row r="134587" s="12" customFormat="1" x14ac:dyDescent="0.25"/>
    <row r="134588" s="12" customFormat="1" x14ac:dyDescent="0.25"/>
    <row r="134589" s="12" customFormat="1" x14ac:dyDescent="0.25"/>
    <row r="134590" s="12" customFormat="1" x14ac:dyDescent="0.25"/>
    <row r="134591" s="12" customFormat="1" x14ac:dyDescent="0.25"/>
    <row r="134592" s="12" customFormat="1" x14ac:dyDescent="0.25"/>
    <row r="134593" s="12" customFormat="1" x14ac:dyDescent="0.25"/>
    <row r="134594" s="12" customFormat="1" x14ac:dyDescent="0.25"/>
    <row r="134595" s="12" customFormat="1" x14ac:dyDescent="0.25"/>
    <row r="134596" s="12" customFormat="1" x14ac:dyDescent="0.25"/>
    <row r="134597" s="12" customFormat="1" x14ac:dyDescent="0.25"/>
    <row r="134598" s="12" customFormat="1" x14ac:dyDescent="0.25"/>
    <row r="134599" s="12" customFormat="1" x14ac:dyDescent="0.25"/>
    <row r="134600" s="12" customFormat="1" x14ac:dyDescent="0.25"/>
    <row r="134601" s="12" customFormat="1" x14ac:dyDescent="0.25"/>
    <row r="134602" s="12" customFormat="1" x14ac:dyDescent="0.25"/>
    <row r="134603" s="12" customFormat="1" x14ac:dyDescent="0.25"/>
    <row r="134604" s="12" customFormat="1" x14ac:dyDescent="0.25"/>
    <row r="134605" s="12" customFormat="1" x14ac:dyDescent="0.25"/>
    <row r="134606" s="12" customFormat="1" x14ac:dyDescent="0.25"/>
    <row r="134607" s="12" customFormat="1" x14ac:dyDescent="0.25"/>
    <row r="134608" s="12" customFormat="1" x14ac:dyDescent="0.25"/>
    <row r="134609" s="12" customFormat="1" x14ac:dyDescent="0.25"/>
    <row r="134610" s="12" customFormat="1" x14ac:dyDescent="0.25"/>
    <row r="134611" s="12" customFormat="1" x14ac:dyDescent="0.25"/>
    <row r="134612" s="12" customFormat="1" x14ac:dyDescent="0.25"/>
    <row r="134613" s="12" customFormat="1" x14ac:dyDescent="0.25"/>
    <row r="134614" s="12" customFormat="1" x14ac:dyDescent="0.25"/>
    <row r="134615" s="12" customFormat="1" x14ac:dyDescent="0.25"/>
    <row r="134616" s="12" customFormat="1" x14ac:dyDescent="0.25"/>
    <row r="134617" s="12" customFormat="1" x14ac:dyDescent="0.25"/>
    <row r="134618" s="12" customFormat="1" x14ac:dyDescent="0.25"/>
    <row r="134619" s="12" customFormat="1" x14ac:dyDescent="0.25"/>
    <row r="134620" s="12" customFormat="1" x14ac:dyDescent="0.25"/>
    <row r="134621" s="12" customFormat="1" x14ac:dyDescent="0.25"/>
    <row r="134622" s="12" customFormat="1" x14ac:dyDescent="0.25"/>
    <row r="134623" s="12" customFormat="1" x14ac:dyDescent="0.25"/>
    <row r="134624" s="12" customFormat="1" x14ac:dyDescent="0.25"/>
    <row r="134625" s="12" customFormat="1" x14ac:dyDescent="0.25"/>
    <row r="134626" s="12" customFormat="1" x14ac:dyDescent="0.25"/>
    <row r="134627" s="12" customFormat="1" x14ac:dyDescent="0.25"/>
    <row r="134628" s="12" customFormat="1" x14ac:dyDescent="0.25"/>
    <row r="134629" s="12" customFormat="1" x14ac:dyDescent="0.25"/>
    <row r="134630" s="12" customFormat="1" x14ac:dyDescent="0.25"/>
    <row r="134631" s="12" customFormat="1" x14ac:dyDescent="0.25"/>
    <row r="134632" s="12" customFormat="1" x14ac:dyDescent="0.25"/>
    <row r="134633" s="12" customFormat="1" x14ac:dyDescent="0.25"/>
    <row r="134634" s="12" customFormat="1" x14ac:dyDescent="0.25"/>
    <row r="134635" s="12" customFormat="1" x14ac:dyDescent="0.25"/>
    <row r="134636" s="12" customFormat="1" x14ac:dyDescent="0.25"/>
    <row r="134637" s="12" customFormat="1" x14ac:dyDescent="0.25"/>
    <row r="134638" s="12" customFormat="1" x14ac:dyDescent="0.25"/>
    <row r="134639" s="12" customFormat="1" x14ac:dyDescent="0.25"/>
    <row r="134640" s="12" customFormat="1" x14ac:dyDescent="0.25"/>
    <row r="134641" s="12" customFormat="1" x14ac:dyDescent="0.25"/>
    <row r="134642" s="12" customFormat="1" x14ac:dyDescent="0.25"/>
    <row r="134643" s="12" customFormat="1" x14ac:dyDescent="0.25"/>
    <row r="134644" s="12" customFormat="1" x14ac:dyDescent="0.25"/>
    <row r="134645" s="12" customFormat="1" x14ac:dyDescent="0.25"/>
    <row r="134646" s="12" customFormat="1" x14ac:dyDescent="0.25"/>
    <row r="134647" s="12" customFormat="1" x14ac:dyDescent="0.25"/>
    <row r="134648" s="12" customFormat="1" x14ac:dyDescent="0.25"/>
    <row r="134649" s="12" customFormat="1" x14ac:dyDescent="0.25"/>
    <row r="134650" s="12" customFormat="1" x14ac:dyDescent="0.25"/>
    <row r="134651" s="12" customFormat="1" x14ac:dyDescent="0.25"/>
    <row r="134652" s="12" customFormat="1" x14ac:dyDescent="0.25"/>
    <row r="134653" s="12" customFormat="1" x14ac:dyDescent="0.25"/>
    <row r="134654" s="12" customFormat="1" x14ac:dyDescent="0.25"/>
    <row r="134655" s="12" customFormat="1" x14ac:dyDescent="0.25"/>
    <row r="134656" s="12" customFormat="1" x14ac:dyDescent="0.25"/>
    <row r="134657" s="12" customFormat="1" x14ac:dyDescent="0.25"/>
    <row r="134658" s="12" customFormat="1" x14ac:dyDescent="0.25"/>
    <row r="134659" s="12" customFormat="1" x14ac:dyDescent="0.25"/>
    <row r="134660" s="12" customFormat="1" x14ac:dyDescent="0.25"/>
    <row r="134661" s="12" customFormat="1" x14ac:dyDescent="0.25"/>
    <row r="134662" s="12" customFormat="1" x14ac:dyDescent="0.25"/>
    <row r="134663" s="12" customFormat="1" x14ac:dyDescent="0.25"/>
    <row r="134664" s="12" customFormat="1" x14ac:dyDescent="0.25"/>
    <row r="134665" s="12" customFormat="1" x14ac:dyDescent="0.25"/>
    <row r="134666" s="12" customFormat="1" x14ac:dyDescent="0.25"/>
    <row r="134667" s="12" customFormat="1" x14ac:dyDescent="0.25"/>
    <row r="134668" s="12" customFormat="1" x14ac:dyDescent="0.25"/>
    <row r="134669" s="12" customFormat="1" x14ac:dyDescent="0.25"/>
    <row r="134670" s="12" customFormat="1" x14ac:dyDescent="0.25"/>
    <row r="134671" s="12" customFormat="1" x14ac:dyDescent="0.25"/>
    <row r="134672" s="12" customFormat="1" x14ac:dyDescent="0.25"/>
    <row r="134673" s="12" customFormat="1" x14ac:dyDescent="0.25"/>
    <row r="134674" s="12" customFormat="1" x14ac:dyDescent="0.25"/>
    <row r="134675" s="12" customFormat="1" x14ac:dyDescent="0.25"/>
    <row r="134676" s="12" customFormat="1" x14ac:dyDescent="0.25"/>
    <row r="134677" s="12" customFormat="1" x14ac:dyDescent="0.25"/>
    <row r="134678" s="12" customFormat="1" x14ac:dyDescent="0.25"/>
    <row r="134679" s="12" customFormat="1" x14ac:dyDescent="0.25"/>
    <row r="134680" s="12" customFormat="1" x14ac:dyDescent="0.25"/>
    <row r="134681" s="12" customFormat="1" x14ac:dyDescent="0.25"/>
    <row r="134682" s="12" customFormat="1" x14ac:dyDescent="0.25"/>
    <row r="134683" s="12" customFormat="1" x14ac:dyDescent="0.25"/>
    <row r="134684" s="12" customFormat="1" x14ac:dyDescent="0.25"/>
    <row r="134685" s="12" customFormat="1" x14ac:dyDescent="0.25"/>
    <row r="134686" s="12" customFormat="1" x14ac:dyDescent="0.25"/>
    <row r="134687" s="12" customFormat="1" x14ac:dyDescent="0.25"/>
    <row r="134688" s="12" customFormat="1" x14ac:dyDescent="0.25"/>
    <row r="134689" s="12" customFormat="1" x14ac:dyDescent="0.25"/>
    <row r="134690" s="12" customFormat="1" x14ac:dyDescent="0.25"/>
    <row r="134691" s="12" customFormat="1" x14ac:dyDescent="0.25"/>
    <row r="134692" s="12" customFormat="1" x14ac:dyDescent="0.25"/>
    <row r="134693" s="12" customFormat="1" x14ac:dyDescent="0.25"/>
    <row r="134694" s="12" customFormat="1" x14ac:dyDescent="0.25"/>
    <row r="134695" s="12" customFormat="1" x14ac:dyDescent="0.25"/>
    <row r="134696" s="12" customFormat="1" x14ac:dyDescent="0.25"/>
    <row r="134697" s="12" customFormat="1" x14ac:dyDescent="0.25"/>
    <row r="134698" s="12" customFormat="1" x14ac:dyDescent="0.25"/>
    <row r="134699" s="12" customFormat="1" x14ac:dyDescent="0.25"/>
    <row r="134700" s="12" customFormat="1" x14ac:dyDescent="0.25"/>
    <row r="134701" s="12" customFormat="1" x14ac:dyDescent="0.25"/>
    <row r="134702" s="12" customFormat="1" x14ac:dyDescent="0.25"/>
    <row r="134703" s="12" customFormat="1" x14ac:dyDescent="0.25"/>
    <row r="134704" s="12" customFormat="1" x14ac:dyDescent="0.25"/>
    <row r="134705" s="12" customFormat="1" x14ac:dyDescent="0.25"/>
    <row r="134706" s="12" customFormat="1" x14ac:dyDescent="0.25"/>
    <row r="134707" s="12" customFormat="1" x14ac:dyDescent="0.25"/>
    <row r="134708" s="12" customFormat="1" x14ac:dyDescent="0.25"/>
    <row r="134709" s="12" customFormat="1" x14ac:dyDescent="0.25"/>
    <row r="134710" s="12" customFormat="1" x14ac:dyDescent="0.25"/>
    <row r="134711" s="12" customFormat="1" x14ac:dyDescent="0.25"/>
    <row r="134712" s="12" customFormat="1" x14ac:dyDescent="0.25"/>
    <row r="134713" s="12" customFormat="1" x14ac:dyDescent="0.25"/>
    <row r="134714" s="12" customFormat="1" x14ac:dyDescent="0.25"/>
    <row r="134715" s="12" customFormat="1" x14ac:dyDescent="0.25"/>
    <row r="134716" s="12" customFormat="1" x14ac:dyDescent="0.25"/>
    <row r="134717" s="12" customFormat="1" x14ac:dyDescent="0.25"/>
    <row r="134718" s="12" customFormat="1" x14ac:dyDescent="0.25"/>
    <row r="134719" s="12" customFormat="1" x14ac:dyDescent="0.25"/>
    <row r="134720" s="12" customFormat="1" x14ac:dyDescent="0.25"/>
    <row r="134721" s="12" customFormat="1" x14ac:dyDescent="0.25"/>
    <row r="134722" s="12" customFormat="1" x14ac:dyDescent="0.25"/>
    <row r="134723" s="12" customFormat="1" x14ac:dyDescent="0.25"/>
    <row r="134724" s="12" customFormat="1" x14ac:dyDescent="0.25"/>
    <row r="134725" s="12" customFormat="1" x14ac:dyDescent="0.25"/>
    <row r="134726" s="12" customFormat="1" x14ac:dyDescent="0.25"/>
    <row r="134727" s="12" customFormat="1" x14ac:dyDescent="0.25"/>
    <row r="134728" s="12" customFormat="1" x14ac:dyDescent="0.25"/>
    <row r="134729" s="12" customFormat="1" x14ac:dyDescent="0.25"/>
    <row r="134730" s="12" customFormat="1" x14ac:dyDescent="0.25"/>
    <row r="134731" s="12" customFormat="1" x14ac:dyDescent="0.25"/>
    <row r="134732" s="12" customFormat="1" x14ac:dyDescent="0.25"/>
    <row r="134733" s="12" customFormat="1" x14ac:dyDescent="0.25"/>
    <row r="134734" s="12" customFormat="1" x14ac:dyDescent="0.25"/>
    <row r="134735" s="12" customFormat="1" x14ac:dyDescent="0.25"/>
    <row r="134736" s="12" customFormat="1" x14ac:dyDescent="0.25"/>
    <row r="134737" s="12" customFormat="1" x14ac:dyDescent="0.25"/>
    <row r="134738" s="12" customFormat="1" x14ac:dyDescent="0.25"/>
    <row r="134739" s="12" customFormat="1" x14ac:dyDescent="0.25"/>
    <row r="134740" s="12" customFormat="1" x14ac:dyDescent="0.25"/>
    <row r="134741" s="12" customFormat="1" x14ac:dyDescent="0.25"/>
    <row r="134742" s="12" customFormat="1" x14ac:dyDescent="0.25"/>
    <row r="134743" s="12" customFormat="1" x14ac:dyDescent="0.25"/>
    <row r="134744" s="12" customFormat="1" x14ac:dyDescent="0.25"/>
    <row r="134745" s="12" customFormat="1" x14ac:dyDescent="0.25"/>
    <row r="134746" s="12" customFormat="1" x14ac:dyDescent="0.25"/>
    <row r="134747" s="12" customFormat="1" x14ac:dyDescent="0.25"/>
    <row r="134748" s="12" customFormat="1" x14ac:dyDescent="0.25"/>
    <row r="134749" s="12" customFormat="1" x14ac:dyDescent="0.25"/>
    <row r="134750" s="12" customFormat="1" x14ac:dyDescent="0.25"/>
    <row r="134751" s="12" customFormat="1" x14ac:dyDescent="0.25"/>
    <row r="134752" s="12" customFormat="1" x14ac:dyDescent="0.25"/>
    <row r="134753" s="12" customFormat="1" x14ac:dyDescent="0.25"/>
    <row r="134754" s="12" customFormat="1" x14ac:dyDescent="0.25"/>
    <row r="134755" s="12" customFormat="1" x14ac:dyDescent="0.25"/>
    <row r="134756" s="12" customFormat="1" x14ac:dyDescent="0.25"/>
    <row r="134757" s="12" customFormat="1" x14ac:dyDescent="0.25"/>
    <row r="134758" s="12" customFormat="1" x14ac:dyDescent="0.25"/>
    <row r="134759" s="12" customFormat="1" x14ac:dyDescent="0.25"/>
    <row r="134760" s="12" customFormat="1" x14ac:dyDescent="0.25"/>
    <row r="134761" s="12" customFormat="1" x14ac:dyDescent="0.25"/>
    <row r="134762" s="12" customFormat="1" x14ac:dyDescent="0.25"/>
    <row r="134763" s="12" customFormat="1" x14ac:dyDescent="0.25"/>
    <row r="134764" s="12" customFormat="1" x14ac:dyDescent="0.25"/>
    <row r="134765" s="12" customFormat="1" x14ac:dyDescent="0.25"/>
    <row r="134766" s="12" customFormat="1" x14ac:dyDescent="0.25"/>
    <row r="134767" s="12" customFormat="1" x14ac:dyDescent="0.25"/>
    <row r="134768" s="12" customFormat="1" x14ac:dyDescent="0.25"/>
    <row r="134769" s="12" customFormat="1" x14ac:dyDescent="0.25"/>
    <row r="134770" s="12" customFormat="1" x14ac:dyDescent="0.25"/>
    <row r="134771" s="12" customFormat="1" x14ac:dyDescent="0.25"/>
    <row r="134772" s="12" customFormat="1" x14ac:dyDescent="0.25"/>
    <row r="134773" s="12" customFormat="1" x14ac:dyDescent="0.25"/>
    <row r="134774" s="12" customFormat="1" x14ac:dyDescent="0.25"/>
    <row r="134775" s="12" customFormat="1" x14ac:dyDescent="0.25"/>
    <row r="134776" s="12" customFormat="1" x14ac:dyDescent="0.25"/>
    <row r="134777" s="12" customFormat="1" x14ac:dyDescent="0.25"/>
    <row r="134778" s="12" customFormat="1" x14ac:dyDescent="0.25"/>
    <row r="134779" s="12" customFormat="1" x14ac:dyDescent="0.25"/>
    <row r="134780" s="12" customFormat="1" x14ac:dyDescent="0.25"/>
    <row r="134781" s="12" customFormat="1" x14ac:dyDescent="0.25"/>
    <row r="134782" s="12" customFormat="1" x14ac:dyDescent="0.25"/>
    <row r="134783" s="12" customFormat="1" x14ac:dyDescent="0.25"/>
    <row r="134784" s="12" customFormat="1" x14ac:dyDescent="0.25"/>
    <row r="134785" s="12" customFormat="1" x14ac:dyDescent="0.25"/>
    <row r="134786" s="12" customFormat="1" x14ac:dyDescent="0.25"/>
    <row r="134787" s="12" customFormat="1" x14ac:dyDescent="0.25"/>
    <row r="134788" s="12" customFormat="1" x14ac:dyDescent="0.25"/>
    <row r="134789" s="12" customFormat="1" x14ac:dyDescent="0.25"/>
    <row r="134790" s="12" customFormat="1" x14ac:dyDescent="0.25"/>
    <row r="134791" s="12" customFormat="1" x14ac:dyDescent="0.25"/>
    <row r="134792" s="12" customFormat="1" x14ac:dyDescent="0.25"/>
    <row r="134793" s="12" customFormat="1" x14ac:dyDescent="0.25"/>
    <row r="134794" s="12" customFormat="1" x14ac:dyDescent="0.25"/>
    <row r="134795" s="12" customFormat="1" x14ac:dyDescent="0.25"/>
    <row r="134796" s="12" customFormat="1" x14ac:dyDescent="0.25"/>
    <row r="134797" s="12" customFormat="1" x14ac:dyDescent="0.25"/>
    <row r="134798" s="12" customFormat="1" x14ac:dyDescent="0.25"/>
    <row r="134799" s="12" customFormat="1" x14ac:dyDescent="0.25"/>
    <row r="134800" s="12" customFormat="1" x14ac:dyDescent="0.25"/>
    <row r="134801" s="12" customFormat="1" x14ac:dyDescent="0.25"/>
    <row r="134802" s="12" customFormat="1" x14ac:dyDescent="0.25"/>
    <row r="134803" s="12" customFormat="1" x14ac:dyDescent="0.25"/>
    <row r="134804" s="12" customFormat="1" x14ac:dyDescent="0.25"/>
    <row r="134805" s="12" customFormat="1" x14ac:dyDescent="0.25"/>
    <row r="134806" s="12" customFormat="1" x14ac:dyDescent="0.25"/>
    <row r="134807" s="12" customFormat="1" x14ac:dyDescent="0.25"/>
    <row r="134808" s="12" customFormat="1" x14ac:dyDescent="0.25"/>
    <row r="134809" s="12" customFormat="1" x14ac:dyDescent="0.25"/>
    <row r="134810" s="12" customFormat="1" x14ac:dyDescent="0.25"/>
    <row r="134811" s="12" customFormat="1" x14ac:dyDescent="0.25"/>
    <row r="134812" s="12" customFormat="1" x14ac:dyDescent="0.25"/>
    <row r="134813" s="12" customFormat="1" x14ac:dyDescent="0.25"/>
    <row r="134814" s="12" customFormat="1" x14ac:dyDescent="0.25"/>
    <row r="134815" s="12" customFormat="1" x14ac:dyDescent="0.25"/>
    <row r="134816" s="12" customFormat="1" x14ac:dyDescent="0.25"/>
    <row r="134817" s="12" customFormat="1" x14ac:dyDescent="0.25"/>
    <row r="134818" s="12" customFormat="1" x14ac:dyDescent="0.25"/>
    <row r="134819" s="12" customFormat="1" x14ac:dyDescent="0.25"/>
    <row r="134820" s="12" customFormat="1" x14ac:dyDescent="0.25"/>
    <row r="134821" s="12" customFormat="1" x14ac:dyDescent="0.25"/>
    <row r="134822" s="12" customFormat="1" x14ac:dyDescent="0.25"/>
    <row r="134823" s="12" customFormat="1" x14ac:dyDescent="0.25"/>
    <row r="134824" s="12" customFormat="1" x14ac:dyDescent="0.25"/>
    <row r="134825" s="12" customFormat="1" x14ac:dyDescent="0.25"/>
    <row r="134826" s="12" customFormat="1" x14ac:dyDescent="0.25"/>
    <row r="134827" s="12" customFormat="1" x14ac:dyDescent="0.25"/>
    <row r="134828" s="12" customFormat="1" x14ac:dyDescent="0.25"/>
    <row r="134829" s="12" customFormat="1" x14ac:dyDescent="0.25"/>
    <row r="134830" s="12" customFormat="1" x14ac:dyDescent="0.25"/>
    <row r="134831" s="12" customFormat="1" x14ac:dyDescent="0.25"/>
    <row r="134832" s="12" customFormat="1" x14ac:dyDescent="0.25"/>
    <row r="134833" s="12" customFormat="1" x14ac:dyDescent="0.25"/>
    <row r="134834" s="12" customFormat="1" x14ac:dyDescent="0.25"/>
    <row r="134835" s="12" customFormat="1" x14ac:dyDescent="0.25"/>
    <row r="134836" s="12" customFormat="1" x14ac:dyDescent="0.25"/>
    <row r="134837" s="12" customFormat="1" x14ac:dyDescent="0.25"/>
    <row r="134838" s="12" customFormat="1" x14ac:dyDescent="0.25"/>
    <row r="134839" s="12" customFormat="1" x14ac:dyDescent="0.25"/>
    <row r="134840" s="12" customFormat="1" x14ac:dyDescent="0.25"/>
    <row r="134841" s="12" customFormat="1" x14ac:dyDescent="0.25"/>
    <row r="134842" s="12" customFormat="1" x14ac:dyDescent="0.25"/>
    <row r="134843" s="12" customFormat="1" x14ac:dyDescent="0.25"/>
    <row r="134844" s="12" customFormat="1" x14ac:dyDescent="0.25"/>
    <row r="134845" s="12" customFormat="1" x14ac:dyDescent="0.25"/>
    <row r="134846" s="12" customFormat="1" x14ac:dyDescent="0.25"/>
    <row r="134847" s="12" customFormat="1" x14ac:dyDescent="0.25"/>
    <row r="134848" s="12" customFormat="1" x14ac:dyDescent="0.25"/>
    <row r="134849" s="12" customFormat="1" x14ac:dyDescent="0.25"/>
    <row r="134850" s="12" customFormat="1" x14ac:dyDescent="0.25"/>
    <row r="134851" s="12" customFormat="1" x14ac:dyDescent="0.25"/>
    <row r="134852" s="12" customFormat="1" x14ac:dyDescent="0.25"/>
    <row r="134853" s="12" customFormat="1" x14ac:dyDescent="0.25"/>
    <row r="134854" s="12" customFormat="1" x14ac:dyDescent="0.25"/>
    <row r="134855" s="12" customFormat="1" x14ac:dyDescent="0.25"/>
    <row r="134856" s="12" customFormat="1" x14ac:dyDescent="0.25"/>
    <row r="134857" s="12" customFormat="1" x14ac:dyDescent="0.25"/>
    <row r="134858" s="12" customFormat="1" x14ac:dyDescent="0.25"/>
    <row r="134859" s="12" customFormat="1" x14ac:dyDescent="0.25"/>
    <row r="134860" s="12" customFormat="1" x14ac:dyDescent="0.25"/>
    <row r="134861" s="12" customFormat="1" x14ac:dyDescent="0.25"/>
    <row r="134862" s="12" customFormat="1" x14ac:dyDescent="0.25"/>
    <row r="134863" s="12" customFormat="1" x14ac:dyDescent="0.25"/>
    <row r="134864" s="12" customFormat="1" x14ac:dyDescent="0.25"/>
    <row r="134865" s="12" customFormat="1" x14ac:dyDescent="0.25"/>
    <row r="134866" s="12" customFormat="1" x14ac:dyDescent="0.25"/>
    <row r="134867" s="12" customFormat="1" x14ac:dyDescent="0.25"/>
    <row r="134868" s="12" customFormat="1" x14ac:dyDescent="0.25"/>
    <row r="134869" s="12" customFormat="1" x14ac:dyDescent="0.25"/>
    <row r="134870" s="12" customFormat="1" x14ac:dyDescent="0.25"/>
    <row r="134871" s="12" customFormat="1" x14ac:dyDescent="0.25"/>
    <row r="134872" s="12" customFormat="1" x14ac:dyDescent="0.25"/>
    <row r="134873" s="12" customFormat="1" x14ac:dyDescent="0.25"/>
    <row r="134874" s="12" customFormat="1" x14ac:dyDescent="0.25"/>
    <row r="134875" s="12" customFormat="1" x14ac:dyDescent="0.25"/>
    <row r="134876" s="12" customFormat="1" x14ac:dyDescent="0.25"/>
    <row r="134877" s="12" customFormat="1" x14ac:dyDescent="0.25"/>
    <row r="134878" s="12" customFormat="1" x14ac:dyDescent="0.25"/>
    <row r="134879" s="12" customFormat="1" x14ac:dyDescent="0.25"/>
    <row r="134880" s="12" customFormat="1" x14ac:dyDescent="0.25"/>
    <row r="134881" s="12" customFormat="1" x14ac:dyDescent="0.25"/>
    <row r="134882" s="12" customFormat="1" x14ac:dyDescent="0.25"/>
    <row r="134883" s="12" customFormat="1" x14ac:dyDescent="0.25"/>
    <row r="134884" s="12" customFormat="1" x14ac:dyDescent="0.25"/>
    <row r="134885" s="12" customFormat="1" x14ac:dyDescent="0.25"/>
    <row r="134886" s="12" customFormat="1" x14ac:dyDescent="0.25"/>
    <row r="134887" s="12" customFormat="1" x14ac:dyDescent="0.25"/>
    <row r="134888" s="12" customFormat="1" x14ac:dyDescent="0.25"/>
    <row r="134889" s="12" customFormat="1" x14ac:dyDescent="0.25"/>
    <row r="134890" s="12" customFormat="1" x14ac:dyDescent="0.25"/>
    <row r="134891" s="12" customFormat="1" x14ac:dyDescent="0.25"/>
    <row r="134892" s="12" customFormat="1" x14ac:dyDescent="0.25"/>
    <row r="134893" s="12" customFormat="1" x14ac:dyDescent="0.25"/>
    <row r="134894" s="12" customFormat="1" x14ac:dyDescent="0.25"/>
    <row r="134895" s="12" customFormat="1" x14ac:dyDescent="0.25"/>
    <row r="134896" s="12" customFormat="1" x14ac:dyDescent="0.25"/>
    <row r="134897" s="12" customFormat="1" x14ac:dyDescent="0.25"/>
    <row r="134898" s="12" customFormat="1" x14ac:dyDescent="0.25"/>
    <row r="134899" s="12" customFormat="1" x14ac:dyDescent="0.25"/>
    <row r="134900" s="12" customFormat="1" x14ac:dyDescent="0.25"/>
    <row r="134901" s="12" customFormat="1" x14ac:dyDescent="0.25"/>
    <row r="134902" s="12" customFormat="1" x14ac:dyDescent="0.25"/>
    <row r="134903" s="12" customFormat="1" x14ac:dyDescent="0.25"/>
    <row r="134904" s="12" customFormat="1" x14ac:dyDescent="0.25"/>
    <row r="134905" s="12" customFormat="1" x14ac:dyDescent="0.25"/>
    <row r="134906" s="12" customFormat="1" x14ac:dyDescent="0.25"/>
    <row r="134907" s="12" customFormat="1" x14ac:dyDescent="0.25"/>
    <row r="134908" s="12" customFormat="1" x14ac:dyDescent="0.25"/>
    <row r="134909" s="12" customFormat="1" x14ac:dyDescent="0.25"/>
    <row r="134910" s="12" customFormat="1" x14ac:dyDescent="0.25"/>
    <row r="134911" s="12" customFormat="1" x14ac:dyDescent="0.25"/>
    <row r="134912" s="12" customFormat="1" x14ac:dyDescent="0.25"/>
    <row r="134913" s="12" customFormat="1" x14ac:dyDescent="0.25"/>
    <row r="134914" s="12" customFormat="1" x14ac:dyDescent="0.25"/>
    <row r="134915" s="12" customFormat="1" x14ac:dyDescent="0.25"/>
    <row r="134916" s="12" customFormat="1" x14ac:dyDescent="0.25"/>
    <row r="134917" s="12" customFormat="1" x14ac:dyDescent="0.25"/>
    <row r="134918" s="12" customFormat="1" x14ac:dyDescent="0.25"/>
    <row r="134919" s="12" customFormat="1" x14ac:dyDescent="0.25"/>
    <row r="134920" s="12" customFormat="1" x14ac:dyDescent="0.25"/>
    <row r="134921" s="12" customFormat="1" x14ac:dyDescent="0.25"/>
    <row r="134922" s="12" customFormat="1" x14ac:dyDescent="0.25"/>
    <row r="134923" s="12" customFormat="1" x14ac:dyDescent="0.25"/>
    <row r="134924" s="12" customFormat="1" x14ac:dyDescent="0.25"/>
    <row r="134925" s="12" customFormat="1" x14ac:dyDescent="0.25"/>
    <row r="134926" s="12" customFormat="1" x14ac:dyDescent="0.25"/>
    <row r="134927" s="12" customFormat="1" x14ac:dyDescent="0.25"/>
    <row r="134928" s="12" customFormat="1" x14ac:dyDescent="0.25"/>
    <row r="134929" s="12" customFormat="1" x14ac:dyDescent="0.25"/>
    <row r="134930" s="12" customFormat="1" x14ac:dyDescent="0.25"/>
    <row r="134931" s="12" customFormat="1" x14ac:dyDescent="0.25"/>
    <row r="134932" s="12" customFormat="1" x14ac:dyDescent="0.25"/>
    <row r="134933" s="12" customFormat="1" x14ac:dyDescent="0.25"/>
    <row r="134934" s="12" customFormat="1" x14ac:dyDescent="0.25"/>
    <row r="134935" s="12" customFormat="1" x14ac:dyDescent="0.25"/>
    <row r="134936" s="12" customFormat="1" x14ac:dyDescent="0.25"/>
    <row r="134937" s="12" customFormat="1" x14ac:dyDescent="0.25"/>
    <row r="134938" s="12" customFormat="1" x14ac:dyDescent="0.25"/>
    <row r="134939" s="12" customFormat="1" x14ac:dyDescent="0.25"/>
    <row r="134940" s="12" customFormat="1" x14ac:dyDescent="0.25"/>
    <row r="134941" s="12" customFormat="1" x14ac:dyDescent="0.25"/>
    <row r="134942" s="12" customFormat="1" x14ac:dyDescent="0.25"/>
    <row r="134943" s="12" customFormat="1" x14ac:dyDescent="0.25"/>
    <row r="134944" s="12" customFormat="1" x14ac:dyDescent="0.25"/>
    <row r="134945" s="12" customFormat="1" x14ac:dyDescent="0.25"/>
    <row r="134946" s="12" customFormat="1" x14ac:dyDescent="0.25"/>
    <row r="134947" s="12" customFormat="1" x14ac:dyDescent="0.25"/>
    <row r="134948" s="12" customFormat="1" x14ac:dyDescent="0.25"/>
    <row r="134949" s="12" customFormat="1" x14ac:dyDescent="0.25"/>
    <row r="134950" s="12" customFormat="1" x14ac:dyDescent="0.25"/>
    <row r="134951" s="12" customFormat="1" x14ac:dyDescent="0.25"/>
    <row r="134952" s="12" customFormat="1" x14ac:dyDescent="0.25"/>
    <row r="134953" s="12" customFormat="1" x14ac:dyDescent="0.25"/>
    <row r="134954" s="12" customFormat="1" x14ac:dyDescent="0.25"/>
    <row r="134955" s="12" customFormat="1" x14ac:dyDescent="0.25"/>
    <row r="134956" s="12" customFormat="1" x14ac:dyDescent="0.25"/>
    <row r="134957" s="12" customFormat="1" x14ac:dyDescent="0.25"/>
    <row r="134958" s="12" customFormat="1" x14ac:dyDescent="0.25"/>
    <row r="134959" s="12" customFormat="1" x14ac:dyDescent="0.25"/>
    <row r="134960" s="12" customFormat="1" x14ac:dyDescent="0.25"/>
    <row r="134961" s="12" customFormat="1" x14ac:dyDescent="0.25"/>
    <row r="134962" s="12" customFormat="1" x14ac:dyDescent="0.25"/>
    <row r="134963" s="12" customFormat="1" x14ac:dyDescent="0.25"/>
    <row r="134964" s="12" customFormat="1" x14ac:dyDescent="0.25"/>
    <row r="134965" s="12" customFormat="1" x14ac:dyDescent="0.25"/>
    <row r="134966" s="12" customFormat="1" x14ac:dyDescent="0.25"/>
    <row r="134967" s="12" customFormat="1" x14ac:dyDescent="0.25"/>
    <row r="134968" s="12" customFormat="1" x14ac:dyDescent="0.25"/>
    <row r="134969" s="12" customFormat="1" x14ac:dyDescent="0.25"/>
    <row r="134970" s="12" customFormat="1" x14ac:dyDescent="0.25"/>
    <row r="134971" s="12" customFormat="1" x14ac:dyDescent="0.25"/>
    <row r="134972" s="12" customFormat="1" x14ac:dyDescent="0.25"/>
    <row r="134973" s="12" customFormat="1" x14ac:dyDescent="0.25"/>
    <row r="134974" s="12" customFormat="1" x14ac:dyDescent="0.25"/>
    <row r="134975" s="12" customFormat="1" x14ac:dyDescent="0.25"/>
    <row r="134976" s="12" customFormat="1" x14ac:dyDescent="0.25"/>
    <row r="134977" s="12" customFormat="1" x14ac:dyDescent="0.25"/>
    <row r="134978" s="12" customFormat="1" x14ac:dyDescent="0.25"/>
    <row r="134979" s="12" customFormat="1" x14ac:dyDescent="0.25"/>
    <row r="134980" s="12" customFormat="1" x14ac:dyDescent="0.25"/>
    <row r="134981" s="12" customFormat="1" x14ac:dyDescent="0.25"/>
    <row r="134982" s="12" customFormat="1" x14ac:dyDescent="0.25"/>
    <row r="134983" s="12" customFormat="1" x14ac:dyDescent="0.25"/>
    <row r="134984" s="12" customFormat="1" x14ac:dyDescent="0.25"/>
    <row r="134985" s="12" customFormat="1" x14ac:dyDescent="0.25"/>
    <row r="134986" s="12" customFormat="1" x14ac:dyDescent="0.25"/>
    <row r="134987" s="12" customFormat="1" x14ac:dyDescent="0.25"/>
    <row r="134988" s="12" customFormat="1" x14ac:dyDescent="0.25"/>
    <row r="134989" s="12" customFormat="1" x14ac:dyDescent="0.25"/>
    <row r="134990" s="12" customFormat="1" x14ac:dyDescent="0.25"/>
    <row r="134991" s="12" customFormat="1" x14ac:dyDescent="0.25"/>
    <row r="134992" s="12" customFormat="1" x14ac:dyDescent="0.25"/>
    <row r="134993" s="12" customFormat="1" x14ac:dyDescent="0.25"/>
    <row r="134994" s="12" customFormat="1" x14ac:dyDescent="0.25"/>
    <row r="134995" s="12" customFormat="1" x14ac:dyDescent="0.25"/>
    <row r="134996" s="12" customFormat="1" x14ac:dyDescent="0.25"/>
    <row r="134997" s="12" customFormat="1" x14ac:dyDescent="0.25"/>
    <row r="134998" s="12" customFormat="1" x14ac:dyDescent="0.25"/>
    <row r="134999" s="12" customFormat="1" x14ac:dyDescent="0.25"/>
    <row r="135000" s="12" customFormat="1" x14ac:dyDescent="0.25"/>
    <row r="135001" s="12" customFormat="1" x14ac:dyDescent="0.25"/>
    <row r="135002" s="12" customFormat="1" x14ac:dyDescent="0.25"/>
    <row r="135003" s="12" customFormat="1" x14ac:dyDescent="0.25"/>
    <row r="135004" s="12" customFormat="1" x14ac:dyDescent="0.25"/>
    <row r="135005" s="12" customFormat="1" x14ac:dyDescent="0.25"/>
    <row r="135006" s="12" customFormat="1" x14ac:dyDescent="0.25"/>
    <row r="135007" s="12" customFormat="1" x14ac:dyDescent="0.25"/>
    <row r="135008" s="12" customFormat="1" x14ac:dyDescent="0.25"/>
    <row r="135009" s="12" customFormat="1" x14ac:dyDescent="0.25"/>
    <row r="135010" s="12" customFormat="1" x14ac:dyDescent="0.25"/>
    <row r="135011" s="12" customFormat="1" x14ac:dyDescent="0.25"/>
    <row r="135012" s="12" customFormat="1" x14ac:dyDescent="0.25"/>
    <row r="135013" s="12" customFormat="1" x14ac:dyDescent="0.25"/>
    <row r="135014" s="12" customFormat="1" x14ac:dyDescent="0.25"/>
    <row r="135015" s="12" customFormat="1" x14ac:dyDescent="0.25"/>
    <row r="135016" s="12" customFormat="1" x14ac:dyDescent="0.25"/>
    <row r="135017" s="12" customFormat="1" x14ac:dyDescent="0.25"/>
    <row r="135018" s="12" customFormat="1" x14ac:dyDescent="0.25"/>
    <row r="135019" s="12" customFormat="1" x14ac:dyDescent="0.25"/>
    <row r="135020" s="12" customFormat="1" x14ac:dyDescent="0.25"/>
    <row r="135021" s="12" customFormat="1" x14ac:dyDescent="0.25"/>
    <row r="135022" s="12" customFormat="1" x14ac:dyDescent="0.25"/>
    <row r="135023" s="12" customFormat="1" x14ac:dyDescent="0.25"/>
    <row r="135024" s="12" customFormat="1" x14ac:dyDescent="0.25"/>
    <row r="135025" s="12" customFormat="1" x14ac:dyDescent="0.25"/>
    <row r="135026" s="12" customFormat="1" x14ac:dyDescent="0.25"/>
    <row r="135027" s="12" customFormat="1" x14ac:dyDescent="0.25"/>
    <row r="135028" s="12" customFormat="1" x14ac:dyDescent="0.25"/>
    <row r="135029" s="12" customFormat="1" x14ac:dyDescent="0.25"/>
    <row r="135030" s="12" customFormat="1" x14ac:dyDescent="0.25"/>
    <row r="135031" s="12" customFormat="1" x14ac:dyDescent="0.25"/>
    <row r="135032" s="12" customFormat="1" x14ac:dyDescent="0.25"/>
    <row r="135033" s="12" customFormat="1" x14ac:dyDescent="0.25"/>
    <row r="135034" s="12" customFormat="1" x14ac:dyDescent="0.25"/>
    <row r="135035" s="12" customFormat="1" x14ac:dyDescent="0.25"/>
    <row r="135036" s="12" customFormat="1" x14ac:dyDescent="0.25"/>
    <row r="135037" s="12" customFormat="1" x14ac:dyDescent="0.25"/>
    <row r="135038" s="12" customFormat="1" x14ac:dyDescent="0.25"/>
    <row r="135039" s="12" customFormat="1" x14ac:dyDescent="0.25"/>
    <row r="135040" s="12" customFormat="1" x14ac:dyDescent="0.25"/>
    <row r="135041" s="12" customFormat="1" x14ac:dyDescent="0.25"/>
    <row r="135042" s="12" customFormat="1" x14ac:dyDescent="0.25"/>
    <row r="135043" s="12" customFormat="1" x14ac:dyDescent="0.25"/>
    <row r="135044" s="12" customFormat="1" x14ac:dyDescent="0.25"/>
    <row r="135045" s="12" customFormat="1" x14ac:dyDescent="0.25"/>
    <row r="135046" s="12" customFormat="1" x14ac:dyDescent="0.25"/>
    <row r="135047" s="12" customFormat="1" x14ac:dyDescent="0.25"/>
    <row r="135048" s="12" customFormat="1" x14ac:dyDescent="0.25"/>
    <row r="135049" s="12" customFormat="1" x14ac:dyDescent="0.25"/>
    <row r="135050" s="12" customFormat="1" x14ac:dyDescent="0.25"/>
    <row r="135051" s="12" customFormat="1" x14ac:dyDescent="0.25"/>
    <row r="135052" s="12" customFormat="1" x14ac:dyDescent="0.25"/>
    <row r="135053" s="12" customFormat="1" x14ac:dyDescent="0.25"/>
    <row r="135054" s="12" customFormat="1" x14ac:dyDescent="0.25"/>
    <row r="135055" s="12" customFormat="1" x14ac:dyDescent="0.25"/>
    <row r="135056" s="12" customFormat="1" x14ac:dyDescent="0.25"/>
    <row r="135057" s="12" customFormat="1" x14ac:dyDescent="0.25"/>
    <row r="135058" s="12" customFormat="1" x14ac:dyDescent="0.25"/>
    <row r="135059" s="12" customFormat="1" x14ac:dyDescent="0.25"/>
    <row r="135060" s="12" customFormat="1" x14ac:dyDescent="0.25"/>
    <row r="135061" s="12" customFormat="1" x14ac:dyDescent="0.25"/>
    <row r="135062" s="12" customFormat="1" x14ac:dyDescent="0.25"/>
    <row r="135063" s="12" customFormat="1" x14ac:dyDescent="0.25"/>
    <row r="135064" s="12" customFormat="1" x14ac:dyDescent="0.25"/>
    <row r="135065" s="12" customFormat="1" x14ac:dyDescent="0.25"/>
    <row r="135066" s="12" customFormat="1" x14ac:dyDescent="0.25"/>
    <row r="135067" s="12" customFormat="1" x14ac:dyDescent="0.25"/>
    <row r="135068" s="12" customFormat="1" x14ac:dyDescent="0.25"/>
    <row r="135069" s="12" customFormat="1" x14ac:dyDescent="0.25"/>
    <row r="135070" s="12" customFormat="1" x14ac:dyDescent="0.25"/>
    <row r="135071" s="12" customFormat="1" x14ac:dyDescent="0.25"/>
    <row r="135072" s="12" customFormat="1" x14ac:dyDescent="0.25"/>
    <row r="135073" s="12" customFormat="1" x14ac:dyDescent="0.25"/>
    <row r="135074" s="12" customFormat="1" x14ac:dyDescent="0.25"/>
    <row r="135075" s="12" customFormat="1" x14ac:dyDescent="0.25"/>
    <row r="135076" s="12" customFormat="1" x14ac:dyDescent="0.25"/>
    <row r="135077" s="12" customFormat="1" x14ac:dyDescent="0.25"/>
    <row r="135078" s="12" customFormat="1" x14ac:dyDescent="0.25"/>
    <row r="135079" s="12" customFormat="1" x14ac:dyDescent="0.25"/>
    <row r="135080" s="12" customFormat="1" x14ac:dyDescent="0.25"/>
    <row r="135081" s="12" customFormat="1" x14ac:dyDescent="0.25"/>
    <row r="135082" s="12" customFormat="1" x14ac:dyDescent="0.25"/>
    <row r="135083" s="12" customFormat="1" x14ac:dyDescent="0.25"/>
    <row r="135084" s="12" customFormat="1" x14ac:dyDescent="0.25"/>
    <row r="135085" s="12" customFormat="1" x14ac:dyDescent="0.25"/>
    <row r="135086" s="12" customFormat="1" x14ac:dyDescent="0.25"/>
    <row r="135087" s="12" customFormat="1" x14ac:dyDescent="0.25"/>
    <row r="135088" s="12" customFormat="1" x14ac:dyDescent="0.25"/>
    <row r="135089" s="12" customFormat="1" x14ac:dyDescent="0.25"/>
    <row r="135090" s="12" customFormat="1" x14ac:dyDescent="0.25"/>
    <row r="135091" s="12" customFormat="1" x14ac:dyDescent="0.25"/>
    <row r="135092" s="12" customFormat="1" x14ac:dyDescent="0.25"/>
    <row r="135093" s="12" customFormat="1" x14ac:dyDescent="0.25"/>
    <row r="135094" s="12" customFormat="1" x14ac:dyDescent="0.25"/>
    <row r="135095" s="12" customFormat="1" x14ac:dyDescent="0.25"/>
    <row r="135096" s="12" customFormat="1" x14ac:dyDescent="0.25"/>
    <row r="135097" s="12" customFormat="1" x14ac:dyDescent="0.25"/>
    <row r="135098" s="12" customFormat="1" x14ac:dyDescent="0.25"/>
    <row r="135099" s="12" customFormat="1" x14ac:dyDescent="0.25"/>
    <row r="135100" s="12" customFormat="1" x14ac:dyDescent="0.25"/>
    <row r="135101" s="12" customFormat="1" x14ac:dyDescent="0.25"/>
    <row r="135102" s="12" customFormat="1" x14ac:dyDescent="0.25"/>
    <row r="135103" s="12" customFormat="1" x14ac:dyDescent="0.25"/>
    <row r="135104" s="12" customFormat="1" x14ac:dyDescent="0.25"/>
    <row r="135105" s="12" customFormat="1" x14ac:dyDescent="0.25"/>
    <row r="135106" s="12" customFormat="1" x14ac:dyDescent="0.25"/>
    <row r="135107" s="12" customFormat="1" x14ac:dyDescent="0.25"/>
    <row r="135108" s="12" customFormat="1" x14ac:dyDescent="0.25"/>
    <row r="135109" s="12" customFormat="1" x14ac:dyDescent="0.25"/>
    <row r="135110" s="12" customFormat="1" x14ac:dyDescent="0.25"/>
    <row r="135111" s="12" customFormat="1" x14ac:dyDescent="0.25"/>
    <row r="135112" s="12" customFormat="1" x14ac:dyDescent="0.25"/>
    <row r="135113" s="12" customFormat="1" x14ac:dyDescent="0.25"/>
    <row r="135114" s="12" customFormat="1" x14ac:dyDescent="0.25"/>
    <row r="135115" s="12" customFormat="1" x14ac:dyDescent="0.25"/>
    <row r="135116" s="12" customFormat="1" x14ac:dyDescent="0.25"/>
    <row r="135117" s="12" customFormat="1" x14ac:dyDescent="0.25"/>
    <row r="135118" s="12" customFormat="1" x14ac:dyDescent="0.25"/>
    <row r="135119" s="12" customFormat="1" x14ac:dyDescent="0.25"/>
    <row r="135120" s="12" customFormat="1" x14ac:dyDescent="0.25"/>
    <row r="135121" s="12" customFormat="1" x14ac:dyDescent="0.25"/>
    <row r="135122" s="12" customFormat="1" x14ac:dyDescent="0.25"/>
    <row r="135123" s="12" customFormat="1" x14ac:dyDescent="0.25"/>
    <row r="135124" s="12" customFormat="1" x14ac:dyDescent="0.25"/>
    <row r="135125" s="12" customFormat="1" x14ac:dyDescent="0.25"/>
    <row r="135126" s="12" customFormat="1" x14ac:dyDescent="0.25"/>
    <row r="135127" s="12" customFormat="1" x14ac:dyDescent="0.25"/>
    <row r="135128" s="12" customFormat="1" x14ac:dyDescent="0.25"/>
    <row r="135129" s="12" customFormat="1" x14ac:dyDescent="0.25"/>
    <row r="135130" s="12" customFormat="1" x14ac:dyDescent="0.25"/>
    <row r="135131" s="12" customFormat="1" x14ac:dyDescent="0.25"/>
    <row r="135132" s="12" customFormat="1" x14ac:dyDescent="0.25"/>
    <row r="135133" s="12" customFormat="1" x14ac:dyDescent="0.25"/>
    <row r="135134" s="12" customFormat="1" x14ac:dyDescent="0.25"/>
    <row r="135135" s="12" customFormat="1" x14ac:dyDescent="0.25"/>
    <row r="135136" s="12" customFormat="1" x14ac:dyDescent="0.25"/>
    <row r="135137" s="12" customFormat="1" x14ac:dyDescent="0.25"/>
    <row r="135138" s="12" customFormat="1" x14ac:dyDescent="0.25"/>
    <row r="135139" s="12" customFormat="1" x14ac:dyDescent="0.25"/>
    <row r="135140" s="12" customFormat="1" x14ac:dyDescent="0.25"/>
    <row r="135141" s="12" customFormat="1" x14ac:dyDescent="0.25"/>
    <row r="135142" s="12" customFormat="1" x14ac:dyDescent="0.25"/>
    <row r="135143" s="12" customFormat="1" x14ac:dyDescent="0.25"/>
    <row r="135144" s="12" customFormat="1" x14ac:dyDescent="0.25"/>
    <row r="135145" s="12" customFormat="1" x14ac:dyDescent="0.25"/>
    <row r="135146" s="12" customFormat="1" x14ac:dyDescent="0.25"/>
    <row r="135147" s="12" customFormat="1" x14ac:dyDescent="0.25"/>
    <row r="135148" s="12" customFormat="1" x14ac:dyDescent="0.25"/>
    <row r="135149" s="12" customFormat="1" x14ac:dyDescent="0.25"/>
    <row r="135150" s="12" customFormat="1" x14ac:dyDescent="0.25"/>
    <row r="135151" s="12" customFormat="1" x14ac:dyDescent="0.25"/>
    <row r="135152" s="12" customFormat="1" x14ac:dyDescent="0.25"/>
    <row r="135153" s="12" customFormat="1" x14ac:dyDescent="0.25"/>
    <row r="135154" s="12" customFormat="1" x14ac:dyDescent="0.25"/>
    <row r="135155" s="12" customFormat="1" x14ac:dyDescent="0.25"/>
    <row r="135156" s="12" customFormat="1" x14ac:dyDescent="0.25"/>
    <row r="135157" s="12" customFormat="1" x14ac:dyDescent="0.25"/>
    <row r="135158" s="12" customFormat="1" x14ac:dyDescent="0.25"/>
    <row r="135159" s="12" customFormat="1" x14ac:dyDescent="0.25"/>
    <row r="135160" s="12" customFormat="1" x14ac:dyDescent="0.25"/>
    <row r="135161" s="12" customFormat="1" x14ac:dyDescent="0.25"/>
    <row r="135162" s="12" customFormat="1" x14ac:dyDescent="0.25"/>
    <row r="135163" s="12" customFormat="1" x14ac:dyDescent="0.25"/>
    <row r="135164" s="12" customFormat="1" x14ac:dyDescent="0.25"/>
    <row r="135165" s="12" customFormat="1" x14ac:dyDescent="0.25"/>
    <row r="135166" s="12" customFormat="1" x14ac:dyDescent="0.25"/>
    <row r="135167" s="12" customFormat="1" x14ac:dyDescent="0.25"/>
    <row r="135168" s="12" customFormat="1" x14ac:dyDescent="0.25"/>
    <row r="135169" s="12" customFormat="1" x14ac:dyDescent="0.25"/>
    <row r="135170" s="12" customFormat="1" x14ac:dyDescent="0.25"/>
    <row r="135171" s="12" customFormat="1" x14ac:dyDescent="0.25"/>
    <row r="135172" s="12" customFormat="1" x14ac:dyDescent="0.25"/>
    <row r="135173" s="12" customFormat="1" x14ac:dyDescent="0.25"/>
    <row r="135174" s="12" customFormat="1" x14ac:dyDescent="0.25"/>
    <row r="135175" s="12" customFormat="1" x14ac:dyDescent="0.25"/>
    <row r="135176" s="12" customFormat="1" x14ac:dyDescent="0.25"/>
    <row r="135177" s="12" customFormat="1" x14ac:dyDescent="0.25"/>
    <row r="135178" s="12" customFormat="1" x14ac:dyDescent="0.25"/>
    <row r="135179" s="12" customFormat="1" x14ac:dyDescent="0.25"/>
    <row r="135180" s="12" customFormat="1" x14ac:dyDescent="0.25"/>
    <row r="135181" s="12" customFormat="1" x14ac:dyDescent="0.25"/>
    <row r="135182" s="12" customFormat="1" x14ac:dyDescent="0.25"/>
    <row r="135183" s="12" customFormat="1" x14ac:dyDescent="0.25"/>
    <row r="135184" s="12" customFormat="1" x14ac:dyDescent="0.25"/>
    <row r="135185" s="12" customFormat="1" x14ac:dyDescent="0.25"/>
    <row r="135186" s="12" customFormat="1" x14ac:dyDescent="0.25"/>
    <row r="135187" s="12" customFormat="1" x14ac:dyDescent="0.25"/>
    <row r="135188" s="12" customFormat="1" x14ac:dyDescent="0.25"/>
    <row r="135189" s="12" customFormat="1" x14ac:dyDescent="0.25"/>
    <row r="135190" s="12" customFormat="1" x14ac:dyDescent="0.25"/>
    <row r="135191" s="12" customFormat="1" x14ac:dyDescent="0.25"/>
    <row r="135192" s="12" customFormat="1" x14ac:dyDescent="0.25"/>
    <row r="135193" s="12" customFormat="1" x14ac:dyDescent="0.25"/>
    <row r="135194" s="12" customFormat="1" x14ac:dyDescent="0.25"/>
    <row r="135195" s="12" customFormat="1" x14ac:dyDescent="0.25"/>
    <row r="135196" s="12" customFormat="1" x14ac:dyDescent="0.25"/>
    <row r="135197" s="12" customFormat="1" x14ac:dyDescent="0.25"/>
    <row r="135198" s="12" customFormat="1" x14ac:dyDescent="0.25"/>
    <row r="135199" s="12" customFormat="1" x14ac:dyDescent="0.25"/>
    <row r="135200" s="12" customFormat="1" x14ac:dyDescent="0.25"/>
    <row r="135201" s="12" customFormat="1" x14ac:dyDescent="0.25"/>
    <row r="135202" s="12" customFormat="1" x14ac:dyDescent="0.25"/>
    <row r="135203" s="12" customFormat="1" x14ac:dyDescent="0.25"/>
    <row r="135204" s="12" customFormat="1" x14ac:dyDescent="0.25"/>
    <row r="135205" s="12" customFormat="1" x14ac:dyDescent="0.25"/>
    <row r="135206" s="12" customFormat="1" x14ac:dyDescent="0.25"/>
    <row r="135207" s="12" customFormat="1" x14ac:dyDescent="0.25"/>
    <row r="135208" s="12" customFormat="1" x14ac:dyDescent="0.25"/>
    <row r="135209" s="12" customFormat="1" x14ac:dyDescent="0.25"/>
    <row r="135210" s="12" customFormat="1" x14ac:dyDescent="0.25"/>
    <row r="135211" s="12" customFormat="1" x14ac:dyDescent="0.25"/>
    <row r="135212" s="12" customFormat="1" x14ac:dyDescent="0.25"/>
    <row r="135213" s="12" customFormat="1" x14ac:dyDescent="0.25"/>
    <row r="135214" s="12" customFormat="1" x14ac:dyDescent="0.25"/>
    <row r="135215" s="12" customFormat="1" x14ac:dyDescent="0.25"/>
    <row r="135216" s="12" customFormat="1" x14ac:dyDescent="0.25"/>
    <row r="135217" s="12" customFormat="1" x14ac:dyDescent="0.25"/>
    <row r="135218" s="12" customFormat="1" x14ac:dyDescent="0.25"/>
    <row r="135219" s="12" customFormat="1" x14ac:dyDescent="0.25"/>
    <row r="135220" s="12" customFormat="1" x14ac:dyDescent="0.25"/>
    <row r="135221" s="12" customFormat="1" x14ac:dyDescent="0.25"/>
    <row r="135222" s="12" customFormat="1" x14ac:dyDescent="0.25"/>
    <row r="135223" s="12" customFormat="1" x14ac:dyDescent="0.25"/>
    <row r="135224" s="12" customFormat="1" x14ac:dyDescent="0.25"/>
    <row r="135225" s="12" customFormat="1" x14ac:dyDescent="0.25"/>
    <row r="135226" s="12" customFormat="1" x14ac:dyDescent="0.25"/>
    <row r="135227" s="12" customFormat="1" x14ac:dyDescent="0.25"/>
    <row r="135228" s="12" customFormat="1" x14ac:dyDescent="0.25"/>
    <row r="135229" s="12" customFormat="1" x14ac:dyDescent="0.25"/>
    <row r="135230" s="12" customFormat="1" x14ac:dyDescent="0.25"/>
    <row r="135231" s="12" customFormat="1" x14ac:dyDescent="0.25"/>
    <row r="135232" s="12" customFormat="1" x14ac:dyDescent="0.25"/>
    <row r="135233" s="12" customFormat="1" x14ac:dyDescent="0.25"/>
    <row r="135234" s="12" customFormat="1" x14ac:dyDescent="0.25"/>
    <row r="135235" s="12" customFormat="1" x14ac:dyDescent="0.25"/>
    <row r="135236" s="12" customFormat="1" x14ac:dyDescent="0.25"/>
    <row r="135237" s="12" customFormat="1" x14ac:dyDescent="0.25"/>
    <row r="135238" s="12" customFormat="1" x14ac:dyDescent="0.25"/>
    <row r="135239" s="12" customFormat="1" x14ac:dyDescent="0.25"/>
    <row r="135240" s="12" customFormat="1" x14ac:dyDescent="0.25"/>
    <row r="135241" s="12" customFormat="1" x14ac:dyDescent="0.25"/>
    <row r="135242" s="12" customFormat="1" x14ac:dyDescent="0.25"/>
    <row r="135243" s="12" customFormat="1" x14ac:dyDescent="0.25"/>
    <row r="135244" s="12" customFormat="1" x14ac:dyDescent="0.25"/>
    <row r="135245" s="12" customFormat="1" x14ac:dyDescent="0.25"/>
    <row r="135246" s="12" customFormat="1" x14ac:dyDescent="0.25"/>
    <row r="135247" s="12" customFormat="1" x14ac:dyDescent="0.25"/>
    <row r="135248" s="12" customFormat="1" x14ac:dyDescent="0.25"/>
    <row r="135249" s="12" customFormat="1" x14ac:dyDescent="0.25"/>
    <row r="135250" s="12" customFormat="1" x14ac:dyDescent="0.25"/>
    <row r="135251" s="12" customFormat="1" x14ac:dyDescent="0.25"/>
    <row r="135252" s="12" customFormat="1" x14ac:dyDescent="0.25"/>
    <row r="135253" s="12" customFormat="1" x14ac:dyDescent="0.25"/>
    <row r="135254" s="12" customFormat="1" x14ac:dyDescent="0.25"/>
    <row r="135255" s="12" customFormat="1" x14ac:dyDescent="0.25"/>
    <row r="135256" s="12" customFormat="1" x14ac:dyDescent="0.25"/>
    <row r="135257" s="12" customFormat="1" x14ac:dyDescent="0.25"/>
    <row r="135258" s="12" customFormat="1" x14ac:dyDescent="0.25"/>
    <row r="135259" s="12" customFormat="1" x14ac:dyDescent="0.25"/>
    <row r="135260" s="12" customFormat="1" x14ac:dyDescent="0.25"/>
    <row r="135261" s="12" customFormat="1" x14ac:dyDescent="0.25"/>
    <row r="135262" s="12" customFormat="1" x14ac:dyDescent="0.25"/>
    <row r="135263" s="12" customFormat="1" x14ac:dyDescent="0.25"/>
    <row r="135264" s="12" customFormat="1" x14ac:dyDescent="0.25"/>
    <row r="135265" s="12" customFormat="1" x14ac:dyDescent="0.25"/>
    <row r="135266" s="12" customFormat="1" x14ac:dyDescent="0.25"/>
    <row r="135267" s="12" customFormat="1" x14ac:dyDescent="0.25"/>
    <row r="135268" s="12" customFormat="1" x14ac:dyDescent="0.25"/>
    <row r="135269" s="12" customFormat="1" x14ac:dyDescent="0.25"/>
    <row r="135270" s="12" customFormat="1" x14ac:dyDescent="0.25"/>
    <row r="135271" s="12" customFormat="1" x14ac:dyDescent="0.25"/>
    <row r="135272" s="12" customFormat="1" x14ac:dyDescent="0.25"/>
    <row r="135273" s="12" customFormat="1" x14ac:dyDescent="0.25"/>
    <row r="135274" s="12" customFormat="1" x14ac:dyDescent="0.25"/>
    <row r="135275" s="12" customFormat="1" x14ac:dyDescent="0.25"/>
    <row r="135276" s="12" customFormat="1" x14ac:dyDescent="0.25"/>
    <row r="135277" s="12" customFormat="1" x14ac:dyDescent="0.25"/>
    <row r="135278" s="12" customFormat="1" x14ac:dyDescent="0.25"/>
    <row r="135279" s="12" customFormat="1" x14ac:dyDescent="0.25"/>
    <row r="135280" s="12" customFormat="1" x14ac:dyDescent="0.25"/>
    <row r="135281" s="12" customFormat="1" x14ac:dyDescent="0.25"/>
    <row r="135282" s="12" customFormat="1" x14ac:dyDescent="0.25"/>
    <row r="135283" s="12" customFormat="1" x14ac:dyDescent="0.25"/>
    <row r="135284" s="12" customFormat="1" x14ac:dyDescent="0.25"/>
    <row r="135285" s="12" customFormat="1" x14ac:dyDescent="0.25"/>
    <row r="135286" s="12" customFormat="1" x14ac:dyDescent="0.25"/>
    <row r="135287" s="12" customFormat="1" x14ac:dyDescent="0.25"/>
    <row r="135288" s="12" customFormat="1" x14ac:dyDescent="0.25"/>
    <row r="135289" s="12" customFormat="1" x14ac:dyDescent="0.25"/>
    <row r="135290" s="12" customFormat="1" x14ac:dyDescent="0.25"/>
    <row r="135291" s="12" customFormat="1" x14ac:dyDescent="0.25"/>
    <row r="135292" s="12" customFormat="1" x14ac:dyDescent="0.25"/>
    <row r="135293" s="12" customFormat="1" x14ac:dyDescent="0.25"/>
    <row r="135294" s="12" customFormat="1" x14ac:dyDescent="0.25"/>
    <row r="135295" s="12" customFormat="1" x14ac:dyDescent="0.25"/>
    <row r="135296" s="12" customFormat="1" x14ac:dyDescent="0.25"/>
    <row r="135297" s="12" customFormat="1" x14ac:dyDescent="0.25"/>
    <row r="135298" s="12" customFormat="1" x14ac:dyDescent="0.25"/>
    <row r="135299" s="12" customFormat="1" x14ac:dyDescent="0.25"/>
    <row r="135300" s="12" customFormat="1" x14ac:dyDescent="0.25"/>
    <row r="135301" s="12" customFormat="1" x14ac:dyDescent="0.25"/>
    <row r="135302" s="12" customFormat="1" x14ac:dyDescent="0.25"/>
    <row r="135303" s="12" customFormat="1" x14ac:dyDescent="0.25"/>
    <row r="135304" s="12" customFormat="1" x14ac:dyDescent="0.25"/>
    <row r="135305" s="12" customFormat="1" x14ac:dyDescent="0.25"/>
    <row r="135306" s="12" customFormat="1" x14ac:dyDescent="0.25"/>
    <row r="135307" s="12" customFormat="1" x14ac:dyDescent="0.25"/>
    <row r="135308" s="12" customFormat="1" x14ac:dyDescent="0.25"/>
    <row r="135309" s="12" customFormat="1" x14ac:dyDescent="0.25"/>
    <row r="135310" s="12" customFormat="1" x14ac:dyDescent="0.25"/>
    <row r="135311" s="12" customFormat="1" x14ac:dyDescent="0.25"/>
    <row r="135312" s="12" customFormat="1" x14ac:dyDescent="0.25"/>
    <row r="135313" s="12" customFormat="1" x14ac:dyDescent="0.25"/>
    <row r="135314" s="12" customFormat="1" x14ac:dyDescent="0.25"/>
    <row r="135315" s="12" customFormat="1" x14ac:dyDescent="0.25"/>
    <row r="135316" s="12" customFormat="1" x14ac:dyDescent="0.25"/>
    <row r="135317" s="12" customFormat="1" x14ac:dyDescent="0.25"/>
    <row r="135318" s="12" customFormat="1" x14ac:dyDescent="0.25"/>
    <row r="135319" s="12" customFormat="1" x14ac:dyDescent="0.25"/>
    <row r="135320" s="12" customFormat="1" x14ac:dyDescent="0.25"/>
    <row r="135321" s="12" customFormat="1" x14ac:dyDescent="0.25"/>
    <row r="135322" s="12" customFormat="1" x14ac:dyDescent="0.25"/>
    <row r="135323" s="12" customFormat="1" x14ac:dyDescent="0.25"/>
    <row r="135324" s="12" customFormat="1" x14ac:dyDescent="0.25"/>
    <row r="135325" s="12" customFormat="1" x14ac:dyDescent="0.25"/>
    <row r="135326" s="12" customFormat="1" x14ac:dyDescent="0.25"/>
    <row r="135327" s="12" customFormat="1" x14ac:dyDescent="0.25"/>
    <row r="135328" s="12" customFormat="1" x14ac:dyDescent="0.25"/>
    <row r="135329" s="12" customFormat="1" x14ac:dyDescent="0.25"/>
    <row r="135330" s="12" customFormat="1" x14ac:dyDescent="0.25"/>
    <row r="135331" s="12" customFormat="1" x14ac:dyDescent="0.25"/>
    <row r="135332" s="12" customFormat="1" x14ac:dyDescent="0.25"/>
    <row r="135333" s="12" customFormat="1" x14ac:dyDescent="0.25"/>
    <row r="135334" s="12" customFormat="1" x14ac:dyDescent="0.25"/>
    <row r="135335" s="12" customFormat="1" x14ac:dyDescent="0.25"/>
    <row r="135336" s="12" customFormat="1" x14ac:dyDescent="0.25"/>
    <row r="135337" s="12" customFormat="1" x14ac:dyDescent="0.25"/>
    <row r="135338" s="12" customFormat="1" x14ac:dyDescent="0.25"/>
    <row r="135339" s="12" customFormat="1" x14ac:dyDescent="0.25"/>
    <row r="135340" s="12" customFormat="1" x14ac:dyDescent="0.25"/>
    <row r="135341" s="12" customFormat="1" x14ac:dyDescent="0.25"/>
    <row r="135342" s="12" customFormat="1" x14ac:dyDescent="0.25"/>
    <row r="135343" s="12" customFormat="1" x14ac:dyDescent="0.25"/>
    <row r="135344" s="12" customFormat="1" x14ac:dyDescent="0.25"/>
    <row r="135345" s="12" customFormat="1" x14ac:dyDescent="0.25"/>
    <row r="135346" s="12" customFormat="1" x14ac:dyDescent="0.25"/>
    <row r="135347" s="12" customFormat="1" x14ac:dyDescent="0.25"/>
    <row r="135348" s="12" customFormat="1" x14ac:dyDescent="0.25"/>
    <row r="135349" s="12" customFormat="1" x14ac:dyDescent="0.25"/>
    <row r="135350" s="12" customFormat="1" x14ac:dyDescent="0.25"/>
    <row r="135351" s="12" customFormat="1" x14ac:dyDescent="0.25"/>
    <row r="135352" s="12" customFormat="1" x14ac:dyDescent="0.25"/>
    <row r="135353" s="12" customFormat="1" x14ac:dyDescent="0.25"/>
    <row r="135354" s="12" customFormat="1" x14ac:dyDescent="0.25"/>
    <row r="135355" s="12" customFormat="1" x14ac:dyDescent="0.25"/>
    <row r="135356" s="12" customFormat="1" x14ac:dyDescent="0.25"/>
    <row r="135357" s="12" customFormat="1" x14ac:dyDescent="0.25"/>
    <row r="135358" s="12" customFormat="1" x14ac:dyDescent="0.25"/>
    <row r="135359" s="12" customFormat="1" x14ac:dyDescent="0.25"/>
    <row r="135360" s="12" customFormat="1" x14ac:dyDescent="0.25"/>
    <row r="135361" s="12" customFormat="1" x14ac:dyDescent="0.25"/>
    <row r="135362" s="12" customFormat="1" x14ac:dyDescent="0.25"/>
    <row r="135363" s="12" customFormat="1" x14ac:dyDescent="0.25"/>
    <row r="135364" s="12" customFormat="1" x14ac:dyDescent="0.25"/>
    <row r="135365" s="12" customFormat="1" x14ac:dyDescent="0.25"/>
    <row r="135366" s="12" customFormat="1" x14ac:dyDescent="0.25"/>
    <row r="135367" s="12" customFormat="1" x14ac:dyDescent="0.25"/>
    <row r="135368" s="12" customFormat="1" x14ac:dyDescent="0.25"/>
    <row r="135369" s="12" customFormat="1" x14ac:dyDescent="0.25"/>
    <row r="135370" s="12" customFormat="1" x14ac:dyDescent="0.25"/>
    <row r="135371" s="12" customFormat="1" x14ac:dyDescent="0.25"/>
    <row r="135372" s="12" customFormat="1" x14ac:dyDescent="0.25"/>
    <row r="135373" s="12" customFormat="1" x14ac:dyDescent="0.25"/>
    <row r="135374" s="12" customFormat="1" x14ac:dyDescent="0.25"/>
    <row r="135375" s="12" customFormat="1" x14ac:dyDescent="0.25"/>
    <row r="135376" s="12" customFormat="1" x14ac:dyDescent="0.25"/>
    <row r="135377" s="12" customFormat="1" x14ac:dyDescent="0.25"/>
    <row r="135378" s="12" customFormat="1" x14ac:dyDescent="0.25"/>
    <row r="135379" s="12" customFormat="1" x14ac:dyDescent="0.25"/>
    <row r="135380" s="12" customFormat="1" x14ac:dyDescent="0.25"/>
    <row r="135381" s="12" customFormat="1" x14ac:dyDescent="0.25"/>
    <row r="135382" s="12" customFormat="1" x14ac:dyDescent="0.25"/>
    <row r="135383" s="12" customFormat="1" x14ac:dyDescent="0.25"/>
    <row r="135384" s="12" customFormat="1" x14ac:dyDescent="0.25"/>
    <row r="135385" s="12" customFormat="1" x14ac:dyDescent="0.25"/>
    <row r="135386" s="12" customFormat="1" x14ac:dyDescent="0.25"/>
    <row r="135387" s="12" customFormat="1" x14ac:dyDescent="0.25"/>
    <row r="135388" s="12" customFormat="1" x14ac:dyDescent="0.25"/>
    <row r="135389" s="12" customFormat="1" x14ac:dyDescent="0.25"/>
    <row r="135390" s="12" customFormat="1" x14ac:dyDescent="0.25"/>
    <row r="135391" s="12" customFormat="1" x14ac:dyDescent="0.25"/>
    <row r="135392" s="12" customFormat="1" x14ac:dyDescent="0.25"/>
    <row r="135393" s="12" customFormat="1" x14ac:dyDescent="0.25"/>
    <row r="135394" s="12" customFormat="1" x14ac:dyDescent="0.25"/>
    <row r="135395" s="12" customFormat="1" x14ac:dyDescent="0.25"/>
    <row r="135396" s="12" customFormat="1" x14ac:dyDescent="0.25"/>
    <row r="135397" s="12" customFormat="1" x14ac:dyDescent="0.25"/>
    <row r="135398" s="12" customFormat="1" x14ac:dyDescent="0.25"/>
    <row r="135399" s="12" customFormat="1" x14ac:dyDescent="0.25"/>
    <row r="135400" s="12" customFormat="1" x14ac:dyDescent="0.25"/>
    <row r="135401" s="12" customFormat="1" x14ac:dyDescent="0.25"/>
    <row r="135402" s="12" customFormat="1" x14ac:dyDescent="0.25"/>
    <row r="135403" s="12" customFormat="1" x14ac:dyDescent="0.25"/>
    <row r="135404" s="12" customFormat="1" x14ac:dyDescent="0.25"/>
    <row r="135405" s="12" customFormat="1" x14ac:dyDescent="0.25"/>
    <row r="135406" s="12" customFormat="1" x14ac:dyDescent="0.25"/>
    <row r="135407" s="12" customFormat="1" x14ac:dyDescent="0.25"/>
    <row r="135408" s="12" customFormat="1" x14ac:dyDescent="0.25"/>
    <row r="135409" s="12" customFormat="1" x14ac:dyDescent="0.25"/>
    <row r="135410" s="12" customFormat="1" x14ac:dyDescent="0.25"/>
    <row r="135411" s="12" customFormat="1" x14ac:dyDescent="0.25"/>
    <row r="135412" s="12" customFormat="1" x14ac:dyDescent="0.25"/>
    <row r="135413" s="12" customFormat="1" x14ac:dyDescent="0.25"/>
    <row r="135414" s="12" customFormat="1" x14ac:dyDescent="0.25"/>
    <row r="135415" s="12" customFormat="1" x14ac:dyDescent="0.25"/>
    <row r="135416" s="12" customFormat="1" x14ac:dyDescent="0.25"/>
    <row r="135417" s="12" customFormat="1" x14ac:dyDescent="0.25"/>
    <row r="135418" s="12" customFormat="1" x14ac:dyDescent="0.25"/>
    <row r="135419" s="12" customFormat="1" x14ac:dyDescent="0.25"/>
    <row r="135420" s="12" customFormat="1" x14ac:dyDescent="0.25"/>
    <row r="135421" s="12" customFormat="1" x14ac:dyDescent="0.25"/>
    <row r="135422" s="12" customFormat="1" x14ac:dyDescent="0.25"/>
    <row r="135423" s="12" customFormat="1" x14ac:dyDescent="0.25"/>
    <row r="135424" s="12" customFormat="1" x14ac:dyDescent="0.25"/>
    <row r="135425" s="12" customFormat="1" x14ac:dyDescent="0.25"/>
    <row r="135426" s="12" customFormat="1" x14ac:dyDescent="0.25"/>
    <row r="135427" s="12" customFormat="1" x14ac:dyDescent="0.25"/>
    <row r="135428" s="12" customFormat="1" x14ac:dyDescent="0.25"/>
    <row r="135429" s="12" customFormat="1" x14ac:dyDescent="0.25"/>
    <row r="135430" s="12" customFormat="1" x14ac:dyDescent="0.25"/>
    <row r="135431" s="12" customFormat="1" x14ac:dyDescent="0.25"/>
    <row r="135432" s="12" customFormat="1" x14ac:dyDescent="0.25"/>
    <row r="135433" s="12" customFormat="1" x14ac:dyDescent="0.25"/>
    <row r="135434" s="12" customFormat="1" x14ac:dyDescent="0.25"/>
    <row r="135435" s="12" customFormat="1" x14ac:dyDescent="0.25"/>
    <row r="135436" s="12" customFormat="1" x14ac:dyDescent="0.25"/>
    <row r="135437" s="12" customFormat="1" x14ac:dyDescent="0.25"/>
    <row r="135438" s="12" customFormat="1" x14ac:dyDescent="0.25"/>
    <row r="135439" s="12" customFormat="1" x14ac:dyDescent="0.25"/>
    <row r="135440" s="12" customFormat="1" x14ac:dyDescent="0.25"/>
    <row r="135441" s="12" customFormat="1" x14ac:dyDescent="0.25"/>
    <row r="135442" s="12" customFormat="1" x14ac:dyDescent="0.25"/>
    <row r="135443" s="12" customFormat="1" x14ac:dyDescent="0.25"/>
    <row r="135444" s="12" customFormat="1" x14ac:dyDescent="0.25"/>
    <row r="135445" s="12" customFormat="1" x14ac:dyDescent="0.25"/>
    <row r="135446" s="12" customFormat="1" x14ac:dyDescent="0.25"/>
    <row r="135447" s="12" customFormat="1" x14ac:dyDescent="0.25"/>
    <row r="135448" s="12" customFormat="1" x14ac:dyDescent="0.25"/>
    <row r="135449" s="12" customFormat="1" x14ac:dyDescent="0.25"/>
    <row r="135450" s="12" customFormat="1" x14ac:dyDescent="0.25"/>
    <row r="135451" s="12" customFormat="1" x14ac:dyDescent="0.25"/>
    <row r="135452" s="12" customFormat="1" x14ac:dyDescent="0.25"/>
    <row r="135453" s="12" customFormat="1" x14ac:dyDescent="0.25"/>
    <row r="135454" s="12" customFormat="1" x14ac:dyDescent="0.25"/>
    <row r="135455" s="12" customFormat="1" x14ac:dyDescent="0.25"/>
    <row r="135456" s="12" customFormat="1" x14ac:dyDescent="0.25"/>
    <row r="135457" s="12" customFormat="1" x14ac:dyDescent="0.25"/>
    <row r="135458" s="12" customFormat="1" x14ac:dyDescent="0.25"/>
    <row r="135459" s="12" customFormat="1" x14ac:dyDescent="0.25"/>
    <row r="135460" s="12" customFormat="1" x14ac:dyDescent="0.25"/>
    <row r="135461" s="12" customFormat="1" x14ac:dyDescent="0.25"/>
    <row r="135462" s="12" customFormat="1" x14ac:dyDescent="0.25"/>
    <row r="135463" s="12" customFormat="1" x14ac:dyDescent="0.25"/>
    <row r="135464" s="12" customFormat="1" x14ac:dyDescent="0.25"/>
    <row r="135465" s="12" customFormat="1" x14ac:dyDescent="0.25"/>
    <row r="135466" s="12" customFormat="1" x14ac:dyDescent="0.25"/>
    <row r="135467" s="12" customFormat="1" x14ac:dyDescent="0.25"/>
    <row r="135468" s="12" customFormat="1" x14ac:dyDescent="0.25"/>
    <row r="135469" s="12" customFormat="1" x14ac:dyDescent="0.25"/>
    <row r="135470" s="12" customFormat="1" x14ac:dyDescent="0.25"/>
    <row r="135471" s="12" customFormat="1" x14ac:dyDescent="0.25"/>
    <row r="135472" s="12" customFormat="1" x14ac:dyDescent="0.25"/>
    <row r="135473" s="12" customFormat="1" x14ac:dyDescent="0.25"/>
    <row r="135474" s="12" customFormat="1" x14ac:dyDescent="0.25"/>
    <row r="135475" s="12" customFormat="1" x14ac:dyDescent="0.25"/>
    <row r="135476" s="12" customFormat="1" x14ac:dyDescent="0.25"/>
    <row r="135477" s="12" customFormat="1" x14ac:dyDescent="0.25"/>
    <row r="135478" s="12" customFormat="1" x14ac:dyDescent="0.25"/>
    <row r="135479" s="12" customFormat="1" x14ac:dyDescent="0.25"/>
    <row r="135480" s="12" customFormat="1" x14ac:dyDescent="0.25"/>
    <row r="135481" s="12" customFormat="1" x14ac:dyDescent="0.25"/>
    <row r="135482" s="12" customFormat="1" x14ac:dyDescent="0.25"/>
    <row r="135483" s="12" customFormat="1" x14ac:dyDescent="0.25"/>
    <row r="135484" s="12" customFormat="1" x14ac:dyDescent="0.25"/>
    <row r="135485" s="12" customFormat="1" x14ac:dyDescent="0.25"/>
    <row r="135486" s="12" customFormat="1" x14ac:dyDescent="0.25"/>
    <row r="135487" s="12" customFormat="1" x14ac:dyDescent="0.25"/>
    <row r="135488" s="12" customFormat="1" x14ac:dyDescent="0.25"/>
    <row r="135489" s="12" customFormat="1" x14ac:dyDescent="0.25"/>
    <row r="135490" s="12" customFormat="1" x14ac:dyDescent="0.25"/>
    <row r="135491" s="12" customFormat="1" x14ac:dyDescent="0.25"/>
    <row r="135492" s="12" customFormat="1" x14ac:dyDescent="0.25"/>
    <row r="135493" s="12" customFormat="1" x14ac:dyDescent="0.25"/>
    <row r="135494" s="12" customFormat="1" x14ac:dyDescent="0.25"/>
    <row r="135495" s="12" customFormat="1" x14ac:dyDescent="0.25"/>
    <row r="135496" s="12" customFormat="1" x14ac:dyDescent="0.25"/>
    <row r="135497" s="12" customFormat="1" x14ac:dyDescent="0.25"/>
    <row r="135498" s="12" customFormat="1" x14ac:dyDescent="0.25"/>
    <row r="135499" s="12" customFormat="1" x14ac:dyDescent="0.25"/>
    <row r="135500" s="12" customFormat="1" x14ac:dyDescent="0.25"/>
    <row r="135501" s="12" customFormat="1" x14ac:dyDescent="0.25"/>
    <row r="135502" s="12" customFormat="1" x14ac:dyDescent="0.25"/>
    <row r="135503" s="12" customFormat="1" x14ac:dyDescent="0.25"/>
    <row r="135504" s="12" customFormat="1" x14ac:dyDescent="0.25"/>
    <row r="135505" s="12" customFormat="1" x14ac:dyDescent="0.25"/>
    <row r="135506" s="12" customFormat="1" x14ac:dyDescent="0.25"/>
    <row r="135507" s="12" customFormat="1" x14ac:dyDescent="0.25"/>
    <row r="135508" s="12" customFormat="1" x14ac:dyDescent="0.25"/>
    <row r="135509" s="12" customFormat="1" x14ac:dyDescent="0.25"/>
    <row r="135510" s="12" customFormat="1" x14ac:dyDescent="0.25"/>
    <row r="135511" s="12" customFormat="1" x14ac:dyDescent="0.25"/>
    <row r="135512" s="12" customFormat="1" x14ac:dyDescent="0.25"/>
    <row r="135513" s="12" customFormat="1" x14ac:dyDescent="0.25"/>
    <row r="135514" s="12" customFormat="1" x14ac:dyDescent="0.25"/>
    <row r="135515" s="12" customFormat="1" x14ac:dyDescent="0.25"/>
    <row r="135516" s="12" customFormat="1" x14ac:dyDescent="0.25"/>
    <row r="135517" s="12" customFormat="1" x14ac:dyDescent="0.25"/>
    <row r="135518" s="12" customFormat="1" x14ac:dyDescent="0.25"/>
    <row r="135519" s="12" customFormat="1" x14ac:dyDescent="0.25"/>
    <row r="135520" s="12" customFormat="1" x14ac:dyDescent="0.25"/>
    <row r="135521" s="12" customFormat="1" x14ac:dyDescent="0.25"/>
    <row r="135522" s="12" customFormat="1" x14ac:dyDescent="0.25"/>
    <row r="135523" s="12" customFormat="1" x14ac:dyDescent="0.25"/>
    <row r="135524" s="12" customFormat="1" x14ac:dyDescent="0.25"/>
    <row r="135525" s="12" customFormat="1" x14ac:dyDescent="0.25"/>
    <row r="135526" s="12" customFormat="1" x14ac:dyDescent="0.25"/>
    <row r="135527" s="12" customFormat="1" x14ac:dyDescent="0.25"/>
    <row r="135528" s="12" customFormat="1" x14ac:dyDescent="0.25"/>
    <row r="135529" s="12" customFormat="1" x14ac:dyDescent="0.25"/>
    <row r="135530" s="12" customFormat="1" x14ac:dyDescent="0.25"/>
    <row r="135531" s="12" customFormat="1" x14ac:dyDescent="0.25"/>
    <row r="135532" s="12" customFormat="1" x14ac:dyDescent="0.25"/>
    <row r="135533" s="12" customFormat="1" x14ac:dyDescent="0.25"/>
    <row r="135534" s="12" customFormat="1" x14ac:dyDescent="0.25"/>
    <row r="135535" s="12" customFormat="1" x14ac:dyDescent="0.25"/>
    <row r="135536" s="12" customFormat="1" x14ac:dyDescent="0.25"/>
    <row r="135537" s="12" customFormat="1" x14ac:dyDescent="0.25"/>
    <row r="135538" s="12" customFormat="1" x14ac:dyDescent="0.25"/>
    <row r="135539" s="12" customFormat="1" x14ac:dyDescent="0.25"/>
    <row r="135540" s="12" customFormat="1" x14ac:dyDescent="0.25"/>
    <row r="135541" s="12" customFormat="1" x14ac:dyDescent="0.25"/>
    <row r="135542" s="12" customFormat="1" x14ac:dyDescent="0.25"/>
    <row r="135543" s="12" customFormat="1" x14ac:dyDescent="0.25"/>
    <row r="135544" s="12" customFormat="1" x14ac:dyDescent="0.25"/>
    <row r="135545" s="12" customFormat="1" x14ac:dyDescent="0.25"/>
    <row r="135546" s="12" customFormat="1" x14ac:dyDescent="0.25"/>
    <row r="135547" s="12" customFormat="1" x14ac:dyDescent="0.25"/>
    <row r="135548" s="12" customFormat="1" x14ac:dyDescent="0.25"/>
    <row r="135549" s="12" customFormat="1" x14ac:dyDescent="0.25"/>
    <row r="135550" s="12" customFormat="1" x14ac:dyDescent="0.25"/>
    <row r="135551" s="12" customFormat="1" x14ac:dyDescent="0.25"/>
    <row r="135552" s="12" customFormat="1" x14ac:dyDescent="0.25"/>
    <row r="135553" s="12" customFormat="1" x14ac:dyDescent="0.25"/>
    <row r="135554" s="12" customFormat="1" x14ac:dyDescent="0.25"/>
    <row r="135555" s="12" customFormat="1" x14ac:dyDescent="0.25"/>
    <row r="135556" s="12" customFormat="1" x14ac:dyDescent="0.25"/>
    <row r="135557" s="12" customFormat="1" x14ac:dyDescent="0.25"/>
    <row r="135558" s="12" customFormat="1" x14ac:dyDescent="0.25"/>
    <row r="135559" s="12" customFormat="1" x14ac:dyDescent="0.25"/>
    <row r="135560" s="12" customFormat="1" x14ac:dyDescent="0.25"/>
    <row r="135561" s="12" customFormat="1" x14ac:dyDescent="0.25"/>
    <row r="135562" s="12" customFormat="1" x14ac:dyDescent="0.25"/>
    <row r="135563" s="12" customFormat="1" x14ac:dyDescent="0.25"/>
    <row r="135564" s="12" customFormat="1" x14ac:dyDescent="0.25"/>
    <row r="135565" s="12" customFormat="1" x14ac:dyDescent="0.25"/>
    <row r="135566" s="12" customFormat="1" x14ac:dyDescent="0.25"/>
    <row r="135567" s="12" customFormat="1" x14ac:dyDescent="0.25"/>
    <row r="135568" s="12" customFormat="1" x14ac:dyDescent="0.25"/>
    <row r="135569" s="12" customFormat="1" x14ac:dyDescent="0.25"/>
    <row r="135570" s="12" customFormat="1" x14ac:dyDescent="0.25"/>
    <row r="135571" s="12" customFormat="1" x14ac:dyDescent="0.25"/>
    <row r="135572" s="12" customFormat="1" x14ac:dyDescent="0.25"/>
    <row r="135573" s="12" customFormat="1" x14ac:dyDescent="0.25"/>
    <row r="135574" s="12" customFormat="1" x14ac:dyDescent="0.25"/>
    <row r="135575" s="12" customFormat="1" x14ac:dyDescent="0.25"/>
    <row r="135576" s="12" customFormat="1" x14ac:dyDescent="0.25"/>
    <row r="135577" s="12" customFormat="1" x14ac:dyDescent="0.25"/>
    <row r="135578" s="12" customFormat="1" x14ac:dyDescent="0.25"/>
    <row r="135579" s="12" customFormat="1" x14ac:dyDescent="0.25"/>
    <row r="135580" s="12" customFormat="1" x14ac:dyDescent="0.25"/>
    <row r="135581" s="12" customFormat="1" x14ac:dyDescent="0.25"/>
    <row r="135582" s="12" customFormat="1" x14ac:dyDescent="0.25"/>
    <row r="135583" s="12" customFormat="1" x14ac:dyDescent="0.25"/>
    <row r="135584" s="12" customFormat="1" x14ac:dyDescent="0.25"/>
    <row r="135585" s="12" customFormat="1" x14ac:dyDescent="0.25"/>
    <row r="135586" s="12" customFormat="1" x14ac:dyDescent="0.25"/>
    <row r="135587" s="12" customFormat="1" x14ac:dyDescent="0.25"/>
    <row r="135588" s="12" customFormat="1" x14ac:dyDescent="0.25"/>
    <row r="135589" s="12" customFormat="1" x14ac:dyDescent="0.25"/>
    <row r="135590" s="12" customFormat="1" x14ac:dyDescent="0.25"/>
    <row r="135591" s="12" customFormat="1" x14ac:dyDescent="0.25"/>
    <row r="135592" s="12" customFormat="1" x14ac:dyDescent="0.25"/>
    <row r="135593" s="12" customFormat="1" x14ac:dyDescent="0.25"/>
    <row r="135594" s="12" customFormat="1" x14ac:dyDescent="0.25"/>
    <row r="135595" s="12" customFormat="1" x14ac:dyDescent="0.25"/>
    <row r="135596" s="12" customFormat="1" x14ac:dyDescent="0.25"/>
    <row r="135597" s="12" customFormat="1" x14ac:dyDescent="0.25"/>
    <row r="135598" s="12" customFormat="1" x14ac:dyDescent="0.25"/>
    <row r="135599" s="12" customFormat="1" x14ac:dyDescent="0.25"/>
    <row r="135600" s="12" customFormat="1" x14ac:dyDescent="0.25"/>
    <row r="135601" s="12" customFormat="1" x14ac:dyDescent="0.25"/>
    <row r="135602" s="12" customFormat="1" x14ac:dyDescent="0.25"/>
    <row r="135603" s="12" customFormat="1" x14ac:dyDescent="0.25"/>
    <row r="135604" s="12" customFormat="1" x14ac:dyDescent="0.25"/>
    <row r="135605" s="12" customFormat="1" x14ac:dyDescent="0.25"/>
    <row r="135606" s="12" customFormat="1" x14ac:dyDescent="0.25"/>
    <row r="135607" s="12" customFormat="1" x14ac:dyDescent="0.25"/>
    <row r="135608" s="12" customFormat="1" x14ac:dyDescent="0.25"/>
    <row r="135609" s="12" customFormat="1" x14ac:dyDescent="0.25"/>
    <row r="135610" s="12" customFormat="1" x14ac:dyDescent="0.25"/>
    <row r="135611" s="12" customFormat="1" x14ac:dyDescent="0.25"/>
    <row r="135612" s="12" customFormat="1" x14ac:dyDescent="0.25"/>
    <row r="135613" s="12" customFormat="1" x14ac:dyDescent="0.25"/>
    <row r="135614" s="12" customFormat="1" x14ac:dyDescent="0.25"/>
    <row r="135615" s="12" customFormat="1" x14ac:dyDescent="0.25"/>
    <row r="135616" s="12" customFormat="1" x14ac:dyDescent="0.25"/>
    <row r="135617" s="12" customFormat="1" x14ac:dyDescent="0.25"/>
    <row r="135618" s="12" customFormat="1" x14ac:dyDescent="0.25"/>
    <row r="135619" s="12" customFormat="1" x14ac:dyDescent="0.25"/>
    <row r="135620" s="12" customFormat="1" x14ac:dyDescent="0.25"/>
    <row r="135621" s="12" customFormat="1" x14ac:dyDescent="0.25"/>
    <row r="135622" s="12" customFormat="1" x14ac:dyDescent="0.25"/>
    <row r="135623" s="12" customFormat="1" x14ac:dyDescent="0.25"/>
    <row r="135624" s="12" customFormat="1" x14ac:dyDescent="0.25"/>
    <row r="135625" s="12" customFormat="1" x14ac:dyDescent="0.25"/>
    <row r="135626" s="12" customFormat="1" x14ac:dyDescent="0.25"/>
    <row r="135627" s="12" customFormat="1" x14ac:dyDescent="0.25"/>
    <row r="135628" s="12" customFormat="1" x14ac:dyDescent="0.25"/>
    <row r="135629" s="12" customFormat="1" x14ac:dyDescent="0.25"/>
    <row r="135630" s="12" customFormat="1" x14ac:dyDescent="0.25"/>
    <row r="135631" s="12" customFormat="1" x14ac:dyDescent="0.25"/>
    <row r="135632" s="12" customFormat="1" x14ac:dyDescent="0.25"/>
    <row r="135633" s="12" customFormat="1" x14ac:dyDescent="0.25"/>
    <row r="135634" s="12" customFormat="1" x14ac:dyDescent="0.25"/>
    <row r="135635" s="12" customFormat="1" x14ac:dyDescent="0.25"/>
    <row r="135636" s="12" customFormat="1" x14ac:dyDescent="0.25"/>
    <row r="135637" s="12" customFormat="1" x14ac:dyDescent="0.25"/>
    <row r="135638" s="12" customFormat="1" x14ac:dyDescent="0.25"/>
    <row r="135639" s="12" customFormat="1" x14ac:dyDescent="0.25"/>
    <row r="135640" s="12" customFormat="1" x14ac:dyDescent="0.25"/>
    <row r="135641" s="12" customFormat="1" x14ac:dyDescent="0.25"/>
    <row r="135642" s="12" customFormat="1" x14ac:dyDescent="0.25"/>
    <row r="135643" s="12" customFormat="1" x14ac:dyDescent="0.25"/>
    <row r="135644" s="12" customFormat="1" x14ac:dyDescent="0.25"/>
    <row r="135645" s="12" customFormat="1" x14ac:dyDescent="0.25"/>
    <row r="135646" s="12" customFormat="1" x14ac:dyDescent="0.25"/>
    <row r="135647" s="12" customFormat="1" x14ac:dyDescent="0.25"/>
    <row r="135648" s="12" customFormat="1" x14ac:dyDescent="0.25"/>
    <row r="135649" s="12" customFormat="1" x14ac:dyDescent="0.25"/>
    <row r="135650" s="12" customFormat="1" x14ac:dyDescent="0.25"/>
    <row r="135651" s="12" customFormat="1" x14ac:dyDescent="0.25"/>
    <row r="135652" s="12" customFormat="1" x14ac:dyDescent="0.25"/>
    <row r="135653" s="12" customFormat="1" x14ac:dyDescent="0.25"/>
    <row r="135654" s="12" customFormat="1" x14ac:dyDescent="0.25"/>
    <row r="135655" s="12" customFormat="1" x14ac:dyDescent="0.25"/>
    <row r="135656" s="12" customFormat="1" x14ac:dyDescent="0.25"/>
    <row r="135657" s="12" customFormat="1" x14ac:dyDescent="0.25"/>
    <row r="135658" s="12" customFormat="1" x14ac:dyDescent="0.25"/>
    <row r="135659" s="12" customFormat="1" x14ac:dyDescent="0.25"/>
    <row r="135660" s="12" customFormat="1" x14ac:dyDescent="0.25"/>
    <row r="135661" s="12" customFormat="1" x14ac:dyDescent="0.25"/>
    <row r="135662" s="12" customFormat="1" x14ac:dyDescent="0.25"/>
    <row r="135663" s="12" customFormat="1" x14ac:dyDescent="0.25"/>
    <row r="135664" s="12" customFormat="1" x14ac:dyDescent="0.25"/>
    <row r="135665" s="12" customFormat="1" x14ac:dyDescent="0.25"/>
    <row r="135666" s="12" customFormat="1" x14ac:dyDescent="0.25"/>
    <row r="135667" s="12" customFormat="1" x14ac:dyDescent="0.25"/>
    <row r="135668" s="12" customFormat="1" x14ac:dyDescent="0.25"/>
    <row r="135669" s="12" customFormat="1" x14ac:dyDescent="0.25"/>
    <row r="135670" s="12" customFormat="1" x14ac:dyDescent="0.25"/>
    <row r="135671" s="12" customFormat="1" x14ac:dyDescent="0.25"/>
    <row r="135672" s="12" customFormat="1" x14ac:dyDescent="0.25"/>
    <row r="135673" s="12" customFormat="1" x14ac:dyDescent="0.25"/>
    <row r="135674" s="12" customFormat="1" x14ac:dyDescent="0.25"/>
    <row r="135675" s="12" customFormat="1" x14ac:dyDescent="0.25"/>
    <row r="135676" s="12" customFormat="1" x14ac:dyDescent="0.25"/>
    <row r="135677" s="12" customFormat="1" x14ac:dyDescent="0.25"/>
    <row r="135678" s="12" customFormat="1" x14ac:dyDescent="0.25"/>
    <row r="135679" s="12" customFormat="1" x14ac:dyDescent="0.25"/>
    <row r="135680" s="12" customFormat="1" x14ac:dyDescent="0.25"/>
    <row r="135681" s="12" customFormat="1" x14ac:dyDescent="0.25"/>
    <row r="135682" s="12" customFormat="1" x14ac:dyDescent="0.25"/>
    <row r="135683" s="12" customFormat="1" x14ac:dyDescent="0.25"/>
    <row r="135684" s="12" customFormat="1" x14ac:dyDescent="0.25"/>
    <row r="135685" s="12" customFormat="1" x14ac:dyDescent="0.25"/>
    <row r="135686" s="12" customFormat="1" x14ac:dyDescent="0.25"/>
    <row r="135687" s="12" customFormat="1" x14ac:dyDescent="0.25"/>
    <row r="135688" s="12" customFormat="1" x14ac:dyDescent="0.25"/>
    <row r="135689" s="12" customFormat="1" x14ac:dyDescent="0.25"/>
    <row r="135690" s="12" customFormat="1" x14ac:dyDescent="0.25"/>
    <row r="135691" s="12" customFormat="1" x14ac:dyDescent="0.25"/>
    <row r="135692" s="12" customFormat="1" x14ac:dyDescent="0.25"/>
    <row r="135693" s="12" customFormat="1" x14ac:dyDescent="0.25"/>
    <row r="135694" s="12" customFormat="1" x14ac:dyDescent="0.25"/>
    <row r="135695" s="12" customFormat="1" x14ac:dyDescent="0.25"/>
    <row r="135696" s="12" customFormat="1" x14ac:dyDescent="0.25"/>
    <row r="135697" s="12" customFormat="1" x14ac:dyDescent="0.25"/>
    <row r="135698" s="12" customFormat="1" x14ac:dyDescent="0.25"/>
    <row r="135699" s="12" customFormat="1" x14ac:dyDescent="0.25"/>
    <row r="135700" s="12" customFormat="1" x14ac:dyDescent="0.25"/>
    <row r="135701" s="12" customFormat="1" x14ac:dyDescent="0.25"/>
    <row r="135702" s="12" customFormat="1" x14ac:dyDescent="0.25"/>
    <row r="135703" s="12" customFormat="1" x14ac:dyDescent="0.25"/>
    <row r="135704" s="12" customFormat="1" x14ac:dyDescent="0.25"/>
    <row r="135705" s="12" customFormat="1" x14ac:dyDescent="0.25"/>
    <row r="135706" s="12" customFormat="1" x14ac:dyDescent="0.25"/>
    <row r="135707" s="12" customFormat="1" x14ac:dyDescent="0.25"/>
    <row r="135708" s="12" customFormat="1" x14ac:dyDescent="0.25"/>
    <row r="135709" s="12" customFormat="1" x14ac:dyDescent="0.25"/>
    <row r="135710" s="12" customFormat="1" x14ac:dyDescent="0.25"/>
    <row r="135711" s="12" customFormat="1" x14ac:dyDescent="0.25"/>
    <row r="135712" s="12" customFormat="1" x14ac:dyDescent="0.25"/>
    <row r="135713" s="12" customFormat="1" x14ac:dyDescent="0.25"/>
    <row r="135714" s="12" customFormat="1" x14ac:dyDescent="0.25"/>
    <row r="135715" s="12" customFormat="1" x14ac:dyDescent="0.25"/>
    <row r="135716" s="12" customFormat="1" x14ac:dyDescent="0.25"/>
    <row r="135717" s="12" customFormat="1" x14ac:dyDescent="0.25"/>
    <row r="135718" s="12" customFormat="1" x14ac:dyDescent="0.25"/>
    <row r="135719" s="12" customFormat="1" x14ac:dyDescent="0.25"/>
    <row r="135720" s="12" customFormat="1" x14ac:dyDescent="0.25"/>
    <row r="135721" s="12" customFormat="1" x14ac:dyDescent="0.25"/>
    <row r="135722" s="12" customFormat="1" x14ac:dyDescent="0.25"/>
    <row r="135723" s="12" customFormat="1" x14ac:dyDescent="0.25"/>
    <row r="135724" s="12" customFormat="1" x14ac:dyDescent="0.25"/>
    <row r="135725" s="12" customFormat="1" x14ac:dyDescent="0.25"/>
    <row r="135726" s="12" customFormat="1" x14ac:dyDescent="0.25"/>
    <row r="135727" s="12" customFormat="1" x14ac:dyDescent="0.25"/>
    <row r="135728" s="12" customFormat="1" x14ac:dyDescent="0.25"/>
    <row r="135729" s="12" customFormat="1" x14ac:dyDescent="0.25"/>
    <row r="135730" s="12" customFormat="1" x14ac:dyDescent="0.25"/>
    <row r="135731" s="12" customFormat="1" x14ac:dyDescent="0.25"/>
    <row r="135732" s="12" customFormat="1" x14ac:dyDescent="0.25"/>
    <row r="135733" s="12" customFormat="1" x14ac:dyDescent="0.25"/>
    <row r="135734" s="12" customFormat="1" x14ac:dyDescent="0.25"/>
    <row r="135735" s="12" customFormat="1" x14ac:dyDescent="0.25"/>
    <row r="135736" s="12" customFormat="1" x14ac:dyDescent="0.25"/>
    <row r="135737" s="12" customFormat="1" x14ac:dyDescent="0.25"/>
    <row r="135738" s="12" customFormat="1" x14ac:dyDescent="0.25"/>
    <row r="135739" s="12" customFormat="1" x14ac:dyDescent="0.25"/>
    <row r="135740" s="12" customFormat="1" x14ac:dyDescent="0.25"/>
    <row r="135741" s="12" customFormat="1" x14ac:dyDescent="0.25"/>
    <row r="135742" s="12" customFormat="1" x14ac:dyDescent="0.25"/>
    <row r="135743" s="12" customFormat="1" x14ac:dyDescent="0.25"/>
    <row r="135744" s="12" customFormat="1" x14ac:dyDescent="0.25"/>
    <row r="135745" s="12" customFormat="1" x14ac:dyDescent="0.25"/>
    <row r="135746" s="12" customFormat="1" x14ac:dyDescent="0.25"/>
    <row r="135747" s="12" customFormat="1" x14ac:dyDescent="0.25"/>
    <row r="135748" s="12" customFormat="1" x14ac:dyDescent="0.25"/>
    <row r="135749" s="12" customFormat="1" x14ac:dyDescent="0.25"/>
    <row r="135750" s="12" customFormat="1" x14ac:dyDescent="0.25"/>
    <row r="135751" s="12" customFormat="1" x14ac:dyDescent="0.25"/>
    <row r="135752" s="12" customFormat="1" x14ac:dyDescent="0.25"/>
    <row r="135753" s="12" customFormat="1" x14ac:dyDescent="0.25"/>
    <row r="135754" s="12" customFormat="1" x14ac:dyDescent="0.25"/>
    <row r="135755" s="12" customFormat="1" x14ac:dyDescent="0.25"/>
    <row r="135756" s="12" customFormat="1" x14ac:dyDescent="0.25"/>
    <row r="135757" s="12" customFormat="1" x14ac:dyDescent="0.25"/>
    <row r="135758" s="12" customFormat="1" x14ac:dyDescent="0.25"/>
    <row r="135759" s="12" customFormat="1" x14ac:dyDescent="0.25"/>
    <row r="135760" s="12" customFormat="1" x14ac:dyDescent="0.25"/>
    <row r="135761" s="12" customFormat="1" x14ac:dyDescent="0.25"/>
    <row r="135762" s="12" customFormat="1" x14ac:dyDescent="0.25"/>
    <row r="135763" s="12" customFormat="1" x14ac:dyDescent="0.25"/>
    <row r="135764" s="12" customFormat="1" x14ac:dyDescent="0.25"/>
    <row r="135765" s="12" customFormat="1" x14ac:dyDescent="0.25"/>
    <row r="135766" s="12" customFormat="1" x14ac:dyDescent="0.25"/>
    <row r="135767" s="12" customFormat="1" x14ac:dyDescent="0.25"/>
    <row r="135768" s="12" customFormat="1" x14ac:dyDescent="0.25"/>
    <row r="135769" s="12" customFormat="1" x14ac:dyDescent="0.25"/>
    <row r="135770" s="12" customFormat="1" x14ac:dyDescent="0.25"/>
    <row r="135771" s="12" customFormat="1" x14ac:dyDescent="0.25"/>
    <row r="135772" s="12" customFormat="1" x14ac:dyDescent="0.25"/>
    <row r="135773" s="12" customFormat="1" x14ac:dyDescent="0.25"/>
    <row r="135774" s="12" customFormat="1" x14ac:dyDescent="0.25"/>
    <row r="135775" s="12" customFormat="1" x14ac:dyDescent="0.25"/>
    <row r="135776" s="12" customFormat="1" x14ac:dyDescent="0.25"/>
    <row r="135777" s="12" customFormat="1" x14ac:dyDescent="0.25"/>
    <row r="135778" s="12" customFormat="1" x14ac:dyDescent="0.25"/>
    <row r="135779" s="12" customFormat="1" x14ac:dyDescent="0.25"/>
    <row r="135780" s="12" customFormat="1" x14ac:dyDescent="0.25"/>
    <row r="135781" s="12" customFormat="1" x14ac:dyDescent="0.25"/>
    <row r="135782" s="12" customFormat="1" x14ac:dyDescent="0.25"/>
    <row r="135783" s="12" customFormat="1" x14ac:dyDescent="0.25"/>
    <row r="135784" s="12" customFormat="1" x14ac:dyDescent="0.25"/>
    <row r="135785" s="12" customFormat="1" x14ac:dyDescent="0.25"/>
    <row r="135786" s="12" customFormat="1" x14ac:dyDescent="0.25"/>
    <row r="135787" s="12" customFormat="1" x14ac:dyDescent="0.25"/>
    <row r="135788" s="12" customFormat="1" x14ac:dyDescent="0.25"/>
    <row r="135789" s="12" customFormat="1" x14ac:dyDescent="0.25"/>
    <row r="135790" s="12" customFormat="1" x14ac:dyDescent="0.25"/>
    <row r="135791" s="12" customFormat="1" x14ac:dyDescent="0.25"/>
    <row r="135792" s="12" customFormat="1" x14ac:dyDescent="0.25"/>
    <row r="135793" s="12" customFormat="1" x14ac:dyDescent="0.25"/>
    <row r="135794" s="12" customFormat="1" x14ac:dyDescent="0.25"/>
    <row r="135795" s="12" customFormat="1" x14ac:dyDescent="0.25"/>
    <row r="135796" s="12" customFormat="1" x14ac:dyDescent="0.25"/>
    <row r="135797" s="12" customFormat="1" x14ac:dyDescent="0.25"/>
    <row r="135798" s="12" customFormat="1" x14ac:dyDescent="0.25"/>
    <row r="135799" s="12" customFormat="1" x14ac:dyDescent="0.25"/>
    <row r="135800" s="12" customFormat="1" x14ac:dyDescent="0.25"/>
    <row r="135801" s="12" customFormat="1" x14ac:dyDescent="0.25"/>
    <row r="135802" s="12" customFormat="1" x14ac:dyDescent="0.25"/>
    <row r="135803" s="12" customFormat="1" x14ac:dyDescent="0.25"/>
    <row r="135804" s="12" customFormat="1" x14ac:dyDescent="0.25"/>
    <row r="135805" s="12" customFormat="1" x14ac:dyDescent="0.25"/>
    <row r="135806" s="12" customFormat="1" x14ac:dyDescent="0.25"/>
    <row r="135807" s="12" customFormat="1" x14ac:dyDescent="0.25"/>
    <row r="135808" s="12" customFormat="1" x14ac:dyDescent="0.25"/>
    <row r="135809" s="12" customFormat="1" x14ac:dyDescent="0.25"/>
    <row r="135810" s="12" customFormat="1" x14ac:dyDescent="0.25"/>
    <row r="135811" s="12" customFormat="1" x14ac:dyDescent="0.25"/>
    <row r="135812" s="12" customFormat="1" x14ac:dyDescent="0.25"/>
    <row r="135813" s="12" customFormat="1" x14ac:dyDescent="0.25"/>
    <row r="135814" s="12" customFormat="1" x14ac:dyDescent="0.25"/>
    <row r="135815" s="12" customFormat="1" x14ac:dyDescent="0.25"/>
    <row r="135816" s="12" customFormat="1" x14ac:dyDescent="0.25"/>
    <row r="135817" s="12" customFormat="1" x14ac:dyDescent="0.25"/>
    <row r="135818" s="12" customFormat="1" x14ac:dyDescent="0.25"/>
    <row r="135819" s="12" customFormat="1" x14ac:dyDescent="0.25"/>
    <row r="135820" s="12" customFormat="1" x14ac:dyDescent="0.25"/>
    <row r="135821" s="12" customFormat="1" x14ac:dyDescent="0.25"/>
    <row r="135822" s="12" customFormat="1" x14ac:dyDescent="0.25"/>
    <row r="135823" s="12" customFormat="1" x14ac:dyDescent="0.25"/>
    <row r="135824" s="12" customFormat="1" x14ac:dyDescent="0.25"/>
    <row r="135825" s="12" customFormat="1" x14ac:dyDescent="0.25"/>
    <row r="135826" s="12" customFormat="1" x14ac:dyDescent="0.25"/>
    <row r="135827" s="12" customFormat="1" x14ac:dyDescent="0.25"/>
    <row r="135828" s="12" customFormat="1" x14ac:dyDescent="0.25"/>
    <row r="135829" s="12" customFormat="1" x14ac:dyDescent="0.25"/>
    <row r="135830" s="12" customFormat="1" x14ac:dyDescent="0.25"/>
    <row r="135831" s="12" customFormat="1" x14ac:dyDescent="0.25"/>
    <row r="135832" s="12" customFormat="1" x14ac:dyDescent="0.25"/>
    <row r="135833" s="12" customFormat="1" x14ac:dyDescent="0.25"/>
    <row r="135834" s="12" customFormat="1" x14ac:dyDescent="0.25"/>
    <row r="135835" s="12" customFormat="1" x14ac:dyDescent="0.25"/>
    <row r="135836" s="12" customFormat="1" x14ac:dyDescent="0.25"/>
    <row r="135837" s="12" customFormat="1" x14ac:dyDescent="0.25"/>
    <row r="135838" s="12" customFormat="1" x14ac:dyDescent="0.25"/>
    <row r="135839" s="12" customFormat="1" x14ac:dyDescent="0.25"/>
    <row r="135840" s="12" customFormat="1" x14ac:dyDescent="0.25"/>
    <row r="135841" s="12" customFormat="1" x14ac:dyDescent="0.25"/>
    <row r="135842" s="12" customFormat="1" x14ac:dyDescent="0.25"/>
    <row r="135843" s="12" customFormat="1" x14ac:dyDescent="0.25"/>
    <row r="135844" s="12" customFormat="1" x14ac:dyDescent="0.25"/>
    <row r="135845" s="12" customFormat="1" x14ac:dyDescent="0.25"/>
    <row r="135846" s="12" customFormat="1" x14ac:dyDescent="0.25"/>
    <row r="135847" s="12" customFormat="1" x14ac:dyDescent="0.25"/>
    <row r="135848" s="12" customFormat="1" x14ac:dyDescent="0.25"/>
    <row r="135849" s="12" customFormat="1" x14ac:dyDescent="0.25"/>
    <row r="135850" s="12" customFormat="1" x14ac:dyDescent="0.25"/>
    <row r="135851" s="12" customFormat="1" x14ac:dyDescent="0.25"/>
    <row r="135852" s="12" customFormat="1" x14ac:dyDescent="0.25"/>
    <row r="135853" s="12" customFormat="1" x14ac:dyDescent="0.25"/>
    <row r="135854" s="12" customFormat="1" x14ac:dyDescent="0.25"/>
    <row r="135855" s="12" customFormat="1" x14ac:dyDescent="0.25"/>
    <row r="135856" s="12" customFormat="1" x14ac:dyDescent="0.25"/>
    <row r="135857" s="12" customFormat="1" x14ac:dyDescent="0.25"/>
    <row r="135858" s="12" customFormat="1" x14ac:dyDescent="0.25"/>
    <row r="135859" s="12" customFormat="1" x14ac:dyDescent="0.25"/>
    <row r="135860" s="12" customFormat="1" x14ac:dyDescent="0.25"/>
    <row r="135861" s="12" customFormat="1" x14ac:dyDescent="0.25"/>
    <row r="135862" s="12" customFormat="1" x14ac:dyDescent="0.25"/>
    <row r="135863" s="12" customFormat="1" x14ac:dyDescent="0.25"/>
    <row r="135864" s="12" customFormat="1" x14ac:dyDescent="0.25"/>
    <row r="135865" s="12" customFormat="1" x14ac:dyDescent="0.25"/>
    <row r="135866" s="12" customFormat="1" x14ac:dyDescent="0.25"/>
    <row r="135867" s="12" customFormat="1" x14ac:dyDescent="0.25"/>
    <row r="135868" s="12" customFormat="1" x14ac:dyDescent="0.25"/>
    <row r="135869" s="12" customFormat="1" x14ac:dyDescent="0.25"/>
    <row r="135870" s="12" customFormat="1" x14ac:dyDescent="0.25"/>
    <row r="135871" s="12" customFormat="1" x14ac:dyDescent="0.25"/>
    <row r="135872" s="12" customFormat="1" x14ac:dyDescent="0.25"/>
    <row r="135873" s="12" customFormat="1" x14ac:dyDescent="0.25"/>
    <row r="135874" s="12" customFormat="1" x14ac:dyDescent="0.25"/>
    <row r="135875" s="12" customFormat="1" x14ac:dyDescent="0.25"/>
    <row r="135876" s="12" customFormat="1" x14ac:dyDescent="0.25"/>
    <row r="135877" s="12" customFormat="1" x14ac:dyDescent="0.25"/>
    <row r="135878" s="12" customFormat="1" x14ac:dyDescent="0.25"/>
    <row r="135879" s="12" customFormat="1" x14ac:dyDescent="0.25"/>
    <row r="135880" s="12" customFormat="1" x14ac:dyDescent="0.25"/>
    <row r="135881" s="12" customFormat="1" x14ac:dyDescent="0.25"/>
    <row r="135882" s="12" customFormat="1" x14ac:dyDescent="0.25"/>
    <row r="135883" s="12" customFormat="1" x14ac:dyDescent="0.25"/>
    <row r="135884" s="12" customFormat="1" x14ac:dyDescent="0.25"/>
    <row r="135885" s="12" customFormat="1" x14ac:dyDescent="0.25"/>
    <row r="135886" s="12" customFormat="1" x14ac:dyDescent="0.25"/>
    <row r="135887" s="12" customFormat="1" x14ac:dyDescent="0.25"/>
    <row r="135888" s="12" customFormat="1" x14ac:dyDescent="0.25"/>
    <row r="135889" s="12" customFormat="1" x14ac:dyDescent="0.25"/>
    <row r="135890" s="12" customFormat="1" x14ac:dyDescent="0.25"/>
    <row r="135891" s="12" customFormat="1" x14ac:dyDescent="0.25"/>
    <row r="135892" s="12" customFormat="1" x14ac:dyDescent="0.25"/>
    <row r="135893" s="12" customFormat="1" x14ac:dyDescent="0.25"/>
    <row r="135894" s="12" customFormat="1" x14ac:dyDescent="0.25"/>
    <row r="135895" s="12" customFormat="1" x14ac:dyDescent="0.25"/>
    <row r="135896" s="12" customFormat="1" x14ac:dyDescent="0.25"/>
    <row r="135897" s="12" customFormat="1" x14ac:dyDescent="0.25"/>
    <row r="135898" s="12" customFormat="1" x14ac:dyDescent="0.25"/>
    <row r="135899" s="12" customFormat="1" x14ac:dyDescent="0.25"/>
    <row r="135900" s="12" customFormat="1" x14ac:dyDescent="0.25"/>
    <row r="135901" s="12" customFormat="1" x14ac:dyDescent="0.25"/>
    <row r="135902" s="12" customFormat="1" x14ac:dyDescent="0.25"/>
    <row r="135903" s="12" customFormat="1" x14ac:dyDescent="0.25"/>
    <row r="135904" s="12" customFormat="1" x14ac:dyDescent="0.25"/>
    <row r="135905" s="12" customFormat="1" x14ac:dyDescent="0.25"/>
    <row r="135906" s="12" customFormat="1" x14ac:dyDescent="0.25"/>
    <row r="135907" s="12" customFormat="1" x14ac:dyDescent="0.25"/>
    <row r="135908" s="12" customFormat="1" x14ac:dyDescent="0.25"/>
    <row r="135909" s="12" customFormat="1" x14ac:dyDescent="0.25"/>
    <row r="135910" s="12" customFormat="1" x14ac:dyDescent="0.25"/>
    <row r="135911" s="12" customFormat="1" x14ac:dyDescent="0.25"/>
    <row r="135912" s="12" customFormat="1" x14ac:dyDescent="0.25"/>
    <row r="135913" s="12" customFormat="1" x14ac:dyDescent="0.25"/>
    <row r="135914" s="12" customFormat="1" x14ac:dyDescent="0.25"/>
    <row r="135915" s="12" customFormat="1" x14ac:dyDescent="0.25"/>
    <row r="135916" s="12" customFormat="1" x14ac:dyDescent="0.25"/>
    <row r="135917" s="12" customFormat="1" x14ac:dyDescent="0.25"/>
    <row r="135918" s="12" customFormat="1" x14ac:dyDescent="0.25"/>
    <row r="135919" s="12" customFormat="1" x14ac:dyDescent="0.25"/>
    <row r="135920" s="12" customFormat="1" x14ac:dyDescent="0.25"/>
    <row r="135921" s="12" customFormat="1" x14ac:dyDescent="0.25"/>
    <row r="135922" s="12" customFormat="1" x14ac:dyDescent="0.25"/>
    <row r="135923" s="12" customFormat="1" x14ac:dyDescent="0.25"/>
    <row r="135924" s="12" customFormat="1" x14ac:dyDescent="0.25"/>
    <row r="135925" s="12" customFormat="1" x14ac:dyDescent="0.25"/>
    <row r="135926" s="12" customFormat="1" x14ac:dyDescent="0.25"/>
    <row r="135927" s="12" customFormat="1" x14ac:dyDescent="0.25"/>
    <row r="135928" s="12" customFormat="1" x14ac:dyDescent="0.25"/>
    <row r="135929" s="12" customFormat="1" x14ac:dyDescent="0.25"/>
    <row r="135930" s="12" customFormat="1" x14ac:dyDescent="0.25"/>
    <row r="135931" s="12" customFormat="1" x14ac:dyDescent="0.25"/>
    <row r="135932" s="12" customFormat="1" x14ac:dyDescent="0.25"/>
    <row r="135933" s="12" customFormat="1" x14ac:dyDescent="0.25"/>
    <row r="135934" s="12" customFormat="1" x14ac:dyDescent="0.25"/>
    <row r="135935" s="12" customFormat="1" x14ac:dyDescent="0.25"/>
    <row r="135936" s="12" customFormat="1" x14ac:dyDescent="0.25"/>
    <row r="135937" s="12" customFormat="1" x14ac:dyDescent="0.25"/>
    <row r="135938" s="12" customFormat="1" x14ac:dyDescent="0.25"/>
    <row r="135939" s="12" customFormat="1" x14ac:dyDescent="0.25"/>
    <row r="135940" s="12" customFormat="1" x14ac:dyDescent="0.25"/>
    <row r="135941" s="12" customFormat="1" x14ac:dyDescent="0.25"/>
    <row r="135942" s="12" customFormat="1" x14ac:dyDescent="0.25"/>
    <row r="135943" s="12" customFormat="1" x14ac:dyDescent="0.25"/>
    <row r="135944" s="12" customFormat="1" x14ac:dyDescent="0.25"/>
    <row r="135945" s="12" customFormat="1" x14ac:dyDescent="0.25"/>
    <row r="135946" s="12" customFormat="1" x14ac:dyDescent="0.25"/>
    <row r="135947" s="12" customFormat="1" x14ac:dyDescent="0.25"/>
    <row r="135948" s="12" customFormat="1" x14ac:dyDescent="0.25"/>
    <row r="135949" s="12" customFormat="1" x14ac:dyDescent="0.25"/>
    <row r="135950" s="12" customFormat="1" x14ac:dyDescent="0.25"/>
    <row r="135951" s="12" customFormat="1" x14ac:dyDescent="0.25"/>
    <row r="135952" s="12" customFormat="1" x14ac:dyDescent="0.25"/>
    <row r="135953" s="12" customFormat="1" x14ac:dyDescent="0.25"/>
    <row r="135954" s="12" customFormat="1" x14ac:dyDescent="0.25"/>
    <row r="135955" s="12" customFormat="1" x14ac:dyDescent="0.25"/>
    <row r="135956" s="12" customFormat="1" x14ac:dyDescent="0.25"/>
    <row r="135957" s="12" customFormat="1" x14ac:dyDescent="0.25"/>
    <row r="135958" s="12" customFormat="1" x14ac:dyDescent="0.25"/>
    <row r="135959" s="12" customFormat="1" x14ac:dyDescent="0.25"/>
    <row r="135960" s="12" customFormat="1" x14ac:dyDescent="0.25"/>
    <row r="135961" s="12" customFormat="1" x14ac:dyDescent="0.25"/>
    <row r="135962" s="12" customFormat="1" x14ac:dyDescent="0.25"/>
    <row r="135963" s="12" customFormat="1" x14ac:dyDescent="0.25"/>
    <row r="135964" s="12" customFormat="1" x14ac:dyDescent="0.25"/>
    <row r="135965" s="12" customFormat="1" x14ac:dyDescent="0.25"/>
    <row r="135966" s="12" customFormat="1" x14ac:dyDescent="0.25"/>
    <row r="135967" s="12" customFormat="1" x14ac:dyDescent="0.25"/>
    <row r="135968" s="12" customFormat="1" x14ac:dyDescent="0.25"/>
    <row r="135969" s="12" customFormat="1" x14ac:dyDescent="0.25"/>
    <row r="135970" s="12" customFormat="1" x14ac:dyDescent="0.25"/>
    <row r="135971" s="12" customFormat="1" x14ac:dyDescent="0.25"/>
    <row r="135972" s="12" customFormat="1" x14ac:dyDescent="0.25"/>
    <row r="135973" s="12" customFormat="1" x14ac:dyDescent="0.25"/>
    <row r="135974" s="12" customFormat="1" x14ac:dyDescent="0.25"/>
    <row r="135975" s="12" customFormat="1" x14ac:dyDescent="0.25"/>
    <row r="135976" s="12" customFormat="1" x14ac:dyDescent="0.25"/>
    <row r="135977" s="12" customFormat="1" x14ac:dyDescent="0.25"/>
    <row r="135978" s="12" customFormat="1" x14ac:dyDescent="0.25"/>
    <row r="135979" s="12" customFormat="1" x14ac:dyDescent="0.25"/>
    <row r="135980" s="12" customFormat="1" x14ac:dyDescent="0.25"/>
    <row r="135981" s="12" customFormat="1" x14ac:dyDescent="0.25"/>
    <row r="135982" s="12" customFormat="1" x14ac:dyDescent="0.25"/>
    <row r="135983" s="12" customFormat="1" x14ac:dyDescent="0.25"/>
    <row r="135984" s="12" customFormat="1" x14ac:dyDescent="0.25"/>
    <row r="135985" s="12" customFormat="1" x14ac:dyDescent="0.25"/>
    <row r="135986" s="12" customFormat="1" x14ac:dyDescent="0.25"/>
    <row r="135987" s="12" customFormat="1" x14ac:dyDescent="0.25"/>
    <row r="135988" s="12" customFormat="1" x14ac:dyDescent="0.25"/>
    <row r="135989" s="12" customFormat="1" x14ac:dyDescent="0.25"/>
    <row r="135990" s="12" customFormat="1" x14ac:dyDescent="0.25"/>
    <row r="135991" s="12" customFormat="1" x14ac:dyDescent="0.25"/>
    <row r="135992" s="12" customFormat="1" x14ac:dyDescent="0.25"/>
    <row r="135993" s="12" customFormat="1" x14ac:dyDescent="0.25"/>
    <row r="135994" s="12" customFormat="1" x14ac:dyDescent="0.25"/>
    <row r="135995" s="12" customFormat="1" x14ac:dyDescent="0.25"/>
    <row r="135996" s="12" customFormat="1" x14ac:dyDescent="0.25"/>
    <row r="135997" s="12" customFormat="1" x14ac:dyDescent="0.25"/>
    <row r="135998" s="12" customFormat="1" x14ac:dyDescent="0.25"/>
    <row r="135999" s="12" customFormat="1" x14ac:dyDescent="0.25"/>
    <row r="136000" s="12" customFormat="1" x14ac:dyDescent="0.25"/>
    <row r="136001" s="12" customFormat="1" x14ac:dyDescent="0.25"/>
    <row r="136002" s="12" customFormat="1" x14ac:dyDescent="0.25"/>
    <row r="136003" s="12" customFormat="1" x14ac:dyDescent="0.25"/>
    <row r="136004" s="12" customFormat="1" x14ac:dyDescent="0.25"/>
    <row r="136005" s="12" customFormat="1" x14ac:dyDescent="0.25"/>
    <row r="136006" s="12" customFormat="1" x14ac:dyDescent="0.25"/>
    <row r="136007" s="12" customFormat="1" x14ac:dyDescent="0.25"/>
    <row r="136008" s="12" customFormat="1" x14ac:dyDescent="0.25"/>
    <row r="136009" s="12" customFormat="1" x14ac:dyDescent="0.25"/>
    <row r="136010" s="12" customFormat="1" x14ac:dyDescent="0.25"/>
    <row r="136011" s="12" customFormat="1" x14ac:dyDescent="0.25"/>
    <row r="136012" s="12" customFormat="1" x14ac:dyDescent="0.25"/>
    <row r="136013" s="12" customFormat="1" x14ac:dyDescent="0.25"/>
    <row r="136014" s="12" customFormat="1" x14ac:dyDescent="0.25"/>
    <row r="136015" s="12" customFormat="1" x14ac:dyDescent="0.25"/>
    <row r="136016" s="12" customFormat="1" x14ac:dyDescent="0.25"/>
    <row r="136017" s="12" customFormat="1" x14ac:dyDescent="0.25"/>
    <row r="136018" s="12" customFormat="1" x14ac:dyDescent="0.25"/>
    <row r="136019" s="12" customFormat="1" x14ac:dyDescent="0.25"/>
    <row r="136020" s="12" customFormat="1" x14ac:dyDescent="0.25"/>
    <row r="136021" s="12" customFormat="1" x14ac:dyDescent="0.25"/>
    <row r="136022" s="12" customFormat="1" x14ac:dyDescent="0.25"/>
    <row r="136023" s="12" customFormat="1" x14ac:dyDescent="0.25"/>
    <row r="136024" s="12" customFormat="1" x14ac:dyDescent="0.25"/>
    <row r="136025" s="12" customFormat="1" x14ac:dyDescent="0.25"/>
    <row r="136026" s="12" customFormat="1" x14ac:dyDescent="0.25"/>
    <row r="136027" s="12" customFormat="1" x14ac:dyDescent="0.25"/>
    <row r="136028" s="12" customFormat="1" x14ac:dyDescent="0.25"/>
    <row r="136029" s="12" customFormat="1" x14ac:dyDescent="0.25"/>
    <row r="136030" s="12" customFormat="1" x14ac:dyDescent="0.25"/>
    <row r="136031" s="12" customFormat="1" x14ac:dyDescent="0.25"/>
    <row r="136032" s="12" customFormat="1" x14ac:dyDescent="0.25"/>
    <row r="136033" s="12" customFormat="1" x14ac:dyDescent="0.25"/>
    <row r="136034" s="12" customFormat="1" x14ac:dyDescent="0.25"/>
    <row r="136035" s="12" customFormat="1" x14ac:dyDescent="0.25"/>
    <row r="136036" s="12" customFormat="1" x14ac:dyDescent="0.25"/>
    <row r="136037" s="12" customFormat="1" x14ac:dyDescent="0.25"/>
    <row r="136038" s="12" customFormat="1" x14ac:dyDescent="0.25"/>
    <row r="136039" s="12" customFormat="1" x14ac:dyDescent="0.25"/>
    <row r="136040" s="12" customFormat="1" x14ac:dyDescent="0.25"/>
    <row r="136041" s="12" customFormat="1" x14ac:dyDescent="0.25"/>
    <row r="136042" s="12" customFormat="1" x14ac:dyDescent="0.25"/>
    <row r="136043" s="12" customFormat="1" x14ac:dyDescent="0.25"/>
    <row r="136044" s="12" customFormat="1" x14ac:dyDescent="0.25"/>
    <row r="136045" s="12" customFormat="1" x14ac:dyDescent="0.25"/>
    <row r="136046" s="12" customFormat="1" x14ac:dyDescent="0.25"/>
    <row r="136047" s="12" customFormat="1" x14ac:dyDescent="0.25"/>
    <row r="136048" s="12" customFormat="1" x14ac:dyDescent="0.25"/>
    <row r="136049" s="12" customFormat="1" x14ac:dyDescent="0.25"/>
    <row r="136050" s="12" customFormat="1" x14ac:dyDescent="0.25"/>
    <row r="136051" s="12" customFormat="1" x14ac:dyDescent="0.25"/>
    <row r="136052" s="12" customFormat="1" x14ac:dyDescent="0.25"/>
    <row r="136053" s="12" customFormat="1" x14ac:dyDescent="0.25"/>
    <row r="136054" s="12" customFormat="1" x14ac:dyDescent="0.25"/>
    <row r="136055" s="12" customFormat="1" x14ac:dyDescent="0.25"/>
    <row r="136056" s="12" customFormat="1" x14ac:dyDescent="0.25"/>
    <row r="136057" s="12" customFormat="1" x14ac:dyDescent="0.25"/>
    <row r="136058" s="12" customFormat="1" x14ac:dyDescent="0.25"/>
    <row r="136059" s="12" customFormat="1" x14ac:dyDescent="0.25"/>
    <row r="136060" s="12" customFormat="1" x14ac:dyDescent="0.25"/>
    <row r="136061" s="12" customFormat="1" x14ac:dyDescent="0.25"/>
    <row r="136062" s="12" customFormat="1" x14ac:dyDescent="0.25"/>
    <row r="136063" s="12" customFormat="1" x14ac:dyDescent="0.25"/>
    <row r="136064" s="12" customFormat="1" x14ac:dyDescent="0.25"/>
    <row r="136065" s="12" customFormat="1" x14ac:dyDescent="0.25"/>
    <row r="136066" s="12" customFormat="1" x14ac:dyDescent="0.25"/>
    <row r="136067" s="12" customFormat="1" x14ac:dyDescent="0.25"/>
    <row r="136068" s="12" customFormat="1" x14ac:dyDescent="0.25"/>
    <row r="136069" s="12" customFormat="1" x14ac:dyDescent="0.25"/>
    <row r="136070" s="12" customFormat="1" x14ac:dyDescent="0.25"/>
    <row r="136071" s="12" customFormat="1" x14ac:dyDescent="0.25"/>
    <row r="136072" s="12" customFormat="1" x14ac:dyDescent="0.25"/>
    <row r="136073" s="12" customFormat="1" x14ac:dyDescent="0.25"/>
    <row r="136074" s="12" customFormat="1" x14ac:dyDescent="0.25"/>
    <row r="136075" s="12" customFormat="1" x14ac:dyDescent="0.25"/>
    <row r="136076" s="12" customFormat="1" x14ac:dyDescent="0.25"/>
    <row r="136077" s="12" customFormat="1" x14ac:dyDescent="0.25"/>
    <row r="136078" s="12" customFormat="1" x14ac:dyDescent="0.25"/>
    <row r="136079" s="12" customFormat="1" x14ac:dyDescent="0.25"/>
    <row r="136080" s="12" customFormat="1" x14ac:dyDescent="0.25"/>
    <row r="136081" s="12" customFormat="1" x14ac:dyDescent="0.25"/>
    <row r="136082" s="12" customFormat="1" x14ac:dyDescent="0.25"/>
    <row r="136083" s="12" customFormat="1" x14ac:dyDescent="0.25"/>
    <row r="136084" s="12" customFormat="1" x14ac:dyDescent="0.25"/>
    <row r="136085" s="12" customFormat="1" x14ac:dyDescent="0.25"/>
    <row r="136086" s="12" customFormat="1" x14ac:dyDescent="0.25"/>
    <row r="136087" s="12" customFormat="1" x14ac:dyDescent="0.25"/>
    <row r="136088" s="12" customFormat="1" x14ac:dyDescent="0.25"/>
    <row r="136089" s="12" customFormat="1" x14ac:dyDescent="0.25"/>
    <row r="136090" s="12" customFormat="1" x14ac:dyDescent="0.25"/>
    <row r="136091" s="12" customFormat="1" x14ac:dyDescent="0.25"/>
    <row r="136092" s="12" customFormat="1" x14ac:dyDescent="0.25"/>
    <row r="136093" s="12" customFormat="1" x14ac:dyDescent="0.25"/>
    <row r="136094" s="12" customFormat="1" x14ac:dyDescent="0.25"/>
    <row r="136095" s="12" customFormat="1" x14ac:dyDescent="0.25"/>
    <row r="136096" s="12" customFormat="1" x14ac:dyDescent="0.25"/>
    <row r="136097" s="12" customFormat="1" x14ac:dyDescent="0.25"/>
    <row r="136098" s="12" customFormat="1" x14ac:dyDescent="0.25"/>
    <row r="136099" s="12" customFormat="1" x14ac:dyDescent="0.25"/>
    <row r="136100" s="12" customFormat="1" x14ac:dyDescent="0.25"/>
    <row r="136101" s="12" customFormat="1" x14ac:dyDescent="0.25"/>
    <row r="136102" s="12" customFormat="1" x14ac:dyDescent="0.25"/>
    <row r="136103" s="12" customFormat="1" x14ac:dyDescent="0.25"/>
    <row r="136104" s="12" customFormat="1" x14ac:dyDescent="0.25"/>
    <row r="136105" s="12" customFormat="1" x14ac:dyDescent="0.25"/>
    <row r="136106" s="12" customFormat="1" x14ac:dyDescent="0.25"/>
    <row r="136107" s="12" customFormat="1" x14ac:dyDescent="0.25"/>
    <row r="136108" s="12" customFormat="1" x14ac:dyDescent="0.25"/>
    <row r="136109" s="12" customFormat="1" x14ac:dyDescent="0.25"/>
    <row r="136110" s="12" customFormat="1" x14ac:dyDescent="0.25"/>
    <row r="136111" s="12" customFormat="1" x14ac:dyDescent="0.25"/>
    <row r="136112" s="12" customFormat="1" x14ac:dyDescent="0.25"/>
    <row r="136113" s="12" customFormat="1" x14ac:dyDescent="0.25"/>
    <row r="136114" s="12" customFormat="1" x14ac:dyDescent="0.25"/>
    <row r="136115" s="12" customFormat="1" x14ac:dyDescent="0.25"/>
    <row r="136116" s="12" customFormat="1" x14ac:dyDescent="0.25"/>
    <row r="136117" s="12" customFormat="1" x14ac:dyDescent="0.25"/>
    <row r="136118" s="12" customFormat="1" x14ac:dyDescent="0.25"/>
    <row r="136119" s="12" customFormat="1" x14ac:dyDescent="0.25"/>
    <row r="136120" s="12" customFormat="1" x14ac:dyDescent="0.25"/>
    <row r="136121" s="12" customFormat="1" x14ac:dyDescent="0.25"/>
    <row r="136122" s="12" customFormat="1" x14ac:dyDescent="0.25"/>
    <row r="136123" s="12" customFormat="1" x14ac:dyDescent="0.25"/>
    <row r="136124" s="12" customFormat="1" x14ac:dyDescent="0.25"/>
    <row r="136125" s="12" customFormat="1" x14ac:dyDescent="0.25"/>
    <row r="136126" s="12" customFormat="1" x14ac:dyDescent="0.25"/>
    <row r="136127" s="12" customFormat="1" x14ac:dyDescent="0.25"/>
    <row r="136128" s="12" customFormat="1" x14ac:dyDescent="0.25"/>
    <row r="136129" s="12" customFormat="1" x14ac:dyDescent="0.25"/>
    <row r="136130" s="12" customFormat="1" x14ac:dyDescent="0.25"/>
    <row r="136131" s="12" customFormat="1" x14ac:dyDescent="0.25"/>
    <row r="136132" s="12" customFormat="1" x14ac:dyDescent="0.25"/>
    <row r="136133" s="12" customFormat="1" x14ac:dyDescent="0.25"/>
    <row r="136134" s="12" customFormat="1" x14ac:dyDescent="0.25"/>
    <row r="136135" s="12" customFormat="1" x14ac:dyDescent="0.25"/>
    <row r="136136" s="12" customFormat="1" x14ac:dyDescent="0.25"/>
    <row r="136137" s="12" customFormat="1" x14ac:dyDescent="0.25"/>
    <row r="136138" s="12" customFormat="1" x14ac:dyDescent="0.25"/>
    <row r="136139" s="12" customFormat="1" x14ac:dyDescent="0.25"/>
    <row r="136140" s="12" customFormat="1" x14ac:dyDescent="0.25"/>
    <row r="136141" s="12" customFormat="1" x14ac:dyDescent="0.25"/>
    <row r="136142" s="12" customFormat="1" x14ac:dyDescent="0.25"/>
    <row r="136143" s="12" customFormat="1" x14ac:dyDescent="0.25"/>
    <row r="136144" s="12" customFormat="1" x14ac:dyDescent="0.25"/>
    <row r="136145" s="12" customFormat="1" x14ac:dyDescent="0.25"/>
    <row r="136146" s="12" customFormat="1" x14ac:dyDescent="0.25"/>
    <row r="136147" s="12" customFormat="1" x14ac:dyDescent="0.25"/>
    <row r="136148" s="12" customFormat="1" x14ac:dyDescent="0.25"/>
    <row r="136149" s="12" customFormat="1" x14ac:dyDescent="0.25"/>
    <row r="136150" s="12" customFormat="1" x14ac:dyDescent="0.25"/>
    <row r="136151" s="12" customFormat="1" x14ac:dyDescent="0.25"/>
    <row r="136152" s="12" customFormat="1" x14ac:dyDescent="0.25"/>
    <row r="136153" s="12" customFormat="1" x14ac:dyDescent="0.25"/>
    <row r="136154" s="12" customFormat="1" x14ac:dyDescent="0.25"/>
    <row r="136155" s="12" customFormat="1" x14ac:dyDescent="0.25"/>
    <row r="136156" s="12" customFormat="1" x14ac:dyDescent="0.25"/>
    <row r="136157" s="12" customFormat="1" x14ac:dyDescent="0.25"/>
    <row r="136158" s="12" customFormat="1" x14ac:dyDescent="0.25"/>
    <row r="136159" s="12" customFormat="1" x14ac:dyDescent="0.25"/>
    <row r="136160" s="12" customFormat="1" x14ac:dyDescent="0.25"/>
    <row r="136161" s="12" customFormat="1" x14ac:dyDescent="0.25"/>
    <row r="136162" s="12" customFormat="1" x14ac:dyDescent="0.25"/>
    <row r="136163" s="12" customFormat="1" x14ac:dyDescent="0.25"/>
    <row r="136164" s="12" customFormat="1" x14ac:dyDescent="0.25"/>
    <row r="136165" s="12" customFormat="1" x14ac:dyDescent="0.25"/>
    <row r="136166" s="12" customFormat="1" x14ac:dyDescent="0.25"/>
    <row r="136167" s="12" customFormat="1" x14ac:dyDescent="0.25"/>
    <row r="136168" s="12" customFormat="1" x14ac:dyDescent="0.25"/>
    <row r="136169" s="12" customFormat="1" x14ac:dyDescent="0.25"/>
    <row r="136170" s="12" customFormat="1" x14ac:dyDescent="0.25"/>
    <row r="136171" s="12" customFormat="1" x14ac:dyDescent="0.25"/>
    <row r="136172" s="12" customFormat="1" x14ac:dyDescent="0.25"/>
    <row r="136173" s="12" customFormat="1" x14ac:dyDescent="0.25"/>
    <row r="136174" s="12" customFormat="1" x14ac:dyDescent="0.25"/>
    <row r="136175" s="12" customFormat="1" x14ac:dyDescent="0.25"/>
    <row r="136176" s="12" customFormat="1" x14ac:dyDescent="0.25"/>
    <row r="136177" s="12" customFormat="1" x14ac:dyDescent="0.25"/>
    <row r="136178" s="12" customFormat="1" x14ac:dyDescent="0.25"/>
    <row r="136179" s="12" customFormat="1" x14ac:dyDescent="0.25"/>
    <row r="136180" s="12" customFormat="1" x14ac:dyDescent="0.25"/>
    <row r="136181" s="12" customFormat="1" x14ac:dyDescent="0.25"/>
    <row r="136182" s="12" customFormat="1" x14ac:dyDescent="0.25"/>
    <row r="136183" s="12" customFormat="1" x14ac:dyDescent="0.25"/>
    <row r="136184" s="12" customFormat="1" x14ac:dyDescent="0.25"/>
    <row r="136185" s="12" customFormat="1" x14ac:dyDescent="0.25"/>
    <row r="136186" s="12" customFormat="1" x14ac:dyDescent="0.25"/>
    <row r="136187" s="12" customFormat="1" x14ac:dyDescent="0.25"/>
    <row r="136188" s="12" customFormat="1" x14ac:dyDescent="0.25"/>
    <row r="136189" s="12" customFormat="1" x14ac:dyDescent="0.25"/>
    <row r="136190" s="12" customFormat="1" x14ac:dyDescent="0.25"/>
    <row r="136191" s="12" customFormat="1" x14ac:dyDescent="0.25"/>
    <row r="136192" s="12" customFormat="1" x14ac:dyDescent="0.25"/>
    <row r="136193" s="12" customFormat="1" x14ac:dyDescent="0.25"/>
    <row r="136194" s="12" customFormat="1" x14ac:dyDescent="0.25"/>
    <row r="136195" s="12" customFormat="1" x14ac:dyDescent="0.25"/>
    <row r="136196" s="12" customFormat="1" x14ac:dyDescent="0.25"/>
    <row r="136197" s="12" customFormat="1" x14ac:dyDescent="0.25"/>
    <row r="136198" s="12" customFormat="1" x14ac:dyDescent="0.25"/>
    <row r="136199" s="12" customFormat="1" x14ac:dyDescent="0.25"/>
    <row r="136200" s="12" customFormat="1" x14ac:dyDescent="0.25"/>
    <row r="136201" s="12" customFormat="1" x14ac:dyDescent="0.25"/>
    <row r="136202" s="12" customFormat="1" x14ac:dyDescent="0.25"/>
    <row r="136203" s="12" customFormat="1" x14ac:dyDescent="0.25"/>
    <row r="136204" s="12" customFormat="1" x14ac:dyDescent="0.25"/>
    <row r="136205" s="12" customFormat="1" x14ac:dyDescent="0.25"/>
    <row r="136206" s="12" customFormat="1" x14ac:dyDescent="0.25"/>
    <row r="136207" s="12" customFormat="1" x14ac:dyDescent="0.25"/>
    <row r="136208" s="12" customFormat="1" x14ac:dyDescent="0.25"/>
    <row r="136209" s="12" customFormat="1" x14ac:dyDescent="0.25"/>
    <row r="136210" s="12" customFormat="1" x14ac:dyDescent="0.25"/>
    <row r="136211" s="12" customFormat="1" x14ac:dyDescent="0.25"/>
    <row r="136212" s="12" customFormat="1" x14ac:dyDescent="0.25"/>
    <row r="136213" s="12" customFormat="1" x14ac:dyDescent="0.25"/>
    <row r="136214" s="12" customFormat="1" x14ac:dyDescent="0.25"/>
    <row r="136215" s="12" customFormat="1" x14ac:dyDescent="0.25"/>
    <row r="136216" s="12" customFormat="1" x14ac:dyDescent="0.25"/>
    <row r="136217" s="12" customFormat="1" x14ac:dyDescent="0.25"/>
    <row r="136218" s="12" customFormat="1" x14ac:dyDescent="0.25"/>
    <row r="136219" s="12" customFormat="1" x14ac:dyDescent="0.25"/>
    <row r="136220" s="12" customFormat="1" x14ac:dyDescent="0.25"/>
    <row r="136221" s="12" customFormat="1" x14ac:dyDescent="0.25"/>
    <row r="136222" s="12" customFormat="1" x14ac:dyDescent="0.25"/>
    <row r="136223" s="12" customFormat="1" x14ac:dyDescent="0.25"/>
    <row r="136224" s="12" customFormat="1" x14ac:dyDescent="0.25"/>
    <row r="136225" s="12" customFormat="1" x14ac:dyDescent="0.25"/>
    <row r="136226" s="12" customFormat="1" x14ac:dyDescent="0.25"/>
    <row r="136227" s="12" customFormat="1" x14ac:dyDescent="0.25"/>
    <row r="136228" s="12" customFormat="1" x14ac:dyDescent="0.25"/>
    <row r="136229" s="12" customFormat="1" x14ac:dyDescent="0.25"/>
    <row r="136230" s="12" customFormat="1" x14ac:dyDescent="0.25"/>
    <row r="136231" s="12" customFormat="1" x14ac:dyDescent="0.25"/>
    <row r="136232" s="12" customFormat="1" x14ac:dyDescent="0.25"/>
    <row r="136233" s="12" customFormat="1" x14ac:dyDescent="0.25"/>
    <row r="136234" s="12" customFormat="1" x14ac:dyDescent="0.25"/>
    <row r="136235" s="12" customFormat="1" x14ac:dyDescent="0.25"/>
    <row r="136236" s="12" customFormat="1" x14ac:dyDescent="0.25"/>
    <row r="136237" s="12" customFormat="1" x14ac:dyDescent="0.25"/>
    <row r="136238" s="12" customFormat="1" x14ac:dyDescent="0.25"/>
    <row r="136239" s="12" customFormat="1" x14ac:dyDescent="0.25"/>
    <row r="136240" s="12" customFormat="1" x14ac:dyDescent="0.25"/>
    <row r="136241" s="12" customFormat="1" x14ac:dyDescent="0.25"/>
    <row r="136242" s="12" customFormat="1" x14ac:dyDescent="0.25"/>
    <row r="136243" s="12" customFormat="1" x14ac:dyDescent="0.25"/>
    <row r="136244" s="12" customFormat="1" x14ac:dyDescent="0.25"/>
    <row r="136245" s="12" customFormat="1" x14ac:dyDescent="0.25"/>
    <row r="136246" s="12" customFormat="1" x14ac:dyDescent="0.25"/>
    <row r="136247" s="12" customFormat="1" x14ac:dyDescent="0.25"/>
    <row r="136248" s="12" customFormat="1" x14ac:dyDescent="0.25"/>
    <row r="136249" s="12" customFormat="1" x14ac:dyDescent="0.25"/>
    <row r="136250" s="12" customFormat="1" x14ac:dyDescent="0.25"/>
    <row r="136251" s="12" customFormat="1" x14ac:dyDescent="0.25"/>
    <row r="136252" s="12" customFormat="1" x14ac:dyDescent="0.25"/>
    <row r="136253" s="12" customFormat="1" x14ac:dyDescent="0.25"/>
    <row r="136254" s="12" customFormat="1" x14ac:dyDescent="0.25"/>
    <row r="136255" s="12" customFormat="1" x14ac:dyDescent="0.25"/>
    <row r="136256" s="12" customFormat="1" x14ac:dyDescent="0.25"/>
    <row r="136257" s="12" customFormat="1" x14ac:dyDescent="0.25"/>
    <row r="136258" s="12" customFormat="1" x14ac:dyDescent="0.25"/>
    <row r="136259" s="12" customFormat="1" x14ac:dyDescent="0.25"/>
    <row r="136260" s="12" customFormat="1" x14ac:dyDescent="0.25"/>
    <row r="136261" s="12" customFormat="1" x14ac:dyDescent="0.25"/>
    <row r="136262" s="12" customFormat="1" x14ac:dyDescent="0.25"/>
    <row r="136263" s="12" customFormat="1" x14ac:dyDescent="0.25"/>
    <row r="136264" s="12" customFormat="1" x14ac:dyDescent="0.25"/>
    <row r="136265" s="12" customFormat="1" x14ac:dyDescent="0.25"/>
    <row r="136266" s="12" customFormat="1" x14ac:dyDescent="0.25"/>
    <row r="136267" s="12" customFormat="1" x14ac:dyDescent="0.25"/>
    <row r="136268" s="12" customFormat="1" x14ac:dyDescent="0.25"/>
    <row r="136269" s="12" customFormat="1" x14ac:dyDescent="0.25"/>
    <row r="136270" s="12" customFormat="1" x14ac:dyDescent="0.25"/>
    <row r="136271" s="12" customFormat="1" x14ac:dyDescent="0.25"/>
    <row r="136272" s="12" customFormat="1" x14ac:dyDescent="0.25"/>
    <row r="136273" s="12" customFormat="1" x14ac:dyDescent="0.25"/>
    <row r="136274" s="12" customFormat="1" x14ac:dyDescent="0.25"/>
    <row r="136275" s="12" customFormat="1" x14ac:dyDescent="0.25"/>
    <row r="136276" s="12" customFormat="1" x14ac:dyDescent="0.25"/>
    <row r="136277" s="12" customFormat="1" x14ac:dyDescent="0.25"/>
    <row r="136278" s="12" customFormat="1" x14ac:dyDescent="0.25"/>
    <row r="136279" s="12" customFormat="1" x14ac:dyDescent="0.25"/>
    <row r="136280" s="12" customFormat="1" x14ac:dyDescent="0.25"/>
    <row r="136281" s="12" customFormat="1" x14ac:dyDescent="0.25"/>
    <row r="136282" s="12" customFormat="1" x14ac:dyDescent="0.25"/>
    <row r="136283" s="12" customFormat="1" x14ac:dyDescent="0.25"/>
    <row r="136284" s="12" customFormat="1" x14ac:dyDescent="0.25"/>
    <row r="136285" s="12" customFormat="1" x14ac:dyDescent="0.25"/>
    <row r="136286" s="12" customFormat="1" x14ac:dyDescent="0.25"/>
    <row r="136287" s="12" customFormat="1" x14ac:dyDescent="0.25"/>
    <row r="136288" s="12" customFormat="1" x14ac:dyDescent="0.25"/>
    <row r="136289" s="12" customFormat="1" x14ac:dyDescent="0.25"/>
    <row r="136290" s="12" customFormat="1" x14ac:dyDescent="0.25"/>
    <row r="136291" s="12" customFormat="1" x14ac:dyDescent="0.25"/>
    <row r="136292" s="12" customFormat="1" x14ac:dyDescent="0.25"/>
    <row r="136293" s="12" customFormat="1" x14ac:dyDescent="0.25"/>
    <row r="136294" s="12" customFormat="1" x14ac:dyDescent="0.25"/>
    <row r="136295" s="12" customFormat="1" x14ac:dyDescent="0.25"/>
    <row r="136296" s="12" customFormat="1" x14ac:dyDescent="0.25"/>
    <row r="136297" s="12" customFormat="1" x14ac:dyDescent="0.25"/>
    <row r="136298" s="12" customFormat="1" x14ac:dyDescent="0.25"/>
    <row r="136299" s="12" customFormat="1" x14ac:dyDescent="0.25"/>
    <row r="136300" s="12" customFormat="1" x14ac:dyDescent="0.25"/>
    <row r="136301" s="12" customFormat="1" x14ac:dyDescent="0.25"/>
    <row r="136302" s="12" customFormat="1" x14ac:dyDescent="0.25"/>
    <row r="136303" s="12" customFormat="1" x14ac:dyDescent="0.25"/>
    <row r="136304" s="12" customFormat="1" x14ac:dyDescent="0.25"/>
    <row r="136305" s="12" customFormat="1" x14ac:dyDescent="0.25"/>
    <row r="136306" s="12" customFormat="1" x14ac:dyDescent="0.25"/>
    <row r="136307" s="12" customFormat="1" x14ac:dyDescent="0.25"/>
    <row r="136308" s="12" customFormat="1" x14ac:dyDescent="0.25"/>
    <row r="136309" s="12" customFormat="1" x14ac:dyDescent="0.25"/>
    <row r="136310" s="12" customFormat="1" x14ac:dyDescent="0.25"/>
    <row r="136311" s="12" customFormat="1" x14ac:dyDescent="0.25"/>
    <row r="136312" s="12" customFormat="1" x14ac:dyDescent="0.25"/>
    <row r="136313" s="12" customFormat="1" x14ac:dyDescent="0.25"/>
    <row r="136314" s="12" customFormat="1" x14ac:dyDescent="0.25"/>
    <row r="136315" s="12" customFormat="1" x14ac:dyDescent="0.25"/>
    <row r="136316" s="12" customFormat="1" x14ac:dyDescent="0.25"/>
    <row r="136317" s="12" customFormat="1" x14ac:dyDescent="0.25"/>
    <row r="136318" s="12" customFormat="1" x14ac:dyDescent="0.25"/>
    <row r="136319" s="12" customFormat="1" x14ac:dyDescent="0.25"/>
    <row r="136320" s="12" customFormat="1" x14ac:dyDescent="0.25"/>
    <row r="136321" s="12" customFormat="1" x14ac:dyDescent="0.25"/>
    <row r="136322" s="12" customFormat="1" x14ac:dyDescent="0.25"/>
    <row r="136323" s="12" customFormat="1" x14ac:dyDescent="0.25"/>
    <row r="136324" s="12" customFormat="1" x14ac:dyDescent="0.25"/>
    <row r="136325" s="12" customFormat="1" x14ac:dyDescent="0.25"/>
    <row r="136326" s="12" customFormat="1" x14ac:dyDescent="0.25"/>
    <row r="136327" s="12" customFormat="1" x14ac:dyDescent="0.25"/>
    <row r="136328" s="12" customFormat="1" x14ac:dyDescent="0.25"/>
    <row r="136329" s="12" customFormat="1" x14ac:dyDescent="0.25"/>
    <row r="136330" s="12" customFormat="1" x14ac:dyDescent="0.25"/>
    <row r="136331" s="12" customFormat="1" x14ac:dyDescent="0.25"/>
    <row r="136332" s="12" customFormat="1" x14ac:dyDescent="0.25"/>
    <row r="136333" s="12" customFormat="1" x14ac:dyDescent="0.25"/>
    <row r="136334" s="12" customFormat="1" x14ac:dyDescent="0.25"/>
    <row r="136335" s="12" customFormat="1" x14ac:dyDescent="0.25"/>
    <row r="136336" s="12" customFormat="1" x14ac:dyDescent="0.25"/>
    <row r="136337" s="12" customFormat="1" x14ac:dyDescent="0.25"/>
    <row r="136338" s="12" customFormat="1" x14ac:dyDescent="0.25"/>
    <row r="136339" s="12" customFormat="1" x14ac:dyDescent="0.25"/>
    <row r="136340" s="12" customFormat="1" x14ac:dyDescent="0.25"/>
    <row r="136341" s="12" customFormat="1" x14ac:dyDescent="0.25"/>
    <row r="136342" s="12" customFormat="1" x14ac:dyDescent="0.25"/>
    <row r="136343" s="12" customFormat="1" x14ac:dyDescent="0.25"/>
    <row r="136344" s="12" customFormat="1" x14ac:dyDescent="0.25"/>
    <row r="136345" s="12" customFormat="1" x14ac:dyDescent="0.25"/>
    <row r="136346" s="12" customFormat="1" x14ac:dyDescent="0.25"/>
    <row r="136347" s="12" customFormat="1" x14ac:dyDescent="0.25"/>
    <row r="136348" s="12" customFormat="1" x14ac:dyDescent="0.25"/>
    <row r="136349" s="12" customFormat="1" x14ac:dyDescent="0.25"/>
    <row r="136350" s="12" customFormat="1" x14ac:dyDescent="0.25"/>
    <row r="136351" s="12" customFormat="1" x14ac:dyDescent="0.25"/>
    <row r="136352" s="12" customFormat="1" x14ac:dyDescent="0.25"/>
    <row r="136353" s="12" customFormat="1" x14ac:dyDescent="0.25"/>
    <row r="136354" s="12" customFormat="1" x14ac:dyDescent="0.25"/>
    <row r="136355" s="12" customFormat="1" x14ac:dyDescent="0.25"/>
    <row r="136356" s="12" customFormat="1" x14ac:dyDescent="0.25"/>
    <row r="136357" s="12" customFormat="1" x14ac:dyDescent="0.25"/>
    <row r="136358" s="12" customFormat="1" x14ac:dyDescent="0.25"/>
    <row r="136359" s="12" customFormat="1" x14ac:dyDescent="0.25"/>
    <row r="136360" s="12" customFormat="1" x14ac:dyDescent="0.25"/>
    <row r="136361" s="12" customFormat="1" x14ac:dyDescent="0.25"/>
    <row r="136362" s="12" customFormat="1" x14ac:dyDescent="0.25"/>
    <row r="136363" s="12" customFormat="1" x14ac:dyDescent="0.25"/>
    <row r="136364" s="12" customFormat="1" x14ac:dyDescent="0.25"/>
    <row r="136365" s="12" customFormat="1" x14ac:dyDescent="0.25"/>
    <row r="136366" s="12" customFormat="1" x14ac:dyDescent="0.25"/>
    <row r="136367" s="12" customFormat="1" x14ac:dyDescent="0.25"/>
    <row r="136368" s="12" customFormat="1" x14ac:dyDescent="0.25"/>
    <row r="136369" s="12" customFormat="1" x14ac:dyDescent="0.25"/>
    <row r="136370" s="12" customFormat="1" x14ac:dyDescent="0.25"/>
    <row r="136371" s="12" customFormat="1" x14ac:dyDescent="0.25"/>
    <row r="136372" s="12" customFormat="1" x14ac:dyDescent="0.25"/>
    <row r="136373" s="12" customFormat="1" x14ac:dyDescent="0.25"/>
    <row r="136374" s="12" customFormat="1" x14ac:dyDescent="0.25"/>
    <row r="136375" s="12" customFormat="1" x14ac:dyDescent="0.25"/>
    <row r="136376" s="12" customFormat="1" x14ac:dyDescent="0.25"/>
    <row r="136377" s="12" customFormat="1" x14ac:dyDescent="0.25"/>
    <row r="136378" s="12" customFormat="1" x14ac:dyDescent="0.25"/>
    <row r="136379" s="12" customFormat="1" x14ac:dyDescent="0.25"/>
    <row r="136380" s="12" customFormat="1" x14ac:dyDescent="0.25"/>
    <row r="136381" s="12" customFormat="1" x14ac:dyDescent="0.25"/>
    <row r="136382" s="12" customFormat="1" x14ac:dyDescent="0.25"/>
    <row r="136383" s="12" customFormat="1" x14ac:dyDescent="0.25"/>
    <row r="136384" s="12" customFormat="1" x14ac:dyDescent="0.25"/>
    <row r="136385" s="12" customFormat="1" x14ac:dyDescent="0.25"/>
    <row r="136386" s="12" customFormat="1" x14ac:dyDescent="0.25"/>
    <row r="136387" s="12" customFormat="1" x14ac:dyDescent="0.25"/>
    <row r="136388" s="12" customFormat="1" x14ac:dyDescent="0.25"/>
    <row r="136389" s="12" customFormat="1" x14ac:dyDescent="0.25"/>
    <row r="136390" s="12" customFormat="1" x14ac:dyDescent="0.25"/>
    <row r="136391" s="12" customFormat="1" x14ac:dyDescent="0.25"/>
    <row r="136392" s="12" customFormat="1" x14ac:dyDescent="0.25"/>
    <row r="136393" s="12" customFormat="1" x14ac:dyDescent="0.25"/>
    <row r="136394" s="12" customFormat="1" x14ac:dyDescent="0.25"/>
    <row r="136395" s="12" customFormat="1" x14ac:dyDescent="0.25"/>
    <row r="136396" s="12" customFormat="1" x14ac:dyDescent="0.25"/>
    <row r="136397" s="12" customFormat="1" x14ac:dyDescent="0.25"/>
    <row r="136398" s="12" customFormat="1" x14ac:dyDescent="0.25"/>
    <row r="136399" s="12" customFormat="1" x14ac:dyDescent="0.25"/>
    <row r="136400" s="12" customFormat="1" x14ac:dyDescent="0.25"/>
    <row r="136401" s="12" customFormat="1" x14ac:dyDescent="0.25"/>
    <row r="136402" s="12" customFormat="1" x14ac:dyDescent="0.25"/>
    <row r="136403" s="12" customFormat="1" x14ac:dyDescent="0.25"/>
    <row r="136404" s="12" customFormat="1" x14ac:dyDescent="0.25"/>
    <row r="136405" s="12" customFormat="1" x14ac:dyDescent="0.25"/>
    <row r="136406" s="12" customFormat="1" x14ac:dyDescent="0.25"/>
    <row r="136407" s="12" customFormat="1" x14ac:dyDescent="0.25"/>
    <row r="136408" s="12" customFormat="1" x14ac:dyDescent="0.25"/>
    <row r="136409" s="12" customFormat="1" x14ac:dyDescent="0.25"/>
    <row r="136410" s="12" customFormat="1" x14ac:dyDescent="0.25"/>
    <row r="136411" s="12" customFormat="1" x14ac:dyDescent="0.25"/>
    <row r="136412" s="12" customFormat="1" x14ac:dyDescent="0.25"/>
    <row r="136413" s="12" customFormat="1" x14ac:dyDescent="0.25"/>
    <row r="136414" s="12" customFormat="1" x14ac:dyDescent="0.25"/>
    <row r="136415" s="12" customFormat="1" x14ac:dyDescent="0.25"/>
    <row r="136416" s="12" customFormat="1" x14ac:dyDescent="0.25"/>
    <row r="136417" s="12" customFormat="1" x14ac:dyDescent="0.25"/>
    <row r="136418" s="12" customFormat="1" x14ac:dyDescent="0.25"/>
    <row r="136419" s="12" customFormat="1" x14ac:dyDescent="0.25"/>
    <row r="136420" s="12" customFormat="1" x14ac:dyDescent="0.25"/>
    <row r="136421" s="12" customFormat="1" x14ac:dyDescent="0.25"/>
    <row r="136422" s="12" customFormat="1" x14ac:dyDescent="0.25"/>
    <row r="136423" s="12" customFormat="1" x14ac:dyDescent="0.25"/>
    <row r="136424" s="12" customFormat="1" x14ac:dyDescent="0.25"/>
    <row r="136425" s="12" customFormat="1" x14ac:dyDescent="0.25"/>
    <row r="136426" s="12" customFormat="1" x14ac:dyDescent="0.25"/>
    <row r="136427" s="12" customFormat="1" x14ac:dyDescent="0.25"/>
    <row r="136428" s="12" customFormat="1" x14ac:dyDescent="0.25"/>
    <row r="136429" s="12" customFormat="1" x14ac:dyDescent="0.25"/>
    <row r="136430" s="12" customFormat="1" x14ac:dyDescent="0.25"/>
    <row r="136431" s="12" customFormat="1" x14ac:dyDescent="0.25"/>
    <row r="136432" s="12" customFormat="1" x14ac:dyDescent="0.25"/>
    <row r="136433" s="12" customFormat="1" x14ac:dyDescent="0.25"/>
    <row r="136434" s="12" customFormat="1" x14ac:dyDescent="0.25"/>
    <row r="136435" s="12" customFormat="1" x14ac:dyDescent="0.25"/>
    <row r="136436" s="12" customFormat="1" x14ac:dyDescent="0.25"/>
    <row r="136437" s="12" customFormat="1" x14ac:dyDescent="0.25"/>
    <row r="136438" s="12" customFormat="1" x14ac:dyDescent="0.25"/>
    <row r="136439" s="12" customFormat="1" x14ac:dyDescent="0.25"/>
    <row r="136440" s="12" customFormat="1" x14ac:dyDescent="0.25"/>
    <row r="136441" s="12" customFormat="1" x14ac:dyDescent="0.25"/>
    <row r="136442" s="12" customFormat="1" x14ac:dyDescent="0.25"/>
    <row r="136443" s="12" customFormat="1" x14ac:dyDescent="0.25"/>
    <row r="136444" s="12" customFormat="1" x14ac:dyDescent="0.25"/>
    <row r="136445" s="12" customFormat="1" x14ac:dyDescent="0.25"/>
    <row r="136446" s="12" customFormat="1" x14ac:dyDescent="0.25"/>
    <row r="136447" s="12" customFormat="1" x14ac:dyDescent="0.25"/>
    <row r="136448" s="12" customFormat="1" x14ac:dyDescent="0.25"/>
    <row r="136449" s="12" customFormat="1" x14ac:dyDescent="0.25"/>
    <row r="136450" s="12" customFormat="1" x14ac:dyDescent="0.25"/>
    <row r="136451" s="12" customFormat="1" x14ac:dyDescent="0.25"/>
    <row r="136452" s="12" customFormat="1" x14ac:dyDescent="0.25"/>
    <row r="136453" s="12" customFormat="1" x14ac:dyDescent="0.25"/>
    <row r="136454" s="12" customFormat="1" x14ac:dyDescent="0.25"/>
    <row r="136455" s="12" customFormat="1" x14ac:dyDescent="0.25"/>
    <row r="136456" s="12" customFormat="1" x14ac:dyDescent="0.25"/>
    <row r="136457" s="12" customFormat="1" x14ac:dyDescent="0.25"/>
    <row r="136458" s="12" customFormat="1" x14ac:dyDescent="0.25"/>
    <row r="136459" s="12" customFormat="1" x14ac:dyDescent="0.25"/>
    <row r="136460" s="12" customFormat="1" x14ac:dyDescent="0.25"/>
    <row r="136461" s="12" customFormat="1" x14ac:dyDescent="0.25"/>
    <row r="136462" s="12" customFormat="1" x14ac:dyDescent="0.25"/>
    <row r="136463" s="12" customFormat="1" x14ac:dyDescent="0.25"/>
    <row r="136464" s="12" customFormat="1" x14ac:dyDescent="0.25"/>
    <row r="136465" s="12" customFormat="1" x14ac:dyDescent="0.25"/>
    <row r="136466" s="12" customFormat="1" x14ac:dyDescent="0.25"/>
    <row r="136467" s="12" customFormat="1" x14ac:dyDescent="0.25"/>
    <row r="136468" s="12" customFormat="1" x14ac:dyDescent="0.25"/>
    <row r="136469" s="12" customFormat="1" x14ac:dyDescent="0.25"/>
    <row r="136470" s="12" customFormat="1" x14ac:dyDescent="0.25"/>
    <row r="136471" s="12" customFormat="1" x14ac:dyDescent="0.25"/>
    <row r="136472" s="12" customFormat="1" x14ac:dyDescent="0.25"/>
    <row r="136473" s="12" customFormat="1" x14ac:dyDescent="0.25"/>
    <row r="136474" s="12" customFormat="1" x14ac:dyDescent="0.25"/>
    <row r="136475" s="12" customFormat="1" x14ac:dyDescent="0.25"/>
    <row r="136476" s="12" customFormat="1" x14ac:dyDescent="0.25"/>
    <row r="136477" s="12" customFormat="1" x14ac:dyDescent="0.25"/>
    <row r="136478" s="12" customFormat="1" x14ac:dyDescent="0.25"/>
    <row r="136479" s="12" customFormat="1" x14ac:dyDescent="0.25"/>
    <row r="136480" s="12" customFormat="1" x14ac:dyDescent="0.25"/>
    <row r="136481" s="12" customFormat="1" x14ac:dyDescent="0.25"/>
    <row r="136482" s="12" customFormat="1" x14ac:dyDescent="0.25"/>
    <row r="136483" s="12" customFormat="1" x14ac:dyDescent="0.25"/>
    <row r="136484" s="12" customFormat="1" x14ac:dyDescent="0.25"/>
    <row r="136485" s="12" customFormat="1" x14ac:dyDescent="0.25"/>
    <row r="136486" s="12" customFormat="1" x14ac:dyDescent="0.25"/>
    <row r="136487" s="12" customFormat="1" x14ac:dyDescent="0.25"/>
    <row r="136488" s="12" customFormat="1" x14ac:dyDescent="0.25"/>
    <row r="136489" s="12" customFormat="1" x14ac:dyDescent="0.25"/>
    <row r="136490" s="12" customFormat="1" x14ac:dyDescent="0.25"/>
    <row r="136491" s="12" customFormat="1" x14ac:dyDescent="0.25"/>
    <row r="136492" s="12" customFormat="1" x14ac:dyDescent="0.25"/>
    <row r="136493" s="12" customFormat="1" x14ac:dyDescent="0.25"/>
    <row r="136494" s="12" customFormat="1" x14ac:dyDescent="0.25"/>
    <row r="136495" s="12" customFormat="1" x14ac:dyDescent="0.25"/>
    <row r="136496" s="12" customFormat="1" x14ac:dyDescent="0.25"/>
    <row r="136497" s="12" customFormat="1" x14ac:dyDescent="0.25"/>
    <row r="136498" s="12" customFormat="1" x14ac:dyDescent="0.25"/>
    <row r="136499" s="12" customFormat="1" x14ac:dyDescent="0.25"/>
    <row r="136500" s="12" customFormat="1" x14ac:dyDescent="0.25"/>
    <row r="136501" s="12" customFormat="1" x14ac:dyDescent="0.25"/>
    <row r="136502" s="12" customFormat="1" x14ac:dyDescent="0.25"/>
    <row r="136503" s="12" customFormat="1" x14ac:dyDescent="0.25"/>
    <row r="136504" s="12" customFormat="1" x14ac:dyDescent="0.25"/>
    <row r="136505" s="12" customFormat="1" x14ac:dyDescent="0.25"/>
    <row r="136506" s="12" customFormat="1" x14ac:dyDescent="0.25"/>
    <row r="136507" s="12" customFormat="1" x14ac:dyDescent="0.25"/>
    <row r="136508" s="12" customFormat="1" x14ac:dyDescent="0.25"/>
    <row r="136509" s="12" customFormat="1" x14ac:dyDescent="0.25"/>
    <row r="136510" s="12" customFormat="1" x14ac:dyDescent="0.25"/>
    <row r="136511" s="12" customFormat="1" x14ac:dyDescent="0.25"/>
    <row r="136512" s="12" customFormat="1" x14ac:dyDescent="0.25"/>
    <row r="136513" s="12" customFormat="1" x14ac:dyDescent="0.25"/>
    <row r="136514" s="12" customFormat="1" x14ac:dyDescent="0.25"/>
    <row r="136515" s="12" customFormat="1" x14ac:dyDescent="0.25"/>
    <row r="136516" s="12" customFormat="1" x14ac:dyDescent="0.25"/>
    <row r="136517" s="12" customFormat="1" x14ac:dyDescent="0.25"/>
    <row r="136518" s="12" customFormat="1" x14ac:dyDescent="0.25"/>
    <row r="136519" s="12" customFormat="1" x14ac:dyDescent="0.25"/>
    <row r="136520" s="12" customFormat="1" x14ac:dyDescent="0.25"/>
    <row r="136521" s="12" customFormat="1" x14ac:dyDescent="0.25"/>
    <row r="136522" s="12" customFormat="1" x14ac:dyDescent="0.25"/>
    <row r="136523" s="12" customFormat="1" x14ac:dyDescent="0.25"/>
    <row r="136524" s="12" customFormat="1" x14ac:dyDescent="0.25"/>
    <row r="136525" s="12" customFormat="1" x14ac:dyDescent="0.25"/>
    <row r="136526" s="12" customFormat="1" x14ac:dyDescent="0.25"/>
    <row r="136527" s="12" customFormat="1" x14ac:dyDescent="0.25"/>
    <row r="136528" s="12" customFormat="1" x14ac:dyDescent="0.25"/>
    <row r="136529" s="12" customFormat="1" x14ac:dyDescent="0.25"/>
    <row r="136530" s="12" customFormat="1" x14ac:dyDescent="0.25"/>
    <row r="136531" s="12" customFormat="1" x14ac:dyDescent="0.25"/>
    <row r="136532" s="12" customFormat="1" x14ac:dyDescent="0.25"/>
    <row r="136533" s="12" customFormat="1" x14ac:dyDescent="0.25"/>
    <row r="136534" s="12" customFormat="1" x14ac:dyDescent="0.25"/>
    <row r="136535" s="12" customFormat="1" x14ac:dyDescent="0.25"/>
    <row r="136536" s="12" customFormat="1" x14ac:dyDescent="0.25"/>
    <row r="136537" s="12" customFormat="1" x14ac:dyDescent="0.25"/>
    <row r="136538" s="12" customFormat="1" x14ac:dyDescent="0.25"/>
    <row r="136539" s="12" customFormat="1" x14ac:dyDescent="0.25"/>
    <row r="136540" s="12" customFormat="1" x14ac:dyDescent="0.25"/>
    <row r="136541" s="12" customFormat="1" x14ac:dyDescent="0.25"/>
    <row r="136542" s="12" customFormat="1" x14ac:dyDescent="0.25"/>
    <row r="136543" s="12" customFormat="1" x14ac:dyDescent="0.25"/>
    <row r="136544" s="12" customFormat="1" x14ac:dyDescent="0.25"/>
    <row r="136545" s="12" customFormat="1" x14ac:dyDescent="0.25"/>
    <row r="136546" s="12" customFormat="1" x14ac:dyDescent="0.25"/>
    <row r="136547" s="12" customFormat="1" x14ac:dyDescent="0.25"/>
    <row r="136548" s="12" customFormat="1" x14ac:dyDescent="0.25"/>
    <row r="136549" s="12" customFormat="1" x14ac:dyDescent="0.25"/>
    <row r="136550" s="12" customFormat="1" x14ac:dyDescent="0.25"/>
    <row r="136551" s="12" customFormat="1" x14ac:dyDescent="0.25"/>
    <row r="136552" s="12" customFormat="1" x14ac:dyDescent="0.25"/>
    <row r="136553" s="12" customFormat="1" x14ac:dyDescent="0.25"/>
    <row r="136554" s="12" customFormat="1" x14ac:dyDescent="0.25"/>
    <row r="136555" s="12" customFormat="1" x14ac:dyDescent="0.25"/>
    <row r="136556" s="12" customFormat="1" x14ac:dyDescent="0.25"/>
    <row r="136557" s="12" customFormat="1" x14ac:dyDescent="0.25"/>
    <row r="136558" s="12" customFormat="1" x14ac:dyDescent="0.25"/>
    <row r="136559" s="12" customFormat="1" x14ac:dyDescent="0.25"/>
    <row r="136560" s="12" customFormat="1" x14ac:dyDescent="0.25"/>
    <row r="136561" s="12" customFormat="1" x14ac:dyDescent="0.25"/>
    <row r="136562" s="12" customFormat="1" x14ac:dyDescent="0.25"/>
    <row r="136563" s="12" customFormat="1" x14ac:dyDescent="0.25"/>
    <row r="136564" s="12" customFormat="1" x14ac:dyDescent="0.25"/>
    <row r="136565" s="12" customFormat="1" x14ac:dyDescent="0.25"/>
    <row r="136566" s="12" customFormat="1" x14ac:dyDescent="0.25"/>
    <row r="136567" s="12" customFormat="1" x14ac:dyDescent="0.25"/>
    <row r="136568" s="12" customFormat="1" x14ac:dyDescent="0.25"/>
    <row r="136569" s="12" customFormat="1" x14ac:dyDescent="0.25"/>
    <row r="136570" s="12" customFormat="1" x14ac:dyDescent="0.25"/>
    <row r="136571" s="12" customFormat="1" x14ac:dyDescent="0.25"/>
    <row r="136572" s="12" customFormat="1" x14ac:dyDescent="0.25"/>
    <row r="136573" s="12" customFormat="1" x14ac:dyDescent="0.25"/>
    <row r="136574" s="12" customFormat="1" x14ac:dyDescent="0.25"/>
    <row r="136575" s="12" customFormat="1" x14ac:dyDescent="0.25"/>
    <row r="136576" s="12" customFormat="1" x14ac:dyDescent="0.25"/>
    <row r="136577" s="12" customFormat="1" x14ac:dyDescent="0.25"/>
    <row r="136578" s="12" customFormat="1" x14ac:dyDescent="0.25"/>
    <row r="136579" s="12" customFormat="1" x14ac:dyDescent="0.25"/>
    <row r="136580" s="12" customFormat="1" x14ac:dyDescent="0.25"/>
    <row r="136581" s="12" customFormat="1" x14ac:dyDescent="0.25"/>
    <row r="136582" s="12" customFormat="1" x14ac:dyDescent="0.25"/>
    <row r="136583" s="12" customFormat="1" x14ac:dyDescent="0.25"/>
    <row r="136584" s="12" customFormat="1" x14ac:dyDescent="0.25"/>
    <row r="136585" s="12" customFormat="1" x14ac:dyDescent="0.25"/>
    <row r="136586" s="12" customFormat="1" x14ac:dyDescent="0.25"/>
    <row r="136587" s="12" customFormat="1" x14ac:dyDescent="0.25"/>
    <row r="136588" s="12" customFormat="1" x14ac:dyDescent="0.25"/>
    <row r="136589" s="12" customFormat="1" x14ac:dyDescent="0.25"/>
    <row r="136590" s="12" customFormat="1" x14ac:dyDescent="0.25"/>
    <row r="136591" s="12" customFormat="1" x14ac:dyDescent="0.25"/>
    <row r="136592" s="12" customFormat="1" x14ac:dyDescent="0.25"/>
    <row r="136593" s="12" customFormat="1" x14ac:dyDescent="0.25"/>
    <row r="136594" s="12" customFormat="1" x14ac:dyDescent="0.25"/>
    <row r="136595" s="12" customFormat="1" x14ac:dyDescent="0.25"/>
    <row r="136596" s="12" customFormat="1" x14ac:dyDescent="0.25"/>
    <row r="136597" s="12" customFormat="1" x14ac:dyDescent="0.25"/>
    <row r="136598" s="12" customFormat="1" x14ac:dyDescent="0.25"/>
    <row r="136599" s="12" customFormat="1" x14ac:dyDescent="0.25"/>
    <row r="136600" s="12" customFormat="1" x14ac:dyDescent="0.25"/>
    <row r="136601" s="12" customFormat="1" x14ac:dyDescent="0.25"/>
    <row r="136602" s="12" customFormat="1" x14ac:dyDescent="0.25"/>
    <row r="136603" s="12" customFormat="1" x14ac:dyDescent="0.25"/>
    <row r="136604" s="12" customFormat="1" x14ac:dyDescent="0.25"/>
    <row r="136605" s="12" customFormat="1" x14ac:dyDescent="0.25"/>
    <row r="136606" s="12" customFormat="1" x14ac:dyDescent="0.25"/>
    <row r="136607" s="12" customFormat="1" x14ac:dyDescent="0.25"/>
    <row r="136608" s="12" customFormat="1" x14ac:dyDescent="0.25"/>
    <row r="136609" s="12" customFormat="1" x14ac:dyDescent="0.25"/>
    <row r="136610" s="12" customFormat="1" x14ac:dyDescent="0.25"/>
    <row r="136611" s="12" customFormat="1" x14ac:dyDescent="0.25"/>
    <row r="136612" s="12" customFormat="1" x14ac:dyDescent="0.25"/>
    <row r="136613" s="12" customFormat="1" x14ac:dyDescent="0.25"/>
    <row r="136614" s="12" customFormat="1" x14ac:dyDescent="0.25"/>
    <row r="136615" s="12" customFormat="1" x14ac:dyDescent="0.25"/>
    <row r="136616" s="12" customFormat="1" x14ac:dyDescent="0.25"/>
    <row r="136617" s="12" customFormat="1" x14ac:dyDescent="0.25"/>
    <row r="136618" s="12" customFormat="1" x14ac:dyDescent="0.25"/>
    <row r="136619" s="12" customFormat="1" x14ac:dyDescent="0.25"/>
    <row r="136620" s="12" customFormat="1" x14ac:dyDescent="0.25"/>
    <row r="136621" s="12" customFormat="1" x14ac:dyDescent="0.25"/>
    <row r="136622" s="12" customFormat="1" x14ac:dyDescent="0.25"/>
    <row r="136623" s="12" customFormat="1" x14ac:dyDescent="0.25"/>
    <row r="136624" s="12" customFormat="1" x14ac:dyDescent="0.25"/>
    <row r="136625" s="12" customFormat="1" x14ac:dyDescent="0.25"/>
    <row r="136626" s="12" customFormat="1" x14ac:dyDescent="0.25"/>
    <row r="136627" s="12" customFormat="1" x14ac:dyDescent="0.25"/>
    <row r="136628" s="12" customFormat="1" x14ac:dyDescent="0.25"/>
    <row r="136629" s="12" customFormat="1" x14ac:dyDescent="0.25"/>
    <row r="136630" s="12" customFormat="1" x14ac:dyDescent="0.25"/>
    <row r="136631" s="12" customFormat="1" x14ac:dyDescent="0.25"/>
    <row r="136632" s="12" customFormat="1" x14ac:dyDescent="0.25"/>
    <row r="136633" s="12" customFormat="1" x14ac:dyDescent="0.25"/>
    <row r="136634" s="12" customFormat="1" x14ac:dyDescent="0.25"/>
    <row r="136635" s="12" customFormat="1" x14ac:dyDescent="0.25"/>
    <row r="136636" s="12" customFormat="1" x14ac:dyDescent="0.25"/>
    <row r="136637" s="12" customFormat="1" x14ac:dyDescent="0.25"/>
    <row r="136638" s="12" customFormat="1" x14ac:dyDescent="0.25"/>
    <row r="136639" s="12" customFormat="1" x14ac:dyDescent="0.25"/>
    <row r="136640" s="12" customFormat="1" x14ac:dyDescent="0.25"/>
    <row r="136641" s="12" customFormat="1" x14ac:dyDescent="0.25"/>
    <row r="136642" s="12" customFormat="1" x14ac:dyDescent="0.25"/>
    <row r="136643" s="12" customFormat="1" x14ac:dyDescent="0.25"/>
    <row r="136644" s="12" customFormat="1" x14ac:dyDescent="0.25"/>
    <row r="136645" s="12" customFormat="1" x14ac:dyDescent="0.25"/>
    <row r="136646" s="12" customFormat="1" x14ac:dyDescent="0.25"/>
    <row r="136647" s="12" customFormat="1" x14ac:dyDescent="0.25"/>
    <row r="136648" s="12" customFormat="1" x14ac:dyDescent="0.25"/>
    <row r="136649" s="12" customFormat="1" x14ac:dyDescent="0.25"/>
    <row r="136650" s="12" customFormat="1" x14ac:dyDescent="0.25"/>
    <row r="136651" s="12" customFormat="1" x14ac:dyDescent="0.25"/>
    <row r="136652" s="12" customFormat="1" x14ac:dyDescent="0.25"/>
    <row r="136653" s="12" customFormat="1" x14ac:dyDescent="0.25"/>
    <row r="136654" s="12" customFormat="1" x14ac:dyDescent="0.25"/>
    <row r="136655" s="12" customFormat="1" x14ac:dyDescent="0.25"/>
    <row r="136656" s="12" customFormat="1" x14ac:dyDescent="0.25"/>
    <row r="136657" s="12" customFormat="1" x14ac:dyDescent="0.25"/>
    <row r="136658" s="12" customFormat="1" x14ac:dyDescent="0.25"/>
    <row r="136659" s="12" customFormat="1" x14ac:dyDescent="0.25"/>
    <row r="136660" s="12" customFormat="1" x14ac:dyDescent="0.25"/>
    <row r="136661" s="12" customFormat="1" x14ac:dyDescent="0.25"/>
    <row r="136662" s="12" customFormat="1" x14ac:dyDescent="0.25"/>
    <row r="136663" s="12" customFormat="1" x14ac:dyDescent="0.25"/>
    <row r="136664" s="12" customFormat="1" x14ac:dyDescent="0.25"/>
    <row r="136665" s="12" customFormat="1" x14ac:dyDescent="0.25"/>
    <row r="136666" s="12" customFormat="1" x14ac:dyDescent="0.25"/>
    <row r="136667" s="12" customFormat="1" x14ac:dyDescent="0.25"/>
    <row r="136668" s="12" customFormat="1" x14ac:dyDescent="0.25"/>
    <row r="136669" s="12" customFormat="1" x14ac:dyDescent="0.25"/>
    <row r="136670" s="12" customFormat="1" x14ac:dyDescent="0.25"/>
    <row r="136671" s="12" customFormat="1" x14ac:dyDescent="0.25"/>
    <row r="136672" s="12" customFormat="1" x14ac:dyDescent="0.25"/>
    <row r="136673" s="12" customFormat="1" x14ac:dyDescent="0.25"/>
    <row r="136674" s="12" customFormat="1" x14ac:dyDescent="0.25"/>
    <row r="136675" s="12" customFormat="1" x14ac:dyDescent="0.25"/>
    <row r="136676" s="12" customFormat="1" x14ac:dyDescent="0.25"/>
    <row r="136677" s="12" customFormat="1" x14ac:dyDescent="0.25"/>
    <row r="136678" s="12" customFormat="1" x14ac:dyDescent="0.25"/>
    <row r="136679" s="12" customFormat="1" x14ac:dyDescent="0.25"/>
    <row r="136680" s="12" customFormat="1" x14ac:dyDescent="0.25"/>
    <row r="136681" s="12" customFormat="1" x14ac:dyDescent="0.25"/>
    <row r="136682" s="12" customFormat="1" x14ac:dyDescent="0.25"/>
    <row r="136683" s="12" customFormat="1" x14ac:dyDescent="0.25"/>
    <row r="136684" s="12" customFormat="1" x14ac:dyDescent="0.25"/>
    <row r="136685" s="12" customFormat="1" x14ac:dyDescent="0.25"/>
    <row r="136686" s="12" customFormat="1" x14ac:dyDescent="0.25"/>
    <row r="136687" s="12" customFormat="1" x14ac:dyDescent="0.25"/>
    <row r="136688" s="12" customFormat="1" x14ac:dyDescent="0.25"/>
    <row r="136689" s="12" customFormat="1" x14ac:dyDescent="0.25"/>
    <row r="136690" s="12" customFormat="1" x14ac:dyDescent="0.25"/>
    <row r="136691" s="12" customFormat="1" x14ac:dyDescent="0.25"/>
    <row r="136692" s="12" customFormat="1" x14ac:dyDescent="0.25"/>
    <row r="136693" s="12" customFormat="1" x14ac:dyDescent="0.25"/>
    <row r="136694" s="12" customFormat="1" x14ac:dyDescent="0.25"/>
    <row r="136695" s="12" customFormat="1" x14ac:dyDescent="0.25"/>
    <row r="136696" s="12" customFormat="1" x14ac:dyDescent="0.25"/>
    <row r="136697" s="12" customFormat="1" x14ac:dyDescent="0.25"/>
    <row r="136698" s="12" customFormat="1" x14ac:dyDescent="0.25"/>
    <row r="136699" s="12" customFormat="1" x14ac:dyDescent="0.25"/>
    <row r="136700" s="12" customFormat="1" x14ac:dyDescent="0.25"/>
    <row r="136701" s="12" customFormat="1" x14ac:dyDescent="0.25"/>
    <row r="136702" s="12" customFormat="1" x14ac:dyDescent="0.25"/>
    <row r="136703" s="12" customFormat="1" x14ac:dyDescent="0.25"/>
    <row r="136704" s="12" customFormat="1" x14ac:dyDescent="0.25"/>
    <row r="136705" s="12" customFormat="1" x14ac:dyDescent="0.25"/>
    <row r="136706" s="12" customFormat="1" x14ac:dyDescent="0.25"/>
    <row r="136707" s="12" customFormat="1" x14ac:dyDescent="0.25"/>
    <row r="136708" s="12" customFormat="1" x14ac:dyDescent="0.25"/>
    <row r="136709" s="12" customFormat="1" x14ac:dyDescent="0.25"/>
    <row r="136710" s="12" customFormat="1" x14ac:dyDescent="0.25"/>
    <row r="136711" s="12" customFormat="1" x14ac:dyDescent="0.25"/>
    <row r="136712" s="12" customFormat="1" x14ac:dyDescent="0.25"/>
    <row r="136713" s="12" customFormat="1" x14ac:dyDescent="0.25"/>
    <row r="136714" s="12" customFormat="1" x14ac:dyDescent="0.25"/>
    <row r="136715" s="12" customFormat="1" x14ac:dyDescent="0.25"/>
    <row r="136716" s="12" customFormat="1" x14ac:dyDescent="0.25"/>
    <row r="136717" s="12" customFormat="1" x14ac:dyDescent="0.25"/>
    <row r="136718" s="12" customFormat="1" x14ac:dyDescent="0.25"/>
    <row r="136719" s="12" customFormat="1" x14ac:dyDescent="0.25"/>
    <row r="136720" s="12" customFormat="1" x14ac:dyDescent="0.25"/>
    <row r="136721" s="12" customFormat="1" x14ac:dyDescent="0.25"/>
    <row r="136722" s="12" customFormat="1" x14ac:dyDescent="0.25"/>
    <row r="136723" s="12" customFormat="1" x14ac:dyDescent="0.25"/>
    <row r="136724" s="12" customFormat="1" x14ac:dyDescent="0.25"/>
    <row r="136725" s="12" customFormat="1" x14ac:dyDescent="0.25"/>
    <row r="136726" s="12" customFormat="1" x14ac:dyDescent="0.25"/>
    <row r="136727" s="12" customFormat="1" x14ac:dyDescent="0.25"/>
    <row r="136728" s="12" customFormat="1" x14ac:dyDescent="0.25"/>
    <row r="136729" s="12" customFormat="1" x14ac:dyDescent="0.25"/>
    <row r="136730" s="12" customFormat="1" x14ac:dyDescent="0.25"/>
    <row r="136731" s="12" customFormat="1" x14ac:dyDescent="0.25"/>
    <row r="136732" s="12" customFormat="1" x14ac:dyDescent="0.25"/>
    <row r="136733" s="12" customFormat="1" x14ac:dyDescent="0.25"/>
    <row r="136734" s="12" customFormat="1" x14ac:dyDescent="0.25"/>
    <row r="136735" s="12" customFormat="1" x14ac:dyDescent="0.25"/>
    <row r="136736" s="12" customFormat="1" x14ac:dyDescent="0.25"/>
    <row r="136737" s="12" customFormat="1" x14ac:dyDescent="0.25"/>
    <row r="136738" s="12" customFormat="1" x14ac:dyDescent="0.25"/>
    <row r="136739" s="12" customFormat="1" x14ac:dyDescent="0.25"/>
    <row r="136740" s="12" customFormat="1" x14ac:dyDescent="0.25"/>
    <row r="136741" s="12" customFormat="1" x14ac:dyDescent="0.25"/>
    <row r="136742" s="12" customFormat="1" x14ac:dyDescent="0.25"/>
    <row r="136743" s="12" customFormat="1" x14ac:dyDescent="0.25"/>
    <row r="136744" s="12" customFormat="1" x14ac:dyDescent="0.25"/>
    <row r="136745" s="12" customFormat="1" x14ac:dyDescent="0.25"/>
    <row r="136746" s="12" customFormat="1" x14ac:dyDescent="0.25"/>
    <row r="136747" s="12" customFormat="1" x14ac:dyDescent="0.25"/>
    <row r="136748" s="12" customFormat="1" x14ac:dyDescent="0.25"/>
    <row r="136749" s="12" customFormat="1" x14ac:dyDescent="0.25"/>
    <row r="136750" s="12" customFormat="1" x14ac:dyDescent="0.25"/>
    <row r="136751" s="12" customFormat="1" x14ac:dyDescent="0.25"/>
    <row r="136752" s="12" customFormat="1" x14ac:dyDescent="0.25"/>
    <row r="136753" s="12" customFormat="1" x14ac:dyDescent="0.25"/>
    <row r="136754" s="12" customFormat="1" x14ac:dyDescent="0.25"/>
    <row r="136755" s="12" customFormat="1" x14ac:dyDescent="0.25"/>
    <row r="136756" s="12" customFormat="1" x14ac:dyDescent="0.25"/>
    <row r="136757" s="12" customFormat="1" x14ac:dyDescent="0.25"/>
    <row r="136758" s="12" customFormat="1" x14ac:dyDescent="0.25"/>
    <row r="136759" s="12" customFormat="1" x14ac:dyDescent="0.25"/>
    <row r="136760" s="12" customFormat="1" x14ac:dyDescent="0.25"/>
    <row r="136761" s="12" customFormat="1" x14ac:dyDescent="0.25"/>
    <row r="136762" s="12" customFormat="1" x14ac:dyDescent="0.25"/>
    <row r="136763" s="12" customFormat="1" x14ac:dyDescent="0.25"/>
    <row r="136764" s="12" customFormat="1" x14ac:dyDescent="0.25"/>
    <row r="136765" s="12" customFormat="1" x14ac:dyDescent="0.25"/>
    <row r="136766" s="12" customFormat="1" x14ac:dyDescent="0.25"/>
    <row r="136767" s="12" customFormat="1" x14ac:dyDescent="0.25"/>
    <row r="136768" s="12" customFormat="1" x14ac:dyDescent="0.25"/>
    <row r="136769" s="12" customFormat="1" x14ac:dyDescent="0.25"/>
    <row r="136770" s="12" customFormat="1" x14ac:dyDescent="0.25"/>
    <row r="136771" s="12" customFormat="1" x14ac:dyDescent="0.25"/>
    <row r="136772" s="12" customFormat="1" x14ac:dyDescent="0.25"/>
    <row r="136773" s="12" customFormat="1" x14ac:dyDescent="0.25"/>
    <row r="136774" s="12" customFormat="1" x14ac:dyDescent="0.25"/>
    <row r="136775" s="12" customFormat="1" x14ac:dyDescent="0.25"/>
    <row r="136776" s="12" customFormat="1" x14ac:dyDescent="0.25"/>
    <row r="136777" s="12" customFormat="1" x14ac:dyDescent="0.25"/>
    <row r="136778" s="12" customFormat="1" x14ac:dyDescent="0.25"/>
    <row r="136779" s="12" customFormat="1" x14ac:dyDescent="0.25"/>
    <row r="136780" s="12" customFormat="1" x14ac:dyDescent="0.25"/>
    <row r="136781" s="12" customFormat="1" x14ac:dyDescent="0.25"/>
    <row r="136782" s="12" customFormat="1" x14ac:dyDescent="0.25"/>
    <row r="136783" s="12" customFormat="1" x14ac:dyDescent="0.25"/>
    <row r="136784" s="12" customFormat="1" x14ac:dyDescent="0.25"/>
    <row r="136785" s="12" customFormat="1" x14ac:dyDescent="0.25"/>
    <row r="136786" s="12" customFormat="1" x14ac:dyDescent="0.25"/>
    <row r="136787" s="12" customFormat="1" x14ac:dyDescent="0.25"/>
    <row r="136788" s="12" customFormat="1" x14ac:dyDescent="0.25"/>
    <row r="136789" s="12" customFormat="1" x14ac:dyDescent="0.25"/>
    <row r="136790" s="12" customFormat="1" x14ac:dyDescent="0.25"/>
    <row r="136791" s="12" customFormat="1" x14ac:dyDescent="0.25"/>
    <row r="136792" s="12" customFormat="1" x14ac:dyDescent="0.25"/>
    <row r="136793" s="12" customFormat="1" x14ac:dyDescent="0.25"/>
    <row r="136794" s="12" customFormat="1" x14ac:dyDescent="0.25"/>
    <row r="136795" s="12" customFormat="1" x14ac:dyDescent="0.25"/>
    <row r="136796" s="12" customFormat="1" x14ac:dyDescent="0.25"/>
    <row r="136797" s="12" customFormat="1" x14ac:dyDescent="0.25"/>
    <row r="136798" s="12" customFormat="1" x14ac:dyDescent="0.25"/>
    <row r="136799" s="12" customFormat="1" x14ac:dyDescent="0.25"/>
    <row r="136800" s="12" customFormat="1" x14ac:dyDescent="0.25"/>
    <row r="136801" s="12" customFormat="1" x14ac:dyDescent="0.25"/>
    <row r="136802" s="12" customFormat="1" x14ac:dyDescent="0.25"/>
    <row r="136803" s="12" customFormat="1" x14ac:dyDescent="0.25"/>
    <row r="136804" s="12" customFormat="1" x14ac:dyDescent="0.25"/>
    <row r="136805" s="12" customFormat="1" x14ac:dyDescent="0.25"/>
    <row r="136806" s="12" customFormat="1" x14ac:dyDescent="0.25"/>
    <row r="136807" s="12" customFormat="1" x14ac:dyDescent="0.25"/>
    <row r="136808" s="12" customFormat="1" x14ac:dyDescent="0.25"/>
    <row r="136809" s="12" customFormat="1" x14ac:dyDescent="0.25"/>
    <row r="136810" s="12" customFormat="1" x14ac:dyDescent="0.25"/>
    <row r="136811" s="12" customFormat="1" x14ac:dyDescent="0.25"/>
    <row r="136812" s="12" customFormat="1" x14ac:dyDescent="0.25"/>
    <row r="136813" s="12" customFormat="1" x14ac:dyDescent="0.25"/>
    <row r="136814" s="12" customFormat="1" x14ac:dyDescent="0.25"/>
    <row r="136815" s="12" customFormat="1" x14ac:dyDescent="0.25"/>
    <row r="136816" s="12" customFormat="1" x14ac:dyDescent="0.25"/>
    <row r="136817" s="12" customFormat="1" x14ac:dyDescent="0.25"/>
    <row r="136818" s="12" customFormat="1" x14ac:dyDescent="0.25"/>
    <row r="136819" s="12" customFormat="1" x14ac:dyDescent="0.25"/>
    <row r="136820" s="12" customFormat="1" x14ac:dyDescent="0.25"/>
    <row r="136821" s="12" customFormat="1" x14ac:dyDescent="0.25"/>
    <row r="136822" s="12" customFormat="1" x14ac:dyDescent="0.25"/>
    <row r="136823" s="12" customFormat="1" x14ac:dyDescent="0.25"/>
    <row r="136824" s="12" customFormat="1" x14ac:dyDescent="0.25"/>
    <row r="136825" s="12" customFormat="1" x14ac:dyDescent="0.25"/>
    <row r="136826" s="12" customFormat="1" x14ac:dyDescent="0.25"/>
    <row r="136827" s="12" customFormat="1" x14ac:dyDescent="0.25"/>
    <row r="136828" s="12" customFormat="1" x14ac:dyDescent="0.25"/>
    <row r="136829" s="12" customFormat="1" x14ac:dyDescent="0.25"/>
    <row r="136830" s="12" customFormat="1" x14ac:dyDescent="0.25"/>
    <row r="136831" s="12" customFormat="1" x14ac:dyDescent="0.25"/>
    <row r="136832" s="12" customFormat="1" x14ac:dyDescent="0.25"/>
    <row r="136833" s="12" customFormat="1" x14ac:dyDescent="0.25"/>
    <row r="136834" s="12" customFormat="1" x14ac:dyDescent="0.25"/>
    <row r="136835" s="12" customFormat="1" x14ac:dyDescent="0.25"/>
    <row r="136836" s="12" customFormat="1" x14ac:dyDescent="0.25"/>
    <row r="136837" s="12" customFormat="1" x14ac:dyDescent="0.25"/>
    <row r="136838" s="12" customFormat="1" x14ac:dyDescent="0.25"/>
    <row r="136839" s="12" customFormat="1" x14ac:dyDescent="0.25"/>
    <row r="136840" s="12" customFormat="1" x14ac:dyDescent="0.25"/>
    <row r="136841" s="12" customFormat="1" x14ac:dyDescent="0.25"/>
    <row r="136842" s="12" customFormat="1" x14ac:dyDescent="0.25"/>
    <row r="136843" s="12" customFormat="1" x14ac:dyDescent="0.25"/>
    <row r="136844" s="12" customFormat="1" x14ac:dyDescent="0.25"/>
    <row r="136845" s="12" customFormat="1" x14ac:dyDescent="0.25"/>
    <row r="136846" s="12" customFormat="1" x14ac:dyDescent="0.25"/>
    <row r="136847" s="12" customFormat="1" x14ac:dyDescent="0.25"/>
    <row r="136848" s="12" customFormat="1" x14ac:dyDescent="0.25"/>
    <row r="136849" s="12" customFormat="1" x14ac:dyDescent="0.25"/>
    <row r="136850" s="12" customFormat="1" x14ac:dyDescent="0.25"/>
    <row r="136851" s="12" customFormat="1" x14ac:dyDescent="0.25"/>
    <row r="136852" s="12" customFormat="1" x14ac:dyDescent="0.25"/>
    <row r="136853" s="12" customFormat="1" x14ac:dyDescent="0.25"/>
    <row r="136854" s="12" customFormat="1" x14ac:dyDescent="0.25"/>
    <row r="136855" s="12" customFormat="1" x14ac:dyDescent="0.25"/>
    <row r="136856" s="12" customFormat="1" x14ac:dyDescent="0.25"/>
    <row r="136857" s="12" customFormat="1" x14ac:dyDescent="0.25"/>
    <row r="136858" s="12" customFormat="1" x14ac:dyDescent="0.25"/>
    <row r="136859" s="12" customFormat="1" x14ac:dyDescent="0.25"/>
    <row r="136860" s="12" customFormat="1" x14ac:dyDescent="0.25"/>
    <row r="136861" s="12" customFormat="1" x14ac:dyDescent="0.25"/>
    <row r="136862" s="12" customFormat="1" x14ac:dyDescent="0.25"/>
    <row r="136863" s="12" customFormat="1" x14ac:dyDescent="0.25"/>
    <row r="136864" s="12" customFormat="1" x14ac:dyDescent="0.25"/>
    <row r="136865" s="12" customFormat="1" x14ac:dyDescent="0.25"/>
    <row r="136866" s="12" customFormat="1" x14ac:dyDescent="0.25"/>
    <row r="136867" s="12" customFormat="1" x14ac:dyDescent="0.25"/>
    <row r="136868" s="12" customFormat="1" x14ac:dyDescent="0.25"/>
    <row r="136869" s="12" customFormat="1" x14ac:dyDescent="0.25"/>
    <row r="136870" s="12" customFormat="1" x14ac:dyDescent="0.25"/>
    <row r="136871" s="12" customFormat="1" x14ac:dyDescent="0.25"/>
    <row r="136872" s="12" customFormat="1" x14ac:dyDescent="0.25"/>
    <row r="136873" s="12" customFormat="1" x14ac:dyDescent="0.25"/>
    <row r="136874" s="12" customFormat="1" x14ac:dyDescent="0.25"/>
    <row r="136875" s="12" customFormat="1" x14ac:dyDescent="0.25"/>
    <row r="136876" s="12" customFormat="1" x14ac:dyDescent="0.25"/>
    <row r="136877" s="12" customFormat="1" x14ac:dyDescent="0.25"/>
    <row r="136878" s="12" customFormat="1" x14ac:dyDescent="0.25"/>
    <row r="136879" s="12" customFormat="1" x14ac:dyDescent="0.25"/>
    <row r="136880" s="12" customFormat="1" x14ac:dyDescent="0.25"/>
    <row r="136881" s="12" customFormat="1" x14ac:dyDescent="0.25"/>
    <row r="136882" s="12" customFormat="1" x14ac:dyDescent="0.25"/>
    <row r="136883" s="12" customFormat="1" x14ac:dyDescent="0.25"/>
    <row r="136884" s="12" customFormat="1" x14ac:dyDescent="0.25"/>
    <row r="136885" s="12" customFormat="1" x14ac:dyDescent="0.25"/>
    <row r="136886" s="12" customFormat="1" x14ac:dyDescent="0.25"/>
    <row r="136887" s="12" customFormat="1" x14ac:dyDescent="0.25"/>
    <row r="136888" s="12" customFormat="1" x14ac:dyDescent="0.25"/>
    <row r="136889" s="12" customFormat="1" x14ac:dyDescent="0.25"/>
    <row r="136890" s="12" customFormat="1" x14ac:dyDescent="0.25"/>
    <row r="136891" s="12" customFormat="1" x14ac:dyDescent="0.25"/>
    <row r="136892" s="12" customFormat="1" x14ac:dyDescent="0.25"/>
    <row r="136893" s="12" customFormat="1" x14ac:dyDescent="0.25"/>
    <row r="136894" s="12" customFormat="1" x14ac:dyDescent="0.25"/>
    <row r="136895" s="12" customFormat="1" x14ac:dyDescent="0.25"/>
    <row r="136896" s="12" customFormat="1" x14ac:dyDescent="0.25"/>
    <row r="136897" s="12" customFormat="1" x14ac:dyDescent="0.25"/>
    <row r="136898" s="12" customFormat="1" x14ac:dyDescent="0.25"/>
    <row r="136899" s="12" customFormat="1" x14ac:dyDescent="0.25"/>
    <row r="136900" s="12" customFormat="1" x14ac:dyDescent="0.25"/>
    <row r="136901" s="12" customFormat="1" x14ac:dyDescent="0.25"/>
    <row r="136902" s="12" customFormat="1" x14ac:dyDescent="0.25"/>
    <row r="136903" s="12" customFormat="1" x14ac:dyDescent="0.25"/>
    <row r="136904" s="12" customFormat="1" x14ac:dyDescent="0.25"/>
    <row r="136905" s="12" customFormat="1" x14ac:dyDescent="0.25"/>
    <row r="136906" s="12" customFormat="1" x14ac:dyDescent="0.25"/>
    <row r="136907" s="12" customFormat="1" x14ac:dyDescent="0.25"/>
    <row r="136908" s="12" customFormat="1" x14ac:dyDescent="0.25"/>
    <row r="136909" s="12" customFormat="1" x14ac:dyDescent="0.25"/>
    <row r="136910" s="12" customFormat="1" x14ac:dyDescent="0.25"/>
    <row r="136911" s="12" customFormat="1" x14ac:dyDescent="0.25"/>
    <row r="136912" s="12" customFormat="1" x14ac:dyDescent="0.25"/>
    <row r="136913" s="12" customFormat="1" x14ac:dyDescent="0.25"/>
    <row r="136914" s="12" customFormat="1" x14ac:dyDescent="0.25"/>
    <row r="136915" s="12" customFormat="1" x14ac:dyDescent="0.25"/>
    <row r="136916" s="12" customFormat="1" x14ac:dyDescent="0.25"/>
    <row r="136917" s="12" customFormat="1" x14ac:dyDescent="0.25"/>
    <row r="136918" s="12" customFormat="1" x14ac:dyDescent="0.25"/>
    <row r="136919" s="12" customFormat="1" x14ac:dyDescent="0.25"/>
    <row r="136920" s="12" customFormat="1" x14ac:dyDescent="0.25"/>
    <row r="136921" s="12" customFormat="1" x14ac:dyDescent="0.25"/>
    <row r="136922" s="12" customFormat="1" x14ac:dyDescent="0.25"/>
    <row r="136923" s="12" customFormat="1" x14ac:dyDescent="0.25"/>
    <row r="136924" s="12" customFormat="1" x14ac:dyDescent="0.25"/>
    <row r="136925" s="12" customFormat="1" x14ac:dyDescent="0.25"/>
    <row r="136926" s="12" customFormat="1" x14ac:dyDescent="0.25"/>
    <row r="136927" s="12" customFormat="1" x14ac:dyDescent="0.25"/>
    <row r="136928" s="12" customFormat="1" x14ac:dyDescent="0.25"/>
    <row r="136929" s="12" customFormat="1" x14ac:dyDescent="0.25"/>
    <row r="136930" s="12" customFormat="1" x14ac:dyDescent="0.25"/>
    <row r="136931" s="12" customFormat="1" x14ac:dyDescent="0.25"/>
    <row r="136932" s="12" customFormat="1" x14ac:dyDescent="0.25"/>
    <row r="136933" s="12" customFormat="1" x14ac:dyDescent="0.25"/>
    <row r="136934" s="12" customFormat="1" x14ac:dyDescent="0.25"/>
    <row r="136935" s="12" customFormat="1" x14ac:dyDescent="0.25"/>
    <row r="136936" s="12" customFormat="1" x14ac:dyDescent="0.25"/>
    <row r="136937" s="12" customFormat="1" x14ac:dyDescent="0.25"/>
    <row r="136938" s="12" customFormat="1" x14ac:dyDescent="0.25"/>
    <row r="136939" s="12" customFormat="1" x14ac:dyDescent="0.25"/>
    <row r="136940" s="12" customFormat="1" x14ac:dyDescent="0.25"/>
    <row r="136941" s="12" customFormat="1" x14ac:dyDescent="0.25"/>
    <row r="136942" s="12" customFormat="1" x14ac:dyDescent="0.25"/>
    <row r="136943" s="12" customFormat="1" x14ac:dyDescent="0.25"/>
    <row r="136944" s="12" customFormat="1" x14ac:dyDescent="0.25"/>
    <row r="136945" s="12" customFormat="1" x14ac:dyDescent="0.25"/>
    <row r="136946" s="12" customFormat="1" x14ac:dyDescent="0.25"/>
    <row r="136947" s="12" customFormat="1" x14ac:dyDescent="0.25"/>
    <row r="136948" s="12" customFormat="1" x14ac:dyDescent="0.25"/>
    <row r="136949" s="12" customFormat="1" x14ac:dyDescent="0.25"/>
    <row r="136950" s="12" customFormat="1" x14ac:dyDescent="0.25"/>
    <row r="136951" s="12" customFormat="1" x14ac:dyDescent="0.25"/>
    <row r="136952" s="12" customFormat="1" x14ac:dyDescent="0.25"/>
    <row r="136953" s="12" customFormat="1" x14ac:dyDescent="0.25"/>
    <row r="136954" s="12" customFormat="1" x14ac:dyDescent="0.25"/>
    <row r="136955" s="12" customFormat="1" x14ac:dyDescent="0.25"/>
    <row r="136956" s="12" customFormat="1" x14ac:dyDescent="0.25"/>
    <row r="136957" s="12" customFormat="1" x14ac:dyDescent="0.25"/>
    <row r="136958" s="12" customFormat="1" x14ac:dyDescent="0.25"/>
    <row r="136959" s="12" customFormat="1" x14ac:dyDescent="0.25"/>
    <row r="136960" s="12" customFormat="1" x14ac:dyDescent="0.25"/>
    <row r="136961" s="12" customFormat="1" x14ac:dyDescent="0.25"/>
    <row r="136962" s="12" customFormat="1" x14ac:dyDescent="0.25"/>
    <row r="136963" s="12" customFormat="1" x14ac:dyDescent="0.25"/>
    <row r="136964" s="12" customFormat="1" x14ac:dyDescent="0.25"/>
    <row r="136965" s="12" customFormat="1" x14ac:dyDescent="0.25"/>
    <row r="136966" s="12" customFormat="1" x14ac:dyDescent="0.25"/>
    <row r="136967" s="12" customFormat="1" x14ac:dyDescent="0.25"/>
    <row r="136968" s="12" customFormat="1" x14ac:dyDescent="0.25"/>
    <row r="136969" s="12" customFormat="1" x14ac:dyDescent="0.25"/>
    <row r="136970" s="12" customFormat="1" x14ac:dyDescent="0.25"/>
    <row r="136971" s="12" customFormat="1" x14ac:dyDescent="0.25"/>
    <row r="136972" s="12" customFormat="1" x14ac:dyDescent="0.25"/>
    <row r="136973" s="12" customFormat="1" x14ac:dyDescent="0.25"/>
    <row r="136974" s="12" customFormat="1" x14ac:dyDescent="0.25"/>
    <row r="136975" s="12" customFormat="1" x14ac:dyDescent="0.25"/>
    <row r="136976" s="12" customFormat="1" x14ac:dyDescent="0.25"/>
    <row r="136977" s="12" customFormat="1" x14ac:dyDescent="0.25"/>
    <row r="136978" s="12" customFormat="1" x14ac:dyDescent="0.25"/>
    <row r="136979" s="12" customFormat="1" x14ac:dyDescent="0.25"/>
    <row r="136980" s="12" customFormat="1" x14ac:dyDescent="0.25"/>
    <row r="136981" s="12" customFormat="1" x14ac:dyDescent="0.25"/>
    <row r="136982" s="12" customFormat="1" x14ac:dyDescent="0.25"/>
    <row r="136983" s="12" customFormat="1" x14ac:dyDescent="0.25"/>
    <row r="136984" s="12" customFormat="1" x14ac:dyDescent="0.25"/>
    <row r="136985" s="12" customFormat="1" x14ac:dyDescent="0.25"/>
    <row r="136986" s="12" customFormat="1" x14ac:dyDescent="0.25"/>
    <row r="136987" s="12" customFormat="1" x14ac:dyDescent="0.25"/>
    <row r="136988" s="12" customFormat="1" x14ac:dyDescent="0.25"/>
    <row r="136989" s="12" customFormat="1" x14ac:dyDescent="0.25"/>
    <row r="136990" s="12" customFormat="1" x14ac:dyDescent="0.25"/>
    <row r="136991" s="12" customFormat="1" x14ac:dyDescent="0.25"/>
    <row r="136992" s="12" customFormat="1" x14ac:dyDescent="0.25"/>
    <row r="136993" s="12" customFormat="1" x14ac:dyDescent="0.25"/>
    <row r="136994" s="12" customFormat="1" x14ac:dyDescent="0.25"/>
    <row r="136995" s="12" customFormat="1" x14ac:dyDescent="0.25"/>
    <row r="136996" s="12" customFormat="1" x14ac:dyDescent="0.25"/>
    <row r="136997" s="12" customFormat="1" x14ac:dyDescent="0.25"/>
    <row r="136998" s="12" customFormat="1" x14ac:dyDescent="0.25"/>
    <row r="136999" s="12" customFormat="1" x14ac:dyDescent="0.25"/>
    <row r="137000" s="12" customFormat="1" x14ac:dyDescent="0.25"/>
    <row r="137001" s="12" customFormat="1" x14ac:dyDescent="0.25"/>
    <row r="137002" s="12" customFormat="1" x14ac:dyDescent="0.25"/>
    <row r="137003" s="12" customFormat="1" x14ac:dyDescent="0.25"/>
    <row r="137004" s="12" customFormat="1" x14ac:dyDescent="0.25"/>
    <row r="137005" s="12" customFormat="1" x14ac:dyDescent="0.25"/>
    <row r="137006" s="12" customFormat="1" x14ac:dyDescent="0.25"/>
    <row r="137007" s="12" customFormat="1" x14ac:dyDescent="0.25"/>
    <row r="137008" s="12" customFormat="1" x14ac:dyDescent="0.25"/>
    <row r="137009" s="12" customFormat="1" x14ac:dyDescent="0.25"/>
    <row r="137010" s="12" customFormat="1" x14ac:dyDescent="0.25"/>
    <row r="137011" s="12" customFormat="1" x14ac:dyDescent="0.25"/>
    <row r="137012" s="12" customFormat="1" x14ac:dyDescent="0.25"/>
    <row r="137013" s="12" customFormat="1" x14ac:dyDescent="0.25"/>
    <row r="137014" s="12" customFormat="1" x14ac:dyDescent="0.25"/>
    <row r="137015" s="12" customFormat="1" x14ac:dyDescent="0.25"/>
    <row r="137016" s="12" customFormat="1" x14ac:dyDescent="0.25"/>
    <row r="137017" s="12" customFormat="1" x14ac:dyDescent="0.25"/>
    <row r="137018" s="12" customFormat="1" x14ac:dyDescent="0.25"/>
    <row r="137019" s="12" customFormat="1" x14ac:dyDescent="0.25"/>
    <row r="137020" s="12" customFormat="1" x14ac:dyDescent="0.25"/>
    <row r="137021" s="12" customFormat="1" x14ac:dyDescent="0.25"/>
    <row r="137022" s="12" customFormat="1" x14ac:dyDescent="0.25"/>
    <row r="137023" s="12" customFormat="1" x14ac:dyDescent="0.25"/>
    <row r="137024" s="12" customFormat="1" x14ac:dyDescent="0.25"/>
    <row r="137025" s="12" customFormat="1" x14ac:dyDescent="0.25"/>
    <row r="137026" s="12" customFormat="1" x14ac:dyDescent="0.25"/>
    <row r="137027" s="12" customFormat="1" x14ac:dyDescent="0.25"/>
    <row r="137028" s="12" customFormat="1" x14ac:dyDescent="0.25"/>
    <row r="137029" s="12" customFormat="1" x14ac:dyDescent="0.25"/>
    <row r="137030" s="12" customFormat="1" x14ac:dyDescent="0.25"/>
    <row r="137031" s="12" customFormat="1" x14ac:dyDescent="0.25"/>
    <row r="137032" s="12" customFormat="1" x14ac:dyDescent="0.25"/>
    <row r="137033" s="12" customFormat="1" x14ac:dyDescent="0.25"/>
    <row r="137034" s="12" customFormat="1" x14ac:dyDescent="0.25"/>
    <row r="137035" s="12" customFormat="1" x14ac:dyDescent="0.25"/>
    <row r="137036" s="12" customFormat="1" x14ac:dyDescent="0.25"/>
    <row r="137037" s="12" customFormat="1" x14ac:dyDescent="0.25"/>
    <row r="137038" s="12" customFormat="1" x14ac:dyDescent="0.25"/>
    <row r="137039" s="12" customFormat="1" x14ac:dyDescent="0.25"/>
    <row r="137040" s="12" customFormat="1" x14ac:dyDescent="0.25"/>
    <row r="137041" s="12" customFormat="1" x14ac:dyDescent="0.25"/>
    <row r="137042" s="12" customFormat="1" x14ac:dyDescent="0.25"/>
    <row r="137043" s="12" customFormat="1" x14ac:dyDescent="0.25"/>
    <row r="137044" s="12" customFormat="1" x14ac:dyDescent="0.25"/>
    <row r="137045" s="12" customFormat="1" x14ac:dyDescent="0.25"/>
    <row r="137046" s="12" customFormat="1" x14ac:dyDescent="0.25"/>
    <row r="137047" s="12" customFormat="1" x14ac:dyDescent="0.25"/>
    <row r="137048" s="12" customFormat="1" x14ac:dyDescent="0.25"/>
    <row r="137049" s="12" customFormat="1" x14ac:dyDescent="0.25"/>
    <row r="137050" s="12" customFormat="1" x14ac:dyDescent="0.25"/>
    <row r="137051" s="12" customFormat="1" x14ac:dyDescent="0.25"/>
    <row r="137052" s="12" customFormat="1" x14ac:dyDescent="0.25"/>
    <row r="137053" s="12" customFormat="1" x14ac:dyDescent="0.25"/>
    <row r="137054" s="12" customFormat="1" x14ac:dyDescent="0.25"/>
    <row r="137055" s="12" customFormat="1" x14ac:dyDescent="0.25"/>
    <row r="137056" s="12" customFormat="1" x14ac:dyDescent="0.25"/>
    <row r="137057" s="12" customFormat="1" x14ac:dyDescent="0.25"/>
    <row r="137058" s="12" customFormat="1" x14ac:dyDescent="0.25"/>
    <row r="137059" s="12" customFormat="1" x14ac:dyDescent="0.25"/>
    <row r="137060" s="12" customFormat="1" x14ac:dyDescent="0.25"/>
    <row r="137061" s="12" customFormat="1" x14ac:dyDescent="0.25"/>
    <row r="137062" s="12" customFormat="1" x14ac:dyDescent="0.25"/>
    <row r="137063" s="12" customFormat="1" x14ac:dyDescent="0.25"/>
    <row r="137064" s="12" customFormat="1" x14ac:dyDescent="0.25"/>
    <row r="137065" s="12" customFormat="1" x14ac:dyDescent="0.25"/>
    <row r="137066" s="12" customFormat="1" x14ac:dyDescent="0.25"/>
    <row r="137067" s="12" customFormat="1" x14ac:dyDescent="0.25"/>
    <row r="137068" s="12" customFormat="1" x14ac:dyDescent="0.25"/>
    <row r="137069" s="12" customFormat="1" x14ac:dyDescent="0.25"/>
    <row r="137070" s="12" customFormat="1" x14ac:dyDescent="0.25"/>
    <row r="137071" s="12" customFormat="1" x14ac:dyDescent="0.25"/>
    <row r="137072" s="12" customFormat="1" x14ac:dyDescent="0.25"/>
    <row r="137073" s="12" customFormat="1" x14ac:dyDescent="0.25"/>
    <row r="137074" s="12" customFormat="1" x14ac:dyDescent="0.25"/>
    <row r="137075" s="12" customFormat="1" x14ac:dyDescent="0.25"/>
    <row r="137076" s="12" customFormat="1" x14ac:dyDescent="0.25"/>
    <row r="137077" s="12" customFormat="1" x14ac:dyDescent="0.25"/>
    <row r="137078" s="12" customFormat="1" x14ac:dyDescent="0.25"/>
    <row r="137079" s="12" customFormat="1" x14ac:dyDescent="0.25"/>
    <row r="137080" s="12" customFormat="1" x14ac:dyDescent="0.25"/>
    <row r="137081" s="12" customFormat="1" x14ac:dyDescent="0.25"/>
    <row r="137082" s="12" customFormat="1" x14ac:dyDescent="0.25"/>
    <row r="137083" s="12" customFormat="1" x14ac:dyDescent="0.25"/>
    <row r="137084" s="12" customFormat="1" x14ac:dyDescent="0.25"/>
    <row r="137085" s="12" customFormat="1" x14ac:dyDescent="0.25"/>
    <row r="137086" s="12" customFormat="1" x14ac:dyDescent="0.25"/>
    <row r="137087" s="12" customFormat="1" x14ac:dyDescent="0.25"/>
    <row r="137088" s="12" customFormat="1" x14ac:dyDescent="0.25"/>
    <row r="137089" s="12" customFormat="1" x14ac:dyDescent="0.25"/>
    <row r="137090" s="12" customFormat="1" x14ac:dyDescent="0.25"/>
    <row r="137091" s="12" customFormat="1" x14ac:dyDescent="0.25"/>
    <row r="137092" s="12" customFormat="1" x14ac:dyDescent="0.25"/>
    <row r="137093" s="12" customFormat="1" x14ac:dyDescent="0.25"/>
    <row r="137094" s="12" customFormat="1" x14ac:dyDescent="0.25"/>
    <row r="137095" s="12" customFormat="1" x14ac:dyDescent="0.25"/>
    <row r="137096" s="12" customFormat="1" x14ac:dyDescent="0.25"/>
    <row r="137097" s="12" customFormat="1" x14ac:dyDescent="0.25"/>
    <row r="137098" s="12" customFormat="1" x14ac:dyDescent="0.25"/>
    <row r="137099" s="12" customFormat="1" x14ac:dyDescent="0.25"/>
    <row r="137100" s="12" customFormat="1" x14ac:dyDescent="0.25"/>
    <row r="137101" s="12" customFormat="1" x14ac:dyDescent="0.25"/>
    <row r="137102" s="12" customFormat="1" x14ac:dyDescent="0.25"/>
    <row r="137103" s="12" customFormat="1" x14ac:dyDescent="0.25"/>
    <row r="137104" s="12" customFormat="1" x14ac:dyDescent="0.25"/>
    <row r="137105" s="12" customFormat="1" x14ac:dyDescent="0.25"/>
    <row r="137106" s="12" customFormat="1" x14ac:dyDescent="0.25"/>
    <row r="137107" s="12" customFormat="1" x14ac:dyDescent="0.25"/>
    <row r="137108" s="12" customFormat="1" x14ac:dyDescent="0.25"/>
    <row r="137109" s="12" customFormat="1" x14ac:dyDescent="0.25"/>
    <row r="137110" s="12" customFormat="1" x14ac:dyDescent="0.25"/>
    <row r="137111" s="12" customFormat="1" x14ac:dyDescent="0.25"/>
    <row r="137112" s="12" customFormat="1" x14ac:dyDescent="0.25"/>
    <row r="137113" s="12" customFormat="1" x14ac:dyDescent="0.25"/>
    <row r="137114" s="12" customFormat="1" x14ac:dyDescent="0.25"/>
    <row r="137115" s="12" customFormat="1" x14ac:dyDescent="0.25"/>
    <row r="137116" s="12" customFormat="1" x14ac:dyDescent="0.25"/>
    <row r="137117" s="12" customFormat="1" x14ac:dyDescent="0.25"/>
    <row r="137118" s="12" customFormat="1" x14ac:dyDescent="0.25"/>
    <row r="137119" s="12" customFormat="1" x14ac:dyDescent="0.25"/>
    <row r="137120" s="12" customFormat="1" x14ac:dyDescent="0.25"/>
    <row r="137121" s="12" customFormat="1" x14ac:dyDescent="0.25"/>
    <row r="137122" s="12" customFormat="1" x14ac:dyDescent="0.25"/>
    <row r="137123" s="12" customFormat="1" x14ac:dyDescent="0.25"/>
    <row r="137124" s="12" customFormat="1" x14ac:dyDescent="0.25"/>
    <row r="137125" s="12" customFormat="1" x14ac:dyDescent="0.25"/>
    <row r="137126" s="12" customFormat="1" x14ac:dyDescent="0.25"/>
    <row r="137127" s="12" customFormat="1" x14ac:dyDescent="0.25"/>
    <row r="137128" s="12" customFormat="1" x14ac:dyDescent="0.25"/>
    <row r="137129" s="12" customFormat="1" x14ac:dyDescent="0.25"/>
    <row r="137130" s="12" customFormat="1" x14ac:dyDescent="0.25"/>
    <row r="137131" s="12" customFormat="1" x14ac:dyDescent="0.25"/>
    <row r="137132" s="12" customFormat="1" x14ac:dyDescent="0.25"/>
    <row r="137133" s="12" customFormat="1" x14ac:dyDescent="0.25"/>
    <row r="137134" s="12" customFormat="1" x14ac:dyDescent="0.25"/>
    <row r="137135" s="12" customFormat="1" x14ac:dyDescent="0.25"/>
    <row r="137136" s="12" customFormat="1" x14ac:dyDescent="0.25"/>
    <row r="137137" s="12" customFormat="1" x14ac:dyDescent="0.25"/>
    <row r="137138" s="12" customFormat="1" x14ac:dyDescent="0.25"/>
    <row r="137139" s="12" customFormat="1" x14ac:dyDescent="0.25"/>
    <row r="137140" s="12" customFormat="1" x14ac:dyDescent="0.25"/>
    <row r="137141" s="12" customFormat="1" x14ac:dyDescent="0.25"/>
    <row r="137142" s="12" customFormat="1" x14ac:dyDescent="0.25"/>
    <row r="137143" s="12" customFormat="1" x14ac:dyDescent="0.25"/>
    <row r="137144" s="12" customFormat="1" x14ac:dyDescent="0.25"/>
    <row r="137145" s="12" customFormat="1" x14ac:dyDescent="0.25"/>
    <row r="137146" s="12" customFormat="1" x14ac:dyDescent="0.25"/>
    <row r="137147" s="12" customFormat="1" x14ac:dyDescent="0.25"/>
    <row r="137148" s="12" customFormat="1" x14ac:dyDescent="0.25"/>
    <row r="137149" s="12" customFormat="1" x14ac:dyDescent="0.25"/>
    <row r="137150" s="12" customFormat="1" x14ac:dyDescent="0.25"/>
    <row r="137151" s="12" customFormat="1" x14ac:dyDescent="0.25"/>
    <row r="137152" s="12" customFormat="1" x14ac:dyDescent="0.25"/>
    <row r="137153" s="12" customFormat="1" x14ac:dyDescent="0.25"/>
    <row r="137154" s="12" customFormat="1" x14ac:dyDescent="0.25"/>
    <row r="137155" s="12" customFormat="1" x14ac:dyDescent="0.25"/>
    <row r="137156" s="12" customFormat="1" x14ac:dyDescent="0.25"/>
    <row r="137157" s="12" customFormat="1" x14ac:dyDescent="0.25"/>
    <row r="137158" s="12" customFormat="1" x14ac:dyDescent="0.25"/>
    <row r="137159" s="12" customFormat="1" x14ac:dyDescent="0.25"/>
    <row r="137160" s="12" customFormat="1" x14ac:dyDescent="0.25"/>
    <row r="137161" s="12" customFormat="1" x14ac:dyDescent="0.25"/>
    <row r="137162" s="12" customFormat="1" x14ac:dyDescent="0.25"/>
    <row r="137163" s="12" customFormat="1" x14ac:dyDescent="0.25"/>
    <row r="137164" s="12" customFormat="1" x14ac:dyDescent="0.25"/>
    <row r="137165" s="12" customFormat="1" x14ac:dyDescent="0.25"/>
    <row r="137166" s="12" customFormat="1" x14ac:dyDescent="0.25"/>
    <row r="137167" s="12" customFormat="1" x14ac:dyDescent="0.25"/>
    <row r="137168" s="12" customFormat="1" x14ac:dyDescent="0.25"/>
    <row r="137169" s="12" customFormat="1" x14ac:dyDescent="0.25"/>
    <row r="137170" s="12" customFormat="1" x14ac:dyDescent="0.25"/>
    <row r="137171" s="12" customFormat="1" x14ac:dyDescent="0.25"/>
    <row r="137172" s="12" customFormat="1" x14ac:dyDescent="0.25"/>
    <row r="137173" s="12" customFormat="1" x14ac:dyDescent="0.25"/>
    <row r="137174" s="12" customFormat="1" x14ac:dyDescent="0.25"/>
    <row r="137175" s="12" customFormat="1" x14ac:dyDescent="0.25"/>
    <row r="137176" s="12" customFormat="1" x14ac:dyDescent="0.25"/>
    <row r="137177" s="12" customFormat="1" x14ac:dyDescent="0.25"/>
    <row r="137178" s="12" customFormat="1" x14ac:dyDescent="0.25"/>
    <row r="137179" s="12" customFormat="1" x14ac:dyDescent="0.25"/>
    <row r="137180" s="12" customFormat="1" x14ac:dyDescent="0.25"/>
    <row r="137181" s="12" customFormat="1" x14ac:dyDescent="0.25"/>
    <row r="137182" s="12" customFormat="1" x14ac:dyDescent="0.25"/>
    <row r="137183" s="12" customFormat="1" x14ac:dyDescent="0.25"/>
    <row r="137184" s="12" customFormat="1" x14ac:dyDescent="0.25"/>
    <row r="137185" s="12" customFormat="1" x14ac:dyDescent="0.25"/>
    <row r="137186" s="12" customFormat="1" x14ac:dyDescent="0.25"/>
    <row r="137187" s="12" customFormat="1" x14ac:dyDescent="0.25"/>
    <row r="137188" s="12" customFormat="1" x14ac:dyDescent="0.25"/>
    <row r="137189" s="12" customFormat="1" x14ac:dyDescent="0.25"/>
    <row r="137190" s="12" customFormat="1" x14ac:dyDescent="0.25"/>
    <row r="137191" s="12" customFormat="1" x14ac:dyDescent="0.25"/>
    <row r="137192" s="12" customFormat="1" x14ac:dyDescent="0.25"/>
    <row r="137193" s="12" customFormat="1" x14ac:dyDescent="0.25"/>
    <row r="137194" s="12" customFormat="1" x14ac:dyDescent="0.25"/>
    <row r="137195" s="12" customFormat="1" x14ac:dyDescent="0.25"/>
    <row r="137196" s="12" customFormat="1" x14ac:dyDescent="0.25"/>
    <row r="137197" s="12" customFormat="1" x14ac:dyDescent="0.25"/>
    <row r="137198" s="12" customFormat="1" x14ac:dyDescent="0.25"/>
    <row r="137199" s="12" customFormat="1" x14ac:dyDescent="0.25"/>
    <row r="137200" s="12" customFormat="1" x14ac:dyDescent="0.25"/>
    <row r="137201" s="12" customFormat="1" x14ac:dyDescent="0.25"/>
    <row r="137202" s="12" customFormat="1" x14ac:dyDescent="0.25"/>
    <row r="137203" s="12" customFormat="1" x14ac:dyDescent="0.25"/>
    <row r="137204" s="12" customFormat="1" x14ac:dyDescent="0.25"/>
    <row r="137205" s="12" customFormat="1" x14ac:dyDescent="0.25"/>
    <row r="137206" s="12" customFormat="1" x14ac:dyDescent="0.25"/>
    <row r="137207" s="12" customFormat="1" x14ac:dyDescent="0.25"/>
    <row r="137208" s="12" customFormat="1" x14ac:dyDescent="0.25"/>
    <row r="137209" s="12" customFormat="1" x14ac:dyDescent="0.25"/>
    <row r="137210" s="12" customFormat="1" x14ac:dyDescent="0.25"/>
    <row r="137211" s="12" customFormat="1" x14ac:dyDescent="0.25"/>
    <row r="137212" s="12" customFormat="1" x14ac:dyDescent="0.25"/>
    <row r="137213" s="12" customFormat="1" x14ac:dyDescent="0.25"/>
    <row r="137214" s="12" customFormat="1" x14ac:dyDescent="0.25"/>
    <row r="137215" s="12" customFormat="1" x14ac:dyDescent="0.25"/>
    <row r="137216" s="12" customFormat="1" x14ac:dyDescent="0.25"/>
    <row r="137217" s="12" customFormat="1" x14ac:dyDescent="0.25"/>
    <row r="137218" s="12" customFormat="1" x14ac:dyDescent="0.25"/>
    <row r="137219" s="12" customFormat="1" x14ac:dyDescent="0.25"/>
    <row r="137220" s="12" customFormat="1" x14ac:dyDescent="0.25"/>
    <row r="137221" s="12" customFormat="1" x14ac:dyDescent="0.25"/>
    <row r="137222" s="12" customFormat="1" x14ac:dyDescent="0.25"/>
    <row r="137223" s="12" customFormat="1" x14ac:dyDescent="0.25"/>
    <row r="137224" s="12" customFormat="1" x14ac:dyDescent="0.25"/>
    <row r="137225" s="12" customFormat="1" x14ac:dyDescent="0.25"/>
    <row r="137226" s="12" customFormat="1" x14ac:dyDescent="0.25"/>
    <row r="137227" s="12" customFormat="1" x14ac:dyDescent="0.25"/>
    <row r="137228" s="12" customFormat="1" x14ac:dyDescent="0.25"/>
    <row r="137229" s="12" customFormat="1" x14ac:dyDescent="0.25"/>
    <row r="137230" s="12" customFormat="1" x14ac:dyDescent="0.25"/>
    <row r="137231" s="12" customFormat="1" x14ac:dyDescent="0.25"/>
    <row r="137232" s="12" customFormat="1" x14ac:dyDescent="0.25"/>
    <row r="137233" s="12" customFormat="1" x14ac:dyDescent="0.25"/>
    <row r="137234" s="12" customFormat="1" x14ac:dyDescent="0.25"/>
    <row r="137235" s="12" customFormat="1" x14ac:dyDescent="0.25"/>
    <row r="137236" s="12" customFormat="1" x14ac:dyDescent="0.25"/>
    <row r="137237" s="12" customFormat="1" x14ac:dyDescent="0.25"/>
    <row r="137238" s="12" customFormat="1" x14ac:dyDescent="0.25"/>
    <row r="137239" s="12" customFormat="1" x14ac:dyDescent="0.25"/>
    <row r="137240" s="12" customFormat="1" x14ac:dyDescent="0.25"/>
    <row r="137241" s="12" customFormat="1" x14ac:dyDescent="0.25"/>
    <row r="137242" s="12" customFormat="1" x14ac:dyDescent="0.25"/>
    <row r="137243" s="12" customFormat="1" x14ac:dyDescent="0.25"/>
    <row r="137244" s="12" customFormat="1" x14ac:dyDescent="0.25"/>
    <row r="137245" s="12" customFormat="1" x14ac:dyDescent="0.25"/>
    <row r="137246" s="12" customFormat="1" x14ac:dyDescent="0.25"/>
    <row r="137247" s="12" customFormat="1" x14ac:dyDescent="0.25"/>
    <row r="137248" s="12" customFormat="1" x14ac:dyDescent="0.25"/>
    <row r="137249" s="12" customFormat="1" x14ac:dyDescent="0.25"/>
    <row r="137250" s="12" customFormat="1" x14ac:dyDescent="0.25"/>
    <row r="137251" s="12" customFormat="1" x14ac:dyDescent="0.25"/>
    <row r="137252" s="12" customFormat="1" x14ac:dyDescent="0.25"/>
    <row r="137253" s="12" customFormat="1" x14ac:dyDescent="0.25"/>
    <row r="137254" s="12" customFormat="1" x14ac:dyDescent="0.25"/>
    <row r="137255" s="12" customFormat="1" x14ac:dyDescent="0.25"/>
    <row r="137256" s="12" customFormat="1" x14ac:dyDescent="0.25"/>
    <row r="137257" s="12" customFormat="1" x14ac:dyDescent="0.25"/>
    <row r="137258" s="12" customFormat="1" x14ac:dyDescent="0.25"/>
    <row r="137259" s="12" customFormat="1" x14ac:dyDescent="0.25"/>
    <row r="137260" s="12" customFormat="1" x14ac:dyDescent="0.25"/>
    <row r="137261" s="12" customFormat="1" x14ac:dyDescent="0.25"/>
    <row r="137262" s="12" customFormat="1" x14ac:dyDescent="0.25"/>
    <row r="137263" s="12" customFormat="1" x14ac:dyDescent="0.25"/>
    <row r="137264" s="12" customFormat="1" x14ac:dyDescent="0.25"/>
    <row r="137265" s="12" customFormat="1" x14ac:dyDescent="0.25"/>
    <row r="137266" s="12" customFormat="1" x14ac:dyDescent="0.25"/>
    <row r="137267" s="12" customFormat="1" x14ac:dyDescent="0.25"/>
    <row r="137268" s="12" customFormat="1" x14ac:dyDescent="0.25"/>
    <row r="137269" s="12" customFormat="1" x14ac:dyDescent="0.25"/>
    <row r="137270" s="12" customFormat="1" x14ac:dyDescent="0.25"/>
    <row r="137271" s="12" customFormat="1" x14ac:dyDescent="0.25"/>
    <row r="137272" s="12" customFormat="1" x14ac:dyDescent="0.25"/>
    <row r="137273" s="12" customFormat="1" x14ac:dyDescent="0.25"/>
    <row r="137274" s="12" customFormat="1" x14ac:dyDescent="0.25"/>
    <row r="137275" s="12" customFormat="1" x14ac:dyDescent="0.25"/>
    <row r="137276" s="12" customFormat="1" x14ac:dyDescent="0.25"/>
    <row r="137277" s="12" customFormat="1" x14ac:dyDescent="0.25"/>
    <row r="137278" s="12" customFormat="1" x14ac:dyDescent="0.25"/>
    <row r="137279" s="12" customFormat="1" x14ac:dyDescent="0.25"/>
    <row r="137280" s="12" customFormat="1" x14ac:dyDescent="0.25"/>
    <row r="137281" s="12" customFormat="1" x14ac:dyDescent="0.25"/>
    <row r="137282" s="12" customFormat="1" x14ac:dyDescent="0.25"/>
    <row r="137283" s="12" customFormat="1" x14ac:dyDescent="0.25"/>
    <row r="137284" s="12" customFormat="1" x14ac:dyDescent="0.25"/>
    <row r="137285" s="12" customFormat="1" x14ac:dyDescent="0.25"/>
    <row r="137286" s="12" customFormat="1" x14ac:dyDescent="0.25"/>
    <row r="137287" s="12" customFormat="1" x14ac:dyDescent="0.25"/>
    <row r="137288" s="12" customFormat="1" x14ac:dyDescent="0.25"/>
    <row r="137289" s="12" customFormat="1" x14ac:dyDescent="0.25"/>
    <row r="137290" s="12" customFormat="1" x14ac:dyDescent="0.25"/>
    <row r="137291" s="12" customFormat="1" x14ac:dyDescent="0.25"/>
    <row r="137292" s="12" customFormat="1" x14ac:dyDescent="0.25"/>
    <row r="137293" s="12" customFormat="1" x14ac:dyDescent="0.25"/>
    <row r="137294" s="12" customFormat="1" x14ac:dyDescent="0.25"/>
    <row r="137295" s="12" customFormat="1" x14ac:dyDescent="0.25"/>
    <row r="137296" s="12" customFormat="1" x14ac:dyDescent="0.25"/>
    <row r="137297" s="12" customFormat="1" x14ac:dyDescent="0.25"/>
    <row r="137298" s="12" customFormat="1" x14ac:dyDescent="0.25"/>
    <row r="137299" s="12" customFormat="1" x14ac:dyDescent="0.25"/>
    <row r="137300" s="12" customFormat="1" x14ac:dyDescent="0.25"/>
    <row r="137301" s="12" customFormat="1" x14ac:dyDescent="0.25"/>
    <row r="137302" s="12" customFormat="1" x14ac:dyDescent="0.25"/>
    <row r="137303" s="12" customFormat="1" x14ac:dyDescent="0.25"/>
    <row r="137304" s="12" customFormat="1" x14ac:dyDescent="0.25"/>
    <row r="137305" s="12" customFormat="1" x14ac:dyDescent="0.25"/>
    <row r="137306" s="12" customFormat="1" x14ac:dyDescent="0.25"/>
    <row r="137307" s="12" customFormat="1" x14ac:dyDescent="0.25"/>
    <row r="137308" s="12" customFormat="1" x14ac:dyDescent="0.25"/>
    <row r="137309" s="12" customFormat="1" x14ac:dyDescent="0.25"/>
    <row r="137310" s="12" customFormat="1" x14ac:dyDescent="0.25"/>
    <row r="137311" s="12" customFormat="1" x14ac:dyDescent="0.25"/>
    <row r="137312" s="12" customFormat="1" x14ac:dyDescent="0.25"/>
    <row r="137313" s="12" customFormat="1" x14ac:dyDescent="0.25"/>
    <row r="137314" s="12" customFormat="1" x14ac:dyDescent="0.25"/>
    <row r="137315" s="12" customFormat="1" x14ac:dyDescent="0.25"/>
    <row r="137316" s="12" customFormat="1" x14ac:dyDescent="0.25"/>
    <row r="137317" s="12" customFormat="1" x14ac:dyDescent="0.25"/>
    <row r="137318" s="12" customFormat="1" x14ac:dyDescent="0.25"/>
    <row r="137319" s="12" customFormat="1" x14ac:dyDescent="0.25"/>
    <row r="137320" s="12" customFormat="1" x14ac:dyDescent="0.25"/>
    <row r="137321" s="12" customFormat="1" x14ac:dyDescent="0.25"/>
    <row r="137322" s="12" customFormat="1" x14ac:dyDescent="0.25"/>
    <row r="137323" s="12" customFormat="1" x14ac:dyDescent="0.25"/>
    <row r="137324" s="12" customFormat="1" x14ac:dyDescent="0.25"/>
    <row r="137325" s="12" customFormat="1" x14ac:dyDescent="0.25"/>
    <row r="137326" s="12" customFormat="1" x14ac:dyDescent="0.25"/>
    <row r="137327" s="12" customFormat="1" x14ac:dyDescent="0.25"/>
    <row r="137328" s="12" customFormat="1" x14ac:dyDescent="0.25"/>
    <row r="137329" s="12" customFormat="1" x14ac:dyDescent="0.25"/>
    <row r="137330" s="12" customFormat="1" x14ac:dyDescent="0.25"/>
    <row r="137331" s="12" customFormat="1" x14ac:dyDescent="0.25"/>
    <row r="137332" s="12" customFormat="1" x14ac:dyDescent="0.25"/>
    <row r="137333" s="12" customFormat="1" x14ac:dyDescent="0.25"/>
    <row r="137334" s="12" customFormat="1" x14ac:dyDescent="0.25"/>
    <row r="137335" s="12" customFormat="1" x14ac:dyDescent="0.25"/>
    <row r="137336" s="12" customFormat="1" x14ac:dyDescent="0.25"/>
    <row r="137337" s="12" customFormat="1" x14ac:dyDescent="0.25"/>
    <row r="137338" s="12" customFormat="1" x14ac:dyDescent="0.25"/>
    <row r="137339" s="12" customFormat="1" x14ac:dyDescent="0.25"/>
    <row r="137340" s="12" customFormat="1" x14ac:dyDescent="0.25"/>
    <row r="137341" s="12" customFormat="1" x14ac:dyDescent="0.25"/>
    <row r="137342" s="12" customFormat="1" x14ac:dyDescent="0.25"/>
    <row r="137343" s="12" customFormat="1" x14ac:dyDescent="0.25"/>
    <row r="137344" s="12" customFormat="1" x14ac:dyDescent="0.25"/>
    <row r="137345" s="12" customFormat="1" x14ac:dyDescent="0.25"/>
    <row r="137346" s="12" customFormat="1" x14ac:dyDescent="0.25"/>
    <row r="137347" s="12" customFormat="1" x14ac:dyDescent="0.25"/>
    <row r="137348" s="12" customFormat="1" x14ac:dyDescent="0.25"/>
    <row r="137349" s="12" customFormat="1" x14ac:dyDescent="0.25"/>
    <row r="137350" s="12" customFormat="1" x14ac:dyDescent="0.25"/>
    <row r="137351" s="12" customFormat="1" x14ac:dyDescent="0.25"/>
    <row r="137352" s="12" customFormat="1" x14ac:dyDescent="0.25"/>
    <row r="137353" s="12" customFormat="1" x14ac:dyDescent="0.25"/>
    <row r="137354" s="12" customFormat="1" x14ac:dyDescent="0.25"/>
    <row r="137355" s="12" customFormat="1" x14ac:dyDescent="0.25"/>
    <row r="137356" s="12" customFormat="1" x14ac:dyDescent="0.25"/>
    <row r="137357" s="12" customFormat="1" x14ac:dyDescent="0.25"/>
    <row r="137358" s="12" customFormat="1" x14ac:dyDescent="0.25"/>
    <row r="137359" s="12" customFormat="1" x14ac:dyDescent="0.25"/>
    <row r="137360" s="12" customFormat="1" x14ac:dyDescent="0.25"/>
    <row r="137361" s="12" customFormat="1" x14ac:dyDescent="0.25"/>
    <row r="137362" s="12" customFormat="1" x14ac:dyDescent="0.25"/>
    <row r="137363" s="12" customFormat="1" x14ac:dyDescent="0.25"/>
    <row r="137364" s="12" customFormat="1" x14ac:dyDescent="0.25"/>
    <row r="137365" s="12" customFormat="1" x14ac:dyDescent="0.25"/>
    <row r="137366" s="12" customFormat="1" x14ac:dyDescent="0.25"/>
    <row r="137367" s="12" customFormat="1" x14ac:dyDescent="0.25"/>
    <row r="137368" s="12" customFormat="1" x14ac:dyDescent="0.25"/>
    <row r="137369" s="12" customFormat="1" x14ac:dyDescent="0.25"/>
    <row r="137370" s="12" customFormat="1" x14ac:dyDescent="0.25"/>
    <row r="137371" s="12" customFormat="1" x14ac:dyDescent="0.25"/>
    <row r="137372" s="12" customFormat="1" x14ac:dyDescent="0.25"/>
    <row r="137373" s="12" customFormat="1" x14ac:dyDescent="0.25"/>
    <row r="137374" s="12" customFormat="1" x14ac:dyDescent="0.25"/>
    <row r="137375" s="12" customFormat="1" x14ac:dyDescent="0.25"/>
    <row r="137376" s="12" customFormat="1" x14ac:dyDescent="0.25"/>
    <row r="137377" s="12" customFormat="1" x14ac:dyDescent="0.25"/>
    <row r="137378" s="12" customFormat="1" x14ac:dyDescent="0.25"/>
    <row r="137379" s="12" customFormat="1" x14ac:dyDescent="0.25"/>
    <row r="137380" s="12" customFormat="1" x14ac:dyDescent="0.25"/>
    <row r="137381" s="12" customFormat="1" x14ac:dyDescent="0.25"/>
    <row r="137382" s="12" customFormat="1" x14ac:dyDescent="0.25"/>
    <row r="137383" s="12" customFormat="1" x14ac:dyDescent="0.25"/>
    <row r="137384" s="12" customFormat="1" x14ac:dyDescent="0.25"/>
    <row r="137385" s="12" customFormat="1" x14ac:dyDescent="0.25"/>
    <row r="137386" s="12" customFormat="1" x14ac:dyDescent="0.25"/>
    <row r="137387" s="12" customFormat="1" x14ac:dyDescent="0.25"/>
    <row r="137388" s="12" customFormat="1" x14ac:dyDescent="0.25"/>
    <row r="137389" s="12" customFormat="1" x14ac:dyDescent="0.25"/>
    <row r="137390" s="12" customFormat="1" x14ac:dyDescent="0.25"/>
    <row r="137391" s="12" customFormat="1" x14ac:dyDescent="0.25"/>
    <row r="137392" s="12" customFormat="1" x14ac:dyDescent="0.25"/>
    <row r="137393" s="12" customFormat="1" x14ac:dyDescent="0.25"/>
    <row r="137394" s="12" customFormat="1" x14ac:dyDescent="0.25"/>
    <row r="137395" s="12" customFormat="1" x14ac:dyDescent="0.25"/>
    <row r="137396" s="12" customFormat="1" x14ac:dyDescent="0.25"/>
    <row r="137397" s="12" customFormat="1" x14ac:dyDescent="0.25"/>
    <row r="137398" s="12" customFormat="1" x14ac:dyDescent="0.25"/>
    <row r="137399" s="12" customFormat="1" x14ac:dyDescent="0.25"/>
    <row r="137400" s="12" customFormat="1" x14ac:dyDescent="0.25"/>
    <row r="137401" s="12" customFormat="1" x14ac:dyDescent="0.25"/>
    <row r="137402" s="12" customFormat="1" x14ac:dyDescent="0.25"/>
    <row r="137403" s="12" customFormat="1" x14ac:dyDescent="0.25"/>
    <row r="137404" s="12" customFormat="1" x14ac:dyDescent="0.25"/>
    <row r="137405" s="12" customFormat="1" x14ac:dyDescent="0.25"/>
    <row r="137406" s="12" customFormat="1" x14ac:dyDescent="0.25"/>
    <row r="137407" s="12" customFormat="1" x14ac:dyDescent="0.25"/>
    <row r="137408" s="12" customFormat="1" x14ac:dyDescent="0.25"/>
    <row r="137409" s="12" customFormat="1" x14ac:dyDescent="0.25"/>
    <row r="137410" s="12" customFormat="1" x14ac:dyDescent="0.25"/>
    <row r="137411" s="12" customFormat="1" x14ac:dyDescent="0.25"/>
    <row r="137412" s="12" customFormat="1" x14ac:dyDescent="0.25"/>
    <row r="137413" s="12" customFormat="1" x14ac:dyDescent="0.25"/>
    <row r="137414" s="12" customFormat="1" x14ac:dyDescent="0.25"/>
    <row r="137415" s="12" customFormat="1" x14ac:dyDescent="0.25"/>
    <row r="137416" s="12" customFormat="1" x14ac:dyDescent="0.25"/>
    <row r="137417" s="12" customFormat="1" x14ac:dyDescent="0.25"/>
    <row r="137418" s="12" customFormat="1" x14ac:dyDescent="0.25"/>
    <row r="137419" s="12" customFormat="1" x14ac:dyDescent="0.25"/>
    <row r="137420" s="12" customFormat="1" x14ac:dyDescent="0.25"/>
    <row r="137421" s="12" customFormat="1" x14ac:dyDescent="0.25"/>
    <row r="137422" s="12" customFormat="1" x14ac:dyDescent="0.25"/>
    <row r="137423" s="12" customFormat="1" x14ac:dyDescent="0.25"/>
    <row r="137424" s="12" customFormat="1" x14ac:dyDescent="0.25"/>
    <row r="137425" s="12" customFormat="1" x14ac:dyDescent="0.25"/>
    <row r="137426" s="12" customFormat="1" x14ac:dyDescent="0.25"/>
    <row r="137427" s="12" customFormat="1" x14ac:dyDescent="0.25"/>
    <row r="137428" s="12" customFormat="1" x14ac:dyDescent="0.25"/>
    <row r="137429" s="12" customFormat="1" x14ac:dyDescent="0.25"/>
    <row r="137430" s="12" customFormat="1" x14ac:dyDescent="0.25"/>
    <row r="137431" s="12" customFormat="1" x14ac:dyDescent="0.25"/>
    <row r="137432" s="12" customFormat="1" x14ac:dyDescent="0.25"/>
    <row r="137433" s="12" customFormat="1" x14ac:dyDescent="0.25"/>
    <row r="137434" s="12" customFormat="1" x14ac:dyDescent="0.25"/>
    <row r="137435" s="12" customFormat="1" x14ac:dyDescent="0.25"/>
    <row r="137436" s="12" customFormat="1" x14ac:dyDescent="0.25"/>
    <row r="137437" s="12" customFormat="1" x14ac:dyDescent="0.25"/>
    <row r="137438" s="12" customFormat="1" x14ac:dyDescent="0.25"/>
    <row r="137439" s="12" customFormat="1" x14ac:dyDescent="0.25"/>
    <row r="137440" s="12" customFormat="1" x14ac:dyDescent="0.25"/>
    <row r="137441" s="12" customFormat="1" x14ac:dyDescent="0.25"/>
    <row r="137442" s="12" customFormat="1" x14ac:dyDescent="0.25"/>
    <row r="137443" s="12" customFormat="1" x14ac:dyDescent="0.25"/>
    <row r="137444" s="12" customFormat="1" x14ac:dyDescent="0.25"/>
    <row r="137445" s="12" customFormat="1" x14ac:dyDescent="0.25"/>
    <row r="137446" s="12" customFormat="1" x14ac:dyDescent="0.25"/>
    <row r="137447" s="12" customFormat="1" x14ac:dyDescent="0.25"/>
    <row r="137448" s="12" customFormat="1" x14ac:dyDescent="0.25"/>
    <row r="137449" s="12" customFormat="1" x14ac:dyDescent="0.25"/>
    <row r="137450" s="12" customFormat="1" x14ac:dyDescent="0.25"/>
    <row r="137451" s="12" customFormat="1" x14ac:dyDescent="0.25"/>
    <row r="137452" s="12" customFormat="1" x14ac:dyDescent="0.25"/>
    <row r="137453" s="12" customFormat="1" x14ac:dyDescent="0.25"/>
    <row r="137454" s="12" customFormat="1" x14ac:dyDescent="0.25"/>
    <row r="137455" s="12" customFormat="1" x14ac:dyDescent="0.25"/>
    <row r="137456" s="12" customFormat="1" x14ac:dyDescent="0.25"/>
    <row r="137457" s="12" customFormat="1" x14ac:dyDescent="0.25"/>
    <row r="137458" s="12" customFormat="1" x14ac:dyDescent="0.25"/>
    <row r="137459" s="12" customFormat="1" x14ac:dyDescent="0.25"/>
    <row r="137460" s="12" customFormat="1" x14ac:dyDescent="0.25"/>
    <row r="137461" s="12" customFormat="1" x14ac:dyDescent="0.25"/>
    <row r="137462" s="12" customFormat="1" x14ac:dyDescent="0.25"/>
    <row r="137463" s="12" customFormat="1" x14ac:dyDescent="0.25"/>
    <row r="137464" s="12" customFormat="1" x14ac:dyDescent="0.25"/>
    <row r="137465" s="12" customFormat="1" x14ac:dyDescent="0.25"/>
    <row r="137466" s="12" customFormat="1" x14ac:dyDescent="0.25"/>
    <row r="137467" s="12" customFormat="1" x14ac:dyDescent="0.25"/>
    <row r="137468" s="12" customFormat="1" x14ac:dyDescent="0.25"/>
    <row r="137469" s="12" customFormat="1" x14ac:dyDescent="0.25"/>
    <row r="137470" s="12" customFormat="1" x14ac:dyDescent="0.25"/>
    <row r="137471" s="12" customFormat="1" x14ac:dyDescent="0.25"/>
    <row r="137472" s="12" customFormat="1" x14ac:dyDescent="0.25"/>
    <row r="137473" s="12" customFormat="1" x14ac:dyDescent="0.25"/>
    <row r="137474" s="12" customFormat="1" x14ac:dyDescent="0.25"/>
    <row r="137475" s="12" customFormat="1" x14ac:dyDescent="0.25"/>
    <row r="137476" s="12" customFormat="1" x14ac:dyDescent="0.25"/>
    <row r="137477" s="12" customFormat="1" x14ac:dyDescent="0.25"/>
    <row r="137478" s="12" customFormat="1" x14ac:dyDescent="0.25"/>
    <row r="137479" s="12" customFormat="1" x14ac:dyDescent="0.25"/>
    <row r="137480" s="12" customFormat="1" x14ac:dyDescent="0.25"/>
    <row r="137481" s="12" customFormat="1" x14ac:dyDescent="0.25"/>
    <row r="137482" s="12" customFormat="1" x14ac:dyDescent="0.25"/>
    <row r="137483" s="12" customFormat="1" x14ac:dyDescent="0.25"/>
    <row r="137484" s="12" customFormat="1" x14ac:dyDescent="0.25"/>
    <row r="137485" s="12" customFormat="1" x14ac:dyDescent="0.25"/>
    <row r="137486" s="12" customFormat="1" x14ac:dyDescent="0.25"/>
    <row r="137487" s="12" customFormat="1" x14ac:dyDescent="0.25"/>
    <row r="137488" s="12" customFormat="1" x14ac:dyDescent="0.25"/>
    <row r="137489" s="12" customFormat="1" x14ac:dyDescent="0.25"/>
    <row r="137490" s="12" customFormat="1" x14ac:dyDescent="0.25"/>
    <row r="137491" s="12" customFormat="1" x14ac:dyDescent="0.25"/>
    <row r="137492" s="12" customFormat="1" x14ac:dyDescent="0.25"/>
    <row r="137493" s="12" customFormat="1" x14ac:dyDescent="0.25"/>
    <row r="137494" s="12" customFormat="1" x14ac:dyDescent="0.25"/>
    <row r="137495" s="12" customFormat="1" x14ac:dyDescent="0.25"/>
    <row r="137496" s="12" customFormat="1" x14ac:dyDescent="0.25"/>
    <row r="137497" s="12" customFormat="1" x14ac:dyDescent="0.25"/>
    <row r="137498" s="12" customFormat="1" x14ac:dyDescent="0.25"/>
    <row r="137499" s="12" customFormat="1" x14ac:dyDescent="0.25"/>
    <row r="137500" s="12" customFormat="1" x14ac:dyDescent="0.25"/>
    <row r="137501" s="12" customFormat="1" x14ac:dyDescent="0.25"/>
    <row r="137502" s="12" customFormat="1" x14ac:dyDescent="0.25"/>
    <row r="137503" s="12" customFormat="1" x14ac:dyDescent="0.25"/>
    <row r="137504" s="12" customFormat="1" x14ac:dyDescent="0.25"/>
    <row r="137505" s="12" customFormat="1" x14ac:dyDescent="0.25"/>
    <row r="137506" s="12" customFormat="1" x14ac:dyDescent="0.25"/>
    <row r="137507" s="12" customFormat="1" x14ac:dyDescent="0.25"/>
    <row r="137508" s="12" customFormat="1" x14ac:dyDescent="0.25"/>
    <row r="137509" s="12" customFormat="1" x14ac:dyDescent="0.25"/>
    <row r="137510" s="12" customFormat="1" x14ac:dyDescent="0.25"/>
    <row r="137511" s="12" customFormat="1" x14ac:dyDescent="0.25"/>
    <row r="137512" s="12" customFormat="1" x14ac:dyDescent="0.25"/>
    <row r="137513" s="12" customFormat="1" x14ac:dyDescent="0.25"/>
    <row r="137514" s="12" customFormat="1" x14ac:dyDescent="0.25"/>
    <row r="137515" s="12" customFormat="1" x14ac:dyDescent="0.25"/>
    <row r="137516" s="12" customFormat="1" x14ac:dyDescent="0.25"/>
    <row r="137517" s="12" customFormat="1" x14ac:dyDescent="0.25"/>
    <row r="137518" s="12" customFormat="1" x14ac:dyDescent="0.25"/>
    <row r="137519" s="12" customFormat="1" x14ac:dyDescent="0.25"/>
    <row r="137520" s="12" customFormat="1" x14ac:dyDescent="0.25"/>
    <row r="137521" s="12" customFormat="1" x14ac:dyDescent="0.25"/>
    <row r="137522" s="12" customFormat="1" x14ac:dyDescent="0.25"/>
    <row r="137523" s="12" customFormat="1" x14ac:dyDescent="0.25"/>
    <row r="137524" s="12" customFormat="1" x14ac:dyDescent="0.25"/>
    <row r="137525" s="12" customFormat="1" x14ac:dyDescent="0.25"/>
    <row r="137526" s="12" customFormat="1" x14ac:dyDescent="0.25"/>
    <row r="137527" s="12" customFormat="1" x14ac:dyDescent="0.25"/>
    <row r="137528" s="12" customFormat="1" x14ac:dyDescent="0.25"/>
    <row r="137529" s="12" customFormat="1" x14ac:dyDescent="0.25"/>
    <row r="137530" s="12" customFormat="1" x14ac:dyDescent="0.25"/>
    <row r="137531" s="12" customFormat="1" x14ac:dyDescent="0.25"/>
    <row r="137532" s="12" customFormat="1" x14ac:dyDescent="0.25"/>
    <row r="137533" s="12" customFormat="1" x14ac:dyDescent="0.25"/>
    <row r="137534" s="12" customFormat="1" x14ac:dyDescent="0.25"/>
    <row r="137535" s="12" customFormat="1" x14ac:dyDescent="0.25"/>
    <row r="137536" s="12" customFormat="1" x14ac:dyDescent="0.25"/>
    <row r="137537" s="12" customFormat="1" x14ac:dyDescent="0.25"/>
    <row r="137538" s="12" customFormat="1" x14ac:dyDescent="0.25"/>
    <row r="137539" s="12" customFormat="1" x14ac:dyDescent="0.25"/>
    <row r="137540" s="12" customFormat="1" x14ac:dyDescent="0.25"/>
    <row r="137541" s="12" customFormat="1" x14ac:dyDescent="0.25"/>
    <row r="137542" s="12" customFormat="1" x14ac:dyDescent="0.25"/>
    <row r="137543" s="12" customFormat="1" x14ac:dyDescent="0.25"/>
    <row r="137544" s="12" customFormat="1" x14ac:dyDescent="0.25"/>
    <row r="137545" s="12" customFormat="1" x14ac:dyDescent="0.25"/>
    <row r="137546" s="12" customFormat="1" x14ac:dyDescent="0.25"/>
    <row r="137547" s="12" customFormat="1" x14ac:dyDescent="0.25"/>
    <row r="137548" s="12" customFormat="1" x14ac:dyDescent="0.25"/>
    <row r="137549" s="12" customFormat="1" x14ac:dyDescent="0.25"/>
    <row r="137550" s="12" customFormat="1" x14ac:dyDescent="0.25"/>
    <row r="137551" s="12" customFormat="1" x14ac:dyDescent="0.25"/>
    <row r="137552" s="12" customFormat="1" x14ac:dyDescent="0.25"/>
    <row r="137553" s="12" customFormat="1" x14ac:dyDescent="0.25"/>
    <row r="137554" s="12" customFormat="1" x14ac:dyDescent="0.25"/>
    <row r="137555" s="12" customFormat="1" x14ac:dyDescent="0.25"/>
    <row r="137556" s="12" customFormat="1" x14ac:dyDescent="0.25"/>
    <row r="137557" s="12" customFormat="1" x14ac:dyDescent="0.25"/>
    <row r="137558" s="12" customFormat="1" x14ac:dyDescent="0.25"/>
    <row r="137559" s="12" customFormat="1" x14ac:dyDescent="0.25"/>
    <row r="137560" s="12" customFormat="1" x14ac:dyDescent="0.25"/>
    <row r="137561" s="12" customFormat="1" x14ac:dyDescent="0.25"/>
    <row r="137562" s="12" customFormat="1" x14ac:dyDescent="0.25"/>
    <row r="137563" s="12" customFormat="1" x14ac:dyDescent="0.25"/>
    <row r="137564" s="12" customFormat="1" x14ac:dyDescent="0.25"/>
    <row r="137565" s="12" customFormat="1" x14ac:dyDescent="0.25"/>
    <row r="137566" s="12" customFormat="1" x14ac:dyDescent="0.25"/>
    <row r="137567" s="12" customFormat="1" x14ac:dyDescent="0.25"/>
    <row r="137568" s="12" customFormat="1" x14ac:dyDescent="0.25"/>
    <row r="137569" s="12" customFormat="1" x14ac:dyDescent="0.25"/>
    <row r="137570" s="12" customFormat="1" x14ac:dyDescent="0.25"/>
    <row r="137571" s="12" customFormat="1" x14ac:dyDescent="0.25"/>
    <row r="137572" s="12" customFormat="1" x14ac:dyDescent="0.25"/>
    <row r="137573" s="12" customFormat="1" x14ac:dyDescent="0.25"/>
    <row r="137574" s="12" customFormat="1" x14ac:dyDescent="0.25"/>
    <row r="137575" s="12" customFormat="1" x14ac:dyDescent="0.25"/>
    <row r="137576" s="12" customFormat="1" x14ac:dyDescent="0.25"/>
    <row r="137577" s="12" customFormat="1" x14ac:dyDescent="0.25"/>
    <row r="137578" s="12" customFormat="1" x14ac:dyDescent="0.25"/>
    <row r="137579" s="12" customFormat="1" x14ac:dyDescent="0.25"/>
    <row r="137580" s="12" customFormat="1" x14ac:dyDescent="0.25"/>
    <row r="137581" s="12" customFormat="1" x14ac:dyDescent="0.25"/>
    <row r="137582" s="12" customFormat="1" x14ac:dyDescent="0.25"/>
    <row r="137583" s="12" customFormat="1" x14ac:dyDescent="0.25"/>
    <row r="137584" s="12" customFormat="1" x14ac:dyDescent="0.25"/>
    <row r="137585" s="12" customFormat="1" x14ac:dyDescent="0.25"/>
    <row r="137586" s="12" customFormat="1" x14ac:dyDescent="0.25"/>
    <row r="137587" s="12" customFormat="1" x14ac:dyDescent="0.25"/>
    <row r="137588" s="12" customFormat="1" x14ac:dyDescent="0.25"/>
    <row r="137589" s="12" customFormat="1" x14ac:dyDescent="0.25"/>
    <row r="137590" s="12" customFormat="1" x14ac:dyDescent="0.25"/>
    <row r="137591" s="12" customFormat="1" x14ac:dyDescent="0.25"/>
    <row r="137592" s="12" customFormat="1" x14ac:dyDescent="0.25"/>
    <row r="137593" s="12" customFormat="1" x14ac:dyDescent="0.25"/>
    <row r="137594" s="12" customFormat="1" x14ac:dyDescent="0.25"/>
    <row r="137595" s="12" customFormat="1" x14ac:dyDescent="0.25"/>
    <row r="137596" s="12" customFormat="1" x14ac:dyDescent="0.25"/>
    <row r="137597" s="12" customFormat="1" x14ac:dyDescent="0.25"/>
    <row r="137598" s="12" customFormat="1" x14ac:dyDescent="0.25"/>
    <row r="137599" s="12" customFormat="1" x14ac:dyDescent="0.25"/>
    <row r="137600" s="12" customFormat="1" x14ac:dyDescent="0.25"/>
    <row r="137601" s="12" customFormat="1" x14ac:dyDescent="0.25"/>
    <row r="137602" s="12" customFormat="1" x14ac:dyDescent="0.25"/>
    <row r="137603" s="12" customFormat="1" x14ac:dyDescent="0.25"/>
    <row r="137604" s="12" customFormat="1" x14ac:dyDescent="0.25"/>
    <row r="137605" s="12" customFormat="1" x14ac:dyDescent="0.25"/>
    <row r="137606" s="12" customFormat="1" x14ac:dyDescent="0.25"/>
    <row r="137607" s="12" customFormat="1" x14ac:dyDescent="0.25"/>
    <row r="137608" s="12" customFormat="1" x14ac:dyDescent="0.25"/>
    <row r="137609" s="12" customFormat="1" x14ac:dyDescent="0.25"/>
    <row r="137610" s="12" customFormat="1" x14ac:dyDescent="0.25"/>
    <row r="137611" s="12" customFormat="1" x14ac:dyDescent="0.25"/>
    <row r="137612" s="12" customFormat="1" x14ac:dyDescent="0.25"/>
    <row r="137613" s="12" customFormat="1" x14ac:dyDescent="0.25"/>
    <row r="137614" s="12" customFormat="1" x14ac:dyDescent="0.25"/>
    <row r="137615" s="12" customFormat="1" x14ac:dyDescent="0.25"/>
    <row r="137616" s="12" customFormat="1" x14ac:dyDescent="0.25"/>
    <row r="137617" s="12" customFormat="1" x14ac:dyDescent="0.25"/>
    <row r="137618" s="12" customFormat="1" x14ac:dyDescent="0.25"/>
    <row r="137619" s="12" customFormat="1" x14ac:dyDescent="0.25"/>
    <row r="137620" s="12" customFormat="1" x14ac:dyDescent="0.25"/>
    <row r="137621" s="12" customFormat="1" x14ac:dyDescent="0.25"/>
    <row r="137622" s="12" customFormat="1" x14ac:dyDescent="0.25"/>
    <row r="137623" s="12" customFormat="1" x14ac:dyDescent="0.25"/>
    <row r="137624" s="12" customFormat="1" x14ac:dyDescent="0.25"/>
    <row r="137625" s="12" customFormat="1" x14ac:dyDescent="0.25"/>
    <row r="137626" s="12" customFormat="1" x14ac:dyDescent="0.25"/>
    <row r="137627" s="12" customFormat="1" x14ac:dyDescent="0.25"/>
    <row r="137628" s="12" customFormat="1" x14ac:dyDescent="0.25"/>
    <row r="137629" s="12" customFormat="1" x14ac:dyDescent="0.25"/>
    <row r="137630" s="12" customFormat="1" x14ac:dyDescent="0.25"/>
    <row r="137631" s="12" customFormat="1" x14ac:dyDescent="0.25"/>
    <row r="137632" s="12" customFormat="1" x14ac:dyDescent="0.25"/>
    <row r="137633" s="12" customFormat="1" x14ac:dyDescent="0.25"/>
    <row r="137634" s="12" customFormat="1" x14ac:dyDescent="0.25"/>
    <row r="137635" s="12" customFormat="1" x14ac:dyDescent="0.25"/>
    <row r="137636" s="12" customFormat="1" x14ac:dyDescent="0.25"/>
    <row r="137637" s="12" customFormat="1" x14ac:dyDescent="0.25"/>
    <row r="137638" s="12" customFormat="1" x14ac:dyDescent="0.25"/>
    <row r="137639" s="12" customFormat="1" x14ac:dyDescent="0.25"/>
    <row r="137640" s="12" customFormat="1" x14ac:dyDescent="0.25"/>
    <row r="137641" s="12" customFormat="1" x14ac:dyDescent="0.25"/>
    <row r="137642" s="12" customFormat="1" x14ac:dyDescent="0.25"/>
    <row r="137643" s="12" customFormat="1" x14ac:dyDescent="0.25"/>
    <row r="137644" s="12" customFormat="1" x14ac:dyDescent="0.25"/>
    <row r="137645" s="12" customFormat="1" x14ac:dyDescent="0.25"/>
    <row r="137646" s="12" customFormat="1" x14ac:dyDescent="0.25"/>
    <row r="137647" s="12" customFormat="1" x14ac:dyDescent="0.25"/>
    <row r="137648" s="12" customFormat="1" x14ac:dyDescent="0.25"/>
    <row r="137649" s="12" customFormat="1" x14ac:dyDescent="0.25"/>
    <row r="137650" s="12" customFormat="1" x14ac:dyDescent="0.25"/>
    <row r="137651" s="12" customFormat="1" x14ac:dyDescent="0.25"/>
    <row r="137652" s="12" customFormat="1" x14ac:dyDescent="0.25"/>
    <row r="137653" s="12" customFormat="1" x14ac:dyDescent="0.25"/>
    <row r="137654" s="12" customFormat="1" x14ac:dyDescent="0.25"/>
    <row r="137655" s="12" customFormat="1" x14ac:dyDescent="0.25"/>
    <row r="137656" s="12" customFormat="1" x14ac:dyDescent="0.25"/>
    <row r="137657" s="12" customFormat="1" x14ac:dyDescent="0.25"/>
    <row r="137658" s="12" customFormat="1" x14ac:dyDescent="0.25"/>
    <row r="137659" s="12" customFormat="1" x14ac:dyDescent="0.25"/>
    <row r="137660" s="12" customFormat="1" x14ac:dyDescent="0.25"/>
    <row r="137661" s="12" customFormat="1" x14ac:dyDescent="0.25"/>
    <row r="137662" s="12" customFormat="1" x14ac:dyDescent="0.25"/>
    <row r="137663" s="12" customFormat="1" x14ac:dyDescent="0.25"/>
    <row r="137664" s="12" customFormat="1" x14ac:dyDescent="0.25"/>
    <row r="137665" s="12" customFormat="1" x14ac:dyDescent="0.25"/>
    <row r="137666" s="12" customFormat="1" x14ac:dyDescent="0.25"/>
    <row r="137667" s="12" customFormat="1" x14ac:dyDescent="0.25"/>
    <row r="137668" s="12" customFormat="1" x14ac:dyDescent="0.25"/>
    <row r="137669" s="12" customFormat="1" x14ac:dyDescent="0.25"/>
    <row r="137670" s="12" customFormat="1" x14ac:dyDescent="0.25"/>
    <row r="137671" s="12" customFormat="1" x14ac:dyDescent="0.25"/>
    <row r="137672" s="12" customFormat="1" x14ac:dyDescent="0.25"/>
    <row r="137673" s="12" customFormat="1" x14ac:dyDescent="0.25"/>
    <row r="137674" s="12" customFormat="1" x14ac:dyDescent="0.25"/>
    <row r="137675" s="12" customFormat="1" x14ac:dyDescent="0.25"/>
    <row r="137676" s="12" customFormat="1" x14ac:dyDescent="0.25"/>
    <row r="137677" s="12" customFormat="1" x14ac:dyDescent="0.25"/>
    <row r="137678" s="12" customFormat="1" x14ac:dyDescent="0.25"/>
    <row r="137679" s="12" customFormat="1" x14ac:dyDescent="0.25"/>
    <row r="137680" s="12" customFormat="1" x14ac:dyDescent="0.25"/>
    <row r="137681" s="12" customFormat="1" x14ac:dyDescent="0.25"/>
    <row r="137682" s="12" customFormat="1" x14ac:dyDescent="0.25"/>
    <row r="137683" s="12" customFormat="1" x14ac:dyDescent="0.25"/>
    <row r="137684" s="12" customFormat="1" x14ac:dyDescent="0.25"/>
    <row r="137685" s="12" customFormat="1" x14ac:dyDescent="0.25"/>
    <row r="137686" s="12" customFormat="1" x14ac:dyDescent="0.25"/>
    <row r="137687" s="12" customFormat="1" x14ac:dyDescent="0.25"/>
    <row r="137688" s="12" customFormat="1" x14ac:dyDescent="0.25"/>
    <row r="137689" s="12" customFormat="1" x14ac:dyDescent="0.25"/>
    <row r="137690" s="12" customFormat="1" x14ac:dyDescent="0.25"/>
    <row r="137691" s="12" customFormat="1" x14ac:dyDescent="0.25"/>
    <row r="137692" s="12" customFormat="1" x14ac:dyDescent="0.25"/>
    <row r="137693" s="12" customFormat="1" x14ac:dyDescent="0.25"/>
    <row r="137694" s="12" customFormat="1" x14ac:dyDescent="0.25"/>
    <row r="137695" s="12" customFormat="1" x14ac:dyDescent="0.25"/>
    <row r="137696" s="12" customFormat="1" x14ac:dyDescent="0.25"/>
    <row r="137697" s="12" customFormat="1" x14ac:dyDescent="0.25"/>
    <row r="137698" s="12" customFormat="1" x14ac:dyDescent="0.25"/>
    <row r="137699" s="12" customFormat="1" x14ac:dyDescent="0.25"/>
    <row r="137700" s="12" customFormat="1" x14ac:dyDescent="0.25"/>
    <row r="137701" s="12" customFormat="1" x14ac:dyDescent="0.25"/>
    <row r="137702" s="12" customFormat="1" x14ac:dyDescent="0.25"/>
    <row r="137703" s="12" customFormat="1" x14ac:dyDescent="0.25"/>
    <row r="137704" s="12" customFormat="1" x14ac:dyDescent="0.25"/>
    <row r="137705" s="12" customFormat="1" x14ac:dyDescent="0.25"/>
    <row r="137706" s="12" customFormat="1" x14ac:dyDescent="0.25"/>
    <row r="137707" s="12" customFormat="1" x14ac:dyDescent="0.25"/>
    <row r="137708" s="12" customFormat="1" x14ac:dyDescent="0.25"/>
    <row r="137709" s="12" customFormat="1" x14ac:dyDescent="0.25"/>
    <row r="137710" s="12" customFormat="1" x14ac:dyDescent="0.25"/>
    <row r="137711" s="12" customFormat="1" x14ac:dyDescent="0.25"/>
    <row r="137712" s="12" customFormat="1" x14ac:dyDescent="0.25"/>
    <row r="137713" s="12" customFormat="1" x14ac:dyDescent="0.25"/>
    <row r="137714" s="12" customFormat="1" x14ac:dyDescent="0.25"/>
    <row r="137715" s="12" customFormat="1" x14ac:dyDescent="0.25"/>
    <row r="137716" s="12" customFormat="1" x14ac:dyDescent="0.25"/>
    <row r="137717" s="12" customFormat="1" x14ac:dyDescent="0.25"/>
    <row r="137718" s="12" customFormat="1" x14ac:dyDescent="0.25"/>
    <row r="137719" s="12" customFormat="1" x14ac:dyDescent="0.25"/>
    <row r="137720" s="12" customFormat="1" x14ac:dyDescent="0.25"/>
    <row r="137721" s="12" customFormat="1" x14ac:dyDescent="0.25"/>
    <row r="137722" s="12" customFormat="1" x14ac:dyDescent="0.25"/>
    <row r="137723" s="12" customFormat="1" x14ac:dyDescent="0.25"/>
    <row r="137724" s="12" customFormat="1" x14ac:dyDescent="0.25"/>
    <row r="137725" s="12" customFormat="1" x14ac:dyDescent="0.25"/>
    <row r="137726" s="12" customFormat="1" x14ac:dyDescent="0.25"/>
    <row r="137727" s="12" customFormat="1" x14ac:dyDescent="0.25"/>
    <row r="137728" s="12" customFormat="1" x14ac:dyDescent="0.25"/>
    <row r="137729" s="12" customFormat="1" x14ac:dyDescent="0.25"/>
    <row r="137730" s="12" customFormat="1" x14ac:dyDescent="0.25"/>
    <row r="137731" s="12" customFormat="1" x14ac:dyDescent="0.25"/>
    <row r="137732" s="12" customFormat="1" x14ac:dyDescent="0.25"/>
    <row r="137733" s="12" customFormat="1" x14ac:dyDescent="0.25"/>
    <row r="137734" s="12" customFormat="1" x14ac:dyDescent="0.25"/>
    <row r="137735" s="12" customFormat="1" x14ac:dyDescent="0.25"/>
    <row r="137736" s="12" customFormat="1" x14ac:dyDescent="0.25"/>
    <row r="137737" s="12" customFormat="1" x14ac:dyDescent="0.25"/>
    <row r="137738" s="12" customFormat="1" x14ac:dyDescent="0.25"/>
    <row r="137739" s="12" customFormat="1" x14ac:dyDescent="0.25"/>
    <row r="137740" s="12" customFormat="1" x14ac:dyDescent="0.25"/>
    <row r="137741" s="12" customFormat="1" x14ac:dyDescent="0.25"/>
    <row r="137742" s="12" customFormat="1" x14ac:dyDescent="0.25"/>
    <row r="137743" s="12" customFormat="1" x14ac:dyDescent="0.25"/>
    <row r="137744" s="12" customFormat="1" x14ac:dyDescent="0.25"/>
    <row r="137745" s="12" customFormat="1" x14ac:dyDescent="0.25"/>
    <row r="137746" s="12" customFormat="1" x14ac:dyDescent="0.25"/>
    <row r="137747" s="12" customFormat="1" x14ac:dyDescent="0.25"/>
    <row r="137748" s="12" customFormat="1" x14ac:dyDescent="0.25"/>
    <row r="137749" s="12" customFormat="1" x14ac:dyDescent="0.25"/>
    <row r="137750" s="12" customFormat="1" x14ac:dyDescent="0.25"/>
    <row r="137751" s="12" customFormat="1" x14ac:dyDescent="0.25"/>
    <row r="137752" s="12" customFormat="1" x14ac:dyDescent="0.25"/>
    <row r="137753" s="12" customFormat="1" x14ac:dyDescent="0.25"/>
    <row r="137754" s="12" customFormat="1" x14ac:dyDescent="0.25"/>
    <row r="137755" s="12" customFormat="1" x14ac:dyDescent="0.25"/>
    <row r="137756" s="12" customFormat="1" x14ac:dyDescent="0.25"/>
    <row r="137757" s="12" customFormat="1" x14ac:dyDescent="0.25"/>
    <row r="137758" s="12" customFormat="1" x14ac:dyDescent="0.25"/>
    <row r="137759" s="12" customFormat="1" x14ac:dyDescent="0.25"/>
    <row r="137760" s="12" customFormat="1" x14ac:dyDescent="0.25"/>
    <row r="137761" s="12" customFormat="1" x14ac:dyDescent="0.25"/>
    <row r="137762" s="12" customFormat="1" x14ac:dyDescent="0.25"/>
    <row r="137763" s="12" customFormat="1" x14ac:dyDescent="0.25"/>
    <row r="137764" s="12" customFormat="1" x14ac:dyDescent="0.25"/>
    <row r="137765" s="12" customFormat="1" x14ac:dyDescent="0.25"/>
    <row r="137766" s="12" customFormat="1" x14ac:dyDescent="0.25"/>
    <row r="137767" s="12" customFormat="1" x14ac:dyDescent="0.25"/>
    <row r="137768" s="12" customFormat="1" x14ac:dyDescent="0.25"/>
    <row r="137769" s="12" customFormat="1" x14ac:dyDescent="0.25"/>
    <row r="137770" s="12" customFormat="1" x14ac:dyDescent="0.25"/>
    <row r="137771" s="12" customFormat="1" x14ac:dyDescent="0.25"/>
    <row r="137772" s="12" customFormat="1" x14ac:dyDescent="0.25"/>
    <row r="137773" s="12" customFormat="1" x14ac:dyDescent="0.25"/>
    <row r="137774" s="12" customFormat="1" x14ac:dyDescent="0.25"/>
    <row r="137775" s="12" customFormat="1" x14ac:dyDescent="0.25"/>
    <row r="137776" s="12" customFormat="1" x14ac:dyDescent="0.25"/>
    <row r="137777" s="12" customFormat="1" x14ac:dyDescent="0.25"/>
    <row r="137778" s="12" customFormat="1" x14ac:dyDescent="0.25"/>
    <row r="137779" s="12" customFormat="1" x14ac:dyDescent="0.25"/>
    <row r="137780" s="12" customFormat="1" x14ac:dyDescent="0.25"/>
    <row r="137781" s="12" customFormat="1" x14ac:dyDescent="0.25"/>
    <row r="137782" s="12" customFormat="1" x14ac:dyDescent="0.25"/>
    <row r="137783" s="12" customFormat="1" x14ac:dyDescent="0.25"/>
    <row r="137784" s="12" customFormat="1" x14ac:dyDescent="0.25"/>
    <row r="137785" s="12" customFormat="1" x14ac:dyDescent="0.25"/>
    <row r="137786" s="12" customFormat="1" x14ac:dyDescent="0.25"/>
    <row r="137787" s="12" customFormat="1" x14ac:dyDescent="0.25"/>
    <row r="137788" s="12" customFormat="1" x14ac:dyDescent="0.25"/>
    <row r="137789" s="12" customFormat="1" x14ac:dyDescent="0.25"/>
    <row r="137790" s="12" customFormat="1" x14ac:dyDescent="0.25"/>
    <row r="137791" s="12" customFormat="1" x14ac:dyDescent="0.25"/>
    <row r="137792" s="12" customFormat="1" x14ac:dyDescent="0.25"/>
    <row r="137793" s="12" customFormat="1" x14ac:dyDescent="0.25"/>
    <row r="137794" s="12" customFormat="1" x14ac:dyDescent="0.25"/>
    <row r="137795" s="12" customFormat="1" x14ac:dyDescent="0.25"/>
    <row r="137796" s="12" customFormat="1" x14ac:dyDescent="0.25"/>
    <row r="137797" s="12" customFormat="1" x14ac:dyDescent="0.25"/>
    <row r="137798" s="12" customFormat="1" x14ac:dyDescent="0.25"/>
    <row r="137799" s="12" customFormat="1" x14ac:dyDescent="0.25"/>
    <row r="137800" s="12" customFormat="1" x14ac:dyDescent="0.25"/>
    <row r="137801" s="12" customFormat="1" x14ac:dyDescent="0.25"/>
    <row r="137802" s="12" customFormat="1" x14ac:dyDescent="0.25"/>
    <row r="137803" s="12" customFormat="1" x14ac:dyDescent="0.25"/>
    <row r="137804" s="12" customFormat="1" x14ac:dyDescent="0.25"/>
    <row r="137805" s="12" customFormat="1" x14ac:dyDescent="0.25"/>
    <row r="137806" s="12" customFormat="1" x14ac:dyDescent="0.25"/>
    <row r="137807" s="12" customFormat="1" x14ac:dyDescent="0.25"/>
    <row r="137808" s="12" customFormat="1" x14ac:dyDescent="0.25"/>
    <row r="137809" s="12" customFormat="1" x14ac:dyDescent="0.25"/>
    <row r="137810" s="12" customFormat="1" x14ac:dyDescent="0.25"/>
    <row r="137811" s="12" customFormat="1" x14ac:dyDescent="0.25"/>
    <row r="137812" s="12" customFormat="1" x14ac:dyDescent="0.25"/>
    <row r="137813" s="12" customFormat="1" x14ac:dyDescent="0.25"/>
    <row r="137814" s="12" customFormat="1" x14ac:dyDescent="0.25"/>
    <row r="137815" s="12" customFormat="1" x14ac:dyDescent="0.25"/>
    <row r="137816" s="12" customFormat="1" x14ac:dyDescent="0.25"/>
    <row r="137817" s="12" customFormat="1" x14ac:dyDescent="0.25"/>
    <row r="137818" s="12" customFormat="1" x14ac:dyDescent="0.25"/>
    <row r="137819" s="12" customFormat="1" x14ac:dyDescent="0.25"/>
    <row r="137820" s="12" customFormat="1" x14ac:dyDescent="0.25"/>
    <row r="137821" s="12" customFormat="1" x14ac:dyDescent="0.25"/>
    <row r="137822" s="12" customFormat="1" x14ac:dyDescent="0.25"/>
    <row r="137823" s="12" customFormat="1" x14ac:dyDescent="0.25"/>
    <row r="137824" s="12" customFormat="1" x14ac:dyDescent="0.25"/>
    <row r="137825" s="12" customFormat="1" x14ac:dyDescent="0.25"/>
    <row r="137826" s="12" customFormat="1" x14ac:dyDescent="0.25"/>
    <row r="137827" s="12" customFormat="1" x14ac:dyDescent="0.25"/>
    <row r="137828" s="12" customFormat="1" x14ac:dyDescent="0.25"/>
    <row r="137829" s="12" customFormat="1" x14ac:dyDescent="0.25"/>
    <row r="137830" s="12" customFormat="1" x14ac:dyDescent="0.25"/>
    <row r="137831" s="12" customFormat="1" x14ac:dyDescent="0.25"/>
    <row r="137832" s="12" customFormat="1" x14ac:dyDescent="0.25"/>
    <row r="137833" s="12" customFormat="1" x14ac:dyDescent="0.25"/>
    <row r="137834" s="12" customFormat="1" x14ac:dyDescent="0.25"/>
    <row r="137835" s="12" customFormat="1" x14ac:dyDescent="0.25"/>
    <row r="137836" s="12" customFormat="1" x14ac:dyDescent="0.25"/>
    <row r="137837" s="12" customFormat="1" x14ac:dyDescent="0.25"/>
    <row r="137838" s="12" customFormat="1" x14ac:dyDescent="0.25"/>
    <row r="137839" s="12" customFormat="1" x14ac:dyDescent="0.25"/>
    <row r="137840" s="12" customFormat="1" x14ac:dyDescent="0.25"/>
    <row r="137841" s="12" customFormat="1" x14ac:dyDescent="0.25"/>
    <row r="137842" s="12" customFormat="1" x14ac:dyDescent="0.25"/>
    <row r="137843" s="12" customFormat="1" x14ac:dyDescent="0.25"/>
    <row r="137844" s="12" customFormat="1" x14ac:dyDescent="0.25"/>
    <row r="137845" s="12" customFormat="1" x14ac:dyDescent="0.25"/>
    <row r="137846" s="12" customFormat="1" x14ac:dyDescent="0.25"/>
    <row r="137847" s="12" customFormat="1" x14ac:dyDescent="0.25"/>
    <row r="137848" s="12" customFormat="1" x14ac:dyDescent="0.25"/>
    <row r="137849" s="12" customFormat="1" x14ac:dyDescent="0.25"/>
    <row r="137850" s="12" customFormat="1" x14ac:dyDescent="0.25"/>
    <row r="137851" s="12" customFormat="1" x14ac:dyDescent="0.25"/>
    <row r="137852" s="12" customFormat="1" x14ac:dyDescent="0.25"/>
    <row r="137853" s="12" customFormat="1" x14ac:dyDescent="0.25"/>
    <row r="137854" s="12" customFormat="1" x14ac:dyDescent="0.25"/>
    <row r="137855" s="12" customFormat="1" x14ac:dyDescent="0.25"/>
    <row r="137856" s="12" customFormat="1" x14ac:dyDescent="0.25"/>
    <row r="137857" s="12" customFormat="1" x14ac:dyDescent="0.25"/>
    <row r="137858" s="12" customFormat="1" x14ac:dyDescent="0.25"/>
    <row r="137859" s="12" customFormat="1" x14ac:dyDescent="0.25"/>
    <row r="137860" s="12" customFormat="1" x14ac:dyDescent="0.25"/>
    <row r="137861" s="12" customFormat="1" x14ac:dyDescent="0.25"/>
    <row r="137862" s="12" customFormat="1" x14ac:dyDescent="0.25"/>
    <row r="137863" s="12" customFormat="1" x14ac:dyDescent="0.25"/>
    <row r="137864" s="12" customFormat="1" x14ac:dyDescent="0.25"/>
    <row r="137865" s="12" customFormat="1" x14ac:dyDescent="0.25"/>
    <row r="137866" s="12" customFormat="1" x14ac:dyDescent="0.25"/>
    <row r="137867" s="12" customFormat="1" x14ac:dyDescent="0.25"/>
    <row r="137868" s="12" customFormat="1" x14ac:dyDescent="0.25"/>
    <row r="137869" s="12" customFormat="1" x14ac:dyDescent="0.25"/>
    <row r="137870" s="12" customFormat="1" x14ac:dyDescent="0.25"/>
    <row r="137871" s="12" customFormat="1" x14ac:dyDescent="0.25"/>
    <row r="137872" s="12" customFormat="1" x14ac:dyDescent="0.25"/>
    <row r="137873" s="12" customFormat="1" x14ac:dyDescent="0.25"/>
    <row r="137874" s="12" customFormat="1" x14ac:dyDescent="0.25"/>
    <row r="137875" s="12" customFormat="1" x14ac:dyDescent="0.25"/>
    <row r="137876" s="12" customFormat="1" x14ac:dyDescent="0.25"/>
    <row r="137877" s="12" customFormat="1" x14ac:dyDescent="0.25"/>
    <row r="137878" s="12" customFormat="1" x14ac:dyDescent="0.25"/>
    <row r="137879" s="12" customFormat="1" x14ac:dyDescent="0.25"/>
    <row r="137880" s="12" customFormat="1" x14ac:dyDescent="0.25"/>
    <row r="137881" s="12" customFormat="1" x14ac:dyDescent="0.25"/>
    <row r="137882" s="12" customFormat="1" x14ac:dyDescent="0.25"/>
    <row r="137883" s="12" customFormat="1" x14ac:dyDescent="0.25"/>
    <row r="137884" s="12" customFormat="1" x14ac:dyDescent="0.25"/>
    <row r="137885" s="12" customFormat="1" x14ac:dyDescent="0.25"/>
    <row r="137886" s="12" customFormat="1" x14ac:dyDescent="0.25"/>
    <row r="137887" s="12" customFormat="1" x14ac:dyDescent="0.25"/>
    <row r="137888" s="12" customFormat="1" x14ac:dyDescent="0.25"/>
    <row r="137889" s="12" customFormat="1" x14ac:dyDescent="0.25"/>
    <row r="137890" s="12" customFormat="1" x14ac:dyDescent="0.25"/>
    <row r="137891" s="12" customFormat="1" x14ac:dyDescent="0.25"/>
    <row r="137892" s="12" customFormat="1" x14ac:dyDescent="0.25"/>
    <row r="137893" s="12" customFormat="1" x14ac:dyDescent="0.25"/>
    <row r="137894" s="12" customFormat="1" x14ac:dyDescent="0.25"/>
    <row r="137895" s="12" customFormat="1" x14ac:dyDescent="0.25"/>
    <row r="137896" s="12" customFormat="1" x14ac:dyDescent="0.25"/>
    <row r="137897" s="12" customFormat="1" x14ac:dyDescent="0.25"/>
    <row r="137898" s="12" customFormat="1" x14ac:dyDescent="0.25"/>
    <row r="137899" s="12" customFormat="1" x14ac:dyDescent="0.25"/>
    <row r="137900" s="12" customFormat="1" x14ac:dyDescent="0.25"/>
    <row r="137901" s="12" customFormat="1" x14ac:dyDescent="0.25"/>
    <row r="137902" s="12" customFormat="1" x14ac:dyDescent="0.25"/>
    <row r="137903" s="12" customFormat="1" x14ac:dyDescent="0.25"/>
    <row r="137904" s="12" customFormat="1" x14ac:dyDescent="0.25"/>
    <row r="137905" s="12" customFormat="1" x14ac:dyDescent="0.25"/>
    <row r="137906" s="12" customFormat="1" x14ac:dyDescent="0.25"/>
    <row r="137907" s="12" customFormat="1" x14ac:dyDescent="0.25"/>
    <row r="137908" s="12" customFormat="1" x14ac:dyDescent="0.25"/>
    <row r="137909" s="12" customFormat="1" x14ac:dyDescent="0.25"/>
    <row r="137910" s="12" customFormat="1" x14ac:dyDescent="0.25"/>
    <row r="137911" s="12" customFormat="1" x14ac:dyDescent="0.25"/>
    <row r="137912" s="12" customFormat="1" x14ac:dyDescent="0.25"/>
    <row r="137913" s="12" customFormat="1" x14ac:dyDescent="0.25"/>
    <row r="137914" s="12" customFormat="1" x14ac:dyDescent="0.25"/>
    <row r="137915" s="12" customFormat="1" x14ac:dyDescent="0.25"/>
    <row r="137916" s="12" customFormat="1" x14ac:dyDescent="0.25"/>
    <row r="137917" s="12" customFormat="1" x14ac:dyDescent="0.25"/>
    <row r="137918" s="12" customFormat="1" x14ac:dyDescent="0.25"/>
    <row r="137919" s="12" customFormat="1" x14ac:dyDescent="0.25"/>
    <row r="137920" s="12" customFormat="1" x14ac:dyDescent="0.25"/>
    <row r="137921" s="12" customFormat="1" x14ac:dyDescent="0.25"/>
    <row r="137922" s="12" customFormat="1" x14ac:dyDescent="0.25"/>
    <row r="137923" s="12" customFormat="1" x14ac:dyDescent="0.25"/>
    <row r="137924" s="12" customFormat="1" x14ac:dyDescent="0.25"/>
    <row r="137925" s="12" customFormat="1" x14ac:dyDescent="0.25"/>
    <row r="137926" s="12" customFormat="1" x14ac:dyDescent="0.25"/>
    <row r="137927" s="12" customFormat="1" x14ac:dyDescent="0.25"/>
    <row r="137928" s="12" customFormat="1" x14ac:dyDescent="0.25"/>
    <row r="137929" s="12" customFormat="1" x14ac:dyDescent="0.25"/>
    <row r="137930" s="12" customFormat="1" x14ac:dyDescent="0.25"/>
    <row r="137931" s="12" customFormat="1" x14ac:dyDescent="0.25"/>
    <row r="137932" s="12" customFormat="1" x14ac:dyDescent="0.25"/>
    <row r="137933" s="12" customFormat="1" x14ac:dyDescent="0.25"/>
    <row r="137934" s="12" customFormat="1" x14ac:dyDescent="0.25"/>
    <row r="137935" s="12" customFormat="1" x14ac:dyDescent="0.25"/>
    <row r="137936" s="12" customFormat="1" x14ac:dyDescent="0.25"/>
    <row r="137937" s="12" customFormat="1" x14ac:dyDescent="0.25"/>
    <row r="137938" s="12" customFormat="1" x14ac:dyDescent="0.25"/>
    <row r="137939" s="12" customFormat="1" x14ac:dyDescent="0.25"/>
    <row r="137940" s="12" customFormat="1" x14ac:dyDescent="0.25"/>
    <row r="137941" s="12" customFormat="1" x14ac:dyDescent="0.25"/>
    <row r="137942" s="12" customFormat="1" x14ac:dyDescent="0.25"/>
    <row r="137943" s="12" customFormat="1" x14ac:dyDescent="0.25"/>
    <row r="137944" s="12" customFormat="1" x14ac:dyDescent="0.25"/>
    <row r="137945" s="12" customFormat="1" x14ac:dyDescent="0.25"/>
    <row r="137946" s="12" customFormat="1" x14ac:dyDescent="0.25"/>
    <row r="137947" s="12" customFormat="1" x14ac:dyDescent="0.25"/>
    <row r="137948" s="12" customFormat="1" x14ac:dyDescent="0.25"/>
    <row r="137949" s="12" customFormat="1" x14ac:dyDescent="0.25"/>
    <row r="137950" s="12" customFormat="1" x14ac:dyDescent="0.25"/>
    <row r="137951" s="12" customFormat="1" x14ac:dyDescent="0.25"/>
    <row r="137952" s="12" customFormat="1" x14ac:dyDescent="0.25"/>
    <row r="137953" s="12" customFormat="1" x14ac:dyDescent="0.25"/>
    <row r="137954" s="12" customFormat="1" x14ac:dyDescent="0.25"/>
    <row r="137955" s="12" customFormat="1" x14ac:dyDescent="0.25"/>
    <row r="137956" s="12" customFormat="1" x14ac:dyDescent="0.25"/>
    <row r="137957" s="12" customFormat="1" x14ac:dyDescent="0.25"/>
    <row r="137958" s="12" customFormat="1" x14ac:dyDescent="0.25"/>
    <row r="137959" s="12" customFormat="1" x14ac:dyDescent="0.25"/>
    <row r="137960" s="12" customFormat="1" x14ac:dyDescent="0.25"/>
    <row r="137961" s="12" customFormat="1" x14ac:dyDescent="0.25"/>
    <row r="137962" s="12" customFormat="1" x14ac:dyDescent="0.25"/>
    <row r="137963" s="12" customFormat="1" x14ac:dyDescent="0.25"/>
    <row r="137964" s="12" customFormat="1" x14ac:dyDescent="0.25"/>
    <row r="137965" s="12" customFormat="1" x14ac:dyDescent="0.25"/>
    <row r="137966" s="12" customFormat="1" x14ac:dyDescent="0.25"/>
    <row r="137967" s="12" customFormat="1" x14ac:dyDescent="0.25"/>
    <row r="137968" s="12" customFormat="1" x14ac:dyDescent="0.25"/>
    <row r="137969" s="12" customFormat="1" x14ac:dyDescent="0.25"/>
    <row r="137970" s="12" customFormat="1" x14ac:dyDescent="0.25"/>
    <row r="137971" s="12" customFormat="1" x14ac:dyDescent="0.25"/>
    <row r="137972" s="12" customFormat="1" x14ac:dyDescent="0.25"/>
    <row r="137973" s="12" customFormat="1" x14ac:dyDescent="0.25"/>
    <row r="137974" s="12" customFormat="1" x14ac:dyDescent="0.25"/>
    <row r="137975" s="12" customFormat="1" x14ac:dyDescent="0.25"/>
    <row r="137976" s="12" customFormat="1" x14ac:dyDescent="0.25"/>
    <row r="137977" s="12" customFormat="1" x14ac:dyDescent="0.25"/>
    <row r="137978" s="12" customFormat="1" x14ac:dyDescent="0.25"/>
    <row r="137979" s="12" customFormat="1" x14ac:dyDescent="0.25"/>
    <row r="137980" s="12" customFormat="1" x14ac:dyDescent="0.25"/>
    <row r="137981" s="12" customFormat="1" x14ac:dyDescent="0.25"/>
    <row r="137982" s="12" customFormat="1" x14ac:dyDescent="0.25"/>
    <row r="137983" s="12" customFormat="1" x14ac:dyDescent="0.25"/>
    <row r="137984" s="12" customFormat="1" x14ac:dyDescent="0.25"/>
    <row r="137985" s="12" customFormat="1" x14ac:dyDescent="0.25"/>
    <row r="137986" s="12" customFormat="1" x14ac:dyDescent="0.25"/>
    <row r="137987" s="12" customFormat="1" x14ac:dyDescent="0.25"/>
    <row r="137988" s="12" customFormat="1" x14ac:dyDescent="0.25"/>
    <row r="137989" s="12" customFormat="1" x14ac:dyDescent="0.25"/>
    <row r="137990" s="12" customFormat="1" x14ac:dyDescent="0.25"/>
    <row r="137991" s="12" customFormat="1" x14ac:dyDescent="0.25"/>
    <row r="137992" s="12" customFormat="1" x14ac:dyDescent="0.25"/>
    <row r="137993" s="12" customFormat="1" x14ac:dyDescent="0.25"/>
    <row r="137994" s="12" customFormat="1" x14ac:dyDescent="0.25"/>
    <row r="137995" s="12" customFormat="1" x14ac:dyDescent="0.25"/>
    <row r="137996" s="12" customFormat="1" x14ac:dyDescent="0.25"/>
    <row r="137997" s="12" customFormat="1" x14ac:dyDescent="0.25"/>
    <row r="137998" s="12" customFormat="1" x14ac:dyDescent="0.25"/>
    <row r="137999" s="12" customFormat="1" x14ac:dyDescent="0.25"/>
    <row r="138000" s="12" customFormat="1" x14ac:dyDescent="0.25"/>
    <row r="138001" s="12" customFormat="1" x14ac:dyDescent="0.25"/>
    <row r="138002" s="12" customFormat="1" x14ac:dyDescent="0.25"/>
    <row r="138003" s="12" customFormat="1" x14ac:dyDescent="0.25"/>
    <row r="138004" s="12" customFormat="1" x14ac:dyDescent="0.25"/>
    <row r="138005" s="12" customFormat="1" x14ac:dyDescent="0.25"/>
    <row r="138006" s="12" customFormat="1" x14ac:dyDescent="0.25"/>
    <row r="138007" s="12" customFormat="1" x14ac:dyDescent="0.25"/>
    <row r="138008" s="12" customFormat="1" x14ac:dyDescent="0.25"/>
    <row r="138009" s="12" customFormat="1" x14ac:dyDescent="0.25"/>
    <row r="138010" s="12" customFormat="1" x14ac:dyDescent="0.25"/>
    <row r="138011" s="12" customFormat="1" x14ac:dyDescent="0.25"/>
    <row r="138012" s="12" customFormat="1" x14ac:dyDescent="0.25"/>
    <row r="138013" s="12" customFormat="1" x14ac:dyDescent="0.25"/>
    <row r="138014" s="12" customFormat="1" x14ac:dyDescent="0.25"/>
    <row r="138015" s="12" customFormat="1" x14ac:dyDescent="0.25"/>
    <row r="138016" s="12" customFormat="1" x14ac:dyDescent="0.25"/>
    <row r="138017" s="12" customFormat="1" x14ac:dyDescent="0.25"/>
    <row r="138018" s="12" customFormat="1" x14ac:dyDescent="0.25"/>
    <row r="138019" s="12" customFormat="1" x14ac:dyDescent="0.25"/>
    <row r="138020" s="12" customFormat="1" x14ac:dyDescent="0.25"/>
    <row r="138021" s="12" customFormat="1" x14ac:dyDescent="0.25"/>
    <row r="138022" s="12" customFormat="1" x14ac:dyDescent="0.25"/>
    <row r="138023" s="12" customFormat="1" x14ac:dyDescent="0.25"/>
    <row r="138024" s="12" customFormat="1" x14ac:dyDescent="0.25"/>
    <row r="138025" s="12" customFormat="1" x14ac:dyDescent="0.25"/>
    <row r="138026" s="12" customFormat="1" x14ac:dyDescent="0.25"/>
    <row r="138027" s="12" customFormat="1" x14ac:dyDescent="0.25"/>
    <row r="138028" s="12" customFormat="1" x14ac:dyDescent="0.25"/>
    <row r="138029" s="12" customFormat="1" x14ac:dyDescent="0.25"/>
    <row r="138030" s="12" customFormat="1" x14ac:dyDescent="0.25"/>
    <row r="138031" s="12" customFormat="1" x14ac:dyDescent="0.25"/>
    <row r="138032" s="12" customFormat="1" x14ac:dyDescent="0.25"/>
    <row r="138033" s="12" customFormat="1" x14ac:dyDescent="0.25"/>
    <row r="138034" s="12" customFormat="1" x14ac:dyDescent="0.25"/>
    <row r="138035" s="12" customFormat="1" x14ac:dyDescent="0.25"/>
    <row r="138036" s="12" customFormat="1" x14ac:dyDescent="0.25"/>
    <row r="138037" s="12" customFormat="1" x14ac:dyDescent="0.25"/>
    <row r="138038" s="12" customFormat="1" x14ac:dyDescent="0.25"/>
    <row r="138039" s="12" customFormat="1" x14ac:dyDescent="0.25"/>
    <row r="138040" s="12" customFormat="1" x14ac:dyDescent="0.25"/>
    <row r="138041" s="12" customFormat="1" x14ac:dyDescent="0.25"/>
    <row r="138042" s="12" customFormat="1" x14ac:dyDescent="0.25"/>
    <row r="138043" s="12" customFormat="1" x14ac:dyDescent="0.25"/>
    <row r="138044" s="12" customFormat="1" x14ac:dyDescent="0.25"/>
    <row r="138045" s="12" customFormat="1" x14ac:dyDescent="0.25"/>
    <row r="138046" s="12" customFormat="1" x14ac:dyDescent="0.25"/>
    <row r="138047" s="12" customFormat="1" x14ac:dyDescent="0.25"/>
    <row r="138048" s="12" customFormat="1" x14ac:dyDescent="0.25"/>
    <row r="138049" s="12" customFormat="1" x14ac:dyDescent="0.25"/>
    <row r="138050" s="12" customFormat="1" x14ac:dyDescent="0.25"/>
    <row r="138051" s="12" customFormat="1" x14ac:dyDescent="0.25"/>
    <row r="138052" s="12" customFormat="1" x14ac:dyDescent="0.25"/>
    <row r="138053" s="12" customFormat="1" x14ac:dyDescent="0.25"/>
    <row r="138054" s="12" customFormat="1" x14ac:dyDescent="0.25"/>
    <row r="138055" s="12" customFormat="1" x14ac:dyDescent="0.25"/>
    <row r="138056" s="12" customFormat="1" x14ac:dyDescent="0.25"/>
    <row r="138057" s="12" customFormat="1" x14ac:dyDescent="0.25"/>
    <row r="138058" s="12" customFormat="1" x14ac:dyDescent="0.25"/>
    <row r="138059" s="12" customFormat="1" x14ac:dyDescent="0.25"/>
    <row r="138060" s="12" customFormat="1" x14ac:dyDescent="0.25"/>
    <row r="138061" s="12" customFormat="1" x14ac:dyDescent="0.25"/>
    <row r="138062" s="12" customFormat="1" x14ac:dyDescent="0.25"/>
    <row r="138063" s="12" customFormat="1" x14ac:dyDescent="0.25"/>
    <row r="138064" s="12" customFormat="1" x14ac:dyDescent="0.25"/>
    <row r="138065" s="12" customFormat="1" x14ac:dyDescent="0.25"/>
    <row r="138066" s="12" customFormat="1" x14ac:dyDescent="0.25"/>
    <row r="138067" s="12" customFormat="1" x14ac:dyDescent="0.25"/>
    <row r="138068" s="12" customFormat="1" x14ac:dyDescent="0.25"/>
    <row r="138069" s="12" customFormat="1" x14ac:dyDescent="0.25"/>
    <row r="138070" s="12" customFormat="1" x14ac:dyDescent="0.25"/>
    <row r="138071" s="12" customFormat="1" x14ac:dyDescent="0.25"/>
    <row r="138072" s="12" customFormat="1" x14ac:dyDescent="0.25"/>
    <row r="138073" s="12" customFormat="1" x14ac:dyDescent="0.25"/>
    <row r="138074" s="12" customFormat="1" x14ac:dyDescent="0.25"/>
    <row r="138075" s="12" customFormat="1" x14ac:dyDescent="0.25"/>
    <row r="138076" s="12" customFormat="1" x14ac:dyDescent="0.25"/>
    <row r="138077" s="12" customFormat="1" x14ac:dyDescent="0.25"/>
    <row r="138078" s="12" customFormat="1" x14ac:dyDescent="0.25"/>
    <row r="138079" s="12" customFormat="1" x14ac:dyDescent="0.25"/>
    <row r="138080" s="12" customFormat="1" x14ac:dyDescent="0.25"/>
    <row r="138081" s="12" customFormat="1" x14ac:dyDescent="0.25"/>
    <row r="138082" s="12" customFormat="1" x14ac:dyDescent="0.25"/>
    <row r="138083" s="12" customFormat="1" x14ac:dyDescent="0.25"/>
    <row r="138084" s="12" customFormat="1" x14ac:dyDescent="0.25"/>
    <row r="138085" s="12" customFormat="1" x14ac:dyDescent="0.25"/>
    <row r="138086" s="12" customFormat="1" x14ac:dyDescent="0.25"/>
    <row r="138087" s="12" customFormat="1" x14ac:dyDescent="0.25"/>
    <row r="138088" s="12" customFormat="1" x14ac:dyDescent="0.25"/>
    <row r="138089" s="12" customFormat="1" x14ac:dyDescent="0.25"/>
    <row r="138090" s="12" customFormat="1" x14ac:dyDescent="0.25"/>
    <row r="138091" s="12" customFormat="1" x14ac:dyDescent="0.25"/>
    <row r="138092" s="12" customFormat="1" x14ac:dyDescent="0.25"/>
    <row r="138093" s="12" customFormat="1" x14ac:dyDescent="0.25"/>
    <row r="138094" s="12" customFormat="1" x14ac:dyDescent="0.25"/>
    <row r="138095" s="12" customFormat="1" x14ac:dyDescent="0.25"/>
    <row r="138096" s="12" customFormat="1" x14ac:dyDescent="0.25"/>
    <row r="138097" s="12" customFormat="1" x14ac:dyDescent="0.25"/>
    <row r="138098" s="12" customFormat="1" x14ac:dyDescent="0.25"/>
    <row r="138099" s="12" customFormat="1" x14ac:dyDescent="0.25"/>
    <row r="138100" s="12" customFormat="1" x14ac:dyDescent="0.25"/>
    <row r="138101" s="12" customFormat="1" x14ac:dyDescent="0.25"/>
    <row r="138102" s="12" customFormat="1" x14ac:dyDescent="0.25"/>
    <row r="138103" s="12" customFormat="1" x14ac:dyDescent="0.25"/>
    <row r="138104" s="12" customFormat="1" x14ac:dyDescent="0.25"/>
    <row r="138105" s="12" customFormat="1" x14ac:dyDescent="0.25"/>
    <row r="138106" s="12" customFormat="1" x14ac:dyDescent="0.25"/>
    <row r="138107" s="12" customFormat="1" x14ac:dyDescent="0.25"/>
    <row r="138108" s="12" customFormat="1" x14ac:dyDescent="0.25"/>
    <row r="138109" s="12" customFormat="1" x14ac:dyDescent="0.25"/>
    <row r="138110" s="12" customFormat="1" x14ac:dyDescent="0.25"/>
    <row r="138111" s="12" customFormat="1" x14ac:dyDescent="0.25"/>
    <row r="138112" s="12" customFormat="1" x14ac:dyDescent="0.25"/>
    <row r="138113" s="12" customFormat="1" x14ac:dyDescent="0.25"/>
    <row r="138114" s="12" customFormat="1" x14ac:dyDescent="0.25"/>
    <row r="138115" s="12" customFormat="1" x14ac:dyDescent="0.25"/>
    <row r="138116" s="12" customFormat="1" x14ac:dyDescent="0.25"/>
    <row r="138117" s="12" customFormat="1" x14ac:dyDescent="0.25"/>
    <row r="138118" s="12" customFormat="1" x14ac:dyDescent="0.25"/>
    <row r="138119" s="12" customFormat="1" x14ac:dyDescent="0.25"/>
    <row r="138120" s="12" customFormat="1" x14ac:dyDescent="0.25"/>
    <row r="138121" s="12" customFormat="1" x14ac:dyDescent="0.25"/>
    <row r="138122" s="12" customFormat="1" x14ac:dyDescent="0.25"/>
    <row r="138123" s="12" customFormat="1" x14ac:dyDescent="0.25"/>
    <row r="138124" s="12" customFormat="1" x14ac:dyDescent="0.25"/>
    <row r="138125" s="12" customFormat="1" x14ac:dyDescent="0.25"/>
    <row r="138126" s="12" customFormat="1" x14ac:dyDescent="0.25"/>
    <row r="138127" s="12" customFormat="1" x14ac:dyDescent="0.25"/>
    <row r="138128" s="12" customFormat="1" x14ac:dyDescent="0.25"/>
    <row r="138129" s="12" customFormat="1" x14ac:dyDescent="0.25"/>
    <row r="138130" s="12" customFormat="1" x14ac:dyDescent="0.25"/>
    <row r="138131" s="12" customFormat="1" x14ac:dyDescent="0.25"/>
    <row r="138132" s="12" customFormat="1" x14ac:dyDescent="0.25"/>
    <row r="138133" s="12" customFormat="1" x14ac:dyDescent="0.25"/>
    <row r="138134" s="12" customFormat="1" x14ac:dyDescent="0.25"/>
    <row r="138135" s="12" customFormat="1" x14ac:dyDescent="0.25"/>
    <row r="138136" s="12" customFormat="1" x14ac:dyDescent="0.25"/>
    <row r="138137" s="12" customFormat="1" x14ac:dyDescent="0.25"/>
    <row r="138138" s="12" customFormat="1" x14ac:dyDescent="0.25"/>
    <row r="138139" s="12" customFormat="1" x14ac:dyDescent="0.25"/>
    <row r="138140" s="12" customFormat="1" x14ac:dyDescent="0.25"/>
    <row r="138141" s="12" customFormat="1" x14ac:dyDescent="0.25"/>
    <row r="138142" s="12" customFormat="1" x14ac:dyDescent="0.25"/>
    <row r="138143" s="12" customFormat="1" x14ac:dyDescent="0.25"/>
    <row r="138144" s="12" customFormat="1" x14ac:dyDescent="0.25"/>
    <row r="138145" s="12" customFormat="1" x14ac:dyDescent="0.25"/>
    <row r="138146" s="12" customFormat="1" x14ac:dyDescent="0.25"/>
    <row r="138147" s="12" customFormat="1" x14ac:dyDescent="0.25"/>
    <row r="138148" s="12" customFormat="1" x14ac:dyDescent="0.25"/>
    <row r="138149" s="12" customFormat="1" x14ac:dyDescent="0.25"/>
    <row r="138150" s="12" customFormat="1" x14ac:dyDescent="0.25"/>
    <row r="138151" s="12" customFormat="1" x14ac:dyDescent="0.25"/>
    <row r="138152" s="12" customFormat="1" x14ac:dyDescent="0.25"/>
    <row r="138153" s="12" customFormat="1" x14ac:dyDescent="0.25"/>
    <row r="138154" s="12" customFormat="1" x14ac:dyDescent="0.25"/>
    <row r="138155" s="12" customFormat="1" x14ac:dyDescent="0.25"/>
    <row r="138156" s="12" customFormat="1" x14ac:dyDescent="0.25"/>
    <row r="138157" s="12" customFormat="1" x14ac:dyDescent="0.25"/>
    <row r="138158" s="12" customFormat="1" x14ac:dyDescent="0.25"/>
    <row r="138159" s="12" customFormat="1" x14ac:dyDescent="0.25"/>
    <row r="138160" s="12" customFormat="1" x14ac:dyDescent="0.25"/>
    <row r="138161" s="12" customFormat="1" x14ac:dyDescent="0.25"/>
    <row r="138162" s="12" customFormat="1" x14ac:dyDescent="0.25"/>
    <row r="138163" s="12" customFormat="1" x14ac:dyDescent="0.25"/>
    <row r="138164" s="12" customFormat="1" x14ac:dyDescent="0.25"/>
    <row r="138165" s="12" customFormat="1" x14ac:dyDescent="0.25"/>
    <row r="138166" s="12" customFormat="1" x14ac:dyDescent="0.25"/>
    <row r="138167" s="12" customFormat="1" x14ac:dyDescent="0.25"/>
    <row r="138168" s="12" customFormat="1" x14ac:dyDescent="0.25"/>
    <row r="138169" s="12" customFormat="1" x14ac:dyDescent="0.25"/>
    <row r="138170" s="12" customFormat="1" x14ac:dyDescent="0.25"/>
    <row r="138171" s="12" customFormat="1" x14ac:dyDescent="0.25"/>
    <row r="138172" s="12" customFormat="1" x14ac:dyDescent="0.25"/>
    <row r="138173" s="12" customFormat="1" x14ac:dyDescent="0.25"/>
    <row r="138174" s="12" customFormat="1" x14ac:dyDescent="0.25"/>
    <row r="138175" s="12" customFormat="1" x14ac:dyDescent="0.25"/>
    <row r="138176" s="12" customFormat="1" x14ac:dyDescent="0.25"/>
    <row r="138177" s="12" customFormat="1" x14ac:dyDescent="0.25"/>
    <row r="138178" s="12" customFormat="1" x14ac:dyDescent="0.25"/>
    <row r="138179" s="12" customFormat="1" x14ac:dyDescent="0.25"/>
    <row r="138180" s="12" customFormat="1" x14ac:dyDescent="0.25"/>
    <row r="138181" s="12" customFormat="1" x14ac:dyDescent="0.25"/>
    <row r="138182" s="12" customFormat="1" x14ac:dyDescent="0.25"/>
    <row r="138183" s="12" customFormat="1" x14ac:dyDescent="0.25"/>
    <row r="138184" s="12" customFormat="1" x14ac:dyDescent="0.25"/>
    <row r="138185" s="12" customFormat="1" x14ac:dyDescent="0.25"/>
    <row r="138186" s="12" customFormat="1" x14ac:dyDescent="0.25"/>
    <row r="138187" s="12" customFormat="1" x14ac:dyDescent="0.25"/>
    <row r="138188" s="12" customFormat="1" x14ac:dyDescent="0.25"/>
    <row r="138189" s="12" customFormat="1" x14ac:dyDescent="0.25"/>
    <row r="138190" s="12" customFormat="1" x14ac:dyDescent="0.25"/>
    <row r="138191" s="12" customFormat="1" x14ac:dyDescent="0.25"/>
    <row r="138192" s="12" customFormat="1" x14ac:dyDescent="0.25"/>
    <row r="138193" s="12" customFormat="1" x14ac:dyDescent="0.25"/>
    <row r="138194" s="12" customFormat="1" x14ac:dyDescent="0.25"/>
    <row r="138195" s="12" customFormat="1" x14ac:dyDescent="0.25"/>
    <row r="138196" s="12" customFormat="1" x14ac:dyDescent="0.25"/>
    <row r="138197" s="12" customFormat="1" x14ac:dyDescent="0.25"/>
    <row r="138198" s="12" customFormat="1" x14ac:dyDescent="0.25"/>
    <row r="138199" s="12" customFormat="1" x14ac:dyDescent="0.25"/>
    <row r="138200" s="12" customFormat="1" x14ac:dyDescent="0.25"/>
    <row r="138201" s="12" customFormat="1" x14ac:dyDescent="0.25"/>
    <row r="138202" s="12" customFormat="1" x14ac:dyDescent="0.25"/>
    <row r="138203" s="12" customFormat="1" x14ac:dyDescent="0.25"/>
    <row r="138204" s="12" customFormat="1" x14ac:dyDescent="0.25"/>
    <row r="138205" s="12" customFormat="1" x14ac:dyDescent="0.25"/>
    <row r="138206" s="12" customFormat="1" x14ac:dyDescent="0.25"/>
    <row r="138207" s="12" customFormat="1" x14ac:dyDescent="0.25"/>
    <row r="138208" s="12" customFormat="1" x14ac:dyDescent="0.25"/>
    <row r="138209" s="12" customFormat="1" x14ac:dyDescent="0.25"/>
    <row r="138210" s="12" customFormat="1" x14ac:dyDescent="0.25"/>
    <row r="138211" s="12" customFormat="1" x14ac:dyDescent="0.25"/>
    <row r="138212" s="12" customFormat="1" x14ac:dyDescent="0.25"/>
    <row r="138213" s="12" customFormat="1" x14ac:dyDescent="0.25"/>
    <row r="138214" s="12" customFormat="1" x14ac:dyDescent="0.25"/>
    <row r="138215" s="12" customFormat="1" x14ac:dyDescent="0.25"/>
    <row r="138216" s="12" customFormat="1" x14ac:dyDescent="0.25"/>
    <row r="138217" s="12" customFormat="1" x14ac:dyDescent="0.25"/>
    <row r="138218" s="12" customFormat="1" x14ac:dyDescent="0.25"/>
    <row r="138219" s="12" customFormat="1" x14ac:dyDescent="0.25"/>
    <row r="138220" s="12" customFormat="1" x14ac:dyDescent="0.25"/>
    <row r="138221" s="12" customFormat="1" x14ac:dyDescent="0.25"/>
    <row r="138222" s="12" customFormat="1" x14ac:dyDescent="0.25"/>
    <row r="138223" s="12" customFormat="1" x14ac:dyDescent="0.25"/>
    <row r="138224" s="12" customFormat="1" x14ac:dyDescent="0.25"/>
    <row r="138225" s="12" customFormat="1" x14ac:dyDescent="0.25"/>
    <row r="138226" s="12" customFormat="1" x14ac:dyDescent="0.25"/>
    <row r="138227" s="12" customFormat="1" x14ac:dyDescent="0.25"/>
    <row r="138228" s="12" customFormat="1" x14ac:dyDescent="0.25"/>
    <row r="138229" s="12" customFormat="1" x14ac:dyDescent="0.25"/>
    <row r="138230" s="12" customFormat="1" x14ac:dyDescent="0.25"/>
    <row r="138231" s="12" customFormat="1" x14ac:dyDescent="0.25"/>
    <row r="138232" s="12" customFormat="1" x14ac:dyDescent="0.25"/>
    <row r="138233" s="12" customFormat="1" x14ac:dyDescent="0.25"/>
    <row r="138234" s="12" customFormat="1" x14ac:dyDescent="0.25"/>
    <row r="138235" s="12" customFormat="1" x14ac:dyDescent="0.25"/>
    <row r="138236" s="12" customFormat="1" x14ac:dyDescent="0.25"/>
    <row r="138237" s="12" customFormat="1" x14ac:dyDescent="0.25"/>
    <row r="138238" s="12" customFormat="1" x14ac:dyDescent="0.25"/>
    <row r="138239" s="12" customFormat="1" x14ac:dyDescent="0.25"/>
    <row r="138240" s="12" customFormat="1" x14ac:dyDescent="0.25"/>
    <row r="138241" s="12" customFormat="1" x14ac:dyDescent="0.25"/>
    <row r="138242" s="12" customFormat="1" x14ac:dyDescent="0.25"/>
    <row r="138243" s="12" customFormat="1" x14ac:dyDescent="0.25"/>
    <row r="138244" s="12" customFormat="1" x14ac:dyDescent="0.25"/>
    <row r="138245" s="12" customFormat="1" x14ac:dyDescent="0.25"/>
    <row r="138246" s="12" customFormat="1" x14ac:dyDescent="0.25"/>
    <row r="138247" s="12" customFormat="1" x14ac:dyDescent="0.25"/>
    <row r="138248" s="12" customFormat="1" x14ac:dyDescent="0.25"/>
    <row r="138249" s="12" customFormat="1" x14ac:dyDescent="0.25"/>
    <row r="138250" s="12" customFormat="1" x14ac:dyDescent="0.25"/>
    <row r="138251" s="12" customFormat="1" x14ac:dyDescent="0.25"/>
    <row r="138252" s="12" customFormat="1" x14ac:dyDescent="0.25"/>
    <row r="138253" s="12" customFormat="1" x14ac:dyDescent="0.25"/>
    <row r="138254" s="12" customFormat="1" x14ac:dyDescent="0.25"/>
    <row r="138255" s="12" customFormat="1" x14ac:dyDescent="0.25"/>
    <row r="138256" s="12" customFormat="1" x14ac:dyDescent="0.25"/>
    <row r="138257" s="12" customFormat="1" x14ac:dyDescent="0.25"/>
    <row r="138258" s="12" customFormat="1" x14ac:dyDescent="0.25"/>
    <row r="138259" s="12" customFormat="1" x14ac:dyDescent="0.25"/>
    <row r="138260" s="12" customFormat="1" x14ac:dyDescent="0.25"/>
    <row r="138261" s="12" customFormat="1" x14ac:dyDescent="0.25"/>
    <row r="138262" s="12" customFormat="1" x14ac:dyDescent="0.25"/>
    <row r="138263" s="12" customFormat="1" x14ac:dyDescent="0.25"/>
    <row r="138264" s="12" customFormat="1" x14ac:dyDescent="0.25"/>
    <row r="138265" s="12" customFormat="1" x14ac:dyDescent="0.25"/>
    <row r="138266" s="12" customFormat="1" x14ac:dyDescent="0.25"/>
    <row r="138267" s="12" customFormat="1" x14ac:dyDescent="0.25"/>
    <row r="138268" s="12" customFormat="1" x14ac:dyDescent="0.25"/>
    <row r="138269" s="12" customFormat="1" x14ac:dyDescent="0.25"/>
    <row r="138270" s="12" customFormat="1" x14ac:dyDescent="0.25"/>
    <row r="138271" s="12" customFormat="1" x14ac:dyDescent="0.25"/>
    <row r="138272" s="12" customFormat="1" x14ac:dyDescent="0.25"/>
    <row r="138273" s="12" customFormat="1" x14ac:dyDescent="0.25"/>
    <row r="138274" s="12" customFormat="1" x14ac:dyDescent="0.25"/>
    <row r="138275" s="12" customFormat="1" x14ac:dyDescent="0.25"/>
    <row r="138276" s="12" customFormat="1" x14ac:dyDescent="0.25"/>
    <row r="138277" s="12" customFormat="1" x14ac:dyDescent="0.25"/>
    <row r="138278" s="12" customFormat="1" x14ac:dyDescent="0.25"/>
    <row r="138279" s="12" customFormat="1" x14ac:dyDescent="0.25"/>
    <row r="138280" s="12" customFormat="1" x14ac:dyDescent="0.25"/>
    <row r="138281" s="12" customFormat="1" x14ac:dyDescent="0.25"/>
    <row r="138282" s="12" customFormat="1" x14ac:dyDescent="0.25"/>
    <row r="138283" s="12" customFormat="1" x14ac:dyDescent="0.25"/>
    <row r="138284" s="12" customFormat="1" x14ac:dyDescent="0.25"/>
    <row r="138285" s="12" customFormat="1" x14ac:dyDescent="0.25"/>
    <row r="138286" s="12" customFormat="1" x14ac:dyDescent="0.25"/>
    <row r="138287" s="12" customFormat="1" x14ac:dyDescent="0.25"/>
    <row r="138288" s="12" customFormat="1" x14ac:dyDescent="0.25"/>
    <row r="138289" s="12" customFormat="1" x14ac:dyDescent="0.25"/>
    <row r="138290" s="12" customFormat="1" x14ac:dyDescent="0.25"/>
    <row r="138291" s="12" customFormat="1" x14ac:dyDescent="0.25"/>
    <row r="138292" s="12" customFormat="1" x14ac:dyDescent="0.25"/>
    <row r="138293" s="12" customFormat="1" x14ac:dyDescent="0.25"/>
    <row r="138294" s="12" customFormat="1" x14ac:dyDescent="0.25"/>
    <row r="138295" s="12" customFormat="1" x14ac:dyDescent="0.25"/>
    <row r="138296" s="12" customFormat="1" x14ac:dyDescent="0.25"/>
    <row r="138297" s="12" customFormat="1" x14ac:dyDescent="0.25"/>
    <row r="138298" s="12" customFormat="1" x14ac:dyDescent="0.25"/>
    <row r="138299" s="12" customFormat="1" x14ac:dyDescent="0.25"/>
    <row r="138300" s="12" customFormat="1" x14ac:dyDescent="0.25"/>
    <row r="138301" s="12" customFormat="1" x14ac:dyDescent="0.25"/>
    <row r="138302" s="12" customFormat="1" x14ac:dyDescent="0.25"/>
    <row r="138303" s="12" customFormat="1" x14ac:dyDescent="0.25"/>
    <row r="138304" s="12" customFormat="1" x14ac:dyDescent="0.25"/>
    <row r="138305" s="12" customFormat="1" x14ac:dyDescent="0.25"/>
    <row r="138306" s="12" customFormat="1" x14ac:dyDescent="0.25"/>
    <row r="138307" s="12" customFormat="1" x14ac:dyDescent="0.25"/>
    <row r="138308" s="12" customFormat="1" x14ac:dyDescent="0.25"/>
    <row r="138309" s="12" customFormat="1" x14ac:dyDescent="0.25"/>
    <row r="138310" s="12" customFormat="1" x14ac:dyDescent="0.25"/>
    <row r="138311" s="12" customFormat="1" x14ac:dyDescent="0.25"/>
    <row r="138312" s="12" customFormat="1" x14ac:dyDescent="0.25"/>
    <row r="138313" s="12" customFormat="1" x14ac:dyDescent="0.25"/>
    <row r="138314" s="12" customFormat="1" x14ac:dyDescent="0.25"/>
    <row r="138315" s="12" customFormat="1" x14ac:dyDescent="0.25"/>
    <row r="138316" s="12" customFormat="1" x14ac:dyDescent="0.25"/>
    <row r="138317" s="12" customFormat="1" x14ac:dyDescent="0.25"/>
    <row r="138318" s="12" customFormat="1" x14ac:dyDescent="0.25"/>
    <row r="138319" s="12" customFormat="1" x14ac:dyDescent="0.25"/>
    <row r="138320" s="12" customFormat="1" x14ac:dyDescent="0.25"/>
    <row r="138321" s="12" customFormat="1" x14ac:dyDescent="0.25"/>
    <row r="138322" s="12" customFormat="1" x14ac:dyDescent="0.25"/>
    <row r="138323" s="12" customFormat="1" x14ac:dyDescent="0.25"/>
    <row r="138324" s="12" customFormat="1" x14ac:dyDescent="0.25"/>
    <row r="138325" s="12" customFormat="1" x14ac:dyDescent="0.25"/>
    <row r="138326" s="12" customFormat="1" x14ac:dyDescent="0.25"/>
    <row r="138327" s="12" customFormat="1" x14ac:dyDescent="0.25"/>
    <row r="138328" s="12" customFormat="1" x14ac:dyDescent="0.25"/>
    <row r="138329" s="12" customFormat="1" x14ac:dyDescent="0.25"/>
    <row r="138330" s="12" customFormat="1" x14ac:dyDescent="0.25"/>
    <row r="138331" s="12" customFormat="1" x14ac:dyDescent="0.25"/>
    <row r="138332" s="12" customFormat="1" x14ac:dyDescent="0.25"/>
    <row r="138333" s="12" customFormat="1" x14ac:dyDescent="0.25"/>
    <row r="138334" s="12" customFormat="1" x14ac:dyDescent="0.25"/>
    <row r="138335" s="12" customFormat="1" x14ac:dyDescent="0.25"/>
    <row r="138336" s="12" customFormat="1" x14ac:dyDescent="0.25"/>
    <row r="138337" s="12" customFormat="1" x14ac:dyDescent="0.25"/>
    <row r="138338" s="12" customFormat="1" x14ac:dyDescent="0.25"/>
    <row r="138339" s="12" customFormat="1" x14ac:dyDescent="0.25"/>
    <row r="138340" s="12" customFormat="1" x14ac:dyDescent="0.25"/>
    <row r="138341" s="12" customFormat="1" x14ac:dyDescent="0.25"/>
    <row r="138342" s="12" customFormat="1" x14ac:dyDescent="0.25"/>
    <row r="138343" s="12" customFormat="1" x14ac:dyDescent="0.25"/>
    <row r="138344" s="12" customFormat="1" x14ac:dyDescent="0.25"/>
    <row r="138345" s="12" customFormat="1" x14ac:dyDescent="0.25"/>
    <row r="138346" s="12" customFormat="1" x14ac:dyDescent="0.25"/>
    <row r="138347" s="12" customFormat="1" x14ac:dyDescent="0.25"/>
    <row r="138348" s="12" customFormat="1" x14ac:dyDescent="0.25"/>
    <row r="138349" s="12" customFormat="1" x14ac:dyDescent="0.25"/>
    <row r="138350" s="12" customFormat="1" x14ac:dyDescent="0.25"/>
    <row r="138351" s="12" customFormat="1" x14ac:dyDescent="0.25"/>
    <row r="138352" s="12" customFormat="1" x14ac:dyDescent="0.25"/>
    <row r="138353" s="12" customFormat="1" x14ac:dyDescent="0.25"/>
    <row r="138354" s="12" customFormat="1" x14ac:dyDescent="0.25"/>
    <row r="138355" s="12" customFormat="1" x14ac:dyDescent="0.25"/>
    <row r="138356" s="12" customFormat="1" x14ac:dyDescent="0.25"/>
    <row r="138357" s="12" customFormat="1" x14ac:dyDescent="0.25"/>
    <row r="138358" s="12" customFormat="1" x14ac:dyDescent="0.25"/>
    <row r="138359" s="12" customFormat="1" x14ac:dyDescent="0.25"/>
    <row r="138360" s="12" customFormat="1" x14ac:dyDescent="0.25"/>
    <row r="138361" s="12" customFormat="1" x14ac:dyDescent="0.25"/>
    <row r="138362" s="12" customFormat="1" x14ac:dyDescent="0.25"/>
    <row r="138363" s="12" customFormat="1" x14ac:dyDescent="0.25"/>
    <row r="138364" s="12" customFormat="1" x14ac:dyDescent="0.25"/>
    <row r="138365" s="12" customFormat="1" x14ac:dyDescent="0.25"/>
    <row r="138366" s="12" customFormat="1" x14ac:dyDescent="0.25"/>
    <row r="138367" s="12" customFormat="1" x14ac:dyDescent="0.25"/>
    <row r="138368" s="12" customFormat="1" x14ac:dyDescent="0.25"/>
    <row r="138369" s="12" customFormat="1" x14ac:dyDescent="0.25"/>
    <row r="138370" s="12" customFormat="1" x14ac:dyDescent="0.25"/>
    <row r="138371" s="12" customFormat="1" x14ac:dyDescent="0.25"/>
    <row r="138372" s="12" customFormat="1" x14ac:dyDescent="0.25"/>
    <row r="138373" s="12" customFormat="1" x14ac:dyDescent="0.25"/>
    <row r="138374" s="12" customFormat="1" x14ac:dyDescent="0.25"/>
    <row r="138375" s="12" customFormat="1" x14ac:dyDescent="0.25"/>
    <row r="138376" s="12" customFormat="1" x14ac:dyDescent="0.25"/>
    <row r="138377" s="12" customFormat="1" x14ac:dyDescent="0.25"/>
    <row r="138378" s="12" customFormat="1" x14ac:dyDescent="0.25"/>
    <row r="138379" s="12" customFormat="1" x14ac:dyDescent="0.25"/>
    <row r="138380" s="12" customFormat="1" x14ac:dyDescent="0.25"/>
    <row r="138381" s="12" customFormat="1" x14ac:dyDescent="0.25"/>
    <row r="138382" s="12" customFormat="1" x14ac:dyDescent="0.25"/>
    <row r="138383" s="12" customFormat="1" x14ac:dyDescent="0.25"/>
    <row r="138384" s="12" customFormat="1" x14ac:dyDescent="0.25"/>
    <row r="138385" s="12" customFormat="1" x14ac:dyDescent="0.25"/>
    <row r="138386" s="12" customFormat="1" x14ac:dyDescent="0.25"/>
    <row r="138387" s="12" customFormat="1" x14ac:dyDescent="0.25"/>
    <row r="138388" s="12" customFormat="1" x14ac:dyDescent="0.25"/>
    <row r="138389" s="12" customFormat="1" x14ac:dyDescent="0.25"/>
    <row r="138390" s="12" customFormat="1" x14ac:dyDescent="0.25"/>
    <row r="138391" s="12" customFormat="1" x14ac:dyDescent="0.25"/>
    <row r="138392" s="12" customFormat="1" x14ac:dyDescent="0.25"/>
    <row r="138393" s="12" customFormat="1" x14ac:dyDescent="0.25"/>
    <row r="138394" s="12" customFormat="1" x14ac:dyDescent="0.25"/>
    <row r="138395" s="12" customFormat="1" x14ac:dyDescent="0.25"/>
    <row r="138396" s="12" customFormat="1" x14ac:dyDescent="0.25"/>
    <row r="138397" s="12" customFormat="1" x14ac:dyDescent="0.25"/>
    <row r="138398" s="12" customFormat="1" x14ac:dyDescent="0.25"/>
    <row r="138399" s="12" customFormat="1" x14ac:dyDescent="0.25"/>
    <row r="138400" s="12" customFormat="1" x14ac:dyDescent="0.25"/>
    <row r="138401" s="12" customFormat="1" x14ac:dyDescent="0.25"/>
    <row r="138402" s="12" customFormat="1" x14ac:dyDescent="0.25"/>
    <row r="138403" s="12" customFormat="1" x14ac:dyDescent="0.25"/>
    <row r="138404" s="12" customFormat="1" x14ac:dyDescent="0.25"/>
    <row r="138405" s="12" customFormat="1" x14ac:dyDescent="0.25"/>
    <row r="138406" s="12" customFormat="1" x14ac:dyDescent="0.25"/>
    <row r="138407" s="12" customFormat="1" x14ac:dyDescent="0.25"/>
    <row r="138408" s="12" customFormat="1" x14ac:dyDescent="0.25"/>
    <row r="138409" s="12" customFormat="1" x14ac:dyDescent="0.25"/>
    <row r="138410" s="12" customFormat="1" x14ac:dyDescent="0.25"/>
    <row r="138411" s="12" customFormat="1" x14ac:dyDescent="0.25"/>
    <row r="138412" s="12" customFormat="1" x14ac:dyDescent="0.25"/>
    <row r="138413" s="12" customFormat="1" x14ac:dyDescent="0.25"/>
    <row r="138414" s="12" customFormat="1" x14ac:dyDescent="0.25"/>
    <row r="138415" s="12" customFormat="1" x14ac:dyDescent="0.25"/>
    <row r="138416" s="12" customFormat="1" x14ac:dyDescent="0.25"/>
    <row r="138417" s="12" customFormat="1" x14ac:dyDescent="0.25"/>
    <row r="138418" s="12" customFormat="1" x14ac:dyDescent="0.25"/>
    <row r="138419" s="12" customFormat="1" x14ac:dyDescent="0.25"/>
    <row r="138420" s="12" customFormat="1" x14ac:dyDescent="0.25"/>
    <row r="138421" s="12" customFormat="1" x14ac:dyDescent="0.25"/>
    <row r="138422" s="12" customFormat="1" x14ac:dyDescent="0.25"/>
    <row r="138423" s="12" customFormat="1" x14ac:dyDescent="0.25"/>
    <row r="138424" s="12" customFormat="1" x14ac:dyDescent="0.25"/>
    <row r="138425" s="12" customFormat="1" x14ac:dyDescent="0.25"/>
    <row r="138426" s="12" customFormat="1" x14ac:dyDescent="0.25"/>
    <row r="138427" s="12" customFormat="1" x14ac:dyDescent="0.25"/>
    <row r="138428" s="12" customFormat="1" x14ac:dyDescent="0.25"/>
    <row r="138429" s="12" customFormat="1" x14ac:dyDescent="0.25"/>
    <row r="138430" s="12" customFormat="1" x14ac:dyDescent="0.25"/>
    <row r="138431" s="12" customFormat="1" x14ac:dyDescent="0.25"/>
    <row r="138432" s="12" customFormat="1" x14ac:dyDescent="0.25"/>
    <row r="138433" s="12" customFormat="1" x14ac:dyDescent="0.25"/>
    <row r="138434" s="12" customFormat="1" x14ac:dyDescent="0.25"/>
    <row r="138435" s="12" customFormat="1" x14ac:dyDescent="0.25"/>
    <row r="138436" s="12" customFormat="1" x14ac:dyDescent="0.25"/>
    <row r="138437" s="12" customFormat="1" x14ac:dyDescent="0.25"/>
    <row r="138438" s="12" customFormat="1" x14ac:dyDescent="0.25"/>
    <row r="138439" s="12" customFormat="1" x14ac:dyDescent="0.25"/>
    <row r="138440" s="12" customFormat="1" x14ac:dyDescent="0.25"/>
    <row r="138441" s="12" customFormat="1" x14ac:dyDescent="0.25"/>
    <row r="138442" s="12" customFormat="1" x14ac:dyDescent="0.25"/>
    <row r="138443" s="12" customFormat="1" x14ac:dyDescent="0.25"/>
    <row r="138444" s="12" customFormat="1" x14ac:dyDescent="0.25"/>
    <row r="138445" s="12" customFormat="1" x14ac:dyDescent="0.25"/>
    <row r="138446" s="12" customFormat="1" x14ac:dyDescent="0.25"/>
    <row r="138447" s="12" customFormat="1" x14ac:dyDescent="0.25"/>
    <row r="138448" s="12" customFormat="1" x14ac:dyDescent="0.25"/>
    <row r="138449" s="12" customFormat="1" x14ac:dyDescent="0.25"/>
    <row r="138450" s="12" customFormat="1" x14ac:dyDescent="0.25"/>
    <row r="138451" s="12" customFormat="1" x14ac:dyDescent="0.25"/>
    <row r="138452" s="12" customFormat="1" x14ac:dyDescent="0.25"/>
    <row r="138453" s="12" customFormat="1" x14ac:dyDescent="0.25"/>
    <row r="138454" s="12" customFormat="1" x14ac:dyDescent="0.25"/>
    <row r="138455" s="12" customFormat="1" x14ac:dyDescent="0.25"/>
    <row r="138456" s="12" customFormat="1" x14ac:dyDescent="0.25"/>
    <row r="138457" s="12" customFormat="1" x14ac:dyDescent="0.25"/>
    <row r="138458" s="12" customFormat="1" x14ac:dyDescent="0.25"/>
    <row r="138459" s="12" customFormat="1" x14ac:dyDescent="0.25"/>
    <row r="138460" s="12" customFormat="1" x14ac:dyDescent="0.25"/>
    <row r="138461" s="12" customFormat="1" x14ac:dyDescent="0.25"/>
    <row r="138462" s="12" customFormat="1" x14ac:dyDescent="0.25"/>
    <row r="138463" s="12" customFormat="1" x14ac:dyDescent="0.25"/>
    <row r="138464" s="12" customFormat="1" x14ac:dyDescent="0.25"/>
    <row r="138465" s="12" customFormat="1" x14ac:dyDescent="0.25"/>
    <row r="138466" s="12" customFormat="1" x14ac:dyDescent="0.25"/>
    <row r="138467" s="12" customFormat="1" x14ac:dyDescent="0.25"/>
    <row r="138468" s="12" customFormat="1" x14ac:dyDescent="0.25"/>
    <row r="138469" s="12" customFormat="1" x14ac:dyDescent="0.25"/>
    <row r="138470" s="12" customFormat="1" x14ac:dyDescent="0.25"/>
    <row r="138471" s="12" customFormat="1" x14ac:dyDescent="0.25"/>
    <row r="138472" s="12" customFormat="1" x14ac:dyDescent="0.25"/>
    <row r="138473" s="12" customFormat="1" x14ac:dyDescent="0.25"/>
    <row r="138474" s="12" customFormat="1" x14ac:dyDescent="0.25"/>
    <row r="138475" s="12" customFormat="1" x14ac:dyDescent="0.25"/>
    <row r="138476" s="12" customFormat="1" x14ac:dyDescent="0.25"/>
    <row r="138477" s="12" customFormat="1" x14ac:dyDescent="0.25"/>
    <row r="138478" s="12" customFormat="1" x14ac:dyDescent="0.25"/>
    <row r="138479" s="12" customFormat="1" x14ac:dyDescent="0.25"/>
    <row r="138480" s="12" customFormat="1" x14ac:dyDescent="0.25"/>
    <row r="138481" s="12" customFormat="1" x14ac:dyDescent="0.25"/>
    <row r="138482" s="12" customFormat="1" x14ac:dyDescent="0.25"/>
    <row r="138483" s="12" customFormat="1" x14ac:dyDescent="0.25"/>
    <row r="138484" s="12" customFormat="1" x14ac:dyDescent="0.25"/>
    <row r="138485" s="12" customFormat="1" x14ac:dyDescent="0.25"/>
    <row r="138486" s="12" customFormat="1" x14ac:dyDescent="0.25"/>
    <row r="138487" s="12" customFormat="1" x14ac:dyDescent="0.25"/>
    <row r="138488" s="12" customFormat="1" x14ac:dyDescent="0.25"/>
    <row r="138489" s="12" customFormat="1" x14ac:dyDescent="0.25"/>
    <row r="138490" s="12" customFormat="1" x14ac:dyDescent="0.25"/>
    <row r="138491" s="12" customFormat="1" x14ac:dyDescent="0.25"/>
    <row r="138492" s="12" customFormat="1" x14ac:dyDescent="0.25"/>
    <row r="138493" s="12" customFormat="1" x14ac:dyDescent="0.25"/>
    <row r="138494" s="12" customFormat="1" x14ac:dyDescent="0.25"/>
    <row r="138495" s="12" customFormat="1" x14ac:dyDescent="0.25"/>
    <row r="138496" s="12" customFormat="1" x14ac:dyDescent="0.25"/>
    <row r="138497" s="12" customFormat="1" x14ac:dyDescent="0.25"/>
    <row r="138498" s="12" customFormat="1" x14ac:dyDescent="0.25"/>
    <row r="138499" s="12" customFormat="1" x14ac:dyDescent="0.25"/>
    <row r="138500" s="12" customFormat="1" x14ac:dyDescent="0.25"/>
    <row r="138501" s="12" customFormat="1" x14ac:dyDescent="0.25"/>
    <row r="138502" s="12" customFormat="1" x14ac:dyDescent="0.25"/>
    <row r="138503" s="12" customFormat="1" x14ac:dyDescent="0.25"/>
    <row r="138504" s="12" customFormat="1" x14ac:dyDescent="0.25"/>
    <row r="138505" s="12" customFormat="1" x14ac:dyDescent="0.25"/>
    <row r="138506" s="12" customFormat="1" x14ac:dyDescent="0.25"/>
    <row r="138507" s="12" customFormat="1" x14ac:dyDescent="0.25"/>
    <row r="138508" s="12" customFormat="1" x14ac:dyDescent="0.25"/>
    <row r="138509" s="12" customFormat="1" x14ac:dyDescent="0.25"/>
    <row r="138510" s="12" customFormat="1" x14ac:dyDescent="0.25"/>
    <row r="138511" s="12" customFormat="1" x14ac:dyDescent="0.25"/>
    <row r="138512" s="12" customFormat="1" x14ac:dyDescent="0.25"/>
    <row r="138513" s="12" customFormat="1" x14ac:dyDescent="0.25"/>
    <row r="138514" s="12" customFormat="1" x14ac:dyDescent="0.25"/>
    <row r="138515" s="12" customFormat="1" x14ac:dyDescent="0.25"/>
    <row r="138516" s="12" customFormat="1" x14ac:dyDescent="0.25"/>
    <row r="138517" s="12" customFormat="1" x14ac:dyDescent="0.25"/>
    <row r="138518" s="12" customFormat="1" x14ac:dyDescent="0.25"/>
    <row r="138519" s="12" customFormat="1" x14ac:dyDescent="0.25"/>
    <row r="138520" s="12" customFormat="1" x14ac:dyDescent="0.25"/>
    <row r="138521" s="12" customFormat="1" x14ac:dyDescent="0.25"/>
    <row r="138522" s="12" customFormat="1" x14ac:dyDescent="0.25"/>
    <row r="138523" s="12" customFormat="1" x14ac:dyDescent="0.25"/>
    <row r="138524" s="12" customFormat="1" x14ac:dyDescent="0.25"/>
    <row r="138525" s="12" customFormat="1" x14ac:dyDescent="0.25"/>
    <row r="138526" s="12" customFormat="1" x14ac:dyDescent="0.25"/>
    <row r="138527" s="12" customFormat="1" x14ac:dyDescent="0.25"/>
    <row r="138528" s="12" customFormat="1" x14ac:dyDescent="0.25"/>
    <row r="138529" s="12" customFormat="1" x14ac:dyDescent="0.25"/>
    <row r="138530" s="12" customFormat="1" x14ac:dyDescent="0.25"/>
    <row r="138531" s="12" customFormat="1" x14ac:dyDescent="0.25"/>
    <row r="138532" s="12" customFormat="1" x14ac:dyDescent="0.25"/>
    <row r="138533" s="12" customFormat="1" x14ac:dyDescent="0.25"/>
    <row r="138534" s="12" customFormat="1" x14ac:dyDescent="0.25"/>
    <row r="138535" s="12" customFormat="1" x14ac:dyDescent="0.25"/>
    <row r="138536" s="12" customFormat="1" x14ac:dyDescent="0.25"/>
    <row r="138537" s="12" customFormat="1" x14ac:dyDescent="0.25"/>
    <row r="138538" s="12" customFormat="1" x14ac:dyDescent="0.25"/>
    <row r="138539" s="12" customFormat="1" x14ac:dyDescent="0.25"/>
    <row r="138540" s="12" customFormat="1" x14ac:dyDescent="0.25"/>
    <row r="138541" s="12" customFormat="1" x14ac:dyDescent="0.25"/>
    <row r="138542" s="12" customFormat="1" x14ac:dyDescent="0.25"/>
    <row r="138543" s="12" customFormat="1" x14ac:dyDescent="0.25"/>
    <row r="138544" s="12" customFormat="1" x14ac:dyDescent="0.25"/>
    <row r="138545" s="12" customFormat="1" x14ac:dyDescent="0.25"/>
    <row r="138546" s="12" customFormat="1" x14ac:dyDescent="0.25"/>
    <row r="138547" s="12" customFormat="1" x14ac:dyDescent="0.25"/>
    <row r="138548" s="12" customFormat="1" x14ac:dyDescent="0.25"/>
    <row r="138549" s="12" customFormat="1" x14ac:dyDescent="0.25"/>
    <row r="138550" s="12" customFormat="1" x14ac:dyDescent="0.25"/>
    <row r="138551" s="12" customFormat="1" x14ac:dyDescent="0.25"/>
    <row r="138552" s="12" customFormat="1" x14ac:dyDescent="0.25"/>
    <row r="138553" s="12" customFormat="1" x14ac:dyDescent="0.25"/>
    <row r="138554" s="12" customFormat="1" x14ac:dyDescent="0.25"/>
    <row r="138555" s="12" customFormat="1" x14ac:dyDescent="0.25"/>
    <row r="138556" s="12" customFormat="1" x14ac:dyDescent="0.25"/>
    <row r="138557" s="12" customFormat="1" x14ac:dyDescent="0.25"/>
    <row r="138558" s="12" customFormat="1" x14ac:dyDescent="0.25"/>
    <row r="138559" s="12" customFormat="1" x14ac:dyDescent="0.25"/>
    <row r="138560" s="12" customFormat="1" x14ac:dyDescent="0.25"/>
    <row r="138561" s="12" customFormat="1" x14ac:dyDescent="0.25"/>
    <row r="138562" s="12" customFormat="1" x14ac:dyDescent="0.25"/>
    <row r="138563" s="12" customFormat="1" x14ac:dyDescent="0.25"/>
    <row r="138564" s="12" customFormat="1" x14ac:dyDescent="0.25"/>
    <row r="138565" s="12" customFormat="1" x14ac:dyDescent="0.25"/>
    <row r="138566" s="12" customFormat="1" x14ac:dyDescent="0.25"/>
    <row r="138567" s="12" customFormat="1" x14ac:dyDescent="0.25"/>
    <row r="138568" s="12" customFormat="1" x14ac:dyDescent="0.25"/>
    <row r="138569" s="12" customFormat="1" x14ac:dyDescent="0.25"/>
    <row r="138570" s="12" customFormat="1" x14ac:dyDescent="0.25"/>
    <row r="138571" s="12" customFormat="1" x14ac:dyDescent="0.25"/>
    <row r="138572" s="12" customFormat="1" x14ac:dyDescent="0.25"/>
    <row r="138573" s="12" customFormat="1" x14ac:dyDescent="0.25"/>
    <row r="138574" s="12" customFormat="1" x14ac:dyDescent="0.25"/>
    <row r="138575" s="12" customFormat="1" x14ac:dyDescent="0.25"/>
    <row r="138576" s="12" customFormat="1" x14ac:dyDescent="0.25"/>
    <row r="138577" s="12" customFormat="1" x14ac:dyDescent="0.25"/>
    <row r="138578" s="12" customFormat="1" x14ac:dyDescent="0.25"/>
    <row r="138579" s="12" customFormat="1" x14ac:dyDescent="0.25"/>
    <row r="138580" s="12" customFormat="1" x14ac:dyDescent="0.25"/>
    <row r="138581" s="12" customFormat="1" x14ac:dyDescent="0.25"/>
    <row r="138582" s="12" customFormat="1" x14ac:dyDescent="0.25"/>
    <row r="138583" s="12" customFormat="1" x14ac:dyDescent="0.25"/>
    <row r="138584" s="12" customFormat="1" x14ac:dyDescent="0.25"/>
    <row r="138585" s="12" customFormat="1" x14ac:dyDescent="0.25"/>
    <row r="138586" s="12" customFormat="1" x14ac:dyDescent="0.25"/>
    <row r="138587" s="12" customFormat="1" x14ac:dyDescent="0.25"/>
    <row r="138588" s="12" customFormat="1" x14ac:dyDescent="0.25"/>
    <row r="138589" s="12" customFormat="1" x14ac:dyDescent="0.25"/>
    <row r="138590" s="12" customFormat="1" x14ac:dyDescent="0.25"/>
    <row r="138591" s="12" customFormat="1" x14ac:dyDescent="0.25"/>
    <row r="138592" s="12" customFormat="1" x14ac:dyDescent="0.25"/>
    <row r="138593" s="12" customFormat="1" x14ac:dyDescent="0.25"/>
    <row r="138594" s="12" customFormat="1" x14ac:dyDescent="0.25"/>
    <row r="138595" s="12" customFormat="1" x14ac:dyDescent="0.25"/>
    <row r="138596" s="12" customFormat="1" x14ac:dyDescent="0.25"/>
    <row r="138597" s="12" customFormat="1" x14ac:dyDescent="0.25"/>
    <row r="138598" s="12" customFormat="1" x14ac:dyDescent="0.25"/>
    <row r="138599" s="12" customFormat="1" x14ac:dyDescent="0.25"/>
    <row r="138600" s="12" customFormat="1" x14ac:dyDescent="0.25"/>
    <row r="138601" s="12" customFormat="1" x14ac:dyDescent="0.25"/>
    <row r="138602" s="12" customFormat="1" x14ac:dyDescent="0.25"/>
    <row r="138603" s="12" customFormat="1" x14ac:dyDescent="0.25"/>
    <row r="138604" s="12" customFormat="1" x14ac:dyDescent="0.25"/>
    <row r="138605" s="12" customFormat="1" x14ac:dyDescent="0.25"/>
    <row r="138606" s="12" customFormat="1" x14ac:dyDescent="0.25"/>
    <row r="138607" s="12" customFormat="1" x14ac:dyDescent="0.25"/>
    <row r="138608" s="12" customFormat="1" x14ac:dyDescent="0.25"/>
    <row r="138609" s="12" customFormat="1" x14ac:dyDescent="0.25"/>
    <row r="138610" s="12" customFormat="1" x14ac:dyDescent="0.25"/>
    <row r="138611" s="12" customFormat="1" x14ac:dyDescent="0.25"/>
    <row r="138612" s="12" customFormat="1" x14ac:dyDescent="0.25"/>
    <row r="138613" s="12" customFormat="1" x14ac:dyDescent="0.25"/>
    <row r="138614" s="12" customFormat="1" x14ac:dyDescent="0.25"/>
    <row r="138615" s="12" customFormat="1" x14ac:dyDescent="0.25"/>
    <row r="138616" s="12" customFormat="1" x14ac:dyDescent="0.25"/>
    <row r="138617" s="12" customFormat="1" x14ac:dyDescent="0.25"/>
    <row r="138618" s="12" customFormat="1" x14ac:dyDescent="0.25"/>
    <row r="138619" s="12" customFormat="1" x14ac:dyDescent="0.25"/>
    <row r="138620" s="12" customFormat="1" x14ac:dyDescent="0.25"/>
    <row r="138621" s="12" customFormat="1" x14ac:dyDescent="0.25"/>
    <row r="138622" s="12" customFormat="1" x14ac:dyDescent="0.25"/>
    <row r="138623" s="12" customFormat="1" x14ac:dyDescent="0.25"/>
    <row r="138624" s="12" customFormat="1" x14ac:dyDescent="0.25"/>
    <row r="138625" s="12" customFormat="1" x14ac:dyDescent="0.25"/>
    <row r="138626" s="12" customFormat="1" x14ac:dyDescent="0.25"/>
    <row r="138627" s="12" customFormat="1" x14ac:dyDescent="0.25"/>
    <row r="138628" s="12" customFormat="1" x14ac:dyDescent="0.25"/>
    <row r="138629" s="12" customFormat="1" x14ac:dyDescent="0.25"/>
    <row r="138630" s="12" customFormat="1" x14ac:dyDescent="0.25"/>
    <row r="138631" s="12" customFormat="1" x14ac:dyDescent="0.25"/>
    <row r="138632" s="12" customFormat="1" x14ac:dyDescent="0.25"/>
    <row r="138633" s="12" customFormat="1" x14ac:dyDescent="0.25"/>
    <row r="138634" s="12" customFormat="1" x14ac:dyDescent="0.25"/>
    <row r="138635" s="12" customFormat="1" x14ac:dyDescent="0.25"/>
    <row r="138636" s="12" customFormat="1" x14ac:dyDescent="0.25"/>
    <row r="138637" s="12" customFormat="1" x14ac:dyDescent="0.25"/>
    <row r="138638" s="12" customFormat="1" x14ac:dyDescent="0.25"/>
    <row r="138639" s="12" customFormat="1" x14ac:dyDescent="0.25"/>
    <row r="138640" s="12" customFormat="1" x14ac:dyDescent="0.25"/>
    <row r="138641" s="12" customFormat="1" x14ac:dyDescent="0.25"/>
    <row r="138642" s="12" customFormat="1" x14ac:dyDescent="0.25"/>
    <row r="138643" s="12" customFormat="1" x14ac:dyDescent="0.25"/>
    <row r="138644" s="12" customFormat="1" x14ac:dyDescent="0.25"/>
    <row r="138645" s="12" customFormat="1" x14ac:dyDescent="0.25"/>
    <row r="138646" s="12" customFormat="1" x14ac:dyDescent="0.25"/>
    <row r="138647" s="12" customFormat="1" x14ac:dyDescent="0.25"/>
    <row r="138648" s="12" customFormat="1" x14ac:dyDescent="0.25"/>
    <row r="138649" s="12" customFormat="1" x14ac:dyDescent="0.25"/>
    <row r="138650" s="12" customFormat="1" x14ac:dyDescent="0.25"/>
    <row r="138651" s="12" customFormat="1" x14ac:dyDescent="0.25"/>
    <row r="138652" s="12" customFormat="1" x14ac:dyDescent="0.25"/>
    <row r="138653" s="12" customFormat="1" x14ac:dyDescent="0.25"/>
    <row r="138654" s="12" customFormat="1" x14ac:dyDescent="0.25"/>
    <row r="138655" s="12" customFormat="1" x14ac:dyDescent="0.25"/>
    <row r="138656" s="12" customFormat="1" x14ac:dyDescent="0.25"/>
    <row r="138657" s="12" customFormat="1" x14ac:dyDescent="0.25"/>
    <row r="138658" s="12" customFormat="1" x14ac:dyDescent="0.25"/>
    <row r="138659" s="12" customFormat="1" x14ac:dyDescent="0.25"/>
    <row r="138660" s="12" customFormat="1" x14ac:dyDescent="0.25"/>
    <row r="138661" s="12" customFormat="1" x14ac:dyDescent="0.25"/>
    <row r="138662" s="12" customFormat="1" x14ac:dyDescent="0.25"/>
    <row r="138663" s="12" customFormat="1" x14ac:dyDescent="0.25"/>
    <row r="138664" s="12" customFormat="1" x14ac:dyDescent="0.25"/>
    <row r="138665" s="12" customFormat="1" x14ac:dyDescent="0.25"/>
    <row r="138666" s="12" customFormat="1" x14ac:dyDescent="0.25"/>
    <row r="138667" s="12" customFormat="1" x14ac:dyDescent="0.25"/>
    <row r="138668" s="12" customFormat="1" x14ac:dyDescent="0.25"/>
    <row r="138669" s="12" customFormat="1" x14ac:dyDescent="0.25"/>
    <row r="138670" s="12" customFormat="1" x14ac:dyDescent="0.25"/>
    <row r="138671" s="12" customFormat="1" x14ac:dyDescent="0.25"/>
    <row r="138672" s="12" customFormat="1" x14ac:dyDescent="0.25"/>
    <row r="138673" s="12" customFormat="1" x14ac:dyDescent="0.25"/>
    <row r="138674" s="12" customFormat="1" x14ac:dyDescent="0.25"/>
    <row r="138675" s="12" customFormat="1" x14ac:dyDescent="0.25"/>
    <row r="138676" s="12" customFormat="1" x14ac:dyDescent="0.25"/>
    <row r="138677" s="12" customFormat="1" x14ac:dyDescent="0.25"/>
    <row r="138678" s="12" customFormat="1" x14ac:dyDescent="0.25"/>
    <row r="138679" s="12" customFormat="1" x14ac:dyDescent="0.25"/>
    <row r="138680" s="12" customFormat="1" x14ac:dyDescent="0.25"/>
    <row r="138681" s="12" customFormat="1" x14ac:dyDescent="0.25"/>
    <row r="138682" s="12" customFormat="1" x14ac:dyDescent="0.25"/>
    <row r="138683" s="12" customFormat="1" x14ac:dyDescent="0.25"/>
    <row r="138684" s="12" customFormat="1" x14ac:dyDescent="0.25"/>
    <row r="138685" s="12" customFormat="1" x14ac:dyDescent="0.25"/>
    <row r="138686" s="12" customFormat="1" x14ac:dyDescent="0.25"/>
    <row r="138687" s="12" customFormat="1" x14ac:dyDescent="0.25"/>
    <row r="138688" s="12" customFormat="1" x14ac:dyDescent="0.25"/>
    <row r="138689" s="12" customFormat="1" x14ac:dyDescent="0.25"/>
    <row r="138690" s="12" customFormat="1" x14ac:dyDescent="0.25"/>
    <row r="138691" s="12" customFormat="1" x14ac:dyDescent="0.25"/>
    <row r="138692" s="12" customFormat="1" x14ac:dyDescent="0.25"/>
    <row r="138693" s="12" customFormat="1" x14ac:dyDescent="0.25"/>
    <row r="138694" s="12" customFormat="1" x14ac:dyDescent="0.25"/>
    <row r="138695" s="12" customFormat="1" x14ac:dyDescent="0.25"/>
    <row r="138696" s="12" customFormat="1" x14ac:dyDescent="0.25"/>
    <row r="138697" s="12" customFormat="1" x14ac:dyDescent="0.25"/>
    <row r="138698" s="12" customFormat="1" x14ac:dyDescent="0.25"/>
    <row r="138699" s="12" customFormat="1" x14ac:dyDescent="0.25"/>
    <row r="138700" s="12" customFormat="1" x14ac:dyDescent="0.25"/>
    <row r="138701" s="12" customFormat="1" x14ac:dyDescent="0.25"/>
    <row r="138702" s="12" customFormat="1" x14ac:dyDescent="0.25"/>
    <row r="138703" s="12" customFormat="1" x14ac:dyDescent="0.25"/>
    <row r="138704" s="12" customFormat="1" x14ac:dyDescent="0.25"/>
    <row r="138705" s="12" customFormat="1" x14ac:dyDescent="0.25"/>
    <row r="138706" s="12" customFormat="1" x14ac:dyDescent="0.25"/>
    <row r="138707" s="12" customFormat="1" x14ac:dyDescent="0.25"/>
    <row r="138708" s="12" customFormat="1" x14ac:dyDescent="0.25"/>
    <row r="138709" s="12" customFormat="1" x14ac:dyDescent="0.25"/>
    <row r="138710" s="12" customFormat="1" x14ac:dyDescent="0.25"/>
    <row r="138711" s="12" customFormat="1" x14ac:dyDescent="0.25"/>
    <row r="138712" s="12" customFormat="1" x14ac:dyDescent="0.25"/>
    <row r="138713" s="12" customFormat="1" x14ac:dyDescent="0.25"/>
    <row r="138714" s="12" customFormat="1" x14ac:dyDescent="0.25"/>
    <row r="138715" s="12" customFormat="1" x14ac:dyDescent="0.25"/>
    <row r="138716" s="12" customFormat="1" x14ac:dyDescent="0.25"/>
    <row r="138717" s="12" customFormat="1" x14ac:dyDescent="0.25"/>
    <row r="138718" s="12" customFormat="1" x14ac:dyDescent="0.25"/>
    <row r="138719" s="12" customFormat="1" x14ac:dyDescent="0.25"/>
    <row r="138720" s="12" customFormat="1" x14ac:dyDescent="0.25"/>
    <row r="138721" s="12" customFormat="1" x14ac:dyDescent="0.25"/>
    <row r="138722" s="12" customFormat="1" x14ac:dyDescent="0.25"/>
    <row r="138723" s="12" customFormat="1" x14ac:dyDescent="0.25"/>
    <row r="138724" s="12" customFormat="1" x14ac:dyDescent="0.25"/>
    <row r="138725" s="12" customFormat="1" x14ac:dyDescent="0.25"/>
    <row r="138726" s="12" customFormat="1" x14ac:dyDescent="0.25"/>
    <row r="138727" s="12" customFormat="1" x14ac:dyDescent="0.25"/>
    <row r="138728" s="12" customFormat="1" x14ac:dyDescent="0.25"/>
    <row r="138729" s="12" customFormat="1" x14ac:dyDescent="0.25"/>
    <row r="138730" s="12" customFormat="1" x14ac:dyDescent="0.25"/>
    <row r="138731" s="12" customFormat="1" x14ac:dyDescent="0.25"/>
    <row r="138732" s="12" customFormat="1" x14ac:dyDescent="0.25"/>
    <row r="138733" s="12" customFormat="1" x14ac:dyDescent="0.25"/>
    <row r="138734" s="12" customFormat="1" x14ac:dyDescent="0.25"/>
    <row r="138735" s="12" customFormat="1" x14ac:dyDescent="0.25"/>
    <row r="138736" s="12" customFormat="1" x14ac:dyDescent="0.25"/>
    <row r="138737" s="12" customFormat="1" x14ac:dyDescent="0.25"/>
    <row r="138738" s="12" customFormat="1" x14ac:dyDescent="0.25"/>
    <row r="138739" s="12" customFormat="1" x14ac:dyDescent="0.25"/>
    <row r="138740" s="12" customFormat="1" x14ac:dyDescent="0.25"/>
    <row r="138741" s="12" customFormat="1" x14ac:dyDescent="0.25"/>
    <row r="138742" s="12" customFormat="1" x14ac:dyDescent="0.25"/>
    <row r="138743" s="12" customFormat="1" x14ac:dyDescent="0.25"/>
    <row r="138744" s="12" customFormat="1" x14ac:dyDescent="0.25"/>
    <row r="138745" s="12" customFormat="1" x14ac:dyDescent="0.25"/>
    <row r="138746" s="12" customFormat="1" x14ac:dyDescent="0.25"/>
    <row r="138747" s="12" customFormat="1" x14ac:dyDescent="0.25"/>
    <row r="138748" s="12" customFormat="1" x14ac:dyDescent="0.25"/>
    <row r="138749" s="12" customFormat="1" x14ac:dyDescent="0.25"/>
    <row r="138750" s="12" customFormat="1" x14ac:dyDescent="0.25"/>
    <row r="138751" s="12" customFormat="1" x14ac:dyDescent="0.25"/>
    <row r="138752" s="12" customFormat="1" x14ac:dyDescent="0.25"/>
    <row r="138753" s="12" customFormat="1" x14ac:dyDescent="0.25"/>
    <row r="138754" s="12" customFormat="1" x14ac:dyDescent="0.25"/>
    <row r="138755" s="12" customFormat="1" x14ac:dyDescent="0.25"/>
    <row r="138756" s="12" customFormat="1" x14ac:dyDescent="0.25"/>
    <row r="138757" s="12" customFormat="1" x14ac:dyDescent="0.25"/>
    <row r="138758" s="12" customFormat="1" x14ac:dyDescent="0.25"/>
    <row r="138759" s="12" customFormat="1" x14ac:dyDescent="0.25"/>
    <row r="138760" s="12" customFormat="1" x14ac:dyDescent="0.25"/>
    <row r="138761" s="12" customFormat="1" x14ac:dyDescent="0.25"/>
    <row r="138762" s="12" customFormat="1" x14ac:dyDescent="0.25"/>
    <row r="138763" s="12" customFormat="1" x14ac:dyDescent="0.25"/>
    <row r="138764" s="12" customFormat="1" x14ac:dyDescent="0.25"/>
    <row r="138765" s="12" customFormat="1" x14ac:dyDescent="0.25"/>
    <row r="138766" s="12" customFormat="1" x14ac:dyDescent="0.25"/>
    <row r="138767" s="12" customFormat="1" x14ac:dyDescent="0.25"/>
    <row r="138768" s="12" customFormat="1" x14ac:dyDescent="0.25"/>
    <row r="138769" s="12" customFormat="1" x14ac:dyDescent="0.25"/>
    <row r="138770" s="12" customFormat="1" x14ac:dyDescent="0.25"/>
    <row r="138771" s="12" customFormat="1" x14ac:dyDescent="0.25"/>
    <row r="138772" s="12" customFormat="1" x14ac:dyDescent="0.25"/>
    <row r="138773" s="12" customFormat="1" x14ac:dyDescent="0.25"/>
    <row r="138774" s="12" customFormat="1" x14ac:dyDescent="0.25"/>
    <row r="138775" s="12" customFormat="1" x14ac:dyDescent="0.25"/>
    <row r="138776" s="12" customFormat="1" x14ac:dyDescent="0.25"/>
    <row r="138777" s="12" customFormat="1" x14ac:dyDescent="0.25"/>
    <row r="138778" s="12" customFormat="1" x14ac:dyDescent="0.25"/>
    <row r="138779" s="12" customFormat="1" x14ac:dyDescent="0.25"/>
    <row r="138780" s="12" customFormat="1" x14ac:dyDescent="0.25"/>
    <row r="138781" s="12" customFormat="1" x14ac:dyDescent="0.25"/>
    <row r="138782" s="12" customFormat="1" x14ac:dyDescent="0.25"/>
    <row r="138783" s="12" customFormat="1" x14ac:dyDescent="0.25"/>
    <row r="138784" s="12" customFormat="1" x14ac:dyDescent="0.25"/>
    <row r="138785" s="12" customFormat="1" x14ac:dyDescent="0.25"/>
    <row r="138786" s="12" customFormat="1" x14ac:dyDescent="0.25"/>
    <row r="138787" s="12" customFormat="1" x14ac:dyDescent="0.25"/>
    <row r="138788" s="12" customFormat="1" x14ac:dyDescent="0.25"/>
    <row r="138789" s="12" customFormat="1" x14ac:dyDescent="0.25"/>
    <row r="138790" s="12" customFormat="1" x14ac:dyDescent="0.25"/>
    <row r="138791" s="12" customFormat="1" x14ac:dyDescent="0.25"/>
    <row r="138792" s="12" customFormat="1" x14ac:dyDescent="0.25"/>
    <row r="138793" s="12" customFormat="1" x14ac:dyDescent="0.25"/>
    <row r="138794" s="12" customFormat="1" x14ac:dyDescent="0.25"/>
    <row r="138795" s="12" customFormat="1" x14ac:dyDescent="0.25"/>
    <row r="138796" s="12" customFormat="1" x14ac:dyDescent="0.25"/>
    <row r="138797" s="12" customFormat="1" x14ac:dyDescent="0.25"/>
    <row r="138798" s="12" customFormat="1" x14ac:dyDescent="0.25"/>
    <row r="138799" s="12" customFormat="1" x14ac:dyDescent="0.25"/>
    <row r="138800" s="12" customFormat="1" x14ac:dyDescent="0.25"/>
    <row r="138801" s="12" customFormat="1" x14ac:dyDescent="0.25"/>
    <row r="138802" s="12" customFormat="1" x14ac:dyDescent="0.25"/>
    <row r="138803" s="12" customFormat="1" x14ac:dyDescent="0.25"/>
    <row r="138804" s="12" customFormat="1" x14ac:dyDescent="0.25"/>
    <row r="138805" s="12" customFormat="1" x14ac:dyDescent="0.25"/>
    <row r="138806" s="12" customFormat="1" x14ac:dyDescent="0.25"/>
    <row r="138807" s="12" customFormat="1" x14ac:dyDescent="0.25"/>
    <row r="138808" s="12" customFormat="1" x14ac:dyDescent="0.25"/>
    <row r="138809" s="12" customFormat="1" x14ac:dyDescent="0.25"/>
    <row r="138810" s="12" customFormat="1" x14ac:dyDescent="0.25"/>
    <row r="138811" s="12" customFormat="1" x14ac:dyDescent="0.25"/>
    <row r="138812" s="12" customFormat="1" x14ac:dyDescent="0.25"/>
    <row r="138813" s="12" customFormat="1" x14ac:dyDescent="0.25"/>
    <row r="138814" s="12" customFormat="1" x14ac:dyDescent="0.25"/>
    <row r="138815" s="12" customFormat="1" x14ac:dyDescent="0.25"/>
    <row r="138816" s="12" customFormat="1" x14ac:dyDescent="0.25"/>
    <row r="138817" s="12" customFormat="1" x14ac:dyDescent="0.25"/>
    <row r="138818" s="12" customFormat="1" x14ac:dyDescent="0.25"/>
    <row r="138819" s="12" customFormat="1" x14ac:dyDescent="0.25"/>
    <row r="138820" s="12" customFormat="1" x14ac:dyDescent="0.25"/>
    <row r="138821" s="12" customFormat="1" x14ac:dyDescent="0.25"/>
    <row r="138822" s="12" customFormat="1" x14ac:dyDescent="0.25"/>
    <row r="138823" s="12" customFormat="1" x14ac:dyDescent="0.25"/>
    <row r="138824" s="12" customFormat="1" x14ac:dyDescent="0.25"/>
    <row r="138825" s="12" customFormat="1" x14ac:dyDescent="0.25"/>
    <row r="138826" s="12" customFormat="1" x14ac:dyDescent="0.25"/>
    <row r="138827" s="12" customFormat="1" x14ac:dyDescent="0.25"/>
    <row r="138828" s="12" customFormat="1" x14ac:dyDescent="0.25"/>
    <row r="138829" s="12" customFormat="1" x14ac:dyDescent="0.25"/>
    <row r="138830" s="12" customFormat="1" x14ac:dyDescent="0.25"/>
    <row r="138831" s="12" customFormat="1" x14ac:dyDescent="0.25"/>
    <row r="138832" s="12" customFormat="1" x14ac:dyDescent="0.25"/>
    <row r="138833" s="12" customFormat="1" x14ac:dyDescent="0.25"/>
    <row r="138834" s="12" customFormat="1" x14ac:dyDescent="0.25"/>
    <row r="138835" s="12" customFormat="1" x14ac:dyDescent="0.25"/>
    <row r="138836" s="12" customFormat="1" x14ac:dyDescent="0.25"/>
    <row r="138837" s="12" customFormat="1" x14ac:dyDescent="0.25"/>
    <row r="138838" s="12" customFormat="1" x14ac:dyDescent="0.25"/>
    <row r="138839" s="12" customFormat="1" x14ac:dyDescent="0.25"/>
    <row r="138840" s="12" customFormat="1" x14ac:dyDescent="0.25"/>
    <row r="138841" s="12" customFormat="1" x14ac:dyDescent="0.25"/>
    <row r="138842" s="12" customFormat="1" x14ac:dyDescent="0.25"/>
    <row r="138843" s="12" customFormat="1" x14ac:dyDescent="0.25"/>
    <row r="138844" s="12" customFormat="1" x14ac:dyDescent="0.25"/>
    <row r="138845" s="12" customFormat="1" x14ac:dyDescent="0.25"/>
    <row r="138846" s="12" customFormat="1" x14ac:dyDescent="0.25"/>
    <row r="138847" s="12" customFormat="1" x14ac:dyDescent="0.25"/>
    <row r="138848" s="12" customFormat="1" x14ac:dyDescent="0.25"/>
    <row r="138849" s="12" customFormat="1" x14ac:dyDescent="0.25"/>
    <row r="138850" s="12" customFormat="1" x14ac:dyDescent="0.25"/>
    <row r="138851" s="12" customFormat="1" x14ac:dyDescent="0.25"/>
    <row r="138852" s="12" customFormat="1" x14ac:dyDescent="0.25"/>
    <row r="138853" s="12" customFormat="1" x14ac:dyDescent="0.25"/>
    <row r="138854" s="12" customFormat="1" x14ac:dyDescent="0.25"/>
    <row r="138855" s="12" customFormat="1" x14ac:dyDescent="0.25"/>
    <row r="138856" s="12" customFormat="1" x14ac:dyDescent="0.25"/>
    <row r="138857" s="12" customFormat="1" x14ac:dyDescent="0.25"/>
    <row r="138858" s="12" customFormat="1" x14ac:dyDescent="0.25"/>
    <row r="138859" s="12" customFormat="1" x14ac:dyDescent="0.25"/>
    <row r="138860" s="12" customFormat="1" x14ac:dyDescent="0.25"/>
    <row r="138861" s="12" customFormat="1" x14ac:dyDescent="0.25"/>
    <row r="138862" s="12" customFormat="1" x14ac:dyDescent="0.25"/>
    <row r="138863" s="12" customFormat="1" x14ac:dyDescent="0.25"/>
    <row r="138864" s="12" customFormat="1" x14ac:dyDescent="0.25"/>
    <row r="138865" s="12" customFormat="1" x14ac:dyDescent="0.25"/>
    <row r="138866" s="12" customFormat="1" x14ac:dyDescent="0.25"/>
    <row r="138867" s="12" customFormat="1" x14ac:dyDescent="0.25"/>
    <row r="138868" s="12" customFormat="1" x14ac:dyDescent="0.25"/>
    <row r="138869" s="12" customFormat="1" x14ac:dyDescent="0.25"/>
    <row r="138870" s="12" customFormat="1" x14ac:dyDescent="0.25"/>
    <row r="138871" s="12" customFormat="1" x14ac:dyDescent="0.25"/>
    <row r="138872" s="12" customFormat="1" x14ac:dyDescent="0.25"/>
    <row r="138873" s="12" customFormat="1" x14ac:dyDescent="0.25"/>
    <row r="138874" s="12" customFormat="1" x14ac:dyDescent="0.25"/>
    <row r="138875" s="12" customFormat="1" x14ac:dyDescent="0.25"/>
    <row r="138876" s="12" customFormat="1" x14ac:dyDescent="0.25"/>
    <row r="138877" s="12" customFormat="1" x14ac:dyDescent="0.25"/>
    <row r="138878" s="12" customFormat="1" x14ac:dyDescent="0.25"/>
    <row r="138879" s="12" customFormat="1" x14ac:dyDescent="0.25"/>
    <row r="138880" s="12" customFormat="1" x14ac:dyDescent="0.25"/>
    <row r="138881" s="12" customFormat="1" x14ac:dyDescent="0.25"/>
    <row r="138882" s="12" customFormat="1" x14ac:dyDescent="0.25"/>
    <row r="138883" s="12" customFormat="1" x14ac:dyDescent="0.25"/>
    <row r="138884" s="12" customFormat="1" x14ac:dyDescent="0.25"/>
    <row r="138885" s="12" customFormat="1" x14ac:dyDescent="0.25"/>
    <row r="138886" s="12" customFormat="1" x14ac:dyDescent="0.25"/>
    <row r="138887" s="12" customFormat="1" x14ac:dyDescent="0.25"/>
    <row r="138888" s="12" customFormat="1" x14ac:dyDescent="0.25"/>
    <row r="138889" s="12" customFormat="1" x14ac:dyDescent="0.25"/>
    <row r="138890" s="12" customFormat="1" x14ac:dyDescent="0.25"/>
    <row r="138891" s="12" customFormat="1" x14ac:dyDescent="0.25"/>
    <row r="138892" s="12" customFormat="1" x14ac:dyDescent="0.25"/>
    <row r="138893" s="12" customFormat="1" x14ac:dyDescent="0.25"/>
    <row r="138894" s="12" customFormat="1" x14ac:dyDescent="0.25"/>
    <row r="138895" s="12" customFormat="1" x14ac:dyDescent="0.25"/>
    <row r="138896" s="12" customFormat="1" x14ac:dyDescent="0.25"/>
    <row r="138897" s="12" customFormat="1" x14ac:dyDescent="0.25"/>
    <row r="138898" s="12" customFormat="1" x14ac:dyDescent="0.25"/>
    <row r="138899" s="12" customFormat="1" x14ac:dyDescent="0.25"/>
    <row r="138900" s="12" customFormat="1" x14ac:dyDescent="0.25"/>
    <row r="138901" s="12" customFormat="1" x14ac:dyDescent="0.25"/>
    <row r="138902" s="12" customFormat="1" x14ac:dyDescent="0.25"/>
    <row r="138903" s="12" customFormat="1" x14ac:dyDescent="0.25"/>
    <row r="138904" s="12" customFormat="1" x14ac:dyDescent="0.25"/>
    <row r="138905" s="12" customFormat="1" x14ac:dyDescent="0.25"/>
    <row r="138906" s="12" customFormat="1" x14ac:dyDescent="0.25"/>
    <row r="138907" s="12" customFormat="1" x14ac:dyDescent="0.25"/>
    <row r="138908" s="12" customFormat="1" x14ac:dyDescent="0.25"/>
    <row r="138909" s="12" customFormat="1" x14ac:dyDescent="0.25"/>
    <row r="138910" s="12" customFormat="1" x14ac:dyDescent="0.25"/>
    <row r="138911" s="12" customFormat="1" x14ac:dyDescent="0.25"/>
    <row r="138912" s="12" customFormat="1" x14ac:dyDescent="0.25"/>
    <row r="138913" s="12" customFormat="1" x14ac:dyDescent="0.25"/>
    <row r="138914" s="12" customFormat="1" x14ac:dyDescent="0.25"/>
    <row r="138915" s="12" customFormat="1" x14ac:dyDescent="0.25"/>
    <row r="138916" s="12" customFormat="1" x14ac:dyDescent="0.25"/>
    <row r="138917" s="12" customFormat="1" x14ac:dyDescent="0.25"/>
    <row r="138918" s="12" customFormat="1" x14ac:dyDescent="0.25"/>
    <row r="138919" s="12" customFormat="1" x14ac:dyDescent="0.25"/>
    <row r="138920" s="12" customFormat="1" x14ac:dyDescent="0.25"/>
    <row r="138921" s="12" customFormat="1" x14ac:dyDescent="0.25"/>
    <row r="138922" s="12" customFormat="1" x14ac:dyDescent="0.25"/>
    <row r="138923" s="12" customFormat="1" x14ac:dyDescent="0.25"/>
    <row r="138924" s="12" customFormat="1" x14ac:dyDescent="0.25"/>
    <row r="138925" s="12" customFormat="1" x14ac:dyDescent="0.25"/>
    <row r="138926" s="12" customFormat="1" x14ac:dyDescent="0.25"/>
    <row r="138927" s="12" customFormat="1" x14ac:dyDescent="0.25"/>
    <row r="138928" s="12" customFormat="1" x14ac:dyDescent="0.25"/>
    <row r="138929" s="12" customFormat="1" x14ac:dyDescent="0.25"/>
    <row r="138930" s="12" customFormat="1" x14ac:dyDescent="0.25"/>
    <row r="138931" s="12" customFormat="1" x14ac:dyDescent="0.25"/>
    <row r="138932" s="12" customFormat="1" x14ac:dyDescent="0.25"/>
    <row r="138933" s="12" customFormat="1" x14ac:dyDescent="0.25"/>
    <row r="138934" s="12" customFormat="1" x14ac:dyDescent="0.25"/>
    <row r="138935" s="12" customFormat="1" x14ac:dyDescent="0.25"/>
    <row r="138936" s="12" customFormat="1" x14ac:dyDescent="0.25"/>
    <row r="138937" s="12" customFormat="1" x14ac:dyDescent="0.25"/>
    <row r="138938" s="12" customFormat="1" x14ac:dyDescent="0.25"/>
    <row r="138939" s="12" customFormat="1" x14ac:dyDescent="0.25"/>
    <row r="138940" s="12" customFormat="1" x14ac:dyDescent="0.25"/>
    <row r="138941" s="12" customFormat="1" x14ac:dyDescent="0.25"/>
    <row r="138942" s="12" customFormat="1" x14ac:dyDescent="0.25"/>
    <row r="138943" s="12" customFormat="1" x14ac:dyDescent="0.25"/>
    <row r="138944" s="12" customFormat="1" x14ac:dyDescent="0.25"/>
    <row r="138945" s="12" customFormat="1" x14ac:dyDescent="0.25"/>
    <row r="138946" s="12" customFormat="1" x14ac:dyDescent="0.25"/>
    <row r="138947" s="12" customFormat="1" x14ac:dyDescent="0.25"/>
    <row r="138948" s="12" customFormat="1" x14ac:dyDescent="0.25"/>
    <row r="138949" s="12" customFormat="1" x14ac:dyDescent="0.25"/>
    <row r="138950" s="12" customFormat="1" x14ac:dyDescent="0.25"/>
    <row r="138951" s="12" customFormat="1" x14ac:dyDescent="0.25"/>
    <row r="138952" s="12" customFormat="1" x14ac:dyDescent="0.25"/>
    <row r="138953" s="12" customFormat="1" x14ac:dyDescent="0.25"/>
    <row r="138954" s="12" customFormat="1" x14ac:dyDescent="0.25"/>
    <row r="138955" s="12" customFormat="1" x14ac:dyDescent="0.25"/>
    <row r="138956" s="12" customFormat="1" x14ac:dyDescent="0.25"/>
    <row r="138957" s="12" customFormat="1" x14ac:dyDescent="0.25"/>
    <row r="138958" s="12" customFormat="1" x14ac:dyDescent="0.25"/>
    <row r="138959" s="12" customFormat="1" x14ac:dyDescent="0.25"/>
    <row r="138960" s="12" customFormat="1" x14ac:dyDescent="0.25"/>
    <row r="138961" s="12" customFormat="1" x14ac:dyDescent="0.25"/>
    <row r="138962" s="12" customFormat="1" x14ac:dyDescent="0.25"/>
    <row r="138963" s="12" customFormat="1" x14ac:dyDescent="0.25"/>
    <row r="138964" s="12" customFormat="1" x14ac:dyDescent="0.25"/>
    <row r="138965" s="12" customFormat="1" x14ac:dyDescent="0.25"/>
    <row r="138966" s="12" customFormat="1" x14ac:dyDescent="0.25"/>
    <row r="138967" s="12" customFormat="1" x14ac:dyDescent="0.25"/>
    <row r="138968" s="12" customFormat="1" x14ac:dyDescent="0.25"/>
    <row r="138969" s="12" customFormat="1" x14ac:dyDescent="0.25"/>
    <row r="138970" s="12" customFormat="1" x14ac:dyDescent="0.25"/>
    <row r="138971" s="12" customFormat="1" x14ac:dyDescent="0.25"/>
    <row r="138972" s="12" customFormat="1" x14ac:dyDescent="0.25"/>
    <row r="138973" s="12" customFormat="1" x14ac:dyDescent="0.25"/>
    <row r="138974" s="12" customFormat="1" x14ac:dyDescent="0.25"/>
    <row r="138975" s="12" customFormat="1" x14ac:dyDescent="0.25"/>
    <row r="138976" s="12" customFormat="1" x14ac:dyDescent="0.25"/>
    <row r="138977" s="12" customFormat="1" x14ac:dyDescent="0.25"/>
    <row r="138978" s="12" customFormat="1" x14ac:dyDescent="0.25"/>
    <row r="138979" s="12" customFormat="1" x14ac:dyDescent="0.25"/>
    <row r="138980" s="12" customFormat="1" x14ac:dyDescent="0.25"/>
    <row r="138981" s="12" customFormat="1" x14ac:dyDescent="0.25"/>
    <row r="138982" s="12" customFormat="1" x14ac:dyDescent="0.25"/>
    <row r="138983" s="12" customFormat="1" x14ac:dyDescent="0.25"/>
    <row r="138984" s="12" customFormat="1" x14ac:dyDescent="0.25"/>
    <row r="138985" s="12" customFormat="1" x14ac:dyDescent="0.25"/>
    <row r="138986" s="12" customFormat="1" x14ac:dyDescent="0.25"/>
    <row r="138987" s="12" customFormat="1" x14ac:dyDescent="0.25"/>
    <row r="138988" s="12" customFormat="1" x14ac:dyDescent="0.25"/>
    <row r="138989" s="12" customFormat="1" x14ac:dyDescent="0.25"/>
    <row r="138990" s="12" customFormat="1" x14ac:dyDescent="0.25"/>
    <row r="138991" s="12" customFormat="1" x14ac:dyDescent="0.25"/>
    <row r="138992" s="12" customFormat="1" x14ac:dyDescent="0.25"/>
    <row r="138993" s="12" customFormat="1" x14ac:dyDescent="0.25"/>
    <row r="138994" s="12" customFormat="1" x14ac:dyDescent="0.25"/>
    <row r="138995" s="12" customFormat="1" x14ac:dyDescent="0.25"/>
    <row r="138996" s="12" customFormat="1" x14ac:dyDescent="0.25"/>
    <row r="138997" s="12" customFormat="1" x14ac:dyDescent="0.25"/>
    <row r="138998" s="12" customFormat="1" x14ac:dyDescent="0.25"/>
    <row r="138999" s="12" customFormat="1" x14ac:dyDescent="0.25"/>
    <row r="139000" s="12" customFormat="1" x14ac:dyDescent="0.25"/>
    <row r="139001" s="12" customFormat="1" x14ac:dyDescent="0.25"/>
    <row r="139002" s="12" customFormat="1" x14ac:dyDescent="0.25"/>
    <row r="139003" s="12" customFormat="1" x14ac:dyDescent="0.25"/>
    <row r="139004" s="12" customFormat="1" x14ac:dyDescent="0.25"/>
    <row r="139005" s="12" customFormat="1" x14ac:dyDescent="0.25"/>
    <row r="139006" s="12" customFormat="1" x14ac:dyDescent="0.25"/>
    <row r="139007" s="12" customFormat="1" x14ac:dyDescent="0.25"/>
    <row r="139008" s="12" customFormat="1" x14ac:dyDescent="0.25"/>
    <row r="139009" s="12" customFormat="1" x14ac:dyDescent="0.25"/>
    <row r="139010" s="12" customFormat="1" x14ac:dyDescent="0.25"/>
    <row r="139011" s="12" customFormat="1" x14ac:dyDescent="0.25"/>
    <row r="139012" s="12" customFormat="1" x14ac:dyDescent="0.25"/>
    <row r="139013" s="12" customFormat="1" x14ac:dyDescent="0.25"/>
    <row r="139014" s="12" customFormat="1" x14ac:dyDescent="0.25"/>
    <row r="139015" s="12" customFormat="1" x14ac:dyDescent="0.25"/>
    <row r="139016" s="12" customFormat="1" x14ac:dyDescent="0.25"/>
    <row r="139017" s="12" customFormat="1" x14ac:dyDescent="0.25"/>
    <row r="139018" s="12" customFormat="1" x14ac:dyDescent="0.25"/>
    <row r="139019" s="12" customFormat="1" x14ac:dyDescent="0.25"/>
    <row r="139020" s="12" customFormat="1" x14ac:dyDescent="0.25"/>
    <row r="139021" s="12" customFormat="1" x14ac:dyDescent="0.25"/>
    <row r="139022" s="12" customFormat="1" x14ac:dyDescent="0.25"/>
    <row r="139023" s="12" customFormat="1" x14ac:dyDescent="0.25"/>
    <row r="139024" s="12" customFormat="1" x14ac:dyDescent="0.25"/>
    <row r="139025" s="12" customFormat="1" x14ac:dyDescent="0.25"/>
    <row r="139026" s="12" customFormat="1" x14ac:dyDescent="0.25"/>
    <row r="139027" s="12" customFormat="1" x14ac:dyDescent="0.25"/>
    <row r="139028" s="12" customFormat="1" x14ac:dyDescent="0.25"/>
    <row r="139029" s="12" customFormat="1" x14ac:dyDescent="0.25"/>
    <row r="139030" s="12" customFormat="1" x14ac:dyDescent="0.25"/>
    <row r="139031" s="12" customFormat="1" x14ac:dyDescent="0.25"/>
    <row r="139032" s="12" customFormat="1" x14ac:dyDescent="0.25"/>
    <row r="139033" s="12" customFormat="1" x14ac:dyDescent="0.25"/>
    <row r="139034" s="12" customFormat="1" x14ac:dyDescent="0.25"/>
    <row r="139035" s="12" customFormat="1" x14ac:dyDescent="0.25"/>
    <row r="139036" s="12" customFormat="1" x14ac:dyDescent="0.25"/>
    <row r="139037" s="12" customFormat="1" x14ac:dyDescent="0.25"/>
    <row r="139038" s="12" customFormat="1" x14ac:dyDescent="0.25"/>
    <row r="139039" s="12" customFormat="1" x14ac:dyDescent="0.25"/>
    <row r="139040" s="12" customFormat="1" x14ac:dyDescent="0.25"/>
    <row r="139041" s="12" customFormat="1" x14ac:dyDescent="0.25"/>
    <row r="139042" s="12" customFormat="1" x14ac:dyDescent="0.25"/>
    <row r="139043" s="12" customFormat="1" x14ac:dyDescent="0.25"/>
    <row r="139044" s="12" customFormat="1" x14ac:dyDescent="0.25"/>
    <row r="139045" s="12" customFormat="1" x14ac:dyDescent="0.25"/>
    <row r="139046" s="12" customFormat="1" x14ac:dyDescent="0.25"/>
    <row r="139047" s="12" customFormat="1" x14ac:dyDescent="0.25"/>
    <row r="139048" s="12" customFormat="1" x14ac:dyDescent="0.25"/>
    <row r="139049" s="12" customFormat="1" x14ac:dyDescent="0.25"/>
    <row r="139050" s="12" customFormat="1" x14ac:dyDescent="0.25"/>
    <row r="139051" s="12" customFormat="1" x14ac:dyDescent="0.25"/>
    <row r="139052" s="12" customFormat="1" x14ac:dyDescent="0.25"/>
    <row r="139053" s="12" customFormat="1" x14ac:dyDescent="0.25"/>
    <row r="139054" s="12" customFormat="1" x14ac:dyDescent="0.25"/>
    <row r="139055" s="12" customFormat="1" x14ac:dyDescent="0.25"/>
    <row r="139056" s="12" customFormat="1" x14ac:dyDescent="0.25"/>
    <row r="139057" s="12" customFormat="1" x14ac:dyDescent="0.25"/>
    <row r="139058" s="12" customFormat="1" x14ac:dyDescent="0.25"/>
    <row r="139059" s="12" customFormat="1" x14ac:dyDescent="0.25"/>
    <row r="139060" s="12" customFormat="1" x14ac:dyDescent="0.25"/>
    <row r="139061" s="12" customFormat="1" x14ac:dyDescent="0.25"/>
    <row r="139062" s="12" customFormat="1" x14ac:dyDescent="0.25"/>
    <row r="139063" s="12" customFormat="1" x14ac:dyDescent="0.25"/>
    <row r="139064" s="12" customFormat="1" x14ac:dyDescent="0.25"/>
    <row r="139065" s="12" customFormat="1" x14ac:dyDescent="0.25"/>
    <row r="139066" s="12" customFormat="1" x14ac:dyDescent="0.25"/>
    <row r="139067" s="12" customFormat="1" x14ac:dyDescent="0.25"/>
    <row r="139068" s="12" customFormat="1" x14ac:dyDescent="0.25"/>
    <row r="139069" s="12" customFormat="1" x14ac:dyDescent="0.25"/>
    <row r="139070" s="12" customFormat="1" x14ac:dyDescent="0.25"/>
    <row r="139071" s="12" customFormat="1" x14ac:dyDescent="0.25"/>
    <row r="139072" s="12" customFormat="1" x14ac:dyDescent="0.25"/>
    <row r="139073" s="12" customFormat="1" x14ac:dyDescent="0.25"/>
    <row r="139074" s="12" customFormat="1" x14ac:dyDescent="0.25"/>
    <row r="139075" s="12" customFormat="1" x14ac:dyDescent="0.25"/>
    <row r="139076" s="12" customFormat="1" x14ac:dyDescent="0.25"/>
    <row r="139077" s="12" customFormat="1" x14ac:dyDescent="0.25"/>
    <row r="139078" s="12" customFormat="1" x14ac:dyDescent="0.25"/>
    <row r="139079" s="12" customFormat="1" x14ac:dyDescent="0.25"/>
    <row r="139080" s="12" customFormat="1" x14ac:dyDescent="0.25"/>
    <row r="139081" s="12" customFormat="1" x14ac:dyDescent="0.25"/>
    <row r="139082" s="12" customFormat="1" x14ac:dyDescent="0.25"/>
    <row r="139083" s="12" customFormat="1" x14ac:dyDescent="0.25"/>
    <row r="139084" s="12" customFormat="1" x14ac:dyDescent="0.25"/>
    <row r="139085" s="12" customFormat="1" x14ac:dyDescent="0.25"/>
    <row r="139086" s="12" customFormat="1" x14ac:dyDescent="0.25"/>
    <row r="139087" s="12" customFormat="1" x14ac:dyDescent="0.25"/>
    <row r="139088" s="12" customFormat="1" x14ac:dyDescent="0.25"/>
    <row r="139089" s="12" customFormat="1" x14ac:dyDescent="0.25"/>
    <row r="139090" s="12" customFormat="1" x14ac:dyDescent="0.25"/>
    <row r="139091" s="12" customFormat="1" x14ac:dyDescent="0.25"/>
    <row r="139092" s="12" customFormat="1" x14ac:dyDescent="0.25"/>
    <row r="139093" s="12" customFormat="1" x14ac:dyDescent="0.25"/>
    <row r="139094" s="12" customFormat="1" x14ac:dyDescent="0.25"/>
    <row r="139095" s="12" customFormat="1" x14ac:dyDescent="0.25"/>
    <row r="139096" s="12" customFormat="1" x14ac:dyDescent="0.25"/>
    <row r="139097" s="12" customFormat="1" x14ac:dyDescent="0.25"/>
    <row r="139098" s="12" customFormat="1" x14ac:dyDescent="0.25"/>
    <row r="139099" s="12" customFormat="1" x14ac:dyDescent="0.25"/>
    <row r="139100" s="12" customFormat="1" x14ac:dyDescent="0.25"/>
    <row r="139101" s="12" customFormat="1" x14ac:dyDescent="0.25"/>
    <row r="139102" s="12" customFormat="1" x14ac:dyDescent="0.25"/>
    <row r="139103" s="12" customFormat="1" x14ac:dyDescent="0.25"/>
    <row r="139104" s="12" customFormat="1" x14ac:dyDescent="0.25"/>
    <row r="139105" s="12" customFormat="1" x14ac:dyDescent="0.25"/>
    <row r="139106" s="12" customFormat="1" x14ac:dyDescent="0.25"/>
    <row r="139107" s="12" customFormat="1" x14ac:dyDescent="0.25"/>
    <row r="139108" s="12" customFormat="1" x14ac:dyDescent="0.25"/>
    <row r="139109" s="12" customFormat="1" x14ac:dyDescent="0.25"/>
    <row r="139110" s="12" customFormat="1" x14ac:dyDescent="0.25"/>
    <row r="139111" s="12" customFormat="1" x14ac:dyDescent="0.25"/>
    <row r="139112" s="12" customFormat="1" x14ac:dyDescent="0.25"/>
    <row r="139113" s="12" customFormat="1" x14ac:dyDescent="0.25"/>
    <row r="139114" s="12" customFormat="1" x14ac:dyDescent="0.25"/>
    <row r="139115" s="12" customFormat="1" x14ac:dyDescent="0.25"/>
    <row r="139116" s="12" customFormat="1" x14ac:dyDescent="0.25"/>
    <row r="139117" s="12" customFormat="1" x14ac:dyDescent="0.25"/>
    <row r="139118" s="12" customFormat="1" x14ac:dyDescent="0.25"/>
    <row r="139119" s="12" customFormat="1" x14ac:dyDescent="0.25"/>
    <row r="139120" s="12" customFormat="1" x14ac:dyDescent="0.25"/>
    <row r="139121" s="12" customFormat="1" x14ac:dyDescent="0.25"/>
    <row r="139122" s="12" customFormat="1" x14ac:dyDescent="0.25"/>
    <row r="139123" s="12" customFormat="1" x14ac:dyDescent="0.25"/>
    <row r="139124" s="12" customFormat="1" x14ac:dyDescent="0.25"/>
    <row r="139125" s="12" customFormat="1" x14ac:dyDescent="0.25"/>
    <row r="139126" s="12" customFormat="1" x14ac:dyDescent="0.25"/>
    <row r="139127" s="12" customFormat="1" x14ac:dyDescent="0.25"/>
    <row r="139128" s="12" customFormat="1" x14ac:dyDescent="0.25"/>
    <row r="139129" s="12" customFormat="1" x14ac:dyDescent="0.25"/>
    <row r="139130" s="12" customFormat="1" x14ac:dyDescent="0.25"/>
    <row r="139131" s="12" customFormat="1" x14ac:dyDescent="0.25"/>
    <row r="139132" s="12" customFormat="1" x14ac:dyDescent="0.25"/>
    <row r="139133" s="12" customFormat="1" x14ac:dyDescent="0.25"/>
    <row r="139134" s="12" customFormat="1" x14ac:dyDescent="0.25"/>
    <row r="139135" s="12" customFormat="1" x14ac:dyDescent="0.25"/>
    <row r="139136" s="12" customFormat="1" x14ac:dyDescent="0.25"/>
    <row r="139137" s="12" customFormat="1" x14ac:dyDescent="0.25"/>
    <row r="139138" s="12" customFormat="1" x14ac:dyDescent="0.25"/>
    <row r="139139" s="12" customFormat="1" x14ac:dyDescent="0.25"/>
    <row r="139140" s="12" customFormat="1" x14ac:dyDescent="0.25"/>
    <row r="139141" s="12" customFormat="1" x14ac:dyDescent="0.25"/>
    <row r="139142" s="12" customFormat="1" x14ac:dyDescent="0.25"/>
    <row r="139143" s="12" customFormat="1" x14ac:dyDescent="0.25"/>
    <row r="139144" s="12" customFormat="1" x14ac:dyDescent="0.25"/>
    <row r="139145" s="12" customFormat="1" x14ac:dyDescent="0.25"/>
    <row r="139146" s="12" customFormat="1" x14ac:dyDescent="0.25"/>
    <row r="139147" s="12" customFormat="1" x14ac:dyDescent="0.25"/>
    <row r="139148" s="12" customFormat="1" x14ac:dyDescent="0.25"/>
    <row r="139149" s="12" customFormat="1" x14ac:dyDescent="0.25"/>
    <row r="139150" s="12" customFormat="1" x14ac:dyDescent="0.25"/>
    <row r="139151" s="12" customFormat="1" x14ac:dyDescent="0.25"/>
    <row r="139152" s="12" customFormat="1" x14ac:dyDescent="0.25"/>
    <row r="139153" s="12" customFormat="1" x14ac:dyDescent="0.25"/>
    <row r="139154" s="12" customFormat="1" x14ac:dyDescent="0.25"/>
    <row r="139155" s="12" customFormat="1" x14ac:dyDescent="0.25"/>
    <row r="139156" s="12" customFormat="1" x14ac:dyDescent="0.25"/>
    <row r="139157" s="12" customFormat="1" x14ac:dyDescent="0.25"/>
    <row r="139158" s="12" customFormat="1" x14ac:dyDescent="0.25"/>
    <row r="139159" s="12" customFormat="1" x14ac:dyDescent="0.25"/>
    <row r="139160" s="12" customFormat="1" x14ac:dyDescent="0.25"/>
    <row r="139161" s="12" customFormat="1" x14ac:dyDescent="0.25"/>
    <row r="139162" s="12" customFormat="1" x14ac:dyDescent="0.25"/>
    <row r="139163" s="12" customFormat="1" x14ac:dyDescent="0.25"/>
    <row r="139164" s="12" customFormat="1" x14ac:dyDescent="0.25"/>
    <row r="139165" s="12" customFormat="1" x14ac:dyDescent="0.25"/>
    <row r="139166" s="12" customFormat="1" x14ac:dyDescent="0.25"/>
    <row r="139167" s="12" customFormat="1" x14ac:dyDescent="0.25"/>
    <row r="139168" s="12" customFormat="1" x14ac:dyDescent="0.25"/>
    <row r="139169" s="12" customFormat="1" x14ac:dyDescent="0.25"/>
    <row r="139170" s="12" customFormat="1" x14ac:dyDescent="0.25"/>
    <row r="139171" s="12" customFormat="1" x14ac:dyDescent="0.25"/>
    <row r="139172" s="12" customFormat="1" x14ac:dyDescent="0.25"/>
    <row r="139173" s="12" customFormat="1" x14ac:dyDescent="0.25"/>
    <row r="139174" s="12" customFormat="1" x14ac:dyDescent="0.25"/>
    <row r="139175" s="12" customFormat="1" x14ac:dyDescent="0.25"/>
    <row r="139176" s="12" customFormat="1" x14ac:dyDescent="0.25"/>
    <row r="139177" s="12" customFormat="1" x14ac:dyDescent="0.25"/>
    <row r="139178" s="12" customFormat="1" x14ac:dyDescent="0.25"/>
    <row r="139179" s="12" customFormat="1" x14ac:dyDescent="0.25"/>
    <row r="139180" s="12" customFormat="1" x14ac:dyDescent="0.25"/>
    <row r="139181" s="12" customFormat="1" x14ac:dyDescent="0.25"/>
    <row r="139182" s="12" customFormat="1" x14ac:dyDescent="0.25"/>
    <row r="139183" s="12" customFormat="1" x14ac:dyDescent="0.25"/>
    <row r="139184" s="12" customFormat="1" x14ac:dyDescent="0.25"/>
    <row r="139185" s="12" customFormat="1" x14ac:dyDescent="0.25"/>
    <row r="139186" s="12" customFormat="1" x14ac:dyDescent="0.25"/>
    <row r="139187" s="12" customFormat="1" x14ac:dyDescent="0.25"/>
    <row r="139188" s="12" customFormat="1" x14ac:dyDescent="0.25"/>
    <row r="139189" s="12" customFormat="1" x14ac:dyDescent="0.25"/>
    <row r="139190" s="12" customFormat="1" x14ac:dyDescent="0.25"/>
    <row r="139191" s="12" customFormat="1" x14ac:dyDescent="0.25"/>
    <row r="139192" s="12" customFormat="1" x14ac:dyDescent="0.25"/>
    <row r="139193" s="12" customFormat="1" x14ac:dyDescent="0.25"/>
    <row r="139194" s="12" customFormat="1" x14ac:dyDescent="0.25"/>
    <row r="139195" s="12" customFormat="1" x14ac:dyDescent="0.25"/>
    <row r="139196" s="12" customFormat="1" x14ac:dyDescent="0.25"/>
    <row r="139197" s="12" customFormat="1" x14ac:dyDescent="0.25"/>
    <row r="139198" s="12" customFormat="1" x14ac:dyDescent="0.25"/>
    <row r="139199" s="12" customFormat="1" x14ac:dyDescent="0.25"/>
    <row r="139200" s="12" customFormat="1" x14ac:dyDescent="0.25"/>
    <row r="139201" s="12" customFormat="1" x14ac:dyDescent="0.25"/>
    <row r="139202" s="12" customFormat="1" x14ac:dyDescent="0.25"/>
    <row r="139203" s="12" customFormat="1" x14ac:dyDescent="0.25"/>
    <row r="139204" s="12" customFormat="1" x14ac:dyDescent="0.25"/>
    <row r="139205" s="12" customFormat="1" x14ac:dyDescent="0.25"/>
    <row r="139206" s="12" customFormat="1" x14ac:dyDescent="0.25"/>
    <row r="139207" s="12" customFormat="1" x14ac:dyDescent="0.25"/>
    <row r="139208" s="12" customFormat="1" x14ac:dyDescent="0.25"/>
    <row r="139209" s="12" customFormat="1" x14ac:dyDescent="0.25"/>
    <row r="139210" s="12" customFormat="1" x14ac:dyDescent="0.25"/>
    <row r="139211" s="12" customFormat="1" x14ac:dyDescent="0.25"/>
    <row r="139212" s="12" customFormat="1" x14ac:dyDescent="0.25"/>
    <row r="139213" s="12" customFormat="1" x14ac:dyDescent="0.25"/>
    <row r="139214" s="12" customFormat="1" x14ac:dyDescent="0.25"/>
    <row r="139215" s="12" customFormat="1" x14ac:dyDescent="0.25"/>
    <row r="139216" s="12" customFormat="1" x14ac:dyDescent="0.25"/>
    <row r="139217" s="12" customFormat="1" x14ac:dyDescent="0.25"/>
    <row r="139218" s="12" customFormat="1" x14ac:dyDescent="0.25"/>
    <row r="139219" s="12" customFormat="1" x14ac:dyDescent="0.25"/>
    <row r="139220" s="12" customFormat="1" x14ac:dyDescent="0.25"/>
    <row r="139221" s="12" customFormat="1" x14ac:dyDescent="0.25"/>
    <row r="139222" s="12" customFormat="1" x14ac:dyDescent="0.25"/>
    <row r="139223" s="12" customFormat="1" x14ac:dyDescent="0.25"/>
    <row r="139224" s="12" customFormat="1" x14ac:dyDescent="0.25"/>
    <row r="139225" s="12" customFormat="1" x14ac:dyDescent="0.25"/>
    <row r="139226" s="12" customFormat="1" x14ac:dyDescent="0.25"/>
    <row r="139227" s="12" customFormat="1" x14ac:dyDescent="0.25"/>
    <row r="139228" s="12" customFormat="1" x14ac:dyDescent="0.25"/>
    <row r="139229" s="12" customFormat="1" x14ac:dyDescent="0.25"/>
    <row r="139230" s="12" customFormat="1" x14ac:dyDescent="0.25"/>
    <row r="139231" s="12" customFormat="1" x14ac:dyDescent="0.25"/>
    <row r="139232" s="12" customFormat="1" x14ac:dyDescent="0.25"/>
    <row r="139233" s="12" customFormat="1" x14ac:dyDescent="0.25"/>
    <row r="139234" s="12" customFormat="1" x14ac:dyDescent="0.25"/>
    <row r="139235" s="12" customFormat="1" x14ac:dyDescent="0.25"/>
    <row r="139236" s="12" customFormat="1" x14ac:dyDescent="0.25"/>
    <row r="139237" s="12" customFormat="1" x14ac:dyDescent="0.25"/>
    <row r="139238" s="12" customFormat="1" x14ac:dyDescent="0.25"/>
    <row r="139239" s="12" customFormat="1" x14ac:dyDescent="0.25"/>
    <row r="139240" s="12" customFormat="1" x14ac:dyDescent="0.25"/>
    <row r="139241" s="12" customFormat="1" x14ac:dyDescent="0.25"/>
    <row r="139242" s="12" customFormat="1" x14ac:dyDescent="0.25"/>
    <row r="139243" s="12" customFormat="1" x14ac:dyDescent="0.25"/>
    <row r="139244" s="12" customFormat="1" x14ac:dyDescent="0.25"/>
    <row r="139245" s="12" customFormat="1" x14ac:dyDescent="0.25"/>
    <row r="139246" s="12" customFormat="1" x14ac:dyDescent="0.25"/>
    <row r="139247" s="12" customFormat="1" x14ac:dyDescent="0.25"/>
    <row r="139248" s="12" customFormat="1" x14ac:dyDescent="0.25"/>
    <row r="139249" s="12" customFormat="1" x14ac:dyDescent="0.25"/>
    <row r="139250" s="12" customFormat="1" x14ac:dyDescent="0.25"/>
    <row r="139251" s="12" customFormat="1" x14ac:dyDescent="0.25"/>
    <row r="139252" s="12" customFormat="1" x14ac:dyDescent="0.25"/>
    <row r="139253" s="12" customFormat="1" x14ac:dyDescent="0.25"/>
    <row r="139254" s="12" customFormat="1" x14ac:dyDescent="0.25"/>
    <row r="139255" s="12" customFormat="1" x14ac:dyDescent="0.25"/>
    <row r="139256" s="12" customFormat="1" x14ac:dyDescent="0.25"/>
    <row r="139257" s="12" customFormat="1" x14ac:dyDescent="0.25"/>
    <row r="139258" s="12" customFormat="1" x14ac:dyDescent="0.25"/>
    <row r="139259" s="12" customFormat="1" x14ac:dyDescent="0.25"/>
    <row r="139260" s="12" customFormat="1" x14ac:dyDescent="0.25"/>
    <row r="139261" s="12" customFormat="1" x14ac:dyDescent="0.25"/>
    <row r="139262" s="12" customFormat="1" x14ac:dyDescent="0.25"/>
    <row r="139263" s="12" customFormat="1" x14ac:dyDescent="0.25"/>
    <row r="139264" s="12" customFormat="1" x14ac:dyDescent="0.25"/>
    <row r="139265" s="12" customFormat="1" x14ac:dyDescent="0.25"/>
    <row r="139266" s="12" customFormat="1" x14ac:dyDescent="0.25"/>
    <row r="139267" s="12" customFormat="1" x14ac:dyDescent="0.25"/>
    <row r="139268" s="12" customFormat="1" x14ac:dyDescent="0.25"/>
    <row r="139269" s="12" customFormat="1" x14ac:dyDescent="0.25"/>
    <row r="139270" s="12" customFormat="1" x14ac:dyDescent="0.25"/>
    <row r="139271" s="12" customFormat="1" x14ac:dyDescent="0.25"/>
    <row r="139272" s="12" customFormat="1" x14ac:dyDescent="0.25"/>
    <row r="139273" s="12" customFormat="1" x14ac:dyDescent="0.25"/>
    <row r="139274" s="12" customFormat="1" x14ac:dyDescent="0.25"/>
    <row r="139275" s="12" customFormat="1" x14ac:dyDescent="0.25"/>
    <row r="139276" s="12" customFormat="1" x14ac:dyDescent="0.25"/>
    <row r="139277" s="12" customFormat="1" x14ac:dyDescent="0.25"/>
    <row r="139278" s="12" customFormat="1" x14ac:dyDescent="0.25"/>
    <row r="139279" s="12" customFormat="1" x14ac:dyDescent="0.25"/>
    <row r="139280" s="12" customFormat="1" x14ac:dyDescent="0.25"/>
    <row r="139281" s="12" customFormat="1" x14ac:dyDescent="0.25"/>
    <row r="139282" s="12" customFormat="1" x14ac:dyDescent="0.25"/>
    <row r="139283" s="12" customFormat="1" x14ac:dyDescent="0.25"/>
    <row r="139284" s="12" customFormat="1" x14ac:dyDescent="0.25"/>
    <row r="139285" s="12" customFormat="1" x14ac:dyDescent="0.25"/>
    <row r="139286" s="12" customFormat="1" x14ac:dyDescent="0.25"/>
    <row r="139287" s="12" customFormat="1" x14ac:dyDescent="0.25"/>
    <row r="139288" s="12" customFormat="1" x14ac:dyDescent="0.25"/>
    <row r="139289" s="12" customFormat="1" x14ac:dyDescent="0.25"/>
    <row r="139290" s="12" customFormat="1" x14ac:dyDescent="0.25"/>
    <row r="139291" s="12" customFormat="1" x14ac:dyDescent="0.25"/>
    <row r="139292" s="12" customFormat="1" x14ac:dyDescent="0.25"/>
    <row r="139293" s="12" customFormat="1" x14ac:dyDescent="0.25"/>
    <row r="139294" s="12" customFormat="1" x14ac:dyDescent="0.25"/>
    <row r="139295" s="12" customFormat="1" x14ac:dyDescent="0.25"/>
    <row r="139296" s="12" customFormat="1" x14ac:dyDescent="0.25"/>
    <row r="139297" s="12" customFormat="1" x14ac:dyDescent="0.25"/>
    <row r="139298" s="12" customFormat="1" x14ac:dyDescent="0.25"/>
    <row r="139299" s="12" customFormat="1" x14ac:dyDescent="0.25"/>
    <row r="139300" s="12" customFormat="1" x14ac:dyDescent="0.25"/>
    <row r="139301" s="12" customFormat="1" x14ac:dyDescent="0.25"/>
    <row r="139302" s="12" customFormat="1" x14ac:dyDescent="0.25"/>
    <row r="139303" s="12" customFormat="1" x14ac:dyDescent="0.25"/>
    <row r="139304" s="12" customFormat="1" x14ac:dyDescent="0.25"/>
    <row r="139305" s="12" customFormat="1" x14ac:dyDescent="0.25"/>
    <row r="139306" s="12" customFormat="1" x14ac:dyDescent="0.25"/>
    <row r="139307" s="12" customFormat="1" x14ac:dyDescent="0.25"/>
    <row r="139308" s="12" customFormat="1" x14ac:dyDescent="0.25"/>
    <row r="139309" s="12" customFormat="1" x14ac:dyDescent="0.25"/>
    <row r="139310" s="12" customFormat="1" x14ac:dyDescent="0.25"/>
    <row r="139311" s="12" customFormat="1" x14ac:dyDescent="0.25"/>
    <row r="139312" s="12" customFormat="1" x14ac:dyDescent="0.25"/>
    <row r="139313" s="12" customFormat="1" x14ac:dyDescent="0.25"/>
    <row r="139314" s="12" customFormat="1" x14ac:dyDescent="0.25"/>
    <row r="139315" s="12" customFormat="1" x14ac:dyDescent="0.25"/>
    <row r="139316" s="12" customFormat="1" x14ac:dyDescent="0.25"/>
    <row r="139317" s="12" customFormat="1" x14ac:dyDescent="0.25"/>
    <row r="139318" s="12" customFormat="1" x14ac:dyDescent="0.25"/>
    <row r="139319" s="12" customFormat="1" x14ac:dyDescent="0.25"/>
    <row r="139320" s="12" customFormat="1" x14ac:dyDescent="0.25"/>
    <row r="139321" s="12" customFormat="1" x14ac:dyDescent="0.25"/>
    <row r="139322" s="12" customFormat="1" x14ac:dyDescent="0.25"/>
    <row r="139323" s="12" customFormat="1" x14ac:dyDescent="0.25"/>
    <row r="139324" s="12" customFormat="1" x14ac:dyDescent="0.25"/>
    <row r="139325" s="12" customFormat="1" x14ac:dyDescent="0.25"/>
    <row r="139326" s="12" customFormat="1" x14ac:dyDescent="0.25"/>
    <row r="139327" s="12" customFormat="1" x14ac:dyDescent="0.25"/>
    <row r="139328" s="12" customFormat="1" x14ac:dyDescent="0.25"/>
    <row r="139329" s="12" customFormat="1" x14ac:dyDescent="0.25"/>
    <row r="139330" s="12" customFormat="1" x14ac:dyDescent="0.25"/>
    <row r="139331" s="12" customFormat="1" x14ac:dyDescent="0.25"/>
    <row r="139332" s="12" customFormat="1" x14ac:dyDescent="0.25"/>
    <row r="139333" s="12" customFormat="1" x14ac:dyDescent="0.25"/>
    <row r="139334" s="12" customFormat="1" x14ac:dyDescent="0.25"/>
    <row r="139335" s="12" customFormat="1" x14ac:dyDescent="0.25"/>
    <row r="139336" s="12" customFormat="1" x14ac:dyDescent="0.25"/>
    <row r="139337" s="12" customFormat="1" x14ac:dyDescent="0.25"/>
    <row r="139338" s="12" customFormat="1" x14ac:dyDescent="0.25"/>
    <row r="139339" s="12" customFormat="1" x14ac:dyDescent="0.25"/>
    <row r="139340" s="12" customFormat="1" x14ac:dyDescent="0.25"/>
    <row r="139341" s="12" customFormat="1" x14ac:dyDescent="0.25"/>
    <row r="139342" s="12" customFormat="1" x14ac:dyDescent="0.25"/>
    <row r="139343" s="12" customFormat="1" x14ac:dyDescent="0.25"/>
    <row r="139344" s="12" customFormat="1" x14ac:dyDescent="0.25"/>
    <row r="139345" s="12" customFormat="1" x14ac:dyDescent="0.25"/>
    <row r="139346" s="12" customFormat="1" x14ac:dyDescent="0.25"/>
    <row r="139347" s="12" customFormat="1" x14ac:dyDescent="0.25"/>
    <row r="139348" s="12" customFormat="1" x14ac:dyDescent="0.25"/>
    <row r="139349" s="12" customFormat="1" x14ac:dyDescent="0.25"/>
    <row r="139350" s="12" customFormat="1" x14ac:dyDescent="0.25"/>
    <row r="139351" s="12" customFormat="1" x14ac:dyDescent="0.25"/>
    <row r="139352" s="12" customFormat="1" x14ac:dyDescent="0.25"/>
    <row r="139353" s="12" customFormat="1" x14ac:dyDescent="0.25"/>
    <row r="139354" s="12" customFormat="1" x14ac:dyDescent="0.25"/>
    <row r="139355" s="12" customFormat="1" x14ac:dyDescent="0.25"/>
    <row r="139356" s="12" customFormat="1" x14ac:dyDescent="0.25"/>
    <row r="139357" s="12" customFormat="1" x14ac:dyDescent="0.25"/>
    <row r="139358" s="12" customFormat="1" x14ac:dyDescent="0.25"/>
    <row r="139359" s="12" customFormat="1" x14ac:dyDescent="0.25"/>
    <row r="139360" s="12" customFormat="1" x14ac:dyDescent="0.25"/>
    <row r="139361" s="12" customFormat="1" x14ac:dyDescent="0.25"/>
    <row r="139362" s="12" customFormat="1" x14ac:dyDescent="0.25"/>
    <row r="139363" s="12" customFormat="1" x14ac:dyDescent="0.25"/>
    <row r="139364" s="12" customFormat="1" x14ac:dyDescent="0.25"/>
    <row r="139365" s="12" customFormat="1" x14ac:dyDescent="0.25"/>
    <row r="139366" s="12" customFormat="1" x14ac:dyDescent="0.25"/>
    <row r="139367" s="12" customFormat="1" x14ac:dyDescent="0.25"/>
    <row r="139368" s="12" customFormat="1" x14ac:dyDescent="0.25"/>
    <row r="139369" s="12" customFormat="1" x14ac:dyDescent="0.25"/>
    <row r="139370" s="12" customFormat="1" x14ac:dyDescent="0.25"/>
    <row r="139371" s="12" customFormat="1" x14ac:dyDescent="0.25"/>
    <row r="139372" s="12" customFormat="1" x14ac:dyDescent="0.25"/>
    <row r="139373" s="12" customFormat="1" x14ac:dyDescent="0.25"/>
    <row r="139374" s="12" customFormat="1" x14ac:dyDescent="0.25"/>
    <row r="139375" s="12" customFormat="1" x14ac:dyDescent="0.25"/>
    <row r="139376" s="12" customFormat="1" x14ac:dyDescent="0.25"/>
    <row r="139377" s="12" customFormat="1" x14ac:dyDescent="0.25"/>
    <row r="139378" s="12" customFormat="1" x14ac:dyDescent="0.25"/>
    <row r="139379" s="12" customFormat="1" x14ac:dyDescent="0.25"/>
    <row r="139380" s="12" customFormat="1" x14ac:dyDescent="0.25"/>
    <row r="139381" s="12" customFormat="1" x14ac:dyDescent="0.25"/>
    <row r="139382" s="12" customFormat="1" x14ac:dyDescent="0.25"/>
    <row r="139383" s="12" customFormat="1" x14ac:dyDescent="0.25"/>
    <row r="139384" s="12" customFormat="1" x14ac:dyDescent="0.25"/>
    <row r="139385" s="12" customFormat="1" x14ac:dyDescent="0.25"/>
    <row r="139386" s="12" customFormat="1" x14ac:dyDescent="0.25"/>
    <row r="139387" s="12" customFormat="1" x14ac:dyDescent="0.25"/>
    <row r="139388" s="12" customFormat="1" x14ac:dyDescent="0.25"/>
    <row r="139389" s="12" customFormat="1" x14ac:dyDescent="0.25"/>
    <row r="139390" s="12" customFormat="1" x14ac:dyDescent="0.25"/>
    <row r="139391" s="12" customFormat="1" x14ac:dyDescent="0.25"/>
    <row r="139392" s="12" customFormat="1" x14ac:dyDescent="0.25"/>
    <row r="139393" s="12" customFormat="1" x14ac:dyDescent="0.25"/>
    <row r="139394" s="12" customFormat="1" x14ac:dyDescent="0.25"/>
    <row r="139395" s="12" customFormat="1" x14ac:dyDescent="0.25"/>
    <row r="139396" s="12" customFormat="1" x14ac:dyDescent="0.25"/>
    <row r="139397" s="12" customFormat="1" x14ac:dyDescent="0.25"/>
    <row r="139398" s="12" customFormat="1" x14ac:dyDescent="0.25"/>
    <row r="139399" s="12" customFormat="1" x14ac:dyDescent="0.25"/>
    <row r="139400" s="12" customFormat="1" x14ac:dyDescent="0.25"/>
    <row r="139401" s="12" customFormat="1" x14ac:dyDescent="0.25"/>
    <row r="139402" s="12" customFormat="1" x14ac:dyDescent="0.25"/>
    <row r="139403" s="12" customFormat="1" x14ac:dyDescent="0.25"/>
    <row r="139404" s="12" customFormat="1" x14ac:dyDescent="0.25"/>
    <row r="139405" s="12" customFormat="1" x14ac:dyDescent="0.25"/>
    <row r="139406" s="12" customFormat="1" x14ac:dyDescent="0.25"/>
    <row r="139407" s="12" customFormat="1" x14ac:dyDescent="0.25"/>
    <row r="139408" s="12" customFormat="1" x14ac:dyDescent="0.25"/>
    <row r="139409" s="12" customFormat="1" x14ac:dyDescent="0.25"/>
    <row r="139410" s="12" customFormat="1" x14ac:dyDescent="0.25"/>
    <row r="139411" s="12" customFormat="1" x14ac:dyDescent="0.25"/>
    <row r="139412" s="12" customFormat="1" x14ac:dyDescent="0.25"/>
    <row r="139413" s="12" customFormat="1" x14ac:dyDescent="0.25"/>
    <row r="139414" s="12" customFormat="1" x14ac:dyDescent="0.25"/>
    <row r="139415" s="12" customFormat="1" x14ac:dyDescent="0.25"/>
    <row r="139416" s="12" customFormat="1" x14ac:dyDescent="0.25"/>
    <row r="139417" s="12" customFormat="1" x14ac:dyDescent="0.25"/>
    <row r="139418" s="12" customFormat="1" x14ac:dyDescent="0.25"/>
    <row r="139419" s="12" customFormat="1" x14ac:dyDescent="0.25"/>
    <row r="139420" s="12" customFormat="1" x14ac:dyDescent="0.25"/>
    <row r="139421" s="12" customFormat="1" x14ac:dyDescent="0.25"/>
    <row r="139422" s="12" customFormat="1" x14ac:dyDescent="0.25"/>
    <row r="139423" s="12" customFormat="1" x14ac:dyDescent="0.25"/>
    <row r="139424" s="12" customFormat="1" x14ac:dyDescent="0.25"/>
    <row r="139425" s="12" customFormat="1" x14ac:dyDescent="0.25"/>
    <row r="139426" s="12" customFormat="1" x14ac:dyDescent="0.25"/>
    <row r="139427" s="12" customFormat="1" x14ac:dyDescent="0.25"/>
    <row r="139428" s="12" customFormat="1" x14ac:dyDescent="0.25"/>
    <row r="139429" s="12" customFormat="1" x14ac:dyDescent="0.25"/>
    <row r="139430" s="12" customFormat="1" x14ac:dyDescent="0.25"/>
    <row r="139431" s="12" customFormat="1" x14ac:dyDescent="0.25"/>
    <row r="139432" s="12" customFormat="1" x14ac:dyDescent="0.25"/>
    <row r="139433" s="12" customFormat="1" x14ac:dyDescent="0.25"/>
    <row r="139434" s="12" customFormat="1" x14ac:dyDescent="0.25"/>
    <row r="139435" s="12" customFormat="1" x14ac:dyDescent="0.25"/>
    <row r="139436" s="12" customFormat="1" x14ac:dyDescent="0.25"/>
    <row r="139437" s="12" customFormat="1" x14ac:dyDescent="0.25"/>
    <row r="139438" s="12" customFormat="1" x14ac:dyDescent="0.25"/>
    <row r="139439" s="12" customFormat="1" x14ac:dyDescent="0.25"/>
    <row r="139440" s="12" customFormat="1" x14ac:dyDescent="0.25"/>
    <row r="139441" s="12" customFormat="1" x14ac:dyDescent="0.25"/>
    <row r="139442" s="12" customFormat="1" x14ac:dyDescent="0.25"/>
    <row r="139443" s="12" customFormat="1" x14ac:dyDescent="0.25"/>
    <row r="139444" s="12" customFormat="1" x14ac:dyDescent="0.25"/>
    <row r="139445" s="12" customFormat="1" x14ac:dyDescent="0.25"/>
    <row r="139446" s="12" customFormat="1" x14ac:dyDescent="0.25"/>
    <row r="139447" s="12" customFormat="1" x14ac:dyDescent="0.25"/>
    <row r="139448" s="12" customFormat="1" x14ac:dyDescent="0.25"/>
    <row r="139449" s="12" customFormat="1" x14ac:dyDescent="0.25"/>
    <row r="139450" s="12" customFormat="1" x14ac:dyDescent="0.25"/>
    <row r="139451" s="12" customFormat="1" x14ac:dyDescent="0.25"/>
    <row r="139452" s="12" customFormat="1" x14ac:dyDescent="0.25"/>
    <row r="139453" s="12" customFormat="1" x14ac:dyDescent="0.25"/>
    <row r="139454" s="12" customFormat="1" x14ac:dyDescent="0.25"/>
    <row r="139455" s="12" customFormat="1" x14ac:dyDescent="0.25"/>
    <row r="139456" s="12" customFormat="1" x14ac:dyDescent="0.25"/>
    <row r="139457" s="12" customFormat="1" x14ac:dyDescent="0.25"/>
    <row r="139458" s="12" customFormat="1" x14ac:dyDescent="0.25"/>
    <row r="139459" s="12" customFormat="1" x14ac:dyDescent="0.25"/>
    <row r="139460" s="12" customFormat="1" x14ac:dyDescent="0.25"/>
    <row r="139461" s="12" customFormat="1" x14ac:dyDescent="0.25"/>
    <row r="139462" s="12" customFormat="1" x14ac:dyDescent="0.25"/>
    <row r="139463" s="12" customFormat="1" x14ac:dyDescent="0.25"/>
    <row r="139464" s="12" customFormat="1" x14ac:dyDescent="0.25"/>
    <row r="139465" s="12" customFormat="1" x14ac:dyDescent="0.25"/>
    <row r="139466" s="12" customFormat="1" x14ac:dyDescent="0.25"/>
    <row r="139467" s="12" customFormat="1" x14ac:dyDescent="0.25"/>
    <row r="139468" s="12" customFormat="1" x14ac:dyDescent="0.25"/>
    <row r="139469" s="12" customFormat="1" x14ac:dyDescent="0.25"/>
    <row r="139470" s="12" customFormat="1" x14ac:dyDescent="0.25"/>
    <row r="139471" s="12" customFormat="1" x14ac:dyDescent="0.25"/>
    <row r="139472" s="12" customFormat="1" x14ac:dyDescent="0.25"/>
    <row r="139473" s="12" customFormat="1" x14ac:dyDescent="0.25"/>
    <row r="139474" s="12" customFormat="1" x14ac:dyDescent="0.25"/>
    <row r="139475" s="12" customFormat="1" x14ac:dyDescent="0.25"/>
    <row r="139476" s="12" customFormat="1" x14ac:dyDescent="0.25"/>
    <row r="139477" s="12" customFormat="1" x14ac:dyDescent="0.25"/>
    <row r="139478" s="12" customFormat="1" x14ac:dyDescent="0.25"/>
    <row r="139479" s="12" customFormat="1" x14ac:dyDescent="0.25"/>
    <row r="139480" s="12" customFormat="1" x14ac:dyDescent="0.25"/>
    <row r="139481" s="12" customFormat="1" x14ac:dyDescent="0.25"/>
    <row r="139482" s="12" customFormat="1" x14ac:dyDescent="0.25"/>
    <row r="139483" s="12" customFormat="1" x14ac:dyDescent="0.25"/>
    <row r="139484" s="12" customFormat="1" x14ac:dyDescent="0.25"/>
    <row r="139485" s="12" customFormat="1" x14ac:dyDescent="0.25"/>
    <row r="139486" s="12" customFormat="1" x14ac:dyDescent="0.25"/>
    <row r="139487" s="12" customFormat="1" x14ac:dyDescent="0.25"/>
    <row r="139488" s="12" customFormat="1" x14ac:dyDescent="0.25"/>
    <row r="139489" s="12" customFormat="1" x14ac:dyDescent="0.25"/>
    <row r="139490" s="12" customFormat="1" x14ac:dyDescent="0.25"/>
    <row r="139491" s="12" customFormat="1" x14ac:dyDescent="0.25"/>
    <row r="139492" s="12" customFormat="1" x14ac:dyDescent="0.25"/>
    <row r="139493" s="12" customFormat="1" x14ac:dyDescent="0.25"/>
    <row r="139494" s="12" customFormat="1" x14ac:dyDescent="0.25"/>
    <row r="139495" s="12" customFormat="1" x14ac:dyDescent="0.25"/>
    <row r="139496" s="12" customFormat="1" x14ac:dyDescent="0.25"/>
    <row r="139497" s="12" customFormat="1" x14ac:dyDescent="0.25"/>
    <row r="139498" s="12" customFormat="1" x14ac:dyDescent="0.25"/>
    <row r="139499" s="12" customFormat="1" x14ac:dyDescent="0.25"/>
    <row r="139500" s="12" customFormat="1" x14ac:dyDescent="0.25"/>
    <row r="139501" s="12" customFormat="1" x14ac:dyDescent="0.25"/>
    <row r="139502" s="12" customFormat="1" x14ac:dyDescent="0.25"/>
    <row r="139503" s="12" customFormat="1" x14ac:dyDescent="0.25"/>
    <row r="139504" s="12" customFormat="1" x14ac:dyDescent="0.25"/>
    <row r="139505" s="12" customFormat="1" x14ac:dyDescent="0.25"/>
    <row r="139506" s="12" customFormat="1" x14ac:dyDescent="0.25"/>
    <row r="139507" s="12" customFormat="1" x14ac:dyDescent="0.25"/>
    <row r="139508" s="12" customFormat="1" x14ac:dyDescent="0.25"/>
    <row r="139509" s="12" customFormat="1" x14ac:dyDescent="0.25"/>
    <row r="139510" s="12" customFormat="1" x14ac:dyDescent="0.25"/>
    <row r="139511" s="12" customFormat="1" x14ac:dyDescent="0.25"/>
    <row r="139512" s="12" customFormat="1" x14ac:dyDescent="0.25"/>
    <row r="139513" s="12" customFormat="1" x14ac:dyDescent="0.25"/>
    <row r="139514" s="12" customFormat="1" x14ac:dyDescent="0.25"/>
    <row r="139515" s="12" customFormat="1" x14ac:dyDescent="0.25"/>
    <row r="139516" s="12" customFormat="1" x14ac:dyDescent="0.25"/>
    <row r="139517" s="12" customFormat="1" x14ac:dyDescent="0.25"/>
    <row r="139518" s="12" customFormat="1" x14ac:dyDescent="0.25"/>
    <row r="139519" s="12" customFormat="1" x14ac:dyDescent="0.25"/>
    <row r="139520" s="12" customFormat="1" x14ac:dyDescent="0.25"/>
    <row r="139521" s="12" customFormat="1" x14ac:dyDescent="0.25"/>
    <row r="139522" s="12" customFormat="1" x14ac:dyDescent="0.25"/>
    <row r="139523" s="12" customFormat="1" x14ac:dyDescent="0.25"/>
    <row r="139524" s="12" customFormat="1" x14ac:dyDescent="0.25"/>
    <row r="139525" s="12" customFormat="1" x14ac:dyDescent="0.25"/>
    <row r="139526" s="12" customFormat="1" x14ac:dyDescent="0.25"/>
    <row r="139527" s="12" customFormat="1" x14ac:dyDescent="0.25"/>
    <row r="139528" s="12" customFormat="1" x14ac:dyDescent="0.25"/>
    <row r="139529" s="12" customFormat="1" x14ac:dyDescent="0.25"/>
    <row r="139530" s="12" customFormat="1" x14ac:dyDescent="0.25"/>
    <row r="139531" s="12" customFormat="1" x14ac:dyDescent="0.25"/>
    <row r="139532" s="12" customFormat="1" x14ac:dyDescent="0.25"/>
    <row r="139533" s="12" customFormat="1" x14ac:dyDescent="0.25"/>
    <row r="139534" s="12" customFormat="1" x14ac:dyDescent="0.25"/>
    <row r="139535" s="12" customFormat="1" x14ac:dyDescent="0.25"/>
    <row r="139536" s="12" customFormat="1" x14ac:dyDescent="0.25"/>
    <row r="139537" s="12" customFormat="1" x14ac:dyDescent="0.25"/>
    <row r="139538" s="12" customFormat="1" x14ac:dyDescent="0.25"/>
    <row r="139539" s="12" customFormat="1" x14ac:dyDescent="0.25"/>
    <row r="139540" s="12" customFormat="1" x14ac:dyDescent="0.25"/>
    <row r="139541" s="12" customFormat="1" x14ac:dyDescent="0.25"/>
    <row r="139542" s="12" customFormat="1" x14ac:dyDescent="0.25"/>
    <row r="139543" s="12" customFormat="1" x14ac:dyDescent="0.25"/>
    <row r="139544" s="12" customFormat="1" x14ac:dyDescent="0.25"/>
    <row r="139545" s="12" customFormat="1" x14ac:dyDescent="0.25"/>
    <row r="139546" s="12" customFormat="1" x14ac:dyDescent="0.25"/>
    <row r="139547" s="12" customFormat="1" x14ac:dyDescent="0.25"/>
    <row r="139548" s="12" customFormat="1" x14ac:dyDescent="0.25"/>
    <row r="139549" s="12" customFormat="1" x14ac:dyDescent="0.25"/>
    <row r="139550" s="12" customFormat="1" x14ac:dyDescent="0.25"/>
    <row r="139551" s="12" customFormat="1" x14ac:dyDescent="0.25"/>
    <row r="139552" s="12" customFormat="1" x14ac:dyDescent="0.25"/>
    <row r="139553" s="12" customFormat="1" x14ac:dyDescent="0.25"/>
    <row r="139554" s="12" customFormat="1" x14ac:dyDescent="0.25"/>
    <row r="139555" s="12" customFormat="1" x14ac:dyDescent="0.25"/>
    <row r="139556" s="12" customFormat="1" x14ac:dyDescent="0.25"/>
    <row r="139557" s="12" customFormat="1" x14ac:dyDescent="0.25"/>
    <row r="139558" s="12" customFormat="1" x14ac:dyDescent="0.25"/>
    <row r="139559" s="12" customFormat="1" x14ac:dyDescent="0.25"/>
    <row r="139560" s="12" customFormat="1" x14ac:dyDescent="0.25"/>
    <row r="139561" s="12" customFormat="1" x14ac:dyDescent="0.25"/>
    <row r="139562" s="12" customFormat="1" x14ac:dyDescent="0.25"/>
    <row r="139563" s="12" customFormat="1" x14ac:dyDescent="0.25"/>
    <row r="139564" s="12" customFormat="1" x14ac:dyDescent="0.25"/>
    <row r="139565" s="12" customFormat="1" x14ac:dyDescent="0.25"/>
    <row r="139566" s="12" customFormat="1" x14ac:dyDescent="0.25"/>
    <row r="139567" s="12" customFormat="1" x14ac:dyDescent="0.25"/>
    <row r="139568" s="12" customFormat="1" x14ac:dyDescent="0.25"/>
    <row r="139569" s="12" customFormat="1" x14ac:dyDescent="0.25"/>
    <row r="139570" s="12" customFormat="1" x14ac:dyDescent="0.25"/>
    <row r="139571" s="12" customFormat="1" x14ac:dyDescent="0.25"/>
    <row r="139572" s="12" customFormat="1" x14ac:dyDescent="0.25"/>
    <row r="139573" s="12" customFormat="1" x14ac:dyDescent="0.25"/>
    <row r="139574" s="12" customFormat="1" x14ac:dyDescent="0.25"/>
    <row r="139575" s="12" customFormat="1" x14ac:dyDescent="0.25"/>
    <row r="139576" s="12" customFormat="1" x14ac:dyDescent="0.25"/>
    <row r="139577" s="12" customFormat="1" x14ac:dyDescent="0.25"/>
    <row r="139578" s="12" customFormat="1" x14ac:dyDescent="0.25"/>
    <row r="139579" s="12" customFormat="1" x14ac:dyDescent="0.25"/>
    <row r="139580" s="12" customFormat="1" x14ac:dyDescent="0.25"/>
    <row r="139581" s="12" customFormat="1" x14ac:dyDescent="0.25"/>
    <row r="139582" s="12" customFormat="1" x14ac:dyDescent="0.25"/>
    <row r="139583" s="12" customFormat="1" x14ac:dyDescent="0.25"/>
    <row r="139584" s="12" customFormat="1" x14ac:dyDescent="0.25"/>
    <row r="139585" s="12" customFormat="1" x14ac:dyDescent="0.25"/>
    <row r="139586" s="12" customFormat="1" x14ac:dyDescent="0.25"/>
    <row r="139587" s="12" customFormat="1" x14ac:dyDescent="0.25"/>
    <row r="139588" s="12" customFormat="1" x14ac:dyDescent="0.25"/>
    <row r="139589" s="12" customFormat="1" x14ac:dyDescent="0.25"/>
    <row r="139590" s="12" customFormat="1" x14ac:dyDescent="0.25"/>
    <row r="139591" s="12" customFormat="1" x14ac:dyDescent="0.25"/>
    <row r="139592" s="12" customFormat="1" x14ac:dyDescent="0.25"/>
    <row r="139593" s="12" customFormat="1" x14ac:dyDescent="0.25"/>
    <row r="139594" s="12" customFormat="1" x14ac:dyDescent="0.25"/>
    <row r="139595" s="12" customFormat="1" x14ac:dyDescent="0.25"/>
    <row r="139596" s="12" customFormat="1" x14ac:dyDescent="0.25"/>
    <row r="139597" s="12" customFormat="1" x14ac:dyDescent="0.25"/>
    <row r="139598" s="12" customFormat="1" x14ac:dyDescent="0.25"/>
    <row r="139599" s="12" customFormat="1" x14ac:dyDescent="0.25"/>
    <row r="139600" s="12" customFormat="1" x14ac:dyDescent="0.25"/>
    <row r="139601" s="12" customFormat="1" x14ac:dyDescent="0.25"/>
    <row r="139602" s="12" customFormat="1" x14ac:dyDescent="0.25"/>
    <row r="139603" s="12" customFormat="1" x14ac:dyDescent="0.25"/>
    <row r="139604" s="12" customFormat="1" x14ac:dyDescent="0.25"/>
    <row r="139605" s="12" customFormat="1" x14ac:dyDescent="0.25"/>
    <row r="139606" s="12" customFormat="1" x14ac:dyDescent="0.25"/>
    <row r="139607" s="12" customFormat="1" x14ac:dyDescent="0.25"/>
    <row r="139608" s="12" customFormat="1" x14ac:dyDescent="0.25"/>
    <row r="139609" s="12" customFormat="1" x14ac:dyDescent="0.25"/>
    <row r="139610" s="12" customFormat="1" x14ac:dyDescent="0.25"/>
    <row r="139611" s="12" customFormat="1" x14ac:dyDescent="0.25"/>
    <row r="139612" s="12" customFormat="1" x14ac:dyDescent="0.25"/>
    <row r="139613" s="12" customFormat="1" x14ac:dyDescent="0.25"/>
    <row r="139614" s="12" customFormat="1" x14ac:dyDescent="0.25"/>
    <row r="139615" s="12" customFormat="1" x14ac:dyDescent="0.25"/>
    <row r="139616" s="12" customFormat="1" x14ac:dyDescent="0.25"/>
    <row r="139617" s="12" customFormat="1" x14ac:dyDescent="0.25"/>
    <row r="139618" s="12" customFormat="1" x14ac:dyDescent="0.25"/>
    <row r="139619" s="12" customFormat="1" x14ac:dyDescent="0.25"/>
    <row r="139620" s="12" customFormat="1" x14ac:dyDescent="0.25"/>
    <row r="139621" s="12" customFormat="1" x14ac:dyDescent="0.25"/>
    <row r="139622" s="12" customFormat="1" x14ac:dyDescent="0.25"/>
    <row r="139623" s="12" customFormat="1" x14ac:dyDescent="0.25"/>
    <row r="139624" s="12" customFormat="1" x14ac:dyDescent="0.25"/>
    <row r="139625" s="12" customFormat="1" x14ac:dyDescent="0.25"/>
    <row r="139626" s="12" customFormat="1" x14ac:dyDescent="0.25"/>
    <row r="139627" s="12" customFormat="1" x14ac:dyDescent="0.25"/>
    <row r="139628" s="12" customFormat="1" x14ac:dyDescent="0.25"/>
    <row r="139629" s="12" customFormat="1" x14ac:dyDescent="0.25"/>
    <row r="139630" s="12" customFormat="1" x14ac:dyDescent="0.25"/>
    <row r="139631" s="12" customFormat="1" x14ac:dyDescent="0.25"/>
    <row r="139632" s="12" customFormat="1" x14ac:dyDescent="0.25"/>
    <row r="139633" s="12" customFormat="1" x14ac:dyDescent="0.25"/>
    <row r="139634" s="12" customFormat="1" x14ac:dyDescent="0.25"/>
    <row r="139635" s="12" customFormat="1" x14ac:dyDescent="0.25"/>
    <row r="139636" s="12" customFormat="1" x14ac:dyDescent="0.25"/>
    <row r="139637" s="12" customFormat="1" x14ac:dyDescent="0.25"/>
    <row r="139638" s="12" customFormat="1" x14ac:dyDescent="0.25"/>
    <row r="139639" s="12" customFormat="1" x14ac:dyDescent="0.25"/>
    <row r="139640" s="12" customFormat="1" x14ac:dyDescent="0.25"/>
    <row r="139641" s="12" customFormat="1" x14ac:dyDescent="0.25"/>
    <row r="139642" s="12" customFormat="1" x14ac:dyDescent="0.25"/>
    <row r="139643" s="12" customFormat="1" x14ac:dyDescent="0.25"/>
    <row r="139644" s="12" customFormat="1" x14ac:dyDescent="0.25"/>
    <row r="139645" s="12" customFormat="1" x14ac:dyDescent="0.25"/>
    <row r="139646" s="12" customFormat="1" x14ac:dyDescent="0.25"/>
    <row r="139647" s="12" customFormat="1" x14ac:dyDescent="0.25"/>
    <row r="139648" s="12" customFormat="1" x14ac:dyDescent="0.25"/>
    <row r="139649" s="12" customFormat="1" x14ac:dyDescent="0.25"/>
    <row r="139650" s="12" customFormat="1" x14ac:dyDescent="0.25"/>
    <row r="139651" s="12" customFormat="1" x14ac:dyDescent="0.25"/>
    <row r="139652" s="12" customFormat="1" x14ac:dyDescent="0.25"/>
    <row r="139653" s="12" customFormat="1" x14ac:dyDescent="0.25"/>
    <row r="139654" s="12" customFormat="1" x14ac:dyDescent="0.25"/>
    <row r="139655" s="12" customFormat="1" x14ac:dyDescent="0.25"/>
    <row r="139656" s="12" customFormat="1" x14ac:dyDescent="0.25"/>
    <row r="139657" s="12" customFormat="1" x14ac:dyDescent="0.25"/>
    <row r="139658" s="12" customFormat="1" x14ac:dyDescent="0.25"/>
    <row r="139659" s="12" customFormat="1" x14ac:dyDescent="0.25"/>
    <row r="139660" s="12" customFormat="1" x14ac:dyDescent="0.25"/>
    <row r="139661" s="12" customFormat="1" x14ac:dyDescent="0.25"/>
    <row r="139662" s="12" customFormat="1" x14ac:dyDescent="0.25"/>
    <row r="139663" s="12" customFormat="1" x14ac:dyDescent="0.25"/>
    <row r="139664" s="12" customFormat="1" x14ac:dyDescent="0.25"/>
    <row r="139665" s="12" customFormat="1" x14ac:dyDescent="0.25"/>
    <row r="139666" s="12" customFormat="1" x14ac:dyDescent="0.25"/>
    <row r="139667" s="12" customFormat="1" x14ac:dyDescent="0.25"/>
    <row r="139668" s="12" customFormat="1" x14ac:dyDescent="0.25"/>
    <row r="139669" s="12" customFormat="1" x14ac:dyDescent="0.25"/>
    <row r="139670" s="12" customFormat="1" x14ac:dyDescent="0.25"/>
    <row r="139671" s="12" customFormat="1" x14ac:dyDescent="0.25"/>
    <row r="139672" s="12" customFormat="1" x14ac:dyDescent="0.25"/>
    <row r="139673" s="12" customFormat="1" x14ac:dyDescent="0.25"/>
    <row r="139674" s="12" customFormat="1" x14ac:dyDescent="0.25"/>
    <row r="139675" s="12" customFormat="1" x14ac:dyDescent="0.25"/>
    <row r="139676" s="12" customFormat="1" x14ac:dyDescent="0.25"/>
    <row r="139677" s="12" customFormat="1" x14ac:dyDescent="0.25"/>
    <row r="139678" s="12" customFormat="1" x14ac:dyDescent="0.25"/>
    <row r="139679" s="12" customFormat="1" x14ac:dyDescent="0.25"/>
    <row r="139680" s="12" customFormat="1" x14ac:dyDescent="0.25"/>
    <row r="139681" s="12" customFormat="1" x14ac:dyDescent="0.25"/>
    <row r="139682" s="12" customFormat="1" x14ac:dyDescent="0.25"/>
    <row r="139683" s="12" customFormat="1" x14ac:dyDescent="0.25"/>
    <row r="139684" s="12" customFormat="1" x14ac:dyDescent="0.25"/>
    <row r="139685" s="12" customFormat="1" x14ac:dyDescent="0.25"/>
    <row r="139686" s="12" customFormat="1" x14ac:dyDescent="0.25"/>
    <row r="139687" s="12" customFormat="1" x14ac:dyDescent="0.25"/>
    <row r="139688" s="12" customFormat="1" x14ac:dyDescent="0.25"/>
    <row r="139689" s="12" customFormat="1" x14ac:dyDescent="0.25"/>
    <row r="139690" s="12" customFormat="1" x14ac:dyDescent="0.25"/>
    <row r="139691" s="12" customFormat="1" x14ac:dyDescent="0.25"/>
    <row r="139692" s="12" customFormat="1" x14ac:dyDescent="0.25"/>
    <row r="139693" s="12" customFormat="1" x14ac:dyDescent="0.25"/>
    <row r="139694" s="12" customFormat="1" x14ac:dyDescent="0.25"/>
    <row r="139695" s="12" customFormat="1" x14ac:dyDescent="0.25"/>
    <row r="139696" s="12" customFormat="1" x14ac:dyDescent="0.25"/>
    <row r="139697" s="12" customFormat="1" x14ac:dyDescent="0.25"/>
    <row r="139698" s="12" customFormat="1" x14ac:dyDescent="0.25"/>
    <row r="139699" s="12" customFormat="1" x14ac:dyDescent="0.25"/>
    <row r="139700" s="12" customFormat="1" x14ac:dyDescent="0.25"/>
    <row r="139701" s="12" customFormat="1" x14ac:dyDescent="0.25"/>
    <row r="139702" s="12" customFormat="1" x14ac:dyDescent="0.25"/>
    <row r="139703" s="12" customFormat="1" x14ac:dyDescent="0.25"/>
    <row r="139704" s="12" customFormat="1" x14ac:dyDescent="0.25"/>
    <row r="139705" s="12" customFormat="1" x14ac:dyDescent="0.25"/>
    <row r="139706" s="12" customFormat="1" x14ac:dyDescent="0.25"/>
    <row r="139707" s="12" customFormat="1" x14ac:dyDescent="0.25"/>
    <row r="139708" s="12" customFormat="1" x14ac:dyDescent="0.25"/>
    <row r="139709" s="12" customFormat="1" x14ac:dyDescent="0.25"/>
    <row r="139710" s="12" customFormat="1" x14ac:dyDescent="0.25"/>
    <row r="139711" s="12" customFormat="1" x14ac:dyDescent="0.25"/>
    <row r="139712" s="12" customFormat="1" x14ac:dyDescent="0.25"/>
    <row r="139713" s="12" customFormat="1" x14ac:dyDescent="0.25"/>
    <row r="139714" s="12" customFormat="1" x14ac:dyDescent="0.25"/>
    <row r="139715" s="12" customFormat="1" x14ac:dyDescent="0.25"/>
    <row r="139716" s="12" customFormat="1" x14ac:dyDescent="0.25"/>
    <row r="139717" s="12" customFormat="1" x14ac:dyDescent="0.25"/>
    <row r="139718" s="12" customFormat="1" x14ac:dyDescent="0.25"/>
    <row r="139719" s="12" customFormat="1" x14ac:dyDescent="0.25"/>
    <row r="139720" s="12" customFormat="1" x14ac:dyDescent="0.25"/>
    <row r="139721" s="12" customFormat="1" x14ac:dyDescent="0.25"/>
    <row r="139722" s="12" customFormat="1" x14ac:dyDescent="0.25"/>
    <row r="139723" s="12" customFormat="1" x14ac:dyDescent="0.25"/>
    <row r="139724" s="12" customFormat="1" x14ac:dyDescent="0.25"/>
    <row r="139725" s="12" customFormat="1" x14ac:dyDescent="0.25"/>
    <row r="139726" s="12" customFormat="1" x14ac:dyDescent="0.25"/>
    <row r="139727" s="12" customFormat="1" x14ac:dyDescent="0.25"/>
    <row r="139728" s="12" customFormat="1" x14ac:dyDescent="0.25"/>
    <row r="139729" s="12" customFormat="1" x14ac:dyDescent="0.25"/>
    <row r="139730" s="12" customFormat="1" x14ac:dyDescent="0.25"/>
    <row r="139731" s="12" customFormat="1" x14ac:dyDescent="0.25"/>
    <row r="139732" s="12" customFormat="1" x14ac:dyDescent="0.25"/>
    <row r="139733" s="12" customFormat="1" x14ac:dyDescent="0.25"/>
    <row r="139734" s="12" customFormat="1" x14ac:dyDescent="0.25"/>
    <row r="139735" s="12" customFormat="1" x14ac:dyDescent="0.25"/>
    <row r="139736" s="12" customFormat="1" x14ac:dyDescent="0.25"/>
    <row r="139737" s="12" customFormat="1" x14ac:dyDescent="0.25"/>
    <row r="139738" s="12" customFormat="1" x14ac:dyDescent="0.25"/>
    <row r="139739" s="12" customFormat="1" x14ac:dyDescent="0.25"/>
    <row r="139740" s="12" customFormat="1" x14ac:dyDescent="0.25"/>
    <row r="139741" s="12" customFormat="1" x14ac:dyDescent="0.25"/>
    <row r="139742" s="12" customFormat="1" x14ac:dyDescent="0.25"/>
    <row r="139743" s="12" customFormat="1" x14ac:dyDescent="0.25"/>
    <row r="139744" s="12" customFormat="1" x14ac:dyDescent="0.25"/>
    <row r="139745" s="12" customFormat="1" x14ac:dyDescent="0.25"/>
    <row r="139746" s="12" customFormat="1" x14ac:dyDescent="0.25"/>
    <row r="139747" s="12" customFormat="1" x14ac:dyDescent="0.25"/>
    <row r="139748" s="12" customFormat="1" x14ac:dyDescent="0.25"/>
    <row r="139749" s="12" customFormat="1" x14ac:dyDescent="0.25"/>
    <row r="139750" s="12" customFormat="1" x14ac:dyDescent="0.25"/>
    <row r="139751" s="12" customFormat="1" x14ac:dyDescent="0.25"/>
    <row r="139752" s="12" customFormat="1" x14ac:dyDescent="0.25"/>
    <row r="139753" s="12" customFormat="1" x14ac:dyDescent="0.25"/>
    <row r="139754" s="12" customFormat="1" x14ac:dyDescent="0.25"/>
    <row r="139755" s="12" customFormat="1" x14ac:dyDescent="0.25"/>
    <row r="139756" s="12" customFormat="1" x14ac:dyDescent="0.25"/>
    <row r="139757" s="12" customFormat="1" x14ac:dyDescent="0.25"/>
    <row r="139758" s="12" customFormat="1" x14ac:dyDescent="0.25"/>
    <row r="139759" s="12" customFormat="1" x14ac:dyDescent="0.25"/>
    <row r="139760" s="12" customFormat="1" x14ac:dyDescent="0.25"/>
    <row r="139761" s="12" customFormat="1" x14ac:dyDescent="0.25"/>
    <row r="139762" s="12" customFormat="1" x14ac:dyDescent="0.25"/>
    <row r="139763" s="12" customFormat="1" x14ac:dyDescent="0.25"/>
    <row r="139764" s="12" customFormat="1" x14ac:dyDescent="0.25"/>
    <row r="139765" s="12" customFormat="1" x14ac:dyDescent="0.25"/>
    <row r="139766" s="12" customFormat="1" x14ac:dyDescent="0.25"/>
    <row r="139767" s="12" customFormat="1" x14ac:dyDescent="0.25"/>
    <row r="139768" s="12" customFormat="1" x14ac:dyDescent="0.25"/>
    <row r="139769" s="12" customFormat="1" x14ac:dyDescent="0.25"/>
    <row r="139770" s="12" customFormat="1" x14ac:dyDescent="0.25"/>
    <row r="139771" s="12" customFormat="1" x14ac:dyDescent="0.25"/>
    <row r="139772" s="12" customFormat="1" x14ac:dyDescent="0.25"/>
    <row r="139773" s="12" customFormat="1" x14ac:dyDescent="0.25"/>
    <row r="139774" s="12" customFormat="1" x14ac:dyDescent="0.25"/>
    <row r="139775" s="12" customFormat="1" x14ac:dyDescent="0.25"/>
    <row r="139776" s="12" customFormat="1" x14ac:dyDescent="0.25"/>
    <row r="139777" s="12" customFormat="1" x14ac:dyDescent="0.25"/>
    <row r="139778" s="12" customFormat="1" x14ac:dyDescent="0.25"/>
    <row r="139779" s="12" customFormat="1" x14ac:dyDescent="0.25"/>
    <row r="139780" s="12" customFormat="1" x14ac:dyDescent="0.25"/>
    <row r="139781" s="12" customFormat="1" x14ac:dyDescent="0.25"/>
    <row r="139782" s="12" customFormat="1" x14ac:dyDescent="0.25"/>
    <row r="139783" s="12" customFormat="1" x14ac:dyDescent="0.25"/>
    <row r="139784" s="12" customFormat="1" x14ac:dyDescent="0.25"/>
    <row r="139785" s="12" customFormat="1" x14ac:dyDescent="0.25"/>
    <row r="139786" s="12" customFormat="1" x14ac:dyDescent="0.25"/>
    <row r="139787" s="12" customFormat="1" x14ac:dyDescent="0.25"/>
    <row r="139788" s="12" customFormat="1" x14ac:dyDescent="0.25"/>
    <row r="139789" s="12" customFormat="1" x14ac:dyDescent="0.25"/>
    <row r="139790" s="12" customFormat="1" x14ac:dyDescent="0.25"/>
    <row r="139791" s="12" customFormat="1" x14ac:dyDescent="0.25"/>
    <row r="139792" s="12" customFormat="1" x14ac:dyDescent="0.25"/>
    <row r="139793" s="12" customFormat="1" x14ac:dyDescent="0.25"/>
    <row r="139794" s="12" customFormat="1" x14ac:dyDescent="0.25"/>
    <row r="139795" s="12" customFormat="1" x14ac:dyDescent="0.25"/>
    <row r="139796" s="12" customFormat="1" x14ac:dyDescent="0.25"/>
    <row r="139797" s="12" customFormat="1" x14ac:dyDescent="0.25"/>
    <row r="139798" s="12" customFormat="1" x14ac:dyDescent="0.25"/>
    <row r="139799" s="12" customFormat="1" x14ac:dyDescent="0.25"/>
    <row r="139800" s="12" customFormat="1" x14ac:dyDescent="0.25"/>
    <row r="139801" s="12" customFormat="1" x14ac:dyDescent="0.25"/>
    <row r="139802" s="12" customFormat="1" x14ac:dyDescent="0.25"/>
    <row r="139803" s="12" customFormat="1" x14ac:dyDescent="0.25"/>
    <row r="139804" s="12" customFormat="1" x14ac:dyDescent="0.25"/>
    <row r="139805" s="12" customFormat="1" x14ac:dyDescent="0.25"/>
    <row r="139806" s="12" customFormat="1" x14ac:dyDescent="0.25"/>
    <row r="139807" s="12" customFormat="1" x14ac:dyDescent="0.25"/>
    <row r="139808" s="12" customFormat="1" x14ac:dyDescent="0.25"/>
    <row r="139809" s="12" customFormat="1" x14ac:dyDescent="0.25"/>
    <row r="139810" s="12" customFormat="1" x14ac:dyDescent="0.25"/>
    <row r="139811" s="12" customFormat="1" x14ac:dyDescent="0.25"/>
    <row r="139812" s="12" customFormat="1" x14ac:dyDescent="0.25"/>
    <row r="139813" s="12" customFormat="1" x14ac:dyDescent="0.25"/>
    <row r="139814" s="12" customFormat="1" x14ac:dyDescent="0.25"/>
    <row r="139815" s="12" customFormat="1" x14ac:dyDescent="0.25"/>
    <row r="139816" s="12" customFormat="1" x14ac:dyDescent="0.25"/>
    <row r="139817" s="12" customFormat="1" x14ac:dyDescent="0.25"/>
    <row r="139818" s="12" customFormat="1" x14ac:dyDescent="0.25"/>
    <row r="139819" s="12" customFormat="1" x14ac:dyDescent="0.25"/>
    <row r="139820" s="12" customFormat="1" x14ac:dyDescent="0.25"/>
    <row r="139821" s="12" customFormat="1" x14ac:dyDescent="0.25"/>
    <row r="139822" s="12" customFormat="1" x14ac:dyDescent="0.25"/>
    <row r="139823" s="12" customFormat="1" x14ac:dyDescent="0.25"/>
    <row r="139824" s="12" customFormat="1" x14ac:dyDescent="0.25"/>
    <row r="139825" s="12" customFormat="1" x14ac:dyDescent="0.25"/>
    <row r="139826" s="12" customFormat="1" x14ac:dyDescent="0.25"/>
    <row r="139827" s="12" customFormat="1" x14ac:dyDescent="0.25"/>
    <row r="139828" s="12" customFormat="1" x14ac:dyDescent="0.25"/>
    <row r="139829" s="12" customFormat="1" x14ac:dyDescent="0.25"/>
    <row r="139830" s="12" customFormat="1" x14ac:dyDescent="0.25"/>
    <row r="139831" s="12" customFormat="1" x14ac:dyDescent="0.25"/>
    <row r="139832" s="12" customFormat="1" x14ac:dyDescent="0.25"/>
    <row r="139833" s="12" customFormat="1" x14ac:dyDescent="0.25"/>
    <row r="139834" s="12" customFormat="1" x14ac:dyDescent="0.25"/>
    <row r="139835" s="12" customFormat="1" x14ac:dyDescent="0.25"/>
    <row r="139836" s="12" customFormat="1" x14ac:dyDescent="0.25"/>
    <row r="139837" s="12" customFormat="1" x14ac:dyDescent="0.25"/>
    <row r="139838" s="12" customFormat="1" x14ac:dyDescent="0.25"/>
    <row r="139839" s="12" customFormat="1" x14ac:dyDescent="0.25"/>
    <row r="139840" s="12" customFormat="1" x14ac:dyDescent="0.25"/>
    <row r="139841" s="12" customFormat="1" x14ac:dyDescent="0.25"/>
    <row r="139842" s="12" customFormat="1" x14ac:dyDescent="0.25"/>
    <row r="139843" s="12" customFormat="1" x14ac:dyDescent="0.25"/>
    <row r="139844" s="12" customFormat="1" x14ac:dyDescent="0.25"/>
    <row r="139845" s="12" customFormat="1" x14ac:dyDescent="0.25"/>
    <row r="139846" s="12" customFormat="1" x14ac:dyDescent="0.25"/>
    <row r="139847" s="12" customFormat="1" x14ac:dyDescent="0.25"/>
    <row r="139848" s="12" customFormat="1" x14ac:dyDescent="0.25"/>
    <row r="139849" s="12" customFormat="1" x14ac:dyDescent="0.25"/>
    <row r="139850" s="12" customFormat="1" x14ac:dyDescent="0.25"/>
    <row r="139851" s="12" customFormat="1" x14ac:dyDescent="0.25"/>
    <row r="139852" s="12" customFormat="1" x14ac:dyDescent="0.25"/>
    <row r="139853" s="12" customFormat="1" x14ac:dyDescent="0.25"/>
    <row r="139854" s="12" customFormat="1" x14ac:dyDescent="0.25"/>
    <row r="139855" s="12" customFormat="1" x14ac:dyDescent="0.25"/>
    <row r="139856" s="12" customFormat="1" x14ac:dyDescent="0.25"/>
    <row r="139857" s="12" customFormat="1" x14ac:dyDescent="0.25"/>
    <row r="139858" s="12" customFormat="1" x14ac:dyDescent="0.25"/>
    <row r="139859" s="12" customFormat="1" x14ac:dyDescent="0.25"/>
    <row r="139860" s="12" customFormat="1" x14ac:dyDescent="0.25"/>
    <row r="139861" s="12" customFormat="1" x14ac:dyDescent="0.25"/>
    <row r="139862" s="12" customFormat="1" x14ac:dyDescent="0.25"/>
    <row r="139863" s="12" customFormat="1" x14ac:dyDescent="0.25"/>
    <row r="139864" s="12" customFormat="1" x14ac:dyDescent="0.25"/>
    <row r="139865" s="12" customFormat="1" x14ac:dyDescent="0.25"/>
    <row r="139866" s="12" customFormat="1" x14ac:dyDescent="0.25"/>
    <row r="139867" s="12" customFormat="1" x14ac:dyDescent="0.25"/>
    <row r="139868" s="12" customFormat="1" x14ac:dyDescent="0.25"/>
    <row r="139869" s="12" customFormat="1" x14ac:dyDescent="0.25"/>
    <row r="139870" s="12" customFormat="1" x14ac:dyDescent="0.25"/>
    <row r="139871" s="12" customFormat="1" x14ac:dyDescent="0.25"/>
    <row r="139872" s="12" customFormat="1" x14ac:dyDescent="0.25"/>
    <row r="139873" s="12" customFormat="1" x14ac:dyDescent="0.25"/>
    <row r="139874" s="12" customFormat="1" x14ac:dyDescent="0.25"/>
    <row r="139875" s="12" customFormat="1" x14ac:dyDescent="0.25"/>
    <row r="139876" s="12" customFormat="1" x14ac:dyDescent="0.25"/>
    <row r="139877" s="12" customFormat="1" x14ac:dyDescent="0.25"/>
    <row r="139878" s="12" customFormat="1" x14ac:dyDescent="0.25"/>
    <row r="139879" s="12" customFormat="1" x14ac:dyDescent="0.25"/>
    <row r="139880" s="12" customFormat="1" x14ac:dyDescent="0.25"/>
    <row r="139881" s="12" customFormat="1" x14ac:dyDescent="0.25"/>
    <row r="139882" s="12" customFormat="1" x14ac:dyDescent="0.25"/>
    <row r="139883" s="12" customFormat="1" x14ac:dyDescent="0.25"/>
    <row r="139884" s="12" customFormat="1" x14ac:dyDescent="0.25"/>
    <row r="139885" s="12" customFormat="1" x14ac:dyDescent="0.25"/>
    <row r="139886" s="12" customFormat="1" x14ac:dyDescent="0.25"/>
    <row r="139887" s="12" customFormat="1" x14ac:dyDescent="0.25"/>
    <row r="139888" s="12" customFormat="1" x14ac:dyDescent="0.25"/>
    <row r="139889" s="12" customFormat="1" x14ac:dyDescent="0.25"/>
    <row r="139890" s="12" customFormat="1" x14ac:dyDescent="0.25"/>
    <row r="139891" s="12" customFormat="1" x14ac:dyDescent="0.25"/>
    <row r="139892" s="12" customFormat="1" x14ac:dyDescent="0.25"/>
    <row r="139893" s="12" customFormat="1" x14ac:dyDescent="0.25"/>
    <row r="139894" s="12" customFormat="1" x14ac:dyDescent="0.25"/>
    <row r="139895" s="12" customFormat="1" x14ac:dyDescent="0.25"/>
    <row r="139896" s="12" customFormat="1" x14ac:dyDescent="0.25"/>
    <row r="139897" s="12" customFormat="1" x14ac:dyDescent="0.25"/>
    <row r="139898" s="12" customFormat="1" x14ac:dyDescent="0.25"/>
    <row r="139899" s="12" customFormat="1" x14ac:dyDescent="0.25"/>
    <row r="139900" s="12" customFormat="1" x14ac:dyDescent="0.25"/>
    <row r="139901" s="12" customFormat="1" x14ac:dyDescent="0.25"/>
    <row r="139902" s="12" customFormat="1" x14ac:dyDescent="0.25"/>
    <row r="139903" s="12" customFormat="1" x14ac:dyDescent="0.25"/>
    <row r="139904" s="12" customFormat="1" x14ac:dyDescent="0.25"/>
    <row r="139905" s="12" customFormat="1" x14ac:dyDescent="0.25"/>
    <row r="139906" s="12" customFormat="1" x14ac:dyDescent="0.25"/>
    <row r="139907" s="12" customFormat="1" x14ac:dyDescent="0.25"/>
    <row r="139908" s="12" customFormat="1" x14ac:dyDescent="0.25"/>
    <row r="139909" s="12" customFormat="1" x14ac:dyDescent="0.25"/>
    <row r="139910" s="12" customFormat="1" x14ac:dyDescent="0.25"/>
    <row r="139911" s="12" customFormat="1" x14ac:dyDescent="0.25"/>
    <row r="139912" s="12" customFormat="1" x14ac:dyDescent="0.25"/>
    <row r="139913" s="12" customFormat="1" x14ac:dyDescent="0.25"/>
    <row r="139914" s="12" customFormat="1" x14ac:dyDescent="0.25"/>
    <row r="139915" s="12" customFormat="1" x14ac:dyDescent="0.25"/>
    <row r="139916" s="12" customFormat="1" x14ac:dyDescent="0.25"/>
    <row r="139917" s="12" customFormat="1" x14ac:dyDescent="0.25"/>
    <row r="139918" s="12" customFormat="1" x14ac:dyDescent="0.25"/>
    <row r="139919" s="12" customFormat="1" x14ac:dyDescent="0.25"/>
    <row r="139920" s="12" customFormat="1" x14ac:dyDescent="0.25"/>
    <row r="139921" s="12" customFormat="1" x14ac:dyDescent="0.25"/>
    <row r="139922" s="12" customFormat="1" x14ac:dyDescent="0.25"/>
    <row r="139923" s="12" customFormat="1" x14ac:dyDescent="0.25"/>
    <row r="139924" s="12" customFormat="1" x14ac:dyDescent="0.25"/>
    <row r="139925" s="12" customFormat="1" x14ac:dyDescent="0.25"/>
    <row r="139926" s="12" customFormat="1" x14ac:dyDescent="0.25"/>
    <row r="139927" s="12" customFormat="1" x14ac:dyDescent="0.25"/>
    <row r="139928" s="12" customFormat="1" x14ac:dyDescent="0.25"/>
    <row r="139929" s="12" customFormat="1" x14ac:dyDescent="0.25"/>
    <row r="139930" s="12" customFormat="1" x14ac:dyDescent="0.25"/>
    <row r="139931" s="12" customFormat="1" x14ac:dyDescent="0.25"/>
    <row r="139932" s="12" customFormat="1" x14ac:dyDescent="0.25"/>
    <row r="139933" s="12" customFormat="1" x14ac:dyDescent="0.25"/>
    <row r="139934" s="12" customFormat="1" x14ac:dyDescent="0.25"/>
    <row r="139935" s="12" customFormat="1" x14ac:dyDescent="0.25"/>
    <row r="139936" s="12" customFormat="1" x14ac:dyDescent="0.25"/>
    <row r="139937" s="12" customFormat="1" x14ac:dyDescent="0.25"/>
    <row r="139938" s="12" customFormat="1" x14ac:dyDescent="0.25"/>
    <row r="139939" s="12" customFormat="1" x14ac:dyDescent="0.25"/>
    <row r="139940" s="12" customFormat="1" x14ac:dyDescent="0.25"/>
    <row r="139941" s="12" customFormat="1" x14ac:dyDescent="0.25"/>
    <row r="139942" s="12" customFormat="1" x14ac:dyDescent="0.25"/>
    <row r="139943" s="12" customFormat="1" x14ac:dyDescent="0.25"/>
    <row r="139944" s="12" customFormat="1" x14ac:dyDescent="0.25"/>
    <row r="139945" s="12" customFormat="1" x14ac:dyDescent="0.25"/>
    <row r="139946" s="12" customFormat="1" x14ac:dyDescent="0.25"/>
    <row r="139947" s="12" customFormat="1" x14ac:dyDescent="0.25"/>
    <row r="139948" s="12" customFormat="1" x14ac:dyDescent="0.25"/>
    <row r="139949" s="12" customFormat="1" x14ac:dyDescent="0.25"/>
    <row r="139950" s="12" customFormat="1" x14ac:dyDescent="0.25"/>
    <row r="139951" s="12" customFormat="1" x14ac:dyDescent="0.25"/>
    <row r="139952" s="12" customFormat="1" x14ac:dyDescent="0.25"/>
    <row r="139953" s="12" customFormat="1" x14ac:dyDescent="0.25"/>
    <row r="139954" s="12" customFormat="1" x14ac:dyDescent="0.25"/>
    <row r="139955" s="12" customFormat="1" x14ac:dyDescent="0.25"/>
    <row r="139956" s="12" customFormat="1" x14ac:dyDescent="0.25"/>
    <row r="139957" s="12" customFormat="1" x14ac:dyDescent="0.25"/>
    <row r="139958" s="12" customFormat="1" x14ac:dyDescent="0.25"/>
    <row r="139959" s="12" customFormat="1" x14ac:dyDescent="0.25"/>
    <row r="139960" s="12" customFormat="1" x14ac:dyDescent="0.25"/>
    <row r="139961" s="12" customFormat="1" x14ac:dyDescent="0.25"/>
    <row r="139962" s="12" customFormat="1" x14ac:dyDescent="0.25"/>
    <row r="139963" s="12" customFormat="1" x14ac:dyDescent="0.25"/>
    <row r="139964" s="12" customFormat="1" x14ac:dyDescent="0.25"/>
    <row r="139965" s="12" customFormat="1" x14ac:dyDescent="0.25"/>
    <row r="139966" s="12" customFormat="1" x14ac:dyDescent="0.25"/>
    <row r="139967" s="12" customFormat="1" x14ac:dyDescent="0.25"/>
    <row r="139968" s="12" customFormat="1" x14ac:dyDescent="0.25"/>
    <row r="139969" s="12" customFormat="1" x14ac:dyDescent="0.25"/>
    <row r="139970" s="12" customFormat="1" x14ac:dyDescent="0.25"/>
    <row r="139971" s="12" customFormat="1" x14ac:dyDescent="0.25"/>
    <row r="139972" s="12" customFormat="1" x14ac:dyDescent="0.25"/>
    <row r="139973" s="12" customFormat="1" x14ac:dyDescent="0.25"/>
    <row r="139974" s="12" customFormat="1" x14ac:dyDescent="0.25"/>
    <row r="139975" s="12" customFormat="1" x14ac:dyDescent="0.25"/>
    <row r="139976" s="12" customFormat="1" x14ac:dyDescent="0.25"/>
    <row r="139977" s="12" customFormat="1" x14ac:dyDescent="0.25"/>
    <row r="139978" s="12" customFormat="1" x14ac:dyDescent="0.25"/>
    <row r="139979" s="12" customFormat="1" x14ac:dyDescent="0.25"/>
    <row r="139980" s="12" customFormat="1" x14ac:dyDescent="0.25"/>
    <row r="139981" s="12" customFormat="1" x14ac:dyDescent="0.25"/>
    <row r="139982" s="12" customFormat="1" x14ac:dyDescent="0.25"/>
    <row r="139983" s="12" customFormat="1" x14ac:dyDescent="0.25"/>
    <row r="139984" s="12" customFormat="1" x14ac:dyDescent="0.25"/>
    <row r="139985" s="12" customFormat="1" x14ac:dyDescent="0.25"/>
    <row r="139986" s="12" customFormat="1" x14ac:dyDescent="0.25"/>
    <row r="139987" s="12" customFormat="1" x14ac:dyDescent="0.25"/>
    <row r="139988" s="12" customFormat="1" x14ac:dyDescent="0.25"/>
    <row r="139989" s="12" customFormat="1" x14ac:dyDescent="0.25"/>
    <row r="139990" s="12" customFormat="1" x14ac:dyDescent="0.25"/>
    <row r="139991" s="12" customFormat="1" x14ac:dyDescent="0.25"/>
    <row r="139992" s="12" customFormat="1" x14ac:dyDescent="0.25"/>
    <row r="139993" s="12" customFormat="1" x14ac:dyDescent="0.25"/>
    <row r="139994" s="12" customFormat="1" x14ac:dyDescent="0.25"/>
    <row r="139995" s="12" customFormat="1" x14ac:dyDescent="0.25"/>
    <row r="139996" s="12" customFormat="1" x14ac:dyDescent="0.25"/>
    <row r="139997" s="12" customFormat="1" x14ac:dyDescent="0.25"/>
    <row r="139998" s="12" customFormat="1" x14ac:dyDescent="0.25"/>
    <row r="139999" s="12" customFormat="1" x14ac:dyDescent="0.25"/>
    <row r="140000" s="12" customFormat="1" x14ac:dyDescent="0.25"/>
    <row r="140001" s="12" customFormat="1" x14ac:dyDescent="0.25"/>
    <row r="140002" s="12" customFormat="1" x14ac:dyDescent="0.25"/>
    <row r="140003" s="12" customFormat="1" x14ac:dyDescent="0.25"/>
    <row r="140004" s="12" customFormat="1" x14ac:dyDescent="0.25"/>
    <row r="140005" s="12" customFormat="1" x14ac:dyDescent="0.25"/>
    <row r="140006" s="12" customFormat="1" x14ac:dyDescent="0.25"/>
    <row r="140007" s="12" customFormat="1" x14ac:dyDescent="0.25"/>
    <row r="140008" s="12" customFormat="1" x14ac:dyDescent="0.25"/>
    <row r="140009" s="12" customFormat="1" x14ac:dyDescent="0.25"/>
    <row r="140010" s="12" customFormat="1" x14ac:dyDescent="0.25"/>
    <row r="140011" s="12" customFormat="1" x14ac:dyDescent="0.25"/>
    <row r="140012" s="12" customFormat="1" x14ac:dyDescent="0.25"/>
    <row r="140013" s="12" customFormat="1" x14ac:dyDescent="0.25"/>
    <row r="140014" s="12" customFormat="1" x14ac:dyDescent="0.25"/>
    <row r="140015" s="12" customFormat="1" x14ac:dyDescent="0.25"/>
    <row r="140016" s="12" customFormat="1" x14ac:dyDescent="0.25"/>
    <row r="140017" s="12" customFormat="1" x14ac:dyDescent="0.25"/>
    <row r="140018" s="12" customFormat="1" x14ac:dyDescent="0.25"/>
    <row r="140019" s="12" customFormat="1" x14ac:dyDescent="0.25"/>
    <row r="140020" s="12" customFormat="1" x14ac:dyDescent="0.25"/>
    <row r="140021" s="12" customFormat="1" x14ac:dyDescent="0.25"/>
    <row r="140022" s="12" customFormat="1" x14ac:dyDescent="0.25"/>
    <row r="140023" s="12" customFormat="1" x14ac:dyDescent="0.25"/>
    <row r="140024" s="12" customFormat="1" x14ac:dyDescent="0.25"/>
    <row r="140025" s="12" customFormat="1" x14ac:dyDescent="0.25"/>
    <row r="140026" s="12" customFormat="1" x14ac:dyDescent="0.25"/>
    <row r="140027" s="12" customFormat="1" x14ac:dyDescent="0.25"/>
    <row r="140028" s="12" customFormat="1" x14ac:dyDescent="0.25"/>
    <row r="140029" s="12" customFormat="1" x14ac:dyDescent="0.25"/>
    <row r="140030" s="12" customFormat="1" x14ac:dyDescent="0.25"/>
    <row r="140031" s="12" customFormat="1" x14ac:dyDescent="0.25"/>
    <row r="140032" s="12" customFormat="1" x14ac:dyDescent="0.25"/>
    <row r="140033" s="12" customFormat="1" x14ac:dyDescent="0.25"/>
    <row r="140034" s="12" customFormat="1" x14ac:dyDescent="0.25"/>
    <row r="140035" s="12" customFormat="1" x14ac:dyDescent="0.25"/>
    <row r="140036" s="12" customFormat="1" x14ac:dyDescent="0.25"/>
    <row r="140037" s="12" customFormat="1" x14ac:dyDescent="0.25"/>
    <row r="140038" s="12" customFormat="1" x14ac:dyDescent="0.25"/>
    <row r="140039" s="12" customFormat="1" x14ac:dyDescent="0.25"/>
    <row r="140040" s="12" customFormat="1" x14ac:dyDescent="0.25"/>
    <row r="140041" s="12" customFormat="1" x14ac:dyDescent="0.25"/>
    <row r="140042" s="12" customFormat="1" x14ac:dyDescent="0.25"/>
    <row r="140043" s="12" customFormat="1" x14ac:dyDescent="0.25"/>
    <row r="140044" s="12" customFormat="1" x14ac:dyDescent="0.25"/>
    <row r="140045" s="12" customFormat="1" x14ac:dyDescent="0.25"/>
    <row r="140046" s="12" customFormat="1" x14ac:dyDescent="0.25"/>
    <row r="140047" s="12" customFormat="1" x14ac:dyDescent="0.25"/>
    <row r="140048" s="12" customFormat="1" x14ac:dyDescent="0.25"/>
    <row r="140049" s="12" customFormat="1" x14ac:dyDescent="0.25"/>
    <row r="140050" s="12" customFormat="1" x14ac:dyDescent="0.25"/>
    <row r="140051" s="12" customFormat="1" x14ac:dyDescent="0.25"/>
    <row r="140052" s="12" customFormat="1" x14ac:dyDescent="0.25"/>
    <row r="140053" s="12" customFormat="1" x14ac:dyDescent="0.25"/>
    <row r="140054" s="12" customFormat="1" x14ac:dyDescent="0.25"/>
    <row r="140055" s="12" customFormat="1" x14ac:dyDescent="0.25"/>
    <row r="140056" s="12" customFormat="1" x14ac:dyDescent="0.25"/>
    <row r="140057" s="12" customFormat="1" x14ac:dyDescent="0.25"/>
    <row r="140058" s="12" customFormat="1" x14ac:dyDescent="0.25"/>
    <row r="140059" s="12" customFormat="1" x14ac:dyDescent="0.25"/>
    <row r="140060" s="12" customFormat="1" x14ac:dyDescent="0.25"/>
    <row r="140061" s="12" customFormat="1" x14ac:dyDescent="0.25"/>
    <row r="140062" s="12" customFormat="1" x14ac:dyDescent="0.25"/>
    <row r="140063" s="12" customFormat="1" x14ac:dyDescent="0.25"/>
    <row r="140064" s="12" customFormat="1" x14ac:dyDescent="0.25"/>
    <row r="140065" s="12" customFormat="1" x14ac:dyDescent="0.25"/>
    <row r="140066" s="12" customFormat="1" x14ac:dyDescent="0.25"/>
    <row r="140067" s="12" customFormat="1" x14ac:dyDescent="0.25"/>
    <row r="140068" s="12" customFormat="1" x14ac:dyDescent="0.25"/>
    <row r="140069" s="12" customFormat="1" x14ac:dyDescent="0.25"/>
    <row r="140070" s="12" customFormat="1" x14ac:dyDescent="0.25"/>
    <row r="140071" s="12" customFormat="1" x14ac:dyDescent="0.25"/>
    <row r="140072" s="12" customFormat="1" x14ac:dyDescent="0.25"/>
    <row r="140073" s="12" customFormat="1" x14ac:dyDescent="0.25"/>
    <row r="140074" s="12" customFormat="1" x14ac:dyDescent="0.25"/>
    <row r="140075" s="12" customFormat="1" x14ac:dyDescent="0.25"/>
    <row r="140076" s="12" customFormat="1" x14ac:dyDescent="0.25"/>
    <row r="140077" s="12" customFormat="1" x14ac:dyDescent="0.25"/>
    <row r="140078" s="12" customFormat="1" x14ac:dyDescent="0.25"/>
    <row r="140079" s="12" customFormat="1" x14ac:dyDescent="0.25"/>
    <row r="140080" s="12" customFormat="1" x14ac:dyDescent="0.25"/>
    <row r="140081" s="12" customFormat="1" x14ac:dyDescent="0.25"/>
    <row r="140082" s="12" customFormat="1" x14ac:dyDescent="0.25"/>
    <row r="140083" s="12" customFormat="1" x14ac:dyDescent="0.25"/>
    <row r="140084" s="12" customFormat="1" x14ac:dyDescent="0.25"/>
    <row r="140085" s="12" customFormat="1" x14ac:dyDescent="0.25"/>
    <row r="140086" s="12" customFormat="1" x14ac:dyDescent="0.25"/>
    <row r="140087" s="12" customFormat="1" x14ac:dyDescent="0.25"/>
    <row r="140088" s="12" customFormat="1" x14ac:dyDescent="0.25"/>
    <row r="140089" s="12" customFormat="1" x14ac:dyDescent="0.25"/>
    <row r="140090" s="12" customFormat="1" x14ac:dyDescent="0.25"/>
    <row r="140091" s="12" customFormat="1" x14ac:dyDescent="0.25"/>
    <row r="140092" s="12" customFormat="1" x14ac:dyDescent="0.25"/>
    <row r="140093" s="12" customFormat="1" x14ac:dyDescent="0.25"/>
    <row r="140094" s="12" customFormat="1" x14ac:dyDescent="0.25"/>
    <row r="140095" s="12" customFormat="1" x14ac:dyDescent="0.25"/>
    <row r="140096" s="12" customFormat="1" x14ac:dyDescent="0.25"/>
    <row r="140097" s="12" customFormat="1" x14ac:dyDescent="0.25"/>
    <row r="140098" s="12" customFormat="1" x14ac:dyDescent="0.25"/>
    <row r="140099" s="12" customFormat="1" x14ac:dyDescent="0.25"/>
    <row r="140100" s="12" customFormat="1" x14ac:dyDescent="0.25"/>
    <row r="140101" s="12" customFormat="1" x14ac:dyDescent="0.25"/>
    <row r="140102" s="12" customFormat="1" x14ac:dyDescent="0.25"/>
    <row r="140103" s="12" customFormat="1" x14ac:dyDescent="0.25"/>
    <row r="140104" s="12" customFormat="1" x14ac:dyDescent="0.25"/>
    <row r="140105" s="12" customFormat="1" x14ac:dyDescent="0.25"/>
    <row r="140106" s="12" customFormat="1" x14ac:dyDescent="0.25"/>
    <row r="140107" s="12" customFormat="1" x14ac:dyDescent="0.25"/>
    <row r="140108" s="12" customFormat="1" x14ac:dyDescent="0.25"/>
    <row r="140109" s="12" customFormat="1" x14ac:dyDescent="0.25"/>
    <row r="140110" s="12" customFormat="1" x14ac:dyDescent="0.25"/>
    <row r="140111" s="12" customFormat="1" x14ac:dyDescent="0.25"/>
    <row r="140112" s="12" customFormat="1" x14ac:dyDescent="0.25"/>
    <row r="140113" s="12" customFormat="1" x14ac:dyDescent="0.25"/>
    <row r="140114" s="12" customFormat="1" x14ac:dyDescent="0.25"/>
    <row r="140115" s="12" customFormat="1" x14ac:dyDescent="0.25"/>
    <row r="140116" s="12" customFormat="1" x14ac:dyDescent="0.25"/>
    <row r="140117" s="12" customFormat="1" x14ac:dyDescent="0.25"/>
    <row r="140118" s="12" customFormat="1" x14ac:dyDescent="0.25"/>
    <row r="140119" s="12" customFormat="1" x14ac:dyDescent="0.25"/>
    <row r="140120" s="12" customFormat="1" x14ac:dyDescent="0.25"/>
    <row r="140121" s="12" customFormat="1" x14ac:dyDescent="0.25"/>
    <row r="140122" s="12" customFormat="1" x14ac:dyDescent="0.25"/>
    <row r="140123" s="12" customFormat="1" x14ac:dyDescent="0.25"/>
    <row r="140124" s="12" customFormat="1" x14ac:dyDescent="0.25"/>
    <row r="140125" s="12" customFormat="1" x14ac:dyDescent="0.25"/>
    <row r="140126" s="12" customFormat="1" x14ac:dyDescent="0.25"/>
    <row r="140127" s="12" customFormat="1" x14ac:dyDescent="0.25"/>
    <row r="140128" s="12" customFormat="1" x14ac:dyDescent="0.25"/>
    <row r="140129" s="12" customFormat="1" x14ac:dyDescent="0.25"/>
    <row r="140130" s="12" customFormat="1" x14ac:dyDescent="0.25"/>
    <row r="140131" s="12" customFormat="1" x14ac:dyDescent="0.25"/>
    <row r="140132" s="12" customFormat="1" x14ac:dyDescent="0.25"/>
    <row r="140133" s="12" customFormat="1" x14ac:dyDescent="0.25"/>
    <row r="140134" s="12" customFormat="1" x14ac:dyDescent="0.25"/>
    <row r="140135" s="12" customFormat="1" x14ac:dyDescent="0.25"/>
    <row r="140136" s="12" customFormat="1" x14ac:dyDescent="0.25"/>
    <row r="140137" s="12" customFormat="1" x14ac:dyDescent="0.25"/>
    <row r="140138" s="12" customFormat="1" x14ac:dyDescent="0.25"/>
    <row r="140139" s="12" customFormat="1" x14ac:dyDescent="0.25"/>
    <row r="140140" s="12" customFormat="1" x14ac:dyDescent="0.25"/>
    <row r="140141" s="12" customFormat="1" x14ac:dyDescent="0.25"/>
    <row r="140142" s="12" customFormat="1" x14ac:dyDescent="0.25"/>
    <row r="140143" s="12" customFormat="1" x14ac:dyDescent="0.25"/>
    <row r="140144" s="12" customFormat="1" x14ac:dyDescent="0.25"/>
    <row r="140145" s="12" customFormat="1" x14ac:dyDescent="0.25"/>
    <row r="140146" s="12" customFormat="1" x14ac:dyDescent="0.25"/>
    <row r="140147" s="12" customFormat="1" x14ac:dyDescent="0.25"/>
    <row r="140148" s="12" customFormat="1" x14ac:dyDescent="0.25"/>
    <row r="140149" s="12" customFormat="1" x14ac:dyDescent="0.25"/>
    <row r="140150" s="12" customFormat="1" x14ac:dyDescent="0.25"/>
    <row r="140151" s="12" customFormat="1" x14ac:dyDescent="0.25"/>
    <row r="140152" s="12" customFormat="1" x14ac:dyDescent="0.25"/>
    <row r="140153" s="12" customFormat="1" x14ac:dyDescent="0.25"/>
    <row r="140154" s="12" customFormat="1" x14ac:dyDescent="0.25"/>
    <row r="140155" s="12" customFormat="1" x14ac:dyDescent="0.25"/>
    <row r="140156" s="12" customFormat="1" x14ac:dyDescent="0.25"/>
    <row r="140157" s="12" customFormat="1" x14ac:dyDescent="0.25"/>
    <row r="140158" s="12" customFormat="1" x14ac:dyDescent="0.25"/>
    <row r="140159" s="12" customFormat="1" x14ac:dyDescent="0.25"/>
    <row r="140160" s="12" customFormat="1" x14ac:dyDescent="0.25"/>
    <row r="140161" s="12" customFormat="1" x14ac:dyDescent="0.25"/>
    <row r="140162" s="12" customFormat="1" x14ac:dyDescent="0.25"/>
    <row r="140163" s="12" customFormat="1" x14ac:dyDescent="0.25"/>
    <row r="140164" s="12" customFormat="1" x14ac:dyDescent="0.25"/>
    <row r="140165" s="12" customFormat="1" x14ac:dyDescent="0.25"/>
    <row r="140166" s="12" customFormat="1" x14ac:dyDescent="0.25"/>
    <row r="140167" s="12" customFormat="1" x14ac:dyDescent="0.25"/>
    <row r="140168" s="12" customFormat="1" x14ac:dyDescent="0.25"/>
    <row r="140169" s="12" customFormat="1" x14ac:dyDescent="0.25"/>
    <row r="140170" s="12" customFormat="1" x14ac:dyDescent="0.25"/>
    <row r="140171" s="12" customFormat="1" x14ac:dyDescent="0.25"/>
    <row r="140172" s="12" customFormat="1" x14ac:dyDescent="0.25"/>
    <row r="140173" s="12" customFormat="1" x14ac:dyDescent="0.25"/>
    <row r="140174" s="12" customFormat="1" x14ac:dyDescent="0.25"/>
    <row r="140175" s="12" customFormat="1" x14ac:dyDescent="0.25"/>
    <row r="140176" s="12" customFormat="1" x14ac:dyDescent="0.25"/>
    <row r="140177" s="12" customFormat="1" x14ac:dyDescent="0.25"/>
    <row r="140178" s="12" customFormat="1" x14ac:dyDescent="0.25"/>
    <row r="140179" s="12" customFormat="1" x14ac:dyDescent="0.25"/>
    <row r="140180" s="12" customFormat="1" x14ac:dyDescent="0.25"/>
    <row r="140181" s="12" customFormat="1" x14ac:dyDescent="0.25"/>
    <row r="140182" s="12" customFormat="1" x14ac:dyDescent="0.25"/>
    <row r="140183" s="12" customFormat="1" x14ac:dyDescent="0.25"/>
    <row r="140184" s="12" customFormat="1" x14ac:dyDescent="0.25"/>
    <row r="140185" s="12" customFormat="1" x14ac:dyDescent="0.25"/>
    <row r="140186" s="12" customFormat="1" x14ac:dyDescent="0.25"/>
    <row r="140187" s="12" customFormat="1" x14ac:dyDescent="0.25"/>
    <row r="140188" s="12" customFormat="1" x14ac:dyDescent="0.25"/>
    <row r="140189" s="12" customFormat="1" x14ac:dyDescent="0.25"/>
    <row r="140190" s="12" customFormat="1" x14ac:dyDescent="0.25"/>
    <row r="140191" s="12" customFormat="1" x14ac:dyDescent="0.25"/>
    <row r="140192" s="12" customFormat="1" x14ac:dyDescent="0.25"/>
    <row r="140193" s="12" customFormat="1" x14ac:dyDescent="0.25"/>
    <row r="140194" s="12" customFormat="1" x14ac:dyDescent="0.25"/>
    <row r="140195" s="12" customFormat="1" x14ac:dyDescent="0.25"/>
    <row r="140196" s="12" customFormat="1" x14ac:dyDescent="0.25"/>
    <row r="140197" s="12" customFormat="1" x14ac:dyDescent="0.25"/>
    <row r="140198" s="12" customFormat="1" x14ac:dyDescent="0.25"/>
    <row r="140199" s="12" customFormat="1" x14ac:dyDescent="0.25"/>
    <row r="140200" s="12" customFormat="1" x14ac:dyDescent="0.25"/>
    <row r="140201" s="12" customFormat="1" x14ac:dyDescent="0.25"/>
    <row r="140202" s="12" customFormat="1" x14ac:dyDescent="0.25"/>
    <row r="140203" s="12" customFormat="1" x14ac:dyDescent="0.25"/>
    <row r="140204" s="12" customFormat="1" x14ac:dyDescent="0.25"/>
    <row r="140205" s="12" customFormat="1" x14ac:dyDescent="0.25"/>
    <row r="140206" s="12" customFormat="1" x14ac:dyDescent="0.25"/>
    <row r="140207" s="12" customFormat="1" x14ac:dyDescent="0.25"/>
    <row r="140208" s="12" customFormat="1" x14ac:dyDescent="0.25"/>
    <row r="140209" s="12" customFormat="1" x14ac:dyDescent="0.25"/>
    <row r="140210" s="12" customFormat="1" x14ac:dyDescent="0.25"/>
    <row r="140211" s="12" customFormat="1" x14ac:dyDescent="0.25"/>
    <row r="140212" s="12" customFormat="1" x14ac:dyDescent="0.25"/>
    <row r="140213" s="12" customFormat="1" x14ac:dyDescent="0.25"/>
    <row r="140214" s="12" customFormat="1" x14ac:dyDescent="0.25"/>
    <row r="140215" s="12" customFormat="1" x14ac:dyDescent="0.25"/>
    <row r="140216" s="12" customFormat="1" x14ac:dyDescent="0.25"/>
    <row r="140217" s="12" customFormat="1" x14ac:dyDescent="0.25"/>
    <row r="140218" s="12" customFormat="1" x14ac:dyDescent="0.25"/>
    <row r="140219" s="12" customFormat="1" x14ac:dyDescent="0.25"/>
    <row r="140220" s="12" customFormat="1" x14ac:dyDescent="0.25"/>
    <row r="140221" s="12" customFormat="1" x14ac:dyDescent="0.25"/>
    <row r="140222" s="12" customFormat="1" x14ac:dyDescent="0.25"/>
    <row r="140223" s="12" customFormat="1" x14ac:dyDescent="0.25"/>
    <row r="140224" s="12" customFormat="1" x14ac:dyDescent="0.25"/>
    <row r="140225" s="12" customFormat="1" x14ac:dyDescent="0.25"/>
    <row r="140226" s="12" customFormat="1" x14ac:dyDescent="0.25"/>
    <row r="140227" s="12" customFormat="1" x14ac:dyDescent="0.25"/>
    <row r="140228" s="12" customFormat="1" x14ac:dyDescent="0.25"/>
    <row r="140229" s="12" customFormat="1" x14ac:dyDescent="0.25"/>
    <row r="140230" s="12" customFormat="1" x14ac:dyDescent="0.25"/>
    <row r="140231" s="12" customFormat="1" x14ac:dyDescent="0.25"/>
    <row r="140232" s="12" customFormat="1" x14ac:dyDescent="0.25"/>
    <row r="140233" s="12" customFormat="1" x14ac:dyDescent="0.25"/>
    <row r="140234" s="12" customFormat="1" x14ac:dyDescent="0.25"/>
    <row r="140235" s="12" customFormat="1" x14ac:dyDescent="0.25"/>
    <row r="140236" s="12" customFormat="1" x14ac:dyDescent="0.25"/>
    <row r="140237" s="12" customFormat="1" x14ac:dyDescent="0.25"/>
    <row r="140238" s="12" customFormat="1" x14ac:dyDescent="0.25"/>
    <row r="140239" s="12" customFormat="1" x14ac:dyDescent="0.25"/>
    <row r="140240" s="12" customFormat="1" x14ac:dyDescent="0.25"/>
    <row r="140241" s="12" customFormat="1" x14ac:dyDescent="0.25"/>
    <row r="140242" s="12" customFormat="1" x14ac:dyDescent="0.25"/>
    <row r="140243" s="12" customFormat="1" x14ac:dyDescent="0.25"/>
    <row r="140244" s="12" customFormat="1" x14ac:dyDescent="0.25"/>
    <row r="140245" s="12" customFormat="1" x14ac:dyDescent="0.25"/>
    <row r="140246" s="12" customFormat="1" x14ac:dyDescent="0.25"/>
    <row r="140247" s="12" customFormat="1" x14ac:dyDescent="0.25"/>
    <row r="140248" s="12" customFormat="1" x14ac:dyDescent="0.25"/>
    <row r="140249" s="12" customFormat="1" x14ac:dyDescent="0.25"/>
    <row r="140250" s="12" customFormat="1" x14ac:dyDescent="0.25"/>
    <row r="140251" s="12" customFormat="1" x14ac:dyDescent="0.25"/>
    <row r="140252" s="12" customFormat="1" x14ac:dyDescent="0.25"/>
    <row r="140253" s="12" customFormat="1" x14ac:dyDescent="0.25"/>
    <row r="140254" s="12" customFormat="1" x14ac:dyDescent="0.25"/>
    <row r="140255" s="12" customFormat="1" x14ac:dyDescent="0.25"/>
    <row r="140256" s="12" customFormat="1" x14ac:dyDescent="0.25"/>
    <row r="140257" s="12" customFormat="1" x14ac:dyDescent="0.25"/>
    <row r="140258" s="12" customFormat="1" x14ac:dyDescent="0.25"/>
    <row r="140259" s="12" customFormat="1" x14ac:dyDescent="0.25"/>
    <row r="140260" s="12" customFormat="1" x14ac:dyDescent="0.25"/>
    <row r="140261" s="12" customFormat="1" x14ac:dyDescent="0.25"/>
    <row r="140262" s="12" customFormat="1" x14ac:dyDescent="0.25"/>
    <row r="140263" s="12" customFormat="1" x14ac:dyDescent="0.25"/>
    <row r="140264" s="12" customFormat="1" x14ac:dyDescent="0.25"/>
    <row r="140265" s="12" customFormat="1" x14ac:dyDescent="0.25"/>
    <row r="140266" s="12" customFormat="1" x14ac:dyDescent="0.25"/>
    <row r="140267" s="12" customFormat="1" x14ac:dyDescent="0.25"/>
    <row r="140268" s="12" customFormat="1" x14ac:dyDescent="0.25"/>
    <row r="140269" s="12" customFormat="1" x14ac:dyDescent="0.25"/>
    <row r="140270" s="12" customFormat="1" x14ac:dyDescent="0.25"/>
    <row r="140271" s="12" customFormat="1" x14ac:dyDescent="0.25"/>
    <row r="140272" s="12" customFormat="1" x14ac:dyDescent="0.25"/>
    <row r="140273" s="12" customFormat="1" x14ac:dyDescent="0.25"/>
    <row r="140274" s="12" customFormat="1" x14ac:dyDescent="0.25"/>
    <row r="140275" s="12" customFormat="1" x14ac:dyDescent="0.25"/>
    <row r="140276" s="12" customFormat="1" x14ac:dyDescent="0.25"/>
    <row r="140277" s="12" customFormat="1" x14ac:dyDescent="0.25"/>
    <row r="140278" s="12" customFormat="1" x14ac:dyDescent="0.25"/>
    <row r="140279" s="12" customFormat="1" x14ac:dyDescent="0.25"/>
    <row r="140280" s="12" customFormat="1" x14ac:dyDescent="0.25"/>
    <row r="140281" s="12" customFormat="1" x14ac:dyDescent="0.25"/>
    <row r="140282" s="12" customFormat="1" x14ac:dyDescent="0.25"/>
    <row r="140283" s="12" customFormat="1" x14ac:dyDescent="0.25"/>
    <row r="140284" s="12" customFormat="1" x14ac:dyDescent="0.25"/>
    <row r="140285" s="12" customFormat="1" x14ac:dyDescent="0.25"/>
    <row r="140286" s="12" customFormat="1" x14ac:dyDescent="0.25"/>
    <row r="140287" s="12" customFormat="1" x14ac:dyDescent="0.25"/>
    <row r="140288" s="12" customFormat="1" x14ac:dyDescent="0.25"/>
    <row r="140289" s="12" customFormat="1" x14ac:dyDescent="0.25"/>
    <row r="140290" s="12" customFormat="1" x14ac:dyDescent="0.25"/>
    <row r="140291" s="12" customFormat="1" x14ac:dyDescent="0.25"/>
    <row r="140292" s="12" customFormat="1" x14ac:dyDescent="0.25"/>
    <row r="140293" s="12" customFormat="1" x14ac:dyDescent="0.25"/>
    <row r="140294" s="12" customFormat="1" x14ac:dyDescent="0.25"/>
    <row r="140295" s="12" customFormat="1" x14ac:dyDescent="0.25"/>
    <row r="140296" s="12" customFormat="1" x14ac:dyDescent="0.25"/>
    <row r="140297" s="12" customFormat="1" x14ac:dyDescent="0.25"/>
    <row r="140298" s="12" customFormat="1" x14ac:dyDescent="0.25"/>
    <row r="140299" s="12" customFormat="1" x14ac:dyDescent="0.25"/>
    <row r="140300" s="12" customFormat="1" x14ac:dyDescent="0.25"/>
    <row r="140301" s="12" customFormat="1" x14ac:dyDescent="0.25"/>
    <row r="140302" s="12" customFormat="1" x14ac:dyDescent="0.25"/>
    <row r="140303" s="12" customFormat="1" x14ac:dyDescent="0.25"/>
    <row r="140304" s="12" customFormat="1" x14ac:dyDescent="0.25"/>
    <row r="140305" s="12" customFormat="1" x14ac:dyDescent="0.25"/>
    <row r="140306" s="12" customFormat="1" x14ac:dyDescent="0.25"/>
    <row r="140307" s="12" customFormat="1" x14ac:dyDescent="0.25"/>
    <row r="140308" s="12" customFormat="1" x14ac:dyDescent="0.25"/>
    <row r="140309" s="12" customFormat="1" x14ac:dyDescent="0.25"/>
    <row r="140310" s="12" customFormat="1" x14ac:dyDescent="0.25"/>
    <row r="140311" s="12" customFormat="1" x14ac:dyDescent="0.25"/>
    <row r="140312" s="12" customFormat="1" x14ac:dyDescent="0.25"/>
    <row r="140313" s="12" customFormat="1" x14ac:dyDescent="0.25"/>
    <row r="140314" s="12" customFormat="1" x14ac:dyDescent="0.25"/>
    <row r="140315" s="12" customFormat="1" x14ac:dyDescent="0.25"/>
    <row r="140316" s="12" customFormat="1" x14ac:dyDescent="0.25"/>
    <row r="140317" s="12" customFormat="1" x14ac:dyDescent="0.25"/>
    <row r="140318" s="12" customFormat="1" x14ac:dyDescent="0.25"/>
    <row r="140319" s="12" customFormat="1" x14ac:dyDescent="0.25"/>
    <row r="140320" s="12" customFormat="1" x14ac:dyDescent="0.25"/>
    <row r="140321" s="12" customFormat="1" x14ac:dyDescent="0.25"/>
    <row r="140322" s="12" customFormat="1" x14ac:dyDescent="0.25"/>
    <row r="140323" s="12" customFormat="1" x14ac:dyDescent="0.25"/>
    <row r="140324" s="12" customFormat="1" x14ac:dyDescent="0.25"/>
    <row r="140325" s="12" customFormat="1" x14ac:dyDescent="0.25"/>
    <row r="140326" s="12" customFormat="1" x14ac:dyDescent="0.25"/>
    <row r="140327" s="12" customFormat="1" x14ac:dyDescent="0.25"/>
    <row r="140328" s="12" customFormat="1" x14ac:dyDescent="0.25"/>
    <row r="140329" s="12" customFormat="1" x14ac:dyDescent="0.25"/>
    <row r="140330" s="12" customFormat="1" x14ac:dyDescent="0.25"/>
    <row r="140331" s="12" customFormat="1" x14ac:dyDescent="0.25"/>
    <row r="140332" s="12" customFormat="1" x14ac:dyDescent="0.25"/>
    <row r="140333" s="12" customFormat="1" x14ac:dyDescent="0.25"/>
    <row r="140334" s="12" customFormat="1" x14ac:dyDescent="0.25"/>
    <row r="140335" s="12" customFormat="1" x14ac:dyDescent="0.25"/>
    <row r="140336" s="12" customFormat="1" x14ac:dyDescent="0.25"/>
    <row r="140337" s="12" customFormat="1" x14ac:dyDescent="0.25"/>
    <row r="140338" s="12" customFormat="1" x14ac:dyDescent="0.25"/>
    <row r="140339" s="12" customFormat="1" x14ac:dyDescent="0.25"/>
    <row r="140340" s="12" customFormat="1" x14ac:dyDescent="0.25"/>
    <row r="140341" s="12" customFormat="1" x14ac:dyDescent="0.25"/>
    <row r="140342" s="12" customFormat="1" x14ac:dyDescent="0.25"/>
    <row r="140343" s="12" customFormat="1" x14ac:dyDescent="0.25"/>
    <row r="140344" s="12" customFormat="1" x14ac:dyDescent="0.25"/>
    <row r="140345" s="12" customFormat="1" x14ac:dyDescent="0.25"/>
    <row r="140346" s="12" customFormat="1" x14ac:dyDescent="0.25"/>
    <row r="140347" s="12" customFormat="1" x14ac:dyDescent="0.25"/>
    <row r="140348" s="12" customFormat="1" x14ac:dyDescent="0.25"/>
    <row r="140349" s="12" customFormat="1" x14ac:dyDescent="0.25"/>
    <row r="140350" s="12" customFormat="1" x14ac:dyDescent="0.25"/>
    <row r="140351" s="12" customFormat="1" x14ac:dyDescent="0.25"/>
    <row r="140352" s="12" customFormat="1" x14ac:dyDescent="0.25"/>
    <row r="140353" s="12" customFormat="1" x14ac:dyDescent="0.25"/>
    <row r="140354" s="12" customFormat="1" x14ac:dyDescent="0.25"/>
    <row r="140355" s="12" customFormat="1" x14ac:dyDescent="0.25"/>
    <row r="140356" s="12" customFormat="1" x14ac:dyDescent="0.25"/>
    <row r="140357" s="12" customFormat="1" x14ac:dyDescent="0.25"/>
    <row r="140358" s="12" customFormat="1" x14ac:dyDescent="0.25"/>
    <row r="140359" s="12" customFormat="1" x14ac:dyDescent="0.25"/>
    <row r="140360" s="12" customFormat="1" x14ac:dyDescent="0.25"/>
    <row r="140361" s="12" customFormat="1" x14ac:dyDescent="0.25"/>
    <row r="140362" s="12" customFormat="1" x14ac:dyDescent="0.25"/>
    <row r="140363" s="12" customFormat="1" x14ac:dyDescent="0.25"/>
    <row r="140364" s="12" customFormat="1" x14ac:dyDescent="0.25"/>
    <row r="140365" s="12" customFormat="1" x14ac:dyDescent="0.25"/>
    <row r="140366" s="12" customFormat="1" x14ac:dyDescent="0.25"/>
    <row r="140367" s="12" customFormat="1" x14ac:dyDescent="0.25"/>
    <row r="140368" s="12" customFormat="1" x14ac:dyDescent="0.25"/>
    <row r="140369" s="12" customFormat="1" x14ac:dyDescent="0.25"/>
    <row r="140370" s="12" customFormat="1" x14ac:dyDescent="0.25"/>
    <row r="140371" s="12" customFormat="1" x14ac:dyDescent="0.25"/>
    <row r="140372" s="12" customFormat="1" x14ac:dyDescent="0.25"/>
    <row r="140373" s="12" customFormat="1" x14ac:dyDescent="0.25"/>
    <row r="140374" s="12" customFormat="1" x14ac:dyDescent="0.25"/>
    <row r="140375" s="12" customFormat="1" x14ac:dyDescent="0.25"/>
    <row r="140376" s="12" customFormat="1" x14ac:dyDescent="0.25"/>
    <row r="140377" s="12" customFormat="1" x14ac:dyDescent="0.25"/>
    <row r="140378" s="12" customFormat="1" x14ac:dyDescent="0.25"/>
    <row r="140379" s="12" customFormat="1" x14ac:dyDescent="0.25"/>
    <row r="140380" s="12" customFormat="1" x14ac:dyDescent="0.25"/>
    <row r="140381" s="12" customFormat="1" x14ac:dyDescent="0.25"/>
    <row r="140382" s="12" customFormat="1" x14ac:dyDescent="0.25"/>
    <row r="140383" s="12" customFormat="1" x14ac:dyDescent="0.25"/>
    <row r="140384" s="12" customFormat="1" x14ac:dyDescent="0.25"/>
    <row r="140385" s="12" customFormat="1" x14ac:dyDescent="0.25"/>
    <row r="140386" s="12" customFormat="1" x14ac:dyDescent="0.25"/>
    <row r="140387" s="12" customFormat="1" x14ac:dyDescent="0.25"/>
    <row r="140388" s="12" customFormat="1" x14ac:dyDescent="0.25"/>
    <row r="140389" s="12" customFormat="1" x14ac:dyDescent="0.25"/>
    <row r="140390" s="12" customFormat="1" x14ac:dyDescent="0.25"/>
    <row r="140391" s="12" customFormat="1" x14ac:dyDescent="0.25"/>
    <row r="140392" s="12" customFormat="1" x14ac:dyDescent="0.25"/>
    <row r="140393" s="12" customFormat="1" x14ac:dyDescent="0.25"/>
    <row r="140394" s="12" customFormat="1" x14ac:dyDescent="0.25"/>
    <row r="140395" s="12" customFormat="1" x14ac:dyDescent="0.25"/>
    <row r="140396" s="12" customFormat="1" x14ac:dyDescent="0.25"/>
    <row r="140397" s="12" customFormat="1" x14ac:dyDescent="0.25"/>
    <row r="140398" s="12" customFormat="1" x14ac:dyDescent="0.25"/>
    <row r="140399" s="12" customFormat="1" x14ac:dyDescent="0.25"/>
    <row r="140400" s="12" customFormat="1" x14ac:dyDescent="0.25"/>
    <row r="140401" s="12" customFormat="1" x14ac:dyDescent="0.25"/>
    <row r="140402" s="12" customFormat="1" x14ac:dyDescent="0.25"/>
    <row r="140403" s="12" customFormat="1" x14ac:dyDescent="0.25"/>
    <row r="140404" s="12" customFormat="1" x14ac:dyDescent="0.25"/>
    <row r="140405" s="12" customFormat="1" x14ac:dyDescent="0.25"/>
    <row r="140406" s="12" customFormat="1" x14ac:dyDescent="0.25"/>
    <row r="140407" s="12" customFormat="1" x14ac:dyDescent="0.25"/>
    <row r="140408" s="12" customFormat="1" x14ac:dyDescent="0.25"/>
    <row r="140409" s="12" customFormat="1" x14ac:dyDescent="0.25"/>
    <row r="140410" s="12" customFormat="1" x14ac:dyDescent="0.25"/>
    <row r="140411" s="12" customFormat="1" x14ac:dyDescent="0.25"/>
    <row r="140412" s="12" customFormat="1" x14ac:dyDescent="0.25"/>
    <row r="140413" s="12" customFormat="1" x14ac:dyDescent="0.25"/>
    <row r="140414" s="12" customFormat="1" x14ac:dyDescent="0.25"/>
    <row r="140415" s="12" customFormat="1" x14ac:dyDescent="0.25"/>
    <row r="140416" s="12" customFormat="1" x14ac:dyDescent="0.25"/>
    <row r="140417" s="12" customFormat="1" x14ac:dyDescent="0.25"/>
    <row r="140418" s="12" customFormat="1" x14ac:dyDescent="0.25"/>
    <row r="140419" s="12" customFormat="1" x14ac:dyDescent="0.25"/>
    <row r="140420" s="12" customFormat="1" x14ac:dyDescent="0.25"/>
    <row r="140421" s="12" customFormat="1" x14ac:dyDescent="0.25"/>
    <row r="140422" s="12" customFormat="1" x14ac:dyDescent="0.25"/>
    <row r="140423" s="12" customFormat="1" x14ac:dyDescent="0.25"/>
    <row r="140424" s="12" customFormat="1" x14ac:dyDescent="0.25"/>
    <row r="140425" s="12" customFormat="1" x14ac:dyDescent="0.25"/>
    <row r="140426" s="12" customFormat="1" x14ac:dyDescent="0.25"/>
    <row r="140427" s="12" customFormat="1" x14ac:dyDescent="0.25"/>
    <row r="140428" s="12" customFormat="1" x14ac:dyDescent="0.25"/>
    <row r="140429" s="12" customFormat="1" x14ac:dyDescent="0.25"/>
    <row r="140430" s="12" customFormat="1" x14ac:dyDescent="0.25"/>
    <row r="140431" s="12" customFormat="1" x14ac:dyDescent="0.25"/>
    <row r="140432" s="12" customFormat="1" x14ac:dyDescent="0.25"/>
    <row r="140433" s="12" customFormat="1" x14ac:dyDescent="0.25"/>
    <row r="140434" s="12" customFormat="1" x14ac:dyDescent="0.25"/>
    <row r="140435" s="12" customFormat="1" x14ac:dyDescent="0.25"/>
    <row r="140436" s="12" customFormat="1" x14ac:dyDescent="0.25"/>
    <row r="140437" s="12" customFormat="1" x14ac:dyDescent="0.25"/>
    <row r="140438" s="12" customFormat="1" x14ac:dyDescent="0.25"/>
    <row r="140439" s="12" customFormat="1" x14ac:dyDescent="0.25"/>
    <row r="140440" s="12" customFormat="1" x14ac:dyDescent="0.25"/>
    <row r="140441" s="12" customFormat="1" x14ac:dyDescent="0.25"/>
    <row r="140442" s="12" customFormat="1" x14ac:dyDescent="0.25"/>
    <row r="140443" s="12" customFormat="1" x14ac:dyDescent="0.25"/>
    <row r="140444" s="12" customFormat="1" x14ac:dyDescent="0.25"/>
    <row r="140445" s="12" customFormat="1" x14ac:dyDescent="0.25"/>
    <row r="140446" s="12" customFormat="1" x14ac:dyDescent="0.25"/>
    <row r="140447" s="12" customFormat="1" x14ac:dyDescent="0.25"/>
    <row r="140448" s="12" customFormat="1" x14ac:dyDescent="0.25"/>
    <row r="140449" s="12" customFormat="1" x14ac:dyDescent="0.25"/>
    <row r="140450" s="12" customFormat="1" x14ac:dyDescent="0.25"/>
    <row r="140451" s="12" customFormat="1" x14ac:dyDescent="0.25"/>
    <row r="140452" s="12" customFormat="1" x14ac:dyDescent="0.25"/>
    <row r="140453" s="12" customFormat="1" x14ac:dyDescent="0.25"/>
    <row r="140454" s="12" customFormat="1" x14ac:dyDescent="0.25"/>
    <row r="140455" s="12" customFormat="1" x14ac:dyDescent="0.25"/>
    <row r="140456" s="12" customFormat="1" x14ac:dyDescent="0.25"/>
    <row r="140457" s="12" customFormat="1" x14ac:dyDescent="0.25"/>
    <row r="140458" s="12" customFormat="1" x14ac:dyDescent="0.25"/>
    <row r="140459" s="12" customFormat="1" x14ac:dyDescent="0.25"/>
    <row r="140460" s="12" customFormat="1" x14ac:dyDescent="0.25"/>
    <row r="140461" s="12" customFormat="1" x14ac:dyDescent="0.25"/>
    <row r="140462" s="12" customFormat="1" x14ac:dyDescent="0.25"/>
    <row r="140463" s="12" customFormat="1" x14ac:dyDescent="0.25"/>
    <row r="140464" s="12" customFormat="1" x14ac:dyDescent="0.25"/>
    <row r="140465" s="12" customFormat="1" x14ac:dyDescent="0.25"/>
    <row r="140466" s="12" customFormat="1" x14ac:dyDescent="0.25"/>
    <row r="140467" s="12" customFormat="1" x14ac:dyDescent="0.25"/>
    <row r="140468" s="12" customFormat="1" x14ac:dyDescent="0.25"/>
    <row r="140469" s="12" customFormat="1" x14ac:dyDescent="0.25"/>
    <row r="140470" s="12" customFormat="1" x14ac:dyDescent="0.25"/>
    <row r="140471" s="12" customFormat="1" x14ac:dyDescent="0.25"/>
    <row r="140472" s="12" customFormat="1" x14ac:dyDescent="0.25"/>
    <row r="140473" s="12" customFormat="1" x14ac:dyDescent="0.25"/>
    <row r="140474" s="12" customFormat="1" x14ac:dyDescent="0.25"/>
    <row r="140475" s="12" customFormat="1" x14ac:dyDescent="0.25"/>
    <row r="140476" s="12" customFormat="1" x14ac:dyDescent="0.25"/>
    <row r="140477" s="12" customFormat="1" x14ac:dyDescent="0.25"/>
    <row r="140478" s="12" customFormat="1" x14ac:dyDescent="0.25"/>
    <row r="140479" s="12" customFormat="1" x14ac:dyDescent="0.25"/>
    <row r="140480" s="12" customFormat="1" x14ac:dyDescent="0.25"/>
    <row r="140481" s="12" customFormat="1" x14ac:dyDescent="0.25"/>
    <row r="140482" s="12" customFormat="1" x14ac:dyDescent="0.25"/>
    <row r="140483" s="12" customFormat="1" x14ac:dyDescent="0.25"/>
    <row r="140484" s="12" customFormat="1" x14ac:dyDescent="0.25"/>
    <row r="140485" s="12" customFormat="1" x14ac:dyDescent="0.25"/>
    <row r="140486" s="12" customFormat="1" x14ac:dyDescent="0.25"/>
    <row r="140487" s="12" customFormat="1" x14ac:dyDescent="0.25"/>
    <row r="140488" s="12" customFormat="1" x14ac:dyDescent="0.25"/>
    <row r="140489" s="12" customFormat="1" x14ac:dyDescent="0.25"/>
    <row r="140490" s="12" customFormat="1" x14ac:dyDescent="0.25"/>
    <row r="140491" s="12" customFormat="1" x14ac:dyDescent="0.25"/>
    <row r="140492" s="12" customFormat="1" x14ac:dyDescent="0.25"/>
    <row r="140493" s="12" customFormat="1" x14ac:dyDescent="0.25"/>
    <row r="140494" s="12" customFormat="1" x14ac:dyDescent="0.25"/>
    <row r="140495" s="12" customFormat="1" x14ac:dyDescent="0.25"/>
    <row r="140496" s="12" customFormat="1" x14ac:dyDescent="0.25"/>
    <row r="140497" s="12" customFormat="1" x14ac:dyDescent="0.25"/>
    <row r="140498" s="12" customFormat="1" x14ac:dyDescent="0.25"/>
    <row r="140499" s="12" customFormat="1" x14ac:dyDescent="0.25"/>
    <row r="140500" s="12" customFormat="1" x14ac:dyDescent="0.25"/>
    <row r="140501" s="12" customFormat="1" x14ac:dyDescent="0.25"/>
    <row r="140502" s="12" customFormat="1" x14ac:dyDescent="0.25"/>
    <row r="140503" s="12" customFormat="1" x14ac:dyDescent="0.25"/>
    <row r="140504" s="12" customFormat="1" x14ac:dyDescent="0.25"/>
    <row r="140505" s="12" customFormat="1" x14ac:dyDescent="0.25"/>
    <row r="140506" s="12" customFormat="1" x14ac:dyDescent="0.25"/>
    <row r="140507" s="12" customFormat="1" x14ac:dyDescent="0.25"/>
    <row r="140508" s="12" customFormat="1" x14ac:dyDescent="0.25"/>
    <row r="140509" s="12" customFormat="1" x14ac:dyDescent="0.25"/>
    <row r="140510" s="12" customFormat="1" x14ac:dyDescent="0.25"/>
    <row r="140511" s="12" customFormat="1" x14ac:dyDescent="0.25"/>
    <row r="140512" s="12" customFormat="1" x14ac:dyDescent="0.25"/>
    <row r="140513" s="12" customFormat="1" x14ac:dyDescent="0.25"/>
    <row r="140514" s="12" customFormat="1" x14ac:dyDescent="0.25"/>
    <row r="140515" s="12" customFormat="1" x14ac:dyDescent="0.25"/>
    <row r="140516" s="12" customFormat="1" x14ac:dyDescent="0.25"/>
    <row r="140517" s="12" customFormat="1" x14ac:dyDescent="0.25"/>
    <row r="140518" s="12" customFormat="1" x14ac:dyDescent="0.25"/>
    <row r="140519" s="12" customFormat="1" x14ac:dyDescent="0.25"/>
    <row r="140520" s="12" customFormat="1" x14ac:dyDescent="0.25"/>
    <row r="140521" s="12" customFormat="1" x14ac:dyDescent="0.25"/>
    <row r="140522" s="12" customFormat="1" x14ac:dyDescent="0.25"/>
    <row r="140523" s="12" customFormat="1" x14ac:dyDescent="0.25"/>
    <row r="140524" s="12" customFormat="1" x14ac:dyDescent="0.25"/>
    <row r="140525" s="12" customFormat="1" x14ac:dyDescent="0.25"/>
    <row r="140526" s="12" customFormat="1" x14ac:dyDescent="0.25"/>
    <row r="140527" s="12" customFormat="1" x14ac:dyDescent="0.25"/>
    <row r="140528" s="12" customFormat="1" x14ac:dyDescent="0.25"/>
    <row r="140529" s="12" customFormat="1" x14ac:dyDescent="0.25"/>
    <row r="140530" s="12" customFormat="1" x14ac:dyDescent="0.25"/>
    <row r="140531" s="12" customFormat="1" x14ac:dyDescent="0.25"/>
    <row r="140532" s="12" customFormat="1" x14ac:dyDescent="0.25"/>
    <row r="140533" s="12" customFormat="1" x14ac:dyDescent="0.25"/>
    <row r="140534" s="12" customFormat="1" x14ac:dyDescent="0.25"/>
    <row r="140535" s="12" customFormat="1" x14ac:dyDescent="0.25"/>
    <row r="140536" s="12" customFormat="1" x14ac:dyDescent="0.25"/>
    <row r="140537" s="12" customFormat="1" x14ac:dyDescent="0.25"/>
    <row r="140538" s="12" customFormat="1" x14ac:dyDescent="0.25"/>
    <row r="140539" s="12" customFormat="1" x14ac:dyDescent="0.25"/>
    <row r="140540" s="12" customFormat="1" x14ac:dyDescent="0.25"/>
    <row r="140541" s="12" customFormat="1" x14ac:dyDescent="0.25"/>
    <row r="140542" s="12" customFormat="1" x14ac:dyDescent="0.25"/>
    <row r="140543" s="12" customFormat="1" x14ac:dyDescent="0.25"/>
    <row r="140544" s="12" customFormat="1" x14ac:dyDescent="0.25"/>
    <row r="140545" s="12" customFormat="1" x14ac:dyDescent="0.25"/>
    <row r="140546" s="12" customFormat="1" x14ac:dyDescent="0.25"/>
    <row r="140547" s="12" customFormat="1" x14ac:dyDescent="0.25"/>
    <row r="140548" s="12" customFormat="1" x14ac:dyDescent="0.25"/>
    <row r="140549" s="12" customFormat="1" x14ac:dyDescent="0.25"/>
    <row r="140550" s="12" customFormat="1" x14ac:dyDescent="0.25"/>
    <row r="140551" s="12" customFormat="1" x14ac:dyDescent="0.25"/>
    <row r="140552" s="12" customFormat="1" x14ac:dyDescent="0.25"/>
    <row r="140553" s="12" customFormat="1" x14ac:dyDescent="0.25"/>
    <row r="140554" s="12" customFormat="1" x14ac:dyDescent="0.25"/>
    <row r="140555" s="12" customFormat="1" x14ac:dyDescent="0.25"/>
    <row r="140556" s="12" customFormat="1" x14ac:dyDescent="0.25"/>
    <row r="140557" s="12" customFormat="1" x14ac:dyDescent="0.25"/>
    <row r="140558" s="12" customFormat="1" x14ac:dyDescent="0.25"/>
    <row r="140559" s="12" customFormat="1" x14ac:dyDescent="0.25"/>
    <row r="140560" s="12" customFormat="1" x14ac:dyDescent="0.25"/>
    <row r="140561" s="12" customFormat="1" x14ac:dyDescent="0.25"/>
    <row r="140562" s="12" customFormat="1" x14ac:dyDescent="0.25"/>
    <row r="140563" s="12" customFormat="1" x14ac:dyDescent="0.25"/>
    <row r="140564" s="12" customFormat="1" x14ac:dyDescent="0.25"/>
    <row r="140565" s="12" customFormat="1" x14ac:dyDescent="0.25"/>
    <row r="140566" s="12" customFormat="1" x14ac:dyDescent="0.25"/>
    <row r="140567" s="12" customFormat="1" x14ac:dyDescent="0.25"/>
    <row r="140568" s="12" customFormat="1" x14ac:dyDescent="0.25"/>
    <row r="140569" s="12" customFormat="1" x14ac:dyDescent="0.25"/>
    <row r="140570" s="12" customFormat="1" x14ac:dyDescent="0.25"/>
    <row r="140571" s="12" customFormat="1" x14ac:dyDescent="0.25"/>
    <row r="140572" s="12" customFormat="1" x14ac:dyDescent="0.25"/>
    <row r="140573" s="12" customFormat="1" x14ac:dyDescent="0.25"/>
    <row r="140574" s="12" customFormat="1" x14ac:dyDescent="0.25"/>
    <row r="140575" s="12" customFormat="1" x14ac:dyDescent="0.25"/>
    <row r="140576" s="12" customFormat="1" x14ac:dyDescent="0.25"/>
    <row r="140577" s="12" customFormat="1" x14ac:dyDescent="0.25"/>
    <row r="140578" s="12" customFormat="1" x14ac:dyDescent="0.25"/>
    <row r="140579" s="12" customFormat="1" x14ac:dyDescent="0.25"/>
    <row r="140580" s="12" customFormat="1" x14ac:dyDescent="0.25"/>
    <row r="140581" s="12" customFormat="1" x14ac:dyDescent="0.25"/>
    <row r="140582" s="12" customFormat="1" x14ac:dyDescent="0.25"/>
    <row r="140583" s="12" customFormat="1" x14ac:dyDescent="0.25"/>
    <row r="140584" s="12" customFormat="1" x14ac:dyDescent="0.25"/>
    <row r="140585" s="12" customFormat="1" x14ac:dyDescent="0.25"/>
    <row r="140586" s="12" customFormat="1" x14ac:dyDescent="0.25"/>
    <row r="140587" s="12" customFormat="1" x14ac:dyDescent="0.25"/>
    <row r="140588" s="12" customFormat="1" x14ac:dyDescent="0.25"/>
    <row r="140589" s="12" customFormat="1" x14ac:dyDescent="0.25"/>
    <row r="140590" s="12" customFormat="1" x14ac:dyDescent="0.25"/>
    <row r="140591" s="12" customFormat="1" x14ac:dyDescent="0.25"/>
    <row r="140592" s="12" customFormat="1" x14ac:dyDescent="0.25"/>
    <row r="140593" s="12" customFormat="1" x14ac:dyDescent="0.25"/>
    <row r="140594" s="12" customFormat="1" x14ac:dyDescent="0.25"/>
    <row r="140595" s="12" customFormat="1" x14ac:dyDescent="0.25"/>
    <row r="140596" s="12" customFormat="1" x14ac:dyDescent="0.25"/>
    <row r="140597" s="12" customFormat="1" x14ac:dyDescent="0.25"/>
    <row r="140598" s="12" customFormat="1" x14ac:dyDescent="0.25"/>
    <row r="140599" s="12" customFormat="1" x14ac:dyDescent="0.25"/>
    <row r="140600" s="12" customFormat="1" x14ac:dyDescent="0.25"/>
    <row r="140601" s="12" customFormat="1" x14ac:dyDescent="0.25"/>
    <row r="140602" s="12" customFormat="1" x14ac:dyDescent="0.25"/>
    <row r="140603" s="12" customFormat="1" x14ac:dyDescent="0.25"/>
    <row r="140604" s="12" customFormat="1" x14ac:dyDescent="0.25"/>
    <row r="140605" s="12" customFormat="1" x14ac:dyDescent="0.25"/>
    <row r="140606" s="12" customFormat="1" x14ac:dyDescent="0.25"/>
    <row r="140607" s="12" customFormat="1" x14ac:dyDescent="0.25"/>
    <row r="140608" s="12" customFormat="1" x14ac:dyDescent="0.25"/>
    <row r="140609" s="12" customFormat="1" x14ac:dyDescent="0.25"/>
    <row r="140610" s="12" customFormat="1" x14ac:dyDescent="0.25"/>
    <row r="140611" s="12" customFormat="1" x14ac:dyDescent="0.25"/>
    <row r="140612" s="12" customFormat="1" x14ac:dyDescent="0.25"/>
    <row r="140613" s="12" customFormat="1" x14ac:dyDescent="0.25"/>
    <row r="140614" s="12" customFormat="1" x14ac:dyDescent="0.25"/>
    <row r="140615" s="12" customFormat="1" x14ac:dyDescent="0.25"/>
    <row r="140616" s="12" customFormat="1" x14ac:dyDescent="0.25"/>
    <row r="140617" s="12" customFormat="1" x14ac:dyDescent="0.25"/>
    <row r="140618" s="12" customFormat="1" x14ac:dyDescent="0.25"/>
    <row r="140619" s="12" customFormat="1" x14ac:dyDescent="0.25"/>
    <row r="140620" s="12" customFormat="1" x14ac:dyDescent="0.25"/>
    <row r="140621" s="12" customFormat="1" x14ac:dyDescent="0.25"/>
    <row r="140622" s="12" customFormat="1" x14ac:dyDescent="0.25"/>
    <row r="140623" s="12" customFormat="1" x14ac:dyDescent="0.25"/>
    <row r="140624" s="12" customFormat="1" x14ac:dyDescent="0.25"/>
    <row r="140625" s="12" customFormat="1" x14ac:dyDescent="0.25"/>
    <row r="140626" s="12" customFormat="1" x14ac:dyDescent="0.25"/>
    <row r="140627" s="12" customFormat="1" x14ac:dyDescent="0.25"/>
    <row r="140628" s="12" customFormat="1" x14ac:dyDescent="0.25"/>
    <row r="140629" s="12" customFormat="1" x14ac:dyDescent="0.25"/>
    <row r="140630" s="12" customFormat="1" x14ac:dyDescent="0.25"/>
    <row r="140631" s="12" customFormat="1" x14ac:dyDescent="0.25"/>
    <row r="140632" s="12" customFormat="1" x14ac:dyDescent="0.25"/>
    <row r="140633" s="12" customFormat="1" x14ac:dyDescent="0.25"/>
    <row r="140634" s="12" customFormat="1" x14ac:dyDescent="0.25"/>
    <row r="140635" s="12" customFormat="1" x14ac:dyDescent="0.25"/>
    <row r="140636" s="12" customFormat="1" x14ac:dyDescent="0.25"/>
    <row r="140637" s="12" customFormat="1" x14ac:dyDescent="0.25"/>
    <row r="140638" s="12" customFormat="1" x14ac:dyDescent="0.25"/>
    <row r="140639" s="12" customFormat="1" x14ac:dyDescent="0.25"/>
    <row r="140640" s="12" customFormat="1" x14ac:dyDescent="0.25"/>
    <row r="140641" s="12" customFormat="1" x14ac:dyDescent="0.25"/>
    <row r="140642" s="12" customFormat="1" x14ac:dyDescent="0.25"/>
    <row r="140643" s="12" customFormat="1" x14ac:dyDescent="0.25"/>
    <row r="140644" s="12" customFormat="1" x14ac:dyDescent="0.25"/>
    <row r="140645" s="12" customFormat="1" x14ac:dyDescent="0.25"/>
    <row r="140646" s="12" customFormat="1" x14ac:dyDescent="0.25"/>
    <row r="140647" s="12" customFormat="1" x14ac:dyDescent="0.25"/>
    <row r="140648" s="12" customFormat="1" x14ac:dyDescent="0.25"/>
    <row r="140649" s="12" customFormat="1" x14ac:dyDescent="0.25"/>
    <row r="140650" s="12" customFormat="1" x14ac:dyDescent="0.25"/>
    <row r="140651" s="12" customFormat="1" x14ac:dyDescent="0.25"/>
    <row r="140652" s="12" customFormat="1" x14ac:dyDescent="0.25"/>
    <row r="140653" s="12" customFormat="1" x14ac:dyDescent="0.25"/>
    <row r="140654" s="12" customFormat="1" x14ac:dyDescent="0.25"/>
    <row r="140655" s="12" customFormat="1" x14ac:dyDescent="0.25"/>
    <row r="140656" s="12" customFormat="1" x14ac:dyDescent="0.25"/>
    <row r="140657" s="12" customFormat="1" x14ac:dyDescent="0.25"/>
    <row r="140658" s="12" customFormat="1" x14ac:dyDescent="0.25"/>
    <row r="140659" s="12" customFormat="1" x14ac:dyDescent="0.25"/>
    <row r="140660" s="12" customFormat="1" x14ac:dyDescent="0.25"/>
    <row r="140661" s="12" customFormat="1" x14ac:dyDescent="0.25"/>
    <row r="140662" s="12" customFormat="1" x14ac:dyDescent="0.25"/>
    <row r="140663" s="12" customFormat="1" x14ac:dyDescent="0.25"/>
    <row r="140664" s="12" customFormat="1" x14ac:dyDescent="0.25"/>
    <row r="140665" s="12" customFormat="1" x14ac:dyDescent="0.25"/>
    <row r="140666" s="12" customFormat="1" x14ac:dyDescent="0.25"/>
    <row r="140667" s="12" customFormat="1" x14ac:dyDescent="0.25"/>
    <row r="140668" s="12" customFormat="1" x14ac:dyDescent="0.25"/>
    <row r="140669" s="12" customFormat="1" x14ac:dyDescent="0.25"/>
    <row r="140670" s="12" customFormat="1" x14ac:dyDescent="0.25"/>
    <row r="140671" s="12" customFormat="1" x14ac:dyDescent="0.25"/>
    <row r="140672" s="12" customFormat="1" x14ac:dyDescent="0.25"/>
    <row r="140673" s="12" customFormat="1" x14ac:dyDescent="0.25"/>
    <row r="140674" s="12" customFormat="1" x14ac:dyDescent="0.25"/>
    <row r="140675" s="12" customFormat="1" x14ac:dyDescent="0.25"/>
    <row r="140676" s="12" customFormat="1" x14ac:dyDescent="0.25"/>
    <row r="140677" s="12" customFormat="1" x14ac:dyDescent="0.25"/>
    <row r="140678" s="12" customFormat="1" x14ac:dyDescent="0.25"/>
    <row r="140679" s="12" customFormat="1" x14ac:dyDescent="0.25"/>
    <row r="140680" s="12" customFormat="1" x14ac:dyDescent="0.25"/>
    <row r="140681" s="12" customFormat="1" x14ac:dyDescent="0.25"/>
    <row r="140682" s="12" customFormat="1" x14ac:dyDescent="0.25"/>
    <row r="140683" s="12" customFormat="1" x14ac:dyDescent="0.25"/>
    <row r="140684" s="12" customFormat="1" x14ac:dyDescent="0.25"/>
    <row r="140685" s="12" customFormat="1" x14ac:dyDescent="0.25"/>
    <row r="140686" s="12" customFormat="1" x14ac:dyDescent="0.25"/>
    <row r="140687" s="12" customFormat="1" x14ac:dyDescent="0.25"/>
    <row r="140688" s="12" customFormat="1" x14ac:dyDescent="0.25"/>
    <row r="140689" s="12" customFormat="1" x14ac:dyDescent="0.25"/>
    <row r="140690" s="12" customFormat="1" x14ac:dyDescent="0.25"/>
    <row r="140691" s="12" customFormat="1" x14ac:dyDescent="0.25"/>
    <row r="140692" s="12" customFormat="1" x14ac:dyDescent="0.25"/>
    <row r="140693" s="12" customFormat="1" x14ac:dyDescent="0.25"/>
    <row r="140694" s="12" customFormat="1" x14ac:dyDescent="0.25"/>
    <row r="140695" s="12" customFormat="1" x14ac:dyDescent="0.25"/>
    <row r="140696" s="12" customFormat="1" x14ac:dyDescent="0.25"/>
    <row r="140697" s="12" customFormat="1" x14ac:dyDescent="0.25"/>
    <row r="140698" s="12" customFormat="1" x14ac:dyDescent="0.25"/>
    <row r="140699" s="12" customFormat="1" x14ac:dyDescent="0.25"/>
    <row r="140700" s="12" customFormat="1" x14ac:dyDescent="0.25"/>
    <row r="140701" s="12" customFormat="1" x14ac:dyDescent="0.25"/>
    <row r="140702" s="12" customFormat="1" x14ac:dyDescent="0.25"/>
    <row r="140703" s="12" customFormat="1" x14ac:dyDescent="0.25"/>
    <row r="140704" s="12" customFormat="1" x14ac:dyDescent="0.25"/>
    <row r="140705" s="12" customFormat="1" x14ac:dyDescent="0.25"/>
    <row r="140706" s="12" customFormat="1" x14ac:dyDescent="0.25"/>
    <row r="140707" s="12" customFormat="1" x14ac:dyDescent="0.25"/>
    <row r="140708" s="12" customFormat="1" x14ac:dyDescent="0.25"/>
    <row r="140709" s="12" customFormat="1" x14ac:dyDescent="0.25"/>
    <row r="140710" s="12" customFormat="1" x14ac:dyDescent="0.25"/>
    <row r="140711" s="12" customFormat="1" x14ac:dyDescent="0.25"/>
    <row r="140712" s="12" customFormat="1" x14ac:dyDescent="0.25"/>
    <row r="140713" s="12" customFormat="1" x14ac:dyDescent="0.25"/>
    <row r="140714" s="12" customFormat="1" x14ac:dyDescent="0.25"/>
    <row r="140715" s="12" customFormat="1" x14ac:dyDescent="0.25"/>
    <row r="140716" s="12" customFormat="1" x14ac:dyDescent="0.25"/>
    <row r="140717" s="12" customFormat="1" x14ac:dyDescent="0.25"/>
    <row r="140718" s="12" customFormat="1" x14ac:dyDescent="0.25"/>
    <row r="140719" s="12" customFormat="1" x14ac:dyDescent="0.25"/>
    <row r="140720" s="12" customFormat="1" x14ac:dyDescent="0.25"/>
    <row r="140721" s="12" customFormat="1" x14ac:dyDescent="0.25"/>
    <row r="140722" s="12" customFormat="1" x14ac:dyDescent="0.25"/>
    <row r="140723" s="12" customFormat="1" x14ac:dyDescent="0.25"/>
    <row r="140724" s="12" customFormat="1" x14ac:dyDescent="0.25"/>
    <row r="140725" s="12" customFormat="1" x14ac:dyDescent="0.25"/>
    <row r="140726" s="12" customFormat="1" x14ac:dyDescent="0.25"/>
    <row r="140727" s="12" customFormat="1" x14ac:dyDescent="0.25"/>
    <row r="140728" s="12" customFormat="1" x14ac:dyDescent="0.25"/>
    <row r="140729" s="12" customFormat="1" x14ac:dyDescent="0.25"/>
    <row r="140730" s="12" customFormat="1" x14ac:dyDescent="0.25"/>
    <row r="140731" s="12" customFormat="1" x14ac:dyDescent="0.25"/>
    <row r="140732" s="12" customFormat="1" x14ac:dyDescent="0.25"/>
    <row r="140733" s="12" customFormat="1" x14ac:dyDescent="0.25"/>
    <row r="140734" s="12" customFormat="1" x14ac:dyDescent="0.25"/>
    <row r="140735" s="12" customFormat="1" x14ac:dyDescent="0.25"/>
    <row r="140736" s="12" customFormat="1" x14ac:dyDescent="0.25"/>
    <row r="140737" s="12" customFormat="1" x14ac:dyDescent="0.25"/>
    <row r="140738" s="12" customFormat="1" x14ac:dyDescent="0.25"/>
    <row r="140739" s="12" customFormat="1" x14ac:dyDescent="0.25"/>
    <row r="140740" s="12" customFormat="1" x14ac:dyDescent="0.25"/>
    <row r="140741" s="12" customFormat="1" x14ac:dyDescent="0.25"/>
    <row r="140742" s="12" customFormat="1" x14ac:dyDescent="0.25"/>
    <row r="140743" s="12" customFormat="1" x14ac:dyDescent="0.25"/>
    <row r="140744" s="12" customFormat="1" x14ac:dyDescent="0.25"/>
    <row r="140745" s="12" customFormat="1" x14ac:dyDescent="0.25"/>
    <row r="140746" s="12" customFormat="1" x14ac:dyDescent="0.25"/>
    <row r="140747" s="12" customFormat="1" x14ac:dyDescent="0.25"/>
    <row r="140748" s="12" customFormat="1" x14ac:dyDescent="0.25"/>
    <row r="140749" s="12" customFormat="1" x14ac:dyDescent="0.25"/>
    <row r="140750" s="12" customFormat="1" x14ac:dyDescent="0.25"/>
    <row r="140751" s="12" customFormat="1" x14ac:dyDescent="0.25"/>
    <row r="140752" s="12" customFormat="1" x14ac:dyDescent="0.25"/>
    <row r="140753" s="12" customFormat="1" x14ac:dyDescent="0.25"/>
    <row r="140754" s="12" customFormat="1" x14ac:dyDescent="0.25"/>
    <row r="140755" s="12" customFormat="1" x14ac:dyDescent="0.25"/>
    <row r="140756" s="12" customFormat="1" x14ac:dyDescent="0.25"/>
    <row r="140757" s="12" customFormat="1" x14ac:dyDescent="0.25"/>
    <row r="140758" s="12" customFormat="1" x14ac:dyDescent="0.25"/>
    <row r="140759" s="12" customFormat="1" x14ac:dyDescent="0.25"/>
    <row r="140760" s="12" customFormat="1" x14ac:dyDescent="0.25"/>
    <row r="140761" s="12" customFormat="1" x14ac:dyDescent="0.25"/>
    <row r="140762" s="12" customFormat="1" x14ac:dyDescent="0.25"/>
    <row r="140763" s="12" customFormat="1" x14ac:dyDescent="0.25"/>
    <row r="140764" s="12" customFormat="1" x14ac:dyDescent="0.25"/>
    <row r="140765" s="12" customFormat="1" x14ac:dyDescent="0.25"/>
    <row r="140766" s="12" customFormat="1" x14ac:dyDescent="0.25"/>
    <row r="140767" s="12" customFormat="1" x14ac:dyDescent="0.25"/>
    <row r="140768" s="12" customFormat="1" x14ac:dyDescent="0.25"/>
    <row r="140769" s="12" customFormat="1" x14ac:dyDescent="0.25"/>
    <row r="140770" s="12" customFormat="1" x14ac:dyDescent="0.25"/>
    <row r="140771" s="12" customFormat="1" x14ac:dyDescent="0.25"/>
    <row r="140772" s="12" customFormat="1" x14ac:dyDescent="0.25"/>
    <row r="140773" s="12" customFormat="1" x14ac:dyDescent="0.25"/>
    <row r="140774" s="12" customFormat="1" x14ac:dyDescent="0.25"/>
    <row r="140775" s="12" customFormat="1" x14ac:dyDescent="0.25"/>
    <row r="140776" s="12" customFormat="1" x14ac:dyDescent="0.25"/>
    <row r="140777" s="12" customFormat="1" x14ac:dyDescent="0.25"/>
    <row r="140778" s="12" customFormat="1" x14ac:dyDescent="0.25"/>
    <row r="140779" s="12" customFormat="1" x14ac:dyDescent="0.25"/>
    <row r="140780" s="12" customFormat="1" x14ac:dyDescent="0.25"/>
    <row r="140781" s="12" customFormat="1" x14ac:dyDescent="0.25"/>
    <row r="140782" s="12" customFormat="1" x14ac:dyDescent="0.25"/>
    <row r="140783" s="12" customFormat="1" x14ac:dyDescent="0.25"/>
    <row r="140784" s="12" customFormat="1" x14ac:dyDescent="0.25"/>
    <row r="140785" s="12" customFormat="1" x14ac:dyDescent="0.25"/>
    <row r="140786" s="12" customFormat="1" x14ac:dyDescent="0.25"/>
    <row r="140787" s="12" customFormat="1" x14ac:dyDescent="0.25"/>
    <row r="140788" s="12" customFormat="1" x14ac:dyDescent="0.25"/>
    <row r="140789" s="12" customFormat="1" x14ac:dyDescent="0.25"/>
    <row r="140790" s="12" customFormat="1" x14ac:dyDescent="0.25"/>
    <row r="140791" s="12" customFormat="1" x14ac:dyDescent="0.25"/>
    <row r="140792" s="12" customFormat="1" x14ac:dyDescent="0.25"/>
    <row r="140793" s="12" customFormat="1" x14ac:dyDescent="0.25"/>
    <row r="140794" s="12" customFormat="1" x14ac:dyDescent="0.25"/>
    <row r="140795" s="12" customFormat="1" x14ac:dyDescent="0.25"/>
    <row r="140796" s="12" customFormat="1" x14ac:dyDescent="0.25"/>
    <row r="140797" s="12" customFormat="1" x14ac:dyDescent="0.25"/>
    <row r="140798" s="12" customFormat="1" x14ac:dyDescent="0.25"/>
    <row r="140799" s="12" customFormat="1" x14ac:dyDescent="0.25"/>
    <row r="140800" s="12" customFormat="1" x14ac:dyDescent="0.25"/>
    <row r="140801" s="12" customFormat="1" x14ac:dyDescent="0.25"/>
    <row r="140802" s="12" customFormat="1" x14ac:dyDescent="0.25"/>
    <row r="140803" s="12" customFormat="1" x14ac:dyDescent="0.25"/>
    <row r="140804" s="12" customFormat="1" x14ac:dyDescent="0.25"/>
    <row r="140805" s="12" customFormat="1" x14ac:dyDescent="0.25"/>
    <row r="140806" s="12" customFormat="1" x14ac:dyDescent="0.25"/>
    <row r="140807" s="12" customFormat="1" x14ac:dyDescent="0.25"/>
    <row r="140808" s="12" customFormat="1" x14ac:dyDescent="0.25"/>
    <row r="140809" s="12" customFormat="1" x14ac:dyDescent="0.25"/>
    <row r="140810" s="12" customFormat="1" x14ac:dyDescent="0.25"/>
    <row r="140811" s="12" customFormat="1" x14ac:dyDescent="0.25"/>
    <row r="140812" s="12" customFormat="1" x14ac:dyDescent="0.25"/>
    <row r="140813" s="12" customFormat="1" x14ac:dyDescent="0.25"/>
    <row r="140814" s="12" customFormat="1" x14ac:dyDescent="0.25"/>
    <row r="140815" s="12" customFormat="1" x14ac:dyDescent="0.25"/>
    <row r="140816" s="12" customFormat="1" x14ac:dyDescent="0.25"/>
    <row r="140817" s="12" customFormat="1" x14ac:dyDescent="0.25"/>
    <row r="140818" s="12" customFormat="1" x14ac:dyDescent="0.25"/>
    <row r="140819" s="12" customFormat="1" x14ac:dyDescent="0.25"/>
    <row r="140820" s="12" customFormat="1" x14ac:dyDescent="0.25"/>
    <row r="140821" s="12" customFormat="1" x14ac:dyDescent="0.25"/>
    <row r="140822" s="12" customFormat="1" x14ac:dyDescent="0.25"/>
    <row r="140823" s="12" customFormat="1" x14ac:dyDescent="0.25"/>
    <row r="140824" s="12" customFormat="1" x14ac:dyDescent="0.25"/>
    <row r="140825" s="12" customFormat="1" x14ac:dyDescent="0.25"/>
    <row r="140826" s="12" customFormat="1" x14ac:dyDescent="0.25"/>
    <row r="140827" s="12" customFormat="1" x14ac:dyDescent="0.25"/>
    <row r="140828" s="12" customFormat="1" x14ac:dyDescent="0.25"/>
    <row r="140829" s="12" customFormat="1" x14ac:dyDescent="0.25"/>
    <row r="140830" s="12" customFormat="1" x14ac:dyDescent="0.25"/>
    <row r="140831" s="12" customFormat="1" x14ac:dyDescent="0.25"/>
    <row r="140832" s="12" customFormat="1" x14ac:dyDescent="0.25"/>
    <row r="140833" s="12" customFormat="1" x14ac:dyDescent="0.25"/>
    <row r="140834" s="12" customFormat="1" x14ac:dyDescent="0.25"/>
    <row r="140835" s="12" customFormat="1" x14ac:dyDescent="0.25"/>
    <row r="140836" s="12" customFormat="1" x14ac:dyDescent="0.25"/>
    <row r="140837" s="12" customFormat="1" x14ac:dyDescent="0.25"/>
    <row r="140838" s="12" customFormat="1" x14ac:dyDescent="0.25"/>
    <row r="140839" s="12" customFormat="1" x14ac:dyDescent="0.25"/>
    <row r="140840" s="12" customFormat="1" x14ac:dyDescent="0.25"/>
    <row r="140841" s="12" customFormat="1" x14ac:dyDescent="0.25"/>
    <row r="140842" s="12" customFormat="1" x14ac:dyDescent="0.25"/>
    <row r="140843" s="12" customFormat="1" x14ac:dyDescent="0.25"/>
    <row r="140844" s="12" customFormat="1" x14ac:dyDescent="0.25"/>
    <row r="140845" s="12" customFormat="1" x14ac:dyDescent="0.25"/>
    <row r="140846" s="12" customFormat="1" x14ac:dyDescent="0.25"/>
    <row r="140847" s="12" customFormat="1" x14ac:dyDescent="0.25"/>
    <row r="140848" s="12" customFormat="1" x14ac:dyDescent="0.25"/>
    <row r="140849" s="12" customFormat="1" x14ac:dyDescent="0.25"/>
    <row r="140850" s="12" customFormat="1" x14ac:dyDescent="0.25"/>
    <row r="140851" s="12" customFormat="1" x14ac:dyDescent="0.25"/>
    <row r="140852" s="12" customFormat="1" x14ac:dyDescent="0.25"/>
    <row r="140853" s="12" customFormat="1" x14ac:dyDescent="0.25"/>
    <row r="140854" s="12" customFormat="1" x14ac:dyDescent="0.25"/>
    <row r="140855" s="12" customFormat="1" x14ac:dyDescent="0.25"/>
    <row r="140856" s="12" customFormat="1" x14ac:dyDescent="0.25"/>
    <row r="140857" s="12" customFormat="1" x14ac:dyDescent="0.25"/>
    <row r="140858" s="12" customFormat="1" x14ac:dyDescent="0.25"/>
    <row r="140859" s="12" customFormat="1" x14ac:dyDescent="0.25"/>
    <row r="140860" s="12" customFormat="1" x14ac:dyDescent="0.25"/>
    <row r="140861" s="12" customFormat="1" x14ac:dyDescent="0.25"/>
    <row r="140862" s="12" customFormat="1" x14ac:dyDescent="0.25"/>
    <row r="140863" s="12" customFormat="1" x14ac:dyDescent="0.25"/>
    <row r="140864" s="12" customFormat="1" x14ac:dyDescent="0.25"/>
    <row r="140865" s="12" customFormat="1" x14ac:dyDescent="0.25"/>
    <row r="140866" s="12" customFormat="1" x14ac:dyDescent="0.25"/>
    <row r="140867" s="12" customFormat="1" x14ac:dyDescent="0.25"/>
    <row r="140868" s="12" customFormat="1" x14ac:dyDescent="0.25"/>
    <row r="140869" s="12" customFormat="1" x14ac:dyDescent="0.25"/>
    <row r="140870" s="12" customFormat="1" x14ac:dyDescent="0.25"/>
    <row r="140871" s="12" customFormat="1" x14ac:dyDescent="0.25"/>
    <row r="140872" s="12" customFormat="1" x14ac:dyDescent="0.25"/>
    <row r="140873" s="12" customFormat="1" x14ac:dyDescent="0.25"/>
    <row r="140874" s="12" customFormat="1" x14ac:dyDescent="0.25"/>
    <row r="140875" s="12" customFormat="1" x14ac:dyDescent="0.25"/>
    <row r="140876" s="12" customFormat="1" x14ac:dyDescent="0.25"/>
    <row r="140877" s="12" customFormat="1" x14ac:dyDescent="0.25"/>
    <row r="140878" s="12" customFormat="1" x14ac:dyDescent="0.25"/>
    <row r="140879" s="12" customFormat="1" x14ac:dyDescent="0.25"/>
    <row r="140880" s="12" customFormat="1" x14ac:dyDescent="0.25"/>
    <row r="140881" s="12" customFormat="1" x14ac:dyDescent="0.25"/>
    <row r="140882" s="12" customFormat="1" x14ac:dyDescent="0.25"/>
    <row r="140883" s="12" customFormat="1" x14ac:dyDescent="0.25"/>
    <row r="140884" s="12" customFormat="1" x14ac:dyDescent="0.25"/>
    <row r="140885" s="12" customFormat="1" x14ac:dyDescent="0.25"/>
    <row r="140886" s="12" customFormat="1" x14ac:dyDescent="0.25"/>
    <row r="140887" s="12" customFormat="1" x14ac:dyDescent="0.25"/>
    <row r="140888" s="12" customFormat="1" x14ac:dyDescent="0.25"/>
    <row r="140889" s="12" customFormat="1" x14ac:dyDescent="0.25"/>
    <row r="140890" s="12" customFormat="1" x14ac:dyDescent="0.25"/>
    <row r="140891" s="12" customFormat="1" x14ac:dyDescent="0.25"/>
    <row r="140892" s="12" customFormat="1" x14ac:dyDescent="0.25"/>
    <row r="140893" s="12" customFormat="1" x14ac:dyDescent="0.25"/>
    <row r="140894" s="12" customFormat="1" x14ac:dyDescent="0.25"/>
    <row r="140895" s="12" customFormat="1" x14ac:dyDescent="0.25"/>
    <row r="140896" s="12" customFormat="1" x14ac:dyDescent="0.25"/>
    <row r="140897" s="12" customFormat="1" x14ac:dyDescent="0.25"/>
    <row r="140898" s="12" customFormat="1" x14ac:dyDescent="0.25"/>
    <row r="140899" s="12" customFormat="1" x14ac:dyDescent="0.25"/>
    <row r="140900" s="12" customFormat="1" x14ac:dyDescent="0.25"/>
    <row r="140901" s="12" customFormat="1" x14ac:dyDescent="0.25"/>
    <row r="140902" s="12" customFormat="1" x14ac:dyDescent="0.25"/>
    <row r="140903" s="12" customFormat="1" x14ac:dyDescent="0.25"/>
    <row r="140904" s="12" customFormat="1" x14ac:dyDescent="0.25"/>
    <row r="140905" s="12" customFormat="1" x14ac:dyDescent="0.25"/>
    <row r="140906" s="12" customFormat="1" x14ac:dyDescent="0.25"/>
    <row r="140907" s="12" customFormat="1" x14ac:dyDescent="0.25"/>
    <row r="140908" s="12" customFormat="1" x14ac:dyDescent="0.25"/>
    <row r="140909" s="12" customFormat="1" x14ac:dyDescent="0.25"/>
    <row r="140910" s="12" customFormat="1" x14ac:dyDescent="0.25"/>
    <row r="140911" s="12" customFormat="1" x14ac:dyDescent="0.25"/>
    <row r="140912" s="12" customFormat="1" x14ac:dyDescent="0.25"/>
    <row r="140913" s="12" customFormat="1" x14ac:dyDescent="0.25"/>
    <row r="140914" s="12" customFormat="1" x14ac:dyDescent="0.25"/>
    <row r="140915" s="12" customFormat="1" x14ac:dyDescent="0.25"/>
    <row r="140916" s="12" customFormat="1" x14ac:dyDescent="0.25"/>
    <row r="140917" s="12" customFormat="1" x14ac:dyDescent="0.25"/>
    <row r="140918" s="12" customFormat="1" x14ac:dyDescent="0.25"/>
    <row r="140919" s="12" customFormat="1" x14ac:dyDescent="0.25"/>
    <row r="140920" s="12" customFormat="1" x14ac:dyDescent="0.25"/>
    <row r="140921" s="12" customFormat="1" x14ac:dyDescent="0.25"/>
    <row r="140922" s="12" customFormat="1" x14ac:dyDescent="0.25"/>
    <row r="140923" s="12" customFormat="1" x14ac:dyDescent="0.25"/>
    <row r="140924" s="12" customFormat="1" x14ac:dyDescent="0.25"/>
    <row r="140925" s="12" customFormat="1" x14ac:dyDescent="0.25"/>
    <row r="140926" s="12" customFormat="1" x14ac:dyDescent="0.25"/>
    <row r="140927" s="12" customFormat="1" x14ac:dyDescent="0.25"/>
    <row r="140928" s="12" customFormat="1" x14ac:dyDescent="0.25"/>
    <row r="140929" s="12" customFormat="1" x14ac:dyDescent="0.25"/>
    <row r="140930" s="12" customFormat="1" x14ac:dyDescent="0.25"/>
    <row r="140931" s="12" customFormat="1" x14ac:dyDescent="0.25"/>
    <row r="140932" s="12" customFormat="1" x14ac:dyDescent="0.25"/>
    <row r="140933" s="12" customFormat="1" x14ac:dyDescent="0.25"/>
    <row r="140934" s="12" customFormat="1" x14ac:dyDescent="0.25"/>
    <row r="140935" s="12" customFormat="1" x14ac:dyDescent="0.25"/>
    <row r="140936" s="12" customFormat="1" x14ac:dyDescent="0.25"/>
    <row r="140937" s="12" customFormat="1" x14ac:dyDescent="0.25"/>
    <row r="140938" s="12" customFormat="1" x14ac:dyDescent="0.25"/>
    <row r="140939" s="12" customFormat="1" x14ac:dyDescent="0.25"/>
    <row r="140940" s="12" customFormat="1" x14ac:dyDescent="0.25"/>
    <row r="140941" s="12" customFormat="1" x14ac:dyDescent="0.25"/>
    <row r="140942" s="12" customFormat="1" x14ac:dyDescent="0.25"/>
    <row r="140943" s="12" customFormat="1" x14ac:dyDescent="0.25"/>
    <row r="140944" s="12" customFormat="1" x14ac:dyDescent="0.25"/>
    <row r="140945" s="12" customFormat="1" x14ac:dyDescent="0.25"/>
    <row r="140946" s="12" customFormat="1" x14ac:dyDescent="0.25"/>
    <row r="140947" s="12" customFormat="1" x14ac:dyDescent="0.25"/>
    <row r="140948" s="12" customFormat="1" x14ac:dyDescent="0.25"/>
    <row r="140949" s="12" customFormat="1" x14ac:dyDescent="0.25"/>
    <row r="140950" s="12" customFormat="1" x14ac:dyDescent="0.25"/>
    <row r="140951" s="12" customFormat="1" x14ac:dyDescent="0.25"/>
    <row r="140952" s="12" customFormat="1" x14ac:dyDescent="0.25"/>
    <row r="140953" s="12" customFormat="1" x14ac:dyDescent="0.25"/>
    <row r="140954" s="12" customFormat="1" x14ac:dyDescent="0.25"/>
    <row r="140955" s="12" customFormat="1" x14ac:dyDescent="0.25"/>
    <row r="140956" s="12" customFormat="1" x14ac:dyDescent="0.25"/>
    <row r="140957" s="12" customFormat="1" x14ac:dyDescent="0.25"/>
    <row r="140958" s="12" customFormat="1" x14ac:dyDescent="0.25"/>
    <row r="140959" s="12" customFormat="1" x14ac:dyDescent="0.25"/>
    <row r="140960" s="12" customFormat="1" x14ac:dyDescent="0.25"/>
    <row r="140961" s="12" customFormat="1" x14ac:dyDescent="0.25"/>
    <row r="140962" s="12" customFormat="1" x14ac:dyDescent="0.25"/>
    <row r="140963" s="12" customFormat="1" x14ac:dyDescent="0.25"/>
    <row r="140964" s="12" customFormat="1" x14ac:dyDescent="0.25"/>
    <row r="140965" s="12" customFormat="1" x14ac:dyDescent="0.25"/>
    <row r="140966" s="12" customFormat="1" x14ac:dyDescent="0.25"/>
    <row r="140967" s="12" customFormat="1" x14ac:dyDescent="0.25"/>
    <row r="140968" s="12" customFormat="1" x14ac:dyDescent="0.25"/>
    <row r="140969" s="12" customFormat="1" x14ac:dyDescent="0.25"/>
    <row r="140970" s="12" customFormat="1" x14ac:dyDescent="0.25"/>
    <row r="140971" s="12" customFormat="1" x14ac:dyDescent="0.25"/>
    <row r="140972" s="12" customFormat="1" x14ac:dyDescent="0.25"/>
    <row r="140973" s="12" customFormat="1" x14ac:dyDescent="0.25"/>
    <row r="140974" s="12" customFormat="1" x14ac:dyDescent="0.25"/>
    <row r="140975" s="12" customFormat="1" x14ac:dyDescent="0.25"/>
    <row r="140976" s="12" customFormat="1" x14ac:dyDescent="0.25"/>
    <row r="140977" s="12" customFormat="1" x14ac:dyDescent="0.25"/>
    <row r="140978" s="12" customFormat="1" x14ac:dyDescent="0.25"/>
    <row r="140979" s="12" customFormat="1" x14ac:dyDescent="0.25"/>
    <row r="140980" s="12" customFormat="1" x14ac:dyDescent="0.25"/>
    <row r="140981" s="12" customFormat="1" x14ac:dyDescent="0.25"/>
    <row r="140982" s="12" customFormat="1" x14ac:dyDescent="0.25"/>
    <row r="140983" s="12" customFormat="1" x14ac:dyDescent="0.25"/>
    <row r="140984" s="12" customFormat="1" x14ac:dyDescent="0.25"/>
    <row r="140985" s="12" customFormat="1" x14ac:dyDescent="0.25"/>
    <row r="140986" s="12" customFormat="1" x14ac:dyDescent="0.25"/>
    <row r="140987" s="12" customFormat="1" x14ac:dyDescent="0.25"/>
    <row r="140988" s="12" customFormat="1" x14ac:dyDescent="0.25"/>
    <row r="140989" s="12" customFormat="1" x14ac:dyDescent="0.25"/>
    <row r="140990" s="12" customFormat="1" x14ac:dyDescent="0.25"/>
    <row r="140991" s="12" customFormat="1" x14ac:dyDescent="0.25"/>
    <row r="140992" s="12" customFormat="1" x14ac:dyDescent="0.25"/>
    <row r="140993" s="12" customFormat="1" x14ac:dyDescent="0.25"/>
    <row r="140994" s="12" customFormat="1" x14ac:dyDescent="0.25"/>
    <row r="140995" s="12" customFormat="1" x14ac:dyDescent="0.25"/>
    <row r="140996" s="12" customFormat="1" x14ac:dyDescent="0.25"/>
    <row r="140997" s="12" customFormat="1" x14ac:dyDescent="0.25"/>
    <row r="140998" s="12" customFormat="1" x14ac:dyDescent="0.25"/>
    <row r="140999" s="12" customFormat="1" x14ac:dyDescent="0.25"/>
    <row r="141000" s="12" customFormat="1" x14ac:dyDescent="0.25"/>
    <row r="141001" s="12" customFormat="1" x14ac:dyDescent="0.25"/>
    <row r="141002" s="12" customFormat="1" x14ac:dyDescent="0.25"/>
    <row r="141003" s="12" customFormat="1" x14ac:dyDescent="0.25"/>
    <row r="141004" s="12" customFormat="1" x14ac:dyDescent="0.25"/>
    <row r="141005" s="12" customFormat="1" x14ac:dyDescent="0.25"/>
    <row r="141006" s="12" customFormat="1" x14ac:dyDescent="0.25"/>
    <row r="141007" s="12" customFormat="1" x14ac:dyDescent="0.25"/>
    <row r="141008" s="12" customFormat="1" x14ac:dyDescent="0.25"/>
    <row r="141009" s="12" customFormat="1" x14ac:dyDescent="0.25"/>
    <row r="141010" s="12" customFormat="1" x14ac:dyDescent="0.25"/>
    <row r="141011" s="12" customFormat="1" x14ac:dyDescent="0.25"/>
    <row r="141012" s="12" customFormat="1" x14ac:dyDescent="0.25"/>
    <row r="141013" s="12" customFormat="1" x14ac:dyDescent="0.25"/>
    <row r="141014" s="12" customFormat="1" x14ac:dyDescent="0.25"/>
    <row r="141015" s="12" customFormat="1" x14ac:dyDescent="0.25"/>
    <row r="141016" s="12" customFormat="1" x14ac:dyDescent="0.25"/>
    <row r="141017" s="12" customFormat="1" x14ac:dyDescent="0.25"/>
    <row r="141018" s="12" customFormat="1" x14ac:dyDescent="0.25"/>
    <row r="141019" s="12" customFormat="1" x14ac:dyDescent="0.25"/>
    <row r="141020" s="12" customFormat="1" x14ac:dyDescent="0.25"/>
    <row r="141021" s="12" customFormat="1" x14ac:dyDescent="0.25"/>
    <row r="141022" s="12" customFormat="1" x14ac:dyDescent="0.25"/>
    <row r="141023" s="12" customFormat="1" x14ac:dyDescent="0.25"/>
    <row r="141024" s="12" customFormat="1" x14ac:dyDescent="0.25"/>
    <row r="141025" s="12" customFormat="1" x14ac:dyDescent="0.25"/>
    <row r="141026" s="12" customFormat="1" x14ac:dyDescent="0.25"/>
    <row r="141027" s="12" customFormat="1" x14ac:dyDescent="0.25"/>
    <row r="141028" s="12" customFormat="1" x14ac:dyDescent="0.25"/>
    <row r="141029" s="12" customFormat="1" x14ac:dyDescent="0.25"/>
    <row r="141030" s="12" customFormat="1" x14ac:dyDescent="0.25"/>
    <row r="141031" s="12" customFormat="1" x14ac:dyDescent="0.25"/>
    <row r="141032" s="12" customFormat="1" x14ac:dyDescent="0.25"/>
    <row r="141033" s="12" customFormat="1" x14ac:dyDescent="0.25"/>
    <row r="141034" s="12" customFormat="1" x14ac:dyDescent="0.25"/>
    <row r="141035" s="12" customFormat="1" x14ac:dyDescent="0.25"/>
    <row r="141036" s="12" customFormat="1" x14ac:dyDescent="0.25"/>
    <row r="141037" s="12" customFormat="1" x14ac:dyDescent="0.25"/>
    <row r="141038" s="12" customFormat="1" x14ac:dyDescent="0.25"/>
    <row r="141039" s="12" customFormat="1" x14ac:dyDescent="0.25"/>
    <row r="141040" s="12" customFormat="1" x14ac:dyDescent="0.25"/>
    <row r="141041" s="12" customFormat="1" x14ac:dyDescent="0.25"/>
    <row r="141042" s="12" customFormat="1" x14ac:dyDescent="0.25"/>
    <row r="141043" s="12" customFormat="1" x14ac:dyDescent="0.25"/>
    <row r="141044" s="12" customFormat="1" x14ac:dyDescent="0.25"/>
    <row r="141045" s="12" customFormat="1" x14ac:dyDescent="0.25"/>
    <row r="141046" s="12" customFormat="1" x14ac:dyDescent="0.25"/>
    <row r="141047" s="12" customFormat="1" x14ac:dyDescent="0.25"/>
    <row r="141048" s="12" customFormat="1" x14ac:dyDescent="0.25"/>
    <row r="141049" s="12" customFormat="1" x14ac:dyDescent="0.25"/>
    <row r="141050" s="12" customFormat="1" x14ac:dyDescent="0.25"/>
    <row r="141051" s="12" customFormat="1" x14ac:dyDescent="0.25"/>
    <row r="141052" s="12" customFormat="1" x14ac:dyDescent="0.25"/>
    <row r="141053" s="12" customFormat="1" x14ac:dyDescent="0.25"/>
    <row r="141054" s="12" customFormat="1" x14ac:dyDescent="0.25"/>
    <row r="141055" s="12" customFormat="1" x14ac:dyDescent="0.25"/>
    <row r="141056" s="12" customFormat="1" x14ac:dyDescent="0.25"/>
    <row r="141057" s="12" customFormat="1" x14ac:dyDescent="0.25"/>
    <row r="141058" s="12" customFormat="1" x14ac:dyDescent="0.25"/>
    <row r="141059" s="12" customFormat="1" x14ac:dyDescent="0.25"/>
    <row r="141060" s="12" customFormat="1" x14ac:dyDescent="0.25"/>
    <row r="141061" s="12" customFormat="1" x14ac:dyDescent="0.25"/>
    <row r="141062" s="12" customFormat="1" x14ac:dyDescent="0.25"/>
    <row r="141063" s="12" customFormat="1" x14ac:dyDescent="0.25"/>
    <row r="141064" s="12" customFormat="1" x14ac:dyDescent="0.25"/>
    <row r="141065" s="12" customFormat="1" x14ac:dyDescent="0.25"/>
    <row r="141066" s="12" customFormat="1" x14ac:dyDescent="0.25"/>
    <row r="141067" s="12" customFormat="1" x14ac:dyDescent="0.25"/>
    <row r="141068" s="12" customFormat="1" x14ac:dyDescent="0.25"/>
    <row r="141069" s="12" customFormat="1" x14ac:dyDescent="0.25"/>
    <row r="141070" s="12" customFormat="1" x14ac:dyDescent="0.25"/>
    <row r="141071" s="12" customFormat="1" x14ac:dyDescent="0.25"/>
    <row r="141072" s="12" customFormat="1" x14ac:dyDescent="0.25"/>
    <row r="141073" s="12" customFormat="1" x14ac:dyDescent="0.25"/>
    <row r="141074" s="12" customFormat="1" x14ac:dyDescent="0.25"/>
    <row r="141075" s="12" customFormat="1" x14ac:dyDescent="0.25"/>
    <row r="141076" s="12" customFormat="1" x14ac:dyDescent="0.25"/>
    <row r="141077" s="12" customFormat="1" x14ac:dyDescent="0.25"/>
    <row r="141078" s="12" customFormat="1" x14ac:dyDescent="0.25"/>
    <row r="141079" s="12" customFormat="1" x14ac:dyDescent="0.25"/>
    <row r="141080" s="12" customFormat="1" x14ac:dyDescent="0.25"/>
    <row r="141081" s="12" customFormat="1" x14ac:dyDescent="0.25"/>
    <row r="141082" s="12" customFormat="1" x14ac:dyDescent="0.25"/>
    <row r="141083" s="12" customFormat="1" x14ac:dyDescent="0.25"/>
    <row r="141084" s="12" customFormat="1" x14ac:dyDescent="0.25"/>
    <row r="141085" s="12" customFormat="1" x14ac:dyDescent="0.25"/>
    <row r="141086" s="12" customFormat="1" x14ac:dyDescent="0.25"/>
    <row r="141087" s="12" customFormat="1" x14ac:dyDescent="0.25"/>
    <row r="141088" s="12" customFormat="1" x14ac:dyDescent="0.25"/>
    <row r="141089" s="12" customFormat="1" x14ac:dyDescent="0.25"/>
    <row r="141090" s="12" customFormat="1" x14ac:dyDescent="0.25"/>
    <row r="141091" s="12" customFormat="1" x14ac:dyDescent="0.25"/>
    <row r="141092" s="12" customFormat="1" x14ac:dyDescent="0.25"/>
    <row r="141093" s="12" customFormat="1" x14ac:dyDescent="0.25"/>
    <row r="141094" s="12" customFormat="1" x14ac:dyDescent="0.25"/>
    <row r="141095" s="12" customFormat="1" x14ac:dyDescent="0.25"/>
    <row r="141096" s="12" customFormat="1" x14ac:dyDescent="0.25"/>
    <row r="141097" s="12" customFormat="1" x14ac:dyDescent="0.25"/>
    <row r="141098" s="12" customFormat="1" x14ac:dyDescent="0.25"/>
    <row r="141099" s="12" customFormat="1" x14ac:dyDescent="0.25"/>
    <row r="141100" s="12" customFormat="1" x14ac:dyDescent="0.25"/>
    <row r="141101" s="12" customFormat="1" x14ac:dyDescent="0.25"/>
    <row r="141102" s="12" customFormat="1" x14ac:dyDescent="0.25"/>
    <row r="141103" s="12" customFormat="1" x14ac:dyDescent="0.25"/>
    <row r="141104" s="12" customFormat="1" x14ac:dyDescent="0.25"/>
    <row r="141105" s="12" customFormat="1" x14ac:dyDescent="0.25"/>
    <row r="141106" s="12" customFormat="1" x14ac:dyDescent="0.25"/>
    <row r="141107" s="12" customFormat="1" x14ac:dyDescent="0.25"/>
    <row r="141108" s="12" customFormat="1" x14ac:dyDescent="0.25"/>
    <row r="141109" s="12" customFormat="1" x14ac:dyDescent="0.25"/>
    <row r="141110" s="12" customFormat="1" x14ac:dyDescent="0.25"/>
    <row r="141111" s="12" customFormat="1" x14ac:dyDescent="0.25"/>
    <row r="141112" s="12" customFormat="1" x14ac:dyDescent="0.25"/>
    <row r="141113" s="12" customFormat="1" x14ac:dyDescent="0.25"/>
    <row r="141114" s="12" customFormat="1" x14ac:dyDescent="0.25"/>
    <row r="141115" s="12" customFormat="1" x14ac:dyDescent="0.25"/>
    <row r="141116" s="12" customFormat="1" x14ac:dyDescent="0.25"/>
    <row r="141117" s="12" customFormat="1" x14ac:dyDescent="0.25"/>
    <row r="141118" s="12" customFormat="1" x14ac:dyDescent="0.25"/>
    <row r="141119" s="12" customFormat="1" x14ac:dyDescent="0.25"/>
    <row r="141120" s="12" customFormat="1" x14ac:dyDescent="0.25"/>
    <row r="141121" s="12" customFormat="1" x14ac:dyDescent="0.25"/>
    <row r="141122" s="12" customFormat="1" x14ac:dyDescent="0.25"/>
    <row r="141123" s="12" customFormat="1" x14ac:dyDescent="0.25"/>
    <row r="141124" s="12" customFormat="1" x14ac:dyDescent="0.25"/>
    <row r="141125" s="12" customFormat="1" x14ac:dyDescent="0.25"/>
    <row r="141126" s="12" customFormat="1" x14ac:dyDescent="0.25"/>
    <row r="141127" s="12" customFormat="1" x14ac:dyDescent="0.25"/>
    <row r="141128" s="12" customFormat="1" x14ac:dyDescent="0.25"/>
    <row r="141129" s="12" customFormat="1" x14ac:dyDescent="0.25"/>
    <row r="141130" s="12" customFormat="1" x14ac:dyDescent="0.25"/>
    <row r="141131" s="12" customFormat="1" x14ac:dyDescent="0.25"/>
    <row r="141132" s="12" customFormat="1" x14ac:dyDescent="0.25"/>
    <row r="141133" s="12" customFormat="1" x14ac:dyDescent="0.25"/>
    <row r="141134" s="12" customFormat="1" x14ac:dyDescent="0.25"/>
    <row r="141135" s="12" customFormat="1" x14ac:dyDescent="0.25"/>
    <row r="141136" s="12" customFormat="1" x14ac:dyDescent="0.25"/>
    <row r="141137" s="12" customFormat="1" x14ac:dyDescent="0.25"/>
    <row r="141138" s="12" customFormat="1" x14ac:dyDescent="0.25"/>
    <row r="141139" s="12" customFormat="1" x14ac:dyDescent="0.25"/>
    <row r="141140" s="12" customFormat="1" x14ac:dyDescent="0.25"/>
    <row r="141141" s="12" customFormat="1" x14ac:dyDescent="0.25"/>
    <row r="141142" s="12" customFormat="1" x14ac:dyDescent="0.25"/>
    <row r="141143" s="12" customFormat="1" x14ac:dyDescent="0.25"/>
    <row r="141144" s="12" customFormat="1" x14ac:dyDescent="0.25"/>
    <row r="141145" s="12" customFormat="1" x14ac:dyDescent="0.25"/>
    <row r="141146" s="12" customFormat="1" x14ac:dyDescent="0.25"/>
    <row r="141147" s="12" customFormat="1" x14ac:dyDescent="0.25"/>
    <row r="141148" s="12" customFormat="1" x14ac:dyDescent="0.25"/>
    <row r="141149" s="12" customFormat="1" x14ac:dyDescent="0.25"/>
    <row r="141150" s="12" customFormat="1" x14ac:dyDescent="0.25"/>
    <row r="141151" s="12" customFormat="1" x14ac:dyDescent="0.25"/>
    <row r="141152" s="12" customFormat="1" x14ac:dyDescent="0.25"/>
    <row r="141153" s="12" customFormat="1" x14ac:dyDescent="0.25"/>
    <row r="141154" s="12" customFormat="1" x14ac:dyDescent="0.25"/>
    <row r="141155" s="12" customFormat="1" x14ac:dyDescent="0.25"/>
    <row r="141156" s="12" customFormat="1" x14ac:dyDescent="0.25"/>
    <row r="141157" s="12" customFormat="1" x14ac:dyDescent="0.25"/>
    <row r="141158" s="12" customFormat="1" x14ac:dyDescent="0.25"/>
    <row r="141159" s="12" customFormat="1" x14ac:dyDescent="0.25"/>
    <row r="141160" s="12" customFormat="1" x14ac:dyDescent="0.25"/>
    <row r="141161" s="12" customFormat="1" x14ac:dyDescent="0.25"/>
    <row r="141162" s="12" customFormat="1" x14ac:dyDescent="0.25"/>
    <row r="141163" s="12" customFormat="1" x14ac:dyDescent="0.25"/>
    <row r="141164" s="12" customFormat="1" x14ac:dyDescent="0.25"/>
    <row r="141165" s="12" customFormat="1" x14ac:dyDescent="0.25"/>
    <row r="141166" s="12" customFormat="1" x14ac:dyDescent="0.25"/>
    <row r="141167" s="12" customFormat="1" x14ac:dyDescent="0.25"/>
    <row r="141168" s="12" customFormat="1" x14ac:dyDescent="0.25"/>
    <row r="141169" s="12" customFormat="1" x14ac:dyDescent="0.25"/>
    <row r="141170" s="12" customFormat="1" x14ac:dyDescent="0.25"/>
    <row r="141171" s="12" customFormat="1" x14ac:dyDescent="0.25"/>
    <row r="141172" s="12" customFormat="1" x14ac:dyDescent="0.25"/>
    <row r="141173" s="12" customFormat="1" x14ac:dyDescent="0.25"/>
    <row r="141174" s="12" customFormat="1" x14ac:dyDescent="0.25"/>
    <row r="141175" s="12" customFormat="1" x14ac:dyDescent="0.25"/>
    <row r="141176" s="12" customFormat="1" x14ac:dyDescent="0.25"/>
    <row r="141177" s="12" customFormat="1" x14ac:dyDescent="0.25"/>
    <row r="141178" s="12" customFormat="1" x14ac:dyDescent="0.25"/>
    <row r="141179" s="12" customFormat="1" x14ac:dyDescent="0.25"/>
    <row r="141180" s="12" customFormat="1" x14ac:dyDescent="0.25"/>
    <row r="141181" s="12" customFormat="1" x14ac:dyDescent="0.25"/>
    <row r="141182" s="12" customFormat="1" x14ac:dyDescent="0.25"/>
    <row r="141183" s="12" customFormat="1" x14ac:dyDescent="0.25"/>
    <row r="141184" s="12" customFormat="1" x14ac:dyDescent="0.25"/>
    <row r="141185" s="12" customFormat="1" x14ac:dyDescent="0.25"/>
    <row r="141186" s="12" customFormat="1" x14ac:dyDescent="0.25"/>
    <row r="141187" s="12" customFormat="1" x14ac:dyDescent="0.25"/>
    <row r="141188" s="12" customFormat="1" x14ac:dyDescent="0.25"/>
    <row r="141189" s="12" customFormat="1" x14ac:dyDescent="0.25"/>
    <row r="141190" s="12" customFormat="1" x14ac:dyDescent="0.25"/>
    <row r="141191" s="12" customFormat="1" x14ac:dyDescent="0.25"/>
    <row r="141192" s="12" customFormat="1" x14ac:dyDescent="0.25"/>
    <row r="141193" s="12" customFormat="1" x14ac:dyDescent="0.25"/>
    <row r="141194" s="12" customFormat="1" x14ac:dyDescent="0.25"/>
    <row r="141195" s="12" customFormat="1" x14ac:dyDescent="0.25"/>
    <row r="141196" s="12" customFormat="1" x14ac:dyDescent="0.25"/>
    <row r="141197" s="12" customFormat="1" x14ac:dyDescent="0.25"/>
    <row r="141198" s="12" customFormat="1" x14ac:dyDescent="0.25"/>
    <row r="141199" s="12" customFormat="1" x14ac:dyDescent="0.25"/>
    <row r="141200" s="12" customFormat="1" x14ac:dyDescent="0.25"/>
    <row r="141201" s="12" customFormat="1" x14ac:dyDescent="0.25"/>
    <row r="141202" s="12" customFormat="1" x14ac:dyDescent="0.25"/>
    <row r="141203" s="12" customFormat="1" x14ac:dyDescent="0.25"/>
    <row r="141204" s="12" customFormat="1" x14ac:dyDescent="0.25"/>
    <row r="141205" s="12" customFormat="1" x14ac:dyDescent="0.25"/>
    <row r="141206" s="12" customFormat="1" x14ac:dyDescent="0.25"/>
    <row r="141207" s="12" customFormat="1" x14ac:dyDescent="0.25"/>
    <row r="141208" s="12" customFormat="1" x14ac:dyDescent="0.25"/>
    <row r="141209" s="12" customFormat="1" x14ac:dyDescent="0.25"/>
    <row r="141210" s="12" customFormat="1" x14ac:dyDescent="0.25"/>
    <row r="141211" s="12" customFormat="1" x14ac:dyDescent="0.25"/>
    <row r="141212" s="12" customFormat="1" x14ac:dyDescent="0.25"/>
    <row r="141213" s="12" customFormat="1" x14ac:dyDescent="0.25"/>
    <row r="141214" s="12" customFormat="1" x14ac:dyDescent="0.25"/>
    <row r="141215" s="12" customFormat="1" x14ac:dyDescent="0.25"/>
    <row r="141216" s="12" customFormat="1" x14ac:dyDescent="0.25"/>
    <row r="141217" s="12" customFormat="1" x14ac:dyDescent="0.25"/>
    <row r="141218" s="12" customFormat="1" x14ac:dyDescent="0.25"/>
    <row r="141219" s="12" customFormat="1" x14ac:dyDescent="0.25"/>
    <row r="141220" s="12" customFormat="1" x14ac:dyDescent="0.25"/>
    <row r="141221" s="12" customFormat="1" x14ac:dyDescent="0.25"/>
    <row r="141222" s="12" customFormat="1" x14ac:dyDescent="0.25"/>
    <row r="141223" s="12" customFormat="1" x14ac:dyDescent="0.25"/>
    <row r="141224" s="12" customFormat="1" x14ac:dyDescent="0.25"/>
    <row r="141225" s="12" customFormat="1" x14ac:dyDescent="0.25"/>
    <row r="141226" s="12" customFormat="1" x14ac:dyDescent="0.25"/>
    <row r="141227" s="12" customFormat="1" x14ac:dyDescent="0.25"/>
    <row r="141228" s="12" customFormat="1" x14ac:dyDescent="0.25"/>
    <row r="141229" s="12" customFormat="1" x14ac:dyDescent="0.25"/>
    <row r="141230" s="12" customFormat="1" x14ac:dyDescent="0.25"/>
    <row r="141231" s="12" customFormat="1" x14ac:dyDescent="0.25"/>
    <row r="141232" s="12" customFormat="1" x14ac:dyDescent="0.25"/>
    <row r="141233" s="12" customFormat="1" x14ac:dyDescent="0.25"/>
    <row r="141234" s="12" customFormat="1" x14ac:dyDescent="0.25"/>
    <row r="141235" s="12" customFormat="1" x14ac:dyDescent="0.25"/>
    <row r="141236" s="12" customFormat="1" x14ac:dyDescent="0.25"/>
    <row r="141237" s="12" customFormat="1" x14ac:dyDescent="0.25"/>
    <row r="141238" s="12" customFormat="1" x14ac:dyDescent="0.25"/>
    <row r="141239" s="12" customFormat="1" x14ac:dyDescent="0.25"/>
    <row r="141240" s="12" customFormat="1" x14ac:dyDescent="0.25"/>
    <row r="141241" s="12" customFormat="1" x14ac:dyDescent="0.25"/>
    <row r="141242" s="12" customFormat="1" x14ac:dyDescent="0.25"/>
    <row r="141243" s="12" customFormat="1" x14ac:dyDescent="0.25"/>
    <row r="141244" s="12" customFormat="1" x14ac:dyDescent="0.25"/>
    <row r="141245" s="12" customFormat="1" x14ac:dyDescent="0.25"/>
    <row r="141246" s="12" customFormat="1" x14ac:dyDescent="0.25"/>
    <row r="141247" s="12" customFormat="1" x14ac:dyDescent="0.25"/>
    <row r="141248" s="12" customFormat="1" x14ac:dyDescent="0.25"/>
    <row r="141249" s="12" customFormat="1" x14ac:dyDescent="0.25"/>
    <row r="141250" s="12" customFormat="1" x14ac:dyDescent="0.25"/>
    <row r="141251" s="12" customFormat="1" x14ac:dyDescent="0.25"/>
    <row r="141252" s="12" customFormat="1" x14ac:dyDescent="0.25"/>
    <row r="141253" s="12" customFormat="1" x14ac:dyDescent="0.25"/>
    <row r="141254" s="12" customFormat="1" x14ac:dyDescent="0.25"/>
    <row r="141255" s="12" customFormat="1" x14ac:dyDescent="0.25"/>
    <row r="141256" s="12" customFormat="1" x14ac:dyDescent="0.25"/>
    <row r="141257" s="12" customFormat="1" x14ac:dyDescent="0.25"/>
    <row r="141258" s="12" customFormat="1" x14ac:dyDescent="0.25"/>
    <row r="141259" s="12" customFormat="1" x14ac:dyDescent="0.25"/>
    <row r="141260" s="12" customFormat="1" x14ac:dyDescent="0.25"/>
    <row r="141261" s="12" customFormat="1" x14ac:dyDescent="0.25"/>
    <row r="141262" s="12" customFormat="1" x14ac:dyDescent="0.25"/>
    <row r="141263" s="12" customFormat="1" x14ac:dyDescent="0.25"/>
    <row r="141264" s="12" customFormat="1" x14ac:dyDescent="0.25"/>
    <row r="141265" s="12" customFormat="1" x14ac:dyDescent="0.25"/>
    <row r="141266" s="12" customFormat="1" x14ac:dyDescent="0.25"/>
    <row r="141267" s="12" customFormat="1" x14ac:dyDescent="0.25"/>
    <row r="141268" s="12" customFormat="1" x14ac:dyDescent="0.25"/>
    <row r="141269" s="12" customFormat="1" x14ac:dyDescent="0.25"/>
    <row r="141270" s="12" customFormat="1" x14ac:dyDescent="0.25"/>
    <row r="141271" s="12" customFormat="1" x14ac:dyDescent="0.25"/>
    <row r="141272" s="12" customFormat="1" x14ac:dyDescent="0.25"/>
    <row r="141273" s="12" customFormat="1" x14ac:dyDescent="0.25"/>
    <row r="141274" s="12" customFormat="1" x14ac:dyDescent="0.25"/>
    <row r="141275" s="12" customFormat="1" x14ac:dyDescent="0.25"/>
    <row r="141276" s="12" customFormat="1" x14ac:dyDescent="0.25"/>
    <row r="141277" s="12" customFormat="1" x14ac:dyDescent="0.25"/>
    <row r="141278" s="12" customFormat="1" x14ac:dyDescent="0.25"/>
    <row r="141279" s="12" customFormat="1" x14ac:dyDescent="0.25"/>
    <row r="141280" s="12" customFormat="1" x14ac:dyDescent="0.25"/>
    <row r="141281" s="12" customFormat="1" x14ac:dyDescent="0.25"/>
    <row r="141282" s="12" customFormat="1" x14ac:dyDescent="0.25"/>
    <row r="141283" s="12" customFormat="1" x14ac:dyDescent="0.25"/>
    <row r="141284" s="12" customFormat="1" x14ac:dyDescent="0.25"/>
    <row r="141285" s="12" customFormat="1" x14ac:dyDescent="0.25"/>
    <row r="141286" s="12" customFormat="1" x14ac:dyDescent="0.25"/>
    <row r="141287" s="12" customFormat="1" x14ac:dyDescent="0.25"/>
    <row r="141288" s="12" customFormat="1" x14ac:dyDescent="0.25"/>
    <row r="141289" s="12" customFormat="1" x14ac:dyDescent="0.25"/>
    <row r="141290" s="12" customFormat="1" x14ac:dyDescent="0.25"/>
    <row r="141291" s="12" customFormat="1" x14ac:dyDescent="0.25"/>
    <row r="141292" s="12" customFormat="1" x14ac:dyDescent="0.25"/>
    <row r="141293" s="12" customFormat="1" x14ac:dyDescent="0.25"/>
    <row r="141294" s="12" customFormat="1" x14ac:dyDescent="0.25"/>
    <row r="141295" s="12" customFormat="1" x14ac:dyDescent="0.25"/>
    <row r="141296" s="12" customFormat="1" x14ac:dyDescent="0.25"/>
    <row r="141297" s="12" customFormat="1" x14ac:dyDescent="0.25"/>
    <row r="141298" s="12" customFormat="1" x14ac:dyDescent="0.25"/>
    <row r="141299" s="12" customFormat="1" x14ac:dyDescent="0.25"/>
    <row r="141300" s="12" customFormat="1" x14ac:dyDescent="0.25"/>
    <row r="141301" s="12" customFormat="1" x14ac:dyDescent="0.25"/>
    <row r="141302" s="12" customFormat="1" x14ac:dyDescent="0.25"/>
    <row r="141303" s="12" customFormat="1" x14ac:dyDescent="0.25"/>
    <row r="141304" s="12" customFormat="1" x14ac:dyDescent="0.25"/>
    <row r="141305" s="12" customFormat="1" x14ac:dyDescent="0.25"/>
    <row r="141306" s="12" customFormat="1" x14ac:dyDescent="0.25"/>
    <row r="141307" s="12" customFormat="1" x14ac:dyDescent="0.25"/>
    <row r="141308" s="12" customFormat="1" x14ac:dyDescent="0.25"/>
    <row r="141309" s="12" customFormat="1" x14ac:dyDescent="0.25"/>
    <row r="141310" s="12" customFormat="1" x14ac:dyDescent="0.25"/>
    <row r="141311" s="12" customFormat="1" x14ac:dyDescent="0.25"/>
    <row r="141312" s="12" customFormat="1" x14ac:dyDescent="0.25"/>
    <row r="141313" s="12" customFormat="1" x14ac:dyDescent="0.25"/>
    <row r="141314" s="12" customFormat="1" x14ac:dyDescent="0.25"/>
    <row r="141315" s="12" customFormat="1" x14ac:dyDescent="0.25"/>
    <row r="141316" s="12" customFormat="1" x14ac:dyDescent="0.25"/>
    <row r="141317" s="12" customFormat="1" x14ac:dyDescent="0.25"/>
    <row r="141318" s="12" customFormat="1" x14ac:dyDescent="0.25"/>
    <row r="141319" s="12" customFormat="1" x14ac:dyDescent="0.25"/>
    <row r="141320" s="12" customFormat="1" x14ac:dyDescent="0.25"/>
    <row r="141321" s="12" customFormat="1" x14ac:dyDescent="0.25"/>
    <row r="141322" s="12" customFormat="1" x14ac:dyDescent="0.25"/>
    <row r="141323" s="12" customFormat="1" x14ac:dyDescent="0.25"/>
    <row r="141324" s="12" customFormat="1" x14ac:dyDescent="0.25"/>
    <row r="141325" s="12" customFormat="1" x14ac:dyDescent="0.25"/>
    <row r="141326" s="12" customFormat="1" x14ac:dyDescent="0.25"/>
    <row r="141327" s="12" customFormat="1" x14ac:dyDescent="0.25"/>
    <row r="141328" s="12" customFormat="1" x14ac:dyDescent="0.25"/>
    <row r="141329" s="12" customFormat="1" x14ac:dyDescent="0.25"/>
    <row r="141330" s="12" customFormat="1" x14ac:dyDescent="0.25"/>
    <row r="141331" s="12" customFormat="1" x14ac:dyDescent="0.25"/>
    <row r="141332" s="12" customFormat="1" x14ac:dyDescent="0.25"/>
    <row r="141333" s="12" customFormat="1" x14ac:dyDescent="0.25"/>
    <row r="141334" s="12" customFormat="1" x14ac:dyDescent="0.25"/>
    <row r="141335" s="12" customFormat="1" x14ac:dyDescent="0.25"/>
    <row r="141336" s="12" customFormat="1" x14ac:dyDescent="0.25"/>
    <row r="141337" s="12" customFormat="1" x14ac:dyDescent="0.25"/>
    <row r="141338" s="12" customFormat="1" x14ac:dyDescent="0.25"/>
    <row r="141339" s="12" customFormat="1" x14ac:dyDescent="0.25"/>
    <row r="141340" s="12" customFormat="1" x14ac:dyDescent="0.25"/>
    <row r="141341" s="12" customFormat="1" x14ac:dyDescent="0.25"/>
    <row r="141342" s="12" customFormat="1" x14ac:dyDescent="0.25"/>
    <row r="141343" s="12" customFormat="1" x14ac:dyDescent="0.25"/>
    <row r="141344" s="12" customFormat="1" x14ac:dyDescent="0.25"/>
    <row r="141345" s="12" customFormat="1" x14ac:dyDescent="0.25"/>
    <row r="141346" s="12" customFormat="1" x14ac:dyDescent="0.25"/>
    <row r="141347" s="12" customFormat="1" x14ac:dyDescent="0.25"/>
    <row r="141348" s="12" customFormat="1" x14ac:dyDescent="0.25"/>
    <row r="141349" s="12" customFormat="1" x14ac:dyDescent="0.25"/>
    <row r="141350" s="12" customFormat="1" x14ac:dyDescent="0.25"/>
    <row r="141351" s="12" customFormat="1" x14ac:dyDescent="0.25"/>
    <row r="141352" s="12" customFormat="1" x14ac:dyDescent="0.25"/>
    <row r="141353" s="12" customFormat="1" x14ac:dyDescent="0.25"/>
    <row r="141354" s="12" customFormat="1" x14ac:dyDescent="0.25"/>
    <row r="141355" s="12" customFormat="1" x14ac:dyDescent="0.25"/>
    <row r="141356" s="12" customFormat="1" x14ac:dyDescent="0.25"/>
    <row r="141357" s="12" customFormat="1" x14ac:dyDescent="0.25"/>
    <row r="141358" s="12" customFormat="1" x14ac:dyDescent="0.25"/>
    <row r="141359" s="12" customFormat="1" x14ac:dyDescent="0.25"/>
    <row r="141360" s="12" customFormat="1" x14ac:dyDescent="0.25"/>
    <row r="141361" s="12" customFormat="1" x14ac:dyDescent="0.25"/>
    <row r="141362" s="12" customFormat="1" x14ac:dyDescent="0.25"/>
    <row r="141363" s="12" customFormat="1" x14ac:dyDescent="0.25"/>
    <row r="141364" s="12" customFormat="1" x14ac:dyDescent="0.25"/>
    <row r="141365" s="12" customFormat="1" x14ac:dyDescent="0.25"/>
    <row r="141366" s="12" customFormat="1" x14ac:dyDescent="0.25"/>
    <row r="141367" s="12" customFormat="1" x14ac:dyDescent="0.25"/>
    <row r="141368" s="12" customFormat="1" x14ac:dyDescent="0.25"/>
    <row r="141369" s="12" customFormat="1" x14ac:dyDescent="0.25"/>
    <row r="141370" s="12" customFormat="1" x14ac:dyDescent="0.25"/>
    <row r="141371" s="12" customFormat="1" x14ac:dyDescent="0.25"/>
    <row r="141372" s="12" customFormat="1" x14ac:dyDescent="0.25"/>
    <row r="141373" s="12" customFormat="1" x14ac:dyDescent="0.25"/>
    <row r="141374" s="12" customFormat="1" x14ac:dyDescent="0.25"/>
    <row r="141375" s="12" customFormat="1" x14ac:dyDescent="0.25"/>
    <row r="141376" s="12" customFormat="1" x14ac:dyDescent="0.25"/>
    <row r="141377" s="12" customFormat="1" x14ac:dyDescent="0.25"/>
    <row r="141378" s="12" customFormat="1" x14ac:dyDescent="0.25"/>
    <row r="141379" s="12" customFormat="1" x14ac:dyDescent="0.25"/>
    <row r="141380" s="12" customFormat="1" x14ac:dyDescent="0.25"/>
    <row r="141381" s="12" customFormat="1" x14ac:dyDescent="0.25"/>
    <row r="141382" s="12" customFormat="1" x14ac:dyDescent="0.25"/>
    <row r="141383" s="12" customFormat="1" x14ac:dyDescent="0.25"/>
    <row r="141384" s="12" customFormat="1" x14ac:dyDescent="0.25"/>
    <row r="141385" s="12" customFormat="1" x14ac:dyDescent="0.25"/>
    <row r="141386" s="12" customFormat="1" x14ac:dyDescent="0.25"/>
    <row r="141387" s="12" customFormat="1" x14ac:dyDescent="0.25"/>
    <row r="141388" s="12" customFormat="1" x14ac:dyDescent="0.25"/>
    <row r="141389" s="12" customFormat="1" x14ac:dyDescent="0.25"/>
    <row r="141390" s="12" customFormat="1" x14ac:dyDescent="0.25"/>
    <row r="141391" s="12" customFormat="1" x14ac:dyDescent="0.25"/>
    <row r="141392" s="12" customFormat="1" x14ac:dyDescent="0.25"/>
    <row r="141393" s="12" customFormat="1" x14ac:dyDescent="0.25"/>
    <row r="141394" s="12" customFormat="1" x14ac:dyDescent="0.25"/>
    <row r="141395" s="12" customFormat="1" x14ac:dyDescent="0.25"/>
    <row r="141396" s="12" customFormat="1" x14ac:dyDescent="0.25"/>
    <row r="141397" s="12" customFormat="1" x14ac:dyDescent="0.25"/>
    <row r="141398" s="12" customFormat="1" x14ac:dyDescent="0.25"/>
    <row r="141399" s="12" customFormat="1" x14ac:dyDescent="0.25"/>
    <row r="141400" s="12" customFormat="1" x14ac:dyDescent="0.25"/>
    <row r="141401" s="12" customFormat="1" x14ac:dyDescent="0.25"/>
    <row r="141402" s="12" customFormat="1" x14ac:dyDescent="0.25"/>
    <row r="141403" s="12" customFormat="1" x14ac:dyDescent="0.25"/>
    <row r="141404" s="12" customFormat="1" x14ac:dyDescent="0.25"/>
    <row r="141405" s="12" customFormat="1" x14ac:dyDescent="0.25"/>
    <row r="141406" s="12" customFormat="1" x14ac:dyDescent="0.25"/>
    <row r="141407" s="12" customFormat="1" x14ac:dyDescent="0.25"/>
    <row r="141408" s="12" customFormat="1" x14ac:dyDescent="0.25"/>
    <row r="141409" s="12" customFormat="1" x14ac:dyDescent="0.25"/>
    <row r="141410" s="12" customFormat="1" x14ac:dyDescent="0.25"/>
    <row r="141411" s="12" customFormat="1" x14ac:dyDescent="0.25"/>
    <row r="141412" s="12" customFormat="1" x14ac:dyDescent="0.25"/>
    <row r="141413" s="12" customFormat="1" x14ac:dyDescent="0.25"/>
    <row r="141414" s="12" customFormat="1" x14ac:dyDescent="0.25"/>
    <row r="141415" s="12" customFormat="1" x14ac:dyDescent="0.25"/>
    <row r="141416" s="12" customFormat="1" x14ac:dyDescent="0.25"/>
    <row r="141417" s="12" customFormat="1" x14ac:dyDescent="0.25"/>
    <row r="141418" s="12" customFormat="1" x14ac:dyDescent="0.25"/>
    <row r="141419" s="12" customFormat="1" x14ac:dyDescent="0.25"/>
    <row r="141420" s="12" customFormat="1" x14ac:dyDescent="0.25"/>
    <row r="141421" s="12" customFormat="1" x14ac:dyDescent="0.25"/>
    <row r="141422" s="12" customFormat="1" x14ac:dyDescent="0.25"/>
    <row r="141423" s="12" customFormat="1" x14ac:dyDescent="0.25"/>
    <row r="141424" s="12" customFormat="1" x14ac:dyDescent="0.25"/>
    <row r="141425" s="12" customFormat="1" x14ac:dyDescent="0.25"/>
    <row r="141426" s="12" customFormat="1" x14ac:dyDescent="0.25"/>
    <row r="141427" s="12" customFormat="1" x14ac:dyDescent="0.25"/>
    <row r="141428" s="12" customFormat="1" x14ac:dyDescent="0.25"/>
    <row r="141429" s="12" customFormat="1" x14ac:dyDescent="0.25"/>
    <row r="141430" s="12" customFormat="1" x14ac:dyDescent="0.25"/>
    <row r="141431" s="12" customFormat="1" x14ac:dyDescent="0.25"/>
    <row r="141432" s="12" customFormat="1" x14ac:dyDescent="0.25"/>
    <row r="141433" s="12" customFormat="1" x14ac:dyDescent="0.25"/>
    <row r="141434" s="12" customFormat="1" x14ac:dyDescent="0.25"/>
    <row r="141435" s="12" customFormat="1" x14ac:dyDescent="0.25"/>
    <row r="141436" s="12" customFormat="1" x14ac:dyDescent="0.25"/>
    <row r="141437" s="12" customFormat="1" x14ac:dyDescent="0.25"/>
    <row r="141438" s="12" customFormat="1" x14ac:dyDescent="0.25"/>
    <row r="141439" s="12" customFormat="1" x14ac:dyDescent="0.25"/>
    <row r="141440" s="12" customFormat="1" x14ac:dyDescent="0.25"/>
    <row r="141441" s="12" customFormat="1" x14ac:dyDescent="0.25"/>
    <row r="141442" s="12" customFormat="1" x14ac:dyDescent="0.25"/>
    <row r="141443" s="12" customFormat="1" x14ac:dyDescent="0.25"/>
    <row r="141444" s="12" customFormat="1" x14ac:dyDescent="0.25"/>
    <row r="141445" s="12" customFormat="1" x14ac:dyDescent="0.25"/>
    <row r="141446" s="12" customFormat="1" x14ac:dyDescent="0.25"/>
    <row r="141447" s="12" customFormat="1" x14ac:dyDescent="0.25"/>
    <row r="141448" s="12" customFormat="1" x14ac:dyDescent="0.25"/>
    <row r="141449" s="12" customFormat="1" x14ac:dyDescent="0.25"/>
    <row r="141450" s="12" customFormat="1" x14ac:dyDescent="0.25"/>
    <row r="141451" s="12" customFormat="1" x14ac:dyDescent="0.25"/>
    <row r="141452" s="12" customFormat="1" x14ac:dyDescent="0.25"/>
    <row r="141453" s="12" customFormat="1" x14ac:dyDescent="0.25"/>
    <row r="141454" s="12" customFormat="1" x14ac:dyDescent="0.25"/>
    <row r="141455" s="12" customFormat="1" x14ac:dyDescent="0.25"/>
    <row r="141456" s="12" customFormat="1" x14ac:dyDescent="0.25"/>
    <row r="141457" s="12" customFormat="1" x14ac:dyDescent="0.25"/>
    <row r="141458" s="12" customFormat="1" x14ac:dyDescent="0.25"/>
    <row r="141459" s="12" customFormat="1" x14ac:dyDescent="0.25"/>
    <row r="141460" s="12" customFormat="1" x14ac:dyDescent="0.25"/>
    <row r="141461" s="12" customFormat="1" x14ac:dyDescent="0.25"/>
    <row r="141462" s="12" customFormat="1" x14ac:dyDescent="0.25"/>
    <row r="141463" s="12" customFormat="1" x14ac:dyDescent="0.25"/>
    <row r="141464" s="12" customFormat="1" x14ac:dyDescent="0.25"/>
    <row r="141465" s="12" customFormat="1" x14ac:dyDescent="0.25"/>
    <row r="141466" s="12" customFormat="1" x14ac:dyDescent="0.25"/>
    <row r="141467" s="12" customFormat="1" x14ac:dyDescent="0.25"/>
    <row r="141468" s="12" customFormat="1" x14ac:dyDescent="0.25"/>
    <row r="141469" s="12" customFormat="1" x14ac:dyDescent="0.25"/>
    <row r="141470" s="12" customFormat="1" x14ac:dyDescent="0.25"/>
    <row r="141471" s="12" customFormat="1" x14ac:dyDescent="0.25"/>
    <row r="141472" s="12" customFormat="1" x14ac:dyDescent="0.25"/>
    <row r="141473" s="12" customFormat="1" x14ac:dyDescent="0.25"/>
    <row r="141474" s="12" customFormat="1" x14ac:dyDescent="0.25"/>
    <row r="141475" s="12" customFormat="1" x14ac:dyDescent="0.25"/>
    <row r="141476" s="12" customFormat="1" x14ac:dyDescent="0.25"/>
    <row r="141477" s="12" customFormat="1" x14ac:dyDescent="0.25"/>
    <row r="141478" s="12" customFormat="1" x14ac:dyDescent="0.25"/>
    <row r="141479" s="12" customFormat="1" x14ac:dyDescent="0.25"/>
    <row r="141480" s="12" customFormat="1" x14ac:dyDescent="0.25"/>
    <row r="141481" s="12" customFormat="1" x14ac:dyDescent="0.25"/>
    <row r="141482" s="12" customFormat="1" x14ac:dyDescent="0.25"/>
    <row r="141483" s="12" customFormat="1" x14ac:dyDescent="0.25"/>
    <row r="141484" s="12" customFormat="1" x14ac:dyDescent="0.25"/>
    <row r="141485" s="12" customFormat="1" x14ac:dyDescent="0.25"/>
    <row r="141486" s="12" customFormat="1" x14ac:dyDescent="0.25"/>
    <row r="141487" s="12" customFormat="1" x14ac:dyDescent="0.25"/>
    <row r="141488" s="12" customFormat="1" x14ac:dyDescent="0.25"/>
    <row r="141489" s="12" customFormat="1" x14ac:dyDescent="0.25"/>
    <row r="141490" s="12" customFormat="1" x14ac:dyDescent="0.25"/>
    <row r="141491" s="12" customFormat="1" x14ac:dyDescent="0.25"/>
    <row r="141492" s="12" customFormat="1" x14ac:dyDescent="0.25"/>
    <row r="141493" s="12" customFormat="1" x14ac:dyDescent="0.25"/>
    <row r="141494" s="12" customFormat="1" x14ac:dyDescent="0.25"/>
    <row r="141495" s="12" customFormat="1" x14ac:dyDescent="0.25"/>
    <row r="141496" s="12" customFormat="1" x14ac:dyDescent="0.25"/>
    <row r="141497" s="12" customFormat="1" x14ac:dyDescent="0.25"/>
    <row r="141498" s="12" customFormat="1" x14ac:dyDescent="0.25"/>
    <row r="141499" s="12" customFormat="1" x14ac:dyDescent="0.25"/>
    <row r="141500" s="12" customFormat="1" x14ac:dyDescent="0.25"/>
    <row r="141501" s="12" customFormat="1" x14ac:dyDescent="0.25"/>
    <row r="141502" s="12" customFormat="1" x14ac:dyDescent="0.25"/>
    <row r="141503" s="12" customFormat="1" x14ac:dyDescent="0.25"/>
    <row r="141504" s="12" customFormat="1" x14ac:dyDescent="0.25"/>
    <row r="141505" s="12" customFormat="1" x14ac:dyDescent="0.25"/>
    <row r="141506" s="12" customFormat="1" x14ac:dyDescent="0.25"/>
    <row r="141507" s="12" customFormat="1" x14ac:dyDescent="0.25"/>
    <row r="141508" s="12" customFormat="1" x14ac:dyDescent="0.25"/>
    <row r="141509" s="12" customFormat="1" x14ac:dyDescent="0.25"/>
    <row r="141510" s="12" customFormat="1" x14ac:dyDescent="0.25"/>
    <row r="141511" s="12" customFormat="1" x14ac:dyDescent="0.25"/>
    <row r="141512" s="12" customFormat="1" x14ac:dyDescent="0.25"/>
    <row r="141513" s="12" customFormat="1" x14ac:dyDescent="0.25"/>
    <row r="141514" s="12" customFormat="1" x14ac:dyDescent="0.25"/>
    <row r="141515" s="12" customFormat="1" x14ac:dyDescent="0.25"/>
    <row r="141516" s="12" customFormat="1" x14ac:dyDescent="0.25"/>
    <row r="141517" s="12" customFormat="1" x14ac:dyDescent="0.25"/>
    <row r="141518" s="12" customFormat="1" x14ac:dyDescent="0.25"/>
    <row r="141519" s="12" customFormat="1" x14ac:dyDescent="0.25"/>
    <row r="141520" s="12" customFormat="1" x14ac:dyDescent="0.25"/>
    <row r="141521" s="12" customFormat="1" x14ac:dyDescent="0.25"/>
    <row r="141522" s="12" customFormat="1" x14ac:dyDescent="0.25"/>
    <row r="141523" s="12" customFormat="1" x14ac:dyDescent="0.25"/>
    <row r="141524" s="12" customFormat="1" x14ac:dyDescent="0.25"/>
    <row r="141525" s="12" customFormat="1" x14ac:dyDescent="0.25"/>
    <row r="141526" s="12" customFormat="1" x14ac:dyDescent="0.25"/>
    <row r="141527" s="12" customFormat="1" x14ac:dyDescent="0.25"/>
    <row r="141528" s="12" customFormat="1" x14ac:dyDescent="0.25"/>
    <row r="141529" s="12" customFormat="1" x14ac:dyDescent="0.25"/>
    <row r="141530" s="12" customFormat="1" x14ac:dyDescent="0.25"/>
    <row r="141531" s="12" customFormat="1" x14ac:dyDescent="0.25"/>
    <row r="141532" s="12" customFormat="1" x14ac:dyDescent="0.25"/>
    <row r="141533" s="12" customFormat="1" x14ac:dyDescent="0.25"/>
    <row r="141534" s="12" customFormat="1" x14ac:dyDescent="0.25"/>
    <row r="141535" s="12" customFormat="1" x14ac:dyDescent="0.25"/>
    <row r="141536" s="12" customFormat="1" x14ac:dyDescent="0.25"/>
    <row r="141537" s="12" customFormat="1" x14ac:dyDescent="0.25"/>
    <row r="141538" s="12" customFormat="1" x14ac:dyDescent="0.25"/>
    <row r="141539" s="12" customFormat="1" x14ac:dyDescent="0.25"/>
    <row r="141540" s="12" customFormat="1" x14ac:dyDescent="0.25"/>
    <row r="141541" s="12" customFormat="1" x14ac:dyDescent="0.25"/>
    <row r="141542" s="12" customFormat="1" x14ac:dyDescent="0.25"/>
    <row r="141543" s="12" customFormat="1" x14ac:dyDescent="0.25"/>
    <row r="141544" s="12" customFormat="1" x14ac:dyDescent="0.25"/>
    <row r="141545" s="12" customFormat="1" x14ac:dyDescent="0.25"/>
    <row r="141546" s="12" customFormat="1" x14ac:dyDescent="0.25"/>
    <row r="141547" s="12" customFormat="1" x14ac:dyDescent="0.25"/>
    <row r="141548" s="12" customFormat="1" x14ac:dyDescent="0.25"/>
    <row r="141549" s="12" customFormat="1" x14ac:dyDescent="0.25"/>
    <row r="141550" s="12" customFormat="1" x14ac:dyDescent="0.25"/>
    <row r="141551" s="12" customFormat="1" x14ac:dyDescent="0.25"/>
    <row r="141552" s="12" customFormat="1" x14ac:dyDescent="0.25"/>
    <row r="141553" s="12" customFormat="1" x14ac:dyDescent="0.25"/>
    <row r="141554" s="12" customFormat="1" x14ac:dyDescent="0.25"/>
    <row r="141555" s="12" customFormat="1" x14ac:dyDescent="0.25"/>
    <row r="141556" s="12" customFormat="1" x14ac:dyDescent="0.25"/>
    <row r="141557" s="12" customFormat="1" x14ac:dyDescent="0.25"/>
    <row r="141558" s="12" customFormat="1" x14ac:dyDescent="0.25"/>
    <row r="141559" s="12" customFormat="1" x14ac:dyDescent="0.25"/>
    <row r="141560" s="12" customFormat="1" x14ac:dyDescent="0.25"/>
    <row r="141561" s="12" customFormat="1" x14ac:dyDescent="0.25"/>
    <row r="141562" s="12" customFormat="1" x14ac:dyDescent="0.25"/>
    <row r="141563" s="12" customFormat="1" x14ac:dyDescent="0.25"/>
    <row r="141564" s="12" customFormat="1" x14ac:dyDescent="0.25"/>
    <row r="141565" s="12" customFormat="1" x14ac:dyDescent="0.25"/>
    <row r="141566" s="12" customFormat="1" x14ac:dyDescent="0.25"/>
    <row r="141567" s="12" customFormat="1" x14ac:dyDescent="0.25"/>
    <row r="141568" s="12" customFormat="1" x14ac:dyDescent="0.25"/>
    <row r="141569" s="12" customFormat="1" x14ac:dyDescent="0.25"/>
    <row r="141570" s="12" customFormat="1" x14ac:dyDescent="0.25"/>
    <row r="141571" s="12" customFormat="1" x14ac:dyDescent="0.25"/>
    <row r="141572" s="12" customFormat="1" x14ac:dyDescent="0.25"/>
    <row r="141573" s="12" customFormat="1" x14ac:dyDescent="0.25"/>
    <row r="141574" s="12" customFormat="1" x14ac:dyDescent="0.25"/>
    <row r="141575" s="12" customFormat="1" x14ac:dyDescent="0.25"/>
    <row r="141576" s="12" customFormat="1" x14ac:dyDescent="0.25"/>
    <row r="141577" s="12" customFormat="1" x14ac:dyDescent="0.25"/>
    <row r="141578" s="12" customFormat="1" x14ac:dyDescent="0.25"/>
    <row r="141579" s="12" customFormat="1" x14ac:dyDescent="0.25"/>
    <row r="141580" s="12" customFormat="1" x14ac:dyDescent="0.25"/>
    <row r="141581" s="12" customFormat="1" x14ac:dyDescent="0.25"/>
    <row r="141582" s="12" customFormat="1" x14ac:dyDescent="0.25"/>
    <row r="141583" s="12" customFormat="1" x14ac:dyDescent="0.25"/>
    <row r="141584" s="12" customFormat="1" x14ac:dyDescent="0.25"/>
    <row r="141585" s="12" customFormat="1" x14ac:dyDescent="0.25"/>
    <row r="141586" s="12" customFormat="1" x14ac:dyDescent="0.25"/>
    <row r="141587" s="12" customFormat="1" x14ac:dyDescent="0.25"/>
    <row r="141588" s="12" customFormat="1" x14ac:dyDescent="0.25"/>
    <row r="141589" s="12" customFormat="1" x14ac:dyDescent="0.25"/>
    <row r="141590" s="12" customFormat="1" x14ac:dyDescent="0.25"/>
    <row r="141591" s="12" customFormat="1" x14ac:dyDescent="0.25"/>
    <row r="141592" s="12" customFormat="1" x14ac:dyDescent="0.25"/>
    <row r="141593" s="12" customFormat="1" x14ac:dyDescent="0.25"/>
    <row r="141594" s="12" customFormat="1" x14ac:dyDescent="0.25"/>
    <row r="141595" s="12" customFormat="1" x14ac:dyDescent="0.25"/>
    <row r="141596" s="12" customFormat="1" x14ac:dyDescent="0.25"/>
    <row r="141597" s="12" customFormat="1" x14ac:dyDescent="0.25"/>
    <row r="141598" s="12" customFormat="1" x14ac:dyDescent="0.25"/>
    <row r="141599" s="12" customFormat="1" x14ac:dyDescent="0.25"/>
    <row r="141600" s="12" customFormat="1" x14ac:dyDescent="0.25"/>
    <row r="141601" s="12" customFormat="1" x14ac:dyDescent="0.25"/>
    <row r="141602" s="12" customFormat="1" x14ac:dyDescent="0.25"/>
    <row r="141603" s="12" customFormat="1" x14ac:dyDescent="0.25"/>
    <row r="141604" s="12" customFormat="1" x14ac:dyDescent="0.25"/>
    <row r="141605" s="12" customFormat="1" x14ac:dyDescent="0.25"/>
    <row r="141606" s="12" customFormat="1" x14ac:dyDescent="0.25"/>
    <row r="141607" s="12" customFormat="1" x14ac:dyDescent="0.25"/>
    <row r="141608" s="12" customFormat="1" x14ac:dyDescent="0.25"/>
    <row r="141609" s="12" customFormat="1" x14ac:dyDescent="0.25"/>
    <row r="141610" s="12" customFormat="1" x14ac:dyDescent="0.25"/>
    <row r="141611" s="12" customFormat="1" x14ac:dyDescent="0.25"/>
    <row r="141612" s="12" customFormat="1" x14ac:dyDescent="0.25"/>
    <row r="141613" s="12" customFormat="1" x14ac:dyDescent="0.25"/>
    <row r="141614" s="12" customFormat="1" x14ac:dyDescent="0.25"/>
    <row r="141615" s="12" customFormat="1" x14ac:dyDescent="0.25"/>
    <row r="141616" s="12" customFormat="1" x14ac:dyDescent="0.25"/>
    <row r="141617" s="12" customFormat="1" x14ac:dyDescent="0.25"/>
    <row r="141618" s="12" customFormat="1" x14ac:dyDescent="0.25"/>
    <row r="141619" s="12" customFormat="1" x14ac:dyDescent="0.25"/>
    <row r="141620" s="12" customFormat="1" x14ac:dyDescent="0.25"/>
    <row r="141621" s="12" customFormat="1" x14ac:dyDescent="0.25"/>
    <row r="141622" s="12" customFormat="1" x14ac:dyDescent="0.25"/>
    <row r="141623" s="12" customFormat="1" x14ac:dyDescent="0.25"/>
    <row r="141624" s="12" customFormat="1" x14ac:dyDescent="0.25"/>
    <row r="141625" s="12" customFormat="1" x14ac:dyDescent="0.25"/>
    <row r="141626" s="12" customFormat="1" x14ac:dyDescent="0.25"/>
    <row r="141627" s="12" customFormat="1" x14ac:dyDescent="0.25"/>
    <row r="141628" s="12" customFormat="1" x14ac:dyDescent="0.25"/>
    <row r="141629" s="12" customFormat="1" x14ac:dyDescent="0.25"/>
    <row r="141630" s="12" customFormat="1" x14ac:dyDescent="0.25"/>
    <row r="141631" s="12" customFormat="1" x14ac:dyDescent="0.25"/>
    <row r="141632" s="12" customFormat="1" x14ac:dyDescent="0.25"/>
    <row r="141633" s="12" customFormat="1" x14ac:dyDescent="0.25"/>
    <row r="141634" s="12" customFormat="1" x14ac:dyDescent="0.25"/>
    <row r="141635" s="12" customFormat="1" x14ac:dyDescent="0.25"/>
    <row r="141636" s="12" customFormat="1" x14ac:dyDescent="0.25"/>
    <row r="141637" s="12" customFormat="1" x14ac:dyDescent="0.25"/>
    <row r="141638" s="12" customFormat="1" x14ac:dyDescent="0.25"/>
    <row r="141639" s="12" customFormat="1" x14ac:dyDescent="0.25"/>
    <row r="141640" s="12" customFormat="1" x14ac:dyDescent="0.25"/>
    <row r="141641" s="12" customFormat="1" x14ac:dyDescent="0.25"/>
    <row r="141642" s="12" customFormat="1" x14ac:dyDescent="0.25"/>
    <row r="141643" s="12" customFormat="1" x14ac:dyDescent="0.25"/>
    <row r="141644" s="12" customFormat="1" x14ac:dyDescent="0.25"/>
    <row r="141645" s="12" customFormat="1" x14ac:dyDescent="0.25"/>
    <row r="141646" s="12" customFormat="1" x14ac:dyDescent="0.25"/>
    <row r="141647" s="12" customFormat="1" x14ac:dyDescent="0.25"/>
    <row r="141648" s="12" customFormat="1" x14ac:dyDescent="0.25"/>
    <row r="141649" s="12" customFormat="1" x14ac:dyDescent="0.25"/>
    <row r="141650" s="12" customFormat="1" x14ac:dyDescent="0.25"/>
    <row r="141651" s="12" customFormat="1" x14ac:dyDescent="0.25"/>
    <row r="141652" s="12" customFormat="1" x14ac:dyDescent="0.25"/>
    <row r="141653" s="12" customFormat="1" x14ac:dyDescent="0.25"/>
    <row r="141654" s="12" customFormat="1" x14ac:dyDescent="0.25"/>
    <row r="141655" s="12" customFormat="1" x14ac:dyDescent="0.25"/>
    <row r="141656" s="12" customFormat="1" x14ac:dyDescent="0.25"/>
    <row r="141657" s="12" customFormat="1" x14ac:dyDescent="0.25"/>
    <row r="141658" s="12" customFormat="1" x14ac:dyDescent="0.25"/>
    <row r="141659" s="12" customFormat="1" x14ac:dyDescent="0.25"/>
    <row r="141660" s="12" customFormat="1" x14ac:dyDescent="0.25"/>
    <row r="141661" s="12" customFormat="1" x14ac:dyDescent="0.25"/>
    <row r="141662" s="12" customFormat="1" x14ac:dyDescent="0.25"/>
    <row r="141663" s="12" customFormat="1" x14ac:dyDescent="0.25"/>
    <row r="141664" s="12" customFormat="1" x14ac:dyDescent="0.25"/>
    <row r="141665" s="12" customFormat="1" x14ac:dyDescent="0.25"/>
    <row r="141666" s="12" customFormat="1" x14ac:dyDescent="0.25"/>
    <row r="141667" s="12" customFormat="1" x14ac:dyDescent="0.25"/>
    <row r="141668" s="12" customFormat="1" x14ac:dyDescent="0.25"/>
    <row r="141669" s="12" customFormat="1" x14ac:dyDescent="0.25"/>
    <row r="141670" s="12" customFormat="1" x14ac:dyDescent="0.25"/>
    <row r="141671" s="12" customFormat="1" x14ac:dyDescent="0.25"/>
    <row r="141672" s="12" customFormat="1" x14ac:dyDescent="0.25"/>
    <row r="141673" s="12" customFormat="1" x14ac:dyDescent="0.25"/>
    <row r="141674" s="12" customFormat="1" x14ac:dyDescent="0.25"/>
    <row r="141675" s="12" customFormat="1" x14ac:dyDescent="0.25"/>
    <row r="141676" s="12" customFormat="1" x14ac:dyDescent="0.25"/>
    <row r="141677" s="12" customFormat="1" x14ac:dyDescent="0.25"/>
    <row r="141678" s="12" customFormat="1" x14ac:dyDescent="0.25"/>
    <row r="141679" s="12" customFormat="1" x14ac:dyDescent="0.25"/>
    <row r="141680" s="12" customFormat="1" x14ac:dyDescent="0.25"/>
    <row r="141681" s="12" customFormat="1" x14ac:dyDescent="0.25"/>
    <row r="141682" s="12" customFormat="1" x14ac:dyDescent="0.25"/>
    <row r="141683" s="12" customFormat="1" x14ac:dyDescent="0.25"/>
    <row r="141684" s="12" customFormat="1" x14ac:dyDescent="0.25"/>
    <row r="141685" s="12" customFormat="1" x14ac:dyDescent="0.25"/>
    <row r="141686" s="12" customFormat="1" x14ac:dyDescent="0.25"/>
    <row r="141687" s="12" customFormat="1" x14ac:dyDescent="0.25"/>
    <row r="141688" s="12" customFormat="1" x14ac:dyDescent="0.25"/>
    <row r="141689" s="12" customFormat="1" x14ac:dyDescent="0.25"/>
    <row r="141690" s="12" customFormat="1" x14ac:dyDescent="0.25"/>
    <row r="141691" s="12" customFormat="1" x14ac:dyDescent="0.25"/>
    <row r="141692" s="12" customFormat="1" x14ac:dyDescent="0.25"/>
    <row r="141693" s="12" customFormat="1" x14ac:dyDescent="0.25"/>
    <row r="141694" s="12" customFormat="1" x14ac:dyDescent="0.25"/>
    <row r="141695" s="12" customFormat="1" x14ac:dyDescent="0.25"/>
    <row r="141696" s="12" customFormat="1" x14ac:dyDescent="0.25"/>
    <row r="141697" s="12" customFormat="1" x14ac:dyDescent="0.25"/>
    <row r="141698" s="12" customFormat="1" x14ac:dyDescent="0.25"/>
    <row r="141699" s="12" customFormat="1" x14ac:dyDescent="0.25"/>
    <row r="141700" s="12" customFormat="1" x14ac:dyDescent="0.25"/>
    <row r="141701" s="12" customFormat="1" x14ac:dyDescent="0.25"/>
    <row r="141702" s="12" customFormat="1" x14ac:dyDescent="0.25"/>
    <row r="141703" s="12" customFormat="1" x14ac:dyDescent="0.25"/>
    <row r="141704" s="12" customFormat="1" x14ac:dyDescent="0.25"/>
    <row r="141705" s="12" customFormat="1" x14ac:dyDescent="0.25"/>
    <row r="141706" s="12" customFormat="1" x14ac:dyDescent="0.25"/>
    <row r="141707" s="12" customFormat="1" x14ac:dyDescent="0.25"/>
    <row r="141708" s="12" customFormat="1" x14ac:dyDescent="0.25"/>
    <row r="141709" s="12" customFormat="1" x14ac:dyDescent="0.25"/>
    <row r="141710" s="12" customFormat="1" x14ac:dyDescent="0.25"/>
    <row r="141711" s="12" customFormat="1" x14ac:dyDescent="0.25"/>
    <row r="141712" s="12" customFormat="1" x14ac:dyDescent="0.25"/>
    <row r="141713" s="12" customFormat="1" x14ac:dyDescent="0.25"/>
    <row r="141714" s="12" customFormat="1" x14ac:dyDescent="0.25"/>
    <row r="141715" s="12" customFormat="1" x14ac:dyDescent="0.25"/>
    <row r="141716" s="12" customFormat="1" x14ac:dyDescent="0.25"/>
    <row r="141717" s="12" customFormat="1" x14ac:dyDescent="0.25"/>
    <row r="141718" s="12" customFormat="1" x14ac:dyDescent="0.25"/>
    <row r="141719" s="12" customFormat="1" x14ac:dyDescent="0.25"/>
    <row r="141720" s="12" customFormat="1" x14ac:dyDescent="0.25"/>
    <row r="141721" s="12" customFormat="1" x14ac:dyDescent="0.25"/>
    <row r="141722" s="12" customFormat="1" x14ac:dyDescent="0.25"/>
    <row r="141723" s="12" customFormat="1" x14ac:dyDescent="0.25"/>
    <row r="141724" s="12" customFormat="1" x14ac:dyDescent="0.25"/>
    <row r="141725" s="12" customFormat="1" x14ac:dyDescent="0.25"/>
    <row r="141726" s="12" customFormat="1" x14ac:dyDescent="0.25"/>
    <row r="141727" s="12" customFormat="1" x14ac:dyDescent="0.25"/>
    <row r="141728" s="12" customFormat="1" x14ac:dyDescent="0.25"/>
    <row r="141729" s="12" customFormat="1" x14ac:dyDescent="0.25"/>
    <row r="141730" s="12" customFormat="1" x14ac:dyDescent="0.25"/>
    <row r="141731" s="12" customFormat="1" x14ac:dyDescent="0.25"/>
    <row r="141732" s="12" customFormat="1" x14ac:dyDescent="0.25"/>
    <row r="141733" s="12" customFormat="1" x14ac:dyDescent="0.25"/>
    <row r="141734" s="12" customFormat="1" x14ac:dyDescent="0.25"/>
    <row r="141735" s="12" customFormat="1" x14ac:dyDescent="0.25"/>
    <row r="141736" s="12" customFormat="1" x14ac:dyDescent="0.25"/>
    <row r="141737" s="12" customFormat="1" x14ac:dyDescent="0.25"/>
    <row r="141738" s="12" customFormat="1" x14ac:dyDescent="0.25"/>
    <row r="141739" s="12" customFormat="1" x14ac:dyDescent="0.25"/>
    <row r="141740" s="12" customFormat="1" x14ac:dyDescent="0.25"/>
    <row r="141741" s="12" customFormat="1" x14ac:dyDescent="0.25"/>
    <row r="141742" s="12" customFormat="1" x14ac:dyDescent="0.25"/>
    <row r="141743" s="12" customFormat="1" x14ac:dyDescent="0.25"/>
    <row r="141744" s="12" customFormat="1" x14ac:dyDescent="0.25"/>
    <row r="141745" s="12" customFormat="1" x14ac:dyDescent="0.25"/>
    <row r="141746" s="12" customFormat="1" x14ac:dyDescent="0.25"/>
    <row r="141747" s="12" customFormat="1" x14ac:dyDescent="0.25"/>
    <row r="141748" s="12" customFormat="1" x14ac:dyDescent="0.25"/>
    <row r="141749" s="12" customFormat="1" x14ac:dyDescent="0.25"/>
    <row r="141750" s="12" customFormat="1" x14ac:dyDescent="0.25"/>
    <row r="141751" s="12" customFormat="1" x14ac:dyDescent="0.25"/>
    <row r="141752" s="12" customFormat="1" x14ac:dyDescent="0.25"/>
    <row r="141753" s="12" customFormat="1" x14ac:dyDescent="0.25"/>
    <row r="141754" s="12" customFormat="1" x14ac:dyDescent="0.25"/>
    <row r="141755" s="12" customFormat="1" x14ac:dyDescent="0.25"/>
    <row r="141756" s="12" customFormat="1" x14ac:dyDescent="0.25"/>
    <row r="141757" s="12" customFormat="1" x14ac:dyDescent="0.25"/>
    <row r="141758" s="12" customFormat="1" x14ac:dyDescent="0.25"/>
    <row r="141759" s="12" customFormat="1" x14ac:dyDescent="0.25"/>
    <row r="141760" s="12" customFormat="1" x14ac:dyDescent="0.25"/>
    <row r="141761" s="12" customFormat="1" x14ac:dyDescent="0.25"/>
    <row r="141762" s="12" customFormat="1" x14ac:dyDescent="0.25"/>
    <row r="141763" s="12" customFormat="1" x14ac:dyDescent="0.25"/>
    <row r="141764" s="12" customFormat="1" x14ac:dyDescent="0.25"/>
    <row r="141765" s="12" customFormat="1" x14ac:dyDescent="0.25"/>
    <row r="141766" s="12" customFormat="1" x14ac:dyDescent="0.25"/>
    <row r="141767" s="12" customFormat="1" x14ac:dyDescent="0.25"/>
    <row r="141768" s="12" customFormat="1" x14ac:dyDescent="0.25"/>
    <row r="141769" s="12" customFormat="1" x14ac:dyDescent="0.25"/>
    <row r="141770" s="12" customFormat="1" x14ac:dyDescent="0.25"/>
    <row r="141771" s="12" customFormat="1" x14ac:dyDescent="0.25"/>
    <row r="141772" s="12" customFormat="1" x14ac:dyDescent="0.25"/>
    <row r="141773" s="12" customFormat="1" x14ac:dyDescent="0.25"/>
    <row r="141774" s="12" customFormat="1" x14ac:dyDescent="0.25"/>
    <row r="141775" s="12" customFormat="1" x14ac:dyDescent="0.25"/>
    <row r="141776" s="12" customFormat="1" x14ac:dyDescent="0.25"/>
    <row r="141777" s="12" customFormat="1" x14ac:dyDescent="0.25"/>
    <row r="141778" s="12" customFormat="1" x14ac:dyDescent="0.25"/>
    <row r="141779" s="12" customFormat="1" x14ac:dyDescent="0.25"/>
    <row r="141780" s="12" customFormat="1" x14ac:dyDescent="0.25"/>
    <row r="141781" s="12" customFormat="1" x14ac:dyDescent="0.25"/>
    <row r="141782" s="12" customFormat="1" x14ac:dyDescent="0.25"/>
    <row r="141783" s="12" customFormat="1" x14ac:dyDescent="0.25"/>
    <row r="141784" s="12" customFormat="1" x14ac:dyDescent="0.25"/>
    <row r="141785" s="12" customFormat="1" x14ac:dyDescent="0.25"/>
    <row r="141786" s="12" customFormat="1" x14ac:dyDescent="0.25"/>
    <row r="141787" s="12" customFormat="1" x14ac:dyDescent="0.25"/>
    <row r="141788" s="12" customFormat="1" x14ac:dyDescent="0.25"/>
    <row r="141789" s="12" customFormat="1" x14ac:dyDescent="0.25"/>
    <row r="141790" s="12" customFormat="1" x14ac:dyDescent="0.25"/>
    <row r="141791" s="12" customFormat="1" x14ac:dyDescent="0.25"/>
    <row r="141792" s="12" customFormat="1" x14ac:dyDescent="0.25"/>
    <row r="141793" s="12" customFormat="1" x14ac:dyDescent="0.25"/>
    <row r="141794" s="12" customFormat="1" x14ac:dyDescent="0.25"/>
    <row r="141795" s="12" customFormat="1" x14ac:dyDescent="0.25"/>
    <row r="141796" s="12" customFormat="1" x14ac:dyDescent="0.25"/>
    <row r="141797" s="12" customFormat="1" x14ac:dyDescent="0.25"/>
    <row r="141798" s="12" customFormat="1" x14ac:dyDescent="0.25"/>
    <row r="141799" s="12" customFormat="1" x14ac:dyDescent="0.25"/>
    <row r="141800" s="12" customFormat="1" x14ac:dyDescent="0.25"/>
    <row r="141801" s="12" customFormat="1" x14ac:dyDescent="0.25"/>
    <row r="141802" s="12" customFormat="1" x14ac:dyDescent="0.25"/>
    <row r="141803" s="12" customFormat="1" x14ac:dyDescent="0.25"/>
    <row r="141804" s="12" customFormat="1" x14ac:dyDescent="0.25"/>
    <row r="141805" s="12" customFormat="1" x14ac:dyDescent="0.25"/>
    <row r="141806" s="12" customFormat="1" x14ac:dyDescent="0.25"/>
    <row r="141807" s="12" customFormat="1" x14ac:dyDescent="0.25"/>
    <row r="141808" s="12" customFormat="1" x14ac:dyDescent="0.25"/>
    <row r="141809" s="12" customFormat="1" x14ac:dyDescent="0.25"/>
    <row r="141810" s="12" customFormat="1" x14ac:dyDescent="0.25"/>
    <row r="141811" s="12" customFormat="1" x14ac:dyDescent="0.25"/>
    <row r="141812" s="12" customFormat="1" x14ac:dyDescent="0.25"/>
    <row r="141813" s="12" customFormat="1" x14ac:dyDescent="0.25"/>
    <row r="141814" s="12" customFormat="1" x14ac:dyDescent="0.25"/>
    <row r="141815" s="12" customFormat="1" x14ac:dyDescent="0.25"/>
    <row r="141816" s="12" customFormat="1" x14ac:dyDescent="0.25"/>
    <row r="141817" s="12" customFormat="1" x14ac:dyDescent="0.25"/>
    <row r="141818" s="12" customFormat="1" x14ac:dyDescent="0.25"/>
    <row r="141819" s="12" customFormat="1" x14ac:dyDescent="0.25"/>
    <row r="141820" s="12" customFormat="1" x14ac:dyDescent="0.25"/>
    <row r="141821" s="12" customFormat="1" x14ac:dyDescent="0.25"/>
    <row r="141822" s="12" customFormat="1" x14ac:dyDescent="0.25"/>
    <row r="141823" s="12" customFormat="1" x14ac:dyDescent="0.25"/>
    <row r="141824" s="12" customFormat="1" x14ac:dyDescent="0.25"/>
    <row r="141825" s="12" customFormat="1" x14ac:dyDescent="0.25"/>
    <row r="141826" s="12" customFormat="1" x14ac:dyDescent="0.25"/>
    <row r="141827" s="12" customFormat="1" x14ac:dyDescent="0.25"/>
    <row r="141828" s="12" customFormat="1" x14ac:dyDescent="0.25"/>
    <row r="141829" s="12" customFormat="1" x14ac:dyDescent="0.25"/>
    <row r="141830" s="12" customFormat="1" x14ac:dyDescent="0.25"/>
    <row r="141831" s="12" customFormat="1" x14ac:dyDescent="0.25"/>
    <row r="141832" s="12" customFormat="1" x14ac:dyDescent="0.25"/>
    <row r="141833" s="12" customFormat="1" x14ac:dyDescent="0.25"/>
    <row r="141834" s="12" customFormat="1" x14ac:dyDescent="0.25"/>
    <row r="141835" s="12" customFormat="1" x14ac:dyDescent="0.25"/>
    <row r="141836" s="12" customFormat="1" x14ac:dyDescent="0.25"/>
    <row r="141837" s="12" customFormat="1" x14ac:dyDescent="0.25"/>
    <row r="141838" s="12" customFormat="1" x14ac:dyDescent="0.25"/>
    <row r="141839" s="12" customFormat="1" x14ac:dyDescent="0.25"/>
    <row r="141840" s="12" customFormat="1" x14ac:dyDescent="0.25"/>
    <row r="141841" s="12" customFormat="1" x14ac:dyDescent="0.25"/>
    <row r="141842" s="12" customFormat="1" x14ac:dyDescent="0.25"/>
    <row r="141843" s="12" customFormat="1" x14ac:dyDescent="0.25"/>
    <row r="141844" s="12" customFormat="1" x14ac:dyDescent="0.25"/>
    <row r="141845" s="12" customFormat="1" x14ac:dyDescent="0.25"/>
    <row r="141846" s="12" customFormat="1" x14ac:dyDescent="0.25"/>
    <row r="141847" s="12" customFormat="1" x14ac:dyDescent="0.25"/>
    <row r="141848" s="12" customFormat="1" x14ac:dyDescent="0.25"/>
    <row r="141849" s="12" customFormat="1" x14ac:dyDescent="0.25"/>
    <row r="141850" s="12" customFormat="1" x14ac:dyDescent="0.25"/>
    <row r="141851" s="12" customFormat="1" x14ac:dyDescent="0.25"/>
    <row r="141852" s="12" customFormat="1" x14ac:dyDescent="0.25"/>
    <row r="141853" s="12" customFormat="1" x14ac:dyDescent="0.25"/>
    <row r="141854" s="12" customFormat="1" x14ac:dyDescent="0.25"/>
    <row r="141855" s="12" customFormat="1" x14ac:dyDescent="0.25"/>
    <row r="141856" s="12" customFormat="1" x14ac:dyDescent="0.25"/>
    <row r="141857" s="12" customFormat="1" x14ac:dyDescent="0.25"/>
    <row r="141858" s="12" customFormat="1" x14ac:dyDescent="0.25"/>
    <row r="141859" s="12" customFormat="1" x14ac:dyDescent="0.25"/>
    <row r="141860" s="12" customFormat="1" x14ac:dyDescent="0.25"/>
    <row r="141861" s="12" customFormat="1" x14ac:dyDescent="0.25"/>
    <row r="141862" s="12" customFormat="1" x14ac:dyDescent="0.25"/>
    <row r="141863" s="12" customFormat="1" x14ac:dyDescent="0.25"/>
    <row r="141864" s="12" customFormat="1" x14ac:dyDescent="0.25"/>
    <row r="141865" s="12" customFormat="1" x14ac:dyDescent="0.25"/>
    <row r="141866" s="12" customFormat="1" x14ac:dyDescent="0.25"/>
    <row r="141867" s="12" customFormat="1" x14ac:dyDescent="0.25"/>
    <row r="141868" s="12" customFormat="1" x14ac:dyDescent="0.25"/>
    <row r="141869" s="12" customFormat="1" x14ac:dyDescent="0.25"/>
    <row r="141870" s="12" customFormat="1" x14ac:dyDescent="0.25"/>
    <row r="141871" s="12" customFormat="1" x14ac:dyDescent="0.25"/>
    <row r="141872" s="12" customFormat="1" x14ac:dyDescent="0.25"/>
    <row r="141873" s="12" customFormat="1" x14ac:dyDescent="0.25"/>
    <row r="141874" s="12" customFormat="1" x14ac:dyDescent="0.25"/>
    <row r="141875" s="12" customFormat="1" x14ac:dyDescent="0.25"/>
    <row r="141876" s="12" customFormat="1" x14ac:dyDescent="0.25"/>
    <row r="141877" s="12" customFormat="1" x14ac:dyDescent="0.25"/>
    <row r="141878" s="12" customFormat="1" x14ac:dyDescent="0.25"/>
    <row r="141879" s="12" customFormat="1" x14ac:dyDescent="0.25"/>
    <row r="141880" s="12" customFormat="1" x14ac:dyDescent="0.25"/>
    <row r="141881" s="12" customFormat="1" x14ac:dyDescent="0.25"/>
    <row r="141882" s="12" customFormat="1" x14ac:dyDescent="0.25"/>
    <row r="141883" s="12" customFormat="1" x14ac:dyDescent="0.25"/>
    <row r="141884" s="12" customFormat="1" x14ac:dyDescent="0.25"/>
    <row r="141885" s="12" customFormat="1" x14ac:dyDescent="0.25"/>
    <row r="141886" s="12" customFormat="1" x14ac:dyDescent="0.25"/>
    <row r="141887" s="12" customFormat="1" x14ac:dyDescent="0.25"/>
    <row r="141888" s="12" customFormat="1" x14ac:dyDescent="0.25"/>
    <row r="141889" s="12" customFormat="1" x14ac:dyDescent="0.25"/>
    <row r="141890" s="12" customFormat="1" x14ac:dyDescent="0.25"/>
    <row r="141891" s="12" customFormat="1" x14ac:dyDescent="0.25"/>
    <row r="141892" s="12" customFormat="1" x14ac:dyDescent="0.25"/>
    <row r="141893" s="12" customFormat="1" x14ac:dyDescent="0.25"/>
    <row r="141894" s="12" customFormat="1" x14ac:dyDescent="0.25"/>
    <row r="141895" s="12" customFormat="1" x14ac:dyDescent="0.25"/>
    <row r="141896" s="12" customFormat="1" x14ac:dyDescent="0.25"/>
    <row r="141897" s="12" customFormat="1" x14ac:dyDescent="0.25"/>
    <row r="141898" s="12" customFormat="1" x14ac:dyDescent="0.25"/>
    <row r="141899" s="12" customFormat="1" x14ac:dyDescent="0.25"/>
    <row r="141900" s="12" customFormat="1" x14ac:dyDescent="0.25"/>
    <row r="141901" s="12" customFormat="1" x14ac:dyDescent="0.25"/>
    <row r="141902" s="12" customFormat="1" x14ac:dyDescent="0.25"/>
    <row r="141903" s="12" customFormat="1" x14ac:dyDescent="0.25"/>
    <row r="141904" s="12" customFormat="1" x14ac:dyDescent="0.25"/>
    <row r="141905" s="12" customFormat="1" x14ac:dyDescent="0.25"/>
    <row r="141906" s="12" customFormat="1" x14ac:dyDescent="0.25"/>
    <row r="141907" s="12" customFormat="1" x14ac:dyDescent="0.25"/>
    <row r="141908" s="12" customFormat="1" x14ac:dyDescent="0.25"/>
    <row r="141909" s="12" customFormat="1" x14ac:dyDescent="0.25"/>
    <row r="141910" s="12" customFormat="1" x14ac:dyDescent="0.25"/>
    <row r="141911" s="12" customFormat="1" x14ac:dyDescent="0.25"/>
    <row r="141912" s="12" customFormat="1" x14ac:dyDescent="0.25"/>
    <row r="141913" s="12" customFormat="1" x14ac:dyDescent="0.25"/>
    <row r="141914" s="12" customFormat="1" x14ac:dyDescent="0.25"/>
    <row r="141915" s="12" customFormat="1" x14ac:dyDescent="0.25"/>
    <row r="141916" s="12" customFormat="1" x14ac:dyDescent="0.25"/>
    <row r="141917" s="12" customFormat="1" x14ac:dyDescent="0.25"/>
    <row r="141918" s="12" customFormat="1" x14ac:dyDescent="0.25"/>
    <row r="141919" s="12" customFormat="1" x14ac:dyDescent="0.25"/>
    <row r="141920" s="12" customFormat="1" x14ac:dyDescent="0.25"/>
    <row r="141921" s="12" customFormat="1" x14ac:dyDescent="0.25"/>
    <row r="141922" s="12" customFormat="1" x14ac:dyDescent="0.25"/>
    <row r="141923" s="12" customFormat="1" x14ac:dyDescent="0.25"/>
    <row r="141924" s="12" customFormat="1" x14ac:dyDescent="0.25"/>
    <row r="141925" s="12" customFormat="1" x14ac:dyDescent="0.25"/>
    <row r="141926" s="12" customFormat="1" x14ac:dyDescent="0.25"/>
    <row r="141927" s="12" customFormat="1" x14ac:dyDescent="0.25"/>
    <row r="141928" s="12" customFormat="1" x14ac:dyDescent="0.25"/>
    <row r="141929" s="12" customFormat="1" x14ac:dyDescent="0.25"/>
    <row r="141930" s="12" customFormat="1" x14ac:dyDescent="0.25"/>
    <row r="141931" s="12" customFormat="1" x14ac:dyDescent="0.25"/>
    <row r="141932" s="12" customFormat="1" x14ac:dyDescent="0.25"/>
    <row r="141933" s="12" customFormat="1" x14ac:dyDescent="0.25"/>
    <row r="141934" s="12" customFormat="1" x14ac:dyDescent="0.25"/>
    <row r="141935" s="12" customFormat="1" x14ac:dyDescent="0.25"/>
    <row r="141936" s="12" customFormat="1" x14ac:dyDescent="0.25"/>
    <row r="141937" s="12" customFormat="1" x14ac:dyDescent="0.25"/>
    <row r="141938" s="12" customFormat="1" x14ac:dyDescent="0.25"/>
    <row r="141939" s="12" customFormat="1" x14ac:dyDescent="0.25"/>
    <row r="141940" s="12" customFormat="1" x14ac:dyDescent="0.25"/>
    <row r="141941" s="12" customFormat="1" x14ac:dyDescent="0.25"/>
    <row r="141942" s="12" customFormat="1" x14ac:dyDescent="0.25"/>
    <row r="141943" s="12" customFormat="1" x14ac:dyDescent="0.25"/>
    <row r="141944" s="12" customFormat="1" x14ac:dyDescent="0.25"/>
    <row r="141945" s="12" customFormat="1" x14ac:dyDescent="0.25"/>
    <row r="141946" s="12" customFormat="1" x14ac:dyDescent="0.25"/>
    <row r="141947" s="12" customFormat="1" x14ac:dyDescent="0.25"/>
    <row r="141948" s="12" customFormat="1" x14ac:dyDescent="0.25"/>
    <row r="141949" s="12" customFormat="1" x14ac:dyDescent="0.25"/>
    <row r="141950" s="12" customFormat="1" x14ac:dyDescent="0.25"/>
    <row r="141951" s="12" customFormat="1" x14ac:dyDescent="0.25"/>
    <row r="141952" s="12" customFormat="1" x14ac:dyDescent="0.25"/>
    <row r="141953" s="12" customFormat="1" x14ac:dyDescent="0.25"/>
    <row r="141954" s="12" customFormat="1" x14ac:dyDescent="0.25"/>
    <row r="141955" s="12" customFormat="1" x14ac:dyDescent="0.25"/>
    <row r="141956" s="12" customFormat="1" x14ac:dyDescent="0.25"/>
    <row r="141957" s="12" customFormat="1" x14ac:dyDescent="0.25"/>
    <row r="141958" s="12" customFormat="1" x14ac:dyDescent="0.25"/>
    <row r="141959" s="12" customFormat="1" x14ac:dyDescent="0.25"/>
    <row r="141960" s="12" customFormat="1" x14ac:dyDescent="0.25"/>
    <row r="141961" s="12" customFormat="1" x14ac:dyDescent="0.25"/>
    <row r="141962" s="12" customFormat="1" x14ac:dyDescent="0.25"/>
    <row r="141963" s="12" customFormat="1" x14ac:dyDescent="0.25"/>
    <row r="141964" s="12" customFormat="1" x14ac:dyDescent="0.25"/>
    <row r="141965" s="12" customFormat="1" x14ac:dyDescent="0.25"/>
    <row r="141966" s="12" customFormat="1" x14ac:dyDescent="0.25"/>
    <row r="141967" s="12" customFormat="1" x14ac:dyDescent="0.25"/>
    <row r="141968" s="12" customFormat="1" x14ac:dyDescent="0.25"/>
    <row r="141969" s="12" customFormat="1" x14ac:dyDescent="0.25"/>
    <row r="141970" s="12" customFormat="1" x14ac:dyDescent="0.25"/>
    <row r="141971" s="12" customFormat="1" x14ac:dyDescent="0.25"/>
    <row r="141972" s="12" customFormat="1" x14ac:dyDescent="0.25"/>
    <row r="141973" s="12" customFormat="1" x14ac:dyDescent="0.25"/>
    <row r="141974" s="12" customFormat="1" x14ac:dyDescent="0.25"/>
    <row r="141975" s="12" customFormat="1" x14ac:dyDescent="0.25"/>
    <row r="141976" s="12" customFormat="1" x14ac:dyDescent="0.25"/>
    <row r="141977" s="12" customFormat="1" x14ac:dyDescent="0.25"/>
    <row r="141978" s="12" customFormat="1" x14ac:dyDescent="0.25"/>
    <row r="141979" s="12" customFormat="1" x14ac:dyDescent="0.25"/>
    <row r="141980" s="12" customFormat="1" x14ac:dyDescent="0.25"/>
    <row r="141981" s="12" customFormat="1" x14ac:dyDescent="0.25"/>
    <row r="141982" s="12" customFormat="1" x14ac:dyDescent="0.25"/>
    <row r="141983" s="12" customFormat="1" x14ac:dyDescent="0.25"/>
    <row r="141984" s="12" customFormat="1" x14ac:dyDescent="0.25"/>
    <row r="141985" s="12" customFormat="1" x14ac:dyDescent="0.25"/>
    <row r="141986" s="12" customFormat="1" x14ac:dyDescent="0.25"/>
    <row r="141987" s="12" customFormat="1" x14ac:dyDescent="0.25"/>
    <row r="141988" s="12" customFormat="1" x14ac:dyDescent="0.25"/>
    <row r="141989" s="12" customFormat="1" x14ac:dyDescent="0.25"/>
    <row r="141990" s="12" customFormat="1" x14ac:dyDescent="0.25"/>
    <row r="141991" s="12" customFormat="1" x14ac:dyDescent="0.25"/>
    <row r="141992" s="12" customFormat="1" x14ac:dyDescent="0.25"/>
    <row r="141993" s="12" customFormat="1" x14ac:dyDescent="0.25"/>
    <row r="141994" s="12" customFormat="1" x14ac:dyDescent="0.25"/>
    <row r="141995" s="12" customFormat="1" x14ac:dyDescent="0.25"/>
    <row r="141996" s="12" customFormat="1" x14ac:dyDescent="0.25"/>
    <row r="141997" s="12" customFormat="1" x14ac:dyDescent="0.25"/>
    <row r="141998" s="12" customFormat="1" x14ac:dyDescent="0.25"/>
    <row r="141999" s="12" customFormat="1" x14ac:dyDescent="0.25"/>
    <row r="142000" s="12" customFormat="1" x14ac:dyDescent="0.25"/>
    <row r="142001" s="12" customFormat="1" x14ac:dyDescent="0.25"/>
    <row r="142002" s="12" customFormat="1" x14ac:dyDescent="0.25"/>
    <row r="142003" s="12" customFormat="1" x14ac:dyDescent="0.25"/>
    <row r="142004" s="12" customFormat="1" x14ac:dyDescent="0.25"/>
    <row r="142005" s="12" customFormat="1" x14ac:dyDescent="0.25"/>
    <row r="142006" s="12" customFormat="1" x14ac:dyDescent="0.25"/>
    <row r="142007" s="12" customFormat="1" x14ac:dyDescent="0.25"/>
    <row r="142008" s="12" customFormat="1" x14ac:dyDescent="0.25"/>
    <row r="142009" s="12" customFormat="1" x14ac:dyDescent="0.25"/>
    <row r="142010" s="12" customFormat="1" x14ac:dyDescent="0.25"/>
    <row r="142011" s="12" customFormat="1" x14ac:dyDescent="0.25"/>
    <row r="142012" s="12" customFormat="1" x14ac:dyDescent="0.25"/>
    <row r="142013" s="12" customFormat="1" x14ac:dyDescent="0.25"/>
    <row r="142014" s="12" customFormat="1" x14ac:dyDescent="0.25"/>
    <row r="142015" s="12" customFormat="1" x14ac:dyDescent="0.25"/>
    <row r="142016" s="12" customFormat="1" x14ac:dyDescent="0.25"/>
    <row r="142017" s="12" customFormat="1" x14ac:dyDescent="0.25"/>
    <row r="142018" s="12" customFormat="1" x14ac:dyDescent="0.25"/>
    <row r="142019" s="12" customFormat="1" x14ac:dyDescent="0.25"/>
    <row r="142020" s="12" customFormat="1" x14ac:dyDescent="0.25"/>
    <row r="142021" s="12" customFormat="1" x14ac:dyDescent="0.25"/>
    <row r="142022" s="12" customFormat="1" x14ac:dyDescent="0.25"/>
    <row r="142023" s="12" customFormat="1" x14ac:dyDescent="0.25"/>
    <row r="142024" s="12" customFormat="1" x14ac:dyDescent="0.25"/>
    <row r="142025" s="12" customFormat="1" x14ac:dyDescent="0.25"/>
    <row r="142026" s="12" customFormat="1" x14ac:dyDescent="0.25"/>
    <row r="142027" s="12" customFormat="1" x14ac:dyDescent="0.25"/>
    <row r="142028" s="12" customFormat="1" x14ac:dyDescent="0.25"/>
    <row r="142029" s="12" customFormat="1" x14ac:dyDescent="0.25"/>
    <row r="142030" s="12" customFormat="1" x14ac:dyDescent="0.25"/>
    <row r="142031" s="12" customFormat="1" x14ac:dyDescent="0.25"/>
    <row r="142032" s="12" customFormat="1" x14ac:dyDescent="0.25"/>
    <row r="142033" s="12" customFormat="1" x14ac:dyDescent="0.25"/>
    <row r="142034" s="12" customFormat="1" x14ac:dyDescent="0.25"/>
    <row r="142035" s="12" customFormat="1" x14ac:dyDescent="0.25"/>
    <row r="142036" s="12" customFormat="1" x14ac:dyDescent="0.25"/>
    <row r="142037" s="12" customFormat="1" x14ac:dyDescent="0.25"/>
    <row r="142038" s="12" customFormat="1" x14ac:dyDescent="0.25"/>
    <row r="142039" s="12" customFormat="1" x14ac:dyDescent="0.25"/>
    <row r="142040" s="12" customFormat="1" x14ac:dyDescent="0.25"/>
    <row r="142041" s="12" customFormat="1" x14ac:dyDescent="0.25"/>
    <row r="142042" s="12" customFormat="1" x14ac:dyDescent="0.25"/>
    <row r="142043" s="12" customFormat="1" x14ac:dyDescent="0.25"/>
    <row r="142044" s="12" customFormat="1" x14ac:dyDescent="0.25"/>
    <row r="142045" s="12" customFormat="1" x14ac:dyDescent="0.25"/>
    <row r="142046" s="12" customFormat="1" x14ac:dyDescent="0.25"/>
    <row r="142047" s="12" customFormat="1" x14ac:dyDescent="0.25"/>
    <row r="142048" s="12" customFormat="1" x14ac:dyDescent="0.25"/>
    <row r="142049" s="12" customFormat="1" x14ac:dyDescent="0.25"/>
    <row r="142050" s="12" customFormat="1" x14ac:dyDescent="0.25"/>
    <row r="142051" s="12" customFormat="1" x14ac:dyDescent="0.25"/>
    <row r="142052" s="12" customFormat="1" x14ac:dyDescent="0.25"/>
    <row r="142053" s="12" customFormat="1" x14ac:dyDescent="0.25"/>
    <row r="142054" s="12" customFormat="1" x14ac:dyDescent="0.25"/>
    <row r="142055" s="12" customFormat="1" x14ac:dyDescent="0.25"/>
    <row r="142056" s="12" customFormat="1" x14ac:dyDescent="0.25"/>
    <row r="142057" s="12" customFormat="1" x14ac:dyDescent="0.25"/>
    <row r="142058" s="12" customFormat="1" x14ac:dyDescent="0.25"/>
    <row r="142059" s="12" customFormat="1" x14ac:dyDescent="0.25"/>
    <row r="142060" s="12" customFormat="1" x14ac:dyDescent="0.25"/>
    <row r="142061" s="12" customFormat="1" x14ac:dyDescent="0.25"/>
    <row r="142062" s="12" customFormat="1" x14ac:dyDescent="0.25"/>
    <row r="142063" s="12" customFormat="1" x14ac:dyDescent="0.25"/>
    <row r="142064" s="12" customFormat="1" x14ac:dyDescent="0.25"/>
    <row r="142065" s="12" customFormat="1" x14ac:dyDescent="0.25"/>
    <row r="142066" s="12" customFormat="1" x14ac:dyDescent="0.25"/>
    <row r="142067" s="12" customFormat="1" x14ac:dyDescent="0.25"/>
    <row r="142068" s="12" customFormat="1" x14ac:dyDescent="0.25"/>
    <row r="142069" s="12" customFormat="1" x14ac:dyDescent="0.25"/>
    <row r="142070" s="12" customFormat="1" x14ac:dyDescent="0.25"/>
    <row r="142071" s="12" customFormat="1" x14ac:dyDescent="0.25"/>
    <row r="142072" s="12" customFormat="1" x14ac:dyDescent="0.25"/>
    <row r="142073" s="12" customFormat="1" x14ac:dyDescent="0.25"/>
    <row r="142074" s="12" customFormat="1" x14ac:dyDescent="0.25"/>
    <row r="142075" s="12" customFormat="1" x14ac:dyDescent="0.25"/>
    <row r="142076" s="12" customFormat="1" x14ac:dyDescent="0.25"/>
    <row r="142077" s="12" customFormat="1" x14ac:dyDescent="0.25"/>
    <row r="142078" s="12" customFormat="1" x14ac:dyDescent="0.25"/>
    <row r="142079" s="12" customFormat="1" x14ac:dyDescent="0.25"/>
    <row r="142080" s="12" customFormat="1" x14ac:dyDescent="0.25"/>
    <row r="142081" s="12" customFormat="1" x14ac:dyDescent="0.25"/>
    <row r="142082" s="12" customFormat="1" x14ac:dyDescent="0.25"/>
    <row r="142083" s="12" customFormat="1" x14ac:dyDescent="0.25"/>
    <row r="142084" s="12" customFormat="1" x14ac:dyDescent="0.25"/>
    <row r="142085" s="12" customFormat="1" x14ac:dyDescent="0.25"/>
    <row r="142086" s="12" customFormat="1" x14ac:dyDescent="0.25"/>
    <row r="142087" s="12" customFormat="1" x14ac:dyDescent="0.25"/>
    <row r="142088" s="12" customFormat="1" x14ac:dyDescent="0.25"/>
    <row r="142089" s="12" customFormat="1" x14ac:dyDescent="0.25"/>
    <row r="142090" s="12" customFormat="1" x14ac:dyDescent="0.25"/>
    <row r="142091" s="12" customFormat="1" x14ac:dyDescent="0.25"/>
    <row r="142092" s="12" customFormat="1" x14ac:dyDescent="0.25"/>
    <row r="142093" s="12" customFormat="1" x14ac:dyDescent="0.25"/>
    <row r="142094" s="12" customFormat="1" x14ac:dyDescent="0.25"/>
    <row r="142095" s="12" customFormat="1" x14ac:dyDescent="0.25"/>
    <row r="142096" s="12" customFormat="1" x14ac:dyDescent="0.25"/>
    <row r="142097" s="12" customFormat="1" x14ac:dyDescent="0.25"/>
    <row r="142098" s="12" customFormat="1" x14ac:dyDescent="0.25"/>
    <row r="142099" s="12" customFormat="1" x14ac:dyDescent="0.25"/>
    <row r="142100" s="12" customFormat="1" x14ac:dyDescent="0.25"/>
    <row r="142101" s="12" customFormat="1" x14ac:dyDescent="0.25"/>
    <row r="142102" s="12" customFormat="1" x14ac:dyDescent="0.25"/>
    <row r="142103" s="12" customFormat="1" x14ac:dyDescent="0.25"/>
    <row r="142104" s="12" customFormat="1" x14ac:dyDescent="0.25"/>
    <row r="142105" s="12" customFormat="1" x14ac:dyDescent="0.25"/>
    <row r="142106" s="12" customFormat="1" x14ac:dyDescent="0.25"/>
    <row r="142107" s="12" customFormat="1" x14ac:dyDescent="0.25"/>
    <row r="142108" s="12" customFormat="1" x14ac:dyDescent="0.25"/>
    <row r="142109" s="12" customFormat="1" x14ac:dyDescent="0.25"/>
    <row r="142110" s="12" customFormat="1" x14ac:dyDescent="0.25"/>
    <row r="142111" s="12" customFormat="1" x14ac:dyDescent="0.25"/>
    <row r="142112" s="12" customFormat="1" x14ac:dyDescent="0.25"/>
    <row r="142113" s="12" customFormat="1" x14ac:dyDescent="0.25"/>
    <row r="142114" s="12" customFormat="1" x14ac:dyDescent="0.25"/>
    <row r="142115" s="12" customFormat="1" x14ac:dyDescent="0.25"/>
    <row r="142116" s="12" customFormat="1" x14ac:dyDescent="0.25"/>
    <row r="142117" s="12" customFormat="1" x14ac:dyDescent="0.25"/>
    <row r="142118" s="12" customFormat="1" x14ac:dyDescent="0.25"/>
    <row r="142119" s="12" customFormat="1" x14ac:dyDescent="0.25"/>
    <row r="142120" s="12" customFormat="1" x14ac:dyDescent="0.25"/>
    <row r="142121" s="12" customFormat="1" x14ac:dyDescent="0.25"/>
    <row r="142122" s="12" customFormat="1" x14ac:dyDescent="0.25"/>
    <row r="142123" s="12" customFormat="1" x14ac:dyDescent="0.25"/>
    <row r="142124" s="12" customFormat="1" x14ac:dyDescent="0.25"/>
    <row r="142125" s="12" customFormat="1" x14ac:dyDescent="0.25"/>
    <row r="142126" s="12" customFormat="1" x14ac:dyDescent="0.25"/>
    <row r="142127" s="12" customFormat="1" x14ac:dyDescent="0.25"/>
    <row r="142128" s="12" customFormat="1" x14ac:dyDescent="0.25"/>
    <row r="142129" s="12" customFormat="1" x14ac:dyDescent="0.25"/>
    <row r="142130" s="12" customFormat="1" x14ac:dyDescent="0.25"/>
    <row r="142131" s="12" customFormat="1" x14ac:dyDescent="0.25"/>
    <row r="142132" s="12" customFormat="1" x14ac:dyDescent="0.25"/>
    <row r="142133" s="12" customFormat="1" x14ac:dyDescent="0.25"/>
    <row r="142134" s="12" customFormat="1" x14ac:dyDescent="0.25"/>
    <row r="142135" s="12" customFormat="1" x14ac:dyDescent="0.25"/>
    <row r="142136" s="12" customFormat="1" x14ac:dyDescent="0.25"/>
    <row r="142137" s="12" customFormat="1" x14ac:dyDescent="0.25"/>
    <row r="142138" s="12" customFormat="1" x14ac:dyDescent="0.25"/>
    <row r="142139" s="12" customFormat="1" x14ac:dyDescent="0.25"/>
    <row r="142140" s="12" customFormat="1" x14ac:dyDescent="0.25"/>
    <row r="142141" s="12" customFormat="1" x14ac:dyDescent="0.25"/>
    <row r="142142" s="12" customFormat="1" x14ac:dyDescent="0.25"/>
    <row r="142143" s="12" customFormat="1" x14ac:dyDescent="0.25"/>
    <row r="142144" s="12" customFormat="1" x14ac:dyDescent="0.25"/>
    <row r="142145" s="12" customFormat="1" x14ac:dyDescent="0.25"/>
    <row r="142146" s="12" customFormat="1" x14ac:dyDescent="0.25"/>
    <row r="142147" s="12" customFormat="1" x14ac:dyDescent="0.25"/>
    <row r="142148" s="12" customFormat="1" x14ac:dyDescent="0.25"/>
    <row r="142149" s="12" customFormat="1" x14ac:dyDescent="0.25"/>
    <row r="142150" s="12" customFormat="1" x14ac:dyDescent="0.25"/>
    <row r="142151" s="12" customFormat="1" x14ac:dyDescent="0.25"/>
    <row r="142152" s="12" customFormat="1" x14ac:dyDescent="0.25"/>
    <row r="142153" s="12" customFormat="1" x14ac:dyDescent="0.25"/>
    <row r="142154" s="12" customFormat="1" x14ac:dyDescent="0.25"/>
    <row r="142155" s="12" customFormat="1" x14ac:dyDescent="0.25"/>
    <row r="142156" s="12" customFormat="1" x14ac:dyDescent="0.25"/>
    <row r="142157" s="12" customFormat="1" x14ac:dyDescent="0.25"/>
    <row r="142158" s="12" customFormat="1" x14ac:dyDescent="0.25"/>
    <row r="142159" s="12" customFormat="1" x14ac:dyDescent="0.25"/>
    <row r="142160" s="12" customFormat="1" x14ac:dyDescent="0.25"/>
    <row r="142161" s="12" customFormat="1" x14ac:dyDescent="0.25"/>
    <row r="142162" s="12" customFormat="1" x14ac:dyDescent="0.25"/>
    <row r="142163" s="12" customFormat="1" x14ac:dyDescent="0.25"/>
    <row r="142164" s="12" customFormat="1" x14ac:dyDescent="0.25"/>
    <row r="142165" s="12" customFormat="1" x14ac:dyDescent="0.25"/>
    <row r="142166" s="12" customFormat="1" x14ac:dyDescent="0.25"/>
    <row r="142167" s="12" customFormat="1" x14ac:dyDescent="0.25"/>
    <row r="142168" s="12" customFormat="1" x14ac:dyDescent="0.25"/>
    <row r="142169" s="12" customFormat="1" x14ac:dyDescent="0.25"/>
    <row r="142170" s="12" customFormat="1" x14ac:dyDescent="0.25"/>
    <row r="142171" s="12" customFormat="1" x14ac:dyDescent="0.25"/>
    <row r="142172" s="12" customFormat="1" x14ac:dyDescent="0.25"/>
    <row r="142173" s="12" customFormat="1" x14ac:dyDescent="0.25"/>
    <row r="142174" s="12" customFormat="1" x14ac:dyDescent="0.25"/>
    <row r="142175" s="12" customFormat="1" x14ac:dyDescent="0.25"/>
    <row r="142176" s="12" customFormat="1" x14ac:dyDescent="0.25"/>
    <row r="142177" s="12" customFormat="1" x14ac:dyDescent="0.25"/>
    <row r="142178" s="12" customFormat="1" x14ac:dyDescent="0.25"/>
    <row r="142179" s="12" customFormat="1" x14ac:dyDescent="0.25"/>
    <row r="142180" s="12" customFormat="1" x14ac:dyDescent="0.25"/>
    <row r="142181" s="12" customFormat="1" x14ac:dyDescent="0.25"/>
    <row r="142182" s="12" customFormat="1" x14ac:dyDescent="0.25"/>
    <row r="142183" s="12" customFormat="1" x14ac:dyDescent="0.25"/>
    <row r="142184" s="12" customFormat="1" x14ac:dyDescent="0.25"/>
    <row r="142185" s="12" customFormat="1" x14ac:dyDescent="0.25"/>
    <row r="142186" s="12" customFormat="1" x14ac:dyDescent="0.25"/>
    <row r="142187" s="12" customFormat="1" x14ac:dyDescent="0.25"/>
    <row r="142188" s="12" customFormat="1" x14ac:dyDescent="0.25"/>
    <row r="142189" s="12" customFormat="1" x14ac:dyDescent="0.25"/>
    <row r="142190" s="12" customFormat="1" x14ac:dyDescent="0.25"/>
    <row r="142191" s="12" customFormat="1" x14ac:dyDescent="0.25"/>
    <row r="142192" s="12" customFormat="1" x14ac:dyDescent="0.25"/>
    <row r="142193" s="12" customFormat="1" x14ac:dyDescent="0.25"/>
    <row r="142194" s="12" customFormat="1" x14ac:dyDescent="0.25"/>
    <row r="142195" s="12" customFormat="1" x14ac:dyDescent="0.25"/>
    <row r="142196" s="12" customFormat="1" x14ac:dyDescent="0.25"/>
    <row r="142197" s="12" customFormat="1" x14ac:dyDescent="0.25"/>
    <row r="142198" s="12" customFormat="1" x14ac:dyDescent="0.25"/>
    <row r="142199" s="12" customFormat="1" x14ac:dyDescent="0.25"/>
    <row r="142200" s="12" customFormat="1" x14ac:dyDescent="0.25"/>
    <row r="142201" s="12" customFormat="1" x14ac:dyDescent="0.25"/>
    <row r="142202" s="12" customFormat="1" x14ac:dyDescent="0.25"/>
    <row r="142203" s="12" customFormat="1" x14ac:dyDescent="0.25"/>
    <row r="142204" s="12" customFormat="1" x14ac:dyDescent="0.25"/>
    <row r="142205" s="12" customFormat="1" x14ac:dyDescent="0.25"/>
    <row r="142206" s="12" customFormat="1" x14ac:dyDescent="0.25"/>
    <row r="142207" s="12" customFormat="1" x14ac:dyDescent="0.25"/>
    <row r="142208" s="12" customFormat="1" x14ac:dyDescent="0.25"/>
    <row r="142209" s="12" customFormat="1" x14ac:dyDescent="0.25"/>
    <row r="142210" s="12" customFormat="1" x14ac:dyDescent="0.25"/>
    <row r="142211" s="12" customFormat="1" x14ac:dyDescent="0.25"/>
    <row r="142212" s="12" customFormat="1" x14ac:dyDescent="0.25"/>
    <row r="142213" s="12" customFormat="1" x14ac:dyDescent="0.25"/>
    <row r="142214" s="12" customFormat="1" x14ac:dyDescent="0.25"/>
    <row r="142215" s="12" customFormat="1" x14ac:dyDescent="0.25"/>
    <row r="142216" s="12" customFormat="1" x14ac:dyDescent="0.25"/>
    <row r="142217" s="12" customFormat="1" x14ac:dyDescent="0.25"/>
    <row r="142218" s="12" customFormat="1" x14ac:dyDescent="0.25"/>
    <row r="142219" s="12" customFormat="1" x14ac:dyDescent="0.25"/>
    <row r="142220" s="12" customFormat="1" x14ac:dyDescent="0.25"/>
    <row r="142221" s="12" customFormat="1" x14ac:dyDescent="0.25"/>
    <row r="142222" s="12" customFormat="1" x14ac:dyDescent="0.25"/>
    <row r="142223" s="12" customFormat="1" x14ac:dyDescent="0.25"/>
    <row r="142224" s="12" customFormat="1" x14ac:dyDescent="0.25"/>
    <row r="142225" s="12" customFormat="1" x14ac:dyDescent="0.25"/>
    <row r="142226" s="12" customFormat="1" x14ac:dyDescent="0.25"/>
    <row r="142227" s="12" customFormat="1" x14ac:dyDescent="0.25"/>
    <row r="142228" s="12" customFormat="1" x14ac:dyDescent="0.25"/>
    <row r="142229" s="12" customFormat="1" x14ac:dyDescent="0.25"/>
    <row r="142230" s="12" customFormat="1" x14ac:dyDescent="0.25"/>
    <row r="142231" s="12" customFormat="1" x14ac:dyDescent="0.25"/>
    <row r="142232" s="12" customFormat="1" x14ac:dyDescent="0.25"/>
    <row r="142233" s="12" customFormat="1" x14ac:dyDescent="0.25"/>
    <row r="142234" s="12" customFormat="1" x14ac:dyDescent="0.25"/>
    <row r="142235" s="12" customFormat="1" x14ac:dyDescent="0.25"/>
    <row r="142236" s="12" customFormat="1" x14ac:dyDescent="0.25"/>
    <row r="142237" s="12" customFormat="1" x14ac:dyDescent="0.25"/>
    <row r="142238" s="12" customFormat="1" x14ac:dyDescent="0.25"/>
    <row r="142239" s="12" customFormat="1" x14ac:dyDescent="0.25"/>
    <row r="142240" s="12" customFormat="1" x14ac:dyDescent="0.25"/>
    <row r="142241" s="12" customFormat="1" x14ac:dyDescent="0.25"/>
    <row r="142242" s="12" customFormat="1" x14ac:dyDescent="0.25"/>
    <row r="142243" s="12" customFormat="1" x14ac:dyDescent="0.25"/>
    <row r="142244" s="12" customFormat="1" x14ac:dyDescent="0.25"/>
    <row r="142245" s="12" customFormat="1" x14ac:dyDescent="0.25"/>
    <row r="142246" s="12" customFormat="1" x14ac:dyDescent="0.25"/>
    <row r="142247" s="12" customFormat="1" x14ac:dyDescent="0.25"/>
    <row r="142248" s="12" customFormat="1" x14ac:dyDescent="0.25"/>
    <row r="142249" s="12" customFormat="1" x14ac:dyDescent="0.25"/>
    <row r="142250" s="12" customFormat="1" x14ac:dyDescent="0.25"/>
    <row r="142251" s="12" customFormat="1" x14ac:dyDescent="0.25"/>
    <row r="142252" s="12" customFormat="1" x14ac:dyDescent="0.25"/>
    <row r="142253" s="12" customFormat="1" x14ac:dyDescent="0.25"/>
    <row r="142254" s="12" customFormat="1" x14ac:dyDescent="0.25"/>
    <row r="142255" s="12" customFormat="1" x14ac:dyDescent="0.25"/>
    <row r="142256" s="12" customFormat="1" x14ac:dyDescent="0.25"/>
    <row r="142257" s="12" customFormat="1" x14ac:dyDescent="0.25"/>
    <row r="142258" s="12" customFormat="1" x14ac:dyDescent="0.25"/>
    <row r="142259" s="12" customFormat="1" x14ac:dyDescent="0.25"/>
    <row r="142260" s="12" customFormat="1" x14ac:dyDescent="0.25"/>
    <row r="142261" s="12" customFormat="1" x14ac:dyDescent="0.25"/>
    <row r="142262" s="12" customFormat="1" x14ac:dyDescent="0.25"/>
    <row r="142263" s="12" customFormat="1" x14ac:dyDescent="0.25"/>
    <row r="142264" s="12" customFormat="1" x14ac:dyDescent="0.25"/>
    <row r="142265" s="12" customFormat="1" x14ac:dyDescent="0.25"/>
    <row r="142266" s="12" customFormat="1" x14ac:dyDescent="0.25"/>
    <row r="142267" s="12" customFormat="1" x14ac:dyDescent="0.25"/>
    <row r="142268" s="12" customFormat="1" x14ac:dyDescent="0.25"/>
    <row r="142269" s="12" customFormat="1" x14ac:dyDescent="0.25"/>
    <row r="142270" s="12" customFormat="1" x14ac:dyDescent="0.25"/>
    <row r="142271" s="12" customFormat="1" x14ac:dyDescent="0.25"/>
    <row r="142272" s="12" customFormat="1" x14ac:dyDescent="0.25"/>
    <row r="142273" s="12" customFormat="1" x14ac:dyDescent="0.25"/>
    <row r="142274" s="12" customFormat="1" x14ac:dyDescent="0.25"/>
    <row r="142275" s="12" customFormat="1" x14ac:dyDescent="0.25"/>
    <row r="142276" s="12" customFormat="1" x14ac:dyDescent="0.25"/>
    <row r="142277" s="12" customFormat="1" x14ac:dyDescent="0.25"/>
    <row r="142278" s="12" customFormat="1" x14ac:dyDescent="0.25"/>
    <row r="142279" s="12" customFormat="1" x14ac:dyDescent="0.25"/>
    <row r="142280" s="12" customFormat="1" x14ac:dyDescent="0.25"/>
    <row r="142281" s="12" customFormat="1" x14ac:dyDescent="0.25"/>
    <row r="142282" s="12" customFormat="1" x14ac:dyDescent="0.25"/>
    <row r="142283" s="12" customFormat="1" x14ac:dyDescent="0.25"/>
    <row r="142284" s="12" customFormat="1" x14ac:dyDescent="0.25"/>
    <row r="142285" s="12" customFormat="1" x14ac:dyDescent="0.25"/>
    <row r="142286" s="12" customFormat="1" x14ac:dyDescent="0.25"/>
    <row r="142287" s="12" customFormat="1" x14ac:dyDescent="0.25"/>
    <row r="142288" s="12" customFormat="1" x14ac:dyDescent="0.25"/>
    <row r="142289" s="12" customFormat="1" x14ac:dyDescent="0.25"/>
    <row r="142290" s="12" customFormat="1" x14ac:dyDescent="0.25"/>
    <row r="142291" s="12" customFormat="1" x14ac:dyDescent="0.25"/>
    <row r="142292" s="12" customFormat="1" x14ac:dyDescent="0.25"/>
    <row r="142293" s="12" customFormat="1" x14ac:dyDescent="0.25"/>
    <row r="142294" s="12" customFormat="1" x14ac:dyDescent="0.25"/>
    <row r="142295" s="12" customFormat="1" x14ac:dyDescent="0.25"/>
    <row r="142296" s="12" customFormat="1" x14ac:dyDescent="0.25"/>
    <row r="142297" s="12" customFormat="1" x14ac:dyDescent="0.25"/>
    <row r="142298" s="12" customFormat="1" x14ac:dyDescent="0.25"/>
    <row r="142299" s="12" customFormat="1" x14ac:dyDescent="0.25"/>
    <row r="142300" s="12" customFormat="1" x14ac:dyDescent="0.25"/>
    <row r="142301" s="12" customFormat="1" x14ac:dyDescent="0.25"/>
    <row r="142302" s="12" customFormat="1" x14ac:dyDescent="0.25"/>
    <row r="142303" s="12" customFormat="1" x14ac:dyDescent="0.25"/>
    <row r="142304" s="12" customFormat="1" x14ac:dyDescent="0.25"/>
    <row r="142305" s="12" customFormat="1" x14ac:dyDescent="0.25"/>
    <row r="142306" s="12" customFormat="1" x14ac:dyDescent="0.25"/>
    <row r="142307" s="12" customFormat="1" x14ac:dyDescent="0.25"/>
    <row r="142308" s="12" customFormat="1" x14ac:dyDescent="0.25"/>
    <row r="142309" s="12" customFormat="1" x14ac:dyDescent="0.25"/>
    <row r="142310" s="12" customFormat="1" x14ac:dyDescent="0.25"/>
    <row r="142311" s="12" customFormat="1" x14ac:dyDescent="0.25"/>
    <row r="142312" s="12" customFormat="1" x14ac:dyDescent="0.25"/>
    <row r="142313" s="12" customFormat="1" x14ac:dyDescent="0.25"/>
    <row r="142314" s="12" customFormat="1" x14ac:dyDescent="0.25"/>
    <row r="142315" s="12" customFormat="1" x14ac:dyDescent="0.25"/>
    <row r="142316" s="12" customFormat="1" x14ac:dyDescent="0.25"/>
    <row r="142317" s="12" customFormat="1" x14ac:dyDescent="0.25"/>
    <row r="142318" s="12" customFormat="1" x14ac:dyDescent="0.25"/>
    <row r="142319" s="12" customFormat="1" x14ac:dyDescent="0.25"/>
    <row r="142320" s="12" customFormat="1" x14ac:dyDescent="0.25"/>
    <row r="142321" s="12" customFormat="1" x14ac:dyDescent="0.25"/>
    <row r="142322" s="12" customFormat="1" x14ac:dyDescent="0.25"/>
    <row r="142323" s="12" customFormat="1" x14ac:dyDescent="0.25"/>
    <row r="142324" s="12" customFormat="1" x14ac:dyDescent="0.25"/>
    <row r="142325" s="12" customFormat="1" x14ac:dyDescent="0.25"/>
    <row r="142326" s="12" customFormat="1" x14ac:dyDescent="0.25"/>
    <row r="142327" s="12" customFormat="1" x14ac:dyDescent="0.25"/>
    <row r="142328" s="12" customFormat="1" x14ac:dyDescent="0.25"/>
    <row r="142329" s="12" customFormat="1" x14ac:dyDescent="0.25"/>
    <row r="142330" s="12" customFormat="1" x14ac:dyDescent="0.25"/>
    <row r="142331" s="12" customFormat="1" x14ac:dyDescent="0.25"/>
    <row r="142332" s="12" customFormat="1" x14ac:dyDescent="0.25"/>
    <row r="142333" s="12" customFormat="1" x14ac:dyDescent="0.25"/>
    <row r="142334" s="12" customFormat="1" x14ac:dyDescent="0.25"/>
    <row r="142335" s="12" customFormat="1" x14ac:dyDescent="0.25"/>
    <row r="142336" s="12" customFormat="1" x14ac:dyDescent="0.25"/>
    <row r="142337" s="12" customFormat="1" x14ac:dyDescent="0.25"/>
    <row r="142338" s="12" customFormat="1" x14ac:dyDescent="0.25"/>
    <row r="142339" s="12" customFormat="1" x14ac:dyDescent="0.25"/>
    <row r="142340" s="12" customFormat="1" x14ac:dyDescent="0.25"/>
    <row r="142341" s="12" customFormat="1" x14ac:dyDescent="0.25"/>
    <row r="142342" s="12" customFormat="1" x14ac:dyDescent="0.25"/>
    <row r="142343" s="12" customFormat="1" x14ac:dyDescent="0.25"/>
    <row r="142344" s="12" customFormat="1" x14ac:dyDescent="0.25"/>
    <row r="142345" s="12" customFormat="1" x14ac:dyDescent="0.25"/>
    <row r="142346" s="12" customFormat="1" x14ac:dyDescent="0.25"/>
    <row r="142347" s="12" customFormat="1" x14ac:dyDescent="0.25"/>
    <row r="142348" s="12" customFormat="1" x14ac:dyDescent="0.25"/>
    <row r="142349" s="12" customFormat="1" x14ac:dyDescent="0.25"/>
    <row r="142350" s="12" customFormat="1" x14ac:dyDescent="0.25"/>
    <row r="142351" s="12" customFormat="1" x14ac:dyDescent="0.25"/>
    <row r="142352" s="12" customFormat="1" x14ac:dyDescent="0.25"/>
    <row r="142353" s="12" customFormat="1" x14ac:dyDescent="0.25"/>
    <row r="142354" s="12" customFormat="1" x14ac:dyDescent="0.25"/>
    <row r="142355" s="12" customFormat="1" x14ac:dyDescent="0.25"/>
    <row r="142356" s="12" customFormat="1" x14ac:dyDescent="0.25"/>
    <row r="142357" s="12" customFormat="1" x14ac:dyDescent="0.25"/>
    <row r="142358" s="12" customFormat="1" x14ac:dyDescent="0.25"/>
    <row r="142359" s="12" customFormat="1" x14ac:dyDescent="0.25"/>
    <row r="142360" s="12" customFormat="1" x14ac:dyDescent="0.25"/>
    <row r="142361" s="12" customFormat="1" x14ac:dyDescent="0.25"/>
    <row r="142362" s="12" customFormat="1" x14ac:dyDescent="0.25"/>
    <row r="142363" s="12" customFormat="1" x14ac:dyDescent="0.25"/>
    <row r="142364" s="12" customFormat="1" x14ac:dyDescent="0.25"/>
    <row r="142365" s="12" customFormat="1" x14ac:dyDescent="0.25"/>
    <row r="142366" s="12" customFormat="1" x14ac:dyDescent="0.25"/>
    <row r="142367" s="12" customFormat="1" x14ac:dyDescent="0.25"/>
    <row r="142368" s="12" customFormat="1" x14ac:dyDescent="0.25"/>
    <row r="142369" s="12" customFormat="1" x14ac:dyDescent="0.25"/>
    <row r="142370" s="12" customFormat="1" x14ac:dyDescent="0.25"/>
    <row r="142371" s="12" customFormat="1" x14ac:dyDescent="0.25"/>
    <row r="142372" s="12" customFormat="1" x14ac:dyDescent="0.25"/>
    <row r="142373" s="12" customFormat="1" x14ac:dyDescent="0.25"/>
    <row r="142374" s="12" customFormat="1" x14ac:dyDescent="0.25"/>
    <row r="142375" s="12" customFormat="1" x14ac:dyDescent="0.25"/>
    <row r="142376" s="12" customFormat="1" x14ac:dyDescent="0.25"/>
    <row r="142377" s="12" customFormat="1" x14ac:dyDescent="0.25"/>
    <row r="142378" s="12" customFormat="1" x14ac:dyDescent="0.25"/>
    <row r="142379" s="12" customFormat="1" x14ac:dyDescent="0.25"/>
    <row r="142380" s="12" customFormat="1" x14ac:dyDescent="0.25"/>
    <row r="142381" s="12" customFormat="1" x14ac:dyDescent="0.25"/>
    <row r="142382" s="12" customFormat="1" x14ac:dyDescent="0.25"/>
    <row r="142383" s="12" customFormat="1" x14ac:dyDescent="0.25"/>
    <row r="142384" s="12" customFormat="1" x14ac:dyDescent="0.25"/>
    <row r="142385" s="12" customFormat="1" x14ac:dyDescent="0.25"/>
    <row r="142386" s="12" customFormat="1" x14ac:dyDescent="0.25"/>
    <row r="142387" s="12" customFormat="1" x14ac:dyDescent="0.25"/>
    <row r="142388" s="12" customFormat="1" x14ac:dyDescent="0.25"/>
    <row r="142389" s="12" customFormat="1" x14ac:dyDescent="0.25"/>
    <row r="142390" s="12" customFormat="1" x14ac:dyDescent="0.25"/>
    <row r="142391" s="12" customFormat="1" x14ac:dyDescent="0.25"/>
    <row r="142392" s="12" customFormat="1" x14ac:dyDescent="0.25"/>
    <row r="142393" s="12" customFormat="1" x14ac:dyDescent="0.25"/>
    <row r="142394" s="12" customFormat="1" x14ac:dyDescent="0.25"/>
    <row r="142395" s="12" customFormat="1" x14ac:dyDescent="0.25"/>
    <row r="142396" s="12" customFormat="1" x14ac:dyDescent="0.25"/>
    <row r="142397" s="12" customFormat="1" x14ac:dyDescent="0.25"/>
    <row r="142398" s="12" customFormat="1" x14ac:dyDescent="0.25"/>
    <row r="142399" s="12" customFormat="1" x14ac:dyDescent="0.25"/>
    <row r="142400" s="12" customFormat="1" x14ac:dyDescent="0.25"/>
    <row r="142401" s="12" customFormat="1" x14ac:dyDescent="0.25"/>
    <row r="142402" s="12" customFormat="1" x14ac:dyDescent="0.25"/>
    <row r="142403" s="12" customFormat="1" x14ac:dyDescent="0.25"/>
    <row r="142404" s="12" customFormat="1" x14ac:dyDescent="0.25"/>
    <row r="142405" s="12" customFormat="1" x14ac:dyDescent="0.25"/>
    <row r="142406" s="12" customFormat="1" x14ac:dyDescent="0.25"/>
    <row r="142407" s="12" customFormat="1" x14ac:dyDescent="0.25"/>
    <row r="142408" s="12" customFormat="1" x14ac:dyDescent="0.25"/>
    <row r="142409" s="12" customFormat="1" x14ac:dyDescent="0.25"/>
    <row r="142410" s="12" customFormat="1" x14ac:dyDescent="0.25"/>
    <row r="142411" s="12" customFormat="1" x14ac:dyDescent="0.25"/>
    <row r="142412" s="12" customFormat="1" x14ac:dyDescent="0.25"/>
    <row r="142413" s="12" customFormat="1" x14ac:dyDescent="0.25"/>
    <row r="142414" s="12" customFormat="1" x14ac:dyDescent="0.25"/>
    <row r="142415" s="12" customFormat="1" x14ac:dyDescent="0.25"/>
    <row r="142416" s="12" customFormat="1" x14ac:dyDescent="0.25"/>
    <row r="142417" s="12" customFormat="1" x14ac:dyDescent="0.25"/>
    <row r="142418" s="12" customFormat="1" x14ac:dyDescent="0.25"/>
    <row r="142419" s="12" customFormat="1" x14ac:dyDescent="0.25"/>
    <row r="142420" s="12" customFormat="1" x14ac:dyDescent="0.25"/>
    <row r="142421" s="12" customFormat="1" x14ac:dyDescent="0.25"/>
    <row r="142422" s="12" customFormat="1" x14ac:dyDescent="0.25"/>
    <row r="142423" s="12" customFormat="1" x14ac:dyDescent="0.25"/>
    <row r="142424" s="12" customFormat="1" x14ac:dyDescent="0.25"/>
    <row r="142425" s="12" customFormat="1" x14ac:dyDescent="0.25"/>
    <row r="142426" s="12" customFormat="1" x14ac:dyDescent="0.25"/>
    <row r="142427" s="12" customFormat="1" x14ac:dyDescent="0.25"/>
    <row r="142428" s="12" customFormat="1" x14ac:dyDescent="0.25"/>
    <row r="142429" s="12" customFormat="1" x14ac:dyDescent="0.25"/>
    <row r="142430" s="12" customFormat="1" x14ac:dyDescent="0.25"/>
    <row r="142431" s="12" customFormat="1" x14ac:dyDescent="0.25"/>
    <row r="142432" s="12" customFormat="1" x14ac:dyDescent="0.25"/>
    <row r="142433" s="12" customFormat="1" x14ac:dyDescent="0.25"/>
    <row r="142434" s="12" customFormat="1" x14ac:dyDescent="0.25"/>
    <row r="142435" s="12" customFormat="1" x14ac:dyDescent="0.25"/>
    <row r="142436" s="12" customFormat="1" x14ac:dyDescent="0.25"/>
    <row r="142437" s="12" customFormat="1" x14ac:dyDescent="0.25"/>
    <row r="142438" s="12" customFormat="1" x14ac:dyDescent="0.25"/>
    <row r="142439" s="12" customFormat="1" x14ac:dyDescent="0.25"/>
    <row r="142440" s="12" customFormat="1" x14ac:dyDescent="0.25"/>
    <row r="142441" s="12" customFormat="1" x14ac:dyDescent="0.25"/>
    <row r="142442" s="12" customFormat="1" x14ac:dyDescent="0.25"/>
    <row r="142443" s="12" customFormat="1" x14ac:dyDescent="0.25"/>
    <row r="142444" s="12" customFormat="1" x14ac:dyDescent="0.25"/>
    <row r="142445" s="12" customFormat="1" x14ac:dyDescent="0.25"/>
    <row r="142446" s="12" customFormat="1" x14ac:dyDescent="0.25"/>
    <row r="142447" s="12" customFormat="1" x14ac:dyDescent="0.25"/>
    <row r="142448" s="12" customFormat="1" x14ac:dyDescent="0.25"/>
    <row r="142449" s="12" customFormat="1" x14ac:dyDescent="0.25"/>
    <row r="142450" s="12" customFormat="1" x14ac:dyDescent="0.25"/>
    <row r="142451" s="12" customFormat="1" x14ac:dyDescent="0.25"/>
    <row r="142452" s="12" customFormat="1" x14ac:dyDescent="0.25"/>
    <row r="142453" s="12" customFormat="1" x14ac:dyDescent="0.25"/>
    <row r="142454" s="12" customFormat="1" x14ac:dyDescent="0.25"/>
    <row r="142455" s="12" customFormat="1" x14ac:dyDescent="0.25"/>
    <row r="142456" s="12" customFormat="1" x14ac:dyDescent="0.25"/>
    <row r="142457" s="12" customFormat="1" x14ac:dyDescent="0.25"/>
    <row r="142458" s="12" customFormat="1" x14ac:dyDescent="0.25"/>
    <row r="142459" s="12" customFormat="1" x14ac:dyDescent="0.25"/>
    <row r="142460" s="12" customFormat="1" x14ac:dyDescent="0.25"/>
    <row r="142461" s="12" customFormat="1" x14ac:dyDescent="0.25"/>
    <row r="142462" s="12" customFormat="1" x14ac:dyDescent="0.25"/>
    <row r="142463" s="12" customFormat="1" x14ac:dyDescent="0.25"/>
    <row r="142464" s="12" customFormat="1" x14ac:dyDescent="0.25"/>
    <row r="142465" s="12" customFormat="1" x14ac:dyDescent="0.25"/>
    <row r="142466" s="12" customFormat="1" x14ac:dyDescent="0.25"/>
    <row r="142467" s="12" customFormat="1" x14ac:dyDescent="0.25"/>
    <row r="142468" s="12" customFormat="1" x14ac:dyDescent="0.25"/>
    <row r="142469" s="12" customFormat="1" x14ac:dyDescent="0.25"/>
    <row r="142470" s="12" customFormat="1" x14ac:dyDescent="0.25"/>
    <row r="142471" s="12" customFormat="1" x14ac:dyDescent="0.25"/>
    <row r="142472" s="12" customFormat="1" x14ac:dyDescent="0.25"/>
    <row r="142473" s="12" customFormat="1" x14ac:dyDescent="0.25"/>
    <row r="142474" s="12" customFormat="1" x14ac:dyDescent="0.25"/>
    <row r="142475" s="12" customFormat="1" x14ac:dyDescent="0.25"/>
    <row r="142476" s="12" customFormat="1" x14ac:dyDescent="0.25"/>
    <row r="142477" s="12" customFormat="1" x14ac:dyDescent="0.25"/>
    <row r="142478" s="12" customFormat="1" x14ac:dyDescent="0.25"/>
    <row r="142479" s="12" customFormat="1" x14ac:dyDescent="0.25"/>
    <row r="142480" s="12" customFormat="1" x14ac:dyDescent="0.25"/>
    <row r="142481" s="12" customFormat="1" x14ac:dyDescent="0.25"/>
    <row r="142482" s="12" customFormat="1" x14ac:dyDescent="0.25"/>
    <row r="142483" s="12" customFormat="1" x14ac:dyDescent="0.25"/>
    <row r="142484" s="12" customFormat="1" x14ac:dyDescent="0.25"/>
    <row r="142485" s="12" customFormat="1" x14ac:dyDescent="0.25"/>
    <row r="142486" s="12" customFormat="1" x14ac:dyDescent="0.25"/>
    <row r="142487" s="12" customFormat="1" x14ac:dyDescent="0.25"/>
    <row r="142488" s="12" customFormat="1" x14ac:dyDescent="0.25"/>
    <row r="142489" s="12" customFormat="1" x14ac:dyDescent="0.25"/>
    <row r="142490" s="12" customFormat="1" x14ac:dyDescent="0.25"/>
    <row r="142491" s="12" customFormat="1" x14ac:dyDescent="0.25"/>
    <row r="142492" s="12" customFormat="1" x14ac:dyDescent="0.25"/>
    <row r="142493" s="12" customFormat="1" x14ac:dyDescent="0.25"/>
    <row r="142494" s="12" customFormat="1" x14ac:dyDescent="0.25"/>
    <row r="142495" s="12" customFormat="1" x14ac:dyDescent="0.25"/>
    <row r="142496" s="12" customFormat="1" x14ac:dyDescent="0.25"/>
    <row r="142497" s="12" customFormat="1" x14ac:dyDescent="0.25"/>
    <row r="142498" s="12" customFormat="1" x14ac:dyDescent="0.25"/>
    <row r="142499" s="12" customFormat="1" x14ac:dyDescent="0.25"/>
    <row r="142500" s="12" customFormat="1" x14ac:dyDescent="0.25"/>
    <row r="142501" s="12" customFormat="1" x14ac:dyDescent="0.25"/>
    <row r="142502" s="12" customFormat="1" x14ac:dyDescent="0.25"/>
    <row r="142503" s="12" customFormat="1" x14ac:dyDescent="0.25"/>
    <row r="142504" s="12" customFormat="1" x14ac:dyDescent="0.25"/>
    <row r="142505" s="12" customFormat="1" x14ac:dyDescent="0.25"/>
    <row r="142506" s="12" customFormat="1" x14ac:dyDescent="0.25"/>
    <row r="142507" s="12" customFormat="1" x14ac:dyDescent="0.25"/>
    <row r="142508" s="12" customFormat="1" x14ac:dyDescent="0.25"/>
    <row r="142509" s="12" customFormat="1" x14ac:dyDescent="0.25"/>
    <row r="142510" s="12" customFormat="1" x14ac:dyDescent="0.25"/>
    <row r="142511" s="12" customFormat="1" x14ac:dyDescent="0.25"/>
    <row r="142512" s="12" customFormat="1" x14ac:dyDescent="0.25"/>
    <row r="142513" s="12" customFormat="1" x14ac:dyDescent="0.25"/>
    <row r="142514" s="12" customFormat="1" x14ac:dyDescent="0.25"/>
    <row r="142515" s="12" customFormat="1" x14ac:dyDescent="0.25"/>
    <row r="142516" s="12" customFormat="1" x14ac:dyDescent="0.25"/>
    <row r="142517" s="12" customFormat="1" x14ac:dyDescent="0.25"/>
    <row r="142518" s="12" customFormat="1" x14ac:dyDescent="0.25"/>
    <row r="142519" s="12" customFormat="1" x14ac:dyDescent="0.25"/>
    <row r="142520" s="12" customFormat="1" x14ac:dyDescent="0.25"/>
    <row r="142521" s="12" customFormat="1" x14ac:dyDescent="0.25"/>
    <row r="142522" s="12" customFormat="1" x14ac:dyDescent="0.25"/>
    <row r="142523" s="12" customFormat="1" x14ac:dyDescent="0.25"/>
    <row r="142524" s="12" customFormat="1" x14ac:dyDescent="0.25"/>
    <row r="142525" s="12" customFormat="1" x14ac:dyDescent="0.25"/>
    <row r="142526" s="12" customFormat="1" x14ac:dyDescent="0.25"/>
    <row r="142527" s="12" customFormat="1" x14ac:dyDescent="0.25"/>
    <row r="142528" s="12" customFormat="1" x14ac:dyDescent="0.25"/>
    <row r="142529" s="12" customFormat="1" x14ac:dyDescent="0.25"/>
    <row r="142530" s="12" customFormat="1" x14ac:dyDescent="0.25"/>
    <row r="142531" s="12" customFormat="1" x14ac:dyDescent="0.25"/>
    <row r="142532" s="12" customFormat="1" x14ac:dyDescent="0.25"/>
    <row r="142533" s="12" customFormat="1" x14ac:dyDescent="0.25"/>
    <row r="142534" s="12" customFormat="1" x14ac:dyDescent="0.25"/>
    <row r="142535" s="12" customFormat="1" x14ac:dyDescent="0.25"/>
    <row r="142536" s="12" customFormat="1" x14ac:dyDescent="0.25"/>
    <row r="142537" s="12" customFormat="1" x14ac:dyDescent="0.25"/>
    <row r="142538" s="12" customFormat="1" x14ac:dyDescent="0.25"/>
    <row r="142539" s="12" customFormat="1" x14ac:dyDescent="0.25"/>
    <row r="142540" s="12" customFormat="1" x14ac:dyDescent="0.25"/>
    <row r="142541" s="12" customFormat="1" x14ac:dyDescent="0.25"/>
    <row r="142542" s="12" customFormat="1" x14ac:dyDescent="0.25"/>
    <row r="142543" s="12" customFormat="1" x14ac:dyDescent="0.25"/>
    <row r="142544" s="12" customFormat="1" x14ac:dyDescent="0.25"/>
    <row r="142545" s="12" customFormat="1" x14ac:dyDescent="0.25"/>
    <row r="142546" s="12" customFormat="1" x14ac:dyDescent="0.25"/>
    <row r="142547" s="12" customFormat="1" x14ac:dyDescent="0.25"/>
    <row r="142548" s="12" customFormat="1" x14ac:dyDescent="0.25"/>
    <row r="142549" s="12" customFormat="1" x14ac:dyDescent="0.25"/>
    <row r="142550" s="12" customFormat="1" x14ac:dyDescent="0.25"/>
    <row r="142551" s="12" customFormat="1" x14ac:dyDescent="0.25"/>
    <row r="142552" s="12" customFormat="1" x14ac:dyDescent="0.25"/>
    <row r="142553" s="12" customFormat="1" x14ac:dyDescent="0.25"/>
    <row r="142554" s="12" customFormat="1" x14ac:dyDescent="0.25"/>
    <row r="142555" s="12" customFormat="1" x14ac:dyDescent="0.25"/>
    <row r="142556" s="12" customFormat="1" x14ac:dyDescent="0.25"/>
    <row r="142557" s="12" customFormat="1" x14ac:dyDescent="0.25"/>
    <row r="142558" s="12" customFormat="1" x14ac:dyDescent="0.25"/>
    <row r="142559" s="12" customFormat="1" x14ac:dyDescent="0.25"/>
    <row r="142560" s="12" customFormat="1" x14ac:dyDescent="0.25"/>
    <row r="142561" s="12" customFormat="1" x14ac:dyDescent="0.25"/>
    <row r="142562" s="12" customFormat="1" x14ac:dyDescent="0.25"/>
    <row r="142563" s="12" customFormat="1" x14ac:dyDescent="0.25"/>
    <row r="142564" s="12" customFormat="1" x14ac:dyDescent="0.25"/>
    <row r="142565" s="12" customFormat="1" x14ac:dyDescent="0.25"/>
    <row r="142566" s="12" customFormat="1" x14ac:dyDescent="0.25"/>
    <row r="142567" s="12" customFormat="1" x14ac:dyDescent="0.25"/>
    <row r="142568" s="12" customFormat="1" x14ac:dyDescent="0.25"/>
    <row r="142569" s="12" customFormat="1" x14ac:dyDescent="0.25"/>
    <row r="142570" s="12" customFormat="1" x14ac:dyDescent="0.25"/>
    <row r="142571" s="12" customFormat="1" x14ac:dyDescent="0.25"/>
    <row r="142572" s="12" customFormat="1" x14ac:dyDescent="0.25"/>
    <row r="142573" s="12" customFormat="1" x14ac:dyDescent="0.25"/>
    <row r="142574" s="12" customFormat="1" x14ac:dyDescent="0.25"/>
    <row r="142575" s="12" customFormat="1" x14ac:dyDescent="0.25"/>
    <row r="142576" s="12" customFormat="1" x14ac:dyDescent="0.25"/>
    <row r="142577" s="12" customFormat="1" x14ac:dyDescent="0.25"/>
    <row r="142578" s="12" customFormat="1" x14ac:dyDescent="0.25"/>
    <row r="142579" s="12" customFormat="1" x14ac:dyDescent="0.25"/>
    <row r="142580" s="12" customFormat="1" x14ac:dyDescent="0.25"/>
    <row r="142581" s="12" customFormat="1" x14ac:dyDescent="0.25"/>
    <row r="142582" s="12" customFormat="1" x14ac:dyDescent="0.25"/>
    <row r="142583" s="12" customFormat="1" x14ac:dyDescent="0.25"/>
    <row r="142584" s="12" customFormat="1" x14ac:dyDescent="0.25"/>
    <row r="142585" s="12" customFormat="1" x14ac:dyDescent="0.25"/>
    <row r="142586" s="12" customFormat="1" x14ac:dyDescent="0.25"/>
    <row r="142587" s="12" customFormat="1" x14ac:dyDescent="0.25"/>
    <row r="142588" s="12" customFormat="1" x14ac:dyDescent="0.25"/>
    <row r="142589" s="12" customFormat="1" x14ac:dyDescent="0.25"/>
    <row r="142590" s="12" customFormat="1" x14ac:dyDescent="0.25"/>
    <row r="142591" s="12" customFormat="1" x14ac:dyDescent="0.25"/>
    <row r="142592" s="12" customFormat="1" x14ac:dyDescent="0.25"/>
    <row r="142593" s="12" customFormat="1" x14ac:dyDescent="0.25"/>
    <row r="142594" s="12" customFormat="1" x14ac:dyDescent="0.25"/>
    <row r="142595" s="12" customFormat="1" x14ac:dyDescent="0.25"/>
    <row r="142596" s="12" customFormat="1" x14ac:dyDescent="0.25"/>
    <row r="142597" s="12" customFormat="1" x14ac:dyDescent="0.25"/>
    <row r="142598" s="12" customFormat="1" x14ac:dyDescent="0.25"/>
    <row r="142599" s="12" customFormat="1" x14ac:dyDescent="0.25"/>
    <row r="142600" s="12" customFormat="1" x14ac:dyDescent="0.25"/>
    <row r="142601" s="12" customFormat="1" x14ac:dyDescent="0.25"/>
    <row r="142602" s="12" customFormat="1" x14ac:dyDescent="0.25"/>
    <row r="142603" s="12" customFormat="1" x14ac:dyDescent="0.25"/>
    <row r="142604" s="12" customFormat="1" x14ac:dyDescent="0.25"/>
    <row r="142605" s="12" customFormat="1" x14ac:dyDescent="0.25"/>
    <row r="142606" s="12" customFormat="1" x14ac:dyDescent="0.25"/>
    <row r="142607" s="12" customFormat="1" x14ac:dyDescent="0.25"/>
    <row r="142608" s="12" customFormat="1" x14ac:dyDescent="0.25"/>
    <row r="142609" s="12" customFormat="1" x14ac:dyDescent="0.25"/>
    <row r="142610" s="12" customFormat="1" x14ac:dyDescent="0.25"/>
    <row r="142611" s="12" customFormat="1" x14ac:dyDescent="0.25"/>
    <row r="142612" s="12" customFormat="1" x14ac:dyDescent="0.25"/>
    <row r="142613" s="12" customFormat="1" x14ac:dyDescent="0.25"/>
    <row r="142614" s="12" customFormat="1" x14ac:dyDescent="0.25"/>
    <row r="142615" s="12" customFormat="1" x14ac:dyDescent="0.25"/>
    <row r="142616" s="12" customFormat="1" x14ac:dyDescent="0.25"/>
    <row r="142617" s="12" customFormat="1" x14ac:dyDescent="0.25"/>
    <row r="142618" s="12" customFormat="1" x14ac:dyDescent="0.25"/>
    <row r="142619" s="12" customFormat="1" x14ac:dyDescent="0.25"/>
    <row r="142620" s="12" customFormat="1" x14ac:dyDescent="0.25"/>
    <row r="142621" s="12" customFormat="1" x14ac:dyDescent="0.25"/>
    <row r="142622" s="12" customFormat="1" x14ac:dyDescent="0.25"/>
    <row r="142623" s="12" customFormat="1" x14ac:dyDescent="0.25"/>
    <row r="142624" s="12" customFormat="1" x14ac:dyDescent="0.25"/>
    <row r="142625" s="12" customFormat="1" x14ac:dyDescent="0.25"/>
    <row r="142626" s="12" customFormat="1" x14ac:dyDescent="0.25"/>
    <row r="142627" s="12" customFormat="1" x14ac:dyDescent="0.25"/>
    <row r="142628" s="12" customFormat="1" x14ac:dyDescent="0.25"/>
    <row r="142629" s="12" customFormat="1" x14ac:dyDescent="0.25"/>
    <row r="142630" s="12" customFormat="1" x14ac:dyDescent="0.25"/>
    <row r="142631" s="12" customFormat="1" x14ac:dyDescent="0.25"/>
    <row r="142632" s="12" customFormat="1" x14ac:dyDescent="0.25"/>
    <row r="142633" s="12" customFormat="1" x14ac:dyDescent="0.25"/>
    <row r="142634" s="12" customFormat="1" x14ac:dyDescent="0.25"/>
    <row r="142635" s="12" customFormat="1" x14ac:dyDescent="0.25"/>
    <row r="142636" s="12" customFormat="1" x14ac:dyDescent="0.25"/>
    <row r="142637" s="12" customFormat="1" x14ac:dyDescent="0.25"/>
    <row r="142638" s="12" customFormat="1" x14ac:dyDescent="0.25"/>
    <row r="142639" s="12" customFormat="1" x14ac:dyDescent="0.25"/>
    <row r="142640" s="12" customFormat="1" x14ac:dyDescent="0.25"/>
    <row r="142641" s="12" customFormat="1" x14ac:dyDescent="0.25"/>
    <row r="142642" s="12" customFormat="1" x14ac:dyDescent="0.25"/>
    <row r="142643" s="12" customFormat="1" x14ac:dyDescent="0.25"/>
    <row r="142644" s="12" customFormat="1" x14ac:dyDescent="0.25"/>
    <row r="142645" s="12" customFormat="1" x14ac:dyDescent="0.25"/>
    <row r="142646" s="12" customFormat="1" x14ac:dyDescent="0.25"/>
    <row r="142647" s="12" customFormat="1" x14ac:dyDescent="0.25"/>
    <row r="142648" s="12" customFormat="1" x14ac:dyDescent="0.25"/>
    <row r="142649" s="12" customFormat="1" x14ac:dyDescent="0.25"/>
    <row r="142650" s="12" customFormat="1" x14ac:dyDescent="0.25"/>
    <row r="142651" s="12" customFormat="1" x14ac:dyDescent="0.25"/>
    <row r="142652" s="12" customFormat="1" x14ac:dyDescent="0.25"/>
    <row r="142653" s="12" customFormat="1" x14ac:dyDescent="0.25"/>
    <row r="142654" s="12" customFormat="1" x14ac:dyDescent="0.25"/>
    <row r="142655" s="12" customFormat="1" x14ac:dyDescent="0.25"/>
    <row r="142656" s="12" customFormat="1" x14ac:dyDescent="0.25"/>
    <row r="142657" s="12" customFormat="1" x14ac:dyDescent="0.25"/>
    <row r="142658" s="12" customFormat="1" x14ac:dyDescent="0.25"/>
    <row r="142659" s="12" customFormat="1" x14ac:dyDescent="0.25"/>
    <row r="142660" s="12" customFormat="1" x14ac:dyDescent="0.25"/>
    <row r="142661" s="12" customFormat="1" x14ac:dyDescent="0.25"/>
    <row r="142662" s="12" customFormat="1" x14ac:dyDescent="0.25"/>
    <row r="142663" s="12" customFormat="1" x14ac:dyDescent="0.25"/>
    <row r="142664" s="12" customFormat="1" x14ac:dyDescent="0.25"/>
    <row r="142665" s="12" customFormat="1" x14ac:dyDescent="0.25"/>
    <row r="142666" s="12" customFormat="1" x14ac:dyDescent="0.25"/>
    <row r="142667" s="12" customFormat="1" x14ac:dyDescent="0.25"/>
    <row r="142668" s="12" customFormat="1" x14ac:dyDescent="0.25"/>
    <row r="142669" s="12" customFormat="1" x14ac:dyDescent="0.25"/>
    <row r="142670" s="12" customFormat="1" x14ac:dyDescent="0.25"/>
    <row r="142671" s="12" customFormat="1" x14ac:dyDescent="0.25"/>
    <row r="142672" s="12" customFormat="1" x14ac:dyDescent="0.25"/>
    <row r="142673" s="12" customFormat="1" x14ac:dyDescent="0.25"/>
    <row r="142674" s="12" customFormat="1" x14ac:dyDescent="0.25"/>
    <row r="142675" s="12" customFormat="1" x14ac:dyDescent="0.25"/>
    <row r="142676" s="12" customFormat="1" x14ac:dyDescent="0.25"/>
    <row r="142677" s="12" customFormat="1" x14ac:dyDescent="0.25"/>
    <row r="142678" s="12" customFormat="1" x14ac:dyDescent="0.25"/>
    <row r="142679" s="12" customFormat="1" x14ac:dyDescent="0.25"/>
    <row r="142680" s="12" customFormat="1" x14ac:dyDescent="0.25"/>
    <row r="142681" s="12" customFormat="1" x14ac:dyDescent="0.25"/>
    <row r="142682" s="12" customFormat="1" x14ac:dyDescent="0.25"/>
    <row r="142683" s="12" customFormat="1" x14ac:dyDescent="0.25"/>
    <row r="142684" s="12" customFormat="1" x14ac:dyDescent="0.25"/>
    <row r="142685" s="12" customFormat="1" x14ac:dyDescent="0.25"/>
    <row r="142686" s="12" customFormat="1" x14ac:dyDescent="0.25"/>
    <row r="142687" s="12" customFormat="1" x14ac:dyDescent="0.25"/>
    <row r="142688" s="12" customFormat="1" x14ac:dyDescent="0.25"/>
    <row r="142689" s="12" customFormat="1" x14ac:dyDescent="0.25"/>
    <row r="142690" s="12" customFormat="1" x14ac:dyDescent="0.25"/>
    <row r="142691" s="12" customFormat="1" x14ac:dyDescent="0.25"/>
    <row r="142692" s="12" customFormat="1" x14ac:dyDescent="0.25"/>
    <row r="142693" s="12" customFormat="1" x14ac:dyDescent="0.25"/>
    <row r="142694" s="12" customFormat="1" x14ac:dyDescent="0.25"/>
    <row r="142695" s="12" customFormat="1" x14ac:dyDescent="0.25"/>
    <row r="142696" s="12" customFormat="1" x14ac:dyDescent="0.25"/>
    <row r="142697" s="12" customFormat="1" x14ac:dyDescent="0.25"/>
    <row r="142698" s="12" customFormat="1" x14ac:dyDescent="0.25"/>
    <row r="142699" s="12" customFormat="1" x14ac:dyDescent="0.25"/>
    <row r="142700" s="12" customFormat="1" x14ac:dyDescent="0.25"/>
    <row r="142701" s="12" customFormat="1" x14ac:dyDescent="0.25"/>
    <row r="142702" s="12" customFormat="1" x14ac:dyDescent="0.25"/>
    <row r="142703" s="12" customFormat="1" x14ac:dyDescent="0.25"/>
    <row r="142704" s="12" customFormat="1" x14ac:dyDescent="0.25"/>
    <row r="142705" s="12" customFormat="1" x14ac:dyDescent="0.25"/>
    <row r="142706" s="12" customFormat="1" x14ac:dyDescent="0.25"/>
    <row r="142707" s="12" customFormat="1" x14ac:dyDescent="0.25"/>
    <row r="142708" s="12" customFormat="1" x14ac:dyDescent="0.25"/>
    <row r="142709" s="12" customFormat="1" x14ac:dyDescent="0.25"/>
    <row r="142710" s="12" customFormat="1" x14ac:dyDescent="0.25"/>
    <row r="142711" s="12" customFormat="1" x14ac:dyDescent="0.25"/>
    <row r="142712" s="12" customFormat="1" x14ac:dyDescent="0.25"/>
    <row r="142713" s="12" customFormat="1" x14ac:dyDescent="0.25"/>
    <row r="142714" s="12" customFormat="1" x14ac:dyDescent="0.25"/>
    <row r="142715" s="12" customFormat="1" x14ac:dyDescent="0.25"/>
    <row r="142716" s="12" customFormat="1" x14ac:dyDescent="0.25"/>
    <row r="142717" s="12" customFormat="1" x14ac:dyDescent="0.25"/>
    <row r="142718" s="12" customFormat="1" x14ac:dyDescent="0.25"/>
    <row r="142719" s="12" customFormat="1" x14ac:dyDescent="0.25"/>
    <row r="142720" s="12" customFormat="1" x14ac:dyDescent="0.25"/>
    <row r="142721" s="12" customFormat="1" x14ac:dyDescent="0.25"/>
    <row r="142722" s="12" customFormat="1" x14ac:dyDescent="0.25"/>
    <row r="142723" s="12" customFormat="1" x14ac:dyDescent="0.25"/>
    <row r="142724" s="12" customFormat="1" x14ac:dyDescent="0.25"/>
    <row r="142725" s="12" customFormat="1" x14ac:dyDescent="0.25"/>
    <row r="142726" s="12" customFormat="1" x14ac:dyDescent="0.25"/>
    <row r="142727" s="12" customFormat="1" x14ac:dyDescent="0.25"/>
    <row r="142728" s="12" customFormat="1" x14ac:dyDescent="0.25"/>
    <row r="142729" s="12" customFormat="1" x14ac:dyDescent="0.25"/>
    <row r="142730" s="12" customFormat="1" x14ac:dyDescent="0.25"/>
    <row r="142731" s="12" customFormat="1" x14ac:dyDescent="0.25"/>
    <row r="142732" s="12" customFormat="1" x14ac:dyDescent="0.25"/>
    <row r="142733" s="12" customFormat="1" x14ac:dyDescent="0.25"/>
    <row r="142734" s="12" customFormat="1" x14ac:dyDescent="0.25"/>
    <row r="142735" s="12" customFormat="1" x14ac:dyDescent="0.25"/>
    <row r="142736" s="12" customFormat="1" x14ac:dyDescent="0.25"/>
    <row r="142737" s="12" customFormat="1" x14ac:dyDescent="0.25"/>
    <row r="142738" s="12" customFormat="1" x14ac:dyDescent="0.25"/>
    <row r="142739" s="12" customFormat="1" x14ac:dyDescent="0.25"/>
    <row r="142740" s="12" customFormat="1" x14ac:dyDescent="0.25"/>
    <row r="142741" s="12" customFormat="1" x14ac:dyDescent="0.25"/>
    <row r="142742" s="12" customFormat="1" x14ac:dyDescent="0.25"/>
    <row r="142743" s="12" customFormat="1" x14ac:dyDescent="0.25"/>
    <row r="142744" s="12" customFormat="1" x14ac:dyDescent="0.25"/>
    <row r="142745" s="12" customFormat="1" x14ac:dyDescent="0.25"/>
    <row r="142746" s="12" customFormat="1" x14ac:dyDescent="0.25"/>
    <row r="142747" s="12" customFormat="1" x14ac:dyDescent="0.25"/>
    <row r="142748" s="12" customFormat="1" x14ac:dyDescent="0.25"/>
    <row r="142749" s="12" customFormat="1" x14ac:dyDescent="0.25"/>
    <row r="142750" s="12" customFormat="1" x14ac:dyDescent="0.25"/>
    <row r="142751" s="12" customFormat="1" x14ac:dyDescent="0.25"/>
    <row r="142752" s="12" customFormat="1" x14ac:dyDescent="0.25"/>
    <row r="142753" s="12" customFormat="1" x14ac:dyDescent="0.25"/>
    <row r="142754" s="12" customFormat="1" x14ac:dyDescent="0.25"/>
    <row r="142755" s="12" customFormat="1" x14ac:dyDescent="0.25"/>
    <row r="142756" s="12" customFormat="1" x14ac:dyDescent="0.25"/>
    <row r="142757" s="12" customFormat="1" x14ac:dyDescent="0.25"/>
    <row r="142758" s="12" customFormat="1" x14ac:dyDescent="0.25"/>
    <row r="142759" s="12" customFormat="1" x14ac:dyDescent="0.25"/>
    <row r="142760" s="12" customFormat="1" x14ac:dyDescent="0.25"/>
    <row r="142761" s="12" customFormat="1" x14ac:dyDescent="0.25"/>
    <row r="142762" s="12" customFormat="1" x14ac:dyDescent="0.25"/>
    <row r="142763" s="12" customFormat="1" x14ac:dyDescent="0.25"/>
    <row r="142764" s="12" customFormat="1" x14ac:dyDescent="0.25"/>
    <row r="142765" s="12" customFormat="1" x14ac:dyDescent="0.25"/>
    <row r="142766" s="12" customFormat="1" x14ac:dyDescent="0.25"/>
    <row r="142767" s="12" customFormat="1" x14ac:dyDescent="0.25"/>
    <row r="142768" s="12" customFormat="1" x14ac:dyDescent="0.25"/>
    <row r="142769" s="12" customFormat="1" x14ac:dyDescent="0.25"/>
    <row r="142770" s="12" customFormat="1" x14ac:dyDescent="0.25"/>
    <row r="142771" s="12" customFormat="1" x14ac:dyDescent="0.25"/>
    <row r="142772" s="12" customFormat="1" x14ac:dyDescent="0.25"/>
    <row r="142773" s="12" customFormat="1" x14ac:dyDescent="0.25"/>
    <row r="142774" s="12" customFormat="1" x14ac:dyDescent="0.25"/>
    <row r="142775" s="12" customFormat="1" x14ac:dyDescent="0.25"/>
    <row r="142776" s="12" customFormat="1" x14ac:dyDescent="0.25"/>
    <row r="142777" s="12" customFormat="1" x14ac:dyDescent="0.25"/>
    <row r="142778" s="12" customFormat="1" x14ac:dyDescent="0.25"/>
    <row r="142779" s="12" customFormat="1" x14ac:dyDescent="0.25"/>
    <row r="142780" s="12" customFormat="1" x14ac:dyDescent="0.25"/>
    <row r="142781" s="12" customFormat="1" x14ac:dyDescent="0.25"/>
    <row r="142782" s="12" customFormat="1" x14ac:dyDescent="0.25"/>
    <row r="142783" s="12" customFormat="1" x14ac:dyDescent="0.25"/>
    <row r="142784" s="12" customFormat="1" x14ac:dyDescent="0.25"/>
    <row r="142785" s="12" customFormat="1" x14ac:dyDescent="0.25"/>
    <row r="142786" s="12" customFormat="1" x14ac:dyDescent="0.25"/>
    <row r="142787" s="12" customFormat="1" x14ac:dyDescent="0.25"/>
    <row r="142788" s="12" customFormat="1" x14ac:dyDescent="0.25"/>
    <row r="142789" s="12" customFormat="1" x14ac:dyDescent="0.25"/>
    <row r="142790" s="12" customFormat="1" x14ac:dyDescent="0.25"/>
    <row r="142791" s="12" customFormat="1" x14ac:dyDescent="0.25"/>
    <row r="142792" s="12" customFormat="1" x14ac:dyDescent="0.25"/>
    <row r="142793" s="12" customFormat="1" x14ac:dyDescent="0.25"/>
    <row r="142794" s="12" customFormat="1" x14ac:dyDescent="0.25"/>
    <row r="142795" s="12" customFormat="1" x14ac:dyDescent="0.25"/>
    <row r="142796" s="12" customFormat="1" x14ac:dyDescent="0.25"/>
    <row r="142797" s="12" customFormat="1" x14ac:dyDescent="0.25"/>
    <row r="142798" s="12" customFormat="1" x14ac:dyDescent="0.25"/>
    <row r="142799" s="12" customFormat="1" x14ac:dyDescent="0.25"/>
    <row r="142800" s="12" customFormat="1" x14ac:dyDescent="0.25"/>
    <row r="142801" s="12" customFormat="1" x14ac:dyDescent="0.25"/>
    <row r="142802" s="12" customFormat="1" x14ac:dyDescent="0.25"/>
    <row r="142803" s="12" customFormat="1" x14ac:dyDescent="0.25"/>
    <row r="142804" s="12" customFormat="1" x14ac:dyDescent="0.25"/>
    <row r="142805" s="12" customFormat="1" x14ac:dyDescent="0.25"/>
    <row r="142806" s="12" customFormat="1" x14ac:dyDescent="0.25"/>
    <row r="142807" s="12" customFormat="1" x14ac:dyDescent="0.25"/>
    <row r="142808" s="12" customFormat="1" x14ac:dyDescent="0.25"/>
    <row r="142809" s="12" customFormat="1" x14ac:dyDescent="0.25"/>
    <row r="142810" s="12" customFormat="1" x14ac:dyDescent="0.25"/>
    <row r="142811" s="12" customFormat="1" x14ac:dyDescent="0.25"/>
    <row r="142812" s="12" customFormat="1" x14ac:dyDescent="0.25"/>
    <row r="142813" s="12" customFormat="1" x14ac:dyDescent="0.25"/>
    <row r="142814" s="12" customFormat="1" x14ac:dyDescent="0.25"/>
    <row r="142815" s="12" customFormat="1" x14ac:dyDescent="0.25"/>
    <row r="142816" s="12" customFormat="1" x14ac:dyDescent="0.25"/>
    <row r="142817" s="12" customFormat="1" x14ac:dyDescent="0.25"/>
    <row r="142818" s="12" customFormat="1" x14ac:dyDescent="0.25"/>
    <row r="142819" s="12" customFormat="1" x14ac:dyDescent="0.25"/>
    <row r="142820" s="12" customFormat="1" x14ac:dyDescent="0.25"/>
    <row r="142821" s="12" customFormat="1" x14ac:dyDescent="0.25"/>
    <row r="142822" s="12" customFormat="1" x14ac:dyDescent="0.25"/>
    <row r="142823" s="12" customFormat="1" x14ac:dyDescent="0.25"/>
    <row r="142824" s="12" customFormat="1" x14ac:dyDescent="0.25"/>
    <row r="142825" s="12" customFormat="1" x14ac:dyDescent="0.25"/>
    <row r="142826" s="12" customFormat="1" x14ac:dyDescent="0.25"/>
    <row r="142827" s="12" customFormat="1" x14ac:dyDescent="0.25"/>
    <row r="142828" s="12" customFormat="1" x14ac:dyDescent="0.25"/>
    <row r="142829" s="12" customFormat="1" x14ac:dyDescent="0.25"/>
    <row r="142830" s="12" customFormat="1" x14ac:dyDescent="0.25"/>
    <row r="142831" s="12" customFormat="1" x14ac:dyDescent="0.25"/>
    <row r="142832" s="12" customFormat="1" x14ac:dyDescent="0.25"/>
    <row r="142833" s="12" customFormat="1" x14ac:dyDescent="0.25"/>
    <row r="142834" s="12" customFormat="1" x14ac:dyDescent="0.25"/>
    <row r="142835" s="12" customFormat="1" x14ac:dyDescent="0.25"/>
    <row r="142836" s="12" customFormat="1" x14ac:dyDescent="0.25"/>
    <row r="142837" s="12" customFormat="1" x14ac:dyDescent="0.25"/>
    <row r="142838" s="12" customFormat="1" x14ac:dyDescent="0.25"/>
    <row r="142839" s="12" customFormat="1" x14ac:dyDescent="0.25"/>
    <row r="142840" s="12" customFormat="1" x14ac:dyDescent="0.25"/>
    <row r="142841" s="12" customFormat="1" x14ac:dyDescent="0.25"/>
    <row r="142842" s="12" customFormat="1" x14ac:dyDescent="0.25"/>
    <row r="142843" s="12" customFormat="1" x14ac:dyDescent="0.25"/>
    <row r="142844" s="12" customFormat="1" x14ac:dyDescent="0.25"/>
    <row r="142845" s="12" customFormat="1" x14ac:dyDescent="0.25"/>
    <row r="142846" s="12" customFormat="1" x14ac:dyDescent="0.25"/>
    <row r="142847" s="12" customFormat="1" x14ac:dyDescent="0.25"/>
    <row r="142848" s="12" customFormat="1" x14ac:dyDescent="0.25"/>
    <row r="142849" s="12" customFormat="1" x14ac:dyDescent="0.25"/>
    <row r="142850" s="12" customFormat="1" x14ac:dyDescent="0.25"/>
    <row r="142851" s="12" customFormat="1" x14ac:dyDescent="0.25"/>
    <row r="142852" s="12" customFormat="1" x14ac:dyDescent="0.25"/>
    <row r="142853" s="12" customFormat="1" x14ac:dyDescent="0.25"/>
    <row r="142854" s="12" customFormat="1" x14ac:dyDescent="0.25"/>
    <row r="142855" s="12" customFormat="1" x14ac:dyDescent="0.25"/>
    <row r="142856" s="12" customFormat="1" x14ac:dyDescent="0.25"/>
    <row r="142857" s="12" customFormat="1" x14ac:dyDescent="0.25"/>
    <row r="142858" s="12" customFormat="1" x14ac:dyDescent="0.25"/>
    <row r="142859" s="12" customFormat="1" x14ac:dyDescent="0.25"/>
    <row r="142860" s="12" customFormat="1" x14ac:dyDescent="0.25"/>
    <row r="142861" s="12" customFormat="1" x14ac:dyDescent="0.25"/>
    <row r="142862" s="12" customFormat="1" x14ac:dyDescent="0.25"/>
    <row r="142863" s="12" customFormat="1" x14ac:dyDescent="0.25"/>
    <row r="142864" s="12" customFormat="1" x14ac:dyDescent="0.25"/>
    <row r="142865" s="12" customFormat="1" x14ac:dyDescent="0.25"/>
    <row r="142866" s="12" customFormat="1" x14ac:dyDescent="0.25"/>
    <row r="142867" s="12" customFormat="1" x14ac:dyDescent="0.25"/>
    <row r="142868" s="12" customFormat="1" x14ac:dyDescent="0.25"/>
    <row r="142869" s="12" customFormat="1" x14ac:dyDescent="0.25"/>
    <row r="142870" s="12" customFormat="1" x14ac:dyDescent="0.25"/>
    <row r="142871" s="12" customFormat="1" x14ac:dyDescent="0.25"/>
    <row r="142872" s="12" customFormat="1" x14ac:dyDescent="0.25"/>
    <row r="142873" s="12" customFormat="1" x14ac:dyDescent="0.25"/>
    <row r="142874" s="12" customFormat="1" x14ac:dyDescent="0.25"/>
    <row r="142875" s="12" customFormat="1" x14ac:dyDescent="0.25"/>
    <row r="142876" s="12" customFormat="1" x14ac:dyDescent="0.25"/>
    <row r="142877" s="12" customFormat="1" x14ac:dyDescent="0.25"/>
    <row r="142878" s="12" customFormat="1" x14ac:dyDescent="0.25"/>
    <row r="142879" s="12" customFormat="1" x14ac:dyDescent="0.25"/>
    <row r="142880" s="12" customFormat="1" x14ac:dyDescent="0.25"/>
    <row r="142881" s="12" customFormat="1" x14ac:dyDescent="0.25"/>
    <row r="142882" s="12" customFormat="1" x14ac:dyDescent="0.25"/>
    <row r="142883" s="12" customFormat="1" x14ac:dyDescent="0.25"/>
    <row r="142884" s="12" customFormat="1" x14ac:dyDescent="0.25"/>
    <row r="142885" s="12" customFormat="1" x14ac:dyDescent="0.25"/>
    <row r="142886" s="12" customFormat="1" x14ac:dyDescent="0.25"/>
    <row r="142887" s="12" customFormat="1" x14ac:dyDescent="0.25"/>
    <row r="142888" s="12" customFormat="1" x14ac:dyDescent="0.25"/>
    <row r="142889" s="12" customFormat="1" x14ac:dyDescent="0.25"/>
    <row r="142890" s="12" customFormat="1" x14ac:dyDescent="0.25"/>
    <row r="142891" s="12" customFormat="1" x14ac:dyDescent="0.25"/>
    <row r="142892" s="12" customFormat="1" x14ac:dyDescent="0.25"/>
    <row r="142893" s="12" customFormat="1" x14ac:dyDescent="0.25"/>
    <row r="142894" s="12" customFormat="1" x14ac:dyDescent="0.25"/>
    <row r="142895" s="12" customFormat="1" x14ac:dyDescent="0.25"/>
    <row r="142896" s="12" customFormat="1" x14ac:dyDescent="0.25"/>
    <row r="142897" s="12" customFormat="1" x14ac:dyDescent="0.25"/>
    <row r="142898" s="12" customFormat="1" x14ac:dyDescent="0.25"/>
    <row r="142899" s="12" customFormat="1" x14ac:dyDescent="0.25"/>
    <row r="142900" s="12" customFormat="1" x14ac:dyDescent="0.25"/>
    <row r="142901" s="12" customFormat="1" x14ac:dyDescent="0.25"/>
    <row r="142902" s="12" customFormat="1" x14ac:dyDescent="0.25"/>
    <row r="142903" s="12" customFormat="1" x14ac:dyDescent="0.25"/>
    <row r="142904" s="12" customFormat="1" x14ac:dyDescent="0.25"/>
    <row r="142905" s="12" customFormat="1" x14ac:dyDescent="0.25"/>
    <row r="142906" s="12" customFormat="1" x14ac:dyDescent="0.25"/>
    <row r="142907" s="12" customFormat="1" x14ac:dyDescent="0.25"/>
    <row r="142908" s="12" customFormat="1" x14ac:dyDescent="0.25"/>
    <row r="142909" s="12" customFormat="1" x14ac:dyDescent="0.25"/>
    <row r="142910" s="12" customFormat="1" x14ac:dyDescent="0.25"/>
    <row r="142911" s="12" customFormat="1" x14ac:dyDescent="0.25"/>
    <row r="142912" s="12" customFormat="1" x14ac:dyDescent="0.25"/>
    <row r="142913" s="12" customFormat="1" x14ac:dyDescent="0.25"/>
    <row r="142914" s="12" customFormat="1" x14ac:dyDescent="0.25"/>
    <row r="142915" s="12" customFormat="1" x14ac:dyDescent="0.25"/>
    <row r="142916" s="12" customFormat="1" x14ac:dyDescent="0.25"/>
    <row r="142917" s="12" customFormat="1" x14ac:dyDescent="0.25"/>
    <row r="142918" s="12" customFormat="1" x14ac:dyDescent="0.25"/>
    <row r="142919" s="12" customFormat="1" x14ac:dyDescent="0.25"/>
    <row r="142920" s="12" customFormat="1" x14ac:dyDescent="0.25"/>
    <row r="142921" s="12" customFormat="1" x14ac:dyDescent="0.25"/>
    <row r="142922" s="12" customFormat="1" x14ac:dyDescent="0.25"/>
    <row r="142923" s="12" customFormat="1" x14ac:dyDescent="0.25"/>
    <row r="142924" s="12" customFormat="1" x14ac:dyDescent="0.25"/>
    <row r="142925" s="12" customFormat="1" x14ac:dyDescent="0.25"/>
    <row r="142926" s="12" customFormat="1" x14ac:dyDescent="0.25"/>
    <row r="142927" s="12" customFormat="1" x14ac:dyDescent="0.25"/>
    <row r="142928" s="12" customFormat="1" x14ac:dyDescent="0.25"/>
    <row r="142929" s="12" customFormat="1" x14ac:dyDescent="0.25"/>
    <row r="142930" s="12" customFormat="1" x14ac:dyDescent="0.25"/>
    <row r="142931" s="12" customFormat="1" x14ac:dyDescent="0.25"/>
    <row r="142932" s="12" customFormat="1" x14ac:dyDescent="0.25"/>
    <row r="142933" s="12" customFormat="1" x14ac:dyDescent="0.25"/>
    <row r="142934" s="12" customFormat="1" x14ac:dyDescent="0.25"/>
    <row r="142935" s="12" customFormat="1" x14ac:dyDescent="0.25"/>
    <row r="142936" s="12" customFormat="1" x14ac:dyDescent="0.25"/>
    <row r="142937" s="12" customFormat="1" x14ac:dyDescent="0.25"/>
    <row r="142938" s="12" customFormat="1" x14ac:dyDescent="0.25"/>
    <row r="142939" s="12" customFormat="1" x14ac:dyDescent="0.25"/>
    <row r="142940" s="12" customFormat="1" x14ac:dyDescent="0.25"/>
    <row r="142941" s="12" customFormat="1" x14ac:dyDescent="0.25"/>
    <row r="142942" s="12" customFormat="1" x14ac:dyDescent="0.25"/>
    <row r="142943" s="12" customFormat="1" x14ac:dyDescent="0.25"/>
    <row r="142944" s="12" customFormat="1" x14ac:dyDescent="0.25"/>
    <row r="142945" s="12" customFormat="1" x14ac:dyDescent="0.25"/>
    <row r="142946" s="12" customFormat="1" x14ac:dyDescent="0.25"/>
    <row r="142947" s="12" customFormat="1" x14ac:dyDescent="0.25"/>
    <row r="142948" s="12" customFormat="1" x14ac:dyDescent="0.25"/>
    <row r="142949" s="12" customFormat="1" x14ac:dyDescent="0.25"/>
    <row r="142950" s="12" customFormat="1" x14ac:dyDescent="0.25"/>
    <row r="142951" s="12" customFormat="1" x14ac:dyDescent="0.25"/>
    <row r="142952" s="12" customFormat="1" x14ac:dyDescent="0.25"/>
    <row r="142953" s="12" customFormat="1" x14ac:dyDescent="0.25"/>
    <row r="142954" s="12" customFormat="1" x14ac:dyDescent="0.25"/>
    <row r="142955" s="12" customFormat="1" x14ac:dyDescent="0.25"/>
    <row r="142956" s="12" customFormat="1" x14ac:dyDescent="0.25"/>
    <row r="142957" s="12" customFormat="1" x14ac:dyDescent="0.25"/>
    <row r="142958" s="12" customFormat="1" x14ac:dyDescent="0.25"/>
    <row r="142959" s="12" customFormat="1" x14ac:dyDescent="0.25"/>
    <row r="142960" s="12" customFormat="1" x14ac:dyDescent="0.25"/>
    <row r="142961" s="12" customFormat="1" x14ac:dyDescent="0.25"/>
    <row r="142962" s="12" customFormat="1" x14ac:dyDescent="0.25"/>
    <row r="142963" s="12" customFormat="1" x14ac:dyDescent="0.25"/>
    <row r="142964" s="12" customFormat="1" x14ac:dyDescent="0.25"/>
    <row r="142965" s="12" customFormat="1" x14ac:dyDescent="0.25"/>
    <row r="142966" s="12" customFormat="1" x14ac:dyDescent="0.25"/>
    <row r="142967" s="12" customFormat="1" x14ac:dyDescent="0.25"/>
    <row r="142968" s="12" customFormat="1" x14ac:dyDescent="0.25"/>
    <row r="142969" s="12" customFormat="1" x14ac:dyDescent="0.25"/>
    <row r="142970" s="12" customFormat="1" x14ac:dyDescent="0.25"/>
    <row r="142971" s="12" customFormat="1" x14ac:dyDescent="0.25"/>
    <row r="142972" s="12" customFormat="1" x14ac:dyDescent="0.25"/>
    <row r="142973" s="12" customFormat="1" x14ac:dyDescent="0.25"/>
    <row r="142974" s="12" customFormat="1" x14ac:dyDescent="0.25"/>
    <row r="142975" s="12" customFormat="1" x14ac:dyDescent="0.25"/>
    <row r="142976" s="12" customFormat="1" x14ac:dyDescent="0.25"/>
    <row r="142977" s="12" customFormat="1" x14ac:dyDescent="0.25"/>
    <row r="142978" s="12" customFormat="1" x14ac:dyDescent="0.25"/>
    <row r="142979" s="12" customFormat="1" x14ac:dyDescent="0.25"/>
    <row r="142980" s="12" customFormat="1" x14ac:dyDescent="0.25"/>
    <row r="142981" s="12" customFormat="1" x14ac:dyDescent="0.25"/>
    <row r="142982" s="12" customFormat="1" x14ac:dyDescent="0.25"/>
    <row r="142983" s="12" customFormat="1" x14ac:dyDescent="0.25"/>
    <row r="142984" s="12" customFormat="1" x14ac:dyDescent="0.25"/>
    <row r="142985" s="12" customFormat="1" x14ac:dyDescent="0.25"/>
    <row r="142986" s="12" customFormat="1" x14ac:dyDescent="0.25"/>
    <row r="142987" s="12" customFormat="1" x14ac:dyDescent="0.25"/>
    <row r="142988" s="12" customFormat="1" x14ac:dyDescent="0.25"/>
    <row r="142989" s="12" customFormat="1" x14ac:dyDescent="0.25"/>
    <row r="142990" s="12" customFormat="1" x14ac:dyDescent="0.25"/>
    <row r="142991" s="12" customFormat="1" x14ac:dyDescent="0.25"/>
    <row r="142992" s="12" customFormat="1" x14ac:dyDescent="0.25"/>
    <row r="142993" s="12" customFormat="1" x14ac:dyDescent="0.25"/>
    <row r="142994" s="12" customFormat="1" x14ac:dyDescent="0.25"/>
    <row r="142995" s="12" customFormat="1" x14ac:dyDescent="0.25"/>
    <row r="142996" s="12" customFormat="1" x14ac:dyDescent="0.25"/>
    <row r="142997" s="12" customFormat="1" x14ac:dyDescent="0.25"/>
    <row r="142998" s="12" customFormat="1" x14ac:dyDescent="0.25"/>
    <row r="142999" s="12" customFormat="1" x14ac:dyDescent="0.25"/>
    <row r="143000" s="12" customFormat="1" x14ac:dyDescent="0.25"/>
    <row r="143001" s="12" customFormat="1" x14ac:dyDescent="0.25"/>
    <row r="143002" s="12" customFormat="1" x14ac:dyDescent="0.25"/>
    <row r="143003" s="12" customFormat="1" x14ac:dyDescent="0.25"/>
    <row r="143004" s="12" customFormat="1" x14ac:dyDescent="0.25"/>
    <row r="143005" s="12" customFormat="1" x14ac:dyDescent="0.25"/>
    <row r="143006" s="12" customFormat="1" x14ac:dyDescent="0.25"/>
    <row r="143007" s="12" customFormat="1" x14ac:dyDescent="0.25"/>
    <row r="143008" s="12" customFormat="1" x14ac:dyDescent="0.25"/>
    <row r="143009" s="12" customFormat="1" x14ac:dyDescent="0.25"/>
    <row r="143010" s="12" customFormat="1" x14ac:dyDescent="0.25"/>
    <row r="143011" s="12" customFormat="1" x14ac:dyDescent="0.25"/>
    <row r="143012" s="12" customFormat="1" x14ac:dyDescent="0.25"/>
    <row r="143013" s="12" customFormat="1" x14ac:dyDescent="0.25"/>
    <row r="143014" s="12" customFormat="1" x14ac:dyDescent="0.25"/>
    <row r="143015" s="12" customFormat="1" x14ac:dyDescent="0.25"/>
    <row r="143016" s="12" customFormat="1" x14ac:dyDescent="0.25"/>
    <row r="143017" s="12" customFormat="1" x14ac:dyDescent="0.25"/>
    <row r="143018" s="12" customFormat="1" x14ac:dyDescent="0.25"/>
    <row r="143019" s="12" customFormat="1" x14ac:dyDescent="0.25"/>
    <row r="143020" s="12" customFormat="1" x14ac:dyDescent="0.25"/>
    <row r="143021" s="12" customFormat="1" x14ac:dyDescent="0.25"/>
    <row r="143022" s="12" customFormat="1" x14ac:dyDescent="0.25"/>
    <row r="143023" s="12" customFormat="1" x14ac:dyDescent="0.25"/>
    <row r="143024" s="12" customFormat="1" x14ac:dyDescent="0.25"/>
    <row r="143025" s="12" customFormat="1" x14ac:dyDescent="0.25"/>
    <row r="143026" s="12" customFormat="1" x14ac:dyDescent="0.25"/>
    <row r="143027" s="12" customFormat="1" x14ac:dyDescent="0.25"/>
    <row r="143028" s="12" customFormat="1" x14ac:dyDescent="0.25"/>
    <row r="143029" s="12" customFormat="1" x14ac:dyDescent="0.25"/>
    <row r="143030" s="12" customFormat="1" x14ac:dyDescent="0.25"/>
    <row r="143031" s="12" customFormat="1" x14ac:dyDescent="0.25"/>
    <row r="143032" s="12" customFormat="1" x14ac:dyDescent="0.25"/>
    <row r="143033" s="12" customFormat="1" x14ac:dyDescent="0.25"/>
    <row r="143034" s="12" customFormat="1" x14ac:dyDescent="0.25"/>
    <row r="143035" s="12" customFormat="1" x14ac:dyDescent="0.25"/>
    <row r="143036" s="12" customFormat="1" x14ac:dyDescent="0.25"/>
    <row r="143037" s="12" customFormat="1" x14ac:dyDescent="0.25"/>
    <row r="143038" s="12" customFormat="1" x14ac:dyDescent="0.25"/>
    <row r="143039" s="12" customFormat="1" x14ac:dyDescent="0.25"/>
    <row r="143040" s="12" customFormat="1" x14ac:dyDescent="0.25"/>
    <row r="143041" s="12" customFormat="1" x14ac:dyDescent="0.25"/>
    <row r="143042" s="12" customFormat="1" x14ac:dyDescent="0.25"/>
    <row r="143043" s="12" customFormat="1" x14ac:dyDescent="0.25"/>
    <row r="143044" s="12" customFormat="1" x14ac:dyDescent="0.25"/>
    <row r="143045" s="12" customFormat="1" x14ac:dyDescent="0.25"/>
    <row r="143046" s="12" customFormat="1" x14ac:dyDescent="0.25"/>
    <row r="143047" s="12" customFormat="1" x14ac:dyDescent="0.25"/>
    <row r="143048" s="12" customFormat="1" x14ac:dyDescent="0.25"/>
    <row r="143049" s="12" customFormat="1" x14ac:dyDescent="0.25"/>
    <row r="143050" s="12" customFormat="1" x14ac:dyDescent="0.25"/>
    <row r="143051" s="12" customFormat="1" x14ac:dyDescent="0.25"/>
    <row r="143052" s="12" customFormat="1" x14ac:dyDescent="0.25"/>
    <row r="143053" s="12" customFormat="1" x14ac:dyDescent="0.25"/>
    <row r="143054" s="12" customFormat="1" x14ac:dyDescent="0.25"/>
    <row r="143055" s="12" customFormat="1" x14ac:dyDescent="0.25"/>
    <row r="143056" s="12" customFormat="1" x14ac:dyDescent="0.25"/>
    <row r="143057" s="12" customFormat="1" x14ac:dyDescent="0.25"/>
    <row r="143058" s="12" customFormat="1" x14ac:dyDescent="0.25"/>
    <row r="143059" s="12" customFormat="1" x14ac:dyDescent="0.25"/>
    <row r="143060" s="12" customFormat="1" x14ac:dyDescent="0.25"/>
    <row r="143061" s="12" customFormat="1" x14ac:dyDescent="0.25"/>
    <row r="143062" s="12" customFormat="1" x14ac:dyDescent="0.25"/>
    <row r="143063" s="12" customFormat="1" x14ac:dyDescent="0.25"/>
    <row r="143064" s="12" customFormat="1" x14ac:dyDescent="0.25"/>
    <row r="143065" s="12" customFormat="1" x14ac:dyDescent="0.25"/>
    <row r="143066" s="12" customFormat="1" x14ac:dyDescent="0.25"/>
    <row r="143067" s="12" customFormat="1" x14ac:dyDescent="0.25"/>
    <row r="143068" s="12" customFormat="1" x14ac:dyDescent="0.25"/>
    <row r="143069" s="12" customFormat="1" x14ac:dyDescent="0.25"/>
    <row r="143070" s="12" customFormat="1" x14ac:dyDescent="0.25"/>
    <row r="143071" s="12" customFormat="1" x14ac:dyDescent="0.25"/>
    <row r="143072" s="12" customFormat="1" x14ac:dyDescent="0.25"/>
    <row r="143073" s="12" customFormat="1" x14ac:dyDescent="0.25"/>
    <row r="143074" s="12" customFormat="1" x14ac:dyDescent="0.25"/>
    <row r="143075" s="12" customFormat="1" x14ac:dyDescent="0.25"/>
    <row r="143076" s="12" customFormat="1" x14ac:dyDescent="0.25"/>
    <row r="143077" s="12" customFormat="1" x14ac:dyDescent="0.25"/>
    <row r="143078" s="12" customFormat="1" x14ac:dyDescent="0.25"/>
    <row r="143079" s="12" customFormat="1" x14ac:dyDescent="0.25"/>
    <row r="143080" s="12" customFormat="1" x14ac:dyDescent="0.25"/>
    <row r="143081" s="12" customFormat="1" x14ac:dyDescent="0.25"/>
    <row r="143082" s="12" customFormat="1" x14ac:dyDescent="0.25"/>
    <row r="143083" s="12" customFormat="1" x14ac:dyDescent="0.25"/>
    <row r="143084" s="12" customFormat="1" x14ac:dyDescent="0.25"/>
    <row r="143085" s="12" customFormat="1" x14ac:dyDescent="0.25"/>
    <row r="143086" s="12" customFormat="1" x14ac:dyDescent="0.25"/>
    <row r="143087" s="12" customFormat="1" x14ac:dyDescent="0.25"/>
    <row r="143088" s="12" customFormat="1" x14ac:dyDescent="0.25"/>
    <row r="143089" s="12" customFormat="1" x14ac:dyDescent="0.25"/>
    <row r="143090" s="12" customFormat="1" x14ac:dyDescent="0.25"/>
    <row r="143091" s="12" customFormat="1" x14ac:dyDescent="0.25"/>
    <row r="143092" s="12" customFormat="1" x14ac:dyDescent="0.25"/>
    <row r="143093" s="12" customFormat="1" x14ac:dyDescent="0.25"/>
    <row r="143094" s="12" customFormat="1" x14ac:dyDescent="0.25"/>
    <row r="143095" s="12" customFormat="1" x14ac:dyDescent="0.25"/>
    <row r="143096" s="12" customFormat="1" x14ac:dyDescent="0.25"/>
    <row r="143097" s="12" customFormat="1" x14ac:dyDescent="0.25"/>
    <row r="143098" s="12" customFormat="1" x14ac:dyDescent="0.25"/>
    <row r="143099" s="12" customFormat="1" x14ac:dyDescent="0.25"/>
    <row r="143100" s="12" customFormat="1" x14ac:dyDescent="0.25"/>
    <row r="143101" s="12" customFormat="1" x14ac:dyDescent="0.25"/>
    <row r="143102" s="12" customFormat="1" x14ac:dyDescent="0.25"/>
    <row r="143103" s="12" customFormat="1" x14ac:dyDescent="0.25"/>
    <row r="143104" s="12" customFormat="1" x14ac:dyDescent="0.25"/>
    <row r="143105" s="12" customFormat="1" x14ac:dyDescent="0.25"/>
    <row r="143106" s="12" customFormat="1" x14ac:dyDescent="0.25"/>
    <row r="143107" s="12" customFormat="1" x14ac:dyDescent="0.25"/>
    <row r="143108" s="12" customFormat="1" x14ac:dyDescent="0.25"/>
    <row r="143109" s="12" customFormat="1" x14ac:dyDescent="0.25"/>
    <row r="143110" s="12" customFormat="1" x14ac:dyDescent="0.25"/>
    <row r="143111" s="12" customFormat="1" x14ac:dyDescent="0.25"/>
    <row r="143112" s="12" customFormat="1" x14ac:dyDescent="0.25"/>
    <row r="143113" s="12" customFormat="1" x14ac:dyDescent="0.25"/>
    <row r="143114" s="12" customFormat="1" x14ac:dyDescent="0.25"/>
    <row r="143115" s="12" customFormat="1" x14ac:dyDescent="0.25"/>
    <row r="143116" s="12" customFormat="1" x14ac:dyDescent="0.25"/>
    <row r="143117" s="12" customFormat="1" x14ac:dyDescent="0.25"/>
    <row r="143118" s="12" customFormat="1" x14ac:dyDescent="0.25"/>
    <row r="143119" s="12" customFormat="1" x14ac:dyDescent="0.25"/>
    <row r="143120" s="12" customFormat="1" x14ac:dyDescent="0.25"/>
    <row r="143121" s="12" customFormat="1" x14ac:dyDescent="0.25"/>
    <row r="143122" s="12" customFormat="1" x14ac:dyDescent="0.25"/>
    <row r="143123" s="12" customFormat="1" x14ac:dyDescent="0.25"/>
    <row r="143124" s="12" customFormat="1" x14ac:dyDescent="0.25"/>
    <row r="143125" s="12" customFormat="1" x14ac:dyDescent="0.25"/>
    <row r="143126" s="12" customFormat="1" x14ac:dyDescent="0.25"/>
    <row r="143127" s="12" customFormat="1" x14ac:dyDescent="0.25"/>
    <row r="143128" s="12" customFormat="1" x14ac:dyDescent="0.25"/>
    <row r="143129" s="12" customFormat="1" x14ac:dyDescent="0.25"/>
    <row r="143130" s="12" customFormat="1" x14ac:dyDescent="0.25"/>
    <row r="143131" s="12" customFormat="1" x14ac:dyDescent="0.25"/>
    <row r="143132" s="12" customFormat="1" x14ac:dyDescent="0.25"/>
    <row r="143133" s="12" customFormat="1" x14ac:dyDescent="0.25"/>
    <row r="143134" s="12" customFormat="1" x14ac:dyDescent="0.25"/>
    <row r="143135" s="12" customFormat="1" x14ac:dyDescent="0.25"/>
    <row r="143136" s="12" customFormat="1" x14ac:dyDescent="0.25"/>
    <row r="143137" s="12" customFormat="1" x14ac:dyDescent="0.25"/>
    <row r="143138" s="12" customFormat="1" x14ac:dyDescent="0.25"/>
    <row r="143139" s="12" customFormat="1" x14ac:dyDescent="0.25"/>
    <row r="143140" s="12" customFormat="1" x14ac:dyDescent="0.25"/>
    <row r="143141" s="12" customFormat="1" x14ac:dyDescent="0.25"/>
    <row r="143142" s="12" customFormat="1" x14ac:dyDescent="0.25"/>
    <row r="143143" s="12" customFormat="1" x14ac:dyDescent="0.25"/>
    <row r="143144" s="12" customFormat="1" x14ac:dyDescent="0.25"/>
    <row r="143145" s="12" customFormat="1" x14ac:dyDescent="0.25"/>
    <row r="143146" s="12" customFormat="1" x14ac:dyDescent="0.25"/>
    <row r="143147" s="12" customFormat="1" x14ac:dyDescent="0.25"/>
    <row r="143148" s="12" customFormat="1" x14ac:dyDescent="0.25"/>
    <row r="143149" s="12" customFormat="1" x14ac:dyDescent="0.25"/>
    <row r="143150" s="12" customFormat="1" x14ac:dyDescent="0.25"/>
    <row r="143151" s="12" customFormat="1" x14ac:dyDescent="0.25"/>
    <row r="143152" s="12" customFormat="1" x14ac:dyDescent="0.25"/>
    <row r="143153" s="12" customFormat="1" x14ac:dyDescent="0.25"/>
    <row r="143154" s="12" customFormat="1" x14ac:dyDescent="0.25"/>
    <row r="143155" s="12" customFormat="1" x14ac:dyDescent="0.25"/>
    <row r="143156" s="12" customFormat="1" x14ac:dyDescent="0.25"/>
    <row r="143157" s="12" customFormat="1" x14ac:dyDescent="0.25"/>
    <row r="143158" s="12" customFormat="1" x14ac:dyDescent="0.25"/>
    <row r="143159" s="12" customFormat="1" x14ac:dyDescent="0.25"/>
    <row r="143160" s="12" customFormat="1" x14ac:dyDescent="0.25"/>
    <row r="143161" s="12" customFormat="1" x14ac:dyDescent="0.25"/>
    <row r="143162" s="12" customFormat="1" x14ac:dyDescent="0.25"/>
    <row r="143163" s="12" customFormat="1" x14ac:dyDescent="0.25"/>
    <row r="143164" s="12" customFormat="1" x14ac:dyDescent="0.25"/>
    <row r="143165" s="12" customFormat="1" x14ac:dyDescent="0.25"/>
    <row r="143166" s="12" customFormat="1" x14ac:dyDescent="0.25"/>
    <row r="143167" s="12" customFormat="1" x14ac:dyDescent="0.25"/>
    <row r="143168" s="12" customFormat="1" x14ac:dyDescent="0.25"/>
    <row r="143169" s="12" customFormat="1" x14ac:dyDescent="0.25"/>
    <row r="143170" s="12" customFormat="1" x14ac:dyDescent="0.25"/>
    <row r="143171" s="12" customFormat="1" x14ac:dyDescent="0.25"/>
    <row r="143172" s="12" customFormat="1" x14ac:dyDescent="0.25"/>
    <row r="143173" s="12" customFormat="1" x14ac:dyDescent="0.25"/>
    <row r="143174" s="12" customFormat="1" x14ac:dyDescent="0.25"/>
    <row r="143175" s="12" customFormat="1" x14ac:dyDescent="0.25"/>
    <row r="143176" s="12" customFormat="1" x14ac:dyDescent="0.25"/>
    <row r="143177" s="12" customFormat="1" x14ac:dyDescent="0.25"/>
    <row r="143178" s="12" customFormat="1" x14ac:dyDescent="0.25"/>
    <row r="143179" s="12" customFormat="1" x14ac:dyDescent="0.25"/>
    <row r="143180" s="12" customFormat="1" x14ac:dyDescent="0.25"/>
    <row r="143181" s="12" customFormat="1" x14ac:dyDescent="0.25"/>
    <row r="143182" s="12" customFormat="1" x14ac:dyDescent="0.25"/>
    <row r="143183" s="12" customFormat="1" x14ac:dyDescent="0.25"/>
    <row r="143184" s="12" customFormat="1" x14ac:dyDescent="0.25"/>
    <row r="143185" s="12" customFormat="1" x14ac:dyDescent="0.25"/>
    <row r="143186" s="12" customFormat="1" x14ac:dyDescent="0.25"/>
    <row r="143187" s="12" customFormat="1" x14ac:dyDescent="0.25"/>
    <row r="143188" s="12" customFormat="1" x14ac:dyDescent="0.25"/>
    <row r="143189" s="12" customFormat="1" x14ac:dyDescent="0.25"/>
    <row r="143190" s="12" customFormat="1" x14ac:dyDescent="0.25"/>
    <row r="143191" s="12" customFormat="1" x14ac:dyDescent="0.25"/>
    <row r="143192" s="12" customFormat="1" x14ac:dyDescent="0.25"/>
    <row r="143193" s="12" customFormat="1" x14ac:dyDescent="0.25"/>
    <row r="143194" s="12" customFormat="1" x14ac:dyDescent="0.25"/>
    <row r="143195" s="12" customFormat="1" x14ac:dyDescent="0.25"/>
    <row r="143196" s="12" customFormat="1" x14ac:dyDescent="0.25"/>
    <row r="143197" s="12" customFormat="1" x14ac:dyDescent="0.25"/>
    <row r="143198" s="12" customFormat="1" x14ac:dyDescent="0.25"/>
    <row r="143199" s="12" customFormat="1" x14ac:dyDescent="0.25"/>
    <row r="143200" s="12" customFormat="1" x14ac:dyDescent="0.25"/>
    <row r="143201" s="12" customFormat="1" x14ac:dyDescent="0.25"/>
    <row r="143202" s="12" customFormat="1" x14ac:dyDescent="0.25"/>
    <row r="143203" s="12" customFormat="1" x14ac:dyDescent="0.25"/>
    <row r="143204" s="12" customFormat="1" x14ac:dyDescent="0.25"/>
    <row r="143205" s="12" customFormat="1" x14ac:dyDescent="0.25"/>
    <row r="143206" s="12" customFormat="1" x14ac:dyDescent="0.25"/>
    <row r="143207" s="12" customFormat="1" x14ac:dyDescent="0.25"/>
    <row r="143208" s="12" customFormat="1" x14ac:dyDescent="0.25"/>
    <row r="143209" s="12" customFormat="1" x14ac:dyDescent="0.25"/>
    <row r="143210" s="12" customFormat="1" x14ac:dyDescent="0.25"/>
    <row r="143211" s="12" customFormat="1" x14ac:dyDescent="0.25"/>
    <row r="143212" s="12" customFormat="1" x14ac:dyDescent="0.25"/>
    <row r="143213" s="12" customFormat="1" x14ac:dyDescent="0.25"/>
    <row r="143214" s="12" customFormat="1" x14ac:dyDescent="0.25"/>
    <row r="143215" s="12" customFormat="1" x14ac:dyDescent="0.25"/>
    <row r="143216" s="12" customFormat="1" x14ac:dyDescent="0.25"/>
    <row r="143217" s="12" customFormat="1" x14ac:dyDescent="0.25"/>
    <row r="143218" s="12" customFormat="1" x14ac:dyDescent="0.25"/>
    <row r="143219" s="12" customFormat="1" x14ac:dyDescent="0.25"/>
    <row r="143220" s="12" customFormat="1" x14ac:dyDescent="0.25"/>
    <row r="143221" s="12" customFormat="1" x14ac:dyDescent="0.25"/>
    <row r="143222" s="12" customFormat="1" x14ac:dyDescent="0.25"/>
    <row r="143223" s="12" customFormat="1" x14ac:dyDescent="0.25"/>
    <row r="143224" s="12" customFormat="1" x14ac:dyDescent="0.25"/>
    <row r="143225" s="12" customFormat="1" x14ac:dyDescent="0.25"/>
    <row r="143226" s="12" customFormat="1" x14ac:dyDescent="0.25"/>
    <row r="143227" s="12" customFormat="1" x14ac:dyDescent="0.25"/>
    <row r="143228" s="12" customFormat="1" x14ac:dyDescent="0.25"/>
    <row r="143229" s="12" customFormat="1" x14ac:dyDescent="0.25"/>
    <row r="143230" s="12" customFormat="1" x14ac:dyDescent="0.25"/>
    <row r="143231" s="12" customFormat="1" x14ac:dyDescent="0.25"/>
    <row r="143232" s="12" customFormat="1" x14ac:dyDescent="0.25"/>
    <row r="143233" s="12" customFormat="1" x14ac:dyDescent="0.25"/>
    <row r="143234" s="12" customFormat="1" x14ac:dyDescent="0.25"/>
    <row r="143235" s="12" customFormat="1" x14ac:dyDescent="0.25"/>
    <row r="143236" s="12" customFormat="1" x14ac:dyDescent="0.25"/>
    <row r="143237" s="12" customFormat="1" x14ac:dyDescent="0.25"/>
    <row r="143238" s="12" customFormat="1" x14ac:dyDescent="0.25"/>
    <row r="143239" s="12" customFormat="1" x14ac:dyDescent="0.25"/>
    <row r="143240" s="12" customFormat="1" x14ac:dyDescent="0.25"/>
    <row r="143241" s="12" customFormat="1" x14ac:dyDescent="0.25"/>
    <row r="143242" s="12" customFormat="1" x14ac:dyDescent="0.25"/>
    <row r="143243" s="12" customFormat="1" x14ac:dyDescent="0.25"/>
    <row r="143244" s="12" customFormat="1" x14ac:dyDescent="0.25"/>
    <row r="143245" s="12" customFormat="1" x14ac:dyDescent="0.25"/>
    <row r="143246" s="12" customFormat="1" x14ac:dyDescent="0.25"/>
    <row r="143247" s="12" customFormat="1" x14ac:dyDescent="0.25"/>
    <row r="143248" s="12" customFormat="1" x14ac:dyDescent="0.25"/>
    <row r="143249" s="12" customFormat="1" x14ac:dyDescent="0.25"/>
    <row r="143250" s="12" customFormat="1" x14ac:dyDescent="0.25"/>
    <row r="143251" s="12" customFormat="1" x14ac:dyDescent="0.25"/>
    <row r="143252" s="12" customFormat="1" x14ac:dyDescent="0.25"/>
    <row r="143253" s="12" customFormat="1" x14ac:dyDescent="0.25"/>
    <row r="143254" s="12" customFormat="1" x14ac:dyDescent="0.25"/>
    <row r="143255" s="12" customFormat="1" x14ac:dyDescent="0.25"/>
    <row r="143256" s="12" customFormat="1" x14ac:dyDescent="0.25"/>
    <row r="143257" s="12" customFormat="1" x14ac:dyDescent="0.25"/>
    <row r="143258" s="12" customFormat="1" x14ac:dyDescent="0.25"/>
    <row r="143259" s="12" customFormat="1" x14ac:dyDescent="0.25"/>
    <row r="143260" s="12" customFormat="1" x14ac:dyDescent="0.25"/>
    <row r="143261" s="12" customFormat="1" x14ac:dyDescent="0.25"/>
    <row r="143262" s="12" customFormat="1" x14ac:dyDescent="0.25"/>
    <row r="143263" s="12" customFormat="1" x14ac:dyDescent="0.25"/>
    <row r="143264" s="12" customFormat="1" x14ac:dyDescent="0.25"/>
    <row r="143265" s="12" customFormat="1" x14ac:dyDescent="0.25"/>
    <row r="143266" s="12" customFormat="1" x14ac:dyDescent="0.25"/>
    <row r="143267" s="12" customFormat="1" x14ac:dyDescent="0.25"/>
    <row r="143268" s="12" customFormat="1" x14ac:dyDescent="0.25"/>
    <row r="143269" s="12" customFormat="1" x14ac:dyDescent="0.25"/>
    <row r="143270" s="12" customFormat="1" x14ac:dyDescent="0.25"/>
    <row r="143271" s="12" customFormat="1" x14ac:dyDescent="0.25"/>
    <row r="143272" s="12" customFormat="1" x14ac:dyDescent="0.25"/>
    <row r="143273" s="12" customFormat="1" x14ac:dyDescent="0.25"/>
    <row r="143274" s="12" customFormat="1" x14ac:dyDescent="0.25"/>
    <row r="143275" s="12" customFormat="1" x14ac:dyDescent="0.25"/>
    <row r="143276" s="12" customFormat="1" x14ac:dyDescent="0.25"/>
    <row r="143277" s="12" customFormat="1" x14ac:dyDescent="0.25"/>
    <row r="143278" s="12" customFormat="1" x14ac:dyDescent="0.25"/>
    <row r="143279" s="12" customFormat="1" x14ac:dyDescent="0.25"/>
    <row r="143280" s="12" customFormat="1" x14ac:dyDescent="0.25"/>
    <row r="143281" s="12" customFormat="1" x14ac:dyDescent="0.25"/>
    <row r="143282" s="12" customFormat="1" x14ac:dyDescent="0.25"/>
    <row r="143283" s="12" customFormat="1" x14ac:dyDescent="0.25"/>
    <row r="143284" s="12" customFormat="1" x14ac:dyDescent="0.25"/>
    <row r="143285" s="12" customFormat="1" x14ac:dyDescent="0.25"/>
    <row r="143286" s="12" customFormat="1" x14ac:dyDescent="0.25"/>
    <row r="143287" s="12" customFormat="1" x14ac:dyDescent="0.25"/>
    <row r="143288" s="12" customFormat="1" x14ac:dyDescent="0.25"/>
    <row r="143289" s="12" customFormat="1" x14ac:dyDescent="0.25"/>
    <row r="143290" s="12" customFormat="1" x14ac:dyDescent="0.25"/>
    <row r="143291" s="12" customFormat="1" x14ac:dyDescent="0.25"/>
    <row r="143292" s="12" customFormat="1" x14ac:dyDescent="0.25"/>
    <row r="143293" s="12" customFormat="1" x14ac:dyDescent="0.25"/>
    <row r="143294" s="12" customFormat="1" x14ac:dyDescent="0.25"/>
    <row r="143295" s="12" customFormat="1" x14ac:dyDescent="0.25"/>
    <row r="143296" s="12" customFormat="1" x14ac:dyDescent="0.25"/>
    <row r="143297" s="12" customFormat="1" x14ac:dyDescent="0.25"/>
    <row r="143298" s="12" customFormat="1" x14ac:dyDescent="0.25"/>
    <row r="143299" s="12" customFormat="1" x14ac:dyDescent="0.25"/>
    <row r="143300" s="12" customFormat="1" x14ac:dyDescent="0.25"/>
    <row r="143301" s="12" customFormat="1" x14ac:dyDescent="0.25"/>
    <row r="143302" s="12" customFormat="1" x14ac:dyDescent="0.25"/>
    <row r="143303" s="12" customFormat="1" x14ac:dyDescent="0.25"/>
    <row r="143304" s="12" customFormat="1" x14ac:dyDescent="0.25"/>
    <row r="143305" s="12" customFormat="1" x14ac:dyDescent="0.25"/>
    <row r="143306" s="12" customFormat="1" x14ac:dyDescent="0.25"/>
    <row r="143307" s="12" customFormat="1" x14ac:dyDescent="0.25"/>
    <row r="143308" s="12" customFormat="1" x14ac:dyDescent="0.25"/>
    <row r="143309" s="12" customFormat="1" x14ac:dyDescent="0.25"/>
    <row r="143310" s="12" customFormat="1" x14ac:dyDescent="0.25"/>
    <row r="143311" s="12" customFormat="1" x14ac:dyDescent="0.25"/>
    <row r="143312" s="12" customFormat="1" x14ac:dyDescent="0.25"/>
    <row r="143313" s="12" customFormat="1" x14ac:dyDescent="0.25"/>
    <row r="143314" s="12" customFormat="1" x14ac:dyDescent="0.25"/>
    <row r="143315" s="12" customFormat="1" x14ac:dyDescent="0.25"/>
    <row r="143316" s="12" customFormat="1" x14ac:dyDescent="0.25"/>
    <row r="143317" s="12" customFormat="1" x14ac:dyDescent="0.25"/>
    <row r="143318" s="12" customFormat="1" x14ac:dyDescent="0.25"/>
    <row r="143319" s="12" customFormat="1" x14ac:dyDescent="0.25"/>
    <row r="143320" s="12" customFormat="1" x14ac:dyDescent="0.25"/>
    <row r="143321" s="12" customFormat="1" x14ac:dyDescent="0.25"/>
    <row r="143322" s="12" customFormat="1" x14ac:dyDescent="0.25"/>
    <row r="143323" s="12" customFormat="1" x14ac:dyDescent="0.25"/>
    <row r="143324" s="12" customFormat="1" x14ac:dyDescent="0.25"/>
    <row r="143325" s="12" customFormat="1" x14ac:dyDescent="0.25"/>
    <row r="143326" s="12" customFormat="1" x14ac:dyDescent="0.25"/>
    <row r="143327" s="12" customFormat="1" x14ac:dyDescent="0.25"/>
    <row r="143328" s="12" customFormat="1" x14ac:dyDescent="0.25"/>
    <row r="143329" s="12" customFormat="1" x14ac:dyDescent="0.25"/>
    <row r="143330" s="12" customFormat="1" x14ac:dyDescent="0.25"/>
    <row r="143331" s="12" customFormat="1" x14ac:dyDescent="0.25"/>
    <row r="143332" s="12" customFormat="1" x14ac:dyDescent="0.25"/>
    <row r="143333" s="12" customFormat="1" x14ac:dyDescent="0.25"/>
    <row r="143334" s="12" customFormat="1" x14ac:dyDescent="0.25"/>
    <row r="143335" s="12" customFormat="1" x14ac:dyDescent="0.25"/>
    <row r="143336" s="12" customFormat="1" x14ac:dyDescent="0.25"/>
    <row r="143337" s="12" customFormat="1" x14ac:dyDescent="0.25"/>
    <row r="143338" s="12" customFormat="1" x14ac:dyDescent="0.25"/>
    <row r="143339" s="12" customFormat="1" x14ac:dyDescent="0.25"/>
    <row r="143340" s="12" customFormat="1" x14ac:dyDescent="0.25"/>
    <row r="143341" s="12" customFormat="1" x14ac:dyDescent="0.25"/>
    <row r="143342" s="12" customFormat="1" x14ac:dyDescent="0.25"/>
    <row r="143343" s="12" customFormat="1" x14ac:dyDescent="0.25"/>
    <row r="143344" s="12" customFormat="1" x14ac:dyDescent="0.25"/>
    <row r="143345" s="12" customFormat="1" x14ac:dyDescent="0.25"/>
    <row r="143346" s="12" customFormat="1" x14ac:dyDescent="0.25"/>
    <row r="143347" s="12" customFormat="1" x14ac:dyDescent="0.25"/>
    <row r="143348" s="12" customFormat="1" x14ac:dyDescent="0.25"/>
    <row r="143349" s="12" customFormat="1" x14ac:dyDescent="0.25"/>
    <row r="143350" s="12" customFormat="1" x14ac:dyDescent="0.25"/>
    <row r="143351" s="12" customFormat="1" x14ac:dyDescent="0.25"/>
    <row r="143352" s="12" customFormat="1" x14ac:dyDescent="0.25"/>
    <row r="143353" s="12" customFormat="1" x14ac:dyDescent="0.25"/>
    <row r="143354" s="12" customFormat="1" x14ac:dyDescent="0.25"/>
    <row r="143355" s="12" customFormat="1" x14ac:dyDescent="0.25"/>
    <row r="143356" s="12" customFormat="1" x14ac:dyDescent="0.25"/>
    <row r="143357" s="12" customFormat="1" x14ac:dyDescent="0.25"/>
    <row r="143358" s="12" customFormat="1" x14ac:dyDescent="0.25"/>
    <row r="143359" s="12" customFormat="1" x14ac:dyDescent="0.25"/>
    <row r="143360" s="12" customFormat="1" x14ac:dyDescent="0.25"/>
    <row r="143361" s="12" customFormat="1" x14ac:dyDescent="0.25"/>
    <row r="143362" s="12" customFormat="1" x14ac:dyDescent="0.25"/>
    <row r="143363" s="12" customFormat="1" x14ac:dyDescent="0.25"/>
    <row r="143364" s="12" customFormat="1" x14ac:dyDescent="0.25"/>
    <row r="143365" s="12" customFormat="1" x14ac:dyDescent="0.25"/>
    <row r="143366" s="12" customFormat="1" x14ac:dyDescent="0.25"/>
    <row r="143367" s="12" customFormat="1" x14ac:dyDescent="0.25"/>
    <row r="143368" s="12" customFormat="1" x14ac:dyDescent="0.25"/>
    <row r="143369" s="12" customFormat="1" x14ac:dyDescent="0.25"/>
    <row r="143370" s="12" customFormat="1" x14ac:dyDescent="0.25"/>
    <row r="143371" s="12" customFormat="1" x14ac:dyDescent="0.25"/>
    <row r="143372" s="12" customFormat="1" x14ac:dyDescent="0.25"/>
    <row r="143373" s="12" customFormat="1" x14ac:dyDescent="0.25"/>
    <row r="143374" s="12" customFormat="1" x14ac:dyDescent="0.25"/>
    <row r="143375" s="12" customFormat="1" x14ac:dyDescent="0.25"/>
    <row r="143376" s="12" customFormat="1" x14ac:dyDescent="0.25"/>
    <row r="143377" s="12" customFormat="1" x14ac:dyDescent="0.25"/>
    <row r="143378" s="12" customFormat="1" x14ac:dyDescent="0.25"/>
    <row r="143379" s="12" customFormat="1" x14ac:dyDescent="0.25"/>
    <row r="143380" s="12" customFormat="1" x14ac:dyDescent="0.25"/>
    <row r="143381" s="12" customFormat="1" x14ac:dyDescent="0.25"/>
    <row r="143382" s="12" customFormat="1" x14ac:dyDescent="0.25"/>
    <row r="143383" s="12" customFormat="1" x14ac:dyDescent="0.25"/>
    <row r="143384" s="12" customFormat="1" x14ac:dyDescent="0.25"/>
    <row r="143385" s="12" customFormat="1" x14ac:dyDescent="0.25"/>
    <row r="143386" s="12" customFormat="1" x14ac:dyDescent="0.25"/>
    <row r="143387" s="12" customFormat="1" x14ac:dyDescent="0.25"/>
    <row r="143388" s="12" customFormat="1" x14ac:dyDescent="0.25"/>
    <row r="143389" s="12" customFormat="1" x14ac:dyDescent="0.25"/>
    <row r="143390" s="12" customFormat="1" x14ac:dyDescent="0.25"/>
    <row r="143391" s="12" customFormat="1" x14ac:dyDescent="0.25"/>
    <row r="143392" s="12" customFormat="1" x14ac:dyDescent="0.25"/>
    <row r="143393" s="12" customFormat="1" x14ac:dyDescent="0.25"/>
    <row r="143394" s="12" customFormat="1" x14ac:dyDescent="0.25"/>
    <row r="143395" s="12" customFormat="1" x14ac:dyDescent="0.25"/>
    <row r="143396" s="12" customFormat="1" x14ac:dyDescent="0.25"/>
    <row r="143397" s="12" customFormat="1" x14ac:dyDescent="0.25"/>
    <row r="143398" s="12" customFormat="1" x14ac:dyDescent="0.25"/>
    <row r="143399" s="12" customFormat="1" x14ac:dyDescent="0.25"/>
    <row r="143400" s="12" customFormat="1" x14ac:dyDescent="0.25"/>
    <row r="143401" s="12" customFormat="1" x14ac:dyDescent="0.25"/>
    <row r="143402" s="12" customFormat="1" x14ac:dyDescent="0.25"/>
    <row r="143403" s="12" customFormat="1" x14ac:dyDescent="0.25"/>
    <row r="143404" s="12" customFormat="1" x14ac:dyDescent="0.25"/>
    <row r="143405" s="12" customFormat="1" x14ac:dyDescent="0.25"/>
    <row r="143406" s="12" customFormat="1" x14ac:dyDescent="0.25"/>
    <row r="143407" s="12" customFormat="1" x14ac:dyDescent="0.25"/>
    <row r="143408" s="12" customFormat="1" x14ac:dyDescent="0.25"/>
    <row r="143409" s="12" customFormat="1" x14ac:dyDescent="0.25"/>
    <row r="143410" s="12" customFormat="1" x14ac:dyDescent="0.25"/>
    <row r="143411" s="12" customFormat="1" x14ac:dyDescent="0.25"/>
    <row r="143412" s="12" customFormat="1" x14ac:dyDescent="0.25"/>
    <row r="143413" s="12" customFormat="1" x14ac:dyDescent="0.25"/>
    <row r="143414" s="12" customFormat="1" x14ac:dyDescent="0.25"/>
    <row r="143415" s="12" customFormat="1" x14ac:dyDescent="0.25"/>
    <row r="143416" s="12" customFormat="1" x14ac:dyDescent="0.25"/>
    <row r="143417" s="12" customFormat="1" x14ac:dyDescent="0.25"/>
    <row r="143418" s="12" customFormat="1" x14ac:dyDescent="0.25"/>
    <row r="143419" s="12" customFormat="1" x14ac:dyDescent="0.25"/>
    <row r="143420" s="12" customFormat="1" x14ac:dyDescent="0.25"/>
    <row r="143421" s="12" customFormat="1" x14ac:dyDescent="0.25"/>
    <row r="143422" s="12" customFormat="1" x14ac:dyDescent="0.25"/>
    <row r="143423" s="12" customFormat="1" x14ac:dyDescent="0.25"/>
    <row r="143424" s="12" customFormat="1" x14ac:dyDescent="0.25"/>
    <row r="143425" s="12" customFormat="1" x14ac:dyDescent="0.25"/>
    <row r="143426" s="12" customFormat="1" x14ac:dyDescent="0.25"/>
    <row r="143427" s="12" customFormat="1" x14ac:dyDescent="0.25"/>
    <row r="143428" s="12" customFormat="1" x14ac:dyDescent="0.25"/>
    <row r="143429" s="12" customFormat="1" x14ac:dyDescent="0.25"/>
    <row r="143430" s="12" customFormat="1" x14ac:dyDescent="0.25"/>
    <row r="143431" s="12" customFormat="1" x14ac:dyDescent="0.25"/>
    <row r="143432" s="12" customFormat="1" x14ac:dyDescent="0.25"/>
    <row r="143433" s="12" customFormat="1" x14ac:dyDescent="0.25"/>
    <row r="143434" s="12" customFormat="1" x14ac:dyDescent="0.25"/>
    <row r="143435" s="12" customFormat="1" x14ac:dyDescent="0.25"/>
    <row r="143436" s="12" customFormat="1" x14ac:dyDescent="0.25"/>
    <row r="143437" s="12" customFormat="1" x14ac:dyDescent="0.25"/>
    <row r="143438" s="12" customFormat="1" x14ac:dyDescent="0.25"/>
    <row r="143439" s="12" customFormat="1" x14ac:dyDescent="0.25"/>
    <row r="143440" s="12" customFormat="1" x14ac:dyDescent="0.25"/>
    <row r="143441" s="12" customFormat="1" x14ac:dyDescent="0.25"/>
    <row r="143442" s="12" customFormat="1" x14ac:dyDescent="0.25"/>
    <row r="143443" s="12" customFormat="1" x14ac:dyDescent="0.25"/>
    <row r="143444" s="12" customFormat="1" x14ac:dyDescent="0.25"/>
    <row r="143445" s="12" customFormat="1" x14ac:dyDescent="0.25"/>
    <row r="143446" s="12" customFormat="1" x14ac:dyDescent="0.25"/>
    <row r="143447" s="12" customFormat="1" x14ac:dyDescent="0.25"/>
    <row r="143448" s="12" customFormat="1" x14ac:dyDescent="0.25"/>
    <row r="143449" s="12" customFormat="1" x14ac:dyDescent="0.25"/>
    <row r="143450" s="12" customFormat="1" x14ac:dyDescent="0.25"/>
    <row r="143451" s="12" customFormat="1" x14ac:dyDescent="0.25"/>
    <row r="143452" s="12" customFormat="1" x14ac:dyDescent="0.25"/>
    <row r="143453" s="12" customFormat="1" x14ac:dyDescent="0.25"/>
    <row r="143454" s="12" customFormat="1" x14ac:dyDescent="0.25"/>
    <row r="143455" s="12" customFormat="1" x14ac:dyDescent="0.25"/>
    <row r="143456" s="12" customFormat="1" x14ac:dyDescent="0.25"/>
    <row r="143457" s="12" customFormat="1" x14ac:dyDescent="0.25"/>
    <row r="143458" s="12" customFormat="1" x14ac:dyDescent="0.25"/>
    <row r="143459" s="12" customFormat="1" x14ac:dyDescent="0.25"/>
    <row r="143460" s="12" customFormat="1" x14ac:dyDescent="0.25"/>
    <row r="143461" s="12" customFormat="1" x14ac:dyDescent="0.25"/>
    <row r="143462" s="12" customFormat="1" x14ac:dyDescent="0.25"/>
    <row r="143463" s="12" customFormat="1" x14ac:dyDescent="0.25"/>
    <row r="143464" s="12" customFormat="1" x14ac:dyDescent="0.25"/>
    <row r="143465" s="12" customFormat="1" x14ac:dyDescent="0.25"/>
    <row r="143466" s="12" customFormat="1" x14ac:dyDescent="0.25"/>
    <row r="143467" s="12" customFormat="1" x14ac:dyDescent="0.25"/>
    <row r="143468" s="12" customFormat="1" x14ac:dyDescent="0.25"/>
    <row r="143469" s="12" customFormat="1" x14ac:dyDescent="0.25"/>
    <row r="143470" s="12" customFormat="1" x14ac:dyDescent="0.25"/>
    <row r="143471" s="12" customFormat="1" x14ac:dyDescent="0.25"/>
    <row r="143472" s="12" customFormat="1" x14ac:dyDescent="0.25"/>
    <row r="143473" s="12" customFormat="1" x14ac:dyDescent="0.25"/>
    <row r="143474" s="12" customFormat="1" x14ac:dyDescent="0.25"/>
    <row r="143475" s="12" customFormat="1" x14ac:dyDescent="0.25"/>
    <row r="143476" s="12" customFormat="1" x14ac:dyDescent="0.25"/>
    <row r="143477" s="12" customFormat="1" x14ac:dyDescent="0.25"/>
    <row r="143478" s="12" customFormat="1" x14ac:dyDescent="0.25"/>
    <row r="143479" s="12" customFormat="1" x14ac:dyDescent="0.25"/>
    <row r="143480" s="12" customFormat="1" x14ac:dyDescent="0.25"/>
    <row r="143481" s="12" customFormat="1" x14ac:dyDescent="0.25"/>
    <row r="143482" s="12" customFormat="1" x14ac:dyDescent="0.25"/>
    <row r="143483" s="12" customFormat="1" x14ac:dyDescent="0.25"/>
    <row r="143484" s="12" customFormat="1" x14ac:dyDescent="0.25"/>
    <row r="143485" s="12" customFormat="1" x14ac:dyDescent="0.25"/>
    <row r="143486" s="12" customFormat="1" x14ac:dyDescent="0.25"/>
    <row r="143487" s="12" customFormat="1" x14ac:dyDescent="0.25"/>
    <row r="143488" s="12" customFormat="1" x14ac:dyDescent="0.25"/>
    <row r="143489" s="12" customFormat="1" x14ac:dyDescent="0.25"/>
    <row r="143490" s="12" customFormat="1" x14ac:dyDescent="0.25"/>
    <row r="143491" s="12" customFormat="1" x14ac:dyDescent="0.25"/>
    <row r="143492" s="12" customFormat="1" x14ac:dyDescent="0.25"/>
    <row r="143493" s="12" customFormat="1" x14ac:dyDescent="0.25"/>
    <row r="143494" s="12" customFormat="1" x14ac:dyDescent="0.25"/>
    <row r="143495" s="12" customFormat="1" x14ac:dyDescent="0.25"/>
    <row r="143496" s="12" customFormat="1" x14ac:dyDescent="0.25"/>
    <row r="143497" s="12" customFormat="1" x14ac:dyDescent="0.25"/>
    <row r="143498" s="12" customFormat="1" x14ac:dyDescent="0.25"/>
    <row r="143499" s="12" customFormat="1" x14ac:dyDescent="0.25"/>
    <row r="143500" s="12" customFormat="1" x14ac:dyDescent="0.25"/>
    <row r="143501" s="12" customFormat="1" x14ac:dyDescent="0.25"/>
    <row r="143502" s="12" customFormat="1" x14ac:dyDescent="0.25"/>
    <row r="143503" s="12" customFormat="1" x14ac:dyDescent="0.25"/>
    <row r="143504" s="12" customFormat="1" x14ac:dyDescent="0.25"/>
    <row r="143505" s="12" customFormat="1" x14ac:dyDescent="0.25"/>
    <row r="143506" s="12" customFormat="1" x14ac:dyDescent="0.25"/>
    <row r="143507" s="12" customFormat="1" x14ac:dyDescent="0.25"/>
    <row r="143508" s="12" customFormat="1" x14ac:dyDescent="0.25"/>
    <row r="143509" s="12" customFormat="1" x14ac:dyDescent="0.25"/>
    <row r="143510" s="12" customFormat="1" x14ac:dyDescent="0.25"/>
    <row r="143511" s="12" customFormat="1" x14ac:dyDescent="0.25"/>
    <row r="143512" s="12" customFormat="1" x14ac:dyDescent="0.25"/>
    <row r="143513" s="12" customFormat="1" x14ac:dyDescent="0.25"/>
    <row r="143514" s="12" customFormat="1" x14ac:dyDescent="0.25"/>
    <row r="143515" s="12" customFormat="1" x14ac:dyDescent="0.25"/>
    <row r="143516" s="12" customFormat="1" x14ac:dyDescent="0.25"/>
    <row r="143517" s="12" customFormat="1" x14ac:dyDescent="0.25"/>
    <row r="143518" s="12" customFormat="1" x14ac:dyDescent="0.25"/>
    <row r="143519" s="12" customFormat="1" x14ac:dyDescent="0.25"/>
    <row r="143520" s="12" customFormat="1" x14ac:dyDescent="0.25"/>
    <row r="143521" s="12" customFormat="1" x14ac:dyDescent="0.25"/>
    <row r="143522" s="12" customFormat="1" x14ac:dyDescent="0.25"/>
    <row r="143523" s="12" customFormat="1" x14ac:dyDescent="0.25"/>
    <row r="143524" s="12" customFormat="1" x14ac:dyDescent="0.25"/>
    <row r="143525" s="12" customFormat="1" x14ac:dyDescent="0.25"/>
    <row r="143526" s="12" customFormat="1" x14ac:dyDescent="0.25"/>
    <row r="143527" s="12" customFormat="1" x14ac:dyDescent="0.25"/>
    <row r="143528" s="12" customFormat="1" x14ac:dyDescent="0.25"/>
    <row r="143529" s="12" customFormat="1" x14ac:dyDescent="0.25"/>
    <row r="143530" s="12" customFormat="1" x14ac:dyDescent="0.25"/>
    <row r="143531" s="12" customFormat="1" x14ac:dyDescent="0.25"/>
    <row r="143532" s="12" customFormat="1" x14ac:dyDescent="0.25"/>
    <row r="143533" s="12" customFormat="1" x14ac:dyDescent="0.25"/>
    <row r="143534" s="12" customFormat="1" x14ac:dyDescent="0.25"/>
    <row r="143535" s="12" customFormat="1" x14ac:dyDescent="0.25"/>
    <row r="143536" s="12" customFormat="1" x14ac:dyDescent="0.25"/>
    <row r="143537" s="12" customFormat="1" x14ac:dyDescent="0.25"/>
    <row r="143538" s="12" customFormat="1" x14ac:dyDescent="0.25"/>
    <row r="143539" s="12" customFormat="1" x14ac:dyDescent="0.25"/>
    <row r="143540" s="12" customFormat="1" x14ac:dyDescent="0.25"/>
    <row r="143541" s="12" customFormat="1" x14ac:dyDescent="0.25"/>
    <row r="143542" s="12" customFormat="1" x14ac:dyDescent="0.25"/>
    <row r="143543" s="12" customFormat="1" x14ac:dyDescent="0.25"/>
    <row r="143544" s="12" customFormat="1" x14ac:dyDescent="0.25"/>
    <row r="143545" s="12" customFormat="1" x14ac:dyDescent="0.25"/>
    <row r="143546" s="12" customFormat="1" x14ac:dyDescent="0.25"/>
    <row r="143547" s="12" customFormat="1" x14ac:dyDescent="0.25"/>
    <row r="143548" s="12" customFormat="1" x14ac:dyDescent="0.25"/>
    <row r="143549" s="12" customFormat="1" x14ac:dyDescent="0.25"/>
    <row r="143550" s="12" customFormat="1" x14ac:dyDescent="0.25"/>
    <row r="143551" s="12" customFormat="1" x14ac:dyDescent="0.25"/>
    <row r="143552" s="12" customFormat="1" x14ac:dyDescent="0.25"/>
    <row r="143553" s="12" customFormat="1" x14ac:dyDescent="0.25"/>
    <row r="143554" s="12" customFormat="1" x14ac:dyDescent="0.25"/>
    <row r="143555" s="12" customFormat="1" x14ac:dyDescent="0.25"/>
    <row r="143556" s="12" customFormat="1" x14ac:dyDescent="0.25"/>
    <row r="143557" s="12" customFormat="1" x14ac:dyDescent="0.25"/>
    <row r="143558" s="12" customFormat="1" x14ac:dyDescent="0.25"/>
    <row r="143559" s="12" customFormat="1" x14ac:dyDescent="0.25"/>
    <row r="143560" s="12" customFormat="1" x14ac:dyDescent="0.25"/>
    <row r="143561" s="12" customFormat="1" x14ac:dyDescent="0.25"/>
    <row r="143562" s="12" customFormat="1" x14ac:dyDescent="0.25"/>
    <row r="143563" s="12" customFormat="1" x14ac:dyDescent="0.25"/>
    <row r="143564" s="12" customFormat="1" x14ac:dyDescent="0.25"/>
    <row r="143565" s="12" customFormat="1" x14ac:dyDescent="0.25"/>
    <row r="143566" s="12" customFormat="1" x14ac:dyDescent="0.25"/>
    <row r="143567" s="12" customFormat="1" x14ac:dyDescent="0.25"/>
    <row r="143568" s="12" customFormat="1" x14ac:dyDescent="0.25"/>
    <row r="143569" s="12" customFormat="1" x14ac:dyDescent="0.25"/>
    <row r="143570" s="12" customFormat="1" x14ac:dyDescent="0.25"/>
    <row r="143571" s="12" customFormat="1" x14ac:dyDescent="0.25"/>
    <row r="143572" s="12" customFormat="1" x14ac:dyDescent="0.25"/>
    <row r="143573" s="12" customFormat="1" x14ac:dyDescent="0.25"/>
    <row r="143574" s="12" customFormat="1" x14ac:dyDescent="0.25"/>
    <row r="143575" s="12" customFormat="1" x14ac:dyDescent="0.25"/>
    <row r="143576" s="12" customFormat="1" x14ac:dyDescent="0.25"/>
    <row r="143577" s="12" customFormat="1" x14ac:dyDescent="0.25"/>
    <row r="143578" s="12" customFormat="1" x14ac:dyDescent="0.25"/>
    <row r="143579" s="12" customFormat="1" x14ac:dyDescent="0.25"/>
    <row r="143580" s="12" customFormat="1" x14ac:dyDescent="0.25"/>
    <row r="143581" s="12" customFormat="1" x14ac:dyDescent="0.25"/>
    <row r="143582" s="12" customFormat="1" x14ac:dyDescent="0.25"/>
    <row r="143583" s="12" customFormat="1" x14ac:dyDescent="0.25"/>
    <row r="143584" s="12" customFormat="1" x14ac:dyDescent="0.25"/>
    <row r="143585" s="12" customFormat="1" x14ac:dyDescent="0.25"/>
    <row r="143586" s="12" customFormat="1" x14ac:dyDescent="0.25"/>
    <row r="143587" s="12" customFormat="1" x14ac:dyDescent="0.25"/>
    <row r="143588" s="12" customFormat="1" x14ac:dyDescent="0.25"/>
    <row r="143589" s="12" customFormat="1" x14ac:dyDescent="0.25"/>
    <row r="143590" s="12" customFormat="1" x14ac:dyDescent="0.25"/>
    <row r="143591" s="12" customFormat="1" x14ac:dyDescent="0.25"/>
    <row r="143592" s="12" customFormat="1" x14ac:dyDescent="0.25"/>
    <row r="143593" s="12" customFormat="1" x14ac:dyDescent="0.25"/>
    <row r="143594" s="12" customFormat="1" x14ac:dyDescent="0.25"/>
    <row r="143595" s="12" customFormat="1" x14ac:dyDescent="0.25"/>
    <row r="143596" s="12" customFormat="1" x14ac:dyDescent="0.25"/>
    <row r="143597" s="12" customFormat="1" x14ac:dyDescent="0.25"/>
    <row r="143598" s="12" customFormat="1" x14ac:dyDescent="0.25"/>
    <row r="143599" s="12" customFormat="1" x14ac:dyDescent="0.25"/>
    <row r="143600" s="12" customFormat="1" x14ac:dyDescent="0.25"/>
    <row r="143601" s="12" customFormat="1" x14ac:dyDescent="0.25"/>
    <row r="143602" s="12" customFormat="1" x14ac:dyDescent="0.25"/>
    <row r="143603" s="12" customFormat="1" x14ac:dyDescent="0.25"/>
    <row r="143604" s="12" customFormat="1" x14ac:dyDescent="0.25"/>
    <row r="143605" s="12" customFormat="1" x14ac:dyDescent="0.25"/>
    <row r="143606" s="12" customFormat="1" x14ac:dyDescent="0.25"/>
    <row r="143607" s="12" customFormat="1" x14ac:dyDescent="0.25"/>
    <row r="143608" s="12" customFormat="1" x14ac:dyDescent="0.25"/>
    <row r="143609" s="12" customFormat="1" x14ac:dyDescent="0.25"/>
    <row r="143610" s="12" customFormat="1" x14ac:dyDescent="0.25"/>
    <row r="143611" s="12" customFormat="1" x14ac:dyDescent="0.25"/>
    <row r="143612" s="12" customFormat="1" x14ac:dyDescent="0.25"/>
    <row r="143613" s="12" customFormat="1" x14ac:dyDescent="0.25"/>
    <row r="143614" s="12" customFormat="1" x14ac:dyDescent="0.25"/>
    <row r="143615" s="12" customFormat="1" x14ac:dyDescent="0.25"/>
    <row r="143616" s="12" customFormat="1" x14ac:dyDescent="0.25"/>
    <row r="143617" s="12" customFormat="1" x14ac:dyDescent="0.25"/>
    <row r="143618" s="12" customFormat="1" x14ac:dyDescent="0.25"/>
    <row r="143619" s="12" customFormat="1" x14ac:dyDescent="0.25"/>
    <row r="143620" s="12" customFormat="1" x14ac:dyDescent="0.25"/>
    <row r="143621" s="12" customFormat="1" x14ac:dyDescent="0.25"/>
    <row r="143622" s="12" customFormat="1" x14ac:dyDescent="0.25"/>
    <row r="143623" s="12" customFormat="1" x14ac:dyDescent="0.25"/>
    <row r="143624" s="12" customFormat="1" x14ac:dyDescent="0.25"/>
    <row r="143625" s="12" customFormat="1" x14ac:dyDescent="0.25"/>
    <row r="143626" s="12" customFormat="1" x14ac:dyDescent="0.25"/>
    <row r="143627" s="12" customFormat="1" x14ac:dyDescent="0.25"/>
    <row r="143628" s="12" customFormat="1" x14ac:dyDescent="0.25"/>
    <row r="143629" s="12" customFormat="1" x14ac:dyDescent="0.25"/>
    <row r="143630" s="12" customFormat="1" x14ac:dyDescent="0.25"/>
    <row r="143631" s="12" customFormat="1" x14ac:dyDescent="0.25"/>
    <row r="143632" s="12" customFormat="1" x14ac:dyDescent="0.25"/>
    <row r="143633" s="12" customFormat="1" x14ac:dyDescent="0.25"/>
    <row r="143634" s="12" customFormat="1" x14ac:dyDescent="0.25"/>
    <row r="143635" s="12" customFormat="1" x14ac:dyDescent="0.25"/>
    <row r="143636" s="12" customFormat="1" x14ac:dyDescent="0.25"/>
    <row r="143637" s="12" customFormat="1" x14ac:dyDescent="0.25"/>
    <row r="143638" s="12" customFormat="1" x14ac:dyDescent="0.25"/>
    <row r="143639" s="12" customFormat="1" x14ac:dyDescent="0.25"/>
    <row r="143640" s="12" customFormat="1" x14ac:dyDescent="0.25"/>
    <row r="143641" s="12" customFormat="1" x14ac:dyDescent="0.25"/>
    <row r="143642" s="12" customFormat="1" x14ac:dyDescent="0.25"/>
    <row r="143643" s="12" customFormat="1" x14ac:dyDescent="0.25"/>
    <row r="143644" s="12" customFormat="1" x14ac:dyDescent="0.25"/>
    <row r="143645" s="12" customFormat="1" x14ac:dyDescent="0.25"/>
    <row r="143646" s="12" customFormat="1" x14ac:dyDescent="0.25"/>
    <row r="143647" s="12" customFormat="1" x14ac:dyDescent="0.25"/>
    <row r="143648" s="12" customFormat="1" x14ac:dyDescent="0.25"/>
    <row r="143649" s="12" customFormat="1" x14ac:dyDescent="0.25"/>
    <row r="143650" s="12" customFormat="1" x14ac:dyDescent="0.25"/>
    <row r="143651" s="12" customFormat="1" x14ac:dyDescent="0.25"/>
    <row r="143652" s="12" customFormat="1" x14ac:dyDescent="0.25"/>
    <row r="143653" s="12" customFormat="1" x14ac:dyDescent="0.25"/>
    <row r="143654" s="12" customFormat="1" x14ac:dyDescent="0.25"/>
    <row r="143655" s="12" customFormat="1" x14ac:dyDescent="0.25"/>
    <row r="143656" s="12" customFormat="1" x14ac:dyDescent="0.25"/>
    <row r="143657" s="12" customFormat="1" x14ac:dyDescent="0.25"/>
    <row r="143658" s="12" customFormat="1" x14ac:dyDescent="0.25"/>
    <row r="143659" s="12" customFormat="1" x14ac:dyDescent="0.25"/>
    <row r="143660" s="12" customFormat="1" x14ac:dyDescent="0.25"/>
    <row r="143661" s="12" customFormat="1" x14ac:dyDescent="0.25"/>
    <row r="143662" s="12" customFormat="1" x14ac:dyDescent="0.25"/>
    <row r="143663" s="12" customFormat="1" x14ac:dyDescent="0.25"/>
    <row r="143664" s="12" customFormat="1" x14ac:dyDescent="0.25"/>
    <row r="143665" s="12" customFormat="1" x14ac:dyDescent="0.25"/>
    <row r="143666" s="12" customFormat="1" x14ac:dyDescent="0.25"/>
    <row r="143667" s="12" customFormat="1" x14ac:dyDescent="0.25"/>
    <row r="143668" s="12" customFormat="1" x14ac:dyDescent="0.25"/>
    <row r="143669" s="12" customFormat="1" x14ac:dyDescent="0.25"/>
    <row r="143670" s="12" customFormat="1" x14ac:dyDescent="0.25"/>
    <row r="143671" s="12" customFormat="1" x14ac:dyDescent="0.25"/>
    <row r="143672" s="12" customFormat="1" x14ac:dyDescent="0.25"/>
    <row r="143673" s="12" customFormat="1" x14ac:dyDescent="0.25"/>
    <row r="143674" s="12" customFormat="1" x14ac:dyDescent="0.25"/>
    <row r="143675" s="12" customFormat="1" x14ac:dyDescent="0.25"/>
    <row r="143676" s="12" customFormat="1" x14ac:dyDescent="0.25"/>
    <row r="143677" s="12" customFormat="1" x14ac:dyDescent="0.25"/>
    <row r="143678" s="12" customFormat="1" x14ac:dyDescent="0.25"/>
    <row r="143679" s="12" customFormat="1" x14ac:dyDescent="0.25"/>
    <row r="143680" s="12" customFormat="1" x14ac:dyDescent="0.25"/>
    <row r="143681" s="12" customFormat="1" x14ac:dyDescent="0.25"/>
    <row r="143682" s="12" customFormat="1" x14ac:dyDescent="0.25"/>
    <row r="143683" s="12" customFormat="1" x14ac:dyDescent="0.25"/>
    <row r="143684" s="12" customFormat="1" x14ac:dyDescent="0.25"/>
    <row r="143685" s="12" customFormat="1" x14ac:dyDescent="0.25"/>
    <row r="143686" s="12" customFormat="1" x14ac:dyDescent="0.25"/>
    <row r="143687" s="12" customFormat="1" x14ac:dyDescent="0.25"/>
    <row r="143688" s="12" customFormat="1" x14ac:dyDescent="0.25"/>
    <row r="143689" s="12" customFormat="1" x14ac:dyDescent="0.25"/>
    <row r="143690" s="12" customFormat="1" x14ac:dyDescent="0.25"/>
    <row r="143691" s="12" customFormat="1" x14ac:dyDescent="0.25"/>
    <row r="143692" s="12" customFormat="1" x14ac:dyDescent="0.25"/>
    <row r="143693" s="12" customFormat="1" x14ac:dyDescent="0.25"/>
    <row r="143694" s="12" customFormat="1" x14ac:dyDescent="0.25"/>
    <row r="143695" s="12" customFormat="1" x14ac:dyDescent="0.25"/>
    <row r="143696" s="12" customFormat="1" x14ac:dyDescent="0.25"/>
    <row r="143697" s="12" customFormat="1" x14ac:dyDescent="0.25"/>
    <row r="143698" s="12" customFormat="1" x14ac:dyDescent="0.25"/>
    <row r="143699" s="12" customFormat="1" x14ac:dyDescent="0.25"/>
    <row r="143700" s="12" customFormat="1" x14ac:dyDescent="0.25"/>
    <row r="143701" s="12" customFormat="1" x14ac:dyDescent="0.25"/>
    <row r="143702" s="12" customFormat="1" x14ac:dyDescent="0.25"/>
    <row r="143703" s="12" customFormat="1" x14ac:dyDescent="0.25"/>
    <row r="143704" s="12" customFormat="1" x14ac:dyDescent="0.25"/>
    <row r="143705" s="12" customFormat="1" x14ac:dyDescent="0.25"/>
    <row r="143706" s="12" customFormat="1" x14ac:dyDescent="0.25"/>
    <row r="143707" s="12" customFormat="1" x14ac:dyDescent="0.25"/>
    <row r="143708" s="12" customFormat="1" x14ac:dyDescent="0.25"/>
    <row r="143709" s="12" customFormat="1" x14ac:dyDescent="0.25"/>
    <row r="143710" s="12" customFormat="1" x14ac:dyDescent="0.25"/>
    <row r="143711" s="12" customFormat="1" x14ac:dyDescent="0.25"/>
    <row r="143712" s="12" customFormat="1" x14ac:dyDescent="0.25"/>
    <row r="143713" s="12" customFormat="1" x14ac:dyDescent="0.25"/>
    <row r="143714" s="12" customFormat="1" x14ac:dyDescent="0.25"/>
    <row r="143715" s="12" customFormat="1" x14ac:dyDescent="0.25"/>
    <row r="143716" s="12" customFormat="1" x14ac:dyDescent="0.25"/>
    <row r="143717" s="12" customFormat="1" x14ac:dyDescent="0.25"/>
    <row r="143718" s="12" customFormat="1" x14ac:dyDescent="0.25"/>
    <row r="143719" s="12" customFormat="1" x14ac:dyDescent="0.25"/>
    <row r="143720" s="12" customFormat="1" x14ac:dyDescent="0.25"/>
    <row r="143721" s="12" customFormat="1" x14ac:dyDescent="0.25"/>
    <row r="143722" s="12" customFormat="1" x14ac:dyDescent="0.25"/>
    <row r="143723" s="12" customFormat="1" x14ac:dyDescent="0.25"/>
    <row r="143724" s="12" customFormat="1" x14ac:dyDescent="0.25"/>
    <row r="143725" s="12" customFormat="1" x14ac:dyDescent="0.25"/>
    <row r="143726" s="12" customFormat="1" x14ac:dyDescent="0.25"/>
    <row r="143727" s="12" customFormat="1" x14ac:dyDescent="0.25"/>
    <row r="143728" s="12" customFormat="1" x14ac:dyDescent="0.25"/>
    <row r="143729" s="12" customFormat="1" x14ac:dyDescent="0.25"/>
    <row r="143730" s="12" customFormat="1" x14ac:dyDescent="0.25"/>
    <row r="143731" s="12" customFormat="1" x14ac:dyDescent="0.25"/>
    <row r="143732" s="12" customFormat="1" x14ac:dyDescent="0.25"/>
    <row r="143733" s="12" customFormat="1" x14ac:dyDescent="0.25"/>
    <row r="143734" s="12" customFormat="1" x14ac:dyDescent="0.25"/>
    <row r="143735" s="12" customFormat="1" x14ac:dyDescent="0.25"/>
    <row r="143736" s="12" customFormat="1" x14ac:dyDescent="0.25"/>
    <row r="143737" s="12" customFormat="1" x14ac:dyDescent="0.25"/>
    <row r="143738" s="12" customFormat="1" x14ac:dyDescent="0.25"/>
    <row r="143739" s="12" customFormat="1" x14ac:dyDescent="0.25"/>
    <row r="143740" s="12" customFormat="1" x14ac:dyDescent="0.25"/>
    <row r="143741" s="12" customFormat="1" x14ac:dyDescent="0.25"/>
    <row r="143742" s="12" customFormat="1" x14ac:dyDescent="0.25"/>
    <row r="143743" s="12" customFormat="1" x14ac:dyDescent="0.25"/>
    <row r="143744" s="12" customFormat="1" x14ac:dyDescent="0.25"/>
    <row r="143745" s="12" customFormat="1" x14ac:dyDescent="0.25"/>
    <row r="143746" s="12" customFormat="1" x14ac:dyDescent="0.25"/>
    <row r="143747" s="12" customFormat="1" x14ac:dyDescent="0.25"/>
    <row r="143748" s="12" customFormat="1" x14ac:dyDescent="0.25"/>
    <row r="143749" s="12" customFormat="1" x14ac:dyDescent="0.25"/>
    <row r="143750" s="12" customFormat="1" x14ac:dyDescent="0.25"/>
    <row r="143751" s="12" customFormat="1" x14ac:dyDescent="0.25"/>
    <row r="143752" s="12" customFormat="1" x14ac:dyDescent="0.25"/>
    <row r="143753" s="12" customFormat="1" x14ac:dyDescent="0.25"/>
    <row r="143754" s="12" customFormat="1" x14ac:dyDescent="0.25"/>
    <row r="143755" s="12" customFormat="1" x14ac:dyDescent="0.25"/>
    <row r="143756" s="12" customFormat="1" x14ac:dyDescent="0.25"/>
    <row r="143757" s="12" customFormat="1" x14ac:dyDescent="0.25"/>
    <row r="143758" s="12" customFormat="1" x14ac:dyDescent="0.25"/>
    <row r="143759" s="12" customFormat="1" x14ac:dyDescent="0.25"/>
    <row r="143760" s="12" customFormat="1" x14ac:dyDescent="0.25"/>
    <row r="143761" s="12" customFormat="1" x14ac:dyDescent="0.25"/>
    <row r="143762" s="12" customFormat="1" x14ac:dyDescent="0.25"/>
    <row r="143763" s="12" customFormat="1" x14ac:dyDescent="0.25"/>
    <row r="143764" s="12" customFormat="1" x14ac:dyDescent="0.25"/>
    <row r="143765" s="12" customFormat="1" x14ac:dyDescent="0.25"/>
    <row r="143766" s="12" customFormat="1" x14ac:dyDescent="0.25"/>
    <row r="143767" s="12" customFormat="1" x14ac:dyDescent="0.25"/>
    <row r="143768" s="12" customFormat="1" x14ac:dyDescent="0.25"/>
    <row r="143769" s="12" customFormat="1" x14ac:dyDescent="0.25"/>
    <row r="143770" s="12" customFormat="1" x14ac:dyDescent="0.25"/>
    <row r="143771" s="12" customFormat="1" x14ac:dyDescent="0.25"/>
    <row r="143772" s="12" customFormat="1" x14ac:dyDescent="0.25"/>
    <row r="143773" s="12" customFormat="1" x14ac:dyDescent="0.25"/>
    <row r="143774" s="12" customFormat="1" x14ac:dyDescent="0.25"/>
    <row r="143775" s="12" customFormat="1" x14ac:dyDescent="0.25"/>
    <row r="143776" s="12" customFormat="1" x14ac:dyDescent="0.25"/>
    <row r="143777" s="12" customFormat="1" x14ac:dyDescent="0.25"/>
    <row r="143778" s="12" customFormat="1" x14ac:dyDescent="0.25"/>
    <row r="143779" s="12" customFormat="1" x14ac:dyDescent="0.25"/>
    <row r="143780" s="12" customFormat="1" x14ac:dyDescent="0.25"/>
    <row r="143781" s="12" customFormat="1" x14ac:dyDescent="0.25"/>
    <row r="143782" s="12" customFormat="1" x14ac:dyDescent="0.25"/>
    <row r="143783" s="12" customFormat="1" x14ac:dyDescent="0.25"/>
    <row r="143784" s="12" customFormat="1" x14ac:dyDescent="0.25"/>
    <row r="143785" s="12" customFormat="1" x14ac:dyDescent="0.25"/>
    <row r="143786" s="12" customFormat="1" x14ac:dyDescent="0.25"/>
    <row r="143787" s="12" customFormat="1" x14ac:dyDescent="0.25"/>
    <row r="143788" s="12" customFormat="1" x14ac:dyDescent="0.25"/>
    <row r="143789" s="12" customFormat="1" x14ac:dyDescent="0.25"/>
    <row r="143790" s="12" customFormat="1" x14ac:dyDescent="0.25"/>
    <row r="143791" s="12" customFormat="1" x14ac:dyDescent="0.25"/>
    <row r="143792" s="12" customFormat="1" x14ac:dyDescent="0.25"/>
    <row r="143793" s="12" customFormat="1" x14ac:dyDescent="0.25"/>
    <row r="143794" s="12" customFormat="1" x14ac:dyDescent="0.25"/>
    <row r="143795" s="12" customFormat="1" x14ac:dyDescent="0.25"/>
    <row r="143796" s="12" customFormat="1" x14ac:dyDescent="0.25"/>
    <row r="143797" s="12" customFormat="1" x14ac:dyDescent="0.25"/>
    <row r="143798" s="12" customFormat="1" x14ac:dyDescent="0.25"/>
    <row r="143799" s="12" customFormat="1" x14ac:dyDescent="0.25"/>
    <row r="143800" s="12" customFormat="1" x14ac:dyDescent="0.25"/>
    <row r="143801" s="12" customFormat="1" x14ac:dyDescent="0.25"/>
    <row r="143802" s="12" customFormat="1" x14ac:dyDescent="0.25"/>
    <row r="143803" s="12" customFormat="1" x14ac:dyDescent="0.25"/>
    <row r="143804" s="12" customFormat="1" x14ac:dyDescent="0.25"/>
    <row r="143805" s="12" customFormat="1" x14ac:dyDescent="0.25"/>
    <row r="143806" s="12" customFormat="1" x14ac:dyDescent="0.25"/>
    <row r="143807" s="12" customFormat="1" x14ac:dyDescent="0.25"/>
    <row r="143808" s="12" customFormat="1" x14ac:dyDescent="0.25"/>
    <row r="143809" s="12" customFormat="1" x14ac:dyDescent="0.25"/>
    <row r="143810" s="12" customFormat="1" x14ac:dyDescent="0.25"/>
    <row r="143811" s="12" customFormat="1" x14ac:dyDescent="0.25"/>
    <row r="143812" s="12" customFormat="1" x14ac:dyDescent="0.25"/>
    <row r="143813" s="12" customFormat="1" x14ac:dyDescent="0.25"/>
    <row r="143814" s="12" customFormat="1" x14ac:dyDescent="0.25"/>
    <row r="143815" s="12" customFormat="1" x14ac:dyDescent="0.25"/>
    <row r="143816" s="12" customFormat="1" x14ac:dyDescent="0.25"/>
    <row r="143817" s="12" customFormat="1" x14ac:dyDescent="0.25"/>
    <row r="143818" s="12" customFormat="1" x14ac:dyDescent="0.25"/>
    <row r="143819" s="12" customFormat="1" x14ac:dyDescent="0.25"/>
    <row r="143820" s="12" customFormat="1" x14ac:dyDescent="0.25"/>
    <row r="143821" s="12" customFormat="1" x14ac:dyDescent="0.25"/>
    <row r="143822" s="12" customFormat="1" x14ac:dyDescent="0.25"/>
    <row r="143823" s="12" customFormat="1" x14ac:dyDescent="0.25"/>
    <row r="143824" s="12" customFormat="1" x14ac:dyDescent="0.25"/>
    <row r="143825" s="12" customFormat="1" x14ac:dyDescent="0.25"/>
    <row r="143826" s="12" customFormat="1" x14ac:dyDescent="0.25"/>
    <row r="143827" s="12" customFormat="1" x14ac:dyDescent="0.25"/>
    <row r="143828" s="12" customFormat="1" x14ac:dyDescent="0.25"/>
    <row r="143829" s="12" customFormat="1" x14ac:dyDescent="0.25"/>
    <row r="143830" s="12" customFormat="1" x14ac:dyDescent="0.25"/>
    <row r="143831" s="12" customFormat="1" x14ac:dyDescent="0.25"/>
    <row r="143832" s="12" customFormat="1" x14ac:dyDescent="0.25"/>
    <row r="143833" s="12" customFormat="1" x14ac:dyDescent="0.25"/>
    <row r="143834" s="12" customFormat="1" x14ac:dyDescent="0.25"/>
    <row r="143835" s="12" customFormat="1" x14ac:dyDescent="0.25"/>
    <row r="143836" s="12" customFormat="1" x14ac:dyDescent="0.25"/>
    <row r="143837" s="12" customFormat="1" x14ac:dyDescent="0.25"/>
    <row r="143838" s="12" customFormat="1" x14ac:dyDescent="0.25"/>
    <row r="143839" s="12" customFormat="1" x14ac:dyDescent="0.25"/>
    <row r="143840" s="12" customFormat="1" x14ac:dyDescent="0.25"/>
    <row r="143841" s="12" customFormat="1" x14ac:dyDescent="0.25"/>
    <row r="143842" s="12" customFormat="1" x14ac:dyDescent="0.25"/>
    <row r="143843" s="12" customFormat="1" x14ac:dyDescent="0.25"/>
    <row r="143844" s="12" customFormat="1" x14ac:dyDescent="0.25"/>
    <row r="143845" s="12" customFormat="1" x14ac:dyDescent="0.25"/>
    <row r="143846" s="12" customFormat="1" x14ac:dyDescent="0.25"/>
    <row r="143847" s="12" customFormat="1" x14ac:dyDescent="0.25"/>
    <row r="143848" s="12" customFormat="1" x14ac:dyDescent="0.25"/>
    <row r="143849" s="12" customFormat="1" x14ac:dyDescent="0.25"/>
    <row r="143850" s="12" customFormat="1" x14ac:dyDescent="0.25"/>
    <row r="143851" s="12" customFormat="1" x14ac:dyDescent="0.25"/>
    <row r="143852" s="12" customFormat="1" x14ac:dyDescent="0.25"/>
    <row r="143853" s="12" customFormat="1" x14ac:dyDescent="0.25"/>
    <row r="143854" s="12" customFormat="1" x14ac:dyDescent="0.25"/>
    <row r="143855" s="12" customFormat="1" x14ac:dyDescent="0.25"/>
    <row r="143856" s="12" customFormat="1" x14ac:dyDescent="0.25"/>
    <row r="143857" s="12" customFormat="1" x14ac:dyDescent="0.25"/>
    <row r="143858" s="12" customFormat="1" x14ac:dyDescent="0.25"/>
    <row r="143859" s="12" customFormat="1" x14ac:dyDescent="0.25"/>
    <row r="143860" s="12" customFormat="1" x14ac:dyDescent="0.25"/>
    <row r="143861" s="12" customFormat="1" x14ac:dyDescent="0.25"/>
    <row r="143862" s="12" customFormat="1" x14ac:dyDescent="0.25"/>
    <row r="143863" s="12" customFormat="1" x14ac:dyDescent="0.25"/>
    <row r="143864" s="12" customFormat="1" x14ac:dyDescent="0.25"/>
    <row r="143865" s="12" customFormat="1" x14ac:dyDescent="0.25"/>
    <row r="143866" s="12" customFormat="1" x14ac:dyDescent="0.25"/>
    <row r="143867" s="12" customFormat="1" x14ac:dyDescent="0.25"/>
    <row r="143868" s="12" customFormat="1" x14ac:dyDescent="0.25"/>
    <row r="143869" s="12" customFormat="1" x14ac:dyDescent="0.25"/>
    <row r="143870" s="12" customFormat="1" x14ac:dyDescent="0.25"/>
    <row r="143871" s="12" customFormat="1" x14ac:dyDescent="0.25"/>
    <row r="143872" s="12" customFormat="1" x14ac:dyDescent="0.25"/>
    <row r="143873" s="12" customFormat="1" x14ac:dyDescent="0.25"/>
    <row r="143874" s="12" customFormat="1" x14ac:dyDescent="0.25"/>
    <row r="143875" s="12" customFormat="1" x14ac:dyDescent="0.25"/>
    <row r="143876" s="12" customFormat="1" x14ac:dyDescent="0.25"/>
    <row r="143877" s="12" customFormat="1" x14ac:dyDescent="0.25"/>
    <row r="143878" s="12" customFormat="1" x14ac:dyDescent="0.25"/>
    <row r="143879" s="12" customFormat="1" x14ac:dyDescent="0.25"/>
    <row r="143880" s="12" customFormat="1" x14ac:dyDescent="0.25"/>
    <row r="143881" s="12" customFormat="1" x14ac:dyDescent="0.25"/>
    <row r="143882" s="12" customFormat="1" x14ac:dyDescent="0.25"/>
    <row r="143883" s="12" customFormat="1" x14ac:dyDescent="0.25"/>
    <row r="143884" s="12" customFormat="1" x14ac:dyDescent="0.25"/>
    <row r="143885" s="12" customFormat="1" x14ac:dyDescent="0.25"/>
    <row r="143886" s="12" customFormat="1" x14ac:dyDescent="0.25"/>
    <row r="143887" s="12" customFormat="1" x14ac:dyDescent="0.25"/>
    <row r="143888" s="12" customFormat="1" x14ac:dyDescent="0.25"/>
    <row r="143889" s="12" customFormat="1" x14ac:dyDescent="0.25"/>
    <row r="143890" s="12" customFormat="1" x14ac:dyDescent="0.25"/>
    <row r="143891" s="12" customFormat="1" x14ac:dyDescent="0.25"/>
    <row r="143892" s="12" customFormat="1" x14ac:dyDescent="0.25"/>
    <row r="143893" s="12" customFormat="1" x14ac:dyDescent="0.25"/>
    <row r="143894" s="12" customFormat="1" x14ac:dyDescent="0.25"/>
    <row r="143895" s="12" customFormat="1" x14ac:dyDescent="0.25"/>
    <row r="143896" s="12" customFormat="1" x14ac:dyDescent="0.25"/>
    <row r="143897" s="12" customFormat="1" x14ac:dyDescent="0.25"/>
    <row r="143898" s="12" customFormat="1" x14ac:dyDescent="0.25"/>
    <row r="143899" s="12" customFormat="1" x14ac:dyDescent="0.25"/>
    <row r="143900" s="12" customFormat="1" x14ac:dyDescent="0.25"/>
    <row r="143901" s="12" customFormat="1" x14ac:dyDescent="0.25"/>
    <row r="143902" s="12" customFormat="1" x14ac:dyDescent="0.25"/>
    <row r="143903" s="12" customFormat="1" x14ac:dyDescent="0.25"/>
    <row r="143904" s="12" customFormat="1" x14ac:dyDescent="0.25"/>
    <row r="143905" s="12" customFormat="1" x14ac:dyDescent="0.25"/>
    <row r="143906" s="12" customFormat="1" x14ac:dyDescent="0.25"/>
    <row r="143907" s="12" customFormat="1" x14ac:dyDescent="0.25"/>
    <row r="143908" s="12" customFormat="1" x14ac:dyDescent="0.25"/>
    <row r="143909" s="12" customFormat="1" x14ac:dyDescent="0.25"/>
    <row r="143910" s="12" customFormat="1" x14ac:dyDescent="0.25"/>
    <row r="143911" s="12" customFormat="1" x14ac:dyDescent="0.25"/>
    <row r="143912" s="12" customFormat="1" x14ac:dyDescent="0.25"/>
    <row r="143913" s="12" customFormat="1" x14ac:dyDescent="0.25"/>
    <row r="143914" s="12" customFormat="1" x14ac:dyDescent="0.25"/>
    <row r="143915" s="12" customFormat="1" x14ac:dyDescent="0.25"/>
    <row r="143916" s="12" customFormat="1" x14ac:dyDescent="0.25"/>
    <row r="143917" s="12" customFormat="1" x14ac:dyDescent="0.25"/>
    <row r="143918" s="12" customFormat="1" x14ac:dyDescent="0.25"/>
    <row r="143919" s="12" customFormat="1" x14ac:dyDescent="0.25"/>
    <row r="143920" s="12" customFormat="1" x14ac:dyDescent="0.25"/>
    <row r="143921" s="12" customFormat="1" x14ac:dyDescent="0.25"/>
    <row r="143922" s="12" customFormat="1" x14ac:dyDescent="0.25"/>
    <row r="143923" s="12" customFormat="1" x14ac:dyDescent="0.25"/>
    <row r="143924" s="12" customFormat="1" x14ac:dyDescent="0.25"/>
    <row r="143925" s="12" customFormat="1" x14ac:dyDescent="0.25"/>
    <row r="143926" s="12" customFormat="1" x14ac:dyDescent="0.25"/>
    <row r="143927" s="12" customFormat="1" x14ac:dyDescent="0.25"/>
    <row r="143928" s="12" customFormat="1" x14ac:dyDescent="0.25"/>
    <row r="143929" s="12" customFormat="1" x14ac:dyDescent="0.25"/>
    <row r="143930" s="12" customFormat="1" x14ac:dyDescent="0.25"/>
    <row r="143931" s="12" customFormat="1" x14ac:dyDescent="0.25"/>
    <row r="143932" s="12" customFormat="1" x14ac:dyDescent="0.25"/>
    <row r="143933" s="12" customFormat="1" x14ac:dyDescent="0.25"/>
    <row r="143934" s="12" customFormat="1" x14ac:dyDescent="0.25"/>
    <row r="143935" s="12" customFormat="1" x14ac:dyDescent="0.25"/>
    <row r="143936" s="12" customFormat="1" x14ac:dyDescent="0.25"/>
    <row r="143937" s="12" customFormat="1" x14ac:dyDescent="0.25"/>
    <row r="143938" s="12" customFormat="1" x14ac:dyDescent="0.25"/>
    <row r="143939" s="12" customFormat="1" x14ac:dyDescent="0.25"/>
    <row r="143940" s="12" customFormat="1" x14ac:dyDescent="0.25"/>
    <row r="143941" s="12" customFormat="1" x14ac:dyDescent="0.25"/>
    <row r="143942" s="12" customFormat="1" x14ac:dyDescent="0.25"/>
    <row r="143943" s="12" customFormat="1" x14ac:dyDescent="0.25"/>
    <row r="143944" s="12" customFormat="1" x14ac:dyDescent="0.25"/>
    <row r="143945" s="12" customFormat="1" x14ac:dyDescent="0.25"/>
    <row r="143946" s="12" customFormat="1" x14ac:dyDescent="0.25"/>
    <row r="143947" s="12" customFormat="1" x14ac:dyDescent="0.25"/>
    <row r="143948" s="12" customFormat="1" x14ac:dyDescent="0.25"/>
    <row r="143949" s="12" customFormat="1" x14ac:dyDescent="0.25"/>
    <row r="143950" s="12" customFormat="1" x14ac:dyDescent="0.25"/>
    <row r="143951" s="12" customFormat="1" x14ac:dyDescent="0.25"/>
    <row r="143952" s="12" customFormat="1" x14ac:dyDescent="0.25"/>
    <row r="143953" s="12" customFormat="1" x14ac:dyDescent="0.25"/>
    <row r="143954" s="12" customFormat="1" x14ac:dyDescent="0.25"/>
    <row r="143955" s="12" customFormat="1" x14ac:dyDescent="0.25"/>
    <row r="143956" s="12" customFormat="1" x14ac:dyDescent="0.25"/>
    <row r="143957" s="12" customFormat="1" x14ac:dyDescent="0.25"/>
    <row r="143958" s="12" customFormat="1" x14ac:dyDescent="0.25"/>
    <row r="143959" s="12" customFormat="1" x14ac:dyDescent="0.25"/>
    <row r="143960" s="12" customFormat="1" x14ac:dyDescent="0.25"/>
    <row r="143961" s="12" customFormat="1" x14ac:dyDescent="0.25"/>
    <row r="143962" s="12" customFormat="1" x14ac:dyDescent="0.25"/>
    <row r="143963" s="12" customFormat="1" x14ac:dyDescent="0.25"/>
    <row r="143964" s="12" customFormat="1" x14ac:dyDescent="0.25"/>
    <row r="143965" s="12" customFormat="1" x14ac:dyDescent="0.25"/>
    <row r="143966" s="12" customFormat="1" x14ac:dyDescent="0.25"/>
    <row r="143967" s="12" customFormat="1" x14ac:dyDescent="0.25"/>
    <row r="143968" s="12" customFormat="1" x14ac:dyDescent="0.25"/>
    <row r="143969" s="12" customFormat="1" x14ac:dyDescent="0.25"/>
    <row r="143970" s="12" customFormat="1" x14ac:dyDescent="0.25"/>
    <row r="143971" s="12" customFormat="1" x14ac:dyDescent="0.25"/>
    <row r="143972" s="12" customFormat="1" x14ac:dyDescent="0.25"/>
    <row r="143973" s="12" customFormat="1" x14ac:dyDescent="0.25"/>
    <row r="143974" s="12" customFormat="1" x14ac:dyDescent="0.25"/>
    <row r="143975" s="12" customFormat="1" x14ac:dyDescent="0.25"/>
    <row r="143976" s="12" customFormat="1" x14ac:dyDescent="0.25"/>
    <row r="143977" s="12" customFormat="1" x14ac:dyDescent="0.25"/>
    <row r="143978" s="12" customFormat="1" x14ac:dyDescent="0.25"/>
    <row r="143979" s="12" customFormat="1" x14ac:dyDescent="0.25"/>
    <row r="143980" s="12" customFormat="1" x14ac:dyDescent="0.25"/>
    <row r="143981" s="12" customFormat="1" x14ac:dyDescent="0.25"/>
    <row r="143982" s="12" customFormat="1" x14ac:dyDescent="0.25"/>
    <row r="143983" s="12" customFormat="1" x14ac:dyDescent="0.25"/>
    <row r="143984" s="12" customFormat="1" x14ac:dyDescent="0.25"/>
    <row r="143985" s="12" customFormat="1" x14ac:dyDescent="0.25"/>
    <row r="143986" s="12" customFormat="1" x14ac:dyDescent="0.25"/>
    <row r="143987" s="12" customFormat="1" x14ac:dyDescent="0.25"/>
    <row r="143988" s="12" customFormat="1" x14ac:dyDescent="0.25"/>
    <row r="143989" s="12" customFormat="1" x14ac:dyDescent="0.25"/>
    <row r="143990" s="12" customFormat="1" x14ac:dyDescent="0.25"/>
    <row r="143991" s="12" customFormat="1" x14ac:dyDescent="0.25"/>
    <row r="143992" s="12" customFormat="1" x14ac:dyDescent="0.25"/>
    <row r="143993" s="12" customFormat="1" x14ac:dyDescent="0.25"/>
    <row r="143994" s="12" customFormat="1" x14ac:dyDescent="0.25"/>
    <row r="143995" s="12" customFormat="1" x14ac:dyDescent="0.25"/>
    <row r="143996" s="12" customFormat="1" x14ac:dyDescent="0.25"/>
    <row r="143997" s="12" customFormat="1" x14ac:dyDescent="0.25"/>
    <row r="143998" s="12" customFormat="1" x14ac:dyDescent="0.25"/>
    <row r="143999" s="12" customFormat="1" x14ac:dyDescent="0.25"/>
    <row r="144000" s="12" customFormat="1" x14ac:dyDescent="0.25"/>
    <row r="144001" s="12" customFormat="1" x14ac:dyDescent="0.25"/>
    <row r="144002" s="12" customFormat="1" x14ac:dyDescent="0.25"/>
    <row r="144003" s="12" customFormat="1" x14ac:dyDescent="0.25"/>
    <row r="144004" s="12" customFormat="1" x14ac:dyDescent="0.25"/>
    <row r="144005" s="12" customFormat="1" x14ac:dyDescent="0.25"/>
    <row r="144006" s="12" customFormat="1" x14ac:dyDescent="0.25"/>
    <row r="144007" s="12" customFormat="1" x14ac:dyDescent="0.25"/>
    <row r="144008" s="12" customFormat="1" x14ac:dyDescent="0.25"/>
    <row r="144009" s="12" customFormat="1" x14ac:dyDescent="0.25"/>
    <row r="144010" s="12" customFormat="1" x14ac:dyDescent="0.25"/>
    <row r="144011" s="12" customFormat="1" x14ac:dyDescent="0.25"/>
    <row r="144012" s="12" customFormat="1" x14ac:dyDescent="0.25"/>
    <row r="144013" s="12" customFormat="1" x14ac:dyDescent="0.25"/>
    <row r="144014" s="12" customFormat="1" x14ac:dyDescent="0.25"/>
    <row r="144015" s="12" customFormat="1" x14ac:dyDescent="0.25"/>
    <row r="144016" s="12" customFormat="1" x14ac:dyDescent="0.25"/>
    <row r="144017" s="12" customFormat="1" x14ac:dyDescent="0.25"/>
    <row r="144018" s="12" customFormat="1" x14ac:dyDescent="0.25"/>
    <row r="144019" s="12" customFormat="1" x14ac:dyDescent="0.25"/>
    <row r="144020" s="12" customFormat="1" x14ac:dyDescent="0.25"/>
    <row r="144021" s="12" customFormat="1" x14ac:dyDescent="0.25"/>
    <row r="144022" s="12" customFormat="1" x14ac:dyDescent="0.25"/>
    <row r="144023" s="12" customFormat="1" x14ac:dyDescent="0.25"/>
    <row r="144024" s="12" customFormat="1" x14ac:dyDescent="0.25"/>
    <row r="144025" s="12" customFormat="1" x14ac:dyDescent="0.25"/>
    <row r="144026" s="12" customFormat="1" x14ac:dyDescent="0.25"/>
    <row r="144027" s="12" customFormat="1" x14ac:dyDescent="0.25"/>
    <row r="144028" s="12" customFormat="1" x14ac:dyDescent="0.25"/>
    <row r="144029" s="12" customFormat="1" x14ac:dyDescent="0.25"/>
    <row r="144030" s="12" customFormat="1" x14ac:dyDescent="0.25"/>
    <row r="144031" s="12" customFormat="1" x14ac:dyDescent="0.25"/>
    <row r="144032" s="12" customFormat="1" x14ac:dyDescent="0.25"/>
    <row r="144033" s="12" customFormat="1" x14ac:dyDescent="0.25"/>
    <row r="144034" s="12" customFormat="1" x14ac:dyDescent="0.25"/>
    <row r="144035" s="12" customFormat="1" x14ac:dyDescent="0.25"/>
    <row r="144036" s="12" customFormat="1" x14ac:dyDescent="0.25"/>
    <row r="144037" s="12" customFormat="1" x14ac:dyDescent="0.25"/>
    <row r="144038" s="12" customFormat="1" x14ac:dyDescent="0.25"/>
    <row r="144039" s="12" customFormat="1" x14ac:dyDescent="0.25"/>
    <row r="144040" s="12" customFormat="1" x14ac:dyDescent="0.25"/>
    <row r="144041" s="12" customFormat="1" x14ac:dyDescent="0.25"/>
    <row r="144042" s="12" customFormat="1" x14ac:dyDescent="0.25"/>
    <row r="144043" s="12" customFormat="1" x14ac:dyDescent="0.25"/>
    <row r="144044" s="12" customFormat="1" x14ac:dyDescent="0.25"/>
    <row r="144045" s="12" customFormat="1" x14ac:dyDescent="0.25"/>
    <row r="144046" s="12" customFormat="1" x14ac:dyDescent="0.25"/>
    <row r="144047" s="12" customFormat="1" x14ac:dyDescent="0.25"/>
    <row r="144048" s="12" customFormat="1" x14ac:dyDescent="0.25"/>
    <row r="144049" s="12" customFormat="1" x14ac:dyDescent="0.25"/>
    <row r="144050" s="12" customFormat="1" x14ac:dyDescent="0.25"/>
    <row r="144051" s="12" customFormat="1" x14ac:dyDescent="0.25"/>
    <row r="144052" s="12" customFormat="1" x14ac:dyDescent="0.25"/>
    <row r="144053" s="12" customFormat="1" x14ac:dyDescent="0.25"/>
    <row r="144054" s="12" customFormat="1" x14ac:dyDescent="0.25"/>
    <row r="144055" s="12" customFormat="1" x14ac:dyDescent="0.25"/>
    <row r="144056" s="12" customFormat="1" x14ac:dyDescent="0.25"/>
    <row r="144057" s="12" customFormat="1" x14ac:dyDescent="0.25"/>
    <row r="144058" s="12" customFormat="1" x14ac:dyDescent="0.25"/>
    <row r="144059" s="12" customFormat="1" x14ac:dyDescent="0.25"/>
    <row r="144060" s="12" customFormat="1" x14ac:dyDescent="0.25"/>
    <row r="144061" s="12" customFormat="1" x14ac:dyDescent="0.25"/>
    <row r="144062" s="12" customFormat="1" x14ac:dyDescent="0.25"/>
    <row r="144063" s="12" customFormat="1" x14ac:dyDescent="0.25"/>
    <row r="144064" s="12" customFormat="1" x14ac:dyDescent="0.25"/>
    <row r="144065" s="12" customFormat="1" x14ac:dyDescent="0.25"/>
    <row r="144066" s="12" customFormat="1" x14ac:dyDescent="0.25"/>
    <row r="144067" s="12" customFormat="1" x14ac:dyDescent="0.25"/>
    <row r="144068" s="12" customFormat="1" x14ac:dyDescent="0.25"/>
    <row r="144069" s="12" customFormat="1" x14ac:dyDescent="0.25"/>
    <row r="144070" s="12" customFormat="1" x14ac:dyDescent="0.25"/>
    <row r="144071" s="12" customFormat="1" x14ac:dyDescent="0.25"/>
    <row r="144072" s="12" customFormat="1" x14ac:dyDescent="0.25"/>
    <row r="144073" s="12" customFormat="1" x14ac:dyDescent="0.25"/>
    <row r="144074" s="12" customFormat="1" x14ac:dyDescent="0.25"/>
    <row r="144075" s="12" customFormat="1" x14ac:dyDescent="0.25"/>
    <row r="144076" s="12" customFormat="1" x14ac:dyDescent="0.25"/>
    <row r="144077" s="12" customFormat="1" x14ac:dyDescent="0.25"/>
    <row r="144078" s="12" customFormat="1" x14ac:dyDescent="0.25"/>
    <row r="144079" s="12" customFormat="1" x14ac:dyDescent="0.25"/>
    <row r="144080" s="12" customFormat="1" x14ac:dyDescent="0.25"/>
    <row r="144081" s="12" customFormat="1" x14ac:dyDescent="0.25"/>
    <row r="144082" s="12" customFormat="1" x14ac:dyDescent="0.25"/>
    <row r="144083" s="12" customFormat="1" x14ac:dyDescent="0.25"/>
    <row r="144084" s="12" customFormat="1" x14ac:dyDescent="0.25"/>
    <row r="144085" s="12" customFormat="1" x14ac:dyDescent="0.25"/>
    <row r="144086" s="12" customFormat="1" x14ac:dyDescent="0.25"/>
    <row r="144087" s="12" customFormat="1" x14ac:dyDescent="0.25"/>
    <row r="144088" s="12" customFormat="1" x14ac:dyDescent="0.25"/>
    <row r="144089" s="12" customFormat="1" x14ac:dyDescent="0.25"/>
    <row r="144090" s="12" customFormat="1" x14ac:dyDescent="0.25"/>
    <row r="144091" s="12" customFormat="1" x14ac:dyDescent="0.25"/>
    <row r="144092" s="12" customFormat="1" x14ac:dyDescent="0.25"/>
    <row r="144093" s="12" customFormat="1" x14ac:dyDescent="0.25"/>
    <row r="144094" s="12" customFormat="1" x14ac:dyDescent="0.25"/>
    <row r="144095" s="12" customFormat="1" x14ac:dyDescent="0.25"/>
    <row r="144096" s="12" customFormat="1" x14ac:dyDescent="0.25"/>
    <row r="144097" s="12" customFormat="1" x14ac:dyDescent="0.25"/>
    <row r="144098" s="12" customFormat="1" x14ac:dyDescent="0.25"/>
    <row r="144099" s="12" customFormat="1" x14ac:dyDescent="0.25"/>
    <row r="144100" s="12" customFormat="1" x14ac:dyDescent="0.25"/>
    <row r="144101" s="12" customFormat="1" x14ac:dyDescent="0.25"/>
    <row r="144102" s="12" customFormat="1" x14ac:dyDescent="0.25"/>
    <row r="144103" s="12" customFormat="1" x14ac:dyDescent="0.25"/>
    <row r="144104" s="12" customFormat="1" x14ac:dyDescent="0.25"/>
    <row r="144105" s="12" customFormat="1" x14ac:dyDescent="0.25"/>
    <row r="144106" s="12" customFormat="1" x14ac:dyDescent="0.25"/>
    <row r="144107" s="12" customFormat="1" x14ac:dyDescent="0.25"/>
    <row r="144108" s="12" customFormat="1" x14ac:dyDescent="0.25"/>
    <row r="144109" s="12" customFormat="1" x14ac:dyDescent="0.25"/>
    <row r="144110" s="12" customFormat="1" x14ac:dyDescent="0.25"/>
    <row r="144111" s="12" customFormat="1" x14ac:dyDescent="0.25"/>
    <row r="144112" s="12" customFormat="1" x14ac:dyDescent="0.25"/>
    <row r="144113" s="12" customFormat="1" x14ac:dyDescent="0.25"/>
    <row r="144114" s="12" customFormat="1" x14ac:dyDescent="0.25"/>
    <row r="144115" s="12" customFormat="1" x14ac:dyDescent="0.25"/>
    <row r="144116" s="12" customFormat="1" x14ac:dyDescent="0.25"/>
    <row r="144117" s="12" customFormat="1" x14ac:dyDescent="0.25"/>
    <row r="144118" s="12" customFormat="1" x14ac:dyDescent="0.25"/>
    <row r="144119" s="12" customFormat="1" x14ac:dyDescent="0.25"/>
    <row r="144120" s="12" customFormat="1" x14ac:dyDescent="0.25"/>
    <row r="144121" s="12" customFormat="1" x14ac:dyDescent="0.25"/>
    <row r="144122" s="12" customFormat="1" x14ac:dyDescent="0.25"/>
    <row r="144123" s="12" customFormat="1" x14ac:dyDescent="0.25"/>
    <row r="144124" s="12" customFormat="1" x14ac:dyDescent="0.25"/>
    <row r="144125" s="12" customFormat="1" x14ac:dyDescent="0.25"/>
    <row r="144126" s="12" customFormat="1" x14ac:dyDescent="0.25"/>
    <row r="144127" s="12" customFormat="1" x14ac:dyDescent="0.25"/>
    <row r="144128" s="12" customFormat="1" x14ac:dyDescent="0.25"/>
    <row r="144129" s="12" customFormat="1" x14ac:dyDescent="0.25"/>
    <row r="144130" s="12" customFormat="1" x14ac:dyDescent="0.25"/>
    <row r="144131" s="12" customFormat="1" x14ac:dyDescent="0.25"/>
    <row r="144132" s="12" customFormat="1" x14ac:dyDescent="0.25"/>
    <row r="144133" s="12" customFormat="1" x14ac:dyDescent="0.25"/>
    <row r="144134" s="12" customFormat="1" x14ac:dyDescent="0.25"/>
    <row r="144135" s="12" customFormat="1" x14ac:dyDescent="0.25"/>
    <row r="144136" s="12" customFormat="1" x14ac:dyDescent="0.25"/>
    <row r="144137" s="12" customFormat="1" x14ac:dyDescent="0.25"/>
    <row r="144138" s="12" customFormat="1" x14ac:dyDescent="0.25"/>
    <row r="144139" s="12" customFormat="1" x14ac:dyDescent="0.25"/>
    <row r="144140" s="12" customFormat="1" x14ac:dyDescent="0.25"/>
    <row r="144141" s="12" customFormat="1" x14ac:dyDescent="0.25"/>
    <row r="144142" s="12" customFormat="1" x14ac:dyDescent="0.25"/>
    <row r="144143" s="12" customFormat="1" x14ac:dyDescent="0.25"/>
    <row r="144144" s="12" customFormat="1" x14ac:dyDescent="0.25"/>
    <row r="144145" s="12" customFormat="1" x14ac:dyDescent="0.25"/>
    <row r="144146" s="12" customFormat="1" x14ac:dyDescent="0.25"/>
    <row r="144147" s="12" customFormat="1" x14ac:dyDescent="0.25"/>
    <row r="144148" s="12" customFormat="1" x14ac:dyDescent="0.25"/>
    <row r="144149" s="12" customFormat="1" x14ac:dyDescent="0.25"/>
    <row r="144150" s="12" customFormat="1" x14ac:dyDescent="0.25"/>
    <row r="144151" s="12" customFormat="1" x14ac:dyDescent="0.25"/>
    <row r="144152" s="12" customFormat="1" x14ac:dyDescent="0.25"/>
    <row r="144153" s="12" customFormat="1" x14ac:dyDescent="0.25"/>
    <row r="144154" s="12" customFormat="1" x14ac:dyDescent="0.25"/>
    <row r="144155" s="12" customFormat="1" x14ac:dyDescent="0.25"/>
    <row r="144156" s="12" customFormat="1" x14ac:dyDescent="0.25"/>
    <row r="144157" s="12" customFormat="1" x14ac:dyDescent="0.25"/>
    <row r="144158" s="12" customFormat="1" x14ac:dyDescent="0.25"/>
    <row r="144159" s="12" customFormat="1" x14ac:dyDescent="0.25"/>
    <row r="144160" s="12" customFormat="1" x14ac:dyDescent="0.25"/>
    <row r="144161" s="12" customFormat="1" x14ac:dyDescent="0.25"/>
    <row r="144162" s="12" customFormat="1" x14ac:dyDescent="0.25"/>
    <row r="144163" s="12" customFormat="1" x14ac:dyDescent="0.25"/>
    <row r="144164" s="12" customFormat="1" x14ac:dyDescent="0.25"/>
    <row r="144165" s="12" customFormat="1" x14ac:dyDescent="0.25"/>
    <row r="144166" s="12" customFormat="1" x14ac:dyDescent="0.25"/>
    <row r="144167" s="12" customFormat="1" x14ac:dyDescent="0.25"/>
    <row r="144168" s="12" customFormat="1" x14ac:dyDescent="0.25"/>
    <row r="144169" s="12" customFormat="1" x14ac:dyDescent="0.25"/>
    <row r="144170" s="12" customFormat="1" x14ac:dyDescent="0.25"/>
    <row r="144171" s="12" customFormat="1" x14ac:dyDescent="0.25"/>
    <row r="144172" s="12" customFormat="1" x14ac:dyDescent="0.25"/>
    <row r="144173" s="12" customFormat="1" x14ac:dyDescent="0.25"/>
    <row r="144174" s="12" customFormat="1" x14ac:dyDescent="0.25"/>
    <row r="144175" s="12" customFormat="1" x14ac:dyDescent="0.25"/>
    <row r="144176" s="12" customFormat="1" x14ac:dyDescent="0.25"/>
    <row r="144177" s="12" customFormat="1" x14ac:dyDescent="0.25"/>
    <row r="144178" s="12" customFormat="1" x14ac:dyDescent="0.25"/>
    <row r="144179" s="12" customFormat="1" x14ac:dyDescent="0.25"/>
    <row r="144180" s="12" customFormat="1" x14ac:dyDescent="0.25"/>
    <row r="144181" s="12" customFormat="1" x14ac:dyDescent="0.25"/>
    <row r="144182" s="12" customFormat="1" x14ac:dyDescent="0.25"/>
    <row r="144183" s="12" customFormat="1" x14ac:dyDescent="0.25"/>
    <row r="144184" s="12" customFormat="1" x14ac:dyDescent="0.25"/>
    <row r="144185" s="12" customFormat="1" x14ac:dyDescent="0.25"/>
    <row r="144186" s="12" customFormat="1" x14ac:dyDescent="0.25"/>
    <row r="144187" s="12" customFormat="1" x14ac:dyDescent="0.25"/>
    <row r="144188" s="12" customFormat="1" x14ac:dyDescent="0.25"/>
    <row r="144189" s="12" customFormat="1" x14ac:dyDescent="0.25"/>
    <row r="144190" s="12" customFormat="1" x14ac:dyDescent="0.25"/>
    <row r="144191" s="12" customFormat="1" x14ac:dyDescent="0.25"/>
    <row r="144192" s="12" customFormat="1" x14ac:dyDescent="0.25"/>
    <row r="144193" s="12" customFormat="1" x14ac:dyDescent="0.25"/>
    <row r="144194" s="12" customFormat="1" x14ac:dyDescent="0.25"/>
    <row r="144195" s="12" customFormat="1" x14ac:dyDescent="0.25"/>
    <row r="144196" s="12" customFormat="1" x14ac:dyDescent="0.25"/>
    <row r="144197" s="12" customFormat="1" x14ac:dyDescent="0.25"/>
    <row r="144198" s="12" customFormat="1" x14ac:dyDescent="0.25"/>
    <row r="144199" s="12" customFormat="1" x14ac:dyDescent="0.25"/>
    <row r="144200" s="12" customFormat="1" x14ac:dyDescent="0.25"/>
    <row r="144201" s="12" customFormat="1" x14ac:dyDescent="0.25"/>
    <row r="144202" s="12" customFormat="1" x14ac:dyDescent="0.25"/>
    <row r="144203" s="12" customFormat="1" x14ac:dyDescent="0.25"/>
    <row r="144204" s="12" customFormat="1" x14ac:dyDescent="0.25"/>
    <row r="144205" s="12" customFormat="1" x14ac:dyDescent="0.25"/>
    <row r="144206" s="12" customFormat="1" x14ac:dyDescent="0.25"/>
    <row r="144207" s="12" customFormat="1" x14ac:dyDescent="0.25"/>
    <row r="144208" s="12" customFormat="1" x14ac:dyDescent="0.25"/>
    <row r="144209" s="12" customFormat="1" x14ac:dyDescent="0.25"/>
    <row r="144210" s="12" customFormat="1" x14ac:dyDescent="0.25"/>
    <row r="144211" s="12" customFormat="1" x14ac:dyDescent="0.25"/>
    <row r="144212" s="12" customFormat="1" x14ac:dyDescent="0.25"/>
    <row r="144213" s="12" customFormat="1" x14ac:dyDescent="0.25"/>
    <row r="144214" s="12" customFormat="1" x14ac:dyDescent="0.25"/>
    <row r="144215" s="12" customFormat="1" x14ac:dyDescent="0.25"/>
    <row r="144216" s="12" customFormat="1" x14ac:dyDescent="0.25"/>
    <row r="144217" s="12" customFormat="1" x14ac:dyDescent="0.25"/>
    <row r="144218" s="12" customFormat="1" x14ac:dyDescent="0.25"/>
    <row r="144219" s="12" customFormat="1" x14ac:dyDescent="0.25"/>
    <row r="144220" s="12" customFormat="1" x14ac:dyDescent="0.25"/>
    <row r="144221" s="12" customFormat="1" x14ac:dyDescent="0.25"/>
    <row r="144222" s="12" customFormat="1" x14ac:dyDescent="0.25"/>
    <row r="144223" s="12" customFormat="1" x14ac:dyDescent="0.25"/>
    <row r="144224" s="12" customFormat="1" x14ac:dyDescent="0.25"/>
    <row r="144225" s="12" customFormat="1" x14ac:dyDescent="0.25"/>
    <row r="144226" s="12" customFormat="1" x14ac:dyDescent="0.25"/>
    <row r="144227" s="12" customFormat="1" x14ac:dyDescent="0.25"/>
    <row r="144228" s="12" customFormat="1" x14ac:dyDescent="0.25"/>
    <row r="144229" s="12" customFormat="1" x14ac:dyDescent="0.25"/>
    <row r="144230" s="12" customFormat="1" x14ac:dyDescent="0.25"/>
    <row r="144231" s="12" customFormat="1" x14ac:dyDescent="0.25"/>
    <row r="144232" s="12" customFormat="1" x14ac:dyDescent="0.25"/>
    <row r="144233" s="12" customFormat="1" x14ac:dyDescent="0.25"/>
    <row r="144234" s="12" customFormat="1" x14ac:dyDescent="0.25"/>
    <row r="144235" s="12" customFormat="1" x14ac:dyDescent="0.25"/>
    <row r="144236" s="12" customFormat="1" x14ac:dyDescent="0.25"/>
    <row r="144237" s="12" customFormat="1" x14ac:dyDescent="0.25"/>
    <row r="144238" s="12" customFormat="1" x14ac:dyDescent="0.25"/>
    <row r="144239" s="12" customFormat="1" x14ac:dyDescent="0.25"/>
    <row r="144240" s="12" customFormat="1" x14ac:dyDescent="0.25"/>
    <row r="144241" s="12" customFormat="1" x14ac:dyDescent="0.25"/>
    <row r="144242" s="12" customFormat="1" x14ac:dyDescent="0.25"/>
    <row r="144243" s="12" customFormat="1" x14ac:dyDescent="0.25"/>
    <row r="144244" s="12" customFormat="1" x14ac:dyDescent="0.25"/>
    <row r="144245" s="12" customFormat="1" x14ac:dyDescent="0.25"/>
    <row r="144246" s="12" customFormat="1" x14ac:dyDescent="0.25"/>
    <row r="144247" s="12" customFormat="1" x14ac:dyDescent="0.25"/>
    <row r="144248" s="12" customFormat="1" x14ac:dyDescent="0.25"/>
    <row r="144249" s="12" customFormat="1" x14ac:dyDescent="0.25"/>
    <row r="144250" s="12" customFormat="1" x14ac:dyDescent="0.25"/>
    <row r="144251" s="12" customFormat="1" x14ac:dyDescent="0.25"/>
    <row r="144252" s="12" customFormat="1" x14ac:dyDescent="0.25"/>
    <row r="144253" s="12" customFormat="1" x14ac:dyDescent="0.25"/>
    <row r="144254" s="12" customFormat="1" x14ac:dyDescent="0.25"/>
    <row r="144255" s="12" customFormat="1" x14ac:dyDescent="0.25"/>
    <row r="144256" s="12" customFormat="1" x14ac:dyDescent="0.25"/>
    <row r="144257" s="12" customFormat="1" x14ac:dyDescent="0.25"/>
    <row r="144258" s="12" customFormat="1" x14ac:dyDescent="0.25"/>
    <row r="144259" s="12" customFormat="1" x14ac:dyDescent="0.25"/>
    <row r="144260" s="12" customFormat="1" x14ac:dyDescent="0.25"/>
    <row r="144261" s="12" customFormat="1" x14ac:dyDescent="0.25"/>
    <row r="144262" s="12" customFormat="1" x14ac:dyDescent="0.25"/>
    <row r="144263" s="12" customFormat="1" x14ac:dyDescent="0.25"/>
    <row r="144264" s="12" customFormat="1" x14ac:dyDescent="0.25"/>
    <row r="144265" s="12" customFormat="1" x14ac:dyDescent="0.25"/>
    <row r="144266" s="12" customFormat="1" x14ac:dyDescent="0.25"/>
    <row r="144267" s="12" customFormat="1" x14ac:dyDescent="0.25"/>
    <row r="144268" s="12" customFormat="1" x14ac:dyDescent="0.25"/>
    <row r="144269" s="12" customFormat="1" x14ac:dyDescent="0.25"/>
    <row r="144270" s="12" customFormat="1" x14ac:dyDescent="0.25"/>
    <row r="144271" s="12" customFormat="1" x14ac:dyDescent="0.25"/>
    <row r="144272" s="12" customFormat="1" x14ac:dyDescent="0.25"/>
    <row r="144273" s="12" customFormat="1" x14ac:dyDescent="0.25"/>
    <row r="144274" s="12" customFormat="1" x14ac:dyDescent="0.25"/>
    <row r="144275" s="12" customFormat="1" x14ac:dyDescent="0.25"/>
    <row r="144276" s="12" customFormat="1" x14ac:dyDescent="0.25"/>
    <row r="144277" s="12" customFormat="1" x14ac:dyDescent="0.25"/>
    <row r="144278" s="12" customFormat="1" x14ac:dyDescent="0.25"/>
    <row r="144279" s="12" customFormat="1" x14ac:dyDescent="0.25"/>
    <row r="144280" s="12" customFormat="1" x14ac:dyDescent="0.25"/>
    <row r="144281" s="12" customFormat="1" x14ac:dyDescent="0.25"/>
    <row r="144282" s="12" customFormat="1" x14ac:dyDescent="0.25"/>
    <row r="144283" s="12" customFormat="1" x14ac:dyDescent="0.25"/>
    <row r="144284" s="12" customFormat="1" x14ac:dyDescent="0.25"/>
    <row r="144285" s="12" customFormat="1" x14ac:dyDescent="0.25"/>
    <row r="144286" s="12" customFormat="1" x14ac:dyDescent="0.25"/>
    <row r="144287" s="12" customFormat="1" x14ac:dyDescent="0.25"/>
    <row r="144288" s="12" customFormat="1" x14ac:dyDescent="0.25"/>
    <row r="144289" s="12" customFormat="1" x14ac:dyDescent="0.25"/>
    <row r="144290" s="12" customFormat="1" x14ac:dyDescent="0.25"/>
    <row r="144291" s="12" customFormat="1" x14ac:dyDescent="0.25"/>
    <row r="144292" s="12" customFormat="1" x14ac:dyDescent="0.25"/>
    <row r="144293" s="12" customFormat="1" x14ac:dyDescent="0.25"/>
    <row r="144294" s="12" customFormat="1" x14ac:dyDescent="0.25"/>
    <row r="144295" s="12" customFormat="1" x14ac:dyDescent="0.25"/>
    <row r="144296" s="12" customFormat="1" x14ac:dyDescent="0.25"/>
    <row r="144297" s="12" customFormat="1" x14ac:dyDescent="0.25"/>
    <row r="144298" s="12" customFormat="1" x14ac:dyDescent="0.25"/>
    <row r="144299" s="12" customFormat="1" x14ac:dyDescent="0.25"/>
    <row r="144300" s="12" customFormat="1" x14ac:dyDescent="0.25"/>
    <row r="144301" s="12" customFormat="1" x14ac:dyDescent="0.25"/>
    <row r="144302" s="12" customFormat="1" x14ac:dyDescent="0.25"/>
    <row r="144303" s="12" customFormat="1" x14ac:dyDescent="0.25"/>
    <row r="144304" s="12" customFormat="1" x14ac:dyDescent="0.25"/>
    <row r="144305" s="12" customFormat="1" x14ac:dyDescent="0.25"/>
    <row r="144306" s="12" customFormat="1" x14ac:dyDescent="0.25"/>
    <row r="144307" s="12" customFormat="1" x14ac:dyDescent="0.25"/>
    <row r="144308" s="12" customFormat="1" x14ac:dyDescent="0.25"/>
    <row r="144309" s="12" customFormat="1" x14ac:dyDescent="0.25"/>
    <row r="144310" s="12" customFormat="1" x14ac:dyDescent="0.25"/>
    <row r="144311" s="12" customFormat="1" x14ac:dyDescent="0.25"/>
    <row r="144312" s="12" customFormat="1" x14ac:dyDescent="0.25"/>
    <row r="144313" s="12" customFormat="1" x14ac:dyDescent="0.25"/>
    <row r="144314" s="12" customFormat="1" x14ac:dyDescent="0.25"/>
    <row r="144315" s="12" customFormat="1" x14ac:dyDescent="0.25"/>
    <row r="144316" s="12" customFormat="1" x14ac:dyDescent="0.25"/>
    <row r="144317" s="12" customFormat="1" x14ac:dyDescent="0.25"/>
    <row r="144318" s="12" customFormat="1" x14ac:dyDescent="0.25"/>
    <row r="144319" s="12" customFormat="1" x14ac:dyDescent="0.25"/>
    <row r="144320" s="12" customFormat="1" x14ac:dyDescent="0.25"/>
    <row r="144321" s="12" customFormat="1" x14ac:dyDescent="0.25"/>
    <row r="144322" s="12" customFormat="1" x14ac:dyDescent="0.25"/>
    <row r="144323" s="12" customFormat="1" x14ac:dyDescent="0.25"/>
    <row r="144324" s="12" customFormat="1" x14ac:dyDescent="0.25"/>
    <row r="144325" s="12" customFormat="1" x14ac:dyDescent="0.25"/>
    <row r="144326" s="12" customFormat="1" x14ac:dyDescent="0.25"/>
    <row r="144327" s="12" customFormat="1" x14ac:dyDescent="0.25"/>
    <row r="144328" s="12" customFormat="1" x14ac:dyDescent="0.25"/>
    <row r="144329" s="12" customFormat="1" x14ac:dyDescent="0.25"/>
    <row r="144330" s="12" customFormat="1" x14ac:dyDescent="0.25"/>
    <row r="144331" s="12" customFormat="1" x14ac:dyDescent="0.25"/>
    <row r="144332" s="12" customFormat="1" x14ac:dyDescent="0.25"/>
    <row r="144333" s="12" customFormat="1" x14ac:dyDescent="0.25"/>
    <row r="144334" s="12" customFormat="1" x14ac:dyDescent="0.25"/>
    <row r="144335" s="12" customFormat="1" x14ac:dyDescent="0.25"/>
    <row r="144336" s="12" customFormat="1" x14ac:dyDescent="0.25"/>
    <row r="144337" s="12" customFormat="1" x14ac:dyDescent="0.25"/>
    <row r="144338" s="12" customFormat="1" x14ac:dyDescent="0.25"/>
    <row r="144339" s="12" customFormat="1" x14ac:dyDescent="0.25"/>
    <row r="144340" s="12" customFormat="1" x14ac:dyDescent="0.25"/>
    <row r="144341" s="12" customFormat="1" x14ac:dyDescent="0.25"/>
    <row r="144342" s="12" customFormat="1" x14ac:dyDescent="0.25"/>
    <row r="144343" s="12" customFormat="1" x14ac:dyDescent="0.25"/>
    <row r="144344" s="12" customFormat="1" x14ac:dyDescent="0.25"/>
    <row r="144345" s="12" customFormat="1" x14ac:dyDescent="0.25"/>
    <row r="144346" s="12" customFormat="1" x14ac:dyDescent="0.25"/>
    <row r="144347" s="12" customFormat="1" x14ac:dyDescent="0.25"/>
    <row r="144348" s="12" customFormat="1" x14ac:dyDescent="0.25"/>
    <row r="144349" s="12" customFormat="1" x14ac:dyDescent="0.25"/>
    <row r="144350" s="12" customFormat="1" x14ac:dyDescent="0.25"/>
    <row r="144351" s="12" customFormat="1" x14ac:dyDescent="0.25"/>
    <row r="144352" s="12" customFormat="1" x14ac:dyDescent="0.25"/>
    <row r="144353" s="12" customFormat="1" x14ac:dyDescent="0.25"/>
    <row r="144354" s="12" customFormat="1" x14ac:dyDescent="0.25"/>
    <row r="144355" s="12" customFormat="1" x14ac:dyDescent="0.25"/>
    <row r="144356" s="12" customFormat="1" x14ac:dyDescent="0.25"/>
    <row r="144357" s="12" customFormat="1" x14ac:dyDescent="0.25"/>
    <row r="144358" s="12" customFormat="1" x14ac:dyDescent="0.25"/>
    <row r="144359" s="12" customFormat="1" x14ac:dyDescent="0.25"/>
    <row r="144360" s="12" customFormat="1" x14ac:dyDescent="0.25"/>
    <row r="144361" s="12" customFormat="1" x14ac:dyDescent="0.25"/>
    <row r="144362" s="12" customFormat="1" x14ac:dyDescent="0.25"/>
    <row r="144363" s="12" customFormat="1" x14ac:dyDescent="0.25"/>
    <row r="144364" s="12" customFormat="1" x14ac:dyDescent="0.25"/>
    <row r="144365" s="12" customFormat="1" x14ac:dyDescent="0.25"/>
    <row r="144366" s="12" customFormat="1" x14ac:dyDescent="0.25"/>
    <row r="144367" s="12" customFormat="1" x14ac:dyDescent="0.25"/>
    <row r="144368" s="12" customFormat="1" x14ac:dyDescent="0.25"/>
    <row r="144369" s="12" customFormat="1" x14ac:dyDescent="0.25"/>
    <row r="144370" s="12" customFormat="1" x14ac:dyDescent="0.25"/>
    <row r="144371" s="12" customFormat="1" x14ac:dyDescent="0.25"/>
    <row r="144372" s="12" customFormat="1" x14ac:dyDescent="0.25"/>
    <row r="144373" s="12" customFormat="1" x14ac:dyDescent="0.25"/>
    <row r="144374" s="12" customFormat="1" x14ac:dyDescent="0.25"/>
    <row r="144375" s="12" customFormat="1" x14ac:dyDescent="0.25"/>
    <row r="144376" s="12" customFormat="1" x14ac:dyDescent="0.25"/>
    <row r="144377" s="12" customFormat="1" x14ac:dyDescent="0.25"/>
    <row r="144378" s="12" customFormat="1" x14ac:dyDescent="0.25"/>
    <row r="144379" s="12" customFormat="1" x14ac:dyDescent="0.25"/>
    <row r="144380" s="12" customFormat="1" x14ac:dyDescent="0.25"/>
    <row r="144381" s="12" customFormat="1" x14ac:dyDescent="0.25"/>
    <row r="144382" s="12" customFormat="1" x14ac:dyDescent="0.25"/>
    <row r="144383" s="12" customFormat="1" x14ac:dyDescent="0.25"/>
    <row r="144384" s="12" customFormat="1" x14ac:dyDescent="0.25"/>
    <row r="144385" s="12" customFormat="1" x14ac:dyDescent="0.25"/>
    <row r="144386" s="12" customFormat="1" x14ac:dyDescent="0.25"/>
    <row r="144387" s="12" customFormat="1" x14ac:dyDescent="0.25"/>
    <row r="144388" s="12" customFormat="1" x14ac:dyDescent="0.25"/>
    <row r="144389" s="12" customFormat="1" x14ac:dyDescent="0.25"/>
    <row r="144390" s="12" customFormat="1" x14ac:dyDescent="0.25"/>
    <row r="144391" s="12" customFormat="1" x14ac:dyDescent="0.25"/>
    <row r="144392" s="12" customFormat="1" x14ac:dyDescent="0.25"/>
    <row r="144393" s="12" customFormat="1" x14ac:dyDescent="0.25"/>
    <row r="144394" s="12" customFormat="1" x14ac:dyDescent="0.25"/>
    <row r="144395" s="12" customFormat="1" x14ac:dyDescent="0.25"/>
    <row r="144396" s="12" customFormat="1" x14ac:dyDescent="0.25"/>
    <row r="144397" s="12" customFormat="1" x14ac:dyDescent="0.25"/>
    <row r="144398" s="12" customFormat="1" x14ac:dyDescent="0.25"/>
    <row r="144399" s="12" customFormat="1" x14ac:dyDescent="0.25"/>
    <row r="144400" s="12" customFormat="1" x14ac:dyDescent="0.25"/>
    <row r="144401" s="12" customFormat="1" x14ac:dyDescent="0.25"/>
    <row r="144402" s="12" customFormat="1" x14ac:dyDescent="0.25"/>
    <row r="144403" s="12" customFormat="1" x14ac:dyDescent="0.25"/>
    <row r="144404" s="12" customFormat="1" x14ac:dyDescent="0.25"/>
    <row r="144405" s="12" customFormat="1" x14ac:dyDescent="0.25"/>
    <row r="144406" s="12" customFormat="1" x14ac:dyDescent="0.25"/>
    <row r="144407" s="12" customFormat="1" x14ac:dyDescent="0.25"/>
    <row r="144408" s="12" customFormat="1" x14ac:dyDescent="0.25"/>
    <row r="144409" s="12" customFormat="1" x14ac:dyDescent="0.25"/>
    <row r="144410" s="12" customFormat="1" x14ac:dyDescent="0.25"/>
    <row r="144411" s="12" customFormat="1" x14ac:dyDescent="0.25"/>
    <row r="144412" s="12" customFormat="1" x14ac:dyDescent="0.25"/>
    <row r="144413" s="12" customFormat="1" x14ac:dyDescent="0.25"/>
    <row r="144414" s="12" customFormat="1" x14ac:dyDescent="0.25"/>
    <row r="144415" s="12" customFormat="1" x14ac:dyDescent="0.25"/>
    <row r="144416" s="12" customFormat="1" x14ac:dyDescent="0.25"/>
    <row r="144417" s="12" customFormat="1" x14ac:dyDescent="0.25"/>
    <row r="144418" s="12" customFormat="1" x14ac:dyDescent="0.25"/>
    <row r="144419" s="12" customFormat="1" x14ac:dyDescent="0.25"/>
    <row r="144420" s="12" customFormat="1" x14ac:dyDescent="0.25"/>
    <row r="144421" s="12" customFormat="1" x14ac:dyDescent="0.25"/>
    <row r="144422" s="12" customFormat="1" x14ac:dyDescent="0.25"/>
    <row r="144423" s="12" customFormat="1" x14ac:dyDescent="0.25"/>
    <row r="144424" s="12" customFormat="1" x14ac:dyDescent="0.25"/>
    <row r="144425" s="12" customFormat="1" x14ac:dyDescent="0.25"/>
    <row r="144426" s="12" customFormat="1" x14ac:dyDescent="0.25"/>
    <row r="144427" s="12" customFormat="1" x14ac:dyDescent="0.25"/>
    <row r="144428" s="12" customFormat="1" x14ac:dyDescent="0.25"/>
    <row r="144429" s="12" customFormat="1" x14ac:dyDescent="0.25"/>
    <row r="144430" s="12" customFormat="1" x14ac:dyDescent="0.25"/>
    <row r="144431" s="12" customFormat="1" x14ac:dyDescent="0.25"/>
    <row r="144432" s="12" customFormat="1" x14ac:dyDescent="0.25"/>
    <row r="144433" s="12" customFormat="1" x14ac:dyDescent="0.25"/>
    <row r="144434" s="12" customFormat="1" x14ac:dyDescent="0.25"/>
    <row r="144435" s="12" customFormat="1" x14ac:dyDescent="0.25"/>
    <row r="144436" s="12" customFormat="1" x14ac:dyDescent="0.25"/>
    <row r="144437" s="12" customFormat="1" x14ac:dyDescent="0.25"/>
    <row r="144438" s="12" customFormat="1" x14ac:dyDescent="0.25"/>
    <row r="144439" s="12" customFormat="1" x14ac:dyDescent="0.25"/>
    <row r="144440" s="12" customFormat="1" x14ac:dyDescent="0.25"/>
    <row r="144441" s="12" customFormat="1" x14ac:dyDescent="0.25"/>
    <row r="144442" s="12" customFormat="1" x14ac:dyDescent="0.25"/>
    <row r="144443" s="12" customFormat="1" x14ac:dyDescent="0.25"/>
    <row r="144444" s="12" customFormat="1" x14ac:dyDescent="0.25"/>
    <row r="144445" s="12" customFormat="1" x14ac:dyDescent="0.25"/>
    <row r="144446" s="12" customFormat="1" x14ac:dyDescent="0.25"/>
    <row r="144447" s="12" customFormat="1" x14ac:dyDescent="0.25"/>
    <row r="144448" s="12" customFormat="1" x14ac:dyDescent="0.25"/>
    <row r="144449" s="12" customFormat="1" x14ac:dyDescent="0.25"/>
    <row r="144450" s="12" customFormat="1" x14ac:dyDescent="0.25"/>
    <row r="144451" s="12" customFormat="1" x14ac:dyDescent="0.25"/>
    <row r="144452" s="12" customFormat="1" x14ac:dyDescent="0.25"/>
    <row r="144453" s="12" customFormat="1" x14ac:dyDescent="0.25"/>
    <row r="144454" s="12" customFormat="1" x14ac:dyDescent="0.25"/>
    <row r="144455" s="12" customFormat="1" x14ac:dyDescent="0.25"/>
    <row r="144456" s="12" customFormat="1" x14ac:dyDescent="0.25"/>
    <row r="144457" s="12" customFormat="1" x14ac:dyDescent="0.25"/>
    <row r="144458" s="12" customFormat="1" x14ac:dyDescent="0.25"/>
    <row r="144459" s="12" customFormat="1" x14ac:dyDescent="0.25"/>
    <row r="144460" s="12" customFormat="1" x14ac:dyDescent="0.25"/>
    <row r="144461" s="12" customFormat="1" x14ac:dyDescent="0.25"/>
    <row r="144462" s="12" customFormat="1" x14ac:dyDescent="0.25"/>
    <row r="144463" s="12" customFormat="1" x14ac:dyDescent="0.25"/>
    <row r="144464" s="12" customFormat="1" x14ac:dyDescent="0.25"/>
    <row r="144465" s="12" customFormat="1" x14ac:dyDescent="0.25"/>
    <row r="144466" s="12" customFormat="1" x14ac:dyDescent="0.25"/>
    <row r="144467" s="12" customFormat="1" x14ac:dyDescent="0.25"/>
    <row r="144468" s="12" customFormat="1" x14ac:dyDescent="0.25"/>
    <row r="144469" s="12" customFormat="1" x14ac:dyDescent="0.25"/>
    <row r="144470" s="12" customFormat="1" x14ac:dyDescent="0.25"/>
    <row r="144471" s="12" customFormat="1" x14ac:dyDescent="0.25"/>
    <row r="144472" s="12" customFormat="1" x14ac:dyDescent="0.25"/>
    <row r="144473" s="12" customFormat="1" x14ac:dyDescent="0.25"/>
    <row r="144474" s="12" customFormat="1" x14ac:dyDescent="0.25"/>
    <row r="144475" s="12" customFormat="1" x14ac:dyDescent="0.25"/>
    <row r="144476" s="12" customFormat="1" x14ac:dyDescent="0.25"/>
    <row r="144477" s="12" customFormat="1" x14ac:dyDescent="0.25"/>
    <row r="144478" s="12" customFormat="1" x14ac:dyDescent="0.25"/>
    <row r="144479" s="12" customFormat="1" x14ac:dyDescent="0.25"/>
    <row r="144480" s="12" customFormat="1" x14ac:dyDescent="0.25"/>
    <row r="144481" s="12" customFormat="1" x14ac:dyDescent="0.25"/>
    <row r="144482" s="12" customFormat="1" x14ac:dyDescent="0.25"/>
    <row r="144483" s="12" customFormat="1" x14ac:dyDescent="0.25"/>
    <row r="144484" s="12" customFormat="1" x14ac:dyDescent="0.25"/>
    <row r="144485" s="12" customFormat="1" x14ac:dyDescent="0.25"/>
    <row r="144486" s="12" customFormat="1" x14ac:dyDescent="0.25"/>
    <row r="144487" s="12" customFormat="1" x14ac:dyDescent="0.25"/>
    <row r="144488" s="12" customFormat="1" x14ac:dyDescent="0.25"/>
    <row r="144489" s="12" customFormat="1" x14ac:dyDescent="0.25"/>
    <row r="144490" s="12" customFormat="1" x14ac:dyDescent="0.25"/>
    <row r="144491" s="12" customFormat="1" x14ac:dyDescent="0.25"/>
    <row r="144492" s="12" customFormat="1" x14ac:dyDescent="0.25"/>
    <row r="144493" s="12" customFormat="1" x14ac:dyDescent="0.25"/>
    <row r="144494" s="12" customFormat="1" x14ac:dyDescent="0.25"/>
    <row r="144495" s="12" customFormat="1" x14ac:dyDescent="0.25"/>
    <row r="144496" s="12" customFormat="1" x14ac:dyDescent="0.25"/>
    <row r="144497" s="12" customFormat="1" x14ac:dyDescent="0.25"/>
    <row r="144498" s="12" customFormat="1" x14ac:dyDescent="0.25"/>
    <row r="144499" s="12" customFormat="1" x14ac:dyDescent="0.25"/>
    <row r="144500" s="12" customFormat="1" x14ac:dyDescent="0.25"/>
    <row r="144501" s="12" customFormat="1" x14ac:dyDescent="0.25"/>
    <row r="144502" s="12" customFormat="1" x14ac:dyDescent="0.25"/>
    <row r="144503" s="12" customFormat="1" x14ac:dyDescent="0.25"/>
    <row r="144504" s="12" customFormat="1" x14ac:dyDescent="0.25"/>
    <row r="144505" s="12" customFormat="1" x14ac:dyDescent="0.25"/>
    <row r="144506" s="12" customFormat="1" x14ac:dyDescent="0.25"/>
    <row r="144507" s="12" customFormat="1" x14ac:dyDescent="0.25"/>
    <row r="144508" s="12" customFormat="1" x14ac:dyDescent="0.25"/>
    <row r="144509" s="12" customFormat="1" x14ac:dyDescent="0.25"/>
    <row r="144510" s="12" customFormat="1" x14ac:dyDescent="0.25"/>
    <row r="144511" s="12" customFormat="1" x14ac:dyDescent="0.25"/>
    <row r="144512" s="12" customFormat="1" x14ac:dyDescent="0.25"/>
    <row r="144513" s="12" customFormat="1" x14ac:dyDescent="0.25"/>
    <row r="144514" s="12" customFormat="1" x14ac:dyDescent="0.25"/>
    <row r="144515" s="12" customFormat="1" x14ac:dyDescent="0.25"/>
    <row r="144516" s="12" customFormat="1" x14ac:dyDescent="0.25"/>
    <row r="144517" s="12" customFormat="1" x14ac:dyDescent="0.25"/>
    <row r="144518" s="12" customFormat="1" x14ac:dyDescent="0.25"/>
    <row r="144519" s="12" customFormat="1" x14ac:dyDescent="0.25"/>
    <row r="144520" s="12" customFormat="1" x14ac:dyDescent="0.25"/>
    <row r="144521" s="12" customFormat="1" x14ac:dyDescent="0.25"/>
    <row r="144522" s="12" customFormat="1" x14ac:dyDescent="0.25"/>
    <row r="144523" s="12" customFormat="1" x14ac:dyDescent="0.25"/>
    <row r="144524" s="12" customFormat="1" x14ac:dyDescent="0.25"/>
    <row r="144525" s="12" customFormat="1" x14ac:dyDescent="0.25"/>
    <row r="144526" s="12" customFormat="1" x14ac:dyDescent="0.25"/>
    <row r="144527" s="12" customFormat="1" x14ac:dyDescent="0.25"/>
    <row r="144528" s="12" customFormat="1" x14ac:dyDescent="0.25"/>
    <row r="144529" s="12" customFormat="1" x14ac:dyDescent="0.25"/>
    <row r="144530" s="12" customFormat="1" x14ac:dyDescent="0.25"/>
    <row r="144531" s="12" customFormat="1" x14ac:dyDescent="0.25"/>
    <row r="144532" s="12" customFormat="1" x14ac:dyDescent="0.25"/>
    <row r="144533" s="12" customFormat="1" x14ac:dyDescent="0.25"/>
    <row r="144534" s="12" customFormat="1" x14ac:dyDescent="0.25"/>
    <row r="144535" s="12" customFormat="1" x14ac:dyDescent="0.25"/>
    <row r="144536" s="12" customFormat="1" x14ac:dyDescent="0.25"/>
    <row r="144537" s="12" customFormat="1" x14ac:dyDescent="0.25"/>
    <row r="144538" s="12" customFormat="1" x14ac:dyDescent="0.25"/>
    <row r="144539" s="12" customFormat="1" x14ac:dyDescent="0.25"/>
    <row r="144540" s="12" customFormat="1" x14ac:dyDescent="0.25"/>
    <row r="144541" s="12" customFormat="1" x14ac:dyDescent="0.25"/>
    <row r="144542" s="12" customFormat="1" x14ac:dyDescent="0.25"/>
    <row r="144543" s="12" customFormat="1" x14ac:dyDescent="0.25"/>
    <row r="144544" s="12" customFormat="1" x14ac:dyDescent="0.25"/>
    <row r="144545" s="12" customFormat="1" x14ac:dyDescent="0.25"/>
    <row r="144546" s="12" customFormat="1" x14ac:dyDescent="0.25"/>
    <row r="144547" s="12" customFormat="1" x14ac:dyDescent="0.25"/>
    <row r="144548" s="12" customFormat="1" x14ac:dyDescent="0.25"/>
    <row r="144549" s="12" customFormat="1" x14ac:dyDescent="0.25"/>
    <row r="144550" s="12" customFormat="1" x14ac:dyDescent="0.25"/>
    <row r="144551" s="12" customFormat="1" x14ac:dyDescent="0.25"/>
    <row r="144552" s="12" customFormat="1" x14ac:dyDescent="0.25"/>
    <row r="144553" s="12" customFormat="1" x14ac:dyDescent="0.25"/>
    <row r="144554" s="12" customFormat="1" x14ac:dyDescent="0.25"/>
    <row r="144555" s="12" customFormat="1" x14ac:dyDescent="0.25"/>
    <row r="144556" s="12" customFormat="1" x14ac:dyDescent="0.25"/>
    <row r="144557" s="12" customFormat="1" x14ac:dyDescent="0.25"/>
    <row r="144558" s="12" customFormat="1" x14ac:dyDescent="0.25"/>
    <row r="144559" s="12" customFormat="1" x14ac:dyDescent="0.25"/>
    <row r="144560" s="12" customFormat="1" x14ac:dyDescent="0.25"/>
    <row r="144561" s="12" customFormat="1" x14ac:dyDescent="0.25"/>
    <row r="144562" s="12" customFormat="1" x14ac:dyDescent="0.25"/>
    <row r="144563" s="12" customFormat="1" x14ac:dyDescent="0.25"/>
    <row r="144564" s="12" customFormat="1" x14ac:dyDescent="0.25"/>
    <row r="144565" s="12" customFormat="1" x14ac:dyDescent="0.25"/>
    <row r="144566" s="12" customFormat="1" x14ac:dyDescent="0.25"/>
    <row r="144567" s="12" customFormat="1" x14ac:dyDescent="0.25"/>
    <row r="144568" s="12" customFormat="1" x14ac:dyDescent="0.25"/>
    <row r="144569" s="12" customFormat="1" x14ac:dyDescent="0.25"/>
    <row r="144570" s="12" customFormat="1" x14ac:dyDescent="0.25"/>
    <row r="144571" s="12" customFormat="1" x14ac:dyDescent="0.25"/>
    <row r="144572" s="12" customFormat="1" x14ac:dyDescent="0.25"/>
    <row r="144573" s="12" customFormat="1" x14ac:dyDescent="0.25"/>
    <row r="144574" s="12" customFormat="1" x14ac:dyDescent="0.25"/>
    <row r="144575" s="12" customFormat="1" x14ac:dyDescent="0.25"/>
    <row r="144576" s="12" customFormat="1" x14ac:dyDescent="0.25"/>
    <row r="144577" s="12" customFormat="1" x14ac:dyDescent="0.25"/>
    <row r="144578" s="12" customFormat="1" x14ac:dyDescent="0.25"/>
    <row r="144579" s="12" customFormat="1" x14ac:dyDescent="0.25"/>
    <row r="144580" s="12" customFormat="1" x14ac:dyDescent="0.25"/>
    <row r="144581" s="12" customFormat="1" x14ac:dyDescent="0.25"/>
    <row r="144582" s="12" customFormat="1" x14ac:dyDescent="0.25"/>
    <row r="144583" s="12" customFormat="1" x14ac:dyDescent="0.25"/>
    <row r="144584" s="12" customFormat="1" x14ac:dyDescent="0.25"/>
    <row r="144585" s="12" customFormat="1" x14ac:dyDescent="0.25"/>
    <row r="144586" s="12" customFormat="1" x14ac:dyDescent="0.25"/>
    <row r="144587" s="12" customFormat="1" x14ac:dyDescent="0.25"/>
    <row r="144588" s="12" customFormat="1" x14ac:dyDescent="0.25"/>
    <row r="144589" s="12" customFormat="1" x14ac:dyDescent="0.25"/>
    <row r="144590" s="12" customFormat="1" x14ac:dyDescent="0.25"/>
    <row r="144591" s="12" customFormat="1" x14ac:dyDescent="0.25"/>
    <row r="144592" s="12" customFormat="1" x14ac:dyDescent="0.25"/>
    <row r="144593" s="12" customFormat="1" x14ac:dyDescent="0.25"/>
    <row r="144594" s="12" customFormat="1" x14ac:dyDescent="0.25"/>
    <row r="144595" s="12" customFormat="1" x14ac:dyDescent="0.25"/>
    <row r="144596" s="12" customFormat="1" x14ac:dyDescent="0.25"/>
    <row r="144597" s="12" customFormat="1" x14ac:dyDescent="0.25"/>
    <row r="144598" s="12" customFormat="1" x14ac:dyDescent="0.25"/>
    <row r="144599" s="12" customFormat="1" x14ac:dyDescent="0.25"/>
    <row r="144600" s="12" customFormat="1" x14ac:dyDescent="0.25"/>
    <row r="144601" s="12" customFormat="1" x14ac:dyDescent="0.25"/>
    <row r="144602" s="12" customFormat="1" x14ac:dyDescent="0.25"/>
    <row r="144603" s="12" customFormat="1" x14ac:dyDescent="0.25"/>
    <row r="144604" s="12" customFormat="1" x14ac:dyDescent="0.25"/>
    <row r="144605" s="12" customFormat="1" x14ac:dyDescent="0.25"/>
    <row r="144606" s="12" customFormat="1" x14ac:dyDescent="0.25"/>
    <row r="144607" s="12" customFormat="1" x14ac:dyDescent="0.25"/>
    <row r="144608" s="12" customFormat="1" x14ac:dyDescent="0.25"/>
    <row r="144609" s="12" customFormat="1" x14ac:dyDescent="0.25"/>
    <row r="144610" s="12" customFormat="1" x14ac:dyDescent="0.25"/>
    <row r="144611" s="12" customFormat="1" x14ac:dyDescent="0.25"/>
    <row r="144612" s="12" customFormat="1" x14ac:dyDescent="0.25"/>
    <row r="144613" s="12" customFormat="1" x14ac:dyDescent="0.25"/>
    <row r="144614" s="12" customFormat="1" x14ac:dyDescent="0.25"/>
    <row r="144615" s="12" customFormat="1" x14ac:dyDescent="0.25"/>
    <row r="144616" s="12" customFormat="1" x14ac:dyDescent="0.25"/>
    <row r="144617" s="12" customFormat="1" x14ac:dyDescent="0.25"/>
    <row r="144618" s="12" customFormat="1" x14ac:dyDescent="0.25"/>
    <row r="144619" s="12" customFormat="1" x14ac:dyDescent="0.25"/>
    <row r="144620" s="12" customFormat="1" x14ac:dyDescent="0.25"/>
    <row r="144621" s="12" customFormat="1" x14ac:dyDescent="0.25"/>
    <row r="144622" s="12" customFormat="1" x14ac:dyDescent="0.25"/>
    <row r="144623" s="12" customFormat="1" x14ac:dyDescent="0.25"/>
    <row r="144624" s="12" customFormat="1" x14ac:dyDescent="0.25"/>
    <row r="144625" s="12" customFormat="1" x14ac:dyDescent="0.25"/>
    <row r="144626" s="12" customFormat="1" x14ac:dyDescent="0.25"/>
    <row r="144627" s="12" customFormat="1" x14ac:dyDescent="0.25"/>
    <row r="144628" s="12" customFormat="1" x14ac:dyDescent="0.25"/>
    <row r="144629" s="12" customFormat="1" x14ac:dyDescent="0.25"/>
    <row r="144630" s="12" customFormat="1" x14ac:dyDescent="0.25"/>
    <row r="144631" s="12" customFormat="1" x14ac:dyDescent="0.25"/>
    <row r="144632" s="12" customFormat="1" x14ac:dyDescent="0.25"/>
    <row r="144633" s="12" customFormat="1" x14ac:dyDescent="0.25"/>
    <row r="144634" s="12" customFormat="1" x14ac:dyDescent="0.25"/>
    <row r="144635" s="12" customFormat="1" x14ac:dyDescent="0.25"/>
    <row r="144636" s="12" customFormat="1" x14ac:dyDescent="0.25"/>
    <row r="144637" s="12" customFormat="1" x14ac:dyDescent="0.25"/>
    <row r="144638" s="12" customFormat="1" x14ac:dyDescent="0.25"/>
    <row r="144639" s="12" customFormat="1" x14ac:dyDescent="0.25"/>
    <row r="144640" s="12" customFormat="1" x14ac:dyDescent="0.25"/>
    <row r="144641" s="12" customFormat="1" x14ac:dyDescent="0.25"/>
    <row r="144642" s="12" customFormat="1" x14ac:dyDescent="0.25"/>
    <row r="144643" s="12" customFormat="1" x14ac:dyDescent="0.25"/>
    <row r="144644" s="12" customFormat="1" x14ac:dyDescent="0.25"/>
    <row r="144645" s="12" customFormat="1" x14ac:dyDescent="0.25"/>
    <row r="144646" s="12" customFormat="1" x14ac:dyDescent="0.25"/>
    <row r="144647" s="12" customFormat="1" x14ac:dyDescent="0.25"/>
    <row r="144648" s="12" customFormat="1" x14ac:dyDescent="0.25"/>
    <row r="144649" s="12" customFormat="1" x14ac:dyDescent="0.25"/>
    <row r="144650" s="12" customFormat="1" x14ac:dyDescent="0.25"/>
    <row r="144651" s="12" customFormat="1" x14ac:dyDescent="0.25"/>
    <row r="144652" s="12" customFormat="1" x14ac:dyDescent="0.25"/>
    <row r="144653" s="12" customFormat="1" x14ac:dyDescent="0.25"/>
    <row r="144654" s="12" customFormat="1" x14ac:dyDescent="0.25"/>
    <row r="144655" s="12" customFormat="1" x14ac:dyDescent="0.25"/>
    <row r="144656" s="12" customFormat="1" x14ac:dyDescent="0.25"/>
    <row r="144657" s="12" customFormat="1" x14ac:dyDescent="0.25"/>
    <row r="144658" s="12" customFormat="1" x14ac:dyDescent="0.25"/>
    <row r="144659" s="12" customFormat="1" x14ac:dyDescent="0.25"/>
    <row r="144660" s="12" customFormat="1" x14ac:dyDescent="0.25"/>
    <row r="144661" s="12" customFormat="1" x14ac:dyDescent="0.25"/>
    <row r="144662" s="12" customFormat="1" x14ac:dyDescent="0.25"/>
    <row r="144663" s="12" customFormat="1" x14ac:dyDescent="0.25"/>
    <row r="144664" s="12" customFormat="1" x14ac:dyDescent="0.25"/>
    <row r="144665" s="12" customFormat="1" x14ac:dyDescent="0.25"/>
    <row r="144666" s="12" customFormat="1" x14ac:dyDescent="0.25"/>
    <row r="144667" s="12" customFormat="1" x14ac:dyDescent="0.25"/>
    <row r="144668" s="12" customFormat="1" x14ac:dyDescent="0.25"/>
    <row r="144669" s="12" customFormat="1" x14ac:dyDescent="0.25"/>
    <row r="144670" s="12" customFormat="1" x14ac:dyDescent="0.25"/>
    <row r="144671" s="12" customFormat="1" x14ac:dyDescent="0.25"/>
    <row r="144672" s="12" customFormat="1" x14ac:dyDescent="0.25"/>
    <row r="144673" s="12" customFormat="1" x14ac:dyDescent="0.25"/>
    <row r="144674" s="12" customFormat="1" x14ac:dyDescent="0.25"/>
    <row r="144675" s="12" customFormat="1" x14ac:dyDescent="0.25"/>
    <row r="144676" s="12" customFormat="1" x14ac:dyDescent="0.25"/>
    <row r="144677" s="12" customFormat="1" x14ac:dyDescent="0.25"/>
    <row r="144678" s="12" customFormat="1" x14ac:dyDescent="0.25"/>
    <row r="144679" s="12" customFormat="1" x14ac:dyDescent="0.25"/>
    <row r="144680" s="12" customFormat="1" x14ac:dyDescent="0.25"/>
    <row r="144681" s="12" customFormat="1" x14ac:dyDescent="0.25"/>
    <row r="144682" s="12" customFormat="1" x14ac:dyDescent="0.25"/>
    <row r="144683" s="12" customFormat="1" x14ac:dyDescent="0.25"/>
    <row r="144684" s="12" customFormat="1" x14ac:dyDescent="0.25"/>
    <row r="144685" s="12" customFormat="1" x14ac:dyDescent="0.25"/>
    <row r="144686" s="12" customFormat="1" x14ac:dyDescent="0.25"/>
    <row r="144687" s="12" customFormat="1" x14ac:dyDescent="0.25"/>
    <row r="144688" s="12" customFormat="1" x14ac:dyDescent="0.25"/>
    <row r="144689" s="12" customFormat="1" x14ac:dyDescent="0.25"/>
    <row r="144690" s="12" customFormat="1" x14ac:dyDescent="0.25"/>
    <row r="144691" s="12" customFormat="1" x14ac:dyDescent="0.25"/>
    <row r="144692" s="12" customFormat="1" x14ac:dyDescent="0.25"/>
    <row r="144693" s="12" customFormat="1" x14ac:dyDescent="0.25"/>
    <row r="144694" s="12" customFormat="1" x14ac:dyDescent="0.25"/>
    <row r="144695" s="12" customFormat="1" x14ac:dyDescent="0.25"/>
    <row r="144696" s="12" customFormat="1" x14ac:dyDescent="0.25"/>
    <row r="144697" s="12" customFormat="1" x14ac:dyDescent="0.25"/>
    <row r="144698" s="12" customFormat="1" x14ac:dyDescent="0.25"/>
    <row r="144699" s="12" customFormat="1" x14ac:dyDescent="0.25"/>
    <row r="144700" s="12" customFormat="1" x14ac:dyDescent="0.25"/>
    <row r="144701" s="12" customFormat="1" x14ac:dyDescent="0.25"/>
    <row r="144702" s="12" customFormat="1" x14ac:dyDescent="0.25"/>
    <row r="144703" s="12" customFormat="1" x14ac:dyDescent="0.25"/>
    <row r="144704" s="12" customFormat="1" x14ac:dyDescent="0.25"/>
    <row r="144705" s="12" customFormat="1" x14ac:dyDescent="0.25"/>
    <row r="144706" s="12" customFormat="1" x14ac:dyDescent="0.25"/>
    <row r="144707" s="12" customFormat="1" x14ac:dyDescent="0.25"/>
    <row r="144708" s="12" customFormat="1" x14ac:dyDescent="0.25"/>
    <row r="144709" s="12" customFormat="1" x14ac:dyDescent="0.25"/>
    <row r="144710" s="12" customFormat="1" x14ac:dyDescent="0.25"/>
    <row r="144711" s="12" customFormat="1" x14ac:dyDescent="0.25"/>
    <row r="144712" s="12" customFormat="1" x14ac:dyDescent="0.25"/>
    <row r="144713" s="12" customFormat="1" x14ac:dyDescent="0.25"/>
    <row r="144714" s="12" customFormat="1" x14ac:dyDescent="0.25"/>
    <row r="144715" s="12" customFormat="1" x14ac:dyDescent="0.25"/>
    <row r="144716" s="12" customFormat="1" x14ac:dyDescent="0.25"/>
    <row r="144717" s="12" customFormat="1" x14ac:dyDescent="0.25"/>
    <row r="144718" s="12" customFormat="1" x14ac:dyDescent="0.25"/>
    <row r="144719" s="12" customFormat="1" x14ac:dyDescent="0.25"/>
    <row r="144720" s="12" customFormat="1" x14ac:dyDescent="0.25"/>
    <row r="144721" s="12" customFormat="1" x14ac:dyDescent="0.25"/>
    <row r="144722" s="12" customFormat="1" x14ac:dyDescent="0.25"/>
    <row r="144723" s="12" customFormat="1" x14ac:dyDescent="0.25"/>
    <row r="144724" s="12" customFormat="1" x14ac:dyDescent="0.25"/>
    <row r="144725" s="12" customFormat="1" x14ac:dyDescent="0.25"/>
    <row r="144726" s="12" customFormat="1" x14ac:dyDescent="0.25"/>
    <row r="144727" s="12" customFormat="1" x14ac:dyDescent="0.25"/>
    <row r="144728" s="12" customFormat="1" x14ac:dyDescent="0.25"/>
    <row r="144729" s="12" customFormat="1" x14ac:dyDescent="0.25"/>
    <row r="144730" s="12" customFormat="1" x14ac:dyDescent="0.25"/>
    <row r="144731" s="12" customFormat="1" x14ac:dyDescent="0.25"/>
    <row r="144732" s="12" customFormat="1" x14ac:dyDescent="0.25"/>
    <row r="144733" s="12" customFormat="1" x14ac:dyDescent="0.25"/>
    <row r="144734" s="12" customFormat="1" x14ac:dyDescent="0.25"/>
    <row r="144735" s="12" customFormat="1" x14ac:dyDescent="0.25"/>
    <row r="144736" s="12" customFormat="1" x14ac:dyDescent="0.25"/>
    <row r="144737" s="12" customFormat="1" x14ac:dyDescent="0.25"/>
    <row r="144738" s="12" customFormat="1" x14ac:dyDescent="0.25"/>
    <row r="144739" s="12" customFormat="1" x14ac:dyDescent="0.25"/>
    <row r="144740" s="12" customFormat="1" x14ac:dyDescent="0.25"/>
    <row r="144741" s="12" customFormat="1" x14ac:dyDescent="0.25"/>
    <row r="144742" s="12" customFormat="1" x14ac:dyDescent="0.25"/>
    <row r="144743" s="12" customFormat="1" x14ac:dyDescent="0.25"/>
    <row r="144744" s="12" customFormat="1" x14ac:dyDescent="0.25"/>
    <row r="144745" s="12" customFormat="1" x14ac:dyDescent="0.25"/>
    <row r="144746" s="12" customFormat="1" x14ac:dyDescent="0.25"/>
    <row r="144747" s="12" customFormat="1" x14ac:dyDescent="0.25"/>
    <row r="144748" s="12" customFormat="1" x14ac:dyDescent="0.25"/>
    <row r="144749" s="12" customFormat="1" x14ac:dyDescent="0.25"/>
    <row r="144750" s="12" customFormat="1" x14ac:dyDescent="0.25"/>
    <row r="144751" s="12" customFormat="1" x14ac:dyDescent="0.25"/>
    <row r="144752" s="12" customFormat="1" x14ac:dyDescent="0.25"/>
    <row r="144753" s="12" customFormat="1" x14ac:dyDescent="0.25"/>
    <row r="144754" s="12" customFormat="1" x14ac:dyDescent="0.25"/>
    <row r="144755" s="12" customFormat="1" x14ac:dyDescent="0.25"/>
    <row r="144756" s="12" customFormat="1" x14ac:dyDescent="0.25"/>
    <row r="144757" s="12" customFormat="1" x14ac:dyDescent="0.25"/>
    <row r="144758" s="12" customFormat="1" x14ac:dyDescent="0.25"/>
    <row r="144759" s="12" customFormat="1" x14ac:dyDescent="0.25"/>
    <row r="144760" s="12" customFormat="1" x14ac:dyDescent="0.25"/>
    <row r="144761" s="12" customFormat="1" x14ac:dyDescent="0.25"/>
    <row r="144762" s="12" customFormat="1" x14ac:dyDescent="0.25"/>
    <row r="144763" s="12" customFormat="1" x14ac:dyDescent="0.25"/>
    <row r="144764" s="12" customFormat="1" x14ac:dyDescent="0.25"/>
    <row r="144765" s="12" customFormat="1" x14ac:dyDescent="0.25"/>
    <row r="144766" s="12" customFormat="1" x14ac:dyDescent="0.25"/>
    <row r="144767" s="12" customFormat="1" x14ac:dyDescent="0.25"/>
    <row r="144768" s="12" customFormat="1" x14ac:dyDescent="0.25"/>
    <row r="144769" s="12" customFormat="1" x14ac:dyDescent="0.25"/>
    <row r="144770" s="12" customFormat="1" x14ac:dyDescent="0.25"/>
    <row r="144771" s="12" customFormat="1" x14ac:dyDescent="0.25"/>
    <row r="144772" s="12" customFormat="1" x14ac:dyDescent="0.25"/>
    <row r="144773" s="12" customFormat="1" x14ac:dyDescent="0.25"/>
    <row r="144774" s="12" customFormat="1" x14ac:dyDescent="0.25"/>
    <row r="144775" s="12" customFormat="1" x14ac:dyDescent="0.25"/>
    <row r="144776" s="12" customFormat="1" x14ac:dyDescent="0.25"/>
    <row r="144777" s="12" customFormat="1" x14ac:dyDescent="0.25"/>
    <row r="144778" s="12" customFormat="1" x14ac:dyDescent="0.25"/>
    <row r="144779" s="12" customFormat="1" x14ac:dyDescent="0.25"/>
    <row r="144780" s="12" customFormat="1" x14ac:dyDescent="0.25"/>
    <row r="144781" s="12" customFormat="1" x14ac:dyDescent="0.25"/>
    <row r="144782" s="12" customFormat="1" x14ac:dyDescent="0.25"/>
    <row r="144783" s="12" customFormat="1" x14ac:dyDescent="0.25"/>
    <row r="144784" s="12" customFormat="1" x14ac:dyDescent="0.25"/>
    <row r="144785" s="12" customFormat="1" x14ac:dyDescent="0.25"/>
    <row r="144786" s="12" customFormat="1" x14ac:dyDescent="0.25"/>
    <row r="144787" s="12" customFormat="1" x14ac:dyDescent="0.25"/>
    <row r="144788" s="12" customFormat="1" x14ac:dyDescent="0.25"/>
    <row r="144789" s="12" customFormat="1" x14ac:dyDescent="0.25"/>
    <row r="144790" s="12" customFormat="1" x14ac:dyDescent="0.25"/>
    <row r="144791" s="12" customFormat="1" x14ac:dyDescent="0.25"/>
    <row r="144792" s="12" customFormat="1" x14ac:dyDescent="0.25"/>
    <row r="144793" s="12" customFormat="1" x14ac:dyDescent="0.25"/>
    <row r="144794" s="12" customFormat="1" x14ac:dyDescent="0.25"/>
    <row r="144795" s="12" customFormat="1" x14ac:dyDescent="0.25"/>
    <row r="144796" s="12" customFormat="1" x14ac:dyDescent="0.25"/>
    <row r="144797" s="12" customFormat="1" x14ac:dyDescent="0.25"/>
    <row r="144798" s="12" customFormat="1" x14ac:dyDescent="0.25"/>
    <row r="144799" s="12" customFormat="1" x14ac:dyDescent="0.25"/>
    <row r="144800" s="12" customFormat="1" x14ac:dyDescent="0.25"/>
    <row r="144801" s="12" customFormat="1" x14ac:dyDescent="0.25"/>
    <row r="144802" s="12" customFormat="1" x14ac:dyDescent="0.25"/>
    <row r="144803" s="12" customFormat="1" x14ac:dyDescent="0.25"/>
    <row r="144804" s="12" customFormat="1" x14ac:dyDescent="0.25"/>
    <row r="144805" s="12" customFormat="1" x14ac:dyDescent="0.25"/>
    <row r="144806" s="12" customFormat="1" x14ac:dyDescent="0.25"/>
    <row r="144807" s="12" customFormat="1" x14ac:dyDescent="0.25"/>
    <row r="144808" s="12" customFormat="1" x14ac:dyDescent="0.25"/>
    <row r="144809" s="12" customFormat="1" x14ac:dyDescent="0.25"/>
    <row r="144810" s="12" customFormat="1" x14ac:dyDescent="0.25"/>
    <row r="144811" s="12" customFormat="1" x14ac:dyDescent="0.25"/>
    <row r="144812" s="12" customFormat="1" x14ac:dyDescent="0.25"/>
    <row r="144813" s="12" customFormat="1" x14ac:dyDescent="0.25"/>
    <row r="144814" s="12" customFormat="1" x14ac:dyDescent="0.25"/>
    <row r="144815" s="12" customFormat="1" x14ac:dyDescent="0.25"/>
    <row r="144816" s="12" customFormat="1" x14ac:dyDescent="0.25"/>
    <row r="144817" s="12" customFormat="1" x14ac:dyDescent="0.25"/>
    <row r="144818" s="12" customFormat="1" x14ac:dyDescent="0.25"/>
    <row r="144819" s="12" customFormat="1" x14ac:dyDescent="0.25"/>
    <row r="144820" s="12" customFormat="1" x14ac:dyDescent="0.25"/>
    <row r="144821" s="12" customFormat="1" x14ac:dyDescent="0.25"/>
    <row r="144822" s="12" customFormat="1" x14ac:dyDescent="0.25"/>
    <row r="144823" s="12" customFormat="1" x14ac:dyDescent="0.25"/>
    <row r="144824" s="12" customFormat="1" x14ac:dyDescent="0.25"/>
    <row r="144825" s="12" customFormat="1" x14ac:dyDescent="0.25"/>
    <row r="144826" s="12" customFormat="1" x14ac:dyDescent="0.25"/>
    <row r="144827" s="12" customFormat="1" x14ac:dyDescent="0.25"/>
    <row r="144828" s="12" customFormat="1" x14ac:dyDescent="0.25"/>
    <row r="144829" s="12" customFormat="1" x14ac:dyDescent="0.25"/>
    <row r="144830" s="12" customFormat="1" x14ac:dyDescent="0.25"/>
    <row r="144831" s="12" customFormat="1" x14ac:dyDescent="0.25"/>
    <row r="144832" s="12" customFormat="1" x14ac:dyDescent="0.25"/>
    <row r="144833" s="12" customFormat="1" x14ac:dyDescent="0.25"/>
    <row r="144834" s="12" customFormat="1" x14ac:dyDescent="0.25"/>
    <row r="144835" s="12" customFormat="1" x14ac:dyDescent="0.25"/>
    <row r="144836" s="12" customFormat="1" x14ac:dyDescent="0.25"/>
    <row r="144837" s="12" customFormat="1" x14ac:dyDescent="0.25"/>
    <row r="144838" s="12" customFormat="1" x14ac:dyDescent="0.25"/>
    <row r="144839" s="12" customFormat="1" x14ac:dyDescent="0.25"/>
    <row r="144840" s="12" customFormat="1" x14ac:dyDescent="0.25"/>
    <row r="144841" s="12" customFormat="1" x14ac:dyDescent="0.25"/>
    <row r="144842" s="12" customFormat="1" x14ac:dyDescent="0.25"/>
    <row r="144843" s="12" customFormat="1" x14ac:dyDescent="0.25"/>
    <row r="144844" s="12" customFormat="1" x14ac:dyDescent="0.25"/>
    <row r="144845" s="12" customFormat="1" x14ac:dyDescent="0.25"/>
    <row r="144846" s="12" customFormat="1" x14ac:dyDescent="0.25"/>
    <row r="144847" s="12" customFormat="1" x14ac:dyDescent="0.25"/>
    <row r="144848" s="12" customFormat="1" x14ac:dyDescent="0.25"/>
    <row r="144849" s="12" customFormat="1" x14ac:dyDescent="0.25"/>
    <row r="144850" s="12" customFormat="1" x14ac:dyDescent="0.25"/>
    <row r="144851" s="12" customFormat="1" x14ac:dyDescent="0.25"/>
    <row r="144852" s="12" customFormat="1" x14ac:dyDescent="0.25"/>
    <row r="144853" s="12" customFormat="1" x14ac:dyDescent="0.25"/>
    <row r="144854" s="12" customFormat="1" x14ac:dyDescent="0.25"/>
    <row r="144855" s="12" customFormat="1" x14ac:dyDescent="0.25"/>
    <row r="144856" s="12" customFormat="1" x14ac:dyDescent="0.25"/>
    <row r="144857" s="12" customFormat="1" x14ac:dyDescent="0.25"/>
    <row r="144858" s="12" customFormat="1" x14ac:dyDescent="0.25"/>
    <row r="144859" s="12" customFormat="1" x14ac:dyDescent="0.25"/>
    <row r="144860" s="12" customFormat="1" x14ac:dyDescent="0.25"/>
    <row r="144861" s="12" customFormat="1" x14ac:dyDescent="0.25"/>
    <row r="144862" s="12" customFormat="1" x14ac:dyDescent="0.25"/>
    <row r="144863" s="12" customFormat="1" x14ac:dyDescent="0.25"/>
    <row r="144864" s="12" customFormat="1" x14ac:dyDescent="0.25"/>
    <row r="144865" s="12" customFormat="1" x14ac:dyDescent="0.25"/>
    <row r="144866" s="12" customFormat="1" x14ac:dyDescent="0.25"/>
    <row r="144867" s="12" customFormat="1" x14ac:dyDescent="0.25"/>
    <row r="144868" s="12" customFormat="1" x14ac:dyDescent="0.25"/>
    <row r="144869" s="12" customFormat="1" x14ac:dyDescent="0.25"/>
    <row r="144870" s="12" customFormat="1" x14ac:dyDescent="0.25"/>
    <row r="144871" s="12" customFormat="1" x14ac:dyDescent="0.25"/>
    <row r="144872" s="12" customFormat="1" x14ac:dyDescent="0.25"/>
    <row r="144873" s="12" customFormat="1" x14ac:dyDescent="0.25"/>
    <row r="144874" s="12" customFormat="1" x14ac:dyDescent="0.25"/>
    <row r="144875" s="12" customFormat="1" x14ac:dyDescent="0.25"/>
    <row r="144876" s="12" customFormat="1" x14ac:dyDescent="0.25"/>
    <row r="144877" s="12" customFormat="1" x14ac:dyDescent="0.25"/>
    <row r="144878" s="12" customFormat="1" x14ac:dyDescent="0.25"/>
    <row r="144879" s="12" customFormat="1" x14ac:dyDescent="0.25"/>
    <row r="144880" s="12" customFormat="1" x14ac:dyDescent="0.25"/>
    <row r="144881" s="12" customFormat="1" x14ac:dyDescent="0.25"/>
    <row r="144882" s="12" customFormat="1" x14ac:dyDescent="0.25"/>
    <row r="144883" s="12" customFormat="1" x14ac:dyDescent="0.25"/>
    <row r="144884" s="12" customFormat="1" x14ac:dyDescent="0.25"/>
    <row r="144885" s="12" customFormat="1" x14ac:dyDescent="0.25"/>
    <row r="144886" s="12" customFormat="1" x14ac:dyDescent="0.25"/>
    <row r="144887" s="12" customFormat="1" x14ac:dyDescent="0.25"/>
    <row r="144888" s="12" customFormat="1" x14ac:dyDescent="0.25"/>
    <row r="144889" s="12" customFormat="1" x14ac:dyDescent="0.25"/>
    <row r="144890" s="12" customFormat="1" x14ac:dyDescent="0.25"/>
    <row r="144891" s="12" customFormat="1" x14ac:dyDescent="0.25"/>
    <row r="144892" s="12" customFormat="1" x14ac:dyDescent="0.25"/>
    <row r="144893" s="12" customFormat="1" x14ac:dyDescent="0.25"/>
    <row r="144894" s="12" customFormat="1" x14ac:dyDescent="0.25"/>
    <row r="144895" s="12" customFormat="1" x14ac:dyDescent="0.25"/>
    <row r="144896" s="12" customFormat="1" x14ac:dyDescent="0.25"/>
    <row r="144897" s="12" customFormat="1" x14ac:dyDescent="0.25"/>
    <row r="144898" s="12" customFormat="1" x14ac:dyDescent="0.25"/>
    <row r="144899" s="12" customFormat="1" x14ac:dyDescent="0.25"/>
    <row r="144900" s="12" customFormat="1" x14ac:dyDescent="0.25"/>
    <row r="144901" s="12" customFormat="1" x14ac:dyDescent="0.25"/>
    <row r="144902" s="12" customFormat="1" x14ac:dyDescent="0.25"/>
    <row r="144903" s="12" customFormat="1" x14ac:dyDescent="0.25"/>
    <row r="144904" s="12" customFormat="1" x14ac:dyDescent="0.25"/>
    <row r="144905" s="12" customFormat="1" x14ac:dyDescent="0.25"/>
    <row r="144906" s="12" customFormat="1" x14ac:dyDescent="0.25"/>
    <row r="144907" s="12" customFormat="1" x14ac:dyDescent="0.25"/>
    <row r="144908" s="12" customFormat="1" x14ac:dyDescent="0.25"/>
    <row r="144909" s="12" customFormat="1" x14ac:dyDescent="0.25"/>
    <row r="144910" s="12" customFormat="1" x14ac:dyDescent="0.25"/>
    <row r="144911" s="12" customFormat="1" x14ac:dyDescent="0.25"/>
    <row r="144912" s="12" customFormat="1" x14ac:dyDescent="0.25"/>
    <row r="144913" s="12" customFormat="1" x14ac:dyDescent="0.25"/>
    <row r="144914" s="12" customFormat="1" x14ac:dyDescent="0.25"/>
    <row r="144915" s="12" customFormat="1" x14ac:dyDescent="0.25"/>
    <row r="144916" s="12" customFormat="1" x14ac:dyDescent="0.25"/>
    <row r="144917" s="12" customFormat="1" x14ac:dyDescent="0.25"/>
    <row r="144918" s="12" customFormat="1" x14ac:dyDescent="0.25"/>
    <row r="144919" s="12" customFormat="1" x14ac:dyDescent="0.25"/>
    <row r="144920" s="12" customFormat="1" x14ac:dyDescent="0.25"/>
    <row r="144921" s="12" customFormat="1" x14ac:dyDescent="0.25"/>
    <row r="144922" s="12" customFormat="1" x14ac:dyDescent="0.25"/>
    <row r="144923" s="12" customFormat="1" x14ac:dyDescent="0.25"/>
    <row r="144924" s="12" customFormat="1" x14ac:dyDescent="0.25"/>
    <row r="144925" s="12" customFormat="1" x14ac:dyDescent="0.25"/>
    <row r="144926" s="12" customFormat="1" x14ac:dyDescent="0.25"/>
    <row r="144927" s="12" customFormat="1" x14ac:dyDescent="0.25"/>
    <row r="144928" s="12" customFormat="1" x14ac:dyDescent="0.25"/>
    <row r="144929" s="12" customFormat="1" x14ac:dyDescent="0.25"/>
    <row r="144930" s="12" customFormat="1" x14ac:dyDescent="0.25"/>
    <row r="144931" s="12" customFormat="1" x14ac:dyDescent="0.25"/>
    <row r="144932" s="12" customFormat="1" x14ac:dyDescent="0.25"/>
    <row r="144933" s="12" customFormat="1" x14ac:dyDescent="0.25"/>
    <row r="144934" s="12" customFormat="1" x14ac:dyDescent="0.25"/>
    <row r="144935" s="12" customFormat="1" x14ac:dyDescent="0.25"/>
    <row r="144936" s="12" customFormat="1" x14ac:dyDescent="0.25"/>
    <row r="144937" s="12" customFormat="1" x14ac:dyDescent="0.25"/>
    <row r="144938" s="12" customFormat="1" x14ac:dyDescent="0.25"/>
    <row r="144939" s="12" customFormat="1" x14ac:dyDescent="0.25"/>
    <row r="144940" s="12" customFormat="1" x14ac:dyDescent="0.25"/>
    <row r="144941" s="12" customFormat="1" x14ac:dyDescent="0.25"/>
    <row r="144942" s="12" customFormat="1" x14ac:dyDescent="0.25"/>
    <row r="144943" s="12" customFormat="1" x14ac:dyDescent="0.25"/>
    <row r="144944" s="12" customFormat="1" x14ac:dyDescent="0.25"/>
    <row r="144945" s="12" customFormat="1" x14ac:dyDescent="0.25"/>
    <row r="144946" s="12" customFormat="1" x14ac:dyDescent="0.25"/>
    <row r="144947" s="12" customFormat="1" x14ac:dyDescent="0.25"/>
    <row r="144948" s="12" customFormat="1" x14ac:dyDescent="0.25"/>
    <row r="144949" s="12" customFormat="1" x14ac:dyDescent="0.25"/>
    <row r="144950" s="12" customFormat="1" x14ac:dyDescent="0.25"/>
    <row r="144951" s="12" customFormat="1" x14ac:dyDescent="0.25"/>
    <row r="144952" s="12" customFormat="1" x14ac:dyDescent="0.25"/>
    <row r="144953" s="12" customFormat="1" x14ac:dyDescent="0.25"/>
    <row r="144954" s="12" customFormat="1" x14ac:dyDescent="0.25"/>
    <row r="144955" s="12" customFormat="1" x14ac:dyDescent="0.25"/>
    <row r="144956" s="12" customFormat="1" x14ac:dyDescent="0.25"/>
    <row r="144957" s="12" customFormat="1" x14ac:dyDescent="0.25"/>
    <row r="144958" s="12" customFormat="1" x14ac:dyDescent="0.25"/>
    <row r="144959" s="12" customFormat="1" x14ac:dyDescent="0.25"/>
    <row r="144960" s="12" customFormat="1" x14ac:dyDescent="0.25"/>
    <row r="144961" s="12" customFormat="1" x14ac:dyDescent="0.25"/>
    <row r="144962" s="12" customFormat="1" x14ac:dyDescent="0.25"/>
    <row r="144963" s="12" customFormat="1" x14ac:dyDescent="0.25"/>
    <row r="144964" s="12" customFormat="1" x14ac:dyDescent="0.25"/>
    <row r="144965" s="12" customFormat="1" x14ac:dyDescent="0.25"/>
    <row r="144966" s="12" customFormat="1" x14ac:dyDescent="0.25"/>
    <row r="144967" s="12" customFormat="1" x14ac:dyDescent="0.25"/>
    <row r="144968" s="12" customFormat="1" x14ac:dyDescent="0.25"/>
    <row r="144969" s="12" customFormat="1" x14ac:dyDescent="0.25"/>
    <row r="144970" s="12" customFormat="1" x14ac:dyDescent="0.25"/>
    <row r="144971" s="12" customFormat="1" x14ac:dyDescent="0.25"/>
    <row r="144972" s="12" customFormat="1" x14ac:dyDescent="0.25"/>
    <row r="144973" s="12" customFormat="1" x14ac:dyDescent="0.25"/>
    <row r="144974" s="12" customFormat="1" x14ac:dyDescent="0.25"/>
    <row r="144975" s="12" customFormat="1" x14ac:dyDescent="0.25"/>
    <row r="144976" s="12" customFormat="1" x14ac:dyDescent="0.25"/>
    <row r="144977" s="12" customFormat="1" x14ac:dyDescent="0.25"/>
    <row r="144978" s="12" customFormat="1" x14ac:dyDescent="0.25"/>
    <row r="144979" s="12" customFormat="1" x14ac:dyDescent="0.25"/>
    <row r="144980" s="12" customFormat="1" x14ac:dyDescent="0.25"/>
    <row r="144981" s="12" customFormat="1" x14ac:dyDescent="0.25"/>
    <row r="144982" s="12" customFormat="1" x14ac:dyDescent="0.25"/>
    <row r="144983" s="12" customFormat="1" x14ac:dyDescent="0.25"/>
    <row r="144984" s="12" customFormat="1" x14ac:dyDescent="0.25"/>
    <row r="144985" s="12" customFormat="1" x14ac:dyDescent="0.25"/>
    <row r="144986" s="12" customFormat="1" x14ac:dyDescent="0.25"/>
    <row r="144987" s="12" customFormat="1" x14ac:dyDescent="0.25"/>
    <row r="144988" s="12" customFormat="1" x14ac:dyDescent="0.25"/>
    <row r="144989" s="12" customFormat="1" x14ac:dyDescent="0.25"/>
    <row r="144990" s="12" customFormat="1" x14ac:dyDescent="0.25"/>
    <row r="144991" s="12" customFormat="1" x14ac:dyDescent="0.25"/>
    <row r="144992" s="12" customFormat="1" x14ac:dyDescent="0.25"/>
    <row r="144993" s="12" customFormat="1" x14ac:dyDescent="0.25"/>
    <row r="144994" s="12" customFormat="1" x14ac:dyDescent="0.25"/>
    <row r="144995" s="12" customFormat="1" x14ac:dyDescent="0.25"/>
    <row r="144996" s="12" customFormat="1" x14ac:dyDescent="0.25"/>
    <row r="144997" s="12" customFormat="1" x14ac:dyDescent="0.25"/>
    <row r="144998" s="12" customFormat="1" x14ac:dyDescent="0.25"/>
    <row r="144999" s="12" customFormat="1" x14ac:dyDescent="0.25"/>
    <row r="145000" s="12" customFormat="1" x14ac:dyDescent="0.25"/>
    <row r="145001" s="12" customFormat="1" x14ac:dyDescent="0.25"/>
    <row r="145002" s="12" customFormat="1" x14ac:dyDescent="0.25"/>
    <row r="145003" s="12" customFormat="1" x14ac:dyDescent="0.25"/>
    <row r="145004" s="12" customFormat="1" x14ac:dyDescent="0.25"/>
    <row r="145005" s="12" customFormat="1" x14ac:dyDescent="0.25"/>
    <row r="145006" s="12" customFormat="1" x14ac:dyDescent="0.25"/>
    <row r="145007" s="12" customFormat="1" x14ac:dyDescent="0.25"/>
    <row r="145008" s="12" customFormat="1" x14ac:dyDescent="0.25"/>
    <row r="145009" s="12" customFormat="1" x14ac:dyDescent="0.25"/>
    <row r="145010" s="12" customFormat="1" x14ac:dyDescent="0.25"/>
    <row r="145011" s="12" customFormat="1" x14ac:dyDescent="0.25"/>
    <row r="145012" s="12" customFormat="1" x14ac:dyDescent="0.25"/>
    <row r="145013" s="12" customFormat="1" x14ac:dyDescent="0.25"/>
    <row r="145014" s="12" customFormat="1" x14ac:dyDescent="0.25"/>
    <row r="145015" s="12" customFormat="1" x14ac:dyDescent="0.25"/>
    <row r="145016" s="12" customFormat="1" x14ac:dyDescent="0.25"/>
    <row r="145017" s="12" customFormat="1" x14ac:dyDescent="0.25"/>
    <row r="145018" s="12" customFormat="1" x14ac:dyDescent="0.25"/>
    <row r="145019" s="12" customFormat="1" x14ac:dyDescent="0.25"/>
    <row r="145020" s="12" customFormat="1" x14ac:dyDescent="0.25"/>
    <row r="145021" s="12" customFormat="1" x14ac:dyDescent="0.25"/>
    <row r="145022" s="12" customFormat="1" x14ac:dyDescent="0.25"/>
    <row r="145023" s="12" customFormat="1" x14ac:dyDescent="0.25"/>
    <row r="145024" s="12" customFormat="1" x14ac:dyDescent="0.25"/>
    <row r="145025" s="12" customFormat="1" x14ac:dyDescent="0.25"/>
    <row r="145026" s="12" customFormat="1" x14ac:dyDescent="0.25"/>
    <row r="145027" s="12" customFormat="1" x14ac:dyDescent="0.25"/>
    <row r="145028" s="12" customFormat="1" x14ac:dyDescent="0.25"/>
    <row r="145029" s="12" customFormat="1" x14ac:dyDescent="0.25"/>
    <row r="145030" s="12" customFormat="1" x14ac:dyDescent="0.25"/>
    <row r="145031" s="12" customFormat="1" x14ac:dyDescent="0.25"/>
    <row r="145032" s="12" customFormat="1" x14ac:dyDescent="0.25"/>
    <row r="145033" s="12" customFormat="1" x14ac:dyDescent="0.25"/>
    <row r="145034" s="12" customFormat="1" x14ac:dyDescent="0.25"/>
    <row r="145035" s="12" customFormat="1" x14ac:dyDescent="0.25"/>
    <row r="145036" s="12" customFormat="1" x14ac:dyDescent="0.25"/>
    <row r="145037" s="12" customFormat="1" x14ac:dyDescent="0.25"/>
    <row r="145038" s="12" customFormat="1" x14ac:dyDescent="0.25"/>
    <row r="145039" s="12" customFormat="1" x14ac:dyDescent="0.25"/>
    <row r="145040" s="12" customFormat="1" x14ac:dyDescent="0.25"/>
    <row r="145041" s="12" customFormat="1" x14ac:dyDescent="0.25"/>
    <row r="145042" s="12" customFormat="1" x14ac:dyDescent="0.25"/>
    <row r="145043" s="12" customFormat="1" x14ac:dyDescent="0.25"/>
    <row r="145044" s="12" customFormat="1" x14ac:dyDescent="0.25"/>
    <row r="145045" s="12" customFormat="1" x14ac:dyDescent="0.25"/>
    <row r="145046" s="12" customFormat="1" x14ac:dyDescent="0.25"/>
    <row r="145047" s="12" customFormat="1" x14ac:dyDescent="0.25"/>
    <row r="145048" s="12" customFormat="1" x14ac:dyDescent="0.25"/>
    <row r="145049" s="12" customFormat="1" x14ac:dyDescent="0.25"/>
    <row r="145050" s="12" customFormat="1" x14ac:dyDescent="0.25"/>
    <row r="145051" s="12" customFormat="1" x14ac:dyDescent="0.25"/>
    <row r="145052" s="12" customFormat="1" x14ac:dyDescent="0.25"/>
    <row r="145053" s="12" customFormat="1" x14ac:dyDescent="0.25"/>
    <row r="145054" s="12" customFormat="1" x14ac:dyDescent="0.25"/>
    <row r="145055" s="12" customFormat="1" x14ac:dyDescent="0.25"/>
    <row r="145056" s="12" customFormat="1" x14ac:dyDescent="0.25"/>
    <row r="145057" s="12" customFormat="1" x14ac:dyDescent="0.25"/>
    <row r="145058" s="12" customFormat="1" x14ac:dyDescent="0.25"/>
    <row r="145059" s="12" customFormat="1" x14ac:dyDescent="0.25"/>
    <row r="145060" s="12" customFormat="1" x14ac:dyDescent="0.25"/>
    <row r="145061" s="12" customFormat="1" x14ac:dyDescent="0.25"/>
    <row r="145062" s="12" customFormat="1" x14ac:dyDescent="0.25"/>
    <row r="145063" s="12" customFormat="1" x14ac:dyDescent="0.25"/>
    <row r="145064" s="12" customFormat="1" x14ac:dyDescent="0.25"/>
    <row r="145065" s="12" customFormat="1" x14ac:dyDescent="0.25"/>
    <row r="145066" s="12" customFormat="1" x14ac:dyDescent="0.25"/>
    <row r="145067" s="12" customFormat="1" x14ac:dyDescent="0.25"/>
    <row r="145068" s="12" customFormat="1" x14ac:dyDescent="0.25"/>
    <row r="145069" s="12" customFormat="1" x14ac:dyDescent="0.25"/>
    <row r="145070" s="12" customFormat="1" x14ac:dyDescent="0.25"/>
    <row r="145071" s="12" customFormat="1" x14ac:dyDescent="0.25"/>
    <row r="145072" s="12" customFormat="1" x14ac:dyDescent="0.25"/>
    <row r="145073" s="12" customFormat="1" x14ac:dyDescent="0.25"/>
    <row r="145074" s="12" customFormat="1" x14ac:dyDescent="0.25"/>
    <row r="145075" s="12" customFormat="1" x14ac:dyDescent="0.25"/>
    <row r="145076" s="12" customFormat="1" x14ac:dyDescent="0.25"/>
    <row r="145077" s="12" customFormat="1" x14ac:dyDescent="0.25"/>
    <row r="145078" s="12" customFormat="1" x14ac:dyDescent="0.25"/>
    <row r="145079" s="12" customFormat="1" x14ac:dyDescent="0.25"/>
    <row r="145080" s="12" customFormat="1" x14ac:dyDescent="0.25"/>
    <row r="145081" s="12" customFormat="1" x14ac:dyDescent="0.25"/>
    <row r="145082" s="12" customFormat="1" x14ac:dyDescent="0.25"/>
    <row r="145083" s="12" customFormat="1" x14ac:dyDescent="0.25"/>
    <row r="145084" s="12" customFormat="1" x14ac:dyDescent="0.25"/>
    <row r="145085" s="12" customFormat="1" x14ac:dyDescent="0.25"/>
    <row r="145086" s="12" customFormat="1" x14ac:dyDescent="0.25"/>
    <row r="145087" s="12" customFormat="1" x14ac:dyDescent="0.25"/>
    <row r="145088" s="12" customFormat="1" x14ac:dyDescent="0.25"/>
    <row r="145089" s="12" customFormat="1" x14ac:dyDescent="0.25"/>
    <row r="145090" s="12" customFormat="1" x14ac:dyDescent="0.25"/>
    <row r="145091" s="12" customFormat="1" x14ac:dyDescent="0.25"/>
    <row r="145092" s="12" customFormat="1" x14ac:dyDescent="0.25"/>
    <row r="145093" s="12" customFormat="1" x14ac:dyDescent="0.25"/>
    <row r="145094" s="12" customFormat="1" x14ac:dyDescent="0.25"/>
    <row r="145095" s="12" customFormat="1" x14ac:dyDescent="0.25"/>
    <row r="145096" s="12" customFormat="1" x14ac:dyDescent="0.25"/>
    <row r="145097" s="12" customFormat="1" x14ac:dyDescent="0.25"/>
    <row r="145098" s="12" customFormat="1" x14ac:dyDescent="0.25"/>
    <row r="145099" s="12" customFormat="1" x14ac:dyDescent="0.25"/>
    <row r="145100" s="12" customFormat="1" x14ac:dyDescent="0.25"/>
    <row r="145101" s="12" customFormat="1" x14ac:dyDescent="0.25"/>
    <row r="145102" s="12" customFormat="1" x14ac:dyDescent="0.25"/>
    <row r="145103" s="12" customFormat="1" x14ac:dyDescent="0.25"/>
    <row r="145104" s="12" customFormat="1" x14ac:dyDescent="0.25"/>
    <row r="145105" s="12" customFormat="1" x14ac:dyDescent="0.25"/>
    <row r="145106" s="12" customFormat="1" x14ac:dyDescent="0.25"/>
    <row r="145107" s="12" customFormat="1" x14ac:dyDescent="0.25"/>
    <row r="145108" s="12" customFormat="1" x14ac:dyDescent="0.25"/>
    <row r="145109" s="12" customFormat="1" x14ac:dyDescent="0.25"/>
    <row r="145110" s="12" customFormat="1" x14ac:dyDescent="0.25"/>
    <row r="145111" s="12" customFormat="1" x14ac:dyDescent="0.25"/>
    <row r="145112" s="12" customFormat="1" x14ac:dyDescent="0.25"/>
    <row r="145113" s="12" customFormat="1" x14ac:dyDescent="0.25"/>
    <row r="145114" s="12" customFormat="1" x14ac:dyDescent="0.25"/>
    <row r="145115" s="12" customFormat="1" x14ac:dyDescent="0.25"/>
    <row r="145116" s="12" customFormat="1" x14ac:dyDescent="0.25"/>
    <row r="145117" s="12" customFormat="1" x14ac:dyDescent="0.25"/>
    <row r="145118" s="12" customFormat="1" x14ac:dyDescent="0.25"/>
    <row r="145119" s="12" customFormat="1" x14ac:dyDescent="0.25"/>
    <row r="145120" s="12" customFormat="1" x14ac:dyDescent="0.25"/>
    <row r="145121" s="12" customFormat="1" x14ac:dyDescent="0.25"/>
    <row r="145122" s="12" customFormat="1" x14ac:dyDescent="0.25"/>
    <row r="145123" s="12" customFormat="1" x14ac:dyDescent="0.25"/>
    <row r="145124" s="12" customFormat="1" x14ac:dyDescent="0.25"/>
    <row r="145125" s="12" customFormat="1" x14ac:dyDescent="0.25"/>
    <row r="145126" s="12" customFormat="1" x14ac:dyDescent="0.25"/>
    <row r="145127" s="12" customFormat="1" x14ac:dyDescent="0.25"/>
    <row r="145128" s="12" customFormat="1" x14ac:dyDescent="0.25"/>
    <row r="145129" s="12" customFormat="1" x14ac:dyDescent="0.25"/>
    <row r="145130" s="12" customFormat="1" x14ac:dyDescent="0.25"/>
    <row r="145131" s="12" customFormat="1" x14ac:dyDescent="0.25"/>
    <row r="145132" s="12" customFormat="1" x14ac:dyDescent="0.25"/>
    <row r="145133" s="12" customFormat="1" x14ac:dyDescent="0.25"/>
    <row r="145134" s="12" customFormat="1" x14ac:dyDescent="0.25"/>
    <row r="145135" s="12" customFormat="1" x14ac:dyDescent="0.25"/>
    <row r="145136" s="12" customFormat="1" x14ac:dyDescent="0.25"/>
    <row r="145137" s="12" customFormat="1" x14ac:dyDescent="0.25"/>
    <row r="145138" s="12" customFormat="1" x14ac:dyDescent="0.25"/>
    <row r="145139" s="12" customFormat="1" x14ac:dyDescent="0.25"/>
    <row r="145140" s="12" customFormat="1" x14ac:dyDescent="0.25"/>
    <row r="145141" s="12" customFormat="1" x14ac:dyDescent="0.25"/>
    <row r="145142" s="12" customFormat="1" x14ac:dyDescent="0.25"/>
    <row r="145143" s="12" customFormat="1" x14ac:dyDescent="0.25"/>
    <row r="145144" s="12" customFormat="1" x14ac:dyDescent="0.25"/>
    <row r="145145" s="12" customFormat="1" x14ac:dyDescent="0.25"/>
    <row r="145146" s="12" customFormat="1" x14ac:dyDescent="0.25"/>
    <row r="145147" s="12" customFormat="1" x14ac:dyDescent="0.25"/>
    <row r="145148" s="12" customFormat="1" x14ac:dyDescent="0.25"/>
    <row r="145149" s="12" customFormat="1" x14ac:dyDescent="0.25"/>
    <row r="145150" s="12" customFormat="1" x14ac:dyDescent="0.25"/>
    <row r="145151" s="12" customFormat="1" x14ac:dyDescent="0.25"/>
    <row r="145152" s="12" customFormat="1" x14ac:dyDescent="0.25"/>
    <row r="145153" s="12" customFormat="1" x14ac:dyDescent="0.25"/>
    <row r="145154" s="12" customFormat="1" x14ac:dyDescent="0.25"/>
    <row r="145155" s="12" customFormat="1" x14ac:dyDescent="0.25"/>
    <row r="145156" s="12" customFormat="1" x14ac:dyDescent="0.25"/>
    <row r="145157" s="12" customFormat="1" x14ac:dyDescent="0.25"/>
    <row r="145158" s="12" customFormat="1" x14ac:dyDescent="0.25"/>
    <row r="145159" s="12" customFormat="1" x14ac:dyDescent="0.25"/>
    <row r="145160" s="12" customFormat="1" x14ac:dyDescent="0.25"/>
    <row r="145161" s="12" customFormat="1" x14ac:dyDescent="0.25"/>
    <row r="145162" s="12" customFormat="1" x14ac:dyDescent="0.25"/>
    <row r="145163" s="12" customFormat="1" x14ac:dyDescent="0.25"/>
    <row r="145164" s="12" customFormat="1" x14ac:dyDescent="0.25"/>
    <row r="145165" s="12" customFormat="1" x14ac:dyDescent="0.25"/>
    <row r="145166" s="12" customFormat="1" x14ac:dyDescent="0.25"/>
    <row r="145167" s="12" customFormat="1" x14ac:dyDescent="0.25"/>
    <row r="145168" s="12" customFormat="1" x14ac:dyDescent="0.25"/>
    <row r="145169" s="12" customFormat="1" x14ac:dyDescent="0.25"/>
    <row r="145170" s="12" customFormat="1" x14ac:dyDescent="0.25"/>
    <row r="145171" s="12" customFormat="1" x14ac:dyDescent="0.25"/>
    <row r="145172" s="12" customFormat="1" x14ac:dyDescent="0.25"/>
    <row r="145173" s="12" customFormat="1" x14ac:dyDescent="0.25"/>
    <row r="145174" s="12" customFormat="1" x14ac:dyDescent="0.25"/>
    <row r="145175" s="12" customFormat="1" x14ac:dyDescent="0.25"/>
    <row r="145176" s="12" customFormat="1" x14ac:dyDescent="0.25"/>
    <row r="145177" s="12" customFormat="1" x14ac:dyDescent="0.25"/>
    <row r="145178" s="12" customFormat="1" x14ac:dyDescent="0.25"/>
    <row r="145179" s="12" customFormat="1" x14ac:dyDescent="0.25"/>
    <row r="145180" s="12" customFormat="1" x14ac:dyDescent="0.25"/>
    <row r="145181" s="12" customFormat="1" x14ac:dyDescent="0.25"/>
    <row r="145182" s="12" customFormat="1" x14ac:dyDescent="0.25"/>
    <row r="145183" s="12" customFormat="1" x14ac:dyDescent="0.25"/>
    <row r="145184" s="12" customFormat="1" x14ac:dyDescent="0.25"/>
    <row r="145185" s="12" customFormat="1" x14ac:dyDescent="0.25"/>
    <row r="145186" s="12" customFormat="1" x14ac:dyDescent="0.25"/>
    <row r="145187" s="12" customFormat="1" x14ac:dyDescent="0.25"/>
    <row r="145188" s="12" customFormat="1" x14ac:dyDescent="0.25"/>
    <row r="145189" s="12" customFormat="1" x14ac:dyDescent="0.25"/>
    <row r="145190" s="12" customFormat="1" x14ac:dyDescent="0.25"/>
    <row r="145191" s="12" customFormat="1" x14ac:dyDescent="0.25"/>
    <row r="145192" s="12" customFormat="1" x14ac:dyDescent="0.25"/>
    <row r="145193" s="12" customFormat="1" x14ac:dyDescent="0.25"/>
    <row r="145194" s="12" customFormat="1" x14ac:dyDescent="0.25"/>
    <row r="145195" s="12" customFormat="1" x14ac:dyDescent="0.25"/>
    <row r="145196" s="12" customFormat="1" x14ac:dyDescent="0.25"/>
    <row r="145197" s="12" customFormat="1" x14ac:dyDescent="0.25"/>
    <row r="145198" s="12" customFormat="1" x14ac:dyDescent="0.25"/>
    <row r="145199" s="12" customFormat="1" x14ac:dyDescent="0.25"/>
    <row r="145200" s="12" customFormat="1" x14ac:dyDescent="0.25"/>
    <row r="145201" s="12" customFormat="1" x14ac:dyDescent="0.25"/>
    <row r="145202" s="12" customFormat="1" x14ac:dyDescent="0.25"/>
    <row r="145203" s="12" customFormat="1" x14ac:dyDescent="0.25"/>
    <row r="145204" s="12" customFormat="1" x14ac:dyDescent="0.25"/>
    <row r="145205" s="12" customFormat="1" x14ac:dyDescent="0.25"/>
    <row r="145206" s="12" customFormat="1" x14ac:dyDescent="0.25"/>
    <row r="145207" s="12" customFormat="1" x14ac:dyDescent="0.25"/>
    <row r="145208" s="12" customFormat="1" x14ac:dyDescent="0.25"/>
    <row r="145209" s="12" customFormat="1" x14ac:dyDescent="0.25"/>
    <row r="145210" s="12" customFormat="1" x14ac:dyDescent="0.25"/>
    <row r="145211" s="12" customFormat="1" x14ac:dyDescent="0.25"/>
    <row r="145212" s="12" customFormat="1" x14ac:dyDescent="0.25"/>
    <row r="145213" s="12" customFormat="1" x14ac:dyDescent="0.25"/>
    <row r="145214" s="12" customFormat="1" x14ac:dyDescent="0.25"/>
    <row r="145215" s="12" customFormat="1" x14ac:dyDescent="0.25"/>
    <row r="145216" s="12" customFormat="1" x14ac:dyDescent="0.25"/>
    <row r="145217" s="12" customFormat="1" x14ac:dyDescent="0.25"/>
    <row r="145218" s="12" customFormat="1" x14ac:dyDescent="0.25"/>
    <row r="145219" s="12" customFormat="1" x14ac:dyDescent="0.25"/>
    <row r="145220" s="12" customFormat="1" x14ac:dyDescent="0.25"/>
    <row r="145221" s="12" customFormat="1" x14ac:dyDescent="0.25"/>
    <row r="145222" s="12" customFormat="1" x14ac:dyDescent="0.25"/>
    <row r="145223" s="12" customFormat="1" x14ac:dyDescent="0.25"/>
    <row r="145224" s="12" customFormat="1" x14ac:dyDescent="0.25"/>
    <row r="145225" s="12" customFormat="1" x14ac:dyDescent="0.25"/>
    <row r="145226" s="12" customFormat="1" x14ac:dyDescent="0.25"/>
    <row r="145227" s="12" customFormat="1" x14ac:dyDescent="0.25"/>
    <row r="145228" s="12" customFormat="1" x14ac:dyDescent="0.25"/>
    <row r="145229" s="12" customFormat="1" x14ac:dyDescent="0.25"/>
    <row r="145230" s="12" customFormat="1" x14ac:dyDescent="0.25"/>
    <row r="145231" s="12" customFormat="1" x14ac:dyDescent="0.25"/>
    <row r="145232" s="12" customFormat="1" x14ac:dyDescent="0.25"/>
    <row r="145233" s="12" customFormat="1" x14ac:dyDescent="0.25"/>
    <row r="145234" s="12" customFormat="1" x14ac:dyDescent="0.25"/>
    <row r="145235" s="12" customFormat="1" x14ac:dyDescent="0.25"/>
    <row r="145236" s="12" customFormat="1" x14ac:dyDescent="0.25"/>
    <row r="145237" s="12" customFormat="1" x14ac:dyDescent="0.25"/>
    <row r="145238" s="12" customFormat="1" x14ac:dyDescent="0.25"/>
    <row r="145239" s="12" customFormat="1" x14ac:dyDescent="0.25"/>
    <row r="145240" s="12" customFormat="1" x14ac:dyDescent="0.25"/>
    <row r="145241" s="12" customFormat="1" x14ac:dyDescent="0.25"/>
    <row r="145242" s="12" customFormat="1" x14ac:dyDescent="0.25"/>
    <row r="145243" s="12" customFormat="1" x14ac:dyDescent="0.25"/>
    <row r="145244" s="12" customFormat="1" x14ac:dyDescent="0.25"/>
    <row r="145245" s="12" customFormat="1" x14ac:dyDescent="0.25"/>
    <row r="145246" s="12" customFormat="1" x14ac:dyDescent="0.25"/>
    <row r="145247" s="12" customFormat="1" x14ac:dyDescent="0.25"/>
    <row r="145248" s="12" customFormat="1" x14ac:dyDescent="0.25"/>
    <row r="145249" s="12" customFormat="1" x14ac:dyDescent="0.25"/>
    <row r="145250" s="12" customFormat="1" x14ac:dyDescent="0.25"/>
    <row r="145251" s="12" customFormat="1" x14ac:dyDescent="0.25"/>
    <row r="145252" s="12" customFormat="1" x14ac:dyDescent="0.25"/>
    <row r="145253" s="12" customFormat="1" x14ac:dyDescent="0.25"/>
    <row r="145254" s="12" customFormat="1" x14ac:dyDescent="0.25"/>
    <row r="145255" s="12" customFormat="1" x14ac:dyDescent="0.25"/>
    <row r="145256" s="12" customFormat="1" x14ac:dyDescent="0.25"/>
    <row r="145257" s="12" customFormat="1" x14ac:dyDescent="0.25"/>
    <row r="145258" s="12" customFormat="1" x14ac:dyDescent="0.25"/>
    <row r="145259" s="12" customFormat="1" x14ac:dyDescent="0.25"/>
    <row r="145260" s="12" customFormat="1" x14ac:dyDescent="0.25"/>
    <row r="145261" s="12" customFormat="1" x14ac:dyDescent="0.25"/>
    <row r="145262" s="12" customFormat="1" x14ac:dyDescent="0.25"/>
    <row r="145263" s="12" customFormat="1" x14ac:dyDescent="0.25"/>
    <row r="145264" s="12" customFormat="1" x14ac:dyDescent="0.25"/>
    <row r="145265" s="12" customFormat="1" x14ac:dyDescent="0.25"/>
    <row r="145266" s="12" customFormat="1" x14ac:dyDescent="0.25"/>
    <row r="145267" s="12" customFormat="1" x14ac:dyDescent="0.25"/>
    <row r="145268" s="12" customFormat="1" x14ac:dyDescent="0.25"/>
    <row r="145269" s="12" customFormat="1" x14ac:dyDescent="0.25"/>
    <row r="145270" s="12" customFormat="1" x14ac:dyDescent="0.25"/>
    <row r="145271" s="12" customFormat="1" x14ac:dyDescent="0.25"/>
    <row r="145272" s="12" customFormat="1" x14ac:dyDescent="0.25"/>
    <row r="145273" s="12" customFormat="1" x14ac:dyDescent="0.25"/>
    <row r="145274" s="12" customFormat="1" x14ac:dyDescent="0.25"/>
    <row r="145275" s="12" customFormat="1" x14ac:dyDescent="0.25"/>
    <row r="145276" s="12" customFormat="1" x14ac:dyDescent="0.25"/>
    <row r="145277" s="12" customFormat="1" x14ac:dyDescent="0.25"/>
    <row r="145278" s="12" customFormat="1" x14ac:dyDescent="0.25"/>
    <row r="145279" s="12" customFormat="1" x14ac:dyDescent="0.25"/>
    <row r="145280" s="12" customFormat="1" x14ac:dyDescent="0.25"/>
    <row r="145281" s="12" customFormat="1" x14ac:dyDescent="0.25"/>
    <row r="145282" s="12" customFormat="1" x14ac:dyDescent="0.25"/>
    <row r="145283" s="12" customFormat="1" x14ac:dyDescent="0.25"/>
    <row r="145284" s="12" customFormat="1" x14ac:dyDescent="0.25"/>
    <row r="145285" s="12" customFormat="1" x14ac:dyDescent="0.25"/>
    <row r="145286" s="12" customFormat="1" x14ac:dyDescent="0.25"/>
    <row r="145287" s="12" customFormat="1" x14ac:dyDescent="0.25"/>
    <row r="145288" s="12" customFormat="1" x14ac:dyDescent="0.25"/>
    <row r="145289" s="12" customFormat="1" x14ac:dyDescent="0.25"/>
    <row r="145290" s="12" customFormat="1" x14ac:dyDescent="0.25"/>
    <row r="145291" s="12" customFormat="1" x14ac:dyDescent="0.25"/>
    <row r="145292" s="12" customFormat="1" x14ac:dyDescent="0.25"/>
    <row r="145293" s="12" customFormat="1" x14ac:dyDescent="0.25"/>
    <row r="145294" s="12" customFormat="1" x14ac:dyDescent="0.25"/>
    <row r="145295" s="12" customFormat="1" x14ac:dyDescent="0.25"/>
    <row r="145296" s="12" customFormat="1" x14ac:dyDescent="0.25"/>
    <row r="145297" s="12" customFormat="1" x14ac:dyDescent="0.25"/>
    <row r="145298" s="12" customFormat="1" x14ac:dyDescent="0.25"/>
    <row r="145299" s="12" customFormat="1" x14ac:dyDescent="0.25"/>
    <row r="145300" s="12" customFormat="1" x14ac:dyDescent="0.25"/>
    <row r="145301" s="12" customFormat="1" x14ac:dyDescent="0.25"/>
    <row r="145302" s="12" customFormat="1" x14ac:dyDescent="0.25"/>
    <row r="145303" s="12" customFormat="1" x14ac:dyDescent="0.25"/>
    <row r="145304" s="12" customFormat="1" x14ac:dyDescent="0.25"/>
    <row r="145305" s="12" customFormat="1" x14ac:dyDescent="0.25"/>
    <row r="145306" s="12" customFormat="1" x14ac:dyDescent="0.25"/>
    <row r="145307" s="12" customFormat="1" x14ac:dyDescent="0.25"/>
    <row r="145308" s="12" customFormat="1" x14ac:dyDescent="0.25"/>
    <row r="145309" s="12" customFormat="1" x14ac:dyDescent="0.25"/>
    <row r="145310" s="12" customFormat="1" x14ac:dyDescent="0.25"/>
    <row r="145311" s="12" customFormat="1" x14ac:dyDescent="0.25"/>
    <row r="145312" s="12" customFormat="1" x14ac:dyDescent="0.25"/>
    <row r="145313" s="12" customFormat="1" x14ac:dyDescent="0.25"/>
    <row r="145314" s="12" customFormat="1" x14ac:dyDescent="0.25"/>
    <row r="145315" s="12" customFormat="1" x14ac:dyDescent="0.25"/>
    <row r="145316" s="12" customFormat="1" x14ac:dyDescent="0.25"/>
    <row r="145317" s="12" customFormat="1" x14ac:dyDescent="0.25"/>
    <row r="145318" s="12" customFormat="1" x14ac:dyDescent="0.25"/>
    <row r="145319" s="12" customFormat="1" x14ac:dyDescent="0.25"/>
    <row r="145320" s="12" customFormat="1" x14ac:dyDescent="0.25"/>
    <row r="145321" s="12" customFormat="1" x14ac:dyDescent="0.25"/>
    <row r="145322" s="12" customFormat="1" x14ac:dyDescent="0.25"/>
    <row r="145323" s="12" customFormat="1" x14ac:dyDescent="0.25"/>
    <row r="145324" s="12" customFormat="1" x14ac:dyDescent="0.25"/>
    <row r="145325" s="12" customFormat="1" x14ac:dyDescent="0.25"/>
    <row r="145326" s="12" customFormat="1" x14ac:dyDescent="0.25"/>
    <row r="145327" s="12" customFormat="1" x14ac:dyDescent="0.25"/>
    <row r="145328" s="12" customFormat="1" x14ac:dyDescent="0.25"/>
    <row r="145329" s="12" customFormat="1" x14ac:dyDescent="0.25"/>
    <row r="145330" s="12" customFormat="1" x14ac:dyDescent="0.25"/>
    <row r="145331" s="12" customFormat="1" x14ac:dyDescent="0.25"/>
    <row r="145332" s="12" customFormat="1" x14ac:dyDescent="0.25"/>
    <row r="145333" s="12" customFormat="1" x14ac:dyDescent="0.25"/>
    <row r="145334" s="12" customFormat="1" x14ac:dyDescent="0.25"/>
    <row r="145335" s="12" customFormat="1" x14ac:dyDescent="0.25"/>
    <row r="145336" s="12" customFormat="1" x14ac:dyDescent="0.25"/>
    <row r="145337" s="12" customFormat="1" x14ac:dyDescent="0.25"/>
    <row r="145338" s="12" customFormat="1" x14ac:dyDescent="0.25"/>
    <row r="145339" s="12" customFormat="1" x14ac:dyDescent="0.25"/>
    <row r="145340" s="12" customFormat="1" x14ac:dyDescent="0.25"/>
    <row r="145341" s="12" customFormat="1" x14ac:dyDescent="0.25"/>
    <row r="145342" s="12" customFormat="1" x14ac:dyDescent="0.25"/>
    <row r="145343" s="12" customFormat="1" x14ac:dyDescent="0.25"/>
    <row r="145344" s="12" customFormat="1" x14ac:dyDescent="0.25"/>
    <row r="145345" s="12" customFormat="1" x14ac:dyDescent="0.25"/>
    <row r="145346" s="12" customFormat="1" x14ac:dyDescent="0.25"/>
    <row r="145347" s="12" customFormat="1" x14ac:dyDescent="0.25"/>
    <row r="145348" s="12" customFormat="1" x14ac:dyDescent="0.25"/>
    <row r="145349" s="12" customFormat="1" x14ac:dyDescent="0.25"/>
    <row r="145350" s="12" customFormat="1" x14ac:dyDescent="0.25"/>
    <row r="145351" s="12" customFormat="1" x14ac:dyDescent="0.25"/>
    <row r="145352" s="12" customFormat="1" x14ac:dyDescent="0.25"/>
    <row r="145353" s="12" customFormat="1" x14ac:dyDescent="0.25"/>
    <row r="145354" s="12" customFormat="1" x14ac:dyDescent="0.25"/>
    <row r="145355" s="12" customFormat="1" x14ac:dyDescent="0.25"/>
    <row r="145356" s="12" customFormat="1" x14ac:dyDescent="0.25"/>
    <row r="145357" s="12" customFormat="1" x14ac:dyDescent="0.25"/>
    <row r="145358" s="12" customFormat="1" x14ac:dyDescent="0.25"/>
    <row r="145359" s="12" customFormat="1" x14ac:dyDescent="0.25"/>
    <row r="145360" s="12" customFormat="1" x14ac:dyDescent="0.25"/>
    <row r="145361" s="12" customFormat="1" x14ac:dyDescent="0.25"/>
    <row r="145362" s="12" customFormat="1" x14ac:dyDescent="0.25"/>
    <row r="145363" s="12" customFormat="1" x14ac:dyDescent="0.25"/>
    <row r="145364" s="12" customFormat="1" x14ac:dyDescent="0.25"/>
    <row r="145365" s="12" customFormat="1" x14ac:dyDescent="0.25"/>
    <row r="145366" s="12" customFormat="1" x14ac:dyDescent="0.25"/>
    <row r="145367" s="12" customFormat="1" x14ac:dyDescent="0.25"/>
    <row r="145368" s="12" customFormat="1" x14ac:dyDescent="0.25"/>
    <row r="145369" s="12" customFormat="1" x14ac:dyDescent="0.25"/>
    <row r="145370" s="12" customFormat="1" x14ac:dyDescent="0.25"/>
    <row r="145371" s="12" customFormat="1" x14ac:dyDescent="0.25"/>
    <row r="145372" s="12" customFormat="1" x14ac:dyDescent="0.25"/>
    <row r="145373" s="12" customFormat="1" x14ac:dyDescent="0.25"/>
    <row r="145374" s="12" customFormat="1" x14ac:dyDescent="0.25"/>
    <row r="145375" s="12" customFormat="1" x14ac:dyDescent="0.25"/>
    <row r="145376" s="12" customFormat="1" x14ac:dyDescent="0.25"/>
    <row r="145377" s="12" customFormat="1" x14ac:dyDescent="0.25"/>
    <row r="145378" s="12" customFormat="1" x14ac:dyDescent="0.25"/>
    <row r="145379" s="12" customFormat="1" x14ac:dyDescent="0.25"/>
    <row r="145380" s="12" customFormat="1" x14ac:dyDescent="0.25"/>
    <row r="145381" s="12" customFormat="1" x14ac:dyDescent="0.25"/>
    <row r="145382" s="12" customFormat="1" x14ac:dyDescent="0.25"/>
    <row r="145383" s="12" customFormat="1" x14ac:dyDescent="0.25"/>
    <row r="145384" s="12" customFormat="1" x14ac:dyDescent="0.25"/>
    <row r="145385" s="12" customFormat="1" x14ac:dyDescent="0.25"/>
    <row r="145386" s="12" customFormat="1" x14ac:dyDescent="0.25"/>
    <row r="145387" s="12" customFormat="1" x14ac:dyDescent="0.25"/>
    <row r="145388" s="12" customFormat="1" x14ac:dyDescent="0.25"/>
    <row r="145389" s="12" customFormat="1" x14ac:dyDescent="0.25"/>
    <row r="145390" s="12" customFormat="1" x14ac:dyDescent="0.25"/>
    <row r="145391" s="12" customFormat="1" x14ac:dyDescent="0.25"/>
    <row r="145392" s="12" customFormat="1" x14ac:dyDescent="0.25"/>
    <row r="145393" s="12" customFormat="1" x14ac:dyDescent="0.25"/>
    <row r="145394" s="12" customFormat="1" x14ac:dyDescent="0.25"/>
    <row r="145395" s="12" customFormat="1" x14ac:dyDescent="0.25"/>
    <row r="145396" s="12" customFormat="1" x14ac:dyDescent="0.25"/>
    <row r="145397" s="12" customFormat="1" x14ac:dyDescent="0.25"/>
    <row r="145398" s="12" customFormat="1" x14ac:dyDescent="0.25"/>
    <row r="145399" s="12" customFormat="1" x14ac:dyDescent="0.25"/>
    <row r="145400" s="12" customFormat="1" x14ac:dyDescent="0.25"/>
    <row r="145401" s="12" customFormat="1" x14ac:dyDescent="0.25"/>
    <row r="145402" s="12" customFormat="1" x14ac:dyDescent="0.25"/>
    <row r="145403" s="12" customFormat="1" x14ac:dyDescent="0.25"/>
    <row r="145404" s="12" customFormat="1" x14ac:dyDescent="0.25"/>
    <row r="145405" s="12" customFormat="1" x14ac:dyDescent="0.25"/>
    <row r="145406" s="12" customFormat="1" x14ac:dyDescent="0.25"/>
    <row r="145407" s="12" customFormat="1" x14ac:dyDescent="0.25"/>
    <row r="145408" s="12" customFormat="1" x14ac:dyDescent="0.25"/>
    <row r="145409" s="12" customFormat="1" x14ac:dyDescent="0.25"/>
    <row r="145410" s="12" customFormat="1" x14ac:dyDescent="0.25"/>
    <row r="145411" s="12" customFormat="1" x14ac:dyDescent="0.25"/>
    <row r="145412" s="12" customFormat="1" x14ac:dyDescent="0.25"/>
    <row r="145413" s="12" customFormat="1" x14ac:dyDescent="0.25"/>
    <row r="145414" s="12" customFormat="1" x14ac:dyDescent="0.25"/>
    <row r="145415" s="12" customFormat="1" x14ac:dyDescent="0.25"/>
    <row r="145416" s="12" customFormat="1" x14ac:dyDescent="0.25"/>
    <row r="145417" s="12" customFormat="1" x14ac:dyDescent="0.25"/>
    <row r="145418" s="12" customFormat="1" x14ac:dyDescent="0.25"/>
    <row r="145419" s="12" customFormat="1" x14ac:dyDescent="0.25"/>
    <row r="145420" s="12" customFormat="1" x14ac:dyDescent="0.25"/>
    <row r="145421" s="12" customFormat="1" x14ac:dyDescent="0.25"/>
    <row r="145422" s="12" customFormat="1" x14ac:dyDescent="0.25"/>
    <row r="145423" s="12" customFormat="1" x14ac:dyDescent="0.25"/>
    <row r="145424" s="12" customFormat="1" x14ac:dyDescent="0.25"/>
    <row r="145425" s="12" customFormat="1" x14ac:dyDescent="0.25"/>
    <row r="145426" s="12" customFormat="1" x14ac:dyDescent="0.25"/>
    <row r="145427" s="12" customFormat="1" x14ac:dyDescent="0.25"/>
    <row r="145428" s="12" customFormat="1" x14ac:dyDescent="0.25"/>
    <row r="145429" s="12" customFormat="1" x14ac:dyDescent="0.25"/>
    <row r="145430" s="12" customFormat="1" x14ac:dyDescent="0.25"/>
    <row r="145431" s="12" customFormat="1" x14ac:dyDescent="0.25"/>
    <row r="145432" s="12" customFormat="1" x14ac:dyDescent="0.25"/>
    <row r="145433" s="12" customFormat="1" x14ac:dyDescent="0.25"/>
    <row r="145434" s="12" customFormat="1" x14ac:dyDescent="0.25"/>
    <row r="145435" s="12" customFormat="1" x14ac:dyDescent="0.25"/>
    <row r="145436" s="12" customFormat="1" x14ac:dyDescent="0.25"/>
    <row r="145437" s="12" customFormat="1" x14ac:dyDescent="0.25"/>
    <row r="145438" s="12" customFormat="1" x14ac:dyDescent="0.25"/>
    <row r="145439" s="12" customFormat="1" x14ac:dyDescent="0.25"/>
    <row r="145440" s="12" customFormat="1" x14ac:dyDescent="0.25"/>
    <row r="145441" s="12" customFormat="1" x14ac:dyDescent="0.25"/>
    <row r="145442" s="12" customFormat="1" x14ac:dyDescent="0.25"/>
    <row r="145443" s="12" customFormat="1" x14ac:dyDescent="0.25"/>
    <row r="145444" s="12" customFormat="1" x14ac:dyDescent="0.25"/>
    <row r="145445" s="12" customFormat="1" x14ac:dyDescent="0.25"/>
    <row r="145446" s="12" customFormat="1" x14ac:dyDescent="0.25"/>
    <row r="145447" s="12" customFormat="1" x14ac:dyDescent="0.25"/>
    <row r="145448" s="12" customFormat="1" x14ac:dyDescent="0.25"/>
    <row r="145449" s="12" customFormat="1" x14ac:dyDescent="0.25"/>
    <row r="145450" s="12" customFormat="1" x14ac:dyDescent="0.25"/>
    <row r="145451" s="12" customFormat="1" x14ac:dyDescent="0.25"/>
    <row r="145452" s="12" customFormat="1" x14ac:dyDescent="0.25"/>
    <row r="145453" s="12" customFormat="1" x14ac:dyDescent="0.25"/>
    <row r="145454" s="12" customFormat="1" x14ac:dyDescent="0.25"/>
    <row r="145455" s="12" customFormat="1" x14ac:dyDescent="0.25"/>
    <row r="145456" s="12" customFormat="1" x14ac:dyDescent="0.25"/>
    <row r="145457" s="12" customFormat="1" x14ac:dyDescent="0.25"/>
    <row r="145458" s="12" customFormat="1" x14ac:dyDescent="0.25"/>
    <row r="145459" s="12" customFormat="1" x14ac:dyDescent="0.25"/>
    <row r="145460" s="12" customFormat="1" x14ac:dyDescent="0.25"/>
    <row r="145461" s="12" customFormat="1" x14ac:dyDescent="0.25"/>
    <row r="145462" s="12" customFormat="1" x14ac:dyDescent="0.25"/>
    <row r="145463" s="12" customFormat="1" x14ac:dyDescent="0.25"/>
    <row r="145464" s="12" customFormat="1" x14ac:dyDescent="0.25"/>
    <row r="145465" s="12" customFormat="1" x14ac:dyDescent="0.25"/>
    <row r="145466" s="12" customFormat="1" x14ac:dyDescent="0.25"/>
    <row r="145467" s="12" customFormat="1" x14ac:dyDescent="0.25"/>
    <row r="145468" s="12" customFormat="1" x14ac:dyDescent="0.25"/>
    <row r="145469" s="12" customFormat="1" x14ac:dyDescent="0.25"/>
    <row r="145470" s="12" customFormat="1" x14ac:dyDescent="0.25"/>
    <row r="145471" s="12" customFormat="1" x14ac:dyDescent="0.25"/>
    <row r="145472" s="12" customFormat="1" x14ac:dyDescent="0.25"/>
    <row r="145473" s="12" customFormat="1" x14ac:dyDescent="0.25"/>
    <row r="145474" s="12" customFormat="1" x14ac:dyDescent="0.25"/>
    <row r="145475" s="12" customFormat="1" x14ac:dyDescent="0.25"/>
    <row r="145476" s="12" customFormat="1" x14ac:dyDescent="0.25"/>
    <row r="145477" s="12" customFormat="1" x14ac:dyDescent="0.25"/>
    <row r="145478" s="12" customFormat="1" x14ac:dyDescent="0.25"/>
    <row r="145479" s="12" customFormat="1" x14ac:dyDescent="0.25"/>
    <row r="145480" s="12" customFormat="1" x14ac:dyDescent="0.25"/>
    <row r="145481" s="12" customFormat="1" x14ac:dyDescent="0.25"/>
    <row r="145482" s="12" customFormat="1" x14ac:dyDescent="0.25"/>
    <row r="145483" s="12" customFormat="1" x14ac:dyDescent="0.25"/>
    <row r="145484" s="12" customFormat="1" x14ac:dyDescent="0.25"/>
    <row r="145485" s="12" customFormat="1" x14ac:dyDescent="0.25"/>
    <row r="145486" s="12" customFormat="1" x14ac:dyDescent="0.25"/>
    <row r="145487" s="12" customFormat="1" x14ac:dyDescent="0.25"/>
    <row r="145488" s="12" customFormat="1" x14ac:dyDescent="0.25"/>
    <row r="145489" s="12" customFormat="1" x14ac:dyDescent="0.25"/>
    <row r="145490" s="12" customFormat="1" x14ac:dyDescent="0.25"/>
    <row r="145491" s="12" customFormat="1" x14ac:dyDescent="0.25"/>
    <row r="145492" s="12" customFormat="1" x14ac:dyDescent="0.25"/>
    <row r="145493" s="12" customFormat="1" x14ac:dyDescent="0.25"/>
    <row r="145494" s="12" customFormat="1" x14ac:dyDescent="0.25"/>
    <row r="145495" s="12" customFormat="1" x14ac:dyDescent="0.25"/>
    <row r="145496" s="12" customFormat="1" x14ac:dyDescent="0.25"/>
    <row r="145497" s="12" customFormat="1" x14ac:dyDescent="0.25"/>
    <row r="145498" s="12" customFormat="1" x14ac:dyDescent="0.25"/>
    <row r="145499" s="12" customFormat="1" x14ac:dyDescent="0.25"/>
    <row r="145500" s="12" customFormat="1" x14ac:dyDescent="0.25"/>
    <row r="145501" s="12" customFormat="1" x14ac:dyDescent="0.25"/>
    <row r="145502" s="12" customFormat="1" x14ac:dyDescent="0.25"/>
    <row r="145503" s="12" customFormat="1" x14ac:dyDescent="0.25"/>
    <row r="145504" s="12" customFormat="1" x14ac:dyDescent="0.25"/>
    <row r="145505" s="12" customFormat="1" x14ac:dyDescent="0.25"/>
    <row r="145506" s="12" customFormat="1" x14ac:dyDescent="0.25"/>
    <row r="145507" s="12" customFormat="1" x14ac:dyDescent="0.25"/>
    <row r="145508" s="12" customFormat="1" x14ac:dyDescent="0.25"/>
    <row r="145509" s="12" customFormat="1" x14ac:dyDescent="0.25"/>
    <row r="145510" s="12" customFormat="1" x14ac:dyDescent="0.25"/>
    <row r="145511" s="12" customFormat="1" x14ac:dyDescent="0.25"/>
    <row r="145512" s="12" customFormat="1" x14ac:dyDescent="0.25"/>
    <row r="145513" s="12" customFormat="1" x14ac:dyDescent="0.25"/>
    <row r="145514" s="12" customFormat="1" x14ac:dyDescent="0.25"/>
    <row r="145515" s="12" customFormat="1" x14ac:dyDescent="0.25"/>
    <row r="145516" s="12" customFormat="1" x14ac:dyDescent="0.25"/>
    <row r="145517" s="12" customFormat="1" x14ac:dyDescent="0.25"/>
    <row r="145518" s="12" customFormat="1" x14ac:dyDescent="0.25"/>
    <row r="145519" s="12" customFormat="1" x14ac:dyDescent="0.25"/>
    <row r="145520" s="12" customFormat="1" x14ac:dyDescent="0.25"/>
    <row r="145521" s="12" customFormat="1" x14ac:dyDescent="0.25"/>
    <row r="145522" s="12" customFormat="1" x14ac:dyDescent="0.25"/>
    <row r="145523" s="12" customFormat="1" x14ac:dyDescent="0.25"/>
    <row r="145524" s="12" customFormat="1" x14ac:dyDescent="0.25"/>
    <row r="145525" s="12" customFormat="1" x14ac:dyDescent="0.25"/>
    <row r="145526" s="12" customFormat="1" x14ac:dyDescent="0.25"/>
    <row r="145527" s="12" customFormat="1" x14ac:dyDescent="0.25"/>
    <row r="145528" s="12" customFormat="1" x14ac:dyDescent="0.25"/>
    <row r="145529" s="12" customFormat="1" x14ac:dyDescent="0.25"/>
    <row r="145530" s="12" customFormat="1" x14ac:dyDescent="0.25"/>
    <row r="145531" s="12" customFormat="1" x14ac:dyDescent="0.25"/>
    <row r="145532" s="12" customFormat="1" x14ac:dyDescent="0.25"/>
    <row r="145533" s="12" customFormat="1" x14ac:dyDescent="0.25"/>
    <row r="145534" s="12" customFormat="1" x14ac:dyDescent="0.25"/>
    <row r="145535" s="12" customFormat="1" x14ac:dyDescent="0.25"/>
    <row r="145536" s="12" customFormat="1" x14ac:dyDescent="0.25"/>
    <row r="145537" s="12" customFormat="1" x14ac:dyDescent="0.25"/>
    <row r="145538" s="12" customFormat="1" x14ac:dyDescent="0.25"/>
    <row r="145539" s="12" customFormat="1" x14ac:dyDescent="0.25"/>
    <row r="145540" s="12" customFormat="1" x14ac:dyDescent="0.25"/>
    <row r="145541" s="12" customFormat="1" x14ac:dyDescent="0.25"/>
    <row r="145542" s="12" customFormat="1" x14ac:dyDescent="0.25"/>
    <row r="145543" s="12" customFormat="1" x14ac:dyDescent="0.25"/>
    <row r="145544" s="12" customFormat="1" x14ac:dyDescent="0.25"/>
    <row r="145545" s="12" customFormat="1" x14ac:dyDescent="0.25"/>
    <row r="145546" s="12" customFormat="1" x14ac:dyDescent="0.25"/>
    <row r="145547" s="12" customFormat="1" x14ac:dyDescent="0.25"/>
    <row r="145548" s="12" customFormat="1" x14ac:dyDescent="0.25"/>
    <row r="145549" s="12" customFormat="1" x14ac:dyDescent="0.25"/>
    <row r="145550" s="12" customFormat="1" x14ac:dyDescent="0.25"/>
    <row r="145551" s="12" customFormat="1" x14ac:dyDescent="0.25"/>
    <row r="145552" s="12" customFormat="1" x14ac:dyDescent="0.25"/>
    <row r="145553" s="12" customFormat="1" x14ac:dyDescent="0.25"/>
    <row r="145554" s="12" customFormat="1" x14ac:dyDescent="0.25"/>
    <row r="145555" s="12" customFormat="1" x14ac:dyDescent="0.25"/>
    <row r="145556" s="12" customFormat="1" x14ac:dyDescent="0.25"/>
    <row r="145557" s="12" customFormat="1" x14ac:dyDescent="0.25"/>
    <row r="145558" s="12" customFormat="1" x14ac:dyDescent="0.25"/>
    <row r="145559" s="12" customFormat="1" x14ac:dyDescent="0.25"/>
    <row r="145560" s="12" customFormat="1" x14ac:dyDescent="0.25"/>
    <row r="145561" s="12" customFormat="1" x14ac:dyDescent="0.25"/>
    <row r="145562" s="12" customFormat="1" x14ac:dyDescent="0.25"/>
    <row r="145563" s="12" customFormat="1" x14ac:dyDescent="0.25"/>
    <row r="145564" s="12" customFormat="1" x14ac:dyDescent="0.25"/>
    <row r="145565" s="12" customFormat="1" x14ac:dyDescent="0.25"/>
    <row r="145566" s="12" customFormat="1" x14ac:dyDescent="0.25"/>
    <row r="145567" s="12" customFormat="1" x14ac:dyDescent="0.25"/>
    <row r="145568" s="12" customFormat="1" x14ac:dyDescent="0.25"/>
    <row r="145569" s="12" customFormat="1" x14ac:dyDescent="0.25"/>
    <row r="145570" s="12" customFormat="1" x14ac:dyDescent="0.25"/>
    <row r="145571" s="12" customFormat="1" x14ac:dyDescent="0.25"/>
    <row r="145572" s="12" customFormat="1" x14ac:dyDescent="0.25"/>
    <row r="145573" s="12" customFormat="1" x14ac:dyDescent="0.25"/>
    <row r="145574" s="12" customFormat="1" x14ac:dyDescent="0.25"/>
    <row r="145575" s="12" customFormat="1" x14ac:dyDescent="0.25"/>
    <row r="145576" s="12" customFormat="1" x14ac:dyDescent="0.25"/>
    <row r="145577" s="12" customFormat="1" x14ac:dyDescent="0.25"/>
    <row r="145578" s="12" customFormat="1" x14ac:dyDescent="0.25"/>
    <row r="145579" s="12" customFormat="1" x14ac:dyDescent="0.25"/>
    <row r="145580" s="12" customFormat="1" x14ac:dyDescent="0.25"/>
    <row r="145581" s="12" customFormat="1" x14ac:dyDescent="0.25"/>
    <row r="145582" s="12" customFormat="1" x14ac:dyDescent="0.25"/>
    <row r="145583" s="12" customFormat="1" x14ac:dyDescent="0.25"/>
    <row r="145584" s="12" customFormat="1" x14ac:dyDescent="0.25"/>
    <row r="145585" s="12" customFormat="1" x14ac:dyDescent="0.25"/>
    <row r="145586" s="12" customFormat="1" x14ac:dyDescent="0.25"/>
    <row r="145587" s="12" customFormat="1" x14ac:dyDescent="0.25"/>
    <row r="145588" s="12" customFormat="1" x14ac:dyDescent="0.25"/>
    <row r="145589" s="12" customFormat="1" x14ac:dyDescent="0.25"/>
    <row r="145590" s="12" customFormat="1" x14ac:dyDescent="0.25"/>
    <row r="145591" s="12" customFormat="1" x14ac:dyDescent="0.25"/>
    <row r="145592" s="12" customFormat="1" x14ac:dyDescent="0.25"/>
    <row r="145593" s="12" customFormat="1" x14ac:dyDescent="0.25"/>
    <row r="145594" s="12" customFormat="1" x14ac:dyDescent="0.25"/>
    <row r="145595" s="12" customFormat="1" x14ac:dyDescent="0.25"/>
    <row r="145596" s="12" customFormat="1" x14ac:dyDescent="0.25"/>
    <row r="145597" s="12" customFormat="1" x14ac:dyDescent="0.25"/>
    <row r="145598" s="12" customFormat="1" x14ac:dyDescent="0.25"/>
    <row r="145599" s="12" customFormat="1" x14ac:dyDescent="0.25"/>
    <row r="145600" s="12" customFormat="1" x14ac:dyDescent="0.25"/>
    <row r="145601" s="12" customFormat="1" x14ac:dyDescent="0.25"/>
    <row r="145602" s="12" customFormat="1" x14ac:dyDescent="0.25"/>
    <row r="145603" s="12" customFormat="1" x14ac:dyDescent="0.25"/>
    <row r="145604" s="12" customFormat="1" x14ac:dyDescent="0.25"/>
    <row r="145605" s="12" customFormat="1" x14ac:dyDescent="0.25"/>
    <row r="145606" s="12" customFormat="1" x14ac:dyDescent="0.25"/>
    <row r="145607" s="12" customFormat="1" x14ac:dyDescent="0.25"/>
    <row r="145608" s="12" customFormat="1" x14ac:dyDescent="0.25"/>
    <row r="145609" s="12" customFormat="1" x14ac:dyDescent="0.25"/>
    <row r="145610" s="12" customFormat="1" x14ac:dyDescent="0.25"/>
    <row r="145611" s="12" customFormat="1" x14ac:dyDescent="0.25"/>
    <row r="145612" s="12" customFormat="1" x14ac:dyDescent="0.25"/>
    <row r="145613" s="12" customFormat="1" x14ac:dyDescent="0.25"/>
    <row r="145614" s="12" customFormat="1" x14ac:dyDescent="0.25"/>
    <row r="145615" s="12" customFormat="1" x14ac:dyDescent="0.25"/>
    <row r="145616" s="12" customFormat="1" x14ac:dyDescent="0.25"/>
    <row r="145617" s="12" customFormat="1" x14ac:dyDescent="0.25"/>
    <row r="145618" s="12" customFormat="1" x14ac:dyDescent="0.25"/>
    <row r="145619" s="12" customFormat="1" x14ac:dyDescent="0.25"/>
    <row r="145620" s="12" customFormat="1" x14ac:dyDescent="0.25"/>
    <row r="145621" s="12" customFormat="1" x14ac:dyDescent="0.25"/>
    <row r="145622" s="12" customFormat="1" x14ac:dyDescent="0.25"/>
    <row r="145623" s="12" customFormat="1" x14ac:dyDescent="0.25"/>
    <row r="145624" s="12" customFormat="1" x14ac:dyDescent="0.25"/>
    <row r="145625" s="12" customFormat="1" x14ac:dyDescent="0.25"/>
    <row r="145626" s="12" customFormat="1" x14ac:dyDescent="0.25"/>
    <row r="145627" s="12" customFormat="1" x14ac:dyDescent="0.25"/>
    <row r="145628" s="12" customFormat="1" x14ac:dyDescent="0.25"/>
    <row r="145629" s="12" customFormat="1" x14ac:dyDescent="0.25"/>
    <row r="145630" s="12" customFormat="1" x14ac:dyDescent="0.25"/>
    <row r="145631" s="12" customFormat="1" x14ac:dyDescent="0.25"/>
    <row r="145632" s="12" customFormat="1" x14ac:dyDescent="0.25"/>
    <row r="145633" s="12" customFormat="1" x14ac:dyDescent="0.25"/>
    <row r="145634" s="12" customFormat="1" x14ac:dyDescent="0.25"/>
    <row r="145635" s="12" customFormat="1" x14ac:dyDescent="0.25"/>
    <row r="145636" s="12" customFormat="1" x14ac:dyDescent="0.25"/>
    <row r="145637" s="12" customFormat="1" x14ac:dyDescent="0.25"/>
    <row r="145638" s="12" customFormat="1" x14ac:dyDescent="0.25"/>
    <row r="145639" s="12" customFormat="1" x14ac:dyDescent="0.25"/>
    <row r="145640" s="12" customFormat="1" x14ac:dyDescent="0.25"/>
    <row r="145641" s="12" customFormat="1" x14ac:dyDescent="0.25"/>
    <row r="145642" s="12" customFormat="1" x14ac:dyDescent="0.25"/>
    <row r="145643" s="12" customFormat="1" x14ac:dyDescent="0.25"/>
    <row r="145644" s="12" customFormat="1" x14ac:dyDescent="0.25"/>
    <row r="145645" s="12" customFormat="1" x14ac:dyDescent="0.25"/>
    <row r="145646" s="12" customFormat="1" x14ac:dyDescent="0.25"/>
    <row r="145647" s="12" customFormat="1" x14ac:dyDescent="0.25"/>
    <row r="145648" s="12" customFormat="1" x14ac:dyDescent="0.25"/>
    <row r="145649" s="12" customFormat="1" x14ac:dyDescent="0.25"/>
    <row r="145650" s="12" customFormat="1" x14ac:dyDescent="0.25"/>
    <row r="145651" s="12" customFormat="1" x14ac:dyDescent="0.25"/>
    <row r="145652" s="12" customFormat="1" x14ac:dyDescent="0.25"/>
    <row r="145653" s="12" customFormat="1" x14ac:dyDescent="0.25"/>
    <row r="145654" s="12" customFormat="1" x14ac:dyDescent="0.25"/>
    <row r="145655" s="12" customFormat="1" x14ac:dyDescent="0.25"/>
    <row r="145656" s="12" customFormat="1" x14ac:dyDescent="0.25"/>
    <row r="145657" s="12" customFormat="1" x14ac:dyDescent="0.25"/>
    <row r="145658" s="12" customFormat="1" x14ac:dyDescent="0.25"/>
    <row r="145659" s="12" customFormat="1" x14ac:dyDescent="0.25"/>
    <row r="145660" s="12" customFormat="1" x14ac:dyDescent="0.25"/>
    <row r="145661" s="12" customFormat="1" x14ac:dyDescent="0.25"/>
    <row r="145662" s="12" customFormat="1" x14ac:dyDescent="0.25"/>
    <row r="145663" s="12" customFormat="1" x14ac:dyDescent="0.25"/>
    <row r="145664" s="12" customFormat="1" x14ac:dyDescent="0.25"/>
    <row r="145665" s="12" customFormat="1" x14ac:dyDescent="0.25"/>
    <row r="145666" s="12" customFormat="1" x14ac:dyDescent="0.25"/>
    <row r="145667" s="12" customFormat="1" x14ac:dyDescent="0.25"/>
    <row r="145668" s="12" customFormat="1" x14ac:dyDescent="0.25"/>
    <row r="145669" s="12" customFormat="1" x14ac:dyDescent="0.25"/>
    <row r="145670" s="12" customFormat="1" x14ac:dyDescent="0.25"/>
    <row r="145671" s="12" customFormat="1" x14ac:dyDescent="0.25"/>
    <row r="145672" s="12" customFormat="1" x14ac:dyDescent="0.25"/>
    <row r="145673" s="12" customFormat="1" x14ac:dyDescent="0.25"/>
    <row r="145674" s="12" customFormat="1" x14ac:dyDescent="0.25"/>
    <row r="145675" s="12" customFormat="1" x14ac:dyDescent="0.25"/>
    <row r="145676" s="12" customFormat="1" x14ac:dyDescent="0.25"/>
    <row r="145677" s="12" customFormat="1" x14ac:dyDescent="0.25"/>
    <row r="145678" s="12" customFormat="1" x14ac:dyDescent="0.25"/>
    <row r="145679" s="12" customFormat="1" x14ac:dyDescent="0.25"/>
    <row r="145680" s="12" customFormat="1" x14ac:dyDescent="0.25"/>
    <row r="145681" s="12" customFormat="1" x14ac:dyDescent="0.25"/>
    <row r="145682" s="12" customFormat="1" x14ac:dyDescent="0.25"/>
    <row r="145683" s="12" customFormat="1" x14ac:dyDescent="0.25"/>
    <row r="145684" s="12" customFormat="1" x14ac:dyDescent="0.25"/>
    <row r="145685" s="12" customFormat="1" x14ac:dyDescent="0.25"/>
    <row r="145686" s="12" customFormat="1" x14ac:dyDescent="0.25"/>
    <row r="145687" s="12" customFormat="1" x14ac:dyDescent="0.25"/>
    <row r="145688" s="12" customFormat="1" x14ac:dyDescent="0.25"/>
    <row r="145689" s="12" customFormat="1" x14ac:dyDescent="0.25"/>
    <row r="145690" s="12" customFormat="1" x14ac:dyDescent="0.25"/>
    <row r="145691" s="12" customFormat="1" x14ac:dyDescent="0.25"/>
    <row r="145692" s="12" customFormat="1" x14ac:dyDescent="0.25"/>
    <row r="145693" s="12" customFormat="1" x14ac:dyDescent="0.25"/>
    <row r="145694" s="12" customFormat="1" x14ac:dyDescent="0.25"/>
    <row r="145695" s="12" customFormat="1" x14ac:dyDescent="0.25"/>
    <row r="145696" s="12" customFormat="1" x14ac:dyDescent="0.25"/>
    <row r="145697" s="12" customFormat="1" x14ac:dyDescent="0.25"/>
    <row r="145698" s="12" customFormat="1" x14ac:dyDescent="0.25"/>
    <row r="145699" s="12" customFormat="1" x14ac:dyDescent="0.25"/>
    <row r="145700" s="12" customFormat="1" x14ac:dyDescent="0.25"/>
    <row r="145701" s="12" customFormat="1" x14ac:dyDescent="0.25"/>
    <row r="145702" s="12" customFormat="1" x14ac:dyDescent="0.25"/>
    <row r="145703" s="12" customFormat="1" x14ac:dyDescent="0.25"/>
    <row r="145704" s="12" customFormat="1" x14ac:dyDescent="0.25"/>
    <row r="145705" s="12" customFormat="1" x14ac:dyDescent="0.25"/>
    <row r="145706" s="12" customFormat="1" x14ac:dyDescent="0.25"/>
    <row r="145707" s="12" customFormat="1" x14ac:dyDescent="0.25"/>
    <row r="145708" s="12" customFormat="1" x14ac:dyDescent="0.25"/>
    <row r="145709" s="12" customFormat="1" x14ac:dyDescent="0.25"/>
    <row r="145710" s="12" customFormat="1" x14ac:dyDescent="0.25"/>
    <row r="145711" s="12" customFormat="1" x14ac:dyDescent="0.25"/>
    <row r="145712" s="12" customFormat="1" x14ac:dyDescent="0.25"/>
    <row r="145713" s="12" customFormat="1" x14ac:dyDescent="0.25"/>
    <row r="145714" s="12" customFormat="1" x14ac:dyDescent="0.25"/>
    <row r="145715" s="12" customFormat="1" x14ac:dyDescent="0.25"/>
    <row r="145716" s="12" customFormat="1" x14ac:dyDescent="0.25"/>
    <row r="145717" s="12" customFormat="1" x14ac:dyDescent="0.25"/>
    <row r="145718" s="12" customFormat="1" x14ac:dyDescent="0.25"/>
    <row r="145719" s="12" customFormat="1" x14ac:dyDescent="0.25"/>
    <row r="145720" s="12" customFormat="1" x14ac:dyDescent="0.25"/>
    <row r="145721" s="12" customFormat="1" x14ac:dyDescent="0.25"/>
    <row r="145722" s="12" customFormat="1" x14ac:dyDescent="0.25"/>
    <row r="145723" s="12" customFormat="1" x14ac:dyDescent="0.25"/>
    <row r="145724" s="12" customFormat="1" x14ac:dyDescent="0.25"/>
    <row r="145725" s="12" customFormat="1" x14ac:dyDescent="0.25"/>
    <row r="145726" s="12" customFormat="1" x14ac:dyDescent="0.25"/>
    <row r="145727" s="12" customFormat="1" x14ac:dyDescent="0.25"/>
    <row r="145728" s="12" customFormat="1" x14ac:dyDescent="0.25"/>
    <row r="145729" s="12" customFormat="1" x14ac:dyDescent="0.25"/>
    <row r="145730" s="12" customFormat="1" x14ac:dyDescent="0.25"/>
    <row r="145731" s="12" customFormat="1" x14ac:dyDescent="0.25"/>
    <row r="145732" s="12" customFormat="1" x14ac:dyDescent="0.25"/>
    <row r="145733" s="12" customFormat="1" x14ac:dyDescent="0.25"/>
    <row r="145734" s="12" customFormat="1" x14ac:dyDescent="0.25"/>
    <row r="145735" s="12" customFormat="1" x14ac:dyDescent="0.25"/>
    <row r="145736" s="12" customFormat="1" x14ac:dyDescent="0.25"/>
    <row r="145737" s="12" customFormat="1" x14ac:dyDescent="0.25"/>
    <row r="145738" s="12" customFormat="1" x14ac:dyDescent="0.25"/>
    <row r="145739" s="12" customFormat="1" x14ac:dyDescent="0.25"/>
    <row r="145740" s="12" customFormat="1" x14ac:dyDescent="0.25"/>
    <row r="145741" s="12" customFormat="1" x14ac:dyDescent="0.25"/>
    <row r="145742" s="12" customFormat="1" x14ac:dyDescent="0.25"/>
    <row r="145743" s="12" customFormat="1" x14ac:dyDescent="0.25"/>
    <row r="145744" s="12" customFormat="1" x14ac:dyDescent="0.25"/>
    <row r="145745" s="12" customFormat="1" x14ac:dyDescent="0.25"/>
    <row r="145746" s="12" customFormat="1" x14ac:dyDescent="0.25"/>
    <row r="145747" s="12" customFormat="1" x14ac:dyDescent="0.25"/>
    <row r="145748" s="12" customFormat="1" x14ac:dyDescent="0.25"/>
    <row r="145749" s="12" customFormat="1" x14ac:dyDescent="0.25"/>
    <row r="145750" s="12" customFormat="1" x14ac:dyDescent="0.25"/>
    <row r="145751" s="12" customFormat="1" x14ac:dyDescent="0.25"/>
    <row r="145752" s="12" customFormat="1" x14ac:dyDescent="0.25"/>
    <row r="145753" s="12" customFormat="1" x14ac:dyDescent="0.25"/>
    <row r="145754" s="12" customFormat="1" x14ac:dyDescent="0.25"/>
    <row r="145755" s="12" customFormat="1" x14ac:dyDescent="0.25"/>
    <row r="145756" s="12" customFormat="1" x14ac:dyDescent="0.25"/>
    <row r="145757" s="12" customFormat="1" x14ac:dyDescent="0.25"/>
    <row r="145758" s="12" customFormat="1" x14ac:dyDescent="0.25"/>
    <row r="145759" s="12" customFormat="1" x14ac:dyDescent="0.25"/>
    <row r="145760" s="12" customFormat="1" x14ac:dyDescent="0.25"/>
    <row r="145761" s="12" customFormat="1" x14ac:dyDescent="0.25"/>
    <row r="145762" s="12" customFormat="1" x14ac:dyDescent="0.25"/>
    <row r="145763" s="12" customFormat="1" x14ac:dyDescent="0.25"/>
    <row r="145764" s="12" customFormat="1" x14ac:dyDescent="0.25"/>
    <row r="145765" s="12" customFormat="1" x14ac:dyDescent="0.25"/>
    <row r="145766" s="12" customFormat="1" x14ac:dyDescent="0.25"/>
    <row r="145767" s="12" customFormat="1" x14ac:dyDescent="0.25"/>
    <row r="145768" s="12" customFormat="1" x14ac:dyDescent="0.25"/>
    <row r="145769" s="12" customFormat="1" x14ac:dyDescent="0.25"/>
    <row r="145770" s="12" customFormat="1" x14ac:dyDescent="0.25"/>
    <row r="145771" s="12" customFormat="1" x14ac:dyDescent="0.25"/>
    <row r="145772" s="12" customFormat="1" x14ac:dyDescent="0.25"/>
    <row r="145773" s="12" customFormat="1" x14ac:dyDescent="0.25"/>
    <row r="145774" s="12" customFormat="1" x14ac:dyDescent="0.25"/>
    <row r="145775" s="12" customFormat="1" x14ac:dyDescent="0.25"/>
    <row r="145776" s="12" customFormat="1" x14ac:dyDescent="0.25"/>
    <row r="145777" s="12" customFormat="1" x14ac:dyDescent="0.25"/>
    <row r="145778" s="12" customFormat="1" x14ac:dyDescent="0.25"/>
    <row r="145779" s="12" customFormat="1" x14ac:dyDescent="0.25"/>
    <row r="145780" s="12" customFormat="1" x14ac:dyDescent="0.25"/>
    <row r="145781" s="12" customFormat="1" x14ac:dyDescent="0.25"/>
    <row r="145782" s="12" customFormat="1" x14ac:dyDescent="0.25"/>
    <row r="145783" s="12" customFormat="1" x14ac:dyDescent="0.25"/>
    <row r="145784" s="12" customFormat="1" x14ac:dyDescent="0.25"/>
    <row r="145785" s="12" customFormat="1" x14ac:dyDescent="0.25"/>
    <row r="145786" s="12" customFormat="1" x14ac:dyDescent="0.25"/>
    <row r="145787" s="12" customFormat="1" x14ac:dyDescent="0.25"/>
    <row r="145788" s="12" customFormat="1" x14ac:dyDescent="0.25"/>
    <row r="145789" s="12" customFormat="1" x14ac:dyDescent="0.25"/>
    <row r="145790" s="12" customFormat="1" x14ac:dyDescent="0.25"/>
    <row r="145791" s="12" customFormat="1" x14ac:dyDescent="0.25"/>
    <row r="145792" s="12" customFormat="1" x14ac:dyDescent="0.25"/>
    <row r="145793" s="12" customFormat="1" x14ac:dyDescent="0.25"/>
    <row r="145794" s="12" customFormat="1" x14ac:dyDescent="0.25"/>
    <row r="145795" s="12" customFormat="1" x14ac:dyDescent="0.25"/>
    <row r="145796" s="12" customFormat="1" x14ac:dyDescent="0.25"/>
    <row r="145797" s="12" customFormat="1" x14ac:dyDescent="0.25"/>
    <row r="145798" s="12" customFormat="1" x14ac:dyDescent="0.25"/>
    <row r="145799" s="12" customFormat="1" x14ac:dyDescent="0.25"/>
    <row r="145800" s="12" customFormat="1" x14ac:dyDescent="0.25"/>
    <row r="145801" s="12" customFormat="1" x14ac:dyDescent="0.25"/>
    <row r="145802" s="12" customFormat="1" x14ac:dyDescent="0.25"/>
    <row r="145803" s="12" customFormat="1" x14ac:dyDescent="0.25"/>
    <row r="145804" s="12" customFormat="1" x14ac:dyDescent="0.25"/>
    <row r="145805" s="12" customFormat="1" x14ac:dyDescent="0.25"/>
    <row r="145806" s="12" customFormat="1" x14ac:dyDescent="0.25"/>
    <row r="145807" s="12" customFormat="1" x14ac:dyDescent="0.25"/>
    <row r="145808" s="12" customFormat="1" x14ac:dyDescent="0.25"/>
    <row r="145809" s="12" customFormat="1" x14ac:dyDescent="0.25"/>
    <row r="145810" s="12" customFormat="1" x14ac:dyDescent="0.25"/>
    <row r="145811" s="12" customFormat="1" x14ac:dyDescent="0.25"/>
    <row r="145812" s="12" customFormat="1" x14ac:dyDescent="0.25"/>
    <row r="145813" s="12" customFormat="1" x14ac:dyDescent="0.25"/>
    <row r="145814" s="12" customFormat="1" x14ac:dyDescent="0.25"/>
    <row r="145815" s="12" customFormat="1" x14ac:dyDescent="0.25"/>
    <row r="145816" s="12" customFormat="1" x14ac:dyDescent="0.25"/>
    <row r="145817" s="12" customFormat="1" x14ac:dyDescent="0.25"/>
    <row r="145818" s="12" customFormat="1" x14ac:dyDescent="0.25"/>
    <row r="145819" s="12" customFormat="1" x14ac:dyDescent="0.25"/>
    <row r="145820" s="12" customFormat="1" x14ac:dyDescent="0.25"/>
    <row r="145821" s="12" customFormat="1" x14ac:dyDescent="0.25"/>
    <row r="145822" s="12" customFormat="1" x14ac:dyDescent="0.25"/>
    <row r="145823" s="12" customFormat="1" x14ac:dyDescent="0.25"/>
    <row r="145824" s="12" customFormat="1" x14ac:dyDescent="0.25"/>
    <row r="145825" s="12" customFormat="1" x14ac:dyDescent="0.25"/>
    <row r="145826" s="12" customFormat="1" x14ac:dyDescent="0.25"/>
    <row r="145827" s="12" customFormat="1" x14ac:dyDescent="0.25"/>
    <row r="145828" s="12" customFormat="1" x14ac:dyDescent="0.25"/>
    <row r="145829" s="12" customFormat="1" x14ac:dyDescent="0.25"/>
    <row r="145830" s="12" customFormat="1" x14ac:dyDescent="0.25"/>
    <row r="145831" s="12" customFormat="1" x14ac:dyDescent="0.25"/>
    <row r="145832" s="12" customFormat="1" x14ac:dyDescent="0.25"/>
    <row r="145833" s="12" customFormat="1" x14ac:dyDescent="0.25"/>
    <row r="145834" s="12" customFormat="1" x14ac:dyDescent="0.25"/>
    <row r="145835" s="12" customFormat="1" x14ac:dyDescent="0.25"/>
    <row r="145836" s="12" customFormat="1" x14ac:dyDescent="0.25"/>
    <row r="145837" s="12" customFormat="1" x14ac:dyDescent="0.25"/>
    <row r="145838" s="12" customFormat="1" x14ac:dyDescent="0.25"/>
    <row r="145839" s="12" customFormat="1" x14ac:dyDescent="0.25"/>
    <row r="145840" s="12" customFormat="1" x14ac:dyDescent="0.25"/>
    <row r="145841" s="12" customFormat="1" x14ac:dyDescent="0.25"/>
    <row r="145842" s="12" customFormat="1" x14ac:dyDescent="0.25"/>
    <row r="145843" s="12" customFormat="1" x14ac:dyDescent="0.25"/>
    <row r="145844" s="12" customFormat="1" x14ac:dyDescent="0.25"/>
    <row r="145845" s="12" customFormat="1" x14ac:dyDescent="0.25"/>
    <row r="145846" s="12" customFormat="1" x14ac:dyDescent="0.25"/>
    <row r="145847" s="12" customFormat="1" x14ac:dyDescent="0.25"/>
    <row r="145848" s="12" customFormat="1" x14ac:dyDescent="0.25"/>
    <row r="145849" s="12" customFormat="1" x14ac:dyDescent="0.25"/>
    <row r="145850" s="12" customFormat="1" x14ac:dyDescent="0.25"/>
    <row r="145851" s="12" customFormat="1" x14ac:dyDescent="0.25"/>
    <row r="145852" s="12" customFormat="1" x14ac:dyDescent="0.25"/>
    <row r="145853" s="12" customFormat="1" x14ac:dyDescent="0.25"/>
    <row r="145854" s="12" customFormat="1" x14ac:dyDescent="0.25"/>
    <row r="145855" s="12" customFormat="1" x14ac:dyDescent="0.25"/>
    <row r="145856" s="12" customFormat="1" x14ac:dyDescent="0.25"/>
    <row r="145857" s="12" customFormat="1" x14ac:dyDescent="0.25"/>
    <row r="145858" s="12" customFormat="1" x14ac:dyDescent="0.25"/>
    <row r="145859" s="12" customFormat="1" x14ac:dyDescent="0.25"/>
    <row r="145860" s="12" customFormat="1" x14ac:dyDescent="0.25"/>
    <row r="145861" s="12" customFormat="1" x14ac:dyDescent="0.25"/>
    <row r="145862" s="12" customFormat="1" x14ac:dyDescent="0.25"/>
    <row r="145863" s="12" customFormat="1" x14ac:dyDescent="0.25"/>
    <row r="145864" s="12" customFormat="1" x14ac:dyDescent="0.25"/>
    <row r="145865" s="12" customFormat="1" x14ac:dyDescent="0.25"/>
    <row r="145866" s="12" customFormat="1" x14ac:dyDescent="0.25"/>
    <row r="145867" s="12" customFormat="1" x14ac:dyDescent="0.25"/>
    <row r="145868" s="12" customFormat="1" x14ac:dyDescent="0.25"/>
    <row r="145869" s="12" customFormat="1" x14ac:dyDescent="0.25"/>
    <row r="145870" s="12" customFormat="1" x14ac:dyDescent="0.25"/>
    <row r="145871" s="12" customFormat="1" x14ac:dyDescent="0.25"/>
    <row r="145872" s="12" customFormat="1" x14ac:dyDescent="0.25"/>
    <row r="145873" s="12" customFormat="1" x14ac:dyDescent="0.25"/>
    <row r="145874" s="12" customFormat="1" x14ac:dyDescent="0.25"/>
    <row r="145875" s="12" customFormat="1" x14ac:dyDescent="0.25"/>
    <row r="145876" s="12" customFormat="1" x14ac:dyDescent="0.25"/>
    <row r="145877" s="12" customFormat="1" x14ac:dyDescent="0.25"/>
    <row r="145878" s="12" customFormat="1" x14ac:dyDescent="0.25"/>
    <row r="145879" s="12" customFormat="1" x14ac:dyDescent="0.25"/>
    <row r="145880" s="12" customFormat="1" x14ac:dyDescent="0.25"/>
    <row r="145881" s="12" customFormat="1" x14ac:dyDescent="0.25"/>
    <row r="145882" s="12" customFormat="1" x14ac:dyDescent="0.25"/>
    <row r="145883" s="12" customFormat="1" x14ac:dyDescent="0.25"/>
    <row r="145884" s="12" customFormat="1" x14ac:dyDescent="0.25"/>
    <row r="145885" s="12" customFormat="1" x14ac:dyDescent="0.25"/>
    <row r="145886" s="12" customFormat="1" x14ac:dyDescent="0.25"/>
    <row r="145887" s="12" customFormat="1" x14ac:dyDescent="0.25"/>
    <row r="145888" s="12" customFormat="1" x14ac:dyDescent="0.25"/>
    <row r="145889" s="12" customFormat="1" x14ac:dyDescent="0.25"/>
    <row r="145890" s="12" customFormat="1" x14ac:dyDescent="0.25"/>
    <row r="145891" s="12" customFormat="1" x14ac:dyDescent="0.25"/>
    <row r="145892" s="12" customFormat="1" x14ac:dyDescent="0.25"/>
    <row r="145893" s="12" customFormat="1" x14ac:dyDescent="0.25"/>
    <row r="145894" s="12" customFormat="1" x14ac:dyDescent="0.25"/>
    <row r="145895" s="12" customFormat="1" x14ac:dyDescent="0.25"/>
    <row r="145896" s="12" customFormat="1" x14ac:dyDescent="0.25"/>
    <row r="145897" s="12" customFormat="1" x14ac:dyDescent="0.25"/>
    <row r="145898" s="12" customFormat="1" x14ac:dyDescent="0.25"/>
    <row r="145899" s="12" customFormat="1" x14ac:dyDescent="0.25"/>
    <row r="145900" s="12" customFormat="1" x14ac:dyDescent="0.25"/>
    <row r="145901" s="12" customFormat="1" x14ac:dyDescent="0.25"/>
    <row r="145902" s="12" customFormat="1" x14ac:dyDescent="0.25"/>
    <row r="145903" s="12" customFormat="1" x14ac:dyDescent="0.25"/>
    <row r="145904" s="12" customFormat="1" x14ac:dyDescent="0.25"/>
    <row r="145905" s="12" customFormat="1" x14ac:dyDescent="0.25"/>
    <row r="145906" s="12" customFormat="1" x14ac:dyDescent="0.25"/>
    <row r="145907" s="12" customFormat="1" x14ac:dyDescent="0.25"/>
    <row r="145908" s="12" customFormat="1" x14ac:dyDescent="0.25"/>
    <row r="145909" s="12" customFormat="1" x14ac:dyDescent="0.25"/>
    <row r="145910" s="12" customFormat="1" x14ac:dyDescent="0.25"/>
    <row r="145911" s="12" customFormat="1" x14ac:dyDescent="0.25"/>
    <row r="145912" s="12" customFormat="1" x14ac:dyDescent="0.25"/>
    <row r="145913" s="12" customFormat="1" x14ac:dyDescent="0.25"/>
    <row r="145914" s="12" customFormat="1" x14ac:dyDescent="0.25"/>
    <row r="145915" s="12" customFormat="1" x14ac:dyDescent="0.25"/>
    <row r="145916" s="12" customFormat="1" x14ac:dyDescent="0.25"/>
    <row r="145917" s="12" customFormat="1" x14ac:dyDescent="0.25"/>
    <row r="145918" s="12" customFormat="1" x14ac:dyDescent="0.25"/>
    <row r="145919" s="12" customFormat="1" x14ac:dyDescent="0.25"/>
    <row r="145920" s="12" customFormat="1" x14ac:dyDescent="0.25"/>
    <row r="145921" s="12" customFormat="1" x14ac:dyDescent="0.25"/>
    <row r="145922" s="12" customFormat="1" x14ac:dyDescent="0.25"/>
    <row r="145923" s="12" customFormat="1" x14ac:dyDescent="0.25"/>
    <row r="145924" s="12" customFormat="1" x14ac:dyDescent="0.25"/>
    <row r="145925" s="12" customFormat="1" x14ac:dyDescent="0.25"/>
    <row r="145926" s="12" customFormat="1" x14ac:dyDescent="0.25"/>
    <row r="145927" s="12" customFormat="1" x14ac:dyDescent="0.25"/>
    <row r="145928" s="12" customFormat="1" x14ac:dyDescent="0.25"/>
    <row r="145929" s="12" customFormat="1" x14ac:dyDescent="0.25"/>
    <row r="145930" s="12" customFormat="1" x14ac:dyDescent="0.25"/>
    <row r="145931" s="12" customFormat="1" x14ac:dyDescent="0.25"/>
    <row r="145932" s="12" customFormat="1" x14ac:dyDescent="0.25"/>
    <row r="145933" s="12" customFormat="1" x14ac:dyDescent="0.25"/>
    <row r="145934" s="12" customFormat="1" x14ac:dyDescent="0.25"/>
    <row r="145935" s="12" customFormat="1" x14ac:dyDescent="0.25"/>
    <row r="145936" s="12" customFormat="1" x14ac:dyDescent="0.25"/>
    <row r="145937" s="12" customFormat="1" x14ac:dyDescent="0.25"/>
    <row r="145938" s="12" customFormat="1" x14ac:dyDescent="0.25"/>
    <row r="145939" s="12" customFormat="1" x14ac:dyDescent="0.25"/>
    <row r="145940" s="12" customFormat="1" x14ac:dyDescent="0.25"/>
    <row r="145941" s="12" customFormat="1" x14ac:dyDescent="0.25"/>
    <row r="145942" s="12" customFormat="1" x14ac:dyDescent="0.25"/>
    <row r="145943" s="12" customFormat="1" x14ac:dyDescent="0.25"/>
    <row r="145944" s="12" customFormat="1" x14ac:dyDescent="0.25"/>
    <row r="145945" s="12" customFormat="1" x14ac:dyDescent="0.25"/>
    <row r="145946" s="12" customFormat="1" x14ac:dyDescent="0.25"/>
    <row r="145947" s="12" customFormat="1" x14ac:dyDescent="0.25"/>
    <row r="145948" s="12" customFormat="1" x14ac:dyDescent="0.25"/>
    <row r="145949" s="12" customFormat="1" x14ac:dyDescent="0.25"/>
    <row r="145950" s="12" customFormat="1" x14ac:dyDescent="0.25"/>
    <row r="145951" s="12" customFormat="1" x14ac:dyDescent="0.25"/>
    <row r="145952" s="12" customFormat="1" x14ac:dyDescent="0.25"/>
    <row r="145953" s="12" customFormat="1" x14ac:dyDescent="0.25"/>
    <row r="145954" s="12" customFormat="1" x14ac:dyDescent="0.25"/>
    <row r="145955" s="12" customFormat="1" x14ac:dyDescent="0.25"/>
    <row r="145956" s="12" customFormat="1" x14ac:dyDescent="0.25"/>
    <row r="145957" s="12" customFormat="1" x14ac:dyDescent="0.25"/>
    <row r="145958" s="12" customFormat="1" x14ac:dyDescent="0.25"/>
    <row r="145959" s="12" customFormat="1" x14ac:dyDescent="0.25"/>
    <row r="145960" s="12" customFormat="1" x14ac:dyDescent="0.25"/>
    <row r="145961" s="12" customFormat="1" x14ac:dyDescent="0.25"/>
    <row r="145962" s="12" customFormat="1" x14ac:dyDescent="0.25"/>
    <row r="145963" s="12" customFormat="1" x14ac:dyDescent="0.25"/>
    <row r="145964" s="12" customFormat="1" x14ac:dyDescent="0.25"/>
    <row r="145965" s="12" customFormat="1" x14ac:dyDescent="0.25"/>
    <row r="145966" s="12" customFormat="1" x14ac:dyDescent="0.25"/>
    <row r="145967" s="12" customFormat="1" x14ac:dyDescent="0.25"/>
    <row r="145968" s="12" customFormat="1" x14ac:dyDescent="0.25"/>
    <row r="145969" s="12" customFormat="1" x14ac:dyDescent="0.25"/>
    <row r="145970" s="12" customFormat="1" x14ac:dyDescent="0.25"/>
    <row r="145971" s="12" customFormat="1" x14ac:dyDescent="0.25"/>
    <row r="145972" s="12" customFormat="1" x14ac:dyDescent="0.25"/>
    <row r="145973" s="12" customFormat="1" x14ac:dyDescent="0.25"/>
    <row r="145974" s="12" customFormat="1" x14ac:dyDescent="0.25"/>
    <row r="145975" s="12" customFormat="1" x14ac:dyDescent="0.25"/>
    <row r="145976" s="12" customFormat="1" x14ac:dyDescent="0.25"/>
    <row r="145977" s="12" customFormat="1" x14ac:dyDescent="0.25"/>
    <row r="145978" s="12" customFormat="1" x14ac:dyDescent="0.25"/>
    <row r="145979" s="12" customFormat="1" x14ac:dyDescent="0.25"/>
    <row r="145980" s="12" customFormat="1" x14ac:dyDescent="0.25"/>
    <row r="145981" s="12" customFormat="1" x14ac:dyDescent="0.25"/>
    <row r="145982" s="12" customFormat="1" x14ac:dyDescent="0.25"/>
    <row r="145983" s="12" customFormat="1" x14ac:dyDescent="0.25"/>
    <row r="145984" s="12" customFormat="1" x14ac:dyDescent="0.25"/>
    <row r="145985" s="12" customFormat="1" x14ac:dyDescent="0.25"/>
    <row r="145986" s="12" customFormat="1" x14ac:dyDescent="0.25"/>
    <row r="145987" s="12" customFormat="1" x14ac:dyDescent="0.25"/>
    <row r="145988" s="12" customFormat="1" x14ac:dyDescent="0.25"/>
    <row r="145989" s="12" customFormat="1" x14ac:dyDescent="0.25"/>
    <row r="145990" s="12" customFormat="1" x14ac:dyDescent="0.25"/>
    <row r="145991" s="12" customFormat="1" x14ac:dyDescent="0.25"/>
    <row r="145992" s="12" customFormat="1" x14ac:dyDescent="0.25"/>
    <row r="145993" s="12" customFormat="1" x14ac:dyDescent="0.25"/>
    <row r="145994" s="12" customFormat="1" x14ac:dyDescent="0.25"/>
    <row r="145995" s="12" customFormat="1" x14ac:dyDescent="0.25"/>
    <row r="145996" s="12" customFormat="1" x14ac:dyDescent="0.25"/>
    <row r="145997" s="12" customFormat="1" x14ac:dyDescent="0.25"/>
    <row r="145998" s="12" customFormat="1" x14ac:dyDescent="0.25"/>
    <row r="145999" s="12" customFormat="1" x14ac:dyDescent="0.25"/>
    <row r="146000" s="12" customFormat="1" x14ac:dyDescent="0.25"/>
    <row r="146001" s="12" customFormat="1" x14ac:dyDescent="0.25"/>
    <row r="146002" s="12" customFormat="1" x14ac:dyDescent="0.25"/>
    <row r="146003" s="12" customFormat="1" x14ac:dyDescent="0.25"/>
    <row r="146004" s="12" customFormat="1" x14ac:dyDescent="0.25"/>
    <row r="146005" s="12" customFormat="1" x14ac:dyDescent="0.25"/>
    <row r="146006" s="12" customFormat="1" x14ac:dyDescent="0.25"/>
    <row r="146007" s="12" customFormat="1" x14ac:dyDescent="0.25"/>
    <row r="146008" s="12" customFormat="1" x14ac:dyDescent="0.25"/>
    <row r="146009" s="12" customFormat="1" x14ac:dyDescent="0.25"/>
    <row r="146010" s="12" customFormat="1" x14ac:dyDescent="0.25"/>
    <row r="146011" s="12" customFormat="1" x14ac:dyDescent="0.25"/>
    <row r="146012" s="12" customFormat="1" x14ac:dyDescent="0.25"/>
    <row r="146013" s="12" customFormat="1" x14ac:dyDescent="0.25"/>
    <row r="146014" s="12" customFormat="1" x14ac:dyDescent="0.25"/>
    <row r="146015" s="12" customFormat="1" x14ac:dyDescent="0.25"/>
    <row r="146016" s="12" customFormat="1" x14ac:dyDescent="0.25"/>
    <row r="146017" s="12" customFormat="1" x14ac:dyDescent="0.25"/>
    <row r="146018" s="12" customFormat="1" x14ac:dyDescent="0.25"/>
    <row r="146019" s="12" customFormat="1" x14ac:dyDescent="0.25"/>
    <row r="146020" s="12" customFormat="1" x14ac:dyDescent="0.25"/>
    <row r="146021" s="12" customFormat="1" x14ac:dyDescent="0.25"/>
    <row r="146022" s="12" customFormat="1" x14ac:dyDescent="0.25"/>
    <row r="146023" s="12" customFormat="1" x14ac:dyDescent="0.25"/>
    <row r="146024" s="12" customFormat="1" x14ac:dyDescent="0.25"/>
    <row r="146025" s="12" customFormat="1" x14ac:dyDescent="0.25"/>
    <row r="146026" s="12" customFormat="1" x14ac:dyDescent="0.25"/>
    <row r="146027" s="12" customFormat="1" x14ac:dyDescent="0.25"/>
    <row r="146028" s="12" customFormat="1" x14ac:dyDescent="0.25"/>
    <row r="146029" s="12" customFormat="1" x14ac:dyDescent="0.25"/>
    <row r="146030" s="12" customFormat="1" x14ac:dyDescent="0.25"/>
    <row r="146031" s="12" customFormat="1" x14ac:dyDescent="0.25"/>
    <row r="146032" s="12" customFormat="1" x14ac:dyDescent="0.25"/>
    <row r="146033" s="12" customFormat="1" x14ac:dyDescent="0.25"/>
    <row r="146034" s="12" customFormat="1" x14ac:dyDescent="0.25"/>
    <row r="146035" s="12" customFormat="1" x14ac:dyDescent="0.25"/>
    <row r="146036" s="12" customFormat="1" x14ac:dyDescent="0.25"/>
    <row r="146037" s="12" customFormat="1" x14ac:dyDescent="0.25"/>
    <row r="146038" s="12" customFormat="1" x14ac:dyDescent="0.25"/>
    <row r="146039" s="12" customFormat="1" x14ac:dyDescent="0.25"/>
    <row r="146040" s="12" customFormat="1" x14ac:dyDescent="0.25"/>
    <row r="146041" s="12" customFormat="1" x14ac:dyDescent="0.25"/>
    <row r="146042" s="12" customFormat="1" x14ac:dyDescent="0.25"/>
    <row r="146043" s="12" customFormat="1" x14ac:dyDescent="0.25"/>
    <row r="146044" s="12" customFormat="1" x14ac:dyDescent="0.25"/>
    <row r="146045" s="12" customFormat="1" x14ac:dyDescent="0.25"/>
    <row r="146046" s="12" customFormat="1" x14ac:dyDescent="0.25"/>
    <row r="146047" s="12" customFormat="1" x14ac:dyDescent="0.25"/>
    <row r="146048" s="12" customFormat="1" x14ac:dyDescent="0.25"/>
    <row r="146049" s="12" customFormat="1" x14ac:dyDescent="0.25"/>
    <row r="146050" s="12" customFormat="1" x14ac:dyDescent="0.25"/>
    <row r="146051" s="12" customFormat="1" x14ac:dyDescent="0.25"/>
    <row r="146052" s="12" customFormat="1" x14ac:dyDescent="0.25"/>
    <row r="146053" s="12" customFormat="1" x14ac:dyDescent="0.25"/>
    <row r="146054" s="12" customFormat="1" x14ac:dyDescent="0.25"/>
    <row r="146055" s="12" customFormat="1" x14ac:dyDescent="0.25"/>
    <row r="146056" s="12" customFormat="1" x14ac:dyDescent="0.25"/>
    <row r="146057" s="12" customFormat="1" x14ac:dyDescent="0.25"/>
    <row r="146058" s="12" customFormat="1" x14ac:dyDescent="0.25"/>
    <row r="146059" s="12" customFormat="1" x14ac:dyDescent="0.25"/>
    <row r="146060" s="12" customFormat="1" x14ac:dyDescent="0.25"/>
    <row r="146061" s="12" customFormat="1" x14ac:dyDescent="0.25"/>
    <row r="146062" s="12" customFormat="1" x14ac:dyDescent="0.25"/>
    <row r="146063" s="12" customFormat="1" x14ac:dyDescent="0.25"/>
    <row r="146064" s="12" customFormat="1" x14ac:dyDescent="0.25"/>
    <row r="146065" s="12" customFormat="1" x14ac:dyDescent="0.25"/>
    <row r="146066" s="12" customFormat="1" x14ac:dyDescent="0.25"/>
    <row r="146067" s="12" customFormat="1" x14ac:dyDescent="0.25"/>
    <row r="146068" s="12" customFormat="1" x14ac:dyDescent="0.25"/>
    <row r="146069" s="12" customFormat="1" x14ac:dyDescent="0.25"/>
    <row r="146070" s="12" customFormat="1" x14ac:dyDescent="0.25"/>
    <row r="146071" s="12" customFormat="1" x14ac:dyDescent="0.25"/>
    <row r="146072" s="12" customFormat="1" x14ac:dyDescent="0.25"/>
    <row r="146073" s="12" customFormat="1" x14ac:dyDescent="0.25"/>
    <row r="146074" s="12" customFormat="1" x14ac:dyDescent="0.25"/>
    <row r="146075" s="12" customFormat="1" x14ac:dyDescent="0.25"/>
    <row r="146076" s="12" customFormat="1" x14ac:dyDescent="0.25"/>
    <row r="146077" s="12" customFormat="1" x14ac:dyDescent="0.25"/>
    <row r="146078" s="12" customFormat="1" x14ac:dyDescent="0.25"/>
    <row r="146079" s="12" customFormat="1" x14ac:dyDescent="0.25"/>
    <row r="146080" s="12" customFormat="1" x14ac:dyDescent="0.25"/>
    <row r="146081" s="12" customFormat="1" x14ac:dyDescent="0.25"/>
    <row r="146082" s="12" customFormat="1" x14ac:dyDescent="0.25"/>
    <row r="146083" s="12" customFormat="1" x14ac:dyDescent="0.25"/>
    <row r="146084" s="12" customFormat="1" x14ac:dyDescent="0.25"/>
    <row r="146085" s="12" customFormat="1" x14ac:dyDescent="0.25"/>
    <row r="146086" s="12" customFormat="1" x14ac:dyDescent="0.25"/>
    <row r="146087" s="12" customFormat="1" x14ac:dyDescent="0.25"/>
    <row r="146088" s="12" customFormat="1" x14ac:dyDescent="0.25"/>
    <row r="146089" s="12" customFormat="1" x14ac:dyDescent="0.25"/>
    <row r="146090" s="12" customFormat="1" x14ac:dyDescent="0.25"/>
    <row r="146091" s="12" customFormat="1" x14ac:dyDescent="0.25"/>
    <row r="146092" s="12" customFormat="1" x14ac:dyDescent="0.25"/>
    <row r="146093" s="12" customFormat="1" x14ac:dyDescent="0.25"/>
    <row r="146094" s="12" customFormat="1" x14ac:dyDescent="0.25"/>
    <row r="146095" s="12" customFormat="1" x14ac:dyDescent="0.25"/>
    <row r="146096" s="12" customFormat="1" x14ac:dyDescent="0.25"/>
    <row r="146097" s="12" customFormat="1" x14ac:dyDescent="0.25"/>
    <row r="146098" s="12" customFormat="1" x14ac:dyDescent="0.25"/>
    <row r="146099" s="12" customFormat="1" x14ac:dyDescent="0.25"/>
    <row r="146100" s="12" customFormat="1" x14ac:dyDescent="0.25"/>
    <row r="146101" s="12" customFormat="1" x14ac:dyDescent="0.25"/>
    <row r="146102" s="12" customFormat="1" x14ac:dyDescent="0.25"/>
    <row r="146103" s="12" customFormat="1" x14ac:dyDescent="0.25"/>
    <row r="146104" s="12" customFormat="1" x14ac:dyDescent="0.25"/>
    <row r="146105" s="12" customFormat="1" x14ac:dyDescent="0.25"/>
    <row r="146106" s="12" customFormat="1" x14ac:dyDescent="0.25"/>
    <row r="146107" s="12" customFormat="1" x14ac:dyDescent="0.25"/>
    <row r="146108" s="12" customFormat="1" x14ac:dyDescent="0.25"/>
    <row r="146109" s="12" customFormat="1" x14ac:dyDescent="0.25"/>
    <row r="146110" s="12" customFormat="1" x14ac:dyDescent="0.25"/>
    <row r="146111" s="12" customFormat="1" x14ac:dyDescent="0.25"/>
    <row r="146112" s="12" customFormat="1" x14ac:dyDescent="0.25"/>
    <row r="146113" s="12" customFormat="1" x14ac:dyDescent="0.25"/>
    <row r="146114" s="12" customFormat="1" x14ac:dyDescent="0.25"/>
    <row r="146115" s="12" customFormat="1" x14ac:dyDescent="0.25"/>
    <row r="146116" s="12" customFormat="1" x14ac:dyDescent="0.25"/>
    <row r="146117" s="12" customFormat="1" x14ac:dyDescent="0.25"/>
    <row r="146118" s="12" customFormat="1" x14ac:dyDescent="0.25"/>
    <row r="146119" s="12" customFormat="1" x14ac:dyDescent="0.25"/>
    <row r="146120" s="12" customFormat="1" x14ac:dyDescent="0.25"/>
    <row r="146121" s="12" customFormat="1" x14ac:dyDescent="0.25"/>
    <row r="146122" s="12" customFormat="1" x14ac:dyDescent="0.25"/>
    <row r="146123" s="12" customFormat="1" x14ac:dyDescent="0.25"/>
    <row r="146124" s="12" customFormat="1" x14ac:dyDescent="0.25"/>
    <row r="146125" s="12" customFormat="1" x14ac:dyDescent="0.25"/>
    <row r="146126" s="12" customFormat="1" x14ac:dyDescent="0.25"/>
    <row r="146127" s="12" customFormat="1" x14ac:dyDescent="0.25"/>
    <row r="146128" s="12" customFormat="1" x14ac:dyDescent="0.25"/>
    <row r="146129" s="12" customFormat="1" x14ac:dyDescent="0.25"/>
    <row r="146130" s="12" customFormat="1" x14ac:dyDescent="0.25"/>
    <row r="146131" s="12" customFormat="1" x14ac:dyDescent="0.25"/>
    <row r="146132" s="12" customFormat="1" x14ac:dyDescent="0.25"/>
    <row r="146133" s="12" customFormat="1" x14ac:dyDescent="0.25"/>
    <row r="146134" s="12" customFormat="1" x14ac:dyDescent="0.25"/>
    <row r="146135" s="12" customFormat="1" x14ac:dyDescent="0.25"/>
    <row r="146136" s="12" customFormat="1" x14ac:dyDescent="0.25"/>
    <row r="146137" s="12" customFormat="1" x14ac:dyDescent="0.25"/>
    <row r="146138" s="12" customFormat="1" x14ac:dyDescent="0.25"/>
    <row r="146139" s="12" customFormat="1" x14ac:dyDescent="0.25"/>
    <row r="146140" s="12" customFormat="1" x14ac:dyDescent="0.25"/>
    <row r="146141" s="12" customFormat="1" x14ac:dyDescent="0.25"/>
    <row r="146142" s="12" customFormat="1" x14ac:dyDescent="0.25"/>
    <row r="146143" s="12" customFormat="1" x14ac:dyDescent="0.25"/>
    <row r="146144" s="12" customFormat="1" x14ac:dyDescent="0.25"/>
    <row r="146145" s="12" customFormat="1" x14ac:dyDescent="0.25"/>
    <row r="146146" s="12" customFormat="1" x14ac:dyDescent="0.25"/>
    <row r="146147" s="12" customFormat="1" x14ac:dyDescent="0.25"/>
    <row r="146148" s="12" customFormat="1" x14ac:dyDescent="0.25"/>
    <row r="146149" s="12" customFormat="1" x14ac:dyDescent="0.25"/>
    <row r="146150" s="12" customFormat="1" x14ac:dyDescent="0.25"/>
    <row r="146151" s="12" customFormat="1" x14ac:dyDescent="0.25"/>
    <row r="146152" s="12" customFormat="1" x14ac:dyDescent="0.25"/>
    <row r="146153" s="12" customFormat="1" x14ac:dyDescent="0.25"/>
    <row r="146154" s="12" customFormat="1" x14ac:dyDescent="0.25"/>
    <row r="146155" s="12" customFormat="1" x14ac:dyDescent="0.25"/>
    <row r="146156" s="12" customFormat="1" x14ac:dyDescent="0.25"/>
    <row r="146157" s="12" customFormat="1" x14ac:dyDescent="0.25"/>
    <row r="146158" s="12" customFormat="1" x14ac:dyDescent="0.25"/>
    <row r="146159" s="12" customFormat="1" x14ac:dyDescent="0.25"/>
    <row r="146160" s="12" customFormat="1" x14ac:dyDescent="0.25"/>
    <row r="146161" s="12" customFormat="1" x14ac:dyDescent="0.25"/>
    <row r="146162" s="12" customFormat="1" x14ac:dyDescent="0.25"/>
    <row r="146163" s="12" customFormat="1" x14ac:dyDescent="0.25"/>
    <row r="146164" s="12" customFormat="1" x14ac:dyDescent="0.25"/>
    <row r="146165" s="12" customFormat="1" x14ac:dyDescent="0.25"/>
    <row r="146166" s="12" customFormat="1" x14ac:dyDescent="0.25"/>
    <row r="146167" s="12" customFormat="1" x14ac:dyDescent="0.25"/>
    <row r="146168" s="12" customFormat="1" x14ac:dyDescent="0.25"/>
    <row r="146169" s="12" customFormat="1" x14ac:dyDescent="0.25"/>
    <row r="146170" s="12" customFormat="1" x14ac:dyDescent="0.25"/>
    <row r="146171" s="12" customFormat="1" x14ac:dyDescent="0.25"/>
    <row r="146172" s="12" customFormat="1" x14ac:dyDescent="0.25"/>
    <row r="146173" s="12" customFormat="1" x14ac:dyDescent="0.25"/>
    <row r="146174" s="12" customFormat="1" x14ac:dyDescent="0.25"/>
    <row r="146175" s="12" customFormat="1" x14ac:dyDescent="0.25"/>
    <row r="146176" s="12" customFormat="1" x14ac:dyDescent="0.25"/>
    <row r="146177" s="12" customFormat="1" x14ac:dyDescent="0.25"/>
    <row r="146178" s="12" customFormat="1" x14ac:dyDescent="0.25"/>
    <row r="146179" s="12" customFormat="1" x14ac:dyDescent="0.25"/>
    <row r="146180" s="12" customFormat="1" x14ac:dyDescent="0.25"/>
    <row r="146181" s="12" customFormat="1" x14ac:dyDescent="0.25"/>
    <row r="146182" s="12" customFormat="1" x14ac:dyDescent="0.25"/>
    <row r="146183" s="12" customFormat="1" x14ac:dyDescent="0.25"/>
    <row r="146184" s="12" customFormat="1" x14ac:dyDescent="0.25"/>
    <row r="146185" s="12" customFormat="1" x14ac:dyDescent="0.25"/>
    <row r="146186" s="12" customFormat="1" x14ac:dyDescent="0.25"/>
    <row r="146187" s="12" customFormat="1" x14ac:dyDescent="0.25"/>
    <row r="146188" s="12" customFormat="1" x14ac:dyDescent="0.25"/>
    <row r="146189" s="12" customFormat="1" x14ac:dyDescent="0.25"/>
    <row r="146190" s="12" customFormat="1" x14ac:dyDescent="0.25"/>
    <row r="146191" s="12" customFormat="1" x14ac:dyDescent="0.25"/>
    <row r="146192" s="12" customFormat="1" x14ac:dyDescent="0.25"/>
    <row r="146193" s="12" customFormat="1" x14ac:dyDescent="0.25"/>
    <row r="146194" s="12" customFormat="1" x14ac:dyDescent="0.25"/>
    <row r="146195" s="12" customFormat="1" x14ac:dyDescent="0.25"/>
    <row r="146196" s="12" customFormat="1" x14ac:dyDescent="0.25"/>
    <row r="146197" s="12" customFormat="1" x14ac:dyDescent="0.25"/>
    <row r="146198" s="12" customFormat="1" x14ac:dyDescent="0.25"/>
    <row r="146199" s="12" customFormat="1" x14ac:dyDescent="0.25"/>
    <row r="146200" s="12" customFormat="1" x14ac:dyDescent="0.25"/>
    <row r="146201" s="12" customFormat="1" x14ac:dyDescent="0.25"/>
    <row r="146202" s="12" customFormat="1" x14ac:dyDescent="0.25"/>
    <row r="146203" s="12" customFormat="1" x14ac:dyDescent="0.25"/>
    <row r="146204" s="12" customFormat="1" x14ac:dyDescent="0.25"/>
    <row r="146205" s="12" customFormat="1" x14ac:dyDescent="0.25"/>
    <row r="146206" s="12" customFormat="1" x14ac:dyDescent="0.25"/>
    <row r="146207" s="12" customFormat="1" x14ac:dyDescent="0.25"/>
    <row r="146208" s="12" customFormat="1" x14ac:dyDescent="0.25"/>
    <row r="146209" s="12" customFormat="1" x14ac:dyDescent="0.25"/>
    <row r="146210" s="12" customFormat="1" x14ac:dyDescent="0.25"/>
    <row r="146211" s="12" customFormat="1" x14ac:dyDescent="0.25"/>
    <row r="146212" s="12" customFormat="1" x14ac:dyDescent="0.25"/>
    <row r="146213" s="12" customFormat="1" x14ac:dyDescent="0.25"/>
    <row r="146214" s="12" customFormat="1" x14ac:dyDescent="0.25"/>
    <row r="146215" s="12" customFormat="1" x14ac:dyDescent="0.25"/>
    <row r="146216" s="12" customFormat="1" x14ac:dyDescent="0.25"/>
    <row r="146217" s="12" customFormat="1" x14ac:dyDescent="0.25"/>
    <row r="146218" s="12" customFormat="1" x14ac:dyDescent="0.25"/>
    <row r="146219" s="12" customFormat="1" x14ac:dyDescent="0.25"/>
    <row r="146220" s="12" customFormat="1" x14ac:dyDescent="0.25"/>
    <row r="146221" s="12" customFormat="1" x14ac:dyDescent="0.25"/>
    <row r="146222" s="12" customFormat="1" x14ac:dyDescent="0.25"/>
    <row r="146223" s="12" customFormat="1" x14ac:dyDescent="0.25"/>
    <row r="146224" s="12" customFormat="1" x14ac:dyDescent="0.25"/>
    <row r="146225" s="12" customFormat="1" x14ac:dyDescent="0.25"/>
    <row r="146226" s="12" customFormat="1" x14ac:dyDescent="0.25"/>
    <row r="146227" s="12" customFormat="1" x14ac:dyDescent="0.25"/>
    <row r="146228" s="12" customFormat="1" x14ac:dyDescent="0.25"/>
    <row r="146229" s="12" customFormat="1" x14ac:dyDescent="0.25"/>
    <row r="146230" s="12" customFormat="1" x14ac:dyDescent="0.25"/>
    <row r="146231" s="12" customFormat="1" x14ac:dyDescent="0.25"/>
    <row r="146232" s="12" customFormat="1" x14ac:dyDescent="0.25"/>
    <row r="146233" s="12" customFormat="1" x14ac:dyDescent="0.25"/>
    <row r="146234" s="12" customFormat="1" x14ac:dyDescent="0.25"/>
    <row r="146235" s="12" customFormat="1" x14ac:dyDescent="0.25"/>
    <row r="146236" s="12" customFormat="1" x14ac:dyDescent="0.25"/>
    <row r="146237" s="12" customFormat="1" x14ac:dyDescent="0.25"/>
    <row r="146238" s="12" customFormat="1" x14ac:dyDescent="0.25"/>
    <row r="146239" s="12" customFormat="1" x14ac:dyDescent="0.25"/>
    <row r="146240" s="12" customFormat="1" x14ac:dyDescent="0.25"/>
    <row r="146241" s="12" customFormat="1" x14ac:dyDescent="0.25"/>
    <row r="146242" s="12" customFormat="1" x14ac:dyDescent="0.25"/>
    <row r="146243" s="12" customFormat="1" x14ac:dyDescent="0.25"/>
    <row r="146244" s="12" customFormat="1" x14ac:dyDescent="0.25"/>
    <row r="146245" s="12" customFormat="1" x14ac:dyDescent="0.25"/>
    <row r="146246" s="12" customFormat="1" x14ac:dyDescent="0.25"/>
    <row r="146247" s="12" customFormat="1" x14ac:dyDescent="0.25"/>
    <row r="146248" s="12" customFormat="1" x14ac:dyDescent="0.25"/>
    <row r="146249" s="12" customFormat="1" x14ac:dyDescent="0.25"/>
    <row r="146250" s="12" customFormat="1" x14ac:dyDescent="0.25"/>
    <row r="146251" s="12" customFormat="1" x14ac:dyDescent="0.25"/>
    <row r="146252" s="12" customFormat="1" x14ac:dyDescent="0.25"/>
    <row r="146253" s="12" customFormat="1" x14ac:dyDescent="0.25"/>
    <row r="146254" s="12" customFormat="1" x14ac:dyDescent="0.25"/>
    <row r="146255" s="12" customFormat="1" x14ac:dyDescent="0.25"/>
    <row r="146256" s="12" customFormat="1" x14ac:dyDescent="0.25"/>
    <row r="146257" s="12" customFormat="1" x14ac:dyDescent="0.25"/>
    <row r="146258" s="12" customFormat="1" x14ac:dyDescent="0.25"/>
    <row r="146259" s="12" customFormat="1" x14ac:dyDescent="0.25"/>
    <row r="146260" s="12" customFormat="1" x14ac:dyDescent="0.25"/>
    <row r="146261" s="12" customFormat="1" x14ac:dyDescent="0.25"/>
    <row r="146262" s="12" customFormat="1" x14ac:dyDescent="0.25"/>
    <row r="146263" s="12" customFormat="1" x14ac:dyDescent="0.25"/>
    <row r="146264" s="12" customFormat="1" x14ac:dyDescent="0.25"/>
    <row r="146265" s="12" customFormat="1" x14ac:dyDescent="0.25"/>
    <row r="146266" s="12" customFormat="1" x14ac:dyDescent="0.25"/>
    <row r="146267" s="12" customFormat="1" x14ac:dyDescent="0.25"/>
    <row r="146268" s="12" customFormat="1" x14ac:dyDescent="0.25"/>
    <row r="146269" s="12" customFormat="1" x14ac:dyDescent="0.25"/>
    <row r="146270" s="12" customFormat="1" x14ac:dyDescent="0.25"/>
    <row r="146271" s="12" customFormat="1" x14ac:dyDescent="0.25"/>
    <row r="146272" s="12" customFormat="1" x14ac:dyDescent="0.25"/>
    <row r="146273" s="12" customFormat="1" x14ac:dyDescent="0.25"/>
    <row r="146274" s="12" customFormat="1" x14ac:dyDescent="0.25"/>
    <row r="146275" s="12" customFormat="1" x14ac:dyDescent="0.25"/>
    <row r="146276" s="12" customFormat="1" x14ac:dyDescent="0.25"/>
    <row r="146277" s="12" customFormat="1" x14ac:dyDescent="0.25"/>
    <row r="146278" s="12" customFormat="1" x14ac:dyDescent="0.25"/>
    <row r="146279" s="12" customFormat="1" x14ac:dyDescent="0.25"/>
    <row r="146280" s="12" customFormat="1" x14ac:dyDescent="0.25"/>
    <row r="146281" s="12" customFormat="1" x14ac:dyDescent="0.25"/>
    <row r="146282" s="12" customFormat="1" x14ac:dyDescent="0.25"/>
    <row r="146283" s="12" customFormat="1" x14ac:dyDescent="0.25"/>
    <row r="146284" s="12" customFormat="1" x14ac:dyDescent="0.25"/>
    <row r="146285" s="12" customFormat="1" x14ac:dyDescent="0.25"/>
    <row r="146286" s="12" customFormat="1" x14ac:dyDescent="0.25"/>
    <row r="146287" s="12" customFormat="1" x14ac:dyDescent="0.25"/>
    <row r="146288" s="12" customFormat="1" x14ac:dyDescent="0.25"/>
    <row r="146289" s="12" customFormat="1" x14ac:dyDescent="0.25"/>
    <row r="146290" s="12" customFormat="1" x14ac:dyDescent="0.25"/>
    <row r="146291" s="12" customFormat="1" x14ac:dyDescent="0.25"/>
    <row r="146292" s="12" customFormat="1" x14ac:dyDescent="0.25"/>
    <row r="146293" s="12" customFormat="1" x14ac:dyDescent="0.25"/>
    <row r="146294" s="12" customFormat="1" x14ac:dyDescent="0.25"/>
    <row r="146295" s="12" customFormat="1" x14ac:dyDescent="0.25"/>
    <row r="146296" s="12" customFormat="1" x14ac:dyDescent="0.25"/>
    <row r="146297" s="12" customFormat="1" x14ac:dyDescent="0.25"/>
    <row r="146298" s="12" customFormat="1" x14ac:dyDescent="0.25"/>
    <row r="146299" s="12" customFormat="1" x14ac:dyDescent="0.25"/>
    <row r="146300" s="12" customFormat="1" x14ac:dyDescent="0.25"/>
    <row r="146301" s="12" customFormat="1" x14ac:dyDescent="0.25"/>
    <row r="146302" s="12" customFormat="1" x14ac:dyDescent="0.25"/>
    <row r="146303" s="12" customFormat="1" x14ac:dyDescent="0.25"/>
    <row r="146304" s="12" customFormat="1" x14ac:dyDescent="0.25"/>
    <row r="146305" s="12" customFormat="1" x14ac:dyDescent="0.25"/>
    <row r="146306" s="12" customFormat="1" x14ac:dyDescent="0.25"/>
    <row r="146307" s="12" customFormat="1" x14ac:dyDescent="0.25"/>
    <row r="146308" s="12" customFormat="1" x14ac:dyDescent="0.25"/>
    <row r="146309" s="12" customFormat="1" x14ac:dyDescent="0.25"/>
    <row r="146310" s="12" customFormat="1" x14ac:dyDescent="0.25"/>
    <row r="146311" s="12" customFormat="1" x14ac:dyDescent="0.25"/>
    <row r="146312" s="12" customFormat="1" x14ac:dyDescent="0.25"/>
    <row r="146313" s="12" customFormat="1" x14ac:dyDescent="0.25"/>
    <row r="146314" s="12" customFormat="1" x14ac:dyDescent="0.25"/>
    <row r="146315" s="12" customFormat="1" x14ac:dyDescent="0.25"/>
    <row r="146316" s="12" customFormat="1" x14ac:dyDescent="0.25"/>
    <row r="146317" s="12" customFormat="1" x14ac:dyDescent="0.25"/>
    <row r="146318" s="12" customFormat="1" x14ac:dyDescent="0.25"/>
    <row r="146319" s="12" customFormat="1" x14ac:dyDescent="0.25"/>
    <row r="146320" s="12" customFormat="1" x14ac:dyDescent="0.25"/>
    <row r="146321" s="12" customFormat="1" x14ac:dyDescent="0.25"/>
    <row r="146322" s="12" customFormat="1" x14ac:dyDescent="0.25"/>
    <row r="146323" s="12" customFormat="1" x14ac:dyDescent="0.25"/>
    <row r="146324" s="12" customFormat="1" x14ac:dyDescent="0.25"/>
    <row r="146325" s="12" customFormat="1" x14ac:dyDescent="0.25"/>
    <row r="146326" s="12" customFormat="1" x14ac:dyDescent="0.25"/>
    <row r="146327" s="12" customFormat="1" x14ac:dyDescent="0.25"/>
    <row r="146328" s="12" customFormat="1" x14ac:dyDescent="0.25"/>
    <row r="146329" s="12" customFormat="1" x14ac:dyDescent="0.25"/>
    <row r="146330" s="12" customFormat="1" x14ac:dyDescent="0.25"/>
    <row r="146331" s="12" customFormat="1" x14ac:dyDescent="0.25"/>
    <row r="146332" s="12" customFormat="1" x14ac:dyDescent="0.25"/>
    <row r="146333" s="12" customFormat="1" x14ac:dyDescent="0.25"/>
    <row r="146334" s="12" customFormat="1" x14ac:dyDescent="0.25"/>
    <row r="146335" s="12" customFormat="1" x14ac:dyDescent="0.25"/>
    <row r="146336" s="12" customFormat="1" x14ac:dyDescent="0.25"/>
    <row r="146337" s="12" customFormat="1" x14ac:dyDescent="0.25"/>
    <row r="146338" s="12" customFormat="1" x14ac:dyDescent="0.25"/>
    <row r="146339" s="12" customFormat="1" x14ac:dyDescent="0.25"/>
    <row r="146340" s="12" customFormat="1" x14ac:dyDescent="0.25"/>
    <row r="146341" s="12" customFormat="1" x14ac:dyDescent="0.25"/>
    <row r="146342" s="12" customFormat="1" x14ac:dyDescent="0.25"/>
    <row r="146343" s="12" customFormat="1" x14ac:dyDescent="0.25"/>
    <row r="146344" s="12" customFormat="1" x14ac:dyDescent="0.25"/>
    <row r="146345" s="12" customFormat="1" x14ac:dyDescent="0.25"/>
    <row r="146346" s="12" customFormat="1" x14ac:dyDescent="0.25"/>
    <row r="146347" s="12" customFormat="1" x14ac:dyDescent="0.25"/>
    <row r="146348" s="12" customFormat="1" x14ac:dyDescent="0.25"/>
    <row r="146349" s="12" customFormat="1" x14ac:dyDescent="0.25"/>
    <row r="146350" s="12" customFormat="1" x14ac:dyDescent="0.25"/>
    <row r="146351" s="12" customFormat="1" x14ac:dyDescent="0.25"/>
    <row r="146352" s="12" customFormat="1" x14ac:dyDescent="0.25"/>
    <row r="146353" s="12" customFormat="1" x14ac:dyDescent="0.25"/>
    <row r="146354" s="12" customFormat="1" x14ac:dyDescent="0.25"/>
    <row r="146355" s="12" customFormat="1" x14ac:dyDescent="0.25"/>
    <row r="146356" s="12" customFormat="1" x14ac:dyDescent="0.25"/>
    <row r="146357" s="12" customFormat="1" x14ac:dyDescent="0.25"/>
    <row r="146358" s="12" customFormat="1" x14ac:dyDescent="0.25"/>
    <row r="146359" s="12" customFormat="1" x14ac:dyDescent="0.25"/>
    <row r="146360" s="12" customFormat="1" x14ac:dyDescent="0.25"/>
    <row r="146361" s="12" customFormat="1" x14ac:dyDescent="0.25"/>
    <row r="146362" s="12" customFormat="1" x14ac:dyDescent="0.25"/>
    <row r="146363" s="12" customFormat="1" x14ac:dyDescent="0.25"/>
    <row r="146364" s="12" customFormat="1" x14ac:dyDescent="0.25"/>
    <row r="146365" s="12" customFormat="1" x14ac:dyDescent="0.25"/>
    <row r="146366" s="12" customFormat="1" x14ac:dyDescent="0.25"/>
    <row r="146367" s="12" customFormat="1" x14ac:dyDescent="0.25"/>
    <row r="146368" s="12" customFormat="1" x14ac:dyDescent="0.25"/>
    <row r="146369" s="12" customFormat="1" x14ac:dyDescent="0.25"/>
    <row r="146370" s="12" customFormat="1" x14ac:dyDescent="0.25"/>
    <row r="146371" s="12" customFormat="1" x14ac:dyDescent="0.25"/>
    <row r="146372" s="12" customFormat="1" x14ac:dyDescent="0.25"/>
    <row r="146373" s="12" customFormat="1" x14ac:dyDescent="0.25"/>
    <row r="146374" s="12" customFormat="1" x14ac:dyDescent="0.25"/>
    <row r="146375" s="12" customFormat="1" x14ac:dyDescent="0.25"/>
    <row r="146376" s="12" customFormat="1" x14ac:dyDescent="0.25"/>
    <row r="146377" s="12" customFormat="1" x14ac:dyDescent="0.25"/>
    <row r="146378" s="12" customFormat="1" x14ac:dyDescent="0.25"/>
    <row r="146379" s="12" customFormat="1" x14ac:dyDescent="0.25"/>
    <row r="146380" s="12" customFormat="1" x14ac:dyDescent="0.25"/>
    <row r="146381" s="12" customFormat="1" x14ac:dyDescent="0.25"/>
    <row r="146382" s="12" customFormat="1" x14ac:dyDescent="0.25"/>
    <row r="146383" s="12" customFormat="1" x14ac:dyDescent="0.25"/>
    <row r="146384" s="12" customFormat="1" x14ac:dyDescent="0.25"/>
    <row r="146385" s="12" customFormat="1" x14ac:dyDescent="0.25"/>
    <row r="146386" s="12" customFormat="1" x14ac:dyDescent="0.25"/>
    <row r="146387" s="12" customFormat="1" x14ac:dyDescent="0.25"/>
    <row r="146388" s="12" customFormat="1" x14ac:dyDescent="0.25"/>
    <row r="146389" s="12" customFormat="1" x14ac:dyDescent="0.25"/>
    <row r="146390" s="12" customFormat="1" x14ac:dyDescent="0.25"/>
    <row r="146391" s="12" customFormat="1" x14ac:dyDescent="0.25"/>
    <row r="146392" s="12" customFormat="1" x14ac:dyDescent="0.25"/>
    <row r="146393" s="12" customFormat="1" x14ac:dyDescent="0.25"/>
    <row r="146394" s="12" customFormat="1" x14ac:dyDescent="0.25"/>
    <row r="146395" s="12" customFormat="1" x14ac:dyDescent="0.25"/>
    <row r="146396" s="12" customFormat="1" x14ac:dyDescent="0.25"/>
    <row r="146397" s="12" customFormat="1" x14ac:dyDescent="0.25"/>
    <row r="146398" s="12" customFormat="1" x14ac:dyDescent="0.25"/>
    <row r="146399" s="12" customFormat="1" x14ac:dyDescent="0.25"/>
    <row r="146400" s="12" customFormat="1" x14ac:dyDescent="0.25"/>
    <row r="146401" s="12" customFormat="1" x14ac:dyDescent="0.25"/>
    <row r="146402" s="12" customFormat="1" x14ac:dyDescent="0.25"/>
    <row r="146403" s="12" customFormat="1" x14ac:dyDescent="0.25"/>
    <row r="146404" s="12" customFormat="1" x14ac:dyDescent="0.25"/>
    <row r="146405" s="12" customFormat="1" x14ac:dyDescent="0.25"/>
    <row r="146406" s="12" customFormat="1" x14ac:dyDescent="0.25"/>
    <row r="146407" s="12" customFormat="1" x14ac:dyDescent="0.25"/>
    <row r="146408" s="12" customFormat="1" x14ac:dyDescent="0.25"/>
    <row r="146409" s="12" customFormat="1" x14ac:dyDescent="0.25"/>
    <row r="146410" s="12" customFormat="1" x14ac:dyDescent="0.25"/>
    <row r="146411" s="12" customFormat="1" x14ac:dyDescent="0.25"/>
    <row r="146412" s="12" customFormat="1" x14ac:dyDescent="0.25"/>
    <row r="146413" s="12" customFormat="1" x14ac:dyDescent="0.25"/>
    <row r="146414" s="12" customFormat="1" x14ac:dyDescent="0.25"/>
    <row r="146415" s="12" customFormat="1" x14ac:dyDescent="0.25"/>
    <row r="146416" s="12" customFormat="1" x14ac:dyDescent="0.25"/>
    <row r="146417" s="12" customFormat="1" x14ac:dyDescent="0.25"/>
    <row r="146418" s="12" customFormat="1" x14ac:dyDescent="0.25"/>
    <row r="146419" s="12" customFormat="1" x14ac:dyDescent="0.25"/>
    <row r="146420" s="12" customFormat="1" x14ac:dyDescent="0.25"/>
    <row r="146421" s="12" customFormat="1" x14ac:dyDescent="0.25"/>
    <row r="146422" s="12" customFormat="1" x14ac:dyDescent="0.25"/>
    <row r="146423" s="12" customFormat="1" x14ac:dyDescent="0.25"/>
    <row r="146424" s="12" customFormat="1" x14ac:dyDescent="0.25"/>
    <row r="146425" s="12" customFormat="1" x14ac:dyDescent="0.25"/>
    <row r="146426" s="12" customFormat="1" x14ac:dyDescent="0.25"/>
    <row r="146427" s="12" customFormat="1" x14ac:dyDescent="0.25"/>
    <row r="146428" s="12" customFormat="1" x14ac:dyDescent="0.25"/>
    <row r="146429" s="12" customFormat="1" x14ac:dyDescent="0.25"/>
    <row r="146430" s="12" customFormat="1" x14ac:dyDescent="0.25"/>
    <row r="146431" s="12" customFormat="1" x14ac:dyDescent="0.25"/>
    <row r="146432" s="12" customFormat="1" x14ac:dyDescent="0.25"/>
    <row r="146433" s="12" customFormat="1" x14ac:dyDescent="0.25"/>
    <row r="146434" s="12" customFormat="1" x14ac:dyDescent="0.25"/>
    <row r="146435" s="12" customFormat="1" x14ac:dyDescent="0.25"/>
    <row r="146436" s="12" customFormat="1" x14ac:dyDescent="0.25"/>
    <row r="146437" s="12" customFormat="1" x14ac:dyDescent="0.25"/>
    <row r="146438" s="12" customFormat="1" x14ac:dyDescent="0.25"/>
    <row r="146439" s="12" customFormat="1" x14ac:dyDescent="0.25"/>
    <row r="146440" s="12" customFormat="1" x14ac:dyDescent="0.25"/>
    <row r="146441" s="12" customFormat="1" x14ac:dyDescent="0.25"/>
    <row r="146442" s="12" customFormat="1" x14ac:dyDescent="0.25"/>
    <row r="146443" s="12" customFormat="1" x14ac:dyDescent="0.25"/>
    <row r="146444" s="12" customFormat="1" x14ac:dyDescent="0.25"/>
    <row r="146445" s="12" customFormat="1" x14ac:dyDescent="0.25"/>
    <row r="146446" s="12" customFormat="1" x14ac:dyDescent="0.25"/>
    <row r="146447" s="12" customFormat="1" x14ac:dyDescent="0.25"/>
    <row r="146448" s="12" customFormat="1" x14ac:dyDescent="0.25"/>
    <row r="146449" s="12" customFormat="1" x14ac:dyDescent="0.25"/>
    <row r="146450" s="12" customFormat="1" x14ac:dyDescent="0.25"/>
    <row r="146451" s="12" customFormat="1" x14ac:dyDescent="0.25"/>
    <row r="146452" s="12" customFormat="1" x14ac:dyDescent="0.25"/>
    <row r="146453" s="12" customFormat="1" x14ac:dyDescent="0.25"/>
    <row r="146454" s="12" customFormat="1" x14ac:dyDescent="0.25"/>
    <row r="146455" s="12" customFormat="1" x14ac:dyDescent="0.25"/>
    <row r="146456" s="12" customFormat="1" x14ac:dyDescent="0.25"/>
    <row r="146457" s="12" customFormat="1" x14ac:dyDescent="0.25"/>
    <row r="146458" s="12" customFormat="1" x14ac:dyDescent="0.25"/>
    <row r="146459" s="12" customFormat="1" x14ac:dyDescent="0.25"/>
    <row r="146460" s="12" customFormat="1" x14ac:dyDescent="0.25"/>
    <row r="146461" s="12" customFormat="1" x14ac:dyDescent="0.25"/>
    <row r="146462" s="12" customFormat="1" x14ac:dyDescent="0.25"/>
    <row r="146463" s="12" customFormat="1" x14ac:dyDescent="0.25"/>
    <row r="146464" s="12" customFormat="1" x14ac:dyDescent="0.25"/>
    <row r="146465" s="12" customFormat="1" x14ac:dyDescent="0.25"/>
    <row r="146466" s="12" customFormat="1" x14ac:dyDescent="0.25"/>
    <row r="146467" s="12" customFormat="1" x14ac:dyDescent="0.25"/>
    <row r="146468" s="12" customFormat="1" x14ac:dyDescent="0.25"/>
    <row r="146469" s="12" customFormat="1" x14ac:dyDescent="0.25"/>
    <row r="146470" s="12" customFormat="1" x14ac:dyDescent="0.25"/>
    <row r="146471" s="12" customFormat="1" x14ac:dyDescent="0.25"/>
    <row r="146472" s="12" customFormat="1" x14ac:dyDescent="0.25"/>
    <row r="146473" s="12" customFormat="1" x14ac:dyDescent="0.25"/>
    <row r="146474" s="12" customFormat="1" x14ac:dyDescent="0.25"/>
    <row r="146475" s="12" customFormat="1" x14ac:dyDescent="0.25"/>
    <row r="146476" s="12" customFormat="1" x14ac:dyDescent="0.25"/>
    <row r="146477" s="12" customFormat="1" x14ac:dyDescent="0.25"/>
    <row r="146478" s="12" customFormat="1" x14ac:dyDescent="0.25"/>
    <row r="146479" s="12" customFormat="1" x14ac:dyDescent="0.25"/>
    <row r="146480" s="12" customFormat="1" x14ac:dyDescent="0.25"/>
    <row r="146481" s="12" customFormat="1" x14ac:dyDescent="0.25"/>
    <row r="146482" s="12" customFormat="1" x14ac:dyDescent="0.25"/>
    <row r="146483" s="12" customFormat="1" x14ac:dyDescent="0.25"/>
    <row r="146484" s="12" customFormat="1" x14ac:dyDescent="0.25"/>
    <row r="146485" s="12" customFormat="1" x14ac:dyDescent="0.25"/>
    <row r="146486" s="12" customFormat="1" x14ac:dyDescent="0.25"/>
    <row r="146487" s="12" customFormat="1" x14ac:dyDescent="0.25"/>
    <row r="146488" s="12" customFormat="1" x14ac:dyDescent="0.25"/>
    <row r="146489" s="12" customFormat="1" x14ac:dyDescent="0.25"/>
    <row r="146490" s="12" customFormat="1" x14ac:dyDescent="0.25"/>
    <row r="146491" s="12" customFormat="1" x14ac:dyDescent="0.25"/>
    <row r="146492" s="12" customFormat="1" x14ac:dyDescent="0.25"/>
    <row r="146493" s="12" customFormat="1" x14ac:dyDescent="0.25"/>
    <row r="146494" s="12" customFormat="1" x14ac:dyDescent="0.25"/>
    <row r="146495" s="12" customFormat="1" x14ac:dyDescent="0.25"/>
    <row r="146496" s="12" customFormat="1" x14ac:dyDescent="0.25"/>
    <row r="146497" s="12" customFormat="1" x14ac:dyDescent="0.25"/>
    <row r="146498" s="12" customFormat="1" x14ac:dyDescent="0.25"/>
    <row r="146499" s="12" customFormat="1" x14ac:dyDescent="0.25"/>
    <row r="146500" s="12" customFormat="1" x14ac:dyDescent="0.25"/>
    <row r="146501" s="12" customFormat="1" x14ac:dyDescent="0.25"/>
    <row r="146502" s="12" customFormat="1" x14ac:dyDescent="0.25"/>
    <row r="146503" s="12" customFormat="1" x14ac:dyDescent="0.25"/>
    <row r="146504" s="12" customFormat="1" x14ac:dyDescent="0.25"/>
    <row r="146505" s="12" customFormat="1" x14ac:dyDescent="0.25"/>
    <row r="146506" s="12" customFormat="1" x14ac:dyDescent="0.25"/>
    <row r="146507" s="12" customFormat="1" x14ac:dyDescent="0.25"/>
    <row r="146508" s="12" customFormat="1" x14ac:dyDescent="0.25"/>
    <row r="146509" s="12" customFormat="1" x14ac:dyDescent="0.25"/>
    <row r="146510" s="12" customFormat="1" x14ac:dyDescent="0.25"/>
    <row r="146511" s="12" customFormat="1" x14ac:dyDescent="0.25"/>
    <row r="146512" s="12" customFormat="1" x14ac:dyDescent="0.25"/>
    <row r="146513" s="12" customFormat="1" x14ac:dyDescent="0.25"/>
    <row r="146514" s="12" customFormat="1" x14ac:dyDescent="0.25"/>
    <row r="146515" s="12" customFormat="1" x14ac:dyDescent="0.25"/>
    <row r="146516" s="12" customFormat="1" x14ac:dyDescent="0.25"/>
    <row r="146517" s="12" customFormat="1" x14ac:dyDescent="0.25"/>
    <row r="146518" s="12" customFormat="1" x14ac:dyDescent="0.25"/>
    <row r="146519" s="12" customFormat="1" x14ac:dyDescent="0.25"/>
    <row r="146520" s="12" customFormat="1" x14ac:dyDescent="0.25"/>
    <row r="146521" s="12" customFormat="1" x14ac:dyDescent="0.25"/>
    <row r="146522" s="12" customFormat="1" x14ac:dyDescent="0.25"/>
    <row r="146523" s="12" customFormat="1" x14ac:dyDescent="0.25"/>
    <row r="146524" s="12" customFormat="1" x14ac:dyDescent="0.25"/>
    <row r="146525" s="12" customFormat="1" x14ac:dyDescent="0.25"/>
    <row r="146526" s="12" customFormat="1" x14ac:dyDescent="0.25"/>
    <row r="146527" s="12" customFormat="1" x14ac:dyDescent="0.25"/>
    <row r="146528" s="12" customFormat="1" x14ac:dyDescent="0.25"/>
    <row r="146529" s="12" customFormat="1" x14ac:dyDescent="0.25"/>
    <row r="146530" s="12" customFormat="1" x14ac:dyDescent="0.25"/>
    <row r="146531" s="12" customFormat="1" x14ac:dyDescent="0.25"/>
    <row r="146532" s="12" customFormat="1" x14ac:dyDescent="0.25"/>
    <row r="146533" s="12" customFormat="1" x14ac:dyDescent="0.25"/>
    <row r="146534" s="12" customFormat="1" x14ac:dyDescent="0.25"/>
    <row r="146535" s="12" customFormat="1" x14ac:dyDescent="0.25"/>
    <row r="146536" s="12" customFormat="1" x14ac:dyDescent="0.25"/>
    <row r="146537" s="12" customFormat="1" x14ac:dyDescent="0.25"/>
    <row r="146538" s="12" customFormat="1" x14ac:dyDescent="0.25"/>
    <row r="146539" s="12" customFormat="1" x14ac:dyDescent="0.25"/>
    <row r="146540" s="12" customFormat="1" x14ac:dyDescent="0.25"/>
    <row r="146541" s="12" customFormat="1" x14ac:dyDescent="0.25"/>
    <row r="146542" s="12" customFormat="1" x14ac:dyDescent="0.25"/>
    <row r="146543" s="12" customFormat="1" x14ac:dyDescent="0.25"/>
    <row r="146544" s="12" customFormat="1" x14ac:dyDescent="0.25"/>
    <row r="146545" s="12" customFormat="1" x14ac:dyDescent="0.25"/>
    <row r="146546" s="12" customFormat="1" x14ac:dyDescent="0.25"/>
    <row r="146547" s="12" customFormat="1" x14ac:dyDescent="0.25"/>
    <row r="146548" s="12" customFormat="1" x14ac:dyDescent="0.25"/>
    <row r="146549" s="12" customFormat="1" x14ac:dyDescent="0.25"/>
    <row r="146550" s="12" customFormat="1" x14ac:dyDescent="0.25"/>
    <row r="146551" s="12" customFormat="1" x14ac:dyDescent="0.25"/>
    <row r="146552" s="12" customFormat="1" x14ac:dyDescent="0.25"/>
    <row r="146553" s="12" customFormat="1" x14ac:dyDescent="0.25"/>
    <row r="146554" s="12" customFormat="1" x14ac:dyDescent="0.25"/>
    <row r="146555" s="12" customFormat="1" x14ac:dyDescent="0.25"/>
    <row r="146556" s="12" customFormat="1" x14ac:dyDescent="0.25"/>
    <row r="146557" s="12" customFormat="1" x14ac:dyDescent="0.25"/>
    <row r="146558" s="12" customFormat="1" x14ac:dyDescent="0.25"/>
    <row r="146559" s="12" customFormat="1" x14ac:dyDescent="0.25"/>
    <row r="146560" s="12" customFormat="1" x14ac:dyDescent="0.25"/>
    <row r="146561" s="12" customFormat="1" x14ac:dyDescent="0.25"/>
    <row r="146562" s="12" customFormat="1" x14ac:dyDescent="0.25"/>
    <row r="146563" s="12" customFormat="1" x14ac:dyDescent="0.25"/>
    <row r="146564" s="12" customFormat="1" x14ac:dyDescent="0.25"/>
    <row r="146565" s="12" customFormat="1" x14ac:dyDescent="0.25"/>
    <row r="146566" s="12" customFormat="1" x14ac:dyDescent="0.25"/>
    <row r="146567" s="12" customFormat="1" x14ac:dyDescent="0.25"/>
    <row r="146568" s="12" customFormat="1" x14ac:dyDescent="0.25"/>
    <row r="146569" s="12" customFormat="1" x14ac:dyDescent="0.25"/>
    <row r="146570" s="12" customFormat="1" x14ac:dyDescent="0.25"/>
    <row r="146571" s="12" customFormat="1" x14ac:dyDescent="0.25"/>
    <row r="146572" s="12" customFormat="1" x14ac:dyDescent="0.25"/>
    <row r="146573" s="12" customFormat="1" x14ac:dyDescent="0.25"/>
    <row r="146574" s="12" customFormat="1" x14ac:dyDescent="0.25"/>
    <row r="146575" s="12" customFormat="1" x14ac:dyDescent="0.25"/>
    <row r="146576" s="12" customFormat="1" x14ac:dyDescent="0.25"/>
    <row r="146577" s="12" customFormat="1" x14ac:dyDescent="0.25"/>
    <row r="146578" s="12" customFormat="1" x14ac:dyDescent="0.25"/>
    <row r="146579" s="12" customFormat="1" x14ac:dyDescent="0.25"/>
    <row r="146580" s="12" customFormat="1" x14ac:dyDescent="0.25"/>
    <row r="146581" s="12" customFormat="1" x14ac:dyDescent="0.25"/>
    <row r="146582" s="12" customFormat="1" x14ac:dyDescent="0.25"/>
    <row r="146583" s="12" customFormat="1" x14ac:dyDescent="0.25"/>
    <row r="146584" s="12" customFormat="1" x14ac:dyDescent="0.25"/>
    <row r="146585" s="12" customFormat="1" x14ac:dyDescent="0.25"/>
    <row r="146586" s="12" customFormat="1" x14ac:dyDescent="0.25"/>
    <row r="146587" s="12" customFormat="1" x14ac:dyDescent="0.25"/>
    <row r="146588" s="12" customFormat="1" x14ac:dyDescent="0.25"/>
    <row r="146589" s="12" customFormat="1" x14ac:dyDescent="0.25"/>
    <row r="146590" s="12" customFormat="1" x14ac:dyDescent="0.25"/>
    <row r="146591" s="12" customFormat="1" x14ac:dyDescent="0.25"/>
    <row r="146592" s="12" customFormat="1" x14ac:dyDescent="0.25"/>
    <row r="146593" s="12" customFormat="1" x14ac:dyDescent="0.25"/>
    <row r="146594" s="12" customFormat="1" x14ac:dyDescent="0.25"/>
    <row r="146595" s="12" customFormat="1" x14ac:dyDescent="0.25"/>
    <row r="146596" s="12" customFormat="1" x14ac:dyDescent="0.25"/>
    <row r="146597" s="12" customFormat="1" x14ac:dyDescent="0.25"/>
    <row r="146598" s="12" customFormat="1" x14ac:dyDescent="0.25"/>
    <row r="146599" s="12" customFormat="1" x14ac:dyDescent="0.25"/>
    <row r="146600" s="12" customFormat="1" x14ac:dyDescent="0.25"/>
    <row r="146601" s="12" customFormat="1" x14ac:dyDescent="0.25"/>
    <row r="146602" s="12" customFormat="1" x14ac:dyDescent="0.25"/>
    <row r="146603" s="12" customFormat="1" x14ac:dyDescent="0.25"/>
    <row r="146604" s="12" customFormat="1" x14ac:dyDescent="0.25"/>
    <row r="146605" s="12" customFormat="1" x14ac:dyDescent="0.25"/>
    <row r="146606" s="12" customFormat="1" x14ac:dyDescent="0.25"/>
    <row r="146607" s="12" customFormat="1" x14ac:dyDescent="0.25"/>
    <row r="146608" s="12" customFormat="1" x14ac:dyDescent="0.25"/>
    <row r="146609" s="12" customFormat="1" x14ac:dyDescent="0.25"/>
    <row r="146610" s="12" customFormat="1" x14ac:dyDescent="0.25"/>
    <row r="146611" s="12" customFormat="1" x14ac:dyDescent="0.25"/>
    <row r="146612" s="12" customFormat="1" x14ac:dyDescent="0.25"/>
    <row r="146613" s="12" customFormat="1" x14ac:dyDescent="0.25"/>
    <row r="146614" s="12" customFormat="1" x14ac:dyDescent="0.25"/>
    <row r="146615" s="12" customFormat="1" x14ac:dyDescent="0.25"/>
    <row r="146616" s="12" customFormat="1" x14ac:dyDescent="0.25"/>
    <row r="146617" s="12" customFormat="1" x14ac:dyDescent="0.25"/>
    <row r="146618" s="12" customFormat="1" x14ac:dyDescent="0.25"/>
    <row r="146619" s="12" customFormat="1" x14ac:dyDescent="0.25"/>
    <row r="146620" s="12" customFormat="1" x14ac:dyDescent="0.25"/>
    <row r="146621" s="12" customFormat="1" x14ac:dyDescent="0.25"/>
    <row r="146622" s="12" customFormat="1" x14ac:dyDescent="0.25"/>
    <row r="146623" s="12" customFormat="1" x14ac:dyDescent="0.25"/>
    <row r="146624" s="12" customFormat="1" x14ac:dyDescent="0.25"/>
    <row r="146625" s="12" customFormat="1" x14ac:dyDescent="0.25"/>
    <row r="146626" s="12" customFormat="1" x14ac:dyDescent="0.25"/>
    <row r="146627" s="12" customFormat="1" x14ac:dyDescent="0.25"/>
    <row r="146628" s="12" customFormat="1" x14ac:dyDescent="0.25"/>
    <row r="146629" s="12" customFormat="1" x14ac:dyDescent="0.25"/>
    <row r="146630" s="12" customFormat="1" x14ac:dyDescent="0.25"/>
    <row r="146631" s="12" customFormat="1" x14ac:dyDescent="0.25"/>
    <row r="146632" s="12" customFormat="1" x14ac:dyDescent="0.25"/>
    <row r="146633" s="12" customFormat="1" x14ac:dyDescent="0.25"/>
    <row r="146634" s="12" customFormat="1" x14ac:dyDescent="0.25"/>
    <row r="146635" s="12" customFormat="1" x14ac:dyDescent="0.25"/>
    <row r="146636" s="12" customFormat="1" x14ac:dyDescent="0.25"/>
    <row r="146637" s="12" customFormat="1" x14ac:dyDescent="0.25"/>
    <row r="146638" s="12" customFormat="1" x14ac:dyDescent="0.25"/>
    <row r="146639" s="12" customFormat="1" x14ac:dyDescent="0.25"/>
    <row r="146640" s="12" customFormat="1" x14ac:dyDescent="0.25"/>
    <row r="146641" s="12" customFormat="1" x14ac:dyDescent="0.25"/>
    <row r="146642" s="12" customFormat="1" x14ac:dyDescent="0.25"/>
    <row r="146643" s="12" customFormat="1" x14ac:dyDescent="0.25"/>
    <row r="146644" s="12" customFormat="1" x14ac:dyDescent="0.25"/>
    <row r="146645" s="12" customFormat="1" x14ac:dyDescent="0.25"/>
    <row r="146646" s="12" customFormat="1" x14ac:dyDescent="0.25"/>
    <row r="146647" s="12" customFormat="1" x14ac:dyDescent="0.25"/>
    <row r="146648" s="12" customFormat="1" x14ac:dyDescent="0.25"/>
    <row r="146649" s="12" customFormat="1" x14ac:dyDescent="0.25"/>
    <row r="146650" s="12" customFormat="1" x14ac:dyDescent="0.25"/>
    <row r="146651" s="12" customFormat="1" x14ac:dyDescent="0.25"/>
    <row r="146652" s="12" customFormat="1" x14ac:dyDescent="0.25"/>
    <row r="146653" s="12" customFormat="1" x14ac:dyDescent="0.25"/>
    <row r="146654" s="12" customFormat="1" x14ac:dyDescent="0.25"/>
    <row r="146655" s="12" customFormat="1" x14ac:dyDescent="0.25"/>
    <row r="146656" s="12" customFormat="1" x14ac:dyDescent="0.25"/>
    <row r="146657" s="12" customFormat="1" x14ac:dyDescent="0.25"/>
    <row r="146658" s="12" customFormat="1" x14ac:dyDescent="0.25"/>
    <row r="146659" s="12" customFormat="1" x14ac:dyDescent="0.25"/>
    <row r="146660" s="12" customFormat="1" x14ac:dyDescent="0.25"/>
    <row r="146661" s="12" customFormat="1" x14ac:dyDescent="0.25"/>
    <row r="146662" s="12" customFormat="1" x14ac:dyDescent="0.25"/>
    <row r="146663" s="12" customFormat="1" x14ac:dyDescent="0.25"/>
    <row r="146664" s="12" customFormat="1" x14ac:dyDescent="0.25"/>
    <row r="146665" s="12" customFormat="1" x14ac:dyDescent="0.25"/>
    <row r="146666" s="12" customFormat="1" x14ac:dyDescent="0.25"/>
    <row r="146667" s="12" customFormat="1" x14ac:dyDescent="0.25"/>
    <row r="146668" s="12" customFormat="1" x14ac:dyDescent="0.25"/>
    <row r="146669" s="12" customFormat="1" x14ac:dyDescent="0.25"/>
    <row r="146670" s="12" customFormat="1" x14ac:dyDescent="0.25"/>
    <row r="146671" s="12" customFormat="1" x14ac:dyDescent="0.25"/>
    <row r="146672" s="12" customFormat="1" x14ac:dyDescent="0.25"/>
    <row r="146673" s="12" customFormat="1" x14ac:dyDescent="0.25"/>
    <row r="146674" s="12" customFormat="1" x14ac:dyDescent="0.25"/>
    <row r="146675" s="12" customFormat="1" x14ac:dyDescent="0.25"/>
    <row r="146676" s="12" customFormat="1" x14ac:dyDescent="0.25"/>
    <row r="146677" s="12" customFormat="1" x14ac:dyDescent="0.25"/>
    <row r="146678" s="12" customFormat="1" x14ac:dyDescent="0.25"/>
    <row r="146679" s="12" customFormat="1" x14ac:dyDescent="0.25"/>
    <row r="146680" s="12" customFormat="1" x14ac:dyDescent="0.25"/>
    <row r="146681" s="12" customFormat="1" x14ac:dyDescent="0.25"/>
    <row r="146682" s="12" customFormat="1" x14ac:dyDescent="0.25"/>
    <row r="146683" s="12" customFormat="1" x14ac:dyDescent="0.25"/>
    <row r="146684" s="12" customFormat="1" x14ac:dyDescent="0.25"/>
    <row r="146685" s="12" customFormat="1" x14ac:dyDescent="0.25"/>
    <row r="146686" s="12" customFormat="1" x14ac:dyDescent="0.25"/>
    <row r="146687" s="12" customFormat="1" x14ac:dyDescent="0.25"/>
    <row r="146688" s="12" customFormat="1" x14ac:dyDescent="0.25"/>
    <row r="146689" s="12" customFormat="1" x14ac:dyDescent="0.25"/>
    <row r="146690" s="12" customFormat="1" x14ac:dyDescent="0.25"/>
    <row r="146691" s="12" customFormat="1" x14ac:dyDescent="0.25"/>
    <row r="146692" s="12" customFormat="1" x14ac:dyDescent="0.25"/>
    <row r="146693" s="12" customFormat="1" x14ac:dyDescent="0.25"/>
    <row r="146694" s="12" customFormat="1" x14ac:dyDescent="0.25"/>
    <row r="146695" s="12" customFormat="1" x14ac:dyDescent="0.25"/>
    <row r="146696" s="12" customFormat="1" x14ac:dyDescent="0.25"/>
    <row r="146697" s="12" customFormat="1" x14ac:dyDescent="0.25"/>
    <row r="146698" s="12" customFormat="1" x14ac:dyDescent="0.25"/>
    <row r="146699" s="12" customFormat="1" x14ac:dyDescent="0.25"/>
    <row r="146700" s="12" customFormat="1" x14ac:dyDescent="0.25"/>
    <row r="146701" s="12" customFormat="1" x14ac:dyDescent="0.25"/>
    <row r="146702" s="12" customFormat="1" x14ac:dyDescent="0.25"/>
    <row r="146703" s="12" customFormat="1" x14ac:dyDescent="0.25"/>
    <row r="146704" s="12" customFormat="1" x14ac:dyDescent="0.25"/>
    <row r="146705" s="12" customFormat="1" x14ac:dyDescent="0.25"/>
    <row r="146706" s="12" customFormat="1" x14ac:dyDescent="0.25"/>
    <row r="146707" s="12" customFormat="1" x14ac:dyDescent="0.25"/>
    <row r="146708" s="12" customFormat="1" x14ac:dyDescent="0.25"/>
    <row r="146709" s="12" customFormat="1" x14ac:dyDescent="0.25"/>
    <row r="146710" s="12" customFormat="1" x14ac:dyDescent="0.25"/>
    <row r="146711" s="12" customFormat="1" x14ac:dyDescent="0.25"/>
    <row r="146712" s="12" customFormat="1" x14ac:dyDescent="0.25"/>
    <row r="146713" s="12" customFormat="1" x14ac:dyDescent="0.25"/>
    <row r="146714" s="12" customFormat="1" x14ac:dyDescent="0.25"/>
    <row r="146715" s="12" customFormat="1" x14ac:dyDescent="0.25"/>
    <row r="146716" s="12" customFormat="1" x14ac:dyDescent="0.25"/>
    <row r="146717" s="12" customFormat="1" x14ac:dyDescent="0.25"/>
    <row r="146718" s="12" customFormat="1" x14ac:dyDescent="0.25"/>
    <row r="146719" s="12" customFormat="1" x14ac:dyDescent="0.25"/>
    <row r="146720" s="12" customFormat="1" x14ac:dyDescent="0.25"/>
    <row r="146721" s="12" customFormat="1" x14ac:dyDescent="0.25"/>
    <row r="146722" s="12" customFormat="1" x14ac:dyDescent="0.25"/>
    <row r="146723" s="12" customFormat="1" x14ac:dyDescent="0.25"/>
    <row r="146724" s="12" customFormat="1" x14ac:dyDescent="0.25"/>
    <row r="146725" s="12" customFormat="1" x14ac:dyDescent="0.25"/>
    <row r="146726" s="12" customFormat="1" x14ac:dyDescent="0.25"/>
    <row r="146727" s="12" customFormat="1" x14ac:dyDescent="0.25"/>
    <row r="146728" s="12" customFormat="1" x14ac:dyDescent="0.25"/>
    <row r="146729" s="12" customFormat="1" x14ac:dyDescent="0.25"/>
    <row r="146730" s="12" customFormat="1" x14ac:dyDescent="0.25"/>
    <row r="146731" s="12" customFormat="1" x14ac:dyDescent="0.25"/>
    <row r="146732" s="12" customFormat="1" x14ac:dyDescent="0.25"/>
    <row r="146733" s="12" customFormat="1" x14ac:dyDescent="0.25"/>
    <row r="146734" s="12" customFormat="1" x14ac:dyDescent="0.25"/>
    <row r="146735" s="12" customFormat="1" x14ac:dyDescent="0.25"/>
    <row r="146736" s="12" customFormat="1" x14ac:dyDescent="0.25"/>
    <row r="146737" s="12" customFormat="1" x14ac:dyDescent="0.25"/>
    <row r="146738" s="12" customFormat="1" x14ac:dyDescent="0.25"/>
    <row r="146739" s="12" customFormat="1" x14ac:dyDescent="0.25"/>
    <row r="146740" s="12" customFormat="1" x14ac:dyDescent="0.25"/>
    <row r="146741" s="12" customFormat="1" x14ac:dyDescent="0.25"/>
    <row r="146742" s="12" customFormat="1" x14ac:dyDescent="0.25"/>
    <row r="146743" s="12" customFormat="1" x14ac:dyDescent="0.25"/>
    <row r="146744" s="12" customFormat="1" x14ac:dyDescent="0.25"/>
    <row r="146745" s="12" customFormat="1" x14ac:dyDescent="0.25"/>
    <row r="146746" s="12" customFormat="1" x14ac:dyDescent="0.25"/>
    <row r="146747" s="12" customFormat="1" x14ac:dyDescent="0.25"/>
    <row r="146748" s="12" customFormat="1" x14ac:dyDescent="0.25"/>
    <row r="146749" s="12" customFormat="1" x14ac:dyDescent="0.25"/>
    <row r="146750" s="12" customFormat="1" x14ac:dyDescent="0.25"/>
    <row r="146751" s="12" customFormat="1" x14ac:dyDescent="0.25"/>
    <row r="146752" s="12" customFormat="1" x14ac:dyDescent="0.25"/>
    <row r="146753" s="12" customFormat="1" x14ac:dyDescent="0.25"/>
    <row r="146754" s="12" customFormat="1" x14ac:dyDescent="0.25"/>
    <row r="146755" s="12" customFormat="1" x14ac:dyDescent="0.25"/>
    <row r="146756" s="12" customFormat="1" x14ac:dyDescent="0.25"/>
    <row r="146757" s="12" customFormat="1" x14ac:dyDescent="0.25"/>
    <row r="146758" s="12" customFormat="1" x14ac:dyDescent="0.25"/>
    <row r="146759" s="12" customFormat="1" x14ac:dyDescent="0.25"/>
    <row r="146760" s="12" customFormat="1" x14ac:dyDescent="0.25"/>
    <row r="146761" s="12" customFormat="1" x14ac:dyDescent="0.25"/>
    <row r="146762" s="12" customFormat="1" x14ac:dyDescent="0.25"/>
    <row r="146763" s="12" customFormat="1" x14ac:dyDescent="0.25"/>
    <row r="146764" s="12" customFormat="1" x14ac:dyDescent="0.25"/>
    <row r="146765" s="12" customFormat="1" x14ac:dyDescent="0.25"/>
    <row r="146766" s="12" customFormat="1" x14ac:dyDescent="0.25"/>
    <row r="146767" s="12" customFormat="1" x14ac:dyDescent="0.25"/>
    <row r="146768" s="12" customFormat="1" x14ac:dyDescent="0.25"/>
    <row r="146769" s="12" customFormat="1" x14ac:dyDescent="0.25"/>
    <row r="146770" s="12" customFormat="1" x14ac:dyDescent="0.25"/>
    <row r="146771" s="12" customFormat="1" x14ac:dyDescent="0.25"/>
    <row r="146772" s="12" customFormat="1" x14ac:dyDescent="0.25"/>
    <row r="146773" s="12" customFormat="1" x14ac:dyDescent="0.25"/>
    <row r="146774" s="12" customFormat="1" x14ac:dyDescent="0.25"/>
    <row r="146775" s="12" customFormat="1" x14ac:dyDescent="0.25"/>
    <row r="146776" s="12" customFormat="1" x14ac:dyDescent="0.25"/>
    <row r="146777" s="12" customFormat="1" x14ac:dyDescent="0.25"/>
    <row r="146778" s="12" customFormat="1" x14ac:dyDescent="0.25"/>
    <row r="146779" s="12" customFormat="1" x14ac:dyDescent="0.25"/>
    <row r="146780" s="12" customFormat="1" x14ac:dyDescent="0.25"/>
    <row r="146781" s="12" customFormat="1" x14ac:dyDescent="0.25"/>
    <row r="146782" s="12" customFormat="1" x14ac:dyDescent="0.25"/>
    <row r="146783" s="12" customFormat="1" x14ac:dyDescent="0.25"/>
    <row r="146784" s="12" customFormat="1" x14ac:dyDescent="0.25"/>
    <row r="146785" s="12" customFormat="1" x14ac:dyDescent="0.25"/>
    <row r="146786" s="12" customFormat="1" x14ac:dyDescent="0.25"/>
    <row r="146787" s="12" customFormat="1" x14ac:dyDescent="0.25"/>
    <row r="146788" s="12" customFormat="1" x14ac:dyDescent="0.25"/>
    <row r="146789" s="12" customFormat="1" x14ac:dyDescent="0.25"/>
    <row r="146790" s="12" customFormat="1" x14ac:dyDescent="0.25"/>
    <row r="146791" s="12" customFormat="1" x14ac:dyDescent="0.25"/>
    <row r="146792" s="12" customFormat="1" x14ac:dyDescent="0.25"/>
    <row r="146793" s="12" customFormat="1" x14ac:dyDescent="0.25"/>
    <row r="146794" s="12" customFormat="1" x14ac:dyDescent="0.25"/>
    <row r="146795" s="12" customFormat="1" x14ac:dyDescent="0.25"/>
    <row r="146796" s="12" customFormat="1" x14ac:dyDescent="0.25"/>
    <row r="146797" s="12" customFormat="1" x14ac:dyDescent="0.25"/>
    <row r="146798" s="12" customFormat="1" x14ac:dyDescent="0.25"/>
    <row r="146799" s="12" customFormat="1" x14ac:dyDescent="0.25"/>
    <row r="146800" s="12" customFormat="1" x14ac:dyDescent="0.25"/>
    <row r="146801" s="12" customFormat="1" x14ac:dyDescent="0.25"/>
    <row r="146802" s="12" customFormat="1" x14ac:dyDescent="0.25"/>
    <row r="146803" s="12" customFormat="1" x14ac:dyDescent="0.25"/>
    <row r="146804" s="12" customFormat="1" x14ac:dyDescent="0.25"/>
    <row r="146805" s="12" customFormat="1" x14ac:dyDescent="0.25"/>
    <row r="146806" s="12" customFormat="1" x14ac:dyDescent="0.25"/>
    <row r="146807" s="12" customFormat="1" x14ac:dyDescent="0.25"/>
    <row r="146808" s="12" customFormat="1" x14ac:dyDescent="0.25"/>
    <row r="146809" s="12" customFormat="1" x14ac:dyDescent="0.25"/>
    <row r="146810" s="12" customFormat="1" x14ac:dyDescent="0.25"/>
    <row r="146811" s="12" customFormat="1" x14ac:dyDescent="0.25"/>
    <row r="146812" s="12" customFormat="1" x14ac:dyDescent="0.25"/>
    <row r="146813" s="12" customFormat="1" x14ac:dyDescent="0.25"/>
    <row r="146814" s="12" customFormat="1" x14ac:dyDescent="0.25"/>
    <row r="146815" s="12" customFormat="1" x14ac:dyDescent="0.25"/>
    <row r="146816" s="12" customFormat="1" x14ac:dyDescent="0.25"/>
    <row r="146817" s="12" customFormat="1" x14ac:dyDescent="0.25"/>
    <row r="146818" s="12" customFormat="1" x14ac:dyDescent="0.25"/>
    <row r="146819" s="12" customFormat="1" x14ac:dyDescent="0.25"/>
    <row r="146820" s="12" customFormat="1" x14ac:dyDescent="0.25"/>
    <row r="146821" s="12" customFormat="1" x14ac:dyDescent="0.25"/>
    <row r="146822" s="12" customFormat="1" x14ac:dyDescent="0.25"/>
    <row r="146823" s="12" customFormat="1" x14ac:dyDescent="0.25"/>
    <row r="146824" s="12" customFormat="1" x14ac:dyDescent="0.25"/>
    <row r="146825" s="12" customFormat="1" x14ac:dyDescent="0.25"/>
    <row r="146826" s="12" customFormat="1" x14ac:dyDescent="0.25"/>
    <row r="146827" s="12" customFormat="1" x14ac:dyDescent="0.25"/>
    <row r="146828" s="12" customFormat="1" x14ac:dyDescent="0.25"/>
    <row r="146829" s="12" customFormat="1" x14ac:dyDescent="0.25"/>
    <row r="146830" s="12" customFormat="1" x14ac:dyDescent="0.25"/>
    <row r="146831" s="12" customFormat="1" x14ac:dyDescent="0.25"/>
    <row r="146832" s="12" customFormat="1" x14ac:dyDescent="0.25"/>
    <row r="146833" s="12" customFormat="1" x14ac:dyDescent="0.25"/>
    <row r="146834" s="12" customFormat="1" x14ac:dyDescent="0.25"/>
    <row r="146835" s="12" customFormat="1" x14ac:dyDescent="0.25"/>
    <row r="146836" s="12" customFormat="1" x14ac:dyDescent="0.25"/>
    <row r="146837" s="12" customFormat="1" x14ac:dyDescent="0.25"/>
    <row r="146838" s="12" customFormat="1" x14ac:dyDescent="0.25"/>
    <row r="146839" s="12" customFormat="1" x14ac:dyDescent="0.25"/>
    <row r="146840" s="12" customFormat="1" x14ac:dyDescent="0.25"/>
    <row r="146841" s="12" customFormat="1" x14ac:dyDescent="0.25"/>
    <row r="146842" s="12" customFormat="1" x14ac:dyDescent="0.25"/>
    <row r="146843" s="12" customFormat="1" x14ac:dyDescent="0.25"/>
    <row r="146844" s="12" customFormat="1" x14ac:dyDescent="0.25"/>
    <row r="146845" s="12" customFormat="1" x14ac:dyDescent="0.25"/>
    <row r="146846" s="12" customFormat="1" x14ac:dyDescent="0.25"/>
    <row r="146847" s="12" customFormat="1" x14ac:dyDescent="0.25"/>
    <row r="146848" s="12" customFormat="1" x14ac:dyDescent="0.25"/>
    <row r="146849" s="12" customFormat="1" x14ac:dyDescent="0.25"/>
    <row r="146850" s="12" customFormat="1" x14ac:dyDescent="0.25"/>
    <row r="146851" s="12" customFormat="1" x14ac:dyDescent="0.25"/>
    <row r="146852" s="12" customFormat="1" x14ac:dyDescent="0.25"/>
    <row r="146853" s="12" customFormat="1" x14ac:dyDescent="0.25"/>
    <row r="146854" s="12" customFormat="1" x14ac:dyDescent="0.25"/>
    <row r="146855" s="12" customFormat="1" x14ac:dyDescent="0.25"/>
    <row r="146856" s="12" customFormat="1" x14ac:dyDescent="0.25"/>
    <row r="146857" s="12" customFormat="1" x14ac:dyDescent="0.25"/>
    <row r="146858" s="12" customFormat="1" x14ac:dyDescent="0.25"/>
    <row r="146859" s="12" customFormat="1" x14ac:dyDescent="0.25"/>
    <row r="146860" s="12" customFormat="1" x14ac:dyDescent="0.25"/>
    <row r="146861" s="12" customFormat="1" x14ac:dyDescent="0.25"/>
    <row r="146862" s="12" customFormat="1" x14ac:dyDescent="0.25"/>
    <row r="146863" s="12" customFormat="1" x14ac:dyDescent="0.25"/>
    <row r="146864" s="12" customFormat="1" x14ac:dyDescent="0.25"/>
    <row r="146865" s="12" customFormat="1" x14ac:dyDescent="0.25"/>
    <row r="146866" s="12" customFormat="1" x14ac:dyDescent="0.25"/>
    <row r="146867" s="12" customFormat="1" x14ac:dyDescent="0.25"/>
    <row r="146868" s="12" customFormat="1" x14ac:dyDescent="0.25"/>
    <row r="146869" s="12" customFormat="1" x14ac:dyDescent="0.25"/>
    <row r="146870" s="12" customFormat="1" x14ac:dyDescent="0.25"/>
    <row r="146871" s="12" customFormat="1" x14ac:dyDescent="0.25"/>
    <row r="146872" s="12" customFormat="1" x14ac:dyDescent="0.25"/>
    <row r="146873" s="12" customFormat="1" x14ac:dyDescent="0.25"/>
    <row r="146874" s="12" customFormat="1" x14ac:dyDescent="0.25"/>
    <row r="146875" s="12" customFormat="1" x14ac:dyDescent="0.25"/>
    <row r="146876" s="12" customFormat="1" x14ac:dyDescent="0.25"/>
    <row r="146877" s="12" customFormat="1" x14ac:dyDescent="0.25"/>
    <row r="146878" s="12" customFormat="1" x14ac:dyDescent="0.25"/>
    <row r="146879" s="12" customFormat="1" x14ac:dyDescent="0.25"/>
    <row r="146880" s="12" customFormat="1" x14ac:dyDescent="0.25"/>
    <row r="146881" s="12" customFormat="1" x14ac:dyDescent="0.25"/>
    <row r="146882" s="12" customFormat="1" x14ac:dyDescent="0.25"/>
    <row r="146883" s="12" customFormat="1" x14ac:dyDescent="0.25"/>
    <row r="146884" s="12" customFormat="1" x14ac:dyDescent="0.25"/>
    <row r="146885" s="12" customFormat="1" x14ac:dyDescent="0.25"/>
    <row r="146886" s="12" customFormat="1" x14ac:dyDescent="0.25"/>
    <row r="146887" s="12" customFormat="1" x14ac:dyDescent="0.25"/>
    <row r="146888" s="12" customFormat="1" x14ac:dyDescent="0.25"/>
    <row r="146889" s="12" customFormat="1" x14ac:dyDescent="0.25"/>
    <row r="146890" s="12" customFormat="1" x14ac:dyDescent="0.25"/>
    <row r="146891" s="12" customFormat="1" x14ac:dyDescent="0.25"/>
    <row r="146892" s="12" customFormat="1" x14ac:dyDescent="0.25"/>
    <row r="146893" s="12" customFormat="1" x14ac:dyDescent="0.25"/>
    <row r="146894" s="12" customFormat="1" x14ac:dyDescent="0.25"/>
    <row r="146895" s="12" customFormat="1" x14ac:dyDescent="0.25"/>
    <row r="146896" s="12" customFormat="1" x14ac:dyDescent="0.25"/>
    <row r="146897" s="12" customFormat="1" x14ac:dyDescent="0.25"/>
    <row r="146898" s="12" customFormat="1" x14ac:dyDescent="0.25"/>
    <row r="146899" s="12" customFormat="1" x14ac:dyDescent="0.25"/>
    <row r="146900" s="12" customFormat="1" x14ac:dyDescent="0.25"/>
    <row r="146901" s="12" customFormat="1" x14ac:dyDescent="0.25"/>
    <row r="146902" s="12" customFormat="1" x14ac:dyDescent="0.25"/>
    <row r="146903" s="12" customFormat="1" x14ac:dyDescent="0.25"/>
    <row r="146904" s="12" customFormat="1" x14ac:dyDescent="0.25"/>
    <row r="146905" s="12" customFormat="1" x14ac:dyDescent="0.25"/>
    <row r="146906" s="12" customFormat="1" x14ac:dyDescent="0.25"/>
    <row r="146907" s="12" customFormat="1" x14ac:dyDescent="0.25"/>
    <row r="146908" s="12" customFormat="1" x14ac:dyDescent="0.25"/>
    <row r="146909" s="12" customFormat="1" x14ac:dyDescent="0.25"/>
    <row r="146910" s="12" customFormat="1" x14ac:dyDescent="0.25"/>
    <row r="146911" s="12" customFormat="1" x14ac:dyDescent="0.25"/>
    <row r="146912" s="12" customFormat="1" x14ac:dyDescent="0.25"/>
    <row r="146913" s="12" customFormat="1" x14ac:dyDescent="0.25"/>
    <row r="146914" s="12" customFormat="1" x14ac:dyDescent="0.25"/>
    <row r="146915" s="12" customFormat="1" x14ac:dyDescent="0.25"/>
    <row r="146916" s="12" customFormat="1" x14ac:dyDescent="0.25"/>
    <row r="146917" s="12" customFormat="1" x14ac:dyDescent="0.25"/>
    <row r="146918" s="12" customFormat="1" x14ac:dyDescent="0.25"/>
    <row r="146919" s="12" customFormat="1" x14ac:dyDescent="0.25"/>
    <row r="146920" s="12" customFormat="1" x14ac:dyDescent="0.25"/>
    <row r="146921" s="12" customFormat="1" x14ac:dyDescent="0.25"/>
    <row r="146922" s="12" customFormat="1" x14ac:dyDescent="0.25"/>
    <row r="146923" s="12" customFormat="1" x14ac:dyDescent="0.25"/>
    <row r="146924" s="12" customFormat="1" x14ac:dyDescent="0.25"/>
    <row r="146925" s="12" customFormat="1" x14ac:dyDescent="0.25"/>
    <row r="146926" s="12" customFormat="1" x14ac:dyDescent="0.25"/>
    <row r="146927" s="12" customFormat="1" x14ac:dyDescent="0.25"/>
    <row r="146928" s="12" customFormat="1" x14ac:dyDescent="0.25"/>
    <row r="146929" s="12" customFormat="1" x14ac:dyDescent="0.25"/>
    <row r="146930" s="12" customFormat="1" x14ac:dyDescent="0.25"/>
    <row r="146931" s="12" customFormat="1" x14ac:dyDescent="0.25"/>
    <row r="146932" s="12" customFormat="1" x14ac:dyDescent="0.25"/>
    <row r="146933" s="12" customFormat="1" x14ac:dyDescent="0.25"/>
    <row r="146934" s="12" customFormat="1" x14ac:dyDescent="0.25"/>
    <row r="146935" s="12" customFormat="1" x14ac:dyDescent="0.25"/>
    <row r="146936" s="12" customFormat="1" x14ac:dyDescent="0.25"/>
    <row r="146937" s="12" customFormat="1" x14ac:dyDescent="0.25"/>
    <row r="146938" s="12" customFormat="1" x14ac:dyDescent="0.25"/>
    <row r="146939" s="12" customFormat="1" x14ac:dyDescent="0.25"/>
    <row r="146940" s="12" customFormat="1" x14ac:dyDescent="0.25"/>
    <row r="146941" s="12" customFormat="1" x14ac:dyDescent="0.25"/>
    <row r="146942" s="12" customFormat="1" x14ac:dyDescent="0.25"/>
    <row r="146943" s="12" customFormat="1" x14ac:dyDescent="0.25"/>
    <row r="146944" s="12" customFormat="1" x14ac:dyDescent="0.25"/>
    <row r="146945" s="12" customFormat="1" x14ac:dyDescent="0.25"/>
    <row r="146946" s="12" customFormat="1" x14ac:dyDescent="0.25"/>
    <row r="146947" s="12" customFormat="1" x14ac:dyDescent="0.25"/>
    <row r="146948" s="12" customFormat="1" x14ac:dyDescent="0.25"/>
    <row r="146949" s="12" customFormat="1" x14ac:dyDescent="0.25"/>
    <row r="146950" s="12" customFormat="1" x14ac:dyDescent="0.25"/>
    <row r="146951" s="12" customFormat="1" x14ac:dyDescent="0.25"/>
    <row r="146952" s="12" customFormat="1" x14ac:dyDescent="0.25"/>
    <row r="146953" s="12" customFormat="1" x14ac:dyDescent="0.25"/>
    <row r="146954" s="12" customFormat="1" x14ac:dyDescent="0.25"/>
    <row r="146955" s="12" customFormat="1" x14ac:dyDescent="0.25"/>
    <row r="146956" s="12" customFormat="1" x14ac:dyDescent="0.25"/>
    <row r="146957" s="12" customFormat="1" x14ac:dyDescent="0.25"/>
    <row r="146958" s="12" customFormat="1" x14ac:dyDescent="0.25"/>
    <row r="146959" s="12" customFormat="1" x14ac:dyDescent="0.25"/>
    <row r="146960" s="12" customFormat="1" x14ac:dyDescent="0.25"/>
    <row r="146961" s="12" customFormat="1" x14ac:dyDescent="0.25"/>
    <row r="146962" s="12" customFormat="1" x14ac:dyDescent="0.25"/>
    <row r="146963" s="12" customFormat="1" x14ac:dyDescent="0.25"/>
    <row r="146964" s="12" customFormat="1" x14ac:dyDescent="0.25"/>
    <row r="146965" s="12" customFormat="1" x14ac:dyDescent="0.25"/>
    <row r="146966" s="12" customFormat="1" x14ac:dyDescent="0.25"/>
    <row r="146967" s="12" customFormat="1" x14ac:dyDescent="0.25"/>
    <row r="146968" s="12" customFormat="1" x14ac:dyDescent="0.25"/>
    <row r="146969" s="12" customFormat="1" x14ac:dyDescent="0.25"/>
    <row r="146970" s="12" customFormat="1" x14ac:dyDescent="0.25"/>
    <row r="146971" s="12" customFormat="1" x14ac:dyDescent="0.25"/>
    <row r="146972" s="12" customFormat="1" x14ac:dyDescent="0.25"/>
    <row r="146973" s="12" customFormat="1" x14ac:dyDescent="0.25"/>
    <row r="146974" s="12" customFormat="1" x14ac:dyDescent="0.25"/>
    <row r="146975" s="12" customFormat="1" x14ac:dyDescent="0.25"/>
    <row r="146976" s="12" customFormat="1" x14ac:dyDescent="0.25"/>
    <row r="146977" s="12" customFormat="1" x14ac:dyDescent="0.25"/>
    <row r="146978" s="12" customFormat="1" x14ac:dyDescent="0.25"/>
    <row r="146979" s="12" customFormat="1" x14ac:dyDescent="0.25"/>
    <row r="146980" s="12" customFormat="1" x14ac:dyDescent="0.25"/>
    <row r="146981" s="12" customFormat="1" x14ac:dyDescent="0.25"/>
    <row r="146982" s="12" customFormat="1" x14ac:dyDescent="0.25"/>
    <row r="146983" s="12" customFormat="1" x14ac:dyDescent="0.25"/>
    <row r="146984" s="12" customFormat="1" x14ac:dyDescent="0.25"/>
    <row r="146985" s="12" customFormat="1" x14ac:dyDescent="0.25"/>
    <row r="146986" s="12" customFormat="1" x14ac:dyDescent="0.25"/>
    <row r="146987" s="12" customFormat="1" x14ac:dyDescent="0.25"/>
    <row r="146988" s="12" customFormat="1" x14ac:dyDescent="0.25"/>
    <row r="146989" s="12" customFormat="1" x14ac:dyDescent="0.25"/>
    <row r="146990" s="12" customFormat="1" x14ac:dyDescent="0.25"/>
    <row r="146991" s="12" customFormat="1" x14ac:dyDescent="0.25"/>
    <row r="146992" s="12" customFormat="1" x14ac:dyDescent="0.25"/>
    <row r="146993" s="12" customFormat="1" x14ac:dyDescent="0.25"/>
    <row r="146994" s="12" customFormat="1" x14ac:dyDescent="0.25"/>
    <row r="146995" s="12" customFormat="1" x14ac:dyDescent="0.25"/>
    <row r="146996" s="12" customFormat="1" x14ac:dyDescent="0.25"/>
    <row r="146997" s="12" customFormat="1" x14ac:dyDescent="0.25"/>
    <row r="146998" s="12" customFormat="1" x14ac:dyDescent="0.25"/>
    <row r="146999" s="12" customFormat="1" x14ac:dyDescent="0.25"/>
    <row r="147000" s="12" customFormat="1" x14ac:dyDescent="0.25"/>
    <row r="147001" s="12" customFormat="1" x14ac:dyDescent="0.25"/>
    <row r="147002" s="12" customFormat="1" x14ac:dyDescent="0.25"/>
    <row r="147003" s="12" customFormat="1" x14ac:dyDescent="0.25"/>
    <row r="147004" s="12" customFormat="1" x14ac:dyDescent="0.25"/>
    <row r="147005" s="12" customFormat="1" x14ac:dyDescent="0.25"/>
    <row r="147006" s="12" customFormat="1" x14ac:dyDescent="0.25"/>
    <row r="147007" s="12" customFormat="1" x14ac:dyDescent="0.25"/>
    <row r="147008" s="12" customFormat="1" x14ac:dyDescent="0.25"/>
    <row r="147009" s="12" customFormat="1" x14ac:dyDescent="0.25"/>
    <row r="147010" s="12" customFormat="1" x14ac:dyDescent="0.25"/>
    <row r="147011" s="12" customFormat="1" x14ac:dyDescent="0.25"/>
    <row r="147012" s="12" customFormat="1" x14ac:dyDescent="0.25"/>
    <row r="147013" s="12" customFormat="1" x14ac:dyDescent="0.25"/>
    <row r="147014" s="12" customFormat="1" x14ac:dyDescent="0.25"/>
    <row r="147015" s="12" customFormat="1" x14ac:dyDescent="0.25"/>
    <row r="147016" s="12" customFormat="1" x14ac:dyDescent="0.25"/>
    <row r="147017" s="12" customFormat="1" x14ac:dyDescent="0.25"/>
    <row r="147018" s="12" customFormat="1" x14ac:dyDescent="0.25"/>
    <row r="147019" s="12" customFormat="1" x14ac:dyDescent="0.25"/>
    <row r="147020" s="12" customFormat="1" x14ac:dyDescent="0.25"/>
    <row r="147021" s="12" customFormat="1" x14ac:dyDescent="0.25"/>
    <row r="147022" s="12" customFormat="1" x14ac:dyDescent="0.25"/>
    <row r="147023" s="12" customFormat="1" x14ac:dyDescent="0.25"/>
    <row r="147024" s="12" customFormat="1" x14ac:dyDescent="0.25"/>
    <row r="147025" s="12" customFormat="1" x14ac:dyDescent="0.25"/>
    <row r="147026" s="12" customFormat="1" x14ac:dyDescent="0.25"/>
    <row r="147027" s="12" customFormat="1" x14ac:dyDescent="0.25"/>
    <row r="147028" s="12" customFormat="1" x14ac:dyDescent="0.25"/>
    <row r="147029" s="12" customFormat="1" x14ac:dyDescent="0.25"/>
    <row r="147030" s="12" customFormat="1" x14ac:dyDescent="0.25"/>
    <row r="147031" s="12" customFormat="1" x14ac:dyDescent="0.25"/>
    <row r="147032" s="12" customFormat="1" x14ac:dyDescent="0.25"/>
    <row r="147033" s="12" customFormat="1" x14ac:dyDescent="0.25"/>
    <row r="147034" s="12" customFormat="1" x14ac:dyDescent="0.25"/>
    <row r="147035" s="12" customFormat="1" x14ac:dyDescent="0.25"/>
    <row r="147036" s="12" customFormat="1" x14ac:dyDescent="0.25"/>
    <row r="147037" s="12" customFormat="1" x14ac:dyDescent="0.25"/>
    <row r="147038" s="12" customFormat="1" x14ac:dyDescent="0.25"/>
    <row r="147039" s="12" customFormat="1" x14ac:dyDescent="0.25"/>
    <row r="147040" s="12" customFormat="1" x14ac:dyDescent="0.25"/>
    <row r="147041" s="12" customFormat="1" x14ac:dyDescent="0.25"/>
    <row r="147042" s="12" customFormat="1" x14ac:dyDescent="0.25"/>
    <row r="147043" s="12" customFormat="1" x14ac:dyDescent="0.25"/>
    <row r="147044" s="12" customFormat="1" x14ac:dyDescent="0.25"/>
    <row r="147045" s="12" customFormat="1" x14ac:dyDescent="0.25"/>
    <row r="147046" s="12" customFormat="1" x14ac:dyDescent="0.25"/>
    <row r="147047" s="12" customFormat="1" x14ac:dyDescent="0.25"/>
    <row r="147048" s="12" customFormat="1" x14ac:dyDescent="0.25"/>
    <row r="147049" s="12" customFormat="1" x14ac:dyDescent="0.25"/>
    <row r="147050" s="12" customFormat="1" x14ac:dyDescent="0.25"/>
    <row r="147051" s="12" customFormat="1" x14ac:dyDescent="0.25"/>
    <row r="147052" s="12" customFormat="1" x14ac:dyDescent="0.25"/>
    <row r="147053" s="12" customFormat="1" x14ac:dyDescent="0.25"/>
    <row r="147054" s="12" customFormat="1" x14ac:dyDescent="0.25"/>
    <row r="147055" s="12" customFormat="1" x14ac:dyDescent="0.25"/>
    <row r="147056" s="12" customFormat="1" x14ac:dyDescent="0.25"/>
    <row r="147057" s="12" customFormat="1" x14ac:dyDescent="0.25"/>
    <row r="147058" s="12" customFormat="1" x14ac:dyDescent="0.25"/>
    <row r="147059" s="12" customFormat="1" x14ac:dyDescent="0.25"/>
    <row r="147060" s="12" customFormat="1" x14ac:dyDescent="0.25"/>
    <row r="147061" s="12" customFormat="1" x14ac:dyDescent="0.25"/>
    <row r="147062" s="12" customFormat="1" x14ac:dyDescent="0.25"/>
    <row r="147063" s="12" customFormat="1" x14ac:dyDescent="0.25"/>
    <row r="147064" s="12" customFormat="1" x14ac:dyDescent="0.25"/>
    <row r="147065" s="12" customFormat="1" x14ac:dyDescent="0.25"/>
    <row r="147066" s="12" customFormat="1" x14ac:dyDescent="0.25"/>
    <row r="147067" s="12" customFormat="1" x14ac:dyDescent="0.25"/>
    <row r="147068" s="12" customFormat="1" x14ac:dyDescent="0.25"/>
    <row r="147069" s="12" customFormat="1" x14ac:dyDescent="0.25"/>
    <row r="147070" s="12" customFormat="1" x14ac:dyDescent="0.25"/>
    <row r="147071" s="12" customFormat="1" x14ac:dyDescent="0.25"/>
    <row r="147072" s="12" customFormat="1" x14ac:dyDescent="0.25"/>
    <row r="147073" s="12" customFormat="1" x14ac:dyDescent="0.25"/>
    <row r="147074" s="12" customFormat="1" x14ac:dyDescent="0.25"/>
    <row r="147075" s="12" customFormat="1" x14ac:dyDescent="0.25"/>
    <row r="147076" s="12" customFormat="1" x14ac:dyDescent="0.25"/>
    <row r="147077" s="12" customFormat="1" x14ac:dyDescent="0.25"/>
    <row r="147078" s="12" customFormat="1" x14ac:dyDescent="0.25"/>
    <row r="147079" s="12" customFormat="1" x14ac:dyDescent="0.25"/>
    <row r="147080" s="12" customFormat="1" x14ac:dyDescent="0.25"/>
    <row r="147081" s="12" customFormat="1" x14ac:dyDescent="0.25"/>
    <row r="147082" s="12" customFormat="1" x14ac:dyDescent="0.25"/>
    <row r="147083" s="12" customFormat="1" x14ac:dyDescent="0.25"/>
    <row r="147084" s="12" customFormat="1" x14ac:dyDescent="0.25"/>
    <row r="147085" s="12" customFormat="1" x14ac:dyDescent="0.25"/>
    <row r="147086" s="12" customFormat="1" x14ac:dyDescent="0.25"/>
    <row r="147087" s="12" customFormat="1" x14ac:dyDescent="0.25"/>
    <row r="147088" s="12" customFormat="1" x14ac:dyDescent="0.25"/>
    <row r="147089" s="12" customFormat="1" x14ac:dyDescent="0.25"/>
    <row r="147090" s="12" customFormat="1" x14ac:dyDescent="0.25"/>
    <row r="147091" s="12" customFormat="1" x14ac:dyDescent="0.25"/>
    <row r="147092" s="12" customFormat="1" x14ac:dyDescent="0.25"/>
    <row r="147093" s="12" customFormat="1" x14ac:dyDescent="0.25"/>
    <row r="147094" s="12" customFormat="1" x14ac:dyDescent="0.25"/>
    <row r="147095" s="12" customFormat="1" x14ac:dyDescent="0.25"/>
    <row r="147096" s="12" customFormat="1" x14ac:dyDescent="0.25"/>
    <row r="147097" s="12" customFormat="1" x14ac:dyDescent="0.25"/>
    <row r="147098" s="12" customFormat="1" x14ac:dyDescent="0.25"/>
    <row r="147099" s="12" customFormat="1" x14ac:dyDescent="0.25"/>
    <row r="147100" s="12" customFormat="1" x14ac:dyDescent="0.25"/>
    <row r="147101" s="12" customFormat="1" x14ac:dyDescent="0.25"/>
    <row r="147102" s="12" customFormat="1" x14ac:dyDescent="0.25"/>
    <row r="147103" s="12" customFormat="1" x14ac:dyDescent="0.25"/>
    <row r="147104" s="12" customFormat="1" x14ac:dyDescent="0.25"/>
    <row r="147105" s="12" customFormat="1" x14ac:dyDescent="0.25"/>
    <row r="147106" s="12" customFormat="1" x14ac:dyDescent="0.25"/>
    <row r="147107" s="12" customFormat="1" x14ac:dyDescent="0.25"/>
    <row r="147108" s="12" customFormat="1" x14ac:dyDescent="0.25"/>
    <row r="147109" s="12" customFormat="1" x14ac:dyDescent="0.25"/>
    <row r="147110" s="12" customFormat="1" x14ac:dyDescent="0.25"/>
    <row r="147111" s="12" customFormat="1" x14ac:dyDescent="0.25"/>
    <row r="147112" s="12" customFormat="1" x14ac:dyDescent="0.25"/>
    <row r="147113" s="12" customFormat="1" x14ac:dyDescent="0.25"/>
    <row r="147114" s="12" customFormat="1" x14ac:dyDescent="0.25"/>
    <row r="147115" s="12" customFormat="1" x14ac:dyDescent="0.25"/>
    <row r="147116" s="12" customFormat="1" x14ac:dyDescent="0.25"/>
    <row r="147117" s="12" customFormat="1" x14ac:dyDescent="0.25"/>
    <row r="147118" s="12" customFormat="1" x14ac:dyDescent="0.25"/>
    <row r="147119" s="12" customFormat="1" x14ac:dyDescent="0.25"/>
    <row r="147120" s="12" customFormat="1" x14ac:dyDescent="0.25"/>
    <row r="147121" s="12" customFormat="1" x14ac:dyDescent="0.25"/>
    <row r="147122" s="12" customFormat="1" x14ac:dyDescent="0.25"/>
    <row r="147123" s="12" customFormat="1" x14ac:dyDescent="0.25"/>
    <row r="147124" s="12" customFormat="1" x14ac:dyDescent="0.25"/>
    <row r="147125" s="12" customFormat="1" x14ac:dyDescent="0.25"/>
    <row r="147126" s="12" customFormat="1" x14ac:dyDescent="0.25"/>
    <row r="147127" s="12" customFormat="1" x14ac:dyDescent="0.25"/>
    <row r="147128" s="12" customFormat="1" x14ac:dyDescent="0.25"/>
    <row r="147129" s="12" customFormat="1" x14ac:dyDescent="0.25"/>
    <row r="147130" s="12" customFormat="1" x14ac:dyDescent="0.25"/>
    <row r="147131" s="12" customFormat="1" x14ac:dyDescent="0.25"/>
    <row r="147132" s="12" customFormat="1" x14ac:dyDescent="0.25"/>
    <row r="147133" s="12" customFormat="1" x14ac:dyDescent="0.25"/>
    <row r="147134" s="12" customFormat="1" x14ac:dyDescent="0.25"/>
    <row r="147135" s="12" customFormat="1" x14ac:dyDescent="0.25"/>
    <row r="147136" s="12" customFormat="1" x14ac:dyDescent="0.25"/>
    <row r="147137" s="12" customFormat="1" x14ac:dyDescent="0.25"/>
    <row r="147138" s="12" customFormat="1" x14ac:dyDescent="0.25"/>
    <row r="147139" s="12" customFormat="1" x14ac:dyDescent="0.25"/>
    <row r="147140" s="12" customFormat="1" x14ac:dyDescent="0.25"/>
    <row r="147141" s="12" customFormat="1" x14ac:dyDescent="0.25"/>
    <row r="147142" s="12" customFormat="1" x14ac:dyDescent="0.25"/>
    <row r="147143" s="12" customFormat="1" x14ac:dyDescent="0.25"/>
    <row r="147144" s="12" customFormat="1" x14ac:dyDescent="0.25"/>
    <row r="147145" s="12" customFormat="1" x14ac:dyDescent="0.25"/>
    <row r="147146" s="12" customFormat="1" x14ac:dyDescent="0.25"/>
    <row r="147147" s="12" customFormat="1" x14ac:dyDescent="0.25"/>
    <row r="147148" s="12" customFormat="1" x14ac:dyDescent="0.25"/>
    <row r="147149" s="12" customFormat="1" x14ac:dyDescent="0.25"/>
    <row r="147150" s="12" customFormat="1" x14ac:dyDescent="0.25"/>
    <row r="147151" s="12" customFormat="1" x14ac:dyDescent="0.25"/>
    <row r="147152" s="12" customFormat="1" x14ac:dyDescent="0.25"/>
    <row r="147153" s="12" customFormat="1" x14ac:dyDescent="0.25"/>
    <row r="147154" s="12" customFormat="1" x14ac:dyDescent="0.25"/>
    <row r="147155" s="12" customFormat="1" x14ac:dyDescent="0.25"/>
    <row r="147156" s="12" customFormat="1" x14ac:dyDescent="0.25"/>
    <row r="147157" s="12" customFormat="1" x14ac:dyDescent="0.25"/>
    <row r="147158" s="12" customFormat="1" x14ac:dyDescent="0.25"/>
    <row r="147159" s="12" customFormat="1" x14ac:dyDescent="0.25"/>
    <row r="147160" s="12" customFormat="1" x14ac:dyDescent="0.25"/>
    <row r="147161" s="12" customFormat="1" x14ac:dyDescent="0.25"/>
    <row r="147162" s="12" customFormat="1" x14ac:dyDescent="0.25"/>
    <row r="147163" s="12" customFormat="1" x14ac:dyDescent="0.25"/>
    <row r="147164" s="12" customFormat="1" x14ac:dyDescent="0.25"/>
    <row r="147165" s="12" customFormat="1" x14ac:dyDescent="0.25"/>
    <row r="147166" s="12" customFormat="1" x14ac:dyDescent="0.25"/>
    <row r="147167" s="12" customFormat="1" x14ac:dyDescent="0.25"/>
    <row r="147168" s="12" customFormat="1" x14ac:dyDescent="0.25"/>
    <row r="147169" s="12" customFormat="1" x14ac:dyDescent="0.25"/>
    <row r="147170" s="12" customFormat="1" x14ac:dyDescent="0.25"/>
    <row r="147171" s="12" customFormat="1" x14ac:dyDescent="0.25"/>
    <row r="147172" s="12" customFormat="1" x14ac:dyDescent="0.25"/>
    <row r="147173" s="12" customFormat="1" x14ac:dyDescent="0.25"/>
    <row r="147174" s="12" customFormat="1" x14ac:dyDescent="0.25"/>
    <row r="147175" s="12" customFormat="1" x14ac:dyDescent="0.25"/>
    <row r="147176" s="12" customFormat="1" x14ac:dyDescent="0.25"/>
    <row r="147177" s="12" customFormat="1" x14ac:dyDescent="0.25"/>
    <row r="147178" s="12" customFormat="1" x14ac:dyDescent="0.25"/>
    <row r="147179" s="12" customFormat="1" x14ac:dyDescent="0.25"/>
    <row r="147180" s="12" customFormat="1" x14ac:dyDescent="0.25"/>
    <row r="147181" s="12" customFormat="1" x14ac:dyDescent="0.25"/>
    <row r="147182" s="12" customFormat="1" x14ac:dyDescent="0.25"/>
    <row r="147183" s="12" customFormat="1" x14ac:dyDescent="0.25"/>
    <row r="147184" s="12" customFormat="1" x14ac:dyDescent="0.25"/>
    <row r="147185" s="12" customFormat="1" x14ac:dyDescent="0.25"/>
    <row r="147186" s="12" customFormat="1" x14ac:dyDescent="0.25"/>
    <row r="147187" s="12" customFormat="1" x14ac:dyDescent="0.25"/>
    <row r="147188" s="12" customFormat="1" x14ac:dyDescent="0.25"/>
    <row r="147189" s="12" customFormat="1" x14ac:dyDescent="0.25"/>
    <row r="147190" s="12" customFormat="1" x14ac:dyDescent="0.25"/>
    <row r="147191" s="12" customFormat="1" x14ac:dyDescent="0.25"/>
    <row r="147192" s="12" customFormat="1" x14ac:dyDescent="0.25"/>
    <row r="147193" s="12" customFormat="1" x14ac:dyDescent="0.25"/>
    <row r="147194" s="12" customFormat="1" x14ac:dyDescent="0.25"/>
    <row r="147195" s="12" customFormat="1" x14ac:dyDescent="0.25"/>
    <row r="147196" s="12" customFormat="1" x14ac:dyDescent="0.25"/>
    <row r="147197" s="12" customFormat="1" x14ac:dyDescent="0.25"/>
    <row r="147198" s="12" customFormat="1" x14ac:dyDescent="0.25"/>
    <row r="147199" s="12" customFormat="1" x14ac:dyDescent="0.25"/>
    <row r="147200" s="12" customFormat="1" x14ac:dyDescent="0.25"/>
    <row r="147201" s="12" customFormat="1" x14ac:dyDescent="0.25"/>
    <row r="147202" s="12" customFormat="1" x14ac:dyDescent="0.25"/>
    <row r="147203" s="12" customFormat="1" x14ac:dyDescent="0.25"/>
    <row r="147204" s="12" customFormat="1" x14ac:dyDescent="0.25"/>
    <row r="147205" s="12" customFormat="1" x14ac:dyDescent="0.25"/>
    <row r="147206" s="12" customFormat="1" x14ac:dyDescent="0.25"/>
    <row r="147207" s="12" customFormat="1" x14ac:dyDescent="0.25"/>
    <row r="147208" s="12" customFormat="1" x14ac:dyDescent="0.25"/>
    <row r="147209" s="12" customFormat="1" x14ac:dyDescent="0.25"/>
    <row r="147210" s="12" customFormat="1" x14ac:dyDescent="0.25"/>
    <row r="147211" s="12" customFormat="1" x14ac:dyDescent="0.25"/>
    <row r="147212" s="12" customFormat="1" x14ac:dyDescent="0.25"/>
    <row r="147213" s="12" customFormat="1" x14ac:dyDescent="0.25"/>
    <row r="147214" s="12" customFormat="1" x14ac:dyDescent="0.25"/>
    <row r="147215" s="12" customFormat="1" x14ac:dyDescent="0.25"/>
    <row r="147216" s="12" customFormat="1" x14ac:dyDescent="0.25"/>
    <row r="147217" s="12" customFormat="1" x14ac:dyDescent="0.25"/>
    <row r="147218" s="12" customFormat="1" x14ac:dyDescent="0.25"/>
    <row r="147219" s="12" customFormat="1" x14ac:dyDescent="0.25"/>
    <row r="147220" s="12" customFormat="1" x14ac:dyDescent="0.25"/>
    <row r="147221" s="12" customFormat="1" x14ac:dyDescent="0.25"/>
    <row r="147222" s="12" customFormat="1" x14ac:dyDescent="0.25"/>
    <row r="147223" s="12" customFormat="1" x14ac:dyDescent="0.25"/>
    <row r="147224" s="12" customFormat="1" x14ac:dyDescent="0.25"/>
    <row r="147225" s="12" customFormat="1" x14ac:dyDescent="0.25"/>
    <row r="147226" s="12" customFormat="1" x14ac:dyDescent="0.25"/>
    <row r="147227" s="12" customFormat="1" x14ac:dyDescent="0.25"/>
    <row r="147228" s="12" customFormat="1" x14ac:dyDescent="0.25"/>
    <row r="147229" s="12" customFormat="1" x14ac:dyDescent="0.25"/>
    <row r="147230" s="12" customFormat="1" x14ac:dyDescent="0.25"/>
    <row r="147231" s="12" customFormat="1" x14ac:dyDescent="0.25"/>
    <row r="147232" s="12" customFormat="1" x14ac:dyDescent="0.25"/>
    <row r="147233" s="12" customFormat="1" x14ac:dyDescent="0.25"/>
    <row r="147234" s="12" customFormat="1" x14ac:dyDescent="0.25"/>
    <row r="147235" s="12" customFormat="1" x14ac:dyDescent="0.25"/>
    <row r="147236" s="12" customFormat="1" x14ac:dyDescent="0.25"/>
    <row r="147237" s="12" customFormat="1" x14ac:dyDescent="0.25"/>
    <row r="147238" s="12" customFormat="1" x14ac:dyDescent="0.25"/>
    <row r="147239" s="12" customFormat="1" x14ac:dyDescent="0.25"/>
    <row r="147240" s="12" customFormat="1" x14ac:dyDescent="0.25"/>
    <row r="147241" s="12" customFormat="1" x14ac:dyDescent="0.25"/>
    <row r="147242" s="12" customFormat="1" x14ac:dyDescent="0.25"/>
    <row r="147243" s="12" customFormat="1" x14ac:dyDescent="0.25"/>
    <row r="147244" s="12" customFormat="1" x14ac:dyDescent="0.25"/>
    <row r="147245" s="12" customFormat="1" x14ac:dyDescent="0.25"/>
    <row r="147246" s="12" customFormat="1" x14ac:dyDescent="0.25"/>
    <row r="147247" s="12" customFormat="1" x14ac:dyDescent="0.25"/>
    <row r="147248" s="12" customFormat="1" x14ac:dyDescent="0.25"/>
    <row r="147249" s="12" customFormat="1" x14ac:dyDescent="0.25"/>
    <row r="147250" s="12" customFormat="1" x14ac:dyDescent="0.25"/>
    <row r="147251" s="12" customFormat="1" x14ac:dyDescent="0.25"/>
    <row r="147252" s="12" customFormat="1" x14ac:dyDescent="0.25"/>
    <row r="147253" s="12" customFormat="1" x14ac:dyDescent="0.25"/>
    <row r="147254" s="12" customFormat="1" x14ac:dyDescent="0.25"/>
    <row r="147255" s="12" customFormat="1" x14ac:dyDescent="0.25"/>
    <row r="147256" s="12" customFormat="1" x14ac:dyDescent="0.25"/>
    <row r="147257" s="12" customFormat="1" x14ac:dyDescent="0.25"/>
    <row r="147258" s="12" customFormat="1" x14ac:dyDescent="0.25"/>
    <row r="147259" s="12" customFormat="1" x14ac:dyDescent="0.25"/>
    <row r="147260" s="12" customFormat="1" x14ac:dyDescent="0.25"/>
    <row r="147261" s="12" customFormat="1" x14ac:dyDescent="0.25"/>
    <row r="147262" s="12" customFormat="1" x14ac:dyDescent="0.25"/>
    <row r="147263" s="12" customFormat="1" x14ac:dyDescent="0.25"/>
    <row r="147264" s="12" customFormat="1" x14ac:dyDescent="0.25"/>
    <row r="147265" s="12" customFormat="1" x14ac:dyDescent="0.25"/>
    <row r="147266" s="12" customFormat="1" x14ac:dyDescent="0.25"/>
    <row r="147267" s="12" customFormat="1" x14ac:dyDescent="0.25"/>
    <row r="147268" s="12" customFormat="1" x14ac:dyDescent="0.25"/>
    <row r="147269" s="12" customFormat="1" x14ac:dyDescent="0.25"/>
    <row r="147270" s="12" customFormat="1" x14ac:dyDescent="0.25"/>
    <row r="147271" s="12" customFormat="1" x14ac:dyDescent="0.25"/>
    <row r="147272" s="12" customFormat="1" x14ac:dyDescent="0.25"/>
    <row r="147273" s="12" customFormat="1" x14ac:dyDescent="0.25"/>
    <row r="147274" s="12" customFormat="1" x14ac:dyDescent="0.25"/>
    <row r="147275" s="12" customFormat="1" x14ac:dyDescent="0.25"/>
    <row r="147276" s="12" customFormat="1" x14ac:dyDescent="0.25"/>
    <row r="147277" s="12" customFormat="1" x14ac:dyDescent="0.25"/>
    <row r="147278" s="12" customFormat="1" x14ac:dyDescent="0.25"/>
    <row r="147279" s="12" customFormat="1" x14ac:dyDescent="0.25"/>
    <row r="147280" s="12" customFormat="1" x14ac:dyDescent="0.25"/>
    <row r="147281" s="12" customFormat="1" x14ac:dyDescent="0.25"/>
    <row r="147282" s="12" customFormat="1" x14ac:dyDescent="0.25"/>
    <row r="147283" s="12" customFormat="1" x14ac:dyDescent="0.25"/>
    <row r="147284" s="12" customFormat="1" x14ac:dyDescent="0.25"/>
    <row r="147285" s="12" customFormat="1" x14ac:dyDescent="0.25"/>
    <row r="147286" s="12" customFormat="1" x14ac:dyDescent="0.25"/>
    <row r="147287" s="12" customFormat="1" x14ac:dyDescent="0.25"/>
    <row r="147288" s="12" customFormat="1" x14ac:dyDescent="0.25"/>
    <row r="147289" s="12" customFormat="1" x14ac:dyDescent="0.25"/>
    <row r="147290" s="12" customFormat="1" x14ac:dyDescent="0.25"/>
    <row r="147291" s="12" customFormat="1" x14ac:dyDescent="0.25"/>
    <row r="147292" s="12" customFormat="1" x14ac:dyDescent="0.25"/>
    <row r="147293" s="12" customFormat="1" x14ac:dyDescent="0.25"/>
    <row r="147294" s="12" customFormat="1" x14ac:dyDescent="0.25"/>
    <row r="147295" s="12" customFormat="1" x14ac:dyDescent="0.25"/>
    <row r="147296" s="12" customFormat="1" x14ac:dyDescent="0.25"/>
    <row r="147297" s="12" customFormat="1" x14ac:dyDescent="0.25"/>
    <row r="147298" s="12" customFormat="1" x14ac:dyDescent="0.25"/>
    <row r="147299" s="12" customFormat="1" x14ac:dyDescent="0.25"/>
    <row r="147300" s="12" customFormat="1" x14ac:dyDescent="0.25"/>
    <row r="147301" s="12" customFormat="1" x14ac:dyDescent="0.25"/>
    <row r="147302" s="12" customFormat="1" x14ac:dyDescent="0.25"/>
    <row r="147303" s="12" customFormat="1" x14ac:dyDescent="0.25"/>
    <row r="147304" s="12" customFormat="1" x14ac:dyDescent="0.25"/>
    <row r="147305" s="12" customFormat="1" x14ac:dyDescent="0.25"/>
    <row r="147306" s="12" customFormat="1" x14ac:dyDescent="0.25"/>
    <row r="147307" s="12" customFormat="1" x14ac:dyDescent="0.25"/>
    <row r="147308" s="12" customFormat="1" x14ac:dyDescent="0.25"/>
    <row r="147309" s="12" customFormat="1" x14ac:dyDescent="0.25"/>
    <row r="147310" s="12" customFormat="1" x14ac:dyDescent="0.25"/>
    <row r="147311" s="12" customFormat="1" x14ac:dyDescent="0.25"/>
    <row r="147312" s="12" customFormat="1" x14ac:dyDescent="0.25"/>
    <row r="147313" s="12" customFormat="1" x14ac:dyDescent="0.25"/>
    <row r="147314" s="12" customFormat="1" x14ac:dyDescent="0.25"/>
    <row r="147315" s="12" customFormat="1" x14ac:dyDescent="0.25"/>
    <row r="147316" s="12" customFormat="1" x14ac:dyDescent="0.25"/>
    <row r="147317" s="12" customFormat="1" x14ac:dyDescent="0.25"/>
    <row r="147318" s="12" customFormat="1" x14ac:dyDescent="0.25"/>
    <row r="147319" s="12" customFormat="1" x14ac:dyDescent="0.25"/>
    <row r="147320" s="12" customFormat="1" x14ac:dyDescent="0.25"/>
    <row r="147321" s="12" customFormat="1" x14ac:dyDescent="0.25"/>
    <row r="147322" s="12" customFormat="1" x14ac:dyDescent="0.25"/>
    <row r="147323" s="12" customFormat="1" x14ac:dyDescent="0.25"/>
    <row r="147324" s="12" customFormat="1" x14ac:dyDescent="0.25"/>
    <row r="147325" s="12" customFormat="1" x14ac:dyDescent="0.25"/>
    <row r="147326" s="12" customFormat="1" x14ac:dyDescent="0.25"/>
    <row r="147327" s="12" customFormat="1" x14ac:dyDescent="0.25"/>
    <row r="147328" s="12" customFormat="1" x14ac:dyDescent="0.25"/>
    <row r="147329" s="12" customFormat="1" x14ac:dyDescent="0.25"/>
    <row r="147330" s="12" customFormat="1" x14ac:dyDescent="0.25"/>
    <row r="147331" s="12" customFormat="1" x14ac:dyDescent="0.25"/>
    <row r="147332" s="12" customFormat="1" x14ac:dyDescent="0.25"/>
    <row r="147333" s="12" customFormat="1" x14ac:dyDescent="0.25"/>
    <row r="147334" s="12" customFormat="1" x14ac:dyDescent="0.25"/>
    <row r="147335" s="12" customFormat="1" x14ac:dyDescent="0.25"/>
    <row r="147336" s="12" customFormat="1" x14ac:dyDescent="0.25"/>
    <row r="147337" s="12" customFormat="1" x14ac:dyDescent="0.25"/>
    <row r="147338" s="12" customFormat="1" x14ac:dyDescent="0.25"/>
    <row r="147339" s="12" customFormat="1" x14ac:dyDescent="0.25"/>
    <row r="147340" s="12" customFormat="1" x14ac:dyDescent="0.25"/>
    <row r="147341" s="12" customFormat="1" x14ac:dyDescent="0.25"/>
    <row r="147342" s="12" customFormat="1" x14ac:dyDescent="0.25"/>
    <row r="147343" s="12" customFormat="1" x14ac:dyDescent="0.25"/>
    <row r="147344" s="12" customFormat="1" x14ac:dyDescent="0.25"/>
    <row r="147345" s="12" customFormat="1" x14ac:dyDescent="0.25"/>
    <row r="147346" s="12" customFormat="1" x14ac:dyDescent="0.25"/>
    <row r="147347" s="12" customFormat="1" x14ac:dyDescent="0.25"/>
    <row r="147348" s="12" customFormat="1" x14ac:dyDescent="0.25"/>
    <row r="147349" s="12" customFormat="1" x14ac:dyDescent="0.25"/>
    <row r="147350" s="12" customFormat="1" x14ac:dyDescent="0.25"/>
    <row r="147351" s="12" customFormat="1" x14ac:dyDescent="0.25"/>
    <row r="147352" s="12" customFormat="1" x14ac:dyDescent="0.25"/>
    <row r="147353" s="12" customFormat="1" x14ac:dyDescent="0.25"/>
    <row r="147354" s="12" customFormat="1" x14ac:dyDescent="0.25"/>
    <row r="147355" s="12" customFormat="1" x14ac:dyDescent="0.25"/>
    <row r="147356" s="12" customFormat="1" x14ac:dyDescent="0.25"/>
    <row r="147357" s="12" customFormat="1" x14ac:dyDescent="0.25"/>
    <row r="147358" s="12" customFormat="1" x14ac:dyDescent="0.25"/>
    <row r="147359" s="12" customFormat="1" x14ac:dyDescent="0.25"/>
    <row r="147360" s="12" customFormat="1" x14ac:dyDescent="0.25"/>
    <row r="147361" s="12" customFormat="1" x14ac:dyDescent="0.25"/>
    <row r="147362" s="12" customFormat="1" x14ac:dyDescent="0.25"/>
    <row r="147363" s="12" customFormat="1" x14ac:dyDescent="0.25"/>
    <row r="147364" s="12" customFormat="1" x14ac:dyDescent="0.25"/>
    <row r="147365" s="12" customFormat="1" x14ac:dyDescent="0.25"/>
    <row r="147366" s="12" customFormat="1" x14ac:dyDescent="0.25"/>
    <row r="147367" s="12" customFormat="1" x14ac:dyDescent="0.25"/>
    <row r="147368" s="12" customFormat="1" x14ac:dyDescent="0.25"/>
    <row r="147369" s="12" customFormat="1" x14ac:dyDescent="0.25"/>
    <row r="147370" s="12" customFormat="1" x14ac:dyDescent="0.25"/>
    <row r="147371" s="12" customFormat="1" x14ac:dyDescent="0.25"/>
    <row r="147372" s="12" customFormat="1" x14ac:dyDescent="0.25"/>
    <row r="147373" s="12" customFormat="1" x14ac:dyDescent="0.25"/>
    <row r="147374" s="12" customFormat="1" x14ac:dyDescent="0.25"/>
    <row r="147375" s="12" customFormat="1" x14ac:dyDescent="0.25"/>
    <row r="147376" s="12" customFormat="1" x14ac:dyDescent="0.25"/>
    <row r="147377" s="12" customFormat="1" x14ac:dyDescent="0.25"/>
    <row r="147378" s="12" customFormat="1" x14ac:dyDescent="0.25"/>
    <row r="147379" s="12" customFormat="1" x14ac:dyDescent="0.25"/>
    <row r="147380" s="12" customFormat="1" x14ac:dyDescent="0.25"/>
    <row r="147381" s="12" customFormat="1" x14ac:dyDescent="0.25"/>
    <row r="147382" s="12" customFormat="1" x14ac:dyDescent="0.25"/>
    <row r="147383" s="12" customFormat="1" x14ac:dyDescent="0.25"/>
    <row r="147384" s="12" customFormat="1" x14ac:dyDescent="0.25"/>
    <row r="147385" s="12" customFormat="1" x14ac:dyDescent="0.25"/>
    <row r="147386" s="12" customFormat="1" x14ac:dyDescent="0.25"/>
    <row r="147387" s="12" customFormat="1" x14ac:dyDescent="0.25"/>
    <row r="147388" s="12" customFormat="1" x14ac:dyDescent="0.25"/>
    <row r="147389" s="12" customFormat="1" x14ac:dyDescent="0.25"/>
    <row r="147390" s="12" customFormat="1" x14ac:dyDescent="0.25"/>
    <row r="147391" s="12" customFormat="1" x14ac:dyDescent="0.25"/>
    <row r="147392" s="12" customFormat="1" x14ac:dyDescent="0.25"/>
    <row r="147393" s="12" customFormat="1" x14ac:dyDescent="0.25"/>
    <row r="147394" s="12" customFormat="1" x14ac:dyDescent="0.25"/>
    <row r="147395" s="12" customFormat="1" x14ac:dyDescent="0.25"/>
    <row r="147396" s="12" customFormat="1" x14ac:dyDescent="0.25"/>
    <row r="147397" s="12" customFormat="1" x14ac:dyDescent="0.25"/>
    <row r="147398" s="12" customFormat="1" x14ac:dyDescent="0.25"/>
    <row r="147399" s="12" customFormat="1" x14ac:dyDescent="0.25"/>
    <row r="147400" s="12" customFormat="1" x14ac:dyDescent="0.25"/>
    <row r="147401" s="12" customFormat="1" x14ac:dyDescent="0.25"/>
    <row r="147402" s="12" customFormat="1" x14ac:dyDescent="0.25"/>
    <row r="147403" s="12" customFormat="1" x14ac:dyDescent="0.25"/>
    <row r="147404" s="12" customFormat="1" x14ac:dyDescent="0.25"/>
    <row r="147405" s="12" customFormat="1" x14ac:dyDescent="0.25"/>
    <row r="147406" s="12" customFormat="1" x14ac:dyDescent="0.25"/>
    <row r="147407" s="12" customFormat="1" x14ac:dyDescent="0.25"/>
    <row r="147408" s="12" customFormat="1" x14ac:dyDescent="0.25"/>
    <row r="147409" s="12" customFormat="1" x14ac:dyDescent="0.25"/>
    <row r="147410" s="12" customFormat="1" x14ac:dyDescent="0.25"/>
    <row r="147411" s="12" customFormat="1" x14ac:dyDescent="0.25"/>
    <row r="147412" s="12" customFormat="1" x14ac:dyDescent="0.25"/>
    <row r="147413" s="12" customFormat="1" x14ac:dyDescent="0.25"/>
    <row r="147414" s="12" customFormat="1" x14ac:dyDescent="0.25"/>
    <row r="147415" s="12" customFormat="1" x14ac:dyDescent="0.25"/>
    <row r="147416" s="12" customFormat="1" x14ac:dyDescent="0.25"/>
    <row r="147417" s="12" customFormat="1" x14ac:dyDescent="0.25"/>
    <row r="147418" s="12" customFormat="1" x14ac:dyDescent="0.25"/>
    <row r="147419" s="12" customFormat="1" x14ac:dyDescent="0.25"/>
    <row r="147420" s="12" customFormat="1" x14ac:dyDescent="0.25"/>
    <row r="147421" s="12" customFormat="1" x14ac:dyDescent="0.25"/>
    <row r="147422" s="12" customFormat="1" x14ac:dyDescent="0.25"/>
    <row r="147423" s="12" customFormat="1" x14ac:dyDescent="0.25"/>
    <row r="147424" s="12" customFormat="1" x14ac:dyDescent="0.25"/>
    <row r="147425" s="12" customFormat="1" x14ac:dyDescent="0.25"/>
    <row r="147426" s="12" customFormat="1" x14ac:dyDescent="0.25"/>
    <row r="147427" s="12" customFormat="1" x14ac:dyDescent="0.25"/>
    <row r="147428" s="12" customFormat="1" x14ac:dyDescent="0.25"/>
    <row r="147429" s="12" customFormat="1" x14ac:dyDescent="0.25"/>
    <row r="147430" s="12" customFormat="1" x14ac:dyDescent="0.25"/>
    <row r="147431" s="12" customFormat="1" x14ac:dyDescent="0.25"/>
    <row r="147432" s="12" customFormat="1" x14ac:dyDescent="0.25"/>
    <row r="147433" s="12" customFormat="1" x14ac:dyDescent="0.25"/>
    <row r="147434" s="12" customFormat="1" x14ac:dyDescent="0.25"/>
    <row r="147435" s="12" customFormat="1" x14ac:dyDescent="0.25"/>
    <row r="147436" s="12" customFormat="1" x14ac:dyDescent="0.25"/>
    <row r="147437" s="12" customFormat="1" x14ac:dyDescent="0.25"/>
    <row r="147438" s="12" customFormat="1" x14ac:dyDescent="0.25"/>
    <row r="147439" s="12" customFormat="1" x14ac:dyDescent="0.25"/>
    <row r="147440" s="12" customFormat="1" x14ac:dyDescent="0.25"/>
    <row r="147441" s="12" customFormat="1" x14ac:dyDescent="0.25"/>
    <row r="147442" s="12" customFormat="1" x14ac:dyDescent="0.25"/>
    <row r="147443" s="12" customFormat="1" x14ac:dyDescent="0.25"/>
    <row r="147444" s="12" customFormat="1" x14ac:dyDescent="0.25"/>
    <row r="147445" s="12" customFormat="1" x14ac:dyDescent="0.25"/>
    <row r="147446" s="12" customFormat="1" x14ac:dyDescent="0.25"/>
    <row r="147447" s="12" customFormat="1" x14ac:dyDescent="0.25"/>
    <row r="147448" s="12" customFormat="1" x14ac:dyDescent="0.25"/>
    <row r="147449" s="12" customFormat="1" x14ac:dyDescent="0.25"/>
    <row r="147450" s="12" customFormat="1" x14ac:dyDescent="0.25"/>
    <row r="147451" s="12" customFormat="1" x14ac:dyDescent="0.25"/>
    <row r="147452" s="12" customFormat="1" x14ac:dyDescent="0.25"/>
    <row r="147453" s="12" customFormat="1" x14ac:dyDescent="0.25"/>
    <row r="147454" s="12" customFormat="1" x14ac:dyDescent="0.25"/>
    <row r="147455" s="12" customFormat="1" x14ac:dyDescent="0.25"/>
    <row r="147456" s="12" customFormat="1" x14ac:dyDescent="0.25"/>
    <row r="147457" s="12" customFormat="1" x14ac:dyDescent="0.25"/>
    <row r="147458" s="12" customFormat="1" x14ac:dyDescent="0.25"/>
    <row r="147459" s="12" customFormat="1" x14ac:dyDescent="0.25"/>
    <row r="147460" s="12" customFormat="1" x14ac:dyDescent="0.25"/>
    <row r="147461" s="12" customFormat="1" x14ac:dyDescent="0.25"/>
    <row r="147462" s="12" customFormat="1" x14ac:dyDescent="0.25"/>
    <row r="147463" s="12" customFormat="1" x14ac:dyDescent="0.25"/>
    <row r="147464" s="12" customFormat="1" x14ac:dyDescent="0.25"/>
    <row r="147465" s="12" customFormat="1" x14ac:dyDescent="0.25"/>
    <row r="147466" s="12" customFormat="1" x14ac:dyDescent="0.25"/>
    <row r="147467" s="12" customFormat="1" x14ac:dyDescent="0.25"/>
    <row r="147468" s="12" customFormat="1" x14ac:dyDescent="0.25"/>
    <row r="147469" s="12" customFormat="1" x14ac:dyDescent="0.25"/>
    <row r="147470" s="12" customFormat="1" x14ac:dyDescent="0.25"/>
    <row r="147471" s="12" customFormat="1" x14ac:dyDescent="0.25"/>
    <row r="147472" s="12" customFormat="1" x14ac:dyDescent="0.25"/>
    <row r="147473" s="12" customFormat="1" x14ac:dyDescent="0.25"/>
    <row r="147474" s="12" customFormat="1" x14ac:dyDescent="0.25"/>
    <row r="147475" s="12" customFormat="1" x14ac:dyDescent="0.25"/>
    <row r="147476" s="12" customFormat="1" x14ac:dyDescent="0.25"/>
    <row r="147477" s="12" customFormat="1" x14ac:dyDescent="0.25"/>
    <row r="147478" s="12" customFormat="1" x14ac:dyDescent="0.25"/>
    <row r="147479" s="12" customFormat="1" x14ac:dyDescent="0.25"/>
    <row r="147480" s="12" customFormat="1" x14ac:dyDescent="0.25"/>
    <row r="147481" s="12" customFormat="1" x14ac:dyDescent="0.25"/>
    <row r="147482" s="12" customFormat="1" x14ac:dyDescent="0.25"/>
    <row r="147483" s="12" customFormat="1" x14ac:dyDescent="0.25"/>
    <row r="147484" s="12" customFormat="1" x14ac:dyDescent="0.25"/>
    <row r="147485" s="12" customFormat="1" x14ac:dyDescent="0.25"/>
    <row r="147486" s="12" customFormat="1" x14ac:dyDescent="0.25"/>
    <row r="147487" s="12" customFormat="1" x14ac:dyDescent="0.25"/>
    <row r="147488" s="12" customFormat="1" x14ac:dyDescent="0.25"/>
    <row r="147489" s="12" customFormat="1" x14ac:dyDescent="0.25"/>
    <row r="147490" s="12" customFormat="1" x14ac:dyDescent="0.25"/>
    <row r="147491" s="12" customFormat="1" x14ac:dyDescent="0.25"/>
    <row r="147492" s="12" customFormat="1" x14ac:dyDescent="0.25"/>
    <row r="147493" s="12" customFormat="1" x14ac:dyDescent="0.25"/>
    <row r="147494" s="12" customFormat="1" x14ac:dyDescent="0.25"/>
    <row r="147495" s="12" customFormat="1" x14ac:dyDescent="0.25"/>
    <row r="147496" s="12" customFormat="1" x14ac:dyDescent="0.25"/>
    <row r="147497" s="12" customFormat="1" x14ac:dyDescent="0.25"/>
    <row r="147498" s="12" customFormat="1" x14ac:dyDescent="0.25"/>
    <row r="147499" s="12" customFormat="1" x14ac:dyDescent="0.25"/>
    <row r="147500" s="12" customFormat="1" x14ac:dyDescent="0.25"/>
    <row r="147501" s="12" customFormat="1" x14ac:dyDescent="0.25"/>
    <row r="147502" s="12" customFormat="1" x14ac:dyDescent="0.25"/>
    <row r="147503" s="12" customFormat="1" x14ac:dyDescent="0.25"/>
    <row r="147504" s="12" customFormat="1" x14ac:dyDescent="0.25"/>
    <row r="147505" s="12" customFormat="1" x14ac:dyDescent="0.25"/>
    <row r="147506" s="12" customFormat="1" x14ac:dyDescent="0.25"/>
    <row r="147507" s="12" customFormat="1" x14ac:dyDescent="0.25"/>
    <row r="147508" s="12" customFormat="1" x14ac:dyDescent="0.25"/>
    <row r="147509" s="12" customFormat="1" x14ac:dyDescent="0.25"/>
    <row r="147510" s="12" customFormat="1" x14ac:dyDescent="0.25"/>
    <row r="147511" s="12" customFormat="1" x14ac:dyDescent="0.25"/>
    <row r="147512" s="12" customFormat="1" x14ac:dyDescent="0.25"/>
    <row r="147513" s="12" customFormat="1" x14ac:dyDescent="0.25"/>
    <row r="147514" s="12" customFormat="1" x14ac:dyDescent="0.25"/>
    <row r="147515" s="12" customFormat="1" x14ac:dyDescent="0.25"/>
    <row r="147516" s="12" customFormat="1" x14ac:dyDescent="0.25"/>
    <row r="147517" s="12" customFormat="1" x14ac:dyDescent="0.25"/>
    <row r="147518" s="12" customFormat="1" x14ac:dyDescent="0.25"/>
    <row r="147519" s="12" customFormat="1" x14ac:dyDescent="0.25"/>
    <row r="147520" s="12" customFormat="1" x14ac:dyDescent="0.25"/>
    <row r="147521" s="12" customFormat="1" x14ac:dyDescent="0.25"/>
    <row r="147522" s="12" customFormat="1" x14ac:dyDescent="0.25"/>
    <row r="147523" s="12" customFormat="1" x14ac:dyDescent="0.25"/>
    <row r="147524" s="12" customFormat="1" x14ac:dyDescent="0.25"/>
    <row r="147525" s="12" customFormat="1" x14ac:dyDescent="0.25"/>
    <row r="147526" s="12" customFormat="1" x14ac:dyDescent="0.25"/>
    <row r="147527" s="12" customFormat="1" x14ac:dyDescent="0.25"/>
    <row r="147528" s="12" customFormat="1" x14ac:dyDescent="0.25"/>
    <row r="147529" s="12" customFormat="1" x14ac:dyDescent="0.25"/>
    <row r="147530" s="12" customFormat="1" x14ac:dyDescent="0.25"/>
    <row r="147531" s="12" customFormat="1" x14ac:dyDescent="0.25"/>
    <row r="147532" s="12" customFormat="1" x14ac:dyDescent="0.25"/>
    <row r="147533" s="12" customFormat="1" x14ac:dyDescent="0.25"/>
    <row r="147534" s="12" customFormat="1" x14ac:dyDescent="0.25"/>
    <row r="147535" s="12" customFormat="1" x14ac:dyDescent="0.25"/>
    <row r="147536" s="12" customFormat="1" x14ac:dyDescent="0.25"/>
    <row r="147537" s="12" customFormat="1" x14ac:dyDescent="0.25"/>
    <row r="147538" s="12" customFormat="1" x14ac:dyDescent="0.25"/>
    <row r="147539" s="12" customFormat="1" x14ac:dyDescent="0.25"/>
    <row r="147540" s="12" customFormat="1" x14ac:dyDescent="0.25"/>
    <row r="147541" s="12" customFormat="1" x14ac:dyDescent="0.25"/>
    <row r="147542" s="12" customFormat="1" x14ac:dyDescent="0.25"/>
    <row r="147543" s="12" customFormat="1" x14ac:dyDescent="0.25"/>
    <row r="147544" s="12" customFormat="1" x14ac:dyDescent="0.25"/>
    <row r="147545" s="12" customFormat="1" x14ac:dyDescent="0.25"/>
    <row r="147546" s="12" customFormat="1" x14ac:dyDescent="0.25"/>
    <row r="147547" s="12" customFormat="1" x14ac:dyDescent="0.25"/>
    <row r="147548" s="12" customFormat="1" x14ac:dyDescent="0.25"/>
    <row r="147549" s="12" customFormat="1" x14ac:dyDescent="0.25"/>
    <row r="147550" s="12" customFormat="1" x14ac:dyDescent="0.25"/>
    <row r="147551" s="12" customFormat="1" x14ac:dyDescent="0.25"/>
    <row r="147552" s="12" customFormat="1" x14ac:dyDescent="0.25"/>
    <row r="147553" s="12" customFormat="1" x14ac:dyDescent="0.25"/>
    <row r="147554" s="12" customFormat="1" x14ac:dyDescent="0.25"/>
    <row r="147555" s="12" customFormat="1" x14ac:dyDescent="0.25"/>
    <row r="147556" s="12" customFormat="1" x14ac:dyDescent="0.25"/>
    <row r="147557" s="12" customFormat="1" x14ac:dyDescent="0.25"/>
    <row r="147558" s="12" customFormat="1" x14ac:dyDescent="0.25"/>
    <row r="147559" s="12" customFormat="1" x14ac:dyDescent="0.25"/>
    <row r="147560" s="12" customFormat="1" x14ac:dyDescent="0.25"/>
    <row r="147561" s="12" customFormat="1" x14ac:dyDescent="0.25"/>
    <row r="147562" s="12" customFormat="1" x14ac:dyDescent="0.25"/>
    <row r="147563" s="12" customFormat="1" x14ac:dyDescent="0.25"/>
    <row r="147564" s="12" customFormat="1" x14ac:dyDescent="0.25"/>
    <row r="147565" s="12" customFormat="1" x14ac:dyDescent="0.25"/>
    <row r="147566" s="12" customFormat="1" x14ac:dyDescent="0.25"/>
    <row r="147567" s="12" customFormat="1" x14ac:dyDescent="0.25"/>
    <row r="147568" s="12" customFormat="1" x14ac:dyDescent="0.25"/>
    <row r="147569" s="12" customFormat="1" x14ac:dyDescent="0.25"/>
    <row r="147570" s="12" customFormat="1" x14ac:dyDescent="0.25"/>
    <row r="147571" s="12" customFormat="1" x14ac:dyDescent="0.25"/>
    <row r="147572" s="12" customFormat="1" x14ac:dyDescent="0.25"/>
    <row r="147573" s="12" customFormat="1" x14ac:dyDescent="0.25"/>
    <row r="147574" s="12" customFormat="1" x14ac:dyDescent="0.25"/>
    <row r="147575" s="12" customFormat="1" x14ac:dyDescent="0.25"/>
    <row r="147576" s="12" customFormat="1" x14ac:dyDescent="0.25"/>
    <row r="147577" s="12" customFormat="1" x14ac:dyDescent="0.25"/>
    <row r="147578" s="12" customFormat="1" x14ac:dyDescent="0.25"/>
    <row r="147579" s="12" customFormat="1" x14ac:dyDescent="0.25"/>
    <row r="147580" s="12" customFormat="1" x14ac:dyDescent="0.25"/>
    <row r="147581" s="12" customFormat="1" x14ac:dyDescent="0.25"/>
    <row r="147582" s="12" customFormat="1" x14ac:dyDescent="0.25"/>
    <row r="147583" s="12" customFormat="1" x14ac:dyDescent="0.25"/>
    <row r="147584" s="12" customFormat="1" x14ac:dyDescent="0.25"/>
    <row r="147585" s="12" customFormat="1" x14ac:dyDescent="0.25"/>
    <row r="147586" s="12" customFormat="1" x14ac:dyDescent="0.25"/>
    <row r="147587" s="12" customFormat="1" x14ac:dyDescent="0.25"/>
    <row r="147588" s="12" customFormat="1" x14ac:dyDescent="0.25"/>
    <row r="147589" s="12" customFormat="1" x14ac:dyDescent="0.25"/>
    <row r="147590" s="12" customFormat="1" x14ac:dyDescent="0.25"/>
    <row r="147591" s="12" customFormat="1" x14ac:dyDescent="0.25"/>
    <row r="147592" s="12" customFormat="1" x14ac:dyDescent="0.25"/>
    <row r="147593" s="12" customFormat="1" x14ac:dyDescent="0.25"/>
    <row r="147594" s="12" customFormat="1" x14ac:dyDescent="0.25"/>
    <row r="147595" s="12" customFormat="1" x14ac:dyDescent="0.25"/>
    <row r="147596" s="12" customFormat="1" x14ac:dyDescent="0.25"/>
    <row r="147597" s="12" customFormat="1" x14ac:dyDescent="0.25"/>
    <row r="147598" s="12" customFormat="1" x14ac:dyDescent="0.25"/>
    <row r="147599" s="12" customFormat="1" x14ac:dyDescent="0.25"/>
    <row r="147600" s="12" customFormat="1" x14ac:dyDescent="0.25"/>
    <row r="147601" s="12" customFormat="1" x14ac:dyDescent="0.25"/>
    <row r="147602" s="12" customFormat="1" x14ac:dyDescent="0.25"/>
    <row r="147603" s="12" customFormat="1" x14ac:dyDescent="0.25"/>
    <row r="147604" s="12" customFormat="1" x14ac:dyDescent="0.25"/>
    <row r="147605" s="12" customFormat="1" x14ac:dyDescent="0.25"/>
    <row r="147606" s="12" customFormat="1" x14ac:dyDescent="0.25"/>
    <row r="147607" s="12" customFormat="1" x14ac:dyDescent="0.25"/>
    <row r="147608" s="12" customFormat="1" x14ac:dyDescent="0.25"/>
    <row r="147609" s="12" customFormat="1" x14ac:dyDescent="0.25"/>
    <row r="147610" s="12" customFormat="1" x14ac:dyDescent="0.25"/>
    <row r="147611" s="12" customFormat="1" x14ac:dyDescent="0.25"/>
    <row r="147612" s="12" customFormat="1" x14ac:dyDescent="0.25"/>
    <row r="147613" s="12" customFormat="1" x14ac:dyDescent="0.25"/>
    <row r="147614" s="12" customFormat="1" x14ac:dyDescent="0.25"/>
    <row r="147615" s="12" customFormat="1" x14ac:dyDescent="0.25"/>
    <row r="147616" s="12" customFormat="1" x14ac:dyDescent="0.25"/>
    <row r="147617" s="12" customFormat="1" x14ac:dyDescent="0.25"/>
    <row r="147618" s="12" customFormat="1" x14ac:dyDescent="0.25"/>
    <row r="147619" s="12" customFormat="1" x14ac:dyDescent="0.25"/>
    <row r="147620" s="12" customFormat="1" x14ac:dyDescent="0.25"/>
    <row r="147621" s="12" customFormat="1" x14ac:dyDescent="0.25"/>
    <row r="147622" s="12" customFormat="1" x14ac:dyDescent="0.25"/>
    <row r="147623" s="12" customFormat="1" x14ac:dyDescent="0.25"/>
    <row r="147624" s="12" customFormat="1" x14ac:dyDescent="0.25"/>
    <row r="147625" s="12" customFormat="1" x14ac:dyDescent="0.25"/>
    <row r="147626" s="12" customFormat="1" x14ac:dyDescent="0.25"/>
    <row r="147627" s="12" customFormat="1" x14ac:dyDescent="0.25"/>
    <row r="147628" s="12" customFormat="1" x14ac:dyDescent="0.25"/>
    <row r="147629" s="12" customFormat="1" x14ac:dyDescent="0.25"/>
    <row r="147630" s="12" customFormat="1" x14ac:dyDescent="0.25"/>
    <row r="147631" s="12" customFormat="1" x14ac:dyDescent="0.25"/>
    <row r="147632" s="12" customFormat="1" x14ac:dyDescent="0.25"/>
    <row r="147633" s="12" customFormat="1" x14ac:dyDescent="0.25"/>
    <row r="147634" s="12" customFormat="1" x14ac:dyDescent="0.25"/>
    <row r="147635" s="12" customFormat="1" x14ac:dyDescent="0.25"/>
    <row r="147636" s="12" customFormat="1" x14ac:dyDescent="0.25"/>
    <row r="147637" s="12" customFormat="1" x14ac:dyDescent="0.25"/>
    <row r="147638" s="12" customFormat="1" x14ac:dyDescent="0.25"/>
    <row r="147639" s="12" customFormat="1" x14ac:dyDescent="0.25"/>
    <row r="147640" s="12" customFormat="1" x14ac:dyDescent="0.25"/>
    <row r="147641" s="12" customFormat="1" x14ac:dyDescent="0.25"/>
    <row r="147642" s="12" customFormat="1" x14ac:dyDescent="0.25"/>
    <row r="147643" s="12" customFormat="1" x14ac:dyDescent="0.25"/>
    <row r="147644" s="12" customFormat="1" x14ac:dyDescent="0.25"/>
    <row r="147645" s="12" customFormat="1" x14ac:dyDescent="0.25"/>
    <row r="147646" s="12" customFormat="1" x14ac:dyDescent="0.25"/>
    <row r="147647" s="12" customFormat="1" x14ac:dyDescent="0.25"/>
    <row r="147648" s="12" customFormat="1" x14ac:dyDescent="0.25"/>
    <row r="147649" s="12" customFormat="1" x14ac:dyDescent="0.25"/>
    <row r="147650" s="12" customFormat="1" x14ac:dyDescent="0.25"/>
    <row r="147651" s="12" customFormat="1" x14ac:dyDescent="0.25"/>
    <row r="147652" s="12" customFormat="1" x14ac:dyDescent="0.25"/>
    <row r="147653" s="12" customFormat="1" x14ac:dyDescent="0.25"/>
    <row r="147654" s="12" customFormat="1" x14ac:dyDescent="0.25"/>
    <row r="147655" s="12" customFormat="1" x14ac:dyDescent="0.25"/>
    <row r="147656" s="12" customFormat="1" x14ac:dyDescent="0.25"/>
    <row r="147657" s="12" customFormat="1" x14ac:dyDescent="0.25"/>
    <row r="147658" s="12" customFormat="1" x14ac:dyDescent="0.25"/>
    <row r="147659" s="12" customFormat="1" x14ac:dyDescent="0.25"/>
    <row r="147660" s="12" customFormat="1" x14ac:dyDescent="0.25"/>
    <row r="147661" s="12" customFormat="1" x14ac:dyDescent="0.25"/>
    <row r="147662" s="12" customFormat="1" x14ac:dyDescent="0.25"/>
    <row r="147663" s="12" customFormat="1" x14ac:dyDescent="0.25"/>
    <row r="147664" s="12" customFormat="1" x14ac:dyDescent="0.25"/>
    <row r="147665" s="12" customFormat="1" x14ac:dyDescent="0.25"/>
    <row r="147666" s="12" customFormat="1" x14ac:dyDescent="0.25"/>
    <row r="147667" s="12" customFormat="1" x14ac:dyDescent="0.25"/>
    <row r="147668" s="12" customFormat="1" x14ac:dyDescent="0.25"/>
    <row r="147669" s="12" customFormat="1" x14ac:dyDescent="0.25"/>
    <row r="147670" s="12" customFormat="1" x14ac:dyDescent="0.25"/>
    <row r="147671" s="12" customFormat="1" x14ac:dyDescent="0.25"/>
    <row r="147672" s="12" customFormat="1" x14ac:dyDescent="0.25"/>
    <row r="147673" s="12" customFormat="1" x14ac:dyDescent="0.25"/>
    <row r="147674" s="12" customFormat="1" x14ac:dyDescent="0.25"/>
    <row r="147675" s="12" customFormat="1" x14ac:dyDescent="0.25"/>
    <row r="147676" s="12" customFormat="1" x14ac:dyDescent="0.25"/>
    <row r="147677" s="12" customFormat="1" x14ac:dyDescent="0.25"/>
    <row r="147678" s="12" customFormat="1" x14ac:dyDescent="0.25"/>
    <row r="147679" s="12" customFormat="1" x14ac:dyDescent="0.25"/>
    <row r="147680" s="12" customFormat="1" x14ac:dyDescent="0.25"/>
    <row r="147681" s="12" customFormat="1" x14ac:dyDescent="0.25"/>
    <row r="147682" s="12" customFormat="1" x14ac:dyDescent="0.25"/>
    <row r="147683" s="12" customFormat="1" x14ac:dyDescent="0.25"/>
    <row r="147684" s="12" customFormat="1" x14ac:dyDescent="0.25"/>
    <row r="147685" s="12" customFormat="1" x14ac:dyDescent="0.25"/>
    <row r="147686" s="12" customFormat="1" x14ac:dyDescent="0.25"/>
    <row r="147687" s="12" customFormat="1" x14ac:dyDescent="0.25"/>
    <row r="147688" s="12" customFormat="1" x14ac:dyDescent="0.25"/>
    <row r="147689" s="12" customFormat="1" x14ac:dyDescent="0.25"/>
    <row r="147690" s="12" customFormat="1" x14ac:dyDescent="0.25"/>
    <row r="147691" s="12" customFormat="1" x14ac:dyDescent="0.25"/>
    <row r="147692" s="12" customFormat="1" x14ac:dyDescent="0.25"/>
    <row r="147693" s="12" customFormat="1" x14ac:dyDescent="0.25"/>
    <row r="147694" s="12" customFormat="1" x14ac:dyDescent="0.25"/>
    <row r="147695" s="12" customFormat="1" x14ac:dyDescent="0.25"/>
    <row r="147696" s="12" customFormat="1" x14ac:dyDescent="0.25"/>
    <row r="147697" s="12" customFormat="1" x14ac:dyDescent="0.25"/>
    <row r="147698" s="12" customFormat="1" x14ac:dyDescent="0.25"/>
    <row r="147699" s="12" customFormat="1" x14ac:dyDescent="0.25"/>
    <row r="147700" s="12" customFormat="1" x14ac:dyDescent="0.25"/>
    <row r="147701" s="12" customFormat="1" x14ac:dyDescent="0.25"/>
    <row r="147702" s="12" customFormat="1" x14ac:dyDescent="0.25"/>
    <row r="147703" s="12" customFormat="1" x14ac:dyDescent="0.25"/>
    <row r="147704" s="12" customFormat="1" x14ac:dyDescent="0.25"/>
    <row r="147705" s="12" customFormat="1" x14ac:dyDescent="0.25"/>
    <row r="147706" s="12" customFormat="1" x14ac:dyDescent="0.25"/>
    <row r="147707" s="12" customFormat="1" x14ac:dyDescent="0.25"/>
    <row r="147708" s="12" customFormat="1" x14ac:dyDescent="0.25"/>
    <row r="147709" s="12" customFormat="1" x14ac:dyDescent="0.25"/>
    <row r="147710" s="12" customFormat="1" x14ac:dyDescent="0.25"/>
    <row r="147711" s="12" customFormat="1" x14ac:dyDescent="0.25"/>
    <row r="147712" s="12" customFormat="1" x14ac:dyDescent="0.25"/>
    <row r="147713" s="12" customFormat="1" x14ac:dyDescent="0.25"/>
    <row r="147714" s="12" customFormat="1" x14ac:dyDescent="0.25"/>
    <row r="147715" s="12" customFormat="1" x14ac:dyDescent="0.25"/>
    <row r="147716" s="12" customFormat="1" x14ac:dyDescent="0.25"/>
    <row r="147717" s="12" customFormat="1" x14ac:dyDescent="0.25"/>
    <row r="147718" s="12" customFormat="1" x14ac:dyDescent="0.25"/>
    <row r="147719" s="12" customFormat="1" x14ac:dyDescent="0.25"/>
    <row r="147720" s="12" customFormat="1" x14ac:dyDescent="0.25"/>
    <row r="147721" s="12" customFormat="1" x14ac:dyDescent="0.25"/>
    <row r="147722" s="12" customFormat="1" x14ac:dyDescent="0.25"/>
    <row r="147723" s="12" customFormat="1" x14ac:dyDescent="0.25"/>
    <row r="147724" s="12" customFormat="1" x14ac:dyDescent="0.25"/>
    <row r="147725" s="12" customFormat="1" x14ac:dyDescent="0.25"/>
    <row r="147726" s="12" customFormat="1" x14ac:dyDescent="0.25"/>
    <row r="147727" s="12" customFormat="1" x14ac:dyDescent="0.25"/>
    <row r="147728" s="12" customFormat="1" x14ac:dyDescent="0.25"/>
    <row r="147729" s="12" customFormat="1" x14ac:dyDescent="0.25"/>
    <row r="147730" s="12" customFormat="1" x14ac:dyDescent="0.25"/>
    <row r="147731" s="12" customFormat="1" x14ac:dyDescent="0.25"/>
    <row r="147732" s="12" customFormat="1" x14ac:dyDescent="0.25"/>
    <row r="147733" s="12" customFormat="1" x14ac:dyDescent="0.25"/>
    <row r="147734" s="12" customFormat="1" x14ac:dyDescent="0.25"/>
    <row r="147735" s="12" customFormat="1" x14ac:dyDescent="0.25"/>
    <row r="147736" s="12" customFormat="1" x14ac:dyDescent="0.25"/>
    <row r="147737" s="12" customFormat="1" x14ac:dyDescent="0.25"/>
    <row r="147738" s="12" customFormat="1" x14ac:dyDescent="0.25"/>
    <row r="147739" s="12" customFormat="1" x14ac:dyDescent="0.25"/>
    <row r="147740" s="12" customFormat="1" x14ac:dyDescent="0.25"/>
    <row r="147741" s="12" customFormat="1" x14ac:dyDescent="0.25"/>
    <row r="147742" s="12" customFormat="1" x14ac:dyDescent="0.25"/>
    <row r="147743" s="12" customFormat="1" x14ac:dyDescent="0.25"/>
    <row r="147744" s="12" customFormat="1" x14ac:dyDescent="0.25"/>
    <row r="147745" s="12" customFormat="1" x14ac:dyDescent="0.25"/>
    <row r="147746" s="12" customFormat="1" x14ac:dyDescent="0.25"/>
    <row r="147747" s="12" customFormat="1" x14ac:dyDescent="0.25"/>
    <row r="147748" s="12" customFormat="1" x14ac:dyDescent="0.25"/>
    <row r="147749" s="12" customFormat="1" x14ac:dyDescent="0.25"/>
    <row r="147750" s="12" customFormat="1" x14ac:dyDescent="0.25"/>
    <row r="147751" s="12" customFormat="1" x14ac:dyDescent="0.25"/>
    <row r="147752" s="12" customFormat="1" x14ac:dyDescent="0.25"/>
    <row r="147753" s="12" customFormat="1" x14ac:dyDescent="0.25"/>
    <row r="147754" s="12" customFormat="1" x14ac:dyDescent="0.25"/>
    <row r="147755" s="12" customFormat="1" x14ac:dyDescent="0.25"/>
    <row r="147756" s="12" customFormat="1" x14ac:dyDescent="0.25"/>
    <row r="147757" s="12" customFormat="1" x14ac:dyDescent="0.25"/>
    <row r="147758" s="12" customFormat="1" x14ac:dyDescent="0.25"/>
    <row r="147759" s="12" customFormat="1" x14ac:dyDescent="0.25"/>
    <row r="147760" s="12" customFormat="1" x14ac:dyDescent="0.25"/>
    <row r="147761" s="12" customFormat="1" x14ac:dyDescent="0.25"/>
    <row r="147762" s="12" customFormat="1" x14ac:dyDescent="0.25"/>
    <row r="147763" s="12" customFormat="1" x14ac:dyDescent="0.25"/>
    <row r="147764" s="12" customFormat="1" x14ac:dyDescent="0.25"/>
    <row r="147765" s="12" customFormat="1" x14ac:dyDescent="0.25"/>
    <row r="147766" s="12" customFormat="1" x14ac:dyDescent="0.25"/>
    <row r="147767" s="12" customFormat="1" x14ac:dyDescent="0.25"/>
    <row r="147768" s="12" customFormat="1" x14ac:dyDescent="0.25"/>
    <row r="147769" s="12" customFormat="1" x14ac:dyDescent="0.25"/>
    <row r="147770" s="12" customFormat="1" x14ac:dyDescent="0.25"/>
    <row r="147771" s="12" customFormat="1" x14ac:dyDescent="0.25"/>
    <row r="147772" s="12" customFormat="1" x14ac:dyDescent="0.25"/>
    <row r="147773" s="12" customFormat="1" x14ac:dyDescent="0.25"/>
    <row r="147774" s="12" customFormat="1" x14ac:dyDescent="0.25"/>
    <row r="147775" s="12" customFormat="1" x14ac:dyDescent="0.25"/>
    <row r="147776" s="12" customFormat="1" x14ac:dyDescent="0.25"/>
    <row r="147777" s="12" customFormat="1" x14ac:dyDescent="0.25"/>
    <row r="147778" s="12" customFormat="1" x14ac:dyDescent="0.25"/>
    <row r="147779" s="12" customFormat="1" x14ac:dyDescent="0.25"/>
    <row r="147780" s="12" customFormat="1" x14ac:dyDescent="0.25"/>
    <row r="147781" s="12" customFormat="1" x14ac:dyDescent="0.25"/>
    <row r="147782" s="12" customFormat="1" x14ac:dyDescent="0.25"/>
    <row r="147783" s="12" customFormat="1" x14ac:dyDescent="0.25"/>
    <row r="147784" s="12" customFormat="1" x14ac:dyDescent="0.25"/>
    <row r="147785" s="12" customFormat="1" x14ac:dyDescent="0.25"/>
    <row r="147786" s="12" customFormat="1" x14ac:dyDescent="0.25"/>
    <row r="147787" s="12" customFormat="1" x14ac:dyDescent="0.25"/>
    <row r="147788" s="12" customFormat="1" x14ac:dyDescent="0.25"/>
    <row r="147789" s="12" customFormat="1" x14ac:dyDescent="0.25"/>
    <row r="147790" s="12" customFormat="1" x14ac:dyDescent="0.25"/>
    <row r="147791" s="12" customFormat="1" x14ac:dyDescent="0.25"/>
    <row r="147792" s="12" customFormat="1" x14ac:dyDescent="0.25"/>
    <row r="147793" s="12" customFormat="1" x14ac:dyDescent="0.25"/>
    <row r="147794" s="12" customFormat="1" x14ac:dyDescent="0.25"/>
    <row r="147795" s="12" customFormat="1" x14ac:dyDescent="0.25"/>
    <row r="147796" s="12" customFormat="1" x14ac:dyDescent="0.25"/>
    <row r="147797" s="12" customFormat="1" x14ac:dyDescent="0.25"/>
    <row r="147798" s="12" customFormat="1" x14ac:dyDescent="0.25"/>
    <row r="147799" s="12" customFormat="1" x14ac:dyDescent="0.25"/>
    <row r="147800" s="12" customFormat="1" x14ac:dyDescent="0.25"/>
    <row r="147801" s="12" customFormat="1" x14ac:dyDescent="0.25"/>
    <row r="147802" s="12" customFormat="1" x14ac:dyDescent="0.25"/>
    <row r="147803" s="12" customFormat="1" x14ac:dyDescent="0.25"/>
    <row r="147804" s="12" customFormat="1" x14ac:dyDescent="0.25"/>
    <row r="147805" s="12" customFormat="1" x14ac:dyDescent="0.25"/>
    <row r="147806" s="12" customFormat="1" x14ac:dyDescent="0.25"/>
    <row r="147807" s="12" customFormat="1" x14ac:dyDescent="0.25"/>
    <row r="147808" s="12" customFormat="1" x14ac:dyDescent="0.25"/>
    <row r="147809" s="12" customFormat="1" x14ac:dyDescent="0.25"/>
    <row r="147810" s="12" customFormat="1" x14ac:dyDescent="0.25"/>
    <row r="147811" s="12" customFormat="1" x14ac:dyDescent="0.25"/>
    <row r="147812" s="12" customFormat="1" x14ac:dyDescent="0.25"/>
    <row r="147813" s="12" customFormat="1" x14ac:dyDescent="0.25"/>
    <row r="147814" s="12" customFormat="1" x14ac:dyDescent="0.25"/>
    <row r="147815" s="12" customFormat="1" x14ac:dyDescent="0.25"/>
    <row r="147816" s="12" customFormat="1" x14ac:dyDescent="0.25"/>
    <row r="147817" s="12" customFormat="1" x14ac:dyDescent="0.25"/>
    <row r="147818" s="12" customFormat="1" x14ac:dyDescent="0.25"/>
    <row r="147819" s="12" customFormat="1" x14ac:dyDescent="0.25"/>
    <row r="147820" s="12" customFormat="1" x14ac:dyDescent="0.25"/>
    <row r="147821" s="12" customFormat="1" x14ac:dyDescent="0.25"/>
    <row r="147822" s="12" customFormat="1" x14ac:dyDescent="0.25"/>
    <row r="147823" s="12" customFormat="1" x14ac:dyDescent="0.25"/>
    <row r="147824" s="12" customFormat="1" x14ac:dyDescent="0.25"/>
    <row r="147825" s="12" customFormat="1" x14ac:dyDescent="0.25"/>
    <row r="147826" s="12" customFormat="1" x14ac:dyDescent="0.25"/>
    <row r="147827" s="12" customFormat="1" x14ac:dyDescent="0.25"/>
    <row r="147828" s="12" customFormat="1" x14ac:dyDescent="0.25"/>
    <row r="147829" s="12" customFormat="1" x14ac:dyDescent="0.25"/>
    <row r="147830" s="12" customFormat="1" x14ac:dyDescent="0.25"/>
    <row r="147831" s="12" customFormat="1" x14ac:dyDescent="0.25"/>
    <row r="147832" s="12" customFormat="1" x14ac:dyDescent="0.25"/>
    <row r="147833" s="12" customFormat="1" x14ac:dyDescent="0.25"/>
    <row r="147834" s="12" customFormat="1" x14ac:dyDescent="0.25"/>
    <row r="147835" s="12" customFormat="1" x14ac:dyDescent="0.25"/>
    <row r="147836" s="12" customFormat="1" x14ac:dyDescent="0.25"/>
    <row r="147837" s="12" customFormat="1" x14ac:dyDescent="0.25"/>
    <row r="147838" s="12" customFormat="1" x14ac:dyDescent="0.25"/>
    <row r="147839" s="12" customFormat="1" x14ac:dyDescent="0.25"/>
    <row r="147840" s="12" customFormat="1" x14ac:dyDescent="0.25"/>
    <row r="147841" s="12" customFormat="1" x14ac:dyDescent="0.25"/>
    <row r="147842" s="12" customFormat="1" x14ac:dyDescent="0.25"/>
    <row r="147843" s="12" customFormat="1" x14ac:dyDescent="0.25"/>
    <row r="147844" s="12" customFormat="1" x14ac:dyDescent="0.25"/>
    <row r="147845" s="12" customFormat="1" x14ac:dyDescent="0.25"/>
    <row r="147846" s="12" customFormat="1" x14ac:dyDescent="0.25"/>
    <row r="147847" s="12" customFormat="1" x14ac:dyDescent="0.25"/>
    <row r="147848" s="12" customFormat="1" x14ac:dyDescent="0.25"/>
    <row r="147849" s="12" customFormat="1" x14ac:dyDescent="0.25"/>
    <row r="147850" s="12" customFormat="1" x14ac:dyDescent="0.25"/>
    <row r="147851" s="12" customFormat="1" x14ac:dyDescent="0.25"/>
    <row r="147852" s="12" customFormat="1" x14ac:dyDescent="0.25"/>
    <row r="147853" s="12" customFormat="1" x14ac:dyDescent="0.25"/>
    <row r="147854" s="12" customFormat="1" x14ac:dyDescent="0.25"/>
    <row r="147855" s="12" customFormat="1" x14ac:dyDescent="0.25"/>
    <row r="147856" s="12" customFormat="1" x14ac:dyDescent="0.25"/>
    <row r="147857" s="12" customFormat="1" x14ac:dyDescent="0.25"/>
    <row r="147858" s="12" customFormat="1" x14ac:dyDescent="0.25"/>
    <row r="147859" s="12" customFormat="1" x14ac:dyDescent="0.25"/>
    <row r="147860" s="12" customFormat="1" x14ac:dyDescent="0.25"/>
    <row r="147861" s="12" customFormat="1" x14ac:dyDescent="0.25"/>
    <row r="147862" s="12" customFormat="1" x14ac:dyDescent="0.25"/>
    <row r="147863" s="12" customFormat="1" x14ac:dyDescent="0.25"/>
    <row r="147864" s="12" customFormat="1" x14ac:dyDescent="0.25"/>
    <row r="147865" s="12" customFormat="1" x14ac:dyDescent="0.25"/>
    <row r="147866" s="12" customFormat="1" x14ac:dyDescent="0.25"/>
    <row r="147867" s="12" customFormat="1" x14ac:dyDescent="0.25"/>
    <row r="147868" s="12" customFormat="1" x14ac:dyDescent="0.25"/>
    <row r="147869" s="12" customFormat="1" x14ac:dyDescent="0.25"/>
    <row r="147870" s="12" customFormat="1" x14ac:dyDescent="0.25"/>
    <row r="147871" s="12" customFormat="1" x14ac:dyDescent="0.25"/>
    <row r="147872" s="12" customFormat="1" x14ac:dyDescent="0.25"/>
    <row r="147873" s="12" customFormat="1" x14ac:dyDescent="0.25"/>
    <row r="147874" s="12" customFormat="1" x14ac:dyDescent="0.25"/>
    <row r="147875" s="12" customFormat="1" x14ac:dyDescent="0.25"/>
    <row r="147876" s="12" customFormat="1" x14ac:dyDescent="0.25"/>
    <row r="147877" s="12" customFormat="1" x14ac:dyDescent="0.25"/>
    <row r="147878" s="12" customFormat="1" x14ac:dyDescent="0.25"/>
    <row r="147879" s="12" customFormat="1" x14ac:dyDescent="0.25"/>
    <row r="147880" s="12" customFormat="1" x14ac:dyDescent="0.25"/>
    <row r="147881" s="12" customFormat="1" x14ac:dyDescent="0.25"/>
    <row r="147882" s="12" customFormat="1" x14ac:dyDescent="0.25"/>
    <row r="147883" s="12" customFormat="1" x14ac:dyDescent="0.25"/>
    <row r="147884" s="12" customFormat="1" x14ac:dyDescent="0.25"/>
    <row r="147885" s="12" customFormat="1" x14ac:dyDescent="0.25"/>
    <row r="147886" s="12" customFormat="1" x14ac:dyDescent="0.25"/>
    <row r="147887" s="12" customFormat="1" x14ac:dyDescent="0.25"/>
    <row r="147888" s="12" customFormat="1" x14ac:dyDescent="0.25"/>
    <row r="147889" s="12" customFormat="1" x14ac:dyDescent="0.25"/>
    <row r="147890" s="12" customFormat="1" x14ac:dyDescent="0.25"/>
    <row r="147891" s="12" customFormat="1" x14ac:dyDescent="0.25"/>
    <row r="147892" s="12" customFormat="1" x14ac:dyDescent="0.25"/>
    <row r="147893" s="12" customFormat="1" x14ac:dyDescent="0.25"/>
    <row r="147894" s="12" customFormat="1" x14ac:dyDescent="0.25"/>
    <row r="147895" s="12" customFormat="1" x14ac:dyDescent="0.25"/>
    <row r="147896" s="12" customFormat="1" x14ac:dyDescent="0.25"/>
    <row r="147897" s="12" customFormat="1" x14ac:dyDescent="0.25"/>
    <row r="147898" s="12" customFormat="1" x14ac:dyDescent="0.25"/>
    <row r="147899" s="12" customFormat="1" x14ac:dyDescent="0.25"/>
    <row r="147900" s="12" customFormat="1" x14ac:dyDescent="0.25"/>
    <row r="147901" s="12" customFormat="1" x14ac:dyDescent="0.25"/>
    <row r="147902" s="12" customFormat="1" x14ac:dyDescent="0.25"/>
    <row r="147903" s="12" customFormat="1" x14ac:dyDescent="0.25"/>
    <row r="147904" s="12" customFormat="1" x14ac:dyDescent="0.25"/>
    <row r="147905" s="12" customFormat="1" x14ac:dyDescent="0.25"/>
    <row r="147906" s="12" customFormat="1" x14ac:dyDescent="0.25"/>
    <row r="147907" s="12" customFormat="1" x14ac:dyDescent="0.25"/>
    <row r="147908" s="12" customFormat="1" x14ac:dyDescent="0.25"/>
    <row r="147909" s="12" customFormat="1" x14ac:dyDescent="0.25"/>
    <row r="147910" s="12" customFormat="1" x14ac:dyDescent="0.25"/>
    <row r="147911" s="12" customFormat="1" x14ac:dyDescent="0.25"/>
    <row r="147912" s="12" customFormat="1" x14ac:dyDescent="0.25"/>
    <row r="147913" s="12" customFormat="1" x14ac:dyDescent="0.25"/>
    <row r="147914" s="12" customFormat="1" x14ac:dyDescent="0.25"/>
    <row r="147915" s="12" customFormat="1" x14ac:dyDescent="0.25"/>
    <row r="147916" s="12" customFormat="1" x14ac:dyDescent="0.25"/>
    <row r="147917" s="12" customFormat="1" x14ac:dyDescent="0.25"/>
    <row r="147918" s="12" customFormat="1" x14ac:dyDescent="0.25"/>
    <row r="147919" s="12" customFormat="1" x14ac:dyDescent="0.25"/>
    <row r="147920" s="12" customFormat="1" x14ac:dyDescent="0.25"/>
    <row r="147921" s="12" customFormat="1" x14ac:dyDescent="0.25"/>
    <row r="147922" s="12" customFormat="1" x14ac:dyDescent="0.25"/>
    <row r="147923" s="12" customFormat="1" x14ac:dyDescent="0.25"/>
    <row r="147924" s="12" customFormat="1" x14ac:dyDescent="0.25"/>
    <row r="147925" s="12" customFormat="1" x14ac:dyDescent="0.25"/>
    <row r="147926" s="12" customFormat="1" x14ac:dyDescent="0.25"/>
    <row r="147927" s="12" customFormat="1" x14ac:dyDescent="0.25"/>
    <row r="147928" s="12" customFormat="1" x14ac:dyDescent="0.25"/>
    <row r="147929" s="12" customFormat="1" x14ac:dyDescent="0.25"/>
    <row r="147930" s="12" customFormat="1" x14ac:dyDescent="0.25"/>
    <row r="147931" s="12" customFormat="1" x14ac:dyDescent="0.25"/>
    <row r="147932" s="12" customFormat="1" x14ac:dyDescent="0.25"/>
    <row r="147933" s="12" customFormat="1" x14ac:dyDescent="0.25"/>
    <row r="147934" s="12" customFormat="1" x14ac:dyDescent="0.25"/>
    <row r="147935" s="12" customFormat="1" x14ac:dyDescent="0.25"/>
    <row r="147936" s="12" customFormat="1" x14ac:dyDescent="0.25"/>
    <row r="147937" s="12" customFormat="1" x14ac:dyDescent="0.25"/>
    <row r="147938" s="12" customFormat="1" x14ac:dyDescent="0.25"/>
    <row r="147939" s="12" customFormat="1" x14ac:dyDescent="0.25"/>
    <row r="147940" s="12" customFormat="1" x14ac:dyDescent="0.25"/>
    <row r="147941" s="12" customFormat="1" x14ac:dyDescent="0.25"/>
    <row r="147942" s="12" customFormat="1" x14ac:dyDescent="0.25"/>
    <row r="147943" s="12" customFormat="1" x14ac:dyDescent="0.25"/>
    <row r="147944" s="12" customFormat="1" x14ac:dyDescent="0.25"/>
    <row r="147945" s="12" customFormat="1" x14ac:dyDescent="0.25"/>
    <row r="147946" s="12" customFormat="1" x14ac:dyDescent="0.25"/>
    <row r="147947" s="12" customFormat="1" x14ac:dyDescent="0.25"/>
    <row r="147948" s="12" customFormat="1" x14ac:dyDescent="0.25"/>
    <row r="147949" s="12" customFormat="1" x14ac:dyDescent="0.25"/>
    <row r="147950" s="12" customFormat="1" x14ac:dyDescent="0.25"/>
    <row r="147951" s="12" customFormat="1" x14ac:dyDescent="0.25"/>
    <row r="147952" s="12" customFormat="1" x14ac:dyDescent="0.25"/>
    <row r="147953" s="12" customFormat="1" x14ac:dyDescent="0.25"/>
    <row r="147954" s="12" customFormat="1" x14ac:dyDescent="0.25"/>
    <row r="147955" s="12" customFormat="1" x14ac:dyDescent="0.25"/>
    <row r="147956" s="12" customFormat="1" x14ac:dyDescent="0.25"/>
    <row r="147957" s="12" customFormat="1" x14ac:dyDescent="0.25"/>
    <row r="147958" s="12" customFormat="1" x14ac:dyDescent="0.25"/>
    <row r="147959" s="12" customFormat="1" x14ac:dyDescent="0.25"/>
    <row r="147960" s="12" customFormat="1" x14ac:dyDescent="0.25"/>
    <row r="147961" s="12" customFormat="1" x14ac:dyDescent="0.25"/>
    <row r="147962" s="12" customFormat="1" x14ac:dyDescent="0.25"/>
    <row r="147963" s="12" customFormat="1" x14ac:dyDescent="0.25"/>
    <row r="147964" s="12" customFormat="1" x14ac:dyDescent="0.25"/>
    <row r="147965" s="12" customFormat="1" x14ac:dyDescent="0.25"/>
    <row r="147966" s="12" customFormat="1" x14ac:dyDescent="0.25"/>
    <row r="147967" s="12" customFormat="1" x14ac:dyDescent="0.25"/>
    <row r="147968" s="12" customFormat="1" x14ac:dyDescent="0.25"/>
    <row r="147969" s="12" customFormat="1" x14ac:dyDescent="0.25"/>
    <row r="147970" s="12" customFormat="1" x14ac:dyDescent="0.25"/>
    <row r="147971" s="12" customFormat="1" x14ac:dyDescent="0.25"/>
    <row r="147972" s="12" customFormat="1" x14ac:dyDescent="0.25"/>
    <row r="147973" s="12" customFormat="1" x14ac:dyDescent="0.25"/>
    <row r="147974" s="12" customFormat="1" x14ac:dyDescent="0.25"/>
    <row r="147975" s="12" customFormat="1" x14ac:dyDescent="0.25"/>
    <row r="147976" s="12" customFormat="1" x14ac:dyDescent="0.25"/>
    <row r="147977" s="12" customFormat="1" x14ac:dyDescent="0.25"/>
    <row r="147978" s="12" customFormat="1" x14ac:dyDescent="0.25"/>
    <row r="147979" s="12" customFormat="1" x14ac:dyDescent="0.25"/>
    <row r="147980" s="12" customFormat="1" x14ac:dyDescent="0.25"/>
    <row r="147981" s="12" customFormat="1" x14ac:dyDescent="0.25"/>
    <row r="147982" s="12" customFormat="1" x14ac:dyDescent="0.25"/>
    <row r="147983" s="12" customFormat="1" x14ac:dyDescent="0.25"/>
    <row r="147984" s="12" customFormat="1" x14ac:dyDescent="0.25"/>
    <row r="147985" s="12" customFormat="1" x14ac:dyDescent="0.25"/>
    <row r="147986" s="12" customFormat="1" x14ac:dyDescent="0.25"/>
    <row r="147987" s="12" customFormat="1" x14ac:dyDescent="0.25"/>
    <row r="147988" s="12" customFormat="1" x14ac:dyDescent="0.25"/>
    <row r="147989" s="12" customFormat="1" x14ac:dyDescent="0.25"/>
    <row r="147990" s="12" customFormat="1" x14ac:dyDescent="0.25"/>
    <row r="147991" s="12" customFormat="1" x14ac:dyDescent="0.25"/>
    <row r="147992" s="12" customFormat="1" x14ac:dyDescent="0.25"/>
    <row r="147993" s="12" customFormat="1" x14ac:dyDescent="0.25"/>
    <row r="147994" s="12" customFormat="1" x14ac:dyDescent="0.25"/>
    <row r="147995" s="12" customFormat="1" x14ac:dyDescent="0.25"/>
    <row r="147996" s="12" customFormat="1" x14ac:dyDescent="0.25"/>
    <row r="147997" s="12" customFormat="1" x14ac:dyDescent="0.25"/>
    <row r="147998" s="12" customFormat="1" x14ac:dyDescent="0.25"/>
    <row r="147999" s="12" customFormat="1" x14ac:dyDescent="0.25"/>
    <row r="148000" s="12" customFormat="1" x14ac:dyDescent="0.25"/>
    <row r="148001" s="12" customFormat="1" x14ac:dyDescent="0.25"/>
    <row r="148002" s="12" customFormat="1" x14ac:dyDescent="0.25"/>
    <row r="148003" s="12" customFormat="1" x14ac:dyDescent="0.25"/>
    <row r="148004" s="12" customFormat="1" x14ac:dyDescent="0.25"/>
    <row r="148005" s="12" customFormat="1" x14ac:dyDescent="0.25"/>
    <row r="148006" s="12" customFormat="1" x14ac:dyDescent="0.25"/>
    <row r="148007" s="12" customFormat="1" x14ac:dyDescent="0.25"/>
    <row r="148008" s="12" customFormat="1" x14ac:dyDescent="0.25"/>
    <row r="148009" s="12" customFormat="1" x14ac:dyDescent="0.25"/>
    <row r="148010" s="12" customFormat="1" x14ac:dyDescent="0.25"/>
    <row r="148011" s="12" customFormat="1" x14ac:dyDescent="0.25"/>
    <row r="148012" s="12" customFormat="1" x14ac:dyDescent="0.25"/>
    <row r="148013" s="12" customFormat="1" x14ac:dyDescent="0.25"/>
    <row r="148014" s="12" customFormat="1" x14ac:dyDescent="0.25"/>
    <row r="148015" s="12" customFormat="1" x14ac:dyDescent="0.25"/>
    <row r="148016" s="12" customFormat="1" x14ac:dyDescent="0.25"/>
    <row r="148017" s="12" customFormat="1" x14ac:dyDescent="0.25"/>
    <row r="148018" s="12" customFormat="1" x14ac:dyDescent="0.25"/>
    <row r="148019" s="12" customFormat="1" x14ac:dyDescent="0.25"/>
    <row r="148020" s="12" customFormat="1" x14ac:dyDescent="0.25"/>
    <row r="148021" s="12" customFormat="1" x14ac:dyDescent="0.25"/>
    <row r="148022" s="12" customFormat="1" x14ac:dyDescent="0.25"/>
    <row r="148023" s="12" customFormat="1" x14ac:dyDescent="0.25"/>
    <row r="148024" s="12" customFormat="1" x14ac:dyDescent="0.25"/>
    <row r="148025" s="12" customFormat="1" x14ac:dyDescent="0.25"/>
    <row r="148026" s="12" customFormat="1" x14ac:dyDescent="0.25"/>
    <row r="148027" s="12" customFormat="1" x14ac:dyDescent="0.25"/>
    <row r="148028" s="12" customFormat="1" x14ac:dyDescent="0.25"/>
    <row r="148029" s="12" customFormat="1" x14ac:dyDescent="0.25"/>
    <row r="148030" s="12" customFormat="1" x14ac:dyDescent="0.25"/>
    <row r="148031" s="12" customFormat="1" x14ac:dyDescent="0.25"/>
    <row r="148032" s="12" customFormat="1" x14ac:dyDescent="0.25"/>
    <row r="148033" s="12" customFormat="1" x14ac:dyDescent="0.25"/>
    <row r="148034" s="12" customFormat="1" x14ac:dyDescent="0.25"/>
    <row r="148035" s="12" customFormat="1" x14ac:dyDescent="0.25"/>
    <row r="148036" s="12" customFormat="1" x14ac:dyDescent="0.25"/>
    <row r="148037" s="12" customFormat="1" x14ac:dyDescent="0.25"/>
    <row r="148038" s="12" customFormat="1" x14ac:dyDescent="0.25"/>
    <row r="148039" s="12" customFormat="1" x14ac:dyDescent="0.25"/>
    <row r="148040" s="12" customFormat="1" x14ac:dyDescent="0.25"/>
    <row r="148041" s="12" customFormat="1" x14ac:dyDescent="0.25"/>
    <row r="148042" s="12" customFormat="1" x14ac:dyDescent="0.25"/>
    <row r="148043" s="12" customFormat="1" x14ac:dyDescent="0.25"/>
    <row r="148044" s="12" customFormat="1" x14ac:dyDescent="0.25"/>
    <row r="148045" s="12" customFormat="1" x14ac:dyDescent="0.25"/>
    <row r="148046" s="12" customFormat="1" x14ac:dyDescent="0.25"/>
    <row r="148047" s="12" customFormat="1" x14ac:dyDescent="0.25"/>
    <row r="148048" s="12" customFormat="1" x14ac:dyDescent="0.25"/>
    <row r="148049" s="12" customFormat="1" x14ac:dyDescent="0.25"/>
    <row r="148050" s="12" customFormat="1" x14ac:dyDescent="0.25"/>
    <row r="148051" s="12" customFormat="1" x14ac:dyDescent="0.25"/>
    <row r="148052" s="12" customFormat="1" x14ac:dyDescent="0.25"/>
    <row r="148053" s="12" customFormat="1" x14ac:dyDescent="0.25"/>
    <row r="148054" s="12" customFormat="1" x14ac:dyDescent="0.25"/>
    <row r="148055" s="12" customFormat="1" x14ac:dyDescent="0.25"/>
    <row r="148056" s="12" customFormat="1" x14ac:dyDescent="0.25"/>
    <row r="148057" s="12" customFormat="1" x14ac:dyDescent="0.25"/>
    <row r="148058" s="12" customFormat="1" x14ac:dyDescent="0.25"/>
    <row r="148059" s="12" customFormat="1" x14ac:dyDescent="0.25"/>
    <row r="148060" s="12" customFormat="1" x14ac:dyDescent="0.25"/>
    <row r="148061" s="12" customFormat="1" x14ac:dyDescent="0.25"/>
    <row r="148062" s="12" customFormat="1" x14ac:dyDescent="0.25"/>
    <row r="148063" s="12" customFormat="1" x14ac:dyDescent="0.25"/>
    <row r="148064" s="12" customFormat="1" x14ac:dyDescent="0.25"/>
    <row r="148065" s="12" customFormat="1" x14ac:dyDescent="0.25"/>
    <row r="148066" s="12" customFormat="1" x14ac:dyDescent="0.25"/>
    <row r="148067" s="12" customFormat="1" x14ac:dyDescent="0.25"/>
    <row r="148068" s="12" customFormat="1" x14ac:dyDescent="0.25"/>
    <row r="148069" s="12" customFormat="1" x14ac:dyDescent="0.25"/>
    <row r="148070" s="12" customFormat="1" x14ac:dyDescent="0.25"/>
    <row r="148071" s="12" customFormat="1" x14ac:dyDescent="0.25"/>
    <row r="148072" s="12" customFormat="1" x14ac:dyDescent="0.25"/>
    <row r="148073" s="12" customFormat="1" x14ac:dyDescent="0.25"/>
    <row r="148074" s="12" customFormat="1" x14ac:dyDescent="0.25"/>
    <row r="148075" s="12" customFormat="1" x14ac:dyDescent="0.25"/>
    <row r="148076" s="12" customFormat="1" x14ac:dyDescent="0.25"/>
    <row r="148077" s="12" customFormat="1" x14ac:dyDescent="0.25"/>
    <row r="148078" s="12" customFormat="1" x14ac:dyDescent="0.25"/>
    <row r="148079" s="12" customFormat="1" x14ac:dyDescent="0.25"/>
    <row r="148080" s="12" customFormat="1" x14ac:dyDescent="0.25"/>
    <row r="148081" s="12" customFormat="1" x14ac:dyDescent="0.25"/>
    <row r="148082" s="12" customFormat="1" x14ac:dyDescent="0.25"/>
    <row r="148083" s="12" customFormat="1" x14ac:dyDescent="0.25"/>
    <row r="148084" s="12" customFormat="1" x14ac:dyDescent="0.25"/>
    <row r="148085" s="12" customFormat="1" x14ac:dyDescent="0.25"/>
    <row r="148086" s="12" customFormat="1" x14ac:dyDescent="0.25"/>
    <row r="148087" s="12" customFormat="1" x14ac:dyDescent="0.25"/>
    <row r="148088" s="12" customFormat="1" x14ac:dyDescent="0.25"/>
    <row r="148089" s="12" customFormat="1" x14ac:dyDescent="0.25"/>
    <row r="148090" s="12" customFormat="1" x14ac:dyDescent="0.25"/>
    <row r="148091" s="12" customFormat="1" x14ac:dyDescent="0.25"/>
    <row r="148092" s="12" customFormat="1" x14ac:dyDescent="0.25"/>
    <row r="148093" s="12" customFormat="1" x14ac:dyDescent="0.25"/>
    <row r="148094" s="12" customFormat="1" x14ac:dyDescent="0.25"/>
    <row r="148095" s="12" customFormat="1" x14ac:dyDescent="0.25"/>
    <row r="148096" s="12" customFormat="1" x14ac:dyDescent="0.25"/>
    <row r="148097" s="12" customFormat="1" x14ac:dyDescent="0.25"/>
    <row r="148098" s="12" customFormat="1" x14ac:dyDescent="0.25"/>
    <row r="148099" s="12" customFormat="1" x14ac:dyDescent="0.25"/>
    <row r="148100" s="12" customFormat="1" x14ac:dyDescent="0.25"/>
    <row r="148101" s="12" customFormat="1" x14ac:dyDescent="0.25"/>
    <row r="148102" s="12" customFormat="1" x14ac:dyDescent="0.25"/>
    <row r="148103" s="12" customFormat="1" x14ac:dyDescent="0.25"/>
    <row r="148104" s="12" customFormat="1" x14ac:dyDescent="0.25"/>
    <row r="148105" s="12" customFormat="1" x14ac:dyDescent="0.25"/>
    <row r="148106" s="12" customFormat="1" x14ac:dyDescent="0.25"/>
    <row r="148107" s="12" customFormat="1" x14ac:dyDescent="0.25"/>
    <row r="148108" s="12" customFormat="1" x14ac:dyDescent="0.25"/>
    <row r="148109" s="12" customFormat="1" x14ac:dyDescent="0.25"/>
    <row r="148110" s="12" customFormat="1" x14ac:dyDescent="0.25"/>
    <row r="148111" s="12" customFormat="1" x14ac:dyDescent="0.25"/>
    <row r="148112" s="12" customFormat="1" x14ac:dyDescent="0.25"/>
    <row r="148113" s="12" customFormat="1" x14ac:dyDescent="0.25"/>
    <row r="148114" s="12" customFormat="1" x14ac:dyDescent="0.25"/>
    <row r="148115" s="12" customFormat="1" x14ac:dyDescent="0.25"/>
    <row r="148116" s="12" customFormat="1" x14ac:dyDescent="0.25"/>
    <row r="148117" s="12" customFormat="1" x14ac:dyDescent="0.25"/>
    <row r="148118" s="12" customFormat="1" x14ac:dyDescent="0.25"/>
    <row r="148119" s="12" customFormat="1" x14ac:dyDescent="0.25"/>
    <row r="148120" s="12" customFormat="1" x14ac:dyDescent="0.25"/>
    <row r="148121" s="12" customFormat="1" x14ac:dyDescent="0.25"/>
    <row r="148122" s="12" customFormat="1" x14ac:dyDescent="0.25"/>
    <row r="148123" s="12" customFormat="1" x14ac:dyDescent="0.25"/>
    <row r="148124" s="12" customFormat="1" x14ac:dyDescent="0.25"/>
    <row r="148125" s="12" customFormat="1" x14ac:dyDescent="0.25"/>
    <row r="148126" s="12" customFormat="1" x14ac:dyDescent="0.25"/>
    <row r="148127" s="12" customFormat="1" x14ac:dyDescent="0.25"/>
    <row r="148128" s="12" customFormat="1" x14ac:dyDescent="0.25"/>
    <row r="148129" s="12" customFormat="1" x14ac:dyDescent="0.25"/>
    <row r="148130" s="12" customFormat="1" x14ac:dyDescent="0.25"/>
    <row r="148131" s="12" customFormat="1" x14ac:dyDescent="0.25"/>
    <row r="148132" s="12" customFormat="1" x14ac:dyDescent="0.25"/>
    <row r="148133" s="12" customFormat="1" x14ac:dyDescent="0.25"/>
    <row r="148134" s="12" customFormat="1" x14ac:dyDescent="0.25"/>
    <row r="148135" s="12" customFormat="1" x14ac:dyDescent="0.25"/>
    <row r="148136" s="12" customFormat="1" x14ac:dyDescent="0.25"/>
    <row r="148137" s="12" customFormat="1" x14ac:dyDescent="0.25"/>
    <row r="148138" s="12" customFormat="1" x14ac:dyDescent="0.25"/>
    <row r="148139" s="12" customFormat="1" x14ac:dyDescent="0.25"/>
    <row r="148140" s="12" customFormat="1" x14ac:dyDescent="0.25"/>
    <row r="148141" s="12" customFormat="1" x14ac:dyDescent="0.25"/>
    <row r="148142" s="12" customFormat="1" x14ac:dyDescent="0.25"/>
    <row r="148143" s="12" customFormat="1" x14ac:dyDescent="0.25"/>
    <row r="148144" s="12" customFormat="1" x14ac:dyDescent="0.25"/>
    <row r="148145" s="12" customFormat="1" x14ac:dyDescent="0.25"/>
    <row r="148146" s="12" customFormat="1" x14ac:dyDescent="0.25"/>
    <row r="148147" s="12" customFormat="1" x14ac:dyDescent="0.25"/>
    <row r="148148" s="12" customFormat="1" x14ac:dyDescent="0.25"/>
    <row r="148149" s="12" customFormat="1" x14ac:dyDescent="0.25"/>
    <row r="148150" s="12" customFormat="1" x14ac:dyDescent="0.25"/>
    <row r="148151" s="12" customFormat="1" x14ac:dyDescent="0.25"/>
    <row r="148152" s="12" customFormat="1" x14ac:dyDescent="0.25"/>
    <row r="148153" s="12" customFormat="1" x14ac:dyDescent="0.25"/>
    <row r="148154" s="12" customFormat="1" x14ac:dyDescent="0.25"/>
    <row r="148155" s="12" customFormat="1" x14ac:dyDescent="0.25"/>
    <row r="148156" s="12" customFormat="1" x14ac:dyDescent="0.25"/>
    <row r="148157" s="12" customFormat="1" x14ac:dyDescent="0.25"/>
    <row r="148158" s="12" customFormat="1" x14ac:dyDescent="0.25"/>
    <row r="148159" s="12" customFormat="1" x14ac:dyDescent="0.25"/>
    <row r="148160" s="12" customFormat="1" x14ac:dyDescent="0.25"/>
    <row r="148161" s="12" customFormat="1" x14ac:dyDescent="0.25"/>
    <row r="148162" s="12" customFormat="1" x14ac:dyDescent="0.25"/>
    <row r="148163" s="12" customFormat="1" x14ac:dyDescent="0.25"/>
    <row r="148164" s="12" customFormat="1" x14ac:dyDescent="0.25"/>
    <row r="148165" s="12" customFormat="1" x14ac:dyDescent="0.25"/>
    <row r="148166" s="12" customFormat="1" x14ac:dyDescent="0.25"/>
    <row r="148167" s="12" customFormat="1" x14ac:dyDescent="0.25"/>
    <row r="148168" s="12" customFormat="1" x14ac:dyDescent="0.25"/>
    <row r="148169" s="12" customFormat="1" x14ac:dyDescent="0.25"/>
    <row r="148170" s="12" customFormat="1" x14ac:dyDescent="0.25"/>
    <row r="148171" s="12" customFormat="1" x14ac:dyDescent="0.25"/>
    <row r="148172" s="12" customFormat="1" x14ac:dyDescent="0.25"/>
    <row r="148173" s="12" customFormat="1" x14ac:dyDescent="0.25"/>
    <row r="148174" s="12" customFormat="1" x14ac:dyDescent="0.25"/>
    <row r="148175" s="12" customFormat="1" x14ac:dyDescent="0.25"/>
    <row r="148176" s="12" customFormat="1" x14ac:dyDescent="0.25"/>
    <row r="148177" s="12" customFormat="1" x14ac:dyDescent="0.25"/>
    <row r="148178" s="12" customFormat="1" x14ac:dyDescent="0.25"/>
    <row r="148179" s="12" customFormat="1" x14ac:dyDescent="0.25"/>
    <row r="148180" s="12" customFormat="1" x14ac:dyDescent="0.25"/>
    <row r="148181" s="12" customFormat="1" x14ac:dyDescent="0.25"/>
    <row r="148182" s="12" customFormat="1" x14ac:dyDescent="0.25"/>
    <row r="148183" s="12" customFormat="1" x14ac:dyDescent="0.25"/>
    <row r="148184" s="12" customFormat="1" x14ac:dyDescent="0.25"/>
    <row r="148185" s="12" customFormat="1" x14ac:dyDescent="0.25"/>
    <row r="148186" s="12" customFormat="1" x14ac:dyDescent="0.25"/>
    <row r="148187" s="12" customFormat="1" x14ac:dyDescent="0.25"/>
    <row r="148188" s="12" customFormat="1" x14ac:dyDescent="0.25"/>
    <row r="148189" s="12" customFormat="1" x14ac:dyDescent="0.25"/>
    <row r="148190" s="12" customFormat="1" x14ac:dyDescent="0.25"/>
    <row r="148191" s="12" customFormat="1" x14ac:dyDescent="0.25"/>
    <row r="148192" s="12" customFormat="1" x14ac:dyDescent="0.25"/>
    <row r="148193" s="12" customFormat="1" x14ac:dyDescent="0.25"/>
    <row r="148194" s="12" customFormat="1" x14ac:dyDescent="0.25"/>
    <row r="148195" s="12" customFormat="1" x14ac:dyDescent="0.25"/>
    <row r="148196" s="12" customFormat="1" x14ac:dyDescent="0.25"/>
    <row r="148197" s="12" customFormat="1" x14ac:dyDescent="0.25"/>
    <row r="148198" s="12" customFormat="1" x14ac:dyDescent="0.25"/>
    <row r="148199" s="12" customFormat="1" x14ac:dyDescent="0.25"/>
    <row r="148200" s="12" customFormat="1" x14ac:dyDescent="0.25"/>
    <row r="148201" s="12" customFormat="1" x14ac:dyDescent="0.25"/>
    <row r="148202" s="12" customFormat="1" x14ac:dyDescent="0.25"/>
    <row r="148203" s="12" customFormat="1" x14ac:dyDescent="0.25"/>
    <row r="148204" s="12" customFormat="1" x14ac:dyDescent="0.25"/>
    <row r="148205" s="12" customFormat="1" x14ac:dyDescent="0.25"/>
    <row r="148206" s="12" customFormat="1" x14ac:dyDescent="0.25"/>
    <row r="148207" s="12" customFormat="1" x14ac:dyDescent="0.25"/>
    <row r="148208" s="12" customFormat="1" x14ac:dyDescent="0.25"/>
    <row r="148209" s="12" customFormat="1" x14ac:dyDescent="0.25"/>
    <row r="148210" s="12" customFormat="1" x14ac:dyDescent="0.25"/>
    <row r="148211" s="12" customFormat="1" x14ac:dyDescent="0.25"/>
    <row r="148212" s="12" customFormat="1" x14ac:dyDescent="0.25"/>
    <row r="148213" s="12" customFormat="1" x14ac:dyDescent="0.25"/>
    <row r="148214" s="12" customFormat="1" x14ac:dyDescent="0.25"/>
    <row r="148215" s="12" customFormat="1" x14ac:dyDescent="0.25"/>
    <row r="148216" s="12" customFormat="1" x14ac:dyDescent="0.25"/>
    <row r="148217" s="12" customFormat="1" x14ac:dyDescent="0.25"/>
    <row r="148218" s="12" customFormat="1" x14ac:dyDescent="0.25"/>
    <row r="148219" s="12" customFormat="1" x14ac:dyDescent="0.25"/>
    <row r="148220" s="12" customFormat="1" x14ac:dyDescent="0.25"/>
    <row r="148221" s="12" customFormat="1" x14ac:dyDescent="0.25"/>
    <row r="148222" s="12" customFormat="1" x14ac:dyDescent="0.25"/>
    <row r="148223" s="12" customFormat="1" x14ac:dyDescent="0.25"/>
    <row r="148224" s="12" customFormat="1" x14ac:dyDescent="0.25"/>
    <row r="148225" s="12" customFormat="1" x14ac:dyDescent="0.25"/>
    <row r="148226" s="12" customFormat="1" x14ac:dyDescent="0.25"/>
    <row r="148227" s="12" customFormat="1" x14ac:dyDescent="0.25"/>
    <row r="148228" s="12" customFormat="1" x14ac:dyDescent="0.25"/>
    <row r="148229" s="12" customFormat="1" x14ac:dyDescent="0.25"/>
    <row r="148230" s="12" customFormat="1" x14ac:dyDescent="0.25"/>
    <row r="148231" s="12" customFormat="1" x14ac:dyDescent="0.25"/>
    <row r="148232" s="12" customFormat="1" x14ac:dyDescent="0.25"/>
    <row r="148233" s="12" customFormat="1" x14ac:dyDescent="0.25"/>
    <row r="148234" s="12" customFormat="1" x14ac:dyDescent="0.25"/>
    <row r="148235" s="12" customFormat="1" x14ac:dyDescent="0.25"/>
    <row r="148236" s="12" customFormat="1" x14ac:dyDescent="0.25"/>
    <row r="148237" s="12" customFormat="1" x14ac:dyDescent="0.25"/>
    <row r="148238" s="12" customFormat="1" x14ac:dyDescent="0.25"/>
    <row r="148239" s="12" customFormat="1" x14ac:dyDescent="0.25"/>
    <row r="148240" s="12" customFormat="1" x14ac:dyDescent="0.25"/>
    <row r="148241" s="12" customFormat="1" x14ac:dyDescent="0.25"/>
    <row r="148242" s="12" customFormat="1" x14ac:dyDescent="0.25"/>
    <row r="148243" s="12" customFormat="1" x14ac:dyDescent="0.25"/>
    <row r="148244" s="12" customFormat="1" x14ac:dyDescent="0.25"/>
    <row r="148245" s="12" customFormat="1" x14ac:dyDescent="0.25"/>
    <row r="148246" s="12" customFormat="1" x14ac:dyDescent="0.25"/>
    <row r="148247" s="12" customFormat="1" x14ac:dyDescent="0.25"/>
    <row r="148248" s="12" customFormat="1" x14ac:dyDescent="0.25"/>
    <row r="148249" s="12" customFormat="1" x14ac:dyDescent="0.25"/>
    <row r="148250" s="12" customFormat="1" x14ac:dyDescent="0.25"/>
    <row r="148251" s="12" customFormat="1" x14ac:dyDescent="0.25"/>
    <row r="148252" s="12" customFormat="1" x14ac:dyDescent="0.25"/>
    <row r="148253" s="12" customFormat="1" x14ac:dyDescent="0.25"/>
    <row r="148254" s="12" customFormat="1" x14ac:dyDescent="0.25"/>
    <row r="148255" s="12" customFormat="1" x14ac:dyDescent="0.25"/>
    <row r="148256" s="12" customFormat="1" x14ac:dyDescent="0.25"/>
    <row r="148257" s="12" customFormat="1" x14ac:dyDescent="0.25"/>
    <row r="148258" s="12" customFormat="1" x14ac:dyDescent="0.25"/>
    <row r="148259" s="12" customFormat="1" x14ac:dyDescent="0.25"/>
    <row r="148260" s="12" customFormat="1" x14ac:dyDescent="0.25"/>
    <row r="148261" s="12" customFormat="1" x14ac:dyDescent="0.25"/>
    <row r="148262" s="12" customFormat="1" x14ac:dyDescent="0.25"/>
    <row r="148263" s="12" customFormat="1" x14ac:dyDescent="0.25"/>
    <row r="148264" s="12" customFormat="1" x14ac:dyDescent="0.25"/>
    <row r="148265" s="12" customFormat="1" x14ac:dyDescent="0.25"/>
    <row r="148266" s="12" customFormat="1" x14ac:dyDescent="0.25"/>
    <row r="148267" s="12" customFormat="1" x14ac:dyDescent="0.25"/>
    <row r="148268" s="12" customFormat="1" x14ac:dyDescent="0.25"/>
    <row r="148269" s="12" customFormat="1" x14ac:dyDescent="0.25"/>
    <row r="148270" s="12" customFormat="1" x14ac:dyDescent="0.25"/>
    <row r="148271" s="12" customFormat="1" x14ac:dyDescent="0.25"/>
    <row r="148272" s="12" customFormat="1" x14ac:dyDescent="0.25"/>
    <row r="148273" s="12" customFormat="1" x14ac:dyDescent="0.25"/>
    <row r="148274" s="12" customFormat="1" x14ac:dyDescent="0.25"/>
    <row r="148275" s="12" customFormat="1" x14ac:dyDescent="0.25"/>
    <row r="148276" s="12" customFormat="1" x14ac:dyDescent="0.25"/>
    <row r="148277" s="12" customFormat="1" x14ac:dyDescent="0.25"/>
    <row r="148278" s="12" customFormat="1" x14ac:dyDescent="0.25"/>
    <row r="148279" s="12" customFormat="1" x14ac:dyDescent="0.25"/>
    <row r="148280" s="12" customFormat="1" x14ac:dyDescent="0.25"/>
    <row r="148281" s="12" customFormat="1" x14ac:dyDescent="0.25"/>
    <row r="148282" s="12" customFormat="1" x14ac:dyDescent="0.25"/>
    <row r="148283" s="12" customFormat="1" x14ac:dyDescent="0.25"/>
    <row r="148284" s="12" customFormat="1" x14ac:dyDescent="0.25"/>
    <row r="148285" s="12" customFormat="1" x14ac:dyDescent="0.25"/>
    <row r="148286" s="12" customFormat="1" x14ac:dyDescent="0.25"/>
    <row r="148287" s="12" customFormat="1" x14ac:dyDescent="0.25"/>
    <row r="148288" s="12" customFormat="1" x14ac:dyDescent="0.25"/>
    <row r="148289" s="12" customFormat="1" x14ac:dyDescent="0.25"/>
    <row r="148290" s="12" customFormat="1" x14ac:dyDescent="0.25"/>
    <row r="148291" s="12" customFormat="1" x14ac:dyDescent="0.25"/>
    <row r="148292" s="12" customFormat="1" x14ac:dyDescent="0.25"/>
    <row r="148293" s="12" customFormat="1" x14ac:dyDescent="0.25"/>
    <row r="148294" s="12" customFormat="1" x14ac:dyDescent="0.25"/>
    <row r="148295" s="12" customFormat="1" x14ac:dyDescent="0.25"/>
    <row r="148296" s="12" customFormat="1" x14ac:dyDescent="0.25"/>
    <row r="148297" s="12" customFormat="1" x14ac:dyDescent="0.25"/>
    <row r="148298" s="12" customFormat="1" x14ac:dyDescent="0.25"/>
    <row r="148299" s="12" customFormat="1" x14ac:dyDescent="0.25"/>
    <row r="148300" s="12" customFormat="1" x14ac:dyDescent="0.25"/>
    <row r="148301" s="12" customFormat="1" x14ac:dyDescent="0.25"/>
    <row r="148302" s="12" customFormat="1" x14ac:dyDescent="0.25"/>
    <row r="148303" s="12" customFormat="1" x14ac:dyDescent="0.25"/>
    <row r="148304" s="12" customFormat="1" x14ac:dyDescent="0.25"/>
    <row r="148305" s="12" customFormat="1" x14ac:dyDescent="0.25"/>
    <row r="148306" s="12" customFormat="1" x14ac:dyDescent="0.25"/>
    <row r="148307" s="12" customFormat="1" x14ac:dyDescent="0.25"/>
    <row r="148308" s="12" customFormat="1" x14ac:dyDescent="0.25"/>
    <row r="148309" s="12" customFormat="1" x14ac:dyDescent="0.25"/>
    <row r="148310" s="12" customFormat="1" x14ac:dyDescent="0.25"/>
    <row r="148311" s="12" customFormat="1" x14ac:dyDescent="0.25"/>
    <row r="148312" s="12" customFormat="1" x14ac:dyDescent="0.25"/>
    <row r="148313" s="12" customFormat="1" x14ac:dyDescent="0.25"/>
    <row r="148314" s="12" customFormat="1" x14ac:dyDescent="0.25"/>
    <row r="148315" s="12" customFormat="1" x14ac:dyDescent="0.25"/>
    <row r="148316" s="12" customFormat="1" x14ac:dyDescent="0.25"/>
    <row r="148317" s="12" customFormat="1" x14ac:dyDescent="0.25"/>
    <row r="148318" s="12" customFormat="1" x14ac:dyDescent="0.25"/>
    <row r="148319" s="12" customFormat="1" x14ac:dyDescent="0.25"/>
    <row r="148320" s="12" customFormat="1" x14ac:dyDescent="0.25"/>
    <row r="148321" s="12" customFormat="1" x14ac:dyDescent="0.25"/>
    <row r="148322" s="12" customFormat="1" x14ac:dyDescent="0.25"/>
    <row r="148323" s="12" customFormat="1" x14ac:dyDescent="0.25"/>
    <row r="148324" s="12" customFormat="1" x14ac:dyDescent="0.25"/>
    <row r="148325" s="12" customFormat="1" x14ac:dyDescent="0.25"/>
    <row r="148326" s="12" customFormat="1" x14ac:dyDescent="0.25"/>
    <row r="148327" s="12" customFormat="1" x14ac:dyDescent="0.25"/>
    <row r="148328" s="12" customFormat="1" x14ac:dyDescent="0.25"/>
    <row r="148329" s="12" customFormat="1" x14ac:dyDescent="0.25"/>
    <row r="148330" s="12" customFormat="1" x14ac:dyDescent="0.25"/>
    <row r="148331" s="12" customFormat="1" x14ac:dyDescent="0.25"/>
    <row r="148332" s="12" customFormat="1" x14ac:dyDescent="0.25"/>
    <row r="148333" s="12" customFormat="1" x14ac:dyDescent="0.25"/>
    <row r="148334" s="12" customFormat="1" x14ac:dyDescent="0.25"/>
    <row r="148335" s="12" customFormat="1" x14ac:dyDescent="0.25"/>
    <row r="148336" s="12" customFormat="1" x14ac:dyDescent="0.25"/>
    <row r="148337" s="12" customFormat="1" x14ac:dyDescent="0.25"/>
    <row r="148338" s="12" customFormat="1" x14ac:dyDescent="0.25"/>
    <row r="148339" s="12" customFormat="1" x14ac:dyDescent="0.25"/>
    <row r="148340" s="12" customFormat="1" x14ac:dyDescent="0.25"/>
    <row r="148341" s="12" customFormat="1" x14ac:dyDescent="0.25"/>
    <row r="148342" s="12" customFormat="1" x14ac:dyDescent="0.25"/>
    <row r="148343" s="12" customFormat="1" x14ac:dyDescent="0.25"/>
    <row r="148344" s="12" customFormat="1" x14ac:dyDescent="0.25"/>
    <row r="148345" s="12" customFormat="1" x14ac:dyDescent="0.25"/>
    <row r="148346" s="12" customFormat="1" x14ac:dyDescent="0.25"/>
    <row r="148347" s="12" customFormat="1" x14ac:dyDescent="0.25"/>
    <row r="148348" s="12" customFormat="1" x14ac:dyDescent="0.25"/>
    <row r="148349" s="12" customFormat="1" x14ac:dyDescent="0.25"/>
    <row r="148350" s="12" customFormat="1" x14ac:dyDescent="0.25"/>
    <row r="148351" s="12" customFormat="1" x14ac:dyDescent="0.25"/>
    <row r="148352" s="12" customFormat="1" x14ac:dyDescent="0.25"/>
    <row r="148353" s="12" customFormat="1" x14ac:dyDescent="0.25"/>
    <row r="148354" s="12" customFormat="1" x14ac:dyDescent="0.25"/>
    <row r="148355" s="12" customFormat="1" x14ac:dyDescent="0.25"/>
    <row r="148356" s="12" customFormat="1" x14ac:dyDescent="0.25"/>
    <row r="148357" s="12" customFormat="1" x14ac:dyDescent="0.25"/>
    <row r="148358" s="12" customFormat="1" x14ac:dyDescent="0.25"/>
    <row r="148359" s="12" customFormat="1" x14ac:dyDescent="0.25"/>
    <row r="148360" s="12" customFormat="1" x14ac:dyDescent="0.25"/>
    <row r="148361" s="12" customFormat="1" x14ac:dyDescent="0.25"/>
    <row r="148362" s="12" customFormat="1" x14ac:dyDescent="0.25"/>
    <row r="148363" s="12" customFormat="1" x14ac:dyDescent="0.25"/>
    <row r="148364" s="12" customFormat="1" x14ac:dyDescent="0.25"/>
    <row r="148365" s="12" customFormat="1" x14ac:dyDescent="0.25"/>
    <row r="148366" s="12" customFormat="1" x14ac:dyDescent="0.25"/>
    <row r="148367" s="12" customFormat="1" x14ac:dyDescent="0.25"/>
    <row r="148368" s="12" customFormat="1" x14ac:dyDescent="0.25"/>
    <row r="148369" s="12" customFormat="1" x14ac:dyDescent="0.25"/>
    <row r="148370" s="12" customFormat="1" x14ac:dyDescent="0.25"/>
    <row r="148371" s="12" customFormat="1" x14ac:dyDescent="0.25"/>
    <row r="148372" s="12" customFormat="1" x14ac:dyDescent="0.25"/>
    <row r="148373" s="12" customFormat="1" x14ac:dyDescent="0.25"/>
    <row r="148374" s="12" customFormat="1" x14ac:dyDescent="0.25"/>
    <row r="148375" s="12" customFormat="1" x14ac:dyDescent="0.25"/>
    <row r="148376" s="12" customFormat="1" x14ac:dyDescent="0.25"/>
    <row r="148377" s="12" customFormat="1" x14ac:dyDescent="0.25"/>
    <row r="148378" s="12" customFormat="1" x14ac:dyDescent="0.25"/>
    <row r="148379" s="12" customFormat="1" x14ac:dyDescent="0.25"/>
    <row r="148380" s="12" customFormat="1" x14ac:dyDescent="0.25"/>
    <row r="148381" s="12" customFormat="1" x14ac:dyDescent="0.25"/>
    <row r="148382" s="12" customFormat="1" x14ac:dyDescent="0.25"/>
    <row r="148383" s="12" customFormat="1" x14ac:dyDescent="0.25"/>
    <row r="148384" s="12" customFormat="1" x14ac:dyDescent="0.25"/>
    <row r="148385" s="12" customFormat="1" x14ac:dyDescent="0.25"/>
    <row r="148386" s="12" customFormat="1" x14ac:dyDescent="0.25"/>
    <row r="148387" s="12" customFormat="1" x14ac:dyDescent="0.25"/>
    <row r="148388" s="12" customFormat="1" x14ac:dyDescent="0.25"/>
    <row r="148389" s="12" customFormat="1" x14ac:dyDescent="0.25"/>
    <row r="148390" s="12" customFormat="1" x14ac:dyDescent="0.25"/>
    <row r="148391" s="12" customFormat="1" x14ac:dyDescent="0.25"/>
    <row r="148392" s="12" customFormat="1" x14ac:dyDescent="0.25"/>
    <row r="148393" s="12" customFormat="1" x14ac:dyDescent="0.25"/>
    <row r="148394" s="12" customFormat="1" x14ac:dyDescent="0.25"/>
    <row r="148395" s="12" customFormat="1" x14ac:dyDescent="0.25"/>
    <row r="148396" s="12" customFormat="1" x14ac:dyDescent="0.25"/>
    <row r="148397" s="12" customFormat="1" x14ac:dyDescent="0.25"/>
    <row r="148398" s="12" customFormat="1" x14ac:dyDescent="0.25"/>
    <row r="148399" s="12" customFormat="1" x14ac:dyDescent="0.25"/>
    <row r="148400" s="12" customFormat="1" x14ac:dyDescent="0.25"/>
    <row r="148401" s="12" customFormat="1" x14ac:dyDescent="0.25"/>
    <row r="148402" s="12" customFormat="1" x14ac:dyDescent="0.25"/>
    <row r="148403" s="12" customFormat="1" x14ac:dyDescent="0.25"/>
    <row r="148404" s="12" customFormat="1" x14ac:dyDescent="0.25"/>
    <row r="148405" s="12" customFormat="1" x14ac:dyDescent="0.25"/>
    <row r="148406" s="12" customFormat="1" x14ac:dyDescent="0.25"/>
    <row r="148407" s="12" customFormat="1" x14ac:dyDescent="0.25"/>
    <row r="148408" s="12" customFormat="1" x14ac:dyDescent="0.25"/>
    <row r="148409" s="12" customFormat="1" x14ac:dyDescent="0.25"/>
    <row r="148410" s="12" customFormat="1" x14ac:dyDescent="0.25"/>
    <row r="148411" s="12" customFormat="1" x14ac:dyDescent="0.25"/>
    <row r="148412" s="12" customFormat="1" x14ac:dyDescent="0.25"/>
    <row r="148413" s="12" customFormat="1" x14ac:dyDescent="0.25"/>
    <row r="148414" s="12" customFormat="1" x14ac:dyDescent="0.25"/>
    <row r="148415" s="12" customFormat="1" x14ac:dyDescent="0.25"/>
    <row r="148416" s="12" customFormat="1" x14ac:dyDescent="0.25"/>
    <row r="148417" s="12" customFormat="1" x14ac:dyDescent="0.25"/>
    <row r="148418" s="12" customFormat="1" x14ac:dyDescent="0.25"/>
    <row r="148419" s="12" customFormat="1" x14ac:dyDescent="0.25"/>
    <row r="148420" s="12" customFormat="1" x14ac:dyDescent="0.25"/>
    <row r="148421" s="12" customFormat="1" x14ac:dyDescent="0.25"/>
    <row r="148422" s="12" customFormat="1" x14ac:dyDescent="0.25"/>
    <row r="148423" s="12" customFormat="1" x14ac:dyDescent="0.25"/>
    <row r="148424" s="12" customFormat="1" x14ac:dyDescent="0.25"/>
    <row r="148425" s="12" customFormat="1" x14ac:dyDescent="0.25"/>
    <row r="148426" s="12" customFormat="1" x14ac:dyDescent="0.25"/>
    <row r="148427" s="12" customFormat="1" x14ac:dyDescent="0.25"/>
    <row r="148428" s="12" customFormat="1" x14ac:dyDescent="0.25"/>
    <row r="148429" s="12" customFormat="1" x14ac:dyDescent="0.25"/>
    <row r="148430" s="12" customFormat="1" x14ac:dyDescent="0.25"/>
    <row r="148431" s="12" customFormat="1" x14ac:dyDescent="0.25"/>
    <row r="148432" s="12" customFormat="1" x14ac:dyDescent="0.25"/>
    <row r="148433" s="12" customFormat="1" x14ac:dyDescent="0.25"/>
    <row r="148434" s="12" customFormat="1" x14ac:dyDescent="0.25"/>
    <row r="148435" s="12" customFormat="1" x14ac:dyDescent="0.25"/>
    <row r="148436" s="12" customFormat="1" x14ac:dyDescent="0.25"/>
    <row r="148437" s="12" customFormat="1" x14ac:dyDescent="0.25"/>
    <row r="148438" s="12" customFormat="1" x14ac:dyDescent="0.25"/>
    <row r="148439" s="12" customFormat="1" x14ac:dyDescent="0.25"/>
    <row r="148440" s="12" customFormat="1" x14ac:dyDescent="0.25"/>
    <row r="148441" s="12" customFormat="1" x14ac:dyDescent="0.25"/>
    <row r="148442" s="12" customFormat="1" x14ac:dyDescent="0.25"/>
    <row r="148443" s="12" customFormat="1" x14ac:dyDescent="0.25"/>
    <row r="148444" s="12" customFormat="1" x14ac:dyDescent="0.25"/>
    <row r="148445" s="12" customFormat="1" x14ac:dyDescent="0.25"/>
    <row r="148446" s="12" customFormat="1" x14ac:dyDescent="0.25"/>
    <row r="148447" s="12" customFormat="1" x14ac:dyDescent="0.25"/>
    <row r="148448" s="12" customFormat="1" x14ac:dyDescent="0.25"/>
    <row r="148449" s="12" customFormat="1" x14ac:dyDescent="0.25"/>
    <row r="148450" s="12" customFormat="1" x14ac:dyDescent="0.25"/>
    <row r="148451" s="12" customFormat="1" x14ac:dyDescent="0.25"/>
    <row r="148452" s="12" customFormat="1" x14ac:dyDescent="0.25"/>
    <row r="148453" s="12" customFormat="1" x14ac:dyDescent="0.25"/>
    <row r="148454" s="12" customFormat="1" x14ac:dyDescent="0.25"/>
    <row r="148455" s="12" customFormat="1" x14ac:dyDescent="0.25"/>
    <row r="148456" s="12" customFormat="1" x14ac:dyDescent="0.25"/>
    <row r="148457" s="12" customFormat="1" x14ac:dyDescent="0.25"/>
    <row r="148458" s="12" customFormat="1" x14ac:dyDescent="0.25"/>
    <row r="148459" s="12" customFormat="1" x14ac:dyDescent="0.25"/>
    <row r="148460" s="12" customFormat="1" x14ac:dyDescent="0.25"/>
    <row r="148461" s="12" customFormat="1" x14ac:dyDescent="0.25"/>
    <row r="148462" s="12" customFormat="1" x14ac:dyDescent="0.25"/>
    <row r="148463" s="12" customFormat="1" x14ac:dyDescent="0.25"/>
    <row r="148464" s="12" customFormat="1" x14ac:dyDescent="0.25"/>
    <row r="148465" s="12" customFormat="1" x14ac:dyDescent="0.25"/>
    <row r="148466" s="12" customFormat="1" x14ac:dyDescent="0.25"/>
    <row r="148467" s="12" customFormat="1" x14ac:dyDescent="0.25"/>
    <row r="148468" s="12" customFormat="1" x14ac:dyDescent="0.25"/>
    <row r="148469" s="12" customFormat="1" x14ac:dyDescent="0.25"/>
    <row r="148470" s="12" customFormat="1" x14ac:dyDescent="0.25"/>
    <row r="148471" s="12" customFormat="1" x14ac:dyDescent="0.25"/>
    <row r="148472" s="12" customFormat="1" x14ac:dyDescent="0.25"/>
    <row r="148473" s="12" customFormat="1" x14ac:dyDescent="0.25"/>
    <row r="148474" s="12" customFormat="1" x14ac:dyDescent="0.25"/>
    <row r="148475" s="12" customFormat="1" x14ac:dyDescent="0.25"/>
    <row r="148476" s="12" customFormat="1" x14ac:dyDescent="0.25"/>
    <row r="148477" s="12" customFormat="1" x14ac:dyDescent="0.25"/>
    <row r="148478" s="12" customFormat="1" x14ac:dyDescent="0.25"/>
    <row r="148479" s="12" customFormat="1" x14ac:dyDescent="0.25"/>
    <row r="148480" s="12" customFormat="1" x14ac:dyDescent="0.25"/>
    <row r="148481" s="12" customFormat="1" x14ac:dyDescent="0.25"/>
    <row r="148482" s="12" customFormat="1" x14ac:dyDescent="0.25"/>
    <row r="148483" s="12" customFormat="1" x14ac:dyDescent="0.25"/>
    <row r="148484" s="12" customFormat="1" x14ac:dyDescent="0.25"/>
    <row r="148485" s="12" customFormat="1" x14ac:dyDescent="0.25"/>
    <row r="148486" s="12" customFormat="1" x14ac:dyDescent="0.25"/>
    <row r="148487" s="12" customFormat="1" x14ac:dyDescent="0.25"/>
    <row r="148488" s="12" customFormat="1" x14ac:dyDescent="0.25"/>
    <row r="148489" s="12" customFormat="1" x14ac:dyDescent="0.25"/>
    <row r="148490" s="12" customFormat="1" x14ac:dyDescent="0.25"/>
    <row r="148491" s="12" customFormat="1" x14ac:dyDescent="0.25"/>
    <row r="148492" s="12" customFormat="1" x14ac:dyDescent="0.25"/>
    <row r="148493" s="12" customFormat="1" x14ac:dyDescent="0.25"/>
    <row r="148494" s="12" customFormat="1" x14ac:dyDescent="0.25"/>
    <row r="148495" s="12" customFormat="1" x14ac:dyDescent="0.25"/>
    <row r="148496" s="12" customFormat="1" x14ac:dyDescent="0.25"/>
    <row r="148497" s="12" customFormat="1" x14ac:dyDescent="0.25"/>
    <row r="148498" s="12" customFormat="1" x14ac:dyDescent="0.25"/>
    <row r="148499" s="12" customFormat="1" x14ac:dyDescent="0.25"/>
    <row r="148500" s="12" customFormat="1" x14ac:dyDescent="0.25"/>
    <row r="148501" s="12" customFormat="1" x14ac:dyDescent="0.25"/>
    <row r="148502" s="12" customFormat="1" x14ac:dyDescent="0.25"/>
    <row r="148503" s="12" customFormat="1" x14ac:dyDescent="0.25"/>
    <row r="148504" s="12" customFormat="1" x14ac:dyDescent="0.25"/>
    <row r="148505" s="12" customFormat="1" x14ac:dyDescent="0.25"/>
    <row r="148506" s="12" customFormat="1" x14ac:dyDescent="0.25"/>
    <row r="148507" s="12" customFormat="1" x14ac:dyDescent="0.25"/>
    <row r="148508" s="12" customFormat="1" x14ac:dyDescent="0.25"/>
    <row r="148509" s="12" customFormat="1" x14ac:dyDescent="0.25"/>
    <row r="148510" s="12" customFormat="1" x14ac:dyDescent="0.25"/>
    <row r="148511" s="12" customFormat="1" x14ac:dyDescent="0.25"/>
    <row r="148512" s="12" customFormat="1" x14ac:dyDescent="0.25"/>
    <row r="148513" s="12" customFormat="1" x14ac:dyDescent="0.25"/>
    <row r="148514" s="12" customFormat="1" x14ac:dyDescent="0.25"/>
    <row r="148515" s="12" customFormat="1" x14ac:dyDescent="0.25"/>
    <row r="148516" s="12" customFormat="1" x14ac:dyDescent="0.25"/>
    <row r="148517" s="12" customFormat="1" x14ac:dyDescent="0.25"/>
    <row r="148518" s="12" customFormat="1" x14ac:dyDescent="0.25"/>
    <row r="148519" s="12" customFormat="1" x14ac:dyDescent="0.25"/>
    <row r="148520" s="12" customFormat="1" x14ac:dyDescent="0.25"/>
    <row r="148521" s="12" customFormat="1" x14ac:dyDescent="0.25"/>
    <row r="148522" s="12" customFormat="1" x14ac:dyDescent="0.25"/>
    <row r="148523" s="12" customFormat="1" x14ac:dyDescent="0.25"/>
    <row r="148524" s="12" customFormat="1" x14ac:dyDescent="0.25"/>
    <row r="148525" s="12" customFormat="1" x14ac:dyDescent="0.25"/>
    <row r="148526" s="12" customFormat="1" x14ac:dyDescent="0.25"/>
    <row r="148527" s="12" customFormat="1" x14ac:dyDescent="0.25"/>
    <row r="148528" s="12" customFormat="1" x14ac:dyDescent="0.25"/>
    <row r="148529" s="12" customFormat="1" x14ac:dyDescent="0.25"/>
    <row r="148530" s="12" customFormat="1" x14ac:dyDescent="0.25"/>
    <row r="148531" s="12" customFormat="1" x14ac:dyDescent="0.25"/>
    <row r="148532" s="12" customFormat="1" x14ac:dyDescent="0.25"/>
    <row r="148533" s="12" customFormat="1" x14ac:dyDescent="0.25"/>
    <row r="148534" s="12" customFormat="1" x14ac:dyDescent="0.25"/>
    <row r="148535" s="12" customFormat="1" x14ac:dyDescent="0.25"/>
    <row r="148536" s="12" customFormat="1" x14ac:dyDescent="0.25"/>
    <row r="148537" s="12" customFormat="1" x14ac:dyDescent="0.25"/>
    <row r="148538" s="12" customFormat="1" x14ac:dyDescent="0.25"/>
    <row r="148539" s="12" customFormat="1" x14ac:dyDescent="0.25"/>
    <row r="148540" s="12" customFormat="1" x14ac:dyDescent="0.25"/>
    <row r="148541" s="12" customFormat="1" x14ac:dyDescent="0.25"/>
    <row r="148542" s="12" customFormat="1" x14ac:dyDescent="0.25"/>
    <row r="148543" s="12" customFormat="1" x14ac:dyDescent="0.25"/>
    <row r="148544" s="12" customFormat="1" x14ac:dyDescent="0.25"/>
    <row r="148545" s="12" customFormat="1" x14ac:dyDescent="0.25"/>
    <row r="148546" s="12" customFormat="1" x14ac:dyDescent="0.25"/>
    <row r="148547" s="12" customFormat="1" x14ac:dyDescent="0.25"/>
    <row r="148548" s="12" customFormat="1" x14ac:dyDescent="0.25"/>
    <row r="148549" s="12" customFormat="1" x14ac:dyDescent="0.25"/>
    <row r="148550" s="12" customFormat="1" x14ac:dyDescent="0.25"/>
    <row r="148551" s="12" customFormat="1" x14ac:dyDescent="0.25"/>
    <row r="148552" s="12" customFormat="1" x14ac:dyDescent="0.25"/>
    <row r="148553" s="12" customFormat="1" x14ac:dyDescent="0.25"/>
    <row r="148554" s="12" customFormat="1" x14ac:dyDescent="0.25"/>
    <row r="148555" s="12" customFormat="1" x14ac:dyDescent="0.25"/>
    <row r="148556" s="12" customFormat="1" x14ac:dyDescent="0.25"/>
    <row r="148557" s="12" customFormat="1" x14ac:dyDescent="0.25"/>
    <row r="148558" s="12" customFormat="1" x14ac:dyDescent="0.25"/>
    <row r="148559" s="12" customFormat="1" x14ac:dyDescent="0.25"/>
    <row r="148560" s="12" customFormat="1" x14ac:dyDescent="0.25"/>
    <row r="148561" s="12" customFormat="1" x14ac:dyDescent="0.25"/>
    <row r="148562" s="12" customFormat="1" x14ac:dyDescent="0.25"/>
    <row r="148563" s="12" customFormat="1" x14ac:dyDescent="0.25"/>
    <row r="148564" s="12" customFormat="1" x14ac:dyDescent="0.25"/>
    <row r="148565" s="12" customFormat="1" x14ac:dyDescent="0.25"/>
    <row r="148566" s="12" customFormat="1" x14ac:dyDescent="0.25"/>
    <row r="148567" s="12" customFormat="1" x14ac:dyDescent="0.25"/>
    <row r="148568" s="12" customFormat="1" x14ac:dyDescent="0.25"/>
    <row r="148569" s="12" customFormat="1" x14ac:dyDescent="0.25"/>
    <row r="148570" s="12" customFormat="1" x14ac:dyDescent="0.25"/>
    <row r="148571" s="12" customFormat="1" x14ac:dyDescent="0.25"/>
    <row r="148572" s="12" customFormat="1" x14ac:dyDescent="0.25"/>
    <row r="148573" s="12" customFormat="1" x14ac:dyDescent="0.25"/>
    <row r="148574" s="12" customFormat="1" x14ac:dyDescent="0.25"/>
    <row r="148575" s="12" customFormat="1" x14ac:dyDescent="0.25"/>
    <row r="148576" s="12" customFormat="1" x14ac:dyDescent="0.25"/>
    <row r="148577" s="12" customFormat="1" x14ac:dyDescent="0.25"/>
    <row r="148578" s="12" customFormat="1" x14ac:dyDescent="0.25"/>
    <row r="148579" s="12" customFormat="1" x14ac:dyDescent="0.25"/>
    <row r="148580" s="12" customFormat="1" x14ac:dyDescent="0.25"/>
    <row r="148581" s="12" customFormat="1" x14ac:dyDescent="0.25"/>
    <row r="148582" s="12" customFormat="1" x14ac:dyDescent="0.25"/>
    <row r="148583" s="12" customFormat="1" x14ac:dyDescent="0.25"/>
    <row r="148584" s="12" customFormat="1" x14ac:dyDescent="0.25"/>
    <row r="148585" s="12" customFormat="1" x14ac:dyDescent="0.25"/>
    <row r="148586" s="12" customFormat="1" x14ac:dyDescent="0.25"/>
    <row r="148587" s="12" customFormat="1" x14ac:dyDescent="0.25"/>
    <row r="148588" s="12" customFormat="1" x14ac:dyDescent="0.25"/>
    <row r="148589" s="12" customFormat="1" x14ac:dyDescent="0.25"/>
    <row r="148590" s="12" customFormat="1" x14ac:dyDescent="0.25"/>
    <row r="148591" s="12" customFormat="1" x14ac:dyDescent="0.25"/>
    <row r="148592" s="12" customFormat="1" x14ac:dyDescent="0.25"/>
    <row r="148593" s="12" customFormat="1" x14ac:dyDescent="0.25"/>
    <row r="148594" s="12" customFormat="1" x14ac:dyDescent="0.25"/>
    <row r="148595" s="12" customFormat="1" x14ac:dyDescent="0.25"/>
    <row r="148596" s="12" customFormat="1" x14ac:dyDescent="0.25"/>
    <row r="148597" s="12" customFormat="1" x14ac:dyDescent="0.25"/>
    <row r="148598" s="12" customFormat="1" x14ac:dyDescent="0.25"/>
    <row r="148599" s="12" customFormat="1" x14ac:dyDescent="0.25"/>
    <row r="148600" s="12" customFormat="1" x14ac:dyDescent="0.25"/>
    <row r="148601" s="12" customFormat="1" x14ac:dyDescent="0.25"/>
    <row r="148602" s="12" customFormat="1" x14ac:dyDescent="0.25"/>
    <row r="148603" s="12" customFormat="1" x14ac:dyDescent="0.25"/>
    <row r="148604" s="12" customFormat="1" x14ac:dyDescent="0.25"/>
    <row r="148605" s="12" customFormat="1" x14ac:dyDescent="0.25"/>
    <row r="148606" s="12" customFormat="1" x14ac:dyDescent="0.25"/>
    <row r="148607" s="12" customFormat="1" x14ac:dyDescent="0.25"/>
    <row r="148608" s="12" customFormat="1" x14ac:dyDescent="0.25"/>
    <row r="148609" s="12" customFormat="1" x14ac:dyDescent="0.25"/>
    <row r="148610" s="12" customFormat="1" x14ac:dyDescent="0.25"/>
    <row r="148611" s="12" customFormat="1" x14ac:dyDescent="0.25"/>
    <row r="148612" s="12" customFormat="1" x14ac:dyDescent="0.25"/>
    <row r="148613" s="12" customFormat="1" x14ac:dyDescent="0.25"/>
    <row r="148614" s="12" customFormat="1" x14ac:dyDescent="0.25"/>
    <row r="148615" s="12" customFormat="1" x14ac:dyDescent="0.25"/>
    <row r="148616" s="12" customFormat="1" x14ac:dyDescent="0.25"/>
    <row r="148617" s="12" customFormat="1" x14ac:dyDescent="0.25"/>
    <row r="148618" s="12" customFormat="1" x14ac:dyDescent="0.25"/>
    <row r="148619" s="12" customFormat="1" x14ac:dyDescent="0.25"/>
    <row r="148620" s="12" customFormat="1" x14ac:dyDescent="0.25"/>
    <row r="148621" s="12" customFormat="1" x14ac:dyDescent="0.25"/>
    <row r="148622" s="12" customFormat="1" x14ac:dyDescent="0.25"/>
    <row r="148623" s="12" customFormat="1" x14ac:dyDescent="0.25"/>
    <row r="148624" s="12" customFormat="1" x14ac:dyDescent="0.25"/>
    <row r="148625" s="12" customFormat="1" x14ac:dyDescent="0.25"/>
    <row r="148626" s="12" customFormat="1" x14ac:dyDescent="0.25"/>
    <row r="148627" s="12" customFormat="1" x14ac:dyDescent="0.25"/>
    <row r="148628" s="12" customFormat="1" x14ac:dyDescent="0.25"/>
    <row r="148629" s="12" customFormat="1" x14ac:dyDescent="0.25"/>
    <row r="148630" s="12" customFormat="1" x14ac:dyDescent="0.25"/>
    <row r="148631" s="12" customFormat="1" x14ac:dyDescent="0.25"/>
    <row r="148632" s="12" customFormat="1" x14ac:dyDescent="0.25"/>
    <row r="148633" s="12" customFormat="1" x14ac:dyDescent="0.25"/>
    <row r="148634" s="12" customFormat="1" x14ac:dyDescent="0.25"/>
    <row r="148635" s="12" customFormat="1" x14ac:dyDescent="0.25"/>
    <row r="148636" s="12" customFormat="1" x14ac:dyDescent="0.25"/>
    <row r="148637" s="12" customFormat="1" x14ac:dyDescent="0.25"/>
    <row r="148638" s="12" customFormat="1" x14ac:dyDescent="0.25"/>
    <row r="148639" s="12" customFormat="1" x14ac:dyDescent="0.25"/>
    <row r="148640" s="12" customFormat="1" x14ac:dyDescent="0.25"/>
    <row r="148641" s="12" customFormat="1" x14ac:dyDescent="0.25"/>
    <row r="148642" s="12" customFormat="1" x14ac:dyDescent="0.25"/>
    <row r="148643" s="12" customFormat="1" x14ac:dyDescent="0.25"/>
    <row r="148644" s="12" customFormat="1" x14ac:dyDescent="0.25"/>
    <row r="148645" s="12" customFormat="1" x14ac:dyDescent="0.25"/>
    <row r="148646" s="12" customFormat="1" x14ac:dyDescent="0.25"/>
    <row r="148647" s="12" customFormat="1" x14ac:dyDescent="0.25"/>
    <row r="148648" s="12" customFormat="1" x14ac:dyDescent="0.25"/>
    <row r="148649" s="12" customFormat="1" x14ac:dyDescent="0.25"/>
    <row r="148650" s="12" customFormat="1" x14ac:dyDescent="0.25"/>
    <row r="148651" s="12" customFormat="1" x14ac:dyDescent="0.25"/>
    <row r="148652" s="12" customFormat="1" x14ac:dyDescent="0.25"/>
    <row r="148653" s="12" customFormat="1" x14ac:dyDescent="0.25"/>
    <row r="148654" s="12" customFormat="1" x14ac:dyDescent="0.25"/>
    <row r="148655" s="12" customFormat="1" x14ac:dyDescent="0.25"/>
    <row r="148656" s="12" customFormat="1" x14ac:dyDescent="0.25"/>
    <row r="148657" s="12" customFormat="1" x14ac:dyDescent="0.25"/>
    <row r="148658" s="12" customFormat="1" x14ac:dyDescent="0.25"/>
    <row r="148659" s="12" customFormat="1" x14ac:dyDescent="0.25"/>
    <row r="148660" s="12" customFormat="1" x14ac:dyDescent="0.25"/>
    <row r="148661" s="12" customFormat="1" x14ac:dyDescent="0.25"/>
    <row r="148662" s="12" customFormat="1" x14ac:dyDescent="0.25"/>
    <row r="148663" s="12" customFormat="1" x14ac:dyDescent="0.25"/>
    <row r="148664" s="12" customFormat="1" x14ac:dyDescent="0.25"/>
    <row r="148665" s="12" customFormat="1" x14ac:dyDescent="0.25"/>
    <row r="148666" s="12" customFormat="1" x14ac:dyDescent="0.25"/>
    <row r="148667" s="12" customFormat="1" x14ac:dyDescent="0.25"/>
    <row r="148668" s="12" customFormat="1" x14ac:dyDescent="0.25"/>
    <row r="148669" s="12" customFormat="1" x14ac:dyDescent="0.25"/>
    <row r="148670" s="12" customFormat="1" x14ac:dyDescent="0.25"/>
    <row r="148671" s="12" customFormat="1" x14ac:dyDescent="0.25"/>
    <row r="148672" s="12" customFormat="1" x14ac:dyDescent="0.25"/>
    <row r="148673" s="12" customFormat="1" x14ac:dyDescent="0.25"/>
    <row r="148674" s="12" customFormat="1" x14ac:dyDescent="0.25"/>
    <row r="148675" s="12" customFormat="1" x14ac:dyDescent="0.25"/>
    <row r="148676" s="12" customFormat="1" x14ac:dyDescent="0.25"/>
    <row r="148677" s="12" customFormat="1" x14ac:dyDescent="0.25"/>
    <row r="148678" s="12" customFormat="1" x14ac:dyDescent="0.25"/>
    <row r="148679" s="12" customFormat="1" x14ac:dyDescent="0.25"/>
    <row r="148680" s="12" customFormat="1" x14ac:dyDescent="0.25"/>
    <row r="148681" s="12" customFormat="1" x14ac:dyDescent="0.25"/>
    <row r="148682" s="12" customFormat="1" x14ac:dyDescent="0.25"/>
    <row r="148683" s="12" customFormat="1" x14ac:dyDescent="0.25"/>
    <row r="148684" s="12" customFormat="1" x14ac:dyDescent="0.25"/>
    <row r="148685" s="12" customFormat="1" x14ac:dyDescent="0.25"/>
    <row r="148686" s="12" customFormat="1" x14ac:dyDescent="0.25"/>
    <row r="148687" s="12" customFormat="1" x14ac:dyDescent="0.25"/>
    <row r="148688" s="12" customFormat="1" x14ac:dyDescent="0.25"/>
    <row r="148689" s="12" customFormat="1" x14ac:dyDescent="0.25"/>
    <row r="148690" s="12" customFormat="1" x14ac:dyDescent="0.25"/>
    <row r="148691" s="12" customFormat="1" x14ac:dyDescent="0.25"/>
    <row r="148692" s="12" customFormat="1" x14ac:dyDescent="0.25"/>
    <row r="148693" s="12" customFormat="1" x14ac:dyDescent="0.25"/>
    <row r="148694" s="12" customFormat="1" x14ac:dyDescent="0.25"/>
    <row r="148695" s="12" customFormat="1" x14ac:dyDescent="0.25"/>
    <row r="148696" s="12" customFormat="1" x14ac:dyDescent="0.25"/>
    <row r="148697" s="12" customFormat="1" x14ac:dyDescent="0.25"/>
    <row r="148698" s="12" customFormat="1" x14ac:dyDescent="0.25"/>
    <row r="148699" s="12" customFormat="1" x14ac:dyDescent="0.25"/>
    <row r="148700" s="12" customFormat="1" x14ac:dyDescent="0.25"/>
    <row r="148701" s="12" customFormat="1" x14ac:dyDescent="0.25"/>
    <row r="148702" s="12" customFormat="1" x14ac:dyDescent="0.25"/>
    <row r="148703" s="12" customFormat="1" x14ac:dyDescent="0.25"/>
    <row r="148704" s="12" customFormat="1" x14ac:dyDescent="0.25"/>
    <row r="148705" s="12" customFormat="1" x14ac:dyDescent="0.25"/>
    <row r="148706" s="12" customFormat="1" x14ac:dyDescent="0.25"/>
    <row r="148707" s="12" customFormat="1" x14ac:dyDescent="0.25"/>
    <row r="148708" s="12" customFormat="1" x14ac:dyDescent="0.25"/>
    <row r="148709" s="12" customFormat="1" x14ac:dyDescent="0.25"/>
    <row r="148710" s="12" customFormat="1" x14ac:dyDescent="0.25"/>
    <row r="148711" s="12" customFormat="1" x14ac:dyDescent="0.25"/>
    <row r="148712" s="12" customFormat="1" x14ac:dyDescent="0.25"/>
    <row r="148713" s="12" customFormat="1" x14ac:dyDescent="0.25"/>
    <row r="148714" s="12" customFormat="1" x14ac:dyDescent="0.25"/>
    <row r="148715" s="12" customFormat="1" x14ac:dyDescent="0.25"/>
    <row r="148716" s="12" customFormat="1" x14ac:dyDescent="0.25"/>
    <row r="148717" s="12" customFormat="1" x14ac:dyDescent="0.25"/>
    <row r="148718" s="12" customFormat="1" x14ac:dyDescent="0.25"/>
    <row r="148719" s="12" customFormat="1" x14ac:dyDescent="0.25"/>
    <row r="148720" s="12" customFormat="1" x14ac:dyDescent="0.25"/>
    <row r="148721" s="12" customFormat="1" x14ac:dyDescent="0.25"/>
    <row r="148722" s="12" customFormat="1" x14ac:dyDescent="0.25"/>
    <row r="148723" s="12" customFormat="1" x14ac:dyDescent="0.25"/>
    <row r="148724" s="12" customFormat="1" x14ac:dyDescent="0.25"/>
    <row r="148725" s="12" customFormat="1" x14ac:dyDescent="0.25"/>
    <row r="148726" s="12" customFormat="1" x14ac:dyDescent="0.25"/>
    <row r="148727" s="12" customFormat="1" x14ac:dyDescent="0.25"/>
    <row r="148728" s="12" customFormat="1" x14ac:dyDescent="0.25"/>
    <row r="148729" s="12" customFormat="1" x14ac:dyDescent="0.25"/>
    <row r="148730" s="12" customFormat="1" x14ac:dyDescent="0.25"/>
    <row r="148731" s="12" customFormat="1" x14ac:dyDescent="0.25"/>
    <row r="148732" s="12" customFormat="1" x14ac:dyDescent="0.25"/>
    <row r="148733" s="12" customFormat="1" x14ac:dyDescent="0.25"/>
    <row r="148734" s="12" customFormat="1" x14ac:dyDescent="0.25"/>
    <row r="148735" s="12" customFormat="1" x14ac:dyDescent="0.25"/>
    <row r="148736" s="12" customFormat="1" x14ac:dyDescent="0.25"/>
    <row r="148737" s="12" customFormat="1" x14ac:dyDescent="0.25"/>
    <row r="148738" s="12" customFormat="1" x14ac:dyDescent="0.25"/>
    <row r="148739" s="12" customFormat="1" x14ac:dyDescent="0.25"/>
    <row r="148740" s="12" customFormat="1" x14ac:dyDescent="0.25"/>
    <row r="148741" s="12" customFormat="1" x14ac:dyDescent="0.25"/>
    <row r="148742" s="12" customFormat="1" x14ac:dyDescent="0.25"/>
    <row r="148743" s="12" customFormat="1" x14ac:dyDescent="0.25"/>
    <row r="148744" s="12" customFormat="1" x14ac:dyDescent="0.25"/>
    <row r="148745" s="12" customFormat="1" x14ac:dyDescent="0.25"/>
    <row r="148746" s="12" customFormat="1" x14ac:dyDescent="0.25"/>
    <row r="148747" s="12" customFormat="1" x14ac:dyDescent="0.25"/>
    <row r="148748" s="12" customFormat="1" x14ac:dyDescent="0.25"/>
    <row r="148749" s="12" customFormat="1" x14ac:dyDescent="0.25"/>
    <row r="148750" s="12" customFormat="1" x14ac:dyDescent="0.25"/>
    <row r="148751" s="12" customFormat="1" x14ac:dyDescent="0.25"/>
    <row r="148752" s="12" customFormat="1" x14ac:dyDescent="0.25"/>
    <row r="148753" s="12" customFormat="1" x14ac:dyDescent="0.25"/>
    <row r="148754" s="12" customFormat="1" x14ac:dyDescent="0.25"/>
    <row r="148755" s="12" customFormat="1" x14ac:dyDescent="0.25"/>
    <row r="148756" s="12" customFormat="1" x14ac:dyDescent="0.25"/>
    <row r="148757" s="12" customFormat="1" x14ac:dyDescent="0.25"/>
    <row r="148758" s="12" customFormat="1" x14ac:dyDescent="0.25"/>
    <row r="148759" s="12" customFormat="1" x14ac:dyDescent="0.25"/>
    <row r="148760" s="12" customFormat="1" x14ac:dyDescent="0.25"/>
    <row r="148761" s="12" customFormat="1" x14ac:dyDescent="0.25"/>
    <row r="148762" s="12" customFormat="1" x14ac:dyDescent="0.25"/>
    <row r="148763" s="12" customFormat="1" x14ac:dyDescent="0.25"/>
    <row r="148764" s="12" customFormat="1" x14ac:dyDescent="0.25"/>
    <row r="148765" s="12" customFormat="1" x14ac:dyDescent="0.25"/>
    <row r="148766" s="12" customFormat="1" x14ac:dyDescent="0.25"/>
    <row r="148767" s="12" customFormat="1" x14ac:dyDescent="0.25"/>
    <row r="148768" s="12" customFormat="1" x14ac:dyDescent="0.25"/>
    <row r="148769" s="12" customFormat="1" x14ac:dyDescent="0.25"/>
    <row r="148770" s="12" customFormat="1" x14ac:dyDescent="0.25"/>
    <row r="148771" s="12" customFormat="1" x14ac:dyDescent="0.25"/>
    <row r="148772" s="12" customFormat="1" x14ac:dyDescent="0.25"/>
    <row r="148773" s="12" customFormat="1" x14ac:dyDescent="0.25"/>
    <row r="148774" s="12" customFormat="1" x14ac:dyDescent="0.25"/>
    <row r="148775" s="12" customFormat="1" x14ac:dyDescent="0.25"/>
    <row r="148776" s="12" customFormat="1" x14ac:dyDescent="0.25"/>
    <row r="148777" s="12" customFormat="1" x14ac:dyDescent="0.25"/>
    <row r="148778" s="12" customFormat="1" x14ac:dyDescent="0.25"/>
    <row r="148779" s="12" customFormat="1" x14ac:dyDescent="0.25"/>
    <row r="148780" s="12" customFormat="1" x14ac:dyDescent="0.25"/>
    <row r="148781" s="12" customFormat="1" x14ac:dyDescent="0.25"/>
    <row r="148782" s="12" customFormat="1" x14ac:dyDescent="0.25"/>
    <row r="148783" s="12" customFormat="1" x14ac:dyDescent="0.25"/>
    <row r="148784" s="12" customFormat="1" x14ac:dyDescent="0.25"/>
    <row r="148785" s="12" customFormat="1" x14ac:dyDescent="0.25"/>
    <row r="148786" s="12" customFormat="1" x14ac:dyDescent="0.25"/>
    <row r="148787" s="12" customFormat="1" x14ac:dyDescent="0.25"/>
    <row r="148788" s="12" customFormat="1" x14ac:dyDescent="0.25"/>
    <row r="148789" s="12" customFormat="1" x14ac:dyDescent="0.25"/>
    <row r="148790" s="12" customFormat="1" x14ac:dyDescent="0.25"/>
    <row r="148791" s="12" customFormat="1" x14ac:dyDescent="0.25"/>
    <row r="148792" s="12" customFormat="1" x14ac:dyDescent="0.25"/>
    <row r="148793" s="12" customFormat="1" x14ac:dyDescent="0.25"/>
    <row r="148794" s="12" customFormat="1" x14ac:dyDescent="0.25"/>
    <row r="148795" s="12" customFormat="1" x14ac:dyDescent="0.25"/>
    <row r="148796" s="12" customFormat="1" x14ac:dyDescent="0.25"/>
    <row r="148797" s="12" customFormat="1" x14ac:dyDescent="0.25"/>
    <row r="148798" s="12" customFormat="1" x14ac:dyDescent="0.25"/>
    <row r="148799" s="12" customFormat="1" x14ac:dyDescent="0.25"/>
    <row r="148800" s="12" customFormat="1" x14ac:dyDescent="0.25"/>
    <row r="148801" s="12" customFormat="1" x14ac:dyDescent="0.25"/>
    <row r="148802" s="12" customFormat="1" x14ac:dyDescent="0.25"/>
    <row r="148803" s="12" customFormat="1" x14ac:dyDescent="0.25"/>
    <row r="148804" s="12" customFormat="1" x14ac:dyDescent="0.25"/>
    <row r="148805" s="12" customFormat="1" x14ac:dyDescent="0.25"/>
    <row r="148806" s="12" customFormat="1" x14ac:dyDescent="0.25"/>
    <row r="148807" s="12" customFormat="1" x14ac:dyDescent="0.25"/>
    <row r="148808" s="12" customFormat="1" x14ac:dyDescent="0.25"/>
    <row r="148809" s="12" customFormat="1" x14ac:dyDescent="0.25"/>
    <row r="148810" s="12" customFormat="1" x14ac:dyDescent="0.25"/>
    <row r="148811" s="12" customFormat="1" x14ac:dyDescent="0.25"/>
    <row r="148812" s="12" customFormat="1" x14ac:dyDescent="0.25"/>
    <row r="148813" s="12" customFormat="1" x14ac:dyDescent="0.25"/>
    <row r="148814" s="12" customFormat="1" x14ac:dyDescent="0.25"/>
    <row r="148815" s="12" customFormat="1" x14ac:dyDescent="0.25"/>
    <row r="148816" s="12" customFormat="1" x14ac:dyDescent="0.25"/>
    <row r="148817" s="12" customFormat="1" x14ac:dyDescent="0.25"/>
    <row r="148818" s="12" customFormat="1" x14ac:dyDescent="0.25"/>
    <row r="148819" s="12" customFormat="1" x14ac:dyDescent="0.25"/>
    <row r="148820" s="12" customFormat="1" x14ac:dyDescent="0.25"/>
    <row r="148821" s="12" customFormat="1" x14ac:dyDescent="0.25"/>
    <row r="148822" s="12" customFormat="1" x14ac:dyDescent="0.25"/>
    <row r="148823" s="12" customFormat="1" x14ac:dyDescent="0.25"/>
    <row r="148824" s="12" customFormat="1" x14ac:dyDescent="0.25"/>
    <row r="148825" s="12" customFormat="1" x14ac:dyDescent="0.25"/>
    <row r="148826" s="12" customFormat="1" x14ac:dyDescent="0.25"/>
    <row r="148827" s="12" customFormat="1" x14ac:dyDescent="0.25"/>
    <row r="148828" s="12" customFormat="1" x14ac:dyDescent="0.25"/>
    <row r="148829" s="12" customFormat="1" x14ac:dyDescent="0.25"/>
    <row r="148830" s="12" customFormat="1" x14ac:dyDescent="0.25"/>
    <row r="148831" s="12" customFormat="1" x14ac:dyDescent="0.25"/>
    <row r="148832" s="12" customFormat="1" x14ac:dyDescent="0.25"/>
    <row r="148833" s="12" customFormat="1" x14ac:dyDescent="0.25"/>
    <row r="148834" s="12" customFormat="1" x14ac:dyDescent="0.25"/>
    <row r="148835" s="12" customFormat="1" x14ac:dyDescent="0.25"/>
    <row r="148836" s="12" customFormat="1" x14ac:dyDescent="0.25"/>
    <row r="148837" s="12" customFormat="1" x14ac:dyDescent="0.25"/>
    <row r="148838" s="12" customFormat="1" x14ac:dyDescent="0.25"/>
    <row r="148839" s="12" customFormat="1" x14ac:dyDescent="0.25"/>
    <row r="148840" s="12" customFormat="1" x14ac:dyDescent="0.25"/>
    <row r="148841" s="12" customFormat="1" x14ac:dyDescent="0.25"/>
    <row r="148842" s="12" customFormat="1" x14ac:dyDescent="0.25"/>
    <row r="148843" s="12" customFormat="1" x14ac:dyDescent="0.25"/>
    <row r="148844" s="12" customFormat="1" x14ac:dyDescent="0.25"/>
    <row r="148845" s="12" customFormat="1" x14ac:dyDescent="0.25"/>
    <row r="148846" s="12" customFormat="1" x14ac:dyDescent="0.25"/>
    <row r="148847" s="12" customFormat="1" x14ac:dyDescent="0.25"/>
    <row r="148848" s="12" customFormat="1" x14ac:dyDescent="0.25"/>
    <row r="148849" s="12" customFormat="1" x14ac:dyDescent="0.25"/>
    <row r="148850" s="12" customFormat="1" x14ac:dyDescent="0.25"/>
    <row r="148851" s="12" customFormat="1" x14ac:dyDescent="0.25"/>
    <row r="148852" s="12" customFormat="1" x14ac:dyDescent="0.25"/>
    <row r="148853" s="12" customFormat="1" x14ac:dyDescent="0.25"/>
    <row r="148854" s="12" customFormat="1" x14ac:dyDescent="0.25"/>
    <row r="148855" s="12" customFormat="1" x14ac:dyDescent="0.25"/>
    <row r="148856" s="12" customFormat="1" x14ac:dyDescent="0.25"/>
    <row r="148857" s="12" customFormat="1" x14ac:dyDescent="0.25"/>
    <row r="148858" s="12" customFormat="1" x14ac:dyDescent="0.25"/>
    <row r="148859" s="12" customFormat="1" x14ac:dyDescent="0.25"/>
    <row r="148860" s="12" customFormat="1" x14ac:dyDescent="0.25"/>
    <row r="148861" s="12" customFormat="1" x14ac:dyDescent="0.25"/>
    <row r="148862" s="12" customFormat="1" x14ac:dyDescent="0.25"/>
    <row r="148863" s="12" customFormat="1" x14ac:dyDescent="0.25"/>
    <row r="148864" s="12" customFormat="1" x14ac:dyDescent="0.25"/>
    <row r="148865" s="12" customFormat="1" x14ac:dyDescent="0.25"/>
    <row r="148866" s="12" customFormat="1" x14ac:dyDescent="0.25"/>
    <row r="148867" s="12" customFormat="1" x14ac:dyDescent="0.25"/>
    <row r="148868" s="12" customFormat="1" x14ac:dyDescent="0.25"/>
    <row r="148869" s="12" customFormat="1" x14ac:dyDescent="0.25"/>
    <row r="148870" s="12" customFormat="1" x14ac:dyDescent="0.25"/>
    <row r="148871" s="12" customFormat="1" x14ac:dyDescent="0.25"/>
    <row r="148872" s="12" customFormat="1" x14ac:dyDescent="0.25"/>
    <row r="148873" s="12" customFormat="1" x14ac:dyDescent="0.25"/>
    <row r="148874" s="12" customFormat="1" x14ac:dyDescent="0.25"/>
    <row r="148875" s="12" customFormat="1" x14ac:dyDescent="0.25"/>
    <row r="148876" s="12" customFormat="1" x14ac:dyDescent="0.25"/>
    <row r="148877" s="12" customFormat="1" x14ac:dyDescent="0.25"/>
    <row r="148878" s="12" customFormat="1" x14ac:dyDescent="0.25"/>
    <row r="148879" s="12" customFormat="1" x14ac:dyDescent="0.25"/>
    <row r="148880" s="12" customFormat="1" x14ac:dyDescent="0.25"/>
    <row r="148881" s="12" customFormat="1" x14ac:dyDescent="0.25"/>
    <row r="148882" s="12" customFormat="1" x14ac:dyDescent="0.25"/>
    <row r="148883" s="12" customFormat="1" x14ac:dyDescent="0.25"/>
    <row r="148884" s="12" customFormat="1" x14ac:dyDescent="0.25"/>
    <row r="148885" s="12" customFormat="1" x14ac:dyDescent="0.25"/>
    <row r="148886" s="12" customFormat="1" x14ac:dyDescent="0.25"/>
    <row r="148887" s="12" customFormat="1" x14ac:dyDescent="0.25"/>
    <row r="148888" s="12" customFormat="1" x14ac:dyDescent="0.25"/>
    <row r="148889" s="12" customFormat="1" x14ac:dyDescent="0.25"/>
    <row r="148890" s="12" customFormat="1" x14ac:dyDescent="0.25"/>
    <row r="148891" s="12" customFormat="1" x14ac:dyDescent="0.25"/>
    <row r="148892" s="12" customFormat="1" x14ac:dyDescent="0.25"/>
    <row r="148893" s="12" customFormat="1" x14ac:dyDescent="0.25"/>
    <row r="148894" s="12" customFormat="1" x14ac:dyDescent="0.25"/>
    <row r="148895" s="12" customFormat="1" x14ac:dyDescent="0.25"/>
    <row r="148896" s="12" customFormat="1" x14ac:dyDescent="0.25"/>
    <row r="148897" s="12" customFormat="1" x14ac:dyDescent="0.25"/>
    <row r="148898" s="12" customFormat="1" x14ac:dyDescent="0.25"/>
    <row r="148899" s="12" customFormat="1" x14ac:dyDescent="0.25"/>
    <row r="148900" s="12" customFormat="1" x14ac:dyDescent="0.25"/>
    <row r="148901" s="12" customFormat="1" x14ac:dyDescent="0.25"/>
    <row r="148902" s="12" customFormat="1" x14ac:dyDescent="0.25"/>
    <row r="148903" s="12" customFormat="1" x14ac:dyDescent="0.25"/>
    <row r="148904" s="12" customFormat="1" x14ac:dyDescent="0.25"/>
    <row r="148905" s="12" customFormat="1" x14ac:dyDescent="0.25"/>
    <row r="148906" s="12" customFormat="1" x14ac:dyDescent="0.25"/>
    <row r="148907" s="12" customFormat="1" x14ac:dyDescent="0.25"/>
    <row r="148908" s="12" customFormat="1" x14ac:dyDescent="0.25"/>
    <row r="148909" s="12" customFormat="1" x14ac:dyDescent="0.25"/>
    <row r="148910" s="12" customFormat="1" x14ac:dyDescent="0.25"/>
    <row r="148911" s="12" customFormat="1" x14ac:dyDescent="0.25"/>
    <row r="148912" s="12" customFormat="1" x14ac:dyDescent="0.25"/>
    <row r="148913" s="12" customFormat="1" x14ac:dyDescent="0.25"/>
    <row r="148914" s="12" customFormat="1" x14ac:dyDescent="0.25"/>
    <row r="148915" s="12" customFormat="1" x14ac:dyDescent="0.25"/>
    <row r="148916" s="12" customFormat="1" x14ac:dyDescent="0.25"/>
    <row r="148917" s="12" customFormat="1" x14ac:dyDescent="0.25"/>
    <row r="148918" s="12" customFormat="1" x14ac:dyDescent="0.25"/>
    <row r="148919" s="12" customFormat="1" x14ac:dyDescent="0.25"/>
    <row r="148920" s="12" customFormat="1" x14ac:dyDescent="0.25"/>
    <row r="148921" s="12" customFormat="1" x14ac:dyDescent="0.25"/>
    <row r="148922" s="12" customFormat="1" x14ac:dyDescent="0.25"/>
    <row r="148923" s="12" customFormat="1" x14ac:dyDescent="0.25"/>
    <row r="148924" s="12" customFormat="1" x14ac:dyDescent="0.25"/>
    <row r="148925" s="12" customFormat="1" x14ac:dyDescent="0.25"/>
    <row r="148926" s="12" customFormat="1" x14ac:dyDescent="0.25"/>
    <row r="148927" s="12" customFormat="1" x14ac:dyDescent="0.25"/>
    <row r="148928" s="12" customFormat="1" x14ac:dyDescent="0.25"/>
    <row r="148929" s="12" customFormat="1" x14ac:dyDescent="0.25"/>
    <row r="148930" s="12" customFormat="1" x14ac:dyDescent="0.25"/>
    <row r="148931" s="12" customFormat="1" x14ac:dyDescent="0.25"/>
    <row r="148932" s="12" customFormat="1" x14ac:dyDescent="0.25"/>
    <row r="148933" s="12" customFormat="1" x14ac:dyDescent="0.25"/>
    <row r="148934" s="12" customFormat="1" x14ac:dyDescent="0.25"/>
    <row r="148935" s="12" customFormat="1" x14ac:dyDescent="0.25"/>
    <row r="148936" s="12" customFormat="1" x14ac:dyDescent="0.25"/>
    <row r="148937" s="12" customFormat="1" x14ac:dyDescent="0.25"/>
    <row r="148938" s="12" customFormat="1" x14ac:dyDescent="0.25"/>
    <row r="148939" s="12" customFormat="1" x14ac:dyDescent="0.25"/>
    <row r="148940" s="12" customFormat="1" x14ac:dyDescent="0.25"/>
    <row r="148941" s="12" customFormat="1" x14ac:dyDescent="0.25"/>
    <row r="148942" s="12" customFormat="1" x14ac:dyDescent="0.25"/>
    <row r="148943" s="12" customFormat="1" x14ac:dyDescent="0.25"/>
    <row r="148944" s="12" customFormat="1" x14ac:dyDescent="0.25"/>
    <row r="148945" s="12" customFormat="1" x14ac:dyDescent="0.25"/>
    <row r="148946" s="12" customFormat="1" x14ac:dyDescent="0.25"/>
    <row r="148947" s="12" customFormat="1" x14ac:dyDescent="0.25"/>
    <row r="148948" s="12" customFormat="1" x14ac:dyDescent="0.25"/>
    <row r="148949" s="12" customFormat="1" x14ac:dyDescent="0.25"/>
    <row r="148950" s="12" customFormat="1" x14ac:dyDescent="0.25"/>
    <row r="148951" s="12" customFormat="1" x14ac:dyDescent="0.25"/>
    <row r="148952" s="12" customFormat="1" x14ac:dyDescent="0.25"/>
    <row r="148953" s="12" customFormat="1" x14ac:dyDescent="0.25"/>
    <row r="148954" s="12" customFormat="1" x14ac:dyDescent="0.25"/>
    <row r="148955" s="12" customFormat="1" x14ac:dyDescent="0.25"/>
    <row r="148956" s="12" customFormat="1" x14ac:dyDescent="0.25"/>
    <row r="148957" s="12" customFormat="1" x14ac:dyDescent="0.25"/>
    <row r="148958" s="12" customFormat="1" x14ac:dyDescent="0.25"/>
    <row r="148959" s="12" customFormat="1" x14ac:dyDescent="0.25"/>
    <row r="148960" s="12" customFormat="1" x14ac:dyDescent="0.25"/>
    <row r="148961" s="12" customFormat="1" x14ac:dyDescent="0.25"/>
    <row r="148962" s="12" customFormat="1" x14ac:dyDescent="0.25"/>
    <row r="148963" s="12" customFormat="1" x14ac:dyDescent="0.25"/>
    <row r="148964" s="12" customFormat="1" x14ac:dyDescent="0.25"/>
    <row r="148965" s="12" customFormat="1" x14ac:dyDescent="0.25"/>
    <row r="148966" s="12" customFormat="1" x14ac:dyDescent="0.25"/>
    <row r="148967" s="12" customFormat="1" x14ac:dyDescent="0.25"/>
    <row r="148968" s="12" customFormat="1" x14ac:dyDescent="0.25"/>
    <row r="148969" s="12" customFormat="1" x14ac:dyDescent="0.25"/>
    <row r="148970" s="12" customFormat="1" x14ac:dyDescent="0.25"/>
    <row r="148971" s="12" customFormat="1" x14ac:dyDescent="0.25"/>
    <row r="148972" s="12" customFormat="1" x14ac:dyDescent="0.25"/>
    <row r="148973" s="12" customFormat="1" x14ac:dyDescent="0.25"/>
    <row r="148974" s="12" customFormat="1" x14ac:dyDescent="0.25"/>
    <row r="148975" s="12" customFormat="1" x14ac:dyDescent="0.25"/>
    <row r="148976" s="12" customFormat="1" x14ac:dyDescent="0.25"/>
    <row r="148977" s="12" customFormat="1" x14ac:dyDescent="0.25"/>
    <row r="148978" s="12" customFormat="1" x14ac:dyDescent="0.25"/>
    <row r="148979" s="12" customFormat="1" x14ac:dyDescent="0.25"/>
    <row r="148980" s="12" customFormat="1" x14ac:dyDescent="0.25"/>
    <row r="148981" s="12" customFormat="1" x14ac:dyDescent="0.25"/>
    <row r="148982" s="12" customFormat="1" x14ac:dyDescent="0.25"/>
    <row r="148983" s="12" customFormat="1" x14ac:dyDescent="0.25"/>
    <row r="148984" s="12" customFormat="1" x14ac:dyDescent="0.25"/>
    <row r="148985" s="12" customFormat="1" x14ac:dyDescent="0.25"/>
    <row r="148986" s="12" customFormat="1" x14ac:dyDescent="0.25"/>
    <row r="148987" s="12" customFormat="1" x14ac:dyDescent="0.25"/>
    <row r="148988" s="12" customFormat="1" x14ac:dyDescent="0.25"/>
    <row r="148989" s="12" customFormat="1" x14ac:dyDescent="0.25"/>
    <row r="148990" s="12" customFormat="1" x14ac:dyDescent="0.25"/>
    <row r="148991" s="12" customFormat="1" x14ac:dyDescent="0.25"/>
    <row r="148992" s="12" customFormat="1" x14ac:dyDescent="0.25"/>
    <row r="148993" s="12" customFormat="1" x14ac:dyDescent="0.25"/>
    <row r="148994" s="12" customFormat="1" x14ac:dyDescent="0.25"/>
    <row r="148995" s="12" customFormat="1" x14ac:dyDescent="0.25"/>
    <row r="148996" s="12" customFormat="1" x14ac:dyDescent="0.25"/>
    <row r="148997" s="12" customFormat="1" x14ac:dyDescent="0.25"/>
    <row r="148998" s="12" customFormat="1" x14ac:dyDescent="0.25"/>
    <row r="148999" s="12" customFormat="1" x14ac:dyDescent="0.25"/>
    <row r="149000" s="12" customFormat="1" x14ac:dyDescent="0.25"/>
    <row r="149001" s="12" customFormat="1" x14ac:dyDescent="0.25"/>
    <row r="149002" s="12" customFormat="1" x14ac:dyDescent="0.25"/>
    <row r="149003" s="12" customFormat="1" x14ac:dyDescent="0.25"/>
    <row r="149004" s="12" customFormat="1" x14ac:dyDescent="0.25"/>
    <row r="149005" s="12" customFormat="1" x14ac:dyDescent="0.25"/>
    <row r="149006" s="12" customFormat="1" x14ac:dyDescent="0.25"/>
    <row r="149007" s="12" customFormat="1" x14ac:dyDescent="0.25"/>
    <row r="149008" s="12" customFormat="1" x14ac:dyDescent="0.25"/>
    <row r="149009" s="12" customFormat="1" x14ac:dyDescent="0.25"/>
    <row r="149010" s="12" customFormat="1" x14ac:dyDescent="0.25"/>
    <row r="149011" s="12" customFormat="1" x14ac:dyDescent="0.25"/>
    <row r="149012" s="12" customFormat="1" x14ac:dyDescent="0.25"/>
    <row r="149013" s="12" customFormat="1" x14ac:dyDescent="0.25"/>
    <row r="149014" s="12" customFormat="1" x14ac:dyDescent="0.25"/>
    <row r="149015" s="12" customFormat="1" x14ac:dyDescent="0.25"/>
    <row r="149016" s="12" customFormat="1" x14ac:dyDescent="0.25"/>
    <row r="149017" s="12" customFormat="1" x14ac:dyDescent="0.25"/>
    <row r="149018" s="12" customFormat="1" x14ac:dyDescent="0.25"/>
    <row r="149019" s="12" customFormat="1" x14ac:dyDescent="0.25"/>
    <row r="149020" s="12" customFormat="1" x14ac:dyDescent="0.25"/>
    <row r="149021" s="12" customFormat="1" x14ac:dyDescent="0.25"/>
    <row r="149022" s="12" customFormat="1" x14ac:dyDescent="0.25"/>
    <row r="149023" s="12" customFormat="1" x14ac:dyDescent="0.25"/>
    <row r="149024" s="12" customFormat="1" x14ac:dyDescent="0.25"/>
    <row r="149025" s="12" customFormat="1" x14ac:dyDescent="0.25"/>
    <row r="149026" s="12" customFormat="1" x14ac:dyDescent="0.25"/>
    <row r="149027" s="12" customFormat="1" x14ac:dyDescent="0.25"/>
    <row r="149028" s="12" customFormat="1" x14ac:dyDescent="0.25"/>
    <row r="149029" s="12" customFormat="1" x14ac:dyDescent="0.25"/>
    <row r="149030" s="12" customFormat="1" x14ac:dyDescent="0.25"/>
    <row r="149031" s="12" customFormat="1" x14ac:dyDescent="0.25"/>
    <row r="149032" s="12" customFormat="1" x14ac:dyDescent="0.25"/>
    <row r="149033" s="12" customFormat="1" x14ac:dyDescent="0.25"/>
    <row r="149034" s="12" customFormat="1" x14ac:dyDescent="0.25"/>
    <row r="149035" s="12" customFormat="1" x14ac:dyDescent="0.25"/>
    <row r="149036" s="12" customFormat="1" x14ac:dyDescent="0.25"/>
    <row r="149037" s="12" customFormat="1" x14ac:dyDescent="0.25"/>
    <row r="149038" s="12" customFormat="1" x14ac:dyDescent="0.25"/>
    <row r="149039" s="12" customFormat="1" x14ac:dyDescent="0.25"/>
    <row r="149040" s="12" customFormat="1" x14ac:dyDescent="0.25"/>
    <row r="149041" s="12" customFormat="1" x14ac:dyDescent="0.25"/>
    <row r="149042" s="12" customFormat="1" x14ac:dyDescent="0.25"/>
    <row r="149043" s="12" customFormat="1" x14ac:dyDescent="0.25"/>
    <row r="149044" s="12" customFormat="1" x14ac:dyDescent="0.25"/>
    <row r="149045" s="12" customFormat="1" x14ac:dyDescent="0.25"/>
    <row r="149046" s="12" customFormat="1" x14ac:dyDescent="0.25"/>
    <row r="149047" s="12" customFormat="1" x14ac:dyDescent="0.25"/>
    <row r="149048" s="12" customFormat="1" x14ac:dyDescent="0.25"/>
    <row r="149049" s="12" customFormat="1" x14ac:dyDescent="0.25"/>
    <row r="149050" s="12" customFormat="1" x14ac:dyDescent="0.25"/>
    <row r="149051" s="12" customFormat="1" x14ac:dyDescent="0.25"/>
    <row r="149052" s="12" customFormat="1" x14ac:dyDescent="0.25"/>
    <row r="149053" s="12" customFormat="1" x14ac:dyDescent="0.25"/>
    <row r="149054" s="12" customFormat="1" x14ac:dyDescent="0.25"/>
    <row r="149055" s="12" customFormat="1" x14ac:dyDescent="0.25"/>
    <row r="149056" s="12" customFormat="1" x14ac:dyDescent="0.25"/>
    <row r="149057" s="12" customFormat="1" x14ac:dyDescent="0.25"/>
    <row r="149058" s="12" customFormat="1" x14ac:dyDescent="0.25"/>
    <row r="149059" s="12" customFormat="1" x14ac:dyDescent="0.25"/>
    <row r="149060" s="12" customFormat="1" x14ac:dyDescent="0.25"/>
    <row r="149061" s="12" customFormat="1" x14ac:dyDescent="0.25"/>
    <row r="149062" s="12" customFormat="1" x14ac:dyDescent="0.25"/>
    <row r="149063" s="12" customFormat="1" x14ac:dyDescent="0.25"/>
    <row r="149064" s="12" customFormat="1" x14ac:dyDescent="0.25"/>
    <row r="149065" s="12" customFormat="1" x14ac:dyDescent="0.25"/>
    <row r="149066" s="12" customFormat="1" x14ac:dyDescent="0.25"/>
    <row r="149067" s="12" customFormat="1" x14ac:dyDescent="0.25"/>
    <row r="149068" s="12" customFormat="1" x14ac:dyDescent="0.25"/>
    <row r="149069" s="12" customFormat="1" x14ac:dyDescent="0.25"/>
    <row r="149070" s="12" customFormat="1" x14ac:dyDescent="0.25"/>
    <row r="149071" s="12" customFormat="1" x14ac:dyDescent="0.25"/>
    <row r="149072" s="12" customFormat="1" x14ac:dyDescent="0.25"/>
    <row r="149073" s="12" customFormat="1" x14ac:dyDescent="0.25"/>
    <row r="149074" s="12" customFormat="1" x14ac:dyDescent="0.25"/>
    <row r="149075" s="12" customFormat="1" x14ac:dyDescent="0.25"/>
    <row r="149076" s="12" customFormat="1" x14ac:dyDescent="0.25"/>
    <row r="149077" s="12" customFormat="1" x14ac:dyDescent="0.25"/>
    <row r="149078" s="12" customFormat="1" x14ac:dyDescent="0.25"/>
    <row r="149079" s="12" customFormat="1" x14ac:dyDescent="0.25"/>
    <row r="149080" s="12" customFormat="1" x14ac:dyDescent="0.25"/>
    <row r="149081" s="12" customFormat="1" x14ac:dyDescent="0.25"/>
    <row r="149082" s="12" customFormat="1" x14ac:dyDescent="0.25"/>
    <row r="149083" s="12" customFormat="1" x14ac:dyDescent="0.25"/>
    <row r="149084" s="12" customFormat="1" x14ac:dyDescent="0.25"/>
    <row r="149085" s="12" customFormat="1" x14ac:dyDescent="0.25"/>
    <row r="149086" s="12" customFormat="1" x14ac:dyDescent="0.25"/>
    <row r="149087" s="12" customFormat="1" x14ac:dyDescent="0.25"/>
    <row r="149088" s="12" customFormat="1" x14ac:dyDescent="0.25"/>
    <row r="149089" s="12" customFormat="1" x14ac:dyDescent="0.25"/>
    <row r="149090" s="12" customFormat="1" x14ac:dyDescent="0.25"/>
    <row r="149091" s="12" customFormat="1" x14ac:dyDescent="0.25"/>
    <row r="149092" s="12" customFormat="1" x14ac:dyDescent="0.25"/>
    <row r="149093" s="12" customFormat="1" x14ac:dyDescent="0.25"/>
    <row r="149094" s="12" customFormat="1" x14ac:dyDescent="0.25"/>
    <row r="149095" s="12" customFormat="1" x14ac:dyDescent="0.25"/>
    <row r="149096" s="12" customFormat="1" x14ac:dyDescent="0.25"/>
    <row r="149097" s="12" customFormat="1" x14ac:dyDescent="0.25"/>
    <row r="149098" s="12" customFormat="1" x14ac:dyDescent="0.25"/>
    <row r="149099" s="12" customFormat="1" x14ac:dyDescent="0.25"/>
    <row r="149100" s="12" customFormat="1" x14ac:dyDescent="0.25"/>
    <row r="149101" s="12" customFormat="1" x14ac:dyDescent="0.25"/>
    <row r="149102" s="12" customFormat="1" x14ac:dyDescent="0.25"/>
    <row r="149103" s="12" customFormat="1" x14ac:dyDescent="0.25"/>
    <row r="149104" s="12" customFormat="1" x14ac:dyDescent="0.25"/>
    <row r="149105" s="12" customFormat="1" x14ac:dyDescent="0.25"/>
    <row r="149106" s="12" customFormat="1" x14ac:dyDescent="0.25"/>
    <row r="149107" s="12" customFormat="1" x14ac:dyDescent="0.25"/>
    <row r="149108" s="12" customFormat="1" x14ac:dyDescent="0.25"/>
    <row r="149109" s="12" customFormat="1" x14ac:dyDescent="0.25"/>
    <row r="149110" s="12" customFormat="1" x14ac:dyDescent="0.25"/>
    <row r="149111" s="12" customFormat="1" x14ac:dyDescent="0.25"/>
    <row r="149112" s="12" customFormat="1" x14ac:dyDescent="0.25"/>
    <row r="149113" s="12" customFormat="1" x14ac:dyDescent="0.25"/>
    <row r="149114" s="12" customFormat="1" x14ac:dyDescent="0.25"/>
    <row r="149115" s="12" customFormat="1" x14ac:dyDescent="0.25"/>
    <row r="149116" s="12" customFormat="1" x14ac:dyDescent="0.25"/>
    <row r="149117" s="12" customFormat="1" x14ac:dyDescent="0.25"/>
    <row r="149118" s="12" customFormat="1" x14ac:dyDescent="0.25"/>
    <row r="149119" s="12" customFormat="1" x14ac:dyDescent="0.25"/>
    <row r="149120" s="12" customFormat="1" x14ac:dyDescent="0.25"/>
    <row r="149121" s="12" customFormat="1" x14ac:dyDescent="0.25"/>
    <row r="149122" s="12" customFormat="1" x14ac:dyDescent="0.25"/>
    <row r="149123" s="12" customFormat="1" x14ac:dyDescent="0.25"/>
    <row r="149124" s="12" customFormat="1" x14ac:dyDescent="0.25"/>
    <row r="149125" s="12" customFormat="1" x14ac:dyDescent="0.25"/>
    <row r="149126" s="12" customFormat="1" x14ac:dyDescent="0.25"/>
    <row r="149127" s="12" customFormat="1" x14ac:dyDescent="0.25"/>
    <row r="149128" s="12" customFormat="1" x14ac:dyDescent="0.25"/>
    <row r="149129" s="12" customFormat="1" x14ac:dyDescent="0.25"/>
    <row r="149130" s="12" customFormat="1" x14ac:dyDescent="0.25"/>
    <row r="149131" s="12" customFormat="1" x14ac:dyDescent="0.25"/>
    <row r="149132" s="12" customFormat="1" x14ac:dyDescent="0.25"/>
    <row r="149133" s="12" customFormat="1" x14ac:dyDescent="0.25"/>
    <row r="149134" s="12" customFormat="1" x14ac:dyDescent="0.25"/>
    <row r="149135" s="12" customFormat="1" x14ac:dyDescent="0.25"/>
    <row r="149136" s="12" customFormat="1" x14ac:dyDescent="0.25"/>
    <row r="149137" s="12" customFormat="1" x14ac:dyDescent="0.25"/>
    <row r="149138" s="12" customFormat="1" x14ac:dyDescent="0.25"/>
    <row r="149139" s="12" customFormat="1" x14ac:dyDescent="0.25"/>
    <row r="149140" s="12" customFormat="1" x14ac:dyDescent="0.25"/>
    <row r="149141" s="12" customFormat="1" x14ac:dyDescent="0.25"/>
    <row r="149142" s="12" customFormat="1" x14ac:dyDescent="0.25"/>
    <row r="149143" s="12" customFormat="1" x14ac:dyDescent="0.25"/>
    <row r="149144" s="12" customFormat="1" x14ac:dyDescent="0.25"/>
    <row r="149145" s="12" customFormat="1" x14ac:dyDescent="0.25"/>
    <row r="149146" s="12" customFormat="1" x14ac:dyDescent="0.25"/>
    <row r="149147" s="12" customFormat="1" x14ac:dyDescent="0.25"/>
    <row r="149148" s="12" customFormat="1" x14ac:dyDescent="0.25"/>
    <row r="149149" s="12" customFormat="1" x14ac:dyDescent="0.25"/>
    <row r="149150" s="12" customFormat="1" x14ac:dyDescent="0.25"/>
    <row r="149151" s="12" customFormat="1" x14ac:dyDescent="0.25"/>
    <row r="149152" s="12" customFormat="1" x14ac:dyDescent="0.25"/>
    <row r="149153" s="12" customFormat="1" x14ac:dyDescent="0.25"/>
    <row r="149154" s="12" customFormat="1" x14ac:dyDescent="0.25"/>
    <row r="149155" s="12" customFormat="1" x14ac:dyDescent="0.25"/>
    <row r="149156" s="12" customFormat="1" x14ac:dyDescent="0.25"/>
    <row r="149157" s="12" customFormat="1" x14ac:dyDescent="0.25"/>
    <row r="149158" s="12" customFormat="1" x14ac:dyDescent="0.25"/>
    <row r="149159" s="12" customFormat="1" x14ac:dyDescent="0.25"/>
    <row r="149160" s="12" customFormat="1" x14ac:dyDescent="0.25"/>
    <row r="149161" s="12" customFormat="1" x14ac:dyDescent="0.25"/>
    <row r="149162" s="12" customFormat="1" x14ac:dyDescent="0.25"/>
    <row r="149163" s="12" customFormat="1" x14ac:dyDescent="0.25"/>
    <row r="149164" s="12" customFormat="1" x14ac:dyDescent="0.25"/>
    <row r="149165" s="12" customFormat="1" x14ac:dyDescent="0.25"/>
    <row r="149166" s="12" customFormat="1" x14ac:dyDescent="0.25"/>
    <row r="149167" s="12" customFormat="1" x14ac:dyDescent="0.25"/>
    <row r="149168" s="12" customFormat="1" x14ac:dyDescent="0.25"/>
    <row r="149169" s="12" customFormat="1" x14ac:dyDescent="0.25"/>
    <row r="149170" s="12" customFormat="1" x14ac:dyDescent="0.25"/>
    <row r="149171" s="12" customFormat="1" x14ac:dyDescent="0.25"/>
    <row r="149172" s="12" customFormat="1" x14ac:dyDescent="0.25"/>
    <row r="149173" s="12" customFormat="1" x14ac:dyDescent="0.25"/>
    <row r="149174" s="12" customFormat="1" x14ac:dyDescent="0.25"/>
    <row r="149175" s="12" customFormat="1" x14ac:dyDescent="0.25"/>
    <row r="149176" s="12" customFormat="1" x14ac:dyDescent="0.25"/>
    <row r="149177" s="12" customFormat="1" x14ac:dyDescent="0.25"/>
    <row r="149178" s="12" customFormat="1" x14ac:dyDescent="0.25"/>
    <row r="149179" s="12" customFormat="1" x14ac:dyDescent="0.25"/>
    <row r="149180" s="12" customFormat="1" x14ac:dyDescent="0.25"/>
    <row r="149181" s="12" customFormat="1" x14ac:dyDescent="0.25"/>
    <row r="149182" s="12" customFormat="1" x14ac:dyDescent="0.25"/>
    <row r="149183" s="12" customFormat="1" x14ac:dyDescent="0.25"/>
    <row r="149184" s="12" customFormat="1" x14ac:dyDescent="0.25"/>
    <row r="149185" s="12" customFormat="1" x14ac:dyDescent="0.25"/>
    <row r="149186" s="12" customFormat="1" x14ac:dyDescent="0.25"/>
    <row r="149187" s="12" customFormat="1" x14ac:dyDescent="0.25"/>
    <row r="149188" s="12" customFormat="1" x14ac:dyDescent="0.25"/>
    <row r="149189" s="12" customFormat="1" x14ac:dyDescent="0.25"/>
    <row r="149190" s="12" customFormat="1" x14ac:dyDescent="0.25"/>
    <row r="149191" s="12" customFormat="1" x14ac:dyDescent="0.25"/>
    <row r="149192" s="12" customFormat="1" x14ac:dyDescent="0.25"/>
    <row r="149193" s="12" customFormat="1" x14ac:dyDescent="0.25"/>
    <row r="149194" s="12" customFormat="1" x14ac:dyDescent="0.25"/>
    <row r="149195" s="12" customFormat="1" x14ac:dyDescent="0.25"/>
    <row r="149196" s="12" customFormat="1" x14ac:dyDescent="0.25"/>
    <row r="149197" s="12" customFormat="1" x14ac:dyDescent="0.25"/>
    <row r="149198" s="12" customFormat="1" x14ac:dyDescent="0.25"/>
    <row r="149199" s="12" customFormat="1" x14ac:dyDescent="0.25"/>
    <row r="149200" s="12" customFormat="1" x14ac:dyDescent="0.25"/>
    <row r="149201" s="12" customFormat="1" x14ac:dyDescent="0.25"/>
    <row r="149202" s="12" customFormat="1" x14ac:dyDescent="0.25"/>
    <row r="149203" s="12" customFormat="1" x14ac:dyDescent="0.25"/>
    <row r="149204" s="12" customFormat="1" x14ac:dyDescent="0.25"/>
    <row r="149205" s="12" customFormat="1" x14ac:dyDescent="0.25"/>
    <row r="149206" s="12" customFormat="1" x14ac:dyDescent="0.25"/>
    <row r="149207" s="12" customFormat="1" x14ac:dyDescent="0.25"/>
    <row r="149208" s="12" customFormat="1" x14ac:dyDescent="0.25"/>
    <row r="149209" s="12" customFormat="1" x14ac:dyDescent="0.25"/>
    <row r="149210" s="12" customFormat="1" x14ac:dyDescent="0.25"/>
    <row r="149211" s="12" customFormat="1" x14ac:dyDescent="0.25"/>
    <row r="149212" s="12" customFormat="1" x14ac:dyDescent="0.25"/>
    <row r="149213" s="12" customFormat="1" x14ac:dyDescent="0.25"/>
    <row r="149214" s="12" customFormat="1" x14ac:dyDescent="0.25"/>
    <row r="149215" s="12" customFormat="1" x14ac:dyDescent="0.25"/>
    <row r="149216" s="12" customFormat="1" x14ac:dyDescent="0.25"/>
    <row r="149217" s="12" customFormat="1" x14ac:dyDescent="0.25"/>
    <row r="149218" s="12" customFormat="1" x14ac:dyDescent="0.25"/>
    <row r="149219" s="12" customFormat="1" x14ac:dyDescent="0.25"/>
    <row r="149220" s="12" customFormat="1" x14ac:dyDescent="0.25"/>
    <row r="149221" s="12" customFormat="1" x14ac:dyDescent="0.25"/>
    <row r="149222" s="12" customFormat="1" x14ac:dyDescent="0.25"/>
    <row r="149223" s="12" customFormat="1" x14ac:dyDescent="0.25"/>
    <row r="149224" s="12" customFormat="1" x14ac:dyDescent="0.25"/>
    <row r="149225" s="12" customFormat="1" x14ac:dyDescent="0.25"/>
    <row r="149226" s="12" customFormat="1" x14ac:dyDescent="0.25"/>
    <row r="149227" s="12" customFormat="1" x14ac:dyDescent="0.25"/>
    <row r="149228" s="12" customFormat="1" x14ac:dyDescent="0.25"/>
    <row r="149229" s="12" customFormat="1" x14ac:dyDescent="0.25"/>
    <row r="149230" s="12" customFormat="1" x14ac:dyDescent="0.25"/>
    <row r="149231" s="12" customFormat="1" x14ac:dyDescent="0.25"/>
    <row r="149232" s="12" customFormat="1" x14ac:dyDescent="0.25"/>
    <row r="149233" s="12" customFormat="1" x14ac:dyDescent="0.25"/>
    <row r="149234" s="12" customFormat="1" x14ac:dyDescent="0.25"/>
    <row r="149235" s="12" customFormat="1" x14ac:dyDescent="0.25"/>
    <row r="149236" s="12" customFormat="1" x14ac:dyDescent="0.25"/>
    <row r="149237" s="12" customFormat="1" x14ac:dyDescent="0.25"/>
    <row r="149238" s="12" customFormat="1" x14ac:dyDescent="0.25"/>
    <row r="149239" s="12" customFormat="1" x14ac:dyDescent="0.25"/>
    <row r="149240" s="12" customFormat="1" x14ac:dyDescent="0.25"/>
    <row r="149241" s="12" customFormat="1" x14ac:dyDescent="0.25"/>
    <row r="149242" s="12" customFormat="1" x14ac:dyDescent="0.25"/>
    <row r="149243" s="12" customFormat="1" x14ac:dyDescent="0.25"/>
    <row r="149244" s="12" customFormat="1" x14ac:dyDescent="0.25"/>
    <row r="149245" s="12" customFormat="1" x14ac:dyDescent="0.25"/>
    <row r="149246" s="12" customFormat="1" x14ac:dyDescent="0.25"/>
    <row r="149247" s="12" customFormat="1" x14ac:dyDescent="0.25"/>
    <row r="149248" s="12" customFormat="1" x14ac:dyDescent="0.25"/>
    <row r="149249" s="12" customFormat="1" x14ac:dyDescent="0.25"/>
    <row r="149250" s="12" customFormat="1" x14ac:dyDescent="0.25"/>
    <row r="149251" s="12" customFormat="1" x14ac:dyDescent="0.25"/>
    <row r="149252" s="12" customFormat="1" x14ac:dyDescent="0.25"/>
    <row r="149253" s="12" customFormat="1" x14ac:dyDescent="0.25"/>
    <row r="149254" s="12" customFormat="1" x14ac:dyDescent="0.25"/>
    <row r="149255" s="12" customFormat="1" x14ac:dyDescent="0.25"/>
    <row r="149256" s="12" customFormat="1" x14ac:dyDescent="0.25"/>
    <row r="149257" s="12" customFormat="1" x14ac:dyDescent="0.25"/>
    <row r="149258" s="12" customFormat="1" x14ac:dyDescent="0.25"/>
    <row r="149259" s="12" customFormat="1" x14ac:dyDescent="0.25"/>
    <row r="149260" s="12" customFormat="1" x14ac:dyDescent="0.25"/>
    <row r="149261" s="12" customFormat="1" x14ac:dyDescent="0.25"/>
    <row r="149262" s="12" customFormat="1" x14ac:dyDescent="0.25"/>
    <row r="149263" s="12" customFormat="1" x14ac:dyDescent="0.25"/>
    <row r="149264" s="12" customFormat="1" x14ac:dyDescent="0.25"/>
    <row r="149265" s="12" customFormat="1" x14ac:dyDescent="0.25"/>
    <row r="149266" s="12" customFormat="1" x14ac:dyDescent="0.25"/>
    <row r="149267" s="12" customFormat="1" x14ac:dyDescent="0.25"/>
    <row r="149268" s="12" customFormat="1" x14ac:dyDescent="0.25"/>
    <row r="149269" s="12" customFormat="1" x14ac:dyDescent="0.25"/>
    <row r="149270" s="12" customFormat="1" x14ac:dyDescent="0.25"/>
    <row r="149271" s="12" customFormat="1" x14ac:dyDescent="0.25"/>
    <row r="149272" s="12" customFormat="1" x14ac:dyDescent="0.25"/>
    <row r="149273" s="12" customFormat="1" x14ac:dyDescent="0.25"/>
    <row r="149274" s="12" customFormat="1" x14ac:dyDescent="0.25"/>
    <row r="149275" s="12" customFormat="1" x14ac:dyDescent="0.25"/>
    <row r="149276" s="12" customFormat="1" x14ac:dyDescent="0.25"/>
    <row r="149277" s="12" customFormat="1" x14ac:dyDescent="0.25"/>
    <row r="149278" s="12" customFormat="1" x14ac:dyDescent="0.25"/>
    <row r="149279" s="12" customFormat="1" x14ac:dyDescent="0.25"/>
    <row r="149280" s="12" customFormat="1" x14ac:dyDescent="0.25"/>
    <row r="149281" s="12" customFormat="1" x14ac:dyDescent="0.25"/>
    <row r="149282" s="12" customFormat="1" x14ac:dyDescent="0.25"/>
    <row r="149283" s="12" customFormat="1" x14ac:dyDescent="0.25"/>
    <row r="149284" s="12" customFormat="1" x14ac:dyDescent="0.25"/>
    <row r="149285" s="12" customFormat="1" x14ac:dyDescent="0.25"/>
    <row r="149286" s="12" customFormat="1" x14ac:dyDescent="0.25"/>
    <row r="149287" s="12" customFormat="1" x14ac:dyDescent="0.25"/>
    <row r="149288" s="12" customFormat="1" x14ac:dyDescent="0.25"/>
    <row r="149289" s="12" customFormat="1" x14ac:dyDescent="0.25"/>
    <row r="149290" s="12" customFormat="1" x14ac:dyDescent="0.25"/>
    <row r="149291" s="12" customFormat="1" x14ac:dyDescent="0.25"/>
    <row r="149292" s="12" customFormat="1" x14ac:dyDescent="0.25"/>
    <row r="149293" s="12" customFormat="1" x14ac:dyDescent="0.25"/>
    <row r="149294" s="12" customFormat="1" x14ac:dyDescent="0.25"/>
    <row r="149295" s="12" customFormat="1" x14ac:dyDescent="0.25"/>
    <row r="149296" s="12" customFormat="1" x14ac:dyDescent="0.25"/>
    <row r="149297" s="12" customFormat="1" x14ac:dyDescent="0.25"/>
    <row r="149298" s="12" customFormat="1" x14ac:dyDescent="0.25"/>
    <row r="149299" s="12" customFormat="1" x14ac:dyDescent="0.25"/>
    <row r="149300" s="12" customFormat="1" x14ac:dyDescent="0.25"/>
    <row r="149301" s="12" customFormat="1" x14ac:dyDescent="0.25"/>
    <row r="149302" s="12" customFormat="1" x14ac:dyDescent="0.25"/>
    <row r="149303" s="12" customFormat="1" x14ac:dyDescent="0.25"/>
    <row r="149304" s="12" customFormat="1" x14ac:dyDescent="0.25"/>
    <row r="149305" s="12" customFormat="1" x14ac:dyDescent="0.25"/>
    <row r="149306" s="12" customFormat="1" x14ac:dyDescent="0.25"/>
    <row r="149307" s="12" customFormat="1" x14ac:dyDescent="0.25"/>
    <row r="149308" s="12" customFormat="1" x14ac:dyDescent="0.25"/>
    <row r="149309" s="12" customFormat="1" x14ac:dyDescent="0.25"/>
    <row r="149310" s="12" customFormat="1" x14ac:dyDescent="0.25"/>
    <row r="149311" s="12" customFormat="1" x14ac:dyDescent="0.25"/>
    <row r="149312" s="12" customFormat="1" x14ac:dyDescent="0.25"/>
    <row r="149313" s="12" customFormat="1" x14ac:dyDescent="0.25"/>
    <row r="149314" s="12" customFormat="1" x14ac:dyDescent="0.25"/>
    <row r="149315" s="12" customFormat="1" x14ac:dyDescent="0.25"/>
    <row r="149316" s="12" customFormat="1" x14ac:dyDescent="0.25"/>
    <row r="149317" s="12" customFormat="1" x14ac:dyDescent="0.25"/>
    <row r="149318" s="12" customFormat="1" x14ac:dyDescent="0.25"/>
    <row r="149319" s="12" customFormat="1" x14ac:dyDescent="0.25"/>
    <row r="149320" s="12" customFormat="1" x14ac:dyDescent="0.25"/>
    <row r="149321" s="12" customFormat="1" x14ac:dyDescent="0.25"/>
    <row r="149322" s="12" customFormat="1" x14ac:dyDescent="0.25"/>
    <row r="149323" s="12" customFormat="1" x14ac:dyDescent="0.25"/>
    <row r="149324" s="12" customFormat="1" x14ac:dyDescent="0.25"/>
    <row r="149325" s="12" customFormat="1" x14ac:dyDescent="0.25"/>
    <row r="149326" s="12" customFormat="1" x14ac:dyDescent="0.25"/>
    <row r="149327" s="12" customFormat="1" x14ac:dyDescent="0.25"/>
    <row r="149328" s="12" customFormat="1" x14ac:dyDescent="0.25"/>
    <row r="149329" s="12" customFormat="1" x14ac:dyDescent="0.25"/>
    <row r="149330" s="12" customFormat="1" x14ac:dyDescent="0.25"/>
    <row r="149331" s="12" customFormat="1" x14ac:dyDescent="0.25"/>
    <row r="149332" s="12" customFormat="1" x14ac:dyDescent="0.25"/>
    <row r="149333" s="12" customFormat="1" x14ac:dyDescent="0.25"/>
    <row r="149334" s="12" customFormat="1" x14ac:dyDescent="0.25"/>
    <row r="149335" s="12" customFormat="1" x14ac:dyDescent="0.25"/>
    <row r="149336" s="12" customFormat="1" x14ac:dyDescent="0.25"/>
    <row r="149337" s="12" customFormat="1" x14ac:dyDescent="0.25"/>
    <row r="149338" s="12" customFormat="1" x14ac:dyDescent="0.25"/>
    <row r="149339" s="12" customFormat="1" x14ac:dyDescent="0.25"/>
    <row r="149340" s="12" customFormat="1" x14ac:dyDescent="0.25"/>
    <row r="149341" s="12" customFormat="1" x14ac:dyDescent="0.25"/>
    <row r="149342" s="12" customFormat="1" x14ac:dyDescent="0.25"/>
    <row r="149343" s="12" customFormat="1" x14ac:dyDescent="0.25"/>
    <row r="149344" s="12" customFormat="1" x14ac:dyDescent="0.25"/>
    <row r="149345" s="12" customFormat="1" x14ac:dyDescent="0.25"/>
    <row r="149346" s="12" customFormat="1" x14ac:dyDescent="0.25"/>
    <row r="149347" s="12" customFormat="1" x14ac:dyDescent="0.25"/>
    <row r="149348" s="12" customFormat="1" x14ac:dyDescent="0.25"/>
    <row r="149349" s="12" customFormat="1" x14ac:dyDescent="0.25"/>
    <row r="149350" s="12" customFormat="1" x14ac:dyDescent="0.25"/>
    <row r="149351" s="12" customFormat="1" x14ac:dyDescent="0.25"/>
    <row r="149352" s="12" customFormat="1" x14ac:dyDescent="0.25"/>
    <row r="149353" s="12" customFormat="1" x14ac:dyDescent="0.25"/>
    <row r="149354" s="12" customFormat="1" x14ac:dyDescent="0.25"/>
    <row r="149355" s="12" customFormat="1" x14ac:dyDescent="0.25"/>
    <row r="149356" s="12" customFormat="1" x14ac:dyDescent="0.25"/>
    <row r="149357" s="12" customFormat="1" x14ac:dyDescent="0.25"/>
    <row r="149358" s="12" customFormat="1" x14ac:dyDescent="0.25"/>
    <row r="149359" s="12" customFormat="1" x14ac:dyDescent="0.25"/>
    <row r="149360" s="12" customFormat="1" x14ac:dyDescent="0.25"/>
    <row r="149361" s="12" customFormat="1" x14ac:dyDescent="0.25"/>
    <row r="149362" s="12" customFormat="1" x14ac:dyDescent="0.25"/>
    <row r="149363" s="12" customFormat="1" x14ac:dyDescent="0.25"/>
    <row r="149364" s="12" customFormat="1" x14ac:dyDescent="0.25"/>
    <row r="149365" s="12" customFormat="1" x14ac:dyDescent="0.25"/>
    <row r="149366" s="12" customFormat="1" x14ac:dyDescent="0.25"/>
    <row r="149367" s="12" customFormat="1" x14ac:dyDescent="0.25"/>
    <row r="149368" s="12" customFormat="1" x14ac:dyDescent="0.25"/>
    <row r="149369" s="12" customFormat="1" x14ac:dyDescent="0.25"/>
    <row r="149370" s="12" customFormat="1" x14ac:dyDescent="0.25"/>
    <row r="149371" s="12" customFormat="1" x14ac:dyDescent="0.25"/>
    <row r="149372" s="12" customFormat="1" x14ac:dyDescent="0.25"/>
    <row r="149373" s="12" customFormat="1" x14ac:dyDescent="0.25"/>
    <row r="149374" s="12" customFormat="1" x14ac:dyDescent="0.25"/>
    <row r="149375" s="12" customFormat="1" x14ac:dyDescent="0.25"/>
    <row r="149376" s="12" customFormat="1" x14ac:dyDescent="0.25"/>
    <row r="149377" s="12" customFormat="1" x14ac:dyDescent="0.25"/>
    <row r="149378" s="12" customFormat="1" x14ac:dyDescent="0.25"/>
    <row r="149379" s="12" customFormat="1" x14ac:dyDescent="0.25"/>
    <row r="149380" s="12" customFormat="1" x14ac:dyDescent="0.25"/>
    <row r="149381" s="12" customFormat="1" x14ac:dyDescent="0.25"/>
    <row r="149382" s="12" customFormat="1" x14ac:dyDescent="0.25"/>
    <row r="149383" s="12" customFormat="1" x14ac:dyDescent="0.25"/>
    <row r="149384" s="12" customFormat="1" x14ac:dyDescent="0.25"/>
    <row r="149385" s="12" customFormat="1" x14ac:dyDescent="0.25"/>
    <row r="149386" s="12" customFormat="1" x14ac:dyDescent="0.25"/>
    <row r="149387" s="12" customFormat="1" x14ac:dyDescent="0.25"/>
    <row r="149388" s="12" customFormat="1" x14ac:dyDescent="0.25"/>
    <row r="149389" s="12" customFormat="1" x14ac:dyDescent="0.25"/>
    <row r="149390" s="12" customFormat="1" x14ac:dyDescent="0.25"/>
    <row r="149391" s="12" customFormat="1" x14ac:dyDescent="0.25"/>
    <row r="149392" s="12" customFormat="1" x14ac:dyDescent="0.25"/>
    <row r="149393" s="12" customFormat="1" x14ac:dyDescent="0.25"/>
    <row r="149394" s="12" customFormat="1" x14ac:dyDescent="0.25"/>
    <row r="149395" s="12" customFormat="1" x14ac:dyDescent="0.25"/>
    <row r="149396" s="12" customFormat="1" x14ac:dyDescent="0.25"/>
    <row r="149397" s="12" customFormat="1" x14ac:dyDescent="0.25"/>
    <row r="149398" s="12" customFormat="1" x14ac:dyDescent="0.25"/>
    <row r="149399" s="12" customFormat="1" x14ac:dyDescent="0.25"/>
    <row r="149400" s="12" customFormat="1" x14ac:dyDescent="0.25"/>
    <row r="149401" s="12" customFormat="1" x14ac:dyDescent="0.25"/>
    <row r="149402" s="12" customFormat="1" x14ac:dyDescent="0.25"/>
    <row r="149403" s="12" customFormat="1" x14ac:dyDescent="0.25"/>
    <row r="149404" s="12" customFormat="1" x14ac:dyDescent="0.25"/>
    <row r="149405" s="12" customFormat="1" x14ac:dyDescent="0.25"/>
    <row r="149406" s="12" customFormat="1" x14ac:dyDescent="0.25"/>
    <row r="149407" s="12" customFormat="1" x14ac:dyDescent="0.25"/>
    <row r="149408" s="12" customFormat="1" x14ac:dyDescent="0.25"/>
    <row r="149409" s="12" customFormat="1" x14ac:dyDescent="0.25"/>
    <row r="149410" s="12" customFormat="1" x14ac:dyDescent="0.25"/>
    <row r="149411" s="12" customFormat="1" x14ac:dyDescent="0.25"/>
    <row r="149412" s="12" customFormat="1" x14ac:dyDescent="0.25"/>
    <row r="149413" s="12" customFormat="1" x14ac:dyDescent="0.25"/>
    <row r="149414" s="12" customFormat="1" x14ac:dyDescent="0.25"/>
    <row r="149415" s="12" customFormat="1" x14ac:dyDescent="0.25"/>
    <row r="149416" s="12" customFormat="1" x14ac:dyDescent="0.25"/>
    <row r="149417" s="12" customFormat="1" x14ac:dyDescent="0.25"/>
    <row r="149418" s="12" customFormat="1" x14ac:dyDescent="0.25"/>
    <row r="149419" s="12" customFormat="1" x14ac:dyDescent="0.25"/>
    <row r="149420" s="12" customFormat="1" x14ac:dyDescent="0.25"/>
    <row r="149421" s="12" customFormat="1" x14ac:dyDescent="0.25"/>
    <row r="149422" s="12" customFormat="1" x14ac:dyDescent="0.25"/>
    <row r="149423" s="12" customFormat="1" x14ac:dyDescent="0.25"/>
    <row r="149424" s="12" customFormat="1" x14ac:dyDescent="0.25"/>
    <row r="149425" s="12" customFormat="1" x14ac:dyDescent="0.25"/>
    <row r="149426" s="12" customFormat="1" x14ac:dyDescent="0.25"/>
    <row r="149427" s="12" customFormat="1" x14ac:dyDescent="0.25"/>
    <row r="149428" s="12" customFormat="1" x14ac:dyDescent="0.25"/>
    <row r="149429" s="12" customFormat="1" x14ac:dyDescent="0.25"/>
    <row r="149430" s="12" customFormat="1" x14ac:dyDescent="0.25"/>
    <row r="149431" s="12" customFormat="1" x14ac:dyDescent="0.25"/>
    <row r="149432" s="12" customFormat="1" x14ac:dyDescent="0.25"/>
    <row r="149433" s="12" customFormat="1" x14ac:dyDescent="0.25"/>
    <row r="149434" s="12" customFormat="1" x14ac:dyDescent="0.25"/>
    <row r="149435" s="12" customFormat="1" x14ac:dyDescent="0.25"/>
    <row r="149436" s="12" customFormat="1" x14ac:dyDescent="0.25"/>
    <row r="149437" s="12" customFormat="1" x14ac:dyDescent="0.25"/>
    <row r="149438" s="12" customFormat="1" x14ac:dyDescent="0.25"/>
    <row r="149439" s="12" customFormat="1" x14ac:dyDescent="0.25"/>
    <row r="149440" s="12" customFormat="1" x14ac:dyDescent="0.25"/>
    <row r="149441" s="12" customFormat="1" x14ac:dyDescent="0.25"/>
    <row r="149442" s="12" customFormat="1" x14ac:dyDescent="0.25"/>
    <row r="149443" s="12" customFormat="1" x14ac:dyDescent="0.25"/>
    <row r="149444" s="12" customFormat="1" x14ac:dyDescent="0.25"/>
    <row r="149445" s="12" customFormat="1" x14ac:dyDescent="0.25"/>
    <row r="149446" s="12" customFormat="1" x14ac:dyDescent="0.25"/>
    <row r="149447" s="12" customFormat="1" x14ac:dyDescent="0.25"/>
    <row r="149448" s="12" customFormat="1" x14ac:dyDescent="0.25"/>
    <row r="149449" s="12" customFormat="1" x14ac:dyDescent="0.25"/>
    <row r="149450" s="12" customFormat="1" x14ac:dyDescent="0.25"/>
    <row r="149451" s="12" customFormat="1" x14ac:dyDescent="0.25"/>
    <row r="149452" s="12" customFormat="1" x14ac:dyDescent="0.25"/>
    <row r="149453" s="12" customFormat="1" x14ac:dyDescent="0.25"/>
    <row r="149454" s="12" customFormat="1" x14ac:dyDescent="0.25"/>
    <row r="149455" s="12" customFormat="1" x14ac:dyDescent="0.25"/>
    <row r="149456" s="12" customFormat="1" x14ac:dyDescent="0.25"/>
    <row r="149457" s="12" customFormat="1" x14ac:dyDescent="0.25"/>
    <row r="149458" s="12" customFormat="1" x14ac:dyDescent="0.25"/>
    <row r="149459" s="12" customFormat="1" x14ac:dyDescent="0.25"/>
    <row r="149460" s="12" customFormat="1" x14ac:dyDescent="0.25"/>
    <row r="149461" s="12" customFormat="1" x14ac:dyDescent="0.25"/>
    <row r="149462" s="12" customFormat="1" x14ac:dyDescent="0.25"/>
    <row r="149463" s="12" customFormat="1" x14ac:dyDescent="0.25"/>
    <row r="149464" s="12" customFormat="1" x14ac:dyDescent="0.25"/>
    <row r="149465" s="12" customFormat="1" x14ac:dyDescent="0.25"/>
    <row r="149466" s="12" customFormat="1" x14ac:dyDescent="0.25"/>
    <row r="149467" s="12" customFormat="1" x14ac:dyDescent="0.25"/>
    <row r="149468" s="12" customFormat="1" x14ac:dyDescent="0.25"/>
    <row r="149469" s="12" customFormat="1" x14ac:dyDescent="0.25"/>
    <row r="149470" s="12" customFormat="1" x14ac:dyDescent="0.25"/>
    <row r="149471" s="12" customFormat="1" x14ac:dyDescent="0.25"/>
    <row r="149472" s="12" customFormat="1" x14ac:dyDescent="0.25"/>
    <row r="149473" s="12" customFormat="1" x14ac:dyDescent="0.25"/>
    <row r="149474" s="12" customFormat="1" x14ac:dyDescent="0.25"/>
    <row r="149475" s="12" customFormat="1" x14ac:dyDescent="0.25"/>
    <row r="149476" s="12" customFormat="1" x14ac:dyDescent="0.25"/>
    <row r="149477" s="12" customFormat="1" x14ac:dyDescent="0.25"/>
    <row r="149478" s="12" customFormat="1" x14ac:dyDescent="0.25"/>
    <row r="149479" s="12" customFormat="1" x14ac:dyDescent="0.25"/>
    <row r="149480" s="12" customFormat="1" x14ac:dyDescent="0.25"/>
    <row r="149481" s="12" customFormat="1" x14ac:dyDescent="0.25"/>
    <row r="149482" s="12" customFormat="1" x14ac:dyDescent="0.25"/>
    <row r="149483" s="12" customFormat="1" x14ac:dyDescent="0.25"/>
    <row r="149484" s="12" customFormat="1" x14ac:dyDescent="0.25"/>
    <row r="149485" s="12" customFormat="1" x14ac:dyDescent="0.25"/>
    <row r="149486" s="12" customFormat="1" x14ac:dyDescent="0.25"/>
    <row r="149487" s="12" customFormat="1" x14ac:dyDescent="0.25"/>
    <row r="149488" s="12" customFormat="1" x14ac:dyDescent="0.25"/>
    <row r="149489" s="12" customFormat="1" x14ac:dyDescent="0.25"/>
    <row r="149490" s="12" customFormat="1" x14ac:dyDescent="0.25"/>
    <row r="149491" s="12" customFormat="1" x14ac:dyDescent="0.25"/>
    <row r="149492" s="12" customFormat="1" x14ac:dyDescent="0.25"/>
    <row r="149493" s="12" customFormat="1" x14ac:dyDescent="0.25"/>
    <row r="149494" s="12" customFormat="1" x14ac:dyDescent="0.25"/>
    <row r="149495" s="12" customFormat="1" x14ac:dyDescent="0.25"/>
    <row r="149496" s="12" customFormat="1" x14ac:dyDescent="0.25"/>
    <row r="149497" s="12" customFormat="1" x14ac:dyDescent="0.25"/>
    <row r="149498" s="12" customFormat="1" x14ac:dyDescent="0.25"/>
    <row r="149499" s="12" customFormat="1" x14ac:dyDescent="0.25"/>
    <row r="149500" s="12" customFormat="1" x14ac:dyDescent="0.25"/>
    <row r="149501" s="12" customFormat="1" x14ac:dyDescent="0.25"/>
    <row r="149502" s="12" customFormat="1" x14ac:dyDescent="0.25"/>
    <row r="149503" s="12" customFormat="1" x14ac:dyDescent="0.25"/>
    <row r="149504" s="12" customFormat="1" x14ac:dyDescent="0.25"/>
    <row r="149505" s="12" customFormat="1" x14ac:dyDescent="0.25"/>
    <row r="149506" s="12" customFormat="1" x14ac:dyDescent="0.25"/>
    <row r="149507" s="12" customFormat="1" x14ac:dyDescent="0.25"/>
    <row r="149508" s="12" customFormat="1" x14ac:dyDescent="0.25"/>
    <row r="149509" s="12" customFormat="1" x14ac:dyDescent="0.25"/>
    <row r="149510" s="12" customFormat="1" x14ac:dyDescent="0.25"/>
    <row r="149511" s="12" customFormat="1" x14ac:dyDescent="0.25"/>
    <row r="149512" s="12" customFormat="1" x14ac:dyDescent="0.25"/>
    <row r="149513" s="12" customFormat="1" x14ac:dyDescent="0.25"/>
    <row r="149514" s="12" customFormat="1" x14ac:dyDescent="0.25"/>
    <row r="149515" s="12" customFormat="1" x14ac:dyDescent="0.25"/>
    <row r="149516" s="12" customFormat="1" x14ac:dyDescent="0.25"/>
    <row r="149517" s="12" customFormat="1" x14ac:dyDescent="0.25"/>
    <row r="149518" s="12" customFormat="1" x14ac:dyDescent="0.25"/>
    <row r="149519" s="12" customFormat="1" x14ac:dyDescent="0.25"/>
    <row r="149520" s="12" customFormat="1" x14ac:dyDescent="0.25"/>
    <row r="149521" s="12" customFormat="1" x14ac:dyDescent="0.25"/>
    <row r="149522" s="12" customFormat="1" x14ac:dyDescent="0.25"/>
    <row r="149523" s="12" customFormat="1" x14ac:dyDescent="0.25"/>
    <row r="149524" s="12" customFormat="1" x14ac:dyDescent="0.25"/>
    <row r="149525" s="12" customFormat="1" x14ac:dyDescent="0.25"/>
    <row r="149526" s="12" customFormat="1" x14ac:dyDescent="0.25"/>
    <row r="149527" s="12" customFormat="1" x14ac:dyDescent="0.25"/>
    <row r="149528" s="12" customFormat="1" x14ac:dyDescent="0.25"/>
    <row r="149529" s="12" customFormat="1" x14ac:dyDescent="0.25"/>
    <row r="149530" s="12" customFormat="1" x14ac:dyDescent="0.25"/>
    <row r="149531" s="12" customFormat="1" x14ac:dyDescent="0.25"/>
    <row r="149532" s="12" customFormat="1" x14ac:dyDescent="0.25"/>
    <row r="149533" s="12" customFormat="1" x14ac:dyDescent="0.25"/>
    <row r="149534" s="12" customFormat="1" x14ac:dyDescent="0.25"/>
    <row r="149535" s="12" customFormat="1" x14ac:dyDescent="0.25"/>
    <row r="149536" s="12" customFormat="1" x14ac:dyDescent="0.25"/>
    <row r="149537" s="12" customFormat="1" x14ac:dyDescent="0.25"/>
    <row r="149538" s="12" customFormat="1" x14ac:dyDescent="0.25"/>
    <row r="149539" s="12" customFormat="1" x14ac:dyDescent="0.25"/>
    <row r="149540" s="12" customFormat="1" x14ac:dyDescent="0.25"/>
    <row r="149541" s="12" customFormat="1" x14ac:dyDescent="0.25"/>
    <row r="149542" s="12" customFormat="1" x14ac:dyDescent="0.25"/>
    <row r="149543" s="12" customFormat="1" x14ac:dyDescent="0.25"/>
    <row r="149544" s="12" customFormat="1" x14ac:dyDescent="0.25"/>
    <row r="149545" s="12" customFormat="1" x14ac:dyDescent="0.25"/>
    <row r="149546" s="12" customFormat="1" x14ac:dyDescent="0.25"/>
    <row r="149547" s="12" customFormat="1" x14ac:dyDescent="0.25"/>
    <row r="149548" s="12" customFormat="1" x14ac:dyDescent="0.25"/>
    <row r="149549" s="12" customFormat="1" x14ac:dyDescent="0.25"/>
    <row r="149550" s="12" customFormat="1" x14ac:dyDescent="0.25"/>
    <row r="149551" s="12" customFormat="1" x14ac:dyDescent="0.25"/>
    <row r="149552" s="12" customFormat="1" x14ac:dyDescent="0.25"/>
    <row r="149553" s="12" customFormat="1" x14ac:dyDescent="0.25"/>
    <row r="149554" s="12" customFormat="1" x14ac:dyDescent="0.25"/>
    <row r="149555" s="12" customFormat="1" x14ac:dyDescent="0.25"/>
    <row r="149556" s="12" customFormat="1" x14ac:dyDescent="0.25"/>
    <row r="149557" s="12" customFormat="1" x14ac:dyDescent="0.25"/>
    <row r="149558" s="12" customFormat="1" x14ac:dyDescent="0.25"/>
    <row r="149559" s="12" customFormat="1" x14ac:dyDescent="0.25"/>
    <row r="149560" s="12" customFormat="1" x14ac:dyDescent="0.25"/>
    <row r="149561" s="12" customFormat="1" x14ac:dyDescent="0.25"/>
    <row r="149562" s="12" customFormat="1" x14ac:dyDescent="0.25"/>
    <row r="149563" s="12" customFormat="1" x14ac:dyDescent="0.25"/>
    <row r="149564" s="12" customFormat="1" x14ac:dyDescent="0.25"/>
    <row r="149565" s="12" customFormat="1" x14ac:dyDescent="0.25"/>
    <row r="149566" s="12" customFormat="1" x14ac:dyDescent="0.25"/>
    <row r="149567" s="12" customFormat="1" x14ac:dyDescent="0.25"/>
    <row r="149568" s="12" customFormat="1" x14ac:dyDescent="0.25"/>
    <row r="149569" s="12" customFormat="1" x14ac:dyDescent="0.25"/>
    <row r="149570" s="12" customFormat="1" x14ac:dyDescent="0.25"/>
    <row r="149571" s="12" customFormat="1" x14ac:dyDescent="0.25"/>
    <row r="149572" s="12" customFormat="1" x14ac:dyDescent="0.25"/>
    <row r="149573" s="12" customFormat="1" x14ac:dyDescent="0.25"/>
    <row r="149574" s="12" customFormat="1" x14ac:dyDescent="0.25"/>
    <row r="149575" s="12" customFormat="1" x14ac:dyDescent="0.25"/>
    <row r="149576" s="12" customFormat="1" x14ac:dyDescent="0.25"/>
    <row r="149577" s="12" customFormat="1" x14ac:dyDescent="0.25"/>
    <row r="149578" s="12" customFormat="1" x14ac:dyDescent="0.25"/>
    <row r="149579" s="12" customFormat="1" x14ac:dyDescent="0.25"/>
    <row r="149580" s="12" customFormat="1" x14ac:dyDescent="0.25"/>
    <row r="149581" s="12" customFormat="1" x14ac:dyDescent="0.25"/>
    <row r="149582" s="12" customFormat="1" x14ac:dyDescent="0.25"/>
    <row r="149583" s="12" customFormat="1" x14ac:dyDescent="0.25"/>
    <row r="149584" s="12" customFormat="1" x14ac:dyDescent="0.25"/>
    <row r="149585" s="12" customFormat="1" x14ac:dyDescent="0.25"/>
    <row r="149586" s="12" customFormat="1" x14ac:dyDescent="0.25"/>
    <row r="149587" s="12" customFormat="1" x14ac:dyDescent="0.25"/>
    <row r="149588" s="12" customFormat="1" x14ac:dyDescent="0.25"/>
    <row r="149589" s="12" customFormat="1" x14ac:dyDescent="0.25"/>
    <row r="149590" s="12" customFormat="1" x14ac:dyDescent="0.25"/>
    <row r="149591" s="12" customFormat="1" x14ac:dyDescent="0.25"/>
    <row r="149592" s="12" customFormat="1" x14ac:dyDescent="0.25"/>
    <row r="149593" s="12" customFormat="1" x14ac:dyDescent="0.25"/>
    <row r="149594" s="12" customFormat="1" x14ac:dyDescent="0.25"/>
    <row r="149595" s="12" customFormat="1" x14ac:dyDescent="0.25"/>
    <row r="149596" s="12" customFormat="1" x14ac:dyDescent="0.25"/>
    <row r="149597" s="12" customFormat="1" x14ac:dyDescent="0.25"/>
    <row r="149598" s="12" customFormat="1" x14ac:dyDescent="0.25"/>
    <row r="149599" s="12" customFormat="1" x14ac:dyDescent="0.25"/>
    <row r="149600" s="12" customFormat="1" x14ac:dyDescent="0.25"/>
    <row r="149601" s="12" customFormat="1" x14ac:dyDescent="0.25"/>
    <row r="149602" s="12" customFormat="1" x14ac:dyDescent="0.25"/>
    <row r="149603" s="12" customFormat="1" x14ac:dyDescent="0.25"/>
    <row r="149604" s="12" customFormat="1" x14ac:dyDescent="0.25"/>
    <row r="149605" s="12" customFormat="1" x14ac:dyDescent="0.25"/>
    <row r="149606" s="12" customFormat="1" x14ac:dyDescent="0.25"/>
    <row r="149607" s="12" customFormat="1" x14ac:dyDescent="0.25"/>
    <row r="149608" s="12" customFormat="1" x14ac:dyDescent="0.25"/>
    <row r="149609" s="12" customFormat="1" x14ac:dyDescent="0.25"/>
    <row r="149610" s="12" customFormat="1" x14ac:dyDescent="0.25"/>
    <row r="149611" s="12" customFormat="1" x14ac:dyDescent="0.25"/>
    <row r="149612" s="12" customFormat="1" x14ac:dyDescent="0.25"/>
    <row r="149613" s="12" customFormat="1" x14ac:dyDescent="0.25"/>
    <row r="149614" s="12" customFormat="1" x14ac:dyDescent="0.25"/>
    <row r="149615" s="12" customFormat="1" x14ac:dyDescent="0.25"/>
    <row r="149616" s="12" customFormat="1" x14ac:dyDescent="0.25"/>
    <row r="149617" s="12" customFormat="1" x14ac:dyDescent="0.25"/>
    <row r="149618" s="12" customFormat="1" x14ac:dyDescent="0.25"/>
    <row r="149619" s="12" customFormat="1" x14ac:dyDescent="0.25"/>
    <row r="149620" s="12" customFormat="1" x14ac:dyDescent="0.25"/>
    <row r="149621" s="12" customFormat="1" x14ac:dyDescent="0.25"/>
    <row r="149622" s="12" customFormat="1" x14ac:dyDescent="0.25"/>
    <row r="149623" s="12" customFormat="1" x14ac:dyDescent="0.25"/>
    <row r="149624" s="12" customFormat="1" x14ac:dyDescent="0.25"/>
    <row r="149625" s="12" customFormat="1" x14ac:dyDescent="0.25"/>
    <row r="149626" s="12" customFormat="1" x14ac:dyDescent="0.25"/>
    <row r="149627" s="12" customFormat="1" x14ac:dyDescent="0.25"/>
    <row r="149628" s="12" customFormat="1" x14ac:dyDescent="0.25"/>
    <row r="149629" s="12" customFormat="1" x14ac:dyDescent="0.25"/>
    <row r="149630" s="12" customFormat="1" x14ac:dyDescent="0.25"/>
    <row r="149631" s="12" customFormat="1" x14ac:dyDescent="0.25"/>
    <row r="149632" s="12" customFormat="1" x14ac:dyDescent="0.25"/>
    <row r="149633" s="12" customFormat="1" x14ac:dyDescent="0.25"/>
    <row r="149634" s="12" customFormat="1" x14ac:dyDescent="0.25"/>
    <row r="149635" s="12" customFormat="1" x14ac:dyDescent="0.25"/>
    <row r="149636" s="12" customFormat="1" x14ac:dyDescent="0.25"/>
    <row r="149637" s="12" customFormat="1" x14ac:dyDescent="0.25"/>
    <row r="149638" s="12" customFormat="1" x14ac:dyDescent="0.25"/>
    <row r="149639" s="12" customFormat="1" x14ac:dyDescent="0.25"/>
    <row r="149640" s="12" customFormat="1" x14ac:dyDescent="0.25"/>
    <row r="149641" s="12" customFormat="1" x14ac:dyDescent="0.25"/>
    <row r="149642" s="12" customFormat="1" x14ac:dyDescent="0.25"/>
    <row r="149643" s="12" customFormat="1" x14ac:dyDescent="0.25"/>
    <row r="149644" s="12" customFormat="1" x14ac:dyDescent="0.25"/>
    <row r="149645" s="12" customFormat="1" x14ac:dyDescent="0.25"/>
    <row r="149646" s="12" customFormat="1" x14ac:dyDescent="0.25"/>
    <row r="149647" s="12" customFormat="1" x14ac:dyDescent="0.25"/>
    <row r="149648" s="12" customFormat="1" x14ac:dyDescent="0.25"/>
    <row r="149649" s="12" customFormat="1" x14ac:dyDescent="0.25"/>
    <row r="149650" s="12" customFormat="1" x14ac:dyDescent="0.25"/>
    <row r="149651" s="12" customFormat="1" x14ac:dyDescent="0.25"/>
    <row r="149652" s="12" customFormat="1" x14ac:dyDescent="0.25"/>
    <row r="149653" s="12" customFormat="1" x14ac:dyDescent="0.25"/>
    <row r="149654" s="12" customFormat="1" x14ac:dyDescent="0.25"/>
    <row r="149655" s="12" customFormat="1" x14ac:dyDescent="0.25"/>
    <row r="149656" s="12" customFormat="1" x14ac:dyDescent="0.25"/>
    <row r="149657" s="12" customFormat="1" x14ac:dyDescent="0.25"/>
    <row r="149658" s="12" customFormat="1" x14ac:dyDescent="0.25"/>
    <row r="149659" s="12" customFormat="1" x14ac:dyDescent="0.25"/>
    <row r="149660" s="12" customFormat="1" x14ac:dyDescent="0.25"/>
    <row r="149661" s="12" customFormat="1" x14ac:dyDescent="0.25"/>
    <row r="149662" s="12" customFormat="1" x14ac:dyDescent="0.25"/>
    <row r="149663" s="12" customFormat="1" x14ac:dyDescent="0.25"/>
    <row r="149664" s="12" customFormat="1" x14ac:dyDescent="0.25"/>
    <row r="149665" s="12" customFormat="1" x14ac:dyDescent="0.25"/>
    <row r="149666" s="12" customFormat="1" x14ac:dyDescent="0.25"/>
    <row r="149667" s="12" customFormat="1" x14ac:dyDescent="0.25"/>
    <row r="149668" s="12" customFormat="1" x14ac:dyDescent="0.25"/>
    <row r="149669" s="12" customFormat="1" x14ac:dyDescent="0.25"/>
    <row r="149670" s="12" customFormat="1" x14ac:dyDescent="0.25"/>
    <row r="149671" s="12" customFormat="1" x14ac:dyDescent="0.25"/>
    <row r="149672" s="12" customFormat="1" x14ac:dyDescent="0.25"/>
    <row r="149673" s="12" customFormat="1" x14ac:dyDescent="0.25"/>
    <row r="149674" s="12" customFormat="1" x14ac:dyDescent="0.25"/>
    <row r="149675" s="12" customFormat="1" x14ac:dyDescent="0.25"/>
    <row r="149676" s="12" customFormat="1" x14ac:dyDescent="0.25"/>
    <row r="149677" s="12" customFormat="1" x14ac:dyDescent="0.25"/>
    <row r="149678" s="12" customFormat="1" x14ac:dyDescent="0.25"/>
    <row r="149679" s="12" customFormat="1" x14ac:dyDescent="0.25"/>
    <row r="149680" s="12" customFormat="1" x14ac:dyDescent="0.25"/>
    <row r="149681" s="12" customFormat="1" x14ac:dyDescent="0.25"/>
    <row r="149682" s="12" customFormat="1" x14ac:dyDescent="0.25"/>
    <row r="149683" s="12" customFormat="1" x14ac:dyDescent="0.25"/>
    <row r="149684" s="12" customFormat="1" x14ac:dyDescent="0.25"/>
    <row r="149685" s="12" customFormat="1" x14ac:dyDescent="0.25"/>
    <row r="149686" s="12" customFormat="1" x14ac:dyDescent="0.25"/>
    <row r="149687" s="12" customFormat="1" x14ac:dyDescent="0.25"/>
    <row r="149688" s="12" customFormat="1" x14ac:dyDescent="0.25"/>
    <row r="149689" s="12" customFormat="1" x14ac:dyDescent="0.25"/>
    <row r="149690" s="12" customFormat="1" x14ac:dyDescent="0.25"/>
    <row r="149691" s="12" customFormat="1" x14ac:dyDescent="0.25"/>
    <row r="149692" s="12" customFormat="1" x14ac:dyDescent="0.25"/>
    <row r="149693" s="12" customFormat="1" x14ac:dyDescent="0.25"/>
    <row r="149694" s="12" customFormat="1" x14ac:dyDescent="0.25"/>
    <row r="149695" s="12" customFormat="1" x14ac:dyDescent="0.25"/>
    <row r="149696" s="12" customFormat="1" x14ac:dyDescent="0.25"/>
    <row r="149697" s="12" customFormat="1" x14ac:dyDescent="0.25"/>
    <row r="149698" s="12" customFormat="1" x14ac:dyDescent="0.25"/>
    <row r="149699" s="12" customFormat="1" x14ac:dyDescent="0.25"/>
    <row r="149700" s="12" customFormat="1" x14ac:dyDescent="0.25"/>
    <row r="149701" s="12" customFormat="1" x14ac:dyDescent="0.25"/>
    <row r="149702" s="12" customFormat="1" x14ac:dyDescent="0.25"/>
    <row r="149703" s="12" customFormat="1" x14ac:dyDescent="0.25"/>
    <row r="149704" s="12" customFormat="1" x14ac:dyDescent="0.25"/>
    <row r="149705" s="12" customFormat="1" x14ac:dyDescent="0.25"/>
    <row r="149706" s="12" customFormat="1" x14ac:dyDescent="0.25"/>
    <row r="149707" s="12" customFormat="1" x14ac:dyDescent="0.25"/>
    <row r="149708" s="12" customFormat="1" x14ac:dyDescent="0.25"/>
    <row r="149709" s="12" customFormat="1" x14ac:dyDescent="0.25"/>
    <row r="149710" s="12" customFormat="1" x14ac:dyDescent="0.25"/>
    <row r="149711" s="12" customFormat="1" x14ac:dyDescent="0.25"/>
    <row r="149712" s="12" customFormat="1" x14ac:dyDescent="0.25"/>
    <row r="149713" s="12" customFormat="1" x14ac:dyDescent="0.25"/>
    <row r="149714" s="12" customFormat="1" x14ac:dyDescent="0.25"/>
    <row r="149715" s="12" customFormat="1" x14ac:dyDescent="0.25"/>
    <row r="149716" s="12" customFormat="1" x14ac:dyDescent="0.25"/>
    <row r="149717" s="12" customFormat="1" x14ac:dyDescent="0.25"/>
    <row r="149718" s="12" customFormat="1" x14ac:dyDescent="0.25"/>
    <row r="149719" s="12" customFormat="1" x14ac:dyDescent="0.25"/>
    <row r="149720" s="12" customFormat="1" x14ac:dyDescent="0.25"/>
    <row r="149721" s="12" customFormat="1" x14ac:dyDescent="0.25"/>
    <row r="149722" s="12" customFormat="1" x14ac:dyDescent="0.25"/>
    <row r="149723" s="12" customFormat="1" x14ac:dyDescent="0.25"/>
    <row r="149724" s="12" customFormat="1" x14ac:dyDescent="0.25"/>
    <row r="149725" s="12" customFormat="1" x14ac:dyDescent="0.25"/>
    <row r="149726" s="12" customFormat="1" x14ac:dyDescent="0.25"/>
    <row r="149727" s="12" customFormat="1" x14ac:dyDescent="0.25"/>
    <row r="149728" s="12" customFormat="1" x14ac:dyDescent="0.25"/>
    <row r="149729" s="12" customFormat="1" x14ac:dyDescent="0.25"/>
    <row r="149730" s="12" customFormat="1" x14ac:dyDescent="0.25"/>
    <row r="149731" s="12" customFormat="1" x14ac:dyDescent="0.25"/>
    <row r="149732" s="12" customFormat="1" x14ac:dyDescent="0.25"/>
    <row r="149733" s="12" customFormat="1" x14ac:dyDescent="0.25"/>
    <row r="149734" s="12" customFormat="1" x14ac:dyDescent="0.25"/>
    <row r="149735" s="12" customFormat="1" x14ac:dyDescent="0.25"/>
    <row r="149736" s="12" customFormat="1" x14ac:dyDescent="0.25"/>
    <row r="149737" s="12" customFormat="1" x14ac:dyDescent="0.25"/>
    <row r="149738" s="12" customFormat="1" x14ac:dyDescent="0.25"/>
    <row r="149739" s="12" customFormat="1" x14ac:dyDescent="0.25"/>
    <row r="149740" s="12" customFormat="1" x14ac:dyDescent="0.25"/>
    <row r="149741" s="12" customFormat="1" x14ac:dyDescent="0.25"/>
    <row r="149742" s="12" customFormat="1" x14ac:dyDescent="0.25"/>
    <row r="149743" s="12" customFormat="1" x14ac:dyDescent="0.25"/>
    <row r="149744" s="12" customFormat="1" x14ac:dyDescent="0.25"/>
    <row r="149745" s="12" customFormat="1" x14ac:dyDescent="0.25"/>
    <row r="149746" s="12" customFormat="1" x14ac:dyDescent="0.25"/>
    <row r="149747" s="12" customFormat="1" x14ac:dyDescent="0.25"/>
    <row r="149748" s="12" customFormat="1" x14ac:dyDescent="0.25"/>
    <row r="149749" s="12" customFormat="1" x14ac:dyDescent="0.25"/>
    <row r="149750" s="12" customFormat="1" x14ac:dyDescent="0.25"/>
    <row r="149751" s="12" customFormat="1" x14ac:dyDescent="0.25"/>
    <row r="149752" s="12" customFormat="1" x14ac:dyDescent="0.25"/>
    <row r="149753" s="12" customFormat="1" x14ac:dyDescent="0.25"/>
    <row r="149754" s="12" customFormat="1" x14ac:dyDescent="0.25"/>
    <row r="149755" s="12" customFormat="1" x14ac:dyDescent="0.25"/>
    <row r="149756" s="12" customFormat="1" x14ac:dyDescent="0.25"/>
    <row r="149757" s="12" customFormat="1" x14ac:dyDescent="0.25"/>
    <row r="149758" s="12" customFormat="1" x14ac:dyDescent="0.25"/>
    <row r="149759" s="12" customFormat="1" x14ac:dyDescent="0.25"/>
    <row r="149760" s="12" customFormat="1" x14ac:dyDescent="0.25"/>
    <row r="149761" s="12" customFormat="1" x14ac:dyDescent="0.25"/>
    <row r="149762" s="12" customFormat="1" x14ac:dyDescent="0.25"/>
    <row r="149763" s="12" customFormat="1" x14ac:dyDescent="0.25"/>
    <row r="149764" s="12" customFormat="1" x14ac:dyDescent="0.25"/>
    <row r="149765" s="12" customFormat="1" x14ac:dyDescent="0.25"/>
    <row r="149766" s="12" customFormat="1" x14ac:dyDescent="0.25"/>
    <row r="149767" s="12" customFormat="1" x14ac:dyDescent="0.25"/>
    <row r="149768" s="12" customFormat="1" x14ac:dyDescent="0.25"/>
    <row r="149769" s="12" customFormat="1" x14ac:dyDescent="0.25"/>
    <row r="149770" s="12" customFormat="1" x14ac:dyDescent="0.25"/>
    <row r="149771" s="12" customFormat="1" x14ac:dyDescent="0.25"/>
    <row r="149772" s="12" customFormat="1" x14ac:dyDescent="0.25"/>
    <row r="149773" s="12" customFormat="1" x14ac:dyDescent="0.25"/>
    <row r="149774" s="12" customFormat="1" x14ac:dyDescent="0.25"/>
    <row r="149775" s="12" customFormat="1" x14ac:dyDescent="0.25"/>
    <row r="149776" s="12" customFormat="1" x14ac:dyDescent="0.25"/>
    <row r="149777" s="12" customFormat="1" x14ac:dyDescent="0.25"/>
    <row r="149778" s="12" customFormat="1" x14ac:dyDescent="0.25"/>
    <row r="149779" s="12" customFormat="1" x14ac:dyDescent="0.25"/>
    <row r="149780" s="12" customFormat="1" x14ac:dyDescent="0.25"/>
    <row r="149781" s="12" customFormat="1" x14ac:dyDescent="0.25"/>
    <row r="149782" s="12" customFormat="1" x14ac:dyDescent="0.25"/>
    <row r="149783" s="12" customFormat="1" x14ac:dyDescent="0.25"/>
    <row r="149784" s="12" customFormat="1" x14ac:dyDescent="0.25"/>
    <row r="149785" s="12" customFormat="1" x14ac:dyDescent="0.25"/>
    <row r="149786" s="12" customFormat="1" x14ac:dyDescent="0.25"/>
    <row r="149787" s="12" customFormat="1" x14ac:dyDescent="0.25"/>
    <row r="149788" s="12" customFormat="1" x14ac:dyDescent="0.25"/>
    <row r="149789" s="12" customFormat="1" x14ac:dyDescent="0.25"/>
    <row r="149790" s="12" customFormat="1" x14ac:dyDescent="0.25"/>
    <row r="149791" s="12" customFormat="1" x14ac:dyDescent="0.25"/>
    <row r="149792" s="12" customFormat="1" x14ac:dyDescent="0.25"/>
    <row r="149793" s="12" customFormat="1" x14ac:dyDescent="0.25"/>
    <row r="149794" s="12" customFormat="1" x14ac:dyDescent="0.25"/>
    <row r="149795" s="12" customFormat="1" x14ac:dyDescent="0.25"/>
    <row r="149796" s="12" customFormat="1" x14ac:dyDescent="0.25"/>
    <row r="149797" s="12" customFormat="1" x14ac:dyDescent="0.25"/>
    <row r="149798" s="12" customFormat="1" x14ac:dyDescent="0.25"/>
    <row r="149799" s="12" customFormat="1" x14ac:dyDescent="0.25"/>
    <row r="149800" s="12" customFormat="1" x14ac:dyDescent="0.25"/>
    <row r="149801" s="12" customFormat="1" x14ac:dyDescent="0.25"/>
    <row r="149802" s="12" customFormat="1" x14ac:dyDescent="0.25"/>
    <row r="149803" s="12" customFormat="1" x14ac:dyDescent="0.25"/>
    <row r="149804" s="12" customFormat="1" x14ac:dyDescent="0.25"/>
    <row r="149805" s="12" customFormat="1" x14ac:dyDescent="0.25"/>
    <row r="149806" s="12" customFormat="1" x14ac:dyDescent="0.25"/>
    <row r="149807" s="12" customFormat="1" x14ac:dyDescent="0.25"/>
    <row r="149808" s="12" customFormat="1" x14ac:dyDescent="0.25"/>
    <row r="149809" s="12" customFormat="1" x14ac:dyDescent="0.25"/>
    <row r="149810" s="12" customFormat="1" x14ac:dyDescent="0.25"/>
    <row r="149811" s="12" customFormat="1" x14ac:dyDescent="0.25"/>
    <row r="149812" s="12" customFormat="1" x14ac:dyDescent="0.25"/>
    <row r="149813" s="12" customFormat="1" x14ac:dyDescent="0.25"/>
    <row r="149814" s="12" customFormat="1" x14ac:dyDescent="0.25"/>
    <row r="149815" s="12" customFormat="1" x14ac:dyDescent="0.25"/>
    <row r="149816" s="12" customFormat="1" x14ac:dyDescent="0.25"/>
    <row r="149817" s="12" customFormat="1" x14ac:dyDescent="0.25"/>
    <row r="149818" s="12" customFormat="1" x14ac:dyDescent="0.25"/>
    <row r="149819" s="12" customFormat="1" x14ac:dyDescent="0.25"/>
    <row r="149820" s="12" customFormat="1" x14ac:dyDescent="0.25"/>
    <row r="149821" s="12" customFormat="1" x14ac:dyDescent="0.25"/>
    <row r="149822" s="12" customFormat="1" x14ac:dyDescent="0.25"/>
    <row r="149823" s="12" customFormat="1" x14ac:dyDescent="0.25"/>
    <row r="149824" s="12" customFormat="1" x14ac:dyDescent="0.25"/>
    <row r="149825" s="12" customFormat="1" x14ac:dyDescent="0.25"/>
    <row r="149826" s="12" customFormat="1" x14ac:dyDescent="0.25"/>
    <row r="149827" s="12" customFormat="1" x14ac:dyDescent="0.25"/>
    <row r="149828" s="12" customFormat="1" x14ac:dyDescent="0.25"/>
    <row r="149829" s="12" customFormat="1" x14ac:dyDescent="0.25"/>
    <row r="149830" s="12" customFormat="1" x14ac:dyDescent="0.25"/>
    <row r="149831" s="12" customFormat="1" x14ac:dyDescent="0.25"/>
    <row r="149832" s="12" customFormat="1" x14ac:dyDescent="0.25"/>
    <row r="149833" s="12" customFormat="1" x14ac:dyDescent="0.25"/>
    <row r="149834" s="12" customFormat="1" x14ac:dyDescent="0.25"/>
    <row r="149835" s="12" customFormat="1" x14ac:dyDescent="0.25"/>
    <row r="149836" s="12" customFormat="1" x14ac:dyDescent="0.25"/>
    <row r="149837" s="12" customFormat="1" x14ac:dyDescent="0.25"/>
    <row r="149838" s="12" customFormat="1" x14ac:dyDescent="0.25"/>
    <row r="149839" s="12" customFormat="1" x14ac:dyDescent="0.25"/>
    <row r="149840" s="12" customFormat="1" x14ac:dyDescent="0.25"/>
    <row r="149841" s="12" customFormat="1" x14ac:dyDescent="0.25"/>
    <row r="149842" s="12" customFormat="1" x14ac:dyDescent="0.25"/>
    <row r="149843" s="12" customFormat="1" x14ac:dyDescent="0.25"/>
    <row r="149844" s="12" customFormat="1" x14ac:dyDescent="0.25"/>
    <row r="149845" s="12" customFormat="1" x14ac:dyDescent="0.25"/>
    <row r="149846" s="12" customFormat="1" x14ac:dyDescent="0.25"/>
    <row r="149847" s="12" customFormat="1" x14ac:dyDescent="0.25"/>
    <row r="149848" s="12" customFormat="1" x14ac:dyDescent="0.25"/>
    <row r="149849" s="12" customFormat="1" x14ac:dyDescent="0.25"/>
    <row r="149850" s="12" customFormat="1" x14ac:dyDescent="0.25"/>
    <row r="149851" s="12" customFormat="1" x14ac:dyDescent="0.25"/>
    <row r="149852" s="12" customFormat="1" x14ac:dyDescent="0.25"/>
    <row r="149853" s="12" customFormat="1" x14ac:dyDescent="0.25"/>
    <row r="149854" s="12" customFormat="1" x14ac:dyDescent="0.25"/>
    <row r="149855" s="12" customFormat="1" x14ac:dyDescent="0.25"/>
    <row r="149856" s="12" customFormat="1" x14ac:dyDescent="0.25"/>
    <row r="149857" s="12" customFormat="1" x14ac:dyDescent="0.25"/>
    <row r="149858" s="12" customFormat="1" x14ac:dyDescent="0.25"/>
    <row r="149859" s="12" customFormat="1" x14ac:dyDescent="0.25"/>
    <row r="149860" s="12" customFormat="1" x14ac:dyDescent="0.25"/>
    <row r="149861" s="12" customFormat="1" x14ac:dyDescent="0.25"/>
    <row r="149862" s="12" customFormat="1" x14ac:dyDescent="0.25"/>
    <row r="149863" s="12" customFormat="1" x14ac:dyDescent="0.25"/>
    <row r="149864" s="12" customFormat="1" x14ac:dyDescent="0.25"/>
    <row r="149865" s="12" customFormat="1" x14ac:dyDescent="0.25"/>
    <row r="149866" s="12" customFormat="1" x14ac:dyDescent="0.25"/>
    <row r="149867" s="12" customFormat="1" x14ac:dyDescent="0.25"/>
    <row r="149868" s="12" customFormat="1" x14ac:dyDescent="0.25"/>
    <row r="149869" s="12" customFormat="1" x14ac:dyDescent="0.25"/>
    <row r="149870" s="12" customFormat="1" x14ac:dyDescent="0.25"/>
    <row r="149871" s="12" customFormat="1" x14ac:dyDescent="0.25"/>
    <row r="149872" s="12" customFormat="1" x14ac:dyDescent="0.25"/>
    <row r="149873" s="12" customFormat="1" x14ac:dyDescent="0.25"/>
    <row r="149874" s="12" customFormat="1" x14ac:dyDescent="0.25"/>
    <row r="149875" s="12" customFormat="1" x14ac:dyDescent="0.25"/>
    <row r="149876" s="12" customFormat="1" x14ac:dyDescent="0.25"/>
    <row r="149877" s="12" customFormat="1" x14ac:dyDescent="0.25"/>
    <row r="149878" s="12" customFormat="1" x14ac:dyDescent="0.25"/>
    <row r="149879" s="12" customFormat="1" x14ac:dyDescent="0.25"/>
    <row r="149880" s="12" customFormat="1" x14ac:dyDescent="0.25"/>
    <row r="149881" s="12" customFormat="1" x14ac:dyDescent="0.25"/>
    <row r="149882" s="12" customFormat="1" x14ac:dyDescent="0.25"/>
    <row r="149883" s="12" customFormat="1" x14ac:dyDescent="0.25"/>
    <row r="149884" s="12" customFormat="1" x14ac:dyDescent="0.25"/>
    <row r="149885" s="12" customFormat="1" x14ac:dyDescent="0.25"/>
    <row r="149886" s="12" customFormat="1" x14ac:dyDescent="0.25"/>
    <row r="149887" s="12" customFormat="1" x14ac:dyDescent="0.25"/>
    <row r="149888" s="12" customFormat="1" x14ac:dyDescent="0.25"/>
    <row r="149889" s="12" customFormat="1" x14ac:dyDescent="0.25"/>
    <row r="149890" s="12" customFormat="1" x14ac:dyDescent="0.25"/>
    <row r="149891" s="12" customFormat="1" x14ac:dyDescent="0.25"/>
    <row r="149892" s="12" customFormat="1" x14ac:dyDescent="0.25"/>
    <row r="149893" s="12" customFormat="1" x14ac:dyDescent="0.25"/>
    <row r="149894" s="12" customFormat="1" x14ac:dyDescent="0.25"/>
    <row r="149895" s="12" customFormat="1" x14ac:dyDescent="0.25"/>
    <row r="149896" s="12" customFormat="1" x14ac:dyDescent="0.25"/>
    <row r="149897" s="12" customFormat="1" x14ac:dyDescent="0.25"/>
    <row r="149898" s="12" customFormat="1" x14ac:dyDescent="0.25"/>
    <row r="149899" s="12" customFormat="1" x14ac:dyDescent="0.25"/>
    <row r="149900" s="12" customFormat="1" x14ac:dyDescent="0.25"/>
    <row r="149901" s="12" customFormat="1" x14ac:dyDescent="0.25"/>
    <row r="149902" s="12" customFormat="1" x14ac:dyDescent="0.25"/>
    <row r="149903" s="12" customFormat="1" x14ac:dyDescent="0.25"/>
    <row r="149904" s="12" customFormat="1" x14ac:dyDescent="0.25"/>
    <row r="149905" s="12" customFormat="1" x14ac:dyDescent="0.25"/>
    <row r="149906" s="12" customFormat="1" x14ac:dyDescent="0.25"/>
    <row r="149907" s="12" customFormat="1" x14ac:dyDescent="0.25"/>
    <row r="149908" s="12" customFormat="1" x14ac:dyDescent="0.25"/>
    <row r="149909" s="12" customFormat="1" x14ac:dyDescent="0.25"/>
    <row r="149910" s="12" customFormat="1" x14ac:dyDescent="0.25"/>
    <row r="149911" s="12" customFormat="1" x14ac:dyDescent="0.25"/>
    <row r="149912" s="12" customFormat="1" x14ac:dyDescent="0.25"/>
    <row r="149913" s="12" customFormat="1" x14ac:dyDescent="0.25"/>
    <row r="149914" s="12" customFormat="1" x14ac:dyDescent="0.25"/>
    <row r="149915" s="12" customFormat="1" x14ac:dyDescent="0.25"/>
    <row r="149916" s="12" customFormat="1" x14ac:dyDescent="0.25"/>
    <row r="149917" s="12" customFormat="1" x14ac:dyDescent="0.25"/>
    <row r="149918" s="12" customFormat="1" x14ac:dyDescent="0.25"/>
    <row r="149919" s="12" customFormat="1" x14ac:dyDescent="0.25"/>
    <row r="149920" s="12" customFormat="1" x14ac:dyDescent="0.25"/>
    <row r="149921" s="12" customFormat="1" x14ac:dyDescent="0.25"/>
    <row r="149922" s="12" customFormat="1" x14ac:dyDescent="0.25"/>
    <row r="149923" s="12" customFormat="1" x14ac:dyDescent="0.25"/>
    <row r="149924" s="12" customFormat="1" x14ac:dyDescent="0.25"/>
    <row r="149925" s="12" customFormat="1" x14ac:dyDescent="0.25"/>
    <row r="149926" s="12" customFormat="1" x14ac:dyDescent="0.25"/>
    <row r="149927" s="12" customFormat="1" x14ac:dyDescent="0.25"/>
    <row r="149928" s="12" customFormat="1" x14ac:dyDescent="0.25"/>
    <row r="149929" s="12" customFormat="1" x14ac:dyDescent="0.25"/>
    <row r="149930" s="12" customFormat="1" x14ac:dyDescent="0.25"/>
    <row r="149931" s="12" customFormat="1" x14ac:dyDescent="0.25"/>
    <row r="149932" s="12" customFormat="1" x14ac:dyDescent="0.25"/>
    <row r="149933" s="12" customFormat="1" x14ac:dyDescent="0.25"/>
    <row r="149934" s="12" customFormat="1" x14ac:dyDescent="0.25"/>
    <row r="149935" s="12" customFormat="1" x14ac:dyDescent="0.25"/>
    <row r="149936" s="12" customFormat="1" x14ac:dyDescent="0.25"/>
    <row r="149937" s="12" customFormat="1" x14ac:dyDescent="0.25"/>
    <row r="149938" s="12" customFormat="1" x14ac:dyDescent="0.25"/>
    <row r="149939" s="12" customFormat="1" x14ac:dyDescent="0.25"/>
    <row r="149940" s="12" customFormat="1" x14ac:dyDescent="0.25"/>
    <row r="149941" s="12" customFormat="1" x14ac:dyDescent="0.25"/>
    <row r="149942" s="12" customFormat="1" x14ac:dyDescent="0.25"/>
    <row r="149943" s="12" customFormat="1" x14ac:dyDescent="0.25"/>
    <row r="149944" s="12" customFormat="1" x14ac:dyDescent="0.25"/>
    <row r="149945" s="12" customFormat="1" x14ac:dyDescent="0.25"/>
    <row r="149946" s="12" customFormat="1" x14ac:dyDescent="0.25"/>
    <row r="149947" s="12" customFormat="1" x14ac:dyDescent="0.25"/>
    <row r="149948" s="12" customFormat="1" x14ac:dyDescent="0.25"/>
    <row r="149949" s="12" customFormat="1" x14ac:dyDescent="0.25"/>
    <row r="149950" s="12" customFormat="1" x14ac:dyDescent="0.25"/>
    <row r="149951" s="12" customFormat="1" x14ac:dyDescent="0.25"/>
    <row r="149952" s="12" customFormat="1" x14ac:dyDescent="0.25"/>
    <row r="149953" s="12" customFormat="1" x14ac:dyDescent="0.25"/>
    <row r="149954" s="12" customFormat="1" x14ac:dyDescent="0.25"/>
    <row r="149955" s="12" customFormat="1" x14ac:dyDescent="0.25"/>
    <row r="149956" s="12" customFormat="1" x14ac:dyDescent="0.25"/>
    <row r="149957" s="12" customFormat="1" x14ac:dyDescent="0.25"/>
    <row r="149958" s="12" customFormat="1" x14ac:dyDescent="0.25"/>
    <row r="149959" s="12" customFormat="1" x14ac:dyDescent="0.25"/>
    <row r="149960" s="12" customFormat="1" x14ac:dyDescent="0.25"/>
    <row r="149961" s="12" customFormat="1" x14ac:dyDescent="0.25"/>
    <row r="149962" s="12" customFormat="1" x14ac:dyDescent="0.25"/>
    <row r="149963" s="12" customFormat="1" x14ac:dyDescent="0.25"/>
    <row r="149964" s="12" customFormat="1" x14ac:dyDescent="0.25"/>
    <row r="149965" s="12" customFormat="1" x14ac:dyDescent="0.25"/>
    <row r="149966" s="12" customFormat="1" x14ac:dyDescent="0.25"/>
    <row r="149967" s="12" customFormat="1" x14ac:dyDescent="0.25"/>
    <row r="149968" s="12" customFormat="1" x14ac:dyDescent="0.25"/>
    <row r="149969" s="12" customFormat="1" x14ac:dyDescent="0.25"/>
    <row r="149970" s="12" customFormat="1" x14ac:dyDescent="0.25"/>
    <row r="149971" s="12" customFormat="1" x14ac:dyDescent="0.25"/>
    <row r="149972" s="12" customFormat="1" x14ac:dyDescent="0.25"/>
    <row r="149973" s="12" customFormat="1" x14ac:dyDescent="0.25"/>
    <row r="149974" s="12" customFormat="1" x14ac:dyDescent="0.25"/>
    <row r="149975" s="12" customFormat="1" x14ac:dyDescent="0.25"/>
    <row r="149976" s="12" customFormat="1" x14ac:dyDescent="0.25"/>
    <row r="149977" s="12" customFormat="1" x14ac:dyDescent="0.25"/>
    <row r="149978" s="12" customFormat="1" x14ac:dyDescent="0.25"/>
    <row r="149979" s="12" customFormat="1" x14ac:dyDescent="0.25"/>
    <row r="149980" s="12" customFormat="1" x14ac:dyDescent="0.25"/>
    <row r="149981" s="12" customFormat="1" x14ac:dyDescent="0.25"/>
    <row r="149982" s="12" customFormat="1" x14ac:dyDescent="0.25"/>
    <row r="149983" s="12" customFormat="1" x14ac:dyDescent="0.25"/>
    <row r="149984" s="12" customFormat="1" x14ac:dyDescent="0.25"/>
    <row r="149985" s="12" customFormat="1" x14ac:dyDescent="0.25"/>
    <row r="149986" s="12" customFormat="1" x14ac:dyDescent="0.25"/>
    <row r="149987" s="12" customFormat="1" x14ac:dyDescent="0.25"/>
    <row r="149988" s="12" customFormat="1" x14ac:dyDescent="0.25"/>
    <row r="149989" s="12" customFormat="1" x14ac:dyDescent="0.25"/>
    <row r="149990" s="12" customFormat="1" x14ac:dyDescent="0.25"/>
    <row r="149991" s="12" customFormat="1" x14ac:dyDescent="0.25"/>
    <row r="149992" s="12" customFormat="1" x14ac:dyDescent="0.25"/>
    <row r="149993" s="12" customFormat="1" x14ac:dyDescent="0.25"/>
    <row r="149994" s="12" customFormat="1" x14ac:dyDescent="0.25"/>
    <row r="149995" s="12" customFormat="1" x14ac:dyDescent="0.25"/>
    <row r="149996" s="12" customFormat="1" x14ac:dyDescent="0.25"/>
    <row r="149997" s="12" customFormat="1" x14ac:dyDescent="0.25"/>
    <row r="149998" s="12" customFormat="1" x14ac:dyDescent="0.25"/>
    <row r="149999" s="12" customFormat="1" x14ac:dyDescent="0.25"/>
    <row r="150000" s="12" customFormat="1" x14ac:dyDescent="0.25"/>
    <row r="150001" s="12" customFormat="1" x14ac:dyDescent="0.25"/>
    <row r="150002" s="12" customFormat="1" x14ac:dyDescent="0.25"/>
    <row r="150003" s="12" customFormat="1" x14ac:dyDescent="0.25"/>
    <row r="150004" s="12" customFormat="1" x14ac:dyDescent="0.25"/>
    <row r="150005" s="12" customFormat="1" x14ac:dyDescent="0.25"/>
    <row r="150006" s="12" customFormat="1" x14ac:dyDescent="0.25"/>
    <row r="150007" s="12" customFormat="1" x14ac:dyDescent="0.25"/>
    <row r="150008" s="12" customFormat="1" x14ac:dyDescent="0.25"/>
    <row r="150009" s="12" customFormat="1" x14ac:dyDescent="0.25"/>
    <row r="150010" s="12" customFormat="1" x14ac:dyDescent="0.25"/>
    <row r="150011" s="12" customFormat="1" x14ac:dyDescent="0.25"/>
    <row r="150012" s="12" customFormat="1" x14ac:dyDescent="0.25"/>
    <row r="150013" s="12" customFormat="1" x14ac:dyDescent="0.25"/>
    <row r="150014" s="12" customFormat="1" x14ac:dyDescent="0.25"/>
    <row r="150015" s="12" customFormat="1" x14ac:dyDescent="0.25"/>
    <row r="150016" s="12" customFormat="1" x14ac:dyDescent="0.25"/>
    <row r="150017" s="12" customFormat="1" x14ac:dyDescent="0.25"/>
    <row r="150018" s="12" customFormat="1" x14ac:dyDescent="0.25"/>
    <row r="150019" s="12" customFormat="1" x14ac:dyDescent="0.25"/>
    <row r="150020" s="12" customFormat="1" x14ac:dyDescent="0.25"/>
    <row r="150021" s="12" customFormat="1" x14ac:dyDescent="0.25"/>
    <row r="150022" s="12" customFormat="1" x14ac:dyDescent="0.25"/>
    <row r="150023" s="12" customFormat="1" x14ac:dyDescent="0.25"/>
    <row r="150024" s="12" customFormat="1" x14ac:dyDescent="0.25"/>
    <row r="150025" s="12" customFormat="1" x14ac:dyDescent="0.25"/>
    <row r="150026" s="12" customFormat="1" x14ac:dyDescent="0.25"/>
    <row r="150027" s="12" customFormat="1" x14ac:dyDescent="0.25"/>
    <row r="150028" s="12" customFormat="1" x14ac:dyDescent="0.25"/>
    <row r="150029" s="12" customFormat="1" x14ac:dyDescent="0.25"/>
    <row r="150030" s="12" customFormat="1" x14ac:dyDescent="0.25"/>
    <row r="150031" s="12" customFormat="1" x14ac:dyDescent="0.25"/>
    <row r="150032" s="12" customFormat="1" x14ac:dyDescent="0.25"/>
    <row r="150033" s="12" customFormat="1" x14ac:dyDescent="0.25"/>
    <row r="150034" s="12" customFormat="1" x14ac:dyDescent="0.25"/>
    <row r="150035" s="12" customFormat="1" x14ac:dyDescent="0.25"/>
    <row r="150036" s="12" customFormat="1" x14ac:dyDescent="0.25"/>
    <row r="150037" s="12" customFormat="1" x14ac:dyDescent="0.25"/>
    <row r="150038" s="12" customFormat="1" x14ac:dyDescent="0.25"/>
    <row r="150039" s="12" customFormat="1" x14ac:dyDescent="0.25"/>
    <row r="150040" s="12" customFormat="1" x14ac:dyDescent="0.25"/>
    <row r="150041" s="12" customFormat="1" x14ac:dyDescent="0.25"/>
    <row r="150042" s="12" customFormat="1" x14ac:dyDescent="0.25"/>
    <row r="150043" s="12" customFormat="1" x14ac:dyDescent="0.25"/>
    <row r="150044" s="12" customFormat="1" x14ac:dyDescent="0.25"/>
    <row r="150045" s="12" customFormat="1" x14ac:dyDescent="0.25"/>
    <row r="150046" s="12" customFormat="1" x14ac:dyDescent="0.25"/>
    <row r="150047" s="12" customFormat="1" x14ac:dyDescent="0.25"/>
    <row r="150048" s="12" customFormat="1" x14ac:dyDescent="0.25"/>
    <row r="150049" s="12" customFormat="1" x14ac:dyDescent="0.25"/>
    <row r="150050" s="12" customFormat="1" x14ac:dyDescent="0.25"/>
    <row r="150051" s="12" customFormat="1" x14ac:dyDescent="0.25"/>
    <row r="150052" s="12" customFormat="1" x14ac:dyDescent="0.25"/>
    <row r="150053" s="12" customFormat="1" x14ac:dyDescent="0.25"/>
    <row r="150054" s="12" customFormat="1" x14ac:dyDescent="0.25"/>
    <row r="150055" s="12" customFormat="1" x14ac:dyDescent="0.25"/>
    <row r="150056" s="12" customFormat="1" x14ac:dyDescent="0.25"/>
    <row r="150057" s="12" customFormat="1" x14ac:dyDescent="0.25"/>
    <row r="150058" s="12" customFormat="1" x14ac:dyDescent="0.25"/>
    <row r="150059" s="12" customFormat="1" x14ac:dyDescent="0.25"/>
    <row r="150060" s="12" customFormat="1" x14ac:dyDescent="0.25"/>
    <row r="150061" s="12" customFormat="1" x14ac:dyDescent="0.25"/>
    <row r="150062" s="12" customFormat="1" x14ac:dyDescent="0.25"/>
    <row r="150063" s="12" customFormat="1" x14ac:dyDescent="0.25"/>
    <row r="150064" s="12" customFormat="1" x14ac:dyDescent="0.25"/>
    <row r="150065" s="12" customFormat="1" x14ac:dyDescent="0.25"/>
    <row r="150066" s="12" customFormat="1" x14ac:dyDescent="0.25"/>
    <row r="150067" s="12" customFormat="1" x14ac:dyDescent="0.25"/>
    <row r="150068" s="12" customFormat="1" x14ac:dyDescent="0.25"/>
    <row r="150069" s="12" customFormat="1" x14ac:dyDescent="0.25"/>
    <row r="150070" s="12" customFormat="1" x14ac:dyDescent="0.25"/>
    <row r="150071" s="12" customFormat="1" x14ac:dyDescent="0.25"/>
    <row r="150072" s="12" customFormat="1" x14ac:dyDescent="0.25"/>
    <row r="150073" s="12" customFormat="1" x14ac:dyDescent="0.25"/>
    <row r="150074" s="12" customFormat="1" x14ac:dyDescent="0.25"/>
    <row r="150075" s="12" customFormat="1" x14ac:dyDescent="0.25"/>
    <row r="150076" s="12" customFormat="1" x14ac:dyDescent="0.25"/>
    <row r="150077" s="12" customFormat="1" x14ac:dyDescent="0.25"/>
    <row r="150078" s="12" customFormat="1" x14ac:dyDescent="0.25"/>
    <row r="150079" s="12" customFormat="1" x14ac:dyDescent="0.25"/>
    <row r="150080" s="12" customFormat="1" x14ac:dyDescent="0.25"/>
    <row r="150081" s="12" customFormat="1" x14ac:dyDescent="0.25"/>
    <row r="150082" s="12" customFormat="1" x14ac:dyDescent="0.25"/>
    <row r="150083" s="12" customFormat="1" x14ac:dyDescent="0.25"/>
    <row r="150084" s="12" customFormat="1" x14ac:dyDescent="0.25"/>
    <row r="150085" s="12" customFormat="1" x14ac:dyDescent="0.25"/>
    <row r="150086" s="12" customFormat="1" x14ac:dyDescent="0.25"/>
    <row r="150087" s="12" customFormat="1" x14ac:dyDescent="0.25"/>
    <row r="150088" s="12" customFormat="1" x14ac:dyDescent="0.25"/>
    <row r="150089" s="12" customFormat="1" x14ac:dyDescent="0.25"/>
    <row r="150090" s="12" customFormat="1" x14ac:dyDescent="0.25"/>
    <row r="150091" s="12" customFormat="1" x14ac:dyDescent="0.25"/>
    <row r="150092" s="12" customFormat="1" x14ac:dyDescent="0.25"/>
    <row r="150093" s="12" customFormat="1" x14ac:dyDescent="0.25"/>
    <row r="150094" s="12" customFormat="1" x14ac:dyDescent="0.25"/>
    <row r="150095" s="12" customFormat="1" x14ac:dyDescent="0.25"/>
    <row r="150096" s="12" customFormat="1" x14ac:dyDescent="0.25"/>
    <row r="150097" s="12" customFormat="1" x14ac:dyDescent="0.25"/>
    <row r="150098" s="12" customFormat="1" x14ac:dyDescent="0.25"/>
    <row r="150099" s="12" customFormat="1" x14ac:dyDescent="0.25"/>
    <row r="150100" s="12" customFormat="1" x14ac:dyDescent="0.25"/>
    <row r="150101" s="12" customFormat="1" x14ac:dyDescent="0.25"/>
    <row r="150102" s="12" customFormat="1" x14ac:dyDescent="0.25"/>
    <row r="150103" s="12" customFormat="1" x14ac:dyDescent="0.25"/>
    <row r="150104" s="12" customFormat="1" x14ac:dyDescent="0.25"/>
    <row r="150105" s="12" customFormat="1" x14ac:dyDescent="0.25"/>
    <row r="150106" s="12" customFormat="1" x14ac:dyDescent="0.25"/>
    <row r="150107" s="12" customFormat="1" x14ac:dyDescent="0.25"/>
    <row r="150108" s="12" customFormat="1" x14ac:dyDescent="0.25"/>
    <row r="150109" s="12" customFormat="1" x14ac:dyDescent="0.25"/>
    <row r="150110" s="12" customFormat="1" x14ac:dyDescent="0.25"/>
    <row r="150111" s="12" customFormat="1" x14ac:dyDescent="0.25"/>
    <row r="150112" s="12" customFormat="1" x14ac:dyDescent="0.25"/>
    <row r="150113" s="12" customFormat="1" x14ac:dyDescent="0.25"/>
    <row r="150114" s="12" customFormat="1" x14ac:dyDescent="0.25"/>
    <row r="150115" s="12" customFormat="1" x14ac:dyDescent="0.25"/>
    <row r="150116" s="12" customFormat="1" x14ac:dyDescent="0.25"/>
    <row r="150117" s="12" customFormat="1" x14ac:dyDescent="0.25"/>
    <row r="150118" s="12" customFormat="1" x14ac:dyDescent="0.25"/>
    <row r="150119" s="12" customFormat="1" x14ac:dyDescent="0.25"/>
    <row r="150120" s="12" customFormat="1" x14ac:dyDescent="0.25"/>
    <row r="150121" s="12" customFormat="1" x14ac:dyDescent="0.25"/>
    <row r="150122" s="12" customFormat="1" x14ac:dyDescent="0.25"/>
    <row r="150123" s="12" customFormat="1" x14ac:dyDescent="0.25"/>
    <row r="150124" s="12" customFormat="1" x14ac:dyDescent="0.25"/>
    <row r="150125" s="12" customFormat="1" x14ac:dyDescent="0.25"/>
    <row r="150126" s="12" customFormat="1" x14ac:dyDescent="0.25"/>
    <row r="150127" s="12" customFormat="1" x14ac:dyDescent="0.25"/>
    <row r="150128" s="12" customFormat="1" x14ac:dyDescent="0.25"/>
    <row r="150129" s="12" customFormat="1" x14ac:dyDescent="0.25"/>
    <row r="150130" s="12" customFormat="1" x14ac:dyDescent="0.25"/>
    <row r="150131" s="12" customFormat="1" x14ac:dyDescent="0.25"/>
    <row r="150132" s="12" customFormat="1" x14ac:dyDescent="0.25"/>
    <row r="150133" s="12" customFormat="1" x14ac:dyDescent="0.25"/>
    <row r="150134" s="12" customFormat="1" x14ac:dyDescent="0.25"/>
    <row r="150135" s="12" customFormat="1" x14ac:dyDescent="0.25"/>
    <row r="150136" s="12" customFormat="1" x14ac:dyDescent="0.25"/>
    <row r="150137" s="12" customFormat="1" x14ac:dyDescent="0.25"/>
    <row r="150138" s="12" customFormat="1" x14ac:dyDescent="0.25"/>
    <row r="150139" s="12" customFormat="1" x14ac:dyDescent="0.25"/>
    <row r="150140" s="12" customFormat="1" x14ac:dyDescent="0.25"/>
    <row r="150141" s="12" customFormat="1" x14ac:dyDescent="0.25"/>
    <row r="150142" s="12" customFormat="1" x14ac:dyDescent="0.25"/>
    <row r="150143" s="12" customFormat="1" x14ac:dyDescent="0.25"/>
    <row r="150144" s="12" customFormat="1" x14ac:dyDescent="0.25"/>
    <row r="150145" s="12" customFormat="1" x14ac:dyDescent="0.25"/>
    <row r="150146" s="12" customFormat="1" x14ac:dyDescent="0.25"/>
    <row r="150147" s="12" customFormat="1" x14ac:dyDescent="0.25"/>
    <row r="150148" s="12" customFormat="1" x14ac:dyDescent="0.25"/>
    <row r="150149" s="12" customFormat="1" x14ac:dyDescent="0.25"/>
    <row r="150150" s="12" customFormat="1" x14ac:dyDescent="0.25"/>
    <row r="150151" s="12" customFormat="1" x14ac:dyDescent="0.25"/>
    <row r="150152" s="12" customFormat="1" x14ac:dyDescent="0.25"/>
    <row r="150153" s="12" customFormat="1" x14ac:dyDescent="0.25"/>
    <row r="150154" s="12" customFormat="1" x14ac:dyDescent="0.25"/>
    <row r="150155" s="12" customFormat="1" x14ac:dyDescent="0.25"/>
    <row r="150156" s="12" customFormat="1" x14ac:dyDescent="0.25"/>
    <row r="150157" s="12" customFormat="1" x14ac:dyDescent="0.25"/>
    <row r="150158" s="12" customFormat="1" x14ac:dyDescent="0.25"/>
    <row r="150159" s="12" customFormat="1" x14ac:dyDescent="0.25"/>
    <row r="150160" s="12" customFormat="1" x14ac:dyDescent="0.25"/>
    <row r="150161" s="12" customFormat="1" x14ac:dyDescent="0.25"/>
    <row r="150162" s="12" customFormat="1" x14ac:dyDescent="0.25"/>
    <row r="150163" s="12" customFormat="1" x14ac:dyDescent="0.25"/>
    <row r="150164" s="12" customFormat="1" x14ac:dyDescent="0.25"/>
    <row r="150165" s="12" customFormat="1" x14ac:dyDescent="0.25"/>
    <row r="150166" s="12" customFormat="1" x14ac:dyDescent="0.25"/>
    <row r="150167" s="12" customFormat="1" x14ac:dyDescent="0.25"/>
    <row r="150168" s="12" customFormat="1" x14ac:dyDescent="0.25"/>
    <row r="150169" s="12" customFormat="1" x14ac:dyDescent="0.25"/>
    <row r="150170" s="12" customFormat="1" x14ac:dyDescent="0.25"/>
    <row r="150171" s="12" customFormat="1" x14ac:dyDescent="0.25"/>
    <row r="150172" s="12" customFormat="1" x14ac:dyDescent="0.25"/>
    <row r="150173" s="12" customFormat="1" x14ac:dyDescent="0.25"/>
    <row r="150174" s="12" customFormat="1" x14ac:dyDescent="0.25"/>
    <row r="150175" s="12" customFormat="1" x14ac:dyDescent="0.25"/>
    <row r="150176" s="12" customFormat="1" x14ac:dyDescent="0.25"/>
    <row r="150177" s="12" customFormat="1" x14ac:dyDescent="0.25"/>
    <row r="150178" s="12" customFormat="1" x14ac:dyDescent="0.25"/>
    <row r="150179" s="12" customFormat="1" x14ac:dyDescent="0.25"/>
    <row r="150180" s="12" customFormat="1" x14ac:dyDescent="0.25"/>
    <row r="150181" s="12" customFormat="1" x14ac:dyDescent="0.25"/>
    <row r="150182" s="12" customFormat="1" x14ac:dyDescent="0.25"/>
    <row r="150183" s="12" customFormat="1" x14ac:dyDescent="0.25"/>
    <row r="150184" s="12" customFormat="1" x14ac:dyDescent="0.25"/>
    <row r="150185" s="12" customFormat="1" x14ac:dyDescent="0.25"/>
    <row r="150186" s="12" customFormat="1" x14ac:dyDescent="0.25"/>
    <row r="150187" s="12" customFormat="1" x14ac:dyDescent="0.25"/>
    <row r="150188" s="12" customFormat="1" x14ac:dyDescent="0.25"/>
    <row r="150189" s="12" customFormat="1" x14ac:dyDescent="0.25"/>
    <row r="150190" s="12" customFormat="1" x14ac:dyDescent="0.25"/>
    <row r="150191" s="12" customFormat="1" x14ac:dyDescent="0.25"/>
    <row r="150192" s="12" customFormat="1" x14ac:dyDescent="0.25"/>
    <row r="150193" s="12" customFormat="1" x14ac:dyDescent="0.25"/>
    <row r="150194" s="12" customFormat="1" x14ac:dyDescent="0.25"/>
    <row r="150195" s="12" customFormat="1" x14ac:dyDescent="0.25"/>
    <row r="150196" s="12" customFormat="1" x14ac:dyDescent="0.25"/>
    <row r="150197" s="12" customFormat="1" x14ac:dyDescent="0.25"/>
    <row r="150198" s="12" customFormat="1" x14ac:dyDescent="0.25"/>
    <row r="150199" s="12" customFormat="1" x14ac:dyDescent="0.25"/>
    <row r="150200" s="12" customFormat="1" x14ac:dyDescent="0.25"/>
    <row r="150201" s="12" customFormat="1" x14ac:dyDescent="0.25"/>
    <row r="150202" s="12" customFormat="1" x14ac:dyDescent="0.25"/>
    <row r="150203" s="12" customFormat="1" x14ac:dyDescent="0.25"/>
    <row r="150204" s="12" customFormat="1" x14ac:dyDescent="0.25"/>
    <row r="150205" s="12" customFormat="1" x14ac:dyDescent="0.25"/>
    <row r="150206" s="12" customFormat="1" x14ac:dyDescent="0.25"/>
    <row r="150207" s="12" customFormat="1" x14ac:dyDescent="0.25"/>
    <row r="150208" s="12" customFormat="1" x14ac:dyDescent="0.25"/>
    <row r="150209" s="12" customFormat="1" x14ac:dyDescent="0.25"/>
    <row r="150210" s="12" customFormat="1" x14ac:dyDescent="0.25"/>
    <row r="150211" s="12" customFormat="1" x14ac:dyDescent="0.25"/>
    <row r="150212" s="12" customFormat="1" x14ac:dyDescent="0.25"/>
    <row r="150213" s="12" customFormat="1" x14ac:dyDescent="0.25"/>
    <row r="150214" s="12" customFormat="1" x14ac:dyDescent="0.25"/>
    <row r="150215" s="12" customFormat="1" x14ac:dyDescent="0.25"/>
    <row r="150216" s="12" customFormat="1" x14ac:dyDescent="0.25"/>
    <row r="150217" s="12" customFormat="1" x14ac:dyDescent="0.25"/>
    <row r="150218" s="12" customFormat="1" x14ac:dyDescent="0.25"/>
    <row r="150219" s="12" customFormat="1" x14ac:dyDescent="0.25"/>
    <row r="150220" s="12" customFormat="1" x14ac:dyDescent="0.25"/>
    <row r="150221" s="12" customFormat="1" x14ac:dyDescent="0.25"/>
    <row r="150222" s="12" customFormat="1" x14ac:dyDescent="0.25"/>
    <row r="150223" s="12" customFormat="1" x14ac:dyDescent="0.25"/>
    <row r="150224" s="12" customFormat="1" x14ac:dyDescent="0.25"/>
    <row r="150225" s="12" customFormat="1" x14ac:dyDescent="0.25"/>
    <row r="150226" s="12" customFormat="1" x14ac:dyDescent="0.25"/>
    <row r="150227" s="12" customFormat="1" x14ac:dyDescent="0.25"/>
    <row r="150228" s="12" customFormat="1" x14ac:dyDescent="0.25"/>
    <row r="150229" s="12" customFormat="1" x14ac:dyDescent="0.25"/>
    <row r="150230" s="12" customFormat="1" x14ac:dyDescent="0.25"/>
    <row r="150231" s="12" customFormat="1" x14ac:dyDescent="0.25"/>
    <row r="150232" s="12" customFormat="1" x14ac:dyDescent="0.25"/>
    <row r="150233" s="12" customFormat="1" x14ac:dyDescent="0.25"/>
    <row r="150234" s="12" customFormat="1" x14ac:dyDescent="0.25"/>
    <row r="150235" s="12" customFormat="1" x14ac:dyDescent="0.25"/>
    <row r="150236" s="12" customFormat="1" x14ac:dyDescent="0.25"/>
    <row r="150237" s="12" customFormat="1" x14ac:dyDescent="0.25"/>
    <row r="150238" s="12" customFormat="1" x14ac:dyDescent="0.25"/>
    <row r="150239" s="12" customFormat="1" x14ac:dyDescent="0.25"/>
    <row r="150240" s="12" customFormat="1" x14ac:dyDescent="0.25"/>
    <row r="150241" s="12" customFormat="1" x14ac:dyDescent="0.25"/>
    <row r="150242" s="12" customFormat="1" x14ac:dyDescent="0.25"/>
    <row r="150243" s="12" customFormat="1" x14ac:dyDescent="0.25"/>
    <row r="150244" s="12" customFormat="1" x14ac:dyDescent="0.25"/>
    <row r="150245" s="12" customFormat="1" x14ac:dyDescent="0.25"/>
    <row r="150246" s="12" customFormat="1" x14ac:dyDescent="0.25"/>
    <row r="150247" s="12" customFormat="1" x14ac:dyDescent="0.25"/>
    <row r="150248" s="12" customFormat="1" x14ac:dyDescent="0.25"/>
    <row r="150249" s="12" customFormat="1" x14ac:dyDescent="0.25"/>
    <row r="150250" s="12" customFormat="1" x14ac:dyDescent="0.25"/>
    <row r="150251" s="12" customFormat="1" x14ac:dyDescent="0.25"/>
    <row r="150252" s="12" customFormat="1" x14ac:dyDescent="0.25"/>
    <row r="150253" s="12" customFormat="1" x14ac:dyDescent="0.25"/>
    <row r="150254" s="12" customFormat="1" x14ac:dyDescent="0.25"/>
    <row r="150255" s="12" customFormat="1" x14ac:dyDescent="0.25"/>
    <row r="150256" s="12" customFormat="1" x14ac:dyDescent="0.25"/>
    <row r="150257" s="12" customFormat="1" x14ac:dyDescent="0.25"/>
    <row r="150258" s="12" customFormat="1" x14ac:dyDescent="0.25"/>
    <row r="150259" s="12" customFormat="1" x14ac:dyDescent="0.25"/>
    <row r="150260" s="12" customFormat="1" x14ac:dyDescent="0.25"/>
    <row r="150261" s="12" customFormat="1" x14ac:dyDescent="0.25"/>
    <row r="150262" s="12" customFormat="1" x14ac:dyDescent="0.25"/>
    <row r="150263" s="12" customFormat="1" x14ac:dyDescent="0.25"/>
    <row r="150264" s="12" customFormat="1" x14ac:dyDescent="0.25"/>
    <row r="150265" s="12" customFormat="1" x14ac:dyDescent="0.25"/>
    <row r="150266" s="12" customFormat="1" x14ac:dyDescent="0.25"/>
    <row r="150267" s="12" customFormat="1" x14ac:dyDescent="0.25"/>
    <row r="150268" s="12" customFormat="1" x14ac:dyDescent="0.25"/>
    <row r="150269" s="12" customFormat="1" x14ac:dyDescent="0.25"/>
    <row r="150270" s="12" customFormat="1" x14ac:dyDescent="0.25"/>
    <row r="150271" s="12" customFormat="1" x14ac:dyDescent="0.25"/>
    <row r="150272" s="12" customFormat="1" x14ac:dyDescent="0.25"/>
    <row r="150273" s="12" customFormat="1" x14ac:dyDescent="0.25"/>
    <row r="150274" s="12" customFormat="1" x14ac:dyDescent="0.25"/>
    <row r="150275" s="12" customFormat="1" x14ac:dyDescent="0.25"/>
    <row r="150276" s="12" customFormat="1" x14ac:dyDescent="0.25"/>
    <row r="150277" s="12" customFormat="1" x14ac:dyDescent="0.25"/>
    <row r="150278" s="12" customFormat="1" x14ac:dyDescent="0.25"/>
    <row r="150279" s="12" customFormat="1" x14ac:dyDescent="0.25"/>
    <row r="150280" s="12" customFormat="1" x14ac:dyDescent="0.25"/>
    <row r="150281" s="12" customFormat="1" x14ac:dyDescent="0.25"/>
    <row r="150282" s="12" customFormat="1" x14ac:dyDescent="0.25"/>
    <row r="150283" s="12" customFormat="1" x14ac:dyDescent="0.25"/>
    <row r="150284" s="12" customFormat="1" x14ac:dyDescent="0.25"/>
    <row r="150285" s="12" customFormat="1" x14ac:dyDescent="0.25"/>
    <row r="150286" s="12" customFormat="1" x14ac:dyDescent="0.25"/>
    <row r="150287" s="12" customFormat="1" x14ac:dyDescent="0.25"/>
    <row r="150288" s="12" customFormat="1" x14ac:dyDescent="0.25"/>
    <row r="150289" s="12" customFormat="1" x14ac:dyDescent="0.25"/>
    <row r="150290" s="12" customFormat="1" x14ac:dyDescent="0.25"/>
    <row r="150291" s="12" customFormat="1" x14ac:dyDescent="0.25"/>
    <row r="150292" s="12" customFormat="1" x14ac:dyDescent="0.25"/>
    <row r="150293" s="12" customFormat="1" x14ac:dyDescent="0.25"/>
    <row r="150294" s="12" customFormat="1" x14ac:dyDescent="0.25"/>
    <row r="150295" s="12" customFormat="1" x14ac:dyDescent="0.25"/>
    <row r="150296" s="12" customFormat="1" x14ac:dyDescent="0.25"/>
    <row r="150297" s="12" customFormat="1" x14ac:dyDescent="0.25"/>
    <row r="150298" s="12" customFormat="1" x14ac:dyDescent="0.25"/>
    <row r="150299" s="12" customFormat="1" x14ac:dyDescent="0.25"/>
    <row r="150300" s="12" customFormat="1" x14ac:dyDescent="0.25"/>
    <row r="150301" s="12" customFormat="1" x14ac:dyDescent="0.25"/>
    <row r="150302" s="12" customFormat="1" x14ac:dyDescent="0.25"/>
    <row r="150303" s="12" customFormat="1" x14ac:dyDescent="0.25"/>
    <row r="150304" s="12" customFormat="1" x14ac:dyDescent="0.25"/>
    <row r="150305" s="12" customFormat="1" x14ac:dyDescent="0.25"/>
    <row r="150306" s="12" customFormat="1" x14ac:dyDescent="0.25"/>
    <row r="150307" s="12" customFormat="1" x14ac:dyDescent="0.25"/>
    <row r="150308" s="12" customFormat="1" x14ac:dyDescent="0.25"/>
    <row r="150309" s="12" customFormat="1" x14ac:dyDescent="0.25"/>
    <row r="150310" s="12" customFormat="1" x14ac:dyDescent="0.25"/>
    <row r="150311" s="12" customFormat="1" x14ac:dyDescent="0.25"/>
    <row r="150312" s="12" customFormat="1" x14ac:dyDescent="0.25"/>
    <row r="150313" s="12" customFormat="1" x14ac:dyDescent="0.25"/>
    <row r="150314" s="12" customFormat="1" x14ac:dyDescent="0.25"/>
    <row r="150315" s="12" customFormat="1" x14ac:dyDescent="0.25"/>
    <row r="150316" s="12" customFormat="1" x14ac:dyDescent="0.25"/>
    <row r="150317" s="12" customFormat="1" x14ac:dyDescent="0.25"/>
    <row r="150318" s="12" customFormat="1" x14ac:dyDescent="0.25"/>
    <row r="150319" s="12" customFormat="1" x14ac:dyDescent="0.25"/>
    <row r="150320" s="12" customFormat="1" x14ac:dyDescent="0.25"/>
    <row r="150321" s="12" customFormat="1" x14ac:dyDescent="0.25"/>
    <row r="150322" s="12" customFormat="1" x14ac:dyDescent="0.25"/>
    <row r="150323" s="12" customFormat="1" x14ac:dyDescent="0.25"/>
    <row r="150324" s="12" customFormat="1" x14ac:dyDescent="0.25"/>
    <row r="150325" s="12" customFormat="1" x14ac:dyDescent="0.25"/>
    <row r="150326" s="12" customFormat="1" x14ac:dyDescent="0.25"/>
    <row r="150327" s="12" customFormat="1" x14ac:dyDescent="0.25"/>
    <row r="150328" s="12" customFormat="1" x14ac:dyDescent="0.25"/>
    <row r="150329" s="12" customFormat="1" x14ac:dyDescent="0.25"/>
    <row r="150330" s="12" customFormat="1" x14ac:dyDescent="0.25"/>
    <row r="150331" s="12" customFormat="1" x14ac:dyDescent="0.25"/>
    <row r="150332" s="12" customFormat="1" x14ac:dyDescent="0.25"/>
    <row r="150333" s="12" customFormat="1" x14ac:dyDescent="0.25"/>
    <row r="150334" s="12" customFormat="1" x14ac:dyDescent="0.25"/>
    <row r="150335" s="12" customFormat="1" x14ac:dyDescent="0.25"/>
    <row r="150336" s="12" customFormat="1" x14ac:dyDescent="0.25"/>
    <row r="150337" s="12" customFormat="1" x14ac:dyDescent="0.25"/>
    <row r="150338" s="12" customFormat="1" x14ac:dyDescent="0.25"/>
    <row r="150339" s="12" customFormat="1" x14ac:dyDescent="0.25"/>
    <row r="150340" s="12" customFormat="1" x14ac:dyDescent="0.25"/>
    <row r="150341" s="12" customFormat="1" x14ac:dyDescent="0.25"/>
    <row r="150342" s="12" customFormat="1" x14ac:dyDescent="0.25"/>
    <row r="150343" s="12" customFormat="1" x14ac:dyDescent="0.25"/>
    <row r="150344" s="12" customFormat="1" x14ac:dyDescent="0.25"/>
    <row r="150345" s="12" customFormat="1" x14ac:dyDescent="0.25"/>
    <row r="150346" s="12" customFormat="1" x14ac:dyDescent="0.25"/>
    <row r="150347" s="12" customFormat="1" x14ac:dyDescent="0.25"/>
    <row r="150348" s="12" customFormat="1" x14ac:dyDescent="0.25"/>
    <row r="150349" s="12" customFormat="1" x14ac:dyDescent="0.25"/>
    <row r="150350" s="12" customFormat="1" x14ac:dyDescent="0.25"/>
    <row r="150351" s="12" customFormat="1" x14ac:dyDescent="0.25"/>
    <row r="150352" s="12" customFormat="1" x14ac:dyDescent="0.25"/>
    <row r="150353" s="12" customFormat="1" x14ac:dyDescent="0.25"/>
    <row r="150354" s="12" customFormat="1" x14ac:dyDescent="0.25"/>
    <row r="150355" s="12" customFormat="1" x14ac:dyDescent="0.25"/>
    <row r="150356" s="12" customFormat="1" x14ac:dyDescent="0.25"/>
    <row r="150357" s="12" customFormat="1" x14ac:dyDescent="0.25"/>
    <row r="150358" s="12" customFormat="1" x14ac:dyDescent="0.25"/>
    <row r="150359" s="12" customFormat="1" x14ac:dyDescent="0.25"/>
    <row r="150360" s="12" customFormat="1" x14ac:dyDescent="0.25"/>
    <row r="150361" s="12" customFormat="1" x14ac:dyDescent="0.25"/>
    <row r="150362" s="12" customFormat="1" x14ac:dyDescent="0.25"/>
    <row r="150363" s="12" customFormat="1" x14ac:dyDescent="0.25"/>
    <row r="150364" s="12" customFormat="1" x14ac:dyDescent="0.25"/>
    <row r="150365" s="12" customFormat="1" x14ac:dyDescent="0.25"/>
    <row r="150366" s="12" customFormat="1" x14ac:dyDescent="0.25"/>
    <row r="150367" s="12" customFormat="1" x14ac:dyDescent="0.25"/>
    <row r="150368" s="12" customFormat="1" x14ac:dyDescent="0.25"/>
    <row r="150369" s="12" customFormat="1" x14ac:dyDescent="0.25"/>
    <row r="150370" s="12" customFormat="1" x14ac:dyDescent="0.25"/>
    <row r="150371" s="12" customFormat="1" x14ac:dyDescent="0.25"/>
    <row r="150372" s="12" customFormat="1" x14ac:dyDescent="0.25"/>
    <row r="150373" s="12" customFormat="1" x14ac:dyDescent="0.25"/>
    <row r="150374" s="12" customFormat="1" x14ac:dyDescent="0.25"/>
    <row r="150375" s="12" customFormat="1" x14ac:dyDescent="0.25"/>
    <row r="150376" s="12" customFormat="1" x14ac:dyDescent="0.25"/>
    <row r="150377" s="12" customFormat="1" x14ac:dyDescent="0.25"/>
    <row r="150378" s="12" customFormat="1" x14ac:dyDescent="0.25"/>
    <row r="150379" s="12" customFormat="1" x14ac:dyDescent="0.25"/>
    <row r="150380" s="12" customFormat="1" x14ac:dyDescent="0.25"/>
    <row r="150381" s="12" customFormat="1" x14ac:dyDescent="0.25"/>
    <row r="150382" s="12" customFormat="1" x14ac:dyDescent="0.25"/>
    <row r="150383" s="12" customFormat="1" x14ac:dyDescent="0.25"/>
    <row r="150384" s="12" customFormat="1" x14ac:dyDescent="0.25"/>
    <row r="150385" s="12" customFormat="1" x14ac:dyDescent="0.25"/>
    <row r="150386" s="12" customFormat="1" x14ac:dyDescent="0.25"/>
    <row r="150387" s="12" customFormat="1" x14ac:dyDescent="0.25"/>
    <row r="150388" s="12" customFormat="1" x14ac:dyDescent="0.25"/>
    <row r="150389" s="12" customFormat="1" x14ac:dyDescent="0.25"/>
    <row r="150390" s="12" customFormat="1" x14ac:dyDescent="0.25"/>
    <row r="150391" s="12" customFormat="1" x14ac:dyDescent="0.25"/>
    <row r="150392" s="12" customFormat="1" x14ac:dyDescent="0.25"/>
    <row r="150393" s="12" customFormat="1" x14ac:dyDescent="0.25"/>
    <row r="150394" s="12" customFormat="1" x14ac:dyDescent="0.25"/>
    <row r="150395" s="12" customFormat="1" x14ac:dyDescent="0.25"/>
    <row r="150396" s="12" customFormat="1" x14ac:dyDescent="0.25"/>
    <row r="150397" s="12" customFormat="1" x14ac:dyDescent="0.25"/>
    <row r="150398" s="12" customFormat="1" x14ac:dyDescent="0.25"/>
    <row r="150399" s="12" customFormat="1" x14ac:dyDescent="0.25"/>
    <row r="150400" s="12" customFormat="1" x14ac:dyDescent="0.25"/>
    <row r="150401" s="12" customFormat="1" x14ac:dyDescent="0.25"/>
    <row r="150402" s="12" customFormat="1" x14ac:dyDescent="0.25"/>
    <row r="150403" s="12" customFormat="1" x14ac:dyDescent="0.25"/>
    <row r="150404" s="12" customFormat="1" x14ac:dyDescent="0.25"/>
    <row r="150405" s="12" customFormat="1" x14ac:dyDescent="0.25"/>
    <row r="150406" s="12" customFormat="1" x14ac:dyDescent="0.25"/>
    <row r="150407" s="12" customFormat="1" x14ac:dyDescent="0.25"/>
    <row r="150408" s="12" customFormat="1" x14ac:dyDescent="0.25"/>
    <row r="150409" s="12" customFormat="1" x14ac:dyDescent="0.25"/>
    <row r="150410" s="12" customFormat="1" x14ac:dyDescent="0.25"/>
    <row r="150411" s="12" customFormat="1" x14ac:dyDescent="0.25"/>
    <row r="150412" s="12" customFormat="1" x14ac:dyDescent="0.25"/>
    <row r="150413" s="12" customFormat="1" x14ac:dyDescent="0.25"/>
    <row r="150414" s="12" customFormat="1" x14ac:dyDescent="0.25"/>
    <row r="150415" s="12" customFormat="1" x14ac:dyDescent="0.25"/>
    <row r="150416" s="12" customFormat="1" x14ac:dyDescent="0.25"/>
    <row r="150417" s="12" customFormat="1" x14ac:dyDescent="0.25"/>
    <row r="150418" s="12" customFormat="1" x14ac:dyDescent="0.25"/>
    <row r="150419" s="12" customFormat="1" x14ac:dyDescent="0.25"/>
    <row r="150420" s="12" customFormat="1" x14ac:dyDescent="0.25"/>
    <row r="150421" s="12" customFormat="1" x14ac:dyDescent="0.25"/>
    <row r="150422" s="12" customFormat="1" x14ac:dyDescent="0.25"/>
    <row r="150423" s="12" customFormat="1" x14ac:dyDescent="0.25"/>
    <row r="150424" s="12" customFormat="1" x14ac:dyDescent="0.25"/>
    <row r="150425" s="12" customFormat="1" x14ac:dyDescent="0.25"/>
    <row r="150426" s="12" customFormat="1" x14ac:dyDescent="0.25"/>
    <row r="150427" s="12" customFormat="1" x14ac:dyDescent="0.25"/>
    <row r="150428" s="12" customFormat="1" x14ac:dyDescent="0.25"/>
    <row r="150429" s="12" customFormat="1" x14ac:dyDescent="0.25"/>
    <row r="150430" s="12" customFormat="1" x14ac:dyDescent="0.25"/>
    <row r="150431" s="12" customFormat="1" x14ac:dyDescent="0.25"/>
    <row r="150432" s="12" customFormat="1" x14ac:dyDescent="0.25"/>
    <row r="150433" s="12" customFormat="1" x14ac:dyDescent="0.25"/>
    <row r="150434" s="12" customFormat="1" x14ac:dyDescent="0.25"/>
    <row r="150435" s="12" customFormat="1" x14ac:dyDescent="0.25"/>
    <row r="150436" s="12" customFormat="1" x14ac:dyDescent="0.25"/>
    <row r="150437" s="12" customFormat="1" x14ac:dyDescent="0.25"/>
    <row r="150438" s="12" customFormat="1" x14ac:dyDescent="0.25"/>
    <row r="150439" s="12" customFormat="1" x14ac:dyDescent="0.25"/>
    <row r="150440" s="12" customFormat="1" x14ac:dyDescent="0.25"/>
    <row r="150441" s="12" customFormat="1" x14ac:dyDescent="0.25"/>
    <row r="150442" s="12" customFormat="1" x14ac:dyDescent="0.25"/>
    <row r="150443" s="12" customFormat="1" x14ac:dyDescent="0.25"/>
    <row r="150444" s="12" customFormat="1" x14ac:dyDescent="0.25"/>
    <row r="150445" s="12" customFormat="1" x14ac:dyDescent="0.25"/>
    <row r="150446" s="12" customFormat="1" x14ac:dyDescent="0.25"/>
    <row r="150447" s="12" customFormat="1" x14ac:dyDescent="0.25"/>
    <row r="150448" s="12" customFormat="1" x14ac:dyDescent="0.25"/>
    <row r="150449" s="12" customFormat="1" x14ac:dyDescent="0.25"/>
    <row r="150450" s="12" customFormat="1" x14ac:dyDescent="0.25"/>
    <row r="150451" s="12" customFormat="1" x14ac:dyDescent="0.25"/>
    <row r="150452" s="12" customFormat="1" x14ac:dyDescent="0.25"/>
    <row r="150453" s="12" customFormat="1" x14ac:dyDescent="0.25"/>
    <row r="150454" s="12" customFormat="1" x14ac:dyDescent="0.25"/>
    <row r="150455" s="12" customFormat="1" x14ac:dyDescent="0.25"/>
    <row r="150456" s="12" customFormat="1" x14ac:dyDescent="0.25"/>
    <row r="150457" s="12" customFormat="1" x14ac:dyDescent="0.25"/>
    <row r="150458" s="12" customFormat="1" x14ac:dyDescent="0.25"/>
    <row r="150459" s="12" customFormat="1" x14ac:dyDescent="0.25"/>
    <row r="150460" s="12" customFormat="1" x14ac:dyDescent="0.25"/>
    <row r="150461" s="12" customFormat="1" x14ac:dyDescent="0.25"/>
    <row r="150462" s="12" customFormat="1" x14ac:dyDescent="0.25"/>
    <row r="150463" s="12" customFormat="1" x14ac:dyDescent="0.25"/>
    <row r="150464" s="12" customFormat="1" x14ac:dyDescent="0.25"/>
    <row r="150465" s="12" customFormat="1" x14ac:dyDescent="0.25"/>
    <row r="150466" s="12" customFormat="1" x14ac:dyDescent="0.25"/>
    <row r="150467" s="12" customFormat="1" x14ac:dyDescent="0.25"/>
    <row r="150468" s="12" customFormat="1" x14ac:dyDescent="0.25"/>
    <row r="150469" s="12" customFormat="1" x14ac:dyDescent="0.25"/>
    <row r="150470" s="12" customFormat="1" x14ac:dyDescent="0.25"/>
    <row r="150471" s="12" customFormat="1" x14ac:dyDescent="0.25"/>
    <row r="150472" s="12" customFormat="1" x14ac:dyDescent="0.25"/>
    <row r="150473" s="12" customFormat="1" x14ac:dyDescent="0.25"/>
    <row r="150474" s="12" customFormat="1" x14ac:dyDescent="0.25"/>
    <row r="150475" s="12" customFormat="1" x14ac:dyDescent="0.25"/>
    <row r="150476" s="12" customFormat="1" x14ac:dyDescent="0.25"/>
    <row r="150477" s="12" customFormat="1" x14ac:dyDescent="0.25"/>
    <row r="150478" s="12" customFormat="1" x14ac:dyDescent="0.25"/>
    <row r="150479" s="12" customFormat="1" x14ac:dyDescent="0.25"/>
    <row r="150480" s="12" customFormat="1" x14ac:dyDescent="0.25"/>
    <row r="150481" s="12" customFormat="1" x14ac:dyDescent="0.25"/>
    <row r="150482" s="12" customFormat="1" x14ac:dyDescent="0.25"/>
    <row r="150483" s="12" customFormat="1" x14ac:dyDescent="0.25"/>
    <row r="150484" s="12" customFormat="1" x14ac:dyDescent="0.25"/>
    <row r="150485" s="12" customFormat="1" x14ac:dyDescent="0.25"/>
    <row r="150486" s="12" customFormat="1" x14ac:dyDescent="0.25"/>
    <row r="150487" s="12" customFormat="1" x14ac:dyDescent="0.25"/>
    <row r="150488" s="12" customFormat="1" x14ac:dyDescent="0.25"/>
    <row r="150489" s="12" customFormat="1" x14ac:dyDescent="0.25"/>
    <row r="150490" s="12" customFormat="1" x14ac:dyDescent="0.25"/>
    <row r="150491" s="12" customFormat="1" x14ac:dyDescent="0.25"/>
    <row r="150492" s="12" customFormat="1" x14ac:dyDescent="0.25"/>
    <row r="150493" s="12" customFormat="1" x14ac:dyDescent="0.25"/>
    <row r="150494" s="12" customFormat="1" x14ac:dyDescent="0.25"/>
    <row r="150495" s="12" customFormat="1" x14ac:dyDescent="0.25"/>
    <row r="150496" s="12" customFormat="1" x14ac:dyDescent="0.25"/>
    <row r="150497" s="12" customFormat="1" x14ac:dyDescent="0.25"/>
    <row r="150498" s="12" customFormat="1" x14ac:dyDescent="0.25"/>
    <row r="150499" s="12" customFormat="1" x14ac:dyDescent="0.25"/>
    <row r="150500" s="12" customFormat="1" x14ac:dyDescent="0.25"/>
    <row r="150501" s="12" customFormat="1" x14ac:dyDescent="0.25"/>
    <row r="150502" s="12" customFormat="1" x14ac:dyDescent="0.25"/>
    <row r="150503" s="12" customFormat="1" x14ac:dyDescent="0.25"/>
    <row r="150504" s="12" customFormat="1" x14ac:dyDescent="0.25"/>
    <row r="150505" s="12" customFormat="1" x14ac:dyDescent="0.25"/>
    <row r="150506" s="12" customFormat="1" x14ac:dyDescent="0.25"/>
    <row r="150507" s="12" customFormat="1" x14ac:dyDescent="0.25"/>
    <row r="150508" s="12" customFormat="1" x14ac:dyDescent="0.25"/>
    <row r="150509" s="12" customFormat="1" x14ac:dyDescent="0.25"/>
    <row r="150510" s="12" customFormat="1" x14ac:dyDescent="0.25"/>
    <row r="150511" s="12" customFormat="1" x14ac:dyDescent="0.25"/>
    <row r="150512" s="12" customFormat="1" x14ac:dyDescent="0.25"/>
    <row r="150513" s="12" customFormat="1" x14ac:dyDescent="0.25"/>
    <row r="150514" s="12" customFormat="1" x14ac:dyDescent="0.25"/>
    <row r="150515" s="12" customFormat="1" x14ac:dyDescent="0.25"/>
    <row r="150516" s="12" customFormat="1" x14ac:dyDescent="0.25"/>
    <row r="150517" s="12" customFormat="1" x14ac:dyDescent="0.25"/>
    <row r="150518" s="12" customFormat="1" x14ac:dyDescent="0.25"/>
    <row r="150519" s="12" customFormat="1" x14ac:dyDescent="0.25"/>
    <row r="150520" s="12" customFormat="1" x14ac:dyDescent="0.25"/>
    <row r="150521" s="12" customFormat="1" x14ac:dyDescent="0.25"/>
    <row r="150522" s="12" customFormat="1" x14ac:dyDescent="0.25"/>
    <row r="150523" s="12" customFormat="1" x14ac:dyDescent="0.25"/>
    <row r="150524" s="12" customFormat="1" x14ac:dyDescent="0.25"/>
    <row r="150525" s="12" customFormat="1" x14ac:dyDescent="0.25"/>
    <row r="150526" s="12" customFormat="1" x14ac:dyDescent="0.25"/>
    <row r="150527" s="12" customFormat="1" x14ac:dyDescent="0.25"/>
    <row r="150528" s="12" customFormat="1" x14ac:dyDescent="0.25"/>
    <row r="150529" s="12" customFormat="1" x14ac:dyDescent="0.25"/>
    <row r="150530" s="12" customFormat="1" x14ac:dyDescent="0.25"/>
    <row r="150531" s="12" customFormat="1" x14ac:dyDescent="0.25"/>
    <row r="150532" s="12" customFormat="1" x14ac:dyDescent="0.25"/>
    <row r="150533" s="12" customFormat="1" x14ac:dyDescent="0.25"/>
    <row r="150534" s="12" customFormat="1" x14ac:dyDescent="0.25"/>
    <row r="150535" s="12" customFormat="1" x14ac:dyDescent="0.25"/>
    <row r="150536" s="12" customFormat="1" x14ac:dyDescent="0.25"/>
    <row r="150537" s="12" customFormat="1" x14ac:dyDescent="0.25"/>
    <row r="150538" s="12" customFormat="1" x14ac:dyDescent="0.25"/>
    <row r="150539" s="12" customFormat="1" x14ac:dyDescent="0.25"/>
    <row r="150540" s="12" customFormat="1" x14ac:dyDescent="0.25"/>
    <row r="150541" s="12" customFormat="1" x14ac:dyDescent="0.25"/>
    <row r="150542" s="12" customFormat="1" x14ac:dyDescent="0.25"/>
    <row r="150543" s="12" customFormat="1" x14ac:dyDescent="0.25"/>
    <row r="150544" s="12" customFormat="1" x14ac:dyDescent="0.25"/>
    <row r="150545" s="12" customFormat="1" x14ac:dyDescent="0.25"/>
    <row r="150546" s="12" customFormat="1" x14ac:dyDescent="0.25"/>
    <row r="150547" s="12" customFormat="1" x14ac:dyDescent="0.25"/>
    <row r="150548" s="12" customFormat="1" x14ac:dyDescent="0.25"/>
    <row r="150549" s="12" customFormat="1" x14ac:dyDescent="0.25"/>
    <row r="150550" s="12" customFormat="1" x14ac:dyDescent="0.25"/>
    <row r="150551" s="12" customFormat="1" x14ac:dyDescent="0.25"/>
    <row r="150552" s="12" customFormat="1" x14ac:dyDescent="0.25"/>
    <row r="150553" s="12" customFormat="1" x14ac:dyDescent="0.25"/>
    <row r="150554" s="12" customFormat="1" x14ac:dyDescent="0.25"/>
    <row r="150555" s="12" customFormat="1" x14ac:dyDescent="0.25"/>
    <row r="150556" s="12" customFormat="1" x14ac:dyDescent="0.25"/>
    <row r="150557" s="12" customFormat="1" x14ac:dyDescent="0.25"/>
    <row r="150558" s="12" customFormat="1" x14ac:dyDescent="0.25"/>
    <row r="150559" s="12" customFormat="1" x14ac:dyDescent="0.25"/>
    <row r="150560" s="12" customFormat="1" x14ac:dyDescent="0.25"/>
    <row r="150561" s="12" customFormat="1" x14ac:dyDescent="0.25"/>
    <row r="150562" s="12" customFormat="1" x14ac:dyDescent="0.25"/>
    <row r="150563" s="12" customFormat="1" x14ac:dyDescent="0.25"/>
    <row r="150564" s="12" customFormat="1" x14ac:dyDescent="0.25"/>
    <row r="150565" s="12" customFormat="1" x14ac:dyDescent="0.25"/>
    <row r="150566" s="12" customFormat="1" x14ac:dyDescent="0.25"/>
    <row r="150567" s="12" customFormat="1" x14ac:dyDescent="0.25"/>
    <row r="150568" s="12" customFormat="1" x14ac:dyDescent="0.25"/>
    <row r="150569" s="12" customFormat="1" x14ac:dyDescent="0.25"/>
    <row r="150570" s="12" customFormat="1" x14ac:dyDescent="0.25"/>
    <row r="150571" s="12" customFormat="1" x14ac:dyDescent="0.25"/>
    <row r="150572" s="12" customFormat="1" x14ac:dyDescent="0.25"/>
    <row r="150573" s="12" customFormat="1" x14ac:dyDescent="0.25"/>
    <row r="150574" s="12" customFormat="1" x14ac:dyDescent="0.25"/>
    <row r="150575" s="12" customFormat="1" x14ac:dyDescent="0.25"/>
    <row r="150576" s="12" customFormat="1" x14ac:dyDescent="0.25"/>
    <row r="150577" s="12" customFormat="1" x14ac:dyDescent="0.25"/>
    <row r="150578" s="12" customFormat="1" x14ac:dyDescent="0.25"/>
    <row r="150579" s="12" customFormat="1" x14ac:dyDescent="0.25"/>
    <row r="150580" s="12" customFormat="1" x14ac:dyDescent="0.25"/>
    <row r="150581" s="12" customFormat="1" x14ac:dyDescent="0.25"/>
    <row r="150582" s="12" customFormat="1" x14ac:dyDescent="0.25"/>
    <row r="150583" s="12" customFormat="1" x14ac:dyDescent="0.25"/>
    <row r="150584" s="12" customFormat="1" x14ac:dyDescent="0.25"/>
    <row r="150585" s="12" customFormat="1" x14ac:dyDescent="0.25"/>
    <row r="150586" s="12" customFormat="1" x14ac:dyDescent="0.25"/>
    <row r="150587" s="12" customFormat="1" x14ac:dyDescent="0.25"/>
    <row r="150588" s="12" customFormat="1" x14ac:dyDescent="0.25"/>
    <row r="150589" s="12" customFormat="1" x14ac:dyDescent="0.25"/>
    <row r="150590" s="12" customFormat="1" x14ac:dyDescent="0.25"/>
    <row r="150591" s="12" customFormat="1" x14ac:dyDescent="0.25"/>
    <row r="150592" s="12" customFormat="1" x14ac:dyDescent="0.25"/>
    <row r="150593" s="12" customFormat="1" x14ac:dyDescent="0.25"/>
    <row r="150594" s="12" customFormat="1" x14ac:dyDescent="0.25"/>
    <row r="150595" s="12" customFormat="1" x14ac:dyDescent="0.25"/>
    <row r="150596" s="12" customFormat="1" x14ac:dyDescent="0.25"/>
    <row r="150597" s="12" customFormat="1" x14ac:dyDescent="0.25"/>
    <row r="150598" s="12" customFormat="1" x14ac:dyDescent="0.25"/>
    <row r="150599" s="12" customFormat="1" x14ac:dyDescent="0.25"/>
    <row r="150600" s="12" customFormat="1" x14ac:dyDescent="0.25"/>
    <row r="150601" s="12" customFormat="1" x14ac:dyDescent="0.25"/>
    <row r="150602" s="12" customFormat="1" x14ac:dyDescent="0.25"/>
    <row r="150603" s="12" customFormat="1" x14ac:dyDescent="0.25"/>
    <row r="150604" s="12" customFormat="1" x14ac:dyDescent="0.25"/>
    <row r="150605" s="12" customFormat="1" x14ac:dyDescent="0.25"/>
    <row r="150606" s="12" customFormat="1" x14ac:dyDescent="0.25"/>
    <row r="150607" s="12" customFormat="1" x14ac:dyDescent="0.25"/>
    <row r="150608" s="12" customFormat="1" x14ac:dyDescent="0.25"/>
    <row r="150609" s="12" customFormat="1" x14ac:dyDescent="0.25"/>
    <row r="150610" s="12" customFormat="1" x14ac:dyDescent="0.25"/>
    <row r="150611" s="12" customFormat="1" x14ac:dyDescent="0.25"/>
    <row r="150612" s="12" customFormat="1" x14ac:dyDescent="0.25"/>
    <row r="150613" s="12" customFormat="1" x14ac:dyDescent="0.25"/>
    <row r="150614" s="12" customFormat="1" x14ac:dyDescent="0.25"/>
    <row r="150615" s="12" customFormat="1" x14ac:dyDescent="0.25"/>
    <row r="150616" s="12" customFormat="1" x14ac:dyDescent="0.25"/>
    <row r="150617" s="12" customFormat="1" x14ac:dyDescent="0.25"/>
    <row r="150618" s="12" customFormat="1" x14ac:dyDescent="0.25"/>
    <row r="150619" s="12" customFormat="1" x14ac:dyDescent="0.25"/>
    <row r="150620" s="12" customFormat="1" x14ac:dyDescent="0.25"/>
    <row r="150621" s="12" customFormat="1" x14ac:dyDescent="0.25"/>
    <row r="150622" s="12" customFormat="1" x14ac:dyDescent="0.25"/>
    <row r="150623" s="12" customFormat="1" x14ac:dyDescent="0.25"/>
    <row r="150624" s="12" customFormat="1" x14ac:dyDescent="0.25"/>
    <row r="150625" s="12" customFormat="1" x14ac:dyDescent="0.25"/>
    <row r="150626" s="12" customFormat="1" x14ac:dyDescent="0.25"/>
    <row r="150627" s="12" customFormat="1" x14ac:dyDescent="0.25"/>
    <row r="150628" s="12" customFormat="1" x14ac:dyDescent="0.25"/>
    <row r="150629" s="12" customFormat="1" x14ac:dyDescent="0.25"/>
    <row r="150630" s="12" customFormat="1" x14ac:dyDescent="0.25"/>
    <row r="150631" s="12" customFormat="1" x14ac:dyDescent="0.25"/>
    <row r="150632" s="12" customFormat="1" x14ac:dyDescent="0.25"/>
    <row r="150633" s="12" customFormat="1" x14ac:dyDescent="0.25"/>
    <row r="150634" s="12" customFormat="1" x14ac:dyDescent="0.25"/>
    <row r="150635" s="12" customFormat="1" x14ac:dyDescent="0.25"/>
    <row r="150636" s="12" customFormat="1" x14ac:dyDescent="0.25"/>
    <row r="150637" s="12" customFormat="1" x14ac:dyDescent="0.25"/>
    <row r="150638" s="12" customFormat="1" x14ac:dyDescent="0.25"/>
    <row r="150639" s="12" customFormat="1" x14ac:dyDescent="0.25"/>
    <row r="150640" s="12" customFormat="1" x14ac:dyDescent="0.25"/>
    <row r="150641" s="12" customFormat="1" x14ac:dyDescent="0.25"/>
    <row r="150642" s="12" customFormat="1" x14ac:dyDescent="0.25"/>
    <row r="150643" s="12" customFormat="1" x14ac:dyDescent="0.25"/>
    <row r="150644" s="12" customFormat="1" x14ac:dyDescent="0.25"/>
    <row r="150645" s="12" customFormat="1" x14ac:dyDescent="0.25"/>
    <row r="150646" s="12" customFormat="1" x14ac:dyDescent="0.25"/>
    <row r="150647" s="12" customFormat="1" x14ac:dyDescent="0.25"/>
    <row r="150648" s="12" customFormat="1" x14ac:dyDescent="0.25"/>
    <row r="150649" s="12" customFormat="1" x14ac:dyDescent="0.25"/>
    <row r="150650" s="12" customFormat="1" x14ac:dyDescent="0.25"/>
    <row r="150651" s="12" customFormat="1" x14ac:dyDescent="0.25"/>
    <row r="150652" s="12" customFormat="1" x14ac:dyDescent="0.25"/>
    <row r="150653" s="12" customFormat="1" x14ac:dyDescent="0.25"/>
    <row r="150654" s="12" customFormat="1" x14ac:dyDescent="0.25"/>
    <row r="150655" s="12" customFormat="1" x14ac:dyDescent="0.25"/>
    <row r="150656" s="12" customFormat="1" x14ac:dyDescent="0.25"/>
    <row r="150657" s="12" customFormat="1" x14ac:dyDescent="0.25"/>
    <row r="150658" s="12" customFormat="1" x14ac:dyDescent="0.25"/>
    <row r="150659" s="12" customFormat="1" x14ac:dyDescent="0.25"/>
    <row r="150660" s="12" customFormat="1" x14ac:dyDescent="0.25"/>
    <row r="150661" s="12" customFormat="1" x14ac:dyDescent="0.25"/>
    <row r="150662" s="12" customFormat="1" x14ac:dyDescent="0.25"/>
    <row r="150663" s="12" customFormat="1" x14ac:dyDescent="0.25"/>
    <row r="150664" s="12" customFormat="1" x14ac:dyDescent="0.25"/>
    <row r="150665" s="12" customFormat="1" x14ac:dyDescent="0.25"/>
    <row r="150666" s="12" customFormat="1" x14ac:dyDescent="0.25"/>
    <row r="150667" s="12" customFormat="1" x14ac:dyDescent="0.25"/>
    <row r="150668" s="12" customFormat="1" x14ac:dyDescent="0.25"/>
    <row r="150669" s="12" customFormat="1" x14ac:dyDescent="0.25"/>
    <row r="150670" s="12" customFormat="1" x14ac:dyDescent="0.25"/>
    <row r="150671" s="12" customFormat="1" x14ac:dyDescent="0.25"/>
    <row r="150672" s="12" customFormat="1" x14ac:dyDescent="0.25"/>
    <row r="150673" s="12" customFormat="1" x14ac:dyDescent="0.25"/>
    <row r="150674" s="12" customFormat="1" x14ac:dyDescent="0.25"/>
    <row r="150675" s="12" customFormat="1" x14ac:dyDescent="0.25"/>
    <row r="150676" s="12" customFormat="1" x14ac:dyDescent="0.25"/>
    <row r="150677" s="12" customFormat="1" x14ac:dyDescent="0.25"/>
    <row r="150678" s="12" customFormat="1" x14ac:dyDescent="0.25"/>
    <row r="150679" s="12" customFormat="1" x14ac:dyDescent="0.25"/>
    <row r="150680" s="12" customFormat="1" x14ac:dyDescent="0.25"/>
    <row r="150681" s="12" customFormat="1" x14ac:dyDescent="0.25"/>
    <row r="150682" s="12" customFormat="1" x14ac:dyDescent="0.25"/>
    <row r="150683" s="12" customFormat="1" x14ac:dyDescent="0.25"/>
    <row r="150684" s="12" customFormat="1" x14ac:dyDescent="0.25"/>
    <row r="150685" s="12" customFormat="1" x14ac:dyDescent="0.25"/>
    <row r="150686" s="12" customFormat="1" x14ac:dyDescent="0.25"/>
    <row r="150687" s="12" customFormat="1" x14ac:dyDescent="0.25"/>
    <row r="150688" s="12" customFormat="1" x14ac:dyDescent="0.25"/>
    <row r="150689" s="12" customFormat="1" x14ac:dyDescent="0.25"/>
    <row r="150690" s="12" customFormat="1" x14ac:dyDescent="0.25"/>
    <row r="150691" s="12" customFormat="1" x14ac:dyDescent="0.25"/>
    <row r="150692" s="12" customFormat="1" x14ac:dyDescent="0.25"/>
    <row r="150693" s="12" customFormat="1" x14ac:dyDescent="0.25"/>
    <row r="150694" s="12" customFormat="1" x14ac:dyDescent="0.25"/>
    <row r="150695" s="12" customFormat="1" x14ac:dyDescent="0.25"/>
    <row r="150696" s="12" customFormat="1" x14ac:dyDescent="0.25"/>
    <row r="150697" s="12" customFormat="1" x14ac:dyDescent="0.25"/>
    <row r="150698" s="12" customFormat="1" x14ac:dyDescent="0.25"/>
    <row r="150699" s="12" customFormat="1" x14ac:dyDescent="0.25"/>
    <row r="150700" s="12" customFormat="1" x14ac:dyDescent="0.25"/>
    <row r="150701" s="12" customFormat="1" x14ac:dyDescent="0.25"/>
    <row r="150702" s="12" customFormat="1" x14ac:dyDescent="0.25"/>
    <row r="150703" s="12" customFormat="1" x14ac:dyDescent="0.25"/>
    <row r="150704" s="12" customFormat="1" x14ac:dyDescent="0.25"/>
    <row r="150705" s="12" customFormat="1" x14ac:dyDescent="0.25"/>
    <row r="150706" s="12" customFormat="1" x14ac:dyDescent="0.25"/>
    <row r="150707" s="12" customFormat="1" x14ac:dyDescent="0.25"/>
    <row r="150708" s="12" customFormat="1" x14ac:dyDescent="0.25"/>
    <row r="150709" s="12" customFormat="1" x14ac:dyDescent="0.25"/>
    <row r="150710" s="12" customFormat="1" x14ac:dyDescent="0.25"/>
    <row r="150711" s="12" customFormat="1" x14ac:dyDescent="0.25"/>
    <row r="150712" s="12" customFormat="1" x14ac:dyDescent="0.25"/>
    <row r="150713" s="12" customFormat="1" x14ac:dyDescent="0.25"/>
    <row r="150714" s="12" customFormat="1" x14ac:dyDescent="0.25"/>
    <row r="150715" s="12" customFormat="1" x14ac:dyDescent="0.25"/>
    <row r="150716" s="12" customFormat="1" x14ac:dyDescent="0.25"/>
    <row r="150717" s="12" customFormat="1" x14ac:dyDescent="0.25"/>
    <row r="150718" s="12" customFormat="1" x14ac:dyDescent="0.25"/>
    <row r="150719" s="12" customFormat="1" x14ac:dyDescent="0.25"/>
    <row r="150720" s="12" customFormat="1" x14ac:dyDescent="0.25"/>
    <row r="150721" s="12" customFormat="1" x14ac:dyDescent="0.25"/>
    <row r="150722" s="12" customFormat="1" x14ac:dyDescent="0.25"/>
    <row r="150723" s="12" customFormat="1" x14ac:dyDescent="0.25"/>
    <row r="150724" s="12" customFormat="1" x14ac:dyDescent="0.25"/>
    <row r="150725" s="12" customFormat="1" x14ac:dyDescent="0.25"/>
    <row r="150726" s="12" customFormat="1" x14ac:dyDescent="0.25"/>
    <row r="150727" s="12" customFormat="1" x14ac:dyDescent="0.25"/>
    <row r="150728" s="12" customFormat="1" x14ac:dyDescent="0.25"/>
    <row r="150729" s="12" customFormat="1" x14ac:dyDescent="0.25"/>
    <row r="150730" s="12" customFormat="1" x14ac:dyDescent="0.25"/>
    <row r="150731" s="12" customFormat="1" x14ac:dyDescent="0.25"/>
    <row r="150732" s="12" customFormat="1" x14ac:dyDescent="0.25"/>
    <row r="150733" s="12" customFormat="1" x14ac:dyDescent="0.25"/>
    <row r="150734" s="12" customFormat="1" x14ac:dyDescent="0.25"/>
    <row r="150735" s="12" customFormat="1" x14ac:dyDescent="0.25"/>
    <row r="150736" s="12" customFormat="1" x14ac:dyDescent="0.25"/>
    <row r="150737" s="12" customFormat="1" x14ac:dyDescent="0.25"/>
    <row r="150738" s="12" customFormat="1" x14ac:dyDescent="0.25"/>
    <row r="150739" s="12" customFormat="1" x14ac:dyDescent="0.25"/>
    <row r="150740" s="12" customFormat="1" x14ac:dyDescent="0.25"/>
    <row r="150741" s="12" customFormat="1" x14ac:dyDescent="0.25"/>
    <row r="150742" s="12" customFormat="1" x14ac:dyDescent="0.25"/>
    <row r="150743" s="12" customFormat="1" x14ac:dyDescent="0.25"/>
    <row r="150744" s="12" customFormat="1" x14ac:dyDescent="0.25"/>
    <row r="150745" s="12" customFormat="1" x14ac:dyDescent="0.25"/>
    <row r="150746" s="12" customFormat="1" x14ac:dyDescent="0.25"/>
    <row r="150747" s="12" customFormat="1" x14ac:dyDescent="0.25"/>
    <row r="150748" s="12" customFormat="1" x14ac:dyDescent="0.25"/>
    <row r="150749" s="12" customFormat="1" x14ac:dyDescent="0.25"/>
    <row r="150750" s="12" customFormat="1" x14ac:dyDescent="0.25"/>
    <row r="150751" s="12" customFormat="1" x14ac:dyDescent="0.25"/>
    <row r="150752" s="12" customFormat="1" x14ac:dyDescent="0.25"/>
    <row r="150753" s="12" customFormat="1" x14ac:dyDescent="0.25"/>
    <row r="150754" s="12" customFormat="1" x14ac:dyDescent="0.25"/>
    <row r="150755" s="12" customFormat="1" x14ac:dyDescent="0.25"/>
    <row r="150756" s="12" customFormat="1" x14ac:dyDescent="0.25"/>
    <row r="150757" s="12" customFormat="1" x14ac:dyDescent="0.25"/>
    <row r="150758" s="12" customFormat="1" x14ac:dyDescent="0.25"/>
    <row r="150759" s="12" customFormat="1" x14ac:dyDescent="0.25"/>
    <row r="150760" s="12" customFormat="1" x14ac:dyDescent="0.25"/>
    <row r="150761" s="12" customFormat="1" x14ac:dyDescent="0.25"/>
    <row r="150762" s="12" customFormat="1" x14ac:dyDescent="0.25"/>
    <row r="150763" s="12" customFormat="1" x14ac:dyDescent="0.25"/>
    <row r="150764" s="12" customFormat="1" x14ac:dyDescent="0.25"/>
    <row r="150765" s="12" customFormat="1" x14ac:dyDescent="0.25"/>
    <row r="150766" s="12" customFormat="1" x14ac:dyDescent="0.25"/>
    <row r="150767" s="12" customFormat="1" x14ac:dyDescent="0.25"/>
    <row r="150768" s="12" customFormat="1" x14ac:dyDescent="0.25"/>
    <row r="150769" s="12" customFormat="1" x14ac:dyDescent="0.25"/>
    <row r="150770" s="12" customFormat="1" x14ac:dyDescent="0.25"/>
    <row r="150771" s="12" customFormat="1" x14ac:dyDescent="0.25"/>
    <row r="150772" s="12" customFormat="1" x14ac:dyDescent="0.25"/>
    <row r="150773" s="12" customFormat="1" x14ac:dyDescent="0.25"/>
    <row r="150774" s="12" customFormat="1" x14ac:dyDescent="0.25"/>
    <row r="150775" s="12" customFormat="1" x14ac:dyDescent="0.25"/>
    <row r="150776" s="12" customFormat="1" x14ac:dyDescent="0.25"/>
    <row r="150777" s="12" customFormat="1" x14ac:dyDescent="0.25"/>
    <row r="150778" s="12" customFormat="1" x14ac:dyDescent="0.25"/>
    <row r="150779" s="12" customFormat="1" x14ac:dyDescent="0.25"/>
    <row r="150780" s="12" customFormat="1" x14ac:dyDescent="0.25"/>
    <row r="150781" s="12" customFormat="1" x14ac:dyDescent="0.25"/>
    <row r="150782" s="12" customFormat="1" x14ac:dyDescent="0.25"/>
    <row r="150783" s="12" customFormat="1" x14ac:dyDescent="0.25"/>
    <row r="150784" s="12" customFormat="1" x14ac:dyDescent="0.25"/>
    <row r="150785" s="12" customFormat="1" x14ac:dyDescent="0.25"/>
    <row r="150786" s="12" customFormat="1" x14ac:dyDescent="0.25"/>
    <row r="150787" s="12" customFormat="1" x14ac:dyDescent="0.25"/>
    <row r="150788" s="12" customFormat="1" x14ac:dyDescent="0.25"/>
    <row r="150789" s="12" customFormat="1" x14ac:dyDescent="0.25"/>
    <row r="150790" s="12" customFormat="1" x14ac:dyDescent="0.25"/>
    <row r="150791" s="12" customFormat="1" x14ac:dyDescent="0.25"/>
    <row r="150792" s="12" customFormat="1" x14ac:dyDescent="0.25"/>
    <row r="150793" s="12" customFormat="1" x14ac:dyDescent="0.25"/>
    <row r="150794" s="12" customFormat="1" x14ac:dyDescent="0.25"/>
    <row r="150795" s="12" customFormat="1" x14ac:dyDescent="0.25"/>
    <row r="150796" s="12" customFormat="1" x14ac:dyDescent="0.25"/>
    <row r="150797" s="12" customFormat="1" x14ac:dyDescent="0.25"/>
    <row r="150798" s="12" customFormat="1" x14ac:dyDescent="0.25"/>
    <row r="150799" s="12" customFormat="1" x14ac:dyDescent="0.25"/>
    <row r="150800" s="12" customFormat="1" x14ac:dyDescent="0.25"/>
    <row r="150801" s="12" customFormat="1" x14ac:dyDescent="0.25"/>
    <row r="150802" s="12" customFormat="1" x14ac:dyDescent="0.25"/>
    <row r="150803" s="12" customFormat="1" x14ac:dyDescent="0.25"/>
    <row r="150804" s="12" customFormat="1" x14ac:dyDescent="0.25"/>
    <row r="150805" s="12" customFormat="1" x14ac:dyDescent="0.25"/>
    <row r="150806" s="12" customFormat="1" x14ac:dyDescent="0.25"/>
    <row r="150807" s="12" customFormat="1" x14ac:dyDescent="0.25"/>
    <row r="150808" s="12" customFormat="1" x14ac:dyDescent="0.25"/>
    <row r="150809" s="12" customFormat="1" x14ac:dyDescent="0.25"/>
    <row r="150810" s="12" customFormat="1" x14ac:dyDescent="0.25"/>
    <row r="150811" s="12" customFormat="1" x14ac:dyDescent="0.25"/>
    <row r="150812" s="12" customFormat="1" x14ac:dyDescent="0.25"/>
    <row r="150813" s="12" customFormat="1" x14ac:dyDescent="0.25"/>
    <row r="150814" s="12" customFormat="1" x14ac:dyDescent="0.25"/>
    <row r="150815" s="12" customFormat="1" x14ac:dyDescent="0.25"/>
    <row r="150816" s="12" customFormat="1" x14ac:dyDescent="0.25"/>
    <row r="150817" s="12" customFormat="1" x14ac:dyDescent="0.25"/>
    <row r="150818" s="12" customFormat="1" x14ac:dyDescent="0.25"/>
    <row r="150819" s="12" customFormat="1" x14ac:dyDescent="0.25"/>
    <row r="150820" s="12" customFormat="1" x14ac:dyDescent="0.25"/>
    <row r="150821" s="12" customFormat="1" x14ac:dyDescent="0.25"/>
    <row r="150822" s="12" customFormat="1" x14ac:dyDescent="0.25"/>
    <row r="150823" s="12" customFormat="1" x14ac:dyDescent="0.25"/>
    <row r="150824" s="12" customFormat="1" x14ac:dyDescent="0.25"/>
    <row r="150825" s="12" customFormat="1" x14ac:dyDescent="0.25"/>
    <row r="150826" s="12" customFormat="1" x14ac:dyDescent="0.25"/>
    <row r="150827" s="12" customFormat="1" x14ac:dyDescent="0.25"/>
    <row r="150828" s="12" customFormat="1" x14ac:dyDescent="0.25"/>
    <row r="150829" s="12" customFormat="1" x14ac:dyDescent="0.25"/>
    <row r="150830" s="12" customFormat="1" x14ac:dyDescent="0.25"/>
    <row r="150831" s="12" customFormat="1" x14ac:dyDescent="0.25"/>
    <row r="150832" s="12" customFormat="1" x14ac:dyDescent="0.25"/>
    <row r="150833" s="12" customFormat="1" x14ac:dyDescent="0.25"/>
    <row r="150834" s="12" customFormat="1" x14ac:dyDescent="0.25"/>
    <row r="150835" s="12" customFormat="1" x14ac:dyDescent="0.25"/>
    <row r="150836" s="12" customFormat="1" x14ac:dyDescent="0.25"/>
    <row r="150837" s="12" customFormat="1" x14ac:dyDescent="0.25"/>
    <row r="150838" s="12" customFormat="1" x14ac:dyDescent="0.25"/>
    <row r="150839" s="12" customFormat="1" x14ac:dyDescent="0.25"/>
    <row r="150840" s="12" customFormat="1" x14ac:dyDescent="0.25"/>
    <row r="150841" s="12" customFormat="1" x14ac:dyDescent="0.25"/>
    <row r="150842" s="12" customFormat="1" x14ac:dyDescent="0.25"/>
    <row r="150843" s="12" customFormat="1" x14ac:dyDescent="0.25"/>
    <row r="150844" s="12" customFormat="1" x14ac:dyDescent="0.25"/>
    <row r="150845" s="12" customFormat="1" x14ac:dyDescent="0.25"/>
    <row r="150846" s="12" customFormat="1" x14ac:dyDescent="0.25"/>
    <row r="150847" s="12" customFormat="1" x14ac:dyDescent="0.25"/>
    <row r="150848" s="12" customFormat="1" x14ac:dyDescent="0.25"/>
    <row r="150849" s="12" customFormat="1" x14ac:dyDescent="0.25"/>
    <row r="150850" s="12" customFormat="1" x14ac:dyDescent="0.25"/>
    <row r="150851" s="12" customFormat="1" x14ac:dyDescent="0.25"/>
    <row r="150852" s="12" customFormat="1" x14ac:dyDescent="0.25"/>
    <row r="150853" s="12" customFormat="1" x14ac:dyDescent="0.25"/>
    <row r="150854" s="12" customFormat="1" x14ac:dyDescent="0.25"/>
    <row r="150855" s="12" customFormat="1" x14ac:dyDescent="0.25"/>
    <row r="150856" s="12" customFormat="1" x14ac:dyDescent="0.25"/>
    <row r="150857" s="12" customFormat="1" x14ac:dyDescent="0.25"/>
    <row r="150858" s="12" customFormat="1" x14ac:dyDescent="0.25"/>
    <row r="150859" s="12" customFormat="1" x14ac:dyDescent="0.25"/>
    <row r="150860" s="12" customFormat="1" x14ac:dyDescent="0.25"/>
    <row r="150861" s="12" customFormat="1" x14ac:dyDescent="0.25"/>
    <row r="150862" s="12" customFormat="1" x14ac:dyDescent="0.25"/>
    <row r="150863" s="12" customFormat="1" x14ac:dyDescent="0.25"/>
    <row r="150864" s="12" customFormat="1" x14ac:dyDescent="0.25"/>
    <row r="150865" s="12" customFormat="1" x14ac:dyDescent="0.25"/>
    <row r="150866" s="12" customFormat="1" x14ac:dyDescent="0.25"/>
    <row r="150867" s="12" customFormat="1" x14ac:dyDescent="0.25"/>
    <row r="150868" s="12" customFormat="1" x14ac:dyDescent="0.25"/>
    <row r="150869" s="12" customFormat="1" x14ac:dyDescent="0.25"/>
    <row r="150870" s="12" customFormat="1" x14ac:dyDescent="0.25"/>
    <row r="150871" s="12" customFormat="1" x14ac:dyDescent="0.25"/>
    <row r="150872" s="12" customFormat="1" x14ac:dyDescent="0.25"/>
    <row r="150873" s="12" customFormat="1" x14ac:dyDescent="0.25"/>
    <row r="150874" s="12" customFormat="1" x14ac:dyDescent="0.25"/>
    <row r="150875" s="12" customFormat="1" x14ac:dyDescent="0.25"/>
    <row r="150876" s="12" customFormat="1" x14ac:dyDescent="0.25"/>
    <row r="150877" s="12" customFormat="1" x14ac:dyDescent="0.25"/>
    <row r="150878" s="12" customFormat="1" x14ac:dyDescent="0.25"/>
    <row r="150879" s="12" customFormat="1" x14ac:dyDescent="0.25"/>
    <row r="150880" s="12" customFormat="1" x14ac:dyDescent="0.25"/>
    <row r="150881" s="12" customFormat="1" x14ac:dyDescent="0.25"/>
    <row r="150882" s="12" customFormat="1" x14ac:dyDescent="0.25"/>
    <row r="150883" s="12" customFormat="1" x14ac:dyDescent="0.25"/>
    <row r="150884" s="12" customFormat="1" x14ac:dyDescent="0.25"/>
    <row r="150885" s="12" customFormat="1" x14ac:dyDescent="0.25"/>
    <row r="150886" s="12" customFormat="1" x14ac:dyDescent="0.25"/>
    <row r="150887" s="12" customFormat="1" x14ac:dyDescent="0.25"/>
    <row r="150888" s="12" customFormat="1" x14ac:dyDescent="0.25"/>
    <row r="150889" s="12" customFormat="1" x14ac:dyDescent="0.25"/>
    <row r="150890" s="12" customFormat="1" x14ac:dyDescent="0.25"/>
    <row r="150891" s="12" customFormat="1" x14ac:dyDescent="0.25"/>
    <row r="150892" s="12" customFormat="1" x14ac:dyDescent="0.25"/>
    <row r="150893" s="12" customFormat="1" x14ac:dyDescent="0.25"/>
    <row r="150894" s="12" customFormat="1" x14ac:dyDescent="0.25"/>
    <row r="150895" s="12" customFormat="1" x14ac:dyDescent="0.25"/>
    <row r="150896" s="12" customFormat="1" x14ac:dyDescent="0.25"/>
    <row r="150897" s="12" customFormat="1" x14ac:dyDescent="0.25"/>
    <row r="150898" s="12" customFormat="1" x14ac:dyDescent="0.25"/>
    <row r="150899" s="12" customFormat="1" x14ac:dyDescent="0.25"/>
    <row r="150900" s="12" customFormat="1" x14ac:dyDescent="0.25"/>
    <row r="150901" s="12" customFormat="1" x14ac:dyDescent="0.25"/>
    <row r="150902" s="12" customFormat="1" x14ac:dyDescent="0.25"/>
    <row r="150903" s="12" customFormat="1" x14ac:dyDescent="0.25"/>
    <row r="150904" s="12" customFormat="1" x14ac:dyDescent="0.25"/>
    <row r="150905" s="12" customFormat="1" x14ac:dyDescent="0.25"/>
    <row r="150906" s="12" customFormat="1" x14ac:dyDescent="0.25"/>
    <row r="150907" s="12" customFormat="1" x14ac:dyDescent="0.25"/>
    <row r="150908" s="12" customFormat="1" x14ac:dyDescent="0.25"/>
    <row r="150909" s="12" customFormat="1" x14ac:dyDescent="0.25"/>
    <row r="150910" s="12" customFormat="1" x14ac:dyDescent="0.25"/>
    <row r="150911" s="12" customFormat="1" x14ac:dyDescent="0.25"/>
    <row r="150912" s="12" customFormat="1" x14ac:dyDescent="0.25"/>
    <row r="150913" s="12" customFormat="1" x14ac:dyDescent="0.25"/>
    <row r="150914" s="12" customFormat="1" x14ac:dyDescent="0.25"/>
    <row r="150915" s="12" customFormat="1" x14ac:dyDescent="0.25"/>
    <row r="150916" s="12" customFormat="1" x14ac:dyDescent="0.25"/>
    <row r="150917" s="12" customFormat="1" x14ac:dyDescent="0.25"/>
    <row r="150918" s="12" customFormat="1" x14ac:dyDescent="0.25"/>
    <row r="150919" s="12" customFormat="1" x14ac:dyDescent="0.25"/>
    <row r="150920" s="12" customFormat="1" x14ac:dyDescent="0.25"/>
    <row r="150921" s="12" customFormat="1" x14ac:dyDescent="0.25"/>
    <row r="150922" s="12" customFormat="1" x14ac:dyDescent="0.25"/>
    <row r="150923" s="12" customFormat="1" x14ac:dyDescent="0.25"/>
    <row r="150924" s="12" customFormat="1" x14ac:dyDescent="0.25"/>
    <row r="150925" s="12" customFormat="1" x14ac:dyDescent="0.25"/>
    <row r="150926" s="12" customFormat="1" x14ac:dyDescent="0.25"/>
    <row r="150927" s="12" customFormat="1" x14ac:dyDescent="0.25"/>
    <row r="150928" s="12" customFormat="1" x14ac:dyDescent="0.25"/>
    <row r="150929" s="12" customFormat="1" x14ac:dyDescent="0.25"/>
    <row r="150930" s="12" customFormat="1" x14ac:dyDescent="0.25"/>
    <row r="150931" s="12" customFormat="1" x14ac:dyDescent="0.25"/>
    <row r="150932" s="12" customFormat="1" x14ac:dyDescent="0.25"/>
    <row r="150933" s="12" customFormat="1" x14ac:dyDescent="0.25"/>
    <row r="150934" s="12" customFormat="1" x14ac:dyDescent="0.25"/>
    <row r="150935" s="12" customFormat="1" x14ac:dyDescent="0.25"/>
    <row r="150936" s="12" customFormat="1" x14ac:dyDescent="0.25"/>
    <row r="150937" s="12" customFormat="1" x14ac:dyDescent="0.25"/>
    <row r="150938" s="12" customFormat="1" x14ac:dyDescent="0.25"/>
    <row r="150939" s="12" customFormat="1" x14ac:dyDescent="0.25"/>
    <row r="150940" s="12" customFormat="1" x14ac:dyDescent="0.25"/>
    <row r="150941" s="12" customFormat="1" x14ac:dyDescent="0.25"/>
    <row r="150942" s="12" customFormat="1" x14ac:dyDescent="0.25"/>
    <row r="150943" s="12" customFormat="1" x14ac:dyDescent="0.25"/>
    <row r="150944" s="12" customFormat="1" x14ac:dyDescent="0.25"/>
    <row r="150945" s="12" customFormat="1" x14ac:dyDescent="0.25"/>
    <row r="150946" s="12" customFormat="1" x14ac:dyDescent="0.25"/>
    <row r="150947" s="12" customFormat="1" x14ac:dyDescent="0.25"/>
    <row r="150948" s="12" customFormat="1" x14ac:dyDescent="0.25"/>
    <row r="150949" s="12" customFormat="1" x14ac:dyDescent="0.25"/>
    <row r="150950" s="12" customFormat="1" x14ac:dyDescent="0.25"/>
    <row r="150951" s="12" customFormat="1" x14ac:dyDescent="0.25"/>
    <row r="150952" s="12" customFormat="1" x14ac:dyDescent="0.25"/>
    <row r="150953" s="12" customFormat="1" x14ac:dyDescent="0.25"/>
    <row r="150954" s="12" customFormat="1" x14ac:dyDescent="0.25"/>
    <row r="150955" s="12" customFormat="1" x14ac:dyDescent="0.25"/>
    <row r="150956" s="12" customFormat="1" x14ac:dyDescent="0.25"/>
    <row r="150957" s="12" customFormat="1" x14ac:dyDescent="0.25"/>
    <row r="150958" s="12" customFormat="1" x14ac:dyDescent="0.25"/>
    <row r="150959" s="12" customFormat="1" x14ac:dyDescent="0.25"/>
    <row r="150960" s="12" customFormat="1" x14ac:dyDescent="0.25"/>
    <row r="150961" s="12" customFormat="1" x14ac:dyDescent="0.25"/>
    <row r="150962" s="12" customFormat="1" x14ac:dyDescent="0.25"/>
    <row r="150963" s="12" customFormat="1" x14ac:dyDescent="0.25"/>
    <row r="150964" s="12" customFormat="1" x14ac:dyDescent="0.25"/>
    <row r="150965" s="12" customFormat="1" x14ac:dyDescent="0.25"/>
    <row r="150966" s="12" customFormat="1" x14ac:dyDescent="0.25"/>
    <row r="150967" s="12" customFormat="1" x14ac:dyDescent="0.25"/>
    <row r="150968" s="12" customFormat="1" x14ac:dyDescent="0.25"/>
    <row r="150969" s="12" customFormat="1" x14ac:dyDescent="0.25"/>
    <row r="150970" s="12" customFormat="1" x14ac:dyDescent="0.25"/>
    <row r="150971" s="12" customFormat="1" x14ac:dyDescent="0.25"/>
    <row r="150972" s="12" customFormat="1" x14ac:dyDescent="0.25"/>
    <row r="150973" s="12" customFormat="1" x14ac:dyDescent="0.25"/>
    <row r="150974" s="12" customFormat="1" x14ac:dyDescent="0.25"/>
    <row r="150975" s="12" customFormat="1" x14ac:dyDescent="0.25"/>
    <row r="150976" s="12" customFormat="1" x14ac:dyDescent="0.25"/>
    <row r="150977" s="12" customFormat="1" x14ac:dyDescent="0.25"/>
    <row r="150978" s="12" customFormat="1" x14ac:dyDescent="0.25"/>
    <row r="150979" s="12" customFormat="1" x14ac:dyDescent="0.25"/>
    <row r="150980" s="12" customFormat="1" x14ac:dyDescent="0.25"/>
    <row r="150981" s="12" customFormat="1" x14ac:dyDescent="0.25"/>
    <row r="150982" s="12" customFormat="1" x14ac:dyDescent="0.25"/>
    <row r="150983" s="12" customFormat="1" x14ac:dyDescent="0.25"/>
    <row r="150984" s="12" customFormat="1" x14ac:dyDescent="0.25"/>
    <row r="150985" s="12" customFormat="1" x14ac:dyDescent="0.25"/>
    <row r="150986" s="12" customFormat="1" x14ac:dyDescent="0.25"/>
    <row r="150987" s="12" customFormat="1" x14ac:dyDescent="0.25"/>
    <row r="150988" s="12" customFormat="1" x14ac:dyDescent="0.25"/>
    <row r="150989" s="12" customFormat="1" x14ac:dyDescent="0.25"/>
    <row r="150990" s="12" customFormat="1" x14ac:dyDescent="0.25"/>
    <row r="150991" s="12" customFormat="1" x14ac:dyDescent="0.25"/>
    <row r="150992" s="12" customFormat="1" x14ac:dyDescent="0.25"/>
    <row r="150993" s="12" customFormat="1" x14ac:dyDescent="0.25"/>
    <row r="150994" s="12" customFormat="1" x14ac:dyDescent="0.25"/>
    <row r="150995" s="12" customFormat="1" x14ac:dyDescent="0.25"/>
    <row r="150996" s="12" customFormat="1" x14ac:dyDescent="0.25"/>
    <row r="150997" s="12" customFormat="1" x14ac:dyDescent="0.25"/>
    <row r="150998" s="12" customFormat="1" x14ac:dyDescent="0.25"/>
    <row r="150999" s="12" customFormat="1" x14ac:dyDescent="0.25"/>
    <row r="151000" s="12" customFormat="1" x14ac:dyDescent="0.25"/>
    <row r="151001" s="12" customFormat="1" x14ac:dyDescent="0.25"/>
    <row r="151002" s="12" customFormat="1" x14ac:dyDescent="0.25"/>
    <row r="151003" s="12" customFormat="1" x14ac:dyDescent="0.25"/>
    <row r="151004" s="12" customFormat="1" x14ac:dyDescent="0.25"/>
    <row r="151005" s="12" customFormat="1" x14ac:dyDescent="0.25"/>
    <row r="151006" s="12" customFormat="1" x14ac:dyDescent="0.25"/>
    <row r="151007" s="12" customFormat="1" x14ac:dyDescent="0.25"/>
    <row r="151008" s="12" customFormat="1" x14ac:dyDescent="0.25"/>
    <row r="151009" s="12" customFormat="1" x14ac:dyDescent="0.25"/>
    <row r="151010" s="12" customFormat="1" x14ac:dyDescent="0.25"/>
    <row r="151011" s="12" customFormat="1" x14ac:dyDescent="0.25"/>
    <row r="151012" s="12" customFormat="1" x14ac:dyDescent="0.25"/>
    <row r="151013" s="12" customFormat="1" x14ac:dyDescent="0.25"/>
    <row r="151014" s="12" customFormat="1" x14ac:dyDescent="0.25"/>
    <row r="151015" s="12" customFormat="1" x14ac:dyDescent="0.25"/>
    <row r="151016" s="12" customFormat="1" x14ac:dyDescent="0.25"/>
    <row r="151017" s="12" customFormat="1" x14ac:dyDescent="0.25"/>
    <row r="151018" s="12" customFormat="1" x14ac:dyDescent="0.25"/>
    <row r="151019" s="12" customFormat="1" x14ac:dyDescent="0.25"/>
    <row r="151020" s="12" customFormat="1" x14ac:dyDescent="0.25"/>
    <row r="151021" s="12" customFormat="1" x14ac:dyDescent="0.25"/>
    <row r="151022" s="12" customFormat="1" x14ac:dyDescent="0.25"/>
    <row r="151023" s="12" customFormat="1" x14ac:dyDescent="0.25"/>
    <row r="151024" s="12" customFormat="1" x14ac:dyDescent="0.25"/>
    <row r="151025" s="12" customFormat="1" x14ac:dyDescent="0.25"/>
    <row r="151026" s="12" customFormat="1" x14ac:dyDescent="0.25"/>
    <row r="151027" s="12" customFormat="1" x14ac:dyDescent="0.25"/>
    <row r="151028" s="12" customFormat="1" x14ac:dyDescent="0.25"/>
    <row r="151029" s="12" customFormat="1" x14ac:dyDescent="0.25"/>
    <row r="151030" s="12" customFormat="1" x14ac:dyDescent="0.25"/>
    <row r="151031" s="12" customFormat="1" x14ac:dyDescent="0.25"/>
    <row r="151032" s="12" customFormat="1" x14ac:dyDescent="0.25"/>
    <row r="151033" s="12" customFormat="1" x14ac:dyDescent="0.25"/>
    <row r="151034" s="12" customFormat="1" x14ac:dyDescent="0.25"/>
    <row r="151035" s="12" customFormat="1" x14ac:dyDescent="0.25"/>
    <row r="151036" s="12" customFormat="1" x14ac:dyDescent="0.25"/>
    <row r="151037" s="12" customFormat="1" x14ac:dyDescent="0.25"/>
    <row r="151038" s="12" customFormat="1" x14ac:dyDescent="0.25"/>
    <row r="151039" s="12" customFormat="1" x14ac:dyDescent="0.25"/>
    <row r="151040" s="12" customFormat="1" x14ac:dyDescent="0.25"/>
    <row r="151041" s="12" customFormat="1" x14ac:dyDescent="0.25"/>
    <row r="151042" s="12" customFormat="1" x14ac:dyDescent="0.25"/>
    <row r="151043" s="12" customFormat="1" x14ac:dyDescent="0.25"/>
    <row r="151044" s="12" customFormat="1" x14ac:dyDescent="0.25"/>
    <row r="151045" s="12" customFormat="1" x14ac:dyDescent="0.25"/>
    <row r="151046" s="12" customFormat="1" x14ac:dyDescent="0.25"/>
    <row r="151047" s="12" customFormat="1" x14ac:dyDescent="0.25"/>
    <row r="151048" s="12" customFormat="1" x14ac:dyDescent="0.25"/>
    <row r="151049" s="12" customFormat="1" x14ac:dyDescent="0.25"/>
    <row r="151050" s="12" customFormat="1" x14ac:dyDescent="0.25"/>
    <row r="151051" s="12" customFormat="1" x14ac:dyDescent="0.25"/>
    <row r="151052" s="12" customFormat="1" x14ac:dyDescent="0.25"/>
    <row r="151053" s="12" customFormat="1" x14ac:dyDescent="0.25"/>
    <row r="151054" s="12" customFormat="1" x14ac:dyDescent="0.25"/>
    <row r="151055" s="12" customFormat="1" x14ac:dyDescent="0.25"/>
    <row r="151056" s="12" customFormat="1" x14ac:dyDescent="0.25"/>
    <row r="151057" s="12" customFormat="1" x14ac:dyDescent="0.25"/>
    <row r="151058" s="12" customFormat="1" x14ac:dyDescent="0.25"/>
    <row r="151059" s="12" customFormat="1" x14ac:dyDescent="0.25"/>
    <row r="151060" s="12" customFormat="1" x14ac:dyDescent="0.25"/>
    <row r="151061" s="12" customFormat="1" x14ac:dyDescent="0.25"/>
    <row r="151062" s="12" customFormat="1" x14ac:dyDescent="0.25"/>
    <row r="151063" s="12" customFormat="1" x14ac:dyDescent="0.25"/>
    <row r="151064" s="12" customFormat="1" x14ac:dyDescent="0.25"/>
    <row r="151065" s="12" customFormat="1" x14ac:dyDescent="0.25"/>
    <row r="151066" s="12" customFormat="1" x14ac:dyDescent="0.25"/>
    <row r="151067" s="12" customFormat="1" x14ac:dyDescent="0.25"/>
    <row r="151068" s="12" customFormat="1" x14ac:dyDescent="0.25"/>
    <row r="151069" s="12" customFormat="1" x14ac:dyDescent="0.25"/>
    <row r="151070" s="12" customFormat="1" x14ac:dyDescent="0.25"/>
    <row r="151071" s="12" customFormat="1" x14ac:dyDescent="0.25"/>
    <row r="151072" s="12" customFormat="1" x14ac:dyDescent="0.25"/>
    <row r="151073" s="12" customFormat="1" x14ac:dyDescent="0.25"/>
    <row r="151074" s="12" customFormat="1" x14ac:dyDescent="0.25"/>
    <row r="151075" s="12" customFormat="1" x14ac:dyDescent="0.25"/>
    <row r="151076" s="12" customFormat="1" x14ac:dyDescent="0.25"/>
    <row r="151077" s="12" customFormat="1" x14ac:dyDescent="0.25"/>
    <row r="151078" s="12" customFormat="1" x14ac:dyDescent="0.25"/>
    <row r="151079" s="12" customFormat="1" x14ac:dyDescent="0.25"/>
    <row r="151080" s="12" customFormat="1" x14ac:dyDescent="0.25"/>
    <row r="151081" s="12" customFormat="1" x14ac:dyDescent="0.25"/>
    <row r="151082" s="12" customFormat="1" x14ac:dyDescent="0.25"/>
    <row r="151083" s="12" customFormat="1" x14ac:dyDescent="0.25"/>
    <row r="151084" s="12" customFormat="1" x14ac:dyDescent="0.25"/>
    <row r="151085" s="12" customFormat="1" x14ac:dyDescent="0.25"/>
    <row r="151086" s="12" customFormat="1" x14ac:dyDescent="0.25"/>
    <row r="151087" s="12" customFormat="1" x14ac:dyDescent="0.25"/>
    <row r="151088" s="12" customFormat="1" x14ac:dyDescent="0.25"/>
    <row r="151089" s="12" customFormat="1" x14ac:dyDescent="0.25"/>
    <row r="151090" s="12" customFormat="1" x14ac:dyDescent="0.25"/>
    <row r="151091" s="12" customFormat="1" x14ac:dyDescent="0.25"/>
    <row r="151092" s="12" customFormat="1" x14ac:dyDescent="0.25"/>
    <row r="151093" s="12" customFormat="1" x14ac:dyDescent="0.25"/>
    <row r="151094" s="12" customFormat="1" x14ac:dyDescent="0.25"/>
    <row r="151095" s="12" customFormat="1" x14ac:dyDescent="0.25"/>
    <row r="151096" s="12" customFormat="1" x14ac:dyDescent="0.25"/>
    <row r="151097" s="12" customFormat="1" x14ac:dyDescent="0.25"/>
    <row r="151098" s="12" customFormat="1" x14ac:dyDescent="0.25"/>
    <row r="151099" s="12" customFormat="1" x14ac:dyDescent="0.25"/>
    <row r="151100" s="12" customFormat="1" x14ac:dyDescent="0.25"/>
    <row r="151101" s="12" customFormat="1" x14ac:dyDescent="0.25"/>
    <row r="151102" s="12" customFormat="1" x14ac:dyDescent="0.25"/>
    <row r="151103" s="12" customFormat="1" x14ac:dyDescent="0.25"/>
    <row r="151104" s="12" customFormat="1" x14ac:dyDescent="0.25"/>
    <row r="151105" s="12" customFormat="1" x14ac:dyDescent="0.25"/>
    <row r="151106" s="12" customFormat="1" x14ac:dyDescent="0.25"/>
    <row r="151107" s="12" customFormat="1" x14ac:dyDescent="0.25"/>
    <row r="151108" s="12" customFormat="1" x14ac:dyDescent="0.25"/>
    <row r="151109" s="12" customFormat="1" x14ac:dyDescent="0.25"/>
    <row r="151110" s="12" customFormat="1" x14ac:dyDescent="0.25"/>
    <row r="151111" s="12" customFormat="1" x14ac:dyDescent="0.25"/>
    <row r="151112" s="12" customFormat="1" x14ac:dyDescent="0.25"/>
    <row r="151113" s="12" customFormat="1" x14ac:dyDescent="0.25"/>
    <row r="151114" s="12" customFormat="1" x14ac:dyDescent="0.25"/>
    <row r="151115" s="12" customFormat="1" x14ac:dyDescent="0.25"/>
    <row r="151116" s="12" customFormat="1" x14ac:dyDescent="0.25"/>
    <row r="151117" s="12" customFormat="1" x14ac:dyDescent="0.25"/>
    <row r="151118" s="12" customFormat="1" x14ac:dyDescent="0.25"/>
    <row r="151119" s="12" customFormat="1" x14ac:dyDescent="0.25"/>
    <row r="151120" s="12" customFormat="1" x14ac:dyDescent="0.25"/>
    <row r="151121" s="12" customFormat="1" x14ac:dyDescent="0.25"/>
    <row r="151122" s="12" customFormat="1" x14ac:dyDescent="0.25"/>
    <row r="151123" s="12" customFormat="1" x14ac:dyDescent="0.25"/>
    <row r="151124" s="12" customFormat="1" x14ac:dyDescent="0.25"/>
    <row r="151125" s="12" customFormat="1" x14ac:dyDescent="0.25"/>
    <row r="151126" s="12" customFormat="1" x14ac:dyDescent="0.25"/>
    <row r="151127" s="12" customFormat="1" x14ac:dyDescent="0.25"/>
    <row r="151128" s="12" customFormat="1" x14ac:dyDescent="0.25"/>
    <row r="151129" s="12" customFormat="1" x14ac:dyDescent="0.25"/>
    <row r="151130" s="12" customFormat="1" x14ac:dyDescent="0.25"/>
    <row r="151131" s="12" customFormat="1" x14ac:dyDescent="0.25"/>
    <row r="151132" s="12" customFormat="1" x14ac:dyDescent="0.25"/>
    <row r="151133" s="12" customFormat="1" x14ac:dyDescent="0.25"/>
    <row r="151134" s="12" customFormat="1" x14ac:dyDescent="0.25"/>
    <row r="151135" s="12" customFormat="1" x14ac:dyDescent="0.25"/>
    <row r="151136" s="12" customFormat="1" x14ac:dyDescent="0.25"/>
    <row r="151137" s="12" customFormat="1" x14ac:dyDescent="0.25"/>
    <row r="151138" s="12" customFormat="1" x14ac:dyDescent="0.25"/>
    <row r="151139" s="12" customFormat="1" x14ac:dyDescent="0.25"/>
    <row r="151140" s="12" customFormat="1" x14ac:dyDescent="0.25"/>
    <row r="151141" s="12" customFormat="1" x14ac:dyDescent="0.25"/>
    <row r="151142" s="12" customFormat="1" x14ac:dyDescent="0.25"/>
    <row r="151143" s="12" customFormat="1" x14ac:dyDescent="0.25"/>
    <row r="151144" s="12" customFormat="1" x14ac:dyDescent="0.25"/>
    <row r="151145" s="12" customFormat="1" x14ac:dyDescent="0.25"/>
    <row r="151146" s="12" customFormat="1" x14ac:dyDescent="0.25"/>
    <row r="151147" s="12" customFormat="1" x14ac:dyDescent="0.25"/>
    <row r="151148" s="12" customFormat="1" x14ac:dyDescent="0.25"/>
    <row r="151149" s="12" customFormat="1" x14ac:dyDescent="0.25"/>
    <row r="151150" s="12" customFormat="1" x14ac:dyDescent="0.25"/>
    <row r="151151" s="12" customFormat="1" x14ac:dyDescent="0.25"/>
    <row r="151152" s="12" customFormat="1" x14ac:dyDescent="0.25"/>
    <row r="151153" s="12" customFormat="1" x14ac:dyDescent="0.25"/>
    <row r="151154" s="12" customFormat="1" x14ac:dyDescent="0.25"/>
    <row r="151155" s="12" customFormat="1" x14ac:dyDescent="0.25"/>
    <row r="151156" s="12" customFormat="1" x14ac:dyDescent="0.25"/>
    <row r="151157" s="12" customFormat="1" x14ac:dyDescent="0.25"/>
    <row r="151158" s="12" customFormat="1" x14ac:dyDescent="0.25"/>
    <row r="151159" s="12" customFormat="1" x14ac:dyDescent="0.25"/>
    <row r="151160" s="12" customFormat="1" x14ac:dyDescent="0.25"/>
    <row r="151161" s="12" customFormat="1" x14ac:dyDescent="0.25"/>
    <row r="151162" s="12" customFormat="1" x14ac:dyDescent="0.25"/>
    <row r="151163" s="12" customFormat="1" x14ac:dyDescent="0.25"/>
    <row r="151164" s="12" customFormat="1" x14ac:dyDescent="0.25"/>
    <row r="151165" s="12" customFormat="1" x14ac:dyDescent="0.25"/>
    <row r="151166" s="12" customFormat="1" x14ac:dyDescent="0.25"/>
    <row r="151167" s="12" customFormat="1" x14ac:dyDescent="0.25"/>
    <row r="151168" s="12" customFormat="1" x14ac:dyDescent="0.25"/>
    <row r="151169" s="12" customFormat="1" x14ac:dyDescent="0.25"/>
    <row r="151170" s="12" customFormat="1" x14ac:dyDescent="0.25"/>
    <row r="151171" s="12" customFormat="1" x14ac:dyDescent="0.25"/>
    <row r="151172" s="12" customFormat="1" x14ac:dyDescent="0.25"/>
    <row r="151173" s="12" customFormat="1" x14ac:dyDescent="0.25"/>
    <row r="151174" s="12" customFormat="1" x14ac:dyDescent="0.25"/>
    <row r="151175" s="12" customFormat="1" x14ac:dyDescent="0.25"/>
    <row r="151176" s="12" customFormat="1" x14ac:dyDescent="0.25"/>
    <row r="151177" s="12" customFormat="1" x14ac:dyDescent="0.25"/>
    <row r="151178" s="12" customFormat="1" x14ac:dyDescent="0.25"/>
    <row r="151179" s="12" customFormat="1" x14ac:dyDescent="0.25"/>
    <row r="151180" s="12" customFormat="1" x14ac:dyDescent="0.25"/>
    <row r="151181" s="12" customFormat="1" x14ac:dyDescent="0.25"/>
    <row r="151182" s="12" customFormat="1" x14ac:dyDescent="0.25"/>
    <row r="151183" s="12" customFormat="1" x14ac:dyDescent="0.25"/>
    <row r="151184" s="12" customFormat="1" x14ac:dyDescent="0.25"/>
    <row r="151185" s="12" customFormat="1" x14ac:dyDescent="0.25"/>
    <row r="151186" s="12" customFormat="1" x14ac:dyDescent="0.25"/>
    <row r="151187" s="12" customFormat="1" x14ac:dyDescent="0.25"/>
    <row r="151188" s="12" customFormat="1" x14ac:dyDescent="0.25"/>
    <row r="151189" s="12" customFormat="1" x14ac:dyDescent="0.25"/>
    <row r="151190" s="12" customFormat="1" x14ac:dyDescent="0.25"/>
    <row r="151191" s="12" customFormat="1" x14ac:dyDescent="0.25"/>
    <row r="151192" s="12" customFormat="1" x14ac:dyDescent="0.25"/>
    <row r="151193" s="12" customFormat="1" x14ac:dyDescent="0.25"/>
    <row r="151194" s="12" customFormat="1" x14ac:dyDescent="0.25"/>
    <row r="151195" s="12" customFormat="1" x14ac:dyDescent="0.25"/>
    <row r="151196" s="12" customFormat="1" x14ac:dyDescent="0.25"/>
    <row r="151197" s="12" customFormat="1" x14ac:dyDescent="0.25"/>
    <row r="151198" s="12" customFormat="1" x14ac:dyDescent="0.25"/>
    <row r="151199" s="12" customFormat="1" x14ac:dyDescent="0.25"/>
    <row r="151200" s="12" customFormat="1" x14ac:dyDescent="0.25"/>
    <row r="151201" s="12" customFormat="1" x14ac:dyDescent="0.25"/>
    <row r="151202" s="12" customFormat="1" x14ac:dyDescent="0.25"/>
    <row r="151203" s="12" customFormat="1" x14ac:dyDescent="0.25"/>
    <row r="151204" s="12" customFormat="1" x14ac:dyDescent="0.25"/>
    <row r="151205" s="12" customFormat="1" x14ac:dyDescent="0.25"/>
    <row r="151206" s="12" customFormat="1" x14ac:dyDescent="0.25"/>
    <row r="151207" s="12" customFormat="1" x14ac:dyDescent="0.25"/>
    <row r="151208" s="12" customFormat="1" x14ac:dyDescent="0.25"/>
    <row r="151209" s="12" customFormat="1" x14ac:dyDescent="0.25"/>
    <row r="151210" s="12" customFormat="1" x14ac:dyDescent="0.25"/>
    <row r="151211" s="12" customFormat="1" x14ac:dyDescent="0.25"/>
    <row r="151212" s="12" customFormat="1" x14ac:dyDescent="0.25"/>
    <row r="151213" s="12" customFormat="1" x14ac:dyDescent="0.25"/>
    <row r="151214" s="12" customFormat="1" x14ac:dyDescent="0.25"/>
    <row r="151215" s="12" customFormat="1" x14ac:dyDescent="0.25"/>
    <row r="151216" s="12" customFormat="1" x14ac:dyDescent="0.25"/>
    <row r="151217" s="12" customFormat="1" x14ac:dyDescent="0.25"/>
    <row r="151218" s="12" customFormat="1" x14ac:dyDescent="0.25"/>
    <row r="151219" s="12" customFormat="1" x14ac:dyDescent="0.25"/>
    <row r="151220" s="12" customFormat="1" x14ac:dyDescent="0.25"/>
    <row r="151221" s="12" customFormat="1" x14ac:dyDescent="0.25"/>
    <row r="151222" s="12" customFormat="1" x14ac:dyDescent="0.25"/>
    <row r="151223" s="12" customFormat="1" x14ac:dyDescent="0.25"/>
    <row r="151224" s="12" customFormat="1" x14ac:dyDescent="0.25"/>
    <row r="151225" s="12" customFormat="1" x14ac:dyDescent="0.25"/>
    <row r="151226" s="12" customFormat="1" x14ac:dyDescent="0.25"/>
    <row r="151227" s="12" customFormat="1" x14ac:dyDescent="0.25"/>
    <row r="151228" s="12" customFormat="1" x14ac:dyDescent="0.25"/>
    <row r="151229" s="12" customFormat="1" x14ac:dyDescent="0.25"/>
    <row r="151230" s="12" customFormat="1" x14ac:dyDescent="0.25"/>
    <row r="151231" s="12" customFormat="1" x14ac:dyDescent="0.25"/>
    <row r="151232" s="12" customFormat="1" x14ac:dyDescent="0.25"/>
    <row r="151233" s="12" customFormat="1" x14ac:dyDescent="0.25"/>
    <row r="151234" s="12" customFormat="1" x14ac:dyDescent="0.25"/>
    <row r="151235" s="12" customFormat="1" x14ac:dyDescent="0.25"/>
    <row r="151236" s="12" customFormat="1" x14ac:dyDescent="0.25"/>
    <row r="151237" s="12" customFormat="1" x14ac:dyDescent="0.25"/>
    <row r="151238" s="12" customFormat="1" x14ac:dyDescent="0.25"/>
    <row r="151239" s="12" customFormat="1" x14ac:dyDescent="0.25"/>
    <row r="151240" s="12" customFormat="1" x14ac:dyDescent="0.25"/>
    <row r="151241" s="12" customFormat="1" x14ac:dyDescent="0.25"/>
    <row r="151242" s="12" customFormat="1" x14ac:dyDescent="0.25"/>
    <row r="151243" s="12" customFormat="1" x14ac:dyDescent="0.25"/>
    <row r="151244" s="12" customFormat="1" x14ac:dyDescent="0.25"/>
    <row r="151245" s="12" customFormat="1" x14ac:dyDescent="0.25"/>
    <row r="151246" s="12" customFormat="1" x14ac:dyDescent="0.25"/>
    <row r="151247" s="12" customFormat="1" x14ac:dyDescent="0.25"/>
    <row r="151248" s="12" customFormat="1" x14ac:dyDescent="0.25"/>
    <row r="151249" s="12" customFormat="1" x14ac:dyDescent="0.25"/>
    <row r="151250" s="12" customFormat="1" x14ac:dyDescent="0.25"/>
    <row r="151251" s="12" customFormat="1" x14ac:dyDescent="0.25"/>
    <row r="151252" s="12" customFormat="1" x14ac:dyDescent="0.25"/>
    <row r="151253" s="12" customFormat="1" x14ac:dyDescent="0.25"/>
    <row r="151254" s="12" customFormat="1" x14ac:dyDescent="0.25"/>
    <row r="151255" s="12" customFormat="1" x14ac:dyDescent="0.25"/>
    <row r="151256" s="12" customFormat="1" x14ac:dyDescent="0.25"/>
    <row r="151257" s="12" customFormat="1" x14ac:dyDescent="0.25"/>
    <row r="151258" s="12" customFormat="1" x14ac:dyDescent="0.25"/>
    <row r="151259" s="12" customFormat="1" x14ac:dyDescent="0.25"/>
    <row r="151260" s="12" customFormat="1" x14ac:dyDescent="0.25"/>
    <row r="151261" s="12" customFormat="1" x14ac:dyDescent="0.25"/>
    <row r="151262" s="12" customFormat="1" x14ac:dyDescent="0.25"/>
    <row r="151263" s="12" customFormat="1" x14ac:dyDescent="0.25"/>
    <row r="151264" s="12" customFormat="1" x14ac:dyDescent="0.25"/>
    <row r="151265" s="12" customFormat="1" x14ac:dyDescent="0.25"/>
    <row r="151266" s="12" customFormat="1" x14ac:dyDescent="0.25"/>
    <row r="151267" s="12" customFormat="1" x14ac:dyDescent="0.25"/>
    <row r="151268" s="12" customFormat="1" x14ac:dyDescent="0.25"/>
    <row r="151269" s="12" customFormat="1" x14ac:dyDescent="0.25"/>
    <row r="151270" s="12" customFormat="1" x14ac:dyDescent="0.25"/>
    <row r="151271" s="12" customFormat="1" x14ac:dyDescent="0.25"/>
    <row r="151272" s="12" customFormat="1" x14ac:dyDescent="0.25"/>
    <row r="151273" s="12" customFormat="1" x14ac:dyDescent="0.25"/>
    <row r="151274" s="12" customFormat="1" x14ac:dyDescent="0.25"/>
    <row r="151275" s="12" customFormat="1" x14ac:dyDescent="0.25"/>
    <row r="151276" s="12" customFormat="1" x14ac:dyDescent="0.25"/>
    <row r="151277" s="12" customFormat="1" x14ac:dyDescent="0.25"/>
    <row r="151278" s="12" customFormat="1" x14ac:dyDescent="0.25"/>
    <row r="151279" s="12" customFormat="1" x14ac:dyDescent="0.25"/>
    <row r="151280" s="12" customFormat="1" x14ac:dyDescent="0.25"/>
    <row r="151281" s="12" customFormat="1" x14ac:dyDescent="0.25"/>
    <row r="151282" s="12" customFormat="1" x14ac:dyDescent="0.25"/>
    <row r="151283" s="12" customFormat="1" x14ac:dyDescent="0.25"/>
    <row r="151284" s="12" customFormat="1" x14ac:dyDescent="0.25"/>
    <row r="151285" s="12" customFormat="1" x14ac:dyDescent="0.25"/>
    <row r="151286" s="12" customFormat="1" x14ac:dyDescent="0.25"/>
    <row r="151287" s="12" customFormat="1" x14ac:dyDescent="0.25"/>
    <row r="151288" s="12" customFormat="1" x14ac:dyDescent="0.25"/>
    <row r="151289" s="12" customFormat="1" x14ac:dyDescent="0.25"/>
    <row r="151290" s="12" customFormat="1" x14ac:dyDescent="0.25"/>
    <row r="151291" s="12" customFormat="1" x14ac:dyDescent="0.25"/>
    <row r="151292" s="12" customFormat="1" x14ac:dyDescent="0.25"/>
    <row r="151293" s="12" customFormat="1" x14ac:dyDescent="0.25"/>
    <row r="151294" s="12" customFormat="1" x14ac:dyDescent="0.25"/>
    <row r="151295" s="12" customFormat="1" x14ac:dyDescent="0.25"/>
    <row r="151296" s="12" customFormat="1" x14ac:dyDescent="0.25"/>
    <row r="151297" s="12" customFormat="1" x14ac:dyDescent="0.25"/>
    <row r="151298" s="12" customFormat="1" x14ac:dyDescent="0.25"/>
    <row r="151299" s="12" customFormat="1" x14ac:dyDescent="0.25"/>
    <row r="151300" s="12" customFormat="1" x14ac:dyDescent="0.25"/>
    <row r="151301" s="12" customFormat="1" x14ac:dyDescent="0.25"/>
    <row r="151302" s="12" customFormat="1" x14ac:dyDescent="0.25"/>
    <row r="151303" s="12" customFormat="1" x14ac:dyDescent="0.25"/>
    <row r="151304" s="12" customFormat="1" x14ac:dyDescent="0.25"/>
    <row r="151305" s="12" customFormat="1" x14ac:dyDescent="0.25"/>
    <row r="151306" s="12" customFormat="1" x14ac:dyDescent="0.25"/>
    <row r="151307" s="12" customFormat="1" x14ac:dyDescent="0.25"/>
    <row r="151308" s="12" customFormat="1" x14ac:dyDescent="0.25"/>
    <row r="151309" s="12" customFormat="1" x14ac:dyDescent="0.25"/>
    <row r="151310" s="12" customFormat="1" x14ac:dyDescent="0.25"/>
    <row r="151311" s="12" customFormat="1" x14ac:dyDescent="0.25"/>
    <row r="151312" s="12" customFormat="1" x14ac:dyDescent="0.25"/>
    <row r="151313" s="12" customFormat="1" x14ac:dyDescent="0.25"/>
    <row r="151314" s="12" customFormat="1" x14ac:dyDescent="0.25"/>
    <row r="151315" s="12" customFormat="1" x14ac:dyDescent="0.25"/>
    <row r="151316" s="12" customFormat="1" x14ac:dyDescent="0.25"/>
    <row r="151317" s="12" customFormat="1" x14ac:dyDescent="0.25"/>
    <row r="151318" s="12" customFormat="1" x14ac:dyDescent="0.25"/>
    <row r="151319" s="12" customFormat="1" x14ac:dyDescent="0.25"/>
    <row r="151320" s="12" customFormat="1" x14ac:dyDescent="0.25"/>
    <row r="151321" s="12" customFormat="1" x14ac:dyDescent="0.25"/>
    <row r="151322" s="12" customFormat="1" x14ac:dyDescent="0.25"/>
    <row r="151323" s="12" customFormat="1" x14ac:dyDescent="0.25"/>
    <row r="151324" s="12" customFormat="1" x14ac:dyDescent="0.25"/>
    <row r="151325" s="12" customFormat="1" x14ac:dyDescent="0.25"/>
    <row r="151326" s="12" customFormat="1" x14ac:dyDescent="0.25"/>
    <row r="151327" s="12" customFormat="1" x14ac:dyDescent="0.25"/>
    <row r="151328" s="12" customFormat="1" x14ac:dyDescent="0.25"/>
    <row r="151329" s="12" customFormat="1" x14ac:dyDescent="0.25"/>
    <row r="151330" s="12" customFormat="1" x14ac:dyDescent="0.25"/>
    <row r="151331" s="12" customFormat="1" x14ac:dyDescent="0.25"/>
    <row r="151332" s="12" customFormat="1" x14ac:dyDescent="0.25"/>
    <row r="151333" s="12" customFormat="1" x14ac:dyDescent="0.25"/>
    <row r="151334" s="12" customFormat="1" x14ac:dyDescent="0.25"/>
    <row r="151335" s="12" customFormat="1" x14ac:dyDescent="0.25"/>
    <row r="151336" s="12" customFormat="1" x14ac:dyDescent="0.25"/>
    <row r="151337" s="12" customFormat="1" x14ac:dyDescent="0.25"/>
    <row r="151338" s="12" customFormat="1" x14ac:dyDescent="0.25"/>
    <row r="151339" s="12" customFormat="1" x14ac:dyDescent="0.25"/>
    <row r="151340" s="12" customFormat="1" x14ac:dyDescent="0.25"/>
    <row r="151341" s="12" customFormat="1" x14ac:dyDescent="0.25"/>
    <row r="151342" s="12" customFormat="1" x14ac:dyDescent="0.25"/>
    <row r="151343" s="12" customFormat="1" x14ac:dyDescent="0.25"/>
    <row r="151344" s="12" customFormat="1" x14ac:dyDescent="0.25"/>
    <row r="151345" s="12" customFormat="1" x14ac:dyDescent="0.25"/>
    <row r="151346" s="12" customFormat="1" x14ac:dyDescent="0.25"/>
    <row r="151347" s="12" customFormat="1" x14ac:dyDescent="0.25"/>
    <row r="151348" s="12" customFormat="1" x14ac:dyDescent="0.25"/>
    <row r="151349" s="12" customFormat="1" x14ac:dyDescent="0.25"/>
    <row r="151350" s="12" customFormat="1" x14ac:dyDescent="0.25"/>
    <row r="151351" s="12" customFormat="1" x14ac:dyDescent="0.25"/>
    <row r="151352" s="12" customFormat="1" x14ac:dyDescent="0.25"/>
    <row r="151353" s="12" customFormat="1" x14ac:dyDescent="0.25"/>
    <row r="151354" s="12" customFormat="1" x14ac:dyDescent="0.25"/>
    <row r="151355" s="12" customFormat="1" x14ac:dyDescent="0.25"/>
    <row r="151356" s="12" customFormat="1" x14ac:dyDescent="0.25"/>
    <row r="151357" s="12" customFormat="1" x14ac:dyDescent="0.25"/>
    <row r="151358" s="12" customFormat="1" x14ac:dyDescent="0.25"/>
    <row r="151359" s="12" customFormat="1" x14ac:dyDescent="0.25"/>
    <row r="151360" s="12" customFormat="1" x14ac:dyDescent="0.25"/>
    <row r="151361" s="12" customFormat="1" x14ac:dyDescent="0.25"/>
    <row r="151362" s="12" customFormat="1" x14ac:dyDescent="0.25"/>
    <row r="151363" s="12" customFormat="1" x14ac:dyDescent="0.25"/>
    <row r="151364" s="12" customFormat="1" x14ac:dyDescent="0.25"/>
    <row r="151365" s="12" customFormat="1" x14ac:dyDescent="0.25"/>
    <row r="151366" s="12" customFormat="1" x14ac:dyDescent="0.25"/>
    <row r="151367" s="12" customFormat="1" x14ac:dyDescent="0.25"/>
    <row r="151368" s="12" customFormat="1" x14ac:dyDescent="0.25"/>
    <row r="151369" s="12" customFormat="1" x14ac:dyDescent="0.25"/>
    <row r="151370" s="12" customFormat="1" x14ac:dyDescent="0.25"/>
    <row r="151371" s="12" customFormat="1" x14ac:dyDescent="0.25"/>
    <row r="151372" s="12" customFormat="1" x14ac:dyDescent="0.25"/>
    <row r="151373" s="12" customFormat="1" x14ac:dyDescent="0.25"/>
    <row r="151374" s="12" customFormat="1" x14ac:dyDescent="0.25"/>
    <row r="151375" s="12" customFormat="1" x14ac:dyDescent="0.25"/>
    <row r="151376" s="12" customFormat="1" x14ac:dyDescent="0.25"/>
    <row r="151377" s="12" customFormat="1" x14ac:dyDescent="0.25"/>
    <row r="151378" s="12" customFormat="1" x14ac:dyDescent="0.25"/>
    <row r="151379" s="12" customFormat="1" x14ac:dyDescent="0.25"/>
    <row r="151380" s="12" customFormat="1" x14ac:dyDescent="0.25"/>
    <row r="151381" s="12" customFormat="1" x14ac:dyDescent="0.25"/>
    <row r="151382" s="12" customFormat="1" x14ac:dyDescent="0.25"/>
    <row r="151383" s="12" customFormat="1" x14ac:dyDescent="0.25"/>
    <row r="151384" s="12" customFormat="1" x14ac:dyDescent="0.25"/>
    <row r="151385" s="12" customFormat="1" x14ac:dyDescent="0.25"/>
    <row r="151386" s="12" customFormat="1" x14ac:dyDescent="0.25"/>
    <row r="151387" s="12" customFormat="1" x14ac:dyDescent="0.25"/>
    <row r="151388" s="12" customFormat="1" x14ac:dyDescent="0.25"/>
    <row r="151389" s="12" customFormat="1" x14ac:dyDescent="0.25"/>
    <row r="151390" s="12" customFormat="1" x14ac:dyDescent="0.25"/>
    <row r="151391" s="12" customFormat="1" x14ac:dyDescent="0.25"/>
    <row r="151392" s="12" customFormat="1" x14ac:dyDescent="0.25"/>
    <row r="151393" s="12" customFormat="1" x14ac:dyDescent="0.25"/>
    <row r="151394" s="12" customFormat="1" x14ac:dyDescent="0.25"/>
    <row r="151395" s="12" customFormat="1" x14ac:dyDescent="0.25"/>
    <row r="151396" s="12" customFormat="1" x14ac:dyDescent="0.25"/>
    <row r="151397" s="12" customFormat="1" x14ac:dyDescent="0.25"/>
    <row r="151398" s="12" customFormat="1" x14ac:dyDescent="0.25"/>
    <row r="151399" s="12" customFormat="1" x14ac:dyDescent="0.25"/>
    <row r="151400" s="12" customFormat="1" x14ac:dyDescent="0.25"/>
    <row r="151401" s="12" customFormat="1" x14ac:dyDescent="0.25"/>
    <row r="151402" s="12" customFormat="1" x14ac:dyDescent="0.25"/>
    <row r="151403" s="12" customFormat="1" x14ac:dyDescent="0.25"/>
    <row r="151404" s="12" customFormat="1" x14ac:dyDescent="0.25"/>
    <row r="151405" s="12" customFormat="1" x14ac:dyDescent="0.25"/>
    <row r="151406" s="12" customFormat="1" x14ac:dyDescent="0.25"/>
    <row r="151407" s="12" customFormat="1" x14ac:dyDescent="0.25"/>
    <row r="151408" s="12" customFormat="1" x14ac:dyDescent="0.25"/>
    <row r="151409" s="12" customFormat="1" x14ac:dyDescent="0.25"/>
    <row r="151410" s="12" customFormat="1" x14ac:dyDescent="0.25"/>
    <row r="151411" s="12" customFormat="1" x14ac:dyDescent="0.25"/>
    <row r="151412" s="12" customFormat="1" x14ac:dyDescent="0.25"/>
    <row r="151413" s="12" customFormat="1" x14ac:dyDescent="0.25"/>
    <row r="151414" s="12" customFormat="1" x14ac:dyDescent="0.25"/>
    <row r="151415" s="12" customFormat="1" x14ac:dyDescent="0.25"/>
    <row r="151416" s="12" customFormat="1" x14ac:dyDescent="0.25"/>
    <row r="151417" s="12" customFormat="1" x14ac:dyDescent="0.25"/>
    <row r="151418" s="12" customFormat="1" x14ac:dyDescent="0.25"/>
    <row r="151419" s="12" customFormat="1" x14ac:dyDescent="0.25"/>
    <row r="151420" s="12" customFormat="1" x14ac:dyDescent="0.25"/>
    <row r="151421" s="12" customFormat="1" x14ac:dyDescent="0.25"/>
    <row r="151422" s="12" customFormat="1" x14ac:dyDescent="0.25"/>
    <row r="151423" s="12" customFormat="1" x14ac:dyDescent="0.25"/>
    <row r="151424" s="12" customFormat="1" x14ac:dyDescent="0.25"/>
    <row r="151425" s="12" customFormat="1" x14ac:dyDescent="0.25"/>
    <row r="151426" s="12" customFormat="1" x14ac:dyDescent="0.25"/>
    <row r="151427" s="12" customFormat="1" x14ac:dyDescent="0.25"/>
    <row r="151428" s="12" customFormat="1" x14ac:dyDescent="0.25"/>
    <row r="151429" s="12" customFormat="1" x14ac:dyDescent="0.25"/>
    <row r="151430" s="12" customFormat="1" x14ac:dyDescent="0.25"/>
    <row r="151431" s="12" customFormat="1" x14ac:dyDescent="0.25"/>
    <row r="151432" s="12" customFormat="1" x14ac:dyDescent="0.25"/>
    <row r="151433" s="12" customFormat="1" x14ac:dyDescent="0.25"/>
    <row r="151434" s="12" customFormat="1" x14ac:dyDescent="0.25"/>
    <row r="151435" s="12" customFormat="1" x14ac:dyDescent="0.25"/>
    <row r="151436" s="12" customFormat="1" x14ac:dyDescent="0.25"/>
    <row r="151437" s="12" customFormat="1" x14ac:dyDescent="0.25"/>
    <row r="151438" s="12" customFormat="1" x14ac:dyDescent="0.25"/>
    <row r="151439" s="12" customFormat="1" x14ac:dyDescent="0.25"/>
    <row r="151440" s="12" customFormat="1" x14ac:dyDescent="0.25"/>
    <row r="151441" s="12" customFormat="1" x14ac:dyDescent="0.25"/>
    <row r="151442" s="12" customFormat="1" x14ac:dyDescent="0.25"/>
    <row r="151443" s="12" customFormat="1" x14ac:dyDescent="0.25"/>
    <row r="151444" s="12" customFormat="1" x14ac:dyDescent="0.25"/>
    <row r="151445" s="12" customFormat="1" x14ac:dyDescent="0.25"/>
    <row r="151446" s="12" customFormat="1" x14ac:dyDescent="0.25"/>
    <row r="151447" s="12" customFormat="1" x14ac:dyDescent="0.25"/>
    <row r="151448" s="12" customFormat="1" x14ac:dyDescent="0.25"/>
    <row r="151449" s="12" customFormat="1" x14ac:dyDescent="0.25"/>
    <row r="151450" s="12" customFormat="1" x14ac:dyDescent="0.25"/>
    <row r="151451" s="12" customFormat="1" x14ac:dyDescent="0.25"/>
    <row r="151452" s="12" customFormat="1" x14ac:dyDescent="0.25"/>
    <row r="151453" s="12" customFormat="1" x14ac:dyDescent="0.25"/>
    <row r="151454" s="12" customFormat="1" x14ac:dyDescent="0.25"/>
    <row r="151455" s="12" customFormat="1" x14ac:dyDescent="0.25"/>
    <row r="151456" s="12" customFormat="1" x14ac:dyDescent="0.25"/>
    <row r="151457" s="12" customFormat="1" x14ac:dyDescent="0.25"/>
    <row r="151458" s="12" customFormat="1" x14ac:dyDescent="0.25"/>
    <row r="151459" s="12" customFormat="1" x14ac:dyDescent="0.25"/>
    <row r="151460" s="12" customFormat="1" x14ac:dyDescent="0.25"/>
    <row r="151461" s="12" customFormat="1" x14ac:dyDescent="0.25"/>
    <row r="151462" s="12" customFormat="1" x14ac:dyDescent="0.25"/>
    <row r="151463" s="12" customFormat="1" x14ac:dyDescent="0.25"/>
    <row r="151464" s="12" customFormat="1" x14ac:dyDescent="0.25"/>
    <row r="151465" s="12" customFormat="1" x14ac:dyDescent="0.25"/>
    <row r="151466" s="12" customFormat="1" x14ac:dyDescent="0.25"/>
    <row r="151467" s="12" customFormat="1" x14ac:dyDescent="0.25"/>
    <row r="151468" s="12" customFormat="1" x14ac:dyDescent="0.25"/>
    <row r="151469" s="12" customFormat="1" x14ac:dyDescent="0.25"/>
    <row r="151470" s="12" customFormat="1" x14ac:dyDescent="0.25"/>
    <row r="151471" s="12" customFormat="1" x14ac:dyDescent="0.25"/>
    <row r="151472" s="12" customFormat="1" x14ac:dyDescent="0.25"/>
    <row r="151473" s="12" customFormat="1" x14ac:dyDescent="0.25"/>
    <row r="151474" s="12" customFormat="1" x14ac:dyDescent="0.25"/>
    <row r="151475" s="12" customFormat="1" x14ac:dyDescent="0.25"/>
    <row r="151476" s="12" customFormat="1" x14ac:dyDescent="0.25"/>
    <row r="151477" s="12" customFormat="1" x14ac:dyDescent="0.25"/>
    <row r="151478" s="12" customFormat="1" x14ac:dyDescent="0.25"/>
    <row r="151479" s="12" customFormat="1" x14ac:dyDescent="0.25"/>
    <row r="151480" s="12" customFormat="1" x14ac:dyDescent="0.25"/>
    <row r="151481" s="12" customFormat="1" x14ac:dyDescent="0.25"/>
    <row r="151482" s="12" customFormat="1" x14ac:dyDescent="0.25"/>
    <row r="151483" s="12" customFormat="1" x14ac:dyDescent="0.25"/>
    <row r="151484" s="12" customFormat="1" x14ac:dyDescent="0.25"/>
    <row r="151485" s="12" customFormat="1" x14ac:dyDescent="0.25"/>
    <row r="151486" s="12" customFormat="1" x14ac:dyDescent="0.25"/>
    <row r="151487" s="12" customFormat="1" x14ac:dyDescent="0.25"/>
    <row r="151488" s="12" customFormat="1" x14ac:dyDescent="0.25"/>
    <row r="151489" s="12" customFormat="1" x14ac:dyDescent="0.25"/>
    <row r="151490" s="12" customFormat="1" x14ac:dyDescent="0.25"/>
    <row r="151491" s="12" customFormat="1" x14ac:dyDescent="0.25"/>
    <row r="151492" s="12" customFormat="1" x14ac:dyDescent="0.25"/>
    <row r="151493" s="12" customFormat="1" x14ac:dyDescent="0.25"/>
    <row r="151494" s="12" customFormat="1" x14ac:dyDescent="0.25"/>
    <row r="151495" s="12" customFormat="1" x14ac:dyDescent="0.25"/>
    <row r="151496" s="12" customFormat="1" x14ac:dyDescent="0.25"/>
    <row r="151497" s="12" customFormat="1" x14ac:dyDescent="0.25"/>
    <row r="151498" s="12" customFormat="1" x14ac:dyDescent="0.25"/>
    <row r="151499" s="12" customFormat="1" x14ac:dyDescent="0.25"/>
    <row r="151500" s="12" customFormat="1" x14ac:dyDescent="0.25"/>
    <row r="151501" s="12" customFormat="1" x14ac:dyDescent="0.25"/>
    <row r="151502" s="12" customFormat="1" x14ac:dyDescent="0.25"/>
    <row r="151503" s="12" customFormat="1" x14ac:dyDescent="0.25"/>
    <row r="151504" s="12" customFormat="1" x14ac:dyDescent="0.25"/>
    <row r="151505" s="12" customFormat="1" x14ac:dyDescent="0.25"/>
    <row r="151506" s="12" customFormat="1" x14ac:dyDescent="0.25"/>
    <row r="151507" s="12" customFormat="1" x14ac:dyDescent="0.25"/>
    <row r="151508" s="12" customFormat="1" x14ac:dyDescent="0.25"/>
    <row r="151509" s="12" customFormat="1" x14ac:dyDescent="0.25"/>
    <row r="151510" s="12" customFormat="1" x14ac:dyDescent="0.25"/>
    <row r="151511" s="12" customFormat="1" x14ac:dyDescent="0.25"/>
    <row r="151512" s="12" customFormat="1" x14ac:dyDescent="0.25"/>
    <row r="151513" s="12" customFormat="1" x14ac:dyDescent="0.25"/>
    <row r="151514" s="12" customFormat="1" x14ac:dyDescent="0.25"/>
    <row r="151515" s="12" customFormat="1" x14ac:dyDescent="0.25"/>
    <row r="151516" s="12" customFormat="1" x14ac:dyDescent="0.25"/>
    <row r="151517" s="12" customFormat="1" x14ac:dyDescent="0.25"/>
    <row r="151518" s="12" customFormat="1" x14ac:dyDescent="0.25"/>
    <row r="151519" s="12" customFormat="1" x14ac:dyDescent="0.25"/>
    <row r="151520" s="12" customFormat="1" x14ac:dyDescent="0.25"/>
    <row r="151521" s="12" customFormat="1" x14ac:dyDescent="0.25"/>
    <row r="151522" s="12" customFormat="1" x14ac:dyDescent="0.25"/>
    <row r="151523" s="12" customFormat="1" x14ac:dyDescent="0.25"/>
    <row r="151524" s="12" customFormat="1" x14ac:dyDescent="0.25"/>
    <row r="151525" s="12" customFormat="1" x14ac:dyDescent="0.25"/>
    <row r="151526" s="12" customFormat="1" x14ac:dyDescent="0.25"/>
    <row r="151527" s="12" customFormat="1" x14ac:dyDescent="0.25"/>
    <row r="151528" s="12" customFormat="1" x14ac:dyDescent="0.25"/>
    <row r="151529" s="12" customFormat="1" x14ac:dyDescent="0.25"/>
    <row r="151530" s="12" customFormat="1" x14ac:dyDescent="0.25"/>
    <row r="151531" s="12" customFormat="1" x14ac:dyDescent="0.25"/>
    <row r="151532" s="12" customFormat="1" x14ac:dyDescent="0.25"/>
    <row r="151533" s="12" customFormat="1" x14ac:dyDescent="0.25"/>
    <row r="151534" s="12" customFormat="1" x14ac:dyDescent="0.25"/>
    <row r="151535" s="12" customFormat="1" x14ac:dyDescent="0.25"/>
    <row r="151536" s="12" customFormat="1" x14ac:dyDescent="0.25"/>
    <row r="151537" s="12" customFormat="1" x14ac:dyDescent="0.25"/>
    <row r="151538" s="12" customFormat="1" x14ac:dyDescent="0.25"/>
    <row r="151539" s="12" customFormat="1" x14ac:dyDescent="0.25"/>
    <row r="151540" s="12" customFormat="1" x14ac:dyDescent="0.25"/>
    <row r="151541" s="12" customFormat="1" x14ac:dyDescent="0.25"/>
    <row r="151542" s="12" customFormat="1" x14ac:dyDescent="0.25"/>
    <row r="151543" s="12" customFormat="1" x14ac:dyDescent="0.25"/>
    <row r="151544" s="12" customFormat="1" x14ac:dyDescent="0.25"/>
    <row r="151545" s="12" customFormat="1" x14ac:dyDescent="0.25"/>
    <row r="151546" s="12" customFormat="1" x14ac:dyDescent="0.25"/>
    <row r="151547" s="12" customFormat="1" x14ac:dyDescent="0.25"/>
    <row r="151548" s="12" customFormat="1" x14ac:dyDescent="0.25"/>
    <row r="151549" s="12" customFormat="1" x14ac:dyDescent="0.25"/>
    <row r="151550" s="12" customFormat="1" x14ac:dyDescent="0.25"/>
    <row r="151551" s="12" customFormat="1" x14ac:dyDescent="0.25"/>
    <row r="151552" s="12" customFormat="1" x14ac:dyDescent="0.25"/>
    <row r="151553" s="12" customFormat="1" x14ac:dyDescent="0.25"/>
    <row r="151554" s="12" customFormat="1" x14ac:dyDescent="0.25"/>
    <row r="151555" s="12" customFormat="1" x14ac:dyDescent="0.25"/>
    <row r="151556" s="12" customFormat="1" x14ac:dyDescent="0.25"/>
    <row r="151557" s="12" customFormat="1" x14ac:dyDescent="0.25"/>
    <row r="151558" s="12" customFormat="1" x14ac:dyDescent="0.25"/>
    <row r="151559" s="12" customFormat="1" x14ac:dyDescent="0.25"/>
    <row r="151560" s="12" customFormat="1" x14ac:dyDescent="0.25"/>
    <row r="151561" s="12" customFormat="1" x14ac:dyDescent="0.25"/>
    <row r="151562" s="12" customFormat="1" x14ac:dyDescent="0.25"/>
    <row r="151563" s="12" customFormat="1" x14ac:dyDescent="0.25"/>
    <row r="151564" s="12" customFormat="1" x14ac:dyDescent="0.25"/>
    <row r="151565" s="12" customFormat="1" x14ac:dyDescent="0.25"/>
    <row r="151566" s="12" customFormat="1" x14ac:dyDescent="0.25"/>
    <row r="151567" s="12" customFormat="1" x14ac:dyDescent="0.25"/>
    <row r="151568" s="12" customFormat="1" x14ac:dyDescent="0.25"/>
    <row r="151569" s="12" customFormat="1" x14ac:dyDescent="0.25"/>
    <row r="151570" s="12" customFormat="1" x14ac:dyDescent="0.25"/>
    <row r="151571" s="12" customFormat="1" x14ac:dyDescent="0.25"/>
    <row r="151572" s="12" customFormat="1" x14ac:dyDescent="0.25"/>
    <row r="151573" s="12" customFormat="1" x14ac:dyDescent="0.25"/>
    <row r="151574" s="12" customFormat="1" x14ac:dyDescent="0.25"/>
    <row r="151575" s="12" customFormat="1" x14ac:dyDescent="0.25"/>
    <row r="151576" s="12" customFormat="1" x14ac:dyDescent="0.25"/>
    <row r="151577" s="12" customFormat="1" x14ac:dyDescent="0.25"/>
    <row r="151578" s="12" customFormat="1" x14ac:dyDescent="0.25"/>
    <row r="151579" s="12" customFormat="1" x14ac:dyDescent="0.25"/>
    <row r="151580" s="12" customFormat="1" x14ac:dyDescent="0.25"/>
    <row r="151581" s="12" customFormat="1" x14ac:dyDescent="0.25"/>
    <row r="151582" s="12" customFormat="1" x14ac:dyDescent="0.25"/>
    <row r="151583" s="12" customFormat="1" x14ac:dyDescent="0.25"/>
    <row r="151584" s="12" customFormat="1" x14ac:dyDescent="0.25"/>
    <row r="151585" s="12" customFormat="1" x14ac:dyDescent="0.25"/>
    <row r="151586" s="12" customFormat="1" x14ac:dyDescent="0.25"/>
    <row r="151587" s="12" customFormat="1" x14ac:dyDescent="0.25"/>
    <row r="151588" s="12" customFormat="1" x14ac:dyDescent="0.25"/>
    <row r="151589" s="12" customFormat="1" x14ac:dyDescent="0.25"/>
    <row r="151590" s="12" customFormat="1" x14ac:dyDescent="0.25"/>
    <row r="151591" s="12" customFormat="1" x14ac:dyDescent="0.25"/>
    <row r="151592" s="12" customFormat="1" x14ac:dyDescent="0.25"/>
    <row r="151593" s="12" customFormat="1" x14ac:dyDescent="0.25"/>
    <row r="151594" s="12" customFormat="1" x14ac:dyDescent="0.25"/>
    <row r="151595" s="12" customFormat="1" x14ac:dyDescent="0.25"/>
    <row r="151596" s="12" customFormat="1" x14ac:dyDescent="0.25"/>
    <row r="151597" s="12" customFormat="1" x14ac:dyDescent="0.25"/>
    <row r="151598" s="12" customFormat="1" x14ac:dyDescent="0.25"/>
    <row r="151599" s="12" customFormat="1" x14ac:dyDescent="0.25"/>
    <row r="151600" s="12" customFormat="1" x14ac:dyDescent="0.25"/>
    <row r="151601" s="12" customFormat="1" x14ac:dyDescent="0.25"/>
    <row r="151602" s="12" customFormat="1" x14ac:dyDescent="0.25"/>
    <row r="151603" s="12" customFormat="1" x14ac:dyDescent="0.25"/>
    <row r="151604" s="12" customFormat="1" x14ac:dyDescent="0.25"/>
    <row r="151605" s="12" customFormat="1" x14ac:dyDescent="0.25"/>
    <row r="151606" s="12" customFormat="1" x14ac:dyDescent="0.25"/>
    <row r="151607" s="12" customFormat="1" x14ac:dyDescent="0.25"/>
    <row r="151608" s="12" customFormat="1" x14ac:dyDescent="0.25"/>
    <row r="151609" s="12" customFormat="1" x14ac:dyDescent="0.25"/>
    <row r="151610" s="12" customFormat="1" x14ac:dyDescent="0.25"/>
    <row r="151611" s="12" customFormat="1" x14ac:dyDescent="0.25"/>
    <row r="151612" s="12" customFormat="1" x14ac:dyDescent="0.25"/>
    <row r="151613" s="12" customFormat="1" x14ac:dyDescent="0.25"/>
    <row r="151614" s="12" customFormat="1" x14ac:dyDescent="0.25"/>
    <row r="151615" s="12" customFormat="1" x14ac:dyDescent="0.25"/>
    <row r="151616" s="12" customFormat="1" x14ac:dyDescent="0.25"/>
    <row r="151617" s="12" customFormat="1" x14ac:dyDescent="0.25"/>
    <row r="151618" s="12" customFormat="1" x14ac:dyDescent="0.25"/>
    <row r="151619" s="12" customFormat="1" x14ac:dyDescent="0.25"/>
    <row r="151620" s="12" customFormat="1" x14ac:dyDescent="0.25"/>
    <row r="151621" s="12" customFormat="1" x14ac:dyDescent="0.25"/>
    <row r="151622" s="12" customFormat="1" x14ac:dyDescent="0.25"/>
    <row r="151623" s="12" customFormat="1" x14ac:dyDescent="0.25"/>
    <row r="151624" s="12" customFormat="1" x14ac:dyDescent="0.25"/>
    <row r="151625" s="12" customFormat="1" x14ac:dyDescent="0.25"/>
    <row r="151626" s="12" customFormat="1" x14ac:dyDescent="0.25"/>
    <row r="151627" s="12" customFormat="1" x14ac:dyDescent="0.25"/>
    <row r="151628" s="12" customFormat="1" x14ac:dyDescent="0.25"/>
    <row r="151629" s="12" customFormat="1" x14ac:dyDescent="0.25"/>
    <row r="151630" s="12" customFormat="1" x14ac:dyDescent="0.25"/>
    <row r="151631" s="12" customFormat="1" x14ac:dyDescent="0.25"/>
    <row r="151632" s="12" customFormat="1" x14ac:dyDescent="0.25"/>
    <row r="151633" s="12" customFormat="1" x14ac:dyDescent="0.25"/>
    <row r="151634" s="12" customFormat="1" x14ac:dyDescent="0.25"/>
    <row r="151635" s="12" customFormat="1" x14ac:dyDescent="0.25"/>
    <row r="151636" s="12" customFormat="1" x14ac:dyDescent="0.25"/>
    <row r="151637" s="12" customFormat="1" x14ac:dyDescent="0.25"/>
    <row r="151638" s="12" customFormat="1" x14ac:dyDescent="0.25"/>
    <row r="151639" s="12" customFormat="1" x14ac:dyDescent="0.25"/>
    <row r="151640" s="12" customFormat="1" x14ac:dyDescent="0.25"/>
    <row r="151641" s="12" customFormat="1" x14ac:dyDescent="0.25"/>
    <row r="151642" s="12" customFormat="1" x14ac:dyDescent="0.25"/>
    <row r="151643" s="12" customFormat="1" x14ac:dyDescent="0.25"/>
    <row r="151644" s="12" customFormat="1" x14ac:dyDescent="0.25"/>
    <row r="151645" s="12" customFormat="1" x14ac:dyDescent="0.25"/>
    <row r="151646" s="12" customFormat="1" x14ac:dyDescent="0.25"/>
    <row r="151647" s="12" customFormat="1" x14ac:dyDescent="0.25"/>
    <row r="151648" s="12" customFormat="1" x14ac:dyDescent="0.25"/>
    <row r="151649" s="12" customFormat="1" x14ac:dyDescent="0.25"/>
    <row r="151650" s="12" customFormat="1" x14ac:dyDescent="0.25"/>
    <row r="151651" s="12" customFormat="1" x14ac:dyDescent="0.25"/>
    <row r="151652" s="12" customFormat="1" x14ac:dyDescent="0.25"/>
    <row r="151653" s="12" customFormat="1" x14ac:dyDescent="0.25"/>
    <row r="151654" s="12" customFormat="1" x14ac:dyDescent="0.25"/>
    <row r="151655" s="12" customFormat="1" x14ac:dyDescent="0.25"/>
    <row r="151656" s="12" customFormat="1" x14ac:dyDescent="0.25"/>
    <row r="151657" s="12" customFormat="1" x14ac:dyDescent="0.25"/>
    <row r="151658" s="12" customFormat="1" x14ac:dyDescent="0.25"/>
    <row r="151659" s="12" customFormat="1" x14ac:dyDescent="0.25"/>
    <row r="151660" s="12" customFormat="1" x14ac:dyDescent="0.25"/>
    <row r="151661" s="12" customFormat="1" x14ac:dyDescent="0.25"/>
    <row r="151662" s="12" customFormat="1" x14ac:dyDescent="0.25"/>
    <row r="151663" s="12" customFormat="1" x14ac:dyDescent="0.25"/>
    <row r="151664" s="12" customFormat="1" x14ac:dyDescent="0.25"/>
    <row r="151665" s="12" customFormat="1" x14ac:dyDescent="0.25"/>
    <row r="151666" s="12" customFormat="1" x14ac:dyDescent="0.25"/>
    <row r="151667" s="12" customFormat="1" x14ac:dyDescent="0.25"/>
    <row r="151668" s="12" customFormat="1" x14ac:dyDescent="0.25"/>
    <row r="151669" s="12" customFormat="1" x14ac:dyDescent="0.25"/>
    <row r="151670" s="12" customFormat="1" x14ac:dyDescent="0.25"/>
    <row r="151671" s="12" customFormat="1" x14ac:dyDescent="0.25"/>
    <row r="151672" s="12" customFormat="1" x14ac:dyDescent="0.25"/>
    <row r="151673" s="12" customFormat="1" x14ac:dyDescent="0.25"/>
    <row r="151674" s="12" customFormat="1" x14ac:dyDescent="0.25"/>
    <row r="151675" s="12" customFormat="1" x14ac:dyDescent="0.25"/>
    <row r="151676" s="12" customFormat="1" x14ac:dyDescent="0.25"/>
    <row r="151677" s="12" customFormat="1" x14ac:dyDescent="0.25"/>
    <row r="151678" s="12" customFormat="1" x14ac:dyDescent="0.25"/>
    <row r="151679" s="12" customFormat="1" x14ac:dyDescent="0.25"/>
    <row r="151680" s="12" customFormat="1" x14ac:dyDescent="0.25"/>
    <row r="151681" s="12" customFormat="1" x14ac:dyDescent="0.25"/>
    <row r="151682" s="12" customFormat="1" x14ac:dyDescent="0.25"/>
    <row r="151683" s="12" customFormat="1" x14ac:dyDescent="0.25"/>
    <row r="151684" s="12" customFormat="1" x14ac:dyDescent="0.25"/>
    <row r="151685" s="12" customFormat="1" x14ac:dyDescent="0.25"/>
    <row r="151686" s="12" customFormat="1" x14ac:dyDescent="0.25"/>
    <row r="151687" s="12" customFormat="1" x14ac:dyDescent="0.25"/>
    <row r="151688" s="12" customFormat="1" x14ac:dyDescent="0.25"/>
    <row r="151689" s="12" customFormat="1" x14ac:dyDescent="0.25"/>
    <row r="151690" s="12" customFormat="1" x14ac:dyDescent="0.25"/>
    <row r="151691" s="12" customFormat="1" x14ac:dyDescent="0.25"/>
    <row r="151692" s="12" customFormat="1" x14ac:dyDescent="0.25"/>
    <row r="151693" s="12" customFormat="1" x14ac:dyDescent="0.25"/>
    <row r="151694" s="12" customFormat="1" x14ac:dyDescent="0.25"/>
    <row r="151695" s="12" customFormat="1" x14ac:dyDescent="0.25"/>
    <row r="151696" s="12" customFormat="1" x14ac:dyDescent="0.25"/>
    <row r="151697" s="12" customFormat="1" x14ac:dyDescent="0.25"/>
    <row r="151698" s="12" customFormat="1" x14ac:dyDescent="0.25"/>
    <row r="151699" s="12" customFormat="1" x14ac:dyDescent="0.25"/>
    <row r="151700" s="12" customFormat="1" x14ac:dyDescent="0.25"/>
    <row r="151701" s="12" customFormat="1" x14ac:dyDescent="0.25"/>
    <row r="151702" s="12" customFormat="1" x14ac:dyDescent="0.25"/>
    <row r="151703" s="12" customFormat="1" x14ac:dyDescent="0.25"/>
    <row r="151704" s="12" customFormat="1" x14ac:dyDescent="0.25"/>
    <row r="151705" s="12" customFormat="1" x14ac:dyDescent="0.25"/>
    <row r="151706" s="12" customFormat="1" x14ac:dyDescent="0.25"/>
    <row r="151707" s="12" customFormat="1" x14ac:dyDescent="0.25"/>
    <row r="151708" s="12" customFormat="1" x14ac:dyDescent="0.25"/>
    <row r="151709" s="12" customFormat="1" x14ac:dyDescent="0.25"/>
    <row r="151710" s="12" customFormat="1" x14ac:dyDescent="0.25"/>
    <row r="151711" s="12" customFormat="1" x14ac:dyDescent="0.25"/>
    <row r="151712" s="12" customFormat="1" x14ac:dyDescent="0.25"/>
    <row r="151713" s="12" customFormat="1" x14ac:dyDescent="0.25"/>
    <row r="151714" s="12" customFormat="1" x14ac:dyDescent="0.25"/>
    <row r="151715" s="12" customFormat="1" x14ac:dyDescent="0.25"/>
    <row r="151716" s="12" customFormat="1" x14ac:dyDescent="0.25"/>
    <row r="151717" s="12" customFormat="1" x14ac:dyDescent="0.25"/>
    <row r="151718" s="12" customFormat="1" x14ac:dyDescent="0.25"/>
    <row r="151719" s="12" customFormat="1" x14ac:dyDescent="0.25"/>
    <row r="151720" s="12" customFormat="1" x14ac:dyDescent="0.25"/>
    <row r="151721" s="12" customFormat="1" x14ac:dyDescent="0.25"/>
    <row r="151722" s="12" customFormat="1" x14ac:dyDescent="0.25"/>
    <row r="151723" s="12" customFormat="1" x14ac:dyDescent="0.25"/>
    <row r="151724" s="12" customFormat="1" x14ac:dyDescent="0.25"/>
    <row r="151725" s="12" customFormat="1" x14ac:dyDescent="0.25"/>
    <row r="151726" s="12" customFormat="1" x14ac:dyDescent="0.25"/>
    <row r="151727" s="12" customFormat="1" x14ac:dyDescent="0.25"/>
    <row r="151728" s="12" customFormat="1" x14ac:dyDescent="0.25"/>
    <row r="151729" s="12" customFormat="1" x14ac:dyDescent="0.25"/>
    <row r="151730" s="12" customFormat="1" x14ac:dyDescent="0.25"/>
    <row r="151731" s="12" customFormat="1" x14ac:dyDescent="0.25"/>
    <row r="151732" s="12" customFormat="1" x14ac:dyDescent="0.25"/>
    <row r="151733" s="12" customFormat="1" x14ac:dyDescent="0.25"/>
    <row r="151734" s="12" customFormat="1" x14ac:dyDescent="0.25"/>
    <row r="151735" s="12" customFormat="1" x14ac:dyDescent="0.25"/>
    <row r="151736" s="12" customFormat="1" x14ac:dyDescent="0.25"/>
    <row r="151737" s="12" customFormat="1" x14ac:dyDescent="0.25"/>
    <row r="151738" s="12" customFormat="1" x14ac:dyDescent="0.25"/>
    <row r="151739" s="12" customFormat="1" x14ac:dyDescent="0.25"/>
    <row r="151740" s="12" customFormat="1" x14ac:dyDescent="0.25"/>
    <row r="151741" s="12" customFormat="1" x14ac:dyDescent="0.25"/>
    <row r="151742" s="12" customFormat="1" x14ac:dyDescent="0.25"/>
    <row r="151743" s="12" customFormat="1" x14ac:dyDescent="0.25"/>
    <row r="151744" s="12" customFormat="1" x14ac:dyDescent="0.25"/>
    <row r="151745" s="12" customFormat="1" x14ac:dyDescent="0.25"/>
    <row r="151746" s="12" customFormat="1" x14ac:dyDescent="0.25"/>
    <row r="151747" s="12" customFormat="1" x14ac:dyDescent="0.25"/>
    <row r="151748" s="12" customFormat="1" x14ac:dyDescent="0.25"/>
    <row r="151749" s="12" customFormat="1" x14ac:dyDescent="0.25"/>
    <row r="151750" s="12" customFormat="1" x14ac:dyDescent="0.25"/>
    <row r="151751" s="12" customFormat="1" x14ac:dyDescent="0.25"/>
    <row r="151752" s="12" customFormat="1" x14ac:dyDescent="0.25"/>
    <row r="151753" s="12" customFormat="1" x14ac:dyDescent="0.25"/>
    <row r="151754" s="12" customFormat="1" x14ac:dyDescent="0.25"/>
    <row r="151755" s="12" customFormat="1" x14ac:dyDescent="0.25"/>
    <row r="151756" s="12" customFormat="1" x14ac:dyDescent="0.25"/>
    <row r="151757" s="12" customFormat="1" x14ac:dyDescent="0.25"/>
    <row r="151758" s="12" customFormat="1" x14ac:dyDescent="0.25"/>
    <row r="151759" s="12" customFormat="1" x14ac:dyDescent="0.25"/>
    <row r="151760" s="12" customFormat="1" x14ac:dyDescent="0.25"/>
    <row r="151761" s="12" customFormat="1" x14ac:dyDescent="0.25"/>
    <row r="151762" s="12" customFormat="1" x14ac:dyDescent="0.25"/>
    <row r="151763" s="12" customFormat="1" x14ac:dyDescent="0.25"/>
    <row r="151764" s="12" customFormat="1" x14ac:dyDescent="0.25"/>
    <row r="151765" s="12" customFormat="1" x14ac:dyDescent="0.25"/>
    <row r="151766" s="12" customFormat="1" x14ac:dyDescent="0.25"/>
    <row r="151767" s="12" customFormat="1" x14ac:dyDescent="0.25"/>
    <row r="151768" s="12" customFormat="1" x14ac:dyDescent="0.25"/>
    <row r="151769" s="12" customFormat="1" x14ac:dyDescent="0.25"/>
    <row r="151770" s="12" customFormat="1" x14ac:dyDescent="0.25"/>
    <row r="151771" s="12" customFormat="1" x14ac:dyDescent="0.25"/>
    <row r="151772" s="12" customFormat="1" x14ac:dyDescent="0.25"/>
    <row r="151773" s="12" customFormat="1" x14ac:dyDescent="0.25"/>
    <row r="151774" s="12" customFormat="1" x14ac:dyDescent="0.25"/>
    <row r="151775" s="12" customFormat="1" x14ac:dyDescent="0.25"/>
    <row r="151776" s="12" customFormat="1" x14ac:dyDescent="0.25"/>
    <row r="151777" s="12" customFormat="1" x14ac:dyDescent="0.25"/>
    <row r="151778" s="12" customFormat="1" x14ac:dyDescent="0.25"/>
    <row r="151779" s="12" customFormat="1" x14ac:dyDescent="0.25"/>
    <row r="151780" s="12" customFormat="1" x14ac:dyDescent="0.25"/>
    <row r="151781" s="12" customFormat="1" x14ac:dyDescent="0.25"/>
    <row r="151782" s="12" customFormat="1" x14ac:dyDescent="0.25"/>
    <row r="151783" s="12" customFormat="1" x14ac:dyDescent="0.25"/>
    <row r="151784" s="12" customFormat="1" x14ac:dyDescent="0.25"/>
    <row r="151785" s="12" customFormat="1" x14ac:dyDescent="0.25"/>
    <row r="151786" s="12" customFormat="1" x14ac:dyDescent="0.25"/>
    <row r="151787" s="12" customFormat="1" x14ac:dyDescent="0.25"/>
    <row r="151788" s="12" customFormat="1" x14ac:dyDescent="0.25"/>
    <row r="151789" s="12" customFormat="1" x14ac:dyDescent="0.25"/>
    <row r="151790" s="12" customFormat="1" x14ac:dyDescent="0.25"/>
    <row r="151791" s="12" customFormat="1" x14ac:dyDescent="0.25"/>
    <row r="151792" s="12" customFormat="1" x14ac:dyDescent="0.25"/>
    <row r="151793" s="12" customFormat="1" x14ac:dyDescent="0.25"/>
    <row r="151794" s="12" customFormat="1" x14ac:dyDescent="0.25"/>
    <row r="151795" s="12" customFormat="1" x14ac:dyDescent="0.25"/>
    <row r="151796" s="12" customFormat="1" x14ac:dyDescent="0.25"/>
    <row r="151797" s="12" customFormat="1" x14ac:dyDescent="0.25"/>
    <row r="151798" s="12" customFormat="1" x14ac:dyDescent="0.25"/>
    <row r="151799" s="12" customFormat="1" x14ac:dyDescent="0.25"/>
    <row r="151800" s="12" customFormat="1" x14ac:dyDescent="0.25"/>
    <row r="151801" s="12" customFormat="1" x14ac:dyDescent="0.25"/>
    <row r="151802" s="12" customFormat="1" x14ac:dyDescent="0.25"/>
    <row r="151803" s="12" customFormat="1" x14ac:dyDescent="0.25"/>
    <row r="151804" s="12" customFormat="1" x14ac:dyDescent="0.25"/>
    <row r="151805" s="12" customFormat="1" x14ac:dyDescent="0.25"/>
    <row r="151806" s="12" customFormat="1" x14ac:dyDescent="0.25"/>
    <row r="151807" s="12" customFormat="1" x14ac:dyDescent="0.25"/>
    <row r="151808" s="12" customFormat="1" x14ac:dyDescent="0.25"/>
    <row r="151809" s="12" customFormat="1" x14ac:dyDescent="0.25"/>
    <row r="151810" s="12" customFormat="1" x14ac:dyDescent="0.25"/>
    <row r="151811" s="12" customFormat="1" x14ac:dyDescent="0.25"/>
    <row r="151812" s="12" customFormat="1" x14ac:dyDescent="0.25"/>
    <row r="151813" s="12" customFormat="1" x14ac:dyDescent="0.25"/>
    <row r="151814" s="12" customFormat="1" x14ac:dyDescent="0.25"/>
    <row r="151815" s="12" customFormat="1" x14ac:dyDescent="0.25"/>
    <row r="151816" s="12" customFormat="1" x14ac:dyDescent="0.25"/>
    <row r="151817" s="12" customFormat="1" x14ac:dyDescent="0.25"/>
    <row r="151818" s="12" customFormat="1" x14ac:dyDescent="0.25"/>
    <row r="151819" s="12" customFormat="1" x14ac:dyDescent="0.25"/>
    <row r="151820" s="12" customFormat="1" x14ac:dyDescent="0.25"/>
    <row r="151821" s="12" customFormat="1" x14ac:dyDescent="0.25"/>
    <row r="151822" s="12" customFormat="1" x14ac:dyDescent="0.25"/>
    <row r="151823" s="12" customFormat="1" x14ac:dyDescent="0.25"/>
    <row r="151824" s="12" customFormat="1" x14ac:dyDescent="0.25"/>
    <row r="151825" s="12" customFormat="1" x14ac:dyDescent="0.25"/>
    <row r="151826" s="12" customFormat="1" x14ac:dyDescent="0.25"/>
    <row r="151827" s="12" customFormat="1" x14ac:dyDescent="0.25"/>
    <row r="151828" s="12" customFormat="1" x14ac:dyDescent="0.25"/>
    <row r="151829" s="12" customFormat="1" x14ac:dyDescent="0.25"/>
    <row r="151830" s="12" customFormat="1" x14ac:dyDescent="0.25"/>
    <row r="151831" s="12" customFormat="1" x14ac:dyDescent="0.25"/>
    <row r="151832" s="12" customFormat="1" x14ac:dyDescent="0.25"/>
    <row r="151833" s="12" customFormat="1" x14ac:dyDescent="0.25"/>
    <row r="151834" s="12" customFormat="1" x14ac:dyDescent="0.25"/>
    <row r="151835" s="12" customFormat="1" x14ac:dyDescent="0.25"/>
    <row r="151836" s="12" customFormat="1" x14ac:dyDescent="0.25"/>
    <row r="151837" s="12" customFormat="1" x14ac:dyDescent="0.25"/>
    <row r="151838" s="12" customFormat="1" x14ac:dyDescent="0.25"/>
    <row r="151839" s="12" customFormat="1" x14ac:dyDescent="0.25"/>
    <row r="151840" s="12" customFormat="1" x14ac:dyDescent="0.25"/>
    <row r="151841" s="12" customFormat="1" x14ac:dyDescent="0.25"/>
    <row r="151842" s="12" customFormat="1" x14ac:dyDescent="0.25"/>
    <row r="151843" s="12" customFormat="1" x14ac:dyDescent="0.25"/>
    <row r="151844" s="12" customFormat="1" x14ac:dyDescent="0.25"/>
    <row r="151845" s="12" customFormat="1" x14ac:dyDescent="0.25"/>
    <row r="151846" s="12" customFormat="1" x14ac:dyDescent="0.25"/>
    <row r="151847" s="12" customFormat="1" x14ac:dyDescent="0.25"/>
    <row r="151848" s="12" customFormat="1" x14ac:dyDescent="0.25"/>
    <row r="151849" s="12" customFormat="1" x14ac:dyDescent="0.25"/>
    <row r="151850" s="12" customFormat="1" x14ac:dyDescent="0.25"/>
    <row r="151851" s="12" customFormat="1" x14ac:dyDescent="0.25"/>
    <row r="151852" s="12" customFormat="1" x14ac:dyDescent="0.25"/>
    <row r="151853" s="12" customFormat="1" x14ac:dyDescent="0.25"/>
    <row r="151854" s="12" customFormat="1" x14ac:dyDescent="0.25"/>
    <row r="151855" s="12" customFormat="1" x14ac:dyDescent="0.25"/>
    <row r="151856" s="12" customFormat="1" x14ac:dyDescent="0.25"/>
    <row r="151857" s="12" customFormat="1" x14ac:dyDescent="0.25"/>
    <row r="151858" s="12" customFormat="1" x14ac:dyDescent="0.25"/>
    <row r="151859" s="12" customFormat="1" x14ac:dyDescent="0.25"/>
    <row r="151860" s="12" customFormat="1" x14ac:dyDescent="0.25"/>
    <row r="151861" s="12" customFormat="1" x14ac:dyDescent="0.25"/>
    <row r="151862" s="12" customFormat="1" x14ac:dyDescent="0.25"/>
    <row r="151863" s="12" customFormat="1" x14ac:dyDescent="0.25"/>
    <row r="151864" s="12" customFormat="1" x14ac:dyDescent="0.25"/>
    <row r="151865" s="12" customFormat="1" x14ac:dyDescent="0.25"/>
    <row r="151866" s="12" customFormat="1" x14ac:dyDescent="0.25"/>
    <row r="151867" s="12" customFormat="1" x14ac:dyDescent="0.25"/>
    <row r="151868" s="12" customFormat="1" x14ac:dyDescent="0.25"/>
    <row r="151869" s="12" customFormat="1" x14ac:dyDescent="0.25"/>
    <row r="151870" s="12" customFormat="1" x14ac:dyDescent="0.25"/>
    <row r="151871" s="12" customFormat="1" x14ac:dyDescent="0.25"/>
    <row r="151872" s="12" customFormat="1" x14ac:dyDescent="0.25"/>
    <row r="151873" s="12" customFormat="1" x14ac:dyDescent="0.25"/>
    <row r="151874" s="12" customFormat="1" x14ac:dyDescent="0.25"/>
    <row r="151875" s="12" customFormat="1" x14ac:dyDescent="0.25"/>
    <row r="151876" s="12" customFormat="1" x14ac:dyDescent="0.25"/>
    <row r="151877" s="12" customFormat="1" x14ac:dyDescent="0.25"/>
    <row r="151878" s="12" customFormat="1" x14ac:dyDescent="0.25"/>
    <row r="151879" s="12" customFormat="1" x14ac:dyDescent="0.25"/>
    <row r="151880" s="12" customFormat="1" x14ac:dyDescent="0.25"/>
    <row r="151881" s="12" customFormat="1" x14ac:dyDescent="0.25"/>
    <row r="151882" s="12" customFormat="1" x14ac:dyDescent="0.25"/>
    <row r="151883" s="12" customFormat="1" x14ac:dyDescent="0.25"/>
    <row r="151884" s="12" customFormat="1" x14ac:dyDescent="0.25"/>
    <row r="151885" s="12" customFormat="1" x14ac:dyDescent="0.25"/>
    <row r="151886" s="12" customFormat="1" x14ac:dyDescent="0.25"/>
    <row r="151887" s="12" customFormat="1" x14ac:dyDescent="0.25"/>
    <row r="151888" s="12" customFormat="1" x14ac:dyDescent="0.25"/>
    <row r="151889" s="12" customFormat="1" x14ac:dyDescent="0.25"/>
    <row r="151890" s="12" customFormat="1" x14ac:dyDescent="0.25"/>
    <row r="151891" s="12" customFormat="1" x14ac:dyDescent="0.25"/>
    <row r="151892" s="12" customFormat="1" x14ac:dyDescent="0.25"/>
    <row r="151893" s="12" customFormat="1" x14ac:dyDescent="0.25"/>
    <row r="151894" s="12" customFormat="1" x14ac:dyDescent="0.25"/>
    <row r="151895" s="12" customFormat="1" x14ac:dyDescent="0.25"/>
    <row r="151896" s="12" customFormat="1" x14ac:dyDescent="0.25"/>
    <row r="151897" s="12" customFormat="1" x14ac:dyDescent="0.25"/>
    <row r="151898" s="12" customFormat="1" x14ac:dyDescent="0.25"/>
    <row r="151899" s="12" customFormat="1" x14ac:dyDescent="0.25"/>
    <row r="151900" s="12" customFormat="1" x14ac:dyDescent="0.25"/>
    <row r="151901" s="12" customFormat="1" x14ac:dyDescent="0.25"/>
    <row r="151902" s="12" customFormat="1" x14ac:dyDescent="0.25"/>
    <row r="151903" s="12" customFormat="1" x14ac:dyDescent="0.25"/>
    <row r="151904" s="12" customFormat="1" x14ac:dyDescent="0.25"/>
    <row r="151905" s="12" customFormat="1" x14ac:dyDescent="0.25"/>
    <row r="151906" s="12" customFormat="1" x14ac:dyDescent="0.25"/>
    <row r="151907" s="12" customFormat="1" x14ac:dyDescent="0.25"/>
    <row r="151908" s="12" customFormat="1" x14ac:dyDescent="0.25"/>
    <row r="151909" s="12" customFormat="1" x14ac:dyDescent="0.25"/>
    <row r="151910" s="12" customFormat="1" x14ac:dyDescent="0.25"/>
    <row r="151911" s="12" customFormat="1" x14ac:dyDescent="0.25"/>
    <row r="151912" s="12" customFormat="1" x14ac:dyDescent="0.25"/>
    <row r="151913" s="12" customFormat="1" x14ac:dyDescent="0.25"/>
    <row r="151914" s="12" customFormat="1" x14ac:dyDescent="0.25"/>
    <row r="151915" s="12" customFormat="1" x14ac:dyDescent="0.25"/>
    <row r="151916" s="12" customFormat="1" x14ac:dyDescent="0.25"/>
    <row r="151917" s="12" customFormat="1" x14ac:dyDescent="0.25"/>
    <row r="151918" s="12" customFormat="1" x14ac:dyDescent="0.25"/>
    <row r="151919" s="12" customFormat="1" x14ac:dyDescent="0.25"/>
    <row r="151920" s="12" customFormat="1" x14ac:dyDescent="0.25"/>
    <row r="151921" s="12" customFormat="1" x14ac:dyDescent="0.25"/>
    <row r="151922" s="12" customFormat="1" x14ac:dyDescent="0.25"/>
    <row r="151923" s="12" customFormat="1" x14ac:dyDescent="0.25"/>
    <row r="151924" s="12" customFormat="1" x14ac:dyDescent="0.25"/>
    <row r="151925" s="12" customFormat="1" x14ac:dyDescent="0.25"/>
    <row r="151926" s="12" customFormat="1" x14ac:dyDescent="0.25"/>
    <row r="151927" s="12" customFormat="1" x14ac:dyDescent="0.25"/>
    <row r="151928" s="12" customFormat="1" x14ac:dyDescent="0.25"/>
    <row r="151929" s="12" customFormat="1" x14ac:dyDescent="0.25"/>
    <row r="151930" s="12" customFormat="1" x14ac:dyDescent="0.25"/>
    <row r="151931" s="12" customFormat="1" x14ac:dyDescent="0.25"/>
    <row r="151932" s="12" customFormat="1" x14ac:dyDescent="0.25"/>
    <row r="151933" s="12" customFormat="1" x14ac:dyDescent="0.25"/>
    <row r="151934" s="12" customFormat="1" x14ac:dyDescent="0.25"/>
    <row r="151935" s="12" customFormat="1" x14ac:dyDescent="0.25"/>
    <row r="151936" s="12" customFormat="1" x14ac:dyDescent="0.25"/>
    <row r="151937" s="12" customFormat="1" x14ac:dyDescent="0.25"/>
    <row r="151938" s="12" customFormat="1" x14ac:dyDescent="0.25"/>
    <row r="151939" s="12" customFormat="1" x14ac:dyDescent="0.25"/>
    <row r="151940" s="12" customFormat="1" x14ac:dyDescent="0.25"/>
    <row r="151941" s="12" customFormat="1" x14ac:dyDescent="0.25"/>
    <row r="151942" s="12" customFormat="1" x14ac:dyDescent="0.25"/>
    <row r="151943" s="12" customFormat="1" x14ac:dyDescent="0.25"/>
    <row r="151944" s="12" customFormat="1" x14ac:dyDescent="0.25"/>
    <row r="151945" s="12" customFormat="1" x14ac:dyDescent="0.25"/>
    <row r="151946" s="12" customFormat="1" x14ac:dyDescent="0.25"/>
    <row r="151947" s="12" customFormat="1" x14ac:dyDescent="0.25"/>
    <row r="151948" s="12" customFormat="1" x14ac:dyDescent="0.25"/>
    <row r="151949" s="12" customFormat="1" x14ac:dyDescent="0.25"/>
    <row r="151950" s="12" customFormat="1" x14ac:dyDescent="0.25"/>
    <row r="151951" s="12" customFormat="1" x14ac:dyDescent="0.25"/>
    <row r="151952" s="12" customFormat="1" x14ac:dyDescent="0.25"/>
    <row r="151953" s="12" customFormat="1" x14ac:dyDescent="0.25"/>
    <row r="151954" s="12" customFormat="1" x14ac:dyDescent="0.25"/>
    <row r="151955" s="12" customFormat="1" x14ac:dyDescent="0.25"/>
    <row r="151956" s="12" customFormat="1" x14ac:dyDescent="0.25"/>
    <row r="151957" s="12" customFormat="1" x14ac:dyDescent="0.25"/>
    <row r="151958" s="12" customFormat="1" x14ac:dyDescent="0.25"/>
    <row r="151959" s="12" customFormat="1" x14ac:dyDescent="0.25"/>
    <row r="151960" s="12" customFormat="1" x14ac:dyDescent="0.25"/>
    <row r="151961" s="12" customFormat="1" x14ac:dyDescent="0.25"/>
    <row r="151962" s="12" customFormat="1" x14ac:dyDescent="0.25"/>
    <row r="151963" s="12" customFormat="1" x14ac:dyDescent="0.25"/>
    <row r="151964" s="12" customFormat="1" x14ac:dyDescent="0.25"/>
    <row r="151965" s="12" customFormat="1" x14ac:dyDescent="0.25"/>
    <row r="151966" s="12" customFormat="1" x14ac:dyDescent="0.25"/>
    <row r="151967" s="12" customFormat="1" x14ac:dyDescent="0.25"/>
    <row r="151968" s="12" customFormat="1" x14ac:dyDescent="0.25"/>
    <row r="151969" s="12" customFormat="1" x14ac:dyDescent="0.25"/>
    <row r="151970" s="12" customFormat="1" x14ac:dyDescent="0.25"/>
    <row r="151971" s="12" customFormat="1" x14ac:dyDescent="0.25"/>
    <row r="151972" s="12" customFormat="1" x14ac:dyDescent="0.25"/>
    <row r="151973" s="12" customFormat="1" x14ac:dyDescent="0.25"/>
    <row r="151974" s="12" customFormat="1" x14ac:dyDescent="0.25"/>
    <row r="151975" s="12" customFormat="1" x14ac:dyDescent="0.25"/>
    <row r="151976" s="12" customFormat="1" x14ac:dyDescent="0.25"/>
    <row r="151977" s="12" customFormat="1" x14ac:dyDescent="0.25"/>
    <row r="151978" s="12" customFormat="1" x14ac:dyDescent="0.25"/>
    <row r="151979" s="12" customFormat="1" x14ac:dyDescent="0.25"/>
    <row r="151980" s="12" customFormat="1" x14ac:dyDescent="0.25"/>
    <row r="151981" s="12" customFormat="1" x14ac:dyDescent="0.25"/>
    <row r="151982" s="12" customFormat="1" x14ac:dyDescent="0.25"/>
    <row r="151983" s="12" customFormat="1" x14ac:dyDescent="0.25"/>
    <row r="151984" s="12" customFormat="1" x14ac:dyDescent="0.25"/>
    <row r="151985" s="12" customFormat="1" x14ac:dyDescent="0.25"/>
    <row r="151986" s="12" customFormat="1" x14ac:dyDescent="0.25"/>
    <row r="151987" s="12" customFormat="1" x14ac:dyDescent="0.25"/>
    <row r="151988" s="12" customFormat="1" x14ac:dyDescent="0.25"/>
    <row r="151989" s="12" customFormat="1" x14ac:dyDescent="0.25"/>
    <row r="151990" s="12" customFormat="1" x14ac:dyDescent="0.25"/>
    <row r="151991" s="12" customFormat="1" x14ac:dyDescent="0.25"/>
    <row r="151992" s="12" customFormat="1" x14ac:dyDescent="0.25"/>
    <row r="151993" s="12" customFormat="1" x14ac:dyDescent="0.25"/>
    <row r="151994" s="12" customFormat="1" x14ac:dyDescent="0.25"/>
    <row r="151995" s="12" customFormat="1" x14ac:dyDescent="0.25"/>
    <row r="151996" s="12" customFormat="1" x14ac:dyDescent="0.25"/>
    <row r="151997" s="12" customFormat="1" x14ac:dyDescent="0.25"/>
    <row r="151998" s="12" customFormat="1" x14ac:dyDescent="0.25"/>
    <row r="151999" s="12" customFormat="1" x14ac:dyDescent="0.25"/>
    <row r="152000" s="12" customFormat="1" x14ac:dyDescent="0.25"/>
    <row r="152001" s="12" customFormat="1" x14ac:dyDescent="0.25"/>
    <row r="152002" s="12" customFormat="1" x14ac:dyDescent="0.25"/>
    <row r="152003" s="12" customFormat="1" x14ac:dyDescent="0.25"/>
    <row r="152004" s="12" customFormat="1" x14ac:dyDescent="0.25"/>
    <row r="152005" s="12" customFormat="1" x14ac:dyDescent="0.25"/>
    <row r="152006" s="12" customFormat="1" x14ac:dyDescent="0.25"/>
    <row r="152007" s="12" customFormat="1" x14ac:dyDescent="0.25"/>
    <row r="152008" s="12" customFormat="1" x14ac:dyDescent="0.25"/>
    <row r="152009" s="12" customFormat="1" x14ac:dyDescent="0.25"/>
    <row r="152010" s="12" customFormat="1" x14ac:dyDescent="0.25"/>
    <row r="152011" s="12" customFormat="1" x14ac:dyDescent="0.25"/>
    <row r="152012" s="12" customFormat="1" x14ac:dyDescent="0.25"/>
    <row r="152013" s="12" customFormat="1" x14ac:dyDescent="0.25"/>
    <row r="152014" s="12" customFormat="1" x14ac:dyDescent="0.25"/>
    <row r="152015" s="12" customFormat="1" x14ac:dyDescent="0.25"/>
    <row r="152016" s="12" customFormat="1" x14ac:dyDescent="0.25"/>
    <row r="152017" s="12" customFormat="1" x14ac:dyDescent="0.25"/>
    <row r="152018" s="12" customFormat="1" x14ac:dyDescent="0.25"/>
    <row r="152019" s="12" customFormat="1" x14ac:dyDescent="0.25"/>
    <row r="152020" s="12" customFormat="1" x14ac:dyDescent="0.25"/>
    <row r="152021" s="12" customFormat="1" x14ac:dyDescent="0.25"/>
    <row r="152022" s="12" customFormat="1" x14ac:dyDescent="0.25"/>
    <row r="152023" s="12" customFormat="1" x14ac:dyDescent="0.25"/>
    <row r="152024" s="12" customFormat="1" x14ac:dyDescent="0.25"/>
    <row r="152025" s="12" customFormat="1" x14ac:dyDescent="0.25"/>
    <row r="152026" s="12" customFormat="1" x14ac:dyDescent="0.25"/>
    <row r="152027" s="12" customFormat="1" x14ac:dyDescent="0.25"/>
    <row r="152028" s="12" customFormat="1" x14ac:dyDescent="0.25"/>
    <row r="152029" s="12" customFormat="1" x14ac:dyDescent="0.25"/>
    <row r="152030" s="12" customFormat="1" x14ac:dyDescent="0.25"/>
    <row r="152031" s="12" customFormat="1" x14ac:dyDescent="0.25"/>
    <row r="152032" s="12" customFormat="1" x14ac:dyDescent="0.25"/>
    <row r="152033" s="12" customFormat="1" x14ac:dyDescent="0.25"/>
    <row r="152034" s="12" customFormat="1" x14ac:dyDescent="0.25"/>
    <row r="152035" s="12" customFormat="1" x14ac:dyDescent="0.25"/>
    <row r="152036" s="12" customFormat="1" x14ac:dyDescent="0.25"/>
    <row r="152037" s="12" customFormat="1" x14ac:dyDescent="0.25"/>
    <row r="152038" s="12" customFormat="1" x14ac:dyDescent="0.25"/>
    <row r="152039" s="12" customFormat="1" x14ac:dyDescent="0.25"/>
    <row r="152040" s="12" customFormat="1" x14ac:dyDescent="0.25"/>
    <row r="152041" s="12" customFormat="1" x14ac:dyDescent="0.25"/>
    <row r="152042" s="12" customFormat="1" x14ac:dyDescent="0.25"/>
    <row r="152043" s="12" customFormat="1" x14ac:dyDescent="0.25"/>
    <row r="152044" s="12" customFormat="1" x14ac:dyDescent="0.25"/>
    <row r="152045" s="12" customFormat="1" x14ac:dyDescent="0.25"/>
    <row r="152046" s="12" customFormat="1" x14ac:dyDescent="0.25"/>
    <row r="152047" s="12" customFormat="1" x14ac:dyDescent="0.25"/>
    <row r="152048" s="12" customFormat="1" x14ac:dyDescent="0.25"/>
    <row r="152049" s="12" customFormat="1" x14ac:dyDescent="0.25"/>
    <row r="152050" s="12" customFormat="1" x14ac:dyDescent="0.25"/>
    <row r="152051" s="12" customFormat="1" x14ac:dyDescent="0.25"/>
    <row r="152052" s="12" customFormat="1" x14ac:dyDescent="0.25"/>
    <row r="152053" s="12" customFormat="1" x14ac:dyDescent="0.25"/>
    <row r="152054" s="12" customFormat="1" x14ac:dyDescent="0.25"/>
    <row r="152055" s="12" customFormat="1" x14ac:dyDescent="0.25"/>
    <row r="152056" s="12" customFormat="1" x14ac:dyDescent="0.25"/>
    <row r="152057" s="12" customFormat="1" x14ac:dyDescent="0.25"/>
    <row r="152058" s="12" customFormat="1" x14ac:dyDescent="0.25"/>
    <row r="152059" s="12" customFormat="1" x14ac:dyDescent="0.25"/>
    <row r="152060" s="12" customFormat="1" x14ac:dyDescent="0.25"/>
    <row r="152061" s="12" customFormat="1" x14ac:dyDescent="0.25"/>
    <row r="152062" s="12" customFormat="1" x14ac:dyDescent="0.25"/>
    <row r="152063" s="12" customFormat="1" x14ac:dyDescent="0.25"/>
    <row r="152064" s="12" customFormat="1" x14ac:dyDescent="0.25"/>
    <row r="152065" s="12" customFormat="1" x14ac:dyDescent="0.25"/>
    <row r="152066" s="12" customFormat="1" x14ac:dyDescent="0.25"/>
    <row r="152067" s="12" customFormat="1" x14ac:dyDescent="0.25"/>
    <row r="152068" s="12" customFormat="1" x14ac:dyDescent="0.25"/>
    <row r="152069" s="12" customFormat="1" x14ac:dyDescent="0.25"/>
    <row r="152070" s="12" customFormat="1" x14ac:dyDescent="0.25"/>
    <row r="152071" s="12" customFormat="1" x14ac:dyDescent="0.25"/>
    <row r="152072" s="12" customFormat="1" x14ac:dyDescent="0.25"/>
    <row r="152073" s="12" customFormat="1" x14ac:dyDescent="0.25"/>
    <row r="152074" s="12" customFormat="1" x14ac:dyDescent="0.25"/>
    <row r="152075" s="12" customFormat="1" x14ac:dyDescent="0.25"/>
    <row r="152076" s="12" customFormat="1" x14ac:dyDescent="0.25"/>
    <row r="152077" s="12" customFormat="1" x14ac:dyDescent="0.25"/>
    <row r="152078" s="12" customFormat="1" x14ac:dyDescent="0.25"/>
    <row r="152079" s="12" customFormat="1" x14ac:dyDescent="0.25"/>
    <row r="152080" s="12" customFormat="1" x14ac:dyDescent="0.25"/>
    <row r="152081" s="12" customFormat="1" x14ac:dyDescent="0.25"/>
    <row r="152082" s="12" customFormat="1" x14ac:dyDescent="0.25"/>
    <row r="152083" s="12" customFormat="1" x14ac:dyDescent="0.25"/>
    <row r="152084" s="12" customFormat="1" x14ac:dyDescent="0.25"/>
    <row r="152085" s="12" customFormat="1" x14ac:dyDescent="0.25"/>
    <row r="152086" s="12" customFormat="1" x14ac:dyDescent="0.25"/>
    <row r="152087" s="12" customFormat="1" x14ac:dyDescent="0.25"/>
    <row r="152088" s="12" customFormat="1" x14ac:dyDescent="0.25"/>
    <row r="152089" s="12" customFormat="1" x14ac:dyDescent="0.25"/>
    <row r="152090" s="12" customFormat="1" x14ac:dyDescent="0.25"/>
    <row r="152091" s="12" customFormat="1" x14ac:dyDescent="0.25"/>
    <row r="152092" s="12" customFormat="1" x14ac:dyDescent="0.25"/>
    <row r="152093" s="12" customFormat="1" x14ac:dyDescent="0.25"/>
    <row r="152094" s="12" customFormat="1" x14ac:dyDescent="0.25"/>
    <row r="152095" s="12" customFormat="1" x14ac:dyDescent="0.25"/>
    <row r="152096" s="12" customFormat="1" x14ac:dyDescent="0.25"/>
    <row r="152097" s="12" customFormat="1" x14ac:dyDescent="0.25"/>
    <row r="152098" s="12" customFormat="1" x14ac:dyDescent="0.25"/>
    <row r="152099" s="12" customFormat="1" x14ac:dyDescent="0.25"/>
    <row r="152100" s="12" customFormat="1" x14ac:dyDescent="0.25"/>
    <row r="152101" s="12" customFormat="1" x14ac:dyDescent="0.25"/>
    <row r="152102" s="12" customFormat="1" x14ac:dyDescent="0.25"/>
    <row r="152103" s="12" customFormat="1" x14ac:dyDescent="0.25"/>
    <row r="152104" s="12" customFormat="1" x14ac:dyDescent="0.25"/>
    <row r="152105" s="12" customFormat="1" x14ac:dyDescent="0.25"/>
    <row r="152106" s="12" customFormat="1" x14ac:dyDescent="0.25"/>
    <row r="152107" s="12" customFormat="1" x14ac:dyDescent="0.25"/>
    <row r="152108" s="12" customFormat="1" x14ac:dyDescent="0.25"/>
    <row r="152109" s="12" customFormat="1" x14ac:dyDescent="0.25"/>
    <row r="152110" s="12" customFormat="1" x14ac:dyDescent="0.25"/>
    <row r="152111" s="12" customFormat="1" x14ac:dyDescent="0.25"/>
    <row r="152112" s="12" customFormat="1" x14ac:dyDescent="0.25"/>
    <row r="152113" s="12" customFormat="1" x14ac:dyDescent="0.25"/>
    <row r="152114" s="12" customFormat="1" x14ac:dyDescent="0.25"/>
    <row r="152115" s="12" customFormat="1" x14ac:dyDescent="0.25"/>
    <row r="152116" s="12" customFormat="1" x14ac:dyDescent="0.25"/>
    <row r="152117" s="12" customFormat="1" x14ac:dyDescent="0.25"/>
    <row r="152118" s="12" customFormat="1" x14ac:dyDescent="0.25"/>
    <row r="152119" s="12" customFormat="1" x14ac:dyDescent="0.25"/>
    <row r="152120" s="12" customFormat="1" x14ac:dyDescent="0.25"/>
    <row r="152121" s="12" customFormat="1" x14ac:dyDescent="0.25"/>
    <row r="152122" s="12" customFormat="1" x14ac:dyDescent="0.25"/>
    <row r="152123" s="12" customFormat="1" x14ac:dyDescent="0.25"/>
    <row r="152124" s="12" customFormat="1" x14ac:dyDescent="0.25"/>
    <row r="152125" s="12" customFormat="1" x14ac:dyDescent="0.25"/>
    <row r="152126" s="12" customFormat="1" x14ac:dyDescent="0.25"/>
    <row r="152127" s="12" customFormat="1" x14ac:dyDescent="0.25"/>
    <row r="152128" s="12" customFormat="1" x14ac:dyDescent="0.25"/>
    <row r="152129" s="12" customFormat="1" x14ac:dyDescent="0.25"/>
    <row r="152130" s="12" customFormat="1" x14ac:dyDescent="0.25"/>
    <row r="152131" s="12" customFormat="1" x14ac:dyDescent="0.25"/>
    <row r="152132" s="12" customFormat="1" x14ac:dyDescent="0.25"/>
    <row r="152133" s="12" customFormat="1" x14ac:dyDescent="0.25"/>
    <row r="152134" s="12" customFormat="1" x14ac:dyDescent="0.25"/>
    <row r="152135" s="12" customFormat="1" x14ac:dyDescent="0.25"/>
    <row r="152136" s="12" customFormat="1" x14ac:dyDescent="0.25"/>
    <row r="152137" s="12" customFormat="1" x14ac:dyDescent="0.25"/>
    <row r="152138" s="12" customFormat="1" x14ac:dyDescent="0.25"/>
    <row r="152139" s="12" customFormat="1" x14ac:dyDescent="0.25"/>
    <row r="152140" s="12" customFormat="1" x14ac:dyDescent="0.25"/>
    <row r="152141" s="12" customFormat="1" x14ac:dyDescent="0.25"/>
    <row r="152142" s="12" customFormat="1" x14ac:dyDescent="0.25"/>
    <row r="152143" s="12" customFormat="1" x14ac:dyDescent="0.25"/>
    <row r="152144" s="12" customFormat="1" x14ac:dyDescent="0.25"/>
    <row r="152145" s="12" customFormat="1" x14ac:dyDescent="0.25"/>
    <row r="152146" s="12" customFormat="1" x14ac:dyDescent="0.25"/>
    <row r="152147" s="12" customFormat="1" x14ac:dyDescent="0.25"/>
    <row r="152148" s="12" customFormat="1" x14ac:dyDescent="0.25"/>
    <row r="152149" s="12" customFormat="1" x14ac:dyDescent="0.25"/>
    <row r="152150" s="12" customFormat="1" x14ac:dyDescent="0.25"/>
    <row r="152151" s="12" customFormat="1" x14ac:dyDescent="0.25"/>
    <row r="152152" s="12" customFormat="1" x14ac:dyDescent="0.25"/>
    <row r="152153" s="12" customFormat="1" x14ac:dyDescent="0.25"/>
    <row r="152154" s="12" customFormat="1" x14ac:dyDescent="0.25"/>
    <row r="152155" s="12" customFormat="1" x14ac:dyDescent="0.25"/>
    <row r="152156" s="12" customFormat="1" x14ac:dyDescent="0.25"/>
    <row r="152157" s="12" customFormat="1" x14ac:dyDescent="0.25"/>
    <row r="152158" s="12" customFormat="1" x14ac:dyDescent="0.25"/>
    <row r="152159" s="12" customFormat="1" x14ac:dyDescent="0.25"/>
    <row r="152160" s="12" customFormat="1" x14ac:dyDescent="0.25"/>
    <row r="152161" s="12" customFormat="1" x14ac:dyDescent="0.25"/>
    <row r="152162" s="12" customFormat="1" x14ac:dyDescent="0.25"/>
    <row r="152163" s="12" customFormat="1" x14ac:dyDescent="0.25"/>
    <row r="152164" s="12" customFormat="1" x14ac:dyDescent="0.25"/>
    <row r="152165" s="12" customFormat="1" x14ac:dyDescent="0.25"/>
    <row r="152166" s="12" customFormat="1" x14ac:dyDescent="0.25"/>
    <row r="152167" s="12" customFormat="1" x14ac:dyDescent="0.25"/>
    <row r="152168" s="12" customFormat="1" x14ac:dyDescent="0.25"/>
    <row r="152169" s="12" customFormat="1" x14ac:dyDescent="0.25"/>
    <row r="152170" s="12" customFormat="1" x14ac:dyDescent="0.25"/>
    <row r="152171" s="12" customFormat="1" x14ac:dyDescent="0.25"/>
    <row r="152172" s="12" customFormat="1" x14ac:dyDescent="0.25"/>
    <row r="152173" s="12" customFormat="1" x14ac:dyDescent="0.25"/>
    <row r="152174" s="12" customFormat="1" x14ac:dyDescent="0.25"/>
    <row r="152175" s="12" customFormat="1" x14ac:dyDescent="0.25"/>
    <row r="152176" s="12" customFormat="1" x14ac:dyDescent="0.25"/>
    <row r="152177" s="12" customFormat="1" x14ac:dyDescent="0.25"/>
    <row r="152178" s="12" customFormat="1" x14ac:dyDescent="0.25"/>
    <row r="152179" s="12" customFormat="1" x14ac:dyDescent="0.25"/>
    <row r="152180" s="12" customFormat="1" x14ac:dyDescent="0.25"/>
    <row r="152181" s="12" customFormat="1" x14ac:dyDescent="0.25"/>
    <row r="152182" s="12" customFormat="1" x14ac:dyDescent="0.25"/>
    <row r="152183" s="12" customFormat="1" x14ac:dyDescent="0.25"/>
    <row r="152184" s="12" customFormat="1" x14ac:dyDescent="0.25"/>
    <row r="152185" s="12" customFormat="1" x14ac:dyDescent="0.25"/>
    <row r="152186" s="12" customFormat="1" x14ac:dyDescent="0.25"/>
    <row r="152187" s="12" customFormat="1" x14ac:dyDescent="0.25"/>
    <row r="152188" s="12" customFormat="1" x14ac:dyDescent="0.25"/>
    <row r="152189" s="12" customFormat="1" x14ac:dyDescent="0.25"/>
    <row r="152190" s="12" customFormat="1" x14ac:dyDescent="0.25"/>
    <row r="152191" s="12" customFormat="1" x14ac:dyDescent="0.25"/>
    <row r="152192" s="12" customFormat="1" x14ac:dyDescent="0.25"/>
    <row r="152193" s="12" customFormat="1" x14ac:dyDescent="0.25"/>
    <row r="152194" s="12" customFormat="1" x14ac:dyDescent="0.25"/>
    <row r="152195" s="12" customFormat="1" x14ac:dyDescent="0.25"/>
    <row r="152196" s="12" customFormat="1" x14ac:dyDescent="0.25"/>
    <row r="152197" s="12" customFormat="1" x14ac:dyDescent="0.25"/>
    <row r="152198" s="12" customFormat="1" x14ac:dyDescent="0.25"/>
    <row r="152199" s="12" customFormat="1" x14ac:dyDescent="0.25"/>
    <row r="152200" s="12" customFormat="1" x14ac:dyDescent="0.25"/>
    <row r="152201" s="12" customFormat="1" x14ac:dyDescent="0.25"/>
    <row r="152202" s="12" customFormat="1" x14ac:dyDescent="0.25"/>
    <row r="152203" s="12" customFormat="1" x14ac:dyDescent="0.25"/>
    <row r="152204" s="12" customFormat="1" x14ac:dyDescent="0.25"/>
    <row r="152205" s="12" customFormat="1" x14ac:dyDescent="0.25"/>
    <row r="152206" s="12" customFormat="1" x14ac:dyDescent="0.25"/>
    <row r="152207" s="12" customFormat="1" x14ac:dyDescent="0.25"/>
    <row r="152208" s="12" customFormat="1" x14ac:dyDescent="0.25"/>
    <row r="152209" s="12" customFormat="1" x14ac:dyDescent="0.25"/>
    <row r="152210" s="12" customFormat="1" x14ac:dyDescent="0.25"/>
    <row r="152211" s="12" customFormat="1" x14ac:dyDescent="0.25"/>
    <row r="152212" s="12" customFormat="1" x14ac:dyDescent="0.25"/>
    <row r="152213" s="12" customFormat="1" x14ac:dyDescent="0.25"/>
    <row r="152214" s="12" customFormat="1" x14ac:dyDescent="0.25"/>
    <row r="152215" s="12" customFormat="1" x14ac:dyDescent="0.25"/>
    <row r="152216" s="12" customFormat="1" x14ac:dyDescent="0.25"/>
    <row r="152217" s="12" customFormat="1" x14ac:dyDescent="0.25"/>
    <row r="152218" s="12" customFormat="1" x14ac:dyDescent="0.25"/>
    <row r="152219" s="12" customFormat="1" x14ac:dyDescent="0.25"/>
    <row r="152220" s="12" customFormat="1" x14ac:dyDescent="0.25"/>
    <row r="152221" s="12" customFormat="1" x14ac:dyDescent="0.25"/>
    <row r="152222" s="12" customFormat="1" x14ac:dyDescent="0.25"/>
    <row r="152223" s="12" customFormat="1" x14ac:dyDescent="0.25"/>
    <row r="152224" s="12" customFormat="1" x14ac:dyDescent="0.25"/>
    <row r="152225" s="12" customFormat="1" x14ac:dyDescent="0.25"/>
    <row r="152226" s="12" customFormat="1" x14ac:dyDescent="0.25"/>
    <row r="152227" s="12" customFormat="1" x14ac:dyDescent="0.25"/>
    <row r="152228" s="12" customFormat="1" x14ac:dyDescent="0.25"/>
    <row r="152229" s="12" customFormat="1" x14ac:dyDescent="0.25"/>
    <row r="152230" s="12" customFormat="1" x14ac:dyDescent="0.25"/>
    <row r="152231" s="12" customFormat="1" x14ac:dyDescent="0.25"/>
    <row r="152232" s="12" customFormat="1" x14ac:dyDescent="0.25"/>
    <row r="152233" s="12" customFormat="1" x14ac:dyDescent="0.25"/>
    <row r="152234" s="12" customFormat="1" x14ac:dyDescent="0.25"/>
    <row r="152235" s="12" customFormat="1" x14ac:dyDescent="0.25"/>
    <row r="152236" s="12" customFormat="1" x14ac:dyDescent="0.25"/>
    <row r="152237" s="12" customFormat="1" x14ac:dyDescent="0.25"/>
    <row r="152238" s="12" customFormat="1" x14ac:dyDescent="0.25"/>
    <row r="152239" s="12" customFormat="1" x14ac:dyDescent="0.25"/>
    <row r="152240" s="12" customFormat="1" x14ac:dyDescent="0.25"/>
    <row r="152241" s="12" customFormat="1" x14ac:dyDescent="0.25"/>
    <row r="152242" s="12" customFormat="1" x14ac:dyDescent="0.25"/>
    <row r="152243" s="12" customFormat="1" x14ac:dyDescent="0.25"/>
    <row r="152244" s="12" customFormat="1" x14ac:dyDescent="0.25"/>
    <row r="152245" s="12" customFormat="1" x14ac:dyDescent="0.25"/>
    <row r="152246" s="12" customFormat="1" x14ac:dyDescent="0.25"/>
    <row r="152247" s="12" customFormat="1" x14ac:dyDescent="0.25"/>
    <row r="152248" s="12" customFormat="1" x14ac:dyDescent="0.25"/>
    <row r="152249" s="12" customFormat="1" x14ac:dyDescent="0.25"/>
    <row r="152250" s="12" customFormat="1" x14ac:dyDescent="0.25"/>
    <row r="152251" s="12" customFormat="1" x14ac:dyDescent="0.25"/>
    <row r="152252" s="12" customFormat="1" x14ac:dyDescent="0.25"/>
    <row r="152253" s="12" customFormat="1" x14ac:dyDescent="0.25"/>
    <row r="152254" s="12" customFormat="1" x14ac:dyDescent="0.25"/>
    <row r="152255" s="12" customFormat="1" x14ac:dyDescent="0.25"/>
    <row r="152256" s="12" customFormat="1" x14ac:dyDescent="0.25"/>
    <row r="152257" s="12" customFormat="1" x14ac:dyDescent="0.25"/>
    <row r="152258" s="12" customFormat="1" x14ac:dyDescent="0.25"/>
    <row r="152259" s="12" customFormat="1" x14ac:dyDescent="0.25"/>
    <row r="152260" s="12" customFormat="1" x14ac:dyDescent="0.25"/>
    <row r="152261" s="12" customFormat="1" x14ac:dyDescent="0.25"/>
    <row r="152262" s="12" customFormat="1" x14ac:dyDescent="0.25"/>
    <row r="152263" s="12" customFormat="1" x14ac:dyDescent="0.25"/>
    <row r="152264" s="12" customFormat="1" x14ac:dyDescent="0.25"/>
    <row r="152265" s="12" customFormat="1" x14ac:dyDescent="0.25"/>
    <row r="152266" s="12" customFormat="1" x14ac:dyDescent="0.25"/>
    <row r="152267" s="12" customFormat="1" x14ac:dyDescent="0.25"/>
    <row r="152268" s="12" customFormat="1" x14ac:dyDescent="0.25"/>
    <row r="152269" s="12" customFormat="1" x14ac:dyDescent="0.25"/>
    <row r="152270" s="12" customFormat="1" x14ac:dyDescent="0.25"/>
    <row r="152271" s="12" customFormat="1" x14ac:dyDescent="0.25"/>
    <row r="152272" s="12" customFormat="1" x14ac:dyDescent="0.25"/>
    <row r="152273" s="12" customFormat="1" x14ac:dyDescent="0.25"/>
    <row r="152274" s="12" customFormat="1" x14ac:dyDescent="0.25"/>
    <row r="152275" s="12" customFormat="1" x14ac:dyDescent="0.25"/>
    <row r="152276" s="12" customFormat="1" x14ac:dyDescent="0.25"/>
    <row r="152277" s="12" customFormat="1" x14ac:dyDescent="0.25"/>
    <row r="152278" s="12" customFormat="1" x14ac:dyDescent="0.25"/>
    <row r="152279" s="12" customFormat="1" x14ac:dyDescent="0.25"/>
    <row r="152280" s="12" customFormat="1" x14ac:dyDescent="0.25"/>
    <row r="152281" s="12" customFormat="1" x14ac:dyDescent="0.25"/>
    <row r="152282" s="12" customFormat="1" x14ac:dyDescent="0.25"/>
    <row r="152283" s="12" customFormat="1" x14ac:dyDescent="0.25"/>
    <row r="152284" s="12" customFormat="1" x14ac:dyDescent="0.25"/>
    <row r="152285" s="12" customFormat="1" x14ac:dyDescent="0.25"/>
    <row r="152286" s="12" customFormat="1" x14ac:dyDescent="0.25"/>
    <row r="152287" s="12" customFormat="1" x14ac:dyDescent="0.25"/>
    <row r="152288" s="12" customFormat="1" x14ac:dyDescent="0.25"/>
    <row r="152289" s="12" customFormat="1" x14ac:dyDescent="0.25"/>
    <row r="152290" s="12" customFormat="1" x14ac:dyDescent="0.25"/>
    <row r="152291" s="12" customFormat="1" x14ac:dyDescent="0.25"/>
    <row r="152292" s="12" customFormat="1" x14ac:dyDescent="0.25"/>
    <row r="152293" s="12" customFormat="1" x14ac:dyDescent="0.25"/>
    <row r="152294" s="12" customFormat="1" x14ac:dyDescent="0.25"/>
    <row r="152295" s="12" customFormat="1" x14ac:dyDescent="0.25"/>
    <row r="152296" s="12" customFormat="1" x14ac:dyDescent="0.25"/>
    <row r="152297" s="12" customFormat="1" x14ac:dyDescent="0.25"/>
    <row r="152298" s="12" customFormat="1" x14ac:dyDescent="0.25"/>
    <row r="152299" s="12" customFormat="1" x14ac:dyDescent="0.25"/>
    <row r="152300" s="12" customFormat="1" x14ac:dyDescent="0.25"/>
    <row r="152301" s="12" customFormat="1" x14ac:dyDescent="0.25"/>
    <row r="152302" s="12" customFormat="1" x14ac:dyDescent="0.25"/>
    <row r="152303" s="12" customFormat="1" x14ac:dyDescent="0.25"/>
    <row r="152304" s="12" customFormat="1" x14ac:dyDescent="0.25"/>
    <row r="152305" s="12" customFormat="1" x14ac:dyDescent="0.25"/>
    <row r="152306" s="12" customFormat="1" x14ac:dyDescent="0.25"/>
    <row r="152307" s="12" customFormat="1" x14ac:dyDescent="0.25"/>
    <row r="152308" s="12" customFormat="1" x14ac:dyDescent="0.25"/>
    <row r="152309" s="12" customFormat="1" x14ac:dyDescent="0.25"/>
    <row r="152310" s="12" customFormat="1" x14ac:dyDescent="0.25"/>
    <row r="152311" s="12" customFormat="1" x14ac:dyDescent="0.25"/>
    <row r="152312" s="12" customFormat="1" x14ac:dyDescent="0.25"/>
    <row r="152313" s="12" customFormat="1" x14ac:dyDescent="0.25"/>
    <row r="152314" s="12" customFormat="1" x14ac:dyDescent="0.25"/>
    <row r="152315" s="12" customFormat="1" x14ac:dyDescent="0.25"/>
    <row r="152316" s="12" customFormat="1" x14ac:dyDescent="0.25"/>
    <row r="152317" s="12" customFormat="1" x14ac:dyDescent="0.25"/>
    <row r="152318" s="12" customFormat="1" x14ac:dyDescent="0.25"/>
    <row r="152319" s="12" customFormat="1" x14ac:dyDescent="0.25"/>
    <row r="152320" s="12" customFormat="1" x14ac:dyDescent="0.25"/>
    <row r="152321" s="12" customFormat="1" x14ac:dyDescent="0.25"/>
    <row r="152322" s="12" customFormat="1" x14ac:dyDescent="0.25"/>
    <row r="152323" s="12" customFormat="1" x14ac:dyDescent="0.25"/>
    <row r="152324" s="12" customFormat="1" x14ac:dyDescent="0.25"/>
    <row r="152325" s="12" customFormat="1" x14ac:dyDescent="0.25"/>
    <row r="152326" s="12" customFormat="1" x14ac:dyDescent="0.25"/>
    <row r="152327" s="12" customFormat="1" x14ac:dyDescent="0.25"/>
    <row r="152328" s="12" customFormat="1" x14ac:dyDescent="0.25"/>
    <row r="152329" s="12" customFormat="1" x14ac:dyDescent="0.25"/>
    <row r="152330" s="12" customFormat="1" x14ac:dyDescent="0.25"/>
    <row r="152331" s="12" customFormat="1" x14ac:dyDescent="0.25"/>
    <row r="152332" s="12" customFormat="1" x14ac:dyDescent="0.25"/>
    <row r="152333" s="12" customFormat="1" x14ac:dyDescent="0.25"/>
    <row r="152334" s="12" customFormat="1" x14ac:dyDescent="0.25"/>
    <row r="152335" s="12" customFormat="1" x14ac:dyDescent="0.25"/>
    <row r="152336" s="12" customFormat="1" x14ac:dyDescent="0.25"/>
    <row r="152337" s="12" customFormat="1" x14ac:dyDescent="0.25"/>
    <row r="152338" s="12" customFormat="1" x14ac:dyDescent="0.25"/>
    <row r="152339" s="12" customFormat="1" x14ac:dyDescent="0.25"/>
    <row r="152340" s="12" customFormat="1" x14ac:dyDescent="0.25"/>
    <row r="152341" s="12" customFormat="1" x14ac:dyDescent="0.25"/>
    <row r="152342" s="12" customFormat="1" x14ac:dyDescent="0.25"/>
    <row r="152343" s="12" customFormat="1" x14ac:dyDescent="0.25"/>
    <row r="152344" s="12" customFormat="1" x14ac:dyDescent="0.25"/>
    <row r="152345" s="12" customFormat="1" x14ac:dyDescent="0.25"/>
    <row r="152346" s="12" customFormat="1" x14ac:dyDescent="0.25"/>
    <row r="152347" s="12" customFormat="1" x14ac:dyDescent="0.25"/>
    <row r="152348" s="12" customFormat="1" x14ac:dyDescent="0.25"/>
    <row r="152349" s="12" customFormat="1" x14ac:dyDescent="0.25"/>
    <row r="152350" s="12" customFormat="1" x14ac:dyDescent="0.25"/>
    <row r="152351" s="12" customFormat="1" x14ac:dyDescent="0.25"/>
    <row r="152352" s="12" customFormat="1" x14ac:dyDescent="0.25"/>
    <row r="152353" s="12" customFormat="1" x14ac:dyDescent="0.25"/>
    <row r="152354" s="12" customFormat="1" x14ac:dyDescent="0.25"/>
    <row r="152355" s="12" customFormat="1" x14ac:dyDescent="0.25"/>
    <row r="152356" s="12" customFormat="1" x14ac:dyDescent="0.25"/>
    <row r="152357" s="12" customFormat="1" x14ac:dyDescent="0.25"/>
    <row r="152358" s="12" customFormat="1" x14ac:dyDescent="0.25"/>
    <row r="152359" s="12" customFormat="1" x14ac:dyDescent="0.25"/>
    <row r="152360" s="12" customFormat="1" x14ac:dyDescent="0.25"/>
    <row r="152361" s="12" customFormat="1" x14ac:dyDescent="0.25"/>
    <row r="152362" s="12" customFormat="1" x14ac:dyDescent="0.25"/>
    <row r="152363" s="12" customFormat="1" x14ac:dyDescent="0.25"/>
    <row r="152364" s="12" customFormat="1" x14ac:dyDescent="0.25"/>
    <row r="152365" s="12" customFormat="1" x14ac:dyDescent="0.25"/>
    <row r="152366" s="12" customFormat="1" x14ac:dyDescent="0.25"/>
    <row r="152367" s="12" customFormat="1" x14ac:dyDescent="0.25"/>
    <row r="152368" s="12" customFormat="1" x14ac:dyDescent="0.25"/>
    <row r="152369" s="12" customFormat="1" x14ac:dyDescent="0.25"/>
    <row r="152370" s="12" customFormat="1" x14ac:dyDescent="0.25"/>
    <row r="152371" s="12" customFormat="1" x14ac:dyDescent="0.25"/>
    <row r="152372" s="12" customFormat="1" x14ac:dyDescent="0.25"/>
    <row r="152373" s="12" customFormat="1" x14ac:dyDescent="0.25"/>
    <row r="152374" s="12" customFormat="1" x14ac:dyDescent="0.25"/>
    <row r="152375" s="12" customFormat="1" x14ac:dyDescent="0.25"/>
    <row r="152376" s="12" customFormat="1" x14ac:dyDescent="0.25"/>
    <row r="152377" s="12" customFormat="1" x14ac:dyDescent="0.25"/>
    <row r="152378" s="12" customFormat="1" x14ac:dyDescent="0.25"/>
    <row r="152379" s="12" customFormat="1" x14ac:dyDescent="0.25"/>
    <row r="152380" s="12" customFormat="1" x14ac:dyDescent="0.25"/>
    <row r="152381" s="12" customFormat="1" x14ac:dyDescent="0.25"/>
    <row r="152382" s="12" customFormat="1" x14ac:dyDescent="0.25"/>
    <row r="152383" s="12" customFormat="1" x14ac:dyDescent="0.25"/>
    <row r="152384" s="12" customFormat="1" x14ac:dyDescent="0.25"/>
    <row r="152385" s="12" customFormat="1" x14ac:dyDescent="0.25"/>
    <row r="152386" s="12" customFormat="1" x14ac:dyDescent="0.25"/>
    <row r="152387" s="12" customFormat="1" x14ac:dyDescent="0.25"/>
    <row r="152388" s="12" customFormat="1" x14ac:dyDescent="0.25"/>
    <row r="152389" s="12" customFormat="1" x14ac:dyDescent="0.25"/>
    <row r="152390" s="12" customFormat="1" x14ac:dyDescent="0.25"/>
    <row r="152391" s="12" customFormat="1" x14ac:dyDescent="0.25"/>
    <row r="152392" s="12" customFormat="1" x14ac:dyDescent="0.25"/>
    <row r="152393" s="12" customFormat="1" x14ac:dyDescent="0.25"/>
    <row r="152394" s="12" customFormat="1" x14ac:dyDescent="0.25"/>
    <row r="152395" s="12" customFormat="1" x14ac:dyDescent="0.25"/>
    <row r="152396" s="12" customFormat="1" x14ac:dyDescent="0.25"/>
    <row r="152397" s="12" customFormat="1" x14ac:dyDescent="0.25"/>
    <row r="152398" s="12" customFormat="1" x14ac:dyDescent="0.25"/>
    <row r="152399" s="12" customFormat="1" x14ac:dyDescent="0.25"/>
    <row r="152400" s="12" customFormat="1" x14ac:dyDescent="0.25"/>
    <row r="152401" s="12" customFormat="1" x14ac:dyDescent="0.25"/>
    <row r="152402" s="12" customFormat="1" x14ac:dyDescent="0.25"/>
    <row r="152403" s="12" customFormat="1" x14ac:dyDescent="0.25"/>
    <row r="152404" s="12" customFormat="1" x14ac:dyDescent="0.25"/>
    <row r="152405" s="12" customFormat="1" x14ac:dyDescent="0.25"/>
    <row r="152406" s="12" customFormat="1" x14ac:dyDescent="0.25"/>
    <row r="152407" s="12" customFormat="1" x14ac:dyDescent="0.25"/>
    <row r="152408" s="12" customFormat="1" x14ac:dyDescent="0.25"/>
    <row r="152409" s="12" customFormat="1" x14ac:dyDescent="0.25"/>
    <row r="152410" s="12" customFormat="1" x14ac:dyDescent="0.25"/>
    <row r="152411" s="12" customFormat="1" x14ac:dyDescent="0.25"/>
    <row r="152412" s="12" customFormat="1" x14ac:dyDescent="0.25"/>
    <row r="152413" s="12" customFormat="1" x14ac:dyDescent="0.25"/>
    <row r="152414" s="12" customFormat="1" x14ac:dyDescent="0.25"/>
    <row r="152415" s="12" customFormat="1" x14ac:dyDescent="0.25"/>
    <row r="152416" s="12" customFormat="1" x14ac:dyDescent="0.25"/>
    <row r="152417" s="12" customFormat="1" x14ac:dyDescent="0.25"/>
    <row r="152418" s="12" customFormat="1" x14ac:dyDescent="0.25"/>
    <row r="152419" s="12" customFormat="1" x14ac:dyDescent="0.25"/>
    <row r="152420" s="12" customFormat="1" x14ac:dyDescent="0.25"/>
    <row r="152421" s="12" customFormat="1" x14ac:dyDescent="0.25"/>
    <row r="152422" s="12" customFormat="1" x14ac:dyDescent="0.25"/>
    <row r="152423" s="12" customFormat="1" x14ac:dyDescent="0.25"/>
    <row r="152424" s="12" customFormat="1" x14ac:dyDescent="0.25"/>
    <row r="152425" s="12" customFormat="1" x14ac:dyDescent="0.25"/>
    <row r="152426" s="12" customFormat="1" x14ac:dyDescent="0.25"/>
    <row r="152427" s="12" customFormat="1" x14ac:dyDescent="0.25"/>
    <row r="152428" s="12" customFormat="1" x14ac:dyDescent="0.25"/>
    <row r="152429" s="12" customFormat="1" x14ac:dyDescent="0.25"/>
    <row r="152430" s="12" customFormat="1" x14ac:dyDescent="0.25"/>
    <row r="152431" s="12" customFormat="1" x14ac:dyDescent="0.25"/>
    <row r="152432" s="12" customFormat="1" x14ac:dyDescent="0.25"/>
    <row r="152433" s="12" customFormat="1" x14ac:dyDescent="0.25"/>
    <row r="152434" s="12" customFormat="1" x14ac:dyDescent="0.25"/>
    <row r="152435" s="12" customFormat="1" x14ac:dyDescent="0.25"/>
    <row r="152436" s="12" customFormat="1" x14ac:dyDescent="0.25"/>
    <row r="152437" s="12" customFormat="1" x14ac:dyDescent="0.25"/>
    <row r="152438" s="12" customFormat="1" x14ac:dyDescent="0.25"/>
    <row r="152439" s="12" customFormat="1" x14ac:dyDescent="0.25"/>
    <row r="152440" s="12" customFormat="1" x14ac:dyDescent="0.25"/>
    <row r="152441" s="12" customFormat="1" x14ac:dyDescent="0.25"/>
    <row r="152442" s="12" customFormat="1" x14ac:dyDescent="0.25"/>
    <row r="152443" s="12" customFormat="1" x14ac:dyDescent="0.25"/>
    <row r="152444" s="12" customFormat="1" x14ac:dyDescent="0.25"/>
    <row r="152445" s="12" customFormat="1" x14ac:dyDescent="0.25"/>
    <row r="152446" s="12" customFormat="1" x14ac:dyDescent="0.25"/>
    <row r="152447" s="12" customFormat="1" x14ac:dyDescent="0.25"/>
    <row r="152448" s="12" customFormat="1" x14ac:dyDescent="0.25"/>
    <row r="152449" s="12" customFormat="1" x14ac:dyDescent="0.25"/>
    <row r="152450" s="12" customFormat="1" x14ac:dyDescent="0.25"/>
    <row r="152451" s="12" customFormat="1" x14ac:dyDescent="0.25"/>
    <row r="152452" s="12" customFormat="1" x14ac:dyDescent="0.25"/>
    <row r="152453" s="12" customFormat="1" x14ac:dyDescent="0.25"/>
    <row r="152454" s="12" customFormat="1" x14ac:dyDescent="0.25"/>
    <row r="152455" s="12" customFormat="1" x14ac:dyDescent="0.25"/>
    <row r="152456" s="12" customFormat="1" x14ac:dyDescent="0.25"/>
    <row r="152457" s="12" customFormat="1" x14ac:dyDescent="0.25"/>
    <row r="152458" s="12" customFormat="1" x14ac:dyDescent="0.25"/>
    <row r="152459" s="12" customFormat="1" x14ac:dyDescent="0.25"/>
    <row r="152460" s="12" customFormat="1" x14ac:dyDescent="0.25"/>
    <row r="152461" s="12" customFormat="1" x14ac:dyDescent="0.25"/>
    <row r="152462" s="12" customFormat="1" x14ac:dyDescent="0.25"/>
    <row r="152463" s="12" customFormat="1" x14ac:dyDescent="0.25"/>
    <row r="152464" s="12" customFormat="1" x14ac:dyDescent="0.25"/>
    <row r="152465" s="12" customFormat="1" x14ac:dyDescent="0.25"/>
    <row r="152466" s="12" customFormat="1" x14ac:dyDescent="0.25"/>
    <row r="152467" s="12" customFormat="1" x14ac:dyDescent="0.25"/>
    <row r="152468" s="12" customFormat="1" x14ac:dyDescent="0.25"/>
    <row r="152469" s="12" customFormat="1" x14ac:dyDescent="0.25"/>
    <row r="152470" s="12" customFormat="1" x14ac:dyDescent="0.25"/>
    <row r="152471" s="12" customFormat="1" x14ac:dyDescent="0.25"/>
    <row r="152472" s="12" customFormat="1" x14ac:dyDescent="0.25"/>
    <row r="152473" s="12" customFormat="1" x14ac:dyDescent="0.25"/>
    <row r="152474" s="12" customFormat="1" x14ac:dyDescent="0.25"/>
    <row r="152475" s="12" customFormat="1" x14ac:dyDescent="0.25"/>
    <row r="152476" s="12" customFormat="1" x14ac:dyDescent="0.25"/>
    <row r="152477" s="12" customFormat="1" x14ac:dyDescent="0.25"/>
    <row r="152478" s="12" customFormat="1" x14ac:dyDescent="0.25"/>
    <row r="152479" s="12" customFormat="1" x14ac:dyDescent="0.25"/>
    <row r="152480" s="12" customFormat="1" x14ac:dyDescent="0.25"/>
    <row r="152481" s="12" customFormat="1" x14ac:dyDescent="0.25"/>
    <row r="152482" s="12" customFormat="1" x14ac:dyDescent="0.25"/>
    <row r="152483" s="12" customFormat="1" x14ac:dyDescent="0.25"/>
    <row r="152484" s="12" customFormat="1" x14ac:dyDescent="0.25"/>
    <row r="152485" s="12" customFormat="1" x14ac:dyDescent="0.25"/>
    <row r="152486" s="12" customFormat="1" x14ac:dyDescent="0.25"/>
    <row r="152487" s="12" customFormat="1" x14ac:dyDescent="0.25"/>
    <row r="152488" s="12" customFormat="1" x14ac:dyDescent="0.25"/>
    <row r="152489" s="12" customFormat="1" x14ac:dyDescent="0.25"/>
    <row r="152490" s="12" customFormat="1" x14ac:dyDescent="0.25"/>
    <row r="152491" s="12" customFormat="1" x14ac:dyDescent="0.25"/>
    <row r="152492" s="12" customFormat="1" x14ac:dyDescent="0.25"/>
    <row r="152493" s="12" customFormat="1" x14ac:dyDescent="0.25"/>
    <row r="152494" s="12" customFormat="1" x14ac:dyDescent="0.25"/>
    <row r="152495" s="12" customFormat="1" x14ac:dyDescent="0.25"/>
    <row r="152496" s="12" customFormat="1" x14ac:dyDescent="0.25"/>
    <row r="152497" s="12" customFormat="1" x14ac:dyDescent="0.25"/>
    <row r="152498" s="12" customFormat="1" x14ac:dyDescent="0.25"/>
    <row r="152499" s="12" customFormat="1" x14ac:dyDescent="0.25"/>
    <row r="152500" s="12" customFormat="1" x14ac:dyDescent="0.25"/>
    <row r="152501" s="12" customFormat="1" x14ac:dyDescent="0.25"/>
    <row r="152502" s="12" customFormat="1" x14ac:dyDescent="0.25"/>
    <row r="152503" s="12" customFormat="1" x14ac:dyDescent="0.25"/>
    <row r="152504" s="12" customFormat="1" x14ac:dyDescent="0.25"/>
    <row r="152505" s="12" customFormat="1" x14ac:dyDescent="0.25"/>
    <row r="152506" s="12" customFormat="1" x14ac:dyDescent="0.25"/>
    <row r="152507" s="12" customFormat="1" x14ac:dyDescent="0.25"/>
    <row r="152508" s="12" customFormat="1" x14ac:dyDescent="0.25"/>
    <row r="152509" s="12" customFormat="1" x14ac:dyDescent="0.25"/>
    <row r="152510" s="12" customFormat="1" x14ac:dyDescent="0.25"/>
    <row r="152511" s="12" customFormat="1" x14ac:dyDescent="0.25"/>
    <row r="152512" s="12" customFormat="1" x14ac:dyDescent="0.25"/>
    <row r="152513" s="12" customFormat="1" x14ac:dyDescent="0.25"/>
    <row r="152514" s="12" customFormat="1" x14ac:dyDescent="0.25"/>
    <row r="152515" s="12" customFormat="1" x14ac:dyDescent="0.25"/>
    <row r="152516" s="12" customFormat="1" x14ac:dyDescent="0.25"/>
    <row r="152517" s="12" customFormat="1" x14ac:dyDescent="0.25"/>
    <row r="152518" s="12" customFormat="1" x14ac:dyDescent="0.25"/>
    <row r="152519" s="12" customFormat="1" x14ac:dyDescent="0.25"/>
    <row r="152520" s="12" customFormat="1" x14ac:dyDescent="0.25"/>
    <row r="152521" s="12" customFormat="1" x14ac:dyDescent="0.25"/>
    <row r="152522" s="12" customFormat="1" x14ac:dyDescent="0.25"/>
    <row r="152523" s="12" customFormat="1" x14ac:dyDescent="0.25"/>
    <row r="152524" s="12" customFormat="1" x14ac:dyDescent="0.25"/>
    <row r="152525" s="12" customFormat="1" x14ac:dyDescent="0.25"/>
    <row r="152526" s="12" customFormat="1" x14ac:dyDescent="0.25"/>
    <row r="152527" s="12" customFormat="1" x14ac:dyDescent="0.25"/>
    <row r="152528" s="12" customFormat="1" x14ac:dyDescent="0.25"/>
    <row r="152529" s="12" customFormat="1" x14ac:dyDescent="0.25"/>
    <row r="152530" s="12" customFormat="1" x14ac:dyDescent="0.25"/>
    <row r="152531" s="12" customFormat="1" x14ac:dyDescent="0.25"/>
    <row r="152532" s="12" customFormat="1" x14ac:dyDescent="0.25"/>
    <row r="152533" s="12" customFormat="1" x14ac:dyDescent="0.25"/>
    <row r="152534" s="12" customFormat="1" x14ac:dyDescent="0.25"/>
    <row r="152535" s="12" customFormat="1" x14ac:dyDescent="0.25"/>
    <row r="152536" s="12" customFormat="1" x14ac:dyDescent="0.25"/>
    <row r="152537" s="12" customFormat="1" x14ac:dyDescent="0.25"/>
    <row r="152538" s="12" customFormat="1" x14ac:dyDescent="0.25"/>
    <row r="152539" s="12" customFormat="1" x14ac:dyDescent="0.25"/>
    <row r="152540" s="12" customFormat="1" x14ac:dyDescent="0.25"/>
    <row r="152541" s="12" customFormat="1" x14ac:dyDescent="0.25"/>
    <row r="152542" s="12" customFormat="1" x14ac:dyDescent="0.25"/>
    <row r="152543" s="12" customFormat="1" x14ac:dyDescent="0.25"/>
    <row r="152544" s="12" customFormat="1" x14ac:dyDescent="0.25"/>
    <row r="152545" s="12" customFormat="1" x14ac:dyDescent="0.25"/>
    <row r="152546" s="12" customFormat="1" x14ac:dyDescent="0.25"/>
    <row r="152547" s="12" customFormat="1" x14ac:dyDescent="0.25"/>
    <row r="152548" s="12" customFormat="1" x14ac:dyDescent="0.25"/>
    <row r="152549" s="12" customFormat="1" x14ac:dyDescent="0.25"/>
    <row r="152550" s="12" customFormat="1" x14ac:dyDescent="0.25"/>
    <row r="152551" s="12" customFormat="1" x14ac:dyDescent="0.25"/>
    <row r="152552" s="12" customFormat="1" x14ac:dyDescent="0.25"/>
    <row r="152553" s="12" customFormat="1" x14ac:dyDescent="0.25"/>
    <row r="152554" s="12" customFormat="1" x14ac:dyDescent="0.25"/>
    <row r="152555" s="12" customFormat="1" x14ac:dyDescent="0.25"/>
    <row r="152556" s="12" customFormat="1" x14ac:dyDescent="0.25"/>
    <row r="152557" s="12" customFormat="1" x14ac:dyDescent="0.25"/>
    <row r="152558" s="12" customFormat="1" x14ac:dyDescent="0.25"/>
    <row r="152559" s="12" customFormat="1" x14ac:dyDescent="0.25"/>
    <row r="152560" s="12" customFormat="1" x14ac:dyDescent="0.25"/>
    <row r="152561" s="12" customFormat="1" x14ac:dyDescent="0.25"/>
    <row r="152562" s="12" customFormat="1" x14ac:dyDescent="0.25"/>
    <row r="152563" s="12" customFormat="1" x14ac:dyDescent="0.25"/>
    <row r="152564" s="12" customFormat="1" x14ac:dyDescent="0.25"/>
    <row r="152565" s="12" customFormat="1" x14ac:dyDescent="0.25"/>
    <row r="152566" s="12" customFormat="1" x14ac:dyDescent="0.25"/>
    <row r="152567" s="12" customFormat="1" x14ac:dyDescent="0.25"/>
    <row r="152568" s="12" customFormat="1" x14ac:dyDescent="0.25"/>
    <row r="152569" s="12" customFormat="1" x14ac:dyDescent="0.25"/>
    <row r="152570" s="12" customFormat="1" x14ac:dyDescent="0.25"/>
    <row r="152571" s="12" customFormat="1" x14ac:dyDescent="0.25"/>
    <row r="152572" s="12" customFormat="1" x14ac:dyDescent="0.25"/>
    <row r="152573" s="12" customFormat="1" x14ac:dyDescent="0.25"/>
    <row r="152574" s="12" customFormat="1" x14ac:dyDescent="0.25"/>
    <row r="152575" s="12" customFormat="1" x14ac:dyDescent="0.25"/>
    <row r="152576" s="12" customFormat="1" x14ac:dyDescent="0.25"/>
    <row r="152577" s="12" customFormat="1" x14ac:dyDescent="0.25"/>
    <row r="152578" s="12" customFormat="1" x14ac:dyDescent="0.25"/>
    <row r="152579" s="12" customFormat="1" x14ac:dyDescent="0.25"/>
    <row r="152580" s="12" customFormat="1" x14ac:dyDescent="0.25"/>
    <row r="152581" s="12" customFormat="1" x14ac:dyDescent="0.25"/>
    <row r="152582" s="12" customFormat="1" x14ac:dyDescent="0.25"/>
    <row r="152583" s="12" customFormat="1" x14ac:dyDescent="0.25"/>
    <row r="152584" s="12" customFormat="1" x14ac:dyDescent="0.25"/>
    <row r="152585" s="12" customFormat="1" x14ac:dyDescent="0.25"/>
    <row r="152586" s="12" customFormat="1" x14ac:dyDescent="0.25"/>
    <row r="152587" s="12" customFormat="1" x14ac:dyDescent="0.25"/>
    <row r="152588" s="12" customFormat="1" x14ac:dyDescent="0.25"/>
    <row r="152589" s="12" customFormat="1" x14ac:dyDescent="0.25"/>
    <row r="152590" s="12" customFormat="1" x14ac:dyDescent="0.25"/>
    <row r="152591" s="12" customFormat="1" x14ac:dyDescent="0.25"/>
    <row r="152592" s="12" customFormat="1" x14ac:dyDescent="0.25"/>
    <row r="152593" s="12" customFormat="1" x14ac:dyDescent="0.25"/>
    <row r="152594" s="12" customFormat="1" x14ac:dyDescent="0.25"/>
    <row r="152595" s="12" customFormat="1" x14ac:dyDescent="0.25"/>
    <row r="152596" s="12" customFormat="1" x14ac:dyDescent="0.25"/>
    <row r="152597" s="12" customFormat="1" x14ac:dyDescent="0.25"/>
    <row r="152598" s="12" customFormat="1" x14ac:dyDescent="0.25"/>
    <row r="152599" s="12" customFormat="1" x14ac:dyDescent="0.25"/>
    <row r="152600" s="12" customFormat="1" x14ac:dyDescent="0.25"/>
    <row r="152601" s="12" customFormat="1" x14ac:dyDescent="0.25"/>
    <row r="152602" s="12" customFormat="1" x14ac:dyDescent="0.25"/>
    <row r="152603" s="12" customFormat="1" x14ac:dyDescent="0.25"/>
    <row r="152604" s="12" customFormat="1" x14ac:dyDescent="0.25"/>
    <row r="152605" s="12" customFormat="1" x14ac:dyDescent="0.25"/>
    <row r="152606" s="12" customFormat="1" x14ac:dyDescent="0.25"/>
    <row r="152607" s="12" customFormat="1" x14ac:dyDescent="0.25"/>
    <row r="152608" s="12" customFormat="1" x14ac:dyDescent="0.25"/>
    <row r="152609" s="12" customFormat="1" x14ac:dyDescent="0.25"/>
    <row r="152610" s="12" customFormat="1" x14ac:dyDescent="0.25"/>
    <row r="152611" s="12" customFormat="1" x14ac:dyDescent="0.25"/>
    <row r="152612" s="12" customFormat="1" x14ac:dyDescent="0.25"/>
    <row r="152613" s="12" customFormat="1" x14ac:dyDescent="0.25"/>
    <row r="152614" s="12" customFormat="1" x14ac:dyDescent="0.25"/>
    <row r="152615" s="12" customFormat="1" x14ac:dyDescent="0.25"/>
    <row r="152616" s="12" customFormat="1" x14ac:dyDescent="0.25"/>
    <row r="152617" s="12" customFormat="1" x14ac:dyDescent="0.25"/>
    <row r="152618" s="12" customFormat="1" x14ac:dyDescent="0.25"/>
    <row r="152619" s="12" customFormat="1" x14ac:dyDescent="0.25"/>
    <row r="152620" s="12" customFormat="1" x14ac:dyDescent="0.25"/>
    <row r="152621" s="12" customFormat="1" x14ac:dyDescent="0.25"/>
    <row r="152622" s="12" customFormat="1" x14ac:dyDescent="0.25"/>
    <row r="152623" s="12" customFormat="1" x14ac:dyDescent="0.25"/>
    <row r="152624" s="12" customFormat="1" x14ac:dyDescent="0.25"/>
    <row r="152625" s="12" customFormat="1" x14ac:dyDescent="0.25"/>
    <row r="152626" s="12" customFormat="1" x14ac:dyDescent="0.25"/>
    <row r="152627" s="12" customFormat="1" x14ac:dyDescent="0.25"/>
    <row r="152628" s="12" customFormat="1" x14ac:dyDescent="0.25"/>
    <row r="152629" s="12" customFormat="1" x14ac:dyDescent="0.25"/>
    <row r="152630" s="12" customFormat="1" x14ac:dyDescent="0.25"/>
    <row r="152631" s="12" customFormat="1" x14ac:dyDescent="0.25"/>
    <row r="152632" s="12" customFormat="1" x14ac:dyDescent="0.25"/>
    <row r="152633" s="12" customFormat="1" x14ac:dyDescent="0.25"/>
    <row r="152634" s="12" customFormat="1" x14ac:dyDescent="0.25"/>
    <row r="152635" s="12" customFormat="1" x14ac:dyDescent="0.25"/>
    <row r="152636" s="12" customFormat="1" x14ac:dyDescent="0.25"/>
    <row r="152637" s="12" customFormat="1" x14ac:dyDescent="0.25"/>
    <row r="152638" s="12" customFormat="1" x14ac:dyDescent="0.25"/>
    <row r="152639" s="12" customFormat="1" x14ac:dyDescent="0.25"/>
    <row r="152640" s="12" customFormat="1" x14ac:dyDescent="0.25"/>
    <row r="152641" s="12" customFormat="1" x14ac:dyDescent="0.25"/>
    <row r="152642" s="12" customFormat="1" x14ac:dyDescent="0.25"/>
    <row r="152643" s="12" customFormat="1" x14ac:dyDescent="0.25"/>
    <row r="152644" s="12" customFormat="1" x14ac:dyDescent="0.25"/>
    <row r="152645" s="12" customFormat="1" x14ac:dyDescent="0.25"/>
    <row r="152646" s="12" customFormat="1" x14ac:dyDescent="0.25"/>
    <row r="152647" s="12" customFormat="1" x14ac:dyDescent="0.25"/>
    <row r="152648" s="12" customFormat="1" x14ac:dyDescent="0.25"/>
    <row r="152649" s="12" customFormat="1" x14ac:dyDescent="0.25"/>
    <row r="152650" s="12" customFormat="1" x14ac:dyDescent="0.25"/>
    <row r="152651" s="12" customFormat="1" x14ac:dyDescent="0.25"/>
    <row r="152652" s="12" customFormat="1" x14ac:dyDescent="0.25"/>
    <row r="152653" s="12" customFormat="1" x14ac:dyDescent="0.25"/>
    <row r="152654" s="12" customFormat="1" x14ac:dyDescent="0.25"/>
    <row r="152655" s="12" customFormat="1" x14ac:dyDescent="0.25"/>
    <row r="152656" s="12" customFormat="1" x14ac:dyDescent="0.25"/>
    <row r="152657" s="12" customFormat="1" x14ac:dyDescent="0.25"/>
    <row r="152658" s="12" customFormat="1" x14ac:dyDescent="0.25"/>
    <row r="152659" s="12" customFormat="1" x14ac:dyDescent="0.25"/>
    <row r="152660" s="12" customFormat="1" x14ac:dyDescent="0.25"/>
    <row r="152661" s="12" customFormat="1" x14ac:dyDescent="0.25"/>
    <row r="152662" s="12" customFormat="1" x14ac:dyDescent="0.25"/>
    <row r="152663" s="12" customFormat="1" x14ac:dyDescent="0.25"/>
    <row r="152664" s="12" customFormat="1" x14ac:dyDescent="0.25"/>
    <row r="152665" s="12" customFormat="1" x14ac:dyDescent="0.25"/>
    <row r="152666" s="12" customFormat="1" x14ac:dyDescent="0.25"/>
    <row r="152667" s="12" customFormat="1" x14ac:dyDescent="0.25"/>
    <row r="152668" s="12" customFormat="1" x14ac:dyDescent="0.25"/>
    <row r="152669" s="12" customFormat="1" x14ac:dyDescent="0.25"/>
    <row r="152670" s="12" customFormat="1" x14ac:dyDescent="0.25"/>
    <row r="152671" s="12" customFormat="1" x14ac:dyDescent="0.25"/>
    <row r="152672" s="12" customFormat="1" x14ac:dyDescent="0.25"/>
    <row r="152673" s="12" customFormat="1" x14ac:dyDescent="0.25"/>
    <row r="152674" s="12" customFormat="1" x14ac:dyDescent="0.25"/>
    <row r="152675" s="12" customFormat="1" x14ac:dyDescent="0.25"/>
    <row r="152676" s="12" customFormat="1" x14ac:dyDescent="0.25"/>
    <row r="152677" s="12" customFormat="1" x14ac:dyDescent="0.25"/>
    <row r="152678" s="12" customFormat="1" x14ac:dyDescent="0.25"/>
    <row r="152679" s="12" customFormat="1" x14ac:dyDescent="0.25"/>
    <row r="152680" s="12" customFormat="1" x14ac:dyDescent="0.25"/>
    <row r="152681" s="12" customFormat="1" x14ac:dyDescent="0.25"/>
    <row r="152682" s="12" customFormat="1" x14ac:dyDescent="0.25"/>
    <row r="152683" s="12" customFormat="1" x14ac:dyDescent="0.25"/>
    <row r="152684" s="12" customFormat="1" x14ac:dyDescent="0.25"/>
    <row r="152685" s="12" customFormat="1" x14ac:dyDescent="0.25"/>
    <row r="152686" s="12" customFormat="1" x14ac:dyDescent="0.25"/>
    <row r="152687" s="12" customFormat="1" x14ac:dyDescent="0.25"/>
    <row r="152688" s="12" customFormat="1" x14ac:dyDescent="0.25"/>
    <row r="152689" s="12" customFormat="1" x14ac:dyDescent="0.25"/>
    <row r="152690" s="12" customFormat="1" x14ac:dyDescent="0.25"/>
    <row r="152691" s="12" customFormat="1" x14ac:dyDescent="0.25"/>
    <row r="152692" s="12" customFormat="1" x14ac:dyDescent="0.25"/>
    <row r="152693" s="12" customFormat="1" x14ac:dyDescent="0.25"/>
    <row r="152694" s="12" customFormat="1" x14ac:dyDescent="0.25"/>
    <row r="152695" s="12" customFormat="1" x14ac:dyDescent="0.25"/>
    <row r="152696" s="12" customFormat="1" x14ac:dyDescent="0.25"/>
    <row r="152697" s="12" customFormat="1" x14ac:dyDescent="0.25"/>
    <row r="152698" s="12" customFormat="1" x14ac:dyDescent="0.25"/>
    <row r="152699" s="12" customFormat="1" x14ac:dyDescent="0.25"/>
    <row r="152700" s="12" customFormat="1" x14ac:dyDescent="0.25"/>
    <row r="152701" s="12" customFormat="1" x14ac:dyDescent="0.25"/>
    <row r="152702" s="12" customFormat="1" x14ac:dyDescent="0.25"/>
    <row r="152703" s="12" customFormat="1" x14ac:dyDescent="0.25"/>
    <row r="152704" s="12" customFormat="1" x14ac:dyDescent="0.25"/>
    <row r="152705" s="12" customFormat="1" x14ac:dyDescent="0.25"/>
    <row r="152706" s="12" customFormat="1" x14ac:dyDescent="0.25"/>
    <row r="152707" s="12" customFormat="1" x14ac:dyDescent="0.25"/>
    <row r="152708" s="12" customFormat="1" x14ac:dyDescent="0.25"/>
    <row r="152709" s="12" customFormat="1" x14ac:dyDescent="0.25"/>
    <row r="152710" s="12" customFormat="1" x14ac:dyDescent="0.25"/>
    <row r="152711" s="12" customFormat="1" x14ac:dyDescent="0.25"/>
    <row r="152712" s="12" customFormat="1" x14ac:dyDescent="0.25"/>
    <row r="152713" s="12" customFormat="1" x14ac:dyDescent="0.25"/>
    <row r="152714" s="12" customFormat="1" x14ac:dyDescent="0.25"/>
    <row r="152715" s="12" customFormat="1" x14ac:dyDescent="0.25"/>
    <row r="152716" s="12" customFormat="1" x14ac:dyDescent="0.25"/>
    <row r="152717" s="12" customFormat="1" x14ac:dyDescent="0.25"/>
    <row r="152718" s="12" customFormat="1" x14ac:dyDescent="0.25"/>
    <row r="152719" s="12" customFormat="1" x14ac:dyDescent="0.25"/>
    <row r="152720" s="12" customFormat="1" x14ac:dyDescent="0.25"/>
    <row r="152721" s="12" customFormat="1" x14ac:dyDescent="0.25"/>
    <row r="152722" s="12" customFormat="1" x14ac:dyDescent="0.25"/>
    <row r="152723" s="12" customFormat="1" x14ac:dyDescent="0.25"/>
    <row r="152724" s="12" customFormat="1" x14ac:dyDescent="0.25"/>
    <row r="152725" s="12" customFormat="1" x14ac:dyDescent="0.25"/>
    <row r="152726" s="12" customFormat="1" x14ac:dyDescent="0.25"/>
    <row r="152727" s="12" customFormat="1" x14ac:dyDescent="0.25"/>
    <row r="152728" s="12" customFormat="1" x14ac:dyDescent="0.25"/>
    <row r="152729" s="12" customFormat="1" x14ac:dyDescent="0.25"/>
    <row r="152730" s="12" customFormat="1" x14ac:dyDescent="0.25"/>
    <row r="152731" s="12" customFormat="1" x14ac:dyDescent="0.25"/>
    <row r="152732" s="12" customFormat="1" x14ac:dyDescent="0.25"/>
    <row r="152733" s="12" customFormat="1" x14ac:dyDescent="0.25"/>
    <row r="152734" s="12" customFormat="1" x14ac:dyDescent="0.25"/>
    <row r="152735" s="12" customFormat="1" x14ac:dyDescent="0.25"/>
    <row r="152736" s="12" customFormat="1" x14ac:dyDescent="0.25"/>
    <row r="152737" s="12" customFormat="1" x14ac:dyDescent="0.25"/>
    <row r="152738" s="12" customFormat="1" x14ac:dyDescent="0.25"/>
    <row r="152739" s="12" customFormat="1" x14ac:dyDescent="0.25"/>
    <row r="152740" s="12" customFormat="1" x14ac:dyDescent="0.25"/>
    <row r="152741" s="12" customFormat="1" x14ac:dyDescent="0.25"/>
    <row r="152742" s="12" customFormat="1" x14ac:dyDescent="0.25"/>
    <row r="152743" s="12" customFormat="1" x14ac:dyDescent="0.25"/>
    <row r="152744" s="12" customFormat="1" x14ac:dyDescent="0.25"/>
    <row r="152745" s="12" customFormat="1" x14ac:dyDescent="0.25"/>
    <row r="152746" s="12" customFormat="1" x14ac:dyDescent="0.25"/>
    <row r="152747" s="12" customFormat="1" x14ac:dyDescent="0.25"/>
    <row r="152748" s="12" customFormat="1" x14ac:dyDescent="0.25"/>
    <row r="152749" s="12" customFormat="1" x14ac:dyDescent="0.25"/>
    <row r="152750" s="12" customFormat="1" x14ac:dyDescent="0.25"/>
    <row r="152751" s="12" customFormat="1" x14ac:dyDescent="0.25"/>
    <row r="152752" s="12" customFormat="1" x14ac:dyDescent="0.25"/>
    <row r="152753" s="12" customFormat="1" x14ac:dyDescent="0.25"/>
    <row r="152754" s="12" customFormat="1" x14ac:dyDescent="0.25"/>
    <row r="152755" s="12" customFormat="1" x14ac:dyDescent="0.25"/>
    <row r="152756" s="12" customFormat="1" x14ac:dyDescent="0.25"/>
    <row r="152757" s="12" customFormat="1" x14ac:dyDescent="0.25"/>
    <row r="152758" s="12" customFormat="1" x14ac:dyDescent="0.25"/>
    <row r="152759" s="12" customFormat="1" x14ac:dyDescent="0.25"/>
    <row r="152760" s="12" customFormat="1" x14ac:dyDescent="0.25"/>
    <row r="152761" s="12" customFormat="1" x14ac:dyDescent="0.25"/>
    <row r="152762" s="12" customFormat="1" x14ac:dyDescent="0.25"/>
    <row r="152763" s="12" customFormat="1" x14ac:dyDescent="0.25"/>
    <row r="152764" s="12" customFormat="1" x14ac:dyDescent="0.25"/>
    <row r="152765" s="12" customFormat="1" x14ac:dyDescent="0.25"/>
    <row r="152766" s="12" customFormat="1" x14ac:dyDescent="0.25"/>
    <row r="152767" s="12" customFormat="1" x14ac:dyDescent="0.25"/>
    <row r="152768" s="12" customFormat="1" x14ac:dyDescent="0.25"/>
    <row r="152769" s="12" customFormat="1" x14ac:dyDescent="0.25"/>
    <row r="152770" s="12" customFormat="1" x14ac:dyDescent="0.25"/>
    <row r="152771" s="12" customFormat="1" x14ac:dyDescent="0.25"/>
    <row r="152772" s="12" customFormat="1" x14ac:dyDescent="0.25"/>
    <row r="152773" s="12" customFormat="1" x14ac:dyDescent="0.25"/>
    <row r="152774" s="12" customFormat="1" x14ac:dyDescent="0.25"/>
    <row r="152775" s="12" customFormat="1" x14ac:dyDescent="0.25"/>
    <row r="152776" s="12" customFormat="1" x14ac:dyDescent="0.25"/>
    <row r="152777" s="12" customFormat="1" x14ac:dyDescent="0.25"/>
    <row r="152778" s="12" customFormat="1" x14ac:dyDescent="0.25"/>
    <row r="152779" s="12" customFormat="1" x14ac:dyDescent="0.25"/>
    <row r="152780" s="12" customFormat="1" x14ac:dyDescent="0.25"/>
    <row r="152781" s="12" customFormat="1" x14ac:dyDescent="0.25"/>
    <row r="152782" s="12" customFormat="1" x14ac:dyDescent="0.25"/>
    <row r="152783" s="12" customFormat="1" x14ac:dyDescent="0.25"/>
    <row r="152784" s="12" customFormat="1" x14ac:dyDescent="0.25"/>
    <row r="152785" s="12" customFormat="1" x14ac:dyDescent="0.25"/>
    <row r="152786" s="12" customFormat="1" x14ac:dyDescent="0.25"/>
    <row r="152787" s="12" customFormat="1" x14ac:dyDescent="0.25"/>
    <row r="152788" s="12" customFormat="1" x14ac:dyDescent="0.25"/>
    <row r="152789" s="12" customFormat="1" x14ac:dyDescent="0.25"/>
    <row r="152790" s="12" customFormat="1" x14ac:dyDescent="0.25"/>
    <row r="152791" s="12" customFormat="1" x14ac:dyDescent="0.25"/>
    <row r="152792" s="12" customFormat="1" x14ac:dyDescent="0.25"/>
    <row r="152793" s="12" customFormat="1" x14ac:dyDescent="0.25"/>
    <row r="152794" s="12" customFormat="1" x14ac:dyDescent="0.25"/>
    <row r="152795" s="12" customFormat="1" x14ac:dyDescent="0.25"/>
    <row r="152796" s="12" customFormat="1" x14ac:dyDescent="0.25"/>
    <row r="152797" s="12" customFormat="1" x14ac:dyDescent="0.25"/>
    <row r="152798" s="12" customFormat="1" x14ac:dyDescent="0.25"/>
    <row r="152799" s="12" customFormat="1" x14ac:dyDescent="0.25"/>
    <row r="152800" s="12" customFormat="1" x14ac:dyDescent="0.25"/>
    <row r="152801" s="12" customFormat="1" x14ac:dyDescent="0.25"/>
    <row r="152802" s="12" customFormat="1" x14ac:dyDescent="0.25"/>
    <row r="152803" s="12" customFormat="1" x14ac:dyDescent="0.25"/>
    <row r="152804" s="12" customFormat="1" x14ac:dyDescent="0.25"/>
    <row r="152805" s="12" customFormat="1" x14ac:dyDescent="0.25"/>
    <row r="152806" s="12" customFormat="1" x14ac:dyDescent="0.25"/>
    <row r="152807" s="12" customFormat="1" x14ac:dyDescent="0.25"/>
    <row r="152808" s="12" customFormat="1" x14ac:dyDescent="0.25"/>
    <row r="152809" s="12" customFormat="1" x14ac:dyDescent="0.25"/>
    <row r="152810" s="12" customFormat="1" x14ac:dyDescent="0.25"/>
    <row r="152811" s="12" customFormat="1" x14ac:dyDescent="0.25"/>
    <row r="152812" s="12" customFormat="1" x14ac:dyDescent="0.25"/>
    <row r="152813" s="12" customFormat="1" x14ac:dyDescent="0.25"/>
    <row r="152814" s="12" customFormat="1" x14ac:dyDescent="0.25"/>
    <row r="152815" s="12" customFormat="1" x14ac:dyDescent="0.25"/>
    <row r="152816" s="12" customFormat="1" x14ac:dyDescent="0.25"/>
    <row r="152817" s="12" customFormat="1" x14ac:dyDescent="0.25"/>
    <row r="152818" s="12" customFormat="1" x14ac:dyDescent="0.25"/>
    <row r="152819" s="12" customFormat="1" x14ac:dyDescent="0.25"/>
    <row r="152820" s="12" customFormat="1" x14ac:dyDescent="0.25"/>
    <row r="152821" s="12" customFormat="1" x14ac:dyDescent="0.25"/>
    <row r="152822" s="12" customFormat="1" x14ac:dyDescent="0.25"/>
    <row r="152823" s="12" customFormat="1" x14ac:dyDescent="0.25"/>
    <row r="152824" s="12" customFormat="1" x14ac:dyDescent="0.25"/>
    <row r="152825" s="12" customFormat="1" x14ac:dyDescent="0.25"/>
    <row r="152826" s="12" customFormat="1" x14ac:dyDescent="0.25"/>
    <row r="152827" s="12" customFormat="1" x14ac:dyDescent="0.25"/>
    <row r="152828" s="12" customFormat="1" x14ac:dyDescent="0.25"/>
    <row r="152829" s="12" customFormat="1" x14ac:dyDescent="0.25"/>
    <row r="152830" s="12" customFormat="1" x14ac:dyDescent="0.25"/>
    <row r="152831" s="12" customFormat="1" x14ac:dyDescent="0.25"/>
    <row r="152832" s="12" customFormat="1" x14ac:dyDescent="0.25"/>
    <row r="152833" s="12" customFormat="1" x14ac:dyDescent="0.25"/>
    <row r="152834" s="12" customFormat="1" x14ac:dyDescent="0.25"/>
    <row r="152835" s="12" customFormat="1" x14ac:dyDescent="0.25"/>
    <row r="152836" s="12" customFormat="1" x14ac:dyDescent="0.25"/>
    <row r="152837" s="12" customFormat="1" x14ac:dyDescent="0.25"/>
    <row r="152838" s="12" customFormat="1" x14ac:dyDescent="0.25"/>
    <row r="152839" s="12" customFormat="1" x14ac:dyDescent="0.25"/>
    <row r="152840" s="12" customFormat="1" x14ac:dyDescent="0.25"/>
    <row r="152841" s="12" customFormat="1" x14ac:dyDescent="0.25"/>
    <row r="152842" s="12" customFormat="1" x14ac:dyDescent="0.25"/>
    <row r="152843" s="12" customFormat="1" x14ac:dyDescent="0.25"/>
    <row r="152844" s="12" customFormat="1" x14ac:dyDescent="0.25"/>
    <row r="152845" s="12" customFormat="1" x14ac:dyDescent="0.25"/>
    <row r="152846" s="12" customFormat="1" x14ac:dyDescent="0.25"/>
    <row r="152847" s="12" customFormat="1" x14ac:dyDescent="0.25"/>
    <row r="152848" s="12" customFormat="1" x14ac:dyDescent="0.25"/>
    <row r="152849" s="12" customFormat="1" x14ac:dyDescent="0.25"/>
    <row r="152850" s="12" customFormat="1" x14ac:dyDescent="0.25"/>
    <row r="152851" s="12" customFormat="1" x14ac:dyDescent="0.25"/>
    <row r="152852" s="12" customFormat="1" x14ac:dyDescent="0.25"/>
    <row r="152853" s="12" customFormat="1" x14ac:dyDescent="0.25"/>
    <row r="152854" s="12" customFormat="1" x14ac:dyDescent="0.25"/>
    <row r="152855" s="12" customFormat="1" x14ac:dyDescent="0.25"/>
    <row r="152856" s="12" customFormat="1" x14ac:dyDescent="0.25"/>
    <row r="152857" s="12" customFormat="1" x14ac:dyDescent="0.25"/>
    <row r="152858" s="12" customFormat="1" x14ac:dyDescent="0.25"/>
    <row r="152859" s="12" customFormat="1" x14ac:dyDescent="0.25"/>
    <row r="152860" s="12" customFormat="1" x14ac:dyDescent="0.25"/>
    <row r="152861" s="12" customFormat="1" x14ac:dyDescent="0.25"/>
    <row r="152862" s="12" customFormat="1" x14ac:dyDescent="0.25"/>
    <row r="152863" s="12" customFormat="1" x14ac:dyDescent="0.25"/>
    <row r="152864" s="12" customFormat="1" x14ac:dyDescent="0.25"/>
    <row r="152865" s="12" customFormat="1" x14ac:dyDescent="0.25"/>
    <row r="152866" s="12" customFormat="1" x14ac:dyDescent="0.25"/>
    <row r="152867" s="12" customFormat="1" x14ac:dyDescent="0.25"/>
    <row r="152868" s="12" customFormat="1" x14ac:dyDescent="0.25"/>
    <row r="152869" s="12" customFormat="1" x14ac:dyDescent="0.25"/>
    <row r="152870" s="12" customFormat="1" x14ac:dyDescent="0.25"/>
    <row r="152871" s="12" customFormat="1" x14ac:dyDescent="0.25"/>
    <row r="152872" s="12" customFormat="1" x14ac:dyDescent="0.25"/>
    <row r="152873" s="12" customFormat="1" x14ac:dyDescent="0.25"/>
    <row r="152874" s="12" customFormat="1" x14ac:dyDescent="0.25"/>
    <row r="152875" s="12" customFormat="1" x14ac:dyDescent="0.25"/>
    <row r="152876" s="12" customFormat="1" x14ac:dyDescent="0.25"/>
    <row r="152877" s="12" customFormat="1" x14ac:dyDescent="0.25"/>
    <row r="152878" s="12" customFormat="1" x14ac:dyDescent="0.25"/>
    <row r="152879" s="12" customFormat="1" x14ac:dyDescent="0.25"/>
    <row r="152880" s="12" customFormat="1" x14ac:dyDescent="0.25"/>
    <row r="152881" s="12" customFormat="1" x14ac:dyDescent="0.25"/>
    <row r="152882" s="12" customFormat="1" x14ac:dyDescent="0.25"/>
    <row r="152883" s="12" customFormat="1" x14ac:dyDescent="0.25"/>
    <row r="152884" s="12" customFormat="1" x14ac:dyDescent="0.25"/>
    <row r="152885" s="12" customFormat="1" x14ac:dyDescent="0.25"/>
    <row r="152886" s="12" customFormat="1" x14ac:dyDescent="0.25"/>
    <row r="152887" s="12" customFormat="1" x14ac:dyDescent="0.25"/>
    <row r="152888" s="12" customFormat="1" x14ac:dyDescent="0.25"/>
    <row r="152889" s="12" customFormat="1" x14ac:dyDescent="0.25"/>
    <row r="152890" s="12" customFormat="1" x14ac:dyDescent="0.25"/>
    <row r="152891" s="12" customFormat="1" x14ac:dyDescent="0.25"/>
    <row r="152892" s="12" customFormat="1" x14ac:dyDescent="0.25"/>
    <row r="152893" s="12" customFormat="1" x14ac:dyDescent="0.25"/>
    <row r="152894" s="12" customFormat="1" x14ac:dyDescent="0.25"/>
    <row r="152895" s="12" customFormat="1" x14ac:dyDescent="0.25"/>
    <row r="152896" s="12" customFormat="1" x14ac:dyDescent="0.25"/>
    <row r="152897" s="12" customFormat="1" x14ac:dyDescent="0.25"/>
    <row r="152898" s="12" customFormat="1" x14ac:dyDescent="0.25"/>
    <row r="152899" s="12" customFormat="1" x14ac:dyDescent="0.25"/>
    <row r="152900" s="12" customFormat="1" x14ac:dyDescent="0.25"/>
    <row r="152901" s="12" customFormat="1" x14ac:dyDescent="0.25"/>
    <row r="152902" s="12" customFormat="1" x14ac:dyDescent="0.25"/>
    <row r="152903" s="12" customFormat="1" x14ac:dyDescent="0.25"/>
    <row r="152904" s="12" customFormat="1" x14ac:dyDescent="0.25"/>
    <row r="152905" s="12" customFormat="1" x14ac:dyDescent="0.25"/>
    <row r="152906" s="12" customFormat="1" x14ac:dyDescent="0.25"/>
    <row r="152907" s="12" customFormat="1" x14ac:dyDescent="0.25"/>
    <row r="152908" s="12" customFormat="1" x14ac:dyDescent="0.25"/>
    <row r="152909" s="12" customFormat="1" x14ac:dyDescent="0.25"/>
    <row r="152910" s="12" customFormat="1" x14ac:dyDescent="0.25"/>
    <row r="152911" s="12" customFormat="1" x14ac:dyDescent="0.25"/>
    <row r="152912" s="12" customFormat="1" x14ac:dyDescent="0.25"/>
    <row r="152913" s="12" customFormat="1" x14ac:dyDescent="0.25"/>
    <row r="152914" s="12" customFormat="1" x14ac:dyDescent="0.25"/>
    <row r="152915" s="12" customFormat="1" x14ac:dyDescent="0.25"/>
    <row r="152916" s="12" customFormat="1" x14ac:dyDescent="0.25"/>
    <row r="152917" s="12" customFormat="1" x14ac:dyDescent="0.25"/>
    <row r="152918" s="12" customFormat="1" x14ac:dyDescent="0.25"/>
    <row r="152919" s="12" customFormat="1" x14ac:dyDescent="0.25"/>
    <row r="152920" s="12" customFormat="1" x14ac:dyDescent="0.25"/>
    <row r="152921" s="12" customFormat="1" x14ac:dyDescent="0.25"/>
    <row r="152922" s="12" customFormat="1" x14ac:dyDescent="0.25"/>
    <row r="152923" s="12" customFormat="1" x14ac:dyDescent="0.25"/>
    <row r="152924" s="12" customFormat="1" x14ac:dyDescent="0.25"/>
    <row r="152925" s="12" customFormat="1" x14ac:dyDescent="0.25"/>
    <row r="152926" s="12" customFormat="1" x14ac:dyDescent="0.25"/>
    <row r="152927" s="12" customFormat="1" x14ac:dyDescent="0.25"/>
    <row r="152928" s="12" customFormat="1" x14ac:dyDescent="0.25"/>
    <row r="152929" s="12" customFormat="1" x14ac:dyDescent="0.25"/>
    <row r="152930" s="12" customFormat="1" x14ac:dyDescent="0.25"/>
    <row r="152931" s="12" customFormat="1" x14ac:dyDescent="0.25"/>
    <row r="152932" s="12" customFormat="1" x14ac:dyDescent="0.25"/>
    <row r="152933" s="12" customFormat="1" x14ac:dyDescent="0.25"/>
    <row r="152934" s="12" customFormat="1" x14ac:dyDescent="0.25"/>
    <row r="152935" s="12" customFormat="1" x14ac:dyDescent="0.25"/>
    <row r="152936" s="12" customFormat="1" x14ac:dyDescent="0.25"/>
    <row r="152937" s="12" customFormat="1" x14ac:dyDescent="0.25"/>
    <row r="152938" s="12" customFormat="1" x14ac:dyDescent="0.25"/>
    <row r="152939" s="12" customFormat="1" x14ac:dyDescent="0.25"/>
    <row r="152940" s="12" customFormat="1" x14ac:dyDescent="0.25"/>
    <row r="152941" s="12" customFormat="1" x14ac:dyDescent="0.25"/>
    <row r="152942" s="12" customFormat="1" x14ac:dyDescent="0.25"/>
    <row r="152943" s="12" customFormat="1" x14ac:dyDescent="0.25"/>
    <row r="152944" s="12" customFormat="1" x14ac:dyDescent="0.25"/>
    <row r="152945" s="12" customFormat="1" x14ac:dyDescent="0.25"/>
    <row r="152946" s="12" customFormat="1" x14ac:dyDescent="0.25"/>
    <row r="152947" s="12" customFormat="1" x14ac:dyDescent="0.25"/>
    <row r="152948" s="12" customFormat="1" x14ac:dyDescent="0.25"/>
    <row r="152949" s="12" customFormat="1" x14ac:dyDescent="0.25"/>
    <row r="152950" s="12" customFormat="1" x14ac:dyDescent="0.25"/>
    <row r="152951" s="12" customFormat="1" x14ac:dyDescent="0.25"/>
    <row r="152952" s="12" customFormat="1" x14ac:dyDescent="0.25"/>
    <row r="152953" s="12" customFormat="1" x14ac:dyDescent="0.25"/>
    <row r="152954" s="12" customFormat="1" x14ac:dyDescent="0.25"/>
    <row r="152955" s="12" customFormat="1" x14ac:dyDescent="0.25"/>
    <row r="152956" s="12" customFormat="1" x14ac:dyDescent="0.25"/>
    <row r="152957" s="12" customFormat="1" x14ac:dyDescent="0.25"/>
    <row r="152958" s="12" customFormat="1" x14ac:dyDescent="0.25"/>
    <row r="152959" s="12" customFormat="1" x14ac:dyDescent="0.25"/>
    <row r="152960" s="12" customFormat="1" x14ac:dyDescent="0.25"/>
    <row r="152961" s="12" customFormat="1" x14ac:dyDescent="0.25"/>
    <row r="152962" s="12" customFormat="1" x14ac:dyDescent="0.25"/>
    <row r="152963" s="12" customFormat="1" x14ac:dyDescent="0.25"/>
    <row r="152964" s="12" customFormat="1" x14ac:dyDescent="0.25"/>
    <row r="152965" s="12" customFormat="1" x14ac:dyDescent="0.25"/>
    <row r="152966" s="12" customFormat="1" x14ac:dyDescent="0.25"/>
    <row r="152967" s="12" customFormat="1" x14ac:dyDescent="0.25"/>
    <row r="152968" s="12" customFormat="1" x14ac:dyDescent="0.25"/>
    <row r="152969" s="12" customFormat="1" x14ac:dyDescent="0.25"/>
    <row r="152970" s="12" customFormat="1" x14ac:dyDescent="0.25"/>
    <row r="152971" s="12" customFormat="1" x14ac:dyDescent="0.25"/>
    <row r="152972" s="12" customFormat="1" x14ac:dyDescent="0.25"/>
    <row r="152973" s="12" customFormat="1" x14ac:dyDescent="0.25"/>
    <row r="152974" s="12" customFormat="1" x14ac:dyDescent="0.25"/>
    <row r="152975" s="12" customFormat="1" x14ac:dyDescent="0.25"/>
    <row r="152976" s="12" customFormat="1" x14ac:dyDescent="0.25"/>
    <row r="152977" s="12" customFormat="1" x14ac:dyDescent="0.25"/>
    <row r="152978" s="12" customFormat="1" x14ac:dyDescent="0.25"/>
    <row r="152979" s="12" customFormat="1" x14ac:dyDescent="0.25"/>
    <row r="152980" s="12" customFormat="1" x14ac:dyDescent="0.25"/>
    <row r="152981" s="12" customFormat="1" x14ac:dyDescent="0.25"/>
    <row r="152982" s="12" customFormat="1" x14ac:dyDescent="0.25"/>
    <row r="152983" s="12" customFormat="1" x14ac:dyDescent="0.25"/>
    <row r="152984" s="12" customFormat="1" x14ac:dyDescent="0.25"/>
    <row r="152985" s="12" customFormat="1" x14ac:dyDescent="0.25"/>
    <row r="152986" s="12" customFormat="1" x14ac:dyDescent="0.25"/>
    <row r="152987" s="12" customFormat="1" x14ac:dyDescent="0.25"/>
    <row r="152988" s="12" customFormat="1" x14ac:dyDescent="0.25"/>
    <row r="152989" s="12" customFormat="1" x14ac:dyDescent="0.25"/>
    <row r="152990" s="12" customFormat="1" x14ac:dyDescent="0.25"/>
    <row r="152991" s="12" customFormat="1" x14ac:dyDescent="0.25"/>
    <row r="152992" s="12" customFormat="1" x14ac:dyDescent="0.25"/>
    <row r="152993" s="12" customFormat="1" x14ac:dyDescent="0.25"/>
    <row r="152994" s="12" customFormat="1" x14ac:dyDescent="0.25"/>
    <row r="152995" s="12" customFormat="1" x14ac:dyDescent="0.25"/>
    <row r="152996" s="12" customFormat="1" x14ac:dyDescent="0.25"/>
    <row r="152997" s="12" customFormat="1" x14ac:dyDescent="0.25"/>
    <row r="152998" s="12" customFormat="1" x14ac:dyDescent="0.25"/>
    <row r="152999" s="12" customFormat="1" x14ac:dyDescent="0.25"/>
    <row r="153000" s="12" customFormat="1" x14ac:dyDescent="0.25"/>
    <row r="153001" s="12" customFormat="1" x14ac:dyDescent="0.25"/>
    <row r="153002" s="12" customFormat="1" x14ac:dyDescent="0.25"/>
    <row r="153003" s="12" customFormat="1" x14ac:dyDescent="0.25"/>
    <row r="153004" s="12" customFormat="1" x14ac:dyDescent="0.25"/>
    <row r="153005" s="12" customFormat="1" x14ac:dyDescent="0.25"/>
    <row r="153006" s="12" customFormat="1" x14ac:dyDescent="0.25"/>
    <row r="153007" s="12" customFormat="1" x14ac:dyDescent="0.25"/>
    <row r="153008" s="12" customFormat="1" x14ac:dyDescent="0.25"/>
    <row r="153009" s="12" customFormat="1" x14ac:dyDescent="0.25"/>
    <row r="153010" s="12" customFormat="1" x14ac:dyDescent="0.25"/>
    <row r="153011" s="12" customFormat="1" x14ac:dyDescent="0.25"/>
    <row r="153012" s="12" customFormat="1" x14ac:dyDescent="0.25"/>
    <row r="153013" s="12" customFormat="1" x14ac:dyDescent="0.25"/>
    <row r="153014" s="12" customFormat="1" x14ac:dyDescent="0.25"/>
    <row r="153015" s="12" customFormat="1" x14ac:dyDescent="0.25"/>
    <row r="153016" s="12" customFormat="1" x14ac:dyDescent="0.25"/>
    <row r="153017" s="12" customFormat="1" x14ac:dyDescent="0.25"/>
    <row r="153018" s="12" customFormat="1" x14ac:dyDescent="0.25"/>
    <row r="153019" s="12" customFormat="1" x14ac:dyDescent="0.25"/>
    <row r="153020" s="12" customFormat="1" x14ac:dyDescent="0.25"/>
    <row r="153021" s="12" customFormat="1" x14ac:dyDescent="0.25"/>
    <row r="153022" s="12" customFormat="1" x14ac:dyDescent="0.25"/>
    <row r="153023" s="12" customFormat="1" x14ac:dyDescent="0.25"/>
    <row r="153024" s="12" customFormat="1" x14ac:dyDescent="0.25"/>
    <row r="153025" s="12" customFormat="1" x14ac:dyDescent="0.25"/>
    <row r="153026" s="12" customFormat="1" x14ac:dyDescent="0.25"/>
    <row r="153027" s="12" customFormat="1" x14ac:dyDescent="0.25"/>
    <row r="153028" s="12" customFormat="1" x14ac:dyDescent="0.25"/>
    <row r="153029" s="12" customFormat="1" x14ac:dyDescent="0.25"/>
    <row r="153030" s="12" customFormat="1" x14ac:dyDescent="0.25"/>
    <row r="153031" s="12" customFormat="1" x14ac:dyDescent="0.25"/>
    <row r="153032" s="12" customFormat="1" x14ac:dyDescent="0.25"/>
    <row r="153033" s="12" customFormat="1" x14ac:dyDescent="0.25"/>
    <row r="153034" s="12" customFormat="1" x14ac:dyDescent="0.25"/>
    <row r="153035" s="12" customFormat="1" x14ac:dyDescent="0.25"/>
    <row r="153036" s="12" customFormat="1" x14ac:dyDescent="0.25"/>
    <row r="153037" s="12" customFormat="1" x14ac:dyDescent="0.25"/>
    <row r="153038" s="12" customFormat="1" x14ac:dyDescent="0.25"/>
    <row r="153039" s="12" customFormat="1" x14ac:dyDescent="0.25"/>
    <row r="153040" s="12" customFormat="1" x14ac:dyDescent="0.25"/>
    <row r="153041" s="12" customFormat="1" x14ac:dyDescent="0.25"/>
    <row r="153042" s="12" customFormat="1" x14ac:dyDescent="0.25"/>
    <row r="153043" s="12" customFormat="1" x14ac:dyDescent="0.25"/>
    <row r="153044" s="12" customFormat="1" x14ac:dyDescent="0.25"/>
    <row r="153045" s="12" customFormat="1" x14ac:dyDescent="0.25"/>
    <row r="153046" s="12" customFormat="1" x14ac:dyDescent="0.25"/>
    <row r="153047" s="12" customFormat="1" x14ac:dyDescent="0.25"/>
    <row r="153048" s="12" customFormat="1" x14ac:dyDescent="0.25"/>
    <row r="153049" s="12" customFormat="1" x14ac:dyDescent="0.25"/>
    <row r="153050" s="12" customFormat="1" x14ac:dyDescent="0.25"/>
    <row r="153051" s="12" customFormat="1" x14ac:dyDescent="0.25"/>
    <row r="153052" s="12" customFormat="1" x14ac:dyDescent="0.25"/>
    <row r="153053" s="12" customFormat="1" x14ac:dyDescent="0.25"/>
    <row r="153054" s="12" customFormat="1" x14ac:dyDescent="0.25"/>
    <row r="153055" s="12" customFormat="1" x14ac:dyDescent="0.25"/>
    <row r="153056" s="12" customFormat="1" x14ac:dyDescent="0.25"/>
    <row r="153057" s="12" customFormat="1" x14ac:dyDescent="0.25"/>
    <row r="153058" s="12" customFormat="1" x14ac:dyDescent="0.25"/>
    <row r="153059" s="12" customFormat="1" x14ac:dyDescent="0.25"/>
    <row r="153060" s="12" customFormat="1" x14ac:dyDescent="0.25"/>
    <row r="153061" s="12" customFormat="1" x14ac:dyDescent="0.25"/>
    <row r="153062" s="12" customFormat="1" x14ac:dyDescent="0.25"/>
    <row r="153063" s="12" customFormat="1" x14ac:dyDescent="0.25"/>
    <row r="153064" s="12" customFormat="1" x14ac:dyDescent="0.25"/>
    <row r="153065" s="12" customFormat="1" x14ac:dyDescent="0.25"/>
    <row r="153066" s="12" customFormat="1" x14ac:dyDescent="0.25"/>
    <row r="153067" s="12" customFormat="1" x14ac:dyDescent="0.25"/>
    <row r="153068" s="12" customFormat="1" x14ac:dyDescent="0.25"/>
    <row r="153069" s="12" customFormat="1" x14ac:dyDescent="0.25"/>
    <row r="153070" s="12" customFormat="1" x14ac:dyDescent="0.25"/>
    <row r="153071" s="12" customFormat="1" x14ac:dyDescent="0.25"/>
    <row r="153072" s="12" customFormat="1" x14ac:dyDescent="0.25"/>
    <row r="153073" s="12" customFormat="1" x14ac:dyDescent="0.25"/>
    <row r="153074" s="12" customFormat="1" x14ac:dyDescent="0.25"/>
    <row r="153075" s="12" customFormat="1" x14ac:dyDescent="0.25"/>
    <row r="153076" s="12" customFormat="1" x14ac:dyDescent="0.25"/>
    <row r="153077" s="12" customFormat="1" x14ac:dyDescent="0.25"/>
    <row r="153078" s="12" customFormat="1" x14ac:dyDescent="0.25"/>
    <row r="153079" s="12" customFormat="1" x14ac:dyDescent="0.25"/>
    <row r="153080" s="12" customFormat="1" x14ac:dyDescent="0.25"/>
    <row r="153081" s="12" customFormat="1" x14ac:dyDescent="0.25"/>
    <row r="153082" s="12" customFormat="1" x14ac:dyDescent="0.25"/>
    <row r="153083" s="12" customFormat="1" x14ac:dyDescent="0.25"/>
    <row r="153084" s="12" customFormat="1" x14ac:dyDescent="0.25"/>
    <row r="153085" s="12" customFormat="1" x14ac:dyDescent="0.25"/>
    <row r="153086" s="12" customFormat="1" x14ac:dyDescent="0.25"/>
    <row r="153087" s="12" customFormat="1" x14ac:dyDescent="0.25"/>
    <row r="153088" s="12" customFormat="1" x14ac:dyDescent="0.25"/>
    <row r="153089" s="12" customFormat="1" x14ac:dyDescent="0.25"/>
    <row r="153090" s="12" customFormat="1" x14ac:dyDescent="0.25"/>
    <row r="153091" s="12" customFormat="1" x14ac:dyDescent="0.25"/>
    <row r="153092" s="12" customFormat="1" x14ac:dyDescent="0.25"/>
    <row r="153093" s="12" customFormat="1" x14ac:dyDescent="0.25"/>
    <row r="153094" s="12" customFormat="1" x14ac:dyDescent="0.25"/>
    <row r="153095" s="12" customFormat="1" x14ac:dyDescent="0.25"/>
    <row r="153096" s="12" customFormat="1" x14ac:dyDescent="0.25"/>
    <row r="153097" s="12" customFormat="1" x14ac:dyDescent="0.25"/>
    <row r="153098" s="12" customFormat="1" x14ac:dyDescent="0.25"/>
    <row r="153099" s="12" customFormat="1" x14ac:dyDescent="0.25"/>
    <row r="153100" s="12" customFormat="1" x14ac:dyDescent="0.25"/>
    <row r="153101" s="12" customFormat="1" x14ac:dyDescent="0.25"/>
    <row r="153102" s="12" customFormat="1" x14ac:dyDescent="0.25"/>
    <row r="153103" s="12" customFormat="1" x14ac:dyDescent="0.25"/>
    <row r="153104" s="12" customFormat="1" x14ac:dyDescent="0.25"/>
    <row r="153105" s="12" customFormat="1" x14ac:dyDescent="0.25"/>
    <row r="153106" s="12" customFormat="1" x14ac:dyDescent="0.25"/>
    <row r="153107" s="12" customFormat="1" x14ac:dyDescent="0.25"/>
    <row r="153108" s="12" customFormat="1" x14ac:dyDescent="0.25"/>
    <row r="153109" s="12" customFormat="1" x14ac:dyDescent="0.25"/>
    <row r="153110" s="12" customFormat="1" x14ac:dyDescent="0.25"/>
    <row r="153111" s="12" customFormat="1" x14ac:dyDescent="0.25"/>
    <row r="153112" s="12" customFormat="1" x14ac:dyDescent="0.25"/>
    <row r="153113" s="12" customFormat="1" x14ac:dyDescent="0.25"/>
    <row r="153114" s="12" customFormat="1" x14ac:dyDescent="0.25"/>
    <row r="153115" s="12" customFormat="1" x14ac:dyDescent="0.25"/>
    <row r="153116" s="12" customFormat="1" x14ac:dyDescent="0.25"/>
    <row r="153117" s="12" customFormat="1" x14ac:dyDescent="0.25"/>
    <row r="153118" s="12" customFormat="1" x14ac:dyDescent="0.25"/>
    <row r="153119" s="12" customFormat="1" x14ac:dyDescent="0.25"/>
    <row r="153120" s="12" customFormat="1" x14ac:dyDescent="0.25"/>
    <row r="153121" s="12" customFormat="1" x14ac:dyDescent="0.25"/>
    <row r="153122" s="12" customFormat="1" x14ac:dyDescent="0.25"/>
    <row r="153123" s="12" customFormat="1" x14ac:dyDescent="0.25"/>
    <row r="153124" s="12" customFormat="1" x14ac:dyDescent="0.25"/>
    <row r="153125" s="12" customFormat="1" x14ac:dyDescent="0.25"/>
    <row r="153126" s="12" customFormat="1" x14ac:dyDescent="0.25"/>
    <row r="153127" s="12" customFormat="1" x14ac:dyDescent="0.25"/>
    <row r="153128" s="12" customFormat="1" x14ac:dyDescent="0.25"/>
    <row r="153129" s="12" customFormat="1" x14ac:dyDescent="0.25"/>
    <row r="153130" s="12" customFormat="1" x14ac:dyDescent="0.25"/>
    <row r="153131" s="12" customFormat="1" x14ac:dyDescent="0.25"/>
    <row r="153132" s="12" customFormat="1" x14ac:dyDescent="0.25"/>
    <row r="153133" s="12" customFormat="1" x14ac:dyDescent="0.25"/>
    <row r="153134" s="12" customFormat="1" x14ac:dyDescent="0.25"/>
    <row r="153135" s="12" customFormat="1" x14ac:dyDescent="0.25"/>
    <row r="153136" s="12" customFormat="1" x14ac:dyDescent="0.25"/>
    <row r="153137" s="12" customFormat="1" x14ac:dyDescent="0.25"/>
    <row r="153138" s="12" customFormat="1" x14ac:dyDescent="0.25"/>
    <row r="153139" s="12" customFormat="1" x14ac:dyDescent="0.25"/>
    <row r="153140" s="12" customFormat="1" x14ac:dyDescent="0.25"/>
    <row r="153141" s="12" customFormat="1" x14ac:dyDescent="0.25"/>
    <row r="153142" s="12" customFormat="1" x14ac:dyDescent="0.25"/>
    <row r="153143" s="12" customFormat="1" x14ac:dyDescent="0.25"/>
    <row r="153144" s="12" customFormat="1" x14ac:dyDescent="0.25"/>
    <row r="153145" s="12" customFormat="1" x14ac:dyDescent="0.25"/>
    <row r="153146" s="12" customFormat="1" x14ac:dyDescent="0.25"/>
    <row r="153147" s="12" customFormat="1" x14ac:dyDescent="0.25"/>
    <row r="153148" s="12" customFormat="1" x14ac:dyDescent="0.25"/>
    <row r="153149" s="12" customFormat="1" x14ac:dyDescent="0.25"/>
    <row r="153150" s="12" customFormat="1" x14ac:dyDescent="0.25"/>
    <row r="153151" s="12" customFormat="1" x14ac:dyDescent="0.25"/>
    <row r="153152" s="12" customFormat="1" x14ac:dyDescent="0.25"/>
    <row r="153153" s="12" customFormat="1" x14ac:dyDescent="0.25"/>
    <row r="153154" s="12" customFormat="1" x14ac:dyDescent="0.25"/>
    <row r="153155" s="12" customFormat="1" x14ac:dyDescent="0.25"/>
    <row r="153156" s="12" customFormat="1" x14ac:dyDescent="0.25"/>
    <row r="153157" s="12" customFormat="1" x14ac:dyDescent="0.25"/>
    <row r="153158" s="12" customFormat="1" x14ac:dyDescent="0.25"/>
    <row r="153159" s="12" customFormat="1" x14ac:dyDescent="0.25"/>
    <row r="153160" s="12" customFormat="1" x14ac:dyDescent="0.25"/>
    <row r="153161" s="12" customFormat="1" x14ac:dyDescent="0.25"/>
    <row r="153162" s="12" customFormat="1" x14ac:dyDescent="0.25"/>
    <row r="153163" s="12" customFormat="1" x14ac:dyDescent="0.25"/>
    <row r="153164" s="12" customFormat="1" x14ac:dyDescent="0.25"/>
    <row r="153165" s="12" customFormat="1" x14ac:dyDescent="0.25"/>
    <row r="153166" s="12" customFormat="1" x14ac:dyDescent="0.25"/>
    <row r="153167" s="12" customFormat="1" x14ac:dyDescent="0.25"/>
    <row r="153168" s="12" customFormat="1" x14ac:dyDescent="0.25"/>
    <row r="153169" s="12" customFormat="1" x14ac:dyDescent="0.25"/>
    <row r="153170" s="12" customFormat="1" x14ac:dyDescent="0.25"/>
    <row r="153171" s="12" customFormat="1" x14ac:dyDescent="0.25"/>
    <row r="153172" s="12" customFormat="1" x14ac:dyDescent="0.25"/>
    <row r="153173" s="12" customFormat="1" x14ac:dyDescent="0.25"/>
    <row r="153174" s="12" customFormat="1" x14ac:dyDescent="0.25"/>
    <row r="153175" s="12" customFormat="1" x14ac:dyDescent="0.25"/>
    <row r="153176" s="12" customFormat="1" x14ac:dyDescent="0.25"/>
    <row r="153177" s="12" customFormat="1" x14ac:dyDescent="0.25"/>
    <row r="153178" s="12" customFormat="1" x14ac:dyDescent="0.25"/>
    <row r="153179" s="12" customFormat="1" x14ac:dyDescent="0.25"/>
    <row r="153180" s="12" customFormat="1" x14ac:dyDescent="0.25"/>
    <row r="153181" s="12" customFormat="1" x14ac:dyDescent="0.25"/>
    <row r="153182" s="12" customFormat="1" x14ac:dyDescent="0.25"/>
    <row r="153183" s="12" customFormat="1" x14ac:dyDescent="0.25"/>
    <row r="153184" s="12" customFormat="1" x14ac:dyDescent="0.25"/>
    <row r="153185" s="12" customFormat="1" x14ac:dyDescent="0.25"/>
    <row r="153186" s="12" customFormat="1" x14ac:dyDescent="0.25"/>
    <row r="153187" s="12" customFormat="1" x14ac:dyDescent="0.25"/>
    <row r="153188" s="12" customFormat="1" x14ac:dyDescent="0.25"/>
    <row r="153189" s="12" customFormat="1" x14ac:dyDescent="0.25"/>
    <row r="153190" s="12" customFormat="1" x14ac:dyDescent="0.25"/>
    <row r="153191" s="12" customFormat="1" x14ac:dyDescent="0.25"/>
    <row r="153192" s="12" customFormat="1" x14ac:dyDescent="0.25"/>
    <row r="153193" s="12" customFormat="1" x14ac:dyDescent="0.25"/>
    <row r="153194" s="12" customFormat="1" x14ac:dyDescent="0.25"/>
    <row r="153195" s="12" customFormat="1" x14ac:dyDescent="0.25"/>
    <row r="153196" s="12" customFormat="1" x14ac:dyDescent="0.25"/>
    <row r="153197" s="12" customFormat="1" x14ac:dyDescent="0.25"/>
    <row r="153198" s="12" customFormat="1" x14ac:dyDescent="0.25"/>
    <row r="153199" s="12" customFormat="1" x14ac:dyDescent="0.25"/>
    <row r="153200" s="12" customFormat="1" x14ac:dyDescent="0.25"/>
    <row r="153201" s="12" customFormat="1" x14ac:dyDescent="0.25"/>
    <row r="153202" s="12" customFormat="1" x14ac:dyDescent="0.25"/>
    <row r="153203" s="12" customFormat="1" x14ac:dyDescent="0.25"/>
    <row r="153204" s="12" customFormat="1" x14ac:dyDescent="0.25"/>
    <row r="153205" s="12" customFormat="1" x14ac:dyDescent="0.25"/>
    <row r="153206" s="12" customFormat="1" x14ac:dyDescent="0.25"/>
    <row r="153207" s="12" customFormat="1" x14ac:dyDescent="0.25"/>
    <row r="153208" s="12" customFormat="1" x14ac:dyDescent="0.25"/>
    <row r="153209" s="12" customFormat="1" x14ac:dyDescent="0.25"/>
    <row r="153210" s="12" customFormat="1" x14ac:dyDescent="0.25"/>
    <row r="153211" s="12" customFormat="1" x14ac:dyDescent="0.25"/>
    <row r="153212" s="12" customFormat="1" x14ac:dyDescent="0.25"/>
    <row r="153213" s="12" customFormat="1" x14ac:dyDescent="0.25"/>
    <row r="153214" s="12" customFormat="1" x14ac:dyDescent="0.25"/>
    <row r="153215" s="12" customFormat="1" x14ac:dyDescent="0.25"/>
    <row r="153216" s="12" customFormat="1" x14ac:dyDescent="0.25"/>
    <row r="153217" s="12" customFormat="1" x14ac:dyDescent="0.25"/>
    <row r="153218" s="12" customFormat="1" x14ac:dyDescent="0.25"/>
    <row r="153219" s="12" customFormat="1" x14ac:dyDescent="0.25"/>
    <row r="153220" s="12" customFormat="1" x14ac:dyDescent="0.25"/>
    <row r="153221" s="12" customFormat="1" x14ac:dyDescent="0.25"/>
    <row r="153222" s="12" customFormat="1" x14ac:dyDescent="0.25"/>
    <row r="153223" s="12" customFormat="1" x14ac:dyDescent="0.25"/>
    <row r="153224" s="12" customFormat="1" x14ac:dyDescent="0.25"/>
    <row r="153225" s="12" customFormat="1" x14ac:dyDescent="0.25"/>
    <row r="153226" s="12" customFormat="1" x14ac:dyDescent="0.25"/>
    <row r="153227" s="12" customFormat="1" x14ac:dyDescent="0.25"/>
    <row r="153228" s="12" customFormat="1" x14ac:dyDescent="0.25"/>
    <row r="153229" s="12" customFormat="1" x14ac:dyDescent="0.25"/>
    <row r="153230" s="12" customFormat="1" x14ac:dyDescent="0.25"/>
    <row r="153231" s="12" customFormat="1" x14ac:dyDescent="0.25"/>
    <row r="153232" s="12" customFormat="1" x14ac:dyDescent="0.25"/>
    <row r="153233" s="12" customFormat="1" x14ac:dyDescent="0.25"/>
    <row r="153234" s="12" customFormat="1" x14ac:dyDescent="0.25"/>
    <row r="153235" s="12" customFormat="1" x14ac:dyDescent="0.25"/>
    <row r="153236" s="12" customFormat="1" x14ac:dyDescent="0.25"/>
    <row r="153237" s="12" customFormat="1" x14ac:dyDescent="0.25"/>
    <row r="153238" s="12" customFormat="1" x14ac:dyDescent="0.25"/>
    <row r="153239" s="12" customFormat="1" x14ac:dyDescent="0.25"/>
    <row r="153240" s="12" customFormat="1" x14ac:dyDescent="0.25"/>
    <row r="153241" s="12" customFormat="1" x14ac:dyDescent="0.25"/>
    <row r="153242" s="12" customFormat="1" x14ac:dyDescent="0.25"/>
    <row r="153243" s="12" customFormat="1" x14ac:dyDescent="0.25"/>
    <row r="153244" s="12" customFormat="1" x14ac:dyDescent="0.25"/>
    <row r="153245" s="12" customFormat="1" x14ac:dyDescent="0.25"/>
    <row r="153246" s="12" customFormat="1" x14ac:dyDescent="0.25"/>
    <row r="153247" s="12" customFormat="1" x14ac:dyDescent="0.25"/>
    <row r="153248" s="12" customFormat="1" x14ac:dyDescent="0.25"/>
    <row r="153249" s="12" customFormat="1" x14ac:dyDescent="0.25"/>
    <row r="153250" s="12" customFormat="1" x14ac:dyDescent="0.25"/>
    <row r="153251" s="12" customFormat="1" x14ac:dyDescent="0.25"/>
    <row r="153252" s="12" customFormat="1" x14ac:dyDescent="0.25"/>
    <row r="153253" s="12" customFormat="1" x14ac:dyDescent="0.25"/>
    <row r="153254" s="12" customFormat="1" x14ac:dyDescent="0.25"/>
    <row r="153255" s="12" customFormat="1" x14ac:dyDescent="0.25"/>
    <row r="153256" s="12" customFormat="1" x14ac:dyDescent="0.25"/>
    <row r="153257" s="12" customFormat="1" x14ac:dyDescent="0.25"/>
    <row r="153258" s="12" customFormat="1" x14ac:dyDescent="0.25"/>
    <row r="153259" s="12" customFormat="1" x14ac:dyDescent="0.25"/>
    <row r="153260" s="12" customFormat="1" x14ac:dyDescent="0.25"/>
    <row r="153261" s="12" customFormat="1" x14ac:dyDescent="0.25"/>
    <row r="153262" s="12" customFormat="1" x14ac:dyDescent="0.25"/>
    <row r="153263" s="12" customFormat="1" x14ac:dyDescent="0.25"/>
    <row r="153264" s="12" customFormat="1" x14ac:dyDescent="0.25"/>
    <row r="153265" s="12" customFormat="1" x14ac:dyDescent="0.25"/>
    <row r="153266" s="12" customFormat="1" x14ac:dyDescent="0.25"/>
    <row r="153267" s="12" customFormat="1" x14ac:dyDescent="0.25"/>
    <row r="153268" s="12" customFormat="1" x14ac:dyDescent="0.25"/>
    <row r="153269" s="12" customFormat="1" x14ac:dyDescent="0.25"/>
    <row r="153270" s="12" customFormat="1" x14ac:dyDescent="0.25"/>
    <row r="153271" s="12" customFormat="1" x14ac:dyDescent="0.25"/>
    <row r="153272" s="12" customFormat="1" x14ac:dyDescent="0.25"/>
    <row r="153273" s="12" customFormat="1" x14ac:dyDescent="0.25"/>
    <row r="153274" s="12" customFormat="1" x14ac:dyDescent="0.25"/>
    <row r="153275" s="12" customFormat="1" x14ac:dyDescent="0.25"/>
    <row r="153276" s="12" customFormat="1" x14ac:dyDescent="0.25"/>
    <row r="153277" s="12" customFormat="1" x14ac:dyDescent="0.25"/>
    <row r="153278" s="12" customFormat="1" x14ac:dyDescent="0.25"/>
    <row r="153279" s="12" customFormat="1" x14ac:dyDescent="0.25"/>
    <row r="153280" s="12" customFormat="1" x14ac:dyDescent="0.25"/>
    <row r="153281" s="12" customFormat="1" x14ac:dyDescent="0.25"/>
    <row r="153282" s="12" customFormat="1" x14ac:dyDescent="0.25"/>
    <row r="153283" s="12" customFormat="1" x14ac:dyDescent="0.25"/>
    <row r="153284" s="12" customFormat="1" x14ac:dyDescent="0.25"/>
    <row r="153285" s="12" customFormat="1" x14ac:dyDescent="0.25"/>
    <row r="153286" s="12" customFormat="1" x14ac:dyDescent="0.25"/>
    <row r="153287" s="12" customFormat="1" x14ac:dyDescent="0.25"/>
    <row r="153288" s="12" customFormat="1" x14ac:dyDescent="0.25"/>
    <row r="153289" s="12" customFormat="1" x14ac:dyDescent="0.25"/>
    <row r="153290" s="12" customFormat="1" x14ac:dyDescent="0.25"/>
    <row r="153291" s="12" customFormat="1" x14ac:dyDescent="0.25"/>
    <row r="153292" s="12" customFormat="1" x14ac:dyDescent="0.25"/>
    <row r="153293" s="12" customFormat="1" x14ac:dyDescent="0.25"/>
    <row r="153294" s="12" customFormat="1" x14ac:dyDescent="0.25"/>
    <row r="153295" s="12" customFormat="1" x14ac:dyDescent="0.25"/>
    <row r="153296" s="12" customFormat="1" x14ac:dyDescent="0.25"/>
    <row r="153297" s="12" customFormat="1" x14ac:dyDescent="0.25"/>
    <row r="153298" s="12" customFormat="1" x14ac:dyDescent="0.25"/>
    <row r="153299" s="12" customFormat="1" x14ac:dyDescent="0.25"/>
    <row r="153300" s="12" customFormat="1" x14ac:dyDescent="0.25"/>
    <row r="153301" s="12" customFormat="1" x14ac:dyDescent="0.25"/>
    <row r="153302" s="12" customFormat="1" x14ac:dyDescent="0.25"/>
    <row r="153303" s="12" customFormat="1" x14ac:dyDescent="0.25"/>
    <row r="153304" s="12" customFormat="1" x14ac:dyDescent="0.25"/>
    <row r="153305" s="12" customFormat="1" x14ac:dyDescent="0.25"/>
    <row r="153306" s="12" customFormat="1" x14ac:dyDescent="0.25"/>
    <row r="153307" s="12" customFormat="1" x14ac:dyDescent="0.25"/>
    <row r="153308" s="12" customFormat="1" x14ac:dyDescent="0.25"/>
    <row r="153309" s="12" customFormat="1" x14ac:dyDescent="0.25"/>
    <row r="153310" s="12" customFormat="1" x14ac:dyDescent="0.25"/>
    <row r="153311" s="12" customFormat="1" x14ac:dyDescent="0.25"/>
    <row r="153312" s="12" customFormat="1" x14ac:dyDescent="0.25"/>
    <row r="153313" s="12" customFormat="1" x14ac:dyDescent="0.25"/>
    <row r="153314" s="12" customFormat="1" x14ac:dyDescent="0.25"/>
    <row r="153315" s="12" customFormat="1" x14ac:dyDescent="0.25"/>
    <row r="153316" s="12" customFormat="1" x14ac:dyDescent="0.25"/>
    <row r="153317" s="12" customFormat="1" x14ac:dyDescent="0.25"/>
    <row r="153318" s="12" customFormat="1" x14ac:dyDescent="0.25"/>
    <row r="153319" s="12" customFormat="1" x14ac:dyDescent="0.25"/>
    <row r="153320" s="12" customFormat="1" x14ac:dyDescent="0.25"/>
    <row r="153321" s="12" customFormat="1" x14ac:dyDescent="0.25"/>
    <row r="153322" s="12" customFormat="1" x14ac:dyDescent="0.25"/>
    <row r="153323" s="12" customFormat="1" x14ac:dyDescent="0.25"/>
    <row r="153324" s="12" customFormat="1" x14ac:dyDescent="0.25"/>
    <row r="153325" s="12" customFormat="1" x14ac:dyDescent="0.25"/>
    <row r="153326" s="12" customFormat="1" x14ac:dyDescent="0.25"/>
    <row r="153327" s="12" customFormat="1" x14ac:dyDescent="0.25"/>
    <row r="153328" s="12" customFormat="1" x14ac:dyDescent="0.25"/>
    <row r="153329" s="12" customFormat="1" x14ac:dyDescent="0.25"/>
    <row r="153330" s="12" customFormat="1" x14ac:dyDescent="0.25"/>
    <row r="153331" s="12" customFormat="1" x14ac:dyDescent="0.25"/>
    <row r="153332" s="12" customFormat="1" x14ac:dyDescent="0.25"/>
    <row r="153333" s="12" customFormat="1" x14ac:dyDescent="0.25"/>
    <row r="153334" s="12" customFormat="1" x14ac:dyDescent="0.25"/>
    <row r="153335" s="12" customFormat="1" x14ac:dyDescent="0.25"/>
    <row r="153336" s="12" customFormat="1" x14ac:dyDescent="0.25"/>
    <row r="153337" s="12" customFormat="1" x14ac:dyDescent="0.25"/>
    <row r="153338" s="12" customFormat="1" x14ac:dyDescent="0.25"/>
    <row r="153339" s="12" customFormat="1" x14ac:dyDescent="0.25"/>
    <row r="153340" s="12" customFormat="1" x14ac:dyDescent="0.25"/>
    <row r="153341" s="12" customFormat="1" x14ac:dyDescent="0.25"/>
    <row r="153342" s="12" customFormat="1" x14ac:dyDescent="0.25"/>
    <row r="153343" s="12" customFormat="1" x14ac:dyDescent="0.25"/>
    <row r="153344" s="12" customFormat="1" x14ac:dyDescent="0.25"/>
    <row r="153345" s="12" customFormat="1" x14ac:dyDescent="0.25"/>
    <row r="153346" s="12" customFormat="1" x14ac:dyDescent="0.25"/>
    <row r="153347" s="12" customFormat="1" x14ac:dyDescent="0.25"/>
    <row r="153348" s="12" customFormat="1" x14ac:dyDescent="0.25"/>
    <row r="153349" s="12" customFormat="1" x14ac:dyDescent="0.25"/>
    <row r="153350" s="12" customFormat="1" x14ac:dyDescent="0.25"/>
    <row r="153351" s="12" customFormat="1" x14ac:dyDescent="0.25"/>
    <row r="153352" s="12" customFormat="1" x14ac:dyDescent="0.25"/>
    <row r="153353" s="12" customFormat="1" x14ac:dyDescent="0.25"/>
    <row r="153354" s="12" customFormat="1" x14ac:dyDescent="0.25"/>
    <row r="153355" s="12" customFormat="1" x14ac:dyDescent="0.25"/>
    <row r="153356" s="12" customFormat="1" x14ac:dyDescent="0.25"/>
    <row r="153357" s="12" customFormat="1" x14ac:dyDescent="0.25"/>
    <row r="153358" s="12" customFormat="1" x14ac:dyDescent="0.25"/>
    <row r="153359" s="12" customFormat="1" x14ac:dyDescent="0.25"/>
    <row r="153360" s="12" customFormat="1" x14ac:dyDescent="0.25"/>
    <row r="153361" s="12" customFormat="1" x14ac:dyDescent="0.25"/>
    <row r="153362" s="12" customFormat="1" x14ac:dyDescent="0.25"/>
    <row r="153363" s="12" customFormat="1" x14ac:dyDescent="0.25"/>
    <row r="153364" s="12" customFormat="1" x14ac:dyDescent="0.25"/>
    <row r="153365" s="12" customFormat="1" x14ac:dyDescent="0.25"/>
    <row r="153366" s="12" customFormat="1" x14ac:dyDescent="0.25"/>
    <row r="153367" s="12" customFormat="1" x14ac:dyDescent="0.25"/>
    <row r="153368" s="12" customFormat="1" x14ac:dyDescent="0.25"/>
    <row r="153369" s="12" customFormat="1" x14ac:dyDescent="0.25"/>
    <row r="153370" s="12" customFormat="1" x14ac:dyDescent="0.25"/>
    <row r="153371" s="12" customFormat="1" x14ac:dyDescent="0.25"/>
    <row r="153372" s="12" customFormat="1" x14ac:dyDescent="0.25"/>
    <row r="153373" s="12" customFormat="1" x14ac:dyDescent="0.25"/>
    <row r="153374" s="12" customFormat="1" x14ac:dyDescent="0.25"/>
    <row r="153375" s="12" customFormat="1" x14ac:dyDescent="0.25"/>
    <row r="153376" s="12" customFormat="1" x14ac:dyDescent="0.25"/>
    <row r="153377" s="12" customFormat="1" x14ac:dyDescent="0.25"/>
    <row r="153378" s="12" customFormat="1" x14ac:dyDescent="0.25"/>
    <row r="153379" s="12" customFormat="1" x14ac:dyDescent="0.25"/>
    <row r="153380" s="12" customFormat="1" x14ac:dyDescent="0.25"/>
    <row r="153381" s="12" customFormat="1" x14ac:dyDescent="0.25"/>
    <row r="153382" s="12" customFormat="1" x14ac:dyDescent="0.25"/>
    <row r="153383" s="12" customFormat="1" x14ac:dyDescent="0.25"/>
    <row r="153384" s="12" customFormat="1" x14ac:dyDescent="0.25"/>
    <row r="153385" s="12" customFormat="1" x14ac:dyDescent="0.25"/>
    <row r="153386" s="12" customFormat="1" x14ac:dyDescent="0.25"/>
    <row r="153387" s="12" customFormat="1" x14ac:dyDescent="0.25"/>
    <row r="153388" s="12" customFormat="1" x14ac:dyDescent="0.25"/>
    <row r="153389" s="12" customFormat="1" x14ac:dyDescent="0.25"/>
    <row r="153390" s="12" customFormat="1" x14ac:dyDescent="0.25"/>
    <row r="153391" s="12" customFormat="1" x14ac:dyDescent="0.25"/>
    <row r="153392" s="12" customFormat="1" x14ac:dyDescent="0.25"/>
    <row r="153393" s="12" customFormat="1" x14ac:dyDescent="0.25"/>
    <row r="153394" s="12" customFormat="1" x14ac:dyDescent="0.25"/>
    <row r="153395" s="12" customFormat="1" x14ac:dyDescent="0.25"/>
    <row r="153396" s="12" customFormat="1" x14ac:dyDescent="0.25"/>
    <row r="153397" s="12" customFormat="1" x14ac:dyDescent="0.25"/>
    <row r="153398" s="12" customFormat="1" x14ac:dyDescent="0.25"/>
    <row r="153399" s="12" customFormat="1" x14ac:dyDescent="0.25"/>
    <row r="153400" s="12" customFormat="1" x14ac:dyDescent="0.25"/>
    <row r="153401" s="12" customFormat="1" x14ac:dyDescent="0.25"/>
    <row r="153402" s="12" customFormat="1" x14ac:dyDescent="0.25"/>
    <row r="153403" s="12" customFormat="1" x14ac:dyDescent="0.25"/>
    <row r="153404" s="12" customFormat="1" x14ac:dyDescent="0.25"/>
    <row r="153405" s="12" customFormat="1" x14ac:dyDescent="0.25"/>
    <row r="153406" s="12" customFormat="1" x14ac:dyDescent="0.25"/>
    <row r="153407" s="12" customFormat="1" x14ac:dyDescent="0.25"/>
    <row r="153408" s="12" customFormat="1" x14ac:dyDescent="0.25"/>
    <row r="153409" s="12" customFormat="1" x14ac:dyDescent="0.25"/>
    <row r="153410" s="12" customFormat="1" x14ac:dyDescent="0.25"/>
    <row r="153411" s="12" customFormat="1" x14ac:dyDescent="0.25"/>
    <row r="153412" s="12" customFormat="1" x14ac:dyDescent="0.25"/>
    <row r="153413" s="12" customFormat="1" x14ac:dyDescent="0.25"/>
    <row r="153414" s="12" customFormat="1" x14ac:dyDescent="0.25"/>
    <row r="153415" s="12" customFormat="1" x14ac:dyDescent="0.25"/>
    <row r="153416" s="12" customFormat="1" x14ac:dyDescent="0.25"/>
    <row r="153417" s="12" customFormat="1" x14ac:dyDescent="0.25"/>
    <row r="153418" s="12" customFormat="1" x14ac:dyDescent="0.25"/>
    <row r="153419" s="12" customFormat="1" x14ac:dyDescent="0.25"/>
    <row r="153420" s="12" customFormat="1" x14ac:dyDescent="0.25"/>
    <row r="153421" s="12" customFormat="1" x14ac:dyDescent="0.25"/>
    <row r="153422" s="12" customFormat="1" x14ac:dyDescent="0.25"/>
    <row r="153423" s="12" customFormat="1" x14ac:dyDescent="0.25"/>
    <row r="153424" s="12" customFormat="1" x14ac:dyDescent="0.25"/>
    <row r="153425" s="12" customFormat="1" x14ac:dyDescent="0.25"/>
    <row r="153426" s="12" customFormat="1" x14ac:dyDescent="0.25"/>
    <row r="153427" s="12" customFormat="1" x14ac:dyDescent="0.25"/>
    <row r="153428" s="12" customFormat="1" x14ac:dyDescent="0.25"/>
    <row r="153429" s="12" customFormat="1" x14ac:dyDescent="0.25"/>
    <row r="153430" s="12" customFormat="1" x14ac:dyDescent="0.25"/>
    <row r="153431" s="12" customFormat="1" x14ac:dyDescent="0.25"/>
    <row r="153432" s="12" customFormat="1" x14ac:dyDescent="0.25"/>
    <row r="153433" s="12" customFormat="1" x14ac:dyDescent="0.25"/>
    <row r="153434" s="12" customFormat="1" x14ac:dyDescent="0.25"/>
    <row r="153435" s="12" customFormat="1" x14ac:dyDescent="0.25"/>
    <row r="153436" s="12" customFormat="1" x14ac:dyDescent="0.25"/>
    <row r="153437" s="12" customFormat="1" x14ac:dyDescent="0.25"/>
    <row r="153438" s="12" customFormat="1" x14ac:dyDescent="0.25"/>
    <row r="153439" s="12" customFormat="1" x14ac:dyDescent="0.25"/>
    <row r="153440" s="12" customFormat="1" x14ac:dyDescent="0.25"/>
    <row r="153441" s="12" customFormat="1" x14ac:dyDescent="0.25"/>
    <row r="153442" s="12" customFormat="1" x14ac:dyDescent="0.25"/>
    <row r="153443" s="12" customFormat="1" x14ac:dyDescent="0.25"/>
    <row r="153444" s="12" customFormat="1" x14ac:dyDescent="0.25"/>
    <row r="153445" s="12" customFormat="1" x14ac:dyDescent="0.25"/>
    <row r="153446" s="12" customFormat="1" x14ac:dyDescent="0.25"/>
    <row r="153447" s="12" customFormat="1" x14ac:dyDescent="0.25"/>
    <row r="153448" s="12" customFormat="1" x14ac:dyDescent="0.25"/>
    <row r="153449" s="12" customFormat="1" x14ac:dyDescent="0.25"/>
    <row r="153450" s="12" customFormat="1" x14ac:dyDescent="0.25"/>
    <row r="153451" s="12" customFormat="1" x14ac:dyDescent="0.25"/>
    <row r="153452" s="12" customFormat="1" x14ac:dyDescent="0.25"/>
    <row r="153453" s="12" customFormat="1" x14ac:dyDescent="0.25"/>
    <row r="153454" s="12" customFormat="1" x14ac:dyDescent="0.25"/>
    <row r="153455" s="12" customFormat="1" x14ac:dyDescent="0.25"/>
    <row r="153456" s="12" customFormat="1" x14ac:dyDescent="0.25"/>
    <row r="153457" s="12" customFormat="1" x14ac:dyDescent="0.25"/>
    <row r="153458" s="12" customFormat="1" x14ac:dyDescent="0.25"/>
    <row r="153459" s="12" customFormat="1" x14ac:dyDescent="0.25"/>
    <row r="153460" s="12" customFormat="1" x14ac:dyDescent="0.25"/>
    <row r="153461" s="12" customFormat="1" x14ac:dyDescent="0.25"/>
    <row r="153462" s="12" customFormat="1" x14ac:dyDescent="0.25"/>
    <row r="153463" s="12" customFormat="1" x14ac:dyDescent="0.25"/>
    <row r="153464" s="12" customFormat="1" x14ac:dyDescent="0.25"/>
    <row r="153465" s="12" customFormat="1" x14ac:dyDescent="0.25"/>
    <row r="153466" s="12" customFormat="1" x14ac:dyDescent="0.25"/>
    <row r="153467" s="12" customFormat="1" x14ac:dyDescent="0.25"/>
    <row r="153468" s="12" customFormat="1" x14ac:dyDescent="0.25"/>
    <row r="153469" s="12" customFormat="1" x14ac:dyDescent="0.25"/>
    <row r="153470" s="12" customFormat="1" x14ac:dyDescent="0.25"/>
    <row r="153471" s="12" customFormat="1" x14ac:dyDescent="0.25"/>
    <row r="153472" s="12" customFormat="1" x14ac:dyDescent="0.25"/>
    <row r="153473" s="12" customFormat="1" x14ac:dyDescent="0.25"/>
    <row r="153474" s="12" customFormat="1" x14ac:dyDescent="0.25"/>
    <row r="153475" s="12" customFormat="1" x14ac:dyDescent="0.25"/>
    <row r="153476" s="12" customFormat="1" x14ac:dyDescent="0.25"/>
    <row r="153477" s="12" customFormat="1" x14ac:dyDescent="0.25"/>
    <row r="153478" s="12" customFormat="1" x14ac:dyDescent="0.25"/>
    <row r="153479" s="12" customFormat="1" x14ac:dyDescent="0.25"/>
    <row r="153480" s="12" customFormat="1" x14ac:dyDescent="0.25"/>
    <row r="153481" s="12" customFormat="1" x14ac:dyDescent="0.25"/>
    <row r="153482" s="12" customFormat="1" x14ac:dyDescent="0.25"/>
    <row r="153483" s="12" customFormat="1" x14ac:dyDescent="0.25"/>
    <row r="153484" s="12" customFormat="1" x14ac:dyDescent="0.25"/>
    <row r="153485" s="12" customFormat="1" x14ac:dyDescent="0.25"/>
    <row r="153486" s="12" customFormat="1" x14ac:dyDescent="0.25"/>
    <row r="153487" s="12" customFormat="1" x14ac:dyDescent="0.25"/>
    <row r="153488" s="12" customFormat="1" x14ac:dyDescent="0.25"/>
    <row r="153489" s="12" customFormat="1" x14ac:dyDescent="0.25"/>
    <row r="153490" s="12" customFormat="1" x14ac:dyDescent="0.25"/>
    <row r="153491" s="12" customFormat="1" x14ac:dyDescent="0.25"/>
    <row r="153492" s="12" customFormat="1" x14ac:dyDescent="0.25"/>
    <row r="153493" s="12" customFormat="1" x14ac:dyDescent="0.25"/>
    <row r="153494" s="12" customFormat="1" x14ac:dyDescent="0.25"/>
    <row r="153495" s="12" customFormat="1" x14ac:dyDescent="0.25"/>
    <row r="153496" s="12" customFormat="1" x14ac:dyDescent="0.25"/>
    <row r="153497" s="12" customFormat="1" x14ac:dyDescent="0.25"/>
    <row r="153498" s="12" customFormat="1" x14ac:dyDescent="0.25"/>
    <row r="153499" s="12" customFormat="1" x14ac:dyDescent="0.25"/>
    <row r="153500" s="12" customFormat="1" x14ac:dyDescent="0.25"/>
    <row r="153501" s="12" customFormat="1" x14ac:dyDescent="0.25"/>
    <row r="153502" s="12" customFormat="1" x14ac:dyDescent="0.25"/>
    <row r="153503" s="12" customFormat="1" x14ac:dyDescent="0.25"/>
    <row r="153504" s="12" customFormat="1" x14ac:dyDescent="0.25"/>
    <row r="153505" s="12" customFormat="1" x14ac:dyDescent="0.25"/>
    <row r="153506" s="12" customFormat="1" x14ac:dyDescent="0.25"/>
    <row r="153507" s="12" customFormat="1" x14ac:dyDescent="0.25"/>
    <row r="153508" s="12" customFormat="1" x14ac:dyDescent="0.25"/>
    <row r="153509" s="12" customFormat="1" x14ac:dyDescent="0.25"/>
    <row r="153510" s="12" customFormat="1" x14ac:dyDescent="0.25"/>
    <row r="153511" s="12" customFormat="1" x14ac:dyDescent="0.25"/>
    <row r="153512" s="12" customFormat="1" x14ac:dyDescent="0.25"/>
    <row r="153513" s="12" customFormat="1" x14ac:dyDescent="0.25"/>
    <row r="153514" s="12" customFormat="1" x14ac:dyDescent="0.25"/>
    <row r="153515" s="12" customFormat="1" x14ac:dyDescent="0.25"/>
    <row r="153516" s="12" customFormat="1" x14ac:dyDescent="0.25"/>
    <row r="153517" s="12" customFormat="1" x14ac:dyDescent="0.25"/>
    <row r="153518" s="12" customFormat="1" x14ac:dyDescent="0.25"/>
    <row r="153519" s="12" customFormat="1" x14ac:dyDescent="0.25"/>
    <row r="153520" s="12" customFormat="1" x14ac:dyDescent="0.25"/>
    <row r="153521" s="12" customFormat="1" x14ac:dyDescent="0.25"/>
    <row r="153522" s="12" customFormat="1" x14ac:dyDescent="0.25"/>
    <row r="153523" s="12" customFormat="1" x14ac:dyDescent="0.25"/>
    <row r="153524" s="12" customFormat="1" x14ac:dyDescent="0.25"/>
    <row r="153525" s="12" customFormat="1" x14ac:dyDescent="0.25"/>
    <row r="153526" s="12" customFormat="1" x14ac:dyDescent="0.25"/>
    <row r="153527" s="12" customFormat="1" x14ac:dyDescent="0.25"/>
    <row r="153528" s="12" customFormat="1" x14ac:dyDescent="0.25"/>
    <row r="153529" s="12" customFormat="1" x14ac:dyDescent="0.25"/>
    <row r="153530" s="12" customFormat="1" x14ac:dyDescent="0.25"/>
    <row r="153531" s="12" customFormat="1" x14ac:dyDescent="0.25"/>
    <row r="153532" s="12" customFormat="1" x14ac:dyDescent="0.25"/>
    <row r="153533" s="12" customFormat="1" x14ac:dyDescent="0.25"/>
    <row r="153534" s="12" customFormat="1" x14ac:dyDescent="0.25"/>
    <row r="153535" s="12" customFormat="1" x14ac:dyDescent="0.25"/>
    <row r="153536" s="12" customFormat="1" x14ac:dyDescent="0.25"/>
    <row r="153537" s="12" customFormat="1" x14ac:dyDescent="0.25"/>
    <row r="153538" s="12" customFormat="1" x14ac:dyDescent="0.25"/>
    <row r="153539" s="12" customFormat="1" x14ac:dyDescent="0.25"/>
    <row r="153540" s="12" customFormat="1" x14ac:dyDescent="0.25"/>
    <row r="153541" s="12" customFormat="1" x14ac:dyDescent="0.25"/>
    <row r="153542" s="12" customFormat="1" x14ac:dyDescent="0.25"/>
    <row r="153543" s="12" customFormat="1" x14ac:dyDescent="0.25"/>
    <row r="153544" s="12" customFormat="1" x14ac:dyDescent="0.25"/>
    <row r="153545" s="12" customFormat="1" x14ac:dyDescent="0.25"/>
    <row r="153546" s="12" customFormat="1" x14ac:dyDescent="0.25"/>
    <row r="153547" s="12" customFormat="1" x14ac:dyDescent="0.25"/>
    <row r="153548" s="12" customFormat="1" x14ac:dyDescent="0.25"/>
    <row r="153549" s="12" customFormat="1" x14ac:dyDescent="0.25"/>
    <row r="153550" s="12" customFormat="1" x14ac:dyDescent="0.25"/>
    <row r="153551" s="12" customFormat="1" x14ac:dyDescent="0.25"/>
    <row r="153552" s="12" customFormat="1" x14ac:dyDescent="0.25"/>
    <row r="153553" s="12" customFormat="1" x14ac:dyDescent="0.25"/>
    <row r="153554" s="12" customFormat="1" x14ac:dyDescent="0.25"/>
    <row r="153555" s="12" customFormat="1" x14ac:dyDescent="0.25"/>
    <row r="153556" s="12" customFormat="1" x14ac:dyDescent="0.25"/>
    <row r="153557" s="12" customFormat="1" x14ac:dyDescent="0.25"/>
    <row r="153558" s="12" customFormat="1" x14ac:dyDescent="0.25"/>
    <row r="153559" s="12" customFormat="1" x14ac:dyDescent="0.25"/>
    <row r="153560" s="12" customFormat="1" x14ac:dyDescent="0.25"/>
    <row r="153561" s="12" customFormat="1" x14ac:dyDescent="0.25"/>
    <row r="153562" s="12" customFormat="1" x14ac:dyDescent="0.25"/>
    <row r="153563" s="12" customFormat="1" x14ac:dyDescent="0.25"/>
    <row r="153564" s="12" customFormat="1" x14ac:dyDescent="0.25"/>
    <row r="153565" s="12" customFormat="1" x14ac:dyDescent="0.25"/>
    <row r="153566" s="12" customFormat="1" x14ac:dyDescent="0.25"/>
    <row r="153567" s="12" customFormat="1" x14ac:dyDescent="0.25"/>
    <row r="153568" s="12" customFormat="1" x14ac:dyDescent="0.25"/>
    <row r="153569" s="12" customFormat="1" x14ac:dyDescent="0.25"/>
    <row r="153570" s="12" customFormat="1" x14ac:dyDescent="0.25"/>
    <row r="153571" s="12" customFormat="1" x14ac:dyDescent="0.25"/>
    <row r="153572" s="12" customFormat="1" x14ac:dyDescent="0.25"/>
    <row r="153573" s="12" customFormat="1" x14ac:dyDescent="0.25"/>
    <row r="153574" s="12" customFormat="1" x14ac:dyDescent="0.25"/>
    <row r="153575" s="12" customFormat="1" x14ac:dyDescent="0.25"/>
    <row r="153576" s="12" customFormat="1" x14ac:dyDescent="0.25"/>
    <row r="153577" s="12" customFormat="1" x14ac:dyDescent="0.25"/>
    <row r="153578" s="12" customFormat="1" x14ac:dyDescent="0.25"/>
    <row r="153579" s="12" customFormat="1" x14ac:dyDescent="0.25"/>
    <row r="153580" s="12" customFormat="1" x14ac:dyDescent="0.25"/>
    <row r="153581" s="12" customFormat="1" x14ac:dyDescent="0.25"/>
    <row r="153582" s="12" customFormat="1" x14ac:dyDescent="0.25"/>
    <row r="153583" s="12" customFormat="1" x14ac:dyDescent="0.25"/>
    <row r="153584" s="12" customFormat="1" x14ac:dyDescent="0.25"/>
    <row r="153585" s="12" customFormat="1" x14ac:dyDescent="0.25"/>
    <row r="153586" s="12" customFormat="1" x14ac:dyDescent="0.25"/>
    <row r="153587" s="12" customFormat="1" x14ac:dyDescent="0.25"/>
    <row r="153588" s="12" customFormat="1" x14ac:dyDescent="0.25"/>
    <row r="153589" s="12" customFormat="1" x14ac:dyDescent="0.25"/>
    <row r="153590" s="12" customFormat="1" x14ac:dyDescent="0.25"/>
    <row r="153591" s="12" customFormat="1" x14ac:dyDescent="0.25"/>
    <row r="153592" s="12" customFormat="1" x14ac:dyDescent="0.25"/>
    <row r="153593" s="12" customFormat="1" x14ac:dyDescent="0.25"/>
    <row r="153594" s="12" customFormat="1" x14ac:dyDescent="0.25"/>
    <row r="153595" s="12" customFormat="1" x14ac:dyDescent="0.25"/>
    <row r="153596" s="12" customFormat="1" x14ac:dyDescent="0.25"/>
    <row r="153597" s="12" customFormat="1" x14ac:dyDescent="0.25"/>
    <row r="153598" s="12" customFormat="1" x14ac:dyDescent="0.25"/>
    <row r="153599" s="12" customFormat="1" x14ac:dyDescent="0.25"/>
    <row r="153600" s="12" customFormat="1" x14ac:dyDescent="0.25"/>
    <row r="153601" s="12" customFormat="1" x14ac:dyDescent="0.25"/>
    <row r="153602" s="12" customFormat="1" x14ac:dyDescent="0.25"/>
    <row r="153603" s="12" customFormat="1" x14ac:dyDescent="0.25"/>
    <row r="153604" s="12" customFormat="1" x14ac:dyDescent="0.25"/>
    <row r="153605" s="12" customFormat="1" x14ac:dyDescent="0.25"/>
    <row r="153606" s="12" customFormat="1" x14ac:dyDescent="0.25"/>
    <row r="153607" s="12" customFormat="1" x14ac:dyDescent="0.25"/>
    <row r="153608" s="12" customFormat="1" x14ac:dyDescent="0.25"/>
    <row r="153609" s="12" customFormat="1" x14ac:dyDescent="0.25"/>
    <row r="153610" s="12" customFormat="1" x14ac:dyDescent="0.25"/>
    <row r="153611" s="12" customFormat="1" x14ac:dyDescent="0.25"/>
    <row r="153612" s="12" customFormat="1" x14ac:dyDescent="0.25"/>
    <row r="153613" s="12" customFormat="1" x14ac:dyDescent="0.25"/>
    <row r="153614" s="12" customFormat="1" x14ac:dyDescent="0.25"/>
    <row r="153615" s="12" customFormat="1" x14ac:dyDescent="0.25"/>
    <row r="153616" s="12" customFormat="1" x14ac:dyDescent="0.25"/>
    <row r="153617" s="12" customFormat="1" x14ac:dyDescent="0.25"/>
    <row r="153618" s="12" customFormat="1" x14ac:dyDescent="0.25"/>
    <row r="153619" s="12" customFormat="1" x14ac:dyDescent="0.25"/>
    <row r="153620" s="12" customFormat="1" x14ac:dyDescent="0.25"/>
    <row r="153621" s="12" customFormat="1" x14ac:dyDescent="0.25"/>
    <row r="153622" s="12" customFormat="1" x14ac:dyDescent="0.25"/>
    <row r="153623" s="12" customFormat="1" x14ac:dyDescent="0.25"/>
    <row r="153624" s="12" customFormat="1" x14ac:dyDescent="0.25"/>
    <row r="153625" s="12" customFormat="1" x14ac:dyDescent="0.25"/>
    <row r="153626" s="12" customFormat="1" x14ac:dyDescent="0.25"/>
    <row r="153627" s="12" customFormat="1" x14ac:dyDescent="0.25"/>
    <row r="153628" s="12" customFormat="1" x14ac:dyDescent="0.25"/>
    <row r="153629" s="12" customFormat="1" x14ac:dyDescent="0.25"/>
    <row r="153630" s="12" customFormat="1" x14ac:dyDescent="0.25"/>
    <row r="153631" s="12" customFormat="1" x14ac:dyDescent="0.25"/>
    <row r="153632" s="12" customFormat="1" x14ac:dyDescent="0.25"/>
    <row r="153633" s="12" customFormat="1" x14ac:dyDescent="0.25"/>
    <row r="153634" s="12" customFormat="1" x14ac:dyDescent="0.25"/>
    <row r="153635" s="12" customFormat="1" x14ac:dyDescent="0.25"/>
    <row r="153636" s="12" customFormat="1" x14ac:dyDescent="0.25"/>
    <row r="153637" s="12" customFormat="1" x14ac:dyDescent="0.25"/>
    <row r="153638" s="12" customFormat="1" x14ac:dyDescent="0.25"/>
    <row r="153639" s="12" customFormat="1" x14ac:dyDescent="0.25"/>
    <row r="153640" s="12" customFormat="1" x14ac:dyDescent="0.25"/>
    <row r="153641" s="12" customFormat="1" x14ac:dyDescent="0.25"/>
    <row r="153642" s="12" customFormat="1" x14ac:dyDescent="0.25"/>
    <row r="153643" s="12" customFormat="1" x14ac:dyDescent="0.25"/>
    <row r="153644" s="12" customFormat="1" x14ac:dyDescent="0.25"/>
    <row r="153645" s="12" customFormat="1" x14ac:dyDescent="0.25"/>
    <row r="153646" s="12" customFormat="1" x14ac:dyDescent="0.25"/>
    <row r="153647" s="12" customFormat="1" x14ac:dyDescent="0.25"/>
    <row r="153648" s="12" customFormat="1" x14ac:dyDescent="0.25"/>
    <row r="153649" s="12" customFormat="1" x14ac:dyDescent="0.25"/>
    <row r="153650" s="12" customFormat="1" x14ac:dyDescent="0.25"/>
    <row r="153651" s="12" customFormat="1" x14ac:dyDescent="0.25"/>
    <row r="153652" s="12" customFormat="1" x14ac:dyDescent="0.25"/>
    <row r="153653" s="12" customFormat="1" x14ac:dyDescent="0.25"/>
    <row r="153654" s="12" customFormat="1" x14ac:dyDescent="0.25"/>
    <row r="153655" s="12" customFormat="1" x14ac:dyDescent="0.25"/>
    <row r="153656" s="12" customFormat="1" x14ac:dyDescent="0.25"/>
    <row r="153657" s="12" customFormat="1" x14ac:dyDescent="0.25"/>
    <row r="153658" s="12" customFormat="1" x14ac:dyDescent="0.25"/>
    <row r="153659" s="12" customFormat="1" x14ac:dyDescent="0.25"/>
    <row r="153660" s="12" customFormat="1" x14ac:dyDescent="0.25"/>
    <row r="153661" s="12" customFormat="1" x14ac:dyDescent="0.25"/>
    <row r="153662" s="12" customFormat="1" x14ac:dyDescent="0.25"/>
    <row r="153663" s="12" customFormat="1" x14ac:dyDescent="0.25"/>
    <row r="153664" s="12" customFormat="1" x14ac:dyDescent="0.25"/>
    <row r="153665" s="12" customFormat="1" x14ac:dyDescent="0.25"/>
    <row r="153666" s="12" customFormat="1" x14ac:dyDescent="0.25"/>
    <row r="153667" s="12" customFormat="1" x14ac:dyDescent="0.25"/>
    <row r="153668" s="12" customFormat="1" x14ac:dyDescent="0.25"/>
    <row r="153669" s="12" customFormat="1" x14ac:dyDescent="0.25"/>
    <row r="153670" s="12" customFormat="1" x14ac:dyDescent="0.25"/>
    <row r="153671" s="12" customFormat="1" x14ac:dyDescent="0.25"/>
    <row r="153672" s="12" customFormat="1" x14ac:dyDescent="0.25"/>
    <row r="153673" s="12" customFormat="1" x14ac:dyDescent="0.25"/>
    <row r="153674" s="12" customFormat="1" x14ac:dyDescent="0.25"/>
    <row r="153675" s="12" customFormat="1" x14ac:dyDescent="0.25"/>
    <row r="153676" s="12" customFormat="1" x14ac:dyDescent="0.25"/>
    <row r="153677" s="12" customFormat="1" x14ac:dyDescent="0.25"/>
    <row r="153678" s="12" customFormat="1" x14ac:dyDescent="0.25"/>
    <row r="153679" s="12" customFormat="1" x14ac:dyDescent="0.25"/>
    <row r="153680" s="12" customFormat="1" x14ac:dyDescent="0.25"/>
    <row r="153681" s="12" customFormat="1" x14ac:dyDescent="0.25"/>
    <row r="153682" s="12" customFormat="1" x14ac:dyDescent="0.25"/>
    <row r="153683" s="12" customFormat="1" x14ac:dyDescent="0.25"/>
    <row r="153684" s="12" customFormat="1" x14ac:dyDescent="0.25"/>
    <row r="153685" s="12" customFormat="1" x14ac:dyDescent="0.25"/>
    <row r="153686" s="12" customFormat="1" x14ac:dyDescent="0.25"/>
    <row r="153687" s="12" customFormat="1" x14ac:dyDescent="0.25"/>
    <row r="153688" s="12" customFormat="1" x14ac:dyDescent="0.25"/>
    <row r="153689" s="12" customFormat="1" x14ac:dyDescent="0.25"/>
    <row r="153690" s="12" customFormat="1" x14ac:dyDescent="0.25"/>
    <row r="153691" s="12" customFormat="1" x14ac:dyDescent="0.25"/>
    <row r="153692" s="12" customFormat="1" x14ac:dyDescent="0.25"/>
    <row r="153693" s="12" customFormat="1" x14ac:dyDescent="0.25"/>
    <row r="153694" s="12" customFormat="1" x14ac:dyDescent="0.25"/>
    <row r="153695" s="12" customFormat="1" x14ac:dyDescent="0.25"/>
    <row r="153696" s="12" customFormat="1" x14ac:dyDescent="0.25"/>
    <row r="153697" s="12" customFormat="1" x14ac:dyDescent="0.25"/>
    <row r="153698" s="12" customFormat="1" x14ac:dyDescent="0.25"/>
    <row r="153699" s="12" customFormat="1" x14ac:dyDescent="0.25"/>
    <row r="153700" s="12" customFormat="1" x14ac:dyDescent="0.25"/>
    <row r="153701" s="12" customFormat="1" x14ac:dyDescent="0.25"/>
    <row r="153702" s="12" customFormat="1" x14ac:dyDescent="0.25"/>
    <row r="153703" s="12" customFormat="1" x14ac:dyDescent="0.25"/>
    <row r="153704" s="12" customFormat="1" x14ac:dyDescent="0.25"/>
    <row r="153705" s="12" customFormat="1" x14ac:dyDescent="0.25"/>
    <row r="153706" s="12" customFormat="1" x14ac:dyDescent="0.25"/>
    <row r="153707" s="12" customFormat="1" x14ac:dyDescent="0.25"/>
    <row r="153708" s="12" customFormat="1" x14ac:dyDescent="0.25"/>
    <row r="153709" s="12" customFormat="1" x14ac:dyDescent="0.25"/>
    <row r="153710" s="12" customFormat="1" x14ac:dyDescent="0.25"/>
    <row r="153711" s="12" customFormat="1" x14ac:dyDescent="0.25"/>
    <row r="153712" s="12" customFormat="1" x14ac:dyDescent="0.25"/>
    <row r="153713" s="12" customFormat="1" x14ac:dyDescent="0.25"/>
    <row r="153714" s="12" customFormat="1" x14ac:dyDescent="0.25"/>
    <row r="153715" s="12" customFormat="1" x14ac:dyDescent="0.25"/>
    <row r="153716" s="12" customFormat="1" x14ac:dyDescent="0.25"/>
    <row r="153717" s="12" customFormat="1" x14ac:dyDescent="0.25"/>
    <row r="153718" s="12" customFormat="1" x14ac:dyDescent="0.25"/>
    <row r="153719" s="12" customFormat="1" x14ac:dyDescent="0.25"/>
    <row r="153720" s="12" customFormat="1" x14ac:dyDescent="0.25"/>
    <row r="153721" s="12" customFormat="1" x14ac:dyDescent="0.25"/>
    <row r="153722" s="12" customFormat="1" x14ac:dyDescent="0.25"/>
    <row r="153723" s="12" customFormat="1" x14ac:dyDescent="0.25"/>
    <row r="153724" s="12" customFormat="1" x14ac:dyDescent="0.25"/>
    <row r="153725" s="12" customFormat="1" x14ac:dyDescent="0.25"/>
    <row r="153726" s="12" customFormat="1" x14ac:dyDescent="0.25"/>
    <row r="153727" s="12" customFormat="1" x14ac:dyDescent="0.25"/>
    <row r="153728" s="12" customFormat="1" x14ac:dyDescent="0.25"/>
    <row r="153729" s="12" customFormat="1" x14ac:dyDescent="0.25"/>
    <row r="153730" s="12" customFormat="1" x14ac:dyDescent="0.25"/>
    <row r="153731" s="12" customFormat="1" x14ac:dyDescent="0.25"/>
    <row r="153732" s="12" customFormat="1" x14ac:dyDescent="0.25"/>
    <row r="153733" s="12" customFormat="1" x14ac:dyDescent="0.25"/>
    <row r="153734" s="12" customFormat="1" x14ac:dyDescent="0.25"/>
    <row r="153735" s="12" customFormat="1" x14ac:dyDescent="0.25"/>
    <row r="153736" s="12" customFormat="1" x14ac:dyDescent="0.25"/>
    <row r="153737" s="12" customFormat="1" x14ac:dyDescent="0.25"/>
    <row r="153738" s="12" customFormat="1" x14ac:dyDescent="0.25"/>
    <row r="153739" s="12" customFormat="1" x14ac:dyDescent="0.25"/>
    <row r="153740" s="12" customFormat="1" x14ac:dyDescent="0.25"/>
    <row r="153741" s="12" customFormat="1" x14ac:dyDescent="0.25"/>
    <row r="153742" s="12" customFormat="1" x14ac:dyDescent="0.25"/>
    <row r="153743" s="12" customFormat="1" x14ac:dyDescent="0.25"/>
    <row r="153744" s="12" customFormat="1" x14ac:dyDescent="0.25"/>
    <row r="153745" s="12" customFormat="1" x14ac:dyDescent="0.25"/>
    <row r="153746" s="12" customFormat="1" x14ac:dyDescent="0.25"/>
    <row r="153747" s="12" customFormat="1" x14ac:dyDescent="0.25"/>
    <row r="153748" s="12" customFormat="1" x14ac:dyDescent="0.25"/>
    <row r="153749" s="12" customFormat="1" x14ac:dyDescent="0.25"/>
    <row r="153750" s="12" customFormat="1" x14ac:dyDescent="0.25"/>
    <row r="153751" s="12" customFormat="1" x14ac:dyDescent="0.25"/>
    <row r="153752" s="12" customFormat="1" x14ac:dyDescent="0.25"/>
    <row r="153753" s="12" customFormat="1" x14ac:dyDescent="0.25"/>
    <row r="153754" s="12" customFormat="1" x14ac:dyDescent="0.25"/>
    <row r="153755" s="12" customFormat="1" x14ac:dyDescent="0.25"/>
    <row r="153756" s="12" customFormat="1" x14ac:dyDescent="0.25"/>
    <row r="153757" s="12" customFormat="1" x14ac:dyDescent="0.25"/>
    <row r="153758" s="12" customFormat="1" x14ac:dyDescent="0.25"/>
    <row r="153759" s="12" customFormat="1" x14ac:dyDescent="0.25"/>
    <row r="153760" s="12" customFormat="1" x14ac:dyDescent="0.25"/>
    <row r="153761" s="12" customFormat="1" x14ac:dyDescent="0.25"/>
    <row r="153762" s="12" customFormat="1" x14ac:dyDescent="0.25"/>
    <row r="153763" s="12" customFormat="1" x14ac:dyDescent="0.25"/>
    <row r="153764" s="12" customFormat="1" x14ac:dyDescent="0.25"/>
    <row r="153765" s="12" customFormat="1" x14ac:dyDescent="0.25"/>
    <row r="153766" s="12" customFormat="1" x14ac:dyDescent="0.25"/>
    <row r="153767" s="12" customFormat="1" x14ac:dyDescent="0.25"/>
    <row r="153768" s="12" customFormat="1" x14ac:dyDescent="0.25"/>
    <row r="153769" s="12" customFormat="1" x14ac:dyDescent="0.25"/>
    <row r="153770" s="12" customFormat="1" x14ac:dyDescent="0.25"/>
    <row r="153771" s="12" customFormat="1" x14ac:dyDescent="0.25"/>
    <row r="153772" s="12" customFormat="1" x14ac:dyDescent="0.25"/>
    <row r="153773" s="12" customFormat="1" x14ac:dyDescent="0.25"/>
    <row r="153774" s="12" customFormat="1" x14ac:dyDescent="0.25"/>
    <row r="153775" s="12" customFormat="1" x14ac:dyDescent="0.25"/>
    <row r="153776" s="12" customFormat="1" x14ac:dyDescent="0.25"/>
    <row r="153777" s="12" customFormat="1" x14ac:dyDescent="0.25"/>
    <row r="153778" s="12" customFormat="1" x14ac:dyDescent="0.25"/>
    <row r="153779" s="12" customFormat="1" x14ac:dyDescent="0.25"/>
    <row r="153780" s="12" customFormat="1" x14ac:dyDescent="0.25"/>
    <row r="153781" s="12" customFormat="1" x14ac:dyDescent="0.25"/>
    <row r="153782" s="12" customFormat="1" x14ac:dyDescent="0.25"/>
    <row r="153783" s="12" customFormat="1" x14ac:dyDescent="0.25"/>
    <row r="153784" s="12" customFormat="1" x14ac:dyDescent="0.25"/>
    <row r="153785" s="12" customFormat="1" x14ac:dyDescent="0.25"/>
    <row r="153786" s="12" customFormat="1" x14ac:dyDescent="0.25"/>
    <row r="153787" s="12" customFormat="1" x14ac:dyDescent="0.25"/>
    <row r="153788" s="12" customFormat="1" x14ac:dyDescent="0.25"/>
    <row r="153789" s="12" customFormat="1" x14ac:dyDescent="0.25"/>
    <row r="153790" s="12" customFormat="1" x14ac:dyDescent="0.25"/>
    <row r="153791" s="12" customFormat="1" x14ac:dyDescent="0.25"/>
    <row r="153792" s="12" customFormat="1" x14ac:dyDescent="0.25"/>
    <row r="153793" s="12" customFormat="1" x14ac:dyDescent="0.25"/>
    <row r="153794" s="12" customFormat="1" x14ac:dyDescent="0.25"/>
    <row r="153795" s="12" customFormat="1" x14ac:dyDescent="0.25"/>
    <row r="153796" s="12" customFormat="1" x14ac:dyDescent="0.25"/>
    <row r="153797" s="12" customFormat="1" x14ac:dyDescent="0.25"/>
    <row r="153798" s="12" customFormat="1" x14ac:dyDescent="0.25"/>
    <row r="153799" s="12" customFormat="1" x14ac:dyDescent="0.25"/>
    <row r="153800" s="12" customFormat="1" x14ac:dyDescent="0.25"/>
    <row r="153801" s="12" customFormat="1" x14ac:dyDescent="0.25"/>
    <row r="153802" s="12" customFormat="1" x14ac:dyDescent="0.25"/>
    <row r="153803" s="12" customFormat="1" x14ac:dyDescent="0.25"/>
    <row r="153804" s="12" customFormat="1" x14ac:dyDescent="0.25"/>
    <row r="153805" s="12" customFormat="1" x14ac:dyDescent="0.25"/>
    <row r="153806" s="12" customFormat="1" x14ac:dyDescent="0.25"/>
    <row r="153807" s="12" customFormat="1" x14ac:dyDescent="0.25"/>
    <row r="153808" s="12" customFormat="1" x14ac:dyDescent="0.25"/>
    <row r="153809" s="12" customFormat="1" x14ac:dyDescent="0.25"/>
    <row r="153810" s="12" customFormat="1" x14ac:dyDescent="0.25"/>
    <row r="153811" s="12" customFormat="1" x14ac:dyDescent="0.25"/>
    <row r="153812" s="12" customFormat="1" x14ac:dyDescent="0.25"/>
    <row r="153813" s="12" customFormat="1" x14ac:dyDescent="0.25"/>
    <row r="153814" s="12" customFormat="1" x14ac:dyDescent="0.25"/>
    <row r="153815" s="12" customFormat="1" x14ac:dyDescent="0.25"/>
    <row r="153816" s="12" customFormat="1" x14ac:dyDescent="0.25"/>
    <row r="153817" s="12" customFormat="1" x14ac:dyDescent="0.25"/>
    <row r="153818" s="12" customFormat="1" x14ac:dyDescent="0.25"/>
    <row r="153819" s="12" customFormat="1" x14ac:dyDescent="0.25"/>
    <row r="153820" s="12" customFormat="1" x14ac:dyDescent="0.25"/>
    <row r="153821" s="12" customFormat="1" x14ac:dyDescent="0.25"/>
    <row r="153822" s="12" customFormat="1" x14ac:dyDescent="0.25"/>
    <row r="153823" s="12" customFormat="1" x14ac:dyDescent="0.25"/>
    <row r="153824" s="12" customFormat="1" x14ac:dyDescent="0.25"/>
    <row r="153825" s="12" customFormat="1" x14ac:dyDescent="0.25"/>
    <row r="153826" s="12" customFormat="1" x14ac:dyDescent="0.25"/>
    <row r="153827" s="12" customFormat="1" x14ac:dyDescent="0.25"/>
    <row r="153828" s="12" customFormat="1" x14ac:dyDescent="0.25"/>
    <row r="153829" s="12" customFormat="1" x14ac:dyDescent="0.25"/>
    <row r="153830" s="12" customFormat="1" x14ac:dyDescent="0.25"/>
    <row r="153831" s="12" customFormat="1" x14ac:dyDescent="0.25"/>
    <row r="153832" s="12" customFormat="1" x14ac:dyDescent="0.25"/>
    <row r="153833" s="12" customFormat="1" x14ac:dyDescent="0.25"/>
    <row r="153834" s="12" customFormat="1" x14ac:dyDescent="0.25"/>
    <row r="153835" s="12" customFormat="1" x14ac:dyDescent="0.25"/>
    <row r="153836" s="12" customFormat="1" x14ac:dyDescent="0.25"/>
    <row r="153837" s="12" customFormat="1" x14ac:dyDescent="0.25"/>
    <row r="153838" s="12" customFormat="1" x14ac:dyDescent="0.25"/>
    <row r="153839" s="12" customFormat="1" x14ac:dyDescent="0.25"/>
    <row r="153840" s="12" customFormat="1" x14ac:dyDescent="0.25"/>
    <row r="153841" s="12" customFormat="1" x14ac:dyDescent="0.25"/>
    <row r="153842" s="12" customFormat="1" x14ac:dyDescent="0.25"/>
    <row r="153843" s="12" customFormat="1" x14ac:dyDescent="0.25"/>
    <row r="153844" s="12" customFormat="1" x14ac:dyDescent="0.25"/>
    <row r="153845" s="12" customFormat="1" x14ac:dyDescent="0.25"/>
    <row r="153846" s="12" customFormat="1" x14ac:dyDescent="0.25"/>
    <row r="153847" s="12" customFormat="1" x14ac:dyDescent="0.25"/>
    <row r="153848" s="12" customFormat="1" x14ac:dyDescent="0.25"/>
    <row r="153849" s="12" customFormat="1" x14ac:dyDescent="0.25"/>
    <row r="153850" s="12" customFormat="1" x14ac:dyDescent="0.25"/>
    <row r="153851" s="12" customFormat="1" x14ac:dyDescent="0.25"/>
    <row r="153852" s="12" customFormat="1" x14ac:dyDescent="0.25"/>
    <row r="153853" s="12" customFormat="1" x14ac:dyDescent="0.25"/>
    <row r="153854" s="12" customFormat="1" x14ac:dyDescent="0.25"/>
    <row r="153855" s="12" customFormat="1" x14ac:dyDescent="0.25"/>
    <row r="153856" s="12" customFormat="1" x14ac:dyDescent="0.25"/>
    <row r="153857" s="12" customFormat="1" x14ac:dyDescent="0.25"/>
    <row r="153858" s="12" customFormat="1" x14ac:dyDescent="0.25"/>
    <row r="153859" s="12" customFormat="1" x14ac:dyDescent="0.25"/>
    <row r="153860" s="12" customFormat="1" x14ac:dyDescent="0.25"/>
    <row r="153861" s="12" customFormat="1" x14ac:dyDescent="0.25"/>
    <row r="153862" s="12" customFormat="1" x14ac:dyDescent="0.25"/>
    <row r="153863" s="12" customFormat="1" x14ac:dyDescent="0.25"/>
    <row r="153864" s="12" customFormat="1" x14ac:dyDescent="0.25"/>
    <row r="153865" s="12" customFormat="1" x14ac:dyDescent="0.25"/>
    <row r="153866" s="12" customFormat="1" x14ac:dyDescent="0.25"/>
    <row r="153867" s="12" customFormat="1" x14ac:dyDescent="0.25"/>
    <row r="153868" s="12" customFormat="1" x14ac:dyDescent="0.25"/>
    <row r="153869" s="12" customFormat="1" x14ac:dyDescent="0.25"/>
    <row r="153870" s="12" customFormat="1" x14ac:dyDescent="0.25"/>
    <row r="153871" s="12" customFormat="1" x14ac:dyDescent="0.25"/>
    <row r="153872" s="12" customFormat="1" x14ac:dyDescent="0.25"/>
    <row r="153873" s="12" customFormat="1" x14ac:dyDescent="0.25"/>
    <row r="153874" s="12" customFormat="1" x14ac:dyDescent="0.25"/>
    <row r="153875" s="12" customFormat="1" x14ac:dyDescent="0.25"/>
    <row r="153876" s="12" customFormat="1" x14ac:dyDescent="0.25"/>
    <row r="153877" s="12" customFormat="1" x14ac:dyDescent="0.25"/>
    <row r="153878" s="12" customFormat="1" x14ac:dyDescent="0.25"/>
    <row r="153879" s="12" customFormat="1" x14ac:dyDescent="0.25"/>
    <row r="153880" s="12" customFormat="1" x14ac:dyDescent="0.25"/>
    <row r="153881" s="12" customFormat="1" x14ac:dyDescent="0.25"/>
    <row r="153882" s="12" customFormat="1" x14ac:dyDescent="0.25"/>
    <row r="153883" s="12" customFormat="1" x14ac:dyDescent="0.25"/>
    <row r="153884" s="12" customFormat="1" x14ac:dyDescent="0.25"/>
    <row r="153885" s="12" customFormat="1" x14ac:dyDescent="0.25"/>
    <row r="153886" s="12" customFormat="1" x14ac:dyDescent="0.25"/>
    <row r="153887" s="12" customFormat="1" x14ac:dyDescent="0.25"/>
    <row r="153888" s="12" customFormat="1" x14ac:dyDescent="0.25"/>
    <row r="153889" s="12" customFormat="1" x14ac:dyDescent="0.25"/>
    <row r="153890" s="12" customFormat="1" x14ac:dyDescent="0.25"/>
    <row r="153891" s="12" customFormat="1" x14ac:dyDescent="0.25"/>
    <row r="153892" s="12" customFormat="1" x14ac:dyDescent="0.25"/>
    <row r="153893" s="12" customFormat="1" x14ac:dyDescent="0.25"/>
    <row r="153894" s="12" customFormat="1" x14ac:dyDescent="0.25"/>
    <row r="153895" s="12" customFormat="1" x14ac:dyDescent="0.25"/>
    <row r="153896" s="12" customFormat="1" x14ac:dyDescent="0.25"/>
    <row r="153897" s="12" customFormat="1" x14ac:dyDescent="0.25"/>
    <row r="153898" s="12" customFormat="1" x14ac:dyDescent="0.25"/>
    <row r="153899" s="12" customFormat="1" x14ac:dyDescent="0.25"/>
    <row r="153900" s="12" customFormat="1" x14ac:dyDescent="0.25"/>
    <row r="153901" s="12" customFormat="1" x14ac:dyDescent="0.25"/>
    <row r="153902" s="12" customFormat="1" x14ac:dyDescent="0.25"/>
    <row r="153903" s="12" customFormat="1" x14ac:dyDescent="0.25"/>
    <row r="153904" s="12" customFormat="1" x14ac:dyDescent="0.25"/>
    <row r="153905" s="12" customFormat="1" x14ac:dyDescent="0.25"/>
    <row r="153906" s="12" customFormat="1" x14ac:dyDescent="0.25"/>
    <row r="153907" s="12" customFormat="1" x14ac:dyDescent="0.25"/>
    <row r="153908" s="12" customFormat="1" x14ac:dyDescent="0.25"/>
    <row r="153909" s="12" customFormat="1" x14ac:dyDescent="0.25"/>
    <row r="153910" s="12" customFormat="1" x14ac:dyDescent="0.25"/>
    <row r="153911" s="12" customFormat="1" x14ac:dyDescent="0.25"/>
    <row r="153912" s="12" customFormat="1" x14ac:dyDescent="0.25"/>
    <row r="153913" s="12" customFormat="1" x14ac:dyDescent="0.25"/>
    <row r="153914" s="12" customFormat="1" x14ac:dyDescent="0.25"/>
    <row r="153915" s="12" customFormat="1" x14ac:dyDescent="0.25"/>
    <row r="153916" s="12" customFormat="1" x14ac:dyDescent="0.25"/>
    <row r="153917" s="12" customFormat="1" x14ac:dyDescent="0.25"/>
    <row r="153918" s="12" customFormat="1" x14ac:dyDescent="0.25"/>
    <row r="153919" s="12" customFormat="1" x14ac:dyDescent="0.25"/>
    <row r="153920" s="12" customFormat="1" x14ac:dyDescent="0.25"/>
    <row r="153921" s="12" customFormat="1" x14ac:dyDescent="0.25"/>
    <row r="153922" s="12" customFormat="1" x14ac:dyDescent="0.25"/>
    <row r="153923" s="12" customFormat="1" x14ac:dyDescent="0.25"/>
    <row r="153924" s="12" customFormat="1" x14ac:dyDescent="0.25"/>
    <row r="153925" s="12" customFormat="1" x14ac:dyDescent="0.25"/>
    <row r="153926" s="12" customFormat="1" x14ac:dyDescent="0.25"/>
    <row r="153927" s="12" customFormat="1" x14ac:dyDescent="0.25"/>
    <row r="153928" s="12" customFormat="1" x14ac:dyDescent="0.25"/>
    <row r="153929" s="12" customFormat="1" x14ac:dyDescent="0.25"/>
    <row r="153930" s="12" customFormat="1" x14ac:dyDescent="0.25"/>
    <row r="153931" s="12" customFormat="1" x14ac:dyDescent="0.25"/>
    <row r="153932" s="12" customFormat="1" x14ac:dyDescent="0.25"/>
    <row r="153933" s="12" customFormat="1" x14ac:dyDescent="0.25"/>
    <row r="153934" s="12" customFormat="1" x14ac:dyDescent="0.25"/>
    <row r="153935" s="12" customFormat="1" x14ac:dyDescent="0.25"/>
    <row r="153936" s="12" customFormat="1" x14ac:dyDescent="0.25"/>
    <row r="153937" s="12" customFormat="1" x14ac:dyDescent="0.25"/>
    <row r="153938" s="12" customFormat="1" x14ac:dyDescent="0.25"/>
    <row r="153939" s="12" customFormat="1" x14ac:dyDescent="0.25"/>
    <row r="153940" s="12" customFormat="1" x14ac:dyDescent="0.25"/>
    <row r="153941" s="12" customFormat="1" x14ac:dyDescent="0.25"/>
    <row r="153942" s="12" customFormat="1" x14ac:dyDescent="0.25"/>
    <row r="153943" s="12" customFormat="1" x14ac:dyDescent="0.25"/>
    <row r="153944" s="12" customFormat="1" x14ac:dyDescent="0.25"/>
    <row r="153945" s="12" customFormat="1" x14ac:dyDescent="0.25"/>
    <row r="153946" s="12" customFormat="1" x14ac:dyDescent="0.25"/>
    <row r="153947" s="12" customFormat="1" x14ac:dyDescent="0.25"/>
    <row r="153948" s="12" customFormat="1" x14ac:dyDescent="0.25"/>
    <row r="153949" s="12" customFormat="1" x14ac:dyDescent="0.25"/>
    <row r="153950" s="12" customFormat="1" x14ac:dyDescent="0.25"/>
    <row r="153951" s="12" customFormat="1" x14ac:dyDescent="0.25"/>
    <row r="153952" s="12" customFormat="1" x14ac:dyDescent="0.25"/>
    <row r="153953" s="12" customFormat="1" x14ac:dyDescent="0.25"/>
    <row r="153954" s="12" customFormat="1" x14ac:dyDescent="0.25"/>
    <row r="153955" s="12" customFormat="1" x14ac:dyDescent="0.25"/>
    <row r="153956" s="12" customFormat="1" x14ac:dyDescent="0.25"/>
    <row r="153957" s="12" customFormat="1" x14ac:dyDescent="0.25"/>
    <row r="153958" s="12" customFormat="1" x14ac:dyDescent="0.25"/>
    <row r="153959" s="12" customFormat="1" x14ac:dyDescent="0.25"/>
    <row r="153960" s="12" customFormat="1" x14ac:dyDescent="0.25"/>
    <row r="153961" s="12" customFormat="1" x14ac:dyDescent="0.25"/>
    <row r="153962" s="12" customFormat="1" x14ac:dyDescent="0.25"/>
    <row r="153963" s="12" customFormat="1" x14ac:dyDescent="0.25"/>
    <row r="153964" s="12" customFormat="1" x14ac:dyDescent="0.25"/>
    <row r="153965" s="12" customFormat="1" x14ac:dyDescent="0.25"/>
    <row r="153966" s="12" customFormat="1" x14ac:dyDescent="0.25"/>
    <row r="153967" s="12" customFormat="1" x14ac:dyDescent="0.25"/>
    <row r="153968" s="12" customFormat="1" x14ac:dyDescent="0.25"/>
    <row r="153969" s="12" customFormat="1" x14ac:dyDescent="0.25"/>
    <row r="153970" s="12" customFormat="1" x14ac:dyDescent="0.25"/>
    <row r="153971" s="12" customFormat="1" x14ac:dyDescent="0.25"/>
    <row r="153972" s="12" customFormat="1" x14ac:dyDescent="0.25"/>
    <row r="153973" s="12" customFormat="1" x14ac:dyDescent="0.25"/>
    <row r="153974" s="12" customFormat="1" x14ac:dyDescent="0.25"/>
    <row r="153975" s="12" customFormat="1" x14ac:dyDescent="0.25"/>
    <row r="153976" s="12" customFormat="1" x14ac:dyDescent="0.25"/>
    <row r="153977" s="12" customFormat="1" x14ac:dyDescent="0.25"/>
    <row r="153978" s="12" customFormat="1" x14ac:dyDescent="0.25"/>
    <row r="153979" s="12" customFormat="1" x14ac:dyDescent="0.25"/>
    <row r="153980" s="12" customFormat="1" x14ac:dyDescent="0.25"/>
    <row r="153981" s="12" customFormat="1" x14ac:dyDescent="0.25"/>
    <row r="153982" s="12" customFormat="1" x14ac:dyDescent="0.25"/>
    <row r="153983" s="12" customFormat="1" x14ac:dyDescent="0.25"/>
    <row r="153984" s="12" customFormat="1" x14ac:dyDescent="0.25"/>
    <row r="153985" s="12" customFormat="1" x14ac:dyDescent="0.25"/>
    <row r="153986" s="12" customFormat="1" x14ac:dyDescent="0.25"/>
    <row r="153987" s="12" customFormat="1" x14ac:dyDescent="0.25"/>
    <row r="153988" s="12" customFormat="1" x14ac:dyDescent="0.25"/>
    <row r="153989" s="12" customFormat="1" x14ac:dyDescent="0.25"/>
    <row r="153990" s="12" customFormat="1" x14ac:dyDescent="0.25"/>
    <row r="153991" s="12" customFormat="1" x14ac:dyDescent="0.25"/>
    <row r="153992" s="12" customFormat="1" x14ac:dyDescent="0.25"/>
    <row r="153993" s="12" customFormat="1" x14ac:dyDescent="0.25"/>
    <row r="153994" s="12" customFormat="1" x14ac:dyDescent="0.25"/>
    <row r="153995" s="12" customFormat="1" x14ac:dyDescent="0.25"/>
    <row r="153996" s="12" customFormat="1" x14ac:dyDescent="0.25"/>
    <row r="153997" s="12" customFormat="1" x14ac:dyDescent="0.25"/>
    <row r="153998" s="12" customFormat="1" x14ac:dyDescent="0.25"/>
    <row r="153999" s="12" customFormat="1" x14ac:dyDescent="0.25"/>
    <row r="154000" s="12" customFormat="1" x14ac:dyDescent="0.25"/>
    <row r="154001" s="12" customFormat="1" x14ac:dyDescent="0.25"/>
    <row r="154002" s="12" customFormat="1" x14ac:dyDescent="0.25"/>
    <row r="154003" s="12" customFormat="1" x14ac:dyDescent="0.25"/>
    <row r="154004" s="12" customFormat="1" x14ac:dyDescent="0.25"/>
    <row r="154005" s="12" customFormat="1" x14ac:dyDescent="0.25"/>
    <row r="154006" s="12" customFormat="1" x14ac:dyDescent="0.25"/>
    <row r="154007" s="12" customFormat="1" x14ac:dyDescent="0.25"/>
    <row r="154008" s="12" customFormat="1" x14ac:dyDescent="0.25"/>
    <row r="154009" s="12" customFormat="1" x14ac:dyDescent="0.25"/>
    <row r="154010" s="12" customFormat="1" x14ac:dyDescent="0.25"/>
    <row r="154011" s="12" customFormat="1" x14ac:dyDescent="0.25"/>
    <row r="154012" s="12" customFormat="1" x14ac:dyDescent="0.25"/>
    <row r="154013" s="12" customFormat="1" x14ac:dyDescent="0.25"/>
    <row r="154014" s="12" customFormat="1" x14ac:dyDescent="0.25"/>
    <row r="154015" s="12" customFormat="1" x14ac:dyDescent="0.25"/>
    <row r="154016" s="12" customFormat="1" x14ac:dyDescent="0.25"/>
    <row r="154017" s="12" customFormat="1" x14ac:dyDescent="0.25"/>
    <row r="154018" s="12" customFormat="1" x14ac:dyDescent="0.25"/>
    <row r="154019" s="12" customFormat="1" x14ac:dyDescent="0.25"/>
    <row r="154020" s="12" customFormat="1" x14ac:dyDescent="0.25"/>
    <row r="154021" s="12" customFormat="1" x14ac:dyDescent="0.25"/>
    <row r="154022" s="12" customFormat="1" x14ac:dyDescent="0.25"/>
    <row r="154023" s="12" customFormat="1" x14ac:dyDescent="0.25"/>
    <row r="154024" s="12" customFormat="1" x14ac:dyDescent="0.25"/>
    <row r="154025" s="12" customFormat="1" x14ac:dyDescent="0.25"/>
    <row r="154026" s="12" customFormat="1" x14ac:dyDescent="0.25"/>
    <row r="154027" s="12" customFormat="1" x14ac:dyDescent="0.25"/>
    <row r="154028" s="12" customFormat="1" x14ac:dyDescent="0.25"/>
    <row r="154029" s="12" customFormat="1" x14ac:dyDescent="0.25"/>
    <row r="154030" s="12" customFormat="1" x14ac:dyDescent="0.25"/>
    <row r="154031" s="12" customFormat="1" x14ac:dyDescent="0.25"/>
    <row r="154032" s="12" customFormat="1" x14ac:dyDescent="0.25"/>
    <row r="154033" s="12" customFormat="1" x14ac:dyDescent="0.25"/>
    <row r="154034" s="12" customFormat="1" x14ac:dyDescent="0.25"/>
    <row r="154035" s="12" customFormat="1" x14ac:dyDescent="0.25"/>
    <row r="154036" s="12" customFormat="1" x14ac:dyDescent="0.25"/>
    <row r="154037" s="12" customFormat="1" x14ac:dyDescent="0.25"/>
    <row r="154038" s="12" customFormat="1" x14ac:dyDescent="0.25"/>
    <row r="154039" s="12" customFormat="1" x14ac:dyDescent="0.25"/>
    <row r="154040" s="12" customFormat="1" x14ac:dyDescent="0.25"/>
    <row r="154041" s="12" customFormat="1" x14ac:dyDescent="0.25"/>
    <row r="154042" s="12" customFormat="1" x14ac:dyDescent="0.25"/>
    <row r="154043" s="12" customFormat="1" x14ac:dyDescent="0.25"/>
    <row r="154044" s="12" customFormat="1" x14ac:dyDescent="0.25"/>
    <row r="154045" s="12" customFormat="1" x14ac:dyDescent="0.25"/>
    <row r="154046" s="12" customFormat="1" x14ac:dyDescent="0.25"/>
    <row r="154047" s="12" customFormat="1" x14ac:dyDescent="0.25"/>
    <row r="154048" s="12" customFormat="1" x14ac:dyDescent="0.25"/>
    <row r="154049" s="12" customFormat="1" x14ac:dyDescent="0.25"/>
    <row r="154050" s="12" customFormat="1" x14ac:dyDescent="0.25"/>
    <row r="154051" s="12" customFormat="1" x14ac:dyDescent="0.25"/>
    <row r="154052" s="12" customFormat="1" x14ac:dyDescent="0.25"/>
    <row r="154053" s="12" customFormat="1" x14ac:dyDescent="0.25"/>
    <row r="154054" s="12" customFormat="1" x14ac:dyDescent="0.25"/>
    <row r="154055" s="12" customFormat="1" x14ac:dyDescent="0.25"/>
    <row r="154056" s="12" customFormat="1" x14ac:dyDescent="0.25"/>
    <row r="154057" s="12" customFormat="1" x14ac:dyDescent="0.25"/>
    <row r="154058" s="12" customFormat="1" x14ac:dyDescent="0.25"/>
    <row r="154059" s="12" customFormat="1" x14ac:dyDescent="0.25"/>
    <row r="154060" s="12" customFormat="1" x14ac:dyDescent="0.25"/>
    <row r="154061" s="12" customFormat="1" x14ac:dyDescent="0.25"/>
    <row r="154062" s="12" customFormat="1" x14ac:dyDescent="0.25"/>
    <row r="154063" s="12" customFormat="1" x14ac:dyDescent="0.25"/>
    <row r="154064" s="12" customFormat="1" x14ac:dyDescent="0.25"/>
    <row r="154065" s="12" customFormat="1" x14ac:dyDescent="0.25"/>
    <row r="154066" s="12" customFormat="1" x14ac:dyDescent="0.25"/>
    <row r="154067" s="12" customFormat="1" x14ac:dyDescent="0.25"/>
    <row r="154068" s="12" customFormat="1" x14ac:dyDescent="0.25"/>
    <row r="154069" s="12" customFormat="1" x14ac:dyDescent="0.25"/>
    <row r="154070" s="12" customFormat="1" x14ac:dyDescent="0.25"/>
    <row r="154071" s="12" customFormat="1" x14ac:dyDescent="0.25"/>
    <row r="154072" s="12" customFormat="1" x14ac:dyDescent="0.25"/>
    <row r="154073" s="12" customFormat="1" x14ac:dyDescent="0.25"/>
    <row r="154074" s="12" customFormat="1" x14ac:dyDescent="0.25"/>
    <row r="154075" s="12" customFormat="1" x14ac:dyDescent="0.25"/>
    <row r="154076" s="12" customFormat="1" x14ac:dyDescent="0.25"/>
    <row r="154077" s="12" customFormat="1" x14ac:dyDescent="0.25"/>
    <row r="154078" s="12" customFormat="1" x14ac:dyDescent="0.25"/>
    <row r="154079" s="12" customFormat="1" x14ac:dyDescent="0.25"/>
    <row r="154080" s="12" customFormat="1" x14ac:dyDescent="0.25"/>
    <row r="154081" s="12" customFormat="1" x14ac:dyDescent="0.25"/>
    <row r="154082" s="12" customFormat="1" x14ac:dyDescent="0.25"/>
    <row r="154083" s="12" customFormat="1" x14ac:dyDescent="0.25"/>
    <row r="154084" s="12" customFormat="1" x14ac:dyDescent="0.25"/>
    <row r="154085" s="12" customFormat="1" x14ac:dyDescent="0.25"/>
    <row r="154086" s="12" customFormat="1" x14ac:dyDescent="0.25"/>
    <row r="154087" s="12" customFormat="1" x14ac:dyDescent="0.25"/>
    <row r="154088" s="12" customFormat="1" x14ac:dyDescent="0.25"/>
    <row r="154089" s="12" customFormat="1" x14ac:dyDescent="0.25"/>
    <row r="154090" s="12" customFormat="1" x14ac:dyDescent="0.25"/>
    <row r="154091" s="12" customFormat="1" x14ac:dyDescent="0.25"/>
    <row r="154092" s="12" customFormat="1" x14ac:dyDescent="0.25"/>
    <row r="154093" s="12" customFormat="1" x14ac:dyDescent="0.25"/>
    <row r="154094" s="12" customFormat="1" x14ac:dyDescent="0.25"/>
    <row r="154095" s="12" customFormat="1" x14ac:dyDescent="0.25"/>
    <row r="154096" s="12" customFormat="1" x14ac:dyDescent="0.25"/>
    <row r="154097" s="12" customFormat="1" x14ac:dyDescent="0.25"/>
    <row r="154098" s="12" customFormat="1" x14ac:dyDescent="0.25"/>
    <row r="154099" s="12" customFormat="1" x14ac:dyDescent="0.25"/>
    <row r="154100" s="12" customFormat="1" x14ac:dyDescent="0.25"/>
    <row r="154101" s="12" customFormat="1" x14ac:dyDescent="0.25"/>
    <row r="154102" s="12" customFormat="1" x14ac:dyDescent="0.25"/>
    <row r="154103" s="12" customFormat="1" x14ac:dyDescent="0.25"/>
    <row r="154104" s="12" customFormat="1" x14ac:dyDescent="0.25"/>
    <row r="154105" s="12" customFormat="1" x14ac:dyDescent="0.25"/>
    <row r="154106" s="12" customFormat="1" x14ac:dyDescent="0.25"/>
    <row r="154107" s="12" customFormat="1" x14ac:dyDescent="0.25"/>
    <row r="154108" s="12" customFormat="1" x14ac:dyDescent="0.25"/>
    <row r="154109" s="12" customFormat="1" x14ac:dyDescent="0.25"/>
    <row r="154110" s="12" customFormat="1" x14ac:dyDescent="0.25"/>
    <row r="154111" s="12" customFormat="1" x14ac:dyDescent="0.25"/>
    <row r="154112" s="12" customFormat="1" x14ac:dyDescent="0.25"/>
    <row r="154113" s="12" customFormat="1" x14ac:dyDescent="0.25"/>
    <row r="154114" s="12" customFormat="1" x14ac:dyDescent="0.25"/>
    <row r="154115" s="12" customFormat="1" x14ac:dyDescent="0.25"/>
    <row r="154116" s="12" customFormat="1" x14ac:dyDescent="0.25"/>
    <row r="154117" s="12" customFormat="1" x14ac:dyDescent="0.25"/>
    <row r="154118" s="12" customFormat="1" x14ac:dyDescent="0.25"/>
    <row r="154119" s="12" customFormat="1" x14ac:dyDescent="0.25"/>
    <row r="154120" s="12" customFormat="1" x14ac:dyDescent="0.25"/>
    <row r="154121" s="12" customFormat="1" x14ac:dyDescent="0.25"/>
    <row r="154122" s="12" customFormat="1" x14ac:dyDescent="0.25"/>
    <row r="154123" s="12" customFormat="1" x14ac:dyDescent="0.25"/>
    <row r="154124" s="12" customFormat="1" x14ac:dyDescent="0.25"/>
    <row r="154125" s="12" customFormat="1" x14ac:dyDescent="0.25"/>
    <row r="154126" s="12" customFormat="1" x14ac:dyDescent="0.25"/>
    <row r="154127" s="12" customFormat="1" x14ac:dyDescent="0.25"/>
    <row r="154128" s="12" customFormat="1" x14ac:dyDescent="0.25"/>
    <row r="154129" s="12" customFormat="1" x14ac:dyDescent="0.25"/>
    <row r="154130" s="12" customFormat="1" x14ac:dyDescent="0.25"/>
    <row r="154131" s="12" customFormat="1" x14ac:dyDescent="0.25"/>
    <row r="154132" s="12" customFormat="1" x14ac:dyDescent="0.25"/>
    <row r="154133" s="12" customFormat="1" x14ac:dyDescent="0.25"/>
    <row r="154134" s="12" customFormat="1" x14ac:dyDescent="0.25"/>
    <row r="154135" s="12" customFormat="1" x14ac:dyDescent="0.25"/>
    <row r="154136" s="12" customFormat="1" x14ac:dyDescent="0.25"/>
    <row r="154137" s="12" customFormat="1" x14ac:dyDescent="0.25"/>
    <row r="154138" s="12" customFormat="1" x14ac:dyDescent="0.25"/>
    <row r="154139" s="12" customFormat="1" x14ac:dyDescent="0.25"/>
    <row r="154140" s="12" customFormat="1" x14ac:dyDescent="0.25"/>
    <row r="154141" s="12" customFormat="1" x14ac:dyDescent="0.25"/>
    <row r="154142" s="12" customFormat="1" x14ac:dyDescent="0.25"/>
    <row r="154143" s="12" customFormat="1" x14ac:dyDescent="0.25"/>
    <row r="154144" s="12" customFormat="1" x14ac:dyDescent="0.25"/>
    <row r="154145" s="12" customFormat="1" x14ac:dyDescent="0.25"/>
    <row r="154146" s="12" customFormat="1" x14ac:dyDescent="0.25"/>
    <row r="154147" s="12" customFormat="1" x14ac:dyDescent="0.25"/>
    <row r="154148" s="12" customFormat="1" x14ac:dyDescent="0.25"/>
    <row r="154149" s="12" customFormat="1" x14ac:dyDescent="0.25"/>
    <row r="154150" s="12" customFormat="1" x14ac:dyDescent="0.25"/>
    <row r="154151" s="12" customFormat="1" x14ac:dyDescent="0.25"/>
    <row r="154152" s="12" customFormat="1" x14ac:dyDescent="0.25"/>
    <row r="154153" s="12" customFormat="1" x14ac:dyDescent="0.25"/>
    <row r="154154" s="12" customFormat="1" x14ac:dyDescent="0.25"/>
    <row r="154155" s="12" customFormat="1" x14ac:dyDescent="0.25"/>
    <row r="154156" s="12" customFormat="1" x14ac:dyDescent="0.25"/>
    <row r="154157" s="12" customFormat="1" x14ac:dyDescent="0.25"/>
    <row r="154158" s="12" customFormat="1" x14ac:dyDescent="0.25"/>
    <row r="154159" s="12" customFormat="1" x14ac:dyDescent="0.25"/>
    <row r="154160" s="12" customFormat="1" x14ac:dyDescent="0.25"/>
    <row r="154161" s="12" customFormat="1" x14ac:dyDescent="0.25"/>
    <row r="154162" s="12" customFormat="1" x14ac:dyDescent="0.25"/>
    <row r="154163" s="12" customFormat="1" x14ac:dyDescent="0.25"/>
    <row r="154164" s="12" customFormat="1" x14ac:dyDescent="0.25"/>
    <row r="154165" s="12" customFormat="1" x14ac:dyDescent="0.25"/>
    <row r="154166" s="12" customFormat="1" x14ac:dyDescent="0.25"/>
    <row r="154167" s="12" customFormat="1" x14ac:dyDescent="0.25"/>
    <row r="154168" s="12" customFormat="1" x14ac:dyDescent="0.25"/>
    <row r="154169" s="12" customFormat="1" x14ac:dyDescent="0.25"/>
    <row r="154170" s="12" customFormat="1" x14ac:dyDescent="0.25"/>
    <row r="154171" s="12" customFormat="1" x14ac:dyDescent="0.25"/>
    <row r="154172" s="12" customFormat="1" x14ac:dyDescent="0.25"/>
    <row r="154173" s="12" customFormat="1" x14ac:dyDescent="0.25"/>
    <row r="154174" s="12" customFormat="1" x14ac:dyDescent="0.25"/>
    <row r="154175" s="12" customFormat="1" x14ac:dyDescent="0.25"/>
    <row r="154176" s="12" customFormat="1" x14ac:dyDescent="0.25"/>
    <row r="154177" s="12" customFormat="1" x14ac:dyDescent="0.25"/>
    <row r="154178" s="12" customFormat="1" x14ac:dyDescent="0.25"/>
    <row r="154179" s="12" customFormat="1" x14ac:dyDescent="0.25"/>
    <row r="154180" s="12" customFormat="1" x14ac:dyDescent="0.25"/>
    <row r="154181" s="12" customFormat="1" x14ac:dyDescent="0.25"/>
    <row r="154182" s="12" customFormat="1" x14ac:dyDescent="0.25"/>
    <row r="154183" s="12" customFormat="1" x14ac:dyDescent="0.25"/>
    <row r="154184" s="12" customFormat="1" x14ac:dyDescent="0.25"/>
    <row r="154185" s="12" customFormat="1" x14ac:dyDescent="0.25"/>
    <row r="154186" s="12" customFormat="1" x14ac:dyDescent="0.25"/>
    <row r="154187" s="12" customFormat="1" x14ac:dyDescent="0.25"/>
    <row r="154188" s="12" customFormat="1" x14ac:dyDescent="0.25"/>
    <row r="154189" s="12" customFormat="1" x14ac:dyDescent="0.25"/>
    <row r="154190" s="12" customFormat="1" x14ac:dyDescent="0.25"/>
    <row r="154191" s="12" customFormat="1" x14ac:dyDescent="0.25"/>
    <row r="154192" s="12" customFormat="1" x14ac:dyDescent="0.25"/>
    <row r="154193" s="12" customFormat="1" x14ac:dyDescent="0.25"/>
    <row r="154194" s="12" customFormat="1" x14ac:dyDescent="0.25"/>
    <row r="154195" s="12" customFormat="1" x14ac:dyDescent="0.25"/>
    <row r="154196" s="12" customFormat="1" x14ac:dyDescent="0.25"/>
    <row r="154197" s="12" customFormat="1" x14ac:dyDescent="0.25"/>
    <row r="154198" s="12" customFormat="1" x14ac:dyDescent="0.25"/>
    <row r="154199" s="12" customFormat="1" x14ac:dyDescent="0.25"/>
    <row r="154200" s="12" customFormat="1" x14ac:dyDescent="0.25"/>
    <row r="154201" s="12" customFormat="1" x14ac:dyDescent="0.25"/>
    <row r="154202" s="12" customFormat="1" x14ac:dyDescent="0.25"/>
    <row r="154203" s="12" customFormat="1" x14ac:dyDescent="0.25"/>
    <row r="154204" s="12" customFormat="1" x14ac:dyDescent="0.25"/>
    <row r="154205" s="12" customFormat="1" x14ac:dyDescent="0.25"/>
    <row r="154206" s="12" customFormat="1" x14ac:dyDescent="0.25"/>
    <row r="154207" s="12" customFormat="1" x14ac:dyDescent="0.25"/>
    <row r="154208" s="12" customFormat="1" x14ac:dyDescent="0.25"/>
    <row r="154209" s="12" customFormat="1" x14ac:dyDescent="0.25"/>
    <row r="154210" s="12" customFormat="1" x14ac:dyDescent="0.25"/>
    <row r="154211" s="12" customFormat="1" x14ac:dyDescent="0.25"/>
    <row r="154212" s="12" customFormat="1" x14ac:dyDescent="0.25"/>
    <row r="154213" s="12" customFormat="1" x14ac:dyDescent="0.25"/>
    <row r="154214" s="12" customFormat="1" x14ac:dyDescent="0.25"/>
    <row r="154215" s="12" customFormat="1" x14ac:dyDescent="0.25"/>
    <row r="154216" s="12" customFormat="1" x14ac:dyDescent="0.25"/>
    <row r="154217" s="12" customFormat="1" x14ac:dyDescent="0.25"/>
    <row r="154218" s="12" customFormat="1" x14ac:dyDescent="0.25"/>
    <row r="154219" s="12" customFormat="1" x14ac:dyDescent="0.25"/>
    <row r="154220" s="12" customFormat="1" x14ac:dyDescent="0.25"/>
    <row r="154221" s="12" customFormat="1" x14ac:dyDescent="0.25"/>
    <row r="154222" s="12" customFormat="1" x14ac:dyDescent="0.25"/>
    <row r="154223" s="12" customFormat="1" x14ac:dyDescent="0.25"/>
    <row r="154224" s="12" customFormat="1" x14ac:dyDescent="0.25"/>
    <row r="154225" s="12" customFormat="1" x14ac:dyDescent="0.25"/>
    <row r="154226" s="12" customFormat="1" x14ac:dyDescent="0.25"/>
    <row r="154227" s="12" customFormat="1" x14ac:dyDescent="0.25"/>
    <row r="154228" s="12" customFormat="1" x14ac:dyDescent="0.25"/>
    <row r="154229" s="12" customFormat="1" x14ac:dyDescent="0.25"/>
    <row r="154230" s="12" customFormat="1" x14ac:dyDescent="0.25"/>
    <row r="154231" s="12" customFormat="1" x14ac:dyDescent="0.25"/>
    <row r="154232" s="12" customFormat="1" x14ac:dyDescent="0.25"/>
    <row r="154233" s="12" customFormat="1" x14ac:dyDescent="0.25"/>
    <row r="154234" s="12" customFormat="1" x14ac:dyDescent="0.25"/>
    <row r="154235" s="12" customFormat="1" x14ac:dyDescent="0.25"/>
    <row r="154236" s="12" customFormat="1" x14ac:dyDescent="0.25"/>
    <row r="154237" s="12" customFormat="1" x14ac:dyDescent="0.25"/>
    <row r="154238" s="12" customFormat="1" x14ac:dyDescent="0.25"/>
    <row r="154239" s="12" customFormat="1" x14ac:dyDescent="0.25"/>
    <row r="154240" s="12" customFormat="1" x14ac:dyDescent="0.25"/>
    <row r="154241" s="12" customFormat="1" x14ac:dyDescent="0.25"/>
    <row r="154242" s="12" customFormat="1" x14ac:dyDescent="0.25"/>
    <row r="154243" s="12" customFormat="1" x14ac:dyDescent="0.25"/>
    <row r="154244" s="12" customFormat="1" x14ac:dyDescent="0.25"/>
    <row r="154245" s="12" customFormat="1" x14ac:dyDescent="0.25"/>
    <row r="154246" s="12" customFormat="1" x14ac:dyDescent="0.25"/>
    <row r="154247" s="12" customFormat="1" x14ac:dyDescent="0.25"/>
    <row r="154248" s="12" customFormat="1" x14ac:dyDescent="0.25"/>
    <row r="154249" s="12" customFormat="1" x14ac:dyDescent="0.25"/>
    <row r="154250" s="12" customFormat="1" x14ac:dyDescent="0.25"/>
    <row r="154251" s="12" customFormat="1" x14ac:dyDescent="0.25"/>
    <row r="154252" s="12" customFormat="1" x14ac:dyDescent="0.25"/>
    <row r="154253" s="12" customFormat="1" x14ac:dyDescent="0.25"/>
    <row r="154254" s="12" customFormat="1" x14ac:dyDescent="0.25"/>
    <row r="154255" s="12" customFormat="1" x14ac:dyDescent="0.25"/>
    <row r="154256" s="12" customFormat="1" x14ac:dyDescent="0.25"/>
    <row r="154257" s="12" customFormat="1" x14ac:dyDescent="0.25"/>
    <row r="154258" s="12" customFormat="1" x14ac:dyDescent="0.25"/>
    <row r="154259" s="12" customFormat="1" x14ac:dyDescent="0.25"/>
    <row r="154260" s="12" customFormat="1" x14ac:dyDescent="0.25"/>
    <row r="154261" s="12" customFormat="1" x14ac:dyDescent="0.25"/>
    <row r="154262" s="12" customFormat="1" x14ac:dyDescent="0.25"/>
    <row r="154263" s="12" customFormat="1" x14ac:dyDescent="0.25"/>
    <row r="154264" s="12" customFormat="1" x14ac:dyDescent="0.25"/>
    <row r="154265" s="12" customFormat="1" x14ac:dyDescent="0.25"/>
    <row r="154266" s="12" customFormat="1" x14ac:dyDescent="0.25"/>
    <row r="154267" s="12" customFormat="1" x14ac:dyDescent="0.25"/>
    <row r="154268" s="12" customFormat="1" x14ac:dyDescent="0.25"/>
    <row r="154269" s="12" customFormat="1" x14ac:dyDescent="0.25"/>
    <row r="154270" s="12" customFormat="1" x14ac:dyDescent="0.25"/>
    <row r="154271" s="12" customFormat="1" x14ac:dyDescent="0.25"/>
    <row r="154272" s="12" customFormat="1" x14ac:dyDescent="0.25"/>
    <row r="154273" s="12" customFormat="1" x14ac:dyDescent="0.25"/>
    <row r="154274" s="12" customFormat="1" x14ac:dyDescent="0.25"/>
    <row r="154275" s="12" customFormat="1" x14ac:dyDescent="0.25"/>
    <row r="154276" s="12" customFormat="1" x14ac:dyDescent="0.25"/>
    <row r="154277" s="12" customFormat="1" x14ac:dyDescent="0.25"/>
    <row r="154278" s="12" customFormat="1" x14ac:dyDescent="0.25"/>
    <row r="154279" s="12" customFormat="1" x14ac:dyDescent="0.25"/>
    <row r="154280" s="12" customFormat="1" x14ac:dyDescent="0.25"/>
    <row r="154281" s="12" customFormat="1" x14ac:dyDescent="0.25"/>
    <row r="154282" s="12" customFormat="1" x14ac:dyDescent="0.25"/>
    <row r="154283" s="12" customFormat="1" x14ac:dyDescent="0.25"/>
    <row r="154284" s="12" customFormat="1" x14ac:dyDescent="0.25"/>
    <row r="154285" s="12" customFormat="1" x14ac:dyDescent="0.25"/>
    <row r="154286" s="12" customFormat="1" x14ac:dyDescent="0.25"/>
    <row r="154287" s="12" customFormat="1" x14ac:dyDescent="0.25"/>
    <row r="154288" s="12" customFormat="1" x14ac:dyDescent="0.25"/>
    <row r="154289" s="12" customFormat="1" x14ac:dyDescent="0.25"/>
    <row r="154290" s="12" customFormat="1" x14ac:dyDescent="0.25"/>
    <row r="154291" s="12" customFormat="1" x14ac:dyDescent="0.25"/>
    <row r="154292" s="12" customFormat="1" x14ac:dyDescent="0.25"/>
    <row r="154293" s="12" customFormat="1" x14ac:dyDescent="0.25"/>
    <row r="154294" s="12" customFormat="1" x14ac:dyDescent="0.25"/>
    <row r="154295" s="12" customFormat="1" x14ac:dyDescent="0.25"/>
    <row r="154296" s="12" customFormat="1" x14ac:dyDescent="0.25"/>
    <row r="154297" s="12" customFormat="1" x14ac:dyDescent="0.25"/>
    <row r="154298" s="12" customFormat="1" x14ac:dyDescent="0.25"/>
    <row r="154299" s="12" customFormat="1" x14ac:dyDescent="0.25"/>
    <row r="154300" s="12" customFormat="1" x14ac:dyDescent="0.25"/>
    <row r="154301" s="12" customFormat="1" x14ac:dyDescent="0.25"/>
    <row r="154302" s="12" customFormat="1" x14ac:dyDescent="0.25"/>
    <row r="154303" s="12" customFormat="1" x14ac:dyDescent="0.25"/>
    <row r="154304" s="12" customFormat="1" x14ac:dyDescent="0.25"/>
    <row r="154305" s="12" customFormat="1" x14ac:dyDescent="0.25"/>
    <row r="154306" s="12" customFormat="1" x14ac:dyDescent="0.25"/>
    <row r="154307" s="12" customFormat="1" x14ac:dyDescent="0.25"/>
    <row r="154308" s="12" customFormat="1" x14ac:dyDescent="0.25"/>
    <row r="154309" s="12" customFormat="1" x14ac:dyDescent="0.25"/>
    <row r="154310" s="12" customFormat="1" x14ac:dyDescent="0.25"/>
    <row r="154311" s="12" customFormat="1" x14ac:dyDescent="0.25"/>
    <row r="154312" s="12" customFormat="1" x14ac:dyDescent="0.25"/>
    <row r="154313" s="12" customFormat="1" x14ac:dyDescent="0.25"/>
    <row r="154314" s="12" customFormat="1" x14ac:dyDescent="0.25"/>
    <row r="154315" s="12" customFormat="1" x14ac:dyDescent="0.25"/>
    <row r="154316" s="12" customFormat="1" x14ac:dyDescent="0.25"/>
    <row r="154317" s="12" customFormat="1" x14ac:dyDescent="0.25"/>
    <row r="154318" s="12" customFormat="1" x14ac:dyDescent="0.25"/>
    <row r="154319" s="12" customFormat="1" x14ac:dyDescent="0.25"/>
    <row r="154320" s="12" customFormat="1" x14ac:dyDescent="0.25"/>
    <row r="154321" s="12" customFormat="1" x14ac:dyDescent="0.25"/>
    <row r="154322" s="12" customFormat="1" x14ac:dyDescent="0.25"/>
    <row r="154323" s="12" customFormat="1" x14ac:dyDescent="0.25"/>
    <row r="154324" s="12" customFormat="1" x14ac:dyDescent="0.25"/>
    <row r="154325" s="12" customFormat="1" x14ac:dyDescent="0.25"/>
    <row r="154326" s="12" customFormat="1" x14ac:dyDescent="0.25"/>
    <row r="154327" s="12" customFormat="1" x14ac:dyDescent="0.25"/>
    <row r="154328" s="12" customFormat="1" x14ac:dyDescent="0.25"/>
    <row r="154329" s="12" customFormat="1" x14ac:dyDescent="0.25"/>
    <row r="154330" s="12" customFormat="1" x14ac:dyDescent="0.25"/>
    <row r="154331" s="12" customFormat="1" x14ac:dyDescent="0.25"/>
    <row r="154332" s="12" customFormat="1" x14ac:dyDescent="0.25"/>
    <row r="154333" s="12" customFormat="1" x14ac:dyDescent="0.25"/>
    <row r="154334" s="12" customFormat="1" x14ac:dyDescent="0.25"/>
    <row r="154335" s="12" customFormat="1" x14ac:dyDescent="0.25"/>
    <row r="154336" s="12" customFormat="1" x14ac:dyDescent="0.25"/>
    <row r="154337" s="12" customFormat="1" x14ac:dyDescent="0.25"/>
    <row r="154338" s="12" customFormat="1" x14ac:dyDescent="0.25"/>
    <row r="154339" s="12" customFormat="1" x14ac:dyDescent="0.25"/>
    <row r="154340" s="12" customFormat="1" x14ac:dyDescent="0.25"/>
    <row r="154341" s="12" customFormat="1" x14ac:dyDescent="0.25"/>
    <row r="154342" s="12" customFormat="1" x14ac:dyDescent="0.25"/>
    <row r="154343" s="12" customFormat="1" x14ac:dyDescent="0.25"/>
    <row r="154344" s="12" customFormat="1" x14ac:dyDescent="0.25"/>
    <row r="154345" s="12" customFormat="1" x14ac:dyDescent="0.25"/>
    <row r="154346" s="12" customFormat="1" x14ac:dyDescent="0.25"/>
    <row r="154347" s="12" customFormat="1" x14ac:dyDescent="0.25"/>
    <row r="154348" s="12" customFormat="1" x14ac:dyDescent="0.25"/>
    <row r="154349" s="12" customFormat="1" x14ac:dyDescent="0.25"/>
    <row r="154350" s="12" customFormat="1" x14ac:dyDescent="0.25"/>
    <row r="154351" s="12" customFormat="1" x14ac:dyDescent="0.25"/>
    <row r="154352" s="12" customFormat="1" x14ac:dyDescent="0.25"/>
    <row r="154353" s="12" customFormat="1" x14ac:dyDescent="0.25"/>
    <row r="154354" s="12" customFormat="1" x14ac:dyDescent="0.25"/>
    <row r="154355" s="12" customFormat="1" x14ac:dyDescent="0.25"/>
    <row r="154356" s="12" customFormat="1" x14ac:dyDescent="0.25"/>
    <row r="154357" s="12" customFormat="1" x14ac:dyDescent="0.25"/>
    <row r="154358" s="12" customFormat="1" x14ac:dyDescent="0.25"/>
    <row r="154359" s="12" customFormat="1" x14ac:dyDescent="0.25"/>
    <row r="154360" s="12" customFormat="1" x14ac:dyDescent="0.25"/>
    <row r="154361" s="12" customFormat="1" x14ac:dyDescent="0.25"/>
    <row r="154362" s="12" customFormat="1" x14ac:dyDescent="0.25"/>
    <row r="154363" s="12" customFormat="1" x14ac:dyDescent="0.25"/>
    <row r="154364" s="12" customFormat="1" x14ac:dyDescent="0.25"/>
    <row r="154365" s="12" customFormat="1" x14ac:dyDescent="0.25"/>
    <row r="154366" s="12" customFormat="1" x14ac:dyDescent="0.25"/>
    <row r="154367" s="12" customFormat="1" x14ac:dyDescent="0.25"/>
    <row r="154368" s="12" customFormat="1" x14ac:dyDescent="0.25"/>
    <row r="154369" s="12" customFormat="1" x14ac:dyDescent="0.25"/>
    <row r="154370" s="12" customFormat="1" x14ac:dyDescent="0.25"/>
    <row r="154371" s="12" customFormat="1" x14ac:dyDescent="0.25"/>
    <row r="154372" s="12" customFormat="1" x14ac:dyDescent="0.25"/>
    <row r="154373" s="12" customFormat="1" x14ac:dyDescent="0.25"/>
    <row r="154374" s="12" customFormat="1" x14ac:dyDescent="0.25"/>
    <row r="154375" s="12" customFormat="1" x14ac:dyDescent="0.25"/>
    <row r="154376" s="12" customFormat="1" x14ac:dyDescent="0.25"/>
    <row r="154377" s="12" customFormat="1" x14ac:dyDescent="0.25"/>
    <row r="154378" s="12" customFormat="1" x14ac:dyDescent="0.25"/>
    <row r="154379" s="12" customFormat="1" x14ac:dyDescent="0.25"/>
    <row r="154380" s="12" customFormat="1" x14ac:dyDescent="0.25"/>
    <row r="154381" s="12" customFormat="1" x14ac:dyDescent="0.25"/>
    <row r="154382" s="12" customFormat="1" x14ac:dyDescent="0.25"/>
    <row r="154383" s="12" customFormat="1" x14ac:dyDescent="0.25"/>
    <row r="154384" s="12" customFormat="1" x14ac:dyDescent="0.25"/>
    <row r="154385" s="12" customFormat="1" x14ac:dyDescent="0.25"/>
    <row r="154386" s="12" customFormat="1" x14ac:dyDescent="0.25"/>
    <row r="154387" s="12" customFormat="1" x14ac:dyDescent="0.25"/>
    <row r="154388" s="12" customFormat="1" x14ac:dyDescent="0.25"/>
    <row r="154389" s="12" customFormat="1" x14ac:dyDescent="0.25"/>
    <row r="154390" s="12" customFormat="1" x14ac:dyDescent="0.25"/>
    <row r="154391" s="12" customFormat="1" x14ac:dyDescent="0.25"/>
    <row r="154392" s="12" customFormat="1" x14ac:dyDescent="0.25"/>
    <row r="154393" s="12" customFormat="1" x14ac:dyDescent="0.25"/>
    <row r="154394" s="12" customFormat="1" x14ac:dyDescent="0.25"/>
    <row r="154395" s="12" customFormat="1" x14ac:dyDescent="0.25"/>
    <row r="154396" s="12" customFormat="1" x14ac:dyDescent="0.25"/>
    <row r="154397" s="12" customFormat="1" x14ac:dyDescent="0.25"/>
    <row r="154398" s="12" customFormat="1" x14ac:dyDescent="0.25"/>
    <row r="154399" s="12" customFormat="1" x14ac:dyDescent="0.25"/>
    <row r="154400" s="12" customFormat="1" x14ac:dyDescent="0.25"/>
    <row r="154401" s="12" customFormat="1" x14ac:dyDescent="0.25"/>
    <row r="154402" s="12" customFormat="1" x14ac:dyDescent="0.25"/>
    <row r="154403" s="12" customFormat="1" x14ac:dyDescent="0.25"/>
    <row r="154404" s="12" customFormat="1" x14ac:dyDescent="0.25"/>
    <row r="154405" s="12" customFormat="1" x14ac:dyDescent="0.25"/>
    <row r="154406" s="12" customFormat="1" x14ac:dyDescent="0.25"/>
    <row r="154407" s="12" customFormat="1" x14ac:dyDescent="0.25"/>
    <row r="154408" s="12" customFormat="1" x14ac:dyDescent="0.25"/>
    <row r="154409" s="12" customFormat="1" x14ac:dyDescent="0.25"/>
    <row r="154410" s="12" customFormat="1" x14ac:dyDescent="0.25"/>
    <row r="154411" s="12" customFormat="1" x14ac:dyDescent="0.25"/>
    <row r="154412" s="12" customFormat="1" x14ac:dyDescent="0.25"/>
    <row r="154413" s="12" customFormat="1" x14ac:dyDescent="0.25"/>
    <row r="154414" s="12" customFormat="1" x14ac:dyDescent="0.25"/>
    <row r="154415" s="12" customFormat="1" x14ac:dyDescent="0.25"/>
    <row r="154416" s="12" customFormat="1" x14ac:dyDescent="0.25"/>
    <row r="154417" s="12" customFormat="1" x14ac:dyDescent="0.25"/>
    <row r="154418" s="12" customFormat="1" x14ac:dyDescent="0.25"/>
    <row r="154419" s="12" customFormat="1" x14ac:dyDescent="0.25"/>
    <row r="154420" s="12" customFormat="1" x14ac:dyDescent="0.25"/>
    <row r="154421" s="12" customFormat="1" x14ac:dyDescent="0.25"/>
    <row r="154422" s="12" customFormat="1" x14ac:dyDescent="0.25"/>
    <row r="154423" s="12" customFormat="1" x14ac:dyDescent="0.25"/>
    <row r="154424" s="12" customFormat="1" x14ac:dyDescent="0.25"/>
    <row r="154425" s="12" customFormat="1" x14ac:dyDescent="0.25"/>
    <row r="154426" s="12" customFormat="1" x14ac:dyDescent="0.25"/>
    <row r="154427" s="12" customFormat="1" x14ac:dyDescent="0.25"/>
    <row r="154428" s="12" customFormat="1" x14ac:dyDescent="0.25"/>
    <row r="154429" s="12" customFormat="1" x14ac:dyDescent="0.25"/>
    <row r="154430" s="12" customFormat="1" x14ac:dyDescent="0.25"/>
    <row r="154431" s="12" customFormat="1" x14ac:dyDescent="0.25"/>
    <row r="154432" s="12" customFormat="1" x14ac:dyDescent="0.25"/>
    <row r="154433" s="12" customFormat="1" x14ac:dyDescent="0.25"/>
    <row r="154434" s="12" customFormat="1" x14ac:dyDescent="0.25"/>
    <row r="154435" s="12" customFormat="1" x14ac:dyDescent="0.25"/>
    <row r="154436" s="12" customFormat="1" x14ac:dyDescent="0.25"/>
    <row r="154437" s="12" customFormat="1" x14ac:dyDescent="0.25"/>
    <row r="154438" s="12" customFormat="1" x14ac:dyDescent="0.25"/>
    <row r="154439" s="12" customFormat="1" x14ac:dyDescent="0.25"/>
    <row r="154440" s="12" customFormat="1" x14ac:dyDescent="0.25"/>
    <row r="154441" s="12" customFormat="1" x14ac:dyDescent="0.25"/>
    <row r="154442" s="12" customFormat="1" x14ac:dyDescent="0.25"/>
    <row r="154443" s="12" customFormat="1" x14ac:dyDescent="0.25"/>
    <row r="154444" s="12" customFormat="1" x14ac:dyDescent="0.25"/>
    <row r="154445" s="12" customFormat="1" x14ac:dyDescent="0.25"/>
    <row r="154446" s="12" customFormat="1" x14ac:dyDescent="0.25"/>
    <row r="154447" s="12" customFormat="1" x14ac:dyDescent="0.25"/>
    <row r="154448" s="12" customFormat="1" x14ac:dyDescent="0.25"/>
    <row r="154449" s="12" customFormat="1" x14ac:dyDescent="0.25"/>
    <row r="154450" s="12" customFormat="1" x14ac:dyDescent="0.25"/>
    <row r="154451" s="12" customFormat="1" x14ac:dyDescent="0.25"/>
    <row r="154452" s="12" customFormat="1" x14ac:dyDescent="0.25"/>
    <row r="154453" s="12" customFormat="1" x14ac:dyDescent="0.25"/>
    <row r="154454" s="12" customFormat="1" x14ac:dyDescent="0.25"/>
    <row r="154455" s="12" customFormat="1" x14ac:dyDescent="0.25"/>
    <row r="154456" s="12" customFormat="1" x14ac:dyDescent="0.25"/>
    <row r="154457" s="12" customFormat="1" x14ac:dyDescent="0.25"/>
    <row r="154458" s="12" customFormat="1" x14ac:dyDescent="0.25"/>
    <row r="154459" s="12" customFormat="1" x14ac:dyDescent="0.25"/>
    <row r="154460" s="12" customFormat="1" x14ac:dyDescent="0.25"/>
    <row r="154461" s="12" customFormat="1" x14ac:dyDescent="0.25"/>
    <row r="154462" s="12" customFormat="1" x14ac:dyDescent="0.25"/>
    <row r="154463" s="12" customFormat="1" x14ac:dyDescent="0.25"/>
    <row r="154464" s="12" customFormat="1" x14ac:dyDescent="0.25"/>
    <row r="154465" s="12" customFormat="1" x14ac:dyDescent="0.25"/>
    <row r="154466" s="12" customFormat="1" x14ac:dyDescent="0.25"/>
    <row r="154467" s="12" customFormat="1" x14ac:dyDescent="0.25"/>
    <row r="154468" s="12" customFormat="1" x14ac:dyDescent="0.25"/>
    <row r="154469" s="12" customFormat="1" x14ac:dyDescent="0.25"/>
    <row r="154470" s="12" customFormat="1" x14ac:dyDescent="0.25"/>
    <row r="154471" s="12" customFormat="1" x14ac:dyDescent="0.25"/>
    <row r="154472" s="12" customFormat="1" x14ac:dyDescent="0.25"/>
    <row r="154473" s="12" customFormat="1" x14ac:dyDescent="0.25"/>
    <row r="154474" s="12" customFormat="1" x14ac:dyDescent="0.25"/>
    <row r="154475" s="12" customFormat="1" x14ac:dyDescent="0.25"/>
    <row r="154476" s="12" customFormat="1" x14ac:dyDescent="0.25"/>
    <row r="154477" s="12" customFormat="1" x14ac:dyDescent="0.25"/>
    <row r="154478" s="12" customFormat="1" x14ac:dyDescent="0.25"/>
    <row r="154479" s="12" customFormat="1" x14ac:dyDescent="0.25"/>
    <row r="154480" s="12" customFormat="1" x14ac:dyDescent="0.25"/>
    <row r="154481" s="12" customFormat="1" x14ac:dyDescent="0.25"/>
    <row r="154482" s="12" customFormat="1" x14ac:dyDescent="0.25"/>
    <row r="154483" s="12" customFormat="1" x14ac:dyDescent="0.25"/>
    <row r="154484" s="12" customFormat="1" x14ac:dyDescent="0.25"/>
    <row r="154485" s="12" customFormat="1" x14ac:dyDescent="0.25"/>
    <row r="154486" s="12" customFormat="1" x14ac:dyDescent="0.25"/>
    <row r="154487" s="12" customFormat="1" x14ac:dyDescent="0.25"/>
    <row r="154488" s="12" customFormat="1" x14ac:dyDescent="0.25"/>
    <row r="154489" s="12" customFormat="1" x14ac:dyDescent="0.25"/>
    <row r="154490" s="12" customFormat="1" x14ac:dyDescent="0.25"/>
    <row r="154491" s="12" customFormat="1" x14ac:dyDescent="0.25"/>
    <row r="154492" s="12" customFormat="1" x14ac:dyDescent="0.25"/>
    <row r="154493" s="12" customFormat="1" x14ac:dyDescent="0.25"/>
    <row r="154494" s="12" customFormat="1" x14ac:dyDescent="0.25"/>
    <row r="154495" s="12" customFormat="1" x14ac:dyDescent="0.25"/>
    <row r="154496" s="12" customFormat="1" x14ac:dyDescent="0.25"/>
    <row r="154497" s="12" customFormat="1" x14ac:dyDescent="0.25"/>
    <row r="154498" s="12" customFormat="1" x14ac:dyDescent="0.25"/>
    <row r="154499" s="12" customFormat="1" x14ac:dyDescent="0.25"/>
    <row r="154500" s="12" customFormat="1" x14ac:dyDescent="0.25"/>
    <row r="154501" s="12" customFormat="1" x14ac:dyDescent="0.25"/>
    <row r="154502" s="12" customFormat="1" x14ac:dyDescent="0.25"/>
    <row r="154503" s="12" customFormat="1" x14ac:dyDescent="0.25"/>
    <row r="154504" s="12" customFormat="1" x14ac:dyDescent="0.25"/>
    <row r="154505" s="12" customFormat="1" x14ac:dyDescent="0.25"/>
    <row r="154506" s="12" customFormat="1" x14ac:dyDescent="0.25"/>
    <row r="154507" s="12" customFormat="1" x14ac:dyDescent="0.25"/>
    <row r="154508" s="12" customFormat="1" x14ac:dyDescent="0.25"/>
    <row r="154509" s="12" customFormat="1" x14ac:dyDescent="0.25"/>
    <row r="154510" s="12" customFormat="1" x14ac:dyDescent="0.25"/>
    <row r="154511" s="12" customFormat="1" x14ac:dyDescent="0.25"/>
    <row r="154512" s="12" customFormat="1" x14ac:dyDescent="0.25"/>
    <row r="154513" s="12" customFormat="1" x14ac:dyDescent="0.25"/>
    <row r="154514" s="12" customFormat="1" x14ac:dyDescent="0.25"/>
    <row r="154515" s="12" customFormat="1" x14ac:dyDescent="0.25"/>
    <row r="154516" s="12" customFormat="1" x14ac:dyDescent="0.25"/>
    <row r="154517" s="12" customFormat="1" x14ac:dyDescent="0.25"/>
    <row r="154518" s="12" customFormat="1" x14ac:dyDescent="0.25"/>
    <row r="154519" s="12" customFormat="1" x14ac:dyDescent="0.25"/>
    <row r="154520" s="12" customFormat="1" x14ac:dyDescent="0.25"/>
    <row r="154521" s="12" customFormat="1" x14ac:dyDescent="0.25"/>
    <row r="154522" s="12" customFormat="1" x14ac:dyDescent="0.25"/>
    <row r="154523" s="12" customFormat="1" x14ac:dyDescent="0.25"/>
    <row r="154524" s="12" customFormat="1" x14ac:dyDescent="0.25"/>
    <row r="154525" s="12" customFormat="1" x14ac:dyDescent="0.25"/>
    <row r="154526" s="12" customFormat="1" x14ac:dyDescent="0.25"/>
    <row r="154527" s="12" customFormat="1" x14ac:dyDescent="0.25"/>
    <row r="154528" s="12" customFormat="1" x14ac:dyDescent="0.25"/>
    <row r="154529" s="12" customFormat="1" x14ac:dyDescent="0.25"/>
    <row r="154530" s="12" customFormat="1" x14ac:dyDescent="0.25"/>
    <row r="154531" s="12" customFormat="1" x14ac:dyDescent="0.25"/>
    <row r="154532" s="12" customFormat="1" x14ac:dyDescent="0.25"/>
    <row r="154533" s="12" customFormat="1" x14ac:dyDescent="0.25"/>
    <row r="154534" s="12" customFormat="1" x14ac:dyDescent="0.25"/>
    <row r="154535" s="12" customFormat="1" x14ac:dyDescent="0.25"/>
    <row r="154536" s="12" customFormat="1" x14ac:dyDescent="0.25"/>
    <row r="154537" s="12" customFormat="1" x14ac:dyDescent="0.25"/>
    <row r="154538" s="12" customFormat="1" x14ac:dyDescent="0.25"/>
    <row r="154539" s="12" customFormat="1" x14ac:dyDescent="0.25"/>
    <row r="154540" s="12" customFormat="1" x14ac:dyDescent="0.25"/>
    <row r="154541" s="12" customFormat="1" x14ac:dyDescent="0.25"/>
    <row r="154542" s="12" customFormat="1" x14ac:dyDescent="0.25"/>
    <row r="154543" s="12" customFormat="1" x14ac:dyDescent="0.25"/>
    <row r="154544" s="12" customFormat="1" x14ac:dyDescent="0.25"/>
    <row r="154545" s="12" customFormat="1" x14ac:dyDescent="0.25"/>
    <row r="154546" s="12" customFormat="1" x14ac:dyDescent="0.25"/>
    <row r="154547" s="12" customFormat="1" x14ac:dyDescent="0.25"/>
    <row r="154548" s="12" customFormat="1" x14ac:dyDescent="0.25"/>
    <row r="154549" s="12" customFormat="1" x14ac:dyDescent="0.25"/>
    <row r="154550" s="12" customFormat="1" x14ac:dyDescent="0.25"/>
    <row r="154551" s="12" customFormat="1" x14ac:dyDescent="0.25"/>
    <row r="154552" s="12" customFormat="1" x14ac:dyDescent="0.25"/>
    <row r="154553" s="12" customFormat="1" x14ac:dyDescent="0.25"/>
    <row r="154554" s="12" customFormat="1" x14ac:dyDescent="0.25"/>
    <row r="154555" s="12" customFormat="1" x14ac:dyDescent="0.25"/>
    <row r="154556" s="12" customFormat="1" x14ac:dyDescent="0.25"/>
    <row r="154557" s="12" customFormat="1" x14ac:dyDescent="0.25"/>
    <row r="154558" s="12" customFormat="1" x14ac:dyDescent="0.25"/>
    <row r="154559" s="12" customFormat="1" x14ac:dyDescent="0.25"/>
    <row r="154560" s="12" customFormat="1" x14ac:dyDescent="0.25"/>
    <row r="154561" s="12" customFormat="1" x14ac:dyDescent="0.25"/>
    <row r="154562" s="12" customFormat="1" x14ac:dyDescent="0.25"/>
    <row r="154563" s="12" customFormat="1" x14ac:dyDescent="0.25"/>
    <row r="154564" s="12" customFormat="1" x14ac:dyDescent="0.25"/>
    <row r="154565" s="12" customFormat="1" x14ac:dyDescent="0.25"/>
    <row r="154566" s="12" customFormat="1" x14ac:dyDescent="0.25"/>
    <row r="154567" s="12" customFormat="1" x14ac:dyDescent="0.25"/>
    <row r="154568" s="12" customFormat="1" x14ac:dyDescent="0.25"/>
    <row r="154569" s="12" customFormat="1" x14ac:dyDescent="0.25"/>
    <row r="154570" s="12" customFormat="1" x14ac:dyDescent="0.25"/>
    <row r="154571" s="12" customFormat="1" x14ac:dyDescent="0.25"/>
    <row r="154572" s="12" customFormat="1" x14ac:dyDescent="0.25"/>
    <row r="154573" s="12" customFormat="1" x14ac:dyDescent="0.25"/>
    <row r="154574" s="12" customFormat="1" x14ac:dyDescent="0.25"/>
    <row r="154575" s="12" customFormat="1" x14ac:dyDescent="0.25"/>
    <row r="154576" s="12" customFormat="1" x14ac:dyDescent="0.25"/>
    <row r="154577" s="12" customFormat="1" x14ac:dyDescent="0.25"/>
    <row r="154578" s="12" customFormat="1" x14ac:dyDescent="0.25"/>
    <row r="154579" s="12" customFormat="1" x14ac:dyDescent="0.25"/>
    <row r="154580" s="12" customFormat="1" x14ac:dyDescent="0.25"/>
    <row r="154581" s="12" customFormat="1" x14ac:dyDescent="0.25"/>
    <row r="154582" s="12" customFormat="1" x14ac:dyDescent="0.25"/>
    <row r="154583" s="12" customFormat="1" x14ac:dyDescent="0.25"/>
    <row r="154584" s="12" customFormat="1" x14ac:dyDescent="0.25"/>
    <row r="154585" s="12" customFormat="1" x14ac:dyDescent="0.25"/>
    <row r="154586" s="12" customFormat="1" x14ac:dyDescent="0.25"/>
    <row r="154587" s="12" customFormat="1" x14ac:dyDescent="0.25"/>
    <row r="154588" s="12" customFormat="1" x14ac:dyDescent="0.25"/>
    <row r="154589" s="12" customFormat="1" x14ac:dyDescent="0.25"/>
    <row r="154590" s="12" customFormat="1" x14ac:dyDescent="0.25"/>
    <row r="154591" s="12" customFormat="1" x14ac:dyDescent="0.25"/>
    <row r="154592" s="12" customFormat="1" x14ac:dyDescent="0.25"/>
    <row r="154593" s="12" customFormat="1" x14ac:dyDescent="0.25"/>
    <row r="154594" s="12" customFormat="1" x14ac:dyDescent="0.25"/>
    <row r="154595" s="12" customFormat="1" x14ac:dyDescent="0.25"/>
    <row r="154596" s="12" customFormat="1" x14ac:dyDescent="0.25"/>
    <row r="154597" s="12" customFormat="1" x14ac:dyDescent="0.25"/>
    <row r="154598" s="12" customFormat="1" x14ac:dyDescent="0.25"/>
    <row r="154599" s="12" customFormat="1" x14ac:dyDescent="0.25"/>
    <row r="154600" s="12" customFormat="1" x14ac:dyDescent="0.25"/>
    <row r="154601" s="12" customFormat="1" x14ac:dyDescent="0.25"/>
    <row r="154602" s="12" customFormat="1" x14ac:dyDescent="0.25"/>
    <row r="154603" s="12" customFormat="1" x14ac:dyDescent="0.25"/>
    <row r="154604" s="12" customFormat="1" x14ac:dyDescent="0.25"/>
    <row r="154605" s="12" customFormat="1" x14ac:dyDescent="0.25"/>
    <row r="154606" s="12" customFormat="1" x14ac:dyDescent="0.25"/>
    <row r="154607" s="12" customFormat="1" x14ac:dyDescent="0.25"/>
    <row r="154608" s="12" customFormat="1" x14ac:dyDescent="0.25"/>
    <row r="154609" s="12" customFormat="1" x14ac:dyDescent="0.25"/>
    <row r="154610" s="12" customFormat="1" x14ac:dyDescent="0.25"/>
    <row r="154611" s="12" customFormat="1" x14ac:dyDescent="0.25"/>
    <row r="154612" s="12" customFormat="1" x14ac:dyDescent="0.25"/>
    <row r="154613" s="12" customFormat="1" x14ac:dyDescent="0.25"/>
    <row r="154614" s="12" customFormat="1" x14ac:dyDescent="0.25"/>
    <row r="154615" s="12" customFormat="1" x14ac:dyDescent="0.25"/>
    <row r="154616" s="12" customFormat="1" x14ac:dyDescent="0.25"/>
    <row r="154617" s="12" customFormat="1" x14ac:dyDescent="0.25"/>
    <row r="154618" s="12" customFormat="1" x14ac:dyDescent="0.25"/>
    <row r="154619" s="12" customFormat="1" x14ac:dyDescent="0.25"/>
    <row r="154620" s="12" customFormat="1" x14ac:dyDescent="0.25"/>
    <row r="154621" s="12" customFormat="1" x14ac:dyDescent="0.25"/>
    <row r="154622" s="12" customFormat="1" x14ac:dyDescent="0.25"/>
    <row r="154623" s="12" customFormat="1" x14ac:dyDescent="0.25"/>
    <row r="154624" s="12" customFormat="1" x14ac:dyDescent="0.25"/>
    <row r="154625" s="12" customFormat="1" x14ac:dyDescent="0.25"/>
    <row r="154626" s="12" customFormat="1" x14ac:dyDescent="0.25"/>
    <row r="154627" s="12" customFormat="1" x14ac:dyDescent="0.25"/>
    <row r="154628" s="12" customFormat="1" x14ac:dyDescent="0.25"/>
    <row r="154629" s="12" customFormat="1" x14ac:dyDescent="0.25"/>
    <row r="154630" s="12" customFormat="1" x14ac:dyDescent="0.25"/>
    <row r="154631" s="12" customFormat="1" x14ac:dyDescent="0.25"/>
    <row r="154632" s="12" customFormat="1" x14ac:dyDescent="0.25"/>
    <row r="154633" s="12" customFormat="1" x14ac:dyDescent="0.25"/>
    <row r="154634" s="12" customFormat="1" x14ac:dyDescent="0.25"/>
    <row r="154635" s="12" customFormat="1" x14ac:dyDescent="0.25"/>
    <row r="154636" s="12" customFormat="1" x14ac:dyDescent="0.25"/>
    <row r="154637" s="12" customFormat="1" x14ac:dyDescent="0.25"/>
    <row r="154638" s="12" customFormat="1" x14ac:dyDescent="0.25"/>
    <row r="154639" s="12" customFormat="1" x14ac:dyDescent="0.25"/>
    <row r="154640" s="12" customFormat="1" x14ac:dyDescent="0.25"/>
    <row r="154641" s="12" customFormat="1" x14ac:dyDescent="0.25"/>
    <row r="154642" s="12" customFormat="1" x14ac:dyDescent="0.25"/>
    <row r="154643" s="12" customFormat="1" x14ac:dyDescent="0.25"/>
    <row r="154644" s="12" customFormat="1" x14ac:dyDescent="0.25"/>
    <row r="154645" s="12" customFormat="1" x14ac:dyDescent="0.25"/>
    <row r="154646" s="12" customFormat="1" x14ac:dyDescent="0.25"/>
    <row r="154647" s="12" customFormat="1" x14ac:dyDescent="0.25"/>
    <row r="154648" s="12" customFormat="1" x14ac:dyDescent="0.25"/>
    <row r="154649" s="12" customFormat="1" x14ac:dyDescent="0.25"/>
    <row r="154650" s="12" customFormat="1" x14ac:dyDescent="0.25"/>
    <row r="154651" s="12" customFormat="1" x14ac:dyDescent="0.25"/>
    <row r="154652" s="12" customFormat="1" x14ac:dyDescent="0.25"/>
    <row r="154653" s="12" customFormat="1" x14ac:dyDescent="0.25"/>
    <row r="154654" s="12" customFormat="1" x14ac:dyDescent="0.25"/>
    <row r="154655" s="12" customFormat="1" x14ac:dyDescent="0.25"/>
    <row r="154656" s="12" customFormat="1" x14ac:dyDescent="0.25"/>
    <row r="154657" s="12" customFormat="1" x14ac:dyDescent="0.25"/>
    <row r="154658" s="12" customFormat="1" x14ac:dyDescent="0.25"/>
    <row r="154659" s="12" customFormat="1" x14ac:dyDescent="0.25"/>
    <row r="154660" s="12" customFormat="1" x14ac:dyDescent="0.25"/>
    <row r="154661" s="12" customFormat="1" x14ac:dyDescent="0.25"/>
    <row r="154662" s="12" customFormat="1" x14ac:dyDescent="0.25"/>
    <row r="154663" s="12" customFormat="1" x14ac:dyDescent="0.25"/>
    <row r="154664" s="12" customFormat="1" x14ac:dyDescent="0.25"/>
    <row r="154665" s="12" customFormat="1" x14ac:dyDescent="0.25"/>
    <row r="154666" s="12" customFormat="1" x14ac:dyDescent="0.25"/>
    <row r="154667" s="12" customFormat="1" x14ac:dyDescent="0.25"/>
    <row r="154668" s="12" customFormat="1" x14ac:dyDescent="0.25"/>
    <row r="154669" s="12" customFormat="1" x14ac:dyDescent="0.25"/>
    <row r="154670" s="12" customFormat="1" x14ac:dyDescent="0.25"/>
    <row r="154671" s="12" customFormat="1" x14ac:dyDescent="0.25"/>
    <row r="154672" s="12" customFormat="1" x14ac:dyDescent="0.25"/>
    <row r="154673" s="12" customFormat="1" x14ac:dyDescent="0.25"/>
    <row r="154674" s="12" customFormat="1" x14ac:dyDescent="0.25"/>
    <row r="154675" s="12" customFormat="1" x14ac:dyDescent="0.25"/>
    <row r="154676" s="12" customFormat="1" x14ac:dyDescent="0.25"/>
    <row r="154677" s="12" customFormat="1" x14ac:dyDescent="0.25"/>
    <row r="154678" s="12" customFormat="1" x14ac:dyDescent="0.25"/>
    <row r="154679" s="12" customFormat="1" x14ac:dyDescent="0.25"/>
    <row r="154680" s="12" customFormat="1" x14ac:dyDescent="0.25"/>
    <row r="154681" s="12" customFormat="1" x14ac:dyDescent="0.25"/>
    <row r="154682" s="12" customFormat="1" x14ac:dyDescent="0.25"/>
    <row r="154683" s="12" customFormat="1" x14ac:dyDescent="0.25"/>
    <row r="154684" s="12" customFormat="1" x14ac:dyDescent="0.25"/>
    <row r="154685" s="12" customFormat="1" x14ac:dyDescent="0.25"/>
    <row r="154686" s="12" customFormat="1" x14ac:dyDescent="0.25"/>
    <row r="154687" s="12" customFormat="1" x14ac:dyDescent="0.25"/>
    <row r="154688" s="12" customFormat="1" x14ac:dyDescent="0.25"/>
    <row r="154689" s="12" customFormat="1" x14ac:dyDescent="0.25"/>
    <row r="154690" s="12" customFormat="1" x14ac:dyDescent="0.25"/>
    <row r="154691" s="12" customFormat="1" x14ac:dyDescent="0.25"/>
    <row r="154692" s="12" customFormat="1" x14ac:dyDescent="0.25"/>
    <row r="154693" s="12" customFormat="1" x14ac:dyDescent="0.25"/>
    <row r="154694" s="12" customFormat="1" x14ac:dyDescent="0.25"/>
    <row r="154695" s="12" customFormat="1" x14ac:dyDescent="0.25"/>
    <row r="154696" s="12" customFormat="1" x14ac:dyDescent="0.25"/>
    <row r="154697" s="12" customFormat="1" x14ac:dyDescent="0.25"/>
    <row r="154698" s="12" customFormat="1" x14ac:dyDescent="0.25"/>
    <row r="154699" s="12" customFormat="1" x14ac:dyDescent="0.25"/>
    <row r="154700" s="12" customFormat="1" x14ac:dyDescent="0.25"/>
    <row r="154701" s="12" customFormat="1" x14ac:dyDescent="0.25"/>
    <row r="154702" s="12" customFormat="1" x14ac:dyDescent="0.25"/>
    <row r="154703" s="12" customFormat="1" x14ac:dyDescent="0.25"/>
    <row r="154704" s="12" customFormat="1" x14ac:dyDescent="0.25"/>
    <row r="154705" s="12" customFormat="1" x14ac:dyDescent="0.25"/>
    <row r="154706" s="12" customFormat="1" x14ac:dyDescent="0.25"/>
    <row r="154707" s="12" customFormat="1" x14ac:dyDescent="0.25"/>
    <row r="154708" s="12" customFormat="1" x14ac:dyDescent="0.25"/>
    <row r="154709" s="12" customFormat="1" x14ac:dyDescent="0.25"/>
    <row r="154710" s="12" customFormat="1" x14ac:dyDescent="0.25"/>
    <row r="154711" s="12" customFormat="1" x14ac:dyDescent="0.25"/>
    <row r="154712" s="12" customFormat="1" x14ac:dyDescent="0.25"/>
    <row r="154713" s="12" customFormat="1" x14ac:dyDescent="0.25"/>
    <row r="154714" s="12" customFormat="1" x14ac:dyDescent="0.25"/>
    <row r="154715" s="12" customFormat="1" x14ac:dyDescent="0.25"/>
    <row r="154716" s="12" customFormat="1" x14ac:dyDescent="0.25"/>
    <row r="154717" s="12" customFormat="1" x14ac:dyDescent="0.25"/>
    <row r="154718" s="12" customFormat="1" x14ac:dyDescent="0.25"/>
    <row r="154719" s="12" customFormat="1" x14ac:dyDescent="0.25"/>
    <row r="154720" s="12" customFormat="1" x14ac:dyDescent="0.25"/>
    <row r="154721" s="12" customFormat="1" x14ac:dyDescent="0.25"/>
    <row r="154722" s="12" customFormat="1" x14ac:dyDescent="0.25"/>
    <row r="154723" s="12" customFormat="1" x14ac:dyDescent="0.25"/>
    <row r="154724" s="12" customFormat="1" x14ac:dyDescent="0.25"/>
    <row r="154725" s="12" customFormat="1" x14ac:dyDescent="0.25"/>
    <row r="154726" s="12" customFormat="1" x14ac:dyDescent="0.25"/>
    <row r="154727" s="12" customFormat="1" x14ac:dyDescent="0.25"/>
    <row r="154728" s="12" customFormat="1" x14ac:dyDescent="0.25"/>
    <row r="154729" s="12" customFormat="1" x14ac:dyDescent="0.25"/>
    <row r="154730" s="12" customFormat="1" x14ac:dyDescent="0.25"/>
    <row r="154731" s="12" customFormat="1" x14ac:dyDescent="0.25"/>
    <row r="154732" s="12" customFormat="1" x14ac:dyDescent="0.25"/>
    <row r="154733" s="12" customFormat="1" x14ac:dyDescent="0.25"/>
    <row r="154734" s="12" customFormat="1" x14ac:dyDescent="0.25"/>
    <row r="154735" s="12" customFormat="1" x14ac:dyDescent="0.25"/>
    <row r="154736" s="12" customFormat="1" x14ac:dyDescent="0.25"/>
    <row r="154737" s="12" customFormat="1" x14ac:dyDescent="0.25"/>
    <row r="154738" s="12" customFormat="1" x14ac:dyDescent="0.25"/>
    <row r="154739" s="12" customFormat="1" x14ac:dyDescent="0.25"/>
    <row r="154740" s="12" customFormat="1" x14ac:dyDescent="0.25"/>
    <row r="154741" s="12" customFormat="1" x14ac:dyDescent="0.25"/>
    <row r="154742" s="12" customFormat="1" x14ac:dyDescent="0.25"/>
    <row r="154743" s="12" customFormat="1" x14ac:dyDescent="0.25"/>
    <row r="154744" s="12" customFormat="1" x14ac:dyDescent="0.25"/>
    <row r="154745" s="12" customFormat="1" x14ac:dyDescent="0.25"/>
    <row r="154746" s="12" customFormat="1" x14ac:dyDescent="0.25"/>
    <row r="154747" s="12" customFormat="1" x14ac:dyDescent="0.25"/>
    <row r="154748" s="12" customFormat="1" x14ac:dyDescent="0.25"/>
    <row r="154749" s="12" customFormat="1" x14ac:dyDescent="0.25"/>
    <row r="154750" s="12" customFormat="1" x14ac:dyDescent="0.25"/>
    <row r="154751" s="12" customFormat="1" x14ac:dyDescent="0.25"/>
    <row r="154752" s="12" customFormat="1" x14ac:dyDescent="0.25"/>
    <row r="154753" s="12" customFormat="1" x14ac:dyDescent="0.25"/>
    <row r="154754" s="12" customFormat="1" x14ac:dyDescent="0.25"/>
    <row r="154755" s="12" customFormat="1" x14ac:dyDescent="0.25"/>
    <row r="154756" s="12" customFormat="1" x14ac:dyDescent="0.25"/>
    <row r="154757" s="12" customFormat="1" x14ac:dyDescent="0.25"/>
    <row r="154758" s="12" customFormat="1" x14ac:dyDescent="0.25"/>
    <row r="154759" s="12" customFormat="1" x14ac:dyDescent="0.25"/>
    <row r="154760" s="12" customFormat="1" x14ac:dyDescent="0.25"/>
    <row r="154761" s="12" customFormat="1" x14ac:dyDescent="0.25"/>
    <row r="154762" s="12" customFormat="1" x14ac:dyDescent="0.25"/>
    <row r="154763" s="12" customFormat="1" x14ac:dyDescent="0.25"/>
    <row r="154764" s="12" customFormat="1" x14ac:dyDescent="0.25"/>
    <row r="154765" s="12" customFormat="1" x14ac:dyDescent="0.25"/>
    <row r="154766" s="12" customFormat="1" x14ac:dyDescent="0.25"/>
    <row r="154767" s="12" customFormat="1" x14ac:dyDescent="0.25"/>
    <row r="154768" s="12" customFormat="1" x14ac:dyDescent="0.25"/>
    <row r="154769" s="12" customFormat="1" x14ac:dyDescent="0.25"/>
    <row r="154770" s="12" customFormat="1" x14ac:dyDescent="0.25"/>
    <row r="154771" s="12" customFormat="1" x14ac:dyDescent="0.25"/>
    <row r="154772" s="12" customFormat="1" x14ac:dyDescent="0.25"/>
    <row r="154773" s="12" customFormat="1" x14ac:dyDescent="0.25"/>
    <row r="154774" s="12" customFormat="1" x14ac:dyDescent="0.25"/>
    <row r="154775" s="12" customFormat="1" x14ac:dyDescent="0.25"/>
    <row r="154776" s="12" customFormat="1" x14ac:dyDescent="0.25"/>
    <row r="154777" s="12" customFormat="1" x14ac:dyDescent="0.25"/>
    <row r="154778" s="12" customFormat="1" x14ac:dyDescent="0.25"/>
    <row r="154779" s="12" customFormat="1" x14ac:dyDescent="0.25"/>
    <row r="154780" s="12" customFormat="1" x14ac:dyDescent="0.25"/>
    <row r="154781" s="12" customFormat="1" x14ac:dyDescent="0.25"/>
    <row r="154782" s="12" customFormat="1" x14ac:dyDescent="0.25"/>
    <row r="154783" s="12" customFormat="1" x14ac:dyDescent="0.25"/>
    <row r="154784" s="12" customFormat="1" x14ac:dyDescent="0.25"/>
    <row r="154785" s="12" customFormat="1" x14ac:dyDescent="0.25"/>
    <row r="154786" s="12" customFormat="1" x14ac:dyDescent="0.25"/>
    <row r="154787" s="12" customFormat="1" x14ac:dyDescent="0.25"/>
    <row r="154788" s="12" customFormat="1" x14ac:dyDescent="0.25"/>
    <row r="154789" s="12" customFormat="1" x14ac:dyDescent="0.25"/>
    <row r="154790" s="12" customFormat="1" x14ac:dyDescent="0.25"/>
    <row r="154791" s="12" customFormat="1" x14ac:dyDescent="0.25"/>
    <row r="154792" s="12" customFormat="1" x14ac:dyDescent="0.25"/>
    <row r="154793" s="12" customFormat="1" x14ac:dyDescent="0.25"/>
    <row r="154794" s="12" customFormat="1" x14ac:dyDescent="0.25"/>
    <row r="154795" s="12" customFormat="1" x14ac:dyDescent="0.25"/>
    <row r="154796" s="12" customFormat="1" x14ac:dyDescent="0.25"/>
    <row r="154797" s="12" customFormat="1" x14ac:dyDescent="0.25"/>
    <row r="154798" s="12" customFormat="1" x14ac:dyDescent="0.25"/>
    <row r="154799" s="12" customFormat="1" x14ac:dyDescent="0.25"/>
    <row r="154800" s="12" customFormat="1" x14ac:dyDescent="0.25"/>
    <row r="154801" s="12" customFormat="1" x14ac:dyDescent="0.25"/>
    <row r="154802" s="12" customFormat="1" x14ac:dyDescent="0.25"/>
    <row r="154803" s="12" customFormat="1" x14ac:dyDescent="0.25"/>
    <row r="154804" s="12" customFormat="1" x14ac:dyDescent="0.25"/>
    <row r="154805" s="12" customFormat="1" x14ac:dyDescent="0.25"/>
    <row r="154806" s="12" customFormat="1" x14ac:dyDescent="0.25"/>
    <row r="154807" s="12" customFormat="1" x14ac:dyDescent="0.25"/>
    <row r="154808" s="12" customFormat="1" x14ac:dyDescent="0.25"/>
    <row r="154809" s="12" customFormat="1" x14ac:dyDescent="0.25"/>
    <row r="154810" s="12" customFormat="1" x14ac:dyDescent="0.25"/>
    <row r="154811" s="12" customFormat="1" x14ac:dyDescent="0.25"/>
    <row r="154812" s="12" customFormat="1" x14ac:dyDescent="0.25"/>
    <row r="154813" s="12" customFormat="1" x14ac:dyDescent="0.25"/>
    <row r="154814" s="12" customFormat="1" x14ac:dyDescent="0.25"/>
    <row r="154815" s="12" customFormat="1" x14ac:dyDescent="0.25"/>
    <row r="154816" s="12" customFormat="1" x14ac:dyDescent="0.25"/>
    <row r="154817" s="12" customFormat="1" x14ac:dyDescent="0.25"/>
    <row r="154818" s="12" customFormat="1" x14ac:dyDescent="0.25"/>
    <row r="154819" s="12" customFormat="1" x14ac:dyDescent="0.25"/>
    <row r="154820" s="12" customFormat="1" x14ac:dyDescent="0.25"/>
    <row r="154821" s="12" customFormat="1" x14ac:dyDescent="0.25"/>
    <row r="154822" s="12" customFormat="1" x14ac:dyDescent="0.25"/>
    <row r="154823" s="12" customFormat="1" x14ac:dyDescent="0.25"/>
    <row r="154824" s="12" customFormat="1" x14ac:dyDescent="0.25"/>
    <row r="154825" s="12" customFormat="1" x14ac:dyDescent="0.25"/>
    <row r="154826" s="12" customFormat="1" x14ac:dyDescent="0.25"/>
    <row r="154827" s="12" customFormat="1" x14ac:dyDescent="0.25"/>
    <row r="154828" s="12" customFormat="1" x14ac:dyDescent="0.25"/>
    <row r="154829" s="12" customFormat="1" x14ac:dyDescent="0.25"/>
    <row r="154830" s="12" customFormat="1" x14ac:dyDescent="0.25"/>
    <row r="154831" s="12" customFormat="1" x14ac:dyDescent="0.25"/>
    <row r="154832" s="12" customFormat="1" x14ac:dyDescent="0.25"/>
    <row r="154833" s="12" customFormat="1" x14ac:dyDescent="0.25"/>
    <row r="154834" s="12" customFormat="1" x14ac:dyDescent="0.25"/>
    <row r="154835" s="12" customFormat="1" x14ac:dyDescent="0.25"/>
    <row r="154836" s="12" customFormat="1" x14ac:dyDescent="0.25"/>
    <row r="154837" s="12" customFormat="1" x14ac:dyDescent="0.25"/>
    <row r="154838" s="12" customFormat="1" x14ac:dyDescent="0.25"/>
    <row r="154839" s="12" customFormat="1" x14ac:dyDescent="0.25"/>
    <row r="154840" s="12" customFormat="1" x14ac:dyDescent="0.25"/>
    <row r="154841" s="12" customFormat="1" x14ac:dyDescent="0.25"/>
    <row r="154842" s="12" customFormat="1" x14ac:dyDescent="0.25"/>
    <row r="154843" s="12" customFormat="1" x14ac:dyDescent="0.25"/>
    <row r="154844" s="12" customFormat="1" x14ac:dyDescent="0.25"/>
    <row r="154845" s="12" customFormat="1" x14ac:dyDescent="0.25"/>
    <row r="154846" s="12" customFormat="1" x14ac:dyDescent="0.25"/>
    <row r="154847" s="12" customFormat="1" x14ac:dyDescent="0.25"/>
    <row r="154848" s="12" customFormat="1" x14ac:dyDescent="0.25"/>
    <row r="154849" s="12" customFormat="1" x14ac:dyDescent="0.25"/>
    <row r="154850" s="12" customFormat="1" x14ac:dyDescent="0.25"/>
    <row r="154851" s="12" customFormat="1" x14ac:dyDescent="0.25"/>
    <row r="154852" s="12" customFormat="1" x14ac:dyDescent="0.25"/>
    <row r="154853" s="12" customFormat="1" x14ac:dyDescent="0.25"/>
    <row r="154854" s="12" customFormat="1" x14ac:dyDescent="0.25"/>
    <row r="154855" s="12" customFormat="1" x14ac:dyDescent="0.25"/>
    <row r="154856" s="12" customFormat="1" x14ac:dyDescent="0.25"/>
    <row r="154857" s="12" customFormat="1" x14ac:dyDescent="0.25"/>
    <row r="154858" s="12" customFormat="1" x14ac:dyDescent="0.25"/>
    <row r="154859" s="12" customFormat="1" x14ac:dyDescent="0.25"/>
    <row r="154860" s="12" customFormat="1" x14ac:dyDescent="0.25"/>
    <row r="154861" s="12" customFormat="1" x14ac:dyDescent="0.25"/>
    <row r="154862" s="12" customFormat="1" x14ac:dyDescent="0.25"/>
    <row r="154863" s="12" customFormat="1" x14ac:dyDescent="0.25"/>
    <row r="154864" s="12" customFormat="1" x14ac:dyDescent="0.25"/>
    <row r="154865" s="12" customFormat="1" x14ac:dyDescent="0.25"/>
    <row r="154866" s="12" customFormat="1" x14ac:dyDescent="0.25"/>
    <row r="154867" s="12" customFormat="1" x14ac:dyDescent="0.25"/>
    <row r="154868" s="12" customFormat="1" x14ac:dyDescent="0.25"/>
    <row r="154869" s="12" customFormat="1" x14ac:dyDescent="0.25"/>
    <row r="154870" s="12" customFormat="1" x14ac:dyDescent="0.25"/>
    <row r="154871" s="12" customFormat="1" x14ac:dyDescent="0.25"/>
    <row r="154872" s="12" customFormat="1" x14ac:dyDescent="0.25"/>
    <row r="154873" s="12" customFormat="1" x14ac:dyDescent="0.25"/>
    <row r="154874" s="12" customFormat="1" x14ac:dyDescent="0.25"/>
    <row r="154875" s="12" customFormat="1" x14ac:dyDescent="0.25"/>
    <row r="154876" s="12" customFormat="1" x14ac:dyDescent="0.25"/>
    <row r="154877" s="12" customFormat="1" x14ac:dyDescent="0.25"/>
    <row r="154878" s="12" customFormat="1" x14ac:dyDescent="0.25"/>
    <row r="154879" s="12" customFormat="1" x14ac:dyDescent="0.25"/>
    <row r="154880" s="12" customFormat="1" x14ac:dyDescent="0.25"/>
    <row r="154881" s="12" customFormat="1" x14ac:dyDescent="0.25"/>
    <row r="154882" s="12" customFormat="1" x14ac:dyDescent="0.25"/>
    <row r="154883" s="12" customFormat="1" x14ac:dyDescent="0.25"/>
    <row r="154884" s="12" customFormat="1" x14ac:dyDescent="0.25"/>
    <row r="154885" s="12" customFormat="1" x14ac:dyDescent="0.25"/>
    <row r="154886" s="12" customFormat="1" x14ac:dyDescent="0.25"/>
    <row r="154887" s="12" customFormat="1" x14ac:dyDescent="0.25"/>
    <row r="154888" s="12" customFormat="1" x14ac:dyDescent="0.25"/>
    <row r="154889" s="12" customFormat="1" x14ac:dyDescent="0.25"/>
    <row r="154890" s="12" customFormat="1" x14ac:dyDescent="0.25"/>
    <row r="154891" s="12" customFormat="1" x14ac:dyDescent="0.25"/>
    <row r="154892" s="12" customFormat="1" x14ac:dyDescent="0.25"/>
    <row r="154893" s="12" customFormat="1" x14ac:dyDescent="0.25"/>
    <row r="154894" s="12" customFormat="1" x14ac:dyDescent="0.25"/>
    <row r="154895" s="12" customFormat="1" x14ac:dyDescent="0.25"/>
    <row r="154896" s="12" customFormat="1" x14ac:dyDescent="0.25"/>
    <row r="154897" s="12" customFormat="1" x14ac:dyDescent="0.25"/>
    <row r="154898" s="12" customFormat="1" x14ac:dyDescent="0.25"/>
    <row r="154899" s="12" customFormat="1" x14ac:dyDescent="0.25"/>
    <row r="154900" s="12" customFormat="1" x14ac:dyDescent="0.25"/>
    <row r="154901" s="12" customFormat="1" x14ac:dyDescent="0.25"/>
    <row r="154902" s="12" customFormat="1" x14ac:dyDescent="0.25"/>
    <row r="154903" s="12" customFormat="1" x14ac:dyDescent="0.25"/>
    <row r="154904" s="12" customFormat="1" x14ac:dyDescent="0.25"/>
    <row r="154905" s="12" customFormat="1" x14ac:dyDescent="0.25"/>
    <row r="154906" s="12" customFormat="1" x14ac:dyDescent="0.25"/>
    <row r="154907" s="12" customFormat="1" x14ac:dyDescent="0.25"/>
    <row r="154908" s="12" customFormat="1" x14ac:dyDescent="0.25"/>
    <row r="154909" s="12" customFormat="1" x14ac:dyDescent="0.25"/>
    <row r="154910" s="12" customFormat="1" x14ac:dyDescent="0.25"/>
    <row r="154911" s="12" customFormat="1" x14ac:dyDescent="0.25"/>
    <row r="154912" s="12" customFormat="1" x14ac:dyDescent="0.25"/>
    <row r="154913" s="12" customFormat="1" x14ac:dyDescent="0.25"/>
    <row r="154914" s="12" customFormat="1" x14ac:dyDescent="0.25"/>
    <row r="154915" s="12" customFormat="1" x14ac:dyDescent="0.25"/>
    <row r="154916" s="12" customFormat="1" x14ac:dyDescent="0.25"/>
    <row r="154917" s="12" customFormat="1" x14ac:dyDescent="0.25"/>
    <row r="154918" s="12" customFormat="1" x14ac:dyDescent="0.25"/>
    <row r="154919" s="12" customFormat="1" x14ac:dyDescent="0.25"/>
    <row r="154920" s="12" customFormat="1" x14ac:dyDescent="0.25"/>
    <row r="154921" s="12" customFormat="1" x14ac:dyDescent="0.25"/>
    <row r="154922" s="12" customFormat="1" x14ac:dyDescent="0.25"/>
    <row r="154923" s="12" customFormat="1" x14ac:dyDescent="0.25"/>
    <row r="154924" s="12" customFormat="1" x14ac:dyDescent="0.25"/>
    <row r="154925" s="12" customFormat="1" x14ac:dyDescent="0.25"/>
    <row r="154926" s="12" customFormat="1" x14ac:dyDescent="0.25"/>
    <row r="154927" s="12" customFormat="1" x14ac:dyDescent="0.25"/>
    <row r="154928" s="12" customFormat="1" x14ac:dyDescent="0.25"/>
    <row r="154929" s="12" customFormat="1" x14ac:dyDescent="0.25"/>
    <row r="154930" s="12" customFormat="1" x14ac:dyDescent="0.25"/>
    <row r="154931" s="12" customFormat="1" x14ac:dyDescent="0.25"/>
    <row r="154932" s="12" customFormat="1" x14ac:dyDescent="0.25"/>
    <row r="154933" s="12" customFormat="1" x14ac:dyDescent="0.25"/>
    <row r="154934" s="12" customFormat="1" x14ac:dyDescent="0.25"/>
    <row r="154935" s="12" customFormat="1" x14ac:dyDescent="0.25"/>
    <row r="154936" s="12" customFormat="1" x14ac:dyDescent="0.25"/>
    <row r="154937" s="12" customFormat="1" x14ac:dyDescent="0.25"/>
    <row r="154938" s="12" customFormat="1" x14ac:dyDescent="0.25"/>
    <row r="154939" s="12" customFormat="1" x14ac:dyDescent="0.25"/>
    <row r="154940" s="12" customFormat="1" x14ac:dyDescent="0.25"/>
    <row r="154941" s="12" customFormat="1" x14ac:dyDescent="0.25"/>
    <row r="154942" s="12" customFormat="1" x14ac:dyDescent="0.25"/>
    <row r="154943" s="12" customFormat="1" x14ac:dyDescent="0.25"/>
    <row r="154944" s="12" customFormat="1" x14ac:dyDescent="0.25"/>
    <row r="154945" s="12" customFormat="1" x14ac:dyDescent="0.25"/>
    <row r="154946" s="12" customFormat="1" x14ac:dyDescent="0.25"/>
    <row r="154947" s="12" customFormat="1" x14ac:dyDescent="0.25"/>
    <row r="154948" s="12" customFormat="1" x14ac:dyDescent="0.25"/>
    <row r="154949" s="12" customFormat="1" x14ac:dyDescent="0.25"/>
    <row r="154950" s="12" customFormat="1" x14ac:dyDescent="0.25"/>
    <row r="154951" s="12" customFormat="1" x14ac:dyDescent="0.25"/>
    <row r="154952" s="12" customFormat="1" x14ac:dyDescent="0.25"/>
    <row r="154953" s="12" customFormat="1" x14ac:dyDescent="0.25"/>
    <row r="154954" s="12" customFormat="1" x14ac:dyDescent="0.25"/>
    <row r="154955" s="12" customFormat="1" x14ac:dyDescent="0.25"/>
    <row r="154956" s="12" customFormat="1" x14ac:dyDescent="0.25"/>
    <row r="154957" s="12" customFormat="1" x14ac:dyDescent="0.25"/>
    <row r="154958" s="12" customFormat="1" x14ac:dyDescent="0.25"/>
    <row r="154959" s="12" customFormat="1" x14ac:dyDescent="0.25"/>
    <row r="154960" s="12" customFormat="1" x14ac:dyDescent="0.25"/>
    <row r="154961" s="12" customFormat="1" x14ac:dyDescent="0.25"/>
    <row r="154962" s="12" customFormat="1" x14ac:dyDescent="0.25"/>
    <row r="154963" s="12" customFormat="1" x14ac:dyDescent="0.25"/>
    <row r="154964" s="12" customFormat="1" x14ac:dyDescent="0.25"/>
    <row r="154965" s="12" customFormat="1" x14ac:dyDescent="0.25"/>
    <row r="154966" s="12" customFormat="1" x14ac:dyDescent="0.25"/>
    <row r="154967" s="12" customFormat="1" x14ac:dyDescent="0.25"/>
    <row r="154968" s="12" customFormat="1" x14ac:dyDescent="0.25"/>
    <row r="154969" s="12" customFormat="1" x14ac:dyDescent="0.25"/>
    <row r="154970" s="12" customFormat="1" x14ac:dyDescent="0.25"/>
    <row r="154971" s="12" customFormat="1" x14ac:dyDescent="0.25"/>
    <row r="154972" s="12" customFormat="1" x14ac:dyDescent="0.25"/>
    <row r="154973" s="12" customFormat="1" x14ac:dyDescent="0.25"/>
    <row r="154974" s="12" customFormat="1" x14ac:dyDescent="0.25"/>
    <row r="154975" s="12" customFormat="1" x14ac:dyDescent="0.25"/>
    <row r="154976" s="12" customFormat="1" x14ac:dyDescent="0.25"/>
    <row r="154977" s="12" customFormat="1" x14ac:dyDescent="0.25"/>
    <row r="154978" s="12" customFormat="1" x14ac:dyDescent="0.25"/>
    <row r="154979" s="12" customFormat="1" x14ac:dyDescent="0.25"/>
    <row r="154980" s="12" customFormat="1" x14ac:dyDescent="0.25"/>
    <row r="154981" s="12" customFormat="1" x14ac:dyDescent="0.25"/>
    <row r="154982" s="12" customFormat="1" x14ac:dyDescent="0.25"/>
    <row r="154983" s="12" customFormat="1" x14ac:dyDescent="0.25"/>
    <row r="154984" s="12" customFormat="1" x14ac:dyDescent="0.25"/>
    <row r="154985" s="12" customFormat="1" x14ac:dyDescent="0.25"/>
    <row r="154986" s="12" customFormat="1" x14ac:dyDescent="0.25"/>
    <row r="154987" s="12" customFormat="1" x14ac:dyDescent="0.25"/>
    <row r="154988" s="12" customFormat="1" x14ac:dyDescent="0.25"/>
    <row r="154989" s="12" customFormat="1" x14ac:dyDescent="0.25"/>
    <row r="154990" s="12" customFormat="1" x14ac:dyDescent="0.25"/>
    <row r="154991" s="12" customFormat="1" x14ac:dyDescent="0.25"/>
    <row r="154992" s="12" customFormat="1" x14ac:dyDescent="0.25"/>
    <row r="154993" s="12" customFormat="1" x14ac:dyDescent="0.25"/>
    <row r="154994" s="12" customFormat="1" x14ac:dyDescent="0.25"/>
    <row r="154995" s="12" customFormat="1" x14ac:dyDescent="0.25"/>
    <row r="154996" s="12" customFormat="1" x14ac:dyDescent="0.25"/>
    <row r="154997" s="12" customFormat="1" x14ac:dyDescent="0.25"/>
    <row r="154998" s="12" customFormat="1" x14ac:dyDescent="0.25"/>
    <row r="154999" s="12" customFormat="1" x14ac:dyDescent="0.25"/>
    <row r="155000" s="12" customFormat="1" x14ac:dyDescent="0.25"/>
    <row r="155001" s="12" customFormat="1" x14ac:dyDescent="0.25"/>
    <row r="155002" s="12" customFormat="1" x14ac:dyDescent="0.25"/>
    <row r="155003" s="12" customFormat="1" x14ac:dyDescent="0.25"/>
    <row r="155004" s="12" customFormat="1" x14ac:dyDescent="0.25"/>
    <row r="155005" s="12" customFormat="1" x14ac:dyDescent="0.25"/>
    <row r="155006" s="12" customFormat="1" x14ac:dyDescent="0.25"/>
    <row r="155007" s="12" customFormat="1" x14ac:dyDescent="0.25"/>
    <row r="155008" s="12" customFormat="1" x14ac:dyDescent="0.25"/>
    <row r="155009" s="12" customFormat="1" x14ac:dyDescent="0.25"/>
    <row r="155010" s="12" customFormat="1" x14ac:dyDescent="0.25"/>
    <row r="155011" s="12" customFormat="1" x14ac:dyDescent="0.25"/>
    <row r="155012" s="12" customFormat="1" x14ac:dyDescent="0.25"/>
    <row r="155013" s="12" customFormat="1" x14ac:dyDescent="0.25"/>
    <row r="155014" s="12" customFormat="1" x14ac:dyDescent="0.25"/>
    <row r="155015" s="12" customFormat="1" x14ac:dyDescent="0.25"/>
    <row r="155016" s="12" customFormat="1" x14ac:dyDescent="0.25"/>
    <row r="155017" s="12" customFormat="1" x14ac:dyDescent="0.25"/>
    <row r="155018" s="12" customFormat="1" x14ac:dyDescent="0.25"/>
    <row r="155019" s="12" customFormat="1" x14ac:dyDescent="0.25"/>
    <row r="155020" s="12" customFormat="1" x14ac:dyDescent="0.25"/>
    <row r="155021" s="12" customFormat="1" x14ac:dyDescent="0.25"/>
    <row r="155022" s="12" customFormat="1" x14ac:dyDescent="0.25"/>
    <row r="155023" s="12" customFormat="1" x14ac:dyDescent="0.25"/>
    <row r="155024" s="12" customFormat="1" x14ac:dyDescent="0.25"/>
    <row r="155025" s="12" customFormat="1" x14ac:dyDescent="0.25"/>
    <row r="155026" s="12" customFormat="1" x14ac:dyDescent="0.25"/>
    <row r="155027" s="12" customFormat="1" x14ac:dyDescent="0.25"/>
    <row r="155028" s="12" customFormat="1" x14ac:dyDescent="0.25"/>
    <row r="155029" s="12" customFormat="1" x14ac:dyDescent="0.25"/>
    <row r="155030" s="12" customFormat="1" x14ac:dyDescent="0.25"/>
    <row r="155031" s="12" customFormat="1" x14ac:dyDescent="0.25"/>
    <row r="155032" s="12" customFormat="1" x14ac:dyDescent="0.25"/>
    <row r="155033" s="12" customFormat="1" x14ac:dyDescent="0.25"/>
    <row r="155034" s="12" customFormat="1" x14ac:dyDescent="0.25"/>
    <row r="155035" s="12" customFormat="1" x14ac:dyDescent="0.25"/>
    <row r="155036" s="12" customFormat="1" x14ac:dyDescent="0.25"/>
    <row r="155037" s="12" customFormat="1" x14ac:dyDescent="0.25"/>
    <row r="155038" s="12" customFormat="1" x14ac:dyDescent="0.25"/>
    <row r="155039" s="12" customFormat="1" x14ac:dyDescent="0.25"/>
    <row r="155040" s="12" customFormat="1" x14ac:dyDescent="0.25"/>
    <row r="155041" s="12" customFormat="1" x14ac:dyDescent="0.25"/>
    <row r="155042" s="12" customFormat="1" x14ac:dyDescent="0.25"/>
    <row r="155043" s="12" customFormat="1" x14ac:dyDescent="0.25"/>
    <row r="155044" s="12" customFormat="1" x14ac:dyDescent="0.25"/>
    <row r="155045" s="12" customFormat="1" x14ac:dyDescent="0.25"/>
    <row r="155046" s="12" customFormat="1" x14ac:dyDescent="0.25"/>
    <row r="155047" s="12" customFormat="1" x14ac:dyDescent="0.25"/>
    <row r="155048" s="12" customFormat="1" x14ac:dyDescent="0.25"/>
    <row r="155049" s="12" customFormat="1" x14ac:dyDescent="0.25"/>
    <row r="155050" s="12" customFormat="1" x14ac:dyDescent="0.25"/>
    <row r="155051" s="12" customFormat="1" x14ac:dyDescent="0.25"/>
    <row r="155052" s="12" customFormat="1" x14ac:dyDescent="0.25"/>
    <row r="155053" s="12" customFormat="1" x14ac:dyDescent="0.25"/>
    <row r="155054" s="12" customFormat="1" x14ac:dyDescent="0.25"/>
    <row r="155055" s="12" customFormat="1" x14ac:dyDescent="0.25"/>
    <row r="155056" s="12" customFormat="1" x14ac:dyDescent="0.25"/>
    <row r="155057" s="12" customFormat="1" x14ac:dyDescent="0.25"/>
    <row r="155058" s="12" customFormat="1" x14ac:dyDescent="0.25"/>
    <row r="155059" s="12" customFormat="1" x14ac:dyDescent="0.25"/>
    <row r="155060" s="12" customFormat="1" x14ac:dyDescent="0.25"/>
    <row r="155061" s="12" customFormat="1" x14ac:dyDescent="0.25"/>
    <row r="155062" s="12" customFormat="1" x14ac:dyDescent="0.25"/>
    <row r="155063" s="12" customFormat="1" x14ac:dyDescent="0.25"/>
    <row r="155064" s="12" customFormat="1" x14ac:dyDescent="0.25"/>
    <row r="155065" s="12" customFormat="1" x14ac:dyDescent="0.25"/>
    <row r="155066" s="12" customFormat="1" x14ac:dyDescent="0.25"/>
    <row r="155067" s="12" customFormat="1" x14ac:dyDescent="0.25"/>
    <row r="155068" s="12" customFormat="1" x14ac:dyDescent="0.25"/>
    <row r="155069" s="12" customFormat="1" x14ac:dyDescent="0.25"/>
    <row r="155070" s="12" customFormat="1" x14ac:dyDescent="0.25"/>
    <row r="155071" s="12" customFormat="1" x14ac:dyDescent="0.25"/>
    <row r="155072" s="12" customFormat="1" x14ac:dyDescent="0.25"/>
    <row r="155073" s="12" customFormat="1" x14ac:dyDescent="0.25"/>
    <row r="155074" s="12" customFormat="1" x14ac:dyDescent="0.25"/>
    <row r="155075" s="12" customFormat="1" x14ac:dyDescent="0.25"/>
    <row r="155076" s="12" customFormat="1" x14ac:dyDescent="0.25"/>
    <row r="155077" s="12" customFormat="1" x14ac:dyDescent="0.25"/>
    <row r="155078" s="12" customFormat="1" x14ac:dyDescent="0.25"/>
    <row r="155079" s="12" customFormat="1" x14ac:dyDescent="0.25"/>
    <row r="155080" s="12" customFormat="1" x14ac:dyDescent="0.25"/>
    <row r="155081" s="12" customFormat="1" x14ac:dyDescent="0.25"/>
    <row r="155082" s="12" customFormat="1" x14ac:dyDescent="0.25"/>
    <row r="155083" s="12" customFormat="1" x14ac:dyDescent="0.25"/>
    <row r="155084" s="12" customFormat="1" x14ac:dyDescent="0.25"/>
    <row r="155085" s="12" customFormat="1" x14ac:dyDescent="0.25"/>
    <row r="155086" s="12" customFormat="1" x14ac:dyDescent="0.25"/>
    <row r="155087" s="12" customFormat="1" x14ac:dyDescent="0.25"/>
    <row r="155088" s="12" customFormat="1" x14ac:dyDescent="0.25"/>
    <row r="155089" s="12" customFormat="1" x14ac:dyDescent="0.25"/>
    <row r="155090" s="12" customFormat="1" x14ac:dyDescent="0.25"/>
    <row r="155091" s="12" customFormat="1" x14ac:dyDescent="0.25"/>
    <row r="155092" s="12" customFormat="1" x14ac:dyDescent="0.25"/>
    <row r="155093" s="12" customFormat="1" x14ac:dyDescent="0.25"/>
    <row r="155094" s="12" customFormat="1" x14ac:dyDescent="0.25"/>
    <row r="155095" s="12" customFormat="1" x14ac:dyDescent="0.25"/>
    <row r="155096" s="12" customFormat="1" x14ac:dyDescent="0.25"/>
    <row r="155097" s="12" customFormat="1" x14ac:dyDescent="0.25"/>
    <row r="155098" s="12" customFormat="1" x14ac:dyDescent="0.25"/>
    <row r="155099" s="12" customFormat="1" x14ac:dyDescent="0.25"/>
    <row r="155100" s="12" customFormat="1" x14ac:dyDescent="0.25"/>
    <row r="155101" s="12" customFormat="1" x14ac:dyDescent="0.25"/>
    <row r="155102" s="12" customFormat="1" x14ac:dyDescent="0.25"/>
    <row r="155103" s="12" customFormat="1" x14ac:dyDescent="0.25"/>
    <row r="155104" s="12" customFormat="1" x14ac:dyDescent="0.25"/>
    <row r="155105" s="12" customFormat="1" x14ac:dyDescent="0.25"/>
    <row r="155106" s="12" customFormat="1" x14ac:dyDescent="0.25"/>
    <row r="155107" s="12" customFormat="1" x14ac:dyDescent="0.25"/>
    <row r="155108" s="12" customFormat="1" x14ac:dyDescent="0.25"/>
    <row r="155109" s="12" customFormat="1" x14ac:dyDescent="0.25"/>
    <row r="155110" s="12" customFormat="1" x14ac:dyDescent="0.25"/>
    <row r="155111" s="12" customFormat="1" x14ac:dyDescent="0.25"/>
    <row r="155112" s="12" customFormat="1" x14ac:dyDescent="0.25"/>
    <row r="155113" s="12" customFormat="1" x14ac:dyDescent="0.25"/>
    <row r="155114" s="12" customFormat="1" x14ac:dyDescent="0.25"/>
    <row r="155115" s="12" customFormat="1" x14ac:dyDescent="0.25"/>
    <row r="155116" s="12" customFormat="1" x14ac:dyDescent="0.25"/>
    <row r="155117" s="12" customFormat="1" x14ac:dyDescent="0.25"/>
    <row r="155118" s="12" customFormat="1" x14ac:dyDescent="0.25"/>
    <row r="155119" s="12" customFormat="1" x14ac:dyDescent="0.25"/>
    <row r="155120" s="12" customFormat="1" x14ac:dyDescent="0.25"/>
    <row r="155121" s="12" customFormat="1" x14ac:dyDescent="0.25"/>
    <row r="155122" s="12" customFormat="1" x14ac:dyDescent="0.25"/>
    <row r="155123" s="12" customFormat="1" x14ac:dyDescent="0.25"/>
    <row r="155124" s="12" customFormat="1" x14ac:dyDescent="0.25"/>
    <row r="155125" s="12" customFormat="1" x14ac:dyDescent="0.25"/>
    <row r="155126" s="12" customFormat="1" x14ac:dyDescent="0.25"/>
    <row r="155127" s="12" customFormat="1" x14ac:dyDescent="0.25"/>
    <row r="155128" s="12" customFormat="1" x14ac:dyDescent="0.25"/>
    <row r="155129" s="12" customFormat="1" x14ac:dyDescent="0.25"/>
    <row r="155130" s="12" customFormat="1" x14ac:dyDescent="0.25"/>
    <row r="155131" s="12" customFormat="1" x14ac:dyDescent="0.25"/>
    <row r="155132" s="12" customFormat="1" x14ac:dyDescent="0.25"/>
    <row r="155133" s="12" customFormat="1" x14ac:dyDescent="0.25"/>
    <row r="155134" s="12" customFormat="1" x14ac:dyDescent="0.25"/>
    <row r="155135" s="12" customFormat="1" x14ac:dyDescent="0.25"/>
    <row r="155136" s="12" customFormat="1" x14ac:dyDescent="0.25"/>
    <row r="155137" s="12" customFormat="1" x14ac:dyDescent="0.25"/>
    <row r="155138" s="12" customFormat="1" x14ac:dyDescent="0.25"/>
    <row r="155139" s="12" customFormat="1" x14ac:dyDescent="0.25"/>
    <row r="155140" s="12" customFormat="1" x14ac:dyDescent="0.25"/>
    <row r="155141" s="12" customFormat="1" x14ac:dyDescent="0.25"/>
    <row r="155142" s="12" customFormat="1" x14ac:dyDescent="0.25"/>
    <row r="155143" s="12" customFormat="1" x14ac:dyDescent="0.25"/>
    <row r="155144" s="12" customFormat="1" x14ac:dyDescent="0.25"/>
    <row r="155145" s="12" customFormat="1" x14ac:dyDescent="0.25"/>
    <row r="155146" s="12" customFormat="1" x14ac:dyDescent="0.25"/>
    <row r="155147" s="12" customFormat="1" x14ac:dyDescent="0.25"/>
    <row r="155148" s="12" customFormat="1" x14ac:dyDescent="0.25"/>
    <row r="155149" s="12" customFormat="1" x14ac:dyDescent="0.25"/>
    <row r="155150" s="12" customFormat="1" x14ac:dyDescent="0.25"/>
    <row r="155151" s="12" customFormat="1" x14ac:dyDescent="0.25"/>
    <row r="155152" s="12" customFormat="1" x14ac:dyDescent="0.25"/>
    <row r="155153" s="12" customFormat="1" x14ac:dyDescent="0.25"/>
    <row r="155154" s="12" customFormat="1" x14ac:dyDescent="0.25"/>
    <row r="155155" s="12" customFormat="1" x14ac:dyDescent="0.25"/>
    <row r="155156" s="12" customFormat="1" x14ac:dyDescent="0.25"/>
    <row r="155157" s="12" customFormat="1" x14ac:dyDescent="0.25"/>
    <row r="155158" s="12" customFormat="1" x14ac:dyDescent="0.25"/>
    <row r="155159" s="12" customFormat="1" x14ac:dyDescent="0.25"/>
    <row r="155160" s="12" customFormat="1" x14ac:dyDescent="0.25"/>
    <row r="155161" s="12" customFormat="1" x14ac:dyDescent="0.25"/>
    <row r="155162" s="12" customFormat="1" x14ac:dyDescent="0.25"/>
    <row r="155163" s="12" customFormat="1" x14ac:dyDescent="0.25"/>
    <row r="155164" s="12" customFormat="1" x14ac:dyDescent="0.25"/>
    <row r="155165" s="12" customFormat="1" x14ac:dyDescent="0.25"/>
    <row r="155166" s="12" customFormat="1" x14ac:dyDescent="0.25"/>
    <row r="155167" s="12" customFormat="1" x14ac:dyDescent="0.25"/>
    <row r="155168" s="12" customFormat="1" x14ac:dyDescent="0.25"/>
    <row r="155169" s="12" customFormat="1" x14ac:dyDescent="0.25"/>
    <row r="155170" s="12" customFormat="1" x14ac:dyDescent="0.25"/>
    <row r="155171" s="12" customFormat="1" x14ac:dyDescent="0.25"/>
    <row r="155172" s="12" customFormat="1" x14ac:dyDescent="0.25"/>
    <row r="155173" s="12" customFormat="1" x14ac:dyDescent="0.25"/>
    <row r="155174" s="12" customFormat="1" x14ac:dyDescent="0.25"/>
    <row r="155175" s="12" customFormat="1" x14ac:dyDescent="0.25"/>
    <row r="155176" s="12" customFormat="1" x14ac:dyDescent="0.25"/>
    <row r="155177" s="12" customFormat="1" x14ac:dyDescent="0.25"/>
    <row r="155178" s="12" customFormat="1" x14ac:dyDescent="0.25"/>
    <row r="155179" s="12" customFormat="1" x14ac:dyDescent="0.25"/>
    <row r="155180" s="12" customFormat="1" x14ac:dyDescent="0.25"/>
    <row r="155181" s="12" customFormat="1" x14ac:dyDescent="0.25"/>
    <row r="155182" s="12" customFormat="1" x14ac:dyDescent="0.25"/>
    <row r="155183" s="12" customFormat="1" x14ac:dyDescent="0.25"/>
    <row r="155184" s="12" customFormat="1" x14ac:dyDescent="0.25"/>
    <row r="155185" s="12" customFormat="1" x14ac:dyDescent="0.25"/>
    <row r="155186" s="12" customFormat="1" x14ac:dyDescent="0.25"/>
    <row r="155187" s="12" customFormat="1" x14ac:dyDescent="0.25"/>
    <row r="155188" s="12" customFormat="1" x14ac:dyDescent="0.25"/>
    <row r="155189" s="12" customFormat="1" x14ac:dyDescent="0.25"/>
    <row r="155190" s="12" customFormat="1" x14ac:dyDescent="0.25"/>
    <row r="155191" s="12" customFormat="1" x14ac:dyDescent="0.25"/>
    <row r="155192" s="12" customFormat="1" x14ac:dyDescent="0.25"/>
    <row r="155193" s="12" customFormat="1" x14ac:dyDescent="0.25"/>
    <row r="155194" s="12" customFormat="1" x14ac:dyDescent="0.25"/>
    <row r="155195" s="12" customFormat="1" x14ac:dyDescent="0.25"/>
    <row r="155196" s="12" customFormat="1" x14ac:dyDescent="0.25"/>
    <row r="155197" s="12" customFormat="1" x14ac:dyDescent="0.25"/>
    <row r="155198" s="12" customFormat="1" x14ac:dyDescent="0.25"/>
    <row r="155199" s="12" customFormat="1" x14ac:dyDescent="0.25"/>
    <row r="155200" s="12" customFormat="1" x14ac:dyDescent="0.25"/>
    <row r="155201" s="12" customFormat="1" x14ac:dyDescent="0.25"/>
    <row r="155202" s="12" customFormat="1" x14ac:dyDescent="0.25"/>
    <row r="155203" s="12" customFormat="1" x14ac:dyDescent="0.25"/>
    <row r="155204" s="12" customFormat="1" x14ac:dyDescent="0.25"/>
    <row r="155205" s="12" customFormat="1" x14ac:dyDescent="0.25"/>
    <row r="155206" s="12" customFormat="1" x14ac:dyDescent="0.25"/>
    <row r="155207" s="12" customFormat="1" x14ac:dyDescent="0.25"/>
    <row r="155208" s="12" customFormat="1" x14ac:dyDescent="0.25"/>
    <row r="155209" s="12" customFormat="1" x14ac:dyDescent="0.25"/>
    <row r="155210" s="12" customFormat="1" x14ac:dyDescent="0.25"/>
    <row r="155211" s="12" customFormat="1" x14ac:dyDescent="0.25"/>
    <row r="155212" s="12" customFormat="1" x14ac:dyDescent="0.25"/>
    <row r="155213" s="12" customFormat="1" x14ac:dyDescent="0.25"/>
    <row r="155214" s="12" customFormat="1" x14ac:dyDescent="0.25"/>
    <row r="155215" s="12" customFormat="1" x14ac:dyDescent="0.25"/>
    <row r="155216" s="12" customFormat="1" x14ac:dyDescent="0.25"/>
    <row r="155217" s="12" customFormat="1" x14ac:dyDescent="0.25"/>
    <row r="155218" s="12" customFormat="1" x14ac:dyDescent="0.25"/>
    <row r="155219" s="12" customFormat="1" x14ac:dyDescent="0.25"/>
    <row r="155220" s="12" customFormat="1" x14ac:dyDescent="0.25"/>
    <row r="155221" s="12" customFormat="1" x14ac:dyDescent="0.25"/>
    <row r="155222" s="12" customFormat="1" x14ac:dyDescent="0.25"/>
    <row r="155223" s="12" customFormat="1" x14ac:dyDescent="0.25"/>
    <row r="155224" s="12" customFormat="1" x14ac:dyDescent="0.25"/>
    <row r="155225" s="12" customFormat="1" x14ac:dyDescent="0.25"/>
    <row r="155226" s="12" customFormat="1" x14ac:dyDescent="0.25"/>
    <row r="155227" s="12" customFormat="1" x14ac:dyDescent="0.25"/>
    <row r="155228" s="12" customFormat="1" x14ac:dyDescent="0.25"/>
    <row r="155229" s="12" customFormat="1" x14ac:dyDescent="0.25"/>
    <row r="155230" s="12" customFormat="1" x14ac:dyDescent="0.25"/>
    <row r="155231" s="12" customFormat="1" x14ac:dyDescent="0.25"/>
    <row r="155232" s="12" customFormat="1" x14ac:dyDescent="0.25"/>
    <row r="155233" s="12" customFormat="1" x14ac:dyDescent="0.25"/>
    <row r="155234" s="12" customFormat="1" x14ac:dyDescent="0.25"/>
    <row r="155235" s="12" customFormat="1" x14ac:dyDescent="0.25"/>
    <row r="155236" s="12" customFormat="1" x14ac:dyDescent="0.25"/>
    <row r="155237" s="12" customFormat="1" x14ac:dyDescent="0.25"/>
    <row r="155238" s="12" customFormat="1" x14ac:dyDescent="0.25"/>
    <row r="155239" s="12" customFormat="1" x14ac:dyDescent="0.25"/>
    <row r="155240" s="12" customFormat="1" x14ac:dyDescent="0.25"/>
    <row r="155241" s="12" customFormat="1" x14ac:dyDescent="0.25"/>
    <row r="155242" s="12" customFormat="1" x14ac:dyDescent="0.25"/>
    <row r="155243" s="12" customFormat="1" x14ac:dyDescent="0.25"/>
    <row r="155244" s="12" customFormat="1" x14ac:dyDescent="0.25"/>
    <row r="155245" s="12" customFormat="1" x14ac:dyDescent="0.25"/>
    <row r="155246" s="12" customFormat="1" x14ac:dyDescent="0.25"/>
    <row r="155247" s="12" customFormat="1" x14ac:dyDescent="0.25"/>
    <row r="155248" s="12" customFormat="1" x14ac:dyDescent="0.25"/>
    <row r="155249" s="12" customFormat="1" x14ac:dyDescent="0.25"/>
    <row r="155250" s="12" customFormat="1" x14ac:dyDescent="0.25"/>
    <row r="155251" s="12" customFormat="1" x14ac:dyDescent="0.25"/>
    <row r="155252" s="12" customFormat="1" x14ac:dyDescent="0.25"/>
    <row r="155253" s="12" customFormat="1" x14ac:dyDescent="0.25"/>
    <row r="155254" s="12" customFormat="1" x14ac:dyDescent="0.25"/>
    <row r="155255" s="12" customFormat="1" x14ac:dyDescent="0.25"/>
    <row r="155256" s="12" customFormat="1" x14ac:dyDescent="0.25"/>
    <row r="155257" s="12" customFormat="1" x14ac:dyDescent="0.25"/>
    <row r="155258" s="12" customFormat="1" x14ac:dyDescent="0.25"/>
    <row r="155259" s="12" customFormat="1" x14ac:dyDescent="0.25"/>
    <row r="155260" s="12" customFormat="1" x14ac:dyDescent="0.25"/>
    <row r="155261" s="12" customFormat="1" x14ac:dyDescent="0.25"/>
    <row r="155262" s="12" customFormat="1" x14ac:dyDescent="0.25"/>
    <row r="155263" s="12" customFormat="1" x14ac:dyDescent="0.25"/>
    <row r="155264" s="12" customFormat="1" x14ac:dyDescent="0.25"/>
    <row r="155265" s="12" customFormat="1" x14ac:dyDescent="0.25"/>
    <row r="155266" s="12" customFormat="1" x14ac:dyDescent="0.25"/>
    <row r="155267" s="12" customFormat="1" x14ac:dyDescent="0.25"/>
    <row r="155268" s="12" customFormat="1" x14ac:dyDescent="0.25"/>
    <row r="155269" s="12" customFormat="1" x14ac:dyDescent="0.25"/>
    <row r="155270" s="12" customFormat="1" x14ac:dyDescent="0.25"/>
    <row r="155271" s="12" customFormat="1" x14ac:dyDescent="0.25"/>
    <row r="155272" s="12" customFormat="1" x14ac:dyDescent="0.25"/>
    <row r="155273" s="12" customFormat="1" x14ac:dyDescent="0.25"/>
    <row r="155274" s="12" customFormat="1" x14ac:dyDescent="0.25"/>
    <row r="155275" s="12" customFormat="1" x14ac:dyDescent="0.25"/>
    <row r="155276" s="12" customFormat="1" x14ac:dyDescent="0.25"/>
    <row r="155277" s="12" customFormat="1" x14ac:dyDescent="0.25"/>
    <row r="155278" s="12" customFormat="1" x14ac:dyDescent="0.25"/>
    <row r="155279" s="12" customFormat="1" x14ac:dyDescent="0.25"/>
    <row r="155280" s="12" customFormat="1" x14ac:dyDescent="0.25"/>
    <row r="155281" s="12" customFormat="1" x14ac:dyDescent="0.25"/>
    <row r="155282" s="12" customFormat="1" x14ac:dyDescent="0.25"/>
    <row r="155283" s="12" customFormat="1" x14ac:dyDescent="0.25"/>
    <row r="155284" s="12" customFormat="1" x14ac:dyDescent="0.25"/>
    <row r="155285" s="12" customFormat="1" x14ac:dyDescent="0.25"/>
    <row r="155286" s="12" customFormat="1" x14ac:dyDescent="0.25"/>
    <row r="155287" s="12" customFormat="1" x14ac:dyDescent="0.25"/>
    <row r="155288" s="12" customFormat="1" x14ac:dyDescent="0.25"/>
    <row r="155289" s="12" customFormat="1" x14ac:dyDescent="0.25"/>
    <row r="155290" s="12" customFormat="1" x14ac:dyDescent="0.25"/>
    <row r="155291" s="12" customFormat="1" x14ac:dyDescent="0.25"/>
    <row r="155292" s="12" customFormat="1" x14ac:dyDescent="0.25"/>
    <row r="155293" s="12" customFormat="1" x14ac:dyDescent="0.25"/>
    <row r="155294" s="12" customFormat="1" x14ac:dyDescent="0.25"/>
    <row r="155295" s="12" customFormat="1" x14ac:dyDescent="0.25"/>
    <row r="155296" s="12" customFormat="1" x14ac:dyDescent="0.25"/>
    <row r="155297" s="12" customFormat="1" x14ac:dyDescent="0.25"/>
    <row r="155298" s="12" customFormat="1" x14ac:dyDescent="0.25"/>
    <row r="155299" s="12" customFormat="1" x14ac:dyDescent="0.25"/>
    <row r="155300" s="12" customFormat="1" x14ac:dyDescent="0.25"/>
    <row r="155301" s="12" customFormat="1" x14ac:dyDescent="0.25"/>
    <row r="155302" s="12" customFormat="1" x14ac:dyDescent="0.25"/>
    <row r="155303" s="12" customFormat="1" x14ac:dyDescent="0.25"/>
    <row r="155304" s="12" customFormat="1" x14ac:dyDescent="0.25"/>
    <row r="155305" s="12" customFormat="1" x14ac:dyDescent="0.25"/>
    <row r="155306" s="12" customFormat="1" x14ac:dyDescent="0.25"/>
    <row r="155307" s="12" customFormat="1" x14ac:dyDescent="0.25"/>
    <row r="155308" s="12" customFormat="1" x14ac:dyDescent="0.25"/>
    <row r="155309" s="12" customFormat="1" x14ac:dyDescent="0.25"/>
    <row r="155310" s="12" customFormat="1" x14ac:dyDescent="0.25"/>
    <row r="155311" s="12" customFormat="1" x14ac:dyDescent="0.25"/>
    <row r="155312" s="12" customFormat="1" x14ac:dyDescent="0.25"/>
    <row r="155313" s="12" customFormat="1" x14ac:dyDescent="0.25"/>
    <row r="155314" s="12" customFormat="1" x14ac:dyDescent="0.25"/>
    <row r="155315" s="12" customFormat="1" x14ac:dyDescent="0.25"/>
    <row r="155316" s="12" customFormat="1" x14ac:dyDescent="0.25"/>
    <row r="155317" s="12" customFormat="1" x14ac:dyDescent="0.25"/>
    <row r="155318" s="12" customFormat="1" x14ac:dyDescent="0.25"/>
    <row r="155319" s="12" customFormat="1" x14ac:dyDescent="0.25"/>
    <row r="155320" s="12" customFormat="1" x14ac:dyDescent="0.25"/>
    <row r="155321" s="12" customFormat="1" x14ac:dyDescent="0.25"/>
    <row r="155322" s="12" customFormat="1" x14ac:dyDescent="0.25"/>
    <row r="155323" s="12" customFormat="1" x14ac:dyDescent="0.25"/>
    <row r="155324" s="12" customFormat="1" x14ac:dyDescent="0.25"/>
    <row r="155325" s="12" customFormat="1" x14ac:dyDescent="0.25"/>
    <row r="155326" s="12" customFormat="1" x14ac:dyDescent="0.25"/>
    <row r="155327" s="12" customFormat="1" x14ac:dyDescent="0.25"/>
    <row r="155328" s="12" customFormat="1" x14ac:dyDescent="0.25"/>
    <row r="155329" s="12" customFormat="1" x14ac:dyDescent="0.25"/>
    <row r="155330" s="12" customFormat="1" x14ac:dyDescent="0.25"/>
    <row r="155331" s="12" customFormat="1" x14ac:dyDescent="0.25"/>
    <row r="155332" s="12" customFormat="1" x14ac:dyDescent="0.25"/>
    <row r="155333" s="12" customFormat="1" x14ac:dyDescent="0.25"/>
    <row r="155334" s="12" customFormat="1" x14ac:dyDescent="0.25"/>
    <row r="155335" s="12" customFormat="1" x14ac:dyDescent="0.25"/>
    <row r="155336" s="12" customFormat="1" x14ac:dyDescent="0.25"/>
    <row r="155337" s="12" customFormat="1" x14ac:dyDescent="0.25"/>
    <row r="155338" s="12" customFormat="1" x14ac:dyDescent="0.25"/>
    <row r="155339" s="12" customFormat="1" x14ac:dyDescent="0.25"/>
    <row r="155340" s="12" customFormat="1" x14ac:dyDescent="0.25"/>
    <row r="155341" s="12" customFormat="1" x14ac:dyDescent="0.25"/>
    <row r="155342" s="12" customFormat="1" x14ac:dyDescent="0.25"/>
    <row r="155343" s="12" customFormat="1" x14ac:dyDescent="0.25"/>
    <row r="155344" s="12" customFormat="1" x14ac:dyDescent="0.25"/>
    <row r="155345" s="12" customFormat="1" x14ac:dyDescent="0.25"/>
    <row r="155346" s="12" customFormat="1" x14ac:dyDescent="0.25"/>
    <row r="155347" s="12" customFormat="1" x14ac:dyDescent="0.25"/>
    <row r="155348" s="12" customFormat="1" x14ac:dyDescent="0.25"/>
    <row r="155349" s="12" customFormat="1" x14ac:dyDescent="0.25"/>
    <row r="155350" s="12" customFormat="1" x14ac:dyDescent="0.25"/>
    <row r="155351" s="12" customFormat="1" x14ac:dyDescent="0.25"/>
    <row r="155352" s="12" customFormat="1" x14ac:dyDescent="0.25"/>
    <row r="155353" s="12" customFormat="1" x14ac:dyDescent="0.25"/>
    <row r="155354" s="12" customFormat="1" x14ac:dyDescent="0.25"/>
    <row r="155355" s="12" customFormat="1" x14ac:dyDescent="0.25"/>
    <row r="155356" s="12" customFormat="1" x14ac:dyDescent="0.25"/>
    <row r="155357" s="12" customFormat="1" x14ac:dyDescent="0.25"/>
    <row r="155358" s="12" customFormat="1" x14ac:dyDescent="0.25"/>
    <row r="155359" s="12" customFormat="1" x14ac:dyDescent="0.25"/>
    <row r="155360" s="12" customFormat="1" x14ac:dyDescent="0.25"/>
    <row r="155361" s="12" customFormat="1" x14ac:dyDescent="0.25"/>
    <row r="155362" s="12" customFormat="1" x14ac:dyDescent="0.25"/>
    <row r="155363" s="12" customFormat="1" x14ac:dyDescent="0.25"/>
    <row r="155364" s="12" customFormat="1" x14ac:dyDescent="0.25"/>
    <row r="155365" s="12" customFormat="1" x14ac:dyDescent="0.25"/>
    <row r="155366" s="12" customFormat="1" x14ac:dyDescent="0.25"/>
    <row r="155367" s="12" customFormat="1" x14ac:dyDescent="0.25"/>
    <row r="155368" s="12" customFormat="1" x14ac:dyDescent="0.25"/>
    <row r="155369" s="12" customFormat="1" x14ac:dyDescent="0.25"/>
    <row r="155370" s="12" customFormat="1" x14ac:dyDescent="0.25"/>
    <row r="155371" s="12" customFormat="1" x14ac:dyDescent="0.25"/>
    <row r="155372" s="12" customFormat="1" x14ac:dyDescent="0.25"/>
    <row r="155373" s="12" customFormat="1" x14ac:dyDescent="0.25"/>
    <row r="155374" s="12" customFormat="1" x14ac:dyDescent="0.25"/>
    <row r="155375" s="12" customFormat="1" x14ac:dyDescent="0.25"/>
    <row r="155376" s="12" customFormat="1" x14ac:dyDescent="0.25"/>
    <row r="155377" s="12" customFormat="1" x14ac:dyDescent="0.25"/>
    <row r="155378" s="12" customFormat="1" x14ac:dyDescent="0.25"/>
    <row r="155379" s="12" customFormat="1" x14ac:dyDescent="0.25"/>
    <row r="155380" s="12" customFormat="1" x14ac:dyDescent="0.25"/>
    <row r="155381" s="12" customFormat="1" x14ac:dyDescent="0.25"/>
    <row r="155382" s="12" customFormat="1" x14ac:dyDescent="0.25"/>
    <row r="155383" s="12" customFormat="1" x14ac:dyDescent="0.25"/>
    <row r="155384" s="12" customFormat="1" x14ac:dyDescent="0.25"/>
    <row r="155385" s="12" customFormat="1" x14ac:dyDescent="0.25"/>
    <row r="155386" s="12" customFormat="1" x14ac:dyDescent="0.25"/>
    <row r="155387" s="12" customFormat="1" x14ac:dyDescent="0.25"/>
    <row r="155388" s="12" customFormat="1" x14ac:dyDescent="0.25"/>
    <row r="155389" s="12" customFormat="1" x14ac:dyDescent="0.25"/>
    <row r="155390" s="12" customFormat="1" x14ac:dyDescent="0.25"/>
    <row r="155391" s="12" customFormat="1" x14ac:dyDescent="0.25"/>
    <row r="155392" s="12" customFormat="1" x14ac:dyDescent="0.25"/>
    <row r="155393" s="12" customFormat="1" x14ac:dyDescent="0.25"/>
    <row r="155394" s="12" customFormat="1" x14ac:dyDescent="0.25"/>
    <row r="155395" s="12" customFormat="1" x14ac:dyDescent="0.25"/>
    <row r="155396" s="12" customFormat="1" x14ac:dyDescent="0.25"/>
    <row r="155397" s="12" customFormat="1" x14ac:dyDescent="0.25"/>
    <row r="155398" s="12" customFormat="1" x14ac:dyDescent="0.25"/>
    <row r="155399" s="12" customFormat="1" x14ac:dyDescent="0.25"/>
    <row r="155400" s="12" customFormat="1" x14ac:dyDescent="0.25"/>
    <row r="155401" s="12" customFormat="1" x14ac:dyDescent="0.25"/>
    <row r="155402" s="12" customFormat="1" x14ac:dyDescent="0.25"/>
    <row r="155403" s="12" customFormat="1" x14ac:dyDescent="0.25"/>
    <row r="155404" s="12" customFormat="1" x14ac:dyDescent="0.25"/>
    <row r="155405" s="12" customFormat="1" x14ac:dyDescent="0.25"/>
    <row r="155406" s="12" customFormat="1" x14ac:dyDescent="0.25"/>
    <row r="155407" s="12" customFormat="1" x14ac:dyDescent="0.25"/>
    <row r="155408" s="12" customFormat="1" x14ac:dyDescent="0.25"/>
    <row r="155409" s="12" customFormat="1" x14ac:dyDescent="0.25"/>
    <row r="155410" s="12" customFormat="1" x14ac:dyDescent="0.25"/>
    <row r="155411" s="12" customFormat="1" x14ac:dyDescent="0.25"/>
    <row r="155412" s="12" customFormat="1" x14ac:dyDescent="0.25"/>
    <row r="155413" s="12" customFormat="1" x14ac:dyDescent="0.25"/>
    <row r="155414" s="12" customFormat="1" x14ac:dyDescent="0.25"/>
    <row r="155415" s="12" customFormat="1" x14ac:dyDescent="0.25"/>
    <row r="155416" s="12" customFormat="1" x14ac:dyDescent="0.25"/>
    <row r="155417" s="12" customFormat="1" x14ac:dyDescent="0.25"/>
    <row r="155418" s="12" customFormat="1" x14ac:dyDescent="0.25"/>
    <row r="155419" s="12" customFormat="1" x14ac:dyDescent="0.25"/>
    <row r="155420" s="12" customFormat="1" x14ac:dyDescent="0.25"/>
    <row r="155421" s="12" customFormat="1" x14ac:dyDescent="0.25"/>
    <row r="155422" s="12" customFormat="1" x14ac:dyDescent="0.25"/>
    <row r="155423" s="12" customFormat="1" x14ac:dyDescent="0.25"/>
    <row r="155424" s="12" customFormat="1" x14ac:dyDescent="0.25"/>
    <row r="155425" s="12" customFormat="1" x14ac:dyDescent="0.25"/>
    <row r="155426" s="12" customFormat="1" x14ac:dyDescent="0.25"/>
    <row r="155427" s="12" customFormat="1" x14ac:dyDescent="0.25"/>
    <row r="155428" s="12" customFormat="1" x14ac:dyDescent="0.25"/>
    <row r="155429" s="12" customFormat="1" x14ac:dyDescent="0.25"/>
    <row r="155430" s="12" customFormat="1" x14ac:dyDescent="0.25"/>
    <row r="155431" s="12" customFormat="1" x14ac:dyDescent="0.25"/>
    <row r="155432" s="12" customFormat="1" x14ac:dyDescent="0.25"/>
    <row r="155433" s="12" customFormat="1" x14ac:dyDescent="0.25"/>
    <row r="155434" s="12" customFormat="1" x14ac:dyDescent="0.25"/>
    <row r="155435" s="12" customFormat="1" x14ac:dyDescent="0.25"/>
    <row r="155436" s="12" customFormat="1" x14ac:dyDescent="0.25"/>
    <row r="155437" s="12" customFormat="1" x14ac:dyDescent="0.25"/>
    <row r="155438" s="12" customFormat="1" x14ac:dyDescent="0.25"/>
    <row r="155439" s="12" customFormat="1" x14ac:dyDescent="0.25"/>
    <row r="155440" s="12" customFormat="1" x14ac:dyDescent="0.25"/>
    <row r="155441" s="12" customFormat="1" x14ac:dyDescent="0.25"/>
    <row r="155442" s="12" customFormat="1" x14ac:dyDescent="0.25"/>
    <row r="155443" s="12" customFormat="1" x14ac:dyDescent="0.25"/>
    <row r="155444" s="12" customFormat="1" x14ac:dyDescent="0.25"/>
    <row r="155445" s="12" customFormat="1" x14ac:dyDescent="0.25"/>
    <row r="155446" s="12" customFormat="1" x14ac:dyDescent="0.25"/>
    <row r="155447" s="12" customFormat="1" x14ac:dyDescent="0.25"/>
    <row r="155448" s="12" customFormat="1" x14ac:dyDescent="0.25"/>
    <row r="155449" s="12" customFormat="1" x14ac:dyDescent="0.25"/>
    <row r="155450" s="12" customFormat="1" x14ac:dyDescent="0.25"/>
    <row r="155451" s="12" customFormat="1" x14ac:dyDescent="0.25"/>
    <row r="155452" s="12" customFormat="1" x14ac:dyDescent="0.25"/>
    <row r="155453" s="12" customFormat="1" x14ac:dyDescent="0.25"/>
    <row r="155454" s="12" customFormat="1" x14ac:dyDescent="0.25"/>
    <row r="155455" s="12" customFormat="1" x14ac:dyDescent="0.25"/>
    <row r="155456" s="12" customFormat="1" x14ac:dyDescent="0.25"/>
    <row r="155457" s="12" customFormat="1" x14ac:dyDescent="0.25"/>
    <row r="155458" s="12" customFormat="1" x14ac:dyDescent="0.25"/>
    <row r="155459" s="12" customFormat="1" x14ac:dyDescent="0.25"/>
    <row r="155460" s="12" customFormat="1" x14ac:dyDescent="0.25"/>
    <row r="155461" s="12" customFormat="1" x14ac:dyDescent="0.25"/>
    <row r="155462" s="12" customFormat="1" x14ac:dyDescent="0.25"/>
    <row r="155463" s="12" customFormat="1" x14ac:dyDescent="0.25"/>
    <row r="155464" s="12" customFormat="1" x14ac:dyDescent="0.25"/>
    <row r="155465" s="12" customFormat="1" x14ac:dyDescent="0.25"/>
    <row r="155466" s="12" customFormat="1" x14ac:dyDescent="0.25"/>
    <row r="155467" s="12" customFormat="1" x14ac:dyDescent="0.25"/>
    <row r="155468" s="12" customFormat="1" x14ac:dyDescent="0.25"/>
    <row r="155469" s="12" customFormat="1" x14ac:dyDescent="0.25"/>
    <row r="155470" s="12" customFormat="1" x14ac:dyDescent="0.25"/>
    <row r="155471" s="12" customFormat="1" x14ac:dyDescent="0.25"/>
    <row r="155472" s="12" customFormat="1" x14ac:dyDescent="0.25"/>
    <row r="155473" s="12" customFormat="1" x14ac:dyDescent="0.25"/>
    <row r="155474" s="12" customFormat="1" x14ac:dyDescent="0.25"/>
    <row r="155475" s="12" customFormat="1" x14ac:dyDescent="0.25"/>
    <row r="155476" s="12" customFormat="1" x14ac:dyDescent="0.25"/>
    <row r="155477" s="12" customFormat="1" x14ac:dyDescent="0.25"/>
    <row r="155478" s="12" customFormat="1" x14ac:dyDescent="0.25"/>
    <row r="155479" s="12" customFormat="1" x14ac:dyDescent="0.25"/>
    <row r="155480" s="12" customFormat="1" x14ac:dyDescent="0.25"/>
    <row r="155481" s="12" customFormat="1" x14ac:dyDescent="0.25"/>
    <row r="155482" s="12" customFormat="1" x14ac:dyDescent="0.25"/>
    <row r="155483" s="12" customFormat="1" x14ac:dyDescent="0.25"/>
    <row r="155484" s="12" customFormat="1" x14ac:dyDescent="0.25"/>
    <row r="155485" s="12" customFormat="1" x14ac:dyDescent="0.25"/>
    <row r="155486" s="12" customFormat="1" x14ac:dyDescent="0.25"/>
    <row r="155487" s="12" customFormat="1" x14ac:dyDescent="0.25"/>
    <row r="155488" s="12" customFormat="1" x14ac:dyDescent="0.25"/>
    <row r="155489" s="12" customFormat="1" x14ac:dyDescent="0.25"/>
    <row r="155490" s="12" customFormat="1" x14ac:dyDescent="0.25"/>
    <row r="155491" s="12" customFormat="1" x14ac:dyDescent="0.25"/>
    <row r="155492" s="12" customFormat="1" x14ac:dyDescent="0.25"/>
    <row r="155493" s="12" customFormat="1" x14ac:dyDescent="0.25"/>
    <row r="155494" s="12" customFormat="1" x14ac:dyDescent="0.25"/>
    <row r="155495" s="12" customFormat="1" x14ac:dyDescent="0.25"/>
    <row r="155496" s="12" customFormat="1" x14ac:dyDescent="0.25"/>
    <row r="155497" s="12" customFormat="1" x14ac:dyDescent="0.25"/>
    <row r="155498" s="12" customFormat="1" x14ac:dyDescent="0.25"/>
    <row r="155499" s="12" customFormat="1" x14ac:dyDescent="0.25"/>
    <row r="155500" s="12" customFormat="1" x14ac:dyDescent="0.25"/>
    <row r="155501" s="12" customFormat="1" x14ac:dyDescent="0.25"/>
    <row r="155502" s="12" customFormat="1" x14ac:dyDescent="0.25"/>
    <row r="155503" s="12" customFormat="1" x14ac:dyDescent="0.25"/>
    <row r="155504" s="12" customFormat="1" x14ac:dyDescent="0.25"/>
    <row r="155505" s="12" customFormat="1" x14ac:dyDescent="0.25"/>
    <row r="155506" s="12" customFormat="1" x14ac:dyDescent="0.25"/>
    <row r="155507" s="12" customFormat="1" x14ac:dyDescent="0.25"/>
    <row r="155508" s="12" customFormat="1" x14ac:dyDescent="0.25"/>
    <row r="155509" s="12" customFormat="1" x14ac:dyDescent="0.25"/>
    <row r="155510" s="12" customFormat="1" x14ac:dyDescent="0.25"/>
    <row r="155511" s="12" customFormat="1" x14ac:dyDescent="0.25"/>
    <row r="155512" s="12" customFormat="1" x14ac:dyDescent="0.25"/>
    <row r="155513" s="12" customFormat="1" x14ac:dyDescent="0.25"/>
    <row r="155514" s="12" customFormat="1" x14ac:dyDescent="0.25"/>
    <row r="155515" s="12" customFormat="1" x14ac:dyDescent="0.25"/>
    <row r="155516" s="12" customFormat="1" x14ac:dyDescent="0.25"/>
    <row r="155517" s="12" customFormat="1" x14ac:dyDescent="0.25"/>
    <row r="155518" s="12" customFormat="1" x14ac:dyDescent="0.25"/>
    <row r="155519" s="12" customFormat="1" x14ac:dyDescent="0.25"/>
    <row r="155520" s="12" customFormat="1" x14ac:dyDescent="0.25"/>
    <row r="155521" s="12" customFormat="1" x14ac:dyDescent="0.25"/>
    <row r="155522" s="12" customFormat="1" x14ac:dyDescent="0.25"/>
    <row r="155523" s="12" customFormat="1" x14ac:dyDescent="0.25"/>
    <row r="155524" s="12" customFormat="1" x14ac:dyDescent="0.25"/>
    <row r="155525" s="12" customFormat="1" x14ac:dyDescent="0.25"/>
    <row r="155526" s="12" customFormat="1" x14ac:dyDescent="0.25"/>
    <row r="155527" s="12" customFormat="1" x14ac:dyDescent="0.25"/>
    <row r="155528" s="12" customFormat="1" x14ac:dyDescent="0.25"/>
    <row r="155529" s="12" customFormat="1" x14ac:dyDescent="0.25"/>
    <row r="155530" s="12" customFormat="1" x14ac:dyDescent="0.25"/>
    <row r="155531" s="12" customFormat="1" x14ac:dyDescent="0.25"/>
    <row r="155532" s="12" customFormat="1" x14ac:dyDescent="0.25"/>
    <row r="155533" s="12" customFormat="1" x14ac:dyDescent="0.25"/>
    <row r="155534" s="12" customFormat="1" x14ac:dyDescent="0.25"/>
    <row r="155535" s="12" customFormat="1" x14ac:dyDescent="0.25"/>
    <row r="155536" s="12" customFormat="1" x14ac:dyDescent="0.25"/>
    <row r="155537" s="12" customFormat="1" x14ac:dyDescent="0.25"/>
    <row r="155538" s="12" customFormat="1" x14ac:dyDescent="0.25"/>
    <row r="155539" s="12" customFormat="1" x14ac:dyDescent="0.25"/>
    <row r="155540" s="12" customFormat="1" x14ac:dyDescent="0.25"/>
    <row r="155541" s="12" customFormat="1" x14ac:dyDescent="0.25"/>
    <row r="155542" s="12" customFormat="1" x14ac:dyDescent="0.25"/>
    <row r="155543" s="12" customFormat="1" x14ac:dyDescent="0.25"/>
    <row r="155544" s="12" customFormat="1" x14ac:dyDescent="0.25"/>
    <row r="155545" s="12" customFormat="1" x14ac:dyDescent="0.25"/>
    <row r="155546" s="12" customFormat="1" x14ac:dyDescent="0.25"/>
    <row r="155547" s="12" customFormat="1" x14ac:dyDescent="0.25"/>
    <row r="155548" s="12" customFormat="1" x14ac:dyDescent="0.25"/>
    <row r="155549" s="12" customFormat="1" x14ac:dyDescent="0.25"/>
    <row r="155550" s="12" customFormat="1" x14ac:dyDescent="0.25"/>
    <row r="155551" s="12" customFormat="1" x14ac:dyDescent="0.25"/>
    <row r="155552" s="12" customFormat="1" x14ac:dyDescent="0.25"/>
    <row r="155553" s="12" customFormat="1" x14ac:dyDescent="0.25"/>
    <row r="155554" s="12" customFormat="1" x14ac:dyDescent="0.25"/>
    <row r="155555" s="12" customFormat="1" x14ac:dyDescent="0.25"/>
    <row r="155556" s="12" customFormat="1" x14ac:dyDescent="0.25"/>
    <row r="155557" s="12" customFormat="1" x14ac:dyDescent="0.25"/>
    <row r="155558" s="12" customFormat="1" x14ac:dyDescent="0.25"/>
    <row r="155559" s="12" customFormat="1" x14ac:dyDescent="0.25"/>
    <row r="155560" s="12" customFormat="1" x14ac:dyDescent="0.25"/>
    <row r="155561" s="12" customFormat="1" x14ac:dyDescent="0.25"/>
    <row r="155562" s="12" customFormat="1" x14ac:dyDescent="0.25"/>
    <row r="155563" s="12" customFormat="1" x14ac:dyDescent="0.25"/>
    <row r="155564" s="12" customFormat="1" x14ac:dyDescent="0.25"/>
    <row r="155565" s="12" customFormat="1" x14ac:dyDescent="0.25"/>
    <row r="155566" s="12" customFormat="1" x14ac:dyDescent="0.25"/>
    <row r="155567" s="12" customFormat="1" x14ac:dyDescent="0.25"/>
    <row r="155568" s="12" customFormat="1" x14ac:dyDescent="0.25"/>
    <row r="155569" s="12" customFormat="1" x14ac:dyDescent="0.25"/>
    <row r="155570" s="12" customFormat="1" x14ac:dyDescent="0.25"/>
    <row r="155571" s="12" customFormat="1" x14ac:dyDescent="0.25"/>
    <row r="155572" s="12" customFormat="1" x14ac:dyDescent="0.25"/>
    <row r="155573" s="12" customFormat="1" x14ac:dyDescent="0.25"/>
    <row r="155574" s="12" customFormat="1" x14ac:dyDescent="0.25"/>
    <row r="155575" s="12" customFormat="1" x14ac:dyDescent="0.25"/>
    <row r="155576" s="12" customFormat="1" x14ac:dyDescent="0.25"/>
    <row r="155577" s="12" customFormat="1" x14ac:dyDescent="0.25"/>
    <row r="155578" s="12" customFormat="1" x14ac:dyDescent="0.25"/>
    <row r="155579" s="12" customFormat="1" x14ac:dyDescent="0.25"/>
    <row r="155580" s="12" customFormat="1" x14ac:dyDescent="0.25"/>
    <row r="155581" s="12" customFormat="1" x14ac:dyDescent="0.25"/>
    <row r="155582" s="12" customFormat="1" x14ac:dyDescent="0.25"/>
    <row r="155583" s="12" customFormat="1" x14ac:dyDescent="0.25"/>
    <row r="155584" s="12" customFormat="1" x14ac:dyDescent="0.25"/>
    <row r="155585" s="12" customFormat="1" x14ac:dyDescent="0.25"/>
    <row r="155586" s="12" customFormat="1" x14ac:dyDescent="0.25"/>
    <row r="155587" s="12" customFormat="1" x14ac:dyDescent="0.25"/>
    <row r="155588" s="12" customFormat="1" x14ac:dyDescent="0.25"/>
    <row r="155589" s="12" customFormat="1" x14ac:dyDescent="0.25"/>
    <row r="155590" s="12" customFormat="1" x14ac:dyDescent="0.25"/>
    <row r="155591" s="12" customFormat="1" x14ac:dyDescent="0.25"/>
    <row r="155592" s="12" customFormat="1" x14ac:dyDescent="0.25"/>
    <row r="155593" s="12" customFormat="1" x14ac:dyDescent="0.25"/>
    <row r="155594" s="12" customFormat="1" x14ac:dyDescent="0.25"/>
    <row r="155595" s="12" customFormat="1" x14ac:dyDescent="0.25"/>
    <row r="155596" s="12" customFormat="1" x14ac:dyDescent="0.25"/>
    <row r="155597" s="12" customFormat="1" x14ac:dyDescent="0.25"/>
    <row r="155598" s="12" customFormat="1" x14ac:dyDescent="0.25"/>
    <row r="155599" s="12" customFormat="1" x14ac:dyDescent="0.25"/>
    <row r="155600" s="12" customFormat="1" x14ac:dyDescent="0.25"/>
    <row r="155601" s="12" customFormat="1" x14ac:dyDescent="0.25"/>
    <row r="155602" s="12" customFormat="1" x14ac:dyDescent="0.25"/>
    <row r="155603" s="12" customFormat="1" x14ac:dyDescent="0.25"/>
    <row r="155604" s="12" customFormat="1" x14ac:dyDescent="0.25"/>
    <row r="155605" s="12" customFormat="1" x14ac:dyDescent="0.25"/>
    <row r="155606" s="12" customFormat="1" x14ac:dyDescent="0.25"/>
    <row r="155607" s="12" customFormat="1" x14ac:dyDescent="0.25"/>
    <row r="155608" s="12" customFormat="1" x14ac:dyDescent="0.25"/>
    <row r="155609" s="12" customFormat="1" x14ac:dyDescent="0.25"/>
    <row r="155610" s="12" customFormat="1" x14ac:dyDescent="0.25"/>
    <row r="155611" s="12" customFormat="1" x14ac:dyDescent="0.25"/>
    <row r="155612" s="12" customFormat="1" x14ac:dyDescent="0.25"/>
    <row r="155613" s="12" customFormat="1" x14ac:dyDescent="0.25"/>
    <row r="155614" s="12" customFormat="1" x14ac:dyDescent="0.25"/>
    <row r="155615" s="12" customFormat="1" x14ac:dyDescent="0.25"/>
    <row r="155616" s="12" customFormat="1" x14ac:dyDescent="0.25"/>
    <row r="155617" s="12" customFormat="1" x14ac:dyDescent="0.25"/>
    <row r="155618" s="12" customFormat="1" x14ac:dyDescent="0.25"/>
    <row r="155619" s="12" customFormat="1" x14ac:dyDescent="0.25"/>
    <row r="155620" s="12" customFormat="1" x14ac:dyDescent="0.25"/>
    <row r="155621" s="12" customFormat="1" x14ac:dyDescent="0.25"/>
    <row r="155622" s="12" customFormat="1" x14ac:dyDescent="0.25"/>
    <row r="155623" s="12" customFormat="1" x14ac:dyDescent="0.25"/>
    <row r="155624" s="12" customFormat="1" x14ac:dyDescent="0.25"/>
    <row r="155625" s="12" customFormat="1" x14ac:dyDescent="0.25"/>
    <row r="155626" s="12" customFormat="1" x14ac:dyDescent="0.25"/>
    <row r="155627" s="12" customFormat="1" x14ac:dyDescent="0.25"/>
    <row r="155628" s="12" customFormat="1" x14ac:dyDescent="0.25"/>
    <row r="155629" s="12" customFormat="1" x14ac:dyDescent="0.25"/>
    <row r="155630" s="12" customFormat="1" x14ac:dyDescent="0.25"/>
    <row r="155631" s="12" customFormat="1" x14ac:dyDescent="0.25"/>
    <row r="155632" s="12" customFormat="1" x14ac:dyDescent="0.25"/>
    <row r="155633" s="12" customFormat="1" x14ac:dyDescent="0.25"/>
    <row r="155634" s="12" customFormat="1" x14ac:dyDescent="0.25"/>
    <row r="155635" s="12" customFormat="1" x14ac:dyDescent="0.25"/>
    <row r="155636" s="12" customFormat="1" x14ac:dyDescent="0.25"/>
    <row r="155637" s="12" customFormat="1" x14ac:dyDescent="0.25"/>
    <row r="155638" s="12" customFormat="1" x14ac:dyDescent="0.25"/>
    <row r="155639" s="12" customFormat="1" x14ac:dyDescent="0.25"/>
    <row r="155640" s="12" customFormat="1" x14ac:dyDescent="0.25"/>
    <row r="155641" s="12" customFormat="1" x14ac:dyDescent="0.25"/>
    <row r="155642" s="12" customFormat="1" x14ac:dyDescent="0.25"/>
    <row r="155643" s="12" customFormat="1" x14ac:dyDescent="0.25"/>
    <row r="155644" s="12" customFormat="1" x14ac:dyDescent="0.25"/>
    <row r="155645" s="12" customFormat="1" x14ac:dyDescent="0.25"/>
    <row r="155646" s="12" customFormat="1" x14ac:dyDescent="0.25"/>
    <row r="155647" s="12" customFormat="1" x14ac:dyDescent="0.25"/>
    <row r="155648" s="12" customFormat="1" x14ac:dyDescent="0.25"/>
    <row r="155649" s="12" customFormat="1" x14ac:dyDescent="0.25"/>
    <row r="155650" s="12" customFormat="1" x14ac:dyDescent="0.25"/>
    <row r="155651" s="12" customFormat="1" x14ac:dyDescent="0.25"/>
    <row r="155652" s="12" customFormat="1" x14ac:dyDescent="0.25"/>
    <row r="155653" s="12" customFormat="1" x14ac:dyDescent="0.25"/>
    <row r="155654" s="12" customFormat="1" x14ac:dyDescent="0.25"/>
    <row r="155655" s="12" customFormat="1" x14ac:dyDescent="0.25"/>
    <row r="155656" s="12" customFormat="1" x14ac:dyDescent="0.25"/>
    <row r="155657" s="12" customFormat="1" x14ac:dyDescent="0.25"/>
    <row r="155658" s="12" customFormat="1" x14ac:dyDescent="0.25"/>
    <row r="155659" s="12" customFormat="1" x14ac:dyDescent="0.25"/>
    <row r="155660" s="12" customFormat="1" x14ac:dyDescent="0.25"/>
    <row r="155661" s="12" customFormat="1" x14ac:dyDescent="0.25"/>
    <row r="155662" s="12" customFormat="1" x14ac:dyDescent="0.25"/>
    <row r="155663" s="12" customFormat="1" x14ac:dyDescent="0.25"/>
    <row r="155664" s="12" customFormat="1" x14ac:dyDescent="0.25"/>
    <row r="155665" s="12" customFormat="1" x14ac:dyDescent="0.25"/>
    <row r="155666" s="12" customFormat="1" x14ac:dyDescent="0.25"/>
    <row r="155667" s="12" customFormat="1" x14ac:dyDescent="0.25"/>
    <row r="155668" s="12" customFormat="1" x14ac:dyDescent="0.25"/>
    <row r="155669" s="12" customFormat="1" x14ac:dyDescent="0.25"/>
    <row r="155670" s="12" customFormat="1" x14ac:dyDescent="0.25"/>
    <row r="155671" s="12" customFormat="1" x14ac:dyDescent="0.25"/>
    <row r="155672" s="12" customFormat="1" x14ac:dyDescent="0.25"/>
    <row r="155673" s="12" customFormat="1" x14ac:dyDescent="0.25"/>
    <row r="155674" s="12" customFormat="1" x14ac:dyDescent="0.25"/>
    <row r="155675" s="12" customFormat="1" x14ac:dyDescent="0.25"/>
    <row r="155676" s="12" customFormat="1" x14ac:dyDescent="0.25"/>
    <row r="155677" s="12" customFormat="1" x14ac:dyDescent="0.25"/>
    <row r="155678" s="12" customFormat="1" x14ac:dyDescent="0.25"/>
    <row r="155679" s="12" customFormat="1" x14ac:dyDescent="0.25"/>
    <row r="155680" s="12" customFormat="1" x14ac:dyDescent="0.25"/>
    <row r="155681" s="12" customFormat="1" x14ac:dyDescent="0.25"/>
    <row r="155682" s="12" customFormat="1" x14ac:dyDescent="0.25"/>
    <row r="155683" s="12" customFormat="1" x14ac:dyDescent="0.25"/>
    <row r="155684" s="12" customFormat="1" x14ac:dyDescent="0.25"/>
    <row r="155685" s="12" customFormat="1" x14ac:dyDescent="0.25"/>
    <row r="155686" s="12" customFormat="1" x14ac:dyDescent="0.25"/>
    <row r="155687" s="12" customFormat="1" x14ac:dyDescent="0.25"/>
    <row r="155688" s="12" customFormat="1" x14ac:dyDescent="0.25"/>
    <row r="155689" s="12" customFormat="1" x14ac:dyDescent="0.25"/>
    <row r="155690" s="12" customFormat="1" x14ac:dyDescent="0.25"/>
    <row r="155691" s="12" customFormat="1" x14ac:dyDescent="0.25"/>
    <row r="155692" s="12" customFormat="1" x14ac:dyDescent="0.25"/>
    <row r="155693" s="12" customFormat="1" x14ac:dyDescent="0.25"/>
    <row r="155694" s="12" customFormat="1" x14ac:dyDescent="0.25"/>
    <row r="155695" s="12" customFormat="1" x14ac:dyDescent="0.25"/>
    <row r="155696" s="12" customFormat="1" x14ac:dyDescent="0.25"/>
    <row r="155697" s="12" customFormat="1" x14ac:dyDescent="0.25"/>
    <row r="155698" s="12" customFormat="1" x14ac:dyDescent="0.25"/>
    <row r="155699" s="12" customFormat="1" x14ac:dyDescent="0.25"/>
    <row r="155700" s="12" customFormat="1" x14ac:dyDescent="0.25"/>
    <row r="155701" s="12" customFormat="1" x14ac:dyDescent="0.25"/>
    <row r="155702" s="12" customFormat="1" x14ac:dyDescent="0.25"/>
    <row r="155703" s="12" customFormat="1" x14ac:dyDescent="0.25"/>
    <row r="155704" s="12" customFormat="1" x14ac:dyDescent="0.25"/>
    <row r="155705" s="12" customFormat="1" x14ac:dyDescent="0.25"/>
    <row r="155706" s="12" customFormat="1" x14ac:dyDescent="0.25"/>
    <row r="155707" s="12" customFormat="1" x14ac:dyDescent="0.25"/>
    <row r="155708" s="12" customFormat="1" x14ac:dyDescent="0.25"/>
    <row r="155709" s="12" customFormat="1" x14ac:dyDescent="0.25"/>
    <row r="155710" s="12" customFormat="1" x14ac:dyDescent="0.25"/>
    <row r="155711" s="12" customFormat="1" x14ac:dyDescent="0.25"/>
    <row r="155712" s="12" customFormat="1" x14ac:dyDescent="0.25"/>
    <row r="155713" s="12" customFormat="1" x14ac:dyDescent="0.25"/>
    <row r="155714" s="12" customFormat="1" x14ac:dyDescent="0.25"/>
    <row r="155715" s="12" customFormat="1" x14ac:dyDescent="0.25"/>
    <row r="155716" s="12" customFormat="1" x14ac:dyDescent="0.25"/>
    <row r="155717" s="12" customFormat="1" x14ac:dyDescent="0.25"/>
    <row r="155718" s="12" customFormat="1" x14ac:dyDescent="0.25"/>
    <row r="155719" s="12" customFormat="1" x14ac:dyDescent="0.25"/>
    <row r="155720" s="12" customFormat="1" x14ac:dyDescent="0.25"/>
    <row r="155721" s="12" customFormat="1" x14ac:dyDescent="0.25"/>
    <row r="155722" s="12" customFormat="1" x14ac:dyDescent="0.25"/>
    <row r="155723" s="12" customFormat="1" x14ac:dyDescent="0.25"/>
    <row r="155724" s="12" customFormat="1" x14ac:dyDescent="0.25"/>
    <row r="155725" s="12" customFormat="1" x14ac:dyDescent="0.25"/>
    <row r="155726" s="12" customFormat="1" x14ac:dyDescent="0.25"/>
    <row r="155727" s="12" customFormat="1" x14ac:dyDescent="0.25"/>
    <row r="155728" s="12" customFormat="1" x14ac:dyDescent="0.25"/>
    <row r="155729" s="12" customFormat="1" x14ac:dyDescent="0.25"/>
    <row r="155730" s="12" customFormat="1" x14ac:dyDescent="0.25"/>
    <row r="155731" s="12" customFormat="1" x14ac:dyDescent="0.25"/>
    <row r="155732" s="12" customFormat="1" x14ac:dyDescent="0.25"/>
    <row r="155733" s="12" customFormat="1" x14ac:dyDescent="0.25"/>
    <row r="155734" s="12" customFormat="1" x14ac:dyDescent="0.25"/>
    <row r="155735" s="12" customFormat="1" x14ac:dyDescent="0.25"/>
    <row r="155736" s="12" customFormat="1" x14ac:dyDescent="0.25"/>
    <row r="155737" s="12" customFormat="1" x14ac:dyDescent="0.25"/>
    <row r="155738" s="12" customFormat="1" x14ac:dyDescent="0.25"/>
    <row r="155739" s="12" customFormat="1" x14ac:dyDescent="0.25"/>
    <row r="155740" s="12" customFormat="1" x14ac:dyDescent="0.25"/>
    <row r="155741" s="12" customFormat="1" x14ac:dyDescent="0.25"/>
    <row r="155742" s="12" customFormat="1" x14ac:dyDescent="0.25"/>
    <row r="155743" s="12" customFormat="1" x14ac:dyDescent="0.25"/>
    <row r="155744" s="12" customFormat="1" x14ac:dyDescent="0.25"/>
    <row r="155745" s="12" customFormat="1" x14ac:dyDescent="0.25"/>
    <row r="155746" s="12" customFormat="1" x14ac:dyDescent="0.25"/>
    <row r="155747" s="12" customFormat="1" x14ac:dyDescent="0.25"/>
    <row r="155748" s="12" customFormat="1" x14ac:dyDescent="0.25"/>
    <row r="155749" s="12" customFormat="1" x14ac:dyDescent="0.25"/>
    <row r="155750" s="12" customFormat="1" x14ac:dyDescent="0.25"/>
    <row r="155751" s="12" customFormat="1" x14ac:dyDescent="0.25"/>
    <row r="155752" s="12" customFormat="1" x14ac:dyDescent="0.25"/>
    <row r="155753" s="12" customFormat="1" x14ac:dyDescent="0.25"/>
    <row r="155754" s="12" customFormat="1" x14ac:dyDescent="0.25"/>
    <row r="155755" s="12" customFormat="1" x14ac:dyDescent="0.25"/>
    <row r="155756" s="12" customFormat="1" x14ac:dyDescent="0.25"/>
    <row r="155757" s="12" customFormat="1" x14ac:dyDescent="0.25"/>
    <row r="155758" s="12" customFormat="1" x14ac:dyDescent="0.25"/>
    <row r="155759" s="12" customFormat="1" x14ac:dyDescent="0.25"/>
    <row r="155760" s="12" customFormat="1" x14ac:dyDescent="0.25"/>
    <row r="155761" s="12" customFormat="1" x14ac:dyDescent="0.25"/>
    <row r="155762" s="12" customFormat="1" x14ac:dyDescent="0.25"/>
    <row r="155763" s="12" customFormat="1" x14ac:dyDescent="0.25"/>
    <row r="155764" s="12" customFormat="1" x14ac:dyDescent="0.25"/>
    <row r="155765" s="12" customFormat="1" x14ac:dyDescent="0.25"/>
    <row r="155766" s="12" customFormat="1" x14ac:dyDescent="0.25"/>
    <row r="155767" s="12" customFormat="1" x14ac:dyDescent="0.25"/>
    <row r="155768" s="12" customFormat="1" x14ac:dyDescent="0.25"/>
    <row r="155769" s="12" customFormat="1" x14ac:dyDescent="0.25"/>
    <row r="155770" s="12" customFormat="1" x14ac:dyDescent="0.25"/>
    <row r="155771" s="12" customFormat="1" x14ac:dyDescent="0.25"/>
    <row r="155772" s="12" customFormat="1" x14ac:dyDescent="0.25"/>
    <row r="155773" s="12" customFormat="1" x14ac:dyDescent="0.25"/>
    <row r="155774" s="12" customFormat="1" x14ac:dyDescent="0.25"/>
    <row r="155775" s="12" customFormat="1" x14ac:dyDescent="0.25"/>
    <row r="155776" s="12" customFormat="1" x14ac:dyDescent="0.25"/>
    <row r="155777" s="12" customFormat="1" x14ac:dyDescent="0.25"/>
    <row r="155778" s="12" customFormat="1" x14ac:dyDescent="0.25"/>
    <row r="155779" s="12" customFormat="1" x14ac:dyDescent="0.25"/>
    <row r="155780" s="12" customFormat="1" x14ac:dyDescent="0.25"/>
    <row r="155781" s="12" customFormat="1" x14ac:dyDescent="0.25"/>
    <row r="155782" s="12" customFormat="1" x14ac:dyDescent="0.25"/>
    <row r="155783" s="12" customFormat="1" x14ac:dyDescent="0.25"/>
    <row r="155784" s="12" customFormat="1" x14ac:dyDescent="0.25"/>
    <row r="155785" s="12" customFormat="1" x14ac:dyDescent="0.25"/>
    <row r="155786" s="12" customFormat="1" x14ac:dyDescent="0.25"/>
    <row r="155787" s="12" customFormat="1" x14ac:dyDescent="0.25"/>
    <row r="155788" s="12" customFormat="1" x14ac:dyDescent="0.25"/>
    <row r="155789" s="12" customFormat="1" x14ac:dyDescent="0.25"/>
    <row r="155790" s="12" customFormat="1" x14ac:dyDescent="0.25"/>
    <row r="155791" s="12" customFormat="1" x14ac:dyDescent="0.25"/>
    <row r="155792" s="12" customFormat="1" x14ac:dyDescent="0.25"/>
    <row r="155793" s="12" customFormat="1" x14ac:dyDescent="0.25"/>
    <row r="155794" s="12" customFormat="1" x14ac:dyDescent="0.25"/>
    <row r="155795" s="12" customFormat="1" x14ac:dyDescent="0.25"/>
    <row r="155796" s="12" customFormat="1" x14ac:dyDescent="0.25"/>
    <row r="155797" s="12" customFormat="1" x14ac:dyDescent="0.25"/>
    <row r="155798" s="12" customFormat="1" x14ac:dyDescent="0.25"/>
    <row r="155799" s="12" customFormat="1" x14ac:dyDescent="0.25"/>
    <row r="155800" s="12" customFormat="1" x14ac:dyDescent="0.25"/>
    <row r="155801" s="12" customFormat="1" x14ac:dyDescent="0.25"/>
    <row r="155802" s="12" customFormat="1" x14ac:dyDescent="0.25"/>
    <row r="155803" s="12" customFormat="1" x14ac:dyDescent="0.25"/>
    <row r="155804" s="12" customFormat="1" x14ac:dyDescent="0.25"/>
    <row r="155805" s="12" customFormat="1" x14ac:dyDescent="0.25"/>
    <row r="155806" s="12" customFormat="1" x14ac:dyDescent="0.25"/>
    <row r="155807" s="12" customFormat="1" x14ac:dyDescent="0.25"/>
    <row r="155808" s="12" customFormat="1" x14ac:dyDescent="0.25"/>
    <row r="155809" s="12" customFormat="1" x14ac:dyDescent="0.25"/>
    <row r="155810" s="12" customFormat="1" x14ac:dyDescent="0.25"/>
    <row r="155811" s="12" customFormat="1" x14ac:dyDescent="0.25"/>
    <row r="155812" s="12" customFormat="1" x14ac:dyDescent="0.25"/>
    <row r="155813" s="12" customFormat="1" x14ac:dyDescent="0.25"/>
    <row r="155814" s="12" customFormat="1" x14ac:dyDescent="0.25"/>
    <row r="155815" s="12" customFormat="1" x14ac:dyDescent="0.25"/>
    <row r="155816" s="12" customFormat="1" x14ac:dyDescent="0.25"/>
    <row r="155817" s="12" customFormat="1" x14ac:dyDescent="0.25"/>
    <row r="155818" s="12" customFormat="1" x14ac:dyDescent="0.25"/>
    <row r="155819" s="12" customFormat="1" x14ac:dyDescent="0.25"/>
    <row r="155820" s="12" customFormat="1" x14ac:dyDescent="0.25"/>
    <row r="155821" s="12" customFormat="1" x14ac:dyDescent="0.25"/>
    <row r="155822" s="12" customFormat="1" x14ac:dyDescent="0.25"/>
    <row r="155823" s="12" customFormat="1" x14ac:dyDescent="0.25"/>
    <row r="155824" s="12" customFormat="1" x14ac:dyDescent="0.25"/>
    <row r="155825" s="12" customFormat="1" x14ac:dyDescent="0.25"/>
    <row r="155826" s="12" customFormat="1" x14ac:dyDescent="0.25"/>
    <row r="155827" s="12" customFormat="1" x14ac:dyDescent="0.25"/>
    <row r="155828" s="12" customFormat="1" x14ac:dyDescent="0.25"/>
    <row r="155829" s="12" customFormat="1" x14ac:dyDescent="0.25"/>
    <row r="155830" s="12" customFormat="1" x14ac:dyDescent="0.25"/>
    <row r="155831" s="12" customFormat="1" x14ac:dyDescent="0.25"/>
    <row r="155832" s="12" customFormat="1" x14ac:dyDescent="0.25"/>
    <row r="155833" s="12" customFormat="1" x14ac:dyDescent="0.25"/>
    <row r="155834" s="12" customFormat="1" x14ac:dyDescent="0.25"/>
    <row r="155835" s="12" customFormat="1" x14ac:dyDescent="0.25"/>
    <row r="155836" s="12" customFormat="1" x14ac:dyDescent="0.25"/>
    <row r="155837" s="12" customFormat="1" x14ac:dyDescent="0.25"/>
    <row r="155838" s="12" customFormat="1" x14ac:dyDescent="0.25"/>
    <row r="155839" s="12" customFormat="1" x14ac:dyDescent="0.25"/>
    <row r="155840" s="12" customFormat="1" x14ac:dyDescent="0.25"/>
    <row r="155841" s="12" customFormat="1" x14ac:dyDescent="0.25"/>
    <row r="155842" s="12" customFormat="1" x14ac:dyDescent="0.25"/>
    <row r="155843" s="12" customFormat="1" x14ac:dyDescent="0.25"/>
    <row r="155844" s="12" customFormat="1" x14ac:dyDescent="0.25"/>
    <row r="155845" s="12" customFormat="1" x14ac:dyDescent="0.25"/>
    <row r="155846" s="12" customFormat="1" x14ac:dyDescent="0.25"/>
    <row r="155847" s="12" customFormat="1" x14ac:dyDescent="0.25"/>
    <row r="155848" s="12" customFormat="1" x14ac:dyDescent="0.25"/>
    <row r="155849" s="12" customFormat="1" x14ac:dyDescent="0.25"/>
    <row r="155850" s="12" customFormat="1" x14ac:dyDescent="0.25"/>
    <row r="155851" s="12" customFormat="1" x14ac:dyDescent="0.25"/>
    <row r="155852" s="12" customFormat="1" x14ac:dyDescent="0.25"/>
    <row r="155853" s="12" customFormat="1" x14ac:dyDescent="0.25"/>
    <row r="155854" s="12" customFormat="1" x14ac:dyDescent="0.25"/>
    <row r="155855" s="12" customFormat="1" x14ac:dyDescent="0.25"/>
    <row r="155856" s="12" customFormat="1" x14ac:dyDescent="0.25"/>
    <row r="155857" s="12" customFormat="1" x14ac:dyDescent="0.25"/>
    <row r="155858" s="12" customFormat="1" x14ac:dyDescent="0.25"/>
    <row r="155859" s="12" customFormat="1" x14ac:dyDescent="0.25"/>
    <row r="155860" s="12" customFormat="1" x14ac:dyDescent="0.25"/>
    <row r="155861" s="12" customFormat="1" x14ac:dyDescent="0.25"/>
    <row r="155862" s="12" customFormat="1" x14ac:dyDescent="0.25"/>
    <row r="155863" s="12" customFormat="1" x14ac:dyDescent="0.25"/>
    <row r="155864" s="12" customFormat="1" x14ac:dyDescent="0.25"/>
    <row r="155865" s="12" customFormat="1" x14ac:dyDescent="0.25"/>
    <row r="155866" s="12" customFormat="1" x14ac:dyDescent="0.25"/>
    <row r="155867" s="12" customFormat="1" x14ac:dyDescent="0.25"/>
    <row r="155868" s="12" customFormat="1" x14ac:dyDescent="0.25"/>
    <row r="155869" s="12" customFormat="1" x14ac:dyDescent="0.25"/>
    <row r="155870" s="12" customFormat="1" x14ac:dyDescent="0.25"/>
    <row r="155871" s="12" customFormat="1" x14ac:dyDescent="0.25"/>
    <row r="155872" s="12" customFormat="1" x14ac:dyDescent="0.25"/>
    <row r="155873" s="12" customFormat="1" x14ac:dyDescent="0.25"/>
    <row r="155874" s="12" customFormat="1" x14ac:dyDescent="0.25"/>
    <row r="155875" s="12" customFormat="1" x14ac:dyDescent="0.25"/>
    <row r="155876" s="12" customFormat="1" x14ac:dyDescent="0.25"/>
    <row r="155877" s="12" customFormat="1" x14ac:dyDescent="0.25"/>
    <row r="155878" s="12" customFormat="1" x14ac:dyDescent="0.25"/>
    <row r="155879" s="12" customFormat="1" x14ac:dyDescent="0.25"/>
    <row r="155880" s="12" customFormat="1" x14ac:dyDescent="0.25"/>
    <row r="155881" s="12" customFormat="1" x14ac:dyDescent="0.25"/>
    <row r="155882" s="12" customFormat="1" x14ac:dyDescent="0.25"/>
    <row r="155883" s="12" customFormat="1" x14ac:dyDescent="0.25"/>
    <row r="155884" s="12" customFormat="1" x14ac:dyDescent="0.25"/>
    <row r="155885" s="12" customFormat="1" x14ac:dyDescent="0.25"/>
    <row r="155886" s="12" customFormat="1" x14ac:dyDescent="0.25"/>
    <row r="155887" s="12" customFormat="1" x14ac:dyDescent="0.25"/>
    <row r="155888" s="12" customFormat="1" x14ac:dyDescent="0.25"/>
    <row r="155889" s="12" customFormat="1" x14ac:dyDescent="0.25"/>
    <row r="155890" s="12" customFormat="1" x14ac:dyDescent="0.25"/>
    <row r="155891" s="12" customFormat="1" x14ac:dyDescent="0.25"/>
    <row r="155892" s="12" customFormat="1" x14ac:dyDescent="0.25"/>
    <row r="155893" s="12" customFormat="1" x14ac:dyDescent="0.25"/>
    <row r="155894" s="12" customFormat="1" x14ac:dyDescent="0.25"/>
    <row r="155895" s="12" customFormat="1" x14ac:dyDescent="0.25"/>
    <row r="155896" s="12" customFormat="1" x14ac:dyDescent="0.25"/>
    <row r="155897" s="12" customFormat="1" x14ac:dyDescent="0.25"/>
    <row r="155898" s="12" customFormat="1" x14ac:dyDescent="0.25"/>
    <row r="155899" s="12" customFormat="1" x14ac:dyDescent="0.25"/>
    <row r="155900" s="12" customFormat="1" x14ac:dyDescent="0.25"/>
    <row r="155901" s="12" customFormat="1" x14ac:dyDescent="0.25"/>
    <row r="155902" s="12" customFormat="1" x14ac:dyDescent="0.25"/>
    <row r="155903" s="12" customFormat="1" x14ac:dyDescent="0.25"/>
    <row r="155904" s="12" customFormat="1" x14ac:dyDescent="0.25"/>
    <row r="155905" s="12" customFormat="1" x14ac:dyDescent="0.25"/>
    <row r="155906" s="12" customFormat="1" x14ac:dyDescent="0.25"/>
    <row r="155907" s="12" customFormat="1" x14ac:dyDescent="0.25"/>
    <row r="155908" s="12" customFormat="1" x14ac:dyDescent="0.25"/>
    <row r="155909" s="12" customFormat="1" x14ac:dyDescent="0.25"/>
    <row r="155910" s="12" customFormat="1" x14ac:dyDescent="0.25"/>
    <row r="155911" s="12" customFormat="1" x14ac:dyDescent="0.25"/>
    <row r="155912" s="12" customFormat="1" x14ac:dyDescent="0.25"/>
    <row r="155913" s="12" customFormat="1" x14ac:dyDescent="0.25"/>
    <row r="155914" s="12" customFormat="1" x14ac:dyDescent="0.25"/>
    <row r="155915" s="12" customFormat="1" x14ac:dyDescent="0.25"/>
    <row r="155916" s="12" customFormat="1" x14ac:dyDescent="0.25"/>
    <row r="155917" s="12" customFormat="1" x14ac:dyDescent="0.25"/>
    <row r="155918" s="12" customFormat="1" x14ac:dyDescent="0.25"/>
    <row r="155919" s="12" customFormat="1" x14ac:dyDescent="0.25"/>
    <row r="155920" s="12" customFormat="1" x14ac:dyDescent="0.25"/>
    <row r="155921" s="12" customFormat="1" x14ac:dyDescent="0.25"/>
    <row r="155922" s="12" customFormat="1" x14ac:dyDescent="0.25"/>
    <row r="155923" s="12" customFormat="1" x14ac:dyDescent="0.25"/>
    <row r="155924" s="12" customFormat="1" x14ac:dyDescent="0.25"/>
    <row r="155925" s="12" customFormat="1" x14ac:dyDescent="0.25"/>
    <row r="155926" s="12" customFormat="1" x14ac:dyDescent="0.25"/>
    <row r="155927" s="12" customFormat="1" x14ac:dyDescent="0.25"/>
    <row r="155928" s="12" customFormat="1" x14ac:dyDescent="0.25"/>
    <row r="155929" s="12" customFormat="1" x14ac:dyDescent="0.25"/>
    <row r="155930" s="12" customFormat="1" x14ac:dyDescent="0.25"/>
    <row r="155931" s="12" customFormat="1" x14ac:dyDescent="0.25"/>
    <row r="155932" s="12" customFormat="1" x14ac:dyDescent="0.25"/>
    <row r="155933" s="12" customFormat="1" x14ac:dyDescent="0.25"/>
    <row r="155934" s="12" customFormat="1" x14ac:dyDescent="0.25"/>
    <row r="155935" s="12" customFormat="1" x14ac:dyDescent="0.25"/>
    <row r="155936" s="12" customFormat="1" x14ac:dyDescent="0.25"/>
    <row r="155937" s="12" customFormat="1" x14ac:dyDescent="0.25"/>
    <row r="155938" s="12" customFormat="1" x14ac:dyDescent="0.25"/>
    <row r="155939" s="12" customFormat="1" x14ac:dyDescent="0.25"/>
    <row r="155940" s="12" customFormat="1" x14ac:dyDescent="0.25"/>
    <row r="155941" s="12" customFormat="1" x14ac:dyDescent="0.25"/>
    <row r="155942" s="12" customFormat="1" x14ac:dyDescent="0.25"/>
    <row r="155943" s="12" customFormat="1" x14ac:dyDescent="0.25"/>
    <row r="155944" s="12" customFormat="1" x14ac:dyDescent="0.25"/>
    <row r="155945" s="12" customFormat="1" x14ac:dyDescent="0.25"/>
    <row r="155946" s="12" customFormat="1" x14ac:dyDescent="0.25"/>
    <row r="155947" s="12" customFormat="1" x14ac:dyDescent="0.25"/>
    <row r="155948" s="12" customFormat="1" x14ac:dyDescent="0.25"/>
    <row r="155949" s="12" customFormat="1" x14ac:dyDescent="0.25"/>
    <row r="155950" s="12" customFormat="1" x14ac:dyDescent="0.25"/>
    <row r="155951" s="12" customFormat="1" x14ac:dyDescent="0.25"/>
    <row r="155952" s="12" customFormat="1" x14ac:dyDescent="0.25"/>
    <row r="155953" s="12" customFormat="1" x14ac:dyDescent="0.25"/>
    <row r="155954" s="12" customFormat="1" x14ac:dyDescent="0.25"/>
    <row r="155955" s="12" customFormat="1" x14ac:dyDescent="0.25"/>
    <row r="155956" s="12" customFormat="1" x14ac:dyDescent="0.25"/>
    <row r="155957" s="12" customFormat="1" x14ac:dyDescent="0.25"/>
    <row r="155958" s="12" customFormat="1" x14ac:dyDescent="0.25"/>
    <row r="155959" s="12" customFormat="1" x14ac:dyDescent="0.25"/>
    <row r="155960" s="12" customFormat="1" x14ac:dyDescent="0.25"/>
    <row r="155961" s="12" customFormat="1" x14ac:dyDescent="0.25"/>
    <row r="155962" s="12" customFormat="1" x14ac:dyDescent="0.25"/>
    <row r="155963" s="12" customFormat="1" x14ac:dyDescent="0.25"/>
    <row r="155964" s="12" customFormat="1" x14ac:dyDescent="0.25"/>
    <row r="155965" s="12" customFormat="1" x14ac:dyDescent="0.25"/>
    <row r="155966" s="12" customFormat="1" x14ac:dyDescent="0.25"/>
    <row r="155967" s="12" customFormat="1" x14ac:dyDescent="0.25"/>
    <row r="155968" s="12" customFormat="1" x14ac:dyDescent="0.25"/>
    <row r="155969" s="12" customFormat="1" x14ac:dyDescent="0.25"/>
    <row r="155970" s="12" customFormat="1" x14ac:dyDescent="0.25"/>
    <row r="155971" s="12" customFormat="1" x14ac:dyDescent="0.25"/>
    <row r="155972" s="12" customFormat="1" x14ac:dyDescent="0.25"/>
    <row r="155973" s="12" customFormat="1" x14ac:dyDescent="0.25"/>
    <row r="155974" s="12" customFormat="1" x14ac:dyDescent="0.25"/>
    <row r="155975" s="12" customFormat="1" x14ac:dyDescent="0.25"/>
    <row r="155976" s="12" customFormat="1" x14ac:dyDescent="0.25"/>
    <row r="155977" s="12" customFormat="1" x14ac:dyDescent="0.25"/>
    <row r="155978" s="12" customFormat="1" x14ac:dyDescent="0.25"/>
    <row r="155979" s="12" customFormat="1" x14ac:dyDescent="0.25"/>
    <row r="155980" s="12" customFormat="1" x14ac:dyDescent="0.25"/>
    <row r="155981" s="12" customFormat="1" x14ac:dyDescent="0.25"/>
    <row r="155982" s="12" customFormat="1" x14ac:dyDescent="0.25"/>
    <row r="155983" s="12" customFormat="1" x14ac:dyDescent="0.25"/>
    <row r="155984" s="12" customFormat="1" x14ac:dyDescent="0.25"/>
    <row r="155985" s="12" customFormat="1" x14ac:dyDescent="0.25"/>
    <row r="155986" s="12" customFormat="1" x14ac:dyDescent="0.25"/>
    <row r="155987" s="12" customFormat="1" x14ac:dyDescent="0.25"/>
    <row r="155988" s="12" customFormat="1" x14ac:dyDescent="0.25"/>
    <row r="155989" s="12" customFormat="1" x14ac:dyDescent="0.25"/>
    <row r="155990" s="12" customFormat="1" x14ac:dyDescent="0.25"/>
    <row r="155991" s="12" customFormat="1" x14ac:dyDescent="0.25"/>
    <row r="155992" s="12" customFormat="1" x14ac:dyDescent="0.25"/>
    <row r="155993" s="12" customFormat="1" x14ac:dyDescent="0.25"/>
    <row r="155994" s="12" customFormat="1" x14ac:dyDescent="0.25"/>
    <row r="155995" s="12" customFormat="1" x14ac:dyDescent="0.25"/>
    <row r="155996" s="12" customFormat="1" x14ac:dyDescent="0.25"/>
    <row r="155997" s="12" customFormat="1" x14ac:dyDescent="0.25"/>
    <row r="155998" s="12" customFormat="1" x14ac:dyDescent="0.25"/>
    <row r="155999" s="12" customFormat="1" x14ac:dyDescent="0.25"/>
    <row r="156000" s="12" customFormat="1" x14ac:dyDescent="0.25"/>
    <row r="156001" s="12" customFormat="1" x14ac:dyDescent="0.25"/>
    <row r="156002" s="12" customFormat="1" x14ac:dyDescent="0.25"/>
    <row r="156003" s="12" customFormat="1" x14ac:dyDescent="0.25"/>
    <row r="156004" s="12" customFormat="1" x14ac:dyDescent="0.25"/>
    <row r="156005" s="12" customFormat="1" x14ac:dyDescent="0.25"/>
    <row r="156006" s="12" customFormat="1" x14ac:dyDescent="0.25"/>
    <row r="156007" s="12" customFormat="1" x14ac:dyDescent="0.25"/>
    <row r="156008" s="12" customFormat="1" x14ac:dyDescent="0.25"/>
    <row r="156009" s="12" customFormat="1" x14ac:dyDescent="0.25"/>
    <row r="156010" s="12" customFormat="1" x14ac:dyDescent="0.25"/>
    <row r="156011" s="12" customFormat="1" x14ac:dyDescent="0.25"/>
    <row r="156012" s="12" customFormat="1" x14ac:dyDescent="0.25"/>
    <row r="156013" s="12" customFormat="1" x14ac:dyDescent="0.25"/>
    <row r="156014" s="12" customFormat="1" x14ac:dyDescent="0.25"/>
    <row r="156015" s="12" customFormat="1" x14ac:dyDescent="0.25"/>
    <row r="156016" s="12" customFormat="1" x14ac:dyDescent="0.25"/>
    <row r="156017" s="12" customFormat="1" x14ac:dyDescent="0.25"/>
    <row r="156018" s="12" customFormat="1" x14ac:dyDescent="0.25"/>
    <row r="156019" s="12" customFormat="1" x14ac:dyDescent="0.25"/>
    <row r="156020" s="12" customFormat="1" x14ac:dyDescent="0.25"/>
    <row r="156021" s="12" customFormat="1" x14ac:dyDescent="0.25"/>
    <row r="156022" s="12" customFormat="1" x14ac:dyDescent="0.25"/>
    <row r="156023" s="12" customFormat="1" x14ac:dyDescent="0.25"/>
    <row r="156024" s="12" customFormat="1" x14ac:dyDescent="0.25"/>
    <row r="156025" s="12" customFormat="1" x14ac:dyDescent="0.25"/>
    <row r="156026" s="12" customFormat="1" x14ac:dyDescent="0.25"/>
    <row r="156027" s="12" customFormat="1" x14ac:dyDescent="0.25"/>
    <row r="156028" s="12" customFormat="1" x14ac:dyDescent="0.25"/>
    <row r="156029" s="12" customFormat="1" x14ac:dyDescent="0.25"/>
    <row r="156030" s="12" customFormat="1" x14ac:dyDescent="0.25"/>
    <row r="156031" s="12" customFormat="1" x14ac:dyDescent="0.25"/>
    <row r="156032" s="12" customFormat="1" x14ac:dyDescent="0.25"/>
    <row r="156033" s="12" customFormat="1" x14ac:dyDescent="0.25"/>
    <row r="156034" s="12" customFormat="1" x14ac:dyDescent="0.25"/>
    <row r="156035" s="12" customFormat="1" x14ac:dyDescent="0.25"/>
    <row r="156036" s="12" customFormat="1" x14ac:dyDescent="0.25"/>
    <row r="156037" s="12" customFormat="1" x14ac:dyDescent="0.25"/>
    <row r="156038" s="12" customFormat="1" x14ac:dyDescent="0.25"/>
    <row r="156039" s="12" customFormat="1" x14ac:dyDescent="0.25"/>
    <row r="156040" s="12" customFormat="1" x14ac:dyDescent="0.25"/>
    <row r="156041" s="12" customFormat="1" x14ac:dyDescent="0.25"/>
    <row r="156042" s="12" customFormat="1" x14ac:dyDescent="0.25"/>
    <row r="156043" s="12" customFormat="1" x14ac:dyDescent="0.25"/>
    <row r="156044" s="12" customFormat="1" x14ac:dyDescent="0.25"/>
    <row r="156045" s="12" customFormat="1" x14ac:dyDescent="0.25"/>
    <row r="156046" s="12" customFormat="1" x14ac:dyDescent="0.25"/>
    <row r="156047" s="12" customFormat="1" x14ac:dyDescent="0.25"/>
    <row r="156048" s="12" customFormat="1" x14ac:dyDescent="0.25"/>
    <row r="156049" s="12" customFormat="1" x14ac:dyDescent="0.25"/>
    <row r="156050" s="12" customFormat="1" x14ac:dyDescent="0.25"/>
    <row r="156051" s="12" customFormat="1" x14ac:dyDescent="0.25"/>
    <row r="156052" s="12" customFormat="1" x14ac:dyDescent="0.25"/>
    <row r="156053" s="12" customFormat="1" x14ac:dyDescent="0.25"/>
    <row r="156054" s="12" customFormat="1" x14ac:dyDescent="0.25"/>
    <row r="156055" s="12" customFormat="1" x14ac:dyDescent="0.25"/>
    <row r="156056" s="12" customFormat="1" x14ac:dyDescent="0.25"/>
    <row r="156057" s="12" customFormat="1" x14ac:dyDescent="0.25"/>
    <row r="156058" s="12" customFormat="1" x14ac:dyDescent="0.25"/>
    <row r="156059" s="12" customFormat="1" x14ac:dyDescent="0.25"/>
    <row r="156060" s="12" customFormat="1" x14ac:dyDescent="0.25"/>
    <row r="156061" s="12" customFormat="1" x14ac:dyDescent="0.25"/>
    <row r="156062" s="12" customFormat="1" x14ac:dyDescent="0.25"/>
    <row r="156063" s="12" customFormat="1" x14ac:dyDescent="0.25"/>
    <row r="156064" s="12" customFormat="1" x14ac:dyDescent="0.25"/>
    <row r="156065" s="12" customFormat="1" x14ac:dyDescent="0.25"/>
    <row r="156066" s="12" customFormat="1" x14ac:dyDescent="0.25"/>
    <row r="156067" s="12" customFormat="1" x14ac:dyDescent="0.25"/>
    <row r="156068" s="12" customFormat="1" x14ac:dyDescent="0.25"/>
    <row r="156069" s="12" customFormat="1" x14ac:dyDescent="0.25"/>
    <row r="156070" s="12" customFormat="1" x14ac:dyDescent="0.25"/>
    <row r="156071" s="12" customFormat="1" x14ac:dyDescent="0.25"/>
    <row r="156072" s="12" customFormat="1" x14ac:dyDescent="0.25"/>
    <row r="156073" s="12" customFormat="1" x14ac:dyDescent="0.25"/>
    <row r="156074" s="12" customFormat="1" x14ac:dyDescent="0.25"/>
    <row r="156075" s="12" customFormat="1" x14ac:dyDescent="0.25"/>
    <row r="156076" s="12" customFormat="1" x14ac:dyDescent="0.25"/>
    <row r="156077" s="12" customFormat="1" x14ac:dyDescent="0.25"/>
    <row r="156078" s="12" customFormat="1" x14ac:dyDescent="0.25"/>
    <row r="156079" s="12" customFormat="1" x14ac:dyDescent="0.25"/>
    <row r="156080" s="12" customFormat="1" x14ac:dyDescent="0.25"/>
    <row r="156081" s="12" customFormat="1" x14ac:dyDescent="0.25"/>
    <row r="156082" s="12" customFormat="1" x14ac:dyDescent="0.25"/>
    <row r="156083" s="12" customFormat="1" x14ac:dyDescent="0.25"/>
    <row r="156084" s="12" customFormat="1" x14ac:dyDescent="0.25"/>
    <row r="156085" s="12" customFormat="1" x14ac:dyDescent="0.25"/>
    <row r="156086" s="12" customFormat="1" x14ac:dyDescent="0.25"/>
    <row r="156087" s="12" customFormat="1" x14ac:dyDescent="0.25"/>
    <row r="156088" s="12" customFormat="1" x14ac:dyDescent="0.25"/>
    <row r="156089" s="12" customFormat="1" x14ac:dyDescent="0.25"/>
    <row r="156090" s="12" customFormat="1" x14ac:dyDescent="0.25"/>
    <row r="156091" s="12" customFormat="1" x14ac:dyDescent="0.25"/>
    <row r="156092" s="12" customFormat="1" x14ac:dyDescent="0.25"/>
    <row r="156093" s="12" customFormat="1" x14ac:dyDescent="0.25"/>
    <row r="156094" s="12" customFormat="1" x14ac:dyDescent="0.25"/>
    <row r="156095" s="12" customFormat="1" x14ac:dyDescent="0.25"/>
    <row r="156096" s="12" customFormat="1" x14ac:dyDescent="0.25"/>
    <row r="156097" s="12" customFormat="1" x14ac:dyDescent="0.25"/>
    <row r="156098" s="12" customFormat="1" x14ac:dyDescent="0.25"/>
    <row r="156099" s="12" customFormat="1" x14ac:dyDescent="0.25"/>
    <row r="156100" s="12" customFormat="1" x14ac:dyDescent="0.25"/>
    <row r="156101" s="12" customFormat="1" x14ac:dyDescent="0.25"/>
    <row r="156102" s="12" customFormat="1" x14ac:dyDescent="0.25"/>
    <row r="156103" s="12" customFormat="1" x14ac:dyDescent="0.25"/>
    <row r="156104" s="12" customFormat="1" x14ac:dyDescent="0.25"/>
    <row r="156105" s="12" customFormat="1" x14ac:dyDescent="0.25"/>
    <row r="156106" s="12" customFormat="1" x14ac:dyDescent="0.25"/>
    <row r="156107" s="12" customFormat="1" x14ac:dyDescent="0.25"/>
    <row r="156108" s="12" customFormat="1" x14ac:dyDescent="0.25"/>
    <row r="156109" s="12" customFormat="1" x14ac:dyDescent="0.25"/>
    <row r="156110" s="12" customFormat="1" x14ac:dyDescent="0.25"/>
    <row r="156111" s="12" customFormat="1" x14ac:dyDescent="0.25"/>
    <row r="156112" s="12" customFormat="1" x14ac:dyDescent="0.25"/>
    <row r="156113" s="12" customFormat="1" x14ac:dyDescent="0.25"/>
    <row r="156114" s="12" customFormat="1" x14ac:dyDescent="0.25"/>
    <row r="156115" s="12" customFormat="1" x14ac:dyDescent="0.25"/>
    <row r="156116" s="12" customFormat="1" x14ac:dyDescent="0.25"/>
    <row r="156117" s="12" customFormat="1" x14ac:dyDescent="0.25"/>
    <row r="156118" s="12" customFormat="1" x14ac:dyDescent="0.25"/>
    <row r="156119" s="12" customFormat="1" x14ac:dyDescent="0.25"/>
    <row r="156120" s="12" customFormat="1" x14ac:dyDescent="0.25"/>
    <row r="156121" s="12" customFormat="1" x14ac:dyDescent="0.25"/>
    <row r="156122" s="12" customFormat="1" x14ac:dyDescent="0.25"/>
    <row r="156123" s="12" customFormat="1" x14ac:dyDescent="0.25"/>
    <row r="156124" s="12" customFormat="1" x14ac:dyDescent="0.25"/>
    <row r="156125" s="12" customFormat="1" x14ac:dyDescent="0.25"/>
    <row r="156126" s="12" customFormat="1" x14ac:dyDescent="0.25"/>
    <row r="156127" s="12" customFormat="1" x14ac:dyDescent="0.25"/>
    <row r="156128" s="12" customFormat="1" x14ac:dyDescent="0.25"/>
    <row r="156129" s="12" customFormat="1" x14ac:dyDescent="0.25"/>
    <row r="156130" s="12" customFormat="1" x14ac:dyDescent="0.25"/>
    <row r="156131" s="12" customFormat="1" x14ac:dyDescent="0.25"/>
    <row r="156132" s="12" customFormat="1" x14ac:dyDescent="0.25"/>
    <row r="156133" s="12" customFormat="1" x14ac:dyDescent="0.25"/>
    <row r="156134" s="12" customFormat="1" x14ac:dyDescent="0.25"/>
    <row r="156135" s="12" customFormat="1" x14ac:dyDescent="0.25"/>
    <row r="156136" s="12" customFormat="1" x14ac:dyDescent="0.25"/>
    <row r="156137" s="12" customFormat="1" x14ac:dyDescent="0.25"/>
    <row r="156138" s="12" customFormat="1" x14ac:dyDescent="0.25"/>
    <row r="156139" s="12" customFormat="1" x14ac:dyDescent="0.25"/>
    <row r="156140" s="12" customFormat="1" x14ac:dyDescent="0.25"/>
    <row r="156141" s="12" customFormat="1" x14ac:dyDescent="0.25"/>
    <row r="156142" s="12" customFormat="1" x14ac:dyDescent="0.25"/>
    <row r="156143" s="12" customFormat="1" x14ac:dyDescent="0.25"/>
    <row r="156144" s="12" customFormat="1" x14ac:dyDescent="0.25"/>
    <row r="156145" s="12" customFormat="1" x14ac:dyDescent="0.25"/>
    <row r="156146" s="12" customFormat="1" x14ac:dyDescent="0.25"/>
    <row r="156147" s="12" customFormat="1" x14ac:dyDescent="0.25"/>
    <row r="156148" s="12" customFormat="1" x14ac:dyDescent="0.25"/>
    <row r="156149" s="12" customFormat="1" x14ac:dyDescent="0.25"/>
    <row r="156150" s="12" customFormat="1" x14ac:dyDescent="0.25"/>
    <row r="156151" s="12" customFormat="1" x14ac:dyDescent="0.25"/>
    <row r="156152" s="12" customFormat="1" x14ac:dyDescent="0.25"/>
    <row r="156153" s="12" customFormat="1" x14ac:dyDescent="0.25"/>
    <row r="156154" s="12" customFormat="1" x14ac:dyDescent="0.25"/>
    <row r="156155" s="12" customFormat="1" x14ac:dyDescent="0.25"/>
    <row r="156156" s="12" customFormat="1" x14ac:dyDescent="0.25"/>
    <row r="156157" s="12" customFormat="1" x14ac:dyDescent="0.25"/>
    <row r="156158" s="12" customFormat="1" x14ac:dyDescent="0.25"/>
    <row r="156159" s="12" customFormat="1" x14ac:dyDescent="0.25"/>
    <row r="156160" s="12" customFormat="1" x14ac:dyDescent="0.25"/>
    <row r="156161" s="12" customFormat="1" x14ac:dyDescent="0.25"/>
    <row r="156162" s="12" customFormat="1" x14ac:dyDescent="0.25"/>
    <row r="156163" s="12" customFormat="1" x14ac:dyDescent="0.25"/>
    <row r="156164" s="12" customFormat="1" x14ac:dyDescent="0.25"/>
    <row r="156165" s="12" customFormat="1" x14ac:dyDescent="0.25"/>
    <row r="156166" s="12" customFormat="1" x14ac:dyDescent="0.25"/>
    <row r="156167" s="12" customFormat="1" x14ac:dyDescent="0.25"/>
    <row r="156168" s="12" customFormat="1" x14ac:dyDescent="0.25"/>
    <row r="156169" s="12" customFormat="1" x14ac:dyDescent="0.25"/>
    <row r="156170" s="12" customFormat="1" x14ac:dyDescent="0.25"/>
    <row r="156171" s="12" customFormat="1" x14ac:dyDescent="0.25"/>
    <row r="156172" s="12" customFormat="1" x14ac:dyDescent="0.25"/>
    <row r="156173" s="12" customFormat="1" x14ac:dyDescent="0.25"/>
    <row r="156174" s="12" customFormat="1" x14ac:dyDescent="0.25"/>
    <row r="156175" s="12" customFormat="1" x14ac:dyDescent="0.25"/>
    <row r="156176" s="12" customFormat="1" x14ac:dyDescent="0.25"/>
    <row r="156177" s="12" customFormat="1" x14ac:dyDescent="0.25"/>
    <row r="156178" s="12" customFormat="1" x14ac:dyDescent="0.25"/>
    <row r="156179" s="12" customFormat="1" x14ac:dyDescent="0.25"/>
    <row r="156180" s="12" customFormat="1" x14ac:dyDescent="0.25"/>
    <row r="156181" s="12" customFormat="1" x14ac:dyDescent="0.25"/>
    <row r="156182" s="12" customFormat="1" x14ac:dyDescent="0.25"/>
    <row r="156183" s="12" customFormat="1" x14ac:dyDescent="0.25"/>
    <row r="156184" s="12" customFormat="1" x14ac:dyDescent="0.25"/>
    <row r="156185" s="12" customFormat="1" x14ac:dyDescent="0.25"/>
    <row r="156186" s="12" customFormat="1" x14ac:dyDescent="0.25"/>
    <row r="156187" s="12" customFormat="1" x14ac:dyDescent="0.25"/>
    <row r="156188" s="12" customFormat="1" x14ac:dyDescent="0.25"/>
    <row r="156189" s="12" customFormat="1" x14ac:dyDescent="0.25"/>
    <row r="156190" s="12" customFormat="1" x14ac:dyDescent="0.25"/>
    <row r="156191" s="12" customFormat="1" x14ac:dyDescent="0.25"/>
    <row r="156192" s="12" customFormat="1" x14ac:dyDescent="0.25"/>
    <row r="156193" s="12" customFormat="1" x14ac:dyDescent="0.25"/>
    <row r="156194" s="12" customFormat="1" x14ac:dyDescent="0.25"/>
    <row r="156195" s="12" customFormat="1" x14ac:dyDescent="0.25"/>
    <row r="156196" s="12" customFormat="1" x14ac:dyDescent="0.25"/>
    <row r="156197" s="12" customFormat="1" x14ac:dyDescent="0.25"/>
    <row r="156198" s="12" customFormat="1" x14ac:dyDescent="0.25"/>
    <row r="156199" s="12" customFormat="1" x14ac:dyDescent="0.25"/>
    <row r="156200" s="12" customFormat="1" x14ac:dyDescent="0.25"/>
    <row r="156201" s="12" customFormat="1" x14ac:dyDescent="0.25"/>
    <row r="156202" s="12" customFormat="1" x14ac:dyDescent="0.25"/>
    <row r="156203" s="12" customFormat="1" x14ac:dyDescent="0.25"/>
    <row r="156204" s="12" customFormat="1" x14ac:dyDescent="0.25"/>
    <row r="156205" s="12" customFormat="1" x14ac:dyDescent="0.25"/>
    <row r="156206" s="12" customFormat="1" x14ac:dyDescent="0.25"/>
    <row r="156207" s="12" customFormat="1" x14ac:dyDescent="0.25"/>
    <row r="156208" s="12" customFormat="1" x14ac:dyDescent="0.25"/>
    <row r="156209" s="12" customFormat="1" x14ac:dyDescent="0.25"/>
    <row r="156210" s="12" customFormat="1" x14ac:dyDescent="0.25"/>
    <row r="156211" s="12" customFormat="1" x14ac:dyDescent="0.25"/>
    <row r="156212" s="12" customFormat="1" x14ac:dyDescent="0.25"/>
    <row r="156213" s="12" customFormat="1" x14ac:dyDescent="0.25"/>
    <row r="156214" s="12" customFormat="1" x14ac:dyDescent="0.25"/>
    <row r="156215" s="12" customFormat="1" x14ac:dyDescent="0.25"/>
    <row r="156216" s="12" customFormat="1" x14ac:dyDescent="0.25"/>
    <row r="156217" s="12" customFormat="1" x14ac:dyDescent="0.25"/>
    <row r="156218" s="12" customFormat="1" x14ac:dyDescent="0.25"/>
    <row r="156219" s="12" customFormat="1" x14ac:dyDescent="0.25"/>
    <row r="156220" s="12" customFormat="1" x14ac:dyDescent="0.25"/>
    <row r="156221" s="12" customFormat="1" x14ac:dyDescent="0.25"/>
    <row r="156222" s="12" customFormat="1" x14ac:dyDescent="0.25"/>
    <row r="156223" s="12" customFormat="1" x14ac:dyDescent="0.25"/>
    <row r="156224" s="12" customFormat="1" x14ac:dyDescent="0.25"/>
    <row r="156225" s="12" customFormat="1" x14ac:dyDescent="0.25"/>
    <row r="156226" s="12" customFormat="1" x14ac:dyDescent="0.25"/>
    <row r="156227" s="12" customFormat="1" x14ac:dyDescent="0.25"/>
    <row r="156228" s="12" customFormat="1" x14ac:dyDescent="0.25"/>
    <row r="156229" s="12" customFormat="1" x14ac:dyDescent="0.25"/>
    <row r="156230" s="12" customFormat="1" x14ac:dyDescent="0.25"/>
    <row r="156231" s="12" customFormat="1" x14ac:dyDescent="0.25"/>
    <row r="156232" s="12" customFormat="1" x14ac:dyDescent="0.25"/>
    <row r="156233" s="12" customFormat="1" x14ac:dyDescent="0.25"/>
    <row r="156234" s="12" customFormat="1" x14ac:dyDescent="0.25"/>
    <row r="156235" s="12" customFormat="1" x14ac:dyDescent="0.25"/>
    <row r="156236" s="12" customFormat="1" x14ac:dyDescent="0.25"/>
    <row r="156237" s="12" customFormat="1" x14ac:dyDescent="0.25"/>
    <row r="156238" s="12" customFormat="1" x14ac:dyDescent="0.25"/>
    <row r="156239" s="12" customFormat="1" x14ac:dyDescent="0.25"/>
    <row r="156240" s="12" customFormat="1" x14ac:dyDescent="0.25"/>
    <row r="156241" s="12" customFormat="1" x14ac:dyDescent="0.25"/>
    <row r="156242" s="12" customFormat="1" x14ac:dyDescent="0.25"/>
    <row r="156243" s="12" customFormat="1" x14ac:dyDescent="0.25"/>
    <row r="156244" s="12" customFormat="1" x14ac:dyDescent="0.25"/>
    <row r="156245" s="12" customFormat="1" x14ac:dyDescent="0.25"/>
    <row r="156246" s="12" customFormat="1" x14ac:dyDescent="0.25"/>
    <row r="156247" s="12" customFormat="1" x14ac:dyDescent="0.25"/>
    <row r="156248" s="12" customFormat="1" x14ac:dyDescent="0.25"/>
    <row r="156249" s="12" customFormat="1" x14ac:dyDescent="0.25"/>
    <row r="156250" s="12" customFormat="1" x14ac:dyDescent="0.25"/>
    <row r="156251" s="12" customFormat="1" x14ac:dyDescent="0.25"/>
    <row r="156252" s="12" customFormat="1" x14ac:dyDescent="0.25"/>
    <row r="156253" s="12" customFormat="1" x14ac:dyDescent="0.25"/>
    <row r="156254" s="12" customFormat="1" x14ac:dyDescent="0.25"/>
    <row r="156255" s="12" customFormat="1" x14ac:dyDescent="0.25"/>
    <row r="156256" s="12" customFormat="1" x14ac:dyDescent="0.25"/>
    <row r="156257" s="12" customFormat="1" x14ac:dyDescent="0.25"/>
    <row r="156258" s="12" customFormat="1" x14ac:dyDescent="0.25"/>
    <row r="156259" s="12" customFormat="1" x14ac:dyDescent="0.25"/>
    <row r="156260" s="12" customFormat="1" x14ac:dyDescent="0.25"/>
    <row r="156261" s="12" customFormat="1" x14ac:dyDescent="0.25"/>
    <row r="156262" s="12" customFormat="1" x14ac:dyDescent="0.25"/>
    <row r="156263" s="12" customFormat="1" x14ac:dyDescent="0.25"/>
    <row r="156264" s="12" customFormat="1" x14ac:dyDescent="0.25"/>
    <row r="156265" s="12" customFormat="1" x14ac:dyDescent="0.25"/>
    <row r="156266" s="12" customFormat="1" x14ac:dyDescent="0.25"/>
    <row r="156267" s="12" customFormat="1" x14ac:dyDescent="0.25"/>
    <row r="156268" s="12" customFormat="1" x14ac:dyDescent="0.25"/>
    <row r="156269" s="12" customFormat="1" x14ac:dyDescent="0.25"/>
    <row r="156270" s="12" customFormat="1" x14ac:dyDescent="0.25"/>
    <row r="156271" s="12" customFormat="1" x14ac:dyDescent="0.25"/>
    <row r="156272" s="12" customFormat="1" x14ac:dyDescent="0.25"/>
    <row r="156273" s="12" customFormat="1" x14ac:dyDescent="0.25"/>
    <row r="156274" s="12" customFormat="1" x14ac:dyDescent="0.25"/>
    <row r="156275" s="12" customFormat="1" x14ac:dyDescent="0.25"/>
    <row r="156276" s="12" customFormat="1" x14ac:dyDescent="0.25"/>
    <row r="156277" s="12" customFormat="1" x14ac:dyDescent="0.25"/>
    <row r="156278" s="12" customFormat="1" x14ac:dyDescent="0.25"/>
    <row r="156279" s="12" customFormat="1" x14ac:dyDescent="0.25"/>
    <row r="156280" s="12" customFormat="1" x14ac:dyDescent="0.25"/>
    <row r="156281" s="12" customFormat="1" x14ac:dyDescent="0.25"/>
    <row r="156282" s="12" customFormat="1" x14ac:dyDescent="0.25"/>
    <row r="156283" s="12" customFormat="1" x14ac:dyDescent="0.25"/>
    <row r="156284" s="12" customFormat="1" x14ac:dyDescent="0.25"/>
    <row r="156285" s="12" customFormat="1" x14ac:dyDescent="0.25"/>
    <row r="156286" s="12" customFormat="1" x14ac:dyDescent="0.25"/>
    <row r="156287" s="12" customFormat="1" x14ac:dyDescent="0.25"/>
    <row r="156288" s="12" customFormat="1" x14ac:dyDescent="0.25"/>
    <row r="156289" s="12" customFormat="1" x14ac:dyDescent="0.25"/>
    <row r="156290" s="12" customFormat="1" x14ac:dyDescent="0.25"/>
    <row r="156291" s="12" customFormat="1" x14ac:dyDescent="0.25"/>
    <row r="156292" s="12" customFormat="1" x14ac:dyDescent="0.25"/>
    <row r="156293" s="12" customFormat="1" x14ac:dyDescent="0.25"/>
    <row r="156294" s="12" customFormat="1" x14ac:dyDescent="0.25"/>
    <row r="156295" s="12" customFormat="1" x14ac:dyDescent="0.25"/>
    <row r="156296" s="12" customFormat="1" x14ac:dyDescent="0.25"/>
    <row r="156297" s="12" customFormat="1" x14ac:dyDescent="0.25"/>
    <row r="156298" s="12" customFormat="1" x14ac:dyDescent="0.25"/>
    <row r="156299" s="12" customFormat="1" x14ac:dyDescent="0.25"/>
    <row r="156300" s="12" customFormat="1" x14ac:dyDescent="0.25"/>
    <row r="156301" s="12" customFormat="1" x14ac:dyDescent="0.25"/>
    <row r="156302" s="12" customFormat="1" x14ac:dyDescent="0.25"/>
    <row r="156303" s="12" customFormat="1" x14ac:dyDescent="0.25"/>
    <row r="156304" s="12" customFormat="1" x14ac:dyDescent="0.25"/>
    <row r="156305" s="12" customFormat="1" x14ac:dyDescent="0.25"/>
    <row r="156306" s="12" customFormat="1" x14ac:dyDescent="0.25"/>
    <row r="156307" s="12" customFormat="1" x14ac:dyDescent="0.25"/>
    <row r="156308" s="12" customFormat="1" x14ac:dyDescent="0.25"/>
    <row r="156309" s="12" customFormat="1" x14ac:dyDescent="0.25"/>
    <row r="156310" s="12" customFormat="1" x14ac:dyDescent="0.25"/>
    <row r="156311" s="12" customFormat="1" x14ac:dyDescent="0.25"/>
    <row r="156312" s="12" customFormat="1" x14ac:dyDescent="0.25"/>
    <row r="156313" s="12" customFormat="1" x14ac:dyDescent="0.25"/>
    <row r="156314" s="12" customFormat="1" x14ac:dyDescent="0.25"/>
    <row r="156315" s="12" customFormat="1" x14ac:dyDescent="0.25"/>
    <row r="156316" s="12" customFormat="1" x14ac:dyDescent="0.25"/>
    <row r="156317" s="12" customFormat="1" x14ac:dyDescent="0.25"/>
    <row r="156318" s="12" customFormat="1" x14ac:dyDescent="0.25"/>
    <row r="156319" s="12" customFormat="1" x14ac:dyDescent="0.25"/>
    <row r="156320" s="12" customFormat="1" x14ac:dyDescent="0.25"/>
    <row r="156321" s="12" customFormat="1" x14ac:dyDescent="0.25"/>
    <row r="156322" s="12" customFormat="1" x14ac:dyDescent="0.25"/>
    <row r="156323" s="12" customFormat="1" x14ac:dyDescent="0.25"/>
    <row r="156324" s="12" customFormat="1" x14ac:dyDescent="0.25"/>
    <row r="156325" s="12" customFormat="1" x14ac:dyDescent="0.25"/>
    <row r="156326" s="12" customFormat="1" x14ac:dyDescent="0.25"/>
    <row r="156327" s="12" customFormat="1" x14ac:dyDescent="0.25"/>
    <row r="156328" s="12" customFormat="1" x14ac:dyDescent="0.25"/>
    <row r="156329" s="12" customFormat="1" x14ac:dyDescent="0.25"/>
    <row r="156330" s="12" customFormat="1" x14ac:dyDescent="0.25"/>
    <row r="156331" s="12" customFormat="1" x14ac:dyDescent="0.25"/>
    <row r="156332" s="12" customFormat="1" x14ac:dyDescent="0.25"/>
    <row r="156333" s="12" customFormat="1" x14ac:dyDescent="0.25"/>
    <row r="156334" s="12" customFormat="1" x14ac:dyDescent="0.25"/>
    <row r="156335" s="12" customFormat="1" x14ac:dyDescent="0.25"/>
    <row r="156336" s="12" customFormat="1" x14ac:dyDescent="0.25"/>
    <row r="156337" s="12" customFormat="1" x14ac:dyDescent="0.25"/>
    <row r="156338" s="12" customFormat="1" x14ac:dyDescent="0.25"/>
    <row r="156339" s="12" customFormat="1" x14ac:dyDescent="0.25"/>
    <row r="156340" s="12" customFormat="1" x14ac:dyDescent="0.25"/>
    <row r="156341" s="12" customFormat="1" x14ac:dyDescent="0.25"/>
    <row r="156342" s="12" customFormat="1" x14ac:dyDescent="0.25"/>
    <row r="156343" s="12" customFormat="1" x14ac:dyDescent="0.25"/>
    <row r="156344" s="12" customFormat="1" x14ac:dyDescent="0.25"/>
    <row r="156345" s="12" customFormat="1" x14ac:dyDescent="0.25"/>
    <row r="156346" s="12" customFormat="1" x14ac:dyDescent="0.25"/>
    <row r="156347" s="12" customFormat="1" x14ac:dyDescent="0.25"/>
    <row r="156348" s="12" customFormat="1" x14ac:dyDescent="0.25"/>
    <row r="156349" s="12" customFormat="1" x14ac:dyDescent="0.25"/>
    <row r="156350" s="12" customFormat="1" x14ac:dyDescent="0.25"/>
    <row r="156351" s="12" customFormat="1" x14ac:dyDescent="0.25"/>
    <row r="156352" s="12" customFormat="1" x14ac:dyDescent="0.25"/>
    <row r="156353" s="12" customFormat="1" x14ac:dyDescent="0.25"/>
    <row r="156354" s="12" customFormat="1" x14ac:dyDescent="0.25"/>
    <row r="156355" s="12" customFormat="1" x14ac:dyDescent="0.25"/>
    <row r="156356" s="12" customFormat="1" x14ac:dyDescent="0.25"/>
    <row r="156357" s="12" customFormat="1" x14ac:dyDescent="0.25"/>
    <row r="156358" s="12" customFormat="1" x14ac:dyDescent="0.25"/>
    <row r="156359" s="12" customFormat="1" x14ac:dyDescent="0.25"/>
    <row r="156360" s="12" customFormat="1" x14ac:dyDescent="0.25"/>
    <row r="156361" s="12" customFormat="1" x14ac:dyDescent="0.25"/>
    <row r="156362" s="12" customFormat="1" x14ac:dyDescent="0.25"/>
    <row r="156363" s="12" customFormat="1" x14ac:dyDescent="0.25"/>
    <row r="156364" s="12" customFormat="1" x14ac:dyDescent="0.25"/>
    <row r="156365" s="12" customFormat="1" x14ac:dyDescent="0.25"/>
    <row r="156366" s="12" customFormat="1" x14ac:dyDescent="0.25"/>
    <row r="156367" s="12" customFormat="1" x14ac:dyDescent="0.25"/>
    <row r="156368" s="12" customFormat="1" x14ac:dyDescent="0.25"/>
    <row r="156369" s="12" customFormat="1" x14ac:dyDescent="0.25"/>
    <row r="156370" s="12" customFormat="1" x14ac:dyDescent="0.25"/>
    <row r="156371" s="12" customFormat="1" x14ac:dyDescent="0.25"/>
    <row r="156372" s="12" customFormat="1" x14ac:dyDescent="0.25"/>
    <row r="156373" s="12" customFormat="1" x14ac:dyDescent="0.25"/>
    <row r="156374" s="12" customFormat="1" x14ac:dyDescent="0.25"/>
    <row r="156375" s="12" customFormat="1" x14ac:dyDescent="0.25"/>
    <row r="156376" s="12" customFormat="1" x14ac:dyDescent="0.25"/>
    <row r="156377" s="12" customFormat="1" x14ac:dyDescent="0.25"/>
    <row r="156378" s="12" customFormat="1" x14ac:dyDescent="0.25"/>
    <row r="156379" s="12" customFormat="1" x14ac:dyDescent="0.25"/>
    <row r="156380" s="12" customFormat="1" x14ac:dyDescent="0.25"/>
    <row r="156381" s="12" customFormat="1" x14ac:dyDescent="0.25"/>
    <row r="156382" s="12" customFormat="1" x14ac:dyDescent="0.25"/>
    <row r="156383" s="12" customFormat="1" x14ac:dyDescent="0.25"/>
    <row r="156384" s="12" customFormat="1" x14ac:dyDescent="0.25"/>
    <row r="156385" s="12" customFormat="1" x14ac:dyDescent="0.25"/>
    <row r="156386" s="12" customFormat="1" x14ac:dyDescent="0.25"/>
    <row r="156387" s="12" customFormat="1" x14ac:dyDescent="0.25"/>
    <row r="156388" s="12" customFormat="1" x14ac:dyDescent="0.25"/>
    <row r="156389" s="12" customFormat="1" x14ac:dyDescent="0.25"/>
    <row r="156390" s="12" customFormat="1" x14ac:dyDescent="0.25"/>
    <row r="156391" s="12" customFormat="1" x14ac:dyDescent="0.25"/>
    <row r="156392" s="12" customFormat="1" x14ac:dyDescent="0.25"/>
    <row r="156393" s="12" customFormat="1" x14ac:dyDescent="0.25"/>
    <row r="156394" s="12" customFormat="1" x14ac:dyDescent="0.25"/>
    <row r="156395" s="12" customFormat="1" x14ac:dyDescent="0.25"/>
    <row r="156396" s="12" customFormat="1" x14ac:dyDescent="0.25"/>
    <row r="156397" s="12" customFormat="1" x14ac:dyDescent="0.25"/>
    <row r="156398" s="12" customFormat="1" x14ac:dyDescent="0.25"/>
    <row r="156399" s="12" customFormat="1" x14ac:dyDescent="0.25"/>
    <row r="156400" s="12" customFormat="1" x14ac:dyDescent="0.25"/>
    <row r="156401" s="12" customFormat="1" x14ac:dyDescent="0.25"/>
    <row r="156402" s="12" customFormat="1" x14ac:dyDescent="0.25"/>
    <row r="156403" s="12" customFormat="1" x14ac:dyDescent="0.25"/>
    <row r="156404" s="12" customFormat="1" x14ac:dyDescent="0.25"/>
    <row r="156405" s="12" customFormat="1" x14ac:dyDescent="0.25"/>
    <row r="156406" s="12" customFormat="1" x14ac:dyDescent="0.25"/>
    <row r="156407" s="12" customFormat="1" x14ac:dyDescent="0.25"/>
    <row r="156408" s="12" customFormat="1" x14ac:dyDescent="0.25"/>
    <row r="156409" s="12" customFormat="1" x14ac:dyDescent="0.25"/>
    <row r="156410" s="12" customFormat="1" x14ac:dyDescent="0.25"/>
    <row r="156411" s="12" customFormat="1" x14ac:dyDescent="0.25"/>
    <row r="156412" s="12" customFormat="1" x14ac:dyDescent="0.25"/>
    <row r="156413" s="12" customFormat="1" x14ac:dyDescent="0.25"/>
    <row r="156414" s="12" customFormat="1" x14ac:dyDescent="0.25"/>
    <row r="156415" s="12" customFormat="1" x14ac:dyDescent="0.25"/>
    <row r="156416" s="12" customFormat="1" x14ac:dyDescent="0.25"/>
    <row r="156417" s="12" customFormat="1" x14ac:dyDescent="0.25"/>
    <row r="156418" s="12" customFormat="1" x14ac:dyDescent="0.25"/>
    <row r="156419" s="12" customFormat="1" x14ac:dyDescent="0.25"/>
    <row r="156420" s="12" customFormat="1" x14ac:dyDescent="0.25"/>
    <row r="156421" s="12" customFormat="1" x14ac:dyDescent="0.25"/>
    <row r="156422" s="12" customFormat="1" x14ac:dyDescent="0.25"/>
    <row r="156423" s="12" customFormat="1" x14ac:dyDescent="0.25"/>
    <row r="156424" s="12" customFormat="1" x14ac:dyDescent="0.25"/>
    <row r="156425" s="12" customFormat="1" x14ac:dyDescent="0.25"/>
    <row r="156426" s="12" customFormat="1" x14ac:dyDescent="0.25"/>
    <row r="156427" s="12" customFormat="1" x14ac:dyDescent="0.25"/>
    <row r="156428" s="12" customFormat="1" x14ac:dyDescent="0.25"/>
    <row r="156429" s="12" customFormat="1" x14ac:dyDescent="0.25"/>
    <row r="156430" s="12" customFormat="1" x14ac:dyDescent="0.25"/>
    <row r="156431" s="12" customFormat="1" x14ac:dyDescent="0.25"/>
    <row r="156432" s="12" customFormat="1" x14ac:dyDescent="0.25"/>
    <row r="156433" s="12" customFormat="1" x14ac:dyDescent="0.25"/>
    <row r="156434" s="12" customFormat="1" x14ac:dyDescent="0.25"/>
    <row r="156435" s="12" customFormat="1" x14ac:dyDescent="0.25"/>
    <row r="156436" s="12" customFormat="1" x14ac:dyDescent="0.25"/>
    <row r="156437" s="12" customFormat="1" x14ac:dyDescent="0.25"/>
    <row r="156438" s="12" customFormat="1" x14ac:dyDescent="0.25"/>
    <row r="156439" s="12" customFormat="1" x14ac:dyDescent="0.25"/>
    <row r="156440" s="12" customFormat="1" x14ac:dyDescent="0.25"/>
    <row r="156441" s="12" customFormat="1" x14ac:dyDescent="0.25"/>
    <row r="156442" s="12" customFormat="1" x14ac:dyDescent="0.25"/>
    <row r="156443" s="12" customFormat="1" x14ac:dyDescent="0.25"/>
    <row r="156444" s="12" customFormat="1" x14ac:dyDescent="0.25"/>
    <row r="156445" s="12" customFormat="1" x14ac:dyDescent="0.25"/>
    <row r="156446" s="12" customFormat="1" x14ac:dyDescent="0.25"/>
    <row r="156447" s="12" customFormat="1" x14ac:dyDescent="0.25"/>
    <row r="156448" s="12" customFormat="1" x14ac:dyDescent="0.25"/>
    <row r="156449" s="12" customFormat="1" x14ac:dyDescent="0.25"/>
    <row r="156450" s="12" customFormat="1" x14ac:dyDescent="0.25"/>
    <row r="156451" s="12" customFormat="1" x14ac:dyDescent="0.25"/>
    <row r="156452" s="12" customFormat="1" x14ac:dyDescent="0.25"/>
    <row r="156453" s="12" customFormat="1" x14ac:dyDescent="0.25"/>
    <row r="156454" s="12" customFormat="1" x14ac:dyDescent="0.25"/>
    <row r="156455" s="12" customFormat="1" x14ac:dyDescent="0.25"/>
    <row r="156456" s="12" customFormat="1" x14ac:dyDescent="0.25"/>
    <row r="156457" s="12" customFormat="1" x14ac:dyDescent="0.25"/>
    <row r="156458" s="12" customFormat="1" x14ac:dyDescent="0.25"/>
    <row r="156459" s="12" customFormat="1" x14ac:dyDescent="0.25"/>
    <row r="156460" s="12" customFormat="1" x14ac:dyDescent="0.25"/>
    <row r="156461" s="12" customFormat="1" x14ac:dyDescent="0.25"/>
    <row r="156462" s="12" customFormat="1" x14ac:dyDescent="0.25"/>
    <row r="156463" s="12" customFormat="1" x14ac:dyDescent="0.25"/>
    <row r="156464" s="12" customFormat="1" x14ac:dyDescent="0.25"/>
    <row r="156465" s="12" customFormat="1" x14ac:dyDescent="0.25"/>
    <row r="156466" s="12" customFormat="1" x14ac:dyDescent="0.25"/>
    <row r="156467" s="12" customFormat="1" x14ac:dyDescent="0.25"/>
    <row r="156468" s="12" customFormat="1" x14ac:dyDescent="0.25"/>
    <row r="156469" s="12" customFormat="1" x14ac:dyDescent="0.25"/>
    <row r="156470" s="12" customFormat="1" x14ac:dyDescent="0.25"/>
    <row r="156471" s="12" customFormat="1" x14ac:dyDescent="0.25"/>
    <row r="156472" s="12" customFormat="1" x14ac:dyDescent="0.25"/>
    <row r="156473" s="12" customFormat="1" x14ac:dyDescent="0.25"/>
    <row r="156474" s="12" customFormat="1" x14ac:dyDescent="0.25"/>
    <row r="156475" s="12" customFormat="1" x14ac:dyDescent="0.25"/>
    <row r="156476" s="12" customFormat="1" x14ac:dyDescent="0.25"/>
    <row r="156477" s="12" customFormat="1" x14ac:dyDescent="0.25"/>
    <row r="156478" s="12" customFormat="1" x14ac:dyDescent="0.25"/>
    <row r="156479" s="12" customFormat="1" x14ac:dyDescent="0.25"/>
    <row r="156480" s="12" customFormat="1" x14ac:dyDescent="0.25"/>
    <row r="156481" s="12" customFormat="1" x14ac:dyDescent="0.25"/>
    <row r="156482" s="12" customFormat="1" x14ac:dyDescent="0.25"/>
    <row r="156483" s="12" customFormat="1" x14ac:dyDescent="0.25"/>
    <row r="156484" s="12" customFormat="1" x14ac:dyDescent="0.25"/>
    <row r="156485" s="12" customFormat="1" x14ac:dyDescent="0.25"/>
    <row r="156486" s="12" customFormat="1" x14ac:dyDescent="0.25"/>
    <row r="156487" s="12" customFormat="1" x14ac:dyDescent="0.25"/>
    <row r="156488" s="12" customFormat="1" x14ac:dyDescent="0.25"/>
    <row r="156489" s="12" customFormat="1" x14ac:dyDescent="0.25"/>
    <row r="156490" s="12" customFormat="1" x14ac:dyDescent="0.25"/>
    <row r="156491" s="12" customFormat="1" x14ac:dyDescent="0.25"/>
    <row r="156492" s="12" customFormat="1" x14ac:dyDescent="0.25"/>
    <row r="156493" s="12" customFormat="1" x14ac:dyDescent="0.25"/>
    <row r="156494" s="12" customFormat="1" x14ac:dyDescent="0.25"/>
    <row r="156495" s="12" customFormat="1" x14ac:dyDescent="0.25"/>
    <row r="156496" s="12" customFormat="1" x14ac:dyDescent="0.25"/>
    <row r="156497" s="12" customFormat="1" x14ac:dyDescent="0.25"/>
    <row r="156498" s="12" customFormat="1" x14ac:dyDescent="0.25"/>
    <row r="156499" s="12" customFormat="1" x14ac:dyDescent="0.25"/>
    <row r="156500" s="12" customFormat="1" x14ac:dyDescent="0.25"/>
    <row r="156501" s="12" customFormat="1" x14ac:dyDescent="0.25"/>
    <row r="156502" s="12" customFormat="1" x14ac:dyDescent="0.25"/>
    <row r="156503" s="12" customFormat="1" x14ac:dyDescent="0.25"/>
    <row r="156504" s="12" customFormat="1" x14ac:dyDescent="0.25"/>
    <row r="156505" s="12" customFormat="1" x14ac:dyDescent="0.25"/>
    <row r="156506" s="12" customFormat="1" x14ac:dyDescent="0.25"/>
    <row r="156507" s="12" customFormat="1" x14ac:dyDescent="0.25"/>
    <row r="156508" s="12" customFormat="1" x14ac:dyDescent="0.25"/>
    <row r="156509" s="12" customFormat="1" x14ac:dyDescent="0.25"/>
    <row r="156510" s="12" customFormat="1" x14ac:dyDescent="0.25"/>
    <row r="156511" s="12" customFormat="1" x14ac:dyDescent="0.25"/>
    <row r="156512" s="12" customFormat="1" x14ac:dyDescent="0.25"/>
    <row r="156513" s="12" customFormat="1" x14ac:dyDescent="0.25"/>
    <row r="156514" s="12" customFormat="1" x14ac:dyDescent="0.25"/>
    <row r="156515" s="12" customFormat="1" x14ac:dyDescent="0.25"/>
    <row r="156516" s="12" customFormat="1" x14ac:dyDescent="0.25"/>
    <row r="156517" s="12" customFormat="1" x14ac:dyDescent="0.25"/>
    <row r="156518" s="12" customFormat="1" x14ac:dyDescent="0.25"/>
    <row r="156519" s="12" customFormat="1" x14ac:dyDescent="0.25"/>
    <row r="156520" s="12" customFormat="1" x14ac:dyDescent="0.25"/>
    <row r="156521" s="12" customFormat="1" x14ac:dyDescent="0.25"/>
    <row r="156522" s="12" customFormat="1" x14ac:dyDescent="0.25"/>
    <row r="156523" s="12" customFormat="1" x14ac:dyDescent="0.25"/>
    <row r="156524" s="12" customFormat="1" x14ac:dyDescent="0.25"/>
    <row r="156525" s="12" customFormat="1" x14ac:dyDescent="0.25"/>
    <row r="156526" s="12" customFormat="1" x14ac:dyDescent="0.25"/>
    <row r="156527" s="12" customFormat="1" x14ac:dyDescent="0.25"/>
    <row r="156528" s="12" customFormat="1" x14ac:dyDescent="0.25"/>
    <row r="156529" s="12" customFormat="1" x14ac:dyDescent="0.25"/>
    <row r="156530" s="12" customFormat="1" x14ac:dyDescent="0.25"/>
    <row r="156531" s="12" customFormat="1" x14ac:dyDescent="0.25"/>
    <row r="156532" s="12" customFormat="1" x14ac:dyDescent="0.25"/>
    <row r="156533" s="12" customFormat="1" x14ac:dyDescent="0.25"/>
    <row r="156534" s="12" customFormat="1" x14ac:dyDescent="0.25"/>
    <row r="156535" s="12" customFormat="1" x14ac:dyDescent="0.25"/>
    <row r="156536" s="12" customFormat="1" x14ac:dyDescent="0.25"/>
    <row r="156537" s="12" customFormat="1" x14ac:dyDescent="0.25"/>
    <row r="156538" s="12" customFormat="1" x14ac:dyDescent="0.25"/>
    <row r="156539" s="12" customFormat="1" x14ac:dyDescent="0.25"/>
    <row r="156540" s="12" customFormat="1" x14ac:dyDescent="0.25"/>
    <row r="156541" s="12" customFormat="1" x14ac:dyDescent="0.25"/>
    <row r="156542" s="12" customFormat="1" x14ac:dyDescent="0.25"/>
    <row r="156543" s="12" customFormat="1" x14ac:dyDescent="0.25"/>
    <row r="156544" s="12" customFormat="1" x14ac:dyDescent="0.25"/>
    <row r="156545" s="12" customFormat="1" x14ac:dyDescent="0.25"/>
    <row r="156546" s="12" customFormat="1" x14ac:dyDescent="0.25"/>
    <row r="156547" s="12" customFormat="1" x14ac:dyDescent="0.25"/>
    <row r="156548" s="12" customFormat="1" x14ac:dyDescent="0.25"/>
    <row r="156549" s="12" customFormat="1" x14ac:dyDescent="0.25"/>
    <row r="156550" s="12" customFormat="1" x14ac:dyDescent="0.25"/>
    <row r="156551" s="12" customFormat="1" x14ac:dyDescent="0.25"/>
    <row r="156552" s="12" customFormat="1" x14ac:dyDescent="0.25"/>
    <row r="156553" s="12" customFormat="1" x14ac:dyDescent="0.25"/>
    <row r="156554" s="12" customFormat="1" x14ac:dyDescent="0.25"/>
    <row r="156555" s="12" customFormat="1" x14ac:dyDescent="0.25"/>
    <row r="156556" s="12" customFormat="1" x14ac:dyDescent="0.25"/>
    <row r="156557" s="12" customFormat="1" x14ac:dyDescent="0.25"/>
    <row r="156558" s="12" customFormat="1" x14ac:dyDescent="0.25"/>
    <row r="156559" s="12" customFormat="1" x14ac:dyDescent="0.25"/>
    <row r="156560" s="12" customFormat="1" x14ac:dyDescent="0.25"/>
    <row r="156561" s="12" customFormat="1" x14ac:dyDescent="0.25"/>
    <row r="156562" s="12" customFormat="1" x14ac:dyDescent="0.25"/>
    <row r="156563" s="12" customFormat="1" x14ac:dyDescent="0.25"/>
    <row r="156564" s="12" customFormat="1" x14ac:dyDescent="0.25"/>
    <row r="156565" s="12" customFormat="1" x14ac:dyDescent="0.25"/>
    <row r="156566" s="12" customFormat="1" x14ac:dyDescent="0.25"/>
    <row r="156567" s="12" customFormat="1" x14ac:dyDescent="0.25"/>
    <row r="156568" s="12" customFormat="1" x14ac:dyDescent="0.25"/>
    <row r="156569" s="12" customFormat="1" x14ac:dyDescent="0.25"/>
    <row r="156570" s="12" customFormat="1" x14ac:dyDescent="0.25"/>
    <row r="156571" s="12" customFormat="1" x14ac:dyDescent="0.25"/>
    <row r="156572" s="12" customFormat="1" x14ac:dyDescent="0.25"/>
    <row r="156573" s="12" customFormat="1" x14ac:dyDescent="0.25"/>
    <row r="156574" s="12" customFormat="1" x14ac:dyDescent="0.25"/>
    <row r="156575" s="12" customFormat="1" x14ac:dyDescent="0.25"/>
    <row r="156576" s="12" customFormat="1" x14ac:dyDescent="0.25"/>
    <row r="156577" s="12" customFormat="1" x14ac:dyDescent="0.25"/>
    <row r="156578" s="12" customFormat="1" x14ac:dyDescent="0.25"/>
    <row r="156579" s="12" customFormat="1" x14ac:dyDescent="0.25"/>
    <row r="156580" s="12" customFormat="1" x14ac:dyDescent="0.25"/>
    <row r="156581" s="12" customFormat="1" x14ac:dyDescent="0.25"/>
    <row r="156582" s="12" customFormat="1" x14ac:dyDescent="0.25"/>
    <row r="156583" s="12" customFormat="1" x14ac:dyDescent="0.25"/>
    <row r="156584" s="12" customFormat="1" x14ac:dyDescent="0.25"/>
    <row r="156585" s="12" customFormat="1" x14ac:dyDescent="0.25"/>
    <row r="156586" s="12" customFormat="1" x14ac:dyDescent="0.25"/>
    <row r="156587" s="12" customFormat="1" x14ac:dyDescent="0.25"/>
    <row r="156588" s="12" customFormat="1" x14ac:dyDescent="0.25"/>
    <row r="156589" s="12" customFormat="1" x14ac:dyDescent="0.25"/>
    <row r="156590" s="12" customFormat="1" x14ac:dyDescent="0.25"/>
    <row r="156591" s="12" customFormat="1" x14ac:dyDescent="0.25"/>
    <row r="156592" s="12" customFormat="1" x14ac:dyDescent="0.25"/>
    <row r="156593" s="12" customFormat="1" x14ac:dyDescent="0.25"/>
    <row r="156594" s="12" customFormat="1" x14ac:dyDescent="0.25"/>
    <row r="156595" s="12" customFormat="1" x14ac:dyDescent="0.25"/>
    <row r="156596" s="12" customFormat="1" x14ac:dyDescent="0.25"/>
    <row r="156597" s="12" customFormat="1" x14ac:dyDescent="0.25"/>
    <row r="156598" s="12" customFormat="1" x14ac:dyDescent="0.25"/>
    <row r="156599" s="12" customFormat="1" x14ac:dyDescent="0.25"/>
    <row r="156600" s="12" customFormat="1" x14ac:dyDescent="0.25"/>
    <row r="156601" s="12" customFormat="1" x14ac:dyDescent="0.25"/>
    <row r="156602" s="12" customFormat="1" x14ac:dyDescent="0.25"/>
    <row r="156603" s="12" customFormat="1" x14ac:dyDescent="0.25"/>
    <row r="156604" s="12" customFormat="1" x14ac:dyDescent="0.25"/>
    <row r="156605" s="12" customFormat="1" x14ac:dyDescent="0.25"/>
    <row r="156606" s="12" customFormat="1" x14ac:dyDescent="0.25"/>
    <row r="156607" s="12" customFormat="1" x14ac:dyDescent="0.25"/>
    <row r="156608" s="12" customFormat="1" x14ac:dyDescent="0.25"/>
    <row r="156609" s="12" customFormat="1" x14ac:dyDescent="0.25"/>
    <row r="156610" s="12" customFormat="1" x14ac:dyDescent="0.25"/>
    <row r="156611" s="12" customFormat="1" x14ac:dyDescent="0.25"/>
    <row r="156612" s="12" customFormat="1" x14ac:dyDescent="0.25"/>
    <row r="156613" s="12" customFormat="1" x14ac:dyDescent="0.25"/>
    <row r="156614" s="12" customFormat="1" x14ac:dyDescent="0.25"/>
    <row r="156615" s="12" customFormat="1" x14ac:dyDescent="0.25"/>
    <row r="156616" s="12" customFormat="1" x14ac:dyDescent="0.25"/>
    <row r="156617" s="12" customFormat="1" x14ac:dyDescent="0.25"/>
    <row r="156618" s="12" customFormat="1" x14ac:dyDescent="0.25"/>
    <row r="156619" s="12" customFormat="1" x14ac:dyDescent="0.25"/>
    <row r="156620" s="12" customFormat="1" x14ac:dyDescent="0.25"/>
    <row r="156621" s="12" customFormat="1" x14ac:dyDescent="0.25"/>
    <row r="156622" s="12" customFormat="1" x14ac:dyDescent="0.25"/>
    <row r="156623" s="12" customFormat="1" x14ac:dyDescent="0.25"/>
    <row r="156624" s="12" customFormat="1" x14ac:dyDescent="0.25"/>
    <row r="156625" s="12" customFormat="1" x14ac:dyDescent="0.25"/>
    <row r="156626" s="12" customFormat="1" x14ac:dyDescent="0.25"/>
    <row r="156627" s="12" customFormat="1" x14ac:dyDescent="0.25"/>
    <row r="156628" s="12" customFormat="1" x14ac:dyDescent="0.25"/>
    <row r="156629" s="12" customFormat="1" x14ac:dyDescent="0.25"/>
    <row r="156630" s="12" customFormat="1" x14ac:dyDescent="0.25"/>
    <row r="156631" s="12" customFormat="1" x14ac:dyDescent="0.25"/>
    <row r="156632" s="12" customFormat="1" x14ac:dyDescent="0.25"/>
    <row r="156633" s="12" customFormat="1" x14ac:dyDescent="0.25"/>
    <row r="156634" s="12" customFormat="1" x14ac:dyDescent="0.25"/>
    <row r="156635" s="12" customFormat="1" x14ac:dyDescent="0.25"/>
    <row r="156636" s="12" customFormat="1" x14ac:dyDescent="0.25"/>
    <row r="156637" s="12" customFormat="1" x14ac:dyDescent="0.25"/>
    <row r="156638" s="12" customFormat="1" x14ac:dyDescent="0.25"/>
    <row r="156639" s="12" customFormat="1" x14ac:dyDescent="0.25"/>
    <row r="156640" s="12" customFormat="1" x14ac:dyDescent="0.25"/>
    <row r="156641" s="12" customFormat="1" x14ac:dyDescent="0.25"/>
    <row r="156642" s="12" customFormat="1" x14ac:dyDescent="0.25"/>
    <row r="156643" s="12" customFormat="1" x14ac:dyDescent="0.25"/>
    <row r="156644" s="12" customFormat="1" x14ac:dyDescent="0.25"/>
    <row r="156645" s="12" customFormat="1" x14ac:dyDescent="0.25"/>
    <row r="156646" s="12" customFormat="1" x14ac:dyDescent="0.25"/>
    <row r="156647" s="12" customFormat="1" x14ac:dyDescent="0.25"/>
    <row r="156648" s="12" customFormat="1" x14ac:dyDescent="0.25"/>
    <row r="156649" s="12" customFormat="1" x14ac:dyDescent="0.25"/>
    <row r="156650" s="12" customFormat="1" x14ac:dyDescent="0.25"/>
    <row r="156651" s="12" customFormat="1" x14ac:dyDescent="0.25"/>
    <row r="156652" s="12" customFormat="1" x14ac:dyDescent="0.25"/>
    <row r="156653" s="12" customFormat="1" x14ac:dyDescent="0.25"/>
    <row r="156654" s="12" customFormat="1" x14ac:dyDescent="0.25"/>
    <row r="156655" s="12" customFormat="1" x14ac:dyDescent="0.25"/>
    <row r="156656" s="12" customFormat="1" x14ac:dyDescent="0.25"/>
    <row r="156657" s="12" customFormat="1" x14ac:dyDescent="0.25"/>
    <row r="156658" s="12" customFormat="1" x14ac:dyDescent="0.25"/>
    <row r="156659" s="12" customFormat="1" x14ac:dyDescent="0.25"/>
    <row r="156660" s="12" customFormat="1" x14ac:dyDescent="0.25"/>
    <row r="156661" s="12" customFormat="1" x14ac:dyDescent="0.25"/>
    <row r="156662" s="12" customFormat="1" x14ac:dyDescent="0.25"/>
    <row r="156663" s="12" customFormat="1" x14ac:dyDescent="0.25"/>
    <row r="156664" s="12" customFormat="1" x14ac:dyDescent="0.25"/>
    <row r="156665" s="12" customFormat="1" x14ac:dyDescent="0.25"/>
    <row r="156666" s="12" customFormat="1" x14ac:dyDescent="0.25"/>
    <row r="156667" s="12" customFormat="1" x14ac:dyDescent="0.25"/>
    <row r="156668" s="12" customFormat="1" x14ac:dyDescent="0.25"/>
    <row r="156669" s="12" customFormat="1" x14ac:dyDescent="0.25"/>
    <row r="156670" s="12" customFormat="1" x14ac:dyDescent="0.25"/>
    <row r="156671" s="12" customFormat="1" x14ac:dyDescent="0.25"/>
    <row r="156672" s="12" customFormat="1" x14ac:dyDescent="0.25"/>
    <row r="156673" s="12" customFormat="1" x14ac:dyDescent="0.25"/>
    <row r="156674" s="12" customFormat="1" x14ac:dyDescent="0.25"/>
    <row r="156675" s="12" customFormat="1" x14ac:dyDescent="0.25"/>
    <row r="156676" s="12" customFormat="1" x14ac:dyDescent="0.25"/>
    <row r="156677" s="12" customFormat="1" x14ac:dyDescent="0.25"/>
    <row r="156678" s="12" customFormat="1" x14ac:dyDescent="0.25"/>
    <row r="156679" s="12" customFormat="1" x14ac:dyDescent="0.25"/>
    <row r="156680" s="12" customFormat="1" x14ac:dyDescent="0.25"/>
    <row r="156681" s="12" customFormat="1" x14ac:dyDescent="0.25"/>
    <row r="156682" s="12" customFormat="1" x14ac:dyDescent="0.25"/>
    <row r="156683" s="12" customFormat="1" x14ac:dyDescent="0.25"/>
    <row r="156684" s="12" customFormat="1" x14ac:dyDescent="0.25"/>
    <row r="156685" s="12" customFormat="1" x14ac:dyDescent="0.25"/>
    <row r="156686" s="12" customFormat="1" x14ac:dyDescent="0.25"/>
    <row r="156687" s="12" customFormat="1" x14ac:dyDescent="0.25"/>
    <row r="156688" s="12" customFormat="1" x14ac:dyDescent="0.25"/>
    <row r="156689" s="12" customFormat="1" x14ac:dyDescent="0.25"/>
    <row r="156690" s="12" customFormat="1" x14ac:dyDescent="0.25"/>
    <row r="156691" s="12" customFormat="1" x14ac:dyDescent="0.25"/>
    <row r="156692" s="12" customFormat="1" x14ac:dyDescent="0.25"/>
    <row r="156693" s="12" customFormat="1" x14ac:dyDescent="0.25"/>
    <row r="156694" s="12" customFormat="1" x14ac:dyDescent="0.25"/>
    <row r="156695" s="12" customFormat="1" x14ac:dyDescent="0.25"/>
    <row r="156696" s="12" customFormat="1" x14ac:dyDescent="0.25"/>
    <row r="156697" s="12" customFormat="1" x14ac:dyDescent="0.25"/>
    <row r="156698" s="12" customFormat="1" x14ac:dyDescent="0.25"/>
    <row r="156699" s="12" customFormat="1" x14ac:dyDescent="0.25"/>
    <row r="156700" s="12" customFormat="1" x14ac:dyDescent="0.25"/>
    <row r="156701" s="12" customFormat="1" x14ac:dyDescent="0.25"/>
    <row r="156702" s="12" customFormat="1" x14ac:dyDescent="0.25"/>
    <row r="156703" s="12" customFormat="1" x14ac:dyDescent="0.25"/>
    <row r="156704" s="12" customFormat="1" x14ac:dyDescent="0.25"/>
    <row r="156705" s="12" customFormat="1" x14ac:dyDescent="0.25"/>
    <row r="156706" s="12" customFormat="1" x14ac:dyDescent="0.25"/>
    <row r="156707" s="12" customFormat="1" x14ac:dyDescent="0.25"/>
    <row r="156708" s="12" customFormat="1" x14ac:dyDescent="0.25"/>
    <row r="156709" s="12" customFormat="1" x14ac:dyDescent="0.25"/>
    <row r="156710" s="12" customFormat="1" x14ac:dyDescent="0.25"/>
    <row r="156711" s="12" customFormat="1" x14ac:dyDescent="0.25"/>
    <row r="156712" s="12" customFormat="1" x14ac:dyDescent="0.25"/>
    <row r="156713" s="12" customFormat="1" x14ac:dyDescent="0.25"/>
    <row r="156714" s="12" customFormat="1" x14ac:dyDescent="0.25"/>
    <row r="156715" s="12" customFormat="1" x14ac:dyDescent="0.25"/>
    <row r="156716" s="12" customFormat="1" x14ac:dyDescent="0.25"/>
    <row r="156717" s="12" customFormat="1" x14ac:dyDescent="0.25"/>
    <row r="156718" s="12" customFormat="1" x14ac:dyDescent="0.25"/>
    <row r="156719" s="12" customFormat="1" x14ac:dyDescent="0.25"/>
    <row r="156720" s="12" customFormat="1" x14ac:dyDescent="0.25"/>
    <row r="156721" s="12" customFormat="1" x14ac:dyDescent="0.25"/>
    <row r="156722" s="12" customFormat="1" x14ac:dyDescent="0.25"/>
    <row r="156723" s="12" customFormat="1" x14ac:dyDescent="0.25"/>
    <row r="156724" s="12" customFormat="1" x14ac:dyDescent="0.25"/>
    <row r="156725" s="12" customFormat="1" x14ac:dyDescent="0.25"/>
    <row r="156726" s="12" customFormat="1" x14ac:dyDescent="0.25"/>
    <row r="156727" s="12" customFormat="1" x14ac:dyDescent="0.25"/>
    <row r="156728" s="12" customFormat="1" x14ac:dyDescent="0.25"/>
    <row r="156729" s="12" customFormat="1" x14ac:dyDescent="0.25"/>
    <row r="156730" s="12" customFormat="1" x14ac:dyDescent="0.25"/>
    <row r="156731" s="12" customFormat="1" x14ac:dyDescent="0.25"/>
    <row r="156732" s="12" customFormat="1" x14ac:dyDescent="0.25"/>
    <row r="156733" s="12" customFormat="1" x14ac:dyDescent="0.25"/>
    <row r="156734" s="12" customFormat="1" x14ac:dyDescent="0.25"/>
    <row r="156735" s="12" customFormat="1" x14ac:dyDescent="0.25"/>
    <row r="156736" s="12" customFormat="1" x14ac:dyDescent="0.25"/>
    <row r="156737" s="12" customFormat="1" x14ac:dyDescent="0.25"/>
    <row r="156738" s="12" customFormat="1" x14ac:dyDescent="0.25"/>
    <row r="156739" s="12" customFormat="1" x14ac:dyDescent="0.25"/>
    <row r="156740" s="12" customFormat="1" x14ac:dyDescent="0.25"/>
    <row r="156741" s="12" customFormat="1" x14ac:dyDescent="0.25"/>
    <row r="156742" s="12" customFormat="1" x14ac:dyDescent="0.25"/>
    <row r="156743" s="12" customFormat="1" x14ac:dyDescent="0.25"/>
    <row r="156744" s="12" customFormat="1" x14ac:dyDescent="0.25"/>
    <row r="156745" s="12" customFormat="1" x14ac:dyDescent="0.25"/>
    <row r="156746" s="12" customFormat="1" x14ac:dyDescent="0.25"/>
    <row r="156747" s="12" customFormat="1" x14ac:dyDescent="0.25"/>
    <row r="156748" s="12" customFormat="1" x14ac:dyDescent="0.25"/>
    <row r="156749" s="12" customFormat="1" x14ac:dyDescent="0.25"/>
    <row r="156750" s="12" customFormat="1" x14ac:dyDescent="0.25"/>
    <row r="156751" s="12" customFormat="1" x14ac:dyDescent="0.25"/>
    <row r="156752" s="12" customFormat="1" x14ac:dyDescent="0.25"/>
    <row r="156753" s="12" customFormat="1" x14ac:dyDescent="0.25"/>
    <row r="156754" s="12" customFormat="1" x14ac:dyDescent="0.25"/>
    <row r="156755" s="12" customFormat="1" x14ac:dyDescent="0.25"/>
    <row r="156756" s="12" customFormat="1" x14ac:dyDescent="0.25"/>
    <row r="156757" s="12" customFormat="1" x14ac:dyDescent="0.25"/>
    <row r="156758" s="12" customFormat="1" x14ac:dyDescent="0.25"/>
    <row r="156759" s="12" customFormat="1" x14ac:dyDescent="0.25"/>
    <row r="156760" s="12" customFormat="1" x14ac:dyDescent="0.25"/>
    <row r="156761" s="12" customFormat="1" x14ac:dyDescent="0.25"/>
    <row r="156762" s="12" customFormat="1" x14ac:dyDescent="0.25"/>
    <row r="156763" s="12" customFormat="1" x14ac:dyDescent="0.25"/>
    <row r="156764" s="12" customFormat="1" x14ac:dyDescent="0.25"/>
    <row r="156765" s="12" customFormat="1" x14ac:dyDescent="0.25"/>
    <row r="156766" s="12" customFormat="1" x14ac:dyDescent="0.25"/>
    <row r="156767" s="12" customFormat="1" x14ac:dyDescent="0.25"/>
    <row r="156768" s="12" customFormat="1" x14ac:dyDescent="0.25"/>
    <row r="156769" s="12" customFormat="1" x14ac:dyDescent="0.25"/>
    <row r="156770" s="12" customFormat="1" x14ac:dyDescent="0.25"/>
    <row r="156771" s="12" customFormat="1" x14ac:dyDescent="0.25"/>
    <row r="156772" s="12" customFormat="1" x14ac:dyDescent="0.25"/>
    <row r="156773" s="12" customFormat="1" x14ac:dyDescent="0.25"/>
    <row r="156774" s="12" customFormat="1" x14ac:dyDescent="0.25"/>
    <row r="156775" s="12" customFormat="1" x14ac:dyDescent="0.25"/>
    <row r="156776" s="12" customFormat="1" x14ac:dyDescent="0.25"/>
    <row r="156777" s="12" customFormat="1" x14ac:dyDescent="0.25"/>
    <row r="156778" s="12" customFormat="1" x14ac:dyDescent="0.25"/>
    <row r="156779" s="12" customFormat="1" x14ac:dyDescent="0.25"/>
    <row r="156780" s="12" customFormat="1" x14ac:dyDescent="0.25"/>
    <row r="156781" s="12" customFormat="1" x14ac:dyDescent="0.25"/>
    <row r="156782" s="12" customFormat="1" x14ac:dyDescent="0.25"/>
    <row r="156783" s="12" customFormat="1" x14ac:dyDescent="0.25"/>
    <row r="156784" s="12" customFormat="1" x14ac:dyDescent="0.25"/>
    <row r="156785" s="12" customFormat="1" x14ac:dyDescent="0.25"/>
    <row r="156786" s="12" customFormat="1" x14ac:dyDescent="0.25"/>
    <row r="156787" s="12" customFormat="1" x14ac:dyDescent="0.25"/>
    <row r="156788" s="12" customFormat="1" x14ac:dyDescent="0.25"/>
    <row r="156789" s="12" customFormat="1" x14ac:dyDescent="0.25"/>
    <row r="156790" s="12" customFormat="1" x14ac:dyDescent="0.25"/>
    <row r="156791" s="12" customFormat="1" x14ac:dyDescent="0.25"/>
    <row r="156792" s="12" customFormat="1" x14ac:dyDescent="0.25"/>
    <row r="156793" s="12" customFormat="1" x14ac:dyDescent="0.25"/>
    <row r="156794" s="12" customFormat="1" x14ac:dyDescent="0.25"/>
    <row r="156795" s="12" customFormat="1" x14ac:dyDescent="0.25"/>
    <row r="156796" s="12" customFormat="1" x14ac:dyDescent="0.25"/>
    <row r="156797" s="12" customFormat="1" x14ac:dyDescent="0.25"/>
    <row r="156798" s="12" customFormat="1" x14ac:dyDescent="0.25"/>
    <row r="156799" s="12" customFormat="1" x14ac:dyDescent="0.25"/>
    <row r="156800" s="12" customFormat="1" x14ac:dyDescent="0.25"/>
    <row r="156801" s="12" customFormat="1" x14ac:dyDescent="0.25"/>
    <row r="156802" s="12" customFormat="1" x14ac:dyDescent="0.25"/>
    <row r="156803" s="12" customFormat="1" x14ac:dyDescent="0.25"/>
    <row r="156804" s="12" customFormat="1" x14ac:dyDescent="0.25"/>
    <row r="156805" s="12" customFormat="1" x14ac:dyDescent="0.25"/>
    <row r="156806" s="12" customFormat="1" x14ac:dyDescent="0.25"/>
    <row r="156807" s="12" customFormat="1" x14ac:dyDescent="0.25"/>
    <row r="156808" s="12" customFormat="1" x14ac:dyDescent="0.25"/>
    <row r="156809" s="12" customFormat="1" x14ac:dyDescent="0.25"/>
    <row r="156810" s="12" customFormat="1" x14ac:dyDescent="0.25"/>
    <row r="156811" s="12" customFormat="1" x14ac:dyDescent="0.25"/>
    <row r="156812" s="12" customFormat="1" x14ac:dyDescent="0.25"/>
    <row r="156813" s="12" customFormat="1" x14ac:dyDescent="0.25"/>
    <row r="156814" s="12" customFormat="1" x14ac:dyDescent="0.25"/>
    <row r="156815" s="12" customFormat="1" x14ac:dyDescent="0.25"/>
    <row r="156816" s="12" customFormat="1" x14ac:dyDescent="0.25"/>
    <row r="156817" s="12" customFormat="1" x14ac:dyDescent="0.25"/>
    <row r="156818" s="12" customFormat="1" x14ac:dyDescent="0.25"/>
    <row r="156819" s="12" customFormat="1" x14ac:dyDescent="0.25"/>
    <row r="156820" s="12" customFormat="1" x14ac:dyDescent="0.25"/>
    <row r="156821" s="12" customFormat="1" x14ac:dyDescent="0.25"/>
    <row r="156822" s="12" customFormat="1" x14ac:dyDescent="0.25"/>
    <row r="156823" s="12" customFormat="1" x14ac:dyDescent="0.25"/>
    <row r="156824" s="12" customFormat="1" x14ac:dyDescent="0.25"/>
    <row r="156825" s="12" customFormat="1" x14ac:dyDescent="0.25"/>
    <row r="156826" s="12" customFormat="1" x14ac:dyDescent="0.25"/>
    <row r="156827" s="12" customFormat="1" x14ac:dyDescent="0.25"/>
    <row r="156828" s="12" customFormat="1" x14ac:dyDescent="0.25"/>
    <row r="156829" s="12" customFormat="1" x14ac:dyDescent="0.25"/>
    <row r="156830" s="12" customFormat="1" x14ac:dyDescent="0.25"/>
    <row r="156831" s="12" customFormat="1" x14ac:dyDescent="0.25"/>
    <row r="156832" s="12" customFormat="1" x14ac:dyDescent="0.25"/>
    <row r="156833" s="12" customFormat="1" x14ac:dyDescent="0.25"/>
    <row r="156834" s="12" customFormat="1" x14ac:dyDescent="0.25"/>
    <row r="156835" s="12" customFormat="1" x14ac:dyDescent="0.25"/>
    <row r="156836" s="12" customFormat="1" x14ac:dyDescent="0.25"/>
    <row r="156837" s="12" customFormat="1" x14ac:dyDescent="0.25"/>
    <row r="156838" s="12" customFormat="1" x14ac:dyDescent="0.25"/>
    <row r="156839" s="12" customFormat="1" x14ac:dyDescent="0.25"/>
    <row r="156840" s="12" customFormat="1" x14ac:dyDescent="0.25"/>
    <row r="156841" s="12" customFormat="1" x14ac:dyDescent="0.25"/>
    <row r="156842" s="12" customFormat="1" x14ac:dyDescent="0.25"/>
    <row r="156843" s="12" customFormat="1" x14ac:dyDescent="0.25"/>
    <row r="156844" s="12" customFormat="1" x14ac:dyDescent="0.25"/>
    <row r="156845" s="12" customFormat="1" x14ac:dyDescent="0.25"/>
    <row r="156846" s="12" customFormat="1" x14ac:dyDescent="0.25"/>
    <row r="156847" s="12" customFormat="1" x14ac:dyDescent="0.25"/>
    <row r="156848" s="12" customFormat="1" x14ac:dyDescent="0.25"/>
    <row r="156849" s="12" customFormat="1" x14ac:dyDescent="0.25"/>
    <row r="156850" s="12" customFormat="1" x14ac:dyDescent="0.25"/>
    <row r="156851" s="12" customFormat="1" x14ac:dyDescent="0.25"/>
    <row r="156852" s="12" customFormat="1" x14ac:dyDescent="0.25"/>
    <row r="156853" s="12" customFormat="1" x14ac:dyDescent="0.25"/>
    <row r="156854" s="12" customFormat="1" x14ac:dyDescent="0.25"/>
    <row r="156855" s="12" customFormat="1" x14ac:dyDescent="0.25"/>
    <row r="156856" s="12" customFormat="1" x14ac:dyDescent="0.25"/>
    <row r="156857" s="12" customFormat="1" x14ac:dyDescent="0.25"/>
    <row r="156858" s="12" customFormat="1" x14ac:dyDescent="0.25"/>
    <row r="156859" s="12" customFormat="1" x14ac:dyDescent="0.25"/>
    <row r="156860" s="12" customFormat="1" x14ac:dyDescent="0.25"/>
    <row r="156861" s="12" customFormat="1" x14ac:dyDescent="0.25"/>
    <row r="156862" s="12" customFormat="1" x14ac:dyDescent="0.25"/>
    <row r="156863" s="12" customFormat="1" x14ac:dyDescent="0.25"/>
    <row r="156864" s="12" customFormat="1" x14ac:dyDescent="0.25"/>
    <row r="156865" s="12" customFormat="1" x14ac:dyDescent="0.25"/>
    <row r="156866" s="12" customFormat="1" x14ac:dyDescent="0.25"/>
    <row r="156867" s="12" customFormat="1" x14ac:dyDescent="0.25"/>
    <row r="156868" s="12" customFormat="1" x14ac:dyDescent="0.25"/>
    <row r="156869" s="12" customFormat="1" x14ac:dyDescent="0.25"/>
    <row r="156870" s="12" customFormat="1" x14ac:dyDescent="0.25"/>
    <row r="156871" s="12" customFormat="1" x14ac:dyDescent="0.25"/>
    <row r="156872" s="12" customFormat="1" x14ac:dyDescent="0.25"/>
    <row r="156873" s="12" customFormat="1" x14ac:dyDescent="0.25"/>
    <row r="156874" s="12" customFormat="1" x14ac:dyDescent="0.25"/>
    <row r="156875" s="12" customFormat="1" x14ac:dyDescent="0.25"/>
    <row r="156876" s="12" customFormat="1" x14ac:dyDescent="0.25"/>
    <row r="156877" s="12" customFormat="1" x14ac:dyDescent="0.25"/>
    <row r="156878" s="12" customFormat="1" x14ac:dyDescent="0.25"/>
    <row r="156879" s="12" customFormat="1" x14ac:dyDescent="0.25"/>
    <row r="156880" s="12" customFormat="1" x14ac:dyDescent="0.25"/>
    <row r="156881" s="12" customFormat="1" x14ac:dyDescent="0.25"/>
    <row r="156882" s="12" customFormat="1" x14ac:dyDescent="0.25"/>
    <row r="156883" s="12" customFormat="1" x14ac:dyDescent="0.25"/>
    <row r="156884" s="12" customFormat="1" x14ac:dyDescent="0.25"/>
    <row r="156885" s="12" customFormat="1" x14ac:dyDescent="0.25"/>
    <row r="156886" s="12" customFormat="1" x14ac:dyDescent="0.25"/>
    <row r="156887" s="12" customFormat="1" x14ac:dyDescent="0.25"/>
    <row r="156888" s="12" customFormat="1" x14ac:dyDescent="0.25"/>
    <row r="156889" s="12" customFormat="1" x14ac:dyDescent="0.25"/>
    <row r="156890" s="12" customFormat="1" x14ac:dyDescent="0.25"/>
    <row r="156891" s="12" customFormat="1" x14ac:dyDescent="0.25"/>
    <row r="156892" s="12" customFormat="1" x14ac:dyDescent="0.25"/>
    <row r="156893" s="12" customFormat="1" x14ac:dyDescent="0.25"/>
    <row r="156894" s="12" customFormat="1" x14ac:dyDescent="0.25"/>
    <row r="156895" s="12" customFormat="1" x14ac:dyDescent="0.25"/>
    <row r="156896" s="12" customFormat="1" x14ac:dyDescent="0.25"/>
    <row r="156897" s="12" customFormat="1" x14ac:dyDescent="0.25"/>
    <row r="156898" s="12" customFormat="1" x14ac:dyDescent="0.25"/>
    <row r="156899" s="12" customFormat="1" x14ac:dyDescent="0.25"/>
    <row r="156900" s="12" customFormat="1" x14ac:dyDescent="0.25"/>
    <row r="156901" s="12" customFormat="1" x14ac:dyDescent="0.25"/>
    <row r="156902" s="12" customFormat="1" x14ac:dyDescent="0.25"/>
    <row r="156903" s="12" customFormat="1" x14ac:dyDescent="0.25"/>
    <row r="156904" s="12" customFormat="1" x14ac:dyDescent="0.25"/>
    <row r="156905" s="12" customFormat="1" x14ac:dyDescent="0.25"/>
    <row r="156906" s="12" customFormat="1" x14ac:dyDescent="0.25"/>
    <row r="156907" s="12" customFormat="1" x14ac:dyDescent="0.25"/>
    <row r="156908" s="12" customFormat="1" x14ac:dyDescent="0.25"/>
    <row r="156909" s="12" customFormat="1" x14ac:dyDescent="0.25"/>
    <row r="156910" s="12" customFormat="1" x14ac:dyDescent="0.25"/>
    <row r="156911" s="12" customFormat="1" x14ac:dyDescent="0.25"/>
    <row r="156912" s="12" customFormat="1" x14ac:dyDescent="0.25"/>
    <row r="156913" s="12" customFormat="1" x14ac:dyDescent="0.25"/>
    <row r="156914" s="12" customFormat="1" x14ac:dyDescent="0.25"/>
    <row r="156915" s="12" customFormat="1" x14ac:dyDescent="0.25"/>
    <row r="156916" s="12" customFormat="1" x14ac:dyDescent="0.25"/>
    <row r="156917" s="12" customFormat="1" x14ac:dyDescent="0.25"/>
    <row r="156918" s="12" customFormat="1" x14ac:dyDescent="0.25"/>
    <row r="156919" s="12" customFormat="1" x14ac:dyDescent="0.25"/>
    <row r="156920" s="12" customFormat="1" x14ac:dyDescent="0.25"/>
    <row r="156921" s="12" customFormat="1" x14ac:dyDescent="0.25"/>
    <row r="156922" s="12" customFormat="1" x14ac:dyDescent="0.25"/>
    <row r="156923" s="12" customFormat="1" x14ac:dyDescent="0.25"/>
    <row r="156924" s="12" customFormat="1" x14ac:dyDescent="0.25"/>
    <row r="156925" s="12" customFormat="1" x14ac:dyDescent="0.25"/>
    <row r="156926" s="12" customFormat="1" x14ac:dyDescent="0.25"/>
    <row r="156927" s="12" customFormat="1" x14ac:dyDescent="0.25"/>
    <row r="156928" s="12" customFormat="1" x14ac:dyDescent="0.25"/>
    <row r="156929" s="12" customFormat="1" x14ac:dyDescent="0.25"/>
    <row r="156930" s="12" customFormat="1" x14ac:dyDescent="0.25"/>
    <row r="156931" s="12" customFormat="1" x14ac:dyDescent="0.25"/>
    <row r="156932" s="12" customFormat="1" x14ac:dyDescent="0.25"/>
    <row r="156933" s="12" customFormat="1" x14ac:dyDescent="0.25"/>
    <row r="156934" s="12" customFormat="1" x14ac:dyDescent="0.25"/>
    <row r="156935" s="12" customFormat="1" x14ac:dyDescent="0.25"/>
    <row r="156936" s="12" customFormat="1" x14ac:dyDescent="0.25"/>
    <row r="156937" s="12" customFormat="1" x14ac:dyDescent="0.25"/>
    <row r="156938" s="12" customFormat="1" x14ac:dyDescent="0.25"/>
    <row r="156939" s="12" customFormat="1" x14ac:dyDescent="0.25"/>
    <row r="156940" s="12" customFormat="1" x14ac:dyDescent="0.25"/>
    <row r="156941" s="12" customFormat="1" x14ac:dyDescent="0.25"/>
    <row r="156942" s="12" customFormat="1" x14ac:dyDescent="0.25"/>
    <row r="156943" s="12" customFormat="1" x14ac:dyDescent="0.25"/>
    <row r="156944" s="12" customFormat="1" x14ac:dyDescent="0.25"/>
    <row r="156945" s="12" customFormat="1" x14ac:dyDescent="0.25"/>
    <row r="156946" s="12" customFormat="1" x14ac:dyDescent="0.25"/>
    <row r="156947" s="12" customFormat="1" x14ac:dyDescent="0.25"/>
    <row r="156948" s="12" customFormat="1" x14ac:dyDescent="0.25"/>
    <row r="156949" s="12" customFormat="1" x14ac:dyDescent="0.25"/>
    <row r="156950" s="12" customFormat="1" x14ac:dyDescent="0.25"/>
    <row r="156951" s="12" customFormat="1" x14ac:dyDescent="0.25"/>
    <row r="156952" s="12" customFormat="1" x14ac:dyDescent="0.25"/>
    <row r="156953" s="12" customFormat="1" x14ac:dyDescent="0.25"/>
    <row r="156954" s="12" customFormat="1" x14ac:dyDescent="0.25"/>
    <row r="156955" s="12" customFormat="1" x14ac:dyDescent="0.25"/>
    <row r="156956" s="12" customFormat="1" x14ac:dyDescent="0.25"/>
    <row r="156957" s="12" customFormat="1" x14ac:dyDescent="0.25"/>
    <row r="156958" s="12" customFormat="1" x14ac:dyDescent="0.25"/>
    <row r="156959" s="12" customFormat="1" x14ac:dyDescent="0.25"/>
    <row r="156960" s="12" customFormat="1" x14ac:dyDescent="0.25"/>
    <row r="156961" s="12" customFormat="1" x14ac:dyDescent="0.25"/>
    <row r="156962" s="12" customFormat="1" x14ac:dyDescent="0.25"/>
    <row r="156963" s="12" customFormat="1" x14ac:dyDescent="0.25"/>
    <row r="156964" s="12" customFormat="1" x14ac:dyDescent="0.25"/>
    <row r="156965" s="12" customFormat="1" x14ac:dyDescent="0.25"/>
    <row r="156966" s="12" customFormat="1" x14ac:dyDescent="0.25"/>
    <row r="156967" s="12" customFormat="1" x14ac:dyDescent="0.25"/>
    <row r="156968" s="12" customFormat="1" x14ac:dyDescent="0.25"/>
    <row r="156969" s="12" customFormat="1" x14ac:dyDescent="0.25"/>
    <row r="156970" s="12" customFormat="1" x14ac:dyDescent="0.25"/>
    <row r="156971" s="12" customFormat="1" x14ac:dyDescent="0.25"/>
    <row r="156972" s="12" customFormat="1" x14ac:dyDescent="0.25"/>
    <row r="156973" s="12" customFormat="1" x14ac:dyDescent="0.25"/>
    <row r="156974" s="12" customFormat="1" x14ac:dyDescent="0.25"/>
    <row r="156975" s="12" customFormat="1" x14ac:dyDescent="0.25"/>
    <row r="156976" s="12" customFormat="1" x14ac:dyDescent="0.25"/>
    <row r="156977" s="12" customFormat="1" x14ac:dyDescent="0.25"/>
    <row r="156978" s="12" customFormat="1" x14ac:dyDescent="0.25"/>
    <row r="156979" s="12" customFormat="1" x14ac:dyDescent="0.25"/>
    <row r="156980" s="12" customFormat="1" x14ac:dyDescent="0.25"/>
    <row r="156981" s="12" customFormat="1" x14ac:dyDescent="0.25"/>
    <row r="156982" s="12" customFormat="1" x14ac:dyDescent="0.25"/>
    <row r="156983" s="12" customFormat="1" x14ac:dyDescent="0.25"/>
    <row r="156984" s="12" customFormat="1" x14ac:dyDescent="0.25"/>
    <row r="156985" s="12" customFormat="1" x14ac:dyDescent="0.25"/>
    <row r="156986" s="12" customFormat="1" x14ac:dyDescent="0.25"/>
    <row r="156987" s="12" customFormat="1" x14ac:dyDescent="0.25"/>
    <row r="156988" s="12" customFormat="1" x14ac:dyDescent="0.25"/>
    <row r="156989" s="12" customFormat="1" x14ac:dyDescent="0.25"/>
    <row r="156990" s="12" customFormat="1" x14ac:dyDescent="0.25"/>
    <row r="156991" s="12" customFormat="1" x14ac:dyDescent="0.25"/>
    <row r="156992" s="12" customFormat="1" x14ac:dyDescent="0.25"/>
    <row r="156993" s="12" customFormat="1" x14ac:dyDescent="0.25"/>
    <row r="156994" s="12" customFormat="1" x14ac:dyDescent="0.25"/>
    <row r="156995" s="12" customFormat="1" x14ac:dyDescent="0.25"/>
    <row r="156996" s="12" customFormat="1" x14ac:dyDescent="0.25"/>
    <row r="156997" s="12" customFormat="1" x14ac:dyDescent="0.25"/>
    <row r="156998" s="12" customFormat="1" x14ac:dyDescent="0.25"/>
    <row r="156999" s="12" customFormat="1" x14ac:dyDescent="0.25"/>
    <row r="157000" s="12" customFormat="1" x14ac:dyDescent="0.25"/>
    <row r="157001" s="12" customFormat="1" x14ac:dyDescent="0.25"/>
    <row r="157002" s="12" customFormat="1" x14ac:dyDescent="0.25"/>
    <row r="157003" s="12" customFormat="1" x14ac:dyDescent="0.25"/>
    <row r="157004" s="12" customFormat="1" x14ac:dyDescent="0.25"/>
    <row r="157005" s="12" customFormat="1" x14ac:dyDescent="0.25"/>
    <row r="157006" s="12" customFormat="1" x14ac:dyDescent="0.25"/>
    <row r="157007" s="12" customFormat="1" x14ac:dyDescent="0.25"/>
    <row r="157008" s="12" customFormat="1" x14ac:dyDescent="0.25"/>
    <row r="157009" s="12" customFormat="1" x14ac:dyDescent="0.25"/>
    <row r="157010" s="12" customFormat="1" x14ac:dyDescent="0.25"/>
    <row r="157011" s="12" customFormat="1" x14ac:dyDescent="0.25"/>
    <row r="157012" s="12" customFormat="1" x14ac:dyDescent="0.25"/>
    <row r="157013" s="12" customFormat="1" x14ac:dyDescent="0.25"/>
    <row r="157014" s="12" customFormat="1" x14ac:dyDescent="0.25"/>
    <row r="157015" s="12" customFormat="1" x14ac:dyDescent="0.25"/>
    <row r="157016" s="12" customFormat="1" x14ac:dyDescent="0.25"/>
    <row r="157017" s="12" customFormat="1" x14ac:dyDescent="0.25"/>
    <row r="157018" s="12" customFormat="1" x14ac:dyDescent="0.25"/>
    <row r="157019" s="12" customFormat="1" x14ac:dyDescent="0.25"/>
    <row r="157020" s="12" customFormat="1" x14ac:dyDescent="0.25"/>
    <row r="157021" s="12" customFormat="1" x14ac:dyDescent="0.25"/>
    <row r="157022" s="12" customFormat="1" x14ac:dyDescent="0.25"/>
    <row r="157023" s="12" customFormat="1" x14ac:dyDescent="0.25"/>
    <row r="157024" s="12" customFormat="1" x14ac:dyDescent="0.25"/>
    <row r="157025" s="12" customFormat="1" x14ac:dyDescent="0.25"/>
    <row r="157026" s="12" customFormat="1" x14ac:dyDescent="0.25"/>
    <row r="157027" s="12" customFormat="1" x14ac:dyDescent="0.25"/>
    <row r="157028" s="12" customFormat="1" x14ac:dyDescent="0.25"/>
    <row r="157029" s="12" customFormat="1" x14ac:dyDescent="0.25"/>
    <row r="157030" s="12" customFormat="1" x14ac:dyDescent="0.25"/>
    <row r="157031" s="12" customFormat="1" x14ac:dyDescent="0.25"/>
    <row r="157032" s="12" customFormat="1" x14ac:dyDescent="0.25"/>
    <row r="157033" s="12" customFormat="1" x14ac:dyDescent="0.25"/>
    <row r="157034" s="12" customFormat="1" x14ac:dyDescent="0.25"/>
    <row r="157035" s="12" customFormat="1" x14ac:dyDescent="0.25"/>
    <row r="157036" s="12" customFormat="1" x14ac:dyDescent="0.25"/>
    <row r="157037" s="12" customFormat="1" x14ac:dyDescent="0.25"/>
    <row r="157038" s="12" customFormat="1" x14ac:dyDescent="0.25"/>
    <row r="157039" s="12" customFormat="1" x14ac:dyDescent="0.25"/>
    <row r="157040" s="12" customFormat="1" x14ac:dyDescent="0.25"/>
    <row r="157041" s="12" customFormat="1" x14ac:dyDescent="0.25"/>
    <row r="157042" s="12" customFormat="1" x14ac:dyDescent="0.25"/>
    <row r="157043" s="12" customFormat="1" x14ac:dyDescent="0.25"/>
    <row r="157044" s="12" customFormat="1" x14ac:dyDescent="0.25"/>
    <row r="157045" s="12" customFormat="1" x14ac:dyDescent="0.25"/>
    <row r="157046" s="12" customFormat="1" x14ac:dyDescent="0.25"/>
    <row r="157047" s="12" customFormat="1" x14ac:dyDescent="0.25"/>
    <row r="157048" s="12" customFormat="1" x14ac:dyDescent="0.25"/>
    <row r="157049" s="12" customFormat="1" x14ac:dyDescent="0.25"/>
    <row r="157050" s="12" customFormat="1" x14ac:dyDescent="0.25"/>
    <row r="157051" s="12" customFormat="1" x14ac:dyDescent="0.25"/>
    <row r="157052" s="12" customFormat="1" x14ac:dyDescent="0.25"/>
    <row r="157053" s="12" customFormat="1" x14ac:dyDescent="0.25"/>
    <row r="157054" s="12" customFormat="1" x14ac:dyDescent="0.25"/>
    <row r="157055" s="12" customFormat="1" x14ac:dyDescent="0.25"/>
    <row r="157056" s="12" customFormat="1" x14ac:dyDescent="0.25"/>
    <row r="157057" s="12" customFormat="1" x14ac:dyDescent="0.25"/>
    <row r="157058" s="12" customFormat="1" x14ac:dyDescent="0.25"/>
    <row r="157059" s="12" customFormat="1" x14ac:dyDescent="0.25"/>
    <row r="157060" s="12" customFormat="1" x14ac:dyDescent="0.25"/>
    <row r="157061" s="12" customFormat="1" x14ac:dyDescent="0.25"/>
    <row r="157062" s="12" customFormat="1" x14ac:dyDescent="0.25"/>
    <row r="157063" s="12" customFormat="1" x14ac:dyDescent="0.25"/>
    <row r="157064" s="12" customFormat="1" x14ac:dyDescent="0.25"/>
    <row r="157065" s="12" customFormat="1" x14ac:dyDescent="0.25"/>
    <row r="157066" s="12" customFormat="1" x14ac:dyDescent="0.25"/>
    <row r="157067" s="12" customFormat="1" x14ac:dyDescent="0.25"/>
    <row r="157068" s="12" customFormat="1" x14ac:dyDescent="0.25"/>
    <row r="157069" s="12" customFormat="1" x14ac:dyDescent="0.25"/>
    <row r="157070" s="12" customFormat="1" x14ac:dyDescent="0.25"/>
    <row r="157071" s="12" customFormat="1" x14ac:dyDescent="0.25"/>
    <row r="157072" s="12" customFormat="1" x14ac:dyDescent="0.25"/>
    <row r="157073" s="12" customFormat="1" x14ac:dyDescent="0.25"/>
    <row r="157074" s="12" customFormat="1" x14ac:dyDescent="0.25"/>
    <row r="157075" s="12" customFormat="1" x14ac:dyDescent="0.25"/>
    <row r="157076" s="12" customFormat="1" x14ac:dyDescent="0.25"/>
    <row r="157077" s="12" customFormat="1" x14ac:dyDescent="0.25"/>
    <row r="157078" s="12" customFormat="1" x14ac:dyDescent="0.25"/>
    <row r="157079" s="12" customFormat="1" x14ac:dyDescent="0.25"/>
    <row r="157080" s="12" customFormat="1" x14ac:dyDescent="0.25"/>
    <row r="157081" s="12" customFormat="1" x14ac:dyDescent="0.25"/>
    <row r="157082" s="12" customFormat="1" x14ac:dyDescent="0.25"/>
    <row r="157083" s="12" customFormat="1" x14ac:dyDescent="0.25"/>
    <row r="157084" s="12" customFormat="1" x14ac:dyDescent="0.25"/>
    <row r="157085" s="12" customFormat="1" x14ac:dyDescent="0.25"/>
    <row r="157086" s="12" customFormat="1" x14ac:dyDescent="0.25"/>
    <row r="157087" s="12" customFormat="1" x14ac:dyDescent="0.25"/>
    <row r="157088" s="12" customFormat="1" x14ac:dyDescent="0.25"/>
    <row r="157089" s="12" customFormat="1" x14ac:dyDescent="0.25"/>
    <row r="157090" s="12" customFormat="1" x14ac:dyDescent="0.25"/>
    <row r="157091" s="12" customFormat="1" x14ac:dyDescent="0.25"/>
    <row r="157092" s="12" customFormat="1" x14ac:dyDescent="0.25"/>
    <row r="157093" s="12" customFormat="1" x14ac:dyDescent="0.25"/>
    <row r="157094" s="12" customFormat="1" x14ac:dyDescent="0.25"/>
    <row r="157095" s="12" customFormat="1" x14ac:dyDescent="0.25"/>
    <row r="157096" s="12" customFormat="1" x14ac:dyDescent="0.25"/>
    <row r="157097" s="12" customFormat="1" x14ac:dyDescent="0.25"/>
    <row r="157098" s="12" customFormat="1" x14ac:dyDescent="0.25"/>
    <row r="157099" s="12" customFormat="1" x14ac:dyDescent="0.25"/>
    <row r="157100" s="12" customFormat="1" x14ac:dyDescent="0.25"/>
    <row r="157101" s="12" customFormat="1" x14ac:dyDescent="0.25"/>
    <row r="157102" s="12" customFormat="1" x14ac:dyDescent="0.25"/>
    <row r="157103" s="12" customFormat="1" x14ac:dyDescent="0.25"/>
    <row r="157104" s="12" customFormat="1" x14ac:dyDescent="0.25"/>
    <row r="157105" s="12" customFormat="1" x14ac:dyDescent="0.25"/>
    <row r="157106" s="12" customFormat="1" x14ac:dyDescent="0.25"/>
    <row r="157107" s="12" customFormat="1" x14ac:dyDescent="0.25"/>
    <row r="157108" s="12" customFormat="1" x14ac:dyDescent="0.25"/>
    <row r="157109" s="12" customFormat="1" x14ac:dyDescent="0.25"/>
    <row r="157110" s="12" customFormat="1" x14ac:dyDescent="0.25"/>
    <row r="157111" s="12" customFormat="1" x14ac:dyDescent="0.25"/>
    <row r="157112" s="12" customFormat="1" x14ac:dyDescent="0.25"/>
    <row r="157113" s="12" customFormat="1" x14ac:dyDescent="0.25"/>
    <row r="157114" s="12" customFormat="1" x14ac:dyDescent="0.25"/>
    <row r="157115" s="12" customFormat="1" x14ac:dyDescent="0.25"/>
    <row r="157116" s="12" customFormat="1" x14ac:dyDescent="0.25"/>
    <row r="157117" s="12" customFormat="1" x14ac:dyDescent="0.25"/>
    <row r="157118" s="12" customFormat="1" x14ac:dyDescent="0.25"/>
    <row r="157119" s="12" customFormat="1" x14ac:dyDescent="0.25"/>
    <row r="157120" s="12" customFormat="1" x14ac:dyDescent="0.25"/>
    <row r="157121" s="12" customFormat="1" x14ac:dyDescent="0.25"/>
    <row r="157122" s="12" customFormat="1" x14ac:dyDescent="0.25"/>
    <row r="157123" s="12" customFormat="1" x14ac:dyDescent="0.25"/>
    <row r="157124" s="12" customFormat="1" x14ac:dyDescent="0.25"/>
    <row r="157125" s="12" customFormat="1" x14ac:dyDescent="0.25"/>
    <row r="157126" s="12" customFormat="1" x14ac:dyDescent="0.25"/>
    <row r="157127" s="12" customFormat="1" x14ac:dyDescent="0.25"/>
    <row r="157128" s="12" customFormat="1" x14ac:dyDescent="0.25"/>
    <row r="157129" s="12" customFormat="1" x14ac:dyDescent="0.25"/>
    <row r="157130" s="12" customFormat="1" x14ac:dyDescent="0.25"/>
    <row r="157131" s="12" customFormat="1" x14ac:dyDescent="0.25"/>
    <row r="157132" s="12" customFormat="1" x14ac:dyDescent="0.25"/>
    <row r="157133" s="12" customFormat="1" x14ac:dyDescent="0.25"/>
    <row r="157134" s="12" customFormat="1" x14ac:dyDescent="0.25"/>
    <row r="157135" s="12" customFormat="1" x14ac:dyDescent="0.25"/>
    <row r="157136" s="12" customFormat="1" x14ac:dyDescent="0.25"/>
    <row r="157137" s="12" customFormat="1" x14ac:dyDescent="0.25"/>
    <row r="157138" s="12" customFormat="1" x14ac:dyDescent="0.25"/>
    <row r="157139" s="12" customFormat="1" x14ac:dyDescent="0.25"/>
    <row r="157140" s="12" customFormat="1" x14ac:dyDescent="0.25"/>
    <row r="157141" s="12" customFormat="1" x14ac:dyDescent="0.25"/>
    <row r="157142" s="12" customFormat="1" x14ac:dyDescent="0.25"/>
    <row r="157143" s="12" customFormat="1" x14ac:dyDescent="0.25"/>
    <row r="157144" s="12" customFormat="1" x14ac:dyDescent="0.25"/>
    <row r="157145" s="12" customFormat="1" x14ac:dyDescent="0.25"/>
    <row r="157146" s="12" customFormat="1" x14ac:dyDescent="0.25"/>
    <row r="157147" s="12" customFormat="1" x14ac:dyDescent="0.25"/>
    <row r="157148" s="12" customFormat="1" x14ac:dyDescent="0.25"/>
    <row r="157149" s="12" customFormat="1" x14ac:dyDescent="0.25"/>
    <row r="157150" s="12" customFormat="1" x14ac:dyDescent="0.25"/>
    <row r="157151" s="12" customFormat="1" x14ac:dyDescent="0.25"/>
    <row r="157152" s="12" customFormat="1" x14ac:dyDescent="0.25"/>
    <row r="157153" s="12" customFormat="1" x14ac:dyDescent="0.25"/>
    <row r="157154" s="12" customFormat="1" x14ac:dyDescent="0.25"/>
    <row r="157155" s="12" customFormat="1" x14ac:dyDescent="0.25"/>
    <row r="157156" s="12" customFormat="1" x14ac:dyDescent="0.25"/>
    <row r="157157" s="12" customFormat="1" x14ac:dyDescent="0.25"/>
    <row r="157158" s="12" customFormat="1" x14ac:dyDescent="0.25"/>
    <row r="157159" s="12" customFormat="1" x14ac:dyDescent="0.25"/>
    <row r="157160" s="12" customFormat="1" x14ac:dyDescent="0.25"/>
    <row r="157161" s="12" customFormat="1" x14ac:dyDescent="0.25"/>
    <row r="157162" s="12" customFormat="1" x14ac:dyDescent="0.25"/>
    <row r="157163" s="12" customFormat="1" x14ac:dyDescent="0.25"/>
    <row r="157164" s="12" customFormat="1" x14ac:dyDescent="0.25"/>
    <row r="157165" s="12" customFormat="1" x14ac:dyDescent="0.25"/>
    <row r="157166" s="12" customFormat="1" x14ac:dyDescent="0.25"/>
    <row r="157167" s="12" customFormat="1" x14ac:dyDescent="0.25"/>
    <row r="157168" s="12" customFormat="1" x14ac:dyDescent="0.25"/>
    <row r="157169" s="12" customFormat="1" x14ac:dyDescent="0.25"/>
    <row r="157170" s="12" customFormat="1" x14ac:dyDescent="0.25"/>
    <row r="157171" s="12" customFormat="1" x14ac:dyDescent="0.25"/>
    <row r="157172" s="12" customFormat="1" x14ac:dyDescent="0.25"/>
    <row r="157173" s="12" customFormat="1" x14ac:dyDescent="0.25"/>
    <row r="157174" s="12" customFormat="1" x14ac:dyDescent="0.25"/>
    <row r="157175" s="12" customFormat="1" x14ac:dyDescent="0.25"/>
    <row r="157176" s="12" customFormat="1" x14ac:dyDescent="0.25"/>
    <row r="157177" s="12" customFormat="1" x14ac:dyDescent="0.25"/>
    <row r="157178" s="12" customFormat="1" x14ac:dyDescent="0.25"/>
    <row r="157179" s="12" customFormat="1" x14ac:dyDescent="0.25"/>
    <row r="157180" s="12" customFormat="1" x14ac:dyDescent="0.25"/>
    <row r="157181" s="12" customFormat="1" x14ac:dyDescent="0.25"/>
    <row r="157182" s="12" customFormat="1" x14ac:dyDescent="0.25"/>
    <row r="157183" s="12" customFormat="1" x14ac:dyDescent="0.25"/>
    <row r="157184" s="12" customFormat="1" x14ac:dyDescent="0.25"/>
    <row r="157185" s="12" customFormat="1" x14ac:dyDescent="0.25"/>
    <row r="157186" s="12" customFormat="1" x14ac:dyDescent="0.25"/>
    <row r="157187" s="12" customFormat="1" x14ac:dyDescent="0.25"/>
    <row r="157188" s="12" customFormat="1" x14ac:dyDescent="0.25"/>
    <row r="157189" s="12" customFormat="1" x14ac:dyDescent="0.25"/>
    <row r="157190" s="12" customFormat="1" x14ac:dyDescent="0.25"/>
    <row r="157191" s="12" customFormat="1" x14ac:dyDescent="0.25"/>
    <row r="157192" s="12" customFormat="1" x14ac:dyDescent="0.25"/>
    <row r="157193" s="12" customFormat="1" x14ac:dyDescent="0.25"/>
    <row r="157194" s="12" customFormat="1" x14ac:dyDescent="0.25"/>
    <row r="157195" s="12" customFormat="1" x14ac:dyDescent="0.25"/>
    <row r="157196" s="12" customFormat="1" x14ac:dyDescent="0.25"/>
    <row r="157197" s="12" customFormat="1" x14ac:dyDescent="0.25"/>
    <row r="157198" s="12" customFormat="1" x14ac:dyDescent="0.25"/>
    <row r="157199" s="12" customFormat="1" x14ac:dyDescent="0.25"/>
    <row r="157200" s="12" customFormat="1" x14ac:dyDescent="0.25"/>
    <row r="157201" s="12" customFormat="1" x14ac:dyDescent="0.25"/>
    <row r="157202" s="12" customFormat="1" x14ac:dyDescent="0.25"/>
    <row r="157203" s="12" customFormat="1" x14ac:dyDescent="0.25"/>
    <row r="157204" s="12" customFormat="1" x14ac:dyDescent="0.25"/>
    <row r="157205" s="12" customFormat="1" x14ac:dyDescent="0.25"/>
    <row r="157206" s="12" customFormat="1" x14ac:dyDescent="0.25"/>
    <row r="157207" s="12" customFormat="1" x14ac:dyDescent="0.25"/>
    <row r="157208" s="12" customFormat="1" x14ac:dyDescent="0.25"/>
    <row r="157209" s="12" customFormat="1" x14ac:dyDescent="0.25"/>
    <row r="157210" s="12" customFormat="1" x14ac:dyDescent="0.25"/>
    <row r="157211" s="12" customFormat="1" x14ac:dyDescent="0.25"/>
    <row r="157212" s="12" customFormat="1" x14ac:dyDescent="0.25"/>
    <row r="157213" s="12" customFormat="1" x14ac:dyDescent="0.25"/>
    <row r="157214" s="12" customFormat="1" x14ac:dyDescent="0.25"/>
    <row r="157215" s="12" customFormat="1" x14ac:dyDescent="0.25"/>
    <row r="157216" s="12" customFormat="1" x14ac:dyDescent="0.25"/>
    <row r="157217" s="12" customFormat="1" x14ac:dyDescent="0.25"/>
    <row r="157218" s="12" customFormat="1" x14ac:dyDescent="0.25"/>
    <row r="157219" s="12" customFormat="1" x14ac:dyDescent="0.25"/>
    <row r="157220" s="12" customFormat="1" x14ac:dyDescent="0.25"/>
    <row r="157221" s="12" customFormat="1" x14ac:dyDescent="0.25"/>
    <row r="157222" s="12" customFormat="1" x14ac:dyDescent="0.25"/>
    <row r="157223" s="12" customFormat="1" x14ac:dyDescent="0.25"/>
    <row r="157224" s="12" customFormat="1" x14ac:dyDescent="0.25"/>
    <row r="157225" s="12" customFormat="1" x14ac:dyDescent="0.25"/>
    <row r="157226" s="12" customFormat="1" x14ac:dyDescent="0.25"/>
    <row r="157227" s="12" customFormat="1" x14ac:dyDescent="0.25"/>
    <row r="157228" s="12" customFormat="1" x14ac:dyDescent="0.25"/>
    <row r="157229" s="12" customFormat="1" x14ac:dyDescent="0.25"/>
    <row r="157230" s="12" customFormat="1" x14ac:dyDescent="0.25"/>
    <row r="157231" s="12" customFormat="1" x14ac:dyDescent="0.25"/>
    <row r="157232" s="12" customFormat="1" x14ac:dyDescent="0.25"/>
    <row r="157233" s="12" customFormat="1" x14ac:dyDescent="0.25"/>
    <row r="157234" s="12" customFormat="1" x14ac:dyDescent="0.25"/>
    <row r="157235" s="12" customFormat="1" x14ac:dyDescent="0.25"/>
    <row r="157236" s="12" customFormat="1" x14ac:dyDescent="0.25"/>
    <row r="157237" s="12" customFormat="1" x14ac:dyDescent="0.25"/>
    <row r="157238" s="12" customFormat="1" x14ac:dyDescent="0.25"/>
    <row r="157239" s="12" customFormat="1" x14ac:dyDescent="0.25"/>
    <row r="157240" s="12" customFormat="1" x14ac:dyDescent="0.25"/>
    <row r="157241" s="12" customFormat="1" x14ac:dyDescent="0.25"/>
    <row r="157242" s="12" customFormat="1" x14ac:dyDescent="0.25"/>
    <row r="157243" s="12" customFormat="1" x14ac:dyDescent="0.25"/>
    <row r="157244" s="12" customFormat="1" x14ac:dyDescent="0.25"/>
    <row r="157245" s="12" customFormat="1" x14ac:dyDescent="0.25"/>
    <row r="157246" s="12" customFormat="1" x14ac:dyDescent="0.25"/>
    <row r="157247" s="12" customFormat="1" x14ac:dyDescent="0.25"/>
    <row r="157248" s="12" customFormat="1" x14ac:dyDescent="0.25"/>
    <row r="157249" s="12" customFormat="1" x14ac:dyDescent="0.25"/>
    <row r="157250" s="12" customFormat="1" x14ac:dyDescent="0.25"/>
    <row r="157251" s="12" customFormat="1" x14ac:dyDescent="0.25"/>
    <row r="157252" s="12" customFormat="1" x14ac:dyDescent="0.25"/>
    <row r="157253" s="12" customFormat="1" x14ac:dyDescent="0.25"/>
    <row r="157254" s="12" customFormat="1" x14ac:dyDescent="0.25"/>
    <row r="157255" s="12" customFormat="1" x14ac:dyDescent="0.25"/>
    <row r="157256" s="12" customFormat="1" x14ac:dyDescent="0.25"/>
    <row r="157257" s="12" customFormat="1" x14ac:dyDescent="0.25"/>
    <row r="157258" s="12" customFormat="1" x14ac:dyDescent="0.25"/>
    <row r="157259" s="12" customFormat="1" x14ac:dyDescent="0.25"/>
    <row r="157260" s="12" customFormat="1" x14ac:dyDescent="0.25"/>
    <row r="157261" s="12" customFormat="1" x14ac:dyDescent="0.25"/>
    <row r="157262" s="12" customFormat="1" x14ac:dyDescent="0.25"/>
    <row r="157263" s="12" customFormat="1" x14ac:dyDescent="0.25"/>
    <row r="157264" s="12" customFormat="1" x14ac:dyDescent="0.25"/>
    <row r="157265" s="12" customFormat="1" x14ac:dyDescent="0.25"/>
    <row r="157266" s="12" customFormat="1" x14ac:dyDescent="0.25"/>
    <row r="157267" s="12" customFormat="1" x14ac:dyDescent="0.25"/>
    <row r="157268" s="12" customFormat="1" x14ac:dyDescent="0.25"/>
    <row r="157269" s="12" customFormat="1" x14ac:dyDescent="0.25"/>
    <row r="157270" s="12" customFormat="1" x14ac:dyDescent="0.25"/>
    <row r="157271" s="12" customFormat="1" x14ac:dyDescent="0.25"/>
    <row r="157272" s="12" customFormat="1" x14ac:dyDescent="0.25"/>
    <row r="157273" s="12" customFormat="1" x14ac:dyDescent="0.25"/>
    <row r="157274" s="12" customFormat="1" x14ac:dyDescent="0.25"/>
    <row r="157275" s="12" customFormat="1" x14ac:dyDescent="0.25"/>
    <row r="157276" s="12" customFormat="1" x14ac:dyDescent="0.25"/>
    <row r="157277" s="12" customFormat="1" x14ac:dyDescent="0.25"/>
    <row r="157278" s="12" customFormat="1" x14ac:dyDescent="0.25"/>
    <row r="157279" s="12" customFormat="1" x14ac:dyDescent="0.25"/>
    <row r="157280" s="12" customFormat="1" x14ac:dyDescent="0.25"/>
    <row r="157281" s="12" customFormat="1" x14ac:dyDescent="0.25"/>
    <row r="157282" s="12" customFormat="1" x14ac:dyDescent="0.25"/>
    <row r="157283" s="12" customFormat="1" x14ac:dyDescent="0.25"/>
    <row r="157284" s="12" customFormat="1" x14ac:dyDescent="0.25"/>
    <row r="157285" s="12" customFormat="1" x14ac:dyDescent="0.25"/>
    <row r="157286" s="12" customFormat="1" x14ac:dyDescent="0.25"/>
    <row r="157287" s="12" customFormat="1" x14ac:dyDescent="0.25"/>
    <row r="157288" s="12" customFormat="1" x14ac:dyDescent="0.25"/>
    <row r="157289" s="12" customFormat="1" x14ac:dyDescent="0.25"/>
    <row r="157290" s="12" customFormat="1" x14ac:dyDescent="0.25"/>
    <row r="157291" s="12" customFormat="1" x14ac:dyDescent="0.25"/>
    <row r="157292" s="12" customFormat="1" x14ac:dyDescent="0.25"/>
    <row r="157293" s="12" customFormat="1" x14ac:dyDescent="0.25"/>
    <row r="157294" s="12" customFormat="1" x14ac:dyDescent="0.25"/>
    <row r="157295" s="12" customFormat="1" x14ac:dyDescent="0.25"/>
    <row r="157296" s="12" customFormat="1" x14ac:dyDescent="0.25"/>
    <row r="157297" s="12" customFormat="1" x14ac:dyDescent="0.25"/>
    <row r="157298" s="12" customFormat="1" x14ac:dyDescent="0.25"/>
    <row r="157299" s="12" customFormat="1" x14ac:dyDescent="0.25"/>
    <row r="157300" s="12" customFormat="1" x14ac:dyDescent="0.25"/>
    <row r="157301" s="12" customFormat="1" x14ac:dyDescent="0.25"/>
    <row r="157302" s="12" customFormat="1" x14ac:dyDescent="0.25"/>
    <row r="157303" s="12" customFormat="1" x14ac:dyDescent="0.25"/>
    <row r="157304" s="12" customFormat="1" x14ac:dyDescent="0.25"/>
    <row r="157305" s="12" customFormat="1" x14ac:dyDescent="0.25"/>
    <row r="157306" s="12" customFormat="1" x14ac:dyDescent="0.25"/>
    <row r="157307" s="12" customFormat="1" x14ac:dyDescent="0.25"/>
    <row r="157308" s="12" customFormat="1" x14ac:dyDescent="0.25"/>
    <row r="157309" s="12" customFormat="1" x14ac:dyDescent="0.25"/>
    <row r="157310" s="12" customFormat="1" x14ac:dyDescent="0.25"/>
    <row r="157311" s="12" customFormat="1" x14ac:dyDescent="0.25"/>
    <row r="157312" s="12" customFormat="1" x14ac:dyDescent="0.25"/>
    <row r="157313" s="12" customFormat="1" x14ac:dyDescent="0.25"/>
    <row r="157314" s="12" customFormat="1" x14ac:dyDescent="0.25"/>
    <row r="157315" s="12" customFormat="1" x14ac:dyDescent="0.25"/>
    <row r="157316" s="12" customFormat="1" x14ac:dyDescent="0.25"/>
    <row r="157317" s="12" customFormat="1" x14ac:dyDescent="0.25"/>
    <row r="157318" s="12" customFormat="1" x14ac:dyDescent="0.25"/>
    <row r="157319" s="12" customFormat="1" x14ac:dyDescent="0.25"/>
    <row r="157320" s="12" customFormat="1" x14ac:dyDescent="0.25"/>
    <row r="157321" s="12" customFormat="1" x14ac:dyDescent="0.25"/>
    <row r="157322" s="12" customFormat="1" x14ac:dyDescent="0.25"/>
    <row r="157323" s="12" customFormat="1" x14ac:dyDescent="0.25"/>
    <row r="157324" s="12" customFormat="1" x14ac:dyDescent="0.25"/>
    <row r="157325" s="12" customFormat="1" x14ac:dyDescent="0.25"/>
    <row r="157326" s="12" customFormat="1" x14ac:dyDescent="0.25"/>
    <row r="157327" s="12" customFormat="1" x14ac:dyDescent="0.25"/>
    <row r="157328" s="12" customFormat="1" x14ac:dyDescent="0.25"/>
    <row r="157329" s="12" customFormat="1" x14ac:dyDescent="0.25"/>
    <row r="157330" s="12" customFormat="1" x14ac:dyDescent="0.25"/>
    <row r="157331" s="12" customFormat="1" x14ac:dyDescent="0.25"/>
    <row r="157332" s="12" customFormat="1" x14ac:dyDescent="0.25"/>
    <row r="157333" s="12" customFormat="1" x14ac:dyDescent="0.25"/>
    <row r="157334" s="12" customFormat="1" x14ac:dyDescent="0.25"/>
    <row r="157335" s="12" customFormat="1" x14ac:dyDescent="0.25"/>
    <row r="157336" s="12" customFormat="1" x14ac:dyDescent="0.25"/>
    <row r="157337" s="12" customFormat="1" x14ac:dyDescent="0.25"/>
    <row r="157338" s="12" customFormat="1" x14ac:dyDescent="0.25"/>
    <row r="157339" s="12" customFormat="1" x14ac:dyDescent="0.25"/>
    <row r="157340" s="12" customFormat="1" x14ac:dyDescent="0.25"/>
    <row r="157341" s="12" customFormat="1" x14ac:dyDescent="0.25"/>
    <row r="157342" s="12" customFormat="1" x14ac:dyDescent="0.25"/>
    <row r="157343" s="12" customFormat="1" x14ac:dyDescent="0.25"/>
    <row r="157344" s="12" customFormat="1" x14ac:dyDescent="0.25"/>
    <row r="157345" s="12" customFormat="1" x14ac:dyDescent="0.25"/>
    <row r="157346" s="12" customFormat="1" x14ac:dyDescent="0.25"/>
    <row r="157347" s="12" customFormat="1" x14ac:dyDescent="0.25"/>
    <row r="157348" s="12" customFormat="1" x14ac:dyDescent="0.25"/>
    <row r="157349" s="12" customFormat="1" x14ac:dyDescent="0.25"/>
    <row r="157350" s="12" customFormat="1" x14ac:dyDescent="0.25"/>
    <row r="157351" s="12" customFormat="1" x14ac:dyDescent="0.25"/>
    <row r="157352" s="12" customFormat="1" x14ac:dyDescent="0.25"/>
    <row r="157353" s="12" customFormat="1" x14ac:dyDescent="0.25"/>
    <row r="157354" s="12" customFormat="1" x14ac:dyDescent="0.25"/>
    <row r="157355" s="12" customFormat="1" x14ac:dyDescent="0.25"/>
    <row r="157356" s="12" customFormat="1" x14ac:dyDescent="0.25"/>
    <row r="157357" s="12" customFormat="1" x14ac:dyDescent="0.25"/>
    <row r="157358" s="12" customFormat="1" x14ac:dyDescent="0.25"/>
    <row r="157359" s="12" customFormat="1" x14ac:dyDescent="0.25"/>
    <row r="157360" s="12" customFormat="1" x14ac:dyDescent="0.25"/>
    <row r="157361" s="12" customFormat="1" x14ac:dyDescent="0.25"/>
    <row r="157362" s="12" customFormat="1" x14ac:dyDescent="0.25"/>
    <row r="157363" s="12" customFormat="1" x14ac:dyDescent="0.25"/>
    <row r="157364" s="12" customFormat="1" x14ac:dyDescent="0.25"/>
    <row r="157365" s="12" customFormat="1" x14ac:dyDescent="0.25"/>
    <row r="157366" s="12" customFormat="1" x14ac:dyDescent="0.25"/>
    <row r="157367" s="12" customFormat="1" x14ac:dyDescent="0.25"/>
    <row r="157368" s="12" customFormat="1" x14ac:dyDescent="0.25"/>
    <row r="157369" s="12" customFormat="1" x14ac:dyDescent="0.25"/>
    <row r="157370" s="12" customFormat="1" x14ac:dyDescent="0.25"/>
    <row r="157371" s="12" customFormat="1" x14ac:dyDescent="0.25"/>
    <row r="157372" s="12" customFormat="1" x14ac:dyDescent="0.25"/>
    <row r="157373" s="12" customFormat="1" x14ac:dyDescent="0.25"/>
    <row r="157374" s="12" customFormat="1" x14ac:dyDescent="0.25"/>
    <row r="157375" s="12" customFormat="1" x14ac:dyDescent="0.25"/>
    <row r="157376" s="12" customFormat="1" x14ac:dyDescent="0.25"/>
    <row r="157377" s="12" customFormat="1" x14ac:dyDescent="0.25"/>
    <row r="157378" s="12" customFormat="1" x14ac:dyDescent="0.25"/>
    <row r="157379" s="12" customFormat="1" x14ac:dyDescent="0.25"/>
    <row r="157380" s="12" customFormat="1" x14ac:dyDescent="0.25"/>
    <row r="157381" s="12" customFormat="1" x14ac:dyDescent="0.25"/>
    <row r="157382" s="12" customFormat="1" x14ac:dyDescent="0.25"/>
    <row r="157383" s="12" customFormat="1" x14ac:dyDescent="0.25"/>
    <row r="157384" s="12" customFormat="1" x14ac:dyDescent="0.25"/>
    <row r="157385" s="12" customFormat="1" x14ac:dyDescent="0.25"/>
    <row r="157386" s="12" customFormat="1" x14ac:dyDescent="0.25"/>
    <row r="157387" s="12" customFormat="1" x14ac:dyDescent="0.25"/>
    <row r="157388" s="12" customFormat="1" x14ac:dyDescent="0.25"/>
    <row r="157389" s="12" customFormat="1" x14ac:dyDescent="0.25"/>
    <row r="157390" s="12" customFormat="1" x14ac:dyDescent="0.25"/>
    <row r="157391" s="12" customFormat="1" x14ac:dyDescent="0.25"/>
    <row r="157392" s="12" customFormat="1" x14ac:dyDescent="0.25"/>
    <row r="157393" s="12" customFormat="1" x14ac:dyDescent="0.25"/>
    <row r="157394" s="12" customFormat="1" x14ac:dyDescent="0.25"/>
    <row r="157395" s="12" customFormat="1" x14ac:dyDescent="0.25"/>
    <row r="157396" s="12" customFormat="1" x14ac:dyDescent="0.25"/>
    <row r="157397" s="12" customFormat="1" x14ac:dyDescent="0.25"/>
    <row r="157398" s="12" customFormat="1" x14ac:dyDescent="0.25"/>
    <row r="157399" s="12" customFormat="1" x14ac:dyDescent="0.25"/>
    <row r="157400" s="12" customFormat="1" x14ac:dyDescent="0.25"/>
    <row r="157401" s="12" customFormat="1" x14ac:dyDescent="0.25"/>
    <row r="157402" s="12" customFormat="1" x14ac:dyDescent="0.25"/>
    <row r="157403" s="12" customFormat="1" x14ac:dyDescent="0.25"/>
    <row r="157404" s="12" customFormat="1" x14ac:dyDescent="0.25"/>
    <row r="157405" s="12" customFormat="1" x14ac:dyDescent="0.25"/>
    <row r="157406" s="12" customFormat="1" x14ac:dyDescent="0.25"/>
    <row r="157407" s="12" customFormat="1" x14ac:dyDescent="0.25"/>
    <row r="157408" s="12" customFormat="1" x14ac:dyDescent="0.25"/>
    <row r="157409" s="12" customFormat="1" x14ac:dyDescent="0.25"/>
    <row r="157410" s="12" customFormat="1" x14ac:dyDescent="0.25"/>
    <row r="157411" s="12" customFormat="1" x14ac:dyDescent="0.25"/>
    <row r="157412" s="12" customFormat="1" x14ac:dyDescent="0.25"/>
    <row r="157413" s="12" customFormat="1" x14ac:dyDescent="0.25"/>
    <row r="157414" s="12" customFormat="1" x14ac:dyDescent="0.25"/>
    <row r="157415" s="12" customFormat="1" x14ac:dyDescent="0.25"/>
    <row r="157416" s="12" customFormat="1" x14ac:dyDescent="0.25"/>
    <row r="157417" s="12" customFormat="1" x14ac:dyDescent="0.25"/>
    <row r="157418" s="12" customFormat="1" x14ac:dyDescent="0.25"/>
    <row r="157419" s="12" customFormat="1" x14ac:dyDescent="0.25"/>
    <row r="157420" s="12" customFormat="1" x14ac:dyDescent="0.25"/>
    <row r="157421" s="12" customFormat="1" x14ac:dyDescent="0.25"/>
    <row r="157422" s="12" customFormat="1" x14ac:dyDescent="0.25"/>
    <row r="157423" s="12" customFormat="1" x14ac:dyDescent="0.25"/>
    <row r="157424" s="12" customFormat="1" x14ac:dyDescent="0.25"/>
    <row r="157425" s="12" customFormat="1" x14ac:dyDescent="0.25"/>
    <row r="157426" s="12" customFormat="1" x14ac:dyDescent="0.25"/>
    <row r="157427" s="12" customFormat="1" x14ac:dyDescent="0.25"/>
    <row r="157428" s="12" customFormat="1" x14ac:dyDescent="0.25"/>
    <row r="157429" s="12" customFormat="1" x14ac:dyDescent="0.25"/>
    <row r="157430" s="12" customFormat="1" x14ac:dyDescent="0.25"/>
    <row r="157431" s="12" customFormat="1" x14ac:dyDescent="0.25"/>
    <row r="157432" s="12" customFormat="1" x14ac:dyDescent="0.25"/>
    <row r="157433" s="12" customFormat="1" x14ac:dyDescent="0.25"/>
    <row r="157434" s="12" customFormat="1" x14ac:dyDescent="0.25"/>
    <row r="157435" s="12" customFormat="1" x14ac:dyDescent="0.25"/>
    <row r="157436" s="12" customFormat="1" x14ac:dyDescent="0.25"/>
    <row r="157437" s="12" customFormat="1" x14ac:dyDescent="0.25"/>
    <row r="157438" s="12" customFormat="1" x14ac:dyDescent="0.25"/>
    <row r="157439" s="12" customFormat="1" x14ac:dyDescent="0.25"/>
    <row r="157440" s="12" customFormat="1" x14ac:dyDescent="0.25"/>
    <row r="157441" s="12" customFormat="1" x14ac:dyDescent="0.25"/>
    <row r="157442" s="12" customFormat="1" x14ac:dyDescent="0.25"/>
    <row r="157443" s="12" customFormat="1" x14ac:dyDescent="0.25"/>
    <row r="157444" s="12" customFormat="1" x14ac:dyDescent="0.25"/>
    <row r="157445" s="12" customFormat="1" x14ac:dyDescent="0.25"/>
    <row r="157446" s="12" customFormat="1" x14ac:dyDescent="0.25"/>
    <row r="157447" s="12" customFormat="1" x14ac:dyDescent="0.25"/>
    <row r="157448" s="12" customFormat="1" x14ac:dyDescent="0.25"/>
    <row r="157449" s="12" customFormat="1" x14ac:dyDescent="0.25"/>
    <row r="157450" s="12" customFormat="1" x14ac:dyDescent="0.25"/>
    <row r="157451" s="12" customFormat="1" x14ac:dyDescent="0.25"/>
    <row r="157452" s="12" customFormat="1" x14ac:dyDescent="0.25"/>
    <row r="157453" s="12" customFormat="1" x14ac:dyDescent="0.25"/>
    <row r="157454" s="12" customFormat="1" x14ac:dyDescent="0.25"/>
    <row r="157455" s="12" customFormat="1" x14ac:dyDescent="0.25"/>
    <row r="157456" s="12" customFormat="1" x14ac:dyDescent="0.25"/>
    <row r="157457" s="12" customFormat="1" x14ac:dyDescent="0.25"/>
    <row r="157458" s="12" customFormat="1" x14ac:dyDescent="0.25"/>
    <row r="157459" s="12" customFormat="1" x14ac:dyDescent="0.25"/>
    <row r="157460" s="12" customFormat="1" x14ac:dyDescent="0.25"/>
    <row r="157461" s="12" customFormat="1" x14ac:dyDescent="0.25"/>
    <row r="157462" s="12" customFormat="1" x14ac:dyDescent="0.25"/>
    <row r="157463" s="12" customFormat="1" x14ac:dyDescent="0.25"/>
    <row r="157464" s="12" customFormat="1" x14ac:dyDescent="0.25"/>
    <row r="157465" s="12" customFormat="1" x14ac:dyDescent="0.25"/>
    <row r="157466" s="12" customFormat="1" x14ac:dyDescent="0.25"/>
    <row r="157467" s="12" customFormat="1" x14ac:dyDescent="0.25"/>
    <row r="157468" s="12" customFormat="1" x14ac:dyDescent="0.25"/>
    <row r="157469" s="12" customFormat="1" x14ac:dyDescent="0.25"/>
    <row r="157470" s="12" customFormat="1" x14ac:dyDescent="0.25"/>
    <row r="157471" s="12" customFormat="1" x14ac:dyDescent="0.25"/>
    <row r="157472" s="12" customFormat="1" x14ac:dyDescent="0.25"/>
    <row r="157473" s="12" customFormat="1" x14ac:dyDescent="0.25"/>
    <row r="157474" s="12" customFormat="1" x14ac:dyDescent="0.25"/>
    <row r="157475" s="12" customFormat="1" x14ac:dyDescent="0.25"/>
    <row r="157476" s="12" customFormat="1" x14ac:dyDescent="0.25"/>
    <row r="157477" s="12" customFormat="1" x14ac:dyDescent="0.25"/>
    <row r="157478" s="12" customFormat="1" x14ac:dyDescent="0.25"/>
    <row r="157479" s="12" customFormat="1" x14ac:dyDescent="0.25"/>
    <row r="157480" s="12" customFormat="1" x14ac:dyDescent="0.25"/>
    <row r="157481" s="12" customFormat="1" x14ac:dyDescent="0.25"/>
    <row r="157482" s="12" customFormat="1" x14ac:dyDescent="0.25"/>
    <row r="157483" s="12" customFormat="1" x14ac:dyDescent="0.25"/>
    <row r="157484" s="12" customFormat="1" x14ac:dyDescent="0.25"/>
    <row r="157485" s="12" customFormat="1" x14ac:dyDescent="0.25"/>
    <row r="157486" s="12" customFormat="1" x14ac:dyDescent="0.25"/>
    <row r="157487" s="12" customFormat="1" x14ac:dyDescent="0.25"/>
    <row r="157488" s="12" customFormat="1" x14ac:dyDescent="0.25"/>
    <row r="157489" s="12" customFormat="1" x14ac:dyDescent="0.25"/>
    <row r="157490" s="12" customFormat="1" x14ac:dyDescent="0.25"/>
    <row r="157491" s="12" customFormat="1" x14ac:dyDescent="0.25"/>
    <row r="157492" s="12" customFormat="1" x14ac:dyDescent="0.25"/>
    <row r="157493" s="12" customFormat="1" x14ac:dyDescent="0.25"/>
    <row r="157494" s="12" customFormat="1" x14ac:dyDescent="0.25"/>
    <row r="157495" s="12" customFormat="1" x14ac:dyDescent="0.25"/>
    <row r="157496" s="12" customFormat="1" x14ac:dyDescent="0.25"/>
    <row r="157497" s="12" customFormat="1" x14ac:dyDescent="0.25"/>
    <row r="157498" s="12" customFormat="1" x14ac:dyDescent="0.25"/>
    <row r="157499" s="12" customFormat="1" x14ac:dyDescent="0.25"/>
    <row r="157500" s="12" customFormat="1" x14ac:dyDescent="0.25"/>
    <row r="157501" s="12" customFormat="1" x14ac:dyDescent="0.25"/>
    <row r="157502" s="12" customFormat="1" x14ac:dyDescent="0.25"/>
    <row r="157503" s="12" customFormat="1" x14ac:dyDescent="0.25"/>
    <row r="157504" s="12" customFormat="1" x14ac:dyDescent="0.25"/>
    <row r="157505" s="12" customFormat="1" x14ac:dyDescent="0.25"/>
    <row r="157506" s="12" customFormat="1" x14ac:dyDescent="0.25"/>
    <row r="157507" s="12" customFormat="1" x14ac:dyDescent="0.25"/>
    <row r="157508" s="12" customFormat="1" x14ac:dyDescent="0.25"/>
    <row r="157509" s="12" customFormat="1" x14ac:dyDescent="0.25"/>
    <row r="157510" s="12" customFormat="1" x14ac:dyDescent="0.25"/>
    <row r="157511" s="12" customFormat="1" x14ac:dyDescent="0.25"/>
    <row r="157512" s="12" customFormat="1" x14ac:dyDescent="0.25"/>
    <row r="157513" s="12" customFormat="1" x14ac:dyDescent="0.25"/>
    <row r="157514" s="12" customFormat="1" x14ac:dyDescent="0.25"/>
    <row r="157515" s="12" customFormat="1" x14ac:dyDescent="0.25"/>
    <row r="157516" s="12" customFormat="1" x14ac:dyDescent="0.25"/>
    <row r="157517" s="12" customFormat="1" x14ac:dyDescent="0.25"/>
    <row r="157518" s="12" customFormat="1" x14ac:dyDescent="0.25"/>
    <row r="157519" s="12" customFormat="1" x14ac:dyDescent="0.25"/>
    <row r="157520" s="12" customFormat="1" x14ac:dyDescent="0.25"/>
    <row r="157521" s="12" customFormat="1" x14ac:dyDescent="0.25"/>
    <row r="157522" s="12" customFormat="1" x14ac:dyDescent="0.25"/>
    <row r="157523" s="12" customFormat="1" x14ac:dyDescent="0.25"/>
    <row r="157524" s="12" customFormat="1" x14ac:dyDescent="0.25"/>
    <row r="157525" s="12" customFormat="1" x14ac:dyDescent="0.25"/>
    <row r="157526" s="12" customFormat="1" x14ac:dyDescent="0.25"/>
    <row r="157527" s="12" customFormat="1" x14ac:dyDescent="0.25"/>
    <row r="157528" s="12" customFormat="1" x14ac:dyDescent="0.25"/>
    <row r="157529" s="12" customFormat="1" x14ac:dyDescent="0.25"/>
    <row r="157530" s="12" customFormat="1" x14ac:dyDescent="0.25"/>
    <row r="157531" s="12" customFormat="1" x14ac:dyDescent="0.25"/>
    <row r="157532" s="12" customFormat="1" x14ac:dyDescent="0.25"/>
    <row r="157533" s="12" customFormat="1" x14ac:dyDescent="0.25"/>
    <row r="157534" s="12" customFormat="1" x14ac:dyDescent="0.25"/>
    <row r="157535" s="12" customFormat="1" x14ac:dyDescent="0.25"/>
    <row r="157536" s="12" customFormat="1" x14ac:dyDescent="0.25"/>
    <row r="157537" s="12" customFormat="1" x14ac:dyDescent="0.25"/>
    <row r="157538" s="12" customFormat="1" x14ac:dyDescent="0.25"/>
    <row r="157539" s="12" customFormat="1" x14ac:dyDescent="0.25"/>
    <row r="157540" s="12" customFormat="1" x14ac:dyDescent="0.25"/>
    <row r="157541" s="12" customFormat="1" x14ac:dyDescent="0.25"/>
    <row r="157542" s="12" customFormat="1" x14ac:dyDescent="0.25"/>
    <row r="157543" s="12" customFormat="1" x14ac:dyDescent="0.25"/>
    <row r="157544" s="12" customFormat="1" x14ac:dyDescent="0.25"/>
    <row r="157545" s="12" customFormat="1" x14ac:dyDescent="0.25"/>
    <row r="157546" s="12" customFormat="1" x14ac:dyDescent="0.25"/>
    <row r="157547" s="12" customFormat="1" x14ac:dyDescent="0.25"/>
    <row r="157548" s="12" customFormat="1" x14ac:dyDescent="0.25"/>
    <row r="157549" s="12" customFormat="1" x14ac:dyDescent="0.25"/>
    <row r="157550" s="12" customFormat="1" x14ac:dyDescent="0.25"/>
    <row r="157551" s="12" customFormat="1" x14ac:dyDescent="0.25"/>
    <row r="157552" s="12" customFormat="1" x14ac:dyDescent="0.25"/>
    <row r="157553" s="12" customFormat="1" x14ac:dyDescent="0.25"/>
    <row r="157554" s="12" customFormat="1" x14ac:dyDescent="0.25"/>
    <row r="157555" s="12" customFormat="1" x14ac:dyDescent="0.25"/>
    <row r="157556" s="12" customFormat="1" x14ac:dyDescent="0.25"/>
    <row r="157557" s="12" customFormat="1" x14ac:dyDescent="0.25"/>
    <row r="157558" s="12" customFormat="1" x14ac:dyDescent="0.25"/>
    <row r="157559" s="12" customFormat="1" x14ac:dyDescent="0.25"/>
    <row r="157560" s="12" customFormat="1" x14ac:dyDescent="0.25"/>
    <row r="157561" s="12" customFormat="1" x14ac:dyDescent="0.25"/>
    <row r="157562" s="12" customFormat="1" x14ac:dyDescent="0.25"/>
    <row r="157563" s="12" customFormat="1" x14ac:dyDescent="0.25"/>
    <row r="157564" s="12" customFormat="1" x14ac:dyDescent="0.25"/>
    <row r="157565" s="12" customFormat="1" x14ac:dyDescent="0.25"/>
    <row r="157566" s="12" customFormat="1" x14ac:dyDescent="0.25"/>
    <row r="157567" s="12" customFormat="1" x14ac:dyDescent="0.25"/>
    <row r="157568" s="12" customFormat="1" x14ac:dyDescent="0.25"/>
    <row r="157569" s="12" customFormat="1" x14ac:dyDescent="0.25"/>
    <row r="157570" s="12" customFormat="1" x14ac:dyDescent="0.25"/>
    <row r="157571" s="12" customFormat="1" x14ac:dyDescent="0.25"/>
    <row r="157572" s="12" customFormat="1" x14ac:dyDescent="0.25"/>
    <row r="157573" s="12" customFormat="1" x14ac:dyDescent="0.25"/>
    <row r="157574" s="12" customFormat="1" x14ac:dyDescent="0.25"/>
    <row r="157575" s="12" customFormat="1" x14ac:dyDescent="0.25"/>
    <row r="157576" s="12" customFormat="1" x14ac:dyDescent="0.25"/>
    <row r="157577" s="12" customFormat="1" x14ac:dyDescent="0.25"/>
    <row r="157578" s="12" customFormat="1" x14ac:dyDescent="0.25"/>
    <row r="157579" s="12" customFormat="1" x14ac:dyDescent="0.25"/>
    <row r="157580" s="12" customFormat="1" x14ac:dyDescent="0.25"/>
    <row r="157581" s="12" customFormat="1" x14ac:dyDescent="0.25"/>
    <row r="157582" s="12" customFormat="1" x14ac:dyDescent="0.25"/>
    <row r="157583" s="12" customFormat="1" x14ac:dyDescent="0.25"/>
    <row r="157584" s="12" customFormat="1" x14ac:dyDescent="0.25"/>
    <row r="157585" s="12" customFormat="1" x14ac:dyDescent="0.25"/>
    <row r="157586" s="12" customFormat="1" x14ac:dyDescent="0.25"/>
    <row r="157587" s="12" customFormat="1" x14ac:dyDescent="0.25"/>
    <row r="157588" s="12" customFormat="1" x14ac:dyDescent="0.25"/>
    <row r="157589" s="12" customFormat="1" x14ac:dyDescent="0.25"/>
    <row r="157590" s="12" customFormat="1" x14ac:dyDescent="0.25"/>
    <row r="157591" s="12" customFormat="1" x14ac:dyDescent="0.25"/>
    <row r="157592" s="12" customFormat="1" x14ac:dyDescent="0.25"/>
    <row r="157593" s="12" customFormat="1" x14ac:dyDescent="0.25"/>
    <row r="157594" s="12" customFormat="1" x14ac:dyDescent="0.25"/>
    <row r="157595" s="12" customFormat="1" x14ac:dyDescent="0.25"/>
    <row r="157596" s="12" customFormat="1" x14ac:dyDescent="0.25"/>
    <row r="157597" s="12" customFormat="1" x14ac:dyDescent="0.25"/>
    <row r="157598" s="12" customFormat="1" x14ac:dyDescent="0.25"/>
    <row r="157599" s="12" customFormat="1" x14ac:dyDescent="0.25"/>
    <row r="157600" s="12" customFormat="1" x14ac:dyDescent="0.25"/>
    <row r="157601" s="12" customFormat="1" x14ac:dyDescent="0.25"/>
    <row r="157602" s="12" customFormat="1" x14ac:dyDescent="0.25"/>
    <row r="157603" s="12" customFormat="1" x14ac:dyDescent="0.25"/>
    <row r="157604" s="12" customFormat="1" x14ac:dyDescent="0.25"/>
    <row r="157605" s="12" customFormat="1" x14ac:dyDescent="0.25"/>
    <row r="157606" s="12" customFormat="1" x14ac:dyDescent="0.25"/>
    <row r="157607" s="12" customFormat="1" x14ac:dyDescent="0.25"/>
    <row r="157608" s="12" customFormat="1" x14ac:dyDescent="0.25"/>
    <row r="157609" s="12" customFormat="1" x14ac:dyDescent="0.25"/>
    <row r="157610" s="12" customFormat="1" x14ac:dyDescent="0.25"/>
    <row r="157611" s="12" customFormat="1" x14ac:dyDescent="0.25"/>
    <row r="157612" s="12" customFormat="1" x14ac:dyDescent="0.25"/>
    <row r="157613" s="12" customFormat="1" x14ac:dyDescent="0.25"/>
    <row r="157614" s="12" customFormat="1" x14ac:dyDescent="0.25"/>
    <row r="157615" s="12" customFormat="1" x14ac:dyDescent="0.25"/>
    <row r="157616" s="12" customFormat="1" x14ac:dyDescent="0.25"/>
    <row r="157617" s="12" customFormat="1" x14ac:dyDescent="0.25"/>
    <row r="157618" s="12" customFormat="1" x14ac:dyDescent="0.25"/>
    <row r="157619" s="12" customFormat="1" x14ac:dyDescent="0.25"/>
    <row r="157620" s="12" customFormat="1" x14ac:dyDescent="0.25"/>
    <row r="157621" s="12" customFormat="1" x14ac:dyDescent="0.25"/>
    <row r="157622" s="12" customFormat="1" x14ac:dyDescent="0.25"/>
    <row r="157623" s="12" customFormat="1" x14ac:dyDescent="0.25"/>
    <row r="157624" s="12" customFormat="1" x14ac:dyDescent="0.25"/>
    <row r="157625" s="12" customFormat="1" x14ac:dyDescent="0.25"/>
    <row r="157626" s="12" customFormat="1" x14ac:dyDescent="0.25"/>
    <row r="157627" s="12" customFormat="1" x14ac:dyDescent="0.25"/>
    <row r="157628" s="12" customFormat="1" x14ac:dyDescent="0.25"/>
    <row r="157629" s="12" customFormat="1" x14ac:dyDescent="0.25"/>
    <row r="157630" s="12" customFormat="1" x14ac:dyDescent="0.25"/>
    <row r="157631" s="12" customFormat="1" x14ac:dyDescent="0.25"/>
    <row r="157632" s="12" customFormat="1" x14ac:dyDescent="0.25"/>
    <row r="157633" s="12" customFormat="1" x14ac:dyDescent="0.25"/>
    <row r="157634" s="12" customFormat="1" x14ac:dyDescent="0.25"/>
    <row r="157635" s="12" customFormat="1" x14ac:dyDescent="0.25"/>
    <row r="157636" s="12" customFormat="1" x14ac:dyDescent="0.25"/>
    <row r="157637" s="12" customFormat="1" x14ac:dyDescent="0.25"/>
    <row r="157638" s="12" customFormat="1" x14ac:dyDescent="0.25"/>
    <row r="157639" s="12" customFormat="1" x14ac:dyDescent="0.25"/>
    <row r="157640" s="12" customFormat="1" x14ac:dyDescent="0.25"/>
    <row r="157641" s="12" customFormat="1" x14ac:dyDescent="0.25"/>
    <row r="157642" s="12" customFormat="1" x14ac:dyDescent="0.25"/>
    <row r="157643" s="12" customFormat="1" x14ac:dyDescent="0.25"/>
    <row r="157644" s="12" customFormat="1" x14ac:dyDescent="0.25"/>
    <row r="157645" s="12" customFormat="1" x14ac:dyDescent="0.25"/>
    <row r="157646" s="12" customFormat="1" x14ac:dyDescent="0.25"/>
    <row r="157647" s="12" customFormat="1" x14ac:dyDescent="0.25"/>
    <row r="157648" s="12" customFormat="1" x14ac:dyDescent="0.25"/>
    <row r="157649" s="12" customFormat="1" x14ac:dyDescent="0.25"/>
    <row r="157650" s="12" customFormat="1" x14ac:dyDescent="0.25"/>
    <row r="157651" s="12" customFormat="1" x14ac:dyDescent="0.25"/>
    <row r="157652" s="12" customFormat="1" x14ac:dyDescent="0.25"/>
    <row r="157653" s="12" customFormat="1" x14ac:dyDescent="0.25"/>
    <row r="157654" s="12" customFormat="1" x14ac:dyDescent="0.25"/>
    <row r="157655" s="12" customFormat="1" x14ac:dyDescent="0.25"/>
    <row r="157656" s="12" customFormat="1" x14ac:dyDescent="0.25"/>
    <row r="157657" s="12" customFormat="1" x14ac:dyDescent="0.25"/>
    <row r="157658" s="12" customFormat="1" x14ac:dyDescent="0.25"/>
    <row r="157659" s="12" customFormat="1" x14ac:dyDescent="0.25"/>
    <row r="157660" s="12" customFormat="1" x14ac:dyDescent="0.25"/>
    <row r="157661" s="12" customFormat="1" x14ac:dyDescent="0.25"/>
    <row r="157662" s="12" customFormat="1" x14ac:dyDescent="0.25"/>
    <row r="157663" s="12" customFormat="1" x14ac:dyDescent="0.25"/>
    <row r="157664" s="12" customFormat="1" x14ac:dyDescent="0.25"/>
    <row r="157665" s="12" customFormat="1" x14ac:dyDescent="0.25"/>
    <row r="157666" s="12" customFormat="1" x14ac:dyDescent="0.25"/>
    <row r="157667" s="12" customFormat="1" x14ac:dyDescent="0.25"/>
    <row r="157668" s="12" customFormat="1" x14ac:dyDescent="0.25"/>
    <row r="157669" s="12" customFormat="1" x14ac:dyDescent="0.25"/>
    <row r="157670" s="12" customFormat="1" x14ac:dyDescent="0.25"/>
    <row r="157671" s="12" customFormat="1" x14ac:dyDescent="0.25"/>
    <row r="157672" s="12" customFormat="1" x14ac:dyDescent="0.25"/>
    <row r="157673" s="12" customFormat="1" x14ac:dyDescent="0.25"/>
    <row r="157674" s="12" customFormat="1" x14ac:dyDescent="0.25"/>
    <row r="157675" s="12" customFormat="1" x14ac:dyDescent="0.25"/>
    <row r="157676" s="12" customFormat="1" x14ac:dyDescent="0.25"/>
    <row r="157677" s="12" customFormat="1" x14ac:dyDescent="0.25"/>
    <row r="157678" s="12" customFormat="1" x14ac:dyDescent="0.25"/>
    <row r="157679" s="12" customFormat="1" x14ac:dyDescent="0.25"/>
    <row r="157680" s="12" customFormat="1" x14ac:dyDescent="0.25"/>
    <row r="157681" s="12" customFormat="1" x14ac:dyDescent="0.25"/>
    <row r="157682" s="12" customFormat="1" x14ac:dyDescent="0.25"/>
    <row r="157683" s="12" customFormat="1" x14ac:dyDescent="0.25"/>
    <row r="157684" s="12" customFormat="1" x14ac:dyDescent="0.25"/>
    <row r="157685" s="12" customFormat="1" x14ac:dyDescent="0.25"/>
    <row r="157686" s="12" customFormat="1" x14ac:dyDescent="0.25"/>
    <row r="157687" s="12" customFormat="1" x14ac:dyDescent="0.25"/>
    <row r="157688" s="12" customFormat="1" x14ac:dyDescent="0.25"/>
    <row r="157689" s="12" customFormat="1" x14ac:dyDescent="0.25"/>
    <row r="157690" s="12" customFormat="1" x14ac:dyDescent="0.25"/>
    <row r="157691" s="12" customFormat="1" x14ac:dyDescent="0.25"/>
    <row r="157692" s="12" customFormat="1" x14ac:dyDescent="0.25"/>
    <row r="157693" s="12" customFormat="1" x14ac:dyDescent="0.25"/>
    <row r="157694" s="12" customFormat="1" x14ac:dyDescent="0.25"/>
    <row r="157695" s="12" customFormat="1" x14ac:dyDescent="0.25"/>
    <row r="157696" s="12" customFormat="1" x14ac:dyDescent="0.25"/>
    <row r="157697" s="12" customFormat="1" x14ac:dyDescent="0.25"/>
    <row r="157698" s="12" customFormat="1" x14ac:dyDescent="0.25"/>
    <row r="157699" s="12" customFormat="1" x14ac:dyDescent="0.25"/>
    <row r="157700" s="12" customFormat="1" x14ac:dyDescent="0.25"/>
    <row r="157701" s="12" customFormat="1" x14ac:dyDescent="0.25"/>
    <row r="157702" s="12" customFormat="1" x14ac:dyDescent="0.25"/>
    <row r="157703" s="12" customFormat="1" x14ac:dyDescent="0.25"/>
    <row r="157704" s="12" customFormat="1" x14ac:dyDescent="0.25"/>
    <row r="157705" s="12" customFormat="1" x14ac:dyDescent="0.25"/>
    <row r="157706" s="12" customFormat="1" x14ac:dyDescent="0.25"/>
    <row r="157707" s="12" customFormat="1" x14ac:dyDescent="0.25"/>
    <row r="157708" s="12" customFormat="1" x14ac:dyDescent="0.25"/>
    <row r="157709" s="12" customFormat="1" x14ac:dyDescent="0.25"/>
    <row r="157710" s="12" customFormat="1" x14ac:dyDescent="0.25"/>
    <row r="157711" s="12" customFormat="1" x14ac:dyDescent="0.25"/>
    <row r="157712" s="12" customFormat="1" x14ac:dyDescent="0.25"/>
    <row r="157713" s="12" customFormat="1" x14ac:dyDescent="0.25"/>
    <row r="157714" s="12" customFormat="1" x14ac:dyDescent="0.25"/>
    <row r="157715" s="12" customFormat="1" x14ac:dyDescent="0.25"/>
    <row r="157716" s="12" customFormat="1" x14ac:dyDescent="0.25"/>
    <row r="157717" s="12" customFormat="1" x14ac:dyDescent="0.25"/>
    <row r="157718" s="12" customFormat="1" x14ac:dyDescent="0.25"/>
    <row r="157719" s="12" customFormat="1" x14ac:dyDescent="0.25"/>
    <row r="157720" s="12" customFormat="1" x14ac:dyDescent="0.25"/>
    <row r="157721" s="12" customFormat="1" x14ac:dyDescent="0.25"/>
    <row r="157722" s="12" customFormat="1" x14ac:dyDescent="0.25"/>
    <row r="157723" s="12" customFormat="1" x14ac:dyDescent="0.25"/>
    <row r="157724" s="12" customFormat="1" x14ac:dyDescent="0.25"/>
    <row r="157725" s="12" customFormat="1" x14ac:dyDescent="0.25"/>
    <row r="157726" s="12" customFormat="1" x14ac:dyDescent="0.25"/>
    <row r="157727" s="12" customFormat="1" x14ac:dyDescent="0.25"/>
    <row r="157728" s="12" customFormat="1" x14ac:dyDescent="0.25"/>
    <row r="157729" s="12" customFormat="1" x14ac:dyDescent="0.25"/>
    <row r="157730" s="12" customFormat="1" x14ac:dyDescent="0.25"/>
    <row r="157731" s="12" customFormat="1" x14ac:dyDescent="0.25"/>
    <row r="157732" s="12" customFormat="1" x14ac:dyDescent="0.25"/>
    <row r="157733" s="12" customFormat="1" x14ac:dyDescent="0.25"/>
    <row r="157734" s="12" customFormat="1" x14ac:dyDescent="0.25"/>
    <row r="157735" s="12" customFormat="1" x14ac:dyDescent="0.25"/>
    <row r="157736" s="12" customFormat="1" x14ac:dyDescent="0.25"/>
    <row r="157737" s="12" customFormat="1" x14ac:dyDescent="0.25"/>
    <row r="157738" s="12" customFormat="1" x14ac:dyDescent="0.25"/>
    <row r="157739" s="12" customFormat="1" x14ac:dyDescent="0.25"/>
    <row r="157740" s="12" customFormat="1" x14ac:dyDescent="0.25"/>
    <row r="157741" s="12" customFormat="1" x14ac:dyDescent="0.25"/>
    <row r="157742" s="12" customFormat="1" x14ac:dyDescent="0.25"/>
    <row r="157743" s="12" customFormat="1" x14ac:dyDescent="0.25"/>
    <row r="157744" s="12" customFormat="1" x14ac:dyDescent="0.25"/>
    <row r="157745" s="12" customFormat="1" x14ac:dyDescent="0.25"/>
    <row r="157746" s="12" customFormat="1" x14ac:dyDescent="0.25"/>
    <row r="157747" s="12" customFormat="1" x14ac:dyDescent="0.25"/>
    <row r="157748" s="12" customFormat="1" x14ac:dyDescent="0.25"/>
    <row r="157749" s="12" customFormat="1" x14ac:dyDescent="0.25"/>
    <row r="157750" s="12" customFormat="1" x14ac:dyDescent="0.25"/>
    <row r="157751" s="12" customFormat="1" x14ac:dyDescent="0.25"/>
    <row r="157752" s="12" customFormat="1" x14ac:dyDescent="0.25"/>
    <row r="157753" s="12" customFormat="1" x14ac:dyDescent="0.25"/>
    <row r="157754" s="12" customFormat="1" x14ac:dyDescent="0.25"/>
    <row r="157755" s="12" customFormat="1" x14ac:dyDescent="0.25"/>
    <row r="157756" s="12" customFormat="1" x14ac:dyDescent="0.25"/>
    <row r="157757" s="12" customFormat="1" x14ac:dyDescent="0.25"/>
    <row r="157758" s="12" customFormat="1" x14ac:dyDescent="0.25"/>
    <row r="157759" s="12" customFormat="1" x14ac:dyDescent="0.25"/>
    <row r="157760" s="12" customFormat="1" x14ac:dyDescent="0.25"/>
    <row r="157761" s="12" customFormat="1" x14ac:dyDescent="0.25"/>
    <row r="157762" s="12" customFormat="1" x14ac:dyDescent="0.25"/>
    <row r="157763" s="12" customFormat="1" x14ac:dyDescent="0.25"/>
    <row r="157764" s="12" customFormat="1" x14ac:dyDescent="0.25"/>
    <row r="157765" s="12" customFormat="1" x14ac:dyDescent="0.25"/>
    <row r="157766" s="12" customFormat="1" x14ac:dyDescent="0.25"/>
    <row r="157767" s="12" customFormat="1" x14ac:dyDescent="0.25"/>
    <row r="157768" s="12" customFormat="1" x14ac:dyDescent="0.25"/>
    <row r="157769" s="12" customFormat="1" x14ac:dyDescent="0.25"/>
    <row r="157770" s="12" customFormat="1" x14ac:dyDescent="0.25"/>
    <row r="157771" s="12" customFormat="1" x14ac:dyDescent="0.25"/>
    <row r="157772" s="12" customFormat="1" x14ac:dyDescent="0.25"/>
    <row r="157773" s="12" customFormat="1" x14ac:dyDescent="0.25"/>
    <row r="157774" s="12" customFormat="1" x14ac:dyDescent="0.25"/>
    <row r="157775" s="12" customFormat="1" x14ac:dyDescent="0.25"/>
    <row r="157776" s="12" customFormat="1" x14ac:dyDescent="0.25"/>
    <row r="157777" s="12" customFormat="1" x14ac:dyDescent="0.25"/>
    <row r="157778" s="12" customFormat="1" x14ac:dyDescent="0.25"/>
    <row r="157779" s="12" customFormat="1" x14ac:dyDescent="0.25"/>
    <row r="157780" s="12" customFormat="1" x14ac:dyDescent="0.25"/>
    <row r="157781" s="12" customFormat="1" x14ac:dyDescent="0.25"/>
    <row r="157782" s="12" customFormat="1" x14ac:dyDescent="0.25"/>
    <row r="157783" s="12" customFormat="1" x14ac:dyDescent="0.25"/>
    <row r="157784" s="12" customFormat="1" x14ac:dyDescent="0.25"/>
    <row r="157785" s="12" customFormat="1" x14ac:dyDescent="0.25"/>
    <row r="157786" s="12" customFormat="1" x14ac:dyDescent="0.25"/>
    <row r="157787" s="12" customFormat="1" x14ac:dyDescent="0.25"/>
    <row r="157788" s="12" customFormat="1" x14ac:dyDescent="0.25"/>
    <row r="157789" s="12" customFormat="1" x14ac:dyDescent="0.25"/>
    <row r="157790" s="12" customFormat="1" x14ac:dyDescent="0.25"/>
    <row r="157791" s="12" customFormat="1" x14ac:dyDescent="0.25"/>
    <row r="157792" s="12" customFormat="1" x14ac:dyDescent="0.25"/>
    <row r="157793" s="12" customFormat="1" x14ac:dyDescent="0.25"/>
    <row r="157794" s="12" customFormat="1" x14ac:dyDescent="0.25"/>
    <row r="157795" s="12" customFormat="1" x14ac:dyDescent="0.25"/>
    <row r="157796" s="12" customFormat="1" x14ac:dyDescent="0.25"/>
    <row r="157797" s="12" customFormat="1" x14ac:dyDescent="0.25"/>
    <row r="157798" s="12" customFormat="1" x14ac:dyDescent="0.25"/>
    <row r="157799" s="12" customFormat="1" x14ac:dyDescent="0.25"/>
    <row r="157800" s="12" customFormat="1" x14ac:dyDescent="0.25"/>
    <row r="157801" s="12" customFormat="1" x14ac:dyDescent="0.25"/>
    <row r="157802" s="12" customFormat="1" x14ac:dyDescent="0.25"/>
    <row r="157803" s="12" customFormat="1" x14ac:dyDescent="0.25"/>
    <row r="157804" s="12" customFormat="1" x14ac:dyDescent="0.25"/>
    <row r="157805" s="12" customFormat="1" x14ac:dyDescent="0.25"/>
    <row r="157806" s="12" customFormat="1" x14ac:dyDescent="0.25"/>
    <row r="157807" s="12" customFormat="1" x14ac:dyDescent="0.25"/>
    <row r="157808" s="12" customFormat="1" x14ac:dyDescent="0.25"/>
    <row r="157809" s="12" customFormat="1" x14ac:dyDescent="0.25"/>
    <row r="157810" s="12" customFormat="1" x14ac:dyDescent="0.25"/>
    <row r="157811" s="12" customFormat="1" x14ac:dyDescent="0.25"/>
    <row r="157812" s="12" customFormat="1" x14ac:dyDescent="0.25"/>
    <row r="157813" s="12" customFormat="1" x14ac:dyDescent="0.25"/>
    <row r="157814" s="12" customFormat="1" x14ac:dyDescent="0.25"/>
    <row r="157815" s="12" customFormat="1" x14ac:dyDescent="0.25"/>
    <row r="157816" s="12" customFormat="1" x14ac:dyDescent="0.25"/>
    <row r="157817" s="12" customFormat="1" x14ac:dyDescent="0.25"/>
    <row r="157818" s="12" customFormat="1" x14ac:dyDescent="0.25"/>
    <row r="157819" s="12" customFormat="1" x14ac:dyDescent="0.25"/>
    <row r="157820" s="12" customFormat="1" x14ac:dyDescent="0.25"/>
    <row r="157821" s="12" customFormat="1" x14ac:dyDescent="0.25"/>
    <row r="157822" s="12" customFormat="1" x14ac:dyDescent="0.25"/>
    <row r="157823" s="12" customFormat="1" x14ac:dyDescent="0.25"/>
    <row r="157824" s="12" customFormat="1" x14ac:dyDescent="0.25"/>
    <row r="157825" s="12" customFormat="1" x14ac:dyDescent="0.25"/>
    <row r="157826" s="12" customFormat="1" x14ac:dyDescent="0.25"/>
    <row r="157827" s="12" customFormat="1" x14ac:dyDescent="0.25"/>
    <row r="157828" s="12" customFormat="1" x14ac:dyDescent="0.25"/>
    <row r="157829" s="12" customFormat="1" x14ac:dyDescent="0.25"/>
    <row r="157830" s="12" customFormat="1" x14ac:dyDescent="0.25"/>
    <row r="157831" s="12" customFormat="1" x14ac:dyDescent="0.25"/>
    <row r="157832" s="12" customFormat="1" x14ac:dyDescent="0.25"/>
    <row r="157833" s="12" customFormat="1" x14ac:dyDescent="0.25"/>
    <row r="157834" s="12" customFormat="1" x14ac:dyDescent="0.25"/>
    <row r="157835" s="12" customFormat="1" x14ac:dyDescent="0.25"/>
    <row r="157836" s="12" customFormat="1" x14ac:dyDescent="0.25"/>
    <row r="157837" s="12" customFormat="1" x14ac:dyDescent="0.25"/>
    <row r="157838" s="12" customFormat="1" x14ac:dyDescent="0.25"/>
    <row r="157839" s="12" customFormat="1" x14ac:dyDescent="0.25"/>
    <row r="157840" s="12" customFormat="1" x14ac:dyDescent="0.25"/>
    <row r="157841" s="12" customFormat="1" x14ac:dyDescent="0.25"/>
    <row r="157842" s="12" customFormat="1" x14ac:dyDescent="0.25"/>
    <row r="157843" s="12" customFormat="1" x14ac:dyDescent="0.25"/>
    <row r="157844" s="12" customFormat="1" x14ac:dyDescent="0.25"/>
    <row r="157845" s="12" customFormat="1" x14ac:dyDescent="0.25"/>
    <row r="157846" s="12" customFormat="1" x14ac:dyDescent="0.25"/>
    <row r="157847" s="12" customFormat="1" x14ac:dyDescent="0.25"/>
    <row r="157848" s="12" customFormat="1" x14ac:dyDescent="0.25"/>
    <row r="157849" s="12" customFormat="1" x14ac:dyDescent="0.25"/>
    <row r="157850" s="12" customFormat="1" x14ac:dyDescent="0.25"/>
    <row r="157851" s="12" customFormat="1" x14ac:dyDescent="0.25"/>
    <row r="157852" s="12" customFormat="1" x14ac:dyDescent="0.25"/>
    <row r="157853" s="12" customFormat="1" x14ac:dyDescent="0.25"/>
    <row r="157854" s="12" customFormat="1" x14ac:dyDescent="0.25"/>
    <row r="157855" s="12" customFormat="1" x14ac:dyDescent="0.25"/>
    <row r="157856" s="12" customFormat="1" x14ac:dyDescent="0.25"/>
    <row r="157857" s="12" customFormat="1" x14ac:dyDescent="0.25"/>
    <row r="157858" s="12" customFormat="1" x14ac:dyDescent="0.25"/>
    <row r="157859" s="12" customFormat="1" x14ac:dyDescent="0.25"/>
    <row r="157860" s="12" customFormat="1" x14ac:dyDescent="0.25"/>
    <row r="157861" s="12" customFormat="1" x14ac:dyDescent="0.25"/>
    <row r="157862" s="12" customFormat="1" x14ac:dyDescent="0.25"/>
    <row r="157863" s="12" customFormat="1" x14ac:dyDescent="0.25"/>
    <row r="157864" s="12" customFormat="1" x14ac:dyDescent="0.25"/>
    <row r="157865" s="12" customFormat="1" x14ac:dyDescent="0.25"/>
    <row r="157866" s="12" customFormat="1" x14ac:dyDescent="0.25"/>
    <row r="157867" s="12" customFormat="1" x14ac:dyDescent="0.25"/>
    <row r="157868" s="12" customFormat="1" x14ac:dyDescent="0.25"/>
    <row r="157869" s="12" customFormat="1" x14ac:dyDescent="0.25"/>
    <row r="157870" s="12" customFormat="1" x14ac:dyDescent="0.25"/>
    <row r="157871" s="12" customFormat="1" x14ac:dyDescent="0.25"/>
    <row r="157872" s="12" customFormat="1" x14ac:dyDescent="0.25"/>
    <row r="157873" s="12" customFormat="1" x14ac:dyDescent="0.25"/>
    <row r="157874" s="12" customFormat="1" x14ac:dyDescent="0.25"/>
    <row r="157875" s="12" customFormat="1" x14ac:dyDescent="0.25"/>
    <row r="157876" s="12" customFormat="1" x14ac:dyDescent="0.25"/>
    <row r="157877" s="12" customFormat="1" x14ac:dyDescent="0.25"/>
    <row r="157878" s="12" customFormat="1" x14ac:dyDescent="0.25"/>
    <row r="157879" s="12" customFormat="1" x14ac:dyDescent="0.25"/>
    <row r="157880" s="12" customFormat="1" x14ac:dyDescent="0.25"/>
    <row r="157881" s="12" customFormat="1" x14ac:dyDescent="0.25"/>
    <row r="157882" s="12" customFormat="1" x14ac:dyDescent="0.25"/>
    <row r="157883" s="12" customFormat="1" x14ac:dyDescent="0.25"/>
    <row r="157884" s="12" customFormat="1" x14ac:dyDescent="0.25"/>
    <row r="157885" s="12" customFormat="1" x14ac:dyDescent="0.25"/>
    <row r="157886" s="12" customFormat="1" x14ac:dyDescent="0.25"/>
    <row r="157887" s="12" customFormat="1" x14ac:dyDescent="0.25"/>
    <row r="157888" s="12" customFormat="1" x14ac:dyDescent="0.25"/>
    <row r="157889" s="12" customFormat="1" x14ac:dyDescent="0.25"/>
    <row r="157890" s="12" customFormat="1" x14ac:dyDescent="0.25"/>
    <row r="157891" s="12" customFormat="1" x14ac:dyDescent="0.25"/>
    <row r="157892" s="12" customFormat="1" x14ac:dyDescent="0.25"/>
    <row r="157893" s="12" customFormat="1" x14ac:dyDescent="0.25"/>
    <row r="157894" s="12" customFormat="1" x14ac:dyDescent="0.25"/>
    <row r="157895" s="12" customFormat="1" x14ac:dyDescent="0.25"/>
    <row r="157896" s="12" customFormat="1" x14ac:dyDescent="0.25"/>
    <row r="157897" s="12" customFormat="1" x14ac:dyDescent="0.25"/>
    <row r="157898" s="12" customFormat="1" x14ac:dyDescent="0.25"/>
    <row r="157899" s="12" customFormat="1" x14ac:dyDescent="0.25"/>
    <row r="157900" s="12" customFormat="1" x14ac:dyDescent="0.25"/>
    <row r="157901" s="12" customFormat="1" x14ac:dyDescent="0.25"/>
    <row r="157902" s="12" customFormat="1" x14ac:dyDescent="0.25"/>
    <row r="157903" s="12" customFormat="1" x14ac:dyDescent="0.25"/>
    <row r="157904" s="12" customFormat="1" x14ac:dyDescent="0.25"/>
    <row r="157905" s="12" customFormat="1" x14ac:dyDescent="0.25"/>
    <row r="157906" s="12" customFormat="1" x14ac:dyDescent="0.25"/>
    <row r="157907" s="12" customFormat="1" x14ac:dyDescent="0.25"/>
    <row r="157908" s="12" customFormat="1" x14ac:dyDescent="0.25"/>
    <row r="157909" s="12" customFormat="1" x14ac:dyDescent="0.25"/>
    <row r="157910" s="12" customFormat="1" x14ac:dyDescent="0.25"/>
    <row r="157911" s="12" customFormat="1" x14ac:dyDescent="0.25"/>
    <row r="157912" s="12" customFormat="1" x14ac:dyDescent="0.25"/>
    <row r="157913" s="12" customFormat="1" x14ac:dyDescent="0.25"/>
    <row r="157914" s="12" customFormat="1" x14ac:dyDescent="0.25"/>
    <row r="157915" s="12" customFormat="1" x14ac:dyDescent="0.25"/>
    <row r="157916" s="12" customFormat="1" x14ac:dyDescent="0.25"/>
    <row r="157917" s="12" customFormat="1" x14ac:dyDescent="0.25"/>
    <row r="157918" s="12" customFormat="1" x14ac:dyDescent="0.25"/>
    <row r="157919" s="12" customFormat="1" x14ac:dyDescent="0.25"/>
    <row r="157920" s="12" customFormat="1" x14ac:dyDescent="0.25"/>
    <row r="157921" s="12" customFormat="1" x14ac:dyDescent="0.25"/>
    <row r="157922" s="12" customFormat="1" x14ac:dyDescent="0.25"/>
    <row r="157923" s="12" customFormat="1" x14ac:dyDescent="0.25"/>
    <row r="157924" s="12" customFormat="1" x14ac:dyDescent="0.25"/>
    <row r="157925" s="12" customFormat="1" x14ac:dyDescent="0.25"/>
    <row r="157926" s="12" customFormat="1" x14ac:dyDescent="0.25"/>
    <row r="157927" s="12" customFormat="1" x14ac:dyDescent="0.25"/>
    <row r="157928" s="12" customFormat="1" x14ac:dyDescent="0.25"/>
    <row r="157929" s="12" customFormat="1" x14ac:dyDescent="0.25"/>
    <row r="157930" s="12" customFormat="1" x14ac:dyDescent="0.25"/>
    <row r="157931" s="12" customFormat="1" x14ac:dyDescent="0.25"/>
    <row r="157932" s="12" customFormat="1" x14ac:dyDescent="0.25"/>
    <row r="157933" s="12" customFormat="1" x14ac:dyDescent="0.25"/>
    <row r="157934" s="12" customFormat="1" x14ac:dyDescent="0.25"/>
    <row r="157935" s="12" customFormat="1" x14ac:dyDescent="0.25"/>
    <row r="157936" s="12" customFormat="1" x14ac:dyDescent="0.25"/>
    <row r="157937" s="12" customFormat="1" x14ac:dyDescent="0.25"/>
    <row r="157938" s="12" customFormat="1" x14ac:dyDescent="0.25"/>
    <row r="157939" s="12" customFormat="1" x14ac:dyDescent="0.25"/>
    <row r="157940" s="12" customFormat="1" x14ac:dyDescent="0.25"/>
    <row r="157941" s="12" customFormat="1" x14ac:dyDescent="0.25"/>
    <row r="157942" s="12" customFormat="1" x14ac:dyDescent="0.25"/>
    <row r="157943" s="12" customFormat="1" x14ac:dyDescent="0.25"/>
    <row r="157944" s="12" customFormat="1" x14ac:dyDescent="0.25"/>
    <row r="157945" s="12" customFormat="1" x14ac:dyDescent="0.25"/>
    <row r="157946" s="12" customFormat="1" x14ac:dyDescent="0.25"/>
    <row r="157947" s="12" customFormat="1" x14ac:dyDescent="0.25"/>
    <row r="157948" s="12" customFormat="1" x14ac:dyDescent="0.25"/>
    <row r="157949" s="12" customFormat="1" x14ac:dyDescent="0.25"/>
    <row r="157950" s="12" customFormat="1" x14ac:dyDescent="0.25"/>
    <row r="157951" s="12" customFormat="1" x14ac:dyDescent="0.25"/>
    <row r="157952" s="12" customFormat="1" x14ac:dyDescent="0.25"/>
    <row r="157953" s="12" customFormat="1" x14ac:dyDescent="0.25"/>
    <row r="157954" s="12" customFormat="1" x14ac:dyDescent="0.25"/>
    <row r="157955" s="12" customFormat="1" x14ac:dyDescent="0.25"/>
    <row r="157956" s="12" customFormat="1" x14ac:dyDescent="0.25"/>
    <row r="157957" s="12" customFormat="1" x14ac:dyDescent="0.25"/>
    <row r="157958" s="12" customFormat="1" x14ac:dyDescent="0.25"/>
    <row r="157959" s="12" customFormat="1" x14ac:dyDescent="0.25"/>
    <row r="157960" s="12" customFormat="1" x14ac:dyDescent="0.25"/>
    <row r="157961" s="12" customFormat="1" x14ac:dyDescent="0.25"/>
    <row r="157962" s="12" customFormat="1" x14ac:dyDescent="0.25"/>
    <row r="157963" s="12" customFormat="1" x14ac:dyDescent="0.25"/>
    <row r="157964" s="12" customFormat="1" x14ac:dyDescent="0.25"/>
    <row r="157965" s="12" customFormat="1" x14ac:dyDescent="0.25"/>
    <row r="157966" s="12" customFormat="1" x14ac:dyDescent="0.25"/>
    <row r="157967" s="12" customFormat="1" x14ac:dyDescent="0.25"/>
    <row r="157968" s="12" customFormat="1" x14ac:dyDescent="0.25"/>
    <row r="157969" s="12" customFormat="1" x14ac:dyDescent="0.25"/>
    <row r="157970" s="12" customFormat="1" x14ac:dyDescent="0.25"/>
    <row r="157971" s="12" customFormat="1" x14ac:dyDescent="0.25"/>
    <row r="157972" s="12" customFormat="1" x14ac:dyDescent="0.25"/>
    <row r="157973" s="12" customFormat="1" x14ac:dyDescent="0.25"/>
    <row r="157974" s="12" customFormat="1" x14ac:dyDescent="0.25"/>
    <row r="157975" s="12" customFormat="1" x14ac:dyDescent="0.25"/>
    <row r="157976" s="12" customFormat="1" x14ac:dyDescent="0.25"/>
    <row r="157977" s="12" customFormat="1" x14ac:dyDescent="0.25"/>
    <row r="157978" s="12" customFormat="1" x14ac:dyDescent="0.25"/>
    <row r="157979" s="12" customFormat="1" x14ac:dyDescent="0.25"/>
    <row r="157980" s="12" customFormat="1" x14ac:dyDescent="0.25"/>
    <row r="157981" s="12" customFormat="1" x14ac:dyDescent="0.25"/>
    <row r="157982" s="12" customFormat="1" x14ac:dyDescent="0.25"/>
    <row r="157983" s="12" customFormat="1" x14ac:dyDescent="0.25"/>
    <row r="157984" s="12" customFormat="1" x14ac:dyDescent="0.25"/>
    <row r="157985" s="12" customFormat="1" x14ac:dyDescent="0.25"/>
    <row r="157986" s="12" customFormat="1" x14ac:dyDescent="0.25"/>
    <row r="157987" s="12" customFormat="1" x14ac:dyDescent="0.25"/>
    <row r="157988" s="12" customFormat="1" x14ac:dyDescent="0.25"/>
    <row r="157989" s="12" customFormat="1" x14ac:dyDescent="0.25"/>
    <row r="157990" s="12" customFormat="1" x14ac:dyDescent="0.25"/>
    <row r="157991" s="12" customFormat="1" x14ac:dyDescent="0.25"/>
    <row r="157992" s="12" customFormat="1" x14ac:dyDescent="0.25"/>
    <row r="157993" s="12" customFormat="1" x14ac:dyDescent="0.25"/>
    <row r="157994" s="12" customFormat="1" x14ac:dyDescent="0.25"/>
    <row r="157995" s="12" customFormat="1" x14ac:dyDescent="0.25"/>
    <row r="157996" s="12" customFormat="1" x14ac:dyDescent="0.25"/>
    <row r="157997" s="12" customFormat="1" x14ac:dyDescent="0.25"/>
    <row r="157998" s="12" customFormat="1" x14ac:dyDescent="0.25"/>
    <row r="157999" s="12" customFormat="1" x14ac:dyDescent="0.25"/>
    <row r="158000" s="12" customFormat="1" x14ac:dyDescent="0.25"/>
    <row r="158001" s="12" customFormat="1" x14ac:dyDescent="0.25"/>
    <row r="158002" s="12" customFormat="1" x14ac:dyDescent="0.25"/>
    <row r="158003" s="12" customFormat="1" x14ac:dyDescent="0.25"/>
    <row r="158004" s="12" customFormat="1" x14ac:dyDescent="0.25"/>
    <row r="158005" s="12" customFormat="1" x14ac:dyDescent="0.25"/>
    <row r="158006" s="12" customFormat="1" x14ac:dyDescent="0.25"/>
    <row r="158007" s="12" customFormat="1" x14ac:dyDescent="0.25"/>
    <row r="158008" s="12" customFormat="1" x14ac:dyDescent="0.25"/>
    <row r="158009" s="12" customFormat="1" x14ac:dyDescent="0.25"/>
    <row r="158010" s="12" customFormat="1" x14ac:dyDescent="0.25"/>
    <row r="158011" s="12" customFormat="1" x14ac:dyDescent="0.25"/>
    <row r="158012" s="12" customFormat="1" x14ac:dyDescent="0.25"/>
    <row r="158013" s="12" customFormat="1" x14ac:dyDescent="0.25"/>
    <row r="158014" s="12" customFormat="1" x14ac:dyDescent="0.25"/>
    <row r="158015" s="12" customFormat="1" x14ac:dyDescent="0.25"/>
    <row r="158016" s="12" customFormat="1" x14ac:dyDescent="0.25"/>
    <row r="158017" s="12" customFormat="1" x14ac:dyDescent="0.25"/>
    <row r="158018" s="12" customFormat="1" x14ac:dyDescent="0.25"/>
    <row r="158019" s="12" customFormat="1" x14ac:dyDescent="0.25"/>
    <row r="158020" s="12" customFormat="1" x14ac:dyDescent="0.25"/>
    <row r="158021" s="12" customFormat="1" x14ac:dyDescent="0.25"/>
    <row r="158022" s="12" customFormat="1" x14ac:dyDescent="0.25"/>
    <row r="158023" s="12" customFormat="1" x14ac:dyDescent="0.25"/>
    <row r="158024" s="12" customFormat="1" x14ac:dyDescent="0.25"/>
    <row r="158025" s="12" customFormat="1" x14ac:dyDescent="0.25"/>
    <row r="158026" s="12" customFormat="1" x14ac:dyDescent="0.25"/>
    <row r="158027" s="12" customFormat="1" x14ac:dyDescent="0.25"/>
    <row r="158028" s="12" customFormat="1" x14ac:dyDescent="0.25"/>
    <row r="158029" s="12" customFormat="1" x14ac:dyDescent="0.25"/>
    <row r="158030" s="12" customFormat="1" x14ac:dyDescent="0.25"/>
    <row r="158031" s="12" customFormat="1" x14ac:dyDescent="0.25"/>
    <row r="158032" s="12" customFormat="1" x14ac:dyDescent="0.25"/>
    <row r="158033" s="12" customFormat="1" x14ac:dyDescent="0.25"/>
    <row r="158034" s="12" customFormat="1" x14ac:dyDescent="0.25"/>
    <row r="158035" s="12" customFormat="1" x14ac:dyDescent="0.25"/>
    <row r="158036" s="12" customFormat="1" x14ac:dyDescent="0.25"/>
    <row r="158037" s="12" customFormat="1" x14ac:dyDescent="0.25"/>
    <row r="158038" s="12" customFormat="1" x14ac:dyDescent="0.25"/>
    <row r="158039" s="12" customFormat="1" x14ac:dyDescent="0.25"/>
    <row r="158040" s="12" customFormat="1" x14ac:dyDescent="0.25"/>
    <row r="158041" s="12" customFormat="1" x14ac:dyDescent="0.25"/>
    <row r="158042" s="12" customFormat="1" x14ac:dyDescent="0.25"/>
    <row r="158043" s="12" customFormat="1" x14ac:dyDescent="0.25"/>
    <row r="158044" s="12" customFormat="1" x14ac:dyDescent="0.25"/>
    <row r="158045" s="12" customFormat="1" x14ac:dyDescent="0.25"/>
    <row r="158046" s="12" customFormat="1" x14ac:dyDescent="0.25"/>
    <row r="158047" s="12" customFormat="1" x14ac:dyDescent="0.25"/>
    <row r="158048" s="12" customFormat="1" x14ac:dyDescent="0.25"/>
    <row r="158049" s="12" customFormat="1" x14ac:dyDescent="0.25"/>
    <row r="158050" s="12" customFormat="1" x14ac:dyDescent="0.25"/>
    <row r="158051" s="12" customFormat="1" x14ac:dyDescent="0.25"/>
    <row r="158052" s="12" customFormat="1" x14ac:dyDescent="0.25"/>
    <row r="158053" s="12" customFormat="1" x14ac:dyDescent="0.25"/>
    <row r="158054" s="12" customFormat="1" x14ac:dyDescent="0.25"/>
    <row r="158055" s="12" customFormat="1" x14ac:dyDescent="0.25"/>
    <row r="158056" s="12" customFormat="1" x14ac:dyDescent="0.25"/>
    <row r="158057" s="12" customFormat="1" x14ac:dyDescent="0.25"/>
    <row r="158058" s="12" customFormat="1" x14ac:dyDescent="0.25"/>
    <row r="158059" s="12" customFormat="1" x14ac:dyDescent="0.25"/>
    <row r="158060" s="12" customFormat="1" x14ac:dyDescent="0.25"/>
    <row r="158061" s="12" customFormat="1" x14ac:dyDescent="0.25"/>
    <row r="158062" s="12" customFormat="1" x14ac:dyDescent="0.25"/>
    <row r="158063" s="12" customFormat="1" x14ac:dyDescent="0.25"/>
    <row r="158064" s="12" customFormat="1" x14ac:dyDescent="0.25"/>
    <row r="158065" s="12" customFormat="1" x14ac:dyDescent="0.25"/>
    <row r="158066" s="12" customFormat="1" x14ac:dyDescent="0.25"/>
    <row r="158067" s="12" customFormat="1" x14ac:dyDescent="0.25"/>
    <row r="158068" s="12" customFormat="1" x14ac:dyDescent="0.25"/>
    <row r="158069" s="12" customFormat="1" x14ac:dyDescent="0.25"/>
    <row r="158070" s="12" customFormat="1" x14ac:dyDescent="0.25"/>
    <row r="158071" s="12" customFormat="1" x14ac:dyDescent="0.25"/>
    <row r="158072" s="12" customFormat="1" x14ac:dyDescent="0.25"/>
    <row r="158073" s="12" customFormat="1" x14ac:dyDescent="0.25"/>
    <row r="158074" s="12" customFormat="1" x14ac:dyDescent="0.25"/>
    <row r="158075" s="12" customFormat="1" x14ac:dyDescent="0.25"/>
    <row r="158076" s="12" customFormat="1" x14ac:dyDescent="0.25"/>
    <row r="158077" s="12" customFormat="1" x14ac:dyDescent="0.25"/>
    <row r="158078" s="12" customFormat="1" x14ac:dyDescent="0.25"/>
    <row r="158079" s="12" customFormat="1" x14ac:dyDescent="0.25"/>
    <row r="158080" s="12" customFormat="1" x14ac:dyDescent="0.25"/>
    <row r="158081" s="12" customFormat="1" x14ac:dyDescent="0.25"/>
    <row r="158082" s="12" customFormat="1" x14ac:dyDescent="0.25"/>
    <row r="158083" s="12" customFormat="1" x14ac:dyDescent="0.25"/>
    <row r="158084" s="12" customFormat="1" x14ac:dyDescent="0.25"/>
    <row r="158085" s="12" customFormat="1" x14ac:dyDescent="0.25"/>
    <row r="158086" s="12" customFormat="1" x14ac:dyDescent="0.25"/>
    <row r="158087" s="12" customFormat="1" x14ac:dyDescent="0.25"/>
    <row r="158088" s="12" customFormat="1" x14ac:dyDescent="0.25"/>
    <row r="158089" s="12" customFormat="1" x14ac:dyDescent="0.25"/>
    <row r="158090" s="12" customFormat="1" x14ac:dyDescent="0.25"/>
    <row r="158091" s="12" customFormat="1" x14ac:dyDescent="0.25"/>
    <row r="158092" s="12" customFormat="1" x14ac:dyDescent="0.25"/>
    <row r="158093" s="12" customFormat="1" x14ac:dyDescent="0.25"/>
    <row r="158094" s="12" customFormat="1" x14ac:dyDescent="0.25"/>
    <row r="158095" s="12" customFormat="1" x14ac:dyDescent="0.25"/>
    <row r="158096" s="12" customFormat="1" x14ac:dyDescent="0.25"/>
    <row r="158097" s="12" customFormat="1" x14ac:dyDescent="0.25"/>
    <row r="158098" s="12" customFormat="1" x14ac:dyDescent="0.25"/>
    <row r="158099" s="12" customFormat="1" x14ac:dyDescent="0.25"/>
    <row r="158100" s="12" customFormat="1" x14ac:dyDescent="0.25"/>
    <row r="158101" s="12" customFormat="1" x14ac:dyDescent="0.25"/>
    <row r="158102" s="12" customFormat="1" x14ac:dyDescent="0.25"/>
    <row r="158103" s="12" customFormat="1" x14ac:dyDescent="0.25"/>
    <row r="158104" s="12" customFormat="1" x14ac:dyDescent="0.25"/>
    <row r="158105" s="12" customFormat="1" x14ac:dyDescent="0.25"/>
    <row r="158106" s="12" customFormat="1" x14ac:dyDescent="0.25"/>
    <row r="158107" s="12" customFormat="1" x14ac:dyDescent="0.25"/>
    <row r="158108" s="12" customFormat="1" x14ac:dyDescent="0.25"/>
    <row r="158109" s="12" customFormat="1" x14ac:dyDescent="0.25"/>
    <row r="158110" s="12" customFormat="1" x14ac:dyDescent="0.25"/>
    <row r="158111" s="12" customFormat="1" x14ac:dyDescent="0.25"/>
    <row r="158112" s="12" customFormat="1" x14ac:dyDescent="0.25"/>
    <row r="158113" s="12" customFormat="1" x14ac:dyDescent="0.25"/>
    <row r="158114" s="12" customFormat="1" x14ac:dyDescent="0.25"/>
    <row r="158115" s="12" customFormat="1" x14ac:dyDescent="0.25"/>
    <row r="158116" s="12" customFormat="1" x14ac:dyDescent="0.25"/>
    <row r="158117" s="12" customFormat="1" x14ac:dyDescent="0.25"/>
    <row r="158118" s="12" customFormat="1" x14ac:dyDescent="0.25"/>
    <row r="158119" s="12" customFormat="1" x14ac:dyDescent="0.25"/>
    <row r="158120" s="12" customFormat="1" x14ac:dyDescent="0.25"/>
    <row r="158121" s="12" customFormat="1" x14ac:dyDescent="0.25"/>
    <row r="158122" s="12" customFormat="1" x14ac:dyDescent="0.25"/>
    <row r="158123" s="12" customFormat="1" x14ac:dyDescent="0.25"/>
    <row r="158124" s="12" customFormat="1" x14ac:dyDescent="0.25"/>
    <row r="158125" s="12" customFormat="1" x14ac:dyDescent="0.25"/>
    <row r="158126" s="12" customFormat="1" x14ac:dyDescent="0.25"/>
    <row r="158127" s="12" customFormat="1" x14ac:dyDescent="0.25"/>
    <row r="158128" s="12" customFormat="1" x14ac:dyDescent="0.25"/>
    <row r="158129" s="12" customFormat="1" x14ac:dyDescent="0.25"/>
    <row r="158130" s="12" customFormat="1" x14ac:dyDescent="0.25"/>
    <row r="158131" s="12" customFormat="1" x14ac:dyDescent="0.25"/>
    <row r="158132" s="12" customFormat="1" x14ac:dyDescent="0.25"/>
    <row r="158133" s="12" customFormat="1" x14ac:dyDescent="0.25"/>
    <row r="158134" s="12" customFormat="1" x14ac:dyDescent="0.25"/>
    <row r="158135" s="12" customFormat="1" x14ac:dyDescent="0.25"/>
    <row r="158136" s="12" customFormat="1" x14ac:dyDescent="0.25"/>
    <row r="158137" s="12" customFormat="1" x14ac:dyDescent="0.25"/>
    <row r="158138" s="12" customFormat="1" x14ac:dyDescent="0.25"/>
    <row r="158139" s="12" customFormat="1" x14ac:dyDescent="0.25"/>
    <row r="158140" s="12" customFormat="1" x14ac:dyDescent="0.25"/>
    <row r="158141" s="12" customFormat="1" x14ac:dyDescent="0.25"/>
    <row r="158142" s="12" customFormat="1" x14ac:dyDescent="0.25"/>
    <row r="158143" s="12" customFormat="1" x14ac:dyDescent="0.25"/>
    <row r="158144" s="12" customFormat="1" x14ac:dyDescent="0.25"/>
    <row r="158145" s="12" customFormat="1" x14ac:dyDescent="0.25"/>
    <row r="158146" s="12" customFormat="1" x14ac:dyDescent="0.25"/>
    <row r="158147" s="12" customFormat="1" x14ac:dyDescent="0.25"/>
    <row r="158148" s="12" customFormat="1" x14ac:dyDescent="0.25"/>
    <row r="158149" s="12" customFormat="1" x14ac:dyDescent="0.25"/>
    <row r="158150" s="12" customFormat="1" x14ac:dyDescent="0.25"/>
    <row r="158151" s="12" customFormat="1" x14ac:dyDescent="0.25"/>
    <row r="158152" s="12" customFormat="1" x14ac:dyDescent="0.25"/>
    <row r="158153" s="12" customFormat="1" x14ac:dyDescent="0.25"/>
    <row r="158154" s="12" customFormat="1" x14ac:dyDescent="0.25"/>
    <row r="158155" s="12" customFormat="1" x14ac:dyDescent="0.25"/>
    <row r="158156" s="12" customFormat="1" x14ac:dyDescent="0.25"/>
    <row r="158157" s="12" customFormat="1" x14ac:dyDescent="0.25"/>
    <row r="158158" s="12" customFormat="1" x14ac:dyDescent="0.25"/>
    <row r="158159" s="12" customFormat="1" x14ac:dyDescent="0.25"/>
    <row r="158160" s="12" customFormat="1" x14ac:dyDescent="0.25"/>
    <row r="158161" s="12" customFormat="1" x14ac:dyDescent="0.25"/>
    <row r="158162" s="12" customFormat="1" x14ac:dyDescent="0.25"/>
    <row r="158163" s="12" customFormat="1" x14ac:dyDescent="0.25"/>
    <row r="158164" s="12" customFormat="1" x14ac:dyDescent="0.25"/>
    <row r="158165" s="12" customFormat="1" x14ac:dyDescent="0.25"/>
    <row r="158166" s="12" customFormat="1" x14ac:dyDescent="0.25"/>
    <row r="158167" s="12" customFormat="1" x14ac:dyDescent="0.25"/>
    <row r="158168" s="12" customFormat="1" x14ac:dyDescent="0.25"/>
    <row r="158169" s="12" customFormat="1" x14ac:dyDescent="0.25"/>
    <row r="158170" s="12" customFormat="1" x14ac:dyDescent="0.25"/>
    <row r="158171" s="12" customFormat="1" x14ac:dyDescent="0.25"/>
    <row r="158172" s="12" customFormat="1" x14ac:dyDescent="0.25"/>
    <row r="158173" s="12" customFormat="1" x14ac:dyDescent="0.25"/>
    <row r="158174" s="12" customFormat="1" x14ac:dyDescent="0.25"/>
    <row r="158175" s="12" customFormat="1" x14ac:dyDescent="0.25"/>
    <row r="158176" s="12" customFormat="1" x14ac:dyDescent="0.25"/>
    <row r="158177" s="12" customFormat="1" x14ac:dyDescent="0.25"/>
    <row r="158178" s="12" customFormat="1" x14ac:dyDescent="0.25"/>
    <row r="158179" s="12" customFormat="1" x14ac:dyDescent="0.25"/>
    <row r="158180" s="12" customFormat="1" x14ac:dyDescent="0.25"/>
    <row r="158181" s="12" customFormat="1" x14ac:dyDescent="0.25"/>
    <row r="158182" s="12" customFormat="1" x14ac:dyDescent="0.25"/>
    <row r="158183" s="12" customFormat="1" x14ac:dyDescent="0.25"/>
    <row r="158184" s="12" customFormat="1" x14ac:dyDescent="0.25"/>
    <row r="158185" s="12" customFormat="1" x14ac:dyDescent="0.25"/>
    <row r="158186" s="12" customFormat="1" x14ac:dyDescent="0.25"/>
    <row r="158187" s="12" customFormat="1" x14ac:dyDescent="0.25"/>
    <row r="158188" s="12" customFormat="1" x14ac:dyDescent="0.25"/>
    <row r="158189" s="12" customFormat="1" x14ac:dyDescent="0.25"/>
    <row r="158190" s="12" customFormat="1" x14ac:dyDescent="0.25"/>
    <row r="158191" s="12" customFormat="1" x14ac:dyDescent="0.25"/>
    <row r="158192" s="12" customFormat="1" x14ac:dyDescent="0.25"/>
    <row r="158193" s="12" customFormat="1" x14ac:dyDescent="0.25"/>
    <row r="158194" s="12" customFormat="1" x14ac:dyDescent="0.25"/>
    <row r="158195" s="12" customFormat="1" x14ac:dyDescent="0.25"/>
    <row r="158196" s="12" customFormat="1" x14ac:dyDescent="0.25"/>
    <row r="158197" s="12" customFormat="1" x14ac:dyDescent="0.25"/>
    <row r="158198" s="12" customFormat="1" x14ac:dyDescent="0.25"/>
    <row r="158199" s="12" customFormat="1" x14ac:dyDescent="0.25"/>
    <row r="158200" s="12" customFormat="1" x14ac:dyDescent="0.25"/>
    <row r="158201" s="12" customFormat="1" x14ac:dyDescent="0.25"/>
    <row r="158202" s="12" customFormat="1" x14ac:dyDescent="0.25"/>
    <row r="158203" s="12" customFormat="1" x14ac:dyDescent="0.25"/>
    <row r="158204" s="12" customFormat="1" x14ac:dyDescent="0.25"/>
    <row r="158205" s="12" customFormat="1" x14ac:dyDescent="0.25"/>
    <row r="158206" s="12" customFormat="1" x14ac:dyDescent="0.25"/>
    <row r="158207" s="12" customFormat="1" x14ac:dyDescent="0.25"/>
    <row r="158208" s="12" customFormat="1" x14ac:dyDescent="0.25"/>
    <row r="158209" s="12" customFormat="1" x14ac:dyDescent="0.25"/>
    <row r="158210" s="12" customFormat="1" x14ac:dyDescent="0.25"/>
    <row r="158211" s="12" customFormat="1" x14ac:dyDescent="0.25"/>
    <row r="158212" s="12" customFormat="1" x14ac:dyDescent="0.25"/>
    <row r="158213" s="12" customFormat="1" x14ac:dyDescent="0.25"/>
    <row r="158214" s="12" customFormat="1" x14ac:dyDescent="0.25"/>
    <row r="158215" s="12" customFormat="1" x14ac:dyDescent="0.25"/>
    <row r="158216" s="12" customFormat="1" x14ac:dyDescent="0.25"/>
    <row r="158217" s="12" customFormat="1" x14ac:dyDescent="0.25"/>
    <row r="158218" s="12" customFormat="1" x14ac:dyDescent="0.25"/>
    <row r="158219" s="12" customFormat="1" x14ac:dyDescent="0.25"/>
    <row r="158220" s="12" customFormat="1" x14ac:dyDescent="0.25"/>
    <row r="158221" s="12" customFormat="1" x14ac:dyDescent="0.25"/>
    <row r="158222" s="12" customFormat="1" x14ac:dyDescent="0.25"/>
    <row r="158223" s="12" customFormat="1" x14ac:dyDescent="0.25"/>
    <row r="158224" s="12" customFormat="1" x14ac:dyDescent="0.25"/>
    <row r="158225" s="12" customFormat="1" x14ac:dyDescent="0.25"/>
    <row r="158226" s="12" customFormat="1" x14ac:dyDescent="0.25"/>
    <row r="158227" s="12" customFormat="1" x14ac:dyDescent="0.25"/>
    <row r="158228" s="12" customFormat="1" x14ac:dyDescent="0.25"/>
    <row r="158229" s="12" customFormat="1" x14ac:dyDescent="0.25"/>
    <row r="158230" s="12" customFormat="1" x14ac:dyDescent="0.25"/>
    <row r="158231" s="12" customFormat="1" x14ac:dyDescent="0.25"/>
    <row r="158232" s="12" customFormat="1" x14ac:dyDescent="0.25"/>
    <row r="158233" s="12" customFormat="1" x14ac:dyDescent="0.25"/>
    <row r="158234" s="12" customFormat="1" x14ac:dyDescent="0.25"/>
    <row r="158235" s="12" customFormat="1" x14ac:dyDescent="0.25"/>
    <row r="158236" s="12" customFormat="1" x14ac:dyDescent="0.25"/>
    <row r="158237" s="12" customFormat="1" x14ac:dyDescent="0.25"/>
    <row r="158238" s="12" customFormat="1" x14ac:dyDescent="0.25"/>
    <row r="158239" s="12" customFormat="1" x14ac:dyDescent="0.25"/>
    <row r="158240" s="12" customFormat="1" x14ac:dyDescent="0.25"/>
    <row r="158241" s="12" customFormat="1" x14ac:dyDescent="0.25"/>
    <row r="158242" s="12" customFormat="1" x14ac:dyDescent="0.25"/>
    <row r="158243" s="12" customFormat="1" x14ac:dyDescent="0.25"/>
    <row r="158244" s="12" customFormat="1" x14ac:dyDescent="0.25"/>
    <row r="158245" s="12" customFormat="1" x14ac:dyDescent="0.25"/>
    <row r="158246" s="12" customFormat="1" x14ac:dyDescent="0.25"/>
    <row r="158247" s="12" customFormat="1" x14ac:dyDescent="0.25"/>
    <row r="158248" s="12" customFormat="1" x14ac:dyDescent="0.25"/>
    <row r="158249" s="12" customFormat="1" x14ac:dyDescent="0.25"/>
    <row r="158250" s="12" customFormat="1" x14ac:dyDescent="0.25"/>
    <row r="158251" s="12" customFormat="1" x14ac:dyDescent="0.25"/>
    <row r="158252" s="12" customFormat="1" x14ac:dyDescent="0.25"/>
    <row r="158253" s="12" customFormat="1" x14ac:dyDescent="0.25"/>
    <row r="158254" s="12" customFormat="1" x14ac:dyDescent="0.25"/>
    <row r="158255" s="12" customFormat="1" x14ac:dyDescent="0.25"/>
    <row r="158256" s="12" customFormat="1" x14ac:dyDescent="0.25"/>
    <row r="158257" s="12" customFormat="1" x14ac:dyDescent="0.25"/>
    <row r="158258" s="12" customFormat="1" x14ac:dyDescent="0.25"/>
    <row r="158259" s="12" customFormat="1" x14ac:dyDescent="0.25"/>
    <row r="158260" s="12" customFormat="1" x14ac:dyDescent="0.25"/>
    <row r="158261" s="12" customFormat="1" x14ac:dyDescent="0.25"/>
    <row r="158262" s="12" customFormat="1" x14ac:dyDescent="0.25"/>
    <row r="158263" s="12" customFormat="1" x14ac:dyDescent="0.25"/>
    <row r="158264" s="12" customFormat="1" x14ac:dyDescent="0.25"/>
    <row r="158265" s="12" customFormat="1" x14ac:dyDescent="0.25"/>
    <row r="158266" s="12" customFormat="1" x14ac:dyDescent="0.25"/>
    <row r="158267" s="12" customFormat="1" x14ac:dyDescent="0.25"/>
    <row r="158268" s="12" customFormat="1" x14ac:dyDescent="0.25"/>
    <row r="158269" s="12" customFormat="1" x14ac:dyDescent="0.25"/>
    <row r="158270" s="12" customFormat="1" x14ac:dyDescent="0.25"/>
    <row r="158271" s="12" customFormat="1" x14ac:dyDescent="0.25"/>
    <row r="158272" s="12" customFormat="1" x14ac:dyDescent="0.25"/>
    <row r="158273" s="12" customFormat="1" x14ac:dyDescent="0.25"/>
    <row r="158274" s="12" customFormat="1" x14ac:dyDescent="0.25"/>
    <row r="158275" s="12" customFormat="1" x14ac:dyDescent="0.25"/>
    <row r="158276" s="12" customFormat="1" x14ac:dyDescent="0.25"/>
    <row r="158277" s="12" customFormat="1" x14ac:dyDescent="0.25"/>
    <row r="158278" s="12" customFormat="1" x14ac:dyDescent="0.25"/>
    <row r="158279" s="12" customFormat="1" x14ac:dyDescent="0.25"/>
    <row r="158280" s="12" customFormat="1" x14ac:dyDescent="0.25"/>
    <row r="158281" s="12" customFormat="1" x14ac:dyDescent="0.25"/>
    <row r="158282" s="12" customFormat="1" x14ac:dyDescent="0.25"/>
    <row r="158283" s="12" customFormat="1" x14ac:dyDescent="0.25"/>
    <row r="158284" s="12" customFormat="1" x14ac:dyDescent="0.25"/>
    <row r="158285" s="12" customFormat="1" x14ac:dyDescent="0.25"/>
    <row r="158286" s="12" customFormat="1" x14ac:dyDescent="0.25"/>
    <row r="158287" s="12" customFormat="1" x14ac:dyDescent="0.25"/>
    <row r="158288" s="12" customFormat="1" x14ac:dyDescent="0.25"/>
    <row r="158289" s="12" customFormat="1" x14ac:dyDescent="0.25"/>
    <row r="158290" s="12" customFormat="1" x14ac:dyDescent="0.25"/>
    <row r="158291" s="12" customFormat="1" x14ac:dyDescent="0.25"/>
    <row r="158292" s="12" customFormat="1" x14ac:dyDescent="0.25"/>
    <row r="158293" s="12" customFormat="1" x14ac:dyDescent="0.25"/>
    <row r="158294" s="12" customFormat="1" x14ac:dyDescent="0.25"/>
    <row r="158295" s="12" customFormat="1" x14ac:dyDescent="0.25"/>
    <row r="158296" s="12" customFormat="1" x14ac:dyDescent="0.25"/>
    <row r="158297" s="12" customFormat="1" x14ac:dyDescent="0.25"/>
    <row r="158298" s="12" customFormat="1" x14ac:dyDescent="0.25"/>
    <row r="158299" s="12" customFormat="1" x14ac:dyDescent="0.25"/>
    <row r="158300" s="12" customFormat="1" x14ac:dyDescent="0.25"/>
    <row r="158301" s="12" customFormat="1" x14ac:dyDescent="0.25"/>
    <row r="158302" s="12" customFormat="1" x14ac:dyDescent="0.25"/>
    <row r="158303" s="12" customFormat="1" x14ac:dyDescent="0.25"/>
    <row r="158304" s="12" customFormat="1" x14ac:dyDescent="0.25"/>
    <row r="158305" s="12" customFormat="1" x14ac:dyDescent="0.25"/>
    <row r="158306" s="12" customFormat="1" x14ac:dyDescent="0.25"/>
    <row r="158307" s="12" customFormat="1" x14ac:dyDescent="0.25"/>
    <row r="158308" s="12" customFormat="1" x14ac:dyDescent="0.25"/>
    <row r="158309" s="12" customFormat="1" x14ac:dyDescent="0.25"/>
    <row r="158310" s="12" customFormat="1" x14ac:dyDescent="0.25"/>
    <row r="158311" s="12" customFormat="1" x14ac:dyDescent="0.25"/>
    <row r="158312" s="12" customFormat="1" x14ac:dyDescent="0.25"/>
    <row r="158313" s="12" customFormat="1" x14ac:dyDescent="0.25"/>
    <row r="158314" s="12" customFormat="1" x14ac:dyDescent="0.25"/>
    <row r="158315" s="12" customFormat="1" x14ac:dyDescent="0.25"/>
    <row r="158316" s="12" customFormat="1" x14ac:dyDescent="0.25"/>
    <row r="158317" s="12" customFormat="1" x14ac:dyDescent="0.25"/>
    <row r="158318" s="12" customFormat="1" x14ac:dyDescent="0.25"/>
    <row r="158319" s="12" customFormat="1" x14ac:dyDescent="0.25"/>
    <row r="158320" s="12" customFormat="1" x14ac:dyDescent="0.25"/>
    <row r="158321" s="12" customFormat="1" x14ac:dyDescent="0.25"/>
    <row r="158322" s="12" customFormat="1" x14ac:dyDescent="0.25"/>
    <row r="158323" s="12" customFormat="1" x14ac:dyDescent="0.25"/>
    <row r="158324" s="12" customFormat="1" x14ac:dyDescent="0.25"/>
    <row r="158325" s="12" customFormat="1" x14ac:dyDescent="0.25"/>
    <row r="158326" s="12" customFormat="1" x14ac:dyDescent="0.25"/>
    <row r="158327" s="12" customFormat="1" x14ac:dyDescent="0.25"/>
    <row r="158328" s="12" customFormat="1" x14ac:dyDescent="0.25"/>
    <row r="158329" s="12" customFormat="1" x14ac:dyDescent="0.25"/>
    <row r="158330" s="12" customFormat="1" x14ac:dyDescent="0.25"/>
    <row r="158331" s="12" customFormat="1" x14ac:dyDescent="0.25"/>
    <row r="158332" s="12" customFormat="1" x14ac:dyDescent="0.25"/>
    <row r="158333" s="12" customFormat="1" x14ac:dyDescent="0.25"/>
    <row r="158334" s="12" customFormat="1" x14ac:dyDescent="0.25"/>
    <row r="158335" s="12" customFormat="1" x14ac:dyDescent="0.25"/>
    <row r="158336" s="12" customFormat="1" x14ac:dyDescent="0.25"/>
    <row r="158337" s="12" customFormat="1" x14ac:dyDescent="0.25"/>
    <row r="158338" s="12" customFormat="1" x14ac:dyDescent="0.25"/>
    <row r="158339" s="12" customFormat="1" x14ac:dyDescent="0.25"/>
    <row r="158340" s="12" customFormat="1" x14ac:dyDescent="0.25"/>
    <row r="158341" s="12" customFormat="1" x14ac:dyDescent="0.25"/>
    <row r="158342" s="12" customFormat="1" x14ac:dyDescent="0.25"/>
    <row r="158343" s="12" customFormat="1" x14ac:dyDescent="0.25"/>
    <row r="158344" s="12" customFormat="1" x14ac:dyDescent="0.25"/>
    <row r="158345" s="12" customFormat="1" x14ac:dyDescent="0.25"/>
    <row r="158346" s="12" customFormat="1" x14ac:dyDescent="0.25"/>
    <row r="158347" s="12" customFormat="1" x14ac:dyDescent="0.25"/>
    <row r="158348" s="12" customFormat="1" x14ac:dyDescent="0.25"/>
    <row r="158349" s="12" customFormat="1" x14ac:dyDescent="0.25"/>
    <row r="158350" s="12" customFormat="1" x14ac:dyDescent="0.25"/>
    <row r="158351" s="12" customFormat="1" x14ac:dyDescent="0.25"/>
    <row r="158352" s="12" customFormat="1" x14ac:dyDescent="0.25"/>
    <row r="158353" s="12" customFormat="1" x14ac:dyDescent="0.25"/>
    <row r="158354" s="12" customFormat="1" x14ac:dyDescent="0.25"/>
    <row r="158355" s="12" customFormat="1" x14ac:dyDescent="0.25"/>
    <row r="158356" s="12" customFormat="1" x14ac:dyDescent="0.25"/>
    <row r="158357" s="12" customFormat="1" x14ac:dyDescent="0.25"/>
    <row r="158358" s="12" customFormat="1" x14ac:dyDescent="0.25"/>
    <row r="158359" s="12" customFormat="1" x14ac:dyDescent="0.25"/>
    <row r="158360" s="12" customFormat="1" x14ac:dyDescent="0.25"/>
    <row r="158361" s="12" customFormat="1" x14ac:dyDescent="0.25"/>
    <row r="158362" s="12" customFormat="1" x14ac:dyDescent="0.25"/>
    <row r="158363" s="12" customFormat="1" x14ac:dyDescent="0.25"/>
    <row r="158364" s="12" customFormat="1" x14ac:dyDescent="0.25"/>
    <row r="158365" s="12" customFormat="1" x14ac:dyDescent="0.25"/>
    <row r="158366" s="12" customFormat="1" x14ac:dyDescent="0.25"/>
    <row r="158367" s="12" customFormat="1" x14ac:dyDescent="0.25"/>
    <row r="158368" s="12" customFormat="1" x14ac:dyDescent="0.25"/>
    <row r="158369" s="12" customFormat="1" x14ac:dyDescent="0.25"/>
    <row r="158370" s="12" customFormat="1" x14ac:dyDescent="0.25"/>
    <row r="158371" s="12" customFormat="1" x14ac:dyDescent="0.25"/>
    <row r="158372" s="12" customFormat="1" x14ac:dyDescent="0.25"/>
    <row r="158373" s="12" customFormat="1" x14ac:dyDescent="0.25"/>
    <row r="158374" s="12" customFormat="1" x14ac:dyDescent="0.25"/>
    <row r="158375" s="12" customFormat="1" x14ac:dyDescent="0.25"/>
    <row r="158376" s="12" customFormat="1" x14ac:dyDescent="0.25"/>
    <row r="158377" s="12" customFormat="1" x14ac:dyDescent="0.25"/>
    <row r="158378" s="12" customFormat="1" x14ac:dyDescent="0.25"/>
    <row r="158379" s="12" customFormat="1" x14ac:dyDescent="0.25"/>
    <row r="158380" s="12" customFormat="1" x14ac:dyDescent="0.25"/>
    <row r="158381" s="12" customFormat="1" x14ac:dyDescent="0.25"/>
    <row r="158382" s="12" customFormat="1" x14ac:dyDescent="0.25"/>
    <row r="158383" s="12" customFormat="1" x14ac:dyDescent="0.25"/>
    <row r="158384" s="12" customFormat="1" x14ac:dyDescent="0.25"/>
    <row r="158385" s="12" customFormat="1" x14ac:dyDescent="0.25"/>
    <row r="158386" s="12" customFormat="1" x14ac:dyDescent="0.25"/>
    <row r="158387" s="12" customFormat="1" x14ac:dyDescent="0.25"/>
    <row r="158388" s="12" customFormat="1" x14ac:dyDescent="0.25"/>
    <row r="158389" s="12" customFormat="1" x14ac:dyDescent="0.25"/>
    <row r="158390" s="12" customFormat="1" x14ac:dyDescent="0.25"/>
    <row r="158391" s="12" customFormat="1" x14ac:dyDescent="0.25"/>
    <row r="158392" s="12" customFormat="1" x14ac:dyDescent="0.25"/>
    <row r="158393" s="12" customFormat="1" x14ac:dyDescent="0.25"/>
    <row r="158394" s="12" customFormat="1" x14ac:dyDescent="0.25"/>
    <row r="158395" s="12" customFormat="1" x14ac:dyDescent="0.25"/>
    <row r="158396" s="12" customFormat="1" x14ac:dyDescent="0.25"/>
    <row r="158397" s="12" customFormat="1" x14ac:dyDescent="0.25"/>
    <row r="158398" s="12" customFormat="1" x14ac:dyDescent="0.25"/>
    <row r="158399" s="12" customFormat="1" x14ac:dyDescent="0.25"/>
    <row r="158400" s="12" customFormat="1" x14ac:dyDescent="0.25"/>
    <row r="158401" s="12" customFormat="1" x14ac:dyDescent="0.25"/>
    <row r="158402" s="12" customFormat="1" x14ac:dyDescent="0.25"/>
    <row r="158403" s="12" customFormat="1" x14ac:dyDescent="0.25"/>
    <row r="158404" s="12" customFormat="1" x14ac:dyDescent="0.25"/>
    <row r="158405" s="12" customFormat="1" x14ac:dyDescent="0.25"/>
    <row r="158406" s="12" customFormat="1" x14ac:dyDescent="0.25"/>
    <row r="158407" s="12" customFormat="1" x14ac:dyDescent="0.25"/>
    <row r="158408" s="12" customFormat="1" x14ac:dyDescent="0.25"/>
    <row r="158409" s="12" customFormat="1" x14ac:dyDescent="0.25"/>
    <row r="158410" s="12" customFormat="1" x14ac:dyDescent="0.25"/>
    <row r="158411" s="12" customFormat="1" x14ac:dyDescent="0.25"/>
    <row r="158412" s="12" customFormat="1" x14ac:dyDescent="0.25"/>
    <row r="158413" s="12" customFormat="1" x14ac:dyDescent="0.25"/>
    <row r="158414" s="12" customFormat="1" x14ac:dyDescent="0.25"/>
    <row r="158415" s="12" customFormat="1" x14ac:dyDescent="0.25"/>
    <row r="158416" s="12" customFormat="1" x14ac:dyDescent="0.25"/>
    <row r="158417" s="12" customFormat="1" x14ac:dyDescent="0.25"/>
    <row r="158418" s="12" customFormat="1" x14ac:dyDescent="0.25"/>
    <row r="158419" s="12" customFormat="1" x14ac:dyDescent="0.25"/>
    <row r="158420" s="12" customFormat="1" x14ac:dyDescent="0.25"/>
    <row r="158421" s="12" customFormat="1" x14ac:dyDescent="0.25"/>
    <row r="158422" s="12" customFormat="1" x14ac:dyDescent="0.25"/>
    <row r="158423" s="12" customFormat="1" x14ac:dyDescent="0.25"/>
    <row r="158424" s="12" customFormat="1" x14ac:dyDescent="0.25"/>
    <row r="158425" s="12" customFormat="1" x14ac:dyDescent="0.25"/>
    <row r="158426" s="12" customFormat="1" x14ac:dyDescent="0.25"/>
    <row r="158427" s="12" customFormat="1" x14ac:dyDescent="0.25"/>
    <row r="158428" s="12" customFormat="1" x14ac:dyDescent="0.25"/>
    <row r="158429" s="12" customFormat="1" x14ac:dyDescent="0.25"/>
    <row r="158430" s="12" customFormat="1" x14ac:dyDescent="0.25"/>
    <row r="158431" s="12" customFormat="1" x14ac:dyDescent="0.25"/>
    <row r="158432" s="12" customFormat="1" x14ac:dyDescent="0.25"/>
    <row r="158433" s="12" customFormat="1" x14ac:dyDescent="0.25"/>
    <row r="158434" s="12" customFormat="1" x14ac:dyDescent="0.25"/>
    <row r="158435" s="12" customFormat="1" x14ac:dyDescent="0.25"/>
    <row r="158436" s="12" customFormat="1" x14ac:dyDescent="0.25"/>
    <row r="158437" s="12" customFormat="1" x14ac:dyDescent="0.25"/>
    <row r="158438" s="12" customFormat="1" x14ac:dyDescent="0.25"/>
    <row r="158439" s="12" customFormat="1" x14ac:dyDescent="0.25"/>
    <row r="158440" s="12" customFormat="1" x14ac:dyDescent="0.25"/>
    <row r="158441" s="12" customFormat="1" x14ac:dyDescent="0.25"/>
    <row r="158442" s="12" customFormat="1" x14ac:dyDescent="0.25"/>
    <row r="158443" s="12" customFormat="1" x14ac:dyDescent="0.25"/>
    <row r="158444" s="12" customFormat="1" x14ac:dyDescent="0.25"/>
    <row r="158445" s="12" customFormat="1" x14ac:dyDescent="0.25"/>
    <row r="158446" s="12" customFormat="1" x14ac:dyDescent="0.25"/>
    <row r="158447" s="12" customFormat="1" x14ac:dyDescent="0.25"/>
    <row r="158448" s="12" customFormat="1" x14ac:dyDescent="0.25"/>
    <row r="158449" s="12" customFormat="1" x14ac:dyDescent="0.25"/>
    <row r="158450" s="12" customFormat="1" x14ac:dyDescent="0.25"/>
    <row r="158451" s="12" customFormat="1" x14ac:dyDescent="0.25"/>
    <row r="158452" s="12" customFormat="1" x14ac:dyDescent="0.25"/>
    <row r="158453" s="12" customFormat="1" x14ac:dyDescent="0.25"/>
    <row r="158454" s="12" customFormat="1" x14ac:dyDescent="0.25"/>
    <row r="158455" s="12" customFormat="1" x14ac:dyDescent="0.25"/>
    <row r="158456" s="12" customFormat="1" x14ac:dyDescent="0.25"/>
    <row r="158457" s="12" customFormat="1" x14ac:dyDescent="0.25"/>
    <row r="158458" s="12" customFormat="1" x14ac:dyDescent="0.25"/>
    <row r="158459" s="12" customFormat="1" x14ac:dyDescent="0.25"/>
    <row r="158460" s="12" customFormat="1" x14ac:dyDescent="0.25"/>
    <row r="158461" s="12" customFormat="1" x14ac:dyDescent="0.25"/>
    <row r="158462" s="12" customFormat="1" x14ac:dyDescent="0.25"/>
    <row r="158463" s="12" customFormat="1" x14ac:dyDescent="0.25"/>
    <row r="158464" s="12" customFormat="1" x14ac:dyDescent="0.25"/>
    <row r="158465" s="12" customFormat="1" x14ac:dyDescent="0.25"/>
    <row r="158466" s="12" customFormat="1" x14ac:dyDescent="0.25"/>
    <row r="158467" s="12" customFormat="1" x14ac:dyDescent="0.25"/>
    <row r="158468" s="12" customFormat="1" x14ac:dyDescent="0.25"/>
    <row r="158469" s="12" customFormat="1" x14ac:dyDescent="0.25"/>
    <row r="158470" s="12" customFormat="1" x14ac:dyDescent="0.25"/>
    <row r="158471" s="12" customFormat="1" x14ac:dyDescent="0.25"/>
    <row r="158472" s="12" customFormat="1" x14ac:dyDescent="0.25"/>
    <row r="158473" s="12" customFormat="1" x14ac:dyDescent="0.25"/>
    <row r="158474" s="12" customFormat="1" x14ac:dyDescent="0.25"/>
    <row r="158475" s="12" customFormat="1" x14ac:dyDescent="0.25"/>
    <row r="158476" s="12" customFormat="1" x14ac:dyDescent="0.25"/>
    <row r="158477" s="12" customFormat="1" x14ac:dyDescent="0.25"/>
    <row r="158478" s="12" customFormat="1" x14ac:dyDescent="0.25"/>
    <row r="158479" s="12" customFormat="1" x14ac:dyDescent="0.25"/>
    <row r="158480" s="12" customFormat="1" x14ac:dyDescent="0.25"/>
    <row r="158481" s="12" customFormat="1" x14ac:dyDescent="0.25"/>
    <row r="158482" s="12" customFormat="1" x14ac:dyDescent="0.25"/>
    <row r="158483" s="12" customFormat="1" x14ac:dyDescent="0.25"/>
    <row r="158484" s="12" customFormat="1" x14ac:dyDescent="0.25"/>
    <row r="158485" s="12" customFormat="1" x14ac:dyDescent="0.25"/>
    <row r="158486" s="12" customFormat="1" x14ac:dyDescent="0.25"/>
    <row r="158487" s="12" customFormat="1" x14ac:dyDescent="0.25"/>
    <row r="158488" s="12" customFormat="1" x14ac:dyDescent="0.25"/>
    <row r="158489" s="12" customFormat="1" x14ac:dyDescent="0.25"/>
    <row r="158490" s="12" customFormat="1" x14ac:dyDescent="0.25"/>
    <row r="158491" s="12" customFormat="1" x14ac:dyDescent="0.25"/>
    <row r="158492" s="12" customFormat="1" x14ac:dyDescent="0.25"/>
    <row r="158493" s="12" customFormat="1" x14ac:dyDescent="0.25"/>
    <row r="158494" s="12" customFormat="1" x14ac:dyDescent="0.25"/>
    <row r="158495" s="12" customFormat="1" x14ac:dyDescent="0.25"/>
    <row r="158496" s="12" customFormat="1" x14ac:dyDescent="0.25"/>
    <row r="158497" s="12" customFormat="1" x14ac:dyDescent="0.25"/>
    <row r="158498" s="12" customFormat="1" x14ac:dyDescent="0.25"/>
    <row r="158499" s="12" customFormat="1" x14ac:dyDescent="0.25"/>
    <row r="158500" s="12" customFormat="1" x14ac:dyDescent="0.25"/>
    <row r="158501" s="12" customFormat="1" x14ac:dyDescent="0.25"/>
    <row r="158502" s="12" customFormat="1" x14ac:dyDescent="0.25"/>
    <row r="158503" s="12" customFormat="1" x14ac:dyDescent="0.25"/>
    <row r="158504" s="12" customFormat="1" x14ac:dyDescent="0.25"/>
    <row r="158505" s="12" customFormat="1" x14ac:dyDescent="0.25"/>
    <row r="158506" s="12" customFormat="1" x14ac:dyDescent="0.25"/>
    <row r="158507" s="12" customFormat="1" x14ac:dyDescent="0.25"/>
    <row r="158508" s="12" customFormat="1" x14ac:dyDescent="0.25"/>
    <row r="158509" s="12" customFormat="1" x14ac:dyDescent="0.25"/>
    <row r="158510" s="12" customFormat="1" x14ac:dyDescent="0.25"/>
    <row r="158511" s="12" customFormat="1" x14ac:dyDescent="0.25"/>
    <row r="158512" s="12" customFormat="1" x14ac:dyDescent="0.25"/>
    <row r="158513" s="12" customFormat="1" x14ac:dyDescent="0.25"/>
    <row r="158514" s="12" customFormat="1" x14ac:dyDescent="0.25"/>
    <row r="158515" s="12" customFormat="1" x14ac:dyDescent="0.25"/>
    <row r="158516" s="12" customFormat="1" x14ac:dyDescent="0.25"/>
    <row r="158517" s="12" customFormat="1" x14ac:dyDescent="0.25"/>
    <row r="158518" s="12" customFormat="1" x14ac:dyDescent="0.25"/>
    <row r="158519" s="12" customFormat="1" x14ac:dyDescent="0.25"/>
    <row r="158520" s="12" customFormat="1" x14ac:dyDescent="0.25"/>
    <row r="158521" s="12" customFormat="1" x14ac:dyDescent="0.25"/>
    <row r="158522" s="12" customFormat="1" x14ac:dyDescent="0.25"/>
    <row r="158523" s="12" customFormat="1" x14ac:dyDescent="0.25"/>
    <row r="158524" s="12" customFormat="1" x14ac:dyDescent="0.25"/>
    <row r="158525" s="12" customFormat="1" x14ac:dyDescent="0.25"/>
    <row r="158526" s="12" customFormat="1" x14ac:dyDescent="0.25"/>
    <row r="158527" s="12" customFormat="1" x14ac:dyDescent="0.25"/>
    <row r="158528" s="12" customFormat="1" x14ac:dyDescent="0.25"/>
    <row r="158529" s="12" customFormat="1" x14ac:dyDescent="0.25"/>
    <row r="158530" s="12" customFormat="1" x14ac:dyDescent="0.25"/>
    <row r="158531" s="12" customFormat="1" x14ac:dyDescent="0.25"/>
    <row r="158532" s="12" customFormat="1" x14ac:dyDescent="0.25"/>
    <row r="158533" s="12" customFormat="1" x14ac:dyDescent="0.25"/>
    <row r="158534" s="12" customFormat="1" x14ac:dyDescent="0.25"/>
    <row r="158535" s="12" customFormat="1" x14ac:dyDescent="0.25"/>
    <row r="158536" s="12" customFormat="1" x14ac:dyDescent="0.25"/>
    <row r="158537" s="12" customFormat="1" x14ac:dyDescent="0.25"/>
    <row r="158538" s="12" customFormat="1" x14ac:dyDescent="0.25"/>
    <row r="158539" s="12" customFormat="1" x14ac:dyDescent="0.25"/>
    <row r="158540" s="12" customFormat="1" x14ac:dyDescent="0.25"/>
    <row r="158541" s="12" customFormat="1" x14ac:dyDescent="0.25"/>
    <row r="158542" s="12" customFormat="1" x14ac:dyDescent="0.25"/>
    <row r="158543" s="12" customFormat="1" x14ac:dyDescent="0.25"/>
    <row r="158544" s="12" customFormat="1" x14ac:dyDescent="0.25"/>
    <row r="158545" s="12" customFormat="1" x14ac:dyDescent="0.25"/>
    <row r="158546" s="12" customFormat="1" x14ac:dyDescent="0.25"/>
    <row r="158547" s="12" customFormat="1" x14ac:dyDescent="0.25"/>
    <row r="158548" s="12" customFormat="1" x14ac:dyDescent="0.25"/>
    <row r="158549" s="12" customFormat="1" x14ac:dyDescent="0.25"/>
    <row r="158550" s="12" customFormat="1" x14ac:dyDescent="0.25"/>
    <row r="158551" s="12" customFormat="1" x14ac:dyDescent="0.25"/>
    <row r="158552" s="12" customFormat="1" x14ac:dyDescent="0.25"/>
    <row r="158553" s="12" customFormat="1" x14ac:dyDescent="0.25"/>
    <row r="158554" s="12" customFormat="1" x14ac:dyDescent="0.25"/>
    <row r="158555" s="12" customFormat="1" x14ac:dyDescent="0.25"/>
    <row r="158556" s="12" customFormat="1" x14ac:dyDescent="0.25"/>
    <row r="158557" s="12" customFormat="1" x14ac:dyDescent="0.25"/>
    <row r="158558" s="12" customFormat="1" x14ac:dyDescent="0.25"/>
    <row r="158559" s="12" customFormat="1" x14ac:dyDescent="0.25"/>
    <row r="158560" s="12" customFormat="1" x14ac:dyDescent="0.25"/>
    <row r="158561" s="12" customFormat="1" x14ac:dyDescent="0.25"/>
    <row r="158562" s="12" customFormat="1" x14ac:dyDescent="0.25"/>
    <row r="158563" s="12" customFormat="1" x14ac:dyDescent="0.25"/>
    <row r="158564" s="12" customFormat="1" x14ac:dyDescent="0.25"/>
    <row r="158565" s="12" customFormat="1" x14ac:dyDescent="0.25"/>
    <row r="158566" s="12" customFormat="1" x14ac:dyDescent="0.25"/>
    <row r="158567" s="12" customFormat="1" x14ac:dyDescent="0.25"/>
    <row r="158568" s="12" customFormat="1" x14ac:dyDescent="0.25"/>
    <row r="158569" s="12" customFormat="1" x14ac:dyDescent="0.25"/>
    <row r="158570" s="12" customFormat="1" x14ac:dyDescent="0.25"/>
    <row r="158571" s="12" customFormat="1" x14ac:dyDescent="0.25"/>
    <row r="158572" s="12" customFormat="1" x14ac:dyDescent="0.25"/>
    <row r="158573" s="12" customFormat="1" x14ac:dyDescent="0.25"/>
    <row r="158574" s="12" customFormat="1" x14ac:dyDescent="0.25"/>
    <row r="158575" s="12" customFormat="1" x14ac:dyDescent="0.25"/>
    <row r="158576" s="12" customFormat="1" x14ac:dyDescent="0.25"/>
    <row r="158577" s="12" customFormat="1" x14ac:dyDescent="0.25"/>
    <row r="158578" s="12" customFormat="1" x14ac:dyDescent="0.25"/>
    <row r="158579" s="12" customFormat="1" x14ac:dyDescent="0.25"/>
    <row r="158580" s="12" customFormat="1" x14ac:dyDescent="0.25"/>
    <row r="158581" s="12" customFormat="1" x14ac:dyDescent="0.25"/>
    <row r="158582" s="12" customFormat="1" x14ac:dyDescent="0.25"/>
    <row r="158583" s="12" customFormat="1" x14ac:dyDescent="0.25"/>
    <row r="158584" s="12" customFormat="1" x14ac:dyDescent="0.25"/>
    <row r="158585" s="12" customFormat="1" x14ac:dyDescent="0.25"/>
    <row r="158586" s="12" customFormat="1" x14ac:dyDescent="0.25"/>
    <row r="158587" s="12" customFormat="1" x14ac:dyDescent="0.25"/>
    <row r="158588" s="12" customFormat="1" x14ac:dyDescent="0.25"/>
    <row r="158589" s="12" customFormat="1" x14ac:dyDescent="0.25"/>
    <row r="158590" s="12" customFormat="1" x14ac:dyDescent="0.25"/>
    <row r="158591" s="12" customFormat="1" x14ac:dyDescent="0.25"/>
    <row r="158592" s="12" customFormat="1" x14ac:dyDescent="0.25"/>
    <row r="158593" s="12" customFormat="1" x14ac:dyDescent="0.25"/>
    <row r="158594" s="12" customFormat="1" x14ac:dyDescent="0.25"/>
    <row r="158595" s="12" customFormat="1" x14ac:dyDescent="0.25"/>
    <row r="158596" s="12" customFormat="1" x14ac:dyDescent="0.25"/>
    <row r="158597" s="12" customFormat="1" x14ac:dyDescent="0.25"/>
    <row r="158598" s="12" customFormat="1" x14ac:dyDescent="0.25"/>
    <row r="158599" s="12" customFormat="1" x14ac:dyDescent="0.25"/>
    <row r="158600" s="12" customFormat="1" x14ac:dyDescent="0.25"/>
    <row r="158601" s="12" customFormat="1" x14ac:dyDescent="0.25"/>
    <row r="158602" s="12" customFormat="1" x14ac:dyDescent="0.25"/>
    <row r="158603" s="12" customFormat="1" x14ac:dyDescent="0.25"/>
    <row r="158604" s="12" customFormat="1" x14ac:dyDescent="0.25"/>
    <row r="158605" s="12" customFormat="1" x14ac:dyDescent="0.25"/>
    <row r="158606" s="12" customFormat="1" x14ac:dyDescent="0.25"/>
    <row r="158607" s="12" customFormat="1" x14ac:dyDescent="0.25"/>
    <row r="158608" s="12" customFormat="1" x14ac:dyDescent="0.25"/>
    <row r="158609" s="12" customFormat="1" x14ac:dyDescent="0.25"/>
    <row r="158610" s="12" customFormat="1" x14ac:dyDescent="0.25"/>
    <row r="158611" s="12" customFormat="1" x14ac:dyDescent="0.25"/>
    <row r="158612" s="12" customFormat="1" x14ac:dyDescent="0.25"/>
    <row r="158613" s="12" customFormat="1" x14ac:dyDescent="0.25"/>
    <row r="158614" s="12" customFormat="1" x14ac:dyDescent="0.25"/>
    <row r="158615" s="12" customFormat="1" x14ac:dyDescent="0.25"/>
    <row r="158616" s="12" customFormat="1" x14ac:dyDescent="0.25"/>
    <row r="158617" s="12" customFormat="1" x14ac:dyDescent="0.25"/>
    <row r="158618" s="12" customFormat="1" x14ac:dyDescent="0.25"/>
    <row r="158619" s="12" customFormat="1" x14ac:dyDescent="0.25"/>
    <row r="158620" s="12" customFormat="1" x14ac:dyDescent="0.25"/>
    <row r="158621" s="12" customFormat="1" x14ac:dyDescent="0.25"/>
    <row r="158622" s="12" customFormat="1" x14ac:dyDescent="0.25"/>
    <row r="158623" s="12" customFormat="1" x14ac:dyDescent="0.25"/>
    <row r="158624" s="12" customFormat="1" x14ac:dyDescent="0.25"/>
    <row r="158625" s="12" customFormat="1" x14ac:dyDescent="0.25"/>
    <row r="158626" s="12" customFormat="1" x14ac:dyDescent="0.25"/>
    <row r="158627" s="12" customFormat="1" x14ac:dyDescent="0.25"/>
    <row r="158628" s="12" customFormat="1" x14ac:dyDescent="0.25"/>
    <row r="158629" s="12" customFormat="1" x14ac:dyDescent="0.25"/>
    <row r="158630" s="12" customFormat="1" x14ac:dyDescent="0.25"/>
    <row r="158631" s="12" customFormat="1" x14ac:dyDescent="0.25"/>
    <row r="158632" s="12" customFormat="1" x14ac:dyDescent="0.25"/>
    <row r="158633" s="12" customFormat="1" x14ac:dyDescent="0.25"/>
    <row r="158634" s="12" customFormat="1" x14ac:dyDescent="0.25"/>
    <row r="158635" s="12" customFormat="1" x14ac:dyDescent="0.25"/>
    <row r="158636" s="12" customFormat="1" x14ac:dyDescent="0.25"/>
    <row r="158637" s="12" customFormat="1" x14ac:dyDescent="0.25"/>
    <row r="158638" s="12" customFormat="1" x14ac:dyDescent="0.25"/>
    <row r="158639" s="12" customFormat="1" x14ac:dyDescent="0.25"/>
    <row r="158640" s="12" customFormat="1" x14ac:dyDescent="0.25"/>
    <row r="158641" s="12" customFormat="1" x14ac:dyDescent="0.25"/>
    <row r="158642" s="12" customFormat="1" x14ac:dyDescent="0.25"/>
    <row r="158643" s="12" customFormat="1" x14ac:dyDescent="0.25"/>
    <row r="158644" s="12" customFormat="1" x14ac:dyDescent="0.25"/>
    <row r="158645" s="12" customFormat="1" x14ac:dyDescent="0.25"/>
    <row r="158646" s="12" customFormat="1" x14ac:dyDescent="0.25"/>
    <row r="158647" s="12" customFormat="1" x14ac:dyDescent="0.25"/>
    <row r="158648" s="12" customFormat="1" x14ac:dyDescent="0.25"/>
    <row r="158649" s="12" customFormat="1" x14ac:dyDescent="0.25"/>
    <row r="158650" s="12" customFormat="1" x14ac:dyDescent="0.25"/>
    <row r="158651" s="12" customFormat="1" x14ac:dyDescent="0.25"/>
    <row r="158652" s="12" customFormat="1" x14ac:dyDescent="0.25"/>
    <row r="158653" s="12" customFormat="1" x14ac:dyDescent="0.25"/>
    <row r="158654" s="12" customFormat="1" x14ac:dyDescent="0.25"/>
    <row r="158655" s="12" customFormat="1" x14ac:dyDescent="0.25"/>
    <row r="158656" s="12" customFormat="1" x14ac:dyDescent="0.25"/>
    <row r="158657" s="12" customFormat="1" x14ac:dyDescent="0.25"/>
    <row r="158658" s="12" customFormat="1" x14ac:dyDescent="0.25"/>
    <row r="158659" s="12" customFormat="1" x14ac:dyDescent="0.25"/>
    <row r="158660" s="12" customFormat="1" x14ac:dyDescent="0.25"/>
    <row r="158661" s="12" customFormat="1" x14ac:dyDescent="0.25"/>
    <row r="158662" s="12" customFormat="1" x14ac:dyDescent="0.25"/>
    <row r="158663" s="12" customFormat="1" x14ac:dyDescent="0.25"/>
    <row r="158664" s="12" customFormat="1" x14ac:dyDescent="0.25"/>
    <row r="158665" s="12" customFormat="1" x14ac:dyDescent="0.25"/>
    <row r="158666" s="12" customFormat="1" x14ac:dyDescent="0.25"/>
    <row r="158667" s="12" customFormat="1" x14ac:dyDescent="0.25"/>
    <row r="158668" s="12" customFormat="1" x14ac:dyDescent="0.25"/>
    <row r="158669" s="12" customFormat="1" x14ac:dyDescent="0.25"/>
    <row r="158670" s="12" customFormat="1" x14ac:dyDescent="0.25"/>
    <row r="158671" s="12" customFormat="1" x14ac:dyDescent="0.25"/>
    <row r="158672" s="12" customFormat="1" x14ac:dyDescent="0.25"/>
    <row r="158673" s="12" customFormat="1" x14ac:dyDescent="0.25"/>
    <row r="158674" s="12" customFormat="1" x14ac:dyDescent="0.25"/>
    <row r="158675" s="12" customFormat="1" x14ac:dyDescent="0.25"/>
    <row r="158676" s="12" customFormat="1" x14ac:dyDescent="0.25"/>
    <row r="158677" s="12" customFormat="1" x14ac:dyDescent="0.25"/>
    <row r="158678" s="12" customFormat="1" x14ac:dyDescent="0.25"/>
    <row r="158679" s="12" customFormat="1" x14ac:dyDescent="0.25"/>
    <row r="158680" s="12" customFormat="1" x14ac:dyDescent="0.25"/>
    <row r="158681" s="12" customFormat="1" x14ac:dyDescent="0.25"/>
    <row r="158682" s="12" customFormat="1" x14ac:dyDescent="0.25"/>
    <row r="158683" s="12" customFormat="1" x14ac:dyDescent="0.25"/>
    <row r="158684" s="12" customFormat="1" x14ac:dyDescent="0.25"/>
    <row r="158685" s="12" customFormat="1" x14ac:dyDescent="0.25"/>
    <row r="158686" s="12" customFormat="1" x14ac:dyDescent="0.25"/>
    <row r="158687" s="12" customFormat="1" x14ac:dyDescent="0.25"/>
    <row r="158688" s="12" customFormat="1" x14ac:dyDescent="0.25"/>
    <row r="158689" s="12" customFormat="1" x14ac:dyDescent="0.25"/>
    <row r="158690" s="12" customFormat="1" x14ac:dyDescent="0.25"/>
    <row r="158691" s="12" customFormat="1" x14ac:dyDescent="0.25"/>
    <row r="158692" s="12" customFormat="1" x14ac:dyDescent="0.25"/>
    <row r="158693" s="12" customFormat="1" x14ac:dyDescent="0.25"/>
    <row r="158694" s="12" customFormat="1" x14ac:dyDescent="0.25"/>
    <row r="158695" s="12" customFormat="1" x14ac:dyDescent="0.25"/>
    <row r="158696" s="12" customFormat="1" x14ac:dyDescent="0.25"/>
    <row r="158697" s="12" customFormat="1" x14ac:dyDescent="0.25"/>
    <row r="158698" s="12" customFormat="1" x14ac:dyDescent="0.25"/>
    <row r="158699" s="12" customFormat="1" x14ac:dyDescent="0.25"/>
    <row r="158700" s="12" customFormat="1" x14ac:dyDescent="0.25"/>
    <row r="158701" s="12" customFormat="1" x14ac:dyDescent="0.25"/>
    <row r="158702" s="12" customFormat="1" x14ac:dyDescent="0.25"/>
    <row r="158703" s="12" customFormat="1" x14ac:dyDescent="0.25"/>
    <row r="158704" s="12" customFormat="1" x14ac:dyDescent="0.25"/>
    <row r="158705" s="12" customFormat="1" x14ac:dyDescent="0.25"/>
    <row r="158706" s="12" customFormat="1" x14ac:dyDescent="0.25"/>
    <row r="158707" s="12" customFormat="1" x14ac:dyDescent="0.25"/>
    <row r="158708" s="12" customFormat="1" x14ac:dyDescent="0.25"/>
    <row r="158709" s="12" customFormat="1" x14ac:dyDescent="0.25"/>
    <row r="158710" s="12" customFormat="1" x14ac:dyDescent="0.25"/>
    <row r="158711" s="12" customFormat="1" x14ac:dyDescent="0.25"/>
    <row r="158712" s="12" customFormat="1" x14ac:dyDescent="0.25"/>
    <row r="158713" s="12" customFormat="1" x14ac:dyDescent="0.25"/>
    <row r="158714" s="12" customFormat="1" x14ac:dyDescent="0.25"/>
    <row r="158715" s="12" customFormat="1" x14ac:dyDescent="0.25"/>
    <row r="158716" s="12" customFormat="1" x14ac:dyDescent="0.25"/>
    <row r="158717" s="12" customFormat="1" x14ac:dyDescent="0.25"/>
    <row r="158718" s="12" customFormat="1" x14ac:dyDescent="0.25"/>
    <row r="158719" s="12" customFormat="1" x14ac:dyDescent="0.25"/>
    <row r="158720" s="12" customFormat="1" x14ac:dyDescent="0.25"/>
    <row r="158721" s="12" customFormat="1" x14ac:dyDescent="0.25"/>
    <row r="158722" s="12" customFormat="1" x14ac:dyDescent="0.25"/>
    <row r="158723" s="12" customFormat="1" x14ac:dyDescent="0.25"/>
    <row r="158724" s="12" customFormat="1" x14ac:dyDescent="0.25"/>
    <row r="158725" s="12" customFormat="1" x14ac:dyDescent="0.25"/>
    <row r="158726" s="12" customFormat="1" x14ac:dyDescent="0.25"/>
    <row r="158727" s="12" customFormat="1" x14ac:dyDescent="0.25"/>
    <row r="158728" s="12" customFormat="1" x14ac:dyDescent="0.25"/>
    <row r="158729" s="12" customFormat="1" x14ac:dyDescent="0.25"/>
    <row r="158730" s="12" customFormat="1" x14ac:dyDescent="0.25"/>
    <row r="158731" s="12" customFormat="1" x14ac:dyDescent="0.25"/>
    <row r="158732" s="12" customFormat="1" x14ac:dyDescent="0.25"/>
    <row r="158733" s="12" customFormat="1" x14ac:dyDescent="0.25"/>
    <row r="158734" s="12" customFormat="1" x14ac:dyDescent="0.25"/>
    <row r="158735" s="12" customFormat="1" x14ac:dyDescent="0.25"/>
    <row r="158736" s="12" customFormat="1" x14ac:dyDescent="0.25"/>
    <row r="158737" s="12" customFormat="1" x14ac:dyDescent="0.25"/>
    <row r="158738" s="12" customFormat="1" x14ac:dyDescent="0.25"/>
    <row r="158739" s="12" customFormat="1" x14ac:dyDescent="0.25"/>
    <row r="158740" s="12" customFormat="1" x14ac:dyDescent="0.25"/>
    <row r="158741" s="12" customFormat="1" x14ac:dyDescent="0.25"/>
    <row r="158742" s="12" customFormat="1" x14ac:dyDescent="0.25"/>
    <row r="158743" s="12" customFormat="1" x14ac:dyDescent="0.25"/>
    <row r="158744" s="12" customFormat="1" x14ac:dyDescent="0.25"/>
    <row r="158745" s="12" customFormat="1" x14ac:dyDescent="0.25"/>
    <row r="158746" s="12" customFormat="1" x14ac:dyDescent="0.25"/>
    <row r="158747" s="12" customFormat="1" x14ac:dyDescent="0.25"/>
    <row r="158748" s="12" customFormat="1" x14ac:dyDescent="0.25"/>
    <row r="158749" s="12" customFormat="1" x14ac:dyDescent="0.25"/>
    <row r="158750" s="12" customFormat="1" x14ac:dyDescent="0.25"/>
    <row r="158751" s="12" customFormat="1" x14ac:dyDescent="0.25"/>
    <row r="158752" s="12" customFormat="1" x14ac:dyDescent="0.25"/>
    <row r="158753" s="12" customFormat="1" x14ac:dyDescent="0.25"/>
    <row r="158754" s="12" customFormat="1" x14ac:dyDescent="0.25"/>
    <row r="158755" s="12" customFormat="1" x14ac:dyDescent="0.25"/>
    <row r="158756" s="12" customFormat="1" x14ac:dyDescent="0.25"/>
    <row r="158757" s="12" customFormat="1" x14ac:dyDescent="0.25"/>
    <row r="158758" s="12" customFormat="1" x14ac:dyDescent="0.25"/>
    <row r="158759" s="12" customFormat="1" x14ac:dyDescent="0.25"/>
    <row r="158760" s="12" customFormat="1" x14ac:dyDescent="0.25"/>
    <row r="158761" s="12" customFormat="1" x14ac:dyDescent="0.25"/>
    <row r="158762" s="12" customFormat="1" x14ac:dyDescent="0.25"/>
    <row r="158763" s="12" customFormat="1" x14ac:dyDescent="0.25"/>
    <row r="158764" s="12" customFormat="1" x14ac:dyDescent="0.25"/>
    <row r="158765" s="12" customFormat="1" x14ac:dyDescent="0.25"/>
    <row r="158766" s="12" customFormat="1" x14ac:dyDescent="0.25"/>
    <row r="158767" s="12" customFormat="1" x14ac:dyDescent="0.25"/>
    <row r="158768" s="12" customFormat="1" x14ac:dyDescent="0.25"/>
    <row r="158769" s="12" customFormat="1" x14ac:dyDescent="0.25"/>
    <row r="158770" s="12" customFormat="1" x14ac:dyDescent="0.25"/>
    <row r="158771" s="12" customFormat="1" x14ac:dyDescent="0.25"/>
    <row r="158772" s="12" customFormat="1" x14ac:dyDescent="0.25"/>
    <row r="158773" s="12" customFormat="1" x14ac:dyDescent="0.25"/>
    <row r="158774" s="12" customFormat="1" x14ac:dyDescent="0.25"/>
    <row r="158775" s="12" customFormat="1" x14ac:dyDescent="0.25"/>
    <row r="158776" s="12" customFormat="1" x14ac:dyDescent="0.25"/>
    <row r="158777" s="12" customFormat="1" x14ac:dyDescent="0.25"/>
    <row r="158778" s="12" customFormat="1" x14ac:dyDescent="0.25"/>
    <row r="158779" s="12" customFormat="1" x14ac:dyDescent="0.25"/>
    <row r="158780" s="12" customFormat="1" x14ac:dyDescent="0.25"/>
    <row r="158781" s="12" customFormat="1" x14ac:dyDescent="0.25"/>
    <row r="158782" s="12" customFormat="1" x14ac:dyDescent="0.25"/>
    <row r="158783" s="12" customFormat="1" x14ac:dyDescent="0.25"/>
    <row r="158784" s="12" customFormat="1" x14ac:dyDescent="0.25"/>
    <row r="158785" s="12" customFormat="1" x14ac:dyDescent="0.25"/>
    <row r="158786" s="12" customFormat="1" x14ac:dyDescent="0.25"/>
    <row r="158787" s="12" customFormat="1" x14ac:dyDescent="0.25"/>
    <row r="158788" s="12" customFormat="1" x14ac:dyDescent="0.25"/>
    <row r="158789" s="12" customFormat="1" x14ac:dyDescent="0.25"/>
    <row r="158790" s="12" customFormat="1" x14ac:dyDescent="0.25"/>
    <row r="158791" s="12" customFormat="1" x14ac:dyDescent="0.25"/>
    <row r="158792" s="12" customFormat="1" x14ac:dyDescent="0.25"/>
    <row r="158793" s="12" customFormat="1" x14ac:dyDescent="0.25"/>
    <row r="158794" s="12" customFormat="1" x14ac:dyDescent="0.25"/>
    <row r="158795" s="12" customFormat="1" x14ac:dyDescent="0.25"/>
    <row r="158796" s="12" customFormat="1" x14ac:dyDescent="0.25"/>
    <row r="158797" s="12" customFormat="1" x14ac:dyDescent="0.25"/>
    <row r="158798" s="12" customFormat="1" x14ac:dyDescent="0.25"/>
    <row r="158799" s="12" customFormat="1" x14ac:dyDescent="0.25"/>
    <row r="158800" s="12" customFormat="1" x14ac:dyDescent="0.25"/>
    <row r="158801" s="12" customFormat="1" x14ac:dyDescent="0.25"/>
    <row r="158802" s="12" customFormat="1" x14ac:dyDescent="0.25"/>
    <row r="158803" s="12" customFormat="1" x14ac:dyDescent="0.25"/>
    <row r="158804" s="12" customFormat="1" x14ac:dyDescent="0.25"/>
    <row r="158805" s="12" customFormat="1" x14ac:dyDescent="0.25"/>
    <row r="158806" s="12" customFormat="1" x14ac:dyDescent="0.25"/>
    <row r="158807" s="12" customFormat="1" x14ac:dyDescent="0.25"/>
    <row r="158808" s="12" customFormat="1" x14ac:dyDescent="0.25"/>
    <row r="158809" s="12" customFormat="1" x14ac:dyDescent="0.25"/>
    <row r="158810" s="12" customFormat="1" x14ac:dyDescent="0.25"/>
    <row r="158811" s="12" customFormat="1" x14ac:dyDescent="0.25"/>
    <row r="158812" s="12" customFormat="1" x14ac:dyDescent="0.25"/>
    <row r="158813" s="12" customFormat="1" x14ac:dyDescent="0.25"/>
    <row r="158814" s="12" customFormat="1" x14ac:dyDescent="0.25"/>
    <row r="158815" s="12" customFormat="1" x14ac:dyDescent="0.25"/>
    <row r="158816" s="12" customFormat="1" x14ac:dyDescent="0.25"/>
    <row r="158817" s="12" customFormat="1" x14ac:dyDescent="0.25"/>
    <row r="158818" s="12" customFormat="1" x14ac:dyDescent="0.25"/>
    <row r="158819" s="12" customFormat="1" x14ac:dyDescent="0.25"/>
    <row r="158820" s="12" customFormat="1" x14ac:dyDescent="0.25"/>
    <row r="158821" s="12" customFormat="1" x14ac:dyDescent="0.25"/>
    <row r="158822" s="12" customFormat="1" x14ac:dyDescent="0.25"/>
    <row r="158823" s="12" customFormat="1" x14ac:dyDescent="0.25"/>
    <row r="158824" s="12" customFormat="1" x14ac:dyDescent="0.25"/>
    <row r="158825" s="12" customFormat="1" x14ac:dyDescent="0.25"/>
    <row r="158826" s="12" customFormat="1" x14ac:dyDescent="0.25"/>
    <row r="158827" s="12" customFormat="1" x14ac:dyDescent="0.25"/>
    <row r="158828" s="12" customFormat="1" x14ac:dyDescent="0.25"/>
    <row r="158829" s="12" customFormat="1" x14ac:dyDescent="0.25"/>
    <row r="158830" s="12" customFormat="1" x14ac:dyDescent="0.25"/>
    <row r="158831" s="12" customFormat="1" x14ac:dyDescent="0.25"/>
    <row r="158832" s="12" customFormat="1" x14ac:dyDescent="0.25"/>
    <row r="158833" s="12" customFormat="1" x14ac:dyDescent="0.25"/>
    <row r="158834" s="12" customFormat="1" x14ac:dyDescent="0.25"/>
    <row r="158835" s="12" customFormat="1" x14ac:dyDescent="0.25"/>
    <row r="158836" s="12" customFormat="1" x14ac:dyDescent="0.25"/>
    <row r="158837" s="12" customFormat="1" x14ac:dyDescent="0.25"/>
    <row r="158838" s="12" customFormat="1" x14ac:dyDescent="0.25"/>
    <row r="158839" s="12" customFormat="1" x14ac:dyDescent="0.25"/>
    <row r="158840" s="12" customFormat="1" x14ac:dyDescent="0.25"/>
    <row r="158841" s="12" customFormat="1" x14ac:dyDescent="0.25"/>
    <row r="158842" s="12" customFormat="1" x14ac:dyDescent="0.25"/>
    <row r="158843" s="12" customFormat="1" x14ac:dyDescent="0.25"/>
    <row r="158844" s="12" customFormat="1" x14ac:dyDescent="0.25"/>
    <row r="158845" s="12" customFormat="1" x14ac:dyDescent="0.25"/>
    <row r="158846" s="12" customFormat="1" x14ac:dyDescent="0.25"/>
    <row r="158847" s="12" customFormat="1" x14ac:dyDescent="0.25"/>
    <row r="158848" s="12" customFormat="1" x14ac:dyDescent="0.25"/>
    <row r="158849" s="12" customFormat="1" x14ac:dyDescent="0.25"/>
    <row r="158850" s="12" customFormat="1" x14ac:dyDescent="0.25"/>
    <row r="158851" s="12" customFormat="1" x14ac:dyDescent="0.25"/>
    <row r="158852" s="12" customFormat="1" x14ac:dyDescent="0.25"/>
    <row r="158853" s="12" customFormat="1" x14ac:dyDescent="0.25"/>
    <row r="158854" s="12" customFormat="1" x14ac:dyDescent="0.25"/>
    <row r="158855" s="12" customFormat="1" x14ac:dyDescent="0.25"/>
    <row r="158856" s="12" customFormat="1" x14ac:dyDescent="0.25"/>
    <row r="158857" s="12" customFormat="1" x14ac:dyDescent="0.25"/>
    <row r="158858" s="12" customFormat="1" x14ac:dyDescent="0.25"/>
    <row r="158859" s="12" customFormat="1" x14ac:dyDescent="0.25"/>
    <row r="158860" s="12" customFormat="1" x14ac:dyDescent="0.25"/>
    <row r="158861" s="12" customFormat="1" x14ac:dyDescent="0.25"/>
    <row r="158862" s="12" customFormat="1" x14ac:dyDescent="0.25"/>
    <row r="158863" s="12" customFormat="1" x14ac:dyDescent="0.25"/>
    <row r="158864" s="12" customFormat="1" x14ac:dyDescent="0.25"/>
    <row r="158865" s="12" customFormat="1" x14ac:dyDescent="0.25"/>
    <row r="158866" s="12" customFormat="1" x14ac:dyDescent="0.25"/>
    <row r="158867" s="12" customFormat="1" x14ac:dyDescent="0.25"/>
    <row r="158868" s="12" customFormat="1" x14ac:dyDescent="0.25"/>
    <row r="158869" s="12" customFormat="1" x14ac:dyDescent="0.25"/>
    <row r="158870" s="12" customFormat="1" x14ac:dyDescent="0.25"/>
    <row r="158871" s="12" customFormat="1" x14ac:dyDescent="0.25"/>
    <row r="158872" s="12" customFormat="1" x14ac:dyDescent="0.25"/>
    <row r="158873" s="12" customFormat="1" x14ac:dyDescent="0.25"/>
    <row r="158874" s="12" customFormat="1" x14ac:dyDescent="0.25"/>
    <row r="158875" s="12" customFormat="1" x14ac:dyDescent="0.25"/>
    <row r="158876" s="12" customFormat="1" x14ac:dyDescent="0.25"/>
    <row r="158877" s="12" customFormat="1" x14ac:dyDescent="0.25"/>
    <row r="158878" s="12" customFormat="1" x14ac:dyDescent="0.25"/>
    <row r="158879" s="12" customFormat="1" x14ac:dyDescent="0.25"/>
    <row r="158880" s="12" customFormat="1" x14ac:dyDescent="0.25"/>
    <row r="158881" s="12" customFormat="1" x14ac:dyDescent="0.25"/>
    <row r="158882" s="12" customFormat="1" x14ac:dyDescent="0.25"/>
    <row r="158883" s="12" customFormat="1" x14ac:dyDescent="0.25"/>
    <row r="158884" s="12" customFormat="1" x14ac:dyDescent="0.25"/>
    <row r="158885" s="12" customFormat="1" x14ac:dyDescent="0.25"/>
    <row r="158886" s="12" customFormat="1" x14ac:dyDescent="0.25"/>
    <row r="158887" s="12" customFormat="1" x14ac:dyDescent="0.25"/>
    <row r="158888" s="12" customFormat="1" x14ac:dyDescent="0.25"/>
    <row r="158889" s="12" customFormat="1" x14ac:dyDescent="0.25"/>
    <row r="158890" s="12" customFormat="1" x14ac:dyDescent="0.25"/>
    <row r="158891" s="12" customFormat="1" x14ac:dyDescent="0.25"/>
    <row r="158892" s="12" customFormat="1" x14ac:dyDescent="0.25"/>
    <row r="158893" s="12" customFormat="1" x14ac:dyDescent="0.25"/>
    <row r="158894" s="12" customFormat="1" x14ac:dyDescent="0.25"/>
    <row r="158895" s="12" customFormat="1" x14ac:dyDescent="0.25"/>
    <row r="158896" s="12" customFormat="1" x14ac:dyDescent="0.25"/>
    <row r="158897" s="12" customFormat="1" x14ac:dyDescent="0.25"/>
    <row r="158898" s="12" customFormat="1" x14ac:dyDescent="0.25"/>
    <row r="158899" s="12" customFormat="1" x14ac:dyDescent="0.25"/>
    <row r="158900" s="12" customFormat="1" x14ac:dyDescent="0.25"/>
    <row r="158901" s="12" customFormat="1" x14ac:dyDescent="0.25"/>
    <row r="158902" s="12" customFormat="1" x14ac:dyDescent="0.25"/>
    <row r="158903" s="12" customFormat="1" x14ac:dyDescent="0.25"/>
    <row r="158904" s="12" customFormat="1" x14ac:dyDescent="0.25"/>
    <row r="158905" s="12" customFormat="1" x14ac:dyDescent="0.25"/>
    <row r="158906" s="12" customFormat="1" x14ac:dyDescent="0.25"/>
    <row r="158907" s="12" customFormat="1" x14ac:dyDescent="0.25"/>
    <row r="158908" s="12" customFormat="1" x14ac:dyDescent="0.25"/>
    <row r="158909" s="12" customFormat="1" x14ac:dyDescent="0.25"/>
    <row r="158910" s="12" customFormat="1" x14ac:dyDescent="0.25"/>
    <row r="158911" s="12" customFormat="1" x14ac:dyDescent="0.25"/>
    <row r="158912" s="12" customFormat="1" x14ac:dyDescent="0.25"/>
    <row r="158913" s="12" customFormat="1" x14ac:dyDescent="0.25"/>
    <row r="158914" s="12" customFormat="1" x14ac:dyDescent="0.25"/>
    <row r="158915" s="12" customFormat="1" x14ac:dyDescent="0.25"/>
    <row r="158916" s="12" customFormat="1" x14ac:dyDescent="0.25"/>
    <row r="158917" s="12" customFormat="1" x14ac:dyDescent="0.25"/>
    <row r="158918" s="12" customFormat="1" x14ac:dyDescent="0.25"/>
    <row r="158919" s="12" customFormat="1" x14ac:dyDescent="0.25"/>
    <row r="158920" s="12" customFormat="1" x14ac:dyDescent="0.25"/>
    <row r="158921" s="12" customFormat="1" x14ac:dyDescent="0.25"/>
    <row r="158922" s="12" customFormat="1" x14ac:dyDescent="0.25"/>
    <row r="158923" s="12" customFormat="1" x14ac:dyDescent="0.25"/>
    <row r="158924" s="12" customFormat="1" x14ac:dyDescent="0.25"/>
    <row r="158925" s="12" customFormat="1" x14ac:dyDescent="0.25"/>
    <row r="158926" s="12" customFormat="1" x14ac:dyDescent="0.25"/>
    <row r="158927" s="12" customFormat="1" x14ac:dyDescent="0.25"/>
    <row r="158928" s="12" customFormat="1" x14ac:dyDescent="0.25"/>
    <row r="158929" s="12" customFormat="1" x14ac:dyDescent="0.25"/>
    <row r="158930" s="12" customFormat="1" x14ac:dyDescent="0.25"/>
    <row r="158931" s="12" customFormat="1" x14ac:dyDescent="0.25"/>
    <row r="158932" s="12" customFormat="1" x14ac:dyDescent="0.25"/>
    <row r="158933" s="12" customFormat="1" x14ac:dyDescent="0.25"/>
    <row r="158934" s="12" customFormat="1" x14ac:dyDescent="0.25"/>
    <row r="158935" s="12" customFormat="1" x14ac:dyDescent="0.25"/>
    <row r="158936" s="12" customFormat="1" x14ac:dyDescent="0.25"/>
    <row r="158937" s="12" customFormat="1" x14ac:dyDescent="0.25"/>
    <row r="158938" s="12" customFormat="1" x14ac:dyDescent="0.25"/>
    <row r="158939" s="12" customFormat="1" x14ac:dyDescent="0.25"/>
    <row r="158940" s="12" customFormat="1" x14ac:dyDescent="0.25"/>
    <row r="158941" s="12" customFormat="1" x14ac:dyDescent="0.25"/>
    <row r="158942" s="12" customFormat="1" x14ac:dyDescent="0.25"/>
    <row r="158943" s="12" customFormat="1" x14ac:dyDescent="0.25"/>
    <row r="158944" s="12" customFormat="1" x14ac:dyDescent="0.25"/>
    <row r="158945" s="12" customFormat="1" x14ac:dyDescent="0.25"/>
    <row r="158946" s="12" customFormat="1" x14ac:dyDescent="0.25"/>
    <row r="158947" s="12" customFormat="1" x14ac:dyDescent="0.25"/>
    <row r="158948" s="12" customFormat="1" x14ac:dyDescent="0.25"/>
    <row r="158949" s="12" customFormat="1" x14ac:dyDescent="0.25"/>
    <row r="158950" s="12" customFormat="1" x14ac:dyDescent="0.25"/>
    <row r="158951" s="12" customFormat="1" x14ac:dyDescent="0.25"/>
    <row r="158952" s="12" customFormat="1" x14ac:dyDescent="0.25"/>
    <row r="158953" s="12" customFormat="1" x14ac:dyDescent="0.25"/>
    <row r="158954" s="12" customFormat="1" x14ac:dyDescent="0.25"/>
    <row r="158955" s="12" customFormat="1" x14ac:dyDescent="0.25"/>
    <row r="158956" s="12" customFormat="1" x14ac:dyDescent="0.25"/>
    <row r="158957" s="12" customFormat="1" x14ac:dyDescent="0.25"/>
    <row r="158958" s="12" customFormat="1" x14ac:dyDescent="0.25"/>
    <row r="158959" s="12" customFormat="1" x14ac:dyDescent="0.25"/>
    <row r="158960" s="12" customFormat="1" x14ac:dyDescent="0.25"/>
    <row r="158961" s="12" customFormat="1" x14ac:dyDescent="0.25"/>
    <row r="158962" s="12" customFormat="1" x14ac:dyDescent="0.25"/>
    <row r="158963" s="12" customFormat="1" x14ac:dyDescent="0.25"/>
    <row r="158964" s="12" customFormat="1" x14ac:dyDescent="0.25"/>
    <row r="158965" s="12" customFormat="1" x14ac:dyDescent="0.25"/>
    <row r="158966" s="12" customFormat="1" x14ac:dyDescent="0.25"/>
    <row r="158967" s="12" customFormat="1" x14ac:dyDescent="0.25"/>
    <row r="158968" s="12" customFormat="1" x14ac:dyDescent="0.25"/>
    <row r="158969" s="12" customFormat="1" x14ac:dyDescent="0.25"/>
    <row r="158970" s="12" customFormat="1" x14ac:dyDescent="0.25"/>
    <row r="158971" s="12" customFormat="1" x14ac:dyDescent="0.25"/>
    <row r="158972" s="12" customFormat="1" x14ac:dyDescent="0.25"/>
    <row r="158973" s="12" customFormat="1" x14ac:dyDescent="0.25"/>
    <row r="158974" s="12" customFormat="1" x14ac:dyDescent="0.25"/>
    <row r="158975" s="12" customFormat="1" x14ac:dyDescent="0.25"/>
    <row r="158976" s="12" customFormat="1" x14ac:dyDescent="0.25"/>
    <row r="158977" s="12" customFormat="1" x14ac:dyDescent="0.25"/>
    <row r="158978" s="12" customFormat="1" x14ac:dyDescent="0.25"/>
    <row r="158979" s="12" customFormat="1" x14ac:dyDescent="0.25"/>
    <row r="158980" s="12" customFormat="1" x14ac:dyDescent="0.25"/>
    <row r="158981" s="12" customFormat="1" x14ac:dyDescent="0.25"/>
    <row r="158982" s="12" customFormat="1" x14ac:dyDescent="0.25"/>
    <row r="158983" s="12" customFormat="1" x14ac:dyDescent="0.25"/>
    <row r="158984" s="12" customFormat="1" x14ac:dyDescent="0.25"/>
    <row r="158985" s="12" customFormat="1" x14ac:dyDescent="0.25"/>
    <row r="158986" s="12" customFormat="1" x14ac:dyDescent="0.25"/>
    <row r="158987" s="12" customFormat="1" x14ac:dyDescent="0.25"/>
    <row r="158988" s="12" customFormat="1" x14ac:dyDescent="0.25"/>
    <row r="158989" s="12" customFormat="1" x14ac:dyDescent="0.25"/>
    <row r="158990" s="12" customFormat="1" x14ac:dyDescent="0.25"/>
    <row r="158991" s="12" customFormat="1" x14ac:dyDescent="0.25"/>
    <row r="158992" s="12" customFormat="1" x14ac:dyDescent="0.25"/>
    <row r="158993" s="12" customFormat="1" x14ac:dyDescent="0.25"/>
    <row r="158994" s="12" customFormat="1" x14ac:dyDescent="0.25"/>
    <row r="158995" s="12" customFormat="1" x14ac:dyDescent="0.25"/>
    <row r="158996" s="12" customFormat="1" x14ac:dyDescent="0.25"/>
    <row r="158997" s="12" customFormat="1" x14ac:dyDescent="0.25"/>
    <row r="158998" s="12" customFormat="1" x14ac:dyDescent="0.25"/>
    <row r="158999" s="12" customFormat="1" x14ac:dyDescent="0.25"/>
    <row r="159000" s="12" customFormat="1" x14ac:dyDescent="0.25"/>
    <row r="159001" s="12" customFormat="1" x14ac:dyDescent="0.25"/>
    <row r="159002" s="12" customFormat="1" x14ac:dyDescent="0.25"/>
    <row r="159003" s="12" customFormat="1" x14ac:dyDescent="0.25"/>
    <row r="159004" s="12" customFormat="1" x14ac:dyDescent="0.25"/>
    <row r="159005" s="12" customFormat="1" x14ac:dyDescent="0.25"/>
    <row r="159006" s="12" customFormat="1" x14ac:dyDescent="0.25"/>
    <row r="159007" s="12" customFormat="1" x14ac:dyDescent="0.25"/>
    <row r="159008" s="12" customFormat="1" x14ac:dyDescent="0.25"/>
    <row r="159009" s="12" customFormat="1" x14ac:dyDescent="0.25"/>
    <row r="159010" s="12" customFormat="1" x14ac:dyDescent="0.25"/>
    <row r="159011" s="12" customFormat="1" x14ac:dyDescent="0.25"/>
    <row r="159012" s="12" customFormat="1" x14ac:dyDescent="0.25"/>
    <row r="159013" s="12" customFormat="1" x14ac:dyDescent="0.25"/>
    <row r="159014" s="12" customFormat="1" x14ac:dyDescent="0.25"/>
    <row r="159015" s="12" customFormat="1" x14ac:dyDescent="0.25"/>
    <row r="159016" s="12" customFormat="1" x14ac:dyDescent="0.25"/>
    <row r="159017" s="12" customFormat="1" x14ac:dyDescent="0.25"/>
    <row r="159018" s="12" customFormat="1" x14ac:dyDescent="0.25"/>
    <row r="159019" s="12" customFormat="1" x14ac:dyDescent="0.25"/>
    <row r="159020" s="12" customFormat="1" x14ac:dyDescent="0.25"/>
    <row r="159021" s="12" customFormat="1" x14ac:dyDescent="0.25"/>
    <row r="159022" s="12" customFormat="1" x14ac:dyDescent="0.25"/>
    <row r="159023" s="12" customFormat="1" x14ac:dyDescent="0.25"/>
    <row r="159024" s="12" customFormat="1" x14ac:dyDescent="0.25"/>
    <row r="159025" s="12" customFormat="1" x14ac:dyDescent="0.25"/>
    <row r="159026" s="12" customFormat="1" x14ac:dyDescent="0.25"/>
    <row r="159027" s="12" customFormat="1" x14ac:dyDescent="0.25"/>
    <row r="159028" s="12" customFormat="1" x14ac:dyDescent="0.25"/>
    <row r="159029" s="12" customFormat="1" x14ac:dyDescent="0.25"/>
    <row r="159030" s="12" customFormat="1" x14ac:dyDescent="0.25"/>
    <row r="159031" s="12" customFormat="1" x14ac:dyDescent="0.25"/>
    <row r="159032" s="12" customFormat="1" x14ac:dyDescent="0.25"/>
    <row r="159033" s="12" customFormat="1" x14ac:dyDescent="0.25"/>
    <row r="159034" s="12" customFormat="1" x14ac:dyDescent="0.25"/>
    <row r="159035" s="12" customFormat="1" x14ac:dyDescent="0.25"/>
    <row r="159036" s="12" customFormat="1" x14ac:dyDescent="0.25"/>
    <row r="159037" s="12" customFormat="1" x14ac:dyDescent="0.25"/>
    <row r="159038" s="12" customFormat="1" x14ac:dyDescent="0.25"/>
    <row r="159039" s="12" customFormat="1" x14ac:dyDescent="0.25"/>
    <row r="159040" s="12" customFormat="1" x14ac:dyDescent="0.25"/>
    <row r="159041" s="12" customFormat="1" x14ac:dyDescent="0.25"/>
    <row r="159042" s="12" customFormat="1" x14ac:dyDescent="0.25"/>
    <row r="159043" s="12" customFormat="1" x14ac:dyDescent="0.25"/>
    <row r="159044" s="12" customFormat="1" x14ac:dyDescent="0.25"/>
    <row r="159045" s="12" customFormat="1" x14ac:dyDescent="0.25"/>
    <row r="159046" s="12" customFormat="1" x14ac:dyDescent="0.25"/>
    <row r="159047" s="12" customFormat="1" x14ac:dyDescent="0.25"/>
    <row r="159048" s="12" customFormat="1" x14ac:dyDescent="0.25"/>
    <row r="159049" s="12" customFormat="1" x14ac:dyDescent="0.25"/>
    <row r="159050" s="12" customFormat="1" x14ac:dyDescent="0.25"/>
    <row r="159051" s="12" customFormat="1" x14ac:dyDescent="0.25"/>
    <row r="159052" s="12" customFormat="1" x14ac:dyDescent="0.25"/>
    <row r="159053" s="12" customFormat="1" x14ac:dyDescent="0.25"/>
    <row r="159054" s="12" customFormat="1" x14ac:dyDescent="0.25"/>
    <row r="159055" s="12" customFormat="1" x14ac:dyDescent="0.25"/>
    <row r="159056" s="12" customFormat="1" x14ac:dyDescent="0.25"/>
    <row r="159057" s="12" customFormat="1" x14ac:dyDescent="0.25"/>
    <row r="159058" s="12" customFormat="1" x14ac:dyDescent="0.25"/>
    <row r="159059" s="12" customFormat="1" x14ac:dyDescent="0.25"/>
    <row r="159060" s="12" customFormat="1" x14ac:dyDescent="0.25"/>
    <row r="159061" s="12" customFormat="1" x14ac:dyDescent="0.25"/>
    <row r="159062" s="12" customFormat="1" x14ac:dyDescent="0.25"/>
    <row r="159063" s="12" customFormat="1" x14ac:dyDescent="0.25"/>
    <row r="159064" s="12" customFormat="1" x14ac:dyDescent="0.25"/>
    <row r="159065" s="12" customFormat="1" x14ac:dyDescent="0.25"/>
    <row r="159066" s="12" customFormat="1" x14ac:dyDescent="0.25"/>
    <row r="159067" s="12" customFormat="1" x14ac:dyDescent="0.25"/>
    <row r="159068" s="12" customFormat="1" x14ac:dyDescent="0.25"/>
    <row r="159069" s="12" customFormat="1" x14ac:dyDescent="0.25"/>
    <row r="159070" s="12" customFormat="1" x14ac:dyDescent="0.25"/>
    <row r="159071" s="12" customFormat="1" x14ac:dyDescent="0.25"/>
    <row r="159072" s="12" customFormat="1" x14ac:dyDescent="0.25"/>
    <row r="159073" s="12" customFormat="1" x14ac:dyDescent="0.25"/>
    <row r="159074" s="12" customFormat="1" x14ac:dyDescent="0.25"/>
    <row r="159075" s="12" customFormat="1" x14ac:dyDescent="0.25"/>
    <row r="159076" s="12" customFormat="1" x14ac:dyDescent="0.25"/>
    <row r="159077" s="12" customFormat="1" x14ac:dyDescent="0.25"/>
    <row r="159078" s="12" customFormat="1" x14ac:dyDescent="0.25"/>
    <row r="159079" s="12" customFormat="1" x14ac:dyDescent="0.25"/>
    <row r="159080" s="12" customFormat="1" x14ac:dyDescent="0.25"/>
    <row r="159081" s="12" customFormat="1" x14ac:dyDescent="0.25"/>
    <row r="159082" s="12" customFormat="1" x14ac:dyDescent="0.25"/>
    <row r="159083" s="12" customFormat="1" x14ac:dyDescent="0.25"/>
    <row r="159084" s="12" customFormat="1" x14ac:dyDescent="0.25"/>
    <row r="159085" s="12" customFormat="1" x14ac:dyDescent="0.25"/>
    <row r="159086" s="12" customFormat="1" x14ac:dyDescent="0.25"/>
    <row r="159087" s="12" customFormat="1" x14ac:dyDescent="0.25"/>
    <row r="159088" s="12" customFormat="1" x14ac:dyDescent="0.25"/>
    <row r="159089" s="12" customFormat="1" x14ac:dyDescent="0.25"/>
    <row r="159090" s="12" customFormat="1" x14ac:dyDescent="0.25"/>
    <row r="159091" s="12" customFormat="1" x14ac:dyDescent="0.25"/>
    <row r="159092" s="12" customFormat="1" x14ac:dyDescent="0.25"/>
    <row r="159093" s="12" customFormat="1" x14ac:dyDescent="0.25"/>
    <row r="159094" s="12" customFormat="1" x14ac:dyDescent="0.25"/>
    <row r="159095" s="12" customFormat="1" x14ac:dyDescent="0.25"/>
    <row r="159096" s="12" customFormat="1" x14ac:dyDescent="0.25"/>
    <row r="159097" s="12" customFormat="1" x14ac:dyDescent="0.25"/>
    <row r="159098" s="12" customFormat="1" x14ac:dyDescent="0.25"/>
    <row r="159099" s="12" customFormat="1" x14ac:dyDescent="0.25"/>
    <row r="159100" s="12" customFormat="1" x14ac:dyDescent="0.25"/>
    <row r="159101" s="12" customFormat="1" x14ac:dyDescent="0.25"/>
    <row r="159102" s="12" customFormat="1" x14ac:dyDescent="0.25"/>
    <row r="159103" s="12" customFormat="1" x14ac:dyDescent="0.25"/>
    <row r="159104" s="12" customFormat="1" x14ac:dyDescent="0.25"/>
    <row r="159105" s="12" customFormat="1" x14ac:dyDescent="0.25"/>
    <row r="159106" s="12" customFormat="1" x14ac:dyDescent="0.25"/>
    <row r="159107" s="12" customFormat="1" x14ac:dyDescent="0.25"/>
    <row r="159108" s="12" customFormat="1" x14ac:dyDescent="0.25"/>
    <row r="159109" s="12" customFormat="1" x14ac:dyDescent="0.25"/>
    <row r="159110" s="12" customFormat="1" x14ac:dyDescent="0.25"/>
    <row r="159111" s="12" customFormat="1" x14ac:dyDescent="0.25"/>
    <row r="159112" s="12" customFormat="1" x14ac:dyDescent="0.25"/>
    <row r="159113" s="12" customFormat="1" x14ac:dyDescent="0.25"/>
    <row r="159114" s="12" customFormat="1" x14ac:dyDescent="0.25"/>
    <row r="159115" s="12" customFormat="1" x14ac:dyDescent="0.25"/>
    <row r="159116" s="12" customFormat="1" x14ac:dyDescent="0.25"/>
    <row r="159117" s="12" customFormat="1" x14ac:dyDescent="0.25"/>
    <row r="159118" s="12" customFormat="1" x14ac:dyDescent="0.25"/>
    <row r="159119" s="12" customFormat="1" x14ac:dyDescent="0.25"/>
    <row r="159120" s="12" customFormat="1" x14ac:dyDescent="0.25"/>
    <row r="159121" s="12" customFormat="1" x14ac:dyDescent="0.25"/>
    <row r="159122" s="12" customFormat="1" x14ac:dyDescent="0.25"/>
    <row r="159123" s="12" customFormat="1" x14ac:dyDescent="0.25"/>
    <row r="159124" s="12" customFormat="1" x14ac:dyDescent="0.25"/>
    <row r="159125" s="12" customFormat="1" x14ac:dyDescent="0.25"/>
    <row r="159126" s="12" customFormat="1" x14ac:dyDescent="0.25"/>
    <row r="159127" s="12" customFormat="1" x14ac:dyDescent="0.25"/>
    <row r="159128" s="12" customFormat="1" x14ac:dyDescent="0.25"/>
    <row r="159129" s="12" customFormat="1" x14ac:dyDescent="0.25"/>
    <row r="159130" s="12" customFormat="1" x14ac:dyDescent="0.25"/>
    <row r="159131" s="12" customFormat="1" x14ac:dyDescent="0.25"/>
    <row r="159132" s="12" customFormat="1" x14ac:dyDescent="0.25"/>
    <row r="159133" s="12" customFormat="1" x14ac:dyDescent="0.25"/>
    <row r="159134" s="12" customFormat="1" x14ac:dyDescent="0.25"/>
    <row r="159135" s="12" customFormat="1" x14ac:dyDescent="0.25"/>
    <row r="159136" s="12" customFormat="1" x14ac:dyDescent="0.25"/>
    <row r="159137" s="12" customFormat="1" x14ac:dyDescent="0.25"/>
    <row r="159138" s="12" customFormat="1" x14ac:dyDescent="0.25"/>
    <row r="159139" s="12" customFormat="1" x14ac:dyDescent="0.25"/>
    <row r="159140" s="12" customFormat="1" x14ac:dyDescent="0.25"/>
    <row r="159141" s="12" customFormat="1" x14ac:dyDescent="0.25"/>
    <row r="159142" s="12" customFormat="1" x14ac:dyDescent="0.25"/>
    <row r="159143" s="12" customFormat="1" x14ac:dyDescent="0.25"/>
    <row r="159144" s="12" customFormat="1" x14ac:dyDescent="0.25"/>
    <row r="159145" s="12" customFormat="1" x14ac:dyDescent="0.25"/>
    <row r="159146" s="12" customFormat="1" x14ac:dyDescent="0.25"/>
    <row r="159147" s="12" customFormat="1" x14ac:dyDescent="0.25"/>
    <row r="159148" s="12" customFormat="1" x14ac:dyDescent="0.25"/>
    <row r="159149" s="12" customFormat="1" x14ac:dyDescent="0.25"/>
    <row r="159150" s="12" customFormat="1" x14ac:dyDescent="0.25"/>
    <row r="159151" s="12" customFormat="1" x14ac:dyDescent="0.25"/>
    <row r="159152" s="12" customFormat="1" x14ac:dyDescent="0.25"/>
    <row r="159153" s="12" customFormat="1" x14ac:dyDescent="0.25"/>
    <row r="159154" s="12" customFormat="1" x14ac:dyDescent="0.25"/>
    <row r="159155" s="12" customFormat="1" x14ac:dyDescent="0.25"/>
    <row r="159156" s="12" customFormat="1" x14ac:dyDescent="0.25"/>
    <row r="159157" s="12" customFormat="1" x14ac:dyDescent="0.25"/>
    <row r="159158" s="12" customFormat="1" x14ac:dyDescent="0.25"/>
    <row r="159159" s="12" customFormat="1" x14ac:dyDescent="0.25"/>
    <row r="159160" s="12" customFormat="1" x14ac:dyDescent="0.25"/>
    <row r="159161" s="12" customFormat="1" x14ac:dyDescent="0.25"/>
    <row r="159162" s="12" customFormat="1" x14ac:dyDescent="0.25"/>
    <row r="159163" s="12" customFormat="1" x14ac:dyDescent="0.25"/>
    <row r="159164" s="12" customFormat="1" x14ac:dyDescent="0.25"/>
    <row r="159165" s="12" customFormat="1" x14ac:dyDescent="0.25"/>
    <row r="159166" s="12" customFormat="1" x14ac:dyDescent="0.25"/>
    <row r="159167" s="12" customFormat="1" x14ac:dyDescent="0.25"/>
    <row r="159168" s="12" customFormat="1" x14ac:dyDescent="0.25"/>
    <row r="159169" s="12" customFormat="1" x14ac:dyDescent="0.25"/>
    <row r="159170" s="12" customFormat="1" x14ac:dyDescent="0.25"/>
    <row r="159171" s="12" customFormat="1" x14ac:dyDescent="0.25"/>
    <row r="159172" s="12" customFormat="1" x14ac:dyDescent="0.25"/>
    <row r="159173" s="12" customFormat="1" x14ac:dyDescent="0.25"/>
    <row r="159174" s="12" customFormat="1" x14ac:dyDescent="0.25"/>
    <row r="159175" s="12" customFormat="1" x14ac:dyDescent="0.25"/>
    <row r="159176" s="12" customFormat="1" x14ac:dyDescent="0.25"/>
    <row r="159177" s="12" customFormat="1" x14ac:dyDescent="0.25"/>
    <row r="159178" s="12" customFormat="1" x14ac:dyDescent="0.25"/>
    <row r="159179" s="12" customFormat="1" x14ac:dyDescent="0.25"/>
    <row r="159180" s="12" customFormat="1" x14ac:dyDescent="0.25"/>
    <row r="159181" s="12" customFormat="1" x14ac:dyDescent="0.25"/>
    <row r="159182" s="12" customFormat="1" x14ac:dyDescent="0.25"/>
    <row r="159183" s="12" customFormat="1" x14ac:dyDescent="0.25"/>
    <row r="159184" s="12" customFormat="1" x14ac:dyDescent="0.25"/>
    <row r="159185" s="12" customFormat="1" x14ac:dyDescent="0.25"/>
    <row r="159186" s="12" customFormat="1" x14ac:dyDescent="0.25"/>
    <row r="159187" s="12" customFormat="1" x14ac:dyDescent="0.25"/>
    <row r="159188" s="12" customFormat="1" x14ac:dyDescent="0.25"/>
    <row r="159189" s="12" customFormat="1" x14ac:dyDescent="0.25"/>
    <row r="159190" s="12" customFormat="1" x14ac:dyDescent="0.25"/>
    <row r="159191" s="12" customFormat="1" x14ac:dyDescent="0.25"/>
    <row r="159192" s="12" customFormat="1" x14ac:dyDescent="0.25"/>
    <row r="159193" s="12" customFormat="1" x14ac:dyDescent="0.25"/>
    <row r="159194" s="12" customFormat="1" x14ac:dyDescent="0.25"/>
    <row r="159195" s="12" customFormat="1" x14ac:dyDescent="0.25"/>
    <row r="159196" s="12" customFormat="1" x14ac:dyDescent="0.25"/>
    <row r="159197" s="12" customFormat="1" x14ac:dyDescent="0.25"/>
    <row r="159198" s="12" customFormat="1" x14ac:dyDescent="0.25"/>
    <row r="159199" s="12" customFormat="1" x14ac:dyDescent="0.25"/>
    <row r="159200" s="12" customFormat="1" x14ac:dyDescent="0.25"/>
    <row r="159201" s="12" customFormat="1" x14ac:dyDescent="0.25"/>
    <row r="159202" s="12" customFormat="1" x14ac:dyDescent="0.25"/>
    <row r="159203" s="12" customFormat="1" x14ac:dyDescent="0.25"/>
    <row r="159204" s="12" customFormat="1" x14ac:dyDescent="0.25"/>
    <row r="159205" s="12" customFormat="1" x14ac:dyDescent="0.25"/>
    <row r="159206" s="12" customFormat="1" x14ac:dyDescent="0.25"/>
    <row r="159207" s="12" customFormat="1" x14ac:dyDescent="0.25"/>
    <row r="159208" s="12" customFormat="1" x14ac:dyDescent="0.25"/>
    <row r="159209" s="12" customFormat="1" x14ac:dyDescent="0.25"/>
    <row r="159210" s="12" customFormat="1" x14ac:dyDescent="0.25"/>
    <row r="159211" s="12" customFormat="1" x14ac:dyDescent="0.25"/>
    <row r="159212" s="12" customFormat="1" x14ac:dyDescent="0.25"/>
    <row r="159213" s="12" customFormat="1" x14ac:dyDescent="0.25"/>
    <row r="159214" s="12" customFormat="1" x14ac:dyDescent="0.25"/>
    <row r="159215" s="12" customFormat="1" x14ac:dyDescent="0.25"/>
    <row r="159216" s="12" customFormat="1" x14ac:dyDescent="0.25"/>
    <row r="159217" s="12" customFormat="1" x14ac:dyDescent="0.25"/>
    <row r="159218" s="12" customFormat="1" x14ac:dyDescent="0.25"/>
    <row r="159219" s="12" customFormat="1" x14ac:dyDescent="0.25"/>
    <row r="159220" s="12" customFormat="1" x14ac:dyDescent="0.25"/>
    <row r="159221" s="12" customFormat="1" x14ac:dyDescent="0.25"/>
    <row r="159222" s="12" customFormat="1" x14ac:dyDescent="0.25"/>
    <row r="159223" s="12" customFormat="1" x14ac:dyDescent="0.25"/>
    <row r="159224" s="12" customFormat="1" x14ac:dyDescent="0.25"/>
    <row r="159225" s="12" customFormat="1" x14ac:dyDescent="0.25"/>
    <row r="159226" s="12" customFormat="1" x14ac:dyDescent="0.25"/>
    <row r="159227" s="12" customFormat="1" x14ac:dyDescent="0.25"/>
    <row r="159228" s="12" customFormat="1" x14ac:dyDescent="0.25"/>
    <row r="159229" s="12" customFormat="1" x14ac:dyDescent="0.25"/>
    <row r="159230" s="12" customFormat="1" x14ac:dyDescent="0.25"/>
    <row r="159231" s="12" customFormat="1" x14ac:dyDescent="0.25"/>
    <row r="159232" s="12" customFormat="1" x14ac:dyDescent="0.25"/>
    <row r="159233" s="12" customFormat="1" x14ac:dyDescent="0.25"/>
    <row r="159234" s="12" customFormat="1" x14ac:dyDescent="0.25"/>
    <row r="159235" s="12" customFormat="1" x14ac:dyDescent="0.25"/>
    <row r="159236" s="12" customFormat="1" x14ac:dyDescent="0.25"/>
    <row r="159237" s="12" customFormat="1" x14ac:dyDescent="0.25"/>
    <row r="159238" s="12" customFormat="1" x14ac:dyDescent="0.25"/>
    <row r="159239" s="12" customFormat="1" x14ac:dyDescent="0.25"/>
    <row r="159240" s="12" customFormat="1" x14ac:dyDescent="0.25"/>
    <row r="159241" s="12" customFormat="1" x14ac:dyDescent="0.25"/>
    <row r="159242" s="12" customFormat="1" x14ac:dyDescent="0.25"/>
    <row r="159243" s="12" customFormat="1" x14ac:dyDescent="0.25"/>
    <row r="159244" s="12" customFormat="1" x14ac:dyDescent="0.25"/>
    <row r="159245" s="12" customFormat="1" x14ac:dyDescent="0.25"/>
    <row r="159246" s="12" customFormat="1" x14ac:dyDescent="0.25"/>
    <row r="159247" s="12" customFormat="1" x14ac:dyDescent="0.25"/>
    <row r="159248" s="12" customFormat="1" x14ac:dyDescent="0.25"/>
    <row r="159249" s="12" customFormat="1" x14ac:dyDescent="0.25"/>
    <row r="159250" s="12" customFormat="1" x14ac:dyDescent="0.25"/>
    <row r="159251" s="12" customFormat="1" x14ac:dyDescent="0.25"/>
    <row r="159252" s="12" customFormat="1" x14ac:dyDescent="0.25"/>
    <row r="159253" s="12" customFormat="1" x14ac:dyDescent="0.25"/>
    <row r="159254" s="12" customFormat="1" x14ac:dyDescent="0.25"/>
    <row r="159255" s="12" customFormat="1" x14ac:dyDescent="0.25"/>
    <row r="159256" s="12" customFormat="1" x14ac:dyDescent="0.25"/>
    <row r="159257" s="12" customFormat="1" x14ac:dyDescent="0.25"/>
    <row r="159258" s="12" customFormat="1" x14ac:dyDescent="0.25"/>
    <row r="159259" s="12" customFormat="1" x14ac:dyDescent="0.25"/>
    <row r="159260" s="12" customFormat="1" x14ac:dyDescent="0.25"/>
    <row r="159261" s="12" customFormat="1" x14ac:dyDescent="0.25"/>
    <row r="159262" s="12" customFormat="1" x14ac:dyDescent="0.25"/>
    <row r="159263" s="12" customFormat="1" x14ac:dyDescent="0.25"/>
    <row r="159264" s="12" customFormat="1" x14ac:dyDescent="0.25"/>
    <row r="159265" s="12" customFormat="1" x14ac:dyDescent="0.25"/>
    <row r="159266" s="12" customFormat="1" x14ac:dyDescent="0.25"/>
    <row r="159267" s="12" customFormat="1" x14ac:dyDescent="0.25"/>
    <row r="159268" s="12" customFormat="1" x14ac:dyDescent="0.25"/>
    <row r="159269" s="12" customFormat="1" x14ac:dyDescent="0.25"/>
    <row r="159270" s="12" customFormat="1" x14ac:dyDescent="0.25"/>
    <row r="159271" s="12" customFormat="1" x14ac:dyDescent="0.25"/>
    <row r="159272" s="12" customFormat="1" x14ac:dyDescent="0.25"/>
    <row r="159273" s="12" customFormat="1" x14ac:dyDescent="0.25"/>
    <row r="159274" s="12" customFormat="1" x14ac:dyDescent="0.25"/>
    <row r="159275" s="12" customFormat="1" x14ac:dyDescent="0.25"/>
    <row r="159276" s="12" customFormat="1" x14ac:dyDescent="0.25"/>
    <row r="159277" s="12" customFormat="1" x14ac:dyDescent="0.25"/>
    <row r="159278" s="12" customFormat="1" x14ac:dyDescent="0.25"/>
    <row r="159279" s="12" customFormat="1" x14ac:dyDescent="0.25"/>
    <row r="159280" s="12" customFormat="1" x14ac:dyDescent="0.25"/>
    <row r="159281" s="12" customFormat="1" x14ac:dyDescent="0.25"/>
    <row r="159282" s="12" customFormat="1" x14ac:dyDescent="0.25"/>
    <row r="159283" s="12" customFormat="1" x14ac:dyDescent="0.25"/>
    <row r="159284" s="12" customFormat="1" x14ac:dyDescent="0.25"/>
    <row r="159285" s="12" customFormat="1" x14ac:dyDescent="0.25"/>
    <row r="159286" s="12" customFormat="1" x14ac:dyDescent="0.25"/>
    <row r="159287" s="12" customFormat="1" x14ac:dyDescent="0.25"/>
    <row r="159288" s="12" customFormat="1" x14ac:dyDescent="0.25"/>
    <row r="159289" s="12" customFormat="1" x14ac:dyDescent="0.25"/>
    <row r="159290" s="12" customFormat="1" x14ac:dyDescent="0.25"/>
    <row r="159291" s="12" customFormat="1" x14ac:dyDescent="0.25"/>
    <row r="159292" s="12" customFormat="1" x14ac:dyDescent="0.25"/>
    <row r="159293" s="12" customFormat="1" x14ac:dyDescent="0.25"/>
    <row r="159294" s="12" customFormat="1" x14ac:dyDescent="0.25"/>
    <row r="159295" s="12" customFormat="1" x14ac:dyDescent="0.25"/>
    <row r="159296" s="12" customFormat="1" x14ac:dyDescent="0.25"/>
    <row r="159297" s="12" customFormat="1" x14ac:dyDescent="0.25"/>
    <row r="159298" s="12" customFormat="1" x14ac:dyDescent="0.25"/>
    <row r="159299" s="12" customFormat="1" x14ac:dyDescent="0.25"/>
    <row r="159300" s="12" customFormat="1" x14ac:dyDescent="0.25"/>
    <row r="159301" s="12" customFormat="1" x14ac:dyDescent="0.25"/>
    <row r="159302" s="12" customFormat="1" x14ac:dyDescent="0.25"/>
    <row r="159303" s="12" customFormat="1" x14ac:dyDescent="0.25"/>
    <row r="159304" s="12" customFormat="1" x14ac:dyDescent="0.25"/>
    <row r="159305" s="12" customFormat="1" x14ac:dyDescent="0.25"/>
    <row r="159306" s="12" customFormat="1" x14ac:dyDescent="0.25"/>
    <row r="159307" s="12" customFormat="1" x14ac:dyDescent="0.25"/>
    <row r="159308" s="12" customFormat="1" x14ac:dyDescent="0.25"/>
    <row r="159309" s="12" customFormat="1" x14ac:dyDescent="0.25"/>
    <row r="159310" s="12" customFormat="1" x14ac:dyDescent="0.25"/>
    <row r="159311" s="12" customFormat="1" x14ac:dyDescent="0.25"/>
    <row r="159312" s="12" customFormat="1" x14ac:dyDescent="0.25"/>
    <row r="159313" s="12" customFormat="1" x14ac:dyDescent="0.25"/>
    <row r="159314" s="12" customFormat="1" x14ac:dyDescent="0.25"/>
    <row r="159315" s="12" customFormat="1" x14ac:dyDescent="0.25"/>
    <row r="159316" s="12" customFormat="1" x14ac:dyDescent="0.25"/>
    <row r="159317" s="12" customFormat="1" x14ac:dyDescent="0.25"/>
    <row r="159318" s="12" customFormat="1" x14ac:dyDescent="0.25"/>
    <row r="159319" s="12" customFormat="1" x14ac:dyDescent="0.25"/>
    <row r="159320" s="12" customFormat="1" x14ac:dyDescent="0.25"/>
    <row r="159321" s="12" customFormat="1" x14ac:dyDescent="0.25"/>
    <row r="159322" s="12" customFormat="1" x14ac:dyDescent="0.25"/>
    <row r="159323" s="12" customFormat="1" x14ac:dyDescent="0.25"/>
    <row r="159324" s="12" customFormat="1" x14ac:dyDescent="0.25"/>
    <row r="159325" s="12" customFormat="1" x14ac:dyDescent="0.25"/>
    <row r="159326" s="12" customFormat="1" x14ac:dyDescent="0.25"/>
    <row r="159327" s="12" customFormat="1" x14ac:dyDescent="0.25"/>
    <row r="159328" s="12" customFormat="1" x14ac:dyDescent="0.25"/>
    <row r="159329" s="12" customFormat="1" x14ac:dyDescent="0.25"/>
    <row r="159330" s="12" customFormat="1" x14ac:dyDescent="0.25"/>
    <row r="159331" s="12" customFormat="1" x14ac:dyDescent="0.25"/>
    <row r="159332" s="12" customFormat="1" x14ac:dyDescent="0.25"/>
    <row r="159333" s="12" customFormat="1" x14ac:dyDescent="0.25"/>
    <row r="159334" s="12" customFormat="1" x14ac:dyDescent="0.25"/>
    <row r="159335" s="12" customFormat="1" x14ac:dyDescent="0.25"/>
    <row r="159336" s="12" customFormat="1" x14ac:dyDescent="0.25"/>
    <row r="159337" s="12" customFormat="1" x14ac:dyDescent="0.25"/>
    <row r="159338" s="12" customFormat="1" x14ac:dyDescent="0.25"/>
    <row r="159339" s="12" customFormat="1" x14ac:dyDescent="0.25"/>
    <row r="159340" s="12" customFormat="1" x14ac:dyDescent="0.25"/>
    <row r="159341" s="12" customFormat="1" x14ac:dyDescent="0.25"/>
    <row r="159342" s="12" customFormat="1" x14ac:dyDescent="0.25"/>
    <row r="159343" s="12" customFormat="1" x14ac:dyDescent="0.25"/>
    <row r="159344" s="12" customFormat="1" x14ac:dyDescent="0.25"/>
    <row r="159345" s="12" customFormat="1" x14ac:dyDescent="0.25"/>
    <row r="159346" s="12" customFormat="1" x14ac:dyDescent="0.25"/>
    <row r="159347" s="12" customFormat="1" x14ac:dyDescent="0.25"/>
    <row r="159348" s="12" customFormat="1" x14ac:dyDescent="0.25"/>
    <row r="159349" s="12" customFormat="1" x14ac:dyDescent="0.25"/>
    <row r="159350" s="12" customFormat="1" x14ac:dyDescent="0.25"/>
    <row r="159351" s="12" customFormat="1" x14ac:dyDescent="0.25"/>
    <row r="159352" s="12" customFormat="1" x14ac:dyDescent="0.25"/>
    <row r="159353" s="12" customFormat="1" x14ac:dyDescent="0.25"/>
    <row r="159354" s="12" customFormat="1" x14ac:dyDescent="0.25"/>
    <row r="159355" s="12" customFormat="1" x14ac:dyDescent="0.25"/>
    <row r="159356" s="12" customFormat="1" x14ac:dyDescent="0.25"/>
    <row r="159357" s="12" customFormat="1" x14ac:dyDescent="0.25"/>
    <row r="159358" s="12" customFormat="1" x14ac:dyDescent="0.25"/>
    <row r="159359" s="12" customFormat="1" x14ac:dyDescent="0.25"/>
    <row r="159360" s="12" customFormat="1" x14ac:dyDescent="0.25"/>
    <row r="159361" s="12" customFormat="1" x14ac:dyDescent="0.25"/>
    <row r="159362" s="12" customFormat="1" x14ac:dyDescent="0.25"/>
    <row r="159363" s="12" customFormat="1" x14ac:dyDescent="0.25"/>
    <row r="159364" s="12" customFormat="1" x14ac:dyDescent="0.25"/>
    <row r="159365" s="12" customFormat="1" x14ac:dyDescent="0.25"/>
    <row r="159366" s="12" customFormat="1" x14ac:dyDescent="0.25"/>
    <row r="159367" s="12" customFormat="1" x14ac:dyDescent="0.25"/>
    <row r="159368" s="12" customFormat="1" x14ac:dyDescent="0.25"/>
    <row r="159369" s="12" customFormat="1" x14ac:dyDescent="0.25"/>
    <row r="159370" s="12" customFormat="1" x14ac:dyDescent="0.25"/>
    <row r="159371" s="12" customFormat="1" x14ac:dyDescent="0.25"/>
    <row r="159372" s="12" customFormat="1" x14ac:dyDescent="0.25"/>
    <row r="159373" s="12" customFormat="1" x14ac:dyDescent="0.25"/>
    <row r="159374" s="12" customFormat="1" x14ac:dyDescent="0.25"/>
    <row r="159375" s="12" customFormat="1" x14ac:dyDescent="0.25"/>
    <row r="159376" s="12" customFormat="1" x14ac:dyDescent="0.25"/>
    <row r="159377" s="12" customFormat="1" x14ac:dyDescent="0.25"/>
    <row r="159378" s="12" customFormat="1" x14ac:dyDescent="0.25"/>
    <row r="159379" s="12" customFormat="1" x14ac:dyDescent="0.25"/>
    <row r="159380" s="12" customFormat="1" x14ac:dyDescent="0.25"/>
    <row r="159381" s="12" customFormat="1" x14ac:dyDescent="0.25"/>
    <row r="159382" s="12" customFormat="1" x14ac:dyDescent="0.25"/>
    <row r="159383" s="12" customFormat="1" x14ac:dyDescent="0.25"/>
    <row r="159384" s="12" customFormat="1" x14ac:dyDescent="0.25"/>
    <row r="159385" s="12" customFormat="1" x14ac:dyDescent="0.25"/>
    <row r="159386" s="12" customFormat="1" x14ac:dyDescent="0.25"/>
    <row r="159387" s="12" customFormat="1" x14ac:dyDescent="0.25"/>
    <row r="159388" s="12" customFormat="1" x14ac:dyDescent="0.25"/>
    <row r="159389" s="12" customFormat="1" x14ac:dyDescent="0.25"/>
    <row r="159390" s="12" customFormat="1" x14ac:dyDescent="0.25"/>
    <row r="159391" s="12" customFormat="1" x14ac:dyDescent="0.25"/>
    <row r="159392" s="12" customFormat="1" x14ac:dyDescent="0.25"/>
    <row r="159393" s="12" customFormat="1" x14ac:dyDescent="0.25"/>
    <row r="159394" s="12" customFormat="1" x14ac:dyDescent="0.25"/>
    <row r="159395" s="12" customFormat="1" x14ac:dyDescent="0.25"/>
    <row r="159396" s="12" customFormat="1" x14ac:dyDescent="0.25"/>
    <row r="159397" s="12" customFormat="1" x14ac:dyDescent="0.25"/>
    <row r="159398" s="12" customFormat="1" x14ac:dyDescent="0.25"/>
    <row r="159399" s="12" customFormat="1" x14ac:dyDescent="0.25"/>
    <row r="159400" s="12" customFormat="1" x14ac:dyDescent="0.25"/>
    <row r="159401" s="12" customFormat="1" x14ac:dyDescent="0.25"/>
    <row r="159402" s="12" customFormat="1" x14ac:dyDescent="0.25"/>
    <row r="159403" s="12" customFormat="1" x14ac:dyDescent="0.25"/>
    <row r="159404" s="12" customFormat="1" x14ac:dyDescent="0.25"/>
    <row r="159405" s="12" customFormat="1" x14ac:dyDescent="0.25"/>
    <row r="159406" s="12" customFormat="1" x14ac:dyDescent="0.25"/>
    <row r="159407" s="12" customFormat="1" x14ac:dyDescent="0.25"/>
    <row r="159408" s="12" customFormat="1" x14ac:dyDescent="0.25"/>
    <row r="159409" s="12" customFormat="1" x14ac:dyDescent="0.25"/>
    <row r="159410" s="12" customFormat="1" x14ac:dyDescent="0.25"/>
    <row r="159411" s="12" customFormat="1" x14ac:dyDescent="0.25"/>
    <row r="159412" s="12" customFormat="1" x14ac:dyDescent="0.25"/>
    <row r="159413" s="12" customFormat="1" x14ac:dyDescent="0.25"/>
    <row r="159414" s="12" customFormat="1" x14ac:dyDescent="0.25"/>
    <row r="159415" s="12" customFormat="1" x14ac:dyDescent="0.25"/>
    <row r="159416" s="12" customFormat="1" x14ac:dyDescent="0.25"/>
    <row r="159417" s="12" customFormat="1" x14ac:dyDescent="0.25"/>
    <row r="159418" s="12" customFormat="1" x14ac:dyDescent="0.25"/>
    <row r="159419" s="12" customFormat="1" x14ac:dyDescent="0.25"/>
    <row r="159420" s="12" customFormat="1" x14ac:dyDescent="0.25"/>
    <row r="159421" s="12" customFormat="1" x14ac:dyDescent="0.25"/>
    <row r="159422" s="12" customFormat="1" x14ac:dyDescent="0.25"/>
    <row r="159423" s="12" customFormat="1" x14ac:dyDescent="0.25"/>
    <row r="159424" s="12" customFormat="1" x14ac:dyDescent="0.25"/>
    <row r="159425" s="12" customFormat="1" x14ac:dyDescent="0.25"/>
    <row r="159426" s="12" customFormat="1" x14ac:dyDescent="0.25"/>
    <row r="159427" s="12" customFormat="1" x14ac:dyDescent="0.25"/>
    <row r="159428" s="12" customFormat="1" x14ac:dyDescent="0.25"/>
    <row r="159429" s="12" customFormat="1" x14ac:dyDescent="0.25"/>
    <row r="159430" s="12" customFormat="1" x14ac:dyDescent="0.25"/>
    <row r="159431" s="12" customFormat="1" x14ac:dyDescent="0.25"/>
    <row r="159432" s="12" customFormat="1" x14ac:dyDescent="0.25"/>
    <row r="159433" s="12" customFormat="1" x14ac:dyDescent="0.25"/>
    <row r="159434" s="12" customFormat="1" x14ac:dyDescent="0.25"/>
    <row r="159435" s="12" customFormat="1" x14ac:dyDescent="0.25"/>
    <row r="159436" s="12" customFormat="1" x14ac:dyDescent="0.25"/>
    <row r="159437" s="12" customFormat="1" x14ac:dyDescent="0.25"/>
    <row r="159438" s="12" customFormat="1" x14ac:dyDescent="0.25"/>
    <row r="159439" s="12" customFormat="1" x14ac:dyDescent="0.25"/>
    <row r="159440" s="12" customFormat="1" x14ac:dyDescent="0.25"/>
    <row r="159441" s="12" customFormat="1" x14ac:dyDescent="0.25"/>
    <row r="159442" s="12" customFormat="1" x14ac:dyDescent="0.25"/>
    <row r="159443" s="12" customFormat="1" x14ac:dyDescent="0.25"/>
    <row r="159444" s="12" customFormat="1" x14ac:dyDescent="0.25"/>
    <row r="159445" s="12" customFormat="1" x14ac:dyDescent="0.25"/>
    <row r="159446" s="12" customFormat="1" x14ac:dyDescent="0.25"/>
    <row r="159447" s="12" customFormat="1" x14ac:dyDescent="0.25"/>
    <row r="159448" s="12" customFormat="1" x14ac:dyDescent="0.25"/>
    <row r="159449" s="12" customFormat="1" x14ac:dyDescent="0.25"/>
    <row r="159450" s="12" customFormat="1" x14ac:dyDescent="0.25"/>
    <row r="159451" s="12" customFormat="1" x14ac:dyDescent="0.25"/>
    <row r="159452" s="12" customFormat="1" x14ac:dyDescent="0.25"/>
    <row r="159453" s="12" customFormat="1" x14ac:dyDescent="0.25"/>
    <row r="159454" s="12" customFormat="1" x14ac:dyDescent="0.25"/>
    <row r="159455" s="12" customFormat="1" x14ac:dyDescent="0.25"/>
    <row r="159456" s="12" customFormat="1" x14ac:dyDescent="0.25"/>
    <row r="159457" s="12" customFormat="1" x14ac:dyDescent="0.25"/>
    <row r="159458" s="12" customFormat="1" x14ac:dyDescent="0.25"/>
    <row r="159459" s="12" customFormat="1" x14ac:dyDescent="0.25"/>
    <row r="159460" s="12" customFormat="1" x14ac:dyDescent="0.25"/>
    <row r="159461" s="12" customFormat="1" x14ac:dyDescent="0.25"/>
    <row r="159462" s="12" customFormat="1" x14ac:dyDescent="0.25"/>
    <row r="159463" s="12" customFormat="1" x14ac:dyDescent="0.25"/>
    <row r="159464" s="12" customFormat="1" x14ac:dyDescent="0.25"/>
    <row r="159465" s="12" customFormat="1" x14ac:dyDescent="0.25"/>
    <row r="159466" s="12" customFormat="1" x14ac:dyDescent="0.25"/>
    <row r="159467" s="12" customFormat="1" x14ac:dyDescent="0.25"/>
    <row r="159468" s="12" customFormat="1" x14ac:dyDescent="0.25"/>
    <row r="159469" s="12" customFormat="1" x14ac:dyDescent="0.25"/>
    <row r="159470" s="12" customFormat="1" x14ac:dyDescent="0.25"/>
    <row r="159471" s="12" customFormat="1" x14ac:dyDescent="0.25"/>
    <row r="159472" s="12" customFormat="1" x14ac:dyDescent="0.25"/>
    <row r="159473" s="12" customFormat="1" x14ac:dyDescent="0.25"/>
    <row r="159474" s="12" customFormat="1" x14ac:dyDescent="0.25"/>
    <row r="159475" s="12" customFormat="1" x14ac:dyDescent="0.25"/>
    <row r="159476" s="12" customFormat="1" x14ac:dyDescent="0.25"/>
    <row r="159477" s="12" customFormat="1" x14ac:dyDescent="0.25"/>
    <row r="159478" s="12" customFormat="1" x14ac:dyDescent="0.25"/>
    <row r="159479" s="12" customFormat="1" x14ac:dyDescent="0.25"/>
    <row r="159480" s="12" customFormat="1" x14ac:dyDescent="0.25"/>
    <row r="159481" s="12" customFormat="1" x14ac:dyDescent="0.25"/>
    <row r="159482" s="12" customFormat="1" x14ac:dyDescent="0.25"/>
    <row r="159483" s="12" customFormat="1" x14ac:dyDescent="0.25"/>
    <row r="159484" s="12" customFormat="1" x14ac:dyDescent="0.25"/>
    <row r="159485" s="12" customFormat="1" x14ac:dyDescent="0.25"/>
    <row r="159486" s="12" customFormat="1" x14ac:dyDescent="0.25"/>
    <row r="159487" s="12" customFormat="1" x14ac:dyDescent="0.25"/>
    <row r="159488" s="12" customFormat="1" x14ac:dyDescent="0.25"/>
    <row r="159489" s="12" customFormat="1" x14ac:dyDescent="0.25"/>
    <row r="159490" s="12" customFormat="1" x14ac:dyDescent="0.25"/>
    <row r="159491" s="12" customFormat="1" x14ac:dyDescent="0.25"/>
    <row r="159492" s="12" customFormat="1" x14ac:dyDescent="0.25"/>
    <row r="159493" s="12" customFormat="1" x14ac:dyDescent="0.25"/>
    <row r="159494" s="12" customFormat="1" x14ac:dyDescent="0.25"/>
    <row r="159495" s="12" customFormat="1" x14ac:dyDescent="0.25"/>
    <row r="159496" s="12" customFormat="1" x14ac:dyDescent="0.25"/>
    <row r="159497" s="12" customFormat="1" x14ac:dyDescent="0.25"/>
    <row r="159498" s="12" customFormat="1" x14ac:dyDescent="0.25"/>
    <row r="159499" s="12" customFormat="1" x14ac:dyDescent="0.25"/>
    <row r="159500" s="12" customFormat="1" x14ac:dyDescent="0.25"/>
    <row r="159501" s="12" customFormat="1" x14ac:dyDescent="0.25"/>
    <row r="159502" s="12" customFormat="1" x14ac:dyDescent="0.25"/>
    <row r="159503" s="12" customFormat="1" x14ac:dyDescent="0.25"/>
    <row r="159504" s="12" customFormat="1" x14ac:dyDescent="0.25"/>
    <row r="159505" s="12" customFormat="1" x14ac:dyDescent="0.25"/>
    <row r="159506" s="12" customFormat="1" x14ac:dyDescent="0.25"/>
    <row r="159507" s="12" customFormat="1" x14ac:dyDescent="0.25"/>
    <row r="159508" s="12" customFormat="1" x14ac:dyDescent="0.25"/>
    <row r="159509" s="12" customFormat="1" x14ac:dyDescent="0.25"/>
    <row r="159510" s="12" customFormat="1" x14ac:dyDescent="0.25"/>
    <row r="159511" s="12" customFormat="1" x14ac:dyDescent="0.25"/>
    <row r="159512" s="12" customFormat="1" x14ac:dyDescent="0.25"/>
    <row r="159513" s="12" customFormat="1" x14ac:dyDescent="0.25"/>
    <row r="159514" s="12" customFormat="1" x14ac:dyDescent="0.25"/>
    <row r="159515" s="12" customFormat="1" x14ac:dyDescent="0.25"/>
    <row r="159516" s="12" customFormat="1" x14ac:dyDescent="0.25"/>
    <row r="159517" s="12" customFormat="1" x14ac:dyDescent="0.25"/>
    <row r="159518" s="12" customFormat="1" x14ac:dyDescent="0.25"/>
    <row r="159519" s="12" customFormat="1" x14ac:dyDescent="0.25"/>
    <row r="159520" s="12" customFormat="1" x14ac:dyDescent="0.25"/>
    <row r="159521" s="12" customFormat="1" x14ac:dyDescent="0.25"/>
    <row r="159522" s="12" customFormat="1" x14ac:dyDescent="0.25"/>
    <row r="159523" s="12" customFormat="1" x14ac:dyDescent="0.25"/>
    <row r="159524" s="12" customFormat="1" x14ac:dyDescent="0.25"/>
    <row r="159525" s="12" customFormat="1" x14ac:dyDescent="0.25"/>
    <row r="159526" s="12" customFormat="1" x14ac:dyDescent="0.25"/>
    <row r="159527" s="12" customFormat="1" x14ac:dyDescent="0.25"/>
    <row r="159528" s="12" customFormat="1" x14ac:dyDescent="0.25"/>
    <row r="159529" s="12" customFormat="1" x14ac:dyDescent="0.25"/>
    <row r="159530" s="12" customFormat="1" x14ac:dyDescent="0.25"/>
    <row r="159531" s="12" customFormat="1" x14ac:dyDescent="0.25"/>
    <row r="159532" s="12" customFormat="1" x14ac:dyDescent="0.25"/>
    <row r="159533" s="12" customFormat="1" x14ac:dyDescent="0.25"/>
    <row r="159534" s="12" customFormat="1" x14ac:dyDescent="0.25"/>
    <row r="159535" s="12" customFormat="1" x14ac:dyDescent="0.25"/>
    <row r="159536" s="12" customFormat="1" x14ac:dyDescent="0.25"/>
    <row r="159537" s="12" customFormat="1" x14ac:dyDescent="0.25"/>
    <row r="159538" s="12" customFormat="1" x14ac:dyDescent="0.25"/>
    <row r="159539" s="12" customFormat="1" x14ac:dyDescent="0.25"/>
    <row r="159540" s="12" customFormat="1" x14ac:dyDescent="0.25"/>
    <row r="159541" s="12" customFormat="1" x14ac:dyDescent="0.25"/>
    <row r="159542" s="12" customFormat="1" x14ac:dyDescent="0.25"/>
    <row r="159543" s="12" customFormat="1" x14ac:dyDescent="0.25"/>
    <row r="159544" s="12" customFormat="1" x14ac:dyDescent="0.25"/>
    <row r="159545" s="12" customFormat="1" x14ac:dyDescent="0.25"/>
    <row r="159546" s="12" customFormat="1" x14ac:dyDescent="0.25"/>
    <row r="159547" s="12" customFormat="1" x14ac:dyDescent="0.25"/>
    <row r="159548" s="12" customFormat="1" x14ac:dyDescent="0.25"/>
    <row r="159549" s="12" customFormat="1" x14ac:dyDescent="0.25"/>
    <row r="159550" s="12" customFormat="1" x14ac:dyDescent="0.25"/>
    <row r="159551" s="12" customFormat="1" x14ac:dyDescent="0.25"/>
    <row r="159552" s="12" customFormat="1" x14ac:dyDescent="0.25"/>
    <row r="159553" s="12" customFormat="1" x14ac:dyDescent="0.25"/>
    <row r="159554" s="12" customFormat="1" x14ac:dyDescent="0.25"/>
    <row r="159555" s="12" customFormat="1" x14ac:dyDescent="0.25"/>
    <row r="159556" s="12" customFormat="1" x14ac:dyDescent="0.25"/>
    <row r="159557" s="12" customFormat="1" x14ac:dyDescent="0.25"/>
    <row r="159558" s="12" customFormat="1" x14ac:dyDescent="0.25"/>
    <row r="159559" s="12" customFormat="1" x14ac:dyDescent="0.25"/>
    <row r="159560" s="12" customFormat="1" x14ac:dyDescent="0.25"/>
    <row r="159561" s="12" customFormat="1" x14ac:dyDescent="0.25"/>
    <row r="159562" s="12" customFormat="1" x14ac:dyDescent="0.25"/>
    <row r="159563" s="12" customFormat="1" x14ac:dyDescent="0.25"/>
    <row r="159564" s="12" customFormat="1" x14ac:dyDescent="0.25"/>
    <row r="159565" s="12" customFormat="1" x14ac:dyDescent="0.25"/>
    <row r="159566" s="12" customFormat="1" x14ac:dyDescent="0.25"/>
    <row r="159567" s="12" customFormat="1" x14ac:dyDescent="0.25"/>
    <row r="159568" s="12" customFormat="1" x14ac:dyDescent="0.25"/>
    <row r="159569" s="12" customFormat="1" x14ac:dyDescent="0.25"/>
    <row r="159570" s="12" customFormat="1" x14ac:dyDescent="0.25"/>
    <row r="159571" s="12" customFormat="1" x14ac:dyDescent="0.25"/>
    <row r="159572" s="12" customFormat="1" x14ac:dyDescent="0.25"/>
    <row r="159573" s="12" customFormat="1" x14ac:dyDescent="0.25"/>
    <row r="159574" s="12" customFormat="1" x14ac:dyDescent="0.25"/>
    <row r="159575" s="12" customFormat="1" x14ac:dyDescent="0.25"/>
    <row r="159576" s="12" customFormat="1" x14ac:dyDescent="0.25"/>
    <row r="159577" s="12" customFormat="1" x14ac:dyDescent="0.25"/>
    <row r="159578" s="12" customFormat="1" x14ac:dyDescent="0.25"/>
    <row r="159579" s="12" customFormat="1" x14ac:dyDescent="0.25"/>
    <row r="159580" s="12" customFormat="1" x14ac:dyDescent="0.25"/>
    <row r="159581" s="12" customFormat="1" x14ac:dyDescent="0.25"/>
    <row r="159582" s="12" customFormat="1" x14ac:dyDescent="0.25"/>
    <row r="159583" s="12" customFormat="1" x14ac:dyDescent="0.25"/>
    <row r="159584" s="12" customFormat="1" x14ac:dyDescent="0.25"/>
    <row r="159585" s="12" customFormat="1" x14ac:dyDescent="0.25"/>
    <row r="159586" s="12" customFormat="1" x14ac:dyDescent="0.25"/>
    <row r="159587" s="12" customFormat="1" x14ac:dyDescent="0.25"/>
    <row r="159588" s="12" customFormat="1" x14ac:dyDescent="0.25"/>
    <row r="159589" s="12" customFormat="1" x14ac:dyDescent="0.25"/>
    <row r="159590" s="12" customFormat="1" x14ac:dyDescent="0.25"/>
    <row r="159591" s="12" customFormat="1" x14ac:dyDescent="0.25"/>
    <row r="159592" s="12" customFormat="1" x14ac:dyDescent="0.25"/>
    <row r="159593" s="12" customFormat="1" x14ac:dyDescent="0.25"/>
    <row r="159594" s="12" customFormat="1" x14ac:dyDescent="0.25"/>
    <row r="159595" s="12" customFormat="1" x14ac:dyDescent="0.25"/>
    <row r="159596" s="12" customFormat="1" x14ac:dyDescent="0.25"/>
    <row r="159597" s="12" customFormat="1" x14ac:dyDescent="0.25"/>
    <row r="159598" s="12" customFormat="1" x14ac:dyDescent="0.25"/>
    <row r="159599" s="12" customFormat="1" x14ac:dyDescent="0.25"/>
    <row r="159600" s="12" customFormat="1" x14ac:dyDescent="0.25"/>
    <row r="159601" s="12" customFormat="1" x14ac:dyDescent="0.25"/>
    <row r="159602" s="12" customFormat="1" x14ac:dyDescent="0.25"/>
    <row r="159603" s="12" customFormat="1" x14ac:dyDescent="0.25"/>
    <row r="159604" s="12" customFormat="1" x14ac:dyDescent="0.25"/>
    <row r="159605" s="12" customFormat="1" x14ac:dyDescent="0.25"/>
    <row r="159606" s="12" customFormat="1" x14ac:dyDescent="0.25"/>
    <row r="159607" s="12" customFormat="1" x14ac:dyDescent="0.25"/>
    <row r="159608" s="12" customFormat="1" x14ac:dyDescent="0.25"/>
    <row r="159609" s="12" customFormat="1" x14ac:dyDescent="0.25"/>
    <row r="159610" s="12" customFormat="1" x14ac:dyDescent="0.25"/>
    <row r="159611" s="12" customFormat="1" x14ac:dyDescent="0.25"/>
    <row r="159612" s="12" customFormat="1" x14ac:dyDescent="0.25"/>
    <row r="159613" s="12" customFormat="1" x14ac:dyDescent="0.25"/>
    <row r="159614" s="12" customFormat="1" x14ac:dyDescent="0.25"/>
    <row r="159615" s="12" customFormat="1" x14ac:dyDescent="0.25"/>
    <row r="159616" s="12" customFormat="1" x14ac:dyDescent="0.25"/>
    <row r="159617" s="12" customFormat="1" x14ac:dyDescent="0.25"/>
    <row r="159618" s="12" customFormat="1" x14ac:dyDescent="0.25"/>
    <row r="159619" s="12" customFormat="1" x14ac:dyDescent="0.25"/>
    <row r="159620" s="12" customFormat="1" x14ac:dyDescent="0.25"/>
    <row r="159621" s="12" customFormat="1" x14ac:dyDescent="0.25"/>
    <row r="159622" s="12" customFormat="1" x14ac:dyDescent="0.25"/>
    <row r="159623" s="12" customFormat="1" x14ac:dyDescent="0.25"/>
    <row r="159624" s="12" customFormat="1" x14ac:dyDescent="0.25"/>
    <row r="159625" s="12" customFormat="1" x14ac:dyDescent="0.25"/>
    <row r="159626" s="12" customFormat="1" x14ac:dyDescent="0.25"/>
    <row r="159627" s="12" customFormat="1" x14ac:dyDescent="0.25"/>
    <row r="159628" s="12" customFormat="1" x14ac:dyDescent="0.25"/>
    <row r="159629" s="12" customFormat="1" x14ac:dyDescent="0.25"/>
    <row r="159630" s="12" customFormat="1" x14ac:dyDescent="0.25"/>
    <row r="159631" s="12" customFormat="1" x14ac:dyDescent="0.25"/>
    <row r="159632" s="12" customFormat="1" x14ac:dyDescent="0.25"/>
    <row r="159633" s="12" customFormat="1" x14ac:dyDescent="0.25"/>
    <row r="159634" s="12" customFormat="1" x14ac:dyDescent="0.25"/>
    <row r="159635" s="12" customFormat="1" x14ac:dyDescent="0.25"/>
    <row r="159636" s="12" customFormat="1" x14ac:dyDescent="0.25"/>
    <row r="159637" s="12" customFormat="1" x14ac:dyDescent="0.25"/>
    <row r="159638" s="12" customFormat="1" x14ac:dyDescent="0.25"/>
    <row r="159639" s="12" customFormat="1" x14ac:dyDescent="0.25"/>
    <row r="159640" s="12" customFormat="1" x14ac:dyDescent="0.25"/>
    <row r="159641" s="12" customFormat="1" x14ac:dyDescent="0.25"/>
    <row r="159642" s="12" customFormat="1" x14ac:dyDescent="0.25"/>
    <row r="159643" s="12" customFormat="1" x14ac:dyDescent="0.25"/>
    <row r="159644" s="12" customFormat="1" x14ac:dyDescent="0.25"/>
    <row r="159645" s="12" customFormat="1" x14ac:dyDescent="0.25"/>
    <row r="159646" s="12" customFormat="1" x14ac:dyDescent="0.25"/>
    <row r="159647" s="12" customFormat="1" x14ac:dyDescent="0.25"/>
    <row r="159648" s="12" customFormat="1" x14ac:dyDescent="0.25"/>
    <row r="159649" s="12" customFormat="1" x14ac:dyDescent="0.25"/>
    <row r="159650" s="12" customFormat="1" x14ac:dyDescent="0.25"/>
    <row r="159651" s="12" customFormat="1" x14ac:dyDescent="0.25"/>
    <row r="159652" s="12" customFormat="1" x14ac:dyDescent="0.25"/>
    <row r="159653" s="12" customFormat="1" x14ac:dyDescent="0.25"/>
    <row r="159654" s="12" customFormat="1" x14ac:dyDescent="0.25"/>
    <row r="159655" s="12" customFormat="1" x14ac:dyDescent="0.25"/>
    <row r="159656" s="12" customFormat="1" x14ac:dyDescent="0.25"/>
    <row r="159657" s="12" customFormat="1" x14ac:dyDescent="0.25"/>
    <row r="159658" s="12" customFormat="1" x14ac:dyDescent="0.25"/>
    <row r="159659" s="12" customFormat="1" x14ac:dyDescent="0.25"/>
    <row r="159660" s="12" customFormat="1" x14ac:dyDescent="0.25"/>
    <row r="159661" s="12" customFormat="1" x14ac:dyDescent="0.25"/>
    <row r="159662" s="12" customFormat="1" x14ac:dyDescent="0.25"/>
    <row r="159663" s="12" customFormat="1" x14ac:dyDescent="0.25"/>
    <row r="159664" s="12" customFormat="1" x14ac:dyDescent="0.25"/>
    <row r="159665" s="12" customFormat="1" x14ac:dyDescent="0.25"/>
    <row r="159666" s="12" customFormat="1" x14ac:dyDescent="0.25"/>
    <row r="159667" s="12" customFormat="1" x14ac:dyDescent="0.25"/>
    <row r="159668" s="12" customFormat="1" x14ac:dyDescent="0.25"/>
    <row r="159669" s="12" customFormat="1" x14ac:dyDescent="0.25"/>
    <row r="159670" s="12" customFormat="1" x14ac:dyDescent="0.25"/>
    <row r="159671" s="12" customFormat="1" x14ac:dyDescent="0.25"/>
    <row r="159672" s="12" customFormat="1" x14ac:dyDescent="0.25"/>
    <row r="159673" s="12" customFormat="1" x14ac:dyDescent="0.25"/>
    <row r="159674" s="12" customFormat="1" x14ac:dyDescent="0.25"/>
    <row r="159675" s="12" customFormat="1" x14ac:dyDescent="0.25"/>
    <row r="159676" s="12" customFormat="1" x14ac:dyDescent="0.25"/>
    <row r="159677" s="12" customFormat="1" x14ac:dyDescent="0.25"/>
    <row r="159678" s="12" customFormat="1" x14ac:dyDescent="0.25"/>
    <row r="159679" s="12" customFormat="1" x14ac:dyDescent="0.25"/>
    <row r="159680" s="12" customFormat="1" x14ac:dyDescent="0.25"/>
    <row r="159681" s="12" customFormat="1" x14ac:dyDescent="0.25"/>
    <row r="159682" s="12" customFormat="1" x14ac:dyDescent="0.25"/>
    <row r="159683" s="12" customFormat="1" x14ac:dyDescent="0.25"/>
    <row r="159684" s="12" customFormat="1" x14ac:dyDescent="0.25"/>
    <row r="159685" s="12" customFormat="1" x14ac:dyDescent="0.25"/>
    <row r="159686" s="12" customFormat="1" x14ac:dyDescent="0.25"/>
    <row r="159687" s="12" customFormat="1" x14ac:dyDescent="0.25"/>
    <row r="159688" s="12" customFormat="1" x14ac:dyDescent="0.25"/>
    <row r="159689" s="12" customFormat="1" x14ac:dyDescent="0.25"/>
    <row r="159690" s="12" customFormat="1" x14ac:dyDescent="0.25"/>
    <row r="159691" s="12" customFormat="1" x14ac:dyDescent="0.25"/>
    <row r="159692" s="12" customFormat="1" x14ac:dyDescent="0.25"/>
    <row r="159693" s="12" customFormat="1" x14ac:dyDescent="0.25"/>
    <row r="159694" s="12" customFormat="1" x14ac:dyDescent="0.25"/>
    <row r="159695" s="12" customFormat="1" x14ac:dyDescent="0.25"/>
    <row r="159696" s="12" customFormat="1" x14ac:dyDescent="0.25"/>
    <row r="159697" s="12" customFormat="1" x14ac:dyDescent="0.25"/>
    <row r="159698" s="12" customFormat="1" x14ac:dyDescent="0.25"/>
    <row r="159699" s="12" customFormat="1" x14ac:dyDescent="0.25"/>
    <row r="159700" s="12" customFormat="1" x14ac:dyDescent="0.25"/>
    <row r="159701" s="12" customFormat="1" x14ac:dyDescent="0.25"/>
    <row r="159702" s="12" customFormat="1" x14ac:dyDescent="0.25"/>
    <row r="159703" s="12" customFormat="1" x14ac:dyDescent="0.25"/>
    <row r="159704" s="12" customFormat="1" x14ac:dyDescent="0.25"/>
    <row r="159705" s="12" customFormat="1" x14ac:dyDescent="0.25"/>
    <row r="159706" s="12" customFormat="1" x14ac:dyDescent="0.25"/>
    <row r="159707" s="12" customFormat="1" x14ac:dyDescent="0.25"/>
    <row r="159708" s="12" customFormat="1" x14ac:dyDescent="0.25"/>
    <row r="159709" s="12" customFormat="1" x14ac:dyDescent="0.25"/>
    <row r="159710" s="12" customFormat="1" x14ac:dyDescent="0.25"/>
    <row r="159711" s="12" customFormat="1" x14ac:dyDescent="0.25"/>
    <row r="159712" s="12" customFormat="1" x14ac:dyDescent="0.25"/>
    <row r="159713" s="12" customFormat="1" x14ac:dyDescent="0.25"/>
    <row r="159714" s="12" customFormat="1" x14ac:dyDescent="0.25"/>
    <row r="159715" s="12" customFormat="1" x14ac:dyDescent="0.25"/>
    <row r="159716" s="12" customFormat="1" x14ac:dyDescent="0.25"/>
    <row r="159717" s="12" customFormat="1" x14ac:dyDescent="0.25"/>
    <row r="159718" s="12" customFormat="1" x14ac:dyDescent="0.25"/>
    <row r="159719" s="12" customFormat="1" x14ac:dyDescent="0.25"/>
    <row r="159720" s="12" customFormat="1" x14ac:dyDescent="0.25"/>
    <row r="159721" s="12" customFormat="1" x14ac:dyDescent="0.25"/>
    <row r="159722" s="12" customFormat="1" x14ac:dyDescent="0.25"/>
    <row r="159723" s="12" customFormat="1" x14ac:dyDescent="0.25"/>
    <row r="159724" s="12" customFormat="1" x14ac:dyDescent="0.25"/>
    <row r="159725" s="12" customFormat="1" x14ac:dyDescent="0.25"/>
    <row r="159726" s="12" customFormat="1" x14ac:dyDescent="0.25"/>
    <row r="159727" s="12" customFormat="1" x14ac:dyDescent="0.25"/>
    <row r="159728" s="12" customFormat="1" x14ac:dyDescent="0.25"/>
    <row r="159729" s="12" customFormat="1" x14ac:dyDescent="0.25"/>
    <row r="159730" s="12" customFormat="1" x14ac:dyDescent="0.25"/>
    <row r="159731" s="12" customFormat="1" x14ac:dyDescent="0.25"/>
    <row r="159732" s="12" customFormat="1" x14ac:dyDescent="0.25"/>
    <row r="159733" s="12" customFormat="1" x14ac:dyDescent="0.25"/>
    <row r="159734" s="12" customFormat="1" x14ac:dyDescent="0.25"/>
    <row r="159735" s="12" customFormat="1" x14ac:dyDescent="0.25"/>
    <row r="159736" s="12" customFormat="1" x14ac:dyDescent="0.25"/>
    <row r="159737" s="12" customFormat="1" x14ac:dyDescent="0.25"/>
    <row r="159738" s="12" customFormat="1" x14ac:dyDescent="0.25"/>
    <row r="159739" s="12" customFormat="1" x14ac:dyDescent="0.25"/>
    <row r="159740" s="12" customFormat="1" x14ac:dyDescent="0.25"/>
    <row r="159741" s="12" customFormat="1" x14ac:dyDescent="0.25"/>
    <row r="159742" s="12" customFormat="1" x14ac:dyDescent="0.25"/>
    <row r="159743" s="12" customFormat="1" x14ac:dyDescent="0.25"/>
    <row r="159744" s="12" customFormat="1" x14ac:dyDescent="0.25"/>
    <row r="159745" s="12" customFormat="1" x14ac:dyDescent="0.25"/>
    <row r="159746" s="12" customFormat="1" x14ac:dyDescent="0.25"/>
    <row r="159747" s="12" customFormat="1" x14ac:dyDescent="0.25"/>
    <row r="159748" s="12" customFormat="1" x14ac:dyDescent="0.25"/>
    <row r="159749" s="12" customFormat="1" x14ac:dyDescent="0.25"/>
    <row r="159750" s="12" customFormat="1" x14ac:dyDescent="0.25"/>
    <row r="159751" s="12" customFormat="1" x14ac:dyDescent="0.25"/>
    <row r="159752" s="12" customFormat="1" x14ac:dyDescent="0.25"/>
    <row r="159753" s="12" customFormat="1" x14ac:dyDescent="0.25"/>
    <row r="159754" s="12" customFormat="1" x14ac:dyDescent="0.25"/>
    <row r="159755" s="12" customFormat="1" x14ac:dyDescent="0.25"/>
    <row r="159756" s="12" customFormat="1" x14ac:dyDescent="0.25"/>
    <row r="159757" s="12" customFormat="1" x14ac:dyDescent="0.25"/>
    <row r="159758" s="12" customFormat="1" x14ac:dyDescent="0.25"/>
    <row r="159759" s="12" customFormat="1" x14ac:dyDescent="0.25"/>
    <row r="159760" s="12" customFormat="1" x14ac:dyDescent="0.25"/>
    <row r="159761" s="12" customFormat="1" x14ac:dyDescent="0.25"/>
    <row r="159762" s="12" customFormat="1" x14ac:dyDescent="0.25"/>
    <row r="159763" s="12" customFormat="1" x14ac:dyDescent="0.25"/>
    <row r="159764" s="12" customFormat="1" x14ac:dyDescent="0.25"/>
    <row r="159765" s="12" customFormat="1" x14ac:dyDescent="0.25"/>
    <row r="159766" s="12" customFormat="1" x14ac:dyDescent="0.25"/>
    <row r="159767" s="12" customFormat="1" x14ac:dyDescent="0.25"/>
    <row r="159768" s="12" customFormat="1" x14ac:dyDescent="0.25"/>
    <row r="159769" s="12" customFormat="1" x14ac:dyDescent="0.25"/>
    <row r="159770" s="12" customFormat="1" x14ac:dyDescent="0.25"/>
    <row r="159771" s="12" customFormat="1" x14ac:dyDescent="0.25"/>
    <row r="159772" s="12" customFormat="1" x14ac:dyDescent="0.25"/>
    <row r="159773" s="12" customFormat="1" x14ac:dyDescent="0.25"/>
    <row r="159774" s="12" customFormat="1" x14ac:dyDescent="0.25"/>
    <row r="159775" s="12" customFormat="1" x14ac:dyDescent="0.25"/>
    <row r="159776" s="12" customFormat="1" x14ac:dyDescent="0.25"/>
    <row r="159777" s="12" customFormat="1" x14ac:dyDescent="0.25"/>
    <row r="159778" s="12" customFormat="1" x14ac:dyDescent="0.25"/>
    <row r="159779" s="12" customFormat="1" x14ac:dyDescent="0.25"/>
    <row r="159780" s="12" customFormat="1" x14ac:dyDescent="0.25"/>
    <row r="159781" s="12" customFormat="1" x14ac:dyDescent="0.25"/>
    <row r="159782" s="12" customFormat="1" x14ac:dyDescent="0.25"/>
    <row r="159783" s="12" customFormat="1" x14ac:dyDescent="0.25"/>
    <row r="159784" s="12" customFormat="1" x14ac:dyDescent="0.25"/>
    <row r="159785" s="12" customFormat="1" x14ac:dyDescent="0.25"/>
    <row r="159786" s="12" customFormat="1" x14ac:dyDescent="0.25"/>
    <row r="159787" s="12" customFormat="1" x14ac:dyDescent="0.25"/>
    <row r="159788" s="12" customFormat="1" x14ac:dyDescent="0.25"/>
    <row r="159789" s="12" customFormat="1" x14ac:dyDescent="0.25"/>
    <row r="159790" s="12" customFormat="1" x14ac:dyDescent="0.25"/>
    <row r="159791" s="12" customFormat="1" x14ac:dyDescent="0.25"/>
    <row r="159792" s="12" customFormat="1" x14ac:dyDescent="0.25"/>
    <row r="159793" s="12" customFormat="1" x14ac:dyDescent="0.25"/>
    <row r="159794" s="12" customFormat="1" x14ac:dyDescent="0.25"/>
    <row r="159795" s="12" customFormat="1" x14ac:dyDescent="0.25"/>
    <row r="159796" s="12" customFormat="1" x14ac:dyDescent="0.25"/>
    <row r="159797" s="12" customFormat="1" x14ac:dyDescent="0.25"/>
    <row r="159798" s="12" customFormat="1" x14ac:dyDescent="0.25"/>
    <row r="159799" s="12" customFormat="1" x14ac:dyDescent="0.25"/>
    <row r="159800" s="12" customFormat="1" x14ac:dyDescent="0.25"/>
    <row r="159801" s="12" customFormat="1" x14ac:dyDescent="0.25"/>
    <row r="159802" s="12" customFormat="1" x14ac:dyDescent="0.25"/>
    <row r="159803" s="12" customFormat="1" x14ac:dyDescent="0.25"/>
    <row r="159804" s="12" customFormat="1" x14ac:dyDescent="0.25"/>
    <row r="159805" s="12" customFormat="1" x14ac:dyDescent="0.25"/>
    <row r="159806" s="12" customFormat="1" x14ac:dyDescent="0.25"/>
    <row r="159807" s="12" customFormat="1" x14ac:dyDescent="0.25"/>
    <row r="159808" s="12" customFormat="1" x14ac:dyDescent="0.25"/>
    <row r="159809" s="12" customFormat="1" x14ac:dyDescent="0.25"/>
    <row r="159810" s="12" customFormat="1" x14ac:dyDescent="0.25"/>
    <row r="159811" s="12" customFormat="1" x14ac:dyDescent="0.25"/>
    <row r="159812" s="12" customFormat="1" x14ac:dyDescent="0.25"/>
    <row r="159813" s="12" customFormat="1" x14ac:dyDescent="0.25"/>
    <row r="159814" s="12" customFormat="1" x14ac:dyDescent="0.25"/>
    <row r="159815" s="12" customFormat="1" x14ac:dyDescent="0.25"/>
    <row r="159816" s="12" customFormat="1" x14ac:dyDescent="0.25"/>
    <row r="159817" s="12" customFormat="1" x14ac:dyDescent="0.25"/>
    <row r="159818" s="12" customFormat="1" x14ac:dyDescent="0.25"/>
    <row r="159819" s="12" customFormat="1" x14ac:dyDescent="0.25"/>
    <row r="159820" s="12" customFormat="1" x14ac:dyDescent="0.25"/>
    <row r="159821" s="12" customFormat="1" x14ac:dyDescent="0.25"/>
    <row r="159822" s="12" customFormat="1" x14ac:dyDescent="0.25"/>
    <row r="159823" s="12" customFormat="1" x14ac:dyDescent="0.25"/>
    <row r="159824" s="12" customFormat="1" x14ac:dyDescent="0.25"/>
    <row r="159825" s="12" customFormat="1" x14ac:dyDescent="0.25"/>
    <row r="159826" s="12" customFormat="1" x14ac:dyDescent="0.25"/>
    <row r="159827" s="12" customFormat="1" x14ac:dyDescent="0.25"/>
    <row r="159828" s="12" customFormat="1" x14ac:dyDescent="0.25"/>
    <row r="159829" s="12" customFormat="1" x14ac:dyDescent="0.25"/>
    <row r="159830" s="12" customFormat="1" x14ac:dyDescent="0.25"/>
    <row r="159831" s="12" customFormat="1" x14ac:dyDescent="0.25"/>
    <row r="159832" s="12" customFormat="1" x14ac:dyDescent="0.25"/>
    <row r="159833" s="12" customFormat="1" x14ac:dyDescent="0.25"/>
    <row r="159834" s="12" customFormat="1" x14ac:dyDescent="0.25"/>
    <row r="159835" s="12" customFormat="1" x14ac:dyDescent="0.25"/>
    <row r="159836" s="12" customFormat="1" x14ac:dyDescent="0.25"/>
    <row r="159837" s="12" customFormat="1" x14ac:dyDescent="0.25"/>
    <row r="159838" s="12" customFormat="1" x14ac:dyDescent="0.25"/>
    <row r="159839" s="12" customFormat="1" x14ac:dyDescent="0.25"/>
    <row r="159840" s="12" customFormat="1" x14ac:dyDescent="0.25"/>
    <row r="159841" s="12" customFormat="1" x14ac:dyDescent="0.25"/>
    <row r="159842" s="12" customFormat="1" x14ac:dyDescent="0.25"/>
    <row r="159843" s="12" customFormat="1" x14ac:dyDescent="0.25"/>
    <row r="159844" s="12" customFormat="1" x14ac:dyDescent="0.25"/>
    <row r="159845" s="12" customFormat="1" x14ac:dyDescent="0.25"/>
    <row r="159846" s="12" customFormat="1" x14ac:dyDescent="0.25"/>
    <row r="159847" s="12" customFormat="1" x14ac:dyDescent="0.25"/>
    <row r="159848" s="12" customFormat="1" x14ac:dyDescent="0.25"/>
    <row r="159849" s="12" customFormat="1" x14ac:dyDescent="0.25"/>
    <row r="159850" s="12" customFormat="1" x14ac:dyDescent="0.25"/>
    <row r="159851" s="12" customFormat="1" x14ac:dyDescent="0.25"/>
    <row r="159852" s="12" customFormat="1" x14ac:dyDescent="0.25"/>
    <row r="159853" s="12" customFormat="1" x14ac:dyDescent="0.25"/>
    <row r="159854" s="12" customFormat="1" x14ac:dyDescent="0.25"/>
    <row r="159855" s="12" customFormat="1" x14ac:dyDescent="0.25"/>
    <row r="159856" s="12" customFormat="1" x14ac:dyDescent="0.25"/>
    <row r="159857" s="12" customFormat="1" x14ac:dyDescent="0.25"/>
    <row r="159858" s="12" customFormat="1" x14ac:dyDescent="0.25"/>
    <row r="159859" s="12" customFormat="1" x14ac:dyDescent="0.25"/>
    <row r="159860" s="12" customFormat="1" x14ac:dyDescent="0.25"/>
    <row r="159861" s="12" customFormat="1" x14ac:dyDescent="0.25"/>
    <row r="159862" s="12" customFormat="1" x14ac:dyDescent="0.25"/>
    <row r="159863" s="12" customFormat="1" x14ac:dyDescent="0.25"/>
    <row r="159864" s="12" customFormat="1" x14ac:dyDescent="0.25"/>
    <row r="159865" s="12" customFormat="1" x14ac:dyDescent="0.25"/>
    <row r="159866" s="12" customFormat="1" x14ac:dyDescent="0.25"/>
    <row r="159867" s="12" customFormat="1" x14ac:dyDescent="0.25"/>
    <row r="159868" s="12" customFormat="1" x14ac:dyDescent="0.25"/>
    <row r="159869" s="12" customFormat="1" x14ac:dyDescent="0.25"/>
    <row r="159870" s="12" customFormat="1" x14ac:dyDescent="0.25"/>
    <row r="159871" s="12" customFormat="1" x14ac:dyDescent="0.25"/>
    <row r="159872" s="12" customFormat="1" x14ac:dyDescent="0.25"/>
    <row r="159873" s="12" customFormat="1" x14ac:dyDescent="0.25"/>
    <row r="159874" s="12" customFormat="1" x14ac:dyDescent="0.25"/>
    <row r="159875" s="12" customFormat="1" x14ac:dyDescent="0.25"/>
    <row r="159876" s="12" customFormat="1" x14ac:dyDescent="0.25"/>
    <row r="159877" s="12" customFormat="1" x14ac:dyDescent="0.25"/>
    <row r="159878" s="12" customFormat="1" x14ac:dyDescent="0.25"/>
    <row r="159879" s="12" customFormat="1" x14ac:dyDescent="0.25"/>
    <row r="159880" s="12" customFormat="1" x14ac:dyDescent="0.25"/>
    <row r="159881" s="12" customFormat="1" x14ac:dyDescent="0.25"/>
    <row r="159882" s="12" customFormat="1" x14ac:dyDescent="0.25"/>
    <row r="159883" s="12" customFormat="1" x14ac:dyDescent="0.25"/>
    <row r="159884" s="12" customFormat="1" x14ac:dyDescent="0.25"/>
    <row r="159885" s="12" customFormat="1" x14ac:dyDescent="0.25"/>
    <row r="159886" s="12" customFormat="1" x14ac:dyDescent="0.25"/>
    <row r="159887" s="12" customFormat="1" x14ac:dyDescent="0.25"/>
    <row r="159888" s="12" customFormat="1" x14ac:dyDescent="0.25"/>
    <row r="159889" s="12" customFormat="1" x14ac:dyDescent="0.25"/>
    <row r="159890" s="12" customFormat="1" x14ac:dyDescent="0.25"/>
    <row r="159891" s="12" customFormat="1" x14ac:dyDescent="0.25"/>
    <row r="159892" s="12" customFormat="1" x14ac:dyDescent="0.25"/>
    <row r="159893" s="12" customFormat="1" x14ac:dyDescent="0.25"/>
    <row r="159894" s="12" customFormat="1" x14ac:dyDescent="0.25"/>
    <row r="159895" s="12" customFormat="1" x14ac:dyDescent="0.25"/>
    <row r="159896" s="12" customFormat="1" x14ac:dyDescent="0.25"/>
    <row r="159897" s="12" customFormat="1" x14ac:dyDescent="0.25"/>
    <row r="159898" s="12" customFormat="1" x14ac:dyDescent="0.25"/>
    <row r="159899" s="12" customFormat="1" x14ac:dyDescent="0.25"/>
    <row r="159900" s="12" customFormat="1" x14ac:dyDescent="0.25"/>
    <row r="159901" s="12" customFormat="1" x14ac:dyDescent="0.25"/>
    <row r="159902" s="12" customFormat="1" x14ac:dyDescent="0.25"/>
    <row r="159903" s="12" customFormat="1" x14ac:dyDescent="0.25"/>
    <row r="159904" s="12" customFormat="1" x14ac:dyDescent="0.25"/>
    <row r="159905" s="12" customFormat="1" x14ac:dyDescent="0.25"/>
    <row r="159906" s="12" customFormat="1" x14ac:dyDescent="0.25"/>
    <row r="159907" s="12" customFormat="1" x14ac:dyDescent="0.25"/>
    <row r="159908" s="12" customFormat="1" x14ac:dyDescent="0.25"/>
    <row r="159909" s="12" customFormat="1" x14ac:dyDescent="0.25"/>
    <row r="159910" s="12" customFormat="1" x14ac:dyDescent="0.25"/>
    <row r="159911" s="12" customFormat="1" x14ac:dyDescent="0.25"/>
    <row r="159912" s="12" customFormat="1" x14ac:dyDescent="0.25"/>
    <row r="159913" s="12" customFormat="1" x14ac:dyDescent="0.25"/>
    <row r="159914" s="12" customFormat="1" x14ac:dyDescent="0.25"/>
    <row r="159915" s="12" customFormat="1" x14ac:dyDescent="0.25"/>
    <row r="159916" s="12" customFormat="1" x14ac:dyDescent="0.25"/>
    <row r="159917" s="12" customFormat="1" x14ac:dyDescent="0.25"/>
    <row r="159918" s="12" customFormat="1" x14ac:dyDescent="0.25"/>
    <row r="159919" s="12" customFormat="1" x14ac:dyDescent="0.25"/>
    <row r="159920" s="12" customFormat="1" x14ac:dyDescent="0.25"/>
    <row r="159921" s="12" customFormat="1" x14ac:dyDescent="0.25"/>
    <row r="159922" s="12" customFormat="1" x14ac:dyDescent="0.25"/>
    <row r="159923" s="12" customFormat="1" x14ac:dyDescent="0.25"/>
    <row r="159924" s="12" customFormat="1" x14ac:dyDescent="0.25"/>
    <row r="159925" s="12" customFormat="1" x14ac:dyDescent="0.25"/>
    <row r="159926" s="12" customFormat="1" x14ac:dyDescent="0.25"/>
    <row r="159927" s="12" customFormat="1" x14ac:dyDescent="0.25"/>
    <row r="159928" s="12" customFormat="1" x14ac:dyDescent="0.25"/>
    <row r="159929" s="12" customFormat="1" x14ac:dyDescent="0.25"/>
    <row r="159930" s="12" customFormat="1" x14ac:dyDescent="0.25"/>
    <row r="159931" s="12" customFormat="1" x14ac:dyDescent="0.25"/>
    <row r="159932" s="12" customFormat="1" x14ac:dyDescent="0.25"/>
    <row r="159933" s="12" customFormat="1" x14ac:dyDescent="0.25"/>
    <row r="159934" s="12" customFormat="1" x14ac:dyDescent="0.25"/>
    <row r="159935" s="12" customFormat="1" x14ac:dyDescent="0.25"/>
    <row r="159936" s="12" customFormat="1" x14ac:dyDescent="0.25"/>
    <row r="159937" s="12" customFormat="1" x14ac:dyDescent="0.25"/>
    <row r="159938" s="12" customFormat="1" x14ac:dyDescent="0.25"/>
    <row r="159939" s="12" customFormat="1" x14ac:dyDescent="0.25"/>
    <row r="159940" s="12" customFormat="1" x14ac:dyDescent="0.25"/>
    <row r="159941" s="12" customFormat="1" x14ac:dyDescent="0.25"/>
    <row r="159942" s="12" customFormat="1" x14ac:dyDescent="0.25"/>
    <row r="159943" s="12" customFormat="1" x14ac:dyDescent="0.25"/>
    <row r="159944" s="12" customFormat="1" x14ac:dyDescent="0.25"/>
    <row r="159945" s="12" customFormat="1" x14ac:dyDescent="0.25"/>
    <row r="159946" s="12" customFormat="1" x14ac:dyDescent="0.25"/>
    <row r="159947" s="12" customFormat="1" x14ac:dyDescent="0.25"/>
    <row r="159948" s="12" customFormat="1" x14ac:dyDescent="0.25"/>
    <row r="159949" s="12" customFormat="1" x14ac:dyDescent="0.25"/>
    <row r="159950" s="12" customFormat="1" x14ac:dyDescent="0.25"/>
    <row r="159951" s="12" customFormat="1" x14ac:dyDescent="0.25"/>
    <row r="159952" s="12" customFormat="1" x14ac:dyDescent="0.25"/>
    <row r="159953" s="12" customFormat="1" x14ac:dyDescent="0.25"/>
    <row r="159954" s="12" customFormat="1" x14ac:dyDescent="0.25"/>
    <row r="159955" s="12" customFormat="1" x14ac:dyDescent="0.25"/>
    <row r="159956" s="12" customFormat="1" x14ac:dyDescent="0.25"/>
    <row r="159957" s="12" customFormat="1" x14ac:dyDescent="0.25"/>
    <row r="159958" s="12" customFormat="1" x14ac:dyDescent="0.25"/>
    <row r="159959" s="12" customFormat="1" x14ac:dyDescent="0.25"/>
    <row r="159960" s="12" customFormat="1" x14ac:dyDescent="0.25"/>
    <row r="159961" s="12" customFormat="1" x14ac:dyDescent="0.25"/>
    <row r="159962" s="12" customFormat="1" x14ac:dyDescent="0.25"/>
    <row r="159963" s="12" customFormat="1" x14ac:dyDescent="0.25"/>
    <row r="159964" s="12" customFormat="1" x14ac:dyDescent="0.25"/>
    <row r="159965" s="12" customFormat="1" x14ac:dyDescent="0.25"/>
    <row r="159966" s="12" customFormat="1" x14ac:dyDescent="0.25"/>
    <row r="159967" s="12" customFormat="1" x14ac:dyDescent="0.25"/>
    <row r="159968" s="12" customFormat="1" x14ac:dyDescent="0.25"/>
    <row r="159969" s="12" customFormat="1" x14ac:dyDescent="0.25"/>
    <row r="159970" s="12" customFormat="1" x14ac:dyDescent="0.25"/>
    <row r="159971" s="12" customFormat="1" x14ac:dyDescent="0.25"/>
    <row r="159972" s="12" customFormat="1" x14ac:dyDescent="0.25"/>
    <row r="159973" s="12" customFormat="1" x14ac:dyDescent="0.25"/>
    <row r="159974" s="12" customFormat="1" x14ac:dyDescent="0.25"/>
    <row r="159975" s="12" customFormat="1" x14ac:dyDescent="0.25"/>
    <row r="159976" s="12" customFormat="1" x14ac:dyDescent="0.25"/>
    <row r="159977" s="12" customFormat="1" x14ac:dyDescent="0.25"/>
    <row r="159978" s="12" customFormat="1" x14ac:dyDescent="0.25"/>
    <row r="159979" s="12" customFormat="1" x14ac:dyDescent="0.25"/>
    <row r="159980" s="12" customFormat="1" x14ac:dyDescent="0.25"/>
    <row r="159981" s="12" customFormat="1" x14ac:dyDescent="0.25"/>
    <row r="159982" s="12" customFormat="1" x14ac:dyDescent="0.25"/>
    <row r="159983" s="12" customFormat="1" x14ac:dyDescent="0.25"/>
    <row r="159984" s="12" customFormat="1" x14ac:dyDescent="0.25"/>
    <row r="159985" s="12" customFormat="1" x14ac:dyDescent="0.25"/>
    <row r="159986" s="12" customFormat="1" x14ac:dyDescent="0.25"/>
    <row r="159987" s="12" customFormat="1" x14ac:dyDescent="0.25"/>
    <row r="159988" s="12" customFormat="1" x14ac:dyDescent="0.25"/>
    <row r="159989" s="12" customFormat="1" x14ac:dyDescent="0.25"/>
    <row r="159990" s="12" customFormat="1" x14ac:dyDescent="0.25"/>
    <row r="159991" s="12" customFormat="1" x14ac:dyDescent="0.25"/>
    <row r="159992" s="12" customFormat="1" x14ac:dyDescent="0.25"/>
    <row r="159993" s="12" customFormat="1" x14ac:dyDescent="0.25"/>
    <row r="159994" s="12" customFormat="1" x14ac:dyDescent="0.25"/>
    <row r="159995" s="12" customFormat="1" x14ac:dyDescent="0.25"/>
    <row r="159996" s="12" customFormat="1" x14ac:dyDescent="0.25"/>
    <row r="159997" s="12" customFormat="1" x14ac:dyDescent="0.25"/>
    <row r="159998" s="12" customFormat="1" x14ac:dyDescent="0.25"/>
    <row r="159999" s="12" customFormat="1" x14ac:dyDescent="0.25"/>
    <row r="160000" s="12" customFormat="1" x14ac:dyDescent="0.25"/>
    <row r="160001" s="12" customFormat="1" x14ac:dyDescent="0.25"/>
    <row r="160002" s="12" customFormat="1" x14ac:dyDescent="0.25"/>
    <row r="160003" s="12" customFormat="1" x14ac:dyDescent="0.25"/>
    <row r="160004" s="12" customFormat="1" x14ac:dyDescent="0.25"/>
    <row r="160005" s="12" customFormat="1" x14ac:dyDescent="0.25"/>
    <row r="160006" s="12" customFormat="1" x14ac:dyDescent="0.25"/>
    <row r="160007" s="12" customFormat="1" x14ac:dyDescent="0.25"/>
    <row r="160008" s="12" customFormat="1" x14ac:dyDescent="0.25"/>
    <row r="160009" s="12" customFormat="1" x14ac:dyDescent="0.25"/>
    <row r="160010" s="12" customFormat="1" x14ac:dyDescent="0.25"/>
    <row r="160011" s="12" customFormat="1" x14ac:dyDescent="0.25"/>
    <row r="160012" s="12" customFormat="1" x14ac:dyDescent="0.25"/>
    <row r="160013" s="12" customFormat="1" x14ac:dyDescent="0.25"/>
    <row r="160014" s="12" customFormat="1" x14ac:dyDescent="0.25"/>
    <row r="160015" s="12" customFormat="1" x14ac:dyDescent="0.25"/>
    <row r="160016" s="12" customFormat="1" x14ac:dyDescent="0.25"/>
    <row r="160017" s="12" customFormat="1" x14ac:dyDescent="0.25"/>
    <row r="160018" s="12" customFormat="1" x14ac:dyDescent="0.25"/>
    <row r="160019" s="12" customFormat="1" x14ac:dyDescent="0.25"/>
    <row r="160020" s="12" customFormat="1" x14ac:dyDescent="0.25"/>
    <row r="160021" s="12" customFormat="1" x14ac:dyDescent="0.25"/>
    <row r="160022" s="12" customFormat="1" x14ac:dyDescent="0.25"/>
    <row r="160023" s="12" customFormat="1" x14ac:dyDescent="0.25"/>
    <row r="160024" s="12" customFormat="1" x14ac:dyDescent="0.25"/>
    <row r="160025" s="12" customFormat="1" x14ac:dyDescent="0.25"/>
    <row r="160026" s="12" customFormat="1" x14ac:dyDescent="0.25"/>
    <row r="160027" s="12" customFormat="1" x14ac:dyDescent="0.25"/>
    <row r="160028" s="12" customFormat="1" x14ac:dyDescent="0.25"/>
    <row r="160029" s="12" customFormat="1" x14ac:dyDescent="0.25"/>
    <row r="160030" s="12" customFormat="1" x14ac:dyDescent="0.25"/>
    <row r="160031" s="12" customFormat="1" x14ac:dyDescent="0.25"/>
    <row r="160032" s="12" customFormat="1" x14ac:dyDescent="0.25"/>
    <row r="160033" s="12" customFormat="1" x14ac:dyDescent="0.25"/>
    <row r="160034" s="12" customFormat="1" x14ac:dyDescent="0.25"/>
    <row r="160035" s="12" customFormat="1" x14ac:dyDescent="0.25"/>
    <row r="160036" s="12" customFormat="1" x14ac:dyDescent="0.25"/>
    <row r="160037" s="12" customFormat="1" x14ac:dyDescent="0.25"/>
    <row r="160038" s="12" customFormat="1" x14ac:dyDescent="0.25"/>
    <row r="160039" s="12" customFormat="1" x14ac:dyDescent="0.25"/>
    <row r="160040" s="12" customFormat="1" x14ac:dyDescent="0.25"/>
    <row r="160041" s="12" customFormat="1" x14ac:dyDescent="0.25"/>
    <row r="160042" s="12" customFormat="1" x14ac:dyDescent="0.25"/>
    <row r="160043" s="12" customFormat="1" x14ac:dyDescent="0.25"/>
    <row r="160044" s="12" customFormat="1" x14ac:dyDescent="0.25"/>
    <row r="160045" s="12" customFormat="1" x14ac:dyDescent="0.25"/>
    <row r="160046" s="12" customFormat="1" x14ac:dyDescent="0.25"/>
    <row r="160047" s="12" customFormat="1" x14ac:dyDescent="0.25"/>
    <row r="160048" s="12" customFormat="1" x14ac:dyDescent="0.25"/>
    <row r="160049" s="12" customFormat="1" x14ac:dyDescent="0.25"/>
    <row r="160050" s="12" customFormat="1" x14ac:dyDescent="0.25"/>
    <row r="160051" s="12" customFormat="1" x14ac:dyDescent="0.25"/>
    <row r="160052" s="12" customFormat="1" x14ac:dyDescent="0.25"/>
    <row r="160053" s="12" customFormat="1" x14ac:dyDescent="0.25"/>
    <row r="160054" s="12" customFormat="1" x14ac:dyDescent="0.25"/>
    <row r="160055" s="12" customFormat="1" x14ac:dyDescent="0.25"/>
    <row r="160056" s="12" customFormat="1" x14ac:dyDescent="0.25"/>
    <row r="160057" s="12" customFormat="1" x14ac:dyDescent="0.25"/>
    <row r="160058" s="12" customFormat="1" x14ac:dyDescent="0.25"/>
    <row r="160059" s="12" customFormat="1" x14ac:dyDescent="0.25"/>
    <row r="160060" s="12" customFormat="1" x14ac:dyDescent="0.25"/>
    <row r="160061" s="12" customFormat="1" x14ac:dyDescent="0.25"/>
    <row r="160062" s="12" customFormat="1" x14ac:dyDescent="0.25"/>
    <row r="160063" s="12" customFormat="1" x14ac:dyDescent="0.25"/>
    <row r="160064" s="12" customFormat="1" x14ac:dyDescent="0.25"/>
    <row r="160065" s="12" customFormat="1" x14ac:dyDescent="0.25"/>
    <row r="160066" s="12" customFormat="1" x14ac:dyDescent="0.25"/>
    <row r="160067" s="12" customFormat="1" x14ac:dyDescent="0.25"/>
    <row r="160068" s="12" customFormat="1" x14ac:dyDescent="0.25"/>
    <row r="160069" s="12" customFormat="1" x14ac:dyDescent="0.25"/>
    <row r="160070" s="12" customFormat="1" x14ac:dyDescent="0.25"/>
    <row r="160071" s="12" customFormat="1" x14ac:dyDescent="0.25"/>
    <row r="160072" s="12" customFormat="1" x14ac:dyDescent="0.25"/>
    <row r="160073" s="12" customFormat="1" x14ac:dyDescent="0.25"/>
    <row r="160074" s="12" customFormat="1" x14ac:dyDescent="0.25"/>
    <row r="160075" s="12" customFormat="1" x14ac:dyDescent="0.25"/>
    <row r="160076" s="12" customFormat="1" x14ac:dyDescent="0.25"/>
    <row r="160077" s="12" customFormat="1" x14ac:dyDescent="0.25"/>
    <row r="160078" s="12" customFormat="1" x14ac:dyDescent="0.25"/>
    <row r="160079" s="12" customFormat="1" x14ac:dyDescent="0.25"/>
    <row r="160080" s="12" customFormat="1" x14ac:dyDescent="0.25"/>
    <row r="160081" s="12" customFormat="1" x14ac:dyDescent="0.25"/>
    <row r="160082" s="12" customFormat="1" x14ac:dyDescent="0.25"/>
    <row r="160083" s="12" customFormat="1" x14ac:dyDescent="0.25"/>
    <row r="160084" s="12" customFormat="1" x14ac:dyDescent="0.25"/>
    <row r="160085" s="12" customFormat="1" x14ac:dyDescent="0.25"/>
    <row r="160086" s="12" customFormat="1" x14ac:dyDescent="0.25"/>
    <row r="160087" s="12" customFormat="1" x14ac:dyDescent="0.25"/>
    <row r="160088" s="12" customFormat="1" x14ac:dyDescent="0.25"/>
    <row r="160089" s="12" customFormat="1" x14ac:dyDescent="0.25"/>
    <row r="160090" s="12" customFormat="1" x14ac:dyDescent="0.25"/>
    <row r="160091" s="12" customFormat="1" x14ac:dyDescent="0.25"/>
    <row r="160092" s="12" customFormat="1" x14ac:dyDescent="0.25"/>
    <row r="160093" s="12" customFormat="1" x14ac:dyDescent="0.25"/>
    <row r="160094" s="12" customFormat="1" x14ac:dyDescent="0.25"/>
    <row r="160095" s="12" customFormat="1" x14ac:dyDescent="0.25"/>
    <row r="160096" s="12" customFormat="1" x14ac:dyDescent="0.25"/>
    <row r="160097" s="12" customFormat="1" x14ac:dyDescent="0.25"/>
    <row r="160098" s="12" customFormat="1" x14ac:dyDescent="0.25"/>
    <row r="160099" s="12" customFormat="1" x14ac:dyDescent="0.25"/>
    <row r="160100" s="12" customFormat="1" x14ac:dyDescent="0.25"/>
    <row r="160101" s="12" customFormat="1" x14ac:dyDescent="0.25"/>
    <row r="160102" s="12" customFormat="1" x14ac:dyDescent="0.25"/>
    <row r="160103" s="12" customFormat="1" x14ac:dyDescent="0.25"/>
    <row r="160104" s="12" customFormat="1" x14ac:dyDescent="0.25"/>
    <row r="160105" s="12" customFormat="1" x14ac:dyDescent="0.25"/>
    <row r="160106" s="12" customFormat="1" x14ac:dyDescent="0.25"/>
    <row r="160107" s="12" customFormat="1" x14ac:dyDescent="0.25"/>
    <row r="160108" s="12" customFormat="1" x14ac:dyDescent="0.25"/>
    <row r="160109" s="12" customFormat="1" x14ac:dyDescent="0.25"/>
    <row r="160110" s="12" customFormat="1" x14ac:dyDescent="0.25"/>
    <row r="160111" s="12" customFormat="1" x14ac:dyDescent="0.25"/>
    <row r="160112" s="12" customFormat="1" x14ac:dyDescent="0.25"/>
    <row r="160113" s="12" customFormat="1" x14ac:dyDescent="0.25"/>
    <row r="160114" s="12" customFormat="1" x14ac:dyDescent="0.25"/>
    <row r="160115" s="12" customFormat="1" x14ac:dyDescent="0.25"/>
    <row r="160116" s="12" customFormat="1" x14ac:dyDescent="0.25"/>
    <row r="160117" s="12" customFormat="1" x14ac:dyDescent="0.25"/>
    <row r="160118" s="12" customFormat="1" x14ac:dyDescent="0.25"/>
    <row r="160119" s="12" customFormat="1" x14ac:dyDescent="0.25"/>
    <row r="160120" s="12" customFormat="1" x14ac:dyDescent="0.25"/>
    <row r="160121" s="12" customFormat="1" x14ac:dyDescent="0.25"/>
    <row r="160122" s="12" customFormat="1" x14ac:dyDescent="0.25"/>
    <row r="160123" s="12" customFormat="1" x14ac:dyDescent="0.25"/>
    <row r="160124" s="12" customFormat="1" x14ac:dyDescent="0.25"/>
    <row r="160125" s="12" customFormat="1" x14ac:dyDescent="0.25"/>
    <row r="160126" s="12" customFormat="1" x14ac:dyDescent="0.25"/>
    <row r="160127" s="12" customFormat="1" x14ac:dyDescent="0.25"/>
    <row r="160128" s="12" customFormat="1" x14ac:dyDescent="0.25"/>
    <row r="160129" s="12" customFormat="1" x14ac:dyDescent="0.25"/>
    <row r="160130" s="12" customFormat="1" x14ac:dyDescent="0.25"/>
    <row r="160131" s="12" customFormat="1" x14ac:dyDescent="0.25"/>
    <row r="160132" s="12" customFormat="1" x14ac:dyDescent="0.25"/>
    <row r="160133" s="12" customFormat="1" x14ac:dyDescent="0.25"/>
    <row r="160134" s="12" customFormat="1" x14ac:dyDescent="0.25"/>
    <row r="160135" s="12" customFormat="1" x14ac:dyDescent="0.25"/>
    <row r="160136" s="12" customFormat="1" x14ac:dyDescent="0.25"/>
    <row r="160137" s="12" customFormat="1" x14ac:dyDescent="0.25"/>
    <row r="160138" s="12" customFormat="1" x14ac:dyDescent="0.25"/>
    <row r="160139" s="12" customFormat="1" x14ac:dyDescent="0.25"/>
    <row r="160140" s="12" customFormat="1" x14ac:dyDescent="0.25"/>
    <row r="160141" s="12" customFormat="1" x14ac:dyDescent="0.25"/>
    <row r="160142" s="12" customFormat="1" x14ac:dyDescent="0.25"/>
    <row r="160143" s="12" customFormat="1" x14ac:dyDescent="0.25"/>
    <row r="160144" s="12" customFormat="1" x14ac:dyDescent="0.25"/>
    <row r="160145" s="12" customFormat="1" x14ac:dyDescent="0.25"/>
    <row r="160146" s="12" customFormat="1" x14ac:dyDescent="0.25"/>
    <row r="160147" s="12" customFormat="1" x14ac:dyDescent="0.25"/>
    <row r="160148" s="12" customFormat="1" x14ac:dyDescent="0.25"/>
    <row r="160149" s="12" customFormat="1" x14ac:dyDescent="0.25"/>
    <row r="160150" s="12" customFormat="1" x14ac:dyDescent="0.25"/>
    <row r="160151" s="12" customFormat="1" x14ac:dyDescent="0.25"/>
    <row r="160152" s="12" customFormat="1" x14ac:dyDescent="0.25"/>
    <row r="160153" s="12" customFormat="1" x14ac:dyDescent="0.25"/>
    <row r="160154" s="12" customFormat="1" x14ac:dyDescent="0.25"/>
    <row r="160155" s="12" customFormat="1" x14ac:dyDescent="0.25"/>
    <row r="160156" s="12" customFormat="1" x14ac:dyDescent="0.25"/>
    <row r="160157" s="12" customFormat="1" x14ac:dyDescent="0.25"/>
    <row r="160158" s="12" customFormat="1" x14ac:dyDescent="0.25"/>
    <row r="160159" s="12" customFormat="1" x14ac:dyDescent="0.25"/>
    <row r="160160" s="12" customFormat="1" x14ac:dyDescent="0.25"/>
    <row r="160161" s="12" customFormat="1" x14ac:dyDescent="0.25"/>
    <row r="160162" s="12" customFormat="1" x14ac:dyDescent="0.25"/>
    <row r="160163" s="12" customFormat="1" x14ac:dyDescent="0.25"/>
    <row r="160164" s="12" customFormat="1" x14ac:dyDescent="0.25"/>
    <row r="160165" s="12" customFormat="1" x14ac:dyDescent="0.25"/>
    <row r="160166" s="12" customFormat="1" x14ac:dyDescent="0.25"/>
    <row r="160167" s="12" customFormat="1" x14ac:dyDescent="0.25"/>
    <row r="160168" s="12" customFormat="1" x14ac:dyDescent="0.25"/>
    <row r="160169" s="12" customFormat="1" x14ac:dyDescent="0.25"/>
    <row r="160170" s="12" customFormat="1" x14ac:dyDescent="0.25"/>
    <row r="160171" s="12" customFormat="1" x14ac:dyDescent="0.25"/>
    <row r="160172" s="12" customFormat="1" x14ac:dyDescent="0.25"/>
    <row r="160173" s="12" customFormat="1" x14ac:dyDescent="0.25"/>
    <row r="160174" s="12" customFormat="1" x14ac:dyDescent="0.25"/>
    <row r="160175" s="12" customFormat="1" x14ac:dyDescent="0.25"/>
    <row r="160176" s="12" customFormat="1" x14ac:dyDescent="0.25"/>
    <row r="160177" s="12" customFormat="1" x14ac:dyDescent="0.25"/>
    <row r="160178" s="12" customFormat="1" x14ac:dyDescent="0.25"/>
    <row r="160179" s="12" customFormat="1" x14ac:dyDescent="0.25"/>
    <row r="160180" s="12" customFormat="1" x14ac:dyDescent="0.25"/>
    <row r="160181" s="12" customFormat="1" x14ac:dyDescent="0.25"/>
    <row r="160182" s="12" customFormat="1" x14ac:dyDescent="0.25"/>
    <row r="160183" s="12" customFormat="1" x14ac:dyDescent="0.25"/>
    <row r="160184" s="12" customFormat="1" x14ac:dyDescent="0.25"/>
    <row r="160185" s="12" customFormat="1" x14ac:dyDescent="0.25"/>
    <row r="160186" s="12" customFormat="1" x14ac:dyDescent="0.25"/>
    <row r="160187" s="12" customFormat="1" x14ac:dyDescent="0.25"/>
    <row r="160188" s="12" customFormat="1" x14ac:dyDescent="0.25"/>
    <row r="160189" s="12" customFormat="1" x14ac:dyDescent="0.25"/>
    <row r="160190" s="12" customFormat="1" x14ac:dyDescent="0.25"/>
    <row r="160191" s="12" customFormat="1" x14ac:dyDescent="0.25"/>
    <row r="160192" s="12" customFormat="1" x14ac:dyDescent="0.25"/>
    <row r="160193" s="12" customFormat="1" x14ac:dyDescent="0.25"/>
    <row r="160194" s="12" customFormat="1" x14ac:dyDescent="0.25"/>
    <row r="160195" s="12" customFormat="1" x14ac:dyDescent="0.25"/>
    <row r="160196" s="12" customFormat="1" x14ac:dyDescent="0.25"/>
    <row r="160197" s="12" customFormat="1" x14ac:dyDescent="0.25"/>
    <row r="160198" s="12" customFormat="1" x14ac:dyDescent="0.25"/>
    <row r="160199" s="12" customFormat="1" x14ac:dyDescent="0.25"/>
    <row r="160200" s="12" customFormat="1" x14ac:dyDescent="0.25"/>
    <row r="160201" s="12" customFormat="1" x14ac:dyDescent="0.25"/>
    <row r="160202" s="12" customFormat="1" x14ac:dyDescent="0.25"/>
    <row r="160203" s="12" customFormat="1" x14ac:dyDescent="0.25"/>
    <row r="160204" s="12" customFormat="1" x14ac:dyDescent="0.25"/>
    <row r="160205" s="12" customFormat="1" x14ac:dyDescent="0.25"/>
    <row r="160206" s="12" customFormat="1" x14ac:dyDescent="0.25"/>
    <row r="160207" s="12" customFormat="1" x14ac:dyDescent="0.25"/>
    <row r="160208" s="12" customFormat="1" x14ac:dyDescent="0.25"/>
    <row r="160209" s="12" customFormat="1" x14ac:dyDescent="0.25"/>
    <row r="160210" s="12" customFormat="1" x14ac:dyDescent="0.25"/>
    <row r="160211" s="12" customFormat="1" x14ac:dyDescent="0.25"/>
    <row r="160212" s="12" customFormat="1" x14ac:dyDescent="0.25"/>
    <row r="160213" s="12" customFormat="1" x14ac:dyDescent="0.25"/>
    <row r="160214" s="12" customFormat="1" x14ac:dyDescent="0.25"/>
    <row r="160215" s="12" customFormat="1" x14ac:dyDescent="0.25"/>
    <row r="160216" s="12" customFormat="1" x14ac:dyDescent="0.25"/>
    <row r="160217" s="12" customFormat="1" x14ac:dyDescent="0.25"/>
    <row r="160218" s="12" customFormat="1" x14ac:dyDescent="0.25"/>
    <row r="160219" s="12" customFormat="1" x14ac:dyDescent="0.25"/>
    <row r="160220" s="12" customFormat="1" x14ac:dyDescent="0.25"/>
    <row r="160221" s="12" customFormat="1" x14ac:dyDescent="0.25"/>
    <row r="160222" s="12" customFormat="1" x14ac:dyDescent="0.25"/>
    <row r="160223" s="12" customFormat="1" x14ac:dyDescent="0.25"/>
    <row r="160224" s="12" customFormat="1" x14ac:dyDescent="0.25"/>
    <row r="160225" s="12" customFormat="1" x14ac:dyDescent="0.25"/>
    <row r="160226" s="12" customFormat="1" x14ac:dyDescent="0.25"/>
    <row r="160227" s="12" customFormat="1" x14ac:dyDescent="0.25"/>
    <row r="160228" s="12" customFormat="1" x14ac:dyDescent="0.25"/>
    <row r="160229" s="12" customFormat="1" x14ac:dyDescent="0.25"/>
    <row r="160230" s="12" customFormat="1" x14ac:dyDescent="0.25"/>
    <row r="160231" s="12" customFormat="1" x14ac:dyDescent="0.25"/>
    <row r="160232" s="12" customFormat="1" x14ac:dyDescent="0.25"/>
    <row r="160233" s="12" customFormat="1" x14ac:dyDescent="0.25"/>
    <row r="160234" s="12" customFormat="1" x14ac:dyDescent="0.25"/>
    <row r="160235" s="12" customFormat="1" x14ac:dyDescent="0.25"/>
    <row r="160236" s="12" customFormat="1" x14ac:dyDescent="0.25"/>
    <row r="160237" s="12" customFormat="1" x14ac:dyDescent="0.25"/>
    <row r="160238" s="12" customFormat="1" x14ac:dyDescent="0.25"/>
    <row r="160239" s="12" customFormat="1" x14ac:dyDescent="0.25"/>
    <row r="160240" s="12" customFormat="1" x14ac:dyDescent="0.25"/>
    <row r="160241" s="12" customFormat="1" x14ac:dyDescent="0.25"/>
    <row r="160242" s="12" customFormat="1" x14ac:dyDescent="0.25"/>
    <row r="160243" s="12" customFormat="1" x14ac:dyDescent="0.25"/>
    <row r="160244" s="12" customFormat="1" x14ac:dyDescent="0.25"/>
    <row r="160245" s="12" customFormat="1" x14ac:dyDescent="0.25"/>
    <row r="160246" s="12" customFormat="1" x14ac:dyDescent="0.25"/>
    <row r="160247" s="12" customFormat="1" x14ac:dyDescent="0.25"/>
    <row r="160248" s="12" customFormat="1" x14ac:dyDescent="0.25"/>
    <row r="160249" s="12" customFormat="1" x14ac:dyDescent="0.25"/>
    <row r="160250" s="12" customFormat="1" x14ac:dyDescent="0.25"/>
    <row r="160251" s="12" customFormat="1" x14ac:dyDescent="0.25"/>
    <row r="160252" s="12" customFormat="1" x14ac:dyDescent="0.25"/>
    <row r="160253" s="12" customFormat="1" x14ac:dyDescent="0.25"/>
    <row r="160254" s="12" customFormat="1" x14ac:dyDescent="0.25"/>
    <row r="160255" s="12" customFormat="1" x14ac:dyDescent="0.25"/>
    <row r="160256" s="12" customFormat="1" x14ac:dyDescent="0.25"/>
    <row r="160257" s="12" customFormat="1" x14ac:dyDescent="0.25"/>
    <row r="160258" s="12" customFormat="1" x14ac:dyDescent="0.25"/>
    <row r="160259" s="12" customFormat="1" x14ac:dyDescent="0.25"/>
    <row r="160260" s="12" customFormat="1" x14ac:dyDescent="0.25"/>
    <row r="160261" s="12" customFormat="1" x14ac:dyDescent="0.25"/>
    <row r="160262" s="12" customFormat="1" x14ac:dyDescent="0.25"/>
    <row r="160263" s="12" customFormat="1" x14ac:dyDescent="0.25"/>
    <row r="160264" s="12" customFormat="1" x14ac:dyDescent="0.25"/>
    <row r="160265" s="12" customFormat="1" x14ac:dyDescent="0.25"/>
    <row r="160266" s="12" customFormat="1" x14ac:dyDescent="0.25"/>
    <row r="160267" s="12" customFormat="1" x14ac:dyDescent="0.25"/>
    <row r="160268" s="12" customFormat="1" x14ac:dyDescent="0.25"/>
    <row r="160269" s="12" customFormat="1" x14ac:dyDescent="0.25"/>
    <row r="160270" s="12" customFormat="1" x14ac:dyDescent="0.25"/>
    <row r="160271" s="12" customFormat="1" x14ac:dyDescent="0.25"/>
    <row r="160272" s="12" customFormat="1" x14ac:dyDescent="0.25"/>
    <row r="160273" s="12" customFormat="1" x14ac:dyDescent="0.25"/>
    <row r="160274" s="12" customFormat="1" x14ac:dyDescent="0.25"/>
    <row r="160275" s="12" customFormat="1" x14ac:dyDescent="0.25"/>
    <row r="160276" s="12" customFormat="1" x14ac:dyDescent="0.25"/>
    <row r="160277" s="12" customFormat="1" x14ac:dyDescent="0.25"/>
    <row r="160278" s="12" customFormat="1" x14ac:dyDescent="0.25"/>
    <row r="160279" s="12" customFormat="1" x14ac:dyDescent="0.25"/>
    <row r="160280" s="12" customFormat="1" x14ac:dyDescent="0.25"/>
    <row r="160281" s="12" customFormat="1" x14ac:dyDescent="0.25"/>
    <row r="160282" s="12" customFormat="1" x14ac:dyDescent="0.25"/>
    <row r="160283" s="12" customFormat="1" x14ac:dyDescent="0.25"/>
    <row r="160284" s="12" customFormat="1" x14ac:dyDescent="0.25"/>
    <row r="160285" s="12" customFormat="1" x14ac:dyDescent="0.25"/>
    <row r="160286" s="12" customFormat="1" x14ac:dyDescent="0.25"/>
    <row r="160287" s="12" customFormat="1" x14ac:dyDescent="0.25"/>
    <row r="160288" s="12" customFormat="1" x14ac:dyDescent="0.25"/>
    <row r="160289" s="12" customFormat="1" x14ac:dyDescent="0.25"/>
    <row r="160290" s="12" customFormat="1" x14ac:dyDescent="0.25"/>
    <row r="160291" s="12" customFormat="1" x14ac:dyDescent="0.25"/>
    <row r="160292" s="12" customFormat="1" x14ac:dyDescent="0.25"/>
    <row r="160293" s="12" customFormat="1" x14ac:dyDescent="0.25"/>
    <row r="160294" s="12" customFormat="1" x14ac:dyDescent="0.25"/>
    <row r="160295" s="12" customFormat="1" x14ac:dyDescent="0.25"/>
    <row r="160296" s="12" customFormat="1" x14ac:dyDescent="0.25"/>
    <row r="160297" s="12" customFormat="1" x14ac:dyDescent="0.25"/>
    <row r="160298" s="12" customFormat="1" x14ac:dyDescent="0.25"/>
    <row r="160299" s="12" customFormat="1" x14ac:dyDescent="0.25"/>
    <row r="160300" s="12" customFormat="1" x14ac:dyDescent="0.25"/>
    <row r="160301" s="12" customFormat="1" x14ac:dyDescent="0.25"/>
    <row r="160302" s="12" customFormat="1" x14ac:dyDescent="0.25"/>
    <row r="160303" s="12" customFormat="1" x14ac:dyDescent="0.25"/>
    <row r="160304" s="12" customFormat="1" x14ac:dyDescent="0.25"/>
    <row r="160305" s="12" customFormat="1" x14ac:dyDescent="0.25"/>
    <row r="160306" s="12" customFormat="1" x14ac:dyDescent="0.25"/>
    <row r="160307" s="12" customFormat="1" x14ac:dyDescent="0.25"/>
    <row r="160308" s="12" customFormat="1" x14ac:dyDescent="0.25"/>
    <row r="160309" s="12" customFormat="1" x14ac:dyDescent="0.25"/>
    <row r="160310" s="12" customFormat="1" x14ac:dyDescent="0.25"/>
    <row r="160311" s="12" customFormat="1" x14ac:dyDescent="0.25"/>
    <row r="160312" s="12" customFormat="1" x14ac:dyDescent="0.25"/>
    <row r="160313" s="12" customFormat="1" x14ac:dyDescent="0.25"/>
    <row r="160314" s="12" customFormat="1" x14ac:dyDescent="0.25"/>
    <row r="160315" s="12" customFormat="1" x14ac:dyDescent="0.25"/>
    <row r="160316" s="12" customFormat="1" x14ac:dyDescent="0.25"/>
    <row r="160317" s="12" customFormat="1" x14ac:dyDescent="0.25"/>
    <row r="160318" s="12" customFormat="1" x14ac:dyDescent="0.25"/>
    <row r="160319" s="12" customFormat="1" x14ac:dyDescent="0.25"/>
    <row r="160320" s="12" customFormat="1" x14ac:dyDescent="0.25"/>
    <row r="160321" s="12" customFormat="1" x14ac:dyDescent="0.25"/>
    <row r="160322" s="12" customFormat="1" x14ac:dyDescent="0.25"/>
    <row r="160323" s="12" customFormat="1" x14ac:dyDescent="0.25"/>
    <row r="160324" s="12" customFormat="1" x14ac:dyDescent="0.25"/>
    <row r="160325" s="12" customFormat="1" x14ac:dyDescent="0.25"/>
    <row r="160326" s="12" customFormat="1" x14ac:dyDescent="0.25"/>
    <row r="160327" s="12" customFormat="1" x14ac:dyDescent="0.25"/>
    <row r="160328" s="12" customFormat="1" x14ac:dyDescent="0.25"/>
    <row r="160329" s="12" customFormat="1" x14ac:dyDescent="0.25"/>
    <row r="160330" s="12" customFormat="1" x14ac:dyDescent="0.25"/>
    <row r="160331" s="12" customFormat="1" x14ac:dyDescent="0.25"/>
    <row r="160332" s="12" customFormat="1" x14ac:dyDescent="0.25"/>
    <row r="160333" s="12" customFormat="1" x14ac:dyDescent="0.25"/>
    <row r="160334" s="12" customFormat="1" x14ac:dyDescent="0.25"/>
    <row r="160335" s="12" customFormat="1" x14ac:dyDescent="0.25"/>
    <row r="160336" s="12" customFormat="1" x14ac:dyDescent="0.25"/>
    <row r="160337" s="12" customFormat="1" x14ac:dyDescent="0.25"/>
    <row r="160338" s="12" customFormat="1" x14ac:dyDescent="0.25"/>
    <row r="160339" s="12" customFormat="1" x14ac:dyDescent="0.25"/>
    <row r="160340" s="12" customFormat="1" x14ac:dyDescent="0.25"/>
    <row r="160341" s="12" customFormat="1" x14ac:dyDescent="0.25"/>
    <row r="160342" s="12" customFormat="1" x14ac:dyDescent="0.25"/>
    <row r="160343" s="12" customFormat="1" x14ac:dyDescent="0.25"/>
    <row r="160344" s="12" customFormat="1" x14ac:dyDescent="0.25"/>
    <row r="160345" s="12" customFormat="1" x14ac:dyDescent="0.25"/>
    <row r="160346" s="12" customFormat="1" x14ac:dyDescent="0.25"/>
    <row r="160347" s="12" customFormat="1" x14ac:dyDescent="0.25"/>
    <row r="160348" s="12" customFormat="1" x14ac:dyDescent="0.25"/>
    <row r="160349" s="12" customFormat="1" x14ac:dyDescent="0.25"/>
    <row r="160350" s="12" customFormat="1" x14ac:dyDescent="0.25"/>
    <row r="160351" s="12" customFormat="1" x14ac:dyDescent="0.25"/>
    <row r="160352" s="12" customFormat="1" x14ac:dyDescent="0.25"/>
    <row r="160353" s="12" customFormat="1" x14ac:dyDescent="0.25"/>
    <row r="160354" s="12" customFormat="1" x14ac:dyDescent="0.25"/>
    <row r="160355" s="12" customFormat="1" x14ac:dyDescent="0.25"/>
    <row r="160356" s="12" customFormat="1" x14ac:dyDescent="0.25"/>
    <row r="160357" s="12" customFormat="1" x14ac:dyDescent="0.25"/>
    <row r="160358" s="12" customFormat="1" x14ac:dyDescent="0.25"/>
    <row r="160359" s="12" customFormat="1" x14ac:dyDescent="0.25"/>
    <row r="160360" s="12" customFormat="1" x14ac:dyDescent="0.25"/>
    <row r="160361" s="12" customFormat="1" x14ac:dyDescent="0.25"/>
    <row r="160362" s="12" customFormat="1" x14ac:dyDescent="0.25"/>
    <row r="160363" s="12" customFormat="1" x14ac:dyDescent="0.25"/>
    <row r="160364" s="12" customFormat="1" x14ac:dyDescent="0.25"/>
    <row r="160365" s="12" customFormat="1" x14ac:dyDescent="0.25"/>
    <row r="160366" s="12" customFormat="1" x14ac:dyDescent="0.25"/>
    <row r="160367" s="12" customFormat="1" x14ac:dyDescent="0.25"/>
    <row r="160368" s="12" customFormat="1" x14ac:dyDescent="0.25"/>
    <row r="160369" s="12" customFormat="1" x14ac:dyDescent="0.25"/>
    <row r="160370" s="12" customFormat="1" x14ac:dyDescent="0.25"/>
    <row r="160371" s="12" customFormat="1" x14ac:dyDescent="0.25"/>
    <row r="160372" s="12" customFormat="1" x14ac:dyDescent="0.25"/>
    <row r="160373" s="12" customFormat="1" x14ac:dyDescent="0.25"/>
    <row r="160374" s="12" customFormat="1" x14ac:dyDescent="0.25"/>
    <row r="160375" s="12" customFormat="1" x14ac:dyDescent="0.25"/>
    <row r="160376" s="12" customFormat="1" x14ac:dyDescent="0.25"/>
    <row r="160377" s="12" customFormat="1" x14ac:dyDescent="0.25"/>
    <row r="160378" s="12" customFormat="1" x14ac:dyDescent="0.25"/>
    <row r="160379" s="12" customFormat="1" x14ac:dyDescent="0.25"/>
    <row r="160380" s="12" customFormat="1" x14ac:dyDescent="0.25"/>
    <row r="160381" s="12" customFormat="1" x14ac:dyDescent="0.25"/>
    <row r="160382" s="12" customFormat="1" x14ac:dyDescent="0.25"/>
    <row r="160383" s="12" customFormat="1" x14ac:dyDescent="0.25"/>
    <row r="160384" s="12" customFormat="1" x14ac:dyDescent="0.25"/>
    <row r="160385" s="12" customFormat="1" x14ac:dyDescent="0.25"/>
    <row r="160386" s="12" customFormat="1" x14ac:dyDescent="0.25"/>
    <row r="160387" s="12" customFormat="1" x14ac:dyDescent="0.25"/>
    <row r="160388" s="12" customFormat="1" x14ac:dyDescent="0.25"/>
    <row r="160389" s="12" customFormat="1" x14ac:dyDescent="0.25"/>
    <row r="160390" s="12" customFormat="1" x14ac:dyDescent="0.25"/>
    <row r="160391" s="12" customFormat="1" x14ac:dyDescent="0.25"/>
    <row r="160392" s="12" customFormat="1" x14ac:dyDescent="0.25"/>
    <row r="160393" s="12" customFormat="1" x14ac:dyDescent="0.25"/>
    <row r="160394" s="12" customFormat="1" x14ac:dyDescent="0.25"/>
    <row r="160395" s="12" customFormat="1" x14ac:dyDescent="0.25"/>
    <row r="160396" s="12" customFormat="1" x14ac:dyDescent="0.25"/>
    <row r="160397" s="12" customFormat="1" x14ac:dyDescent="0.25"/>
    <row r="160398" s="12" customFormat="1" x14ac:dyDescent="0.25"/>
    <row r="160399" s="12" customFormat="1" x14ac:dyDescent="0.25"/>
    <row r="160400" s="12" customFormat="1" x14ac:dyDescent="0.25"/>
    <row r="160401" s="12" customFormat="1" x14ac:dyDescent="0.25"/>
    <row r="160402" s="12" customFormat="1" x14ac:dyDescent="0.25"/>
    <row r="160403" s="12" customFormat="1" x14ac:dyDescent="0.25"/>
    <row r="160404" s="12" customFormat="1" x14ac:dyDescent="0.25"/>
    <row r="160405" s="12" customFormat="1" x14ac:dyDescent="0.25"/>
    <row r="160406" s="12" customFormat="1" x14ac:dyDescent="0.25"/>
    <row r="160407" s="12" customFormat="1" x14ac:dyDescent="0.25"/>
    <row r="160408" s="12" customFormat="1" x14ac:dyDescent="0.25"/>
    <row r="160409" s="12" customFormat="1" x14ac:dyDescent="0.25"/>
    <row r="160410" s="12" customFormat="1" x14ac:dyDescent="0.25"/>
    <row r="160411" s="12" customFormat="1" x14ac:dyDescent="0.25"/>
    <row r="160412" s="12" customFormat="1" x14ac:dyDescent="0.25"/>
    <row r="160413" s="12" customFormat="1" x14ac:dyDescent="0.25"/>
    <row r="160414" s="12" customFormat="1" x14ac:dyDescent="0.25"/>
    <row r="160415" s="12" customFormat="1" x14ac:dyDescent="0.25"/>
    <row r="160416" s="12" customFormat="1" x14ac:dyDescent="0.25"/>
    <row r="160417" s="12" customFormat="1" x14ac:dyDescent="0.25"/>
    <row r="160418" s="12" customFormat="1" x14ac:dyDescent="0.25"/>
    <row r="160419" s="12" customFormat="1" x14ac:dyDescent="0.25"/>
    <row r="160420" s="12" customFormat="1" x14ac:dyDescent="0.25"/>
    <row r="160421" s="12" customFormat="1" x14ac:dyDescent="0.25"/>
    <row r="160422" s="12" customFormat="1" x14ac:dyDescent="0.25"/>
    <row r="160423" s="12" customFormat="1" x14ac:dyDescent="0.25"/>
    <row r="160424" s="12" customFormat="1" x14ac:dyDescent="0.25"/>
    <row r="160425" s="12" customFormat="1" x14ac:dyDescent="0.25"/>
    <row r="160426" s="12" customFormat="1" x14ac:dyDescent="0.25"/>
    <row r="160427" s="12" customFormat="1" x14ac:dyDescent="0.25"/>
    <row r="160428" s="12" customFormat="1" x14ac:dyDescent="0.25"/>
    <row r="160429" s="12" customFormat="1" x14ac:dyDescent="0.25"/>
    <row r="160430" s="12" customFormat="1" x14ac:dyDescent="0.25"/>
    <row r="160431" s="12" customFormat="1" x14ac:dyDescent="0.25"/>
    <row r="160432" s="12" customFormat="1" x14ac:dyDescent="0.25"/>
    <row r="160433" s="12" customFormat="1" x14ac:dyDescent="0.25"/>
    <row r="160434" s="12" customFormat="1" x14ac:dyDescent="0.25"/>
    <row r="160435" s="12" customFormat="1" x14ac:dyDescent="0.25"/>
    <row r="160436" s="12" customFormat="1" x14ac:dyDescent="0.25"/>
    <row r="160437" s="12" customFormat="1" x14ac:dyDescent="0.25"/>
    <row r="160438" s="12" customFormat="1" x14ac:dyDescent="0.25"/>
    <row r="160439" s="12" customFormat="1" x14ac:dyDescent="0.25"/>
    <row r="160440" s="12" customFormat="1" x14ac:dyDescent="0.25"/>
    <row r="160441" s="12" customFormat="1" x14ac:dyDescent="0.25"/>
    <row r="160442" s="12" customFormat="1" x14ac:dyDescent="0.25"/>
    <row r="160443" s="12" customFormat="1" x14ac:dyDescent="0.25"/>
    <row r="160444" s="12" customFormat="1" x14ac:dyDescent="0.25"/>
    <row r="160445" s="12" customFormat="1" x14ac:dyDescent="0.25"/>
    <row r="160446" s="12" customFormat="1" x14ac:dyDescent="0.25"/>
    <row r="160447" s="12" customFormat="1" x14ac:dyDescent="0.25"/>
    <row r="160448" s="12" customFormat="1" x14ac:dyDescent="0.25"/>
    <row r="160449" s="12" customFormat="1" x14ac:dyDescent="0.25"/>
    <row r="160450" s="12" customFormat="1" x14ac:dyDescent="0.25"/>
    <row r="160451" s="12" customFormat="1" x14ac:dyDescent="0.25"/>
    <row r="160452" s="12" customFormat="1" x14ac:dyDescent="0.25"/>
    <row r="160453" s="12" customFormat="1" x14ac:dyDescent="0.25"/>
    <row r="160454" s="12" customFormat="1" x14ac:dyDescent="0.25"/>
    <row r="160455" s="12" customFormat="1" x14ac:dyDescent="0.25"/>
    <row r="160456" s="12" customFormat="1" x14ac:dyDescent="0.25"/>
    <row r="160457" s="12" customFormat="1" x14ac:dyDescent="0.25"/>
    <row r="160458" s="12" customFormat="1" x14ac:dyDescent="0.25"/>
    <row r="160459" s="12" customFormat="1" x14ac:dyDescent="0.25"/>
    <row r="160460" s="12" customFormat="1" x14ac:dyDescent="0.25"/>
    <row r="160461" s="12" customFormat="1" x14ac:dyDescent="0.25"/>
    <row r="160462" s="12" customFormat="1" x14ac:dyDescent="0.25"/>
    <row r="160463" s="12" customFormat="1" x14ac:dyDescent="0.25"/>
    <row r="160464" s="12" customFormat="1" x14ac:dyDescent="0.25"/>
    <row r="160465" s="12" customFormat="1" x14ac:dyDescent="0.25"/>
    <row r="160466" s="12" customFormat="1" x14ac:dyDescent="0.25"/>
    <row r="160467" s="12" customFormat="1" x14ac:dyDescent="0.25"/>
    <row r="160468" s="12" customFormat="1" x14ac:dyDescent="0.25"/>
    <row r="160469" s="12" customFormat="1" x14ac:dyDescent="0.25"/>
    <row r="160470" s="12" customFormat="1" x14ac:dyDescent="0.25"/>
    <row r="160471" s="12" customFormat="1" x14ac:dyDescent="0.25"/>
    <row r="160472" s="12" customFormat="1" x14ac:dyDescent="0.25"/>
    <row r="160473" s="12" customFormat="1" x14ac:dyDescent="0.25"/>
    <row r="160474" s="12" customFormat="1" x14ac:dyDescent="0.25"/>
    <row r="160475" s="12" customFormat="1" x14ac:dyDescent="0.25"/>
    <row r="160476" s="12" customFormat="1" x14ac:dyDescent="0.25"/>
    <row r="160477" s="12" customFormat="1" x14ac:dyDescent="0.25"/>
    <row r="160478" s="12" customFormat="1" x14ac:dyDescent="0.25"/>
    <row r="160479" s="12" customFormat="1" x14ac:dyDescent="0.25"/>
    <row r="160480" s="12" customFormat="1" x14ac:dyDescent="0.25"/>
    <row r="160481" s="12" customFormat="1" x14ac:dyDescent="0.25"/>
    <row r="160482" s="12" customFormat="1" x14ac:dyDescent="0.25"/>
    <row r="160483" s="12" customFormat="1" x14ac:dyDescent="0.25"/>
    <row r="160484" s="12" customFormat="1" x14ac:dyDescent="0.25"/>
    <row r="160485" s="12" customFormat="1" x14ac:dyDescent="0.25"/>
    <row r="160486" s="12" customFormat="1" x14ac:dyDescent="0.25"/>
    <row r="160487" s="12" customFormat="1" x14ac:dyDescent="0.25"/>
    <row r="160488" s="12" customFormat="1" x14ac:dyDescent="0.25"/>
    <row r="160489" s="12" customFormat="1" x14ac:dyDescent="0.25"/>
    <row r="160490" s="12" customFormat="1" x14ac:dyDescent="0.25"/>
    <row r="160491" s="12" customFormat="1" x14ac:dyDescent="0.25"/>
    <row r="160492" s="12" customFormat="1" x14ac:dyDescent="0.25"/>
    <row r="160493" s="12" customFormat="1" x14ac:dyDescent="0.25"/>
    <row r="160494" s="12" customFormat="1" x14ac:dyDescent="0.25"/>
    <row r="160495" s="12" customFormat="1" x14ac:dyDescent="0.25"/>
    <row r="160496" s="12" customFormat="1" x14ac:dyDescent="0.25"/>
    <row r="160497" s="12" customFormat="1" x14ac:dyDescent="0.25"/>
    <row r="160498" s="12" customFormat="1" x14ac:dyDescent="0.25"/>
    <row r="160499" s="12" customFormat="1" x14ac:dyDescent="0.25"/>
    <row r="160500" s="12" customFormat="1" x14ac:dyDescent="0.25"/>
    <row r="160501" s="12" customFormat="1" x14ac:dyDescent="0.25"/>
    <row r="160502" s="12" customFormat="1" x14ac:dyDescent="0.25"/>
    <row r="160503" s="12" customFormat="1" x14ac:dyDescent="0.25"/>
    <row r="160504" s="12" customFormat="1" x14ac:dyDescent="0.25"/>
    <row r="160505" s="12" customFormat="1" x14ac:dyDescent="0.25"/>
    <row r="160506" s="12" customFormat="1" x14ac:dyDescent="0.25"/>
    <row r="160507" s="12" customFormat="1" x14ac:dyDescent="0.25"/>
    <row r="160508" s="12" customFormat="1" x14ac:dyDescent="0.25"/>
    <row r="160509" s="12" customFormat="1" x14ac:dyDescent="0.25"/>
    <row r="160510" s="12" customFormat="1" x14ac:dyDescent="0.25"/>
    <row r="160511" s="12" customFormat="1" x14ac:dyDescent="0.25"/>
    <row r="160512" s="12" customFormat="1" x14ac:dyDescent="0.25"/>
    <row r="160513" s="12" customFormat="1" x14ac:dyDescent="0.25"/>
    <row r="160514" s="12" customFormat="1" x14ac:dyDescent="0.25"/>
    <row r="160515" s="12" customFormat="1" x14ac:dyDescent="0.25"/>
    <row r="160516" s="12" customFormat="1" x14ac:dyDescent="0.25"/>
    <row r="160517" s="12" customFormat="1" x14ac:dyDescent="0.25"/>
    <row r="160518" s="12" customFormat="1" x14ac:dyDescent="0.25"/>
    <row r="160519" s="12" customFormat="1" x14ac:dyDescent="0.25"/>
    <row r="160520" s="12" customFormat="1" x14ac:dyDescent="0.25"/>
    <row r="160521" s="12" customFormat="1" x14ac:dyDescent="0.25"/>
    <row r="160522" s="12" customFormat="1" x14ac:dyDescent="0.25"/>
    <row r="160523" s="12" customFormat="1" x14ac:dyDescent="0.25"/>
    <row r="160524" s="12" customFormat="1" x14ac:dyDescent="0.25"/>
    <row r="160525" s="12" customFormat="1" x14ac:dyDescent="0.25"/>
    <row r="160526" s="12" customFormat="1" x14ac:dyDescent="0.25"/>
    <row r="160527" s="12" customFormat="1" x14ac:dyDescent="0.25"/>
    <row r="160528" s="12" customFormat="1" x14ac:dyDescent="0.25"/>
    <row r="160529" s="12" customFormat="1" x14ac:dyDescent="0.25"/>
    <row r="160530" s="12" customFormat="1" x14ac:dyDescent="0.25"/>
    <row r="160531" s="12" customFormat="1" x14ac:dyDescent="0.25"/>
    <row r="160532" s="12" customFormat="1" x14ac:dyDescent="0.25"/>
    <row r="160533" s="12" customFormat="1" x14ac:dyDescent="0.25"/>
    <row r="160534" s="12" customFormat="1" x14ac:dyDescent="0.25"/>
    <row r="160535" s="12" customFormat="1" x14ac:dyDescent="0.25"/>
    <row r="160536" s="12" customFormat="1" x14ac:dyDescent="0.25"/>
    <row r="160537" s="12" customFormat="1" x14ac:dyDescent="0.25"/>
    <row r="160538" s="12" customFormat="1" x14ac:dyDescent="0.25"/>
    <row r="160539" s="12" customFormat="1" x14ac:dyDescent="0.25"/>
    <row r="160540" s="12" customFormat="1" x14ac:dyDescent="0.25"/>
    <row r="160541" s="12" customFormat="1" x14ac:dyDescent="0.25"/>
    <row r="160542" s="12" customFormat="1" x14ac:dyDescent="0.25"/>
    <row r="160543" s="12" customFormat="1" x14ac:dyDescent="0.25"/>
    <row r="160544" s="12" customFormat="1" x14ac:dyDescent="0.25"/>
    <row r="160545" s="12" customFormat="1" x14ac:dyDescent="0.25"/>
    <row r="160546" s="12" customFormat="1" x14ac:dyDescent="0.25"/>
    <row r="160547" s="12" customFormat="1" x14ac:dyDescent="0.25"/>
    <row r="160548" s="12" customFormat="1" x14ac:dyDescent="0.25"/>
    <row r="160549" s="12" customFormat="1" x14ac:dyDescent="0.25"/>
    <row r="160550" s="12" customFormat="1" x14ac:dyDescent="0.25"/>
    <row r="160551" s="12" customFormat="1" x14ac:dyDescent="0.25"/>
    <row r="160552" s="12" customFormat="1" x14ac:dyDescent="0.25"/>
    <row r="160553" s="12" customFormat="1" x14ac:dyDescent="0.25"/>
    <row r="160554" s="12" customFormat="1" x14ac:dyDescent="0.25"/>
    <row r="160555" s="12" customFormat="1" x14ac:dyDescent="0.25"/>
    <row r="160556" s="12" customFormat="1" x14ac:dyDescent="0.25"/>
    <row r="160557" s="12" customFormat="1" x14ac:dyDescent="0.25"/>
    <row r="160558" s="12" customFormat="1" x14ac:dyDescent="0.25"/>
    <row r="160559" s="12" customFormat="1" x14ac:dyDescent="0.25"/>
    <row r="160560" s="12" customFormat="1" x14ac:dyDescent="0.25"/>
    <row r="160561" s="12" customFormat="1" x14ac:dyDescent="0.25"/>
    <row r="160562" s="12" customFormat="1" x14ac:dyDescent="0.25"/>
    <row r="160563" s="12" customFormat="1" x14ac:dyDescent="0.25"/>
    <row r="160564" s="12" customFormat="1" x14ac:dyDescent="0.25"/>
    <row r="160565" s="12" customFormat="1" x14ac:dyDescent="0.25"/>
    <row r="160566" s="12" customFormat="1" x14ac:dyDescent="0.25"/>
    <row r="160567" s="12" customFormat="1" x14ac:dyDescent="0.25"/>
    <row r="160568" s="12" customFormat="1" x14ac:dyDescent="0.25"/>
    <row r="160569" s="12" customFormat="1" x14ac:dyDescent="0.25"/>
    <row r="160570" s="12" customFormat="1" x14ac:dyDescent="0.25"/>
    <row r="160571" s="12" customFormat="1" x14ac:dyDescent="0.25"/>
    <row r="160572" s="12" customFormat="1" x14ac:dyDescent="0.25"/>
    <row r="160573" s="12" customFormat="1" x14ac:dyDescent="0.25"/>
    <row r="160574" s="12" customFormat="1" x14ac:dyDescent="0.25"/>
    <row r="160575" s="12" customFormat="1" x14ac:dyDescent="0.25"/>
    <row r="160576" s="12" customFormat="1" x14ac:dyDescent="0.25"/>
    <row r="160577" s="12" customFormat="1" x14ac:dyDescent="0.25"/>
    <row r="160578" s="12" customFormat="1" x14ac:dyDescent="0.25"/>
    <row r="160579" s="12" customFormat="1" x14ac:dyDescent="0.25"/>
    <row r="160580" s="12" customFormat="1" x14ac:dyDescent="0.25"/>
    <row r="160581" s="12" customFormat="1" x14ac:dyDescent="0.25"/>
    <row r="160582" s="12" customFormat="1" x14ac:dyDescent="0.25"/>
    <row r="160583" s="12" customFormat="1" x14ac:dyDescent="0.25"/>
    <row r="160584" s="12" customFormat="1" x14ac:dyDescent="0.25"/>
    <row r="160585" s="12" customFormat="1" x14ac:dyDescent="0.25"/>
    <row r="160586" s="12" customFormat="1" x14ac:dyDescent="0.25"/>
    <row r="160587" s="12" customFormat="1" x14ac:dyDescent="0.25"/>
    <row r="160588" s="12" customFormat="1" x14ac:dyDescent="0.25"/>
    <row r="160589" s="12" customFormat="1" x14ac:dyDescent="0.25"/>
    <row r="160590" s="12" customFormat="1" x14ac:dyDescent="0.25"/>
    <row r="160591" s="12" customFormat="1" x14ac:dyDescent="0.25"/>
    <row r="160592" s="12" customFormat="1" x14ac:dyDescent="0.25"/>
    <row r="160593" s="12" customFormat="1" x14ac:dyDescent="0.25"/>
    <row r="160594" s="12" customFormat="1" x14ac:dyDescent="0.25"/>
    <row r="160595" s="12" customFormat="1" x14ac:dyDescent="0.25"/>
    <row r="160596" s="12" customFormat="1" x14ac:dyDescent="0.25"/>
    <row r="160597" s="12" customFormat="1" x14ac:dyDescent="0.25"/>
    <row r="160598" s="12" customFormat="1" x14ac:dyDescent="0.25"/>
    <row r="160599" s="12" customFormat="1" x14ac:dyDescent="0.25"/>
    <row r="160600" s="12" customFormat="1" x14ac:dyDescent="0.25"/>
    <row r="160601" s="12" customFormat="1" x14ac:dyDescent="0.25"/>
    <row r="160602" s="12" customFormat="1" x14ac:dyDescent="0.25"/>
    <row r="160603" s="12" customFormat="1" x14ac:dyDescent="0.25"/>
    <row r="160604" s="12" customFormat="1" x14ac:dyDescent="0.25"/>
    <row r="160605" s="12" customFormat="1" x14ac:dyDescent="0.25"/>
    <row r="160606" s="12" customFormat="1" x14ac:dyDescent="0.25"/>
    <row r="160607" s="12" customFormat="1" x14ac:dyDescent="0.25"/>
    <row r="160608" s="12" customFormat="1" x14ac:dyDescent="0.25"/>
    <row r="160609" s="12" customFormat="1" x14ac:dyDescent="0.25"/>
    <row r="160610" s="12" customFormat="1" x14ac:dyDescent="0.25"/>
    <row r="160611" s="12" customFormat="1" x14ac:dyDescent="0.25"/>
    <row r="160612" s="12" customFormat="1" x14ac:dyDescent="0.25"/>
    <row r="160613" s="12" customFormat="1" x14ac:dyDescent="0.25"/>
    <row r="160614" s="12" customFormat="1" x14ac:dyDescent="0.25"/>
    <row r="160615" s="12" customFormat="1" x14ac:dyDescent="0.25"/>
    <row r="160616" s="12" customFormat="1" x14ac:dyDescent="0.25"/>
    <row r="160617" s="12" customFormat="1" x14ac:dyDescent="0.25"/>
    <row r="160618" s="12" customFormat="1" x14ac:dyDescent="0.25"/>
    <row r="160619" s="12" customFormat="1" x14ac:dyDescent="0.25"/>
    <row r="160620" s="12" customFormat="1" x14ac:dyDescent="0.25"/>
    <row r="160621" s="12" customFormat="1" x14ac:dyDescent="0.25"/>
    <row r="160622" s="12" customFormat="1" x14ac:dyDescent="0.25"/>
    <row r="160623" s="12" customFormat="1" x14ac:dyDescent="0.25"/>
    <row r="160624" s="12" customFormat="1" x14ac:dyDescent="0.25"/>
    <row r="160625" s="12" customFormat="1" x14ac:dyDescent="0.25"/>
    <row r="160626" s="12" customFormat="1" x14ac:dyDescent="0.25"/>
    <row r="160627" s="12" customFormat="1" x14ac:dyDescent="0.25"/>
    <row r="160628" s="12" customFormat="1" x14ac:dyDescent="0.25"/>
    <row r="160629" s="12" customFormat="1" x14ac:dyDescent="0.25"/>
    <row r="160630" s="12" customFormat="1" x14ac:dyDescent="0.25"/>
    <row r="160631" s="12" customFormat="1" x14ac:dyDescent="0.25"/>
    <row r="160632" s="12" customFormat="1" x14ac:dyDescent="0.25"/>
    <row r="160633" s="12" customFormat="1" x14ac:dyDescent="0.25"/>
    <row r="160634" s="12" customFormat="1" x14ac:dyDescent="0.25"/>
    <row r="160635" s="12" customFormat="1" x14ac:dyDescent="0.25"/>
    <row r="160636" s="12" customFormat="1" x14ac:dyDescent="0.25"/>
    <row r="160637" s="12" customFormat="1" x14ac:dyDescent="0.25"/>
    <row r="160638" s="12" customFormat="1" x14ac:dyDescent="0.25"/>
    <row r="160639" s="12" customFormat="1" x14ac:dyDescent="0.25"/>
    <row r="160640" s="12" customFormat="1" x14ac:dyDescent="0.25"/>
    <row r="160641" s="12" customFormat="1" x14ac:dyDescent="0.25"/>
    <row r="160642" s="12" customFormat="1" x14ac:dyDescent="0.25"/>
    <row r="160643" s="12" customFormat="1" x14ac:dyDescent="0.25"/>
    <row r="160644" s="12" customFormat="1" x14ac:dyDescent="0.25"/>
    <row r="160645" s="12" customFormat="1" x14ac:dyDescent="0.25"/>
    <row r="160646" s="12" customFormat="1" x14ac:dyDescent="0.25"/>
    <row r="160647" s="12" customFormat="1" x14ac:dyDescent="0.25"/>
    <row r="160648" s="12" customFormat="1" x14ac:dyDescent="0.25"/>
    <row r="160649" s="12" customFormat="1" x14ac:dyDescent="0.25"/>
    <row r="160650" s="12" customFormat="1" x14ac:dyDescent="0.25"/>
    <row r="160651" s="12" customFormat="1" x14ac:dyDescent="0.25"/>
    <row r="160652" s="12" customFormat="1" x14ac:dyDescent="0.25"/>
    <row r="160653" s="12" customFormat="1" x14ac:dyDescent="0.25"/>
    <row r="160654" s="12" customFormat="1" x14ac:dyDescent="0.25"/>
    <row r="160655" s="12" customFormat="1" x14ac:dyDescent="0.25"/>
    <row r="160656" s="12" customFormat="1" x14ac:dyDescent="0.25"/>
    <row r="160657" s="12" customFormat="1" x14ac:dyDescent="0.25"/>
    <row r="160658" s="12" customFormat="1" x14ac:dyDescent="0.25"/>
    <row r="160659" s="12" customFormat="1" x14ac:dyDescent="0.25"/>
    <row r="160660" s="12" customFormat="1" x14ac:dyDescent="0.25"/>
    <row r="160661" s="12" customFormat="1" x14ac:dyDescent="0.25"/>
    <row r="160662" s="12" customFormat="1" x14ac:dyDescent="0.25"/>
    <row r="160663" s="12" customFormat="1" x14ac:dyDescent="0.25"/>
    <row r="160664" s="12" customFormat="1" x14ac:dyDescent="0.25"/>
    <row r="160665" s="12" customFormat="1" x14ac:dyDescent="0.25"/>
    <row r="160666" s="12" customFormat="1" x14ac:dyDescent="0.25"/>
    <row r="160667" s="12" customFormat="1" x14ac:dyDescent="0.25"/>
    <row r="160668" s="12" customFormat="1" x14ac:dyDescent="0.25"/>
    <row r="160669" s="12" customFormat="1" x14ac:dyDescent="0.25"/>
    <row r="160670" s="12" customFormat="1" x14ac:dyDescent="0.25"/>
    <row r="160671" s="12" customFormat="1" x14ac:dyDescent="0.25"/>
    <row r="160672" s="12" customFormat="1" x14ac:dyDescent="0.25"/>
    <row r="160673" s="12" customFormat="1" x14ac:dyDescent="0.25"/>
    <row r="160674" s="12" customFormat="1" x14ac:dyDescent="0.25"/>
    <row r="160675" s="12" customFormat="1" x14ac:dyDescent="0.25"/>
    <row r="160676" s="12" customFormat="1" x14ac:dyDescent="0.25"/>
    <row r="160677" s="12" customFormat="1" x14ac:dyDescent="0.25"/>
    <row r="160678" s="12" customFormat="1" x14ac:dyDescent="0.25"/>
    <row r="160679" s="12" customFormat="1" x14ac:dyDescent="0.25"/>
    <row r="160680" s="12" customFormat="1" x14ac:dyDescent="0.25"/>
    <row r="160681" s="12" customFormat="1" x14ac:dyDescent="0.25"/>
    <row r="160682" s="12" customFormat="1" x14ac:dyDescent="0.25"/>
    <row r="160683" s="12" customFormat="1" x14ac:dyDescent="0.25"/>
    <row r="160684" s="12" customFormat="1" x14ac:dyDescent="0.25"/>
    <row r="160685" s="12" customFormat="1" x14ac:dyDescent="0.25"/>
    <row r="160686" s="12" customFormat="1" x14ac:dyDescent="0.25"/>
    <row r="160687" s="12" customFormat="1" x14ac:dyDescent="0.25"/>
    <row r="160688" s="12" customFormat="1" x14ac:dyDescent="0.25"/>
    <row r="160689" s="12" customFormat="1" x14ac:dyDescent="0.25"/>
    <row r="160690" s="12" customFormat="1" x14ac:dyDescent="0.25"/>
    <row r="160691" s="12" customFormat="1" x14ac:dyDescent="0.25"/>
    <row r="160692" s="12" customFormat="1" x14ac:dyDescent="0.25"/>
    <row r="160693" s="12" customFormat="1" x14ac:dyDescent="0.25"/>
    <row r="160694" s="12" customFormat="1" x14ac:dyDescent="0.25"/>
    <row r="160695" s="12" customFormat="1" x14ac:dyDescent="0.25"/>
    <row r="160696" s="12" customFormat="1" x14ac:dyDescent="0.25"/>
    <row r="160697" s="12" customFormat="1" x14ac:dyDescent="0.25"/>
    <row r="160698" s="12" customFormat="1" x14ac:dyDescent="0.25"/>
    <row r="160699" s="12" customFormat="1" x14ac:dyDescent="0.25"/>
    <row r="160700" s="12" customFormat="1" x14ac:dyDescent="0.25"/>
    <row r="160701" s="12" customFormat="1" x14ac:dyDescent="0.25"/>
    <row r="160702" s="12" customFormat="1" x14ac:dyDescent="0.25"/>
    <row r="160703" s="12" customFormat="1" x14ac:dyDescent="0.25"/>
    <row r="160704" s="12" customFormat="1" x14ac:dyDescent="0.25"/>
    <row r="160705" s="12" customFormat="1" x14ac:dyDescent="0.25"/>
    <row r="160706" s="12" customFormat="1" x14ac:dyDescent="0.25"/>
    <row r="160707" s="12" customFormat="1" x14ac:dyDescent="0.25"/>
    <row r="160708" s="12" customFormat="1" x14ac:dyDescent="0.25"/>
    <row r="160709" s="12" customFormat="1" x14ac:dyDescent="0.25"/>
    <row r="160710" s="12" customFormat="1" x14ac:dyDescent="0.25"/>
    <row r="160711" s="12" customFormat="1" x14ac:dyDescent="0.25"/>
    <row r="160712" s="12" customFormat="1" x14ac:dyDescent="0.25"/>
    <row r="160713" s="12" customFormat="1" x14ac:dyDescent="0.25"/>
    <row r="160714" s="12" customFormat="1" x14ac:dyDescent="0.25"/>
    <row r="160715" s="12" customFormat="1" x14ac:dyDescent="0.25"/>
    <row r="160716" s="12" customFormat="1" x14ac:dyDescent="0.25"/>
    <row r="160717" s="12" customFormat="1" x14ac:dyDescent="0.25"/>
    <row r="160718" s="12" customFormat="1" x14ac:dyDescent="0.25"/>
    <row r="160719" s="12" customFormat="1" x14ac:dyDescent="0.25"/>
    <row r="160720" s="12" customFormat="1" x14ac:dyDescent="0.25"/>
    <row r="160721" s="12" customFormat="1" x14ac:dyDescent="0.25"/>
    <row r="160722" s="12" customFormat="1" x14ac:dyDescent="0.25"/>
    <row r="160723" s="12" customFormat="1" x14ac:dyDescent="0.25"/>
    <row r="160724" s="12" customFormat="1" x14ac:dyDescent="0.25"/>
    <row r="160725" s="12" customFormat="1" x14ac:dyDescent="0.25"/>
    <row r="160726" s="12" customFormat="1" x14ac:dyDescent="0.25"/>
    <row r="160727" s="12" customFormat="1" x14ac:dyDescent="0.25"/>
    <row r="160728" s="12" customFormat="1" x14ac:dyDescent="0.25"/>
    <row r="160729" s="12" customFormat="1" x14ac:dyDescent="0.25"/>
    <row r="160730" s="12" customFormat="1" x14ac:dyDescent="0.25"/>
    <row r="160731" s="12" customFormat="1" x14ac:dyDescent="0.25"/>
    <row r="160732" s="12" customFormat="1" x14ac:dyDescent="0.25"/>
    <row r="160733" s="12" customFormat="1" x14ac:dyDescent="0.25"/>
    <row r="160734" s="12" customFormat="1" x14ac:dyDescent="0.25"/>
    <row r="160735" s="12" customFormat="1" x14ac:dyDescent="0.25"/>
    <row r="160736" s="12" customFormat="1" x14ac:dyDescent="0.25"/>
    <row r="160737" s="12" customFormat="1" x14ac:dyDescent="0.25"/>
    <row r="160738" s="12" customFormat="1" x14ac:dyDescent="0.25"/>
    <row r="160739" s="12" customFormat="1" x14ac:dyDescent="0.25"/>
    <row r="160740" s="12" customFormat="1" x14ac:dyDescent="0.25"/>
    <row r="160741" s="12" customFormat="1" x14ac:dyDescent="0.25"/>
    <row r="160742" s="12" customFormat="1" x14ac:dyDescent="0.25"/>
    <row r="160743" s="12" customFormat="1" x14ac:dyDescent="0.25"/>
    <row r="160744" s="12" customFormat="1" x14ac:dyDescent="0.25"/>
    <row r="160745" s="12" customFormat="1" x14ac:dyDescent="0.25"/>
    <row r="160746" s="12" customFormat="1" x14ac:dyDescent="0.25"/>
    <row r="160747" s="12" customFormat="1" x14ac:dyDescent="0.25"/>
    <row r="160748" s="12" customFormat="1" x14ac:dyDescent="0.25"/>
    <row r="160749" s="12" customFormat="1" x14ac:dyDescent="0.25"/>
    <row r="160750" s="12" customFormat="1" x14ac:dyDescent="0.25"/>
    <row r="160751" s="12" customFormat="1" x14ac:dyDescent="0.25"/>
    <row r="160752" s="12" customFormat="1" x14ac:dyDescent="0.25"/>
    <row r="160753" s="12" customFormat="1" x14ac:dyDescent="0.25"/>
    <row r="160754" s="12" customFormat="1" x14ac:dyDescent="0.25"/>
    <row r="160755" s="12" customFormat="1" x14ac:dyDescent="0.25"/>
    <row r="160756" s="12" customFormat="1" x14ac:dyDescent="0.25"/>
    <row r="160757" s="12" customFormat="1" x14ac:dyDescent="0.25"/>
    <row r="160758" s="12" customFormat="1" x14ac:dyDescent="0.25"/>
    <row r="160759" s="12" customFormat="1" x14ac:dyDescent="0.25"/>
    <row r="160760" s="12" customFormat="1" x14ac:dyDescent="0.25"/>
    <row r="160761" s="12" customFormat="1" x14ac:dyDescent="0.25"/>
    <row r="160762" s="12" customFormat="1" x14ac:dyDescent="0.25"/>
    <row r="160763" s="12" customFormat="1" x14ac:dyDescent="0.25"/>
    <row r="160764" s="12" customFormat="1" x14ac:dyDescent="0.25"/>
    <row r="160765" s="12" customFormat="1" x14ac:dyDescent="0.25"/>
    <row r="160766" s="12" customFormat="1" x14ac:dyDescent="0.25"/>
    <row r="160767" s="12" customFormat="1" x14ac:dyDescent="0.25"/>
    <row r="160768" s="12" customFormat="1" x14ac:dyDescent="0.25"/>
    <row r="160769" s="12" customFormat="1" x14ac:dyDescent="0.25"/>
    <row r="160770" s="12" customFormat="1" x14ac:dyDescent="0.25"/>
    <row r="160771" s="12" customFormat="1" x14ac:dyDescent="0.25"/>
    <row r="160772" s="12" customFormat="1" x14ac:dyDescent="0.25"/>
    <row r="160773" s="12" customFormat="1" x14ac:dyDescent="0.25"/>
    <row r="160774" s="12" customFormat="1" x14ac:dyDescent="0.25"/>
    <row r="160775" s="12" customFormat="1" x14ac:dyDescent="0.25"/>
    <row r="160776" s="12" customFormat="1" x14ac:dyDescent="0.25"/>
    <row r="160777" s="12" customFormat="1" x14ac:dyDescent="0.25"/>
    <row r="160778" s="12" customFormat="1" x14ac:dyDescent="0.25"/>
    <row r="160779" s="12" customFormat="1" x14ac:dyDescent="0.25"/>
    <row r="160780" s="12" customFormat="1" x14ac:dyDescent="0.25"/>
    <row r="160781" s="12" customFormat="1" x14ac:dyDescent="0.25"/>
    <row r="160782" s="12" customFormat="1" x14ac:dyDescent="0.25"/>
    <row r="160783" s="12" customFormat="1" x14ac:dyDescent="0.25"/>
    <row r="160784" s="12" customFormat="1" x14ac:dyDescent="0.25"/>
    <row r="160785" s="12" customFormat="1" x14ac:dyDescent="0.25"/>
    <row r="160786" s="12" customFormat="1" x14ac:dyDescent="0.25"/>
    <row r="160787" s="12" customFormat="1" x14ac:dyDescent="0.25"/>
    <row r="160788" s="12" customFormat="1" x14ac:dyDescent="0.25"/>
    <row r="160789" s="12" customFormat="1" x14ac:dyDescent="0.25"/>
    <row r="160790" s="12" customFormat="1" x14ac:dyDescent="0.25"/>
    <row r="160791" s="12" customFormat="1" x14ac:dyDescent="0.25"/>
    <row r="160792" s="12" customFormat="1" x14ac:dyDescent="0.25"/>
    <row r="160793" s="12" customFormat="1" x14ac:dyDescent="0.25"/>
    <row r="160794" s="12" customFormat="1" x14ac:dyDescent="0.25"/>
    <row r="160795" s="12" customFormat="1" x14ac:dyDescent="0.25"/>
    <row r="160796" s="12" customFormat="1" x14ac:dyDescent="0.25"/>
    <row r="160797" s="12" customFormat="1" x14ac:dyDescent="0.25"/>
    <row r="160798" s="12" customFormat="1" x14ac:dyDescent="0.25"/>
    <row r="160799" s="12" customFormat="1" x14ac:dyDescent="0.25"/>
    <row r="160800" s="12" customFormat="1" x14ac:dyDescent="0.25"/>
    <row r="160801" s="12" customFormat="1" x14ac:dyDescent="0.25"/>
    <row r="160802" s="12" customFormat="1" x14ac:dyDescent="0.25"/>
    <row r="160803" s="12" customFormat="1" x14ac:dyDescent="0.25"/>
    <row r="160804" s="12" customFormat="1" x14ac:dyDescent="0.25"/>
    <row r="160805" s="12" customFormat="1" x14ac:dyDescent="0.25"/>
    <row r="160806" s="12" customFormat="1" x14ac:dyDescent="0.25"/>
    <row r="160807" s="12" customFormat="1" x14ac:dyDescent="0.25"/>
    <row r="160808" s="12" customFormat="1" x14ac:dyDescent="0.25"/>
    <row r="160809" s="12" customFormat="1" x14ac:dyDescent="0.25"/>
    <row r="160810" s="12" customFormat="1" x14ac:dyDescent="0.25"/>
    <row r="160811" s="12" customFormat="1" x14ac:dyDescent="0.25"/>
    <row r="160812" s="12" customFormat="1" x14ac:dyDescent="0.25"/>
    <row r="160813" s="12" customFormat="1" x14ac:dyDescent="0.25"/>
    <row r="160814" s="12" customFormat="1" x14ac:dyDescent="0.25"/>
    <row r="160815" s="12" customFormat="1" x14ac:dyDescent="0.25"/>
    <row r="160816" s="12" customFormat="1" x14ac:dyDescent="0.25"/>
    <row r="160817" s="12" customFormat="1" x14ac:dyDescent="0.25"/>
    <row r="160818" s="12" customFormat="1" x14ac:dyDescent="0.25"/>
    <row r="160819" s="12" customFormat="1" x14ac:dyDescent="0.25"/>
    <row r="160820" s="12" customFormat="1" x14ac:dyDescent="0.25"/>
    <row r="160821" s="12" customFormat="1" x14ac:dyDescent="0.25"/>
    <row r="160822" s="12" customFormat="1" x14ac:dyDescent="0.25"/>
    <row r="160823" s="12" customFormat="1" x14ac:dyDescent="0.25"/>
    <row r="160824" s="12" customFormat="1" x14ac:dyDescent="0.25"/>
    <row r="160825" s="12" customFormat="1" x14ac:dyDescent="0.25"/>
    <row r="160826" s="12" customFormat="1" x14ac:dyDescent="0.25"/>
    <row r="160827" s="12" customFormat="1" x14ac:dyDescent="0.25"/>
    <row r="160828" s="12" customFormat="1" x14ac:dyDescent="0.25"/>
    <row r="160829" s="12" customFormat="1" x14ac:dyDescent="0.25"/>
    <row r="160830" s="12" customFormat="1" x14ac:dyDescent="0.25"/>
    <row r="160831" s="12" customFormat="1" x14ac:dyDescent="0.25"/>
    <row r="160832" s="12" customFormat="1" x14ac:dyDescent="0.25"/>
    <row r="160833" s="12" customFormat="1" x14ac:dyDescent="0.25"/>
    <row r="160834" s="12" customFormat="1" x14ac:dyDescent="0.25"/>
    <row r="160835" s="12" customFormat="1" x14ac:dyDescent="0.25"/>
    <row r="160836" s="12" customFormat="1" x14ac:dyDescent="0.25"/>
    <row r="160837" s="12" customFormat="1" x14ac:dyDescent="0.25"/>
    <row r="160838" s="12" customFormat="1" x14ac:dyDescent="0.25"/>
    <row r="160839" s="12" customFormat="1" x14ac:dyDescent="0.25"/>
    <row r="160840" s="12" customFormat="1" x14ac:dyDescent="0.25"/>
    <row r="160841" s="12" customFormat="1" x14ac:dyDescent="0.25"/>
    <row r="160842" s="12" customFormat="1" x14ac:dyDescent="0.25"/>
    <row r="160843" s="12" customFormat="1" x14ac:dyDescent="0.25"/>
    <row r="160844" s="12" customFormat="1" x14ac:dyDescent="0.25"/>
    <row r="160845" s="12" customFormat="1" x14ac:dyDescent="0.25"/>
    <row r="160846" s="12" customFormat="1" x14ac:dyDescent="0.25"/>
    <row r="160847" s="12" customFormat="1" x14ac:dyDescent="0.25"/>
    <row r="160848" s="12" customFormat="1" x14ac:dyDescent="0.25"/>
    <row r="160849" s="12" customFormat="1" x14ac:dyDescent="0.25"/>
    <row r="160850" s="12" customFormat="1" x14ac:dyDescent="0.25"/>
    <row r="160851" s="12" customFormat="1" x14ac:dyDescent="0.25"/>
    <row r="160852" s="12" customFormat="1" x14ac:dyDescent="0.25"/>
    <row r="160853" s="12" customFormat="1" x14ac:dyDescent="0.25"/>
    <row r="160854" s="12" customFormat="1" x14ac:dyDescent="0.25"/>
    <row r="160855" s="12" customFormat="1" x14ac:dyDescent="0.25"/>
    <row r="160856" s="12" customFormat="1" x14ac:dyDescent="0.25"/>
    <row r="160857" s="12" customFormat="1" x14ac:dyDescent="0.25"/>
    <row r="160858" s="12" customFormat="1" x14ac:dyDescent="0.25"/>
    <row r="160859" s="12" customFormat="1" x14ac:dyDescent="0.25"/>
    <row r="160860" s="12" customFormat="1" x14ac:dyDescent="0.25"/>
    <row r="160861" s="12" customFormat="1" x14ac:dyDescent="0.25"/>
    <row r="160862" s="12" customFormat="1" x14ac:dyDescent="0.25"/>
    <row r="160863" s="12" customFormat="1" x14ac:dyDescent="0.25"/>
    <row r="160864" s="12" customFormat="1" x14ac:dyDescent="0.25"/>
    <row r="160865" s="12" customFormat="1" x14ac:dyDescent="0.25"/>
    <row r="160866" s="12" customFormat="1" x14ac:dyDescent="0.25"/>
    <row r="160867" s="12" customFormat="1" x14ac:dyDescent="0.25"/>
    <row r="160868" s="12" customFormat="1" x14ac:dyDescent="0.25"/>
    <row r="160869" s="12" customFormat="1" x14ac:dyDescent="0.25"/>
    <row r="160870" s="12" customFormat="1" x14ac:dyDescent="0.25"/>
    <row r="160871" s="12" customFormat="1" x14ac:dyDescent="0.25"/>
    <row r="160872" s="12" customFormat="1" x14ac:dyDescent="0.25"/>
    <row r="160873" s="12" customFormat="1" x14ac:dyDescent="0.25"/>
    <row r="160874" s="12" customFormat="1" x14ac:dyDescent="0.25"/>
    <row r="160875" s="12" customFormat="1" x14ac:dyDescent="0.25"/>
    <row r="160876" s="12" customFormat="1" x14ac:dyDescent="0.25"/>
    <row r="160877" s="12" customFormat="1" x14ac:dyDescent="0.25"/>
    <row r="160878" s="12" customFormat="1" x14ac:dyDescent="0.25"/>
    <row r="160879" s="12" customFormat="1" x14ac:dyDescent="0.25"/>
    <row r="160880" s="12" customFormat="1" x14ac:dyDescent="0.25"/>
    <row r="160881" s="12" customFormat="1" x14ac:dyDescent="0.25"/>
    <row r="160882" s="12" customFormat="1" x14ac:dyDescent="0.25"/>
    <row r="160883" s="12" customFormat="1" x14ac:dyDescent="0.25"/>
    <row r="160884" s="12" customFormat="1" x14ac:dyDescent="0.25"/>
    <row r="160885" s="12" customFormat="1" x14ac:dyDescent="0.25"/>
    <row r="160886" s="12" customFormat="1" x14ac:dyDescent="0.25"/>
    <row r="160887" s="12" customFormat="1" x14ac:dyDescent="0.25"/>
    <row r="160888" s="12" customFormat="1" x14ac:dyDescent="0.25"/>
    <row r="160889" s="12" customFormat="1" x14ac:dyDescent="0.25"/>
    <row r="160890" s="12" customFormat="1" x14ac:dyDescent="0.25"/>
    <row r="160891" s="12" customFormat="1" x14ac:dyDescent="0.25"/>
    <row r="160892" s="12" customFormat="1" x14ac:dyDescent="0.25"/>
    <row r="160893" s="12" customFormat="1" x14ac:dyDescent="0.25"/>
    <row r="160894" s="12" customFormat="1" x14ac:dyDescent="0.25"/>
    <row r="160895" s="12" customFormat="1" x14ac:dyDescent="0.25"/>
    <row r="160896" s="12" customFormat="1" x14ac:dyDescent="0.25"/>
    <row r="160897" s="12" customFormat="1" x14ac:dyDescent="0.25"/>
    <row r="160898" s="12" customFormat="1" x14ac:dyDescent="0.25"/>
    <row r="160899" s="12" customFormat="1" x14ac:dyDescent="0.25"/>
    <row r="160900" s="12" customFormat="1" x14ac:dyDescent="0.25"/>
    <row r="160901" s="12" customFormat="1" x14ac:dyDescent="0.25"/>
    <row r="160902" s="12" customFormat="1" x14ac:dyDescent="0.25"/>
    <row r="160903" s="12" customFormat="1" x14ac:dyDescent="0.25"/>
    <row r="160904" s="12" customFormat="1" x14ac:dyDescent="0.25"/>
    <row r="160905" s="12" customFormat="1" x14ac:dyDescent="0.25"/>
    <row r="160906" s="12" customFormat="1" x14ac:dyDescent="0.25"/>
    <row r="160907" s="12" customFormat="1" x14ac:dyDescent="0.25"/>
    <row r="160908" s="12" customFormat="1" x14ac:dyDescent="0.25"/>
    <row r="160909" s="12" customFormat="1" x14ac:dyDescent="0.25"/>
    <row r="160910" s="12" customFormat="1" x14ac:dyDescent="0.25"/>
    <row r="160911" s="12" customFormat="1" x14ac:dyDescent="0.25"/>
    <row r="160912" s="12" customFormat="1" x14ac:dyDescent="0.25"/>
    <row r="160913" s="12" customFormat="1" x14ac:dyDescent="0.25"/>
    <row r="160914" s="12" customFormat="1" x14ac:dyDescent="0.25"/>
    <row r="160915" s="12" customFormat="1" x14ac:dyDescent="0.25"/>
    <row r="160916" s="12" customFormat="1" x14ac:dyDescent="0.25"/>
    <row r="160917" s="12" customFormat="1" x14ac:dyDescent="0.25"/>
    <row r="160918" s="12" customFormat="1" x14ac:dyDescent="0.25"/>
    <row r="160919" s="12" customFormat="1" x14ac:dyDescent="0.25"/>
    <row r="160920" s="12" customFormat="1" x14ac:dyDescent="0.25"/>
    <row r="160921" s="12" customFormat="1" x14ac:dyDescent="0.25"/>
    <row r="160922" s="12" customFormat="1" x14ac:dyDescent="0.25"/>
    <row r="160923" s="12" customFormat="1" x14ac:dyDescent="0.25"/>
    <row r="160924" s="12" customFormat="1" x14ac:dyDescent="0.25"/>
    <row r="160925" s="12" customFormat="1" x14ac:dyDescent="0.25"/>
    <row r="160926" s="12" customFormat="1" x14ac:dyDescent="0.25"/>
    <row r="160927" s="12" customFormat="1" x14ac:dyDescent="0.25"/>
    <row r="160928" s="12" customFormat="1" x14ac:dyDescent="0.25"/>
    <row r="160929" s="12" customFormat="1" x14ac:dyDescent="0.25"/>
    <row r="160930" s="12" customFormat="1" x14ac:dyDescent="0.25"/>
    <row r="160931" s="12" customFormat="1" x14ac:dyDescent="0.25"/>
    <row r="160932" s="12" customFormat="1" x14ac:dyDescent="0.25"/>
    <row r="160933" s="12" customFormat="1" x14ac:dyDescent="0.25"/>
    <row r="160934" s="12" customFormat="1" x14ac:dyDescent="0.25"/>
    <row r="160935" s="12" customFormat="1" x14ac:dyDescent="0.25"/>
    <row r="160936" s="12" customFormat="1" x14ac:dyDescent="0.25"/>
    <row r="160937" s="12" customFormat="1" x14ac:dyDescent="0.25"/>
    <row r="160938" s="12" customFormat="1" x14ac:dyDescent="0.25"/>
    <row r="160939" s="12" customFormat="1" x14ac:dyDescent="0.25"/>
    <row r="160940" s="12" customFormat="1" x14ac:dyDescent="0.25"/>
    <row r="160941" s="12" customFormat="1" x14ac:dyDescent="0.25"/>
    <row r="160942" s="12" customFormat="1" x14ac:dyDescent="0.25"/>
    <row r="160943" s="12" customFormat="1" x14ac:dyDescent="0.25"/>
    <row r="160944" s="12" customFormat="1" x14ac:dyDescent="0.25"/>
    <row r="160945" s="12" customFormat="1" x14ac:dyDescent="0.25"/>
    <row r="160946" s="12" customFormat="1" x14ac:dyDescent="0.25"/>
    <row r="160947" s="12" customFormat="1" x14ac:dyDescent="0.25"/>
    <row r="160948" s="12" customFormat="1" x14ac:dyDescent="0.25"/>
    <row r="160949" s="12" customFormat="1" x14ac:dyDescent="0.25"/>
    <row r="160950" s="12" customFormat="1" x14ac:dyDescent="0.25"/>
    <row r="160951" s="12" customFormat="1" x14ac:dyDescent="0.25"/>
    <row r="160952" s="12" customFormat="1" x14ac:dyDescent="0.25"/>
    <row r="160953" s="12" customFormat="1" x14ac:dyDescent="0.25"/>
    <row r="160954" s="12" customFormat="1" x14ac:dyDescent="0.25"/>
    <row r="160955" s="12" customFormat="1" x14ac:dyDescent="0.25"/>
    <row r="160956" s="12" customFormat="1" x14ac:dyDescent="0.25"/>
    <row r="160957" s="12" customFormat="1" x14ac:dyDescent="0.25"/>
    <row r="160958" s="12" customFormat="1" x14ac:dyDescent="0.25"/>
    <row r="160959" s="12" customFormat="1" x14ac:dyDescent="0.25"/>
    <row r="160960" s="12" customFormat="1" x14ac:dyDescent="0.25"/>
    <row r="160961" s="12" customFormat="1" x14ac:dyDescent="0.25"/>
    <row r="160962" s="12" customFormat="1" x14ac:dyDescent="0.25"/>
    <row r="160963" s="12" customFormat="1" x14ac:dyDescent="0.25"/>
    <row r="160964" s="12" customFormat="1" x14ac:dyDescent="0.25"/>
    <row r="160965" s="12" customFormat="1" x14ac:dyDescent="0.25"/>
    <row r="160966" s="12" customFormat="1" x14ac:dyDescent="0.25"/>
    <row r="160967" s="12" customFormat="1" x14ac:dyDescent="0.25"/>
    <row r="160968" s="12" customFormat="1" x14ac:dyDescent="0.25"/>
    <row r="160969" s="12" customFormat="1" x14ac:dyDescent="0.25"/>
    <row r="160970" s="12" customFormat="1" x14ac:dyDescent="0.25"/>
    <row r="160971" s="12" customFormat="1" x14ac:dyDescent="0.25"/>
    <row r="160972" s="12" customFormat="1" x14ac:dyDescent="0.25"/>
    <row r="160973" s="12" customFormat="1" x14ac:dyDescent="0.25"/>
    <row r="160974" s="12" customFormat="1" x14ac:dyDescent="0.25"/>
    <row r="160975" s="12" customFormat="1" x14ac:dyDescent="0.25"/>
    <row r="160976" s="12" customFormat="1" x14ac:dyDescent="0.25"/>
    <row r="160977" s="12" customFormat="1" x14ac:dyDescent="0.25"/>
    <row r="160978" s="12" customFormat="1" x14ac:dyDescent="0.25"/>
    <row r="160979" s="12" customFormat="1" x14ac:dyDescent="0.25"/>
    <row r="160980" s="12" customFormat="1" x14ac:dyDescent="0.25"/>
    <row r="160981" s="12" customFormat="1" x14ac:dyDescent="0.25"/>
    <row r="160982" s="12" customFormat="1" x14ac:dyDescent="0.25"/>
    <row r="160983" s="12" customFormat="1" x14ac:dyDescent="0.25"/>
    <row r="160984" s="12" customFormat="1" x14ac:dyDescent="0.25"/>
    <row r="160985" s="12" customFormat="1" x14ac:dyDescent="0.25"/>
    <row r="160986" s="12" customFormat="1" x14ac:dyDescent="0.25"/>
    <row r="160987" s="12" customFormat="1" x14ac:dyDescent="0.25"/>
    <row r="160988" s="12" customFormat="1" x14ac:dyDescent="0.25"/>
    <row r="160989" s="12" customFormat="1" x14ac:dyDescent="0.25"/>
    <row r="160990" s="12" customFormat="1" x14ac:dyDescent="0.25"/>
    <row r="160991" s="12" customFormat="1" x14ac:dyDescent="0.25"/>
    <row r="160992" s="12" customFormat="1" x14ac:dyDescent="0.25"/>
    <row r="160993" s="12" customFormat="1" x14ac:dyDescent="0.25"/>
    <row r="160994" s="12" customFormat="1" x14ac:dyDescent="0.25"/>
    <row r="160995" s="12" customFormat="1" x14ac:dyDescent="0.25"/>
    <row r="160996" s="12" customFormat="1" x14ac:dyDescent="0.25"/>
    <row r="160997" s="12" customFormat="1" x14ac:dyDescent="0.25"/>
    <row r="160998" s="12" customFormat="1" x14ac:dyDescent="0.25"/>
    <row r="160999" s="12" customFormat="1" x14ac:dyDescent="0.25"/>
    <row r="161000" s="12" customFormat="1" x14ac:dyDescent="0.25"/>
    <row r="161001" s="12" customFormat="1" x14ac:dyDescent="0.25"/>
    <row r="161002" s="12" customFormat="1" x14ac:dyDescent="0.25"/>
    <row r="161003" s="12" customFormat="1" x14ac:dyDescent="0.25"/>
    <row r="161004" s="12" customFormat="1" x14ac:dyDescent="0.25"/>
    <row r="161005" s="12" customFormat="1" x14ac:dyDescent="0.25"/>
    <row r="161006" s="12" customFormat="1" x14ac:dyDescent="0.25"/>
    <row r="161007" s="12" customFormat="1" x14ac:dyDescent="0.25"/>
    <row r="161008" s="12" customFormat="1" x14ac:dyDescent="0.25"/>
    <row r="161009" s="12" customFormat="1" x14ac:dyDescent="0.25"/>
    <row r="161010" s="12" customFormat="1" x14ac:dyDescent="0.25"/>
    <row r="161011" s="12" customFormat="1" x14ac:dyDescent="0.25"/>
    <row r="161012" s="12" customFormat="1" x14ac:dyDescent="0.25"/>
    <row r="161013" s="12" customFormat="1" x14ac:dyDescent="0.25"/>
    <row r="161014" s="12" customFormat="1" x14ac:dyDescent="0.25"/>
    <row r="161015" s="12" customFormat="1" x14ac:dyDescent="0.25"/>
    <row r="161016" s="12" customFormat="1" x14ac:dyDescent="0.25"/>
    <row r="161017" s="12" customFormat="1" x14ac:dyDescent="0.25"/>
    <row r="161018" s="12" customFormat="1" x14ac:dyDescent="0.25"/>
    <row r="161019" s="12" customFormat="1" x14ac:dyDescent="0.25"/>
    <row r="161020" s="12" customFormat="1" x14ac:dyDescent="0.25"/>
    <row r="161021" s="12" customFormat="1" x14ac:dyDescent="0.25"/>
    <row r="161022" s="12" customFormat="1" x14ac:dyDescent="0.25"/>
    <row r="161023" s="12" customFormat="1" x14ac:dyDescent="0.25"/>
    <row r="161024" s="12" customFormat="1" x14ac:dyDescent="0.25"/>
    <row r="161025" s="12" customFormat="1" x14ac:dyDescent="0.25"/>
    <row r="161026" s="12" customFormat="1" x14ac:dyDescent="0.25"/>
    <row r="161027" s="12" customFormat="1" x14ac:dyDescent="0.25"/>
    <row r="161028" s="12" customFormat="1" x14ac:dyDescent="0.25"/>
    <row r="161029" s="12" customFormat="1" x14ac:dyDescent="0.25"/>
    <row r="161030" s="12" customFormat="1" x14ac:dyDescent="0.25"/>
    <row r="161031" s="12" customFormat="1" x14ac:dyDescent="0.25"/>
    <row r="161032" s="12" customFormat="1" x14ac:dyDescent="0.25"/>
    <row r="161033" s="12" customFormat="1" x14ac:dyDescent="0.25"/>
    <row r="161034" s="12" customFormat="1" x14ac:dyDescent="0.25"/>
    <row r="161035" s="12" customFormat="1" x14ac:dyDescent="0.25"/>
    <row r="161036" s="12" customFormat="1" x14ac:dyDescent="0.25"/>
    <row r="161037" s="12" customFormat="1" x14ac:dyDescent="0.25"/>
    <row r="161038" s="12" customFormat="1" x14ac:dyDescent="0.25"/>
    <row r="161039" s="12" customFormat="1" x14ac:dyDescent="0.25"/>
    <row r="161040" s="12" customFormat="1" x14ac:dyDescent="0.25"/>
    <row r="161041" s="12" customFormat="1" x14ac:dyDescent="0.25"/>
    <row r="161042" s="12" customFormat="1" x14ac:dyDescent="0.25"/>
    <row r="161043" s="12" customFormat="1" x14ac:dyDescent="0.25"/>
    <row r="161044" s="12" customFormat="1" x14ac:dyDescent="0.25"/>
    <row r="161045" s="12" customFormat="1" x14ac:dyDescent="0.25"/>
    <row r="161046" s="12" customFormat="1" x14ac:dyDescent="0.25"/>
    <row r="161047" s="12" customFormat="1" x14ac:dyDescent="0.25"/>
    <row r="161048" s="12" customFormat="1" x14ac:dyDescent="0.25"/>
    <row r="161049" s="12" customFormat="1" x14ac:dyDescent="0.25"/>
    <row r="161050" s="12" customFormat="1" x14ac:dyDescent="0.25"/>
    <row r="161051" s="12" customFormat="1" x14ac:dyDescent="0.25"/>
    <row r="161052" s="12" customFormat="1" x14ac:dyDescent="0.25"/>
    <row r="161053" s="12" customFormat="1" x14ac:dyDescent="0.25"/>
    <row r="161054" s="12" customFormat="1" x14ac:dyDescent="0.25"/>
    <row r="161055" s="12" customFormat="1" x14ac:dyDescent="0.25"/>
    <row r="161056" s="12" customFormat="1" x14ac:dyDescent="0.25"/>
    <row r="161057" s="12" customFormat="1" x14ac:dyDescent="0.25"/>
    <row r="161058" s="12" customFormat="1" x14ac:dyDescent="0.25"/>
    <row r="161059" s="12" customFormat="1" x14ac:dyDescent="0.25"/>
    <row r="161060" s="12" customFormat="1" x14ac:dyDescent="0.25"/>
    <row r="161061" s="12" customFormat="1" x14ac:dyDescent="0.25"/>
    <row r="161062" s="12" customFormat="1" x14ac:dyDescent="0.25"/>
    <row r="161063" s="12" customFormat="1" x14ac:dyDescent="0.25"/>
    <row r="161064" s="12" customFormat="1" x14ac:dyDescent="0.25"/>
    <row r="161065" s="12" customFormat="1" x14ac:dyDescent="0.25"/>
    <row r="161066" s="12" customFormat="1" x14ac:dyDescent="0.25"/>
    <row r="161067" s="12" customFormat="1" x14ac:dyDescent="0.25"/>
    <row r="161068" s="12" customFormat="1" x14ac:dyDescent="0.25"/>
    <row r="161069" s="12" customFormat="1" x14ac:dyDescent="0.25"/>
    <row r="161070" s="12" customFormat="1" x14ac:dyDescent="0.25"/>
    <row r="161071" s="12" customFormat="1" x14ac:dyDescent="0.25"/>
    <row r="161072" s="12" customFormat="1" x14ac:dyDescent="0.25"/>
    <row r="161073" s="12" customFormat="1" x14ac:dyDescent="0.25"/>
    <row r="161074" s="12" customFormat="1" x14ac:dyDescent="0.25"/>
    <row r="161075" s="12" customFormat="1" x14ac:dyDescent="0.25"/>
    <row r="161076" s="12" customFormat="1" x14ac:dyDescent="0.25"/>
    <row r="161077" s="12" customFormat="1" x14ac:dyDescent="0.25"/>
    <row r="161078" s="12" customFormat="1" x14ac:dyDescent="0.25"/>
    <row r="161079" s="12" customFormat="1" x14ac:dyDescent="0.25"/>
    <row r="161080" s="12" customFormat="1" x14ac:dyDescent="0.25"/>
    <row r="161081" s="12" customFormat="1" x14ac:dyDescent="0.25"/>
    <row r="161082" s="12" customFormat="1" x14ac:dyDescent="0.25"/>
    <row r="161083" s="12" customFormat="1" x14ac:dyDescent="0.25"/>
    <row r="161084" s="12" customFormat="1" x14ac:dyDescent="0.25"/>
    <row r="161085" s="12" customFormat="1" x14ac:dyDescent="0.25"/>
    <row r="161086" s="12" customFormat="1" x14ac:dyDescent="0.25"/>
    <row r="161087" s="12" customFormat="1" x14ac:dyDescent="0.25"/>
    <row r="161088" s="12" customFormat="1" x14ac:dyDescent="0.25"/>
    <row r="161089" s="12" customFormat="1" x14ac:dyDescent="0.25"/>
    <row r="161090" s="12" customFormat="1" x14ac:dyDescent="0.25"/>
    <row r="161091" s="12" customFormat="1" x14ac:dyDescent="0.25"/>
    <row r="161092" s="12" customFormat="1" x14ac:dyDescent="0.25"/>
    <row r="161093" s="12" customFormat="1" x14ac:dyDescent="0.25"/>
    <row r="161094" s="12" customFormat="1" x14ac:dyDescent="0.25"/>
    <row r="161095" s="12" customFormat="1" x14ac:dyDescent="0.25"/>
    <row r="161096" s="12" customFormat="1" x14ac:dyDescent="0.25"/>
    <row r="161097" s="12" customFormat="1" x14ac:dyDescent="0.25"/>
    <row r="161098" s="12" customFormat="1" x14ac:dyDescent="0.25"/>
    <row r="161099" s="12" customFormat="1" x14ac:dyDescent="0.25"/>
    <row r="161100" s="12" customFormat="1" x14ac:dyDescent="0.25"/>
    <row r="161101" s="12" customFormat="1" x14ac:dyDescent="0.25"/>
    <row r="161102" s="12" customFormat="1" x14ac:dyDescent="0.25"/>
    <row r="161103" s="12" customFormat="1" x14ac:dyDescent="0.25"/>
    <row r="161104" s="12" customFormat="1" x14ac:dyDescent="0.25"/>
    <row r="161105" s="12" customFormat="1" x14ac:dyDescent="0.25"/>
    <row r="161106" s="12" customFormat="1" x14ac:dyDescent="0.25"/>
    <row r="161107" s="12" customFormat="1" x14ac:dyDescent="0.25"/>
    <row r="161108" s="12" customFormat="1" x14ac:dyDescent="0.25"/>
    <row r="161109" s="12" customFormat="1" x14ac:dyDescent="0.25"/>
    <row r="161110" s="12" customFormat="1" x14ac:dyDescent="0.25"/>
    <row r="161111" s="12" customFormat="1" x14ac:dyDescent="0.25"/>
    <row r="161112" s="12" customFormat="1" x14ac:dyDescent="0.25"/>
    <row r="161113" s="12" customFormat="1" x14ac:dyDescent="0.25"/>
    <row r="161114" s="12" customFormat="1" x14ac:dyDescent="0.25"/>
    <row r="161115" s="12" customFormat="1" x14ac:dyDescent="0.25"/>
    <row r="161116" s="12" customFormat="1" x14ac:dyDescent="0.25"/>
    <row r="161117" s="12" customFormat="1" x14ac:dyDescent="0.25"/>
    <row r="161118" s="12" customFormat="1" x14ac:dyDescent="0.25"/>
    <row r="161119" s="12" customFormat="1" x14ac:dyDescent="0.25"/>
    <row r="161120" s="12" customFormat="1" x14ac:dyDescent="0.25"/>
    <row r="161121" s="12" customFormat="1" x14ac:dyDescent="0.25"/>
    <row r="161122" s="12" customFormat="1" x14ac:dyDescent="0.25"/>
    <row r="161123" s="12" customFormat="1" x14ac:dyDescent="0.25"/>
    <row r="161124" s="12" customFormat="1" x14ac:dyDescent="0.25"/>
    <row r="161125" s="12" customFormat="1" x14ac:dyDescent="0.25"/>
    <row r="161126" s="12" customFormat="1" x14ac:dyDescent="0.25"/>
    <row r="161127" s="12" customFormat="1" x14ac:dyDescent="0.25"/>
    <row r="161128" s="12" customFormat="1" x14ac:dyDescent="0.25"/>
    <row r="161129" s="12" customFormat="1" x14ac:dyDescent="0.25"/>
    <row r="161130" s="12" customFormat="1" x14ac:dyDescent="0.25"/>
    <row r="161131" s="12" customFormat="1" x14ac:dyDescent="0.25"/>
    <row r="161132" s="12" customFormat="1" x14ac:dyDescent="0.25"/>
    <row r="161133" s="12" customFormat="1" x14ac:dyDescent="0.25"/>
    <row r="161134" s="12" customFormat="1" x14ac:dyDescent="0.25"/>
    <row r="161135" s="12" customFormat="1" x14ac:dyDescent="0.25"/>
    <row r="161136" s="12" customFormat="1" x14ac:dyDescent="0.25"/>
    <row r="161137" s="12" customFormat="1" x14ac:dyDescent="0.25"/>
    <row r="161138" s="12" customFormat="1" x14ac:dyDescent="0.25"/>
    <row r="161139" s="12" customFormat="1" x14ac:dyDescent="0.25"/>
    <row r="161140" s="12" customFormat="1" x14ac:dyDescent="0.25"/>
    <row r="161141" s="12" customFormat="1" x14ac:dyDescent="0.25"/>
    <row r="161142" s="12" customFormat="1" x14ac:dyDescent="0.25"/>
    <row r="161143" s="12" customFormat="1" x14ac:dyDescent="0.25"/>
    <row r="161144" s="12" customFormat="1" x14ac:dyDescent="0.25"/>
    <row r="161145" s="12" customFormat="1" x14ac:dyDescent="0.25"/>
    <row r="161146" s="12" customFormat="1" x14ac:dyDescent="0.25"/>
    <row r="161147" s="12" customFormat="1" x14ac:dyDescent="0.25"/>
    <row r="161148" s="12" customFormat="1" x14ac:dyDescent="0.25"/>
    <row r="161149" s="12" customFormat="1" x14ac:dyDescent="0.25"/>
    <row r="161150" s="12" customFormat="1" x14ac:dyDescent="0.25"/>
    <row r="161151" s="12" customFormat="1" x14ac:dyDescent="0.25"/>
    <row r="161152" s="12" customFormat="1" x14ac:dyDescent="0.25"/>
    <row r="161153" s="12" customFormat="1" x14ac:dyDescent="0.25"/>
    <row r="161154" s="12" customFormat="1" x14ac:dyDescent="0.25"/>
    <row r="161155" s="12" customFormat="1" x14ac:dyDescent="0.25"/>
    <row r="161156" s="12" customFormat="1" x14ac:dyDescent="0.25"/>
    <row r="161157" s="12" customFormat="1" x14ac:dyDescent="0.25"/>
    <row r="161158" s="12" customFormat="1" x14ac:dyDescent="0.25"/>
    <row r="161159" s="12" customFormat="1" x14ac:dyDescent="0.25"/>
    <row r="161160" s="12" customFormat="1" x14ac:dyDescent="0.25"/>
    <row r="161161" s="12" customFormat="1" x14ac:dyDescent="0.25"/>
    <row r="161162" s="12" customFormat="1" x14ac:dyDescent="0.25"/>
    <row r="161163" s="12" customFormat="1" x14ac:dyDescent="0.25"/>
    <row r="161164" s="12" customFormat="1" x14ac:dyDescent="0.25"/>
    <row r="161165" s="12" customFormat="1" x14ac:dyDescent="0.25"/>
    <row r="161166" s="12" customFormat="1" x14ac:dyDescent="0.25"/>
    <row r="161167" s="12" customFormat="1" x14ac:dyDescent="0.25"/>
    <row r="161168" s="12" customFormat="1" x14ac:dyDescent="0.25"/>
    <row r="161169" s="12" customFormat="1" x14ac:dyDescent="0.25"/>
    <row r="161170" s="12" customFormat="1" x14ac:dyDescent="0.25"/>
    <row r="161171" s="12" customFormat="1" x14ac:dyDescent="0.25"/>
    <row r="161172" s="12" customFormat="1" x14ac:dyDescent="0.25"/>
    <row r="161173" s="12" customFormat="1" x14ac:dyDescent="0.25"/>
    <row r="161174" s="12" customFormat="1" x14ac:dyDescent="0.25"/>
    <row r="161175" s="12" customFormat="1" x14ac:dyDescent="0.25"/>
    <row r="161176" s="12" customFormat="1" x14ac:dyDescent="0.25"/>
    <row r="161177" s="12" customFormat="1" x14ac:dyDescent="0.25"/>
    <row r="161178" s="12" customFormat="1" x14ac:dyDescent="0.25"/>
    <row r="161179" s="12" customFormat="1" x14ac:dyDescent="0.25"/>
    <row r="161180" s="12" customFormat="1" x14ac:dyDescent="0.25"/>
    <row r="161181" s="12" customFormat="1" x14ac:dyDescent="0.25"/>
    <row r="161182" s="12" customFormat="1" x14ac:dyDescent="0.25"/>
    <row r="161183" s="12" customFormat="1" x14ac:dyDescent="0.25"/>
    <row r="161184" s="12" customFormat="1" x14ac:dyDescent="0.25"/>
    <row r="161185" s="12" customFormat="1" x14ac:dyDescent="0.25"/>
    <row r="161186" s="12" customFormat="1" x14ac:dyDescent="0.25"/>
    <row r="161187" s="12" customFormat="1" x14ac:dyDescent="0.25"/>
    <row r="161188" s="12" customFormat="1" x14ac:dyDescent="0.25"/>
    <row r="161189" s="12" customFormat="1" x14ac:dyDescent="0.25"/>
    <row r="161190" s="12" customFormat="1" x14ac:dyDescent="0.25"/>
    <row r="161191" s="12" customFormat="1" x14ac:dyDescent="0.25"/>
    <row r="161192" s="12" customFormat="1" x14ac:dyDescent="0.25"/>
    <row r="161193" s="12" customFormat="1" x14ac:dyDescent="0.25"/>
    <row r="161194" s="12" customFormat="1" x14ac:dyDescent="0.25"/>
    <row r="161195" s="12" customFormat="1" x14ac:dyDescent="0.25"/>
    <row r="161196" s="12" customFormat="1" x14ac:dyDescent="0.25"/>
    <row r="161197" s="12" customFormat="1" x14ac:dyDescent="0.25"/>
    <row r="161198" s="12" customFormat="1" x14ac:dyDescent="0.25"/>
    <row r="161199" s="12" customFormat="1" x14ac:dyDescent="0.25"/>
    <row r="161200" s="12" customFormat="1" x14ac:dyDescent="0.25"/>
    <row r="161201" s="12" customFormat="1" x14ac:dyDescent="0.25"/>
    <row r="161202" s="12" customFormat="1" x14ac:dyDescent="0.25"/>
    <row r="161203" s="12" customFormat="1" x14ac:dyDescent="0.25"/>
    <row r="161204" s="12" customFormat="1" x14ac:dyDescent="0.25"/>
    <row r="161205" s="12" customFormat="1" x14ac:dyDescent="0.25"/>
    <row r="161206" s="12" customFormat="1" x14ac:dyDescent="0.25"/>
    <row r="161207" s="12" customFormat="1" x14ac:dyDescent="0.25"/>
    <row r="161208" s="12" customFormat="1" x14ac:dyDescent="0.25"/>
    <row r="161209" s="12" customFormat="1" x14ac:dyDescent="0.25"/>
    <row r="161210" s="12" customFormat="1" x14ac:dyDescent="0.25"/>
    <row r="161211" s="12" customFormat="1" x14ac:dyDescent="0.25"/>
    <row r="161212" s="12" customFormat="1" x14ac:dyDescent="0.25"/>
    <row r="161213" s="12" customFormat="1" x14ac:dyDescent="0.25"/>
    <row r="161214" s="12" customFormat="1" x14ac:dyDescent="0.25"/>
    <row r="161215" s="12" customFormat="1" x14ac:dyDescent="0.25"/>
    <row r="161216" s="12" customFormat="1" x14ac:dyDescent="0.25"/>
    <row r="161217" s="12" customFormat="1" x14ac:dyDescent="0.25"/>
    <row r="161218" s="12" customFormat="1" x14ac:dyDescent="0.25"/>
    <row r="161219" s="12" customFormat="1" x14ac:dyDescent="0.25"/>
    <row r="161220" s="12" customFormat="1" x14ac:dyDescent="0.25"/>
    <row r="161221" s="12" customFormat="1" x14ac:dyDescent="0.25"/>
    <row r="161222" s="12" customFormat="1" x14ac:dyDescent="0.25"/>
    <row r="161223" s="12" customFormat="1" x14ac:dyDescent="0.25"/>
    <row r="161224" s="12" customFormat="1" x14ac:dyDescent="0.25"/>
    <row r="161225" s="12" customFormat="1" x14ac:dyDescent="0.25"/>
    <row r="161226" s="12" customFormat="1" x14ac:dyDescent="0.25"/>
    <row r="161227" s="12" customFormat="1" x14ac:dyDescent="0.25"/>
    <row r="161228" s="12" customFormat="1" x14ac:dyDescent="0.25"/>
    <row r="161229" s="12" customFormat="1" x14ac:dyDescent="0.25"/>
    <row r="161230" s="12" customFormat="1" x14ac:dyDescent="0.25"/>
    <row r="161231" s="12" customFormat="1" x14ac:dyDescent="0.25"/>
    <row r="161232" s="12" customFormat="1" x14ac:dyDescent="0.25"/>
    <row r="161233" s="12" customFormat="1" x14ac:dyDescent="0.25"/>
    <row r="161234" s="12" customFormat="1" x14ac:dyDescent="0.25"/>
    <row r="161235" s="12" customFormat="1" x14ac:dyDescent="0.25"/>
    <row r="161236" s="12" customFormat="1" x14ac:dyDescent="0.25"/>
    <row r="161237" s="12" customFormat="1" x14ac:dyDescent="0.25"/>
    <row r="161238" s="12" customFormat="1" x14ac:dyDescent="0.25"/>
    <row r="161239" s="12" customFormat="1" x14ac:dyDescent="0.25"/>
    <row r="161240" s="12" customFormat="1" x14ac:dyDescent="0.25"/>
    <row r="161241" s="12" customFormat="1" x14ac:dyDescent="0.25"/>
    <row r="161242" s="12" customFormat="1" x14ac:dyDescent="0.25"/>
    <row r="161243" s="12" customFormat="1" x14ac:dyDescent="0.25"/>
    <row r="161244" s="12" customFormat="1" x14ac:dyDescent="0.25"/>
    <row r="161245" s="12" customFormat="1" x14ac:dyDescent="0.25"/>
    <row r="161246" s="12" customFormat="1" x14ac:dyDescent="0.25"/>
    <row r="161247" s="12" customFormat="1" x14ac:dyDescent="0.25"/>
    <row r="161248" s="12" customFormat="1" x14ac:dyDescent="0.25"/>
    <row r="161249" s="12" customFormat="1" x14ac:dyDescent="0.25"/>
    <row r="161250" s="12" customFormat="1" x14ac:dyDescent="0.25"/>
    <row r="161251" s="12" customFormat="1" x14ac:dyDescent="0.25"/>
    <row r="161252" s="12" customFormat="1" x14ac:dyDescent="0.25"/>
    <row r="161253" s="12" customFormat="1" x14ac:dyDescent="0.25"/>
    <row r="161254" s="12" customFormat="1" x14ac:dyDescent="0.25"/>
    <row r="161255" s="12" customFormat="1" x14ac:dyDescent="0.25"/>
    <row r="161256" s="12" customFormat="1" x14ac:dyDescent="0.25"/>
    <row r="161257" s="12" customFormat="1" x14ac:dyDescent="0.25"/>
    <row r="161258" s="12" customFormat="1" x14ac:dyDescent="0.25"/>
    <row r="161259" s="12" customFormat="1" x14ac:dyDescent="0.25"/>
    <row r="161260" s="12" customFormat="1" x14ac:dyDescent="0.25"/>
    <row r="161261" s="12" customFormat="1" x14ac:dyDescent="0.25"/>
    <row r="161262" s="12" customFormat="1" x14ac:dyDescent="0.25"/>
    <row r="161263" s="12" customFormat="1" x14ac:dyDescent="0.25"/>
    <row r="161264" s="12" customFormat="1" x14ac:dyDescent="0.25"/>
    <row r="161265" s="12" customFormat="1" x14ac:dyDescent="0.25"/>
    <row r="161266" s="12" customFormat="1" x14ac:dyDescent="0.25"/>
    <row r="161267" s="12" customFormat="1" x14ac:dyDescent="0.25"/>
    <row r="161268" s="12" customFormat="1" x14ac:dyDescent="0.25"/>
    <row r="161269" s="12" customFormat="1" x14ac:dyDescent="0.25"/>
    <row r="161270" s="12" customFormat="1" x14ac:dyDescent="0.25"/>
    <row r="161271" s="12" customFormat="1" x14ac:dyDescent="0.25"/>
    <row r="161272" s="12" customFormat="1" x14ac:dyDescent="0.25"/>
    <row r="161273" s="12" customFormat="1" x14ac:dyDescent="0.25"/>
    <row r="161274" s="12" customFormat="1" x14ac:dyDescent="0.25"/>
    <row r="161275" s="12" customFormat="1" x14ac:dyDescent="0.25"/>
    <row r="161276" s="12" customFormat="1" x14ac:dyDescent="0.25"/>
    <row r="161277" s="12" customFormat="1" x14ac:dyDescent="0.25"/>
    <row r="161278" s="12" customFormat="1" x14ac:dyDescent="0.25"/>
    <row r="161279" s="12" customFormat="1" x14ac:dyDescent="0.25"/>
    <row r="161280" s="12" customFormat="1" x14ac:dyDescent="0.25"/>
    <row r="161281" s="12" customFormat="1" x14ac:dyDescent="0.25"/>
    <row r="161282" s="12" customFormat="1" x14ac:dyDescent="0.25"/>
    <row r="161283" s="12" customFormat="1" x14ac:dyDescent="0.25"/>
    <row r="161284" s="12" customFormat="1" x14ac:dyDescent="0.25"/>
    <row r="161285" s="12" customFormat="1" x14ac:dyDescent="0.25"/>
    <row r="161286" s="12" customFormat="1" x14ac:dyDescent="0.25"/>
    <row r="161287" s="12" customFormat="1" x14ac:dyDescent="0.25"/>
    <row r="161288" s="12" customFormat="1" x14ac:dyDescent="0.25"/>
    <row r="161289" s="12" customFormat="1" x14ac:dyDescent="0.25"/>
    <row r="161290" s="12" customFormat="1" x14ac:dyDescent="0.25"/>
    <row r="161291" s="12" customFormat="1" x14ac:dyDescent="0.25"/>
    <row r="161292" s="12" customFormat="1" x14ac:dyDescent="0.25"/>
    <row r="161293" s="12" customFormat="1" x14ac:dyDescent="0.25"/>
    <row r="161294" s="12" customFormat="1" x14ac:dyDescent="0.25"/>
    <row r="161295" s="12" customFormat="1" x14ac:dyDescent="0.25"/>
    <row r="161296" s="12" customFormat="1" x14ac:dyDescent="0.25"/>
    <row r="161297" s="12" customFormat="1" x14ac:dyDescent="0.25"/>
    <row r="161298" s="12" customFormat="1" x14ac:dyDescent="0.25"/>
    <row r="161299" s="12" customFormat="1" x14ac:dyDescent="0.25"/>
    <row r="161300" s="12" customFormat="1" x14ac:dyDescent="0.25"/>
    <row r="161301" s="12" customFormat="1" x14ac:dyDescent="0.25"/>
    <row r="161302" s="12" customFormat="1" x14ac:dyDescent="0.25"/>
    <row r="161303" s="12" customFormat="1" x14ac:dyDescent="0.25"/>
    <row r="161304" s="12" customFormat="1" x14ac:dyDescent="0.25"/>
    <row r="161305" s="12" customFormat="1" x14ac:dyDescent="0.25"/>
    <row r="161306" s="12" customFormat="1" x14ac:dyDescent="0.25"/>
    <row r="161307" s="12" customFormat="1" x14ac:dyDescent="0.25"/>
    <row r="161308" s="12" customFormat="1" x14ac:dyDescent="0.25"/>
    <row r="161309" s="12" customFormat="1" x14ac:dyDescent="0.25"/>
    <row r="161310" s="12" customFormat="1" x14ac:dyDescent="0.25"/>
    <row r="161311" s="12" customFormat="1" x14ac:dyDescent="0.25"/>
    <row r="161312" s="12" customFormat="1" x14ac:dyDescent="0.25"/>
    <row r="161313" s="12" customFormat="1" x14ac:dyDescent="0.25"/>
    <row r="161314" s="12" customFormat="1" x14ac:dyDescent="0.25"/>
    <row r="161315" s="12" customFormat="1" x14ac:dyDescent="0.25"/>
    <row r="161316" s="12" customFormat="1" x14ac:dyDescent="0.25"/>
    <row r="161317" s="12" customFormat="1" x14ac:dyDescent="0.25"/>
    <row r="161318" s="12" customFormat="1" x14ac:dyDescent="0.25"/>
    <row r="161319" s="12" customFormat="1" x14ac:dyDescent="0.25"/>
    <row r="161320" s="12" customFormat="1" x14ac:dyDescent="0.25"/>
    <row r="161321" s="12" customFormat="1" x14ac:dyDescent="0.25"/>
    <row r="161322" s="12" customFormat="1" x14ac:dyDescent="0.25"/>
    <row r="161323" s="12" customFormat="1" x14ac:dyDescent="0.25"/>
    <row r="161324" s="12" customFormat="1" x14ac:dyDescent="0.25"/>
    <row r="161325" s="12" customFormat="1" x14ac:dyDescent="0.25"/>
    <row r="161326" s="12" customFormat="1" x14ac:dyDescent="0.25"/>
    <row r="161327" s="12" customFormat="1" x14ac:dyDescent="0.25"/>
    <row r="161328" s="12" customFormat="1" x14ac:dyDescent="0.25"/>
    <row r="161329" s="12" customFormat="1" x14ac:dyDescent="0.25"/>
    <row r="161330" s="12" customFormat="1" x14ac:dyDescent="0.25"/>
    <row r="161331" s="12" customFormat="1" x14ac:dyDescent="0.25"/>
    <row r="161332" s="12" customFormat="1" x14ac:dyDescent="0.25"/>
    <row r="161333" s="12" customFormat="1" x14ac:dyDescent="0.25"/>
    <row r="161334" s="12" customFormat="1" x14ac:dyDescent="0.25"/>
    <row r="161335" s="12" customFormat="1" x14ac:dyDescent="0.25"/>
    <row r="161336" s="12" customFormat="1" x14ac:dyDescent="0.25"/>
    <row r="161337" s="12" customFormat="1" x14ac:dyDescent="0.25"/>
    <row r="161338" s="12" customFormat="1" x14ac:dyDescent="0.25"/>
    <row r="161339" s="12" customFormat="1" x14ac:dyDescent="0.25"/>
    <row r="161340" s="12" customFormat="1" x14ac:dyDescent="0.25"/>
    <row r="161341" s="12" customFormat="1" x14ac:dyDescent="0.25"/>
    <row r="161342" s="12" customFormat="1" x14ac:dyDescent="0.25"/>
    <row r="161343" s="12" customFormat="1" x14ac:dyDescent="0.25"/>
    <row r="161344" s="12" customFormat="1" x14ac:dyDescent="0.25"/>
    <row r="161345" s="12" customFormat="1" x14ac:dyDescent="0.25"/>
    <row r="161346" s="12" customFormat="1" x14ac:dyDescent="0.25"/>
    <row r="161347" s="12" customFormat="1" x14ac:dyDescent="0.25"/>
    <row r="161348" s="12" customFormat="1" x14ac:dyDescent="0.25"/>
    <row r="161349" s="12" customFormat="1" x14ac:dyDescent="0.25"/>
    <row r="161350" s="12" customFormat="1" x14ac:dyDescent="0.25"/>
    <row r="161351" s="12" customFormat="1" x14ac:dyDescent="0.25"/>
    <row r="161352" s="12" customFormat="1" x14ac:dyDescent="0.25"/>
    <row r="161353" s="12" customFormat="1" x14ac:dyDescent="0.25"/>
    <row r="161354" s="12" customFormat="1" x14ac:dyDescent="0.25"/>
    <row r="161355" s="12" customFormat="1" x14ac:dyDescent="0.25"/>
    <row r="161356" s="12" customFormat="1" x14ac:dyDescent="0.25"/>
    <row r="161357" s="12" customFormat="1" x14ac:dyDescent="0.25"/>
    <row r="161358" s="12" customFormat="1" x14ac:dyDescent="0.25"/>
    <row r="161359" s="12" customFormat="1" x14ac:dyDescent="0.25"/>
    <row r="161360" s="12" customFormat="1" x14ac:dyDescent="0.25"/>
    <row r="161361" s="12" customFormat="1" x14ac:dyDescent="0.25"/>
    <row r="161362" s="12" customFormat="1" x14ac:dyDescent="0.25"/>
    <row r="161363" s="12" customFormat="1" x14ac:dyDescent="0.25"/>
    <row r="161364" s="12" customFormat="1" x14ac:dyDescent="0.25"/>
    <row r="161365" s="12" customFormat="1" x14ac:dyDescent="0.25"/>
    <row r="161366" s="12" customFormat="1" x14ac:dyDescent="0.25"/>
    <row r="161367" s="12" customFormat="1" x14ac:dyDescent="0.25"/>
    <row r="161368" s="12" customFormat="1" x14ac:dyDescent="0.25"/>
    <row r="161369" s="12" customFormat="1" x14ac:dyDescent="0.25"/>
    <row r="161370" s="12" customFormat="1" x14ac:dyDescent="0.25"/>
    <row r="161371" s="12" customFormat="1" x14ac:dyDescent="0.25"/>
    <row r="161372" s="12" customFormat="1" x14ac:dyDescent="0.25"/>
    <row r="161373" s="12" customFormat="1" x14ac:dyDescent="0.25"/>
    <row r="161374" s="12" customFormat="1" x14ac:dyDescent="0.25"/>
    <row r="161375" s="12" customFormat="1" x14ac:dyDescent="0.25"/>
    <row r="161376" s="12" customFormat="1" x14ac:dyDescent="0.25"/>
    <row r="161377" s="12" customFormat="1" x14ac:dyDescent="0.25"/>
    <row r="161378" s="12" customFormat="1" x14ac:dyDescent="0.25"/>
    <row r="161379" s="12" customFormat="1" x14ac:dyDescent="0.25"/>
    <row r="161380" s="12" customFormat="1" x14ac:dyDescent="0.25"/>
    <row r="161381" s="12" customFormat="1" x14ac:dyDescent="0.25"/>
    <row r="161382" s="12" customFormat="1" x14ac:dyDescent="0.25"/>
    <row r="161383" s="12" customFormat="1" x14ac:dyDescent="0.25"/>
    <row r="161384" s="12" customFormat="1" x14ac:dyDescent="0.25"/>
    <row r="161385" s="12" customFormat="1" x14ac:dyDescent="0.25"/>
    <row r="161386" s="12" customFormat="1" x14ac:dyDescent="0.25"/>
    <row r="161387" s="12" customFormat="1" x14ac:dyDescent="0.25"/>
    <row r="161388" s="12" customFormat="1" x14ac:dyDescent="0.25"/>
    <row r="161389" s="12" customFormat="1" x14ac:dyDescent="0.25"/>
    <row r="161390" s="12" customFormat="1" x14ac:dyDescent="0.25"/>
    <row r="161391" s="12" customFormat="1" x14ac:dyDescent="0.25"/>
    <row r="161392" s="12" customFormat="1" x14ac:dyDescent="0.25"/>
    <row r="161393" s="12" customFormat="1" x14ac:dyDescent="0.25"/>
    <row r="161394" s="12" customFormat="1" x14ac:dyDescent="0.25"/>
    <row r="161395" s="12" customFormat="1" x14ac:dyDescent="0.25"/>
    <row r="161396" s="12" customFormat="1" x14ac:dyDescent="0.25"/>
    <row r="161397" s="12" customFormat="1" x14ac:dyDescent="0.25"/>
    <row r="161398" s="12" customFormat="1" x14ac:dyDescent="0.25"/>
    <row r="161399" s="12" customFormat="1" x14ac:dyDescent="0.25"/>
    <row r="161400" s="12" customFormat="1" x14ac:dyDescent="0.25"/>
    <row r="161401" s="12" customFormat="1" x14ac:dyDescent="0.25"/>
    <row r="161402" s="12" customFormat="1" x14ac:dyDescent="0.25"/>
    <row r="161403" s="12" customFormat="1" x14ac:dyDescent="0.25"/>
    <row r="161404" s="12" customFormat="1" x14ac:dyDescent="0.25"/>
    <row r="161405" s="12" customFormat="1" x14ac:dyDescent="0.25"/>
    <row r="161406" s="12" customFormat="1" x14ac:dyDescent="0.25"/>
    <row r="161407" s="12" customFormat="1" x14ac:dyDescent="0.25"/>
    <row r="161408" s="12" customFormat="1" x14ac:dyDescent="0.25"/>
    <row r="161409" s="12" customFormat="1" x14ac:dyDescent="0.25"/>
    <row r="161410" s="12" customFormat="1" x14ac:dyDescent="0.25"/>
    <row r="161411" s="12" customFormat="1" x14ac:dyDescent="0.25"/>
    <row r="161412" s="12" customFormat="1" x14ac:dyDescent="0.25"/>
    <row r="161413" s="12" customFormat="1" x14ac:dyDescent="0.25"/>
    <row r="161414" s="12" customFormat="1" x14ac:dyDescent="0.25"/>
    <row r="161415" s="12" customFormat="1" x14ac:dyDescent="0.25"/>
    <row r="161416" s="12" customFormat="1" x14ac:dyDescent="0.25"/>
    <row r="161417" s="12" customFormat="1" x14ac:dyDescent="0.25"/>
    <row r="161418" s="12" customFormat="1" x14ac:dyDescent="0.25"/>
    <row r="161419" s="12" customFormat="1" x14ac:dyDescent="0.25"/>
    <row r="161420" s="12" customFormat="1" x14ac:dyDescent="0.25"/>
    <row r="161421" s="12" customFormat="1" x14ac:dyDescent="0.25"/>
    <row r="161422" s="12" customFormat="1" x14ac:dyDescent="0.25"/>
    <row r="161423" s="12" customFormat="1" x14ac:dyDescent="0.25"/>
    <row r="161424" s="12" customFormat="1" x14ac:dyDescent="0.25"/>
    <row r="161425" s="12" customFormat="1" x14ac:dyDescent="0.25"/>
    <row r="161426" s="12" customFormat="1" x14ac:dyDescent="0.25"/>
    <row r="161427" s="12" customFormat="1" x14ac:dyDescent="0.25"/>
    <row r="161428" s="12" customFormat="1" x14ac:dyDescent="0.25"/>
    <row r="161429" s="12" customFormat="1" x14ac:dyDescent="0.25"/>
    <row r="161430" s="12" customFormat="1" x14ac:dyDescent="0.25"/>
    <row r="161431" s="12" customFormat="1" x14ac:dyDescent="0.25"/>
    <row r="161432" s="12" customFormat="1" x14ac:dyDescent="0.25"/>
    <row r="161433" s="12" customFormat="1" x14ac:dyDescent="0.25"/>
    <row r="161434" s="12" customFormat="1" x14ac:dyDescent="0.25"/>
    <row r="161435" s="12" customFormat="1" x14ac:dyDescent="0.25"/>
    <row r="161436" s="12" customFormat="1" x14ac:dyDescent="0.25"/>
    <row r="161437" s="12" customFormat="1" x14ac:dyDescent="0.25"/>
    <row r="161438" s="12" customFormat="1" x14ac:dyDescent="0.25"/>
    <row r="161439" s="12" customFormat="1" x14ac:dyDescent="0.25"/>
    <row r="161440" s="12" customFormat="1" x14ac:dyDescent="0.25"/>
    <row r="161441" s="12" customFormat="1" x14ac:dyDescent="0.25"/>
    <row r="161442" s="12" customFormat="1" x14ac:dyDescent="0.25"/>
    <row r="161443" s="12" customFormat="1" x14ac:dyDescent="0.25"/>
    <row r="161444" s="12" customFormat="1" x14ac:dyDescent="0.25"/>
    <row r="161445" s="12" customFormat="1" x14ac:dyDescent="0.25"/>
    <row r="161446" s="12" customFormat="1" x14ac:dyDescent="0.25"/>
    <row r="161447" s="12" customFormat="1" x14ac:dyDescent="0.25"/>
    <row r="161448" s="12" customFormat="1" x14ac:dyDescent="0.25"/>
    <row r="161449" s="12" customFormat="1" x14ac:dyDescent="0.25"/>
    <row r="161450" s="12" customFormat="1" x14ac:dyDescent="0.25"/>
    <row r="161451" s="12" customFormat="1" x14ac:dyDescent="0.25"/>
    <row r="161452" s="12" customFormat="1" x14ac:dyDescent="0.25"/>
    <row r="161453" s="12" customFormat="1" x14ac:dyDescent="0.25"/>
    <row r="161454" s="12" customFormat="1" x14ac:dyDescent="0.25"/>
    <row r="161455" s="12" customFormat="1" x14ac:dyDescent="0.25"/>
    <row r="161456" s="12" customFormat="1" x14ac:dyDescent="0.25"/>
    <row r="161457" s="12" customFormat="1" x14ac:dyDescent="0.25"/>
    <row r="161458" s="12" customFormat="1" x14ac:dyDescent="0.25"/>
    <row r="161459" s="12" customFormat="1" x14ac:dyDescent="0.25"/>
    <row r="161460" s="12" customFormat="1" x14ac:dyDescent="0.25"/>
    <row r="161461" s="12" customFormat="1" x14ac:dyDescent="0.25"/>
    <row r="161462" s="12" customFormat="1" x14ac:dyDescent="0.25"/>
    <row r="161463" s="12" customFormat="1" x14ac:dyDescent="0.25"/>
    <row r="161464" s="12" customFormat="1" x14ac:dyDescent="0.25"/>
    <row r="161465" s="12" customFormat="1" x14ac:dyDescent="0.25"/>
    <row r="161466" s="12" customFormat="1" x14ac:dyDescent="0.25"/>
    <row r="161467" s="12" customFormat="1" x14ac:dyDescent="0.25"/>
    <row r="161468" s="12" customFormat="1" x14ac:dyDescent="0.25"/>
    <row r="161469" s="12" customFormat="1" x14ac:dyDescent="0.25"/>
    <row r="161470" s="12" customFormat="1" x14ac:dyDescent="0.25"/>
    <row r="161471" s="12" customFormat="1" x14ac:dyDescent="0.25"/>
    <row r="161472" s="12" customFormat="1" x14ac:dyDescent="0.25"/>
    <row r="161473" s="12" customFormat="1" x14ac:dyDescent="0.25"/>
    <row r="161474" s="12" customFormat="1" x14ac:dyDescent="0.25"/>
    <row r="161475" s="12" customFormat="1" x14ac:dyDescent="0.25"/>
    <row r="161476" s="12" customFormat="1" x14ac:dyDescent="0.25"/>
    <row r="161477" s="12" customFormat="1" x14ac:dyDescent="0.25"/>
    <row r="161478" s="12" customFormat="1" x14ac:dyDescent="0.25"/>
    <row r="161479" s="12" customFormat="1" x14ac:dyDescent="0.25"/>
    <row r="161480" s="12" customFormat="1" x14ac:dyDescent="0.25"/>
    <row r="161481" s="12" customFormat="1" x14ac:dyDescent="0.25"/>
    <row r="161482" s="12" customFormat="1" x14ac:dyDescent="0.25"/>
    <row r="161483" s="12" customFormat="1" x14ac:dyDescent="0.25"/>
    <row r="161484" s="12" customFormat="1" x14ac:dyDescent="0.25"/>
    <row r="161485" s="12" customFormat="1" x14ac:dyDescent="0.25"/>
    <row r="161486" s="12" customFormat="1" x14ac:dyDescent="0.25"/>
    <row r="161487" s="12" customFormat="1" x14ac:dyDescent="0.25"/>
    <row r="161488" s="12" customFormat="1" x14ac:dyDescent="0.25"/>
    <row r="161489" s="12" customFormat="1" x14ac:dyDescent="0.25"/>
    <row r="161490" s="12" customFormat="1" x14ac:dyDescent="0.25"/>
    <row r="161491" s="12" customFormat="1" x14ac:dyDescent="0.25"/>
    <row r="161492" s="12" customFormat="1" x14ac:dyDescent="0.25"/>
    <row r="161493" s="12" customFormat="1" x14ac:dyDescent="0.25"/>
    <row r="161494" s="12" customFormat="1" x14ac:dyDescent="0.25"/>
    <row r="161495" s="12" customFormat="1" x14ac:dyDescent="0.25"/>
    <row r="161496" s="12" customFormat="1" x14ac:dyDescent="0.25"/>
    <row r="161497" s="12" customFormat="1" x14ac:dyDescent="0.25"/>
    <row r="161498" s="12" customFormat="1" x14ac:dyDescent="0.25"/>
    <row r="161499" s="12" customFormat="1" x14ac:dyDescent="0.25"/>
    <row r="161500" s="12" customFormat="1" x14ac:dyDescent="0.25"/>
    <row r="161501" s="12" customFormat="1" x14ac:dyDescent="0.25"/>
    <row r="161502" s="12" customFormat="1" x14ac:dyDescent="0.25"/>
    <row r="161503" s="12" customFormat="1" x14ac:dyDescent="0.25"/>
    <row r="161504" s="12" customFormat="1" x14ac:dyDescent="0.25"/>
    <row r="161505" s="12" customFormat="1" x14ac:dyDescent="0.25"/>
    <row r="161506" s="12" customFormat="1" x14ac:dyDescent="0.25"/>
    <row r="161507" s="12" customFormat="1" x14ac:dyDescent="0.25"/>
    <row r="161508" s="12" customFormat="1" x14ac:dyDescent="0.25"/>
    <row r="161509" s="12" customFormat="1" x14ac:dyDescent="0.25"/>
    <row r="161510" s="12" customFormat="1" x14ac:dyDescent="0.25"/>
    <row r="161511" s="12" customFormat="1" x14ac:dyDescent="0.25"/>
    <row r="161512" s="12" customFormat="1" x14ac:dyDescent="0.25"/>
    <row r="161513" s="12" customFormat="1" x14ac:dyDescent="0.25"/>
    <row r="161514" s="12" customFormat="1" x14ac:dyDescent="0.25"/>
    <row r="161515" s="12" customFormat="1" x14ac:dyDescent="0.25"/>
    <row r="161516" s="12" customFormat="1" x14ac:dyDescent="0.25"/>
    <row r="161517" s="12" customFormat="1" x14ac:dyDescent="0.25"/>
    <row r="161518" s="12" customFormat="1" x14ac:dyDescent="0.25"/>
    <row r="161519" s="12" customFormat="1" x14ac:dyDescent="0.25"/>
    <row r="161520" s="12" customFormat="1" x14ac:dyDescent="0.25"/>
    <row r="161521" s="12" customFormat="1" x14ac:dyDescent="0.25"/>
    <row r="161522" s="12" customFormat="1" x14ac:dyDescent="0.25"/>
    <row r="161523" s="12" customFormat="1" x14ac:dyDescent="0.25"/>
    <row r="161524" s="12" customFormat="1" x14ac:dyDescent="0.25"/>
    <row r="161525" s="12" customFormat="1" x14ac:dyDescent="0.25"/>
    <row r="161526" s="12" customFormat="1" x14ac:dyDescent="0.25"/>
    <row r="161527" s="12" customFormat="1" x14ac:dyDescent="0.25"/>
    <row r="161528" s="12" customFormat="1" x14ac:dyDescent="0.25"/>
    <row r="161529" s="12" customFormat="1" x14ac:dyDescent="0.25"/>
    <row r="161530" s="12" customFormat="1" x14ac:dyDescent="0.25"/>
    <row r="161531" s="12" customFormat="1" x14ac:dyDescent="0.25"/>
    <row r="161532" s="12" customFormat="1" x14ac:dyDescent="0.25"/>
    <row r="161533" s="12" customFormat="1" x14ac:dyDescent="0.25"/>
    <row r="161534" s="12" customFormat="1" x14ac:dyDescent="0.25"/>
    <row r="161535" s="12" customFormat="1" x14ac:dyDescent="0.25"/>
    <row r="161536" s="12" customFormat="1" x14ac:dyDescent="0.25"/>
    <row r="161537" s="12" customFormat="1" x14ac:dyDescent="0.25"/>
    <row r="161538" s="12" customFormat="1" x14ac:dyDescent="0.25"/>
    <row r="161539" s="12" customFormat="1" x14ac:dyDescent="0.25"/>
    <row r="161540" s="12" customFormat="1" x14ac:dyDescent="0.25"/>
    <row r="161541" s="12" customFormat="1" x14ac:dyDescent="0.25"/>
    <row r="161542" s="12" customFormat="1" x14ac:dyDescent="0.25"/>
    <row r="161543" s="12" customFormat="1" x14ac:dyDescent="0.25"/>
    <row r="161544" s="12" customFormat="1" x14ac:dyDescent="0.25"/>
    <row r="161545" s="12" customFormat="1" x14ac:dyDescent="0.25"/>
    <row r="161546" s="12" customFormat="1" x14ac:dyDescent="0.25"/>
    <row r="161547" s="12" customFormat="1" x14ac:dyDescent="0.25"/>
    <row r="161548" s="12" customFormat="1" x14ac:dyDescent="0.25"/>
    <row r="161549" s="12" customFormat="1" x14ac:dyDescent="0.25"/>
    <row r="161550" s="12" customFormat="1" x14ac:dyDescent="0.25"/>
    <row r="161551" s="12" customFormat="1" x14ac:dyDescent="0.25"/>
    <row r="161552" s="12" customFormat="1" x14ac:dyDescent="0.25"/>
    <row r="161553" s="12" customFormat="1" x14ac:dyDescent="0.25"/>
    <row r="161554" s="12" customFormat="1" x14ac:dyDescent="0.25"/>
    <row r="161555" s="12" customFormat="1" x14ac:dyDescent="0.25"/>
    <row r="161556" s="12" customFormat="1" x14ac:dyDescent="0.25"/>
    <row r="161557" s="12" customFormat="1" x14ac:dyDescent="0.25"/>
    <row r="161558" s="12" customFormat="1" x14ac:dyDescent="0.25"/>
    <row r="161559" s="12" customFormat="1" x14ac:dyDescent="0.25"/>
    <row r="161560" s="12" customFormat="1" x14ac:dyDescent="0.25"/>
    <row r="161561" s="12" customFormat="1" x14ac:dyDescent="0.25"/>
    <row r="161562" s="12" customFormat="1" x14ac:dyDescent="0.25"/>
    <row r="161563" s="12" customFormat="1" x14ac:dyDescent="0.25"/>
    <row r="161564" s="12" customFormat="1" x14ac:dyDescent="0.25"/>
    <row r="161565" s="12" customFormat="1" x14ac:dyDescent="0.25"/>
    <row r="161566" s="12" customFormat="1" x14ac:dyDescent="0.25"/>
    <row r="161567" s="12" customFormat="1" x14ac:dyDescent="0.25"/>
    <row r="161568" s="12" customFormat="1" x14ac:dyDescent="0.25"/>
    <row r="161569" s="12" customFormat="1" x14ac:dyDescent="0.25"/>
    <row r="161570" s="12" customFormat="1" x14ac:dyDescent="0.25"/>
    <row r="161571" s="12" customFormat="1" x14ac:dyDescent="0.25"/>
    <row r="161572" s="12" customFormat="1" x14ac:dyDescent="0.25"/>
    <row r="161573" s="12" customFormat="1" x14ac:dyDescent="0.25"/>
    <row r="161574" s="12" customFormat="1" x14ac:dyDescent="0.25"/>
    <row r="161575" s="12" customFormat="1" x14ac:dyDescent="0.25"/>
    <row r="161576" s="12" customFormat="1" x14ac:dyDescent="0.25"/>
    <row r="161577" s="12" customFormat="1" x14ac:dyDescent="0.25"/>
    <row r="161578" s="12" customFormat="1" x14ac:dyDescent="0.25"/>
    <row r="161579" s="12" customFormat="1" x14ac:dyDescent="0.25"/>
    <row r="161580" s="12" customFormat="1" x14ac:dyDescent="0.25"/>
    <row r="161581" s="12" customFormat="1" x14ac:dyDescent="0.25"/>
    <row r="161582" s="12" customFormat="1" x14ac:dyDescent="0.25"/>
    <row r="161583" s="12" customFormat="1" x14ac:dyDescent="0.25"/>
    <row r="161584" s="12" customFormat="1" x14ac:dyDescent="0.25"/>
    <row r="161585" s="12" customFormat="1" x14ac:dyDescent="0.25"/>
    <row r="161586" s="12" customFormat="1" x14ac:dyDescent="0.25"/>
    <row r="161587" s="12" customFormat="1" x14ac:dyDescent="0.25"/>
    <row r="161588" s="12" customFormat="1" x14ac:dyDescent="0.25"/>
    <row r="161589" s="12" customFormat="1" x14ac:dyDescent="0.25"/>
    <row r="161590" s="12" customFormat="1" x14ac:dyDescent="0.25"/>
    <row r="161591" s="12" customFormat="1" x14ac:dyDescent="0.25"/>
    <row r="161592" s="12" customFormat="1" x14ac:dyDescent="0.25"/>
    <row r="161593" s="12" customFormat="1" x14ac:dyDescent="0.25"/>
    <row r="161594" s="12" customFormat="1" x14ac:dyDescent="0.25"/>
    <row r="161595" s="12" customFormat="1" x14ac:dyDescent="0.25"/>
    <row r="161596" s="12" customFormat="1" x14ac:dyDescent="0.25"/>
    <row r="161597" s="12" customFormat="1" x14ac:dyDescent="0.25"/>
    <row r="161598" s="12" customFormat="1" x14ac:dyDescent="0.25"/>
    <row r="161599" s="12" customFormat="1" x14ac:dyDescent="0.25"/>
    <row r="161600" s="12" customFormat="1" x14ac:dyDescent="0.25"/>
    <row r="161601" s="12" customFormat="1" x14ac:dyDescent="0.25"/>
    <row r="161602" s="12" customFormat="1" x14ac:dyDescent="0.25"/>
    <row r="161603" s="12" customFormat="1" x14ac:dyDescent="0.25"/>
    <row r="161604" s="12" customFormat="1" x14ac:dyDescent="0.25"/>
    <row r="161605" s="12" customFormat="1" x14ac:dyDescent="0.25"/>
    <row r="161606" s="12" customFormat="1" x14ac:dyDescent="0.25"/>
    <row r="161607" s="12" customFormat="1" x14ac:dyDescent="0.25"/>
    <row r="161608" s="12" customFormat="1" x14ac:dyDescent="0.25"/>
    <row r="161609" s="12" customFormat="1" x14ac:dyDescent="0.25"/>
    <row r="161610" s="12" customFormat="1" x14ac:dyDescent="0.25"/>
    <row r="161611" s="12" customFormat="1" x14ac:dyDescent="0.25"/>
    <row r="161612" s="12" customFormat="1" x14ac:dyDescent="0.25"/>
    <row r="161613" s="12" customFormat="1" x14ac:dyDescent="0.25"/>
    <row r="161614" s="12" customFormat="1" x14ac:dyDescent="0.25"/>
    <row r="161615" s="12" customFormat="1" x14ac:dyDescent="0.25"/>
    <row r="161616" s="12" customFormat="1" x14ac:dyDescent="0.25"/>
    <row r="161617" s="12" customFormat="1" x14ac:dyDescent="0.25"/>
    <row r="161618" s="12" customFormat="1" x14ac:dyDescent="0.25"/>
    <row r="161619" s="12" customFormat="1" x14ac:dyDescent="0.25"/>
    <row r="161620" s="12" customFormat="1" x14ac:dyDescent="0.25"/>
    <row r="161621" s="12" customFormat="1" x14ac:dyDescent="0.25"/>
    <row r="161622" s="12" customFormat="1" x14ac:dyDescent="0.25"/>
    <row r="161623" s="12" customFormat="1" x14ac:dyDescent="0.25"/>
    <row r="161624" s="12" customFormat="1" x14ac:dyDescent="0.25"/>
    <row r="161625" s="12" customFormat="1" x14ac:dyDescent="0.25"/>
    <row r="161626" s="12" customFormat="1" x14ac:dyDescent="0.25"/>
    <row r="161627" s="12" customFormat="1" x14ac:dyDescent="0.25"/>
    <row r="161628" s="12" customFormat="1" x14ac:dyDescent="0.25"/>
    <row r="161629" s="12" customFormat="1" x14ac:dyDescent="0.25"/>
    <row r="161630" s="12" customFormat="1" x14ac:dyDescent="0.25"/>
    <row r="161631" s="12" customFormat="1" x14ac:dyDescent="0.25"/>
    <row r="161632" s="12" customFormat="1" x14ac:dyDescent="0.25"/>
    <row r="161633" s="12" customFormat="1" x14ac:dyDescent="0.25"/>
    <row r="161634" s="12" customFormat="1" x14ac:dyDescent="0.25"/>
    <row r="161635" s="12" customFormat="1" x14ac:dyDescent="0.25"/>
    <row r="161636" s="12" customFormat="1" x14ac:dyDescent="0.25"/>
    <row r="161637" s="12" customFormat="1" x14ac:dyDescent="0.25"/>
    <row r="161638" s="12" customFormat="1" x14ac:dyDescent="0.25"/>
    <row r="161639" s="12" customFormat="1" x14ac:dyDescent="0.25"/>
    <row r="161640" s="12" customFormat="1" x14ac:dyDescent="0.25"/>
    <row r="161641" s="12" customFormat="1" x14ac:dyDescent="0.25"/>
    <row r="161642" s="12" customFormat="1" x14ac:dyDescent="0.25"/>
    <row r="161643" s="12" customFormat="1" x14ac:dyDescent="0.25"/>
    <row r="161644" s="12" customFormat="1" x14ac:dyDescent="0.25"/>
    <row r="161645" s="12" customFormat="1" x14ac:dyDescent="0.25"/>
    <row r="161646" s="12" customFormat="1" x14ac:dyDescent="0.25"/>
    <row r="161647" s="12" customFormat="1" x14ac:dyDescent="0.25"/>
    <row r="161648" s="12" customFormat="1" x14ac:dyDescent="0.25"/>
    <row r="161649" s="12" customFormat="1" x14ac:dyDescent="0.25"/>
    <row r="161650" s="12" customFormat="1" x14ac:dyDescent="0.25"/>
    <row r="161651" s="12" customFormat="1" x14ac:dyDescent="0.25"/>
    <row r="161652" s="12" customFormat="1" x14ac:dyDescent="0.25"/>
    <row r="161653" s="12" customFormat="1" x14ac:dyDescent="0.25"/>
    <row r="161654" s="12" customFormat="1" x14ac:dyDescent="0.25"/>
    <row r="161655" s="12" customFormat="1" x14ac:dyDescent="0.25"/>
    <row r="161656" s="12" customFormat="1" x14ac:dyDescent="0.25"/>
    <row r="161657" s="12" customFormat="1" x14ac:dyDescent="0.25"/>
    <row r="161658" s="12" customFormat="1" x14ac:dyDescent="0.25"/>
    <row r="161659" s="12" customFormat="1" x14ac:dyDescent="0.25"/>
    <row r="161660" s="12" customFormat="1" x14ac:dyDescent="0.25"/>
    <row r="161661" s="12" customFormat="1" x14ac:dyDescent="0.25"/>
    <row r="161662" s="12" customFormat="1" x14ac:dyDescent="0.25"/>
    <row r="161663" s="12" customFormat="1" x14ac:dyDescent="0.25"/>
    <row r="161664" s="12" customFormat="1" x14ac:dyDescent="0.25"/>
    <row r="161665" s="12" customFormat="1" x14ac:dyDescent="0.25"/>
    <row r="161666" s="12" customFormat="1" x14ac:dyDescent="0.25"/>
    <row r="161667" s="12" customFormat="1" x14ac:dyDescent="0.25"/>
    <row r="161668" s="12" customFormat="1" x14ac:dyDescent="0.25"/>
    <row r="161669" s="12" customFormat="1" x14ac:dyDescent="0.25"/>
    <row r="161670" s="12" customFormat="1" x14ac:dyDescent="0.25"/>
    <row r="161671" s="12" customFormat="1" x14ac:dyDescent="0.25"/>
    <row r="161672" s="12" customFormat="1" x14ac:dyDescent="0.25"/>
    <row r="161673" s="12" customFormat="1" x14ac:dyDescent="0.25"/>
    <row r="161674" s="12" customFormat="1" x14ac:dyDescent="0.25"/>
    <row r="161675" s="12" customFormat="1" x14ac:dyDescent="0.25"/>
    <row r="161676" s="12" customFormat="1" x14ac:dyDescent="0.25"/>
    <row r="161677" s="12" customFormat="1" x14ac:dyDescent="0.25"/>
    <row r="161678" s="12" customFormat="1" x14ac:dyDescent="0.25"/>
    <row r="161679" s="12" customFormat="1" x14ac:dyDescent="0.25"/>
    <row r="161680" s="12" customFormat="1" x14ac:dyDescent="0.25"/>
    <row r="161681" s="12" customFormat="1" x14ac:dyDescent="0.25"/>
    <row r="161682" s="12" customFormat="1" x14ac:dyDescent="0.25"/>
    <row r="161683" s="12" customFormat="1" x14ac:dyDescent="0.25"/>
    <row r="161684" s="12" customFormat="1" x14ac:dyDescent="0.25"/>
    <row r="161685" s="12" customFormat="1" x14ac:dyDescent="0.25"/>
    <row r="161686" s="12" customFormat="1" x14ac:dyDescent="0.25"/>
    <row r="161687" s="12" customFormat="1" x14ac:dyDescent="0.25"/>
    <row r="161688" s="12" customFormat="1" x14ac:dyDescent="0.25"/>
    <row r="161689" s="12" customFormat="1" x14ac:dyDescent="0.25"/>
    <row r="161690" s="12" customFormat="1" x14ac:dyDescent="0.25"/>
    <row r="161691" s="12" customFormat="1" x14ac:dyDescent="0.25"/>
    <row r="161692" s="12" customFormat="1" x14ac:dyDescent="0.25"/>
    <row r="161693" s="12" customFormat="1" x14ac:dyDescent="0.25"/>
    <row r="161694" s="12" customFormat="1" x14ac:dyDescent="0.25"/>
    <row r="161695" s="12" customFormat="1" x14ac:dyDescent="0.25"/>
    <row r="161696" s="12" customFormat="1" x14ac:dyDescent="0.25"/>
    <row r="161697" s="12" customFormat="1" x14ac:dyDescent="0.25"/>
    <row r="161698" s="12" customFormat="1" x14ac:dyDescent="0.25"/>
    <row r="161699" s="12" customFormat="1" x14ac:dyDescent="0.25"/>
    <row r="161700" s="12" customFormat="1" x14ac:dyDescent="0.25"/>
    <row r="161701" s="12" customFormat="1" x14ac:dyDescent="0.25"/>
    <row r="161702" s="12" customFormat="1" x14ac:dyDescent="0.25"/>
    <row r="161703" s="12" customFormat="1" x14ac:dyDescent="0.25"/>
    <row r="161704" s="12" customFormat="1" x14ac:dyDescent="0.25"/>
    <row r="161705" s="12" customFormat="1" x14ac:dyDescent="0.25"/>
    <row r="161706" s="12" customFormat="1" x14ac:dyDescent="0.25"/>
    <row r="161707" s="12" customFormat="1" x14ac:dyDescent="0.25"/>
    <row r="161708" s="12" customFormat="1" x14ac:dyDescent="0.25"/>
    <row r="161709" s="12" customFormat="1" x14ac:dyDescent="0.25"/>
    <row r="161710" s="12" customFormat="1" x14ac:dyDescent="0.25"/>
    <row r="161711" s="12" customFormat="1" x14ac:dyDescent="0.25"/>
    <row r="161712" s="12" customFormat="1" x14ac:dyDescent="0.25"/>
    <row r="161713" s="12" customFormat="1" x14ac:dyDescent="0.25"/>
    <row r="161714" s="12" customFormat="1" x14ac:dyDescent="0.25"/>
    <row r="161715" s="12" customFormat="1" x14ac:dyDescent="0.25"/>
    <row r="161716" s="12" customFormat="1" x14ac:dyDescent="0.25"/>
    <row r="161717" s="12" customFormat="1" x14ac:dyDescent="0.25"/>
    <row r="161718" s="12" customFormat="1" x14ac:dyDescent="0.25"/>
    <row r="161719" s="12" customFormat="1" x14ac:dyDescent="0.25"/>
    <row r="161720" s="12" customFormat="1" x14ac:dyDescent="0.25"/>
    <row r="161721" s="12" customFormat="1" x14ac:dyDescent="0.25"/>
    <row r="161722" s="12" customFormat="1" x14ac:dyDescent="0.25"/>
    <row r="161723" s="12" customFormat="1" x14ac:dyDescent="0.25"/>
    <row r="161724" s="12" customFormat="1" x14ac:dyDescent="0.25"/>
    <row r="161725" s="12" customFormat="1" x14ac:dyDescent="0.25"/>
    <row r="161726" s="12" customFormat="1" x14ac:dyDescent="0.25"/>
    <row r="161727" s="12" customFormat="1" x14ac:dyDescent="0.25"/>
    <row r="161728" s="12" customFormat="1" x14ac:dyDescent="0.25"/>
    <row r="161729" s="12" customFormat="1" x14ac:dyDescent="0.25"/>
    <row r="161730" s="12" customFormat="1" x14ac:dyDescent="0.25"/>
    <row r="161731" s="12" customFormat="1" x14ac:dyDescent="0.25"/>
    <row r="161732" s="12" customFormat="1" x14ac:dyDescent="0.25"/>
    <row r="161733" s="12" customFormat="1" x14ac:dyDescent="0.25"/>
    <row r="161734" s="12" customFormat="1" x14ac:dyDescent="0.25"/>
    <row r="161735" s="12" customFormat="1" x14ac:dyDescent="0.25"/>
    <row r="161736" s="12" customFormat="1" x14ac:dyDescent="0.25"/>
    <row r="161737" s="12" customFormat="1" x14ac:dyDescent="0.25"/>
    <row r="161738" s="12" customFormat="1" x14ac:dyDescent="0.25"/>
    <row r="161739" s="12" customFormat="1" x14ac:dyDescent="0.25"/>
    <row r="161740" s="12" customFormat="1" x14ac:dyDescent="0.25"/>
    <row r="161741" s="12" customFormat="1" x14ac:dyDescent="0.25"/>
    <row r="161742" s="12" customFormat="1" x14ac:dyDescent="0.25"/>
    <row r="161743" s="12" customFormat="1" x14ac:dyDescent="0.25"/>
    <row r="161744" s="12" customFormat="1" x14ac:dyDescent="0.25"/>
    <row r="161745" s="12" customFormat="1" x14ac:dyDescent="0.25"/>
    <row r="161746" s="12" customFormat="1" x14ac:dyDescent="0.25"/>
    <row r="161747" s="12" customFormat="1" x14ac:dyDescent="0.25"/>
    <row r="161748" s="12" customFormat="1" x14ac:dyDescent="0.25"/>
    <row r="161749" s="12" customFormat="1" x14ac:dyDescent="0.25"/>
    <row r="161750" s="12" customFormat="1" x14ac:dyDescent="0.25"/>
    <row r="161751" s="12" customFormat="1" x14ac:dyDescent="0.25"/>
    <row r="161752" s="12" customFormat="1" x14ac:dyDescent="0.25"/>
    <row r="161753" s="12" customFormat="1" x14ac:dyDescent="0.25"/>
    <row r="161754" s="12" customFormat="1" x14ac:dyDescent="0.25"/>
    <row r="161755" s="12" customFormat="1" x14ac:dyDescent="0.25"/>
    <row r="161756" s="12" customFormat="1" x14ac:dyDescent="0.25"/>
    <row r="161757" s="12" customFormat="1" x14ac:dyDescent="0.25"/>
    <row r="161758" s="12" customFormat="1" x14ac:dyDescent="0.25"/>
    <row r="161759" s="12" customFormat="1" x14ac:dyDescent="0.25"/>
    <row r="161760" s="12" customFormat="1" x14ac:dyDescent="0.25"/>
    <row r="161761" s="12" customFormat="1" x14ac:dyDescent="0.25"/>
    <row r="161762" s="12" customFormat="1" x14ac:dyDescent="0.25"/>
    <row r="161763" s="12" customFormat="1" x14ac:dyDescent="0.25"/>
    <row r="161764" s="12" customFormat="1" x14ac:dyDescent="0.25"/>
    <row r="161765" s="12" customFormat="1" x14ac:dyDescent="0.25"/>
    <row r="161766" s="12" customFormat="1" x14ac:dyDescent="0.25"/>
    <row r="161767" s="12" customFormat="1" x14ac:dyDescent="0.25"/>
    <row r="161768" s="12" customFormat="1" x14ac:dyDescent="0.25"/>
    <row r="161769" s="12" customFormat="1" x14ac:dyDescent="0.25"/>
    <row r="161770" s="12" customFormat="1" x14ac:dyDescent="0.25"/>
    <row r="161771" s="12" customFormat="1" x14ac:dyDescent="0.25"/>
    <row r="161772" s="12" customFormat="1" x14ac:dyDescent="0.25"/>
    <row r="161773" s="12" customFormat="1" x14ac:dyDescent="0.25"/>
    <row r="161774" s="12" customFormat="1" x14ac:dyDescent="0.25"/>
    <row r="161775" s="12" customFormat="1" x14ac:dyDescent="0.25"/>
    <row r="161776" s="12" customFormat="1" x14ac:dyDescent="0.25"/>
    <row r="161777" s="12" customFormat="1" x14ac:dyDescent="0.25"/>
    <row r="161778" s="12" customFormat="1" x14ac:dyDescent="0.25"/>
    <row r="161779" s="12" customFormat="1" x14ac:dyDescent="0.25"/>
    <row r="161780" s="12" customFormat="1" x14ac:dyDescent="0.25"/>
    <row r="161781" s="12" customFormat="1" x14ac:dyDescent="0.25"/>
    <row r="161782" s="12" customFormat="1" x14ac:dyDescent="0.25"/>
    <row r="161783" s="12" customFormat="1" x14ac:dyDescent="0.25"/>
    <row r="161784" s="12" customFormat="1" x14ac:dyDescent="0.25"/>
    <row r="161785" s="12" customFormat="1" x14ac:dyDescent="0.25"/>
    <row r="161786" s="12" customFormat="1" x14ac:dyDescent="0.25"/>
    <row r="161787" s="12" customFormat="1" x14ac:dyDescent="0.25"/>
    <row r="161788" s="12" customFormat="1" x14ac:dyDescent="0.25"/>
    <row r="161789" s="12" customFormat="1" x14ac:dyDescent="0.25"/>
    <row r="161790" s="12" customFormat="1" x14ac:dyDescent="0.25"/>
    <row r="161791" s="12" customFormat="1" x14ac:dyDescent="0.25"/>
    <row r="161792" s="12" customFormat="1" x14ac:dyDescent="0.25"/>
    <row r="161793" s="12" customFormat="1" x14ac:dyDescent="0.25"/>
    <row r="161794" s="12" customFormat="1" x14ac:dyDescent="0.25"/>
    <row r="161795" s="12" customFormat="1" x14ac:dyDescent="0.25"/>
    <row r="161796" s="12" customFormat="1" x14ac:dyDescent="0.25"/>
    <row r="161797" s="12" customFormat="1" x14ac:dyDescent="0.25"/>
    <row r="161798" s="12" customFormat="1" x14ac:dyDescent="0.25"/>
    <row r="161799" s="12" customFormat="1" x14ac:dyDescent="0.25"/>
    <row r="161800" s="12" customFormat="1" x14ac:dyDescent="0.25"/>
    <row r="161801" s="12" customFormat="1" x14ac:dyDescent="0.25"/>
    <row r="161802" s="12" customFormat="1" x14ac:dyDescent="0.25"/>
    <row r="161803" s="12" customFormat="1" x14ac:dyDescent="0.25"/>
    <row r="161804" s="12" customFormat="1" x14ac:dyDescent="0.25"/>
    <row r="161805" s="12" customFormat="1" x14ac:dyDescent="0.25"/>
    <row r="161806" s="12" customFormat="1" x14ac:dyDescent="0.25"/>
    <row r="161807" s="12" customFormat="1" x14ac:dyDescent="0.25"/>
    <row r="161808" s="12" customFormat="1" x14ac:dyDescent="0.25"/>
    <row r="161809" s="12" customFormat="1" x14ac:dyDescent="0.25"/>
    <row r="161810" s="12" customFormat="1" x14ac:dyDescent="0.25"/>
    <row r="161811" s="12" customFormat="1" x14ac:dyDescent="0.25"/>
    <row r="161812" s="12" customFormat="1" x14ac:dyDescent="0.25"/>
    <row r="161813" s="12" customFormat="1" x14ac:dyDescent="0.25"/>
    <row r="161814" s="12" customFormat="1" x14ac:dyDescent="0.25"/>
    <row r="161815" s="12" customFormat="1" x14ac:dyDescent="0.25"/>
    <row r="161816" s="12" customFormat="1" x14ac:dyDescent="0.25"/>
    <row r="161817" s="12" customFormat="1" x14ac:dyDescent="0.25"/>
    <row r="161818" s="12" customFormat="1" x14ac:dyDescent="0.25"/>
    <row r="161819" s="12" customFormat="1" x14ac:dyDescent="0.25"/>
    <row r="161820" s="12" customFormat="1" x14ac:dyDescent="0.25"/>
    <row r="161821" s="12" customFormat="1" x14ac:dyDescent="0.25"/>
    <row r="161822" s="12" customFormat="1" x14ac:dyDescent="0.25"/>
    <row r="161823" s="12" customFormat="1" x14ac:dyDescent="0.25"/>
    <row r="161824" s="12" customFormat="1" x14ac:dyDescent="0.25"/>
    <row r="161825" s="12" customFormat="1" x14ac:dyDescent="0.25"/>
    <row r="161826" s="12" customFormat="1" x14ac:dyDescent="0.25"/>
    <row r="161827" s="12" customFormat="1" x14ac:dyDescent="0.25"/>
    <row r="161828" s="12" customFormat="1" x14ac:dyDescent="0.25"/>
    <row r="161829" s="12" customFormat="1" x14ac:dyDescent="0.25"/>
    <row r="161830" s="12" customFormat="1" x14ac:dyDescent="0.25"/>
    <row r="161831" s="12" customFormat="1" x14ac:dyDescent="0.25"/>
    <row r="161832" s="12" customFormat="1" x14ac:dyDescent="0.25"/>
    <row r="161833" s="12" customFormat="1" x14ac:dyDescent="0.25"/>
    <row r="161834" s="12" customFormat="1" x14ac:dyDescent="0.25"/>
    <row r="161835" s="12" customFormat="1" x14ac:dyDescent="0.25"/>
    <row r="161836" s="12" customFormat="1" x14ac:dyDescent="0.25"/>
    <row r="161837" s="12" customFormat="1" x14ac:dyDescent="0.25"/>
    <row r="161838" s="12" customFormat="1" x14ac:dyDescent="0.25"/>
    <row r="161839" s="12" customFormat="1" x14ac:dyDescent="0.25"/>
    <row r="161840" s="12" customFormat="1" x14ac:dyDescent="0.25"/>
    <row r="161841" s="12" customFormat="1" x14ac:dyDescent="0.25"/>
    <row r="161842" s="12" customFormat="1" x14ac:dyDescent="0.25"/>
    <row r="161843" s="12" customFormat="1" x14ac:dyDescent="0.25"/>
    <row r="161844" s="12" customFormat="1" x14ac:dyDescent="0.25"/>
    <row r="161845" s="12" customFormat="1" x14ac:dyDescent="0.25"/>
    <row r="161846" s="12" customFormat="1" x14ac:dyDescent="0.25"/>
    <row r="161847" s="12" customFormat="1" x14ac:dyDescent="0.25"/>
    <row r="161848" s="12" customFormat="1" x14ac:dyDescent="0.25"/>
    <row r="161849" s="12" customFormat="1" x14ac:dyDescent="0.25"/>
    <row r="161850" s="12" customFormat="1" x14ac:dyDescent="0.25"/>
    <row r="161851" s="12" customFormat="1" x14ac:dyDescent="0.25"/>
    <row r="161852" s="12" customFormat="1" x14ac:dyDescent="0.25"/>
    <row r="161853" s="12" customFormat="1" x14ac:dyDescent="0.25"/>
    <row r="161854" s="12" customFormat="1" x14ac:dyDescent="0.25"/>
    <row r="161855" s="12" customFormat="1" x14ac:dyDescent="0.25"/>
    <row r="161856" s="12" customFormat="1" x14ac:dyDescent="0.25"/>
    <row r="161857" s="12" customFormat="1" x14ac:dyDescent="0.25"/>
    <row r="161858" s="12" customFormat="1" x14ac:dyDescent="0.25"/>
    <row r="161859" s="12" customFormat="1" x14ac:dyDescent="0.25"/>
    <row r="161860" s="12" customFormat="1" x14ac:dyDescent="0.25"/>
    <row r="161861" s="12" customFormat="1" x14ac:dyDescent="0.25"/>
    <row r="161862" s="12" customFormat="1" x14ac:dyDescent="0.25"/>
    <row r="161863" s="12" customFormat="1" x14ac:dyDescent="0.25"/>
    <row r="161864" s="12" customFormat="1" x14ac:dyDescent="0.25"/>
    <row r="161865" s="12" customFormat="1" x14ac:dyDescent="0.25"/>
    <row r="161866" s="12" customFormat="1" x14ac:dyDescent="0.25"/>
    <row r="161867" s="12" customFormat="1" x14ac:dyDescent="0.25"/>
    <row r="161868" s="12" customFormat="1" x14ac:dyDescent="0.25"/>
    <row r="161869" s="12" customFormat="1" x14ac:dyDescent="0.25"/>
    <row r="161870" s="12" customFormat="1" x14ac:dyDescent="0.25"/>
    <row r="161871" s="12" customFormat="1" x14ac:dyDescent="0.25"/>
    <row r="161872" s="12" customFormat="1" x14ac:dyDescent="0.25"/>
    <row r="161873" s="12" customFormat="1" x14ac:dyDescent="0.25"/>
    <row r="161874" s="12" customFormat="1" x14ac:dyDescent="0.25"/>
    <row r="161875" s="12" customFormat="1" x14ac:dyDescent="0.25"/>
    <row r="161876" s="12" customFormat="1" x14ac:dyDescent="0.25"/>
    <row r="161877" s="12" customFormat="1" x14ac:dyDescent="0.25"/>
    <row r="161878" s="12" customFormat="1" x14ac:dyDescent="0.25"/>
    <row r="161879" s="12" customFormat="1" x14ac:dyDescent="0.25"/>
    <row r="161880" s="12" customFormat="1" x14ac:dyDescent="0.25"/>
    <row r="161881" s="12" customFormat="1" x14ac:dyDescent="0.25"/>
    <row r="161882" s="12" customFormat="1" x14ac:dyDescent="0.25"/>
    <row r="161883" s="12" customFormat="1" x14ac:dyDescent="0.25"/>
    <row r="161884" s="12" customFormat="1" x14ac:dyDescent="0.25"/>
    <row r="161885" s="12" customFormat="1" x14ac:dyDescent="0.25"/>
    <row r="161886" s="12" customFormat="1" x14ac:dyDescent="0.25"/>
    <row r="161887" s="12" customFormat="1" x14ac:dyDescent="0.25"/>
    <row r="161888" s="12" customFormat="1" x14ac:dyDescent="0.25"/>
    <row r="161889" s="12" customFormat="1" x14ac:dyDescent="0.25"/>
    <row r="161890" s="12" customFormat="1" x14ac:dyDescent="0.25"/>
    <row r="161891" s="12" customFormat="1" x14ac:dyDescent="0.25"/>
    <row r="161892" s="12" customFormat="1" x14ac:dyDescent="0.25"/>
    <row r="161893" s="12" customFormat="1" x14ac:dyDescent="0.25"/>
    <row r="161894" s="12" customFormat="1" x14ac:dyDescent="0.25"/>
    <row r="161895" s="12" customFormat="1" x14ac:dyDescent="0.25"/>
    <row r="161896" s="12" customFormat="1" x14ac:dyDescent="0.25"/>
    <row r="161897" s="12" customFormat="1" x14ac:dyDescent="0.25"/>
    <row r="161898" s="12" customFormat="1" x14ac:dyDescent="0.25"/>
    <row r="161899" s="12" customFormat="1" x14ac:dyDescent="0.25"/>
    <row r="161900" s="12" customFormat="1" x14ac:dyDescent="0.25"/>
    <row r="161901" s="12" customFormat="1" x14ac:dyDescent="0.25"/>
    <row r="161902" s="12" customFormat="1" x14ac:dyDescent="0.25"/>
    <row r="161903" s="12" customFormat="1" x14ac:dyDescent="0.25"/>
    <row r="161904" s="12" customFormat="1" x14ac:dyDescent="0.25"/>
    <row r="161905" s="12" customFormat="1" x14ac:dyDescent="0.25"/>
    <row r="161906" s="12" customFormat="1" x14ac:dyDescent="0.25"/>
    <row r="161907" s="12" customFormat="1" x14ac:dyDescent="0.25"/>
    <row r="161908" s="12" customFormat="1" x14ac:dyDescent="0.25"/>
    <row r="161909" s="12" customFormat="1" x14ac:dyDescent="0.25"/>
    <row r="161910" s="12" customFormat="1" x14ac:dyDescent="0.25"/>
    <row r="161911" s="12" customFormat="1" x14ac:dyDescent="0.25"/>
    <row r="161912" s="12" customFormat="1" x14ac:dyDescent="0.25"/>
    <row r="161913" s="12" customFormat="1" x14ac:dyDescent="0.25"/>
    <row r="161914" s="12" customFormat="1" x14ac:dyDescent="0.25"/>
    <row r="161915" s="12" customFormat="1" x14ac:dyDescent="0.25"/>
    <row r="161916" s="12" customFormat="1" x14ac:dyDescent="0.25"/>
    <row r="161917" s="12" customFormat="1" x14ac:dyDescent="0.25"/>
    <row r="161918" s="12" customFormat="1" x14ac:dyDescent="0.25"/>
    <row r="161919" s="12" customFormat="1" x14ac:dyDescent="0.25"/>
    <row r="161920" s="12" customFormat="1" x14ac:dyDescent="0.25"/>
    <row r="161921" s="12" customFormat="1" x14ac:dyDescent="0.25"/>
    <row r="161922" s="12" customFormat="1" x14ac:dyDescent="0.25"/>
    <row r="161923" s="12" customFormat="1" x14ac:dyDescent="0.25"/>
    <row r="161924" s="12" customFormat="1" x14ac:dyDescent="0.25"/>
    <row r="161925" s="12" customFormat="1" x14ac:dyDescent="0.25"/>
    <row r="161926" s="12" customFormat="1" x14ac:dyDescent="0.25"/>
    <row r="161927" s="12" customFormat="1" x14ac:dyDescent="0.25"/>
    <row r="161928" s="12" customFormat="1" x14ac:dyDescent="0.25"/>
    <row r="161929" s="12" customFormat="1" x14ac:dyDescent="0.25"/>
    <row r="161930" s="12" customFormat="1" x14ac:dyDescent="0.25"/>
    <row r="161931" s="12" customFormat="1" x14ac:dyDescent="0.25"/>
    <row r="161932" s="12" customFormat="1" x14ac:dyDescent="0.25"/>
    <row r="161933" s="12" customFormat="1" x14ac:dyDescent="0.25"/>
    <row r="161934" s="12" customFormat="1" x14ac:dyDescent="0.25"/>
    <row r="161935" s="12" customFormat="1" x14ac:dyDescent="0.25"/>
    <row r="161936" s="12" customFormat="1" x14ac:dyDescent="0.25"/>
    <row r="161937" s="12" customFormat="1" x14ac:dyDescent="0.25"/>
    <row r="161938" s="12" customFormat="1" x14ac:dyDescent="0.25"/>
    <row r="161939" s="12" customFormat="1" x14ac:dyDescent="0.25"/>
    <row r="161940" s="12" customFormat="1" x14ac:dyDescent="0.25"/>
    <row r="161941" s="12" customFormat="1" x14ac:dyDescent="0.25"/>
    <row r="161942" s="12" customFormat="1" x14ac:dyDescent="0.25"/>
    <row r="161943" s="12" customFormat="1" x14ac:dyDescent="0.25"/>
    <row r="161944" s="12" customFormat="1" x14ac:dyDescent="0.25"/>
    <row r="161945" s="12" customFormat="1" x14ac:dyDescent="0.25"/>
    <row r="161946" s="12" customFormat="1" x14ac:dyDescent="0.25"/>
    <row r="161947" s="12" customFormat="1" x14ac:dyDescent="0.25"/>
    <row r="161948" s="12" customFormat="1" x14ac:dyDescent="0.25"/>
    <row r="161949" s="12" customFormat="1" x14ac:dyDescent="0.25"/>
    <row r="161950" s="12" customFormat="1" x14ac:dyDescent="0.25"/>
    <row r="161951" s="12" customFormat="1" x14ac:dyDescent="0.25"/>
    <row r="161952" s="12" customFormat="1" x14ac:dyDescent="0.25"/>
    <row r="161953" s="12" customFormat="1" x14ac:dyDescent="0.25"/>
    <row r="161954" s="12" customFormat="1" x14ac:dyDescent="0.25"/>
    <row r="161955" s="12" customFormat="1" x14ac:dyDescent="0.25"/>
    <row r="161956" s="12" customFormat="1" x14ac:dyDescent="0.25"/>
    <row r="161957" s="12" customFormat="1" x14ac:dyDescent="0.25"/>
    <row r="161958" s="12" customFormat="1" x14ac:dyDescent="0.25"/>
    <row r="161959" s="12" customFormat="1" x14ac:dyDescent="0.25"/>
    <row r="161960" s="12" customFormat="1" x14ac:dyDescent="0.25"/>
    <row r="161961" s="12" customFormat="1" x14ac:dyDescent="0.25"/>
    <row r="161962" s="12" customFormat="1" x14ac:dyDescent="0.25"/>
    <row r="161963" s="12" customFormat="1" x14ac:dyDescent="0.25"/>
    <row r="161964" s="12" customFormat="1" x14ac:dyDescent="0.25"/>
    <row r="161965" s="12" customFormat="1" x14ac:dyDescent="0.25"/>
    <row r="161966" s="12" customFormat="1" x14ac:dyDescent="0.25"/>
    <row r="161967" s="12" customFormat="1" x14ac:dyDescent="0.25"/>
    <row r="161968" s="12" customFormat="1" x14ac:dyDescent="0.25"/>
    <row r="161969" s="12" customFormat="1" x14ac:dyDescent="0.25"/>
    <row r="161970" s="12" customFormat="1" x14ac:dyDescent="0.25"/>
    <row r="161971" s="12" customFormat="1" x14ac:dyDescent="0.25"/>
    <row r="161972" s="12" customFormat="1" x14ac:dyDescent="0.25"/>
    <row r="161973" s="12" customFormat="1" x14ac:dyDescent="0.25"/>
    <row r="161974" s="12" customFormat="1" x14ac:dyDescent="0.25"/>
    <row r="161975" s="12" customFormat="1" x14ac:dyDescent="0.25"/>
    <row r="161976" s="12" customFormat="1" x14ac:dyDescent="0.25"/>
    <row r="161977" s="12" customFormat="1" x14ac:dyDescent="0.25"/>
    <row r="161978" s="12" customFormat="1" x14ac:dyDescent="0.25"/>
    <row r="161979" s="12" customFormat="1" x14ac:dyDescent="0.25"/>
    <row r="161980" s="12" customFormat="1" x14ac:dyDescent="0.25"/>
    <row r="161981" s="12" customFormat="1" x14ac:dyDescent="0.25"/>
    <row r="161982" s="12" customFormat="1" x14ac:dyDescent="0.25"/>
    <row r="161983" s="12" customFormat="1" x14ac:dyDescent="0.25"/>
    <row r="161984" s="12" customFormat="1" x14ac:dyDescent="0.25"/>
    <row r="161985" s="12" customFormat="1" x14ac:dyDescent="0.25"/>
    <row r="161986" s="12" customFormat="1" x14ac:dyDescent="0.25"/>
    <row r="161987" s="12" customFormat="1" x14ac:dyDescent="0.25"/>
    <row r="161988" s="12" customFormat="1" x14ac:dyDescent="0.25"/>
    <row r="161989" s="12" customFormat="1" x14ac:dyDescent="0.25"/>
    <row r="161990" s="12" customFormat="1" x14ac:dyDescent="0.25"/>
    <row r="161991" s="12" customFormat="1" x14ac:dyDescent="0.25"/>
    <row r="161992" s="12" customFormat="1" x14ac:dyDescent="0.25"/>
    <row r="161993" s="12" customFormat="1" x14ac:dyDescent="0.25"/>
    <row r="161994" s="12" customFormat="1" x14ac:dyDescent="0.25"/>
    <row r="161995" s="12" customFormat="1" x14ac:dyDescent="0.25"/>
    <row r="161996" s="12" customFormat="1" x14ac:dyDescent="0.25"/>
    <row r="161997" s="12" customFormat="1" x14ac:dyDescent="0.25"/>
    <row r="161998" s="12" customFormat="1" x14ac:dyDescent="0.25"/>
    <row r="161999" s="12" customFormat="1" x14ac:dyDescent="0.25"/>
    <row r="162000" s="12" customFormat="1" x14ac:dyDescent="0.25"/>
    <row r="162001" s="12" customFormat="1" x14ac:dyDescent="0.25"/>
    <row r="162002" s="12" customFormat="1" x14ac:dyDescent="0.25"/>
    <row r="162003" s="12" customFormat="1" x14ac:dyDescent="0.25"/>
    <row r="162004" s="12" customFormat="1" x14ac:dyDescent="0.25"/>
    <row r="162005" s="12" customFormat="1" x14ac:dyDescent="0.25"/>
    <row r="162006" s="12" customFormat="1" x14ac:dyDescent="0.25"/>
    <row r="162007" s="12" customFormat="1" x14ac:dyDescent="0.25"/>
    <row r="162008" s="12" customFormat="1" x14ac:dyDescent="0.25"/>
    <row r="162009" s="12" customFormat="1" x14ac:dyDescent="0.25"/>
    <row r="162010" s="12" customFormat="1" x14ac:dyDescent="0.25"/>
    <row r="162011" s="12" customFormat="1" x14ac:dyDescent="0.25"/>
    <row r="162012" s="12" customFormat="1" x14ac:dyDescent="0.25"/>
    <row r="162013" s="12" customFormat="1" x14ac:dyDescent="0.25"/>
    <row r="162014" s="12" customFormat="1" x14ac:dyDescent="0.25"/>
    <row r="162015" s="12" customFormat="1" x14ac:dyDescent="0.25"/>
    <row r="162016" s="12" customFormat="1" x14ac:dyDescent="0.25"/>
    <row r="162017" s="12" customFormat="1" x14ac:dyDescent="0.25"/>
    <row r="162018" s="12" customFormat="1" x14ac:dyDescent="0.25"/>
    <row r="162019" s="12" customFormat="1" x14ac:dyDescent="0.25"/>
    <row r="162020" s="12" customFormat="1" x14ac:dyDescent="0.25"/>
    <row r="162021" s="12" customFormat="1" x14ac:dyDescent="0.25"/>
    <row r="162022" s="12" customFormat="1" x14ac:dyDescent="0.25"/>
    <row r="162023" s="12" customFormat="1" x14ac:dyDescent="0.25"/>
    <row r="162024" s="12" customFormat="1" x14ac:dyDescent="0.25"/>
    <row r="162025" s="12" customFormat="1" x14ac:dyDescent="0.25"/>
    <row r="162026" s="12" customFormat="1" x14ac:dyDescent="0.25"/>
    <row r="162027" s="12" customFormat="1" x14ac:dyDescent="0.25"/>
    <row r="162028" s="12" customFormat="1" x14ac:dyDescent="0.25"/>
    <row r="162029" s="12" customFormat="1" x14ac:dyDescent="0.25"/>
    <row r="162030" s="12" customFormat="1" x14ac:dyDescent="0.25"/>
    <row r="162031" s="12" customFormat="1" x14ac:dyDescent="0.25"/>
    <row r="162032" s="12" customFormat="1" x14ac:dyDescent="0.25"/>
    <row r="162033" s="12" customFormat="1" x14ac:dyDescent="0.25"/>
    <row r="162034" s="12" customFormat="1" x14ac:dyDescent="0.25"/>
    <row r="162035" s="12" customFormat="1" x14ac:dyDescent="0.25"/>
    <row r="162036" s="12" customFormat="1" x14ac:dyDescent="0.25"/>
    <row r="162037" s="12" customFormat="1" x14ac:dyDescent="0.25"/>
    <row r="162038" s="12" customFormat="1" x14ac:dyDescent="0.25"/>
    <row r="162039" s="12" customFormat="1" x14ac:dyDescent="0.25"/>
    <row r="162040" s="12" customFormat="1" x14ac:dyDescent="0.25"/>
    <row r="162041" s="12" customFormat="1" x14ac:dyDescent="0.25"/>
    <row r="162042" s="12" customFormat="1" x14ac:dyDescent="0.25"/>
    <row r="162043" s="12" customFormat="1" x14ac:dyDescent="0.25"/>
    <row r="162044" s="12" customFormat="1" x14ac:dyDescent="0.25"/>
    <row r="162045" s="12" customFormat="1" x14ac:dyDescent="0.25"/>
    <row r="162046" s="12" customFormat="1" x14ac:dyDescent="0.25"/>
    <row r="162047" s="12" customFormat="1" x14ac:dyDescent="0.25"/>
    <row r="162048" s="12" customFormat="1" x14ac:dyDescent="0.25"/>
    <row r="162049" s="12" customFormat="1" x14ac:dyDescent="0.25"/>
    <row r="162050" s="12" customFormat="1" x14ac:dyDescent="0.25"/>
    <row r="162051" s="12" customFormat="1" x14ac:dyDescent="0.25"/>
    <row r="162052" s="12" customFormat="1" x14ac:dyDescent="0.25"/>
    <row r="162053" s="12" customFormat="1" x14ac:dyDescent="0.25"/>
    <row r="162054" s="12" customFormat="1" x14ac:dyDescent="0.25"/>
    <row r="162055" s="12" customFormat="1" x14ac:dyDescent="0.25"/>
    <row r="162056" s="12" customFormat="1" x14ac:dyDescent="0.25"/>
    <row r="162057" s="12" customFormat="1" x14ac:dyDescent="0.25"/>
    <row r="162058" s="12" customFormat="1" x14ac:dyDescent="0.25"/>
    <row r="162059" s="12" customFormat="1" x14ac:dyDescent="0.25"/>
    <row r="162060" s="12" customFormat="1" x14ac:dyDescent="0.25"/>
    <row r="162061" s="12" customFormat="1" x14ac:dyDescent="0.25"/>
    <row r="162062" s="12" customFormat="1" x14ac:dyDescent="0.25"/>
    <row r="162063" s="12" customFormat="1" x14ac:dyDescent="0.25"/>
    <row r="162064" s="12" customFormat="1" x14ac:dyDescent="0.25"/>
    <row r="162065" s="12" customFormat="1" x14ac:dyDescent="0.25"/>
    <row r="162066" s="12" customFormat="1" x14ac:dyDescent="0.25"/>
    <row r="162067" s="12" customFormat="1" x14ac:dyDescent="0.25"/>
    <row r="162068" s="12" customFormat="1" x14ac:dyDescent="0.25"/>
    <row r="162069" s="12" customFormat="1" x14ac:dyDescent="0.25"/>
    <row r="162070" s="12" customFormat="1" x14ac:dyDescent="0.25"/>
    <row r="162071" s="12" customFormat="1" x14ac:dyDescent="0.25"/>
    <row r="162072" s="12" customFormat="1" x14ac:dyDescent="0.25"/>
    <row r="162073" s="12" customFormat="1" x14ac:dyDescent="0.25"/>
    <row r="162074" s="12" customFormat="1" x14ac:dyDescent="0.25"/>
    <row r="162075" s="12" customFormat="1" x14ac:dyDescent="0.25"/>
    <row r="162076" s="12" customFormat="1" x14ac:dyDescent="0.25"/>
    <row r="162077" s="12" customFormat="1" x14ac:dyDescent="0.25"/>
    <row r="162078" s="12" customFormat="1" x14ac:dyDescent="0.25"/>
    <row r="162079" s="12" customFormat="1" x14ac:dyDescent="0.25"/>
    <row r="162080" s="12" customFormat="1" x14ac:dyDescent="0.25"/>
    <row r="162081" s="12" customFormat="1" x14ac:dyDescent="0.25"/>
    <row r="162082" s="12" customFormat="1" x14ac:dyDescent="0.25"/>
    <row r="162083" s="12" customFormat="1" x14ac:dyDescent="0.25"/>
    <row r="162084" s="12" customFormat="1" x14ac:dyDescent="0.25"/>
    <row r="162085" s="12" customFormat="1" x14ac:dyDescent="0.25"/>
    <row r="162086" s="12" customFormat="1" x14ac:dyDescent="0.25"/>
    <row r="162087" s="12" customFormat="1" x14ac:dyDescent="0.25"/>
    <row r="162088" s="12" customFormat="1" x14ac:dyDescent="0.25"/>
    <row r="162089" s="12" customFormat="1" x14ac:dyDescent="0.25"/>
    <row r="162090" s="12" customFormat="1" x14ac:dyDescent="0.25"/>
    <row r="162091" s="12" customFormat="1" x14ac:dyDescent="0.25"/>
    <row r="162092" s="12" customFormat="1" x14ac:dyDescent="0.25"/>
    <row r="162093" s="12" customFormat="1" x14ac:dyDescent="0.25"/>
    <row r="162094" s="12" customFormat="1" x14ac:dyDescent="0.25"/>
    <row r="162095" s="12" customFormat="1" x14ac:dyDescent="0.25"/>
    <row r="162096" s="12" customFormat="1" x14ac:dyDescent="0.25"/>
    <row r="162097" s="12" customFormat="1" x14ac:dyDescent="0.25"/>
    <row r="162098" s="12" customFormat="1" x14ac:dyDescent="0.25"/>
    <row r="162099" s="12" customFormat="1" x14ac:dyDescent="0.25"/>
    <row r="162100" s="12" customFormat="1" x14ac:dyDescent="0.25"/>
    <row r="162101" s="12" customFormat="1" x14ac:dyDescent="0.25"/>
    <row r="162102" s="12" customFormat="1" x14ac:dyDescent="0.25"/>
    <row r="162103" s="12" customFormat="1" x14ac:dyDescent="0.25"/>
    <row r="162104" s="12" customFormat="1" x14ac:dyDescent="0.25"/>
    <row r="162105" s="12" customFormat="1" x14ac:dyDescent="0.25"/>
    <row r="162106" s="12" customFormat="1" x14ac:dyDescent="0.25"/>
    <row r="162107" s="12" customFormat="1" x14ac:dyDescent="0.25"/>
    <row r="162108" s="12" customFormat="1" x14ac:dyDescent="0.25"/>
    <row r="162109" s="12" customFormat="1" x14ac:dyDescent="0.25"/>
    <row r="162110" s="12" customFormat="1" x14ac:dyDescent="0.25"/>
    <row r="162111" s="12" customFormat="1" x14ac:dyDescent="0.25"/>
    <row r="162112" s="12" customFormat="1" x14ac:dyDescent="0.25"/>
    <row r="162113" s="12" customFormat="1" x14ac:dyDescent="0.25"/>
    <row r="162114" s="12" customFormat="1" x14ac:dyDescent="0.25"/>
    <row r="162115" s="12" customFormat="1" x14ac:dyDescent="0.25"/>
    <row r="162116" s="12" customFormat="1" x14ac:dyDescent="0.25"/>
    <row r="162117" s="12" customFormat="1" x14ac:dyDescent="0.25"/>
    <row r="162118" s="12" customFormat="1" x14ac:dyDescent="0.25"/>
    <row r="162119" s="12" customFormat="1" x14ac:dyDescent="0.25"/>
    <row r="162120" s="12" customFormat="1" x14ac:dyDescent="0.25"/>
    <row r="162121" s="12" customFormat="1" x14ac:dyDescent="0.25"/>
    <row r="162122" s="12" customFormat="1" x14ac:dyDescent="0.25"/>
    <row r="162123" s="12" customFormat="1" x14ac:dyDescent="0.25"/>
    <row r="162124" s="12" customFormat="1" x14ac:dyDescent="0.25"/>
    <row r="162125" s="12" customFormat="1" x14ac:dyDescent="0.25"/>
    <row r="162126" s="12" customFormat="1" x14ac:dyDescent="0.25"/>
    <row r="162127" s="12" customFormat="1" x14ac:dyDescent="0.25"/>
    <row r="162128" s="12" customFormat="1" x14ac:dyDescent="0.25"/>
    <row r="162129" s="12" customFormat="1" x14ac:dyDescent="0.25"/>
    <row r="162130" s="12" customFormat="1" x14ac:dyDescent="0.25"/>
    <row r="162131" s="12" customFormat="1" x14ac:dyDescent="0.25"/>
    <row r="162132" s="12" customFormat="1" x14ac:dyDescent="0.25"/>
    <row r="162133" s="12" customFormat="1" x14ac:dyDescent="0.25"/>
    <row r="162134" s="12" customFormat="1" x14ac:dyDescent="0.25"/>
    <row r="162135" s="12" customFormat="1" x14ac:dyDescent="0.25"/>
    <row r="162136" s="12" customFormat="1" x14ac:dyDescent="0.25"/>
    <row r="162137" s="12" customFormat="1" x14ac:dyDescent="0.25"/>
    <row r="162138" s="12" customFormat="1" x14ac:dyDescent="0.25"/>
    <row r="162139" s="12" customFormat="1" x14ac:dyDescent="0.25"/>
    <row r="162140" s="12" customFormat="1" x14ac:dyDescent="0.25"/>
    <row r="162141" s="12" customFormat="1" x14ac:dyDescent="0.25"/>
    <row r="162142" s="12" customFormat="1" x14ac:dyDescent="0.25"/>
    <row r="162143" s="12" customFormat="1" x14ac:dyDescent="0.25"/>
    <row r="162144" s="12" customFormat="1" x14ac:dyDescent="0.25"/>
    <row r="162145" s="12" customFormat="1" x14ac:dyDescent="0.25"/>
    <row r="162146" s="12" customFormat="1" x14ac:dyDescent="0.25"/>
    <row r="162147" s="12" customFormat="1" x14ac:dyDescent="0.25"/>
    <row r="162148" s="12" customFormat="1" x14ac:dyDescent="0.25"/>
    <row r="162149" s="12" customFormat="1" x14ac:dyDescent="0.25"/>
    <row r="162150" s="12" customFormat="1" x14ac:dyDescent="0.25"/>
    <row r="162151" s="12" customFormat="1" x14ac:dyDescent="0.25"/>
    <row r="162152" s="12" customFormat="1" x14ac:dyDescent="0.25"/>
    <row r="162153" s="12" customFormat="1" x14ac:dyDescent="0.25"/>
    <row r="162154" s="12" customFormat="1" x14ac:dyDescent="0.25"/>
    <row r="162155" s="12" customFormat="1" x14ac:dyDescent="0.25"/>
    <row r="162156" s="12" customFormat="1" x14ac:dyDescent="0.25"/>
    <row r="162157" s="12" customFormat="1" x14ac:dyDescent="0.25"/>
    <row r="162158" s="12" customFormat="1" x14ac:dyDescent="0.25"/>
    <row r="162159" s="12" customFormat="1" x14ac:dyDescent="0.25"/>
    <row r="162160" s="12" customFormat="1" x14ac:dyDescent="0.25"/>
    <row r="162161" s="12" customFormat="1" x14ac:dyDescent="0.25"/>
    <row r="162162" s="12" customFormat="1" x14ac:dyDescent="0.25"/>
    <row r="162163" s="12" customFormat="1" x14ac:dyDescent="0.25"/>
    <row r="162164" s="12" customFormat="1" x14ac:dyDescent="0.25"/>
    <row r="162165" s="12" customFormat="1" x14ac:dyDescent="0.25"/>
    <row r="162166" s="12" customFormat="1" x14ac:dyDescent="0.25"/>
    <row r="162167" s="12" customFormat="1" x14ac:dyDescent="0.25"/>
    <row r="162168" s="12" customFormat="1" x14ac:dyDescent="0.25"/>
    <row r="162169" s="12" customFormat="1" x14ac:dyDescent="0.25"/>
    <row r="162170" s="12" customFormat="1" x14ac:dyDescent="0.25"/>
    <row r="162171" s="12" customFormat="1" x14ac:dyDescent="0.25"/>
    <row r="162172" s="12" customFormat="1" x14ac:dyDescent="0.25"/>
    <row r="162173" s="12" customFormat="1" x14ac:dyDescent="0.25"/>
    <row r="162174" s="12" customFormat="1" x14ac:dyDescent="0.25"/>
    <row r="162175" s="12" customFormat="1" x14ac:dyDescent="0.25"/>
    <row r="162176" s="12" customFormat="1" x14ac:dyDescent="0.25"/>
    <row r="162177" s="12" customFormat="1" x14ac:dyDescent="0.25"/>
    <row r="162178" s="12" customFormat="1" x14ac:dyDescent="0.25"/>
    <row r="162179" s="12" customFormat="1" x14ac:dyDescent="0.25"/>
    <row r="162180" s="12" customFormat="1" x14ac:dyDescent="0.25"/>
    <row r="162181" s="12" customFormat="1" x14ac:dyDescent="0.25"/>
    <row r="162182" s="12" customFormat="1" x14ac:dyDescent="0.25"/>
    <row r="162183" s="12" customFormat="1" x14ac:dyDescent="0.25"/>
    <row r="162184" s="12" customFormat="1" x14ac:dyDescent="0.25"/>
    <row r="162185" s="12" customFormat="1" x14ac:dyDescent="0.25"/>
    <row r="162186" s="12" customFormat="1" x14ac:dyDescent="0.25"/>
    <row r="162187" s="12" customFormat="1" x14ac:dyDescent="0.25"/>
    <row r="162188" s="12" customFormat="1" x14ac:dyDescent="0.25"/>
    <row r="162189" s="12" customFormat="1" x14ac:dyDescent="0.25"/>
    <row r="162190" s="12" customFormat="1" x14ac:dyDescent="0.25"/>
    <row r="162191" s="12" customFormat="1" x14ac:dyDescent="0.25"/>
    <row r="162192" s="12" customFormat="1" x14ac:dyDescent="0.25"/>
    <row r="162193" s="12" customFormat="1" x14ac:dyDescent="0.25"/>
    <row r="162194" s="12" customFormat="1" x14ac:dyDescent="0.25"/>
    <row r="162195" s="12" customFormat="1" x14ac:dyDescent="0.25"/>
    <row r="162196" s="12" customFormat="1" x14ac:dyDescent="0.25"/>
    <row r="162197" s="12" customFormat="1" x14ac:dyDescent="0.25"/>
    <row r="162198" s="12" customFormat="1" x14ac:dyDescent="0.25"/>
    <row r="162199" s="12" customFormat="1" x14ac:dyDescent="0.25"/>
    <row r="162200" s="12" customFormat="1" x14ac:dyDescent="0.25"/>
    <row r="162201" s="12" customFormat="1" x14ac:dyDescent="0.25"/>
    <row r="162202" s="12" customFormat="1" x14ac:dyDescent="0.25"/>
    <row r="162203" s="12" customFormat="1" x14ac:dyDescent="0.25"/>
    <row r="162204" s="12" customFormat="1" x14ac:dyDescent="0.25"/>
    <row r="162205" s="12" customFormat="1" x14ac:dyDescent="0.25"/>
    <row r="162206" s="12" customFormat="1" x14ac:dyDescent="0.25"/>
    <row r="162207" s="12" customFormat="1" x14ac:dyDescent="0.25"/>
    <row r="162208" s="12" customFormat="1" x14ac:dyDescent="0.25"/>
    <row r="162209" s="12" customFormat="1" x14ac:dyDescent="0.25"/>
    <row r="162210" s="12" customFormat="1" x14ac:dyDescent="0.25"/>
    <row r="162211" s="12" customFormat="1" x14ac:dyDescent="0.25"/>
    <row r="162212" s="12" customFormat="1" x14ac:dyDescent="0.25"/>
    <row r="162213" s="12" customFormat="1" x14ac:dyDescent="0.25"/>
    <row r="162214" s="12" customFormat="1" x14ac:dyDescent="0.25"/>
    <row r="162215" s="12" customFormat="1" x14ac:dyDescent="0.25"/>
    <row r="162216" s="12" customFormat="1" x14ac:dyDescent="0.25"/>
    <row r="162217" s="12" customFormat="1" x14ac:dyDescent="0.25"/>
    <row r="162218" s="12" customFormat="1" x14ac:dyDescent="0.25"/>
    <row r="162219" s="12" customFormat="1" x14ac:dyDescent="0.25"/>
    <row r="162220" s="12" customFormat="1" x14ac:dyDescent="0.25"/>
    <row r="162221" s="12" customFormat="1" x14ac:dyDescent="0.25"/>
    <row r="162222" s="12" customFormat="1" x14ac:dyDescent="0.25"/>
    <row r="162223" s="12" customFormat="1" x14ac:dyDescent="0.25"/>
    <row r="162224" s="12" customFormat="1" x14ac:dyDescent="0.25"/>
    <row r="162225" s="12" customFormat="1" x14ac:dyDescent="0.25"/>
    <row r="162226" s="12" customFormat="1" x14ac:dyDescent="0.25"/>
    <row r="162227" s="12" customFormat="1" x14ac:dyDescent="0.25"/>
    <row r="162228" s="12" customFormat="1" x14ac:dyDescent="0.25"/>
    <row r="162229" s="12" customFormat="1" x14ac:dyDescent="0.25"/>
    <row r="162230" s="12" customFormat="1" x14ac:dyDescent="0.25"/>
    <row r="162231" s="12" customFormat="1" x14ac:dyDescent="0.25"/>
    <row r="162232" s="12" customFormat="1" x14ac:dyDescent="0.25"/>
    <row r="162233" s="12" customFormat="1" x14ac:dyDescent="0.25"/>
    <row r="162234" s="12" customFormat="1" x14ac:dyDescent="0.25"/>
    <row r="162235" s="12" customFormat="1" x14ac:dyDescent="0.25"/>
    <row r="162236" s="12" customFormat="1" x14ac:dyDescent="0.25"/>
    <row r="162237" s="12" customFormat="1" x14ac:dyDescent="0.25"/>
    <row r="162238" s="12" customFormat="1" x14ac:dyDescent="0.25"/>
    <row r="162239" s="12" customFormat="1" x14ac:dyDescent="0.25"/>
    <row r="162240" s="12" customFormat="1" x14ac:dyDescent="0.25"/>
    <row r="162241" s="12" customFormat="1" x14ac:dyDescent="0.25"/>
    <row r="162242" s="12" customFormat="1" x14ac:dyDescent="0.25"/>
    <row r="162243" s="12" customFormat="1" x14ac:dyDescent="0.25"/>
    <row r="162244" s="12" customFormat="1" x14ac:dyDescent="0.25"/>
    <row r="162245" s="12" customFormat="1" x14ac:dyDescent="0.25"/>
    <row r="162246" s="12" customFormat="1" x14ac:dyDescent="0.25"/>
    <row r="162247" s="12" customFormat="1" x14ac:dyDescent="0.25"/>
    <row r="162248" s="12" customFormat="1" x14ac:dyDescent="0.25"/>
    <row r="162249" s="12" customFormat="1" x14ac:dyDescent="0.25"/>
    <row r="162250" s="12" customFormat="1" x14ac:dyDescent="0.25"/>
    <row r="162251" s="12" customFormat="1" x14ac:dyDescent="0.25"/>
    <row r="162252" s="12" customFormat="1" x14ac:dyDescent="0.25"/>
    <row r="162253" s="12" customFormat="1" x14ac:dyDescent="0.25"/>
    <row r="162254" s="12" customFormat="1" x14ac:dyDescent="0.25"/>
    <row r="162255" s="12" customFormat="1" x14ac:dyDescent="0.25"/>
    <row r="162256" s="12" customFormat="1" x14ac:dyDescent="0.25"/>
    <row r="162257" s="12" customFormat="1" x14ac:dyDescent="0.25"/>
    <row r="162258" s="12" customFormat="1" x14ac:dyDescent="0.25"/>
    <row r="162259" s="12" customFormat="1" x14ac:dyDescent="0.25"/>
    <row r="162260" s="12" customFormat="1" x14ac:dyDescent="0.25"/>
    <row r="162261" s="12" customFormat="1" x14ac:dyDescent="0.25"/>
    <row r="162262" s="12" customFormat="1" x14ac:dyDescent="0.25"/>
    <row r="162263" s="12" customFormat="1" x14ac:dyDescent="0.25"/>
    <row r="162264" s="12" customFormat="1" x14ac:dyDescent="0.25"/>
    <row r="162265" s="12" customFormat="1" x14ac:dyDescent="0.25"/>
    <row r="162266" s="12" customFormat="1" x14ac:dyDescent="0.25"/>
    <row r="162267" s="12" customFormat="1" x14ac:dyDescent="0.25"/>
    <row r="162268" s="12" customFormat="1" x14ac:dyDescent="0.25"/>
    <row r="162269" s="12" customFormat="1" x14ac:dyDescent="0.25"/>
    <row r="162270" s="12" customFormat="1" x14ac:dyDescent="0.25"/>
    <row r="162271" s="12" customFormat="1" x14ac:dyDescent="0.25"/>
    <row r="162272" s="12" customFormat="1" x14ac:dyDescent="0.25"/>
    <row r="162273" s="12" customFormat="1" x14ac:dyDescent="0.25"/>
    <row r="162274" s="12" customFormat="1" x14ac:dyDescent="0.25"/>
    <row r="162275" s="12" customFormat="1" x14ac:dyDescent="0.25"/>
    <row r="162276" s="12" customFormat="1" x14ac:dyDescent="0.25"/>
    <row r="162277" s="12" customFormat="1" x14ac:dyDescent="0.25"/>
    <row r="162278" s="12" customFormat="1" x14ac:dyDescent="0.25"/>
    <row r="162279" s="12" customFormat="1" x14ac:dyDescent="0.25"/>
    <row r="162280" s="12" customFormat="1" x14ac:dyDescent="0.25"/>
    <row r="162281" s="12" customFormat="1" x14ac:dyDescent="0.25"/>
    <row r="162282" s="12" customFormat="1" x14ac:dyDescent="0.25"/>
    <row r="162283" s="12" customFormat="1" x14ac:dyDescent="0.25"/>
    <row r="162284" s="12" customFormat="1" x14ac:dyDescent="0.25"/>
    <row r="162285" s="12" customFormat="1" x14ac:dyDescent="0.25"/>
    <row r="162286" s="12" customFormat="1" x14ac:dyDescent="0.25"/>
    <row r="162287" s="12" customFormat="1" x14ac:dyDescent="0.25"/>
    <row r="162288" s="12" customFormat="1" x14ac:dyDescent="0.25"/>
    <row r="162289" s="12" customFormat="1" x14ac:dyDescent="0.25"/>
    <row r="162290" s="12" customFormat="1" x14ac:dyDescent="0.25"/>
    <row r="162291" s="12" customFormat="1" x14ac:dyDescent="0.25"/>
    <row r="162292" s="12" customFormat="1" x14ac:dyDescent="0.25"/>
    <row r="162293" s="12" customFormat="1" x14ac:dyDescent="0.25"/>
    <row r="162294" s="12" customFormat="1" x14ac:dyDescent="0.25"/>
    <row r="162295" s="12" customFormat="1" x14ac:dyDescent="0.25"/>
    <row r="162296" s="12" customFormat="1" x14ac:dyDescent="0.25"/>
    <row r="162297" s="12" customFormat="1" x14ac:dyDescent="0.25"/>
    <row r="162298" s="12" customFormat="1" x14ac:dyDescent="0.25"/>
    <row r="162299" s="12" customFormat="1" x14ac:dyDescent="0.25"/>
    <row r="162300" s="12" customFormat="1" x14ac:dyDescent="0.25"/>
    <row r="162301" s="12" customFormat="1" x14ac:dyDescent="0.25"/>
    <row r="162302" s="12" customFormat="1" x14ac:dyDescent="0.25"/>
    <row r="162303" s="12" customFormat="1" x14ac:dyDescent="0.25"/>
    <row r="162304" s="12" customFormat="1" x14ac:dyDescent="0.25"/>
    <row r="162305" s="12" customFormat="1" x14ac:dyDescent="0.25"/>
    <row r="162306" s="12" customFormat="1" x14ac:dyDescent="0.25"/>
    <row r="162307" s="12" customFormat="1" x14ac:dyDescent="0.25"/>
    <row r="162308" s="12" customFormat="1" x14ac:dyDescent="0.25"/>
    <row r="162309" s="12" customFormat="1" x14ac:dyDescent="0.25"/>
    <row r="162310" s="12" customFormat="1" x14ac:dyDescent="0.25"/>
    <row r="162311" s="12" customFormat="1" x14ac:dyDescent="0.25"/>
    <row r="162312" s="12" customFormat="1" x14ac:dyDescent="0.25"/>
    <row r="162313" s="12" customFormat="1" x14ac:dyDescent="0.25"/>
    <row r="162314" s="12" customFormat="1" x14ac:dyDescent="0.25"/>
    <row r="162315" s="12" customFormat="1" x14ac:dyDescent="0.25"/>
    <row r="162316" s="12" customFormat="1" x14ac:dyDescent="0.25"/>
    <row r="162317" s="12" customFormat="1" x14ac:dyDescent="0.25"/>
    <row r="162318" s="12" customFormat="1" x14ac:dyDescent="0.25"/>
    <row r="162319" s="12" customFormat="1" x14ac:dyDescent="0.25"/>
    <row r="162320" s="12" customFormat="1" x14ac:dyDescent="0.25"/>
    <row r="162321" s="12" customFormat="1" x14ac:dyDescent="0.25"/>
    <row r="162322" s="12" customFormat="1" x14ac:dyDescent="0.25"/>
    <row r="162323" s="12" customFormat="1" x14ac:dyDescent="0.25"/>
    <row r="162324" s="12" customFormat="1" x14ac:dyDescent="0.25"/>
    <row r="162325" s="12" customFormat="1" x14ac:dyDescent="0.25"/>
    <row r="162326" s="12" customFormat="1" x14ac:dyDescent="0.25"/>
    <row r="162327" s="12" customFormat="1" x14ac:dyDescent="0.25"/>
    <row r="162328" s="12" customFormat="1" x14ac:dyDescent="0.25"/>
    <row r="162329" s="12" customFormat="1" x14ac:dyDescent="0.25"/>
    <row r="162330" s="12" customFormat="1" x14ac:dyDescent="0.25"/>
    <row r="162331" s="12" customFormat="1" x14ac:dyDescent="0.25"/>
    <row r="162332" s="12" customFormat="1" x14ac:dyDescent="0.25"/>
    <row r="162333" s="12" customFormat="1" x14ac:dyDescent="0.25"/>
    <row r="162334" s="12" customFormat="1" x14ac:dyDescent="0.25"/>
    <row r="162335" s="12" customFormat="1" x14ac:dyDescent="0.25"/>
    <row r="162336" s="12" customFormat="1" x14ac:dyDescent="0.25"/>
    <row r="162337" s="12" customFormat="1" x14ac:dyDescent="0.25"/>
    <row r="162338" s="12" customFormat="1" x14ac:dyDescent="0.25"/>
    <row r="162339" s="12" customFormat="1" x14ac:dyDescent="0.25"/>
    <row r="162340" s="12" customFormat="1" x14ac:dyDescent="0.25"/>
    <row r="162341" s="12" customFormat="1" x14ac:dyDescent="0.25"/>
    <row r="162342" s="12" customFormat="1" x14ac:dyDescent="0.25"/>
    <row r="162343" s="12" customFormat="1" x14ac:dyDescent="0.25"/>
    <row r="162344" s="12" customFormat="1" x14ac:dyDescent="0.25"/>
    <row r="162345" s="12" customFormat="1" x14ac:dyDescent="0.25"/>
    <row r="162346" s="12" customFormat="1" x14ac:dyDescent="0.25"/>
    <row r="162347" s="12" customFormat="1" x14ac:dyDescent="0.25"/>
    <row r="162348" s="12" customFormat="1" x14ac:dyDescent="0.25"/>
    <row r="162349" s="12" customFormat="1" x14ac:dyDescent="0.25"/>
    <row r="162350" s="12" customFormat="1" x14ac:dyDescent="0.25"/>
    <row r="162351" s="12" customFormat="1" x14ac:dyDescent="0.25"/>
    <row r="162352" s="12" customFormat="1" x14ac:dyDescent="0.25"/>
    <row r="162353" s="12" customFormat="1" x14ac:dyDescent="0.25"/>
    <row r="162354" s="12" customFormat="1" x14ac:dyDescent="0.25"/>
    <row r="162355" s="12" customFormat="1" x14ac:dyDescent="0.25"/>
    <row r="162356" s="12" customFormat="1" x14ac:dyDescent="0.25"/>
    <row r="162357" s="12" customFormat="1" x14ac:dyDescent="0.25"/>
    <row r="162358" s="12" customFormat="1" x14ac:dyDescent="0.25"/>
    <row r="162359" s="12" customFormat="1" x14ac:dyDescent="0.25"/>
    <row r="162360" s="12" customFormat="1" x14ac:dyDescent="0.25"/>
    <row r="162361" s="12" customFormat="1" x14ac:dyDescent="0.25"/>
    <row r="162362" s="12" customFormat="1" x14ac:dyDescent="0.25"/>
    <row r="162363" s="12" customFormat="1" x14ac:dyDescent="0.25"/>
    <row r="162364" s="12" customFormat="1" x14ac:dyDescent="0.25"/>
    <row r="162365" s="12" customFormat="1" x14ac:dyDescent="0.25"/>
    <row r="162366" s="12" customFormat="1" x14ac:dyDescent="0.25"/>
    <row r="162367" s="12" customFormat="1" x14ac:dyDescent="0.25"/>
    <row r="162368" s="12" customFormat="1" x14ac:dyDescent="0.25"/>
    <row r="162369" s="12" customFormat="1" x14ac:dyDescent="0.25"/>
    <row r="162370" s="12" customFormat="1" x14ac:dyDescent="0.25"/>
    <row r="162371" s="12" customFormat="1" x14ac:dyDescent="0.25"/>
    <row r="162372" s="12" customFormat="1" x14ac:dyDescent="0.25"/>
    <row r="162373" s="12" customFormat="1" x14ac:dyDescent="0.25"/>
    <row r="162374" s="12" customFormat="1" x14ac:dyDescent="0.25"/>
    <row r="162375" s="12" customFormat="1" x14ac:dyDescent="0.25"/>
    <row r="162376" s="12" customFormat="1" x14ac:dyDescent="0.25"/>
    <row r="162377" s="12" customFormat="1" x14ac:dyDescent="0.25"/>
    <row r="162378" s="12" customFormat="1" x14ac:dyDescent="0.25"/>
    <row r="162379" s="12" customFormat="1" x14ac:dyDescent="0.25"/>
    <row r="162380" s="12" customFormat="1" x14ac:dyDescent="0.25"/>
    <row r="162381" s="12" customFormat="1" x14ac:dyDescent="0.25"/>
    <row r="162382" s="12" customFormat="1" x14ac:dyDescent="0.25"/>
    <row r="162383" s="12" customFormat="1" x14ac:dyDescent="0.25"/>
    <row r="162384" s="12" customFormat="1" x14ac:dyDescent="0.25"/>
    <row r="162385" s="12" customFormat="1" x14ac:dyDescent="0.25"/>
    <row r="162386" s="12" customFormat="1" x14ac:dyDescent="0.25"/>
    <row r="162387" s="12" customFormat="1" x14ac:dyDescent="0.25"/>
    <row r="162388" s="12" customFormat="1" x14ac:dyDescent="0.25"/>
    <row r="162389" s="12" customFormat="1" x14ac:dyDescent="0.25"/>
    <row r="162390" s="12" customFormat="1" x14ac:dyDescent="0.25"/>
    <row r="162391" s="12" customFormat="1" x14ac:dyDescent="0.25"/>
    <row r="162392" s="12" customFormat="1" x14ac:dyDescent="0.25"/>
    <row r="162393" s="12" customFormat="1" x14ac:dyDescent="0.25"/>
    <row r="162394" s="12" customFormat="1" x14ac:dyDescent="0.25"/>
    <row r="162395" s="12" customFormat="1" x14ac:dyDescent="0.25"/>
    <row r="162396" s="12" customFormat="1" x14ac:dyDescent="0.25"/>
    <row r="162397" s="12" customFormat="1" x14ac:dyDescent="0.25"/>
    <row r="162398" s="12" customFormat="1" x14ac:dyDescent="0.25"/>
    <row r="162399" s="12" customFormat="1" x14ac:dyDescent="0.25"/>
    <row r="162400" s="12" customFormat="1" x14ac:dyDescent="0.25"/>
    <row r="162401" s="12" customFormat="1" x14ac:dyDescent="0.25"/>
    <row r="162402" s="12" customFormat="1" x14ac:dyDescent="0.25"/>
    <row r="162403" s="12" customFormat="1" x14ac:dyDescent="0.25"/>
    <row r="162404" s="12" customFormat="1" x14ac:dyDescent="0.25"/>
    <row r="162405" s="12" customFormat="1" x14ac:dyDescent="0.25"/>
    <row r="162406" s="12" customFormat="1" x14ac:dyDescent="0.25"/>
    <row r="162407" s="12" customFormat="1" x14ac:dyDescent="0.25"/>
    <row r="162408" s="12" customFormat="1" x14ac:dyDescent="0.25"/>
    <row r="162409" s="12" customFormat="1" x14ac:dyDescent="0.25"/>
    <row r="162410" s="12" customFormat="1" x14ac:dyDescent="0.25"/>
    <row r="162411" s="12" customFormat="1" x14ac:dyDescent="0.25"/>
    <row r="162412" s="12" customFormat="1" x14ac:dyDescent="0.25"/>
    <row r="162413" s="12" customFormat="1" x14ac:dyDescent="0.25"/>
    <row r="162414" s="12" customFormat="1" x14ac:dyDescent="0.25"/>
    <row r="162415" s="12" customFormat="1" x14ac:dyDescent="0.25"/>
    <row r="162416" s="12" customFormat="1" x14ac:dyDescent="0.25"/>
    <row r="162417" s="12" customFormat="1" x14ac:dyDescent="0.25"/>
    <row r="162418" s="12" customFormat="1" x14ac:dyDescent="0.25"/>
    <row r="162419" s="12" customFormat="1" x14ac:dyDescent="0.25"/>
    <row r="162420" s="12" customFormat="1" x14ac:dyDescent="0.25"/>
    <row r="162421" s="12" customFormat="1" x14ac:dyDescent="0.25"/>
    <row r="162422" s="12" customFormat="1" x14ac:dyDescent="0.25"/>
    <row r="162423" s="12" customFormat="1" x14ac:dyDescent="0.25"/>
    <row r="162424" s="12" customFormat="1" x14ac:dyDescent="0.25"/>
    <row r="162425" s="12" customFormat="1" x14ac:dyDescent="0.25"/>
    <row r="162426" s="12" customFormat="1" x14ac:dyDescent="0.25"/>
    <row r="162427" s="12" customFormat="1" x14ac:dyDescent="0.25"/>
    <row r="162428" s="12" customFormat="1" x14ac:dyDescent="0.25"/>
    <row r="162429" s="12" customFormat="1" x14ac:dyDescent="0.25"/>
    <row r="162430" s="12" customFormat="1" x14ac:dyDescent="0.25"/>
    <row r="162431" s="12" customFormat="1" x14ac:dyDescent="0.25"/>
    <row r="162432" s="12" customFormat="1" x14ac:dyDescent="0.25"/>
    <row r="162433" s="12" customFormat="1" x14ac:dyDescent="0.25"/>
    <row r="162434" s="12" customFormat="1" x14ac:dyDescent="0.25"/>
    <row r="162435" s="12" customFormat="1" x14ac:dyDescent="0.25"/>
    <row r="162436" s="12" customFormat="1" x14ac:dyDescent="0.25"/>
    <row r="162437" s="12" customFormat="1" x14ac:dyDescent="0.25"/>
    <row r="162438" s="12" customFormat="1" x14ac:dyDescent="0.25"/>
    <row r="162439" s="12" customFormat="1" x14ac:dyDescent="0.25"/>
    <row r="162440" s="12" customFormat="1" x14ac:dyDescent="0.25"/>
    <row r="162441" s="12" customFormat="1" x14ac:dyDescent="0.25"/>
    <row r="162442" s="12" customFormat="1" x14ac:dyDescent="0.25"/>
    <row r="162443" s="12" customFormat="1" x14ac:dyDescent="0.25"/>
    <row r="162444" s="12" customFormat="1" x14ac:dyDescent="0.25"/>
    <row r="162445" s="12" customFormat="1" x14ac:dyDescent="0.25"/>
    <row r="162446" s="12" customFormat="1" x14ac:dyDescent="0.25"/>
    <row r="162447" s="12" customFormat="1" x14ac:dyDescent="0.25"/>
    <row r="162448" s="12" customFormat="1" x14ac:dyDescent="0.25"/>
    <row r="162449" s="12" customFormat="1" x14ac:dyDescent="0.25"/>
    <row r="162450" s="12" customFormat="1" x14ac:dyDescent="0.25"/>
    <row r="162451" s="12" customFormat="1" x14ac:dyDescent="0.25"/>
    <row r="162452" s="12" customFormat="1" x14ac:dyDescent="0.25"/>
    <row r="162453" s="12" customFormat="1" x14ac:dyDescent="0.25"/>
    <row r="162454" s="12" customFormat="1" x14ac:dyDescent="0.25"/>
    <row r="162455" s="12" customFormat="1" x14ac:dyDescent="0.25"/>
    <row r="162456" s="12" customFormat="1" x14ac:dyDescent="0.25"/>
    <row r="162457" s="12" customFormat="1" x14ac:dyDescent="0.25"/>
    <row r="162458" s="12" customFormat="1" x14ac:dyDescent="0.25"/>
    <row r="162459" s="12" customFormat="1" x14ac:dyDescent="0.25"/>
    <row r="162460" s="12" customFormat="1" x14ac:dyDescent="0.25"/>
    <row r="162461" s="12" customFormat="1" x14ac:dyDescent="0.25"/>
    <row r="162462" s="12" customFormat="1" x14ac:dyDescent="0.25"/>
    <row r="162463" s="12" customFormat="1" x14ac:dyDescent="0.25"/>
    <row r="162464" s="12" customFormat="1" x14ac:dyDescent="0.25"/>
    <row r="162465" s="12" customFormat="1" x14ac:dyDescent="0.25"/>
    <row r="162466" s="12" customFormat="1" x14ac:dyDescent="0.25"/>
    <row r="162467" s="12" customFormat="1" x14ac:dyDescent="0.25"/>
    <row r="162468" s="12" customFormat="1" x14ac:dyDescent="0.25"/>
    <row r="162469" s="12" customFormat="1" x14ac:dyDescent="0.25"/>
    <row r="162470" s="12" customFormat="1" x14ac:dyDescent="0.25"/>
    <row r="162471" s="12" customFormat="1" x14ac:dyDescent="0.25"/>
    <row r="162472" s="12" customFormat="1" x14ac:dyDescent="0.25"/>
    <row r="162473" s="12" customFormat="1" x14ac:dyDescent="0.25"/>
    <row r="162474" s="12" customFormat="1" x14ac:dyDescent="0.25"/>
    <row r="162475" s="12" customFormat="1" x14ac:dyDescent="0.25"/>
    <row r="162476" s="12" customFormat="1" x14ac:dyDescent="0.25"/>
    <row r="162477" s="12" customFormat="1" x14ac:dyDescent="0.25"/>
    <row r="162478" s="12" customFormat="1" x14ac:dyDescent="0.25"/>
    <row r="162479" s="12" customFormat="1" x14ac:dyDescent="0.25"/>
    <row r="162480" s="12" customFormat="1" x14ac:dyDescent="0.25"/>
    <row r="162481" s="12" customFormat="1" x14ac:dyDescent="0.25"/>
    <row r="162482" s="12" customFormat="1" x14ac:dyDescent="0.25"/>
    <row r="162483" s="12" customFormat="1" x14ac:dyDescent="0.25"/>
    <row r="162484" s="12" customFormat="1" x14ac:dyDescent="0.25"/>
    <row r="162485" s="12" customFormat="1" x14ac:dyDescent="0.25"/>
    <row r="162486" s="12" customFormat="1" x14ac:dyDescent="0.25"/>
    <row r="162487" s="12" customFormat="1" x14ac:dyDescent="0.25"/>
    <row r="162488" s="12" customFormat="1" x14ac:dyDescent="0.25"/>
    <row r="162489" s="12" customFormat="1" x14ac:dyDescent="0.25"/>
    <row r="162490" s="12" customFormat="1" x14ac:dyDescent="0.25"/>
    <row r="162491" s="12" customFormat="1" x14ac:dyDescent="0.25"/>
    <row r="162492" s="12" customFormat="1" x14ac:dyDescent="0.25"/>
    <row r="162493" s="12" customFormat="1" x14ac:dyDescent="0.25"/>
    <row r="162494" s="12" customFormat="1" x14ac:dyDescent="0.25"/>
    <row r="162495" s="12" customFormat="1" x14ac:dyDescent="0.25"/>
    <row r="162496" s="12" customFormat="1" x14ac:dyDescent="0.25"/>
    <row r="162497" s="12" customFormat="1" x14ac:dyDescent="0.25"/>
    <row r="162498" s="12" customFormat="1" x14ac:dyDescent="0.25"/>
    <row r="162499" s="12" customFormat="1" x14ac:dyDescent="0.25"/>
    <row r="162500" s="12" customFormat="1" x14ac:dyDescent="0.25"/>
    <row r="162501" s="12" customFormat="1" x14ac:dyDescent="0.25"/>
    <row r="162502" s="12" customFormat="1" x14ac:dyDescent="0.25"/>
    <row r="162503" s="12" customFormat="1" x14ac:dyDescent="0.25"/>
    <row r="162504" s="12" customFormat="1" x14ac:dyDescent="0.25"/>
    <row r="162505" s="12" customFormat="1" x14ac:dyDescent="0.25"/>
    <row r="162506" s="12" customFormat="1" x14ac:dyDescent="0.25"/>
    <row r="162507" s="12" customFormat="1" x14ac:dyDescent="0.25"/>
    <row r="162508" s="12" customFormat="1" x14ac:dyDescent="0.25"/>
    <row r="162509" s="12" customFormat="1" x14ac:dyDescent="0.25"/>
    <row r="162510" s="12" customFormat="1" x14ac:dyDescent="0.25"/>
    <row r="162511" s="12" customFormat="1" x14ac:dyDescent="0.25"/>
    <row r="162512" s="12" customFormat="1" x14ac:dyDescent="0.25"/>
    <row r="162513" s="12" customFormat="1" x14ac:dyDescent="0.25"/>
    <row r="162514" s="12" customFormat="1" x14ac:dyDescent="0.25"/>
    <row r="162515" s="12" customFormat="1" x14ac:dyDescent="0.25"/>
    <row r="162516" s="12" customFormat="1" x14ac:dyDescent="0.25"/>
    <row r="162517" s="12" customFormat="1" x14ac:dyDescent="0.25"/>
    <row r="162518" s="12" customFormat="1" x14ac:dyDescent="0.25"/>
    <row r="162519" s="12" customFormat="1" x14ac:dyDescent="0.25"/>
    <row r="162520" s="12" customFormat="1" x14ac:dyDescent="0.25"/>
    <row r="162521" s="12" customFormat="1" x14ac:dyDescent="0.25"/>
    <row r="162522" s="12" customFormat="1" x14ac:dyDescent="0.25"/>
    <row r="162523" s="12" customFormat="1" x14ac:dyDescent="0.25"/>
    <row r="162524" s="12" customFormat="1" x14ac:dyDescent="0.25"/>
    <row r="162525" s="12" customFormat="1" x14ac:dyDescent="0.25"/>
    <row r="162526" s="12" customFormat="1" x14ac:dyDescent="0.25"/>
    <row r="162527" s="12" customFormat="1" x14ac:dyDescent="0.25"/>
    <row r="162528" s="12" customFormat="1" x14ac:dyDescent="0.25"/>
    <row r="162529" s="12" customFormat="1" x14ac:dyDescent="0.25"/>
    <row r="162530" s="12" customFormat="1" x14ac:dyDescent="0.25"/>
    <row r="162531" s="12" customFormat="1" x14ac:dyDescent="0.25"/>
    <row r="162532" s="12" customFormat="1" x14ac:dyDescent="0.25"/>
    <row r="162533" s="12" customFormat="1" x14ac:dyDescent="0.25"/>
    <row r="162534" s="12" customFormat="1" x14ac:dyDescent="0.25"/>
    <row r="162535" s="12" customFormat="1" x14ac:dyDescent="0.25"/>
    <row r="162536" s="12" customFormat="1" x14ac:dyDescent="0.25"/>
    <row r="162537" s="12" customFormat="1" x14ac:dyDescent="0.25"/>
    <row r="162538" s="12" customFormat="1" x14ac:dyDescent="0.25"/>
    <row r="162539" s="12" customFormat="1" x14ac:dyDescent="0.25"/>
    <row r="162540" s="12" customFormat="1" x14ac:dyDescent="0.25"/>
    <row r="162541" s="12" customFormat="1" x14ac:dyDescent="0.25"/>
    <row r="162542" s="12" customFormat="1" x14ac:dyDescent="0.25"/>
    <row r="162543" s="12" customFormat="1" x14ac:dyDescent="0.25"/>
    <row r="162544" s="12" customFormat="1" x14ac:dyDescent="0.25"/>
    <row r="162545" s="12" customFormat="1" x14ac:dyDescent="0.25"/>
    <row r="162546" s="12" customFormat="1" x14ac:dyDescent="0.25"/>
    <row r="162547" s="12" customFormat="1" x14ac:dyDescent="0.25"/>
    <row r="162548" s="12" customFormat="1" x14ac:dyDescent="0.25"/>
    <row r="162549" s="12" customFormat="1" x14ac:dyDescent="0.25"/>
    <row r="162550" s="12" customFormat="1" x14ac:dyDescent="0.25"/>
    <row r="162551" s="12" customFormat="1" x14ac:dyDescent="0.25"/>
    <row r="162552" s="12" customFormat="1" x14ac:dyDescent="0.25"/>
    <row r="162553" s="12" customFormat="1" x14ac:dyDescent="0.25"/>
    <row r="162554" s="12" customFormat="1" x14ac:dyDescent="0.25"/>
    <row r="162555" s="12" customFormat="1" x14ac:dyDescent="0.25"/>
    <row r="162556" s="12" customFormat="1" x14ac:dyDescent="0.25"/>
    <row r="162557" s="12" customFormat="1" x14ac:dyDescent="0.25"/>
    <row r="162558" s="12" customFormat="1" x14ac:dyDescent="0.25"/>
    <row r="162559" s="12" customFormat="1" x14ac:dyDescent="0.25"/>
    <row r="162560" s="12" customFormat="1" x14ac:dyDescent="0.25"/>
    <row r="162561" s="12" customFormat="1" x14ac:dyDescent="0.25"/>
    <row r="162562" s="12" customFormat="1" x14ac:dyDescent="0.25"/>
    <row r="162563" s="12" customFormat="1" x14ac:dyDescent="0.25"/>
    <row r="162564" s="12" customFormat="1" x14ac:dyDescent="0.25"/>
    <row r="162565" s="12" customFormat="1" x14ac:dyDescent="0.25"/>
    <row r="162566" s="12" customFormat="1" x14ac:dyDescent="0.25"/>
    <row r="162567" s="12" customFormat="1" x14ac:dyDescent="0.25"/>
    <row r="162568" s="12" customFormat="1" x14ac:dyDescent="0.25"/>
    <row r="162569" s="12" customFormat="1" x14ac:dyDescent="0.25"/>
    <row r="162570" s="12" customFormat="1" x14ac:dyDescent="0.25"/>
    <row r="162571" s="12" customFormat="1" x14ac:dyDescent="0.25"/>
    <row r="162572" s="12" customFormat="1" x14ac:dyDescent="0.25"/>
    <row r="162573" s="12" customFormat="1" x14ac:dyDescent="0.25"/>
    <row r="162574" s="12" customFormat="1" x14ac:dyDescent="0.25"/>
    <row r="162575" s="12" customFormat="1" x14ac:dyDescent="0.25"/>
    <row r="162576" s="12" customFormat="1" x14ac:dyDescent="0.25"/>
    <row r="162577" s="12" customFormat="1" x14ac:dyDescent="0.25"/>
    <row r="162578" s="12" customFormat="1" x14ac:dyDescent="0.25"/>
    <row r="162579" s="12" customFormat="1" x14ac:dyDescent="0.25"/>
    <row r="162580" s="12" customFormat="1" x14ac:dyDescent="0.25"/>
    <row r="162581" s="12" customFormat="1" x14ac:dyDescent="0.25"/>
    <row r="162582" s="12" customFormat="1" x14ac:dyDescent="0.25"/>
    <row r="162583" s="12" customFormat="1" x14ac:dyDescent="0.25"/>
    <row r="162584" s="12" customFormat="1" x14ac:dyDescent="0.25"/>
    <row r="162585" s="12" customFormat="1" x14ac:dyDescent="0.25"/>
    <row r="162586" s="12" customFormat="1" x14ac:dyDescent="0.25"/>
    <row r="162587" s="12" customFormat="1" x14ac:dyDescent="0.25"/>
    <row r="162588" s="12" customFormat="1" x14ac:dyDescent="0.25"/>
    <row r="162589" s="12" customFormat="1" x14ac:dyDescent="0.25"/>
    <row r="162590" s="12" customFormat="1" x14ac:dyDescent="0.25"/>
    <row r="162591" s="12" customFormat="1" x14ac:dyDescent="0.25"/>
    <row r="162592" s="12" customFormat="1" x14ac:dyDescent="0.25"/>
    <row r="162593" s="12" customFormat="1" x14ac:dyDescent="0.25"/>
    <row r="162594" s="12" customFormat="1" x14ac:dyDescent="0.25"/>
    <row r="162595" s="12" customFormat="1" x14ac:dyDescent="0.25"/>
    <row r="162596" s="12" customFormat="1" x14ac:dyDescent="0.25"/>
    <row r="162597" s="12" customFormat="1" x14ac:dyDescent="0.25"/>
    <row r="162598" s="12" customFormat="1" x14ac:dyDescent="0.25"/>
    <row r="162599" s="12" customFormat="1" x14ac:dyDescent="0.25"/>
    <row r="162600" s="12" customFormat="1" x14ac:dyDescent="0.25"/>
    <row r="162601" s="12" customFormat="1" x14ac:dyDescent="0.25"/>
    <row r="162602" s="12" customFormat="1" x14ac:dyDescent="0.25"/>
    <row r="162603" s="12" customFormat="1" x14ac:dyDescent="0.25"/>
    <row r="162604" s="12" customFormat="1" x14ac:dyDescent="0.25"/>
    <row r="162605" s="12" customFormat="1" x14ac:dyDescent="0.25"/>
    <row r="162606" s="12" customFormat="1" x14ac:dyDescent="0.25"/>
    <row r="162607" s="12" customFormat="1" x14ac:dyDescent="0.25"/>
    <row r="162608" s="12" customFormat="1" x14ac:dyDescent="0.25"/>
    <row r="162609" s="12" customFormat="1" x14ac:dyDescent="0.25"/>
    <row r="162610" s="12" customFormat="1" x14ac:dyDescent="0.25"/>
    <row r="162611" s="12" customFormat="1" x14ac:dyDescent="0.25"/>
    <row r="162612" s="12" customFormat="1" x14ac:dyDescent="0.25"/>
    <row r="162613" s="12" customFormat="1" x14ac:dyDescent="0.25"/>
    <row r="162614" s="12" customFormat="1" x14ac:dyDescent="0.25"/>
    <row r="162615" s="12" customFormat="1" x14ac:dyDescent="0.25"/>
    <row r="162616" s="12" customFormat="1" x14ac:dyDescent="0.25"/>
    <row r="162617" s="12" customFormat="1" x14ac:dyDescent="0.25"/>
    <row r="162618" s="12" customFormat="1" x14ac:dyDescent="0.25"/>
    <row r="162619" s="12" customFormat="1" x14ac:dyDescent="0.25"/>
    <row r="162620" s="12" customFormat="1" x14ac:dyDescent="0.25"/>
    <row r="162621" s="12" customFormat="1" x14ac:dyDescent="0.25"/>
    <row r="162622" s="12" customFormat="1" x14ac:dyDescent="0.25"/>
    <row r="162623" s="12" customFormat="1" x14ac:dyDescent="0.25"/>
    <row r="162624" s="12" customFormat="1" x14ac:dyDescent="0.25"/>
    <row r="162625" s="12" customFormat="1" x14ac:dyDescent="0.25"/>
    <row r="162626" s="12" customFormat="1" x14ac:dyDescent="0.25"/>
    <row r="162627" s="12" customFormat="1" x14ac:dyDescent="0.25"/>
    <row r="162628" s="12" customFormat="1" x14ac:dyDescent="0.25"/>
    <row r="162629" s="12" customFormat="1" x14ac:dyDescent="0.25"/>
    <row r="162630" s="12" customFormat="1" x14ac:dyDescent="0.25"/>
    <row r="162631" s="12" customFormat="1" x14ac:dyDescent="0.25"/>
    <row r="162632" s="12" customFormat="1" x14ac:dyDescent="0.25"/>
    <row r="162633" s="12" customFormat="1" x14ac:dyDescent="0.25"/>
    <row r="162634" s="12" customFormat="1" x14ac:dyDescent="0.25"/>
    <row r="162635" s="12" customFormat="1" x14ac:dyDescent="0.25"/>
    <row r="162636" s="12" customFormat="1" x14ac:dyDescent="0.25"/>
    <row r="162637" s="12" customFormat="1" x14ac:dyDescent="0.25"/>
    <row r="162638" s="12" customFormat="1" x14ac:dyDescent="0.25"/>
    <row r="162639" s="12" customFormat="1" x14ac:dyDescent="0.25"/>
    <row r="162640" s="12" customFormat="1" x14ac:dyDescent="0.25"/>
    <row r="162641" s="12" customFormat="1" x14ac:dyDescent="0.25"/>
    <row r="162642" s="12" customFormat="1" x14ac:dyDescent="0.25"/>
    <row r="162643" s="12" customFormat="1" x14ac:dyDescent="0.25"/>
    <row r="162644" s="12" customFormat="1" x14ac:dyDescent="0.25"/>
    <row r="162645" s="12" customFormat="1" x14ac:dyDescent="0.25"/>
    <row r="162646" s="12" customFormat="1" x14ac:dyDescent="0.25"/>
    <row r="162647" s="12" customFormat="1" x14ac:dyDescent="0.25"/>
    <row r="162648" s="12" customFormat="1" x14ac:dyDescent="0.25"/>
    <row r="162649" s="12" customFormat="1" x14ac:dyDescent="0.25"/>
    <row r="162650" s="12" customFormat="1" x14ac:dyDescent="0.25"/>
    <row r="162651" s="12" customFormat="1" x14ac:dyDescent="0.25"/>
    <row r="162652" s="12" customFormat="1" x14ac:dyDescent="0.25"/>
    <row r="162653" s="12" customFormat="1" x14ac:dyDescent="0.25"/>
    <row r="162654" s="12" customFormat="1" x14ac:dyDescent="0.25"/>
    <row r="162655" s="12" customFormat="1" x14ac:dyDescent="0.25"/>
    <row r="162656" s="12" customFormat="1" x14ac:dyDescent="0.25"/>
    <row r="162657" s="12" customFormat="1" x14ac:dyDescent="0.25"/>
    <row r="162658" s="12" customFormat="1" x14ac:dyDescent="0.25"/>
    <row r="162659" s="12" customFormat="1" x14ac:dyDescent="0.25"/>
    <row r="162660" s="12" customFormat="1" x14ac:dyDescent="0.25"/>
    <row r="162661" s="12" customFormat="1" x14ac:dyDescent="0.25"/>
    <row r="162662" s="12" customFormat="1" x14ac:dyDescent="0.25"/>
    <row r="162663" s="12" customFormat="1" x14ac:dyDescent="0.25"/>
    <row r="162664" s="12" customFormat="1" x14ac:dyDescent="0.25"/>
    <row r="162665" s="12" customFormat="1" x14ac:dyDescent="0.25"/>
    <row r="162666" s="12" customFormat="1" x14ac:dyDescent="0.25"/>
    <row r="162667" s="12" customFormat="1" x14ac:dyDescent="0.25"/>
    <row r="162668" s="12" customFormat="1" x14ac:dyDescent="0.25"/>
    <row r="162669" s="12" customFormat="1" x14ac:dyDescent="0.25"/>
    <row r="162670" s="12" customFormat="1" x14ac:dyDescent="0.25"/>
    <row r="162671" s="12" customFormat="1" x14ac:dyDescent="0.25"/>
    <row r="162672" s="12" customFormat="1" x14ac:dyDescent="0.25"/>
    <row r="162673" s="12" customFormat="1" x14ac:dyDescent="0.25"/>
    <row r="162674" s="12" customFormat="1" x14ac:dyDescent="0.25"/>
    <row r="162675" s="12" customFormat="1" x14ac:dyDescent="0.25"/>
    <row r="162676" s="12" customFormat="1" x14ac:dyDescent="0.25"/>
    <row r="162677" s="12" customFormat="1" x14ac:dyDescent="0.25"/>
    <row r="162678" s="12" customFormat="1" x14ac:dyDescent="0.25"/>
    <row r="162679" s="12" customFormat="1" x14ac:dyDescent="0.25"/>
    <row r="162680" s="12" customFormat="1" x14ac:dyDescent="0.25"/>
    <row r="162681" s="12" customFormat="1" x14ac:dyDescent="0.25"/>
    <row r="162682" s="12" customFormat="1" x14ac:dyDescent="0.25"/>
    <row r="162683" s="12" customFormat="1" x14ac:dyDescent="0.25"/>
    <row r="162684" s="12" customFormat="1" x14ac:dyDescent="0.25"/>
    <row r="162685" s="12" customFormat="1" x14ac:dyDescent="0.25"/>
    <row r="162686" s="12" customFormat="1" x14ac:dyDescent="0.25"/>
    <row r="162687" s="12" customFormat="1" x14ac:dyDescent="0.25"/>
    <row r="162688" s="12" customFormat="1" x14ac:dyDescent="0.25"/>
    <row r="162689" s="12" customFormat="1" x14ac:dyDescent="0.25"/>
    <row r="162690" s="12" customFormat="1" x14ac:dyDescent="0.25"/>
    <row r="162691" s="12" customFormat="1" x14ac:dyDescent="0.25"/>
    <row r="162692" s="12" customFormat="1" x14ac:dyDescent="0.25"/>
    <row r="162693" s="12" customFormat="1" x14ac:dyDescent="0.25"/>
    <row r="162694" s="12" customFormat="1" x14ac:dyDescent="0.25"/>
    <row r="162695" s="12" customFormat="1" x14ac:dyDescent="0.25"/>
    <row r="162696" s="12" customFormat="1" x14ac:dyDescent="0.25"/>
    <row r="162697" s="12" customFormat="1" x14ac:dyDescent="0.25"/>
    <row r="162698" s="12" customFormat="1" x14ac:dyDescent="0.25"/>
    <row r="162699" s="12" customFormat="1" x14ac:dyDescent="0.25"/>
    <row r="162700" s="12" customFormat="1" x14ac:dyDescent="0.25"/>
    <row r="162701" s="12" customFormat="1" x14ac:dyDescent="0.25"/>
    <row r="162702" s="12" customFormat="1" x14ac:dyDescent="0.25"/>
    <row r="162703" s="12" customFormat="1" x14ac:dyDescent="0.25"/>
    <row r="162704" s="12" customFormat="1" x14ac:dyDescent="0.25"/>
    <row r="162705" s="12" customFormat="1" x14ac:dyDescent="0.25"/>
    <row r="162706" s="12" customFormat="1" x14ac:dyDescent="0.25"/>
    <row r="162707" s="12" customFormat="1" x14ac:dyDescent="0.25"/>
    <row r="162708" s="12" customFormat="1" x14ac:dyDescent="0.25"/>
    <row r="162709" s="12" customFormat="1" x14ac:dyDescent="0.25"/>
    <row r="162710" s="12" customFormat="1" x14ac:dyDescent="0.25"/>
    <row r="162711" s="12" customFormat="1" x14ac:dyDescent="0.25"/>
    <row r="162712" s="12" customFormat="1" x14ac:dyDescent="0.25"/>
    <row r="162713" s="12" customFormat="1" x14ac:dyDescent="0.25"/>
    <row r="162714" s="12" customFormat="1" x14ac:dyDescent="0.25"/>
    <row r="162715" s="12" customFormat="1" x14ac:dyDescent="0.25"/>
    <row r="162716" s="12" customFormat="1" x14ac:dyDescent="0.25"/>
    <row r="162717" s="12" customFormat="1" x14ac:dyDescent="0.25"/>
    <row r="162718" s="12" customFormat="1" x14ac:dyDescent="0.25"/>
    <row r="162719" s="12" customFormat="1" x14ac:dyDescent="0.25"/>
    <row r="162720" s="12" customFormat="1" x14ac:dyDescent="0.25"/>
    <row r="162721" s="12" customFormat="1" x14ac:dyDescent="0.25"/>
    <row r="162722" s="12" customFormat="1" x14ac:dyDescent="0.25"/>
    <row r="162723" s="12" customFormat="1" x14ac:dyDescent="0.25"/>
    <row r="162724" s="12" customFormat="1" x14ac:dyDescent="0.25"/>
    <row r="162725" s="12" customFormat="1" x14ac:dyDescent="0.25"/>
    <row r="162726" s="12" customFormat="1" x14ac:dyDescent="0.25"/>
    <row r="162727" s="12" customFormat="1" x14ac:dyDescent="0.25"/>
    <row r="162728" s="12" customFormat="1" x14ac:dyDescent="0.25"/>
    <row r="162729" s="12" customFormat="1" x14ac:dyDescent="0.25"/>
    <row r="162730" s="12" customFormat="1" x14ac:dyDescent="0.25"/>
    <row r="162731" s="12" customFormat="1" x14ac:dyDescent="0.25"/>
    <row r="162732" s="12" customFormat="1" x14ac:dyDescent="0.25"/>
    <row r="162733" s="12" customFormat="1" x14ac:dyDescent="0.25"/>
    <row r="162734" s="12" customFormat="1" x14ac:dyDescent="0.25"/>
    <row r="162735" s="12" customFormat="1" x14ac:dyDescent="0.25"/>
    <row r="162736" s="12" customFormat="1" x14ac:dyDescent="0.25"/>
    <row r="162737" s="12" customFormat="1" x14ac:dyDescent="0.25"/>
    <row r="162738" s="12" customFormat="1" x14ac:dyDescent="0.25"/>
    <row r="162739" s="12" customFormat="1" x14ac:dyDescent="0.25"/>
    <row r="162740" s="12" customFormat="1" x14ac:dyDescent="0.25"/>
    <row r="162741" s="12" customFormat="1" x14ac:dyDescent="0.25"/>
    <row r="162742" s="12" customFormat="1" x14ac:dyDescent="0.25"/>
    <row r="162743" s="12" customFormat="1" x14ac:dyDescent="0.25"/>
    <row r="162744" s="12" customFormat="1" x14ac:dyDescent="0.25"/>
    <row r="162745" s="12" customFormat="1" x14ac:dyDescent="0.25"/>
    <row r="162746" s="12" customFormat="1" x14ac:dyDescent="0.25"/>
    <row r="162747" s="12" customFormat="1" x14ac:dyDescent="0.25"/>
    <row r="162748" s="12" customFormat="1" x14ac:dyDescent="0.25"/>
    <row r="162749" s="12" customFormat="1" x14ac:dyDescent="0.25"/>
    <row r="162750" s="12" customFormat="1" x14ac:dyDescent="0.25"/>
    <row r="162751" s="12" customFormat="1" x14ac:dyDescent="0.25"/>
    <row r="162752" s="12" customFormat="1" x14ac:dyDescent="0.25"/>
    <row r="162753" s="12" customFormat="1" x14ac:dyDescent="0.25"/>
    <row r="162754" s="12" customFormat="1" x14ac:dyDescent="0.25"/>
    <row r="162755" s="12" customFormat="1" x14ac:dyDescent="0.25"/>
    <row r="162756" s="12" customFormat="1" x14ac:dyDescent="0.25"/>
    <row r="162757" s="12" customFormat="1" x14ac:dyDescent="0.25"/>
    <row r="162758" s="12" customFormat="1" x14ac:dyDescent="0.25"/>
    <row r="162759" s="12" customFormat="1" x14ac:dyDescent="0.25"/>
    <row r="162760" s="12" customFormat="1" x14ac:dyDescent="0.25"/>
    <row r="162761" s="12" customFormat="1" x14ac:dyDescent="0.25"/>
    <row r="162762" s="12" customFormat="1" x14ac:dyDescent="0.25"/>
    <row r="162763" s="12" customFormat="1" x14ac:dyDescent="0.25"/>
    <row r="162764" s="12" customFormat="1" x14ac:dyDescent="0.25"/>
    <row r="162765" s="12" customFormat="1" x14ac:dyDescent="0.25"/>
    <row r="162766" s="12" customFormat="1" x14ac:dyDescent="0.25"/>
    <row r="162767" s="12" customFormat="1" x14ac:dyDescent="0.25"/>
    <row r="162768" s="12" customFormat="1" x14ac:dyDescent="0.25"/>
    <row r="162769" s="12" customFormat="1" x14ac:dyDescent="0.25"/>
    <row r="162770" s="12" customFormat="1" x14ac:dyDescent="0.25"/>
    <row r="162771" s="12" customFormat="1" x14ac:dyDescent="0.25"/>
    <row r="162772" s="12" customFormat="1" x14ac:dyDescent="0.25"/>
    <row r="162773" s="12" customFormat="1" x14ac:dyDescent="0.25"/>
    <row r="162774" s="12" customFormat="1" x14ac:dyDescent="0.25"/>
    <row r="162775" s="12" customFormat="1" x14ac:dyDescent="0.25"/>
    <row r="162776" s="12" customFormat="1" x14ac:dyDescent="0.25"/>
    <row r="162777" s="12" customFormat="1" x14ac:dyDescent="0.25"/>
    <row r="162778" s="12" customFormat="1" x14ac:dyDescent="0.25"/>
    <row r="162779" s="12" customFormat="1" x14ac:dyDescent="0.25"/>
    <row r="162780" s="12" customFormat="1" x14ac:dyDescent="0.25"/>
    <row r="162781" s="12" customFormat="1" x14ac:dyDescent="0.25"/>
    <row r="162782" s="12" customFormat="1" x14ac:dyDescent="0.25"/>
    <row r="162783" s="12" customFormat="1" x14ac:dyDescent="0.25"/>
    <row r="162784" s="12" customFormat="1" x14ac:dyDescent="0.25"/>
    <row r="162785" s="12" customFormat="1" x14ac:dyDescent="0.25"/>
    <row r="162786" s="12" customFormat="1" x14ac:dyDescent="0.25"/>
    <row r="162787" s="12" customFormat="1" x14ac:dyDescent="0.25"/>
    <row r="162788" s="12" customFormat="1" x14ac:dyDescent="0.25"/>
    <row r="162789" s="12" customFormat="1" x14ac:dyDescent="0.25"/>
    <row r="162790" s="12" customFormat="1" x14ac:dyDescent="0.25"/>
    <row r="162791" s="12" customFormat="1" x14ac:dyDescent="0.25"/>
    <row r="162792" s="12" customFormat="1" x14ac:dyDescent="0.25"/>
    <row r="162793" s="12" customFormat="1" x14ac:dyDescent="0.25"/>
    <row r="162794" s="12" customFormat="1" x14ac:dyDescent="0.25"/>
    <row r="162795" s="12" customFormat="1" x14ac:dyDescent="0.25"/>
    <row r="162796" s="12" customFormat="1" x14ac:dyDescent="0.25"/>
    <row r="162797" s="12" customFormat="1" x14ac:dyDescent="0.25"/>
    <row r="162798" s="12" customFormat="1" x14ac:dyDescent="0.25"/>
    <row r="162799" s="12" customFormat="1" x14ac:dyDescent="0.25"/>
    <row r="162800" s="12" customFormat="1" x14ac:dyDescent="0.25"/>
    <row r="162801" s="12" customFormat="1" x14ac:dyDescent="0.25"/>
    <row r="162802" s="12" customFormat="1" x14ac:dyDescent="0.25"/>
    <row r="162803" s="12" customFormat="1" x14ac:dyDescent="0.25"/>
    <row r="162804" s="12" customFormat="1" x14ac:dyDescent="0.25"/>
    <row r="162805" s="12" customFormat="1" x14ac:dyDescent="0.25"/>
    <row r="162806" s="12" customFormat="1" x14ac:dyDescent="0.25"/>
    <row r="162807" s="12" customFormat="1" x14ac:dyDescent="0.25"/>
    <row r="162808" s="12" customFormat="1" x14ac:dyDescent="0.25"/>
    <row r="162809" s="12" customFormat="1" x14ac:dyDescent="0.25"/>
    <row r="162810" s="12" customFormat="1" x14ac:dyDescent="0.25"/>
    <row r="162811" s="12" customFormat="1" x14ac:dyDescent="0.25"/>
    <row r="162812" s="12" customFormat="1" x14ac:dyDescent="0.25"/>
    <row r="162813" s="12" customFormat="1" x14ac:dyDescent="0.25"/>
    <row r="162814" s="12" customFormat="1" x14ac:dyDescent="0.25"/>
    <row r="162815" s="12" customFormat="1" x14ac:dyDescent="0.25"/>
    <row r="162816" s="12" customFormat="1" x14ac:dyDescent="0.25"/>
    <row r="162817" s="12" customFormat="1" x14ac:dyDescent="0.25"/>
    <row r="162818" s="12" customFormat="1" x14ac:dyDescent="0.25"/>
    <row r="162819" s="12" customFormat="1" x14ac:dyDescent="0.25"/>
    <row r="162820" s="12" customFormat="1" x14ac:dyDescent="0.25"/>
    <row r="162821" s="12" customFormat="1" x14ac:dyDescent="0.25"/>
    <row r="162822" s="12" customFormat="1" x14ac:dyDescent="0.25"/>
    <row r="162823" s="12" customFormat="1" x14ac:dyDescent="0.25"/>
    <row r="162824" s="12" customFormat="1" x14ac:dyDescent="0.25"/>
    <row r="162825" s="12" customFormat="1" x14ac:dyDescent="0.25"/>
    <row r="162826" s="12" customFormat="1" x14ac:dyDescent="0.25"/>
    <row r="162827" s="12" customFormat="1" x14ac:dyDescent="0.25"/>
    <row r="162828" s="12" customFormat="1" x14ac:dyDescent="0.25"/>
    <row r="162829" s="12" customFormat="1" x14ac:dyDescent="0.25"/>
    <row r="162830" s="12" customFormat="1" x14ac:dyDescent="0.25"/>
    <row r="162831" s="12" customFormat="1" x14ac:dyDescent="0.25"/>
    <row r="162832" s="12" customFormat="1" x14ac:dyDescent="0.25"/>
    <row r="162833" s="12" customFormat="1" x14ac:dyDescent="0.25"/>
    <row r="162834" s="12" customFormat="1" x14ac:dyDescent="0.25"/>
    <row r="162835" s="12" customFormat="1" x14ac:dyDescent="0.25"/>
    <row r="162836" s="12" customFormat="1" x14ac:dyDescent="0.25"/>
    <row r="162837" s="12" customFormat="1" x14ac:dyDescent="0.25"/>
    <row r="162838" s="12" customFormat="1" x14ac:dyDescent="0.25"/>
    <row r="162839" s="12" customFormat="1" x14ac:dyDescent="0.25"/>
    <row r="162840" s="12" customFormat="1" x14ac:dyDescent="0.25"/>
    <row r="162841" s="12" customFormat="1" x14ac:dyDescent="0.25"/>
    <row r="162842" s="12" customFormat="1" x14ac:dyDescent="0.25"/>
    <row r="162843" s="12" customFormat="1" x14ac:dyDescent="0.25"/>
    <row r="162844" s="12" customFormat="1" x14ac:dyDescent="0.25"/>
    <row r="162845" s="12" customFormat="1" x14ac:dyDescent="0.25"/>
    <row r="162846" s="12" customFormat="1" x14ac:dyDescent="0.25"/>
    <row r="162847" s="12" customFormat="1" x14ac:dyDescent="0.25"/>
    <row r="162848" s="12" customFormat="1" x14ac:dyDescent="0.25"/>
    <row r="162849" s="12" customFormat="1" x14ac:dyDescent="0.25"/>
    <row r="162850" s="12" customFormat="1" x14ac:dyDescent="0.25"/>
    <row r="162851" s="12" customFormat="1" x14ac:dyDescent="0.25"/>
    <row r="162852" s="12" customFormat="1" x14ac:dyDescent="0.25"/>
    <row r="162853" s="12" customFormat="1" x14ac:dyDescent="0.25"/>
    <row r="162854" s="12" customFormat="1" x14ac:dyDescent="0.25"/>
    <row r="162855" s="12" customFormat="1" x14ac:dyDescent="0.25"/>
    <row r="162856" s="12" customFormat="1" x14ac:dyDescent="0.25"/>
    <row r="162857" s="12" customFormat="1" x14ac:dyDescent="0.25"/>
    <row r="162858" s="12" customFormat="1" x14ac:dyDescent="0.25"/>
    <row r="162859" s="12" customFormat="1" x14ac:dyDescent="0.25"/>
    <row r="162860" s="12" customFormat="1" x14ac:dyDescent="0.25"/>
    <row r="162861" s="12" customFormat="1" x14ac:dyDescent="0.25"/>
    <row r="162862" s="12" customFormat="1" x14ac:dyDescent="0.25"/>
    <row r="162863" s="12" customFormat="1" x14ac:dyDescent="0.25"/>
    <row r="162864" s="12" customFormat="1" x14ac:dyDescent="0.25"/>
    <row r="162865" s="12" customFormat="1" x14ac:dyDescent="0.25"/>
    <row r="162866" s="12" customFormat="1" x14ac:dyDescent="0.25"/>
    <row r="162867" s="12" customFormat="1" x14ac:dyDescent="0.25"/>
    <row r="162868" s="12" customFormat="1" x14ac:dyDescent="0.25"/>
    <row r="162869" s="12" customFormat="1" x14ac:dyDescent="0.25"/>
    <row r="162870" s="12" customFormat="1" x14ac:dyDescent="0.25"/>
    <row r="162871" s="12" customFormat="1" x14ac:dyDescent="0.25"/>
    <row r="162872" s="12" customFormat="1" x14ac:dyDescent="0.25"/>
    <row r="162873" s="12" customFormat="1" x14ac:dyDescent="0.25"/>
    <row r="162874" s="12" customFormat="1" x14ac:dyDescent="0.25"/>
    <row r="162875" s="12" customFormat="1" x14ac:dyDescent="0.25"/>
    <row r="162876" s="12" customFormat="1" x14ac:dyDescent="0.25"/>
    <row r="162877" s="12" customFormat="1" x14ac:dyDescent="0.25"/>
    <row r="162878" s="12" customFormat="1" x14ac:dyDescent="0.25"/>
    <row r="162879" s="12" customFormat="1" x14ac:dyDescent="0.25"/>
    <row r="162880" s="12" customFormat="1" x14ac:dyDescent="0.25"/>
    <row r="162881" s="12" customFormat="1" x14ac:dyDescent="0.25"/>
    <row r="162882" s="12" customFormat="1" x14ac:dyDescent="0.25"/>
    <row r="162883" s="12" customFormat="1" x14ac:dyDescent="0.25"/>
    <row r="162884" s="12" customFormat="1" x14ac:dyDescent="0.25"/>
    <row r="162885" s="12" customFormat="1" x14ac:dyDescent="0.25"/>
    <row r="162886" s="12" customFormat="1" x14ac:dyDescent="0.25"/>
    <row r="162887" s="12" customFormat="1" x14ac:dyDescent="0.25"/>
    <row r="162888" s="12" customFormat="1" x14ac:dyDescent="0.25"/>
    <row r="162889" s="12" customFormat="1" x14ac:dyDescent="0.25"/>
    <row r="162890" s="12" customFormat="1" x14ac:dyDescent="0.25"/>
    <row r="162891" s="12" customFormat="1" x14ac:dyDescent="0.25"/>
    <row r="162892" s="12" customFormat="1" x14ac:dyDescent="0.25"/>
    <row r="162893" s="12" customFormat="1" x14ac:dyDescent="0.25"/>
    <row r="162894" s="12" customFormat="1" x14ac:dyDescent="0.25"/>
    <row r="162895" s="12" customFormat="1" x14ac:dyDescent="0.25"/>
    <row r="162896" s="12" customFormat="1" x14ac:dyDescent="0.25"/>
    <row r="162897" s="12" customFormat="1" x14ac:dyDescent="0.25"/>
    <row r="162898" s="12" customFormat="1" x14ac:dyDescent="0.25"/>
    <row r="162899" s="12" customFormat="1" x14ac:dyDescent="0.25"/>
    <row r="162900" s="12" customFormat="1" x14ac:dyDescent="0.25"/>
    <row r="162901" s="12" customFormat="1" x14ac:dyDescent="0.25"/>
    <row r="162902" s="12" customFormat="1" x14ac:dyDescent="0.25"/>
    <row r="162903" s="12" customFormat="1" x14ac:dyDescent="0.25"/>
    <row r="162904" s="12" customFormat="1" x14ac:dyDescent="0.25"/>
    <row r="162905" s="12" customFormat="1" x14ac:dyDescent="0.25"/>
    <row r="162906" s="12" customFormat="1" x14ac:dyDescent="0.25"/>
    <row r="162907" s="12" customFormat="1" x14ac:dyDescent="0.25"/>
    <row r="162908" s="12" customFormat="1" x14ac:dyDescent="0.25"/>
    <row r="162909" s="12" customFormat="1" x14ac:dyDescent="0.25"/>
    <row r="162910" s="12" customFormat="1" x14ac:dyDescent="0.25"/>
    <row r="162911" s="12" customFormat="1" x14ac:dyDescent="0.25"/>
    <row r="162912" s="12" customFormat="1" x14ac:dyDescent="0.25"/>
    <row r="162913" s="12" customFormat="1" x14ac:dyDescent="0.25"/>
    <row r="162914" s="12" customFormat="1" x14ac:dyDescent="0.25"/>
    <row r="162915" s="12" customFormat="1" x14ac:dyDescent="0.25"/>
    <row r="162916" s="12" customFormat="1" x14ac:dyDescent="0.25"/>
    <row r="162917" s="12" customFormat="1" x14ac:dyDescent="0.25"/>
    <row r="162918" s="12" customFormat="1" x14ac:dyDescent="0.25"/>
    <row r="162919" s="12" customFormat="1" x14ac:dyDescent="0.25"/>
    <row r="162920" s="12" customFormat="1" x14ac:dyDescent="0.25"/>
    <row r="162921" s="12" customFormat="1" x14ac:dyDescent="0.25"/>
    <row r="162922" s="12" customFormat="1" x14ac:dyDescent="0.25"/>
    <row r="162923" s="12" customFormat="1" x14ac:dyDescent="0.25"/>
    <row r="162924" s="12" customFormat="1" x14ac:dyDescent="0.25"/>
    <row r="162925" s="12" customFormat="1" x14ac:dyDescent="0.25"/>
    <row r="162926" s="12" customFormat="1" x14ac:dyDescent="0.25"/>
    <row r="162927" s="12" customFormat="1" x14ac:dyDescent="0.25"/>
    <row r="162928" s="12" customFormat="1" x14ac:dyDescent="0.25"/>
    <row r="162929" s="12" customFormat="1" x14ac:dyDescent="0.25"/>
    <row r="162930" s="12" customFormat="1" x14ac:dyDescent="0.25"/>
    <row r="162931" s="12" customFormat="1" x14ac:dyDescent="0.25"/>
    <row r="162932" s="12" customFormat="1" x14ac:dyDescent="0.25"/>
    <row r="162933" s="12" customFormat="1" x14ac:dyDescent="0.25"/>
    <row r="162934" s="12" customFormat="1" x14ac:dyDescent="0.25"/>
    <row r="162935" s="12" customFormat="1" x14ac:dyDescent="0.25"/>
    <row r="162936" s="12" customFormat="1" x14ac:dyDescent="0.25"/>
    <row r="162937" s="12" customFormat="1" x14ac:dyDescent="0.25"/>
    <row r="162938" s="12" customFormat="1" x14ac:dyDescent="0.25"/>
    <row r="162939" s="12" customFormat="1" x14ac:dyDescent="0.25"/>
    <row r="162940" s="12" customFormat="1" x14ac:dyDescent="0.25"/>
    <row r="162941" s="12" customFormat="1" x14ac:dyDescent="0.25"/>
    <row r="162942" s="12" customFormat="1" x14ac:dyDescent="0.25"/>
    <row r="162943" s="12" customFormat="1" x14ac:dyDescent="0.25"/>
    <row r="162944" s="12" customFormat="1" x14ac:dyDescent="0.25"/>
    <row r="162945" s="12" customFormat="1" x14ac:dyDescent="0.25"/>
    <row r="162946" s="12" customFormat="1" x14ac:dyDescent="0.25"/>
    <row r="162947" s="12" customFormat="1" x14ac:dyDescent="0.25"/>
    <row r="162948" s="12" customFormat="1" x14ac:dyDescent="0.25"/>
    <row r="162949" s="12" customFormat="1" x14ac:dyDescent="0.25"/>
    <row r="162950" s="12" customFormat="1" x14ac:dyDescent="0.25"/>
    <row r="162951" s="12" customFormat="1" x14ac:dyDescent="0.25"/>
    <row r="162952" s="12" customFormat="1" x14ac:dyDescent="0.25"/>
    <row r="162953" s="12" customFormat="1" x14ac:dyDescent="0.25"/>
    <row r="162954" s="12" customFormat="1" x14ac:dyDescent="0.25"/>
    <row r="162955" s="12" customFormat="1" x14ac:dyDescent="0.25"/>
    <row r="162956" s="12" customFormat="1" x14ac:dyDescent="0.25"/>
    <row r="162957" s="12" customFormat="1" x14ac:dyDescent="0.25"/>
    <row r="162958" s="12" customFormat="1" x14ac:dyDescent="0.25"/>
    <row r="162959" s="12" customFormat="1" x14ac:dyDescent="0.25"/>
    <row r="162960" s="12" customFormat="1" x14ac:dyDescent="0.25"/>
    <row r="162961" s="12" customFormat="1" x14ac:dyDescent="0.25"/>
    <row r="162962" s="12" customFormat="1" x14ac:dyDescent="0.25"/>
    <row r="162963" s="12" customFormat="1" x14ac:dyDescent="0.25"/>
    <row r="162964" s="12" customFormat="1" x14ac:dyDescent="0.25"/>
    <row r="162965" s="12" customFormat="1" x14ac:dyDescent="0.25"/>
    <row r="162966" s="12" customFormat="1" x14ac:dyDescent="0.25"/>
    <row r="162967" s="12" customFormat="1" x14ac:dyDescent="0.25"/>
    <row r="162968" s="12" customFormat="1" x14ac:dyDescent="0.25"/>
    <row r="162969" s="12" customFormat="1" x14ac:dyDescent="0.25"/>
    <row r="162970" s="12" customFormat="1" x14ac:dyDescent="0.25"/>
    <row r="162971" s="12" customFormat="1" x14ac:dyDescent="0.25"/>
    <row r="162972" s="12" customFormat="1" x14ac:dyDescent="0.25"/>
    <row r="162973" s="12" customFormat="1" x14ac:dyDescent="0.25"/>
    <row r="162974" s="12" customFormat="1" x14ac:dyDescent="0.25"/>
    <row r="162975" s="12" customFormat="1" x14ac:dyDescent="0.25"/>
    <row r="162976" s="12" customFormat="1" x14ac:dyDescent="0.25"/>
    <row r="162977" s="12" customFormat="1" x14ac:dyDescent="0.25"/>
    <row r="162978" s="12" customFormat="1" x14ac:dyDescent="0.25"/>
    <row r="162979" s="12" customFormat="1" x14ac:dyDescent="0.25"/>
    <row r="162980" s="12" customFormat="1" x14ac:dyDescent="0.25"/>
    <row r="162981" s="12" customFormat="1" x14ac:dyDescent="0.25"/>
    <row r="162982" s="12" customFormat="1" x14ac:dyDescent="0.25"/>
    <row r="162983" s="12" customFormat="1" x14ac:dyDescent="0.25"/>
    <row r="162984" s="12" customFormat="1" x14ac:dyDescent="0.25"/>
    <row r="162985" s="12" customFormat="1" x14ac:dyDescent="0.25"/>
    <row r="162986" s="12" customFormat="1" x14ac:dyDescent="0.25"/>
    <row r="162987" s="12" customFormat="1" x14ac:dyDescent="0.25"/>
    <row r="162988" s="12" customFormat="1" x14ac:dyDescent="0.25"/>
    <row r="162989" s="12" customFormat="1" x14ac:dyDescent="0.25"/>
    <row r="162990" s="12" customFormat="1" x14ac:dyDescent="0.25"/>
    <row r="162991" s="12" customFormat="1" x14ac:dyDescent="0.25"/>
    <row r="162992" s="12" customFormat="1" x14ac:dyDescent="0.25"/>
    <row r="162993" s="12" customFormat="1" x14ac:dyDescent="0.25"/>
    <row r="162994" s="12" customFormat="1" x14ac:dyDescent="0.25"/>
    <row r="162995" s="12" customFormat="1" x14ac:dyDescent="0.25"/>
    <row r="162996" s="12" customFormat="1" x14ac:dyDescent="0.25"/>
    <row r="162997" s="12" customFormat="1" x14ac:dyDescent="0.25"/>
    <row r="162998" s="12" customFormat="1" x14ac:dyDescent="0.25"/>
    <row r="162999" s="12" customFormat="1" x14ac:dyDescent="0.25"/>
    <row r="163000" s="12" customFormat="1" x14ac:dyDescent="0.25"/>
    <row r="163001" s="12" customFormat="1" x14ac:dyDescent="0.25"/>
    <row r="163002" s="12" customFormat="1" x14ac:dyDescent="0.25"/>
    <row r="163003" s="12" customFormat="1" x14ac:dyDescent="0.25"/>
    <row r="163004" s="12" customFormat="1" x14ac:dyDescent="0.25"/>
    <row r="163005" s="12" customFormat="1" x14ac:dyDescent="0.25"/>
    <row r="163006" s="12" customFormat="1" x14ac:dyDescent="0.25"/>
    <row r="163007" s="12" customFormat="1" x14ac:dyDescent="0.25"/>
    <row r="163008" s="12" customFormat="1" x14ac:dyDescent="0.25"/>
    <row r="163009" s="12" customFormat="1" x14ac:dyDescent="0.25"/>
    <row r="163010" s="12" customFormat="1" x14ac:dyDescent="0.25"/>
    <row r="163011" s="12" customFormat="1" x14ac:dyDescent="0.25"/>
    <row r="163012" s="12" customFormat="1" x14ac:dyDescent="0.25"/>
    <row r="163013" s="12" customFormat="1" x14ac:dyDescent="0.25"/>
    <row r="163014" s="12" customFormat="1" x14ac:dyDescent="0.25"/>
    <row r="163015" s="12" customFormat="1" x14ac:dyDescent="0.25"/>
    <row r="163016" s="12" customFormat="1" x14ac:dyDescent="0.25"/>
    <row r="163017" s="12" customFormat="1" x14ac:dyDescent="0.25"/>
    <row r="163018" s="12" customFormat="1" x14ac:dyDescent="0.25"/>
    <row r="163019" s="12" customFormat="1" x14ac:dyDescent="0.25"/>
    <row r="163020" s="12" customFormat="1" x14ac:dyDescent="0.25"/>
    <row r="163021" s="12" customFormat="1" x14ac:dyDescent="0.25"/>
    <row r="163022" s="12" customFormat="1" x14ac:dyDescent="0.25"/>
    <row r="163023" s="12" customFormat="1" x14ac:dyDescent="0.25"/>
    <row r="163024" s="12" customFormat="1" x14ac:dyDescent="0.25"/>
    <row r="163025" s="12" customFormat="1" x14ac:dyDescent="0.25"/>
    <row r="163026" s="12" customFormat="1" x14ac:dyDescent="0.25"/>
    <row r="163027" s="12" customFormat="1" x14ac:dyDescent="0.25"/>
    <row r="163028" s="12" customFormat="1" x14ac:dyDescent="0.25"/>
    <row r="163029" s="12" customFormat="1" x14ac:dyDescent="0.25"/>
    <row r="163030" s="12" customFormat="1" x14ac:dyDescent="0.25"/>
    <row r="163031" s="12" customFormat="1" x14ac:dyDescent="0.25"/>
    <row r="163032" s="12" customFormat="1" x14ac:dyDescent="0.25"/>
    <row r="163033" s="12" customFormat="1" x14ac:dyDescent="0.25"/>
    <row r="163034" s="12" customFormat="1" x14ac:dyDescent="0.25"/>
    <row r="163035" s="12" customFormat="1" x14ac:dyDescent="0.25"/>
    <row r="163036" s="12" customFormat="1" x14ac:dyDescent="0.25"/>
    <row r="163037" s="12" customFormat="1" x14ac:dyDescent="0.25"/>
    <row r="163038" s="12" customFormat="1" x14ac:dyDescent="0.25"/>
    <row r="163039" s="12" customFormat="1" x14ac:dyDescent="0.25"/>
    <row r="163040" s="12" customFormat="1" x14ac:dyDescent="0.25"/>
    <row r="163041" s="12" customFormat="1" x14ac:dyDescent="0.25"/>
    <row r="163042" s="12" customFormat="1" x14ac:dyDescent="0.25"/>
    <row r="163043" s="12" customFormat="1" x14ac:dyDescent="0.25"/>
    <row r="163044" s="12" customFormat="1" x14ac:dyDescent="0.25"/>
    <row r="163045" s="12" customFormat="1" x14ac:dyDescent="0.25"/>
    <row r="163046" s="12" customFormat="1" x14ac:dyDescent="0.25"/>
    <row r="163047" s="12" customFormat="1" x14ac:dyDescent="0.25"/>
    <row r="163048" s="12" customFormat="1" x14ac:dyDescent="0.25"/>
    <row r="163049" s="12" customFormat="1" x14ac:dyDescent="0.25"/>
    <row r="163050" s="12" customFormat="1" x14ac:dyDescent="0.25"/>
    <row r="163051" s="12" customFormat="1" x14ac:dyDescent="0.25"/>
    <row r="163052" s="12" customFormat="1" x14ac:dyDescent="0.25"/>
    <row r="163053" s="12" customFormat="1" x14ac:dyDescent="0.25"/>
    <row r="163054" s="12" customFormat="1" x14ac:dyDescent="0.25"/>
    <row r="163055" s="12" customFormat="1" x14ac:dyDescent="0.25"/>
    <row r="163056" s="12" customFormat="1" x14ac:dyDescent="0.25"/>
    <row r="163057" s="12" customFormat="1" x14ac:dyDescent="0.25"/>
    <row r="163058" s="12" customFormat="1" x14ac:dyDescent="0.25"/>
    <row r="163059" s="12" customFormat="1" x14ac:dyDescent="0.25"/>
    <row r="163060" s="12" customFormat="1" x14ac:dyDescent="0.25"/>
    <row r="163061" s="12" customFormat="1" x14ac:dyDescent="0.25"/>
    <row r="163062" s="12" customFormat="1" x14ac:dyDescent="0.25"/>
    <row r="163063" s="12" customFormat="1" x14ac:dyDescent="0.25"/>
    <row r="163064" s="12" customFormat="1" x14ac:dyDescent="0.25"/>
    <row r="163065" s="12" customFormat="1" x14ac:dyDescent="0.25"/>
    <row r="163066" s="12" customFormat="1" x14ac:dyDescent="0.25"/>
    <row r="163067" s="12" customFormat="1" x14ac:dyDescent="0.25"/>
    <row r="163068" s="12" customFormat="1" x14ac:dyDescent="0.25"/>
    <row r="163069" s="12" customFormat="1" x14ac:dyDescent="0.25"/>
    <row r="163070" s="12" customFormat="1" x14ac:dyDescent="0.25"/>
    <row r="163071" s="12" customFormat="1" x14ac:dyDescent="0.25"/>
    <row r="163072" s="12" customFormat="1" x14ac:dyDescent="0.25"/>
    <row r="163073" s="12" customFormat="1" x14ac:dyDescent="0.25"/>
    <row r="163074" s="12" customFormat="1" x14ac:dyDescent="0.25"/>
    <row r="163075" s="12" customFormat="1" x14ac:dyDescent="0.25"/>
    <row r="163076" s="12" customFormat="1" x14ac:dyDescent="0.25"/>
    <row r="163077" s="12" customFormat="1" x14ac:dyDescent="0.25"/>
    <row r="163078" s="12" customFormat="1" x14ac:dyDescent="0.25"/>
    <row r="163079" s="12" customFormat="1" x14ac:dyDescent="0.25"/>
    <row r="163080" s="12" customFormat="1" x14ac:dyDescent="0.25"/>
    <row r="163081" s="12" customFormat="1" x14ac:dyDescent="0.25"/>
    <row r="163082" s="12" customFormat="1" x14ac:dyDescent="0.25"/>
    <row r="163083" s="12" customFormat="1" x14ac:dyDescent="0.25"/>
    <row r="163084" s="12" customFormat="1" x14ac:dyDescent="0.25"/>
    <row r="163085" s="12" customFormat="1" x14ac:dyDescent="0.25"/>
    <row r="163086" s="12" customFormat="1" x14ac:dyDescent="0.25"/>
    <row r="163087" s="12" customFormat="1" x14ac:dyDescent="0.25"/>
    <row r="163088" s="12" customFormat="1" x14ac:dyDescent="0.25"/>
    <row r="163089" s="12" customFormat="1" x14ac:dyDescent="0.25"/>
    <row r="163090" s="12" customFormat="1" x14ac:dyDescent="0.25"/>
    <row r="163091" s="12" customFormat="1" x14ac:dyDescent="0.25"/>
    <row r="163092" s="12" customFormat="1" x14ac:dyDescent="0.25"/>
    <row r="163093" s="12" customFormat="1" x14ac:dyDescent="0.25"/>
    <row r="163094" s="12" customFormat="1" x14ac:dyDescent="0.25"/>
    <row r="163095" s="12" customFormat="1" x14ac:dyDescent="0.25"/>
    <row r="163096" s="12" customFormat="1" x14ac:dyDescent="0.25"/>
    <row r="163097" s="12" customFormat="1" x14ac:dyDescent="0.25"/>
    <row r="163098" s="12" customFormat="1" x14ac:dyDescent="0.25"/>
    <row r="163099" s="12" customFormat="1" x14ac:dyDescent="0.25"/>
    <row r="163100" s="12" customFormat="1" x14ac:dyDescent="0.25"/>
    <row r="163101" s="12" customFormat="1" x14ac:dyDescent="0.25"/>
    <row r="163102" s="12" customFormat="1" x14ac:dyDescent="0.25"/>
    <row r="163103" s="12" customFormat="1" x14ac:dyDescent="0.25"/>
    <row r="163104" s="12" customFormat="1" x14ac:dyDescent="0.25"/>
    <row r="163105" s="12" customFormat="1" x14ac:dyDescent="0.25"/>
    <row r="163106" s="12" customFormat="1" x14ac:dyDescent="0.25"/>
    <row r="163107" s="12" customFormat="1" x14ac:dyDescent="0.25"/>
    <row r="163108" s="12" customFormat="1" x14ac:dyDescent="0.25"/>
    <row r="163109" s="12" customFormat="1" x14ac:dyDescent="0.25"/>
    <row r="163110" s="12" customFormat="1" x14ac:dyDescent="0.25"/>
    <row r="163111" s="12" customFormat="1" x14ac:dyDescent="0.25"/>
    <row r="163112" s="12" customFormat="1" x14ac:dyDescent="0.25"/>
    <row r="163113" s="12" customFormat="1" x14ac:dyDescent="0.25"/>
    <row r="163114" s="12" customFormat="1" x14ac:dyDescent="0.25"/>
    <row r="163115" s="12" customFormat="1" x14ac:dyDescent="0.25"/>
    <row r="163116" s="12" customFormat="1" x14ac:dyDescent="0.25"/>
    <row r="163117" s="12" customFormat="1" x14ac:dyDescent="0.25"/>
    <row r="163118" s="12" customFormat="1" x14ac:dyDescent="0.25"/>
    <row r="163119" s="12" customFormat="1" x14ac:dyDescent="0.25"/>
    <row r="163120" s="12" customFormat="1" x14ac:dyDescent="0.25"/>
    <row r="163121" s="12" customFormat="1" x14ac:dyDescent="0.25"/>
    <row r="163122" s="12" customFormat="1" x14ac:dyDescent="0.25"/>
    <row r="163123" s="12" customFormat="1" x14ac:dyDescent="0.25"/>
    <row r="163124" s="12" customFormat="1" x14ac:dyDescent="0.25"/>
    <row r="163125" s="12" customFormat="1" x14ac:dyDescent="0.25"/>
    <row r="163126" s="12" customFormat="1" x14ac:dyDescent="0.25"/>
    <row r="163127" s="12" customFormat="1" x14ac:dyDescent="0.25"/>
    <row r="163128" s="12" customFormat="1" x14ac:dyDescent="0.25"/>
    <row r="163129" s="12" customFormat="1" x14ac:dyDescent="0.25"/>
    <row r="163130" s="12" customFormat="1" x14ac:dyDescent="0.25"/>
    <row r="163131" s="12" customFormat="1" x14ac:dyDescent="0.25"/>
    <row r="163132" s="12" customFormat="1" x14ac:dyDescent="0.25"/>
    <row r="163133" s="12" customFormat="1" x14ac:dyDescent="0.25"/>
    <row r="163134" s="12" customFormat="1" x14ac:dyDescent="0.25"/>
    <row r="163135" s="12" customFormat="1" x14ac:dyDescent="0.25"/>
    <row r="163136" s="12" customFormat="1" x14ac:dyDescent="0.25"/>
    <row r="163137" s="12" customFormat="1" x14ac:dyDescent="0.25"/>
    <row r="163138" s="12" customFormat="1" x14ac:dyDescent="0.25"/>
    <row r="163139" s="12" customFormat="1" x14ac:dyDescent="0.25"/>
    <row r="163140" s="12" customFormat="1" x14ac:dyDescent="0.25"/>
    <row r="163141" s="12" customFormat="1" x14ac:dyDescent="0.25"/>
    <row r="163142" s="12" customFormat="1" x14ac:dyDescent="0.25"/>
    <row r="163143" s="12" customFormat="1" x14ac:dyDescent="0.25"/>
    <row r="163144" s="12" customFormat="1" x14ac:dyDescent="0.25"/>
    <row r="163145" s="12" customFormat="1" x14ac:dyDescent="0.25"/>
    <row r="163146" s="12" customFormat="1" x14ac:dyDescent="0.25"/>
    <row r="163147" s="12" customFormat="1" x14ac:dyDescent="0.25"/>
    <row r="163148" s="12" customFormat="1" x14ac:dyDescent="0.25"/>
    <row r="163149" s="12" customFormat="1" x14ac:dyDescent="0.25"/>
    <row r="163150" s="12" customFormat="1" x14ac:dyDescent="0.25"/>
    <row r="163151" s="12" customFormat="1" x14ac:dyDescent="0.25"/>
    <row r="163152" s="12" customFormat="1" x14ac:dyDescent="0.25"/>
    <row r="163153" s="12" customFormat="1" x14ac:dyDescent="0.25"/>
    <row r="163154" s="12" customFormat="1" x14ac:dyDescent="0.25"/>
    <row r="163155" s="12" customFormat="1" x14ac:dyDescent="0.25"/>
    <row r="163156" s="12" customFormat="1" x14ac:dyDescent="0.25"/>
    <row r="163157" s="12" customFormat="1" x14ac:dyDescent="0.25"/>
    <row r="163158" s="12" customFormat="1" x14ac:dyDescent="0.25"/>
    <row r="163159" s="12" customFormat="1" x14ac:dyDescent="0.25"/>
    <row r="163160" s="12" customFormat="1" x14ac:dyDescent="0.25"/>
    <row r="163161" s="12" customFormat="1" x14ac:dyDescent="0.25"/>
    <row r="163162" s="12" customFormat="1" x14ac:dyDescent="0.25"/>
    <row r="163163" s="12" customFormat="1" x14ac:dyDescent="0.25"/>
    <row r="163164" s="12" customFormat="1" x14ac:dyDescent="0.25"/>
    <row r="163165" s="12" customFormat="1" x14ac:dyDescent="0.25"/>
    <row r="163166" s="12" customFormat="1" x14ac:dyDescent="0.25"/>
    <row r="163167" s="12" customFormat="1" x14ac:dyDescent="0.25"/>
    <row r="163168" s="12" customFormat="1" x14ac:dyDescent="0.25"/>
    <row r="163169" s="12" customFormat="1" x14ac:dyDescent="0.25"/>
    <row r="163170" s="12" customFormat="1" x14ac:dyDescent="0.25"/>
    <row r="163171" s="12" customFormat="1" x14ac:dyDescent="0.25"/>
    <row r="163172" s="12" customFormat="1" x14ac:dyDescent="0.25"/>
    <row r="163173" s="12" customFormat="1" x14ac:dyDescent="0.25"/>
    <row r="163174" s="12" customFormat="1" x14ac:dyDescent="0.25"/>
    <row r="163175" s="12" customFormat="1" x14ac:dyDescent="0.25"/>
    <row r="163176" s="12" customFormat="1" x14ac:dyDescent="0.25"/>
    <row r="163177" s="12" customFormat="1" x14ac:dyDescent="0.25"/>
    <row r="163178" s="12" customFormat="1" x14ac:dyDescent="0.25"/>
    <row r="163179" s="12" customFormat="1" x14ac:dyDescent="0.25"/>
    <row r="163180" s="12" customFormat="1" x14ac:dyDescent="0.25"/>
    <row r="163181" s="12" customFormat="1" x14ac:dyDescent="0.25"/>
    <row r="163182" s="12" customFormat="1" x14ac:dyDescent="0.25"/>
    <row r="163183" s="12" customFormat="1" x14ac:dyDescent="0.25"/>
    <row r="163184" s="12" customFormat="1" x14ac:dyDescent="0.25"/>
    <row r="163185" s="12" customFormat="1" x14ac:dyDescent="0.25"/>
    <row r="163186" s="12" customFormat="1" x14ac:dyDescent="0.25"/>
    <row r="163187" s="12" customFormat="1" x14ac:dyDescent="0.25"/>
    <row r="163188" s="12" customFormat="1" x14ac:dyDescent="0.25"/>
    <row r="163189" s="12" customFormat="1" x14ac:dyDescent="0.25"/>
    <row r="163190" s="12" customFormat="1" x14ac:dyDescent="0.25"/>
    <row r="163191" s="12" customFormat="1" x14ac:dyDescent="0.25"/>
    <row r="163192" s="12" customFormat="1" x14ac:dyDescent="0.25"/>
    <row r="163193" s="12" customFormat="1" x14ac:dyDescent="0.25"/>
    <row r="163194" s="12" customFormat="1" x14ac:dyDescent="0.25"/>
    <row r="163195" s="12" customFormat="1" x14ac:dyDescent="0.25"/>
    <row r="163196" s="12" customFormat="1" x14ac:dyDescent="0.25"/>
    <row r="163197" s="12" customFormat="1" x14ac:dyDescent="0.25"/>
    <row r="163198" s="12" customFormat="1" x14ac:dyDescent="0.25"/>
    <row r="163199" s="12" customFormat="1" x14ac:dyDescent="0.25"/>
    <row r="163200" s="12" customFormat="1" x14ac:dyDescent="0.25"/>
    <row r="163201" s="12" customFormat="1" x14ac:dyDescent="0.25"/>
    <row r="163202" s="12" customFormat="1" x14ac:dyDescent="0.25"/>
    <row r="163203" s="12" customFormat="1" x14ac:dyDescent="0.25"/>
    <row r="163204" s="12" customFormat="1" x14ac:dyDescent="0.25"/>
    <row r="163205" s="12" customFormat="1" x14ac:dyDescent="0.25"/>
    <row r="163206" s="12" customFormat="1" x14ac:dyDescent="0.25"/>
    <row r="163207" s="12" customFormat="1" x14ac:dyDescent="0.25"/>
    <row r="163208" s="12" customFormat="1" x14ac:dyDescent="0.25"/>
    <row r="163209" s="12" customFormat="1" x14ac:dyDescent="0.25"/>
    <row r="163210" s="12" customFormat="1" x14ac:dyDescent="0.25"/>
    <row r="163211" s="12" customFormat="1" x14ac:dyDescent="0.25"/>
    <row r="163212" s="12" customFormat="1" x14ac:dyDescent="0.25"/>
    <row r="163213" s="12" customFormat="1" x14ac:dyDescent="0.25"/>
    <row r="163214" s="12" customFormat="1" x14ac:dyDescent="0.25"/>
    <row r="163215" s="12" customFormat="1" x14ac:dyDescent="0.25"/>
    <row r="163216" s="12" customFormat="1" x14ac:dyDescent="0.25"/>
    <row r="163217" s="12" customFormat="1" x14ac:dyDescent="0.25"/>
    <row r="163218" s="12" customFormat="1" x14ac:dyDescent="0.25"/>
    <row r="163219" s="12" customFormat="1" x14ac:dyDescent="0.25"/>
    <row r="163220" s="12" customFormat="1" x14ac:dyDescent="0.25"/>
    <row r="163221" s="12" customFormat="1" x14ac:dyDescent="0.25"/>
    <row r="163222" s="12" customFormat="1" x14ac:dyDescent="0.25"/>
    <row r="163223" s="12" customFormat="1" x14ac:dyDescent="0.25"/>
    <row r="163224" s="12" customFormat="1" x14ac:dyDescent="0.25"/>
    <row r="163225" s="12" customFormat="1" x14ac:dyDescent="0.25"/>
    <row r="163226" s="12" customFormat="1" x14ac:dyDescent="0.25"/>
    <row r="163227" s="12" customFormat="1" x14ac:dyDescent="0.25"/>
    <row r="163228" s="12" customFormat="1" x14ac:dyDescent="0.25"/>
    <row r="163229" s="12" customFormat="1" x14ac:dyDescent="0.25"/>
    <row r="163230" s="12" customFormat="1" x14ac:dyDescent="0.25"/>
    <row r="163231" s="12" customFormat="1" x14ac:dyDescent="0.25"/>
    <row r="163232" s="12" customFormat="1" x14ac:dyDescent="0.25"/>
    <row r="163233" s="12" customFormat="1" x14ac:dyDescent="0.25"/>
    <row r="163234" s="12" customFormat="1" x14ac:dyDescent="0.25"/>
    <row r="163235" s="12" customFormat="1" x14ac:dyDescent="0.25"/>
    <row r="163236" s="12" customFormat="1" x14ac:dyDescent="0.25"/>
    <row r="163237" s="12" customFormat="1" x14ac:dyDescent="0.25"/>
    <row r="163238" s="12" customFormat="1" x14ac:dyDescent="0.25"/>
    <row r="163239" s="12" customFormat="1" x14ac:dyDescent="0.25"/>
    <row r="163240" s="12" customFormat="1" x14ac:dyDescent="0.25"/>
    <row r="163241" s="12" customFormat="1" x14ac:dyDescent="0.25"/>
    <row r="163242" s="12" customFormat="1" x14ac:dyDescent="0.25"/>
    <row r="163243" s="12" customFormat="1" x14ac:dyDescent="0.25"/>
    <row r="163244" s="12" customFormat="1" x14ac:dyDescent="0.25"/>
    <row r="163245" s="12" customFormat="1" x14ac:dyDescent="0.25"/>
    <row r="163246" s="12" customFormat="1" x14ac:dyDescent="0.25"/>
    <row r="163247" s="12" customFormat="1" x14ac:dyDescent="0.25"/>
    <row r="163248" s="12" customFormat="1" x14ac:dyDescent="0.25"/>
    <row r="163249" s="12" customFormat="1" x14ac:dyDescent="0.25"/>
    <row r="163250" s="12" customFormat="1" x14ac:dyDescent="0.25"/>
    <row r="163251" s="12" customFormat="1" x14ac:dyDescent="0.25"/>
    <row r="163252" s="12" customFormat="1" x14ac:dyDescent="0.25"/>
    <row r="163253" s="12" customFormat="1" x14ac:dyDescent="0.25"/>
    <row r="163254" s="12" customFormat="1" x14ac:dyDescent="0.25"/>
    <row r="163255" s="12" customFormat="1" x14ac:dyDescent="0.25"/>
    <row r="163256" s="12" customFormat="1" x14ac:dyDescent="0.25"/>
    <row r="163257" s="12" customFormat="1" x14ac:dyDescent="0.25"/>
    <row r="163258" s="12" customFormat="1" x14ac:dyDescent="0.25"/>
    <row r="163259" s="12" customFormat="1" x14ac:dyDescent="0.25"/>
    <row r="163260" s="12" customFormat="1" x14ac:dyDescent="0.25"/>
    <row r="163261" s="12" customFormat="1" x14ac:dyDescent="0.25"/>
    <row r="163262" s="12" customFormat="1" x14ac:dyDescent="0.25"/>
    <row r="163263" s="12" customFormat="1" x14ac:dyDescent="0.25"/>
    <row r="163264" s="12" customFormat="1" x14ac:dyDescent="0.25"/>
    <row r="163265" s="12" customFormat="1" x14ac:dyDescent="0.25"/>
    <row r="163266" s="12" customFormat="1" x14ac:dyDescent="0.25"/>
    <row r="163267" s="12" customFormat="1" x14ac:dyDescent="0.25"/>
    <row r="163268" s="12" customFormat="1" x14ac:dyDescent="0.25"/>
    <row r="163269" s="12" customFormat="1" x14ac:dyDescent="0.25"/>
    <row r="163270" s="12" customFormat="1" x14ac:dyDescent="0.25"/>
    <row r="163271" s="12" customFormat="1" x14ac:dyDescent="0.25"/>
    <row r="163272" s="12" customFormat="1" x14ac:dyDescent="0.25"/>
    <row r="163273" s="12" customFormat="1" x14ac:dyDescent="0.25"/>
    <row r="163274" s="12" customFormat="1" x14ac:dyDescent="0.25"/>
    <row r="163275" s="12" customFormat="1" x14ac:dyDescent="0.25"/>
    <row r="163276" s="12" customFormat="1" x14ac:dyDescent="0.25"/>
    <row r="163277" s="12" customFormat="1" x14ac:dyDescent="0.25"/>
    <row r="163278" s="12" customFormat="1" x14ac:dyDescent="0.25"/>
    <row r="163279" s="12" customFormat="1" x14ac:dyDescent="0.25"/>
    <row r="163280" s="12" customFormat="1" x14ac:dyDescent="0.25"/>
    <row r="163281" s="12" customFormat="1" x14ac:dyDescent="0.25"/>
    <row r="163282" s="12" customFormat="1" x14ac:dyDescent="0.25"/>
    <row r="163283" s="12" customFormat="1" x14ac:dyDescent="0.25"/>
    <row r="163284" s="12" customFormat="1" x14ac:dyDescent="0.25"/>
    <row r="163285" s="12" customFormat="1" x14ac:dyDescent="0.25"/>
    <row r="163286" s="12" customFormat="1" x14ac:dyDescent="0.25"/>
    <row r="163287" s="12" customFormat="1" x14ac:dyDescent="0.25"/>
    <row r="163288" s="12" customFormat="1" x14ac:dyDescent="0.25"/>
    <row r="163289" s="12" customFormat="1" x14ac:dyDescent="0.25"/>
    <row r="163290" s="12" customFormat="1" x14ac:dyDescent="0.25"/>
    <row r="163291" s="12" customFormat="1" x14ac:dyDescent="0.25"/>
    <row r="163292" s="12" customFormat="1" x14ac:dyDescent="0.25"/>
    <row r="163293" s="12" customFormat="1" x14ac:dyDescent="0.25"/>
    <row r="163294" s="12" customFormat="1" x14ac:dyDescent="0.25"/>
    <row r="163295" s="12" customFormat="1" x14ac:dyDescent="0.25"/>
    <row r="163296" s="12" customFormat="1" x14ac:dyDescent="0.25"/>
    <row r="163297" s="12" customFormat="1" x14ac:dyDescent="0.25"/>
    <row r="163298" s="12" customFormat="1" x14ac:dyDescent="0.25"/>
    <row r="163299" s="12" customFormat="1" x14ac:dyDescent="0.25"/>
    <row r="163300" s="12" customFormat="1" x14ac:dyDescent="0.25"/>
    <row r="163301" s="12" customFormat="1" x14ac:dyDescent="0.25"/>
    <row r="163302" s="12" customFormat="1" x14ac:dyDescent="0.25"/>
    <row r="163303" s="12" customFormat="1" x14ac:dyDescent="0.25"/>
    <row r="163304" s="12" customFormat="1" x14ac:dyDescent="0.25"/>
    <row r="163305" s="12" customFormat="1" x14ac:dyDescent="0.25"/>
    <row r="163306" s="12" customFormat="1" x14ac:dyDescent="0.25"/>
    <row r="163307" s="12" customFormat="1" x14ac:dyDescent="0.25"/>
    <row r="163308" s="12" customFormat="1" x14ac:dyDescent="0.25"/>
    <row r="163309" s="12" customFormat="1" x14ac:dyDescent="0.25"/>
    <row r="163310" s="12" customFormat="1" x14ac:dyDescent="0.25"/>
    <row r="163311" s="12" customFormat="1" x14ac:dyDescent="0.25"/>
    <row r="163312" s="12" customFormat="1" x14ac:dyDescent="0.25"/>
    <row r="163313" s="12" customFormat="1" x14ac:dyDescent="0.25"/>
    <row r="163314" s="12" customFormat="1" x14ac:dyDescent="0.25"/>
    <row r="163315" s="12" customFormat="1" x14ac:dyDescent="0.25"/>
    <row r="163316" s="12" customFormat="1" x14ac:dyDescent="0.25"/>
    <row r="163317" s="12" customFormat="1" x14ac:dyDescent="0.25"/>
    <row r="163318" s="12" customFormat="1" x14ac:dyDescent="0.25"/>
    <row r="163319" s="12" customFormat="1" x14ac:dyDescent="0.25"/>
    <row r="163320" s="12" customFormat="1" x14ac:dyDescent="0.25"/>
    <row r="163321" s="12" customFormat="1" x14ac:dyDescent="0.25"/>
    <row r="163322" s="12" customFormat="1" x14ac:dyDescent="0.25"/>
    <row r="163323" s="12" customFormat="1" x14ac:dyDescent="0.25"/>
    <row r="163324" s="12" customFormat="1" x14ac:dyDescent="0.25"/>
    <row r="163325" s="12" customFormat="1" x14ac:dyDescent="0.25"/>
    <row r="163326" s="12" customFormat="1" x14ac:dyDescent="0.25"/>
    <row r="163327" s="12" customFormat="1" x14ac:dyDescent="0.25"/>
    <row r="163328" s="12" customFormat="1" x14ac:dyDescent="0.25"/>
    <row r="163329" s="12" customFormat="1" x14ac:dyDescent="0.25"/>
    <row r="163330" s="12" customFormat="1" x14ac:dyDescent="0.25"/>
    <row r="163331" s="12" customFormat="1" x14ac:dyDescent="0.25"/>
    <row r="163332" s="12" customFormat="1" x14ac:dyDescent="0.25"/>
    <row r="163333" s="12" customFormat="1" x14ac:dyDescent="0.25"/>
    <row r="163334" s="12" customFormat="1" x14ac:dyDescent="0.25"/>
    <row r="163335" s="12" customFormat="1" x14ac:dyDescent="0.25"/>
    <row r="163336" s="12" customFormat="1" x14ac:dyDescent="0.25"/>
    <row r="163337" s="12" customFormat="1" x14ac:dyDescent="0.25"/>
    <row r="163338" s="12" customFormat="1" x14ac:dyDescent="0.25"/>
    <row r="163339" s="12" customFormat="1" x14ac:dyDescent="0.25"/>
    <row r="163340" s="12" customFormat="1" x14ac:dyDescent="0.25"/>
    <row r="163341" s="12" customFormat="1" x14ac:dyDescent="0.25"/>
    <row r="163342" s="12" customFormat="1" x14ac:dyDescent="0.25"/>
    <row r="163343" s="12" customFormat="1" x14ac:dyDescent="0.25"/>
    <row r="163344" s="12" customFormat="1" x14ac:dyDescent="0.25"/>
    <row r="163345" s="12" customFormat="1" x14ac:dyDescent="0.25"/>
    <row r="163346" s="12" customFormat="1" x14ac:dyDescent="0.25"/>
    <row r="163347" s="12" customFormat="1" x14ac:dyDescent="0.25"/>
    <row r="163348" s="12" customFormat="1" x14ac:dyDescent="0.25"/>
    <row r="163349" s="12" customFormat="1" x14ac:dyDescent="0.25"/>
    <row r="163350" s="12" customFormat="1" x14ac:dyDescent="0.25"/>
    <row r="163351" s="12" customFormat="1" x14ac:dyDescent="0.25"/>
    <row r="163352" s="12" customFormat="1" x14ac:dyDescent="0.25"/>
    <row r="163353" s="12" customFormat="1" x14ac:dyDescent="0.25"/>
    <row r="163354" s="12" customFormat="1" x14ac:dyDescent="0.25"/>
    <row r="163355" s="12" customFormat="1" x14ac:dyDescent="0.25"/>
    <row r="163356" s="12" customFormat="1" x14ac:dyDescent="0.25"/>
    <row r="163357" s="12" customFormat="1" x14ac:dyDescent="0.25"/>
    <row r="163358" s="12" customFormat="1" x14ac:dyDescent="0.25"/>
    <row r="163359" s="12" customFormat="1" x14ac:dyDescent="0.25"/>
    <row r="163360" s="12" customFormat="1" x14ac:dyDescent="0.25"/>
    <row r="163361" s="12" customFormat="1" x14ac:dyDescent="0.25"/>
    <row r="163362" s="12" customFormat="1" x14ac:dyDescent="0.25"/>
    <row r="163363" s="12" customFormat="1" x14ac:dyDescent="0.25"/>
    <row r="163364" s="12" customFormat="1" x14ac:dyDescent="0.25"/>
    <row r="163365" s="12" customFormat="1" x14ac:dyDescent="0.25"/>
    <row r="163366" s="12" customFormat="1" x14ac:dyDescent="0.25"/>
    <row r="163367" s="12" customFormat="1" x14ac:dyDescent="0.25"/>
    <row r="163368" s="12" customFormat="1" x14ac:dyDescent="0.25"/>
    <row r="163369" s="12" customFormat="1" x14ac:dyDescent="0.25"/>
    <row r="163370" s="12" customFormat="1" x14ac:dyDescent="0.25"/>
    <row r="163371" s="12" customFormat="1" x14ac:dyDescent="0.25"/>
    <row r="163372" s="12" customFormat="1" x14ac:dyDescent="0.25"/>
    <row r="163373" s="12" customFormat="1" x14ac:dyDescent="0.25"/>
    <row r="163374" s="12" customFormat="1" x14ac:dyDescent="0.25"/>
    <row r="163375" s="12" customFormat="1" x14ac:dyDescent="0.25"/>
    <row r="163376" s="12" customFormat="1" x14ac:dyDescent="0.25"/>
    <row r="163377" s="12" customFormat="1" x14ac:dyDescent="0.25"/>
    <row r="163378" s="12" customFormat="1" x14ac:dyDescent="0.25"/>
    <row r="163379" s="12" customFormat="1" x14ac:dyDescent="0.25"/>
    <row r="163380" s="12" customFormat="1" x14ac:dyDescent="0.25"/>
    <row r="163381" s="12" customFormat="1" x14ac:dyDescent="0.25"/>
    <row r="163382" s="12" customFormat="1" x14ac:dyDescent="0.25"/>
    <row r="163383" s="12" customFormat="1" x14ac:dyDescent="0.25"/>
    <row r="163384" s="12" customFormat="1" x14ac:dyDescent="0.25"/>
    <row r="163385" s="12" customFormat="1" x14ac:dyDescent="0.25"/>
    <row r="163386" s="12" customFormat="1" x14ac:dyDescent="0.25"/>
    <row r="163387" s="12" customFormat="1" x14ac:dyDescent="0.25"/>
    <row r="163388" s="12" customFormat="1" x14ac:dyDescent="0.25"/>
    <row r="163389" s="12" customFormat="1" x14ac:dyDescent="0.25"/>
    <row r="163390" s="12" customFormat="1" x14ac:dyDescent="0.25"/>
    <row r="163391" s="12" customFormat="1" x14ac:dyDescent="0.25"/>
    <row r="163392" s="12" customFormat="1" x14ac:dyDescent="0.25"/>
    <row r="163393" s="12" customFormat="1" x14ac:dyDescent="0.25"/>
    <row r="163394" s="12" customFormat="1" x14ac:dyDescent="0.25"/>
    <row r="163395" s="12" customFormat="1" x14ac:dyDescent="0.25"/>
    <row r="163396" s="12" customFormat="1" x14ac:dyDescent="0.25"/>
    <row r="163397" s="12" customFormat="1" x14ac:dyDescent="0.25"/>
    <row r="163398" s="12" customFormat="1" x14ac:dyDescent="0.25"/>
    <row r="163399" s="12" customFormat="1" x14ac:dyDescent="0.25"/>
    <row r="163400" s="12" customFormat="1" x14ac:dyDescent="0.25"/>
    <row r="163401" s="12" customFormat="1" x14ac:dyDescent="0.25"/>
    <row r="163402" s="12" customFormat="1" x14ac:dyDescent="0.25"/>
    <row r="163403" s="12" customFormat="1" x14ac:dyDescent="0.25"/>
    <row r="163404" s="12" customFormat="1" x14ac:dyDescent="0.25"/>
    <row r="163405" s="12" customFormat="1" x14ac:dyDescent="0.25"/>
    <row r="163406" s="12" customFormat="1" x14ac:dyDescent="0.25"/>
    <row r="163407" s="12" customFormat="1" x14ac:dyDescent="0.25"/>
    <row r="163408" s="12" customFormat="1" x14ac:dyDescent="0.25"/>
    <row r="163409" s="12" customFormat="1" x14ac:dyDescent="0.25"/>
    <row r="163410" s="12" customFormat="1" x14ac:dyDescent="0.25"/>
    <row r="163411" s="12" customFormat="1" x14ac:dyDescent="0.25"/>
    <row r="163412" s="12" customFormat="1" x14ac:dyDescent="0.25"/>
    <row r="163413" s="12" customFormat="1" x14ac:dyDescent="0.25"/>
    <row r="163414" s="12" customFormat="1" x14ac:dyDescent="0.25"/>
    <row r="163415" s="12" customFormat="1" x14ac:dyDescent="0.25"/>
    <row r="163416" s="12" customFormat="1" x14ac:dyDescent="0.25"/>
    <row r="163417" s="12" customFormat="1" x14ac:dyDescent="0.25"/>
    <row r="163418" s="12" customFormat="1" x14ac:dyDescent="0.25"/>
    <row r="163419" s="12" customFormat="1" x14ac:dyDescent="0.25"/>
    <row r="163420" s="12" customFormat="1" x14ac:dyDescent="0.25"/>
    <row r="163421" s="12" customFormat="1" x14ac:dyDescent="0.25"/>
    <row r="163422" s="12" customFormat="1" x14ac:dyDescent="0.25"/>
    <row r="163423" s="12" customFormat="1" x14ac:dyDescent="0.25"/>
    <row r="163424" s="12" customFormat="1" x14ac:dyDescent="0.25"/>
    <row r="163425" s="12" customFormat="1" x14ac:dyDescent="0.25"/>
    <row r="163426" s="12" customFormat="1" x14ac:dyDescent="0.25"/>
    <row r="163427" s="12" customFormat="1" x14ac:dyDescent="0.25"/>
    <row r="163428" s="12" customFormat="1" x14ac:dyDescent="0.25"/>
    <row r="163429" s="12" customFormat="1" x14ac:dyDescent="0.25"/>
    <row r="163430" s="12" customFormat="1" x14ac:dyDescent="0.25"/>
    <row r="163431" s="12" customFormat="1" x14ac:dyDescent="0.25"/>
    <row r="163432" s="12" customFormat="1" x14ac:dyDescent="0.25"/>
    <row r="163433" s="12" customFormat="1" x14ac:dyDescent="0.25"/>
    <row r="163434" s="12" customFormat="1" x14ac:dyDescent="0.25"/>
    <row r="163435" s="12" customFormat="1" x14ac:dyDescent="0.25"/>
    <row r="163436" s="12" customFormat="1" x14ac:dyDescent="0.25"/>
    <row r="163437" s="12" customFormat="1" x14ac:dyDescent="0.25"/>
    <row r="163438" s="12" customFormat="1" x14ac:dyDescent="0.25"/>
    <row r="163439" s="12" customFormat="1" x14ac:dyDescent="0.25"/>
    <row r="163440" s="12" customFormat="1" x14ac:dyDescent="0.25"/>
    <row r="163441" s="12" customFormat="1" x14ac:dyDescent="0.25"/>
    <row r="163442" s="12" customFormat="1" x14ac:dyDescent="0.25"/>
    <row r="163443" s="12" customFormat="1" x14ac:dyDescent="0.25"/>
    <row r="163444" s="12" customFormat="1" x14ac:dyDescent="0.25"/>
    <row r="163445" s="12" customFormat="1" x14ac:dyDescent="0.25"/>
    <row r="163446" s="12" customFormat="1" x14ac:dyDescent="0.25"/>
    <row r="163447" s="12" customFormat="1" x14ac:dyDescent="0.25"/>
    <row r="163448" s="12" customFormat="1" x14ac:dyDescent="0.25"/>
    <row r="163449" s="12" customFormat="1" x14ac:dyDescent="0.25"/>
    <row r="163450" s="12" customFormat="1" x14ac:dyDescent="0.25"/>
    <row r="163451" s="12" customFormat="1" x14ac:dyDescent="0.25"/>
    <row r="163452" s="12" customFormat="1" x14ac:dyDescent="0.25"/>
    <row r="163453" s="12" customFormat="1" x14ac:dyDescent="0.25"/>
    <row r="163454" s="12" customFormat="1" x14ac:dyDescent="0.25"/>
    <row r="163455" s="12" customFormat="1" x14ac:dyDescent="0.25"/>
    <row r="163456" s="12" customFormat="1" x14ac:dyDescent="0.25"/>
    <row r="163457" s="12" customFormat="1" x14ac:dyDescent="0.25"/>
    <row r="163458" s="12" customFormat="1" x14ac:dyDescent="0.25"/>
    <row r="163459" s="12" customFormat="1" x14ac:dyDescent="0.25"/>
    <row r="163460" s="12" customFormat="1" x14ac:dyDescent="0.25"/>
    <row r="163461" s="12" customFormat="1" x14ac:dyDescent="0.25"/>
    <row r="163462" s="12" customFormat="1" x14ac:dyDescent="0.25"/>
    <row r="163463" s="12" customFormat="1" x14ac:dyDescent="0.25"/>
    <row r="163464" s="12" customFormat="1" x14ac:dyDescent="0.25"/>
    <row r="163465" s="12" customFormat="1" x14ac:dyDescent="0.25"/>
    <row r="163466" s="12" customFormat="1" x14ac:dyDescent="0.25"/>
    <row r="163467" s="12" customFormat="1" x14ac:dyDescent="0.25"/>
    <row r="163468" s="12" customFormat="1" x14ac:dyDescent="0.25"/>
    <row r="163469" s="12" customFormat="1" x14ac:dyDescent="0.25"/>
    <row r="163470" s="12" customFormat="1" x14ac:dyDescent="0.25"/>
    <row r="163471" s="12" customFormat="1" x14ac:dyDescent="0.25"/>
    <row r="163472" s="12" customFormat="1" x14ac:dyDescent="0.25"/>
    <row r="163473" s="12" customFormat="1" x14ac:dyDescent="0.25"/>
    <row r="163474" s="12" customFormat="1" x14ac:dyDescent="0.25"/>
    <row r="163475" s="12" customFormat="1" x14ac:dyDescent="0.25"/>
    <row r="163476" s="12" customFormat="1" x14ac:dyDescent="0.25"/>
    <row r="163477" s="12" customFormat="1" x14ac:dyDescent="0.25"/>
    <row r="163478" s="12" customFormat="1" x14ac:dyDescent="0.25"/>
    <row r="163479" s="12" customFormat="1" x14ac:dyDescent="0.25"/>
    <row r="163480" s="12" customFormat="1" x14ac:dyDescent="0.25"/>
    <row r="163481" s="12" customFormat="1" x14ac:dyDescent="0.25"/>
    <row r="163482" s="12" customFormat="1" x14ac:dyDescent="0.25"/>
    <row r="163483" s="12" customFormat="1" x14ac:dyDescent="0.25"/>
    <row r="163484" s="12" customFormat="1" x14ac:dyDescent="0.25"/>
    <row r="163485" s="12" customFormat="1" x14ac:dyDescent="0.25"/>
    <row r="163486" s="12" customFormat="1" x14ac:dyDescent="0.25"/>
    <row r="163487" s="12" customFormat="1" x14ac:dyDescent="0.25"/>
    <row r="163488" s="12" customFormat="1" x14ac:dyDescent="0.25"/>
    <row r="163489" s="12" customFormat="1" x14ac:dyDescent="0.25"/>
    <row r="163490" s="12" customFormat="1" x14ac:dyDescent="0.25"/>
    <row r="163491" s="12" customFormat="1" x14ac:dyDescent="0.25"/>
    <row r="163492" s="12" customFormat="1" x14ac:dyDescent="0.25"/>
    <row r="163493" s="12" customFormat="1" x14ac:dyDescent="0.25"/>
    <row r="163494" s="12" customFormat="1" x14ac:dyDescent="0.25"/>
    <row r="163495" s="12" customFormat="1" x14ac:dyDescent="0.25"/>
    <row r="163496" s="12" customFormat="1" x14ac:dyDescent="0.25"/>
    <row r="163497" s="12" customFormat="1" x14ac:dyDescent="0.25"/>
    <row r="163498" s="12" customFormat="1" x14ac:dyDescent="0.25"/>
    <row r="163499" s="12" customFormat="1" x14ac:dyDescent="0.25"/>
    <row r="163500" s="12" customFormat="1" x14ac:dyDescent="0.25"/>
    <row r="163501" s="12" customFormat="1" x14ac:dyDescent="0.25"/>
    <row r="163502" s="12" customFormat="1" x14ac:dyDescent="0.25"/>
    <row r="163503" s="12" customFormat="1" x14ac:dyDescent="0.25"/>
    <row r="163504" s="12" customFormat="1" x14ac:dyDescent="0.25"/>
    <row r="163505" s="12" customFormat="1" x14ac:dyDescent="0.25"/>
    <row r="163506" s="12" customFormat="1" x14ac:dyDescent="0.25"/>
    <row r="163507" s="12" customFormat="1" x14ac:dyDescent="0.25"/>
    <row r="163508" s="12" customFormat="1" x14ac:dyDescent="0.25"/>
    <row r="163509" s="12" customFormat="1" x14ac:dyDescent="0.25"/>
    <row r="163510" s="12" customFormat="1" x14ac:dyDescent="0.25"/>
    <row r="163511" s="12" customFormat="1" x14ac:dyDescent="0.25"/>
    <row r="163512" s="12" customFormat="1" x14ac:dyDescent="0.25"/>
    <row r="163513" s="12" customFormat="1" x14ac:dyDescent="0.25"/>
    <row r="163514" s="12" customFormat="1" x14ac:dyDescent="0.25"/>
    <row r="163515" s="12" customFormat="1" x14ac:dyDescent="0.25"/>
    <row r="163516" s="12" customFormat="1" x14ac:dyDescent="0.25"/>
    <row r="163517" s="12" customFormat="1" x14ac:dyDescent="0.25"/>
    <row r="163518" s="12" customFormat="1" x14ac:dyDescent="0.25"/>
    <row r="163519" s="12" customFormat="1" x14ac:dyDescent="0.25"/>
    <row r="163520" s="12" customFormat="1" x14ac:dyDescent="0.25"/>
    <row r="163521" s="12" customFormat="1" x14ac:dyDescent="0.25"/>
    <row r="163522" s="12" customFormat="1" x14ac:dyDescent="0.25"/>
    <row r="163523" s="12" customFormat="1" x14ac:dyDescent="0.25"/>
    <row r="163524" s="12" customFormat="1" x14ac:dyDescent="0.25"/>
    <row r="163525" s="12" customFormat="1" x14ac:dyDescent="0.25"/>
    <row r="163526" s="12" customFormat="1" x14ac:dyDescent="0.25"/>
    <row r="163527" s="12" customFormat="1" x14ac:dyDescent="0.25"/>
    <row r="163528" s="12" customFormat="1" x14ac:dyDescent="0.25"/>
    <row r="163529" s="12" customFormat="1" x14ac:dyDescent="0.25"/>
    <row r="163530" s="12" customFormat="1" x14ac:dyDescent="0.25"/>
    <row r="163531" s="12" customFormat="1" x14ac:dyDescent="0.25"/>
    <row r="163532" s="12" customFormat="1" x14ac:dyDescent="0.25"/>
    <row r="163533" s="12" customFormat="1" x14ac:dyDescent="0.25"/>
    <row r="163534" s="12" customFormat="1" x14ac:dyDescent="0.25"/>
    <row r="163535" s="12" customFormat="1" x14ac:dyDescent="0.25"/>
    <row r="163536" s="12" customFormat="1" x14ac:dyDescent="0.25"/>
    <row r="163537" s="12" customFormat="1" x14ac:dyDescent="0.25"/>
    <row r="163538" s="12" customFormat="1" x14ac:dyDescent="0.25"/>
    <row r="163539" s="12" customFormat="1" x14ac:dyDescent="0.25"/>
    <row r="163540" s="12" customFormat="1" x14ac:dyDescent="0.25"/>
    <row r="163541" s="12" customFormat="1" x14ac:dyDescent="0.25"/>
    <row r="163542" s="12" customFormat="1" x14ac:dyDescent="0.25"/>
    <row r="163543" s="12" customFormat="1" x14ac:dyDescent="0.25"/>
    <row r="163544" s="12" customFormat="1" x14ac:dyDescent="0.25"/>
    <row r="163545" s="12" customFormat="1" x14ac:dyDescent="0.25"/>
    <row r="163546" s="12" customFormat="1" x14ac:dyDescent="0.25"/>
    <row r="163547" s="12" customFormat="1" x14ac:dyDescent="0.25"/>
    <row r="163548" s="12" customFormat="1" x14ac:dyDescent="0.25"/>
    <row r="163549" s="12" customFormat="1" x14ac:dyDescent="0.25"/>
    <row r="163550" s="12" customFormat="1" x14ac:dyDescent="0.25"/>
    <row r="163551" s="12" customFormat="1" x14ac:dyDescent="0.25"/>
    <row r="163552" s="12" customFormat="1" x14ac:dyDescent="0.25"/>
    <row r="163553" s="12" customFormat="1" x14ac:dyDescent="0.25"/>
    <row r="163554" s="12" customFormat="1" x14ac:dyDescent="0.25"/>
    <row r="163555" s="12" customFormat="1" x14ac:dyDescent="0.25"/>
    <row r="163556" s="12" customFormat="1" x14ac:dyDescent="0.25"/>
    <row r="163557" s="12" customFormat="1" x14ac:dyDescent="0.25"/>
    <row r="163558" s="12" customFormat="1" x14ac:dyDescent="0.25"/>
    <row r="163559" s="12" customFormat="1" x14ac:dyDescent="0.25"/>
    <row r="163560" s="12" customFormat="1" x14ac:dyDescent="0.25"/>
    <row r="163561" s="12" customFormat="1" x14ac:dyDescent="0.25"/>
    <row r="163562" s="12" customFormat="1" x14ac:dyDescent="0.25"/>
    <row r="163563" s="12" customFormat="1" x14ac:dyDescent="0.25"/>
    <row r="163564" s="12" customFormat="1" x14ac:dyDescent="0.25"/>
    <row r="163565" s="12" customFormat="1" x14ac:dyDescent="0.25"/>
    <row r="163566" s="12" customFormat="1" x14ac:dyDescent="0.25"/>
    <row r="163567" s="12" customFormat="1" x14ac:dyDescent="0.25"/>
    <row r="163568" s="12" customFormat="1" x14ac:dyDescent="0.25"/>
    <row r="163569" s="12" customFormat="1" x14ac:dyDescent="0.25"/>
    <row r="163570" s="12" customFormat="1" x14ac:dyDescent="0.25"/>
    <row r="163571" s="12" customFormat="1" x14ac:dyDescent="0.25"/>
    <row r="163572" s="12" customFormat="1" x14ac:dyDescent="0.25"/>
    <row r="163573" s="12" customFormat="1" x14ac:dyDescent="0.25"/>
    <row r="163574" s="12" customFormat="1" x14ac:dyDescent="0.25"/>
    <row r="163575" s="12" customFormat="1" x14ac:dyDescent="0.25"/>
    <row r="163576" s="12" customFormat="1" x14ac:dyDescent="0.25"/>
    <row r="163577" s="12" customFormat="1" x14ac:dyDescent="0.25"/>
    <row r="163578" s="12" customFormat="1" x14ac:dyDescent="0.25"/>
    <row r="163579" s="12" customFormat="1" x14ac:dyDescent="0.25"/>
    <row r="163580" s="12" customFormat="1" x14ac:dyDescent="0.25"/>
    <row r="163581" s="12" customFormat="1" x14ac:dyDescent="0.25"/>
    <row r="163582" s="12" customFormat="1" x14ac:dyDescent="0.25"/>
    <row r="163583" s="12" customFormat="1" x14ac:dyDescent="0.25"/>
    <row r="163584" s="12" customFormat="1" x14ac:dyDescent="0.25"/>
    <row r="163585" s="12" customFormat="1" x14ac:dyDescent="0.25"/>
    <row r="163586" s="12" customFormat="1" x14ac:dyDescent="0.25"/>
    <row r="163587" s="12" customFormat="1" x14ac:dyDescent="0.25"/>
    <row r="163588" s="12" customFormat="1" x14ac:dyDescent="0.25"/>
    <row r="163589" s="12" customFormat="1" x14ac:dyDescent="0.25"/>
    <row r="163590" s="12" customFormat="1" x14ac:dyDescent="0.25"/>
    <row r="163591" s="12" customFormat="1" x14ac:dyDescent="0.25"/>
    <row r="163592" s="12" customFormat="1" x14ac:dyDescent="0.25"/>
    <row r="163593" s="12" customFormat="1" x14ac:dyDescent="0.25"/>
    <row r="163594" s="12" customFormat="1" x14ac:dyDescent="0.25"/>
    <row r="163595" s="12" customFormat="1" x14ac:dyDescent="0.25"/>
    <row r="163596" s="12" customFormat="1" x14ac:dyDescent="0.25"/>
    <row r="163597" s="12" customFormat="1" x14ac:dyDescent="0.25"/>
    <row r="163598" s="12" customFormat="1" x14ac:dyDescent="0.25"/>
    <row r="163599" s="12" customFormat="1" x14ac:dyDescent="0.25"/>
    <row r="163600" s="12" customFormat="1" x14ac:dyDescent="0.25"/>
    <row r="163601" s="12" customFormat="1" x14ac:dyDescent="0.25"/>
    <row r="163602" s="12" customFormat="1" x14ac:dyDescent="0.25"/>
    <row r="163603" s="12" customFormat="1" x14ac:dyDescent="0.25"/>
    <row r="163604" s="12" customFormat="1" x14ac:dyDescent="0.25"/>
    <row r="163605" s="12" customFormat="1" x14ac:dyDescent="0.25"/>
    <row r="163606" s="12" customFormat="1" x14ac:dyDescent="0.25"/>
    <row r="163607" s="12" customFormat="1" x14ac:dyDescent="0.25"/>
    <row r="163608" s="12" customFormat="1" x14ac:dyDescent="0.25"/>
    <row r="163609" s="12" customFormat="1" x14ac:dyDescent="0.25"/>
    <row r="163610" s="12" customFormat="1" x14ac:dyDescent="0.25"/>
    <row r="163611" s="12" customFormat="1" x14ac:dyDescent="0.25"/>
    <row r="163612" s="12" customFormat="1" x14ac:dyDescent="0.25"/>
    <row r="163613" s="12" customFormat="1" x14ac:dyDescent="0.25"/>
    <row r="163614" s="12" customFormat="1" x14ac:dyDescent="0.25"/>
    <row r="163615" s="12" customFormat="1" x14ac:dyDescent="0.25"/>
    <row r="163616" s="12" customFormat="1" x14ac:dyDescent="0.25"/>
    <row r="163617" s="12" customFormat="1" x14ac:dyDescent="0.25"/>
    <row r="163618" s="12" customFormat="1" x14ac:dyDescent="0.25"/>
    <row r="163619" s="12" customFormat="1" x14ac:dyDescent="0.25"/>
    <row r="163620" s="12" customFormat="1" x14ac:dyDescent="0.25"/>
    <row r="163621" s="12" customFormat="1" x14ac:dyDescent="0.25"/>
    <row r="163622" s="12" customFormat="1" x14ac:dyDescent="0.25"/>
    <row r="163623" s="12" customFormat="1" x14ac:dyDescent="0.25"/>
    <row r="163624" s="12" customFormat="1" x14ac:dyDescent="0.25"/>
    <row r="163625" s="12" customFormat="1" x14ac:dyDescent="0.25"/>
    <row r="163626" s="12" customFormat="1" x14ac:dyDescent="0.25"/>
    <row r="163627" s="12" customFormat="1" x14ac:dyDescent="0.25"/>
    <row r="163628" s="12" customFormat="1" x14ac:dyDescent="0.25"/>
    <row r="163629" s="12" customFormat="1" x14ac:dyDescent="0.25"/>
    <row r="163630" s="12" customFormat="1" x14ac:dyDescent="0.25"/>
    <row r="163631" s="12" customFormat="1" x14ac:dyDescent="0.25"/>
    <row r="163632" s="12" customFormat="1" x14ac:dyDescent="0.25"/>
    <row r="163633" s="12" customFormat="1" x14ac:dyDescent="0.25"/>
    <row r="163634" s="12" customFormat="1" x14ac:dyDescent="0.25"/>
    <row r="163635" s="12" customFormat="1" x14ac:dyDescent="0.25"/>
    <row r="163636" s="12" customFormat="1" x14ac:dyDescent="0.25"/>
    <row r="163637" s="12" customFormat="1" x14ac:dyDescent="0.25"/>
    <row r="163638" s="12" customFormat="1" x14ac:dyDescent="0.25"/>
    <row r="163639" s="12" customFormat="1" x14ac:dyDescent="0.25"/>
    <row r="163640" s="12" customFormat="1" x14ac:dyDescent="0.25"/>
    <row r="163641" s="12" customFormat="1" x14ac:dyDescent="0.25"/>
    <row r="163642" s="12" customFormat="1" x14ac:dyDescent="0.25"/>
    <row r="163643" s="12" customFormat="1" x14ac:dyDescent="0.25"/>
    <row r="163644" s="12" customFormat="1" x14ac:dyDescent="0.25"/>
    <row r="163645" s="12" customFormat="1" x14ac:dyDescent="0.25"/>
    <row r="163646" s="12" customFormat="1" x14ac:dyDescent="0.25"/>
    <row r="163647" s="12" customFormat="1" x14ac:dyDescent="0.25"/>
    <row r="163648" s="12" customFormat="1" x14ac:dyDescent="0.25"/>
    <row r="163649" s="12" customFormat="1" x14ac:dyDescent="0.25"/>
    <row r="163650" s="12" customFormat="1" x14ac:dyDescent="0.25"/>
    <row r="163651" s="12" customFormat="1" x14ac:dyDescent="0.25"/>
    <row r="163652" s="12" customFormat="1" x14ac:dyDescent="0.25"/>
    <row r="163653" s="12" customFormat="1" x14ac:dyDescent="0.25"/>
    <row r="163654" s="12" customFormat="1" x14ac:dyDescent="0.25"/>
    <row r="163655" s="12" customFormat="1" x14ac:dyDescent="0.25"/>
    <row r="163656" s="12" customFormat="1" x14ac:dyDescent="0.25"/>
    <row r="163657" s="12" customFormat="1" x14ac:dyDescent="0.25"/>
    <row r="163658" s="12" customFormat="1" x14ac:dyDescent="0.25"/>
    <row r="163659" s="12" customFormat="1" x14ac:dyDescent="0.25"/>
    <row r="163660" s="12" customFormat="1" x14ac:dyDescent="0.25"/>
    <row r="163661" s="12" customFormat="1" x14ac:dyDescent="0.25"/>
    <row r="163662" s="12" customFormat="1" x14ac:dyDescent="0.25"/>
    <row r="163663" s="12" customFormat="1" x14ac:dyDescent="0.25"/>
    <row r="163664" s="12" customFormat="1" x14ac:dyDescent="0.25"/>
    <row r="163665" s="12" customFormat="1" x14ac:dyDescent="0.25"/>
    <row r="163666" s="12" customFormat="1" x14ac:dyDescent="0.25"/>
    <row r="163667" s="12" customFormat="1" x14ac:dyDescent="0.25"/>
    <row r="163668" s="12" customFormat="1" x14ac:dyDescent="0.25"/>
    <row r="163669" s="12" customFormat="1" x14ac:dyDescent="0.25"/>
    <row r="163670" s="12" customFormat="1" x14ac:dyDescent="0.25"/>
    <row r="163671" s="12" customFormat="1" x14ac:dyDescent="0.25"/>
    <row r="163672" s="12" customFormat="1" x14ac:dyDescent="0.25"/>
    <row r="163673" s="12" customFormat="1" x14ac:dyDescent="0.25"/>
    <row r="163674" s="12" customFormat="1" x14ac:dyDescent="0.25"/>
    <row r="163675" s="12" customFormat="1" x14ac:dyDescent="0.25"/>
    <row r="163676" s="12" customFormat="1" x14ac:dyDescent="0.25"/>
    <row r="163677" s="12" customFormat="1" x14ac:dyDescent="0.25"/>
    <row r="163678" s="12" customFormat="1" x14ac:dyDescent="0.25"/>
    <row r="163679" s="12" customFormat="1" x14ac:dyDescent="0.25"/>
    <row r="163680" s="12" customFormat="1" x14ac:dyDescent="0.25"/>
    <row r="163681" s="12" customFormat="1" x14ac:dyDescent="0.25"/>
    <row r="163682" s="12" customFormat="1" x14ac:dyDescent="0.25"/>
    <row r="163683" s="12" customFormat="1" x14ac:dyDescent="0.25"/>
    <row r="163684" s="12" customFormat="1" x14ac:dyDescent="0.25"/>
    <row r="163685" s="12" customFormat="1" x14ac:dyDescent="0.25"/>
    <row r="163686" s="12" customFormat="1" x14ac:dyDescent="0.25"/>
    <row r="163687" s="12" customFormat="1" x14ac:dyDescent="0.25"/>
    <row r="163688" s="12" customFormat="1" x14ac:dyDescent="0.25"/>
    <row r="163689" s="12" customFormat="1" x14ac:dyDescent="0.25"/>
    <row r="163690" s="12" customFormat="1" x14ac:dyDescent="0.25"/>
    <row r="163691" s="12" customFormat="1" x14ac:dyDescent="0.25"/>
    <row r="163692" s="12" customFormat="1" x14ac:dyDescent="0.25"/>
    <row r="163693" s="12" customFormat="1" x14ac:dyDescent="0.25"/>
    <row r="163694" s="12" customFormat="1" x14ac:dyDescent="0.25"/>
    <row r="163695" s="12" customFormat="1" x14ac:dyDescent="0.25"/>
    <row r="163696" s="12" customFormat="1" x14ac:dyDescent="0.25"/>
    <row r="163697" s="12" customFormat="1" x14ac:dyDescent="0.25"/>
    <row r="163698" s="12" customFormat="1" x14ac:dyDescent="0.25"/>
    <row r="163699" s="12" customFormat="1" x14ac:dyDescent="0.25"/>
    <row r="163700" s="12" customFormat="1" x14ac:dyDescent="0.25"/>
    <row r="163701" s="12" customFormat="1" x14ac:dyDescent="0.25"/>
    <row r="163702" s="12" customFormat="1" x14ac:dyDescent="0.25"/>
    <row r="163703" s="12" customFormat="1" x14ac:dyDescent="0.25"/>
    <row r="163704" s="12" customFormat="1" x14ac:dyDescent="0.25"/>
    <row r="163705" s="12" customFormat="1" x14ac:dyDescent="0.25"/>
    <row r="163706" s="12" customFormat="1" x14ac:dyDescent="0.25"/>
    <row r="163707" s="12" customFormat="1" x14ac:dyDescent="0.25"/>
    <row r="163708" s="12" customFormat="1" x14ac:dyDescent="0.25"/>
    <row r="163709" s="12" customFormat="1" x14ac:dyDescent="0.25"/>
    <row r="163710" s="12" customFormat="1" x14ac:dyDescent="0.25"/>
    <row r="163711" s="12" customFormat="1" x14ac:dyDescent="0.25"/>
    <row r="163712" s="12" customFormat="1" x14ac:dyDescent="0.25"/>
    <row r="163713" s="12" customFormat="1" x14ac:dyDescent="0.25"/>
    <row r="163714" s="12" customFormat="1" x14ac:dyDescent="0.25"/>
    <row r="163715" s="12" customFormat="1" x14ac:dyDescent="0.25"/>
    <row r="163716" s="12" customFormat="1" x14ac:dyDescent="0.25"/>
    <row r="163717" s="12" customFormat="1" x14ac:dyDescent="0.25"/>
    <row r="163718" s="12" customFormat="1" x14ac:dyDescent="0.25"/>
    <row r="163719" s="12" customFormat="1" x14ac:dyDescent="0.25"/>
    <row r="163720" s="12" customFormat="1" x14ac:dyDescent="0.25"/>
    <row r="163721" s="12" customFormat="1" x14ac:dyDescent="0.25"/>
    <row r="163722" s="12" customFormat="1" x14ac:dyDescent="0.25"/>
    <row r="163723" s="12" customFormat="1" x14ac:dyDescent="0.25"/>
    <row r="163724" s="12" customFormat="1" x14ac:dyDescent="0.25"/>
    <row r="163725" s="12" customFormat="1" x14ac:dyDescent="0.25"/>
    <row r="163726" s="12" customFormat="1" x14ac:dyDescent="0.25"/>
    <row r="163727" s="12" customFormat="1" x14ac:dyDescent="0.25"/>
    <row r="163728" s="12" customFormat="1" x14ac:dyDescent="0.25"/>
    <row r="163729" s="12" customFormat="1" x14ac:dyDescent="0.25"/>
    <row r="163730" s="12" customFormat="1" x14ac:dyDescent="0.25"/>
    <row r="163731" s="12" customFormat="1" x14ac:dyDescent="0.25"/>
    <row r="163732" s="12" customFormat="1" x14ac:dyDescent="0.25"/>
    <row r="163733" s="12" customFormat="1" x14ac:dyDescent="0.25"/>
    <row r="163734" s="12" customFormat="1" x14ac:dyDescent="0.25"/>
    <row r="163735" s="12" customFormat="1" x14ac:dyDescent="0.25"/>
    <row r="163736" s="12" customFormat="1" x14ac:dyDescent="0.25"/>
    <row r="163737" s="12" customFormat="1" x14ac:dyDescent="0.25"/>
    <row r="163738" s="12" customFormat="1" x14ac:dyDescent="0.25"/>
    <row r="163739" s="12" customFormat="1" x14ac:dyDescent="0.25"/>
    <row r="163740" s="12" customFormat="1" x14ac:dyDescent="0.25"/>
    <row r="163741" s="12" customFormat="1" x14ac:dyDescent="0.25"/>
    <row r="163742" s="12" customFormat="1" x14ac:dyDescent="0.25"/>
    <row r="163743" s="12" customFormat="1" x14ac:dyDescent="0.25"/>
    <row r="163744" s="12" customFormat="1" x14ac:dyDescent="0.25"/>
    <row r="163745" s="12" customFormat="1" x14ac:dyDescent="0.25"/>
    <row r="163746" s="12" customFormat="1" x14ac:dyDescent="0.25"/>
    <row r="163747" s="12" customFormat="1" x14ac:dyDescent="0.25"/>
    <row r="163748" s="12" customFormat="1" x14ac:dyDescent="0.25"/>
    <row r="163749" s="12" customFormat="1" x14ac:dyDescent="0.25"/>
    <row r="163750" s="12" customFormat="1" x14ac:dyDescent="0.25"/>
    <row r="163751" s="12" customFormat="1" x14ac:dyDescent="0.25"/>
    <row r="163752" s="12" customFormat="1" x14ac:dyDescent="0.25"/>
    <row r="163753" s="12" customFormat="1" x14ac:dyDescent="0.25"/>
    <row r="163754" s="12" customFormat="1" x14ac:dyDescent="0.25"/>
    <row r="163755" s="12" customFormat="1" x14ac:dyDescent="0.25"/>
    <row r="163756" s="12" customFormat="1" x14ac:dyDescent="0.25"/>
    <row r="163757" s="12" customFormat="1" x14ac:dyDescent="0.25"/>
    <row r="163758" s="12" customFormat="1" x14ac:dyDescent="0.25"/>
    <row r="163759" s="12" customFormat="1" x14ac:dyDescent="0.25"/>
    <row r="163760" s="12" customFormat="1" x14ac:dyDescent="0.25"/>
    <row r="163761" s="12" customFormat="1" x14ac:dyDescent="0.25"/>
    <row r="163762" s="12" customFormat="1" x14ac:dyDescent="0.25"/>
    <row r="163763" s="12" customFormat="1" x14ac:dyDescent="0.25"/>
    <row r="163764" s="12" customFormat="1" x14ac:dyDescent="0.25"/>
    <row r="163765" s="12" customFormat="1" x14ac:dyDescent="0.25"/>
    <row r="163766" s="12" customFormat="1" x14ac:dyDescent="0.25"/>
    <row r="163767" s="12" customFormat="1" x14ac:dyDescent="0.25"/>
    <row r="163768" s="12" customFormat="1" x14ac:dyDescent="0.25"/>
    <row r="163769" s="12" customFormat="1" x14ac:dyDescent="0.25"/>
    <row r="163770" s="12" customFormat="1" x14ac:dyDescent="0.25"/>
    <row r="163771" s="12" customFormat="1" x14ac:dyDescent="0.25"/>
    <row r="163772" s="12" customFormat="1" x14ac:dyDescent="0.25"/>
    <row r="163773" s="12" customFormat="1" x14ac:dyDescent="0.25"/>
    <row r="163774" s="12" customFormat="1" x14ac:dyDescent="0.25"/>
    <row r="163775" s="12" customFormat="1" x14ac:dyDescent="0.25"/>
    <row r="163776" s="12" customFormat="1" x14ac:dyDescent="0.25"/>
    <row r="163777" s="12" customFormat="1" x14ac:dyDescent="0.25"/>
    <row r="163778" s="12" customFormat="1" x14ac:dyDescent="0.25"/>
    <row r="163779" s="12" customFormat="1" x14ac:dyDescent="0.25"/>
    <row r="163780" s="12" customFormat="1" x14ac:dyDescent="0.25"/>
    <row r="163781" s="12" customFormat="1" x14ac:dyDescent="0.25"/>
    <row r="163782" s="12" customFormat="1" x14ac:dyDescent="0.25"/>
    <row r="163783" s="12" customFormat="1" x14ac:dyDescent="0.25"/>
    <row r="163784" s="12" customFormat="1" x14ac:dyDescent="0.25"/>
    <row r="163785" s="12" customFormat="1" x14ac:dyDescent="0.25"/>
    <row r="163786" s="12" customFormat="1" x14ac:dyDescent="0.25"/>
    <row r="163787" s="12" customFormat="1" x14ac:dyDescent="0.25"/>
    <row r="163788" s="12" customFormat="1" x14ac:dyDescent="0.25"/>
    <row r="163789" s="12" customFormat="1" x14ac:dyDescent="0.25"/>
    <row r="163790" s="12" customFormat="1" x14ac:dyDescent="0.25"/>
    <row r="163791" s="12" customFormat="1" x14ac:dyDescent="0.25"/>
    <row r="163792" s="12" customFormat="1" x14ac:dyDescent="0.25"/>
    <row r="163793" s="12" customFormat="1" x14ac:dyDescent="0.25"/>
    <row r="163794" s="12" customFormat="1" x14ac:dyDescent="0.25"/>
    <row r="163795" s="12" customFormat="1" x14ac:dyDescent="0.25"/>
    <row r="163796" s="12" customFormat="1" x14ac:dyDescent="0.25"/>
    <row r="163797" s="12" customFormat="1" x14ac:dyDescent="0.25"/>
    <row r="163798" s="12" customFormat="1" x14ac:dyDescent="0.25"/>
    <row r="163799" s="12" customFormat="1" x14ac:dyDescent="0.25"/>
    <row r="163800" s="12" customFormat="1" x14ac:dyDescent="0.25"/>
    <row r="163801" s="12" customFormat="1" x14ac:dyDescent="0.25"/>
    <row r="163802" s="12" customFormat="1" x14ac:dyDescent="0.25"/>
    <row r="163803" s="12" customFormat="1" x14ac:dyDescent="0.25"/>
    <row r="163804" s="12" customFormat="1" x14ac:dyDescent="0.25"/>
    <row r="163805" s="12" customFormat="1" x14ac:dyDescent="0.25"/>
    <row r="163806" s="12" customFormat="1" x14ac:dyDescent="0.25"/>
    <row r="163807" s="12" customFormat="1" x14ac:dyDescent="0.25"/>
    <row r="163808" s="12" customFormat="1" x14ac:dyDescent="0.25"/>
    <row r="163809" s="12" customFormat="1" x14ac:dyDescent="0.25"/>
    <row r="163810" s="12" customFormat="1" x14ac:dyDescent="0.25"/>
    <row r="163811" s="12" customFormat="1" x14ac:dyDescent="0.25"/>
    <row r="163812" s="12" customFormat="1" x14ac:dyDescent="0.25"/>
    <row r="163813" s="12" customFormat="1" x14ac:dyDescent="0.25"/>
    <row r="163814" s="12" customFormat="1" x14ac:dyDescent="0.25"/>
    <row r="163815" s="12" customFormat="1" x14ac:dyDescent="0.25"/>
    <row r="163816" s="12" customFormat="1" x14ac:dyDescent="0.25"/>
    <row r="163817" s="12" customFormat="1" x14ac:dyDescent="0.25"/>
    <row r="163818" s="12" customFormat="1" x14ac:dyDescent="0.25"/>
    <row r="163819" s="12" customFormat="1" x14ac:dyDescent="0.25"/>
    <row r="163820" s="12" customFormat="1" x14ac:dyDescent="0.25"/>
    <row r="163821" s="12" customFormat="1" x14ac:dyDescent="0.25"/>
    <row r="163822" s="12" customFormat="1" x14ac:dyDescent="0.25"/>
    <row r="163823" s="12" customFormat="1" x14ac:dyDescent="0.25"/>
    <row r="163824" s="12" customFormat="1" x14ac:dyDescent="0.25"/>
    <row r="163825" s="12" customFormat="1" x14ac:dyDescent="0.25"/>
    <row r="163826" s="12" customFormat="1" x14ac:dyDescent="0.25"/>
    <row r="163827" s="12" customFormat="1" x14ac:dyDescent="0.25"/>
    <row r="163828" s="12" customFormat="1" x14ac:dyDescent="0.25"/>
    <row r="163829" s="12" customFormat="1" x14ac:dyDescent="0.25"/>
    <row r="163830" s="12" customFormat="1" x14ac:dyDescent="0.25"/>
    <row r="163831" s="12" customFormat="1" x14ac:dyDescent="0.25"/>
    <row r="163832" s="12" customFormat="1" x14ac:dyDescent="0.25"/>
    <row r="163833" s="12" customFormat="1" x14ac:dyDescent="0.25"/>
    <row r="163834" s="12" customFormat="1" x14ac:dyDescent="0.25"/>
    <row r="163835" s="12" customFormat="1" x14ac:dyDescent="0.25"/>
    <row r="163836" s="12" customFormat="1" x14ac:dyDescent="0.25"/>
    <row r="163837" s="12" customFormat="1" x14ac:dyDescent="0.25"/>
    <row r="163838" s="12" customFormat="1" x14ac:dyDescent="0.25"/>
    <row r="163839" s="12" customFormat="1" x14ac:dyDescent="0.25"/>
    <row r="163840" s="12" customFormat="1" x14ac:dyDescent="0.25"/>
    <row r="163841" s="12" customFormat="1" x14ac:dyDescent="0.25"/>
    <row r="163842" s="12" customFormat="1" x14ac:dyDescent="0.25"/>
    <row r="163843" s="12" customFormat="1" x14ac:dyDescent="0.25"/>
    <row r="163844" s="12" customFormat="1" x14ac:dyDescent="0.25"/>
    <row r="163845" s="12" customFormat="1" x14ac:dyDescent="0.25"/>
    <row r="163846" s="12" customFormat="1" x14ac:dyDescent="0.25"/>
    <row r="163847" s="12" customFormat="1" x14ac:dyDescent="0.25"/>
    <row r="163848" s="12" customFormat="1" x14ac:dyDescent="0.25"/>
    <row r="163849" s="12" customFormat="1" x14ac:dyDescent="0.25"/>
    <row r="163850" s="12" customFormat="1" x14ac:dyDescent="0.25"/>
    <row r="163851" s="12" customFormat="1" x14ac:dyDescent="0.25"/>
    <row r="163852" s="12" customFormat="1" x14ac:dyDescent="0.25"/>
    <row r="163853" s="12" customFormat="1" x14ac:dyDescent="0.25"/>
    <row r="163854" s="12" customFormat="1" x14ac:dyDescent="0.25"/>
    <row r="163855" s="12" customFormat="1" x14ac:dyDescent="0.25"/>
    <row r="163856" s="12" customFormat="1" x14ac:dyDescent="0.25"/>
    <row r="163857" s="12" customFormat="1" x14ac:dyDescent="0.25"/>
    <row r="163858" s="12" customFormat="1" x14ac:dyDescent="0.25"/>
    <row r="163859" s="12" customFormat="1" x14ac:dyDescent="0.25"/>
    <row r="163860" s="12" customFormat="1" x14ac:dyDescent="0.25"/>
    <row r="163861" s="12" customFormat="1" x14ac:dyDescent="0.25"/>
    <row r="163862" s="12" customFormat="1" x14ac:dyDescent="0.25"/>
    <row r="163863" s="12" customFormat="1" x14ac:dyDescent="0.25"/>
    <row r="163864" s="12" customFormat="1" x14ac:dyDescent="0.25"/>
    <row r="163865" s="12" customFormat="1" x14ac:dyDescent="0.25"/>
    <row r="163866" s="12" customFormat="1" x14ac:dyDescent="0.25"/>
    <row r="163867" s="12" customFormat="1" x14ac:dyDescent="0.25"/>
    <row r="163868" s="12" customFormat="1" x14ac:dyDescent="0.25"/>
    <row r="163869" s="12" customFormat="1" x14ac:dyDescent="0.25"/>
    <row r="163870" s="12" customFormat="1" x14ac:dyDescent="0.25"/>
    <row r="163871" s="12" customFormat="1" x14ac:dyDescent="0.25"/>
    <row r="163872" s="12" customFormat="1" x14ac:dyDescent="0.25"/>
    <row r="163873" s="12" customFormat="1" x14ac:dyDescent="0.25"/>
    <row r="163874" s="12" customFormat="1" x14ac:dyDescent="0.25"/>
    <row r="163875" s="12" customFormat="1" x14ac:dyDescent="0.25"/>
    <row r="163876" s="12" customFormat="1" x14ac:dyDescent="0.25"/>
    <row r="163877" s="12" customFormat="1" x14ac:dyDescent="0.25"/>
    <row r="163878" s="12" customFormat="1" x14ac:dyDescent="0.25"/>
    <row r="163879" s="12" customFormat="1" x14ac:dyDescent="0.25"/>
    <row r="163880" s="12" customFormat="1" x14ac:dyDescent="0.25"/>
    <row r="163881" s="12" customFormat="1" x14ac:dyDescent="0.25"/>
    <row r="163882" s="12" customFormat="1" x14ac:dyDescent="0.25"/>
    <row r="163883" s="12" customFormat="1" x14ac:dyDescent="0.25"/>
    <row r="163884" s="12" customFormat="1" x14ac:dyDescent="0.25"/>
    <row r="163885" s="12" customFormat="1" x14ac:dyDescent="0.25"/>
    <row r="163886" s="12" customFormat="1" x14ac:dyDescent="0.25"/>
    <row r="163887" s="12" customFormat="1" x14ac:dyDescent="0.25"/>
    <row r="163888" s="12" customFormat="1" x14ac:dyDescent="0.25"/>
    <row r="163889" s="12" customFormat="1" x14ac:dyDescent="0.25"/>
    <row r="163890" s="12" customFormat="1" x14ac:dyDescent="0.25"/>
    <row r="163891" s="12" customFormat="1" x14ac:dyDescent="0.25"/>
    <row r="163892" s="12" customFormat="1" x14ac:dyDescent="0.25"/>
    <row r="163893" s="12" customFormat="1" x14ac:dyDescent="0.25"/>
    <row r="163894" s="12" customFormat="1" x14ac:dyDescent="0.25"/>
    <row r="163895" s="12" customFormat="1" x14ac:dyDescent="0.25"/>
    <row r="163896" s="12" customFormat="1" x14ac:dyDescent="0.25"/>
    <row r="163897" s="12" customFormat="1" x14ac:dyDescent="0.25"/>
    <row r="163898" s="12" customFormat="1" x14ac:dyDescent="0.25"/>
    <row r="163899" s="12" customFormat="1" x14ac:dyDescent="0.25"/>
    <row r="163900" s="12" customFormat="1" x14ac:dyDescent="0.25"/>
    <row r="163901" s="12" customFormat="1" x14ac:dyDescent="0.25"/>
    <row r="163902" s="12" customFormat="1" x14ac:dyDescent="0.25"/>
    <row r="163903" s="12" customFormat="1" x14ac:dyDescent="0.25"/>
    <row r="163904" s="12" customFormat="1" x14ac:dyDescent="0.25"/>
    <row r="163905" s="12" customFormat="1" x14ac:dyDescent="0.25"/>
    <row r="163906" s="12" customFormat="1" x14ac:dyDescent="0.25"/>
    <row r="163907" s="12" customFormat="1" x14ac:dyDescent="0.25"/>
    <row r="163908" s="12" customFormat="1" x14ac:dyDescent="0.25"/>
    <row r="163909" s="12" customFormat="1" x14ac:dyDescent="0.25"/>
    <row r="163910" s="12" customFormat="1" x14ac:dyDescent="0.25"/>
    <row r="163911" s="12" customFormat="1" x14ac:dyDescent="0.25"/>
    <row r="163912" s="12" customFormat="1" x14ac:dyDescent="0.25"/>
    <row r="163913" s="12" customFormat="1" x14ac:dyDescent="0.25"/>
    <row r="163914" s="12" customFormat="1" x14ac:dyDescent="0.25"/>
    <row r="163915" s="12" customFormat="1" x14ac:dyDescent="0.25"/>
    <row r="163916" s="12" customFormat="1" x14ac:dyDescent="0.25"/>
    <row r="163917" s="12" customFormat="1" x14ac:dyDescent="0.25"/>
    <row r="163918" s="12" customFormat="1" x14ac:dyDescent="0.25"/>
    <row r="163919" s="12" customFormat="1" x14ac:dyDescent="0.25"/>
    <row r="163920" s="12" customFormat="1" x14ac:dyDescent="0.25"/>
    <row r="163921" s="12" customFormat="1" x14ac:dyDescent="0.25"/>
    <row r="163922" s="12" customFormat="1" x14ac:dyDescent="0.25"/>
    <row r="163923" s="12" customFormat="1" x14ac:dyDescent="0.25"/>
    <row r="163924" s="12" customFormat="1" x14ac:dyDescent="0.25"/>
    <row r="163925" s="12" customFormat="1" x14ac:dyDescent="0.25"/>
    <row r="163926" s="12" customFormat="1" x14ac:dyDescent="0.25"/>
    <row r="163927" s="12" customFormat="1" x14ac:dyDescent="0.25"/>
    <row r="163928" s="12" customFormat="1" x14ac:dyDescent="0.25"/>
    <row r="163929" s="12" customFormat="1" x14ac:dyDescent="0.25"/>
    <row r="163930" s="12" customFormat="1" x14ac:dyDescent="0.25"/>
    <row r="163931" s="12" customFormat="1" x14ac:dyDescent="0.25"/>
    <row r="163932" s="12" customFormat="1" x14ac:dyDescent="0.25"/>
    <row r="163933" s="12" customFormat="1" x14ac:dyDescent="0.25"/>
    <row r="163934" s="12" customFormat="1" x14ac:dyDescent="0.25"/>
    <row r="163935" s="12" customFormat="1" x14ac:dyDescent="0.25"/>
    <row r="163936" s="12" customFormat="1" x14ac:dyDescent="0.25"/>
    <row r="163937" s="12" customFormat="1" x14ac:dyDescent="0.25"/>
    <row r="163938" s="12" customFormat="1" x14ac:dyDescent="0.25"/>
    <row r="163939" s="12" customFormat="1" x14ac:dyDescent="0.25"/>
    <row r="163940" s="12" customFormat="1" x14ac:dyDescent="0.25"/>
    <row r="163941" s="12" customFormat="1" x14ac:dyDescent="0.25"/>
    <row r="163942" s="12" customFormat="1" x14ac:dyDescent="0.25"/>
    <row r="163943" s="12" customFormat="1" x14ac:dyDescent="0.25"/>
    <row r="163944" s="12" customFormat="1" x14ac:dyDescent="0.25"/>
    <row r="163945" s="12" customFormat="1" x14ac:dyDescent="0.25"/>
    <row r="163946" s="12" customFormat="1" x14ac:dyDescent="0.25"/>
    <row r="163947" s="12" customFormat="1" x14ac:dyDescent="0.25"/>
    <row r="163948" s="12" customFormat="1" x14ac:dyDescent="0.25"/>
    <row r="163949" s="12" customFormat="1" x14ac:dyDescent="0.25"/>
    <row r="163950" s="12" customFormat="1" x14ac:dyDescent="0.25"/>
    <row r="163951" s="12" customFormat="1" x14ac:dyDescent="0.25"/>
    <row r="163952" s="12" customFormat="1" x14ac:dyDescent="0.25"/>
    <row r="163953" s="12" customFormat="1" x14ac:dyDescent="0.25"/>
    <row r="163954" s="12" customFormat="1" x14ac:dyDescent="0.25"/>
    <row r="163955" s="12" customFormat="1" x14ac:dyDescent="0.25"/>
    <row r="163956" s="12" customFormat="1" x14ac:dyDescent="0.25"/>
    <row r="163957" s="12" customFormat="1" x14ac:dyDescent="0.25"/>
    <row r="163958" s="12" customFormat="1" x14ac:dyDescent="0.25"/>
    <row r="163959" s="12" customFormat="1" x14ac:dyDescent="0.25"/>
    <row r="163960" s="12" customFormat="1" x14ac:dyDescent="0.25"/>
    <row r="163961" s="12" customFormat="1" x14ac:dyDescent="0.25"/>
    <row r="163962" s="12" customFormat="1" x14ac:dyDescent="0.25"/>
    <row r="163963" s="12" customFormat="1" x14ac:dyDescent="0.25"/>
    <row r="163964" s="12" customFormat="1" x14ac:dyDescent="0.25"/>
    <row r="163965" s="12" customFormat="1" x14ac:dyDescent="0.25"/>
    <row r="163966" s="12" customFormat="1" x14ac:dyDescent="0.25"/>
    <row r="163967" s="12" customFormat="1" x14ac:dyDescent="0.25"/>
    <row r="163968" s="12" customFormat="1" x14ac:dyDescent="0.25"/>
    <row r="163969" s="12" customFormat="1" x14ac:dyDescent="0.25"/>
    <row r="163970" s="12" customFormat="1" x14ac:dyDescent="0.25"/>
    <row r="163971" s="12" customFormat="1" x14ac:dyDescent="0.25"/>
    <row r="163972" s="12" customFormat="1" x14ac:dyDescent="0.25"/>
    <row r="163973" s="12" customFormat="1" x14ac:dyDescent="0.25"/>
    <row r="163974" s="12" customFormat="1" x14ac:dyDescent="0.25"/>
    <row r="163975" s="12" customFormat="1" x14ac:dyDescent="0.25"/>
    <row r="163976" s="12" customFormat="1" x14ac:dyDescent="0.25"/>
    <row r="163977" s="12" customFormat="1" x14ac:dyDescent="0.25"/>
    <row r="163978" s="12" customFormat="1" x14ac:dyDescent="0.25"/>
    <row r="163979" s="12" customFormat="1" x14ac:dyDescent="0.25"/>
    <row r="163980" s="12" customFormat="1" x14ac:dyDescent="0.25"/>
    <row r="163981" s="12" customFormat="1" x14ac:dyDescent="0.25"/>
    <row r="163982" s="12" customFormat="1" x14ac:dyDescent="0.25"/>
    <row r="163983" s="12" customFormat="1" x14ac:dyDescent="0.25"/>
    <row r="163984" s="12" customFormat="1" x14ac:dyDescent="0.25"/>
    <row r="163985" s="12" customFormat="1" x14ac:dyDescent="0.25"/>
    <row r="163986" s="12" customFormat="1" x14ac:dyDescent="0.25"/>
    <row r="163987" s="12" customFormat="1" x14ac:dyDescent="0.25"/>
    <row r="163988" s="12" customFormat="1" x14ac:dyDescent="0.25"/>
    <row r="163989" s="12" customFormat="1" x14ac:dyDescent="0.25"/>
    <row r="163990" s="12" customFormat="1" x14ac:dyDescent="0.25"/>
    <row r="163991" s="12" customFormat="1" x14ac:dyDescent="0.25"/>
    <row r="163992" s="12" customFormat="1" x14ac:dyDescent="0.25"/>
    <row r="163993" s="12" customFormat="1" x14ac:dyDescent="0.25"/>
    <row r="163994" s="12" customFormat="1" x14ac:dyDescent="0.25"/>
    <row r="163995" s="12" customFormat="1" x14ac:dyDescent="0.25"/>
    <row r="163996" s="12" customFormat="1" x14ac:dyDescent="0.25"/>
    <row r="163997" s="12" customFormat="1" x14ac:dyDescent="0.25"/>
    <row r="163998" s="12" customFormat="1" x14ac:dyDescent="0.25"/>
    <row r="163999" s="12" customFormat="1" x14ac:dyDescent="0.25"/>
    <row r="164000" s="12" customFormat="1" x14ac:dyDescent="0.25"/>
    <row r="164001" s="12" customFormat="1" x14ac:dyDescent="0.25"/>
    <row r="164002" s="12" customFormat="1" x14ac:dyDescent="0.25"/>
    <row r="164003" s="12" customFormat="1" x14ac:dyDescent="0.25"/>
    <row r="164004" s="12" customFormat="1" x14ac:dyDescent="0.25"/>
    <row r="164005" s="12" customFormat="1" x14ac:dyDescent="0.25"/>
    <row r="164006" s="12" customFormat="1" x14ac:dyDescent="0.25"/>
    <row r="164007" s="12" customFormat="1" x14ac:dyDescent="0.25"/>
    <row r="164008" s="12" customFormat="1" x14ac:dyDescent="0.25"/>
    <row r="164009" s="12" customFormat="1" x14ac:dyDescent="0.25"/>
    <row r="164010" s="12" customFormat="1" x14ac:dyDescent="0.25"/>
    <row r="164011" s="12" customFormat="1" x14ac:dyDescent="0.25"/>
    <row r="164012" s="12" customFormat="1" x14ac:dyDescent="0.25"/>
    <row r="164013" s="12" customFormat="1" x14ac:dyDescent="0.25"/>
    <row r="164014" s="12" customFormat="1" x14ac:dyDescent="0.25"/>
    <row r="164015" s="12" customFormat="1" x14ac:dyDescent="0.25"/>
    <row r="164016" s="12" customFormat="1" x14ac:dyDescent="0.25"/>
    <row r="164017" s="12" customFormat="1" x14ac:dyDescent="0.25"/>
    <row r="164018" s="12" customFormat="1" x14ac:dyDescent="0.25"/>
    <row r="164019" s="12" customFormat="1" x14ac:dyDescent="0.25"/>
    <row r="164020" s="12" customFormat="1" x14ac:dyDescent="0.25"/>
    <row r="164021" s="12" customFormat="1" x14ac:dyDescent="0.25"/>
    <row r="164022" s="12" customFormat="1" x14ac:dyDescent="0.25"/>
    <row r="164023" s="12" customFormat="1" x14ac:dyDescent="0.25"/>
    <row r="164024" s="12" customFormat="1" x14ac:dyDescent="0.25"/>
    <row r="164025" s="12" customFormat="1" x14ac:dyDescent="0.25"/>
    <row r="164026" s="12" customFormat="1" x14ac:dyDescent="0.25"/>
    <row r="164027" s="12" customFormat="1" x14ac:dyDescent="0.25"/>
    <row r="164028" s="12" customFormat="1" x14ac:dyDescent="0.25"/>
    <row r="164029" s="12" customFormat="1" x14ac:dyDescent="0.25"/>
    <row r="164030" s="12" customFormat="1" x14ac:dyDescent="0.25"/>
    <row r="164031" s="12" customFormat="1" x14ac:dyDescent="0.25"/>
    <row r="164032" s="12" customFormat="1" x14ac:dyDescent="0.25"/>
    <row r="164033" s="12" customFormat="1" x14ac:dyDescent="0.25"/>
    <row r="164034" s="12" customFormat="1" x14ac:dyDescent="0.25"/>
    <row r="164035" s="12" customFormat="1" x14ac:dyDescent="0.25"/>
    <row r="164036" s="12" customFormat="1" x14ac:dyDescent="0.25"/>
    <row r="164037" s="12" customFormat="1" x14ac:dyDescent="0.25"/>
    <row r="164038" s="12" customFormat="1" x14ac:dyDescent="0.25"/>
    <row r="164039" s="12" customFormat="1" x14ac:dyDescent="0.25"/>
    <row r="164040" s="12" customFormat="1" x14ac:dyDescent="0.25"/>
    <row r="164041" s="12" customFormat="1" x14ac:dyDescent="0.25"/>
    <row r="164042" s="12" customFormat="1" x14ac:dyDescent="0.25"/>
    <row r="164043" s="12" customFormat="1" x14ac:dyDescent="0.25"/>
    <row r="164044" s="12" customFormat="1" x14ac:dyDescent="0.25"/>
    <row r="164045" s="12" customFormat="1" x14ac:dyDescent="0.25"/>
    <row r="164046" s="12" customFormat="1" x14ac:dyDescent="0.25"/>
    <row r="164047" s="12" customFormat="1" x14ac:dyDescent="0.25"/>
    <row r="164048" s="12" customFormat="1" x14ac:dyDescent="0.25"/>
    <row r="164049" s="12" customFormat="1" x14ac:dyDescent="0.25"/>
    <row r="164050" s="12" customFormat="1" x14ac:dyDescent="0.25"/>
    <row r="164051" s="12" customFormat="1" x14ac:dyDescent="0.25"/>
    <row r="164052" s="12" customFormat="1" x14ac:dyDescent="0.25"/>
    <row r="164053" s="12" customFormat="1" x14ac:dyDescent="0.25"/>
    <row r="164054" s="12" customFormat="1" x14ac:dyDescent="0.25"/>
    <row r="164055" s="12" customFormat="1" x14ac:dyDescent="0.25"/>
    <row r="164056" s="12" customFormat="1" x14ac:dyDescent="0.25"/>
    <row r="164057" s="12" customFormat="1" x14ac:dyDescent="0.25"/>
    <row r="164058" s="12" customFormat="1" x14ac:dyDescent="0.25"/>
    <row r="164059" s="12" customFormat="1" x14ac:dyDescent="0.25"/>
    <row r="164060" s="12" customFormat="1" x14ac:dyDescent="0.25"/>
    <row r="164061" s="12" customFormat="1" x14ac:dyDescent="0.25"/>
    <row r="164062" s="12" customFormat="1" x14ac:dyDescent="0.25"/>
    <row r="164063" s="12" customFormat="1" x14ac:dyDescent="0.25"/>
    <row r="164064" s="12" customFormat="1" x14ac:dyDescent="0.25"/>
    <row r="164065" s="12" customFormat="1" x14ac:dyDescent="0.25"/>
    <row r="164066" s="12" customFormat="1" x14ac:dyDescent="0.25"/>
    <row r="164067" s="12" customFormat="1" x14ac:dyDescent="0.25"/>
    <row r="164068" s="12" customFormat="1" x14ac:dyDescent="0.25"/>
    <row r="164069" s="12" customFormat="1" x14ac:dyDescent="0.25"/>
    <row r="164070" s="12" customFormat="1" x14ac:dyDescent="0.25"/>
    <row r="164071" s="12" customFormat="1" x14ac:dyDescent="0.25"/>
    <row r="164072" s="12" customFormat="1" x14ac:dyDescent="0.25"/>
    <row r="164073" s="12" customFormat="1" x14ac:dyDescent="0.25"/>
    <row r="164074" s="12" customFormat="1" x14ac:dyDescent="0.25"/>
    <row r="164075" s="12" customFormat="1" x14ac:dyDescent="0.25"/>
    <row r="164076" s="12" customFormat="1" x14ac:dyDescent="0.25"/>
    <row r="164077" s="12" customFormat="1" x14ac:dyDescent="0.25"/>
    <row r="164078" s="12" customFormat="1" x14ac:dyDescent="0.25"/>
    <row r="164079" s="12" customFormat="1" x14ac:dyDescent="0.25"/>
    <row r="164080" s="12" customFormat="1" x14ac:dyDescent="0.25"/>
    <row r="164081" s="12" customFormat="1" x14ac:dyDescent="0.25"/>
    <row r="164082" s="12" customFormat="1" x14ac:dyDescent="0.25"/>
    <row r="164083" s="12" customFormat="1" x14ac:dyDescent="0.25"/>
    <row r="164084" s="12" customFormat="1" x14ac:dyDescent="0.25"/>
    <row r="164085" s="12" customFormat="1" x14ac:dyDescent="0.25"/>
    <row r="164086" s="12" customFormat="1" x14ac:dyDescent="0.25"/>
    <row r="164087" s="12" customFormat="1" x14ac:dyDescent="0.25"/>
    <row r="164088" s="12" customFormat="1" x14ac:dyDescent="0.25"/>
    <row r="164089" s="12" customFormat="1" x14ac:dyDescent="0.25"/>
    <row r="164090" s="12" customFormat="1" x14ac:dyDescent="0.25"/>
    <row r="164091" s="12" customFormat="1" x14ac:dyDescent="0.25"/>
    <row r="164092" s="12" customFormat="1" x14ac:dyDescent="0.25"/>
    <row r="164093" s="12" customFormat="1" x14ac:dyDescent="0.25"/>
    <row r="164094" s="12" customFormat="1" x14ac:dyDescent="0.25"/>
    <row r="164095" s="12" customFormat="1" x14ac:dyDescent="0.25"/>
    <row r="164096" s="12" customFormat="1" x14ac:dyDescent="0.25"/>
    <row r="164097" s="12" customFormat="1" x14ac:dyDescent="0.25"/>
    <row r="164098" s="12" customFormat="1" x14ac:dyDescent="0.25"/>
    <row r="164099" s="12" customFormat="1" x14ac:dyDescent="0.25"/>
    <row r="164100" s="12" customFormat="1" x14ac:dyDescent="0.25"/>
    <row r="164101" s="12" customFormat="1" x14ac:dyDescent="0.25"/>
    <row r="164102" s="12" customFormat="1" x14ac:dyDescent="0.25"/>
    <row r="164103" s="12" customFormat="1" x14ac:dyDescent="0.25"/>
    <row r="164104" s="12" customFormat="1" x14ac:dyDescent="0.25"/>
    <row r="164105" s="12" customFormat="1" x14ac:dyDescent="0.25"/>
    <row r="164106" s="12" customFormat="1" x14ac:dyDescent="0.25"/>
    <row r="164107" s="12" customFormat="1" x14ac:dyDescent="0.25"/>
    <row r="164108" s="12" customFormat="1" x14ac:dyDescent="0.25"/>
    <row r="164109" s="12" customFormat="1" x14ac:dyDescent="0.25"/>
    <row r="164110" s="12" customFormat="1" x14ac:dyDescent="0.25"/>
    <row r="164111" s="12" customFormat="1" x14ac:dyDescent="0.25"/>
    <row r="164112" s="12" customFormat="1" x14ac:dyDescent="0.25"/>
    <row r="164113" s="12" customFormat="1" x14ac:dyDescent="0.25"/>
    <row r="164114" s="12" customFormat="1" x14ac:dyDescent="0.25"/>
    <row r="164115" s="12" customFormat="1" x14ac:dyDescent="0.25"/>
    <row r="164116" s="12" customFormat="1" x14ac:dyDescent="0.25"/>
    <row r="164117" s="12" customFormat="1" x14ac:dyDescent="0.25"/>
    <row r="164118" s="12" customFormat="1" x14ac:dyDescent="0.25"/>
    <row r="164119" s="12" customFormat="1" x14ac:dyDescent="0.25"/>
    <row r="164120" s="12" customFormat="1" x14ac:dyDescent="0.25"/>
    <row r="164121" s="12" customFormat="1" x14ac:dyDescent="0.25"/>
    <row r="164122" s="12" customFormat="1" x14ac:dyDescent="0.25"/>
    <row r="164123" s="12" customFormat="1" x14ac:dyDescent="0.25"/>
    <row r="164124" s="12" customFormat="1" x14ac:dyDescent="0.25"/>
    <row r="164125" s="12" customFormat="1" x14ac:dyDescent="0.25"/>
    <row r="164126" s="12" customFormat="1" x14ac:dyDescent="0.25"/>
    <row r="164127" s="12" customFormat="1" x14ac:dyDescent="0.25"/>
    <row r="164128" s="12" customFormat="1" x14ac:dyDescent="0.25"/>
    <row r="164129" s="12" customFormat="1" x14ac:dyDescent="0.25"/>
    <row r="164130" s="12" customFormat="1" x14ac:dyDescent="0.25"/>
    <row r="164131" s="12" customFormat="1" x14ac:dyDescent="0.25"/>
    <row r="164132" s="12" customFormat="1" x14ac:dyDescent="0.25"/>
    <row r="164133" s="12" customFormat="1" x14ac:dyDescent="0.25"/>
    <row r="164134" s="12" customFormat="1" x14ac:dyDescent="0.25"/>
    <row r="164135" s="12" customFormat="1" x14ac:dyDescent="0.25"/>
    <row r="164136" s="12" customFormat="1" x14ac:dyDescent="0.25"/>
    <row r="164137" s="12" customFormat="1" x14ac:dyDescent="0.25"/>
    <row r="164138" s="12" customFormat="1" x14ac:dyDescent="0.25"/>
    <row r="164139" s="12" customFormat="1" x14ac:dyDescent="0.25"/>
    <row r="164140" s="12" customFormat="1" x14ac:dyDescent="0.25"/>
    <row r="164141" s="12" customFormat="1" x14ac:dyDescent="0.25"/>
    <row r="164142" s="12" customFormat="1" x14ac:dyDescent="0.25"/>
    <row r="164143" s="12" customFormat="1" x14ac:dyDescent="0.25"/>
    <row r="164144" s="12" customFormat="1" x14ac:dyDescent="0.25"/>
    <row r="164145" s="12" customFormat="1" x14ac:dyDescent="0.25"/>
    <row r="164146" s="12" customFormat="1" x14ac:dyDescent="0.25"/>
    <row r="164147" s="12" customFormat="1" x14ac:dyDescent="0.25"/>
    <row r="164148" s="12" customFormat="1" x14ac:dyDescent="0.25"/>
    <row r="164149" s="12" customFormat="1" x14ac:dyDescent="0.25"/>
    <row r="164150" s="12" customFormat="1" x14ac:dyDescent="0.25"/>
    <row r="164151" s="12" customFormat="1" x14ac:dyDescent="0.25"/>
    <row r="164152" s="12" customFormat="1" x14ac:dyDescent="0.25"/>
    <row r="164153" s="12" customFormat="1" x14ac:dyDescent="0.25"/>
    <row r="164154" s="12" customFormat="1" x14ac:dyDescent="0.25"/>
    <row r="164155" s="12" customFormat="1" x14ac:dyDescent="0.25"/>
    <row r="164156" s="12" customFormat="1" x14ac:dyDescent="0.25"/>
    <row r="164157" s="12" customFormat="1" x14ac:dyDescent="0.25"/>
    <row r="164158" s="12" customFormat="1" x14ac:dyDescent="0.25"/>
    <row r="164159" s="12" customFormat="1" x14ac:dyDescent="0.25"/>
    <row r="164160" s="12" customFormat="1" x14ac:dyDescent="0.25"/>
    <row r="164161" s="12" customFormat="1" x14ac:dyDescent="0.25"/>
    <row r="164162" s="12" customFormat="1" x14ac:dyDescent="0.25"/>
    <row r="164163" s="12" customFormat="1" x14ac:dyDescent="0.25"/>
    <row r="164164" s="12" customFormat="1" x14ac:dyDescent="0.25"/>
    <row r="164165" s="12" customFormat="1" x14ac:dyDescent="0.25"/>
    <row r="164166" s="12" customFormat="1" x14ac:dyDescent="0.25"/>
    <row r="164167" s="12" customFormat="1" x14ac:dyDescent="0.25"/>
    <row r="164168" s="12" customFormat="1" x14ac:dyDescent="0.25"/>
    <row r="164169" s="12" customFormat="1" x14ac:dyDescent="0.25"/>
    <row r="164170" s="12" customFormat="1" x14ac:dyDescent="0.25"/>
    <row r="164171" s="12" customFormat="1" x14ac:dyDescent="0.25"/>
    <row r="164172" s="12" customFormat="1" x14ac:dyDescent="0.25"/>
    <row r="164173" s="12" customFormat="1" x14ac:dyDescent="0.25"/>
    <row r="164174" s="12" customFormat="1" x14ac:dyDescent="0.25"/>
    <row r="164175" s="12" customFormat="1" x14ac:dyDescent="0.25"/>
    <row r="164176" s="12" customFormat="1" x14ac:dyDescent="0.25"/>
    <row r="164177" s="12" customFormat="1" x14ac:dyDescent="0.25"/>
    <row r="164178" s="12" customFormat="1" x14ac:dyDescent="0.25"/>
    <row r="164179" s="12" customFormat="1" x14ac:dyDescent="0.25"/>
    <row r="164180" s="12" customFormat="1" x14ac:dyDescent="0.25"/>
    <row r="164181" s="12" customFormat="1" x14ac:dyDescent="0.25"/>
    <row r="164182" s="12" customFormat="1" x14ac:dyDescent="0.25"/>
    <row r="164183" s="12" customFormat="1" x14ac:dyDescent="0.25"/>
    <row r="164184" s="12" customFormat="1" x14ac:dyDescent="0.25"/>
    <row r="164185" s="12" customFormat="1" x14ac:dyDescent="0.25"/>
    <row r="164186" s="12" customFormat="1" x14ac:dyDescent="0.25"/>
    <row r="164187" s="12" customFormat="1" x14ac:dyDescent="0.25"/>
    <row r="164188" s="12" customFormat="1" x14ac:dyDescent="0.25"/>
    <row r="164189" s="12" customFormat="1" x14ac:dyDescent="0.25"/>
    <row r="164190" s="12" customFormat="1" x14ac:dyDescent="0.25"/>
    <row r="164191" s="12" customFormat="1" x14ac:dyDescent="0.25"/>
    <row r="164192" s="12" customFormat="1" x14ac:dyDescent="0.25"/>
    <row r="164193" s="12" customFormat="1" x14ac:dyDescent="0.25"/>
    <row r="164194" s="12" customFormat="1" x14ac:dyDescent="0.25"/>
    <row r="164195" s="12" customFormat="1" x14ac:dyDescent="0.25"/>
    <row r="164196" s="12" customFormat="1" x14ac:dyDescent="0.25"/>
    <row r="164197" s="12" customFormat="1" x14ac:dyDescent="0.25"/>
    <row r="164198" s="12" customFormat="1" x14ac:dyDescent="0.25"/>
    <row r="164199" s="12" customFormat="1" x14ac:dyDescent="0.25"/>
    <row r="164200" s="12" customFormat="1" x14ac:dyDescent="0.25"/>
    <row r="164201" s="12" customFormat="1" x14ac:dyDescent="0.25"/>
    <row r="164202" s="12" customFormat="1" x14ac:dyDescent="0.25"/>
    <row r="164203" s="12" customFormat="1" x14ac:dyDescent="0.25"/>
    <row r="164204" s="12" customFormat="1" x14ac:dyDescent="0.25"/>
    <row r="164205" s="12" customFormat="1" x14ac:dyDescent="0.25"/>
    <row r="164206" s="12" customFormat="1" x14ac:dyDescent="0.25"/>
    <row r="164207" s="12" customFormat="1" x14ac:dyDescent="0.25"/>
    <row r="164208" s="12" customFormat="1" x14ac:dyDescent="0.25"/>
    <row r="164209" s="12" customFormat="1" x14ac:dyDescent="0.25"/>
    <row r="164210" s="12" customFormat="1" x14ac:dyDescent="0.25"/>
    <row r="164211" s="12" customFormat="1" x14ac:dyDescent="0.25"/>
    <row r="164212" s="12" customFormat="1" x14ac:dyDescent="0.25"/>
    <row r="164213" s="12" customFormat="1" x14ac:dyDescent="0.25"/>
    <row r="164214" s="12" customFormat="1" x14ac:dyDescent="0.25"/>
    <row r="164215" s="12" customFormat="1" x14ac:dyDescent="0.25"/>
    <row r="164216" s="12" customFormat="1" x14ac:dyDescent="0.25"/>
    <row r="164217" s="12" customFormat="1" x14ac:dyDescent="0.25"/>
    <row r="164218" s="12" customFormat="1" x14ac:dyDescent="0.25"/>
    <row r="164219" s="12" customFormat="1" x14ac:dyDescent="0.25"/>
    <row r="164220" s="12" customFormat="1" x14ac:dyDescent="0.25"/>
    <row r="164221" s="12" customFormat="1" x14ac:dyDescent="0.25"/>
    <row r="164222" s="12" customFormat="1" x14ac:dyDescent="0.25"/>
    <row r="164223" s="12" customFormat="1" x14ac:dyDescent="0.25"/>
    <row r="164224" s="12" customFormat="1" x14ac:dyDescent="0.25"/>
    <row r="164225" s="12" customFormat="1" x14ac:dyDescent="0.25"/>
    <row r="164226" s="12" customFormat="1" x14ac:dyDescent="0.25"/>
    <row r="164227" s="12" customFormat="1" x14ac:dyDescent="0.25"/>
    <row r="164228" s="12" customFormat="1" x14ac:dyDescent="0.25"/>
    <row r="164229" s="12" customFormat="1" x14ac:dyDescent="0.25"/>
    <row r="164230" s="12" customFormat="1" x14ac:dyDescent="0.25"/>
    <row r="164231" s="12" customFormat="1" x14ac:dyDescent="0.25"/>
    <row r="164232" s="12" customFormat="1" x14ac:dyDescent="0.25"/>
    <row r="164233" s="12" customFormat="1" x14ac:dyDescent="0.25"/>
    <row r="164234" s="12" customFormat="1" x14ac:dyDescent="0.25"/>
    <row r="164235" s="12" customFormat="1" x14ac:dyDescent="0.25"/>
    <row r="164236" s="12" customFormat="1" x14ac:dyDescent="0.25"/>
    <row r="164237" s="12" customFormat="1" x14ac:dyDescent="0.25"/>
    <row r="164238" s="12" customFormat="1" x14ac:dyDescent="0.25"/>
    <row r="164239" s="12" customFormat="1" x14ac:dyDescent="0.25"/>
    <row r="164240" s="12" customFormat="1" x14ac:dyDescent="0.25"/>
    <row r="164241" s="12" customFormat="1" x14ac:dyDescent="0.25"/>
    <row r="164242" s="12" customFormat="1" x14ac:dyDescent="0.25"/>
    <row r="164243" s="12" customFormat="1" x14ac:dyDescent="0.25"/>
    <row r="164244" s="12" customFormat="1" x14ac:dyDescent="0.25"/>
    <row r="164245" s="12" customFormat="1" x14ac:dyDescent="0.25"/>
    <row r="164246" s="12" customFormat="1" x14ac:dyDescent="0.25"/>
    <row r="164247" s="12" customFormat="1" x14ac:dyDescent="0.25"/>
    <row r="164248" s="12" customFormat="1" x14ac:dyDescent="0.25"/>
    <row r="164249" s="12" customFormat="1" x14ac:dyDescent="0.25"/>
    <row r="164250" s="12" customFormat="1" x14ac:dyDescent="0.25"/>
    <row r="164251" s="12" customFormat="1" x14ac:dyDescent="0.25"/>
    <row r="164252" s="12" customFormat="1" x14ac:dyDescent="0.25"/>
    <row r="164253" s="12" customFormat="1" x14ac:dyDescent="0.25"/>
    <row r="164254" s="12" customFormat="1" x14ac:dyDescent="0.25"/>
    <row r="164255" s="12" customFormat="1" x14ac:dyDescent="0.25"/>
    <row r="164256" s="12" customFormat="1" x14ac:dyDescent="0.25"/>
    <row r="164257" s="12" customFormat="1" x14ac:dyDescent="0.25"/>
    <row r="164258" s="12" customFormat="1" x14ac:dyDescent="0.25"/>
    <row r="164259" s="12" customFormat="1" x14ac:dyDescent="0.25"/>
    <row r="164260" s="12" customFormat="1" x14ac:dyDescent="0.25"/>
    <row r="164261" s="12" customFormat="1" x14ac:dyDescent="0.25"/>
    <row r="164262" s="12" customFormat="1" x14ac:dyDescent="0.25"/>
    <row r="164263" s="12" customFormat="1" x14ac:dyDescent="0.25"/>
    <row r="164264" s="12" customFormat="1" x14ac:dyDescent="0.25"/>
    <row r="164265" s="12" customFormat="1" x14ac:dyDescent="0.25"/>
    <row r="164266" s="12" customFormat="1" x14ac:dyDescent="0.25"/>
    <row r="164267" s="12" customFormat="1" x14ac:dyDescent="0.25"/>
    <row r="164268" s="12" customFormat="1" x14ac:dyDescent="0.25"/>
    <row r="164269" s="12" customFormat="1" x14ac:dyDescent="0.25"/>
    <row r="164270" s="12" customFormat="1" x14ac:dyDescent="0.25"/>
    <row r="164271" s="12" customFormat="1" x14ac:dyDescent="0.25"/>
    <row r="164272" s="12" customFormat="1" x14ac:dyDescent="0.25"/>
    <row r="164273" s="12" customFormat="1" x14ac:dyDescent="0.25"/>
    <row r="164274" s="12" customFormat="1" x14ac:dyDescent="0.25"/>
    <row r="164275" s="12" customFormat="1" x14ac:dyDescent="0.25"/>
    <row r="164276" s="12" customFormat="1" x14ac:dyDescent="0.25"/>
    <row r="164277" s="12" customFormat="1" x14ac:dyDescent="0.25"/>
    <row r="164278" s="12" customFormat="1" x14ac:dyDescent="0.25"/>
    <row r="164279" s="12" customFormat="1" x14ac:dyDescent="0.25"/>
    <row r="164280" s="12" customFormat="1" x14ac:dyDescent="0.25"/>
    <row r="164281" s="12" customFormat="1" x14ac:dyDescent="0.25"/>
    <row r="164282" s="12" customFormat="1" x14ac:dyDescent="0.25"/>
    <row r="164283" s="12" customFormat="1" x14ac:dyDescent="0.25"/>
    <row r="164284" s="12" customFormat="1" x14ac:dyDescent="0.25"/>
    <row r="164285" s="12" customFormat="1" x14ac:dyDescent="0.25"/>
    <row r="164286" s="12" customFormat="1" x14ac:dyDescent="0.25"/>
    <row r="164287" s="12" customFormat="1" x14ac:dyDescent="0.25"/>
    <row r="164288" s="12" customFormat="1" x14ac:dyDescent="0.25"/>
    <row r="164289" s="12" customFormat="1" x14ac:dyDescent="0.25"/>
    <row r="164290" s="12" customFormat="1" x14ac:dyDescent="0.25"/>
    <row r="164291" s="12" customFormat="1" x14ac:dyDescent="0.25"/>
    <row r="164292" s="12" customFormat="1" x14ac:dyDescent="0.25"/>
    <row r="164293" s="12" customFormat="1" x14ac:dyDescent="0.25"/>
    <row r="164294" s="12" customFormat="1" x14ac:dyDescent="0.25"/>
    <row r="164295" s="12" customFormat="1" x14ac:dyDescent="0.25"/>
    <row r="164296" s="12" customFormat="1" x14ac:dyDescent="0.25"/>
    <row r="164297" s="12" customFormat="1" x14ac:dyDescent="0.25"/>
    <row r="164298" s="12" customFormat="1" x14ac:dyDescent="0.25"/>
    <row r="164299" s="12" customFormat="1" x14ac:dyDescent="0.25"/>
    <row r="164300" s="12" customFormat="1" x14ac:dyDescent="0.25"/>
    <row r="164301" s="12" customFormat="1" x14ac:dyDescent="0.25"/>
    <row r="164302" s="12" customFormat="1" x14ac:dyDescent="0.25"/>
    <row r="164303" s="12" customFormat="1" x14ac:dyDescent="0.25"/>
    <row r="164304" s="12" customFormat="1" x14ac:dyDescent="0.25"/>
    <row r="164305" s="12" customFormat="1" x14ac:dyDescent="0.25"/>
    <row r="164306" s="12" customFormat="1" x14ac:dyDescent="0.25"/>
    <row r="164307" s="12" customFormat="1" x14ac:dyDescent="0.25"/>
    <row r="164308" s="12" customFormat="1" x14ac:dyDescent="0.25"/>
    <row r="164309" s="12" customFormat="1" x14ac:dyDescent="0.25"/>
    <row r="164310" s="12" customFormat="1" x14ac:dyDescent="0.25"/>
    <row r="164311" s="12" customFormat="1" x14ac:dyDescent="0.25"/>
    <row r="164312" s="12" customFormat="1" x14ac:dyDescent="0.25"/>
    <row r="164313" s="12" customFormat="1" x14ac:dyDescent="0.25"/>
    <row r="164314" s="12" customFormat="1" x14ac:dyDescent="0.25"/>
    <row r="164315" s="12" customFormat="1" x14ac:dyDescent="0.25"/>
    <row r="164316" s="12" customFormat="1" x14ac:dyDescent="0.25"/>
    <row r="164317" s="12" customFormat="1" x14ac:dyDescent="0.25"/>
    <row r="164318" s="12" customFormat="1" x14ac:dyDescent="0.25"/>
    <row r="164319" s="12" customFormat="1" x14ac:dyDescent="0.25"/>
    <row r="164320" s="12" customFormat="1" x14ac:dyDescent="0.25"/>
    <row r="164321" s="12" customFormat="1" x14ac:dyDescent="0.25"/>
    <row r="164322" s="12" customFormat="1" x14ac:dyDescent="0.25"/>
    <row r="164323" s="12" customFormat="1" x14ac:dyDescent="0.25"/>
    <row r="164324" s="12" customFormat="1" x14ac:dyDescent="0.25"/>
    <row r="164325" s="12" customFormat="1" x14ac:dyDescent="0.25"/>
    <row r="164326" s="12" customFormat="1" x14ac:dyDescent="0.25"/>
    <row r="164327" s="12" customFormat="1" x14ac:dyDescent="0.25"/>
    <row r="164328" s="12" customFormat="1" x14ac:dyDescent="0.25"/>
    <row r="164329" s="12" customFormat="1" x14ac:dyDescent="0.25"/>
    <row r="164330" s="12" customFormat="1" x14ac:dyDescent="0.25"/>
    <row r="164331" s="12" customFormat="1" x14ac:dyDescent="0.25"/>
    <row r="164332" s="12" customFormat="1" x14ac:dyDescent="0.25"/>
    <row r="164333" s="12" customFormat="1" x14ac:dyDescent="0.25"/>
    <row r="164334" s="12" customFormat="1" x14ac:dyDescent="0.25"/>
    <row r="164335" s="12" customFormat="1" x14ac:dyDescent="0.25"/>
    <row r="164336" s="12" customFormat="1" x14ac:dyDescent="0.25"/>
    <row r="164337" s="12" customFormat="1" x14ac:dyDescent="0.25"/>
    <row r="164338" s="12" customFormat="1" x14ac:dyDescent="0.25"/>
    <row r="164339" s="12" customFormat="1" x14ac:dyDescent="0.25"/>
    <row r="164340" s="12" customFormat="1" x14ac:dyDescent="0.25"/>
    <row r="164341" s="12" customFormat="1" x14ac:dyDescent="0.25"/>
    <row r="164342" s="12" customFormat="1" x14ac:dyDescent="0.25"/>
    <row r="164343" s="12" customFormat="1" x14ac:dyDescent="0.25"/>
    <row r="164344" s="12" customFormat="1" x14ac:dyDescent="0.25"/>
    <row r="164345" s="12" customFormat="1" x14ac:dyDescent="0.25"/>
    <row r="164346" s="12" customFormat="1" x14ac:dyDescent="0.25"/>
    <row r="164347" s="12" customFormat="1" x14ac:dyDescent="0.25"/>
    <row r="164348" s="12" customFormat="1" x14ac:dyDescent="0.25"/>
    <row r="164349" s="12" customFormat="1" x14ac:dyDescent="0.25"/>
    <row r="164350" s="12" customFormat="1" x14ac:dyDescent="0.25"/>
    <row r="164351" s="12" customFormat="1" x14ac:dyDescent="0.25"/>
    <row r="164352" s="12" customFormat="1" x14ac:dyDescent="0.25"/>
    <row r="164353" s="12" customFormat="1" x14ac:dyDescent="0.25"/>
    <row r="164354" s="12" customFormat="1" x14ac:dyDescent="0.25"/>
    <row r="164355" s="12" customFormat="1" x14ac:dyDescent="0.25"/>
    <row r="164356" s="12" customFormat="1" x14ac:dyDescent="0.25"/>
    <row r="164357" s="12" customFormat="1" x14ac:dyDescent="0.25"/>
    <row r="164358" s="12" customFormat="1" x14ac:dyDescent="0.25"/>
    <row r="164359" s="12" customFormat="1" x14ac:dyDescent="0.25"/>
    <row r="164360" s="12" customFormat="1" x14ac:dyDescent="0.25"/>
    <row r="164361" s="12" customFormat="1" x14ac:dyDescent="0.25"/>
    <row r="164362" s="12" customFormat="1" x14ac:dyDescent="0.25"/>
    <row r="164363" s="12" customFormat="1" x14ac:dyDescent="0.25"/>
    <row r="164364" s="12" customFormat="1" x14ac:dyDescent="0.25"/>
    <row r="164365" s="12" customFormat="1" x14ac:dyDescent="0.25"/>
    <row r="164366" s="12" customFormat="1" x14ac:dyDescent="0.25"/>
    <row r="164367" s="12" customFormat="1" x14ac:dyDescent="0.25"/>
    <row r="164368" s="12" customFormat="1" x14ac:dyDescent="0.25"/>
    <row r="164369" s="12" customFormat="1" x14ac:dyDescent="0.25"/>
    <row r="164370" s="12" customFormat="1" x14ac:dyDescent="0.25"/>
    <row r="164371" s="12" customFormat="1" x14ac:dyDescent="0.25"/>
    <row r="164372" s="12" customFormat="1" x14ac:dyDescent="0.25"/>
    <row r="164373" s="12" customFormat="1" x14ac:dyDescent="0.25"/>
    <row r="164374" s="12" customFormat="1" x14ac:dyDescent="0.25"/>
    <row r="164375" s="12" customFormat="1" x14ac:dyDescent="0.25"/>
    <row r="164376" s="12" customFormat="1" x14ac:dyDescent="0.25"/>
    <row r="164377" s="12" customFormat="1" x14ac:dyDescent="0.25"/>
    <row r="164378" s="12" customFormat="1" x14ac:dyDescent="0.25"/>
    <row r="164379" s="12" customFormat="1" x14ac:dyDescent="0.25"/>
    <row r="164380" s="12" customFormat="1" x14ac:dyDescent="0.25"/>
    <row r="164381" s="12" customFormat="1" x14ac:dyDescent="0.25"/>
    <row r="164382" s="12" customFormat="1" x14ac:dyDescent="0.25"/>
    <row r="164383" s="12" customFormat="1" x14ac:dyDescent="0.25"/>
    <row r="164384" s="12" customFormat="1" x14ac:dyDescent="0.25"/>
    <row r="164385" s="12" customFormat="1" x14ac:dyDescent="0.25"/>
    <row r="164386" s="12" customFormat="1" x14ac:dyDescent="0.25"/>
    <row r="164387" s="12" customFormat="1" x14ac:dyDescent="0.25"/>
    <row r="164388" s="12" customFormat="1" x14ac:dyDescent="0.25"/>
    <row r="164389" s="12" customFormat="1" x14ac:dyDescent="0.25"/>
    <row r="164390" s="12" customFormat="1" x14ac:dyDescent="0.25"/>
    <row r="164391" s="12" customFormat="1" x14ac:dyDescent="0.25"/>
    <row r="164392" s="12" customFormat="1" x14ac:dyDescent="0.25"/>
    <row r="164393" s="12" customFormat="1" x14ac:dyDescent="0.25"/>
    <row r="164394" s="12" customFormat="1" x14ac:dyDescent="0.25"/>
    <row r="164395" s="12" customFormat="1" x14ac:dyDescent="0.25"/>
    <row r="164396" s="12" customFormat="1" x14ac:dyDescent="0.25"/>
    <row r="164397" s="12" customFormat="1" x14ac:dyDescent="0.25"/>
    <row r="164398" s="12" customFormat="1" x14ac:dyDescent="0.25"/>
    <row r="164399" s="12" customFormat="1" x14ac:dyDescent="0.25"/>
    <row r="164400" s="12" customFormat="1" x14ac:dyDescent="0.25"/>
    <row r="164401" s="12" customFormat="1" x14ac:dyDescent="0.25"/>
    <row r="164402" s="12" customFormat="1" x14ac:dyDescent="0.25"/>
    <row r="164403" s="12" customFormat="1" x14ac:dyDescent="0.25"/>
    <row r="164404" s="12" customFormat="1" x14ac:dyDescent="0.25"/>
    <row r="164405" s="12" customFormat="1" x14ac:dyDescent="0.25"/>
    <row r="164406" s="12" customFormat="1" x14ac:dyDescent="0.25"/>
    <row r="164407" s="12" customFormat="1" x14ac:dyDescent="0.25"/>
    <row r="164408" s="12" customFormat="1" x14ac:dyDescent="0.25"/>
    <row r="164409" s="12" customFormat="1" x14ac:dyDescent="0.25"/>
    <row r="164410" s="12" customFormat="1" x14ac:dyDescent="0.25"/>
    <row r="164411" s="12" customFormat="1" x14ac:dyDescent="0.25"/>
    <row r="164412" s="12" customFormat="1" x14ac:dyDescent="0.25"/>
    <row r="164413" s="12" customFormat="1" x14ac:dyDescent="0.25"/>
    <row r="164414" s="12" customFormat="1" x14ac:dyDescent="0.25"/>
    <row r="164415" s="12" customFormat="1" x14ac:dyDescent="0.25"/>
    <row r="164416" s="12" customFormat="1" x14ac:dyDescent="0.25"/>
    <row r="164417" s="12" customFormat="1" x14ac:dyDescent="0.25"/>
    <row r="164418" s="12" customFormat="1" x14ac:dyDescent="0.25"/>
    <row r="164419" s="12" customFormat="1" x14ac:dyDescent="0.25"/>
    <row r="164420" s="12" customFormat="1" x14ac:dyDescent="0.25"/>
    <row r="164421" s="12" customFormat="1" x14ac:dyDescent="0.25"/>
    <row r="164422" s="12" customFormat="1" x14ac:dyDescent="0.25"/>
    <row r="164423" s="12" customFormat="1" x14ac:dyDescent="0.25"/>
    <row r="164424" s="12" customFormat="1" x14ac:dyDescent="0.25"/>
    <row r="164425" s="12" customFormat="1" x14ac:dyDescent="0.25"/>
    <row r="164426" s="12" customFormat="1" x14ac:dyDescent="0.25"/>
    <row r="164427" s="12" customFormat="1" x14ac:dyDescent="0.25"/>
    <row r="164428" s="12" customFormat="1" x14ac:dyDescent="0.25"/>
    <row r="164429" s="12" customFormat="1" x14ac:dyDescent="0.25"/>
    <row r="164430" s="12" customFormat="1" x14ac:dyDescent="0.25"/>
    <row r="164431" s="12" customFormat="1" x14ac:dyDescent="0.25"/>
    <row r="164432" s="12" customFormat="1" x14ac:dyDescent="0.25"/>
    <row r="164433" s="12" customFormat="1" x14ac:dyDescent="0.25"/>
    <row r="164434" s="12" customFormat="1" x14ac:dyDescent="0.25"/>
    <row r="164435" s="12" customFormat="1" x14ac:dyDescent="0.25"/>
    <row r="164436" s="12" customFormat="1" x14ac:dyDescent="0.25"/>
    <row r="164437" s="12" customFormat="1" x14ac:dyDescent="0.25"/>
    <row r="164438" s="12" customFormat="1" x14ac:dyDescent="0.25"/>
    <row r="164439" s="12" customFormat="1" x14ac:dyDescent="0.25"/>
    <row r="164440" s="12" customFormat="1" x14ac:dyDescent="0.25"/>
    <row r="164441" s="12" customFormat="1" x14ac:dyDescent="0.25"/>
    <row r="164442" s="12" customFormat="1" x14ac:dyDescent="0.25"/>
    <row r="164443" s="12" customFormat="1" x14ac:dyDescent="0.25"/>
    <row r="164444" s="12" customFormat="1" x14ac:dyDescent="0.25"/>
    <row r="164445" s="12" customFormat="1" x14ac:dyDescent="0.25"/>
    <row r="164446" s="12" customFormat="1" x14ac:dyDescent="0.25"/>
    <row r="164447" s="12" customFormat="1" x14ac:dyDescent="0.25"/>
    <row r="164448" s="12" customFormat="1" x14ac:dyDescent="0.25"/>
    <row r="164449" s="12" customFormat="1" x14ac:dyDescent="0.25"/>
    <row r="164450" s="12" customFormat="1" x14ac:dyDescent="0.25"/>
    <row r="164451" s="12" customFormat="1" x14ac:dyDescent="0.25"/>
    <row r="164452" s="12" customFormat="1" x14ac:dyDescent="0.25"/>
    <row r="164453" s="12" customFormat="1" x14ac:dyDescent="0.25"/>
    <row r="164454" s="12" customFormat="1" x14ac:dyDescent="0.25"/>
    <row r="164455" s="12" customFormat="1" x14ac:dyDescent="0.25"/>
    <row r="164456" s="12" customFormat="1" x14ac:dyDescent="0.25"/>
    <row r="164457" s="12" customFormat="1" x14ac:dyDescent="0.25"/>
    <row r="164458" s="12" customFormat="1" x14ac:dyDescent="0.25"/>
    <row r="164459" s="12" customFormat="1" x14ac:dyDescent="0.25"/>
    <row r="164460" s="12" customFormat="1" x14ac:dyDescent="0.25"/>
    <row r="164461" s="12" customFormat="1" x14ac:dyDescent="0.25"/>
    <row r="164462" s="12" customFormat="1" x14ac:dyDescent="0.25"/>
    <row r="164463" s="12" customFormat="1" x14ac:dyDescent="0.25"/>
    <row r="164464" s="12" customFormat="1" x14ac:dyDescent="0.25"/>
    <row r="164465" s="12" customFormat="1" x14ac:dyDescent="0.25"/>
    <row r="164466" s="12" customFormat="1" x14ac:dyDescent="0.25"/>
    <row r="164467" s="12" customFormat="1" x14ac:dyDescent="0.25"/>
    <row r="164468" s="12" customFormat="1" x14ac:dyDescent="0.25"/>
    <row r="164469" s="12" customFormat="1" x14ac:dyDescent="0.25"/>
    <row r="164470" s="12" customFormat="1" x14ac:dyDescent="0.25"/>
    <row r="164471" s="12" customFormat="1" x14ac:dyDescent="0.25"/>
    <row r="164472" s="12" customFormat="1" x14ac:dyDescent="0.25"/>
    <row r="164473" s="12" customFormat="1" x14ac:dyDescent="0.25"/>
    <row r="164474" s="12" customFormat="1" x14ac:dyDescent="0.25"/>
    <row r="164475" s="12" customFormat="1" x14ac:dyDescent="0.25"/>
    <row r="164476" s="12" customFormat="1" x14ac:dyDescent="0.25"/>
    <row r="164477" s="12" customFormat="1" x14ac:dyDescent="0.25"/>
    <row r="164478" s="12" customFormat="1" x14ac:dyDescent="0.25"/>
    <row r="164479" s="12" customFormat="1" x14ac:dyDescent="0.25"/>
    <row r="164480" s="12" customFormat="1" x14ac:dyDescent="0.25"/>
    <row r="164481" s="12" customFormat="1" x14ac:dyDescent="0.25"/>
    <row r="164482" s="12" customFormat="1" x14ac:dyDescent="0.25"/>
    <row r="164483" s="12" customFormat="1" x14ac:dyDescent="0.25"/>
    <row r="164484" s="12" customFormat="1" x14ac:dyDescent="0.25"/>
    <row r="164485" s="12" customFormat="1" x14ac:dyDescent="0.25"/>
    <row r="164486" s="12" customFormat="1" x14ac:dyDescent="0.25"/>
    <row r="164487" s="12" customFormat="1" x14ac:dyDescent="0.25"/>
    <row r="164488" s="12" customFormat="1" x14ac:dyDescent="0.25"/>
    <row r="164489" s="12" customFormat="1" x14ac:dyDescent="0.25"/>
    <row r="164490" s="12" customFormat="1" x14ac:dyDescent="0.25"/>
    <row r="164491" s="12" customFormat="1" x14ac:dyDescent="0.25"/>
    <row r="164492" s="12" customFormat="1" x14ac:dyDescent="0.25"/>
    <row r="164493" s="12" customFormat="1" x14ac:dyDescent="0.25"/>
    <row r="164494" s="12" customFormat="1" x14ac:dyDescent="0.25"/>
    <row r="164495" s="12" customFormat="1" x14ac:dyDescent="0.25"/>
    <row r="164496" s="12" customFormat="1" x14ac:dyDescent="0.25"/>
    <row r="164497" s="12" customFormat="1" x14ac:dyDescent="0.25"/>
    <row r="164498" s="12" customFormat="1" x14ac:dyDescent="0.25"/>
    <row r="164499" s="12" customFormat="1" x14ac:dyDescent="0.25"/>
    <row r="164500" s="12" customFormat="1" x14ac:dyDescent="0.25"/>
    <row r="164501" s="12" customFormat="1" x14ac:dyDescent="0.25"/>
    <row r="164502" s="12" customFormat="1" x14ac:dyDescent="0.25"/>
    <row r="164503" s="12" customFormat="1" x14ac:dyDescent="0.25"/>
    <row r="164504" s="12" customFormat="1" x14ac:dyDescent="0.25"/>
    <row r="164505" s="12" customFormat="1" x14ac:dyDescent="0.25"/>
    <row r="164506" s="12" customFormat="1" x14ac:dyDescent="0.25"/>
    <row r="164507" s="12" customFormat="1" x14ac:dyDescent="0.25"/>
    <row r="164508" s="12" customFormat="1" x14ac:dyDescent="0.25"/>
    <row r="164509" s="12" customFormat="1" x14ac:dyDescent="0.25"/>
    <row r="164510" s="12" customFormat="1" x14ac:dyDescent="0.25"/>
    <row r="164511" s="12" customFormat="1" x14ac:dyDescent="0.25"/>
    <row r="164512" s="12" customFormat="1" x14ac:dyDescent="0.25"/>
    <row r="164513" s="12" customFormat="1" x14ac:dyDescent="0.25"/>
    <row r="164514" s="12" customFormat="1" x14ac:dyDescent="0.25"/>
    <row r="164515" s="12" customFormat="1" x14ac:dyDescent="0.25"/>
    <row r="164516" s="12" customFormat="1" x14ac:dyDescent="0.25"/>
    <row r="164517" s="12" customFormat="1" x14ac:dyDescent="0.25"/>
    <row r="164518" s="12" customFormat="1" x14ac:dyDescent="0.25"/>
    <row r="164519" s="12" customFormat="1" x14ac:dyDescent="0.25"/>
    <row r="164520" s="12" customFormat="1" x14ac:dyDescent="0.25"/>
    <row r="164521" s="12" customFormat="1" x14ac:dyDescent="0.25"/>
    <row r="164522" s="12" customFormat="1" x14ac:dyDescent="0.25"/>
    <row r="164523" s="12" customFormat="1" x14ac:dyDescent="0.25"/>
    <row r="164524" s="12" customFormat="1" x14ac:dyDescent="0.25"/>
    <row r="164525" s="12" customFormat="1" x14ac:dyDescent="0.25"/>
    <row r="164526" s="12" customFormat="1" x14ac:dyDescent="0.25"/>
    <row r="164527" s="12" customFormat="1" x14ac:dyDescent="0.25"/>
    <row r="164528" s="12" customFormat="1" x14ac:dyDescent="0.25"/>
    <row r="164529" s="12" customFormat="1" x14ac:dyDescent="0.25"/>
    <row r="164530" s="12" customFormat="1" x14ac:dyDescent="0.25"/>
    <row r="164531" s="12" customFormat="1" x14ac:dyDescent="0.25"/>
    <row r="164532" s="12" customFormat="1" x14ac:dyDescent="0.25"/>
    <row r="164533" s="12" customFormat="1" x14ac:dyDescent="0.25"/>
    <row r="164534" s="12" customFormat="1" x14ac:dyDescent="0.25"/>
    <row r="164535" s="12" customFormat="1" x14ac:dyDescent="0.25"/>
    <row r="164536" s="12" customFormat="1" x14ac:dyDescent="0.25"/>
    <row r="164537" s="12" customFormat="1" x14ac:dyDescent="0.25"/>
    <row r="164538" s="12" customFormat="1" x14ac:dyDescent="0.25"/>
    <row r="164539" s="12" customFormat="1" x14ac:dyDescent="0.25"/>
    <row r="164540" s="12" customFormat="1" x14ac:dyDescent="0.25"/>
    <row r="164541" s="12" customFormat="1" x14ac:dyDescent="0.25"/>
    <row r="164542" s="12" customFormat="1" x14ac:dyDescent="0.25"/>
    <row r="164543" s="12" customFormat="1" x14ac:dyDescent="0.25"/>
    <row r="164544" s="12" customFormat="1" x14ac:dyDescent="0.25"/>
    <row r="164545" s="12" customFormat="1" x14ac:dyDescent="0.25"/>
    <row r="164546" s="12" customFormat="1" x14ac:dyDescent="0.25"/>
    <row r="164547" s="12" customFormat="1" x14ac:dyDescent="0.25"/>
    <row r="164548" s="12" customFormat="1" x14ac:dyDescent="0.25"/>
    <row r="164549" s="12" customFormat="1" x14ac:dyDescent="0.25"/>
    <row r="164550" s="12" customFormat="1" x14ac:dyDescent="0.25"/>
    <row r="164551" s="12" customFormat="1" x14ac:dyDescent="0.25"/>
    <row r="164552" s="12" customFormat="1" x14ac:dyDescent="0.25"/>
    <row r="164553" s="12" customFormat="1" x14ac:dyDescent="0.25"/>
    <row r="164554" s="12" customFormat="1" x14ac:dyDescent="0.25"/>
    <row r="164555" s="12" customFormat="1" x14ac:dyDescent="0.25"/>
    <row r="164556" s="12" customFormat="1" x14ac:dyDescent="0.25"/>
    <row r="164557" s="12" customFormat="1" x14ac:dyDescent="0.25"/>
    <row r="164558" s="12" customFormat="1" x14ac:dyDescent="0.25"/>
    <row r="164559" s="12" customFormat="1" x14ac:dyDescent="0.25"/>
    <row r="164560" s="12" customFormat="1" x14ac:dyDescent="0.25"/>
    <row r="164561" s="12" customFormat="1" x14ac:dyDescent="0.25"/>
    <row r="164562" s="12" customFormat="1" x14ac:dyDescent="0.25"/>
    <row r="164563" s="12" customFormat="1" x14ac:dyDescent="0.25"/>
    <row r="164564" s="12" customFormat="1" x14ac:dyDescent="0.25"/>
    <row r="164565" s="12" customFormat="1" x14ac:dyDescent="0.25"/>
    <row r="164566" s="12" customFormat="1" x14ac:dyDescent="0.25"/>
    <row r="164567" s="12" customFormat="1" x14ac:dyDescent="0.25"/>
    <row r="164568" s="12" customFormat="1" x14ac:dyDescent="0.25"/>
    <row r="164569" s="12" customFormat="1" x14ac:dyDescent="0.25"/>
    <row r="164570" s="12" customFormat="1" x14ac:dyDescent="0.25"/>
    <row r="164571" s="12" customFormat="1" x14ac:dyDescent="0.25"/>
    <row r="164572" s="12" customFormat="1" x14ac:dyDescent="0.25"/>
    <row r="164573" s="12" customFormat="1" x14ac:dyDescent="0.25"/>
    <row r="164574" s="12" customFormat="1" x14ac:dyDescent="0.25"/>
    <row r="164575" s="12" customFormat="1" x14ac:dyDescent="0.25"/>
    <row r="164576" s="12" customFormat="1" x14ac:dyDescent="0.25"/>
    <row r="164577" s="12" customFormat="1" x14ac:dyDescent="0.25"/>
    <row r="164578" s="12" customFormat="1" x14ac:dyDescent="0.25"/>
    <row r="164579" s="12" customFormat="1" x14ac:dyDescent="0.25"/>
    <row r="164580" s="12" customFormat="1" x14ac:dyDescent="0.25"/>
    <row r="164581" s="12" customFormat="1" x14ac:dyDescent="0.25"/>
    <row r="164582" s="12" customFormat="1" x14ac:dyDescent="0.25"/>
    <row r="164583" s="12" customFormat="1" x14ac:dyDescent="0.25"/>
    <row r="164584" s="12" customFormat="1" x14ac:dyDescent="0.25"/>
    <row r="164585" s="12" customFormat="1" x14ac:dyDescent="0.25"/>
    <row r="164586" s="12" customFormat="1" x14ac:dyDescent="0.25"/>
    <row r="164587" s="12" customFormat="1" x14ac:dyDescent="0.25"/>
    <row r="164588" s="12" customFormat="1" x14ac:dyDescent="0.25"/>
    <row r="164589" s="12" customFormat="1" x14ac:dyDescent="0.25"/>
    <row r="164590" s="12" customFormat="1" x14ac:dyDescent="0.25"/>
    <row r="164591" s="12" customFormat="1" x14ac:dyDescent="0.25"/>
    <row r="164592" s="12" customFormat="1" x14ac:dyDescent="0.25"/>
    <row r="164593" s="12" customFormat="1" x14ac:dyDescent="0.25"/>
    <row r="164594" s="12" customFormat="1" x14ac:dyDescent="0.25"/>
    <row r="164595" s="12" customFormat="1" x14ac:dyDescent="0.25"/>
    <row r="164596" s="12" customFormat="1" x14ac:dyDescent="0.25"/>
    <row r="164597" s="12" customFormat="1" x14ac:dyDescent="0.25"/>
    <row r="164598" s="12" customFormat="1" x14ac:dyDescent="0.25"/>
    <row r="164599" s="12" customFormat="1" x14ac:dyDescent="0.25"/>
    <row r="164600" s="12" customFormat="1" x14ac:dyDescent="0.25"/>
    <row r="164601" s="12" customFormat="1" x14ac:dyDescent="0.25"/>
    <row r="164602" s="12" customFormat="1" x14ac:dyDescent="0.25"/>
    <row r="164603" s="12" customFormat="1" x14ac:dyDescent="0.25"/>
    <row r="164604" s="12" customFormat="1" x14ac:dyDescent="0.25"/>
    <row r="164605" s="12" customFormat="1" x14ac:dyDescent="0.25"/>
    <row r="164606" s="12" customFormat="1" x14ac:dyDescent="0.25"/>
    <row r="164607" s="12" customFormat="1" x14ac:dyDescent="0.25"/>
    <row r="164608" s="12" customFormat="1" x14ac:dyDescent="0.25"/>
    <row r="164609" s="12" customFormat="1" x14ac:dyDescent="0.25"/>
    <row r="164610" s="12" customFormat="1" x14ac:dyDescent="0.25"/>
    <row r="164611" s="12" customFormat="1" x14ac:dyDescent="0.25"/>
    <row r="164612" s="12" customFormat="1" x14ac:dyDescent="0.25"/>
    <row r="164613" s="12" customFormat="1" x14ac:dyDescent="0.25"/>
    <row r="164614" s="12" customFormat="1" x14ac:dyDescent="0.25"/>
    <row r="164615" s="12" customFormat="1" x14ac:dyDescent="0.25"/>
    <row r="164616" s="12" customFormat="1" x14ac:dyDescent="0.25"/>
    <row r="164617" s="12" customFormat="1" x14ac:dyDescent="0.25"/>
    <row r="164618" s="12" customFormat="1" x14ac:dyDescent="0.25"/>
    <row r="164619" s="12" customFormat="1" x14ac:dyDescent="0.25"/>
    <row r="164620" s="12" customFormat="1" x14ac:dyDescent="0.25"/>
    <row r="164621" s="12" customFormat="1" x14ac:dyDescent="0.25"/>
    <row r="164622" s="12" customFormat="1" x14ac:dyDescent="0.25"/>
    <row r="164623" s="12" customFormat="1" x14ac:dyDescent="0.25"/>
    <row r="164624" s="12" customFormat="1" x14ac:dyDescent="0.25"/>
    <row r="164625" s="12" customFormat="1" x14ac:dyDescent="0.25"/>
    <row r="164626" s="12" customFormat="1" x14ac:dyDescent="0.25"/>
    <row r="164627" s="12" customFormat="1" x14ac:dyDescent="0.25"/>
    <row r="164628" s="12" customFormat="1" x14ac:dyDescent="0.25"/>
    <row r="164629" s="12" customFormat="1" x14ac:dyDescent="0.25"/>
    <row r="164630" s="12" customFormat="1" x14ac:dyDescent="0.25"/>
    <row r="164631" s="12" customFormat="1" x14ac:dyDescent="0.25"/>
    <row r="164632" s="12" customFormat="1" x14ac:dyDescent="0.25"/>
    <row r="164633" s="12" customFormat="1" x14ac:dyDescent="0.25"/>
    <row r="164634" s="12" customFormat="1" x14ac:dyDescent="0.25"/>
    <row r="164635" s="12" customFormat="1" x14ac:dyDescent="0.25"/>
    <row r="164636" s="12" customFormat="1" x14ac:dyDescent="0.25"/>
    <row r="164637" s="12" customFormat="1" x14ac:dyDescent="0.25"/>
    <row r="164638" s="12" customFormat="1" x14ac:dyDescent="0.25"/>
    <row r="164639" s="12" customFormat="1" x14ac:dyDescent="0.25"/>
    <row r="164640" s="12" customFormat="1" x14ac:dyDescent="0.25"/>
    <row r="164641" s="12" customFormat="1" x14ac:dyDescent="0.25"/>
    <row r="164642" s="12" customFormat="1" x14ac:dyDescent="0.25"/>
    <row r="164643" s="12" customFormat="1" x14ac:dyDescent="0.25"/>
    <row r="164644" s="12" customFormat="1" x14ac:dyDescent="0.25"/>
    <row r="164645" s="12" customFormat="1" x14ac:dyDescent="0.25"/>
    <row r="164646" s="12" customFormat="1" x14ac:dyDescent="0.25"/>
    <row r="164647" s="12" customFormat="1" x14ac:dyDescent="0.25"/>
    <row r="164648" s="12" customFormat="1" x14ac:dyDescent="0.25"/>
    <row r="164649" s="12" customFormat="1" x14ac:dyDescent="0.25"/>
    <row r="164650" s="12" customFormat="1" x14ac:dyDescent="0.25"/>
    <row r="164651" s="12" customFormat="1" x14ac:dyDescent="0.25"/>
    <row r="164652" s="12" customFormat="1" x14ac:dyDescent="0.25"/>
    <row r="164653" s="12" customFormat="1" x14ac:dyDescent="0.25"/>
    <row r="164654" s="12" customFormat="1" x14ac:dyDescent="0.25"/>
    <row r="164655" s="12" customFormat="1" x14ac:dyDescent="0.25"/>
    <row r="164656" s="12" customFormat="1" x14ac:dyDescent="0.25"/>
    <row r="164657" s="12" customFormat="1" x14ac:dyDescent="0.25"/>
    <row r="164658" s="12" customFormat="1" x14ac:dyDescent="0.25"/>
    <row r="164659" s="12" customFormat="1" x14ac:dyDescent="0.25"/>
    <row r="164660" s="12" customFormat="1" x14ac:dyDescent="0.25"/>
    <row r="164661" s="12" customFormat="1" x14ac:dyDescent="0.25"/>
    <row r="164662" s="12" customFormat="1" x14ac:dyDescent="0.25"/>
    <row r="164663" s="12" customFormat="1" x14ac:dyDescent="0.25"/>
    <row r="164664" s="12" customFormat="1" x14ac:dyDescent="0.25"/>
    <row r="164665" s="12" customFormat="1" x14ac:dyDescent="0.25"/>
    <row r="164666" s="12" customFormat="1" x14ac:dyDescent="0.25"/>
    <row r="164667" s="12" customFormat="1" x14ac:dyDescent="0.25"/>
    <row r="164668" s="12" customFormat="1" x14ac:dyDescent="0.25"/>
    <row r="164669" s="12" customFormat="1" x14ac:dyDescent="0.25"/>
    <row r="164670" s="12" customFormat="1" x14ac:dyDescent="0.25"/>
    <row r="164671" s="12" customFormat="1" x14ac:dyDescent="0.25"/>
    <row r="164672" s="12" customFormat="1" x14ac:dyDescent="0.25"/>
    <row r="164673" s="12" customFormat="1" x14ac:dyDescent="0.25"/>
    <row r="164674" s="12" customFormat="1" x14ac:dyDescent="0.25"/>
    <row r="164675" s="12" customFormat="1" x14ac:dyDescent="0.25"/>
    <row r="164676" s="12" customFormat="1" x14ac:dyDescent="0.25"/>
    <row r="164677" s="12" customFormat="1" x14ac:dyDescent="0.25"/>
    <row r="164678" s="12" customFormat="1" x14ac:dyDescent="0.25"/>
    <row r="164679" s="12" customFormat="1" x14ac:dyDescent="0.25"/>
    <row r="164680" s="12" customFormat="1" x14ac:dyDescent="0.25"/>
    <row r="164681" s="12" customFormat="1" x14ac:dyDescent="0.25"/>
    <row r="164682" s="12" customFormat="1" x14ac:dyDescent="0.25"/>
    <row r="164683" s="12" customFormat="1" x14ac:dyDescent="0.25"/>
    <row r="164684" s="12" customFormat="1" x14ac:dyDescent="0.25"/>
    <row r="164685" s="12" customFormat="1" x14ac:dyDescent="0.25"/>
    <row r="164686" s="12" customFormat="1" x14ac:dyDescent="0.25"/>
    <row r="164687" s="12" customFormat="1" x14ac:dyDescent="0.25"/>
    <row r="164688" s="12" customFormat="1" x14ac:dyDescent="0.25"/>
    <row r="164689" s="12" customFormat="1" x14ac:dyDescent="0.25"/>
    <row r="164690" s="12" customFormat="1" x14ac:dyDescent="0.25"/>
    <row r="164691" s="12" customFormat="1" x14ac:dyDescent="0.25"/>
    <row r="164692" s="12" customFormat="1" x14ac:dyDescent="0.25"/>
    <row r="164693" s="12" customFormat="1" x14ac:dyDescent="0.25"/>
    <row r="164694" s="12" customFormat="1" x14ac:dyDescent="0.25"/>
    <row r="164695" s="12" customFormat="1" x14ac:dyDescent="0.25"/>
    <row r="164696" s="12" customFormat="1" x14ac:dyDescent="0.25"/>
    <row r="164697" s="12" customFormat="1" x14ac:dyDescent="0.25"/>
    <row r="164698" s="12" customFormat="1" x14ac:dyDescent="0.25"/>
    <row r="164699" s="12" customFormat="1" x14ac:dyDescent="0.25"/>
    <row r="164700" s="12" customFormat="1" x14ac:dyDescent="0.25"/>
    <row r="164701" s="12" customFormat="1" x14ac:dyDescent="0.25"/>
    <row r="164702" s="12" customFormat="1" x14ac:dyDescent="0.25"/>
    <row r="164703" s="12" customFormat="1" x14ac:dyDescent="0.25"/>
    <row r="164704" s="12" customFormat="1" x14ac:dyDescent="0.25"/>
    <row r="164705" s="12" customFormat="1" x14ac:dyDescent="0.25"/>
    <row r="164706" s="12" customFormat="1" x14ac:dyDescent="0.25"/>
    <row r="164707" s="12" customFormat="1" x14ac:dyDescent="0.25"/>
    <row r="164708" s="12" customFormat="1" x14ac:dyDescent="0.25"/>
    <row r="164709" s="12" customFormat="1" x14ac:dyDescent="0.25"/>
    <row r="164710" s="12" customFormat="1" x14ac:dyDescent="0.25"/>
    <row r="164711" s="12" customFormat="1" x14ac:dyDescent="0.25"/>
    <row r="164712" s="12" customFormat="1" x14ac:dyDescent="0.25"/>
    <row r="164713" s="12" customFormat="1" x14ac:dyDescent="0.25"/>
    <row r="164714" s="12" customFormat="1" x14ac:dyDescent="0.25"/>
    <row r="164715" s="12" customFormat="1" x14ac:dyDescent="0.25"/>
    <row r="164716" s="12" customFormat="1" x14ac:dyDescent="0.25"/>
    <row r="164717" s="12" customFormat="1" x14ac:dyDescent="0.25"/>
    <row r="164718" s="12" customFormat="1" x14ac:dyDescent="0.25"/>
    <row r="164719" s="12" customFormat="1" x14ac:dyDescent="0.25"/>
    <row r="164720" s="12" customFormat="1" x14ac:dyDescent="0.25"/>
    <row r="164721" s="12" customFormat="1" x14ac:dyDescent="0.25"/>
    <row r="164722" s="12" customFormat="1" x14ac:dyDescent="0.25"/>
    <row r="164723" s="12" customFormat="1" x14ac:dyDescent="0.25"/>
    <row r="164724" s="12" customFormat="1" x14ac:dyDescent="0.25"/>
    <row r="164725" s="12" customFormat="1" x14ac:dyDescent="0.25"/>
    <row r="164726" s="12" customFormat="1" x14ac:dyDescent="0.25"/>
    <row r="164727" s="12" customFormat="1" x14ac:dyDescent="0.25"/>
    <row r="164728" s="12" customFormat="1" x14ac:dyDescent="0.25"/>
    <row r="164729" s="12" customFormat="1" x14ac:dyDescent="0.25"/>
    <row r="164730" s="12" customFormat="1" x14ac:dyDescent="0.25"/>
    <row r="164731" s="12" customFormat="1" x14ac:dyDescent="0.25"/>
    <row r="164732" s="12" customFormat="1" x14ac:dyDescent="0.25"/>
    <row r="164733" s="12" customFormat="1" x14ac:dyDescent="0.25"/>
    <row r="164734" s="12" customFormat="1" x14ac:dyDescent="0.25"/>
    <row r="164735" s="12" customFormat="1" x14ac:dyDescent="0.25"/>
    <row r="164736" s="12" customFormat="1" x14ac:dyDescent="0.25"/>
    <row r="164737" s="12" customFormat="1" x14ac:dyDescent="0.25"/>
    <row r="164738" s="12" customFormat="1" x14ac:dyDescent="0.25"/>
    <row r="164739" s="12" customFormat="1" x14ac:dyDescent="0.25"/>
    <row r="164740" s="12" customFormat="1" x14ac:dyDescent="0.25"/>
    <row r="164741" s="12" customFormat="1" x14ac:dyDescent="0.25"/>
    <row r="164742" s="12" customFormat="1" x14ac:dyDescent="0.25"/>
    <row r="164743" s="12" customFormat="1" x14ac:dyDescent="0.25"/>
    <row r="164744" s="12" customFormat="1" x14ac:dyDescent="0.25"/>
    <row r="164745" s="12" customFormat="1" x14ac:dyDescent="0.25"/>
    <row r="164746" s="12" customFormat="1" x14ac:dyDescent="0.25"/>
    <row r="164747" s="12" customFormat="1" x14ac:dyDescent="0.25"/>
    <row r="164748" s="12" customFormat="1" x14ac:dyDescent="0.25"/>
    <row r="164749" s="12" customFormat="1" x14ac:dyDescent="0.25"/>
    <row r="164750" s="12" customFormat="1" x14ac:dyDescent="0.25"/>
    <row r="164751" s="12" customFormat="1" x14ac:dyDescent="0.25"/>
    <row r="164752" s="12" customFormat="1" x14ac:dyDescent="0.25"/>
    <row r="164753" s="12" customFormat="1" x14ac:dyDescent="0.25"/>
    <row r="164754" s="12" customFormat="1" x14ac:dyDescent="0.25"/>
    <row r="164755" s="12" customFormat="1" x14ac:dyDescent="0.25"/>
    <row r="164756" s="12" customFormat="1" x14ac:dyDescent="0.25"/>
    <row r="164757" s="12" customFormat="1" x14ac:dyDescent="0.25"/>
    <row r="164758" s="12" customFormat="1" x14ac:dyDescent="0.25"/>
    <row r="164759" s="12" customFormat="1" x14ac:dyDescent="0.25"/>
    <row r="164760" s="12" customFormat="1" x14ac:dyDescent="0.25"/>
    <row r="164761" s="12" customFormat="1" x14ac:dyDescent="0.25"/>
    <row r="164762" s="12" customFormat="1" x14ac:dyDescent="0.25"/>
    <row r="164763" s="12" customFormat="1" x14ac:dyDescent="0.25"/>
    <row r="164764" s="12" customFormat="1" x14ac:dyDescent="0.25"/>
    <row r="164765" s="12" customFormat="1" x14ac:dyDescent="0.25"/>
    <row r="164766" s="12" customFormat="1" x14ac:dyDescent="0.25"/>
    <row r="164767" s="12" customFormat="1" x14ac:dyDescent="0.25"/>
    <row r="164768" s="12" customFormat="1" x14ac:dyDescent="0.25"/>
    <row r="164769" s="12" customFormat="1" x14ac:dyDescent="0.25"/>
    <row r="164770" s="12" customFormat="1" x14ac:dyDescent="0.25"/>
    <row r="164771" s="12" customFormat="1" x14ac:dyDescent="0.25"/>
    <row r="164772" s="12" customFormat="1" x14ac:dyDescent="0.25"/>
    <row r="164773" s="12" customFormat="1" x14ac:dyDescent="0.25"/>
    <row r="164774" s="12" customFormat="1" x14ac:dyDescent="0.25"/>
    <row r="164775" s="12" customFormat="1" x14ac:dyDescent="0.25"/>
    <row r="164776" s="12" customFormat="1" x14ac:dyDescent="0.25"/>
    <row r="164777" s="12" customFormat="1" x14ac:dyDescent="0.25"/>
    <row r="164778" s="12" customFormat="1" x14ac:dyDescent="0.25"/>
    <row r="164779" s="12" customFormat="1" x14ac:dyDescent="0.25"/>
    <row r="164780" s="12" customFormat="1" x14ac:dyDescent="0.25"/>
    <row r="164781" s="12" customFormat="1" x14ac:dyDescent="0.25"/>
    <row r="164782" s="12" customFormat="1" x14ac:dyDescent="0.25"/>
    <row r="164783" s="12" customFormat="1" x14ac:dyDescent="0.25"/>
    <row r="164784" s="12" customFormat="1" x14ac:dyDescent="0.25"/>
    <row r="164785" s="12" customFormat="1" x14ac:dyDescent="0.25"/>
    <row r="164786" s="12" customFormat="1" x14ac:dyDescent="0.25"/>
    <row r="164787" s="12" customFormat="1" x14ac:dyDescent="0.25"/>
    <row r="164788" s="12" customFormat="1" x14ac:dyDescent="0.25"/>
    <row r="164789" s="12" customFormat="1" x14ac:dyDescent="0.25"/>
    <row r="164790" s="12" customFormat="1" x14ac:dyDescent="0.25"/>
    <row r="164791" s="12" customFormat="1" x14ac:dyDescent="0.25"/>
    <row r="164792" s="12" customFormat="1" x14ac:dyDescent="0.25"/>
    <row r="164793" s="12" customFormat="1" x14ac:dyDescent="0.25"/>
    <row r="164794" s="12" customFormat="1" x14ac:dyDescent="0.25"/>
    <row r="164795" s="12" customFormat="1" x14ac:dyDescent="0.25"/>
    <row r="164796" s="12" customFormat="1" x14ac:dyDescent="0.25"/>
    <row r="164797" s="12" customFormat="1" x14ac:dyDescent="0.25"/>
    <row r="164798" s="12" customFormat="1" x14ac:dyDescent="0.25"/>
    <row r="164799" s="12" customFormat="1" x14ac:dyDescent="0.25"/>
    <row r="164800" s="12" customFormat="1" x14ac:dyDescent="0.25"/>
    <row r="164801" s="12" customFormat="1" x14ac:dyDescent="0.25"/>
    <row r="164802" s="12" customFormat="1" x14ac:dyDescent="0.25"/>
    <row r="164803" s="12" customFormat="1" x14ac:dyDescent="0.25"/>
    <row r="164804" s="12" customFormat="1" x14ac:dyDescent="0.25"/>
    <row r="164805" s="12" customFormat="1" x14ac:dyDescent="0.25"/>
    <row r="164806" s="12" customFormat="1" x14ac:dyDescent="0.25"/>
    <row r="164807" s="12" customFormat="1" x14ac:dyDescent="0.25"/>
    <row r="164808" s="12" customFormat="1" x14ac:dyDescent="0.25"/>
    <row r="164809" s="12" customFormat="1" x14ac:dyDescent="0.25"/>
    <row r="164810" s="12" customFormat="1" x14ac:dyDescent="0.25"/>
    <row r="164811" s="12" customFormat="1" x14ac:dyDescent="0.25"/>
    <row r="164812" s="12" customFormat="1" x14ac:dyDescent="0.25"/>
    <row r="164813" s="12" customFormat="1" x14ac:dyDescent="0.25"/>
    <row r="164814" s="12" customFormat="1" x14ac:dyDescent="0.25"/>
    <row r="164815" s="12" customFormat="1" x14ac:dyDescent="0.25"/>
    <row r="164816" s="12" customFormat="1" x14ac:dyDescent="0.25"/>
    <row r="164817" s="12" customFormat="1" x14ac:dyDescent="0.25"/>
    <row r="164818" s="12" customFormat="1" x14ac:dyDescent="0.25"/>
    <row r="164819" s="12" customFormat="1" x14ac:dyDescent="0.25"/>
    <row r="164820" s="12" customFormat="1" x14ac:dyDescent="0.25"/>
    <row r="164821" s="12" customFormat="1" x14ac:dyDescent="0.25"/>
    <row r="164822" s="12" customFormat="1" x14ac:dyDescent="0.25"/>
    <row r="164823" s="12" customFormat="1" x14ac:dyDescent="0.25"/>
    <row r="164824" s="12" customFormat="1" x14ac:dyDescent="0.25"/>
    <row r="164825" s="12" customFormat="1" x14ac:dyDescent="0.25"/>
    <row r="164826" s="12" customFormat="1" x14ac:dyDescent="0.25"/>
    <row r="164827" s="12" customFormat="1" x14ac:dyDescent="0.25"/>
    <row r="164828" s="12" customFormat="1" x14ac:dyDescent="0.25"/>
    <row r="164829" s="12" customFormat="1" x14ac:dyDescent="0.25"/>
    <row r="164830" s="12" customFormat="1" x14ac:dyDescent="0.25"/>
    <row r="164831" s="12" customFormat="1" x14ac:dyDescent="0.25"/>
    <row r="164832" s="12" customFormat="1" x14ac:dyDescent="0.25"/>
    <row r="164833" s="12" customFormat="1" x14ac:dyDescent="0.25"/>
    <row r="164834" s="12" customFormat="1" x14ac:dyDescent="0.25"/>
    <row r="164835" s="12" customFormat="1" x14ac:dyDescent="0.25"/>
    <row r="164836" s="12" customFormat="1" x14ac:dyDescent="0.25"/>
    <row r="164837" s="12" customFormat="1" x14ac:dyDescent="0.25"/>
    <row r="164838" s="12" customFormat="1" x14ac:dyDescent="0.25"/>
    <row r="164839" s="12" customFormat="1" x14ac:dyDescent="0.25"/>
    <row r="164840" s="12" customFormat="1" x14ac:dyDescent="0.25"/>
    <row r="164841" s="12" customFormat="1" x14ac:dyDescent="0.25"/>
    <row r="164842" s="12" customFormat="1" x14ac:dyDescent="0.25"/>
    <row r="164843" s="12" customFormat="1" x14ac:dyDescent="0.25"/>
    <row r="164844" s="12" customFormat="1" x14ac:dyDescent="0.25"/>
    <row r="164845" s="12" customFormat="1" x14ac:dyDescent="0.25"/>
    <row r="164846" s="12" customFormat="1" x14ac:dyDescent="0.25"/>
    <row r="164847" s="12" customFormat="1" x14ac:dyDescent="0.25"/>
    <row r="164848" s="12" customFormat="1" x14ac:dyDescent="0.25"/>
    <row r="164849" s="12" customFormat="1" x14ac:dyDescent="0.25"/>
    <row r="164850" s="12" customFormat="1" x14ac:dyDescent="0.25"/>
    <row r="164851" s="12" customFormat="1" x14ac:dyDescent="0.25"/>
    <row r="164852" s="12" customFormat="1" x14ac:dyDescent="0.25"/>
    <row r="164853" s="12" customFormat="1" x14ac:dyDescent="0.25"/>
    <row r="164854" s="12" customFormat="1" x14ac:dyDescent="0.25"/>
    <row r="164855" s="12" customFormat="1" x14ac:dyDescent="0.25"/>
    <row r="164856" s="12" customFormat="1" x14ac:dyDescent="0.25"/>
    <row r="164857" s="12" customFormat="1" x14ac:dyDescent="0.25"/>
    <row r="164858" s="12" customFormat="1" x14ac:dyDescent="0.25"/>
    <row r="164859" s="12" customFormat="1" x14ac:dyDescent="0.25"/>
    <row r="164860" s="12" customFormat="1" x14ac:dyDescent="0.25"/>
    <row r="164861" s="12" customFormat="1" x14ac:dyDescent="0.25"/>
    <row r="164862" s="12" customFormat="1" x14ac:dyDescent="0.25"/>
    <row r="164863" s="12" customFormat="1" x14ac:dyDescent="0.25"/>
    <row r="164864" s="12" customFormat="1" x14ac:dyDescent="0.25"/>
    <row r="164865" s="12" customFormat="1" x14ac:dyDescent="0.25"/>
    <row r="164866" s="12" customFormat="1" x14ac:dyDescent="0.25"/>
    <row r="164867" s="12" customFormat="1" x14ac:dyDescent="0.25"/>
    <row r="164868" s="12" customFormat="1" x14ac:dyDescent="0.25"/>
    <row r="164869" s="12" customFormat="1" x14ac:dyDescent="0.25"/>
    <row r="164870" s="12" customFormat="1" x14ac:dyDescent="0.25"/>
    <row r="164871" s="12" customFormat="1" x14ac:dyDescent="0.25"/>
    <row r="164872" s="12" customFormat="1" x14ac:dyDescent="0.25"/>
    <row r="164873" s="12" customFormat="1" x14ac:dyDescent="0.25"/>
    <row r="164874" s="12" customFormat="1" x14ac:dyDescent="0.25"/>
    <row r="164875" s="12" customFormat="1" x14ac:dyDescent="0.25"/>
    <row r="164876" s="12" customFormat="1" x14ac:dyDescent="0.25"/>
    <row r="164877" s="12" customFormat="1" x14ac:dyDescent="0.25"/>
    <row r="164878" s="12" customFormat="1" x14ac:dyDescent="0.25"/>
    <row r="164879" s="12" customFormat="1" x14ac:dyDescent="0.25"/>
    <row r="164880" s="12" customFormat="1" x14ac:dyDescent="0.25"/>
    <row r="164881" s="12" customFormat="1" x14ac:dyDescent="0.25"/>
    <row r="164882" s="12" customFormat="1" x14ac:dyDescent="0.25"/>
    <row r="164883" s="12" customFormat="1" x14ac:dyDescent="0.25"/>
    <row r="164884" s="12" customFormat="1" x14ac:dyDescent="0.25"/>
    <row r="164885" s="12" customFormat="1" x14ac:dyDescent="0.25"/>
    <row r="164886" s="12" customFormat="1" x14ac:dyDescent="0.25"/>
    <row r="164887" s="12" customFormat="1" x14ac:dyDescent="0.25"/>
    <row r="164888" s="12" customFormat="1" x14ac:dyDescent="0.25"/>
    <row r="164889" s="12" customFormat="1" x14ac:dyDescent="0.25"/>
    <row r="164890" s="12" customFormat="1" x14ac:dyDescent="0.25"/>
    <row r="164891" s="12" customFormat="1" x14ac:dyDescent="0.25"/>
    <row r="164892" s="12" customFormat="1" x14ac:dyDescent="0.25"/>
    <row r="164893" s="12" customFormat="1" x14ac:dyDescent="0.25"/>
    <row r="164894" s="12" customFormat="1" x14ac:dyDescent="0.25"/>
    <row r="164895" s="12" customFormat="1" x14ac:dyDescent="0.25"/>
    <row r="164896" s="12" customFormat="1" x14ac:dyDescent="0.25"/>
    <row r="164897" s="12" customFormat="1" x14ac:dyDescent="0.25"/>
    <row r="164898" s="12" customFormat="1" x14ac:dyDescent="0.25"/>
    <row r="164899" s="12" customFormat="1" x14ac:dyDescent="0.25"/>
    <row r="164900" s="12" customFormat="1" x14ac:dyDescent="0.25"/>
    <row r="164901" s="12" customFormat="1" x14ac:dyDescent="0.25"/>
    <row r="164902" s="12" customFormat="1" x14ac:dyDescent="0.25"/>
    <row r="164903" s="12" customFormat="1" x14ac:dyDescent="0.25"/>
    <row r="164904" s="12" customFormat="1" x14ac:dyDescent="0.25"/>
    <row r="164905" s="12" customFormat="1" x14ac:dyDescent="0.25"/>
    <row r="164906" s="12" customFormat="1" x14ac:dyDescent="0.25"/>
    <row r="164907" s="12" customFormat="1" x14ac:dyDescent="0.25"/>
    <row r="164908" s="12" customFormat="1" x14ac:dyDescent="0.25"/>
    <row r="164909" s="12" customFormat="1" x14ac:dyDescent="0.25"/>
    <row r="164910" s="12" customFormat="1" x14ac:dyDescent="0.25"/>
    <row r="164911" s="12" customFormat="1" x14ac:dyDescent="0.25"/>
    <row r="164912" s="12" customFormat="1" x14ac:dyDescent="0.25"/>
    <row r="164913" s="12" customFormat="1" x14ac:dyDescent="0.25"/>
    <row r="164914" s="12" customFormat="1" x14ac:dyDescent="0.25"/>
    <row r="164915" s="12" customFormat="1" x14ac:dyDescent="0.25"/>
    <row r="164916" s="12" customFormat="1" x14ac:dyDescent="0.25"/>
    <row r="164917" s="12" customFormat="1" x14ac:dyDescent="0.25"/>
    <row r="164918" s="12" customFormat="1" x14ac:dyDescent="0.25"/>
    <row r="164919" s="12" customFormat="1" x14ac:dyDescent="0.25"/>
    <row r="164920" s="12" customFormat="1" x14ac:dyDescent="0.25"/>
    <row r="164921" s="12" customFormat="1" x14ac:dyDescent="0.25"/>
    <row r="164922" s="12" customFormat="1" x14ac:dyDescent="0.25"/>
    <row r="164923" s="12" customFormat="1" x14ac:dyDescent="0.25"/>
    <row r="164924" s="12" customFormat="1" x14ac:dyDescent="0.25"/>
    <row r="164925" s="12" customFormat="1" x14ac:dyDescent="0.25"/>
    <row r="164926" s="12" customFormat="1" x14ac:dyDescent="0.25"/>
    <row r="164927" s="12" customFormat="1" x14ac:dyDescent="0.25"/>
    <row r="164928" s="12" customFormat="1" x14ac:dyDescent="0.25"/>
    <row r="164929" s="12" customFormat="1" x14ac:dyDescent="0.25"/>
    <row r="164930" s="12" customFormat="1" x14ac:dyDescent="0.25"/>
    <row r="164931" s="12" customFormat="1" x14ac:dyDescent="0.25"/>
    <row r="164932" s="12" customFormat="1" x14ac:dyDescent="0.25"/>
    <row r="164933" s="12" customFormat="1" x14ac:dyDescent="0.25"/>
    <row r="164934" s="12" customFormat="1" x14ac:dyDescent="0.25"/>
    <row r="164935" s="12" customFormat="1" x14ac:dyDescent="0.25"/>
    <row r="164936" s="12" customFormat="1" x14ac:dyDescent="0.25"/>
    <row r="164937" s="12" customFormat="1" x14ac:dyDescent="0.25"/>
    <row r="164938" s="12" customFormat="1" x14ac:dyDescent="0.25"/>
    <row r="164939" s="12" customFormat="1" x14ac:dyDescent="0.25"/>
    <row r="164940" s="12" customFormat="1" x14ac:dyDescent="0.25"/>
    <row r="164941" s="12" customFormat="1" x14ac:dyDescent="0.25"/>
    <row r="164942" s="12" customFormat="1" x14ac:dyDescent="0.25"/>
    <row r="164943" s="12" customFormat="1" x14ac:dyDescent="0.25"/>
    <row r="164944" s="12" customFormat="1" x14ac:dyDescent="0.25"/>
    <row r="164945" s="12" customFormat="1" x14ac:dyDescent="0.25"/>
    <row r="164946" s="12" customFormat="1" x14ac:dyDescent="0.25"/>
    <row r="164947" s="12" customFormat="1" x14ac:dyDescent="0.25"/>
    <row r="164948" s="12" customFormat="1" x14ac:dyDescent="0.25"/>
    <row r="164949" s="12" customFormat="1" x14ac:dyDescent="0.25"/>
    <row r="164950" s="12" customFormat="1" x14ac:dyDescent="0.25"/>
    <row r="164951" s="12" customFormat="1" x14ac:dyDescent="0.25"/>
    <row r="164952" s="12" customFormat="1" x14ac:dyDescent="0.25"/>
    <row r="164953" s="12" customFormat="1" x14ac:dyDescent="0.25"/>
    <row r="164954" s="12" customFormat="1" x14ac:dyDescent="0.25"/>
    <row r="164955" s="12" customFormat="1" x14ac:dyDescent="0.25"/>
    <row r="164956" s="12" customFormat="1" x14ac:dyDescent="0.25"/>
    <row r="164957" s="12" customFormat="1" x14ac:dyDescent="0.25"/>
    <row r="164958" s="12" customFormat="1" x14ac:dyDescent="0.25"/>
    <row r="164959" s="12" customFormat="1" x14ac:dyDescent="0.25"/>
    <row r="164960" s="12" customFormat="1" x14ac:dyDescent="0.25"/>
    <row r="164961" s="12" customFormat="1" x14ac:dyDescent="0.25"/>
    <row r="164962" s="12" customFormat="1" x14ac:dyDescent="0.25"/>
    <row r="164963" s="12" customFormat="1" x14ac:dyDescent="0.25"/>
    <row r="164964" s="12" customFormat="1" x14ac:dyDescent="0.25"/>
    <row r="164965" s="12" customFormat="1" x14ac:dyDescent="0.25"/>
    <row r="164966" s="12" customFormat="1" x14ac:dyDescent="0.25"/>
    <row r="164967" s="12" customFormat="1" x14ac:dyDescent="0.25"/>
    <row r="164968" s="12" customFormat="1" x14ac:dyDescent="0.25"/>
    <row r="164969" s="12" customFormat="1" x14ac:dyDescent="0.25"/>
    <row r="164970" s="12" customFormat="1" x14ac:dyDescent="0.25"/>
    <row r="164971" s="12" customFormat="1" x14ac:dyDescent="0.25"/>
    <row r="164972" s="12" customFormat="1" x14ac:dyDescent="0.25"/>
    <row r="164973" s="12" customFormat="1" x14ac:dyDescent="0.25"/>
    <row r="164974" s="12" customFormat="1" x14ac:dyDescent="0.25"/>
    <row r="164975" s="12" customFormat="1" x14ac:dyDescent="0.25"/>
    <row r="164976" s="12" customFormat="1" x14ac:dyDescent="0.25"/>
    <row r="164977" s="12" customFormat="1" x14ac:dyDescent="0.25"/>
    <row r="164978" s="12" customFormat="1" x14ac:dyDescent="0.25"/>
    <row r="164979" s="12" customFormat="1" x14ac:dyDescent="0.25"/>
    <row r="164980" s="12" customFormat="1" x14ac:dyDescent="0.25"/>
    <row r="164981" s="12" customFormat="1" x14ac:dyDescent="0.25"/>
    <row r="164982" s="12" customFormat="1" x14ac:dyDescent="0.25"/>
    <row r="164983" s="12" customFormat="1" x14ac:dyDescent="0.25"/>
    <row r="164984" s="12" customFormat="1" x14ac:dyDescent="0.25"/>
    <row r="164985" s="12" customFormat="1" x14ac:dyDescent="0.25"/>
    <row r="164986" s="12" customFormat="1" x14ac:dyDescent="0.25"/>
    <row r="164987" s="12" customFormat="1" x14ac:dyDescent="0.25"/>
    <row r="164988" s="12" customFormat="1" x14ac:dyDescent="0.25"/>
    <row r="164989" s="12" customFormat="1" x14ac:dyDescent="0.25"/>
    <row r="164990" s="12" customFormat="1" x14ac:dyDescent="0.25"/>
    <row r="164991" s="12" customFormat="1" x14ac:dyDescent="0.25"/>
    <row r="164992" s="12" customFormat="1" x14ac:dyDescent="0.25"/>
    <row r="164993" s="12" customFormat="1" x14ac:dyDescent="0.25"/>
    <row r="164994" s="12" customFormat="1" x14ac:dyDescent="0.25"/>
    <row r="164995" s="12" customFormat="1" x14ac:dyDescent="0.25"/>
    <row r="164996" s="12" customFormat="1" x14ac:dyDescent="0.25"/>
    <row r="164997" s="12" customFormat="1" x14ac:dyDescent="0.25"/>
    <row r="164998" s="12" customFormat="1" x14ac:dyDescent="0.25"/>
    <row r="164999" s="12" customFormat="1" x14ac:dyDescent="0.25"/>
    <row r="165000" s="12" customFormat="1" x14ac:dyDescent="0.25"/>
    <row r="165001" s="12" customFormat="1" x14ac:dyDescent="0.25"/>
    <row r="165002" s="12" customFormat="1" x14ac:dyDescent="0.25"/>
    <row r="165003" s="12" customFormat="1" x14ac:dyDescent="0.25"/>
    <row r="165004" s="12" customFormat="1" x14ac:dyDescent="0.25"/>
    <row r="165005" s="12" customFormat="1" x14ac:dyDescent="0.25"/>
    <row r="165006" s="12" customFormat="1" x14ac:dyDescent="0.25"/>
    <row r="165007" s="12" customFormat="1" x14ac:dyDescent="0.25"/>
    <row r="165008" s="12" customFormat="1" x14ac:dyDescent="0.25"/>
    <row r="165009" s="12" customFormat="1" x14ac:dyDescent="0.25"/>
    <row r="165010" s="12" customFormat="1" x14ac:dyDescent="0.25"/>
    <row r="165011" s="12" customFormat="1" x14ac:dyDescent="0.25"/>
    <row r="165012" s="12" customFormat="1" x14ac:dyDescent="0.25"/>
    <row r="165013" s="12" customFormat="1" x14ac:dyDescent="0.25"/>
    <row r="165014" s="12" customFormat="1" x14ac:dyDescent="0.25"/>
    <row r="165015" s="12" customFormat="1" x14ac:dyDescent="0.25"/>
    <row r="165016" s="12" customFormat="1" x14ac:dyDescent="0.25"/>
    <row r="165017" s="12" customFormat="1" x14ac:dyDescent="0.25"/>
    <row r="165018" s="12" customFormat="1" x14ac:dyDescent="0.25"/>
    <row r="165019" s="12" customFormat="1" x14ac:dyDescent="0.25"/>
    <row r="165020" s="12" customFormat="1" x14ac:dyDescent="0.25"/>
    <row r="165021" s="12" customFormat="1" x14ac:dyDescent="0.25"/>
    <row r="165022" s="12" customFormat="1" x14ac:dyDescent="0.25"/>
    <row r="165023" s="12" customFormat="1" x14ac:dyDescent="0.25"/>
    <row r="165024" s="12" customFormat="1" x14ac:dyDescent="0.25"/>
    <row r="165025" s="12" customFormat="1" x14ac:dyDescent="0.25"/>
    <row r="165026" s="12" customFormat="1" x14ac:dyDescent="0.25"/>
    <row r="165027" s="12" customFormat="1" x14ac:dyDescent="0.25"/>
    <row r="165028" s="12" customFormat="1" x14ac:dyDescent="0.25"/>
    <row r="165029" s="12" customFormat="1" x14ac:dyDescent="0.25"/>
    <row r="165030" s="12" customFormat="1" x14ac:dyDescent="0.25"/>
    <row r="165031" s="12" customFormat="1" x14ac:dyDescent="0.25"/>
    <row r="165032" s="12" customFormat="1" x14ac:dyDescent="0.25"/>
    <row r="165033" s="12" customFormat="1" x14ac:dyDescent="0.25"/>
    <row r="165034" s="12" customFormat="1" x14ac:dyDescent="0.25"/>
    <row r="165035" s="12" customFormat="1" x14ac:dyDescent="0.25"/>
    <row r="165036" s="12" customFormat="1" x14ac:dyDescent="0.25"/>
    <row r="165037" s="12" customFormat="1" x14ac:dyDescent="0.25"/>
    <row r="165038" s="12" customFormat="1" x14ac:dyDescent="0.25"/>
    <row r="165039" s="12" customFormat="1" x14ac:dyDescent="0.25"/>
    <row r="165040" s="12" customFormat="1" x14ac:dyDescent="0.25"/>
    <row r="165041" s="12" customFormat="1" x14ac:dyDescent="0.25"/>
    <row r="165042" s="12" customFormat="1" x14ac:dyDescent="0.25"/>
    <row r="165043" s="12" customFormat="1" x14ac:dyDescent="0.25"/>
    <row r="165044" s="12" customFormat="1" x14ac:dyDescent="0.25"/>
    <row r="165045" s="12" customFormat="1" x14ac:dyDescent="0.25"/>
    <row r="165046" s="12" customFormat="1" x14ac:dyDescent="0.25"/>
    <row r="165047" s="12" customFormat="1" x14ac:dyDescent="0.25"/>
    <row r="165048" s="12" customFormat="1" x14ac:dyDescent="0.25"/>
    <row r="165049" s="12" customFormat="1" x14ac:dyDescent="0.25"/>
    <row r="165050" s="12" customFormat="1" x14ac:dyDescent="0.25"/>
    <row r="165051" s="12" customFormat="1" x14ac:dyDescent="0.25"/>
    <row r="165052" s="12" customFormat="1" x14ac:dyDescent="0.25"/>
    <row r="165053" s="12" customFormat="1" x14ac:dyDescent="0.25"/>
    <row r="165054" s="12" customFormat="1" x14ac:dyDescent="0.25"/>
    <row r="165055" s="12" customFormat="1" x14ac:dyDescent="0.25"/>
    <row r="165056" s="12" customFormat="1" x14ac:dyDescent="0.25"/>
    <row r="165057" s="12" customFormat="1" x14ac:dyDescent="0.25"/>
    <row r="165058" s="12" customFormat="1" x14ac:dyDescent="0.25"/>
    <row r="165059" s="12" customFormat="1" x14ac:dyDescent="0.25"/>
    <row r="165060" s="12" customFormat="1" x14ac:dyDescent="0.25"/>
    <row r="165061" s="12" customFormat="1" x14ac:dyDescent="0.25"/>
    <row r="165062" s="12" customFormat="1" x14ac:dyDescent="0.25"/>
    <row r="165063" s="12" customFormat="1" x14ac:dyDescent="0.25"/>
    <row r="165064" s="12" customFormat="1" x14ac:dyDescent="0.25"/>
    <row r="165065" s="12" customFormat="1" x14ac:dyDescent="0.25"/>
    <row r="165066" s="12" customFormat="1" x14ac:dyDescent="0.25"/>
    <row r="165067" s="12" customFormat="1" x14ac:dyDescent="0.25"/>
    <row r="165068" s="12" customFormat="1" x14ac:dyDescent="0.25"/>
    <row r="165069" s="12" customFormat="1" x14ac:dyDescent="0.25"/>
    <row r="165070" s="12" customFormat="1" x14ac:dyDescent="0.25"/>
    <row r="165071" s="12" customFormat="1" x14ac:dyDescent="0.25"/>
    <row r="165072" s="12" customFormat="1" x14ac:dyDescent="0.25"/>
    <row r="165073" s="12" customFormat="1" x14ac:dyDescent="0.25"/>
    <row r="165074" s="12" customFormat="1" x14ac:dyDescent="0.25"/>
    <row r="165075" s="12" customFormat="1" x14ac:dyDescent="0.25"/>
    <row r="165076" s="12" customFormat="1" x14ac:dyDescent="0.25"/>
    <row r="165077" s="12" customFormat="1" x14ac:dyDescent="0.25"/>
    <row r="165078" s="12" customFormat="1" x14ac:dyDescent="0.25"/>
    <row r="165079" s="12" customFormat="1" x14ac:dyDescent="0.25"/>
    <row r="165080" s="12" customFormat="1" x14ac:dyDescent="0.25"/>
    <row r="165081" s="12" customFormat="1" x14ac:dyDescent="0.25"/>
    <row r="165082" s="12" customFormat="1" x14ac:dyDescent="0.25"/>
    <row r="165083" s="12" customFormat="1" x14ac:dyDescent="0.25"/>
    <row r="165084" s="12" customFormat="1" x14ac:dyDescent="0.25"/>
    <row r="165085" s="12" customFormat="1" x14ac:dyDescent="0.25"/>
    <row r="165086" s="12" customFormat="1" x14ac:dyDescent="0.25"/>
    <row r="165087" s="12" customFormat="1" x14ac:dyDescent="0.25"/>
    <row r="165088" s="12" customFormat="1" x14ac:dyDescent="0.25"/>
    <row r="165089" s="12" customFormat="1" x14ac:dyDescent="0.25"/>
    <row r="165090" s="12" customFormat="1" x14ac:dyDescent="0.25"/>
    <row r="165091" s="12" customFormat="1" x14ac:dyDescent="0.25"/>
    <row r="165092" s="12" customFormat="1" x14ac:dyDescent="0.25"/>
    <row r="165093" s="12" customFormat="1" x14ac:dyDescent="0.25"/>
    <row r="165094" s="12" customFormat="1" x14ac:dyDescent="0.25"/>
    <row r="165095" s="12" customFormat="1" x14ac:dyDescent="0.25"/>
    <row r="165096" s="12" customFormat="1" x14ac:dyDescent="0.25"/>
    <row r="165097" s="12" customFormat="1" x14ac:dyDescent="0.25"/>
    <row r="165098" s="12" customFormat="1" x14ac:dyDescent="0.25"/>
    <row r="165099" s="12" customFormat="1" x14ac:dyDescent="0.25"/>
    <row r="165100" s="12" customFormat="1" x14ac:dyDescent="0.25"/>
    <row r="165101" s="12" customFormat="1" x14ac:dyDescent="0.25"/>
    <row r="165102" s="12" customFormat="1" x14ac:dyDescent="0.25"/>
    <row r="165103" s="12" customFormat="1" x14ac:dyDescent="0.25"/>
    <row r="165104" s="12" customFormat="1" x14ac:dyDescent="0.25"/>
    <row r="165105" s="12" customFormat="1" x14ac:dyDescent="0.25"/>
    <row r="165106" s="12" customFormat="1" x14ac:dyDescent="0.25"/>
    <row r="165107" s="12" customFormat="1" x14ac:dyDescent="0.25"/>
    <row r="165108" s="12" customFormat="1" x14ac:dyDescent="0.25"/>
    <row r="165109" s="12" customFormat="1" x14ac:dyDescent="0.25"/>
    <row r="165110" s="12" customFormat="1" x14ac:dyDescent="0.25"/>
    <row r="165111" s="12" customFormat="1" x14ac:dyDescent="0.25"/>
    <row r="165112" s="12" customFormat="1" x14ac:dyDescent="0.25"/>
    <row r="165113" s="12" customFormat="1" x14ac:dyDescent="0.25"/>
    <row r="165114" s="12" customFormat="1" x14ac:dyDescent="0.25"/>
    <row r="165115" s="12" customFormat="1" x14ac:dyDescent="0.25"/>
    <row r="165116" s="12" customFormat="1" x14ac:dyDescent="0.25"/>
    <row r="165117" s="12" customFormat="1" x14ac:dyDescent="0.25"/>
    <row r="165118" s="12" customFormat="1" x14ac:dyDescent="0.25"/>
    <row r="165119" s="12" customFormat="1" x14ac:dyDescent="0.25"/>
    <row r="165120" s="12" customFormat="1" x14ac:dyDescent="0.25"/>
    <row r="165121" s="12" customFormat="1" x14ac:dyDescent="0.25"/>
    <row r="165122" s="12" customFormat="1" x14ac:dyDescent="0.25"/>
    <row r="165123" s="12" customFormat="1" x14ac:dyDescent="0.25"/>
    <row r="165124" s="12" customFormat="1" x14ac:dyDescent="0.25"/>
    <row r="165125" s="12" customFormat="1" x14ac:dyDescent="0.25"/>
    <row r="165126" s="12" customFormat="1" x14ac:dyDescent="0.25"/>
    <row r="165127" s="12" customFormat="1" x14ac:dyDescent="0.25"/>
    <row r="165128" s="12" customFormat="1" x14ac:dyDescent="0.25"/>
    <row r="165129" s="12" customFormat="1" x14ac:dyDescent="0.25"/>
    <row r="165130" s="12" customFormat="1" x14ac:dyDescent="0.25"/>
    <row r="165131" s="12" customFormat="1" x14ac:dyDescent="0.25"/>
    <row r="165132" s="12" customFormat="1" x14ac:dyDescent="0.25"/>
    <row r="165133" s="12" customFormat="1" x14ac:dyDescent="0.25"/>
    <row r="165134" s="12" customFormat="1" x14ac:dyDescent="0.25"/>
    <row r="165135" s="12" customFormat="1" x14ac:dyDescent="0.25"/>
    <row r="165136" s="12" customFormat="1" x14ac:dyDescent="0.25"/>
    <row r="165137" s="12" customFormat="1" x14ac:dyDescent="0.25"/>
    <row r="165138" s="12" customFormat="1" x14ac:dyDescent="0.25"/>
    <row r="165139" s="12" customFormat="1" x14ac:dyDescent="0.25"/>
    <row r="165140" s="12" customFormat="1" x14ac:dyDescent="0.25"/>
    <row r="165141" s="12" customFormat="1" x14ac:dyDescent="0.25"/>
    <row r="165142" s="12" customFormat="1" x14ac:dyDescent="0.25"/>
    <row r="165143" s="12" customFormat="1" x14ac:dyDescent="0.25"/>
    <row r="165144" s="12" customFormat="1" x14ac:dyDescent="0.25"/>
    <row r="165145" s="12" customFormat="1" x14ac:dyDescent="0.25"/>
    <row r="165146" s="12" customFormat="1" x14ac:dyDescent="0.25"/>
    <row r="165147" s="12" customFormat="1" x14ac:dyDescent="0.25"/>
    <row r="165148" s="12" customFormat="1" x14ac:dyDescent="0.25"/>
    <row r="165149" s="12" customFormat="1" x14ac:dyDescent="0.25"/>
    <row r="165150" s="12" customFormat="1" x14ac:dyDescent="0.25"/>
    <row r="165151" s="12" customFormat="1" x14ac:dyDescent="0.25"/>
    <row r="165152" s="12" customFormat="1" x14ac:dyDescent="0.25"/>
    <row r="165153" s="12" customFormat="1" x14ac:dyDescent="0.25"/>
    <row r="165154" s="12" customFormat="1" x14ac:dyDescent="0.25"/>
    <row r="165155" s="12" customFormat="1" x14ac:dyDescent="0.25"/>
    <row r="165156" s="12" customFormat="1" x14ac:dyDescent="0.25"/>
    <row r="165157" s="12" customFormat="1" x14ac:dyDescent="0.25"/>
    <row r="165158" s="12" customFormat="1" x14ac:dyDescent="0.25"/>
    <row r="165159" s="12" customFormat="1" x14ac:dyDescent="0.25"/>
    <row r="165160" s="12" customFormat="1" x14ac:dyDescent="0.25"/>
    <row r="165161" s="12" customFormat="1" x14ac:dyDescent="0.25"/>
    <row r="165162" s="12" customFormat="1" x14ac:dyDescent="0.25"/>
    <row r="165163" s="12" customFormat="1" x14ac:dyDescent="0.25"/>
    <row r="165164" s="12" customFormat="1" x14ac:dyDescent="0.25"/>
    <row r="165165" s="12" customFormat="1" x14ac:dyDescent="0.25"/>
    <row r="165166" s="12" customFormat="1" x14ac:dyDescent="0.25"/>
    <row r="165167" s="12" customFormat="1" x14ac:dyDescent="0.25"/>
    <row r="165168" s="12" customFormat="1" x14ac:dyDescent="0.25"/>
    <row r="165169" s="12" customFormat="1" x14ac:dyDescent="0.25"/>
    <row r="165170" s="12" customFormat="1" x14ac:dyDescent="0.25"/>
    <row r="165171" s="12" customFormat="1" x14ac:dyDescent="0.25"/>
    <row r="165172" s="12" customFormat="1" x14ac:dyDescent="0.25"/>
    <row r="165173" s="12" customFormat="1" x14ac:dyDescent="0.25"/>
    <row r="165174" s="12" customFormat="1" x14ac:dyDescent="0.25"/>
    <row r="165175" s="12" customFormat="1" x14ac:dyDescent="0.25"/>
    <row r="165176" s="12" customFormat="1" x14ac:dyDescent="0.25"/>
    <row r="165177" s="12" customFormat="1" x14ac:dyDescent="0.25"/>
    <row r="165178" s="12" customFormat="1" x14ac:dyDescent="0.25"/>
    <row r="165179" s="12" customFormat="1" x14ac:dyDescent="0.25"/>
    <row r="165180" s="12" customFormat="1" x14ac:dyDescent="0.25"/>
    <row r="165181" s="12" customFormat="1" x14ac:dyDescent="0.25"/>
    <row r="165182" s="12" customFormat="1" x14ac:dyDescent="0.25"/>
    <row r="165183" s="12" customFormat="1" x14ac:dyDescent="0.25"/>
    <row r="165184" s="12" customFormat="1" x14ac:dyDescent="0.25"/>
    <row r="165185" s="12" customFormat="1" x14ac:dyDescent="0.25"/>
    <row r="165186" s="12" customFormat="1" x14ac:dyDescent="0.25"/>
    <row r="165187" s="12" customFormat="1" x14ac:dyDescent="0.25"/>
    <row r="165188" s="12" customFormat="1" x14ac:dyDescent="0.25"/>
    <row r="165189" s="12" customFormat="1" x14ac:dyDescent="0.25"/>
    <row r="165190" s="12" customFormat="1" x14ac:dyDescent="0.25"/>
    <row r="165191" s="12" customFormat="1" x14ac:dyDescent="0.25"/>
    <row r="165192" s="12" customFormat="1" x14ac:dyDescent="0.25"/>
    <row r="165193" s="12" customFormat="1" x14ac:dyDescent="0.25"/>
    <row r="165194" s="12" customFormat="1" x14ac:dyDescent="0.25"/>
    <row r="165195" s="12" customFormat="1" x14ac:dyDescent="0.25"/>
    <row r="165196" s="12" customFormat="1" x14ac:dyDescent="0.25"/>
    <row r="165197" s="12" customFormat="1" x14ac:dyDescent="0.25"/>
    <row r="165198" s="12" customFormat="1" x14ac:dyDescent="0.25"/>
    <row r="165199" s="12" customFormat="1" x14ac:dyDescent="0.25"/>
    <row r="165200" s="12" customFormat="1" x14ac:dyDescent="0.25"/>
    <row r="165201" s="12" customFormat="1" x14ac:dyDescent="0.25"/>
    <row r="165202" s="12" customFormat="1" x14ac:dyDescent="0.25"/>
    <row r="165203" s="12" customFormat="1" x14ac:dyDescent="0.25"/>
    <row r="165204" s="12" customFormat="1" x14ac:dyDescent="0.25"/>
    <row r="165205" s="12" customFormat="1" x14ac:dyDescent="0.25"/>
    <row r="165206" s="12" customFormat="1" x14ac:dyDescent="0.25"/>
    <row r="165207" s="12" customFormat="1" x14ac:dyDescent="0.25"/>
    <row r="165208" s="12" customFormat="1" x14ac:dyDescent="0.25"/>
    <row r="165209" s="12" customFormat="1" x14ac:dyDescent="0.25"/>
    <row r="165210" s="12" customFormat="1" x14ac:dyDescent="0.25"/>
    <row r="165211" s="12" customFormat="1" x14ac:dyDescent="0.25"/>
    <row r="165212" s="12" customFormat="1" x14ac:dyDescent="0.25"/>
    <row r="165213" s="12" customFormat="1" x14ac:dyDescent="0.25"/>
    <row r="165214" s="12" customFormat="1" x14ac:dyDescent="0.25"/>
    <row r="165215" s="12" customFormat="1" x14ac:dyDescent="0.25"/>
    <row r="165216" s="12" customFormat="1" x14ac:dyDescent="0.25"/>
    <row r="165217" s="12" customFormat="1" x14ac:dyDescent="0.25"/>
    <row r="165218" s="12" customFormat="1" x14ac:dyDescent="0.25"/>
    <row r="165219" s="12" customFormat="1" x14ac:dyDescent="0.25"/>
    <row r="165220" s="12" customFormat="1" x14ac:dyDescent="0.25"/>
    <row r="165221" s="12" customFormat="1" x14ac:dyDescent="0.25"/>
    <row r="165222" s="12" customFormat="1" x14ac:dyDescent="0.25"/>
    <row r="165223" s="12" customFormat="1" x14ac:dyDescent="0.25"/>
    <row r="165224" s="12" customFormat="1" x14ac:dyDescent="0.25"/>
    <row r="165225" s="12" customFormat="1" x14ac:dyDescent="0.25"/>
    <row r="165226" s="12" customFormat="1" x14ac:dyDescent="0.25"/>
    <row r="165227" s="12" customFormat="1" x14ac:dyDescent="0.25"/>
    <row r="165228" s="12" customFormat="1" x14ac:dyDescent="0.25"/>
    <row r="165229" s="12" customFormat="1" x14ac:dyDescent="0.25"/>
    <row r="165230" s="12" customFormat="1" x14ac:dyDescent="0.25"/>
    <row r="165231" s="12" customFormat="1" x14ac:dyDescent="0.25"/>
    <row r="165232" s="12" customFormat="1" x14ac:dyDescent="0.25"/>
    <row r="165233" s="12" customFormat="1" x14ac:dyDescent="0.25"/>
    <row r="165234" s="12" customFormat="1" x14ac:dyDescent="0.25"/>
    <row r="165235" s="12" customFormat="1" x14ac:dyDescent="0.25"/>
    <row r="165236" s="12" customFormat="1" x14ac:dyDescent="0.25"/>
    <row r="165237" s="12" customFormat="1" x14ac:dyDescent="0.25"/>
    <row r="165238" s="12" customFormat="1" x14ac:dyDescent="0.25"/>
    <row r="165239" s="12" customFormat="1" x14ac:dyDescent="0.25"/>
    <row r="165240" s="12" customFormat="1" x14ac:dyDescent="0.25"/>
    <row r="165241" s="12" customFormat="1" x14ac:dyDescent="0.25"/>
    <row r="165242" s="12" customFormat="1" x14ac:dyDescent="0.25"/>
    <row r="165243" s="12" customFormat="1" x14ac:dyDescent="0.25"/>
    <row r="165244" s="12" customFormat="1" x14ac:dyDescent="0.25"/>
    <row r="165245" s="12" customFormat="1" x14ac:dyDescent="0.25"/>
    <row r="165246" s="12" customFormat="1" x14ac:dyDescent="0.25"/>
    <row r="165247" s="12" customFormat="1" x14ac:dyDescent="0.25"/>
    <row r="165248" s="12" customFormat="1" x14ac:dyDescent="0.25"/>
    <row r="165249" s="12" customFormat="1" x14ac:dyDescent="0.25"/>
    <row r="165250" s="12" customFormat="1" x14ac:dyDescent="0.25"/>
    <row r="165251" s="12" customFormat="1" x14ac:dyDescent="0.25"/>
    <row r="165252" s="12" customFormat="1" x14ac:dyDescent="0.25"/>
    <row r="165253" s="12" customFormat="1" x14ac:dyDescent="0.25"/>
    <row r="165254" s="12" customFormat="1" x14ac:dyDescent="0.25"/>
    <row r="165255" s="12" customFormat="1" x14ac:dyDescent="0.25"/>
    <row r="165256" s="12" customFormat="1" x14ac:dyDescent="0.25"/>
    <row r="165257" s="12" customFormat="1" x14ac:dyDescent="0.25"/>
    <row r="165258" s="12" customFormat="1" x14ac:dyDescent="0.25"/>
    <row r="165259" s="12" customFormat="1" x14ac:dyDescent="0.25"/>
    <row r="165260" s="12" customFormat="1" x14ac:dyDescent="0.25"/>
    <row r="165261" s="12" customFormat="1" x14ac:dyDescent="0.25"/>
    <row r="165262" s="12" customFormat="1" x14ac:dyDescent="0.25"/>
    <row r="165263" s="12" customFormat="1" x14ac:dyDescent="0.25"/>
    <row r="165264" s="12" customFormat="1" x14ac:dyDescent="0.25"/>
    <row r="165265" s="12" customFormat="1" x14ac:dyDescent="0.25"/>
    <row r="165266" s="12" customFormat="1" x14ac:dyDescent="0.25"/>
    <row r="165267" s="12" customFormat="1" x14ac:dyDescent="0.25"/>
    <row r="165268" s="12" customFormat="1" x14ac:dyDescent="0.25"/>
    <row r="165269" s="12" customFormat="1" x14ac:dyDescent="0.25"/>
    <row r="165270" s="12" customFormat="1" x14ac:dyDescent="0.25"/>
    <row r="165271" s="12" customFormat="1" x14ac:dyDescent="0.25"/>
    <row r="165272" s="12" customFormat="1" x14ac:dyDescent="0.25"/>
    <row r="165273" s="12" customFormat="1" x14ac:dyDescent="0.25"/>
    <row r="165274" s="12" customFormat="1" x14ac:dyDescent="0.25"/>
    <row r="165275" s="12" customFormat="1" x14ac:dyDescent="0.25"/>
    <row r="165276" s="12" customFormat="1" x14ac:dyDescent="0.25"/>
    <row r="165277" s="12" customFormat="1" x14ac:dyDescent="0.25"/>
    <row r="165278" s="12" customFormat="1" x14ac:dyDescent="0.25"/>
    <row r="165279" s="12" customFormat="1" x14ac:dyDescent="0.25"/>
    <row r="165280" s="12" customFormat="1" x14ac:dyDescent="0.25"/>
    <row r="165281" s="12" customFormat="1" x14ac:dyDescent="0.25"/>
    <row r="165282" s="12" customFormat="1" x14ac:dyDescent="0.25"/>
    <row r="165283" s="12" customFormat="1" x14ac:dyDescent="0.25"/>
    <row r="165284" s="12" customFormat="1" x14ac:dyDescent="0.25"/>
    <row r="165285" s="12" customFormat="1" x14ac:dyDescent="0.25"/>
    <row r="165286" s="12" customFormat="1" x14ac:dyDescent="0.25"/>
    <row r="165287" s="12" customFormat="1" x14ac:dyDescent="0.25"/>
    <row r="165288" s="12" customFormat="1" x14ac:dyDescent="0.25"/>
    <row r="165289" s="12" customFormat="1" x14ac:dyDescent="0.25"/>
    <row r="165290" s="12" customFormat="1" x14ac:dyDescent="0.25"/>
    <row r="165291" s="12" customFormat="1" x14ac:dyDescent="0.25"/>
    <row r="165292" s="12" customFormat="1" x14ac:dyDescent="0.25"/>
    <row r="165293" s="12" customFormat="1" x14ac:dyDescent="0.25"/>
    <row r="165294" s="12" customFormat="1" x14ac:dyDescent="0.25"/>
    <row r="165295" s="12" customFormat="1" x14ac:dyDescent="0.25"/>
    <row r="165296" s="12" customFormat="1" x14ac:dyDescent="0.25"/>
    <row r="165297" s="12" customFormat="1" x14ac:dyDescent="0.25"/>
    <row r="165298" s="12" customFormat="1" x14ac:dyDescent="0.25"/>
    <row r="165299" s="12" customFormat="1" x14ac:dyDescent="0.25"/>
    <row r="165300" s="12" customFormat="1" x14ac:dyDescent="0.25"/>
    <row r="165301" s="12" customFormat="1" x14ac:dyDescent="0.25"/>
    <row r="165302" s="12" customFormat="1" x14ac:dyDescent="0.25"/>
    <row r="165303" s="12" customFormat="1" x14ac:dyDescent="0.25"/>
    <row r="165304" s="12" customFormat="1" x14ac:dyDescent="0.25"/>
    <row r="165305" s="12" customFormat="1" x14ac:dyDescent="0.25"/>
    <row r="165306" s="12" customFormat="1" x14ac:dyDescent="0.25"/>
    <row r="165307" s="12" customFormat="1" x14ac:dyDescent="0.25"/>
    <row r="165308" s="12" customFormat="1" x14ac:dyDescent="0.25"/>
    <row r="165309" s="12" customFormat="1" x14ac:dyDescent="0.25"/>
    <row r="165310" s="12" customFormat="1" x14ac:dyDescent="0.25"/>
    <row r="165311" s="12" customFormat="1" x14ac:dyDescent="0.25"/>
    <row r="165312" s="12" customFormat="1" x14ac:dyDescent="0.25"/>
    <row r="165313" s="12" customFormat="1" x14ac:dyDescent="0.25"/>
    <row r="165314" s="12" customFormat="1" x14ac:dyDescent="0.25"/>
    <row r="165315" s="12" customFormat="1" x14ac:dyDescent="0.25"/>
    <row r="165316" s="12" customFormat="1" x14ac:dyDescent="0.25"/>
    <row r="165317" s="12" customFormat="1" x14ac:dyDescent="0.25"/>
    <row r="165318" s="12" customFormat="1" x14ac:dyDescent="0.25"/>
    <row r="165319" s="12" customFormat="1" x14ac:dyDescent="0.25"/>
    <row r="165320" s="12" customFormat="1" x14ac:dyDescent="0.25"/>
    <row r="165321" s="12" customFormat="1" x14ac:dyDescent="0.25"/>
    <row r="165322" s="12" customFormat="1" x14ac:dyDescent="0.25"/>
    <row r="165323" s="12" customFormat="1" x14ac:dyDescent="0.25"/>
    <row r="165324" s="12" customFormat="1" x14ac:dyDescent="0.25"/>
    <row r="165325" s="12" customFormat="1" x14ac:dyDescent="0.25"/>
    <row r="165326" s="12" customFormat="1" x14ac:dyDescent="0.25"/>
    <row r="165327" s="12" customFormat="1" x14ac:dyDescent="0.25"/>
    <row r="165328" s="12" customFormat="1" x14ac:dyDescent="0.25"/>
    <row r="165329" s="12" customFormat="1" x14ac:dyDescent="0.25"/>
    <row r="165330" s="12" customFormat="1" x14ac:dyDescent="0.25"/>
    <row r="165331" s="12" customFormat="1" x14ac:dyDescent="0.25"/>
    <row r="165332" s="12" customFormat="1" x14ac:dyDescent="0.25"/>
    <row r="165333" s="12" customFormat="1" x14ac:dyDescent="0.25"/>
    <row r="165334" s="12" customFormat="1" x14ac:dyDescent="0.25"/>
    <row r="165335" s="12" customFormat="1" x14ac:dyDescent="0.25"/>
    <row r="165336" s="12" customFormat="1" x14ac:dyDescent="0.25"/>
    <row r="165337" s="12" customFormat="1" x14ac:dyDescent="0.25"/>
    <row r="165338" s="12" customFormat="1" x14ac:dyDescent="0.25"/>
    <row r="165339" s="12" customFormat="1" x14ac:dyDescent="0.25"/>
    <row r="165340" s="12" customFormat="1" x14ac:dyDescent="0.25"/>
    <row r="165341" s="12" customFormat="1" x14ac:dyDescent="0.25"/>
    <row r="165342" s="12" customFormat="1" x14ac:dyDescent="0.25"/>
    <row r="165343" s="12" customFormat="1" x14ac:dyDescent="0.25"/>
    <row r="165344" s="12" customFormat="1" x14ac:dyDescent="0.25"/>
    <row r="165345" s="12" customFormat="1" x14ac:dyDescent="0.25"/>
    <row r="165346" s="12" customFormat="1" x14ac:dyDescent="0.25"/>
    <row r="165347" s="12" customFormat="1" x14ac:dyDescent="0.25"/>
    <row r="165348" s="12" customFormat="1" x14ac:dyDescent="0.25"/>
    <row r="165349" s="12" customFormat="1" x14ac:dyDescent="0.25"/>
    <row r="165350" s="12" customFormat="1" x14ac:dyDescent="0.25"/>
    <row r="165351" s="12" customFormat="1" x14ac:dyDescent="0.25"/>
    <row r="165352" s="12" customFormat="1" x14ac:dyDescent="0.25"/>
    <row r="165353" s="12" customFormat="1" x14ac:dyDescent="0.25"/>
    <row r="165354" s="12" customFormat="1" x14ac:dyDescent="0.25"/>
    <row r="165355" s="12" customFormat="1" x14ac:dyDescent="0.25"/>
    <row r="165356" s="12" customFormat="1" x14ac:dyDescent="0.25"/>
    <row r="165357" s="12" customFormat="1" x14ac:dyDescent="0.25"/>
    <row r="165358" s="12" customFormat="1" x14ac:dyDescent="0.25"/>
    <row r="165359" s="12" customFormat="1" x14ac:dyDescent="0.25"/>
    <row r="165360" s="12" customFormat="1" x14ac:dyDescent="0.25"/>
    <row r="165361" s="12" customFormat="1" x14ac:dyDescent="0.25"/>
    <row r="165362" s="12" customFormat="1" x14ac:dyDescent="0.25"/>
    <row r="165363" s="12" customFormat="1" x14ac:dyDescent="0.25"/>
    <row r="165364" s="12" customFormat="1" x14ac:dyDescent="0.25"/>
    <row r="165365" s="12" customFormat="1" x14ac:dyDescent="0.25"/>
    <row r="165366" s="12" customFormat="1" x14ac:dyDescent="0.25"/>
    <row r="165367" s="12" customFormat="1" x14ac:dyDescent="0.25"/>
    <row r="165368" s="12" customFormat="1" x14ac:dyDescent="0.25"/>
    <row r="165369" s="12" customFormat="1" x14ac:dyDescent="0.25"/>
    <row r="165370" s="12" customFormat="1" x14ac:dyDescent="0.25"/>
    <row r="165371" s="12" customFormat="1" x14ac:dyDescent="0.25"/>
    <row r="165372" s="12" customFormat="1" x14ac:dyDescent="0.25"/>
    <row r="165373" s="12" customFormat="1" x14ac:dyDescent="0.25"/>
    <row r="165374" s="12" customFormat="1" x14ac:dyDescent="0.25"/>
    <row r="165375" s="12" customFormat="1" x14ac:dyDescent="0.25"/>
    <row r="165376" s="12" customFormat="1" x14ac:dyDescent="0.25"/>
    <row r="165377" s="12" customFormat="1" x14ac:dyDescent="0.25"/>
    <row r="165378" s="12" customFormat="1" x14ac:dyDescent="0.25"/>
    <row r="165379" s="12" customFormat="1" x14ac:dyDescent="0.25"/>
    <row r="165380" s="12" customFormat="1" x14ac:dyDescent="0.25"/>
    <row r="165381" s="12" customFormat="1" x14ac:dyDescent="0.25"/>
    <row r="165382" s="12" customFormat="1" x14ac:dyDescent="0.25"/>
    <row r="165383" s="12" customFormat="1" x14ac:dyDescent="0.25"/>
    <row r="165384" s="12" customFormat="1" x14ac:dyDescent="0.25"/>
    <row r="165385" s="12" customFormat="1" x14ac:dyDescent="0.25"/>
    <row r="165386" s="12" customFormat="1" x14ac:dyDescent="0.25"/>
    <row r="165387" s="12" customFormat="1" x14ac:dyDescent="0.25"/>
    <row r="165388" s="12" customFormat="1" x14ac:dyDescent="0.25"/>
    <row r="165389" s="12" customFormat="1" x14ac:dyDescent="0.25"/>
    <row r="165390" s="12" customFormat="1" x14ac:dyDescent="0.25"/>
    <row r="165391" s="12" customFormat="1" x14ac:dyDescent="0.25"/>
    <row r="165392" s="12" customFormat="1" x14ac:dyDescent="0.25"/>
    <row r="165393" s="12" customFormat="1" x14ac:dyDescent="0.25"/>
    <row r="165394" s="12" customFormat="1" x14ac:dyDescent="0.25"/>
    <row r="165395" s="12" customFormat="1" x14ac:dyDescent="0.25"/>
    <row r="165396" s="12" customFormat="1" x14ac:dyDescent="0.25"/>
    <row r="165397" s="12" customFormat="1" x14ac:dyDescent="0.25"/>
    <row r="165398" s="12" customFormat="1" x14ac:dyDescent="0.25"/>
    <row r="165399" s="12" customFormat="1" x14ac:dyDescent="0.25"/>
    <row r="165400" s="12" customFormat="1" x14ac:dyDescent="0.25"/>
    <row r="165401" s="12" customFormat="1" x14ac:dyDescent="0.25"/>
    <row r="165402" s="12" customFormat="1" x14ac:dyDescent="0.25"/>
    <row r="165403" s="12" customFormat="1" x14ac:dyDescent="0.25"/>
    <row r="165404" s="12" customFormat="1" x14ac:dyDescent="0.25"/>
    <row r="165405" s="12" customFormat="1" x14ac:dyDescent="0.25"/>
    <row r="165406" s="12" customFormat="1" x14ac:dyDescent="0.25"/>
    <row r="165407" s="12" customFormat="1" x14ac:dyDescent="0.25"/>
    <row r="165408" s="12" customFormat="1" x14ac:dyDescent="0.25"/>
    <row r="165409" s="12" customFormat="1" x14ac:dyDescent="0.25"/>
    <row r="165410" s="12" customFormat="1" x14ac:dyDescent="0.25"/>
    <row r="165411" s="12" customFormat="1" x14ac:dyDescent="0.25"/>
    <row r="165412" s="12" customFormat="1" x14ac:dyDescent="0.25"/>
    <row r="165413" s="12" customFormat="1" x14ac:dyDescent="0.25"/>
    <row r="165414" s="12" customFormat="1" x14ac:dyDescent="0.25"/>
    <row r="165415" s="12" customFormat="1" x14ac:dyDescent="0.25"/>
    <row r="165416" s="12" customFormat="1" x14ac:dyDescent="0.25"/>
    <row r="165417" s="12" customFormat="1" x14ac:dyDescent="0.25"/>
    <row r="165418" s="12" customFormat="1" x14ac:dyDescent="0.25"/>
    <row r="165419" s="12" customFormat="1" x14ac:dyDescent="0.25"/>
    <row r="165420" s="12" customFormat="1" x14ac:dyDescent="0.25"/>
    <row r="165421" s="12" customFormat="1" x14ac:dyDescent="0.25"/>
    <row r="165422" s="12" customFormat="1" x14ac:dyDescent="0.25"/>
    <row r="165423" s="12" customFormat="1" x14ac:dyDescent="0.25"/>
    <row r="165424" s="12" customFormat="1" x14ac:dyDescent="0.25"/>
    <row r="165425" s="12" customFormat="1" x14ac:dyDescent="0.25"/>
    <row r="165426" s="12" customFormat="1" x14ac:dyDescent="0.25"/>
    <row r="165427" s="12" customFormat="1" x14ac:dyDescent="0.25"/>
    <row r="165428" s="12" customFormat="1" x14ac:dyDescent="0.25"/>
    <row r="165429" s="12" customFormat="1" x14ac:dyDescent="0.25"/>
    <row r="165430" s="12" customFormat="1" x14ac:dyDescent="0.25"/>
    <row r="165431" s="12" customFormat="1" x14ac:dyDescent="0.25"/>
    <row r="165432" s="12" customFormat="1" x14ac:dyDescent="0.25"/>
    <row r="165433" s="12" customFormat="1" x14ac:dyDescent="0.25"/>
    <row r="165434" s="12" customFormat="1" x14ac:dyDescent="0.25"/>
    <row r="165435" s="12" customFormat="1" x14ac:dyDescent="0.25"/>
    <row r="165436" s="12" customFormat="1" x14ac:dyDescent="0.25"/>
    <row r="165437" s="12" customFormat="1" x14ac:dyDescent="0.25"/>
    <row r="165438" s="12" customFormat="1" x14ac:dyDescent="0.25"/>
    <row r="165439" s="12" customFormat="1" x14ac:dyDescent="0.25"/>
    <row r="165440" s="12" customFormat="1" x14ac:dyDescent="0.25"/>
    <row r="165441" s="12" customFormat="1" x14ac:dyDescent="0.25"/>
    <row r="165442" s="12" customFormat="1" x14ac:dyDescent="0.25"/>
    <row r="165443" s="12" customFormat="1" x14ac:dyDescent="0.25"/>
    <row r="165444" s="12" customFormat="1" x14ac:dyDescent="0.25"/>
    <row r="165445" s="12" customFormat="1" x14ac:dyDescent="0.25"/>
    <row r="165446" s="12" customFormat="1" x14ac:dyDescent="0.25"/>
    <row r="165447" s="12" customFormat="1" x14ac:dyDescent="0.25"/>
    <row r="165448" s="12" customFormat="1" x14ac:dyDescent="0.25"/>
    <row r="165449" s="12" customFormat="1" x14ac:dyDescent="0.25"/>
    <row r="165450" s="12" customFormat="1" x14ac:dyDescent="0.25"/>
    <row r="165451" s="12" customFormat="1" x14ac:dyDescent="0.25"/>
    <row r="165452" s="12" customFormat="1" x14ac:dyDescent="0.25"/>
    <row r="165453" s="12" customFormat="1" x14ac:dyDescent="0.25"/>
    <row r="165454" s="12" customFormat="1" x14ac:dyDescent="0.25"/>
    <row r="165455" s="12" customFormat="1" x14ac:dyDescent="0.25"/>
    <row r="165456" s="12" customFormat="1" x14ac:dyDescent="0.25"/>
    <row r="165457" s="12" customFormat="1" x14ac:dyDescent="0.25"/>
    <row r="165458" s="12" customFormat="1" x14ac:dyDescent="0.25"/>
    <row r="165459" s="12" customFormat="1" x14ac:dyDescent="0.25"/>
    <row r="165460" s="12" customFormat="1" x14ac:dyDescent="0.25"/>
    <row r="165461" s="12" customFormat="1" x14ac:dyDescent="0.25"/>
    <row r="165462" s="12" customFormat="1" x14ac:dyDescent="0.25"/>
    <row r="165463" s="12" customFormat="1" x14ac:dyDescent="0.25"/>
    <row r="165464" s="12" customFormat="1" x14ac:dyDescent="0.25"/>
    <row r="165465" s="12" customFormat="1" x14ac:dyDescent="0.25"/>
    <row r="165466" s="12" customFormat="1" x14ac:dyDescent="0.25"/>
    <row r="165467" s="12" customFormat="1" x14ac:dyDescent="0.25"/>
    <row r="165468" s="12" customFormat="1" x14ac:dyDescent="0.25"/>
    <row r="165469" s="12" customFormat="1" x14ac:dyDescent="0.25"/>
    <row r="165470" s="12" customFormat="1" x14ac:dyDescent="0.25"/>
    <row r="165471" s="12" customFormat="1" x14ac:dyDescent="0.25"/>
    <row r="165472" s="12" customFormat="1" x14ac:dyDescent="0.25"/>
    <row r="165473" s="12" customFormat="1" x14ac:dyDescent="0.25"/>
    <row r="165474" s="12" customFormat="1" x14ac:dyDescent="0.25"/>
    <row r="165475" s="12" customFormat="1" x14ac:dyDescent="0.25"/>
    <row r="165476" s="12" customFormat="1" x14ac:dyDescent="0.25"/>
    <row r="165477" s="12" customFormat="1" x14ac:dyDescent="0.25"/>
    <row r="165478" s="12" customFormat="1" x14ac:dyDescent="0.25"/>
    <row r="165479" s="12" customFormat="1" x14ac:dyDescent="0.25"/>
    <row r="165480" s="12" customFormat="1" x14ac:dyDescent="0.25"/>
    <row r="165481" s="12" customFormat="1" x14ac:dyDescent="0.25"/>
    <row r="165482" s="12" customFormat="1" x14ac:dyDescent="0.25"/>
    <row r="165483" s="12" customFormat="1" x14ac:dyDescent="0.25"/>
    <row r="165484" s="12" customFormat="1" x14ac:dyDescent="0.25"/>
    <row r="165485" s="12" customFormat="1" x14ac:dyDescent="0.25"/>
    <row r="165486" s="12" customFormat="1" x14ac:dyDescent="0.25"/>
    <row r="165487" s="12" customFormat="1" x14ac:dyDescent="0.25"/>
    <row r="165488" s="12" customFormat="1" x14ac:dyDescent="0.25"/>
    <row r="165489" s="12" customFormat="1" x14ac:dyDescent="0.25"/>
    <row r="165490" s="12" customFormat="1" x14ac:dyDescent="0.25"/>
    <row r="165491" s="12" customFormat="1" x14ac:dyDescent="0.25"/>
    <row r="165492" s="12" customFormat="1" x14ac:dyDescent="0.25"/>
    <row r="165493" s="12" customFormat="1" x14ac:dyDescent="0.25"/>
    <row r="165494" s="12" customFormat="1" x14ac:dyDescent="0.25"/>
    <row r="165495" s="12" customFormat="1" x14ac:dyDescent="0.25"/>
    <row r="165496" s="12" customFormat="1" x14ac:dyDescent="0.25"/>
    <row r="165497" s="12" customFormat="1" x14ac:dyDescent="0.25"/>
    <row r="165498" s="12" customFormat="1" x14ac:dyDescent="0.25"/>
    <row r="165499" s="12" customFormat="1" x14ac:dyDescent="0.25"/>
    <row r="165500" s="12" customFormat="1" x14ac:dyDescent="0.25"/>
    <row r="165501" s="12" customFormat="1" x14ac:dyDescent="0.25"/>
    <row r="165502" s="12" customFormat="1" x14ac:dyDescent="0.25"/>
    <row r="165503" s="12" customFormat="1" x14ac:dyDescent="0.25"/>
    <row r="165504" s="12" customFormat="1" x14ac:dyDescent="0.25"/>
    <row r="165505" s="12" customFormat="1" x14ac:dyDescent="0.25"/>
    <row r="165506" s="12" customFormat="1" x14ac:dyDescent="0.25"/>
    <row r="165507" s="12" customFormat="1" x14ac:dyDescent="0.25"/>
    <row r="165508" s="12" customFormat="1" x14ac:dyDescent="0.25"/>
    <row r="165509" s="12" customFormat="1" x14ac:dyDescent="0.25"/>
    <row r="165510" s="12" customFormat="1" x14ac:dyDescent="0.25"/>
    <row r="165511" s="12" customFormat="1" x14ac:dyDescent="0.25"/>
    <row r="165512" s="12" customFormat="1" x14ac:dyDescent="0.25"/>
    <row r="165513" s="12" customFormat="1" x14ac:dyDescent="0.25"/>
    <row r="165514" s="12" customFormat="1" x14ac:dyDescent="0.25"/>
    <row r="165515" s="12" customFormat="1" x14ac:dyDescent="0.25"/>
    <row r="165516" s="12" customFormat="1" x14ac:dyDescent="0.25"/>
    <row r="165517" s="12" customFormat="1" x14ac:dyDescent="0.25"/>
    <row r="165518" s="12" customFormat="1" x14ac:dyDescent="0.25"/>
    <row r="165519" s="12" customFormat="1" x14ac:dyDescent="0.25"/>
    <row r="165520" s="12" customFormat="1" x14ac:dyDescent="0.25"/>
    <row r="165521" s="12" customFormat="1" x14ac:dyDescent="0.25"/>
    <row r="165522" s="12" customFormat="1" x14ac:dyDescent="0.25"/>
    <row r="165523" s="12" customFormat="1" x14ac:dyDescent="0.25"/>
    <row r="165524" s="12" customFormat="1" x14ac:dyDescent="0.25"/>
    <row r="165525" s="12" customFormat="1" x14ac:dyDescent="0.25"/>
    <row r="165526" s="12" customFormat="1" x14ac:dyDescent="0.25"/>
    <row r="165527" s="12" customFormat="1" x14ac:dyDescent="0.25"/>
    <row r="165528" s="12" customFormat="1" x14ac:dyDescent="0.25"/>
    <row r="165529" s="12" customFormat="1" x14ac:dyDescent="0.25"/>
    <row r="165530" s="12" customFormat="1" x14ac:dyDescent="0.25"/>
    <row r="165531" s="12" customFormat="1" x14ac:dyDescent="0.25"/>
    <row r="165532" s="12" customFormat="1" x14ac:dyDescent="0.25"/>
    <row r="165533" s="12" customFormat="1" x14ac:dyDescent="0.25"/>
    <row r="165534" s="12" customFormat="1" x14ac:dyDescent="0.25"/>
    <row r="165535" s="12" customFormat="1" x14ac:dyDescent="0.25"/>
    <row r="165536" s="12" customFormat="1" x14ac:dyDescent="0.25"/>
    <row r="165537" s="12" customFormat="1" x14ac:dyDescent="0.25"/>
    <row r="165538" s="12" customFormat="1" x14ac:dyDescent="0.25"/>
    <row r="165539" s="12" customFormat="1" x14ac:dyDescent="0.25"/>
    <row r="165540" s="12" customFormat="1" x14ac:dyDescent="0.25"/>
    <row r="165541" s="12" customFormat="1" x14ac:dyDescent="0.25"/>
    <row r="165542" s="12" customFormat="1" x14ac:dyDescent="0.25"/>
    <row r="165543" s="12" customFormat="1" x14ac:dyDescent="0.25"/>
    <row r="165544" s="12" customFormat="1" x14ac:dyDescent="0.25"/>
    <row r="165545" s="12" customFormat="1" x14ac:dyDescent="0.25"/>
    <row r="165546" s="12" customFormat="1" x14ac:dyDescent="0.25"/>
    <row r="165547" s="12" customFormat="1" x14ac:dyDescent="0.25"/>
    <row r="165548" s="12" customFormat="1" x14ac:dyDescent="0.25"/>
    <row r="165549" s="12" customFormat="1" x14ac:dyDescent="0.25"/>
    <row r="165550" s="12" customFormat="1" x14ac:dyDescent="0.25"/>
    <row r="165551" s="12" customFormat="1" x14ac:dyDescent="0.25"/>
    <row r="165552" s="12" customFormat="1" x14ac:dyDescent="0.25"/>
    <row r="165553" s="12" customFormat="1" x14ac:dyDescent="0.25"/>
    <row r="165554" s="12" customFormat="1" x14ac:dyDescent="0.25"/>
    <row r="165555" s="12" customFormat="1" x14ac:dyDescent="0.25"/>
    <row r="165556" s="12" customFormat="1" x14ac:dyDescent="0.25"/>
    <row r="165557" s="12" customFormat="1" x14ac:dyDescent="0.25"/>
    <row r="165558" s="12" customFormat="1" x14ac:dyDescent="0.25"/>
    <row r="165559" s="12" customFormat="1" x14ac:dyDescent="0.25"/>
    <row r="165560" s="12" customFormat="1" x14ac:dyDescent="0.25"/>
    <row r="165561" s="12" customFormat="1" x14ac:dyDescent="0.25"/>
    <row r="165562" s="12" customFormat="1" x14ac:dyDescent="0.25"/>
    <row r="165563" s="12" customFormat="1" x14ac:dyDescent="0.25"/>
    <row r="165564" s="12" customFormat="1" x14ac:dyDescent="0.25"/>
    <row r="165565" s="12" customFormat="1" x14ac:dyDescent="0.25"/>
    <row r="165566" s="12" customFormat="1" x14ac:dyDescent="0.25"/>
    <row r="165567" s="12" customFormat="1" x14ac:dyDescent="0.25"/>
    <row r="165568" s="12" customFormat="1" x14ac:dyDescent="0.25"/>
    <row r="165569" s="12" customFormat="1" x14ac:dyDescent="0.25"/>
    <row r="165570" s="12" customFormat="1" x14ac:dyDescent="0.25"/>
    <row r="165571" s="12" customFormat="1" x14ac:dyDescent="0.25"/>
    <row r="165572" s="12" customFormat="1" x14ac:dyDescent="0.25"/>
    <row r="165573" s="12" customFormat="1" x14ac:dyDescent="0.25"/>
    <row r="165574" s="12" customFormat="1" x14ac:dyDescent="0.25"/>
    <row r="165575" s="12" customFormat="1" x14ac:dyDescent="0.25"/>
    <row r="165576" s="12" customFormat="1" x14ac:dyDescent="0.25"/>
    <row r="165577" s="12" customFormat="1" x14ac:dyDescent="0.25"/>
    <row r="165578" s="12" customFormat="1" x14ac:dyDescent="0.25"/>
    <row r="165579" s="12" customFormat="1" x14ac:dyDescent="0.25"/>
    <row r="165580" s="12" customFormat="1" x14ac:dyDescent="0.25"/>
    <row r="165581" s="12" customFormat="1" x14ac:dyDescent="0.25"/>
    <row r="165582" s="12" customFormat="1" x14ac:dyDescent="0.25"/>
    <row r="165583" s="12" customFormat="1" x14ac:dyDescent="0.25"/>
    <row r="165584" s="12" customFormat="1" x14ac:dyDescent="0.25"/>
    <row r="165585" s="12" customFormat="1" x14ac:dyDescent="0.25"/>
    <row r="165586" s="12" customFormat="1" x14ac:dyDescent="0.25"/>
    <row r="165587" s="12" customFormat="1" x14ac:dyDescent="0.25"/>
    <row r="165588" s="12" customFormat="1" x14ac:dyDescent="0.25"/>
    <row r="165589" s="12" customFormat="1" x14ac:dyDescent="0.25"/>
    <row r="165590" s="12" customFormat="1" x14ac:dyDescent="0.25"/>
    <row r="165591" s="12" customFormat="1" x14ac:dyDescent="0.25"/>
    <row r="165592" s="12" customFormat="1" x14ac:dyDescent="0.25"/>
    <row r="165593" s="12" customFormat="1" x14ac:dyDescent="0.25"/>
    <row r="165594" s="12" customFormat="1" x14ac:dyDescent="0.25"/>
    <row r="165595" s="12" customFormat="1" x14ac:dyDescent="0.25"/>
    <row r="165596" s="12" customFormat="1" x14ac:dyDescent="0.25"/>
    <row r="165597" s="12" customFormat="1" x14ac:dyDescent="0.25"/>
    <row r="165598" s="12" customFormat="1" x14ac:dyDescent="0.25"/>
    <row r="165599" s="12" customFormat="1" x14ac:dyDescent="0.25"/>
    <row r="165600" s="12" customFormat="1" x14ac:dyDescent="0.25"/>
    <row r="165601" s="12" customFormat="1" x14ac:dyDescent="0.25"/>
    <row r="165602" s="12" customFormat="1" x14ac:dyDescent="0.25"/>
    <row r="165603" s="12" customFormat="1" x14ac:dyDescent="0.25"/>
    <row r="165604" s="12" customFormat="1" x14ac:dyDescent="0.25"/>
    <row r="165605" s="12" customFormat="1" x14ac:dyDescent="0.25"/>
    <row r="165606" s="12" customFormat="1" x14ac:dyDescent="0.25"/>
    <row r="165607" s="12" customFormat="1" x14ac:dyDescent="0.25"/>
    <row r="165608" s="12" customFormat="1" x14ac:dyDescent="0.25"/>
    <row r="165609" s="12" customFormat="1" x14ac:dyDescent="0.25"/>
    <row r="165610" s="12" customFormat="1" x14ac:dyDescent="0.25"/>
    <row r="165611" s="12" customFormat="1" x14ac:dyDescent="0.25"/>
    <row r="165612" s="12" customFormat="1" x14ac:dyDescent="0.25"/>
    <row r="165613" s="12" customFormat="1" x14ac:dyDescent="0.25"/>
    <row r="165614" s="12" customFormat="1" x14ac:dyDescent="0.25"/>
    <row r="165615" s="12" customFormat="1" x14ac:dyDescent="0.25"/>
    <row r="165616" s="12" customFormat="1" x14ac:dyDescent="0.25"/>
    <row r="165617" s="12" customFormat="1" x14ac:dyDescent="0.25"/>
    <row r="165618" s="12" customFormat="1" x14ac:dyDescent="0.25"/>
    <row r="165619" s="12" customFormat="1" x14ac:dyDescent="0.25"/>
    <row r="165620" s="12" customFormat="1" x14ac:dyDescent="0.25"/>
    <row r="165621" s="12" customFormat="1" x14ac:dyDescent="0.25"/>
    <row r="165622" s="12" customFormat="1" x14ac:dyDescent="0.25"/>
    <row r="165623" s="12" customFormat="1" x14ac:dyDescent="0.25"/>
    <row r="165624" s="12" customFormat="1" x14ac:dyDescent="0.25"/>
    <row r="165625" s="12" customFormat="1" x14ac:dyDescent="0.25"/>
    <row r="165626" s="12" customFormat="1" x14ac:dyDescent="0.25"/>
    <row r="165627" s="12" customFormat="1" x14ac:dyDescent="0.25"/>
    <row r="165628" s="12" customFormat="1" x14ac:dyDescent="0.25"/>
    <row r="165629" s="12" customFormat="1" x14ac:dyDescent="0.25"/>
    <row r="165630" s="12" customFormat="1" x14ac:dyDescent="0.25"/>
    <row r="165631" s="12" customFormat="1" x14ac:dyDescent="0.25"/>
    <row r="165632" s="12" customFormat="1" x14ac:dyDescent="0.25"/>
    <row r="165633" s="12" customFormat="1" x14ac:dyDescent="0.25"/>
    <row r="165634" s="12" customFormat="1" x14ac:dyDescent="0.25"/>
    <row r="165635" s="12" customFormat="1" x14ac:dyDescent="0.25"/>
    <row r="165636" s="12" customFormat="1" x14ac:dyDescent="0.25"/>
    <row r="165637" s="12" customFormat="1" x14ac:dyDescent="0.25"/>
    <row r="165638" s="12" customFormat="1" x14ac:dyDescent="0.25"/>
    <row r="165639" s="12" customFormat="1" x14ac:dyDescent="0.25"/>
    <row r="165640" s="12" customFormat="1" x14ac:dyDescent="0.25"/>
    <row r="165641" s="12" customFormat="1" x14ac:dyDescent="0.25"/>
    <row r="165642" s="12" customFormat="1" x14ac:dyDescent="0.25"/>
    <row r="165643" s="12" customFormat="1" x14ac:dyDescent="0.25"/>
    <row r="165644" s="12" customFormat="1" x14ac:dyDescent="0.25"/>
    <row r="165645" s="12" customFormat="1" x14ac:dyDescent="0.25"/>
    <row r="165646" s="12" customFormat="1" x14ac:dyDescent="0.25"/>
    <row r="165647" s="12" customFormat="1" x14ac:dyDescent="0.25"/>
    <row r="165648" s="12" customFormat="1" x14ac:dyDescent="0.25"/>
    <row r="165649" s="12" customFormat="1" x14ac:dyDescent="0.25"/>
    <row r="165650" s="12" customFormat="1" x14ac:dyDescent="0.25"/>
    <row r="165651" s="12" customFormat="1" x14ac:dyDescent="0.25"/>
    <row r="165652" s="12" customFormat="1" x14ac:dyDescent="0.25"/>
    <row r="165653" s="12" customFormat="1" x14ac:dyDescent="0.25"/>
    <row r="165654" s="12" customFormat="1" x14ac:dyDescent="0.25"/>
    <row r="165655" s="12" customFormat="1" x14ac:dyDescent="0.25"/>
    <row r="165656" s="12" customFormat="1" x14ac:dyDescent="0.25"/>
    <row r="165657" s="12" customFormat="1" x14ac:dyDescent="0.25"/>
    <row r="165658" s="12" customFormat="1" x14ac:dyDescent="0.25"/>
    <row r="165659" s="12" customFormat="1" x14ac:dyDescent="0.25"/>
    <row r="165660" s="12" customFormat="1" x14ac:dyDescent="0.25"/>
    <row r="165661" s="12" customFormat="1" x14ac:dyDescent="0.25"/>
    <row r="165662" s="12" customFormat="1" x14ac:dyDescent="0.25"/>
    <row r="165663" s="12" customFormat="1" x14ac:dyDescent="0.25"/>
    <row r="165664" s="12" customFormat="1" x14ac:dyDescent="0.25"/>
    <row r="165665" s="12" customFormat="1" x14ac:dyDescent="0.25"/>
    <row r="165666" s="12" customFormat="1" x14ac:dyDescent="0.25"/>
    <row r="165667" s="12" customFormat="1" x14ac:dyDescent="0.25"/>
    <row r="165668" s="12" customFormat="1" x14ac:dyDescent="0.25"/>
    <row r="165669" s="12" customFormat="1" x14ac:dyDescent="0.25"/>
    <row r="165670" s="12" customFormat="1" x14ac:dyDescent="0.25"/>
    <row r="165671" s="12" customFormat="1" x14ac:dyDescent="0.25"/>
    <row r="165672" s="12" customFormat="1" x14ac:dyDescent="0.25"/>
    <row r="165673" s="12" customFormat="1" x14ac:dyDescent="0.25"/>
    <row r="165674" s="12" customFormat="1" x14ac:dyDescent="0.25"/>
    <row r="165675" s="12" customFormat="1" x14ac:dyDescent="0.25"/>
    <row r="165676" s="12" customFormat="1" x14ac:dyDescent="0.25"/>
    <row r="165677" s="12" customFormat="1" x14ac:dyDescent="0.25"/>
    <row r="165678" s="12" customFormat="1" x14ac:dyDescent="0.25"/>
    <row r="165679" s="12" customFormat="1" x14ac:dyDescent="0.25"/>
    <row r="165680" s="12" customFormat="1" x14ac:dyDescent="0.25"/>
    <row r="165681" s="12" customFormat="1" x14ac:dyDescent="0.25"/>
    <row r="165682" s="12" customFormat="1" x14ac:dyDescent="0.25"/>
    <row r="165683" s="12" customFormat="1" x14ac:dyDescent="0.25"/>
    <row r="165684" s="12" customFormat="1" x14ac:dyDescent="0.25"/>
    <row r="165685" s="12" customFormat="1" x14ac:dyDescent="0.25"/>
    <row r="165686" s="12" customFormat="1" x14ac:dyDescent="0.25"/>
    <row r="165687" s="12" customFormat="1" x14ac:dyDescent="0.25"/>
    <row r="165688" s="12" customFormat="1" x14ac:dyDescent="0.25"/>
    <row r="165689" s="12" customFormat="1" x14ac:dyDescent="0.25"/>
    <row r="165690" s="12" customFormat="1" x14ac:dyDescent="0.25"/>
    <row r="165691" s="12" customFormat="1" x14ac:dyDescent="0.25"/>
    <row r="165692" s="12" customFormat="1" x14ac:dyDescent="0.25"/>
    <row r="165693" s="12" customFormat="1" x14ac:dyDescent="0.25"/>
    <row r="165694" s="12" customFormat="1" x14ac:dyDescent="0.25"/>
    <row r="165695" s="12" customFormat="1" x14ac:dyDescent="0.25"/>
    <row r="165696" s="12" customFormat="1" x14ac:dyDescent="0.25"/>
    <row r="165697" s="12" customFormat="1" x14ac:dyDescent="0.25"/>
    <row r="165698" s="12" customFormat="1" x14ac:dyDescent="0.25"/>
    <row r="165699" s="12" customFormat="1" x14ac:dyDescent="0.25"/>
    <row r="165700" s="12" customFormat="1" x14ac:dyDescent="0.25"/>
    <row r="165701" s="12" customFormat="1" x14ac:dyDescent="0.25"/>
    <row r="165702" s="12" customFormat="1" x14ac:dyDescent="0.25"/>
    <row r="165703" s="12" customFormat="1" x14ac:dyDescent="0.25"/>
    <row r="165704" s="12" customFormat="1" x14ac:dyDescent="0.25"/>
    <row r="165705" s="12" customFormat="1" x14ac:dyDescent="0.25"/>
    <row r="165706" s="12" customFormat="1" x14ac:dyDescent="0.25"/>
    <row r="165707" s="12" customFormat="1" x14ac:dyDescent="0.25"/>
    <row r="165708" s="12" customFormat="1" x14ac:dyDescent="0.25"/>
    <row r="165709" s="12" customFormat="1" x14ac:dyDescent="0.25"/>
    <row r="165710" s="12" customFormat="1" x14ac:dyDescent="0.25"/>
    <row r="165711" s="12" customFormat="1" x14ac:dyDescent="0.25"/>
    <row r="165712" s="12" customFormat="1" x14ac:dyDescent="0.25"/>
    <row r="165713" s="12" customFormat="1" x14ac:dyDescent="0.25"/>
    <row r="165714" s="12" customFormat="1" x14ac:dyDescent="0.25"/>
    <row r="165715" s="12" customFormat="1" x14ac:dyDescent="0.25"/>
    <row r="165716" s="12" customFormat="1" x14ac:dyDescent="0.25"/>
    <row r="165717" s="12" customFormat="1" x14ac:dyDescent="0.25"/>
    <row r="165718" s="12" customFormat="1" x14ac:dyDescent="0.25"/>
    <row r="165719" s="12" customFormat="1" x14ac:dyDescent="0.25"/>
    <row r="165720" s="12" customFormat="1" x14ac:dyDescent="0.25"/>
    <row r="165721" s="12" customFormat="1" x14ac:dyDescent="0.25"/>
    <row r="165722" s="12" customFormat="1" x14ac:dyDescent="0.25"/>
    <row r="165723" s="12" customFormat="1" x14ac:dyDescent="0.25"/>
    <row r="165724" s="12" customFormat="1" x14ac:dyDescent="0.25"/>
    <row r="165725" s="12" customFormat="1" x14ac:dyDescent="0.25"/>
    <row r="165726" s="12" customFormat="1" x14ac:dyDescent="0.25"/>
    <row r="165727" s="12" customFormat="1" x14ac:dyDescent="0.25"/>
    <row r="165728" s="12" customFormat="1" x14ac:dyDescent="0.25"/>
    <row r="165729" s="12" customFormat="1" x14ac:dyDescent="0.25"/>
    <row r="165730" s="12" customFormat="1" x14ac:dyDescent="0.25"/>
    <row r="165731" s="12" customFormat="1" x14ac:dyDescent="0.25"/>
    <row r="165732" s="12" customFormat="1" x14ac:dyDescent="0.25"/>
    <row r="165733" s="12" customFormat="1" x14ac:dyDescent="0.25"/>
    <row r="165734" s="12" customFormat="1" x14ac:dyDescent="0.25"/>
    <row r="165735" s="12" customFormat="1" x14ac:dyDescent="0.25"/>
    <row r="165736" s="12" customFormat="1" x14ac:dyDescent="0.25"/>
    <row r="165737" s="12" customFormat="1" x14ac:dyDescent="0.25"/>
    <row r="165738" s="12" customFormat="1" x14ac:dyDescent="0.25"/>
    <row r="165739" s="12" customFormat="1" x14ac:dyDescent="0.25"/>
    <row r="165740" s="12" customFormat="1" x14ac:dyDescent="0.25"/>
    <row r="165741" s="12" customFormat="1" x14ac:dyDescent="0.25"/>
    <row r="165742" s="12" customFormat="1" x14ac:dyDescent="0.25"/>
    <row r="165743" s="12" customFormat="1" x14ac:dyDescent="0.25"/>
    <row r="165744" s="12" customFormat="1" x14ac:dyDescent="0.25"/>
    <row r="165745" s="12" customFormat="1" x14ac:dyDescent="0.25"/>
    <row r="165746" s="12" customFormat="1" x14ac:dyDescent="0.25"/>
    <row r="165747" s="12" customFormat="1" x14ac:dyDescent="0.25"/>
    <row r="165748" s="12" customFormat="1" x14ac:dyDescent="0.25"/>
    <row r="165749" s="12" customFormat="1" x14ac:dyDescent="0.25"/>
    <row r="165750" s="12" customFormat="1" x14ac:dyDescent="0.25"/>
    <row r="165751" s="12" customFormat="1" x14ac:dyDescent="0.25"/>
    <row r="165752" s="12" customFormat="1" x14ac:dyDescent="0.25"/>
    <row r="165753" s="12" customFormat="1" x14ac:dyDescent="0.25"/>
    <row r="165754" s="12" customFormat="1" x14ac:dyDescent="0.25"/>
    <row r="165755" s="12" customFormat="1" x14ac:dyDescent="0.25"/>
    <row r="165756" s="12" customFormat="1" x14ac:dyDescent="0.25"/>
    <row r="165757" s="12" customFormat="1" x14ac:dyDescent="0.25"/>
    <row r="165758" s="12" customFormat="1" x14ac:dyDescent="0.25"/>
    <row r="165759" s="12" customFormat="1" x14ac:dyDescent="0.25"/>
    <row r="165760" s="12" customFormat="1" x14ac:dyDescent="0.25"/>
    <row r="165761" s="12" customFormat="1" x14ac:dyDescent="0.25"/>
    <row r="165762" s="12" customFormat="1" x14ac:dyDescent="0.25"/>
    <row r="165763" s="12" customFormat="1" x14ac:dyDescent="0.25"/>
    <row r="165764" s="12" customFormat="1" x14ac:dyDescent="0.25"/>
    <row r="165765" s="12" customFormat="1" x14ac:dyDescent="0.25"/>
    <row r="165766" s="12" customFormat="1" x14ac:dyDescent="0.25"/>
    <row r="165767" s="12" customFormat="1" x14ac:dyDescent="0.25"/>
    <row r="165768" s="12" customFormat="1" x14ac:dyDescent="0.25"/>
    <row r="165769" s="12" customFormat="1" x14ac:dyDescent="0.25"/>
    <row r="165770" s="12" customFormat="1" x14ac:dyDescent="0.25"/>
    <row r="165771" s="12" customFormat="1" x14ac:dyDescent="0.25"/>
    <row r="165772" s="12" customFormat="1" x14ac:dyDescent="0.25"/>
    <row r="165773" s="12" customFormat="1" x14ac:dyDescent="0.25"/>
    <row r="165774" s="12" customFormat="1" x14ac:dyDescent="0.25"/>
    <row r="165775" s="12" customFormat="1" x14ac:dyDescent="0.25"/>
    <row r="165776" s="12" customFormat="1" x14ac:dyDescent="0.25"/>
    <row r="165777" s="12" customFormat="1" x14ac:dyDescent="0.25"/>
    <row r="165778" s="12" customFormat="1" x14ac:dyDescent="0.25"/>
    <row r="165779" s="12" customFormat="1" x14ac:dyDescent="0.25"/>
    <row r="165780" s="12" customFormat="1" x14ac:dyDescent="0.25"/>
    <row r="165781" s="12" customFormat="1" x14ac:dyDescent="0.25"/>
    <row r="165782" s="12" customFormat="1" x14ac:dyDescent="0.25"/>
    <row r="165783" s="12" customFormat="1" x14ac:dyDescent="0.25"/>
    <row r="165784" s="12" customFormat="1" x14ac:dyDescent="0.25"/>
    <row r="165785" s="12" customFormat="1" x14ac:dyDescent="0.25"/>
    <row r="165786" s="12" customFormat="1" x14ac:dyDescent="0.25"/>
    <row r="165787" s="12" customFormat="1" x14ac:dyDescent="0.25"/>
    <row r="165788" s="12" customFormat="1" x14ac:dyDescent="0.25"/>
    <row r="165789" s="12" customFormat="1" x14ac:dyDescent="0.25"/>
    <row r="165790" s="12" customFormat="1" x14ac:dyDescent="0.25"/>
    <row r="165791" s="12" customFormat="1" x14ac:dyDescent="0.25"/>
    <row r="165792" s="12" customFormat="1" x14ac:dyDescent="0.25"/>
    <row r="165793" s="12" customFormat="1" x14ac:dyDescent="0.25"/>
    <row r="165794" s="12" customFormat="1" x14ac:dyDescent="0.25"/>
    <row r="165795" s="12" customFormat="1" x14ac:dyDescent="0.25"/>
    <row r="165796" s="12" customFormat="1" x14ac:dyDescent="0.25"/>
    <row r="165797" s="12" customFormat="1" x14ac:dyDescent="0.25"/>
    <row r="165798" s="12" customFormat="1" x14ac:dyDescent="0.25"/>
    <row r="165799" s="12" customFormat="1" x14ac:dyDescent="0.25"/>
    <row r="165800" s="12" customFormat="1" x14ac:dyDescent="0.25"/>
    <row r="165801" s="12" customFormat="1" x14ac:dyDescent="0.25"/>
    <row r="165802" s="12" customFormat="1" x14ac:dyDescent="0.25"/>
    <row r="165803" s="12" customFormat="1" x14ac:dyDescent="0.25"/>
    <row r="165804" s="12" customFormat="1" x14ac:dyDescent="0.25"/>
    <row r="165805" s="12" customFormat="1" x14ac:dyDescent="0.25"/>
    <row r="165806" s="12" customFormat="1" x14ac:dyDescent="0.25"/>
    <row r="165807" s="12" customFormat="1" x14ac:dyDescent="0.25"/>
    <row r="165808" s="12" customFormat="1" x14ac:dyDescent="0.25"/>
    <row r="165809" s="12" customFormat="1" x14ac:dyDescent="0.25"/>
    <row r="165810" s="12" customFormat="1" x14ac:dyDescent="0.25"/>
    <row r="165811" s="12" customFormat="1" x14ac:dyDescent="0.25"/>
    <row r="165812" s="12" customFormat="1" x14ac:dyDescent="0.25"/>
    <row r="165813" s="12" customFormat="1" x14ac:dyDescent="0.25"/>
    <row r="165814" s="12" customFormat="1" x14ac:dyDescent="0.25"/>
    <row r="165815" s="12" customFormat="1" x14ac:dyDescent="0.25"/>
    <row r="165816" s="12" customFormat="1" x14ac:dyDescent="0.25"/>
    <row r="165817" s="12" customFormat="1" x14ac:dyDescent="0.25"/>
    <row r="165818" s="12" customFormat="1" x14ac:dyDescent="0.25"/>
    <row r="165819" s="12" customFormat="1" x14ac:dyDescent="0.25"/>
    <row r="165820" s="12" customFormat="1" x14ac:dyDescent="0.25"/>
    <row r="165821" s="12" customFormat="1" x14ac:dyDescent="0.25"/>
    <row r="165822" s="12" customFormat="1" x14ac:dyDescent="0.25"/>
    <row r="165823" s="12" customFormat="1" x14ac:dyDescent="0.25"/>
    <row r="165824" s="12" customFormat="1" x14ac:dyDescent="0.25"/>
    <row r="165825" s="12" customFormat="1" x14ac:dyDescent="0.25"/>
    <row r="165826" s="12" customFormat="1" x14ac:dyDescent="0.25"/>
    <row r="165827" s="12" customFormat="1" x14ac:dyDescent="0.25"/>
    <row r="165828" s="12" customFormat="1" x14ac:dyDescent="0.25"/>
    <row r="165829" s="12" customFormat="1" x14ac:dyDescent="0.25"/>
    <row r="165830" s="12" customFormat="1" x14ac:dyDescent="0.25"/>
    <row r="165831" s="12" customFormat="1" x14ac:dyDescent="0.25"/>
    <row r="165832" s="12" customFormat="1" x14ac:dyDescent="0.25"/>
    <row r="165833" s="12" customFormat="1" x14ac:dyDescent="0.25"/>
    <row r="165834" s="12" customFormat="1" x14ac:dyDescent="0.25"/>
    <row r="165835" s="12" customFormat="1" x14ac:dyDescent="0.25"/>
    <row r="165836" s="12" customFormat="1" x14ac:dyDescent="0.25"/>
    <row r="165837" s="12" customFormat="1" x14ac:dyDescent="0.25"/>
    <row r="165838" s="12" customFormat="1" x14ac:dyDescent="0.25"/>
    <row r="165839" s="12" customFormat="1" x14ac:dyDescent="0.25"/>
    <row r="165840" s="12" customFormat="1" x14ac:dyDescent="0.25"/>
    <row r="165841" s="12" customFormat="1" x14ac:dyDescent="0.25"/>
    <row r="165842" s="12" customFormat="1" x14ac:dyDescent="0.25"/>
    <row r="165843" s="12" customFormat="1" x14ac:dyDescent="0.25"/>
    <row r="165844" s="12" customFormat="1" x14ac:dyDescent="0.25"/>
    <row r="165845" s="12" customFormat="1" x14ac:dyDescent="0.25"/>
    <row r="165846" s="12" customFormat="1" x14ac:dyDescent="0.25"/>
    <row r="165847" s="12" customFormat="1" x14ac:dyDescent="0.25"/>
    <row r="165848" s="12" customFormat="1" x14ac:dyDescent="0.25"/>
    <row r="165849" s="12" customFormat="1" x14ac:dyDescent="0.25"/>
    <row r="165850" s="12" customFormat="1" x14ac:dyDescent="0.25"/>
    <row r="165851" s="12" customFormat="1" x14ac:dyDescent="0.25"/>
    <row r="165852" s="12" customFormat="1" x14ac:dyDescent="0.25"/>
    <row r="165853" s="12" customFormat="1" x14ac:dyDescent="0.25"/>
    <row r="165854" s="12" customFormat="1" x14ac:dyDescent="0.25"/>
    <row r="165855" s="12" customFormat="1" x14ac:dyDescent="0.25"/>
    <row r="165856" s="12" customFormat="1" x14ac:dyDescent="0.25"/>
    <row r="165857" s="12" customFormat="1" x14ac:dyDescent="0.25"/>
    <row r="165858" s="12" customFormat="1" x14ac:dyDescent="0.25"/>
    <row r="165859" s="12" customFormat="1" x14ac:dyDescent="0.25"/>
    <row r="165860" s="12" customFormat="1" x14ac:dyDescent="0.25"/>
    <row r="165861" s="12" customFormat="1" x14ac:dyDescent="0.25"/>
    <row r="165862" s="12" customFormat="1" x14ac:dyDescent="0.25"/>
    <row r="165863" s="12" customFormat="1" x14ac:dyDescent="0.25"/>
    <row r="165864" s="12" customFormat="1" x14ac:dyDescent="0.25"/>
    <row r="165865" s="12" customFormat="1" x14ac:dyDescent="0.25"/>
    <row r="165866" s="12" customFormat="1" x14ac:dyDescent="0.25"/>
    <row r="165867" s="12" customFormat="1" x14ac:dyDescent="0.25"/>
    <row r="165868" s="12" customFormat="1" x14ac:dyDescent="0.25"/>
    <row r="165869" s="12" customFormat="1" x14ac:dyDescent="0.25"/>
    <row r="165870" s="12" customFormat="1" x14ac:dyDescent="0.25"/>
    <row r="165871" s="12" customFormat="1" x14ac:dyDescent="0.25"/>
    <row r="165872" s="12" customFormat="1" x14ac:dyDescent="0.25"/>
    <row r="165873" s="12" customFormat="1" x14ac:dyDescent="0.25"/>
    <row r="165874" s="12" customFormat="1" x14ac:dyDescent="0.25"/>
    <row r="165875" s="12" customFormat="1" x14ac:dyDescent="0.25"/>
    <row r="165876" s="12" customFormat="1" x14ac:dyDescent="0.25"/>
    <row r="165877" s="12" customFormat="1" x14ac:dyDescent="0.25"/>
    <row r="165878" s="12" customFormat="1" x14ac:dyDescent="0.25"/>
    <row r="165879" s="12" customFormat="1" x14ac:dyDescent="0.25"/>
    <row r="165880" s="12" customFormat="1" x14ac:dyDescent="0.25"/>
    <row r="165881" s="12" customFormat="1" x14ac:dyDescent="0.25"/>
    <row r="165882" s="12" customFormat="1" x14ac:dyDescent="0.25"/>
    <row r="165883" s="12" customFormat="1" x14ac:dyDescent="0.25"/>
    <row r="165884" s="12" customFormat="1" x14ac:dyDescent="0.25"/>
    <row r="165885" s="12" customFormat="1" x14ac:dyDescent="0.25"/>
    <row r="165886" s="12" customFormat="1" x14ac:dyDescent="0.25"/>
    <row r="165887" s="12" customFormat="1" x14ac:dyDescent="0.25"/>
    <row r="165888" s="12" customFormat="1" x14ac:dyDescent="0.25"/>
    <row r="165889" s="12" customFormat="1" x14ac:dyDescent="0.25"/>
    <row r="165890" s="12" customFormat="1" x14ac:dyDescent="0.25"/>
    <row r="165891" s="12" customFormat="1" x14ac:dyDescent="0.25"/>
    <row r="165892" s="12" customFormat="1" x14ac:dyDescent="0.25"/>
    <row r="165893" s="12" customFormat="1" x14ac:dyDescent="0.25"/>
    <row r="165894" s="12" customFormat="1" x14ac:dyDescent="0.25"/>
    <row r="165895" s="12" customFormat="1" x14ac:dyDescent="0.25"/>
    <row r="165896" s="12" customFormat="1" x14ac:dyDescent="0.25"/>
    <row r="165897" s="12" customFormat="1" x14ac:dyDescent="0.25"/>
    <row r="165898" s="12" customFormat="1" x14ac:dyDescent="0.25"/>
    <row r="165899" s="12" customFormat="1" x14ac:dyDescent="0.25"/>
    <row r="165900" s="12" customFormat="1" x14ac:dyDescent="0.25"/>
    <row r="165901" s="12" customFormat="1" x14ac:dyDescent="0.25"/>
    <row r="165902" s="12" customFormat="1" x14ac:dyDescent="0.25"/>
    <row r="165903" s="12" customFormat="1" x14ac:dyDescent="0.25"/>
    <row r="165904" s="12" customFormat="1" x14ac:dyDescent="0.25"/>
    <row r="165905" s="12" customFormat="1" x14ac:dyDescent="0.25"/>
    <row r="165906" s="12" customFormat="1" x14ac:dyDescent="0.25"/>
    <row r="165907" s="12" customFormat="1" x14ac:dyDescent="0.25"/>
    <row r="165908" s="12" customFormat="1" x14ac:dyDescent="0.25"/>
    <row r="165909" s="12" customFormat="1" x14ac:dyDescent="0.25"/>
    <row r="165910" s="12" customFormat="1" x14ac:dyDescent="0.25"/>
    <row r="165911" s="12" customFormat="1" x14ac:dyDescent="0.25"/>
    <row r="165912" s="12" customFormat="1" x14ac:dyDescent="0.25"/>
    <row r="165913" s="12" customFormat="1" x14ac:dyDescent="0.25"/>
    <row r="165914" s="12" customFormat="1" x14ac:dyDescent="0.25"/>
    <row r="165915" s="12" customFormat="1" x14ac:dyDescent="0.25"/>
    <row r="165916" s="12" customFormat="1" x14ac:dyDescent="0.25"/>
    <row r="165917" s="12" customFormat="1" x14ac:dyDescent="0.25"/>
    <row r="165918" s="12" customFormat="1" x14ac:dyDescent="0.25"/>
    <row r="165919" s="12" customFormat="1" x14ac:dyDescent="0.25"/>
    <row r="165920" s="12" customFormat="1" x14ac:dyDescent="0.25"/>
    <row r="165921" s="12" customFormat="1" x14ac:dyDescent="0.25"/>
    <row r="165922" s="12" customFormat="1" x14ac:dyDescent="0.25"/>
    <row r="165923" s="12" customFormat="1" x14ac:dyDescent="0.25"/>
    <row r="165924" s="12" customFormat="1" x14ac:dyDescent="0.25"/>
    <row r="165925" s="12" customFormat="1" x14ac:dyDescent="0.25"/>
    <row r="165926" s="12" customFormat="1" x14ac:dyDescent="0.25"/>
    <row r="165927" s="12" customFormat="1" x14ac:dyDescent="0.25"/>
    <row r="165928" s="12" customFormat="1" x14ac:dyDescent="0.25"/>
    <row r="165929" s="12" customFormat="1" x14ac:dyDescent="0.25"/>
    <row r="165930" s="12" customFormat="1" x14ac:dyDescent="0.25"/>
    <row r="165931" s="12" customFormat="1" x14ac:dyDescent="0.25"/>
    <row r="165932" s="12" customFormat="1" x14ac:dyDescent="0.25"/>
    <row r="165933" s="12" customFormat="1" x14ac:dyDescent="0.25"/>
    <row r="165934" s="12" customFormat="1" x14ac:dyDescent="0.25"/>
    <row r="165935" s="12" customFormat="1" x14ac:dyDescent="0.25"/>
    <row r="165936" s="12" customFormat="1" x14ac:dyDescent="0.25"/>
    <row r="165937" s="12" customFormat="1" x14ac:dyDescent="0.25"/>
    <row r="165938" s="12" customFormat="1" x14ac:dyDescent="0.25"/>
    <row r="165939" s="12" customFormat="1" x14ac:dyDescent="0.25"/>
    <row r="165940" s="12" customFormat="1" x14ac:dyDescent="0.25"/>
    <row r="165941" s="12" customFormat="1" x14ac:dyDescent="0.25"/>
    <row r="165942" s="12" customFormat="1" x14ac:dyDescent="0.25"/>
    <row r="165943" s="12" customFormat="1" x14ac:dyDescent="0.25"/>
    <row r="165944" s="12" customFormat="1" x14ac:dyDescent="0.25"/>
    <row r="165945" s="12" customFormat="1" x14ac:dyDescent="0.25"/>
    <row r="165946" s="12" customFormat="1" x14ac:dyDescent="0.25"/>
    <row r="165947" s="12" customFormat="1" x14ac:dyDescent="0.25"/>
    <row r="165948" s="12" customFormat="1" x14ac:dyDescent="0.25"/>
    <row r="165949" s="12" customFormat="1" x14ac:dyDescent="0.25"/>
    <row r="165950" s="12" customFormat="1" x14ac:dyDescent="0.25"/>
    <row r="165951" s="12" customFormat="1" x14ac:dyDescent="0.25"/>
    <row r="165952" s="12" customFormat="1" x14ac:dyDescent="0.25"/>
    <row r="165953" s="12" customFormat="1" x14ac:dyDescent="0.25"/>
    <row r="165954" s="12" customFormat="1" x14ac:dyDescent="0.25"/>
    <row r="165955" s="12" customFormat="1" x14ac:dyDescent="0.25"/>
    <row r="165956" s="12" customFormat="1" x14ac:dyDescent="0.25"/>
    <row r="165957" s="12" customFormat="1" x14ac:dyDescent="0.25"/>
    <row r="165958" s="12" customFormat="1" x14ac:dyDescent="0.25"/>
    <row r="165959" s="12" customFormat="1" x14ac:dyDescent="0.25"/>
    <row r="165960" s="12" customFormat="1" x14ac:dyDescent="0.25"/>
    <row r="165961" s="12" customFormat="1" x14ac:dyDescent="0.25"/>
    <row r="165962" s="12" customFormat="1" x14ac:dyDescent="0.25"/>
    <row r="165963" s="12" customFormat="1" x14ac:dyDescent="0.25"/>
    <row r="165964" s="12" customFormat="1" x14ac:dyDescent="0.25"/>
    <row r="165965" s="12" customFormat="1" x14ac:dyDescent="0.25"/>
    <row r="165966" s="12" customFormat="1" x14ac:dyDescent="0.25"/>
    <row r="165967" s="12" customFormat="1" x14ac:dyDescent="0.25"/>
    <row r="165968" s="12" customFormat="1" x14ac:dyDescent="0.25"/>
    <row r="165969" s="12" customFormat="1" x14ac:dyDescent="0.25"/>
    <row r="165970" s="12" customFormat="1" x14ac:dyDescent="0.25"/>
    <row r="165971" s="12" customFormat="1" x14ac:dyDescent="0.25"/>
    <row r="165972" s="12" customFormat="1" x14ac:dyDescent="0.25"/>
    <row r="165973" s="12" customFormat="1" x14ac:dyDescent="0.25"/>
    <row r="165974" s="12" customFormat="1" x14ac:dyDescent="0.25"/>
    <row r="165975" s="12" customFormat="1" x14ac:dyDescent="0.25"/>
    <row r="165976" s="12" customFormat="1" x14ac:dyDescent="0.25"/>
    <row r="165977" s="12" customFormat="1" x14ac:dyDescent="0.25"/>
    <row r="165978" s="12" customFormat="1" x14ac:dyDescent="0.25"/>
    <row r="165979" s="12" customFormat="1" x14ac:dyDescent="0.25"/>
    <row r="165980" s="12" customFormat="1" x14ac:dyDescent="0.25"/>
    <row r="165981" s="12" customFormat="1" x14ac:dyDescent="0.25"/>
    <row r="165982" s="12" customFormat="1" x14ac:dyDescent="0.25"/>
    <row r="165983" s="12" customFormat="1" x14ac:dyDescent="0.25"/>
    <row r="165984" s="12" customFormat="1" x14ac:dyDescent="0.25"/>
    <row r="165985" s="12" customFormat="1" x14ac:dyDescent="0.25"/>
    <row r="165986" s="12" customFormat="1" x14ac:dyDescent="0.25"/>
    <row r="165987" s="12" customFormat="1" x14ac:dyDescent="0.25"/>
    <row r="165988" s="12" customFormat="1" x14ac:dyDescent="0.25"/>
    <row r="165989" s="12" customFormat="1" x14ac:dyDescent="0.25"/>
    <row r="165990" s="12" customFormat="1" x14ac:dyDescent="0.25"/>
    <row r="165991" s="12" customFormat="1" x14ac:dyDescent="0.25"/>
    <row r="165992" s="12" customFormat="1" x14ac:dyDescent="0.25"/>
    <row r="165993" s="12" customFormat="1" x14ac:dyDescent="0.25"/>
    <row r="165994" s="12" customFormat="1" x14ac:dyDescent="0.25"/>
    <row r="165995" s="12" customFormat="1" x14ac:dyDescent="0.25"/>
    <row r="165996" s="12" customFormat="1" x14ac:dyDescent="0.25"/>
    <row r="165997" s="12" customFormat="1" x14ac:dyDescent="0.25"/>
    <row r="165998" s="12" customFormat="1" x14ac:dyDescent="0.25"/>
    <row r="165999" s="12" customFormat="1" x14ac:dyDescent="0.25"/>
    <row r="166000" s="12" customFormat="1" x14ac:dyDescent="0.25"/>
    <row r="166001" s="12" customFormat="1" x14ac:dyDescent="0.25"/>
    <row r="166002" s="12" customFormat="1" x14ac:dyDescent="0.25"/>
    <row r="166003" s="12" customFormat="1" x14ac:dyDescent="0.25"/>
    <row r="166004" s="12" customFormat="1" x14ac:dyDescent="0.25"/>
    <row r="166005" s="12" customFormat="1" x14ac:dyDescent="0.25"/>
    <row r="166006" s="12" customFormat="1" x14ac:dyDescent="0.25"/>
    <row r="166007" s="12" customFormat="1" x14ac:dyDescent="0.25"/>
    <row r="166008" s="12" customFormat="1" x14ac:dyDescent="0.25"/>
    <row r="166009" s="12" customFormat="1" x14ac:dyDescent="0.25"/>
    <row r="166010" s="12" customFormat="1" x14ac:dyDescent="0.25"/>
    <row r="166011" s="12" customFormat="1" x14ac:dyDescent="0.25"/>
    <row r="166012" s="12" customFormat="1" x14ac:dyDescent="0.25"/>
    <row r="166013" s="12" customFormat="1" x14ac:dyDescent="0.25"/>
    <row r="166014" s="12" customFormat="1" x14ac:dyDescent="0.25"/>
    <row r="166015" s="12" customFormat="1" x14ac:dyDescent="0.25"/>
    <row r="166016" s="12" customFormat="1" x14ac:dyDescent="0.25"/>
    <row r="166017" s="12" customFormat="1" x14ac:dyDescent="0.25"/>
    <row r="166018" s="12" customFormat="1" x14ac:dyDescent="0.25"/>
    <row r="166019" s="12" customFormat="1" x14ac:dyDescent="0.25"/>
    <row r="166020" s="12" customFormat="1" x14ac:dyDescent="0.25"/>
    <row r="166021" s="12" customFormat="1" x14ac:dyDescent="0.25"/>
    <row r="166022" s="12" customFormat="1" x14ac:dyDescent="0.25"/>
    <row r="166023" s="12" customFormat="1" x14ac:dyDescent="0.25"/>
    <row r="166024" s="12" customFormat="1" x14ac:dyDescent="0.25"/>
    <row r="166025" s="12" customFormat="1" x14ac:dyDescent="0.25"/>
    <row r="166026" s="12" customFormat="1" x14ac:dyDescent="0.25"/>
    <row r="166027" s="12" customFormat="1" x14ac:dyDescent="0.25"/>
    <row r="166028" s="12" customFormat="1" x14ac:dyDescent="0.25"/>
    <row r="166029" s="12" customFormat="1" x14ac:dyDescent="0.25"/>
    <row r="166030" s="12" customFormat="1" x14ac:dyDescent="0.25"/>
    <row r="166031" s="12" customFormat="1" x14ac:dyDescent="0.25"/>
    <row r="166032" s="12" customFormat="1" x14ac:dyDescent="0.25"/>
    <row r="166033" s="12" customFormat="1" x14ac:dyDescent="0.25"/>
    <row r="166034" s="12" customFormat="1" x14ac:dyDescent="0.25"/>
    <row r="166035" s="12" customFormat="1" x14ac:dyDescent="0.25"/>
    <row r="166036" s="12" customFormat="1" x14ac:dyDescent="0.25"/>
    <row r="166037" s="12" customFormat="1" x14ac:dyDescent="0.25"/>
    <row r="166038" s="12" customFormat="1" x14ac:dyDescent="0.25"/>
    <row r="166039" s="12" customFormat="1" x14ac:dyDescent="0.25"/>
    <row r="166040" s="12" customFormat="1" x14ac:dyDescent="0.25"/>
    <row r="166041" s="12" customFormat="1" x14ac:dyDescent="0.25"/>
    <row r="166042" s="12" customFormat="1" x14ac:dyDescent="0.25"/>
    <row r="166043" s="12" customFormat="1" x14ac:dyDescent="0.25"/>
    <row r="166044" s="12" customFormat="1" x14ac:dyDescent="0.25"/>
    <row r="166045" s="12" customFormat="1" x14ac:dyDescent="0.25"/>
    <row r="166046" s="12" customFormat="1" x14ac:dyDescent="0.25"/>
    <row r="166047" s="12" customFormat="1" x14ac:dyDescent="0.25"/>
    <row r="166048" s="12" customFormat="1" x14ac:dyDescent="0.25"/>
    <row r="166049" s="12" customFormat="1" x14ac:dyDescent="0.25"/>
    <row r="166050" s="12" customFormat="1" x14ac:dyDescent="0.25"/>
    <row r="166051" s="12" customFormat="1" x14ac:dyDescent="0.25"/>
    <row r="166052" s="12" customFormat="1" x14ac:dyDescent="0.25"/>
    <row r="166053" s="12" customFormat="1" x14ac:dyDescent="0.25"/>
    <row r="166054" s="12" customFormat="1" x14ac:dyDescent="0.25"/>
    <row r="166055" s="12" customFormat="1" x14ac:dyDescent="0.25"/>
    <row r="166056" s="12" customFormat="1" x14ac:dyDescent="0.25"/>
    <row r="166057" s="12" customFormat="1" x14ac:dyDescent="0.25"/>
    <row r="166058" s="12" customFormat="1" x14ac:dyDescent="0.25"/>
    <row r="166059" s="12" customFormat="1" x14ac:dyDescent="0.25"/>
    <row r="166060" s="12" customFormat="1" x14ac:dyDescent="0.25"/>
    <row r="166061" s="12" customFormat="1" x14ac:dyDescent="0.25"/>
    <row r="166062" s="12" customFormat="1" x14ac:dyDescent="0.25"/>
    <row r="166063" s="12" customFormat="1" x14ac:dyDescent="0.25"/>
    <row r="166064" s="12" customFormat="1" x14ac:dyDescent="0.25"/>
    <row r="166065" s="12" customFormat="1" x14ac:dyDescent="0.25"/>
    <row r="166066" s="12" customFormat="1" x14ac:dyDescent="0.25"/>
    <row r="166067" s="12" customFormat="1" x14ac:dyDescent="0.25"/>
    <row r="166068" s="12" customFormat="1" x14ac:dyDescent="0.25"/>
    <row r="166069" s="12" customFormat="1" x14ac:dyDescent="0.25"/>
    <row r="166070" s="12" customFormat="1" x14ac:dyDescent="0.25"/>
    <row r="166071" s="12" customFormat="1" x14ac:dyDescent="0.25"/>
    <row r="166072" s="12" customFormat="1" x14ac:dyDescent="0.25"/>
    <row r="166073" s="12" customFormat="1" x14ac:dyDescent="0.25"/>
    <row r="166074" s="12" customFormat="1" x14ac:dyDescent="0.25"/>
    <row r="166075" s="12" customFormat="1" x14ac:dyDescent="0.25"/>
    <row r="166076" s="12" customFormat="1" x14ac:dyDescent="0.25"/>
    <row r="166077" s="12" customFormat="1" x14ac:dyDescent="0.25"/>
    <row r="166078" s="12" customFormat="1" x14ac:dyDescent="0.25"/>
    <row r="166079" s="12" customFormat="1" x14ac:dyDescent="0.25"/>
    <row r="166080" s="12" customFormat="1" x14ac:dyDescent="0.25"/>
    <row r="166081" s="12" customFormat="1" x14ac:dyDescent="0.25"/>
    <row r="166082" s="12" customFormat="1" x14ac:dyDescent="0.25"/>
    <row r="166083" s="12" customFormat="1" x14ac:dyDescent="0.25"/>
    <row r="166084" s="12" customFormat="1" x14ac:dyDescent="0.25"/>
    <row r="166085" s="12" customFormat="1" x14ac:dyDescent="0.25"/>
    <row r="166086" s="12" customFormat="1" x14ac:dyDescent="0.25"/>
    <row r="166087" s="12" customFormat="1" x14ac:dyDescent="0.25"/>
    <row r="166088" s="12" customFormat="1" x14ac:dyDescent="0.25"/>
    <row r="166089" s="12" customFormat="1" x14ac:dyDescent="0.25"/>
    <row r="166090" s="12" customFormat="1" x14ac:dyDescent="0.25"/>
    <row r="166091" s="12" customFormat="1" x14ac:dyDescent="0.25"/>
    <row r="166092" s="12" customFormat="1" x14ac:dyDescent="0.25"/>
    <row r="166093" s="12" customFormat="1" x14ac:dyDescent="0.25"/>
    <row r="166094" s="12" customFormat="1" x14ac:dyDescent="0.25"/>
    <row r="166095" s="12" customFormat="1" x14ac:dyDescent="0.25"/>
    <row r="166096" s="12" customFormat="1" x14ac:dyDescent="0.25"/>
    <row r="166097" s="12" customFormat="1" x14ac:dyDescent="0.25"/>
    <row r="166098" s="12" customFormat="1" x14ac:dyDescent="0.25"/>
    <row r="166099" s="12" customFormat="1" x14ac:dyDescent="0.25"/>
    <row r="166100" s="12" customFormat="1" x14ac:dyDescent="0.25"/>
    <row r="166101" s="12" customFormat="1" x14ac:dyDescent="0.25"/>
    <row r="166102" s="12" customFormat="1" x14ac:dyDescent="0.25"/>
    <row r="166103" s="12" customFormat="1" x14ac:dyDescent="0.25"/>
    <row r="166104" s="12" customFormat="1" x14ac:dyDescent="0.25"/>
    <row r="166105" s="12" customFormat="1" x14ac:dyDescent="0.25"/>
    <row r="166106" s="12" customFormat="1" x14ac:dyDescent="0.25"/>
    <row r="166107" s="12" customFormat="1" x14ac:dyDescent="0.25"/>
    <row r="166108" s="12" customFormat="1" x14ac:dyDescent="0.25"/>
    <row r="166109" s="12" customFormat="1" x14ac:dyDescent="0.25"/>
    <row r="166110" s="12" customFormat="1" x14ac:dyDescent="0.25"/>
    <row r="166111" s="12" customFormat="1" x14ac:dyDescent="0.25"/>
    <row r="166112" s="12" customFormat="1" x14ac:dyDescent="0.25"/>
    <row r="166113" s="12" customFormat="1" x14ac:dyDescent="0.25"/>
    <row r="166114" s="12" customFormat="1" x14ac:dyDescent="0.25"/>
    <row r="166115" s="12" customFormat="1" x14ac:dyDescent="0.25"/>
    <row r="166116" s="12" customFormat="1" x14ac:dyDescent="0.25"/>
    <row r="166117" s="12" customFormat="1" x14ac:dyDescent="0.25"/>
    <row r="166118" s="12" customFormat="1" x14ac:dyDescent="0.25"/>
    <row r="166119" s="12" customFormat="1" x14ac:dyDescent="0.25"/>
    <row r="166120" s="12" customFormat="1" x14ac:dyDescent="0.25"/>
    <row r="166121" s="12" customFormat="1" x14ac:dyDescent="0.25"/>
    <row r="166122" s="12" customFormat="1" x14ac:dyDescent="0.25"/>
    <row r="166123" s="12" customFormat="1" x14ac:dyDescent="0.25"/>
    <row r="166124" s="12" customFormat="1" x14ac:dyDescent="0.25"/>
    <row r="166125" s="12" customFormat="1" x14ac:dyDescent="0.25"/>
    <row r="166126" s="12" customFormat="1" x14ac:dyDescent="0.25"/>
    <row r="166127" s="12" customFormat="1" x14ac:dyDescent="0.25"/>
    <row r="166128" s="12" customFormat="1" x14ac:dyDescent="0.25"/>
    <row r="166129" s="12" customFormat="1" x14ac:dyDescent="0.25"/>
    <row r="166130" s="12" customFormat="1" x14ac:dyDescent="0.25"/>
    <row r="166131" s="12" customFormat="1" x14ac:dyDescent="0.25"/>
    <row r="166132" s="12" customFormat="1" x14ac:dyDescent="0.25"/>
    <row r="166133" s="12" customFormat="1" x14ac:dyDescent="0.25"/>
    <row r="166134" s="12" customFormat="1" x14ac:dyDescent="0.25"/>
    <row r="166135" s="12" customFormat="1" x14ac:dyDescent="0.25"/>
    <row r="166136" s="12" customFormat="1" x14ac:dyDescent="0.25"/>
    <row r="166137" s="12" customFormat="1" x14ac:dyDescent="0.25"/>
    <row r="166138" s="12" customFormat="1" x14ac:dyDescent="0.25"/>
    <row r="166139" s="12" customFormat="1" x14ac:dyDescent="0.25"/>
    <row r="166140" s="12" customFormat="1" x14ac:dyDescent="0.25"/>
    <row r="166141" s="12" customFormat="1" x14ac:dyDescent="0.25"/>
    <row r="166142" s="12" customFormat="1" x14ac:dyDescent="0.25"/>
    <row r="166143" s="12" customFormat="1" x14ac:dyDescent="0.25"/>
    <row r="166144" s="12" customFormat="1" x14ac:dyDescent="0.25"/>
    <row r="166145" s="12" customFormat="1" x14ac:dyDescent="0.25"/>
    <row r="166146" s="12" customFormat="1" x14ac:dyDescent="0.25"/>
    <row r="166147" s="12" customFormat="1" x14ac:dyDescent="0.25"/>
    <row r="166148" s="12" customFormat="1" x14ac:dyDescent="0.25"/>
    <row r="166149" s="12" customFormat="1" x14ac:dyDescent="0.25"/>
    <row r="166150" s="12" customFormat="1" x14ac:dyDescent="0.25"/>
    <row r="166151" s="12" customFormat="1" x14ac:dyDescent="0.25"/>
    <row r="166152" s="12" customFormat="1" x14ac:dyDescent="0.25"/>
    <row r="166153" s="12" customFormat="1" x14ac:dyDescent="0.25"/>
    <row r="166154" s="12" customFormat="1" x14ac:dyDescent="0.25"/>
    <row r="166155" s="12" customFormat="1" x14ac:dyDescent="0.25"/>
    <row r="166156" s="12" customFormat="1" x14ac:dyDescent="0.25"/>
    <row r="166157" s="12" customFormat="1" x14ac:dyDescent="0.25"/>
    <row r="166158" s="12" customFormat="1" x14ac:dyDescent="0.25"/>
    <row r="166159" s="12" customFormat="1" x14ac:dyDescent="0.25"/>
    <row r="166160" s="12" customFormat="1" x14ac:dyDescent="0.25"/>
    <row r="166161" s="12" customFormat="1" x14ac:dyDescent="0.25"/>
    <row r="166162" s="12" customFormat="1" x14ac:dyDescent="0.25"/>
    <row r="166163" s="12" customFormat="1" x14ac:dyDescent="0.25"/>
    <row r="166164" s="12" customFormat="1" x14ac:dyDescent="0.25"/>
    <row r="166165" s="12" customFormat="1" x14ac:dyDescent="0.25"/>
    <row r="166166" s="12" customFormat="1" x14ac:dyDescent="0.25"/>
    <row r="166167" s="12" customFormat="1" x14ac:dyDescent="0.25"/>
    <row r="166168" s="12" customFormat="1" x14ac:dyDescent="0.25"/>
    <row r="166169" s="12" customFormat="1" x14ac:dyDescent="0.25"/>
    <row r="166170" s="12" customFormat="1" x14ac:dyDescent="0.25"/>
    <row r="166171" s="12" customFormat="1" x14ac:dyDescent="0.25"/>
    <row r="166172" s="12" customFormat="1" x14ac:dyDescent="0.25"/>
    <row r="166173" s="12" customFormat="1" x14ac:dyDescent="0.25"/>
    <row r="166174" s="12" customFormat="1" x14ac:dyDescent="0.25"/>
    <row r="166175" s="12" customFormat="1" x14ac:dyDescent="0.25"/>
    <row r="166176" s="12" customFormat="1" x14ac:dyDescent="0.25"/>
    <row r="166177" s="12" customFormat="1" x14ac:dyDescent="0.25"/>
    <row r="166178" s="12" customFormat="1" x14ac:dyDescent="0.25"/>
    <row r="166179" s="12" customFormat="1" x14ac:dyDescent="0.25"/>
    <row r="166180" s="12" customFormat="1" x14ac:dyDescent="0.25"/>
    <row r="166181" s="12" customFormat="1" x14ac:dyDescent="0.25"/>
    <row r="166182" s="12" customFormat="1" x14ac:dyDescent="0.25"/>
    <row r="166183" s="12" customFormat="1" x14ac:dyDescent="0.25"/>
    <row r="166184" s="12" customFormat="1" x14ac:dyDescent="0.25"/>
    <row r="166185" s="12" customFormat="1" x14ac:dyDescent="0.25"/>
    <row r="166186" s="12" customFormat="1" x14ac:dyDescent="0.25"/>
    <row r="166187" s="12" customFormat="1" x14ac:dyDescent="0.25"/>
    <row r="166188" s="12" customFormat="1" x14ac:dyDescent="0.25"/>
    <row r="166189" s="12" customFormat="1" x14ac:dyDescent="0.25"/>
    <row r="166190" s="12" customFormat="1" x14ac:dyDescent="0.25"/>
    <row r="166191" s="12" customFormat="1" x14ac:dyDescent="0.25"/>
    <row r="166192" s="12" customFormat="1" x14ac:dyDescent="0.25"/>
    <row r="166193" s="12" customFormat="1" x14ac:dyDescent="0.25"/>
    <row r="166194" s="12" customFormat="1" x14ac:dyDescent="0.25"/>
    <row r="166195" s="12" customFormat="1" x14ac:dyDescent="0.25"/>
    <row r="166196" s="12" customFormat="1" x14ac:dyDescent="0.25"/>
    <row r="166197" s="12" customFormat="1" x14ac:dyDescent="0.25"/>
    <row r="166198" s="12" customFormat="1" x14ac:dyDescent="0.25"/>
    <row r="166199" s="12" customFormat="1" x14ac:dyDescent="0.25"/>
    <row r="166200" s="12" customFormat="1" x14ac:dyDescent="0.25"/>
    <row r="166201" s="12" customFormat="1" x14ac:dyDescent="0.25"/>
    <row r="166202" s="12" customFormat="1" x14ac:dyDescent="0.25"/>
    <row r="166203" s="12" customFormat="1" x14ac:dyDescent="0.25"/>
    <row r="166204" s="12" customFormat="1" x14ac:dyDescent="0.25"/>
    <row r="166205" s="12" customFormat="1" x14ac:dyDescent="0.25"/>
    <row r="166206" s="12" customFormat="1" x14ac:dyDescent="0.25"/>
    <row r="166207" s="12" customFormat="1" x14ac:dyDescent="0.25"/>
    <row r="166208" s="12" customFormat="1" x14ac:dyDescent="0.25"/>
    <row r="166209" s="12" customFormat="1" x14ac:dyDescent="0.25"/>
    <row r="166210" s="12" customFormat="1" x14ac:dyDescent="0.25"/>
    <row r="166211" s="12" customFormat="1" x14ac:dyDescent="0.25"/>
    <row r="166212" s="12" customFormat="1" x14ac:dyDescent="0.25"/>
    <row r="166213" s="12" customFormat="1" x14ac:dyDescent="0.25"/>
    <row r="166214" s="12" customFormat="1" x14ac:dyDescent="0.25"/>
    <row r="166215" s="12" customFormat="1" x14ac:dyDescent="0.25"/>
    <row r="166216" s="12" customFormat="1" x14ac:dyDescent="0.25"/>
    <row r="166217" s="12" customFormat="1" x14ac:dyDescent="0.25"/>
    <row r="166218" s="12" customFormat="1" x14ac:dyDescent="0.25"/>
    <row r="166219" s="12" customFormat="1" x14ac:dyDescent="0.25"/>
    <row r="166220" s="12" customFormat="1" x14ac:dyDescent="0.25"/>
    <row r="166221" s="12" customFormat="1" x14ac:dyDescent="0.25"/>
    <row r="166222" s="12" customFormat="1" x14ac:dyDescent="0.25"/>
    <row r="166223" s="12" customFormat="1" x14ac:dyDescent="0.25"/>
    <row r="166224" s="12" customFormat="1" x14ac:dyDescent="0.25"/>
    <row r="166225" s="12" customFormat="1" x14ac:dyDescent="0.25"/>
    <row r="166226" s="12" customFormat="1" x14ac:dyDescent="0.25"/>
    <row r="166227" s="12" customFormat="1" x14ac:dyDescent="0.25"/>
    <row r="166228" s="12" customFormat="1" x14ac:dyDescent="0.25"/>
    <row r="166229" s="12" customFormat="1" x14ac:dyDescent="0.25"/>
    <row r="166230" s="12" customFormat="1" x14ac:dyDescent="0.25"/>
    <row r="166231" s="12" customFormat="1" x14ac:dyDescent="0.25"/>
    <row r="166232" s="12" customFormat="1" x14ac:dyDescent="0.25"/>
    <row r="166233" s="12" customFormat="1" x14ac:dyDescent="0.25"/>
    <row r="166234" s="12" customFormat="1" x14ac:dyDescent="0.25"/>
    <row r="166235" s="12" customFormat="1" x14ac:dyDescent="0.25"/>
    <row r="166236" s="12" customFormat="1" x14ac:dyDescent="0.25"/>
    <row r="166237" s="12" customFormat="1" x14ac:dyDescent="0.25"/>
    <row r="166238" s="12" customFormat="1" x14ac:dyDescent="0.25"/>
    <row r="166239" s="12" customFormat="1" x14ac:dyDescent="0.25"/>
    <row r="166240" s="12" customFormat="1" x14ac:dyDescent="0.25"/>
    <row r="166241" s="12" customFormat="1" x14ac:dyDescent="0.25"/>
    <row r="166242" s="12" customFormat="1" x14ac:dyDescent="0.25"/>
    <row r="166243" s="12" customFormat="1" x14ac:dyDescent="0.25"/>
    <row r="166244" s="12" customFormat="1" x14ac:dyDescent="0.25"/>
    <row r="166245" s="12" customFormat="1" x14ac:dyDescent="0.25"/>
    <row r="166246" s="12" customFormat="1" x14ac:dyDescent="0.25"/>
    <row r="166247" s="12" customFormat="1" x14ac:dyDescent="0.25"/>
    <row r="166248" s="12" customFormat="1" x14ac:dyDescent="0.25"/>
    <row r="166249" s="12" customFormat="1" x14ac:dyDescent="0.25"/>
    <row r="166250" s="12" customFormat="1" x14ac:dyDescent="0.25"/>
    <row r="166251" s="12" customFormat="1" x14ac:dyDescent="0.25"/>
    <row r="166252" s="12" customFormat="1" x14ac:dyDescent="0.25"/>
    <row r="166253" s="12" customFormat="1" x14ac:dyDescent="0.25"/>
    <row r="166254" s="12" customFormat="1" x14ac:dyDescent="0.25"/>
    <row r="166255" s="12" customFormat="1" x14ac:dyDescent="0.25"/>
    <row r="166256" s="12" customFormat="1" x14ac:dyDescent="0.25"/>
    <row r="166257" s="12" customFormat="1" x14ac:dyDescent="0.25"/>
    <row r="166258" s="12" customFormat="1" x14ac:dyDescent="0.25"/>
    <row r="166259" s="12" customFormat="1" x14ac:dyDescent="0.25"/>
    <row r="166260" s="12" customFormat="1" x14ac:dyDescent="0.25"/>
    <row r="166261" s="12" customFormat="1" x14ac:dyDescent="0.25"/>
    <row r="166262" s="12" customFormat="1" x14ac:dyDescent="0.25"/>
    <row r="166263" s="12" customFormat="1" x14ac:dyDescent="0.25"/>
    <row r="166264" s="12" customFormat="1" x14ac:dyDescent="0.25"/>
    <row r="166265" s="12" customFormat="1" x14ac:dyDescent="0.25"/>
    <row r="166266" s="12" customFormat="1" x14ac:dyDescent="0.25"/>
    <row r="166267" s="12" customFormat="1" x14ac:dyDescent="0.25"/>
    <row r="166268" s="12" customFormat="1" x14ac:dyDescent="0.25"/>
    <row r="166269" s="12" customFormat="1" x14ac:dyDescent="0.25"/>
    <row r="166270" s="12" customFormat="1" x14ac:dyDescent="0.25"/>
    <row r="166271" s="12" customFormat="1" x14ac:dyDescent="0.25"/>
    <row r="166272" s="12" customFormat="1" x14ac:dyDescent="0.25"/>
    <row r="166273" s="12" customFormat="1" x14ac:dyDescent="0.25"/>
    <row r="166274" s="12" customFormat="1" x14ac:dyDescent="0.25"/>
    <row r="166275" s="12" customFormat="1" x14ac:dyDescent="0.25"/>
    <row r="166276" s="12" customFormat="1" x14ac:dyDescent="0.25"/>
    <row r="166277" s="12" customFormat="1" x14ac:dyDescent="0.25"/>
    <row r="166278" s="12" customFormat="1" x14ac:dyDescent="0.25"/>
    <row r="166279" s="12" customFormat="1" x14ac:dyDescent="0.25"/>
    <row r="166280" s="12" customFormat="1" x14ac:dyDescent="0.25"/>
    <row r="166281" s="12" customFormat="1" x14ac:dyDescent="0.25"/>
    <row r="166282" s="12" customFormat="1" x14ac:dyDescent="0.25"/>
    <row r="166283" s="12" customFormat="1" x14ac:dyDescent="0.25"/>
    <row r="166284" s="12" customFormat="1" x14ac:dyDescent="0.25"/>
    <row r="166285" s="12" customFormat="1" x14ac:dyDescent="0.25"/>
    <row r="166286" s="12" customFormat="1" x14ac:dyDescent="0.25"/>
    <row r="166287" s="12" customFormat="1" x14ac:dyDescent="0.25"/>
    <row r="166288" s="12" customFormat="1" x14ac:dyDescent="0.25"/>
    <row r="166289" s="12" customFormat="1" x14ac:dyDescent="0.25"/>
    <row r="166290" s="12" customFormat="1" x14ac:dyDescent="0.25"/>
    <row r="166291" s="12" customFormat="1" x14ac:dyDescent="0.25"/>
    <row r="166292" s="12" customFormat="1" x14ac:dyDescent="0.25"/>
    <row r="166293" s="12" customFormat="1" x14ac:dyDescent="0.25"/>
    <row r="166294" s="12" customFormat="1" x14ac:dyDescent="0.25"/>
    <row r="166295" s="12" customFormat="1" x14ac:dyDescent="0.25"/>
    <row r="166296" s="12" customFormat="1" x14ac:dyDescent="0.25"/>
    <row r="166297" s="12" customFormat="1" x14ac:dyDescent="0.25"/>
    <row r="166298" s="12" customFormat="1" x14ac:dyDescent="0.25"/>
    <row r="166299" s="12" customFormat="1" x14ac:dyDescent="0.25"/>
    <row r="166300" s="12" customFormat="1" x14ac:dyDescent="0.25"/>
    <row r="166301" s="12" customFormat="1" x14ac:dyDescent="0.25"/>
    <row r="166302" s="12" customFormat="1" x14ac:dyDescent="0.25"/>
    <row r="166303" s="12" customFormat="1" x14ac:dyDescent="0.25"/>
    <row r="166304" s="12" customFormat="1" x14ac:dyDescent="0.25"/>
    <row r="166305" s="12" customFormat="1" x14ac:dyDescent="0.25"/>
    <row r="166306" s="12" customFormat="1" x14ac:dyDescent="0.25"/>
    <row r="166307" s="12" customFormat="1" x14ac:dyDescent="0.25"/>
    <row r="166308" s="12" customFormat="1" x14ac:dyDescent="0.25"/>
    <row r="166309" s="12" customFormat="1" x14ac:dyDescent="0.25"/>
    <row r="166310" s="12" customFormat="1" x14ac:dyDescent="0.25"/>
    <row r="166311" s="12" customFormat="1" x14ac:dyDescent="0.25"/>
    <row r="166312" s="12" customFormat="1" x14ac:dyDescent="0.25"/>
    <row r="166313" s="12" customFormat="1" x14ac:dyDescent="0.25"/>
    <row r="166314" s="12" customFormat="1" x14ac:dyDescent="0.25"/>
    <row r="166315" s="12" customFormat="1" x14ac:dyDescent="0.25"/>
    <row r="166316" s="12" customFormat="1" x14ac:dyDescent="0.25"/>
    <row r="166317" s="12" customFormat="1" x14ac:dyDescent="0.25"/>
    <row r="166318" s="12" customFormat="1" x14ac:dyDescent="0.25"/>
    <row r="166319" s="12" customFormat="1" x14ac:dyDescent="0.25"/>
    <row r="166320" s="12" customFormat="1" x14ac:dyDescent="0.25"/>
    <row r="166321" s="12" customFormat="1" x14ac:dyDescent="0.25"/>
    <row r="166322" s="12" customFormat="1" x14ac:dyDescent="0.25"/>
    <row r="166323" s="12" customFormat="1" x14ac:dyDescent="0.25"/>
    <row r="166324" s="12" customFormat="1" x14ac:dyDescent="0.25"/>
    <row r="166325" s="12" customFormat="1" x14ac:dyDescent="0.25"/>
    <row r="166326" s="12" customFormat="1" x14ac:dyDescent="0.25"/>
    <row r="166327" s="12" customFormat="1" x14ac:dyDescent="0.25"/>
    <row r="166328" s="12" customFormat="1" x14ac:dyDescent="0.25"/>
    <row r="166329" s="12" customFormat="1" x14ac:dyDescent="0.25"/>
    <row r="166330" s="12" customFormat="1" x14ac:dyDescent="0.25"/>
    <row r="166331" s="12" customFormat="1" x14ac:dyDescent="0.25"/>
    <row r="166332" s="12" customFormat="1" x14ac:dyDescent="0.25"/>
    <row r="166333" s="12" customFormat="1" x14ac:dyDescent="0.25"/>
    <row r="166334" s="12" customFormat="1" x14ac:dyDescent="0.25"/>
    <row r="166335" s="12" customFormat="1" x14ac:dyDescent="0.25"/>
    <row r="166336" s="12" customFormat="1" x14ac:dyDescent="0.25"/>
    <row r="166337" s="12" customFormat="1" x14ac:dyDescent="0.25"/>
    <row r="166338" s="12" customFormat="1" x14ac:dyDescent="0.25"/>
    <row r="166339" s="12" customFormat="1" x14ac:dyDescent="0.25"/>
    <row r="166340" s="12" customFormat="1" x14ac:dyDescent="0.25"/>
    <row r="166341" s="12" customFormat="1" x14ac:dyDescent="0.25"/>
    <row r="166342" s="12" customFormat="1" x14ac:dyDescent="0.25"/>
    <row r="166343" s="12" customFormat="1" x14ac:dyDescent="0.25"/>
    <row r="166344" s="12" customFormat="1" x14ac:dyDescent="0.25"/>
    <row r="166345" s="12" customFormat="1" x14ac:dyDescent="0.25"/>
    <row r="166346" s="12" customFormat="1" x14ac:dyDescent="0.25"/>
    <row r="166347" s="12" customFormat="1" x14ac:dyDescent="0.25"/>
    <row r="166348" s="12" customFormat="1" x14ac:dyDescent="0.25"/>
    <row r="166349" s="12" customFormat="1" x14ac:dyDescent="0.25"/>
    <row r="166350" s="12" customFormat="1" x14ac:dyDescent="0.25"/>
    <row r="166351" s="12" customFormat="1" x14ac:dyDescent="0.25"/>
    <row r="166352" s="12" customFormat="1" x14ac:dyDescent="0.25"/>
    <row r="166353" s="12" customFormat="1" x14ac:dyDescent="0.25"/>
    <row r="166354" s="12" customFormat="1" x14ac:dyDescent="0.25"/>
    <row r="166355" s="12" customFormat="1" x14ac:dyDescent="0.25"/>
    <row r="166356" s="12" customFormat="1" x14ac:dyDescent="0.25"/>
    <row r="166357" s="12" customFormat="1" x14ac:dyDescent="0.25"/>
    <row r="166358" s="12" customFormat="1" x14ac:dyDescent="0.25"/>
    <row r="166359" s="12" customFormat="1" x14ac:dyDescent="0.25"/>
    <row r="166360" s="12" customFormat="1" x14ac:dyDescent="0.25"/>
    <row r="166361" s="12" customFormat="1" x14ac:dyDescent="0.25"/>
    <row r="166362" s="12" customFormat="1" x14ac:dyDescent="0.25"/>
    <row r="166363" s="12" customFormat="1" x14ac:dyDescent="0.25"/>
    <row r="166364" s="12" customFormat="1" x14ac:dyDescent="0.25"/>
    <row r="166365" s="12" customFormat="1" x14ac:dyDescent="0.25"/>
    <row r="166366" s="12" customFormat="1" x14ac:dyDescent="0.25"/>
    <row r="166367" s="12" customFormat="1" x14ac:dyDescent="0.25"/>
    <row r="166368" s="12" customFormat="1" x14ac:dyDescent="0.25"/>
    <row r="166369" s="12" customFormat="1" x14ac:dyDescent="0.25"/>
    <row r="166370" s="12" customFormat="1" x14ac:dyDescent="0.25"/>
    <row r="166371" s="12" customFormat="1" x14ac:dyDescent="0.25"/>
    <row r="166372" s="12" customFormat="1" x14ac:dyDescent="0.25"/>
    <row r="166373" s="12" customFormat="1" x14ac:dyDescent="0.25"/>
    <row r="166374" s="12" customFormat="1" x14ac:dyDescent="0.25"/>
    <row r="166375" s="12" customFormat="1" x14ac:dyDescent="0.25"/>
    <row r="166376" s="12" customFormat="1" x14ac:dyDescent="0.25"/>
    <row r="166377" s="12" customFormat="1" x14ac:dyDescent="0.25"/>
    <row r="166378" s="12" customFormat="1" x14ac:dyDescent="0.25"/>
    <row r="166379" s="12" customFormat="1" x14ac:dyDescent="0.25"/>
    <row r="166380" s="12" customFormat="1" x14ac:dyDescent="0.25"/>
    <row r="166381" s="12" customFormat="1" x14ac:dyDescent="0.25"/>
    <row r="166382" s="12" customFormat="1" x14ac:dyDescent="0.25"/>
    <row r="166383" s="12" customFormat="1" x14ac:dyDescent="0.25"/>
    <row r="166384" s="12" customFormat="1" x14ac:dyDescent="0.25"/>
    <row r="166385" s="12" customFormat="1" x14ac:dyDescent="0.25"/>
    <row r="166386" s="12" customFormat="1" x14ac:dyDescent="0.25"/>
    <row r="166387" s="12" customFormat="1" x14ac:dyDescent="0.25"/>
    <row r="166388" s="12" customFormat="1" x14ac:dyDescent="0.25"/>
    <row r="166389" s="12" customFormat="1" x14ac:dyDescent="0.25"/>
    <row r="166390" s="12" customFormat="1" x14ac:dyDescent="0.25"/>
    <row r="166391" s="12" customFormat="1" x14ac:dyDescent="0.25"/>
    <row r="166392" s="12" customFormat="1" x14ac:dyDescent="0.25"/>
    <row r="166393" s="12" customFormat="1" x14ac:dyDescent="0.25"/>
    <row r="166394" s="12" customFormat="1" x14ac:dyDescent="0.25"/>
    <row r="166395" s="12" customFormat="1" x14ac:dyDescent="0.25"/>
    <row r="166396" s="12" customFormat="1" x14ac:dyDescent="0.25"/>
    <row r="166397" s="12" customFormat="1" x14ac:dyDescent="0.25"/>
    <row r="166398" s="12" customFormat="1" x14ac:dyDescent="0.25"/>
    <row r="166399" s="12" customFormat="1" x14ac:dyDescent="0.25"/>
    <row r="166400" s="12" customFormat="1" x14ac:dyDescent="0.25"/>
    <row r="166401" s="12" customFormat="1" x14ac:dyDescent="0.25"/>
    <row r="166402" s="12" customFormat="1" x14ac:dyDescent="0.25"/>
    <row r="166403" s="12" customFormat="1" x14ac:dyDescent="0.25"/>
    <row r="166404" s="12" customFormat="1" x14ac:dyDescent="0.25"/>
    <row r="166405" s="12" customFormat="1" x14ac:dyDescent="0.25"/>
    <row r="166406" s="12" customFormat="1" x14ac:dyDescent="0.25"/>
    <row r="166407" s="12" customFormat="1" x14ac:dyDescent="0.25"/>
    <row r="166408" s="12" customFormat="1" x14ac:dyDescent="0.25"/>
    <row r="166409" s="12" customFormat="1" x14ac:dyDescent="0.25"/>
    <row r="166410" s="12" customFormat="1" x14ac:dyDescent="0.25"/>
    <row r="166411" s="12" customFormat="1" x14ac:dyDescent="0.25"/>
    <row r="166412" s="12" customFormat="1" x14ac:dyDescent="0.25"/>
    <row r="166413" s="12" customFormat="1" x14ac:dyDescent="0.25"/>
    <row r="166414" s="12" customFormat="1" x14ac:dyDescent="0.25"/>
    <row r="166415" s="12" customFormat="1" x14ac:dyDescent="0.25"/>
    <row r="166416" s="12" customFormat="1" x14ac:dyDescent="0.25"/>
    <row r="166417" s="12" customFormat="1" x14ac:dyDescent="0.25"/>
    <row r="166418" s="12" customFormat="1" x14ac:dyDescent="0.25"/>
    <row r="166419" s="12" customFormat="1" x14ac:dyDescent="0.25"/>
    <row r="166420" s="12" customFormat="1" x14ac:dyDescent="0.25"/>
    <row r="166421" s="12" customFormat="1" x14ac:dyDescent="0.25"/>
    <row r="166422" s="12" customFormat="1" x14ac:dyDescent="0.25"/>
    <row r="166423" s="12" customFormat="1" x14ac:dyDescent="0.25"/>
    <row r="166424" s="12" customFormat="1" x14ac:dyDescent="0.25"/>
    <row r="166425" s="12" customFormat="1" x14ac:dyDescent="0.25"/>
    <row r="166426" s="12" customFormat="1" x14ac:dyDescent="0.25"/>
    <row r="166427" s="12" customFormat="1" x14ac:dyDescent="0.25"/>
    <row r="166428" s="12" customFormat="1" x14ac:dyDescent="0.25"/>
    <row r="166429" s="12" customFormat="1" x14ac:dyDescent="0.25"/>
    <row r="166430" s="12" customFormat="1" x14ac:dyDescent="0.25"/>
    <row r="166431" s="12" customFormat="1" x14ac:dyDescent="0.25"/>
    <row r="166432" s="12" customFormat="1" x14ac:dyDescent="0.25"/>
    <row r="166433" s="12" customFormat="1" x14ac:dyDescent="0.25"/>
    <row r="166434" s="12" customFormat="1" x14ac:dyDescent="0.25"/>
    <row r="166435" s="12" customFormat="1" x14ac:dyDescent="0.25"/>
    <row r="166436" s="12" customFormat="1" x14ac:dyDescent="0.25"/>
    <row r="166437" s="12" customFormat="1" x14ac:dyDescent="0.25"/>
    <row r="166438" s="12" customFormat="1" x14ac:dyDescent="0.25"/>
    <row r="166439" s="12" customFormat="1" x14ac:dyDescent="0.25"/>
    <row r="166440" s="12" customFormat="1" x14ac:dyDescent="0.25"/>
    <row r="166441" s="12" customFormat="1" x14ac:dyDescent="0.25"/>
    <row r="166442" s="12" customFormat="1" x14ac:dyDescent="0.25"/>
    <row r="166443" s="12" customFormat="1" x14ac:dyDescent="0.25"/>
    <row r="166444" s="12" customFormat="1" x14ac:dyDescent="0.25"/>
    <row r="166445" s="12" customFormat="1" x14ac:dyDescent="0.25"/>
    <row r="166446" s="12" customFormat="1" x14ac:dyDescent="0.25"/>
    <row r="166447" s="12" customFormat="1" x14ac:dyDescent="0.25"/>
    <row r="166448" s="12" customFormat="1" x14ac:dyDescent="0.25"/>
    <row r="166449" s="12" customFormat="1" x14ac:dyDescent="0.25"/>
    <row r="166450" s="12" customFormat="1" x14ac:dyDescent="0.25"/>
    <row r="166451" s="12" customFormat="1" x14ac:dyDescent="0.25"/>
    <row r="166452" s="12" customFormat="1" x14ac:dyDescent="0.25"/>
    <row r="166453" s="12" customFormat="1" x14ac:dyDescent="0.25"/>
    <row r="166454" s="12" customFormat="1" x14ac:dyDescent="0.25"/>
    <row r="166455" s="12" customFormat="1" x14ac:dyDescent="0.25"/>
    <row r="166456" s="12" customFormat="1" x14ac:dyDescent="0.25"/>
    <row r="166457" s="12" customFormat="1" x14ac:dyDescent="0.25"/>
    <row r="166458" s="12" customFormat="1" x14ac:dyDescent="0.25"/>
    <row r="166459" s="12" customFormat="1" x14ac:dyDescent="0.25"/>
    <row r="166460" s="12" customFormat="1" x14ac:dyDescent="0.25"/>
    <row r="166461" s="12" customFormat="1" x14ac:dyDescent="0.25"/>
    <row r="166462" s="12" customFormat="1" x14ac:dyDescent="0.25"/>
    <row r="166463" s="12" customFormat="1" x14ac:dyDescent="0.25"/>
    <row r="166464" s="12" customFormat="1" x14ac:dyDescent="0.25"/>
    <row r="166465" s="12" customFormat="1" x14ac:dyDescent="0.25"/>
    <row r="166466" s="12" customFormat="1" x14ac:dyDescent="0.25"/>
    <row r="166467" s="12" customFormat="1" x14ac:dyDescent="0.25"/>
    <row r="166468" s="12" customFormat="1" x14ac:dyDescent="0.25"/>
    <row r="166469" s="12" customFormat="1" x14ac:dyDescent="0.25"/>
    <row r="166470" s="12" customFormat="1" x14ac:dyDescent="0.25"/>
    <row r="166471" s="12" customFormat="1" x14ac:dyDescent="0.25"/>
    <row r="166472" s="12" customFormat="1" x14ac:dyDescent="0.25"/>
    <row r="166473" s="12" customFormat="1" x14ac:dyDescent="0.25"/>
    <row r="166474" s="12" customFormat="1" x14ac:dyDescent="0.25"/>
    <row r="166475" s="12" customFormat="1" x14ac:dyDescent="0.25"/>
    <row r="166476" s="12" customFormat="1" x14ac:dyDescent="0.25"/>
    <row r="166477" s="12" customFormat="1" x14ac:dyDescent="0.25"/>
    <row r="166478" s="12" customFormat="1" x14ac:dyDescent="0.25"/>
    <row r="166479" s="12" customFormat="1" x14ac:dyDescent="0.25"/>
    <row r="166480" s="12" customFormat="1" x14ac:dyDescent="0.25"/>
    <row r="166481" s="12" customFormat="1" x14ac:dyDescent="0.25"/>
    <row r="166482" s="12" customFormat="1" x14ac:dyDescent="0.25"/>
    <row r="166483" s="12" customFormat="1" x14ac:dyDescent="0.25"/>
    <row r="166484" s="12" customFormat="1" x14ac:dyDescent="0.25"/>
    <row r="166485" s="12" customFormat="1" x14ac:dyDescent="0.25"/>
    <row r="166486" s="12" customFormat="1" x14ac:dyDescent="0.25"/>
    <row r="166487" s="12" customFormat="1" x14ac:dyDescent="0.25"/>
    <row r="166488" s="12" customFormat="1" x14ac:dyDescent="0.25"/>
    <row r="166489" s="12" customFormat="1" x14ac:dyDescent="0.25"/>
    <row r="166490" s="12" customFormat="1" x14ac:dyDescent="0.25"/>
    <row r="166491" s="12" customFormat="1" x14ac:dyDescent="0.25"/>
    <row r="166492" s="12" customFormat="1" x14ac:dyDescent="0.25"/>
    <row r="166493" s="12" customFormat="1" x14ac:dyDescent="0.25"/>
    <row r="166494" s="12" customFormat="1" x14ac:dyDescent="0.25"/>
    <row r="166495" s="12" customFormat="1" x14ac:dyDescent="0.25"/>
    <row r="166496" s="12" customFormat="1" x14ac:dyDescent="0.25"/>
    <row r="166497" s="12" customFormat="1" x14ac:dyDescent="0.25"/>
    <row r="166498" s="12" customFormat="1" x14ac:dyDescent="0.25"/>
    <row r="166499" s="12" customFormat="1" x14ac:dyDescent="0.25"/>
    <row r="166500" s="12" customFormat="1" x14ac:dyDescent="0.25"/>
    <row r="166501" s="12" customFormat="1" x14ac:dyDescent="0.25"/>
    <row r="166502" s="12" customFormat="1" x14ac:dyDescent="0.25"/>
    <row r="166503" s="12" customFormat="1" x14ac:dyDescent="0.25"/>
    <row r="166504" s="12" customFormat="1" x14ac:dyDescent="0.25"/>
    <row r="166505" s="12" customFormat="1" x14ac:dyDescent="0.25"/>
    <row r="166506" s="12" customFormat="1" x14ac:dyDescent="0.25"/>
    <row r="166507" s="12" customFormat="1" x14ac:dyDescent="0.25"/>
    <row r="166508" s="12" customFormat="1" x14ac:dyDescent="0.25"/>
    <row r="166509" s="12" customFormat="1" x14ac:dyDescent="0.25"/>
    <row r="166510" s="12" customFormat="1" x14ac:dyDescent="0.25"/>
    <row r="166511" s="12" customFormat="1" x14ac:dyDescent="0.25"/>
    <row r="166512" s="12" customFormat="1" x14ac:dyDescent="0.25"/>
    <row r="166513" s="12" customFormat="1" x14ac:dyDescent="0.25"/>
    <row r="166514" s="12" customFormat="1" x14ac:dyDescent="0.25"/>
    <row r="166515" s="12" customFormat="1" x14ac:dyDescent="0.25"/>
    <row r="166516" s="12" customFormat="1" x14ac:dyDescent="0.25"/>
    <row r="166517" s="12" customFormat="1" x14ac:dyDescent="0.25"/>
    <row r="166518" s="12" customFormat="1" x14ac:dyDescent="0.25"/>
    <row r="166519" s="12" customFormat="1" x14ac:dyDescent="0.25"/>
    <row r="166520" s="12" customFormat="1" x14ac:dyDescent="0.25"/>
    <row r="166521" s="12" customFormat="1" x14ac:dyDescent="0.25"/>
    <row r="166522" s="12" customFormat="1" x14ac:dyDescent="0.25"/>
    <row r="166523" s="12" customFormat="1" x14ac:dyDescent="0.25"/>
    <row r="166524" s="12" customFormat="1" x14ac:dyDescent="0.25"/>
    <row r="166525" s="12" customFormat="1" x14ac:dyDescent="0.25"/>
    <row r="166526" s="12" customFormat="1" x14ac:dyDescent="0.25"/>
    <row r="166527" s="12" customFormat="1" x14ac:dyDescent="0.25"/>
    <row r="166528" s="12" customFormat="1" x14ac:dyDescent="0.25"/>
    <row r="166529" s="12" customFormat="1" x14ac:dyDescent="0.25"/>
    <row r="166530" s="12" customFormat="1" x14ac:dyDescent="0.25"/>
    <row r="166531" s="12" customFormat="1" x14ac:dyDescent="0.25"/>
    <row r="166532" s="12" customFormat="1" x14ac:dyDescent="0.25"/>
    <row r="166533" s="12" customFormat="1" x14ac:dyDescent="0.25"/>
    <row r="166534" s="12" customFormat="1" x14ac:dyDescent="0.25"/>
    <row r="166535" s="12" customFormat="1" x14ac:dyDescent="0.25"/>
    <row r="166536" s="12" customFormat="1" x14ac:dyDescent="0.25"/>
    <row r="166537" s="12" customFormat="1" x14ac:dyDescent="0.25"/>
    <row r="166538" s="12" customFormat="1" x14ac:dyDescent="0.25"/>
    <row r="166539" s="12" customFormat="1" x14ac:dyDescent="0.25"/>
    <row r="166540" s="12" customFormat="1" x14ac:dyDescent="0.25"/>
    <row r="166541" s="12" customFormat="1" x14ac:dyDescent="0.25"/>
    <row r="166542" s="12" customFormat="1" x14ac:dyDescent="0.25"/>
    <row r="166543" s="12" customFormat="1" x14ac:dyDescent="0.25"/>
    <row r="166544" s="12" customFormat="1" x14ac:dyDescent="0.25"/>
    <row r="166545" s="12" customFormat="1" x14ac:dyDescent="0.25"/>
    <row r="166546" s="12" customFormat="1" x14ac:dyDescent="0.25"/>
    <row r="166547" s="12" customFormat="1" x14ac:dyDescent="0.25"/>
    <row r="166548" s="12" customFormat="1" x14ac:dyDescent="0.25"/>
    <row r="166549" s="12" customFormat="1" x14ac:dyDescent="0.25"/>
    <row r="166550" s="12" customFormat="1" x14ac:dyDescent="0.25"/>
    <row r="166551" s="12" customFormat="1" x14ac:dyDescent="0.25"/>
    <row r="166552" s="12" customFormat="1" x14ac:dyDescent="0.25"/>
    <row r="166553" s="12" customFormat="1" x14ac:dyDescent="0.25"/>
    <row r="166554" s="12" customFormat="1" x14ac:dyDescent="0.25"/>
    <row r="166555" s="12" customFormat="1" x14ac:dyDescent="0.25"/>
    <row r="166556" s="12" customFormat="1" x14ac:dyDescent="0.25"/>
    <row r="166557" s="12" customFormat="1" x14ac:dyDescent="0.25"/>
    <row r="166558" s="12" customFormat="1" x14ac:dyDescent="0.25"/>
    <row r="166559" s="12" customFormat="1" x14ac:dyDescent="0.25"/>
    <row r="166560" s="12" customFormat="1" x14ac:dyDescent="0.25"/>
    <row r="166561" s="12" customFormat="1" x14ac:dyDescent="0.25"/>
    <row r="166562" s="12" customFormat="1" x14ac:dyDescent="0.25"/>
    <row r="166563" s="12" customFormat="1" x14ac:dyDescent="0.25"/>
    <row r="166564" s="12" customFormat="1" x14ac:dyDescent="0.25"/>
    <row r="166565" s="12" customFormat="1" x14ac:dyDescent="0.25"/>
    <row r="166566" s="12" customFormat="1" x14ac:dyDescent="0.25"/>
    <row r="166567" s="12" customFormat="1" x14ac:dyDescent="0.25"/>
    <row r="166568" s="12" customFormat="1" x14ac:dyDescent="0.25"/>
    <row r="166569" s="12" customFormat="1" x14ac:dyDescent="0.25"/>
    <row r="166570" s="12" customFormat="1" x14ac:dyDescent="0.25"/>
    <row r="166571" s="12" customFormat="1" x14ac:dyDescent="0.25"/>
    <row r="166572" s="12" customFormat="1" x14ac:dyDescent="0.25"/>
    <row r="166573" s="12" customFormat="1" x14ac:dyDescent="0.25"/>
    <row r="166574" s="12" customFormat="1" x14ac:dyDescent="0.25"/>
    <row r="166575" s="12" customFormat="1" x14ac:dyDescent="0.25"/>
    <row r="166576" s="12" customFormat="1" x14ac:dyDescent="0.25"/>
    <row r="166577" s="12" customFormat="1" x14ac:dyDescent="0.25"/>
    <row r="166578" s="12" customFormat="1" x14ac:dyDescent="0.25"/>
    <row r="166579" s="12" customFormat="1" x14ac:dyDescent="0.25"/>
    <row r="166580" s="12" customFormat="1" x14ac:dyDescent="0.25"/>
    <row r="166581" s="12" customFormat="1" x14ac:dyDescent="0.25"/>
    <row r="166582" s="12" customFormat="1" x14ac:dyDescent="0.25"/>
    <row r="166583" s="12" customFormat="1" x14ac:dyDescent="0.25"/>
    <row r="166584" s="12" customFormat="1" x14ac:dyDescent="0.25"/>
    <row r="166585" s="12" customFormat="1" x14ac:dyDescent="0.25"/>
    <row r="166586" s="12" customFormat="1" x14ac:dyDescent="0.25"/>
    <row r="166587" s="12" customFormat="1" x14ac:dyDescent="0.25"/>
    <row r="166588" s="12" customFormat="1" x14ac:dyDescent="0.25"/>
    <row r="166589" s="12" customFormat="1" x14ac:dyDescent="0.25"/>
    <row r="166590" s="12" customFormat="1" x14ac:dyDescent="0.25"/>
    <row r="166591" s="12" customFormat="1" x14ac:dyDescent="0.25"/>
    <row r="166592" s="12" customFormat="1" x14ac:dyDescent="0.25"/>
    <row r="166593" s="12" customFormat="1" x14ac:dyDescent="0.25"/>
    <row r="166594" s="12" customFormat="1" x14ac:dyDescent="0.25"/>
    <row r="166595" s="12" customFormat="1" x14ac:dyDescent="0.25"/>
    <row r="166596" s="12" customFormat="1" x14ac:dyDescent="0.25"/>
    <row r="166597" s="12" customFormat="1" x14ac:dyDescent="0.25"/>
    <row r="166598" s="12" customFormat="1" x14ac:dyDescent="0.25"/>
    <row r="166599" s="12" customFormat="1" x14ac:dyDescent="0.25"/>
    <row r="166600" s="12" customFormat="1" x14ac:dyDescent="0.25"/>
    <row r="166601" s="12" customFormat="1" x14ac:dyDescent="0.25"/>
    <row r="166602" s="12" customFormat="1" x14ac:dyDescent="0.25"/>
    <row r="166603" s="12" customFormat="1" x14ac:dyDescent="0.25"/>
    <row r="166604" s="12" customFormat="1" x14ac:dyDescent="0.25"/>
    <row r="166605" s="12" customFormat="1" x14ac:dyDescent="0.25"/>
    <row r="166606" s="12" customFormat="1" x14ac:dyDescent="0.25"/>
    <row r="166607" s="12" customFormat="1" x14ac:dyDescent="0.25"/>
    <row r="166608" s="12" customFormat="1" x14ac:dyDescent="0.25"/>
    <row r="166609" s="12" customFormat="1" x14ac:dyDescent="0.25"/>
    <row r="166610" s="12" customFormat="1" x14ac:dyDescent="0.25"/>
    <row r="166611" s="12" customFormat="1" x14ac:dyDescent="0.25"/>
    <row r="166612" s="12" customFormat="1" x14ac:dyDescent="0.25"/>
    <row r="166613" s="12" customFormat="1" x14ac:dyDescent="0.25"/>
    <row r="166614" s="12" customFormat="1" x14ac:dyDescent="0.25"/>
    <row r="166615" s="12" customFormat="1" x14ac:dyDescent="0.25"/>
    <row r="166616" s="12" customFormat="1" x14ac:dyDescent="0.25"/>
    <row r="166617" s="12" customFormat="1" x14ac:dyDescent="0.25"/>
    <row r="166618" s="12" customFormat="1" x14ac:dyDescent="0.25"/>
    <row r="166619" s="12" customFormat="1" x14ac:dyDescent="0.25"/>
    <row r="166620" s="12" customFormat="1" x14ac:dyDescent="0.25"/>
    <row r="166621" s="12" customFormat="1" x14ac:dyDescent="0.25"/>
    <row r="166622" s="12" customFormat="1" x14ac:dyDescent="0.25"/>
    <row r="166623" s="12" customFormat="1" x14ac:dyDescent="0.25"/>
    <row r="166624" s="12" customFormat="1" x14ac:dyDescent="0.25"/>
    <row r="166625" s="12" customFormat="1" x14ac:dyDescent="0.25"/>
    <row r="166626" s="12" customFormat="1" x14ac:dyDescent="0.25"/>
    <row r="166627" s="12" customFormat="1" x14ac:dyDescent="0.25"/>
    <row r="166628" s="12" customFormat="1" x14ac:dyDescent="0.25"/>
    <row r="166629" s="12" customFormat="1" x14ac:dyDescent="0.25"/>
    <row r="166630" s="12" customFormat="1" x14ac:dyDescent="0.25"/>
    <row r="166631" s="12" customFormat="1" x14ac:dyDescent="0.25"/>
    <row r="166632" s="12" customFormat="1" x14ac:dyDescent="0.25"/>
    <row r="166633" s="12" customFormat="1" x14ac:dyDescent="0.25"/>
    <row r="166634" s="12" customFormat="1" x14ac:dyDescent="0.25"/>
    <row r="166635" s="12" customFormat="1" x14ac:dyDescent="0.25"/>
    <row r="166636" s="12" customFormat="1" x14ac:dyDescent="0.25"/>
    <row r="166637" s="12" customFormat="1" x14ac:dyDescent="0.25"/>
    <row r="166638" s="12" customFormat="1" x14ac:dyDescent="0.25"/>
    <row r="166639" s="12" customFormat="1" x14ac:dyDescent="0.25"/>
    <row r="166640" s="12" customFormat="1" x14ac:dyDescent="0.25"/>
    <row r="166641" s="12" customFormat="1" x14ac:dyDescent="0.25"/>
    <row r="166642" s="12" customFormat="1" x14ac:dyDescent="0.25"/>
    <row r="166643" s="12" customFormat="1" x14ac:dyDescent="0.25"/>
    <row r="166644" s="12" customFormat="1" x14ac:dyDescent="0.25"/>
    <row r="166645" s="12" customFormat="1" x14ac:dyDescent="0.25"/>
    <row r="166646" s="12" customFormat="1" x14ac:dyDescent="0.25"/>
    <row r="166647" s="12" customFormat="1" x14ac:dyDescent="0.25"/>
    <row r="166648" s="12" customFormat="1" x14ac:dyDescent="0.25"/>
    <row r="166649" s="12" customFormat="1" x14ac:dyDescent="0.25"/>
    <row r="166650" s="12" customFormat="1" x14ac:dyDescent="0.25"/>
    <row r="166651" s="12" customFormat="1" x14ac:dyDescent="0.25"/>
    <row r="166652" s="12" customFormat="1" x14ac:dyDescent="0.25"/>
    <row r="166653" s="12" customFormat="1" x14ac:dyDescent="0.25"/>
    <row r="166654" s="12" customFormat="1" x14ac:dyDescent="0.25"/>
    <row r="166655" s="12" customFormat="1" x14ac:dyDescent="0.25"/>
    <row r="166656" s="12" customFormat="1" x14ac:dyDescent="0.25"/>
    <row r="166657" s="12" customFormat="1" x14ac:dyDescent="0.25"/>
    <row r="166658" s="12" customFormat="1" x14ac:dyDescent="0.25"/>
    <row r="166659" s="12" customFormat="1" x14ac:dyDescent="0.25"/>
    <row r="166660" s="12" customFormat="1" x14ac:dyDescent="0.25"/>
    <row r="166661" s="12" customFormat="1" x14ac:dyDescent="0.25"/>
    <row r="166662" s="12" customFormat="1" x14ac:dyDescent="0.25"/>
    <row r="166663" s="12" customFormat="1" x14ac:dyDescent="0.25"/>
    <row r="166664" s="12" customFormat="1" x14ac:dyDescent="0.25"/>
    <row r="166665" s="12" customFormat="1" x14ac:dyDescent="0.25"/>
    <row r="166666" s="12" customFormat="1" x14ac:dyDescent="0.25"/>
    <row r="166667" s="12" customFormat="1" x14ac:dyDescent="0.25"/>
    <row r="166668" s="12" customFormat="1" x14ac:dyDescent="0.25"/>
    <row r="166669" s="12" customFormat="1" x14ac:dyDescent="0.25"/>
    <row r="166670" s="12" customFormat="1" x14ac:dyDescent="0.25"/>
    <row r="166671" s="12" customFormat="1" x14ac:dyDescent="0.25"/>
    <row r="166672" s="12" customFormat="1" x14ac:dyDescent="0.25"/>
    <row r="166673" s="12" customFormat="1" x14ac:dyDescent="0.25"/>
    <row r="166674" s="12" customFormat="1" x14ac:dyDescent="0.25"/>
    <row r="166675" s="12" customFormat="1" x14ac:dyDescent="0.25"/>
    <row r="166676" s="12" customFormat="1" x14ac:dyDescent="0.25"/>
    <row r="166677" s="12" customFormat="1" x14ac:dyDescent="0.25"/>
    <row r="166678" s="12" customFormat="1" x14ac:dyDescent="0.25"/>
    <row r="166679" s="12" customFormat="1" x14ac:dyDescent="0.25"/>
    <row r="166680" s="12" customFormat="1" x14ac:dyDescent="0.25"/>
    <row r="166681" s="12" customFormat="1" x14ac:dyDescent="0.25"/>
    <row r="166682" s="12" customFormat="1" x14ac:dyDescent="0.25"/>
    <row r="166683" s="12" customFormat="1" x14ac:dyDescent="0.25"/>
    <row r="166684" s="12" customFormat="1" x14ac:dyDescent="0.25"/>
    <row r="166685" s="12" customFormat="1" x14ac:dyDescent="0.25"/>
    <row r="166686" s="12" customFormat="1" x14ac:dyDescent="0.25"/>
    <row r="166687" s="12" customFormat="1" x14ac:dyDescent="0.25"/>
    <row r="166688" s="12" customFormat="1" x14ac:dyDescent="0.25"/>
    <row r="166689" s="12" customFormat="1" x14ac:dyDescent="0.25"/>
    <row r="166690" s="12" customFormat="1" x14ac:dyDescent="0.25"/>
    <row r="166691" s="12" customFormat="1" x14ac:dyDescent="0.25"/>
    <row r="166692" s="12" customFormat="1" x14ac:dyDescent="0.25"/>
    <row r="166693" s="12" customFormat="1" x14ac:dyDescent="0.25"/>
    <row r="166694" s="12" customFormat="1" x14ac:dyDescent="0.25"/>
    <row r="166695" s="12" customFormat="1" x14ac:dyDescent="0.25"/>
    <row r="166696" s="12" customFormat="1" x14ac:dyDescent="0.25"/>
    <row r="166697" s="12" customFormat="1" x14ac:dyDescent="0.25"/>
    <row r="166698" s="12" customFormat="1" x14ac:dyDescent="0.25"/>
    <row r="166699" s="12" customFormat="1" x14ac:dyDescent="0.25"/>
    <row r="166700" s="12" customFormat="1" x14ac:dyDescent="0.25"/>
    <row r="166701" s="12" customFormat="1" x14ac:dyDescent="0.25"/>
    <row r="166702" s="12" customFormat="1" x14ac:dyDescent="0.25"/>
    <row r="166703" s="12" customFormat="1" x14ac:dyDescent="0.25"/>
    <row r="166704" s="12" customFormat="1" x14ac:dyDescent="0.25"/>
    <row r="166705" s="12" customFormat="1" x14ac:dyDescent="0.25"/>
    <row r="166706" s="12" customFormat="1" x14ac:dyDescent="0.25"/>
    <row r="166707" s="12" customFormat="1" x14ac:dyDescent="0.25"/>
    <row r="166708" s="12" customFormat="1" x14ac:dyDescent="0.25"/>
    <row r="166709" s="12" customFormat="1" x14ac:dyDescent="0.25"/>
    <row r="166710" s="12" customFormat="1" x14ac:dyDescent="0.25"/>
    <row r="166711" s="12" customFormat="1" x14ac:dyDescent="0.25"/>
    <row r="166712" s="12" customFormat="1" x14ac:dyDescent="0.25"/>
    <row r="166713" s="12" customFormat="1" x14ac:dyDescent="0.25"/>
    <row r="166714" s="12" customFormat="1" x14ac:dyDescent="0.25"/>
    <row r="166715" s="12" customFormat="1" x14ac:dyDescent="0.25"/>
    <row r="166716" s="12" customFormat="1" x14ac:dyDescent="0.25"/>
    <row r="166717" s="12" customFormat="1" x14ac:dyDescent="0.25"/>
    <row r="166718" s="12" customFormat="1" x14ac:dyDescent="0.25"/>
    <row r="166719" s="12" customFormat="1" x14ac:dyDescent="0.25"/>
    <row r="166720" s="12" customFormat="1" x14ac:dyDescent="0.25"/>
    <row r="166721" s="12" customFormat="1" x14ac:dyDescent="0.25"/>
    <row r="166722" s="12" customFormat="1" x14ac:dyDescent="0.25"/>
    <row r="166723" s="12" customFormat="1" x14ac:dyDescent="0.25"/>
    <row r="166724" s="12" customFormat="1" x14ac:dyDescent="0.25"/>
    <row r="166725" s="12" customFormat="1" x14ac:dyDescent="0.25"/>
    <row r="166726" s="12" customFormat="1" x14ac:dyDescent="0.25"/>
    <row r="166727" s="12" customFormat="1" x14ac:dyDescent="0.25"/>
    <row r="166728" s="12" customFormat="1" x14ac:dyDescent="0.25"/>
    <row r="166729" s="12" customFormat="1" x14ac:dyDescent="0.25"/>
    <row r="166730" s="12" customFormat="1" x14ac:dyDescent="0.25"/>
    <row r="166731" s="12" customFormat="1" x14ac:dyDescent="0.25"/>
    <row r="166732" s="12" customFormat="1" x14ac:dyDescent="0.25"/>
    <row r="166733" s="12" customFormat="1" x14ac:dyDescent="0.25"/>
    <row r="166734" s="12" customFormat="1" x14ac:dyDescent="0.25"/>
    <row r="166735" s="12" customFormat="1" x14ac:dyDescent="0.25"/>
    <row r="166736" s="12" customFormat="1" x14ac:dyDescent="0.25"/>
    <row r="166737" s="12" customFormat="1" x14ac:dyDescent="0.25"/>
    <row r="166738" s="12" customFormat="1" x14ac:dyDescent="0.25"/>
    <row r="166739" s="12" customFormat="1" x14ac:dyDescent="0.25"/>
    <row r="166740" s="12" customFormat="1" x14ac:dyDescent="0.25"/>
    <row r="166741" s="12" customFormat="1" x14ac:dyDescent="0.25"/>
    <row r="166742" s="12" customFormat="1" x14ac:dyDescent="0.25"/>
    <row r="166743" s="12" customFormat="1" x14ac:dyDescent="0.25"/>
    <row r="166744" s="12" customFormat="1" x14ac:dyDescent="0.25"/>
    <row r="166745" s="12" customFormat="1" x14ac:dyDescent="0.25"/>
    <row r="166746" s="12" customFormat="1" x14ac:dyDescent="0.25"/>
    <row r="166747" s="12" customFormat="1" x14ac:dyDescent="0.25"/>
    <row r="166748" s="12" customFormat="1" x14ac:dyDescent="0.25"/>
    <row r="166749" s="12" customFormat="1" x14ac:dyDescent="0.25"/>
    <row r="166750" s="12" customFormat="1" x14ac:dyDescent="0.25"/>
    <row r="166751" s="12" customFormat="1" x14ac:dyDescent="0.25"/>
    <row r="166752" s="12" customFormat="1" x14ac:dyDescent="0.25"/>
    <row r="166753" s="12" customFormat="1" x14ac:dyDescent="0.25"/>
    <row r="166754" s="12" customFormat="1" x14ac:dyDescent="0.25"/>
    <row r="166755" s="12" customFormat="1" x14ac:dyDescent="0.25"/>
    <row r="166756" s="12" customFormat="1" x14ac:dyDescent="0.25"/>
    <row r="166757" s="12" customFormat="1" x14ac:dyDescent="0.25"/>
    <row r="166758" s="12" customFormat="1" x14ac:dyDescent="0.25"/>
    <row r="166759" s="12" customFormat="1" x14ac:dyDescent="0.25"/>
    <row r="166760" s="12" customFormat="1" x14ac:dyDescent="0.25"/>
    <row r="166761" s="12" customFormat="1" x14ac:dyDescent="0.25"/>
    <row r="166762" s="12" customFormat="1" x14ac:dyDescent="0.25"/>
    <row r="166763" s="12" customFormat="1" x14ac:dyDescent="0.25"/>
    <row r="166764" s="12" customFormat="1" x14ac:dyDescent="0.25"/>
    <row r="166765" s="12" customFormat="1" x14ac:dyDescent="0.25"/>
    <row r="166766" s="12" customFormat="1" x14ac:dyDescent="0.25"/>
    <row r="166767" s="12" customFormat="1" x14ac:dyDescent="0.25"/>
    <row r="166768" s="12" customFormat="1" x14ac:dyDescent="0.25"/>
    <row r="166769" s="12" customFormat="1" x14ac:dyDescent="0.25"/>
    <row r="166770" s="12" customFormat="1" x14ac:dyDescent="0.25"/>
    <row r="166771" s="12" customFormat="1" x14ac:dyDescent="0.25"/>
    <row r="166772" s="12" customFormat="1" x14ac:dyDescent="0.25"/>
    <row r="166773" s="12" customFormat="1" x14ac:dyDescent="0.25"/>
    <row r="166774" s="12" customFormat="1" x14ac:dyDescent="0.25"/>
    <row r="166775" s="12" customFormat="1" x14ac:dyDescent="0.25"/>
    <row r="166776" s="12" customFormat="1" x14ac:dyDescent="0.25"/>
    <row r="166777" s="12" customFormat="1" x14ac:dyDescent="0.25"/>
    <row r="166778" s="12" customFormat="1" x14ac:dyDescent="0.25"/>
    <row r="166779" s="12" customFormat="1" x14ac:dyDescent="0.25"/>
    <row r="166780" s="12" customFormat="1" x14ac:dyDescent="0.25"/>
    <row r="166781" s="12" customFormat="1" x14ac:dyDescent="0.25"/>
    <row r="166782" s="12" customFormat="1" x14ac:dyDescent="0.25"/>
    <row r="166783" s="12" customFormat="1" x14ac:dyDescent="0.25"/>
    <row r="166784" s="12" customFormat="1" x14ac:dyDescent="0.25"/>
    <row r="166785" s="12" customFormat="1" x14ac:dyDescent="0.25"/>
    <row r="166786" s="12" customFormat="1" x14ac:dyDescent="0.25"/>
    <row r="166787" s="12" customFormat="1" x14ac:dyDescent="0.25"/>
    <row r="166788" s="12" customFormat="1" x14ac:dyDescent="0.25"/>
    <row r="166789" s="12" customFormat="1" x14ac:dyDescent="0.25"/>
    <row r="166790" s="12" customFormat="1" x14ac:dyDescent="0.25"/>
    <row r="166791" s="12" customFormat="1" x14ac:dyDescent="0.25"/>
    <row r="166792" s="12" customFormat="1" x14ac:dyDescent="0.25"/>
    <row r="166793" s="12" customFormat="1" x14ac:dyDescent="0.25"/>
    <row r="166794" s="12" customFormat="1" x14ac:dyDescent="0.25"/>
    <row r="166795" s="12" customFormat="1" x14ac:dyDescent="0.25"/>
    <row r="166796" s="12" customFormat="1" x14ac:dyDescent="0.25"/>
    <row r="166797" s="12" customFormat="1" x14ac:dyDescent="0.25"/>
    <row r="166798" s="12" customFormat="1" x14ac:dyDescent="0.25"/>
    <row r="166799" s="12" customFormat="1" x14ac:dyDescent="0.25"/>
    <row r="166800" s="12" customFormat="1" x14ac:dyDescent="0.25"/>
    <row r="166801" s="12" customFormat="1" x14ac:dyDescent="0.25"/>
    <row r="166802" s="12" customFormat="1" x14ac:dyDescent="0.25"/>
    <row r="166803" s="12" customFormat="1" x14ac:dyDescent="0.25"/>
    <row r="166804" s="12" customFormat="1" x14ac:dyDescent="0.25"/>
    <row r="166805" s="12" customFormat="1" x14ac:dyDescent="0.25"/>
    <row r="166806" s="12" customFormat="1" x14ac:dyDescent="0.25"/>
    <row r="166807" s="12" customFormat="1" x14ac:dyDescent="0.25"/>
    <row r="166808" s="12" customFormat="1" x14ac:dyDescent="0.25"/>
    <row r="166809" s="12" customFormat="1" x14ac:dyDescent="0.25"/>
    <row r="166810" s="12" customFormat="1" x14ac:dyDescent="0.25"/>
    <row r="166811" s="12" customFormat="1" x14ac:dyDescent="0.25"/>
    <row r="166812" s="12" customFormat="1" x14ac:dyDescent="0.25"/>
    <row r="166813" s="12" customFormat="1" x14ac:dyDescent="0.25"/>
    <row r="166814" s="12" customFormat="1" x14ac:dyDescent="0.25"/>
    <row r="166815" s="12" customFormat="1" x14ac:dyDescent="0.25"/>
    <row r="166816" s="12" customFormat="1" x14ac:dyDescent="0.25"/>
    <row r="166817" s="12" customFormat="1" x14ac:dyDescent="0.25"/>
    <row r="166818" s="12" customFormat="1" x14ac:dyDescent="0.25"/>
    <row r="166819" s="12" customFormat="1" x14ac:dyDescent="0.25"/>
    <row r="166820" s="12" customFormat="1" x14ac:dyDescent="0.25"/>
    <row r="166821" s="12" customFormat="1" x14ac:dyDescent="0.25"/>
    <row r="166822" s="12" customFormat="1" x14ac:dyDescent="0.25"/>
    <row r="166823" s="12" customFormat="1" x14ac:dyDescent="0.25"/>
    <row r="166824" s="12" customFormat="1" x14ac:dyDescent="0.25"/>
    <row r="166825" s="12" customFormat="1" x14ac:dyDescent="0.25"/>
    <row r="166826" s="12" customFormat="1" x14ac:dyDescent="0.25"/>
    <row r="166827" s="12" customFormat="1" x14ac:dyDescent="0.25"/>
    <row r="166828" s="12" customFormat="1" x14ac:dyDescent="0.25"/>
    <row r="166829" s="12" customFormat="1" x14ac:dyDescent="0.25"/>
    <row r="166830" s="12" customFormat="1" x14ac:dyDescent="0.25"/>
    <row r="166831" s="12" customFormat="1" x14ac:dyDescent="0.25"/>
    <row r="166832" s="12" customFormat="1" x14ac:dyDescent="0.25"/>
    <row r="166833" s="12" customFormat="1" x14ac:dyDescent="0.25"/>
    <row r="166834" s="12" customFormat="1" x14ac:dyDescent="0.25"/>
    <row r="166835" s="12" customFormat="1" x14ac:dyDescent="0.25"/>
    <row r="166836" s="12" customFormat="1" x14ac:dyDescent="0.25"/>
    <row r="166837" s="12" customFormat="1" x14ac:dyDescent="0.25"/>
    <row r="166838" s="12" customFormat="1" x14ac:dyDescent="0.25"/>
    <row r="166839" s="12" customFormat="1" x14ac:dyDescent="0.25"/>
    <row r="166840" s="12" customFormat="1" x14ac:dyDescent="0.25"/>
    <row r="166841" s="12" customFormat="1" x14ac:dyDescent="0.25"/>
    <row r="166842" s="12" customFormat="1" x14ac:dyDescent="0.25"/>
    <row r="166843" s="12" customFormat="1" x14ac:dyDescent="0.25"/>
    <row r="166844" s="12" customFormat="1" x14ac:dyDescent="0.25"/>
    <row r="166845" s="12" customFormat="1" x14ac:dyDescent="0.25"/>
    <row r="166846" s="12" customFormat="1" x14ac:dyDescent="0.25"/>
    <row r="166847" s="12" customFormat="1" x14ac:dyDescent="0.25"/>
    <row r="166848" s="12" customFormat="1" x14ac:dyDescent="0.25"/>
    <row r="166849" s="12" customFormat="1" x14ac:dyDescent="0.25"/>
    <row r="166850" s="12" customFormat="1" x14ac:dyDescent="0.25"/>
    <row r="166851" s="12" customFormat="1" x14ac:dyDescent="0.25"/>
    <row r="166852" s="12" customFormat="1" x14ac:dyDescent="0.25"/>
    <row r="166853" s="12" customFormat="1" x14ac:dyDescent="0.25"/>
    <row r="166854" s="12" customFormat="1" x14ac:dyDescent="0.25"/>
    <row r="166855" s="12" customFormat="1" x14ac:dyDescent="0.25"/>
    <row r="166856" s="12" customFormat="1" x14ac:dyDescent="0.25"/>
    <row r="166857" s="12" customFormat="1" x14ac:dyDescent="0.25"/>
    <row r="166858" s="12" customFormat="1" x14ac:dyDescent="0.25"/>
    <row r="166859" s="12" customFormat="1" x14ac:dyDescent="0.25"/>
    <row r="166860" s="12" customFormat="1" x14ac:dyDescent="0.25"/>
    <row r="166861" s="12" customFormat="1" x14ac:dyDescent="0.25"/>
    <row r="166862" s="12" customFormat="1" x14ac:dyDescent="0.25"/>
    <row r="166863" s="12" customFormat="1" x14ac:dyDescent="0.25"/>
    <row r="166864" s="12" customFormat="1" x14ac:dyDescent="0.25"/>
    <row r="166865" s="12" customFormat="1" x14ac:dyDescent="0.25"/>
    <row r="166866" s="12" customFormat="1" x14ac:dyDescent="0.25"/>
    <row r="166867" s="12" customFormat="1" x14ac:dyDescent="0.25"/>
    <row r="166868" s="12" customFormat="1" x14ac:dyDescent="0.25"/>
    <row r="166869" s="12" customFormat="1" x14ac:dyDescent="0.25"/>
    <row r="166870" s="12" customFormat="1" x14ac:dyDescent="0.25"/>
    <row r="166871" s="12" customFormat="1" x14ac:dyDescent="0.25"/>
    <row r="166872" s="12" customFormat="1" x14ac:dyDescent="0.25"/>
    <row r="166873" s="12" customFormat="1" x14ac:dyDescent="0.25"/>
    <row r="166874" s="12" customFormat="1" x14ac:dyDescent="0.25"/>
    <row r="166875" s="12" customFormat="1" x14ac:dyDescent="0.25"/>
    <row r="166876" s="12" customFormat="1" x14ac:dyDescent="0.25"/>
    <row r="166877" s="12" customFormat="1" x14ac:dyDescent="0.25"/>
    <row r="166878" s="12" customFormat="1" x14ac:dyDescent="0.25"/>
    <row r="166879" s="12" customFormat="1" x14ac:dyDescent="0.25"/>
    <row r="166880" s="12" customFormat="1" x14ac:dyDescent="0.25"/>
    <row r="166881" s="12" customFormat="1" x14ac:dyDescent="0.25"/>
    <row r="166882" s="12" customFormat="1" x14ac:dyDescent="0.25"/>
    <row r="166883" s="12" customFormat="1" x14ac:dyDescent="0.25"/>
    <row r="166884" s="12" customFormat="1" x14ac:dyDescent="0.25"/>
    <row r="166885" s="12" customFormat="1" x14ac:dyDescent="0.25"/>
    <row r="166886" s="12" customFormat="1" x14ac:dyDescent="0.25"/>
    <row r="166887" s="12" customFormat="1" x14ac:dyDescent="0.25"/>
    <row r="166888" s="12" customFormat="1" x14ac:dyDescent="0.25"/>
    <row r="166889" s="12" customFormat="1" x14ac:dyDescent="0.25"/>
    <row r="166890" s="12" customFormat="1" x14ac:dyDescent="0.25"/>
    <row r="166891" s="12" customFormat="1" x14ac:dyDescent="0.25"/>
    <row r="166892" s="12" customFormat="1" x14ac:dyDescent="0.25"/>
    <row r="166893" s="12" customFormat="1" x14ac:dyDescent="0.25"/>
    <row r="166894" s="12" customFormat="1" x14ac:dyDescent="0.25"/>
    <row r="166895" s="12" customFormat="1" x14ac:dyDescent="0.25"/>
    <row r="166896" s="12" customFormat="1" x14ac:dyDescent="0.25"/>
    <row r="166897" s="12" customFormat="1" x14ac:dyDescent="0.25"/>
    <row r="166898" s="12" customFormat="1" x14ac:dyDescent="0.25"/>
    <row r="166899" s="12" customFormat="1" x14ac:dyDescent="0.25"/>
    <row r="166900" s="12" customFormat="1" x14ac:dyDescent="0.25"/>
    <row r="166901" s="12" customFormat="1" x14ac:dyDescent="0.25"/>
    <row r="166902" s="12" customFormat="1" x14ac:dyDescent="0.25"/>
    <row r="166903" s="12" customFormat="1" x14ac:dyDescent="0.25"/>
    <row r="166904" s="12" customFormat="1" x14ac:dyDescent="0.25"/>
    <row r="166905" s="12" customFormat="1" x14ac:dyDescent="0.25"/>
    <row r="166906" s="12" customFormat="1" x14ac:dyDescent="0.25"/>
    <row r="166907" s="12" customFormat="1" x14ac:dyDescent="0.25"/>
    <row r="166908" s="12" customFormat="1" x14ac:dyDescent="0.25"/>
    <row r="166909" s="12" customFormat="1" x14ac:dyDescent="0.25"/>
    <row r="166910" s="12" customFormat="1" x14ac:dyDescent="0.25"/>
    <row r="166911" s="12" customFormat="1" x14ac:dyDescent="0.25"/>
    <row r="166912" s="12" customFormat="1" x14ac:dyDescent="0.25"/>
    <row r="166913" s="12" customFormat="1" x14ac:dyDescent="0.25"/>
    <row r="166914" s="12" customFormat="1" x14ac:dyDescent="0.25"/>
    <row r="166915" s="12" customFormat="1" x14ac:dyDescent="0.25"/>
    <row r="166916" s="12" customFormat="1" x14ac:dyDescent="0.25"/>
    <row r="166917" s="12" customFormat="1" x14ac:dyDescent="0.25"/>
    <row r="166918" s="12" customFormat="1" x14ac:dyDescent="0.25"/>
    <row r="166919" s="12" customFormat="1" x14ac:dyDescent="0.25"/>
    <row r="166920" s="12" customFormat="1" x14ac:dyDescent="0.25"/>
    <row r="166921" s="12" customFormat="1" x14ac:dyDescent="0.25"/>
    <row r="166922" s="12" customFormat="1" x14ac:dyDescent="0.25"/>
    <row r="166923" s="12" customFormat="1" x14ac:dyDescent="0.25"/>
    <row r="166924" s="12" customFormat="1" x14ac:dyDescent="0.25"/>
    <row r="166925" s="12" customFormat="1" x14ac:dyDescent="0.25"/>
    <row r="166926" s="12" customFormat="1" x14ac:dyDescent="0.25"/>
    <row r="166927" s="12" customFormat="1" x14ac:dyDescent="0.25"/>
    <row r="166928" s="12" customFormat="1" x14ac:dyDescent="0.25"/>
    <row r="166929" s="12" customFormat="1" x14ac:dyDescent="0.25"/>
    <row r="166930" s="12" customFormat="1" x14ac:dyDescent="0.25"/>
    <row r="166931" s="12" customFormat="1" x14ac:dyDescent="0.25"/>
    <row r="166932" s="12" customFormat="1" x14ac:dyDescent="0.25"/>
    <row r="166933" s="12" customFormat="1" x14ac:dyDescent="0.25"/>
    <row r="166934" s="12" customFormat="1" x14ac:dyDescent="0.25"/>
    <row r="166935" s="12" customFormat="1" x14ac:dyDescent="0.25"/>
    <row r="166936" s="12" customFormat="1" x14ac:dyDescent="0.25"/>
    <row r="166937" s="12" customFormat="1" x14ac:dyDescent="0.25"/>
    <row r="166938" s="12" customFormat="1" x14ac:dyDescent="0.25"/>
    <row r="166939" s="12" customFormat="1" x14ac:dyDescent="0.25"/>
    <row r="166940" s="12" customFormat="1" x14ac:dyDescent="0.25"/>
    <row r="166941" s="12" customFormat="1" x14ac:dyDescent="0.25"/>
    <row r="166942" s="12" customFormat="1" x14ac:dyDescent="0.25"/>
    <row r="166943" s="12" customFormat="1" x14ac:dyDescent="0.25"/>
    <row r="166944" s="12" customFormat="1" x14ac:dyDescent="0.25"/>
    <row r="166945" s="12" customFormat="1" x14ac:dyDescent="0.25"/>
    <row r="166946" s="12" customFormat="1" x14ac:dyDescent="0.25"/>
    <row r="166947" s="12" customFormat="1" x14ac:dyDescent="0.25"/>
    <row r="166948" s="12" customFormat="1" x14ac:dyDescent="0.25"/>
    <row r="166949" s="12" customFormat="1" x14ac:dyDescent="0.25"/>
    <row r="166950" s="12" customFormat="1" x14ac:dyDescent="0.25"/>
    <row r="166951" s="12" customFormat="1" x14ac:dyDescent="0.25"/>
    <row r="166952" s="12" customFormat="1" x14ac:dyDescent="0.25"/>
    <row r="166953" s="12" customFormat="1" x14ac:dyDescent="0.25"/>
    <row r="166954" s="12" customFormat="1" x14ac:dyDescent="0.25"/>
    <row r="166955" s="12" customFormat="1" x14ac:dyDescent="0.25"/>
    <row r="166956" s="12" customFormat="1" x14ac:dyDescent="0.25"/>
    <row r="166957" s="12" customFormat="1" x14ac:dyDescent="0.25"/>
    <row r="166958" s="12" customFormat="1" x14ac:dyDescent="0.25"/>
    <row r="166959" s="12" customFormat="1" x14ac:dyDescent="0.25"/>
    <row r="166960" s="12" customFormat="1" x14ac:dyDescent="0.25"/>
    <row r="166961" s="12" customFormat="1" x14ac:dyDescent="0.25"/>
    <row r="166962" s="12" customFormat="1" x14ac:dyDescent="0.25"/>
    <row r="166963" s="12" customFormat="1" x14ac:dyDescent="0.25"/>
    <row r="166964" s="12" customFormat="1" x14ac:dyDescent="0.25"/>
    <row r="166965" s="12" customFormat="1" x14ac:dyDescent="0.25"/>
    <row r="166966" s="12" customFormat="1" x14ac:dyDescent="0.25"/>
    <row r="166967" s="12" customFormat="1" x14ac:dyDescent="0.25"/>
    <row r="166968" s="12" customFormat="1" x14ac:dyDescent="0.25"/>
    <row r="166969" s="12" customFormat="1" x14ac:dyDescent="0.25"/>
    <row r="166970" s="12" customFormat="1" x14ac:dyDescent="0.25"/>
    <row r="166971" s="12" customFormat="1" x14ac:dyDescent="0.25"/>
    <row r="166972" s="12" customFormat="1" x14ac:dyDescent="0.25"/>
    <row r="166973" s="12" customFormat="1" x14ac:dyDescent="0.25"/>
    <row r="166974" s="12" customFormat="1" x14ac:dyDescent="0.25"/>
    <row r="166975" s="12" customFormat="1" x14ac:dyDescent="0.25"/>
    <row r="166976" s="12" customFormat="1" x14ac:dyDescent="0.25"/>
    <row r="166977" s="12" customFormat="1" x14ac:dyDescent="0.25"/>
    <row r="166978" s="12" customFormat="1" x14ac:dyDescent="0.25"/>
    <row r="166979" s="12" customFormat="1" x14ac:dyDescent="0.25"/>
    <row r="166980" s="12" customFormat="1" x14ac:dyDescent="0.25"/>
    <row r="166981" s="12" customFormat="1" x14ac:dyDescent="0.25"/>
    <row r="166982" s="12" customFormat="1" x14ac:dyDescent="0.25"/>
    <row r="166983" s="12" customFormat="1" x14ac:dyDescent="0.25"/>
    <row r="166984" s="12" customFormat="1" x14ac:dyDescent="0.25"/>
    <row r="166985" s="12" customFormat="1" x14ac:dyDescent="0.25"/>
    <row r="166986" s="12" customFormat="1" x14ac:dyDescent="0.25"/>
    <row r="166987" s="12" customFormat="1" x14ac:dyDescent="0.25"/>
    <row r="166988" s="12" customFormat="1" x14ac:dyDescent="0.25"/>
    <row r="166989" s="12" customFormat="1" x14ac:dyDescent="0.25"/>
    <row r="166990" s="12" customFormat="1" x14ac:dyDescent="0.25"/>
    <row r="166991" s="12" customFormat="1" x14ac:dyDescent="0.25"/>
    <row r="166992" s="12" customFormat="1" x14ac:dyDescent="0.25"/>
    <row r="166993" s="12" customFormat="1" x14ac:dyDescent="0.25"/>
    <row r="166994" s="12" customFormat="1" x14ac:dyDescent="0.25"/>
    <row r="166995" s="12" customFormat="1" x14ac:dyDescent="0.25"/>
    <row r="166996" s="12" customFormat="1" x14ac:dyDescent="0.25"/>
    <row r="166997" s="12" customFormat="1" x14ac:dyDescent="0.25"/>
    <row r="166998" s="12" customFormat="1" x14ac:dyDescent="0.25"/>
    <row r="166999" s="12" customFormat="1" x14ac:dyDescent="0.25"/>
    <row r="167000" s="12" customFormat="1" x14ac:dyDescent="0.25"/>
    <row r="167001" s="12" customFormat="1" x14ac:dyDescent="0.25"/>
    <row r="167002" s="12" customFormat="1" x14ac:dyDescent="0.25"/>
    <row r="167003" s="12" customFormat="1" x14ac:dyDescent="0.25"/>
    <row r="167004" s="12" customFormat="1" x14ac:dyDescent="0.25"/>
    <row r="167005" s="12" customFormat="1" x14ac:dyDescent="0.25"/>
    <row r="167006" s="12" customFormat="1" x14ac:dyDescent="0.25"/>
    <row r="167007" s="12" customFormat="1" x14ac:dyDescent="0.25"/>
    <row r="167008" s="12" customFormat="1" x14ac:dyDescent="0.25"/>
    <row r="167009" s="12" customFormat="1" x14ac:dyDescent="0.25"/>
    <row r="167010" s="12" customFormat="1" x14ac:dyDescent="0.25"/>
    <row r="167011" s="12" customFormat="1" x14ac:dyDescent="0.25"/>
    <row r="167012" s="12" customFormat="1" x14ac:dyDescent="0.25"/>
    <row r="167013" s="12" customFormat="1" x14ac:dyDescent="0.25"/>
    <row r="167014" s="12" customFormat="1" x14ac:dyDescent="0.25"/>
    <row r="167015" s="12" customFormat="1" x14ac:dyDescent="0.25"/>
    <row r="167016" s="12" customFormat="1" x14ac:dyDescent="0.25"/>
    <row r="167017" s="12" customFormat="1" x14ac:dyDescent="0.25"/>
    <row r="167018" s="12" customFormat="1" x14ac:dyDescent="0.25"/>
    <row r="167019" s="12" customFormat="1" x14ac:dyDescent="0.25"/>
    <row r="167020" s="12" customFormat="1" x14ac:dyDescent="0.25"/>
    <row r="167021" s="12" customFormat="1" x14ac:dyDescent="0.25"/>
    <row r="167022" s="12" customFormat="1" x14ac:dyDescent="0.25"/>
    <row r="167023" s="12" customFormat="1" x14ac:dyDescent="0.25"/>
    <row r="167024" s="12" customFormat="1" x14ac:dyDescent="0.25"/>
    <row r="167025" s="12" customFormat="1" x14ac:dyDescent="0.25"/>
    <row r="167026" s="12" customFormat="1" x14ac:dyDescent="0.25"/>
    <row r="167027" s="12" customFormat="1" x14ac:dyDescent="0.25"/>
    <row r="167028" s="12" customFormat="1" x14ac:dyDescent="0.25"/>
    <row r="167029" s="12" customFormat="1" x14ac:dyDescent="0.25"/>
    <row r="167030" s="12" customFormat="1" x14ac:dyDescent="0.25"/>
    <row r="167031" s="12" customFormat="1" x14ac:dyDescent="0.25"/>
    <row r="167032" s="12" customFormat="1" x14ac:dyDescent="0.25"/>
    <row r="167033" s="12" customFormat="1" x14ac:dyDescent="0.25"/>
    <row r="167034" s="12" customFormat="1" x14ac:dyDescent="0.25"/>
    <row r="167035" s="12" customFormat="1" x14ac:dyDescent="0.25"/>
    <row r="167036" s="12" customFormat="1" x14ac:dyDescent="0.25"/>
    <row r="167037" s="12" customFormat="1" x14ac:dyDescent="0.25"/>
    <row r="167038" s="12" customFormat="1" x14ac:dyDescent="0.25"/>
    <row r="167039" s="12" customFormat="1" x14ac:dyDescent="0.25"/>
    <row r="167040" s="12" customFormat="1" x14ac:dyDescent="0.25"/>
    <row r="167041" s="12" customFormat="1" x14ac:dyDescent="0.25"/>
    <row r="167042" s="12" customFormat="1" x14ac:dyDescent="0.25"/>
    <row r="167043" s="12" customFormat="1" x14ac:dyDescent="0.25"/>
    <row r="167044" s="12" customFormat="1" x14ac:dyDescent="0.25"/>
    <row r="167045" s="12" customFormat="1" x14ac:dyDescent="0.25"/>
    <row r="167046" s="12" customFormat="1" x14ac:dyDescent="0.25"/>
    <row r="167047" s="12" customFormat="1" x14ac:dyDescent="0.25"/>
    <row r="167048" s="12" customFormat="1" x14ac:dyDescent="0.25"/>
    <row r="167049" s="12" customFormat="1" x14ac:dyDescent="0.25"/>
    <row r="167050" s="12" customFormat="1" x14ac:dyDescent="0.25"/>
    <row r="167051" s="12" customFormat="1" x14ac:dyDescent="0.25"/>
    <row r="167052" s="12" customFormat="1" x14ac:dyDescent="0.25"/>
    <row r="167053" s="12" customFormat="1" x14ac:dyDescent="0.25"/>
    <row r="167054" s="12" customFormat="1" x14ac:dyDescent="0.25"/>
    <row r="167055" s="12" customFormat="1" x14ac:dyDescent="0.25"/>
    <row r="167056" s="12" customFormat="1" x14ac:dyDescent="0.25"/>
    <row r="167057" s="12" customFormat="1" x14ac:dyDescent="0.25"/>
    <row r="167058" s="12" customFormat="1" x14ac:dyDescent="0.25"/>
    <row r="167059" s="12" customFormat="1" x14ac:dyDescent="0.25"/>
    <row r="167060" s="12" customFormat="1" x14ac:dyDescent="0.25"/>
    <row r="167061" s="12" customFormat="1" x14ac:dyDescent="0.25"/>
    <row r="167062" s="12" customFormat="1" x14ac:dyDescent="0.25"/>
    <row r="167063" s="12" customFormat="1" x14ac:dyDescent="0.25"/>
    <row r="167064" s="12" customFormat="1" x14ac:dyDescent="0.25"/>
    <row r="167065" s="12" customFormat="1" x14ac:dyDescent="0.25"/>
    <row r="167066" s="12" customFormat="1" x14ac:dyDescent="0.25"/>
    <row r="167067" s="12" customFormat="1" x14ac:dyDescent="0.25"/>
    <row r="167068" s="12" customFormat="1" x14ac:dyDescent="0.25"/>
    <row r="167069" s="12" customFormat="1" x14ac:dyDescent="0.25"/>
    <row r="167070" s="12" customFormat="1" x14ac:dyDescent="0.25"/>
    <row r="167071" s="12" customFormat="1" x14ac:dyDescent="0.25"/>
    <row r="167072" s="12" customFormat="1" x14ac:dyDescent="0.25"/>
    <row r="167073" s="12" customFormat="1" x14ac:dyDescent="0.25"/>
    <row r="167074" s="12" customFormat="1" x14ac:dyDescent="0.25"/>
    <row r="167075" s="12" customFormat="1" x14ac:dyDescent="0.25"/>
    <row r="167076" s="12" customFormat="1" x14ac:dyDescent="0.25"/>
    <row r="167077" s="12" customFormat="1" x14ac:dyDescent="0.25"/>
    <row r="167078" s="12" customFormat="1" x14ac:dyDescent="0.25"/>
    <row r="167079" s="12" customFormat="1" x14ac:dyDescent="0.25"/>
    <row r="167080" s="12" customFormat="1" x14ac:dyDescent="0.25"/>
    <row r="167081" s="12" customFormat="1" x14ac:dyDescent="0.25"/>
    <row r="167082" s="12" customFormat="1" x14ac:dyDescent="0.25"/>
    <row r="167083" s="12" customFormat="1" x14ac:dyDescent="0.25"/>
    <row r="167084" s="12" customFormat="1" x14ac:dyDescent="0.25"/>
    <row r="167085" s="12" customFormat="1" x14ac:dyDescent="0.25"/>
    <row r="167086" s="12" customFormat="1" x14ac:dyDescent="0.25"/>
    <row r="167087" s="12" customFormat="1" x14ac:dyDescent="0.25"/>
    <row r="167088" s="12" customFormat="1" x14ac:dyDescent="0.25"/>
    <row r="167089" s="12" customFormat="1" x14ac:dyDescent="0.25"/>
    <row r="167090" s="12" customFormat="1" x14ac:dyDescent="0.25"/>
    <row r="167091" s="12" customFormat="1" x14ac:dyDescent="0.25"/>
    <row r="167092" s="12" customFormat="1" x14ac:dyDescent="0.25"/>
    <row r="167093" s="12" customFormat="1" x14ac:dyDescent="0.25"/>
    <row r="167094" s="12" customFormat="1" x14ac:dyDescent="0.25"/>
    <row r="167095" s="12" customFormat="1" x14ac:dyDescent="0.25"/>
    <row r="167096" s="12" customFormat="1" x14ac:dyDescent="0.25"/>
    <row r="167097" s="12" customFormat="1" x14ac:dyDescent="0.25"/>
    <row r="167098" s="12" customFormat="1" x14ac:dyDescent="0.25"/>
    <row r="167099" s="12" customFormat="1" x14ac:dyDescent="0.25"/>
    <row r="167100" s="12" customFormat="1" x14ac:dyDescent="0.25"/>
    <row r="167101" s="12" customFormat="1" x14ac:dyDescent="0.25"/>
    <row r="167102" s="12" customFormat="1" x14ac:dyDescent="0.25"/>
    <row r="167103" s="12" customFormat="1" x14ac:dyDescent="0.25"/>
    <row r="167104" s="12" customFormat="1" x14ac:dyDescent="0.25"/>
    <row r="167105" s="12" customFormat="1" x14ac:dyDescent="0.25"/>
    <row r="167106" s="12" customFormat="1" x14ac:dyDescent="0.25"/>
    <row r="167107" s="12" customFormat="1" x14ac:dyDescent="0.25"/>
    <row r="167108" s="12" customFormat="1" x14ac:dyDescent="0.25"/>
    <row r="167109" s="12" customFormat="1" x14ac:dyDescent="0.25"/>
    <row r="167110" s="12" customFormat="1" x14ac:dyDescent="0.25"/>
    <row r="167111" s="12" customFormat="1" x14ac:dyDescent="0.25"/>
    <row r="167112" s="12" customFormat="1" x14ac:dyDescent="0.25"/>
    <row r="167113" s="12" customFormat="1" x14ac:dyDescent="0.25"/>
    <row r="167114" s="12" customFormat="1" x14ac:dyDescent="0.25"/>
    <row r="167115" s="12" customFormat="1" x14ac:dyDescent="0.25"/>
    <row r="167116" s="12" customFormat="1" x14ac:dyDescent="0.25"/>
    <row r="167117" s="12" customFormat="1" x14ac:dyDescent="0.25"/>
    <row r="167118" s="12" customFormat="1" x14ac:dyDescent="0.25"/>
    <row r="167119" s="12" customFormat="1" x14ac:dyDescent="0.25"/>
    <row r="167120" s="12" customFormat="1" x14ac:dyDescent="0.25"/>
    <row r="167121" s="12" customFormat="1" x14ac:dyDescent="0.25"/>
    <row r="167122" s="12" customFormat="1" x14ac:dyDescent="0.25"/>
    <row r="167123" s="12" customFormat="1" x14ac:dyDescent="0.25"/>
    <row r="167124" s="12" customFormat="1" x14ac:dyDescent="0.25"/>
    <row r="167125" s="12" customFormat="1" x14ac:dyDescent="0.25"/>
    <row r="167126" s="12" customFormat="1" x14ac:dyDescent="0.25"/>
    <row r="167127" s="12" customFormat="1" x14ac:dyDescent="0.25"/>
    <row r="167128" s="12" customFormat="1" x14ac:dyDescent="0.25"/>
    <row r="167129" s="12" customFormat="1" x14ac:dyDescent="0.25"/>
    <row r="167130" s="12" customFormat="1" x14ac:dyDescent="0.25"/>
    <row r="167131" s="12" customFormat="1" x14ac:dyDescent="0.25"/>
    <row r="167132" s="12" customFormat="1" x14ac:dyDescent="0.25"/>
    <row r="167133" s="12" customFormat="1" x14ac:dyDescent="0.25"/>
    <row r="167134" s="12" customFormat="1" x14ac:dyDescent="0.25"/>
    <row r="167135" s="12" customFormat="1" x14ac:dyDescent="0.25"/>
    <row r="167136" s="12" customFormat="1" x14ac:dyDescent="0.25"/>
    <row r="167137" s="12" customFormat="1" x14ac:dyDescent="0.25"/>
    <row r="167138" s="12" customFormat="1" x14ac:dyDescent="0.25"/>
    <row r="167139" s="12" customFormat="1" x14ac:dyDescent="0.25"/>
    <row r="167140" s="12" customFormat="1" x14ac:dyDescent="0.25"/>
    <row r="167141" s="12" customFormat="1" x14ac:dyDescent="0.25"/>
    <row r="167142" s="12" customFormat="1" x14ac:dyDescent="0.25"/>
    <row r="167143" s="12" customFormat="1" x14ac:dyDescent="0.25"/>
    <row r="167144" s="12" customFormat="1" x14ac:dyDescent="0.25"/>
    <row r="167145" s="12" customFormat="1" x14ac:dyDescent="0.25"/>
    <row r="167146" s="12" customFormat="1" x14ac:dyDescent="0.25"/>
    <row r="167147" s="12" customFormat="1" x14ac:dyDescent="0.25"/>
    <row r="167148" s="12" customFormat="1" x14ac:dyDescent="0.25"/>
    <row r="167149" s="12" customFormat="1" x14ac:dyDescent="0.25"/>
    <row r="167150" s="12" customFormat="1" x14ac:dyDescent="0.25"/>
    <row r="167151" s="12" customFormat="1" x14ac:dyDescent="0.25"/>
    <row r="167152" s="12" customFormat="1" x14ac:dyDescent="0.25"/>
    <row r="167153" s="12" customFormat="1" x14ac:dyDescent="0.25"/>
    <row r="167154" s="12" customFormat="1" x14ac:dyDescent="0.25"/>
    <row r="167155" s="12" customFormat="1" x14ac:dyDescent="0.25"/>
    <row r="167156" s="12" customFormat="1" x14ac:dyDescent="0.25"/>
    <row r="167157" s="12" customFormat="1" x14ac:dyDescent="0.25"/>
    <row r="167158" s="12" customFormat="1" x14ac:dyDescent="0.25"/>
    <row r="167159" s="12" customFormat="1" x14ac:dyDescent="0.25"/>
    <row r="167160" s="12" customFormat="1" x14ac:dyDescent="0.25"/>
    <row r="167161" s="12" customFormat="1" x14ac:dyDescent="0.25"/>
    <row r="167162" s="12" customFormat="1" x14ac:dyDescent="0.25"/>
    <row r="167163" s="12" customFormat="1" x14ac:dyDescent="0.25"/>
    <row r="167164" s="12" customFormat="1" x14ac:dyDescent="0.25"/>
    <row r="167165" s="12" customFormat="1" x14ac:dyDescent="0.25"/>
    <row r="167166" s="12" customFormat="1" x14ac:dyDescent="0.25"/>
    <row r="167167" s="12" customFormat="1" x14ac:dyDescent="0.25"/>
    <row r="167168" s="12" customFormat="1" x14ac:dyDescent="0.25"/>
    <row r="167169" s="12" customFormat="1" x14ac:dyDescent="0.25"/>
    <row r="167170" s="12" customFormat="1" x14ac:dyDescent="0.25"/>
    <row r="167171" s="12" customFormat="1" x14ac:dyDescent="0.25"/>
    <row r="167172" s="12" customFormat="1" x14ac:dyDescent="0.25"/>
    <row r="167173" s="12" customFormat="1" x14ac:dyDescent="0.25"/>
    <row r="167174" s="12" customFormat="1" x14ac:dyDescent="0.25"/>
    <row r="167175" s="12" customFormat="1" x14ac:dyDescent="0.25"/>
    <row r="167176" s="12" customFormat="1" x14ac:dyDescent="0.25"/>
    <row r="167177" s="12" customFormat="1" x14ac:dyDescent="0.25"/>
    <row r="167178" s="12" customFormat="1" x14ac:dyDescent="0.25"/>
    <row r="167179" s="12" customFormat="1" x14ac:dyDescent="0.25"/>
    <row r="167180" s="12" customFormat="1" x14ac:dyDescent="0.25"/>
    <row r="167181" s="12" customFormat="1" x14ac:dyDescent="0.25"/>
    <row r="167182" s="12" customFormat="1" x14ac:dyDescent="0.25"/>
    <row r="167183" s="12" customFormat="1" x14ac:dyDescent="0.25"/>
    <row r="167184" s="12" customFormat="1" x14ac:dyDescent="0.25"/>
    <row r="167185" s="12" customFormat="1" x14ac:dyDescent="0.25"/>
    <row r="167186" s="12" customFormat="1" x14ac:dyDescent="0.25"/>
    <row r="167187" s="12" customFormat="1" x14ac:dyDescent="0.25"/>
    <row r="167188" s="12" customFormat="1" x14ac:dyDescent="0.25"/>
    <row r="167189" s="12" customFormat="1" x14ac:dyDescent="0.25"/>
    <row r="167190" s="12" customFormat="1" x14ac:dyDescent="0.25"/>
    <row r="167191" s="12" customFormat="1" x14ac:dyDescent="0.25"/>
    <row r="167192" s="12" customFormat="1" x14ac:dyDescent="0.25"/>
    <row r="167193" s="12" customFormat="1" x14ac:dyDescent="0.25"/>
    <row r="167194" s="12" customFormat="1" x14ac:dyDescent="0.25"/>
    <row r="167195" s="12" customFormat="1" x14ac:dyDescent="0.25"/>
    <row r="167196" s="12" customFormat="1" x14ac:dyDescent="0.25"/>
    <row r="167197" s="12" customFormat="1" x14ac:dyDescent="0.25"/>
    <row r="167198" s="12" customFormat="1" x14ac:dyDescent="0.25"/>
    <row r="167199" s="12" customFormat="1" x14ac:dyDescent="0.25"/>
    <row r="167200" s="12" customFormat="1" x14ac:dyDescent="0.25"/>
    <row r="167201" s="12" customFormat="1" x14ac:dyDescent="0.25"/>
    <row r="167202" s="12" customFormat="1" x14ac:dyDescent="0.25"/>
    <row r="167203" s="12" customFormat="1" x14ac:dyDescent="0.25"/>
    <row r="167204" s="12" customFormat="1" x14ac:dyDescent="0.25"/>
    <row r="167205" s="12" customFormat="1" x14ac:dyDescent="0.25"/>
    <row r="167206" s="12" customFormat="1" x14ac:dyDescent="0.25"/>
    <row r="167207" s="12" customFormat="1" x14ac:dyDescent="0.25"/>
    <row r="167208" s="12" customFormat="1" x14ac:dyDescent="0.25"/>
    <row r="167209" s="12" customFormat="1" x14ac:dyDescent="0.25"/>
    <row r="167210" s="12" customFormat="1" x14ac:dyDescent="0.25"/>
    <row r="167211" s="12" customFormat="1" x14ac:dyDescent="0.25"/>
    <row r="167212" s="12" customFormat="1" x14ac:dyDescent="0.25"/>
    <row r="167213" s="12" customFormat="1" x14ac:dyDescent="0.25"/>
    <row r="167214" s="12" customFormat="1" x14ac:dyDescent="0.25"/>
    <row r="167215" s="12" customFormat="1" x14ac:dyDescent="0.25"/>
    <row r="167216" s="12" customFormat="1" x14ac:dyDescent="0.25"/>
    <row r="167217" s="12" customFormat="1" x14ac:dyDescent="0.25"/>
    <row r="167218" s="12" customFormat="1" x14ac:dyDescent="0.25"/>
    <row r="167219" s="12" customFormat="1" x14ac:dyDescent="0.25"/>
    <row r="167220" s="12" customFormat="1" x14ac:dyDescent="0.25"/>
    <row r="167221" s="12" customFormat="1" x14ac:dyDescent="0.25"/>
    <row r="167222" s="12" customFormat="1" x14ac:dyDescent="0.25"/>
    <row r="167223" s="12" customFormat="1" x14ac:dyDescent="0.25"/>
    <row r="167224" s="12" customFormat="1" x14ac:dyDescent="0.25"/>
    <row r="167225" s="12" customFormat="1" x14ac:dyDescent="0.25"/>
    <row r="167226" s="12" customFormat="1" x14ac:dyDescent="0.25"/>
    <row r="167227" s="12" customFormat="1" x14ac:dyDescent="0.25"/>
    <row r="167228" s="12" customFormat="1" x14ac:dyDescent="0.25"/>
    <row r="167229" s="12" customFormat="1" x14ac:dyDescent="0.25"/>
    <row r="167230" s="12" customFormat="1" x14ac:dyDescent="0.25"/>
    <row r="167231" s="12" customFormat="1" x14ac:dyDescent="0.25"/>
    <row r="167232" s="12" customFormat="1" x14ac:dyDescent="0.25"/>
    <row r="167233" s="12" customFormat="1" x14ac:dyDescent="0.25"/>
    <row r="167234" s="12" customFormat="1" x14ac:dyDescent="0.25"/>
    <row r="167235" s="12" customFormat="1" x14ac:dyDescent="0.25"/>
    <row r="167236" s="12" customFormat="1" x14ac:dyDescent="0.25"/>
    <row r="167237" s="12" customFormat="1" x14ac:dyDescent="0.25"/>
    <row r="167238" s="12" customFormat="1" x14ac:dyDescent="0.25"/>
    <row r="167239" s="12" customFormat="1" x14ac:dyDescent="0.25"/>
    <row r="167240" s="12" customFormat="1" x14ac:dyDescent="0.25"/>
    <row r="167241" s="12" customFormat="1" x14ac:dyDescent="0.25"/>
    <row r="167242" s="12" customFormat="1" x14ac:dyDescent="0.25"/>
    <row r="167243" s="12" customFormat="1" x14ac:dyDescent="0.25"/>
    <row r="167244" s="12" customFormat="1" x14ac:dyDescent="0.25"/>
    <row r="167245" s="12" customFormat="1" x14ac:dyDescent="0.25"/>
    <row r="167246" s="12" customFormat="1" x14ac:dyDescent="0.25"/>
    <row r="167247" s="12" customFormat="1" x14ac:dyDescent="0.25"/>
    <row r="167248" s="12" customFormat="1" x14ac:dyDescent="0.25"/>
    <row r="167249" s="12" customFormat="1" x14ac:dyDescent="0.25"/>
    <row r="167250" s="12" customFormat="1" x14ac:dyDescent="0.25"/>
    <row r="167251" s="12" customFormat="1" x14ac:dyDescent="0.25"/>
    <row r="167252" s="12" customFormat="1" x14ac:dyDescent="0.25"/>
    <row r="167253" s="12" customFormat="1" x14ac:dyDescent="0.25"/>
    <row r="167254" s="12" customFormat="1" x14ac:dyDescent="0.25"/>
    <row r="167255" s="12" customFormat="1" x14ac:dyDescent="0.25"/>
    <row r="167256" s="12" customFormat="1" x14ac:dyDescent="0.25"/>
    <row r="167257" s="12" customFormat="1" x14ac:dyDescent="0.25"/>
    <row r="167258" s="12" customFormat="1" x14ac:dyDescent="0.25"/>
    <row r="167259" s="12" customFormat="1" x14ac:dyDescent="0.25"/>
    <row r="167260" s="12" customFormat="1" x14ac:dyDescent="0.25"/>
    <row r="167261" s="12" customFormat="1" x14ac:dyDescent="0.25"/>
    <row r="167262" s="12" customFormat="1" x14ac:dyDescent="0.25"/>
    <row r="167263" s="12" customFormat="1" x14ac:dyDescent="0.25"/>
    <row r="167264" s="12" customFormat="1" x14ac:dyDescent="0.25"/>
    <row r="167265" s="12" customFormat="1" x14ac:dyDescent="0.25"/>
    <row r="167266" s="12" customFormat="1" x14ac:dyDescent="0.25"/>
    <row r="167267" s="12" customFormat="1" x14ac:dyDescent="0.25"/>
    <row r="167268" s="12" customFormat="1" x14ac:dyDescent="0.25"/>
    <row r="167269" s="12" customFormat="1" x14ac:dyDescent="0.25"/>
    <row r="167270" s="12" customFormat="1" x14ac:dyDescent="0.25"/>
    <row r="167271" s="12" customFormat="1" x14ac:dyDescent="0.25"/>
    <row r="167272" s="12" customFormat="1" x14ac:dyDescent="0.25"/>
    <row r="167273" s="12" customFormat="1" x14ac:dyDescent="0.25"/>
    <row r="167274" s="12" customFormat="1" x14ac:dyDescent="0.25"/>
    <row r="167275" s="12" customFormat="1" x14ac:dyDescent="0.25"/>
    <row r="167276" s="12" customFormat="1" x14ac:dyDescent="0.25"/>
    <row r="167277" s="12" customFormat="1" x14ac:dyDescent="0.25"/>
    <row r="167278" s="12" customFormat="1" x14ac:dyDescent="0.25"/>
    <row r="167279" s="12" customFormat="1" x14ac:dyDescent="0.25"/>
    <row r="167280" s="12" customFormat="1" x14ac:dyDescent="0.25"/>
    <row r="167281" s="12" customFormat="1" x14ac:dyDescent="0.25"/>
    <row r="167282" s="12" customFormat="1" x14ac:dyDescent="0.25"/>
    <row r="167283" s="12" customFormat="1" x14ac:dyDescent="0.25"/>
    <row r="167284" s="12" customFormat="1" x14ac:dyDescent="0.25"/>
    <row r="167285" s="12" customFormat="1" x14ac:dyDescent="0.25"/>
    <row r="167286" s="12" customFormat="1" x14ac:dyDescent="0.25"/>
    <row r="167287" s="12" customFormat="1" x14ac:dyDescent="0.25"/>
    <row r="167288" s="12" customFormat="1" x14ac:dyDescent="0.25"/>
    <row r="167289" s="12" customFormat="1" x14ac:dyDescent="0.25"/>
    <row r="167290" s="12" customFormat="1" x14ac:dyDescent="0.25"/>
    <row r="167291" s="12" customFormat="1" x14ac:dyDescent="0.25"/>
    <row r="167292" s="12" customFormat="1" x14ac:dyDescent="0.25"/>
    <row r="167293" s="12" customFormat="1" x14ac:dyDescent="0.25"/>
    <row r="167294" s="12" customFormat="1" x14ac:dyDescent="0.25"/>
    <row r="167295" s="12" customFormat="1" x14ac:dyDescent="0.25"/>
    <row r="167296" s="12" customFormat="1" x14ac:dyDescent="0.25"/>
    <row r="167297" s="12" customFormat="1" x14ac:dyDescent="0.25"/>
    <row r="167298" s="12" customFormat="1" x14ac:dyDescent="0.25"/>
    <row r="167299" s="12" customFormat="1" x14ac:dyDescent="0.25"/>
    <row r="167300" s="12" customFormat="1" x14ac:dyDescent="0.25"/>
    <row r="167301" s="12" customFormat="1" x14ac:dyDescent="0.25"/>
    <row r="167302" s="12" customFormat="1" x14ac:dyDescent="0.25"/>
    <row r="167303" s="12" customFormat="1" x14ac:dyDescent="0.25"/>
    <row r="167304" s="12" customFormat="1" x14ac:dyDescent="0.25"/>
    <row r="167305" s="12" customFormat="1" x14ac:dyDescent="0.25"/>
    <row r="167306" s="12" customFormat="1" x14ac:dyDescent="0.25"/>
    <row r="167307" s="12" customFormat="1" x14ac:dyDescent="0.25"/>
    <row r="167308" s="12" customFormat="1" x14ac:dyDescent="0.25"/>
    <row r="167309" s="12" customFormat="1" x14ac:dyDescent="0.25"/>
    <row r="167310" s="12" customFormat="1" x14ac:dyDescent="0.25"/>
    <row r="167311" s="12" customFormat="1" x14ac:dyDescent="0.25"/>
    <row r="167312" s="12" customFormat="1" x14ac:dyDescent="0.25"/>
    <row r="167313" s="12" customFormat="1" x14ac:dyDescent="0.25"/>
    <row r="167314" s="12" customFormat="1" x14ac:dyDescent="0.25"/>
    <row r="167315" s="12" customFormat="1" x14ac:dyDescent="0.25"/>
    <row r="167316" s="12" customFormat="1" x14ac:dyDescent="0.25"/>
    <row r="167317" s="12" customFormat="1" x14ac:dyDescent="0.25"/>
    <row r="167318" s="12" customFormat="1" x14ac:dyDescent="0.25"/>
    <row r="167319" s="12" customFormat="1" x14ac:dyDescent="0.25"/>
    <row r="167320" s="12" customFormat="1" x14ac:dyDescent="0.25"/>
    <row r="167321" s="12" customFormat="1" x14ac:dyDescent="0.25"/>
    <row r="167322" s="12" customFormat="1" x14ac:dyDescent="0.25"/>
    <row r="167323" s="12" customFormat="1" x14ac:dyDescent="0.25"/>
    <row r="167324" s="12" customFormat="1" x14ac:dyDescent="0.25"/>
    <row r="167325" s="12" customFormat="1" x14ac:dyDescent="0.25"/>
    <row r="167326" s="12" customFormat="1" x14ac:dyDescent="0.25"/>
    <row r="167327" s="12" customFormat="1" x14ac:dyDescent="0.25"/>
    <row r="167328" s="12" customFormat="1" x14ac:dyDescent="0.25"/>
    <row r="167329" s="12" customFormat="1" x14ac:dyDescent="0.25"/>
    <row r="167330" s="12" customFormat="1" x14ac:dyDescent="0.25"/>
    <row r="167331" s="12" customFormat="1" x14ac:dyDescent="0.25"/>
    <row r="167332" s="12" customFormat="1" x14ac:dyDescent="0.25"/>
    <row r="167333" s="12" customFormat="1" x14ac:dyDescent="0.25"/>
    <row r="167334" s="12" customFormat="1" x14ac:dyDescent="0.25"/>
    <row r="167335" s="12" customFormat="1" x14ac:dyDescent="0.25"/>
    <row r="167336" s="12" customFormat="1" x14ac:dyDescent="0.25"/>
    <row r="167337" s="12" customFormat="1" x14ac:dyDescent="0.25"/>
    <row r="167338" s="12" customFormat="1" x14ac:dyDescent="0.25"/>
    <row r="167339" s="12" customFormat="1" x14ac:dyDescent="0.25"/>
    <row r="167340" s="12" customFormat="1" x14ac:dyDescent="0.25"/>
    <row r="167341" s="12" customFormat="1" x14ac:dyDescent="0.25"/>
    <row r="167342" s="12" customFormat="1" x14ac:dyDescent="0.25"/>
    <row r="167343" s="12" customFormat="1" x14ac:dyDescent="0.25"/>
    <row r="167344" s="12" customFormat="1" x14ac:dyDescent="0.25"/>
    <row r="167345" s="12" customFormat="1" x14ac:dyDescent="0.25"/>
    <row r="167346" s="12" customFormat="1" x14ac:dyDescent="0.25"/>
    <row r="167347" s="12" customFormat="1" x14ac:dyDescent="0.25"/>
    <row r="167348" s="12" customFormat="1" x14ac:dyDescent="0.25"/>
    <row r="167349" s="12" customFormat="1" x14ac:dyDescent="0.25"/>
    <row r="167350" s="12" customFormat="1" x14ac:dyDescent="0.25"/>
    <row r="167351" s="12" customFormat="1" x14ac:dyDescent="0.25"/>
    <row r="167352" s="12" customFormat="1" x14ac:dyDescent="0.25"/>
    <row r="167353" s="12" customFormat="1" x14ac:dyDescent="0.25"/>
    <row r="167354" s="12" customFormat="1" x14ac:dyDescent="0.25"/>
    <row r="167355" s="12" customFormat="1" x14ac:dyDescent="0.25"/>
    <row r="167356" s="12" customFormat="1" x14ac:dyDescent="0.25"/>
    <row r="167357" s="12" customFormat="1" x14ac:dyDescent="0.25"/>
    <row r="167358" s="12" customFormat="1" x14ac:dyDescent="0.25"/>
    <row r="167359" s="12" customFormat="1" x14ac:dyDescent="0.25"/>
    <row r="167360" s="12" customFormat="1" x14ac:dyDescent="0.25"/>
    <row r="167361" s="12" customFormat="1" x14ac:dyDescent="0.25"/>
    <row r="167362" s="12" customFormat="1" x14ac:dyDescent="0.25"/>
    <row r="167363" s="12" customFormat="1" x14ac:dyDescent="0.25"/>
    <row r="167364" s="12" customFormat="1" x14ac:dyDescent="0.25"/>
    <row r="167365" s="12" customFormat="1" x14ac:dyDescent="0.25"/>
    <row r="167366" s="12" customFormat="1" x14ac:dyDescent="0.25"/>
    <row r="167367" s="12" customFormat="1" x14ac:dyDescent="0.25"/>
    <row r="167368" s="12" customFormat="1" x14ac:dyDescent="0.25"/>
    <row r="167369" s="12" customFormat="1" x14ac:dyDescent="0.25"/>
    <row r="167370" s="12" customFormat="1" x14ac:dyDescent="0.25"/>
    <row r="167371" s="12" customFormat="1" x14ac:dyDescent="0.25"/>
    <row r="167372" s="12" customFormat="1" x14ac:dyDescent="0.25"/>
    <row r="167373" s="12" customFormat="1" x14ac:dyDescent="0.25"/>
    <row r="167374" s="12" customFormat="1" x14ac:dyDescent="0.25"/>
    <row r="167375" s="12" customFormat="1" x14ac:dyDescent="0.25"/>
    <row r="167376" s="12" customFormat="1" x14ac:dyDescent="0.25"/>
    <row r="167377" s="12" customFormat="1" x14ac:dyDescent="0.25"/>
    <row r="167378" s="12" customFormat="1" x14ac:dyDescent="0.25"/>
    <row r="167379" s="12" customFormat="1" x14ac:dyDescent="0.25"/>
    <row r="167380" s="12" customFormat="1" x14ac:dyDescent="0.25"/>
    <row r="167381" s="12" customFormat="1" x14ac:dyDescent="0.25"/>
    <row r="167382" s="12" customFormat="1" x14ac:dyDescent="0.25"/>
    <row r="167383" s="12" customFormat="1" x14ac:dyDescent="0.25"/>
    <row r="167384" s="12" customFormat="1" x14ac:dyDescent="0.25"/>
    <row r="167385" s="12" customFormat="1" x14ac:dyDescent="0.25"/>
    <row r="167386" s="12" customFormat="1" x14ac:dyDescent="0.25"/>
    <row r="167387" s="12" customFormat="1" x14ac:dyDescent="0.25"/>
    <row r="167388" s="12" customFormat="1" x14ac:dyDescent="0.25"/>
    <row r="167389" s="12" customFormat="1" x14ac:dyDescent="0.25"/>
    <row r="167390" s="12" customFormat="1" x14ac:dyDescent="0.25"/>
    <row r="167391" s="12" customFormat="1" x14ac:dyDescent="0.25"/>
    <row r="167392" s="12" customFormat="1" x14ac:dyDescent="0.25"/>
    <row r="167393" s="12" customFormat="1" x14ac:dyDescent="0.25"/>
    <row r="167394" s="12" customFormat="1" x14ac:dyDescent="0.25"/>
    <row r="167395" s="12" customFormat="1" x14ac:dyDescent="0.25"/>
    <row r="167396" s="12" customFormat="1" x14ac:dyDescent="0.25"/>
    <row r="167397" s="12" customFormat="1" x14ac:dyDescent="0.25"/>
    <row r="167398" s="12" customFormat="1" x14ac:dyDescent="0.25"/>
    <row r="167399" s="12" customFormat="1" x14ac:dyDescent="0.25"/>
    <row r="167400" s="12" customFormat="1" x14ac:dyDescent="0.25"/>
    <row r="167401" s="12" customFormat="1" x14ac:dyDescent="0.25"/>
    <row r="167402" s="12" customFormat="1" x14ac:dyDescent="0.25"/>
    <row r="167403" s="12" customFormat="1" x14ac:dyDescent="0.25"/>
    <row r="167404" s="12" customFormat="1" x14ac:dyDescent="0.25"/>
    <row r="167405" s="12" customFormat="1" x14ac:dyDescent="0.25"/>
    <row r="167406" s="12" customFormat="1" x14ac:dyDescent="0.25"/>
    <row r="167407" s="12" customFormat="1" x14ac:dyDescent="0.25"/>
    <row r="167408" s="12" customFormat="1" x14ac:dyDescent="0.25"/>
    <row r="167409" s="12" customFormat="1" x14ac:dyDescent="0.25"/>
    <row r="167410" s="12" customFormat="1" x14ac:dyDescent="0.25"/>
    <row r="167411" s="12" customFormat="1" x14ac:dyDescent="0.25"/>
    <row r="167412" s="12" customFormat="1" x14ac:dyDescent="0.25"/>
    <row r="167413" s="12" customFormat="1" x14ac:dyDescent="0.25"/>
    <row r="167414" s="12" customFormat="1" x14ac:dyDescent="0.25"/>
    <row r="167415" s="12" customFormat="1" x14ac:dyDescent="0.25"/>
    <row r="167416" s="12" customFormat="1" x14ac:dyDescent="0.25"/>
    <row r="167417" s="12" customFormat="1" x14ac:dyDescent="0.25"/>
    <row r="167418" s="12" customFormat="1" x14ac:dyDescent="0.25"/>
    <row r="167419" s="12" customFormat="1" x14ac:dyDescent="0.25"/>
    <row r="167420" s="12" customFormat="1" x14ac:dyDescent="0.25"/>
    <row r="167421" s="12" customFormat="1" x14ac:dyDescent="0.25"/>
    <row r="167422" s="12" customFormat="1" x14ac:dyDescent="0.25"/>
    <row r="167423" s="12" customFormat="1" x14ac:dyDescent="0.25"/>
    <row r="167424" s="12" customFormat="1" x14ac:dyDescent="0.25"/>
    <row r="167425" s="12" customFormat="1" x14ac:dyDescent="0.25"/>
    <row r="167426" s="12" customFormat="1" x14ac:dyDescent="0.25"/>
    <row r="167427" s="12" customFormat="1" x14ac:dyDescent="0.25"/>
    <row r="167428" s="12" customFormat="1" x14ac:dyDescent="0.25"/>
    <row r="167429" s="12" customFormat="1" x14ac:dyDescent="0.25"/>
    <row r="167430" s="12" customFormat="1" x14ac:dyDescent="0.25"/>
    <row r="167431" s="12" customFormat="1" x14ac:dyDescent="0.25"/>
    <row r="167432" s="12" customFormat="1" x14ac:dyDescent="0.25"/>
    <row r="167433" s="12" customFormat="1" x14ac:dyDescent="0.25"/>
    <row r="167434" s="12" customFormat="1" x14ac:dyDescent="0.25"/>
    <row r="167435" s="12" customFormat="1" x14ac:dyDescent="0.25"/>
    <row r="167436" s="12" customFormat="1" x14ac:dyDescent="0.25"/>
    <row r="167437" s="12" customFormat="1" x14ac:dyDescent="0.25"/>
    <row r="167438" s="12" customFormat="1" x14ac:dyDescent="0.25"/>
    <row r="167439" s="12" customFormat="1" x14ac:dyDescent="0.25"/>
    <row r="167440" s="12" customFormat="1" x14ac:dyDescent="0.25"/>
    <row r="167441" s="12" customFormat="1" x14ac:dyDescent="0.25"/>
    <row r="167442" s="12" customFormat="1" x14ac:dyDescent="0.25"/>
    <row r="167443" s="12" customFormat="1" x14ac:dyDescent="0.25"/>
    <row r="167444" s="12" customFormat="1" x14ac:dyDescent="0.25"/>
    <row r="167445" s="12" customFormat="1" x14ac:dyDescent="0.25"/>
    <row r="167446" s="12" customFormat="1" x14ac:dyDescent="0.25"/>
    <row r="167447" s="12" customFormat="1" x14ac:dyDescent="0.25"/>
    <row r="167448" s="12" customFormat="1" x14ac:dyDescent="0.25"/>
    <row r="167449" s="12" customFormat="1" x14ac:dyDescent="0.25"/>
    <row r="167450" s="12" customFormat="1" x14ac:dyDescent="0.25"/>
    <row r="167451" s="12" customFormat="1" x14ac:dyDescent="0.25"/>
    <row r="167452" s="12" customFormat="1" x14ac:dyDescent="0.25"/>
    <row r="167453" s="12" customFormat="1" x14ac:dyDescent="0.25"/>
    <row r="167454" s="12" customFormat="1" x14ac:dyDescent="0.25"/>
    <row r="167455" s="12" customFormat="1" x14ac:dyDescent="0.25"/>
    <row r="167456" s="12" customFormat="1" x14ac:dyDescent="0.25"/>
    <row r="167457" s="12" customFormat="1" x14ac:dyDescent="0.25"/>
    <row r="167458" s="12" customFormat="1" x14ac:dyDescent="0.25"/>
    <row r="167459" s="12" customFormat="1" x14ac:dyDescent="0.25"/>
    <row r="167460" s="12" customFormat="1" x14ac:dyDescent="0.25"/>
    <row r="167461" s="12" customFormat="1" x14ac:dyDescent="0.25"/>
    <row r="167462" s="12" customFormat="1" x14ac:dyDescent="0.25"/>
    <row r="167463" s="12" customFormat="1" x14ac:dyDescent="0.25"/>
    <row r="167464" s="12" customFormat="1" x14ac:dyDescent="0.25"/>
    <row r="167465" s="12" customFormat="1" x14ac:dyDescent="0.25"/>
    <row r="167466" s="12" customFormat="1" x14ac:dyDescent="0.25"/>
    <row r="167467" s="12" customFormat="1" x14ac:dyDescent="0.25"/>
    <row r="167468" s="12" customFormat="1" x14ac:dyDescent="0.25"/>
    <row r="167469" s="12" customFormat="1" x14ac:dyDescent="0.25"/>
    <row r="167470" s="12" customFormat="1" x14ac:dyDescent="0.25"/>
    <row r="167471" s="12" customFormat="1" x14ac:dyDescent="0.25"/>
    <row r="167472" s="12" customFormat="1" x14ac:dyDescent="0.25"/>
    <row r="167473" s="12" customFormat="1" x14ac:dyDescent="0.25"/>
    <row r="167474" s="12" customFormat="1" x14ac:dyDescent="0.25"/>
    <row r="167475" s="12" customFormat="1" x14ac:dyDescent="0.25"/>
    <row r="167476" s="12" customFormat="1" x14ac:dyDescent="0.25"/>
    <row r="167477" s="12" customFormat="1" x14ac:dyDescent="0.25"/>
    <row r="167478" s="12" customFormat="1" x14ac:dyDescent="0.25"/>
    <row r="167479" s="12" customFormat="1" x14ac:dyDescent="0.25"/>
    <row r="167480" s="12" customFormat="1" x14ac:dyDescent="0.25"/>
    <row r="167481" s="12" customFormat="1" x14ac:dyDescent="0.25"/>
    <row r="167482" s="12" customFormat="1" x14ac:dyDescent="0.25"/>
    <row r="167483" s="12" customFormat="1" x14ac:dyDescent="0.25"/>
    <row r="167484" s="12" customFormat="1" x14ac:dyDescent="0.25"/>
    <row r="167485" s="12" customFormat="1" x14ac:dyDescent="0.25"/>
    <row r="167486" s="12" customFormat="1" x14ac:dyDescent="0.25"/>
    <row r="167487" s="12" customFormat="1" x14ac:dyDescent="0.25"/>
    <row r="167488" s="12" customFormat="1" x14ac:dyDescent="0.25"/>
    <row r="167489" s="12" customFormat="1" x14ac:dyDescent="0.25"/>
    <row r="167490" s="12" customFormat="1" x14ac:dyDescent="0.25"/>
    <row r="167491" s="12" customFormat="1" x14ac:dyDescent="0.25"/>
    <row r="167492" s="12" customFormat="1" x14ac:dyDescent="0.25"/>
    <row r="167493" s="12" customFormat="1" x14ac:dyDescent="0.25"/>
    <row r="167494" s="12" customFormat="1" x14ac:dyDescent="0.25"/>
    <row r="167495" s="12" customFormat="1" x14ac:dyDescent="0.25"/>
    <row r="167496" s="12" customFormat="1" x14ac:dyDescent="0.25"/>
    <row r="167497" s="12" customFormat="1" x14ac:dyDescent="0.25"/>
    <row r="167498" s="12" customFormat="1" x14ac:dyDescent="0.25"/>
    <row r="167499" s="12" customFormat="1" x14ac:dyDescent="0.25"/>
    <row r="167500" s="12" customFormat="1" x14ac:dyDescent="0.25"/>
    <row r="167501" s="12" customFormat="1" x14ac:dyDescent="0.25"/>
    <row r="167502" s="12" customFormat="1" x14ac:dyDescent="0.25"/>
    <row r="167503" s="12" customFormat="1" x14ac:dyDescent="0.25"/>
    <row r="167504" s="12" customFormat="1" x14ac:dyDescent="0.25"/>
    <row r="167505" s="12" customFormat="1" x14ac:dyDescent="0.25"/>
    <row r="167506" s="12" customFormat="1" x14ac:dyDescent="0.25"/>
    <row r="167507" s="12" customFormat="1" x14ac:dyDescent="0.25"/>
    <row r="167508" s="12" customFormat="1" x14ac:dyDescent="0.25"/>
    <row r="167509" s="12" customFormat="1" x14ac:dyDescent="0.25"/>
    <row r="167510" s="12" customFormat="1" x14ac:dyDescent="0.25"/>
    <row r="167511" s="12" customFormat="1" x14ac:dyDescent="0.25"/>
    <row r="167512" s="12" customFormat="1" x14ac:dyDescent="0.25"/>
    <row r="167513" s="12" customFormat="1" x14ac:dyDescent="0.25"/>
    <row r="167514" s="12" customFormat="1" x14ac:dyDescent="0.25"/>
    <row r="167515" s="12" customFormat="1" x14ac:dyDescent="0.25"/>
    <row r="167516" s="12" customFormat="1" x14ac:dyDescent="0.25"/>
    <row r="167517" s="12" customFormat="1" x14ac:dyDescent="0.25"/>
    <row r="167518" s="12" customFormat="1" x14ac:dyDescent="0.25"/>
    <row r="167519" s="12" customFormat="1" x14ac:dyDescent="0.25"/>
    <row r="167520" s="12" customFormat="1" x14ac:dyDescent="0.25"/>
    <row r="167521" s="12" customFormat="1" x14ac:dyDescent="0.25"/>
    <row r="167522" s="12" customFormat="1" x14ac:dyDescent="0.25"/>
    <row r="167523" s="12" customFormat="1" x14ac:dyDescent="0.25"/>
    <row r="167524" s="12" customFormat="1" x14ac:dyDescent="0.25"/>
    <row r="167525" s="12" customFormat="1" x14ac:dyDescent="0.25"/>
    <row r="167526" s="12" customFormat="1" x14ac:dyDescent="0.25"/>
    <row r="167527" s="12" customFormat="1" x14ac:dyDescent="0.25"/>
    <row r="167528" s="12" customFormat="1" x14ac:dyDescent="0.25"/>
    <row r="167529" s="12" customFormat="1" x14ac:dyDescent="0.25"/>
    <row r="167530" s="12" customFormat="1" x14ac:dyDescent="0.25"/>
    <row r="167531" s="12" customFormat="1" x14ac:dyDescent="0.25"/>
    <row r="167532" s="12" customFormat="1" x14ac:dyDescent="0.25"/>
    <row r="167533" s="12" customFormat="1" x14ac:dyDescent="0.25"/>
    <row r="167534" s="12" customFormat="1" x14ac:dyDescent="0.25"/>
    <row r="167535" s="12" customFormat="1" x14ac:dyDescent="0.25"/>
    <row r="167536" s="12" customFormat="1" x14ac:dyDescent="0.25"/>
    <row r="167537" s="12" customFormat="1" x14ac:dyDescent="0.25"/>
    <row r="167538" s="12" customFormat="1" x14ac:dyDescent="0.25"/>
    <row r="167539" s="12" customFormat="1" x14ac:dyDescent="0.25"/>
    <row r="167540" s="12" customFormat="1" x14ac:dyDescent="0.25"/>
    <row r="167541" s="12" customFormat="1" x14ac:dyDescent="0.25"/>
    <row r="167542" s="12" customFormat="1" x14ac:dyDescent="0.25"/>
    <row r="167543" s="12" customFormat="1" x14ac:dyDescent="0.25"/>
    <row r="167544" s="12" customFormat="1" x14ac:dyDescent="0.25"/>
    <row r="167545" s="12" customFormat="1" x14ac:dyDescent="0.25"/>
    <row r="167546" s="12" customFormat="1" x14ac:dyDescent="0.25"/>
    <row r="167547" s="12" customFormat="1" x14ac:dyDescent="0.25"/>
    <row r="167548" s="12" customFormat="1" x14ac:dyDescent="0.25"/>
    <row r="167549" s="12" customFormat="1" x14ac:dyDescent="0.25"/>
    <row r="167550" s="12" customFormat="1" x14ac:dyDescent="0.25"/>
    <row r="167551" s="12" customFormat="1" x14ac:dyDescent="0.25"/>
    <row r="167552" s="12" customFormat="1" x14ac:dyDescent="0.25"/>
    <row r="167553" s="12" customFormat="1" x14ac:dyDescent="0.25"/>
    <row r="167554" s="12" customFormat="1" x14ac:dyDescent="0.25"/>
    <row r="167555" s="12" customFormat="1" x14ac:dyDescent="0.25"/>
    <row r="167556" s="12" customFormat="1" x14ac:dyDescent="0.25"/>
    <row r="167557" s="12" customFormat="1" x14ac:dyDescent="0.25"/>
    <row r="167558" s="12" customFormat="1" x14ac:dyDescent="0.25"/>
    <row r="167559" s="12" customFormat="1" x14ac:dyDescent="0.25"/>
    <row r="167560" s="12" customFormat="1" x14ac:dyDescent="0.25"/>
    <row r="167561" s="12" customFormat="1" x14ac:dyDescent="0.25"/>
    <row r="167562" s="12" customFormat="1" x14ac:dyDescent="0.25"/>
    <row r="167563" s="12" customFormat="1" x14ac:dyDescent="0.25"/>
    <row r="167564" s="12" customFormat="1" x14ac:dyDescent="0.25"/>
    <row r="167565" s="12" customFormat="1" x14ac:dyDescent="0.25"/>
    <row r="167566" s="12" customFormat="1" x14ac:dyDescent="0.25"/>
    <row r="167567" s="12" customFormat="1" x14ac:dyDescent="0.25"/>
    <row r="167568" s="12" customFormat="1" x14ac:dyDescent="0.25"/>
    <row r="167569" s="12" customFormat="1" x14ac:dyDescent="0.25"/>
    <row r="167570" s="12" customFormat="1" x14ac:dyDescent="0.25"/>
    <row r="167571" s="12" customFormat="1" x14ac:dyDescent="0.25"/>
    <row r="167572" s="12" customFormat="1" x14ac:dyDescent="0.25"/>
    <row r="167573" s="12" customFormat="1" x14ac:dyDescent="0.25"/>
    <row r="167574" s="12" customFormat="1" x14ac:dyDescent="0.25"/>
    <row r="167575" s="12" customFormat="1" x14ac:dyDescent="0.25"/>
    <row r="167576" s="12" customFormat="1" x14ac:dyDescent="0.25"/>
    <row r="167577" s="12" customFormat="1" x14ac:dyDescent="0.25"/>
    <row r="167578" s="12" customFormat="1" x14ac:dyDescent="0.25"/>
    <row r="167579" s="12" customFormat="1" x14ac:dyDescent="0.25"/>
    <row r="167580" s="12" customFormat="1" x14ac:dyDescent="0.25"/>
    <row r="167581" s="12" customFormat="1" x14ac:dyDescent="0.25"/>
    <row r="167582" s="12" customFormat="1" x14ac:dyDescent="0.25"/>
    <row r="167583" s="12" customFormat="1" x14ac:dyDescent="0.25"/>
    <row r="167584" s="12" customFormat="1" x14ac:dyDescent="0.25"/>
    <row r="167585" s="12" customFormat="1" x14ac:dyDescent="0.25"/>
    <row r="167586" s="12" customFormat="1" x14ac:dyDescent="0.25"/>
    <row r="167587" s="12" customFormat="1" x14ac:dyDescent="0.25"/>
    <row r="167588" s="12" customFormat="1" x14ac:dyDescent="0.25"/>
    <row r="167589" s="12" customFormat="1" x14ac:dyDescent="0.25"/>
    <row r="167590" s="12" customFormat="1" x14ac:dyDescent="0.25"/>
    <row r="167591" s="12" customFormat="1" x14ac:dyDescent="0.25"/>
    <row r="167592" s="12" customFormat="1" x14ac:dyDescent="0.25"/>
    <row r="167593" s="12" customFormat="1" x14ac:dyDescent="0.25"/>
    <row r="167594" s="12" customFormat="1" x14ac:dyDescent="0.25"/>
    <row r="167595" s="12" customFormat="1" x14ac:dyDescent="0.25"/>
    <row r="167596" s="12" customFormat="1" x14ac:dyDescent="0.25"/>
    <row r="167597" s="12" customFormat="1" x14ac:dyDescent="0.25"/>
    <row r="167598" s="12" customFormat="1" x14ac:dyDescent="0.25"/>
    <row r="167599" s="12" customFormat="1" x14ac:dyDescent="0.25"/>
    <row r="167600" s="12" customFormat="1" x14ac:dyDescent="0.25"/>
    <row r="167601" s="12" customFormat="1" x14ac:dyDescent="0.25"/>
    <row r="167602" s="12" customFormat="1" x14ac:dyDescent="0.25"/>
    <row r="167603" s="12" customFormat="1" x14ac:dyDescent="0.25"/>
    <row r="167604" s="12" customFormat="1" x14ac:dyDescent="0.25"/>
    <row r="167605" s="12" customFormat="1" x14ac:dyDescent="0.25"/>
    <row r="167606" s="12" customFormat="1" x14ac:dyDescent="0.25"/>
    <row r="167607" s="12" customFormat="1" x14ac:dyDescent="0.25"/>
    <row r="167608" s="12" customFormat="1" x14ac:dyDescent="0.25"/>
    <row r="167609" s="12" customFormat="1" x14ac:dyDescent="0.25"/>
    <row r="167610" s="12" customFormat="1" x14ac:dyDescent="0.25"/>
    <row r="167611" s="12" customFormat="1" x14ac:dyDescent="0.25"/>
    <row r="167612" s="12" customFormat="1" x14ac:dyDescent="0.25"/>
    <row r="167613" s="12" customFormat="1" x14ac:dyDescent="0.25"/>
    <row r="167614" s="12" customFormat="1" x14ac:dyDescent="0.25"/>
    <row r="167615" s="12" customFormat="1" x14ac:dyDescent="0.25"/>
    <row r="167616" s="12" customFormat="1" x14ac:dyDescent="0.25"/>
    <row r="167617" s="12" customFormat="1" x14ac:dyDescent="0.25"/>
    <row r="167618" s="12" customFormat="1" x14ac:dyDescent="0.25"/>
    <row r="167619" s="12" customFormat="1" x14ac:dyDescent="0.25"/>
    <row r="167620" s="12" customFormat="1" x14ac:dyDescent="0.25"/>
    <row r="167621" s="12" customFormat="1" x14ac:dyDescent="0.25"/>
    <row r="167622" s="12" customFormat="1" x14ac:dyDescent="0.25"/>
    <row r="167623" s="12" customFormat="1" x14ac:dyDescent="0.25"/>
    <row r="167624" s="12" customFormat="1" x14ac:dyDescent="0.25"/>
    <row r="167625" s="12" customFormat="1" x14ac:dyDescent="0.25"/>
    <row r="167626" s="12" customFormat="1" x14ac:dyDescent="0.25"/>
    <row r="167627" s="12" customFormat="1" x14ac:dyDescent="0.25"/>
    <row r="167628" s="12" customFormat="1" x14ac:dyDescent="0.25"/>
    <row r="167629" s="12" customFormat="1" x14ac:dyDescent="0.25"/>
    <row r="167630" s="12" customFormat="1" x14ac:dyDescent="0.25"/>
    <row r="167631" s="12" customFormat="1" x14ac:dyDescent="0.25"/>
    <row r="167632" s="12" customFormat="1" x14ac:dyDescent="0.25"/>
    <row r="167633" s="12" customFormat="1" x14ac:dyDescent="0.25"/>
    <row r="167634" s="12" customFormat="1" x14ac:dyDescent="0.25"/>
    <row r="167635" s="12" customFormat="1" x14ac:dyDescent="0.25"/>
    <row r="167636" s="12" customFormat="1" x14ac:dyDescent="0.25"/>
    <row r="167637" s="12" customFormat="1" x14ac:dyDescent="0.25"/>
    <row r="167638" s="12" customFormat="1" x14ac:dyDescent="0.25"/>
    <row r="167639" s="12" customFormat="1" x14ac:dyDescent="0.25"/>
    <row r="167640" s="12" customFormat="1" x14ac:dyDescent="0.25"/>
    <row r="167641" s="12" customFormat="1" x14ac:dyDescent="0.25"/>
    <row r="167642" s="12" customFormat="1" x14ac:dyDescent="0.25"/>
    <row r="167643" s="12" customFormat="1" x14ac:dyDescent="0.25"/>
    <row r="167644" s="12" customFormat="1" x14ac:dyDescent="0.25"/>
    <row r="167645" s="12" customFormat="1" x14ac:dyDescent="0.25"/>
    <row r="167646" s="12" customFormat="1" x14ac:dyDescent="0.25"/>
    <row r="167647" s="12" customFormat="1" x14ac:dyDescent="0.25"/>
    <row r="167648" s="12" customFormat="1" x14ac:dyDescent="0.25"/>
    <row r="167649" s="12" customFormat="1" x14ac:dyDescent="0.25"/>
    <row r="167650" s="12" customFormat="1" x14ac:dyDescent="0.25"/>
    <row r="167651" s="12" customFormat="1" x14ac:dyDescent="0.25"/>
    <row r="167652" s="12" customFormat="1" x14ac:dyDescent="0.25"/>
    <row r="167653" s="12" customFormat="1" x14ac:dyDescent="0.25"/>
    <row r="167654" s="12" customFormat="1" x14ac:dyDescent="0.25"/>
    <row r="167655" s="12" customFormat="1" x14ac:dyDescent="0.25"/>
    <row r="167656" s="12" customFormat="1" x14ac:dyDescent="0.25"/>
    <row r="167657" s="12" customFormat="1" x14ac:dyDescent="0.25"/>
    <row r="167658" s="12" customFormat="1" x14ac:dyDescent="0.25"/>
    <row r="167659" s="12" customFormat="1" x14ac:dyDescent="0.25"/>
    <row r="167660" s="12" customFormat="1" x14ac:dyDescent="0.25"/>
    <row r="167661" s="12" customFormat="1" x14ac:dyDescent="0.25"/>
    <row r="167662" s="12" customFormat="1" x14ac:dyDescent="0.25"/>
    <row r="167663" s="12" customFormat="1" x14ac:dyDescent="0.25"/>
    <row r="167664" s="12" customFormat="1" x14ac:dyDescent="0.25"/>
    <row r="167665" s="12" customFormat="1" x14ac:dyDescent="0.25"/>
    <row r="167666" s="12" customFormat="1" x14ac:dyDescent="0.25"/>
    <row r="167667" s="12" customFormat="1" x14ac:dyDescent="0.25"/>
    <row r="167668" s="12" customFormat="1" x14ac:dyDescent="0.25"/>
    <row r="167669" s="12" customFormat="1" x14ac:dyDescent="0.25"/>
    <row r="167670" s="12" customFormat="1" x14ac:dyDescent="0.25"/>
    <row r="167671" s="12" customFormat="1" x14ac:dyDescent="0.25"/>
    <row r="167672" s="12" customFormat="1" x14ac:dyDescent="0.25"/>
    <row r="167673" s="12" customFormat="1" x14ac:dyDescent="0.25"/>
    <row r="167674" s="12" customFormat="1" x14ac:dyDescent="0.25"/>
    <row r="167675" s="12" customFormat="1" x14ac:dyDescent="0.25"/>
    <row r="167676" s="12" customFormat="1" x14ac:dyDescent="0.25"/>
    <row r="167677" s="12" customFormat="1" x14ac:dyDescent="0.25"/>
    <row r="167678" s="12" customFormat="1" x14ac:dyDescent="0.25"/>
    <row r="167679" s="12" customFormat="1" x14ac:dyDescent="0.25"/>
    <row r="167680" s="12" customFormat="1" x14ac:dyDescent="0.25"/>
    <row r="167681" s="12" customFormat="1" x14ac:dyDescent="0.25"/>
    <row r="167682" s="12" customFormat="1" x14ac:dyDescent="0.25"/>
    <row r="167683" s="12" customFormat="1" x14ac:dyDescent="0.25"/>
    <row r="167684" s="12" customFormat="1" x14ac:dyDescent="0.25"/>
    <row r="167685" s="12" customFormat="1" x14ac:dyDescent="0.25"/>
    <row r="167686" s="12" customFormat="1" x14ac:dyDescent="0.25"/>
    <row r="167687" s="12" customFormat="1" x14ac:dyDescent="0.25"/>
    <row r="167688" s="12" customFormat="1" x14ac:dyDescent="0.25"/>
    <row r="167689" s="12" customFormat="1" x14ac:dyDescent="0.25"/>
    <row r="167690" s="12" customFormat="1" x14ac:dyDescent="0.25"/>
    <row r="167691" s="12" customFormat="1" x14ac:dyDescent="0.25"/>
    <row r="167692" s="12" customFormat="1" x14ac:dyDescent="0.25"/>
    <row r="167693" s="12" customFormat="1" x14ac:dyDescent="0.25"/>
    <row r="167694" s="12" customFormat="1" x14ac:dyDescent="0.25"/>
    <row r="167695" s="12" customFormat="1" x14ac:dyDescent="0.25"/>
    <row r="167696" s="12" customFormat="1" x14ac:dyDescent="0.25"/>
    <row r="167697" s="12" customFormat="1" x14ac:dyDescent="0.25"/>
    <row r="167698" s="12" customFormat="1" x14ac:dyDescent="0.25"/>
    <row r="167699" s="12" customFormat="1" x14ac:dyDescent="0.25"/>
    <row r="167700" s="12" customFormat="1" x14ac:dyDescent="0.25"/>
    <row r="167701" s="12" customFormat="1" x14ac:dyDescent="0.25"/>
    <row r="167702" s="12" customFormat="1" x14ac:dyDescent="0.25"/>
    <row r="167703" s="12" customFormat="1" x14ac:dyDescent="0.25"/>
    <row r="167704" s="12" customFormat="1" x14ac:dyDescent="0.25"/>
    <row r="167705" s="12" customFormat="1" x14ac:dyDescent="0.25"/>
    <row r="167706" s="12" customFormat="1" x14ac:dyDescent="0.25"/>
    <row r="167707" s="12" customFormat="1" x14ac:dyDescent="0.25"/>
    <row r="167708" s="12" customFormat="1" x14ac:dyDescent="0.25"/>
    <row r="167709" s="12" customFormat="1" x14ac:dyDescent="0.25"/>
    <row r="167710" s="12" customFormat="1" x14ac:dyDescent="0.25"/>
    <row r="167711" s="12" customFormat="1" x14ac:dyDescent="0.25"/>
    <row r="167712" s="12" customFormat="1" x14ac:dyDescent="0.25"/>
    <row r="167713" s="12" customFormat="1" x14ac:dyDescent="0.25"/>
    <row r="167714" s="12" customFormat="1" x14ac:dyDescent="0.25"/>
    <row r="167715" s="12" customFormat="1" x14ac:dyDescent="0.25"/>
    <row r="167716" s="12" customFormat="1" x14ac:dyDescent="0.25"/>
    <row r="167717" s="12" customFormat="1" x14ac:dyDescent="0.25"/>
    <row r="167718" s="12" customFormat="1" x14ac:dyDescent="0.25"/>
    <row r="167719" s="12" customFormat="1" x14ac:dyDescent="0.25"/>
    <row r="167720" s="12" customFormat="1" x14ac:dyDescent="0.25"/>
    <row r="167721" s="12" customFormat="1" x14ac:dyDescent="0.25"/>
    <row r="167722" s="12" customFormat="1" x14ac:dyDescent="0.25"/>
    <row r="167723" s="12" customFormat="1" x14ac:dyDescent="0.25"/>
    <row r="167724" s="12" customFormat="1" x14ac:dyDescent="0.25"/>
    <row r="167725" s="12" customFormat="1" x14ac:dyDescent="0.25"/>
    <row r="167726" s="12" customFormat="1" x14ac:dyDescent="0.25"/>
    <row r="167727" s="12" customFormat="1" x14ac:dyDescent="0.25"/>
    <row r="167728" s="12" customFormat="1" x14ac:dyDescent="0.25"/>
    <row r="167729" s="12" customFormat="1" x14ac:dyDescent="0.25"/>
    <row r="167730" s="12" customFormat="1" x14ac:dyDescent="0.25"/>
    <row r="167731" s="12" customFormat="1" x14ac:dyDescent="0.25"/>
    <row r="167732" s="12" customFormat="1" x14ac:dyDescent="0.25"/>
    <row r="167733" s="12" customFormat="1" x14ac:dyDescent="0.25"/>
    <row r="167734" s="12" customFormat="1" x14ac:dyDescent="0.25"/>
    <row r="167735" s="12" customFormat="1" x14ac:dyDescent="0.25"/>
    <row r="167736" s="12" customFormat="1" x14ac:dyDescent="0.25"/>
    <row r="167737" s="12" customFormat="1" x14ac:dyDescent="0.25"/>
    <row r="167738" s="12" customFormat="1" x14ac:dyDescent="0.25"/>
    <row r="167739" s="12" customFormat="1" x14ac:dyDescent="0.25"/>
    <row r="167740" s="12" customFormat="1" x14ac:dyDescent="0.25"/>
    <row r="167741" s="12" customFormat="1" x14ac:dyDescent="0.25"/>
    <row r="167742" s="12" customFormat="1" x14ac:dyDescent="0.25"/>
    <row r="167743" s="12" customFormat="1" x14ac:dyDescent="0.25"/>
    <row r="167744" s="12" customFormat="1" x14ac:dyDescent="0.25"/>
    <row r="167745" s="12" customFormat="1" x14ac:dyDescent="0.25"/>
    <row r="167746" s="12" customFormat="1" x14ac:dyDescent="0.25"/>
    <row r="167747" s="12" customFormat="1" x14ac:dyDescent="0.25"/>
    <row r="167748" s="12" customFormat="1" x14ac:dyDescent="0.25"/>
    <row r="167749" s="12" customFormat="1" x14ac:dyDescent="0.25"/>
    <row r="167750" s="12" customFormat="1" x14ac:dyDescent="0.25"/>
    <row r="167751" s="12" customFormat="1" x14ac:dyDescent="0.25"/>
    <row r="167752" s="12" customFormat="1" x14ac:dyDescent="0.25"/>
    <row r="167753" s="12" customFormat="1" x14ac:dyDescent="0.25"/>
    <row r="167754" s="12" customFormat="1" x14ac:dyDescent="0.25"/>
    <row r="167755" s="12" customFormat="1" x14ac:dyDescent="0.25"/>
    <row r="167756" s="12" customFormat="1" x14ac:dyDescent="0.25"/>
    <row r="167757" s="12" customFormat="1" x14ac:dyDescent="0.25"/>
    <row r="167758" s="12" customFormat="1" x14ac:dyDescent="0.25"/>
    <row r="167759" s="12" customFormat="1" x14ac:dyDescent="0.25"/>
    <row r="167760" s="12" customFormat="1" x14ac:dyDescent="0.25"/>
    <row r="167761" s="12" customFormat="1" x14ac:dyDescent="0.25"/>
    <row r="167762" s="12" customFormat="1" x14ac:dyDescent="0.25"/>
    <row r="167763" s="12" customFormat="1" x14ac:dyDescent="0.25"/>
    <row r="167764" s="12" customFormat="1" x14ac:dyDescent="0.25"/>
    <row r="167765" s="12" customFormat="1" x14ac:dyDescent="0.25"/>
    <row r="167766" s="12" customFormat="1" x14ac:dyDescent="0.25"/>
    <row r="167767" s="12" customFormat="1" x14ac:dyDescent="0.25"/>
    <row r="167768" s="12" customFormat="1" x14ac:dyDescent="0.25"/>
    <row r="167769" s="12" customFormat="1" x14ac:dyDescent="0.25"/>
    <row r="167770" s="12" customFormat="1" x14ac:dyDescent="0.25"/>
    <row r="167771" s="12" customFormat="1" x14ac:dyDescent="0.25"/>
    <row r="167772" s="12" customFormat="1" x14ac:dyDescent="0.25"/>
    <row r="167773" s="12" customFormat="1" x14ac:dyDescent="0.25"/>
    <row r="167774" s="12" customFormat="1" x14ac:dyDescent="0.25"/>
    <row r="167775" s="12" customFormat="1" x14ac:dyDescent="0.25"/>
    <row r="167776" s="12" customFormat="1" x14ac:dyDescent="0.25"/>
    <row r="167777" s="12" customFormat="1" x14ac:dyDescent="0.25"/>
    <row r="167778" s="12" customFormat="1" x14ac:dyDescent="0.25"/>
    <row r="167779" s="12" customFormat="1" x14ac:dyDescent="0.25"/>
    <row r="167780" s="12" customFormat="1" x14ac:dyDescent="0.25"/>
    <row r="167781" s="12" customFormat="1" x14ac:dyDescent="0.25"/>
    <row r="167782" s="12" customFormat="1" x14ac:dyDescent="0.25"/>
    <row r="167783" s="12" customFormat="1" x14ac:dyDescent="0.25"/>
    <row r="167784" s="12" customFormat="1" x14ac:dyDescent="0.25"/>
    <row r="167785" s="12" customFormat="1" x14ac:dyDescent="0.25"/>
    <row r="167786" s="12" customFormat="1" x14ac:dyDescent="0.25"/>
    <row r="167787" s="12" customFormat="1" x14ac:dyDescent="0.25"/>
    <row r="167788" s="12" customFormat="1" x14ac:dyDescent="0.25"/>
    <row r="167789" s="12" customFormat="1" x14ac:dyDescent="0.25"/>
    <row r="167790" s="12" customFormat="1" x14ac:dyDescent="0.25"/>
    <row r="167791" s="12" customFormat="1" x14ac:dyDescent="0.25"/>
    <row r="167792" s="12" customFormat="1" x14ac:dyDescent="0.25"/>
    <row r="167793" s="12" customFormat="1" x14ac:dyDescent="0.25"/>
    <row r="167794" s="12" customFormat="1" x14ac:dyDescent="0.25"/>
    <row r="167795" s="12" customFormat="1" x14ac:dyDescent="0.25"/>
    <row r="167796" s="12" customFormat="1" x14ac:dyDescent="0.25"/>
    <row r="167797" s="12" customFormat="1" x14ac:dyDescent="0.25"/>
    <row r="167798" s="12" customFormat="1" x14ac:dyDescent="0.25"/>
    <row r="167799" s="12" customFormat="1" x14ac:dyDescent="0.25"/>
    <row r="167800" s="12" customFormat="1" x14ac:dyDescent="0.25"/>
    <row r="167801" s="12" customFormat="1" x14ac:dyDescent="0.25"/>
    <row r="167802" s="12" customFormat="1" x14ac:dyDescent="0.25"/>
    <row r="167803" s="12" customFormat="1" x14ac:dyDescent="0.25"/>
    <row r="167804" s="12" customFormat="1" x14ac:dyDescent="0.25"/>
    <row r="167805" s="12" customFormat="1" x14ac:dyDescent="0.25"/>
    <row r="167806" s="12" customFormat="1" x14ac:dyDescent="0.25"/>
    <row r="167807" s="12" customFormat="1" x14ac:dyDescent="0.25"/>
    <row r="167808" s="12" customFormat="1" x14ac:dyDescent="0.25"/>
    <row r="167809" s="12" customFormat="1" x14ac:dyDescent="0.25"/>
    <row r="167810" s="12" customFormat="1" x14ac:dyDescent="0.25"/>
    <row r="167811" s="12" customFormat="1" x14ac:dyDescent="0.25"/>
    <row r="167812" s="12" customFormat="1" x14ac:dyDescent="0.25"/>
    <row r="167813" s="12" customFormat="1" x14ac:dyDescent="0.25"/>
    <row r="167814" s="12" customFormat="1" x14ac:dyDescent="0.25"/>
    <row r="167815" s="12" customFormat="1" x14ac:dyDescent="0.25"/>
    <row r="167816" s="12" customFormat="1" x14ac:dyDescent="0.25"/>
    <row r="167817" s="12" customFormat="1" x14ac:dyDescent="0.25"/>
    <row r="167818" s="12" customFormat="1" x14ac:dyDescent="0.25"/>
    <row r="167819" s="12" customFormat="1" x14ac:dyDescent="0.25"/>
    <row r="167820" s="12" customFormat="1" x14ac:dyDescent="0.25"/>
    <row r="167821" s="12" customFormat="1" x14ac:dyDescent="0.25"/>
    <row r="167822" s="12" customFormat="1" x14ac:dyDescent="0.25"/>
    <row r="167823" s="12" customFormat="1" x14ac:dyDescent="0.25"/>
    <row r="167824" s="12" customFormat="1" x14ac:dyDescent="0.25"/>
    <row r="167825" s="12" customFormat="1" x14ac:dyDescent="0.25"/>
    <row r="167826" s="12" customFormat="1" x14ac:dyDescent="0.25"/>
    <row r="167827" s="12" customFormat="1" x14ac:dyDescent="0.25"/>
    <row r="167828" s="12" customFormat="1" x14ac:dyDescent="0.25"/>
    <row r="167829" s="12" customFormat="1" x14ac:dyDescent="0.25"/>
    <row r="167830" s="12" customFormat="1" x14ac:dyDescent="0.25"/>
    <row r="167831" s="12" customFormat="1" x14ac:dyDescent="0.25"/>
    <row r="167832" s="12" customFormat="1" x14ac:dyDescent="0.25"/>
    <row r="167833" s="12" customFormat="1" x14ac:dyDescent="0.25"/>
    <row r="167834" s="12" customFormat="1" x14ac:dyDescent="0.25"/>
    <row r="167835" s="12" customFormat="1" x14ac:dyDescent="0.25"/>
    <row r="167836" s="12" customFormat="1" x14ac:dyDescent="0.25"/>
    <row r="167837" s="12" customFormat="1" x14ac:dyDescent="0.25"/>
    <row r="167838" s="12" customFormat="1" x14ac:dyDescent="0.25"/>
    <row r="167839" s="12" customFormat="1" x14ac:dyDescent="0.25"/>
    <row r="167840" s="12" customFormat="1" x14ac:dyDescent="0.25"/>
    <row r="167841" s="12" customFormat="1" x14ac:dyDescent="0.25"/>
    <row r="167842" s="12" customFormat="1" x14ac:dyDescent="0.25"/>
    <row r="167843" s="12" customFormat="1" x14ac:dyDescent="0.25"/>
    <row r="167844" s="12" customFormat="1" x14ac:dyDescent="0.25"/>
    <row r="167845" s="12" customFormat="1" x14ac:dyDescent="0.25"/>
    <row r="167846" s="12" customFormat="1" x14ac:dyDescent="0.25"/>
    <row r="167847" s="12" customFormat="1" x14ac:dyDescent="0.25"/>
    <row r="167848" s="12" customFormat="1" x14ac:dyDescent="0.25"/>
    <row r="167849" s="12" customFormat="1" x14ac:dyDescent="0.25"/>
    <row r="167850" s="12" customFormat="1" x14ac:dyDescent="0.25"/>
    <row r="167851" s="12" customFormat="1" x14ac:dyDescent="0.25"/>
    <row r="167852" s="12" customFormat="1" x14ac:dyDescent="0.25"/>
    <row r="167853" s="12" customFormat="1" x14ac:dyDescent="0.25"/>
    <row r="167854" s="12" customFormat="1" x14ac:dyDescent="0.25"/>
    <row r="167855" s="12" customFormat="1" x14ac:dyDescent="0.25"/>
    <row r="167856" s="12" customFormat="1" x14ac:dyDescent="0.25"/>
    <row r="167857" s="12" customFormat="1" x14ac:dyDescent="0.25"/>
    <row r="167858" s="12" customFormat="1" x14ac:dyDescent="0.25"/>
    <row r="167859" s="12" customFormat="1" x14ac:dyDescent="0.25"/>
    <row r="167860" s="12" customFormat="1" x14ac:dyDescent="0.25"/>
    <row r="167861" s="12" customFormat="1" x14ac:dyDescent="0.25"/>
    <row r="167862" s="12" customFormat="1" x14ac:dyDescent="0.25"/>
    <row r="167863" s="12" customFormat="1" x14ac:dyDescent="0.25"/>
    <row r="167864" s="12" customFormat="1" x14ac:dyDescent="0.25"/>
    <row r="167865" s="12" customFormat="1" x14ac:dyDescent="0.25"/>
    <row r="167866" s="12" customFormat="1" x14ac:dyDescent="0.25"/>
    <row r="167867" s="12" customFormat="1" x14ac:dyDescent="0.25"/>
    <row r="167868" s="12" customFormat="1" x14ac:dyDescent="0.25"/>
    <row r="167869" s="12" customFormat="1" x14ac:dyDescent="0.25"/>
    <row r="167870" s="12" customFormat="1" x14ac:dyDescent="0.25"/>
    <row r="167871" s="12" customFormat="1" x14ac:dyDescent="0.25"/>
    <row r="167872" s="12" customFormat="1" x14ac:dyDescent="0.25"/>
    <row r="167873" s="12" customFormat="1" x14ac:dyDescent="0.25"/>
    <row r="167874" s="12" customFormat="1" x14ac:dyDescent="0.25"/>
    <row r="167875" s="12" customFormat="1" x14ac:dyDescent="0.25"/>
    <row r="167876" s="12" customFormat="1" x14ac:dyDescent="0.25"/>
    <row r="167877" s="12" customFormat="1" x14ac:dyDescent="0.25"/>
    <row r="167878" s="12" customFormat="1" x14ac:dyDescent="0.25"/>
    <row r="167879" s="12" customFormat="1" x14ac:dyDescent="0.25"/>
    <row r="167880" s="12" customFormat="1" x14ac:dyDescent="0.25"/>
    <row r="167881" s="12" customFormat="1" x14ac:dyDescent="0.25"/>
    <row r="167882" s="12" customFormat="1" x14ac:dyDescent="0.25"/>
    <row r="167883" s="12" customFormat="1" x14ac:dyDescent="0.25"/>
    <row r="167884" s="12" customFormat="1" x14ac:dyDescent="0.25"/>
    <row r="167885" s="12" customFormat="1" x14ac:dyDescent="0.25"/>
    <row r="167886" s="12" customFormat="1" x14ac:dyDescent="0.25"/>
    <row r="167887" s="12" customFormat="1" x14ac:dyDescent="0.25"/>
    <row r="167888" s="12" customFormat="1" x14ac:dyDescent="0.25"/>
    <row r="167889" s="12" customFormat="1" x14ac:dyDescent="0.25"/>
    <row r="167890" s="12" customFormat="1" x14ac:dyDescent="0.25"/>
    <row r="167891" s="12" customFormat="1" x14ac:dyDescent="0.25"/>
    <row r="167892" s="12" customFormat="1" x14ac:dyDescent="0.25"/>
    <row r="167893" s="12" customFormat="1" x14ac:dyDescent="0.25"/>
    <row r="167894" s="12" customFormat="1" x14ac:dyDescent="0.25"/>
    <row r="167895" s="12" customFormat="1" x14ac:dyDescent="0.25"/>
    <row r="167896" s="12" customFormat="1" x14ac:dyDescent="0.25"/>
    <row r="167897" s="12" customFormat="1" x14ac:dyDescent="0.25"/>
    <row r="167898" s="12" customFormat="1" x14ac:dyDescent="0.25"/>
    <row r="167899" s="12" customFormat="1" x14ac:dyDescent="0.25"/>
    <row r="167900" s="12" customFormat="1" x14ac:dyDescent="0.25"/>
    <row r="167901" s="12" customFormat="1" x14ac:dyDescent="0.25"/>
    <row r="167902" s="12" customFormat="1" x14ac:dyDescent="0.25"/>
    <row r="167903" s="12" customFormat="1" x14ac:dyDescent="0.25"/>
    <row r="167904" s="12" customFormat="1" x14ac:dyDescent="0.25"/>
    <row r="167905" s="12" customFormat="1" x14ac:dyDescent="0.25"/>
    <row r="167906" s="12" customFormat="1" x14ac:dyDescent="0.25"/>
    <row r="167907" s="12" customFormat="1" x14ac:dyDescent="0.25"/>
    <row r="167908" s="12" customFormat="1" x14ac:dyDescent="0.25"/>
    <row r="167909" s="12" customFormat="1" x14ac:dyDescent="0.25"/>
    <row r="167910" s="12" customFormat="1" x14ac:dyDescent="0.25"/>
    <row r="167911" s="12" customFormat="1" x14ac:dyDescent="0.25"/>
    <row r="167912" s="12" customFormat="1" x14ac:dyDescent="0.25"/>
    <row r="167913" s="12" customFormat="1" x14ac:dyDescent="0.25"/>
    <row r="167914" s="12" customFormat="1" x14ac:dyDescent="0.25"/>
    <row r="167915" s="12" customFormat="1" x14ac:dyDescent="0.25"/>
    <row r="167916" s="12" customFormat="1" x14ac:dyDescent="0.25"/>
    <row r="167917" s="12" customFormat="1" x14ac:dyDescent="0.25"/>
    <row r="167918" s="12" customFormat="1" x14ac:dyDescent="0.25"/>
    <row r="167919" s="12" customFormat="1" x14ac:dyDescent="0.25"/>
    <row r="167920" s="12" customFormat="1" x14ac:dyDescent="0.25"/>
    <row r="167921" s="12" customFormat="1" x14ac:dyDescent="0.25"/>
    <row r="167922" s="12" customFormat="1" x14ac:dyDescent="0.25"/>
    <row r="167923" s="12" customFormat="1" x14ac:dyDescent="0.25"/>
    <row r="167924" s="12" customFormat="1" x14ac:dyDescent="0.25"/>
    <row r="167925" s="12" customFormat="1" x14ac:dyDescent="0.25"/>
    <row r="167926" s="12" customFormat="1" x14ac:dyDescent="0.25"/>
    <row r="167927" s="12" customFormat="1" x14ac:dyDescent="0.25"/>
    <row r="167928" s="12" customFormat="1" x14ac:dyDescent="0.25"/>
    <row r="167929" s="12" customFormat="1" x14ac:dyDescent="0.25"/>
    <row r="167930" s="12" customFormat="1" x14ac:dyDescent="0.25"/>
    <row r="167931" s="12" customFormat="1" x14ac:dyDescent="0.25"/>
    <row r="167932" s="12" customFormat="1" x14ac:dyDescent="0.25"/>
    <row r="167933" s="12" customFormat="1" x14ac:dyDescent="0.25"/>
    <row r="167934" s="12" customFormat="1" x14ac:dyDescent="0.25"/>
    <row r="167935" s="12" customFormat="1" x14ac:dyDescent="0.25"/>
    <row r="167936" s="12" customFormat="1" x14ac:dyDescent="0.25"/>
    <row r="167937" s="12" customFormat="1" x14ac:dyDescent="0.25"/>
    <row r="167938" s="12" customFormat="1" x14ac:dyDescent="0.25"/>
    <row r="167939" s="12" customFormat="1" x14ac:dyDescent="0.25"/>
    <row r="167940" s="12" customFormat="1" x14ac:dyDescent="0.25"/>
    <row r="167941" s="12" customFormat="1" x14ac:dyDescent="0.25"/>
    <row r="167942" s="12" customFormat="1" x14ac:dyDescent="0.25"/>
    <row r="167943" s="12" customFormat="1" x14ac:dyDescent="0.25"/>
    <row r="167944" s="12" customFormat="1" x14ac:dyDescent="0.25"/>
    <row r="167945" s="12" customFormat="1" x14ac:dyDescent="0.25"/>
    <row r="167946" s="12" customFormat="1" x14ac:dyDescent="0.25"/>
    <row r="167947" s="12" customFormat="1" x14ac:dyDescent="0.25"/>
    <row r="167948" s="12" customFormat="1" x14ac:dyDescent="0.25"/>
    <row r="167949" s="12" customFormat="1" x14ac:dyDescent="0.25"/>
    <row r="167950" s="12" customFormat="1" x14ac:dyDescent="0.25"/>
    <row r="167951" s="12" customFormat="1" x14ac:dyDescent="0.25"/>
    <row r="167952" s="12" customFormat="1" x14ac:dyDescent="0.25"/>
    <row r="167953" s="12" customFormat="1" x14ac:dyDescent="0.25"/>
    <row r="167954" s="12" customFormat="1" x14ac:dyDescent="0.25"/>
    <row r="167955" s="12" customFormat="1" x14ac:dyDescent="0.25"/>
    <row r="167956" s="12" customFormat="1" x14ac:dyDescent="0.25"/>
    <row r="167957" s="12" customFormat="1" x14ac:dyDescent="0.25"/>
    <row r="167958" s="12" customFormat="1" x14ac:dyDescent="0.25"/>
    <row r="167959" s="12" customFormat="1" x14ac:dyDescent="0.25"/>
    <row r="167960" s="12" customFormat="1" x14ac:dyDescent="0.25"/>
    <row r="167961" s="12" customFormat="1" x14ac:dyDescent="0.25"/>
    <row r="167962" s="12" customFormat="1" x14ac:dyDescent="0.25"/>
    <row r="167963" s="12" customFormat="1" x14ac:dyDescent="0.25"/>
    <row r="167964" s="12" customFormat="1" x14ac:dyDescent="0.25"/>
    <row r="167965" s="12" customFormat="1" x14ac:dyDescent="0.25"/>
    <row r="167966" s="12" customFormat="1" x14ac:dyDescent="0.25"/>
    <row r="167967" s="12" customFormat="1" x14ac:dyDescent="0.25"/>
    <row r="167968" s="12" customFormat="1" x14ac:dyDescent="0.25"/>
    <row r="167969" s="12" customFormat="1" x14ac:dyDescent="0.25"/>
    <row r="167970" s="12" customFormat="1" x14ac:dyDescent="0.25"/>
    <row r="167971" s="12" customFormat="1" x14ac:dyDescent="0.25"/>
    <row r="167972" s="12" customFormat="1" x14ac:dyDescent="0.25"/>
    <row r="167973" s="12" customFormat="1" x14ac:dyDescent="0.25"/>
    <row r="167974" s="12" customFormat="1" x14ac:dyDescent="0.25"/>
    <row r="167975" s="12" customFormat="1" x14ac:dyDescent="0.25"/>
    <row r="167976" s="12" customFormat="1" x14ac:dyDescent="0.25"/>
    <row r="167977" s="12" customFormat="1" x14ac:dyDescent="0.25"/>
    <row r="167978" s="12" customFormat="1" x14ac:dyDescent="0.25"/>
    <row r="167979" s="12" customFormat="1" x14ac:dyDescent="0.25"/>
    <row r="167980" s="12" customFormat="1" x14ac:dyDescent="0.25"/>
    <row r="167981" s="12" customFormat="1" x14ac:dyDescent="0.25"/>
    <row r="167982" s="12" customFormat="1" x14ac:dyDescent="0.25"/>
    <row r="167983" s="12" customFormat="1" x14ac:dyDescent="0.25"/>
    <row r="167984" s="12" customFormat="1" x14ac:dyDescent="0.25"/>
    <row r="167985" s="12" customFormat="1" x14ac:dyDescent="0.25"/>
    <row r="167986" s="12" customFormat="1" x14ac:dyDescent="0.25"/>
    <row r="167987" s="12" customFormat="1" x14ac:dyDescent="0.25"/>
    <row r="167988" s="12" customFormat="1" x14ac:dyDescent="0.25"/>
    <row r="167989" s="12" customFormat="1" x14ac:dyDescent="0.25"/>
    <row r="167990" s="12" customFormat="1" x14ac:dyDescent="0.25"/>
    <row r="167991" s="12" customFormat="1" x14ac:dyDescent="0.25"/>
    <row r="167992" s="12" customFormat="1" x14ac:dyDescent="0.25"/>
    <row r="167993" s="12" customFormat="1" x14ac:dyDescent="0.25"/>
    <row r="167994" s="12" customFormat="1" x14ac:dyDescent="0.25"/>
    <row r="167995" s="12" customFormat="1" x14ac:dyDescent="0.25"/>
    <row r="167996" s="12" customFormat="1" x14ac:dyDescent="0.25"/>
    <row r="167997" s="12" customFormat="1" x14ac:dyDescent="0.25"/>
    <row r="167998" s="12" customFormat="1" x14ac:dyDescent="0.25"/>
    <row r="167999" s="12" customFormat="1" x14ac:dyDescent="0.25"/>
    <row r="168000" s="12" customFormat="1" x14ac:dyDescent="0.25"/>
    <row r="168001" s="12" customFormat="1" x14ac:dyDescent="0.25"/>
    <row r="168002" s="12" customFormat="1" x14ac:dyDescent="0.25"/>
    <row r="168003" s="12" customFormat="1" x14ac:dyDescent="0.25"/>
    <row r="168004" s="12" customFormat="1" x14ac:dyDescent="0.25"/>
    <row r="168005" s="12" customFormat="1" x14ac:dyDescent="0.25"/>
    <row r="168006" s="12" customFormat="1" x14ac:dyDescent="0.25"/>
    <row r="168007" s="12" customFormat="1" x14ac:dyDescent="0.25"/>
    <row r="168008" s="12" customFormat="1" x14ac:dyDescent="0.25"/>
    <row r="168009" s="12" customFormat="1" x14ac:dyDescent="0.25"/>
    <row r="168010" s="12" customFormat="1" x14ac:dyDescent="0.25"/>
    <row r="168011" s="12" customFormat="1" x14ac:dyDescent="0.25"/>
    <row r="168012" s="12" customFormat="1" x14ac:dyDescent="0.25"/>
    <row r="168013" s="12" customFormat="1" x14ac:dyDescent="0.25"/>
    <row r="168014" s="12" customFormat="1" x14ac:dyDescent="0.25"/>
    <row r="168015" s="12" customFormat="1" x14ac:dyDescent="0.25"/>
    <row r="168016" s="12" customFormat="1" x14ac:dyDescent="0.25"/>
    <row r="168017" s="12" customFormat="1" x14ac:dyDescent="0.25"/>
    <row r="168018" s="12" customFormat="1" x14ac:dyDescent="0.25"/>
    <row r="168019" s="12" customFormat="1" x14ac:dyDescent="0.25"/>
    <row r="168020" s="12" customFormat="1" x14ac:dyDescent="0.25"/>
    <row r="168021" s="12" customFormat="1" x14ac:dyDescent="0.25"/>
    <row r="168022" s="12" customFormat="1" x14ac:dyDescent="0.25"/>
    <row r="168023" s="12" customFormat="1" x14ac:dyDescent="0.25"/>
    <row r="168024" s="12" customFormat="1" x14ac:dyDescent="0.25"/>
    <row r="168025" s="12" customFormat="1" x14ac:dyDescent="0.25"/>
    <row r="168026" s="12" customFormat="1" x14ac:dyDescent="0.25"/>
    <row r="168027" s="12" customFormat="1" x14ac:dyDescent="0.25"/>
    <row r="168028" s="12" customFormat="1" x14ac:dyDescent="0.25"/>
    <row r="168029" s="12" customFormat="1" x14ac:dyDescent="0.25"/>
    <row r="168030" s="12" customFormat="1" x14ac:dyDescent="0.25"/>
    <row r="168031" s="12" customFormat="1" x14ac:dyDescent="0.25"/>
    <row r="168032" s="12" customFormat="1" x14ac:dyDescent="0.25"/>
    <row r="168033" s="12" customFormat="1" x14ac:dyDescent="0.25"/>
    <row r="168034" s="12" customFormat="1" x14ac:dyDescent="0.25"/>
    <row r="168035" s="12" customFormat="1" x14ac:dyDescent="0.25"/>
    <row r="168036" s="12" customFormat="1" x14ac:dyDescent="0.25"/>
    <row r="168037" s="12" customFormat="1" x14ac:dyDescent="0.25"/>
    <row r="168038" s="12" customFormat="1" x14ac:dyDescent="0.25"/>
    <row r="168039" s="12" customFormat="1" x14ac:dyDescent="0.25"/>
    <row r="168040" s="12" customFormat="1" x14ac:dyDescent="0.25"/>
    <row r="168041" s="12" customFormat="1" x14ac:dyDescent="0.25"/>
    <row r="168042" s="12" customFormat="1" x14ac:dyDescent="0.25"/>
    <row r="168043" s="12" customFormat="1" x14ac:dyDescent="0.25"/>
    <row r="168044" s="12" customFormat="1" x14ac:dyDescent="0.25"/>
    <row r="168045" s="12" customFormat="1" x14ac:dyDescent="0.25"/>
    <row r="168046" s="12" customFormat="1" x14ac:dyDescent="0.25"/>
    <row r="168047" s="12" customFormat="1" x14ac:dyDescent="0.25"/>
    <row r="168048" s="12" customFormat="1" x14ac:dyDescent="0.25"/>
    <row r="168049" s="12" customFormat="1" x14ac:dyDescent="0.25"/>
    <row r="168050" s="12" customFormat="1" x14ac:dyDescent="0.25"/>
    <row r="168051" s="12" customFormat="1" x14ac:dyDescent="0.25"/>
    <row r="168052" s="12" customFormat="1" x14ac:dyDescent="0.25"/>
    <row r="168053" s="12" customFormat="1" x14ac:dyDescent="0.25"/>
    <row r="168054" s="12" customFormat="1" x14ac:dyDescent="0.25"/>
    <row r="168055" s="12" customFormat="1" x14ac:dyDescent="0.25"/>
    <row r="168056" s="12" customFormat="1" x14ac:dyDescent="0.25"/>
    <row r="168057" s="12" customFormat="1" x14ac:dyDescent="0.25"/>
    <row r="168058" s="12" customFormat="1" x14ac:dyDescent="0.25"/>
    <row r="168059" s="12" customFormat="1" x14ac:dyDescent="0.25"/>
    <row r="168060" s="12" customFormat="1" x14ac:dyDescent="0.25"/>
    <row r="168061" s="12" customFormat="1" x14ac:dyDescent="0.25"/>
    <row r="168062" s="12" customFormat="1" x14ac:dyDescent="0.25"/>
    <row r="168063" s="12" customFormat="1" x14ac:dyDescent="0.25"/>
    <row r="168064" s="12" customFormat="1" x14ac:dyDescent="0.25"/>
    <row r="168065" s="12" customFormat="1" x14ac:dyDescent="0.25"/>
    <row r="168066" s="12" customFormat="1" x14ac:dyDescent="0.25"/>
    <row r="168067" s="12" customFormat="1" x14ac:dyDescent="0.25"/>
    <row r="168068" s="12" customFormat="1" x14ac:dyDescent="0.25"/>
    <row r="168069" s="12" customFormat="1" x14ac:dyDescent="0.25"/>
    <row r="168070" s="12" customFormat="1" x14ac:dyDescent="0.25"/>
    <row r="168071" s="12" customFormat="1" x14ac:dyDescent="0.25"/>
    <row r="168072" s="12" customFormat="1" x14ac:dyDescent="0.25"/>
    <row r="168073" s="12" customFormat="1" x14ac:dyDescent="0.25"/>
    <row r="168074" s="12" customFormat="1" x14ac:dyDescent="0.25"/>
    <row r="168075" s="12" customFormat="1" x14ac:dyDescent="0.25"/>
    <row r="168076" s="12" customFormat="1" x14ac:dyDescent="0.25"/>
    <row r="168077" s="12" customFormat="1" x14ac:dyDescent="0.25"/>
    <row r="168078" s="12" customFormat="1" x14ac:dyDescent="0.25"/>
    <row r="168079" s="12" customFormat="1" x14ac:dyDescent="0.25"/>
    <row r="168080" s="12" customFormat="1" x14ac:dyDescent="0.25"/>
    <row r="168081" s="12" customFormat="1" x14ac:dyDescent="0.25"/>
    <row r="168082" s="12" customFormat="1" x14ac:dyDescent="0.25"/>
    <row r="168083" s="12" customFormat="1" x14ac:dyDescent="0.25"/>
    <row r="168084" s="12" customFormat="1" x14ac:dyDescent="0.25"/>
    <row r="168085" s="12" customFormat="1" x14ac:dyDescent="0.25"/>
    <row r="168086" s="12" customFormat="1" x14ac:dyDescent="0.25"/>
    <row r="168087" s="12" customFormat="1" x14ac:dyDescent="0.25"/>
    <row r="168088" s="12" customFormat="1" x14ac:dyDescent="0.25"/>
    <row r="168089" s="12" customFormat="1" x14ac:dyDescent="0.25"/>
    <row r="168090" s="12" customFormat="1" x14ac:dyDescent="0.25"/>
    <row r="168091" s="12" customFormat="1" x14ac:dyDescent="0.25"/>
    <row r="168092" s="12" customFormat="1" x14ac:dyDescent="0.25"/>
    <row r="168093" s="12" customFormat="1" x14ac:dyDescent="0.25"/>
    <row r="168094" s="12" customFormat="1" x14ac:dyDescent="0.25"/>
    <row r="168095" s="12" customFormat="1" x14ac:dyDescent="0.25"/>
    <row r="168096" s="12" customFormat="1" x14ac:dyDescent="0.25"/>
    <row r="168097" s="12" customFormat="1" x14ac:dyDescent="0.25"/>
    <row r="168098" s="12" customFormat="1" x14ac:dyDescent="0.25"/>
    <row r="168099" s="12" customFormat="1" x14ac:dyDescent="0.25"/>
    <row r="168100" s="12" customFormat="1" x14ac:dyDescent="0.25"/>
    <row r="168101" s="12" customFormat="1" x14ac:dyDescent="0.25"/>
    <row r="168102" s="12" customFormat="1" x14ac:dyDescent="0.25"/>
    <row r="168103" s="12" customFormat="1" x14ac:dyDescent="0.25"/>
    <row r="168104" s="12" customFormat="1" x14ac:dyDescent="0.25"/>
    <row r="168105" s="12" customFormat="1" x14ac:dyDescent="0.25"/>
    <row r="168106" s="12" customFormat="1" x14ac:dyDescent="0.25"/>
    <row r="168107" s="12" customFormat="1" x14ac:dyDescent="0.25"/>
    <row r="168108" s="12" customFormat="1" x14ac:dyDescent="0.25"/>
    <row r="168109" s="12" customFormat="1" x14ac:dyDescent="0.25"/>
    <row r="168110" s="12" customFormat="1" x14ac:dyDescent="0.25"/>
    <row r="168111" s="12" customFormat="1" x14ac:dyDescent="0.25"/>
    <row r="168112" s="12" customFormat="1" x14ac:dyDescent="0.25"/>
    <row r="168113" s="12" customFormat="1" x14ac:dyDescent="0.25"/>
    <row r="168114" s="12" customFormat="1" x14ac:dyDescent="0.25"/>
    <row r="168115" s="12" customFormat="1" x14ac:dyDescent="0.25"/>
    <row r="168116" s="12" customFormat="1" x14ac:dyDescent="0.25"/>
    <row r="168117" s="12" customFormat="1" x14ac:dyDescent="0.25"/>
    <row r="168118" s="12" customFormat="1" x14ac:dyDescent="0.25"/>
    <row r="168119" s="12" customFormat="1" x14ac:dyDescent="0.25"/>
    <row r="168120" s="12" customFormat="1" x14ac:dyDescent="0.25"/>
    <row r="168121" s="12" customFormat="1" x14ac:dyDescent="0.25"/>
    <row r="168122" s="12" customFormat="1" x14ac:dyDescent="0.25"/>
    <row r="168123" s="12" customFormat="1" x14ac:dyDescent="0.25"/>
    <row r="168124" s="12" customFormat="1" x14ac:dyDescent="0.25"/>
    <row r="168125" s="12" customFormat="1" x14ac:dyDescent="0.25"/>
    <row r="168126" s="12" customFormat="1" x14ac:dyDescent="0.25"/>
    <row r="168127" s="12" customFormat="1" x14ac:dyDescent="0.25"/>
    <row r="168128" s="12" customFormat="1" x14ac:dyDescent="0.25"/>
    <row r="168129" s="12" customFormat="1" x14ac:dyDescent="0.25"/>
    <row r="168130" s="12" customFormat="1" x14ac:dyDescent="0.25"/>
    <row r="168131" s="12" customFormat="1" x14ac:dyDescent="0.25"/>
    <row r="168132" s="12" customFormat="1" x14ac:dyDescent="0.25"/>
    <row r="168133" s="12" customFormat="1" x14ac:dyDescent="0.25"/>
    <row r="168134" s="12" customFormat="1" x14ac:dyDescent="0.25"/>
    <row r="168135" s="12" customFormat="1" x14ac:dyDescent="0.25"/>
    <row r="168136" s="12" customFormat="1" x14ac:dyDescent="0.25"/>
    <row r="168137" s="12" customFormat="1" x14ac:dyDescent="0.25"/>
    <row r="168138" s="12" customFormat="1" x14ac:dyDescent="0.25"/>
    <row r="168139" s="12" customFormat="1" x14ac:dyDescent="0.25"/>
    <row r="168140" s="12" customFormat="1" x14ac:dyDescent="0.25"/>
    <row r="168141" s="12" customFormat="1" x14ac:dyDescent="0.25"/>
    <row r="168142" s="12" customFormat="1" x14ac:dyDescent="0.25"/>
    <row r="168143" s="12" customFormat="1" x14ac:dyDescent="0.25"/>
    <row r="168144" s="12" customFormat="1" x14ac:dyDescent="0.25"/>
    <row r="168145" s="12" customFormat="1" x14ac:dyDescent="0.25"/>
    <row r="168146" s="12" customFormat="1" x14ac:dyDescent="0.25"/>
    <row r="168147" s="12" customFormat="1" x14ac:dyDescent="0.25"/>
    <row r="168148" s="12" customFormat="1" x14ac:dyDescent="0.25"/>
    <row r="168149" s="12" customFormat="1" x14ac:dyDescent="0.25"/>
    <row r="168150" s="12" customFormat="1" x14ac:dyDescent="0.25"/>
    <row r="168151" s="12" customFormat="1" x14ac:dyDescent="0.25"/>
    <row r="168152" s="12" customFormat="1" x14ac:dyDescent="0.25"/>
    <row r="168153" s="12" customFormat="1" x14ac:dyDescent="0.25"/>
    <row r="168154" s="12" customFormat="1" x14ac:dyDescent="0.25"/>
    <row r="168155" s="12" customFormat="1" x14ac:dyDescent="0.25"/>
    <row r="168156" s="12" customFormat="1" x14ac:dyDescent="0.25"/>
    <row r="168157" s="12" customFormat="1" x14ac:dyDescent="0.25"/>
    <row r="168158" s="12" customFormat="1" x14ac:dyDescent="0.25"/>
    <row r="168159" s="12" customFormat="1" x14ac:dyDescent="0.25"/>
    <row r="168160" s="12" customFormat="1" x14ac:dyDescent="0.25"/>
    <row r="168161" s="12" customFormat="1" x14ac:dyDescent="0.25"/>
    <row r="168162" s="12" customFormat="1" x14ac:dyDescent="0.25"/>
    <row r="168163" s="12" customFormat="1" x14ac:dyDescent="0.25"/>
    <row r="168164" s="12" customFormat="1" x14ac:dyDescent="0.25"/>
    <row r="168165" s="12" customFormat="1" x14ac:dyDescent="0.25"/>
    <row r="168166" s="12" customFormat="1" x14ac:dyDescent="0.25"/>
    <row r="168167" s="12" customFormat="1" x14ac:dyDescent="0.25"/>
    <row r="168168" s="12" customFormat="1" x14ac:dyDescent="0.25"/>
    <row r="168169" s="12" customFormat="1" x14ac:dyDescent="0.25"/>
    <row r="168170" s="12" customFormat="1" x14ac:dyDescent="0.25"/>
    <row r="168171" s="12" customFormat="1" x14ac:dyDescent="0.25"/>
    <row r="168172" s="12" customFormat="1" x14ac:dyDescent="0.25"/>
    <row r="168173" s="12" customFormat="1" x14ac:dyDescent="0.25"/>
    <row r="168174" s="12" customFormat="1" x14ac:dyDescent="0.25"/>
    <row r="168175" s="12" customFormat="1" x14ac:dyDescent="0.25"/>
    <row r="168176" s="12" customFormat="1" x14ac:dyDescent="0.25"/>
    <row r="168177" s="12" customFormat="1" x14ac:dyDescent="0.25"/>
    <row r="168178" s="12" customFormat="1" x14ac:dyDescent="0.25"/>
    <row r="168179" s="12" customFormat="1" x14ac:dyDescent="0.25"/>
    <row r="168180" s="12" customFormat="1" x14ac:dyDescent="0.25"/>
    <row r="168181" s="12" customFormat="1" x14ac:dyDescent="0.25"/>
    <row r="168182" s="12" customFormat="1" x14ac:dyDescent="0.25"/>
    <row r="168183" s="12" customFormat="1" x14ac:dyDescent="0.25"/>
    <row r="168184" s="12" customFormat="1" x14ac:dyDescent="0.25"/>
    <row r="168185" s="12" customFormat="1" x14ac:dyDescent="0.25"/>
    <row r="168186" s="12" customFormat="1" x14ac:dyDescent="0.25"/>
    <row r="168187" s="12" customFormat="1" x14ac:dyDescent="0.25"/>
    <row r="168188" s="12" customFormat="1" x14ac:dyDescent="0.25"/>
    <row r="168189" s="12" customFormat="1" x14ac:dyDescent="0.25"/>
    <row r="168190" s="12" customFormat="1" x14ac:dyDescent="0.25"/>
    <row r="168191" s="12" customFormat="1" x14ac:dyDescent="0.25"/>
    <row r="168192" s="12" customFormat="1" x14ac:dyDescent="0.25"/>
    <row r="168193" s="12" customFormat="1" x14ac:dyDescent="0.25"/>
    <row r="168194" s="12" customFormat="1" x14ac:dyDescent="0.25"/>
    <row r="168195" s="12" customFormat="1" x14ac:dyDescent="0.25"/>
    <row r="168196" s="12" customFormat="1" x14ac:dyDescent="0.25"/>
    <row r="168197" s="12" customFormat="1" x14ac:dyDescent="0.25"/>
    <row r="168198" s="12" customFormat="1" x14ac:dyDescent="0.25"/>
    <row r="168199" s="12" customFormat="1" x14ac:dyDescent="0.25"/>
    <row r="168200" s="12" customFormat="1" x14ac:dyDescent="0.25"/>
    <row r="168201" s="12" customFormat="1" x14ac:dyDescent="0.25"/>
    <row r="168202" s="12" customFormat="1" x14ac:dyDescent="0.25"/>
    <row r="168203" s="12" customFormat="1" x14ac:dyDescent="0.25"/>
    <row r="168204" s="12" customFormat="1" x14ac:dyDescent="0.25"/>
    <row r="168205" s="12" customFormat="1" x14ac:dyDescent="0.25"/>
    <row r="168206" s="12" customFormat="1" x14ac:dyDescent="0.25"/>
    <row r="168207" s="12" customFormat="1" x14ac:dyDescent="0.25"/>
    <row r="168208" s="12" customFormat="1" x14ac:dyDescent="0.25"/>
    <row r="168209" s="12" customFormat="1" x14ac:dyDescent="0.25"/>
    <row r="168210" s="12" customFormat="1" x14ac:dyDescent="0.25"/>
    <row r="168211" s="12" customFormat="1" x14ac:dyDescent="0.25"/>
    <row r="168212" s="12" customFormat="1" x14ac:dyDescent="0.25"/>
    <row r="168213" s="12" customFormat="1" x14ac:dyDescent="0.25"/>
    <row r="168214" s="12" customFormat="1" x14ac:dyDescent="0.25"/>
    <row r="168215" s="12" customFormat="1" x14ac:dyDescent="0.25"/>
    <row r="168216" s="12" customFormat="1" x14ac:dyDescent="0.25"/>
    <row r="168217" s="12" customFormat="1" x14ac:dyDescent="0.25"/>
    <row r="168218" s="12" customFormat="1" x14ac:dyDescent="0.25"/>
    <row r="168219" s="12" customFormat="1" x14ac:dyDescent="0.25"/>
    <row r="168220" s="12" customFormat="1" x14ac:dyDescent="0.25"/>
    <row r="168221" s="12" customFormat="1" x14ac:dyDescent="0.25"/>
    <row r="168222" s="12" customFormat="1" x14ac:dyDescent="0.25"/>
    <row r="168223" s="12" customFormat="1" x14ac:dyDescent="0.25"/>
    <row r="168224" s="12" customFormat="1" x14ac:dyDescent="0.25"/>
    <row r="168225" s="12" customFormat="1" x14ac:dyDescent="0.25"/>
    <row r="168226" s="12" customFormat="1" x14ac:dyDescent="0.25"/>
    <row r="168227" s="12" customFormat="1" x14ac:dyDescent="0.25"/>
    <row r="168228" s="12" customFormat="1" x14ac:dyDescent="0.25"/>
    <row r="168229" s="12" customFormat="1" x14ac:dyDescent="0.25"/>
    <row r="168230" s="12" customFormat="1" x14ac:dyDescent="0.25"/>
    <row r="168231" s="12" customFormat="1" x14ac:dyDescent="0.25"/>
    <row r="168232" s="12" customFormat="1" x14ac:dyDescent="0.25"/>
    <row r="168233" s="12" customFormat="1" x14ac:dyDescent="0.25"/>
    <row r="168234" s="12" customFormat="1" x14ac:dyDescent="0.25"/>
    <row r="168235" s="12" customFormat="1" x14ac:dyDescent="0.25"/>
    <row r="168236" s="12" customFormat="1" x14ac:dyDescent="0.25"/>
    <row r="168237" s="12" customFormat="1" x14ac:dyDescent="0.25"/>
    <row r="168238" s="12" customFormat="1" x14ac:dyDescent="0.25"/>
    <row r="168239" s="12" customFormat="1" x14ac:dyDescent="0.25"/>
    <row r="168240" s="12" customFormat="1" x14ac:dyDescent="0.25"/>
    <row r="168241" s="12" customFormat="1" x14ac:dyDescent="0.25"/>
    <row r="168242" s="12" customFormat="1" x14ac:dyDescent="0.25"/>
    <row r="168243" s="12" customFormat="1" x14ac:dyDescent="0.25"/>
    <row r="168244" s="12" customFormat="1" x14ac:dyDescent="0.25"/>
    <row r="168245" s="12" customFormat="1" x14ac:dyDescent="0.25"/>
    <row r="168246" s="12" customFormat="1" x14ac:dyDescent="0.25"/>
    <row r="168247" s="12" customFormat="1" x14ac:dyDescent="0.25"/>
    <row r="168248" s="12" customFormat="1" x14ac:dyDescent="0.25"/>
    <row r="168249" s="12" customFormat="1" x14ac:dyDescent="0.25"/>
    <row r="168250" s="12" customFormat="1" x14ac:dyDescent="0.25"/>
    <row r="168251" s="12" customFormat="1" x14ac:dyDescent="0.25"/>
    <row r="168252" s="12" customFormat="1" x14ac:dyDescent="0.25"/>
    <row r="168253" s="12" customFormat="1" x14ac:dyDescent="0.25"/>
    <row r="168254" s="12" customFormat="1" x14ac:dyDescent="0.25"/>
    <row r="168255" s="12" customFormat="1" x14ac:dyDescent="0.25"/>
    <row r="168256" s="12" customFormat="1" x14ac:dyDescent="0.25"/>
    <row r="168257" s="12" customFormat="1" x14ac:dyDescent="0.25"/>
    <row r="168258" s="12" customFormat="1" x14ac:dyDescent="0.25"/>
    <row r="168259" s="12" customFormat="1" x14ac:dyDescent="0.25"/>
    <row r="168260" s="12" customFormat="1" x14ac:dyDescent="0.25"/>
    <row r="168261" s="12" customFormat="1" x14ac:dyDescent="0.25"/>
    <row r="168262" s="12" customFormat="1" x14ac:dyDescent="0.25"/>
    <row r="168263" s="12" customFormat="1" x14ac:dyDescent="0.25"/>
    <row r="168264" s="12" customFormat="1" x14ac:dyDescent="0.25"/>
    <row r="168265" s="12" customFormat="1" x14ac:dyDescent="0.25"/>
    <row r="168266" s="12" customFormat="1" x14ac:dyDescent="0.25"/>
    <row r="168267" s="12" customFormat="1" x14ac:dyDescent="0.25"/>
    <row r="168268" s="12" customFormat="1" x14ac:dyDescent="0.25"/>
    <row r="168269" s="12" customFormat="1" x14ac:dyDescent="0.25"/>
    <row r="168270" s="12" customFormat="1" x14ac:dyDescent="0.25"/>
    <row r="168271" s="12" customFormat="1" x14ac:dyDescent="0.25"/>
    <row r="168272" s="12" customFormat="1" x14ac:dyDescent="0.25"/>
    <row r="168273" s="12" customFormat="1" x14ac:dyDescent="0.25"/>
    <row r="168274" s="12" customFormat="1" x14ac:dyDescent="0.25"/>
    <row r="168275" s="12" customFormat="1" x14ac:dyDescent="0.25"/>
    <row r="168276" s="12" customFormat="1" x14ac:dyDescent="0.25"/>
    <row r="168277" s="12" customFormat="1" x14ac:dyDescent="0.25"/>
    <row r="168278" s="12" customFormat="1" x14ac:dyDescent="0.25"/>
    <row r="168279" s="12" customFormat="1" x14ac:dyDescent="0.25"/>
    <row r="168280" s="12" customFormat="1" x14ac:dyDescent="0.25"/>
    <row r="168281" s="12" customFormat="1" x14ac:dyDescent="0.25"/>
    <row r="168282" s="12" customFormat="1" x14ac:dyDescent="0.25"/>
    <row r="168283" s="12" customFormat="1" x14ac:dyDescent="0.25"/>
    <row r="168284" s="12" customFormat="1" x14ac:dyDescent="0.25"/>
    <row r="168285" s="12" customFormat="1" x14ac:dyDescent="0.25"/>
    <row r="168286" s="12" customFormat="1" x14ac:dyDescent="0.25"/>
    <row r="168287" s="12" customFormat="1" x14ac:dyDescent="0.25"/>
    <row r="168288" s="12" customFormat="1" x14ac:dyDescent="0.25"/>
    <row r="168289" s="12" customFormat="1" x14ac:dyDescent="0.25"/>
    <row r="168290" s="12" customFormat="1" x14ac:dyDescent="0.25"/>
    <row r="168291" s="12" customFormat="1" x14ac:dyDescent="0.25"/>
    <row r="168292" s="12" customFormat="1" x14ac:dyDescent="0.25"/>
    <row r="168293" s="12" customFormat="1" x14ac:dyDescent="0.25"/>
    <row r="168294" s="12" customFormat="1" x14ac:dyDescent="0.25"/>
    <row r="168295" s="12" customFormat="1" x14ac:dyDescent="0.25"/>
    <row r="168296" s="12" customFormat="1" x14ac:dyDescent="0.25"/>
    <row r="168297" s="12" customFormat="1" x14ac:dyDescent="0.25"/>
    <row r="168298" s="12" customFormat="1" x14ac:dyDescent="0.25"/>
    <row r="168299" s="12" customFormat="1" x14ac:dyDescent="0.25"/>
    <row r="168300" s="12" customFormat="1" x14ac:dyDescent="0.25"/>
    <row r="168301" s="12" customFormat="1" x14ac:dyDescent="0.25"/>
    <row r="168302" s="12" customFormat="1" x14ac:dyDescent="0.25"/>
    <row r="168303" s="12" customFormat="1" x14ac:dyDescent="0.25"/>
    <row r="168304" s="12" customFormat="1" x14ac:dyDescent="0.25"/>
    <row r="168305" s="12" customFormat="1" x14ac:dyDescent="0.25"/>
    <row r="168306" s="12" customFormat="1" x14ac:dyDescent="0.25"/>
    <row r="168307" s="12" customFormat="1" x14ac:dyDescent="0.25"/>
    <row r="168308" s="12" customFormat="1" x14ac:dyDescent="0.25"/>
    <row r="168309" s="12" customFormat="1" x14ac:dyDescent="0.25"/>
    <row r="168310" s="12" customFormat="1" x14ac:dyDescent="0.25"/>
    <row r="168311" s="12" customFormat="1" x14ac:dyDescent="0.25"/>
    <row r="168312" s="12" customFormat="1" x14ac:dyDescent="0.25"/>
    <row r="168313" s="12" customFormat="1" x14ac:dyDescent="0.25"/>
    <row r="168314" s="12" customFormat="1" x14ac:dyDescent="0.25"/>
    <row r="168315" s="12" customFormat="1" x14ac:dyDescent="0.25"/>
    <row r="168316" s="12" customFormat="1" x14ac:dyDescent="0.25"/>
    <row r="168317" s="12" customFormat="1" x14ac:dyDescent="0.25"/>
    <row r="168318" s="12" customFormat="1" x14ac:dyDescent="0.25"/>
    <row r="168319" s="12" customFormat="1" x14ac:dyDescent="0.25"/>
    <row r="168320" s="12" customFormat="1" x14ac:dyDescent="0.25"/>
    <row r="168321" s="12" customFormat="1" x14ac:dyDescent="0.25"/>
    <row r="168322" s="12" customFormat="1" x14ac:dyDescent="0.25"/>
    <row r="168323" s="12" customFormat="1" x14ac:dyDescent="0.25"/>
    <row r="168324" s="12" customFormat="1" x14ac:dyDescent="0.25"/>
    <row r="168325" s="12" customFormat="1" x14ac:dyDescent="0.25"/>
    <row r="168326" s="12" customFormat="1" x14ac:dyDescent="0.25"/>
    <row r="168327" s="12" customFormat="1" x14ac:dyDescent="0.25"/>
    <row r="168328" s="12" customFormat="1" x14ac:dyDescent="0.25"/>
    <row r="168329" s="12" customFormat="1" x14ac:dyDescent="0.25"/>
    <row r="168330" s="12" customFormat="1" x14ac:dyDescent="0.25"/>
    <row r="168331" s="12" customFormat="1" x14ac:dyDescent="0.25"/>
    <row r="168332" s="12" customFormat="1" x14ac:dyDescent="0.25"/>
    <row r="168333" s="12" customFormat="1" x14ac:dyDescent="0.25"/>
    <row r="168334" s="12" customFormat="1" x14ac:dyDescent="0.25"/>
    <row r="168335" s="12" customFormat="1" x14ac:dyDescent="0.25"/>
    <row r="168336" s="12" customFormat="1" x14ac:dyDescent="0.25"/>
    <row r="168337" s="12" customFormat="1" x14ac:dyDescent="0.25"/>
    <row r="168338" s="12" customFormat="1" x14ac:dyDescent="0.25"/>
    <row r="168339" s="12" customFormat="1" x14ac:dyDescent="0.25"/>
    <row r="168340" s="12" customFormat="1" x14ac:dyDescent="0.25"/>
    <row r="168341" s="12" customFormat="1" x14ac:dyDescent="0.25"/>
    <row r="168342" s="12" customFormat="1" x14ac:dyDescent="0.25"/>
    <row r="168343" s="12" customFormat="1" x14ac:dyDescent="0.25"/>
    <row r="168344" s="12" customFormat="1" x14ac:dyDescent="0.25"/>
    <row r="168345" s="12" customFormat="1" x14ac:dyDescent="0.25"/>
    <row r="168346" s="12" customFormat="1" x14ac:dyDescent="0.25"/>
    <row r="168347" s="12" customFormat="1" x14ac:dyDescent="0.25"/>
    <row r="168348" s="12" customFormat="1" x14ac:dyDescent="0.25"/>
    <row r="168349" s="12" customFormat="1" x14ac:dyDescent="0.25"/>
    <row r="168350" s="12" customFormat="1" x14ac:dyDescent="0.25"/>
    <row r="168351" s="12" customFormat="1" x14ac:dyDescent="0.25"/>
    <row r="168352" s="12" customFormat="1" x14ac:dyDescent="0.25"/>
    <row r="168353" s="12" customFormat="1" x14ac:dyDescent="0.25"/>
    <row r="168354" s="12" customFormat="1" x14ac:dyDescent="0.25"/>
    <row r="168355" s="12" customFormat="1" x14ac:dyDescent="0.25"/>
    <row r="168356" s="12" customFormat="1" x14ac:dyDescent="0.25"/>
    <row r="168357" s="12" customFormat="1" x14ac:dyDescent="0.25"/>
    <row r="168358" s="12" customFormat="1" x14ac:dyDescent="0.25"/>
    <row r="168359" s="12" customFormat="1" x14ac:dyDescent="0.25"/>
    <row r="168360" s="12" customFormat="1" x14ac:dyDescent="0.25"/>
    <row r="168361" s="12" customFormat="1" x14ac:dyDescent="0.25"/>
    <row r="168362" s="12" customFormat="1" x14ac:dyDescent="0.25"/>
    <row r="168363" s="12" customFormat="1" x14ac:dyDescent="0.25"/>
    <row r="168364" s="12" customFormat="1" x14ac:dyDescent="0.25"/>
    <row r="168365" s="12" customFormat="1" x14ac:dyDescent="0.25"/>
    <row r="168366" s="12" customFormat="1" x14ac:dyDescent="0.25"/>
    <row r="168367" s="12" customFormat="1" x14ac:dyDescent="0.25"/>
    <row r="168368" s="12" customFormat="1" x14ac:dyDescent="0.25"/>
    <row r="168369" s="12" customFormat="1" x14ac:dyDescent="0.25"/>
    <row r="168370" s="12" customFormat="1" x14ac:dyDescent="0.25"/>
    <row r="168371" s="12" customFormat="1" x14ac:dyDescent="0.25"/>
    <row r="168372" s="12" customFormat="1" x14ac:dyDescent="0.25"/>
    <row r="168373" s="12" customFormat="1" x14ac:dyDescent="0.25"/>
    <row r="168374" s="12" customFormat="1" x14ac:dyDescent="0.25"/>
    <row r="168375" s="12" customFormat="1" x14ac:dyDescent="0.25"/>
    <row r="168376" s="12" customFormat="1" x14ac:dyDescent="0.25"/>
    <row r="168377" s="12" customFormat="1" x14ac:dyDescent="0.25"/>
    <row r="168378" s="12" customFormat="1" x14ac:dyDescent="0.25"/>
    <row r="168379" s="12" customFormat="1" x14ac:dyDescent="0.25"/>
    <row r="168380" s="12" customFormat="1" x14ac:dyDescent="0.25"/>
    <row r="168381" s="12" customFormat="1" x14ac:dyDescent="0.25"/>
    <row r="168382" s="12" customFormat="1" x14ac:dyDescent="0.25"/>
    <row r="168383" s="12" customFormat="1" x14ac:dyDescent="0.25"/>
    <row r="168384" s="12" customFormat="1" x14ac:dyDescent="0.25"/>
    <row r="168385" s="12" customFormat="1" x14ac:dyDescent="0.25"/>
    <row r="168386" s="12" customFormat="1" x14ac:dyDescent="0.25"/>
    <row r="168387" s="12" customFormat="1" x14ac:dyDescent="0.25"/>
    <row r="168388" s="12" customFormat="1" x14ac:dyDescent="0.25"/>
    <row r="168389" s="12" customFormat="1" x14ac:dyDescent="0.25"/>
    <row r="168390" s="12" customFormat="1" x14ac:dyDescent="0.25"/>
    <row r="168391" s="12" customFormat="1" x14ac:dyDescent="0.25"/>
    <row r="168392" s="12" customFormat="1" x14ac:dyDescent="0.25"/>
    <row r="168393" s="12" customFormat="1" x14ac:dyDescent="0.25"/>
    <row r="168394" s="12" customFormat="1" x14ac:dyDescent="0.25"/>
    <row r="168395" s="12" customFormat="1" x14ac:dyDescent="0.25"/>
    <row r="168396" s="12" customFormat="1" x14ac:dyDescent="0.25"/>
    <row r="168397" s="12" customFormat="1" x14ac:dyDescent="0.25"/>
    <row r="168398" s="12" customFormat="1" x14ac:dyDescent="0.25"/>
    <row r="168399" s="12" customFormat="1" x14ac:dyDescent="0.25"/>
    <row r="168400" s="12" customFormat="1" x14ac:dyDescent="0.25"/>
    <row r="168401" s="12" customFormat="1" x14ac:dyDescent="0.25"/>
    <row r="168402" s="12" customFormat="1" x14ac:dyDescent="0.25"/>
    <row r="168403" s="12" customFormat="1" x14ac:dyDescent="0.25"/>
    <row r="168404" s="12" customFormat="1" x14ac:dyDescent="0.25"/>
    <row r="168405" s="12" customFormat="1" x14ac:dyDescent="0.25"/>
    <row r="168406" s="12" customFormat="1" x14ac:dyDescent="0.25"/>
    <row r="168407" s="12" customFormat="1" x14ac:dyDescent="0.25"/>
    <row r="168408" s="12" customFormat="1" x14ac:dyDescent="0.25"/>
    <row r="168409" s="12" customFormat="1" x14ac:dyDescent="0.25"/>
    <row r="168410" s="12" customFormat="1" x14ac:dyDescent="0.25"/>
    <row r="168411" s="12" customFormat="1" x14ac:dyDescent="0.25"/>
    <row r="168412" s="12" customFormat="1" x14ac:dyDescent="0.25"/>
    <row r="168413" s="12" customFormat="1" x14ac:dyDescent="0.25"/>
    <row r="168414" s="12" customFormat="1" x14ac:dyDescent="0.25"/>
    <row r="168415" s="12" customFormat="1" x14ac:dyDescent="0.25"/>
    <row r="168416" s="12" customFormat="1" x14ac:dyDescent="0.25"/>
    <row r="168417" s="12" customFormat="1" x14ac:dyDescent="0.25"/>
    <row r="168418" s="12" customFormat="1" x14ac:dyDescent="0.25"/>
    <row r="168419" s="12" customFormat="1" x14ac:dyDescent="0.25"/>
    <row r="168420" s="12" customFormat="1" x14ac:dyDescent="0.25"/>
    <row r="168421" s="12" customFormat="1" x14ac:dyDescent="0.25"/>
    <row r="168422" s="12" customFormat="1" x14ac:dyDescent="0.25"/>
    <row r="168423" s="12" customFormat="1" x14ac:dyDescent="0.25"/>
    <row r="168424" s="12" customFormat="1" x14ac:dyDescent="0.25"/>
    <row r="168425" s="12" customFormat="1" x14ac:dyDescent="0.25"/>
    <row r="168426" s="12" customFormat="1" x14ac:dyDescent="0.25"/>
    <row r="168427" s="12" customFormat="1" x14ac:dyDescent="0.25"/>
    <row r="168428" s="12" customFormat="1" x14ac:dyDescent="0.25"/>
    <row r="168429" s="12" customFormat="1" x14ac:dyDescent="0.25"/>
    <row r="168430" s="12" customFormat="1" x14ac:dyDescent="0.25"/>
    <row r="168431" s="12" customFormat="1" x14ac:dyDescent="0.25"/>
    <row r="168432" s="12" customFormat="1" x14ac:dyDescent="0.25"/>
    <row r="168433" s="12" customFormat="1" x14ac:dyDescent="0.25"/>
    <row r="168434" s="12" customFormat="1" x14ac:dyDescent="0.25"/>
    <row r="168435" s="12" customFormat="1" x14ac:dyDescent="0.25"/>
    <row r="168436" s="12" customFormat="1" x14ac:dyDescent="0.25"/>
    <row r="168437" s="12" customFormat="1" x14ac:dyDescent="0.25"/>
    <row r="168438" s="12" customFormat="1" x14ac:dyDescent="0.25"/>
    <row r="168439" s="12" customFormat="1" x14ac:dyDescent="0.25"/>
    <row r="168440" s="12" customFormat="1" x14ac:dyDescent="0.25"/>
    <row r="168441" s="12" customFormat="1" x14ac:dyDescent="0.25"/>
    <row r="168442" s="12" customFormat="1" x14ac:dyDescent="0.25"/>
    <row r="168443" s="12" customFormat="1" x14ac:dyDescent="0.25"/>
    <row r="168444" s="12" customFormat="1" x14ac:dyDescent="0.25"/>
    <row r="168445" s="12" customFormat="1" x14ac:dyDescent="0.25"/>
    <row r="168446" s="12" customFormat="1" x14ac:dyDescent="0.25"/>
    <row r="168447" s="12" customFormat="1" x14ac:dyDescent="0.25"/>
    <row r="168448" s="12" customFormat="1" x14ac:dyDescent="0.25"/>
    <row r="168449" s="12" customFormat="1" x14ac:dyDescent="0.25"/>
    <row r="168450" s="12" customFormat="1" x14ac:dyDescent="0.25"/>
    <row r="168451" s="12" customFormat="1" x14ac:dyDescent="0.25"/>
    <row r="168452" s="12" customFormat="1" x14ac:dyDescent="0.25"/>
    <row r="168453" s="12" customFormat="1" x14ac:dyDescent="0.25"/>
    <row r="168454" s="12" customFormat="1" x14ac:dyDescent="0.25"/>
    <row r="168455" s="12" customFormat="1" x14ac:dyDescent="0.25"/>
    <row r="168456" s="12" customFormat="1" x14ac:dyDescent="0.25"/>
    <row r="168457" s="12" customFormat="1" x14ac:dyDescent="0.25"/>
    <row r="168458" s="12" customFormat="1" x14ac:dyDescent="0.25"/>
    <row r="168459" s="12" customFormat="1" x14ac:dyDescent="0.25"/>
    <row r="168460" s="12" customFormat="1" x14ac:dyDescent="0.25"/>
    <row r="168461" s="12" customFormat="1" x14ac:dyDescent="0.25"/>
    <row r="168462" s="12" customFormat="1" x14ac:dyDescent="0.25"/>
    <row r="168463" s="12" customFormat="1" x14ac:dyDescent="0.25"/>
    <row r="168464" s="12" customFormat="1" x14ac:dyDescent="0.25"/>
    <row r="168465" s="12" customFormat="1" x14ac:dyDescent="0.25"/>
    <row r="168466" s="12" customFormat="1" x14ac:dyDescent="0.25"/>
    <row r="168467" s="12" customFormat="1" x14ac:dyDescent="0.25"/>
    <row r="168468" s="12" customFormat="1" x14ac:dyDescent="0.25"/>
    <row r="168469" s="12" customFormat="1" x14ac:dyDescent="0.25"/>
    <row r="168470" s="12" customFormat="1" x14ac:dyDescent="0.25"/>
    <row r="168471" s="12" customFormat="1" x14ac:dyDescent="0.25"/>
    <row r="168472" s="12" customFormat="1" x14ac:dyDescent="0.25"/>
    <row r="168473" s="12" customFormat="1" x14ac:dyDescent="0.25"/>
    <row r="168474" s="12" customFormat="1" x14ac:dyDescent="0.25"/>
    <row r="168475" s="12" customFormat="1" x14ac:dyDescent="0.25"/>
    <row r="168476" s="12" customFormat="1" x14ac:dyDescent="0.25"/>
    <row r="168477" s="12" customFormat="1" x14ac:dyDescent="0.25"/>
    <row r="168478" s="12" customFormat="1" x14ac:dyDescent="0.25"/>
    <row r="168479" s="12" customFormat="1" x14ac:dyDescent="0.25"/>
    <row r="168480" s="12" customFormat="1" x14ac:dyDescent="0.25"/>
    <row r="168481" s="12" customFormat="1" x14ac:dyDescent="0.25"/>
    <row r="168482" s="12" customFormat="1" x14ac:dyDescent="0.25"/>
    <row r="168483" s="12" customFormat="1" x14ac:dyDescent="0.25"/>
    <row r="168484" s="12" customFormat="1" x14ac:dyDescent="0.25"/>
    <row r="168485" s="12" customFormat="1" x14ac:dyDescent="0.25"/>
    <row r="168486" s="12" customFormat="1" x14ac:dyDescent="0.25"/>
    <row r="168487" s="12" customFormat="1" x14ac:dyDescent="0.25"/>
    <row r="168488" s="12" customFormat="1" x14ac:dyDescent="0.25"/>
    <row r="168489" s="12" customFormat="1" x14ac:dyDescent="0.25"/>
    <row r="168490" s="12" customFormat="1" x14ac:dyDescent="0.25"/>
    <row r="168491" s="12" customFormat="1" x14ac:dyDescent="0.25"/>
    <row r="168492" s="12" customFormat="1" x14ac:dyDescent="0.25"/>
    <row r="168493" s="12" customFormat="1" x14ac:dyDescent="0.25"/>
    <row r="168494" s="12" customFormat="1" x14ac:dyDescent="0.25"/>
    <row r="168495" s="12" customFormat="1" x14ac:dyDescent="0.25"/>
    <row r="168496" s="12" customFormat="1" x14ac:dyDescent="0.25"/>
    <row r="168497" s="12" customFormat="1" x14ac:dyDescent="0.25"/>
    <row r="168498" s="12" customFormat="1" x14ac:dyDescent="0.25"/>
    <row r="168499" s="12" customFormat="1" x14ac:dyDescent="0.25"/>
    <row r="168500" s="12" customFormat="1" x14ac:dyDescent="0.25"/>
    <row r="168501" s="12" customFormat="1" x14ac:dyDescent="0.25"/>
    <row r="168502" s="12" customFormat="1" x14ac:dyDescent="0.25"/>
    <row r="168503" s="12" customFormat="1" x14ac:dyDescent="0.25"/>
    <row r="168504" s="12" customFormat="1" x14ac:dyDescent="0.25"/>
    <row r="168505" s="12" customFormat="1" x14ac:dyDescent="0.25"/>
    <row r="168506" s="12" customFormat="1" x14ac:dyDescent="0.25"/>
    <row r="168507" s="12" customFormat="1" x14ac:dyDescent="0.25"/>
    <row r="168508" s="12" customFormat="1" x14ac:dyDescent="0.25"/>
    <row r="168509" s="12" customFormat="1" x14ac:dyDescent="0.25"/>
    <row r="168510" s="12" customFormat="1" x14ac:dyDescent="0.25"/>
    <row r="168511" s="12" customFormat="1" x14ac:dyDescent="0.25"/>
    <row r="168512" s="12" customFormat="1" x14ac:dyDescent="0.25"/>
    <row r="168513" s="12" customFormat="1" x14ac:dyDescent="0.25"/>
    <row r="168514" s="12" customFormat="1" x14ac:dyDescent="0.25"/>
    <row r="168515" s="12" customFormat="1" x14ac:dyDescent="0.25"/>
    <row r="168516" s="12" customFormat="1" x14ac:dyDescent="0.25"/>
    <row r="168517" s="12" customFormat="1" x14ac:dyDescent="0.25"/>
    <row r="168518" s="12" customFormat="1" x14ac:dyDescent="0.25"/>
    <row r="168519" s="12" customFormat="1" x14ac:dyDescent="0.25"/>
    <row r="168520" s="12" customFormat="1" x14ac:dyDescent="0.25"/>
    <row r="168521" s="12" customFormat="1" x14ac:dyDescent="0.25"/>
    <row r="168522" s="12" customFormat="1" x14ac:dyDescent="0.25"/>
    <row r="168523" s="12" customFormat="1" x14ac:dyDescent="0.25"/>
    <row r="168524" s="12" customFormat="1" x14ac:dyDescent="0.25"/>
    <row r="168525" s="12" customFormat="1" x14ac:dyDescent="0.25"/>
    <row r="168526" s="12" customFormat="1" x14ac:dyDescent="0.25"/>
    <row r="168527" s="12" customFormat="1" x14ac:dyDescent="0.25"/>
    <row r="168528" s="12" customFormat="1" x14ac:dyDescent="0.25"/>
    <row r="168529" s="12" customFormat="1" x14ac:dyDescent="0.25"/>
    <row r="168530" s="12" customFormat="1" x14ac:dyDescent="0.25"/>
    <row r="168531" s="12" customFormat="1" x14ac:dyDescent="0.25"/>
    <row r="168532" s="12" customFormat="1" x14ac:dyDescent="0.25"/>
    <row r="168533" s="12" customFormat="1" x14ac:dyDescent="0.25"/>
    <row r="168534" s="12" customFormat="1" x14ac:dyDescent="0.25"/>
    <row r="168535" s="12" customFormat="1" x14ac:dyDescent="0.25"/>
    <row r="168536" s="12" customFormat="1" x14ac:dyDescent="0.25"/>
    <row r="168537" s="12" customFormat="1" x14ac:dyDescent="0.25"/>
    <row r="168538" s="12" customFormat="1" x14ac:dyDescent="0.25"/>
    <row r="168539" s="12" customFormat="1" x14ac:dyDescent="0.25"/>
    <row r="168540" s="12" customFormat="1" x14ac:dyDescent="0.25"/>
    <row r="168541" s="12" customFormat="1" x14ac:dyDescent="0.25"/>
    <row r="168542" s="12" customFormat="1" x14ac:dyDescent="0.25"/>
    <row r="168543" s="12" customFormat="1" x14ac:dyDescent="0.25"/>
    <row r="168544" s="12" customFormat="1" x14ac:dyDescent="0.25"/>
    <row r="168545" s="12" customFormat="1" x14ac:dyDescent="0.25"/>
    <row r="168546" s="12" customFormat="1" x14ac:dyDescent="0.25"/>
    <row r="168547" s="12" customFormat="1" x14ac:dyDescent="0.25"/>
    <row r="168548" s="12" customFormat="1" x14ac:dyDescent="0.25"/>
    <row r="168549" s="12" customFormat="1" x14ac:dyDescent="0.25"/>
    <row r="168550" s="12" customFormat="1" x14ac:dyDescent="0.25"/>
    <row r="168551" s="12" customFormat="1" x14ac:dyDescent="0.25"/>
    <row r="168552" s="12" customFormat="1" x14ac:dyDescent="0.25"/>
    <row r="168553" s="12" customFormat="1" x14ac:dyDescent="0.25"/>
    <row r="168554" s="12" customFormat="1" x14ac:dyDescent="0.25"/>
    <row r="168555" s="12" customFormat="1" x14ac:dyDescent="0.25"/>
    <row r="168556" s="12" customFormat="1" x14ac:dyDescent="0.25"/>
    <row r="168557" s="12" customFormat="1" x14ac:dyDescent="0.25"/>
    <row r="168558" s="12" customFormat="1" x14ac:dyDescent="0.25"/>
    <row r="168559" s="12" customFormat="1" x14ac:dyDescent="0.25"/>
    <row r="168560" s="12" customFormat="1" x14ac:dyDescent="0.25"/>
    <row r="168561" s="12" customFormat="1" x14ac:dyDescent="0.25"/>
    <row r="168562" s="12" customFormat="1" x14ac:dyDescent="0.25"/>
    <row r="168563" s="12" customFormat="1" x14ac:dyDescent="0.25"/>
    <row r="168564" s="12" customFormat="1" x14ac:dyDescent="0.25"/>
    <row r="168565" s="12" customFormat="1" x14ac:dyDescent="0.25"/>
    <row r="168566" s="12" customFormat="1" x14ac:dyDescent="0.25"/>
    <row r="168567" s="12" customFormat="1" x14ac:dyDescent="0.25"/>
    <row r="168568" s="12" customFormat="1" x14ac:dyDescent="0.25"/>
    <row r="168569" s="12" customFormat="1" x14ac:dyDescent="0.25"/>
    <row r="168570" s="12" customFormat="1" x14ac:dyDescent="0.25"/>
    <row r="168571" s="12" customFormat="1" x14ac:dyDescent="0.25"/>
    <row r="168572" s="12" customFormat="1" x14ac:dyDescent="0.25"/>
    <row r="168573" s="12" customFormat="1" x14ac:dyDescent="0.25"/>
    <row r="168574" s="12" customFormat="1" x14ac:dyDescent="0.25"/>
    <row r="168575" s="12" customFormat="1" x14ac:dyDescent="0.25"/>
    <row r="168576" s="12" customFormat="1" x14ac:dyDescent="0.25"/>
    <row r="168577" s="12" customFormat="1" x14ac:dyDescent="0.25"/>
    <row r="168578" s="12" customFormat="1" x14ac:dyDescent="0.25"/>
    <row r="168579" s="12" customFormat="1" x14ac:dyDescent="0.25"/>
    <row r="168580" s="12" customFormat="1" x14ac:dyDescent="0.25"/>
    <row r="168581" s="12" customFormat="1" x14ac:dyDescent="0.25"/>
    <row r="168582" s="12" customFormat="1" x14ac:dyDescent="0.25"/>
    <row r="168583" s="12" customFormat="1" x14ac:dyDescent="0.25"/>
    <row r="168584" s="12" customFormat="1" x14ac:dyDescent="0.25"/>
    <row r="168585" s="12" customFormat="1" x14ac:dyDescent="0.25"/>
    <row r="168586" s="12" customFormat="1" x14ac:dyDescent="0.25"/>
    <row r="168587" s="12" customFormat="1" x14ac:dyDescent="0.25"/>
    <row r="168588" s="12" customFormat="1" x14ac:dyDescent="0.25"/>
    <row r="168589" s="12" customFormat="1" x14ac:dyDescent="0.25"/>
    <row r="168590" s="12" customFormat="1" x14ac:dyDescent="0.25"/>
    <row r="168591" s="12" customFormat="1" x14ac:dyDescent="0.25"/>
    <row r="168592" s="12" customFormat="1" x14ac:dyDescent="0.25"/>
    <row r="168593" s="12" customFormat="1" x14ac:dyDescent="0.25"/>
    <row r="168594" s="12" customFormat="1" x14ac:dyDescent="0.25"/>
    <row r="168595" s="12" customFormat="1" x14ac:dyDescent="0.25"/>
    <row r="168596" s="12" customFormat="1" x14ac:dyDescent="0.25"/>
    <row r="168597" s="12" customFormat="1" x14ac:dyDescent="0.25"/>
    <row r="168598" s="12" customFormat="1" x14ac:dyDescent="0.25"/>
    <row r="168599" s="12" customFormat="1" x14ac:dyDescent="0.25"/>
    <row r="168600" s="12" customFormat="1" x14ac:dyDescent="0.25"/>
    <row r="168601" s="12" customFormat="1" x14ac:dyDescent="0.25"/>
    <row r="168602" s="12" customFormat="1" x14ac:dyDescent="0.25"/>
    <row r="168603" s="12" customFormat="1" x14ac:dyDescent="0.25"/>
    <row r="168604" s="12" customFormat="1" x14ac:dyDescent="0.25"/>
    <row r="168605" s="12" customFormat="1" x14ac:dyDescent="0.25"/>
    <row r="168606" s="12" customFormat="1" x14ac:dyDescent="0.25"/>
    <row r="168607" s="12" customFormat="1" x14ac:dyDescent="0.25"/>
    <row r="168608" s="12" customFormat="1" x14ac:dyDescent="0.25"/>
    <row r="168609" s="12" customFormat="1" x14ac:dyDescent="0.25"/>
    <row r="168610" s="12" customFormat="1" x14ac:dyDescent="0.25"/>
    <row r="168611" s="12" customFormat="1" x14ac:dyDescent="0.25"/>
    <row r="168612" s="12" customFormat="1" x14ac:dyDescent="0.25"/>
    <row r="168613" s="12" customFormat="1" x14ac:dyDescent="0.25"/>
    <row r="168614" s="12" customFormat="1" x14ac:dyDescent="0.25"/>
    <row r="168615" s="12" customFormat="1" x14ac:dyDescent="0.25"/>
    <row r="168616" s="12" customFormat="1" x14ac:dyDescent="0.25"/>
    <row r="168617" s="12" customFormat="1" x14ac:dyDescent="0.25"/>
    <row r="168618" s="12" customFormat="1" x14ac:dyDescent="0.25"/>
    <row r="168619" s="12" customFormat="1" x14ac:dyDescent="0.25"/>
    <row r="168620" s="12" customFormat="1" x14ac:dyDescent="0.25"/>
    <row r="168621" s="12" customFormat="1" x14ac:dyDescent="0.25"/>
    <row r="168622" s="12" customFormat="1" x14ac:dyDescent="0.25"/>
    <row r="168623" s="12" customFormat="1" x14ac:dyDescent="0.25"/>
    <row r="168624" s="12" customFormat="1" x14ac:dyDescent="0.25"/>
    <row r="168625" s="12" customFormat="1" x14ac:dyDescent="0.25"/>
    <row r="168626" s="12" customFormat="1" x14ac:dyDescent="0.25"/>
    <row r="168627" s="12" customFormat="1" x14ac:dyDescent="0.25"/>
    <row r="168628" s="12" customFormat="1" x14ac:dyDescent="0.25"/>
    <row r="168629" s="12" customFormat="1" x14ac:dyDescent="0.25"/>
    <row r="168630" s="12" customFormat="1" x14ac:dyDescent="0.25"/>
    <row r="168631" s="12" customFormat="1" x14ac:dyDescent="0.25"/>
    <row r="168632" s="12" customFormat="1" x14ac:dyDescent="0.25"/>
    <row r="168633" s="12" customFormat="1" x14ac:dyDescent="0.25"/>
    <row r="168634" s="12" customFormat="1" x14ac:dyDescent="0.25"/>
    <row r="168635" s="12" customFormat="1" x14ac:dyDescent="0.25"/>
    <row r="168636" s="12" customFormat="1" x14ac:dyDescent="0.25"/>
    <row r="168637" s="12" customFormat="1" x14ac:dyDescent="0.25"/>
    <row r="168638" s="12" customFormat="1" x14ac:dyDescent="0.25"/>
    <row r="168639" s="12" customFormat="1" x14ac:dyDescent="0.25"/>
    <row r="168640" s="12" customFormat="1" x14ac:dyDescent="0.25"/>
    <row r="168641" s="12" customFormat="1" x14ac:dyDescent="0.25"/>
    <row r="168642" s="12" customFormat="1" x14ac:dyDescent="0.25"/>
    <row r="168643" s="12" customFormat="1" x14ac:dyDescent="0.25"/>
    <row r="168644" s="12" customFormat="1" x14ac:dyDescent="0.25"/>
    <row r="168645" s="12" customFormat="1" x14ac:dyDescent="0.25"/>
    <row r="168646" s="12" customFormat="1" x14ac:dyDescent="0.25"/>
    <row r="168647" s="12" customFormat="1" x14ac:dyDescent="0.25"/>
    <row r="168648" s="12" customFormat="1" x14ac:dyDescent="0.25"/>
    <row r="168649" s="12" customFormat="1" x14ac:dyDescent="0.25"/>
    <row r="168650" s="12" customFormat="1" x14ac:dyDescent="0.25"/>
    <row r="168651" s="12" customFormat="1" x14ac:dyDescent="0.25"/>
    <row r="168652" s="12" customFormat="1" x14ac:dyDescent="0.25"/>
    <row r="168653" s="12" customFormat="1" x14ac:dyDescent="0.25"/>
    <row r="168654" s="12" customFormat="1" x14ac:dyDescent="0.25"/>
    <row r="168655" s="12" customFormat="1" x14ac:dyDescent="0.25"/>
    <row r="168656" s="12" customFormat="1" x14ac:dyDescent="0.25"/>
    <row r="168657" s="12" customFormat="1" x14ac:dyDescent="0.25"/>
    <row r="168658" s="12" customFormat="1" x14ac:dyDescent="0.25"/>
    <row r="168659" s="12" customFormat="1" x14ac:dyDescent="0.25"/>
    <row r="168660" s="12" customFormat="1" x14ac:dyDescent="0.25"/>
    <row r="168661" s="12" customFormat="1" x14ac:dyDescent="0.25"/>
    <row r="168662" s="12" customFormat="1" x14ac:dyDescent="0.25"/>
    <row r="168663" s="12" customFormat="1" x14ac:dyDescent="0.25"/>
    <row r="168664" s="12" customFormat="1" x14ac:dyDescent="0.25"/>
    <row r="168665" s="12" customFormat="1" x14ac:dyDescent="0.25"/>
    <row r="168666" s="12" customFormat="1" x14ac:dyDescent="0.25"/>
    <row r="168667" s="12" customFormat="1" x14ac:dyDescent="0.25"/>
    <row r="168668" s="12" customFormat="1" x14ac:dyDescent="0.25"/>
    <row r="168669" s="12" customFormat="1" x14ac:dyDescent="0.25"/>
    <row r="168670" s="12" customFormat="1" x14ac:dyDescent="0.25"/>
    <row r="168671" s="12" customFormat="1" x14ac:dyDescent="0.25"/>
    <row r="168672" s="12" customFormat="1" x14ac:dyDescent="0.25"/>
    <row r="168673" s="12" customFormat="1" x14ac:dyDescent="0.25"/>
    <row r="168674" s="12" customFormat="1" x14ac:dyDescent="0.25"/>
    <row r="168675" s="12" customFormat="1" x14ac:dyDescent="0.25"/>
    <row r="168676" s="12" customFormat="1" x14ac:dyDescent="0.25"/>
    <row r="168677" s="12" customFormat="1" x14ac:dyDescent="0.25"/>
    <row r="168678" s="12" customFormat="1" x14ac:dyDescent="0.25"/>
    <row r="168679" s="12" customFormat="1" x14ac:dyDescent="0.25"/>
    <row r="168680" s="12" customFormat="1" x14ac:dyDescent="0.25"/>
    <row r="168681" s="12" customFormat="1" x14ac:dyDescent="0.25"/>
    <row r="168682" s="12" customFormat="1" x14ac:dyDescent="0.25"/>
    <row r="168683" s="12" customFormat="1" x14ac:dyDescent="0.25"/>
    <row r="168684" s="12" customFormat="1" x14ac:dyDescent="0.25"/>
    <row r="168685" s="12" customFormat="1" x14ac:dyDescent="0.25"/>
    <row r="168686" s="12" customFormat="1" x14ac:dyDescent="0.25"/>
    <row r="168687" s="12" customFormat="1" x14ac:dyDescent="0.25"/>
    <row r="168688" s="12" customFormat="1" x14ac:dyDescent="0.25"/>
    <row r="168689" s="12" customFormat="1" x14ac:dyDescent="0.25"/>
    <row r="168690" s="12" customFormat="1" x14ac:dyDescent="0.25"/>
    <row r="168691" s="12" customFormat="1" x14ac:dyDescent="0.25"/>
    <row r="168692" s="12" customFormat="1" x14ac:dyDescent="0.25"/>
    <row r="168693" s="12" customFormat="1" x14ac:dyDescent="0.25"/>
    <row r="168694" s="12" customFormat="1" x14ac:dyDescent="0.25"/>
    <row r="168695" s="12" customFormat="1" x14ac:dyDescent="0.25"/>
    <row r="168696" s="12" customFormat="1" x14ac:dyDescent="0.25"/>
    <row r="168697" s="12" customFormat="1" x14ac:dyDescent="0.25"/>
    <row r="168698" s="12" customFormat="1" x14ac:dyDescent="0.25"/>
    <row r="168699" s="12" customFormat="1" x14ac:dyDescent="0.25"/>
    <row r="168700" s="12" customFormat="1" x14ac:dyDescent="0.25"/>
    <row r="168701" s="12" customFormat="1" x14ac:dyDescent="0.25"/>
    <row r="168702" s="12" customFormat="1" x14ac:dyDescent="0.25"/>
    <row r="168703" s="12" customFormat="1" x14ac:dyDescent="0.25"/>
    <row r="168704" s="12" customFormat="1" x14ac:dyDescent="0.25"/>
    <row r="168705" s="12" customFormat="1" x14ac:dyDescent="0.25"/>
    <row r="168706" s="12" customFormat="1" x14ac:dyDescent="0.25"/>
    <row r="168707" s="12" customFormat="1" x14ac:dyDescent="0.25"/>
    <row r="168708" s="12" customFormat="1" x14ac:dyDescent="0.25"/>
    <row r="168709" s="12" customFormat="1" x14ac:dyDescent="0.25"/>
    <row r="168710" s="12" customFormat="1" x14ac:dyDescent="0.25"/>
    <row r="168711" s="12" customFormat="1" x14ac:dyDescent="0.25"/>
    <row r="168712" s="12" customFormat="1" x14ac:dyDescent="0.25"/>
    <row r="168713" s="12" customFormat="1" x14ac:dyDescent="0.25"/>
    <row r="168714" s="12" customFormat="1" x14ac:dyDescent="0.25"/>
    <row r="168715" s="12" customFormat="1" x14ac:dyDescent="0.25"/>
    <row r="168716" s="12" customFormat="1" x14ac:dyDescent="0.25"/>
    <row r="168717" s="12" customFormat="1" x14ac:dyDescent="0.25"/>
    <row r="168718" s="12" customFormat="1" x14ac:dyDescent="0.25"/>
    <row r="168719" s="12" customFormat="1" x14ac:dyDescent="0.25"/>
    <row r="168720" s="12" customFormat="1" x14ac:dyDescent="0.25"/>
    <row r="168721" s="12" customFormat="1" x14ac:dyDescent="0.25"/>
    <row r="168722" s="12" customFormat="1" x14ac:dyDescent="0.25"/>
    <row r="168723" s="12" customFormat="1" x14ac:dyDescent="0.25"/>
    <row r="168724" s="12" customFormat="1" x14ac:dyDescent="0.25"/>
    <row r="168725" s="12" customFormat="1" x14ac:dyDescent="0.25"/>
    <row r="168726" s="12" customFormat="1" x14ac:dyDescent="0.25"/>
    <row r="168727" s="12" customFormat="1" x14ac:dyDescent="0.25"/>
    <row r="168728" s="12" customFormat="1" x14ac:dyDescent="0.25"/>
    <row r="168729" s="12" customFormat="1" x14ac:dyDescent="0.25"/>
    <row r="168730" s="12" customFormat="1" x14ac:dyDescent="0.25"/>
    <row r="168731" s="12" customFormat="1" x14ac:dyDescent="0.25"/>
    <row r="168732" s="12" customFormat="1" x14ac:dyDescent="0.25"/>
    <row r="168733" s="12" customFormat="1" x14ac:dyDescent="0.25"/>
    <row r="168734" s="12" customFormat="1" x14ac:dyDescent="0.25"/>
    <row r="168735" s="12" customFormat="1" x14ac:dyDescent="0.25"/>
    <row r="168736" s="12" customFormat="1" x14ac:dyDescent="0.25"/>
    <row r="168737" s="12" customFormat="1" x14ac:dyDescent="0.25"/>
    <row r="168738" s="12" customFormat="1" x14ac:dyDescent="0.25"/>
    <row r="168739" s="12" customFormat="1" x14ac:dyDescent="0.25"/>
    <row r="168740" s="12" customFormat="1" x14ac:dyDescent="0.25"/>
    <row r="168741" s="12" customFormat="1" x14ac:dyDescent="0.25"/>
    <row r="168742" s="12" customFormat="1" x14ac:dyDescent="0.25"/>
    <row r="168743" s="12" customFormat="1" x14ac:dyDescent="0.25"/>
    <row r="168744" s="12" customFormat="1" x14ac:dyDescent="0.25"/>
    <row r="168745" s="12" customFormat="1" x14ac:dyDescent="0.25"/>
    <row r="168746" s="12" customFormat="1" x14ac:dyDescent="0.25"/>
    <row r="168747" s="12" customFormat="1" x14ac:dyDescent="0.25"/>
    <row r="168748" s="12" customFormat="1" x14ac:dyDescent="0.25"/>
    <row r="168749" s="12" customFormat="1" x14ac:dyDescent="0.25"/>
    <row r="168750" s="12" customFormat="1" x14ac:dyDescent="0.25"/>
    <row r="168751" s="12" customFormat="1" x14ac:dyDescent="0.25"/>
    <row r="168752" s="12" customFormat="1" x14ac:dyDescent="0.25"/>
    <row r="168753" s="12" customFormat="1" x14ac:dyDescent="0.25"/>
    <row r="168754" s="12" customFormat="1" x14ac:dyDescent="0.25"/>
    <row r="168755" s="12" customFormat="1" x14ac:dyDescent="0.25"/>
    <row r="168756" s="12" customFormat="1" x14ac:dyDescent="0.25"/>
    <row r="168757" s="12" customFormat="1" x14ac:dyDescent="0.25"/>
    <row r="168758" s="12" customFormat="1" x14ac:dyDescent="0.25"/>
    <row r="168759" s="12" customFormat="1" x14ac:dyDescent="0.25"/>
    <row r="168760" s="12" customFormat="1" x14ac:dyDescent="0.25"/>
    <row r="168761" s="12" customFormat="1" x14ac:dyDescent="0.25"/>
    <row r="168762" s="12" customFormat="1" x14ac:dyDescent="0.25"/>
    <row r="168763" s="12" customFormat="1" x14ac:dyDescent="0.25"/>
    <row r="168764" s="12" customFormat="1" x14ac:dyDescent="0.25"/>
    <row r="168765" s="12" customFormat="1" x14ac:dyDescent="0.25"/>
    <row r="168766" s="12" customFormat="1" x14ac:dyDescent="0.25"/>
    <row r="168767" s="12" customFormat="1" x14ac:dyDescent="0.25"/>
    <row r="168768" s="12" customFormat="1" x14ac:dyDescent="0.25"/>
    <row r="168769" s="12" customFormat="1" x14ac:dyDescent="0.25"/>
    <row r="168770" s="12" customFormat="1" x14ac:dyDescent="0.25"/>
    <row r="168771" s="12" customFormat="1" x14ac:dyDescent="0.25"/>
    <row r="168772" s="12" customFormat="1" x14ac:dyDescent="0.25"/>
    <row r="168773" s="12" customFormat="1" x14ac:dyDescent="0.25"/>
    <row r="168774" s="12" customFormat="1" x14ac:dyDescent="0.25"/>
    <row r="168775" s="12" customFormat="1" x14ac:dyDescent="0.25"/>
    <row r="168776" s="12" customFormat="1" x14ac:dyDescent="0.25"/>
    <row r="168777" s="12" customFormat="1" x14ac:dyDescent="0.25"/>
    <row r="168778" s="12" customFormat="1" x14ac:dyDescent="0.25"/>
    <row r="168779" s="12" customFormat="1" x14ac:dyDescent="0.25"/>
    <row r="168780" s="12" customFormat="1" x14ac:dyDescent="0.25"/>
    <row r="168781" s="12" customFormat="1" x14ac:dyDescent="0.25"/>
    <row r="168782" s="12" customFormat="1" x14ac:dyDescent="0.25"/>
    <row r="168783" s="12" customFormat="1" x14ac:dyDescent="0.25"/>
    <row r="168784" s="12" customFormat="1" x14ac:dyDescent="0.25"/>
    <row r="168785" s="12" customFormat="1" x14ac:dyDescent="0.25"/>
    <row r="168786" s="12" customFormat="1" x14ac:dyDescent="0.25"/>
    <row r="168787" s="12" customFormat="1" x14ac:dyDescent="0.25"/>
    <row r="168788" s="12" customFormat="1" x14ac:dyDescent="0.25"/>
    <row r="168789" s="12" customFormat="1" x14ac:dyDescent="0.25"/>
    <row r="168790" s="12" customFormat="1" x14ac:dyDescent="0.25"/>
    <row r="168791" s="12" customFormat="1" x14ac:dyDescent="0.25"/>
    <row r="168792" s="12" customFormat="1" x14ac:dyDescent="0.25"/>
    <row r="168793" s="12" customFormat="1" x14ac:dyDescent="0.25"/>
    <row r="168794" s="12" customFormat="1" x14ac:dyDescent="0.25"/>
    <row r="168795" s="12" customFormat="1" x14ac:dyDescent="0.25"/>
    <row r="168796" s="12" customFormat="1" x14ac:dyDescent="0.25"/>
    <row r="168797" s="12" customFormat="1" x14ac:dyDescent="0.25"/>
    <row r="168798" s="12" customFormat="1" x14ac:dyDescent="0.25"/>
    <row r="168799" s="12" customFormat="1" x14ac:dyDescent="0.25"/>
    <row r="168800" s="12" customFormat="1" x14ac:dyDescent="0.25"/>
    <row r="168801" s="12" customFormat="1" x14ac:dyDescent="0.25"/>
    <row r="168802" s="12" customFormat="1" x14ac:dyDescent="0.25"/>
    <row r="168803" s="12" customFormat="1" x14ac:dyDescent="0.25"/>
    <row r="168804" s="12" customFormat="1" x14ac:dyDescent="0.25"/>
    <row r="168805" s="12" customFormat="1" x14ac:dyDescent="0.25"/>
    <row r="168806" s="12" customFormat="1" x14ac:dyDescent="0.25"/>
    <row r="168807" s="12" customFormat="1" x14ac:dyDescent="0.25"/>
    <row r="168808" s="12" customFormat="1" x14ac:dyDescent="0.25"/>
    <row r="168809" s="12" customFormat="1" x14ac:dyDescent="0.25"/>
    <row r="168810" s="12" customFormat="1" x14ac:dyDescent="0.25"/>
    <row r="168811" s="12" customFormat="1" x14ac:dyDescent="0.25"/>
    <row r="168812" s="12" customFormat="1" x14ac:dyDescent="0.25"/>
    <row r="168813" s="12" customFormat="1" x14ac:dyDescent="0.25"/>
    <row r="168814" s="12" customFormat="1" x14ac:dyDescent="0.25"/>
    <row r="168815" s="12" customFormat="1" x14ac:dyDescent="0.25"/>
    <row r="168816" s="12" customFormat="1" x14ac:dyDescent="0.25"/>
    <row r="168817" s="12" customFormat="1" x14ac:dyDescent="0.25"/>
    <row r="168818" s="12" customFormat="1" x14ac:dyDescent="0.25"/>
    <row r="168819" s="12" customFormat="1" x14ac:dyDescent="0.25"/>
    <row r="168820" s="12" customFormat="1" x14ac:dyDescent="0.25"/>
    <row r="168821" s="12" customFormat="1" x14ac:dyDescent="0.25"/>
    <row r="168822" s="12" customFormat="1" x14ac:dyDescent="0.25"/>
    <row r="168823" s="12" customFormat="1" x14ac:dyDescent="0.25"/>
    <row r="168824" s="12" customFormat="1" x14ac:dyDescent="0.25"/>
    <row r="168825" s="12" customFormat="1" x14ac:dyDescent="0.25"/>
    <row r="168826" s="12" customFormat="1" x14ac:dyDescent="0.25"/>
    <row r="168827" s="12" customFormat="1" x14ac:dyDescent="0.25"/>
    <row r="168828" s="12" customFormat="1" x14ac:dyDescent="0.25"/>
    <row r="168829" s="12" customFormat="1" x14ac:dyDescent="0.25"/>
    <row r="168830" s="12" customFormat="1" x14ac:dyDescent="0.25"/>
    <row r="168831" s="12" customFormat="1" x14ac:dyDescent="0.25"/>
    <row r="168832" s="12" customFormat="1" x14ac:dyDescent="0.25"/>
    <row r="168833" s="12" customFormat="1" x14ac:dyDescent="0.25"/>
    <row r="168834" s="12" customFormat="1" x14ac:dyDescent="0.25"/>
    <row r="168835" s="12" customFormat="1" x14ac:dyDescent="0.25"/>
    <row r="168836" s="12" customFormat="1" x14ac:dyDescent="0.25"/>
    <row r="168837" s="12" customFormat="1" x14ac:dyDescent="0.25"/>
    <row r="168838" s="12" customFormat="1" x14ac:dyDescent="0.25"/>
    <row r="168839" s="12" customFormat="1" x14ac:dyDescent="0.25"/>
    <row r="168840" s="12" customFormat="1" x14ac:dyDescent="0.25"/>
    <row r="168841" s="12" customFormat="1" x14ac:dyDescent="0.25"/>
    <row r="168842" s="12" customFormat="1" x14ac:dyDescent="0.25"/>
    <row r="168843" s="12" customFormat="1" x14ac:dyDescent="0.25"/>
    <row r="168844" s="12" customFormat="1" x14ac:dyDescent="0.25"/>
    <row r="168845" s="12" customFormat="1" x14ac:dyDescent="0.25"/>
    <row r="168846" s="12" customFormat="1" x14ac:dyDescent="0.25"/>
    <row r="168847" s="12" customFormat="1" x14ac:dyDescent="0.25"/>
    <row r="168848" s="12" customFormat="1" x14ac:dyDescent="0.25"/>
    <row r="168849" s="12" customFormat="1" x14ac:dyDescent="0.25"/>
    <row r="168850" s="12" customFormat="1" x14ac:dyDescent="0.25"/>
    <row r="168851" s="12" customFormat="1" x14ac:dyDescent="0.25"/>
    <row r="168852" s="12" customFormat="1" x14ac:dyDescent="0.25"/>
    <row r="168853" s="12" customFormat="1" x14ac:dyDescent="0.25"/>
    <row r="168854" s="12" customFormat="1" x14ac:dyDescent="0.25"/>
    <row r="168855" s="12" customFormat="1" x14ac:dyDescent="0.25"/>
    <row r="168856" s="12" customFormat="1" x14ac:dyDescent="0.25"/>
    <row r="168857" s="12" customFormat="1" x14ac:dyDescent="0.25"/>
    <row r="168858" s="12" customFormat="1" x14ac:dyDescent="0.25"/>
    <row r="168859" s="12" customFormat="1" x14ac:dyDescent="0.25"/>
    <row r="168860" s="12" customFormat="1" x14ac:dyDescent="0.25"/>
    <row r="168861" s="12" customFormat="1" x14ac:dyDescent="0.25"/>
    <row r="168862" s="12" customFormat="1" x14ac:dyDescent="0.25"/>
    <row r="168863" s="12" customFormat="1" x14ac:dyDescent="0.25"/>
    <row r="168864" s="12" customFormat="1" x14ac:dyDescent="0.25"/>
    <row r="168865" s="12" customFormat="1" x14ac:dyDescent="0.25"/>
    <row r="168866" s="12" customFormat="1" x14ac:dyDescent="0.25"/>
    <row r="168867" s="12" customFormat="1" x14ac:dyDescent="0.25"/>
    <row r="168868" s="12" customFormat="1" x14ac:dyDescent="0.25"/>
    <row r="168869" s="12" customFormat="1" x14ac:dyDescent="0.25"/>
    <row r="168870" s="12" customFormat="1" x14ac:dyDescent="0.25"/>
    <row r="168871" s="12" customFormat="1" x14ac:dyDescent="0.25"/>
    <row r="168872" s="12" customFormat="1" x14ac:dyDescent="0.25"/>
    <row r="168873" s="12" customFormat="1" x14ac:dyDescent="0.25"/>
    <row r="168874" s="12" customFormat="1" x14ac:dyDescent="0.25"/>
    <row r="168875" s="12" customFormat="1" x14ac:dyDescent="0.25"/>
    <row r="168876" s="12" customFormat="1" x14ac:dyDescent="0.25"/>
    <row r="168877" s="12" customFormat="1" x14ac:dyDescent="0.25"/>
    <row r="168878" s="12" customFormat="1" x14ac:dyDescent="0.25"/>
    <row r="168879" s="12" customFormat="1" x14ac:dyDescent="0.25"/>
    <row r="168880" s="12" customFormat="1" x14ac:dyDescent="0.25"/>
    <row r="168881" s="12" customFormat="1" x14ac:dyDescent="0.25"/>
    <row r="168882" s="12" customFormat="1" x14ac:dyDescent="0.25"/>
    <row r="168883" s="12" customFormat="1" x14ac:dyDescent="0.25"/>
    <row r="168884" s="12" customFormat="1" x14ac:dyDescent="0.25"/>
    <row r="168885" s="12" customFormat="1" x14ac:dyDescent="0.25"/>
    <row r="168886" s="12" customFormat="1" x14ac:dyDescent="0.25"/>
    <row r="168887" s="12" customFormat="1" x14ac:dyDescent="0.25"/>
    <row r="168888" s="12" customFormat="1" x14ac:dyDescent="0.25"/>
    <row r="168889" s="12" customFormat="1" x14ac:dyDescent="0.25"/>
    <row r="168890" s="12" customFormat="1" x14ac:dyDescent="0.25"/>
    <row r="168891" s="12" customFormat="1" x14ac:dyDescent="0.25"/>
    <row r="168892" s="12" customFormat="1" x14ac:dyDescent="0.25"/>
    <row r="168893" s="12" customFormat="1" x14ac:dyDescent="0.25"/>
    <row r="168894" s="12" customFormat="1" x14ac:dyDescent="0.25"/>
    <row r="168895" s="12" customFormat="1" x14ac:dyDescent="0.25"/>
    <row r="168896" s="12" customFormat="1" x14ac:dyDescent="0.25"/>
    <row r="168897" s="12" customFormat="1" x14ac:dyDescent="0.25"/>
    <row r="168898" s="12" customFormat="1" x14ac:dyDescent="0.25"/>
    <row r="168899" s="12" customFormat="1" x14ac:dyDescent="0.25"/>
    <row r="168900" s="12" customFormat="1" x14ac:dyDescent="0.25"/>
    <row r="168901" s="12" customFormat="1" x14ac:dyDescent="0.25"/>
    <row r="168902" s="12" customFormat="1" x14ac:dyDescent="0.25"/>
    <row r="168903" s="12" customFormat="1" x14ac:dyDescent="0.25"/>
    <row r="168904" s="12" customFormat="1" x14ac:dyDescent="0.25"/>
    <row r="168905" s="12" customFormat="1" x14ac:dyDescent="0.25"/>
    <row r="168906" s="12" customFormat="1" x14ac:dyDescent="0.25"/>
    <row r="168907" s="12" customFormat="1" x14ac:dyDescent="0.25"/>
    <row r="168908" s="12" customFormat="1" x14ac:dyDescent="0.25"/>
    <row r="168909" s="12" customFormat="1" x14ac:dyDescent="0.25"/>
    <row r="168910" s="12" customFormat="1" x14ac:dyDescent="0.25"/>
    <row r="168911" s="12" customFormat="1" x14ac:dyDescent="0.25"/>
    <row r="168912" s="12" customFormat="1" x14ac:dyDescent="0.25"/>
    <row r="168913" s="12" customFormat="1" x14ac:dyDescent="0.25"/>
    <row r="168914" s="12" customFormat="1" x14ac:dyDescent="0.25"/>
    <row r="168915" s="12" customFormat="1" x14ac:dyDescent="0.25"/>
    <row r="168916" s="12" customFormat="1" x14ac:dyDescent="0.25"/>
    <row r="168917" s="12" customFormat="1" x14ac:dyDescent="0.25"/>
    <row r="168918" s="12" customFormat="1" x14ac:dyDescent="0.25"/>
    <row r="168919" s="12" customFormat="1" x14ac:dyDescent="0.25"/>
    <row r="168920" s="12" customFormat="1" x14ac:dyDescent="0.25"/>
    <row r="168921" s="12" customFormat="1" x14ac:dyDescent="0.25"/>
    <row r="168922" s="12" customFormat="1" x14ac:dyDescent="0.25"/>
    <row r="168923" s="12" customFormat="1" x14ac:dyDescent="0.25"/>
    <row r="168924" s="12" customFormat="1" x14ac:dyDescent="0.25"/>
    <row r="168925" s="12" customFormat="1" x14ac:dyDescent="0.25"/>
    <row r="168926" s="12" customFormat="1" x14ac:dyDescent="0.25"/>
    <row r="168927" s="12" customFormat="1" x14ac:dyDescent="0.25"/>
    <row r="168928" s="12" customFormat="1" x14ac:dyDescent="0.25"/>
    <row r="168929" s="12" customFormat="1" x14ac:dyDescent="0.25"/>
    <row r="168930" s="12" customFormat="1" x14ac:dyDescent="0.25"/>
    <row r="168931" s="12" customFormat="1" x14ac:dyDescent="0.25"/>
    <row r="168932" s="12" customFormat="1" x14ac:dyDescent="0.25"/>
    <row r="168933" s="12" customFormat="1" x14ac:dyDescent="0.25"/>
    <row r="168934" s="12" customFormat="1" x14ac:dyDescent="0.25"/>
    <row r="168935" s="12" customFormat="1" x14ac:dyDescent="0.25"/>
    <row r="168936" s="12" customFormat="1" x14ac:dyDescent="0.25"/>
    <row r="168937" s="12" customFormat="1" x14ac:dyDescent="0.25"/>
    <row r="168938" s="12" customFormat="1" x14ac:dyDescent="0.25"/>
    <row r="168939" s="12" customFormat="1" x14ac:dyDescent="0.25"/>
    <row r="168940" s="12" customFormat="1" x14ac:dyDescent="0.25"/>
    <row r="168941" s="12" customFormat="1" x14ac:dyDescent="0.25"/>
    <row r="168942" s="12" customFormat="1" x14ac:dyDescent="0.25"/>
    <row r="168943" s="12" customFormat="1" x14ac:dyDescent="0.25"/>
    <row r="168944" s="12" customFormat="1" x14ac:dyDescent="0.25"/>
    <row r="168945" s="12" customFormat="1" x14ac:dyDescent="0.25"/>
    <row r="168946" s="12" customFormat="1" x14ac:dyDescent="0.25"/>
    <row r="168947" s="12" customFormat="1" x14ac:dyDescent="0.25"/>
    <row r="168948" s="12" customFormat="1" x14ac:dyDescent="0.25"/>
    <row r="168949" s="12" customFormat="1" x14ac:dyDescent="0.25"/>
    <row r="168950" s="12" customFormat="1" x14ac:dyDescent="0.25"/>
    <row r="168951" s="12" customFormat="1" x14ac:dyDescent="0.25"/>
    <row r="168952" s="12" customFormat="1" x14ac:dyDescent="0.25"/>
    <row r="168953" s="12" customFormat="1" x14ac:dyDescent="0.25"/>
    <row r="168954" s="12" customFormat="1" x14ac:dyDescent="0.25"/>
    <row r="168955" s="12" customFormat="1" x14ac:dyDescent="0.25"/>
    <row r="168956" s="12" customFormat="1" x14ac:dyDescent="0.25"/>
    <row r="168957" s="12" customFormat="1" x14ac:dyDescent="0.25"/>
    <row r="168958" s="12" customFormat="1" x14ac:dyDescent="0.25"/>
    <row r="168959" s="12" customFormat="1" x14ac:dyDescent="0.25"/>
    <row r="168960" s="12" customFormat="1" x14ac:dyDescent="0.25"/>
    <row r="168961" s="12" customFormat="1" x14ac:dyDescent="0.25"/>
    <row r="168962" s="12" customFormat="1" x14ac:dyDescent="0.25"/>
    <row r="168963" s="12" customFormat="1" x14ac:dyDescent="0.25"/>
    <row r="168964" s="12" customFormat="1" x14ac:dyDescent="0.25"/>
    <row r="168965" s="12" customFormat="1" x14ac:dyDescent="0.25"/>
    <row r="168966" s="12" customFormat="1" x14ac:dyDescent="0.25"/>
    <row r="168967" s="12" customFormat="1" x14ac:dyDescent="0.25"/>
    <row r="168968" s="12" customFormat="1" x14ac:dyDescent="0.25"/>
    <row r="168969" s="12" customFormat="1" x14ac:dyDescent="0.25"/>
    <row r="168970" s="12" customFormat="1" x14ac:dyDescent="0.25"/>
    <row r="168971" s="12" customFormat="1" x14ac:dyDescent="0.25"/>
    <row r="168972" s="12" customFormat="1" x14ac:dyDescent="0.25"/>
    <row r="168973" s="12" customFormat="1" x14ac:dyDescent="0.25"/>
    <row r="168974" s="12" customFormat="1" x14ac:dyDescent="0.25"/>
    <row r="168975" s="12" customFormat="1" x14ac:dyDescent="0.25"/>
    <row r="168976" s="12" customFormat="1" x14ac:dyDescent="0.25"/>
    <row r="168977" s="12" customFormat="1" x14ac:dyDescent="0.25"/>
    <row r="168978" s="12" customFormat="1" x14ac:dyDescent="0.25"/>
    <row r="168979" s="12" customFormat="1" x14ac:dyDescent="0.25"/>
    <row r="168980" s="12" customFormat="1" x14ac:dyDescent="0.25"/>
    <row r="168981" s="12" customFormat="1" x14ac:dyDescent="0.25"/>
    <row r="168982" s="12" customFormat="1" x14ac:dyDescent="0.25"/>
    <row r="168983" s="12" customFormat="1" x14ac:dyDescent="0.25"/>
    <row r="168984" s="12" customFormat="1" x14ac:dyDescent="0.25"/>
    <row r="168985" s="12" customFormat="1" x14ac:dyDescent="0.25"/>
    <row r="168986" s="12" customFormat="1" x14ac:dyDescent="0.25"/>
    <row r="168987" s="12" customFormat="1" x14ac:dyDescent="0.25"/>
    <row r="168988" s="12" customFormat="1" x14ac:dyDescent="0.25"/>
    <row r="168989" s="12" customFormat="1" x14ac:dyDescent="0.25"/>
    <row r="168990" s="12" customFormat="1" x14ac:dyDescent="0.25"/>
    <row r="168991" s="12" customFormat="1" x14ac:dyDescent="0.25"/>
    <row r="168992" s="12" customFormat="1" x14ac:dyDescent="0.25"/>
    <row r="168993" s="12" customFormat="1" x14ac:dyDescent="0.25"/>
    <row r="168994" s="12" customFormat="1" x14ac:dyDescent="0.25"/>
    <row r="168995" s="12" customFormat="1" x14ac:dyDescent="0.25"/>
    <row r="168996" s="12" customFormat="1" x14ac:dyDescent="0.25"/>
    <row r="168997" s="12" customFormat="1" x14ac:dyDescent="0.25"/>
    <row r="168998" s="12" customFormat="1" x14ac:dyDescent="0.25"/>
    <row r="168999" s="12" customFormat="1" x14ac:dyDescent="0.25"/>
    <row r="169000" s="12" customFormat="1" x14ac:dyDescent="0.25"/>
    <row r="169001" s="12" customFormat="1" x14ac:dyDescent="0.25"/>
    <row r="169002" s="12" customFormat="1" x14ac:dyDescent="0.25"/>
    <row r="169003" s="12" customFormat="1" x14ac:dyDescent="0.25"/>
    <row r="169004" s="12" customFormat="1" x14ac:dyDescent="0.25"/>
    <row r="169005" s="12" customFormat="1" x14ac:dyDescent="0.25"/>
    <row r="169006" s="12" customFormat="1" x14ac:dyDescent="0.25"/>
    <row r="169007" s="12" customFormat="1" x14ac:dyDescent="0.25"/>
    <row r="169008" s="12" customFormat="1" x14ac:dyDescent="0.25"/>
    <row r="169009" s="12" customFormat="1" x14ac:dyDescent="0.25"/>
    <row r="169010" s="12" customFormat="1" x14ac:dyDescent="0.25"/>
    <row r="169011" s="12" customFormat="1" x14ac:dyDescent="0.25"/>
    <row r="169012" s="12" customFormat="1" x14ac:dyDescent="0.25"/>
    <row r="169013" s="12" customFormat="1" x14ac:dyDescent="0.25"/>
    <row r="169014" s="12" customFormat="1" x14ac:dyDescent="0.25"/>
    <row r="169015" s="12" customFormat="1" x14ac:dyDescent="0.25"/>
    <row r="169016" s="12" customFormat="1" x14ac:dyDescent="0.25"/>
    <row r="169017" s="12" customFormat="1" x14ac:dyDescent="0.25"/>
    <row r="169018" s="12" customFormat="1" x14ac:dyDescent="0.25"/>
    <row r="169019" s="12" customFormat="1" x14ac:dyDescent="0.25"/>
    <row r="169020" s="12" customFormat="1" x14ac:dyDescent="0.25"/>
    <row r="169021" s="12" customFormat="1" x14ac:dyDescent="0.25"/>
    <row r="169022" s="12" customFormat="1" x14ac:dyDescent="0.25"/>
    <row r="169023" s="12" customFormat="1" x14ac:dyDescent="0.25"/>
    <row r="169024" s="12" customFormat="1" x14ac:dyDescent="0.25"/>
    <row r="169025" s="12" customFormat="1" x14ac:dyDescent="0.25"/>
    <row r="169026" s="12" customFormat="1" x14ac:dyDescent="0.25"/>
    <row r="169027" s="12" customFormat="1" x14ac:dyDescent="0.25"/>
    <row r="169028" s="12" customFormat="1" x14ac:dyDescent="0.25"/>
    <row r="169029" s="12" customFormat="1" x14ac:dyDescent="0.25"/>
    <row r="169030" s="12" customFormat="1" x14ac:dyDescent="0.25"/>
    <row r="169031" s="12" customFormat="1" x14ac:dyDescent="0.25"/>
    <row r="169032" s="12" customFormat="1" x14ac:dyDescent="0.25"/>
    <row r="169033" s="12" customFormat="1" x14ac:dyDescent="0.25"/>
    <row r="169034" s="12" customFormat="1" x14ac:dyDescent="0.25"/>
    <row r="169035" s="12" customFormat="1" x14ac:dyDescent="0.25"/>
    <row r="169036" s="12" customFormat="1" x14ac:dyDescent="0.25"/>
    <row r="169037" s="12" customFormat="1" x14ac:dyDescent="0.25"/>
    <row r="169038" s="12" customFormat="1" x14ac:dyDescent="0.25"/>
    <row r="169039" s="12" customFormat="1" x14ac:dyDescent="0.25"/>
    <row r="169040" s="12" customFormat="1" x14ac:dyDescent="0.25"/>
    <row r="169041" s="12" customFormat="1" x14ac:dyDescent="0.25"/>
    <row r="169042" s="12" customFormat="1" x14ac:dyDescent="0.25"/>
    <row r="169043" s="12" customFormat="1" x14ac:dyDescent="0.25"/>
    <row r="169044" s="12" customFormat="1" x14ac:dyDescent="0.25"/>
    <row r="169045" s="12" customFormat="1" x14ac:dyDescent="0.25"/>
    <row r="169046" s="12" customFormat="1" x14ac:dyDescent="0.25"/>
    <row r="169047" s="12" customFormat="1" x14ac:dyDescent="0.25"/>
    <row r="169048" s="12" customFormat="1" x14ac:dyDescent="0.25"/>
    <row r="169049" s="12" customFormat="1" x14ac:dyDescent="0.25"/>
    <row r="169050" s="12" customFormat="1" x14ac:dyDescent="0.25"/>
    <row r="169051" s="12" customFormat="1" x14ac:dyDescent="0.25"/>
    <row r="169052" s="12" customFormat="1" x14ac:dyDescent="0.25"/>
    <row r="169053" s="12" customFormat="1" x14ac:dyDescent="0.25"/>
    <row r="169054" s="12" customFormat="1" x14ac:dyDescent="0.25"/>
    <row r="169055" s="12" customFormat="1" x14ac:dyDescent="0.25"/>
    <row r="169056" s="12" customFormat="1" x14ac:dyDescent="0.25"/>
    <row r="169057" s="12" customFormat="1" x14ac:dyDescent="0.25"/>
    <row r="169058" s="12" customFormat="1" x14ac:dyDescent="0.25"/>
    <row r="169059" s="12" customFormat="1" x14ac:dyDescent="0.25"/>
    <row r="169060" s="12" customFormat="1" x14ac:dyDescent="0.25"/>
    <row r="169061" s="12" customFormat="1" x14ac:dyDescent="0.25"/>
    <row r="169062" s="12" customFormat="1" x14ac:dyDescent="0.25"/>
    <row r="169063" s="12" customFormat="1" x14ac:dyDescent="0.25"/>
    <row r="169064" s="12" customFormat="1" x14ac:dyDescent="0.25"/>
    <row r="169065" s="12" customFormat="1" x14ac:dyDescent="0.25"/>
    <row r="169066" s="12" customFormat="1" x14ac:dyDescent="0.25"/>
    <row r="169067" s="12" customFormat="1" x14ac:dyDescent="0.25"/>
    <row r="169068" s="12" customFormat="1" x14ac:dyDescent="0.25"/>
    <row r="169069" s="12" customFormat="1" x14ac:dyDescent="0.25"/>
    <row r="169070" s="12" customFormat="1" x14ac:dyDescent="0.25"/>
    <row r="169071" s="12" customFormat="1" x14ac:dyDescent="0.25"/>
    <row r="169072" s="12" customFormat="1" x14ac:dyDescent="0.25"/>
    <row r="169073" s="12" customFormat="1" x14ac:dyDescent="0.25"/>
    <row r="169074" s="12" customFormat="1" x14ac:dyDescent="0.25"/>
    <row r="169075" s="12" customFormat="1" x14ac:dyDescent="0.25"/>
    <row r="169076" s="12" customFormat="1" x14ac:dyDescent="0.25"/>
    <row r="169077" s="12" customFormat="1" x14ac:dyDescent="0.25"/>
    <row r="169078" s="12" customFormat="1" x14ac:dyDescent="0.25"/>
    <row r="169079" s="12" customFormat="1" x14ac:dyDescent="0.25"/>
    <row r="169080" s="12" customFormat="1" x14ac:dyDescent="0.25"/>
    <row r="169081" s="12" customFormat="1" x14ac:dyDescent="0.25"/>
    <row r="169082" s="12" customFormat="1" x14ac:dyDescent="0.25"/>
    <row r="169083" s="12" customFormat="1" x14ac:dyDescent="0.25"/>
    <row r="169084" s="12" customFormat="1" x14ac:dyDescent="0.25"/>
    <row r="169085" s="12" customFormat="1" x14ac:dyDescent="0.25"/>
    <row r="169086" s="12" customFormat="1" x14ac:dyDescent="0.25"/>
    <row r="169087" s="12" customFormat="1" x14ac:dyDescent="0.25"/>
    <row r="169088" s="12" customFormat="1" x14ac:dyDescent="0.25"/>
    <row r="169089" s="12" customFormat="1" x14ac:dyDescent="0.25"/>
    <row r="169090" s="12" customFormat="1" x14ac:dyDescent="0.25"/>
    <row r="169091" s="12" customFormat="1" x14ac:dyDescent="0.25"/>
    <row r="169092" s="12" customFormat="1" x14ac:dyDescent="0.25"/>
    <row r="169093" s="12" customFormat="1" x14ac:dyDescent="0.25"/>
    <row r="169094" s="12" customFormat="1" x14ac:dyDescent="0.25"/>
    <row r="169095" s="12" customFormat="1" x14ac:dyDescent="0.25"/>
    <row r="169096" s="12" customFormat="1" x14ac:dyDescent="0.25"/>
    <row r="169097" s="12" customFormat="1" x14ac:dyDescent="0.25"/>
    <row r="169098" s="12" customFormat="1" x14ac:dyDescent="0.25"/>
    <row r="169099" s="12" customFormat="1" x14ac:dyDescent="0.25"/>
    <row r="169100" s="12" customFormat="1" x14ac:dyDescent="0.25"/>
    <row r="169101" s="12" customFormat="1" x14ac:dyDescent="0.25"/>
    <row r="169102" s="12" customFormat="1" x14ac:dyDescent="0.25"/>
    <row r="169103" s="12" customFormat="1" x14ac:dyDescent="0.25"/>
    <row r="169104" s="12" customFormat="1" x14ac:dyDescent="0.25"/>
    <row r="169105" s="12" customFormat="1" x14ac:dyDescent="0.25"/>
    <row r="169106" s="12" customFormat="1" x14ac:dyDescent="0.25"/>
    <row r="169107" s="12" customFormat="1" x14ac:dyDescent="0.25"/>
    <row r="169108" s="12" customFormat="1" x14ac:dyDescent="0.25"/>
    <row r="169109" s="12" customFormat="1" x14ac:dyDescent="0.25"/>
    <row r="169110" s="12" customFormat="1" x14ac:dyDescent="0.25"/>
    <row r="169111" s="12" customFormat="1" x14ac:dyDescent="0.25"/>
    <row r="169112" s="12" customFormat="1" x14ac:dyDescent="0.25"/>
    <row r="169113" s="12" customFormat="1" x14ac:dyDescent="0.25"/>
    <row r="169114" s="12" customFormat="1" x14ac:dyDescent="0.25"/>
    <row r="169115" s="12" customFormat="1" x14ac:dyDescent="0.25"/>
    <row r="169116" s="12" customFormat="1" x14ac:dyDescent="0.25"/>
    <row r="169117" s="12" customFormat="1" x14ac:dyDescent="0.25"/>
    <row r="169118" s="12" customFormat="1" x14ac:dyDescent="0.25"/>
    <row r="169119" s="12" customFormat="1" x14ac:dyDescent="0.25"/>
    <row r="169120" s="12" customFormat="1" x14ac:dyDescent="0.25"/>
    <row r="169121" s="12" customFormat="1" x14ac:dyDescent="0.25"/>
    <row r="169122" s="12" customFormat="1" x14ac:dyDescent="0.25"/>
    <row r="169123" s="12" customFormat="1" x14ac:dyDescent="0.25"/>
    <row r="169124" s="12" customFormat="1" x14ac:dyDescent="0.25"/>
    <row r="169125" s="12" customFormat="1" x14ac:dyDescent="0.25"/>
    <row r="169126" s="12" customFormat="1" x14ac:dyDescent="0.25"/>
    <row r="169127" s="12" customFormat="1" x14ac:dyDescent="0.25"/>
    <row r="169128" s="12" customFormat="1" x14ac:dyDescent="0.25"/>
    <row r="169129" s="12" customFormat="1" x14ac:dyDescent="0.25"/>
    <row r="169130" s="12" customFormat="1" x14ac:dyDescent="0.25"/>
    <row r="169131" s="12" customFormat="1" x14ac:dyDescent="0.25"/>
    <row r="169132" s="12" customFormat="1" x14ac:dyDescent="0.25"/>
    <row r="169133" s="12" customFormat="1" x14ac:dyDescent="0.25"/>
    <row r="169134" s="12" customFormat="1" x14ac:dyDescent="0.25"/>
    <row r="169135" s="12" customFormat="1" x14ac:dyDescent="0.25"/>
    <row r="169136" s="12" customFormat="1" x14ac:dyDescent="0.25"/>
    <row r="169137" s="12" customFormat="1" x14ac:dyDescent="0.25"/>
    <row r="169138" s="12" customFormat="1" x14ac:dyDescent="0.25"/>
    <row r="169139" s="12" customFormat="1" x14ac:dyDescent="0.25"/>
    <row r="169140" s="12" customFormat="1" x14ac:dyDescent="0.25"/>
    <row r="169141" s="12" customFormat="1" x14ac:dyDescent="0.25"/>
    <row r="169142" s="12" customFormat="1" x14ac:dyDescent="0.25"/>
    <row r="169143" s="12" customFormat="1" x14ac:dyDescent="0.25"/>
    <row r="169144" s="12" customFormat="1" x14ac:dyDescent="0.25"/>
    <row r="169145" s="12" customFormat="1" x14ac:dyDescent="0.25"/>
    <row r="169146" s="12" customFormat="1" x14ac:dyDescent="0.25"/>
    <row r="169147" s="12" customFormat="1" x14ac:dyDescent="0.25"/>
    <row r="169148" s="12" customFormat="1" x14ac:dyDescent="0.25"/>
    <row r="169149" s="12" customFormat="1" x14ac:dyDescent="0.25"/>
    <row r="169150" s="12" customFormat="1" x14ac:dyDescent="0.25"/>
    <row r="169151" s="12" customFormat="1" x14ac:dyDescent="0.25"/>
    <row r="169152" s="12" customFormat="1" x14ac:dyDescent="0.25"/>
    <row r="169153" s="12" customFormat="1" x14ac:dyDescent="0.25"/>
    <row r="169154" s="12" customFormat="1" x14ac:dyDescent="0.25"/>
    <row r="169155" s="12" customFormat="1" x14ac:dyDescent="0.25"/>
    <row r="169156" s="12" customFormat="1" x14ac:dyDescent="0.25"/>
    <row r="169157" s="12" customFormat="1" x14ac:dyDescent="0.25"/>
    <row r="169158" s="12" customFormat="1" x14ac:dyDescent="0.25"/>
    <row r="169159" s="12" customFormat="1" x14ac:dyDescent="0.25"/>
    <row r="169160" s="12" customFormat="1" x14ac:dyDescent="0.25"/>
    <row r="169161" s="12" customFormat="1" x14ac:dyDescent="0.25"/>
    <row r="169162" s="12" customFormat="1" x14ac:dyDescent="0.25"/>
    <row r="169163" s="12" customFormat="1" x14ac:dyDescent="0.25"/>
    <row r="169164" s="12" customFormat="1" x14ac:dyDescent="0.25"/>
    <row r="169165" s="12" customFormat="1" x14ac:dyDescent="0.25"/>
    <row r="169166" s="12" customFormat="1" x14ac:dyDescent="0.25"/>
    <row r="169167" s="12" customFormat="1" x14ac:dyDescent="0.25"/>
    <row r="169168" s="12" customFormat="1" x14ac:dyDescent="0.25"/>
    <row r="169169" s="12" customFormat="1" x14ac:dyDescent="0.25"/>
    <row r="169170" s="12" customFormat="1" x14ac:dyDescent="0.25"/>
    <row r="169171" s="12" customFormat="1" x14ac:dyDescent="0.25"/>
    <row r="169172" s="12" customFormat="1" x14ac:dyDescent="0.25"/>
    <row r="169173" s="12" customFormat="1" x14ac:dyDescent="0.25"/>
    <row r="169174" s="12" customFormat="1" x14ac:dyDescent="0.25"/>
    <row r="169175" s="12" customFormat="1" x14ac:dyDescent="0.25"/>
    <row r="169176" s="12" customFormat="1" x14ac:dyDescent="0.25"/>
    <row r="169177" s="12" customFormat="1" x14ac:dyDescent="0.25"/>
    <row r="169178" s="12" customFormat="1" x14ac:dyDescent="0.25"/>
    <row r="169179" s="12" customFormat="1" x14ac:dyDescent="0.25"/>
    <row r="169180" s="12" customFormat="1" x14ac:dyDescent="0.25"/>
    <row r="169181" s="12" customFormat="1" x14ac:dyDescent="0.25"/>
    <row r="169182" s="12" customFormat="1" x14ac:dyDescent="0.25"/>
    <row r="169183" s="12" customFormat="1" x14ac:dyDescent="0.25"/>
    <row r="169184" s="12" customFormat="1" x14ac:dyDescent="0.25"/>
    <row r="169185" s="12" customFormat="1" x14ac:dyDescent="0.25"/>
    <row r="169186" s="12" customFormat="1" x14ac:dyDescent="0.25"/>
    <row r="169187" s="12" customFormat="1" x14ac:dyDescent="0.25"/>
    <row r="169188" s="12" customFormat="1" x14ac:dyDescent="0.25"/>
    <row r="169189" s="12" customFormat="1" x14ac:dyDescent="0.25"/>
    <row r="169190" s="12" customFormat="1" x14ac:dyDescent="0.25"/>
    <row r="169191" s="12" customFormat="1" x14ac:dyDescent="0.25"/>
    <row r="169192" s="12" customFormat="1" x14ac:dyDescent="0.25"/>
    <row r="169193" s="12" customFormat="1" x14ac:dyDescent="0.25"/>
    <row r="169194" s="12" customFormat="1" x14ac:dyDescent="0.25"/>
    <row r="169195" s="12" customFormat="1" x14ac:dyDescent="0.25"/>
    <row r="169196" s="12" customFormat="1" x14ac:dyDescent="0.25"/>
    <row r="169197" s="12" customFormat="1" x14ac:dyDescent="0.25"/>
    <row r="169198" s="12" customFormat="1" x14ac:dyDescent="0.25"/>
    <row r="169199" s="12" customFormat="1" x14ac:dyDescent="0.25"/>
    <row r="169200" s="12" customFormat="1" x14ac:dyDescent="0.25"/>
    <row r="169201" s="12" customFormat="1" x14ac:dyDescent="0.25"/>
    <row r="169202" s="12" customFormat="1" x14ac:dyDescent="0.25"/>
    <row r="169203" s="12" customFormat="1" x14ac:dyDescent="0.25"/>
    <row r="169204" s="12" customFormat="1" x14ac:dyDescent="0.25"/>
    <row r="169205" s="12" customFormat="1" x14ac:dyDescent="0.25"/>
    <row r="169206" s="12" customFormat="1" x14ac:dyDescent="0.25"/>
    <row r="169207" s="12" customFormat="1" x14ac:dyDescent="0.25"/>
    <row r="169208" s="12" customFormat="1" x14ac:dyDescent="0.25"/>
    <row r="169209" s="12" customFormat="1" x14ac:dyDescent="0.25"/>
    <row r="169210" s="12" customFormat="1" x14ac:dyDescent="0.25"/>
    <row r="169211" s="12" customFormat="1" x14ac:dyDescent="0.25"/>
    <row r="169212" s="12" customFormat="1" x14ac:dyDescent="0.25"/>
    <row r="169213" s="12" customFormat="1" x14ac:dyDescent="0.25"/>
    <row r="169214" s="12" customFormat="1" x14ac:dyDescent="0.25"/>
    <row r="169215" s="12" customFormat="1" x14ac:dyDescent="0.25"/>
    <row r="169216" s="12" customFormat="1" x14ac:dyDescent="0.25"/>
    <row r="169217" s="12" customFormat="1" x14ac:dyDescent="0.25"/>
    <row r="169218" s="12" customFormat="1" x14ac:dyDescent="0.25"/>
    <row r="169219" s="12" customFormat="1" x14ac:dyDescent="0.25"/>
    <row r="169220" s="12" customFormat="1" x14ac:dyDescent="0.25"/>
    <row r="169221" s="12" customFormat="1" x14ac:dyDescent="0.25"/>
    <row r="169222" s="12" customFormat="1" x14ac:dyDescent="0.25"/>
    <row r="169223" s="12" customFormat="1" x14ac:dyDescent="0.25"/>
    <row r="169224" s="12" customFormat="1" x14ac:dyDescent="0.25"/>
    <row r="169225" s="12" customFormat="1" x14ac:dyDescent="0.25"/>
    <row r="169226" s="12" customFormat="1" x14ac:dyDescent="0.25"/>
    <row r="169227" s="12" customFormat="1" x14ac:dyDescent="0.25"/>
    <row r="169228" s="12" customFormat="1" x14ac:dyDescent="0.25"/>
    <row r="169229" s="12" customFormat="1" x14ac:dyDescent="0.25"/>
    <row r="169230" s="12" customFormat="1" x14ac:dyDescent="0.25"/>
    <row r="169231" s="12" customFormat="1" x14ac:dyDescent="0.25"/>
    <row r="169232" s="12" customFormat="1" x14ac:dyDescent="0.25"/>
    <row r="169233" s="12" customFormat="1" x14ac:dyDescent="0.25"/>
    <row r="169234" s="12" customFormat="1" x14ac:dyDescent="0.25"/>
    <row r="169235" s="12" customFormat="1" x14ac:dyDescent="0.25"/>
    <row r="169236" s="12" customFormat="1" x14ac:dyDescent="0.25"/>
    <row r="169237" s="12" customFormat="1" x14ac:dyDescent="0.25"/>
    <row r="169238" s="12" customFormat="1" x14ac:dyDescent="0.25"/>
    <row r="169239" s="12" customFormat="1" x14ac:dyDescent="0.25"/>
    <row r="169240" s="12" customFormat="1" x14ac:dyDescent="0.25"/>
    <row r="169241" s="12" customFormat="1" x14ac:dyDescent="0.25"/>
    <row r="169242" s="12" customFormat="1" x14ac:dyDescent="0.25"/>
    <row r="169243" s="12" customFormat="1" x14ac:dyDescent="0.25"/>
    <row r="169244" s="12" customFormat="1" x14ac:dyDescent="0.25"/>
    <row r="169245" s="12" customFormat="1" x14ac:dyDescent="0.25"/>
    <row r="169246" s="12" customFormat="1" x14ac:dyDescent="0.25"/>
    <row r="169247" s="12" customFormat="1" x14ac:dyDescent="0.25"/>
    <row r="169248" s="12" customFormat="1" x14ac:dyDescent="0.25"/>
    <row r="169249" s="12" customFormat="1" x14ac:dyDescent="0.25"/>
    <row r="169250" s="12" customFormat="1" x14ac:dyDescent="0.25"/>
    <row r="169251" s="12" customFormat="1" x14ac:dyDescent="0.25"/>
    <row r="169252" s="12" customFormat="1" x14ac:dyDescent="0.25"/>
    <row r="169253" s="12" customFormat="1" x14ac:dyDescent="0.25"/>
    <row r="169254" s="12" customFormat="1" x14ac:dyDescent="0.25"/>
    <row r="169255" s="12" customFormat="1" x14ac:dyDescent="0.25"/>
    <row r="169256" s="12" customFormat="1" x14ac:dyDescent="0.25"/>
    <row r="169257" s="12" customFormat="1" x14ac:dyDescent="0.25"/>
    <row r="169258" s="12" customFormat="1" x14ac:dyDescent="0.25"/>
    <row r="169259" s="12" customFormat="1" x14ac:dyDescent="0.25"/>
    <row r="169260" s="12" customFormat="1" x14ac:dyDescent="0.25"/>
    <row r="169261" s="12" customFormat="1" x14ac:dyDescent="0.25"/>
    <row r="169262" s="12" customFormat="1" x14ac:dyDescent="0.25"/>
    <row r="169263" s="12" customFormat="1" x14ac:dyDescent="0.25"/>
    <row r="169264" s="12" customFormat="1" x14ac:dyDescent="0.25"/>
    <row r="169265" s="12" customFormat="1" x14ac:dyDescent="0.25"/>
    <row r="169266" s="12" customFormat="1" x14ac:dyDescent="0.25"/>
    <row r="169267" s="12" customFormat="1" x14ac:dyDescent="0.25"/>
    <row r="169268" s="12" customFormat="1" x14ac:dyDescent="0.25"/>
    <row r="169269" s="12" customFormat="1" x14ac:dyDescent="0.25"/>
    <row r="169270" s="12" customFormat="1" x14ac:dyDescent="0.25"/>
    <row r="169271" s="12" customFormat="1" x14ac:dyDescent="0.25"/>
    <row r="169272" s="12" customFormat="1" x14ac:dyDescent="0.25"/>
    <row r="169273" s="12" customFormat="1" x14ac:dyDescent="0.25"/>
    <row r="169274" s="12" customFormat="1" x14ac:dyDescent="0.25"/>
    <row r="169275" s="12" customFormat="1" x14ac:dyDescent="0.25"/>
    <row r="169276" s="12" customFormat="1" x14ac:dyDescent="0.25"/>
    <row r="169277" s="12" customFormat="1" x14ac:dyDescent="0.25"/>
    <row r="169278" s="12" customFormat="1" x14ac:dyDescent="0.25"/>
    <row r="169279" s="12" customFormat="1" x14ac:dyDescent="0.25"/>
    <row r="169280" s="12" customFormat="1" x14ac:dyDescent="0.25"/>
    <row r="169281" s="12" customFormat="1" x14ac:dyDescent="0.25"/>
    <row r="169282" s="12" customFormat="1" x14ac:dyDescent="0.25"/>
    <row r="169283" s="12" customFormat="1" x14ac:dyDescent="0.25"/>
    <row r="169284" s="12" customFormat="1" x14ac:dyDescent="0.25"/>
    <row r="169285" s="12" customFormat="1" x14ac:dyDescent="0.25"/>
    <row r="169286" s="12" customFormat="1" x14ac:dyDescent="0.25"/>
    <row r="169287" s="12" customFormat="1" x14ac:dyDescent="0.25"/>
    <row r="169288" s="12" customFormat="1" x14ac:dyDescent="0.25"/>
    <row r="169289" s="12" customFormat="1" x14ac:dyDescent="0.25"/>
    <row r="169290" s="12" customFormat="1" x14ac:dyDescent="0.25"/>
    <row r="169291" s="12" customFormat="1" x14ac:dyDescent="0.25"/>
    <row r="169292" s="12" customFormat="1" x14ac:dyDescent="0.25"/>
    <row r="169293" s="12" customFormat="1" x14ac:dyDescent="0.25"/>
    <row r="169294" s="12" customFormat="1" x14ac:dyDescent="0.25"/>
    <row r="169295" s="12" customFormat="1" x14ac:dyDescent="0.25"/>
    <row r="169296" s="12" customFormat="1" x14ac:dyDescent="0.25"/>
    <row r="169297" s="12" customFormat="1" x14ac:dyDescent="0.25"/>
    <row r="169298" s="12" customFormat="1" x14ac:dyDescent="0.25"/>
    <row r="169299" s="12" customFormat="1" x14ac:dyDescent="0.25"/>
    <row r="169300" s="12" customFormat="1" x14ac:dyDescent="0.25"/>
    <row r="169301" s="12" customFormat="1" x14ac:dyDescent="0.25"/>
    <row r="169302" s="12" customFormat="1" x14ac:dyDescent="0.25"/>
    <row r="169303" s="12" customFormat="1" x14ac:dyDescent="0.25"/>
    <row r="169304" s="12" customFormat="1" x14ac:dyDescent="0.25"/>
    <row r="169305" s="12" customFormat="1" x14ac:dyDescent="0.25"/>
    <row r="169306" s="12" customFormat="1" x14ac:dyDescent="0.25"/>
    <row r="169307" s="12" customFormat="1" x14ac:dyDescent="0.25"/>
    <row r="169308" s="12" customFormat="1" x14ac:dyDescent="0.25"/>
    <row r="169309" s="12" customFormat="1" x14ac:dyDescent="0.25"/>
    <row r="169310" s="12" customFormat="1" x14ac:dyDescent="0.25"/>
    <row r="169311" s="12" customFormat="1" x14ac:dyDescent="0.25"/>
    <row r="169312" s="12" customFormat="1" x14ac:dyDescent="0.25"/>
    <row r="169313" s="12" customFormat="1" x14ac:dyDescent="0.25"/>
    <row r="169314" s="12" customFormat="1" x14ac:dyDescent="0.25"/>
    <row r="169315" s="12" customFormat="1" x14ac:dyDescent="0.25"/>
    <row r="169316" s="12" customFormat="1" x14ac:dyDescent="0.25"/>
    <row r="169317" s="12" customFormat="1" x14ac:dyDescent="0.25"/>
    <row r="169318" s="12" customFormat="1" x14ac:dyDescent="0.25"/>
    <row r="169319" s="12" customFormat="1" x14ac:dyDescent="0.25"/>
    <row r="169320" s="12" customFormat="1" x14ac:dyDescent="0.25"/>
    <row r="169321" s="12" customFormat="1" x14ac:dyDescent="0.25"/>
    <row r="169322" s="12" customFormat="1" x14ac:dyDescent="0.25"/>
    <row r="169323" s="12" customFormat="1" x14ac:dyDescent="0.25"/>
    <row r="169324" s="12" customFormat="1" x14ac:dyDescent="0.25"/>
    <row r="169325" s="12" customFormat="1" x14ac:dyDescent="0.25"/>
    <row r="169326" s="12" customFormat="1" x14ac:dyDescent="0.25"/>
    <row r="169327" s="12" customFormat="1" x14ac:dyDescent="0.25"/>
    <row r="169328" s="12" customFormat="1" x14ac:dyDescent="0.25"/>
    <row r="169329" s="12" customFormat="1" x14ac:dyDescent="0.25"/>
    <row r="169330" s="12" customFormat="1" x14ac:dyDescent="0.25"/>
    <row r="169331" s="12" customFormat="1" x14ac:dyDescent="0.25"/>
    <row r="169332" s="12" customFormat="1" x14ac:dyDescent="0.25"/>
    <row r="169333" s="12" customFormat="1" x14ac:dyDescent="0.25"/>
    <row r="169334" s="12" customFormat="1" x14ac:dyDescent="0.25"/>
    <row r="169335" s="12" customFormat="1" x14ac:dyDescent="0.25"/>
    <row r="169336" s="12" customFormat="1" x14ac:dyDescent="0.25"/>
    <row r="169337" s="12" customFormat="1" x14ac:dyDescent="0.25"/>
    <row r="169338" s="12" customFormat="1" x14ac:dyDescent="0.25"/>
    <row r="169339" s="12" customFormat="1" x14ac:dyDescent="0.25"/>
    <row r="169340" s="12" customFormat="1" x14ac:dyDescent="0.25"/>
    <row r="169341" s="12" customFormat="1" x14ac:dyDescent="0.25"/>
    <row r="169342" s="12" customFormat="1" x14ac:dyDescent="0.25"/>
    <row r="169343" s="12" customFormat="1" x14ac:dyDescent="0.25"/>
    <row r="169344" s="12" customFormat="1" x14ac:dyDescent="0.25"/>
    <row r="169345" s="12" customFormat="1" x14ac:dyDescent="0.25"/>
    <row r="169346" s="12" customFormat="1" x14ac:dyDescent="0.25"/>
    <row r="169347" s="12" customFormat="1" x14ac:dyDescent="0.25"/>
    <row r="169348" s="12" customFormat="1" x14ac:dyDescent="0.25"/>
    <row r="169349" s="12" customFormat="1" x14ac:dyDescent="0.25"/>
    <row r="169350" s="12" customFormat="1" x14ac:dyDescent="0.25"/>
    <row r="169351" s="12" customFormat="1" x14ac:dyDescent="0.25"/>
    <row r="169352" s="12" customFormat="1" x14ac:dyDescent="0.25"/>
    <row r="169353" s="12" customFormat="1" x14ac:dyDescent="0.25"/>
    <row r="169354" s="12" customFormat="1" x14ac:dyDescent="0.25"/>
    <row r="169355" s="12" customFormat="1" x14ac:dyDescent="0.25"/>
    <row r="169356" s="12" customFormat="1" x14ac:dyDescent="0.25"/>
    <row r="169357" s="12" customFormat="1" x14ac:dyDescent="0.25"/>
    <row r="169358" s="12" customFormat="1" x14ac:dyDescent="0.25"/>
    <row r="169359" s="12" customFormat="1" x14ac:dyDescent="0.25"/>
    <row r="169360" s="12" customFormat="1" x14ac:dyDescent="0.25"/>
    <row r="169361" s="12" customFormat="1" x14ac:dyDescent="0.25"/>
    <row r="169362" s="12" customFormat="1" x14ac:dyDescent="0.25"/>
    <row r="169363" s="12" customFormat="1" x14ac:dyDescent="0.25"/>
    <row r="169364" s="12" customFormat="1" x14ac:dyDescent="0.25"/>
    <row r="169365" s="12" customFormat="1" x14ac:dyDescent="0.25"/>
    <row r="169366" s="12" customFormat="1" x14ac:dyDescent="0.25"/>
    <row r="169367" s="12" customFormat="1" x14ac:dyDescent="0.25"/>
    <row r="169368" s="12" customFormat="1" x14ac:dyDescent="0.25"/>
    <row r="169369" s="12" customFormat="1" x14ac:dyDescent="0.25"/>
    <row r="169370" s="12" customFormat="1" x14ac:dyDescent="0.25"/>
    <row r="169371" s="12" customFormat="1" x14ac:dyDescent="0.25"/>
    <row r="169372" s="12" customFormat="1" x14ac:dyDescent="0.25"/>
    <row r="169373" s="12" customFormat="1" x14ac:dyDescent="0.25"/>
    <row r="169374" s="12" customFormat="1" x14ac:dyDescent="0.25"/>
    <row r="169375" s="12" customFormat="1" x14ac:dyDescent="0.25"/>
    <row r="169376" s="12" customFormat="1" x14ac:dyDescent="0.25"/>
    <row r="169377" s="12" customFormat="1" x14ac:dyDescent="0.25"/>
    <row r="169378" s="12" customFormat="1" x14ac:dyDescent="0.25"/>
    <row r="169379" s="12" customFormat="1" x14ac:dyDescent="0.25"/>
    <row r="169380" s="12" customFormat="1" x14ac:dyDescent="0.25"/>
    <row r="169381" s="12" customFormat="1" x14ac:dyDescent="0.25"/>
    <row r="169382" s="12" customFormat="1" x14ac:dyDescent="0.25"/>
    <row r="169383" s="12" customFormat="1" x14ac:dyDescent="0.25"/>
    <row r="169384" s="12" customFormat="1" x14ac:dyDescent="0.25"/>
    <row r="169385" s="12" customFormat="1" x14ac:dyDescent="0.25"/>
    <row r="169386" s="12" customFormat="1" x14ac:dyDescent="0.25"/>
    <row r="169387" s="12" customFormat="1" x14ac:dyDescent="0.25"/>
    <row r="169388" s="12" customFormat="1" x14ac:dyDescent="0.25"/>
    <row r="169389" s="12" customFormat="1" x14ac:dyDescent="0.25"/>
    <row r="169390" s="12" customFormat="1" x14ac:dyDescent="0.25"/>
    <row r="169391" s="12" customFormat="1" x14ac:dyDescent="0.25"/>
    <row r="169392" s="12" customFormat="1" x14ac:dyDescent="0.25"/>
    <row r="169393" s="12" customFormat="1" x14ac:dyDescent="0.25"/>
    <row r="169394" s="12" customFormat="1" x14ac:dyDescent="0.25"/>
    <row r="169395" s="12" customFormat="1" x14ac:dyDescent="0.25"/>
    <row r="169396" s="12" customFormat="1" x14ac:dyDescent="0.25"/>
    <row r="169397" s="12" customFormat="1" x14ac:dyDescent="0.25"/>
    <row r="169398" s="12" customFormat="1" x14ac:dyDescent="0.25"/>
    <row r="169399" s="12" customFormat="1" x14ac:dyDescent="0.25"/>
    <row r="169400" s="12" customFormat="1" x14ac:dyDescent="0.25"/>
    <row r="169401" s="12" customFormat="1" x14ac:dyDescent="0.25"/>
    <row r="169402" s="12" customFormat="1" x14ac:dyDescent="0.25"/>
    <row r="169403" s="12" customFormat="1" x14ac:dyDescent="0.25"/>
    <row r="169404" s="12" customFormat="1" x14ac:dyDescent="0.25"/>
    <row r="169405" s="12" customFormat="1" x14ac:dyDescent="0.25"/>
    <row r="169406" s="12" customFormat="1" x14ac:dyDescent="0.25"/>
    <row r="169407" s="12" customFormat="1" x14ac:dyDescent="0.25"/>
    <row r="169408" s="12" customFormat="1" x14ac:dyDescent="0.25"/>
    <row r="169409" s="12" customFormat="1" x14ac:dyDescent="0.25"/>
    <row r="169410" s="12" customFormat="1" x14ac:dyDescent="0.25"/>
    <row r="169411" s="12" customFormat="1" x14ac:dyDescent="0.25"/>
    <row r="169412" s="12" customFormat="1" x14ac:dyDescent="0.25"/>
    <row r="169413" s="12" customFormat="1" x14ac:dyDescent="0.25"/>
    <row r="169414" s="12" customFormat="1" x14ac:dyDescent="0.25"/>
    <row r="169415" s="12" customFormat="1" x14ac:dyDescent="0.25"/>
    <row r="169416" s="12" customFormat="1" x14ac:dyDescent="0.25"/>
    <row r="169417" s="12" customFormat="1" x14ac:dyDescent="0.25"/>
    <row r="169418" s="12" customFormat="1" x14ac:dyDescent="0.25"/>
    <row r="169419" s="12" customFormat="1" x14ac:dyDescent="0.25"/>
    <row r="169420" s="12" customFormat="1" x14ac:dyDescent="0.25"/>
    <row r="169421" s="12" customFormat="1" x14ac:dyDescent="0.25"/>
    <row r="169422" s="12" customFormat="1" x14ac:dyDescent="0.25"/>
    <row r="169423" s="12" customFormat="1" x14ac:dyDescent="0.25"/>
    <row r="169424" s="12" customFormat="1" x14ac:dyDescent="0.25"/>
    <row r="169425" s="12" customFormat="1" x14ac:dyDescent="0.25"/>
    <row r="169426" s="12" customFormat="1" x14ac:dyDescent="0.25"/>
    <row r="169427" s="12" customFormat="1" x14ac:dyDescent="0.25"/>
    <row r="169428" s="12" customFormat="1" x14ac:dyDescent="0.25"/>
    <row r="169429" s="12" customFormat="1" x14ac:dyDescent="0.25"/>
    <row r="169430" s="12" customFormat="1" x14ac:dyDescent="0.25"/>
    <row r="169431" s="12" customFormat="1" x14ac:dyDescent="0.25"/>
    <row r="169432" s="12" customFormat="1" x14ac:dyDescent="0.25"/>
    <row r="169433" s="12" customFormat="1" x14ac:dyDescent="0.25"/>
    <row r="169434" s="12" customFormat="1" x14ac:dyDescent="0.25"/>
    <row r="169435" s="12" customFormat="1" x14ac:dyDescent="0.25"/>
    <row r="169436" s="12" customFormat="1" x14ac:dyDescent="0.25"/>
    <row r="169437" s="12" customFormat="1" x14ac:dyDescent="0.25"/>
    <row r="169438" s="12" customFormat="1" x14ac:dyDescent="0.25"/>
    <row r="169439" s="12" customFormat="1" x14ac:dyDescent="0.25"/>
    <row r="169440" s="12" customFormat="1" x14ac:dyDescent="0.25"/>
    <row r="169441" s="12" customFormat="1" x14ac:dyDescent="0.25"/>
    <row r="169442" s="12" customFormat="1" x14ac:dyDescent="0.25"/>
    <row r="169443" s="12" customFormat="1" x14ac:dyDescent="0.25"/>
    <row r="169444" s="12" customFormat="1" x14ac:dyDescent="0.25"/>
    <row r="169445" s="12" customFormat="1" x14ac:dyDescent="0.25"/>
    <row r="169446" s="12" customFormat="1" x14ac:dyDescent="0.25"/>
    <row r="169447" s="12" customFormat="1" x14ac:dyDescent="0.25"/>
    <row r="169448" s="12" customFormat="1" x14ac:dyDescent="0.25"/>
    <row r="169449" s="12" customFormat="1" x14ac:dyDescent="0.25"/>
    <row r="169450" s="12" customFormat="1" x14ac:dyDescent="0.25"/>
    <row r="169451" s="12" customFormat="1" x14ac:dyDescent="0.25"/>
    <row r="169452" s="12" customFormat="1" x14ac:dyDescent="0.25"/>
    <row r="169453" s="12" customFormat="1" x14ac:dyDescent="0.25"/>
    <row r="169454" s="12" customFormat="1" x14ac:dyDescent="0.25"/>
    <row r="169455" s="12" customFormat="1" x14ac:dyDescent="0.25"/>
    <row r="169456" s="12" customFormat="1" x14ac:dyDescent="0.25"/>
    <row r="169457" s="12" customFormat="1" x14ac:dyDescent="0.25"/>
    <row r="169458" s="12" customFormat="1" x14ac:dyDescent="0.25"/>
    <row r="169459" s="12" customFormat="1" x14ac:dyDescent="0.25"/>
    <row r="169460" s="12" customFormat="1" x14ac:dyDescent="0.25"/>
    <row r="169461" s="12" customFormat="1" x14ac:dyDescent="0.25"/>
    <row r="169462" s="12" customFormat="1" x14ac:dyDescent="0.25"/>
    <row r="169463" s="12" customFormat="1" x14ac:dyDescent="0.25"/>
    <row r="169464" s="12" customFormat="1" x14ac:dyDescent="0.25"/>
    <row r="169465" s="12" customFormat="1" x14ac:dyDescent="0.25"/>
    <row r="169466" s="12" customFormat="1" x14ac:dyDescent="0.25"/>
    <row r="169467" s="12" customFormat="1" x14ac:dyDescent="0.25"/>
    <row r="169468" s="12" customFormat="1" x14ac:dyDescent="0.25"/>
    <row r="169469" s="12" customFormat="1" x14ac:dyDescent="0.25"/>
    <row r="169470" s="12" customFormat="1" x14ac:dyDescent="0.25"/>
    <row r="169471" s="12" customFormat="1" x14ac:dyDescent="0.25"/>
    <row r="169472" s="12" customFormat="1" x14ac:dyDescent="0.25"/>
    <row r="169473" s="12" customFormat="1" x14ac:dyDescent="0.25"/>
    <row r="169474" s="12" customFormat="1" x14ac:dyDescent="0.25"/>
    <row r="169475" s="12" customFormat="1" x14ac:dyDescent="0.25"/>
    <row r="169476" s="12" customFormat="1" x14ac:dyDescent="0.25"/>
    <row r="169477" s="12" customFormat="1" x14ac:dyDescent="0.25"/>
    <row r="169478" s="12" customFormat="1" x14ac:dyDescent="0.25"/>
    <row r="169479" s="12" customFormat="1" x14ac:dyDescent="0.25"/>
    <row r="169480" s="12" customFormat="1" x14ac:dyDescent="0.25"/>
    <row r="169481" s="12" customFormat="1" x14ac:dyDescent="0.25"/>
    <row r="169482" s="12" customFormat="1" x14ac:dyDescent="0.25"/>
    <row r="169483" s="12" customFormat="1" x14ac:dyDescent="0.25"/>
    <row r="169484" s="12" customFormat="1" x14ac:dyDescent="0.25"/>
    <row r="169485" s="12" customFormat="1" x14ac:dyDescent="0.25"/>
    <row r="169486" s="12" customFormat="1" x14ac:dyDescent="0.25"/>
    <row r="169487" s="12" customFormat="1" x14ac:dyDescent="0.25"/>
    <row r="169488" s="12" customFormat="1" x14ac:dyDescent="0.25"/>
    <row r="169489" s="12" customFormat="1" x14ac:dyDescent="0.25"/>
    <row r="169490" s="12" customFormat="1" x14ac:dyDescent="0.25"/>
    <row r="169491" s="12" customFormat="1" x14ac:dyDescent="0.25"/>
    <row r="169492" s="12" customFormat="1" x14ac:dyDescent="0.25"/>
    <row r="169493" s="12" customFormat="1" x14ac:dyDescent="0.25"/>
    <row r="169494" s="12" customFormat="1" x14ac:dyDescent="0.25"/>
    <row r="169495" s="12" customFormat="1" x14ac:dyDescent="0.25"/>
    <row r="169496" s="12" customFormat="1" x14ac:dyDescent="0.25"/>
    <row r="169497" s="12" customFormat="1" x14ac:dyDescent="0.25"/>
    <row r="169498" s="12" customFormat="1" x14ac:dyDescent="0.25"/>
    <row r="169499" s="12" customFormat="1" x14ac:dyDescent="0.25"/>
    <row r="169500" s="12" customFormat="1" x14ac:dyDescent="0.25"/>
    <row r="169501" s="12" customFormat="1" x14ac:dyDescent="0.25"/>
    <row r="169502" s="12" customFormat="1" x14ac:dyDescent="0.25"/>
    <row r="169503" s="12" customFormat="1" x14ac:dyDescent="0.25"/>
    <row r="169504" s="12" customFormat="1" x14ac:dyDescent="0.25"/>
    <row r="169505" s="12" customFormat="1" x14ac:dyDescent="0.25"/>
    <row r="169506" s="12" customFormat="1" x14ac:dyDescent="0.25"/>
    <row r="169507" s="12" customFormat="1" x14ac:dyDescent="0.25"/>
    <row r="169508" s="12" customFormat="1" x14ac:dyDescent="0.25"/>
    <row r="169509" s="12" customFormat="1" x14ac:dyDescent="0.25"/>
    <row r="169510" s="12" customFormat="1" x14ac:dyDescent="0.25"/>
    <row r="169511" s="12" customFormat="1" x14ac:dyDescent="0.25"/>
    <row r="169512" s="12" customFormat="1" x14ac:dyDescent="0.25"/>
    <row r="169513" s="12" customFormat="1" x14ac:dyDescent="0.25"/>
    <row r="169514" s="12" customFormat="1" x14ac:dyDescent="0.25"/>
    <row r="169515" s="12" customFormat="1" x14ac:dyDescent="0.25"/>
    <row r="169516" s="12" customFormat="1" x14ac:dyDescent="0.25"/>
    <row r="169517" s="12" customFormat="1" x14ac:dyDescent="0.25"/>
    <row r="169518" s="12" customFormat="1" x14ac:dyDescent="0.25"/>
    <row r="169519" s="12" customFormat="1" x14ac:dyDescent="0.25"/>
    <row r="169520" s="12" customFormat="1" x14ac:dyDescent="0.25"/>
    <row r="169521" s="12" customFormat="1" x14ac:dyDescent="0.25"/>
    <row r="169522" s="12" customFormat="1" x14ac:dyDescent="0.25"/>
    <row r="169523" s="12" customFormat="1" x14ac:dyDescent="0.25"/>
    <row r="169524" s="12" customFormat="1" x14ac:dyDescent="0.25"/>
    <row r="169525" s="12" customFormat="1" x14ac:dyDescent="0.25"/>
    <row r="169526" s="12" customFormat="1" x14ac:dyDescent="0.25"/>
    <row r="169527" s="12" customFormat="1" x14ac:dyDescent="0.25"/>
    <row r="169528" s="12" customFormat="1" x14ac:dyDescent="0.25"/>
    <row r="169529" s="12" customFormat="1" x14ac:dyDescent="0.25"/>
    <row r="169530" s="12" customFormat="1" x14ac:dyDescent="0.25"/>
    <row r="169531" s="12" customFormat="1" x14ac:dyDescent="0.25"/>
    <row r="169532" s="12" customFormat="1" x14ac:dyDescent="0.25"/>
    <row r="169533" s="12" customFormat="1" x14ac:dyDescent="0.25"/>
    <row r="169534" s="12" customFormat="1" x14ac:dyDescent="0.25"/>
    <row r="169535" s="12" customFormat="1" x14ac:dyDescent="0.25"/>
    <row r="169536" s="12" customFormat="1" x14ac:dyDescent="0.25"/>
    <row r="169537" s="12" customFormat="1" x14ac:dyDescent="0.25"/>
    <row r="169538" s="12" customFormat="1" x14ac:dyDescent="0.25"/>
    <row r="169539" s="12" customFormat="1" x14ac:dyDescent="0.25"/>
    <row r="169540" s="12" customFormat="1" x14ac:dyDescent="0.25"/>
    <row r="169541" s="12" customFormat="1" x14ac:dyDescent="0.25"/>
    <row r="169542" s="12" customFormat="1" x14ac:dyDescent="0.25"/>
    <row r="169543" s="12" customFormat="1" x14ac:dyDescent="0.25"/>
    <row r="169544" s="12" customFormat="1" x14ac:dyDescent="0.25"/>
    <row r="169545" s="12" customFormat="1" x14ac:dyDescent="0.25"/>
    <row r="169546" s="12" customFormat="1" x14ac:dyDescent="0.25"/>
    <row r="169547" s="12" customFormat="1" x14ac:dyDescent="0.25"/>
    <row r="169548" s="12" customFormat="1" x14ac:dyDescent="0.25"/>
    <row r="169549" s="12" customFormat="1" x14ac:dyDescent="0.25"/>
    <row r="169550" s="12" customFormat="1" x14ac:dyDescent="0.25"/>
    <row r="169551" s="12" customFormat="1" x14ac:dyDescent="0.25"/>
    <row r="169552" s="12" customFormat="1" x14ac:dyDescent="0.25"/>
    <row r="169553" s="12" customFormat="1" x14ac:dyDescent="0.25"/>
    <row r="169554" s="12" customFormat="1" x14ac:dyDescent="0.25"/>
    <row r="169555" s="12" customFormat="1" x14ac:dyDescent="0.25"/>
    <row r="169556" s="12" customFormat="1" x14ac:dyDescent="0.25"/>
    <row r="169557" s="12" customFormat="1" x14ac:dyDescent="0.25"/>
    <row r="169558" s="12" customFormat="1" x14ac:dyDescent="0.25"/>
    <row r="169559" s="12" customFormat="1" x14ac:dyDescent="0.25"/>
    <row r="169560" s="12" customFormat="1" x14ac:dyDescent="0.25"/>
    <row r="169561" s="12" customFormat="1" x14ac:dyDescent="0.25"/>
    <row r="169562" s="12" customFormat="1" x14ac:dyDescent="0.25"/>
    <row r="169563" s="12" customFormat="1" x14ac:dyDescent="0.25"/>
    <row r="169564" s="12" customFormat="1" x14ac:dyDescent="0.25"/>
    <row r="169565" s="12" customFormat="1" x14ac:dyDescent="0.25"/>
    <row r="169566" s="12" customFormat="1" x14ac:dyDescent="0.25"/>
    <row r="169567" s="12" customFormat="1" x14ac:dyDescent="0.25"/>
    <row r="169568" s="12" customFormat="1" x14ac:dyDescent="0.25"/>
    <row r="169569" s="12" customFormat="1" x14ac:dyDescent="0.25"/>
    <row r="169570" s="12" customFormat="1" x14ac:dyDescent="0.25"/>
    <row r="169571" s="12" customFormat="1" x14ac:dyDescent="0.25"/>
    <row r="169572" s="12" customFormat="1" x14ac:dyDescent="0.25"/>
    <row r="169573" s="12" customFormat="1" x14ac:dyDescent="0.25"/>
    <row r="169574" s="12" customFormat="1" x14ac:dyDescent="0.25"/>
    <row r="169575" s="12" customFormat="1" x14ac:dyDescent="0.25"/>
    <row r="169576" s="12" customFormat="1" x14ac:dyDescent="0.25"/>
    <row r="169577" s="12" customFormat="1" x14ac:dyDescent="0.25"/>
    <row r="169578" s="12" customFormat="1" x14ac:dyDescent="0.25"/>
    <row r="169579" s="12" customFormat="1" x14ac:dyDescent="0.25"/>
    <row r="169580" s="12" customFormat="1" x14ac:dyDescent="0.25"/>
    <row r="169581" s="12" customFormat="1" x14ac:dyDescent="0.25"/>
    <row r="169582" s="12" customFormat="1" x14ac:dyDescent="0.25"/>
    <row r="169583" s="12" customFormat="1" x14ac:dyDescent="0.25"/>
    <row r="169584" s="12" customFormat="1" x14ac:dyDescent="0.25"/>
    <row r="169585" s="12" customFormat="1" x14ac:dyDescent="0.25"/>
    <row r="169586" s="12" customFormat="1" x14ac:dyDescent="0.25"/>
    <row r="169587" s="12" customFormat="1" x14ac:dyDescent="0.25"/>
    <row r="169588" s="12" customFormat="1" x14ac:dyDescent="0.25"/>
    <row r="169589" s="12" customFormat="1" x14ac:dyDescent="0.25"/>
    <row r="169590" s="12" customFormat="1" x14ac:dyDescent="0.25"/>
    <row r="169591" s="12" customFormat="1" x14ac:dyDescent="0.25"/>
    <row r="169592" s="12" customFormat="1" x14ac:dyDescent="0.25"/>
    <row r="169593" s="12" customFormat="1" x14ac:dyDescent="0.25"/>
    <row r="169594" s="12" customFormat="1" x14ac:dyDescent="0.25"/>
    <row r="169595" s="12" customFormat="1" x14ac:dyDescent="0.25"/>
    <row r="169596" s="12" customFormat="1" x14ac:dyDescent="0.25"/>
    <row r="169597" s="12" customFormat="1" x14ac:dyDescent="0.25"/>
    <row r="169598" s="12" customFormat="1" x14ac:dyDescent="0.25"/>
    <row r="169599" s="12" customFormat="1" x14ac:dyDescent="0.25"/>
    <row r="169600" s="12" customFormat="1" x14ac:dyDescent="0.25"/>
    <row r="169601" s="12" customFormat="1" x14ac:dyDescent="0.25"/>
    <row r="169602" s="12" customFormat="1" x14ac:dyDescent="0.25"/>
    <row r="169603" s="12" customFormat="1" x14ac:dyDescent="0.25"/>
    <row r="169604" s="12" customFormat="1" x14ac:dyDescent="0.25"/>
    <row r="169605" s="12" customFormat="1" x14ac:dyDescent="0.25"/>
    <row r="169606" s="12" customFormat="1" x14ac:dyDescent="0.25"/>
    <row r="169607" s="12" customFormat="1" x14ac:dyDescent="0.25"/>
    <row r="169608" s="12" customFormat="1" x14ac:dyDescent="0.25"/>
    <row r="169609" s="12" customFormat="1" x14ac:dyDescent="0.25"/>
    <row r="169610" s="12" customFormat="1" x14ac:dyDescent="0.25"/>
    <row r="169611" s="12" customFormat="1" x14ac:dyDescent="0.25"/>
    <row r="169612" s="12" customFormat="1" x14ac:dyDescent="0.25"/>
    <row r="169613" s="12" customFormat="1" x14ac:dyDescent="0.25"/>
    <row r="169614" s="12" customFormat="1" x14ac:dyDescent="0.25"/>
    <row r="169615" s="12" customFormat="1" x14ac:dyDescent="0.25"/>
    <row r="169616" s="12" customFormat="1" x14ac:dyDescent="0.25"/>
    <row r="169617" s="12" customFormat="1" x14ac:dyDescent="0.25"/>
    <row r="169618" s="12" customFormat="1" x14ac:dyDescent="0.25"/>
    <row r="169619" s="12" customFormat="1" x14ac:dyDescent="0.25"/>
    <row r="169620" s="12" customFormat="1" x14ac:dyDescent="0.25"/>
    <row r="169621" s="12" customFormat="1" x14ac:dyDescent="0.25"/>
    <row r="169622" s="12" customFormat="1" x14ac:dyDescent="0.25"/>
    <row r="169623" s="12" customFormat="1" x14ac:dyDescent="0.25"/>
    <row r="169624" s="12" customFormat="1" x14ac:dyDescent="0.25"/>
    <row r="169625" s="12" customFormat="1" x14ac:dyDescent="0.25"/>
    <row r="169626" s="12" customFormat="1" x14ac:dyDescent="0.25"/>
    <row r="169627" s="12" customFormat="1" x14ac:dyDescent="0.25"/>
    <row r="169628" s="12" customFormat="1" x14ac:dyDescent="0.25"/>
    <row r="169629" s="12" customFormat="1" x14ac:dyDescent="0.25"/>
    <row r="169630" s="12" customFormat="1" x14ac:dyDescent="0.25"/>
    <row r="169631" s="12" customFormat="1" x14ac:dyDescent="0.25"/>
    <row r="169632" s="12" customFormat="1" x14ac:dyDescent="0.25"/>
    <row r="169633" s="12" customFormat="1" x14ac:dyDescent="0.25"/>
    <row r="169634" s="12" customFormat="1" x14ac:dyDescent="0.25"/>
    <row r="169635" s="12" customFormat="1" x14ac:dyDescent="0.25"/>
    <row r="169636" s="12" customFormat="1" x14ac:dyDescent="0.25"/>
    <row r="169637" s="12" customFormat="1" x14ac:dyDescent="0.25"/>
    <row r="169638" s="12" customFormat="1" x14ac:dyDescent="0.25"/>
    <row r="169639" s="12" customFormat="1" x14ac:dyDescent="0.25"/>
    <row r="169640" s="12" customFormat="1" x14ac:dyDescent="0.25"/>
    <row r="169641" s="12" customFormat="1" x14ac:dyDescent="0.25"/>
    <row r="169642" s="12" customFormat="1" x14ac:dyDescent="0.25"/>
    <row r="169643" s="12" customFormat="1" x14ac:dyDescent="0.25"/>
    <row r="169644" s="12" customFormat="1" x14ac:dyDescent="0.25"/>
    <row r="169645" s="12" customFormat="1" x14ac:dyDescent="0.25"/>
    <row r="169646" s="12" customFormat="1" x14ac:dyDescent="0.25"/>
    <row r="169647" s="12" customFormat="1" x14ac:dyDescent="0.25"/>
    <row r="169648" s="12" customFormat="1" x14ac:dyDescent="0.25"/>
    <row r="169649" s="12" customFormat="1" x14ac:dyDescent="0.25"/>
    <row r="169650" s="12" customFormat="1" x14ac:dyDescent="0.25"/>
    <row r="169651" s="12" customFormat="1" x14ac:dyDescent="0.25"/>
    <row r="169652" s="12" customFormat="1" x14ac:dyDescent="0.25"/>
    <row r="169653" s="12" customFormat="1" x14ac:dyDescent="0.25"/>
    <row r="169654" s="12" customFormat="1" x14ac:dyDescent="0.25"/>
    <row r="169655" s="12" customFormat="1" x14ac:dyDescent="0.25"/>
    <row r="169656" s="12" customFormat="1" x14ac:dyDescent="0.25"/>
    <row r="169657" s="12" customFormat="1" x14ac:dyDescent="0.25"/>
    <row r="169658" s="12" customFormat="1" x14ac:dyDescent="0.25"/>
    <row r="169659" s="12" customFormat="1" x14ac:dyDescent="0.25"/>
    <row r="169660" s="12" customFormat="1" x14ac:dyDescent="0.25"/>
    <row r="169661" s="12" customFormat="1" x14ac:dyDescent="0.25"/>
    <row r="169662" s="12" customFormat="1" x14ac:dyDescent="0.25"/>
    <row r="169663" s="12" customFormat="1" x14ac:dyDescent="0.25"/>
    <row r="169664" s="12" customFormat="1" x14ac:dyDescent="0.25"/>
    <row r="169665" s="12" customFormat="1" x14ac:dyDescent="0.25"/>
    <row r="169666" s="12" customFormat="1" x14ac:dyDescent="0.25"/>
    <row r="169667" s="12" customFormat="1" x14ac:dyDescent="0.25"/>
    <row r="169668" s="12" customFormat="1" x14ac:dyDescent="0.25"/>
    <row r="169669" s="12" customFormat="1" x14ac:dyDescent="0.25"/>
    <row r="169670" s="12" customFormat="1" x14ac:dyDescent="0.25"/>
    <row r="169671" s="12" customFormat="1" x14ac:dyDescent="0.25"/>
    <row r="169672" s="12" customFormat="1" x14ac:dyDescent="0.25"/>
    <row r="169673" s="12" customFormat="1" x14ac:dyDescent="0.25"/>
    <row r="169674" s="12" customFormat="1" x14ac:dyDescent="0.25"/>
    <row r="169675" s="12" customFormat="1" x14ac:dyDescent="0.25"/>
    <row r="169676" s="12" customFormat="1" x14ac:dyDescent="0.25"/>
    <row r="169677" s="12" customFormat="1" x14ac:dyDescent="0.25"/>
    <row r="169678" s="12" customFormat="1" x14ac:dyDescent="0.25"/>
    <row r="169679" s="12" customFormat="1" x14ac:dyDescent="0.25"/>
    <row r="169680" s="12" customFormat="1" x14ac:dyDescent="0.25"/>
    <row r="169681" s="12" customFormat="1" x14ac:dyDescent="0.25"/>
    <row r="169682" s="12" customFormat="1" x14ac:dyDescent="0.25"/>
    <row r="169683" s="12" customFormat="1" x14ac:dyDescent="0.25"/>
    <row r="169684" s="12" customFormat="1" x14ac:dyDescent="0.25"/>
    <row r="169685" s="12" customFormat="1" x14ac:dyDescent="0.25"/>
    <row r="169686" s="12" customFormat="1" x14ac:dyDescent="0.25"/>
    <row r="169687" s="12" customFormat="1" x14ac:dyDescent="0.25"/>
    <row r="169688" s="12" customFormat="1" x14ac:dyDescent="0.25"/>
    <row r="169689" s="12" customFormat="1" x14ac:dyDescent="0.25"/>
    <row r="169690" s="12" customFormat="1" x14ac:dyDescent="0.25"/>
    <row r="169691" s="12" customFormat="1" x14ac:dyDescent="0.25"/>
    <row r="169692" s="12" customFormat="1" x14ac:dyDescent="0.25"/>
    <row r="169693" s="12" customFormat="1" x14ac:dyDescent="0.25"/>
    <row r="169694" s="12" customFormat="1" x14ac:dyDescent="0.25"/>
    <row r="169695" s="12" customFormat="1" x14ac:dyDescent="0.25"/>
    <row r="169696" s="12" customFormat="1" x14ac:dyDescent="0.25"/>
    <row r="169697" s="12" customFormat="1" x14ac:dyDescent="0.25"/>
    <row r="169698" s="12" customFormat="1" x14ac:dyDescent="0.25"/>
    <row r="169699" s="12" customFormat="1" x14ac:dyDescent="0.25"/>
    <row r="169700" s="12" customFormat="1" x14ac:dyDescent="0.25"/>
    <row r="169701" s="12" customFormat="1" x14ac:dyDescent="0.25"/>
    <row r="169702" s="12" customFormat="1" x14ac:dyDescent="0.25"/>
    <row r="169703" s="12" customFormat="1" x14ac:dyDescent="0.25"/>
    <row r="169704" s="12" customFormat="1" x14ac:dyDescent="0.25"/>
    <row r="169705" s="12" customFormat="1" x14ac:dyDescent="0.25"/>
    <row r="169706" s="12" customFormat="1" x14ac:dyDescent="0.25"/>
    <row r="169707" s="12" customFormat="1" x14ac:dyDescent="0.25"/>
    <row r="169708" s="12" customFormat="1" x14ac:dyDescent="0.25"/>
    <row r="169709" s="12" customFormat="1" x14ac:dyDescent="0.25"/>
    <row r="169710" s="12" customFormat="1" x14ac:dyDescent="0.25"/>
    <row r="169711" s="12" customFormat="1" x14ac:dyDescent="0.25"/>
    <row r="169712" s="12" customFormat="1" x14ac:dyDescent="0.25"/>
    <row r="169713" s="12" customFormat="1" x14ac:dyDescent="0.25"/>
    <row r="169714" s="12" customFormat="1" x14ac:dyDescent="0.25"/>
    <row r="169715" s="12" customFormat="1" x14ac:dyDescent="0.25"/>
    <row r="169716" s="12" customFormat="1" x14ac:dyDescent="0.25"/>
    <row r="169717" s="12" customFormat="1" x14ac:dyDescent="0.25"/>
    <row r="169718" s="12" customFormat="1" x14ac:dyDescent="0.25"/>
    <row r="169719" s="12" customFormat="1" x14ac:dyDescent="0.25"/>
    <row r="169720" s="12" customFormat="1" x14ac:dyDescent="0.25"/>
    <row r="169721" s="12" customFormat="1" x14ac:dyDescent="0.25"/>
    <row r="169722" s="12" customFormat="1" x14ac:dyDescent="0.25"/>
    <row r="169723" s="12" customFormat="1" x14ac:dyDescent="0.25"/>
    <row r="169724" s="12" customFormat="1" x14ac:dyDescent="0.25"/>
    <row r="169725" s="12" customFormat="1" x14ac:dyDescent="0.25"/>
    <row r="169726" s="12" customFormat="1" x14ac:dyDescent="0.25"/>
    <row r="169727" s="12" customFormat="1" x14ac:dyDescent="0.25"/>
    <row r="169728" s="12" customFormat="1" x14ac:dyDescent="0.25"/>
    <row r="169729" s="12" customFormat="1" x14ac:dyDescent="0.25"/>
    <row r="169730" s="12" customFormat="1" x14ac:dyDescent="0.25"/>
    <row r="169731" s="12" customFormat="1" x14ac:dyDescent="0.25"/>
    <row r="169732" s="12" customFormat="1" x14ac:dyDescent="0.25"/>
    <row r="169733" s="12" customFormat="1" x14ac:dyDescent="0.25"/>
    <row r="169734" s="12" customFormat="1" x14ac:dyDescent="0.25"/>
    <row r="169735" s="12" customFormat="1" x14ac:dyDescent="0.25"/>
    <row r="169736" s="12" customFormat="1" x14ac:dyDescent="0.25"/>
    <row r="169737" s="12" customFormat="1" x14ac:dyDescent="0.25"/>
    <row r="169738" s="12" customFormat="1" x14ac:dyDescent="0.25"/>
    <row r="169739" s="12" customFormat="1" x14ac:dyDescent="0.25"/>
    <row r="169740" s="12" customFormat="1" x14ac:dyDescent="0.25"/>
    <row r="169741" s="12" customFormat="1" x14ac:dyDescent="0.25"/>
    <row r="169742" s="12" customFormat="1" x14ac:dyDescent="0.25"/>
    <row r="169743" s="12" customFormat="1" x14ac:dyDescent="0.25"/>
    <row r="169744" s="12" customFormat="1" x14ac:dyDescent="0.25"/>
    <row r="169745" s="12" customFormat="1" x14ac:dyDescent="0.25"/>
    <row r="169746" s="12" customFormat="1" x14ac:dyDescent="0.25"/>
    <row r="169747" s="12" customFormat="1" x14ac:dyDescent="0.25"/>
    <row r="169748" s="12" customFormat="1" x14ac:dyDescent="0.25"/>
    <row r="169749" s="12" customFormat="1" x14ac:dyDescent="0.25"/>
    <row r="169750" s="12" customFormat="1" x14ac:dyDescent="0.25"/>
    <row r="169751" s="12" customFormat="1" x14ac:dyDescent="0.25"/>
    <row r="169752" s="12" customFormat="1" x14ac:dyDescent="0.25"/>
    <row r="169753" s="12" customFormat="1" x14ac:dyDescent="0.25"/>
    <row r="169754" s="12" customFormat="1" x14ac:dyDescent="0.25"/>
    <row r="169755" s="12" customFormat="1" x14ac:dyDescent="0.25"/>
    <row r="169756" s="12" customFormat="1" x14ac:dyDescent="0.25"/>
    <row r="169757" s="12" customFormat="1" x14ac:dyDescent="0.25"/>
    <row r="169758" s="12" customFormat="1" x14ac:dyDescent="0.25"/>
    <row r="169759" s="12" customFormat="1" x14ac:dyDescent="0.25"/>
    <row r="169760" s="12" customFormat="1" x14ac:dyDescent="0.25"/>
    <row r="169761" s="12" customFormat="1" x14ac:dyDescent="0.25"/>
    <row r="169762" s="12" customFormat="1" x14ac:dyDescent="0.25"/>
    <row r="169763" s="12" customFormat="1" x14ac:dyDescent="0.25"/>
    <row r="169764" s="12" customFormat="1" x14ac:dyDescent="0.25"/>
    <row r="169765" s="12" customFormat="1" x14ac:dyDescent="0.25"/>
    <row r="169766" s="12" customFormat="1" x14ac:dyDescent="0.25"/>
    <row r="169767" s="12" customFormat="1" x14ac:dyDescent="0.25"/>
    <row r="169768" s="12" customFormat="1" x14ac:dyDescent="0.25"/>
    <row r="169769" s="12" customFormat="1" x14ac:dyDescent="0.25"/>
    <row r="169770" s="12" customFormat="1" x14ac:dyDescent="0.25"/>
    <row r="169771" s="12" customFormat="1" x14ac:dyDescent="0.25"/>
    <row r="169772" s="12" customFormat="1" x14ac:dyDescent="0.25"/>
    <row r="169773" s="12" customFormat="1" x14ac:dyDescent="0.25"/>
    <row r="169774" s="12" customFormat="1" x14ac:dyDescent="0.25"/>
    <row r="169775" s="12" customFormat="1" x14ac:dyDescent="0.25"/>
    <row r="169776" s="12" customFormat="1" x14ac:dyDescent="0.25"/>
    <row r="169777" s="12" customFormat="1" x14ac:dyDescent="0.25"/>
    <row r="169778" s="12" customFormat="1" x14ac:dyDescent="0.25"/>
    <row r="169779" s="12" customFormat="1" x14ac:dyDescent="0.25"/>
    <row r="169780" s="12" customFormat="1" x14ac:dyDescent="0.25"/>
    <row r="169781" s="12" customFormat="1" x14ac:dyDescent="0.25"/>
    <row r="169782" s="12" customFormat="1" x14ac:dyDescent="0.25"/>
    <row r="169783" s="12" customFormat="1" x14ac:dyDescent="0.25"/>
    <row r="169784" s="12" customFormat="1" x14ac:dyDescent="0.25"/>
    <row r="169785" s="12" customFormat="1" x14ac:dyDescent="0.25"/>
    <row r="169786" s="12" customFormat="1" x14ac:dyDescent="0.25"/>
    <row r="169787" s="12" customFormat="1" x14ac:dyDescent="0.25"/>
    <row r="169788" s="12" customFormat="1" x14ac:dyDescent="0.25"/>
    <row r="169789" s="12" customFormat="1" x14ac:dyDescent="0.25"/>
    <row r="169790" s="12" customFormat="1" x14ac:dyDescent="0.25"/>
    <row r="169791" s="12" customFormat="1" x14ac:dyDescent="0.25"/>
    <row r="169792" s="12" customFormat="1" x14ac:dyDescent="0.25"/>
    <row r="169793" s="12" customFormat="1" x14ac:dyDescent="0.25"/>
    <row r="169794" s="12" customFormat="1" x14ac:dyDescent="0.25"/>
    <row r="169795" s="12" customFormat="1" x14ac:dyDescent="0.25"/>
    <row r="169796" s="12" customFormat="1" x14ac:dyDescent="0.25"/>
    <row r="169797" s="12" customFormat="1" x14ac:dyDescent="0.25"/>
    <row r="169798" s="12" customFormat="1" x14ac:dyDescent="0.25"/>
    <row r="169799" s="12" customFormat="1" x14ac:dyDescent="0.25"/>
    <row r="169800" s="12" customFormat="1" x14ac:dyDescent="0.25"/>
    <row r="169801" s="12" customFormat="1" x14ac:dyDescent="0.25"/>
    <row r="169802" s="12" customFormat="1" x14ac:dyDescent="0.25"/>
    <row r="169803" s="12" customFormat="1" x14ac:dyDescent="0.25"/>
    <row r="169804" s="12" customFormat="1" x14ac:dyDescent="0.25"/>
    <row r="169805" s="12" customFormat="1" x14ac:dyDescent="0.25"/>
    <row r="169806" s="12" customFormat="1" x14ac:dyDescent="0.25"/>
    <row r="169807" s="12" customFormat="1" x14ac:dyDescent="0.25"/>
    <row r="169808" s="12" customFormat="1" x14ac:dyDescent="0.25"/>
    <row r="169809" s="12" customFormat="1" x14ac:dyDescent="0.25"/>
    <row r="169810" s="12" customFormat="1" x14ac:dyDescent="0.25"/>
    <row r="169811" s="12" customFormat="1" x14ac:dyDescent="0.25"/>
    <row r="169812" s="12" customFormat="1" x14ac:dyDescent="0.25"/>
    <row r="169813" s="12" customFormat="1" x14ac:dyDescent="0.25"/>
    <row r="169814" s="12" customFormat="1" x14ac:dyDescent="0.25"/>
    <row r="169815" s="12" customFormat="1" x14ac:dyDescent="0.25"/>
    <row r="169816" s="12" customFormat="1" x14ac:dyDescent="0.25"/>
    <row r="169817" s="12" customFormat="1" x14ac:dyDescent="0.25"/>
    <row r="169818" s="12" customFormat="1" x14ac:dyDescent="0.25"/>
    <row r="169819" s="12" customFormat="1" x14ac:dyDescent="0.25"/>
    <row r="169820" s="12" customFormat="1" x14ac:dyDescent="0.25"/>
    <row r="169821" s="12" customFormat="1" x14ac:dyDescent="0.25"/>
    <row r="169822" s="12" customFormat="1" x14ac:dyDescent="0.25"/>
    <row r="169823" s="12" customFormat="1" x14ac:dyDescent="0.25"/>
    <row r="169824" s="12" customFormat="1" x14ac:dyDescent="0.25"/>
    <row r="169825" s="12" customFormat="1" x14ac:dyDescent="0.25"/>
    <row r="169826" s="12" customFormat="1" x14ac:dyDescent="0.25"/>
    <row r="169827" s="12" customFormat="1" x14ac:dyDescent="0.25"/>
    <row r="169828" s="12" customFormat="1" x14ac:dyDescent="0.25"/>
    <row r="169829" s="12" customFormat="1" x14ac:dyDescent="0.25"/>
    <row r="169830" s="12" customFormat="1" x14ac:dyDescent="0.25"/>
    <row r="169831" s="12" customFormat="1" x14ac:dyDescent="0.25"/>
    <row r="169832" s="12" customFormat="1" x14ac:dyDescent="0.25"/>
    <row r="169833" s="12" customFormat="1" x14ac:dyDescent="0.25"/>
    <row r="169834" s="12" customFormat="1" x14ac:dyDescent="0.25"/>
    <row r="169835" s="12" customFormat="1" x14ac:dyDescent="0.25"/>
    <row r="169836" s="12" customFormat="1" x14ac:dyDescent="0.25"/>
    <row r="169837" s="12" customFormat="1" x14ac:dyDescent="0.25"/>
    <row r="169838" s="12" customFormat="1" x14ac:dyDescent="0.25"/>
    <row r="169839" s="12" customFormat="1" x14ac:dyDescent="0.25"/>
    <row r="169840" s="12" customFormat="1" x14ac:dyDescent="0.25"/>
    <row r="169841" s="12" customFormat="1" x14ac:dyDescent="0.25"/>
    <row r="169842" s="12" customFormat="1" x14ac:dyDescent="0.25"/>
    <row r="169843" s="12" customFormat="1" x14ac:dyDescent="0.25"/>
    <row r="169844" s="12" customFormat="1" x14ac:dyDescent="0.25"/>
    <row r="169845" s="12" customFormat="1" x14ac:dyDescent="0.25"/>
    <row r="169846" s="12" customFormat="1" x14ac:dyDescent="0.25"/>
    <row r="169847" s="12" customFormat="1" x14ac:dyDescent="0.25"/>
    <row r="169848" s="12" customFormat="1" x14ac:dyDescent="0.25"/>
    <row r="169849" s="12" customFormat="1" x14ac:dyDescent="0.25"/>
    <row r="169850" s="12" customFormat="1" x14ac:dyDescent="0.25"/>
    <row r="169851" s="12" customFormat="1" x14ac:dyDescent="0.25"/>
    <row r="169852" s="12" customFormat="1" x14ac:dyDescent="0.25"/>
    <row r="169853" s="12" customFormat="1" x14ac:dyDescent="0.25"/>
    <row r="169854" s="12" customFormat="1" x14ac:dyDescent="0.25"/>
    <row r="169855" s="12" customFormat="1" x14ac:dyDescent="0.25"/>
    <row r="169856" s="12" customFormat="1" x14ac:dyDescent="0.25"/>
    <row r="169857" s="12" customFormat="1" x14ac:dyDescent="0.25"/>
    <row r="169858" s="12" customFormat="1" x14ac:dyDescent="0.25"/>
    <row r="169859" s="12" customFormat="1" x14ac:dyDescent="0.25"/>
    <row r="169860" s="12" customFormat="1" x14ac:dyDescent="0.25"/>
    <row r="169861" s="12" customFormat="1" x14ac:dyDescent="0.25"/>
    <row r="169862" s="12" customFormat="1" x14ac:dyDescent="0.25"/>
    <row r="169863" s="12" customFormat="1" x14ac:dyDescent="0.25"/>
    <row r="169864" s="12" customFormat="1" x14ac:dyDescent="0.25"/>
    <row r="169865" s="12" customFormat="1" x14ac:dyDescent="0.25"/>
    <row r="169866" s="12" customFormat="1" x14ac:dyDescent="0.25"/>
    <row r="169867" s="12" customFormat="1" x14ac:dyDescent="0.25"/>
    <row r="169868" s="12" customFormat="1" x14ac:dyDescent="0.25"/>
    <row r="169869" s="12" customFormat="1" x14ac:dyDescent="0.25"/>
    <row r="169870" s="12" customFormat="1" x14ac:dyDescent="0.25"/>
    <row r="169871" s="12" customFormat="1" x14ac:dyDescent="0.25"/>
    <row r="169872" s="12" customFormat="1" x14ac:dyDescent="0.25"/>
    <row r="169873" s="12" customFormat="1" x14ac:dyDescent="0.25"/>
    <row r="169874" s="12" customFormat="1" x14ac:dyDescent="0.25"/>
    <row r="169875" s="12" customFormat="1" x14ac:dyDescent="0.25"/>
    <row r="169876" s="12" customFormat="1" x14ac:dyDescent="0.25"/>
    <row r="169877" s="12" customFormat="1" x14ac:dyDescent="0.25"/>
    <row r="169878" s="12" customFormat="1" x14ac:dyDescent="0.25"/>
    <row r="169879" s="12" customFormat="1" x14ac:dyDescent="0.25"/>
    <row r="169880" s="12" customFormat="1" x14ac:dyDescent="0.25"/>
    <row r="169881" s="12" customFormat="1" x14ac:dyDescent="0.25"/>
    <row r="169882" s="12" customFormat="1" x14ac:dyDescent="0.25"/>
    <row r="169883" s="12" customFormat="1" x14ac:dyDescent="0.25"/>
    <row r="169884" s="12" customFormat="1" x14ac:dyDescent="0.25"/>
    <row r="169885" s="12" customFormat="1" x14ac:dyDescent="0.25"/>
    <row r="169886" s="12" customFormat="1" x14ac:dyDescent="0.25"/>
    <row r="169887" s="12" customFormat="1" x14ac:dyDescent="0.25"/>
    <row r="169888" s="12" customFormat="1" x14ac:dyDescent="0.25"/>
    <row r="169889" s="12" customFormat="1" x14ac:dyDescent="0.25"/>
    <row r="169890" s="12" customFormat="1" x14ac:dyDescent="0.25"/>
    <row r="169891" s="12" customFormat="1" x14ac:dyDescent="0.25"/>
    <row r="169892" s="12" customFormat="1" x14ac:dyDescent="0.25"/>
    <row r="169893" s="12" customFormat="1" x14ac:dyDescent="0.25"/>
    <row r="169894" s="12" customFormat="1" x14ac:dyDescent="0.25"/>
    <row r="169895" s="12" customFormat="1" x14ac:dyDescent="0.25"/>
    <row r="169896" s="12" customFormat="1" x14ac:dyDescent="0.25"/>
    <row r="169897" s="12" customFormat="1" x14ac:dyDescent="0.25"/>
    <row r="169898" s="12" customFormat="1" x14ac:dyDescent="0.25"/>
    <row r="169899" s="12" customFormat="1" x14ac:dyDescent="0.25"/>
    <row r="169900" s="12" customFormat="1" x14ac:dyDescent="0.25"/>
    <row r="169901" s="12" customFormat="1" x14ac:dyDescent="0.25"/>
    <row r="169902" s="12" customFormat="1" x14ac:dyDescent="0.25"/>
    <row r="169903" s="12" customFormat="1" x14ac:dyDescent="0.25"/>
    <row r="169904" s="12" customFormat="1" x14ac:dyDescent="0.25"/>
    <row r="169905" s="12" customFormat="1" x14ac:dyDescent="0.25"/>
    <row r="169906" s="12" customFormat="1" x14ac:dyDescent="0.25"/>
    <row r="169907" s="12" customFormat="1" x14ac:dyDescent="0.25"/>
    <row r="169908" s="12" customFormat="1" x14ac:dyDescent="0.25"/>
    <row r="169909" s="12" customFormat="1" x14ac:dyDescent="0.25"/>
    <row r="169910" s="12" customFormat="1" x14ac:dyDescent="0.25"/>
    <row r="169911" s="12" customFormat="1" x14ac:dyDescent="0.25"/>
    <row r="169912" s="12" customFormat="1" x14ac:dyDescent="0.25"/>
    <row r="169913" s="12" customFormat="1" x14ac:dyDescent="0.25"/>
    <row r="169914" s="12" customFormat="1" x14ac:dyDescent="0.25"/>
    <row r="169915" s="12" customFormat="1" x14ac:dyDescent="0.25"/>
    <row r="169916" s="12" customFormat="1" x14ac:dyDescent="0.25"/>
    <row r="169917" s="12" customFormat="1" x14ac:dyDescent="0.25"/>
    <row r="169918" s="12" customFormat="1" x14ac:dyDescent="0.25"/>
    <row r="169919" s="12" customFormat="1" x14ac:dyDescent="0.25"/>
    <row r="169920" s="12" customFormat="1" x14ac:dyDescent="0.25"/>
    <row r="169921" s="12" customFormat="1" x14ac:dyDescent="0.25"/>
    <row r="169922" s="12" customFormat="1" x14ac:dyDescent="0.25"/>
    <row r="169923" s="12" customFormat="1" x14ac:dyDescent="0.25"/>
    <row r="169924" s="12" customFormat="1" x14ac:dyDescent="0.25"/>
    <row r="169925" s="12" customFormat="1" x14ac:dyDescent="0.25"/>
    <row r="169926" s="12" customFormat="1" x14ac:dyDescent="0.25"/>
    <row r="169927" s="12" customFormat="1" x14ac:dyDescent="0.25"/>
    <row r="169928" s="12" customFormat="1" x14ac:dyDescent="0.25"/>
    <row r="169929" s="12" customFormat="1" x14ac:dyDescent="0.25"/>
    <row r="169930" s="12" customFormat="1" x14ac:dyDescent="0.25"/>
    <row r="169931" s="12" customFormat="1" x14ac:dyDescent="0.25"/>
    <row r="169932" s="12" customFormat="1" x14ac:dyDescent="0.25"/>
    <row r="169933" s="12" customFormat="1" x14ac:dyDescent="0.25"/>
    <row r="169934" s="12" customFormat="1" x14ac:dyDescent="0.25"/>
    <row r="169935" s="12" customFormat="1" x14ac:dyDescent="0.25"/>
    <row r="169936" s="12" customFormat="1" x14ac:dyDescent="0.25"/>
    <row r="169937" s="12" customFormat="1" x14ac:dyDescent="0.25"/>
    <row r="169938" s="12" customFormat="1" x14ac:dyDescent="0.25"/>
    <row r="169939" s="12" customFormat="1" x14ac:dyDescent="0.25"/>
    <row r="169940" s="12" customFormat="1" x14ac:dyDescent="0.25"/>
    <row r="169941" s="12" customFormat="1" x14ac:dyDescent="0.25"/>
    <row r="169942" s="12" customFormat="1" x14ac:dyDescent="0.25"/>
    <row r="169943" s="12" customFormat="1" x14ac:dyDescent="0.25"/>
    <row r="169944" s="12" customFormat="1" x14ac:dyDescent="0.25"/>
    <row r="169945" s="12" customFormat="1" x14ac:dyDescent="0.25"/>
    <row r="169946" s="12" customFormat="1" x14ac:dyDescent="0.25"/>
    <row r="169947" s="12" customFormat="1" x14ac:dyDescent="0.25"/>
    <row r="169948" s="12" customFormat="1" x14ac:dyDescent="0.25"/>
    <row r="169949" s="12" customFormat="1" x14ac:dyDescent="0.25"/>
    <row r="169950" s="12" customFormat="1" x14ac:dyDescent="0.25"/>
    <row r="169951" s="12" customFormat="1" x14ac:dyDescent="0.25"/>
    <row r="169952" s="12" customFormat="1" x14ac:dyDescent="0.25"/>
    <row r="169953" s="12" customFormat="1" x14ac:dyDescent="0.25"/>
    <row r="169954" s="12" customFormat="1" x14ac:dyDescent="0.25"/>
    <row r="169955" s="12" customFormat="1" x14ac:dyDescent="0.25"/>
    <row r="169956" s="12" customFormat="1" x14ac:dyDescent="0.25"/>
    <row r="169957" s="12" customFormat="1" x14ac:dyDescent="0.25"/>
    <row r="169958" s="12" customFormat="1" x14ac:dyDescent="0.25"/>
    <row r="169959" s="12" customFormat="1" x14ac:dyDescent="0.25"/>
    <row r="169960" s="12" customFormat="1" x14ac:dyDescent="0.25"/>
    <row r="169961" s="12" customFormat="1" x14ac:dyDescent="0.25"/>
    <row r="169962" s="12" customFormat="1" x14ac:dyDescent="0.25"/>
    <row r="169963" s="12" customFormat="1" x14ac:dyDescent="0.25"/>
    <row r="169964" s="12" customFormat="1" x14ac:dyDescent="0.25"/>
    <row r="169965" s="12" customFormat="1" x14ac:dyDescent="0.25"/>
    <row r="169966" s="12" customFormat="1" x14ac:dyDescent="0.25"/>
    <row r="169967" s="12" customFormat="1" x14ac:dyDescent="0.25"/>
    <row r="169968" s="12" customFormat="1" x14ac:dyDescent="0.25"/>
    <row r="169969" s="12" customFormat="1" x14ac:dyDescent="0.25"/>
    <row r="169970" s="12" customFormat="1" x14ac:dyDescent="0.25"/>
    <row r="169971" s="12" customFormat="1" x14ac:dyDescent="0.25"/>
    <row r="169972" s="12" customFormat="1" x14ac:dyDescent="0.25"/>
    <row r="169973" s="12" customFormat="1" x14ac:dyDescent="0.25"/>
    <row r="169974" s="12" customFormat="1" x14ac:dyDescent="0.25"/>
    <row r="169975" s="12" customFormat="1" x14ac:dyDescent="0.25"/>
    <row r="169976" s="12" customFormat="1" x14ac:dyDescent="0.25"/>
    <row r="169977" s="12" customFormat="1" x14ac:dyDescent="0.25"/>
    <row r="169978" s="12" customFormat="1" x14ac:dyDescent="0.25"/>
    <row r="169979" s="12" customFormat="1" x14ac:dyDescent="0.25"/>
    <row r="169980" s="12" customFormat="1" x14ac:dyDescent="0.25"/>
    <row r="169981" s="12" customFormat="1" x14ac:dyDescent="0.25"/>
    <row r="169982" s="12" customFormat="1" x14ac:dyDescent="0.25"/>
    <row r="169983" s="12" customFormat="1" x14ac:dyDescent="0.25"/>
    <row r="169984" s="12" customFormat="1" x14ac:dyDescent="0.25"/>
    <row r="169985" s="12" customFormat="1" x14ac:dyDescent="0.25"/>
    <row r="169986" s="12" customFormat="1" x14ac:dyDescent="0.25"/>
    <row r="169987" s="12" customFormat="1" x14ac:dyDescent="0.25"/>
    <row r="169988" s="12" customFormat="1" x14ac:dyDescent="0.25"/>
    <row r="169989" s="12" customFormat="1" x14ac:dyDescent="0.25"/>
    <row r="169990" s="12" customFormat="1" x14ac:dyDescent="0.25"/>
    <row r="169991" s="12" customFormat="1" x14ac:dyDescent="0.25"/>
    <row r="169992" s="12" customFormat="1" x14ac:dyDescent="0.25"/>
    <row r="169993" s="12" customFormat="1" x14ac:dyDescent="0.25"/>
    <row r="169994" s="12" customFormat="1" x14ac:dyDescent="0.25"/>
    <row r="169995" s="12" customFormat="1" x14ac:dyDescent="0.25"/>
    <row r="169996" s="12" customFormat="1" x14ac:dyDescent="0.25"/>
    <row r="169997" s="12" customFormat="1" x14ac:dyDescent="0.25"/>
    <row r="169998" s="12" customFormat="1" x14ac:dyDescent="0.25"/>
    <row r="169999" s="12" customFormat="1" x14ac:dyDescent="0.25"/>
    <row r="170000" s="12" customFormat="1" x14ac:dyDescent="0.25"/>
    <row r="170001" s="12" customFormat="1" x14ac:dyDescent="0.25"/>
    <row r="170002" s="12" customFormat="1" x14ac:dyDescent="0.25"/>
    <row r="170003" s="12" customFormat="1" x14ac:dyDescent="0.25"/>
    <row r="170004" s="12" customFormat="1" x14ac:dyDescent="0.25"/>
    <row r="170005" s="12" customFormat="1" x14ac:dyDescent="0.25"/>
    <row r="170006" s="12" customFormat="1" x14ac:dyDescent="0.25"/>
    <row r="170007" s="12" customFormat="1" x14ac:dyDescent="0.25"/>
    <row r="170008" s="12" customFormat="1" x14ac:dyDescent="0.25"/>
    <row r="170009" s="12" customFormat="1" x14ac:dyDescent="0.25"/>
    <row r="170010" s="12" customFormat="1" x14ac:dyDescent="0.25"/>
    <row r="170011" s="12" customFormat="1" x14ac:dyDescent="0.25"/>
    <row r="170012" s="12" customFormat="1" x14ac:dyDescent="0.25"/>
    <row r="170013" s="12" customFormat="1" x14ac:dyDescent="0.25"/>
    <row r="170014" s="12" customFormat="1" x14ac:dyDescent="0.25"/>
    <row r="170015" s="12" customFormat="1" x14ac:dyDescent="0.25"/>
    <row r="170016" s="12" customFormat="1" x14ac:dyDescent="0.25"/>
    <row r="170017" s="12" customFormat="1" x14ac:dyDescent="0.25"/>
    <row r="170018" s="12" customFormat="1" x14ac:dyDescent="0.25"/>
    <row r="170019" s="12" customFormat="1" x14ac:dyDescent="0.25"/>
    <row r="170020" s="12" customFormat="1" x14ac:dyDescent="0.25"/>
    <row r="170021" s="12" customFormat="1" x14ac:dyDescent="0.25"/>
    <row r="170022" s="12" customFormat="1" x14ac:dyDescent="0.25"/>
    <row r="170023" s="12" customFormat="1" x14ac:dyDescent="0.25"/>
    <row r="170024" s="12" customFormat="1" x14ac:dyDescent="0.25"/>
    <row r="170025" s="12" customFormat="1" x14ac:dyDescent="0.25"/>
    <row r="170026" s="12" customFormat="1" x14ac:dyDescent="0.25"/>
    <row r="170027" s="12" customFormat="1" x14ac:dyDescent="0.25"/>
    <row r="170028" s="12" customFormat="1" x14ac:dyDescent="0.25"/>
    <row r="170029" s="12" customFormat="1" x14ac:dyDescent="0.25"/>
    <row r="170030" s="12" customFormat="1" x14ac:dyDescent="0.25"/>
    <row r="170031" s="12" customFormat="1" x14ac:dyDescent="0.25"/>
    <row r="170032" s="12" customFormat="1" x14ac:dyDescent="0.25"/>
    <row r="170033" s="12" customFormat="1" x14ac:dyDescent="0.25"/>
    <row r="170034" s="12" customFormat="1" x14ac:dyDescent="0.25"/>
    <row r="170035" s="12" customFormat="1" x14ac:dyDescent="0.25"/>
    <row r="170036" s="12" customFormat="1" x14ac:dyDescent="0.25"/>
    <row r="170037" s="12" customFormat="1" x14ac:dyDescent="0.25"/>
    <row r="170038" s="12" customFormat="1" x14ac:dyDescent="0.25"/>
    <row r="170039" s="12" customFormat="1" x14ac:dyDescent="0.25"/>
    <row r="170040" s="12" customFormat="1" x14ac:dyDescent="0.25"/>
    <row r="170041" s="12" customFormat="1" x14ac:dyDescent="0.25"/>
    <row r="170042" s="12" customFormat="1" x14ac:dyDescent="0.25"/>
    <row r="170043" s="12" customFormat="1" x14ac:dyDescent="0.25"/>
    <row r="170044" s="12" customFormat="1" x14ac:dyDescent="0.25"/>
    <row r="170045" s="12" customFormat="1" x14ac:dyDescent="0.25"/>
    <row r="170046" s="12" customFormat="1" x14ac:dyDescent="0.25"/>
    <row r="170047" s="12" customFormat="1" x14ac:dyDescent="0.25"/>
    <row r="170048" s="12" customFormat="1" x14ac:dyDescent="0.25"/>
    <row r="170049" s="12" customFormat="1" x14ac:dyDescent="0.25"/>
    <row r="170050" s="12" customFormat="1" x14ac:dyDescent="0.25"/>
    <row r="170051" s="12" customFormat="1" x14ac:dyDescent="0.25"/>
    <row r="170052" s="12" customFormat="1" x14ac:dyDescent="0.25"/>
    <row r="170053" s="12" customFormat="1" x14ac:dyDescent="0.25"/>
    <row r="170054" s="12" customFormat="1" x14ac:dyDescent="0.25"/>
    <row r="170055" s="12" customFormat="1" x14ac:dyDescent="0.25"/>
    <row r="170056" s="12" customFormat="1" x14ac:dyDescent="0.25"/>
    <row r="170057" s="12" customFormat="1" x14ac:dyDescent="0.25"/>
    <row r="170058" s="12" customFormat="1" x14ac:dyDescent="0.25"/>
    <row r="170059" s="12" customFormat="1" x14ac:dyDescent="0.25"/>
    <row r="170060" s="12" customFormat="1" x14ac:dyDescent="0.25"/>
    <row r="170061" s="12" customFormat="1" x14ac:dyDescent="0.25"/>
    <row r="170062" s="12" customFormat="1" x14ac:dyDescent="0.25"/>
    <row r="170063" s="12" customFormat="1" x14ac:dyDescent="0.25"/>
    <row r="170064" s="12" customFormat="1" x14ac:dyDescent="0.25"/>
    <row r="170065" s="12" customFormat="1" x14ac:dyDescent="0.25"/>
    <row r="170066" s="12" customFormat="1" x14ac:dyDescent="0.25"/>
    <row r="170067" s="12" customFormat="1" x14ac:dyDescent="0.25"/>
    <row r="170068" s="12" customFormat="1" x14ac:dyDescent="0.25"/>
    <row r="170069" s="12" customFormat="1" x14ac:dyDescent="0.25"/>
    <row r="170070" s="12" customFormat="1" x14ac:dyDescent="0.25"/>
    <row r="170071" s="12" customFormat="1" x14ac:dyDescent="0.25"/>
    <row r="170072" s="12" customFormat="1" x14ac:dyDescent="0.25"/>
    <row r="170073" s="12" customFormat="1" x14ac:dyDescent="0.25"/>
    <row r="170074" s="12" customFormat="1" x14ac:dyDescent="0.25"/>
    <row r="170075" s="12" customFormat="1" x14ac:dyDescent="0.25"/>
    <row r="170076" s="12" customFormat="1" x14ac:dyDescent="0.25"/>
    <row r="170077" s="12" customFormat="1" x14ac:dyDescent="0.25"/>
    <row r="170078" s="12" customFormat="1" x14ac:dyDescent="0.25"/>
    <row r="170079" s="12" customFormat="1" x14ac:dyDescent="0.25"/>
    <row r="170080" s="12" customFormat="1" x14ac:dyDescent="0.25"/>
    <row r="170081" s="12" customFormat="1" x14ac:dyDescent="0.25"/>
    <row r="170082" s="12" customFormat="1" x14ac:dyDescent="0.25"/>
    <row r="170083" s="12" customFormat="1" x14ac:dyDescent="0.25"/>
    <row r="170084" s="12" customFormat="1" x14ac:dyDescent="0.25"/>
    <row r="170085" s="12" customFormat="1" x14ac:dyDescent="0.25"/>
    <row r="170086" s="12" customFormat="1" x14ac:dyDescent="0.25"/>
    <row r="170087" s="12" customFormat="1" x14ac:dyDescent="0.25"/>
    <row r="170088" s="12" customFormat="1" x14ac:dyDescent="0.25"/>
    <row r="170089" s="12" customFormat="1" x14ac:dyDescent="0.25"/>
    <row r="170090" s="12" customFormat="1" x14ac:dyDescent="0.25"/>
    <row r="170091" s="12" customFormat="1" x14ac:dyDescent="0.25"/>
    <row r="170092" s="12" customFormat="1" x14ac:dyDescent="0.25"/>
    <row r="170093" s="12" customFormat="1" x14ac:dyDescent="0.25"/>
    <row r="170094" s="12" customFormat="1" x14ac:dyDescent="0.25"/>
    <row r="170095" s="12" customFormat="1" x14ac:dyDescent="0.25"/>
    <row r="170096" s="12" customFormat="1" x14ac:dyDescent="0.25"/>
    <row r="170097" s="12" customFormat="1" x14ac:dyDescent="0.25"/>
    <row r="170098" s="12" customFormat="1" x14ac:dyDescent="0.25"/>
    <row r="170099" s="12" customFormat="1" x14ac:dyDescent="0.25"/>
    <row r="170100" s="12" customFormat="1" x14ac:dyDescent="0.25"/>
    <row r="170101" s="12" customFormat="1" x14ac:dyDescent="0.25"/>
    <row r="170102" s="12" customFormat="1" x14ac:dyDescent="0.25"/>
    <row r="170103" s="12" customFormat="1" x14ac:dyDescent="0.25"/>
    <row r="170104" s="12" customFormat="1" x14ac:dyDescent="0.25"/>
    <row r="170105" s="12" customFormat="1" x14ac:dyDescent="0.25"/>
    <row r="170106" s="12" customFormat="1" x14ac:dyDescent="0.25"/>
    <row r="170107" s="12" customFormat="1" x14ac:dyDescent="0.25"/>
    <row r="170108" s="12" customFormat="1" x14ac:dyDescent="0.25"/>
    <row r="170109" s="12" customFormat="1" x14ac:dyDescent="0.25"/>
    <row r="170110" s="12" customFormat="1" x14ac:dyDescent="0.25"/>
    <row r="170111" s="12" customFormat="1" x14ac:dyDescent="0.25"/>
    <row r="170112" s="12" customFormat="1" x14ac:dyDescent="0.25"/>
    <row r="170113" s="12" customFormat="1" x14ac:dyDescent="0.25"/>
    <row r="170114" s="12" customFormat="1" x14ac:dyDescent="0.25"/>
    <row r="170115" s="12" customFormat="1" x14ac:dyDescent="0.25"/>
    <row r="170116" s="12" customFormat="1" x14ac:dyDescent="0.25"/>
    <row r="170117" s="12" customFormat="1" x14ac:dyDescent="0.25"/>
    <row r="170118" s="12" customFormat="1" x14ac:dyDescent="0.25"/>
    <row r="170119" s="12" customFormat="1" x14ac:dyDescent="0.25"/>
    <row r="170120" s="12" customFormat="1" x14ac:dyDescent="0.25"/>
    <row r="170121" s="12" customFormat="1" x14ac:dyDescent="0.25"/>
    <row r="170122" s="12" customFormat="1" x14ac:dyDescent="0.25"/>
    <row r="170123" s="12" customFormat="1" x14ac:dyDescent="0.25"/>
    <row r="170124" s="12" customFormat="1" x14ac:dyDescent="0.25"/>
    <row r="170125" s="12" customFormat="1" x14ac:dyDescent="0.25"/>
    <row r="170126" s="12" customFormat="1" x14ac:dyDescent="0.25"/>
    <row r="170127" s="12" customFormat="1" x14ac:dyDescent="0.25"/>
    <row r="170128" s="12" customFormat="1" x14ac:dyDescent="0.25"/>
    <row r="170129" s="12" customFormat="1" x14ac:dyDescent="0.25"/>
    <row r="170130" s="12" customFormat="1" x14ac:dyDescent="0.25"/>
    <row r="170131" s="12" customFormat="1" x14ac:dyDescent="0.25"/>
    <row r="170132" s="12" customFormat="1" x14ac:dyDescent="0.25"/>
    <row r="170133" s="12" customFormat="1" x14ac:dyDescent="0.25"/>
    <row r="170134" s="12" customFormat="1" x14ac:dyDescent="0.25"/>
    <row r="170135" s="12" customFormat="1" x14ac:dyDescent="0.25"/>
    <row r="170136" s="12" customFormat="1" x14ac:dyDescent="0.25"/>
    <row r="170137" s="12" customFormat="1" x14ac:dyDescent="0.25"/>
    <row r="170138" s="12" customFormat="1" x14ac:dyDescent="0.25"/>
    <row r="170139" s="12" customFormat="1" x14ac:dyDescent="0.25"/>
    <row r="170140" s="12" customFormat="1" x14ac:dyDescent="0.25"/>
    <row r="170141" s="12" customFormat="1" x14ac:dyDescent="0.25"/>
    <row r="170142" s="12" customFormat="1" x14ac:dyDescent="0.25"/>
    <row r="170143" s="12" customFormat="1" x14ac:dyDescent="0.25"/>
    <row r="170144" s="12" customFormat="1" x14ac:dyDescent="0.25"/>
    <row r="170145" s="12" customFormat="1" x14ac:dyDescent="0.25"/>
    <row r="170146" s="12" customFormat="1" x14ac:dyDescent="0.25"/>
    <row r="170147" s="12" customFormat="1" x14ac:dyDescent="0.25"/>
    <row r="170148" s="12" customFormat="1" x14ac:dyDescent="0.25"/>
    <row r="170149" s="12" customFormat="1" x14ac:dyDescent="0.25"/>
    <row r="170150" s="12" customFormat="1" x14ac:dyDescent="0.25"/>
    <row r="170151" s="12" customFormat="1" x14ac:dyDescent="0.25"/>
    <row r="170152" s="12" customFormat="1" x14ac:dyDescent="0.25"/>
    <row r="170153" s="12" customFormat="1" x14ac:dyDescent="0.25"/>
    <row r="170154" s="12" customFormat="1" x14ac:dyDescent="0.25"/>
    <row r="170155" s="12" customFormat="1" x14ac:dyDescent="0.25"/>
    <row r="170156" s="12" customFormat="1" x14ac:dyDescent="0.25"/>
    <row r="170157" s="12" customFormat="1" x14ac:dyDescent="0.25"/>
    <row r="170158" s="12" customFormat="1" x14ac:dyDescent="0.25"/>
    <row r="170159" s="12" customFormat="1" x14ac:dyDescent="0.25"/>
    <row r="170160" s="12" customFormat="1" x14ac:dyDescent="0.25"/>
    <row r="170161" s="12" customFormat="1" x14ac:dyDescent="0.25"/>
    <row r="170162" s="12" customFormat="1" x14ac:dyDescent="0.25"/>
    <row r="170163" s="12" customFormat="1" x14ac:dyDescent="0.25"/>
    <row r="170164" s="12" customFormat="1" x14ac:dyDescent="0.25"/>
    <row r="170165" s="12" customFormat="1" x14ac:dyDescent="0.25"/>
    <row r="170166" s="12" customFormat="1" x14ac:dyDescent="0.25"/>
    <row r="170167" s="12" customFormat="1" x14ac:dyDescent="0.25"/>
    <row r="170168" s="12" customFormat="1" x14ac:dyDescent="0.25"/>
    <row r="170169" s="12" customFormat="1" x14ac:dyDescent="0.25"/>
    <row r="170170" s="12" customFormat="1" x14ac:dyDescent="0.25"/>
    <row r="170171" s="12" customFormat="1" x14ac:dyDescent="0.25"/>
    <row r="170172" s="12" customFormat="1" x14ac:dyDescent="0.25"/>
    <row r="170173" s="12" customFormat="1" x14ac:dyDescent="0.25"/>
    <row r="170174" s="12" customFormat="1" x14ac:dyDescent="0.25"/>
    <row r="170175" s="12" customFormat="1" x14ac:dyDescent="0.25"/>
    <row r="170176" s="12" customFormat="1" x14ac:dyDescent="0.25"/>
    <row r="170177" s="12" customFormat="1" x14ac:dyDescent="0.25"/>
    <row r="170178" s="12" customFormat="1" x14ac:dyDescent="0.25"/>
    <row r="170179" s="12" customFormat="1" x14ac:dyDescent="0.25"/>
    <row r="170180" s="12" customFormat="1" x14ac:dyDescent="0.25"/>
    <row r="170181" s="12" customFormat="1" x14ac:dyDescent="0.25"/>
    <row r="170182" s="12" customFormat="1" x14ac:dyDescent="0.25"/>
    <row r="170183" s="12" customFormat="1" x14ac:dyDescent="0.25"/>
    <row r="170184" s="12" customFormat="1" x14ac:dyDescent="0.25"/>
    <row r="170185" s="12" customFormat="1" x14ac:dyDescent="0.25"/>
    <row r="170186" s="12" customFormat="1" x14ac:dyDescent="0.25"/>
    <row r="170187" s="12" customFormat="1" x14ac:dyDescent="0.25"/>
    <row r="170188" s="12" customFormat="1" x14ac:dyDescent="0.25"/>
    <row r="170189" s="12" customFormat="1" x14ac:dyDescent="0.25"/>
    <row r="170190" s="12" customFormat="1" x14ac:dyDescent="0.25"/>
    <row r="170191" s="12" customFormat="1" x14ac:dyDescent="0.25"/>
    <row r="170192" s="12" customFormat="1" x14ac:dyDescent="0.25"/>
    <row r="170193" s="12" customFormat="1" x14ac:dyDescent="0.25"/>
    <row r="170194" s="12" customFormat="1" x14ac:dyDescent="0.25"/>
    <row r="170195" s="12" customFormat="1" x14ac:dyDescent="0.25"/>
    <row r="170196" s="12" customFormat="1" x14ac:dyDescent="0.25"/>
    <row r="170197" s="12" customFormat="1" x14ac:dyDescent="0.25"/>
    <row r="170198" s="12" customFormat="1" x14ac:dyDescent="0.25"/>
    <row r="170199" s="12" customFormat="1" x14ac:dyDescent="0.25"/>
    <row r="170200" s="12" customFormat="1" x14ac:dyDescent="0.25"/>
    <row r="170201" s="12" customFormat="1" x14ac:dyDescent="0.25"/>
    <row r="170202" s="12" customFormat="1" x14ac:dyDescent="0.25"/>
    <row r="170203" s="12" customFormat="1" x14ac:dyDescent="0.25"/>
    <row r="170204" s="12" customFormat="1" x14ac:dyDescent="0.25"/>
    <row r="170205" s="12" customFormat="1" x14ac:dyDescent="0.25"/>
    <row r="170206" s="12" customFormat="1" x14ac:dyDescent="0.25"/>
    <row r="170207" s="12" customFormat="1" x14ac:dyDescent="0.25"/>
    <row r="170208" s="12" customFormat="1" x14ac:dyDescent="0.25"/>
    <row r="170209" s="12" customFormat="1" x14ac:dyDescent="0.25"/>
    <row r="170210" s="12" customFormat="1" x14ac:dyDescent="0.25"/>
    <row r="170211" s="12" customFormat="1" x14ac:dyDescent="0.25"/>
    <row r="170212" s="12" customFormat="1" x14ac:dyDescent="0.25"/>
    <row r="170213" s="12" customFormat="1" x14ac:dyDescent="0.25"/>
    <row r="170214" s="12" customFormat="1" x14ac:dyDescent="0.25"/>
    <row r="170215" s="12" customFormat="1" x14ac:dyDescent="0.25"/>
    <row r="170216" s="12" customFormat="1" x14ac:dyDescent="0.25"/>
    <row r="170217" s="12" customFormat="1" x14ac:dyDescent="0.25"/>
    <row r="170218" s="12" customFormat="1" x14ac:dyDescent="0.25"/>
    <row r="170219" s="12" customFormat="1" x14ac:dyDescent="0.25"/>
    <row r="170220" s="12" customFormat="1" x14ac:dyDescent="0.25"/>
    <row r="170221" s="12" customFormat="1" x14ac:dyDescent="0.25"/>
    <row r="170222" s="12" customFormat="1" x14ac:dyDescent="0.25"/>
    <row r="170223" s="12" customFormat="1" x14ac:dyDescent="0.25"/>
    <row r="170224" s="12" customFormat="1" x14ac:dyDescent="0.25"/>
    <row r="170225" s="12" customFormat="1" x14ac:dyDescent="0.25"/>
    <row r="170226" s="12" customFormat="1" x14ac:dyDescent="0.25"/>
    <row r="170227" s="12" customFormat="1" x14ac:dyDescent="0.25"/>
    <row r="170228" s="12" customFormat="1" x14ac:dyDescent="0.25"/>
    <row r="170229" s="12" customFormat="1" x14ac:dyDescent="0.25"/>
    <row r="170230" s="12" customFormat="1" x14ac:dyDescent="0.25"/>
    <row r="170231" s="12" customFormat="1" x14ac:dyDescent="0.25"/>
    <row r="170232" s="12" customFormat="1" x14ac:dyDescent="0.25"/>
    <row r="170233" s="12" customFormat="1" x14ac:dyDescent="0.25"/>
    <row r="170234" s="12" customFormat="1" x14ac:dyDescent="0.25"/>
    <row r="170235" s="12" customFormat="1" x14ac:dyDescent="0.25"/>
    <row r="170236" s="12" customFormat="1" x14ac:dyDescent="0.25"/>
    <row r="170237" s="12" customFormat="1" x14ac:dyDescent="0.25"/>
    <row r="170238" s="12" customFormat="1" x14ac:dyDescent="0.25"/>
    <row r="170239" s="12" customFormat="1" x14ac:dyDescent="0.25"/>
    <row r="170240" s="12" customFormat="1" x14ac:dyDescent="0.25"/>
    <row r="170241" s="12" customFormat="1" x14ac:dyDescent="0.25"/>
    <row r="170242" s="12" customFormat="1" x14ac:dyDescent="0.25"/>
    <row r="170243" s="12" customFormat="1" x14ac:dyDescent="0.25"/>
    <row r="170244" s="12" customFormat="1" x14ac:dyDescent="0.25"/>
    <row r="170245" s="12" customFormat="1" x14ac:dyDescent="0.25"/>
    <row r="170246" s="12" customFormat="1" x14ac:dyDescent="0.25"/>
    <row r="170247" s="12" customFormat="1" x14ac:dyDescent="0.25"/>
    <row r="170248" s="12" customFormat="1" x14ac:dyDescent="0.25"/>
    <row r="170249" s="12" customFormat="1" x14ac:dyDescent="0.25"/>
    <row r="170250" s="12" customFormat="1" x14ac:dyDescent="0.25"/>
    <row r="170251" s="12" customFormat="1" x14ac:dyDescent="0.25"/>
    <row r="170252" s="12" customFormat="1" x14ac:dyDescent="0.25"/>
    <row r="170253" s="12" customFormat="1" x14ac:dyDescent="0.25"/>
    <row r="170254" s="12" customFormat="1" x14ac:dyDescent="0.25"/>
    <row r="170255" s="12" customFormat="1" x14ac:dyDescent="0.25"/>
    <row r="170256" s="12" customFormat="1" x14ac:dyDescent="0.25"/>
    <row r="170257" s="12" customFormat="1" x14ac:dyDescent="0.25"/>
    <row r="170258" s="12" customFormat="1" x14ac:dyDescent="0.25"/>
    <row r="170259" s="12" customFormat="1" x14ac:dyDescent="0.25"/>
    <row r="170260" s="12" customFormat="1" x14ac:dyDescent="0.25"/>
    <row r="170261" s="12" customFormat="1" x14ac:dyDescent="0.25"/>
    <row r="170262" s="12" customFormat="1" x14ac:dyDescent="0.25"/>
    <row r="170263" s="12" customFormat="1" x14ac:dyDescent="0.25"/>
    <row r="170264" s="12" customFormat="1" x14ac:dyDescent="0.25"/>
    <row r="170265" s="12" customFormat="1" x14ac:dyDescent="0.25"/>
    <row r="170266" s="12" customFormat="1" x14ac:dyDescent="0.25"/>
    <row r="170267" s="12" customFormat="1" x14ac:dyDescent="0.25"/>
    <row r="170268" s="12" customFormat="1" x14ac:dyDescent="0.25"/>
    <row r="170269" s="12" customFormat="1" x14ac:dyDescent="0.25"/>
    <row r="170270" s="12" customFormat="1" x14ac:dyDescent="0.25"/>
    <row r="170271" s="12" customFormat="1" x14ac:dyDescent="0.25"/>
    <row r="170272" s="12" customFormat="1" x14ac:dyDescent="0.25"/>
    <row r="170273" s="12" customFormat="1" x14ac:dyDescent="0.25"/>
    <row r="170274" s="12" customFormat="1" x14ac:dyDescent="0.25"/>
    <row r="170275" s="12" customFormat="1" x14ac:dyDescent="0.25"/>
    <row r="170276" s="12" customFormat="1" x14ac:dyDescent="0.25"/>
    <row r="170277" s="12" customFormat="1" x14ac:dyDescent="0.25"/>
    <row r="170278" s="12" customFormat="1" x14ac:dyDescent="0.25"/>
    <row r="170279" s="12" customFormat="1" x14ac:dyDescent="0.25"/>
    <row r="170280" s="12" customFormat="1" x14ac:dyDescent="0.25"/>
    <row r="170281" s="12" customFormat="1" x14ac:dyDescent="0.25"/>
    <row r="170282" s="12" customFormat="1" x14ac:dyDescent="0.25"/>
    <row r="170283" s="12" customFormat="1" x14ac:dyDescent="0.25"/>
    <row r="170284" s="12" customFormat="1" x14ac:dyDescent="0.25"/>
    <row r="170285" s="12" customFormat="1" x14ac:dyDescent="0.25"/>
    <row r="170286" s="12" customFormat="1" x14ac:dyDescent="0.25"/>
    <row r="170287" s="12" customFormat="1" x14ac:dyDescent="0.25"/>
    <row r="170288" s="12" customFormat="1" x14ac:dyDescent="0.25"/>
    <row r="170289" s="12" customFormat="1" x14ac:dyDescent="0.25"/>
    <row r="170290" s="12" customFormat="1" x14ac:dyDescent="0.25"/>
    <row r="170291" s="12" customFormat="1" x14ac:dyDescent="0.25"/>
    <row r="170292" s="12" customFormat="1" x14ac:dyDescent="0.25"/>
    <row r="170293" s="12" customFormat="1" x14ac:dyDescent="0.25"/>
    <row r="170294" s="12" customFormat="1" x14ac:dyDescent="0.25"/>
    <row r="170295" s="12" customFormat="1" x14ac:dyDescent="0.25"/>
    <row r="170296" s="12" customFormat="1" x14ac:dyDescent="0.25"/>
    <row r="170297" s="12" customFormat="1" x14ac:dyDescent="0.25"/>
    <row r="170298" s="12" customFormat="1" x14ac:dyDescent="0.25"/>
    <row r="170299" s="12" customFormat="1" x14ac:dyDescent="0.25"/>
    <row r="170300" s="12" customFormat="1" x14ac:dyDescent="0.25"/>
    <row r="170301" s="12" customFormat="1" x14ac:dyDescent="0.25"/>
    <row r="170302" s="12" customFormat="1" x14ac:dyDescent="0.25"/>
    <row r="170303" s="12" customFormat="1" x14ac:dyDescent="0.25"/>
    <row r="170304" s="12" customFormat="1" x14ac:dyDescent="0.25"/>
    <row r="170305" s="12" customFormat="1" x14ac:dyDescent="0.25"/>
    <row r="170306" s="12" customFormat="1" x14ac:dyDescent="0.25"/>
    <row r="170307" s="12" customFormat="1" x14ac:dyDescent="0.25"/>
    <row r="170308" s="12" customFormat="1" x14ac:dyDescent="0.25"/>
    <row r="170309" s="12" customFormat="1" x14ac:dyDescent="0.25"/>
    <row r="170310" s="12" customFormat="1" x14ac:dyDescent="0.25"/>
    <row r="170311" s="12" customFormat="1" x14ac:dyDescent="0.25"/>
    <row r="170312" s="12" customFormat="1" x14ac:dyDescent="0.25"/>
    <row r="170313" s="12" customFormat="1" x14ac:dyDescent="0.25"/>
    <row r="170314" s="12" customFormat="1" x14ac:dyDescent="0.25"/>
    <row r="170315" s="12" customFormat="1" x14ac:dyDescent="0.25"/>
    <row r="170316" s="12" customFormat="1" x14ac:dyDescent="0.25"/>
    <row r="170317" s="12" customFormat="1" x14ac:dyDescent="0.25"/>
    <row r="170318" s="12" customFormat="1" x14ac:dyDescent="0.25"/>
    <row r="170319" s="12" customFormat="1" x14ac:dyDescent="0.25"/>
    <row r="170320" s="12" customFormat="1" x14ac:dyDescent="0.25"/>
    <row r="170321" s="12" customFormat="1" x14ac:dyDescent="0.25"/>
    <row r="170322" s="12" customFormat="1" x14ac:dyDescent="0.25"/>
    <row r="170323" s="12" customFormat="1" x14ac:dyDescent="0.25"/>
    <row r="170324" s="12" customFormat="1" x14ac:dyDescent="0.25"/>
    <row r="170325" s="12" customFormat="1" x14ac:dyDescent="0.25"/>
    <row r="170326" s="12" customFormat="1" x14ac:dyDescent="0.25"/>
    <row r="170327" s="12" customFormat="1" x14ac:dyDescent="0.25"/>
    <row r="170328" s="12" customFormat="1" x14ac:dyDescent="0.25"/>
    <row r="170329" s="12" customFormat="1" x14ac:dyDescent="0.25"/>
    <row r="170330" s="12" customFormat="1" x14ac:dyDescent="0.25"/>
    <row r="170331" s="12" customFormat="1" x14ac:dyDescent="0.25"/>
    <row r="170332" s="12" customFormat="1" x14ac:dyDescent="0.25"/>
    <row r="170333" s="12" customFormat="1" x14ac:dyDescent="0.25"/>
    <row r="170334" s="12" customFormat="1" x14ac:dyDescent="0.25"/>
    <row r="170335" s="12" customFormat="1" x14ac:dyDescent="0.25"/>
    <row r="170336" s="12" customFormat="1" x14ac:dyDescent="0.25"/>
    <row r="170337" s="12" customFormat="1" x14ac:dyDescent="0.25"/>
    <row r="170338" s="12" customFormat="1" x14ac:dyDescent="0.25"/>
    <row r="170339" s="12" customFormat="1" x14ac:dyDescent="0.25"/>
    <row r="170340" s="12" customFormat="1" x14ac:dyDescent="0.25"/>
    <row r="170341" s="12" customFormat="1" x14ac:dyDescent="0.25"/>
    <row r="170342" s="12" customFormat="1" x14ac:dyDescent="0.25"/>
    <row r="170343" s="12" customFormat="1" x14ac:dyDescent="0.25"/>
    <row r="170344" s="12" customFormat="1" x14ac:dyDescent="0.25"/>
    <row r="170345" s="12" customFormat="1" x14ac:dyDescent="0.25"/>
    <row r="170346" s="12" customFormat="1" x14ac:dyDescent="0.25"/>
    <row r="170347" s="12" customFormat="1" x14ac:dyDescent="0.25"/>
    <row r="170348" s="12" customFormat="1" x14ac:dyDescent="0.25"/>
    <row r="170349" s="12" customFormat="1" x14ac:dyDescent="0.25"/>
    <row r="170350" s="12" customFormat="1" x14ac:dyDescent="0.25"/>
    <row r="170351" s="12" customFormat="1" x14ac:dyDescent="0.25"/>
    <row r="170352" s="12" customFormat="1" x14ac:dyDescent="0.25"/>
    <row r="170353" s="12" customFormat="1" x14ac:dyDescent="0.25"/>
    <row r="170354" s="12" customFormat="1" x14ac:dyDescent="0.25"/>
    <row r="170355" s="12" customFormat="1" x14ac:dyDescent="0.25"/>
    <row r="170356" s="12" customFormat="1" x14ac:dyDescent="0.25"/>
    <row r="170357" s="12" customFormat="1" x14ac:dyDescent="0.25"/>
    <row r="170358" s="12" customFormat="1" x14ac:dyDescent="0.25"/>
    <row r="170359" s="12" customFormat="1" x14ac:dyDescent="0.25"/>
    <row r="170360" s="12" customFormat="1" x14ac:dyDescent="0.25"/>
    <row r="170361" s="12" customFormat="1" x14ac:dyDescent="0.25"/>
    <row r="170362" s="12" customFormat="1" x14ac:dyDescent="0.25"/>
    <row r="170363" s="12" customFormat="1" x14ac:dyDescent="0.25"/>
    <row r="170364" s="12" customFormat="1" x14ac:dyDescent="0.25"/>
    <row r="170365" s="12" customFormat="1" x14ac:dyDescent="0.25"/>
    <row r="170366" s="12" customFormat="1" x14ac:dyDescent="0.25"/>
    <row r="170367" s="12" customFormat="1" x14ac:dyDescent="0.25"/>
    <row r="170368" s="12" customFormat="1" x14ac:dyDescent="0.25"/>
    <row r="170369" s="12" customFormat="1" x14ac:dyDescent="0.25"/>
    <row r="170370" s="12" customFormat="1" x14ac:dyDescent="0.25"/>
    <row r="170371" s="12" customFormat="1" x14ac:dyDescent="0.25"/>
    <row r="170372" s="12" customFormat="1" x14ac:dyDescent="0.25"/>
    <row r="170373" s="12" customFormat="1" x14ac:dyDescent="0.25"/>
    <row r="170374" s="12" customFormat="1" x14ac:dyDescent="0.25"/>
    <row r="170375" s="12" customFormat="1" x14ac:dyDescent="0.25"/>
    <row r="170376" s="12" customFormat="1" x14ac:dyDescent="0.25"/>
    <row r="170377" s="12" customFormat="1" x14ac:dyDescent="0.25"/>
    <row r="170378" s="12" customFormat="1" x14ac:dyDescent="0.25"/>
    <row r="170379" s="12" customFormat="1" x14ac:dyDescent="0.25"/>
    <row r="170380" s="12" customFormat="1" x14ac:dyDescent="0.25"/>
    <row r="170381" s="12" customFormat="1" x14ac:dyDescent="0.25"/>
    <row r="170382" s="12" customFormat="1" x14ac:dyDescent="0.25"/>
    <row r="170383" s="12" customFormat="1" x14ac:dyDescent="0.25"/>
    <row r="170384" s="12" customFormat="1" x14ac:dyDescent="0.25"/>
    <row r="170385" s="12" customFormat="1" x14ac:dyDescent="0.25"/>
    <row r="170386" s="12" customFormat="1" x14ac:dyDescent="0.25"/>
    <row r="170387" s="12" customFormat="1" x14ac:dyDescent="0.25"/>
    <row r="170388" s="12" customFormat="1" x14ac:dyDescent="0.25"/>
    <row r="170389" s="12" customFormat="1" x14ac:dyDescent="0.25"/>
    <row r="170390" s="12" customFormat="1" x14ac:dyDescent="0.25"/>
    <row r="170391" s="12" customFormat="1" x14ac:dyDescent="0.25"/>
    <row r="170392" s="12" customFormat="1" x14ac:dyDescent="0.25"/>
    <row r="170393" s="12" customFormat="1" x14ac:dyDescent="0.25"/>
    <row r="170394" s="12" customFormat="1" x14ac:dyDescent="0.25"/>
    <row r="170395" s="12" customFormat="1" x14ac:dyDescent="0.25"/>
    <row r="170396" s="12" customFormat="1" x14ac:dyDescent="0.25"/>
    <row r="170397" s="12" customFormat="1" x14ac:dyDescent="0.25"/>
    <row r="170398" s="12" customFormat="1" x14ac:dyDescent="0.25"/>
    <row r="170399" s="12" customFormat="1" x14ac:dyDescent="0.25"/>
    <row r="170400" s="12" customFormat="1" x14ac:dyDescent="0.25"/>
    <row r="170401" s="12" customFormat="1" x14ac:dyDescent="0.25"/>
    <row r="170402" s="12" customFormat="1" x14ac:dyDescent="0.25"/>
    <row r="170403" s="12" customFormat="1" x14ac:dyDescent="0.25"/>
    <row r="170404" s="12" customFormat="1" x14ac:dyDescent="0.25"/>
    <row r="170405" s="12" customFormat="1" x14ac:dyDescent="0.25"/>
    <row r="170406" s="12" customFormat="1" x14ac:dyDescent="0.25"/>
    <row r="170407" s="12" customFormat="1" x14ac:dyDescent="0.25"/>
    <row r="170408" s="12" customFormat="1" x14ac:dyDescent="0.25"/>
    <row r="170409" s="12" customFormat="1" x14ac:dyDescent="0.25"/>
    <row r="170410" s="12" customFormat="1" x14ac:dyDescent="0.25"/>
    <row r="170411" s="12" customFormat="1" x14ac:dyDescent="0.25"/>
    <row r="170412" s="12" customFormat="1" x14ac:dyDescent="0.25"/>
    <row r="170413" s="12" customFormat="1" x14ac:dyDescent="0.25"/>
    <row r="170414" s="12" customFormat="1" x14ac:dyDescent="0.25"/>
    <row r="170415" s="12" customFormat="1" x14ac:dyDescent="0.25"/>
    <row r="170416" s="12" customFormat="1" x14ac:dyDescent="0.25"/>
    <row r="170417" s="12" customFormat="1" x14ac:dyDescent="0.25"/>
    <row r="170418" s="12" customFormat="1" x14ac:dyDescent="0.25"/>
    <row r="170419" s="12" customFormat="1" x14ac:dyDescent="0.25"/>
    <row r="170420" s="12" customFormat="1" x14ac:dyDescent="0.25"/>
    <row r="170421" s="12" customFormat="1" x14ac:dyDescent="0.25"/>
    <row r="170422" s="12" customFormat="1" x14ac:dyDescent="0.25"/>
    <row r="170423" s="12" customFormat="1" x14ac:dyDescent="0.25"/>
    <row r="170424" s="12" customFormat="1" x14ac:dyDescent="0.25"/>
    <row r="170425" s="12" customFormat="1" x14ac:dyDescent="0.25"/>
    <row r="170426" s="12" customFormat="1" x14ac:dyDescent="0.25"/>
    <row r="170427" s="12" customFormat="1" x14ac:dyDescent="0.25"/>
    <row r="170428" s="12" customFormat="1" x14ac:dyDescent="0.25"/>
    <row r="170429" s="12" customFormat="1" x14ac:dyDescent="0.25"/>
    <row r="170430" s="12" customFormat="1" x14ac:dyDescent="0.25"/>
    <row r="170431" s="12" customFormat="1" x14ac:dyDescent="0.25"/>
    <row r="170432" s="12" customFormat="1" x14ac:dyDescent="0.25"/>
    <row r="170433" s="12" customFormat="1" x14ac:dyDescent="0.25"/>
    <row r="170434" s="12" customFormat="1" x14ac:dyDescent="0.25"/>
    <row r="170435" s="12" customFormat="1" x14ac:dyDescent="0.25"/>
    <row r="170436" s="12" customFormat="1" x14ac:dyDescent="0.25"/>
    <row r="170437" s="12" customFormat="1" x14ac:dyDescent="0.25"/>
    <row r="170438" s="12" customFormat="1" x14ac:dyDescent="0.25"/>
    <row r="170439" s="12" customFormat="1" x14ac:dyDescent="0.25"/>
    <row r="170440" s="12" customFormat="1" x14ac:dyDescent="0.25"/>
    <row r="170441" s="12" customFormat="1" x14ac:dyDescent="0.25"/>
    <row r="170442" s="12" customFormat="1" x14ac:dyDescent="0.25"/>
    <row r="170443" s="12" customFormat="1" x14ac:dyDescent="0.25"/>
    <row r="170444" s="12" customFormat="1" x14ac:dyDescent="0.25"/>
    <row r="170445" s="12" customFormat="1" x14ac:dyDescent="0.25"/>
    <row r="170446" s="12" customFormat="1" x14ac:dyDescent="0.25"/>
    <row r="170447" s="12" customFormat="1" x14ac:dyDescent="0.25"/>
    <row r="170448" s="12" customFormat="1" x14ac:dyDescent="0.25"/>
    <row r="170449" s="12" customFormat="1" x14ac:dyDescent="0.25"/>
    <row r="170450" s="12" customFormat="1" x14ac:dyDescent="0.25"/>
    <row r="170451" s="12" customFormat="1" x14ac:dyDescent="0.25"/>
    <row r="170452" s="12" customFormat="1" x14ac:dyDescent="0.25"/>
    <row r="170453" s="12" customFormat="1" x14ac:dyDescent="0.25"/>
    <row r="170454" s="12" customFormat="1" x14ac:dyDescent="0.25"/>
    <row r="170455" s="12" customFormat="1" x14ac:dyDescent="0.25"/>
    <row r="170456" s="12" customFormat="1" x14ac:dyDescent="0.25"/>
    <row r="170457" s="12" customFormat="1" x14ac:dyDescent="0.25"/>
    <row r="170458" s="12" customFormat="1" x14ac:dyDescent="0.25"/>
    <row r="170459" s="12" customFormat="1" x14ac:dyDescent="0.25"/>
    <row r="170460" s="12" customFormat="1" x14ac:dyDescent="0.25"/>
    <row r="170461" s="12" customFormat="1" x14ac:dyDescent="0.25"/>
    <row r="170462" s="12" customFormat="1" x14ac:dyDescent="0.25"/>
    <row r="170463" s="12" customFormat="1" x14ac:dyDescent="0.25"/>
    <row r="170464" s="12" customFormat="1" x14ac:dyDescent="0.25"/>
    <row r="170465" s="12" customFormat="1" x14ac:dyDescent="0.25"/>
    <row r="170466" s="12" customFormat="1" x14ac:dyDescent="0.25"/>
    <row r="170467" s="12" customFormat="1" x14ac:dyDescent="0.25"/>
    <row r="170468" s="12" customFormat="1" x14ac:dyDescent="0.25"/>
    <row r="170469" s="12" customFormat="1" x14ac:dyDescent="0.25"/>
    <row r="170470" s="12" customFormat="1" x14ac:dyDescent="0.25"/>
    <row r="170471" s="12" customFormat="1" x14ac:dyDescent="0.25"/>
    <row r="170472" s="12" customFormat="1" x14ac:dyDescent="0.25"/>
    <row r="170473" s="12" customFormat="1" x14ac:dyDescent="0.25"/>
    <row r="170474" s="12" customFormat="1" x14ac:dyDescent="0.25"/>
    <row r="170475" s="12" customFormat="1" x14ac:dyDescent="0.25"/>
    <row r="170476" s="12" customFormat="1" x14ac:dyDescent="0.25"/>
    <row r="170477" s="12" customFormat="1" x14ac:dyDescent="0.25"/>
    <row r="170478" s="12" customFormat="1" x14ac:dyDescent="0.25"/>
    <row r="170479" s="12" customFormat="1" x14ac:dyDescent="0.25"/>
    <row r="170480" s="12" customFormat="1" x14ac:dyDescent="0.25"/>
    <row r="170481" s="12" customFormat="1" x14ac:dyDescent="0.25"/>
    <row r="170482" s="12" customFormat="1" x14ac:dyDescent="0.25"/>
    <row r="170483" s="12" customFormat="1" x14ac:dyDescent="0.25"/>
    <row r="170484" s="12" customFormat="1" x14ac:dyDescent="0.25"/>
    <row r="170485" s="12" customFormat="1" x14ac:dyDescent="0.25"/>
    <row r="170486" s="12" customFormat="1" x14ac:dyDescent="0.25"/>
    <row r="170487" s="12" customFormat="1" x14ac:dyDescent="0.25"/>
    <row r="170488" s="12" customFormat="1" x14ac:dyDescent="0.25"/>
    <row r="170489" s="12" customFormat="1" x14ac:dyDescent="0.25"/>
    <row r="170490" s="12" customFormat="1" x14ac:dyDescent="0.25"/>
    <row r="170491" s="12" customFormat="1" x14ac:dyDescent="0.25"/>
    <row r="170492" s="12" customFormat="1" x14ac:dyDescent="0.25"/>
    <row r="170493" s="12" customFormat="1" x14ac:dyDescent="0.25"/>
    <row r="170494" s="12" customFormat="1" x14ac:dyDescent="0.25"/>
    <row r="170495" s="12" customFormat="1" x14ac:dyDescent="0.25"/>
    <row r="170496" s="12" customFormat="1" x14ac:dyDescent="0.25"/>
    <row r="170497" s="12" customFormat="1" x14ac:dyDescent="0.25"/>
    <row r="170498" s="12" customFormat="1" x14ac:dyDescent="0.25"/>
    <row r="170499" s="12" customFormat="1" x14ac:dyDescent="0.25"/>
    <row r="170500" s="12" customFormat="1" x14ac:dyDescent="0.25"/>
    <row r="170501" s="12" customFormat="1" x14ac:dyDescent="0.25"/>
    <row r="170502" s="12" customFormat="1" x14ac:dyDescent="0.25"/>
    <row r="170503" s="12" customFormat="1" x14ac:dyDescent="0.25"/>
    <row r="170504" s="12" customFormat="1" x14ac:dyDescent="0.25"/>
    <row r="170505" s="12" customFormat="1" x14ac:dyDescent="0.25"/>
    <row r="170506" s="12" customFormat="1" x14ac:dyDescent="0.25"/>
    <row r="170507" s="12" customFormat="1" x14ac:dyDescent="0.25"/>
    <row r="170508" s="12" customFormat="1" x14ac:dyDescent="0.25"/>
    <row r="170509" s="12" customFormat="1" x14ac:dyDescent="0.25"/>
    <row r="170510" s="12" customFormat="1" x14ac:dyDescent="0.25"/>
    <row r="170511" s="12" customFormat="1" x14ac:dyDescent="0.25"/>
    <row r="170512" s="12" customFormat="1" x14ac:dyDescent="0.25"/>
    <row r="170513" s="12" customFormat="1" x14ac:dyDescent="0.25"/>
    <row r="170514" s="12" customFormat="1" x14ac:dyDescent="0.25"/>
    <row r="170515" s="12" customFormat="1" x14ac:dyDescent="0.25"/>
    <row r="170516" s="12" customFormat="1" x14ac:dyDescent="0.25"/>
    <row r="170517" s="12" customFormat="1" x14ac:dyDescent="0.25"/>
    <row r="170518" s="12" customFormat="1" x14ac:dyDescent="0.25"/>
    <row r="170519" s="12" customFormat="1" x14ac:dyDescent="0.25"/>
    <row r="170520" s="12" customFormat="1" x14ac:dyDescent="0.25"/>
    <row r="170521" s="12" customFormat="1" x14ac:dyDescent="0.25"/>
    <row r="170522" s="12" customFormat="1" x14ac:dyDescent="0.25"/>
    <row r="170523" s="12" customFormat="1" x14ac:dyDescent="0.25"/>
    <row r="170524" s="12" customFormat="1" x14ac:dyDescent="0.25"/>
    <row r="170525" s="12" customFormat="1" x14ac:dyDescent="0.25"/>
    <row r="170526" s="12" customFormat="1" x14ac:dyDescent="0.25"/>
    <row r="170527" s="12" customFormat="1" x14ac:dyDescent="0.25"/>
    <row r="170528" s="12" customFormat="1" x14ac:dyDescent="0.25"/>
    <row r="170529" s="12" customFormat="1" x14ac:dyDescent="0.25"/>
    <row r="170530" s="12" customFormat="1" x14ac:dyDescent="0.25"/>
    <row r="170531" s="12" customFormat="1" x14ac:dyDescent="0.25"/>
    <row r="170532" s="12" customFormat="1" x14ac:dyDescent="0.25"/>
    <row r="170533" s="12" customFormat="1" x14ac:dyDescent="0.25"/>
    <row r="170534" s="12" customFormat="1" x14ac:dyDescent="0.25"/>
    <row r="170535" s="12" customFormat="1" x14ac:dyDescent="0.25"/>
    <row r="170536" s="12" customFormat="1" x14ac:dyDescent="0.25"/>
    <row r="170537" s="12" customFormat="1" x14ac:dyDescent="0.25"/>
    <row r="170538" s="12" customFormat="1" x14ac:dyDescent="0.25"/>
    <row r="170539" s="12" customFormat="1" x14ac:dyDescent="0.25"/>
    <row r="170540" s="12" customFormat="1" x14ac:dyDescent="0.25"/>
    <row r="170541" s="12" customFormat="1" x14ac:dyDescent="0.25"/>
    <row r="170542" s="12" customFormat="1" x14ac:dyDescent="0.25"/>
    <row r="170543" s="12" customFormat="1" x14ac:dyDescent="0.25"/>
    <row r="170544" s="12" customFormat="1" x14ac:dyDescent="0.25"/>
    <row r="170545" s="12" customFormat="1" x14ac:dyDescent="0.25"/>
    <row r="170546" s="12" customFormat="1" x14ac:dyDescent="0.25"/>
    <row r="170547" s="12" customFormat="1" x14ac:dyDescent="0.25"/>
    <row r="170548" s="12" customFormat="1" x14ac:dyDescent="0.25"/>
    <row r="170549" s="12" customFormat="1" x14ac:dyDescent="0.25"/>
    <row r="170550" s="12" customFormat="1" x14ac:dyDescent="0.25"/>
    <row r="170551" s="12" customFormat="1" x14ac:dyDescent="0.25"/>
    <row r="170552" s="12" customFormat="1" x14ac:dyDescent="0.25"/>
    <row r="170553" s="12" customFormat="1" x14ac:dyDescent="0.25"/>
    <row r="170554" s="12" customFormat="1" x14ac:dyDescent="0.25"/>
    <row r="170555" s="12" customFormat="1" x14ac:dyDescent="0.25"/>
    <row r="170556" s="12" customFormat="1" x14ac:dyDescent="0.25"/>
    <row r="170557" s="12" customFormat="1" x14ac:dyDescent="0.25"/>
    <row r="170558" s="12" customFormat="1" x14ac:dyDescent="0.25"/>
    <row r="170559" s="12" customFormat="1" x14ac:dyDescent="0.25"/>
    <row r="170560" s="12" customFormat="1" x14ac:dyDescent="0.25"/>
    <row r="170561" s="12" customFormat="1" x14ac:dyDescent="0.25"/>
    <row r="170562" s="12" customFormat="1" x14ac:dyDescent="0.25"/>
    <row r="170563" s="12" customFormat="1" x14ac:dyDescent="0.25"/>
    <row r="170564" s="12" customFormat="1" x14ac:dyDescent="0.25"/>
    <row r="170565" s="12" customFormat="1" x14ac:dyDescent="0.25"/>
    <row r="170566" s="12" customFormat="1" x14ac:dyDescent="0.25"/>
    <row r="170567" s="12" customFormat="1" x14ac:dyDescent="0.25"/>
    <row r="170568" s="12" customFormat="1" x14ac:dyDescent="0.25"/>
    <row r="170569" s="12" customFormat="1" x14ac:dyDescent="0.25"/>
    <row r="170570" s="12" customFormat="1" x14ac:dyDescent="0.25"/>
    <row r="170571" s="12" customFormat="1" x14ac:dyDescent="0.25"/>
    <row r="170572" s="12" customFormat="1" x14ac:dyDescent="0.25"/>
    <row r="170573" s="12" customFormat="1" x14ac:dyDescent="0.25"/>
    <row r="170574" s="12" customFormat="1" x14ac:dyDescent="0.25"/>
    <row r="170575" s="12" customFormat="1" x14ac:dyDescent="0.25"/>
    <row r="170576" s="12" customFormat="1" x14ac:dyDescent="0.25"/>
    <row r="170577" s="12" customFormat="1" x14ac:dyDescent="0.25"/>
    <row r="170578" s="12" customFormat="1" x14ac:dyDescent="0.25"/>
    <row r="170579" s="12" customFormat="1" x14ac:dyDescent="0.25"/>
    <row r="170580" s="12" customFormat="1" x14ac:dyDescent="0.25"/>
    <row r="170581" s="12" customFormat="1" x14ac:dyDescent="0.25"/>
    <row r="170582" s="12" customFormat="1" x14ac:dyDescent="0.25"/>
    <row r="170583" s="12" customFormat="1" x14ac:dyDescent="0.25"/>
    <row r="170584" s="12" customFormat="1" x14ac:dyDescent="0.25"/>
    <row r="170585" s="12" customFormat="1" x14ac:dyDescent="0.25"/>
    <row r="170586" s="12" customFormat="1" x14ac:dyDescent="0.25"/>
    <row r="170587" s="12" customFormat="1" x14ac:dyDescent="0.25"/>
    <row r="170588" s="12" customFormat="1" x14ac:dyDescent="0.25"/>
    <row r="170589" s="12" customFormat="1" x14ac:dyDescent="0.25"/>
    <row r="170590" s="12" customFormat="1" x14ac:dyDescent="0.25"/>
    <row r="170591" s="12" customFormat="1" x14ac:dyDescent="0.25"/>
    <row r="170592" s="12" customFormat="1" x14ac:dyDescent="0.25"/>
    <row r="170593" s="12" customFormat="1" x14ac:dyDescent="0.25"/>
    <row r="170594" s="12" customFormat="1" x14ac:dyDescent="0.25"/>
    <row r="170595" s="12" customFormat="1" x14ac:dyDescent="0.25"/>
    <row r="170596" s="12" customFormat="1" x14ac:dyDescent="0.25"/>
    <row r="170597" s="12" customFormat="1" x14ac:dyDescent="0.25"/>
    <row r="170598" s="12" customFormat="1" x14ac:dyDescent="0.25"/>
    <row r="170599" s="12" customFormat="1" x14ac:dyDescent="0.25"/>
    <row r="170600" s="12" customFormat="1" x14ac:dyDescent="0.25"/>
    <row r="170601" s="12" customFormat="1" x14ac:dyDescent="0.25"/>
    <row r="170602" s="12" customFormat="1" x14ac:dyDescent="0.25"/>
    <row r="170603" s="12" customFormat="1" x14ac:dyDescent="0.25"/>
    <row r="170604" s="12" customFormat="1" x14ac:dyDescent="0.25"/>
    <row r="170605" s="12" customFormat="1" x14ac:dyDescent="0.25"/>
    <row r="170606" s="12" customFormat="1" x14ac:dyDescent="0.25"/>
    <row r="170607" s="12" customFormat="1" x14ac:dyDescent="0.25"/>
    <row r="170608" s="12" customFormat="1" x14ac:dyDescent="0.25"/>
    <row r="170609" s="12" customFormat="1" x14ac:dyDescent="0.25"/>
    <row r="170610" s="12" customFormat="1" x14ac:dyDescent="0.25"/>
    <row r="170611" s="12" customFormat="1" x14ac:dyDescent="0.25"/>
    <row r="170612" s="12" customFormat="1" x14ac:dyDescent="0.25"/>
    <row r="170613" s="12" customFormat="1" x14ac:dyDescent="0.25"/>
    <row r="170614" s="12" customFormat="1" x14ac:dyDescent="0.25"/>
    <row r="170615" s="12" customFormat="1" x14ac:dyDescent="0.25"/>
    <row r="170616" s="12" customFormat="1" x14ac:dyDescent="0.25"/>
    <row r="170617" s="12" customFormat="1" x14ac:dyDescent="0.25"/>
    <row r="170618" s="12" customFormat="1" x14ac:dyDescent="0.25"/>
    <row r="170619" s="12" customFormat="1" x14ac:dyDescent="0.25"/>
    <row r="170620" s="12" customFormat="1" x14ac:dyDescent="0.25"/>
    <row r="170621" s="12" customFormat="1" x14ac:dyDescent="0.25"/>
    <row r="170622" s="12" customFormat="1" x14ac:dyDescent="0.25"/>
    <row r="170623" s="12" customFormat="1" x14ac:dyDescent="0.25"/>
    <row r="170624" s="12" customFormat="1" x14ac:dyDescent="0.25"/>
    <row r="170625" s="12" customFormat="1" x14ac:dyDescent="0.25"/>
    <row r="170626" s="12" customFormat="1" x14ac:dyDescent="0.25"/>
    <row r="170627" s="12" customFormat="1" x14ac:dyDescent="0.25"/>
    <row r="170628" s="12" customFormat="1" x14ac:dyDescent="0.25"/>
    <row r="170629" s="12" customFormat="1" x14ac:dyDescent="0.25"/>
    <row r="170630" s="12" customFormat="1" x14ac:dyDescent="0.25"/>
    <row r="170631" s="12" customFormat="1" x14ac:dyDescent="0.25"/>
    <row r="170632" s="12" customFormat="1" x14ac:dyDescent="0.25"/>
    <row r="170633" s="12" customFormat="1" x14ac:dyDescent="0.25"/>
    <row r="170634" s="12" customFormat="1" x14ac:dyDescent="0.25"/>
    <row r="170635" s="12" customFormat="1" x14ac:dyDescent="0.25"/>
    <row r="170636" s="12" customFormat="1" x14ac:dyDescent="0.25"/>
    <row r="170637" s="12" customFormat="1" x14ac:dyDescent="0.25"/>
    <row r="170638" s="12" customFormat="1" x14ac:dyDescent="0.25"/>
    <row r="170639" s="12" customFormat="1" x14ac:dyDescent="0.25"/>
    <row r="170640" s="12" customFormat="1" x14ac:dyDescent="0.25"/>
    <row r="170641" s="12" customFormat="1" x14ac:dyDescent="0.25"/>
    <row r="170642" s="12" customFormat="1" x14ac:dyDescent="0.25"/>
    <row r="170643" s="12" customFormat="1" x14ac:dyDescent="0.25"/>
    <row r="170644" s="12" customFormat="1" x14ac:dyDescent="0.25"/>
    <row r="170645" s="12" customFormat="1" x14ac:dyDescent="0.25"/>
    <row r="170646" s="12" customFormat="1" x14ac:dyDescent="0.25"/>
    <row r="170647" s="12" customFormat="1" x14ac:dyDescent="0.25"/>
    <row r="170648" s="12" customFormat="1" x14ac:dyDescent="0.25"/>
    <row r="170649" s="12" customFormat="1" x14ac:dyDescent="0.25"/>
    <row r="170650" s="12" customFormat="1" x14ac:dyDescent="0.25"/>
    <row r="170651" s="12" customFormat="1" x14ac:dyDescent="0.25"/>
    <row r="170652" s="12" customFormat="1" x14ac:dyDescent="0.25"/>
    <row r="170653" s="12" customFormat="1" x14ac:dyDescent="0.25"/>
    <row r="170654" s="12" customFormat="1" x14ac:dyDescent="0.25"/>
    <row r="170655" s="12" customFormat="1" x14ac:dyDescent="0.25"/>
    <row r="170656" s="12" customFormat="1" x14ac:dyDescent="0.25"/>
    <row r="170657" s="12" customFormat="1" x14ac:dyDescent="0.25"/>
    <row r="170658" s="12" customFormat="1" x14ac:dyDescent="0.25"/>
    <row r="170659" s="12" customFormat="1" x14ac:dyDescent="0.25"/>
    <row r="170660" s="12" customFormat="1" x14ac:dyDescent="0.25"/>
    <row r="170661" s="12" customFormat="1" x14ac:dyDescent="0.25"/>
    <row r="170662" s="12" customFormat="1" x14ac:dyDescent="0.25"/>
    <row r="170663" s="12" customFormat="1" x14ac:dyDescent="0.25"/>
    <row r="170664" s="12" customFormat="1" x14ac:dyDescent="0.25"/>
    <row r="170665" s="12" customFormat="1" x14ac:dyDescent="0.25"/>
    <row r="170666" s="12" customFormat="1" x14ac:dyDescent="0.25"/>
    <row r="170667" s="12" customFormat="1" x14ac:dyDescent="0.25"/>
    <row r="170668" s="12" customFormat="1" x14ac:dyDescent="0.25"/>
    <row r="170669" s="12" customFormat="1" x14ac:dyDescent="0.25"/>
    <row r="170670" s="12" customFormat="1" x14ac:dyDescent="0.25"/>
    <row r="170671" s="12" customFormat="1" x14ac:dyDescent="0.25"/>
    <row r="170672" s="12" customFormat="1" x14ac:dyDescent="0.25"/>
    <row r="170673" s="12" customFormat="1" x14ac:dyDescent="0.25"/>
    <row r="170674" s="12" customFormat="1" x14ac:dyDescent="0.25"/>
    <row r="170675" s="12" customFormat="1" x14ac:dyDescent="0.25"/>
    <row r="170676" s="12" customFormat="1" x14ac:dyDescent="0.25"/>
    <row r="170677" s="12" customFormat="1" x14ac:dyDescent="0.25"/>
    <row r="170678" s="12" customFormat="1" x14ac:dyDescent="0.25"/>
    <row r="170679" s="12" customFormat="1" x14ac:dyDescent="0.25"/>
    <row r="170680" s="12" customFormat="1" x14ac:dyDescent="0.25"/>
    <row r="170681" s="12" customFormat="1" x14ac:dyDescent="0.25"/>
    <row r="170682" s="12" customFormat="1" x14ac:dyDescent="0.25"/>
    <row r="170683" s="12" customFormat="1" x14ac:dyDescent="0.25"/>
    <row r="170684" s="12" customFormat="1" x14ac:dyDescent="0.25"/>
    <row r="170685" s="12" customFormat="1" x14ac:dyDescent="0.25"/>
    <row r="170686" s="12" customFormat="1" x14ac:dyDescent="0.25"/>
    <row r="170687" s="12" customFormat="1" x14ac:dyDescent="0.25"/>
    <row r="170688" s="12" customFormat="1" x14ac:dyDescent="0.25"/>
    <row r="170689" s="12" customFormat="1" x14ac:dyDescent="0.25"/>
    <row r="170690" s="12" customFormat="1" x14ac:dyDescent="0.25"/>
    <row r="170691" s="12" customFormat="1" x14ac:dyDescent="0.25"/>
    <row r="170692" s="12" customFormat="1" x14ac:dyDescent="0.25"/>
    <row r="170693" s="12" customFormat="1" x14ac:dyDescent="0.25"/>
    <row r="170694" s="12" customFormat="1" x14ac:dyDescent="0.25"/>
    <row r="170695" s="12" customFormat="1" x14ac:dyDescent="0.25"/>
    <row r="170696" s="12" customFormat="1" x14ac:dyDescent="0.25"/>
    <row r="170697" s="12" customFormat="1" x14ac:dyDescent="0.25"/>
    <row r="170698" s="12" customFormat="1" x14ac:dyDescent="0.25"/>
    <row r="170699" s="12" customFormat="1" x14ac:dyDescent="0.25"/>
    <row r="170700" s="12" customFormat="1" x14ac:dyDescent="0.25"/>
    <row r="170701" s="12" customFormat="1" x14ac:dyDescent="0.25"/>
    <row r="170702" s="12" customFormat="1" x14ac:dyDescent="0.25"/>
    <row r="170703" s="12" customFormat="1" x14ac:dyDescent="0.25"/>
    <row r="170704" s="12" customFormat="1" x14ac:dyDescent="0.25"/>
    <row r="170705" s="12" customFormat="1" x14ac:dyDescent="0.25"/>
    <row r="170706" s="12" customFormat="1" x14ac:dyDescent="0.25"/>
    <row r="170707" s="12" customFormat="1" x14ac:dyDescent="0.25"/>
    <row r="170708" s="12" customFormat="1" x14ac:dyDescent="0.25"/>
    <row r="170709" s="12" customFormat="1" x14ac:dyDescent="0.25"/>
    <row r="170710" s="12" customFormat="1" x14ac:dyDescent="0.25"/>
    <row r="170711" s="12" customFormat="1" x14ac:dyDescent="0.25"/>
    <row r="170712" s="12" customFormat="1" x14ac:dyDescent="0.25"/>
    <row r="170713" s="12" customFormat="1" x14ac:dyDescent="0.25"/>
    <row r="170714" s="12" customFormat="1" x14ac:dyDescent="0.25"/>
    <row r="170715" s="12" customFormat="1" x14ac:dyDescent="0.25"/>
    <row r="170716" s="12" customFormat="1" x14ac:dyDescent="0.25"/>
    <row r="170717" s="12" customFormat="1" x14ac:dyDescent="0.25"/>
    <row r="170718" s="12" customFormat="1" x14ac:dyDescent="0.25"/>
    <row r="170719" s="12" customFormat="1" x14ac:dyDescent="0.25"/>
    <row r="170720" s="12" customFormat="1" x14ac:dyDescent="0.25"/>
    <row r="170721" s="12" customFormat="1" x14ac:dyDescent="0.25"/>
    <row r="170722" s="12" customFormat="1" x14ac:dyDescent="0.25"/>
    <row r="170723" s="12" customFormat="1" x14ac:dyDescent="0.25"/>
    <row r="170724" s="12" customFormat="1" x14ac:dyDescent="0.25"/>
    <row r="170725" s="12" customFormat="1" x14ac:dyDescent="0.25"/>
    <row r="170726" s="12" customFormat="1" x14ac:dyDescent="0.25"/>
    <row r="170727" s="12" customFormat="1" x14ac:dyDescent="0.25"/>
    <row r="170728" s="12" customFormat="1" x14ac:dyDescent="0.25"/>
    <row r="170729" s="12" customFormat="1" x14ac:dyDescent="0.25"/>
    <row r="170730" s="12" customFormat="1" x14ac:dyDescent="0.25"/>
    <row r="170731" s="12" customFormat="1" x14ac:dyDescent="0.25"/>
    <row r="170732" s="12" customFormat="1" x14ac:dyDescent="0.25"/>
    <row r="170733" s="12" customFormat="1" x14ac:dyDescent="0.25"/>
    <row r="170734" s="12" customFormat="1" x14ac:dyDescent="0.25"/>
    <row r="170735" s="12" customFormat="1" x14ac:dyDescent="0.25"/>
    <row r="170736" s="12" customFormat="1" x14ac:dyDescent="0.25"/>
    <row r="170737" s="12" customFormat="1" x14ac:dyDescent="0.25"/>
    <row r="170738" s="12" customFormat="1" x14ac:dyDescent="0.25"/>
    <row r="170739" s="12" customFormat="1" x14ac:dyDescent="0.25"/>
    <row r="170740" s="12" customFormat="1" x14ac:dyDescent="0.25"/>
    <row r="170741" s="12" customFormat="1" x14ac:dyDescent="0.25"/>
    <row r="170742" s="12" customFormat="1" x14ac:dyDescent="0.25"/>
    <row r="170743" s="12" customFormat="1" x14ac:dyDescent="0.25"/>
    <row r="170744" s="12" customFormat="1" x14ac:dyDescent="0.25"/>
    <row r="170745" s="12" customFormat="1" x14ac:dyDescent="0.25"/>
    <row r="170746" s="12" customFormat="1" x14ac:dyDescent="0.25"/>
    <row r="170747" s="12" customFormat="1" x14ac:dyDescent="0.25"/>
    <row r="170748" s="12" customFormat="1" x14ac:dyDescent="0.25"/>
    <row r="170749" s="12" customFormat="1" x14ac:dyDescent="0.25"/>
    <row r="170750" s="12" customFormat="1" x14ac:dyDescent="0.25"/>
    <row r="170751" s="12" customFormat="1" x14ac:dyDescent="0.25"/>
    <row r="170752" s="12" customFormat="1" x14ac:dyDescent="0.25"/>
    <row r="170753" s="12" customFormat="1" x14ac:dyDescent="0.25"/>
    <row r="170754" s="12" customFormat="1" x14ac:dyDescent="0.25"/>
    <row r="170755" s="12" customFormat="1" x14ac:dyDescent="0.25"/>
    <row r="170756" s="12" customFormat="1" x14ac:dyDescent="0.25"/>
    <row r="170757" s="12" customFormat="1" x14ac:dyDescent="0.25"/>
    <row r="170758" s="12" customFormat="1" x14ac:dyDescent="0.25"/>
    <row r="170759" s="12" customFormat="1" x14ac:dyDescent="0.25"/>
    <row r="170760" s="12" customFormat="1" x14ac:dyDescent="0.25"/>
    <row r="170761" s="12" customFormat="1" x14ac:dyDescent="0.25"/>
    <row r="170762" s="12" customFormat="1" x14ac:dyDescent="0.25"/>
    <row r="170763" s="12" customFormat="1" x14ac:dyDescent="0.25"/>
    <row r="170764" s="12" customFormat="1" x14ac:dyDescent="0.25"/>
    <row r="170765" s="12" customFormat="1" x14ac:dyDescent="0.25"/>
    <row r="170766" s="12" customFormat="1" x14ac:dyDescent="0.25"/>
    <row r="170767" s="12" customFormat="1" x14ac:dyDescent="0.25"/>
    <row r="170768" s="12" customFormat="1" x14ac:dyDescent="0.25"/>
    <row r="170769" s="12" customFormat="1" x14ac:dyDescent="0.25"/>
    <row r="170770" s="12" customFormat="1" x14ac:dyDescent="0.25"/>
    <row r="170771" s="12" customFormat="1" x14ac:dyDescent="0.25"/>
    <row r="170772" s="12" customFormat="1" x14ac:dyDescent="0.25"/>
    <row r="170773" s="12" customFormat="1" x14ac:dyDescent="0.25"/>
    <row r="170774" s="12" customFormat="1" x14ac:dyDescent="0.25"/>
    <row r="170775" s="12" customFormat="1" x14ac:dyDescent="0.25"/>
    <row r="170776" s="12" customFormat="1" x14ac:dyDescent="0.25"/>
    <row r="170777" s="12" customFormat="1" x14ac:dyDescent="0.25"/>
    <row r="170778" s="12" customFormat="1" x14ac:dyDescent="0.25"/>
    <row r="170779" s="12" customFormat="1" x14ac:dyDescent="0.25"/>
    <row r="170780" s="12" customFormat="1" x14ac:dyDescent="0.25"/>
    <row r="170781" s="12" customFormat="1" x14ac:dyDescent="0.25"/>
    <row r="170782" s="12" customFormat="1" x14ac:dyDescent="0.25"/>
    <row r="170783" s="12" customFormat="1" x14ac:dyDescent="0.25"/>
    <row r="170784" s="12" customFormat="1" x14ac:dyDescent="0.25"/>
    <row r="170785" s="12" customFormat="1" x14ac:dyDescent="0.25"/>
    <row r="170786" s="12" customFormat="1" x14ac:dyDescent="0.25"/>
    <row r="170787" s="12" customFormat="1" x14ac:dyDescent="0.25"/>
    <row r="170788" s="12" customFormat="1" x14ac:dyDescent="0.25"/>
    <row r="170789" s="12" customFormat="1" x14ac:dyDescent="0.25"/>
    <row r="170790" s="12" customFormat="1" x14ac:dyDescent="0.25"/>
    <row r="170791" s="12" customFormat="1" x14ac:dyDescent="0.25"/>
    <row r="170792" s="12" customFormat="1" x14ac:dyDescent="0.25"/>
    <row r="170793" s="12" customFormat="1" x14ac:dyDescent="0.25"/>
    <row r="170794" s="12" customFormat="1" x14ac:dyDescent="0.25"/>
    <row r="170795" s="12" customFormat="1" x14ac:dyDescent="0.25"/>
    <row r="170796" s="12" customFormat="1" x14ac:dyDescent="0.25"/>
    <row r="170797" s="12" customFormat="1" x14ac:dyDescent="0.25"/>
    <row r="170798" s="12" customFormat="1" x14ac:dyDescent="0.25"/>
    <row r="170799" s="12" customFormat="1" x14ac:dyDescent="0.25"/>
    <row r="170800" s="12" customFormat="1" x14ac:dyDescent="0.25"/>
    <row r="170801" s="12" customFormat="1" x14ac:dyDescent="0.25"/>
    <row r="170802" s="12" customFormat="1" x14ac:dyDescent="0.25"/>
    <row r="170803" s="12" customFormat="1" x14ac:dyDescent="0.25"/>
    <row r="170804" s="12" customFormat="1" x14ac:dyDescent="0.25"/>
    <row r="170805" s="12" customFormat="1" x14ac:dyDescent="0.25"/>
    <row r="170806" s="12" customFormat="1" x14ac:dyDescent="0.25"/>
    <row r="170807" s="12" customFormat="1" x14ac:dyDescent="0.25"/>
    <row r="170808" s="12" customFormat="1" x14ac:dyDescent="0.25"/>
    <row r="170809" s="12" customFormat="1" x14ac:dyDescent="0.25"/>
    <row r="170810" s="12" customFormat="1" x14ac:dyDescent="0.25"/>
    <row r="170811" s="12" customFormat="1" x14ac:dyDescent="0.25"/>
    <row r="170812" s="12" customFormat="1" x14ac:dyDescent="0.25"/>
    <row r="170813" s="12" customFormat="1" x14ac:dyDescent="0.25"/>
    <row r="170814" s="12" customFormat="1" x14ac:dyDescent="0.25"/>
    <row r="170815" s="12" customFormat="1" x14ac:dyDescent="0.25"/>
    <row r="170816" s="12" customFormat="1" x14ac:dyDescent="0.25"/>
    <row r="170817" s="12" customFormat="1" x14ac:dyDescent="0.25"/>
    <row r="170818" s="12" customFormat="1" x14ac:dyDescent="0.25"/>
    <row r="170819" s="12" customFormat="1" x14ac:dyDescent="0.25"/>
    <row r="170820" s="12" customFormat="1" x14ac:dyDescent="0.25"/>
    <row r="170821" s="12" customFormat="1" x14ac:dyDescent="0.25"/>
    <row r="170822" s="12" customFormat="1" x14ac:dyDescent="0.25"/>
    <row r="170823" s="12" customFormat="1" x14ac:dyDescent="0.25"/>
    <row r="170824" s="12" customFormat="1" x14ac:dyDescent="0.25"/>
    <row r="170825" s="12" customFormat="1" x14ac:dyDescent="0.25"/>
    <row r="170826" s="12" customFormat="1" x14ac:dyDescent="0.25"/>
    <row r="170827" s="12" customFormat="1" x14ac:dyDescent="0.25"/>
    <row r="170828" s="12" customFormat="1" x14ac:dyDescent="0.25"/>
    <row r="170829" s="12" customFormat="1" x14ac:dyDescent="0.25"/>
    <row r="170830" s="12" customFormat="1" x14ac:dyDescent="0.25"/>
    <row r="170831" s="12" customFormat="1" x14ac:dyDescent="0.25"/>
    <row r="170832" s="12" customFormat="1" x14ac:dyDescent="0.25"/>
    <row r="170833" s="12" customFormat="1" x14ac:dyDescent="0.25"/>
    <row r="170834" s="12" customFormat="1" x14ac:dyDescent="0.25"/>
    <row r="170835" s="12" customFormat="1" x14ac:dyDescent="0.25"/>
    <row r="170836" s="12" customFormat="1" x14ac:dyDescent="0.25"/>
    <row r="170837" s="12" customFormat="1" x14ac:dyDescent="0.25"/>
    <row r="170838" s="12" customFormat="1" x14ac:dyDescent="0.25"/>
    <row r="170839" s="12" customFormat="1" x14ac:dyDescent="0.25"/>
    <row r="170840" s="12" customFormat="1" x14ac:dyDescent="0.25"/>
    <row r="170841" s="12" customFormat="1" x14ac:dyDescent="0.25"/>
    <row r="170842" s="12" customFormat="1" x14ac:dyDescent="0.25"/>
    <row r="170843" s="12" customFormat="1" x14ac:dyDescent="0.25"/>
    <row r="170844" s="12" customFormat="1" x14ac:dyDescent="0.25"/>
    <row r="170845" s="12" customFormat="1" x14ac:dyDescent="0.25"/>
    <row r="170846" s="12" customFormat="1" x14ac:dyDescent="0.25"/>
    <row r="170847" s="12" customFormat="1" x14ac:dyDescent="0.25"/>
    <row r="170848" s="12" customFormat="1" x14ac:dyDescent="0.25"/>
    <row r="170849" s="12" customFormat="1" x14ac:dyDescent="0.25"/>
    <row r="170850" s="12" customFormat="1" x14ac:dyDescent="0.25"/>
    <row r="170851" s="12" customFormat="1" x14ac:dyDescent="0.25"/>
    <row r="170852" s="12" customFormat="1" x14ac:dyDescent="0.25"/>
    <row r="170853" s="12" customFormat="1" x14ac:dyDescent="0.25"/>
    <row r="170854" s="12" customFormat="1" x14ac:dyDescent="0.25"/>
    <row r="170855" s="12" customFormat="1" x14ac:dyDescent="0.25"/>
    <row r="170856" s="12" customFormat="1" x14ac:dyDescent="0.25"/>
    <row r="170857" s="12" customFormat="1" x14ac:dyDescent="0.25"/>
    <row r="170858" s="12" customFormat="1" x14ac:dyDescent="0.25"/>
    <row r="170859" s="12" customFormat="1" x14ac:dyDescent="0.25"/>
    <row r="170860" s="12" customFormat="1" x14ac:dyDescent="0.25"/>
    <row r="170861" s="12" customFormat="1" x14ac:dyDescent="0.25"/>
    <row r="170862" s="12" customFormat="1" x14ac:dyDescent="0.25"/>
    <row r="170863" s="12" customFormat="1" x14ac:dyDescent="0.25"/>
    <row r="170864" s="12" customFormat="1" x14ac:dyDescent="0.25"/>
    <row r="170865" s="12" customFormat="1" x14ac:dyDescent="0.25"/>
    <row r="170866" s="12" customFormat="1" x14ac:dyDescent="0.25"/>
    <row r="170867" s="12" customFormat="1" x14ac:dyDescent="0.25"/>
    <row r="170868" s="12" customFormat="1" x14ac:dyDescent="0.25"/>
    <row r="170869" s="12" customFormat="1" x14ac:dyDescent="0.25"/>
    <row r="170870" s="12" customFormat="1" x14ac:dyDescent="0.25"/>
    <row r="170871" s="12" customFormat="1" x14ac:dyDescent="0.25"/>
    <row r="170872" s="12" customFormat="1" x14ac:dyDescent="0.25"/>
    <row r="170873" s="12" customFormat="1" x14ac:dyDescent="0.25"/>
    <row r="170874" s="12" customFormat="1" x14ac:dyDescent="0.25"/>
    <row r="170875" s="12" customFormat="1" x14ac:dyDescent="0.25"/>
    <row r="170876" s="12" customFormat="1" x14ac:dyDescent="0.25"/>
    <row r="170877" s="12" customFormat="1" x14ac:dyDescent="0.25"/>
    <row r="170878" s="12" customFormat="1" x14ac:dyDescent="0.25"/>
    <row r="170879" s="12" customFormat="1" x14ac:dyDescent="0.25"/>
    <row r="170880" s="12" customFormat="1" x14ac:dyDescent="0.25"/>
    <row r="170881" s="12" customFormat="1" x14ac:dyDescent="0.25"/>
    <row r="170882" s="12" customFormat="1" x14ac:dyDescent="0.25"/>
    <row r="170883" s="12" customFormat="1" x14ac:dyDescent="0.25"/>
    <row r="170884" s="12" customFormat="1" x14ac:dyDescent="0.25"/>
    <row r="170885" s="12" customFormat="1" x14ac:dyDescent="0.25"/>
    <row r="170886" s="12" customFormat="1" x14ac:dyDescent="0.25"/>
    <row r="170887" s="12" customFormat="1" x14ac:dyDescent="0.25"/>
    <row r="170888" s="12" customFormat="1" x14ac:dyDescent="0.25"/>
    <row r="170889" s="12" customFormat="1" x14ac:dyDescent="0.25"/>
    <row r="170890" s="12" customFormat="1" x14ac:dyDescent="0.25"/>
    <row r="170891" s="12" customFormat="1" x14ac:dyDescent="0.25"/>
    <row r="170892" s="12" customFormat="1" x14ac:dyDescent="0.25"/>
    <row r="170893" s="12" customFormat="1" x14ac:dyDescent="0.25"/>
    <row r="170894" s="12" customFormat="1" x14ac:dyDescent="0.25"/>
    <row r="170895" s="12" customFormat="1" x14ac:dyDescent="0.25"/>
    <row r="170896" s="12" customFormat="1" x14ac:dyDescent="0.25"/>
    <row r="170897" s="12" customFormat="1" x14ac:dyDescent="0.25"/>
    <row r="170898" s="12" customFormat="1" x14ac:dyDescent="0.25"/>
    <row r="170899" s="12" customFormat="1" x14ac:dyDescent="0.25"/>
    <row r="170900" s="12" customFormat="1" x14ac:dyDescent="0.25"/>
    <row r="170901" s="12" customFormat="1" x14ac:dyDescent="0.25"/>
    <row r="170902" s="12" customFormat="1" x14ac:dyDescent="0.25"/>
    <row r="170903" s="12" customFormat="1" x14ac:dyDescent="0.25"/>
    <row r="170904" s="12" customFormat="1" x14ac:dyDescent="0.25"/>
    <row r="170905" s="12" customFormat="1" x14ac:dyDescent="0.25"/>
    <row r="170906" s="12" customFormat="1" x14ac:dyDescent="0.25"/>
    <row r="170907" s="12" customFormat="1" x14ac:dyDescent="0.25"/>
    <row r="170908" s="12" customFormat="1" x14ac:dyDescent="0.25"/>
    <row r="170909" s="12" customFormat="1" x14ac:dyDescent="0.25"/>
    <row r="170910" s="12" customFormat="1" x14ac:dyDescent="0.25"/>
    <row r="170911" s="12" customFormat="1" x14ac:dyDescent="0.25"/>
    <row r="170912" s="12" customFormat="1" x14ac:dyDescent="0.25"/>
    <row r="170913" s="12" customFormat="1" x14ac:dyDescent="0.25"/>
    <row r="170914" s="12" customFormat="1" x14ac:dyDescent="0.25"/>
    <row r="170915" s="12" customFormat="1" x14ac:dyDescent="0.25"/>
    <row r="170916" s="12" customFormat="1" x14ac:dyDescent="0.25"/>
    <row r="170917" s="12" customFormat="1" x14ac:dyDescent="0.25"/>
    <row r="170918" s="12" customFormat="1" x14ac:dyDescent="0.25"/>
    <row r="170919" s="12" customFormat="1" x14ac:dyDescent="0.25"/>
    <row r="170920" s="12" customFormat="1" x14ac:dyDescent="0.25"/>
    <row r="170921" s="12" customFormat="1" x14ac:dyDescent="0.25"/>
    <row r="170922" s="12" customFormat="1" x14ac:dyDescent="0.25"/>
    <row r="170923" s="12" customFormat="1" x14ac:dyDescent="0.25"/>
    <row r="170924" s="12" customFormat="1" x14ac:dyDescent="0.25"/>
    <row r="170925" s="12" customFormat="1" x14ac:dyDescent="0.25"/>
    <row r="170926" s="12" customFormat="1" x14ac:dyDescent="0.25"/>
    <row r="170927" s="12" customFormat="1" x14ac:dyDescent="0.25"/>
    <row r="170928" s="12" customFormat="1" x14ac:dyDescent="0.25"/>
    <row r="170929" s="12" customFormat="1" x14ac:dyDescent="0.25"/>
    <row r="170930" s="12" customFormat="1" x14ac:dyDescent="0.25"/>
    <row r="170931" s="12" customFormat="1" x14ac:dyDescent="0.25"/>
    <row r="170932" s="12" customFormat="1" x14ac:dyDescent="0.25"/>
    <row r="170933" s="12" customFormat="1" x14ac:dyDescent="0.25"/>
    <row r="170934" s="12" customFormat="1" x14ac:dyDescent="0.25"/>
    <row r="170935" s="12" customFormat="1" x14ac:dyDescent="0.25"/>
    <row r="170936" s="12" customFormat="1" x14ac:dyDescent="0.25"/>
    <row r="170937" s="12" customFormat="1" x14ac:dyDescent="0.25"/>
    <row r="170938" s="12" customFormat="1" x14ac:dyDescent="0.25"/>
    <row r="170939" s="12" customFormat="1" x14ac:dyDescent="0.25"/>
    <row r="170940" s="12" customFormat="1" x14ac:dyDescent="0.25"/>
    <row r="170941" s="12" customFormat="1" x14ac:dyDescent="0.25"/>
    <row r="170942" s="12" customFormat="1" x14ac:dyDescent="0.25"/>
    <row r="170943" s="12" customFormat="1" x14ac:dyDescent="0.25"/>
    <row r="170944" s="12" customFormat="1" x14ac:dyDescent="0.25"/>
    <row r="170945" s="12" customFormat="1" x14ac:dyDescent="0.25"/>
    <row r="170946" s="12" customFormat="1" x14ac:dyDescent="0.25"/>
    <row r="170947" s="12" customFormat="1" x14ac:dyDescent="0.25"/>
    <row r="170948" s="12" customFormat="1" x14ac:dyDescent="0.25"/>
    <row r="170949" s="12" customFormat="1" x14ac:dyDescent="0.25"/>
    <row r="170950" s="12" customFormat="1" x14ac:dyDescent="0.25"/>
    <row r="170951" s="12" customFormat="1" x14ac:dyDescent="0.25"/>
    <row r="170952" s="12" customFormat="1" x14ac:dyDescent="0.25"/>
    <row r="170953" s="12" customFormat="1" x14ac:dyDescent="0.25"/>
    <row r="170954" s="12" customFormat="1" x14ac:dyDescent="0.25"/>
    <row r="170955" s="12" customFormat="1" x14ac:dyDescent="0.25"/>
    <row r="170956" s="12" customFormat="1" x14ac:dyDescent="0.25"/>
    <row r="170957" s="12" customFormat="1" x14ac:dyDescent="0.25"/>
    <row r="170958" s="12" customFormat="1" x14ac:dyDescent="0.25"/>
    <row r="170959" s="12" customFormat="1" x14ac:dyDescent="0.25"/>
    <row r="170960" s="12" customFormat="1" x14ac:dyDescent="0.25"/>
    <row r="170961" s="12" customFormat="1" x14ac:dyDescent="0.25"/>
    <row r="170962" s="12" customFormat="1" x14ac:dyDescent="0.25"/>
    <row r="170963" s="12" customFormat="1" x14ac:dyDescent="0.25"/>
    <row r="170964" s="12" customFormat="1" x14ac:dyDescent="0.25"/>
    <row r="170965" s="12" customFormat="1" x14ac:dyDescent="0.25"/>
    <row r="170966" s="12" customFormat="1" x14ac:dyDescent="0.25"/>
    <row r="170967" s="12" customFormat="1" x14ac:dyDescent="0.25"/>
    <row r="170968" s="12" customFormat="1" x14ac:dyDescent="0.25"/>
    <row r="170969" s="12" customFormat="1" x14ac:dyDescent="0.25"/>
    <row r="170970" s="12" customFormat="1" x14ac:dyDescent="0.25"/>
    <row r="170971" s="12" customFormat="1" x14ac:dyDescent="0.25"/>
    <row r="170972" s="12" customFormat="1" x14ac:dyDescent="0.25"/>
    <row r="170973" s="12" customFormat="1" x14ac:dyDescent="0.25"/>
    <row r="170974" s="12" customFormat="1" x14ac:dyDescent="0.25"/>
    <row r="170975" s="12" customFormat="1" x14ac:dyDescent="0.25"/>
    <row r="170976" s="12" customFormat="1" x14ac:dyDescent="0.25"/>
    <row r="170977" s="12" customFormat="1" x14ac:dyDescent="0.25"/>
    <row r="170978" s="12" customFormat="1" x14ac:dyDescent="0.25"/>
    <row r="170979" s="12" customFormat="1" x14ac:dyDescent="0.25"/>
    <row r="170980" s="12" customFormat="1" x14ac:dyDescent="0.25"/>
    <row r="170981" s="12" customFormat="1" x14ac:dyDescent="0.25"/>
    <row r="170982" s="12" customFormat="1" x14ac:dyDescent="0.25"/>
    <row r="170983" s="12" customFormat="1" x14ac:dyDescent="0.25"/>
    <row r="170984" s="12" customFormat="1" x14ac:dyDescent="0.25"/>
    <row r="170985" s="12" customFormat="1" x14ac:dyDescent="0.25"/>
    <row r="170986" s="12" customFormat="1" x14ac:dyDescent="0.25"/>
    <row r="170987" s="12" customFormat="1" x14ac:dyDescent="0.25"/>
    <row r="170988" s="12" customFormat="1" x14ac:dyDescent="0.25"/>
    <row r="170989" s="12" customFormat="1" x14ac:dyDescent="0.25"/>
    <row r="170990" s="12" customFormat="1" x14ac:dyDescent="0.25"/>
    <row r="170991" s="12" customFormat="1" x14ac:dyDescent="0.25"/>
    <row r="170992" s="12" customFormat="1" x14ac:dyDescent="0.25"/>
    <row r="170993" s="12" customFormat="1" x14ac:dyDescent="0.25"/>
    <row r="170994" s="12" customFormat="1" x14ac:dyDescent="0.25"/>
    <row r="170995" s="12" customFormat="1" x14ac:dyDescent="0.25"/>
    <row r="170996" s="12" customFormat="1" x14ac:dyDescent="0.25"/>
    <row r="170997" s="12" customFormat="1" x14ac:dyDescent="0.25"/>
    <row r="170998" s="12" customFormat="1" x14ac:dyDescent="0.25"/>
    <row r="170999" s="12" customFormat="1" x14ac:dyDescent="0.25"/>
    <row r="171000" s="12" customFormat="1" x14ac:dyDescent="0.25"/>
    <row r="171001" s="12" customFormat="1" x14ac:dyDescent="0.25"/>
    <row r="171002" s="12" customFormat="1" x14ac:dyDescent="0.25"/>
    <row r="171003" s="12" customFormat="1" x14ac:dyDescent="0.25"/>
    <row r="171004" s="12" customFormat="1" x14ac:dyDescent="0.25"/>
    <row r="171005" s="12" customFormat="1" x14ac:dyDescent="0.25"/>
    <row r="171006" s="12" customFormat="1" x14ac:dyDescent="0.25"/>
    <row r="171007" s="12" customFormat="1" x14ac:dyDescent="0.25"/>
    <row r="171008" s="12" customFormat="1" x14ac:dyDescent="0.25"/>
    <row r="171009" s="12" customFormat="1" x14ac:dyDescent="0.25"/>
    <row r="171010" s="12" customFormat="1" x14ac:dyDescent="0.25"/>
    <row r="171011" s="12" customFormat="1" x14ac:dyDescent="0.25"/>
    <row r="171012" s="12" customFormat="1" x14ac:dyDescent="0.25"/>
    <row r="171013" s="12" customFormat="1" x14ac:dyDescent="0.25"/>
    <row r="171014" s="12" customFormat="1" x14ac:dyDescent="0.25"/>
    <row r="171015" s="12" customFormat="1" x14ac:dyDescent="0.25"/>
    <row r="171016" s="12" customFormat="1" x14ac:dyDescent="0.25"/>
    <row r="171017" s="12" customFormat="1" x14ac:dyDescent="0.25"/>
    <row r="171018" s="12" customFormat="1" x14ac:dyDescent="0.25"/>
    <row r="171019" s="12" customFormat="1" x14ac:dyDescent="0.25"/>
    <row r="171020" s="12" customFormat="1" x14ac:dyDescent="0.25"/>
    <row r="171021" s="12" customFormat="1" x14ac:dyDescent="0.25"/>
    <row r="171022" s="12" customFormat="1" x14ac:dyDescent="0.25"/>
    <row r="171023" s="12" customFormat="1" x14ac:dyDescent="0.25"/>
    <row r="171024" s="12" customFormat="1" x14ac:dyDescent="0.25"/>
    <row r="171025" s="12" customFormat="1" x14ac:dyDescent="0.25"/>
    <row r="171026" s="12" customFormat="1" x14ac:dyDescent="0.25"/>
    <row r="171027" s="12" customFormat="1" x14ac:dyDescent="0.25"/>
    <row r="171028" s="12" customFormat="1" x14ac:dyDescent="0.25"/>
    <row r="171029" s="12" customFormat="1" x14ac:dyDescent="0.25"/>
    <row r="171030" s="12" customFormat="1" x14ac:dyDescent="0.25"/>
    <row r="171031" s="12" customFormat="1" x14ac:dyDescent="0.25"/>
    <row r="171032" s="12" customFormat="1" x14ac:dyDescent="0.25"/>
    <row r="171033" s="12" customFormat="1" x14ac:dyDescent="0.25"/>
    <row r="171034" s="12" customFormat="1" x14ac:dyDescent="0.25"/>
    <row r="171035" s="12" customFormat="1" x14ac:dyDescent="0.25"/>
    <row r="171036" s="12" customFormat="1" x14ac:dyDescent="0.25"/>
    <row r="171037" s="12" customFormat="1" x14ac:dyDescent="0.25"/>
    <row r="171038" s="12" customFormat="1" x14ac:dyDescent="0.25"/>
    <row r="171039" s="12" customFormat="1" x14ac:dyDescent="0.25"/>
    <row r="171040" s="12" customFormat="1" x14ac:dyDescent="0.25"/>
    <row r="171041" s="12" customFormat="1" x14ac:dyDescent="0.25"/>
    <row r="171042" s="12" customFormat="1" x14ac:dyDescent="0.25"/>
    <row r="171043" s="12" customFormat="1" x14ac:dyDescent="0.25"/>
    <row r="171044" s="12" customFormat="1" x14ac:dyDescent="0.25"/>
    <row r="171045" s="12" customFormat="1" x14ac:dyDescent="0.25"/>
    <row r="171046" s="12" customFormat="1" x14ac:dyDescent="0.25"/>
    <row r="171047" s="12" customFormat="1" x14ac:dyDescent="0.25"/>
    <row r="171048" s="12" customFormat="1" x14ac:dyDescent="0.25"/>
    <row r="171049" s="12" customFormat="1" x14ac:dyDescent="0.25"/>
    <row r="171050" s="12" customFormat="1" x14ac:dyDescent="0.25"/>
    <row r="171051" s="12" customFormat="1" x14ac:dyDescent="0.25"/>
    <row r="171052" s="12" customFormat="1" x14ac:dyDescent="0.25"/>
    <row r="171053" s="12" customFormat="1" x14ac:dyDescent="0.25"/>
    <row r="171054" s="12" customFormat="1" x14ac:dyDescent="0.25"/>
    <row r="171055" s="12" customFormat="1" x14ac:dyDescent="0.25"/>
    <row r="171056" s="12" customFormat="1" x14ac:dyDescent="0.25"/>
    <row r="171057" s="12" customFormat="1" x14ac:dyDescent="0.25"/>
    <row r="171058" s="12" customFormat="1" x14ac:dyDescent="0.25"/>
    <row r="171059" s="12" customFormat="1" x14ac:dyDescent="0.25"/>
    <row r="171060" s="12" customFormat="1" x14ac:dyDescent="0.25"/>
    <row r="171061" s="12" customFormat="1" x14ac:dyDescent="0.25"/>
    <row r="171062" s="12" customFormat="1" x14ac:dyDescent="0.25"/>
    <row r="171063" s="12" customFormat="1" x14ac:dyDescent="0.25"/>
    <row r="171064" s="12" customFormat="1" x14ac:dyDescent="0.25"/>
    <row r="171065" s="12" customFormat="1" x14ac:dyDescent="0.25"/>
    <row r="171066" s="12" customFormat="1" x14ac:dyDescent="0.25"/>
    <row r="171067" s="12" customFormat="1" x14ac:dyDescent="0.25"/>
    <row r="171068" s="12" customFormat="1" x14ac:dyDescent="0.25"/>
    <row r="171069" s="12" customFormat="1" x14ac:dyDescent="0.25"/>
    <row r="171070" s="12" customFormat="1" x14ac:dyDescent="0.25"/>
    <row r="171071" s="12" customFormat="1" x14ac:dyDescent="0.25"/>
    <row r="171072" s="12" customFormat="1" x14ac:dyDescent="0.25"/>
    <row r="171073" s="12" customFormat="1" x14ac:dyDescent="0.25"/>
    <row r="171074" s="12" customFormat="1" x14ac:dyDescent="0.25"/>
    <row r="171075" s="12" customFormat="1" x14ac:dyDescent="0.25"/>
    <row r="171076" s="12" customFormat="1" x14ac:dyDescent="0.25"/>
    <row r="171077" s="12" customFormat="1" x14ac:dyDescent="0.25"/>
    <row r="171078" s="12" customFormat="1" x14ac:dyDescent="0.25"/>
    <row r="171079" s="12" customFormat="1" x14ac:dyDescent="0.25"/>
    <row r="171080" s="12" customFormat="1" x14ac:dyDescent="0.25"/>
    <row r="171081" s="12" customFormat="1" x14ac:dyDescent="0.25"/>
    <row r="171082" s="12" customFormat="1" x14ac:dyDescent="0.25"/>
    <row r="171083" s="12" customFormat="1" x14ac:dyDescent="0.25"/>
    <row r="171084" s="12" customFormat="1" x14ac:dyDescent="0.25"/>
    <row r="171085" s="12" customFormat="1" x14ac:dyDescent="0.25"/>
    <row r="171086" s="12" customFormat="1" x14ac:dyDescent="0.25"/>
    <row r="171087" s="12" customFormat="1" x14ac:dyDescent="0.25"/>
    <row r="171088" s="12" customFormat="1" x14ac:dyDescent="0.25"/>
    <row r="171089" s="12" customFormat="1" x14ac:dyDescent="0.25"/>
    <row r="171090" s="12" customFormat="1" x14ac:dyDescent="0.25"/>
    <row r="171091" s="12" customFormat="1" x14ac:dyDescent="0.25"/>
    <row r="171092" s="12" customFormat="1" x14ac:dyDescent="0.25"/>
    <row r="171093" s="12" customFormat="1" x14ac:dyDescent="0.25"/>
    <row r="171094" s="12" customFormat="1" x14ac:dyDescent="0.25"/>
    <row r="171095" s="12" customFormat="1" x14ac:dyDescent="0.25"/>
    <row r="171096" s="12" customFormat="1" x14ac:dyDescent="0.25"/>
    <row r="171097" s="12" customFormat="1" x14ac:dyDescent="0.25"/>
    <row r="171098" s="12" customFormat="1" x14ac:dyDescent="0.25"/>
    <row r="171099" s="12" customFormat="1" x14ac:dyDescent="0.25"/>
    <row r="171100" s="12" customFormat="1" x14ac:dyDescent="0.25"/>
    <row r="171101" s="12" customFormat="1" x14ac:dyDescent="0.25"/>
    <row r="171102" s="12" customFormat="1" x14ac:dyDescent="0.25"/>
    <row r="171103" s="12" customFormat="1" x14ac:dyDescent="0.25"/>
    <row r="171104" s="12" customFormat="1" x14ac:dyDescent="0.25"/>
    <row r="171105" s="12" customFormat="1" x14ac:dyDescent="0.25"/>
    <row r="171106" s="12" customFormat="1" x14ac:dyDescent="0.25"/>
    <row r="171107" s="12" customFormat="1" x14ac:dyDescent="0.25"/>
    <row r="171108" s="12" customFormat="1" x14ac:dyDescent="0.25"/>
    <row r="171109" s="12" customFormat="1" x14ac:dyDescent="0.25"/>
    <row r="171110" s="12" customFormat="1" x14ac:dyDescent="0.25"/>
    <row r="171111" s="12" customFormat="1" x14ac:dyDescent="0.25"/>
    <row r="171112" s="12" customFormat="1" x14ac:dyDescent="0.25"/>
    <row r="171113" s="12" customFormat="1" x14ac:dyDescent="0.25"/>
    <row r="171114" s="12" customFormat="1" x14ac:dyDescent="0.25"/>
    <row r="171115" s="12" customFormat="1" x14ac:dyDescent="0.25"/>
    <row r="171116" s="12" customFormat="1" x14ac:dyDescent="0.25"/>
    <row r="171117" s="12" customFormat="1" x14ac:dyDescent="0.25"/>
    <row r="171118" s="12" customFormat="1" x14ac:dyDescent="0.25"/>
    <row r="171119" s="12" customFormat="1" x14ac:dyDescent="0.25"/>
    <row r="171120" s="12" customFormat="1" x14ac:dyDescent="0.25"/>
    <row r="171121" s="12" customFormat="1" x14ac:dyDescent="0.25"/>
    <row r="171122" s="12" customFormat="1" x14ac:dyDescent="0.25"/>
    <row r="171123" s="12" customFormat="1" x14ac:dyDescent="0.25"/>
    <row r="171124" s="12" customFormat="1" x14ac:dyDescent="0.25"/>
    <row r="171125" s="12" customFormat="1" x14ac:dyDescent="0.25"/>
    <row r="171126" s="12" customFormat="1" x14ac:dyDescent="0.25"/>
    <row r="171127" s="12" customFormat="1" x14ac:dyDescent="0.25"/>
    <row r="171128" s="12" customFormat="1" x14ac:dyDescent="0.25"/>
    <row r="171129" s="12" customFormat="1" x14ac:dyDescent="0.25"/>
    <row r="171130" s="12" customFormat="1" x14ac:dyDescent="0.25"/>
    <row r="171131" s="12" customFormat="1" x14ac:dyDescent="0.25"/>
    <row r="171132" s="12" customFormat="1" x14ac:dyDescent="0.25"/>
    <row r="171133" s="12" customFormat="1" x14ac:dyDescent="0.25"/>
    <row r="171134" s="12" customFormat="1" x14ac:dyDescent="0.25"/>
    <row r="171135" s="12" customFormat="1" x14ac:dyDescent="0.25"/>
    <row r="171136" s="12" customFormat="1" x14ac:dyDescent="0.25"/>
    <row r="171137" s="12" customFormat="1" x14ac:dyDescent="0.25"/>
    <row r="171138" s="12" customFormat="1" x14ac:dyDescent="0.25"/>
    <row r="171139" s="12" customFormat="1" x14ac:dyDescent="0.25"/>
    <row r="171140" s="12" customFormat="1" x14ac:dyDescent="0.25"/>
    <row r="171141" s="12" customFormat="1" x14ac:dyDescent="0.25"/>
    <row r="171142" s="12" customFormat="1" x14ac:dyDescent="0.25"/>
    <row r="171143" s="12" customFormat="1" x14ac:dyDescent="0.25"/>
    <row r="171144" s="12" customFormat="1" x14ac:dyDescent="0.25"/>
    <row r="171145" s="12" customFormat="1" x14ac:dyDescent="0.25"/>
    <row r="171146" s="12" customFormat="1" x14ac:dyDescent="0.25"/>
    <row r="171147" s="12" customFormat="1" x14ac:dyDescent="0.25"/>
    <row r="171148" s="12" customFormat="1" x14ac:dyDescent="0.25"/>
    <row r="171149" s="12" customFormat="1" x14ac:dyDescent="0.25"/>
    <row r="171150" s="12" customFormat="1" x14ac:dyDescent="0.25"/>
    <row r="171151" s="12" customFormat="1" x14ac:dyDescent="0.25"/>
    <row r="171152" s="12" customFormat="1" x14ac:dyDescent="0.25"/>
    <row r="171153" s="12" customFormat="1" x14ac:dyDescent="0.25"/>
    <row r="171154" s="12" customFormat="1" x14ac:dyDescent="0.25"/>
    <row r="171155" s="12" customFormat="1" x14ac:dyDescent="0.25"/>
    <row r="171156" s="12" customFormat="1" x14ac:dyDescent="0.25"/>
    <row r="171157" s="12" customFormat="1" x14ac:dyDescent="0.25"/>
    <row r="171158" s="12" customFormat="1" x14ac:dyDescent="0.25"/>
    <row r="171159" s="12" customFormat="1" x14ac:dyDescent="0.25"/>
    <row r="171160" s="12" customFormat="1" x14ac:dyDescent="0.25"/>
    <row r="171161" s="12" customFormat="1" x14ac:dyDescent="0.25"/>
    <row r="171162" s="12" customFormat="1" x14ac:dyDescent="0.25"/>
    <row r="171163" s="12" customFormat="1" x14ac:dyDescent="0.25"/>
    <row r="171164" s="12" customFormat="1" x14ac:dyDescent="0.25"/>
    <row r="171165" s="12" customFormat="1" x14ac:dyDescent="0.25"/>
    <row r="171166" s="12" customFormat="1" x14ac:dyDescent="0.25"/>
    <row r="171167" s="12" customFormat="1" x14ac:dyDescent="0.25"/>
    <row r="171168" s="12" customFormat="1" x14ac:dyDescent="0.25"/>
    <row r="171169" s="12" customFormat="1" x14ac:dyDescent="0.25"/>
    <row r="171170" s="12" customFormat="1" x14ac:dyDescent="0.25"/>
    <row r="171171" s="12" customFormat="1" x14ac:dyDescent="0.25"/>
    <row r="171172" s="12" customFormat="1" x14ac:dyDescent="0.25"/>
    <row r="171173" s="12" customFormat="1" x14ac:dyDescent="0.25"/>
    <row r="171174" s="12" customFormat="1" x14ac:dyDescent="0.25"/>
    <row r="171175" s="12" customFormat="1" x14ac:dyDescent="0.25"/>
    <row r="171176" s="12" customFormat="1" x14ac:dyDescent="0.25"/>
    <row r="171177" s="12" customFormat="1" x14ac:dyDescent="0.25"/>
    <row r="171178" s="12" customFormat="1" x14ac:dyDescent="0.25"/>
    <row r="171179" s="12" customFormat="1" x14ac:dyDescent="0.25"/>
    <row r="171180" s="12" customFormat="1" x14ac:dyDescent="0.25"/>
    <row r="171181" s="12" customFormat="1" x14ac:dyDescent="0.25"/>
    <row r="171182" s="12" customFormat="1" x14ac:dyDescent="0.25"/>
    <row r="171183" s="12" customFormat="1" x14ac:dyDescent="0.25"/>
    <row r="171184" s="12" customFormat="1" x14ac:dyDescent="0.25"/>
    <row r="171185" s="12" customFormat="1" x14ac:dyDescent="0.25"/>
    <row r="171186" s="12" customFormat="1" x14ac:dyDescent="0.25"/>
    <row r="171187" s="12" customFormat="1" x14ac:dyDescent="0.25"/>
    <row r="171188" s="12" customFormat="1" x14ac:dyDescent="0.25"/>
    <row r="171189" s="12" customFormat="1" x14ac:dyDescent="0.25"/>
    <row r="171190" s="12" customFormat="1" x14ac:dyDescent="0.25"/>
    <row r="171191" s="12" customFormat="1" x14ac:dyDescent="0.25"/>
    <row r="171192" s="12" customFormat="1" x14ac:dyDescent="0.25"/>
    <row r="171193" s="12" customFormat="1" x14ac:dyDescent="0.25"/>
    <row r="171194" s="12" customFormat="1" x14ac:dyDescent="0.25"/>
    <row r="171195" s="12" customFormat="1" x14ac:dyDescent="0.25"/>
    <row r="171196" s="12" customFormat="1" x14ac:dyDescent="0.25"/>
    <row r="171197" s="12" customFormat="1" x14ac:dyDescent="0.25"/>
    <row r="171198" s="12" customFormat="1" x14ac:dyDescent="0.25"/>
    <row r="171199" s="12" customFormat="1" x14ac:dyDescent="0.25"/>
    <row r="171200" s="12" customFormat="1" x14ac:dyDescent="0.25"/>
    <row r="171201" s="12" customFormat="1" x14ac:dyDescent="0.25"/>
    <row r="171202" s="12" customFormat="1" x14ac:dyDescent="0.25"/>
    <row r="171203" s="12" customFormat="1" x14ac:dyDescent="0.25"/>
    <row r="171204" s="12" customFormat="1" x14ac:dyDescent="0.25"/>
    <row r="171205" s="12" customFormat="1" x14ac:dyDescent="0.25"/>
    <row r="171206" s="12" customFormat="1" x14ac:dyDescent="0.25"/>
    <row r="171207" s="12" customFormat="1" x14ac:dyDescent="0.25"/>
    <row r="171208" s="12" customFormat="1" x14ac:dyDescent="0.25"/>
    <row r="171209" s="12" customFormat="1" x14ac:dyDescent="0.25"/>
    <row r="171210" s="12" customFormat="1" x14ac:dyDescent="0.25"/>
    <row r="171211" s="12" customFormat="1" x14ac:dyDescent="0.25"/>
    <row r="171212" s="12" customFormat="1" x14ac:dyDescent="0.25"/>
    <row r="171213" s="12" customFormat="1" x14ac:dyDescent="0.25"/>
    <row r="171214" s="12" customFormat="1" x14ac:dyDescent="0.25"/>
    <row r="171215" s="12" customFormat="1" x14ac:dyDescent="0.25"/>
    <row r="171216" s="12" customFormat="1" x14ac:dyDescent="0.25"/>
    <row r="171217" s="12" customFormat="1" x14ac:dyDescent="0.25"/>
    <row r="171218" s="12" customFormat="1" x14ac:dyDescent="0.25"/>
    <row r="171219" s="12" customFormat="1" x14ac:dyDescent="0.25"/>
    <row r="171220" s="12" customFormat="1" x14ac:dyDescent="0.25"/>
    <row r="171221" s="12" customFormat="1" x14ac:dyDescent="0.25"/>
    <row r="171222" s="12" customFormat="1" x14ac:dyDescent="0.25"/>
    <row r="171223" s="12" customFormat="1" x14ac:dyDescent="0.25"/>
    <row r="171224" s="12" customFormat="1" x14ac:dyDescent="0.25"/>
    <row r="171225" s="12" customFormat="1" x14ac:dyDescent="0.25"/>
    <row r="171226" s="12" customFormat="1" x14ac:dyDescent="0.25"/>
    <row r="171227" s="12" customFormat="1" x14ac:dyDescent="0.25"/>
    <row r="171228" s="12" customFormat="1" x14ac:dyDescent="0.25"/>
    <row r="171229" s="12" customFormat="1" x14ac:dyDescent="0.25"/>
    <row r="171230" s="12" customFormat="1" x14ac:dyDescent="0.25"/>
    <row r="171231" s="12" customFormat="1" x14ac:dyDescent="0.25"/>
    <row r="171232" s="12" customFormat="1" x14ac:dyDescent="0.25"/>
    <row r="171233" s="12" customFormat="1" x14ac:dyDescent="0.25"/>
    <row r="171234" s="12" customFormat="1" x14ac:dyDescent="0.25"/>
    <row r="171235" s="12" customFormat="1" x14ac:dyDescent="0.25"/>
    <row r="171236" s="12" customFormat="1" x14ac:dyDescent="0.25"/>
    <row r="171237" s="12" customFormat="1" x14ac:dyDescent="0.25"/>
    <row r="171238" s="12" customFormat="1" x14ac:dyDescent="0.25"/>
    <row r="171239" s="12" customFormat="1" x14ac:dyDescent="0.25"/>
    <row r="171240" s="12" customFormat="1" x14ac:dyDescent="0.25"/>
    <row r="171241" s="12" customFormat="1" x14ac:dyDescent="0.25"/>
    <row r="171242" s="12" customFormat="1" x14ac:dyDescent="0.25"/>
    <row r="171243" s="12" customFormat="1" x14ac:dyDescent="0.25"/>
    <row r="171244" s="12" customFormat="1" x14ac:dyDescent="0.25"/>
    <row r="171245" s="12" customFormat="1" x14ac:dyDescent="0.25"/>
    <row r="171246" s="12" customFormat="1" x14ac:dyDescent="0.25"/>
    <row r="171247" s="12" customFormat="1" x14ac:dyDescent="0.25"/>
    <row r="171248" s="12" customFormat="1" x14ac:dyDescent="0.25"/>
    <row r="171249" s="12" customFormat="1" x14ac:dyDescent="0.25"/>
    <row r="171250" s="12" customFormat="1" x14ac:dyDescent="0.25"/>
    <row r="171251" s="12" customFormat="1" x14ac:dyDescent="0.25"/>
    <row r="171252" s="12" customFormat="1" x14ac:dyDescent="0.25"/>
    <row r="171253" s="12" customFormat="1" x14ac:dyDescent="0.25"/>
    <row r="171254" s="12" customFormat="1" x14ac:dyDescent="0.25"/>
    <row r="171255" s="12" customFormat="1" x14ac:dyDescent="0.25"/>
    <row r="171256" s="12" customFormat="1" x14ac:dyDescent="0.25"/>
    <row r="171257" s="12" customFormat="1" x14ac:dyDescent="0.25"/>
    <row r="171258" s="12" customFormat="1" x14ac:dyDescent="0.25"/>
    <row r="171259" s="12" customFormat="1" x14ac:dyDescent="0.25"/>
    <row r="171260" s="12" customFormat="1" x14ac:dyDescent="0.25"/>
    <row r="171261" s="12" customFormat="1" x14ac:dyDescent="0.25"/>
    <row r="171262" s="12" customFormat="1" x14ac:dyDescent="0.25"/>
    <row r="171263" s="12" customFormat="1" x14ac:dyDescent="0.25"/>
    <row r="171264" s="12" customFormat="1" x14ac:dyDescent="0.25"/>
    <row r="171265" s="12" customFormat="1" x14ac:dyDescent="0.25"/>
    <row r="171266" s="12" customFormat="1" x14ac:dyDescent="0.25"/>
    <row r="171267" s="12" customFormat="1" x14ac:dyDescent="0.25"/>
    <row r="171268" s="12" customFormat="1" x14ac:dyDescent="0.25"/>
    <row r="171269" s="12" customFormat="1" x14ac:dyDescent="0.25"/>
    <row r="171270" s="12" customFormat="1" x14ac:dyDescent="0.25"/>
    <row r="171271" s="12" customFormat="1" x14ac:dyDescent="0.25"/>
    <row r="171272" s="12" customFormat="1" x14ac:dyDescent="0.25"/>
    <row r="171273" s="12" customFormat="1" x14ac:dyDescent="0.25"/>
    <row r="171274" s="12" customFormat="1" x14ac:dyDescent="0.25"/>
    <row r="171275" s="12" customFormat="1" x14ac:dyDescent="0.25"/>
    <row r="171276" s="12" customFormat="1" x14ac:dyDescent="0.25"/>
    <row r="171277" s="12" customFormat="1" x14ac:dyDescent="0.25"/>
    <row r="171278" s="12" customFormat="1" x14ac:dyDescent="0.25"/>
    <row r="171279" s="12" customFormat="1" x14ac:dyDescent="0.25"/>
    <row r="171280" s="12" customFormat="1" x14ac:dyDescent="0.25"/>
    <row r="171281" s="12" customFormat="1" x14ac:dyDescent="0.25"/>
    <row r="171282" s="12" customFormat="1" x14ac:dyDescent="0.25"/>
    <row r="171283" s="12" customFormat="1" x14ac:dyDescent="0.25"/>
    <row r="171284" s="12" customFormat="1" x14ac:dyDescent="0.25"/>
    <row r="171285" s="12" customFormat="1" x14ac:dyDescent="0.25"/>
    <row r="171286" s="12" customFormat="1" x14ac:dyDescent="0.25"/>
    <row r="171287" s="12" customFormat="1" x14ac:dyDescent="0.25"/>
    <row r="171288" s="12" customFormat="1" x14ac:dyDescent="0.25"/>
    <row r="171289" s="12" customFormat="1" x14ac:dyDescent="0.25"/>
    <row r="171290" s="12" customFormat="1" x14ac:dyDescent="0.25"/>
    <row r="171291" s="12" customFormat="1" x14ac:dyDescent="0.25"/>
    <row r="171292" s="12" customFormat="1" x14ac:dyDescent="0.25"/>
    <row r="171293" s="12" customFormat="1" x14ac:dyDescent="0.25"/>
    <row r="171294" s="12" customFormat="1" x14ac:dyDescent="0.25"/>
    <row r="171295" s="12" customFormat="1" x14ac:dyDescent="0.25"/>
    <row r="171296" s="12" customFormat="1" x14ac:dyDescent="0.25"/>
    <row r="171297" s="12" customFormat="1" x14ac:dyDescent="0.25"/>
    <row r="171298" s="12" customFormat="1" x14ac:dyDescent="0.25"/>
    <row r="171299" s="12" customFormat="1" x14ac:dyDescent="0.25"/>
    <row r="171300" s="12" customFormat="1" x14ac:dyDescent="0.25"/>
    <row r="171301" s="12" customFormat="1" x14ac:dyDescent="0.25"/>
    <row r="171302" s="12" customFormat="1" x14ac:dyDescent="0.25"/>
    <row r="171303" s="12" customFormat="1" x14ac:dyDescent="0.25"/>
    <row r="171304" s="12" customFormat="1" x14ac:dyDescent="0.25"/>
    <row r="171305" s="12" customFormat="1" x14ac:dyDescent="0.25"/>
    <row r="171306" s="12" customFormat="1" x14ac:dyDescent="0.25"/>
    <row r="171307" s="12" customFormat="1" x14ac:dyDescent="0.25"/>
    <row r="171308" s="12" customFormat="1" x14ac:dyDescent="0.25"/>
    <row r="171309" s="12" customFormat="1" x14ac:dyDescent="0.25"/>
    <row r="171310" s="12" customFormat="1" x14ac:dyDescent="0.25"/>
    <row r="171311" s="12" customFormat="1" x14ac:dyDescent="0.25"/>
    <row r="171312" s="12" customFormat="1" x14ac:dyDescent="0.25"/>
    <row r="171313" s="12" customFormat="1" x14ac:dyDescent="0.25"/>
    <row r="171314" s="12" customFormat="1" x14ac:dyDescent="0.25"/>
    <row r="171315" s="12" customFormat="1" x14ac:dyDescent="0.25"/>
    <row r="171316" s="12" customFormat="1" x14ac:dyDescent="0.25"/>
    <row r="171317" s="12" customFormat="1" x14ac:dyDescent="0.25"/>
    <row r="171318" s="12" customFormat="1" x14ac:dyDescent="0.25"/>
    <row r="171319" s="12" customFormat="1" x14ac:dyDescent="0.25"/>
    <row r="171320" s="12" customFormat="1" x14ac:dyDescent="0.25"/>
    <row r="171321" s="12" customFormat="1" x14ac:dyDescent="0.25"/>
    <row r="171322" s="12" customFormat="1" x14ac:dyDescent="0.25"/>
    <row r="171323" s="12" customFormat="1" x14ac:dyDescent="0.25"/>
    <row r="171324" s="12" customFormat="1" x14ac:dyDescent="0.25"/>
    <row r="171325" s="12" customFormat="1" x14ac:dyDescent="0.25"/>
    <row r="171326" s="12" customFormat="1" x14ac:dyDescent="0.25"/>
    <row r="171327" s="12" customFormat="1" x14ac:dyDescent="0.25"/>
    <row r="171328" s="12" customFormat="1" x14ac:dyDescent="0.25"/>
    <row r="171329" s="12" customFormat="1" x14ac:dyDescent="0.25"/>
    <row r="171330" s="12" customFormat="1" x14ac:dyDescent="0.25"/>
    <row r="171331" s="12" customFormat="1" x14ac:dyDescent="0.25"/>
    <row r="171332" s="12" customFormat="1" x14ac:dyDescent="0.25"/>
    <row r="171333" s="12" customFormat="1" x14ac:dyDescent="0.25"/>
    <row r="171334" s="12" customFormat="1" x14ac:dyDescent="0.25"/>
    <row r="171335" s="12" customFormat="1" x14ac:dyDescent="0.25"/>
    <row r="171336" s="12" customFormat="1" x14ac:dyDescent="0.25"/>
    <row r="171337" s="12" customFormat="1" x14ac:dyDescent="0.25"/>
    <row r="171338" s="12" customFormat="1" x14ac:dyDescent="0.25"/>
    <row r="171339" s="12" customFormat="1" x14ac:dyDescent="0.25"/>
    <row r="171340" s="12" customFormat="1" x14ac:dyDescent="0.25"/>
    <row r="171341" s="12" customFormat="1" x14ac:dyDescent="0.25"/>
    <row r="171342" s="12" customFormat="1" x14ac:dyDescent="0.25"/>
    <row r="171343" s="12" customFormat="1" x14ac:dyDescent="0.25"/>
    <row r="171344" s="12" customFormat="1" x14ac:dyDescent="0.25"/>
    <row r="171345" s="12" customFormat="1" x14ac:dyDescent="0.25"/>
    <row r="171346" s="12" customFormat="1" x14ac:dyDescent="0.25"/>
    <row r="171347" s="12" customFormat="1" x14ac:dyDescent="0.25"/>
    <row r="171348" s="12" customFormat="1" x14ac:dyDescent="0.25"/>
    <row r="171349" s="12" customFormat="1" x14ac:dyDescent="0.25"/>
    <row r="171350" s="12" customFormat="1" x14ac:dyDescent="0.25"/>
    <row r="171351" s="12" customFormat="1" x14ac:dyDescent="0.25"/>
    <row r="171352" s="12" customFormat="1" x14ac:dyDescent="0.25"/>
    <row r="171353" s="12" customFormat="1" x14ac:dyDescent="0.25"/>
    <row r="171354" s="12" customFormat="1" x14ac:dyDescent="0.25"/>
    <row r="171355" s="12" customFormat="1" x14ac:dyDescent="0.25"/>
    <row r="171356" s="12" customFormat="1" x14ac:dyDescent="0.25"/>
    <row r="171357" s="12" customFormat="1" x14ac:dyDescent="0.25"/>
    <row r="171358" s="12" customFormat="1" x14ac:dyDescent="0.25"/>
    <row r="171359" s="12" customFormat="1" x14ac:dyDescent="0.25"/>
    <row r="171360" s="12" customFormat="1" x14ac:dyDescent="0.25"/>
    <row r="171361" s="12" customFormat="1" x14ac:dyDescent="0.25"/>
    <row r="171362" s="12" customFormat="1" x14ac:dyDescent="0.25"/>
    <row r="171363" s="12" customFormat="1" x14ac:dyDescent="0.25"/>
    <row r="171364" s="12" customFormat="1" x14ac:dyDescent="0.25"/>
    <row r="171365" s="12" customFormat="1" x14ac:dyDescent="0.25"/>
    <row r="171366" s="12" customFormat="1" x14ac:dyDescent="0.25"/>
    <row r="171367" s="12" customFormat="1" x14ac:dyDescent="0.25"/>
    <row r="171368" s="12" customFormat="1" x14ac:dyDescent="0.25"/>
    <row r="171369" s="12" customFormat="1" x14ac:dyDescent="0.25"/>
    <row r="171370" s="12" customFormat="1" x14ac:dyDescent="0.25"/>
    <row r="171371" s="12" customFormat="1" x14ac:dyDescent="0.25"/>
    <row r="171372" s="12" customFormat="1" x14ac:dyDescent="0.25"/>
    <row r="171373" s="12" customFormat="1" x14ac:dyDescent="0.25"/>
    <row r="171374" s="12" customFormat="1" x14ac:dyDescent="0.25"/>
    <row r="171375" s="12" customFormat="1" x14ac:dyDescent="0.25"/>
    <row r="171376" s="12" customFormat="1" x14ac:dyDescent="0.25"/>
    <row r="171377" s="12" customFormat="1" x14ac:dyDescent="0.25"/>
    <row r="171378" s="12" customFormat="1" x14ac:dyDescent="0.25"/>
    <row r="171379" s="12" customFormat="1" x14ac:dyDescent="0.25"/>
    <row r="171380" s="12" customFormat="1" x14ac:dyDescent="0.25"/>
    <row r="171381" s="12" customFormat="1" x14ac:dyDescent="0.25"/>
    <row r="171382" s="12" customFormat="1" x14ac:dyDescent="0.25"/>
    <row r="171383" s="12" customFormat="1" x14ac:dyDescent="0.25"/>
    <row r="171384" s="12" customFormat="1" x14ac:dyDescent="0.25"/>
    <row r="171385" s="12" customFormat="1" x14ac:dyDescent="0.25"/>
    <row r="171386" s="12" customFormat="1" x14ac:dyDescent="0.25"/>
    <row r="171387" s="12" customFormat="1" x14ac:dyDescent="0.25"/>
    <row r="171388" s="12" customFormat="1" x14ac:dyDescent="0.25"/>
    <row r="171389" s="12" customFormat="1" x14ac:dyDescent="0.25"/>
    <row r="171390" s="12" customFormat="1" x14ac:dyDescent="0.25"/>
    <row r="171391" s="12" customFormat="1" x14ac:dyDescent="0.25"/>
    <row r="171392" s="12" customFormat="1" x14ac:dyDescent="0.25"/>
    <row r="171393" s="12" customFormat="1" x14ac:dyDescent="0.25"/>
    <row r="171394" s="12" customFormat="1" x14ac:dyDescent="0.25"/>
    <row r="171395" s="12" customFormat="1" x14ac:dyDescent="0.25"/>
    <row r="171396" s="12" customFormat="1" x14ac:dyDescent="0.25"/>
    <row r="171397" s="12" customFormat="1" x14ac:dyDescent="0.25"/>
    <row r="171398" s="12" customFormat="1" x14ac:dyDescent="0.25"/>
    <row r="171399" s="12" customFormat="1" x14ac:dyDescent="0.25"/>
    <row r="171400" s="12" customFormat="1" x14ac:dyDescent="0.25"/>
    <row r="171401" s="12" customFormat="1" x14ac:dyDescent="0.25"/>
    <row r="171402" s="12" customFormat="1" x14ac:dyDescent="0.25"/>
    <row r="171403" s="12" customFormat="1" x14ac:dyDescent="0.25"/>
    <row r="171404" s="12" customFormat="1" x14ac:dyDescent="0.25"/>
    <row r="171405" s="12" customFormat="1" x14ac:dyDescent="0.25"/>
    <row r="171406" s="12" customFormat="1" x14ac:dyDescent="0.25"/>
    <row r="171407" s="12" customFormat="1" x14ac:dyDescent="0.25"/>
    <row r="171408" s="12" customFormat="1" x14ac:dyDescent="0.25"/>
    <row r="171409" s="12" customFormat="1" x14ac:dyDescent="0.25"/>
    <row r="171410" s="12" customFormat="1" x14ac:dyDescent="0.25"/>
    <row r="171411" s="12" customFormat="1" x14ac:dyDescent="0.25"/>
    <row r="171412" s="12" customFormat="1" x14ac:dyDescent="0.25"/>
    <row r="171413" s="12" customFormat="1" x14ac:dyDescent="0.25"/>
    <row r="171414" s="12" customFormat="1" x14ac:dyDescent="0.25"/>
    <row r="171415" s="12" customFormat="1" x14ac:dyDescent="0.25"/>
    <row r="171416" s="12" customFormat="1" x14ac:dyDescent="0.25"/>
    <row r="171417" s="12" customFormat="1" x14ac:dyDescent="0.25"/>
    <row r="171418" s="12" customFormat="1" x14ac:dyDescent="0.25"/>
    <row r="171419" s="12" customFormat="1" x14ac:dyDescent="0.25"/>
    <row r="171420" s="12" customFormat="1" x14ac:dyDescent="0.25"/>
    <row r="171421" s="12" customFormat="1" x14ac:dyDescent="0.25"/>
    <row r="171422" s="12" customFormat="1" x14ac:dyDescent="0.25"/>
    <row r="171423" s="12" customFormat="1" x14ac:dyDescent="0.25"/>
    <row r="171424" s="12" customFormat="1" x14ac:dyDescent="0.25"/>
    <row r="171425" s="12" customFormat="1" x14ac:dyDescent="0.25"/>
    <row r="171426" s="12" customFormat="1" x14ac:dyDescent="0.25"/>
    <row r="171427" s="12" customFormat="1" x14ac:dyDescent="0.25"/>
    <row r="171428" s="12" customFormat="1" x14ac:dyDescent="0.25"/>
    <row r="171429" s="12" customFormat="1" x14ac:dyDescent="0.25"/>
    <row r="171430" s="12" customFormat="1" x14ac:dyDescent="0.25"/>
    <row r="171431" s="12" customFormat="1" x14ac:dyDescent="0.25"/>
    <row r="171432" s="12" customFormat="1" x14ac:dyDescent="0.25"/>
    <row r="171433" s="12" customFormat="1" x14ac:dyDescent="0.25"/>
    <row r="171434" s="12" customFormat="1" x14ac:dyDescent="0.25"/>
    <row r="171435" s="12" customFormat="1" x14ac:dyDescent="0.25"/>
    <row r="171436" s="12" customFormat="1" x14ac:dyDescent="0.25"/>
    <row r="171437" s="12" customFormat="1" x14ac:dyDescent="0.25"/>
    <row r="171438" s="12" customFormat="1" x14ac:dyDescent="0.25"/>
    <row r="171439" s="12" customFormat="1" x14ac:dyDescent="0.25"/>
    <row r="171440" s="12" customFormat="1" x14ac:dyDescent="0.25"/>
    <row r="171441" s="12" customFormat="1" x14ac:dyDescent="0.25"/>
    <row r="171442" s="12" customFormat="1" x14ac:dyDescent="0.25"/>
    <row r="171443" s="12" customFormat="1" x14ac:dyDescent="0.25"/>
    <row r="171444" s="12" customFormat="1" x14ac:dyDescent="0.25"/>
    <row r="171445" s="12" customFormat="1" x14ac:dyDescent="0.25"/>
    <row r="171446" s="12" customFormat="1" x14ac:dyDescent="0.25"/>
    <row r="171447" s="12" customFormat="1" x14ac:dyDescent="0.25"/>
    <row r="171448" s="12" customFormat="1" x14ac:dyDescent="0.25"/>
    <row r="171449" s="12" customFormat="1" x14ac:dyDescent="0.25"/>
    <row r="171450" s="12" customFormat="1" x14ac:dyDescent="0.25"/>
    <row r="171451" s="12" customFormat="1" x14ac:dyDescent="0.25"/>
    <row r="171452" s="12" customFormat="1" x14ac:dyDescent="0.25"/>
    <row r="171453" s="12" customFormat="1" x14ac:dyDescent="0.25"/>
    <row r="171454" s="12" customFormat="1" x14ac:dyDescent="0.25"/>
    <row r="171455" s="12" customFormat="1" x14ac:dyDescent="0.25"/>
    <row r="171456" s="12" customFormat="1" x14ac:dyDescent="0.25"/>
    <row r="171457" s="12" customFormat="1" x14ac:dyDescent="0.25"/>
    <row r="171458" s="12" customFormat="1" x14ac:dyDescent="0.25"/>
    <row r="171459" s="12" customFormat="1" x14ac:dyDescent="0.25"/>
    <row r="171460" s="12" customFormat="1" x14ac:dyDescent="0.25"/>
    <row r="171461" s="12" customFormat="1" x14ac:dyDescent="0.25"/>
    <row r="171462" s="12" customFormat="1" x14ac:dyDescent="0.25"/>
    <row r="171463" s="12" customFormat="1" x14ac:dyDescent="0.25"/>
    <row r="171464" s="12" customFormat="1" x14ac:dyDescent="0.25"/>
    <row r="171465" s="12" customFormat="1" x14ac:dyDescent="0.25"/>
    <row r="171466" s="12" customFormat="1" x14ac:dyDescent="0.25"/>
    <row r="171467" s="12" customFormat="1" x14ac:dyDescent="0.25"/>
    <row r="171468" s="12" customFormat="1" x14ac:dyDescent="0.25"/>
    <row r="171469" s="12" customFormat="1" x14ac:dyDescent="0.25"/>
    <row r="171470" s="12" customFormat="1" x14ac:dyDescent="0.25"/>
    <row r="171471" s="12" customFormat="1" x14ac:dyDescent="0.25"/>
    <row r="171472" s="12" customFormat="1" x14ac:dyDescent="0.25"/>
    <row r="171473" s="12" customFormat="1" x14ac:dyDescent="0.25"/>
    <row r="171474" s="12" customFormat="1" x14ac:dyDescent="0.25"/>
    <row r="171475" s="12" customFormat="1" x14ac:dyDescent="0.25"/>
    <row r="171476" s="12" customFormat="1" x14ac:dyDescent="0.25"/>
    <row r="171477" s="12" customFormat="1" x14ac:dyDescent="0.25"/>
    <row r="171478" s="12" customFormat="1" x14ac:dyDescent="0.25"/>
    <row r="171479" s="12" customFormat="1" x14ac:dyDescent="0.25"/>
    <row r="171480" s="12" customFormat="1" x14ac:dyDescent="0.25"/>
    <row r="171481" s="12" customFormat="1" x14ac:dyDescent="0.25"/>
    <row r="171482" s="12" customFormat="1" x14ac:dyDescent="0.25"/>
    <row r="171483" s="12" customFormat="1" x14ac:dyDescent="0.25"/>
    <row r="171484" s="12" customFormat="1" x14ac:dyDescent="0.25"/>
    <row r="171485" s="12" customFormat="1" x14ac:dyDescent="0.25"/>
    <row r="171486" s="12" customFormat="1" x14ac:dyDescent="0.25"/>
    <row r="171487" s="12" customFormat="1" x14ac:dyDescent="0.25"/>
    <row r="171488" s="12" customFormat="1" x14ac:dyDescent="0.25"/>
    <row r="171489" s="12" customFormat="1" x14ac:dyDescent="0.25"/>
    <row r="171490" s="12" customFormat="1" x14ac:dyDescent="0.25"/>
    <row r="171491" s="12" customFormat="1" x14ac:dyDescent="0.25"/>
    <row r="171492" s="12" customFormat="1" x14ac:dyDescent="0.25"/>
    <row r="171493" s="12" customFormat="1" x14ac:dyDescent="0.25"/>
    <row r="171494" s="12" customFormat="1" x14ac:dyDescent="0.25"/>
    <row r="171495" s="12" customFormat="1" x14ac:dyDescent="0.25"/>
    <row r="171496" s="12" customFormat="1" x14ac:dyDescent="0.25"/>
    <row r="171497" s="12" customFormat="1" x14ac:dyDescent="0.25"/>
    <row r="171498" s="12" customFormat="1" x14ac:dyDescent="0.25"/>
    <row r="171499" s="12" customFormat="1" x14ac:dyDescent="0.25"/>
    <row r="171500" s="12" customFormat="1" x14ac:dyDescent="0.25"/>
    <row r="171501" s="12" customFormat="1" x14ac:dyDescent="0.25"/>
    <row r="171502" s="12" customFormat="1" x14ac:dyDescent="0.25"/>
    <row r="171503" s="12" customFormat="1" x14ac:dyDescent="0.25"/>
    <row r="171504" s="12" customFormat="1" x14ac:dyDescent="0.25"/>
    <row r="171505" s="12" customFormat="1" x14ac:dyDescent="0.25"/>
    <row r="171506" s="12" customFormat="1" x14ac:dyDescent="0.25"/>
    <row r="171507" s="12" customFormat="1" x14ac:dyDescent="0.25"/>
    <row r="171508" s="12" customFormat="1" x14ac:dyDescent="0.25"/>
    <row r="171509" s="12" customFormat="1" x14ac:dyDescent="0.25"/>
    <row r="171510" s="12" customFormat="1" x14ac:dyDescent="0.25"/>
    <row r="171511" s="12" customFormat="1" x14ac:dyDescent="0.25"/>
    <row r="171512" s="12" customFormat="1" x14ac:dyDescent="0.25"/>
    <row r="171513" s="12" customFormat="1" x14ac:dyDescent="0.25"/>
    <row r="171514" s="12" customFormat="1" x14ac:dyDescent="0.25"/>
    <row r="171515" s="12" customFormat="1" x14ac:dyDescent="0.25"/>
    <row r="171516" s="12" customFormat="1" x14ac:dyDescent="0.25"/>
    <row r="171517" s="12" customFormat="1" x14ac:dyDescent="0.25"/>
    <row r="171518" s="12" customFormat="1" x14ac:dyDescent="0.25"/>
    <row r="171519" s="12" customFormat="1" x14ac:dyDescent="0.25"/>
    <row r="171520" s="12" customFormat="1" x14ac:dyDescent="0.25"/>
    <row r="171521" s="12" customFormat="1" x14ac:dyDescent="0.25"/>
    <row r="171522" s="12" customFormat="1" x14ac:dyDescent="0.25"/>
    <row r="171523" s="12" customFormat="1" x14ac:dyDescent="0.25"/>
    <row r="171524" s="12" customFormat="1" x14ac:dyDescent="0.25"/>
    <row r="171525" s="12" customFormat="1" x14ac:dyDescent="0.25"/>
    <row r="171526" s="12" customFormat="1" x14ac:dyDescent="0.25"/>
    <row r="171527" s="12" customFormat="1" x14ac:dyDescent="0.25"/>
    <row r="171528" s="12" customFormat="1" x14ac:dyDescent="0.25"/>
    <row r="171529" s="12" customFormat="1" x14ac:dyDescent="0.25"/>
    <row r="171530" s="12" customFormat="1" x14ac:dyDescent="0.25"/>
    <row r="171531" s="12" customFormat="1" x14ac:dyDescent="0.25"/>
    <row r="171532" s="12" customFormat="1" x14ac:dyDescent="0.25"/>
    <row r="171533" s="12" customFormat="1" x14ac:dyDescent="0.25"/>
    <row r="171534" s="12" customFormat="1" x14ac:dyDescent="0.25"/>
    <row r="171535" s="12" customFormat="1" x14ac:dyDescent="0.25"/>
    <row r="171536" s="12" customFormat="1" x14ac:dyDescent="0.25"/>
    <row r="171537" s="12" customFormat="1" x14ac:dyDescent="0.25"/>
    <row r="171538" s="12" customFormat="1" x14ac:dyDescent="0.25"/>
    <row r="171539" s="12" customFormat="1" x14ac:dyDescent="0.25"/>
    <row r="171540" s="12" customFormat="1" x14ac:dyDescent="0.25"/>
    <row r="171541" s="12" customFormat="1" x14ac:dyDescent="0.25"/>
    <row r="171542" s="12" customFormat="1" x14ac:dyDescent="0.25"/>
    <row r="171543" s="12" customFormat="1" x14ac:dyDescent="0.25"/>
    <row r="171544" s="12" customFormat="1" x14ac:dyDescent="0.25"/>
    <row r="171545" s="12" customFormat="1" x14ac:dyDescent="0.25"/>
    <row r="171546" s="12" customFormat="1" x14ac:dyDescent="0.25"/>
    <row r="171547" s="12" customFormat="1" x14ac:dyDescent="0.25"/>
    <row r="171548" s="12" customFormat="1" x14ac:dyDescent="0.25"/>
    <row r="171549" s="12" customFormat="1" x14ac:dyDescent="0.25"/>
    <row r="171550" s="12" customFormat="1" x14ac:dyDescent="0.25"/>
    <row r="171551" s="12" customFormat="1" x14ac:dyDescent="0.25"/>
    <row r="171552" s="12" customFormat="1" x14ac:dyDescent="0.25"/>
    <row r="171553" s="12" customFormat="1" x14ac:dyDescent="0.25"/>
    <row r="171554" s="12" customFormat="1" x14ac:dyDescent="0.25"/>
    <row r="171555" s="12" customFormat="1" x14ac:dyDescent="0.25"/>
    <row r="171556" s="12" customFormat="1" x14ac:dyDescent="0.25"/>
    <row r="171557" s="12" customFormat="1" x14ac:dyDescent="0.25"/>
    <row r="171558" s="12" customFormat="1" x14ac:dyDescent="0.25"/>
    <row r="171559" s="12" customFormat="1" x14ac:dyDescent="0.25"/>
    <row r="171560" s="12" customFormat="1" x14ac:dyDescent="0.25"/>
    <row r="171561" s="12" customFormat="1" x14ac:dyDescent="0.25"/>
    <row r="171562" s="12" customFormat="1" x14ac:dyDescent="0.25"/>
    <row r="171563" s="12" customFormat="1" x14ac:dyDescent="0.25"/>
    <row r="171564" s="12" customFormat="1" x14ac:dyDescent="0.25"/>
    <row r="171565" s="12" customFormat="1" x14ac:dyDescent="0.25"/>
    <row r="171566" s="12" customFormat="1" x14ac:dyDescent="0.25"/>
    <row r="171567" s="12" customFormat="1" x14ac:dyDescent="0.25"/>
    <row r="171568" s="12" customFormat="1" x14ac:dyDescent="0.25"/>
    <row r="171569" s="12" customFormat="1" x14ac:dyDescent="0.25"/>
    <row r="171570" s="12" customFormat="1" x14ac:dyDescent="0.25"/>
    <row r="171571" s="12" customFormat="1" x14ac:dyDescent="0.25"/>
    <row r="171572" s="12" customFormat="1" x14ac:dyDescent="0.25"/>
    <row r="171573" s="12" customFormat="1" x14ac:dyDescent="0.25"/>
    <row r="171574" s="12" customFormat="1" x14ac:dyDescent="0.25"/>
    <row r="171575" s="12" customFormat="1" x14ac:dyDescent="0.25"/>
    <row r="171576" s="12" customFormat="1" x14ac:dyDescent="0.25"/>
    <row r="171577" s="12" customFormat="1" x14ac:dyDescent="0.25"/>
    <row r="171578" s="12" customFormat="1" x14ac:dyDescent="0.25"/>
    <row r="171579" s="12" customFormat="1" x14ac:dyDescent="0.25"/>
    <row r="171580" s="12" customFormat="1" x14ac:dyDescent="0.25"/>
    <row r="171581" s="12" customFormat="1" x14ac:dyDescent="0.25"/>
    <row r="171582" s="12" customFormat="1" x14ac:dyDescent="0.25"/>
    <row r="171583" s="12" customFormat="1" x14ac:dyDescent="0.25"/>
    <row r="171584" s="12" customFormat="1" x14ac:dyDescent="0.25"/>
    <row r="171585" s="12" customFormat="1" x14ac:dyDescent="0.25"/>
    <row r="171586" s="12" customFormat="1" x14ac:dyDescent="0.25"/>
    <row r="171587" s="12" customFormat="1" x14ac:dyDescent="0.25"/>
    <row r="171588" s="12" customFormat="1" x14ac:dyDescent="0.25"/>
    <row r="171589" s="12" customFormat="1" x14ac:dyDescent="0.25"/>
    <row r="171590" s="12" customFormat="1" x14ac:dyDescent="0.25"/>
    <row r="171591" s="12" customFormat="1" x14ac:dyDescent="0.25"/>
    <row r="171592" s="12" customFormat="1" x14ac:dyDescent="0.25"/>
    <row r="171593" s="12" customFormat="1" x14ac:dyDescent="0.25"/>
    <row r="171594" s="12" customFormat="1" x14ac:dyDescent="0.25"/>
    <row r="171595" s="12" customFormat="1" x14ac:dyDescent="0.25"/>
    <row r="171596" s="12" customFormat="1" x14ac:dyDescent="0.25"/>
    <row r="171597" s="12" customFormat="1" x14ac:dyDescent="0.25"/>
    <row r="171598" s="12" customFormat="1" x14ac:dyDescent="0.25"/>
    <row r="171599" s="12" customFormat="1" x14ac:dyDescent="0.25"/>
    <row r="171600" s="12" customFormat="1" x14ac:dyDescent="0.25"/>
    <row r="171601" s="12" customFormat="1" x14ac:dyDescent="0.25"/>
    <row r="171602" s="12" customFormat="1" x14ac:dyDescent="0.25"/>
    <row r="171603" s="12" customFormat="1" x14ac:dyDescent="0.25"/>
    <row r="171604" s="12" customFormat="1" x14ac:dyDescent="0.25"/>
    <row r="171605" s="12" customFormat="1" x14ac:dyDescent="0.25"/>
    <row r="171606" s="12" customFormat="1" x14ac:dyDescent="0.25"/>
    <row r="171607" s="12" customFormat="1" x14ac:dyDescent="0.25"/>
    <row r="171608" s="12" customFormat="1" x14ac:dyDescent="0.25"/>
    <row r="171609" s="12" customFormat="1" x14ac:dyDescent="0.25"/>
    <row r="171610" s="12" customFormat="1" x14ac:dyDescent="0.25"/>
    <row r="171611" s="12" customFormat="1" x14ac:dyDescent="0.25"/>
    <row r="171612" s="12" customFormat="1" x14ac:dyDescent="0.25"/>
    <row r="171613" s="12" customFormat="1" x14ac:dyDescent="0.25"/>
    <row r="171614" s="12" customFormat="1" x14ac:dyDescent="0.25"/>
    <row r="171615" s="12" customFormat="1" x14ac:dyDescent="0.25"/>
    <row r="171616" s="12" customFormat="1" x14ac:dyDescent="0.25"/>
    <row r="171617" s="12" customFormat="1" x14ac:dyDescent="0.25"/>
    <row r="171618" s="12" customFormat="1" x14ac:dyDescent="0.25"/>
    <row r="171619" s="12" customFormat="1" x14ac:dyDescent="0.25"/>
    <row r="171620" s="12" customFormat="1" x14ac:dyDescent="0.25"/>
    <row r="171621" s="12" customFormat="1" x14ac:dyDescent="0.25"/>
    <row r="171622" s="12" customFormat="1" x14ac:dyDescent="0.25"/>
    <row r="171623" s="12" customFormat="1" x14ac:dyDescent="0.25"/>
    <row r="171624" s="12" customFormat="1" x14ac:dyDescent="0.25"/>
    <row r="171625" s="12" customFormat="1" x14ac:dyDescent="0.25"/>
    <row r="171626" s="12" customFormat="1" x14ac:dyDescent="0.25"/>
    <row r="171627" s="12" customFormat="1" x14ac:dyDescent="0.25"/>
    <row r="171628" s="12" customFormat="1" x14ac:dyDescent="0.25"/>
    <row r="171629" s="12" customFormat="1" x14ac:dyDescent="0.25"/>
    <row r="171630" s="12" customFormat="1" x14ac:dyDescent="0.25"/>
    <row r="171631" s="12" customFormat="1" x14ac:dyDescent="0.25"/>
    <row r="171632" s="12" customFormat="1" x14ac:dyDescent="0.25"/>
    <row r="171633" s="12" customFormat="1" x14ac:dyDescent="0.25"/>
    <row r="171634" s="12" customFormat="1" x14ac:dyDescent="0.25"/>
    <row r="171635" s="12" customFormat="1" x14ac:dyDescent="0.25"/>
    <row r="171636" s="12" customFormat="1" x14ac:dyDescent="0.25"/>
    <row r="171637" s="12" customFormat="1" x14ac:dyDescent="0.25"/>
    <row r="171638" s="12" customFormat="1" x14ac:dyDescent="0.25"/>
    <row r="171639" s="12" customFormat="1" x14ac:dyDescent="0.25"/>
    <row r="171640" s="12" customFormat="1" x14ac:dyDescent="0.25"/>
    <row r="171641" s="12" customFormat="1" x14ac:dyDescent="0.25"/>
    <row r="171642" s="12" customFormat="1" x14ac:dyDescent="0.25"/>
    <row r="171643" s="12" customFormat="1" x14ac:dyDescent="0.25"/>
    <row r="171644" s="12" customFormat="1" x14ac:dyDescent="0.25"/>
    <row r="171645" s="12" customFormat="1" x14ac:dyDescent="0.25"/>
    <row r="171646" s="12" customFormat="1" x14ac:dyDescent="0.25"/>
    <row r="171647" s="12" customFormat="1" x14ac:dyDescent="0.25"/>
    <row r="171648" s="12" customFormat="1" x14ac:dyDescent="0.25"/>
    <row r="171649" s="12" customFormat="1" x14ac:dyDescent="0.25"/>
    <row r="171650" s="12" customFormat="1" x14ac:dyDescent="0.25"/>
    <row r="171651" s="12" customFormat="1" x14ac:dyDescent="0.25"/>
    <row r="171652" s="12" customFormat="1" x14ac:dyDescent="0.25"/>
    <row r="171653" s="12" customFormat="1" x14ac:dyDescent="0.25"/>
    <row r="171654" s="12" customFormat="1" x14ac:dyDescent="0.25"/>
    <row r="171655" s="12" customFormat="1" x14ac:dyDescent="0.25"/>
    <row r="171656" s="12" customFormat="1" x14ac:dyDescent="0.25"/>
    <row r="171657" s="12" customFormat="1" x14ac:dyDescent="0.25"/>
    <row r="171658" s="12" customFormat="1" x14ac:dyDescent="0.25"/>
    <row r="171659" s="12" customFormat="1" x14ac:dyDescent="0.25"/>
    <row r="171660" s="12" customFormat="1" x14ac:dyDescent="0.25"/>
    <row r="171661" s="12" customFormat="1" x14ac:dyDescent="0.25"/>
    <row r="171662" s="12" customFormat="1" x14ac:dyDescent="0.25"/>
    <row r="171663" s="12" customFormat="1" x14ac:dyDescent="0.25"/>
    <row r="171664" s="12" customFormat="1" x14ac:dyDescent="0.25"/>
    <row r="171665" s="12" customFormat="1" x14ac:dyDescent="0.25"/>
    <row r="171666" s="12" customFormat="1" x14ac:dyDescent="0.25"/>
    <row r="171667" s="12" customFormat="1" x14ac:dyDescent="0.25"/>
    <row r="171668" s="12" customFormat="1" x14ac:dyDescent="0.25"/>
    <row r="171669" s="12" customFormat="1" x14ac:dyDescent="0.25"/>
    <row r="171670" s="12" customFormat="1" x14ac:dyDescent="0.25"/>
    <row r="171671" s="12" customFormat="1" x14ac:dyDescent="0.25"/>
    <row r="171672" s="12" customFormat="1" x14ac:dyDescent="0.25"/>
    <row r="171673" s="12" customFormat="1" x14ac:dyDescent="0.25"/>
    <row r="171674" s="12" customFormat="1" x14ac:dyDescent="0.25"/>
    <row r="171675" s="12" customFormat="1" x14ac:dyDescent="0.25"/>
    <row r="171676" s="12" customFormat="1" x14ac:dyDescent="0.25"/>
    <row r="171677" s="12" customFormat="1" x14ac:dyDescent="0.25"/>
    <row r="171678" s="12" customFormat="1" x14ac:dyDescent="0.25"/>
    <row r="171679" s="12" customFormat="1" x14ac:dyDescent="0.25"/>
    <row r="171680" s="12" customFormat="1" x14ac:dyDescent="0.25"/>
    <row r="171681" s="12" customFormat="1" x14ac:dyDescent="0.25"/>
    <row r="171682" s="12" customFormat="1" x14ac:dyDescent="0.25"/>
    <row r="171683" s="12" customFormat="1" x14ac:dyDescent="0.25"/>
    <row r="171684" s="12" customFormat="1" x14ac:dyDescent="0.25"/>
    <row r="171685" s="12" customFormat="1" x14ac:dyDescent="0.25"/>
    <row r="171686" s="12" customFormat="1" x14ac:dyDescent="0.25"/>
    <row r="171687" s="12" customFormat="1" x14ac:dyDescent="0.25"/>
    <row r="171688" s="12" customFormat="1" x14ac:dyDescent="0.25"/>
    <row r="171689" s="12" customFormat="1" x14ac:dyDescent="0.25"/>
    <row r="171690" s="12" customFormat="1" x14ac:dyDescent="0.25"/>
    <row r="171691" s="12" customFormat="1" x14ac:dyDescent="0.25"/>
    <row r="171692" s="12" customFormat="1" x14ac:dyDescent="0.25"/>
    <row r="171693" s="12" customFormat="1" x14ac:dyDescent="0.25"/>
    <row r="171694" s="12" customFormat="1" x14ac:dyDescent="0.25"/>
    <row r="171695" s="12" customFormat="1" x14ac:dyDescent="0.25"/>
    <row r="171696" s="12" customFormat="1" x14ac:dyDescent="0.25"/>
    <row r="171697" s="12" customFormat="1" x14ac:dyDescent="0.25"/>
    <row r="171698" s="12" customFormat="1" x14ac:dyDescent="0.25"/>
    <row r="171699" s="12" customFormat="1" x14ac:dyDescent="0.25"/>
    <row r="171700" s="12" customFormat="1" x14ac:dyDescent="0.25"/>
    <row r="171701" s="12" customFormat="1" x14ac:dyDescent="0.25"/>
    <row r="171702" s="12" customFormat="1" x14ac:dyDescent="0.25"/>
    <row r="171703" s="12" customFormat="1" x14ac:dyDescent="0.25"/>
    <row r="171704" s="12" customFormat="1" x14ac:dyDescent="0.25"/>
    <row r="171705" s="12" customFormat="1" x14ac:dyDescent="0.25"/>
    <row r="171706" s="12" customFormat="1" x14ac:dyDescent="0.25"/>
    <row r="171707" s="12" customFormat="1" x14ac:dyDescent="0.25"/>
    <row r="171708" s="12" customFormat="1" x14ac:dyDescent="0.25"/>
    <row r="171709" s="12" customFormat="1" x14ac:dyDescent="0.25"/>
    <row r="171710" s="12" customFormat="1" x14ac:dyDescent="0.25"/>
    <row r="171711" s="12" customFormat="1" x14ac:dyDescent="0.25"/>
    <row r="171712" s="12" customFormat="1" x14ac:dyDescent="0.25"/>
    <row r="171713" s="12" customFormat="1" x14ac:dyDescent="0.25"/>
    <row r="171714" s="12" customFormat="1" x14ac:dyDescent="0.25"/>
    <row r="171715" s="12" customFormat="1" x14ac:dyDescent="0.25"/>
    <row r="171716" s="12" customFormat="1" x14ac:dyDescent="0.25"/>
    <row r="171717" s="12" customFormat="1" x14ac:dyDescent="0.25"/>
    <row r="171718" s="12" customFormat="1" x14ac:dyDescent="0.25"/>
    <row r="171719" s="12" customFormat="1" x14ac:dyDescent="0.25"/>
    <row r="171720" s="12" customFormat="1" x14ac:dyDescent="0.25"/>
    <row r="171721" s="12" customFormat="1" x14ac:dyDescent="0.25"/>
    <row r="171722" s="12" customFormat="1" x14ac:dyDescent="0.25"/>
    <row r="171723" s="12" customFormat="1" x14ac:dyDescent="0.25"/>
    <row r="171724" s="12" customFormat="1" x14ac:dyDescent="0.25"/>
    <row r="171725" s="12" customFormat="1" x14ac:dyDescent="0.25"/>
    <row r="171726" s="12" customFormat="1" x14ac:dyDescent="0.25"/>
    <row r="171727" s="12" customFormat="1" x14ac:dyDescent="0.25"/>
    <row r="171728" s="12" customFormat="1" x14ac:dyDescent="0.25"/>
    <row r="171729" s="12" customFormat="1" x14ac:dyDescent="0.25"/>
    <row r="171730" s="12" customFormat="1" x14ac:dyDescent="0.25"/>
    <row r="171731" s="12" customFormat="1" x14ac:dyDescent="0.25"/>
    <row r="171732" s="12" customFormat="1" x14ac:dyDescent="0.25"/>
    <row r="171733" s="12" customFormat="1" x14ac:dyDescent="0.25"/>
    <row r="171734" s="12" customFormat="1" x14ac:dyDescent="0.25"/>
    <row r="171735" s="12" customFormat="1" x14ac:dyDescent="0.25"/>
    <row r="171736" s="12" customFormat="1" x14ac:dyDescent="0.25"/>
    <row r="171737" s="12" customFormat="1" x14ac:dyDescent="0.25"/>
    <row r="171738" s="12" customFormat="1" x14ac:dyDescent="0.25"/>
    <row r="171739" s="12" customFormat="1" x14ac:dyDescent="0.25"/>
    <row r="171740" s="12" customFormat="1" x14ac:dyDescent="0.25"/>
    <row r="171741" s="12" customFormat="1" x14ac:dyDescent="0.25"/>
    <row r="171742" s="12" customFormat="1" x14ac:dyDescent="0.25"/>
    <row r="171743" s="12" customFormat="1" x14ac:dyDescent="0.25"/>
    <row r="171744" s="12" customFormat="1" x14ac:dyDescent="0.25"/>
    <row r="171745" s="12" customFormat="1" x14ac:dyDescent="0.25"/>
    <row r="171746" s="12" customFormat="1" x14ac:dyDescent="0.25"/>
    <row r="171747" s="12" customFormat="1" x14ac:dyDescent="0.25"/>
    <row r="171748" s="12" customFormat="1" x14ac:dyDescent="0.25"/>
    <row r="171749" s="12" customFormat="1" x14ac:dyDescent="0.25"/>
    <row r="171750" s="12" customFormat="1" x14ac:dyDescent="0.25"/>
    <row r="171751" s="12" customFormat="1" x14ac:dyDescent="0.25"/>
    <row r="171752" s="12" customFormat="1" x14ac:dyDescent="0.25"/>
    <row r="171753" s="12" customFormat="1" x14ac:dyDescent="0.25"/>
    <row r="171754" s="12" customFormat="1" x14ac:dyDescent="0.25"/>
    <row r="171755" s="12" customFormat="1" x14ac:dyDescent="0.25"/>
    <row r="171756" s="12" customFormat="1" x14ac:dyDescent="0.25"/>
    <row r="171757" s="12" customFormat="1" x14ac:dyDescent="0.25"/>
    <row r="171758" s="12" customFormat="1" x14ac:dyDescent="0.25"/>
    <row r="171759" s="12" customFormat="1" x14ac:dyDescent="0.25"/>
    <row r="171760" s="12" customFormat="1" x14ac:dyDescent="0.25"/>
    <row r="171761" s="12" customFormat="1" x14ac:dyDescent="0.25"/>
    <row r="171762" s="12" customFormat="1" x14ac:dyDescent="0.25"/>
    <row r="171763" s="12" customFormat="1" x14ac:dyDescent="0.25"/>
    <row r="171764" s="12" customFormat="1" x14ac:dyDescent="0.25"/>
    <row r="171765" s="12" customFormat="1" x14ac:dyDescent="0.25"/>
    <row r="171766" s="12" customFormat="1" x14ac:dyDescent="0.25"/>
    <row r="171767" s="12" customFormat="1" x14ac:dyDescent="0.25"/>
    <row r="171768" s="12" customFormat="1" x14ac:dyDescent="0.25"/>
    <row r="171769" s="12" customFormat="1" x14ac:dyDescent="0.25"/>
    <row r="171770" s="12" customFormat="1" x14ac:dyDescent="0.25"/>
    <row r="171771" s="12" customFormat="1" x14ac:dyDescent="0.25"/>
    <row r="171772" s="12" customFormat="1" x14ac:dyDescent="0.25"/>
    <row r="171773" s="12" customFormat="1" x14ac:dyDescent="0.25"/>
    <row r="171774" s="12" customFormat="1" x14ac:dyDescent="0.25"/>
    <row r="171775" s="12" customFormat="1" x14ac:dyDescent="0.25"/>
    <row r="171776" s="12" customFormat="1" x14ac:dyDescent="0.25"/>
    <row r="171777" s="12" customFormat="1" x14ac:dyDescent="0.25"/>
    <row r="171778" s="12" customFormat="1" x14ac:dyDescent="0.25"/>
    <row r="171779" s="12" customFormat="1" x14ac:dyDescent="0.25"/>
    <row r="171780" s="12" customFormat="1" x14ac:dyDescent="0.25"/>
    <row r="171781" s="12" customFormat="1" x14ac:dyDescent="0.25"/>
    <row r="171782" s="12" customFormat="1" x14ac:dyDescent="0.25"/>
    <row r="171783" s="12" customFormat="1" x14ac:dyDescent="0.25"/>
    <row r="171784" s="12" customFormat="1" x14ac:dyDescent="0.25"/>
    <row r="171785" s="12" customFormat="1" x14ac:dyDescent="0.25"/>
    <row r="171786" s="12" customFormat="1" x14ac:dyDescent="0.25"/>
    <row r="171787" s="12" customFormat="1" x14ac:dyDescent="0.25"/>
    <row r="171788" s="12" customFormat="1" x14ac:dyDescent="0.25"/>
    <row r="171789" s="12" customFormat="1" x14ac:dyDescent="0.25"/>
    <row r="171790" s="12" customFormat="1" x14ac:dyDescent="0.25"/>
    <row r="171791" s="12" customFormat="1" x14ac:dyDescent="0.25"/>
    <row r="171792" s="12" customFormat="1" x14ac:dyDescent="0.25"/>
    <row r="171793" s="12" customFormat="1" x14ac:dyDescent="0.25"/>
    <row r="171794" s="12" customFormat="1" x14ac:dyDescent="0.25"/>
    <row r="171795" s="12" customFormat="1" x14ac:dyDescent="0.25"/>
    <row r="171796" s="12" customFormat="1" x14ac:dyDescent="0.25"/>
    <row r="171797" s="12" customFormat="1" x14ac:dyDescent="0.25"/>
    <row r="171798" s="12" customFormat="1" x14ac:dyDescent="0.25"/>
    <row r="171799" s="12" customFormat="1" x14ac:dyDescent="0.25"/>
    <row r="171800" s="12" customFormat="1" x14ac:dyDescent="0.25"/>
    <row r="171801" s="12" customFormat="1" x14ac:dyDescent="0.25"/>
    <row r="171802" s="12" customFormat="1" x14ac:dyDescent="0.25"/>
    <row r="171803" s="12" customFormat="1" x14ac:dyDescent="0.25"/>
    <row r="171804" s="12" customFormat="1" x14ac:dyDescent="0.25"/>
    <row r="171805" s="12" customFormat="1" x14ac:dyDescent="0.25"/>
    <row r="171806" s="12" customFormat="1" x14ac:dyDescent="0.25"/>
    <row r="171807" s="12" customFormat="1" x14ac:dyDescent="0.25"/>
    <row r="171808" s="12" customFormat="1" x14ac:dyDescent="0.25"/>
    <row r="171809" s="12" customFormat="1" x14ac:dyDescent="0.25"/>
    <row r="171810" s="12" customFormat="1" x14ac:dyDescent="0.25"/>
    <row r="171811" s="12" customFormat="1" x14ac:dyDescent="0.25"/>
    <row r="171812" s="12" customFormat="1" x14ac:dyDescent="0.25"/>
    <row r="171813" s="12" customFormat="1" x14ac:dyDescent="0.25"/>
    <row r="171814" s="12" customFormat="1" x14ac:dyDescent="0.25"/>
    <row r="171815" s="12" customFormat="1" x14ac:dyDescent="0.25"/>
    <row r="171816" s="12" customFormat="1" x14ac:dyDescent="0.25"/>
    <row r="171817" s="12" customFormat="1" x14ac:dyDescent="0.25"/>
    <row r="171818" s="12" customFormat="1" x14ac:dyDescent="0.25"/>
    <row r="171819" s="12" customFormat="1" x14ac:dyDescent="0.25"/>
    <row r="171820" s="12" customFormat="1" x14ac:dyDescent="0.25"/>
    <row r="171821" s="12" customFormat="1" x14ac:dyDescent="0.25"/>
    <row r="171822" s="12" customFormat="1" x14ac:dyDescent="0.25"/>
    <row r="171823" s="12" customFormat="1" x14ac:dyDescent="0.25"/>
    <row r="171824" s="12" customFormat="1" x14ac:dyDescent="0.25"/>
    <row r="171825" s="12" customFormat="1" x14ac:dyDescent="0.25"/>
    <row r="171826" s="12" customFormat="1" x14ac:dyDescent="0.25"/>
    <row r="171827" s="12" customFormat="1" x14ac:dyDescent="0.25"/>
    <row r="171828" s="12" customFormat="1" x14ac:dyDescent="0.25"/>
    <row r="171829" s="12" customFormat="1" x14ac:dyDescent="0.25"/>
    <row r="171830" s="12" customFormat="1" x14ac:dyDescent="0.25"/>
    <row r="171831" s="12" customFormat="1" x14ac:dyDescent="0.25"/>
    <row r="171832" s="12" customFormat="1" x14ac:dyDescent="0.25"/>
    <row r="171833" s="12" customFormat="1" x14ac:dyDescent="0.25"/>
    <row r="171834" s="12" customFormat="1" x14ac:dyDescent="0.25"/>
    <row r="171835" s="12" customFormat="1" x14ac:dyDescent="0.25"/>
    <row r="171836" s="12" customFormat="1" x14ac:dyDescent="0.25"/>
    <row r="171837" s="12" customFormat="1" x14ac:dyDescent="0.25"/>
    <row r="171838" s="12" customFormat="1" x14ac:dyDescent="0.25"/>
    <row r="171839" s="12" customFormat="1" x14ac:dyDescent="0.25"/>
    <row r="171840" s="12" customFormat="1" x14ac:dyDescent="0.25"/>
    <row r="171841" s="12" customFormat="1" x14ac:dyDescent="0.25"/>
    <row r="171842" s="12" customFormat="1" x14ac:dyDescent="0.25"/>
    <row r="171843" s="12" customFormat="1" x14ac:dyDescent="0.25"/>
    <row r="171844" s="12" customFormat="1" x14ac:dyDescent="0.25"/>
    <row r="171845" s="12" customFormat="1" x14ac:dyDescent="0.25"/>
    <row r="171846" s="12" customFormat="1" x14ac:dyDescent="0.25"/>
    <row r="171847" s="12" customFormat="1" x14ac:dyDescent="0.25"/>
    <row r="171848" s="12" customFormat="1" x14ac:dyDescent="0.25"/>
    <row r="171849" s="12" customFormat="1" x14ac:dyDescent="0.25"/>
    <row r="171850" s="12" customFormat="1" x14ac:dyDescent="0.25"/>
    <row r="171851" s="12" customFormat="1" x14ac:dyDescent="0.25"/>
    <row r="171852" s="12" customFormat="1" x14ac:dyDescent="0.25"/>
    <row r="171853" s="12" customFormat="1" x14ac:dyDescent="0.25"/>
    <row r="171854" s="12" customFormat="1" x14ac:dyDescent="0.25"/>
    <row r="171855" s="12" customFormat="1" x14ac:dyDescent="0.25"/>
    <row r="171856" s="12" customFormat="1" x14ac:dyDescent="0.25"/>
    <row r="171857" s="12" customFormat="1" x14ac:dyDescent="0.25"/>
    <row r="171858" s="12" customFormat="1" x14ac:dyDescent="0.25"/>
    <row r="171859" s="12" customFormat="1" x14ac:dyDescent="0.25"/>
    <row r="171860" s="12" customFormat="1" x14ac:dyDescent="0.25"/>
    <row r="171861" s="12" customFormat="1" x14ac:dyDescent="0.25"/>
    <row r="171862" s="12" customFormat="1" x14ac:dyDescent="0.25"/>
    <row r="171863" s="12" customFormat="1" x14ac:dyDescent="0.25"/>
    <row r="171864" s="12" customFormat="1" x14ac:dyDescent="0.25"/>
    <row r="171865" s="12" customFormat="1" x14ac:dyDescent="0.25"/>
    <row r="171866" s="12" customFormat="1" x14ac:dyDescent="0.25"/>
    <row r="171867" s="12" customFormat="1" x14ac:dyDescent="0.25"/>
    <row r="171868" s="12" customFormat="1" x14ac:dyDescent="0.25"/>
    <row r="171869" s="12" customFormat="1" x14ac:dyDescent="0.25"/>
    <row r="171870" s="12" customFormat="1" x14ac:dyDescent="0.25"/>
    <row r="171871" s="12" customFormat="1" x14ac:dyDescent="0.25"/>
    <row r="171872" s="12" customFormat="1" x14ac:dyDescent="0.25"/>
    <row r="171873" s="12" customFormat="1" x14ac:dyDescent="0.25"/>
    <row r="171874" s="12" customFormat="1" x14ac:dyDescent="0.25"/>
    <row r="171875" s="12" customFormat="1" x14ac:dyDescent="0.25"/>
    <row r="171876" s="12" customFormat="1" x14ac:dyDescent="0.25"/>
    <row r="171877" s="12" customFormat="1" x14ac:dyDescent="0.25"/>
    <row r="171878" s="12" customFormat="1" x14ac:dyDescent="0.25"/>
    <row r="171879" s="12" customFormat="1" x14ac:dyDescent="0.25"/>
    <row r="171880" s="12" customFormat="1" x14ac:dyDescent="0.25"/>
    <row r="171881" s="12" customFormat="1" x14ac:dyDescent="0.25"/>
    <row r="171882" s="12" customFormat="1" x14ac:dyDescent="0.25"/>
    <row r="171883" s="12" customFormat="1" x14ac:dyDescent="0.25"/>
    <row r="171884" s="12" customFormat="1" x14ac:dyDescent="0.25"/>
    <row r="171885" s="12" customFormat="1" x14ac:dyDescent="0.25"/>
    <row r="171886" s="12" customFormat="1" x14ac:dyDescent="0.25"/>
    <row r="171887" s="12" customFormat="1" x14ac:dyDescent="0.25"/>
    <row r="171888" s="12" customFormat="1" x14ac:dyDescent="0.25"/>
    <row r="171889" s="12" customFormat="1" x14ac:dyDescent="0.25"/>
    <row r="171890" s="12" customFormat="1" x14ac:dyDescent="0.25"/>
    <row r="171891" s="12" customFormat="1" x14ac:dyDescent="0.25"/>
    <row r="171892" s="12" customFormat="1" x14ac:dyDescent="0.25"/>
    <row r="171893" s="12" customFormat="1" x14ac:dyDescent="0.25"/>
    <row r="171894" s="12" customFormat="1" x14ac:dyDescent="0.25"/>
    <row r="171895" s="12" customFormat="1" x14ac:dyDescent="0.25"/>
    <row r="171896" s="12" customFormat="1" x14ac:dyDescent="0.25"/>
    <row r="171897" s="12" customFormat="1" x14ac:dyDescent="0.25"/>
    <row r="171898" s="12" customFormat="1" x14ac:dyDescent="0.25"/>
    <row r="171899" s="12" customFormat="1" x14ac:dyDescent="0.25"/>
    <row r="171900" s="12" customFormat="1" x14ac:dyDescent="0.25"/>
    <row r="171901" s="12" customFormat="1" x14ac:dyDescent="0.25"/>
    <row r="171902" s="12" customFormat="1" x14ac:dyDescent="0.25"/>
    <row r="171903" s="12" customFormat="1" x14ac:dyDescent="0.25"/>
    <row r="171904" s="12" customFormat="1" x14ac:dyDescent="0.25"/>
    <row r="171905" s="12" customFormat="1" x14ac:dyDescent="0.25"/>
    <row r="171906" s="12" customFormat="1" x14ac:dyDescent="0.25"/>
    <row r="171907" s="12" customFormat="1" x14ac:dyDescent="0.25"/>
    <row r="171908" s="12" customFormat="1" x14ac:dyDescent="0.25"/>
    <row r="171909" s="12" customFormat="1" x14ac:dyDescent="0.25"/>
    <row r="171910" s="12" customFormat="1" x14ac:dyDescent="0.25"/>
    <row r="171911" s="12" customFormat="1" x14ac:dyDescent="0.25"/>
    <row r="171912" s="12" customFormat="1" x14ac:dyDescent="0.25"/>
    <row r="171913" s="12" customFormat="1" x14ac:dyDescent="0.25"/>
    <row r="171914" s="12" customFormat="1" x14ac:dyDescent="0.25"/>
    <row r="171915" s="12" customFormat="1" x14ac:dyDescent="0.25"/>
    <row r="171916" s="12" customFormat="1" x14ac:dyDescent="0.25"/>
    <row r="171917" s="12" customFormat="1" x14ac:dyDescent="0.25"/>
    <row r="171918" s="12" customFormat="1" x14ac:dyDescent="0.25"/>
    <row r="171919" s="12" customFormat="1" x14ac:dyDescent="0.25"/>
    <row r="171920" s="12" customFormat="1" x14ac:dyDescent="0.25"/>
    <row r="171921" s="12" customFormat="1" x14ac:dyDescent="0.25"/>
    <row r="171922" s="12" customFormat="1" x14ac:dyDescent="0.25"/>
    <row r="171923" s="12" customFormat="1" x14ac:dyDescent="0.25"/>
    <row r="171924" s="12" customFormat="1" x14ac:dyDescent="0.25"/>
    <row r="171925" s="12" customFormat="1" x14ac:dyDescent="0.25"/>
    <row r="171926" s="12" customFormat="1" x14ac:dyDescent="0.25"/>
    <row r="171927" s="12" customFormat="1" x14ac:dyDescent="0.25"/>
    <row r="171928" s="12" customFormat="1" x14ac:dyDescent="0.25"/>
    <row r="171929" s="12" customFormat="1" x14ac:dyDescent="0.25"/>
    <row r="171930" s="12" customFormat="1" x14ac:dyDescent="0.25"/>
    <row r="171931" s="12" customFormat="1" x14ac:dyDescent="0.25"/>
    <row r="171932" s="12" customFormat="1" x14ac:dyDescent="0.25"/>
    <row r="171933" s="12" customFormat="1" x14ac:dyDescent="0.25"/>
    <row r="171934" s="12" customFormat="1" x14ac:dyDescent="0.25"/>
    <row r="171935" s="12" customFormat="1" x14ac:dyDescent="0.25"/>
    <row r="171936" s="12" customFormat="1" x14ac:dyDescent="0.25"/>
    <row r="171937" s="12" customFormat="1" x14ac:dyDescent="0.25"/>
    <row r="171938" s="12" customFormat="1" x14ac:dyDescent="0.25"/>
    <row r="171939" s="12" customFormat="1" x14ac:dyDescent="0.25"/>
    <row r="171940" s="12" customFormat="1" x14ac:dyDescent="0.25"/>
    <row r="171941" s="12" customFormat="1" x14ac:dyDescent="0.25"/>
    <row r="171942" s="12" customFormat="1" x14ac:dyDescent="0.25"/>
    <row r="171943" s="12" customFormat="1" x14ac:dyDescent="0.25"/>
    <row r="171944" s="12" customFormat="1" x14ac:dyDescent="0.25"/>
    <row r="171945" s="12" customFormat="1" x14ac:dyDescent="0.25"/>
    <row r="171946" s="12" customFormat="1" x14ac:dyDescent="0.25"/>
    <row r="171947" s="12" customFormat="1" x14ac:dyDescent="0.25"/>
    <row r="171948" s="12" customFormat="1" x14ac:dyDescent="0.25"/>
    <row r="171949" s="12" customFormat="1" x14ac:dyDescent="0.25"/>
    <row r="171950" s="12" customFormat="1" x14ac:dyDescent="0.25"/>
    <row r="171951" s="12" customFormat="1" x14ac:dyDescent="0.25"/>
    <row r="171952" s="12" customFormat="1" x14ac:dyDescent="0.25"/>
    <row r="171953" s="12" customFormat="1" x14ac:dyDescent="0.25"/>
    <row r="171954" s="12" customFormat="1" x14ac:dyDescent="0.25"/>
    <row r="171955" s="12" customFormat="1" x14ac:dyDescent="0.25"/>
    <row r="171956" s="12" customFormat="1" x14ac:dyDescent="0.25"/>
    <row r="171957" s="12" customFormat="1" x14ac:dyDescent="0.25"/>
    <row r="171958" s="12" customFormat="1" x14ac:dyDescent="0.25"/>
    <row r="171959" s="12" customFormat="1" x14ac:dyDescent="0.25"/>
    <row r="171960" s="12" customFormat="1" x14ac:dyDescent="0.25"/>
    <row r="171961" s="12" customFormat="1" x14ac:dyDescent="0.25"/>
    <row r="171962" s="12" customFormat="1" x14ac:dyDescent="0.25"/>
    <row r="171963" s="12" customFormat="1" x14ac:dyDescent="0.25"/>
    <row r="171964" s="12" customFormat="1" x14ac:dyDescent="0.25"/>
    <row r="171965" s="12" customFormat="1" x14ac:dyDescent="0.25"/>
    <row r="171966" s="12" customFormat="1" x14ac:dyDescent="0.25"/>
    <row r="171967" s="12" customFormat="1" x14ac:dyDescent="0.25"/>
    <row r="171968" s="12" customFormat="1" x14ac:dyDescent="0.25"/>
    <row r="171969" s="12" customFormat="1" x14ac:dyDescent="0.25"/>
    <row r="171970" s="12" customFormat="1" x14ac:dyDescent="0.25"/>
    <row r="171971" s="12" customFormat="1" x14ac:dyDescent="0.25"/>
    <row r="171972" s="12" customFormat="1" x14ac:dyDescent="0.25"/>
    <row r="171973" s="12" customFormat="1" x14ac:dyDescent="0.25"/>
    <row r="171974" s="12" customFormat="1" x14ac:dyDescent="0.25"/>
    <row r="171975" s="12" customFormat="1" x14ac:dyDescent="0.25"/>
    <row r="171976" s="12" customFormat="1" x14ac:dyDescent="0.25"/>
    <row r="171977" s="12" customFormat="1" x14ac:dyDescent="0.25"/>
    <row r="171978" s="12" customFormat="1" x14ac:dyDescent="0.25"/>
    <row r="171979" s="12" customFormat="1" x14ac:dyDescent="0.25"/>
    <row r="171980" s="12" customFormat="1" x14ac:dyDescent="0.25"/>
    <row r="171981" s="12" customFormat="1" x14ac:dyDescent="0.25"/>
    <row r="171982" s="12" customFormat="1" x14ac:dyDescent="0.25"/>
    <row r="171983" s="12" customFormat="1" x14ac:dyDescent="0.25"/>
    <row r="171984" s="12" customFormat="1" x14ac:dyDescent="0.25"/>
    <row r="171985" s="12" customFormat="1" x14ac:dyDescent="0.25"/>
    <row r="171986" s="12" customFormat="1" x14ac:dyDescent="0.25"/>
    <row r="171987" s="12" customFormat="1" x14ac:dyDescent="0.25"/>
    <row r="171988" s="12" customFormat="1" x14ac:dyDescent="0.25"/>
    <row r="171989" s="12" customFormat="1" x14ac:dyDescent="0.25"/>
    <row r="171990" s="12" customFormat="1" x14ac:dyDescent="0.25"/>
    <row r="171991" s="12" customFormat="1" x14ac:dyDescent="0.25"/>
    <row r="171992" s="12" customFormat="1" x14ac:dyDescent="0.25"/>
    <row r="171993" s="12" customFormat="1" x14ac:dyDescent="0.25"/>
    <row r="171994" s="12" customFormat="1" x14ac:dyDescent="0.25"/>
    <row r="171995" s="12" customFormat="1" x14ac:dyDescent="0.25"/>
    <row r="171996" s="12" customFormat="1" x14ac:dyDescent="0.25"/>
    <row r="171997" s="12" customFormat="1" x14ac:dyDescent="0.25"/>
    <row r="171998" s="12" customFormat="1" x14ac:dyDescent="0.25"/>
    <row r="171999" s="12" customFormat="1" x14ac:dyDescent="0.25"/>
    <row r="172000" s="12" customFormat="1" x14ac:dyDescent="0.25"/>
    <row r="172001" s="12" customFormat="1" x14ac:dyDescent="0.25"/>
    <row r="172002" s="12" customFormat="1" x14ac:dyDescent="0.25"/>
    <row r="172003" s="12" customFormat="1" x14ac:dyDescent="0.25"/>
    <row r="172004" s="12" customFormat="1" x14ac:dyDescent="0.25"/>
    <row r="172005" s="12" customFormat="1" x14ac:dyDescent="0.25"/>
    <row r="172006" s="12" customFormat="1" x14ac:dyDescent="0.25"/>
    <row r="172007" s="12" customFormat="1" x14ac:dyDescent="0.25"/>
    <row r="172008" s="12" customFormat="1" x14ac:dyDescent="0.25"/>
    <row r="172009" s="12" customFormat="1" x14ac:dyDescent="0.25"/>
    <row r="172010" s="12" customFormat="1" x14ac:dyDescent="0.25"/>
    <row r="172011" s="12" customFormat="1" x14ac:dyDescent="0.25"/>
    <row r="172012" s="12" customFormat="1" x14ac:dyDescent="0.25"/>
    <row r="172013" s="12" customFormat="1" x14ac:dyDescent="0.25"/>
    <row r="172014" s="12" customFormat="1" x14ac:dyDescent="0.25"/>
    <row r="172015" s="12" customFormat="1" x14ac:dyDescent="0.25"/>
    <row r="172016" s="12" customFormat="1" x14ac:dyDescent="0.25"/>
    <row r="172017" s="12" customFormat="1" x14ac:dyDescent="0.25"/>
    <row r="172018" s="12" customFormat="1" x14ac:dyDescent="0.25"/>
    <row r="172019" s="12" customFormat="1" x14ac:dyDescent="0.25"/>
    <row r="172020" s="12" customFormat="1" x14ac:dyDescent="0.25"/>
    <row r="172021" s="12" customFormat="1" x14ac:dyDescent="0.25"/>
    <row r="172022" s="12" customFormat="1" x14ac:dyDescent="0.25"/>
    <row r="172023" s="12" customFormat="1" x14ac:dyDescent="0.25"/>
    <row r="172024" s="12" customFormat="1" x14ac:dyDescent="0.25"/>
    <row r="172025" s="12" customFormat="1" x14ac:dyDescent="0.25"/>
    <row r="172026" s="12" customFormat="1" x14ac:dyDescent="0.25"/>
    <row r="172027" s="12" customFormat="1" x14ac:dyDescent="0.25"/>
    <row r="172028" s="12" customFormat="1" x14ac:dyDescent="0.25"/>
    <row r="172029" s="12" customFormat="1" x14ac:dyDescent="0.25"/>
    <row r="172030" s="12" customFormat="1" x14ac:dyDescent="0.25"/>
    <row r="172031" s="12" customFormat="1" x14ac:dyDescent="0.25"/>
    <row r="172032" s="12" customFormat="1" x14ac:dyDescent="0.25"/>
    <row r="172033" s="12" customFormat="1" x14ac:dyDescent="0.25"/>
    <row r="172034" s="12" customFormat="1" x14ac:dyDescent="0.25"/>
    <row r="172035" s="12" customFormat="1" x14ac:dyDescent="0.25"/>
    <row r="172036" s="12" customFormat="1" x14ac:dyDescent="0.25"/>
    <row r="172037" s="12" customFormat="1" x14ac:dyDescent="0.25"/>
    <row r="172038" s="12" customFormat="1" x14ac:dyDescent="0.25"/>
    <row r="172039" s="12" customFormat="1" x14ac:dyDescent="0.25"/>
    <row r="172040" s="12" customFormat="1" x14ac:dyDescent="0.25"/>
    <row r="172041" s="12" customFormat="1" x14ac:dyDescent="0.25"/>
    <row r="172042" s="12" customFormat="1" x14ac:dyDescent="0.25"/>
    <row r="172043" s="12" customFormat="1" x14ac:dyDescent="0.25"/>
    <row r="172044" s="12" customFormat="1" x14ac:dyDescent="0.25"/>
    <row r="172045" s="12" customFormat="1" x14ac:dyDescent="0.25"/>
    <row r="172046" s="12" customFormat="1" x14ac:dyDescent="0.25"/>
    <row r="172047" s="12" customFormat="1" x14ac:dyDescent="0.25"/>
    <row r="172048" s="12" customFormat="1" x14ac:dyDescent="0.25"/>
    <row r="172049" s="12" customFormat="1" x14ac:dyDescent="0.25"/>
    <row r="172050" s="12" customFormat="1" x14ac:dyDescent="0.25"/>
    <row r="172051" s="12" customFormat="1" x14ac:dyDescent="0.25"/>
    <row r="172052" s="12" customFormat="1" x14ac:dyDescent="0.25"/>
    <row r="172053" s="12" customFormat="1" x14ac:dyDescent="0.25"/>
    <row r="172054" s="12" customFormat="1" x14ac:dyDescent="0.25"/>
    <row r="172055" s="12" customFormat="1" x14ac:dyDescent="0.25"/>
    <row r="172056" s="12" customFormat="1" x14ac:dyDescent="0.25"/>
    <row r="172057" s="12" customFormat="1" x14ac:dyDescent="0.25"/>
    <row r="172058" s="12" customFormat="1" x14ac:dyDescent="0.25"/>
    <row r="172059" s="12" customFormat="1" x14ac:dyDescent="0.25"/>
    <row r="172060" s="12" customFormat="1" x14ac:dyDescent="0.25"/>
    <row r="172061" s="12" customFormat="1" x14ac:dyDescent="0.25"/>
    <row r="172062" s="12" customFormat="1" x14ac:dyDescent="0.25"/>
    <row r="172063" s="12" customFormat="1" x14ac:dyDescent="0.25"/>
    <row r="172064" s="12" customFormat="1" x14ac:dyDescent="0.25"/>
    <row r="172065" s="12" customFormat="1" x14ac:dyDescent="0.25"/>
    <row r="172066" s="12" customFormat="1" x14ac:dyDescent="0.25"/>
    <row r="172067" s="12" customFormat="1" x14ac:dyDescent="0.25"/>
    <row r="172068" s="12" customFormat="1" x14ac:dyDescent="0.25"/>
    <row r="172069" s="12" customFormat="1" x14ac:dyDescent="0.25"/>
    <row r="172070" s="12" customFormat="1" x14ac:dyDescent="0.25"/>
    <row r="172071" s="12" customFormat="1" x14ac:dyDescent="0.25"/>
    <row r="172072" s="12" customFormat="1" x14ac:dyDescent="0.25"/>
    <row r="172073" s="12" customFormat="1" x14ac:dyDescent="0.25"/>
    <row r="172074" s="12" customFormat="1" x14ac:dyDescent="0.25"/>
    <row r="172075" s="12" customFormat="1" x14ac:dyDescent="0.25"/>
    <row r="172076" s="12" customFormat="1" x14ac:dyDescent="0.25"/>
    <row r="172077" s="12" customFormat="1" x14ac:dyDescent="0.25"/>
    <row r="172078" s="12" customFormat="1" x14ac:dyDescent="0.25"/>
    <row r="172079" s="12" customFormat="1" x14ac:dyDescent="0.25"/>
    <row r="172080" s="12" customFormat="1" x14ac:dyDescent="0.25"/>
    <row r="172081" s="12" customFormat="1" x14ac:dyDescent="0.25"/>
    <row r="172082" s="12" customFormat="1" x14ac:dyDescent="0.25"/>
    <row r="172083" s="12" customFormat="1" x14ac:dyDescent="0.25"/>
    <row r="172084" s="12" customFormat="1" x14ac:dyDescent="0.25"/>
    <row r="172085" s="12" customFormat="1" x14ac:dyDescent="0.25"/>
    <row r="172086" s="12" customFormat="1" x14ac:dyDescent="0.25"/>
    <row r="172087" s="12" customFormat="1" x14ac:dyDescent="0.25"/>
    <row r="172088" s="12" customFormat="1" x14ac:dyDescent="0.25"/>
    <row r="172089" s="12" customFormat="1" x14ac:dyDescent="0.25"/>
    <row r="172090" s="12" customFormat="1" x14ac:dyDescent="0.25"/>
    <row r="172091" s="12" customFormat="1" x14ac:dyDescent="0.25"/>
    <row r="172092" s="12" customFormat="1" x14ac:dyDescent="0.25"/>
    <row r="172093" s="12" customFormat="1" x14ac:dyDescent="0.25"/>
    <row r="172094" s="12" customFormat="1" x14ac:dyDescent="0.25"/>
    <row r="172095" s="12" customFormat="1" x14ac:dyDescent="0.25"/>
    <row r="172096" s="12" customFormat="1" x14ac:dyDescent="0.25"/>
    <row r="172097" s="12" customFormat="1" x14ac:dyDescent="0.25"/>
    <row r="172098" s="12" customFormat="1" x14ac:dyDescent="0.25"/>
    <row r="172099" s="12" customFormat="1" x14ac:dyDescent="0.25"/>
    <row r="172100" s="12" customFormat="1" x14ac:dyDescent="0.25"/>
    <row r="172101" s="12" customFormat="1" x14ac:dyDescent="0.25"/>
    <row r="172102" s="12" customFormat="1" x14ac:dyDescent="0.25"/>
    <row r="172103" s="12" customFormat="1" x14ac:dyDescent="0.25"/>
    <row r="172104" s="12" customFormat="1" x14ac:dyDescent="0.25"/>
    <row r="172105" s="12" customFormat="1" x14ac:dyDescent="0.25"/>
    <row r="172106" s="12" customFormat="1" x14ac:dyDescent="0.25"/>
    <row r="172107" s="12" customFormat="1" x14ac:dyDescent="0.25"/>
    <row r="172108" s="12" customFormat="1" x14ac:dyDescent="0.25"/>
    <row r="172109" s="12" customFormat="1" x14ac:dyDescent="0.25"/>
    <row r="172110" s="12" customFormat="1" x14ac:dyDescent="0.25"/>
    <row r="172111" s="12" customFormat="1" x14ac:dyDescent="0.25"/>
    <row r="172112" s="12" customFormat="1" x14ac:dyDescent="0.25"/>
    <row r="172113" s="12" customFormat="1" x14ac:dyDescent="0.25"/>
    <row r="172114" s="12" customFormat="1" x14ac:dyDescent="0.25"/>
    <row r="172115" s="12" customFormat="1" x14ac:dyDescent="0.25"/>
    <row r="172116" s="12" customFormat="1" x14ac:dyDescent="0.25"/>
    <row r="172117" s="12" customFormat="1" x14ac:dyDescent="0.25"/>
    <row r="172118" s="12" customFormat="1" x14ac:dyDescent="0.25"/>
    <row r="172119" s="12" customFormat="1" x14ac:dyDescent="0.25"/>
    <row r="172120" s="12" customFormat="1" x14ac:dyDescent="0.25"/>
    <row r="172121" s="12" customFormat="1" x14ac:dyDescent="0.25"/>
    <row r="172122" s="12" customFormat="1" x14ac:dyDescent="0.25"/>
    <row r="172123" s="12" customFormat="1" x14ac:dyDescent="0.25"/>
    <row r="172124" s="12" customFormat="1" x14ac:dyDescent="0.25"/>
    <row r="172125" s="12" customFormat="1" x14ac:dyDescent="0.25"/>
    <row r="172126" s="12" customFormat="1" x14ac:dyDescent="0.25"/>
    <row r="172127" s="12" customFormat="1" x14ac:dyDescent="0.25"/>
    <row r="172128" s="12" customFormat="1" x14ac:dyDescent="0.25"/>
    <row r="172129" s="12" customFormat="1" x14ac:dyDescent="0.25"/>
    <row r="172130" s="12" customFormat="1" x14ac:dyDescent="0.25"/>
    <row r="172131" s="12" customFormat="1" x14ac:dyDescent="0.25"/>
    <row r="172132" s="12" customFormat="1" x14ac:dyDescent="0.25"/>
    <row r="172133" s="12" customFormat="1" x14ac:dyDescent="0.25"/>
    <row r="172134" s="12" customFormat="1" x14ac:dyDescent="0.25"/>
    <row r="172135" s="12" customFormat="1" x14ac:dyDescent="0.25"/>
    <row r="172136" s="12" customFormat="1" x14ac:dyDescent="0.25"/>
    <row r="172137" s="12" customFormat="1" x14ac:dyDescent="0.25"/>
    <row r="172138" s="12" customFormat="1" x14ac:dyDescent="0.25"/>
    <row r="172139" s="12" customFormat="1" x14ac:dyDescent="0.25"/>
    <row r="172140" s="12" customFormat="1" x14ac:dyDescent="0.25"/>
    <row r="172141" s="12" customFormat="1" x14ac:dyDescent="0.25"/>
    <row r="172142" s="12" customFormat="1" x14ac:dyDescent="0.25"/>
    <row r="172143" s="12" customFormat="1" x14ac:dyDescent="0.25"/>
    <row r="172144" s="12" customFormat="1" x14ac:dyDescent="0.25"/>
    <row r="172145" s="12" customFormat="1" x14ac:dyDescent="0.25"/>
    <row r="172146" s="12" customFormat="1" x14ac:dyDescent="0.25"/>
    <row r="172147" s="12" customFormat="1" x14ac:dyDescent="0.25"/>
    <row r="172148" s="12" customFormat="1" x14ac:dyDescent="0.25"/>
    <row r="172149" s="12" customFormat="1" x14ac:dyDescent="0.25"/>
    <row r="172150" s="12" customFormat="1" x14ac:dyDescent="0.25"/>
    <row r="172151" s="12" customFormat="1" x14ac:dyDescent="0.25"/>
    <row r="172152" s="12" customFormat="1" x14ac:dyDescent="0.25"/>
    <row r="172153" s="12" customFormat="1" x14ac:dyDescent="0.25"/>
    <row r="172154" s="12" customFormat="1" x14ac:dyDescent="0.25"/>
    <row r="172155" s="12" customFormat="1" x14ac:dyDescent="0.25"/>
    <row r="172156" s="12" customFormat="1" x14ac:dyDescent="0.25"/>
    <row r="172157" s="12" customFormat="1" x14ac:dyDescent="0.25"/>
    <row r="172158" s="12" customFormat="1" x14ac:dyDescent="0.25"/>
    <row r="172159" s="12" customFormat="1" x14ac:dyDescent="0.25"/>
    <row r="172160" s="12" customFormat="1" x14ac:dyDescent="0.25"/>
    <row r="172161" s="12" customFormat="1" x14ac:dyDescent="0.25"/>
    <row r="172162" s="12" customFormat="1" x14ac:dyDescent="0.25"/>
    <row r="172163" s="12" customFormat="1" x14ac:dyDescent="0.25"/>
    <row r="172164" s="12" customFormat="1" x14ac:dyDescent="0.25"/>
    <row r="172165" s="12" customFormat="1" x14ac:dyDescent="0.25"/>
    <row r="172166" s="12" customFormat="1" x14ac:dyDescent="0.25"/>
    <row r="172167" s="12" customFormat="1" x14ac:dyDescent="0.25"/>
    <row r="172168" s="12" customFormat="1" x14ac:dyDescent="0.25"/>
    <row r="172169" s="12" customFormat="1" x14ac:dyDescent="0.25"/>
    <row r="172170" s="12" customFormat="1" x14ac:dyDescent="0.25"/>
    <row r="172171" s="12" customFormat="1" x14ac:dyDescent="0.25"/>
    <row r="172172" s="12" customFormat="1" x14ac:dyDescent="0.25"/>
    <row r="172173" s="12" customFormat="1" x14ac:dyDescent="0.25"/>
    <row r="172174" s="12" customFormat="1" x14ac:dyDescent="0.25"/>
    <row r="172175" s="12" customFormat="1" x14ac:dyDescent="0.25"/>
    <row r="172176" s="12" customFormat="1" x14ac:dyDescent="0.25"/>
    <row r="172177" s="12" customFormat="1" x14ac:dyDescent="0.25"/>
    <row r="172178" s="12" customFormat="1" x14ac:dyDescent="0.25"/>
    <row r="172179" s="12" customFormat="1" x14ac:dyDescent="0.25"/>
    <row r="172180" s="12" customFormat="1" x14ac:dyDescent="0.25"/>
    <row r="172181" s="12" customFormat="1" x14ac:dyDescent="0.25"/>
    <row r="172182" s="12" customFormat="1" x14ac:dyDescent="0.25"/>
    <row r="172183" s="12" customFormat="1" x14ac:dyDescent="0.25"/>
    <row r="172184" s="12" customFormat="1" x14ac:dyDescent="0.25"/>
    <row r="172185" s="12" customFormat="1" x14ac:dyDescent="0.25"/>
    <row r="172186" s="12" customFormat="1" x14ac:dyDescent="0.25"/>
    <row r="172187" s="12" customFormat="1" x14ac:dyDescent="0.25"/>
    <row r="172188" s="12" customFormat="1" x14ac:dyDescent="0.25"/>
    <row r="172189" s="12" customFormat="1" x14ac:dyDescent="0.25"/>
    <row r="172190" s="12" customFormat="1" x14ac:dyDescent="0.25"/>
    <row r="172191" s="12" customFormat="1" x14ac:dyDescent="0.25"/>
    <row r="172192" s="12" customFormat="1" x14ac:dyDescent="0.25"/>
    <row r="172193" s="12" customFormat="1" x14ac:dyDescent="0.25"/>
    <row r="172194" s="12" customFormat="1" x14ac:dyDescent="0.25"/>
    <row r="172195" s="12" customFormat="1" x14ac:dyDescent="0.25"/>
    <row r="172196" s="12" customFormat="1" x14ac:dyDescent="0.25"/>
    <row r="172197" s="12" customFormat="1" x14ac:dyDescent="0.25"/>
    <row r="172198" s="12" customFormat="1" x14ac:dyDescent="0.25"/>
    <row r="172199" s="12" customFormat="1" x14ac:dyDescent="0.25"/>
    <row r="172200" s="12" customFormat="1" x14ac:dyDescent="0.25"/>
    <row r="172201" s="12" customFormat="1" x14ac:dyDescent="0.25"/>
    <row r="172202" s="12" customFormat="1" x14ac:dyDescent="0.25"/>
    <row r="172203" s="12" customFormat="1" x14ac:dyDescent="0.25"/>
    <row r="172204" s="12" customFormat="1" x14ac:dyDescent="0.25"/>
    <row r="172205" s="12" customFormat="1" x14ac:dyDescent="0.25"/>
    <row r="172206" s="12" customFormat="1" x14ac:dyDescent="0.25"/>
    <row r="172207" s="12" customFormat="1" x14ac:dyDescent="0.25"/>
    <row r="172208" s="12" customFormat="1" x14ac:dyDescent="0.25"/>
    <row r="172209" s="12" customFormat="1" x14ac:dyDescent="0.25"/>
    <row r="172210" s="12" customFormat="1" x14ac:dyDescent="0.25"/>
    <row r="172211" s="12" customFormat="1" x14ac:dyDescent="0.25"/>
    <row r="172212" s="12" customFormat="1" x14ac:dyDescent="0.25"/>
    <row r="172213" s="12" customFormat="1" x14ac:dyDescent="0.25"/>
    <row r="172214" s="12" customFormat="1" x14ac:dyDescent="0.25"/>
    <row r="172215" s="12" customFormat="1" x14ac:dyDescent="0.25"/>
    <row r="172216" s="12" customFormat="1" x14ac:dyDescent="0.25"/>
    <row r="172217" s="12" customFormat="1" x14ac:dyDescent="0.25"/>
    <row r="172218" s="12" customFormat="1" x14ac:dyDescent="0.25"/>
    <row r="172219" s="12" customFormat="1" x14ac:dyDescent="0.25"/>
    <row r="172220" s="12" customFormat="1" x14ac:dyDescent="0.25"/>
    <row r="172221" s="12" customFormat="1" x14ac:dyDescent="0.25"/>
    <row r="172222" s="12" customFormat="1" x14ac:dyDescent="0.25"/>
    <row r="172223" s="12" customFormat="1" x14ac:dyDescent="0.25"/>
    <row r="172224" s="12" customFormat="1" x14ac:dyDescent="0.25"/>
    <row r="172225" s="12" customFormat="1" x14ac:dyDescent="0.25"/>
    <row r="172226" s="12" customFormat="1" x14ac:dyDescent="0.25"/>
    <row r="172227" s="12" customFormat="1" x14ac:dyDescent="0.25"/>
    <row r="172228" s="12" customFormat="1" x14ac:dyDescent="0.25"/>
    <row r="172229" s="12" customFormat="1" x14ac:dyDescent="0.25"/>
    <row r="172230" s="12" customFormat="1" x14ac:dyDescent="0.25"/>
    <row r="172231" s="12" customFormat="1" x14ac:dyDescent="0.25"/>
    <row r="172232" s="12" customFormat="1" x14ac:dyDescent="0.25"/>
    <row r="172233" s="12" customFormat="1" x14ac:dyDescent="0.25"/>
    <row r="172234" s="12" customFormat="1" x14ac:dyDescent="0.25"/>
    <row r="172235" s="12" customFormat="1" x14ac:dyDescent="0.25"/>
    <row r="172236" s="12" customFormat="1" x14ac:dyDescent="0.25"/>
    <row r="172237" s="12" customFormat="1" x14ac:dyDescent="0.25"/>
    <row r="172238" s="12" customFormat="1" x14ac:dyDescent="0.25"/>
    <row r="172239" s="12" customFormat="1" x14ac:dyDescent="0.25"/>
    <row r="172240" s="12" customFormat="1" x14ac:dyDescent="0.25"/>
    <row r="172241" s="12" customFormat="1" x14ac:dyDescent="0.25"/>
    <row r="172242" s="12" customFormat="1" x14ac:dyDescent="0.25"/>
    <row r="172243" s="12" customFormat="1" x14ac:dyDescent="0.25"/>
    <row r="172244" s="12" customFormat="1" x14ac:dyDescent="0.25"/>
    <row r="172245" s="12" customFormat="1" x14ac:dyDescent="0.25"/>
    <row r="172246" s="12" customFormat="1" x14ac:dyDescent="0.25"/>
    <row r="172247" s="12" customFormat="1" x14ac:dyDescent="0.25"/>
    <row r="172248" s="12" customFormat="1" x14ac:dyDescent="0.25"/>
    <row r="172249" s="12" customFormat="1" x14ac:dyDescent="0.25"/>
    <row r="172250" s="12" customFormat="1" x14ac:dyDescent="0.25"/>
    <row r="172251" s="12" customFormat="1" x14ac:dyDescent="0.25"/>
    <row r="172252" s="12" customFormat="1" x14ac:dyDescent="0.25"/>
    <row r="172253" s="12" customFormat="1" x14ac:dyDescent="0.25"/>
    <row r="172254" s="12" customFormat="1" x14ac:dyDescent="0.25"/>
    <row r="172255" s="12" customFormat="1" x14ac:dyDescent="0.25"/>
    <row r="172256" s="12" customFormat="1" x14ac:dyDescent="0.25"/>
    <row r="172257" s="12" customFormat="1" x14ac:dyDescent="0.25"/>
    <row r="172258" s="12" customFormat="1" x14ac:dyDescent="0.25"/>
    <row r="172259" s="12" customFormat="1" x14ac:dyDescent="0.25"/>
    <row r="172260" s="12" customFormat="1" x14ac:dyDescent="0.25"/>
    <row r="172261" s="12" customFormat="1" x14ac:dyDescent="0.25"/>
    <row r="172262" s="12" customFormat="1" x14ac:dyDescent="0.25"/>
    <row r="172263" s="12" customFormat="1" x14ac:dyDescent="0.25"/>
    <row r="172264" s="12" customFormat="1" x14ac:dyDescent="0.25"/>
    <row r="172265" s="12" customFormat="1" x14ac:dyDescent="0.25"/>
    <row r="172266" s="12" customFormat="1" x14ac:dyDescent="0.25"/>
    <row r="172267" s="12" customFormat="1" x14ac:dyDescent="0.25"/>
    <row r="172268" s="12" customFormat="1" x14ac:dyDescent="0.25"/>
    <row r="172269" s="12" customFormat="1" x14ac:dyDescent="0.25"/>
    <row r="172270" s="12" customFormat="1" x14ac:dyDescent="0.25"/>
    <row r="172271" s="12" customFormat="1" x14ac:dyDescent="0.25"/>
    <row r="172272" s="12" customFormat="1" x14ac:dyDescent="0.25"/>
    <row r="172273" s="12" customFormat="1" x14ac:dyDescent="0.25"/>
    <row r="172274" s="12" customFormat="1" x14ac:dyDescent="0.25"/>
    <row r="172275" s="12" customFormat="1" x14ac:dyDescent="0.25"/>
    <row r="172276" s="12" customFormat="1" x14ac:dyDescent="0.25"/>
    <row r="172277" s="12" customFormat="1" x14ac:dyDescent="0.25"/>
    <row r="172278" s="12" customFormat="1" x14ac:dyDescent="0.25"/>
    <row r="172279" s="12" customFormat="1" x14ac:dyDescent="0.25"/>
    <row r="172280" s="12" customFormat="1" x14ac:dyDescent="0.25"/>
    <row r="172281" s="12" customFormat="1" x14ac:dyDescent="0.25"/>
    <row r="172282" s="12" customFormat="1" x14ac:dyDescent="0.25"/>
    <row r="172283" s="12" customFormat="1" x14ac:dyDescent="0.25"/>
    <row r="172284" s="12" customFormat="1" x14ac:dyDescent="0.25"/>
    <row r="172285" s="12" customFormat="1" x14ac:dyDescent="0.25"/>
    <row r="172286" s="12" customFormat="1" x14ac:dyDescent="0.25"/>
    <row r="172287" s="12" customFormat="1" x14ac:dyDescent="0.25"/>
    <row r="172288" s="12" customFormat="1" x14ac:dyDescent="0.25"/>
    <row r="172289" s="12" customFormat="1" x14ac:dyDescent="0.25"/>
    <row r="172290" s="12" customFormat="1" x14ac:dyDescent="0.25"/>
    <row r="172291" s="12" customFormat="1" x14ac:dyDescent="0.25"/>
    <row r="172292" s="12" customFormat="1" x14ac:dyDescent="0.25"/>
    <row r="172293" s="12" customFormat="1" x14ac:dyDescent="0.25"/>
    <row r="172294" s="12" customFormat="1" x14ac:dyDescent="0.25"/>
    <row r="172295" s="12" customFormat="1" x14ac:dyDescent="0.25"/>
    <row r="172296" s="12" customFormat="1" x14ac:dyDescent="0.25"/>
    <row r="172297" s="12" customFormat="1" x14ac:dyDescent="0.25"/>
    <row r="172298" s="12" customFormat="1" x14ac:dyDescent="0.25"/>
    <row r="172299" s="12" customFormat="1" x14ac:dyDescent="0.25"/>
    <row r="172300" s="12" customFormat="1" x14ac:dyDescent="0.25"/>
    <row r="172301" s="12" customFormat="1" x14ac:dyDescent="0.25"/>
    <row r="172302" s="12" customFormat="1" x14ac:dyDescent="0.25"/>
    <row r="172303" s="12" customFormat="1" x14ac:dyDescent="0.25"/>
    <row r="172304" s="12" customFormat="1" x14ac:dyDescent="0.25"/>
    <row r="172305" s="12" customFormat="1" x14ac:dyDescent="0.25"/>
    <row r="172306" s="12" customFormat="1" x14ac:dyDescent="0.25"/>
    <row r="172307" s="12" customFormat="1" x14ac:dyDescent="0.25"/>
    <row r="172308" s="12" customFormat="1" x14ac:dyDescent="0.25"/>
    <row r="172309" s="12" customFormat="1" x14ac:dyDescent="0.25"/>
    <row r="172310" s="12" customFormat="1" x14ac:dyDescent="0.25"/>
    <row r="172311" s="12" customFormat="1" x14ac:dyDescent="0.25"/>
    <row r="172312" s="12" customFormat="1" x14ac:dyDescent="0.25"/>
    <row r="172313" s="12" customFormat="1" x14ac:dyDescent="0.25"/>
    <row r="172314" s="12" customFormat="1" x14ac:dyDescent="0.25"/>
    <row r="172315" s="12" customFormat="1" x14ac:dyDescent="0.25"/>
    <row r="172316" s="12" customFormat="1" x14ac:dyDescent="0.25"/>
    <row r="172317" s="12" customFormat="1" x14ac:dyDescent="0.25"/>
    <row r="172318" s="12" customFormat="1" x14ac:dyDescent="0.25"/>
    <row r="172319" s="12" customFormat="1" x14ac:dyDescent="0.25"/>
    <row r="172320" s="12" customFormat="1" x14ac:dyDescent="0.25"/>
    <row r="172321" s="12" customFormat="1" x14ac:dyDescent="0.25"/>
    <row r="172322" s="12" customFormat="1" x14ac:dyDescent="0.25"/>
    <row r="172323" s="12" customFormat="1" x14ac:dyDescent="0.25"/>
    <row r="172324" s="12" customFormat="1" x14ac:dyDescent="0.25"/>
    <row r="172325" s="12" customFormat="1" x14ac:dyDescent="0.25"/>
    <row r="172326" s="12" customFormat="1" x14ac:dyDescent="0.25"/>
    <row r="172327" s="12" customFormat="1" x14ac:dyDescent="0.25"/>
    <row r="172328" s="12" customFormat="1" x14ac:dyDescent="0.25"/>
    <row r="172329" s="12" customFormat="1" x14ac:dyDescent="0.25"/>
    <row r="172330" s="12" customFormat="1" x14ac:dyDescent="0.25"/>
    <row r="172331" s="12" customFormat="1" x14ac:dyDescent="0.25"/>
    <row r="172332" s="12" customFormat="1" x14ac:dyDescent="0.25"/>
    <row r="172333" s="12" customFormat="1" x14ac:dyDescent="0.25"/>
    <row r="172334" s="12" customFormat="1" x14ac:dyDescent="0.25"/>
    <row r="172335" s="12" customFormat="1" x14ac:dyDescent="0.25"/>
    <row r="172336" s="12" customFormat="1" x14ac:dyDescent="0.25"/>
    <row r="172337" s="12" customFormat="1" x14ac:dyDescent="0.25"/>
    <row r="172338" s="12" customFormat="1" x14ac:dyDescent="0.25"/>
    <row r="172339" s="12" customFormat="1" x14ac:dyDescent="0.25"/>
    <row r="172340" s="12" customFormat="1" x14ac:dyDescent="0.25"/>
    <row r="172341" s="12" customFormat="1" x14ac:dyDescent="0.25"/>
    <row r="172342" s="12" customFormat="1" x14ac:dyDescent="0.25"/>
    <row r="172343" s="12" customFormat="1" x14ac:dyDescent="0.25"/>
    <row r="172344" s="12" customFormat="1" x14ac:dyDescent="0.25"/>
    <row r="172345" s="12" customFormat="1" x14ac:dyDescent="0.25"/>
    <row r="172346" s="12" customFormat="1" x14ac:dyDescent="0.25"/>
    <row r="172347" s="12" customFormat="1" x14ac:dyDescent="0.25"/>
    <row r="172348" s="12" customFormat="1" x14ac:dyDescent="0.25"/>
    <row r="172349" s="12" customFormat="1" x14ac:dyDescent="0.25"/>
    <row r="172350" s="12" customFormat="1" x14ac:dyDescent="0.25"/>
    <row r="172351" s="12" customFormat="1" x14ac:dyDescent="0.25"/>
    <row r="172352" s="12" customFormat="1" x14ac:dyDescent="0.25"/>
    <row r="172353" s="12" customFormat="1" x14ac:dyDescent="0.25"/>
    <row r="172354" s="12" customFormat="1" x14ac:dyDescent="0.25"/>
    <row r="172355" s="12" customFormat="1" x14ac:dyDescent="0.25"/>
    <row r="172356" s="12" customFormat="1" x14ac:dyDescent="0.25"/>
    <row r="172357" s="12" customFormat="1" x14ac:dyDescent="0.25"/>
    <row r="172358" s="12" customFormat="1" x14ac:dyDescent="0.25"/>
    <row r="172359" s="12" customFormat="1" x14ac:dyDescent="0.25"/>
    <row r="172360" s="12" customFormat="1" x14ac:dyDescent="0.25"/>
    <row r="172361" s="12" customFormat="1" x14ac:dyDescent="0.25"/>
    <row r="172362" s="12" customFormat="1" x14ac:dyDescent="0.25"/>
    <row r="172363" s="12" customFormat="1" x14ac:dyDescent="0.25"/>
    <row r="172364" s="12" customFormat="1" x14ac:dyDescent="0.25"/>
    <row r="172365" s="12" customFormat="1" x14ac:dyDescent="0.25"/>
    <row r="172366" s="12" customFormat="1" x14ac:dyDescent="0.25"/>
    <row r="172367" s="12" customFormat="1" x14ac:dyDescent="0.25"/>
    <row r="172368" s="12" customFormat="1" x14ac:dyDescent="0.25"/>
    <row r="172369" s="12" customFormat="1" x14ac:dyDescent="0.25"/>
    <row r="172370" s="12" customFormat="1" x14ac:dyDescent="0.25"/>
    <row r="172371" s="12" customFormat="1" x14ac:dyDescent="0.25"/>
    <row r="172372" s="12" customFormat="1" x14ac:dyDescent="0.25"/>
    <row r="172373" s="12" customFormat="1" x14ac:dyDescent="0.25"/>
    <row r="172374" s="12" customFormat="1" x14ac:dyDescent="0.25"/>
    <row r="172375" s="12" customFormat="1" x14ac:dyDescent="0.25"/>
    <row r="172376" s="12" customFormat="1" x14ac:dyDescent="0.25"/>
    <row r="172377" s="12" customFormat="1" x14ac:dyDescent="0.25"/>
    <row r="172378" s="12" customFormat="1" x14ac:dyDescent="0.25"/>
    <row r="172379" s="12" customFormat="1" x14ac:dyDescent="0.25"/>
    <row r="172380" s="12" customFormat="1" x14ac:dyDescent="0.25"/>
    <row r="172381" s="12" customFormat="1" x14ac:dyDescent="0.25"/>
    <row r="172382" s="12" customFormat="1" x14ac:dyDescent="0.25"/>
    <row r="172383" s="12" customFormat="1" x14ac:dyDescent="0.25"/>
    <row r="172384" s="12" customFormat="1" x14ac:dyDescent="0.25"/>
    <row r="172385" s="12" customFormat="1" x14ac:dyDescent="0.25"/>
    <row r="172386" s="12" customFormat="1" x14ac:dyDescent="0.25"/>
    <row r="172387" s="12" customFormat="1" x14ac:dyDescent="0.25"/>
    <row r="172388" s="12" customFormat="1" x14ac:dyDescent="0.25"/>
    <row r="172389" s="12" customFormat="1" x14ac:dyDescent="0.25"/>
    <row r="172390" s="12" customFormat="1" x14ac:dyDescent="0.25"/>
    <row r="172391" s="12" customFormat="1" x14ac:dyDescent="0.25"/>
    <row r="172392" s="12" customFormat="1" x14ac:dyDescent="0.25"/>
    <row r="172393" s="12" customFormat="1" x14ac:dyDescent="0.25"/>
    <row r="172394" s="12" customFormat="1" x14ac:dyDescent="0.25"/>
    <row r="172395" s="12" customFormat="1" x14ac:dyDescent="0.25"/>
    <row r="172396" s="12" customFormat="1" x14ac:dyDescent="0.25"/>
    <row r="172397" s="12" customFormat="1" x14ac:dyDescent="0.25"/>
    <row r="172398" s="12" customFormat="1" x14ac:dyDescent="0.25"/>
    <row r="172399" s="12" customFormat="1" x14ac:dyDescent="0.25"/>
    <row r="172400" s="12" customFormat="1" x14ac:dyDescent="0.25"/>
    <row r="172401" s="12" customFormat="1" x14ac:dyDescent="0.25"/>
    <row r="172402" s="12" customFormat="1" x14ac:dyDescent="0.25"/>
    <row r="172403" s="12" customFormat="1" x14ac:dyDescent="0.25"/>
    <row r="172404" s="12" customFormat="1" x14ac:dyDescent="0.25"/>
    <row r="172405" s="12" customFormat="1" x14ac:dyDescent="0.25"/>
    <row r="172406" s="12" customFormat="1" x14ac:dyDescent="0.25"/>
    <row r="172407" s="12" customFormat="1" x14ac:dyDescent="0.25"/>
    <row r="172408" s="12" customFormat="1" x14ac:dyDescent="0.25"/>
    <row r="172409" s="12" customFormat="1" x14ac:dyDescent="0.25"/>
    <row r="172410" s="12" customFormat="1" x14ac:dyDescent="0.25"/>
    <row r="172411" s="12" customFormat="1" x14ac:dyDescent="0.25"/>
    <row r="172412" s="12" customFormat="1" x14ac:dyDescent="0.25"/>
    <row r="172413" s="12" customFormat="1" x14ac:dyDescent="0.25"/>
    <row r="172414" s="12" customFormat="1" x14ac:dyDescent="0.25"/>
    <row r="172415" s="12" customFormat="1" x14ac:dyDescent="0.25"/>
    <row r="172416" s="12" customFormat="1" x14ac:dyDescent="0.25"/>
    <row r="172417" s="12" customFormat="1" x14ac:dyDescent="0.25"/>
    <row r="172418" s="12" customFormat="1" x14ac:dyDescent="0.25"/>
    <row r="172419" s="12" customFormat="1" x14ac:dyDescent="0.25"/>
    <row r="172420" s="12" customFormat="1" x14ac:dyDescent="0.25"/>
    <row r="172421" s="12" customFormat="1" x14ac:dyDescent="0.25"/>
    <row r="172422" s="12" customFormat="1" x14ac:dyDescent="0.25"/>
    <row r="172423" s="12" customFormat="1" x14ac:dyDescent="0.25"/>
    <row r="172424" s="12" customFormat="1" x14ac:dyDescent="0.25"/>
    <row r="172425" s="12" customFormat="1" x14ac:dyDescent="0.25"/>
    <row r="172426" s="12" customFormat="1" x14ac:dyDescent="0.25"/>
    <row r="172427" s="12" customFormat="1" x14ac:dyDescent="0.25"/>
    <row r="172428" s="12" customFormat="1" x14ac:dyDescent="0.25"/>
    <row r="172429" s="12" customFormat="1" x14ac:dyDescent="0.25"/>
    <row r="172430" s="12" customFormat="1" x14ac:dyDescent="0.25"/>
    <row r="172431" s="12" customFormat="1" x14ac:dyDescent="0.25"/>
    <row r="172432" s="12" customFormat="1" x14ac:dyDescent="0.25"/>
    <row r="172433" s="12" customFormat="1" x14ac:dyDescent="0.25"/>
    <row r="172434" s="12" customFormat="1" x14ac:dyDescent="0.25"/>
    <row r="172435" s="12" customFormat="1" x14ac:dyDescent="0.25"/>
    <row r="172436" s="12" customFormat="1" x14ac:dyDescent="0.25"/>
    <row r="172437" s="12" customFormat="1" x14ac:dyDescent="0.25"/>
    <row r="172438" s="12" customFormat="1" x14ac:dyDescent="0.25"/>
    <row r="172439" s="12" customFormat="1" x14ac:dyDescent="0.25"/>
    <row r="172440" s="12" customFormat="1" x14ac:dyDescent="0.25"/>
    <row r="172441" s="12" customFormat="1" x14ac:dyDescent="0.25"/>
    <row r="172442" s="12" customFormat="1" x14ac:dyDescent="0.25"/>
    <row r="172443" s="12" customFormat="1" x14ac:dyDescent="0.25"/>
    <row r="172444" s="12" customFormat="1" x14ac:dyDescent="0.25"/>
    <row r="172445" s="12" customFormat="1" x14ac:dyDescent="0.25"/>
    <row r="172446" s="12" customFormat="1" x14ac:dyDescent="0.25"/>
    <row r="172447" s="12" customFormat="1" x14ac:dyDescent="0.25"/>
    <row r="172448" s="12" customFormat="1" x14ac:dyDescent="0.25"/>
    <row r="172449" s="12" customFormat="1" x14ac:dyDescent="0.25"/>
    <row r="172450" s="12" customFormat="1" x14ac:dyDescent="0.25"/>
    <row r="172451" s="12" customFormat="1" x14ac:dyDescent="0.25"/>
    <row r="172452" s="12" customFormat="1" x14ac:dyDescent="0.25"/>
    <row r="172453" s="12" customFormat="1" x14ac:dyDescent="0.25"/>
    <row r="172454" s="12" customFormat="1" x14ac:dyDescent="0.25"/>
    <row r="172455" s="12" customFormat="1" x14ac:dyDescent="0.25"/>
    <row r="172456" s="12" customFormat="1" x14ac:dyDescent="0.25"/>
    <row r="172457" s="12" customFormat="1" x14ac:dyDescent="0.25"/>
    <row r="172458" s="12" customFormat="1" x14ac:dyDescent="0.25"/>
    <row r="172459" s="12" customFormat="1" x14ac:dyDescent="0.25"/>
    <row r="172460" s="12" customFormat="1" x14ac:dyDescent="0.25"/>
    <row r="172461" s="12" customFormat="1" x14ac:dyDescent="0.25"/>
    <row r="172462" s="12" customFormat="1" x14ac:dyDescent="0.25"/>
    <row r="172463" s="12" customFormat="1" x14ac:dyDescent="0.25"/>
    <row r="172464" s="12" customFormat="1" x14ac:dyDescent="0.25"/>
    <row r="172465" s="12" customFormat="1" x14ac:dyDescent="0.25"/>
    <row r="172466" s="12" customFormat="1" x14ac:dyDescent="0.25"/>
    <row r="172467" s="12" customFormat="1" x14ac:dyDescent="0.25"/>
    <row r="172468" s="12" customFormat="1" x14ac:dyDescent="0.25"/>
    <row r="172469" s="12" customFormat="1" x14ac:dyDescent="0.25"/>
    <row r="172470" s="12" customFormat="1" x14ac:dyDescent="0.25"/>
    <row r="172471" s="12" customFormat="1" x14ac:dyDescent="0.25"/>
    <row r="172472" s="12" customFormat="1" x14ac:dyDescent="0.25"/>
    <row r="172473" s="12" customFormat="1" x14ac:dyDescent="0.25"/>
    <row r="172474" s="12" customFormat="1" x14ac:dyDescent="0.25"/>
    <row r="172475" s="12" customFormat="1" x14ac:dyDescent="0.25"/>
    <row r="172476" s="12" customFormat="1" x14ac:dyDescent="0.25"/>
    <row r="172477" s="12" customFormat="1" x14ac:dyDescent="0.25"/>
    <row r="172478" s="12" customFormat="1" x14ac:dyDescent="0.25"/>
    <row r="172479" s="12" customFormat="1" x14ac:dyDescent="0.25"/>
    <row r="172480" s="12" customFormat="1" x14ac:dyDescent="0.25"/>
    <row r="172481" s="12" customFormat="1" x14ac:dyDescent="0.25"/>
    <row r="172482" s="12" customFormat="1" x14ac:dyDescent="0.25"/>
    <row r="172483" s="12" customFormat="1" x14ac:dyDescent="0.25"/>
    <row r="172484" s="12" customFormat="1" x14ac:dyDescent="0.25"/>
    <row r="172485" s="12" customFormat="1" x14ac:dyDescent="0.25"/>
    <row r="172486" s="12" customFormat="1" x14ac:dyDescent="0.25"/>
    <row r="172487" s="12" customFormat="1" x14ac:dyDescent="0.25"/>
    <row r="172488" s="12" customFormat="1" x14ac:dyDescent="0.25"/>
    <row r="172489" s="12" customFormat="1" x14ac:dyDescent="0.25"/>
    <row r="172490" s="12" customFormat="1" x14ac:dyDescent="0.25"/>
    <row r="172491" s="12" customFormat="1" x14ac:dyDescent="0.25"/>
    <row r="172492" s="12" customFormat="1" x14ac:dyDescent="0.25"/>
    <row r="172493" s="12" customFormat="1" x14ac:dyDescent="0.25"/>
    <row r="172494" s="12" customFormat="1" x14ac:dyDescent="0.25"/>
    <row r="172495" s="12" customFormat="1" x14ac:dyDescent="0.25"/>
    <row r="172496" s="12" customFormat="1" x14ac:dyDescent="0.25"/>
    <row r="172497" s="12" customFormat="1" x14ac:dyDescent="0.25"/>
    <row r="172498" s="12" customFormat="1" x14ac:dyDescent="0.25"/>
    <row r="172499" s="12" customFormat="1" x14ac:dyDescent="0.25"/>
    <row r="172500" s="12" customFormat="1" x14ac:dyDescent="0.25"/>
    <row r="172501" s="12" customFormat="1" x14ac:dyDescent="0.25"/>
    <row r="172502" s="12" customFormat="1" x14ac:dyDescent="0.25"/>
    <row r="172503" s="12" customFormat="1" x14ac:dyDescent="0.25"/>
    <row r="172504" s="12" customFormat="1" x14ac:dyDescent="0.25"/>
    <row r="172505" s="12" customFormat="1" x14ac:dyDescent="0.25"/>
    <row r="172506" s="12" customFormat="1" x14ac:dyDescent="0.25"/>
    <row r="172507" s="12" customFormat="1" x14ac:dyDescent="0.25"/>
    <row r="172508" s="12" customFormat="1" x14ac:dyDescent="0.25"/>
    <row r="172509" s="12" customFormat="1" x14ac:dyDescent="0.25"/>
    <row r="172510" s="12" customFormat="1" x14ac:dyDescent="0.25"/>
    <row r="172511" s="12" customFormat="1" x14ac:dyDescent="0.25"/>
    <row r="172512" s="12" customFormat="1" x14ac:dyDescent="0.25"/>
    <row r="172513" s="12" customFormat="1" x14ac:dyDescent="0.25"/>
    <row r="172514" s="12" customFormat="1" x14ac:dyDescent="0.25"/>
    <row r="172515" s="12" customFormat="1" x14ac:dyDescent="0.25"/>
    <row r="172516" s="12" customFormat="1" x14ac:dyDescent="0.25"/>
    <row r="172517" s="12" customFormat="1" x14ac:dyDescent="0.25"/>
    <row r="172518" s="12" customFormat="1" x14ac:dyDescent="0.25"/>
    <row r="172519" s="12" customFormat="1" x14ac:dyDescent="0.25"/>
    <row r="172520" s="12" customFormat="1" x14ac:dyDescent="0.25"/>
    <row r="172521" s="12" customFormat="1" x14ac:dyDescent="0.25"/>
    <row r="172522" s="12" customFormat="1" x14ac:dyDescent="0.25"/>
    <row r="172523" s="12" customFormat="1" x14ac:dyDescent="0.25"/>
    <row r="172524" s="12" customFormat="1" x14ac:dyDescent="0.25"/>
    <row r="172525" s="12" customFormat="1" x14ac:dyDescent="0.25"/>
    <row r="172526" s="12" customFormat="1" x14ac:dyDescent="0.25"/>
    <row r="172527" s="12" customFormat="1" x14ac:dyDescent="0.25"/>
    <row r="172528" s="12" customFormat="1" x14ac:dyDescent="0.25"/>
    <row r="172529" s="12" customFormat="1" x14ac:dyDescent="0.25"/>
    <row r="172530" s="12" customFormat="1" x14ac:dyDescent="0.25"/>
    <row r="172531" s="12" customFormat="1" x14ac:dyDescent="0.25"/>
    <row r="172532" s="12" customFormat="1" x14ac:dyDescent="0.25"/>
    <row r="172533" s="12" customFormat="1" x14ac:dyDescent="0.25"/>
    <row r="172534" s="12" customFormat="1" x14ac:dyDescent="0.25"/>
    <row r="172535" s="12" customFormat="1" x14ac:dyDescent="0.25"/>
    <row r="172536" s="12" customFormat="1" x14ac:dyDescent="0.25"/>
    <row r="172537" s="12" customFormat="1" x14ac:dyDescent="0.25"/>
    <row r="172538" s="12" customFormat="1" x14ac:dyDescent="0.25"/>
    <row r="172539" s="12" customFormat="1" x14ac:dyDescent="0.25"/>
    <row r="172540" s="12" customFormat="1" x14ac:dyDescent="0.25"/>
    <row r="172541" s="12" customFormat="1" x14ac:dyDescent="0.25"/>
    <row r="172542" s="12" customFormat="1" x14ac:dyDescent="0.25"/>
    <row r="172543" s="12" customFormat="1" x14ac:dyDescent="0.25"/>
    <row r="172544" s="12" customFormat="1" x14ac:dyDescent="0.25"/>
    <row r="172545" s="12" customFormat="1" x14ac:dyDescent="0.25"/>
    <row r="172546" s="12" customFormat="1" x14ac:dyDescent="0.25"/>
    <row r="172547" s="12" customFormat="1" x14ac:dyDescent="0.25"/>
    <row r="172548" s="12" customFormat="1" x14ac:dyDescent="0.25"/>
    <row r="172549" s="12" customFormat="1" x14ac:dyDescent="0.25"/>
    <row r="172550" s="12" customFormat="1" x14ac:dyDescent="0.25"/>
    <row r="172551" s="12" customFormat="1" x14ac:dyDescent="0.25"/>
    <row r="172552" s="12" customFormat="1" x14ac:dyDescent="0.25"/>
    <row r="172553" s="12" customFormat="1" x14ac:dyDescent="0.25"/>
    <row r="172554" s="12" customFormat="1" x14ac:dyDescent="0.25"/>
    <row r="172555" s="12" customFormat="1" x14ac:dyDescent="0.25"/>
    <row r="172556" s="12" customFormat="1" x14ac:dyDescent="0.25"/>
    <row r="172557" s="12" customFormat="1" x14ac:dyDescent="0.25"/>
    <row r="172558" s="12" customFormat="1" x14ac:dyDescent="0.25"/>
    <row r="172559" s="12" customFormat="1" x14ac:dyDescent="0.25"/>
    <row r="172560" s="12" customFormat="1" x14ac:dyDescent="0.25"/>
    <row r="172561" s="12" customFormat="1" x14ac:dyDescent="0.25"/>
    <row r="172562" s="12" customFormat="1" x14ac:dyDescent="0.25"/>
    <row r="172563" s="12" customFormat="1" x14ac:dyDescent="0.25"/>
    <row r="172564" s="12" customFormat="1" x14ac:dyDescent="0.25"/>
    <row r="172565" s="12" customFormat="1" x14ac:dyDescent="0.25"/>
    <row r="172566" s="12" customFormat="1" x14ac:dyDescent="0.25"/>
    <row r="172567" s="12" customFormat="1" x14ac:dyDescent="0.25"/>
    <row r="172568" s="12" customFormat="1" x14ac:dyDescent="0.25"/>
    <row r="172569" s="12" customFormat="1" x14ac:dyDescent="0.25"/>
    <row r="172570" s="12" customFormat="1" x14ac:dyDescent="0.25"/>
    <row r="172571" s="12" customFormat="1" x14ac:dyDescent="0.25"/>
    <row r="172572" s="12" customFormat="1" x14ac:dyDescent="0.25"/>
    <row r="172573" s="12" customFormat="1" x14ac:dyDescent="0.25"/>
    <row r="172574" s="12" customFormat="1" x14ac:dyDescent="0.25"/>
    <row r="172575" s="12" customFormat="1" x14ac:dyDescent="0.25"/>
    <row r="172576" s="12" customFormat="1" x14ac:dyDescent="0.25"/>
    <row r="172577" s="12" customFormat="1" x14ac:dyDescent="0.25"/>
    <row r="172578" s="12" customFormat="1" x14ac:dyDescent="0.25"/>
    <row r="172579" s="12" customFormat="1" x14ac:dyDescent="0.25"/>
    <row r="172580" s="12" customFormat="1" x14ac:dyDescent="0.25"/>
    <row r="172581" s="12" customFormat="1" x14ac:dyDescent="0.25"/>
    <row r="172582" s="12" customFormat="1" x14ac:dyDescent="0.25"/>
    <row r="172583" s="12" customFormat="1" x14ac:dyDescent="0.25"/>
    <row r="172584" s="12" customFormat="1" x14ac:dyDescent="0.25"/>
    <row r="172585" s="12" customFormat="1" x14ac:dyDescent="0.25"/>
    <row r="172586" s="12" customFormat="1" x14ac:dyDescent="0.25"/>
    <row r="172587" s="12" customFormat="1" x14ac:dyDescent="0.25"/>
    <row r="172588" s="12" customFormat="1" x14ac:dyDescent="0.25"/>
    <row r="172589" s="12" customFormat="1" x14ac:dyDescent="0.25"/>
    <row r="172590" s="12" customFormat="1" x14ac:dyDescent="0.25"/>
    <row r="172591" s="12" customFormat="1" x14ac:dyDescent="0.25"/>
    <row r="172592" s="12" customFormat="1" x14ac:dyDescent="0.25"/>
    <row r="172593" s="12" customFormat="1" x14ac:dyDescent="0.25"/>
    <row r="172594" s="12" customFormat="1" x14ac:dyDescent="0.25"/>
    <row r="172595" s="12" customFormat="1" x14ac:dyDescent="0.25"/>
    <row r="172596" s="12" customFormat="1" x14ac:dyDescent="0.25"/>
    <row r="172597" s="12" customFormat="1" x14ac:dyDescent="0.25"/>
    <row r="172598" s="12" customFormat="1" x14ac:dyDescent="0.25"/>
    <row r="172599" s="12" customFormat="1" x14ac:dyDescent="0.25"/>
    <row r="172600" s="12" customFormat="1" x14ac:dyDescent="0.25"/>
    <row r="172601" s="12" customFormat="1" x14ac:dyDescent="0.25"/>
    <row r="172602" s="12" customFormat="1" x14ac:dyDescent="0.25"/>
    <row r="172603" s="12" customFormat="1" x14ac:dyDescent="0.25"/>
    <row r="172604" s="12" customFormat="1" x14ac:dyDescent="0.25"/>
    <row r="172605" s="12" customFormat="1" x14ac:dyDescent="0.25"/>
    <row r="172606" s="12" customFormat="1" x14ac:dyDescent="0.25"/>
    <row r="172607" s="12" customFormat="1" x14ac:dyDescent="0.25"/>
    <row r="172608" s="12" customFormat="1" x14ac:dyDescent="0.25"/>
    <row r="172609" s="12" customFormat="1" x14ac:dyDescent="0.25"/>
    <row r="172610" s="12" customFormat="1" x14ac:dyDescent="0.25"/>
    <row r="172611" s="12" customFormat="1" x14ac:dyDescent="0.25"/>
    <row r="172612" s="12" customFormat="1" x14ac:dyDescent="0.25"/>
    <row r="172613" s="12" customFormat="1" x14ac:dyDescent="0.25"/>
    <row r="172614" s="12" customFormat="1" x14ac:dyDescent="0.25"/>
    <row r="172615" s="12" customFormat="1" x14ac:dyDescent="0.25"/>
    <row r="172616" s="12" customFormat="1" x14ac:dyDescent="0.25"/>
    <row r="172617" s="12" customFormat="1" x14ac:dyDescent="0.25"/>
    <row r="172618" s="12" customFormat="1" x14ac:dyDescent="0.25"/>
    <row r="172619" s="12" customFormat="1" x14ac:dyDescent="0.25"/>
    <row r="172620" s="12" customFormat="1" x14ac:dyDescent="0.25"/>
    <row r="172621" s="12" customFormat="1" x14ac:dyDescent="0.25"/>
    <row r="172622" s="12" customFormat="1" x14ac:dyDescent="0.25"/>
    <row r="172623" s="12" customFormat="1" x14ac:dyDescent="0.25"/>
    <row r="172624" s="12" customFormat="1" x14ac:dyDescent="0.25"/>
    <row r="172625" s="12" customFormat="1" x14ac:dyDescent="0.25"/>
    <row r="172626" s="12" customFormat="1" x14ac:dyDescent="0.25"/>
    <row r="172627" s="12" customFormat="1" x14ac:dyDescent="0.25"/>
    <row r="172628" s="12" customFormat="1" x14ac:dyDescent="0.25"/>
    <row r="172629" s="12" customFormat="1" x14ac:dyDescent="0.25"/>
    <row r="172630" s="12" customFormat="1" x14ac:dyDescent="0.25"/>
    <row r="172631" s="12" customFormat="1" x14ac:dyDescent="0.25"/>
    <row r="172632" s="12" customFormat="1" x14ac:dyDescent="0.25"/>
    <row r="172633" s="12" customFormat="1" x14ac:dyDescent="0.25"/>
    <row r="172634" s="12" customFormat="1" x14ac:dyDescent="0.25"/>
    <row r="172635" s="12" customFormat="1" x14ac:dyDescent="0.25"/>
    <row r="172636" s="12" customFormat="1" x14ac:dyDescent="0.25"/>
    <row r="172637" s="12" customFormat="1" x14ac:dyDescent="0.25"/>
    <row r="172638" s="12" customFormat="1" x14ac:dyDescent="0.25"/>
    <row r="172639" s="12" customFormat="1" x14ac:dyDescent="0.25"/>
    <row r="172640" s="12" customFormat="1" x14ac:dyDescent="0.25"/>
    <row r="172641" s="12" customFormat="1" x14ac:dyDescent="0.25"/>
    <row r="172642" s="12" customFormat="1" x14ac:dyDescent="0.25"/>
    <row r="172643" s="12" customFormat="1" x14ac:dyDescent="0.25"/>
    <row r="172644" s="12" customFormat="1" x14ac:dyDescent="0.25"/>
    <row r="172645" s="12" customFormat="1" x14ac:dyDescent="0.25"/>
    <row r="172646" s="12" customFormat="1" x14ac:dyDescent="0.25"/>
    <row r="172647" s="12" customFormat="1" x14ac:dyDescent="0.25"/>
    <row r="172648" s="12" customFormat="1" x14ac:dyDescent="0.25"/>
    <row r="172649" s="12" customFormat="1" x14ac:dyDescent="0.25"/>
    <row r="172650" s="12" customFormat="1" x14ac:dyDescent="0.25"/>
    <row r="172651" s="12" customFormat="1" x14ac:dyDescent="0.25"/>
    <row r="172652" s="12" customFormat="1" x14ac:dyDescent="0.25"/>
    <row r="172653" s="12" customFormat="1" x14ac:dyDescent="0.25"/>
    <row r="172654" s="12" customFormat="1" x14ac:dyDescent="0.25"/>
    <row r="172655" s="12" customFormat="1" x14ac:dyDescent="0.25"/>
    <row r="172656" s="12" customFormat="1" x14ac:dyDescent="0.25"/>
    <row r="172657" s="12" customFormat="1" x14ac:dyDescent="0.25"/>
    <row r="172658" s="12" customFormat="1" x14ac:dyDescent="0.25"/>
    <row r="172659" s="12" customFormat="1" x14ac:dyDescent="0.25"/>
    <row r="172660" s="12" customFormat="1" x14ac:dyDescent="0.25"/>
    <row r="172661" s="12" customFormat="1" x14ac:dyDescent="0.25"/>
    <row r="172662" s="12" customFormat="1" x14ac:dyDescent="0.25"/>
    <row r="172663" s="12" customFormat="1" x14ac:dyDescent="0.25"/>
    <row r="172664" s="12" customFormat="1" x14ac:dyDescent="0.25"/>
    <row r="172665" s="12" customFormat="1" x14ac:dyDescent="0.25"/>
    <row r="172666" s="12" customFormat="1" x14ac:dyDescent="0.25"/>
    <row r="172667" s="12" customFormat="1" x14ac:dyDescent="0.25"/>
    <row r="172668" s="12" customFormat="1" x14ac:dyDescent="0.25"/>
    <row r="172669" s="12" customFormat="1" x14ac:dyDescent="0.25"/>
    <row r="172670" s="12" customFormat="1" x14ac:dyDescent="0.25"/>
    <row r="172671" s="12" customFormat="1" x14ac:dyDescent="0.25"/>
    <row r="172672" s="12" customFormat="1" x14ac:dyDescent="0.25"/>
    <row r="172673" s="12" customFormat="1" x14ac:dyDescent="0.25"/>
    <row r="172674" s="12" customFormat="1" x14ac:dyDescent="0.25"/>
    <row r="172675" s="12" customFormat="1" x14ac:dyDescent="0.25"/>
    <row r="172676" s="12" customFormat="1" x14ac:dyDescent="0.25"/>
    <row r="172677" s="12" customFormat="1" x14ac:dyDescent="0.25"/>
    <row r="172678" s="12" customFormat="1" x14ac:dyDescent="0.25"/>
    <row r="172679" s="12" customFormat="1" x14ac:dyDescent="0.25"/>
    <row r="172680" s="12" customFormat="1" x14ac:dyDescent="0.25"/>
    <row r="172681" s="12" customFormat="1" x14ac:dyDescent="0.25"/>
    <row r="172682" s="12" customFormat="1" x14ac:dyDescent="0.25"/>
    <row r="172683" s="12" customFormat="1" x14ac:dyDescent="0.25"/>
    <row r="172684" s="12" customFormat="1" x14ac:dyDescent="0.25"/>
    <row r="172685" s="12" customFormat="1" x14ac:dyDescent="0.25"/>
    <row r="172686" s="12" customFormat="1" x14ac:dyDescent="0.25"/>
    <row r="172687" s="12" customFormat="1" x14ac:dyDescent="0.25"/>
    <row r="172688" s="12" customFormat="1" x14ac:dyDescent="0.25"/>
    <row r="172689" s="12" customFormat="1" x14ac:dyDescent="0.25"/>
    <row r="172690" s="12" customFormat="1" x14ac:dyDescent="0.25"/>
    <row r="172691" s="12" customFormat="1" x14ac:dyDescent="0.25"/>
    <row r="172692" s="12" customFormat="1" x14ac:dyDescent="0.25"/>
    <row r="172693" s="12" customFormat="1" x14ac:dyDescent="0.25"/>
    <row r="172694" s="12" customFormat="1" x14ac:dyDescent="0.25"/>
    <row r="172695" s="12" customFormat="1" x14ac:dyDescent="0.25"/>
    <row r="172696" s="12" customFormat="1" x14ac:dyDescent="0.25"/>
    <row r="172697" s="12" customFormat="1" x14ac:dyDescent="0.25"/>
    <row r="172698" s="12" customFormat="1" x14ac:dyDescent="0.25"/>
    <row r="172699" s="12" customFormat="1" x14ac:dyDescent="0.25"/>
    <row r="172700" s="12" customFormat="1" x14ac:dyDescent="0.25"/>
    <row r="172701" s="12" customFormat="1" x14ac:dyDescent="0.25"/>
    <row r="172702" s="12" customFormat="1" x14ac:dyDescent="0.25"/>
    <row r="172703" s="12" customFormat="1" x14ac:dyDescent="0.25"/>
    <row r="172704" s="12" customFormat="1" x14ac:dyDescent="0.25"/>
    <row r="172705" s="12" customFormat="1" x14ac:dyDescent="0.25"/>
    <row r="172706" s="12" customFormat="1" x14ac:dyDescent="0.25"/>
    <row r="172707" s="12" customFormat="1" x14ac:dyDescent="0.25"/>
    <row r="172708" s="12" customFormat="1" x14ac:dyDescent="0.25"/>
    <row r="172709" s="12" customFormat="1" x14ac:dyDescent="0.25"/>
    <row r="172710" s="12" customFormat="1" x14ac:dyDescent="0.25"/>
    <row r="172711" s="12" customFormat="1" x14ac:dyDescent="0.25"/>
    <row r="172712" s="12" customFormat="1" x14ac:dyDescent="0.25"/>
    <row r="172713" s="12" customFormat="1" x14ac:dyDescent="0.25"/>
    <row r="172714" s="12" customFormat="1" x14ac:dyDescent="0.25"/>
    <row r="172715" s="12" customFormat="1" x14ac:dyDescent="0.25"/>
    <row r="172716" s="12" customFormat="1" x14ac:dyDescent="0.25"/>
    <row r="172717" s="12" customFormat="1" x14ac:dyDescent="0.25"/>
    <row r="172718" s="12" customFormat="1" x14ac:dyDescent="0.25"/>
    <row r="172719" s="12" customFormat="1" x14ac:dyDescent="0.25"/>
    <row r="172720" s="12" customFormat="1" x14ac:dyDescent="0.25"/>
    <row r="172721" s="12" customFormat="1" x14ac:dyDescent="0.25"/>
    <row r="172722" s="12" customFormat="1" x14ac:dyDescent="0.25"/>
    <row r="172723" s="12" customFormat="1" x14ac:dyDescent="0.25"/>
    <row r="172724" s="12" customFormat="1" x14ac:dyDescent="0.25"/>
    <row r="172725" s="12" customFormat="1" x14ac:dyDescent="0.25"/>
    <row r="172726" s="12" customFormat="1" x14ac:dyDescent="0.25"/>
    <row r="172727" s="12" customFormat="1" x14ac:dyDescent="0.25"/>
    <row r="172728" s="12" customFormat="1" x14ac:dyDescent="0.25"/>
    <row r="172729" s="12" customFormat="1" x14ac:dyDescent="0.25"/>
    <row r="172730" s="12" customFormat="1" x14ac:dyDescent="0.25"/>
    <row r="172731" s="12" customFormat="1" x14ac:dyDescent="0.25"/>
    <row r="172732" s="12" customFormat="1" x14ac:dyDescent="0.25"/>
    <row r="172733" s="12" customFormat="1" x14ac:dyDescent="0.25"/>
    <row r="172734" s="12" customFormat="1" x14ac:dyDescent="0.25"/>
    <row r="172735" s="12" customFormat="1" x14ac:dyDescent="0.25"/>
    <row r="172736" s="12" customFormat="1" x14ac:dyDescent="0.25"/>
    <row r="172737" s="12" customFormat="1" x14ac:dyDescent="0.25"/>
    <row r="172738" s="12" customFormat="1" x14ac:dyDescent="0.25"/>
    <row r="172739" s="12" customFormat="1" x14ac:dyDescent="0.25"/>
    <row r="172740" s="12" customFormat="1" x14ac:dyDescent="0.25"/>
    <row r="172741" s="12" customFormat="1" x14ac:dyDescent="0.25"/>
    <row r="172742" s="12" customFormat="1" x14ac:dyDescent="0.25"/>
    <row r="172743" s="12" customFormat="1" x14ac:dyDescent="0.25"/>
    <row r="172744" s="12" customFormat="1" x14ac:dyDescent="0.25"/>
    <row r="172745" s="12" customFormat="1" x14ac:dyDescent="0.25"/>
    <row r="172746" s="12" customFormat="1" x14ac:dyDescent="0.25"/>
    <row r="172747" s="12" customFormat="1" x14ac:dyDescent="0.25"/>
    <row r="172748" s="12" customFormat="1" x14ac:dyDescent="0.25"/>
    <row r="172749" s="12" customFormat="1" x14ac:dyDescent="0.25"/>
    <row r="172750" s="12" customFormat="1" x14ac:dyDescent="0.25"/>
    <row r="172751" s="12" customFormat="1" x14ac:dyDescent="0.25"/>
    <row r="172752" s="12" customFormat="1" x14ac:dyDescent="0.25"/>
    <row r="172753" s="12" customFormat="1" x14ac:dyDescent="0.25"/>
    <row r="172754" s="12" customFormat="1" x14ac:dyDescent="0.25"/>
    <row r="172755" s="12" customFormat="1" x14ac:dyDescent="0.25"/>
    <row r="172756" s="12" customFormat="1" x14ac:dyDescent="0.25"/>
    <row r="172757" s="12" customFormat="1" x14ac:dyDescent="0.25"/>
    <row r="172758" s="12" customFormat="1" x14ac:dyDescent="0.25"/>
    <row r="172759" s="12" customFormat="1" x14ac:dyDescent="0.25"/>
    <row r="172760" s="12" customFormat="1" x14ac:dyDescent="0.25"/>
    <row r="172761" s="12" customFormat="1" x14ac:dyDescent="0.25"/>
    <row r="172762" s="12" customFormat="1" x14ac:dyDescent="0.25"/>
    <row r="172763" s="12" customFormat="1" x14ac:dyDescent="0.25"/>
    <row r="172764" s="12" customFormat="1" x14ac:dyDescent="0.25"/>
    <row r="172765" s="12" customFormat="1" x14ac:dyDescent="0.25"/>
    <row r="172766" s="12" customFormat="1" x14ac:dyDescent="0.25"/>
    <row r="172767" s="12" customFormat="1" x14ac:dyDescent="0.25"/>
    <row r="172768" s="12" customFormat="1" x14ac:dyDescent="0.25"/>
    <row r="172769" s="12" customFormat="1" x14ac:dyDescent="0.25"/>
    <row r="172770" s="12" customFormat="1" x14ac:dyDescent="0.25"/>
    <row r="172771" s="12" customFormat="1" x14ac:dyDescent="0.25"/>
    <row r="172772" s="12" customFormat="1" x14ac:dyDescent="0.25"/>
    <row r="172773" s="12" customFormat="1" x14ac:dyDescent="0.25"/>
    <row r="172774" s="12" customFormat="1" x14ac:dyDescent="0.25"/>
    <row r="172775" s="12" customFormat="1" x14ac:dyDescent="0.25"/>
    <row r="172776" s="12" customFormat="1" x14ac:dyDescent="0.25"/>
    <row r="172777" s="12" customFormat="1" x14ac:dyDescent="0.25"/>
    <row r="172778" s="12" customFormat="1" x14ac:dyDescent="0.25"/>
    <row r="172779" s="12" customFormat="1" x14ac:dyDescent="0.25"/>
    <row r="172780" s="12" customFormat="1" x14ac:dyDescent="0.25"/>
    <row r="172781" s="12" customFormat="1" x14ac:dyDescent="0.25"/>
    <row r="172782" s="12" customFormat="1" x14ac:dyDescent="0.25"/>
    <row r="172783" s="12" customFormat="1" x14ac:dyDescent="0.25"/>
    <row r="172784" s="12" customFormat="1" x14ac:dyDescent="0.25"/>
    <row r="172785" s="12" customFormat="1" x14ac:dyDescent="0.25"/>
    <row r="172786" s="12" customFormat="1" x14ac:dyDescent="0.25"/>
    <row r="172787" s="12" customFormat="1" x14ac:dyDescent="0.25"/>
    <row r="172788" s="12" customFormat="1" x14ac:dyDescent="0.25"/>
    <row r="172789" s="12" customFormat="1" x14ac:dyDescent="0.25"/>
    <row r="172790" s="12" customFormat="1" x14ac:dyDescent="0.25"/>
    <row r="172791" s="12" customFormat="1" x14ac:dyDescent="0.25"/>
    <row r="172792" s="12" customFormat="1" x14ac:dyDescent="0.25"/>
    <row r="172793" s="12" customFormat="1" x14ac:dyDescent="0.25"/>
    <row r="172794" s="12" customFormat="1" x14ac:dyDescent="0.25"/>
    <row r="172795" s="12" customFormat="1" x14ac:dyDescent="0.25"/>
    <row r="172796" s="12" customFormat="1" x14ac:dyDescent="0.25"/>
    <row r="172797" s="12" customFormat="1" x14ac:dyDescent="0.25"/>
    <row r="172798" s="12" customFormat="1" x14ac:dyDescent="0.25"/>
    <row r="172799" s="12" customFormat="1" x14ac:dyDescent="0.25"/>
    <row r="172800" s="12" customFormat="1" x14ac:dyDescent="0.25"/>
    <row r="172801" s="12" customFormat="1" x14ac:dyDescent="0.25"/>
    <row r="172802" s="12" customFormat="1" x14ac:dyDescent="0.25"/>
    <row r="172803" s="12" customFormat="1" x14ac:dyDescent="0.25"/>
    <row r="172804" s="12" customFormat="1" x14ac:dyDescent="0.25"/>
    <row r="172805" s="12" customFormat="1" x14ac:dyDescent="0.25"/>
    <row r="172806" s="12" customFormat="1" x14ac:dyDescent="0.25"/>
    <row r="172807" s="12" customFormat="1" x14ac:dyDescent="0.25"/>
    <row r="172808" s="12" customFormat="1" x14ac:dyDescent="0.25"/>
    <row r="172809" s="12" customFormat="1" x14ac:dyDescent="0.25"/>
    <row r="172810" s="12" customFormat="1" x14ac:dyDescent="0.25"/>
    <row r="172811" s="12" customFormat="1" x14ac:dyDescent="0.25"/>
    <row r="172812" s="12" customFormat="1" x14ac:dyDescent="0.25"/>
    <row r="172813" s="12" customFormat="1" x14ac:dyDescent="0.25"/>
    <row r="172814" s="12" customFormat="1" x14ac:dyDescent="0.25"/>
    <row r="172815" s="12" customFormat="1" x14ac:dyDescent="0.25"/>
    <row r="172816" s="12" customFormat="1" x14ac:dyDescent="0.25"/>
    <row r="172817" s="12" customFormat="1" x14ac:dyDescent="0.25"/>
    <row r="172818" s="12" customFormat="1" x14ac:dyDescent="0.25"/>
    <row r="172819" s="12" customFormat="1" x14ac:dyDescent="0.25"/>
    <row r="172820" s="12" customFormat="1" x14ac:dyDescent="0.25"/>
    <row r="172821" s="12" customFormat="1" x14ac:dyDescent="0.25"/>
    <row r="172822" s="12" customFormat="1" x14ac:dyDescent="0.25"/>
    <row r="172823" s="12" customFormat="1" x14ac:dyDescent="0.25"/>
    <row r="172824" s="12" customFormat="1" x14ac:dyDescent="0.25"/>
    <row r="172825" s="12" customFormat="1" x14ac:dyDescent="0.25"/>
    <row r="172826" s="12" customFormat="1" x14ac:dyDescent="0.25"/>
    <row r="172827" s="12" customFormat="1" x14ac:dyDescent="0.25"/>
    <row r="172828" s="12" customFormat="1" x14ac:dyDescent="0.25"/>
    <row r="172829" s="12" customFormat="1" x14ac:dyDescent="0.25"/>
    <row r="172830" s="12" customFormat="1" x14ac:dyDescent="0.25"/>
    <row r="172831" s="12" customFormat="1" x14ac:dyDescent="0.25"/>
    <row r="172832" s="12" customFormat="1" x14ac:dyDescent="0.25"/>
    <row r="172833" s="12" customFormat="1" x14ac:dyDescent="0.25"/>
    <row r="172834" s="12" customFormat="1" x14ac:dyDescent="0.25"/>
    <row r="172835" s="12" customFormat="1" x14ac:dyDescent="0.25"/>
    <row r="172836" s="12" customFormat="1" x14ac:dyDescent="0.25"/>
    <row r="172837" s="12" customFormat="1" x14ac:dyDescent="0.25"/>
    <row r="172838" s="12" customFormat="1" x14ac:dyDescent="0.25"/>
    <row r="172839" s="12" customFormat="1" x14ac:dyDescent="0.25"/>
    <row r="172840" s="12" customFormat="1" x14ac:dyDescent="0.25"/>
    <row r="172841" s="12" customFormat="1" x14ac:dyDescent="0.25"/>
    <row r="172842" s="12" customFormat="1" x14ac:dyDescent="0.25"/>
    <row r="172843" s="12" customFormat="1" x14ac:dyDescent="0.25"/>
    <row r="172844" s="12" customFormat="1" x14ac:dyDescent="0.25"/>
    <row r="172845" s="12" customFormat="1" x14ac:dyDescent="0.25"/>
    <row r="172846" s="12" customFormat="1" x14ac:dyDescent="0.25"/>
    <row r="172847" s="12" customFormat="1" x14ac:dyDescent="0.25"/>
    <row r="172848" s="12" customFormat="1" x14ac:dyDescent="0.25"/>
    <row r="172849" s="12" customFormat="1" x14ac:dyDescent="0.25"/>
    <row r="172850" s="12" customFormat="1" x14ac:dyDescent="0.25"/>
    <row r="172851" s="12" customFormat="1" x14ac:dyDescent="0.25"/>
    <row r="172852" s="12" customFormat="1" x14ac:dyDescent="0.25"/>
    <row r="172853" s="12" customFormat="1" x14ac:dyDescent="0.25"/>
    <row r="172854" s="12" customFormat="1" x14ac:dyDescent="0.25"/>
    <row r="172855" s="12" customFormat="1" x14ac:dyDescent="0.25"/>
    <row r="172856" s="12" customFormat="1" x14ac:dyDescent="0.25"/>
    <row r="172857" s="12" customFormat="1" x14ac:dyDescent="0.25"/>
    <row r="172858" s="12" customFormat="1" x14ac:dyDescent="0.25"/>
    <row r="172859" s="12" customFormat="1" x14ac:dyDescent="0.25"/>
    <row r="172860" s="12" customFormat="1" x14ac:dyDescent="0.25"/>
    <row r="172861" s="12" customFormat="1" x14ac:dyDescent="0.25"/>
    <row r="172862" s="12" customFormat="1" x14ac:dyDescent="0.25"/>
    <row r="172863" s="12" customFormat="1" x14ac:dyDescent="0.25"/>
    <row r="172864" s="12" customFormat="1" x14ac:dyDescent="0.25"/>
    <row r="172865" s="12" customFormat="1" x14ac:dyDescent="0.25"/>
    <row r="172866" s="12" customFormat="1" x14ac:dyDescent="0.25"/>
    <row r="172867" s="12" customFormat="1" x14ac:dyDescent="0.25"/>
    <row r="172868" s="12" customFormat="1" x14ac:dyDescent="0.25"/>
    <row r="172869" s="12" customFormat="1" x14ac:dyDescent="0.25"/>
    <row r="172870" s="12" customFormat="1" x14ac:dyDescent="0.25"/>
    <row r="172871" s="12" customFormat="1" x14ac:dyDescent="0.25"/>
    <row r="172872" s="12" customFormat="1" x14ac:dyDescent="0.25"/>
    <row r="172873" s="12" customFormat="1" x14ac:dyDescent="0.25"/>
    <row r="172874" s="12" customFormat="1" x14ac:dyDescent="0.25"/>
    <row r="172875" s="12" customFormat="1" x14ac:dyDescent="0.25"/>
    <row r="172876" s="12" customFormat="1" x14ac:dyDescent="0.25"/>
    <row r="172877" s="12" customFormat="1" x14ac:dyDescent="0.25"/>
    <row r="172878" s="12" customFormat="1" x14ac:dyDescent="0.25"/>
    <row r="172879" s="12" customFormat="1" x14ac:dyDescent="0.25"/>
    <row r="172880" s="12" customFormat="1" x14ac:dyDescent="0.25"/>
    <row r="172881" s="12" customFormat="1" x14ac:dyDescent="0.25"/>
    <row r="172882" s="12" customFormat="1" x14ac:dyDescent="0.25"/>
    <row r="172883" s="12" customFormat="1" x14ac:dyDescent="0.25"/>
    <row r="172884" s="12" customFormat="1" x14ac:dyDescent="0.25"/>
    <row r="172885" s="12" customFormat="1" x14ac:dyDescent="0.25"/>
    <row r="172886" s="12" customFormat="1" x14ac:dyDescent="0.25"/>
    <row r="172887" s="12" customFormat="1" x14ac:dyDescent="0.25"/>
    <row r="172888" s="12" customFormat="1" x14ac:dyDescent="0.25"/>
    <row r="172889" s="12" customFormat="1" x14ac:dyDescent="0.25"/>
    <row r="172890" s="12" customFormat="1" x14ac:dyDescent="0.25"/>
    <row r="172891" s="12" customFormat="1" x14ac:dyDescent="0.25"/>
    <row r="172892" s="12" customFormat="1" x14ac:dyDescent="0.25"/>
    <row r="172893" s="12" customFormat="1" x14ac:dyDescent="0.25"/>
    <row r="172894" s="12" customFormat="1" x14ac:dyDescent="0.25"/>
    <row r="172895" s="12" customFormat="1" x14ac:dyDescent="0.25"/>
    <row r="172896" s="12" customFormat="1" x14ac:dyDescent="0.25"/>
    <row r="172897" s="12" customFormat="1" x14ac:dyDescent="0.25"/>
    <row r="172898" s="12" customFormat="1" x14ac:dyDescent="0.25"/>
    <row r="172899" s="12" customFormat="1" x14ac:dyDescent="0.25"/>
    <row r="172900" s="12" customFormat="1" x14ac:dyDescent="0.25"/>
    <row r="172901" s="12" customFormat="1" x14ac:dyDescent="0.25"/>
    <row r="172902" s="12" customFormat="1" x14ac:dyDescent="0.25"/>
    <row r="172903" s="12" customFormat="1" x14ac:dyDescent="0.25"/>
    <row r="172904" s="12" customFormat="1" x14ac:dyDescent="0.25"/>
    <row r="172905" s="12" customFormat="1" x14ac:dyDescent="0.25"/>
    <row r="172906" s="12" customFormat="1" x14ac:dyDescent="0.25"/>
    <row r="172907" s="12" customFormat="1" x14ac:dyDescent="0.25"/>
    <row r="172908" s="12" customFormat="1" x14ac:dyDescent="0.25"/>
    <row r="172909" s="12" customFormat="1" x14ac:dyDescent="0.25"/>
    <row r="172910" s="12" customFormat="1" x14ac:dyDescent="0.25"/>
    <row r="172911" s="12" customFormat="1" x14ac:dyDescent="0.25"/>
    <row r="172912" s="12" customFormat="1" x14ac:dyDescent="0.25"/>
    <row r="172913" s="12" customFormat="1" x14ac:dyDescent="0.25"/>
    <row r="172914" s="12" customFormat="1" x14ac:dyDescent="0.25"/>
    <row r="172915" s="12" customFormat="1" x14ac:dyDescent="0.25"/>
    <row r="172916" s="12" customFormat="1" x14ac:dyDescent="0.25"/>
    <row r="172917" s="12" customFormat="1" x14ac:dyDescent="0.25"/>
    <row r="172918" s="12" customFormat="1" x14ac:dyDescent="0.25"/>
    <row r="172919" s="12" customFormat="1" x14ac:dyDescent="0.25"/>
    <row r="172920" s="12" customFormat="1" x14ac:dyDescent="0.25"/>
    <row r="172921" s="12" customFormat="1" x14ac:dyDescent="0.25"/>
    <row r="172922" s="12" customFormat="1" x14ac:dyDescent="0.25"/>
    <row r="172923" s="12" customFormat="1" x14ac:dyDescent="0.25"/>
    <row r="172924" s="12" customFormat="1" x14ac:dyDescent="0.25"/>
    <row r="172925" s="12" customFormat="1" x14ac:dyDescent="0.25"/>
    <row r="172926" s="12" customFormat="1" x14ac:dyDescent="0.25"/>
    <row r="172927" s="12" customFormat="1" x14ac:dyDescent="0.25"/>
    <row r="172928" s="12" customFormat="1" x14ac:dyDescent="0.25"/>
    <row r="172929" s="12" customFormat="1" x14ac:dyDescent="0.25"/>
    <row r="172930" s="12" customFormat="1" x14ac:dyDescent="0.25"/>
    <row r="172931" s="12" customFormat="1" x14ac:dyDescent="0.25"/>
    <row r="172932" s="12" customFormat="1" x14ac:dyDescent="0.25"/>
    <row r="172933" s="12" customFormat="1" x14ac:dyDescent="0.25"/>
    <row r="172934" s="12" customFormat="1" x14ac:dyDescent="0.25"/>
    <row r="172935" s="12" customFormat="1" x14ac:dyDescent="0.25"/>
    <row r="172936" s="12" customFormat="1" x14ac:dyDescent="0.25"/>
    <row r="172937" s="12" customFormat="1" x14ac:dyDescent="0.25"/>
    <row r="172938" s="12" customFormat="1" x14ac:dyDescent="0.25"/>
    <row r="172939" s="12" customFormat="1" x14ac:dyDescent="0.25"/>
    <row r="172940" s="12" customFormat="1" x14ac:dyDescent="0.25"/>
    <row r="172941" s="12" customFormat="1" x14ac:dyDescent="0.25"/>
    <row r="172942" s="12" customFormat="1" x14ac:dyDescent="0.25"/>
    <row r="172943" s="12" customFormat="1" x14ac:dyDescent="0.25"/>
    <row r="172944" s="12" customFormat="1" x14ac:dyDescent="0.25"/>
    <row r="172945" s="12" customFormat="1" x14ac:dyDescent="0.25"/>
    <row r="172946" s="12" customFormat="1" x14ac:dyDescent="0.25"/>
    <row r="172947" s="12" customFormat="1" x14ac:dyDescent="0.25"/>
    <row r="172948" s="12" customFormat="1" x14ac:dyDescent="0.25"/>
    <row r="172949" s="12" customFormat="1" x14ac:dyDescent="0.25"/>
    <row r="172950" s="12" customFormat="1" x14ac:dyDescent="0.25"/>
    <row r="172951" s="12" customFormat="1" x14ac:dyDescent="0.25"/>
    <row r="172952" s="12" customFormat="1" x14ac:dyDescent="0.25"/>
    <row r="172953" s="12" customFormat="1" x14ac:dyDescent="0.25"/>
    <row r="172954" s="12" customFormat="1" x14ac:dyDescent="0.25"/>
    <row r="172955" s="12" customFormat="1" x14ac:dyDescent="0.25"/>
    <row r="172956" s="12" customFormat="1" x14ac:dyDescent="0.25"/>
    <row r="172957" s="12" customFormat="1" x14ac:dyDescent="0.25"/>
    <row r="172958" s="12" customFormat="1" x14ac:dyDescent="0.25"/>
    <row r="172959" s="12" customFormat="1" x14ac:dyDescent="0.25"/>
    <row r="172960" s="12" customFormat="1" x14ac:dyDescent="0.25"/>
    <row r="172961" s="12" customFormat="1" x14ac:dyDescent="0.25"/>
    <row r="172962" s="12" customFormat="1" x14ac:dyDescent="0.25"/>
    <row r="172963" s="12" customFormat="1" x14ac:dyDescent="0.25"/>
    <row r="172964" s="12" customFormat="1" x14ac:dyDescent="0.25"/>
    <row r="172965" s="12" customFormat="1" x14ac:dyDescent="0.25"/>
    <row r="172966" s="12" customFormat="1" x14ac:dyDescent="0.25"/>
    <row r="172967" s="12" customFormat="1" x14ac:dyDescent="0.25"/>
    <row r="172968" s="12" customFormat="1" x14ac:dyDescent="0.25"/>
    <row r="172969" s="12" customFormat="1" x14ac:dyDescent="0.25"/>
    <row r="172970" s="12" customFormat="1" x14ac:dyDescent="0.25"/>
    <row r="172971" s="12" customFormat="1" x14ac:dyDescent="0.25"/>
    <row r="172972" s="12" customFormat="1" x14ac:dyDescent="0.25"/>
    <row r="172973" s="12" customFormat="1" x14ac:dyDescent="0.25"/>
    <row r="172974" s="12" customFormat="1" x14ac:dyDescent="0.25"/>
    <row r="172975" s="12" customFormat="1" x14ac:dyDescent="0.25"/>
    <row r="172976" s="12" customFormat="1" x14ac:dyDescent="0.25"/>
    <row r="172977" s="12" customFormat="1" x14ac:dyDescent="0.25"/>
    <row r="172978" s="12" customFormat="1" x14ac:dyDescent="0.25"/>
    <row r="172979" s="12" customFormat="1" x14ac:dyDescent="0.25"/>
    <row r="172980" s="12" customFormat="1" x14ac:dyDescent="0.25"/>
    <row r="172981" s="12" customFormat="1" x14ac:dyDescent="0.25"/>
    <row r="172982" s="12" customFormat="1" x14ac:dyDescent="0.25"/>
    <row r="172983" s="12" customFormat="1" x14ac:dyDescent="0.25"/>
    <row r="172984" s="12" customFormat="1" x14ac:dyDescent="0.25"/>
    <row r="172985" s="12" customFormat="1" x14ac:dyDescent="0.25"/>
    <row r="172986" s="12" customFormat="1" x14ac:dyDescent="0.25"/>
    <row r="172987" s="12" customFormat="1" x14ac:dyDescent="0.25"/>
    <row r="172988" s="12" customFormat="1" x14ac:dyDescent="0.25"/>
    <row r="172989" s="12" customFormat="1" x14ac:dyDescent="0.25"/>
    <row r="172990" s="12" customFormat="1" x14ac:dyDescent="0.25"/>
    <row r="172991" s="12" customFormat="1" x14ac:dyDescent="0.25"/>
    <row r="172992" s="12" customFormat="1" x14ac:dyDescent="0.25"/>
    <row r="172993" s="12" customFormat="1" x14ac:dyDescent="0.25"/>
    <row r="172994" s="12" customFormat="1" x14ac:dyDescent="0.25"/>
    <row r="172995" s="12" customFormat="1" x14ac:dyDescent="0.25"/>
    <row r="172996" s="12" customFormat="1" x14ac:dyDescent="0.25"/>
    <row r="172997" s="12" customFormat="1" x14ac:dyDescent="0.25"/>
    <row r="172998" s="12" customFormat="1" x14ac:dyDescent="0.25"/>
    <row r="172999" s="12" customFormat="1" x14ac:dyDescent="0.25"/>
    <row r="173000" s="12" customFormat="1" x14ac:dyDescent="0.25"/>
    <row r="173001" s="12" customFormat="1" x14ac:dyDescent="0.25"/>
    <row r="173002" s="12" customFormat="1" x14ac:dyDescent="0.25"/>
    <row r="173003" s="12" customFormat="1" x14ac:dyDescent="0.25"/>
    <row r="173004" s="12" customFormat="1" x14ac:dyDescent="0.25"/>
    <row r="173005" s="12" customFormat="1" x14ac:dyDescent="0.25"/>
    <row r="173006" s="12" customFormat="1" x14ac:dyDescent="0.25"/>
    <row r="173007" s="12" customFormat="1" x14ac:dyDescent="0.25"/>
    <row r="173008" s="12" customFormat="1" x14ac:dyDescent="0.25"/>
    <row r="173009" s="12" customFormat="1" x14ac:dyDescent="0.25"/>
    <row r="173010" s="12" customFormat="1" x14ac:dyDescent="0.25"/>
    <row r="173011" s="12" customFormat="1" x14ac:dyDescent="0.25"/>
    <row r="173012" s="12" customFormat="1" x14ac:dyDescent="0.25"/>
    <row r="173013" s="12" customFormat="1" x14ac:dyDescent="0.25"/>
    <row r="173014" s="12" customFormat="1" x14ac:dyDescent="0.25"/>
    <row r="173015" s="12" customFormat="1" x14ac:dyDescent="0.25"/>
    <row r="173016" s="12" customFormat="1" x14ac:dyDescent="0.25"/>
    <row r="173017" s="12" customFormat="1" x14ac:dyDescent="0.25"/>
    <row r="173018" s="12" customFormat="1" x14ac:dyDescent="0.25"/>
    <row r="173019" s="12" customFormat="1" x14ac:dyDescent="0.25"/>
    <row r="173020" s="12" customFormat="1" x14ac:dyDescent="0.25"/>
    <row r="173021" s="12" customFormat="1" x14ac:dyDescent="0.25"/>
    <row r="173022" s="12" customFormat="1" x14ac:dyDescent="0.25"/>
    <row r="173023" s="12" customFormat="1" x14ac:dyDescent="0.25"/>
    <row r="173024" s="12" customFormat="1" x14ac:dyDescent="0.25"/>
    <row r="173025" s="12" customFormat="1" x14ac:dyDescent="0.25"/>
    <row r="173026" s="12" customFormat="1" x14ac:dyDescent="0.25"/>
    <row r="173027" s="12" customFormat="1" x14ac:dyDescent="0.25"/>
    <row r="173028" s="12" customFormat="1" x14ac:dyDescent="0.25"/>
    <row r="173029" s="12" customFormat="1" x14ac:dyDescent="0.25"/>
    <row r="173030" s="12" customFormat="1" x14ac:dyDescent="0.25"/>
    <row r="173031" s="12" customFormat="1" x14ac:dyDescent="0.25"/>
    <row r="173032" s="12" customFormat="1" x14ac:dyDescent="0.25"/>
    <row r="173033" s="12" customFormat="1" x14ac:dyDescent="0.25"/>
    <row r="173034" s="12" customFormat="1" x14ac:dyDescent="0.25"/>
    <row r="173035" s="12" customFormat="1" x14ac:dyDescent="0.25"/>
    <row r="173036" s="12" customFormat="1" x14ac:dyDescent="0.25"/>
    <row r="173037" s="12" customFormat="1" x14ac:dyDescent="0.25"/>
    <row r="173038" s="12" customFormat="1" x14ac:dyDescent="0.25"/>
    <row r="173039" s="12" customFormat="1" x14ac:dyDescent="0.25"/>
    <row r="173040" s="12" customFormat="1" x14ac:dyDescent="0.25"/>
    <row r="173041" s="12" customFormat="1" x14ac:dyDescent="0.25"/>
    <row r="173042" s="12" customFormat="1" x14ac:dyDescent="0.25"/>
    <row r="173043" s="12" customFormat="1" x14ac:dyDescent="0.25"/>
    <row r="173044" s="12" customFormat="1" x14ac:dyDescent="0.25"/>
    <row r="173045" s="12" customFormat="1" x14ac:dyDescent="0.25"/>
    <row r="173046" s="12" customFormat="1" x14ac:dyDescent="0.25"/>
    <row r="173047" s="12" customFormat="1" x14ac:dyDescent="0.25"/>
    <row r="173048" s="12" customFormat="1" x14ac:dyDescent="0.25"/>
    <row r="173049" s="12" customFormat="1" x14ac:dyDescent="0.25"/>
    <row r="173050" s="12" customFormat="1" x14ac:dyDescent="0.25"/>
    <row r="173051" s="12" customFormat="1" x14ac:dyDescent="0.25"/>
    <row r="173052" s="12" customFormat="1" x14ac:dyDescent="0.25"/>
    <row r="173053" s="12" customFormat="1" x14ac:dyDescent="0.25"/>
    <row r="173054" s="12" customFormat="1" x14ac:dyDescent="0.25"/>
    <row r="173055" s="12" customFormat="1" x14ac:dyDescent="0.25"/>
    <row r="173056" s="12" customFormat="1" x14ac:dyDescent="0.25"/>
    <row r="173057" s="12" customFormat="1" x14ac:dyDescent="0.25"/>
    <row r="173058" s="12" customFormat="1" x14ac:dyDescent="0.25"/>
    <row r="173059" s="12" customFormat="1" x14ac:dyDescent="0.25"/>
    <row r="173060" s="12" customFormat="1" x14ac:dyDescent="0.25"/>
    <row r="173061" s="12" customFormat="1" x14ac:dyDescent="0.25"/>
    <row r="173062" s="12" customFormat="1" x14ac:dyDescent="0.25"/>
    <row r="173063" s="12" customFormat="1" x14ac:dyDescent="0.25"/>
    <row r="173064" s="12" customFormat="1" x14ac:dyDescent="0.25"/>
    <row r="173065" s="12" customFormat="1" x14ac:dyDescent="0.25"/>
    <row r="173066" s="12" customFormat="1" x14ac:dyDescent="0.25"/>
    <row r="173067" s="12" customFormat="1" x14ac:dyDescent="0.25"/>
    <row r="173068" s="12" customFormat="1" x14ac:dyDescent="0.25"/>
    <row r="173069" s="12" customFormat="1" x14ac:dyDescent="0.25"/>
    <row r="173070" s="12" customFormat="1" x14ac:dyDescent="0.25"/>
    <row r="173071" s="12" customFormat="1" x14ac:dyDescent="0.25"/>
    <row r="173072" s="12" customFormat="1" x14ac:dyDescent="0.25"/>
    <row r="173073" s="12" customFormat="1" x14ac:dyDescent="0.25"/>
    <row r="173074" s="12" customFormat="1" x14ac:dyDescent="0.25"/>
    <row r="173075" s="12" customFormat="1" x14ac:dyDescent="0.25"/>
    <row r="173076" s="12" customFormat="1" x14ac:dyDescent="0.25"/>
    <row r="173077" s="12" customFormat="1" x14ac:dyDescent="0.25"/>
    <row r="173078" s="12" customFormat="1" x14ac:dyDescent="0.25"/>
    <row r="173079" s="12" customFormat="1" x14ac:dyDescent="0.25"/>
    <row r="173080" s="12" customFormat="1" x14ac:dyDescent="0.25"/>
    <row r="173081" s="12" customFormat="1" x14ac:dyDescent="0.25"/>
    <row r="173082" s="12" customFormat="1" x14ac:dyDescent="0.25"/>
    <row r="173083" s="12" customFormat="1" x14ac:dyDescent="0.25"/>
    <row r="173084" s="12" customFormat="1" x14ac:dyDescent="0.25"/>
    <row r="173085" s="12" customFormat="1" x14ac:dyDescent="0.25"/>
    <row r="173086" s="12" customFormat="1" x14ac:dyDescent="0.25"/>
    <row r="173087" s="12" customFormat="1" x14ac:dyDescent="0.25"/>
    <row r="173088" s="12" customFormat="1" x14ac:dyDescent="0.25"/>
    <row r="173089" s="12" customFormat="1" x14ac:dyDescent="0.25"/>
    <row r="173090" s="12" customFormat="1" x14ac:dyDescent="0.25"/>
    <row r="173091" s="12" customFormat="1" x14ac:dyDescent="0.25"/>
    <row r="173092" s="12" customFormat="1" x14ac:dyDescent="0.25"/>
    <row r="173093" s="12" customFormat="1" x14ac:dyDescent="0.25"/>
    <row r="173094" s="12" customFormat="1" x14ac:dyDescent="0.25"/>
    <row r="173095" s="12" customFormat="1" x14ac:dyDescent="0.25"/>
    <row r="173096" s="12" customFormat="1" x14ac:dyDescent="0.25"/>
    <row r="173097" s="12" customFormat="1" x14ac:dyDescent="0.25"/>
    <row r="173098" s="12" customFormat="1" x14ac:dyDescent="0.25"/>
    <row r="173099" s="12" customFormat="1" x14ac:dyDescent="0.25"/>
    <row r="173100" s="12" customFormat="1" x14ac:dyDescent="0.25"/>
    <row r="173101" s="12" customFormat="1" x14ac:dyDescent="0.25"/>
    <row r="173102" s="12" customFormat="1" x14ac:dyDescent="0.25"/>
    <row r="173103" s="12" customFormat="1" x14ac:dyDescent="0.25"/>
    <row r="173104" s="12" customFormat="1" x14ac:dyDescent="0.25"/>
    <row r="173105" s="12" customFormat="1" x14ac:dyDescent="0.25"/>
    <row r="173106" s="12" customFormat="1" x14ac:dyDescent="0.25"/>
    <row r="173107" s="12" customFormat="1" x14ac:dyDescent="0.25"/>
    <row r="173108" s="12" customFormat="1" x14ac:dyDescent="0.25"/>
    <row r="173109" s="12" customFormat="1" x14ac:dyDescent="0.25"/>
    <row r="173110" s="12" customFormat="1" x14ac:dyDescent="0.25"/>
    <row r="173111" s="12" customFormat="1" x14ac:dyDescent="0.25"/>
    <row r="173112" s="12" customFormat="1" x14ac:dyDescent="0.25"/>
    <row r="173113" s="12" customFormat="1" x14ac:dyDescent="0.25"/>
    <row r="173114" s="12" customFormat="1" x14ac:dyDescent="0.25"/>
    <row r="173115" s="12" customFormat="1" x14ac:dyDescent="0.25"/>
    <row r="173116" s="12" customFormat="1" x14ac:dyDescent="0.25"/>
    <row r="173117" s="12" customFormat="1" x14ac:dyDescent="0.25"/>
    <row r="173118" s="12" customFormat="1" x14ac:dyDescent="0.25"/>
    <row r="173119" s="12" customFormat="1" x14ac:dyDescent="0.25"/>
    <row r="173120" s="12" customFormat="1" x14ac:dyDescent="0.25"/>
    <row r="173121" s="12" customFormat="1" x14ac:dyDescent="0.25"/>
    <row r="173122" s="12" customFormat="1" x14ac:dyDescent="0.25"/>
    <row r="173123" s="12" customFormat="1" x14ac:dyDescent="0.25"/>
    <row r="173124" s="12" customFormat="1" x14ac:dyDescent="0.25"/>
    <row r="173125" s="12" customFormat="1" x14ac:dyDescent="0.25"/>
    <row r="173126" s="12" customFormat="1" x14ac:dyDescent="0.25"/>
    <row r="173127" s="12" customFormat="1" x14ac:dyDescent="0.25"/>
    <row r="173128" s="12" customFormat="1" x14ac:dyDescent="0.25"/>
    <row r="173129" s="12" customFormat="1" x14ac:dyDescent="0.25"/>
    <row r="173130" s="12" customFormat="1" x14ac:dyDescent="0.25"/>
    <row r="173131" s="12" customFormat="1" x14ac:dyDescent="0.25"/>
    <row r="173132" s="12" customFormat="1" x14ac:dyDescent="0.25"/>
    <row r="173133" s="12" customFormat="1" x14ac:dyDescent="0.25"/>
    <row r="173134" s="12" customFormat="1" x14ac:dyDescent="0.25"/>
    <row r="173135" s="12" customFormat="1" x14ac:dyDescent="0.25"/>
    <row r="173136" s="12" customFormat="1" x14ac:dyDescent="0.25"/>
    <row r="173137" s="12" customFormat="1" x14ac:dyDescent="0.25"/>
    <row r="173138" s="12" customFormat="1" x14ac:dyDescent="0.25"/>
    <row r="173139" s="12" customFormat="1" x14ac:dyDescent="0.25"/>
    <row r="173140" s="12" customFormat="1" x14ac:dyDescent="0.25"/>
    <row r="173141" s="12" customFormat="1" x14ac:dyDescent="0.25"/>
    <row r="173142" s="12" customFormat="1" x14ac:dyDescent="0.25"/>
    <row r="173143" s="12" customFormat="1" x14ac:dyDescent="0.25"/>
    <row r="173144" s="12" customFormat="1" x14ac:dyDescent="0.25"/>
    <row r="173145" s="12" customFormat="1" x14ac:dyDescent="0.25"/>
    <row r="173146" s="12" customFormat="1" x14ac:dyDescent="0.25"/>
    <row r="173147" s="12" customFormat="1" x14ac:dyDescent="0.25"/>
    <row r="173148" s="12" customFormat="1" x14ac:dyDescent="0.25"/>
    <row r="173149" s="12" customFormat="1" x14ac:dyDescent="0.25"/>
    <row r="173150" s="12" customFormat="1" x14ac:dyDescent="0.25"/>
    <row r="173151" s="12" customFormat="1" x14ac:dyDescent="0.25"/>
    <row r="173152" s="12" customFormat="1" x14ac:dyDescent="0.25"/>
    <row r="173153" s="12" customFormat="1" x14ac:dyDescent="0.25"/>
    <row r="173154" s="12" customFormat="1" x14ac:dyDescent="0.25"/>
    <row r="173155" s="12" customFormat="1" x14ac:dyDescent="0.25"/>
    <row r="173156" s="12" customFormat="1" x14ac:dyDescent="0.25"/>
    <row r="173157" s="12" customFormat="1" x14ac:dyDescent="0.25"/>
    <row r="173158" s="12" customFormat="1" x14ac:dyDescent="0.25"/>
    <row r="173159" s="12" customFormat="1" x14ac:dyDescent="0.25"/>
    <row r="173160" s="12" customFormat="1" x14ac:dyDescent="0.25"/>
    <row r="173161" s="12" customFormat="1" x14ac:dyDescent="0.25"/>
    <row r="173162" s="12" customFormat="1" x14ac:dyDescent="0.25"/>
    <row r="173163" s="12" customFormat="1" x14ac:dyDescent="0.25"/>
    <row r="173164" s="12" customFormat="1" x14ac:dyDescent="0.25"/>
    <row r="173165" s="12" customFormat="1" x14ac:dyDescent="0.25"/>
    <row r="173166" s="12" customFormat="1" x14ac:dyDescent="0.25"/>
    <row r="173167" s="12" customFormat="1" x14ac:dyDescent="0.25"/>
    <row r="173168" s="12" customFormat="1" x14ac:dyDescent="0.25"/>
    <row r="173169" s="12" customFormat="1" x14ac:dyDescent="0.25"/>
    <row r="173170" s="12" customFormat="1" x14ac:dyDescent="0.25"/>
    <row r="173171" s="12" customFormat="1" x14ac:dyDescent="0.25"/>
    <row r="173172" s="12" customFormat="1" x14ac:dyDescent="0.25"/>
    <row r="173173" s="12" customFormat="1" x14ac:dyDescent="0.25"/>
    <row r="173174" s="12" customFormat="1" x14ac:dyDescent="0.25"/>
    <row r="173175" s="12" customFormat="1" x14ac:dyDescent="0.25"/>
    <row r="173176" s="12" customFormat="1" x14ac:dyDescent="0.25"/>
    <row r="173177" s="12" customFormat="1" x14ac:dyDescent="0.25"/>
    <row r="173178" s="12" customFormat="1" x14ac:dyDescent="0.25"/>
    <row r="173179" s="12" customFormat="1" x14ac:dyDescent="0.25"/>
    <row r="173180" s="12" customFormat="1" x14ac:dyDescent="0.25"/>
    <row r="173181" s="12" customFormat="1" x14ac:dyDescent="0.25"/>
    <row r="173182" s="12" customFormat="1" x14ac:dyDescent="0.25"/>
    <row r="173183" s="12" customFormat="1" x14ac:dyDescent="0.25"/>
    <row r="173184" s="12" customFormat="1" x14ac:dyDescent="0.25"/>
    <row r="173185" s="12" customFormat="1" x14ac:dyDescent="0.25"/>
    <row r="173186" s="12" customFormat="1" x14ac:dyDescent="0.25"/>
    <row r="173187" s="12" customFormat="1" x14ac:dyDescent="0.25"/>
    <row r="173188" s="12" customFormat="1" x14ac:dyDescent="0.25"/>
    <row r="173189" s="12" customFormat="1" x14ac:dyDescent="0.25"/>
    <row r="173190" s="12" customFormat="1" x14ac:dyDescent="0.25"/>
    <row r="173191" s="12" customFormat="1" x14ac:dyDescent="0.25"/>
    <row r="173192" s="12" customFormat="1" x14ac:dyDescent="0.25"/>
    <row r="173193" s="12" customFormat="1" x14ac:dyDescent="0.25"/>
    <row r="173194" s="12" customFormat="1" x14ac:dyDescent="0.25"/>
    <row r="173195" s="12" customFormat="1" x14ac:dyDescent="0.25"/>
    <row r="173196" s="12" customFormat="1" x14ac:dyDescent="0.25"/>
    <row r="173197" s="12" customFormat="1" x14ac:dyDescent="0.25"/>
    <row r="173198" s="12" customFormat="1" x14ac:dyDescent="0.25"/>
    <row r="173199" s="12" customFormat="1" x14ac:dyDescent="0.25"/>
    <row r="173200" s="12" customFormat="1" x14ac:dyDescent="0.25"/>
    <row r="173201" s="12" customFormat="1" x14ac:dyDescent="0.25"/>
    <row r="173202" s="12" customFormat="1" x14ac:dyDescent="0.25"/>
    <row r="173203" s="12" customFormat="1" x14ac:dyDescent="0.25"/>
    <row r="173204" s="12" customFormat="1" x14ac:dyDescent="0.25"/>
    <row r="173205" s="12" customFormat="1" x14ac:dyDescent="0.25"/>
    <row r="173206" s="12" customFormat="1" x14ac:dyDescent="0.25"/>
    <row r="173207" s="12" customFormat="1" x14ac:dyDescent="0.25"/>
    <row r="173208" s="12" customFormat="1" x14ac:dyDescent="0.25"/>
    <row r="173209" s="12" customFormat="1" x14ac:dyDescent="0.25"/>
    <row r="173210" s="12" customFormat="1" x14ac:dyDescent="0.25"/>
    <row r="173211" s="12" customFormat="1" x14ac:dyDescent="0.25"/>
    <row r="173212" s="12" customFormat="1" x14ac:dyDescent="0.25"/>
    <row r="173213" s="12" customFormat="1" x14ac:dyDescent="0.25"/>
    <row r="173214" s="12" customFormat="1" x14ac:dyDescent="0.25"/>
    <row r="173215" s="12" customFormat="1" x14ac:dyDescent="0.25"/>
    <row r="173216" s="12" customFormat="1" x14ac:dyDescent="0.25"/>
    <row r="173217" s="12" customFormat="1" x14ac:dyDescent="0.25"/>
    <row r="173218" s="12" customFormat="1" x14ac:dyDescent="0.25"/>
    <row r="173219" s="12" customFormat="1" x14ac:dyDescent="0.25"/>
    <row r="173220" s="12" customFormat="1" x14ac:dyDescent="0.25"/>
    <row r="173221" s="12" customFormat="1" x14ac:dyDescent="0.25"/>
    <row r="173222" s="12" customFormat="1" x14ac:dyDescent="0.25"/>
    <row r="173223" s="12" customFormat="1" x14ac:dyDescent="0.25"/>
    <row r="173224" s="12" customFormat="1" x14ac:dyDescent="0.25"/>
    <row r="173225" s="12" customFormat="1" x14ac:dyDescent="0.25"/>
    <row r="173226" s="12" customFormat="1" x14ac:dyDescent="0.25"/>
    <row r="173227" s="12" customFormat="1" x14ac:dyDescent="0.25"/>
    <row r="173228" s="12" customFormat="1" x14ac:dyDescent="0.25"/>
    <row r="173229" s="12" customFormat="1" x14ac:dyDescent="0.25"/>
    <row r="173230" s="12" customFormat="1" x14ac:dyDescent="0.25"/>
    <row r="173231" s="12" customFormat="1" x14ac:dyDescent="0.25"/>
    <row r="173232" s="12" customFormat="1" x14ac:dyDescent="0.25"/>
    <row r="173233" s="12" customFormat="1" x14ac:dyDescent="0.25"/>
    <row r="173234" s="12" customFormat="1" x14ac:dyDescent="0.25"/>
    <row r="173235" s="12" customFormat="1" x14ac:dyDescent="0.25"/>
    <row r="173236" s="12" customFormat="1" x14ac:dyDescent="0.25"/>
    <row r="173237" s="12" customFormat="1" x14ac:dyDescent="0.25"/>
    <row r="173238" s="12" customFormat="1" x14ac:dyDescent="0.25"/>
    <row r="173239" s="12" customFormat="1" x14ac:dyDescent="0.25"/>
    <row r="173240" s="12" customFormat="1" x14ac:dyDescent="0.25"/>
    <row r="173241" s="12" customFormat="1" x14ac:dyDescent="0.25"/>
    <row r="173242" s="12" customFormat="1" x14ac:dyDescent="0.25"/>
    <row r="173243" s="12" customFormat="1" x14ac:dyDescent="0.25"/>
    <row r="173244" s="12" customFormat="1" x14ac:dyDescent="0.25"/>
    <row r="173245" s="12" customFormat="1" x14ac:dyDescent="0.25"/>
    <row r="173246" s="12" customFormat="1" x14ac:dyDescent="0.25"/>
    <row r="173247" s="12" customFormat="1" x14ac:dyDescent="0.25"/>
    <row r="173248" s="12" customFormat="1" x14ac:dyDescent="0.25"/>
    <row r="173249" s="12" customFormat="1" x14ac:dyDescent="0.25"/>
    <row r="173250" s="12" customFormat="1" x14ac:dyDescent="0.25"/>
    <row r="173251" s="12" customFormat="1" x14ac:dyDescent="0.25"/>
    <row r="173252" s="12" customFormat="1" x14ac:dyDescent="0.25"/>
    <row r="173253" s="12" customFormat="1" x14ac:dyDescent="0.25"/>
    <row r="173254" s="12" customFormat="1" x14ac:dyDescent="0.25"/>
    <row r="173255" s="12" customFormat="1" x14ac:dyDescent="0.25"/>
    <row r="173256" s="12" customFormat="1" x14ac:dyDescent="0.25"/>
    <row r="173257" s="12" customFormat="1" x14ac:dyDescent="0.25"/>
    <row r="173258" s="12" customFormat="1" x14ac:dyDescent="0.25"/>
    <row r="173259" s="12" customFormat="1" x14ac:dyDescent="0.25"/>
    <row r="173260" s="12" customFormat="1" x14ac:dyDescent="0.25"/>
    <row r="173261" s="12" customFormat="1" x14ac:dyDescent="0.25"/>
    <row r="173262" s="12" customFormat="1" x14ac:dyDescent="0.25"/>
    <row r="173263" s="12" customFormat="1" x14ac:dyDescent="0.25"/>
    <row r="173264" s="12" customFormat="1" x14ac:dyDescent="0.25"/>
    <row r="173265" s="12" customFormat="1" x14ac:dyDescent="0.25"/>
    <row r="173266" s="12" customFormat="1" x14ac:dyDescent="0.25"/>
    <row r="173267" s="12" customFormat="1" x14ac:dyDescent="0.25"/>
    <row r="173268" s="12" customFormat="1" x14ac:dyDescent="0.25"/>
    <row r="173269" s="12" customFormat="1" x14ac:dyDescent="0.25"/>
    <row r="173270" s="12" customFormat="1" x14ac:dyDescent="0.25"/>
    <row r="173271" s="12" customFormat="1" x14ac:dyDescent="0.25"/>
    <row r="173272" s="12" customFormat="1" x14ac:dyDescent="0.25"/>
    <row r="173273" s="12" customFormat="1" x14ac:dyDescent="0.25"/>
    <row r="173274" s="12" customFormat="1" x14ac:dyDescent="0.25"/>
    <row r="173275" s="12" customFormat="1" x14ac:dyDescent="0.25"/>
    <row r="173276" s="12" customFormat="1" x14ac:dyDescent="0.25"/>
    <row r="173277" s="12" customFormat="1" x14ac:dyDescent="0.25"/>
    <row r="173278" s="12" customFormat="1" x14ac:dyDescent="0.25"/>
    <row r="173279" s="12" customFormat="1" x14ac:dyDescent="0.25"/>
    <row r="173280" s="12" customFormat="1" x14ac:dyDescent="0.25"/>
    <row r="173281" s="12" customFormat="1" x14ac:dyDescent="0.25"/>
    <row r="173282" s="12" customFormat="1" x14ac:dyDescent="0.25"/>
    <row r="173283" s="12" customFormat="1" x14ac:dyDescent="0.25"/>
    <row r="173284" s="12" customFormat="1" x14ac:dyDescent="0.25"/>
    <row r="173285" s="12" customFormat="1" x14ac:dyDescent="0.25"/>
    <row r="173286" s="12" customFormat="1" x14ac:dyDescent="0.25"/>
    <row r="173287" s="12" customFormat="1" x14ac:dyDescent="0.25"/>
    <row r="173288" s="12" customFormat="1" x14ac:dyDescent="0.25"/>
    <row r="173289" s="12" customFormat="1" x14ac:dyDescent="0.25"/>
    <row r="173290" s="12" customFormat="1" x14ac:dyDescent="0.25"/>
    <row r="173291" s="12" customFormat="1" x14ac:dyDescent="0.25"/>
    <row r="173292" s="12" customFormat="1" x14ac:dyDescent="0.25"/>
    <row r="173293" s="12" customFormat="1" x14ac:dyDescent="0.25"/>
    <row r="173294" s="12" customFormat="1" x14ac:dyDescent="0.25"/>
    <row r="173295" s="12" customFormat="1" x14ac:dyDescent="0.25"/>
    <row r="173296" s="12" customFormat="1" x14ac:dyDescent="0.25"/>
    <row r="173297" s="12" customFormat="1" x14ac:dyDescent="0.25"/>
    <row r="173298" s="12" customFormat="1" x14ac:dyDescent="0.25"/>
    <row r="173299" s="12" customFormat="1" x14ac:dyDescent="0.25"/>
    <row r="173300" s="12" customFormat="1" x14ac:dyDescent="0.25"/>
    <row r="173301" s="12" customFormat="1" x14ac:dyDescent="0.25"/>
    <row r="173302" s="12" customFormat="1" x14ac:dyDescent="0.25"/>
    <row r="173303" s="12" customFormat="1" x14ac:dyDescent="0.25"/>
    <row r="173304" s="12" customFormat="1" x14ac:dyDescent="0.25"/>
    <row r="173305" s="12" customFormat="1" x14ac:dyDescent="0.25"/>
    <row r="173306" s="12" customFormat="1" x14ac:dyDescent="0.25"/>
    <row r="173307" s="12" customFormat="1" x14ac:dyDescent="0.25"/>
    <row r="173308" s="12" customFormat="1" x14ac:dyDescent="0.25"/>
    <row r="173309" s="12" customFormat="1" x14ac:dyDescent="0.25"/>
    <row r="173310" s="12" customFormat="1" x14ac:dyDescent="0.25"/>
    <row r="173311" s="12" customFormat="1" x14ac:dyDescent="0.25"/>
    <row r="173312" s="12" customFormat="1" x14ac:dyDescent="0.25"/>
    <row r="173313" s="12" customFormat="1" x14ac:dyDescent="0.25"/>
    <row r="173314" s="12" customFormat="1" x14ac:dyDescent="0.25"/>
    <row r="173315" s="12" customFormat="1" x14ac:dyDescent="0.25"/>
    <row r="173316" s="12" customFormat="1" x14ac:dyDescent="0.25"/>
    <row r="173317" s="12" customFormat="1" x14ac:dyDescent="0.25"/>
    <row r="173318" s="12" customFormat="1" x14ac:dyDescent="0.25"/>
    <row r="173319" s="12" customFormat="1" x14ac:dyDescent="0.25"/>
    <row r="173320" s="12" customFormat="1" x14ac:dyDescent="0.25"/>
    <row r="173321" s="12" customFormat="1" x14ac:dyDescent="0.25"/>
    <row r="173322" s="12" customFormat="1" x14ac:dyDescent="0.25"/>
    <row r="173323" s="12" customFormat="1" x14ac:dyDescent="0.25"/>
    <row r="173324" s="12" customFormat="1" x14ac:dyDescent="0.25"/>
    <row r="173325" s="12" customFormat="1" x14ac:dyDescent="0.25"/>
    <row r="173326" s="12" customFormat="1" x14ac:dyDescent="0.25"/>
    <row r="173327" s="12" customFormat="1" x14ac:dyDescent="0.25"/>
    <row r="173328" s="12" customFormat="1" x14ac:dyDescent="0.25"/>
    <row r="173329" s="12" customFormat="1" x14ac:dyDescent="0.25"/>
    <row r="173330" s="12" customFormat="1" x14ac:dyDescent="0.25"/>
    <row r="173331" s="12" customFormat="1" x14ac:dyDescent="0.25"/>
    <row r="173332" s="12" customFormat="1" x14ac:dyDescent="0.25"/>
    <row r="173333" s="12" customFormat="1" x14ac:dyDescent="0.25"/>
    <row r="173334" s="12" customFormat="1" x14ac:dyDescent="0.25"/>
    <row r="173335" s="12" customFormat="1" x14ac:dyDescent="0.25"/>
    <row r="173336" s="12" customFormat="1" x14ac:dyDescent="0.25"/>
    <row r="173337" s="12" customFormat="1" x14ac:dyDescent="0.25"/>
    <row r="173338" s="12" customFormat="1" x14ac:dyDescent="0.25"/>
    <row r="173339" s="12" customFormat="1" x14ac:dyDescent="0.25"/>
    <row r="173340" s="12" customFormat="1" x14ac:dyDescent="0.25"/>
    <row r="173341" s="12" customFormat="1" x14ac:dyDescent="0.25"/>
    <row r="173342" s="12" customFormat="1" x14ac:dyDescent="0.25"/>
    <row r="173343" s="12" customFormat="1" x14ac:dyDescent="0.25"/>
    <row r="173344" s="12" customFormat="1" x14ac:dyDescent="0.25"/>
    <row r="173345" s="12" customFormat="1" x14ac:dyDescent="0.25"/>
    <row r="173346" s="12" customFormat="1" x14ac:dyDescent="0.25"/>
    <row r="173347" s="12" customFormat="1" x14ac:dyDescent="0.25"/>
    <row r="173348" s="12" customFormat="1" x14ac:dyDescent="0.25"/>
    <row r="173349" s="12" customFormat="1" x14ac:dyDescent="0.25"/>
    <row r="173350" s="12" customFormat="1" x14ac:dyDescent="0.25"/>
    <row r="173351" s="12" customFormat="1" x14ac:dyDescent="0.25"/>
    <row r="173352" s="12" customFormat="1" x14ac:dyDescent="0.25"/>
    <row r="173353" s="12" customFormat="1" x14ac:dyDescent="0.25"/>
    <row r="173354" s="12" customFormat="1" x14ac:dyDescent="0.25"/>
    <row r="173355" s="12" customFormat="1" x14ac:dyDescent="0.25"/>
    <row r="173356" s="12" customFormat="1" x14ac:dyDescent="0.25"/>
    <row r="173357" s="12" customFormat="1" x14ac:dyDescent="0.25"/>
    <row r="173358" s="12" customFormat="1" x14ac:dyDescent="0.25"/>
    <row r="173359" s="12" customFormat="1" x14ac:dyDescent="0.25"/>
    <row r="173360" s="12" customFormat="1" x14ac:dyDescent="0.25"/>
    <row r="173361" s="12" customFormat="1" x14ac:dyDescent="0.25"/>
    <row r="173362" s="12" customFormat="1" x14ac:dyDescent="0.25"/>
    <row r="173363" s="12" customFormat="1" x14ac:dyDescent="0.25"/>
    <row r="173364" s="12" customFormat="1" x14ac:dyDescent="0.25"/>
    <row r="173365" s="12" customFormat="1" x14ac:dyDescent="0.25"/>
    <row r="173366" s="12" customFormat="1" x14ac:dyDescent="0.25"/>
    <row r="173367" s="12" customFormat="1" x14ac:dyDescent="0.25"/>
    <row r="173368" s="12" customFormat="1" x14ac:dyDescent="0.25"/>
    <row r="173369" s="12" customFormat="1" x14ac:dyDescent="0.25"/>
    <row r="173370" s="12" customFormat="1" x14ac:dyDescent="0.25"/>
    <row r="173371" s="12" customFormat="1" x14ac:dyDescent="0.25"/>
    <row r="173372" s="12" customFormat="1" x14ac:dyDescent="0.25"/>
    <row r="173373" s="12" customFormat="1" x14ac:dyDescent="0.25"/>
    <row r="173374" s="12" customFormat="1" x14ac:dyDescent="0.25"/>
    <row r="173375" s="12" customFormat="1" x14ac:dyDescent="0.25"/>
    <row r="173376" s="12" customFormat="1" x14ac:dyDescent="0.25"/>
    <row r="173377" s="12" customFormat="1" x14ac:dyDescent="0.25"/>
    <row r="173378" s="12" customFormat="1" x14ac:dyDescent="0.25"/>
    <row r="173379" s="12" customFormat="1" x14ac:dyDescent="0.25"/>
    <row r="173380" s="12" customFormat="1" x14ac:dyDescent="0.25"/>
    <row r="173381" s="12" customFormat="1" x14ac:dyDescent="0.25"/>
    <row r="173382" s="12" customFormat="1" x14ac:dyDescent="0.25"/>
    <row r="173383" s="12" customFormat="1" x14ac:dyDescent="0.25"/>
    <row r="173384" s="12" customFormat="1" x14ac:dyDescent="0.25"/>
    <row r="173385" s="12" customFormat="1" x14ac:dyDescent="0.25"/>
    <row r="173386" s="12" customFormat="1" x14ac:dyDescent="0.25"/>
    <row r="173387" s="12" customFormat="1" x14ac:dyDescent="0.25"/>
    <row r="173388" s="12" customFormat="1" x14ac:dyDescent="0.25"/>
    <row r="173389" s="12" customFormat="1" x14ac:dyDescent="0.25"/>
    <row r="173390" s="12" customFormat="1" x14ac:dyDescent="0.25"/>
    <row r="173391" s="12" customFormat="1" x14ac:dyDescent="0.25"/>
    <row r="173392" s="12" customFormat="1" x14ac:dyDescent="0.25"/>
    <row r="173393" s="12" customFormat="1" x14ac:dyDescent="0.25"/>
    <row r="173394" s="12" customFormat="1" x14ac:dyDescent="0.25"/>
    <row r="173395" s="12" customFormat="1" x14ac:dyDescent="0.25"/>
    <row r="173396" s="12" customFormat="1" x14ac:dyDescent="0.25"/>
    <row r="173397" s="12" customFormat="1" x14ac:dyDescent="0.25"/>
    <row r="173398" s="12" customFormat="1" x14ac:dyDescent="0.25"/>
    <row r="173399" s="12" customFormat="1" x14ac:dyDescent="0.25"/>
    <row r="173400" s="12" customFormat="1" x14ac:dyDescent="0.25"/>
    <row r="173401" s="12" customFormat="1" x14ac:dyDescent="0.25"/>
    <row r="173402" s="12" customFormat="1" x14ac:dyDescent="0.25"/>
    <row r="173403" s="12" customFormat="1" x14ac:dyDescent="0.25"/>
    <row r="173404" s="12" customFormat="1" x14ac:dyDescent="0.25"/>
    <row r="173405" s="12" customFormat="1" x14ac:dyDescent="0.25"/>
    <row r="173406" s="12" customFormat="1" x14ac:dyDescent="0.25"/>
    <row r="173407" s="12" customFormat="1" x14ac:dyDescent="0.25"/>
    <row r="173408" s="12" customFormat="1" x14ac:dyDescent="0.25"/>
    <row r="173409" s="12" customFormat="1" x14ac:dyDescent="0.25"/>
    <row r="173410" s="12" customFormat="1" x14ac:dyDescent="0.25"/>
    <row r="173411" s="12" customFormat="1" x14ac:dyDescent="0.25"/>
    <row r="173412" s="12" customFormat="1" x14ac:dyDescent="0.25"/>
    <row r="173413" s="12" customFormat="1" x14ac:dyDescent="0.25"/>
    <row r="173414" s="12" customFormat="1" x14ac:dyDescent="0.25"/>
    <row r="173415" s="12" customFormat="1" x14ac:dyDescent="0.25"/>
    <row r="173416" s="12" customFormat="1" x14ac:dyDescent="0.25"/>
    <row r="173417" s="12" customFormat="1" x14ac:dyDescent="0.25"/>
    <row r="173418" s="12" customFormat="1" x14ac:dyDescent="0.25"/>
    <row r="173419" s="12" customFormat="1" x14ac:dyDescent="0.25"/>
    <row r="173420" s="12" customFormat="1" x14ac:dyDescent="0.25"/>
    <row r="173421" s="12" customFormat="1" x14ac:dyDescent="0.25"/>
    <row r="173422" s="12" customFormat="1" x14ac:dyDescent="0.25"/>
    <row r="173423" s="12" customFormat="1" x14ac:dyDescent="0.25"/>
    <row r="173424" s="12" customFormat="1" x14ac:dyDescent="0.25"/>
    <row r="173425" s="12" customFormat="1" x14ac:dyDescent="0.25"/>
    <row r="173426" s="12" customFormat="1" x14ac:dyDescent="0.25"/>
    <row r="173427" s="12" customFormat="1" x14ac:dyDescent="0.25"/>
    <row r="173428" s="12" customFormat="1" x14ac:dyDescent="0.25"/>
    <row r="173429" s="12" customFormat="1" x14ac:dyDescent="0.25"/>
    <row r="173430" s="12" customFormat="1" x14ac:dyDescent="0.25"/>
    <row r="173431" s="12" customFormat="1" x14ac:dyDescent="0.25"/>
    <row r="173432" s="12" customFormat="1" x14ac:dyDescent="0.25"/>
    <row r="173433" s="12" customFormat="1" x14ac:dyDescent="0.25"/>
    <row r="173434" s="12" customFormat="1" x14ac:dyDescent="0.25"/>
    <row r="173435" s="12" customFormat="1" x14ac:dyDescent="0.25"/>
    <row r="173436" s="12" customFormat="1" x14ac:dyDescent="0.25"/>
    <row r="173437" s="12" customFormat="1" x14ac:dyDescent="0.25"/>
    <row r="173438" s="12" customFormat="1" x14ac:dyDescent="0.25"/>
    <row r="173439" s="12" customFormat="1" x14ac:dyDescent="0.25"/>
    <row r="173440" s="12" customFormat="1" x14ac:dyDescent="0.25"/>
    <row r="173441" s="12" customFormat="1" x14ac:dyDescent="0.25"/>
    <row r="173442" s="12" customFormat="1" x14ac:dyDescent="0.25"/>
    <row r="173443" s="12" customFormat="1" x14ac:dyDescent="0.25"/>
    <row r="173444" s="12" customFormat="1" x14ac:dyDescent="0.25"/>
    <row r="173445" s="12" customFormat="1" x14ac:dyDescent="0.25"/>
    <row r="173446" s="12" customFormat="1" x14ac:dyDescent="0.25"/>
    <row r="173447" s="12" customFormat="1" x14ac:dyDescent="0.25"/>
    <row r="173448" s="12" customFormat="1" x14ac:dyDescent="0.25"/>
    <row r="173449" s="12" customFormat="1" x14ac:dyDescent="0.25"/>
    <row r="173450" s="12" customFormat="1" x14ac:dyDescent="0.25"/>
    <row r="173451" s="12" customFormat="1" x14ac:dyDescent="0.25"/>
    <row r="173452" s="12" customFormat="1" x14ac:dyDescent="0.25"/>
    <row r="173453" s="12" customFormat="1" x14ac:dyDescent="0.25"/>
    <row r="173454" s="12" customFormat="1" x14ac:dyDescent="0.25"/>
    <row r="173455" s="12" customFormat="1" x14ac:dyDescent="0.25"/>
    <row r="173456" s="12" customFormat="1" x14ac:dyDescent="0.25"/>
    <row r="173457" s="12" customFormat="1" x14ac:dyDescent="0.25"/>
    <row r="173458" s="12" customFormat="1" x14ac:dyDescent="0.25"/>
    <row r="173459" s="12" customFormat="1" x14ac:dyDescent="0.25"/>
    <row r="173460" s="12" customFormat="1" x14ac:dyDescent="0.25"/>
    <row r="173461" s="12" customFormat="1" x14ac:dyDescent="0.25"/>
    <row r="173462" s="12" customFormat="1" x14ac:dyDescent="0.25"/>
    <row r="173463" s="12" customFormat="1" x14ac:dyDescent="0.25"/>
    <row r="173464" s="12" customFormat="1" x14ac:dyDescent="0.25"/>
    <row r="173465" s="12" customFormat="1" x14ac:dyDescent="0.25"/>
    <row r="173466" s="12" customFormat="1" x14ac:dyDescent="0.25"/>
    <row r="173467" s="12" customFormat="1" x14ac:dyDescent="0.25"/>
    <row r="173468" s="12" customFormat="1" x14ac:dyDescent="0.25"/>
    <row r="173469" s="12" customFormat="1" x14ac:dyDescent="0.25"/>
    <row r="173470" s="12" customFormat="1" x14ac:dyDescent="0.25"/>
    <row r="173471" s="12" customFormat="1" x14ac:dyDescent="0.25"/>
    <row r="173472" s="12" customFormat="1" x14ac:dyDescent="0.25"/>
    <row r="173473" s="12" customFormat="1" x14ac:dyDescent="0.25"/>
    <row r="173474" s="12" customFormat="1" x14ac:dyDescent="0.25"/>
    <row r="173475" s="12" customFormat="1" x14ac:dyDescent="0.25"/>
    <row r="173476" s="12" customFormat="1" x14ac:dyDescent="0.25"/>
    <row r="173477" s="12" customFormat="1" x14ac:dyDescent="0.25"/>
    <row r="173478" s="12" customFormat="1" x14ac:dyDescent="0.25"/>
    <row r="173479" s="12" customFormat="1" x14ac:dyDescent="0.25"/>
    <row r="173480" s="12" customFormat="1" x14ac:dyDescent="0.25"/>
    <row r="173481" s="12" customFormat="1" x14ac:dyDescent="0.25"/>
    <row r="173482" s="12" customFormat="1" x14ac:dyDescent="0.25"/>
    <row r="173483" s="12" customFormat="1" x14ac:dyDescent="0.25"/>
    <row r="173484" s="12" customFormat="1" x14ac:dyDescent="0.25"/>
    <row r="173485" s="12" customFormat="1" x14ac:dyDescent="0.25"/>
    <row r="173486" s="12" customFormat="1" x14ac:dyDescent="0.25"/>
    <row r="173487" s="12" customFormat="1" x14ac:dyDescent="0.25"/>
    <row r="173488" s="12" customFormat="1" x14ac:dyDescent="0.25"/>
    <row r="173489" s="12" customFormat="1" x14ac:dyDescent="0.25"/>
    <row r="173490" s="12" customFormat="1" x14ac:dyDescent="0.25"/>
    <row r="173491" s="12" customFormat="1" x14ac:dyDescent="0.25"/>
    <row r="173492" s="12" customFormat="1" x14ac:dyDescent="0.25"/>
    <row r="173493" s="12" customFormat="1" x14ac:dyDescent="0.25"/>
    <row r="173494" s="12" customFormat="1" x14ac:dyDescent="0.25"/>
    <row r="173495" s="12" customFormat="1" x14ac:dyDescent="0.25"/>
    <row r="173496" s="12" customFormat="1" x14ac:dyDescent="0.25"/>
    <row r="173497" s="12" customFormat="1" x14ac:dyDescent="0.25"/>
    <row r="173498" s="12" customFormat="1" x14ac:dyDescent="0.25"/>
    <row r="173499" s="12" customFormat="1" x14ac:dyDescent="0.25"/>
    <row r="173500" s="12" customFormat="1" x14ac:dyDescent="0.25"/>
    <row r="173501" s="12" customFormat="1" x14ac:dyDescent="0.25"/>
    <row r="173502" s="12" customFormat="1" x14ac:dyDescent="0.25"/>
    <row r="173503" s="12" customFormat="1" x14ac:dyDescent="0.25"/>
    <row r="173504" s="12" customFormat="1" x14ac:dyDescent="0.25"/>
    <row r="173505" s="12" customFormat="1" x14ac:dyDescent="0.25"/>
    <row r="173506" s="12" customFormat="1" x14ac:dyDescent="0.25"/>
    <row r="173507" s="12" customFormat="1" x14ac:dyDescent="0.25"/>
    <row r="173508" s="12" customFormat="1" x14ac:dyDescent="0.25"/>
    <row r="173509" s="12" customFormat="1" x14ac:dyDescent="0.25"/>
    <row r="173510" s="12" customFormat="1" x14ac:dyDescent="0.25"/>
    <row r="173511" s="12" customFormat="1" x14ac:dyDescent="0.25"/>
    <row r="173512" s="12" customFormat="1" x14ac:dyDescent="0.25"/>
    <row r="173513" s="12" customFormat="1" x14ac:dyDescent="0.25"/>
    <row r="173514" s="12" customFormat="1" x14ac:dyDescent="0.25"/>
    <row r="173515" s="12" customFormat="1" x14ac:dyDescent="0.25"/>
    <row r="173516" s="12" customFormat="1" x14ac:dyDescent="0.25"/>
    <row r="173517" s="12" customFormat="1" x14ac:dyDescent="0.25"/>
    <row r="173518" s="12" customFormat="1" x14ac:dyDescent="0.25"/>
    <row r="173519" s="12" customFormat="1" x14ac:dyDescent="0.25"/>
    <row r="173520" s="12" customFormat="1" x14ac:dyDescent="0.25"/>
    <row r="173521" s="12" customFormat="1" x14ac:dyDescent="0.25"/>
    <row r="173522" s="12" customFormat="1" x14ac:dyDescent="0.25"/>
    <row r="173523" s="12" customFormat="1" x14ac:dyDescent="0.25"/>
    <row r="173524" s="12" customFormat="1" x14ac:dyDescent="0.25"/>
    <row r="173525" s="12" customFormat="1" x14ac:dyDescent="0.25"/>
    <row r="173526" s="12" customFormat="1" x14ac:dyDescent="0.25"/>
    <row r="173527" s="12" customFormat="1" x14ac:dyDescent="0.25"/>
    <row r="173528" s="12" customFormat="1" x14ac:dyDescent="0.25"/>
    <row r="173529" s="12" customFormat="1" x14ac:dyDescent="0.25"/>
    <row r="173530" s="12" customFormat="1" x14ac:dyDescent="0.25"/>
    <row r="173531" s="12" customFormat="1" x14ac:dyDescent="0.25"/>
    <row r="173532" s="12" customFormat="1" x14ac:dyDescent="0.25"/>
    <row r="173533" s="12" customFormat="1" x14ac:dyDescent="0.25"/>
    <row r="173534" s="12" customFormat="1" x14ac:dyDescent="0.25"/>
    <row r="173535" s="12" customFormat="1" x14ac:dyDescent="0.25"/>
    <row r="173536" s="12" customFormat="1" x14ac:dyDescent="0.25"/>
    <row r="173537" s="12" customFormat="1" x14ac:dyDescent="0.25"/>
    <row r="173538" s="12" customFormat="1" x14ac:dyDescent="0.25"/>
    <row r="173539" s="12" customFormat="1" x14ac:dyDescent="0.25"/>
    <row r="173540" s="12" customFormat="1" x14ac:dyDescent="0.25"/>
    <row r="173541" s="12" customFormat="1" x14ac:dyDescent="0.25"/>
    <row r="173542" s="12" customFormat="1" x14ac:dyDescent="0.25"/>
    <row r="173543" s="12" customFormat="1" x14ac:dyDescent="0.25"/>
    <row r="173544" s="12" customFormat="1" x14ac:dyDescent="0.25"/>
    <row r="173545" s="12" customFormat="1" x14ac:dyDescent="0.25"/>
    <row r="173546" s="12" customFormat="1" x14ac:dyDescent="0.25"/>
    <row r="173547" s="12" customFormat="1" x14ac:dyDescent="0.25"/>
    <row r="173548" s="12" customFormat="1" x14ac:dyDescent="0.25"/>
    <row r="173549" s="12" customFormat="1" x14ac:dyDescent="0.25"/>
    <row r="173550" s="12" customFormat="1" x14ac:dyDescent="0.25"/>
    <row r="173551" s="12" customFormat="1" x14ac:dyDescent="0.25"/>
    <row r="173552" s="12" customFormat="1" x14ac:dyDescent="0.25"/>
    <row r="173553" s="12" customFormat="1" x14ac:dyDescent="0.25"/>
    <row r="173554" s="12" customFormat="1" x14ac:dyDescent="0.25"/>
    <row r="173555" s="12" customFormat="1" x14ac:dyDescent="0.25"/>
    <row r="173556" s="12" customFormat="1" x14ac:dyDescent="0.25"/>
    <row r="173557" s="12" customFormat="1" x14ac:dyDescent="0.25"/>
    <row r="173558" s="12" customFormat="1" x14ac:dyDescent="0.25"/>
    <row r="173559" s="12" customFormat="1" x14ac:dyDescent="0.25"/>
    <row r="173560" s="12" customFormat="1" x14ac:dyDescent="0.25"/>
    <row r="173561" s="12" customFormat="1" x14ac:dyDescent="0.25"/>
    <row r="173562" s="12" customFormat="1" x14ac:dyDescent="0.25"/>
    <row r="173563" s="12" customFormat="1" x14ac:dyDescent="0.25"/>
    <row r="173564" s="12" customFormat="1" x14ac:dyDescent="0.25"/>
    <row r="173565" s="12" customFormat="1" x14ac:dyDescent="0.25"/>
    <row r="173566" s="12" customFormat="1" x14ac:dyDescent="0.25"/>
    <row r="173567" s="12" customFormat="1" x14ac:dyDescent="0.25"/>
    <row r="173568" s="12" customFormat="1" x14ac:dyDescent="0.25"/>
    <row r="173569" s="12" customFormat="1" x14ac:dyDescent="0.25"/>
    <row r="173570" s="12" customFormat="1" x14ac:dyDescent="0.25"/>
    <row r="173571" s="12" customFormat="1" x14ac:dyDescent="0.25"/>
    <row r="173572" s="12" customFormat="1" x14ac:dyDescent="0.25"/>
    <row r="173573" s="12" customFormat="1" x14ac:dyDescent="0.25"/>
    <row r="173574" s="12" customFormat="1" x14ac:dyDescent="0.25"/>
    <row r="173575" s="12" customFormat="1" x14ac:dyDescent="0.25"/>
    <row r="173576" s="12" customFormat="1" x14ac:dyDescent="0.25"/>
    <row r="173577" s="12" customFormat="1" x14ac:dyDescent="0.25"/>
    <row r="173578" s="12" customFormat="1" x14ac:dyDescent="0.25"/>
    <row r="173579" s="12" customFormat="1" x14ac:dyDescent="0.25"/>
    <row r="173580" s="12" customFormat="1" x14ac:dyDescent="0.25"/>
    <row r="173581" s="12" customFormat="1" x14ac:dyDescent="0.25"/>
    <row r="173582" s="12" customFormat="1" x14ac:dyDescent="0.25"/>
    <row r="173583" s="12" customFormat="1" x14ac:dyDescent="0.25"/>
    <row r="173584" s="12" customFormat="1" x14ac:dyDescent="0.25"/>
    <row r="173585" s="12" customFormat="1" x14ac:dyDescent="0.25"/>
    <row r="173586" s="12" customFormat="1" x14ac:dyDescent="0.25"/>
    <row r="173587" s="12" customFormat="1" x14ac:dyDescent="0.25"/>
    <row r="173588" s="12" customFormat="1" x14ac:dyDescent="0.25"/>
    <row r="173589" s="12" customFormat="1" x14ac:dyDescent="0.25"/>
    <row r="173590" s="12" customFormat="1" x14ac:dyDescent="0.25"/>
    <row r="173591" s="12" customFormat="1" x14ac:dyDescent="0.25"/>
    <row r="173592" s="12" customFormat="1" x14ac:dyDescent="0.25"/>
    <row r="173593" s="12" customFormat="1" x14ac:dyDescent="0.25"/>
    <row r="173594" s="12" customFormat="1" x14ac:dyDescent="0.25"/>
    <row r="173595" s="12" customFormat="1" x14ac:dyDescent="0.25"/>
    <row r="173596" s="12" customFormat="1" x14ac:dyDescent="0.25"/>
    <row r="173597" s="12" customFormat="1" x14ac:dyDescent="0.25"/>
    <row r="173598" s="12" customFormat="1" x14ac:dyDescent="0.25"/>
    <row r="173599" s="12" customFormat="1" x14ac:dyDescent="0.25"/>
    <row r="173600" s="12" customFormat="1" x14ac:dyDescent="0.25"/>
    <row r="173601" s="12" customFormat="1" x14ac:dyDescent="0.25"/>
    <row r="173602" s="12" customFormat="1" x14ac:dyDescent="0.25"/>
    <row r="173603" s="12" customFormat="1" x14ac:dyDescent="0.25"/>
    <row r="173604" s="12" customFormat="1" x14ac:dyDescent="0.25"/>
    <row r="173605" s="12" customFormat="1" x14ac:dyDescent="0.25"/>
    <row r="173606" s="12" customFormat="1" x14ac:dyDescent="0.25"/>
    <row r="173607" s="12" customFormat="1" x14ac:dyDescent="0.25"/>
    <row r="173608" s="12" customFormat="1" x14ac:dyDescent="0.25"/>
    <row r="173609" s="12" customFormat="1" x14ac:dyDescent="0.25"/>
    <row r="173610" s="12" customFormat="1" x14ac:dyDescent="0.25"/>
    <row r="173611" s="12" customFormat="1" x14ac:dyDescent="0.25"/>
    <row r="173612" s="12" customFormat="1" x14ac:dyDescent="0.25"/>
    <row r="173613" s="12" customFormat="1" x14ac:dyDescent="0.25"/>
    <row r="173614" s="12" customFormat="1" x14ac:dyDescent="0.25"/>
    <row r="173615" s="12" customFormat="1" x14ac:dyDescent="0.25"/>
    <row r="173616" s="12" customFormat="1" x14ac:dyDescent="0.25"/>
    <row r="173617" s="12" customFormat="1" x14ac:dyDescent="0.25"/>
    <row r="173618" s="12" customFormat="1" x14ac:dyDescent="0.25"/>
    <row r="173619" s="12" customFormat="1" x14ac:dyDescent="0.25"/>
    <row r="173620" s="12" customFormat="1" x14ac:dyDescent="0.25"/>
    <row r="173621" s="12" customFormat="1" x14ac:dyDescent="0.25"/>
    <row r="173622" s="12" customFormat="1" x14ac:dyDescent="0.25"/>
    <row r="173623" s="12" customFormat="1" x14ac:dyDescent="0.25"/>
    <row r="173624" s="12" customFormat="1" x14ac:dyDescent="0.25"/>
    <row r="173625" s="12" customFormat="1" x14ac:dyDescent="0.25"/>
    <row r="173626" s="12" customFormat="1" x14ac:dyDescent="0.25"/>
    <row r="173627" s="12" customFormat="1" x14ac:dyDescent="0.25"/>
    <row r="173628" s="12" customFormat="1" x14ac:dyDescent="0.25"/>
    <row r="173629" s="12" customFormat="1" x14ac:dyDescent="0.25"/>
    <row r="173630" s="12" customFormat="1" x14ac:dyDescent="0.25"/>
    <row r="173631" s="12" customFormat="1" x14ac:dyDescent="0.25"/>
    <row r="173632" s="12" customFormat="1" x14ac:dyDescent="0.25"/>
    <row r="173633" s="12" customFormat="1" x14ac:dyDescent="0.25"/>
    <row r="173634" s="12" customFormat="1" x14ac:dyDescent="0.25"/>
    <row r="173635" s="12" customFormat="1" x14ac:dyDescent="0.25"/>
    <row r="173636" s="12" customFormat="1" x14ac:dyDescent="0.25"/>
    <row r="173637" s="12" customFormat="1" x14ac:dyDescent="0.25"/>
    <row r="173638" s="12" customFormat="1" x14ac:dyDescent="0.25"/>
    <row r="173639" s="12" customFormat="1" x14ac:dyDescent="0.25"/>
    <row r="173640" s="12" customFormat="1" x14ac:dyDescent="0.25"/>
    <row r="173641" s="12" customFormat="1" x14ac:dyDescent="0.25"/>
    <row r="173642" s="12" customFormat="1" x14ac:dyDescent="0.25"/>
    <row r="173643" s="12" customFormat="1" x14ac:dyDescent="0.25"/>
    <row r="173644" s="12" customFormat="1" x14ac:dyDescent="0.25"/>
    <row r="173645" s="12" customFormat="1" x14ac:dyDescent="0.25"/>
    <row r="173646" s="12" customFormat="1" x14ac:dyDescent="0.25"/>
    <row r="173647" s="12" customFormat="1" x14ac:dyDescent="0.25"/>
    <row r="173648" s="12" customFormat="1" x14ac:dyDescent="0.25"/>
    <row r="173649" s="12" customFormat="1" x14ac:dyDescent="0.25"/>
    <row r="173650" s="12" customFormat="1" x14ac:dyDescent="0.25"/>
    <row r="173651" s="12" customFormat="1" x14ac:dyDescent="0.25"/>
    <row r="173652" s="12" customFormat="1" x14ac:dyDescent="0.25"/>
    <row r="173653" s="12" customFormat="1" x14ac:dyDescent="0.25"/>
    <row r="173654" s="12" customFormat="1" x14ac:dyDescent="0.25"/>
    <row r="173655" s="12" customFormat="1" x14ac:dyDescent="0.25"/>
    <row r="173656" s="12" customFormat="1" x14ac:dyDescent="0.25"/>
    <row r="173657" s="12" customFormat="1" x14ac:dyDescent="0.25"/>
    <row r="173658" s="12" customFormat="1" x14ac:dyDescent="0.25"/>
    <row r="173659" s="12" customFormat="1" x14ac:dyDescent="0.25"/>
    <row r="173660" s="12" customFormat="1" x14ac:dyDescent="0.25"/>
    <row r="173661" s="12" customFormat="1" x14ac:dyDescent="0.25"/>
    <row r="173662" s="12" customFormat="1" x14ac:dyDescent="0.25"/>
    <row r="173663" s="12" customFormat="1" x14ac:dyDescent="0.25"/>
    <row r="173664" s="12" customFormat="1" x14ac:dyDescent="0.25"/>
    <row r="173665" s="12" customFormat="1" x14ac:dyDescent="0.25"/>
    <row r="173666" s="12" customFormat="1" x14ac:dyDescent="0.25"/>
    <row r="173667" s="12" customFormat="1" x14ac:dyDescent="0.25"/>
    <row r="173668" s="12" customFormat="1" x14ac:dyDescent="0.25"/>
    <row r="173669" s="12" customFormat="1" x14ac:dyDescent="0.25"/>
    <row r="173670" s="12" customFormat="1" x14ac:dyDescent="0.25"/>
    <row r="173671" s="12" customFormat="1" x14ac:dyDescent="0.25"/>
    <row r="173672" s="12" customFormat="1" x14ac:dyDescent="0.25"/>
    <row r="173673" s="12" customFormat="1" x14ac:dyDescent="0.25"/>
    <row r="173674" s="12" customFormat="1" x14ac:dyDescent="0.25"/>
    <row r="173675" s="12" customFormat="1" x14ac:dyDescent="0.25"/>
    <row r="173676" s="12" customFormat="1" x14ac:dyDescent="0.25"/>
    <row r="173677" s="12" customFormat="1" x14ac:dyDescent="0.25"/>
    <row r="173678" s="12" customFormat="1" x14ac:dyDescent="0.25"/>
    <row r="173679" s="12" customFormat="1" x14ac:dyDescent="0.25"/>
    <row r="173680" s="12" customFormat="1" x14ac:dyDescent="0.25"/>
    <row r="173681" s="12" customFormat="1" x14ac:dyDescent="0.25"/>
    <row r="173682" s="12" customFormat="1" x14ac:dyDescent="0.25"/>
    <row r="173683" s="12" customFormat="1" x14ac:dyDescent="0.25"/>
    <row r="173684" s="12" customFormat="1" x14ac:dyDescent="0.25"/>
    <row r="173685" s="12" customFormat="1" x14ac:dyDescent="0.25"/>
    <row r="173686" s="12" customFormat="1" x14ac:dyDescent="0.25"/>
    <row r="173687" s="12" customFormat="1" x14ac:dyDescent="0.25"/>
    <row r="173688" s="12" customFormat="1" x14ac:dyDescent="0.25"/>
    <row r="173689" s="12" customFormat="1" x14ac:dyDescent="0.25"/>
    <row r="173690" s="12" customFormat="1" x14ac:dyDescent="0.25"/>
    <row r="173691" s="12" customFormat="1" x14ac:dyDescent="0.25"/>
    <row r="173692" s="12" customFormat="1" x14ac:dyDescent="0.25"/>
    <row r="173693" s="12" customFormat="1" x14ac:dyDescent="0.25"/>
    <row r="173694" s="12" customFormat="1" x14ac:dyDescent="0.25"/>
    <row r="173695" s="12" customFormat="1" x14ac:dyDescent="0.25"/>
    <row r="173696" s="12" customFormat="1" x14ac:dyDescent="0.25"/>
    <row r="173697" s="12" customFormat="1" x14ac:dyDescent="0.25"/>
    <row r="173698" s="12" customFormat="1" x14ac:dyDescent="0.25"/>
    <row r="173699" s="12" customFormat="1" x14ac:dyDescent="0.25"/>
    <row r="173700" s="12" customFormat="1" x14ac:dyDescent="0.25"/>
    <row r="173701" s="12" customFormat="1" x14ac:dyDescent="0.25"/>
    <row r="173702" s="12" customFormat="1" x14ac:dyDescent="0.25"/>
    <row r="173703" s="12" customFormat="1" x14ac:dyDescent="0.25"/>
    <row r="173704" s="12" customFormat="1" x14ac:dyDescent="0.25"/>
    <row r="173705" s="12" customFormat="1" x14ac:dyDescent="0.25"/>
    <row r="173706" s="12" customFormat="1" x14ac:dyDescent="0.25"/>
    <row r="173707" s="12" customFormat="1" x14ac:dyDescent="0.25"/>
    <row r="173708" s="12" customFormat="1" x14ac:dyDescent="0.25"/>
    <row r="173709" s="12" customFormat="1" x14ac:dyDescent="0.25"/>
    <row r="173710" s="12" customFormat="1" x14ac:dyDescent="0.25"/>
    <row r="173711" s="12" customFormat="1" x14ac:dyDescent="0.25"/>
    <row r="173712" s="12" customFormat="1" x14ac:dyDescent="0.25"/>
    <row r="173713" s="12" customFormat="1" x14ac:dyDescent="0.25"/>
    <row r="173714" s="12" customFormat="1" x14ac:dyDescent="0.25"/>
    <row r="173715" s="12" customFormat="1" x14ac:dyDescent="0.25"/>
    <row r="173716" s="12" customFormat="1" x14ac:dyDescent="0.25"/>
    <row r="173717" s="12" customFormat="1" x14ac:dyDescent="0.25"/>
    <row r="173718" s="12" customFormat="1" x14ac:dyDescent="0.25"/>
    <row r="173719" s="12" customFormat="1" x14ac:dyDescent="0.25"/>
    <row r="173720" s="12" customFormat="1" x14ac:dyDescent="0.25"/>
    <row r="173721" s="12" customFormat="1" x14ac:dyDescent="0.25"/>
    <row r="173722" s="12" customFormat="1" x14ac:dyDescent="0.25"/>
    <row r="173723" s="12" customFormat="1" x14ac:dyDescent="0.25"/>
    <row r="173724" s="12" customFormat="1" x14ac:dyDescent="0.25"/>
    <row r="173725" s="12" customFormat="1" x14ac:dyDescent="0.25"/>
    <row r="173726" s="12" customFormat="1" x14ac:dyDescent="0.25"/>
    <row r="173727" s="12" customFormat="1" x14ac:dyDescent="0.25"/>
    <row r="173728" s="12" customFormat="1" x14ac:dyDescent="0.25"/>
    <row r="173729" s="12" customFormat="1" x14ac:dyDescent="0.25"/>
    <row r="173730" s="12" customFormat="1" x14ac:dyDescent="0.25"/>
    <row r="173731" s="12" customFormat="1" x14ac:dyDescent="0.25"/>
    <row r="173732" s="12" customFormat="1" x14ac:dyDescent="0.25"/>
    <row r="173733" s="12" customFormat="1" x14ac:dyDescent="0.25"/>
    <row r="173734" s="12" customFormat="1" x14ac:dyDescent="0.25"/>
    <row r="173735" s="12" customFormat="1" x14ac:dyDescent="0.25"/>
    <row r="173736" s="12" customFormat="1" x14ac:dyDescent="0.25"/>
    <row r="173737" s="12" customFormat="1" x14ac:dyDescent="0.25"/>
    <row r="173738" s="12" customFormat="1" x14ac:dyDescent="0.25"/>
    <row r="173739" s="12" customFormat="1" x14ac:dyDescent="0.25"/>
    <row r="173740" s="12" customFormat="1" x14ac:dyDescent="0.25"/>
    <row r="173741" s="12" customFormat="1" x14ac:dyDescent="0.25"/>
    <row r="173742" s="12" customFormat="1" x14ac:dyDescent="0.25"/>
    <row r="173743" s="12" customFormat="1" x14ac:dyDescent="0.25"/>
    <row r="173744" s="12" customFormat="1" x14ac:dyDescent="0.25"/>
    <row r="173745" s="12" customFormat="1" x14ac:dyDescent="0.25"/>
    <row r="173746" s="12" customFormat="1" x14ac:dyDescent="0.25"/>
    <row r="173747" s="12" customFormat="1" x14ac:dyDescent="0.25"/>
    <row r="173748" s="12" customFormat="1" x14ac:dyDescent="0.25"/>
    <row r="173749" s="12" customFormat="1" x14ac:dyDescent="0.25"/>
    <row r="173750" s="12" customFormat="1" x14ac:dyDescent="0.25"/>
    <row r="173751" s="12" customFormat="1" x14ac:dyDescent="0.25"/>
    <row r="173752" s="12" customFormat="1" x14ac:dyDescent="0.25"/>
    <row r="173753" s="12" customFormat="1" x14ac:dyDescent="0.25"/>
    <row r="173754" s="12" customFormat="1" x14ac:dyDescent="0.25"/>
    <row r="173755" s="12" customFormat="1" x14ac:dyDescent="0.25"/>
    <row r="173756" s="12" customFormat="1" x14ac:dyDescent="0.25"/>
    <row r="173757" s="12" customFormat="1" x14ac:dyDescent="0.25"/>
    <row r="173758" s="12" customFormat="1" x14ac:dyDescent="0.25"/>
    <row r="173759" s="12" customFormat="1" x14ac:dyDescent="0.25"/>
    <row r="173760" s="12" customFormat="1" x14ac:dyDescent="0.25"/>
    <row r="173761" s="12" customFormat="1" x14ac:dyDescent="0.25"/>
    <row r="173762" s="12" customFormat="1" x14ac:dyDescent="0.25"/>
    <row r="173763" s="12" customFormat="1" x14ac:dyDescent="0.25"/>
    <row r="173764" s="12" customFormat="1" x14ac:dyDescent="0.25"/>
    <row r="173765" s="12" customFormat="1" x14ac:dyDescent="0.25"/>
    <row r="173766" s="12" customFormat="1" x14ac:dyDescent="0.25"/>
    <row r="173767" s="12" customFormat="1" x14ac:dyDescent="0.25"/>
    <row r="173768" s="12" customFormat="1" x14ac:dyDescent="0.25"/>
    <row r="173769" s="12" customFormat="1" x14ac:dyDescent="0.25"/>
    <row r="173770" s="12" customFormat="1" x14ac:dyDescent="0.25"/>
    <row r="173771" s="12" customFormat="1" x14ac:dyDescent="0.25"/>
    <row r="173772" s="12" customFormat="1" x14ac:dyDescent="0.25"/>
    <row r="173773" s="12" customFormat="1" x14ac:dyDescent="0.25"/>
    <row r="173774" s="12" customFormat="1" x14ac:dyDescent="0.25"/>
    <row r="173775" s="12" customFormat="1" x14ac:dyDescent="0.25"/>
    <row r="173776" s="12" customFormat="1" x14ac:dyDescent="0.25"/>
    <row r="173777" s="12" customFormat="1" x14ac:dyDescent="0.25"/>
    <row r="173778" s="12" customFormat="1" x14ac:dyDescent="0.25"/>
    <row r="173779" s="12" customFormat="1" x14ac:dyDescent="0.25"/>
    <row r="173780" s="12" customFormat="1" x14ac:dyDescent="0.25"/>
    <row r="173781" s="12" customFormat="1" x14ac:dyDescent="0.25"/>
    <row r="173782" s="12" customFormat="1" x14ac:dyDescent="0.25"/>
    <row r="173783" s="12" customFormat="1" x14ac:dyDescent="0.25"/>
    <row r="173784" s="12" customFormat="1" x14ac:dyDescent="0.25"/>
    <row r="173785" s="12" customFormat="1" x14ac:dyDescent="0.25"/>
    <row r="173786" s="12" customFormat="1" x14ac:dyDescent="0.25"/>
    <row r="173787" s="12" customFormat="1" x14ac:dyDescent="0.25"/>
    <row r="173788" s="12" customFormat="1" x14ac:dyDescent="0.25"/>
    <row r="173789" s="12" customFormat="1" x14ac:dyDescent="0.25"/>
    <row r="173790" s="12" customFormat="1" x14ac:dyDescent="0.25"/>
    <row r="173791" s="12" customFormat="1" x14ac:dyDescent="0.25"/>
    <row r="173792" s="12" customFormat="1" x14ac:dyDescent="0.25"/>
    <row r="173793" s="12" customFormat="1" x14ac:dyDescent="0.25"/>
    <row r="173794" s="12" customFormat="1" x14ac:dyDescent="0.25"/>
    <row r="173795" s="12" customFormat="1" x14ac:dyDescent="0.25"/>
    <row r="173796" s="12" customFormat="1" x14ac:dyDescent="0.25"/>
    <row r="173797" s="12" customFormat="1" x14ac:dyDescent="0.25"/>
    <row r="173798" s="12" customFormat="1" x14ac:dyDescent="0.25"/>
    <row r="173799" s="12" customFormat="1" x14ac:dyDescent="0.25"/>
    <row r="173800" s="12" customFormat="1" x14ac:dyDescent="0.25"/>
    <row r="173801" s="12" customFormat="1" x14ac:dyDescent="0.25"/>
    <row r="173802" s="12" customFormat="1" x14ac:dyDescent="0.25"/>
    <row r="173803" s="12" customFormat="1" x14ac:dyDescent="0.25"/>
    <row r="173804" s="12" customFormat="1" x14ac:dyDescent="0.25"/>
    <row r="173805" s="12" customFormat="1" x14ac:dyDescent="0.25"/>
    <row r="173806" s="12" customFormat="1" x14ac:dyDescent="0.25"/>
    <row r="173807" s="12" customFormat="1" x14ac:dyDescent="0.25"/>
    <row r="173808" s="12" customFormat="1" x14ac:dyDescent="0.25"/>
    <row r="173809" s="12" customFormat="1" x14ac:dyDescent="0.25"/>
    <row r="173810" s="12" customFormat="1" x14ac:dyDescent="0.25"/>
    <row r="173811" s="12" customFormat="1" x14ac:dyDescent="0.25"/>
    <row r="173812" s="12" customFormat="1" x14ac:dyDescent="0.25"/>
    <row r="173813" s="12" customFormat="1" x14ac:dyDescent="0.25"/>
    <row r="173814" s="12" customFormat="1" x14ac:dyDescent="0.25"/>
    <row r="173815" s="12" customFormat="1" x14ac:dyDescent="0.25"/>
    <row r="173816" s="12" customFormat="1" x14ac:dyDescent="0.25"/>
    <row r="173817" s="12" customFormat="1" x14ac:dyDescent="0.25"/>
    <row r="173818" s="12" customFormat="1" x14ac:dyDescent="0.25"/>
    <row r="173819" s="12" customFormat="1" x14ac:dyDescent="0.25"/>
    <row r="173820" s="12" customFormat="1" x14ac:dyDescent="0.25"/>
    <row r="173821" s="12" customFormat="1" x14ac:dyDescent="0.25"/>
    <row r="173822" s="12" customFormat="1" x14ac:dyDescent="0.25"/>
    <row r="173823" s="12" customFormat="1" x14ac:dyDescent="0.25"/>
    <row r="173824" s="12" customFormat="1" x14ac:dyDescent="0.25"/>
    <row r="173825" s="12" customFormat="1" x14ac:dyDescent="0.25"/>
    <row r="173826" s="12" customFormat="1" x14ac:dyDescent="0.25"/>
    <row r="173827" s="12" customFormat="1" x14ac:dyDescent="0.25"/>
    <row r="173828" s="12" customFormat="1" x14ac:dyDescent="0.25"/>
    <row r="173829" s="12" customFormat="1" x14ac:dyDescent="0.25"/>
    <row r="173830" s="12" customFormat="1" x14ac:dyDescent="0.25"/>
    <row r="173831" s="12" customFormat="1" x14ac:dyDescent="0.25"/>
    <row r="173832" s="12" customFormat="1" x14ac:dyDescent="0.25"/>
    <row r="173833" s="12" customFormat="1" x14ac:dyDescent="0.25"/>
    <row r="173834" s="12" customFormat="1" x14ac:dyDescent="0.25"/>
    <row r="173835" s="12" customFormat="1" x14ac:dyDescent="0.25"/>
    <row r="173836" s="12" customFormat="1" x14ac:dyDescent="0.25"/>
    <row r="173837" s="12" customFormat="1" x14ac:dyDescent="0.25"/>
    <row r="173838" s="12" customFormat="1" x14ac:dyDescent="0.25"/>
    <row r="173839" s="12" customFormat="1" x14ac:dyDescent="0.25"/>
    <row r="173840" s="12" customFormat="1" x14ac:dyDescent="0.25"/>
    <row r="173841" s="12" customFormat="1" x14ac:dyDescent="0.25"/>
    <row r="173842" s="12" customFormat="1" x14ac:dyDescent="0.25"/>
    <row r="173843" s="12" customFormat="1" x14ac:dyDescent="0.25"/>
    <row r="173844" s="12" customFormat="1" x14ac:dyDescent="0.25"/>
    <row r="173845" s="12" customFormat="1" x14ac:dyDescent="0.25"/>
    <row r="173846" s="12" customFormat="1" x14ac:dyDescent="0.25"/>
    <row r="173847" s="12" customFormat="1" x14ac:dyDescent="0.25"/>
    <row r="173848" s="12" customFormat="1" x14ac:dyDescent="0.25"/>
    <row r="173849" s="12" customFormat="1" x14ac:dyDescent="0.25"/>
    <row r="173850" s="12" customFormat="1" x14ac:dyDescent="0.25"/>
    <row r="173851" s="12" customFormat="1" x14ac:dyDescent="0.25"/>
    <row r="173852" s="12" customFormat="1" x14ac:dyDescent="0.25"/>
    <row r="173853" s="12" customFormat="1" x14ac:dyDescent="0.25"/>
    <row r="173854" s="12" customFormat="1" x14ac:dyDescent="0.25"/>
    <row r="173855" s="12" customFormat="1" x14ac:dyDescent="0.25"/>
    <row r="173856" s="12" customFormat="1" x14ac:dyDescent="0.25"/>
    <row r="173857" s="12" customFormat="1" x14ac:dyDescent="0.25"/>
    <row r="173858" s="12" customFormat="1" x14ac:dyDescent="0.25"/>
    <row r="173859" s="12" customFormat="1" x14ac:dyDescent="0.25"/>
    <row r="173860" s="12" customFormat="1" x14ac:dyDescent="0.25"/>
    <row r="173861" s="12" customFormat="1" x14ac:dyDescent="0.25"/>
    <row r="173862" s="12" customFormat="1" x14ac:dyDescent="0.25"/>
    <row r="173863" s="12" customFormat="1" x14ac:dyDescent="0.25"/>
    <row r="173864" s="12" customFormat="1" x14ac:dyDescent="0.25"/>
    <row r="173865" s="12" customFormat="1" x14ac:dyDescent="0.25"/>
    <row r="173866" s="12" customFormat="1" x14ac:dyDescent="0.25"/>
    <row r="173867" s="12" customFormat="1" x14ac:dyDescent="0.25"/>
    <row r="173868" s="12" customFormat="1" x14ac:dyDescent="0.25"/>
    <row r="173869" s="12" customFormat="1" x14ac:dyDescent="0.25"/>
    <row r="173870" s="12" customFormat="1" x14ac:dyDescent="0.25"/>
    <row r="173871" s="12" customFormat="1" x14ac:dyDescent="0.25"/>
    <row r="173872" s="12" customFormat="1" x14ac:dyDescent="0.25"/>
    <row r="173873" s="12" customFormat="1" x14ac:dyDescent="0.25"/>
    <row r="173874" s="12" customFormat="1" x14ac:dyDescent="0.25"/>
    <row r="173875" s="12" customFormat="1" x14ac:dyDescent="0.25"/>
    <row r="173876" s="12" customFormat="1" x14ac:dyDescent="0.25"/>
    <row r="173877" s="12" customFormat="1" x14ac:dyDescent="0.25"/>
    <row r="173878" s="12" customFormat="1" x14ac:dyDescent="0.25"/>
    <row r="173879" s="12" customFormat="1" x14ac:dyDescent="0.25"/>
    <row r="173880" s="12" customFormat="1" x14ac:dyDescent="0.25"/>
    <row r="173881" s="12" customFormat="1" x14ac:dyDescent="0.25"/>
    <row r="173882" s="12" customFormat="1" x14ac:dyDescent="0.25"/>
    <row r="173883" s="12" customFormat="1" x14ac:dyDescent="0.25"/>
    <row r="173884" s="12" customFormat="1" x14ac:dyDescent="0.25"/>
    <row r="173885" s="12" customFormat="1" x14ac:dyDescent="0.25"/>
    <row r="173886" s="12" customFormat="1" x14ac:dyDescent="0.25"/>
    <row r="173887" s="12" customFormat="1" x14ac:dyDescent="0.25"/>
    <row r="173888" s="12" customFormat="1" x14ac:dyDescent="0.25"/>
    <row r="173889" s="12" customFormat="1" x14ac:dyDescent="0.25"/>
    <row r="173890" s="12" customFormat="1" x14ac:dyDescent="0.25"/>
    <row r="173891" s="12" customFormat="1" x14ac:dyDescent="0.25"/>
    <row r="173892" s="12" customFormat="1" x14ac:dyDescent="0.25"/>
    <row r="173893" s="12" customFormat="1" x14ac:dyDescent="0.25"/>
    <row r="173894" s="12" customFormat="1" x14ac:dyDescent="0.25"/>
    <row r="173895" s="12" customFormat="1" x14ac:dyDescent="0.25"/>
    <row r="173896" s="12" customFormat="1" x14ac:dyDescent="0.25"/>
    <row r="173897" s="12" customFormat="1" x14ac:dyDescent="0.25"/>
    <row r="173898" s="12" customFormat="1" x14ac:dyDescent="0.25"/>
    <row r="173899" s="12" customFormat="1" x14ac:dyDescent="0.25"/>
    <row r="173900" s="12" customFormat="1" x14ac:dyDescent="0.25"/>
    <row r="173901" s="12" customFormat="1" x14ac:dyDescent="0.25"/>
    <row r="173902" s="12" customFormat="1" x14ac:dyDescent="0.25"/>
    <row r="173903" s="12" customFormat="1" x14ac:dyDescent="0.25"/>
    <row r="173904" s="12" customFormat="1" x14ac:dyDescent="0.25"/>
    <row r="173905" s="12" customFormat="1" x14ac:dyDescent="0.25"/>
    <row r="173906" s="12" customFormat="1" x14ac:dyDescent="0.25"/>
    <row r="173907" s="12" customFormat="1" x14ac:dyDescent="0.25"/>
    <row r="173908" s="12" customFormat="1" x14ac:dyDescent="0.25"/>
    <row r="173909" s="12" customFormat="1" x14ac:dyDescent="0.25"/>
    <row r="173910" s="12" customFormat="1" x14ac:dyDescent="0.25"/>
    <row r="173911" s="12" customFormat="1" x14ac:dyDescent="0.25"/>
    <row r="173912" s="12" customFormat="1" x14ac:dyDescent="0.25"/>
    <row r="173913" s="12" customFormat="1" x14ac:dyDescent="0.25"/>
    <row r="173914" s="12" customFormat="1" x14ac:dyDescent="0.25"/>
    <row r="173915" s="12" customFormat="1" x14ac:dyDescent="0.25"/>
    <row r="173916" s="12" customFormat="1" x14ac:dyDescent="0.25"/>
    <row r="173917" s="12" customFormat="1" x14ac:dyDescent="0.25"/>
    <row r="173918" s="12" customFormat="1" x14ac:dyDescent="0.25"/>
    <row r="173919" s="12" customFormat="1" x14ac:dyDescent="0.25"/>
    <row r="173920" s="12" customFormat="1" x14ac:dyDescent="0.25"/>
    <row r="173921" s="12" customFormat="1" x14ac:dyDescent="0.25"/>
    <row r="173922" s="12" customFormat="1" x14ac:dyDescent="0.25"/>
    <row r="173923" s="12" customFormat="1" x14ac:dyDescent="0.25"/>
    <row r="173924" s="12" customFormat="1" x14ac:dyDescent="0.25"/>
    <row r="173925" s="12" customFormat="1" x14ac:dyDescent="0.25"/>
    <row r="173926" s="12" customFormat="1" x14ac:dyDescent="0.25"/>
    <row r="173927" s="12" customFormat="1" x14ac:dyDescent="0.25"/>
    <row r="173928" s="12" customFormat="1" x14ac:dyDescent="0.25"/>
    <row r="173929" s="12" customFormat="1" x14ac:dyDescent="0.25"/>
    <row r="173930" s="12" customFormat="1" x14ac:dyDescent="0.25"/>
    <row r="173931" s="12" customFormat="1" x14ac:dyDescent="0.25"/>
    <row r="173932" s="12" customFormat="1" x14ac:dyDescent="0.25"/>
    <row r="173933" s="12" customFormat="1" x14ac:dyDescent="0.25"/>
    <row r="173934" s="12" customFormat="1" x14ac:dyDescent="0.25"/>
    <row r="173935" s="12" customFormat="1" x14ac:dyDescent="0.25"/>
    <row r="173936" s="12" customFormat="1" x14ac:dyDescent="0.25"/>
    <row r="173937" s="12" customFormat="1" x14ac:dyDescent="0.25"/>
    <row r="173938" s="12" customFormat="1" x14ac:dyDescent="0.25"/>
    <row r="173939" s="12" customFormat="1" x14ac:dyDescent="0.25"/>
    <row r="173940" s="12" customFormat="1" x14ac:dyDescent="0.25"/>
    <row r="173941" s="12" customFormat="1" x14ac:dyDescent="0.25"/>
    <row r="173942" s="12" customFormat="1" x14ac:dyDescent="0.25"/>
    <row r="173943" s="12" customFormat="1" x14ac:dyDescent="0.25"/>
    <row r="173944" s="12" customFormat="1" x14ac:dyDescent="0.25"/>
    <row r="173945" s="12" customFormat="1" x14ac:dyDescent="0.25"/>
    <row r="173946" s="12" customFormat="1" x14ac:dyDescent="0.25"/>
    <row r="173947" s="12" customFormat="1" x14ac:dyDescent="0.25"/>
    <row r="173948" s="12" customFormat="1" x14ac:dyDescent="0.25"/>
    <row r="173949" s="12" customFormat="1" x14ac:dyDescent="0.25"/>
    <row r="173950" s="12" customFormat="1" x14ac:dyDescent="0.25"/>
    <row r="173951" s="12" customFormat="1" x14ac:dyDescent="0.25"/>
    <row r="173952" s="12" customFormat="1" x14ac:dyDescent="0.25"/>
    <row r="173953" s="12" customFormat="1" x14ac:dyDescent="0.25"/>
    <row r="173954" s="12" customFormat="1" x14ac:dyDescent="0.25"/>
    <row r="173955" s="12" customFormat="1" x14ac:dyDescent="0.25"/>
    <row r="173956" s="12" customFormat="1" x14ac:dyDescent="0.25"/>
    <row r="173957" s="12" customFormat="1" x14ac:dyDescent="0.25"/>
    <row r="173958" s="12" customFormat="1" x14ac:dyDescent="0.25"/>
    <row r="173959" s="12" customFormat="1" x14ac:dyDescent="0.25"/>
    <row r="173960" s="12" customFormat="1" x14ac:dyDescent="0.25"/>
    <row r="173961" s="12" customFormat="1" x14ac:dyDescent="0.25"/>
    <row r="173962" s="12" customFormat="1" x14ac:dyDescent="0.25"/>
    <row r="173963" s="12" customFormat="1" x14ac:dyDescent="0.25"/>
    <row r="173964" s="12" customFormat="1" x14ac:dyDescent="0.25"/>
    <row r="173965" s="12" customFormat="1" x14ac:dyDescent="0.25"/>
    <row r="173966" s="12" customFormat="1" x14ac:dyDescent="0.25"/>
    <row r="173967" s="12" customFormat="1" x14ac:dyDescent="0.25"/>
    <row r="173968" s="12" customFormat="1" x14ac:dyDescent="0.25"/>
    <row r="173969" s="12" customFormat="1" x14ac:dyDescent="0.25"/>
    <row r="173970" s="12" customFormat="1" x14ac:dyDescent="0.25"/>
    <row r="173971" s="12" customFormat="1" x14ac:dyDescent="0.25"/>
    <row r="173972" s="12" customFormat="1" x14ac:dyDescent="0.25"/>
    <row r="173973" s="12" customFormat="1" x14ac:dyDescent="0.25"/>
    <row r="173974" s="12" customFormat="1" x14ac:dyDescent="0.25"/>
    <row r="173975" s="12" customFormat="1" x14ac:dyDescent="0.25"/>
    <row r="173976" s="12" customFormat="1" x14ac:dyDescent="0.25"/>
    <row r="173977" s="12" customFormat="1" x14ac:dyDescent="0.25"/>
    <row r="173978" s="12" customFormat="1" x14ac:dyDescent="0.25"/>
    <row r="173979" s="12" customFormat="1" x14ac:dyDescent="0.25"/>
    <row r="173980" s="12" customFormat="1" x14ac:dyDescent="0.25"/>
    <row r="173981" s="12" customFormat="1" x14ac:dyDescent="0.25"/>
    <row r="173982" s="12" customFormat="1" x14ac:dyDescent="0.25"/>
    <row r="173983" s="12" customFormat="1" x14ac:dyDescent="0.25"/>
    <row r="173984" s="12" customFormat="1" x14ac:dyDescent="0.25"/>
    <row r="173985" s="12" customFormat="1" x14ac:dyDescent="0.25"/>
    <row r="173986" s="12" customFormat="1" x14ac:dyDescent="0.25"/>
    <row r="173987" s="12" customFormat="1" x14ac:dyDescent="0.25"/>
    <row r="173988" s="12" customFormat="1" x14ac:dyDescent="0.25"/>
    <row r="173989" s="12" customFormat="1" x14ac:dyDescent="0.25"/>
    <row r="173990" s="12" customFormat="1" x14ac:dyDescent="0.25"/>
    <row r="173991" s="12" customFormat="1" x14ac:dyDescent="0.25"/>
    <row r="173992" s="12" customFormat="1" x14ac:dyDescent="0.25"/>
    <row r="173993" s="12" customFormat="1" x14ac:dyDescent="0.25"/>
    <row r="173994" s="12" customFormat="1" x14ac:dyDescent="0.25"/>
    <row r="173995" s="12" customFormat="1" x14ac:dyDescent="0.25"/>
    <row r="173996" s="12" customFormat="1" x14ac:dyDescent="0.25"/>
    <row r="173997" s="12" customFormat="1" x14ac:dyDescent="0.25"/>
    <row r="173998" s="12" customFormat="1" x14ac:dyDescent="0.25"/>
    <row r="173999" s="12" customFormat="1" x14ac:dyDescent="0.25"/>
    <row r="174000" s="12" customFormat="1" x14ac:dyDescent="0.25"/>
    <row r="174001" s="12" customFormat="1" x14ac:dyDescent="0.25"/>
    <row r="174002" s="12" customFormat="1" x14ac:dyDescent="0.25"/>
    <row r="174003" s="12" customFormat="1" x14ac:dyDescent="0.25"/>
    <row r="174004" s="12" customFormat="1" x14ac:dyDescent="0.25"/>
    <row r="174005" s="12" customFormat="1" x14ac:dyDescent="0.25"/>
    <row r="174006" s="12" customFormat="1" x14ac:dyDescent="0.25"/>
    <row r="174007" s="12" customFormat="1" x14ac:dyDescent="0.25"/>
    <row r="174008" s="12" customFormat="1" x14ac:dyDescent="0.25"/>
    <row r="174009" s="12" customFormat="1" x14ac:dyDescent="0.25"/>
    <row r="174010" s="12" customFormat="1" x14ac:dyDescent="0.25"/>
    <row r="174011" s="12" customFormat="1" x14ac:dyDescent="0.25"/>
    <row r="174012" s="12" customFormat="1" x14ac:dyDescent="0.25"/>
    <row r="174013" s="12" customFormat="1" x14ac:dyDescent="0.25"/>
    <row r="174014" s="12" customFormat="1" x14ac:dyDescent="0.25"/>
    <row r="174015" s="12" customFormat="1" x14ac:dyDescent="0.25"/>
    <row r="174016" s="12" customFormat="1" x14ac:dyDescent="0.25"/>
    <row r="174017" s="12" customFormat="1" x14ac:dyDescent="0.25"/>
    <row r="174018" s="12" customFormat="1" x14ac:dyDescent="0.25"/>
    <row r="174019" s="12" customFormat="1" x14ac:dyDescent="0.25"/>
    <row r="174020" s="12" customFormat="1" x14ac:dyDescent="0.25"/>
    <row r="174021" s="12" customFormat="1" x14ac:dyDescent="0.25"/>
    <row r="174022" s="12" customFormat="1" x14ac:dyDescent="0.25"/>
    <row r="174023" s="12" customFormat="1" x14ac:dyDescent="0.25"/>
    <row r="174024" s="12" customFormat="1" x14ac:dyDescent="0.25"/>
    <row r="174025" s="12" customFormat="1" x14ac:dyDescent="0.25"/>
    <row r="174026" s="12" customFormat="1" x14ac:dyDescent="0.25"/>
    <row r="174027" s="12" customFormat="1" x14ac:dyDescent="0.25"/>
    <row r="174028" s="12" customFormat="1" x14ac:dyDescent="0.25"/>
    <row r="174029" s="12" customFormat="1" x14ac:dyDescent="0.25"/>
    <row r="174030" s="12" customFormat="1" x14ac:dyDescent="0.25"/>
    <row r="174031" s="12" customFormat="1" x14ac:dyDescent="0.25"/>
    <row r="174032" s="12" customFormat="1" x14ac:dyDescent="0.25"/>
    <row r="174033" s="12" customFormat="1" x14ac:dyDescent="0.25"/>
    <row r="174034" s="12" customFormat="1" x14ac:dyDescent="0.25"/>
    <row r="174035" s="12" customFormat="1" x14ac:dyDescent="0.25"/>
    <row r="174036" s="12" customFormat="1" x14ac:dyDescent="0.25"/>
    <row r="174037" s="12" customFormat="1" x14ac:dyDescent="0.25"/>
    <row r="174038" s="12" customFormat="1" x14ac:dyDescent="0.25"/>
    <row r="174039" s="12" customFormat="1" x14ac:dyDescent="0.25"/>
    <row r="174040" s="12" customFormat="1" x14ac:dyDescent="0.25"/>
    <row r="174041" s="12" customFormat="1" x14ac:dyDescent="0.25"/>
    <row r="174042" s="12" customFormat="1" x14ac:dyDescent="0.25"/>
    <row r="174043" s="12" customFormat="1" x14ac:dyDescent="0.25"/>
    <row r="174044" s="12" customFormat="1" x14ac:dyDescent="0.25"/>
    <row r="174045" s="12" customFormat="1" x14ac:dyDescent="0.25"/>
    <row r="174046" s="12" customFormat="1" x14ac:dyDescent="0.25"/>
    <row r="174047" s="12" customFormat="1" x14ac:dyDescent="0.25"/>
    <row r="174048" s="12" customFormat="1" x14ac:dyDescent="0.25"/>
    <row r="174049" s="12" customFormat="1" x14ac:dyDescent="0.25"/>
    <row r="174050" s="12" customFormat="1" x14ac:dyDescent="0.25"/>
    <row r="174051" s="12" customFormat="1" x14ac:dyDescent="0.25"/>
    <row r="174052" s="12" customFormat="1" x14ac:dyDescent="0.25"/>
    <row r="174053" s="12" customFormat="1" x14ac:dyDescent="0.25"/>
    <row r="174054" s="12" customFormat="1" x14ac:dyDescent="0.25"/>
    <row r="174055" s="12" customFormat="1" x14ac:dyDescent="0.25"/>
    <row r="174056" s="12" customFormat="1" x14ac:dyDescent="0.25"/>
    <row r="174057" s="12" customFormat="1" x14ac:dyDescent="0.25"/>
    <row r="174058" s="12" customFormat="1" x14ac:dyDescent="0.25"/>
    <row r="174059" s="12" customFormat="1" x14ac:dyDescent="0.25"/>
    <row r="174060" s="12" customFormat="1" x14ac:dyDescent="0.25"/>
    <row r="174061" s="12" customFormat="1" x14ac:dyDescent="0.25"/>
    <row r="174062" s="12" customFormat="1" x14ac:dyDescent="0.25"/>
    <row r="174063" s="12" customFormat="1" x14ac:dyDescent="0.25"/>
    <row r="174064" s="12" customFormat="1" x14ac:dyDescent="0.25"/>
    <row r="174065" s="12" customFormat="1" x14ac:dyDescent="0.25"/>
    <row r="174066" s="12" customFormat="1" x14ac:dyDescent="0.25"/>
    <row r="174067" s="12" customFormat="1" x14ac:dyDescent="0.25"/>
    <row r="174068" s="12" customFormat="1" x14ac:dyDescent="0.25"/>
    <row r="174069" s="12" customFormat="1" x14ac:dyDescent="0.25"/>
    <row r="174070" s="12" customFormat="1" x14ac:dyDescent="0.25"/>
    <row r="174071" s="12" customFormat="1" x14ac:dyDescent="0.25"/>
    <row r="174072" s="12" customFormat="1" x14ac:dyDescent="0.25"/>
    <row r="174073" s="12" customFormat="1" x14ac:dyDescent="0.25"/>
    <row r="174074" s="12" customFormat="1" x14ac:dyDescent="0.25"/>
    <row r="174075" s="12" customFormat="1" x14ac:dyDescent="0.25"/>
    <row r="174076" s="12" customFormat="1" x14ac:dyDescent="0.25"/>
    <row r="174077" s="12" customFormat="1" x14ac:dyDescent="0.25"/>
    <row r="174078" s="12" customFormat="1" x14ac:dyDescent="0.25"/>
    <row r="174079" s="12" customFormat="1" x14ac:dyDescent="0.25"/>
    <row r="174080" s="12" customFormat="1" x14ac:dyDescent="0.25"/>
    <row r="174081" s="12" customFormat="1" x14ac:dyDescent="0.25"/>
    <row r="174082" s="12" customFormat="1" x14ac:dyDescent="0.25"/>
    <row r="174083" s="12" customFormat="1" x14ac:dyDescent="0.25"/>
    <row r="174084" s="12" customFormat="1" x14ac:dyDescent="0.25"/>
    <row r="174085" s="12" customFormat="1" x14ac:dyDescent="0.25"/>
    <row r="174086" s="12" customFormat="1" x14ac:dyDescent="0.25"/>
    <row r="174087" s="12" customFormat="1" x14ac:dyDescent="0.25"/>
    <row r="174088" s="12" customFormat="1" x14ac:dyDescent="0.25"/>
    <row r="174089" s="12" customFormat="1" x14ac:dyDescent="0.25"/>
    <row r="174090" s="12" customFormat="1" x14ac:dyDescent="0.25"/>
    <row r="174091" s="12" customFormat="1" x14ac:dyDescent="0.25"/>
    <row r="174092" s="12" customFormat="1" x14ac:dyDescent="0.25"/>
    <row r="174093" s="12" customFormat="1" x14ac:dyDescent="0.25"/>
    <row r="174094" s="12" customFormat="1" x14ac:dyDescent="0.25"/>
    <row r="174095" s="12" customFormat="1" x14ac:dyDescent="0.25"/>
    <row r="174096" s="12" customFormat="1" x14ac:dyDescent="0.25"/>
    <row r="174097" s="12" customFormat="1" x14ac:dyDescent="0.25"/>
    <row r="174098" s="12" customFormat="1" x14ac:dyDescent="0.25"/>
    <row r="174099" s="12" customFormat="1" x14ac:dyDescent="0.25"/>
    <row r="174100" s="12" customFormat="1" x14ac:dyDescent="0.25"/>
    <row r="174101" s="12" customFormat="1" x14ac:dyDescent="0.25"/>
    <row r="174102" s="12" customFormat="1" x14ac:dyDescent="0.25"/>
    <row r="174103" s="12" customFormat="1" x14ac:dyDescent="0.25"/>
    <row r="174104" s="12" customFormat="1" x14ac:dyDescent="0.25"/>
    <row r="174105" s="12" customFormat="1" x14ac:dyDescent="0.25"/>
    <row r="174106" s="12" customFormat="1" x14ac:dyDescent="0.25"/>
    <row r="174107" s="12" customFormat="1" x14ac:dyDescent="0.25"/>
    <row r="174108" s="12" customFormat="1" x14ac:dyDescent="0.25"/>
    <row r="174109" s="12" customFormat="1" x14ac:dyDescent="0.25"/>
    <row r="174110" s="12" customFormat="1" x14ac:dyDescent="0.25"/>
    <row r="174111" s="12" customFormat="1" x14ac:dyDescent="0.25"/>
    <row r="174112" s="12" customFormat="1" x14ac:dyDescent="0.25"/>
    <row r="174113" s="12" customFormat="1" x14ac:dyDescent="0.25"/>
    <row r="174114" s="12" customFormat="1" x14ac:dyDescent="0.25"/>
    <row r="174115" s="12" customFormat="1" x14ac:dyDescent="0.25"/>
    <row r="174116" s="12" customFormat="1" x14ac:dyDescent="0.25"/>
    <row r="174117" s="12" customFormat="1" x14ac:dyDescent="0.25"/>
    <row r="174118" s="12" customFormat="1" x14ac:dyDescent="0.25"/>
    <row r="174119" s="12" customFormat="1" x14ac:dyDescent="0.25"/>
    <row r="174120" s="12" customFormat="1" x14ac:dyDescent="0.25"/>
    <row r="174121" s="12" customFormat="1" x14ac:dyDescent="0.25"/>
    <row r="174122" s="12" customFormat="1" x14ac:dyDescent="0.25"/>
    <row r="174123" s="12" customFormat="1" x14ac:dyDescent="0.25"/>
    <row r="174124" s="12" customFormat="1" x14ac:dyDescent="0.25"/>
    <row r="174125" s="12" customFormat="1" x14ac:dyDescent="0.25"/>
    <row r="174126" s="12" customFormat="1" x14ac:dyDescent="0.25"/>
    <row r="174127" s="12" customFormat="1" x14ac:dyDescent="0.25"/>
    <row r="174128" s="12" customFormat="1" x14ac:dyDescent="0.25"/>
    <row r="174129" s="12" customFormat="1" x14ac:dyDescent="0.25"/>
    <row r="174130" s="12" customFormat="1" x14ac:dyDescent="0.25"/>
    <row r="174131" s="12" customFormat="1" x14ac:dyDescent="0.25"/>
    <row r="174132" s="12" customFormat="1" x14ac:dyDescent="0.25"/>
    <row r="174133" s="12" customFormat="1" x14ac:dyDescent="0.25"/>
    <row r="174134" s="12" customFormat="1" x14ac:dyDescent="0.25"/>
    <row r="174135" s="12" customFormat="1" x14ac:dyDescent="0.25"/>
    <row r="174136" s="12" customFormat="1" x14ac:dyDescent="0.25"/>
    <row r="174137" s="12" customFormat="1" x14ac:dyDescent="0.25"/>
    <row r="174138" s="12" customFormat="1" x14ac:dyDescent="0.25"/>
    <row r="174139" s="12" customFormat="1" x14ac:dyDescent="0.25"/>
    <row r="174140" s="12" customFormat="1" x14ac:dyDescent="0.25"/>
    <row r="174141" s="12" customFormat="1" x14ac:dyDescent="0.25"/>
    <row r="174142" s="12" customFormat="1" x14ac:dyDescent="0.25"/>
    <row r="174143" s="12" customFormat="1" x14ac:dyDescent="0.25"/>
    <row r="174144" s="12" customFormat="1" x14ac:dyDescent="0.25"/>
    <row r="174145" s="12" customFormat="1" x14ac:dyDescent="0.25"/>
    <row r="174146" s="12" customFormat="1" x14ac:dyDescent="0.25"/>
    <row r="174147" s="12" customFormat="1" x14ac:dyDescent="0.25"/>
    <row r="174148" s="12" customFormat="1" x14ac:dyDescent="0.25"/>
    <row r="174149" s="12" customFormat="1" x14ac:dyDescent="0.25"/>
    <row r="174150" s="12" customFormat="1" x14ac:dyDescent="0.25"/>
    <row r="174151" s="12" customFormat="1" x14ac:dyDescent="0.25"/>
    <row r="174152" s="12" customFormat="1" x14ac:dyDescent="0.25"/>
    <row r="174153" s="12" customFormat="1" x14ac:dyDescent="0.25"/>
    <row r="174154" s="12" customFormat="1" x14ac:dyDescent="0.25"/>
    <row r="174155" s="12" customFormat="1" x14ac:dyDescent="0.25"/>
    <row r="174156" s="12" customFormat="1" x14ac:dyDescent="0.25"/>
    <row r="174157" s="12" customFormat="1" x14ac:dyDescent="0.25"/>
    <row r="174158" s="12" customFormat="1" x14ac:dyDescent="0.25"/>
    <row r="174159" s="12" customFormat="1" x14ac:dyDescent="0.25"/>
    <row r="174160" s="12" customFormat="1" x14ac:dyDescent="0.25"/>
    <row r="174161" s="12" customFormat="1" x14ac:dyDescent="0.25"/>
    <row r="174162" s="12" customFormat="1" x14ac:dyDescent="0.25"/>
    <row r="174163" s="12" customFormat="1" x14ac:dyDescent="0.25"/>
    <row r="174164" s="12" customFormat="1" x14ac:dyDescent="0.25"/>
    <row r="174165" s="12" customFormat="1" x14ac:dyDescent="0.25"/>
    <row r="174166" s="12" customFormat="1" x14ac:dyDescent="0.25"/>
    <row r="174167" s="12" customFormat="1" x14ac:dyDescent="0.25"/>
    <row r="174168" s="12" customFormat="1" x14ac:dyDescent="0.25"/>
    <row r="174169" s="12" customFormat="1" x14ac:dyDescent="0.25"/>
    <row r="174170" s="12" customFormat="1" x14ac:dyDescent="0.25"/>
    <row r="174171" s="12" customFormat="1" x14ac:dyDescent="0.25"/>
    <row r="174172" s="12" customFormat="1" x14ac:dyDescent="0.25"/>
    <row r="174173" s="12" customFormat="1" x14ac:dyDescent="0.25"/>
    <row r="174174" s="12" customFormat="1" x14ac:dyDescent="0.25"/>
    <row r="174175" s="12" customFormat="1" x14ac:dyDescent="0.25"/>
    <row r="174176" s="12" customFormat="1" x14ac:dyDescent="0.25"/>
    <row r="174177" s="12" customFormat="1" x14ac:dyDescent="0.25"/>
    <row r="174178" s="12" customFormat="1" x14ac:dyDescent="0.25"/>
    <row r="174179" s="12" customFormat="1" x14ac:dyDescent="0.25"/>
    <row r="174180" s="12" customFormat="1" x14ac:dyDescent="0.25"/>
    <row r="174181" s="12" customFormat="1" x14ac:dyDescent="0.25"/>
    <row r="174182" s="12" customFormat="1" x14ac:dyDescent="0.25"/>
    <row r="174183" s="12" customFormat="1" x14ac:dyDescent="0.25"/>
    <row r="174184" s="12" customFormat="1" x14ac:dyDescent="0.25"/>
    <row r="174185" s="12" customFormat="1" x14ac:dyDescent="0.25"/>
    <row r="174186" s="12" customFormat="1" x14ac:dyDescent="0.25"/>
    <row r="174187" s="12" customFormat="1" x14ac:dyDescent="0.25"/>
    <row r="174188" s="12" customFormat="1" x14ac:dyDescent="0.25"/>
    <row r="174189" s="12" customFormat="1" x14ac:dyDescent="0.25"/>
    <row r="174190" s="12" customFormat="1" x14ac:dyDescent="0.25"/>
    <row r="174191" s="12" customFormat="1" x14ac:dyDescent="0.25"/>
    <row r="174192" s="12" customFormat="1" x14ac:dyDescent="0.25"/>
    <row r="174193" s="12" customFormat="1" x14ac:dyDescent="0.25"/>
    <row r="174194" s="12" customFormat="1" x14ac:dyDescent="0.25"/>
    <row r="174195" s="12" customFormat="1" x14ac:dyDescent="0.25"/>
    <row r="174196" s="12" customFormat="1" x14ac:dyDescent="0.25"/>
    <row r="174197" s="12" customFormat="1" x14ac:dyDescent="0.25"/>
    <row r="174198" s="12" customFormat="1" x14ac:dyDescent="0.25"/>
    <row r="174199" s="12" customFormat="1" x14ac:dyDescent="0.25"/>
    <row r="174200" s="12" customFormat="1" x14ac:dyDescent="0.25"/>
    <row r="174201" s="12" customFormat="1" x14ac:dyDescent="0.25"/>
    <row r="174202" s="12" customFormat="1" x14ac:dyDescent="0.25"/>
    <row r="174203" s="12" customFormat="1" x14ac:dyDescent="0.25"/>
    <row r="174204" s="12" customFormat="1" x14ac:dyDescent="0.25"/>
    <row r="174205" s="12" customFormat="1" x14ac:dyDescent="0.25"/>
    <row r="174206" s="12" customFormat="1" x14ac:dyDescent="0.25"/>
    <row r="174207" s="12" customFormat="1" x14ac:dyDescent="0.25"/>
    <row r="174208" s="12" customFormat="1" x14ac:dyDescent="0.25"/>
    <row r="174209" s="12" customFormat="1" x14ac:dyDescent="0.25"/>
    <row r="174210" s="12" customFormat="1" x14ac:dyDescent="0.25"/>
    <row r="174211" s="12" customFormat="1" x14ac:dyDescent="0.25"/>
    <row r="174212" s="12" customFormat="1" x14ac:dyDescent="0.25"/>
    <row r="174213" s="12" customFormat="1" x14ac:dyDescent="0.25"/>
    <row r="174214" s="12" customFormat="1" x14ac:dyDescent="0.25"/>
    <row r="174215" s="12" customFormat="1" x14ac:dyDescent="0.25"/>
    <row r="174216" s="12" customFormat="1" x14ac:dyDescent="0.25"/>
    <row r="174217" s="12" customFormat="1" x14ac:dyDescent="0.25"/>
    <row r="174218" s="12" customFormat="1" x14ac:dyDescent="0.25"/>
    <row r="174219" s="12" customFormat="1" x14ac:dyDescent="0.25"/>
    <row r="174220" s="12" customFormat="1" x14ac:dyDescent="0.25"/>
    <row r="174221" s="12" customFormat="1" x14ac:dyDescent="0.25"/>
    <row r="174222" s="12" customFormat="1" x14ac:dyDescent="0.25"/>
    <row r="174223" s="12" customFormat="1" x14ac:dyDescent="0.25"/>
    <row r="174224" s="12" customFormat="1" x14ac:dyDescent="0.25"/>
    <row r="174225" s="12" customFormat="1" x14ac:dyDescent="0.25"/>
    <row r="174226" s="12" customFormat="1" x14ac:dyDescent="0.25"/>
    <row r="174227" s="12" customFormat="1" x14ac:dyDescent="0.25"/>
    <row r="174228" s="12" customFormat="1" x14ac:dyDescent="0.25"/>
    <row r="174229" s="12" customFormat="1" x14ac:dyDescent="0.25"/>
    <row r="174230" s="12" customFormat="1" x14ac:dyDescent="0.25"/>
    <row r="174231" s="12" customFormat="1" x14ac:dyDescent="0.25"/>
    <row r="174232" s="12" customFormat="1" x14ac:dyDescent="0.25"/>
    <row r="174233" s="12" customFormat="1" x14ac:dyDescent="0.25"/>
    <row r="174234" s="12" customFormat="1" x14ac:dyDescent="0.25"/>
    <row r="174235" s="12" customFormat="1" x14ac:dyDescent="0.25"/>
    <row r="174236" s="12" customFormat="1" x14ac:dyDescent="0.25"/>
    <row r="174237" s="12" customFormat="1" x14ac:dyDescent="0.25"/>
    <row r="174238" s="12" customFormat="1" x14ac:dyDescent="0.25"/>
    <row r="174239" s="12" customFormat="1" x14ac:dyDescent="0.25"/>
    <row r="174240" s="12" customFormat="1" x14ac:dyDescent="0.25"/>
    <row r="174241" s="12" customFormat="1" x14ac:dyDescent="0.25"/>
    <row r="174242" s="12" customFormat="1" x14ac:dyDescent="0.25"/>
    <row r="174243" s="12" customFormat="1" x14ac:dyDescent="0.25"/>
    <row r="174244" s="12" customFormat="1" x14ac:dyDescent="0.25"/>
    <row r="174245" s="12" customFormat="1" x14ac:dyDescent="0.25"/>
    <row r="174246" s="12" customFormat="1" x14ac:dyDescent="0.25"/>
    <row r="174247" s="12" customFormat="1" x14ac:dyDescent="0.25"/>
    <row r="174248" s="12" customFormat="1" x14ac:dyDescent="0.25"/>
    <row r="174249" s="12" customFormat="1" x14ac:dyDescent="0.25"/>
    <row r="174250" s="12" customFormat="1" x14ac:dyDescent="0.25"/>
    <row r="174251" s="12" customFormat="1" x14ac:dyDescent="0.25"/>
    <row r="174252" s="12" customFormat="1" x14ac:dyDescent="0.25"/>
    <row r="174253" s="12" customFormat="1" x14ac:dyDescent="0.25"/>
    <row r="174254" s="12" customFormat="1" x14ac:dyDescent="0.25"/>
    <row r="174255" s="12" customFormat="1" x14ac:dyDescent="0.25"/>
    <row r="174256" s="12" customFormat="1" x14ac:dyDescent="0.25"/>
    <row r="174257" s="12" customFormat="1" x14ac:dyDescent="0.25"/>
    <row r="174258" s="12" customFormat="1" x14ac:dyDescent="0.25"/>
    <row r="174259" s="12" customFormat="1" x14ac:dyDescent="0.25"/>
    <row r="174260" s="12" customFormat="1" x14ac:dyDescent="0.25"/>
    <row r="174261" s="12" customFormat="1" x14ac:dyDescent="0.25"/>
    <row r="174262" s="12" customFormat="1" x14ac:dyDescent="0.25"/>
    <row r="174263" s="12" customFormat="1" x14ac:dyDescent="0.25"/>
    <row r="174264" s="12" customFormat="1" x14ac:dyDescent="0.25"/>
    <row r="174265" s="12" customFormat="1" x14ac:dyDescent="0.25"/>
    <row r="174266" s="12" customFormat="1" x14ac:dyDescent="0.25"/>
    <row r="174267" s="12" customFormat="1" x14ac:dyDescent="0.25"/>
    <row r="174268" s="12" customFormat="1" x14ac:dyDescent="0.25"/>
    <row r="174269" s="12" customFormat="1" x14ac:dyDescent="0.25"/>
    <row r="174270" s="12" customFormat="1" x14ac:dyDescent="0.25"/>
    <row r="174271" s="12" customFormat="1" x14ac:dyDescent="0.25"/>
    <row r="174272" s="12" customFormat="1" x14ac:dyDescent="0.25"/>
    <row r="174273" s="12" customFormat="1" x14ac:dyDescent="0.25"/>
    <row r="174274" s="12" customFormat="1" x14ac:dyDescent="0.25"/>
    <row r="174275" s="12" customFormat="1" x14ac:dyDescent="0.25"/>
    <row r="174276" s="12" customFormat="1" x14ac:dyDescent="0.25"/>
    <row r="174277" s="12" customFormat="1" x14ac:dyDescent="0.25"/>
    <row r="174278" s="12" customFormat="1" x14ac:dyDescent="0.25"/>
    <row r="174279" s="12" customFormat="1" x14ac:dyDescent="0.25"/>
    <row r="174280" s="12" customFormat="1" x14ac:dyDescent="0.25"/>
    <row r="174281" s="12" customFormat="1" x14ac:dyDescent="0.25"/>
    <row r="174282" s="12" customFormat="1" x14ac:dyDescent="0.25"/>
    <row r="174283" s="12" customFormat="1" x14ac:dyDescent="0.25"/>
    <row r="174284" s="12" customFormat="1" x14ac:dyDescent="0.25"/>
    <row r="174285" s="12" customFormat="1" x14ac:dyDescent="0.25"/>
    <row r="174286" s="12" customFormat="1" x14ac:dyDescent="0.25"/>
    <row r="174287" s="12" customFormat="1" x14ac:dyDescent="0.25"/>
    <row r="174288" s="12" customFormat="1" x14ac:dyDescent="0.25"/>
    <row r="174289" s="12" customFormat="1" x14ac:dyDescent="0.25"/>
    <row r="174290" s="12" customFormat="1" x14ac:dyDescent="0.25"/>
    <row r="174291" s="12" customFormat="1" x14ac:dyDescent="0.25"/>
    <row r="174292" s="12" customFormat="1" x14ac:dyDescent="0.25"/>
    <row r="174293" s="12" customFormat="1" x14ac:dyDescent="0.25"/>
    <row r="174294" s="12" customFormat="1" x14ac:dyDescent="0.25"/>
    <row r="174295" s="12" customFormat="1" x14ac:dyDescent="0.25"/>
    <row r="174296" s="12" customFormat="1" x14ac:dyDescent="0.25"/>
    <row r="174297" s="12" customFormat="1" x14ac:dyDescent="0.25"/>
    <row r="174298" s="12" customFormat="1" x14ac:dyDescent="0.25"/>
    <row r="174299" s="12" customFormat="1" x14ac:dyDescent="0.25"/>
    <row r="174300" s="12" customFormat="1" x14ac:dyDescent="0.25"/>
    <row r="174301" s="12" customFormat="1" x14ac:dyDescent="0.25"/>
    <row r="174302" s="12" customFormat="1" x14ac:dyDescent="0.25"/>
    <row r="174303" s="12" customFormat="1" x14ac:dyDescent="0.25"/>
    <row r="174304" s="12" customFormat="1" x14ac:dyDescent="0.25"/>
    <row r="174305" s="12" customFormat="1" x14ac:dyDescent="0.25"/>
    <row r="174306" s="12" customFormat="1" x14ac:dyDescent="0.25"/>
    <row r="174307" s="12" customFormat="1" x14ac:dyDescent="0.25"/>
    <row r="174308" s="12" customFormat="1" x14ac:dyDescent="0.25"/>
    <row r="174309" s="12" customFormat="1" x14ac:dyDescent="0.25"/>
    <row r="174310" s="12" customFormat="1" x14ac:dyDescent="0.25"/>
    <row r="174311" s="12" customFormat="1" x14ac:dyDescent="0.25"/>
    <row r="174312" s="12" customFormat="1" x14ac:dyDescent="0.25"/>
    <row r="174313" s="12" customFormat="1" x14ac:dyDescent="0.25"/>
    <row r="174314" s="12" customFormat="1" x14ac:dyDescent="0.25"/>
    <row r="174315" s="12" customFormat="1" x14ac:dyDescent="0.25"/>
    <row r="174316" s="12" customFormat="1" x14ac:dyDescent="0.25"/>
    <row r="174317" s="12" customFormat="1" x14ac:dyDescent="0.25"/>
    <row r="174318" s="12" customFormat="1" x14ac:dyDescent="0.25"/>
    <row r="174319" s="12" customFormat="1" x14ac:dyDescent="0.25"/>
    <row r="174320" s="12" customFormat="1" x14ac:dyDescent="0.25"/>
    <row r="174321" s="12" customFormat="1" x14ac:dyDescent="0.25"/>
    <row r="174322" s="12" customFormat="1" x14ac:dyDescent="0.25"/>
    <row r="174323" s="12" customFormat="1" x14ac:dyDescent="0.25"/>
    <row r="174324" s="12" customFormat="1" x14ac:dyDescent="0.25"/>
    <row r="174325" s="12" customFormat="1" x14ac:dyDescent="0.25"/>
    <row r="174326" s="12" customFormat="1" x14ac:dyDescent="0.25"/>
    <row r="174327" s="12" customFormat="1" x14ac:dyDescent="0.25"/>
    <row r="174328" s="12" customFormat="1" x14ac:dyDescent="0.25"/>
    <row r="174329" s="12" customFormat="1" x14ac:dyDescent="0.25"/>
    <row r="174330" s="12" customFormat="1" x14ac:dyDescent="0.25"/>
    <row r="174331" s="12" customFormat="1" x14ac:dyDescent="0.25"/>
    <row r="174332" s="12" customFormat="1" x14ac:dyDescent="0.25"/>
    <row r="174333" s="12" customFormat="1" x14ac:dyDescent="0.25"/>
    <row r="174334" s="12" customFormat="1" x14ac:dyDescent="0.25"/>
    <row r="174335" s="12" customFormat="1" x14ac:dyDescent="0.25"/>
    <row r="174336" s="12" customFormat="1" x14ac:dyDescent="0.25"/>
    <row r="174337" s="12" customFormat="1" x14ac:dyDescent="0.25"/>
    <row r="174338" s="12" customFormat="1" x14ac:dyDescent="0.25"/>
    <row r="174339" s="12" customFormat="1" x14ac:dyDescent="0.25"/>
    <row r="174340" s="12" customFormat="1" x14ac:dyDescent="0.25"/>
    <row r="174341" s="12" customFormat="1" x14ac:dyDescent="0.25"/>
    <row r="174342" s="12" customFormat="1" x14ac:dyDescent="0.25"/>
    <row r="174343" s="12" customFormat="1" x14ac:dyDescent="0.25"/>
    <row r="174344" s="12" customFormat="1" x14ac:dyDescent="0.25"/>
    <row r="174345" s="12" customFormat="1" x14ac:dyDescent="0.25"/>
    <row r="174346" s="12" customFormat="1" x14ac:dyDescent="0.25"/>
    <row r="174347" s="12" customFormat="1" x14ac:dyDescent="0.25"/>
    <row r="174348" s="12" customFormat="1" x14ac:dyDescent="0.25"/>
    <row r="174349" s="12" customFormat="1" x14ac:dyDescent="0.25"/>
    <row r="174350" s="12" customFormat="1" x14ac:dyDescent="0.25"/>
    <row r="174351" s="12" customFormat="1" x14ac:dyDescent="0.25"/>
    <row r="174352" s="12" customFormat="1" x14ac:dyDescent="0.25"/>
    <row r="174353" s="12" customFormat="1" x14ac:dyDescent="0.25"/>
    <row r="174354" s="12" customFormat="1" x14ac:dyDescent="0.25"/>
    <row r="174355" s="12" customFormat="1" x14ac:dyDescent="0.25"/>
    <row r="174356" s="12" customFormat="1" x14ac:dyDescent="0.25"/>
    <row r="174357" s="12" customFormat="1" x14ac:dyDescent="0.25"/>
    <row r="174358" s="12" customFormat="1" x14ac:dyDescent="0.25"/>
    <row r="174359" s="12" customFormat="1" x14ac:dyDescent="0.25"/>
    <row r="174360" s="12" customFormat="1" x14ac:dyDescent="0.25"/>
    <row r="174361" s="12" customFormat="1" x14ac:dyDescent="0.25"/>
    <row r="174362" s="12" customFormat="1" x14ac:dyDescent="0.25"/>
    <row r="174363" s="12" customFormat="1" x14ac:dyDescent="0.25"/>
    <row r="174364" s="12" customFormat="1" x14ac:dyDescent="0.25"/>
    <row r="174365" s="12" customFormat="1" x14ac:dyDescent="0.25"/>
    <row r="174366" s="12" customFormat="1" x14ac:dyDescent="0.25"/>
    <row r="174367" s="12" customFormat="1" x14ac:dyDescent="0.25"/>
    <row r="174368" s="12" customFormat="1" x14ac:dyDescent="0.25"/>
    <row r="174369" s="12" customFormat="1" x14ac:dyDescent="0.25"/>
    <row r="174370" s="12" customFormat="1" x14ac:dyDescent="0.25"/>
    <row r="174371" s="12" customFormat="1" x14ac:dyDescent="0.25"/>
    <row r="174372" s="12" customFormat="1" x14ac:dyDescent="0.25"/>
    <row r="174373" s="12" customFormat="1" x14ac:dyDescent="0.25"/>
    <row r="174374" s="12" customFormat="1" x14ac:dyDescent="0.25"/>
    <row r="174375" s="12" customFormat="1" x14ac:dyDescent="0.25"/>
    <row r="174376" s="12" customFormat="1" x14ac:dyDescent="0.25"/>
    <row r="174377" s="12" customFormat="1" x14ac:dyDescent="0.25"/>
    <row r="174378" s="12" customFormat="1" x14ac:dyDescent="0.25"/>
    <row r="174379" s="12" customFormat="1" x14ac:dyDescent="0.25"/>
    <row r="174380" s="12" customFormat="1" x14ac:dyDescent="0.25"/>
    <row r="174381" s="12" customFormat="1" x14ac:dyDescent="0.25"/>
    <row r="174382" s="12" customFormat="1" x14ac:dyDescent="0.25"/>
    <row r="174383" s="12" customFormat="1" x14ac:dyDescent="0.25"/>
    <row r="174384" s="12" customFormat="1" x14ac:dyDescent="0.25"/>
    <row r="174385" s="12" customFormat="1" x14ac:dyDescent="0.25"/>
    <row r="174386" s="12" customFormat="1" x14ac:dyDescent="0.25"/>
    <row r="174387" s="12" customFormat="1" x14ac:dyDescent="0.25"/>
    <row r="174388" s="12" customFormat="1" x14ac:dyDescent="0.25"/>
    <row r="174389" s="12" customFormat="1" x14ac:dyDescent="0.25"/>
    <row r="174390" s="12" customFormat="1" x14ac:dyDescent="0.25"/>
    <row r="174391" s="12" customFormat="1" x14ac:dyDescent="0.25"/>
    <row r="174392" s="12" customFormat="1" x14ac:dyDescent="0.25"/>
    <row r="174393" s="12" customFormat="1" x14ac:dyDescent="0.25"/>
    <row r="174394" s="12" customFormat="1" x14ac:dyDescent="0.25"/>
    <row r="174395" s="12" customFormat="1" x14ac:dyDescent="0.25"/>
    <row r="174396" s="12" customFormat="1" x14ac:dyDescent="0.25"/>
    <row r="174397" s="12" customFormat="1" x14ac:dyDescent="0.25"/>
    <row r="174398" s="12" customFormat="1" x14ac:dyDescent="0.25"/>
    <row r="174399" s="12" customFormat="1" x14ac:dyDescent="0.25"/>
    <row r="174400" s="12" customFormat="1" x14ac:dyDescent="0.25"/>
    <row r="174401" s="12" customFormat="1" x14ac:dyDescent="0.25"/>
    <row r="174402" s="12" customFormat="1" x14ac:dyDescent="0.25"/>
    <row r="174403" s="12" customFormat="1" x14ac:dyDescent="0.25"/>
    <row r="174404" s="12" customFormat="1" x14ac:dyDescent="0.25"/>
    <row r="174405" s="12" customFormat="1" x14ac:dyDescent="0.25"/>
    <row r="174406" s="12" customFormat="1" x14ac:dyDescent="0.25"/>
    <row r="174407" s="12" customFormat="1" x14ac:dyDescent="0.25"/>
    <row r="174408" s="12" customFormat="1" x14ac:dyDescent="0.25"/>
    <row r="174409" s="12" customFormat="1" x14ac:dyDescent="0.25"/>
    <row r="174410" s="12" customFormat="1" x14ac:dyDescent="0.25"/>
    <row r="174411" s="12" customFormat="1" x14ac:dyDescent="0.25"/>
    <row r="174412" s="12" customFormat="1" x14ac:dyDescent="0.25"/>
    <row r="174413" s="12" customFormat="1" x14ac:dyDescent="0.25"/>
    <row r="174414" s="12" customFormat="1" x14ac:dyDescent="0.25"/>
    <row r="174415" s="12" customFormat="1" x14ac:dyDescent="0.25"/>
    <row r="174416" s="12" customFormat="1" x14ac:dyDescent="0.25"/>
    <row r="174417" s="12" customFormat="1" x14ac:dyDescent="0.25"/>
    <row r="174418" s="12" customFormat="1" x14ac:dyDescent="0.25"/>
    <row r="174419" s="12" customFormat="1" x14ac:dyDescent="0.25"/>
    <row r="174420" s="12" customFormat="1" x14ac:dyDescent="0.25"/>
    <row r="174421" s="12" customFormat="1" x14ac:dyDescent="0.25"/>
    <row r="174422" s="12" customFormat="1" x14ac:dyDescent="0.25"/>
    <row r="174423" s="12" customFormat="1" x14ac:dyDescent="0.25"/>
    <row r="174424" s="12" customFormat="1" x14ac:dyDescent="0.25"/>
    <row r="174425" s="12" customFormat="1" x14ac:dyDescent="0.25"/>
    <row r="174426" s="12" customFormat="1" x14ac:dyDescent="0.25"/>
    <row r="174427" s="12" customFormat="1" x14ac:dyDescent="0.25"/>
    <row r="174428" s="12" customFormat="1" x14ac:dyDescent="0.25"/>
    <row r="174429" s="12" customFormat="1" x14ac:dyDescent="0.25"/>
    <row r="174430" s="12" customFormat="1" x14ac:dyDescent="0.25"/>
    <row r="174431" s="12" customFormat="1" x14ac:dyDescent="0.25"/>
    <row r="174432" s="12" customFormat="1" x14ac:dyDescent="0.25"/>
    <row r="174433" s="12" customFormat="1" x14ac:dyDescent="0.25"/>
    <row r="174434" s="12" customFormat="1" x14ac:dyDescent="0.25"/>
    <row r="174435" s="12" customFormat="1" x14ac:dyDescent="0.25"/>
    <row r="174436" s="12" customFormat="1" x14ac:dyDescent="0.25"/>
    <row r="174437" s="12" customFormat="1" x14ac:dyDescent="0.25"/>
    <row r="174438" s="12" customFormat="1" x14ac:dyDescent="0.25"/>
    <row r="174439" s="12" customFormat="1" x14ac:dyDescent="0.25"/>
    <row r="174440" s="12" customFormat="1" x14ac:dyDescent="0.25"/>
    <row r="174441" s="12" customFormat="1" x14ac:dyDescent="0.25"/>
    <row r="174442" s="12" customFormat="1" x14ac:dyDescent="0.25"/>
    <row r="174443" s="12" customFormat="1" x14ac:dyDescent="0.25"/>
    <row r="174444" s="12" customFormat="1" x14ac:dyDescent="0.25"/>
    <row r="174445" s="12" customFormat="1" x14ac:dyDescent="0.25"/>
    <row r="174446" s="12" customFormat="1" x14ac:dyDescent="0.25"/>
    <row r="174447" s="12" customFormat="1" x14ac:dyDescent="0.25"/>
    <row r="174448" s="12" customFormat="1" x14ac:dyDescent="0.25"/>
    <row r="174449" s="12" customFormat="1" x14ac:dyDescent="0.25"/>
    <row r="174450" s="12" customFormat="1" x14ac:dyDescent="0.25"/>
    <row r="174451" s="12" customFormat="1" x14ac:dyDescent="0.25"/>
    <row r="174452" s="12" customFormat="1" x14ac:dyDescent="0.25"/>
    <row r="174453" s="12" customFormat="1" x14ac:dyDescent="0.25"/>
    <row r="174454" s="12" customFormat="1" x14ac:dyDescent="0.25"/>
    <row r="174455" s="12" customFormat="1" x14ac:dyDescent="0.25"/>
    <row r="174456" s="12" customFormat="1" x14ac:dyDescent="0.25"/>
    <row r="174457" s="12" customFormat="1" x14ac:dyDescent="0.25"/>
    <row r="174458" s="12" customFormat="1" x14ac:dyDescent="0.25"/>
    <row r="174459" s="12" customFormat="1" x14ac:dyDescent="0.25"/>
    <row r="174460" s="12" customFormat="1" x14ac:dyDescent="0.25"/>
    <row r="174461" s="12" customFormat="1" x14ac:dyDescent="0.25"/>
    <row r="174462" s="12" customFormat="1" x14ac:dyDescent="0.25"/>
    <row r="174463" s="12" customFormat="1" x14ac:dyDescent="0.25"/>
    <row r="174464" s="12" customFormat="1" x14ac:dyDescent="0.25"/>
    <row r="174465" s="12" customFormat="1" x14ac:dyDescent="0.25"/>
    <row r="174466" s="12" customFormat="1" x14ac:dyDescent="0.25"/>
    <row r="174467" s="12" customFormat="1" x14ac:dyDescent="0.25"/>
    <row r="174468" s="12" customFormat="1" x14ac:dyDescent="0.25"/>
    <row r="174469" s="12" customFormat="1" x14ac:dyDescent="0.25"/>
    <row r="174470" s="12" customFormat="1" x14ac:dyDescent="0.25"/>
    <row r="174471" s="12" customFormat="1" x14ac:dyDescent="0.25"/>
    <row r="174472" s="12" customFormat="1" x14ac:dyDescent="0.25"/>
    <row r="174473" s="12" customFormat="1" x14ac:dyDescent="0.25"/>
    <row r="174474" s="12" customFormat="1" x14ac:dyDescent="0.25"/>
    <row r="174475" s="12" customFormat="1" x14ac:dyDescent="0.25"/>
    <row r="174476" s="12" customFormat="1" x14ac:dyDescent="0.25"/>
    <row r="174477" s="12" customFormat="1" x14ac:dyDescent="0.25"/>
    <row r="174478" s="12" customFormat="1" x14ac:dyDescent="0.25"/>
    <row r="174479" s="12" customFormat="1" x14ac:dyDescent="0.25"/>
    <row r="174480" s="12" customFormat="1" x14ac:dyDescent="0.25"/>
    <row r="174481" s="12" customFormat="1" x14ac:dyDescent="0.25"/>
    <row r="174482" s="12" customFormat="1" x14ac:dyDescent="0.25"/>
    <row r="174483" s="12" customFormat="1" x14ac:dyDescent="0.25"/>
    <row r="174484" s="12" customFormat="1" x14ac:dyDescent="0.25"/>
    <row r="174485" s="12" customFormat="1" x14ac:dyDescent="0.25"/>
    <row r="174486" s="12" customFormat="1" x14ac:dyDescent="0.25"/>
    <row r="174487" s="12" customFormat="1" x14ac:dyDescent="0.25"/>
    <row r="174488" s="12" customFormat="1" x14ac:dyDescent="0.25"/>
    <row r="174489" s="12" customFormat="1" x14ac:dyDescent="0.25"/>
    <row r="174490" s="12" customFormat="1" x14ac:dyDescent="0.25"/>
    <row r="174491" s="12" customFormat="1" x14ac:dyDescent="0.25"/>
    <row r="174492" s="12" customFormat="1" x14ac:dyDescent="0.25"/>
    <row r="174493" s="12" customFormat="1" x14ac:dyDescent="0.25"/>
    <row r="174494" s="12" customFormat="1" x14ac:dyDescent="0.25"/>
    <row r="174495" s="12" customFormat="1" x14ac:dyDescent="0.25"/>
    <row r="174496" s="12" customFormat="1" x14ac:dyDescent="0.25"/>
    <row r="174497" s="12" customFormat="1" x14ac:dyDescent="0.25"/>
    <row r="174498" s="12" customFormat="1" x14ac:dyDescent="0.25"/>
    <row r="174499" s="12" customFormat="1" x14ac:dyDescent="0.25"/>
    <row r="174500" s="12" customFormat="1" x14ac:dyDescent="0.25"/>
    <row r="174501" s="12" customFormat="1" x14ac:dyDescent="0.25"/>
    <row r="174502" s="12" customFormat="1" x14ac:dyDescent="0.25"/>
    <row r="174503" s="12" customFormat="1" x14ac:dyDescent="0.25"/>
    <row r="174504" s="12" customFormat="1" x14ac:dyDescent="0.25"/>
    <row r="174505" s="12" customFormat="1" x14ac:dyDescent="0.25"/>
    <row r="174506" s="12" customFormat="1" x14ac:dyDescent="0.25"/>
    <row r="174507" s="12" customFormat="1" x14ac:dyDescent="0.25"/>
    <row r="174508" s="12" customFormat="1" x14ac:dyDescent="0.25"/>
    <row r="174509" s="12" customFormat="1" x14ac:dyDescent="0.25"/>
    <row r="174510" s="12" customFormat="1" x14ac:dyDescent="0.25"/>
    <row r="174511" s="12" customFormat="1" x14ac:dyDescent="0.25"/>
    <row r="174512" s="12" customFormat="1" x14ac:dyDescent="0.25"/>
    <row r="174513" s="12" customFormat="1" x14ac:dyDescent="0.25"/>
    <row r="174514" s="12" customFormat="1" x14ac:dyDescent="0.25"/>
    <row r="174515" s="12" customFormat="1" x14ac:dyDescent="0.25"/>
    <row r="174516" s="12" customFormat="1" x14ac:dyDescent="0.25"/>
    <row r="174517" s="12" customFormat="1" x14ac:dyDescent="0.25"/>
    <row r="174518" s="12" customFormat="1" x14ac:dyDescent="0.25"/>
    <row r="174519" s="12" customFormat="1" x14ac:dyDescent="0.25"/>
    <row r="174520" s="12" customFormat="1" x14ac:dyDescent="0.25"/>
    <row r="174521" s="12" customFormat="1" x14ac:dyDescent="0.25"/>
    <row r="174522" s="12" customFormat="1" x14ac:dyDescent="0.25"/>
    <row r="174523" s="12" customFormat="1" x14ac:dyDescent="0.25"/>
    <row r="174524" s="12" customFormat="1" x14ac:dyDescent="0.25"/>
    <row r="174525" s="12" customFormat="1" x14ac:dyDescent="0.25"/>
    <row r="174526" s="12" customFormat="1" x14ac:dyDescent="0.25"/>
    <row r="174527" s="12" customFormat="1" x14ac:dyDescent="0.25"/>
    <row r="174528" s="12" customFormat="1" x14ac:dyDescent="0.25"/>
    <row r="174529" s="12" customFormat="1" x14ac:dyDescent="0.25"/>
    <row r="174530" s="12" customFormat="1" x14ac:dyDescent="0.25"/>
    <row r="174531" s="12" customFormat="1" x14ac:dyDescent="0.25"/>
    <row r="174532" s="12" customFormat="1" x14ac:dyDescent="0.25"/>
    <row r="174533" s="12" customFormat="1" x14ac:dyDescent="0.25"/>
    <row r="174534" s="12" customFormat="1" x14ac:dyDescent="0.25"/>
    <row r="174535" s="12" customFormat="1" x14ac:dyDescent="0.25"/>
    <row r="174536" s="12" customFormat="1" x14ac:dyDescent="0.25"/>
    <row r="174537" s="12" customFormat="1" x14ac:dyDescent="0.25"/>
    <row r="174538" s="12" customFormat="1" x14ac:dyDescent="0.25"/>
    <row r="174539" s="12" customFormat="1" x14ac:dyDescent="0.25"/>
    <row r="174540" s="12" customFormat="1" x14ac:dyDescent="0.25"/>
    <row r="174541" s="12" customFormat="1" x14ac:dyDescent="0.25"/>
    <row r="174542" s="12" customFormat="1" x14ac:dyDescent="0.25"/>
    <row r="174543" s="12" customFormat="1" x14ac:dyDescent="0.25"/>
    <row r="174544" s="12" customFormat="1" x14ac:dyDescent="0.25"/>
    <row r="174545" s="12" customFormat="1" x14ac:dyDescent="0.25"/>
    <row r="174546" s="12" customFormat="1" x14ac:dyDescent="0.25"/>
    <row r="174547" s="12" customFormat="1" x14ac:dyDescent="0.25"/>
    <row r="174548" s="12" customFormat="1" x14ac:dyDescent="0.25"/>
    <row r="174549" s="12" customFormat="1" x14ac:dyDescent="0.25"/>
    <row r="174550" s="12" customFormat="1" x14ac:dyDescent="0.25"/>
    <row r="174551" s="12" customFormat="1" x14ac:dyDescent="0.25"/>
    <row r="174552" s="12" customFormat="1" x14ac:dyDescent="0.25"/>
    <row r="174553" s="12" customFormat="1" x14ac:dyDescent="0.25"/>
    <row r="174554" s="12" customFormat="1" x14ac:dyDescent="0.25"/>
    <row r="174555" s="12" customFormat="1" x14ac:dyDescent="0.25"/>
    <row r="174556" s="12" customFormat="1" x14ac:dyDescent="0.25"/>
    <row r="174557" s="12" customFormat="1" x14ac:dyDescent="0.25"/>
    <row r="174558" s="12" customFormat="1" x14ac:dyDescent="0.25"/>
    <row r="174559" s="12" customFormat="1" x14ac:dyDescent="0.25"/>
    <row r="174560" s="12" customFormat="1" x14ac:dyDescent="0.25"/>
    <row r="174561" s="12" customFormat="1" x14ac:dyDescent="0.25"/>
    <row r="174562" s="12" customFormat="1" x14ac:dyDescent="0.25"/>
    <row r="174563" s="12" customFormat="1" x14ac:dyDescent="0.25"/>
    <row r="174564" s="12" customFormat="1" x14ac:dyDescent="0.25"/>
    <row r="174565" s="12" customFormat="1" x14ac:dyDescent="0.25"/>
    <row r="174566" s="12" customFormat="1" x14ac:dyDescent="0.25"/>
    <row r="174567" s="12" customFormat="1" x14ac:dyDescent="0.25"/>
    <row r="174568" s="12" customFormat="1" x14ac:dyDescent="0.25"/>
    <row r="174569" s="12" customFormat="1" x14ac:dyDescent="0.25"/>
    <row r="174570" s="12" customFormat="1" x14ac:dyDescent="0.25"/>
    <row r="174571" s="12" customFormat="1" x14ac:dyDescent="0.25"/>
    <row r="174572" s="12" customFormat="1" x14ac:dyDescent="0.25"/>
    <row r="174573" s="12" customFormat="1" x14ac:dyDescent="0.25"/>
    <row r="174574" s="12" customFormat="1" x14ac:dyDescent="0.25"/>
    <row r="174575" s="12" customFormat="1" x14ac:dyDescent="0.25"/>
    <row r="174576" s="12" customFormat="1" x14ac:dyDescent="0.25"/>
    <row r="174577" s="12" customFormat="1" x14ac:dyDescent="0.25"/>
    <row r="174578" s="12" customFormat="1" x14ac:dyDescent="0.25"/>
    <row r="174579" s="12" customFormat="1" x14ac:dyDescent="0.25"/>
    <row r="174580" s="12" customFormat="1" x14ac:dyDescent="0.25"/>
    <row r="174581" s="12" customFormat="1" x14ac:dyDescent="0.25"/>
    <row r="174582" s="12" customFormat="1" x14ac:dyDescent="0.25"/>
    <row r="174583" s="12" customFormat="1" x14ac:dyDescent="0.25"/>
    <row r="174584" s="12" customFormat="1" x14ac:dyDescent="0.25"/>
    <row r="174585" s="12" customFormat="1" x14ac:dyDescent="0.25"/>
    <row r="174586" s="12" customFormat="1" x14ac:dyDescent="0.25"/>
    <row r="174587" s="12" customFormat="1" x14ac:dyDescent="0.25"/>
    <row r="174588" s="12" customFormat="1" x14ac:dyDescent="0.25"/>
    <row r="174589" s="12" customFormat="1" x14ac:dyDescent="0.25"/>
    <row r="174590" s="12" customFormat="1" x14ac:dyDescent="0.25"/>
    <row r="174591" s="12" customFormat="1" x14ac:dyDescent="0.25"/>
    <row r="174592" s="12" customFormat="1" x14ac:dyDescent="0.25"/>
    <row r="174593" s="12" customFormat="1" x14ac:dyDescent="0.25"/>
    <row r="174594" s="12" customFormat="1" x14ac:dyDescent="0.25"/>
    <row r="174595" s="12" customFormat="1" x14ac:dyDescent="0.25"/>
    <row r="174596" s="12" customFormat="1" x14ac:dyDescent="0.25"/>
    <row r="174597" s="12" customFormat="1" x14ac:dyDescent="0.25"/>
    <row r="174598" s="12" customFormat="1" x14ac:dyDescent="0.25"/>
    <row r="174599" s="12" customFormat="1" x14ac:dyDescent="0.25"/>
    <row r="174600" s="12" customFormat="1" x14ac:dyDescent="0.25"/>
    <row r="174601" s="12" customFormat="1" x14ac:dyDescent="0.25"/>
    <row r="174602" s="12" customFormat="1" x14ac:dyDescent="0.25"/>
    <row r="174603" s="12" customFormat="1" x14ac:dyDescent="0.25"/>
    <row r="174604" s="12" customFormat="1" x14ac:dyDescent="0.25"/>
    <row r="174605" s="12" customFormat="1" x14ac:dyDescent="0.25"/>
    <row r="174606" s="12" customFormat="1" x14ac:dyDescent="0.25"/>
    <row r="174607" s="12" customFormat="1" x14ac:dyDescent="0.25"/>
    <row r="174608" s="12" customFormat="1" x14ac:dyDescent="0.25"/>
    <row r="174609" s="12" customFormat="1" x14ac:dyDescent="0.25"/>
    <row r="174610" s="12" customFormat="1" x14ac:dyDescent="0.25"/>
    <row r="174611" s="12" customFormat="1" x14ac:dyDescent="0.25"/>
    <row r="174612" s="12" customFormat="1" x14ac:dyDescent="0.25"/>
    <row r="174613" s="12" customFormat="1" x14ac:dyDescent="0.25"/>
    <row r="174614" s="12" customFormat="1" x14ac:dyDescent="0.25"/>
    <row r="174615" s="12" customFormat="1" x14ac:dyDescent="0.25"/>
    <row r="174616" s="12" customFormat="1" x14ac:dyDescent="0.25"/>
    <row r="174617" s="12" customFormat="1" x14ac:dyDescent="0.25"/>
    <row r="174618" s="12" customFormat="1" x14ac:dyDescent="0.25"/>
    <row r="174619" s="12" customFormat="1" x14ac:dyDescent="0.25"/>
    <row r="174620" s="12" customFormat="1" x14ac:dyDescent="0.25"/>
    <row r="174621" s="12" customFormat="1" x14ac:dyDescent="0.25"/>
    <row r="174622" s="12" customFormat="1" x14ac:dyDescent="0.25"/>
    <row r="174623" s="12" customFormat="1" x14ac:dyDescent="0.25"/>
    <row r="174624" s="12" customFormat="1" x14ac:dyDescent="0.25"/>
    <row r="174625" s="12" customFormat="1" x14ac:dyDescent="0.25"/>
    <row r="174626" s="12" customFormat="1" x14ac:dyDescent="0.25"/>
    <row r="174627" s="12" customFormat="1" x14ac:dyDescent="0.25"/>
    <row r="174628" s="12" customFormat="1" x14ac:dyDescent="0.25"/>
    <row r="174629" s="12" customFormat="1" x14ac:dyDescent="0.25"/>
    <row r="174630" s="12" customFormat="1" x14ac:dyDescent="0.25"/>
    <row r="174631" s="12" customFormat="1" x14ac:dyDescent="0.25"/>
    <row r="174632" s="12" customFormat="1" x14ac:dyDescent="0.25"/>
    <row r="174633" s="12" customFormat="1" x14ac:dyDescent="0.25"/>
    <row r="174634" s="12" customFormat="1" x14ac:dyDescent="0.25"/>
    <row r="174635" s="12" customFormat="1" x14ac:dyDescent="0.25"/>
    <row r="174636" s="12" customFormat="1" x14ac:dyDescent="0.25"/>
    <row r="174637" s="12" customFormat="1" x14ac:dyDescent="0.25"/>
    <row r="174638" s="12" customFormat="1" x14ac:dyDescent="0.25"/>
    <row r="174639" s="12" customFormat="1" x14ac:dyDescent="0.25"/>
    <row r="174640" s="12" customFormat="1" x14ac:dyDescent="0.25"/>
    <row r="174641" s="12" customFormat="1" x14ac:dyDescent="0.25"/>
    <row r="174642" s="12" customFormat="1" x14ac:dyDescent="0.25"/>
    <row r="174643" s="12" customFormat="1" x14ac:dyDescent="0.25"/>
    <row r="174644" s="12" customFormat="1" x14ac:dyDescent="0.25"/>
    <row r="174645" s="12" customFormat="1" x14ac:dyDescent="0.25"/>
    <row r="174646" s="12" customFormat="1" x14ac:dyDescent="0.25"/>
    <row r="174647" s="12" customFormat="1" x14ac:dyDescent="0.25"/>
    <row r="174648" s="12" customFormat="1" x14ac:dyDescent="0.25"/>
    <row r="174649" s="12" customFormat="1" x14ac:dyDescent="0.25"/>
    <row r="174650" s="12" customFormat="1" x14ac:dyDescent="0.25"/>
    <row r="174651" s="12" customFormat="1" x14ac:dyDescent="0.25"/>
    <row r="174652" s="12" customFormat="1" x14ac:dyDescent="0.25"/>
    <row r="174653" s="12" customFormat="1" x14ac:dyDescent="0.25"/>
    <row r="174654" s="12" customFormat="1" x14ac:dyDescent="0.25"/>
    <row r="174655" s="12" customFormat="1" x14ac:dyDescent="0.25"/>
    <row r="174656" s="12" customFormat="1" x14ac:dyDescent="0.25"/>
    <row r="174657" s="12" customFormat="1" x14ac:dyDescent="0.25"/>
    <row r="174658" s="12" customFormat="1" x14ac:dyDescent="0.25"/>
    <row r="174659" s="12" customFormat="1" x14ac:dyDescent="0.25"/>
    <row r="174660" s="12" customFormat="1" x14ac:dyDescent="0.25"/>
    <row r="174661" s="12" customFormat="1" x14ac:dyDescent="0.25"/>
    <row r="174662" s="12" customFormat="1" x14ac:dyDescent="0.25"/>
    <row r="174663" s="12" customFormat="1" x14ac:dyDescent="0.25"/>
    <row r="174664" s="12" customFormat="1" x14ac:dyDescent="0.25"/>
    <row r="174665" s="12" customFormat="1" x14ac:dyDescent="0.25"/>
    <row r="174666" s="12" customFormat="1" x14ac:dyDescent="0.25"/>
    <row r="174667" s="12" customFormat="1" x14ac:dyDescent="0.25"/>
    <row r="174668" s="12" customFormat="1" x14ac:dyDescent="0.25"/>
    <row r="174669" s="12" customFormat="1" x14ac:dyDescent="0.25"/>
    <row r="174670" s="12" customFormat="1" x14ac:dyDescent="0.25"/>
    <row r="174671" s="12" customFormat="1" x14ac:dyDescent="0.25"/>
    <row r="174672" s="12" customFormat="1" x14ac:dyDescent="0.25"/>
    <row r="174673" s="12" customFormat="1" x14ac:dyDescent="0.25"/>
    <row r="174674" s="12" customFormat="1" x14ac:dyDescent="0.25"/>
    <row r="174675" s="12" customFormat="1" x14ac:dyDescent="0.25"/>
    <row r="174676" s="12" customFormat="1" x14ac:dyDescent="0.25"/>
    <row r="174677" s="12" customFormat="1" x14ac:dyDescent="0.25"/>
    <row r="174678" s="12" customFormat="1" x14ac:dyDescent="0.25"/>
    <row r="174679" s="12" customFormat="1" x14ac:dyDescent="0.25"/>
    <row r="174680" s="12" customFormat="1" x14ac:dyDescent="0.25"/>
    <row r="174681" s="12" customFormat="1" x14ac:dyDescent="0.25"/>
    <row r="174682" s="12" customFormat="1" x14ac:dyDescent="0.25"/>
    <row r="174683" s="12" customFormat="1" x14ac:dyDescent="0.25"/>
    <row r="174684" s="12" customFormat="1" x14ac:dyDescent="0.25"/>
    <row r="174685" s="12" customFormat="1" x14ac:dyDescent="0.25"/>
    <row r="174686" s="12" customFormat="1" x14ac:dyDescent="0.25"/>
    <row r="174687" s="12" customFormat="1" x14ac:dyDescent="0.25"/>
    <row r="174688" s="12" customFormat="1" x14ac:dyDescent="0.25"/>
    <row r="174689" s="12" customFormat="1" x14ac:dyDescent="0.25"/>
    <row r="174690" s="12" customFormat="1" x14ac:dyDescent="0.25"/>
    <row r="174691" s="12" customFormat="1" x14ac:dyDescent="0.25"/>
    <row r="174692" s="12" customFormat="1" x14ac:dyDescent="0.25"/>
    <row r="174693" s="12" customFormat="1" x14ac:dyDescent="0.25"/>
    <row r="174694" s="12" customFormat="1" x14ac:dyDescent="0.25"/>
    <row r="174695" s="12" customFormat="1" x14ac:dyDescent="0.25"/>
    <row r="174696" s="12" customFormat="1" x14ac:dyDescent="0.25"/>
    <row r="174697" s="12" customFormat="1" x14ac:dyDescent="0.25"/>
    <row r="174698" s="12" customFormat="1" x14ac:dyDescent="0.25"/>
    <row r="174699" s="12" customFormat="1" x14ac:dyDescent="0.25"/>
    <row r="174700" s="12" customFormat="1" x14ac:dyDescent="0.25"/>
    <row r="174701" s="12" customFormat="1" x14ac:dyDescent="0.25"/>
    <row r="174702" s="12" customFormat="1" x14ac:dyDescent="0.25"/>
    <row r="174703" s="12" customFormat="1" x14ac:dyDescent="0.25"/>
    <row r="174704" s="12" customFormat="1" x14ac:dyDescent="0.25"/>
    <row r="174705" s="12" customFormat="1" x14ac:dyDescent="0.25"/>
    <row r="174706" s="12" customFormat="1" x14ac:dyDescent="0.25"/>
    <row r="174707" s="12" customFormat="1" x14ac:dyDescent="0.25"/>
    <row r="174708" s="12" customFormat="1" x14ac:dyDescent="0.25"/>
    <row r="174709" s="12" customFormat="1" x14ac:dyDescent="0.25"/>
    <row r="174710" s="12" customFormat="1" x14ac:dyDescent="0.25"/>
    <row r="174711" s="12" customFormat="1" x14ac:dyDescent="0.25"/>
    <row r="174712" s="12" customFormat="1" x14ac:dyDescent="0.25"/>
    <row r="174713" s="12" customFormat="1" x14ac:dyDescent="0.25"/>
    <row r="174714" s="12" customFormat="1" x14ac:dyDescent="0.25"/>
    <row r="174715" s="12" customFormat="1" x14ac:dyDescent="0.25"/>
    <row r="174716" s="12" customFormat="1" x14ac:dyDescent="0.25"/>
    <row r="174717" s="12" customFormat="1" x14ac:dyDescent="0.25"/>
    <row r="174718" s="12" customFormat="1" x14ac:dyDescent="0.25"/>
    <row r="174719" s="12" customFormat="1" x14ac:dyDescent="0.25"/>
    <row r="174720" s="12" customFormat="1" x14ac:dyDescent="0.25"/>
    <row r="174721" s="12" customFormat="1" x14ac:dyDescent="0.25"/>
    <row r="174722" s="12" customFormat="1" x14ac:dyDescent="0.25"/>
    <row r="174723" s="12" customFormat="1" x14ac:dyDescent="0.25"/>
    <row r="174724" s="12" customFormat="1" x14ac:dyDescent="0.25"/>
    <row r="174725" s="12" customFormat="1" x14ac:dyDescent="0.25"/>
    <row r="174726" s="12" customFormat="1" x14ac:dyDescent="0.25"/>
    <row r="174727" s="12" customFormat="1" x14ac:dyDescent="0.25"/>
    <row r="174728" s="12" customFormat="1" x14ac:dyDescent="0.25"/>
    <row r="174729" s="12" customFormat="1" x14ac:dyDescent="0.25"/>
    <row r="174730" s="12" customFormat="1" x14ac:dyDescent="0.25"/>
    <row r="174731" s="12" customFormat="1" x14ac:dyDescent="0.25"/>
    <row r="174732" s="12" customFormat="1" x14ac:dyDescent="0.25"/>
    <row r="174733" s="12" customFormat="1" x14ac:dyDescent="0.25"/>
    <row r="174734" s="12" customFormat="1" x14ac:dyDescent="0.25"/>
    <row r="174735" s="12" customFormat="1" x14ac:dyDescent="0.25"/>
    <row r="174736" s="12" customFormat="1" x14ac:dyDescent="0.25"/>
    <row r="174737" s="12" customFormat="1" x14ac:dyDescent="0.25"/>
    <row r="174738" s="12" customFormat="1" x14ac:dyDescent="0.25"/>
    <row r="174739" s="12" customFormat="1" x14ac:dyDescent="0.25"/>
    <row r="174740" s="12" customFormat="1" x14ac:dyDescent="0.25"/>
    <row r="174741" s="12" customFormat="1" x14ac:dyDescent="0.25"/>
    <row r="174742" s="12" customFormat="1" x14ac:dyDescent="0.25"/>
    <row r="174743" s="12" customFormat="1" x14ac:dyDescent="0.25"/>
    <row r="174744" s="12" customFormat="1" x14ac:dyDescent="0.25"/>
    <row r="174745" s="12" customFormat="1" x14ac:dyDescent="0.25"/>
    <row r="174746" s="12" customFormat="1" x14ac:dyDescent="0.25"/>
    <row r="174747" s="12" customFormat="1" x14ac:dyDescent="0.25"/>
    <row r="174748" s="12" customFormat="1" x14ac:dyDescent="0.25"/>
    <row r="174749" s="12" customFormat="1" x14ac:dyDescent="0.25"/>
    <row r="174750" s="12" customFormat="1" x14ac:dyDescent="0.25"/>
    <row r="174751" s="12" customFormat="1" x14ac:dyDescent="0.25"/>
    <row r="174752" s="12" customFormat="1" x14ac:dyDescent="0.25"/>
    <row r="174753" s="12" customFormat="1" x14ac:dyDescent="0.25"/>
    <row r="174754" s="12" customFormat="1" x14ac:dyDescent="0.25"/>
    <row r="174755" s="12" customFormat="1" x14ac:dyDescent="0.25"/>
    <row r="174756" s="12" customFormat="1" x14ac:dyDescent="0.25"/>
    <row r="174757" s="12" customFormat="1" x14ac:dyDescent="0.25"/>
    <row r="174758" s="12" customFormat="1" x14ac:dyDescent="0.25"/>
    <row r="174759" s="12" customFormat="1" x14ac:dyDescent="0.25"/>
    <row r="174760" s="12" customFormat="1" x14ac:dyDescent="0.25"/>
    <row r="174761" s="12" customFormat="1" x14ac:dyDescent="0.25"/>
    <row r="174762" s="12" customFormat="1" x14ac:dyDescent="0.25"/>
    <row r="174763" s="12" customFormat="1" x14ac:dyDescent="0.25"/>
    <row r="174764" s="12" customFormat="1" x14ac:dyDescent="0.25"/>
    <row r="174765" s="12" customFormat="1" x14ac:dyDescent="0.25"/>
    <row r="174766" s="12" customFormat="1" x14ac:dyDescent="0.25"/>
    <row r="174767" s="12" customFormat="1" x14ac:dyDescent="0.25"/>
    <row r="174768" s="12" customFormat="1" x14ac:dyDescent="0.25"/>
    <row r="174769" s="12" customFormat="1" x14ac:dyDescent="0.25"/>
    <row r="174770" s="12" customFormat="1" x14ac:dyDescent="0.25"/>
    <row r="174771" s="12" customFormat="1" x14ac:dyDescent="0.25"/>
    <row r="174772" s="12" customFormat="1" x14ac:dyDescent="0.25"/>
    <row r="174773" s="12" customFormat="1" x14ac:dyDescent="0.25"/>
    <row r="174774" s="12" customFormat="1" x14ac:dyDescent="0.25"/>
    <row r="174775" s="12" customFormat="1" x14ac:dyDescent="0.25"/>
    <row r="174776" s="12" customFormat="1" x14ac:dyDescent="0.25"/>
    <row r="174777" s="12" customFormat="1" x14ac:dyDescent="0.25"/>
    <row r="174778" s="12" customFormat="1" x14ac:dyDescent="0.25"/>
    <row r="174779" s="12" customFormat="1" x14ac:dyDescent="0.25"/>
    <row r="174780" s="12" customFormat="1" x14ac:dyDescent="0.25"/>
    <row r="174781" s="12" customFormat="1" x14ac:dyDescent="0.25"/>
    <row r="174782" s="12" customFormat="1" x14ac:dyDescent="0.25"/>
    <row r="174783" s="12" customFormat="1" x14ac:dyDescent="0.25"/>
    <row r="174784" s="12" customFormat="1" x14ac:dyDescent="0.25"/>
    <row r="174785" s="12" customFormat="1" x14ac:dyDescent="0.25"/>
    <row r="174786" s="12" customFormat="1" x14ac:dyDescent="0.25"/>
    <row r="174787" s="12" customFormat="1" x14ac:dyDescent="0.25"/>
    <row r="174788" s="12" customFormat="1" x14ac:dyDescent="0.25"/>
    <row r="174789" s="12" customFormat="1" x14ac:dyDescent="0.25"/>
    <row r="174790" s="12" customFormat="1" x14ac:dyDescent="0.25"/>
    <row r="174791" s="12" customFormat="1" x14ac:dyDescent="0.25"/>
    <row r="174792" s="12" customFormat="1" x14ac:dyDescent="0.25"/>
    <row r="174793" s="12" customFormat="1" x14ac:dyDescent="0.25"/>
    <row r="174794" s="12" customFormat="1" x14ac:dyDescent="0.25"/>
    <row r="174795" s="12" customFormat="1" x14ac:dyDescent="0.25"/>
    <row r="174796" s="12" customFormat="1" x14ac:dyDescent="0.25"/>
    <row r="174797" s="12" customFormat="1" x14ac:dyDescent="0.25"/>
    <row r="174798" s="12" customFormat="1" x14ac:dyDescent="0.25"/>
    <row r="174799" s="12" customFormat="1" x14ac:dyDescent="0.25"/>
    <row r="174800" s="12" customFormat="1" x14ac:dyDescent="0.25"/>
    <row r="174801" s="12" customFormat="1" x14ac:dyDescent="0.25"/>
    <row r="174802" s="12" customFormat="1" x14ac:dyDescent="0.25"/>
    <row r="174803" s="12" customFormat="1" x14ac:dyDescent="0.25"/>
    <row r="174804" s="12" customFormat="1" x14ac:dyDescent="0.25"/>
    <row r="174805" s="12" customFormat="1" x14ac:dyDescent="0.25"/>
    <row r="174806" s="12" customFormat="1" x14ac:dyDescent="0.25"/>
    <row r="174807" s="12" customFormat="1" x14ac:dyDescent="0.25"/>
    <row r="174808" s="12" customFormat="1" x14ac:dyDescent="0.25"/>
    <row r="174809" s="12" customFormat="1" x14ac:dyDescent="0.25"/>
    <row r="174810" s="12" customFormat="1" x14ac:dyDescent="0.25"/>
    <row r="174811" s="12" customFormat="1" x14ac:dyDescent="0.25"/>
    <row r="174812" s="12" customFormat="1" x14ac:dyDescent="0.25"/>
    <row r="174813" s="12" customFormat="1" x14ac:dyDescent="0.25"/>
    <row r="174814" s="12" customFormat="1" x14ac:dyDescent="0.25"/>
    <row r="174815" s="12" customFormat="1" x14ac:dyDescent="0.25"/>
    <row r="174816" s="12" customFormat="1" x14ac:dyDescent="0.25"/>
    <row r="174817" s="12" customFormat="1" x14ac:dyDescent="0.25"/>
    <row r="174818" s="12" customFormat="1" x14ac:dyDescent="0.25"/>
    <row r="174819" s="12" customFormat="1" x14ac:dyDescent="0.25"/>
    <row r="174820" s="12" customFormat="1" x14ac:dyDescent="0.25"/>
    <row r="174821" s="12" customFormat="1" x14ac:dyDescent="0.25"/>
    <row r="174822" s="12" customFormat="1" x14ac:dyDescent="0.25"/>
    <row r="174823" s="12" customFormat="1" x14ac:dyDescent="0.25"/>
    <row r="174824" s="12" customFormat="1" x14ac:dyDescent="0.25"/>
    <row r="174825" s="12" customFormat="1" x14ac:dyDescent="0.25"/>
    <row r="174826" s="12" customFormat="1" x14ac:dyDescent="0.25"/>
    <row r="174827" s="12" customFormat="1" x14ac:dyDescent="0.25"/>
    <row r="174828" s="12" customFormat="1" x14ac:dyDescent="0.25"/>
    <row r="174829" s="12" customFormat="1" x14ac:dyDescent="0.25"/>
    <row r="174830" s="12" customFormat="1" x14ac:dyDescent="0.25"/>
    <row r="174831" s="12" customFormat="1" x14ac:dyDescent="0.25"/>
    <row r="174832" s="12" customFormat="1" x14ac:dyDescent="0.25"/>
    <row r="174833" s="12" customFormat="1" x14ac:dyDescent="0.25"/>
    <row r="174834" s="12" customFormat="1" x14ac:dyDescent="0.25"/>
    <row r="174835" s="12" customFormat="1" x14ac:dyDescent="0.25"/>
    <row r="174836" s="12" customFormat="1" x14ac:dyDescent="0.25"/>
    <row r="174837" s="12" customFormat="1" x14ac:dyDescent="0.25"/>
    <row r="174838" s="12" customFormat="1" x14ac:dyDescent="0.25"/>
    <row r="174839" s="12" customFormat="1" x14ac:dyDescent="0.25"/>
    <row r="174840" s="12" customFormat="1" x14ac:dyDescent="0.25"/>
    <row r="174841" s="12" customFormat="1" x14ac:dyDescent="0.25"/>
    <row r="174842" s="12" customFormat="1" x14ac:dyDescent="0.25"/>
    <row r="174843" s="12" customFormat="1" x14ac:dyDescent="0.25"/>
    <row r="174844" s="12" customFormat="1" x14ac:dyDescent="0.25"/>
    <row r="174845" s="12" customFormat="1" x14ac:dyDescent="0.25"/>
    <row r="174846" s="12" customFormat="1" x14ac:dyDescent="0.25"/>
    <row r="174847" s="12" customFormat="1" x14ac:dyDescent="0.25"/>
    <row r="174848" s="12" customFormat="1" x14ac:dyDescent="0.25"/>
    <row r="174849" s="12" customFormat="1" x14ac:dyDescent="0.25"/>
    <row r="174850" s="12" customFormat="1" x14ac:dyDescent="0.25"/>
    <row r="174851" s="12" customFormat="1" x14ac:dyDescent="0.25"/>
    <row r="174852" s="12" customFormat="1" x14ac:dyDescent="0.25"/>
    <row r="174853" s="12" customFormat="1" x14ac:dyDescent="0.25"/>
    <row r="174854" s="12" customFormat="1" x14ac:dyDescent="0.25"/>
    <row r="174855" s="12" customFormat="1" x14ac:dyDescent="0.25"/>
    <row r="174856" s="12" customFormat="1" x14ac:dyDescent="0.25"/>
    <row r="174857" s="12" customFormat="1" x14ac:dyDescent="0.25"/>
    <row r="174858" s="12" customFormat="1" x14ac:dyDescent="0.25"/>
    <row r="174859" s="12" customFormat="1" x14ac:dyDescent="0.25"/>
    <row r="174860" s="12" customFormat="1" x14ac:dyDescent="0.25"/>
    <row r="174861" s="12" customFormat="1" x14ac:dyDescent="0.25"/>
    <row r="174862" s="12" customFormat="1" x14ac:dyDescent="0.25"/>
    <row r="174863" s="12" customFormat="1" x14ac:dyDescent="0.25"/>
    <row r="174864" s="12" customFormat="1" x14ac:dyDescent="0.25"/>
    <row r="174865" s="12" customFormat="1" x14ac:dyDescent="0.25"/>
    <row r="174866" s="12" customFormat="1" x14ac:dyDescent="0.25"/>
    <row r="174867" s="12" customFormat="1" x14ac:dyDescent="0.25"/>
    <row r="174868" s="12" customFormat="1" x14ac:dyDescent="0.25"/>
    <row r="174869" s="12" customFormat="1" x14ac:dyDescent="0.25"/>
    <row r="174870" s="12" customFormat="1" x14ac:dyDescent="0.25"/>
    <row r="174871" s="12" customFormat="1" x14ac:dyDescent="0.25"/>
    <row r="174872" s="12" customFormat="1" x14ac:dyDescent="0.25"/>
    <row r="174873" s="12" customFormat="1" x14ac:dyDescent="0.25"/>
    <row r="174874" s="12" customFormat="1" x14ac:dyDescent="0.25"/>
    <row r="174875" s="12" customFormat="1" x14ac:dyDescent="0.25"/>
    <row r="174876" s="12" customFormat="1" x14ac:dyDescent="0.25"/>
    <row r="174877" s="12" customFormat="1" x14ac:dyDescent="0.25"/>
    <row r="174878" s="12" customFormat="1" x14ac:dyDescent="0.25"/>
    <row r="174879" s="12" customFormat="1" x14ac:dyDescent="0.25"/>
    <row r="174880" s="12" customFormat="1" x14ac:dyDescent="0.25"/>
    <row r="174881" s="12" customFormat="1" x14ac:dyDescent="0.25"/>
    <row r="174882" s="12" customFormat="1" x14ac:dyDescent="0.25"/>
    <row r="174883" s="12" customFormat="1" x14ac:dyDescent="0.25"/>
    <row r="174884" s="12" customFormat="1" x14ac:dyDescent="0.25"/>
    <row r="174885" s="12" customFormat="1" x14ac:dyDescent="0.25"/>
    <row r="174886" s="12" customFormat="1" x14ac:dyDescent="0.25"/>
    <row r="174887" s="12" customFormat="1" x14ac:dyDescent="0.25"/>
    <row r="174888" s="12" customFormat="1" x14ac:dyDescent="0.25"/>
    <row r="174889" s="12" customFormat="1" x14ac:dyDescent="0.25"/>
    <row r="174890" s="12" customFormat="1" x14ac:dyDescent="0.25"/>
    <row r="174891" s="12" customFormat="1" x14ac:dyDescent="0.25"/>
    <row r="174892" s="12" customFormat="1" x14ac:dyDescent="0.25"/>
    <row r="174893" s="12" customFormat="1" x14ac:dyDescent="0.25"/>
    <row r="174894" s="12" customFormat="1" x14ac:dyDescent="0.25"/>
    <row r="174895" s="12" customFormat="1" x14ac:dyDescent="0.25"/>
    <row r="174896" s="12" customFormat="1" x14ac:dyDescent="0.25"/>
    <row r="174897" s="12" customFormat="1" x14ac:dyDescent="0.25"/>
    <row r="174898" s="12" customFormat="1" x14ac:dyDescent="0.25"/>
    <row r="174899" s="12" customFormat="1" x14ac:dyDescent="0.25"/>
    <row r="174900" s="12" customFormat="1" x14ac:dyDescent="0.25"/>
    <row r="174901" s="12" customFormat="1" x14ac:dyDescent="0.25"/>
    <row r="174902" s="12" customFormat="1" x14ac:dyDescent="0.25"/>
    <row r="174903" s="12" customFormat="1" x14ac:dyDescent="0.25"/>
    <row r="174904" s="12" customFormat="1" x14ac:dyDescent="0.25"/>
    <row r="174905" s="12" customFormat="1" x14ac:dyDescent="0.25"/>
    <row r="174906" s="12" customFormat="1" x14ac:dyDescent="0.25"/>
    <row r="174907" s="12" customFormat="1" x14ac:dyDescent="0.25"/>
    <row r="174908" s="12" customFormat="1" x14ac:dyDescent="0.25"/>
    <row r="174909" s="12" customFormat="1" x14ac:dyDescent="0.25"/>
    <row r="174910" s="12" customFormat="1" x14ac:dyDescent="0.25"/>
    <row r="174911" s="12" customFormat="1" x14ac:dyDescent="0.25"/>
    <row r="174912" s="12" customFormat="1" x14ac:dyDescent="0.25"/>
    <row r="174913" s="12" customFormat="1" x14ac:dyDescent="0.25"/>
    <row r="174914" s="12" customFormat="1" x14ac:dyDescent="0.25"/>
    <row r="174915" s="12" customFormat="1" x14ac:dyDescent="0.25"/>
    <row r="174916" s="12" customFormat="1" x14ac:dyDescent="0.25"/>
    <row r="174917" s="12" customFormat="1" x14ac:dyDescent="0.25"/>
    <row r="174918" s="12" customFormat="1" x14ac:dyDescent="0.25"/>
    <row r="174919" s="12" customFormat="1" x14ac:dyDescent="0.25"/>
    <row r="174920" s="12" customFormat="1" x14ac:dyDescent="0.25"/>
    <row r="174921" s="12" customFormat="1" x14ac:dyDescent="0.25"/>
    <row r="174922" s="12" customFormat="1" x14ac:dyDescent="0.25"/>
    <row r="174923" s="12" customFormat="1" x14ac:dyDescent="0.25"/>
    <row r="174924" s="12" customFormat="1" x14ac:dyDescent="0.25"/>
    <row r="174925" s="12" customFormat="1" x14ac:dyDescent="0.25"/>
    <row r="174926" s="12" customFormat="1" x14ac:dyDescent="0.25"/>
    <row r="174927" s="12" customFormat="1" x14ac:dyDescent="0.25"/>
    <row r="174928" s="12" customFormat="1" x14ac:dyDescent="0.25"/>
    <row r="174929" s="12" customFormat="1" x14ac:dyDescent="0.25"/>
    <row r="174930" s="12" customFormat="1" x14ac:dyDescent="0.25"/>
    <row r="174931" s="12" customFormat="1" x14ac:dyDescent="0.25"/>
    <row r="174932" s="12" customFormat="1" x14ac:dyDescent="0.25"/>
    <row r="174933" s="12" customFormat="1" x14ac:dyDescent="0.25"/>
    <row r="174934" s="12" customFormat="1" x14ac:dyDescent="0.25"/>
    <row r="174935" s="12" customFormat="1" x14ac:dyDescent="0.25"/>
    <row r="174936" s="12" customFormat="1" x14ac:dyDescent="0.25"/>
    <row r="174937" s="12" customFormat="1" x14ac:dyDescent="0.25"/>
    <row r="174938" s="12" customFormat="1" x14ac:dyDescent="0.25"/>
    <row r="174939" s="12" customFormat="1" x14ac:dyDescent="0.25"/>
    <row r="174940" s="12" customFormat="1" x14ac:dyDescent="0.25"/>
    <row r="174941" s="12" customFormat="1" x14ac:dyDescent="0.25"/>
    <row r="174942" s="12" customFormat="1" x14ac:dyDescent="0.25"/>
    <row r="174943" s="12" customFormat="1" x14ac:dyDescent="0.25"/>
    <row r="174944" s="12" customFormat="1" x14ac:dyDescent="0.25"/>
    <row r="174945" s="12" customFormat="1" x14ac:dyDescent="0.25"/>
    <row r="174946" s="12" customFormat="1" x14ac:dyDescent="0.25"/>
    <row r="174947" s="12" customFormat="1" x14ac:dyDescent="0.25"/>
    <row r="174948" s="12" customFormat="1" x14ac:dyDescent="0.25"/>
    <row r="174949" s="12" customFormat="1" x14ac:dyDescent="0.25"/>
    <row r="174950" s="12" customFormat="1" x14ac:dyDescent="0.25"/>
    <row r="174951" s="12" customFormat="1" x14ac:dyDescent="0.25"/>
    <row r="174952" s="12" customFormat="1" x14ac:dyDescent="0.25"/>
    <row r="174953" s="12" customFormat="1" x14ac:dyDescent="0.25"/>
    <row r="174954" s="12" customFormat="1" x14ac:dyDescent="0.25"/>
    <row r="174955" s="12" customFormat="1" x14ac:dyDescent="0.25"/>
    <row r="174956" s="12" customFormat="1" x14ac:dyDescent="0.25"/>
    <row r="174957" s="12" customFormat="1" x14ac:dyDescent="0.25"/>
    <row r="174958" s="12" customFormat="1" x14ac:dyDescent="0.25"/>
    <row r="174959" s="12" customFormat="1" x14ac:dyDescent="0.25"/>
    <row r="174960" s="12" customFormat="1" x14ac:dyDescent="0.25"/>
    <row r="174961" s="12" customFormat="1" x14ac:dyDescent="0.25"/>
    <row r="174962" s="12" customFormat="1" x14ac:dyDescent="0.25"/>
    <row r="174963" s="12" customFormat="1" x14ac:dyDescent="0.25"/>
    <row r="174964" s="12" customFormat="1" x14ac:dyDescent="0.25"/>
    <row r="174965" s="12" customFormat="1" x14ac:dyDescent="0.25"/>
    <row r="174966" s="12" customFormat="1" x14ac:dyDescent="0.25"/>
    <row r="174967" s="12" customFormat="1" x14ac:dyDescent="0.25"/>
    <row r="174968" s="12" customFormat="1" x14ac:dyDescent="0.25"/>
    <row r="174969" s="12" customFormat="1" x14ac:dyDescent="0.25"/>
    <row r="174970" s="12" customFormat="1" x14ac:dyDescent="0.25"/>
    <row r="174971" s="12" customFormat="1" x14ac:dyDescent="0.25"/>
    <row r="174972" s="12" customFormat="1" x14ac:dyDescent="0.25"/>
    <row r="174973" s="12" customFormat="1" x14ac:dyDescent="0.25"/>
    <row r="174974" s="12" customFormat="1" x14ac:dyDescent="0.25"/>
    <row r="174975" s="12" customFormat="1" x14ac:dyDescent="0.25"/>
    <row r="174976" s="12" customFormat="1" x14ac:dyDescent="0.25"/>
    <row r="174977" s="12" customFormat="1" x14ac:dyDescent="0.25"/>
    <row r="174978" s="12" customFormat="1" x14ac:dyDescent="0.25"/>
    <row r="174979" s="12" customFormat="1" x14ac:dyDescent="0.25"/>
    <row r="174980" s="12" customFormat="1" x14ac:dyDescent="0.25"/>
    <row r="174981" s="12" customFormat="1" x14ac:dyDescent="0.25"/>
    <row r="174982" s="12" customFormat="1" x14ac:dyDescent="0.25"/>
    <row r="174983" s="12" customFormat="1" x14ac:dyDescent="0.25"/>
    <row r="174984" s="12" customFormat="1" x14ac:dyDescent="0.25"/>
    <row r="174985" s="12" customFormat="1" x14ac:dyDescent="0.25"/>
    <row r="174986" s="12" customFormat="1" x14ac:dyDescent="0.25"/>
    <row r="174987" s="12" customFormat="1" x14ac:dyDescent="0.25"/>
    <row r="174988" s="12" customFormat="1" x14ac:dyDescent="0.25"/>
    <row r="174989" s="12" customFormat="1" x14ac:dyDescent="0.25"/>
    <row r="174990" s="12" customFormat="1" x14ac:dyDescent="0.25"/>
    <row r="174991" s="12" customFormat="1" x14ac:dyDescent="0.25"/>
    <row r="174992" s="12" customFormat="1" x14ac:dyDescent="0.25"/>
    <row r="174993" s="12" customFormat="1" x14ac:dyDescent="0.25"/>
    <row r="174994" s="12" customFormat="1" x14ac:dyDescent="0.25"/>
    <row r="174995" s="12" customFormat="1" x14ac:dyDescent="0.25"/>
    <row r="174996" s="12" customFormat="1" x14ac:dyDescent="0.25"/>
    <row r="174997" s="12" customFormat="1" x14ac:dyDescent="0.25"/>
    <row r="174998" s="12" customFormat="1" x14ac:dyDescent="0.25"/>
    <row r="174999" s="12" customFormat="1" x14ac:dyDescent="0.25"/>
    <row r="175000" s="12" customFormat="1" x14ac:dyDescent="0.25"/>
    <row r="175001" s="12" customFormat="1" x14ac:dyDescent="0.25"/>
    <row r="175002" s="12" customFormat="1" x14ac:dyDescent="0.25"/>
    <row r="175003" s="12" customFormat="1" x14ac:dyDescent="0.25"/>
    <row r="175004" s="12" customFormat="1" x14ac:dyDescent="0.25"/>
    <row r="175005" s="12" customFormat="1" x14ac:dyDescent="0.25"/>
    <row r="175006" s="12" customFormat="1" x14ac:dyDescent="0.25"/>
    <row r="175007" s="12" customFormat="1" x14ac:dyDescent="0.25"/>
    <row r="175008" s="12" customFormat="1" x14ac:dyDescent="0.25"/>
    <row r="175009" s="12" customFormat="1" x14ac:dyDescent="0.25"/>
    <row r="175010" s="12" customFormat="1" x14ac:dyDescent="0.25"/>
    <row r="175011" s="12" customFormat="1" x14ac:dyDescent="0.25"/>
    <row r="175012" s="12" customFormat="1" x14ac:dyDescent="0.25"/>
    <row r="175013" s="12" customFormat="1" x14ac:dyDescent="0.25"/>
    <row r="175014" s="12" customFormat="1" x14ac:dyDescent="0.25"/>
    <row r="175015" s="12" customFormat="1" x14ac:dyDescent="0.25"/>
    <row r="175016" s="12" customFormat="1" x14ac:dyDescent="0.25"/>
    <row r="175017" s="12" customFormat="1" x14ac:dyDescent="0.25"/>
    <row r="175018" s="12" customFormat="1" x14ac:dyDescent="0.25"/>
    <row r="175019" s="12" customFormat="1" x14ac:dyDescent="0.25"/>
    <row r="175020" s="12" customFormat="1" x14ac:dyDescent="0.25"/>
    <row r="175021" s="12" customFormat="1" x14ac:dyDescent="0.25"/>
    <row r="175022" s="12" customFormat="1" x14ac:dyDescent="0.25"/>
    <row r="175023" s="12" customFormat="1" x14ac:dyDescent="0.25"/>
    <row r="175024" s="12" customFormat="1" x14ac:dyDescent="0.25"/>
    <row r="175025" s="12" customFormat="1" x14ac:dyDescent="0.25"/>
    <row r="175026" s="12" customFormat="1" x14ac:dyDescent="0.25"/>
    <row r="175027" s="12" customFormat="1" x14ac:dyDescent="0.25"/>
    <row r="175028" s="12" customFormat="1" x14ac:dyDescent="0.25"/>
    <row r="175029" s="12" customFormat="1" x14ac:dyDescent="0.25"/>
    <row r="175030" s="12" customFormat="1" x14ac:dyDescent="0.25"/>
    <row r="175031" s="12" customFormat="1" x14ac:dyDescent="0.25"/>
    <row r="175032" s="12" customFormat="1" x14ac:dyDescent="0.25"/>
    <row r="175033" s="12" customFormat="1" x14ac:dyDescent="0.25"/>
    <row r="175034" s="12" customFormat="1" x14ac:dyDescent="0.25"/>
    <row r="175035" s="12" customFormat="1" x14ac:dyDescent="0.25"/>
    <row r="175036" s="12" customFormat="1" x14ac:dyDescent="0.25"/>
    <row r="175037" s="12" customFormat="1" x14ac:dyDescent="0.25"/>
    <row r="175038" s="12" customFormat="1" x14ac:dyDescent="0.25"/>
    <row r="175039" s="12" customFormat="1" x14ac:dyDescent="0.25"/>
    <row r="175040" s="12" customFormat="1" x14ac:dyDescent="0.25"/>
    <row r="175041" s="12" customFormat="1" x14ac:dyDescent="0.25"/>
    <row r="175042" s="12" customFormat="1" x14ac:dyDescent="0.25"/>
    <row r="175043" s="12" customFormat="1" x14ac:dyDescent="0.25"/>
    <row r="175044" s="12" customFormat="1" x14ac:dyDescent="0.25"/>
    <row r="175045" s="12" customFormat="1" x14ac:dyDescent="0.25"/>
    <row r="175046" s="12" customFormat="1" x14ac:dyDescent="0.25"/>
    <row r="175047" s="12" customFormat="1" x14ac:dyDescent="0.25"/>
    <row r="175048" s="12" customFormat="1" x14ac:dyDescent="0.25"/>
    <row r="175049" s="12" customFormat="1" x14ac:dyDescent="0.25"/>
    <row r="175050" s="12" customFormat="1" x14ac:dyDescent="0.25"/>
    <row r="175051" s="12" customFormat="1" x14ac:dyDescent="0.25"/>
    <row r="175052" s="12" customFormat="1" x14ac:dyDescent="0.25"/>
    <row r="175053" s="12" customFormat="1" x14ac:dyDescent="0.25"/>
    <row r="175054" s="12" customFormat="1" x14ac:dyDescent="0.25"/>
    <row r="175055" s="12" customFormat="1" x14ac:dyDescent="0.25"/>
    <row r="175056" s="12" customFormat="1" x14ac:dyDescent="0.25"/>
    <row r="175057" s="12" customFormat="1" x14ac:dyDescent="0.25"/>
    <row r="175058" s="12" customFormat="1" x14ac:dyDescent="0.25"/>
    <row r="175059" s="12" customFormat="1" x14ac:dyDescent="0.25"/>
    <row r="175060" s="12" customFormat="1" x14ac:dyDescent="0.25"/>
    <row r="175061" s="12" customFormat="1" x14ac:dyDescent="0.25"/>
    <row r="175062" s="12" customFormat="1" x14ac:dyDescent="0.25"/>
    <row r="175063" s="12" customFormat="1" x14ac:dyDescent="0.25"/>
    <row r="175064" s="12" customFormat="1" x14ac:dyDescent="0.25"/>
    <row r="175065" s="12" customFormat="1" x14ac:dyDescent="0.25"/>
    <row r="175066" s="12" customFormat="1" x14ac:dyDescent="0.25"/>
    <row r="175067" s="12" customFormat="1" x14ac:dyDescent="0.25"/>
    <row r="175068" s="12" customFormat="1" x14ac:dyDescent="0.25"/>
    <row r="175069" s="12" customFormat="1" x14ac:dyDescent="0.25"/>
    <row r="175070" s="12" customFormat="1" x14ac:dyDescent="0.25"/>
    <row r="175071" s="12" customFormat="1" x14ac:dyDescent="0.25"/>
    <row r="175072" s="12" customFormat="1" x14ac:dyDescent="0.25"/>
    <row r="175073" s="12" customFormat="1" x14ac:dyDescent="0.25"/>
    <row r="175074" s="12" customFormat="1" x14ac:dyDescent="0.25"/>
    <row r="175075" s="12" customFormat="1" x14ac:dyDescent="0.25"/>
    <row r="175076" s="12" customFormat="1" x14ac:dyDescent="0.25"/>
    <row r="175077" s="12" customFormat="1" x14ac:dyDescent="0.25"/>
    <row r="175078" s="12" customFormat="1" x14ac:dyDescent="0.25"/>
    <row r="175079" s="12" customFormat="1" x14ac:dyDescent="0.25"/>
    <row r="175080" s="12" customFormat="1" x14ac:dyDescent="0.25"/>
    <row r="175081" s="12" customFormat="1" x14ac:dyDescent="0.25"/>
    <row r="175082" s="12" customFormat="1" x14ac:dyDescent="0.25"/>
    <row r="175083" s="12" customFormat="1" x14ac:dyDescent="0.25"/>
    <row r="175084" s="12" customFormat="1" x14ac:dyDescent="0.25"/>
    <row r="175085" s="12" customFormat="1" x14ac:dyDescent="0.25"/>
    <row r="175086" s="12" customFormat="1" x14ac:dyDescent="0.25"/>
    <row r="175087" s="12" customFormat="1" x14ac:dyDescent="0.25"/>
    <row r="175088" s="12" customFormat="1" x14ac:dyDescent="0.25"/>
    <row r="175089" s="12" customFormat="1" x14ac:dyDescent="0.25"/>
    <row r="175090" s="12" customFormat="1" x14ac:dyDescent="0.25"/>
    <row r="175091" s="12" customFormat="1" x14ac:dyDescent="0.25"/>
    <row r="175092" s="12" customFormat="1" x14ac:dyDescent="0.25"/>
    <row r="175093" s="12" customFormat="1" x14ac:dyDescent="0.25"/>
    <row r="175094" s="12" customFormat="1" x14ac:dyDescent="0.25"/>
    <row r="175095" s="12" customFormat="1" x14ac:dyDescent="0.25"/>
    <row r="175096" s="12" customFormat="1" x14ac:dyDescent="0.25"/>
    <row r="175097" s="12" customFormat="1" x14ac:dyDescent="0.25"/>
    <row r="175098" s="12" customFormat="1" x14ac:dyDescent="0.25"/>
    <row r="175099" s="12" customFormat="1" x14ac:dyDescent="0.25"/>
    <row r="175100" s="12" customFormat="1" x14ac:dyDescent="0.25"/>
    <row r="175101" s="12" customFormat="1" x14ac:dyDescent="0.25"/>
    <row r="175102" s="12" customFormat="1" x14ac:dyDescent="0.25"/>
    <row r="175103" s="12" customFormat="1" x14ac:dyDescent="0.25"/>
    <row r="175104" s="12" customFormat="1" x14ac:dyDescent="0.25"/>
    <row r="175105" s="12" customFormat="1" x14ac:dyDescent="0.25"/>
    <row r="175106" s="12" customFormat="1" x14ac:dyDescent="0.25"/>
    <row r="175107" s="12" customFormat="1" x14ac:dyDescent="0.25"/>
    <row r="175108" s="12" customFormat="1" x14ac:dyDescent="0.25"/>
    <row r="175109" s="12" customFormat="1" x14ac:dyDescent="0.25"/>
    <row r="175110" s="12" customFormat="1" x14ac:dyDescent="0.25"/>
    <row r="175111" s="12" customFormat="1" x14ac:dyDescent="0.25"/>
    <row r="175112" s="12" customFormat="1" x14ac:dyDescent="0.25"/>
    <row r="175113" s="12" customFormat="1" x14ac:dyDescent="0.25"/>
    <row r="175114" s="12" customFormat="1" x14ac:dyDescent="0.25"/>
    <row r="175115" s="12" customFormat="1" x14ac:dyDescent="0.25"/>
    <row r="175116" s="12" customFormat="1" x14ac:dyDescent="0.25"/>
    <row r="175117" s="12" customFormat="1" x14ac:dyDescent="0.25"/>
    <row r="175118" s="12" customFormat="1" x14ac:dyDescent="0.25"/>
    <row r="175119" s="12" customFormat="1" x14ac:dyDescent="0.25"/>
    <row r="175120" s="12" customFormat="1" x14ac:dyDescent="0.25"/>
    <row r="175121" s="12" customFormat="1" x14ac:dyDescent="0.25"/>
    <row r="175122" s="12" customFormat="1" x14ac:dyDescent="0.25"/>
    <row r="175123" s="12" customFormat="1" x14ac:dyDescent="0.25"/>
    <row r="175124" s="12" customFormat="1" x14ac:dyDescent="0.25"/>
    <row r="175125" s="12" customFormat="1" x14ac:dyDescent="0.25"/>
    <row r="175126" s="12" customFormat="1" x14ac:dyDescent="0.25"/>
    <row r="175127" s="12" customFormat="1" x14ac:dyDescent="0.25"/>
    <row r="175128" s="12" customFormat="1" x14ac:dyDescent="0.25"/>
    <row r="175129" s="12" customFormat="1" x14ac:dyDescent="0.25"/>
    <row r="175130" s="12" customFormat="1" x14ac:dyDescent="0.25"/>
    <row r="175131" s="12" customFormat="1" x14ac:dyDescent="0.25"/>
    <row r="175132" s="12" customFormat="1" x14ac:dyDescent="0.25"/>
    <row r="175133" s="12" customFormat="1" x14ac:dyDescent="0.25"/>
    <row r="175134" s="12" customFormat="1" x14ac:dyDescent="0.25"/>
    <row r="175135" s="12" customFormat="1" x14ac:dyDescent="0.25"/>
    <row r="175136" s="12" customFormat="1" x14ac:dyDescent="0.25"/>
    <row r="175137" s="12" customFormat="1" x14ac:dyDescent="0.25"/>
    <row r="175138" s="12" customFormat="1" x14ac:dyDescent="0.25"/>
    <row r="175139" s="12" customFormat="1" x14ac:dyDescent="0.25"/>
    <row r="175140" s="12" customFormat="1" x14ac:dyDescent="0.25"/>
    <row r="175141" s="12" customFormat="1" x14ac:dyDescent="0.25"/>
    <row r="175142" s="12" customFormat="1" x14ac:dyDescent="0.25"/>
    <row r="175143" s="12" customFormat="1" x14ac:dyDescent="0.25"/>
    <row r="175144" s="12" customFormat="1" x14ac:dyDescent="0.25"/>
    <row r="175145" s="12" customFormat="1" x14ac:dyDescent="0.25"/>
    <row r="175146" s="12" customFormat="1" x14ac:dyDescent="0.25"/>
    <row r="175147" s="12" customFormat="1" x14ac:dyDescent="0.25"/>
    <row r="175148" s="12" customFormat="1" x14ac:dyDescent="0.25"/>
    <row r="175149" s="12" customFormat="1" x14ac:dyDescent="0.25"/>
    <row r="175150" s="12" customFormat="1" x14ac:dyDescent="0.25"/>
    <row r="175151" s="12" customFormat="1" x14ac:dyDescent="0.25"/>
    <row r="175152" s="12" customFormat="1" x14ac:dyDescent="0.25"/>
    <row r="175153" s="12" customFormat="1" x14ac:dyDescent="0.25"/>
    <row r="175154" s="12" customFormat="1" x14ac:dyDescent="0.25"/>
    <row r="175155" s="12" customFormat="1" x14ac:dyDescent="0.25"/>
    <row r="175156" s="12" customFormat="1" x14ac:dyDescent="0.25"/>
    <row r="175157" s="12" customFormat="1" x14ac:dyDescent="0.25"/>
    <row r="175158" s="12" customFormat="1" x14ac:dyDescent="0.25"/>
    <row r="175159" s="12" customFormat="1" x14ac:dyDescent="0.25"/>
    <row r="175160" s="12" customFormat="1" x14ac:dyDescent="0.25"/>
    <row r="175161" s="12" customFormat="1" x14ac:dyDescent="0.25"/>
    <row r="175162" s="12" customFormat="1" x14ac:dyDescent="0.25"/>
    <row r="175163" s="12" customFormat="1" x14ac:dyDescent="0.25"/>
    <row r="175164" s="12" customFormat="1" x14ac:dyDescent="0.25"/>
    <row r="175165" s="12" customFormat="1" x14ac:dyDescent="0.25"/>
    <row r="175166" s="12" customFormat="1" x14ac:dyDescent="0.25"/>
    <row r="175167" s="12" customFormat="1" x14ac:dyDescent="0.25"/>
    <row r="175168" s="12" customFormat="1" x14ac:dyDescent="0.25"/>
    <row r="175169" s="12" customFormat="1" x14ac:dyDescent="0.25"/>
    <row r="175170" s="12" customFormat="1" x14ac:dyDescent="0.25"/>
    <row r="175171" s="12" customFormat="1" x14ac:dyDescent="0.25"/>
    <row r="175172" s="12" customFormat="1" x14ac:dyDescent="0.25"/>
    <row r="175173" s="12" customFormat="1" x14ac:dyDescent="0.25"/>
    <row r="175174" s="12" customFormat="1" x14ac:dyDescent="0.25"/>
    <row r="175175" s="12" customFormat="1" x14ac:dyDescent="0.25"/>
    <row r="175176" s="12" customFormat="1" x14ac:dyDescent="0.25"/>
    <row r="175177" s="12" customFormat="1" x14ac:dyDescent="0.25"/>
    <row r="175178" s="12" customFormat="1" x14ac:dyDescent="0.25"/>
    <row r="175179" s="12" customFormat="1" x14ac:dyDescent="0.25"/>
    <row r="175180" s="12" customFormat="1" x14ac:dyDescent="0.25"/>
    <row r="175181" s="12" customFormat="1" x14ac:dyDescent="0.25"/>
    <row r="175182" s="12" customFormat="1" x14ac:dyDescent="0.25"/>
    <row r="175183" s="12" customFormat="1" x14ac:dyDescent="0.25"/>
    <row r="175184" s="12" customFormat="1" x14ac:dyDescent="0.25"/>
    <row r="175185" s="12" customFormat="1" x14ac:dyDescent="0.25"/>
    <row r="175186" s="12" customFormat="1" x14ac:dyDescent="0.25"/>
    <row r="175187" s="12" customFormat="1" x14ac:dyDescent="0.25"/>
    <row r="175188" s="12" customFormat="1" x14ac:dyDescent="0.25"/>
    <row r="175189" s="12" customFormat="1" x14ac:dyDescent="0.25"/>
    <row r="175190" s="12" customFormat="1" x14ac:dyDescent="0.25"/>
    <row r="175191" s="12" customFormat="1" x14ac:dyDescent="0.25"/>
    <row r="175192" s="12" customFormat="1" x14ac:dyDescent="0.25"/>
    <row r="175193" s="12" customFormat="1" x14ac:dyDescent="0.25"/>
    <row r="175194" s="12" customFormat="1" x14ac:dyDescent="0.25"/>
    <row r="175195" s="12" customFormat="1" x14ac:dyDescent="0.25"/>
    <row r="175196" s="12" customFormat="1" x14ac:dyDescent="0.25"/>
    <row r="175197" s="12" customFormat="1" x14ac:dyDescent="0.25"/>
    <row r="175198" s="12" customFormat="1" x14ac:dyDescent="0.25"/>
    <row r="175199" s="12" customFormat="1" x14ac:dyDescent="0.25"/>
    <row r="175200" s="12" customFormat="1" x14ac:dyDescent="0.25"/>
    <row r="175201" s="12" customFormat="1" x14ac:dyDescent="0.25"/>
    <row r="175202" s="12" customFormat="1" x14ac:dyDescent="0.25"/>
    <row r="175203" s="12" customFormat="1" x14ac:dyDescent="0.25"/>
    <row r="175204" s="12" customFormat="1" x14ac:dyDescent="0.25"/>
    <row r="175205" s="12" customFormat="1" x14ac:dyDescent="0.25"/>
    <row r="175206" s="12" customFormat="1" x14ac:dyDescent="0.25"/>
    <row r="175207" s="12" customFormat="1" x14ac:dyDescent="0.25"/>
    <row r="175208" s="12" customFormat="1" x14ac:dyDescent="0.25"/>
    <row r="175209" s="12" customFormat="1" x14ac:dyDescent="0.25"/>
    <row r="175210" s="12" customFormat="1" x14ac:dyDescent="0.25"/>
    <row r="175211" s="12" customFormat="1" x14ac:dyDescent="0.25"/>
    <row r="175212" s="12" customFormat="1" x14ac:dyDescent="0.25"/>
    <row r="175213" s="12" customFormat="1" x14ac:dyDescent="0.25"/>
    <row r="175214" s="12" customFormat="1" x14ac:dyDescent="0.25"/>
    <row r="175215" s="12" customFormat="1" x14ac:dyDescent="0.25"/>
    <row r="175216" s="12" customFormat="1" x14ac:dyDescent="0.25"/>
    <row r="175217" s="12" customFormat="1" x14ac:dyDescent="0.25"/>
    <row r="175218" s="12" customFormat="1" x14ac:dyDescent="0.25"/>
    <row r="175219" s="12" customFormat="1" x14ac:dyDescent="0.25"/>
    <row r="175220" s="12" customFormat="1" x14ac:dyDescent="0.25"/>
    <row r="175221" s="12" customFormat="1" x14ac:dyDescent="0.25"/>
    <row r="175222" s="12" customFormat="1" x14ac:dyDescent="0.25"/>
    <row r="175223" s="12" customFormat="1" x14ac:dyDescent="0.25"/>
    <row r="175224" s="12" customFormat="1" x14ac:dyDescent="0.25"/>
    <row r="175225" s="12" customFormat="1" x14ac:dyDescent="0.25"/>
    <row r="175226" s="12" customFormat="1" x14ac:dyDescent="0.25"/>
    <row r="175227" s="12" customFormat="1" x14ac:dyDescent="0.25"/>
    <row r="175228" s="12" customFormat="1" x14ac:dyDescent="0.25"/>
    <row r="175229" s="12" customFormat="1" x14ac:dyDescent="0.25"/>
    <row r="175230" s="12" customFormat="1" x14ac:dyDescent="0.25"/>
    <row r="175231" s="12" customFormat="1" x14ac:dyDescent="0.25"/>
    <row r="175232" s="12" customFormat="1" x14ac:dyDescent="0.25"/>
    <row r="175233" s="12" customFormat="1" x14ac:dyDescent="0.25"/>
    <row r="175234" s="12" customFormat="1" x14ac:dyDescent="0.25"/>
    <row r="175235" s="12" customFormat="1" x14ac:dyDescent="0.25"/>
    <row r="175236" s="12" customFormat="1" x14ac:dyDescent="0.25"/>
    <row r="175237" s="12" customFormat="1" x14ac:dyDescent="0.25"/>
    <row r="175238" s="12" customFormat="1" x14ac:dyDescent="0.25"/>
    <row r="175239" s="12" customFormat="1" x14ac:dyDescent="0.25"/>
    <row r="175240" s="12" customFormat="1" x14ac:dyDescent="0.25"/>
    <row r="175241" s="12" customFormat="1" x14ac:dyDescent="0.25"/>
    <row r="175242" s="12" customFormat="1" x14ac:dyDescent="0.25"/>
    <row r="175243" s="12" customFormat="1" x14ac:dyDescent="0.25"/>
    <row r="175244" s="12" customFormat="1" x14ac:dyDescent="0.25"/>
    <row r="175245" s="12" customFormat="1" x14ac:dyDescent="0.25"/>
    <row r="175246" s="12" customFormat="1" x14ac:dyDescent="0.25"/>
    <row r="175247" s="12" customFormat="1" x14ac:dyDescent="0.25"/>
    <row r="175248" s="12" customFormat="1" x14ac:dyDescent="0.25"/>
    <row r="175249" s="12" customFormat="1" x14ac:dyDescent="0.25"/>
    <row r="175250" s="12" customFormat="1" x14ac:dyDescent="0.25"/>
    <row r="175251" s="12" customFormat="1" x14ac:dyDescent="0.25"/>
    <row r="175252" s="12" customFormat="1" x14ac:dyDescent="0.25"/>
    <row r="175253" s="12" customFormat="1" x14ac:dyDescent="0.25"/>
    <row r="175254" s="12" customFormat="1" x14ac:dyDescent="0.25"/>
    <row r="175255" s="12" customFormat="1" x14ac:dyDescent="0.25"/>
    <row r="175256" s="12" customFormat="1" x14ac:dyDescent="0.25"/>
    <row r="175257" s="12" customFormat="1" x14ac:dyDescent="0.25"/>
    <row r="175258" s="12" customFormat="1" x14ac:dyDescent="0.25"/>
    <row r="175259" s="12" customFormat="1" x14ac:dyDescent="0.25"/>
    <row r="175260" s="12" customFormat="1" x14ac:dyDescent="0.25"/>
    <row r="175261" s="12" customFormat="1" x14ac:dyDescent="0.25"/>
    <row r="175262" s="12" customFormat="1" x14ac:dyDescent="0.25"/>
    <row r="175263" s="12" customFormat="1" x14ac:dyDescent="0.25"/>
    <row r="175264" s="12" customFormat="1" x14ac:dyDescent="0.25"/>
    <row r="175265" s="12" customFormat="1" x14ac:dyDescent="0.25"/>
    <row r="175266" s="12" customFormat="1" x14ac:dyDescent="0.25"/>
    <row r="175267" s="12" customFormat="1" x14ac:dyDescent="0.25"/>
    <row r="175268" s="12" customFormat="1" x14ac:dyDescent="0.25"/>
    <row r="175269" s="12" customFormat="1" x14ac:dyDescent="0.25"/>
    <row r="175270" s="12" customFormat="1" x14ac:dyDescent="0.25"/>
    <row r="175271" s="12" customFormat="1" x14ac:dyDescent="0.25"/>
    <row r="175272" s="12" customFormat="1" x14ac:dyDescent="0.25"/>
    <row r="175273" s="12" customFormat="1" x14ac:dyDescent="0.25"/>
    <row r="175274" s="12" customFormat="1" x14ac:dyDescent="0.25"/>
    <row r="175275" s="12" customFormat="1" x14ac:dyDescent="0.25"/>
    <row r="175276" s="12" customFormat="1" x14ac:dyDescent="0.25"/>
    <row r="175277" s="12" customFormat="1" x14ac:dyDescent="0.25"/>
    <row r="175278" s="12" customFormat="1" x14ac:dyDescent="0.25"/>
    <row r="175279" s="12" customFormat="1" x14ac:dyDescent="0.25"/>
    <row r="175280" s="12" customFormat="1" x14ac:dyDescent="0.25"/>
    <row r="175281" s="12" customFormat="1" x14ac:dyDescent="0.25"/>
    <row r="175282" s="12" customFormat="1" x14ac:dyDescent="0.25"/>
    <row r="175283" s="12" customFormat="1" x14ac:dyDescent="0.25"/>
    <row r="175284" s="12" customFormat="1" x14ac:dyDescent="0.25"/>
    <row r="175285" s="12" customFormat="1" x14ac:dyDescent="0.25"/>
    <row r="175286" s="12" customFormat="1" x14ac:dyDescent="0.25"/>
    <row r="175287" s="12" customFormat="1" x14ac:dyDescent="0.25"/>
    <row r="175288" s="12" customFormat="1" x14ac:dyDescent="0.25"/>
    <row r="175289" s="12" customFormat="1" x14ac:dyDescent="0.25"/>
    <row r="175290" s="12" customFormat="1" x14ac:dyDescent="0.25"/>
    <row r="175291" s="12" customFormat="1" x14ac:dyDescent="0.25"/>
    <row r="175292" s="12" customFormat="1" x14ac:dyDescent="0.25"/>
    <row r="175293" s="12" customFormat="1" x14ac:dyDescent="0.25"/>
    <row r="175294" s="12" customFormat="1" x14ac:dyDescent="0.25"/>
    <row r="175295" s="12" customFormat="1" x14ac:dyDescent="0.25"/>
    <row r="175296" s="12" customFormat="1" x14ac:dyDescent="0.25"/>
    <row r="175297" s="12" customFormat="1" x14ac:dyDescent="0.25"/>
    <row r="175298" s="12" customFormat="1" x14ac:dyDescent="0.25"/>
    <row r="175299" s="12" customFormat="1" x14ac:dyDescent="0.25"/>
    <row r="175300" s="12" customFormat="1" x14ac:dyDescent="0.25"/>
    <row r="175301" s="12" customFormat="1" x14ac:dyDescent="0.25"/>
    <row r="175302" s="12" customFormat="1" x14ac:dyDescent="0.25"/>
    <row r="175303" s="12" customFormat="1" x14ac:dyDescent="0.25"/>
    <row r="175304" s="12" customFormat="1" x14ac:dyDescent="0.25"/>
    <row r="175305" s="12" customFormat="1" x14ac:dyDescent="0.25"/>
    <row r="175306" s="12" customFormat="1" x14ac:dyDescent="0.25"/>
    <row r="175307" s="12" customFormat="1" x14ac:dyDescent="0.25"/>
    <row r="175308" s="12" customFormat="1" x14ac:dyDescent="0.25"/>
    <row r="175309" s="12" customFormat="1" x14ac:dyDescent="0.25"/>
    <row r="175310" s="12" customFormat="1" x14ac:dyDescent="0.25"/>
    <row r="175311" s="12" customFormat="1" x14ac:dyDescent="0.25"/>
    <row r="175312" s="12" customFormat="1" x14ac:dyDescent="0.25"/>
    <row r="175313" s="12" customFormat="1" x14ac:dyDescent="0.25"/>
    <row r="175314" s="12" customFormat="1" x14ac:dyDescent="0.25"/>
    <row r="175315" s="12" customFormat="1" x14ac:dyDescent="0.25"/>
    <row r="175316" s="12" customFormat="1" x14ac:dyDescent="0.25"/>
    <row r="175317" s="12" customFormat="1" x14ac:dyDescent="0.25"/>
    <row r="175318" s="12" customFormat="1" x14ac:dyDescent="0.25"/>
    <row r="175319" s="12" customFormat="1" x14ac:dyDescent="0.25"/>
    <row r="175320" s="12" customFormat="1" x14ac:dyDescent="0.25"/>
    <row r="175321" s="12" customFormat="1" x14ac:dyDescent="0.25"/>
    <row r="175322" s="12" customFormat="1" x14ac:dyDescent="0.25"/>
    <row r="175323" s="12" customFormat="1" x14ac:dyDescent="0.25"/>
    <row r="175324" s="12" customFormat="1" x14ac:dyDescent="0.25"/>
    <row r="175325" s="12" customFormat="1" x14ac:dyDescent="0.25"/>
    <row r="175326" s="12" customFormat="1" x14ac:dyDescent="0.25"/>
    <row r="175327" s="12" customFormat="1" x14ac:dyDescent="0.25"/>
    <row r="175328" s="12" customFormat="1" x14ac:dyDescent="0.25"/>
    <row r="175329" s="12" customFormat="1" x14ac:dyDescent="0.25"/>
    <row r="175330" s="12" customFormat="1" x14ac:dyDescent="0.25"/>
    <row r="175331" s="12" customFormat="1" x14ac:dyDescent="0.25"/>
    <row r="175332" s="12" customFormat="1" x14ac:dyDescent="0.25"/>
    <row r="175333" s="12" customFormat="1" x14ac:dyDescent="0.25"/>
    <row r="175334" s="12" customFormat="1" x14ac:dyDescent="0.25"/>
    <row r="175335" s="12" customFormat="1" x14ac:dyDescent="0.25"/>
    <row r="175336" s="12" customFormat="1" x14ac:dyDescent="0.25"/>
    <row r="175337" s="12" customFormat="1" x14ac:dyDescent="0.25"/>
    <row r="175338" s="12" customFormat="1" x14ac:dyDescent="0.25"/>
    <row r="175339" s="12" customFormat="1" x14ac:dyDescent="0.25"/>
    <row r="175340" s="12" customFormat="1" x14ac:dyDescent="0.25"/>
    <row r="175341" s="12" customFormat="1" x14ac:dyDescent="0.25"/>
    <row r="175342" s="12" customFormat="1" x14ac:dyDescent="0.25"/>
    <row r="175343" s="12" customFormat="1" x14ac:dyDescent="0.25"/>
    <row r="175344" s="12" customFormat="1" x14ac:dyDescent="0.25"/>
    <row r="175345" s="12" customFormat="1" x14ac:dyDescent="0.25"/>
    <row r="175346" s="12" customFormat="1" x14ac:dyDescent="0.25"/>
    <row r="175347" s="12" customFormat="1" x14ac:dyDescent="0.25"/>
    <row r="175348" s="12" customFormat="1" x14ac:dyDescent="0.25"/>
    <row r="175349" s="12" customFormat="1" x14ac:dyDescent="0.25"/>
    <row r="175350" s="12" customFormat="1" x14ac:dyDescent="0.25"/>
    <row r="175351" s="12" customFormat="1" x14ac:dyDescent="0.25"/>
    <row r="175352" s="12" customFormat="1" x14ac:dyDescent="0.25"/>
    <row r="175353" s="12" customFormat="1" x14ac:dyDescent="0.25"/>
    <row r="175354" s="12" customFormat="1" x14ac:dyDescent="0.25"/>
    <row r="175355" s="12" customFormat="1" x14ac:dyDescent="0.25"/>
    <row r="175356" s="12" customFormat="1" x14ac:dyDescent="0.25"/>
    <row r="175357" s="12" customFormat="1" x14ac:dyDescent="0.25"/>
    <row r="175358" s="12" customFormat="1" x14ac:dyDescent="0.25"/>
    <row r="175359" s="12" customFormat="1" x14ac:dyDescent="0.25"/>
    <row r="175360" s="12" customFormat="1" x14ac:dyDescent="0.25"/>
    <row r="175361" s="12" customFormat="1" x14ac:dyDescent="0.25"/>
    <row r="175362" s="12" customFormat="1" x14ac:dyDescent="0.25"/>
    <row r="175363" s="12" customFormat="1" x14ac:dyDescent="0.25"/>
    <row r="175364" s="12" customFormat="1" x14ac:dyDescent="0.25"/>
    <row r="175365" s="12" customFormat="1" x14ac:dyDescent="0.25"/>
    <row r="175366" s="12" customFormat="1" x14ac:dyDescent="0.25"/>
    <row r="175367" s="12" customFormat="1" x14ac:dyDescent="0.25"/>
    <row r="175368" s="12" customFormat="1" x14ac:dyDescent="0.25"/>
    <row r="175369" s="12" customFormat="1" x14ac:dyDescent="0.25"/>
    <row r="175370" s="12" customFormat="1" x14ac:dyDescent="0.25"/>
    <row r="175371" s="12" customFormat="1" x14ac:dyDescent="0.25"/>
    <row r="175372" s="12" customFormat="1" x14ac:dyDescent="0.25"/>
    <row r="175373" s="12" customFormat="1" x14ac:dyDescent="0.25"/>
    <row r="175374" s="12" customFormat="1" x14ac:dyDescent="0.25"/>
    <row r="175375" s="12" customFormat="1" x14ac:dyDescent="0.25"/>
    <row r="175376" s="12" customFormat="1" x14ac:dyDescent="0.25"/>
    <row r="175377" s="12" customFormat="1" x14ac:dyDescent="0.25"/>
    <row r="175378" s="12" customFormat="1" x14ac:dyDescent="0.25"/>
    <row r="175379" s="12" customFormat="1" x14ac:dyDescent="0.25"/>
    <row r="175380" s="12" customFormat="1" x14ac:dyDescent="0.25"/>
    <row r="175381" s="12" customFormat="1" x14ac:dyDescent="0.25"/>
    <row r="175382" s="12" customFormat="1" x14ac:dyDescent="0.25"/>
    <row r="175383" s="12" customFormat="1" x14ac:dyDescent="0.25"/>
    <row r="175384" s="12" customFormat="1" x14ac:dyDescent="0.25"/>
    <row r="175385" s="12" customFormat="1" x14ac:dyDescent="0.25"/>
    <row r="175386" s="12" customFormat="1" x14ac:dyDescent="0.25"/>
    <row r="175387" s="12" customFormat="1" x14ac:dyDescent="0.25"/>
    <row r="175388" s="12" customFormat="1" x14ac:dyDescent="0.25"/>
    <row r="175389" s="12" customFormat="1" x14ac:dyDescent="0.25"/>
    <row r="175390" s="12" customFormat="1" x14ac:dyDescent="0.25"/>
    <row r="175391" s="12" customFormat="1" x14ac:dyDescent="0.25"/>
    <row r="175392" s="12" customFormat="1" x14ac:dyDescent="0.25"/>
    <row r="175393" s="12" customFormat="1" x14ac:dyDescent="0.25"/>
    <row r="175394" s="12" customFormat="1" x14ac:dyDescent="0.25"/>
    <row r="175395" s="12" customFormat="1" x14ac:dyDescent="0.25"/>
    <row r="175396" s="12" customFormat="1" x14ac:dyDescent="0.25"/>
    <row r="175397" s="12" customFormat="1" x14ac:dyDescent="0.25"/>
    <row r="175398" s="12" customFormat="1" x14ac:dyDescent="0.25"/>
    <row r="175399" s="12" customFormat="1" x14ac:dyDescent="0.25"/>
    <row r="175400" s="12" customFormat="1" x14ac:dyDescent="0.25"/>
    <row r="175401" s="12" customFormat="1" x14ac:dyDescent="0.25"/>
    <row r="175402" s="12" customFormat="1" x14ac:dyDescent="0.25"/>
    <row r="175403" s="12" customFormat="1" x14ac:dyDescent="0.25"/>
    <row r="175404" s="12" customFormat="1" x14ac:dyDescent="0.25"/>
    <row r="175405" s="12" customFormat="1" x14ac:dyDescent="0.25"/>
    <row r="175406" s="12" customFormat="1" x14ac:dyDescent="0.25"/>
    <row r="175407" s="12" customFormat="1" x14ac:dyDescent="0.25"/>
    <row r="175408" s="12" customFormat="1" x14ac:dyDescent="0.25"/>
    <row r="175409" s="12" customFormat="1" x14ac:dyDescent="0.25"/>
    <row r="175410" s="12" customFormat="1" x14ac:dyDescent="0.25"/>
    <row r="175411" s="12" customFormat="1" x14ac:dyDescent="0.25"/>
    <row r="175412" s="12" customFormat="1" x14ac:dyDescent="0.25"/>
    <row r="175413" s="12" customFormat="1" x14ac:dyDescent="0.25"/>
    <row r="175414" s="12" customFormat="1" x14ac:dyDescent="0.25"/>
    <row r="175415" s="12" customFormat="1" x14ac:dyDescent="0.25"/>
    <row r="175416" s="12" customFormat="1" x14ac:dyDescent="0.25"/>
    <row r="175417" s="12" customFormat="1" x14ac:dyDescent="0.25"/>
    <row r="175418" s="12" customFormat="1" x14ac:dyDescent="0.25"/>
    <row r="175419" s="12" customFormat="1" x14ac:dyDescent="0.25"/>
    <row r="175420" s="12" customFormat="1" x14ac:dyDescent="0.25"/>
    <row r="175421" s="12" customFormat="1" x14ac:dyDescent="0.25"/>
    <row r="175422" s="12" customFormat="1" x14ac:dyDescent="0.25"/>
    <row r="175423" s="12" customFormat="1" x14ac:dyDescent="0.25"/>
    <row r="175424" s="12" customFormat="1" x14ac:dyDescent="0.25"/>
    <row r="175425" s="12" customFormat="1" x14ac:dyDescent="0.25"/>
    <row r="175426" s="12" customFormat="1" x14ac:dyDescent="0.25"/>
    <row r="175427" s="12" customFormat="1" x14ac:dyDescent="0.25"/>
    <row r="175428" s="12" customFormat="1" x14ac:dyDescent="0.25"/>
    <row r="175429" s="12" customFormat="1" x14ac:dyDescent="0.25"/>
    <row r="175430" s="12" customFormat="1" x14ac:dyDescent="0.25"/>
    <row r="175431" s="12" customFormat="1" x14ac:dyDescent="0.25"/>
    <row r="175432" s="12" customFormat="1" x14ac:dyDescent="0.25"/>
    <row r="175433" s="12" customFormat="1" x14ac:dyDescent="0.25"/>
    <row r="175434" s="12" customFormat="1" x14ac:dyDescent="0.25"/>
    <row r="175435" s="12" customFormat="1" x14ac:dyDescent="0.25"/>
    <row r="175436" s="12" customFormat="1" x14ac:dyDescent="0.25"/>
    <row r="175437" s="12" customFormat="1" x14ac:dyDescent="0.25"/>
    <row r="175438" s="12" customFormat="1" x14ac:dyDescent="0.25"/>
    <row r="175439" s="12" customFormat="1" x14ac:dyDescent="0.25"/>
    <row r="175440" s="12" customFormat="1" x14ac:dyDescent="0.25"/>
    <row r="175441" s="12" customFormat="1" x14ac:dyDescent="0.25"/>
    <row r="175442" s="12" customFormat="1" x14ac:dyDescent="0.25"/>
    <row r="175443" s="12" customFormat="1" x14ac:dyDescent="0.25"/>
    <row r="175444" s="12" customFormat="1" x14ac:dyDescent="0.25"/>
    <row r="175445" s="12" customFormat="1" x14ac:dyDescent="0.25"/>
    <row r="175446" s="12" customFormat="1" x14ac:dyDescent="0.25"/>
    <row r="175447" s="12" customFormat="1" x14ac:dyDescent="0.25"/>
    <row r="175448" s="12" customFormat="1" x14ac:dyDescent="0.25"/>
    <row r="175449" s="12" customFormat="1" x14ac:dyDescent="0.25"/>
    <row r="175450" s="12" customFormat="1" x14ac:dyDescent="0.25"/>
    <row r="175451" s="12" customFormat="1" x14ac:dyDescent="0.25"/>
    <row r="175452" s="12" customFormat="1" x14ac:dyDescent="0.25"/>
    <row r="175453" s="12" customFormat="1" x14ac:dyDescent="0.25"/>
    <row r="175454" s="12" customFormat="1" x14ac:dyDescent="0.25"/>
    <row r="175455" s="12" customFormat="1" x14ac:dyDescent="0.25"/>
    <row r="175456" s="12" customFormat="1" x14ac:dyDescent="0.25"/>
    <row r="175457" s="12" customFormat="1" x14ac:dyDescent="0.25"/>
    <row r="175458" s="12" customFormat="1" x14ac:dyDescent="0.25"/>
    <row r="175459" s="12" customFormat="1" x14ac:dyDescent="0.25"/>
    <row r="175460" s="12" customFormat="1" x14ac:dyDescent="0.25"/>
    <row r="175461" s="12" customFormat="1" x14ac:dyDescent="0.25"/>
    <row r="175462" s="12" customFormat="1" x14ac:dyDescent="0.25"/>
    <row r="175463" s="12" customFormat="1" x14ac:dyDescent="0.25"/>
    <row r="175464" s="12" customFormat="1" x14ac:dyDescent="0.25"/>
    <row r="175465" s="12" customFormat="1" x14ac:dyDescent="0.25"/>
    <row r="175466" s="12" customFormat="1" x14ac:dyDescent="0.25"/>
    <row r="175467" s="12" customFormat="1" x14ac:dyDescent="0.25"/>
    <row r="175468" s="12" customFormat="1" x14ac:dyDescent="0.25"/>
    <row r="175469" s="12" customFormat="1" x14ac:dyDescent="0.25"/>
    <row r="175470" s="12" customFormat="1" x14ac:dyDescent="0.25"/>
    <row r="175471" s="12" customFormat="1" x14ac:dyDescent="0.25"/>
    <row r="175472" s="12" customFormat="1" x14ac:dyDescent="0.25"/>
    <row r="175473" s="12" customFormat="1" x14ac:dyDescent="0.25"/>
    <row r="175474" s="12" customFormat="1" x14ac:dyDescent="0.25"/>
    <row r="175475" s="12" customFormat="1" x14ac:dyDescent="0.25"/>
    <row r="175476" s="12" customFormat="1" x14ac:dyDescent="0.25"/>
    <row r="175477" s="12" customFormat="1" x14ac:dyDescent="0.25"/>
    <row r="175478" s="12" customFormat="1" x14ac:dyDescent="0.25"/>
    <row r="175479" s="12" customFormat="1" x14ac:dyDescent="0.25"/>
    <row r="175480" s="12" customFormat="1" x14ac:dyDescent="0.25"/>
    <row r="175481" s="12" customFormat="1" x14ac:dyDescent="0.25"/>
    <row r="175482" s="12" customFormat="1" x14ac:dyDescent="0.25"/>
    <row r="175483" s="12" customFormat="1" x14ac:dyDescent="0.25"/>
    <row r="175484" s="12" customFormat="1" x14ac:dyDescent="0.25"/>
    <row r="175485" s="12" customFormat="1" x14ac:dyDescent="0.25"/>
    <row r="175486" s="12" customFormat="1" x14ac:dyDescent="0.25"/>
    <row r="175487" s="12" customFormat="1" x14ac:dyDescent="0.25"/>
    <row r="175488" s="12" customFormat="1" x14ac:dyDescent="0.25"/>
    <row r="175489" s="12" customFormat="1" x14ac:dyDescent="0.25"/>
    <row r="175490" s="12" customFormat="1" x14ac:dyDescent="0.25"/>
    <row r="175491" s="12" customFormat="1" x14ac:dyDescent="0.25"/>
    <row r="175492" s="12" customFormat="1" x14ac:dyDescent="0.25"/>
    <row r="175493" s="12" customFormat="1" x14ac:dyDescent="0.25"/>
    <row r="175494" s="12" customFormat="1" x14ac:dyDescent="0.25"/>
    <row r="175495" s="12" customFormat="1" x14ac:dyDescent="0.25"/>
    <row r="175496" s="12" customFormat="1" x14ac:dyDescent="0.25"/>
    <row r="175497" s="12" customFormat="1" x14ac:dyDescent="0.25"/>
    <row r="175498" s="12" customFormat="1" x14ac:dyDescent="0.25"/>
    <row r="175499" s="12" customFormat="1" x14ac:dyDescent="0.25"/>
    <row r="175500" s="12" customFormat="1" x14ac:dyDescent="0.25"/>
    <row r="175501" s="12" customFormat="1" x14ac:dyDescent="0.25"/>
    <row r="175502" s="12" customFormat="1" x14ac:dyDescent="0.25"/>
    <row r="175503" s="12" customFormat="1" x14ac:dyDescent="0.25"/>
    <row r="175504" s="12" customFormat="1" x14ac:dyDescent="0.25"/>
    <row r="175505" s="12" customFormat="1" x14ac:dyDescent="0.25"/>
    <row r="175506" s="12" customFormat="1" x14ac:dyDescent="0.25"/>
    <row r="175507" s="12" customFormat="1" x14ac:dyDescent="0.25"/>
    <row r="175508" s="12" customFormat="1" x14ac:dyDescent="0.25"/>
    <row r="175509" s="12" customFormat="1" x14ac:dyDescent="0.25"/>
    <row r="175510" s="12" customFormat="1" x14ac:dyDescent="0.25"/>
    <row r="175511" s="12" customFormat="1" x14ac:dyDescent="0.25"/>
    <row r="175512" s="12" customFormat="1" x14ac:dyDescent="0.25"/>
    <row r="175513" s="12" customFormat="1" x14ac:dyDescent="0.25"/>
    <row r="175514" s="12" customFormat="1" x14ac:dyDescent="0.25"/>
    <row r="175515" s="12" customFormat="1" x14ac:dyDescent="0.25"/>
    <row r="175516" s="12" customFormat="1" x14ac:dyDescent="0.25"/>
    <row r="175517" s="12" customFormat="1" x14ac:dyDescent="0.25"/>
    <row r="175518" s="12" customFormat="1" x14ac:dyDescent="0.25"/>
    <row r="175519" s="12" customFormat="1" x14ac:dyDescent="0.25"/>
    <row r="175520" s="12" customFormat="1" x14ac:dyDescent="0.25"/>
    <row r="175521" s="12" customFormat="1" x14ac:dyDescent="0.25"/>
    <row r="175522" s="12" customFormat="1" x14ac:dyDescent="0.25"/>
    <row r="175523" s="12" customFormat="1" x14ac:dyDescent="0.25"/>
    <row r="175524" s="12" customFormat="1" x14ac:dyDescent="0.25"/>
    <row r="175525" s="12" customFormat="1" x14ac:dyDescent="0.25"/>
    <row r="175526" s="12" customFormat="1" x14ac:dyDescent="0.25"/>
    <row r="175527" s="12" customFormat="1" x14ac:dyDescent="0.25"/>
    <row r="175528" s="12" customFormat="1" x14ac:dyDescent="0.25"/>
    <row r="175529" s="12" customFormat="1" x14ac:dyDescent="0.25"/>
    <row r="175530" s="12" customFormat="1" x14ac:dyDescent="0.25"/>
    <row r="175531" s="12" customFormat="1" x14ac:dyDescent="0.25"/>
    <row r="175532" s="12" customFormat="1" x14ac:dyDescent="0.25"/>
    <row r="175533" s="12" customFormat="1" x14ac:dyDescent="0.25"/>
    <row r="175534" s="12" customFormat="1" x14ac:dyDescent="0.25"/>
    <row r="175535" s="12" customFormat="1" x14ac:dyDescent="0.25"/>
    <row r="175536" s="12" customFormat="1" x14ac:dyDescent="0.25"/>
    <row r="175537" s="12" customFormat="1" x14ac:dyDescent="0.25"/>
    <row r="175538" s="12" customFormat="1" x14ac:dyDescent="0.25"/>
    <row r="175539" s="12" customFormat="1" x14ac:dyDescent="0.25"/>
    <row r="175540" s="12" customFormat="1" x14ac:dyDescent="0.25"/>
    <row r="175541" s="12" customFormat="1" x14ac:dyDescent="0.25"/>
    <row r="175542" s="12" customFormat="1" x14ac:dyDescent="0.25"/>
    <row r="175543" s="12" customFormat="1" x14ac:dyDescent="0.25"/>
    <row r="175544" s="12" customFormat="1" x14ac:dyDescent="0.25"/>
    <row r="175545" s="12" customFormat="1" x14ac:dyDescent="0.25"/>
    <row r="175546" s="12" customFormat="1" x14ac:dyDescent="0.25"/>
    <row r="175547" s="12" customFormat="1" x14ac:dyDescent="0.25"/>
    <row r="175548" s="12" customFormat="1" x14ac:dyDescent="0.25"/>
    <row r="175549" s="12" customFormat="1" x14ac:dyDescent="0.25"/>
    <row r="175550" s="12" customFormat="1" x14ac:dyDescent="0.25"/>
    <row r="175551" s="12" customFormat="1" x14ac:dyDescent="0.25"/>
    <row r="175552" s="12" customFormat="1" x14ac:dyDescent="0.25"/>
    <row r="175553" s="12" customFormat="1" x14ac:dyDescent="0.25"/>
    <row r="175554" s="12" customFormat="1" x14ac:dyDescent="0.25"/>
    <row r="175555" s="12" customFormat="1" x14ac:dyDescent="0.25"/>
    <row r="175556" s="12" customFormat="1" x14ac:dyDescent="0.25"/>
    <row r="175557" s="12" customFormat="1" x14ac:dyDescent="0.25"/>
    <row r="175558" s="12" customFormat="1" x14ac:dyDescent="0.25"/>
    <row r="175559" s="12" customFormat="1" x14ac:dyDescent="0.25"/>
    <row r="175560" s="12" customFormat="1" x14ac:dyDescent="0.25"/>
    <row r="175561" s="12" customFormat="1" x14ac:dyDescent="0.25"/>
    <row r="175562" s="12" customFormat="1" x14ac:dyDescent="0.25"/>
    <row r="175563" s="12" customFormat="1" x14ac:dyDescent="0.25"/>
    <row r="175564" s="12" customFormat="1" x14ac:dyDescent="0.25"/>
    <row r="175565" s="12" customFormat="1" x14ac:dyDescent="0.25"/>
    <row r="175566" s="12" customFormat="1" x14ac:dyDescent="0.25"/>
    <row r="175567" s="12" customFormat="1" x14ac:dyDescent="0.25"/>
    <row r="175568" s="12" customFormat="1" x14ac:dyDescent="0.25"/>
    <row r="175569" s="12" customFormat="1" x14ac:dyDescent="0.25"/>
    <row r="175570" s="12" customFormat="1" x14ac:dyDescent="0.25"/>
    <row r="175571" s="12" customFormat="1" x14ac:dyDescent="0.25"/>
    <row r="175572" s="12" customFormat="1" x14ac:dyDescent="0.25"/>
    <row r="175573" s="12" customFormat="1" x14ac:dyDescent="0.25"/>
    <row r="175574" s="12" customFormat="1" x14ac:dyDescent="0.25"/>
    <row r="175575" s="12" customFormat="1" x14ac:dyDescent="0.25"/>
    <row r="175576" s="12" customFormat="1" x14ac:dyDescent="0.25"/>
    <row r="175577" s="12" customFormat="1" x14ac:dyDescent="0.25"/>
    <row r="175578" s="12" customFormat="1" x14ac:dyDescent="0.25"/>
    <row r="175579" s="12" customFormat="1" x14ac:dyDescent="0.25"/>
    <row r="175580" s="12" customFormat="1" x14ac:dyDescent="0.25"/>
    <row r="175581" s="12" customFormat="1" x14ac:dyDescent="0.25"/>
    <row r="175582" s="12" customFormat="1" x14ac:dyDescent="0.25"/>
    <row r="175583" s="12" customFormat="1" x14ac:dyDescent="0.25"/>
    <row r="175584" s="12" customFormat="1" x14ac:dyDescent="0.25"/>
    <row r="175585" s="12" customFormat="1" x14ac:dyDescent="0.25"/>
    <row r="175586" s="12" customFormat="1" x14ac:dyDescent="0.25"/>
    <row r="175587" s="12" customFormat="1" x14ac:dyDescent="0.25"/>
    <row r="175588" s="12" customFormat="1" x14ac:dyDescent="0.25"/>
    <row r="175589" s="12" customFormat="1" x14ac:dyDescent="0.25"/>
    <row r="175590" s="12" customFormat="1" x14ac:dyDescent="0.25"/>
    <row r="175591" s="12" customFormat="1" x14ac:dyDescent="0.25"/>
    <row r="175592" s="12" customFormat="1" x14ac:dyDescent="0.25"/>
    <row r="175593" s="12" customFormat="1" x14ac:dyDescent="0.25"/>
    <row r="175594" s="12" customFormat="1" x14ac:dyDescent="0.25"/>
    <row r="175595" s="12" customFormat="1" x14ac:dyDescent="0.25"/>
    <row r="175596" s="12" customFormat="1" x14ac:dyDescent="0.25"/>
    <row r="175597" s="12" customFormat="1" x14ac:dyDescent="0.25"/>
    <row r="175598" s="12" customFormat="1" x14ac:dyDescent="0.25"/>
    <row r="175599" s="12" customFormat="1" x14ac:dyDescent="0.25"/>
    <row r="175600" s="12" customFormat="1" x14ac:dyDescent="0.25"/>
    <row r="175601" s="12" customFormat="1" x14ac:dyDescent="0.25"/>
    <row r="175602" s="12" customFormat="1" x14ac:dyDescent="0.25"/>
    <row r="175603" s="12" customFormat="1" x14ac:dyDescent="0.25"/>
    <row r="175604" s="12" customFormat="1" x14ac:dyDescent="0.25"/>
    <row r="175605" s="12" customFormat="1" x14ac:dyDescent="0.25"/>
    <row r="175606" s="12" customFormat="1" x14ac:dyDescent="0.25"/>
    <row r="175607" s="12" customFormat="1" x14ac:dyDescent="0.25"/>
    <row r="175608" s="12" customFormat="1" x14ac:dyDescent="0.25"/>
    <row r="175609" s="12" customFormat="1" x14ac:dyDescent="0.25"/>
    <row r="175610" s="12" customFormat="1" x14ac:dyDescent="0.25"/>
    <row r="175611" s="12" customFormat="1" x14ac:dyDescent="0.25"/>
    <row r="175612" s="12" customFormat="1" x14ac:dyDescent="0.25"/>
    <row r="175613" s="12" customFormat="1" x14ac:dyDescent="0.25"/>
    <row r="175614" s="12" customFormat="1" x14ac:dyDescent="0.25"/>
    <row r="175615" s="12" customFormat="1" x14ac:dyDescent="0.25"/>
    <row r="175616" s="12" customFormat="1" x14ac:dyDescent="0.25"/>
    <row r="175617" s="12" customFormat="1" x14ac:dyDescent="0.25"/>
    <row r="175618" s="12" customFormat="1" x14ac:dyDescent="0.25"/>
    <row r="175619" s="12" customFormat="1" x14ac:dyDescent="0.25"/>
    <row r="175620" s="12" customFormat="1" x14ac:dyDescent="0.25"/>
    <row r="175621" s="12" customFormat="1" x14ac:dyDescent="0.25"/>
    <row r="175622" s="12" customFormat="1" x14ac:dyDescent="0.25"/>
    <row r="175623" s="12" customFormat="1" x14ac:dyDescent="0.25"/>
    <row r="175624" s="12" customFormat="1" x14ac:dyDescent="0.25"/>
    <row r="175625" s="12" customFormat="1" x14ac:dyDescent="0.25"/>
    <row r="175626" s="12" customFormat="1" x14ac:dyDescent="0.25"/>
    <row r="175627" s="12" customFormat="1" x14ac:dyDescent="0.25"/>
    <row r="175628" s="12" customFormat="1" x14ac:dyDescent="0.25"/>
    <row r="175629" s="12" customFormat="1" x14ac:dyDescent="0.25"/>
    <row r="175630" s="12" customFormat="1" x14ac:dyDescent="0.25"/>
    <row r="175631" s="12" customFormat="1" x14ac:dyDescent="0.25"/>
    <row r="175632" s="12" customFormat="1" x14ac:dyDescent="0.25"/>
    <row r="175633" s="12" customFormat="1" x14ac:dyDescent="0.25"/>
    <row r="175634" s="12" customFormat="1" x14ac:dyDescent="0.25"/>
    <row r="175635" s="12" customFormat="1" x14ac:dyDescent="0.25"/>
    <row r="175636" s="12" customFormat="1" x14ac:dyDescent="0.25"/>
    <row r="175637" s="12" customFormat="1" x14ac:dyDescent="0.25"/>
    <row r="175638" s="12" customFormat="1" x14ac:dyDescent="0.25"/>
    <row r="175639" s="12" customFormat="1" x14ac:dyDescent="0.25"/>
    <row r="175640" s="12" customFormat="1" x14ac:dyDescent="0.25"/>
    <row r="175641" s="12" customFormat="1" x14ac:dyDescent="0.25"/>
    <row r="175642" s="12" customFormat="1" x14ac:dyDescent="0.25"/>
    <row r="175643" s="12" customFormat="1" x14ac:dyDescent="0.25"/>
    <row r="175644" s="12" customFormat="1" x14ac:dyDescent="0.25"/>
    <row r="175645" s="12" customFormat="1" x14ac:dyDescent="0.25"/>
    <row r="175646" s="12" customFormat="1" x14ac:dyDescent="0.25"/>
    <row r="175647" s="12" customFormat="1" x14ac:dyDescent="0.25"/>
    <row r="175648" s="12" customFormat="1" x14ac:dyDescent="0.25"/>
    <row r="175649" s="12" customFormat="1" x14ac:dyDescent="0.25"/>
    <row r="175650" s="12" customFormat="1" x14ac:dyDescent="0.25"/>
    <row r="175651" s="12" customFormat="1" x14ac:dyDescent="0.25"/>
    <row r="175652" s="12" customFormat="1" x14ac:dyDescent="0.25"/>
    <row r="175653" s="12" customFormat="1" x14ac:dyDescent="0.25"/>
    <row r="175654" s="12" customFormat="1" x14ac:dyDescent="0.25"/>
    <row r="175655" s="12" customFormat="1" x14ac:dyDescent="0.25"/>
    <row r="175656" s="12" customFormat="1" x14ac:dyDescent="0.25"/>
    <row r="175657" s="12" customFormat="1" x14ac:dyDescent="0.25"/>
    <row r="175658" s="12" customFormat="1" x14ac:dyDescent="0.25"/>
    <row r="175659" s="12" customFormat="1" x14ac:dyDescent="0.25"/>
    <row r="175660" s="12" customFormat="1" x14ac:dyDescent="0.25"/>
    <row r="175661" s="12" customFormat="1" x14ac:dyDescent="0.25"/>
    <row r="175662" s="12" customFormat="1" x14ac:dyDescent="0.25"/>
    <row r="175663" s="12" customFormat="1" x14ac:dyDescent="0.25"/>
    <row r="175664" s="12" customFormat="1" x14ac:dyDescent="0.25"/>
    <row r="175665" s="12" customFormat="1" x14ac:dyDescent="0.25"/>
    <row r="175666" s="12" customFormat="1" x14ac:dyDescent="0.25"/>
    <row r="175667" s="12" customFormat="1" x14ac:dyDescent="0.25"/>
    <row r="175668" s="12" customFormat="1" x14ac:dyDescent="0.25"/>
    <row r="175669" s="12" customFormat="1" x14ac:dyDescent="0.25"/>
    <row r="175670" s="12" customFormat="1" x14ac:dyDescent="0.25"/>
    <row r="175671" s="12" customFormat="1" x14ac:dyDescent="0.25"/>
    <row r="175672" s="12" customFormat="1" x14ac:dyDescent="0.25"/>
    <row r="175673" s="12" customFormat="1" x14ac:dyDescent="0.25"/>
    <row r="175674" s="12" customFormat="1" x14ac:dyDescent="0.25"/>
    <row r="175675" s="12" customFormat="1" x14ac:dyDescent="0.25"/>
    <row r="175676" s="12" customFormat="1" x14ac:dyDescent="0.25"/>
    <row r="175677" s="12" customFormat="1" x14ac:dyDescent="0.25"/>
    <row r="175678" s="12" customFormat="1" x14ac:dyDescent="0.25"/>
    <row r="175679" s="12" customFormat="1" x14ac:dyDescent="0.25"/>
    <row r="175680" s="12" customFormat="1" x14ac:dyDescent="0.25"/>
    <row r="175681" s="12" customFormat="1" x14ac:dyDescent="0.25"/>
    <row r="175682" s="12" customFormat="1" x14ac:dyDescent="0.25"/>
    <row r="175683" s="12" customFormat="1" x14ac:dyDescent="0.25"/>
    <row r="175684" s="12" customFormat="1" x14ac:dyDescent="0.25"/>
    <row r="175685" s="12" customFormat="1" x14ac:dyDescent="0.25"/>
    <row r="175686" s="12" customFormat="1" x14ac:dyDescent="0.25"/>
    <row r="175687" s="12" customFormat="1" x14ac:dyDescent="0.25"/>
    <row r="175688" s="12" customFormat="1" x14ac:dyDescent="0.25"/>
    <row r="175689" s="12" customFormat="1" x14ac:dyDescent="0.25"/>
    <row r="175690" s="12" customFormat="1" x14ac:dyDescent="0.25"/>
    <row r="175691" s="12" customFormat="1" x14ac:dyDescent="0.25"/>
    <row r="175692" s="12" customFormat="1" x14ac:dyDescent="0.25"/>
    <row r="175693" s="12" customFormat="1" x14ac:dyDescent="0.25"/>
    <row r="175694" s="12" customFormat="1" x14ac:dyDescent="0.25"/>
    <row r="175695" s="12" customFormat="1" x14ac:dyDescent="0.25"/>
    <row r="175696" s="12" customFormat="1" x14ac:dyDescent="0.25"/>
    <row r="175697" s="12" customFormat="1" x14ac:dyDescent="0.25"/>
    <row r="175698" s="12" customFormat="1" x14ac:dyDescent="0.25"/>
    <row r="175699" s="12" customFormat="1" x14ac:dyDescent="0.25"/>
    <row r="175700" s="12" customFormat="1" x14ac:dyDescent="0.25"/>
    <row r="175701" s="12" customFormat="1" x14ac:dyDescent="0.25"/>
    <row r="175702" s="12" customFormat="1" x14ac:dyDescent="0.25"/>
    <row r="175703" s="12" customFormat="1" x14ac:dyDescent="0.25"/>
    <row r="175704" s="12" customFormat="1" x14ac:dyDescent="0.25"/>
    <row r="175705" s="12" customFormat="1" x14ac:dyDescent="0.25"/>
    <row r="175706" s="12" customFormat="1" x14ac:dyDescent="0.25"/>
    <row r="175707" s="12" customFormat="1" x14ac:dyDescent="0.25"/>
    <row r="175708" s="12" customFormat="1" x14ac:dyDescent="0.25"/>
    <row r="175709" s="12" customFormat="1" x14ac:dyDescent="0.25"/>
    <row r="175710" s="12" customFormat="1" x14ac:dyDescent="0.25"/>
    <row r="175711" s="12" customFormat="1" x14ac:dyDescent="0.25"/>
    <row r="175712" s="12" customFormat="1" x14ac:dyDescent="0.25"/>
    <row r="175713" s="12" customFormat="1" x14ac:dyDescent="0.25"/>
    <row r="175714" s="12" customFormat="1" x14ac:dyDescent="0.25"/>
    <row r="175715" s="12" customFormat="1" x14ac:dyDescent="0.25"/>
    <row r="175716" s="12" customFormat="1" x14ac:dyDescent="0.25"/>
    <row r="175717" s="12" customFormat="1" x14ac:dyDescent="0.25"/>
    <row r="175718" s="12" customFormat="1" x14ac:dyDescent="0.25"/>
    <row r="175719" s="12" customFormat="1" x14ac:dyDescent="0.25"/>
    <row r="175720" s="12" customFormat="1" x14ac:dyDescent="0.25"/>
    <row r="175721" s="12" customFormat="1" x14ac:dyDescent="0.25"/>
    <row r="175722" s="12" customFormat="1" x14ac:dyDescent="0.25"/>
    <row r="175723" s="12" customFormat="1" x14ac:dyDescent="0.25"/>
    <row r="175724" s="12" customFormat="1" x14ac:dyDescent="0.25"/>
    <row r="175725" s="12" customFormat="1" x14ac:dyDescent="0.25"/>
    <row r="175726" s="12" customFormat="1" x14ac:dyDescent="0.25"/>
    <row r="175727" s="12" customFormat="1" x14ac:dyDescent="0.25"/>
    <row r="175728" s="12" customFormat="1" x14ac:dyDescent="0.25"/>
    <row r="175729" s="12" customFormat="1" x14ac:dyDescent="0.25"/>
    <row r="175730" s="12" customFormat="1" x14ac:dyDescent="0.25"/>
    <row r="175731" s="12" customFormat="1" x14ac:dyDescent="0.25"/>
    <row r="175732" s="12" customFormat="1" x14ac:dyDescent="0.25"/>
    <row r="175733" s="12" customFormat="1" x14ac:dyDescent="0.25"/>
    <row r="175734" s="12" customFormat="1" x14ac:dyDescent="0.25"/>
    <row r="175735" s="12" customFormat="1" x14ac:dyDescent="0.25"/>
    <row r="175736" s="12" customFormat="1" x14ac:dyDescent="0.25"/>
    <row r="175737" s="12" customFormat="1" x14ac:dyDescent="0.25"/>
    <row r="175738" s="12" customFormat="1" x14ac:dyDescent="0.25"/>
    <row r="175739" s="12" customFormat="1" x14ac:dyDescent="0.25"/>
    <row r="175740" s="12" customFormat="1" x14ac:dyDescent="0.25"/>
    <row r="175741" s="12" customFormat="1" x14ac:dyDescent="0.25"/>
    <row r="175742" s="12" customFormat="1" x14ac:dyDescent="0.25"/>
    <row r="175743" s="12" customFormat="1" x14ac:dyDescent="0.25"/>
    <row r="175744" s="12" customFormat="1" x14ac:dyDescent="0.25"/>
    <row r="175745" s="12" customFormat="1" x14ac:dyDescent="0.25"/>
    <row r="175746" s="12" customFormat="1" x14ac:dyDescent="0.25"/>
    <row r="175747" s="12" customFormat="1" x14ac:dyDescent="0.25"/>
    <row r="175748" s="12" customFormat="1" x14ac:dyDescent="0.25"/>
    <row r="175749" s="12" customFormat="1" x14ac:dyDescent="0.25"/>
    <row r="175750" s="12" customFormat="1" x14ac:dyDescent="0.25"/>
    <row r="175751" s="12" customFormat="1" x14ac:dyDescent="0.25"/>
    <row r="175752" s="12" customFormat="1" x14ac:dyDescent="0.25"/>
    <row r="175753" s="12" customFormat="1" x14ac:dyDescent="0.25"/>
    <row r="175754" s="12" customFormat="1" x14ac:dyDescent="0.25"/>
    <row r="175755" s="12" customFormat="1" x14ac:dyDescent="0.25"/>
    <row r="175756" s="12" customFormat="1" x14ac:dyDescent="0.25"/>
    <row r="175757" s="12" customFormat="1" x14ac:dyDescent="0.25"/>
    <row r="175758" s="12" customFormat="1" x14ac:dyDescent="0.25"/>
    <row r="175759" s="12" customFormat="1" x14ac:dyDescent="0.25"/>
    <row r="175760" s="12" customFormat="1" x14ac:dyDescent="0.25"/>
    <row r="175761" s="12" customFormat="1" x14ac:dyDescent="0.25"/>
    <row r="175762" s="12" customFormat="1" x14ac:dyDescent="0.25"/>
    <row r="175763" s="12" customFormat="1" x14ac:dyDescent="0.25"/>
    <row r="175764" s="12" customFormat="1" x14ac:dyDescent="0.25"/>
    <row r="175765" s="12" customFormat="1" x14ac:dyDescent="0.25"/>
    <row r="175766" s="12" customFormat="1" x14ac:dyDescent="0.25"/>
    <row r="175767" s="12" customFormat="1" x14ac:dyDescent="0.25"/>
    <row r="175768" s="12" customFormat="1" x14ac:dyDescent="0.25"/>
    <row r="175769" s="12" customFormat="1" x14ac:dyDescent="0.25"/>
    <row r="175770" s="12" customFormat="1" x14ac:dyDescent="0.25"/>
    <row r="175771" s="12" customFormat="1" x14ac:dyDescent="0.25"/>
    <row r="175772" s="12" customFormat="1" x14ac:dyDescent="0.25"/>
    <row r="175773" s="12" customFormat="1" x14ac:dyDescent="0.25"/>
    <row r="175774" s="12" customFormat="1" x14ac:dyDescent="0.25"/>
    <row r="175775" s="12" customFormat="1" x14ac:dyDescent="0.25"/>
    <row r="175776" s="12" customFormat="1" x14ac:dyDescent="0.25"/>
    <row r="175777" s="12" customFormat="1" x14ac:dyDescent="0.25"/>
    <row r="175778" s="12" customFormat="1" x14ac:dyDescent="0.25"/>
    <row r="175779" s="12" customFormat="1" x14ac:dyDescent="0.25"/>
    <row r="175780" s="12" customFormat="1" x14ac:dyDescent="0.25"/>
    <row r="175781" s="12" customFormat="1" x14ac:dyDescent="0.25"/>
    <row r="175782" s="12" customFormat="1" x14ac:dyDescent="0.25"/>
    <row r="175783" s="12" customFormat="1" x14ac:dyDescent="0.25"/>
    <row r="175784" s="12" customFormat="1" x14ac:dyDescent="0.25"/>
    <row r="175785" s="12" customFormat="1" x14ac:dyDescent="0.25"/>
    <row r="175786" s="12" customFormat="1" x14ac:dyDescent="0.25"/>
    <row r="175787" s="12" customFormat="1" x14ac:dyDescent="0.25"/>
    <row r="175788" s="12" customFormat="1" x14ac:dyDescent="0.25"/>
    <row r="175789" s="12" customFormat="1" x14ac:dyDescent="0.25"/>
    <row r="175790" s="12" customFormat="1" x14ac:dyDescent="0.25"/>
    <row r="175791" s="12" customFormat="1" x14ac:dyDescent="0.25"/>
    <row r="175792" s="12" customFormat="1" x14ac:dyDescent="0.25"/>
    <row r="175793" s="12" customFormat="1" x14ac:dyDescent="0.25"/>
    <row r="175794" s="12" customFormat="1" x14ac:dyDescent="0.25"/>
    <row r="175795" s="12" customFormat="1" x14ac:dyDescent="0.25"/>
    <row r="175796" s="12" customFormat="1" x14ac:dyDescent="0.25"/>
    <row r="175797" s="12" customFormat="1" x14ac:dyDescent="0.25"/>
    <row r="175798" s="12" customFormat="1" x14ac:dyDescent="0.25"/>
    <row r="175799" s="12" customFormat="1" x14ac:dyDescent="0.25"/>
    <row r="175800" s="12" customFormat="1" x14ac:dyDescent="0.25"/>
    <row r="175801" s="12" customFormat="1" x14ac:dyDescent="0.25"/>
    <row r="175802" s="12" customFormat="1" x14ac:dyDescent="0.25"/>
    <row r="175803" s="12" customFormat="1" x14ac:dyDescent="0.25"/>
    <row r="175804" s="12" customFormat="1" x14ac:dyDescent="0.25"/>
    <row r="175805" s="12" customFormat="1" x14ac:dyDescent="0.25"/>
    <row r="175806" s="12" customFormat="1" x14ac:dyDescent="0.25"/>
    <row r="175807" s="12" customFormat="1" x14ac:dyDescent="0.25"/>
    <row r="175808" s="12" customFormat="1" x14ac:dyDescent="0.25"/>
    <row r="175809" s="12" customFormat="1" x14ac:dyDescent="0.25"/>
    <row r="175810" s="12" customFormat="1" x14ac:dyDescent="0.25"/>
    <row r="175811" s="12" customFormat="1" x14ac:dyDescent="0.25"/>
    <row r="175812" s="12" customFormat="1" x14ac:dyDescent="0.25"/>
    <row r="175813" s="12" customFormat="1" x14ac:dyDescent="0.25"/>
    <row r="175814" s="12" customFormat="1" x14ac:dyDescent="0.25"/>
    <row r="175815" s="12" customFormat="1" x14ac:dyDescent="0.25"/>
    <row r="175816" s="12" customFormat="1" x14ac:dyDescent="0.25"/>
    <row r="175817" s="12" customFormat="1" x14ac:dyDescent="0.25"/>
    <row r="175818" s="12" customFormat="1" x14ac:dyDescent="0.25"/>
    <row r="175819" s="12" customFormat="1" x14ac:dyDescent="0.25"/>
    <row r="175820" s="12" customFormat="1" x14ac:dyDescent="0.25"/>
    <row r="175821" s="12" customFormat="1" x14ac:dyDescent="0.25"/>
    <row r="175822" s="12" customFormat="1" x14ac:dyDescent="0.25"/>
    <row r="175823" s="12" customFormat="1" x14ac:dyDescent="0.25"/>
    <row r="175824" s="12" customFormat="1" x14ac:dyDescent="0.25"/>
    <row r="175825" s="12" customFormat="1" x14ac:dyDescent="0.25"/>
    <row r="175826" s="12" customFormat="1" x14ac:dyDescent="0.25"/>
    <row r="175827" s="12" customFormat="1" x14ac:dyDescent="0.25"/>
    <row r="175828" s="12" customFormat="1" x14ac:dyDescent="0.25"/>
    <row r="175829" s="12" customFormat="1" x14ac:dyDescent="0.25"/>
    <row r="175830" s="12" customFormat="1" x14ac:dyDescent="0.25"/>
    <row r="175831" s="12" customFormat="1" x14ac:dyDescent="0.25"/>
    <row r="175832" s="12" customFormat="1" x14ac:dyDescent="0.25"/>
    <row r="175833" s="12" customFormat="1" x14ac:dyDescent="0.25"/>
    <row r="175834" s="12" customFormat="1" x14ac:dyDescent="0.25"/>
    <row r="175835" s="12" customFormat="1" x14ac:dyDescent="0.25"/>
    <row r="175836" s="12" customFormat="1" x14ac:dyDescent="0.25"/>
    <row r="175837" s="12" customFormat="1" x14ac:dyDescent="0.25"/>
    <row r="175838" s="12" customFormat="1" x14ac:dyDescent="0.25"/>
    <row r="175839" s="12" customFormat="1" x14ac:dyDescent="0.25"/>
    <row r="175840" s="12" customFormat="1" x14ac:dyDescent="0.25"/>
    <row r="175841" s="12" customFormat="1" x14ac:dyDescent="0.25"/>
    <row r="175842" s="12" customFormat="1" x14ac:dyDescent="0.25"/>
    <row r="175843" s="12" customFormat="1" x14ac:dyDescent="0.25"/>
    <row r="175844" s="12" customFormat="1" x14ac:dyDescent="0.25"/>
    <row r="175845" s="12" customFormat="1" x14ac:dyDescent="0.25"/>
    <row r="175846" s="12" customFormat="1" x14ac:dyDescent="0.25"/>
    <row r="175847" s="12" customFormat="1" x14ac:dyDescent="0.25"/>
    <row r="175848" s="12" customFormat="1" x14ac:dyDescent="0.25"/>
    <row r="175849" s="12" customFormat="1" x14ac:dyDescent="0.25"/>
    <row r="175850" s="12" customFormat="1" x14ac:dyDescent="0.25"/>
    <row r="175851" s="12" customFormat="1" x14ac:dyDescent="0.25"/>
    <row r="175852" s="12" customFormat="1" x14ac:dyDescent="0.25"/>
    <row r="175853" s="12" customFormat="1" x14ac:dyDescent="0.25"/>
    <row r="175854" s="12" customFormat="1" x14ac:dyDescent="0.25"/>
    <row r="175855" s="12" customFormat="1" x14ac:dyDescent="0.25"/>
    <row r="175856" s="12" customFormat="1" x14ac:dyDescent="0.25"/>
    <row r="175857" s="12" customFormat="1" x14ac:dyDescent="0.25"/>
    <row r="175858" s="12" customFormat="1" x14ac:dyDescent="0.25"/>
    <row r="175859" s="12" customFormat="1" x14ac:dyDescent="0.25"/>
    <row r="175860" s="12" customFormat="1" x14ac:dyDescent="0.25"/>
    <row r="175861" s="12" customFormat="1" x14ac:dyDescent="0.25"/>
    <row r="175862" s="12" customFormat="1" x14ac:dyDescent="0.25"/>
    <row r="175863" s="12" customFormat="1" x14ac:dyDescent="0.25"/>
    <row r="175864" s="12" customFormat="1" x14ac:dyDescent="0.25"/>
    <row r="175865" s="12" customFormat="1" x14ac:dyDescent="0.25"/>
    <row r="175866" s="12" customFormat="1" x14ac:dyDescent="0.25"/>
    <row r="175867" s="12" customFormat="1" x14ac:dyDescent="0.25"/>
    <row r="175868" s="12" customFormat="1" x14ac:dyDescent="0.25"/>
    <row r="175869" s="12" customFormat="1" x14ac:dyDescent="0.25"/>
    <row r="175870" s="12" customFormat="1" x14ac:dyDescent="0.25"/>
    <row r="175871" s="12" customFormat="1" x14ac:dyDescent="0.25"/>
    <row r="175872" s="12" customFormat="1" x14ac:dyDescent="0.25"/>
    <row r="175873" s="12" customFormat="1" x14ac:dyDescent="0.25"/>
    <row r="175874" s="12" customFormat="1" x14ac:dyDescent="0.25"/>
    <row r="175875" s="12" customFormat="1" x14ac:dyDescent="0.25"/>
    <row r="175876" s="12" customFormat="1" x14ac:dyDescent="0.25"/>
    <row r="175877" s="12" customFormat="1" x14ac:dyDescent="0.25"/>
    <row r="175878" s="12" customFormat="1" x14ac:dyDescent="0.25"/>
    <row r="175879" s="12" customFormat="1" x14ac:dyDescent="0.25"/>
    <row r="175880" s="12" customFormat="1" x14ac:dyDescent="0.25"/>
    <row r="175881" s="12" customFormat="1" x14ac:dyDescent="0.25"/>
    <row r="175882" s="12" customFormat="1" x14ac:dyDescent="0.25"/>
    <row r="175883" s="12" customFormat="1" x14ac:dyDescent="0.25"/>
    <row r="175884" s="12" customFormat="1" x14ac:dyDescent="0.25"/>
    <row r="175885" s="12" customFormat="1" x14ac:dyDescent="0.25"/>
    <row r="175886" s="12" customFormat="1" x14ac:dyDescent="0.25"/>
    <row r="175887" s="12" customFormat="1" x14ac:dyDescent="0.25"/>
    <row r="175888" s="12" customFormat="1" x14ac:dyDescent="0.25"/>
    <row r="175889" s="12" customFormat="1" x14ac:dyDescent="0.25"/>
    <row r="175890" s="12" customFormat="1" x14ac:dyDescent="0.25"/>
    <row r="175891" s="12" customFormat="1" x14ac:dyDescent="0.25"/>
    <row r="175892" s="12" customFormat="1" x14ac:dyDescent="0.25"/>
    <row r="175893" s="12" customFormat="1" x14ac:dyDescent="0.25"/>
    <row r="175894" s="12" customFormat="1" x14ac:dyDescent="0.25"/>
    <row r="175895" s="12" customFormat="1" x14ac:dyDescent="0.25"/>
    <row r="175896" s="12" customFormat="1" x14ac:dyDescent="0.25"/>
    <row r="175897" s="12" customFormat="1" x14ac:dyDescent="0.25"/>
    <row r="175898" s="12" customFormat="1" x14ac:dyDescent="0.25"/>
    <row r="175899" s="12" customFormat="1" x14ac:dyDescent="0.25"/>
    <row r="175900" s="12" customFormat="1" x14ac:dyDescent="0.25"/>
    <row r="175901" s="12" customFormat="1" x14ac:dyDescent="0.25"/>
    <row r="175902" s="12" customFormat="1" x14ac:dyDescent="0.25"/>
    <row r="175903" s="12" customFormat="1" x14ac:dyDescent="0.25"/>
    <row r="175904" s="12" customFormat="1" x14ac:dyDescent="0.25"/>
    <row r="175905" s="12" customFormat="1" x14ac:dyDescent="0.25"/>
    <row r="175906" s="12" customFormat="1" x14ac:dyDescent="0.25"/>
    <row r="175907" s="12" customFormat="1" x14ac:dyDescent="0.25"/>
    <row r="175908" s="12" customFormat="1" x14ac:dyDescent="0.25"/>
    <row r="175909" s="12" customFormat="1" x14ac:dyDescent="0.25"/>
    <row r="175910" s="12" customFormat="1" x14ac:dyDescent="0.25"/>
    <row r="175911" s="12" customFormat="1" x14ac:dyDescent="0.25"/>
    <row r="175912" s="12" customFormat="1" x14ac:dyDescent="0.25"/>
    <row r="175913" s="12" customFormat="1" x14ac:dyDescent="0.25"/>
    <row r="175914" s="12" customFormat="1" x14ac:dyDescent="0.25"/>
    <row r="175915" s="12" customFormat="1" x14ac:dyDescent="0.25"/>
    <row r="175916" s="12" customFormat="1" x14ac:dyDescent="0.25"/>
    <row r="175917" s="12" customFormat="1" x14ac:dyDescent="0.25"/>
    <row r="175918" s="12" customFormat="1" x14ac:dyDescent="0.25"/>
    <row r="175919" s="12" customFormat="1" x14ac:dyDescent="0.25"/>
    <row r="175920" s="12" customFormat="1" x14ac:dyDescent="0.25"/>
    <row r="175921" s="12" customFormat="1" x14ac:dyDescent="0.25"/>
    <row r="175922" s="12" customFormat="1" x14ac:dyDescent="0.25"/>
    <row r="175923" s="12" customFormat="1" x14ac:dyDescent="0.25"/>
    <row r="175924" s="12" customFormat="1" x14ac:dyDescent="0.25"/>
    <row r="175925" s="12" customFormat="1" x14ac:dyDescent="0.25"/>
    <row r="175926" s="12" customFormat="1" x14ac:dyDescent="0.25"/>
    <row r="175927" s="12" customFormat="1" x14ac:dyDescent="0.25"/>
    <row r="175928" s="12" customFormat="1" x14ac:dyDescent="0.25"/>
    <row r="175929" s="12" customFormat="1" x14ac:dyDescent="0.25"/>
    <row r="175930" s="12" customFormat="1" x14ac:dyDescent="0.25"/>
    <row r="175931" s="12" customFormat="1" x14ac:dyDescent="0.25"/>
    <row r="175932" s="12" customFormat="1" x14ac:dyDescent="0.25"/>
    <row r="175933" s="12" customFormat="1" x14ac:dyDescent="0.25"/>
    <row r="175934" s="12" customFormat="1" x14ac:dyDescent="0.25"/>
    <row r="175935" s="12" customFormat="1" x14ac:dyDescent="0.25"/>
    <row r="175936" s="12" customFormat="1" x14ac:dyDescent="0.25"/>
    <row r="175937" s="12" customFormat="1" x14ac:dyDescent="0.25"/>
    <row r="175938" s="12" customFormat="1" x14ac:dyDescent="0.25"/>
    <row r="175939" s="12" customFormat="1" x14ac:dyDescent="0.25"/>
    <row r="175940" s="12" customFormat="1" x14ac:dyDescent="0.25"/>
    <row r="175941" s="12" customFormat="1" x14ac:dyDescent="0.25"/>
    <row r="175942" s="12" customFormat="1" x14ac:dyDescent="0.25"/>
    <row r="175943" s="12" customFormat="1" x14ac:dyDescent="0.25"/>
    <row r="175944" s="12" customFormat="1" x14ac:dyDescent="0.25"/>
    <row r="175945" s="12" customFormat="1" x14ac:dyDescent="0.25"/>
    <row r="175946" s="12" customFormat="1" x14ac:dyDescent="0.25"/>
    <row r="175947" s="12" customFormat="1" x14ac:dyDescent="0.25"/>
    <row r="175948" s="12" customFormat="1" x14ac:dyDescent="0.25"/>
    <row r="175949" s="12" customFormat="1" x14ac:dyDescent="0.25"/>
    <row r="175950" s="12" customFormat="1" x14ac:dyDescent="0.25"/>
    <row r="175951" s="12" customFormat="1" x14ac:dyDescent="0.25"/>
    <row r="175952" s="12" customFormat="1" x14ac:dyDescent="0.25"/>
    <row r="175953" s="12" customFormat="1" x14ac:dyDescent="0.25"/>
    <row r="175954" s="12" customFormat="1" x14ac:dyDescent="0.25"/>
    <row r="175955" s="12" customFormat="1" x14ac:dyDescent="0.25"/>
    <row r="175956" s="12" customFormat="1" x14ac:dyDescent="0.25"/>
    <row r="175957" s="12" customFormat="1" x14ac:dyDescent="0.25"/>
    <row r="175958" s="12" customFormat="1" x14ac:dyDescent="0.25"/>
    <row r="175959" s="12" customFormat="1" x14ac:dyDescent="0.25"/>
    <row r="175960" s="12" customFormat="1" x14ac:dyDescent="0.25"/>
    <row r="175961" s="12" customFormat="1" x14ac:dyDescent="0.25"/>
    <row r="175962" s="12" customFormat="1" x14ac:dyDescent="0.25"/>
    <row r="175963" s="12" customFormat="1" x14ac:dyDescent="0.25"/>
    <row r="175964" s="12" customFormat="1" x14ac:dyDescent="0.25"/>
    <row r="175965" s="12" customFormat="1" x14ac:dyDescent="0.25"/>
    <row r="175966" s="12" customFormat="1" x14ac:dyDescent="0.25"/>
    <row r="175967" s="12" customFormat="1" x14ac:dyDescent="0.25"/>
    <row r="175968" s="12" customFormat="1" x14ac:dyDescent="0.25"/>
    <row r="175969" s="12" customFormat="1" x14ac:dyDescent="0.25"/>
    <row r="175970" s="12" customFormat="1" x14ac:dyDescent="0.25"/>
    <row r="175971" s="12" customFormat="1" x14ac:dyDescent="0.25"/>
    <row r="175972" s="12" customFormat="1" x14ac:dyDescent="0.25"/>
    <row r="175973" s="12" customFormat="1" x14ac:dyDescent="0.25"/>
    <row r="175974" s="12" customFormat="1" x14ac:dyDescent="0.25"/>
    <row r="175975" s="12" customFormat="1" x14ac:dyDescent="0.25"/>
    <row r="175976" s="12" customFormat="1" x14ac:dyDescent="0.25"/>
    <row r="175977" s="12" customFormat="1" x14ac:dyDescent="0.25"/>
    <row r="175978" s="12" customFormat="1" x14ac:dyDescent="0.25"/>
    <row r="175979" s="12" customFormat="1" x14ac:dyDescent="0.25"/>
    <row r="175980" s="12" customFormat="1" x14ac:dyDescent="0.25"/>
    <row r="175981" s="12" customFormat="1" x14ac:dyDescent="0.25"/>
    <row r="175982" s="12" customFormat="1" x14ac:dyDescent="0.25"/>
    <row r="175983" s="12" customFormat="1" x14ac:dyDescent="0.25"/>
    <row r="175984" s="12" customFormat="1" x14ac:dyDescent="0.25"/>
    <row r="175985" s="12" customFormat="1" x14ac:dyDescent="0.25"/>
    <row r="175986" s="12" customFormat="1" x14ac:dyDescent="0.25"/>
    <row r="175987" s="12" customFormat="1" x14ac:dyDescent="0.25"/>
    <row r="175988" s="12" customFormat="1" x14ac:dyDescent="0.25"/>
    <row r="175989" s="12" customFormat="1" x14ac:dyDescent="0.25"/>
    <row r="175990" s="12" customFormat="1" x14ac:dyDescent="0.25"/>
    <row r="175991" s="12" customFormat="1" x14ac:dyDescent="0.25"/>
    <row r="175992" s="12" customFormat="1" x14ac:dyDescent="0.25"/>
    <row r="175993" s="12" customFormat="1" x14ac:dyDescent="0.25"/>
    <row r="175994" s="12" customFormat="1" x14ac:dyDescent="0.25"/>
    <row r="175995" s="12" customFormat="1" x14ac:dyDescent="0.25"/>
    <row r="175996" s="12" customFormat="1" x14ac:dyDescent="0.25"/>
    <row r="175997" s="12" customFormat="1" x14ac:dyDescent="0.25"/>
    <row r="175998" s="12" customFormat="1" x14ac:dyDescent="0.25"/>
    <row r="175999" s="12" customFormat="1" x14ac:dyDescent="0.25"/>
    <row r="176000" s="12" customFormat="1" x14ac:dyDescent="0.25"/>
    <row r="176001" s="12" customFormat="1" x14ac:dyDescent="0.25"/>
    <row r="176002" s="12" customFormat="1" x14ac:dyDescent="0.25"/>
    <row r="176003" s="12" customFormat="1" x14ac:dyDescent="0.25"/>
    <row r="176004" s="12" customFormat="1" x14ac:dyDescent="0.25"/>
    <row r="176005" s="12" customFormat="1" x14ac:dyDescent="0.25"/>
    <row r="176006" s="12" customFormat="1" x14ac:dyDescent="0.25"/>
    <row r="176007" s="12" customFormat="1" x14ac:dyDescent="0.25"/>
    <row r="176008" s="12" customFormat="1" x14ac:dyDescent="0.25"/>
    <row r="176009" s="12" customFormat="1" x14ac:dyDescent="0.25"/>
    <row r="176010" s="12" customFormat="1" x14ac:dyDescent="0.25"/>
    <row r="176011" s="12" customFormat="1" x14ac:dyDescent="0.25"/>
    <row r="176012" s="12" customFormat="1" x14ac:dyDescent="0.25"/>
    <row r="176013" s="12" customFormat="1" x14ac:dyDescent="0.25"/>
    <row r="176014" s="12" customFormat="1" x14ac:dyDescent="0.25"/>
    <row r="176015" s="12" customFormat="1" x14ac:dyDescent="0.25"/>
    <row r="176016" s="12" customFormat="1" x14ac:dyDescent="0.25"/>
    <row r="176017" s="12" customFormat="1" x14ac:dyDescent="0.25"/>
    <row r="176018" s="12" customFormat="1" x14ac:dyDescent="0.25"/>
    <row r="176019" s="12" customFormat="1" x14ac:dyDescent="0.25"/>
    <row r="176020" s="12" customFormat="1" x14ac:dyDescent="0.25"/>
    <row r="176021" s="12" customFormat="1" x14ac:dyDescent="0.25"/>
    <row r="176022" s="12" customFormat="1" x14ac:dyDescent="0.25"/>
    <row r="176023" s="12" customFormat="1" x14ac:dyDescent="0.25"/>
    <row r="176024" s="12" customFormat="1" x14ac:dyDescent="0.25"/>
    <row r="176025" s="12" customFormat="1" x14ac:dyDescent="0.25"/>
    <row r="176026" s="12" customFormat="1" x14ac:dyDescent="0.25"/>
    <row r="176027" s="12" customFormat="1" x14ac:dyDescent="0.25"/>
    <row r="176028" s="12" customFormat="1" x14ac:dyDescent="0.25"/>
    <row r="176029" s="12" customFormat="1" x14ac:dyDescent="0.25"/>
    <row r="176030" s="12" customFormat="1" x14ac:dyDescent="0.25"/>
    <row r="176031" s="12" customFormat="1" x14ac:dyDescent="0.25"/>
    <row r="176032" s="12" customFormat="1" x14ac:dyDescent="0.25"/>
    <row r="176033" s="12" customFormat="1" x14ac:dyDescent="0.25"/>
    <row r="176034" s="12" customFormat="1" x14ac:dyDescent="0.25"/>
    <row r="176035" s="12" customFormat="1" x14ac:dyDescent="0.25"/>
    <row r="176036" s="12" customFormat="1" x14ac:dyDescent="0.25"/>
    <row r="176037" s="12" customFormat="1" x14ac:dyDescent="0.25"/>
    <row r="176038" s="12" customFormat="1" x14ac:dyDescent="0.25"/>
    <row r="176039" s="12" customFormat="1" x14ac:dyDescent="0.25"/>
    <row r="176040" s="12" customFormat="1" x14ac:dyDescent="0.25"/>
    <row r="176041" s="12" customFormat="1" x14ac:dyDescent="0.25"/>
    <row r="176042" s="12" customFormat="1" x14ac:dyDescent="0.25"/>
    <row r="176043" s="12" customFormat="1" x14ac:dyDescent="0.25"/>
    <row r="176044" s="12" customFormat="1" x14ac:dyDescent="0.25"/>
    <row r="176045" s="12" customFormat="1" x14ac:dyDescent="0.25"/>
    <row r="176046" s="12" customFormat="1" x14ac:dyDescent="0.25"/>
    <row r="176047" s="12" customFormat="1" x14ac:dyDescent="0.25"/>
    <row r="176048" s="12" customFormat="1" x14ac:dyDescent="0.25"/>
    <row r="176049" s="12" customFormat="1" x14ac:dyDescent="0.25"/>
    <row r="176050" s="12" customFormat="1" x14ac:dyDescent="0.25"/>
    <row r="176051" s="12" customFormat="1" x14ac:dyDescent="0.25"/>
    <row r="176052" s="12" customFormat="1" x14ac:dyDescent="0.25"/>
    <row r="176053" s="12" customFormat="1" x14ac:dyDescent="0.25"/>
    <row r="176054" s="12" customFormat="1" x14ac:dyDescent="0.25"/>
    <row r="176055" s="12" customFormat="1" x14ac:dyDescent="0.25"/>
    <row r="176056" s="12" customFormat="1" x14ac:dyDescent="0.25"/>
    <row r="176057" s="12" customFormat="1" x14ac:dyDescent="0.25"/>
    <row r="176058" s="12" customFormat="1" x14ac:dyDescent="0.25"/>
    <row r="176059" s="12" customFormat="1" x14ac:dyDescent="0.25"/>
    <row r="176060" s="12" customFormat="1" x14ac:dyDescent="0.25"/>
    <row r="176061" s="12" customFormat="1" x14ac:dyDescent="0.25"/>
    <row r="176062" s="12" customFormat="1" x14ac:dyDescent="0.25"/>
    <row r="176063" s="12" customFormat="1" x14ac:dyDescent="0.25"/>
    <row r="176064" s="12" customFormat="1" x14ac:dyDescent="0.25"/>
    <row r="176065" s="12" customFormat="1" x14ac:dyDescent="0.25"/>
    <row r="176066" s="12" customFormat="1" x14ac:dyDescent="0.25"/>
    <row r="176067" s="12" customFormat="1" x14ac:dyDescent="0.25"/>
    <row r="176068" s="12" customFormat="1" x14ac:dyDescent="0.25"/>
    <row r="176069" s="12" customFormat="1" x14ac:dyDescent="0.25"/>
    <row r="176070" s="12" customFormat="1" x14ac:dyDescent="0.25"/>
    <row r="176071" s="12" customFormat="1" x14ac:dyDescent="0.25"/>
    <row r="176072" s="12" customFormat="1" x14ac:dyDescent="0.25"/>
    <row r="176073" s="12" customFormat="1" x14ac:dyDescent="0.25"/>
    <row r="176074" s="12" customFormat="1" x14ac:dyDescent="0.25"/>
    <row r="176075" s="12" customFormat="1" x14ac:dyDescent="0.25"/>
    <row r="176076" s="12" customFormat="1" x14ac:dyDescent="0.25"/>
    <row r="176077" s="12" customFormat="1" x14ac:dyDescent="0.25"/>
    <row r="176078" s="12" customFormat="1" x14ac:dyDescent="0.25"/>
    <row r="176079" s="12" customFormat="1" x14ac:dyDescent="0.25"/>
    <row r="176080" s="12" customFormat="1" x14ac:dyDescent="0.25"/>
    <row r="176081" s="12" customFormat="1" x14ac:dyDescent="0.25"/>
    <row r="176082" s="12" customFormat="1" x14ac:dyDescent="0.25"/>
    <row r="176083" s="12" customFormat="1" x14ac:dyDescent="0.25"/>
    <row r="176084" s="12" customFormat="1" x14ac:dyDescent="0.25"/>
    <row r="176085" s="12" customFormat="1" x14ac:dyDescent="0.25"/>
    <row r="176086" s="12" customFormat="1" x14ac:dyDescent="0.25"/>
    <row r="176087" s="12" customFormat="1" x14ac:dyDescent="0.25"/>
    <row r="176088" s="12" customFormat="1" x14ac:dyDescent="0.25"/>
    <row r="176089" s="12" customFormat="1" x14ac:dyDescent="0.25"/>
    <row r="176090" s="12" customFormat="1" x14ac:dyDescent="0.25"/>
    <row r="176091" s="12" customFormat="1" x14ac:dyDescent="0.25"/>
    <row r="176092" s="12" customFormat="1" x14ac:dyDescent="0.25"/>
    <row r="176093" s="12" customFormat="1" x14ac:dyDescent="0.25"/>
    <row r="176094" s="12" customFormat="1" x14ac:dyDescent="0.25"/>
    <row r="176095" s="12" customFormat="1" x14ac:dyDescent="0.25"/>
    <row r="176096" s="12" customFormat="1" x14ac:dyDescent="0.25"/>
    <row r="176097" s="12" customFormat="1" x14ac:dyDescent="0.25"/>
    <row r="176098" s="12" customFormat="1" x14ac:dyDescent="0.25"/>
    <row r="176099" s="12" customFormat="1" x14ac:dyDescent="0.25"/>
    <row r="176100" s="12" customFormat="1" x14ac:dyDescent="0.25"/>
    <row r="176101" s="12" customFormat="1" x14ac:dyDescent="0.25"/>
    <row r="176102" s="12" customFormat="1" x14ac:dyDescent="0.25"/>
    <row r="176103" s="12" customFormat="1" x14ac:dyDescent="0.25"/>
    <row r="176104" s="12" customFormat="1" x14ac:dyDescent="0.25"/>
    <row r="176105" s="12" customFormat="1" x14ac:dyDescent="0.25"/>
    <row r="176106" s="12" customFormat="1" x14ac:dyDescent="0.25"/>
    <row r="176107" s="12" customFormat="1" x14ac:dyDescent="0.25"/>
    <row r="176108" s="12" customFormat="1" x14ac:dyDescent="0.25"/>
    <row r="176109" s="12" customFormat="1" x14ac:dyDescent="0.25"/>
    <row r="176110" s="12" customFormat="1" x14ac:dyDescent="0.25"/>
    <row r="176111" s="12" customFormat="1" x14ac:dyDescent="0.25"/>
    <row r="176112" s="12" customFormat="1" x14ac:dyDescent="0.25"/>
    <row r="176113" s="12" customFormat="1" x14ac:dyDescent="0.25"/>
    <row r="176114" s="12" customFormat="1" x14ac:dyDescent="0.25"/>
    <row r="176115" s="12" customFormat="1" x14ac:dyDescent="0.25"/>
    <row r="176116" s="12" customFormat="1" x14ac:dyDescent="0.25"/>
    <row r="176117" s="12" customFormat="1" x14ac:dyDescent="0.25"/>
    <row r="176118" s="12" customFormat="1" x14ac:dyDescent="0.25"/>
    <row r="176119" s="12" customFormat="1" x14ac:dyDescent="0.25"/>
    <row r="176120" s="12" customFormat="1" x14ac:dyDescent="0.25"/>
    <row r="176121" s="12" customFormat="1" x14ac:dyDescent="0.25"/>
    <row r="176122" s="12" customFormat="1" x14ac:dyDescent="0.25"/>
    <row r="176123" s="12" customFormat="1" x14ac:dyDescent="0.25"/>
    <row r="176124" s="12" customFormat="1" x14ac:dyDescent="0.25"/>
    <row r="176125" s="12" customFormat="1" x14ac:dyDescent="0.25"/>
    <row r="176126" s="12" customFormat="1" x14ac:dyDescent="0.25"/>
    <row r="176127" s="12" customFormat="1" x14ac:dyDescent="0.25"/>
    <row r="176128" s="12" customFormat="1" x14ac:dyDescent="0.25"/>
    <row r="176129" s="12" customFormat="1" x14ac:dyDescent="0.25"/>
    <row r="176130" s="12" customFormat="1" x14ac:dyDescent="0.25"/>
    <row r="176131" s="12" customFormat="1" x14ac:dyDescent="0.25"/>
    <row r="176132" s="12" customFormat="1" x14ac:dyDescent="0.25"/>
    <row r="176133" s="12" customFormat="1" x14ac:dyDescent="0.25"/>
    <row r="176134" s="12" customFormat="1" x14ac:dyDescent="0.25"/>
    <row r="176135" s="12" customFormat="1" x14ac:dyDescent="0.25"/>
    <row r="176136" s="12" customFormat="1" x14ac:dyDescent="0.25"/>
    <row r="176137" s="12" customFormat="1" x14ac:dyDescent="0.25"/>
    <row r="176138" s="12" customFormat="1" x14ac:dyDescent="0.25"/>
    <row r="176139" s="12" customFormat="1" x14ac:dyDescent="0.25"/>
    <row r="176140" s="12" customFormat="1" x14ac:dyDescent="0.25"/>
    <row r="176141" s="12" customFormat="1" x14ac:dyDescent="0.25"/>
    <row r="176142" s="12" customFormat="1" x14ac:dyDescent="0.25"/>
    <row r="176143" s="12" customFormat="1" x14ac:dyDescent="0.25"/>
    <row r="176144" s="12" customFormat="1" x14ac:dyDescent="0.25"/>
    <row r="176145" s="12" customFormat="1" x14ac:dyDescent="0.25"/>
    <row r="176146" s="12" customFormat="1" x14ac:dyDescent="0.25"/>
    <row r="176147" s="12" customFormat="1" x14ac:dyDescent="0.25"/>
    <row r="176148" s="12" customFormat="1" x14ac:dyDescent="0.25"/>
    <row r="176149" s="12" customFormat="1" x14ac:dyDescent="0.25"/>
    <row r="176150" s="12" customFormat="1" x14ac:dyDescent="0.25"/>
    <row r="176151" s="12" customFormat="1" x14ac:dyDescent="0.25"/>
    <row r="176152" s="12" customFormat="1" x14ac:dyDescent="0.25"/>
    <row r="176153" s="12" customFormat="1" x14ac:dyDescent="0.25"/>
    <row r="176154" s="12" customFormat="1" x14ac:dyDescent="0.25"/>
    <row r="176155" s="12" customFormat="1" x14ac:dyDescent="0.25"/>
    <row r="176156" s="12" customFormat="1" x14ac:dyDescent="0.25"/>
    <row r="176157" s="12" customFormat="1" x14ac:dyDescent="0.25"/>
    <row r="176158" s="12" customFormat="1" x14ac:dyDescent="0.25"/>
    <row r="176159" s="12" customFormat="1" x14ac:dyDescent="0.25"/>
    <row r="176160" s="12" customFormat="1" x14ac:dyDescent="0.25"/>
    <row r="176161" s="12" customFormat="1" x14ac:dyDescent="0.25"/>
    <row r="176162" s="12" customFormat="1" x14ac:dyDescent="0.25"/>
    <row r="176163" s="12" customFormat="1" x14ac:dyDescent="0.25"/>
    <row r="176164" s="12" customFormat="1" x14ac:dyDescent="0.25"/>
    <row r="176165" s="12" customFormat="1" x14ac:dyDescent="0.25"/>
    <row r="176166" s="12" customFormat="1" x14ac:dyDescent="0.25"/>
    <row r="176167" s="12" customFormat="1" x14ac:dyDescent="0.25"/>
    <row r="176168" s="12" customFormat="1" x14ac:dyDescent="0.25"/>
    <row r="176169" s="12" customFormat="1" x14ac:dyDescent="0.25"/>
    <row r="176170" s="12" customFormat="1" x14ac:dyDescent="0.25"/>
    <row r="176171" s="12" customFormat="1" x14ac:dyDescent="0.25"/>
    <row r="176172" s="12" customFormat="1" x14ac:dyDescent="0.25"/>
    <row r="176173" s="12" customFormat="1" x14ac:dyDescent="0.25"/>
    <row r="176174" s="12" customFormat="1" x14ac:dyDescent="0.25"/>
    <row r="176175" s="12" customFormat="1" x14ac:dyDescent="0.25"/>
    <row r="176176" s="12" customFormat="1" x14ac:dyDescent="0.25"/>
    <row r="176177" s="12" customFormat="1" x14ac:dyDescent="0.25"/>
    <row r="176178" s="12" customFormat="1" x14ac:dyDescent="0.25"/>
    <row r="176179" s="12" customFormat="1" x14ac:dyDescent="0.25"/>
    <row r="176180" s="12" customFormat="1" x14ac:dyDescent="0.25"/>
    <row r="176181" s="12" customFormat="1" x14ac:dyDescent="0.25"/>
    <row r="176182" s="12" customFormat="1" x14ac:dyDescent="0.25"/>
    <row r="176183" s="12" customFormat="1" x14ac:dyDescent="0.25"/>
    <row r="176184" s="12" customFormat="1" x14ac:dyDescent="0.25"/>
    <row r="176185" s="12" customFormat="1" x14ac:dyDescent="0.25"/>
    <row r="176186" s="12" customFormat="1" x14ac:dyDescent="0.25"/>
    <row r="176187" s="12" customFormat="1" x14ac:dyDescent="0.25"/>
    <row r="176188" s="12" customFormat="1" x14ac:dyDescent="0.25"/>
    <row r="176189" s="12" customFormat="1" x14ac:dyDescent="0.25"/>
    <row r="176190" s="12" customFormat="1" x14ac:dyDescent="0.25"/>
    <row r="176191" s="12" customFormat="1" x14ac:dyDescent="0.25"/>
    <row r="176192" s="12" customFormat="1" x14ac:dyDescent="0.25"/>
    <row r="176193" s="12" customFormat="1" x14ac:dyDescent="0.25"/>
    <row r="176194" s="12" customFormat="1" x14ac:dyDescent="0.25"/>
    <row r="176195" s="12" customFormat="1" x14ac:dyDescent="0.25"/>
    <row r="176196" s="12" customFormat="1" x14ac:dyDescent="0.25"/>
    <row r="176197" s="12" customFormat="1" x14ac:dyDescent="0.25"/>
    <row r="176198" s="12" customFormat="1" x14ac:dyDescent="0.25"/>
    <row r="176199" s="12" customFormat="1" x14ac:dyDescent="0.25"/>
    <row r="176200" s="12" customFormat="1" x14ac:dyDescent="0.25"/>
    <row r="176201" s="12" customFormat="1" x14ac:dyDescent="0.25"/>
    <row r="176202" s="12" customFormat="1" x14ac:dyDescent="0.25"/>
    <row r="176203" s="12" customFormat="1" x14ac:dyDescent="0.25"/>
    <row r="176204" s="12" customFormat="1" x14ac:dyDescent="0.25"/>
    <row r="176205" s="12" customFormat="1" x14ac:dyDescent="0.25"/>
    <row r="176206" s="12" customFormat="1" x14ac:dyDescent="0.25"/>
    <row r="176207" s="12" customFormat="1" x14ac:dyDescent="0.25"/>
    <row r="176208" s="12" customFormat="1" x14ac:dyDescent="0.25"/>
    <row r="176209" s="12" customFormat="1" x14ac:dyDescent="0.25"/>
    <row r="176210" s="12" customFormat="1" x14ac:dyDescent="0.25"/>
    <row r="176211" s="12" customFormat="1" x14ac:dyDescent="0.25"/>
    <row r="176212" s="12" customFormat="1" x14ac:dyDescent="0.25"/>
    <row r="176213" s="12" customFormat="1" x14ac:dyDescent="0.25"/>
    <row r="176214" s="12" customFormat="1" x14ac:dyDescent="0.25"/>
    <row r="176215" s="12" customFormat="1" x14ac:dyDescent="0.25"/>
    <row r="176216" s="12" customFormat="1" x14ac:dyDescent="0.25"/>
    <row r="176217" s="12" customFormat="1" x14ac:dyDescent="0.25"/>
    <row r="176218" s="12" customFormat="1" x14ac:dyDescent="0.25"/>
    <row r="176219" s="12" customFormat="1" x14ac:dyDescent="0.25"/>
    <row r="176220" s="12" customFormat="1" x14ac:dyDescent="0.25"/>
    <row r="176221" s="12" customFormat="1" x14ac:dyDescent="0.25"/>
    <row r="176222" s="12" customFormat="1" x14ac:dyDescent="0.25"/>
    <row r="176223" s="12" customFormat="1" x14ac:dyDescent="0.25"/>
    <row r="176224" s="12" customFormat="1" x14ac:dyDescent="0.25"/>
    <row r="176225" s="12" customFormat="1" x14ac:dyDescent="0.25"/>
    <row r="176226" s="12" customFormat="1" x14ac:dyDescent="0.25"/>
    <row r="176227" s="12" customFormat="1" x14ac:dyDescent="0.25"/>
    <row r="176228" s="12" customFormat="1" x14ac:dyDescent="0.25"/>
    <row r="176229" s="12" customFormat="1" x14ac:dyDescent="0.25"/>
    <row r="176230" s="12" customFormat="1" x14ac:dyDescent="0.25"/>
    <row r="176231" s="12" customFormat="1" x14ac:dyDescent="0.25"/>
    <row r="176232" s="12" customFormat="1" x14ac:dyDescent="0.25"/>
    <row r="176233" s="12" customFormat="1" x14ac:dyDescent="0.25"/>
    <row r="176234" s="12" customFormat="1" x14ac:dyDescent="0.25"/>
    <row r="176235" s="12" customFormat="1" x14ac:dyDescent="0.25"/>
    <row r="176236" s="12" customFormat="1" x14ac:dyDescent="0.25"/>
    <row r="176237" s="12" customFormat="1" x14ac:dyDescent="0.25"/>
    <row r="176238" s="12" customFormat="1" x14ac:dyDescent="0.25"/>
    <row r="176239" s="12" customFormat="1" x14ac:dyDescent="0.25"/>
    <row r="176240" s="12" customFormat="1" x14ac:dyDescent="0.25"/>
    <row r="176241" s="12" customFormat="1" x14ac:dyDescent="0.25"/>
    <row r="176242" s="12" customFormat="1" x14ac:dyDescent="0.25"/>
    <row r="176243" s="12" customFormat="1" x14ac:dyDescent="0.25"/>
    <row r="176244" s="12" customFormat="1" x14ac:dyDescent="0.25"/>
    <row r="176245" s="12" customFormat="1" x14ac:dyDescent="0.25"/>
    <row r="176246" s="12" customFormat="1" x14ac:dyDescent="0.25"/>
    <row r="176247" s="12" customFormat="1" x14ac:dyDescent="0.25"/>
    <row r="176248" s="12" customFormat="1" x14ac:dyDescent="0.25"/>
    <row r="176249" s="12" customFormat="1" x14ac:dyDescent="0.25"/>
    <row r="176250" s="12" customFormat="1" x14ac:dyDescent="0.25"/>
    <row r="176251" s="12" customFormat="1" x14ac:dyDescent="0.25"/>
    <row r="176252" s="12" customFormat="1" x14ac:dyDescent="0.25"/>
    <row r="176253" s="12" customFormat="1" x14ac:dyDescent="0.25"/>
    <row r="176254" s="12" customFormat="1" x14ac:dyDescent="0.25"/>
    <row r="176255" s="12" customFormat="1" x14ac:dyDescent="0.25"/>
    <row r="176256" s="12" customFormat="1" x14ac:dyDescent="0.25"/>
    <row r="176257" s="12" customFormat="1" x14ac:dyDescent="0.25"/>
    <row r="176258" s="12" customFormat="1" x14ac:dyDescent="0.25"/>
    <row r="176259" s="12" customFormat="1" x14ac:dyDescent="0.25"/>
    <row r="176260" s="12" customFormat="1" x14ac:dyDescent="0.25"/>
    <row r="176261" s="12" customFormat="1" x14ac:dyDescent="0.25"/>
    <row r="176262" s="12" customFormat="1" x14ac:dyDescent="0.25"/>
    <row r="176263" s="12" customFormat="1" x14ac:dyDescent="0.25"/>
    <row r="176264" s="12" customFormat="1" x14ac:dyDescent="0.25"/>
    <row r="176265" s="12" customFormat="1" x14ac:dyDescent="0.25"/>
    <row r="176266" s="12" customFormat="1" x14ac:dyDescent="0.25"/>
    <row r="176267" s="12" customFormat="1" x14ac:dyDescent="0.25"/>
    <row r="176268" s="12" customFormat="1" x14ac:dyDescent="0.25"/>
    <row r="176269" s="12" customFormat="1" x14ac:dyDescent="0.25"/>
    <row r="176270" s="12" customFormat="1" x14ac:dyDescent="0.25"/>
    <row r="176271" s="12" customFormat="1" x14ac:dyDescent="0.25"/>
    <row r="176272" s="12" customFormat="1" x14ac:dyDescent="0.25"/>
    <row r="176273" s="12" customFormat="1" x14ac:dyDescent="0.25"/>
    <row r="176274" s="12" customFormat="1" x14ac:dyDescent="0.25"/>
    <row r="176275" s="12" customFormat="1" x14ac:dyDescent="0.25"/>
    <row r="176276" s="12" customFormat="1" x14ac:dyDescent="0.25"/>
    <row r="176277" s="12" customFormat="1" x14ac:dyDescent="0.25"/>
    <row r="176278" s="12" customFormat="1" x14ac:dyDescent="0.25"/>
    <row r="176279" s="12" customFormat="1" x14ac:dyDescent="0.25"/>
    <row r="176280" s="12" customFormat="1" x14ac:dyDescent="0.25"/>
    <row r="176281" s="12" customFormat="1" x14ac:dyDescent="0.25"/>
    <row r="176282" s="12" customFormat="1" x14ac:dyDescent="0.25"/>
    <row r="176283" s="12" customFormat="1" x14ac:dyDescent="0.25"/>
    <row r="176284" s="12" customFormat="1" x14ac:dyDescent="0.25"/>
    <row r="176285" s="12" customFormat="1" x14ac:dyDescent="0.25"/>
    <row r="176286" s="12" customFormat="1" x14ac:dyDescent="0.25"/>
    <row r="176287" s="12" customFormat="1" x14ac:dyDescent="0.25"/>
    <row r="176288" s="12" customFormat="1" x14ac:dyDescent="0.25"/>
    <row r="176289" s="12" customFormat="1" x14ac:dyDescent="0.25"/>
    <row r="176290" s="12" customFormat="1" x14ac:dyDescent="0.25"/>
    <row r="176291" s="12" customFormat="1" x14ac:dyDescent="0.25"/>
    <row r="176292" s="12" customFormat="1" x14ac:dyDescent="0.25"/>
    <row r="176293" s="12" customFormat="1" x14ac:dyDescent="0.25"/>
    <row r="176294" s="12" customFormat="1" x14ac:dyDescent="0.25"/>
    <row r="176295" s="12" customFormat="1" x14ac:dyDescent="0.25"/>
    <row r="176296" s="12" customFormat="1" x14ac:dyDescent="0.25"/>
    <row r="176297" s="12" customFormat="1" x14ac:dyDescent="0.25"/>
    <row r="176298" s="12" customFormat="1" x14ac:dyDescent="0.25"/>
    <row r="176299" s="12" customFormat="1" x14ac:dyDescent="0.25"/>
    <row r="176300" s="12" customFormat="1" x14ac:dyDescent="0.25"/>
    <row r="176301" s="12" customFormat="1" x14ac:dyDescent="0.25"/>
    <row r="176302" s="12" customFormat="1" x14ac:dyDescent="0.25"/>
    <row r="176303" s="12" customFormat="1" x14ac:dyDescent="0.25"/>
    <row r="176304" s="12" customFormat="1" x14ac:dyDescent="0.25"/>
    <row r="176305" s="12" customFormat="1" x14ac:dyDescent="0.25"/>
    <row r="176306" s="12" customFormat="1" x14ac:dyDescent="0.25"/>
    <row r="176307" s="12" customFormat="1" x14ac:dyDescent="0.25"/>
    <row r="176308" s="12" customFormat="1" x14ac:dyDescent="0.25"/>
    <row r="176309" s="12" customFormat="1" x14ac:dyDescent="0.25"/>
    <row r="176310" s="12" customFormat="1" x14ac:dyDescent="0.25"/>
    <row r="176311" s="12" customFormat="1" x14ac:dyDescent="0.25"/>
    <row r="176312" s="12" customFormat="1" x14ac:dyDescent="0.25"/>
    <row r="176313" s="12" customFormat="1" x14ac:dyDescent="0.25"/>
    <row r="176314" s="12" customFormat="1" x14ac:dyDescent="0.25"/>
    <row r="176315" s="12" customFormat="1" x14ac:dyDescent="0.25"/>
    <row r="176316" s="12" customFormat="1" x14ac:dyDescent="0.25"/>
    <row r="176317" s="12" customFormat="1" x14ac:dyDescent="0.25"/>
    <row r="176318" s="12" customFormat="1" x14ac:dyDescent="0.25"/>
    <row r="176319" s="12" customFormat="1" x14ac:dyDescent="0.25"/>
    <row r="176320" s="12" customFormat="1" x14ac:dyDescent="0.25"/>
    <row r="176321" s="12" customFormat="1" x14ac:dyDescent="0.25"/>
    <row r="176322" s="12" customFormat="1" x14ac:dyDescent="0.25"/>
    <row r="176323" s="12" customFormat="1" x14ac:dyDescent="0.25"/>
    <row r="176324" s="12" customFormat="1" x14ac:dyDescent="0.25"/>
    <row r="176325" s="12" customFormat="1" x14ac:dyDescent="0.25"/>
    <row r="176326" s="12" customFormat="1" x14ac:dyDescent="0.25"/>
    <row r="176327" s="12" customFormat="1" x14ac:dyDescent="0.25"/>
    <row r="176328" s="12" customFormat="1" x14ac:dyDescent="0.25"/>
    <row r="176329" s="12" customFormat="1" x14ac:dyDescent="0.25"/>
    <row r="176330" s="12" customFormat="1" x14ac:dyDescent="0.25"/>
    <row r="176331" s="12" customFormat="1" x14ac:dyDescent="0.25"/>
    <row r="176332" s="12" customFormat="1" x14ac:dyDescent="0.25"/>
    <row r="176333" s="12" customFormat="1" x14ac:dyDescent="0.25"/>
    <row r="176334" s="12" customFormat="1" x14ac:dyDescent="0.25"/>
    <row r="176335" s="12" customFormat="1" x14ac:dyDescent="0.25"/>
    <row r="176336" s="12" customFormat="1" x14ac:dyDescent="0.25"/>
    <row r="176337" s="12" customFormat="1" x14ac:dyDescent="0.25"/>
    <row r="176338" s="12" customFormat="1" x14ac:dyDescent="0.25"/>
    <row r="176339" s="12" customFormat="1" x14ac:dyDescent="0.25"/>
    <row r="176340" s="12" customFormat="1" x14ac:dyDescent="0.25"/>
    <row r="176341" s="12" customFormat="1" x14ac:dyDescent="0.25"/>
    <row r="176342" s="12" customFormat="1" x14ac:dyDescent="0.25"/>
    <row r="176343" s="12" customFormat="1" x14ac:dyDescent="0.25"/>
    <row r="176344" s="12" customFormat="1" x14ac:dyDescent="0.25"/>
    <row r="176345" s="12" customFormat="1" x14ac:dyDescent="0.25"/>
    <row r="176346" s="12" customFormat="1" x14ac:dyDescent="0.25"/>
    <row r="176347" s="12" customFormat="1" x14ac:dyDescent="0.25"/>
    <row r="176348" s="12" customFormat="1" x14ac:dyDescent="0.25"/>
    <row r="176349" s="12" customFormat="1" x14ac:dyDescent="0.25"/>
    <row r="176350" s="12" customFormat="1" x14ac:dyDescent="0.25"/>
    <row r="176351" s="12" customFormat="1" x14ac:dyDescent="0.25"/>
    <row r="176352" s="12" customFormat="1" x14ac:dyDescent="0.25"/>
    <row r="176353" s="12" customFormat="1" x14ac:dyDescent="0.25"/>
    <row r="176354" s="12" customFormat="1" x14ac:dyDescent="0.25"/>
    <row r="176355" s="12" customFormat="1" x14ac:dyDescent="0.25"/>
    <row r="176356" s="12" customFormat="1" x14ac:dyDescent="0.25"/>
    <row r="176357" s="12" customFormat="1" x14ac:dyDescent="0.25"/>
    <row r="176358" s="12" customFormat="1" x14ac:dyDescent="0.25"/>
    <row r="176359" s="12" customFormat="1" x14ac:dyDescent="0.25"/>
    <row r="176360" s="12" customFormat="1" x14ac:dyDescent="0.25"/>
    <row r="176361" s="12" customFormat="1" x14ac:dyDescent="0.25"/>
    <row r="176362" s="12" customFormat="1" x14ac:dyDescent="0.25"/>
    <row r="176363" s="12" customFormat="1" x14ac:dyDescent="0.25"/>
    <row r="176364" s="12" customFormat="1" x14ac:dyDescent="0.25"/>
    <row r="176365" s="12" customFormat="1" x14ac:dyDescent="0.25"/>
    <row r="176366" s="12" customFormat="1" x14ac:dyDescent="0.25"/>
    <row r="176367" s="12" customFormat="1" x14ac:dyDescent="0.25"/>
    <row r="176368" s="12" customFormat="1" x14ac:dyDescent="0.25"/>
    <row r="176369" s="12" customFormat="1" x14ac:dyDescent="0.25"/>
    <row r="176370" s="12" customFormat="1" x14ac:dyDescent="0.25"/>
    <row r="176371" s="12" customFormat="1" x14ac:dyDescent="0.25"/>
    <row r="176372" s="12" customFormat="1" x14ac:dyDescent="0.25"/>
    <row r="176373" s="12" customFormat="1" x14ac:dyDescent="0.25"/>
    <row r="176374" s="12" customFormat="1" x14ac:dyDescent="0.25"/>
    <row r="176375" s="12" customFormat="1" x14ac:dyDescent="0.25"/>
    <row r="176376" s="12" customFormat="1" x14ac:dyDescent="0.25"/>
    <row r="176377" s="12" customFormat="1" x14ac:dyDescent="0.25"/>
    <row r="176378" s="12" customFormat="1" x14ac:dyDescent="0.25"/>
    <row r="176379" s="12" customFormat="1" x14ac:dyDescent="0.25"/>
    <row r="176380" s="12" customFormat="1" x14ac:dyDescent="0.25"/>
    <row r="176381" s="12" customFormat="1" x14ac:dyDescent="0.25"/>
    <row r="176382" s="12" customFormat="1" x14ac:dyDescent="0.25"/>
    <row r="176383" s="12" customFormat="1" x14ac:dyDescent="0.25"/>
    <row r="176384" s="12" customFormat="1" x14ac:dyDescent="0.25"/>
    <row r="176385" s="12" customFormat="1" x14ac:dyDescent="0.25"/>
    <row r="176386" s="12" customFormat="1" x14ac:dyDescent="0.25"/>
    <row r="176387" s="12" customFormat="1" x14ac:dyDescent="0.25"/>
    <row r="176388" s="12" customFormat="1" x14ac:dyDescent="0.25"/>
    <row r="176389" s="12" customFormat="1" x14ac:dyDescent="0.25"/>
    <row r="176390" s="12" customFormat="1" x14ac:dyDescent="0.25"/>
    <row r="176391" s="12" customFormat="1" x14ac:dyDescent="0.25"/>
    <row r="176392" s="12" customFormat="1" x14ac:dyDescent="0.25"/>
    <row r="176393" s="12" customFormat="1" x14ac:dyDescent="0.25"/>
    <row r="176394" s="12" customFormat="1" x14ac:dyDescent="0.25"/>
    <row r="176395" s="12" customFormat="1" x14ac:dyDescent="0.25"/>
    <row r="176396" s="12" customFormat="1" x14ac:dyDescent="0.25"/>
    <row r="176397" s="12" customFormat="1" x14ac:dyDescent="0.25"/>
    <row r="176398" s="12" customFormat="1" x14ac:dyDescent="0.25"/>
    <row r="176399" s="12" customFormat="1" x14ac:dyDescent="0.25"/>
    <row r="176400" s="12" customFormat="1" x14ac:dyDescent="0.25"/>
    <row r="176401" s="12" customFormat="1" x14ac:dyDescent="0.25"/>
    <row r="176402" s="12" customFormat="1" x14ac:dyDescent="0.25"/>
    <row r="176403" s="12" customFormat="1" x14ac:dyDescent="0.25"/>
    <row r="176404" s="12" customFormat="1" x14ac:dyDescent="0.25"/>
    <row r="176405" s="12" customFormat="1" x14ac:dyDescent="0.25"/>
    <row r="176406" s="12" customFormat="1" x14ac:dyDescent="0.25"/>
    <row r="176407" s="12" customFormat="1" x14ac:dyDescent="0.25"/>
    <row r="176408" s="12" customFormat="1" x14ac:dyDescent="0.25"/>
    <row r="176409" s="12" customFormat="1" x14ac:dyDescent="0.25"/>
    <row r="176410" s="12" customFormat="1" x14ac:dyDescent="0.25"/>
    <row r="176411" s="12" customFormat="1" x14ac:dyDescent="0.25"/>
    <row r="176412" s="12" customFormat="1" x14ac:dyDescent="0.25"/>
    <row r="176413" s="12" customFormat="1" x14ac:dyDescent="0.25"/>
    <row r="176414" s="12" customFormat="1" x14ac:dyDescent="0.25"/>
    <row r="176415" s="12" customFormat="1" x14ac:dyDescent="0.25"/>
    <row r="176416" s="12" customFormat="1" x14ac:dyDescent="0.25"/>
    <row r="176417" s="12" customFormat="1" x14ac:dyDescent="0.25"/>
    <row r="176418" s="12" customFormat="1" x14ac:dyDescent="0.25"/>
    <row r="176419" s="12" customFormat="1" x14ac:dyDescent="0.25"/>
    <row r="176420" s="12" customFormat="1" x14ac:dyDescent="0.25"/>
    <row r="176421" s="12" customFormat="1" x14ac:dyDescent="0.25"/>
    <row r="176422" s="12" customFormat="1" x14ac:dyDescent="0.25"/>
    <row r="176423" s="12" customFormat="1" x14ac:dyDescent="0.25"/>
    <row r="176424" s="12" customFormat="1" x14ac:dyDescent="0.25"/>
    <row r="176425" s="12" customFormat="1" x14ac:dyDescent="0.25"/>
    <row r="176426" s="12" customFormat="1" x14ac:dyDescent="0.25"/>
    <row r="176427" s="12" customFormat="1" x14ac:dyDescent="0.25"/>
    <row r="176428" s="12" customFormat="1" x14ac:dyDescent="0.25"/>
    <row r="176429" s="12" customFormat="1" x14ac:dyDescent="0.25"/>
    <row r="176430" s="12" customFormat="1" x14ac:dyDescent="0.25"/>
    <row r="176431" s="12" customFormat="1" x14ac:dyDescent="0.25"/>
    <row r="176432" s="12" customFormat="1" x14ac:dyDescent="0.25"/>
    <row r="176433" s="12" customFormat="1" x14ac:dyDescent="0.25"/>
    <row r="176434" s="12" customFormat="1" x14ac:dyDescent="0.25"/>
    <row r="176435" s="12" customFormat="1" x14ac:dyDescent="0.25"/>
    <row r="176436" s="12" customFormat="1" x14ac:dyDescent="0.25"/>
    <row r="176437" s="12" customFormat="1" x14ac:dyDescent="0.25"/>
    <row r="176438" s="12" customFormat="1" x14ac:dyDescent="0.25"/>
    <row r="176439" s="12" customFormat="1" x14ac:dyDescent="0.25"/>
    <row r="176440" s="12" customFormat="1" x14ac:dyDescent="0.25"/>
    <row r="176441" s="12" customFormat="1" x14ac:dyDescent="0.25"/>
    <row r="176442" s="12" customFormat="1" x14ac:dyDescent="0.25"/>
    <row r="176443" s="12" customFormat="1" x14ac:dyDescent="0.25"/>
    <row r="176444" s="12" customFormat="1" x14ac:dyDescent="0.25"/>
    <row r="176445" s="12" customFormat="1" x14ac:dyDescent="0.25"/>
    <row r="176446" s="12" customFormat="1" x14ac:dyDescent="0.25"/>
    <row r="176447" s="12" customFormat="1" x14ac:dyDescent="0.25"/>
    <row r="176448" s="12" customFormat="1" x14ac:dyDescent="0.25"/>
    <row r="176449" s="12" customFormat="1" x14ac:dyDescent="0.25"/>
    <row r="176450" s="12" customFormat="1" x14ac:dyDescent="0.25"/>
    <row r="176451" s="12" customFormat="1" x14ac:dyDescent="0.25"/>
    <row r="176452" s="12" customFormat="1" x14ac:dyDescent="0.25"/>
    <row r="176453" s="12" customFormat="1" x14ac:dyDescent="0.25"/>
    <row r="176454" s="12" customFormat="1" x14ac:dyDescent="0.25"/>
    <row r="176455" s="12" customFormat="1" x14ac:dyDescent="0.25"/>
    <row r="176456" s="12" customFormat="1" x14ac:dyDescent="0.25"/>
    <row r="176457" s="12" customFormat="1" x14ac:dyDescent="0.25"/>
    <row r="176458" s="12" customFormat="1" x14ac:dyDescent="0.25"/>
    <row r="176459" s="12" customFormat="1" x14ac:dyDescent="0.25"/>
    <row r="176460" s="12" customFormat="1" x14ac:dyDescent="0.25"/>
    <row r="176461" s="12" customFormat="1" x14ac:dyDescent="0.25"/>
    <row r="176462" s="12" customFormat="1" x14ac:dyDescent="0.25"/>
    <row r="176463" s="12" customFormat="1" x14ac:dyDescent="0.25"/>
    <row r="176464" s="12" customFormat="1" x14ac:dyDescent="0.25"/>
    <row r="176465" s="12" customFormat="1" x14ac:dyDescent="0.25"/>
    <row r="176466" s="12" customFormat="1" x14ac:dyDescent="0.25"/>
    <row r="176467" s="12" customFormat="1" x14ac:dyDescent="0.25"/>
    <row r="176468" s="12" customFormat="1" x14ac:dyDescent="0.25"/>
    <row r="176469" s="12" customFormat="1" x14ac:dyDescent="0.25"/>
    <row r="176470" s="12" customFormat="1" x14ac:dyDescent="0.25"/>
    <row r="176471" s="12" customFormat="1" x14ac:dyDescent="0.25"/>
    <row r="176472" s="12" customFormat="1" x14ac:dyDescent="0.25"/>
    <row r="176473" s="12" customFormat="1" x14ac:dyDescent="0.25"/>
    <row r="176474" s="12" customFormat="1" x14ac:dyDescent="0.25"/>
    <row r="176475" s="12" customFormat="1" x14ac:dyDescent="0.25"/>
    <row r="176476" s="12" customFormat="1" x14ac:dyDescent="0.25"/>
    <row r="176477" s="12" customFormat="1" x14ac:dyDescent="0.25"/>
    <row r="176478" s="12" customFormat="1" x14ac:dyDescent="0.25"/>
    <row r="176479" s="12" customFormat="1" x14ac:dyDescent="0.25"/>
    <row r="176480" s="12" customFormat="1" x14ac:dyDescent="0.25"/>
    <row r="176481" s="12" customFormat="1" x14ac:dyDescent="0.25"/>
    <row r="176482" s="12" customFormat="1" x14ac:dyDescent="0.25"/>
    <row r="176483" s="12" customFormat="1" x14ac:dyDescent="0.25"/>
    <row r="176484" s="12" customFormat="1" x14ac:dyDescent="0.25"/>
    <row r="176485" s="12" customFormat="1" x14ac:dyDescent="0.25"/>
    <row r="176486" s="12" customFormat="1" x14ac:dyDescent="0.25"/>
    <row r="176487" s="12" customFormat="1" x14ac:dyDescent="0.25"/>
    <row r="176488" s="12" customFormat="1" x14ac:dyDescent="0.25"/>
    <row r="176489" s="12" customFormat="1" x14ac:dyDescent="0.25"/>
    <row r="176490" s="12" customFormat="1" x14ac:dyDescent="0.25"/>
    <row r="176491" s="12" customFormat="1" x14ac:dyDescent="0.25"/>
    <row r="176492" s="12" customFormat="1" x14ac:dyDescent="0.25"/>
    <row r="176493" s="12" customFormat="1" x14ac:dyDescent="0.25"/>
    <row r="176494" s="12" customFormat="1" x14ac:dyDescent="0.25"/>
    <row r="176495" s="12" customFormat="1" x14ac:dyDescent="0.25"/>
    <row r="176496" s="12" customFormat="1" x14ac:dyDescent="0.25"/>
    <row r="176497" s="12" customFormat="1" x14ac:dyDescent="0.25"/>
    <row r="176498" s="12" customFormat="1" x14ac:dyDescent="0.25"/>
    <row r="176499" s="12" customFormat="1" x14ac:dyDescent="0.25"/>
    <row r="176500" s="12" customFormat="1" x14ac:dyDescent="0.25"/>
    <row r="176501" s="12" customFormat="1" x14ac:dyDescent="0.25"/>
    <row r="176502" s="12" customFormat="1" x14ac:dyDescent="0.25"/>
    <row r="176503" s="12" customFormat="1" x14ac:dyDescent="0.25"/>
    <row r="176504" s="12" customFormat="1" x14ac:dyDescent="0.25"/>
    <row r="176505" s="12" customFormat="1" x14ac:dyDescent="0.25"/>
    <row r="176506" s="12" customFormat="1" x14ac:dyDescent="0.25"/>
    <row r="176507" s="12" customFormat="1" x14ac:dyDescent="0.25"/>
    <row r="176508" s="12" customFormat="1" x14ac:dyDescent="0.25"/>
    <row r="176509" s="12" customFormat="1" x14ac:dyDescent="0.25"/>
    <row r="176510" s="12" customFormat="1" x14ac:dyDescent="0.25"/>
    <row r="176511" s="12" customFormat="1" x14ac:dyDescent="0.25"/>
    <row r="176512" s="12" customFormat="1" x14ac:dyDescent="0.25"/>
    <row r="176513" s="12" customFormat="1" x14ac:dyDescent="0.25"/>
    <row r="176514" s="12" customFormat="1" x14ac:dyDescent="0.25"/>
    <row r="176515" s="12" customFormat="1" x14ac:dyDescent="0.25"/>
    <row r="176516" s="12" customFormat="1" x14ac:dyDescent="0.25"/>
    <row r="176517" s="12" customFormat="1" x14ac:dyDescent="0.25"/>
    <row r="176518" s="12" customFormat="1" x14ac:dyDescent="0.25"/>
    <row r="176519" s="12" customFormat="1" x14ac:dyDescent="0.25"/>
    <row r="176520" s="12" customFormat="1" x14ac:dyDescent="0.25"/>
    <row r="176521" s="12" customFormat="1" x14ac:dyDescent="0.25"/>
    <row r="176522" s="12" customFormat="1" x14ac:dyDescent="0.25"/>
    <row r="176523" s="12" customFormat="1" x14ac:dyDescent="0.25"/>
    <row r="176524" s="12" customFormat="1" x14ac:dyDescent="0.25"/>
    <row r="176525" s="12" customFormat="1" x14ac:dyDescent="0.25"/>
    <row r="176526" s="12" customFormat="1" x14ac:dyDescent="0.25"/>
    <row r="176527" s="12" customFormat="1" x14ac:dyDescent="0.25"/>
    <row r="176528" s="12" customFormat="1" x14ac:dyDescent="0.25"/>
    <row r="176529" s="12" customFormat="1" x14ac:dyDescent="0.25"/>
    <row r="176530" s="12" customFormat="1" x14ac:dyDescent="0.25"/>
    <row r="176531" s="12" customFormat="1" x14ac:dyDescent="0.25"/>
    <row r="176532" s="12" customFormat="1" x14ac:dyDescent="0.25"/>
    <row r="176533" s="12" customFormat="1" x14ac:dyDescent="0.25"/>
    <row r="176534" s="12" customFormat="1" x14ac:dyDescent="0.25"/>
    <row r="176535" s="12" customFormat="1" x14ac:dyDescent="0.25"/>
    <row r="176536" s="12" customFormat="1" x14ac:dyDescent="0.25"/>
    <row r="176537" s="12" customFormat="1" x14ac:dyDescent="0.25"/>
    <row r="176538" s="12" customFormat="1" x14ac:dyDescent="0.25"/>
    <row r="176539" s="12" customFormat="1" x14ac:dyDescent="0.25"/>
    <row r="176540" s="12" customFormat="1" x14ac:dyDescent="0.25"/>
    <row r="176541" s="12" customFormat="1" x14ac:dyDescent="0.25"/>
    <row r="176542" s="12" customFormat="1" x14ac:dyDescent="0.25"/>
    <row r="176543" s="12" customFormat="1" x14ac:dyDescent="0.25"/>
    <row r="176544" s="12" customFormat="1" x14ac:dyDescent="0.25"/>
    <row r="176545" s="12" customFormat="1" x14ac:dyDescent="0.25"/>
    <row r="176546" s="12" customFormat="1" x14ac:dyDescent="0.25"/>
    <row r="176547" s="12" customFormat="1" x14ac:dyDescent="0.25"/>
    <row r="176548" s="12" customFormat="1" x14ac:dyDescent="0.25"/>
    <row r="176549" s="12" customFormat="1" x14ac:dyDescent="0.25"/>
    <row r="176550" s="12" customFormat="1" x14ac:dyDescent="0.25"/>
    <row r="176551" s="12" customFormat="1" x14ac:dyDescent="0.25"/>
    <row r="176552" s="12" customFormat="1" x14ac:dyDescent="0.25"/>
    <row r="176553" s="12" customFormat="1" x14ac:dyDescent="0.25"/>
    <row r="176554" s="12" customFormat="1" x14ac:dyDescent="0.25"/>
    <row r="176555" s="12" customFormat="1" x14ac:dyDescent="0.25"/>
    <row r="176556" s="12" customFormat="1" x14ac:dyDescent="0.25"/>
    <row r="176557" s="12" customFormat="1" x14ac:dyDescent="0.25"/>
    <row r="176558" s="12" customFormat="1" x14ac:dyDescent="0.25"/>
    <row r="176559" s="12" customFormat="1" x14ac:dyDescent="0.25"/>
    <row r="176560" s="12" customFormat="1" x14ac:dyDescent="0.25"/>
    <row r="176561" s="12" customFormat="1" x14ac:dyDescent="0.25"/>
    <row r="176562" s="12" customFormat="1" x14ac:dyDescent="0.25"/>
    <row r="176563" s="12" customFormat="1" x14ac:dyDescent="0.25"/>
    <row r="176564" s="12" customFormat="1" x14ac:dyDescent="0.25"/>
    <row r="176565" s="12" customFormat="1" x14ac:dyDescent="0.25"/>
    <row r="176566" s="12" customFormat="1" x14ac:dyDescent="0.25"/>
    <row r="176567" s="12" customFormat="1" x14ac:dyDescent="0.25"/>
    <row r="176568" s="12" customFormat="1" x14ac:dyDescent="0.25"/>
    <row r="176569" s="12" customFormat="1" x14ac:dyDescent="0.25"/>
    <row r="176570" s="12" customFormat="1" x14ac:dyDescent="0.25"/>
    <row r="176571" s="12" customFormat="1" x14ac:dyDescent="0.25"/>
    <row r="176572" s="12" customFormat="1" x14ac:dyDescent="0.25"/>
    <row r="176573" s="12" customFormat="1" x14ac:dyDescent="0.25"/>
    <row r="176574" s="12" customFormat="1" x14ac:dyDescent="0.25"/>
    <row r="176575" s="12" customFormat="1" x14ac:dyDescent="0.25"/>
    <row r="176576" s="12" customFormat="1" x14ac:dyDescent="0.25"/>
    <row r="176577" s="12" customFormat="1" x14ac:dyDescent="0.25"/>
    <row r="176578" s="12" customFormat="1" x14ac:dyDescent="0.25"/>
    <row r="176579" s="12" customFormat="1" x14ac:dyDescent="0.25"/>
    <row r="176580" s="12" customFormat="1" x14ac:dyDescent="0.25"/>
    <row r="176581" s="12" customFormat="1" x14ac:dyDescent="0.25"/>
    <row r="176582" s="12" customFormat="1" x14ac:dyDescent="0.25"/>
    <row r="176583" s="12" customFormat="1" x14ac:dyDescent="0.25"/>
    <row r="176584" s="12" customFormat="1" x14ac:dyDescent="0.25"/>
    <row r="176585" s="12" customFormat="1" x14ac:dyDescent="0.25"/>
    <row r="176586" s="12" customFormat="1" x14ac:dyDescent="0.25"/>
    <row r="176587" s="12" customFormat="1" x14ac:dyDescent="0.25"/>
    <row r="176588" s="12" customFormat="1" x14ac:dyDescent="0.25"/>
    <row r="176589" s="12" customFormat="1" x14ac:dyDescent="0.25"/>
    <row r="176590" s="12" customFormat="1" x14ac:dyDescent="0.25"/>
    <row r="176591" s="12" customFormat="1" x14ac:dyDescent="0.25"/>
    <row r="176592" s="12" customFormat="1" x14ac:dyDescent="0.25"/>
    <row r="176593" s="12" customFormat="1" x14ac:dyDescent="0.25"/>
    <row r="176594" s="12" customFormat="1" x14ac:dyDescent="0.25"/>
    <row r="176595" s="12" customFormat="1" x14ac:dyDescent="0.25"/>
    <row r="176596" s="12" customFormat="1" x14ac:dyDescent="0.25"/>
    <row r="176597" s="12" customFormat="1" x14ac:dyDescent="0.25"/>
    <row r="176598" s="12" customFormat="1" x14ac:dyDescent="0.25"/>
    <row r="176599" s="12" customFormat="1" x14ac:dyDescent="0.25"/>
    <row r="176600" s="12" customFormat="1" x14ac:dyDescent="0.25"/>
    <row r="176601" s="12" customFormat="1" x14ac:dyDescent="0.25"/>
    <row r="176602" s="12" customFormat="1" x14ac:dyDescent="0.25"/>
    <row r="176603" s="12" customFormat="1" x14ac:dyDescent="0.25"/>
    <row r="176604" s="12" customFormat="1" x14ac:dyDescent="0.25"/>
    <row r="176605" s="12" customFormat="1" x14ac:dyDescent="0.25"/>
    <row r="176606" s="12" customFormat="1" x14ac:dyDescent="0.25"/>
    <row r="176607" s="12" customFormat="1" x14ac:dyDescent="0.25"/>
    <row r="176608" s="12" customFormat="1" x14ac:dyDescent="0.25"/>
    <row r="176609" s="12" customFormat="1" x14ac:dyDescent="0.25"/>
    <row r="176610" s="12" customFormat="1" x14ac:dyDescent="0.25"/>
    <row r="176611" s="12" customFormat="1" x14ac:dyDescent="0.25"/>
    <row r="176612" s="12" customFormat="1" x14ac:dyDescent="0.25"/>
    <row r="176613" s="12" customFormat="1" x14ac:dyDescent="0.25"/>
    <row r="176614" s="12" customFormat="1" x14ac:dyDescent="0.25"/>
    <row r="176615" s="12" customFormat="1" x14ac:dyDescent="0.25"/>
    <row r="176616" s="12" customFormat="1" x14ac:dyDescent="0.25"/>
    <row r="176617" s="12" customFormat="1" x14ac:dyDescent="0.25"/>
    <row r="176618" s="12" customFormat="1" x14ac:dyDescent="0.25"/>
    <row r="176619" s="12" customFormat="1" x14ac:dyDescent="0.25"/>
    <row r="176620" s="12" customFormat="1" x14ac:dyDescent="0.25"/>
    <row r="176621" s="12" customFormat="1" x14ac:dyDescent="0.25"/>
    <row r="176622" s="12" customFormat="1" x14ac:dyDescent="0.25"/>
    <row r="176623" s="12" customFormat="1" x14ac:dyDescent="0.25"/>
    <row r="176624" s="12" customFormat="1" x14ac:dyDescent="0.25"/>
    <row r="176625" s="12" customFormat="1" x14ac:dyDescent="0.25"/>
    <row r="176626" s="12" customFormat="1" x14ac:dyDescent="0.25"/>
    <row r="176627" s="12" customFormat="1" x14ac:dyDescent="0.25"/>
    <row r="176628" s="12" customFormat="1" x14ac:dyDescent="0.25"/>
    <row r="176629" s="12" customFormat="1" x14ac:dyDescent="0.25"/>
    <row r="176630" s="12" customFormat="1" x14ac:dyDescent="0.25"/>
    <row r="176631" s="12" customFormat="1" x14ac:dyDescent="0.25"/>
    <row r="176632" s="12" customFormat="1" x14ac:dyDescent="0.25"/>
    <row r="176633" s="12" customFormat="1" x14ac:dyDescent="0.25"/>
    <row r="176634" s="12" customFormat="1" x14ac:dyDescent="0.25"/>
    <row r="176635" s="12" customFormat="1" x14ac:dyDescent="0.25"/>
    <row r="176636" s="12" customFormat="1" x14ac:dyDescent="0.25"/>
    <row r="176637" s="12" customFormat="1" x14ac:dyDescent="0.25"/>
    <row r="176638" s="12" customFormat="1" x14ac:dyDescent="0.25"/>
    <row r="176639" s="12" customFormat="1" x14ac:dyDescent="0.25"/>
    <row r="176640" s="12" customFormat="1" x14ac:dyDescent="0.25"/>
    <row r="176641" s="12" customFormat="1" x14ac:dyDescent="0.25"/>
    <row r="176642" s="12" customFormat="1" x14ac:dyDescent="0.25"/>
    <row r="176643" s="12" customFormat="1" x14ac:dyDescent="0.25"/>
    <row r="176644" s="12" customFormat="1" x14ac:dyDescent="0.25"/>
    <row r="176645" s="12" customFormat="1" x14ac:dyDescent="0.25"/>
    <row r="176646" s="12" customFormat="1" x14ac:dyDescent="0.25"/>
    <row r="176647" s="12" customFormat="1" x14ac:dyDescent="0.25"/>
    <row r="176648" s="12" customFormat="1" x14ac:dyDescent="0.25"/>
    <row r="176649" s="12" customFormat="1" x14ac:dyDescent="0.25"/>
    <row r="176650" s="12" customFormat="1" x14ac:dyDescent="0.25"/>
    <row r="176651" s="12" customFormat="1" x14ac:dyDescent="0.25"/>
    <row r="176652" s="12" customFormat="1" x14ac:dyDescent="0.25"/>
    <row r="176653" s="12" customFormat="1" x14ac:dyDescent="0.25"/>
    <row r="176654" s="12" customFormat="1" x14ac:dyDescent="0.25"/>
    <row r="176655" s="12" customFormat="1" x14ac:dyDescent="0.25"/>
    <row r="176656" s="12" customFormat="1" x14ac:dyDescent="0.25"/>
    <row r="176657" s="12" customFormat="1" x14ac:dyDescent="0.25"/>
    <row r="176658" s="12" customFormat="1" x14ac:dyDescent="0.25"/>
    <row r="176659" s="12" customFormat="1" x14ac:dyDescent="0.25"/>
    <row r="176660" s="12" customFormat="1" x14ac:dyDescent="0.25"/>
    <row r="176661" s="12" customFormat="1" x14ac:dyDescent="0.25"/>
    <row r="176662" s="12" customFormat="1" x14ac:dyDescent="0.25"/>
    <row r="176663" s="12" customFormat="1" x14ac:dyDescent="0.25"/>
    <row r="176664" s="12" customFormat="1" x14ac:dyDescent="0.25"/>
    <row r="176665" s="12" customFormat="1" x14ac:dyDescent="0.25"/>
    <row r="176666" s="12" customFormat="1" x14ac:dyDescent="0.25"/>
    <row r="176667" s="12" customFormat="1" x14ac:dyDescent="0.25"/>
    <row r="176668" s="12" customFormat="1" x14ac:dyDescent="0.25"/>
    <row r="176669" s="12" customFormat="1" x14ac:dyDescent="0.25"/>
    <row r="176670" s="12" customFormat="1" x14ac:dyDescent="0.25"/>
    <row r="176671" s="12" customFormat="1" x14ac:dyDescent="0.25"/>
    <row r="176672" s="12" customFormat="1" x14ac:dyDescent="0.25"/>
    <row r="176673" s="12" customFormat="1" x14ac:dyDescent="0.25"/>
    <row r="176674" s="12" customFormat="1" x14ac:dyDescent="0.25"/>
    <row r="176675" s="12" customFormat="1" x14ac:dyDescent="0.25"/>
    <row r="176676" s="12" customFormat="1" x14ac:dyDescent="0.25"/>
    <row r="176677" s="12" customFormat="1" x14ac:dyDescent="0.25"/>
    <row r="176678" s="12" customFormat="1" x14ac:dyDescent="0.25"/>
    <row r="176679" s="12" customFormat="1" x14ac:dyDescent="0.25"/>
    <row r="176680" s="12" customFormat="1" x14ac:dyDescent="0.25"/>
    <row r="176681" s="12" customFormat="1" x14ac:dyDescent="0.25"/>
    <row r="176682" s="12" customFormat="1" x14ac:dyDescent="0.25"/>
    <row r="176683" s="12" customFormat="1" x14ac:dyDescent="0.25"/>
    <row r="176684" s="12" customFormat="1" x14ac:dyDescent="0.25"/>
    <row r="176685" s="12" customFormat="1" x14ac:dyDescent="0.25"/>
    <row r="176686" s="12" customFormat="1" x14ac:dyDescent="0.25"/>
    <row r="176687" s="12" customFormat="1" x14ac:dyDescent="0.25"/>
    <row r="176688" s="12" customFormat="1" x14ac:dyDescent="0.25"/>
    <row r="176689" s="12" customFormat="1" x14ac:dyDescent="0.25"/>
    <row r="176690" s="12" customFormat="1" x14ac:dyDescent="0.25"/>
    <row r="176691" s="12" customFormat="1" x14ac:dyDescent="0.25"/>
    <row r="176692" s="12" customFormat="1" x14ac:dyDescent="0.25"/>
    <row r="176693" s="12" customFormat="1" x14ac:dyDescent="0.25"/>
    <row r="176694" s="12" customFormat="1" x14ac:dyDescent="0.25"/>
    <row r="176695" s="12" customFormat="1" x14ac:dyDescent="0.25"/>
    <row r="176696" s="12" customFormat="1" x14ac:dyDescent="0.25"/>
    <row r="176697" s="12" customFormat="1" x14ac:dyDescent="0.25"/>
    <row r="176698" s="12" customFormat="1" x14ac:dyDescent="0.25"/>
    <row r="176699" s="12" customFormat="1" x14ac:dyDescent="0.25"/>
    <row r="176700" s="12" customFormat="1" x14ac:dyDescent="0.25"/>
    <row r="176701" s="12" customFormat="1" x14ac:dyDescent="0.25"/>
    <row r="176702" s="12" customFormat="1" x14ac:dyDescent="0.25"/>
    <row r="176703" s="12" customFormat="1" x14ac:dyDescent="0.25"/>
    <row r="176704" s="12" customFormat="1" x14ac:dyDescent="0.25"/>
    <row r="176705" s="12" customFormat="1" x14ac:dyDescent="0.25"/>
    <row r="176706" s="12" customFormat="1" x14ac:dyDescent="0.25"/>
    <row r="176707" s="12" customFormat="1" x14ac:dyDescent="0.25"/>
    <row r="176708" s="12" customFormat="1" x14ac:dyDescent="0.25"/>
    <row r="176709" s="12" customFormat="1" x14ac:dyDescent="0.25"/>
    <row r="176710" s="12" customFormat="1" x14ac:dyDescent="0.25"/>
    <row r="176711" s="12" customFormat="1" x14ac:dyDescent="0.25"/>
    <row r="176712" s="12" customFormat="1" x14ac:dyDescent="0.25"/>
    <row r="176713" s="12" customFormat="1" x14ac:dyDescent="0.25"/>
    <row r="176714" s="12" customFormat="1" x14ac:dyDescent="0.25"/>
    <row r="176715" s="12" customFormat="1" x14ac:dyDescent="0.25"/>
    <row r="176716" s="12" customFormat="1" x14ac:dyDescent="0.25"/>
    <row r="176717" s="12" customFormat="1" x14ac:dyDescent="0.25"/>
    <row r="176718" s="12" customFormat="1" x14ac:dyDescent="0.25"/>
    <row r="176719" s="12" customFormat="1" x14ac:dyDescent="0.25"/>
    <row r="176720" s="12" customFormat="1" x14ac:dyDescent="0.25"/>
    <row r="176721" s="12" customFormat="1" x14ac:dyDescent="0.25"/>
    <row r="176722" s="12" customFormat="1" x14ac:dyDescent="0.25"/>
    <row r="176723" s="12" customFormat="1" x14ac:dyDescent="0.25"/>
    <row r="176724" s="12" customFormat="1" x14ac:dyDescent="0.25"/>
    <row r="176725" s="12" customFormat="1" x14ac:dyDescent="0.25"/>
    <row r="176726" s="12" customFormat="1" x14ac:dyDescent="0.25"/>
    <row r="176727" s="12" customFormat="1" x14ac:dyDescent="0.25"/>
    <row r="176728" s="12" customFormat="1" x14ac:dyDescent="0.25"/>
    <row r="176729" s="12" customFormat="1" x14ac:dyDescent="0.25"/>
    <row r="176730" s="12" customFormat="1" x14ac:dyDescent="0.25"/>
    <row r="176731" s="12" customFormat="1" x14ac:dyDescent="0.25"/>
    <row r="176732" s="12" customFormat="1" x14ac:dyDescent="0.25"/>
    <row r="176733" s="12" customFormat="1" x14ac:dyDescent="0.25"/>
    <row r="176734" s="12" customFormat="1" x14ac:dyDescent="0.25"/>
    <row r="176735" s="12" customFormat="1" x14ac:dyDescent="0.25"/>
    <row r="176736" s="12" customFormat="1" x14ac:dyDescent="0.25"/>
    <row r="176737" s="12" customFormat="1" x14ac:dyDescent="0.25"/>
    <row r="176738" s="12" customFormat="1" x14ac:dyDescent="0.25"/>
    <row r="176739" s="12" customFormat="1" x14ac:dyDescent="0.25"/>
    <row r="176740" s="12" customFormat="1" x14ac:dyDescent="0.25"/>
    <row r="176741" s="12" customFormat="1" x14ac:dyDescent="0.25"/>
    <row r="176742" s="12" customFormat="1" x14ac:dyDescent="0.25"/>
    <row r="176743" s="12" customFormat="1" x14ac:dyDescent="0.25"/>
    <row r="176744" s="12" customFormat="1" x14ac:dyDescent="0.25"/>
    <row r="176745" s="12" customFormat="1" x14ac:dyDescent="0.25"/>
    <row r="176746" s="12" customFormat="1" x14ac:dyDescent="0.25"/>
    <row r="176747" s="12" customFormat="1" x14ac:dyDescent="0.25"/>
    <row r="176748" s="12" customFormat="1" x14ac:dyDescent="0.25"/>
    <row r="176749" s="12" customFormat="1" x14ac:dyDescent="0.25"/>
    <row r="176750" s="12" customFormat="1" x14ac:dyDescent="0.25"/>
    <row r="176751" s="12" customFormat="1" x14ac:dyDescent="0.25"/>
    <row r="176752" s="12" customFormat="1" x14ac:dyDescent="0.25"/>
    <row r="176753" s="12" customFormat="1" x14ac:dyDescent="0.25"/>
    <row r="176754" s="12" customFormat="1" x14ac:dyDescent="0.25"/>
    <row r="176755" s="12" customFormat="1" x14ac:dyDescent="0.25"/>
    <row r="176756" s="12" customFormat="1" x14ac:dyDescent="0.25"/>
    <row r="176757" s="12" customFormat="1" x14ac:dyDescent="0.25"/>
    <row r="176758" s="12" customFormat="1" x14ac:dyDescent="0.25"/>
    <row r="176759" s="12" customFormat="1" x14ac:dyDescent="0.25"/>
    <row r="176760" s="12" customFormat="1" x14ac:dyDescent="0.25"/>
    <row r="176761" s="12" customFormat="1" x14ac:dyDescent="0.25"/>
    <row r="176762" s="12" customFormat="1" x14ac:dyDescent="0.25"/>
    <row r="176763" s="12" customFormat="1" x14ac:dyDescent="0.25"/>
    <row r="176764" s="12" customFormat="1" x14ac:dyDescent="0.25"/>
    <row r="176765" s="12" customFormat="1" x14ac:dyDescent="0.25"/>
    <row r="176766" s="12" customFormat="1" x14ac:dyDescent="0.25"/>
    <row r="176767" s="12" customFormat="1" x14ac:dyDescent="0.25"/>
    <row r="176768" s="12" customFormat="1" x14ac:dyDescent="0.25"/>
    <row r="176769" s="12" customFormat="1" x14ac:dyDescent="0.25"/>
    <row r="176770" s="12" customFormat="1" x14ac:dyDescent="0.25"/>
    <row r="176771" s="12" customFormat="1" x14ac:dyDescent="0.25"/>
    <row r="176772" s="12" customFormat="1" x14ac:dyDescent="0.25"/>
    <row r="176773" s="12" customFormat="1" x14ac:dyDescent="0.25"/>
    <row r="176774" s="12" customFormat="1" x14ac:dyDescent="0.25"/>
    <row r="176775" s="12" customFormat="1" x14ac:dyDescent="0.25"/>
    <row r="176776" s="12" customFormat="1" x14ac:dyDescent="0.25"/>
    <row r="176777" s="12" customFormat="1" x14ac:dyDescent="0.25"/>
    <row r="176778" s="12" customFormat="1" x14ac:dyDescent="0.25"/>
    <row r="176779" s="12" customFormat="1" x14ac:dyDescent="0.25"/>
    <row r="176780" s="12" customFormat="1" x14ac:dyDescent="0.25"/>
    <row r="176781" s="12" customFormat="1" x14ac:dyDescent="0.25"/>
    <row r="176782" s="12" customFormat="1" x14ac:dyDescent="0.25"/>
    <row r="176783" s="12" customFormat="1" x14ac:dyDescent="0.25"/>
    <row r="176784" s="12" customFormat="1" x14ac:dyDescent="0.25"/>
    <row r="176785" s="12" customFormat="1" x14ac:dyDescent="0.25"/>
    <row r="176786" s="12" customFormat="1" x14ac:dyDescent="0.25"/>
    <row r="176787" s="12" customFormat="1" x14ac:dyDescent="0.25"/>
    <row r="176788" s="12" customFormat="1" x14ac:dyDescent="0.25"/>
    <row r="176789" s="12" customFormat="1" x14ac:dyDescent="0.25"/>
    <row r="176790" s="12" customFormat="1" x14ac:dyDescent="0.25"/>
    <row r="176791" s="12" customFormat="1" x14ac:dyDescent="0.25"/>
    <row r="176792" s="12" customFormat="1" x14ac:dyDescent="0.25"/>
    <row r="176793" s="12" customFormat="1" x14ac:dyDescent="0.25"/>
    <row r="176794" s="12" customFormat="1" x14ac:dyDescent="0.25"/>
    <row r="176795" s="12" customFormat="1" x14ac:dyDescent="0.25"/>
    <row r="176796" s="12" customFormat="1" x14ac:dyDescent="0.25"/>
    <row r="176797" s="12" customFormat="1" x14ac:dyDescent="0.25"/>
    <row r="176798" s="12" customFormat="1" x14ac:dyDescent="0.25"/>
    <row r="176799" s="12" customFormat="1" x14ac:dyDescent="0.25"/>
    <row r="176800" s="12" customFormat="1" x14ac:dyDescent="0.25"/>
    <row r="176801" s="12" customFormat="1" x14ac:dyDescent="0.25"/>
    <row r="176802" s="12" customFormat="1" x14ac:dyDescent="0.25"/>
    <row r="176803" s="12" customFormat="1" x14ac:dyDescent="0.25"/>
    <row r="176804" s="12" customFormat="1" x14ac:dyDescent="0.25"/>
    <row r="176805" s="12" customFormat="1" x14ac:dyDescent="0.25"/>
    <row r="176806" s="12" customFormat="1" x14ac:dyDescent="0.25"/>
    <row r="176807" s="12" customFormat="1" x14ac:dyDescent="0.25"/>
    <row r="176808" s="12" customFormat="1" x14ac:dyDescent="0.25"/>
    <row r="176809" s="12" customFormat="1" x14ac:dyDescent="0.25"/>
    <row r="176810" s="12" customFormat="1" x14ac:dyDescent="0.25"/>
    <row r="176811" s="12" customFormat="1" x14ac:dyDescent="0.25"/>
    <row r="176812" s="12" customFormat="1" x14ac:dyDescent="0.25"/>
    <row r="176813" s="12" customFormat="1" x14ac:dyDescent="0.25"/>
    <row r="176814" s="12" customFormat="1" x14ac:dyDescent="0.25"/>
    <row r="176815" s="12" customFormat="1" x14ac:dyDescent="0.25"/>
    <row r="176816" s="12" customFormat="1" x14ac:dyDescent="0.25"/>
    <row r="176817" s="12" customFormat="1" x14ac:dyDescent="0.25"/>
    <row r="176818" s="12" customFormat="1" x14ac:dyDescent="0.25"/>
    <row r="176819" s="12" customFormat="1" x14ac:dyDescent="0.25"/>
    <row r="176820" s="12" customFormat="1" x14ac:dyDescent="0.25"/>
    <row r="176821" s="12" customFormat="1" x14ac:dyDescent="0.25"/>
    <row r="176822" s="12" customFormat="1" x14ac:dyDescent="0.25"/>
    <row r="176823" s="12" customFormat="1" x14ac:dyDescent="0.25"/>
    <row r="176824" s="12" customFormat="1" x14ac:dyDescent="0.25"/>
    <row r="176825" s="12" customFormat="1" x14ac:dyDescent="0.25"/>
    <row r="176826" s="12" customFormat="1" x14ac:dyDescent="0.25"/>
    <row r="176827" s="12" customFormat="1" x14ac:dyDescent="0.25"/>
    <row r="176828" s="12" customFormat="1" x14ac:dyDescent="0.25"/>
    <row r="176829" s="12" customFormat="1" x14ac:dyDescent="0.25"/>
    <row r="176830" s="12" customFormat="1" x14ac:dyDescent="0.25"/>
    <row r="176831" s="12" customFormat="1" x14ac:dyDescent="0.25"/>
    <row r="176832" s="12" customFormat="1" x14ac:dyDescent="0.25"/>
    <row r="176833" s="12" customFormat="1" x14ac:dyDescent="0.25"/>
    <row r="176834" s="12" customFormat="1" x14ac:dyDescent="0.25"/>
    <row r="176835" s="12" customFormat="1" x14ac:dyDescent="0.25"/>
    <row r="176836" s="12" customFormat="1" x14ac:dyDescent="0.25"/>
    <row r="176837" s="12" customFormat="1" x14ac:dyDescent="0.25"/>
    <row r="176838" s="12" customFormat="1" x14ac:dyDescent="0.25"/>
    <row r="176839" s="12" customFormat="1" x14ac:dyDescent="0.25"/>
    <row r="176840" s="12" customFormat="1" x14ac:dyDescent="0.25"/>
    <row r="176841" s="12" customFormat="1" x14ac:dyDescent="0.25"/>
    <row r="176842" s="12" customFormat="1" x14ac:dyDescent="0.25"/>
    <row r="176843" s="12" customFormat="1" x14ac:dyDescent="0.25"/>
    <row r="176844" s="12" customFormat="1" x14ac:dyDescent="0.25"/>
    <row r="176845" s="12" customFormat="1" x14ac:dyDescent="0.25"/>
    <row r="176846" s="12" customFormat="1" x14ac:dyDescent="0.25"/>
    <row r="176847" s="12" customFormat="1" x14ac:dyDescent="0.25"/>
    <row r="176848" s="12" customFormat="1" x14ac:dyDescent="0.25"/>
    <row r="176849" s="12" customFormat="1" x14ac:dyDescent="0.25"/>
    <row r="176850" s="12" customFormat="1" x14ac:dyDescent="0.25"/>
    <row r="176851" s="12" customFormat="1" x14ac:dyDescent="0.25"/>
    <row r="176852" s="12" customFormat="1" x14ac:dyDescent="0.25"/>
    <row r="176853" s="12" customFormat="1" x14ac:dyDescent="0.25"/>
    <row r="176854" s="12" customFormat="1" x14ac:dyDescent="0.25"/>
    <row r="176855" s="12" customFormat="1" x14ac:dyDescent="0.25"/>
    <row r="176856" s="12" customFormat="1" x14ac:dyDescent="0.25"/>
    <row r="176857" s="12" customFormat="1" x14ac:dyDescent="0.25"/>
    <row r="176858" s="12" customFormat="1" x14ac:dyDescent="0.25"/>
    <row r="176859" s="12" customFormat="1" x14ac:dyDescent="0.25"/>
    <row r="176860" s="12" customFormat="1" x14ac:dyDescent="0.25"/>
    <row r="176861" s="12" customFormat="1" x14ac:dyDescent="0.25"/>
    <row r="176862" s="12" customFormat="1" x14ac:dyDescent="0.25"/>
    <row r="176863" s="12" customFormat="1" x14ac:dyDescent="0.25"/>
    <row r="176864" s="12" customFormat="1" x14ac:dyDescent="0.25"/>
    <row r="176865" s="12" customFormat="1" x14ac:dyDescent="0.25"/>
    <row r="176866" s="12" customFormat="1" x14ac:dyDescent="0.25"/>
    <row r="176867" s="12" customFormat="1" x14ac:dyDescent="0.25"/>
    <row r="176868" s="12" customFormat="1" x14ac:dyDescent="0.25"/>
    <row r="176869" s="12" customFormat="1" x14ac:dyDescent="0.25"/>
    <row r="176870" s="12" customFormat="1" x14ac:dyDescent="0.25"/>
    <row r="176871" s="12" customFormat="1" x14ac:dyDescent="0.25"/>
    <row r="176872" s="12" customFormat="1" x14ac:dyDescent="0.25"/>
    <row r="176873" s="12" customFormat="1" x14ac:dyDescent="0.25"/>
    <row r="176874" s="12" customFormat="1" x14ac:dyDescent="0.25"/>
    <row r="176875" s="12" customFormat="1" x14ac:dyDescent="0.25"/>
    <row r="176876" s="12" customFormat="1" x14ac:dyDescent="0.25"/>
    <row r="176877" s="12" customFormat="1" x14ac:dyDescent="0.25"/>
    <row r="176878" s="12" customFormat="1" x14ac:dyDescent="0.25"/>
    <row r="176879" s="12" customFormat="1" x14ac:dyDescent="0.25"/>
    <row r="176880" s="12" customFormat="1" x14ac:dyDescent="0.25"/>
    <row r="176881" s="12" customFormat="1" x14ac:dyDescent="0.25"/>
    <row r="176882" s="12" customFormat="1" x14ac:dyDescent="0.25"/>
    <row r="176883" s="12" customFormat="1" x14ac:dyDescent="0.25"/>
    <row r="176884" s="12" customFormat="1" x14ac:dyDescent="0.25"/>
    <row r="176885" s="12" customFormat="1" x14ac:dyDescent="0.25"/>
    <row r="176886" s="12" customFormat="1" x14ac:dyDescent="0.25"/>
    <row r="176887" s="12" customFormat="1" x14ac:dyDescent="0.25"/>
    <row r="176888" s="12" customFormat="1" x14ac:dyDescent="0.25"/>
    <row r="176889" s="12" customFormat="1" x14ac:dyDescent="0.25"/>
    <row r="176890" s="12" customFormat="1" x14ac:dyDescent="0.25"/>
    <row r="176891" s="12" customFormat="1" x14ac:dyDescent="0.25"/>
    <row r="176892" s="12" customFormat="1" x14ac:dyDescent="0.25"/>
    <row r="176893" s="12" customFormat="1" x14ac:dyDescent="0.25"/>
    <row r="176894" s="12" customFormat="1" x14ac:dyDescent="0.25"/>
    <row r="176895" s="12" customFormat="1" x14ac:dyDescent="0.25"/>
    <row r="176896" s="12" customFormat="1" x14ac:dyDescent="0.25"/>
    <row r="176897" s="12" customFormat="1" x14ac:dyDescent="0.25"/>
    <row r="176898" s="12" customFormat="1" x14ac:dyDescent="0.25"/>
    <row r="176899" s="12" customFormat="1" x14ac:dyDescent="0.25"/>
    <row r="176900" s="12" customFormat="1" x14ac:dyDescent="0.25"/>
    <row r="176901" s="12" customFormat="1" x14ac:dyDescent="0.25"/>
    <row r="176902" s="12" customFormat="1" x14ac:dyDescent="0.25"/>
    <row r="176903" s="12" customFormat="1" x14ac:dyDescent="0.25"/>
    <row r="176904" s="12" customFormat="1" x14ac:dyDescent="0.25"/>
    <row r="176905" s="12" customFormat="1" x14ac:dyDescent="0.25"/>
    <row r="176906" s="12" customFormat="1" x14ac:dyDescent="0.25"/>
    <row r="176907" s="12" customFormat="1" x14ac:dyDescent="0.25"/>
    <row r="176908" s="12" customFormat="1" x14ac:dyDescent="0.25"/>
    <row r="176909" s="12" customFormat="1" x14ac:dyDescent="0.25"/>
    <row r="176910" s="12" customFormat="1" x14ac:dyDescent="0.25"/>
    <row r="176911" s="12" customFormat="1" x14ac:dyDescent="0.25"/>
    <row r="176912" s="12" customFormat="1" x14ac:dyDescent="0.25"/>
    <row r="176913" s="12" customFormat="1" x14ac:dyDescent="0.25"/>
    <row r="176914" s="12" customFormat="1" x14ac:dyDescent="0.25"/>
    <row r="176915" s="12" customFormat="1" x14ac:dyDescent="0.25"/>
    <row r="176916" s="12" customFormat="1" x14ac:dyDescent="0.25"/>
    <row r="176917" s="12" customFormat="1" x14ac:dyDescent="0.25"/>
    <row r="176918" s="12" customFormat="1" x14ac:dyDescent="0.25"/>
    <row r="176919" s="12" customFormat="1" x14ac:dyDescent="0.25"/>
    <row r="176920" s="12" customFormat="1" x14ac:dyDescent="0.25"/>
    <row r="176921" s="12" customFormat="1" x14ac:dyDescent="0.25"/>
    <row r="176922" s="12" customFormat="1" x14ac:dyDescent="0.25"/>
    <row r="176923" s="12" customFormat="1" x14ac:dyDescent="0.25"/>
    <row r="176924" s="12" customFormat="1" x14ac:dyDescent="0.25"/>
    <row r="176925" s="12" customFormat="1" x14ac:dyDescent="0.25"/>
    <row r="176926" s="12" customFormat="1" x14ac:dyDescent="0.25"/>
    <row r="176927" s="12" customFormat="1" x14ac:dyDescent="0.25"/>
    <row r="176928" s="12" customFormat="1" x14ac:dyDescent="0.25"/>
    <row r="176929" s="12" customFormat="1" x14ac:dyDescent="0.25"/>
    <row r="176930" s="12" customFormat="1" x14ac:dyDescent="0.25"/>
    <row r="176931" s="12" customFormat="1" x14ac:dyDescent="0.25"/>
    <row r="176932" s="12" customFormat="1" x14ac:dyDescent="0.25"/>
    <row r="176933" s="12" customFormat="1" x14ac:dyDescent="0.25"/>
    <row r="176934" s="12" customFormat="1" x14ac:dyDescent="0.25"/>
    <row r="176935" s="12" customFormat="1" x14ac:dyDescent="0.25"/>
    <row r="176936" s="12" customFormat="1" x14ac:dyDescent="0.25"/>
    <row r="176937" s="12" customFormat="1" x14ac:dyDescent="0.25"/>
    <row r="176938" s="12" customFormat="1" x14ac:dyDescent="0.25"/>
    <row r="176939" s="12" customFormat="1" x14ac:dyDescent="0.25"/>
    <row r="176940" s="12" customFormat="1" x14ac:dyDescent="0.25"/>
    <row r="176941" s="12" customFormat="1" x14ac:dyDescent="0.25"/>
    <row r="176942" s="12" customFormat="1" x14ac:dyDescent="0.25"/>
    <row r="176943" s="12" customFormat="1" x14ac:dyDescent="0.25"/>
    <row r="176944" s="12" customFormat="1" x14ac:dyDescent="0.25"/>
    <row r="176945" s="12" customFormat="1" x14ac:dyDescent="0.25"/>
    <row r="176946" s="12" customFormat="1" x14ac:dyDescent="0.25"/>
    <row r="176947" s="12" customFormat="1" x14ac:dyDescent="0.25"/>
    <row r="176948" s="12" customFormat="1" x14ac:dyDescent="0.25"/>
    <row r="176949" s="12" customFormat="1" x14ac:dyDescent="0.25"/>
    <row r="176950" s="12" customFormat="1" x14ac:dyDescent="0.25"/>
    <row r="176951" s="12" customFormat="1" x14ac:dyDescent="0.25"/>
    <row r="176952" s="12" customFormat="1" x14ac:dyDescent="0.25"/>
    <row r="176953" s="12" customFormat="1" x14ac:dyDescent="0.25"/>
    <row r="176954" s="12" customFormat="1" x14ac:dyDescent="0.25"/>
    <row r="176955" s="12" customFormat="1" x14ac:dyDescent="0.25"/>
    <row r="176956" s="12" customFormat="1" x14ac:dyDescent="0.25"/>
    <row r="176957" s="12" customFormat="1" x14ac:dyDescent="0.25"/>
    <row r="176958" s="12" customFormat="1" x14ac:dyDescent="0.25"/>
    <row r="176959" s="12" customFormat="1" x14ac:dyDescent="0.25"/>
    <row r="176960" s="12" customFormat="1" x14ac:dyDescent="0.25"/>
    <row r="176961" s="12" customFormat="1" x14ac:dyDescent="0.25"/>
    <row r="176962" s="12" customFormat="1" x14ac:dyDescent="0.25"/>
    <row r="176963" s="12" customFormat="1" x14ac:dyDescent="0.25"/>
    <row r="176964" s="12" customFormat="1" x14ac:dyDescent="0.25"/>
    <row r="176965" s="12" customFormat="1" x14ac:dyDescent="0.25"/>
    <row r="176966" s="12" customFormat="1" x14ac:dyDescent="0.25"/>
    <row r="176967" s="12" customFormat="1" x14ac:dyDescent="0.25"/>
    <row r="176968" s="12" customFormat="1" x14ac:dyDescent="0.25"/>
    <row r="176969" s="12" customFormat="1" x14ac:dyDescent="0.25"/>
    <row r="176970" s="12" customFormat="1" x14ac:dyDescent="0.25"/>
    <row r="176971" s="12" customFormat="1" x14ac:dyDescent="0.25"/>
    <row r="176972" s="12" customFormat="1" x14ac:dyDescent="0.25"/>
    <row r="176973" s="12" customFormat="1" x14ac:dyDescent="0.25"/>
    <row r="176974" s="12" customFormat="1" x14ac:dyDescent="0.25"/>
    <row r="176975" s="12" customFormat="1" x14ac:dyDescent="0.25"/>
    <row r="176976" s="12" customFormat="1" x14ac:dyDescent="0.25"/>
    <row r="176977" s="12" customFormat="1" x14ac:dyDescent="0.25"/>
    <row r="176978" s="12" customFormat="1" x14ac:dyDescent="0.25"/>
    <row r="176979" s="12" customFormat="1" x14ac:dyDescent="0.25"/>
    <row r="176980" s="12" customFormat="1" x14ac:dyDescent="0.25"/>
    <row r="176981" s="12" customFormat="1" x14ac:dyDescent="0.25"/>
    <row r="176982" s="12" customFormat="1" x14ac:dyDescent="0.25"/>
    <row r="176983" s="12" customFormat="1" x14ac:dyDescent="0.25"/>
    <row r="176984" s="12" customFormat="1" x14ac:dyDescent="0.25"/>
    <row r="176985" s="12" customFormat="1" x14ac:dyDescent="0.25"/>
    <row r="176986" s="12" customFormat="1" x14ac:dyDescent="0.25"/>
    <row r="176987" s="12" customFormat="1" x14ac:dyDescent="0.25"/>
    <row r="176988" s="12" customFormat="1" x14ac:dyDescent="0.25"/>
    <row r="176989" s="12" customFormat="1" x14ac:dyDescent="0.25"/>
    <row r="176990" s="12" customFormat="1" x14ac:dyDescent="0.25"/>
    <row r="176991" s="12" customFormat="1" x14ac:dyDescent="0.25"/>
    <row r="176992" s="12" customFormat="1" x14ac:dyDescent="0.25"/>
    <row r="176993" s="12" customFormat="1" x14ac:dyDescent="0.25"/>
    <row r="176994" s="12" customFormat="1" x14ac:dyDescent="0.25"/>
    <row r="176995" s="12" customFormat="1" x14ac:dyDescent="0.25"/>
    <row r="176996" s="12" customFormat="1" x14ac:dyDescent="0.25"/>
    <row r="176997" s="12" customFormat="1" x14ac:dyDescent="0.25"/>
    <row r="176998" s="12" customFormat="1" x14ac:dyDescent="0.25"/>
    <row r="176999" s="12" customFormat="1" x14ac:dyDescent="0.25"/>
    <row r="177000" s="12" customFormat="1" x14ac:dyDescent="0.25"/>
    <row r="177001" s="12" customFormat="1" x14ac:dyDescent="0.25"/>
    <row r="177002" s="12" customFormat="1" x14ac:dyDescent="0.25"/>
    <row r="177003" s="12" customFormat="1" x14ac:dyDescent="0.25"/>
    <row r="177004" s="12" customFormat="1" x14ac:dyDescent="0.25"/>
    <row r="177005" s="12" customFormat="1" x14ac:dyDescent="0.25"/>
    <row r="177006" s="12" customFormat="1" x14ac:dyDescent="0.25"/>
    <row r="177007" s="12" customFormat="1" x14ac:dyDescent="0.25"/>
    <row r="177008" s="12" customFormat="1" x14ac:dyDescent="0.25"/>
    <row r="177009" s="12" customFormat="1" x14ac:dyDescent="0.25"/>
    <row r="177010" s="12" customFormat="1" x14ac:dyDescent="0.25"/>
    <row r="177011" s="12" customFormat="1" x14ac:dyDescent="0.25"/>
    <row r="177012" s="12" customFormat="1" x14ac:dyDescent="0.25"/>
    <row r="177013" s="12" customFormat="1" x14ac:dyDescent="0.25"/>
    <row r="177014" s="12" customFormat="1" x14ac:dyDescent="0.25"/>
    <row r="177015" s="12" customFormat="1" x14ac:dyDescent="0.25"/>
    <row r="177016" s="12" customFormat="1" x14ac:dyDescent="0.25"/>
    <row r="177017" s="12" customFormat="1" x14ac:dyDescent="0.25"/>
    <row r="177018" s="12" customFormat="1" x14ac:dyDescent="0.25"/>
    <row r="177019" s="12" customFormat="1" x14ac:dyDescent="0.25"/>
    <row r="177020" s="12" customFormat="1" x14ac:dyDescent="0.25"/>
    <row r="177021" s="12" customFormat="1" x14ac:dyDescent="0.25"/>
    <row r="177022" s="12" customFormat="1" x14ac:dyDescent="0.25"/>
    <row r="177023" s="12" customFormat="1" x14ac:dyDescent="0.25"/>
    <row r="177024" s="12" customFormat="1" x14ac:dyDescent="0.25"/>
    <row r="177025" s="12" customFormat="1" x14ac:dyDescent="0.25"/>
    <row r="177026" s="12" customFormat="1" x14ac:dyDescent="0.25"/>
    <row r="177027" s="12" customFormat="1" x14ac:dyDescent="0.25"/>
    <row r="177028" s="12" customFormat="1" x14ac:dyDescent="0.25"/>
    <row r="177029" s="12" customFormat="1" x14ac:dyDescent="0.25"/>
    <row r="177030" s="12" customFormat="1" x14ac:dyDescent="0.25"/>
    <row r="177031" s="12" customFormat="1" x14ac:dyDescent="0.25"/>
    <row r="177032" s="12" customFormat="1" x14ac:dyDescent="0.25"/>
    <row r="177033" s="12" customFormat="1" x14ac:dyDescent="0.25"/>
    <row r="177034" s="12" customFormat="1" x14ac:dyDescent="0.25"/>
    <row r="177035" s="12" customFormat="1" x14ac:dyDescent="0.25"/>
    <row r="177036" s="12" customFormat="1" x14ac:dyDescent="0.25"/>
    <row r="177037" s="12" customFormat="1" x14ac:dyDescent="0.25"/>
    <row r="177038" s="12" customFormat="1" x14ac:dyDescent="0.25"/>
    <row r="177039" s="12" customFormat="1" x14ac:dyDescent="0.25"/>
    <row r="177040" s="12" customFormat="1" x14ac:dyDescent="0.25"/>
    <row r="177041" s="12" customFormat="1" x14ac:dyDescent="0.25"/>
    <row r="177042" s="12" customFormat="1" x14ac:dyDescent="0.25"/>
    <row r="177043" s="12" customFormat="1" x14ac:dyDescent="0.25"/>
    <row r="177044" s="12" customFormat="1" x14ac:dyDescent="0.25"/>
    <row r="177045" s="12" customFormat="1" x14ac:dyDescent="0.25"/>
    <row r="177046" s="12" customFormat="1" x14ac:dyDescent="0.25"/>
    <row r="177047" s="12" customFormat="1" x14ac:dyDescent="0.25"/>
    <row r="177048" s="12" customFormat="1" x14ac:dyDescent="0.25"/>
    <row r="177049" s="12" customFormat="1" x14ac:dyDescent="0.25"/>
    <row r="177050" s="12" customFormat="1" x14ac:dyDescent="0.25"/>
    <row r="177051" s="12" customFormat="1" x14ac:dyDescent="0.25"/>
    <row r="177052" s="12" customFormat="1" x14ac:dyDescent="0.25"/>
    <row r="177053" s="12" customFormat="1" x14ac:dyDescent="0.25"/>
    <row r="177054" s="12" customFormat="1" x14ac:dyDescent="0.25"/>
    <row r="177055" s="12" customFormat="1" x14ac:dyDescent="0.25"/>
    <row r="177056" s="12" customFormat="1" x14ac:dyDescent="0.25"/>
    <row r="177057" s="12" customFormat="1" x14ac:dyDescent="0.25"/>
    <row r="177058" s="12" customFormat="1" x14ac:dyDescent="0.25"/>
    <row r="177059" s="12" customFormat="1" x14ac:dyDescent="0.25"/>
    <row r="177060" s="12" customFormat="1" x14ac:dyDescent="0.25"/>
    <row r="177061" s="12" customFormat="1" x14ac:dyDescent="0.25"/>
    <row r="177062" s="12" customFormat="1" x14ac:dyDescent="0.25"/>
    <row r="177063" s="12" customFormat="1" x14ac:dyDescent="0.25"/>
    <row r="177064" s="12" customFormat="1" x14ac:dyDescent="0.25"/>
    <row r="177065" s="12" customFormat="1" x14ac:dyDescent="0.25"/>
    <row r="177066" s="12" customFormat="1" x14ac:dyDescent="0.25"/>
    <row r="177067" s="12" customFormat="1" x14ac:dyDescent="0.25"/>
    <row r="177068" s="12" customFormat="1" x14ac:dyDescent="0.25"/>
    <row r="177069" s="12" customFormat="1" x14ac:dyDescent="0.25"/>
    <row r="177070" s="12" customFormat="1" x14ac:dyDescent="0.25"/>
    <row r="177071" s="12" customFormat="1" x14ac:dyDescent="0.25"/>
    <row r="177072" s="12" customFormat="1" x14ac:dyDescent="0.25"/>
    <row r="177073" s="12" customFormat="1" x14ac:dyDescent="0.25"/>
    <row r="177074" s="12" customFormat="1" x14ac:dyDescent="0.25"/>
    <row r="177075" s="12" customFormat="1" x14ac:dyDescent="0.25"/>
    <row r="177076" s="12" customFormat="1" x14ac:dyDescent="0.25"/>
    <row r="177077" s="12" customFormat="1" x14ac:dyDescent="0.25"/>
    <row r="177078" s="12" customFormat="1" x14ac:dyDescent="0.25"/>
    <row r="177079" s="12" customFormat="1" x14ac:dyDescent="0.25"/>
    <row r="177080" s="12" customFormat="1" x14ac:dyDescent="0.25"/>
    <row r="177081" s="12" customFormat="1" x14ac:dyDescent="0.25"/>
    <row r="177082" s="12" customFormat="1" x14ac:dyDescent="0.25"/>
    <row r="177083" s="12" customFormat="1" x14ac:dyDescent="0.25"/>
    <row r="177084" s="12" customFormat="1" x14ac:dyDescent="0.25"/>
    <row r="177085" s="12" customFormat="1" x14ac:dyDescent="0.25"/>
    <row r="177086" s="12" customFormat="1" x14ac:dyDescent="0.25"/>
    <row r="177087" s="12" customFormat="1" x14ac:dyDescent="0.25"/>
    <row r="177088" s="12" customFormat="1" x14ac:dyDescent="0.25"/>
    <row r="177089" s="12" customFormat="1" x14ac:dyDescent="0.25"/>
    <row r="177090" s="12" customFormat="1" x14ac:dyDescent="0.25"/>
    <row r="177091" s="12" customFormat="1" x14ac:dyDescent="0.25"/>
    <row r="177092" s="12" customFormat="1" x14ac:dyDescent="0.25"/>
    <row r="177093" s="12" customFormat="1" x14ac:dyDescent="0.25"/>
    <row r="177094" s="12" customFormat="1" x14ac:dyDescent="0.25"/>
    <row r="177095" s="12" customFormat="1" x14ac:dyDescent="0.25"/>
    <row r="177096" s="12" customFormat="1" x14ac:dyDescent="0.25"/>
    <row r="177097" s="12" customFormat="1" x14ac:dyDescent="0.25"/>
    <row r="177098" s="12" customFormat="1" x14ac:dyDescent="0.25"/>
    <row r="177099" s="12" customFormat="1" x14ac:dyDescent="0.25"/>
    <row r="177100" s="12" customFormat="1" x14ac:dyDescent="0.25"/>
    <row r="177101" s="12" customFormat="1" x14ac:dyDescent="0.25"/>
    <row r="177102" s="12" customFormat="1" x14ac:dyDescent="0.25"/>
    <row r="177103" s="12" customFormat="1" x14ac:dyDescent="0.25"/>
    <row r="177104" s="12" customFormat="1" x14ac:dyDescent="0.25"/>
    <row r="177105" s="12" customFormat="1" x14ac:dyDescent="0.25"/>
    <row r="177106" s="12" customFormat="1" x14ac:dyDescent="0.25"/>
    <row r="177107" s="12" customFormat="1" x14ac:dyDescent="0.25"/>
    <row r="177108" s="12" customFormat="1" x14ac:dyDescent="0.25"/>
    <row r="177109" s="12" customFormat="1" x14ac:dyDescent="0.25"/>
    <row r="177110" s="12" customFormat="1" x14ac:dyDescent="0.25"/>
    <row r="177111" s="12" customFormat="1" x14ac:dyDescent="0.25"/>
    <row r="177112" s="12" customFormat="1" x14ac:dyDescent="0.25"/>
    <row r="177113" s="12" customFormat="1" x14ac:dyDescent="0.25"/>
    <row r="177114" s="12" customFormat="1" x14ac:dyDescent="0.25"/>
    <row r="177115" s="12" customFormat="1" x14ac:dyDescent="0.25"/>
    <row r="177116" s="12" customFormat="1" x14ac:dyDescent="0.25"/>
    <row r="177117" s="12" customFormat="1" x14ac:dyDescent="0.25"/>
    <row r="177118" s="12" customFormat="1" x14ac:dyDescent="0.25"/>
    <row r="177119" s="12" customFormat="1" x14ac:dyDescent="0.25"/>
    <row r="177120" s="12" customFormat="1" x14ac:dyDescent="0.25"/>
    <row r="177121" s="12" customFormat="1" x14ac:dyDescent="0.25"/>
    <row r="177122" s="12" customFormat="1" x14ac:dyDescent="0.25"/>
    <row r="177123" s="12" customFormat="1" x14ac:dyDescent="0.25"/>
    <row r="177124" s="12" customFormat="1" x14ac:dyDescent="0.25"/>
    <row r="177125" s="12" customFormat="1" x14ac:dyDescent="0.25"/>
    <row r="177126" s="12" customFormat="1" x14ac:dyDescent="0.25"/>
    <row r="177127" s="12" customFormat="1" x14ac:dyDescent="0.25"/>
    <row r="177128" s="12" customFormat="1" x14ac:dyDescent="0.25"/>
    <row r="177129" s="12" customFormat="1" x14ac:dyDescent="0.25"/>
    <row r="177130" s="12" customFormat="1" x14ac:dyDescent="0.25"/>
    <row r="177131" s="12" customFormat="1" x14ac:dyDescent="0.25"/>
    <row r="177132" s="12" customFormat="1" x14ac:dyDescent="0.25"/>
    <row r="177133" s="12" customFormat="1" x14ac:dyDescent="0.25"/>
    <row r="177134" s="12" customFormat="1" x14ac:dyDescent="0.25"/>
    <row r="177135" s="12" customFormat="1" x14ac:dyDescent="0.25"/>
    <row r="177136" s="12" customFormat="1" x14ac:dyDescent="0.25"/>
    <row r="177137" s="12" customFormat="1" x14ac:dyDescent="0.25"/>
    <row r="177138" s="12" customFormat="1" x14ac:dyDescent="0.25"/>
    <row r="177139" s="12" customFormat="1" x14ac:dyDescent="0.25"/>
    <row r="177140" s="12" customFormat="1" x14ac:dyDescent="0.25"/>
    <row r="177141" s="12" customFormat="1" x14ac:dyDescent="0.25"/>
    <row r="177142" s="12" customFormat="1" x14ac:dyDescent="0.25"/>
    <row r="177143" s="12" customFormat="1" x14ac:dyDescent="0.25"/>
    <row r="177144" s="12" customFormat="1" x14ac:dyDescent="0.25"/>
    <row r="177145" s="12" customFormat="1" x14ac:dyDescent="0.25"/>
    <row r="177146" s="12" customFormat="1" x14ac:dyDescent="0.25"/>
    <row r="177147" s="12" customFormat="1" x14ac:dyDescent="0.25"/>
    <row r="177148" s="12" customFormat="1" x14ac:dyDescent="0.25"/>
    <row r="177149" s="12" customFormat="1" x14ac:dyDescent="0.25"/>
    <row r="177150" s="12" customFormat="1" x14ac:dyDescent="0.25"/>
    <row r="177151" s="12" customFormat="1" x14ac:dyDescent="0.25"/>
    <row r="177152" s="12" customFormat="1" x14ac:dyDescent="0.25"/>
    <row r="177153" s="12" customFormat="1" x14ac:dyDescent="0.25"/>
    <row r="177154" s="12" customFormat="1" x14ac:dyDescent="0.25"/>
    <row r="177155" s="12" customFormat="1" x14ac:dyDescent="0.25"/>
    <row r="177156" s="12" customFormat="1" x14ac:dyDescent="0.25"/>
    <row r="177157" s="12" customFormat="1" x14ac:dyDescent="0.25"/>
    <row r="177158" s="12" customFormat="1" x14ac:dyDescent="0.25"/>
    <row r="177159" s="12" customFormat="1" x14ac:dyDescent="0.25"/>
    <row r="177160" s="12" customFormat="1" x14ac:dyDescent="0.25"/>
    <row r="177161" s="12" customFormat="1" x14ac:dyDescent="0.25"/>
    <row r="177162" s="12" customFormat="1" x14ac:dyDescent="0.25"/>
    <row r="177163" s="12" customFormat="1" x14ac:dyDescent="0.25"/>
    <row r="177164" s="12" customFormat="1" x14ac:dyDescent="0.25"/>
    <row r="177165" s="12" customFormat="1" x14ac:dyDescent="0.25"/>
    <row r="177166" s="12" customFormat="1" x14ac:dyDescent="0.25"/>
    <row r="177167" s="12" customFormat="1" x14ac:dyDescent="0.25"/>
    <row r="177168" s="12" customFormat="1" x14ac:dyDescent="0.25"/>
    <row r="177169" s="12" customFormat="1" x14ac:dyDescent="0.25"/>
    <row r="177170" s="12" customFormat="1" x14ac:dyDescent="0.25"/>
    <row r="177171" s="12" customFormat="1" x14ac:dyDescent="0.25"/>
    <row r="177172" s="12" customFormat="1" x14ac:dyDescent="0.25"/>
    <row r="177173" s="12" customFormat="1" x14ac:dyDescent="0.25"/>
    <row r="177174" s="12" customFormat="1" x14ac:dyDescent="0.25"/>
    <row r="177175" s="12" customFormat="1" x14ac:dyDescent="0.25"/>
    <row r="177176" s="12" customFormat="1" x14ac:dyDescent="0.25"/>
    <row r="177177" s="12" customFormat="1" x14ac:dyDescent="0.25"/>
    <row r="177178" s="12" customFormat="1" x14ac:dyDescent="0.25"/>
    <row r="177179" s="12" customFormat="1" x14ac:dyDescent="0.25"/>
    <row r="177180" s="12" customFormat="1" x14ac:dyDescent="0.25"/>
    <row r="177181" s="12" customFormat="1" x14ac:dyDescent="0.25"/>
    <row r="177182" s="12" customFormat="1" x14ac:dyDescent="0.25"/>
    <row r="177183" s="12" customFormat="1" x14ac:dyDescent="0.25"/>
    <row r="177184" s="12" customFormat="1" x14ac:dyDescent="0.25"/>
    <row r="177185" s="12" customFormat="1" x14ac:dyDescent="0.25"/>
    <row r="177186" s="12" customFormat="1" x14ac:dyDescent="0.25"/>
    <row r="177187" s="12" customFormat="1" x14ac:dyDescent="0.25"/>
    <row r="177188" s="12" customFormat="1" x14ac:dyDescent="0.25"/>
    <row r="177189" s="12" customFormat="1" x14ac:dyDescent="0.25"/>
    <row r="177190" s="12" customFormat="1" x14ac:dyDescent="0.25"/>
    <row r="177191" s="12" customFormat="1" x14ac:dyDescent="0.25"/>
    <row r="177192" s="12" customFormat="1" x14ac:dyDescent="0.25"/>
    <row r="177193" s="12" customFormat="1" x14ac:dyDescent="0.25"/>
    <row r="177194" s="12" customFormat="1" x14ac:dyDescent="0.25"/>
    <row r="177195" s="12" customFormat="1" x14ac:dyDescent="0.25"/>
    <row r="177196" s="12" customFormat="1" x14ac:dyDescent="0.25"/>
    <row r="177197" s="12" customFormat="1" x14ac:dyDescent="0.25"/>
    <row r="177198" s="12" customFormat="1" x14ac:dyDescent="0.25"/>
    <row r="177199" s="12" customFormat="1" x14ac:dyDescent="0.25"/>
    <row r="177200" s="12" customFormat="1" x14ac:dyDescent="0.25"/>
    <row r="177201" s="12" customFormat="1" x14ac:dyDescent="0.25"/>
    <row r="177202" s="12" customFormat="1" x14ac:dyDescent="0.25"/>
    <row r="177203" s="12" customFormat="1" x14ac:dyDescent="0.25"/>
    <row r="177204" s="12" customFormat="1" x14ac:dyDescent="0.25"/>
    <row r="177205" s="12" customFormat="1" x14ac:dyDescent="0.25"/>
    <row r="177206" s="12" customFormat="1" x14ac:dyDescent="0.25"/>
    <row r="177207" s="12" customFormat="1" x14ac:dyDescent="0.25"/>
    <row r="177208" s="12" customFormat="1" x14ac:dyDescent="0.25"/>
    <row r="177209" s="12" customFormat="1" x14ac:dyDescent="0.25"/>
    <row r="177210" s="12" customFormat="1" x14ac:dyDescent="0.25"/>
    <row r="177211" s="12" customFormat="1" x14ac:dyDescent="0.25"/>
    <row r="177212" s="12" customFormat="1" x14ac:dyDescent="0.25"/>
    <row r="177213" s="12" customFormat="1" x14ac:dyDescent="0.25"/>
    <row r="177214" s="12" customFormat="1" x14ac:dyDescent="0.25"/>
    <row r="177215" s="12" customFormat="1" x14ac:dyDescent="0.25"/>
    <row r="177216" s="12" customFormat="1" x14ac:dyDescent="0.25"/>
    <row r="177217" s="12" customFormat="1" x14ac:dyDescent="0.25"/>
    <row r="177218" s="12" customFormat="1" x14ac:dyDescent="0.25"/>
    <row r="177219" s="12" customFormat="1" x14ac:dyDescent="0.25"/>
    <row r="177220" s="12" customFormat="1" x14ac:dyDescent="0.25"/>
    <row r="177221" s="12" customFormat="1" x14ac:dyDescent="0.25"/>
    <row r="177222" s="12" customFormat="1" x14ac:dyDescent="0.25"/>
    <row r="177223" s="12" customFormat="1" x14ac:dyDescent="0.25"/>
    <row r="177224" s="12" customFormat="1" x14ac:dyDescent="0.25"/>
    <row r="177225" s="12" customFormat="1" x14ac:dyDescent="0.25"/>
    <row r="177226" s="12" customFormat="1" x14ac:dyDescent="0.25"/>
    <row r="177227" s="12" customFormat="1" x14ac:dyDescent="0.25"/>
    <row r="177228" s="12" customFormat="1" x14ac:dyDescent="0.25"/>
    <row r="177229" s="12" customFormat="1" x14ac:dyDescent="0.25"/>
    <row r="177230" s="12" customFormat="1" x14ac:dyDescent="0.25"/>
    <row r="177231" s="12" customFormat="1" x14ac:dyDescent="0.25"/>
    <row r="177232" s="12" customFormat="1" x14ac:dyDescent="0.25"/>
    <row r="177233" s="12" customFormat="1" x14ac:dyDescent="0.25"/>
    <row r="177234" s="12" customFormat="1" x14ac:dyDescent="0.25"/>
    <row r="177235" s="12" customFormat="1" x14ac:dyDescent="0.25"/>
    <row r="177236" s="12" customFormat="1" x14ac:dyDescent="0.25"/>
    <row r="177237" s="12" customFormat="1" x14ac:dyDescent="0.25"/>
    <row r="177238" s="12" customFormat="1" x14ac:dyDescent="0.25"/>
    <row r="177239" s="12" customFormat="1" x14ac:dyDescent="0.25"/>
    <row r="177240" s="12" customFormat="1" x14ac:dyDescent="0.25"/>
    <row r="177241" s="12" customFormat="1" x14ac:dyDescent="0.25"/>
    <row r="177242" s="12" customFormat="1" x14ac:dyDescent="0.25"/>
    <row r="177243" s="12" customFormat="1" x14ac:dyDescent="0.25"/>
    <row r="177244" s="12" customFormat="1" x14ac:dyDescent="0.25"/>
    <row r="177245" s="12" customFormat="1" x14ac:dyDescent="0.25"/>
    <row r="177246" s="12" customFormat="1" x14ac:dyDescent="0.25"/>
    <row r="177247" s="12" customFormat="1" x14ac:dyDescent="0.25"/>
    <row r="177248" s="12" customFormat="1" x14ac:dyDescent="0.25"/>
    <row r="177249" s="12" customFormat="1" x14ac:dyDescent="0.25"/>
    <row r="177250" s="12" customFormat="1" x14ac:dyDescent="0.25"/>
    <row r="177251" s="12" customFormat="1" x14ac:dyDescent="0.25"/>
    <row r="177252" s="12" customFormat="1" x14ac:dyDescent="0.25"/>
    <row r="177253" s="12" customFormat="1" x14ac:dyDescent="0.25"/>
    <row r="177254" s="12" customFormat="1" x14ac:dyDescent="0.25"/>
    <row r="177255" s="12" customFormat="1" x14ac:dyDescent="0.25"/>
    <row r="177256" s="12" customFormat="1" x14ac:dyDescent="0.25"/>
    <row r="177257" s="12" customFormat="1" x14ac:dyDescent="0.25"/>
    <row r="177258" s="12" customFormat="1" x14ac:dyDescent="0.25"/>
    <row r="177259" s="12" customFormat="1" x14ac:dyDescent="0.25"/>
    <row r="177260" s="12" customFormat="1" x14ac:dyDescent="0.25"/>
    <row r="177261" s="12" customFormat="1" x14ac:dyDescent="0.25"/>
    <row r="177262" s="12" customFormat="1" x14ac:dyDescent="0.25"/>
    <row r="177263" s="12" customFormat="1" x14ac:dyDescent="0.25"/>
    <row r="177264" s="12" customFormat="1" x14ac:dyDescent="0.25"/>
    <row r="177265" s="12" customFormat="1" x14ac:dyDescent="0.25"/>
    <row r="177266" s="12" customFormat="1" x14ac:dyDescent="0.25"/>
    <row r="177267" s="12" customFormat="1" x14ac:dyDescent="0.25"/>
    <row r="177268" s="12" customFormat="1" x14ac:dyDescent="0.25"/>
    <row r="177269" s="12" customFormat="1" x14ac:dyDescent="0.25"/>
    <row r="177270" s="12" customFormat="1" x14ac:dyDescent="0.25"/>
    <row r="177271" s="12" customFormat="1" x14ac:dyDescent="0.25"/>
    <row r="177272" s="12" customFormat="1" x14ac:dyDescent="0.25"/>
    <row r="177273" s="12" customFormat="1" x14ac:dyDescent="0.25"/>
    <row r="177274" s="12" customFormat="1" x14ac:dyDescent="0.25"/>
    <row r="177275" s="12" customFormat="1" x14ac:dyDescent="0.25"/>
    <row r="177276" s="12" customFormat="1" x14ac:dyDescent="0.25"/>
    <row r="177277" s="12" customFormat="1" x14ac:dyDescent="0.25"/>
    <row r="177278" s="12" customFormat="1" x14ac:dyDescent="0.25"/>
    <row r="177279" s="12" customFormat="1" x14ac:dyDescent="0.25"/>
    <row r="177280" s="12" customFormat="1" x14ac:dyDescent="0.25"/>
    <row r="177281" s="12" customFormat="1" x14ac:dyDescent="0.25"/>
    <row r="177282" s="12" customFormat="1" x14ac:dyDescent="0.25"/>
    <row r="177283" s="12" customFormat="1" x14ac:dyDescent="0.25"/>
    <row r="177284" s="12" customFormat="1" x14ac:dyDescent="0.25"/>
    <row r="177285" s="12" customFormat="1" x14ac:dyDescent="0.25"/>
    <row r="177286" s="12" customFormat="1" x14ac:dyDescent="0.25"/>
    <row r="177287" s="12" customFormat="1" x14ac:dyDescent="0.25"/>
    <row r="177288" s="12" customFormat="1" x14ac:dyDescent="0.25"/>
    <row r="177289" s="12" customFormat="1" x14ac:dyDescent="0.25"/>
    <row r="177290" s="12" customFormat="1" x14ac:dyDescent="0.25"/>
    <row r="177291" s="12" customFormat="1" x14ac:dyDescent="0.25"/>
    <row r="177292" s="12" customFormat="1" x14ac:dyDescent="0.25"/>
    <row r="177293" s="12" customFormat="1" x14ac:dyDescent="0.25"/>
    <row r="177294" s="12" customFormat="1" x14ac:dyDescent="0.25"/>
    <row r="177295" s="12" customFormat="1" x14ac:dyDescent="0.25"/>
    <row r="177296" s="12" customFormat="1" x14ac:dyDescent="0.25"/>
    <row r="177297" s="12" customFormat="1" x14ac:dyDescent="0.25"/>
    <row r="177298" s="12" customFormat="1" x14ac:dyDescent="0.25"/>
    <row r="177299" s="12" customFormat="1" x14ac:dyDescent="0.25"/>
    <row r="177300" s="12" customFormat="1" x14ac:dyDescent="0.25"/>
    <row r="177301" s="12" customFormat="1" x14ac:dyDescent="0.25"/>
    <row r="177302" s="12" customFormat="1" x14ac:dyDescent="0.25"/>
    <row r="177303" s="12" customFormat="1" x14ac:dyDescent="0.25"/>
    <row r="177304" s="12" customFormat="1" x14ac:dyDescent="0.25"/>
    <row r="177305" s="12" customFormat="1" x14ac:dyDescent="0.25"/>
    <row r="177306" s="12" customFormat="1" x14ac:dyDescent="0.25"/>
    <row r="177307" s="12" customFormat="1" x14ac:dyDescent="0.25"/>
    <row r="177308" s="12" customFormat="1" x14ac:dyDescent="0.25"/>
    <row r="177309" s="12" customFormat="1" x14ac:dyDescent="0.25"/>
    <row r="177310" s="12" customFormat="1" x14ac:dyDescent="0.25"/>
    <row r="177311" s="12" customFormat="1" x14ac:dyDescent="0.25"/>
    <row r="177312" s="12" customFormat="1" x14ac:dyDescent="0.25"/>
    <row r="177313" s="12" customFormat="1" x14ac:dyDescent="0.25"/>
    <row r="177314" s="12" customFormat="1" x14ac:dyDescent="0.25"/>
    <row r="177315" s="12" customFormat="1" x14ac:dyDescent="0.25"/>
    <row r="177316" s="12" customFormat="1" x14ac:dyDescent="0.25"/>
    <row r="177317" s="12" customFormat="1" x14ac:dyDescent="0.25"/>
    <row r="177318" s="12" customFormat="1" x14ac:dyDescent="0.25"/>
    <row r="177319" s="12" customFormat="1" x14ac:dyDescent="0.25"/>
    <row r="177320" s="12" customFormat="1" x14ac:dyDescent="0.25"/>
    <row r="177321" s="12" customFormat="1" x14ac:dyDescent="0.25"/>
    <row r="177322" s="12" customFormat="1" x14ac:dyDescent="0.25"/>
    <row r="177323" s="12" customFormat="1" x14ac:dyDescent="0.25"/>
    <row r="177324" s="12" customFormat="1" x14ac:dyDescent="0.25"/>
    <row r="177325" s="12" customFormat="1" x14ac:dyDescent="0.25"/>
    <row r="177326" s="12" customFormat="1" x14ac:dyDescent="0.25"/>
    <row r="177327" s="12" customFormat="1" x14ac:dyDescent="0.25"/>
    <row r="177328" s="12" customFormat="1" x14ac:dyDescent="0.25"/>
    <row r="177329" s="12" customFormat="1" x14ac:dyDescent="0.25"/>
    <row r="177330" s="12" customFormat="1" x14ac:dyDescent="0.25"/>
    <row r="177331" s="12" customFormat="1" x14ac:dyDescent="0.25"/>
    <row r="177332" s="12" customFormat="1" x14ac:dyDescent="0.25"/>
    <row r="177333" s="12" customFormat="1" x14ac:dyDescent="0.25"/>
    <row r="177334" s="12" customFormat="1" x14ac:dyDescent="0.25"/>
    <row r="177335" s="12" customFormat="1" x14ac:dyDescent="0.25"/>
    <row r="177336" s="12" customFormat="1" x14ac:dyDescent="0.25"/>
    <row r="177337" s="12" customFormat="1" x14ac:dyDescent="0.25"/>
    <row r="177338" s="12" customFormat="1" x14ac:dyDescent="0.25"/>
    <row r="177339" s="12" customFormat="1" x14ac:dyDescent="0.25"/>
    <row r="177340" s="12" customFormat="1" x14ac:dyDescent="0.25"/>
    <row r="177341" s="12" customFormat="1" x14ac:dyDescent="0.25"/>
    <row r="177342" s="12" customFormat="1" x14ac:dyDescent="0.25"/>
    <row r="177343" s="12" customFormat="1" x14ac:dyDescent="0.25"/>
    <row r="177344" s="12" customFormat="1" x14ac:dyDescent="0.25"/>
    <row r="177345" s="12" customFormat="1" x14ac:dyDescent="0.25"/>
    <row r="177346" s="12" customFormat="1" x14ac:dyDescent="0.25"/>
    <row r="177347" s="12" customFormat="1" x14ac:dyDescent="0.25"/>
    <row r="177348" s="12" customFormat="1" x14ac:dyDescent="0.25"/>
    <row r="177349" s="12" customFormat="1" x14ac:dyDescent="0.25"/>
    <row r="177350" s="12" customFormat="1" x14ac:dyDescent="0.25"/>
    <row r="177351" s="12" customFormat="1" x14ac:dyDescent="0.25"/>
    <row r="177352" s="12" customFormat="1" x14ac:dyDescent="0.25"/>
    <row r="177353" s="12" customFormat="1" x14ac:dyDescent="0.25"/>
    <row r="177354" s="12" customFormat="1" x14ac:dyDescent="0.25"/>
    <row r="177355" s="12" customFormat="1" x14ac:dyDescent="0.25"/>
    <row r="177356" s="12" customFormat="1" x14ac:dyDescent="0.25"/>
    <row r="177357" s="12" customFormat="1" x14ac:dyDescent="0.25"/>
    <row r="177358" s="12" customFormat="1" x14ac:dyDescent="0.25"/>
    <row r="177359" s="12" customFormat="1" x14ac:dyDescent="0.25"/>
    <row r="177360" s="12" customFormat="1" x14ac:dyDescent="0.25"/>
    <row r="177361" s="12" customFormat="1" x14ac:dyDescent="0.25"/>
    <row r="177362" s="12" customFormat="1" x14ac:dyDescent="0.25"/>
    <row r="177363" s="12" customFormat="1" x14ac:dyDescent="0.25"/>
    <row r="177364" s="12" customFormat="1" x14ac:dyDescent="0.25"/>
    <row r="177365" s="12" customFormat="1" x14ac:dyDescent="0.25"/>
    <row r="177366" s="12" customFormat="1" x14ac:dyDescent="0.25"/>
    <row r="177367" s="12" customFormat="1" x14ac:dyDescent="0.25"/>
    <row r="177368" s="12" customFormat="1" x14ac:dyDescent="0.25"/>
    <row r="177369" s="12" customFormat="1" x14ac:dyDescent="0.25"/>
    <row r="177370" s="12" customFormat="1" x14ac:dyDescent="0.25"/>
    <row r="177371" s="12" customFormat="1" x14ac:dyDescent="0.25"/>
    <row r="177372" s="12" customFormat="1" x14ac:dyDescent="0.25"/>
    <row r="177373" s="12" customFormat="1" x14ac:dyDescent="0.25"/>
    <row r="177374" s="12" customFormat="1" x14ac:dyDescent="0.25"/>
    <row r="177375" s="12" customFormat="1" x14ac:dyDescent="0.25"/>
    <row r="177376" s="12" customFormat="1" x14ac:dyDescent="0.25"/>
    <row r="177377" s="12" customFormat="1" x14ac:dyDescent="0.25"/>
    <row r="177378" s="12" customFormat="1" x14ac:dyDescent="0.25"/>
    <row r="177379" s="12" customFormat="1" x14ac:dyDescent="0.25"/>
    <row r="177380" s="12" customFormat="1" x14ac:dyDescent="0.25"/>
    <row r="177381" s="12" customFormat="1" x14ac:dyDescent="0.25"/>
    <row r="177382" s="12" customFormat="1" x14ac:dyDescent="0.25"/>
    <row r="177383" s="12" customFormat="1" x14ac:dyDescent="0.25"/>
    <row r="177384" s="12" customFormat="1" x14ac:dyDescent="0.25"/>
    <row r="177385" s="12" customFormat="1" x14ac:dyDescent="0.25"/>
    <row r="177386" s="12" customFormat="1" x14ac:dyDescent="0.25"/>
    <row r="177387" s="12" customFormat="1" x14ac:dyDescent="0.25"/>
    <row r="177388" s="12" customFormat="1" x14ac:dyDescent="0.25"/>
    <row r="177389" s="12" customFormat="1" x14ac:dyDescent="0.25"/>
    <row r="177390" s="12" customFormat="1" x14ac:dyDescent="0.25"/>
    <row r="177391" s="12" customFormat="1" x14ac:dyDescent="0.25"/>
    <row r="177392" s="12" customFormat="1" x14ac:dyDescent="0.25"/>
    <row r="177393" s="12" customFormat="1" x14ac:dyDescent="0.25"/>
    <row r="177394" s="12" customFormat="1" x14ac:dyDescent="0.25"/>
    <row r="177395" s="12" customFormat="1" x14ac:dyDescent="0.25"/>
    <row r="177396" s="12" customFormat="1" x14ac:dyDescent="0.25"/>
    <row r="177397" s="12" customFormat="1" x14ac:dyDescent="0.25"/>
    <row r="177398" s="12" customFormat="1" x14ac:dyDescent="0.25"/>
    <row r="177399" s="12" customFormat="1" x14ac:dyDescent="0.25"/>
    <row r="177400" s="12" customFormat="1" x14ac:dyDescent="0.25"/>
    <row r="177401" s="12" customFormat="1" x14ac:dyDescent="0.25"/>
    <row r="177402" s="12" customFormat="1" x14ac:dyDescent="0.25"/>
    <row r="177403" s="12" customFormat="1" x14ac:dyDescent="0.25"/>
    <row r="177404" s="12" customFormat="1" x14ac:dyDescent="0.25"/>
    <row r="177405" s="12" customFormat="1" x14ac:dyDescent="0.25"/>
    <row r="177406" s="12" customFormat="1" x14ac:dyDescent="0.25"/>
    <row r="177407" s="12" customFormat="1" x14ac:dyDescent="0.25"/>
    <row r="177408" s="12" customFormat="1" x14ac:dyDescent="0.25"/>
    <row r="177409" s="12" customFormat="1" x14ac:dyDescent="0.25"/>
    <row r="177410" s="12" customFormat="1" x14ac:dyDescent="0.25"/>
    <row r="177411" s="12" customFormat="1" x14ac:dyDescent="0.25"/>
    <row r="177412" s="12" customFormat="1" x14ac:dyDescent="0.25"/>
    <row r="177413" s="12" customFormat="1" x14ac:dyDescent="0.25"/>
    <row r="177414" s="12" customFormat="1" x14ac:dyDescent="0.25"/>
    <row r="177415" s="12" customFormat="1" x14ac:dyDescent="0.25"/>
    <row r="177416" s="12" customFormat="1" x14ac:dyDescent="0.25"/>
    <row r="177417" s="12" customFormat="1" x14ac:dyDescent="0.25"/>
    <row r="177418" s="12" customFormat="1" x14ac:dyDescent="0.25"/>
    <row r="177419" s="12" customFormat="1" x14ac:dyDescent="0.25"/>
    <row r="177420" s="12" customFormat="1" x14ac:dyDescent="0.25"/>
    <row r="177421" s="12" customFormat="1" x14ac:dyDescent="0.25"/>
    <row r="177422" s="12" customFormat="1" x14ac:dyDescent="0.25"/>
    <row r="177423" s="12" customFormat="1" x14ac:dyDescent="0.25"/>
    <row r="177424" s="12" customFormat="1" x14ac:dyDescent="0.25"/>
    <row r="177425" s="12" customFormat="1" x14ac:dyDescent="0.25"/>
    <row r="177426" s="12" customFormat="1" x14ac:dyDescent="0.25"/>
    <row r="177427" s="12" customFormat="1" x14ac:dyDescent="0.25"/>
    <row r="177428" s="12" customFormat="1" x14ac:dyDescent="0.25"/>
    <row r="177429" s="12" customFormat="1" x14ac:dyDescent="0.25"/>
    <row r="177430" s="12" customFormat="1" x14ac:dyDescent="0.25"/>
    <row r="177431" s="12" customFormat="1" x14ac:dyDescent="0.25"/>
    <row r="177432" s="12" customFormat="1" x14ac:dyDescent="0.25"/>
    <row r="177433" s="12" customFormat="1" x14ac:dyDescent="0.25"/>
    <row r="177434" s="12" customFormat="1" x14ac:dyDescent="0.25"/>
    <row r="177435" s="12" customFormat="1" x14ac:dyDescent="0.25"/>
    <row r="177436" s="12" customFormat="1" x14ac:dyDescent="0.25"/>
    <row r="177437" s="12" customFormat="1" x14ac:dyDescent="0.25"/>
    <row r="177438" s="12" customFormat="1" x14ac:dyDescent="0.25"/>
    <row r="177439" s="12" customFormat="1" x14ac:dyDescent="0.25"/>
    <row r="177440" s="12" customFormat="1" x14ac:dyDescent="0.25"/>
    <row r="177441" s="12" customFormat="1" x14ac:dyDescent="0.25"/>
    <row r="177442" s="12" customFormat="1" x14ac:dyDescent="0.25"/>
    <row r="177443" s="12" customFormat="1" x14ac:dyDescent="0.25"/>
    <row r="177444" s="12" customFormat="1" x14ac:dyDescent="0.25"/>
    <row r="177445" s="12" customFormat="1" x14ac:dyDescent="0.25"/>
    <row r="177446" s="12" customFormat="1" x14ac:dyDescent="0.25"/>
    <row r="177447" s="12" customFormat="1" x14ac:dyDescent="0.25"/>
    <row r="177448" s="12" customFormat="1" x14ac:dyDescent="0.25"/>
    <row r="177449" s="12" customFormat="1" x14ac:dyDescent="0.25"/>
    <row r="177450" s="12" customFormat="1" x14ac:dyDescent="0.25"/>
    <row r="177451" s="12" customFormat="1" x14ac:dyDescent="0.25"/>
    <row r="177452" s="12" customFormat="1" x14ac:dyDescent="0.25"/>
    <row r="177453" s="12" customFormat="1" x14ac:dyDescent="0.25"/>
    <row r="177454" s="12" customFormat="1" x14ac:dyDescent="0.25"/>
    <row r="177455" s="12" customFormat="1" x14ac:dyDescent="0.25"/>
    <row r="177456" s="12" customFormat="1" x14ac:dyDescent="0.25"/>
    <row r="177457" s="12" customFormat="1" x14ac:dyDescent="0.25"/>
    <row r="177458" s="12" customFormat="1" x14ac:dyDescent="0.25"/>
    <row r="177459" s="12" customFormat="1" x14ac:dyDescent="0.25"/>
    <row r="177460" s="12" customFormat="1" x14ac:dyDescent="0.25"/>
    <row r="177461" s="12" customFormat="1" x14ac:dyDescent="0.25"/>
    <row r="177462" s="12" customFormat="1" x14ac:dyDescent="0.25"/>
    <row r="177463" s="12" customFormat="1" x14ac:dyDescent="0.25"/>
    <row r="177464" s="12" customFormat="1" x14ac:dyDescent="0.25"/>
    <row r="177465" s="12" customFormat="1" x14ac:dyDescent="0.25"/>
    <row r="177466" s="12" customFormat="1" x14ac:dyDescent="0.25"/>
    <row r="177467" s="12" customFormat="1" x14ac:dyDescent="0.25"/>
    <row r="177468" s="12" customFormat="1" x14ac:dyDescent="0.25"/>
    <row r="177469" s="12" customFormat="1" x14ac:dyDescent="0.25"/>
    <row r="177470" s="12" customFormat="1" x14ac:dyDescent="0.25"/>
    <row r="177471" s="12" customFormat="1" x14ac:dyDescent="0.25"/>
    <row r="177472" s="12" customFormat="1" x14ac:dyDescent="0.25"/>
    <row r="177473" s="12" customFormat="1" x14ac:dyDescent="0.25"/>
    <row r="177474" s="12" customFormat="1" x14ac:dyDescent="0.25"/>
    <row r="177475" s="12" customFormat="1" x14ac:dyDescent="0.25"/>
    <row r="177476" s="12" customFormat="1" x14ac:dyDescent="0.25"/>
    <row r="177477" s="12" customFormat="1" x14ac:dyDescent="0.25"/>
    <row r="177478" s="12" customFormat="1" x14ac:dyDescent="0.25"/>
    <row r="177479" s="12" customFormat="1" x14ac:dyDescent="0.25"/>
    <row r="177480" s="12" customFormat="1" x14ac:dyDescent="0.25"/>
    <row r="177481" s="12" customFormat="1" x14ac:dyDescent="0.25"/>
    <row r="177482" s="12" customFormat="1" x14ac:dyDescent="0.25"/>
    <row r="177483" s="12" customFormat="1" x14ac:dyDescent="0.25"/>
    <row r="177484" s="12" customFormat="1" x14ac:dyDescent="0.25"/>
    <row r="177485" s="12" customFormat="1" x14ac:dyDescent="0.25"/>
    <row r="177486" s="12" customFormat="1" x14ac:dyDescent="0.25"/>
    <row r="177487" s="12" customFormat="1" x14ac:dyDescent="0.25"/>
    <row r="177488" s="12" customFormat="1" x14ac:dyDescent="0.25"/>
    <row r="177489" s="12" customFormat="1" x14ac:dyDescent="0.25"/>
    <row r="177490" s="12" customFormat="1" x14ac:dyDescent="0.25"/>
    <row r="177491" s="12" customFormat="1" x14ac:dyDescent="0.25"/>
    <row r="177492" s="12" customFormat="1" x14ac:dyDescent="0.25"/>
    <row r="177493" s="12" customFormat="1" x14ac:dyDescent="0.25"/>
    <row r="177494" s="12" customFormat="1" x14ac:dyDescent="0.25"/>
    <row r="177495" s="12" customFormat="1" x14ac:dyDescent="0.25"/>
    <row r="177496" s="12" customFormat="1" x14ac:dyDescent="0.25"/>
    <row r="177497" s="12" customFormat="1" x14ac:dyDescent="0.25"/>
    <row r="177498" s="12" customFormat="1" x14ac:dyDescent="0.25"/>
    <row r="177499" s="12" customFormat="1" x14ac:dyDescent="0.25"/>
    <row r="177500" s="12" customFormat="1" x14ac:dyDescent="0.25"/>
    <row r="177501" s="12" customFormat="1" x14ac:dyDescent="0.25"/>
    <row r="177502" s="12" customFormat="1" x14ac:dyDescent="0.25"/>
    <row r="177503" s="12" customFormat="1" x14ac:dyDescent="0.25"/>
    <row r="177504" s="12" customFormat="1" x14ac:dyDescent="0.25"/>
    <row r="177505" s="12" customFormat="1" x14ac:dyDescent="0.25"/>
    <row r="177506" s="12" customFormat="1" x14ac:dyDescent="0.25"/>
    <row r="177507" s="12" customFormat="1" x14ac:dyDescent="0.25"/>
    <row r="177508" s="12" customFormat="1" x14ac:dyDescent="0.25"/>
    <row r="177509" s="12" customFormat="1" x14ac:dyDescent="0.25"/>
    <row r="177510" s="12" customFormat="1" x14ac:dyDescent="0.25"/>
    <row r="177511" s="12" customFormat="1" x14ac:dyDescent="0.25"/>
    <row r="177512" s="12" customFormat="1" x14ac:dyDescent="0.25"/>
    <row r="177513" s="12" customFormat="1" x14ac:dyDescent="0.25"/>
    <row r="177514" s="12" customFormat="1" x14ac:dyDescent="0.25"/>
    <row r="177515" s="12" customFormat="1" x14ac:dyDescent="0.25"/>
    <row r="177516" s="12" customFormat="1" x14ac:dyDescent="0.25"/>
    <row r="177517" s="12" customFormat="1" x14ac:dyDescent="0.25"/>
    <row r="177518" s="12" customFormat="1" x14ac:dyDescent="0.25"/>
    <row r="177519" s="12" customFormat="1" x14ac:dyDescent="0.25"/>
    <row r="177520" s="12" customFormat="1" x14ac:dyDescent="0.25"/>
    <row r="177521" s="12" customFormat="1" x14ac:dyDescent="0.25"/>
    <row r="177522" s="12" customFormat="1" x14ac:dyDescent="0.25"/>
    <row r="177523" s="12" customFormat="1" x14ac:dyDescent="0.25"/>
    <row r="177524" s="12" customFormat="1" x14ac:dyDescent="0.25"/>
    <row r="177525" s="12" customFormat="1" x14ac:dyDescent="0.25"/>
    <row r="177526" s="12" customFormat="1" x14ac:dyDescent="0.25"/>
    <row r="177527" s="12" customFormat="1" x14ac:dyDescent="0.25"/>
    <row r="177528" s="12" customFormat="1" x14ac:dyDescent="0.25"/>
    <row r="177529" s="12" customFormat="1" x14ac:dyDescent="0.25"/>
    <row r="177530" s="12" customFormat="1" x14ac:dyDescent="0.25"/>
    <row r="177531" s="12" customFormat="1" x14ac:dyDescent="0.25"/>
    <row r="177532" s="12" customFormat="1" x14ac:dyDescent="0.25"/>
    <row r="177533" s="12" customFormat="1" x14ac:dyDescent="0.25"/>
    <row r="177534" s="12" customFormat="1" x14ac:dyDescent="0.25"/>
    <row r="177535" s="12" customFormat="1" x14ac:dyDescent="0.25"/>
    <row r="177536" s="12" customFormat="1" x14ac:dyDescent="0.25"/>
    <row r="177537" s="12" customFormat="1" x14ac:dyDescent="0.25"/>
    <row r="177538" s="12" customFormat="1" x14ac:dyDescent="0.25"/>
    <row r="177539" s="12" customFormat="1" x14ac:dyDescent="0.25"/>
    <row r="177540" s="12" customFormat="1" x14ac:dyDescent="0.25"/>
    <row r="177541" s="12" customFormat="1" x14ac:dyDescent="0.25"/>
    <row r="177542" s="12" customFormat="1" x14ac:dyDescent="0.25"/>
    <row r="177543" s="12" customFormat="1" x14ac:dyDescent="0.25"/>
    <row r="177544" s="12" customFormat="1" x14ac:dyDescent="0.25"/>
    <row r="177545" s="12" customFormat="1" x14ac:dyDescent="0.25"/>
    <row r="177546" s="12" customFormat="1" x14ac:dyDescent="0.25"/>
    <row r="177547" s="12" customFormat="1" x14ac:dyDescent="0.25"/>
    <row r="177548" s="12" customFormat="1" x14ac:dyDescent="0.25"/>
    <row r="177549" s="12" customFormat="1" x14ac:dyDescent="0.25"/>
    <row r="177550" s="12" customFormat="1" x14ac:dyDescent="0.25"/>
    <row r="177551" s="12" customFormat="1" x14ac:dyDescent="0.25"/>
    <row r="177552" s="12" customFormat="1" x14ac:dyDescent="0.25"/>
    <row r="177553" s="12" customFormat="1" x14ac:dyDescent="0.25"/>
    <row r="177554" s="12" customFormat="1" x14ac:dyDescent="0.25"/>
    <row r="177555" s="12" customFormat="1" x14ac:dyDescent="0.25"/>
    <row r="177556" s="12" customFormat="1" x14ac:dyDescent="0.25"/>
    <row r="177557" s="12" customFormat="1" x14ac:dyDescent="0.25"/>
    <row r="177558" s="12" customFormat="1" x14ac:dyDescent="0.25"/>
    <row r="177559" s="12" customFormat="1" x14ac:dyDescent="0.25"/>
    <row r="177560" s="12" customFormat="1" x14ac:dyDescent="0.25"/>
    <row r="177561" s="12" customFormat="1" x14ac:dyDescent="0.25"/>
    <row r="177562" s="12" customFormat="1" x14ac:dyDescent="0.25"/>
    <row r="177563" s="12" customFormat="1" x14ac:dyDescent="0.25"/>
    <row r="177564" s="12" customFormat="1" x14ac:dyDescent="0.25"/>
    <row r="177565" s="12" customFormat="1" x14ac:dyDescent="0.25"/>
    <row r="177566" s="12" customFormat="1" x14ac:dyDescent="0.25"/>
    <row r="177567" s="12" customFormat="1" x14ac:dyDescent="0.25"/>
    <row r="177568" s="12" customFormat="1" x14ac:dyDescent="0.25"/>
    <row r="177569" s="12" customFormat="1" x14ac:dyDescent="0.25"/>
    <row r="177570" s="12" customFormat="1" x14ac:dyDescent="0.25"/>
    <row r="177571" s="12" customFormat="1" x14ac:dyDescent="0.25"/>
    <row r="177572" s="12" customFormat="1" x14ac:dyDescent="0.25"/>
    <row r="177573" s="12" customFormat="1" x14ac:dyDescent="0.25"/>
    <row r="177574" s="12" customFormat="1" x14ac:dyDescent="0.25"/>
    <row r="177575" s="12" customFormat="1" x14ac:dyDescent="0.25"/>
    <row r="177576" s="12" customFormat="1" x14ac:dyDescent="0.25"/>
    <row r="177577" s="12" customFormat="1" x14ac:dyDescent="0.25"/>
    <row r="177578" s="12" customFormat="1" x14ac:dyDescent="0.25"/>
    <row r="177579" s="12" customFormat="1" x14ac:dyDescent="0.25"/>
    <row r="177580" s="12" customFormat="1" x14ac:dyDescent="0.25"/>
    <row r="177581" s="12" customFormat="1" x14ac:dyDescent="0.25"/>
    <row r="177582" s="12" customFormat="1" x14ac:dyDescent="0.25"/>
    <row r="177583" s="12" customFormat="1" x14ac:dyDescent="0.25"/>
    <row r="177584" s="12" customFormat="1" x14ac:dyDescent="0.25"/>
    <row r="177585" s="12" customFormat="1" x14ac:dyDescent="0.25"/>
    <row r="177586" s="12" customFormat="1" x14ac:dyDescent="0.25"/>
    <row r="177587" s="12" customFormat="1" x14ac:dyDescent="0.25"/>
    <row r="177588" s="12" customFormat="1" x14ac:dyDescent="0.25"/>
    <row r="177589" s="12" customFormat="1" x14ac:dyDescent="0.25"/>
    <row r="177590" s="12" customFormat="1" x14ac:dyDescent="0.25"/>
    <row r="177591" s="12" customFormat="1" x14ac:dyDescent="0.25"/>
    <row r="177592" s="12" customFormat="1" x14ac:dyDescent="0.25"/>
    <row r="177593" s="12" customFormat="1" x14ac:dyDescent="0.25"/>
    <row r="177594" s="12" customFormat="1" x14ac:dyDescent="0.25"/>
    <row r="177595" s="12" customFormat="1" x14ac:dyDescent="0.25"/>
    <row r="177596" s="12" customFormat="1" x14ac:dyDescent="0.25"/>
    <row r="177597" s="12" customFormat="1" x14ac:dyDescent="0.25"/>
    <row r="177598" s="12" customFormat="1" x14ac:dyDescent="0.25"/>
    <row r="177599" s="12" customFormat="1" x14ac:dyDescent="0.25"/>
    <row r="177600" s="12" customFormat="1" x14ac:dyDescent="0.25"/>
    <row r="177601" s="12" customFormat="1" x14ac:dyDescent="0.25"/>
    <row r="177602" s="12" customFormat="1" x14ac:dyDescent="0.25"/>
    <row r="177603" s="12" customFormat="1" x14ac:dyDescent="0.25"/>
    <row r="177604" s="12" customFormat="1" x14ac:dyDescent="0.25"/>
    <row r="177605" s="12" customFormat="1" x14ac:dyDescent="0.25"/>
    <row r="177606" s="12" customFormat="1" x14ac:dyDescent="0.25"/>
    <row r="177607" s="12" customFormat="1" x14ac:dyDescent="0.25"/>
    <row r="177608" s="12" customFormat="1" x14ac:dyDescent="0.25"/>
    <row r="177609" s="12" customFormat="1" x14ac:dyDescent="0.25"/>
    <row r="177610" s="12" customFormat="1" x14ac:dyDescent="0.25"/>
    <row r="177611" s="12" customFormat="1" x14ac:dyDescent="0.25"/>
    <row r="177612" s="12" customFormat="1" x14ac:dyDescent="0.25"/>
    <row r="177613" s="12" customFormat="1" x14ac:dyDescent="0.25"/>
    <row r="177614" s="12" customFormat="1" x14ac:dyDescent="0.25"/>
    <row r="177615" s="12" customFormat="1" x14ac:dyDescent="0.25"/>
    <row r="177616" s="12" customFormat="1" x14ac:dyDescent="0.25"/>
    <row r="177617" s="12" customFormat="1" x14ac:dyDescent="0.25"/>
    <row r="177618" s="12" customFormat="1" x14ac:dyDescent="0.25"/>
    <row r="177619" s="12" customFormat="1" x14ac:dyDescent="0.25"/>
    <row r="177620" s="12" customFormat="1" x14ac:dyDescent="0.25"/>
    <row r="177621" s="12" customFormat="1" x14ac:dyDescent="0.25"/>
    <row r="177622" s="12" customFormat="1" x14ac:dyDescent="0.25"/>
    <row r="177623" s="12" customFormat="1" x14ac:dyDescent="0.25"/>
    <row r="177624" s="12" customFormat="1" x14ac:dyDescent="0.25"/>
    <row r="177625" s="12" customFormat="1" x14ac:dyDescent="0.25"/>
    <row r="177626" s="12" customFormat="1" x14ac:dyDescent="0.25"/>
    <row r="177627" s="12" customFormat="1" x14ac:dyDescent="0.25"/>
    <row r="177628" s="12" customFormat="1" x14ac:dyDescent="0.25"/>
    <row r="177629" s="12" customFormat="1" x14ac:dyDescent="0.25"/>
    <row r="177630" s="12" customFormat="1" x14ac:dyDescent="0.25"/>
    <row r="177631" s="12" customFormat="1" x14ac:dyDescent="0.25"/>
    <row r="177632" s="12" customFormat="1" x14ac:dyDescent="0.25"/>
    <row r="177633" s="12" customFormat="1" x14ac:dyDescent="0.25"/>
    <row r="177634" s="12" customFormat="1" x14ac:dyDescent="0.25"/>
    <row r="177635" s="12" customFormat="1" x14ac:dyDescent="0.25"/>
    <row r="177636" s="12" customFormat="1" x14ac:dyDescent="0.25"/>
    <row r="177637" s="12" customFormat="1" x14ac:dyDescent="0.25"/>
    <row r="177638" s="12" customFormat="1" x14ac:dyDescent="0.25"/>
    <row r="177639" s="12" customFormat="1" x14ac:dyDescent="0.25"/>
    <row r="177640" s="12" customFormat="1" x14ac:dyDescent="0.25"/>
    <row r="177641" s="12" customFormat="1" x14ac:dyDescent="0.25"/>
    <row r="177642" s="12" customFormat="1" x14ac:dyDescent="0.25"/>
    <row r="177643" s="12" customFormat="1" x14ac:dyDescent="0.25"/>
    <row r="177644" s="12" customFormat="1" x14ac:dyDescent="0.25"/>
    <row r="177645" s="12" customFormat="1" x14ac:dyDescent="0.25"/>
    <row r="177646" s="12" customFormat="1" x14ac:dyDescent="0.25"/>
    <row r="177647" s="12" customFormat="1" x14ac:dyDescent="0.25"/>
    <row r="177648" s="12" customFormat="1" x14ac:dyDescent="0.25"/>
    <row r="177649" s="12" customFormat="1" x14ac:dyDescent="0.25"/>
    <row r="177650" s="12" customFormat="1" x14ac:dyDescent="0.25"/>
    <row r="177651" s="12" customFormat="1" x14ac:dyDescent="0.25"/>
    <row r="177652" s="12" customFormat="1" x14ac:dyDescent="0.25"/>
    <row r="177653" s="12" customFormat="1" x14ac:dyDescent="0.25"/>
    <row r="177654" s="12" customFormat="1" x14ac:dyDescent="0.25"/>
    <row r="177655" s="12" customFormat="1" x14ac:dyDescent="0.25"/>
    <row r="177656" s="12" customFormat="1" x14ac:dyDescent="0.25"/>
    <row r="177657" s="12" customFormat="1" x14ac:dyDescent="0.25"/>
    <row r="177658" s="12" customFormat="1" x14ac:dyDescent="0.25"/>
    <row r="177659" s="12" customFormat="1" x14ac:dyDescent="0.25"/>
    <row r="177660" s="12" customFormat="1" x14ac:dyDescent="0.25"/>
    <row r="177661" s="12" customFormat="1" x14ac:dyDescent="0.25"/>
    <row r="177662" s="12" customFormat="1" x14ac:dyDescent="0.25"/>
    <row r="177663" s="12" customFormat="1" x14ac:dyDescent="0.25"/>
    <row r="177664" s="12" customFormat="1" x14ac:dyDescent="0.25"/>
    <row r="177665" s="12" customFormat="1" x14ac:dyDescent="0.25"/>
    <row r="177666" s="12" customFormat="1" x14ac:dyDescent="0.25"/>
    <row r="177667" s="12" customFormat="1" x14ac:dyDescent="0.25"/>
    <row r="177668" s="12" customFormat="1" x14ac:dyDescent="0.25"/>
    <row r="177669" s="12" customFormat="1" x14ac:dyDescent="0.25"/>
    <row r="177670" s="12" customFormat="1" x14ac:dyDescent="0.25"/>
    <row r="177671" s="12" customFormat="1" x14ac:dyDescent="0.25"/>
    <row r="177672" s="12" customFormat="1" x14ac:dyDescent="0.25"/>
    <row r="177673" s="12" customFormat="1" x14ac:dyDescent="0.25"/>
    <row r="177674" s="12" customFormat="1" x14ac:dyDescent="0.25"/>
    <row r="177675" s="12" customFormat="1" x14ac:dyDescent="0.25"/>
    <row r="177676" s="12" customFormat="1" x14ac:dyDescent="0.25"/>
    <row r="177677" s="12" customFormat="1" x14ac:dyDescent="0.25"/>
    <row r="177678" s="12" customFormat="1" x14ac:dyDescent="0.25"/>
    <row r="177679" s="12" customFormat="1" x14ac:dyDescent="0.25"/>
    <row r="177680" s="12" customFormat="1" x14ac:dyDescent="0.25"/>
    <row r="177681" s="12" customFormat="1" x14ac:dyDescent="0.25"/>
    <row r="177682" s="12" customFormat="1" x14ac:dyDescent="0.25"/>
    <row r="177683" s="12" customFormat="1" x14ac:dyDescent="0.25"/>
    <row r="177684" s="12" customFormat="1" x14ac:dyDescent="0.25"/>
    <row r="177685" s="12" customFormat="1" x14ac:dyDescent="0.25"/>
    <row r="177686" s="12" customFormat="1" x14ac:dyDescent="0.25"/>
    <row r="177687" s="12" customFormat="1" x14ac:dyDescent="0.25"/>
    <row r="177688" s="12" customFormat="1" x14ac:dyDescent="0.25"/>
    <row r="177689" s="12" customFormat="1" x14ac:dyDescent="0.25"/>
    <row r="177690" s="12" customFormat="1" x14ac:dyDescent="0.25"/>
    <row r="177691" s="12" customFormat="1" x14ac:dyDescent="0.25"/>
    <row r="177692" s="12" customFormat="1" x14ac:dyDescent="0.25"/>
    <row r="177693" s="12" customFormat="1" x14ac:dyDescent="0.25"/>
    <row r="177694" s="12" customFormat="1" x14ac:dyDescent="0.25"/>
    <row r="177695" s="12" customFormat="1" x14ac:dyDescent="0.25"/>
    <row r="177696" s="12" customFormat="1" x14ac:dyDescent="0.25"/>
    <row r="177697" s="12" customFormat="1" x14ac:dyDescent="0.25"/>
    <row r="177698" s="12" customFormat="1" x14ac:dyDescent="0.25"/>
    <row r="177699" s="12" customFormat="1" x14ac:dyDescent="0.25"/>
    <row r="177700" s="12" customFormat="1" x14ac:dyDescent="0.25"/>
    <row r="177701" s="12" customFormat="1" x14ac:dyDescent="0.25"/>
    <row r="177702" s="12" customFormat="1" x14ac:dyDescent="0.25"/>
    <row r="177703" s="12" customFormat="1" x14ac:dyDescent="0.25"/>
    <row r="177704" s="12" customFormat="1" x14ac:dyDescent="0.25"/>
    <row r="177705" s="12" customFormat="1" x14ac:dyDescent="0.25"/>
    <row r="177706" s="12" customFormat="1" x14ac:dyDescent="0.25"/>
    <row r="177707" s="12" customFormat="1" x14ac:dyDescent="0.25"/>
    <row r="177708" s="12" customFormat="1" x14ac:dyDescent="0.25"/>
    <row r="177709" s="12" customFormat="1" x14ac:dyDescent="0.25"/>
    <row r="177710" s="12" customFormat="1" x14ac:dyDescent="0.25"/>
    <row r="177711" s="12" customFormat="1" x14ac:dyDescent="0.25"/>
    <row r="177712" s="12" customFormat="1" x14ac:dyDescent="0.25"/>
    <row r="177713" s="12" customFormat="1" x14ac:dyDescent="0.25"/>
    <row r="177714" s="12" customFormat="1" x14ac:dyDescent="0.25"/>
    <row r="177715" s="12" customFormat="1" x14ac:dyDescent="0.25"/>
    <row r="177716" s="12" customFormat="1" x14ac:dyDescent="0.25"/>
    <row r="177717" s="12" customFormat="1" x14ac:dyDescent="0.25"/>
    <row r="177718" s="12" customFormat="1" x14ac:dyDescent="0.25"/>
    <row r="177719" s="12" customFormat="1" x14ac:dyDescent="0.25"/>
    <row r="177720" s="12" customFormat="1" x14ac:dyDescent="0.25"/>
    <row r="177721" s="12" customFormat="1" x14ac:dyDescent="0.25"/>
    <row r="177722" s="12" customFormat="1" x14ac:dyDescent="0.25"/>
    <row r="177723" s="12" customFormat="1" x14ac:dyDescent="0.25"/>
    <row r="177724" s="12" customFormat="1" x14ac:dyDescent="0.25"/>
    <row r="177725" s="12" customFormat="1" x14ac:dyDescent="0.25"/>
    <row r="177726" s="12" customFormat="1" x14ac:dyDescent="0.25"/>
    <row r="177727" s="12" customFormat="1" x14ac:dyDescent="0.25"/>
    <row r="177728" s="12" customFormat="1" x14ac:dyDescent="0.25"/>
    <row r="177729" s="12" customFormat="1" x14ac:dyDescent="0.25"/>
    <row r="177730" s="12" customFormat="1" x14ac:dyDescent="0.25"/>
    <row r="177731" s="12" customFormat="1" x14ac:dyDescent="0.25"/>
    <row r="177732" s="12" customFormat="1" x14ac:dyDescent="0.25"/>
    <row r="177733" s="12" customFormat="1" x14ac:dyDescent="0.25"/>
    <row r="177734" s="12" customFormat="1" x14ac:dyDescent="0.25"/>
    <row r="177735" s="12" customFormat="1" x14ac:dyDescent="0.25"/>
    <row r="177736" s="12" customFormat="1" x14ac:dyDescent="0.25"/>
    <row r="177737" s="12" customFormat="1" x14ac:dyDescent="0.25"/>
    <row r="177738" s="12" customFormat="1" x14ac:dyDescent="0.25"/>
    <row r="177739" s="12" customFormat="1" x14ac:dyDescent="0.25"/>
    <row r="177740" s="12" customFormat="1" x14ac:dyDescent="0.25"/>
    <row r="177741" s="12" customFormat="1" x14ac:dyDescent="0.25"/>
    <row r="177742" s="12" customFormat="1" x14ac:dyDescent="0.25"/>
    <row r="177743" s="12" customFormat="1" x14ac:dyDescent="0.25"/>
    <row r="177744" s="12" customFormat="1" x14ac:dyDescent="0.25"/>
    <row r="177745" s="12" customFormat="1" x14ac:dyDescent="0.25"/>
    <row r="177746" s="12" customFormat="1" x14ac:dyDescent="0.25"/>
    <row r="177747" s="12" customFormat="1" x14ac:dyDescent="0.25"/>
    <row r="177748" s="12" customFormat="1" x14ac:dyDescent="0.25"/>
    <row r="177749" s="12" customFormat="1" x14ac:dyDescent="0.25"/>
    <row r="177750" s="12" customFormat="1" x14ac:dyDescent="0.25"/>
    <row r="177751" s="12" customFormat="1" x14ac:dyDescent="0.25"/>
    <row r="177752" s="12" customFormat="1" x14ac:dyDescent="0.25"/>
    <row r="177753" s="12" customFormat="1" x14ac:dyDescent="0.25"/>
    <row r="177754" s="12" customFormat="1" x14ac:dyDescent="0.25"/>
    <row r="177755" s="12" customFormat="1" x14ac:dyDescent="0.25"/>
    <row r="177756" s="12" customFormat="1" x14ac:dyDescent="0.25"/>
    <row r="177757" s="12" customFormat="1" x14ac:dyDescent="0.25"/>
    <row r="177758" s="12" customFormat="1" x14ac:dyDescent="0.25"/>
    <row r="177759" s="12" customFormat="1" x14ac:dyDescent="0.25"/>
    <row r="177760" s="12" customFormat="1" x14ac:dyDescent="0.25"/>
    <row r="177761" s="12" customFormat="1" x14ac:dyDescent="0.25"/>
    <row r="177762" s="12" customFormat="1" x14ac:dyDescent="0.25"/>
    <row r="177763" s="12" customFormat="1" x14ac:dyDescent="0.25"/>
    <row r="177764" s="12" customFormat="1" x14ac:dyDescent="0.25"/>
    <row r="177765" s="12" customFormat="1" x14ac:dyDescent="0.25"/>
    <row r="177766" s="12" customFormat="1" x14ac:dyDescent="0.25"/>
    <row r="177767" s="12" customFormat="1" x14ac:dyDescent="0.25"/>
    <row r="177768" s="12" customFormat="1" x14ac:dyDescent="0.25"/>
    <row r="177769" s="12" customFormat="1" x14ac:dyDescent="0.25"/>
    <row r="177770" s="12" customFormat="1" x14ac:dyDescent="0.25"/>
    <row r="177771" s="12" customFormat="1" x14ac:dyDescent="0.25"/>
    <row r="177772" s="12" customFormat="1" x14ac:dyDescent="0.25"/>
    <row r="177773" s="12" customFormat="1" x14ac:dyDescent="0.25"/>
    <row r="177774" s="12" customFormat="1" x14ac:dyDescent="0.25"/>
    <row r="177775" s="12" customFormat="1" x14ac:dyDescent="0.25"/>
    <row r="177776" s="12" customFormat="1" x14ac:dyDescent="0.25"/>
    <row r="177777" s="12" customFormat="1" x14ac:dyDescent="0.25"/>
    <row r="177778" s="12" customFormat="1" x14ac:dyDescent="0.25"/>
    <row r="177779" s="12" customFormat="1" x14ac:dyDescent="0.25"/>
    <row r="177780" s="12" customFormat="1" x14ac:dyDescent="0.25"/>
    <row r="177781" s="12" customFormat="1" x14ac:dyDescent="0.25"/>
    <row r="177782" s="12" customFormat="1" x14ac:dyDescent="0.25"/>
    <row r="177783" s="12" customFormat="1" x14ac:dyDescent="0.25"/>
    <row r="177784" s="12" customFormat="1" x14ac:dyDescent="0.25"/>
    <row r="177785" s="12" customFormat="1" x14ac:dyDescent="0.25"/>
    <row r="177786" s="12" customFormat="1" x14ac:dyDescent="0.25"/>
    <row r="177787" s="12" customFormat="1" x14ac:dyDescent="0.25"/>
    <row r="177788" s="12" customFormat="1" x14ac:dyDescent="0.25"/>
    <row r="177789" s="12" customFormat="1" x14ac:dyDescent="0.25"/>
    <row r="177790" s="12" customFormat="1" x14ac:dyDescent="0.25"/>
    <row r="177791" s="12" customFormat="1" x14ac:dyDescent="0.25"/>
    <row r="177792" s="12" customFormat="1" x14ac:dyDescent="0.25"/>
    <row r="177793" s="12" customFormat="1" x14ac:dyDescent="0.25"/>
    <row r="177794" s="12" customFormat="1" x14ac:dyDescent="0.25"/>
    <row r="177795" s="12" customFormat="1" x14ac:dyDescent="0.25"/>
    <row r="177796" s="12" customFormat="1" x14ac:dyDescent="0.25"/>
    <row r="177797" s="12" customFormat="1" x14ac:dyDescent="0.25"/>
    <row r="177798" s="12" customFormat="1" x14ac:dyDescent="0.25"/>
    <row r="177799" s="12" customFormat="1" x14ac:dyDescent="0.25"/>
    <row r="177800" s="12" customFormat="1" x14ac:dyDescent="0.25"/>
    <row r="177801" s="12" customFormat="1" x14ac:dyDescent="0.25"/>
    <row r="177802" s="12" customFormat="1" x14ac:dyDescent="0.25"/>
    <row r="177803" s="12" customFormat="1" x14ac:dyDescent="0.25"/>
    <row r="177804" s="12" customFormat="1" x14ac:dyDescent="0.25"/>
    <row r="177805" s="12" customFormat="1" x14ac:dyDescent="0.25"/>
    <row r="177806" s="12" customFormat="1" x14ac:dyDescent="0.25"/>
    <row r="177807" s="12" customFormat="1" x14ac:dyDescent="0.25"/>
    <row r="177808" s="12" customFormat="1" x14ac:dyDescent="0.25"/>
    <row r="177809" s="12" customFormat="1" x14ac:dyDescent="0.25"/>
    <row r="177810" s="12" customFormat="1" x14ac:dyDescent="0.25"/>
    <row r="177811" s="12" customFormat="1" x14ac:dyDescent="0.25"/>
    <row r="177812" s="12" customFormat="1" x14ac:dyDescent="0.25"/>
    <row r="177813" s="12" customFormat="1" x14ac:dyDescent="0.25"/>
    <row r="177814" s="12" customFormat="1" x14ac:dyDescent="0.25"/>
    <row r="177815" s="12" customFormat="1" x14ac:dyDescent="0.25"/>
    <row r="177816" s="12" customFormat="1" x14ac:dyDescent="0.25"/>
    <row r="177817" s="12" customFormat="1" x14ac:dyDescent="0.25"/>
    <row r="177818" s="12" customFormat="1" x14ac:dyDescent="0.25"/>
    <row r="177819" s="12" customFormat="1" x14ac:dyDescent="0.25"/>
    <row r="177820" s="12" customFormat="1" x14ac:dyDescent="0.25"/>
    <row r="177821" s="12" customFormat="1" x14ac:dyDescent="0.25"/>
    <row r="177822" s="12" customFormat="1" x14ac:dyDescent="0.25"/>
    <row r="177823" s="12" customFormat="1" x14ac:dyDescent="0.25"/>
    <row r="177824" s="12" customFormat="1" x14ac:dyDescent="0.25"/>
    <row r="177825" s="12" customFormat="1" x14ac:dyDescent="0.25"/>
    <row r="177826" s="12" customFormat="1" x14ac:dyDescent="0.25"/>
    <row r="177827" s="12" customFormat="1" x14ac:dyDescent="0.25"/>
    <row r="177828" s="12" customFormat="1" x14ac:dyDescent="0.25"/>
    <row r="177829" s="12" customFormat="1" x14ac:dyDescent="0.25"/>
    <row r="177830" s="12" customFormat="1" x14ac:dyDescent="0.25"/>
    <row r="177831" s="12" customFormat="1" x14ac:dyDescent="0.25"/>
    <row r="177832" s="12" customFormat="1" x14ac:dyDescent="0.25"/>
    <row r="177833" s="12" customFormat="1" x14ac:dyDescent="0.25"/>
    <row r="177834" s="12" customFormat="1" x14ac:dyDescent="0.25"/>
    <row r="177835" s="12" customFormat="1" x14ac:dyDescent="0.25"/>
    <row r="177836" s="12" customFormat="1" x14ac:dyDescent="0.25"/>
    <row r="177837" s="12" customFormat="1" x14ac:dyDescent="0.25"/>
    <row r="177838" s="12" customFormat="1" x14ac:dyDescent="0.25"/>
    <row r="177839" s="12" customFormat="1" x14ac:dyDescent="0.25"/>
    <row r="177840" s="12" customFormat="1" x14ac:dyDescent="0.25"/>
    <row r="177841" s="12" customFormat="1" x14ac:dyDescent="0.25"/>
    <row r="177842" s="12" customFormat="1" x14ac:dyDescent="0.25"/>
    <row r="177843" s="12" customFormat="1" x14ac:dyDescent="0.25"/>
    <row r="177844" s="12" customFormat="1" x14ac:dyDescent="0.25"/>
    <row r="177845" s="12" customFormat="1" x14ac:dyDescent="0.25"/>
    <row r="177846" s="12" customFormat="1" x14ac:dyDescent="0.25"/>
    <row r="177847" s="12" customFormat="1" x14ac:dyDescent="0.25"/>
    <row r="177848" s="12" customFormat="1" x14ac:dyDescent="0.25"/>
    <row r="177849" s="12" customFormat="1" x14ac:dyDescent="0.25"/>
    <row r="177850" s="12" customFormat="1" x14ac:dyDescent="0.25"/>
    <row r="177851" s="12" customFormat="1" x14ac:dyDescent="0.25"/>
    <row r="177852" s="12" customFormat="1" x14ac:dyDescent="0.25"/>
    <row r="177853" s="12" customFormat="1" x14ac:dyDescent="0.25"/>
    <row r="177854" s="12" customFormat="1" x14ac:dyDescent="0.25"/>
    <row r="177855" s="12" customFormat="1" x14ac:dyDescent="0.25"/>
    <row r="177856" s="12" customFormat="1" x14ac:dyDescent="0.25"/>
    <row r="177857" s="12" customFormat="1" x14ac:dyDescent="0.25"/>
    <row r="177858" s="12" customFormat="1" x14ac:dyDescent="0.25"/>
    <row r="177859" s="12" customFormat="1" x14ac:dyDescent="0.25"/>
    <row r="177860" s="12" customFormat="1" x14ac:dyDescent="0.25"/>
    <row r="177861" s="12" customFormat="1" x14ac:dyDescent="0.25"/>
    <row r="177862" s="12" customFormat="1" x14ac:dyDescent="0.25"/>
    <row r="177863" s="12" customFormat="1" x14ac:dyDescent="0.25"/>
    <row r="177864" s="12" customFormat="1" x14ac:dyDescent="0.25"/>
    <row r="177865" s="12" customFormat="1" x14ac:dyDescent="0.25"/>
    <row r="177866" s="12" customFormat="1" x14ac:dyDescent="0.25"/>
    <row r="177867" s="12" customFormat="1" x14ac:dyDescent="0.25"/>
    <row r="177868" s="12" customFormat="1" x14ac:dyDescent="0.25"/>
    <row r="177869" s="12" customFormat="1" x14ac:dyDescent="0.25"/>
    <row r="177870" s="12" customFormat="1" x14ac:dyDescent="0.25"/>
    <row r="177871" s="12" customFormat="1" x14ac:dyDescent="0.25"/>
    <row r="177872" s="12" customFormat="1" x14ac:dyDescent="0.25"/>
    <row r="177873" s="12" customFormat="1" x14ac:dyDescent="0.25"/>
    <row r="177874" s="12" customFormat="1" x14ac:dyDescent="0.25"/>
    <row r="177875" s="12" customFormat="1" x14ac:dyDescent="0.25"/>
    <row r="177876" s="12" customFormat="1" x14ac:dyDescent="0.25"/>
    <row r="177877" s="12" customFormat="1" x14ac:dyDescent="0.25"/>
    <row r="177878" s="12" customFormat="1" x14ac:dyDescent="0.25"/>
    <row r="177879" s="12" customFormat="1" x14ac:dyDescent="0.25"/>
    <row r="177880" s="12" customFormat="1" x14ac:dyDescent="0.25"/>
    <row r="177881" s="12" customFormat="1" x14ac:dyDescent="0.25"/>
    <row r="177882" s="12" customFormat="1" x14ac:dyDescent="0.25"/>
    <row r="177883" s="12" customFormat="1" x14ac:dyDescent="0.25"/>
    <row r="177884" s="12" customFormat="1" x14ac:dyDescent="0.25"/>
    <row r="177885" s="12" customFormat="1" x14ac:dyDescent="0.25"/>
    <row r="177886" s="12" customFormat="1" x14ac:dyDescent="0.25"/>
    <row r="177887" s="12" customFormat="1" x14ac:dyDescent="0.25"/>
    <row r="177888" s="12" customFormat="1" x14ac:dyDescent="0.25"/>
    <row r="177889" s="12" customFormat="1" x14ac:dyDescent="0.25"/>
    <row r="177890" s="12" customFormat="1" x14ac:dyDescent="0.25"/>
    <row r="177891" s="12" customFormat="1" x14ac:dyDescent="0.25"/>
    <row r="177892" s="12" customFormat="1" x14ac:dyDescent="0.25"/>
    <row r="177893" s="12" customFormat="1" x14ac:dyDescent="0.25"/>
    <row r="177894" s="12" customFormat="1" x14ac:dyDescent="0.25"/>
    <row r="177895" s="12" customFormat="1" x14ac:dyDescent="0.25"/>
    <row r="177896" s="12" customFormat="1" x14ac:dyDescent="0.25"/>
    <row r="177897" s="12" customFormat="1" x14ac:dyDescent="0.25"/>
    <row r="177898" s="12" customFormat="1" x14ac:dyDescent="0.25"/>
    <row r="177899" s="12" customFormat="1" x14ac:dyDescent="0.25"/>
    <row r="177900" s="12" customFormat="1" x14ac:dyDescent="0.25"/>
    <row r="177901" s="12" customFormat="1" x14ac:dyDescent="0.25"/>
    <row r="177902" s="12" customFormat="1" x14ac:dyDescent="0.25"/>
    <row r="177903" s="12" customFormat="1" x14ac:dyDescent="0.25"/>
    <row r="177904" s="12" customFormat="1" x14ac:dyDescent="0.25"/>
    <row r="177905" s="12" customFormat="1" x14ac:dyDescent="0.25"/>
    <row r="177906" s="12" customFormat="1" x14ac:dyDescent="0.25"/>
    <row r="177907" s="12" customFormat="1" x14ac:dyDescent="0.25"/>
    <row r="177908" s="12" customFormat="1" x14ac:dyDescent="0.25"/>
    <row r="177909" s="12" customFormat="1" x14ac:dyDescent="0.25"/>
    <row r="177910" s="12" customFormat="1" x14ac:dyDescent="0.25"/>
    <row r="177911" s="12" customFormat="1" x14ac:dyDescent="0.25"/>
    <row r="177912" s="12" customFormat="1" x14ac:dyDescent="0.25"/>
    <row r="177913" s="12" customFormat="1" x14ac:dyDescent="0.25"/>
    <row r="177914" s="12" customFormat="1" x14ac:dyDescent="0.25"/>
    <row r="177915" s="12" customFormat="1" x14ac:dyDescent="0.25"/>
    <row r="177916" s="12" customFormat="1" x14ac:dyDescent="0.25"/>
    <row r="177917" s="12" customFormat="1" x14ac:dyDescent="0.25"/>
    <row r="177918" s="12" customFormat="1" x14ac:dyDescent="0.25"/>
    <row r="177919" s="12" customFormat="1" x14ac:dyDescent="0.25"/>
    <row r="177920" s="12" customFormat="1" x14ac:dyDescent="0.25"/>
    <row r="177921" s="12" customFormat="1" x14ac:dyDescent="0.25"/>
    <row r="177922" s="12" customFormat="1" x14ac:dyDescent="0.25"/>
    <row r="177923" s="12" customFormat="1" x14ac:dyDescent="0.25"/>
    <row r="177924" s="12" customFormat="1" x14ac:dyDescent="0.25"/>
    <row r="177925" s="12" customFormat="1" x14ac:dyDescent="0.25"/>
    <row r="177926" s="12" customFormat="1" x14ac:dyDescent="0.25"/>
    <row r="177927" s="12" customFormat="1" x14ac:dyDescent="0.25"/>
    <row r="177928" s="12" customFormat="1" x14ac:dyDescent="0.25"/>
    <row r="177929" s="12" customFormat="1" x14ac:dyDescent="0.25"/>
    <row r="177930" s="12" customFormat="1" x14ac:dyDescent="0.25"/>
    <row r="177931" s="12" customFormat="1" x14ac:dyDescent="0.25"/>
    <row r="177932" s="12" customFormat="1" x14ac:dyDescent="0.25"/>
    <row r="177933" s="12" customFormat="1" x14ac:dyDescent="0.25"/>
    <row r="177934" s="12" customFormat="1" x14ac:dyDescent="0.25"/>
    <row r="177935" s="12" customFormat="1" x14ac:dyDescent="0.25"/>
    <row r="177936" s="12" customFormat="1" x14ac:dyDescent="0.25"/>
    <row r="177937" s="12" customFormat="1" x14ac:dyDescent="0.25"/>
    <row r="177938" s="12" customFormat="1" x14ac:dyDescent="0.25"/>
    <row r="177939" s="12" customFormat="1" x14ac:dyDescent="0.25"/>
    <row r="177940" s="12" customFormat="1" x14ac:dyDescent="0.25"/>
    <row r="177941" s="12" customFormat="1" x14ac:dyDescent="0.25"/>
    <row r="177942" s="12" customFormat="1" x14ac:dyDescent="0.25"/>
    <row r="177943" s="12" customFormat="1" x14ac:dyDescent="0.25"/>
    <row r="177944" s="12" customFormat="1" x14ac:dyDescent="0.25"/>
    <row r="177945" s="12" customFormat="1" x14ac:dyDescent="0.25"/>
    <row r="177946" s="12" customFormat="1" x14ac:dyDescent="0.25"/>
    <row r="177947" s="12" customFormat="1" x14ac:dyDescent="0.25"/>
    <row r="177948" s="12" customFormat="1" x14ac:dyDescent="0.25"/>
    <row r="177949" s="12" customFormat="1" x14ac:dyDescent="0.25"/>
    <row r="177950" s="12" customFormat="1" x14ac:dyDescent="0.25"/>
    <row r="177951" s="12" customFormat="1" x14ac:dyDescent="0.25"/>
    <row r="177952" s="12" customFormat="1" x14ac:dyDescent="0.25"/>
    <row r="177953" s="12" customFormat="1" x14ac:dyDescent="0.25"/>
    <row r="177954" s="12" customFormat="1" x14ac:dyDescent="0.25"/>
    <row r="177955" s="12" customFormat="1" x14ac:dyDescent="0.25"/>
    <row r="177956" s="12" customFormat="1" x14ac:dyDescent="0.25"/>
    <row r="177957" s="12" customFormat="1" x14ac:dyDescent="0.25"/>
    <row r="177958" s="12" customFormat="1" x14ac:dyDescent="0.25"/>
    <row r="177959" s="12" customFormat="1" x14ac:dyDescent="0.25"/>
    <row r="177960" s="12" customFormat="1" x14ac:dyDescent="0.25"/>
    <row r="177961" s="12" customFormat="1" x14ac:dyDescent="0.25"/>
    <row r="177962" s="12" customFormat="1" x14ac:dyDescent="0.25"/>
    <row r="177963" s="12" customFormat="1" x14ac:dyDescent="0.25"/>
    <row r="177964" s="12" customFormat="1" x14ac:dyDescent="0.25"/>
    <row r="177965" s="12" customFormat="1" x14ac:dyDescent="0.25"/>
    <row r="177966" s="12" customFormat="1" x14ac:dyDescent="0.25"/>
    <row r="177967" s="12" customFormat="1" x14ac:dyDescent="0.25"/>
    <row r="177968" s="12" customFormat="1" x14ac:dyDescent="0.25"/>
    <row r="177969" s="12" customFormat="1" x14ac:dyDescent="0.25"/>
    <row r="177970" s="12" customFormat="1" x14ac:dyDescent="0.25"/>
    <row r="177971" s="12" customFormat="1" x14ac:dyDescent="0.25"/>
    <row r="177972" s="12" customFormat="1" x14ac:dyDescent="0.25"/>
    <row r="177973" s="12" customFormat="1" x14ac:dyDescent="0.25"/>
    <row r="177974" s="12" customFormat="1" x14ac:dyDescent="0.25"/>
    <row r="177975" s="12" customFormat="1" x14ac:dyDescent="0.25"/>
    <row r="177976" s="12" customFormat="1" x14ac:dyDescent="0.25"/>
    <row r="177977" s="12" customFormat="1" x14ac:dyDescent="0.25"/>
    <row r="177978" s="12" customFormat="1" x14ac:dyDescent="0.25"/>
    <row r="177979" s="12" customFormat="1" x14ac:dyDescent="0.25"/>
    <row r="177980" s="12" customFormat="1" x14ac:dyDescent="0.25"/>
    <row r="177981" s="12" customFormat="1" x14ac:dyDescent="0.25"/>
    <row r="177982" s="12" customFormat="1" x14ac:dyDescent="0.25"/>
    <row r="177983" s="12" customFormat="1" x14ac:dyDescent="0.25"/>
    <row r="177984" s="12" customFormat="1" x14ac:dyDescent="0.25"/>
    <row r="177985" s="12" customFormat="1" x14ac:dyDescent="0.25"/>
    <row r="177986" s="12" customFormat="1" x14ac:dyDescent="0.25"/>
    <row r="177987" s="12" customFormat="1" x14ac:dyDescent="0.25"/>
    <row r="177988" s="12" customFormat="1" x14ac:dyDescent="0.25"/>
    <row r="177989" s="12" customFormat="1" x14ac:dyDescent="0.25"/>
    <row r="177990" s="12" customFormat="1" x14ac:dyDescent="0.25"/>
    <row r="177991" s="12" customFormat="1" x14ac:dyDescent="0.25"/>
    <row r="177992" s="12" customFormat="1" x14ac:dyDescent="0.25"/>
    <row r="177993" s="12" customFormat="1" x14ac:dyDescent="0.25"/>
    <row r="177994" s="12" customFormat="1" x14ac:dyDescent="0.25"/>
    <row r="177995" s="12" customFormat="1" x14ac:dyDescent="0.25"/>
    <row r="177996" s="12" customFormat="1" x14ac:dyDescent="0.25"/>
    <row r="177997" s="12" customFormat="1" x14ac:dyDescent="0.25"/>
    <row r="177998" s="12" customFormat="1" x14ac:dyDescent="0.25"/>
    <row r="177999" s="12" customFormat="1" x14ac:dyDescent="0.25"/>
    <row r="178000" s="12" customFormat="1" x14ac:dyDescent="0.25"/>
    <row r="178001" s="12" customFormat="1" x14ac:dyDescent="0.25"/>
    <row r="178002" s="12" customFormat="1" x14ac:dyDescent="0.25"/>
    <row r="178003" s="12" customFormat="1" x14ac:dyDescent="0.25"/>
    <row r="178004" s="12" customFormat="1" x14ac:dyDescent="0.25"/>
    <row r="178005" s="12" customFormat="1" x14ac:dyDescent="0.25"/>
    <row r="178006" s="12" customFormat="1" x14ac:dyDescent="0.25"/>
    <row r="178007" s="12" customFormat="1" x14ac:dyDescent="0.25"/>
    <row r="178008" s="12" customFormat="1" x14ac:dyDescent="0.25"/>
    <row r="178009" s="12" customFormat="1" x14ac:dyDescent="0.25"/>
    <row r="178010" s="12" customFormat="1" x14ac:dyDescent="0.25"/>
    <row r="178011" s="12" customFormat="1" x14ac:dyDescent="0.25"/>
    <row r="178012" s="12" customFormat="1" x14ac:dyDescent="0.25"/>
    <row r="178013" s="12" customFormat="1" x14ac:dyDescent="0.25"/>
    <row r="178014" s="12" customFormat="1" x14ac:dyDescent="0.25"/>
    <row r="178015" s="12" customFormat="1" x14ac:dyDescent="0.25"/>
    <row r="178016" s="12" customFormat="1" x14ac:dyDescent="0.25"/>
    <row r="178017" s="12" customFormat="1" x14ac:dyDescent="0.25"/>
    <row r="178018" s="12" customFormat="1" x14ac:dyDescent="0.25"/>
    <row r="178019" s="12" customFormat="1" x14ac:dyDescent="0.25"/>
    <row r="178020" s="12" customFormat="1" x14ac:dyDescent="0.25"/>
    <row r="178021" s="12" customFormat="1" x14ac:dyDescent="0.25"/>
    <row r="178022" s="12" customFormat="1" x14ac:dyDescent="0.25"/>
    <row r="178023" s="12" customFormat="1" x14ac:dyDescent="0.25"/>
    <row r="178024" s="12" customFormat="1" x14ac:dyDescent="0.25"/>
    <row r="178025" s="12" customFormat="1" x14ac:dyDescent="0.25"/>
    <row r="178026" s="12" customFormat="1" x14ac:dyDescent="0.25"/>
    <row r="178027" s="12" customFormat="1" x14ac:dyDescent="0.25"/>
    <row r="178028" s="12" customFormat="1" x14ac:dyDescent="0.25"/>
    <row r="178029" s="12" customFormat="1" x14ac:dyDescent="0.25"/>
    <row r="178030" s="12" customFormat="1" x14ac:dyDescent="0.25"/>
    <row r="178031" s="12" customFormat="1" x14ac:dyDescent="0.25"/>
    <row r="178032" s="12" customFormat="1" x14ac:dyDescent="0.25"/>
    <row r="178033" s="12" customFormat="1" x14ac:dyDescent="0.25"/>
    <row r="178034" s="12" customFormat="1" x14ac:dyDescent="0.25"/>
    <row r="178035" s="12" customFormat="1" x14ac:dyDescent="0.25"/>
    <row r="178036" s="12" customFormat="1" x14ac:dyDescent="0.25"/>
    <row r="178037" s="12" customFormat="1" x14ac:dyDescent="0.25"/>
    <row r="178038" s="12" customFormat="1" x14ac:dyDescent="0.25"/>
    <row r="178039" s="12" customFormat="1" x14ac:dyDescent="0.25"/>
    <row r="178040" s="12" customFormat="1" x14ac:dyDescent="0.25"/>
    <row r="178041" s="12" customFormat="1" x14ac:dyDescent="0.25"/>
    <row r="178042" s="12" customFormat="1" x14ac:dyDescent="0.25"/>
    <row r="178043" s="12" customFormat="1" x14ac:dyDescent="0.25"/>
    <row r="178044" s="12" customFormat="1" x14ac:dyDescent="0.25"/>
    <row r="178045" s="12" customFormat="1" x14ac:dyDescent="0.25"/>
    <row r="178046" s="12" customFormat="1" x14ac:dyDescent="0.25"/>
    <row r="178047" s="12" customFormat="1" x14ac:dyDescent="0.25"/>
    <row r="178048" s="12" customFormat="1" x14ac:dyDescent="0.25"/>
    <row r="178049" s="12" customFormat="1" x14ac:dyDescent="0.25"/>
    <row r="178050" s="12" customFormat="1" x14ac:dyDescent="0.25"/>
    <row r="178051" s="12" customFormat="1" x14ac:dyDescent="0.25"/>
    <row r="178052" s="12" customFormat="1" x14ac:dyDescent="0.25"/>
    <row r="178053" s="12" customFormat="1" x14ac:dyDescent="0.25"/>
    <row r="178054" s="12" customFormat="1" x14ac:dyDescent="0.25"/>
    <row r="178055" s="12" customFormat="1" x14ac:dyDescent="0.25"/>
    <row r="178056" s="12" customFormat="1" x14ac:dyDescent="0.25"/>
    <row r="178057" s="12" customFormat="1" x14ac:dyDescent="0.25"/>
    <row r="178058" s="12" customFormat="1" x14ac:dyDescent="0.25"/>
    <row r="178059" s="12" customFormat="1" x14ac:dyDescent="0.25"/>
    <row r="178060" s="12" customFormat="1" x14ac:dyDescent="0.25"/>
    <row r="178061" s="12" customFormat="1" x14ac:dyDescent="0.25"/>
    <row r="178062" s="12" customFormat="1" x14ac:dyDescent="0.25"/>
    <row r="178063" s="12" customFormat="1" x14ac:dyDescent="0.25"/>
    <row r="178064" s="12" customFormat="1" x14ac:dyDescent="0.25"/>
    <row r="178065" s="12" customFormat="1" x14ac:dyDescent="0.25"/>
    <row r="178066" s="12" customFormat="1" x14ac:dyDescent="0.25"/>
    <row r="178067" s="12" customFormat="1" x14ac:dyDescent="0.25"/>
    <row r="178068" s="12" customFormat="1" x14ac:dyDescent="0.25"/>
    <row r="178069" s="12" customFormat="1" x14ac:dyDescent="0.25"/>
    <row r="178070" s="12" customFormat="1" x14ac:dyDescent="0.25"/>
    <row r="178071" s="12" customFormat="1" x14ac:dyDescent="0.25"/>
    <row r="178072" s="12" customFormat="1" x14ac:dyDescent="0.25"/>
    <row r="178073" s="12" customFormat="1" x14ac:dyDescent="0.25"/>
    <row r="178074" s="12" customFormat="1" x14ac:dyDescent="0.25"/>
    <row r="178075" s="12" customFormat="1" x14ac:dyDescent="0.25"/>
    <row r="178076" s="12" customFormat="1" x14ac:dyDescent="0.25"/>
    <row r="178077" s="12" customFormat="1" x14ac:dyDescent="0.25"/>
    <row r="178078" s="12" customFormat="1" x14ac:dyDescent="0.25"/>
    <row r="178079" s="12" customFormat="1" x14ac:dyDescent="0.25"/>
    <row r="178080" s="12" customFormat="1" x14ac:dyDescent="0.25"/>
    <row r="178081" s="12" customFormat="1" x14ac:dyDescent="0.25"/>
    <row r="178082" s="12" customFormat="1" x14ac:dyDescent="0.25"/>
    <row r="178083" s="12" customFormat="1" x14ac:dyDescent="0.25"/>
    <row r="178084" s="12" customFormat="1" x14ac:dyDescent="0.25"/>
    <row r="178085" s="12" customFormat="1" x14ac:dyDescent="0.25"/>
    <row r="178086" s="12" customFormat="1" x14ac:dyDescent="0.25"/>
    <row r="178087" s="12" customFormat="1" x14ac:dyDescent="0.25"/>
    <row r="178088" s="12" customFormat="1" x14ac:dyDescent="0.25"/>
    <row r="178089" s="12" customFormat="1" x14ac:dyDescent="0.25"/>
    <row r="178090" s="12" customFormat="1" x14ac:dyDescent="0.25"/>
    <row r="178091" s="12" customFormat="1" x14ac:dyDescent="0.25"/>
    <row r="178092" s="12" customFormat="1" x14ac:dyDescent="0.25"/>
    <row r="178093" s="12" customFormat="1" x14ac:dyDescent="0.25"/>
    <row r="178094" s="12" customFormat="1" x14ac:dyDescent="0.25"/>
    <row r="178095" s="12" customFormat="1" x14ac:dyDescent="0.25"/>
    <row r="178096" s="12" customFormat="1" x14ac:dyDescent="0.25"/>
    <row r="178097" s="12" customFormat="1" x14ac:dyDescent="0.25"/>
    <row r="178098" s="12" customFormat="1" x14ac:dyDescent="0.25"/>
    <row r="178099" s="12" customFormat="1" x14ac:dyDescent="0.25"/>
    <row r="178100" s="12" customFormat="1" x14ac:dyDescent="0.25"/>
    <row r="178101" s="12" customFormat="1" x14ac:dyDescent="0.25"/>
    <row r="178102" s="12" customFormat="1" x14ac:dyDescent="0.25"/>
    <row r="178103" s="12" customFormat="1" x14ac:dyDescent="0.25"/>
    <row r="178104" s="12" customFormat="1" x14ac:dyDescent="0.25"/>
    <row r="178105" s="12" customFormat="1" x14ac:dyDescent="0.25"/>
    <row r="178106" s="12" customFormat="1" x14ac:dyDescent="0.25"/>
    <row r="178107" s="12" customFormat="1" x14ac:dyDescent="0.25"/>
    <row r="178108" s="12" customFormat="1" x14ac:dyDescent="0.25"/>
    <row r="178109" s="12" customFormat="1" x14ac:dyDescent="0.25"/>
    <row r="178110" s="12" customFormat="1" x14ac:dyDescent="0.25"/>
    <row r="178111" s="12" customFormat="1" x14ac:dyDescent="0.25"/>
    <row r="178112" s="12" customFormat="1" x14ac:dyDescent="0.25"/>
    <row r="178113" s="12" customFormat="1" x14ac:dyDescent="0.25"/>
    <row r="178114" s="12" customFormat="1" x14ac:dyDescent="0.25"/>
    <row r="178115" s="12" customFormat="1" x14ac:dyDescent="0.25"/>
    <row r="178116" s="12" customFormat="1" x14ac:dyDescent="0.25"/>
    <row r="178117" s="12" customFormat="1" x14ac:dyDescent="0.25"/>
    <row r="178118" s="12" customFormat="1" x14ac:dyDescent="0.25"/>
    <row r="178119" s="12" customFormat="1" x14ac:dyDescent="0.25"/>
    <row r="178120" s="12" customFormat="1" x14ac:dyDescent="0.25"/>
    <row r="178121" s="12" customFormat="1" x14ac:dyDescent="0.25"/>
    <row r="178122" s="12" customFormat="1" x14ac:dyDescent="0.25"/>
    <row r="178123" s="12" customFormat="1" x14ac:dyDescent="0.25"/>
    <row r="178124" s="12" customFormat="1" x14ac:dyDescent="0.25"/>
    <row r="178125" s="12" customFormat="1" x14ac:dyDescent="0.25"/>
    <row r="178126" s="12" customFormat="1" x14ac:dyDescent="0.25"/>
    <row r="178127" s="12" customFormat="1" x14ac:dyDescent="0.25"/>
    <row r="178128" s="12" customFormat="1" x14ac:dyDescent="0.25"/>
    <row r="178129" s="12" customFormat="1" x14ac:dyDescent="0.25"/>
    <row r="178130" s="12" customFormat="1" x14ac:dyDescent="0.25"/>
    <row r="178131" s="12" customFormat="1" x14ac:dyDescent="0.25"/>
    <row r="178132" s="12" customFormat="1" x14ac:dyDescent="0.25"/>
    <row r="178133" s="12" customFormat="1" x14ac:dyDescent="0.25"/>
    <row r="178134" s="12" customFormat="1" x14ac:dyDescent="0.25"/>
    <row r="178135" s="12" customFormat="1" x14ac:dyDescent="0.25"/>
    <row r="178136" s="12" customFormat="1" x14ac:dyDescent="0.25"/>
    <row r="178137" s="12" customFormat="1" x14ac:dyDescent="0.25"/>
    <row r="178138" s="12" customFormat="1" x14ac:dyDescent="0.25"/>
    <row r="178139" s="12" customFormat="1" x14ac:dyDescent="0.25"/>
    <row r="178140" s="12" customFormat="1" x14ac:dyDescent="0.25"/>
    <row r="178141" s="12" customFormat="1" x14ac:dyDescent="0.25"/>
    <row r="178142" s="12" customFormat="1" x14ac:dyDescent="0.25"/>
    <row r="178143" s="12" customFormat="1" x14ac:dyDescent="0.25"/>
    <row r="178144" s="12" customFormat="1" x14ac:dyDescent="0.25"/>
    <row r="178145" s="12" customFormat="1" x14ac:dyDescent="0.25"/>
    <row r="178146" s="12" customFormat="1" x14ac:dyDescent="0.25"/>
    <row r="178147" s="12" customFormat="1" x14ac:dyDescent="0.25"/>
    <row r="178148" s="12" customFormat="1" x14ac:dyDescent="0.25"/>
    <row r="178149" s="12" customFormat="1" x14ac:dyDescent="0.25"/>
    <row r="178150" s="12" customFormat="1" x14ac:dyDescent="0.25"/>
    <row r="178151" s="12" customFormat="1" x14ac:dyDescent="0.25"/>
    <row r="178152" s="12" customFormat="1" x14ac:dyDescent="0.25"/>
    <row r="178153" s="12" customFormat="1" x14ac:dyDescent="0.25"/>
    <row r="178154" s="12" customFormat="1" x14ac:dyDescent="0.25"/>
    <row r="178155" s="12" customFormat="1" x14ac:dyDescent="0.25"/>
    <row r="178156" s="12" customFormat="1" x14ac:dyDescent="0.25"/>
    <row r="178157" s="12" customFormat="1" x14ac:dyDescent="0.25"/>
    <row r="178158" s="12" customFormat="1" x14ac:dyDescent="0.25"/>
    <row r="178159" s="12" customFormat="1" x14ac:dyDescent="0.25"/>
    <row r="178160" s="12" customFormat="1" x14ac:dyDescent="0.25"/>
    <row r="178161" s="12" customFormat="1" x14ac:dyDescent="0.25"/>
    <row r="178162" s="12" customFormat="1" x14ac:dyDescent="0.25"/>
    <row r="178163" s="12" customFormat="1" x14ac:dyDescent="0.25"/>
    <row r="178164" s="12" customFormat="1" x14ac:dyDescent="0.25"/>
    <row r="178165" s="12" customFormat="1" x14ac:dyDescent="0.25"/>
    <row r="178166" s="12" customFormat="1" x14ac:dyDescent="0.25"/>
    <row r="178167" s="12" customFormat="1" x14ac:dyDescent="0.25"/>
    <row r="178168" s="12" customFormat="1" x14ac:dyDescent="0.25"/>
    <row r="178169" s="12" customFormat="1" x14ac:dyDescent="0.25"/>
    <row r="178170" s="12" customFormat="1" x14ac:dyDescent="0.25"/>
    <row r="178171" s="12" customFormat="1" x14ac:dyDescent="0.25"/>
    <row r="178172" s="12" customFormat="1" x14ac:dyDescent="0.25"/>
    <row r="178173" s="12" customFormat="1" x14ac:dyDescent="0.25"/>
    <row r="178174" s="12" customFormat="1" x14ac:dyDescent="0.25"/>
    <row r="178175" s="12" customFormat="1" x14ac:dyDescent="0.25"/>
    <row r="178176" s="12" customFormat="1" x14ac:dyDescent="0.25"/>
    <row r="178177" s="12" customFormat="1" x14ac:dyDescent="0.25"/>
    <row r="178178" s="12" customFormat="1" x14ac:dyDescent="0.25"/>
    <row r="178179" s="12" customFormat="1" x14ac:dyDescent="0.25"/>
    <row r="178180" s="12" customFormat="1" x14ac:dyDescent="0.25"/>
    <row r="178181" s="12" customFormat="1" x14ac:dyDescent="0.25"/>
    <row r="178182" s="12" customFormat="1" x14ac:dyDescent="0.25"/>
    <row r="178183" s="12" customFormat="1" x14ac:dyDescent="0.25"/>
    <row r="178184" s="12" customFormat="1" x14ac:dyDescent="0.25"/>
    <row r="178185" s="12" customFormat="1" x14ac:dyDescent="0.25"/>
    <row r="178186" s="12" customFormat="1" x14ac:dyDescent="0.25"/>
    <row r="178187" s="12" customFormat="1" x14ac:dyDescent="0.25"/>
    <row r="178188" s="12" customFormat="1" x14ac:dyDescent="0.25"/>
    <row r="178189" s="12" customFormat="1" x14ac:dyDescent="0.25"/>
    <row r="178190" s="12" customFormat="1" x14ac:dyDescent="0.25"/>
    <row r="178191" s="12" customFormat="1" x14ac:dyDescent="0.25"/>
    <row r="178192" s="12" customFormat="1" x14ac:dyDescent="0.25"/>
    <row r="178193" s="12" customFormat="1" x14ac:dyDescent="0.25"/>
    <row r="178194" s="12" customFormat="1" x14ac:dyDescent="0.25"/>
    <row r="178195" s="12" customFormat="1" x14ac:dyDescent="0.25"/>
    <row r="178196" s="12" customFormat="1" x14ac:dyDescent="0.25"/>
    <row r="178197" s="12" customFormat="1" x14ac:dyDescent="0.25"/>
    <row r="178198" s="12" customFormat="1" x14ac:dyDescent="0.25"/>
    <row r="178199" s="12" customFormat="1" x14ac:dyDescent="0.25"/>
    <row r="178200" s="12" customFormat="1" x14ac:dyDescent="0.25"/>
    <row r="178201" s="12" customFormat="1" x14ac:dyDescent="0.25"/>
    <row r="178202" s="12" customFormat="1" x14ac:dyDescent="0.25"/>
    <row r="178203" s="12" customFormat="1" x14ac:dyDescent="0.25"/>
    <row r="178204" s="12" customFormat="1" x14ac:dyDescent="0.25"/>
    <row r="178205" s="12" customFormat="1" x14ac:dyDescent="0.25"/>
    <row r="178206" s="12" customFormat="1" x14ac:dyDescent="0.25"/>
    <row r="178207" s="12" customFormat="1" x14ac:dyDescent="0.25"/>
    <row r="178208" s="12" customFormat="1" x14ac:dyDescent="0.25"/>
    <row r="178209" s="12" customFormat="1" x14ac:dyDescent="0.25"/>
    <row r="178210" s="12" customFormat="1" x14ac:dyDescent="0.25"/>
    <row r="178211" s="12" customFormat="1" x14ac:dyDescent="0.25"/>
    <row r="178212" s="12" customFormat="1" x14ac:dyDescent="0.25"/>
    <row r="178213" s="12" customFormat="1" x14ac:dyDescent="0.25"/>
    <row r="178214" s="12" customFormat="1" x14ac:dyDescent="0.25"/>
    <row r="178215" s="12" customFormat="1" x14ac:dyDescent="0.25"/>
    <row r="178216" s="12" customFormat="1" x14ac:dyDescent="0.25"/>
    <row r="178217" s="12" customFormat="1" x14ac:dyDescent="0.25"/>
    <row r="178218" s="12" customFormat="1" x14ac:dyDescent="0.25"/>
    <row r="178219" s="12" customFormat="1" x14ac:dyDescent="0.25"/>
    <row r="178220" s="12" customFormat="1" x14ac:dyDescent="0.25"/>
    <row r="178221" s="12" customFormat="1" x14ac:dyDescent="0.25"/>
    <row r="178222" s="12" customFormat="1" x14ac:dyDescent="0.25"/>
    <row r="178223" s="12" customFormat="1" x14ac:dyDescent="0.25"/>
    <row r="178224" s="12" customFormat="1" x14ac:dyDescent="0.25"/>
    <row r="178225" s="12" customFormat="1" x14ac:dyDescent="0.25"/>
    <row r="178226" s="12" customFormat="1" x14ac:dyDescent="0.25"/>
    <row r="178227" s="12" customFormat="1" x14ac:dyDescent="0.25"/>
    <row r="178228" s="12" customFormat="1" x14ac:dyDescent="0.25"/>
    <row r="178229" s="12" customFormat="1" x14ac:dyDescent="0.25"/>
    <row r="178230" s="12" customFormat="1" x14ac:dyDescent="0.25"/>
    <row r="178231" s="12" customFormat="1" x14ac:dyDescent="0.25"/>
    <row r="178232" s="12" customFormat="1" x14ac:dyDescent="0.25"/>
    <row r="178233" s="12" customFormat="1" x14ac:dyDescent="0.25"/>
    <row r="178234" s="12" customFormat="1" x14ac:dyDescent="0.25"/>
    <row r="178235" s="12" customFormat="1" x14ac:dyDescent="0.25"/>
    <row r="178236" s="12" customFormat="1" x14ac:dyDescent="0.25"/>
    <row r="178237" s="12" customFormat="1" x14ac:dyDescent="0.25"/>
    <row r="178238" s="12" customFormat="1" x14ac:dyDescent="0.25"/>
    <row r="178239" s="12" customFormat="1" x14ac:dyDescent="0.25"/>
    <row r="178240" s="12" customFormat="1" x14ac:dyDescent="0.25"/>
    <row r="178241" s="12" customFormat="1" x14ac:dyDescent="0.25"/>
    <row r="178242" s="12" customFormat="1" x14ac:dyDescent="0.25"/>
    <row r="178243" s="12" customFormat="1" x14ac:dyDescent="0.25"/>
    <row r="178244" s="12" customFormat="1" x14ac:dyDescent="0.25"/>
    <row r="178245" s="12" customFormat="1" x14ac:dyDescent="0.25"/>
    <row r="178246" s="12" customFormat="1" x14ac:dyDescent="0.25"/>
    <row r="178247" s="12" customFormat="1" x14ac:dyDescent="0.25"/>
    <row r="178248" s="12" customFormat="1" x14ac:dyDescent="0.25"/>
    <row r="178249" s="12" customFormat="1" x14ac:dyDescent="0.25"/>
    <row r="178250" s="12" customFormat="1" x14ac:dyDescent="0.25"/>
    <row r="178251" s="12" customFormat="1" x14ac:dyDescent="0.25"/>
    <row r="178252" s="12" customFormat="1" x14ac:dyDescent="0.25"/>
    <row r="178253" s="12" customFormat="1" x14ac:dyDescent="0.25"/>
    <row r="178254" s="12" customFormat="1" x14ac:dyDescent="0.25"/>
    <row r="178255" s="12" customFormat="1" x14ac:dyDescent="0.25"/>
    <row r="178256" s="12" customFormat="1" x14ac:dyDescent="0.25"/>
    <row r="178257" s="12" customFormat="1" x14ac:dyDescent="0.25"/>
    <row r="178258" s="12" customFormat="1" x14ac:dyDescent="0.25"/>
    <row r="178259" s="12" customFormat="1" x14ac:dyDescent="0.25"/>
    <row r="178260" s="12" customFormat="1" x14ac:dyDescent="0.25"/>
    <row r="178261" s="12" customFormat="1" x14ac:dyDescent="0.25"/>
    <row r="178262" s="12" customFormat="1" x14ac:dyDescent="0.25"/>
    <row r="178263" s="12" customFormat="1" x14ac:dyDescent="0.25"/>
    <row r="178264" s="12" customFormat="1" x14ac:dyDescent="0.25"/>
    <row r="178265" s="12" customFormat="1" x14ac:dyDescent="0.25"/>
    <row r="178266" s="12" customFormat="1" x14ac:dyDescent="0.25"/>
    <row r="178267" s="12" customFormat="1" x14ac:dyDescent="0.25"/>
    <row r="178268" s="12" customFormat="1" x14ac:dyDescent="0.25"/>
    <row r="178269" s="12" customFormat="1" x14ac:dyDescent="0.25"/>
    <row r="178270" s="12" customFormat="1" x14ac:dyDescent="0.25"/>
    <row r="178271" s="12" customFormat="1" x14ac:dyDescent="0.25"/>
    <row r="178272" s="12" customFormat="1" x14ac:dyDescent="0.25"/>
    <row r="178273" s="12" customFormat="1" x14ac:dyDescent="0.25"/>
    <row r="178274" s="12" customFormat="1" x14ac:dyDescent="0.25"/>
    <row r="178275" s="12" customFormat="1" x14ac:dyDescent="0.25"/>
    <row r="178276" s="12" customFormat="1" x14ac:dyDescent="0.25"/>
    <row r="178277" s="12" customFormat="1" x14ac:dyDescent="0.25"/>
    <row r="178278" s="12" customFormat="1" x14ac:dyDescent="0.25"/>
    <row r="178279" s="12" customFormat="1" x14ac:dyDescent="0.25"/>
    <row r="178280" s="12" customFormat="1" x14ac:dyDescent="0.25"/>
    <row r="178281" s="12" customFormat="1" x14ac:dyDescent="0.25"/>
    <row r="178282" s="12" customFormat="1" x14ac:dyDescent="0.25"/>
    <row r="178283" s="12" customFormat="1" x14ac:dyDescent="0.25"/>
    <row r="178284" s="12" customFormat="1" x14ac:dyDescent="0.25"/>
    <row r="178285" s="12" customFormat="1" x14ac:dyDescent="0.25"/>
    <row r="178286" s="12" customFormat="1" x14ac:dyDescent="0.25"/>
    <row r="178287" s="12" customFormat="1" x14ac:dyDescent="0.25"/>
    <row r="178288" s="12" customFormat="1" x14ac:dyDescent="0.25"/>
    <row r="178289" s="12" customFormat="1" x14ac:dyDescent="0.25"/>
    <row r="178290" s="12" customFormat="1" x14ac:dyDescent="0.25"/>
    <row r="178291" s="12" customFormat="1" x14ac:dyDescent="0.25"/>
    <row r="178292" s="12" customFormat="1" x14ac:dyDescent="0.25"/>
    <row r="178293" s="12" customFormat="1" x14ac:dyDescent="0.25"/>
    <row r="178294" s="12" customFormat="1" x14ac:dyDescent="0.25"/>
    <row r="178295" s="12" customFormat="1" x14ac:dyDescent="0.25"/>
    <row r="178296" s="12" customFormat="1" x14ac:dyDescent="0.25"/>
    <row r="178297" s="12" customFormat="1" x14ac:dyDescent="0.25"/>
    <row r="178298" s="12" customFormat="1" x14ac:dyDescent="0.25"/>
    <row r="178299" s="12" customFormat="1" x14ac:dyDescent="0.25"/>
    <row r="178300" s="12" customFormat="1" x14ac:dyDescent="0.25"/>
    <row r="178301" s="12" customFormat="1" x14ac:dyDescent="0.25"/>
    <row r="178302" s="12" customFormat="1" x14ac:dyDescent="0.25"/>
    <row r="178303" s="12" customFormat="1" x14ac:dyDescent="0.25"/>
    <row r="178304" s="12" customFormat="1" x14ac:dyDescent="0.25"/>
    <row r="178305" s="12" customFormat="1" x14ac:dyDescent="0.25"/>
    <row r="178306" s="12" customFormat="1" x14ac:dyDescent="0.25"/>
    <row r="178307" s="12" customFormat="1" x14ac:dyDescent="0.25"/>
    <row r="178308" s="12" customFormat="1" x14ac:dyDescent="0.25"/>
    <row r="178309" s="12" customFormat="1" x14ac:dyDescent="0.25"/>
    <row r="178310" s="12" customFormat="1" x14ac:dyDescent="0.25"/>
    <row r="178311" s="12" customFormat="1" x14ac:dyDescent="0.25"/>
    <row r="178312" s="12" customFormat="1" x14ac:dyDescent="0.25"/>
    <row r="178313" s="12" customFormat="1" x14ac:dyDescent="0.25"/>
    <row r="178314" s="12" customFormat="1" x14ac:dyDescent="0.25"/>
    <row r="178315" s="12" customFormat="1" x14ac:dyDescent="0.25"/>
    <row r="178316" s="12" customFormat="1" x14ac:dyDescent="0.25"/>
    <row r="178317" s="12" customFormat="1" x14ac:dyDescent="0.25"/>
    <row r="178318" s="12" customFormat="1" x14ac:dyDescent="0.25"/>
    <row r="178319" s="12" customFormat="1" x14ac:dyDescent="0.25"/>
    <row r="178320" s="12" customFormat="1" x14ac:dyDescent="0.25"/>
    <row r="178321" s="12" customFormat="1" x14ac:dyDescent="0.25"/>
    <row r="178322" s="12" customFormat="1" x14ac:dyDescent="0.25"/>
    <row r="178323" s="12" customFormat="1" x14ac:dyDescent="0.25"/>
    <row r="178324" s="12" customFormat="1" x14ac:dyDescent="0.25"/>
    <row r="178325" s="12" customFormat="1" x14ac:dyDescent="0.25"/>
    <row r="178326" s="12" customFormat="1" x14ac:dyDescent="0.25"/>
    <row r="178327" s="12" customFormat="1" x14ac:dyDescent="0.25"/>
    <row r="178328" s="12" customFormat="1" x14ac:dyDescent="0.25"/>
    <row r="178329" s="12" customFormat="1" x14ac:dyDescent="0.25"/>
    <row r="178330" s="12" customFormat="1" x14ac:dyDescent="0.25"/>
    <row r="178331" s="12" customFormat="1" x14ac:dyDescent="0.25"/>
    <row r="178332" s="12" customFormat="1" x14ac:dyDescent="0.25"/>
    <row r="178333" s="12" customFormat="1" x14ac:dyDescent="0.25"/>
    <row r="178334" s="12" customFormat="1" x14ac:dyDescent="0.25"/>
    <row r="178335" s="12" customFormat="1" x14ac:dyDescent="0.25"/>
    <row r="178336" s="12" customFormat="1" x14ac:dyDescent="0.25"/>
    <row r="178337" s="12" customFormat="1" x14ac:dyDescent="0.25"/>
    <row r="178338" s="12" customFormat="1" x14ac:dyDescent="0.25"/>
    <row r="178339" s="12" customFormat="1" x14ac:dyDescent="0.25"/>
    <row r="178340" s="12" customFormat="1" x14ac:dyDescent="0.25"/>
    <row r="178341" s="12" customFormat="1" x14ac:dyDescent="0.25"/>
    <row r="178342" s="12" customFormat="1" x14ac:dyDescent="0.25"/>
    <row r="178343" s="12" customFormat="1" x14ac:dyDescent="0.25"/>
    <row r="178344" s="12" customFormat="1" x14ac:dyDescent="0.25"/>
    <row r="178345" s="12" customFormat="1" x14ac:dyDescent="0.25"/>
    <row r="178346" s="12" customFormat="1" x14ac:dyDescent="0.25"/>
    <row r="178347" s="12" customFormat="1" x14ac:dyDescent="0.25"/>
    <row r="178348" s="12" customFormat="1" x14ac:dyDescent="0.25"/>
    <row r="178349" s="12" customFormat="1" x14ac:dyDescent="0.25"/>
    <row r="178350" s="12" customFormat="1" x14ac:dyDescent="0.25"/>
    <row r="178351" s="12" customFormat="1" x14ac:dyDescent="0.25"/>
    <row r="178352" s="12" customFormat="1" x14ac:dyDescent="0.25"/>
    <row r="178353" s="12" customFormat="1" x14ac:dyDescent="0.25"/>
    <row r="178354" s="12" customFormat="1" x14ac:dyDescent="0.25"/>
    <row r="178355" s="12" customFormat="1" x14ac:dyDescent="0.25"/>
    <row r="178356" s="12" customFormat="1" x14ac:dyDescent="0.25"/>
    <row r="178357" s="12" customFormat="1" x14ac:dyDescent="0.25"/>
    <row r="178358" s="12" customFormat="1" x14ac:dyDescent="0.25"/>
    <row r="178359" s="12" customFormat="1" x14ac:dyDescent="0.25"/>
    <row r="178360" s="12" customFormat="1" x14ac:dyDescent="0.25"/>
    <row r="178361" s="12" customFormat="1" x14ac:dyDescent="0.25"/>
    <row r="178362" s="12" customFormat="1" x14ac:dyDescent="0.25"/>
    <row r="178363" s="12" customFormat="1" x14ac:dyDescent="0.25"/>
    <row r="178364" s="12" customFormat="1" x14ac:dyDescent="0.25"/>
    <row r="178365" s="12" customFormat="1" x14ac:dyDescent="0.25"/>
    <row r="178366" s="12" customFormat="1" x14ac:dyDescent="0.25"/>
    <row r="178367" s="12" customFormat="1" x14ac:dyDescent="0.25"/>
    <row r="178368" s="12" customFormat="1" x14ac:dyDescent="0.25"/>
    <row r="178369" s="12" customFormat="1" x14ac:dyDescent="0.25"/>
    <row r="178370" s="12" customFormat="1" x14ac:dyDescent="0.25"/>
    <row r="178371" s="12" customFormat="1" x14ac:dyDescent="0.25"/>
    <row r="178372" s="12" customFormat="1" x14ac:dyDescent="0.25"/>
    <row r="178373" s="12" customFormat="1" x14ac:dyDescent="0.25"/>
    <row r="178374" s="12" customFormat="1" x14ac:dyDescent="0.25"/>
    <row r="178375" s="12" customFormat="1" x14ac:dyDescent="0.25"/>
    <row r="178376" s="12" customFormat="1" x14ac:dyDescent="0.25"/>
    <row r="178377" s="12" customFormat="1" x14ac:dyDescent="0.25"/>
    <row r="178378" s="12" customFormat="1" x14ac:dyDescent="0.25"/>
    <row r="178379" s="12" customFormat="1" x14ac:dyDescent="0.25"/>
    <row r="178380" s="12" customFormat="1" x14ac:dyDescent="0.25"/>
    <row r="178381" s="12" customFormat="1" x14ac:dyDescent="0.25"/>
    <row r="178382" s="12" customFormat="1" x14ac:dyDescent="0.25"/>
    <row r="178383" s="12" customFormat="1" x14ac:dyDescent="0.25"/>
    <row r="178384" s="12" customFormat="1" x14ac:dyDescent="0.25"/>
    <row r="178385" s="12" customFormat="1" x14ac:dyDescent="0.25"/>
    <row r="178386" s="12" customFormat="1" x14ac:dyDescent="0.25"/>
    <row r="178387" s="12" customFormat="1" x14ac:dyDescent="0.25"/>
    <row r="178388" s="12" customFormat="1" x14ac:dyDescent="0.25"/>
    <row r="178389" s="12" customFormat="1" x14ac:dyDescent="0.25"/>
    <row r="178390" s="12" customFormat="1" x14ac:dyDescent="0.25"/>
    <row r="178391" s="12" customFormat="1" x14ac:dyDescent="0.25"/>
    <row r="178392" s="12" customFormat="1" x14ac:dyDescent="0.25"/>
    <row r="178393" s="12" customFormat="1" x14ac:dyDescent="0.25"/>
    <row r="178394" s="12" customFormat="1" x14ac:dyDescent="0.25"/>
    <row r="178395" s="12" customFormat="1" x14ac:dyDescent="0.25"/>
    <row r="178396" s="12" customFormat="1" x14ac:dyDescent="0.25"/>
    <row r="178397" s="12" customFormat="1" x14ac:dyDescent="0.25"/>
    <row r="178398" s="12" customFormat="1" x14ac:dyDescent="0.25"/>
    <row r="178399" s="12" customFormat="1" x14ac:dyDescent="0.25"/>
    <row r="178400" s="12" customFormat="1" x14ac:dyDescent="0.25"/>
    <row r="178401" s="12" customFormat="1" x14ac:dyDescent="0.25"/>
    <row r="178402" s="12" customFormat="1" x14ac:dyDescent="0.25"/>
    <row r="178403" s="12" customFormat="1" x14ac:dyDescent="0.25"/>
    <row r="178404" s="12" customFormat="1" x14ac:dyDescent="0.25"/>
    <row r="178405" s="12" customFormat="1" x14ac:dyDescent="0.25"/>
    <row r="178406" s="12" customFormat="1" x14ac:dyDescent="0.25"/>
    <row r="178407" s="12" customFormat="1" x14ac:dyDescent="0.25"/>
    <row r="178408" s="12" customFormat="1" x14ac:dyDescent="0.25"/>
    <row r="178409" s="12" customFormat="1" x14ac:dyDescent="0.25"/>
    <row r="178410" s="12" customFormat="1" x14ac:dyDescent="0.25"/>
    <row r="178411" s="12" customFormat="1" x14ac:dyDescent="0.25"/>
    <row r="178412" s="12" customFormat="1" x14ac:dyDescent="0.25"/>
    <row r="178413" s="12" customFormat="1" x14ac:dyDescent="0.25"/>
    <row r="178414" s="12" customFormat="1" x14ac:dyDescent="0.25"/>
    <row r="178415" s="12" customFormat="1" x14ac:dyDescent="0.25"/>
    <row r="178416" s="12" customFormat="1" x14ac:dyDescent="0.25"/>
    <row r="178417" s="12" customFormat="1" x14ac:dyDescent="0.25"/>
    <row r="178418" s="12" customFormat="1" x14ac:dyDescent="0.25"/>
    <row r="178419" s="12" customFormat="1" x14ac:dyDescent="0.25"/>
    <row r="178420" s="12" customFormat="1" x14ac:dyDescent="0.25"/>
    <row r="178421" s="12" customFormat="1" x14ac:dyDescent="0.25"/>
    <row r="178422" s="12" customFormat="1" x14ac:dyDescent="0.25"/>
    <row r="178423" s="12" customFormat="1" x14ac:dyDescent="0.25"/>
    <row r="178424" s="12" customFormat="1" x14ac:dyDescent="0.25"/>
    <row r="178425" s="12" customFormat="1" x14ac:dyDescent="0.25"/>
    <row r="178426" s="12" customFormat="1" x14ac:dyDescent="0.25"/>
    <row r="178427" s="12" customFormat="1" x14ac:dyDescent="0.25"/>
    <row r="178428" s="12" customFormat="1" x14ac:dyDescent="0.25"/>
    <row r="178429" s="12" customFormat="1" x14ac:dyDescent="0.25"/>
    <row r="178430" s="12" customFormat="1" x14ac:dyDescent="0.25"/>
    <row r="178431" s="12" customFormat="1" x14ac:dyDescent="0.25"/>
    <row r="178432" s="12" customFormat="1" x14ac:dyDescent="0.25"/>
    <row r="178433" s="12" customFormat="1" x14ac:dyDescent="0.25"/>
    <row r="178434" s="12" customFormat="1" x14ac:dyDescent="0.25"/>
    <row r="178435" s="12" customFormat="1" x14ac:dyDescent="0.25"/>
    <row r="178436" s="12" customFormat="1" x14ac:dyDescent="0.25"/>
    <row r="178437" s="12" customFormat="1" x14ac:dyDescent="0.25"/>
    <row r="178438" s="12" customFormat="1" x14ac:dyDescent="0.25"/>
    <row r="178439" s="12" customFormat="1" x14ac:dyDescent="0.25"/>
    <row r="178440" s="12" customFormat="1" x14ac:dyDescent="0.25"/>
    <row r="178441" s="12" customFormat="1" x14ac:dyDescent="0.25"/>
    <row r="178442" s="12" customFormat="1" x14ac:dyDescent="0.25"/>
    <row r="178443" s="12" customFormat="1" x14ac:dyDescent="0.25"/>
    <row r="178444" s="12" customFormat="1" x14ac:dyDescent="0.25"/>
    <row r="178445" s="12" customFormat="1" x14ac:dyDescent="0.25"/>
    <row r="178446" s="12" customFormat="1" x14ac:dyDescent="0.25"/>
    <row r="178447" s="12" customFormat="1" x14ac:dyDescent="0.25"/>
    <row r="178448" s="12" customFormat="1" x14ac:dyDescent="0.25"/>
    <row r="178449" s="12" customFormat="1" x14ac:dyDescent="0.25"/>
    <row r="178450" s="12" customFormat="1" x14ac:dyDescent="0.25"/>
    <row r="178451" s="12" customFormat="1" x14ac:dyDescent="0.25"/>
    <row r="178452" s="12" customFormat="1" x14ac:dyDescent="0.25"/>
    <row r="178453" s="12" customFormat="1" x14ac:dyDescent="0.25"/>
    <row r="178454" s="12" customFormat="1" x14ac:dyDescent="0.25"/>
    <row r="178455" s="12" customFormat="1" x14ac:dyDescent="0.25"/>
    <row r="178456" s="12" customFormat="1" x14ac:dyDescent="0.25"/>
    <row r="178457" s="12" customFormat="1" x14ac:dyDescent="0.25"/>
    <row r="178458" s="12" customFormat="1" x14ac:dyDescent="0.25"/>
    <row r="178459" s="12" customFormat="1" x14ac:dyDescent="0.25"/>
    <row r="178460" s="12" customFormat="1" x14ac:dyDescent="0.25"/>
    <row r="178461" s="12" customFormat="1" x14ac:dyDescent="0.25"/>
    <row r="178462" s="12" customFormat="1" x14ac:dyDescent="0.25"/>
    <row r="178463" s="12" customFormat="1" x14ac:dyDescent="0.25"/>
    <row r="178464" s="12" customFormat="1" x14ac:dyDescent="0.25"/>
    <row r="178465" s="12" customFormat="1" x14ac:dyDescent="0.25"/>
    <row r="178466" s="12" customFormat="1" x14ac:dyDescent="0.25"/>
    <row r="178467" s="12" customFormat="1" x14ac:dyDescent="0.25"/>
    <row r="178468" s="12" customFormat="1" x14ac:dyDescent="0.25"/>
    <row r="178469" s="12" customFormat="1" x14ac:dyDescent="0.25"/>
    <row r="178470" s="12" customFormat="1" x14ac:dyDescent="0.25"/>
    <row r="178471" s="12" customFormat="1" x14ac:dyDescent="0.25"/>
    <row r="178472" s="12" customFormat="1" x14ac:dyDescent="0.25"/>
    <row r="178473" s="12" customFormat="1" x14ac:dyDescent="0.25"/>
    <row r="178474" s="12" customFormat="1" x14ac:dyDescent="0.25"/>
    <row r="178475" s="12" customFormat="1" x14ac:dyDescent="0.25"/>
    <row r="178476" s="12" customFormat="1" x14ac:dyDescent="0.25"/>
    <row r="178477" s="12" customFormat="1" x14ac:dyDescent="0.25"/>
    <row r="178478" s="12" customFormat="1" x14ac:dyDescent="0.25"/>
    <row r="178479" s="12" customFormat="1" x14ac:dyDescent="0.25"/>
    <row r="178480" s="12" customFormat="1" x14ac:dyDescent="0.25"/>
    <row r="178481" s="12" customFormat="1" x14ac:dyDescent="0.25"/>
    <row r="178482" s="12" customFormat="1" x14ac:dyDescent="0.25"/>
    <row r="178483" s="12" customFormat="1" x14ac:dyDescent="0.25"/>
    <row r="178484" s="12" customFormat="1" x14ac:dyDescent="0.25"/>
    <row r="178485" s="12" customFormat="1" x14ac:dyDescent="0.25"/>
    <row r="178486" s="12" customFormat="1" x14ac:dyDescent="0.25"/>
    <row r="178487" s="12" customFormat="1" x14ac:dyDescent="0.25"/>
    <row r="178488" s="12" customFormat="1" x14ac:dyDescent="0.25"/>
    <row r="178489" s="12" customFormat="1" x14ac:dyDescent="0.25"/>
    <row r="178490" s="12" customFormat="1" x14ac:dyDescent="0.25"/>
    <row r="178491" s="12" customFormat="1" x14ac:dyDescent="0.25"/>
    <row r="178492" s="12" customFormat="1" x14ac:dyDescent="0.25"/>
    <row r="178493" s="12" customFormat="1" x14ac:dyDescent="0.25"/>
    <row r="178494" s="12" customFormat="1" x14ac:dyDescent="0.25"/>
    <row r="178495" s="12" customFormat="1" x14ac:dyDescent="0.25"/>
    <row r="178496" s="12" customFormat="1" x14ac:dyDescent="0.25"/>
    <row r="178497" s="12" customFormat="1" x14ac:dyDescent="0.25"/>
    <row r="178498" s="12" customFormat="1" x14ac:dyDescent="0.25"/>
    <row r="178499" s="12" customFormat="1" x14ac:dyDescent="0.25"/>
    <row r="178500" s="12" customFormat="1" x14ac:dyDescent="0.25"/>
    <row r="178501" s="12" customFormat="1" x14ac:dyDescent="0.25"/>
    <row r="178502" s="12" customFormat="1" x14ac:dyDescent="0.25"/>
    <row r="178503" s="12" customFormat="1" x14ac:dyDescent="0.25"/>
    <row r="178504" s="12" customFormat="1" x14ac:dyDescent="0.25"/>
    <row r="178505" s="12" customFormat="1" x14ac:dyDescent="0.25"/>
    <row r="178506" s="12" customFormat="1" x14ac:dyDescent="0.25"/>
    <row r="178507" s="12" customFormat="1" x14ac:dyDescent="0.25"/>
    <row r="178508" s="12" customFormat="1" x14ac:dyDescent="0.25"/>
    <row r="178509" s="12" customFormat="1" x14ac:dyDescent="0.25"/>
    <row r="178510" s="12" customFormat="1" x14ac:dyDescent="0.25"/>
    <row r="178511" s="12" customFormat="1" x14ac:dyDescent="0.25"/>
    <row r="178512" s="12" customFormat="1" x14ac:dyDescent="0.25"/>
    <row r="178513" s="12" customFormat="1" x14ac:dyDescent="0.25"/>
    <row r="178514" s="12" customFormat="1" x14ac:dyDescent="0.25"/>
    <row r="178515" s="12" customFormat="1" x14ac:dyDescent="0.25"/>
    <row r="178516" s="12" customFormat="1" x14ac:dyDescent="0.25"/>
    <row r="178517" s="12" customFormat="1" x14ac:dyDescent="0.25"/>
    <row r="178518" s="12" customFormat="1" x14ac:dyDescent="0.25"/>
    <row r="178519" s="12" customFormat="1" x14ac:dyDescent="0.25"/>
    <row r="178520" s="12" customFormat="1" x14ac:dyDescent="0.25"/>
    <row r="178521" s="12" customFormat="1" x14ac:dyDescent="0.25"/>
    <row r="178522" s="12" customFormat="1" x14ac:dyDescent="0.25"/>
    <row r="178523" s="12" customFormat="1" x14ac:dyDescent="0.25"/>
    <row r="178524" s="12" customFormat="1" x14ac:dyDescent="0.25"/>
    <row r="178525" s="12" customFormat="1" x14ac:dyDescent="0.25"/>
    <row r="178526" s="12" customFormat="1" x14ac:dyDescent="0.25"/>
    <row r="178527" s="12" customFormat="1" x14ac:dyDescent="0.25"/>
    <row r="178528" s="12" customFormat="1" x14ac:dyDescent="0.25"/>
    <row r="178529" s="12" customFormat="1" x14ac:dyDescent="0.25"/>
    <row r="178530" s="12" customFormat="1" x14ac:dyDescent="0.25"/>
    <row r="178531" s="12" customFormat="1" x14ac:dyDescent="0.25"/>
    <row r="178532" s="12" customFormat="1" x14ac:dyDescent="0.25"/>
    <row r="178533" s="12" customFormat="1" x14ac:dyDescent="0.25"/>
    <row r="178534" s="12" customFormat="1" x14ac:dyDescent="0.25"/>
    <row r="178535" s="12" customFormat="1" x14ac:dyDescent="0.25"/>
    <row r="178536" s="12" customFormat="1" x14ac:dyDescent="0.25"/>
    <row r="178537" s="12" customFormat="1" x14ac:dyDescent="0.25"/>
    <row r="178538" s="12" customFormat="1" x14ac:dyDescent="0.25"/>
    <row r="178539" s="12" customFormat="1" x14ac:dyDescent="0.25"/>
    <row r="178540" s="12" customFormat="1" x14ac:dyDescent="0.25"/>
    <row r="178541" s="12" customFormat="1" x14ac:dyDescent="0.25"/>
    <row r="178542" s="12" customFormat="1" x14ac:dyDescent="0.25"/>
    <row r="178543" s="12" customFormat="1" x14ac:dyDescent="0.25"/>
    <row r="178544" s="12" customFormat="1" x14ac:dyDescent="0.25"/>
    <row r="178545" s="12" customFormat="1" x14ac:dyDescent="0.25"/>
    <row r="178546" s="12" customFormat="1" x14ac:dyDescent="0.25"/>
    <row r="178547" s="12" customFormat="1" x14ac:dyDescent="0.25"/>
    <row r="178548" s="12" customFormat="1" x14ac:dyDescent="0.25"/>
    <row r="178549" s="12" customFormat="1" x14ac:dyDescent="0.25"/>
    <row r="178550" s="12" customFormat="1" x14ac:dyDescent="0.25"/>
    <row r="178551" s="12" customFormat="1" x14ac:dyDescent="0.25"/>
    <row r="178552" s="12" customFormat="1" x14ac:dyDescent="0.25"/>
    <row r="178553" s="12" customFormat="1" x14ac:dyDescent="0.25"/>
    <row r="178554" s="12" customFormat="1" x14ac:dyDescent="0.25"/>
    <row r="178555" s="12" customFormat="1" x14ac:dyDescent="0.25"/>
    <row r="178556" s="12" customFormat="1" x14ac:dyDescent="0.25"/>
    <row r="178557" s="12" customFormat="1" x14ac:dyDescent="0.25"/>
    <row r="178558" s="12" customFormat="1" x14ac:dyDescent="0.25"/>
    <row r="178559" s="12" customFormat="1" x14ac:dyDescent="0.25"/>
    <row r="178560" s="12" customFormat="1" x14ac:dyDescent="0.25"/>
    <row r="178561" s="12" customFormat="1" x14ac:dyDescent="0.25"/>
    <row r="178562" s="12" customFormat="1" x14ac:dyDescent="0.25"/>
    <row r="178563" s="12" customFormat="1" x14ac:dyDescent="0.25"/>
    <row r="178564" s="12" customFormat="1" x14ac:dyDescent="0.25"/>
    <row r="178565" s="12" customFormat="1" x14ac:dyDescent="0.25"/>
    <row r="178566" s="12" customFormat="1" x14ac:dyDescent="0.25"/>
    <row r="178567" s="12" customFormat="1" x14ac:dyDescent="0.25"/>
    <row r="178568" s="12" customFormat="1" x14ac:dyDescent="0.25"/>
    <row r="178569" s="12" customFormat="1" x14ac:dyDescent="0.25"/>
    <row r="178570" s="12" customFormat="1" x14ac:dyDescent="0.25"/>
    <row r="178571" s="12" customFormat="1" x14ac:dyDescent="0.25"/>
    <row r="178572" s="12" customFormat="1" x14ac:dyDescent="0.25"/>
    <row r="178573" s="12" customFormat="1" x14ac:dyDescent="0.25"/>
    <row r="178574" s="12" customFormat="1" x14ac:dyDescent="0.25"/>
    <row r="178575" s="12" customFormat="1" x14ac:dyDescent="0.25"/>
    <row r="178576" s="12" customFormat="1" x14ac:dyDescent="0.25"/>
    <row r="178577" s="12" customFormat="1" x14ac:dyDescent="0.25"/>
    <row r="178578" s="12" customFormat="1" x14ac:dyDescent="0.25"/>
    <row r="178579" s="12" customFormat="1" x14ac:dyDescent="0.25"/>
    <row r="178580" s="12" customFormat="1" x14ac:dyDescent="0.25"/>
    <row r="178581" s="12" customFormat="1" x14ac:dyDescent="0.25"/>
    <row r="178582" s="12" customFormat="1" x14ac:dyDescent="0.25"/>
    <row r="178583" s="12" customFormat="1" x14ac:dyDescent="0.25"/>
    <row r="178584" s="12" customFormat="1" x14ac:dyDescent="0.25"/>
    <row r="178585" s="12" customFormat="1" x14ac:dyDescent="0.25"/>
    <row r="178586" s="12" customFormat="1" x14ac:dyDescent="0.25"/>
    <row r="178587" s="12" customFormat="1" x14ac:dyDescent="0.25"/>
    <row r="178588" s="12" customFormat="1" x14ac:dyDescent="0.25"/>
    <row r="178589" s="12" customFormat="1" x14ac:dyDescent="0.25"/>
    <row r="178590" s="12" customFormat="1" x14ac:dyDescent="0.25"/>
    <row r="178591" s="12" customFormat="1" x14ac:dyDescent="0.25"/>
    <row r="178592" s="12" customFormat="1" x14ac:dyDescent="0.25"/>
    <row r="178593" s="12" customFormat="1" x14ac:dyDescent="0.25"/>
    <row r="178594" s="12" customFormat="1" x14ac:dyDescent="0.25"/>
    <row r="178595" s="12" customFormat="1" x14ac:dyDescent="0.25"/>
    <row r="178596" s="12" customFormat="1" x14ac:dyDescent="0.25"/>
    <row r="178597" s="12" customFormat="1" x14ac:dyDescent="0.25"/>
    <row r="178598" s="12" customFormat="1" x14ac:dyDescent="0.25"/>
    <row r="178599" s="12" customFormat="1" x14ac:dyDescent="0.25"/>
    <row r="178600" s="12" customFormat="1" x14ac:dyDescent="0.25"/>
    <row r="178601" s="12" customFormat="1" x14ac:dyDescent="0.25"/>
    <row r="178602" s="12" customFormat="1" x14ac:dyDescent="0.25"/>
    <row r="178603" s="12" customFormat="1" x14ac:dyDescent="0.25"/>
    <row r="178604" s="12" customFormat="1" x14ac:dyDescent="0.25"/>
    <row r="178605" s="12" customFormat="1" x14ac:dyDescent="0.25"/>
    <row r="178606" s="12" customFormat="1" x14ac:dyDescent="0.25"/>
    <row r="178607" s="12" customFormat="1" x14ac:dyDescent="0.25"/>
    <row r="178608" s="12" customFormat="1" x14ac:dyDescent="0.25"/>
    <row r="178609" s="12" customFormat="1" x14ac:dyDescent="0.25"/>
    <row r="178610" s="12" customFormat="1" x14ac:dyDescent="0.25"/>
    <row r="178611" s="12" customFormat="1" x14ac:dyDescent="0.25"/>
    <row r="178612" s="12" customFormat="1" x14ac:dyDescent="0.25"/>
    <row r="178613" s="12" customFormat="1" x14ac:dyDescent="0.25"/>
    <row r="178614" s="12" customFormat="1" x14ac:dyDescent="0.25"/>
    <row r="178615" s="12" customFormat="1" x14ac:dyDescent="0.25"/>
    <row r="178616" s="12" customFormat="1" x14ac:dyDescent="0.25"/>
    <row r="178617" s="12" customFormat="1" x14ac:dyDescent="0.25"/>
    <row r="178618" s="12" customFormat="1" x14ac:dyDescent="0.25"/>
    <row r="178619" s="12" customFormat="1" x14ac:dyDescent="0.25"/>
    <row r="178620" s="12" customFormat="1" x14ac:dyDescent="0.25"/>
    <row r="178621" s="12" customFormat="1" x14ac:dyDescent="0.25"/>
    <row r="178622" s="12" customFormat="1" x14ac:dyDescent="0.25"/>
    <row r="178623" s="12" customFormat="1" x14ac:dyDescent="0.25"/>
    <row r="178624" s="12" customFormat="1" x14ac:dyDescent="0.25"/>
    <row r="178625" s="12" customFormat="1" x14ac:dyDescent="0.25"/>
    <row r="178626" s="12" customFormat="1" x14ac:dyDescent="0.25"/>
    <row r="178627" s="12" customFormat="1" x14ac:dyDescent="0.25"/>
    <row r="178628" s="12" customFormat="1" x14ac:dyDescent="0.25"/>
    <row r="178629" s="12" customFormat="1" x14ac:dyDescent="0.25"/>
    <row r="178630" s="12" customFormat="1" x14ac:dyDescent="0.25"/>
    <row r="178631" s="12" customFormat="1" x14ac:dyDescent="0.25"/>
    <row r="178632" s="12" customFormat="1" x14ac:dyDescent="0.25"/>
    <row r="178633" s="12" customFormat="1" x14ac:dyDescent="0.25"/>
    <row r="178634" s="12" customFormat="1" x14ac:dyDescent="0.25"/>
    <row r="178635" s="12" customFormat="1" x14ac:dyDescent="0.25"/>
    <row r="178636" s="12" customFormat="1" x14ac:dyDescent="0.25"/>
    <row r="178637" s="12" customFormat="1" x14ac:dyDescent="0.25"/>
    <row r="178638" s="12" customFormat="1" x14ac:dyDescent="0.25"/>
    <row r="178639" s="12" customFormat="1" x14ac:dyDescent="0.25"/>
    <row r="178640" s="12" customFormat="1" x14ac:dyDescent="0.25"/>
    <row r="178641" s="12" customFormat="1" x14ac:dyDescent="0.25"/>
    <row r="178642" s="12" customFormat="1" x14ac:dyDescent="0.25"/>
    <row r="178643" s="12" customFormat="1" x14ac:dyDescent="0.25"/>
    <row r="178644" s="12" customFormat="1" x14ac:dyDescent="0.25"/>
    <row r="178645" s="12" customFormat="1" x14ac:dyDescent="0.25"/>
    <row r="178646" s="12" customFormat="1" x14ac:dyDescent="0.25"/>
    <row r="178647" s="12" customFormat="1" x14ac:dyDescent="0.25"/>
    <row r="178648" s="12" customFormat="1" x14ac:dyDescent="0.25"/>
    <row r="178649" s="12" customFormat="1" x14ac:dyDescent="0.25"/>
    <row r="178650" s="12" customFormat="1" x14ac:dyDescent="0.25"/>
    <row r="178651" s="12" customFormat="1" x14ac:dyDescent="0.25"/>
    <row r="178652" s="12" customFormat="1" x14ac:dyDescent="0.25"/>
    <row r="178653" s="12" customFormat="1" x14ac:dyDescent="0.25"/>
    <row r="178654" s="12" customFormat="1" x14ac:dyDescent="0.25"/>
    <row r="178655" s="12" customFormat="1" x14ac:dyDescent="0.25"/>
    <row r="178656" s="12" customFormat="1" x14ac:dyDescent="0.25"/>
    <row r="178657" s="12" customFormat="1" x14ac:dyDescent="0.25"/>
    <row r="178658" s="12" customFormat="1" x14ac:dyDescent="0.25"/>
    <row r="178659" s="12" customFormat="1" x14ac:dyDescent="0.25"/>
    <row r="178660" s="12" customFormat="1" x14ac:dyDescent="0.25"/>
    <row r="178661" s="12" customFormat="1" x14ac:dyDescent="0.25"/>
    <row r="178662" s="12" customFormat="1" x14ac:dyDescent="0.25"/>
    <row r="178663" s="12" customFormat="1" x14ac:dyDescent="0.25"/>
    <row r="178664" s="12" customFormat="1" x14ac:dyDescent="0.25"/>
    <row r="178665" s="12" customFormat="1" x14ac:dyDescent="0.25"/>
    <row r="178666" s="12" customFormat="1" x14ac:dyDescent="0.25"/>
    <row r="178667" s="12" customFormat="1" x14ac:dyDescent="0.25"/>
    <row r="178668" s="12" customFormat="1" x14ac:dyDescent="0.25"/>
    <row r="178669" s="12" customFormat="1" x14ac:dyDescent="0.25"/>
    <row r="178670" s="12" customFormat="1" x14ac:dyDescent="0.25"/>
    <row r="178671" s="12" customFormat="1" x14ac:dyDescent="0.25"/>
    <row r="178672" s="12" customFormat="1" x14ac:dyDescent="0.25"/>
    <row r="178673" s="12" customFormat="1" x14ac:dyDescent="0.25"/>
    <row r="178674" s="12" customFormat="1" x14ac:dyDescent="0.25"/>
    <row r="178675" s="12" customFormat="1" x14ac:dyDescent="0.25"/>
    <row r="178676" s="12" customFormat="1" x14ac:dyDescent="0.25"/>
    <row r="178677" s="12" customFormat="1" x14ac:dyDescent="0.25"/>
    <row r="178678" s="12" customFormat="1" x14ac:dyDescent="0.25"/>
    <row r="178679" s="12" customFormat="1" x14ac:dyDescent="0.25"/>
    <row r="178680" s="12" customFormat="1" x14ac:dyDescent="0.25"/>
    <row r="178681" s="12" customFormat="1" x14ac:dyDescent="0.25"/>
    <row r="178682" s="12" customFormat="1" x14ac:dyDescent="0.25"/>
    <row r="178683" s="12" customFormat="1" x14ac:dyDescent="0.25"/>
    <row r="178684" s="12" customFormat="1" x14ac:dyDescent="0.25"/>
    <row r="178685" s="12" customFormat="1" x14ac:dyDescent="0.25"/>
    <row r="178686" s="12" customFormat="1" x14ac:dyDescent="0.25"/>
    <row r="178687" s="12" customFormat="1" x14ac:dyDescent="0.25"/>
    <row r="178688" s="12" customFormat="1" x14ac:dyDescent="0.25"/>
    <row r="178689" s="12" customFormat="1" x14ac:dyDescent="0.25"/>
    <row r="178690" s="12" customFormat="1" x14ac:dyDescent="0.25"/>
    <row r="178691" s="12" customFormat="1" x14ac:dyDescent="0.25"/>
    <row r="178692" s="12" customFormat="1" x14ac:dyDescent="0.25"/>
    <row r="178693" s="12" customFormat="1" x14ac:dyDescent="0.25"/>
    <row r="178694" s="12" customFormat="1" x14ac:dyDescent="0.25"/>
    <row r="178695" s="12" customFormat="1" x14ac:dyDescent="0.25"/>
    <row r="178696" s="12" customFormat="1" x14ac:dyDescent="0.25"/>
    <row r="178697" s="12" customFormat="1" x14ac:dyDescent="0.25"/>
    <row r="178698" s="12" customFormat="1" x14ac:dyDescent="0.25"/>
    <row r="178699" s="12" customFormat="1" x14ac:dyDescent="0.25"/>
    <row r="178700" s="12" customFormat="1" x14ac:dyDescent="0.25"/>
    <row r="178701" s="12" customFormat="1" x14ac:dyDescent="0.25"/>
    <row r="178702" s="12" customFormat="1" x14ac:dyDescent="0.25"/>
    <row r="178703" s="12" customFormat="1" x14ac:dyDescent="0.25"/>
    <row r="178704" s="12" customFormat="1" x14ac:dyDescent="0.25"/>
    <row r="178705" s="12" customFormat="1" x14ac:dyDescent="0.25"/>
    <row r="178706" s="12" customFormat="1" x14ac:dyDescent="0.25"/>
    <row r="178707" s="12" customFormat="1" x14ac:dyDescent="0.25"/>
    <row r="178708" s="12" customFormat="1" x14ac:dyDescent="0.25"/>
    <row r="178709" s="12" customFormat="1" x14ac:dyDescent="0.25"/>
    <row r="178710" s="12" customFormat="1" x14ac:dyDescent="0.25"/>
    <row r="178711" s="12" customFormat="1" x14ac:dyDescent="0.25"/>
    <row r="178712" s="12" customFormat="1" x14ac:dyDescent="0.25"/>
    <row r="178713" s="12" customFormat="1" x14ac:dyDescent="0.25"/>
    <row r="178714" s="12" customFormat="1" x14ac:dyDescent="0.25"/>
    <row r="178715" s="12" customFormat="1" x14ac:dyDescent="0.25"/>
    <row r="178716" s="12" customFormat="1" x14ac:dyDescent="0.25"/>
    <row r="178717" s="12" customFormat="1" x14ac:dyDescent="0.25"/>
    <row r="178718" s="12" customFormat="1" x14ac:dyDescent="0.25"/>
    <row r="178719" s="12" customFormat="1" x14ac:dyDescent="0.25"/>
    <row r="178720" s="12" customFormat="1" x14ac:dyDescent="0.25"/>
    <row r="178721" s="12" customFormat="1" x14ac:dyDescent="0.25"/>
    <row r="178722" s="12" customFormat="1" x14ac:dyDescent="0.25"/>
    <row r="178723" s="12" customFormat="1" x14ac:dyDescent="0.25"/>
    <row r="178724" s="12" customFormat="1" x14ac:dyDescent="0.25"/>
    <row r="178725" s="12" customFormat="1" x14ac:dyDescent="0.25"/>
    <row r="178726" s="12" customFormat="1" x14ac:dyDescent="0.25"/>
    <row r="178727" s="12" customFormat="1" x14ac:dyDescent="0.25"/>
    <row r="178728" s="12" customFormat="1" x14ac:dyDescent="0.25"/>
    <row r="178729" s="12" customFormat="1" x14ac:dyDescent="0.25"/>
    <row r="178730" s="12" customFormat="1" x14ac:dyDescent="0.25"/>
    <row r="178731" s="12" customFormat="1" x14ac:dyDescent="0.25"/>
    <row r="178732" s="12" customFormat="1" x14ac:dyDescent="0.25"/>
    <row r="178733" s="12" customFormat="1" x14ac:dyDescent="0.25"/>
    <row r="178734" s="12" customFormat="1" x14ac:dyDescent="0.25"/>
    <row r="178735" s="12" customFormat="1" x14ac:dyDescent="0.25"/>
    <row r="178736" s="12" customFormat="1" x14ac:dyDescent="0.25"/>
    <row r="178737" s="12" customFormat="1" x14ac:dyDescent="0.25"/>
    <row r="178738" s="12" customFormat="1" x14ac:dyDescent="0.25"/>
    <row r="178739" s="12" customFormat="1" x14ac:dyDescent="0.25"/>
    <row r="178740" s="12" customFormat="1" x14ac:dyDescent="0.25"/>
    <row r="178741" s="12" customFormat="1" x14ac:dyDescent="0.25"/>
    <row r="178742" s="12" customFormat="1" x14ac:dyDescent="0.25"/>
    <row r="178743" s="12" customFormat="1" x14ac:dyDescent="0.25"/>
    <row r="178744" s="12" customFormat="1" x14ac:dyDescent="0.25"/>
    <row r="178745" s="12" customFormat="1" x14ac:dyDescent="0.25"/>
    <row r="178746" s="12" customFormat="1" x14ac:dyDescent="0.25"/>
    <row r="178747" s="12" customFormat="1" x14ac:dyDescent="0.25"/>
    <row r="178748" s="12" customFormat="1" x14ac:dyDescent="0.25"/>
    <row r="178749" s="12" customFormat="1" x14ac:dyDescent="0.25"/>
    <row r="178750" s="12" customFormat="1" x14ac:dyDescent="0.25"/>
    <row r="178751" s="12" customFormat="1" x14ac:dyDescent="0.25"/>
    <row r="178752" s="12" customFormat="1" x14ac:dyDescent="0.25"/>
    <row r="178753" s="12" customFormat="1" x14ac:dyDescent="0.25"/>
    <row r="178754" s="12" customFormat="1" x14ac:dyDescent="0.25"/>
    <row r="178755" s="12" customFormat="1" x14ac:dyDescent="0.25"/>
    <row r="178756" s="12" customFormat="1" x14ac:dyDescent="0.25"/>
    <row r="178757" s="12" customFormat="1" x14ac:dyDescent="0.25"/>
    <row r="178758" s="12" customFormat="1" x14ac:dyDescent="0.25"/>
    <row r="178759" s="12" customFormat="1" x14ac:dyDescent="0.25"/>
    <row r="178760" s="12" customFormat="1" x14ac:dyDescent="0.25"/>
    <row r="178761" s="12" customFormat="1" x14ac:dyDescent="0.25"/>
    <row r="178762" s="12" customFormat="1" x14ac:dyDescent="0.25"/>
    <row r="178763" s="12" customFormat="1" x14ac:dyDescent="0.25"/>
    <row r="178764" s="12" customFormat="1" x14ac:dyDescent="0.25"/>
    <row r="178765" s="12" customFormat="1" x14ac:dyDescent="0.25"/>
    <row r="178766" s="12" customFormat="1" x14ac:dyDescent="0.25"/>
    <row r="178767" s="12" customFormat="1" x14ac:dyDescent="0.25"/>
    <row r="178768" s="12" customFormat="1" x14ac:dyDescent="0.25"/>
    <row r="178769" s="12" customFormat="1" x14ac:dyDescent="0.25"/>
    <row r="178770" s="12" customFormat="1" x14ac:dyDescent="0.25"/>
    <row r="178771" s="12" customFormat="1" x14ac:dyDescent="0.25"/>
    <row r="178772" s="12" customFormat="1" x14ac:dyDescent="0.25"/>
    <row r="178773" s="12" customFormat="1" x14ac:dyDescent="0.25"/>
    <row r="178774" s="12" customFormat="1" x14ac:dyDescent="0.25"/>
    <row r="178775" s="12" customFormat="1" x14ac:dyDescent="0.25"/>
    <row r="178776" s="12" customFormat="1" x14ac:dyDescent="0.25"/>
    <row r="178777" s="12" customFormat="1" x14ac:dyDescent="0.25"/>
    <row r="178778" s="12" customFormat="1" x14ac:dyDescent="0.25"/>
    <row r="178779" s="12" customFormat="1" x14ac:dyDescent="0.25"/>
    <row r="178780" s="12" customFormat="1" x14ac:dyDescent="0.25"/>
    <row r="178781" s="12" customFormat="1" x14ac:dyDescent="0.25"/>
    <row r="178782" s="12" customFormat="1" x14ac:dyDescent="0.25"/>
    <row r="178783" s="12" customFormat="1" x14ac:dyDescent="0.25"/>
    <row r="178784" s="12" customFormat="1" x14ac:dyDescent="0.25"/>
    <row r="178785" s="12" customFormat="1" x14ac:dyDescent="0.25"/>
    <row r="178786" s="12" customFormat="1" x14ac:dyDescent="0.25"/>
    <row r="178787" s="12" customFormat="1" x14ac:dyDescent="0.25"/>
    <row r="178788" s="12" customFormat="1" x14ac:dyDescent="0.25"/>
    <row r="178789" s="12" customFormat="1" x14ac:dyDescent="0.25"/>
    <row r="178790" s="12" customFormat="1" x14ac:dyDescent="0.25"/>
    <row r="178791" s="12" customFormat="1" x14ac:dyDescent="0.25"/>
    <row r="178792" s="12" customFormat="1" x14ac:dyDescent="0.25"/>
    <row r="178793" s="12" customFormat="1" x14ac:dyDescent="0.25"/>
    <row r="178794" s="12" customFormat="1" x14ac:dyDescent="0.25"/>
    <row r="178795" s="12" customFormat="1" x14ac:dyDescent="0.25"/>
    <row r="178796" s="12" customFormat="1" x14ac:dyDescent="0.25"/>
    <row r="178797" s="12" customFormat="1" x14ac:dyDescent="0.25"/>
    <row r="178798" s="12" customFormat="1" x14ac:dyDescent="0.25"/>
    <row r="178799" s="12" customFormat="1" x14ac:dyDescent="0.25"/>
    <row r="178800" s="12" customFormat="1" x14ac:dyDescent="0.25"/>
    <row r="178801" s="12" customFormat="1" x14ac:dyDescent="0.25"/>
    <row r="178802" s="12" customFormat="1" x14ac:dyDescent="0.25"/>
    <row r="178803" s="12" customFormat="1" x14ac:dyDescent="0.25"/>
    <row r="178804" s="12" customFormat="1" x14ac:dyDescent="0.25"/>
    <row r="178805" s="12" customFormat="1" x14ac:dyDescent="0.25"/>
    <row r="178806" s="12" customFormat="1" x14ac:dyDescent="0.25"/>
    <row r="178807" s="12" customFormat="1" x14ac:dyDescent="0.25"/>
    <row r="178808" s="12" customFormat="1" x14ac:dyDescent="0.25"/>
    <row r="178809" s="12" customFormat="1" x14ac:dyDescent="0.25"/>
    <row r="178810" s="12" customFormat="1" x14ac:dyDescent="0.25"/>
    <row r="178811" s="12" customFormat="1" x14ac:dyDescent="0.25"/>
    <row r="178812" s="12" customFormat="1" x14ac:dyDescent="0.25"/>
    <row r="178813" s="12" customFormat="1" x14ac:dyDescent="0.25"/>
    <row r="178814" s="12" customFormat="1" x14ac:dyDescent="0.25"/>
    <row r="178815" s="12" customFormat="1" x14ac:dyDescent="0.25"/>
    <row r="178816" s="12" customFormat="1" x14ac:dyDescent="0.25"/>
    <row r="178817" s="12" customFormat="1" x14ac:dyDescent="0.25"/>
    <row r="178818" s="12" customFormat="1" x14ac:dyDescent="0.25"/>
    <row r="178819" s="12" customFormat="1" x14ac:dyDescent="0.25"/>
    <row r="178820" s="12" customFormat="1" x14ac:dyDescent="0.25"/>
    <row r="178821" s="12" customFormat="1" x14ac:dyDescent="0.25"/>
    <row r="178822" s="12" customFormat="1" x14ac:dyDescent="0.25"/>
    <row r="178823" s="12" customFormat="1" x14ac:dyDescent="0.25"/>
    <row r="178824" s="12" customFormat="1" x14ac:dyDescent="0.25"/>
    <row r="178825" s="12" customFormat="1" x14ac:dyDescent="0.25"/>
    <row r="178826" s="12" customFormat="1" x14ac:dyDescent="0.25"/>
    <row r="178827" s="12" customFormat="1" x14ac:dyDescent="0.25"/>
    <row r="178828" s="12" customFormat="1" x14ac:dyDescent="0.25"/>
    <row r="178829" s="12" customFormat="1" x14ac:dyDescent="0.25"/>
    <row r="178830" s="12" customFormat="1" x14ac:dyDescent="0.25"/>
    <row r="178831" s="12" customFormat="1" x14ac:dyDescent="0.25"/>
    <row r="178832" s="12" customFormat="1" x14ac:dyDescent="0.25"/>
    <row r="178833" s="12" customFormat="1" x14ac:dyDescent="0.25"/>
    <row r="178834" s="12" customFormat="1" x14ac:dyDescent="0.25"/>
    <row r="178835" s="12" customFormat="1" x14ac:dyDescent="0.25"/>
    <row r="178836" s="12" customFormat="1" x14ac:dyDescent="0.25"/>
    <row r="178837" s="12" customFormat="1" x14ac:dyDescent="0.25"/>
    <row r="178838" s="12" customFormat="1" x14ac:dyDescent="0.25"/>
    <row r="178839" s="12" customFormat="1" x14ac:dyDescent="0.25"/>
    <row r="178840" s="12" customFormat="1" x14ac:dyDescent="0.25"/>
    <row r="178841" s="12" customFormat="1" x14ac:dyDescent="0.25"/>
    <row r="178842" s="12" customFormat="1" x14ac:dyDescent="0.25"/>
    <row r="178843" s="12" customFormat="1" x14ac:dyDescent="0.25"/>
    <row r="178844" s="12" customFormat="1" x14ac:dyDescent="0.25"/>
    <row r="178845" s="12" customFormat="1" x14ac:dyDescent="0.25"/>
    <row r="178846" s="12" customFormat="1" x14ac:dyDescent="0.25"/>
    <row r="178847" s="12" customFormat="1" x14ac:dyDescent="0.25"/>
    <row r="178848" s="12" customFormat="1" x14ac:dyDescent="0.25"/>
    <row r="178849" s="12" customFormat="1" x14ac:dyDescent="0.25"/>
    <row r="178850" s="12" customFormat="1" x14ac:dyDescent="0.25"/>
    <row r="178851" s="12" customFormat="1" x14ac:dyDescent="0.25"/>
    <row r="178852" s="12" customFormat="1" x14ac:dyDescent="0.25"/>
    <row r="178853" s="12" customFormat="1" x14ac:dyDescent="0.25"/>
    <row r="178854" s="12" customFormat="1" x14ac:dyDescent="0.25"/>
    <row r="178855" s="12" customFormat="1" x14ac:dyDescent="0.25"/>
    <row r="178856" s="12" customFormat="1" x14ac:dyDescent="0.25"/>
    <row r="178857" s="12" customFormat="1" x14ac:dyDescent="0.25"/>
    <row r="178858" s="12" customFormat="1" x14ac:dyDescent="0.25"/>
    <row r="178859" s="12" customFormat="1" x14ac:dyDescent="0.25"/>
    <row r="178860" s="12" customFormat="1" x14ac:dyDescent="0.25"/>
    <row r="178861" s="12" customFormat="1" x14ac:dyDescent="0.25"/>
    <row r="178862" s="12" customFormat="1" x14ac:dyDescent="0.25"/>
    <row r="178863" s="12" customFormat="1" x14ac:dyDescent="0.25"/>
    <row r="178864" s="12" customFormat="1" x14ac:dyDescent="0.25"/>
    <row r="178865" s="12" customFormat="1" x14ac:dyDescent="0.25"/>
    <row r="178866" s="12" customFormat="1" x14ac:dyDescent="0.25"/>
    <row r="178867" s="12" customFormat="1" x14ac:dyDescent="0.25"/>
    <row r="178868" s="12" customFormat="1" x14ac:dyDescent="0.25"/>
    <row r="178869" s="12" customFormat="1" x14ac:dyDescent="0.25"/>
    <row r="178870" s="12" customFormat="1" x14ac:dyDescent="0.25"/>
    <row r="178871" s="12" customFormat="1" x14ac:dyDescent="0.25"/>
    <row r="178872" s="12" customFormat="1" x14ac:dyDescent="0.25"/>
    <row r="178873" s="12" customFormat="1" x14ac:dyDescent="0.25"/>
    <row r="178874" s="12" customFormat="1" x14ac:dyDescent="0.25"/>
    <row r="178875" s="12" customFormat="1" x14ac:dyDescent="0.25"/>
    <row r="178876" s="12" customFormat="1" x14ac:dyDescent="0.25"/>
    <row r="178877" s="12" customFormat="1" x14ac:dyDescent="0.25"/>
    <row r="178878" s="12" customFormat="1" x14ac:dyDescent="0.25"/>
    <row r="178879" s="12" customFormat="1" x14ac:dyDescent="0.25"/>
    <row r="178880" s="12" customFormat="1" x14ac:dyDescent="0.25"/>
    <row r="178881" s="12" customFormat="1" x14ac:dyDescent="0.25"/>
    <row r="178882" s="12" customFormat="1" x14ac:dyDescent="0.25"/>
    <row r="178883" s="12" customFormat="1" x14ac:dyDescent="0.25"/>
    <row r="178884" s="12" customFormat="1" x14ac:dyDescent="0.25"/>
    <row r="178885" s="12" customFormat="1" x14ac:dyDescent="0.25"/>
    <row r="178886" s="12" customFormat="1" x14ac:dyDescent="0.25"/>
    <row r="178887" s="12" customFormat="1" x14ac:dyDescent="0.25"/>
    <row r="178888" s="12" customFormat="1" x14ac:dyDescent="0.25"/>
    <row r="178889" s="12" customFormat="1" x14ac:dyDescent="0.25"/>
    <row r="178890" s="12" customFormat="1" x14ac:dyDescent="0.25"/>
    <row r="178891" s="12" customFormat="1" x14ac:dyDescent="0.25"/>
    <row r="178892" s="12" customFormat="1" x14ac:dyDescent="0.25"/>
    <row r="178893" s="12" customFormat="1" x14ac:dyDescent="0.25"/>
    <row r="178894" s="12" customFormat="1" x14ac:dyDescent="0.25"/>
    <row r="178895" s="12" customFormat="1" x14ac:dyDescent="0.25"/>
    <row r="178896" s="12" customFormat="1" x14ac:dyDescent="0.25"/>
    <row r="178897" s="12" customFormat="1" x14ac:dyDescent="0.25"/>
    <row r="178898" s="12" customFormat="1" x14ac:dyDescent="0.25"/>
    <row r="178899" s="12" customFormat="1" x14ac:dyDescent="0.25"/>
    <row r="178900" s="12" customFormat="1" x14ac:dyDescent="0.25"/>
    <row r="178901" s="12" customFormat="1" x14ac:dyDescent="0.25"/>
    <row r="178902" s="12" customFormat="1" x14ac:dyDescent="0.25"/>
    <row r="178903" s="12" customFormat="1" x14ac:dyDescent="0.25"/>
    <row r="178904" s="12" customFormat="1" x14ac:dyDescent="0.25"/>
    <row r="178905" s="12" customFormat="1" x14ac:dyDescent="0.25"/>
    <row r="178906" s="12" customFormat="1" x14ac:dyDescent="0.25"/>
    <row r="178907" s="12" customFormat="1" x14ac:dyDescent="0.25"/>
    <row r="178908" s="12" customFormat="1" x14ac:dyDescent="0.25"/>
    <row r="178909" s="12" customFormat="1" x14ac:dyDescent="0.25"/>
    <row r="178910" s="12" customFormat="1" x14ac:dyDescent="0.25"/>
    <row r="178911" s="12" customFormat="1" x14ac:dyDescent="0.25"/>
    <row r="178912" s="12" customFormat="1" x14ac:dyDescent="0.25"/>
    <row r="178913" s="12" customFormat="1" x14ac:dyDescent="0.25"/>
    <row r="178914" s="12" customFormat="1" x14ac:dyDescent="0.25"/>
    <row r="178915" s="12" customFormat="1" x14ac:dyDescent="0.25"/>
    <row r="178916" s="12" customFormat="1" x14ac:dyDescent="0.25"/>
    <row r="178917" s="12" customFormat="1" x14ac:dyDescent="0.25"/>
    <row r="178918" s="12" customFormat="1" x14ac:dyDescent="0.25"/>
    <row r="178919" s="12" customFormat="1" x14ac:dyDescent="0.25"/>
    <row r="178920" s="12" customFormat="1" x14ac:dyDescent="0.25"/>
    <row r="178921" s="12" customFormat="1" x14ac:dyDescent="0.25"/>
    <row r="178922" s="12" customFormat="1" x14ac:dyDescent="0.25"/>
    <row r="178923" s="12" customFormat="1" x14ac:dyDescent="0.25"/>
    <row r="178924" s="12" customFormat="1" x14ac:dyDescent="0.25"/>
    <row r="178925" s="12" customFormat="1" x14ac:dyDescent="0.25"/>
    <row r="178926" s="12" customFormat="1" x14ac:dyDescent="0.25"/>
    <row r="178927" s="12" customFormat="1" x14ac:dyDescent="0.25"/>
    <row r="178928" s="12" customFormat="1" x14ac:dyDescent="0.25"/>
    <row r="178929" s="12" customFormat="1" x14ac:dyDescent="0.25"/>
    <row r="178930" s="12" customFormat="1" x14ac:dyDescent="0.25"/>
    <row r="178931" s="12" customFormat="1" x14ac:dyDescent="0.25"/>
    <row r="178932" s="12" customFormat="1" x14ac:dyDescent="0.25"/>
    <row r="178933" s="12" customFormat="1" x14ac:dyDescent="0.25"/>
    <row r="178934" s="12" customFormat="1" x14ac:dyDescent="0.25"/>
    <row r="178935" s="12" customFormat="1" x14ac:dyDescent="0.25"/>
    <row r="178936" s="12" customFormat="1" x14ac:dyDescent="0.25"/>
    <row r="178937" s="12" customFormat="1" x14ac:dyDescent="0.25"/>
    <row r="178938" s="12" customFormat="1" x14ac:dyDescent="0.25"/>
    <row r="178939" s="12" customFormat="1" x14ac:dyDescent="0.25"/>
    <row r="178940" s="12" customFormat="1" x14ac:dyDescent="0.25"/>
    <row r="178941" s="12" customFormat="1" x14ac:dyDescent="0.25"/>
    <row r="178942" s="12" customFormat="1" x14ac:dyDescent="0.25"/>
    <row r="178943" s="12" customFormat="1" x14ac:dyDescent="0.25"/>
    <row r="178944" s="12" customFormat="1" x14ac:dyDescent="0.25"/>
    <row r="178945" s="12" customFormat="1" x14ac:dyDescent="0.25"/>
    <row r="178946" s="12" customFormat="1" x14ac:dyDescent="0.25"/>
    <row r="178947" s="12" customFormat="1" x14ac:dyDescent="0.25"/>
    <row r="178948" s="12" customFormat="1" x14ac:dyDescent="0.25"/>
    <row r="178949" s="12" customFormat="1" x14ac:dyDescent="0.25"/>
    <row r="178950" s="12" customFormat="1" x14ac:dyDescent="0.25"/>
    <row r="178951" s="12" customFormat="1" x14ac:dyDescent="0.25"/>
    <row r="178952" s="12" customFormat="1" x14ac:dyDescent="0.25"/>
    <row r="178953" s="12" customFormat="1" x14ac:dyDescent="0.25"/>
    <row r="178954" s="12" customFormat="1" x14ac:dyDescent="0.25"/>
    <row r="178955" s="12" customFormat="1" x14ac:dyDescent="0.25"/>
    <row r="178956" s="12" customFormat="1" x14ac:dyDescent="0.25"/>
    <row r="178957" s="12" customFormat="1" x14ac:dyDescent="0.25"/>
    <row r="178958" s="12" customFormat="1" x14ac:dyDescent="0.25"/>
    <row r="178959" s="12" customFormat="1" x14ac:dyDescent="0.25"/>
    <row r="178960" s="12" customFormat="1" x14ac:dyDescent="0.25"/>
    <row r="178961" s="12" customFormat="1" x14ac:dyDescent="0.25"/>
    <row r="178962" s="12" customFormat="1" x14ac:dyDescent="0.25"/>
    <row r="178963" s="12" customFormat="1" x14ac:dyDescent="0.25"/>
    <row r="178964" s="12" customFormat="1" x14ac:dyDescent="0.25"/>
    <row r="178965" s="12" customFormat="1" x14ac:dyDescent="0.25"/>
    <row r="178966" s="12" customFormat="1" x14ac:dyDescent="0.25"/>
    <row r="178967" s="12" customFormat="1" x14ac:dyDescent="0.25"/>
    <row r="178968" s="12" customFormat="1" x14ac:dyDescent="0.25"/>
    <row r="178969" s="12" customFormat="1" x14ac:dyDescent="0.25"/>
    <row r="178970" s="12" customFormat="1" x14ac:dyDescent="0.25"/>
    <row r="178971" s="12" customFormat="1" x14ac:dyDescent="0.25"/>
    <row r="178972" s="12" customFormat="1" x14ac:dyDescent="0.25"/>
    <row r="178973" s="12" customFormat="1" x14ac:dyDescent="0.25"/>
    <row r="178974" s="12" customFormat="1" x14ac:dyDescent="0.25"/>
    <row r="178975" s="12" customFormat="1" x14ac:dyDescent="0.25"/>
    <row r="178976" s="12" customFormat="1" x14ac:dyDescent="0.25"/>
    <row r="178977" s="12" customFormat="1" x14ac:dyDescent="0.25"/>
    <row r="178978" s="12" customFormat="1" x14ac:dyDescent="0.25"/>
    <row r="178979" s="12" customFormat="1" x14ac:dyDescent="0.25"/>
    <row r="178980" s="12" customFormat="1" x14ac:dyDescent="0.25"/>
    <row r="178981" s="12" customFormat="1" x14ac:dyDescent="0.25"/>
    <row r="178982" s="12" customFormat="1" x14ac:dyDescent="0.25"/>
    <row r="178983" s="12" customFormat="1" x14ac:dyDescent="0.25"/>
    <row r="178984" s="12" customFormat="1" x14ac:dyDescent="0.25"/>
    <row r="178985" s="12" customFormat="1" x14ac:dyDescent="0.25"/>
    <row r="178986" s="12" customFormat="1" x14ac:dyDescent="0.25"/>
    <row r="178987" s="12" customFormat="1" x14ac:dyDescent="0.25"/>
    <row r="178988" s="12" customFormat="1" x14ac:dyDescent="0.25"/>
    <row r="178989" s="12" customFormat="1" x14ac:dyDescent="0.25"/>
    <row r="178990" s="12" customFormat="1" x14ac:dyDescent="0.25"/>
    <row r="178991" s="12" customFormat="1" x14ac:dyDescent="0.25"/>
    <row r="178992" s="12" customFormat="1" x14ac:dyDescent="0.25"/>
    <row r="178993" s="12" customFormat="1" x14ac:dyDescent="0.25"/>
    <row r="178994" s="12" customFormat="1" x14ac:dyDescent="0.25"/>
    <row r="178995" s="12" customFormat="1" x14ac:dyDescent="0.25"/>
    <row r="178996" s="12" customFormat="1" x14ac:dyDescent="0.25"/>
    <row r="178997" s="12" customFormat="1" x14ac:dyDescent="0.25"/>
    <row r="178998" s="12" customFormat="1" x14ac:dyDescent="0.25"/>
    <row r="178999" s="12" customFormat="1" x14ac:dyDescent="0.25"/>
    <row r="179000" s="12" customFormat="1" x14ac:dyDescent="0.25"/>
    <row r="179001" s="12" customFormat="1" x14ac:dyDescent="0.25"/>
    <row r="179002" s="12" customFormat="1" x14ac:dyDescent="0.25"/>
    <row r="179003" s="12" customFormat="1" x14ac:dyDescent="0.25"/>
    <row r="179004" s="12" customFormat="1" x14ac:dyDescent="0.25"/>
    <row r="179005" s="12" customFormat="1" x14ac:dyDescent="0.25"/>
    <row r="179006" s="12" customFormat="1" x14ac:dyDescent="0.25"/>
    <row r="179007" s="12" customFormat="1" x14ac:dyDescent="0.25"/>
    <row r="179008" s="12" customFormat="1" x14ac:dyDescent="0.25"/>
    <row r="179009" s="12" customFormat="1" x14ac:dyDescent="0.25"/>
    <row r="179010" s="12" customFormat="1" x14ac:dyDescent="0.25"/>
    <row r="179011" s="12" customFormat="1" x14ac:dyDescent="0.25"/>
    <row r="179012" s="12" customFormat="1" x14ac:dyDescent="0.25"/>
    <row r="179013" s="12" customFormat="1" x14ac:dyDescent="0.25"/>
    <row r="179014" s="12" customFormat="1" x14ac:dyDescent="0.25"/>
    <row r="179015" s="12" customFormat="1" x14ac:dyDescent="0.25"/>
    <row r="179016" s="12" customFormat="1" x14ac:dyDescent="0.25"/>
    <row r="179017" s="12" customFormat="1" x14ac:dyDescent="0.25"/>
    <row r="179018" s="12" customFormat="1" x14ac:dyDescent="0.25"/>
    <row r="179019" s="12" customFormat="1" x14ac:dyDescent="0.25"/>
    <row r="179020" s="12" customFormat="1" x14ac:dyDescent="0.25"/>
    <row r="179021" s="12" customFormat="1" x14ac:dyDescent="0.25"/>
    <row r="179022" s="12" customFormat="1" x14ac:dyDescent="0.25"/>
    <row r="179023" s="12" customFormat="1" x14ac:dyDescent="0.25"/>
    <row r="179024" s="12" customFormat="1" x14ac:dyDescent="0.25"/>
    <row r="179025" s="12" customFormat="1" x14ac:dyDescent="0.25"/>
    <row r="179026" s="12" customFormat="1" x14ac:dyDescent="0.25"/>
    <row r="179027" s="12" customFormat="1" x14ac:dyDescent="0.25"/>
    <row r="179028" s="12" customFormat="1" x14ac:dyDescent="0.25"/>
    <row r="179029" s="12" customFormat="1" x14ac:dyDescent="0.25"/>
    <row r="179030" s="12" customFormat="1" x14ac:dyDescent="0.25"/>
    <row r="179031" s="12" customFormat="1" x14ac:dyDescent="0.25"/>
    <row r="179032" s="12" customFormat="1" x14ac:dyDescent="0.25"/>
    <row r="179033" s="12" customFormat="1" x14ac:dyDescent="0.25"/>
    <row r="179034" s="12" customFormat="1" x14ac:dyDescent="0.25"/>
    <row r="179035" s="12" customFormat="1" x14ac:dyDescent="0.25"/>
    <row r="179036" s="12" customFormat="1" x14ac:dyDescent="0.25"/>
    <row r="179037" s="12" customFormat="1" x14ac:dyDescent="0.25"/>
    <row r="179038" s="12" customFormat="1" x14ac:dyDescent="0.25"/>
    <row r="179039" s="12" customFormat="1" x14ac:dyDescent="0.25"/>
    <row r="179040" s="12" customFormat="1" x14ac:dyDescent="0.25"/>
    <row r="179041" s="12" customFormat="1" x14ac:dyDescent="0.25"/>
    <row r="179042" s="12" customFormat="1" x14ac:dyDescent="0.25"/>
    <row r="179043" s="12" customFormat="1" x14ac:dyDescent="0.25"/>
    <row r="179044" s="12" customFormat="1" x14ac:dyDescent="0.25"/>
    <row r="179045" s="12" customFormat="1" x14ac:dyDescent="0.25"/>
    <row r="179046" s="12" customFormat="1" x14ac:dyDescent="0.25"/>
    <row r="179047" s="12" customFormat="1" x14ac:dyDescent="0.25"/>
    <row r="179048" s="12" customFormat="1" x14ac:dyDescent="0.25"/>
    <row r="179049" s="12" customFormat="1" x14ac:dyDescent="0.25"/>
    <row r="179050" s="12" customFormat="1" x14ac:dyDescent="0.25"/>
    <row r="179051" s="12" customFormat="1" x14ac:dyDescent="0.25"/>
    <row r="179052" s="12" customFormat="1" x14ac:dyDescent="0.25"/>
    <row r="179053" s="12" customFormat="1" x14ac:dyDescent="0.25"/>
    <row r="179054" s="12" customFormat="1" x14ac:dyDescent="0.25"/>
    <row r="179055" s="12" customFormat="1" x14ac:dyDescent="0.25"/>
    <row r="179056" s="12" customFormat="1" x14ac:dyDescent="0.25"/>
    <row r="179057" s="12" customFormat="1" x14ac:dyDescent="0.25"/>
    <row r="179058" s="12" customFormat="1" x14ac:dyDescent="0.25"/>
    <row r="179059" s="12" customFormat="1" x14ac:dyDescent="0.25"/>
    <row r="179060" s="12" customFormat="1" x14ac:dyDescent="0.25"/>
    <row r="179061" s="12" customFormat="1" x14ac:dyDescent="0.25"/>
    <row r="179062" s="12" customFormat="1" x14ac:dyDescent="0.25"/>
    <row r="179063" s="12" customFormat="1" x14ac:dyDescent="0.25"/>
    <row r="179064" s="12" customFormat="1" x14ac:dyDescent="0.25"/>
    <row r="179065" s="12" customFormat="1" x14ac:dyDescent="0.25"/>
    <row r="179066" s="12" customFormat="1" x14ac:dyDescent="0.25"/>
    <row r="179067" s="12" customFormat="1" x14ac:dyDescent="0.25"/>
    <row r="179068" s="12" customFormat="1" x14ac:dyDescent="0.25"/>
    <row r="179069" s="12" customFormat="1" x14ac:dyDescent="0.25"/>
    <row r="179070" s="12" customFormat="1" x14ac:dyDescent="0.25"/>
    <row r="179071" s="12" customFormat="1" x14ac:dyDescent="0.25"/>
    <row r="179072" s="12" customFormat="1" x14ac:dyDescent="0.25"/>
    <row r="179073" s="12" customFormat="1" x14ac:dyDescent="0.25"/>
    <row r="179074" s="12" customFormat="1" x14ac:dyDescent="0.25"/>
    <row r="179075" s="12" customFormat="1" x14ac:dyDescent="0.25"/>
    <row r="179076" s="12" customFormat="1" x14ac:dyDescent="0.25"/>
    <row r="179077" s="12" customFormat="1" x14ac:dyDescent="0.25"/>
    <row r="179078" s="12" customFormat="1" x14ac:dyDescent="0.25"/>
    <row r="179079" s="12" customFormat="1" x14ac:dyDescent="0.25"/>
    <row r="179080" s="12" customFormat="1" x14ac:dyDescent="0.25"/>
    <row r="179081" s="12" customFormat="1" x14ac:dyDescent="0.25"/>
    <row r="179082" s="12" customFormat="1" x14ac:dyDescent="0.25"/>
    <row r="179083" s="12" customFormat="1" x14ac:dyDescent="0.25"/>
    <row r="179084" s="12" customFormat="1" x14ac:dyDescent="0.25"/>
    <row r="179085" s="12" customFormat="1" x14ac:dyDescent="0.25"/>
    <row r="179086" s="12" customFormat="1" x14ac:dyDescent="0.25"/>
    <row r="179087" s="12" customFormat="1" x14ac:dyDescent="0.25"/>
    <row r="179088" s="12" customFormat="1" x14ac:dyDescent="0.25"/>
    <row r="179089" s="12" customFormat="1" x14ac:dyDescent="0.25"/>
    <row r="179090" s="12" customFormat="1" x14ac:dyDescent="0.25"/>
    <row r="179091" s="12" customFormat="1" x14ac:dyDescent="0.25"/>
    <row r="179092" s="12" customFormat="1" x14ac:dyDescent="0.25"/>
    <row r="179093" s="12" customFormat="1" x14ac:dyDescent="0.25"/>
    <row r="179094" s="12" customFormat="1" x14ac:dyDescent="0.25"/>
    <row r="179095" s="12" customFormat="1" x14ac:dyDescent="0.25"/>
    <row r="179096" s="12" customFormat="1" x14ac:dyDescent="0.25"/>
    <row r="179097" s="12" customFormat="1" x14ac:dyDescent="0.25"/>
    <row r="179098" s="12" customFormat="1" x14ac:dyDescent="0.25"/>
    <row r="179099" s="12" customFormat="1" x14ac:dyDescent="0.25"/>
    <row r="179100" s="12" customFormat="1" x14ac:dyDescent="0.25"/>
    <row r="179101" s="12" customFormat="1" x14ac:dyDescent="0.25"/>
    <row r="179102" s="12" customFormat="1" x14ac:dyDescent="0.25"/>
    <row r="179103" s="12" customFormat="1" x14ac:dyDescent="0.25"/>
    <row r="179104" s="12" customFormat="1" x14ac:dyDescent="0.25"/>
    <row r="179105" s="12" customFormat="1" x14ac:dyDescent="0.25"/>
    <row r="179106" s="12" customFormat="1" x14ac:dyDescent="0.25"/>
    <row r="179107" s="12" customFormat="1" x14ac:dyDescent="0.25"/>
    <row r="179108" s="12" customFormat="1" x14ac:dyDescent="0.25"/>
    <row r="179109" s="12" customFormat="1" x14ac:dyDescent="0.25"/>
    <row r="179110" s="12" customFormat="1" x14ac:dyDescent="0.25"/>
    <row r="179111" s="12" customFormat="1" x14ac:dyDescent="0.25"/>
    <row r="179112" s="12" customFormat="1" x14ac:dyDescent="0.25"/>
    <row r="179113" s="12" customFormat="1" x14ac:dyDescent="0.25"/>
    <row r="179114" s="12" customFormat="1" x14ac:dyDescent="0.25"/>
    <row r="179115" s="12" customFormat="1" x14ac:dyDescent="0.25"/>
    <row r="179116" s="12" customFormat="1" x14ac:dyDescent="0.25"/>
    <row r="179117" s="12" customFormat="1" x14ac:dyDescent="0.25"/>
    <row r="179118" s="12" customFormat="1" x14ac:dyDescent="0.25"/>
    <row r="179119" s="12" customFormat="1" x14ac:dyDescent="0.25"/>
    <row r="179120" s="12" customFormat="1" x14ac:dyDescent="0.25"/>
    <row r="179121" s="12" customFormat="1" x14ac:dyDescent="0.25"/>
    <row r="179122" s="12" customFormat="1" x14ac:dyDescent="0.25"/>
    <row r="179123" s="12" customFormat="1" x14ac:dyDescent="0.25"/>
    <row r="179124" s="12" customFormat="1" x14ac:dyDescent="0.25"/>
    <row r="179125" s="12" customFormat="1" x14ac:dyDescent="0.25"/>
    <row r="179126" s="12" customFormat="1" x14ac:dyDescent="0.25"/>
    <row r="179127" s="12" customFormat="1" x14ac:dyDescent="0.25"/>
    <row r="179128" s="12" customFormat="1" x14ac:dyDescent="0.25"/>
    <row r="179129" s="12" customFormat="1" x14ac:dyDescent="0.25"/>
    <row r="179130" s="12" customFormat="1" x14ac:dyDescent="0.25"/>
    <row r="179131" s="12" customFormat="1" x14ac:dyDescent="0.25"/>
    <row r="179132" s="12" customFormat="1" x14ac:dyDescent="0.25"/>
    <row r="179133" s="12" customFormat="1" x14ac:dyDescent="0.25"/>
    <row r="179134" s="12" customFormat="1" x14ac:dyDescent="0.25"/>
    <row r="179135" s="12" customFormat="1" x14ac:dyDescent="0.25"/>
    <row r="179136" s="12" customFormat="1" x14ac:dyDescent="0.25"/>
    <row r="179137" s="12" customFormat="1" x14ac:dyDescent="0.25"/>
    <row r="179138" s="12" customFormat="1" x14ac:dyDescent="0.25"/>
    <row r="179139" s="12" customFormat="1" x14ac:dyDescent="0.25"/>
    <row r="179140" s="12" customFormat="1" x14ac:dyDescent="0.25"/>
    <row r="179141" s="12" customFormat="1" x14ac:dyDescent="0.25"/>
    <row r="179142" s="12" customFormat="1" x14ac:dyDescent="0.25"/>
    <row r="179143" s="12" customFormat="1" x14ac:dyDescent="0.25"/>
    <row r="179144" s="12" customFormat="1" x14ac:dyDescent="0.25"/>
    <row r="179145" s="12" customFormat="1" x14ac:dyDescent="0.25"/>
    <row r="179146" s="12" customFormat="1" x14ac:dyDescent="0.25"/>
    <row r="179147" s="12" customFormat="1" x14ac:dyDescent="0.25"/>
    <row r="179148" s="12" customFormat="1" x14ac:dyDescent="0.25"/>
    <row r="179149" s="12" customFormat="1" x14ac:dyDescent="0.25"/>
    <row r="179150" s="12" customFormat="1" x14ac:dyDescent="0.25"/>
    <row r="179151" s="12" customFormat="1" x14ac:dyDescent="0.25"/>
    <row r="179152" s="12" customFormat="1" x14ac:dyDescent="0.25"/>
    <row r="179153" s="12" customFormat="1" x14ac:dyDescent="0.25"/>
    <row r="179154" s="12" customFormat="1" x14ac:dyDescent="0.25"/>
    <row r="179155" s="12" customFormat="1" x14ac:dyDescent="0.25"/>
    <row r="179156" s="12" customFormat="1" x14ac:dyDescent="0.25"/>
    <row r="179157" s="12" customFormat="1" x14ac:dyDescent="0.25"/>
    <row r="179158" s="12" customFormat="1" x14ac:dyDescent="0.25"/>
    <row r="179159" s="12" customFormat="1" x14ac:dyDescent="0.25"/>
    <row r="179160" s="12" customFormat="1" x14ac:dyDescent="0.25"/>
    <row r="179161" s="12" customFormat="1" x14ac:dyDescent="0.25"/>
    <row r="179162" s="12" customFormat="1" x14ac:dyDescent="0.25"/>
    <row r="179163" s="12" customFormat="1" x14ac:dyDescent="0.25"/>
    <row r="179164" s="12" customFormat="1" x14ac:dyDescent="0.25"/>
    <row r="179165" s="12" customFormat="1" x14ac:dyDescent="0.25"/>
    <row r="179166" s="12" customFormat="1" x14ac:dyDescent="0.25"/>
    <row r="179167" s="12" customFormat="1" x14ac:dyDescent="0.25"/>
    <row r="179168" s="12" customFormat="1" x14ac:dyDescent="0.25"/>
    <row r="179169" s="12" customFormat="1" x14ac:dyDescent="0.25"/>
    <row r="179170" s="12" customFormat="1" x14ac:dyDescent="0.25"/>
    <row r="179171" s="12" customFormat="1" x14ac:dyDescent="0.25"/>
    <row r="179172" s="12" customFormat="1" x14ac:dyDescent="0.25"/>
    <row r="179173" s="12" customFormat="1" x14ac:dyDescent="0.25"/>
    <row r="179174" s="12" customFormat="1" x14ac:dyDescent="0.25"/>
    <row r="179175" s="12" customFormat="1" x14ac:dyDescent="0.25"/>
    <row r="179176" s="12" customFormat="1" x14ac:dyDescent="0.25"/>
    <row r="179177" s="12" customFormat="1" x14ac:dyDescent="0.25"/>
    <row r="179178" s="12" customFormat="1" x14ac:dyDescent="0.25"/>
    <row r="179179" s="12" customFormat="1" x14ac:dyDescent="0.25"/>
    <row r="179180" s="12" customFormat="1" x14ac:dyDescent="0.25"/>
    <row r="179181" s="12" customFormat="1" x14ac:dyDescent="0.25"/>
    <row r="179182" s="12" customFormat="1" x14ac:dyDescent="0.25"/>
    <row r="179183" s="12" customFormat="1" x14ac:dyDescent="0.25"/>
    <row r="179184" s="12" customFormat="1" x14ac:dyDescent="0.25"/>
    <row r="179185" s="12" customFormat="1" x14ac:dyDescent="0.25"/>
    <row r="179186" s="12" customFormat="1" x14ac:dyDescent="0.25"/>
    <row r="179187" s="12" customFormat="1" x14ac:dyDescent="0.25"/>
    <row r="179188" s="12" customFormat="1" x14ac:dyDescent="0.25"/>
    <row r="179189" s="12" customFormat="1" x14ac:dyDescent="0.25"/>
    <row r="179190" s="12" customFormat="1" x14ac:dyDescent="0.25"/>
    <row r="179191" s="12" customFormat="1" x14ac:dyDescent="0.25"/>
    <row r="179192" s="12" customFormat="1" x14ac:dyDescent="0.25"/>
    <row r="179193" s="12" customFormat="1" x14ac:dyDescent="0.25"/>
    <row r="179194" s="12" customFormat="1" x14ac:dyDescent="0.25"/>
    <row r="179195" s="12" customFormat="1" x14ac:dyDescent="0.25"/>
    <row r="179196" s="12" customFormat="1" x14ac:dyDescent="0.25"/>
    <row r="179197" s="12" customFormat="1" x14ac:dyDescent="0.25"/>
    <row r="179198" s="12" customFormat="1" x14ac:dyDescent="0.25"/>
    <row r="179199" s="12" customFormat="1" x14ac:dyDescent="0.25"/>
    <row r="179200" s="12" customFormat="1" x14ac:dyDescent="0.25"/>
    <row r="179201" s="12" customFormat="1" x14ac:dyDescent="0.25"/>
    <row r="179202" s="12" customFormat="1" x14ac:dyDescent="0.25"/>
    <row r="179203" s="12" customFormat="1" x14ac:dyDescent="0.25"/>
    <row r="179204" s="12" customFormat="1" x14ac:dyDescent="0.25"/>
    <row r="179205" s="12" customFormat="1" x14ac:dyDescent="0.25"/>
    <row r="179206" s="12" customFormat="1" x14ac:dyDescent="0.25"/>
    <row r="179207" s="12" customFormat="1" x14ac:dyDescent="0.25"/>
    <row r="179208" s="12" customFormat="1" x14ac:dyDescent="0.25"/>
    <row r="179209" s="12" customFormat="1" x14ac:dyDescent="0.25"/>
    <row r="179210" s="12" customFormat="1" x14ac:dyDescent="0.25"/>
    <row r="179211" s="12" customFormat="1" x14ac:dyDescent="0.25"/>
    <row r="179212" s="12" customFormat="1" x14ac:dyDescent="0.25"/>
    <row r="179213" s="12" customFormat="1" x14ac:dyDescent="0.25"/>
    <row r="179214" s="12" customFormat="1" x14ac:dyDescent="0.25"/>
    <row r="179215" s="12" customFormat="1" x14ac:dyDescent="0.25"/>
    <row r="179216" s="12" customFormat="1" x14ac:dyDescent="0.25"/>
    <row r="179217" s="12" customFormat="1" x14ac:dyDescent="0.25"/>
    <row r="179218" s="12" customFormat="1" x14ac:dyDescent="0.25"/>
    <row r="179219" s="12" customFormat="1" x14ac:dyDescent="0.25"/>
    <row r="179220" s="12" customFormat="1" x14ac:dyDescent="0.25"/>
    <row r="179221" s="12" customFormat="1" x14ac:dyDescent="0.25"/>
    <row r="179222" s="12" customFormat="1" x14ac:dyDescent="0.25"/>
    <row r="179223" s="12" customFormat="1" x14ac:dyDescent="0.25"/>
    <row r="179224" s="12" customFormat="1" x14ac:dyDescent="0.25"/>
    <row r="179225" s="12" customFormat="1" x14ac:dyDescent="0.25"/>
    <row r="179226" s="12" customFormat="1" x14ac:dyDescent="0.25"/>
    <row r="179227" s="12" customFormat="1" x14ac:dyDescent="0.25"/>
    <row r="179228" s="12" customFormat="1" x14ac:dyDescent="0.25"/>
    <row r="179229" s="12" customFormat="1" x14ac:dyDescent="0.25"/>
    <row r="179230" s="12" customFormat="1" x14ac:dyDescent="0.25"/>
    <row r="179231" s="12" customFormat="1" x14ac:dyDescent="0.25"/>
    <row r="179232" s="12" customFormat="1" x14ac:dyDescent="0.25"/>
    <row r="179233" s="12" customFormat="1" x14ac:dyDescent="0.25"/>
    <row r="179234" s="12" customFormat="1" x14ac:dyDescent="0.25"/>
    <row r="179235" s="12" customFormat="1" x14ac:dyDescent="0.25"/>
    <row r="179236" s="12" customFormat="1" x14ac:dyDescent="0.25"/>
    <row r="179237" s="12" customFormat="1" x14ac:dyDescent="0.25"/>
    <row r="179238" s="12" customFormat="1" x14ac:dyDescent="0.25"/>
    <row r="179239" s="12" customFormat="1" x14ac:dyDescent="0.25"/>
    <row r="179240" s="12" customFormat="1" x14ac:dyDescent="0.25"/>
    <row r="179241" s="12" customFormat="1" x14ac:dyDescent="0.25"/>
    <row r="179242" s="12" customFormat="1" x14ac:dyDescent="0.25"/>
    <row r="179243" s="12" customFormat="1" x14ac:dyDescent="0.25"/>
    <row r="179244" s="12" customFormat="1" x14ac:dyDescent="0.25"/>
    <row r="179245" s="12" customFormat="1" x14ac:dyDescent="0.25"/>
    <row r="179246" s="12" customFormat="1" x14ac:dyDescent="0.25"/>
    <row r="179247" s="12" customFormat="1" x14ac:dyDescent="0.25"/>
    <row r="179248" s="12" customFormat="1" x14ac:dyDescent="0.25"/>
    <row r="179249" s="12" customFormat="1" x14ac:dyDescent="0.25"/>
    <row r="179250" s="12" customFormat="1" x14ac:dyDescent="0.25"/>
    <row r="179251" s="12" customFormat="1" x14ac:dyDescent="0.25"/>
    <row r="179252" s="12" customFormat="1" x14ac:dyDescent="0.25"/>
    <row r="179253" s="12" customFormat="1" x14ac:dyDescent="0.25"/>
    <row r="179254" s="12" customFormat="1" x14ac:dyDescent="0.25"/>
    <row r="179255" s="12" customFormat="1" x14ac:dyDescent="0.25"/>
    <row r="179256" s="12" customFormat="1" x14ac:dyDescent="0.25"/>
    <row r="179257" s="12" customFormat="1" x14ac:dyDescent="0.25"/>
    <row r="179258" s="12" customFormat="1" x14ac:dyDescent="0.25"/>
    <row r="179259" s="12" customFormat="1" x14ac:dyDescent="0.25"/>
    <row r="179260" s="12" customFormat="1" x14ac:dyDescent="0.25"/>
    <row r="179261" s="12" customFormat="1" x14ac:dyDescent="0.25"/>
    <row r="179262" s="12" customFormat="1" x14ac:dyDescent="0.25"/>
    <row r="179263" s="12" customFormat="1" x14ac:dyDescent="0.25"/>
    <row r="179264" s="12" customFormat="1" x14ac:dyDescent="0.25"/>
    <row r="179265" s="12" customFormat="1" x14ac:dyDescent="0.25"/>
    <row r="179266" s="12" customFormat="1" x14ac:dyDescent="0.25"/>
    <row r="179267" s="12" customFormat="1" x14ac:dyDescent="0.25"/>
    <row r="179268" s="12" customFormat="1" x14ac:dyDescent="0.25"/>
    <row r="179269" s="12" customFormat="1" x14ac:dyDescent="0.25"/>
    <row r="179270" s="12" customFormat="1" x14ac:dyDescent="0.25"/>
    <row r="179271" s="12" customFormat="1" x14ac:dyDescent="0.25"/>
    <row r="179272" s="12" customFormat="1" x14ac:dyDescent="0.25"/>
    <row r="179273" s="12" customFormat="1" x14ac:dyDescent="0.25"/>
    <row r="179274" s="12" customFormat="1" x14ac:dyDescent="0.25"/>
    <row r="179275" s="12" customFormat="1" x14ac:dyDescent="0.25"/>
    <row r="179276" s="12" customFormat="1" x14ac:dyDescent="0.25"/>
    <row r="179277" s="12" customFormat="1" x14ac:dyDescent="0.25"/>
    <row r="179278" s="12" customFormat="1" x14ac:dyDescent="0.25"/>
    <row r="179279" s="12" customFormat="1" x14ac:dyDescent="0.25"/>
    <row r="179280" s="12" customFormat="1" x14ac:dyDescent="0.25"/>
    <row r="179281" s="12" customFormat="1" x14ac:dyDescent="0.25"/>
    <row r="179282" s="12" customFormat="1" x14ac:dyDescent="0.25"/>
    <row r="179283" s="12" customFormat="1" x14ac:dyDescent="0.25"/>
    <row r="179284" s="12" customFormat="1" x14ac:dyDescent="0.25"/>
    <row r="179285" s="12" customFormat="1" x14ac:dyDescent="0.25"/>
    <row r="179286" s="12" customFormat="1" x14ac:dyDescent="0.25"/>
    <row r="179287" s="12" customFormat="1" x14ac:dyDescent="0.25"/>
    <row r="179288" s="12" customFormat="1" x14ac:dyDescent="0.25"/>
    <row r="179289" s="12" customFormat="1" x14ac:dyDescent="0.25"/>
    <row r="179290" s="12" customFormat="1" x14ac:dyDescent="0.25"/>
    <row r="179291" s="12" customFormat="1" x14ac:dyDescent="0.25"/>
    <row r="179292" s="12" customFormat="1" x14ac:dyDescent="0.25"/>
    <row r="179293" s="12" customFormat="1" x14ac:dyDescent="0.25"/>
    <row r="179294" s="12" customFormat="1" x14ac:dyDescent="0.25"/>
    <row r="179295" s="12" customFormat="1" x14ac:dyDescent="0.25"/>
    <row r="179296" s="12" customFormat="1" x14ac:dyDescent="0.25"/>
    <row r="179297" s="12" customFormat="1" x14ac:dyDescent="0.25"/>
    <row r="179298" s="12" customFormat="1" x14ac:dyDescent="0.25"/>
    <row r="179299" s="12" customFormat="1" x14ac:dyDescent="0.25"/>
    <row r="179300" s="12" customFormat="1" x14ac:dyDescent="0.25"/>
    <row r="179301" s="12" customFormat="1" x14ac:dyDescent="0.25"/>
    <row r="179302" s="12" customFormat="1" x14ac:dyDescent="0.25"/>
    <row r="179303" s="12" customFormat="1" x14ac:dyDescent="0.25"/>
    <row r="179304" s="12" customFormat="1" x14ac:dyDescent="0.25"/>
    <row r="179305" s="12" customFormat="1" x14ac:dyDescent="0.25"/>
    <row r="179306" s="12" customFormat="1" x14ac:dyDescent="0.25"/>
    <row r="179307" s="12" customFormat="1" x14ac:dyDescent="0.25"/>
    <row r="179308" s="12" customFormat="1" x14ac:dyDescent="0.25"/>
    <row r="179309" s="12" customFormat="1" x14ac:dyDescent="0.25"/>
    <row r="179310" s="12" customFormat="1" x14ac:dyDescent="0.25"/>
    <row r="179311" s="12" customFormat="1" x14ac:dyDescent="0.25"/>
    <row r="179312" s="12" customFormat="1" x14ac:dyDescent="0.25"/>
    <row r="179313" s="12" customFormat="1" x14ac:dyDescent="0.25"/>
    <row r="179314" s="12" customFormat="1" x14ac:dyDescent="0.25"/>
    <row r="179315" s="12" customFormat="1" x14ac:dyDescent="0.25"/>
    <row r="179316" s="12" customFormat="1" x14ac:dyDescent="0.25"/>
    <row r="179317" s="12" customFormat="1" x14ac:dyDescent="0.25"/>
    <row r="179318" s="12" customFormat="1" x14ac:dyDescent="0.25"/>
    <row r="179319" s="12" customFormat="1" x14ac:dyDescent="0.25"/>
    <row r="179320" s="12" customFormat="1" x14ac:dyDescent="0.25"/>
    <row r="179321" s="12" customFormat="1" x14ac:dyDescent="0.25"/>
    <row r="179322" s="12" customFormat="1" x14ac:dyDescent="0.25"/>
    <row r="179323" s="12" customFormat="1" x14ac:dyDescent="0.25"/>
    <row r="179324" s="12" customFormat="1" x14ac:dyDescent="0.25"/>
    <row r="179325" s="12" customFormat="1" x14ac:dyDescent="0.25"/>
    <row r="179326" s="12" customFormat="1" x14ac:dyDescent="0.25"/>
    <row r="179327" s="12" customFormat="1" x14ac:dyDescent="0.25"/>
    <row r="179328" s="12" customFormat="1" x14ac:dyDescent="0.25"/>
    <row r="179329" s="12" customFormat="1" x14ac:dyDescent="0.25"/>
    <row r="179330" s="12" customFormat="1" x14ac:dyDescent="0.25"/>
    <row r="179331" s="12" customFormat="1" x14ac:dyDescent="0.25"/>
    <row r="179332" s="12" customFormat="1" x14ac:dyDescent="0.25"/>
    <row r="179333" s="12" customFormat="1" x14ac:dyDescent="0.25"/>
    <row r="179334" s="12" customFormat="1" x14ac:dyDescent="0.25"/>
    <row r="179335" s="12" customFormat="1" x14ac:dyDescent="0.25"/>
    <row r="179336" s="12" customFormat="1" x14ac:dyDescent="0.25"/>
    <row r="179337" s="12" customFormat="1" x14ac:dyDescent="0.25"/>
    <row r="179338" s="12" customFormat="1" x14ac:dyDescent="0.25"/>
    <row r="179339" s="12" customFormat="1" x14ac:dyDescent="0.25"/>
    <row r="179340" s="12" customFormat="1" x14ac:dyDescent="0.25"/>
    <row r="179341" s="12" customFormat="1" x14ac:dyDescent="0.25"/>
    <row r="179342" s="12" customFormat="1" x14ac:dyDescent="0.25"/>
    <row r="179343" s="12" customFormat="1" x14ac:dyDescent="0.25"/>
    <row r="179344" s="12" customFormat="1" x14ac:dyDescent="0.25"/>
    <row r="179345" s="12" customFormat="1" x14ac:dyDescent="0.25"/>
    <row r="179346" s="12" customFormat="1" x14ac:dyDescent="0.25"/>
    <row r="179347" s="12" customFormat="1" x14ac:dyDescent="0.25"/>
    <row r="179348" s="12" customFormat="1" x14ac:dyDescent="0.25"/>
    <row r="179349" s="12" customFormat="1" x14ac:dyDescent="0.25"/>
    <row r="179350" s="12" customFormat="1" x14ac:dyDescent="0.25"/>
    <row r="179351" s="12" customFormat="1" x14ac:dyDescent="0.25"/>
    <row r="179352" s="12" customFormat="1" x14ac:dyDescent="0.25"/>
    <row r="179353" s="12" customFormat="1" x14ac:dyDescent="0.25"/>
    <row r="179354" s="12" customFormat="1" x14ac:dyDescent="0.25"/>
    <row r="179355" s="12" customFormat="1" x14ac:dyDescent="0.25"/>
    <row r="179356" s="12" customFormat="1" x14ac:dyDescent="0.25"/>
    <row r="179357" s="12" customFormat="1" x14ac:dyDescent="0.25"/>
    <row r="179358" s="12" customFormat="1" x14ac:dyDescent="0.25"/>
    <row r="179359" s="12" customFormat="1" x14ac:dyDescent="0.25"/>
    <row r="179360" s="12" customFormat="1" x14ac:dyDescent="0.25"/>
    <row r="179361" s="12" customFormat="1" x14ac:dyDescent="0.25"/>
    <row r="179362" s="12" customFormat="1" x14ac:dyDescent="0.25"/>
    <row r="179363" s="12" customFormat="1" x14ac:dyDescent="0.25"/>
    <row r="179364" s="12" customFormat="1" x14ac:dyDescent="0.25"/>
    <row r="179365" s="12" customFormat="1" x14ac:dyDescent="0.25"/>
    <row r="179366" s="12" customFormat="1" x14ac:dyDescent="0.25"/>
    <row r="179367" s="12" customFormat="1" x14ac:dyDescent="0.25"/>
    <row r="179368" s="12" customFormat="1" x14ac:dyDescent="0.25"/>
    <row r="179369" s="12" customFormat="1" x14ac:dyDescent="0.25"/>
    <row r="179370" s="12" customFormat="1" x14ac:dyDescent="0.25"/>
    <row r="179371" s="12" customFormat="1" x14ac:dyDescent="0.25"/>
    <row r="179372" s="12" customFormat="1" x14ac:dyDescent="0.25"/>
    <row r="179373" s="12" customFormat="1" x14ac:dyDescent="0.25"/>
    <row r="179374" s="12" customFormat="1" x14ac:dyDescent="0.25"/>
    <row r="179375" s="12" customFormat="1" x14ac:dyDescent="0.25"/>
    <row r="179376" s="12" customFormat="1" x14ac:dyDescent="0.25"/>
    <row r="179377" s="12" customFormat="1" x14ac:dyDescent="0.25"/>
    <row r="179378" s="12" customFormat="1" x14ac:dyDescent="0.25"/>
    <row r="179379" s="12" customFormat="1" x14ac:dyDescent="0.25"/>
    <row r="179380" s="12" customFormat="1" x14ac:dyDescent="0.25"/>
    <row r="179381" s="12" customFormat="1" x14ac:dyDescent="0.25"/>
    <row r="179382" s="12" customFormat="1" x14ac:dyDescent="0.25"/>
    <row r="179383" s="12" customFormat="1" x14ac:dyDescent="0.25"/>
    <row r="179384" s="12" customFormat="1" x14ac:dyDescent="0.25"/>
    <row r="179385" s="12" customFormat="1" x14ac:dyDescent="0.25"/>
    <row r="179386" s="12" customFormat="1" x14ac:dyDescent="0.25"/>
    <row r="179387" s="12" customFormat="1" x14ac:dyDescent="0.25"/>
    <row r="179388" s="12" customFormat="1" x14ac:dyDescent="0.25"/>
    <row r="179389" s="12" customFormat="1" x14ac:dyDescent="0.25"/>
    <row r="179390" s="12" customFormat="1" x14ac:dyDescent="0.25"/>
    <row r="179391" s="12" customFormat="1" x14ac:dyDescent="0.25"/>
    <row r="179392" s="12" customFormat="1" x14ac:dyDescent="0.25"/>
    <row r="179393" s="12" customFormat="1" x14ac:dyDescent="0.25"/>
    <row r="179394" s="12" customFormat="1" x14ac:dyDescent="0.25"/>
    <row r="179395" s="12" customFormat="1" x14ac:dyDescent="0.25"/>
    <row r="179396" s="12" customFormat="1" x14ac:dyDescent="0.25"/>
    <row r="179397" s="12" customFormat="1" x14ac:dyDescent="0.25"/>
    <row r="179398" s="12" customFormat="1" x14ac:dyDescent="0.25"/>
    <row r="179399" s="12" customFormat="1" x14ac:dyDescent="0.25"/>
    <row r="179400" s="12" customFormat="1" x14ac:dyDescent="0.25"/>
    <row r="179401" s="12" customFormat="1" x14ac:dyDescent="0.25"/>
    <row r="179402" s="12" customFormat="1" x14ac:dyDescent="0.25"/>
    <row r="179403" s="12" customFormat="1" x14ac:dyDescent="0.25"/>
    <row r="179404" s="12" customFormat="1" x14ac:dyDescent="0.25"/>
    <row r="179405" s="12" customFormat="1" x14ac:dyDescent="0.25"/>
    <row r="179406" s="12" customFormat="1" x14ac:dyDescent="0.25"/>
    <row r="179407" s="12" customFormat="1" x14ac:dyDescent="0.25"/>
    <row r="179408" s="12" customFormat="1" x14ac:dyDescent="0.25"/>
    <row r="179409" s="12" customFormat="1" x14ac:dyDescent="0.25"/>
    <row r="179410" s="12" customFormat="1" x14ac:dyDescent="0.25"/>
    <row r="179411" s="12" customFormat="1" x14ac:dyDescent="0.25"/>
    <row r="179412" s="12" customFormat="1" x14ac:dyDescent="0.25"/>
    <row r="179413" s="12" customFormat="1" x14ac:dyDescent="0.25"/>
    <row r="179414" s="12" customFormat="1" x14ac:dyDescent="0.25"/>
    <row r="179415" s="12" customFormat="1" x14ac:dyDescent="0.25"/>
    <row r="179416" s="12" customFormat="1" x14ac:dyDescent="0.25"/>
    <row r="179417" s="12" customFormat="1" x14ac:dyDescent="0.25"/>
    <row r="179418" s="12" customFormat="1" x14ac:dyDescent="0.25"/>
    <row r="179419" s="12" customFormat="1" x14ac:dyDescent="0.25"/>
    <row r="179420" s="12" customFormat="1" x14ac:dyDescent="0.25"/>
    <row r="179421" s="12" customFormat="1" x14ac:dyDescent="0.25"/>
    <row r="179422" s="12" customFormat="1" x14ac:dyDescent="0.25"/>
    <row r="179423" s="12" customFormat="1" x14ac:dyDescent="0.25"/>
    <row r="179424" s="12" customFormat="1" x14ac:dyDescent="0.25"/>
    <row r="179425" s="12" customFormat="1" x14ac:dyDescent="0.25"/>
    <row r="179426" s="12" customFormat="1" x14ac:dyDescent="0.25"/>
    <row r="179427" s="12" customFormat="1" x14ac:dyDescent="0.25"/>
    <row r="179428" s="12" customFormat="1" x14ac:dyDescent="0.25"/>
    <row r="179429" s="12" customFormat="1" x14ac:dyDescent="0.25"/>
    <row r="179430" s="12" customFormat="1" x14ac:dyDescent="0.25"/>
    <row r="179431" s="12" customFormat="1" x14ac:dyDescent="0.25"/>
    <row r="179432" s="12" customFormat="1" x14ac:dyDescent="0.25"/>
    <row r="179433" s="12" customFormat="1" x14ac:dyDescent="0.25"/>
    <row r="179434" s="12" customFormat="1" x14ac:dyDescent="0.25"/>
    <row r="179435" s="12" customFormat="1" x14ac:dyDescent="0.25"/>
    <row r="179436" s="12" customFormat="1" x14ac:dyDescent="0.25"/>
    <row r="179437" s="12" customFormat="1" x14ac:dyDescent="0.25"/>
    <row r="179438" s="12" customFormat="1" x14ac:dyDescent="0.25"/>
    <row r="179439" s="12" customFormat="1" x14ac:dyDescent="0.25"/>
    <row r="179440" s="12" customFormat="1" x14ac:dyDescent="0.25"/>
    <row r="179441" s="12" customFormat="1" x14ac:dyDescent="0.25"/>
    <row r="179442" s="12" customFormat="1" x14ac:dyDescent="0.25"/>
    <row r="179443" s="12" customFormat="1" x14ac:dyDescent="0.25"/>
    <row r="179444" s="12" customFormat="1" x14ac:dyDescent="0.25"/>
    <row r="179445" s="12" customFormat="1" x14ac:dyDescent="0.25"/>
    <row r="179446" s="12" customFormat="1" x14ac:dyDescent="0.25"/>
    <row r="179447" s="12" customFormat="1" x14ac:dyDescent="0.25"/>
    <row r="179448" s="12" customFormat="1" x14ac:dyDescent="0.25"/>
    <row r="179449" s="12" customFormat="1" x14ac:dyDescent="0.25"/>
    <row r="179450" s="12" customFormat="1" x14ac:dyDescent="0.25"/>
    <row r="179451" s="12" customFormat="1" x14ac:dyDescent="0.25"/>
    <row r="179452" s="12" customFormat="1" x14ac:dyDescent="0.25"/>
    <row r="179453" s="12" customFormat="1" x14ac:dyDescent="0.25"/>
    <row r="179454" s="12" customFormat="1" x14ac:dyDescent="0.25"/>
    <row r="179455" s="12" customFormat="1" x14ac:dyDescent="0.25"/>
    <row r="179456" s="12" customFormat="1" x14ac:dyDescent="0.25"/>
    <row r="179457" s="12" customFormat="1" x14ac:dyDescent="0.25"/>
    <row r="179458" s="12" customFormat="1" x14ac:dyDescent="0.25"/>
    <row r="179459" s="12" customFormat="1" x14ac:dyDescent="0.25"/>
    <row r="179460" s="12" customFormat="1" x14ac:dyDescent="0.25"/>
    <row r="179461" s="12" customFormat="1" x14ac:dyDescent="0.25"/>
    <row r="179462" s="12" customFormat="1" x14ac:dyDescent="0.25"/>
    <row r="179463" s="12" customFormat="1" x14ac:dyDescent="0.25"/>
    <row r="179464" s="12" customFormat="1" x14ac:dyDescent="0.25"/>
    <row r="179465" s="12" customFormat="1" x14ac:dyDescent="0.25"/>
    <row r="179466" s="12" customFormat="1" x14ac:dyDescent="0.25"/>
    <row r="179467" s="12" customFormat="1" x14ac:dyDescent="0.25"/>
    <row r="179468" s="12" customFormat="1" x14ac:dyDescent="0.25"/>
    <row r="179469" s="12" customFormat="1" x14ac:dyDescent="0.25"/>
    <row r="179470" s="12" customFormat="1" x14ac:dyDescent="0.25"/>
    <row r="179471" s="12" customFormat="1" x14ac:dyDescent="0.25"/>
    <row r="179472" s="12" customFormat="1" x14ac:dyDescent="0.25"/>
    <row r="179473" s="12" customFormat="1" x14ac:dyDescent="0.25"/>
    <row r="179474" s="12" customFormat="1" x14ac:dyDescent="0.25"/>
    <row r="179475" s="12" customFormat="1" x14ac:dyDescent="0.25"/>
    <row r="179476" s="12" customFormat="1" x14ac:dyDescent="0.25"/>
    <row r="179477" s="12" customFormat="1" x14ac:dyDescent="0.25"/>
    <row r="179478" s="12" customFormat="1" x14ac:dyDescent="0.25"/>
    <row r="179479" s="12" customFormat="1" x14ac:dyDescent="0.25"/>
    <row r="179480" s="12" customFormat="1" x14ac:dyDescent="0.25"/>
    <row r="179481" s="12" customFormat="1" x14ac:dyDescent="0.25"/>
    <row r="179482" s="12" customFormat="1" x14ac:dyDescent="0.25"/>
    <row r="179483" s="12" customFormat="1" x14ac:dyDescent="0.25"/>
    <row r="179484" s="12" customFormat="1" x14ac:dyDescent="0.25"/>
    <row r="179485" s="12" customFormat="1" x14ac:dyDescent="0.25"/>
    <row r="179486" s="12" customFormat="1" x14ac:dyDescent="0.25"/>
    <row r="179487" s="12" customFormat="1" x14ac:dyDescent="0.25"/>
    <row r="179488" s="12" customFormat="1" x14ac:dyDescent="0.25"/>
    <row r="179489" s="12" customFormat="1" x14ac:dyDescent="0.25"/>
    <row r="179490" s="12" customFormat="1" x14ac:dyDescent="0.25"/>
    <row r="179491" s="12" customFormat="1" x14ac:dyDescent="0.25"/>
    <row r="179492" s="12" customFormat="1" x14ac:dyDescent="0.25"/>
    <row r="179493" s="12" customFormat="1" x14ac:dyDescent="0.25"/>
    <row r="179494" s="12" customFormat="1" x14ac:dyDescent="0.25"/>
    <row r="179495" s="12" customFormat="1" x14ac:dyDescent="0.25"/>
    <row r="179496" s="12" customFormat="1" x14ac:dyDescent="0.25"/>
    <row r="179497" s="12" customFormat="1" x14ac:dyDescent="0.25"/>
    <row r="179498" s="12" customFormat="1" x14ac:dyDescent="0.25"/>
    <row r="179499" s="12" customFormat="1" x14ac:dyDescent="0.25"/>
    <row r="179500" s="12" customFormat="1" x14ac:dyDescent="0.25"/>
    <row r="179501" s="12" customFormat="1" x14ac:dyDescent="0.25"/>
    <row r="179502" s="12" customFormat="1" x14ac:dyDescent="0.25"/>
    <row r="179503" s="12" customFormat="1" x14ac:dyDescent="0.25"/>
    <row r="179504" s="12" customFormat="1" x14ac:dyDescent="0.25"/>
    <row r="179505" s="12" customFormat="1" x14ac:dyDescent="0.25"/>
    <row r="179506" s="12" customFormat="1" x14ac:dyDescent="0.25"/>
    <row r="179507" s="12" customFormat="1" x14ac:dyDescent="0.25"/>
    <row r="179508" s="12" customFormat="1" x14ac:dyDescent="0.25"/>
    <row r="179509" s="12" customFormat="1" x14ac:dyDescent="0.25"/>
    <row r="179510" s="12" customFormat="1" x14ac:dyDescent="0.25"/>
    <row r="179511" s="12" customFormat="1" x14ac:dyDescent="0.25"/>
    <row r="179512" s="12" customFormat="1" x14ac:dyDescent="0.25"/>
    <row r="179513" s="12" customFormat="1" x14ac:dyDescent="0.25"/>
    <row r="179514" s="12" customFormat="1" x14ac:dyDescent="0.25"/>
    <row r="179515" s="12" customFormat="1" x14ac:dyDescent="0.25"/>
    <row r="179516" s="12" customFormat="1" x14ac:dyDescent="0.25"/>
    <row r="179517" s="12" customFormat="1" x14ac:dyDescent="0.25"/>
    <row r="179518" s="12" customFormat="1" x14ac:dyDescent="0.25"/>
    <row r="179519" s="12" customFormat="1" x14ac:dyDescent="0.25"/>
    <row r="179520" s="12" customFormat="1" x14ac:dyDescent="0.25"/>
    <row r="179521" s="12" customFormat="1" x14ac:dyDescent="0.25"/>
    <row r="179522" s="12" customFormat="1" x14ac:dyDescent="0.25"/>
    <row r="179523" s="12" customFormat="1" x14ac:dyDescent="0.25"/>
    <row r="179524" s="12" customFormat="1" x14ac:dyDescent="0.25"/>
    <row r="179525" s="12" customFormat="1" x14ac:dyDescent="0.25"/>
    <row r="179526" s="12" customFormat="1" x14ac:dyDescent="0.25"/>
    <row r="179527" s="12" customFormat="1" x14ac:dyDescent="0.25"/>
    <row r="179528" s="12" customFormat="1" x14ac:dyDescent="0.25"/>
    <row r="179529" s="12" customFormat="1" x14ac:dyDescent="0.25"/>
    <row r="179530" s="12" customFormat="1" x14ac:dyDescent="0.25"/>
    <row r="179531" s="12" customFormat="1" x14ac:dyDescent="0.25"/>
    <row r="179532" s="12" customFormat="1" x14ac:dyDescent="0.25"/>
    <row r="179533" s="12" customFormat="1" x14ac:dyDescent="0.25"/>
    <row r="179534" s="12" customFormat="1" x14ac:dyDescent="0.25"/>
    <row r="179535" s="12" customFormat="1" x14ac:dyDescent="0.25"/>
    <row r="179536" s="12" customFormat="1" x14ac:dyDescent="0.25"/>
    <row r="179537" s="12" customFormat="1" x14ac:dyDescent="0.25"/>
    <row r="179538" s="12" customFormat="1" x14ac:dyDescent="0.25"/>
    <row r="179539" s="12" customFormat="1" x14ac:dyDescent="0.25"/>
    <row r="179540" s="12" customFormat="1" x14ac:dyDescent="0.25"/>
    <row r="179541" s="12" customFormat="1" x14ac:dyDescent="0.25"/>
    <row r="179542" s="12" customFormat="1" x14ac:dyDescent="0.25"/>
    <row r="179543" s="12" customFormat="1" x14ac:dyDescent="0.25"/>
    <row r="179544" s="12" customFormat="1" x14ac:dyDescent="0.25"/>
    <row r="179545" s="12" customFormat="1" x14ac:dyDescent="0.25"/>
    <row r="179546" s="12" customFormat="1" x14ac:dyDescent="0.25"/>
    <row r="179547" s="12" customFormat="1" x14ac:dyDescent="0.25"/>
    <row r="179548" s="12" customFormat="1" x14ac:dyDescent="0.25"/>
    <row r="179549" s="12" customFormat="1" x14ac:dyDescent="0.25"/>
    <row r="179550" s="12" customFormat="1" x14ac:dyDescent="0.25"/>
    <row r="179551" s="12" customFormat="1" x14ac:dyDescent="0.25"/>
    <row r="179552" s="12" customFormat="1" x14ac:dyDescent="0.25"/>
    <row r="179553" s="12" customFormat="1" x14ac:dyDescent="0.25"/>
    <row r="179554" s="12" customFormat="1" x14ac:dyDescent="0.25"/>
    <row r="179555" s="12" customFormat="1" x14ac:dyDescent="0.25"/>
    <row r="179556" s="12" customFormat="1" x14ac:dyDescent="0.25"/>
    <row r="179557" s="12" customFormat="1" x14ac:dyDescent="0.25"/>
    <row r="179558" s="12" customFormat="1" x14ac:dyDescent="0.25"/>
    <row r="179559" s="12" customFormat="1" x14ac:dyDescent="0.25"/>
    <row r="179560" s="12" customFormat="1" x14ac:dyDescent="0.25"/>
    <row r="179561" s="12" customFormat="1" x14ac:dyDescent="0.25"/>
    <row r="179562" s="12" customFormat="1" x14ac:dyDescent="0.25"/>
    <row r="179563" s="12" customFormat="1" x14ac:dyDescent="0.25"/>
    <row r="179564" s="12" customFormat="1" x14ac:dyDescent="0.25"/>
    <row r="179565" s="12" customFormat="1" x14ac:dyDescent="0.25"/>
    <row r="179566" s="12" customFormat="1" x14ac:dyDescent="0.25"/>
    <row r="179567" s="12" customFormat="1" x14ac:dyDescent="0.25"/>
    <row r="179568" s="12" customFormat="1" x14ac:dyDescent="0.25"/>
    <row r="179569" s="12" customFormat="1" x14ac:dyDescent="0.25"/>
    <row r="179570" s="12" customFormat="1" x14ac:dyDescent="0.25"/>
    <row r="179571" s="12" customFormat="1" x14ac:dyDescent="0.25"/>
    <row r="179572" s="12" customFormat="1" x14ac:dyDescent="0.25"/>
    <row r="179573" s="12" customFormat="1" x14ac:dyDescent="0.25"/>
    <row r="179574" s="12" customFormat="1" x14ac:dyDescent="0.25"/>
    <row r="179575" s="12" customFormat="1" x14ac:dyDescent="0.25"/>
    <row r="179576" s="12" customFormat="1" x14ac:dyDescent="0.25"/>
    <row r="179577" s="12" customFormat="1" x14ac:dyDescent="0.25"/>
    <row r="179578" s="12" customFormat="1" x14ac:dyDescent="0.25"/>
    <row r="179579" s="12" customFormat="1" x14ac:dyDescent="0.25"/>
    <row r="179580" s="12" customFormat="1" x14ac:dyDescent="0.25"/>
    <row r="179581" s="12" customFormat="1" x14ac:dyDescent="0.25"/>
    <row r="179582" s="12" customFormat="1" x14ac:dyDescent="0.25"/>
    <row r="179583" s="12" customFormat="1" x14ac:dyDescent="0.25"/>
    <row r="179584" s="12" customFormat="1" x14ac:dyDescent="0.25"/>
    <row r="179585" s="12" customFormat="1" x14ac:dyDescent="0.25"/>
    <row r="179586" s="12" customFormat="1" x14ac:dyDescent="0.25"/>
    <row r="179587" s="12" customFormat="1" x14ac:dyDescent="0.25"/>
    <row r="179588" s="12" customFormat="1" x14ac:dyDescent="0.25"/>
    <row r="179589" s="12" customFormat="1" x14ac:dyDescent="0.25"/>
    <row r="179590" s="12" customFormat="1" x14ac:dyDescent="0.25"/>
    <row r="179591" s="12" customFormat="1" x14ac:dyDescent="0.25"/>
    <row r="179592" s="12" customFormat="1" x14ac:dyDescent="0.25"/>
    <row r="179593" s="12" customFormat="1" x14ac:dyDescent="0.25"/>
    <row r="179594" s="12" customFormat="1" x14ac:dyDescent="0.25"/>
    <row r="179595" s="12" customFormat="1" x14ac:dyDescent="0.25"/>
    <row r="179596" s="12" customFormat="1" x14ac:dyDescent="0.25"/>
    <row r="179597" s="12" customFormat="1" x14ac:dyDescent="0.25"/>
    <row r="179598" s="12" customFormat="1" x14ac:dyDescent="0.25"/>
    <row r="179599" s="12" customFormat="1" x14ac:dyDescent="0.25"/>
    <row r="179600" s="12" customFormat="1" x14ac:dyDescent="0.25"/>
    <row r="179601" s="12" customFormat="1" x14ac:dyDescent="0.25"/>
    <row r="179602" s="12" customFormat="1" x14ac:dyDescent="0.25"/>
    <row r="179603" s="12" customFormat="1" x14ac:dyDescent="0.25"/>
    <row r="179604" s="12" customFormat="1" x14ac:dyDescent="0.25"/>
    <row r="179605" s="12" customFormat="1" x14ac:dyDescent="0.25"/>
    <row r="179606" s="12" customFormat="1" x14ac:dyDescent="0.25"/>
    <row r="179607" s="12" customFormat="1" x14ac:dyDescent="0.25"/>
    <row r="179608" s="12" customFormat="1" x14ac:dyDescent="0.25"/>
    <row r="179609" s="12" customFormat="1" x14ac:dyDescent="0.25"/>
    <row r="179610" s="12" customFormat="1" x14ac:dyDescent="0.25"/>
    <row r="179611" s="12" customFormat="1" x14ac:dyDescent="0.25"/>
    <row r="179612" s="12" customFormat="1" x14ac:dyDescent="0.25"/>
    <row r="179613" s="12" customFormat="1" x14ac:dyDescent="0.25"/>
    <row r="179614" s="12" customFormat="1" x14ac:dyDescent="0.25"/>
    <row r="179615" s="12" customFormat="1" x14ac:dyDescent="0.25"/>
    <row r="179616" s="12" customFormat="1" x14ac:dyDescent="0.25"/>
    <row r="179617" s="12" customFormat="1" x14ac:dyDescent="0.25"/>
    <row r="179618" s="12" customFormat="1" x14ac:dyDescent="0.25"/>
    <row r="179619" s="12" customFormat="1" x14ac:dyDescent="0.25"/>
    <row r="179620" s="12" customFormat="1" x14ac:dyDescent="0.25"/>
    <row r="179621" s="12" customFormat="1" x14ac:dyDescent="0.25"/>
    <row r="179622" s="12" customFormat="1" x14ac:dyDescent="0.25"/>
    <row r="179623" s="12" customFormat="1" x14ac:dyDescent="0.25"/>
    <row r="179624" s="12" customFormat="1" x14ac:dyDescent="0.25"/>
    <row r="179625" s="12" customFormat="1" x14ac:dyDescent="0.25"/>
    <row r="179626" s="12" customFormat="1" x14ac:dyDescent="0.25"/>
    <row r="179627" s="12" customFormat="1" x14ac:dyDescent="0.25"/>
    <row r="179628" s="12" customFormat="1" x14ac:dyDescent="0.25"/>
    <row r="179629" s="12" customFormat="1" x14ac:dyDescent="0.25"/>
    <row r="179630" s="12" customFormat="1" x14ac:dyDescent="0.25"/>
    <row r="179631" s="12" customFormat="1" x14ac:dyDescent="0.25"/>
    <row r="179632" s="12" customFormat="1" x14ac:dyDescent="0.25"/>
    <row r="179633" s="12" customFormat="1" x14ac:dyDescent="0.25"/>
    <row r="179634" s="12" customFormat="1" x14ac:dyDescent="0.25"/>
    <row r="179635" s="12" customFormat="1" x14ac:dyDescent="0.25"/>
    <row r="179636" s="12" customFormat="1" x14ac:dyDescent="0.25"/>
    <row r="179637" s="12" customFormat="1" x14ac:dyDescent="0.25"/>
    <row r="179638" s="12" customFormat="1" x14ac:dyDescent="0.25"/>
    <row r="179639" s="12" customFormat="1" x14ac:dyDescent="0.25"/>
    <row r="179640" s="12" customFormat="1" x14ac:dyDescent="0.25"/>
    <row r="179641" s="12" customFormat="1" x14ac:dyDescent="0.25"/>
    <row r="179642" s="12" customFormat="1" x14ac:dyDescent="0.25"/>
    <row r="179643" s="12" customFormat="1" x14ac:dyDescent="0.25"/>
    <row r="179644" s="12" customFormat="1" x14ac:dyDescent="0.25"/>
    <row r="179645" s="12" customFormat="1" x14ac:dyDescent="0.25"/>
    <row r="179646" s="12" customFormat="1" x14ac:dyDescent="0.25"/>
    <row r="179647" s="12" customFormat="1" x14ac:dyDescent="0.25"/>
    <row r="179648" s="12" customFormat="1" x14ac:dyDescent="0.25"/>
    <row r="179649" s="12" customFormat="1" x14ac:dyDescent="0.25"/>
    <row r="179650" s="12" customFormat="1" x14ac:dyDescent="0.25"/>
    <row r="179651" s="12" customFormat="1" x14ac:dyDescent="0.25"/>
    <row r="179652" s="12" customFormat="1" x14ac:dyDescent="0.25"/>
    <row r="179653" s="12" customFormat="1" x14ac:dyDescent="0.25"/>
    <row r="179654" s="12" customFormat="1" x14ac:dyDescent="0.25"/>
    <row r="179655" s="12" customFormat="1" x14ac:dyDescent="0.25"/>
    <row r="179656" s="12" customFormat="1" x14ac:dyDescent="0.25"/>
    <row r="179657" s="12" customFormat="1" x14ac:dyDescent="0.25"/>
    <row r="179658" s="12" customFormat="1" x14ac:dyDescent="0.25"/>
    <row r="179659" s="12" customFormat="1" x14ac:dyDescent="0.25"/>
    <row r="179660" s="12" customFormat="1" x14ac:dyDescent="0.25"/>
    <row r="179661" s="12" customFormat="1" x14ac:dyDescent="0.25"/>
    <row r="179662" s="12" customFormat="1" x14ac:dyDescent="0.25"/>
    <row r="179663" s="12" customFormat="1" x14ac:dyDescent="0.25"/>
    <row r="179664" s="12" customFormat="1" x14ac:dyDescent="0.25"/>
    <row r="179665" s="12" customFormat="1" x14ac:dyDescent="0.25"/>
    <row r="179666" s="12" customFormat="1" x14ac:dyDescent="0.25"/>
    <row r="179667" s="12" customFormat="1" x14ac:dyDescent="0.25"/>
    <row r="179668" s="12" customFormat="1" x14ac:dyDescent="0.25"/>
    <row r="179669" s="12" customFormat="1" x14ac:dyDescent="0.25"/>
    <row r="179670" s="12" customFormat="1" x14ac:dyDescent="0.25"/>
    <row r="179671" s="12" customFormat="1" x14ac:dyDescent="0.25"/>
    <row r="179672" s="12" customFormat="1" x14ac:dyDescent="0.25"/>
    <row r="179673" s="12" customFormat="1" x14ac:dyDescent="0.25"/>
    <row r="179674" s="12" customFormat="1" x14ac:dyDescent="0.25"/>
    <row r="179675" s="12" customFormat="1" x14ac:dyDescent="0.25"/>
    <row r="179676" s="12" customFormat="1" x14ac:dyDescent="0.25"/>
    <row r="179677" s="12" customFormat="1" x14ac:dyDescent="0.25"/>
    <row r="179678" s="12" customFormat="1" x14ac:dyDescent="0.25"/>
    <row r="179679" s="12" customFormat="1" x14ac:dyDescent="0.25"/>
    <row r="179680" s="12" customFormat="1" x14ac:dyDescent="0.25"/>
    <row r="179681" s="12" customFormat="1" x14ac:dyDescent="0.25"/>
    <row r="179682" s="12" customFormat="1" x14ac:dyDescent="0.25"/>
    <row r="179683" s="12" customFormat="1" x14ac:dyDescent="0.25"/>
    <row r="179684" s="12" customFormat="1" x14ac:dyDescent="0.25"/>
    <row r="179685" s="12" customFormat="1" x14ac:dyDescent="0.25"/>
    <row r="179686" s="12" customFormat="1" x14ac:dyDescent="0.25"/>
    <row r="179687" s="12" customFormat="1" x14ac:dyDescent="0.25"/>
    <row r="179688" s="12" customFormat="1" x14ac:dyDescent="0.25"/>
    <row r="179689" s="12" customFormat="1" x14ac:dyDescent="0.25"/>
    <row r="179690" s="12" customFormat="1" x14ac:dyDescent="0.25"/>
    <row r="179691" s="12" customFormat="1" x14ac:dyDescent="0.25"/>
    <row r="179692" s="12" customFormat="1" x14ac:dyDescent="0.25"/>
    <row r="179693" s="12" customFormat="1" x14ac:dyDescent="0.25"/>
    <row r="179694" s="12" customFormat="1" x14ac:dyDescent="0.25"/>
    <row r="179695" s="12" customFormat="1" x14ac:dyDescent="0.25"/>
    <row r="179696" s="12" customFormat="1" x14ac:dyDescent="0.25"/>
    <row r="179697" s="12" customFormat="1" x14ac:dyDescent="0.25"/>
    <row r="179698" s="12" customFormat="1" x14ac:dyDescent="0.25"/>
    <row r="179699" s="12" customFormat="1" x14ac:dyDescent="0.25"/>
    <row r="179700" s="12" customFormat="1" x14ac:dyDescent="0.25"/>
    <row r="179701" s="12" customFormat="1" x14ac:dyDescent="0.25"/>
    <row r="179702" s="12" customFormat="1" x14ac:dyDescent="0.25"/>
    <row r="179703" s="12" customFormat="1" x14ac:dyDescent="0.25"/>
    <row r="179704" s="12" customFormat="1" x14ac:dyDescent="0.25"/>
    <row r="179705" s="12" customFormat="1" x14ac:dyDescent="0.25"/>
    <row r="179706" s="12" customFormat="1" x14ac:dyDescent="0.25"/>
    <row r="179707" s="12" customFormat="1" x14ac:dyDescent="0.25"/>
    <row r="179708" s="12" customFormat="1" x14ac:dyDescent="0.25"/>
    <row r="179709" s="12" customFormat="1" x14ac:dyDescent="0.25"/>
    <row r="179710" s="12" customFormat="1" x14ac:dyDescent="0.25"/>
    <row r="179711" s="12" customFormat="1" x14ac:dyDescent="0.25"/>
    <row r="179712" s="12" customFormat="1" x14ac:dyDescent="0.25"/>
    <row r="179713" s="12" customFormat="1" x14ac:dyDescent="0.25"/>
    <row r="179714" s="12" customFormat="1" x14ac:dyDescent="0.25"/>
    <row r="179715" s="12" customFormat="1" x14ac:dyDescent="0.25"/>
    <row r="179716" s="12" customFormat="1" x14ac:dyDescent="0.25"/>
    <row r="179717" s="12" customFormat="1" x14ac:dyDescent="0.25"/>
    <row r="179718" s="12" customFormat="1" x14ac:dyDescent="0.25"/>
    <row r="179719" s="12" customFormat="1" x14ac:dyDescent="0.25"/>
    <row r="179720" s="12" customFormat="1" x14ac:dyDescent="0.25"/>
    <row r="179721" s="12" customFormat="1" x14ac:dyDescent="0.25"/>
    <row r="179722" s="12" customFormat="1" x14ac:dyDescent="0.25"/>
    <row r="179723" s="12" customFormat="1" x14ac:dyDescent="0.25"/>
    <row r="179724" s="12" customFormat="1" x14ac:dyDescent="0.25"/>
    <row r="179725" s="12" customFormat="1" x14ac:dyDescent="0.25"/>
    <row r="179726" s="12" customFormat="1" x14ac:dyDescent="0.25"/>
    <row r="179727" s="12" customFormat="1" x14ac:dyDescent="0.25"/>
    <row r="179728" s="12" customFormat="1" x14ac:dyDescent="0.25"/>
    <row r="179729" s="12" customFormat="1" x14ac:dyDescent="0.25"/>
    <row r="179730" s="12" customFormat="1" x14ac:dyDescent="0.25"/>
    <row r="179731" s="12" customFormat="1" x14ac:dyDescent="0.25"/>
    <row r="179732" s="12" customFormat="1" x14ac:dyDescent="0.25"/>
    <row r="179733" s="12" customFormat="1" x14ac:dyDescent="0.25"/>
    <row r="179734" s="12" customFormat="1" x14ac:dyDescent="0.25"/>
    <row r="179735" s="12" customFormat="1" x14ac:dyDescent="0.25"/>
    <row r="179736" s="12" customFormat="1" x14ac:dyDescent="0.25"/>
    <row r="179737" s="12" customFormat="1" x14ac:dyDescent="0.25"/>
    <row r="179738" s="12" customFormat="1" x14ac:dyDescent="0.25"/>
    <row r="179739" s="12" customFormat="1" x14ac:dyDescent="0.25"/>
    <row r="179740" s="12" customFormat="1" x14ac:dyDescent="0.25"/>
    <row r="179741" s="12" customFormat="1" x14ac:dyDescent="0.25"/>
    <row r="179742" s="12" customFormat="1" x14ac:dyDescent="0.25"/>
    <row r="179743" s="12" customFormat="1" x14ac:dyDescent="0.25"/>
    <row r="179744" s="12" customFormat="1" x14ac:dyDescent="0.25"/>
    <row r="179745" s="12" customFormat="1" x14ac:dyDescent="0.25"/>
    <row r="179746" s="12" customFormat="1" x14ac:dyDescent="0.25"/>
    <row r="179747" s="12" customFormat="1" x14ac:dyDescent="0.25"/>
    <row r="179748" s="12" customFormat="1" x14ac:dyDescent="0.25"/>
    <row r="179749" s="12" customFormat="1" x14ac:dyDescent="0.25"/>
    <row r="179750" s="12" customFormat="1" x14ac:dyDescent="0.25"/>
    <row r="179751" s="12" customFormat="1" x14ac:dyDescent="0.25"/>
    <row r="179752" s="12" customFormat="1" x14ac:dyDescent="0.25"/>
    <row r="179753" s="12" customFormat="1" x14ac:dyDescent="0.25"/>
    <row r="179754" s="12" customFormat="1" x14ac:dyDescent="0.25"/>
    <row r="179755" s="12" customFormat="1" x14ac:dyDescent="0.25"/>
    <row r="179756" s="12" customFormat="1" x14ac:dyDescent="0.25"/>
    <row r="179757" s="12" customFormat="1" x14ac:dyDescent="0.25"/>
    <row r="179758" s="12" customFormat="1" x14ac:dyDescent="0.25"/>
    <row r="179759" s="12" customFormat="1" x14ac:dyDescent="0.25"/>
    <row r="179760" s="12" customFormat="1" x14ac:dyDescent="0.25"/>
    <row r="179761" s="12" customFormat="1" x14ac:dyDescent="0.25"/>
    <row r="179762" s="12" customFormat="1" x14ac:dyDescent="0.25"/>
    <row r="179763" s="12" customFormat="1" x14ac:dyDescent="0.25"/>
    <row r="179764" s="12" customFormat="1" x14ac:dyDescent="0.25"/>
    <row r="179765" s="12" customFormat="1" x14ac:dyDescent="0.25"/>
    <row r="179766" s="12" customFormat="1" x14ac:dyDescent="0.25"/>
    <row r="179767" s="12" customFormat="1" x14ac:dyDescent="0.25"/>
    <row r="179768" s="12" customFormat="1" x14ac:dyDescent="0.25"/>
    <row r="179769" s="12" customFormat="1" x14ac:dyDescent="0.25"/>
    <row r="179770" s="12" customFormat="1" x14ac:dyDescent="0.25"/>
    <row r="179771" s="12" customFormat="1" x14ac:dyDescent="0.25"/>
    <row r="179772" s="12" customFormat="1" x14ac:dyDescent="0.25"/>
    <row r="179773" s="12" customFormat="1" x14ac:dyDescent="0.25"/>
    <row r="179774" s="12" customFormat="1" x14ac:dyDescent="0.25"/>
    <row r="179775" s="12" customFormat="1" x14ac:dyDescent="0.25"/>
    <row r="179776" s="12" customFormat="1" x14ac:dyDescent="0.25"/>
    <row r="179777" s="12" customFormat="1" x14ac:dyDescent="0.25"/>
    <row r="179778" s="12" customFormat="1" x14ac:dyDescent="0.25"/>
    <row r="179779" s="12" customFormat="1" x14ac:dyDescent="0.25"/>
    <row r="179780" s="12" customFormat="1" x14ac:dyDescent="0.25"/>
    <row r="179781" s="12" customFormat="1" x14ac:dyDescent="0.25"/>
    <row r="179782" s="12" customFormat="1" x14ac:dyDescent="0.25"/>
    <row r="179783" s="12" customFormat="1" x14ac:dyDescent="0.25"/>
    <row r="179784" s="12" customFormat="1" x14ac:dyDescent="0.25"/>
    <row r="179785" s="12" customFormat="1" x14ac:dyDescent="0.25"/>
    <row r="179786" s="12" customFormat="1" x14ac:dyDescent="0.25"/>
    <row r="179787" s="12" customFormat="1" x14ac:dyDescent="0.25"/>
    <row r="179788" s="12" customFormat="1" x14ac:dyDescent="0.25"/>
    <row r="179789" s="12" customFormat="1" x14ac:dyDescent="0.25"/>
    <row r="179790" s="12" customFormat="1" x14ac:dyDescent="0.25"/>
    <row r="179791" s="12" customFormat="1" x14ac:dyDescent="0.25"/>
    <row r="179792" s="12" customFormat="1" x14ac:dyDescent="0.25"/>
    <row r="179793" s="12" customFormat="1" x14ac:dyDescent="0.25"/>
    <row r="179794" s="12" customFormat="1" x14ac:dyDescent="0.25"/>
    <row r="179795" s="12" customFormat="1" x14ac:dyDescent="0.25"/>
    <row r="179796" s="12" customFormat="1" x14ac:dyDescent="0.25"/>
    <row r="179797" s="12" customFormat="1" x14ac:dyDescent="0.25"/>
    <row r="179798" s="12" customFormat="1" x14ac:dyDescent="0.25"/>
    <row r="179799" s="12" customFormat="1" x14ac:dyDescent="0.25"/>
    <row r="179800" s="12" customFormat="1" x14ac:dyDescent="0.25"/>
    <row r="179801" s="12" customFormat="1" x14ac:dyDescent="0.25"/>
    <row r="179802" s="12" customFormat="1" x14ac:dyDescent="0.25"/>
    <row r="179803" s="12" customFormat="1" x14ac:dyDescent="0.25"/>
    <row r="179804" s="12" customFormat="1" x14ac:dyDescent="0.25"/>
    <row r="179805" s="12" customFormat="1" x14ac:dyDescent="0.25"/>
    <row r="179806" s="12" customFormat="1" x14ac:dyDescent="0.25"/>
    <row r="179807" s="12" customFormat="1" x14ac:dyDescent="0.25"/>
    <row r="179808" s="12" customFormat="1" x14ac:dyDescent="0.25"/>
    <row r="179809" s="12" customFormat="1" x14ac:dyDescent="0.25"/>
    <row r="179810" s="12" customFormat="1" x14ac:dyDescent="0.25"/>
    <row r="179811" s="12" customFormat="1" x14ac:dyDescent="0.25"/>
    <row r="179812" s="12" customFormat="1" x14ac:dyDescent="0.25"/>
    <row r="179813" s="12" customFormat="1" x14ac:dyDescent="0.25"/>
    <row r="179814" s="12" customFormat="1" x14ac:dyDescent="0.25"/>
    <row r="179815" s="12" customFormat="1" x14ac:dyDescent="0.25"/>
    <row r="179816" s="12" customFormat="1" x14ac:dyDescent="0.25"/>
    <row r="179817" s="12" customFormat="1" x14ac:dyDescent="0.25"/>
    <row r="179818" s="12" customFormat="1" x14ac:dyDescent="0.25"/>
    <row r="179819" s="12" customFormat="1" x14ac:dyDescent="0.25"/>
    <row r="179820" s="12" customFormat="1" x14ac:dyDescent="0.25"/>
    <row r="179821" s="12" customFormat="1" x14ac:dyDescent="0.25"/>
    <row r="179822" s="12" customFormat="1" x14ac:dyDescent="0.25"/>
    <row r="179823" s="12" customFormat="1" x14ac:dyDescent="0.25"/>
    <row r="179824" s="12" customFormat="1" x14ac:dyDescent="0.25"/>
    <row r="179825" s="12" customFormat="1" x14ac:dyDescent="0.25"/>
    <row r="179826" s="12" customFormat="1" x14ac:dyDescent="0.25"/>
    <row r="179827" s="12" customFormat="1" x14ac:dyDescent="0.25"/>
    <row r="179828" s="12" customFormat="1" x14ac:dyDescent="0.25"/>
    <row r="179829" s="12" customFormat="1" x14ac:dyDescent="0.25"/>
    <row r="179830" s="12" customFormat="1" x14ac:dyDescent="0.25"/>
    <row r="179831" s="12" customFormat="1" x14ac:dyDescent="0.25"/>
    <row r="179832" s="12" customFormat="1" x14ac:dyDescent="0.25"/>
    <row r="179833" s="12" customFormat="1" x14ac:dyDescent="0.25"/>
    <row r="179834" s="12" customFormat="1" x14ac:dyDescent="0.25"/>
    <row r="179835" s="12" customFormat="1" x14ac:dyDescent="0.25"/>
    <row r="179836" s="12" customFormat="1" x14ac:dyDescent="0.25"/>
    <row r="179837" s="12" customFormat="1" x14ac:dyDescent="0.25"/>
    <row r="179838" s="12" customFormat="1" x14ac:dyDescent="0.25"/>
    <row r="179839" s="12" customFormat="1" x14ac:dyDescent="0.25"/>
    <row r="179840" s="12" customFormat="1" x14ac:dyDescent="0.25"/>
    <row r="179841" s="12" customFormat="1" x14ac:dyDescent="0.25"/>
    <row r="179842" s="12" customFormat="1" x14ac:dyDescent="0.25"/>
    <row r="179843" s="12" customFormat="1" x14ac:dyDescent="0.25"/>
    <row r="179844" s="12" customFormat="1" x14ac:dyDescent="0.25"/>
    <row r="179845" s="12" customFormat="1" x14ac:dyDescent="0.25"/>
    <row r="179846" s="12" customFormat="1" x14ac:dyDescent="0.25"/>
    <row r="179847" s="12" customFormat="1" x14ac:dyDescent="0.25"/>
    <row r="179848" s="12" customFormat="1" x14ac:dyDescent="0.25"/>
    <row r="179849" s="12" customFormat="1" x14ac:dyDescent="0.25"/>
    <row r="179850" s="12" customFormat="1" x14ac:dyDescent="0.25"/>
    <row r="179851" s="12" customFormat="1" x14ac:dyDescent="0.25"/>
    <row r="179852" s="12" customFormat="1" x14ac:dyDescent="0.25"/>
    <row r="179853" s="12" customFormat="1" x14ac:dyDescent="0.25"/>
    <row r="179854" s="12" customFormat="1" x14ac:dyDescent="0.25"/>
    <row r="179855" s="12" customFormat="1" x14ac:dyDescent="0.25"/>
    <row r="179856" s="12" customFormat="1" x14ac:dyDescent="0.25"/>
    <row r="179857" s="12" customFormat="1" x14ac:dyDescent="0.25"/>
    <row r="179858" s="12" customFormat="1" x14ac:dyDescent="0.25"/>
    <row r="179859" s="12" customFormat="1" x14ac:dyDescent="0.25"/>
    <row r="179860" s="12" customFormat="1" x14ac:dyDescent="0.25"/>
    <row r="179861" s="12" customFormat="1" x14ac:dyDescent="0.25"/>
    <row r="179862" s="12" customFormat="1" x14ac:dyDescent="0.25"/>
    <row r="179863" s="12" customFormat="1" x14ac:dyDescent="0.25"/>
    <row r="179864" s="12" customFormat="1" x14ac:dyDescent="0.25"/>
    <row r="179865" s="12" customFormat="1" x14ac:dyDescent="0.25"/>
    <row r="179866" s="12" customFormat="1" x14ac:dyDescent="0.25"/>
    <row r="179867" s="12" customFormat="1" x14ac:dyDescent="0.25"/>
    <row r="179868" s="12" customFormat="1" x14ac:dyDescent="0.25"/>
    <row r="179869" s="12" customFormat="1" x14ac:dyDescent="0.25"/>
    <row r="179870" s="12" customFormat="1" x14ac:dyDescent="0.25"/>
    <row r="179871" s="12" customFormat="1" x14ac:dyDescent="0.25"/>
    <row r="179872" s="12" customFormat="1" x14ac:dyDescent="0.25"/>
    <row r="179873" s="12" customFormat="1" x14ac:dyDescent="0.25"/>
    <row r="179874" s="12" customFormat="1" x14ac:dyDescent="0.25"/>
    <row r="179875" s="12" customFormat="1" x14ac:dyDescent="0.25"/>
    <row r="179876" s="12" customFormat="1" x14ac:dyDescent="0.25"/>
    <row r="179877" s="12" customFormat="1" x14ac:dyDescent="0.25"/>
    <row r="179878" s="12" customFormat="1" x14ac:dyDescent="0.25"/>
    <row r="179879" s="12" customFormat="1" x14ac:dyDescent="0.25"/>
    <row r="179880" s="12" customFormat="1" x14ac:dyDescent="0.25"/>
    <row r="179881" s="12" customFormat="1" x14ac:dyDescent="0.25"/>
    <row r="179882" s="12" customFormat="1" x14ac:dyDescent="0.25"/>
    <row r="179883" s="12" customFormat="1" x14ac:dyDescent="0.25"/>
    <row r="179884" s="12" customFormat="1" x14ac:dyDescent="0.25"/>
    <row r="179885" s="12" customFormat="1" x14ac:dyDescent="0.25"/>
    <row r="179886" s="12" customFormat="1" x14ac:dyDescent="0.25"/>
    <row r="179887" s="12" customFormat="1" x14ac:dyDescent="0.25"/>
    <row r="179888" s="12" customFormat="1" x14ac:dyDescent="0.25"/>
    <row r="179889" s="12" customFormat="1" x14ac:dyDescent="0.25"/>
    <row r="179890" s="12" customFormat="1" x14ac:dyDescent="0.25"/>
    <row r="179891" s="12" customFormat="1" x14ac:dyDescent="0.25"/>
    <row r="179892" s="12" customFormat="1" x14ac:dyDescent="0.25"/>
    <row r="179893" s="12" customFormat="1" x14ac:dyDescent="0.25"/>
    <row r="179894" s="12" customFormat="1" x14ac:dyDescent="0.25"/>
    <row r="179895" s="12" customFormat="1" x14ac:dyDescent="0.25"/>
    <row r="179896" s="12" customFormat="1" x14ac:dyDescent="0.25"/>
    <row r="179897" s="12" customFormat="1" x14ac:dyDescent="0.25"/>
    <row r="179898" s="12" customFormat="1" x14ac:dyDescent="0.25"/>
    <row r="179899" s="12" customFormat="1" x14ac:dyDescent="0.25"/>
    <row r="179900" s="12" customFormat="1" x14ac:dyDescent="0.25"/>
    <row r="179901" s="12" customFormat="1" x14ac:dyDescent="0.25"/>
    <row r="179902" s="12" customFormat="1" x14ac:dyDescent="0.25"/>
    <row r="179903" s="12" customFormat="1" x14ac:dyDescent="0.25"/>
    <row r="179904" s="12" customFormat="1" x14ac:dyDescent="0.25"/>
    <row r="179905" s="12" customFormat="1" x14ac:dyDescent="0.25"/>
    <row r="179906" s="12" customFormat="1" x14ac:dyDescent="0.25"/>
    <row r="179907" s="12" customFormat="1" x14ac:dyDescent="0.25"/>
    <row r="179908" s="12" customFormat="1" x14ac:dyDescent="0.25"/>
    <row r="179909" s="12" customFormat="1" x14ac:dyDescent="0.25"/>
    <row r="179910" s="12" customFormat="1" x14ac:dyDescent="0.25"/>
    <row r="179911" s="12" customFormat="1" x14ac:dyDescent="0.25"/>
    <row r="179912" s="12" customFormat="1" x14ac:dyDescent="0.25"/>
    <row r="179913" s="12" customFormat="1" x14ac:dyDescent="0.25"/>
    <row r="179914" s="12" customFormat="1" x14ac:dyDescent="0.25"/>
    <row r="179915" s="12" customFormat="1" x14ac:dyDescent="0.25"/>
    <row r="179916" s="12" customFormat="1" x14ac:dyDescent="0.25"/>
    <row r="179917" s="12" customFormat="1" x14ac:dyDescent="0.25"/>
    <row r="179918" s="12" customFormat="1" x14ac:dyDescent="0.25"/>
    <row r="179919" s="12" customFormat="1" x14ac:dyDescent="0.25"/>
    <row r="179920" s="12" customFormat="1" x14ac:dyDescent="0.25"/>
    <row r="179921" s="12" customFormat="1" x14ac:dyDescent="0.25"/>
    <row r="179922" s="12" customFormat="1" x14ac:dyDescent="0.25"/>
    <row r="179923" s="12" customFormat="1" x14ac:dyDescent="0.25"/>
    <row r="179924" s="12" customFormat="1" x14ac:dyDescent="0.25"/>
    <row r="179925" s="12" customFormat="1" x14ac:dyDescent="0.25"/>
    <row r="179926" s="12" customFormat="1" x14ac:dyDescent="0.25"/>
    <row r="179927" s="12" customFormat="1" x14ac:dyDescent="0.25"/>
    <row r="179928" s="12" customFormat="1" x14ac:dyDescent="0.25"/>
    <row r="179929" s="12" customFormat="1" x14ac:dyDescent="0.25"/>
    <row r="179930" s="12" customFormat="1" x14ac:dyDescent="0.25"/>
    <row r="179931" s="12" customFormat="1" x14ac:dyDescent="0.25"/>
    <row r="179932" s="12" customFormat="1" x14ac:dyDescent="0.25"/>
    <row r="179933" s="12" customFormat="1" x14ac:dyDescent="0.25"/>
    <row r="179934" s="12" customFormat="1" x14ac:dyDescent="0.25"/>
    <row r="179935" s="12" customFormat="1" x14ac:dyDescent="0.25"/>
    <row r="179936" s="12" customFormat="1" x14ac:dyDescent="0.25"/>
    <row r="179937" s="12" customFormat="1" x14ac:dyDescent="0.25"/>
    <row r="179938" s="12" customFormat="1" x14ac:dyDescent="0.25"/>
    <row r="179939" s="12" customFormat="1" x14ac:dyDescent="0.25"/>
    <row r="179940" s="12" customFormat="1" x14ac:dyDescent="0.25"/>
    <row r="179941" s="12" customFormat="1" x14ac:dyDescent="0.25"/>
    <row r="179942" s="12" customFormat="1" x14ac:dyDescent="0.25"/>
    <row r="179943" s="12" customFormat="1" x14ac:dyDescent="0.25"/>
    <row r="179944" s="12" customFormat="1" x14ac:dyDescent="0.25"/>
    <row r="179945" s="12" customFormat="1" x14ac:dyDescent="0.25"/>
    <row r="179946" s="12" customFormat="1" x14ac:dyDescent="0.25"/>
    <row r="179947" s="12" customFormat="1" x14ac:dyDescent="0.25"/>
    <row r="179948" s="12" customFormat="1" x14ac:dyDescent="0.25"/>
    <row r="179949" s="12" customFormat="1" x14ac:dyDescent="0.25"/>
    <row r="179950" s="12" customFormat="1" x14ac:dyDescent="0.25"/>
    <row r="179951" s="12" customFormat="1" x14ac:dyDescent="0.25"/>
    <row r="179952" s="12" customFormat="1" x14ac:dyDescent="0.25"/>
    <row r="179953" s="12" customFormat="1" x14ac:dyDescent="0.25"/>
    <row r="179954" s="12" customFormat="1" x14ac:dyDescent="0.25"/>
    <row r="179955" s="12" customFormat="1" x14ac:dyDescent="0.25"/>
    <row r="179956" s="12" customFormat="1" x14ac:dyDescent="0.25"/>
    <row r="179957" s="12" customFormat="1" x14ac:dyDescent="0.25"/>
    <row r="179958" s="12" customFormat="1" x14ac:dyDescent="0.25"/>
    <row r="179959" s="12" customFormat="1" x14ac:dyDescent="0.25"/>
    <row r="179960" s="12" customFormat="1" x14ac:dyDescent="0.25"/>
    <row r="179961" s="12" customFormat="1" x14ac:dyDescent="0.25"/>
    <row r="179962" s="12" customFormat="1" x14ac:dyDescent="0.25"/>
    <row r="179963" s="12" customFormat="1" x14ac:dyDescent="0.25"/>
    <row r="179964" s="12" customFormat="1" x14ac:dyDescent="0.25"/>
    <row r="179965" s="12" customFormat="1" x14ac:dyDescent="0.25"/>
    <row r="179966" s="12" customFormat="1" x14ac:dyDescent="0.25"/>
    <row r="179967" s="12" customFormat="1" x14ac:dyDescent="0.25"/>
    <row r="179968" s="12" customFormat="1" x14ac:dyDescent="0.25"/>
    <row r="179969" s="12" customFormat="1" x14ac:dyDescent="0.25"/>
    <row r="179970" s="12" customFormat="1" x14ac:dyDescent="0.25"/>
    <row r="179971" s="12" customFormat="1" x14ac:dyDescent="0.25"/>
    <row r="179972" s="12" customFormat="1" x14ac:dyDescent="0.25"/>
    <row r="179973" s="12" customFormat="1" x14ac:dyDescent="0.25"/>
    <row r="179974" s="12" customFormat="1" x14ac:dyDescent="0.25"/>
    <row r="179975" s="12" customFormat="1" x14ac:dyDescent="0.25"/>
    <row r="179976" s="12" customFormat="1" x14ac:dyDescent="0.25"/>
    <row r="179977" s="12" customFormat="1" x14ac:dyDescent="0.25"/>
    <row r="179978" s="12" customFormat="1" x14ac:dyDescent="0.25"/>
    <row r="179979" s="12" customFormat="1" x14ac:dyDescent="0.25"/>
    <row r="179980" s="12" customFormat="1" x14ac:dyDescent="0.25"/>
    <row r="179981" s="12" customFormat="1" x14ac:dyDescent="0.25"/>
    <row r="179982" s="12" customFormat="1" x14ac:dyDescent="0.25"/>
    <row r="179983" s="12" customFormat="1" x14ac:dyDescent="0.25"/>
    <row r="179984" s="12" customFormat="1" x14ac:dyDescent="0.25"/>
    <row r="179985" s="12" customFormat="1" x14ac:dyDescent="0.25"/>
    <row r="179986" s="12" customFormat="1" x14ac:dyDescent="0.25"/>
    <row r="179987" s="12" customFormat="1" x14ac:dyDescent="0.25"/>
    <row r="179988" s="12" customFormat="1" x14ac:dyDescent="0.25"/>
    <row r="179989" s="12" customFormat="1" x14ac:dyDescent="0.25"/>
    <row r="179990" s="12" customFormat="1" x14ac:dyDescent="0.25"/>
    <row r="179991" s="12" customFormat="1" x14ac:dyDescent="0.25"/>
    <row r="179992" s="12" customFormat="1" x14ac:dyDescent="0.25"/>
    <row r="179993" s="12" customFormat="1" x14ac:dyDescent="0.25"/>
    <row r="179994" s="12" customFormat="1" x14ac:dyDescent="0.25"/>
    <row r="179995" s="12" customFormat="1" x14ac:dyDescent="0.25"/>
    <row r="179996" s="12" customFormat="1" x14ac:dyDescent="0.25"/>
    <row r="179997" s="12" customFormat="1" x14ac:dyDescent="0.25"/>
    <row r="179998" s="12" customFormat="1" x14ac:dyDescent="0.25"/>
    <row r="179999" s="12" customFormat="1" x14ac:dyDescent="0.25"/>
    <row r="180000" s="12" customFormat="1" x14ac:dyDescent="0.25"/>
    <row r="180001" s="12" customFormat="1" x14ac:dyDescent="0.25"/>
    <row r="180002" s="12" customFormat="1" x14ac:dyDescent="0.25"/>
    <row r="180003" s="12" customFormat="1" x14ac:dyDescent="0.25"/>
    <row r="180004" s="12" customFormat="1" x14ac:dyDescent="0.25"/>
    <row r="180005" s="12" customFormat="1" x14ac:dyDescent="0.25"/>
    <row r="180006" s="12" customFormat="1" x14ac:dyDescent="0.25"/>
    <row r="180007" s="12" customFormat="1" x14ac:dyDescent="0.25"/>
    <row r="180008" s="12" customFormat="1" x14ac:dyDescent="0.25"/>
    <row r="180009" s="12" customFormat="1" x14ac:dyDescent="0.25"/>
    <row r="180010" s="12" customFormat="1" x14ac:dyDescent="0.25"/>
    <row r="180011" s="12" customFormat="1" x14ac:dyDescent="0.25"/>
    <row r="180012" s="12" customFormat="1" x14ac:dyDescent="0.25"/>
    <row r="180013" s="12" customFormat="1" x14ac:dyDescent="0.25"/>
    <row r="180014" s="12" customFormat="1" x14ac:dyDescent="0.25"/>
    <row r="180015" s="12" customFormat="1" x14ac:dyDescent="0.25"/>
    <row r="180016" s="12" customFormat="1" x14ac:dyDescent="0.25"/>
    <row r="180017" s="12" customFormat="1" x14ac:dyDescent="0.25"/>
    <row r="180018" s="12" customFormat="1" x14ac:dyDescent="0.25"/>
    <row r="180019" s="12" customFormat="1" x14ac:dyDescent="0.25"/>
    <row r="180020" s="12" customFormat="1" x14ac:dyDescent="0.25"/>
    <row r="180021" s="12" customFormat="1" x14ac:dyDescent="0.25"/>
    <row r="180022" s="12" customFormat="1" x14ac:dyDescent="0.25"/>
    <row r="180023" s="12" customFormat="1" x14ac:dyDescent="0.25"/>
    <row r="180024" s="12" customFormat="1" x14ac:dyDescent="0.25"/>
    <row r="180025" s="12" customFormat="1" x14ac:dyDescent="0.25"/>
    <row r="180026" s="12" customFormat="1" x14ac:dyDescent="0.25"/>
    <row r="180027" s="12" customFormat="1" x14ac:dyDescent="0.25"/>
    <row r="180028" s="12" customFormat="1" x14ac:dyDescent="0.25"/>
    <row r="180029" s="12" customFormat="1" x14ac:dyDescent="0.25"/>
    <row r="180030" s="12" customFormat="1" x14ac:dyDescent="0.25"/>
    <row r="180031" s="12" customFormat="1" x14ac:dyDescent="0.25"/>
    <row r="180032" s="12" customFormat="1" x14ac:dyDescent="0.25"/>
    <row r="180033" s="12" customFormat="1" x14ac:dyDescent="0.25"/>
    <row r="180034" s="12" customFormat="1" x14ac:dyDescent="0.25"/>
    <row r="180035" s="12" customFormat="1" x14ac:dyDescent="0.25"/>
    <row r="180036" s="12" customFormat="1" x14ac:dyDescent="0.25"/>
    <row r="180037" s="12" customFormat="1" x14ac:dyDescent="0.25"/>
    <row r="180038" s="12" customFormat="1" x14ac:dyDescent="0.25"/>
    <row r="180039" s="12" customFormat="1" x14ac:dyDescent="0.25"/>
    <row r="180040" s="12" customFormat="1" x14ac:dyDescent="0.25"/>
    <row r="180041" s="12" customFormat="1" x14ac:dyDescent="0.25"/>
    <row r="180042" s="12" customFormat="1" x14ac:dyDescent="0.25"/>
    <row r="180043" s="12" customFormat="1" x14ac:dyDescent="0.25"/>
    <row r="180044" s="12" customFormat="1" x14ac:dyDescent="0.25"/>
    <row r="180045" s="12" customFormat="1" x14ac:dyDescent="0.25"/>
    <row r="180046" s="12" customFormat="1" x14ac:dyDescent="0.25"/>
    <row r="180047" s="12" customFormat="1" x14ac:dyDescent="0.25"/>
    <row r="180048" s="12" customFormat="1" x14ac:dyDescent="0.25"/>
    <row r="180049" s="12" customFormat="1" x14ac:dyDescent="0.25"/>
    <row r="180050" s="12" customFormat="1" x14ac:dyDescent="0.25"/>
    <row r="180051" s="12" customFormat="1" x14ac:dyDescent="0.25"/>
    <row r="180052" s="12" customFormat="1" x14ac:dyDescent="0.25"/>
    <row r="180053" s="12" customFormat="1" x14ac:dyDescent="0.25"/>
    <row r="180054" s="12" customFormat="1" x14ac:dyDescent="0.25"/>
    <row r="180055" s="12" customFormat="1" x14ac:dyDescent="0.25"/>
    <row r="180056" s="12" customFormat="1" x14ac:dyDescent="0.25"/>
    <row r="180057" s="12" customFormat="1" x14ac:dyDescent="0.25"/>
    <row r="180058" s="12" customFormat="1" x14ac:dyDescent="0.25"/>
    <row r="180059" s="12" customFormat="1" x14ac:dyDescent="0.25"/>
    <row r="180060" s="12" customFormat="1" x14ac:dyDescent="0.25"/>
    <row r="180061" s="12" customFormat="1" x14ac:dyDescent="0.25"/>
    <row r="180062" s="12" customFormat="1" x14ac:dyDescent="0.25"/>
    <row r="180063" s="12" customFormat="1" x14ac:dyDescent="0.25"/>
    <row r="180064" s="12" customFormat="1" x14ac:dyDescent="0.25"/>
    <row r="180065" s="12" customFormat="1" x14ac:dyDescent="0.25"/>
    <row r="180066" s="12" customFormat="1" x14ac:dyDescent="0.25"/>
    <row r="180067" s="12" customFormat="1" x14ac:dyDescent="0.25"/>
    <row r="180068" s="12" customFormat="1" x14ac:dyDescent="0.25"/>
    <row r="180069" s="12" customFormat="1" x14ac:dyDescent="0.25"/>
    <row r="180070" s="12" customFormat="1" x14ac:dyDescent="0.25"/>
    <row r="180071" s="12" customFormat="1" x14ac:dyDescent="0.25"/>
    <row r="180072" s="12" customFormat="1" x14ac:dyDescent="0.25"/>
    <row r="180073" s="12" customFormat="1" x14ac:dyDescent="0.25"/>
    <row r="180074" s="12" customFormat="1" x14ac:dyDescent="0.25"/>
    <row r="180075" s="12" customFormat="1" x14ac:dyDescent="0.25"/>
    <row r="180076" s="12" customFormat="1" x14ac:dyDescent="0.25"/>
    <row r="180077" s="12" customFormat="1" x14ac:dyDescent="0.25"/>
    <row r="180078" s="12" customFormat="1" x14ac:dyDescent="0.25"/>
    <row r="180079" s="12" customFormat="1" x14ac:dyDescent="0.25"/>
    <row r="180080" s="12" customFormat="1" x14ac:dyDescent="0.25"/>
    <row r="180081" s="12" customFormat="1" x14ac:dyDescent="0.25"/>
    <row r="180082" s="12" customFormat="1" x14ac:dyDescent="0.25"/>
    <row r="180083" s="12" customFormat="1" x14ac:dyDescent="0.25"/>
    <row r="180084" s="12" customFormat="1" x14ac:dyDescent="0.25"/>
    <row r="180085" s="12" customFormat="1" x14ac:dyDescent="0.25"/>
    <row r="180086" s="12" customFormat="1" x14ac:dyDescent="0.25"/>
    <row r="180087" s="12" customFormat="1" x14ac:dyDescent="0.25"/>
    <row r="180088" s="12" customFormat="1" x14ac:dyDescent="0.25"/>
    <row r="180089" s="12" customFormat="1" x14ac:dyDescent="0.25"/>
    <row r="180090" s="12" customFormat="1" x14ac:dyDescent="0.25"/>
    <row r="180091" s="12" customFormat="1" x14ac:dyDescent="0.25"/>
    <row r="180092" s="12" customFormat="1" x14ac:dyDescent="0.25"/>
    <row r="180093" s="12" customFormat="1" x14ac:dyDescent="0.25"/>
    <row r="180094" s="12" customFormat="1" x14ac:dyDescent="0.25"/>
    <row r="180095" s="12" customFormat="1" x14ac:dyDescent="0.25"/>
    <row r="180096" s="12" customFormat="1" x14ac:dyDescent="0.25"/>
    <row r="180097" s="12" customFormat="1" x14ac:dyDescent="0.25"/>
    <row r="180098" s="12" customFormat="1" x14ac:dyDescent="0.25"/>
    <row r="180099" s="12" customFormat="1" x14ac:dyDescent="0.25"/>
    <row r="180100" s="12" customFormat="1" x14ac:dyDescent="0.25"/>
    <row r="180101" s="12" customFormat="1" x14ac:dyDescent="0.25"/>
    <row r="180102" s="12" customFormat="1" x14ac:dyDescent="0.25"/>
    <row r="180103" s="12" customFormat="1" x14ac:dyDescent="0.25"/>
    <row r="180104" s="12" customFormat="1" x14ac:dyDescent="0.25"/>
    <row r="180105" s="12" customFormat="1" x14ac:dyDescent="0.25"/>
    <row r="180106" s="12" customFormat="1" x14ac:dyDescent="0.25"/>
    <row r="180107" s="12" customFormat="1" x14ac:dyDescent="0.25"/>
    <row r="180108" s="12" customFormat="1" x14ac:dyDescent="0.25"/>
    <row r="180109" s="12" customFormat="1" x14ac:dyDescent="0.25"/>
    <row r="180110" s="12" customFormat="1" x14ac:dyDescent="0.25"/>
    <row r="180111" s="12" customFormat="1" x14ac:dyDescent="0.25"/>
    <row r="180112" s="12" customFormat="1" x14ac:dyDescent="0.25"/>
    <row r="180113" s="12" customFormat="1" x14ac:dyDescent="0.25"/>
    <row r="180114" s="12" customFormat="1" x14ac:dyDescent="0.25"/>
    <row r="180115" s="12" customFormat="1" x14ac:dyDescent="0.25"/>
    <row r="180116" s="12" customFormat="1" x14ac:dyDescent="0.25"/>
    <row r="180117" s="12" customFormat="1" x14ac:dyDescent="0.25"/>
    <row r="180118" s="12" customFormat="1" x14ac:dyDescent="0.25"/>
    <row r="180119" s="12" customFormat="1" x14ac:dyDescent="0.25"/>
    <row r="180120" s="12" customFormat="1" x14ac:dyDescent="0.25"/>
    <row r="180121" s="12" customFormat="1" x14ac:dyDescent="0.25"/>
    <row r="180122" s="12" customFormat="1" x14ac:dyDescent="0.25"/>
    <row r="180123" s="12" customFormat="1" x14ac:dyDescent="0.25"/>
    <row r="180124" s="12" customFormat="1" x14ac:dyDescent="0.25"/>
    <row r="180125" s="12" customFormat="1" x14ac:dyDescent="0.25"/>
    <row r="180126" s="12" customFormat="1" x14ac:dyDescent="0.25"/>
    <row r="180127" s="12" customFormat="1" x14ac:dyDescent="0.25"/>
    <row r="180128" s="12" customFormat="1" x14ac:dyDescent="0.25"/>
    <row r="180129" s="12" customFormat="1" x14ac:dyDescent="0.25"/>
    <row r="180130" s="12" customFormat="1" x14ac:dyDescent="0.25"/>
    <row r="180131" s="12" customFormat="1" x14ac:dyDescent="0.25"/>
    <row r="180132" s="12" customFormat="1" x14ac:dyDescent="0.25"/>
    <row r="180133" s="12" customFormat="1" x14ac:dyDescent="0.25"/>
    <row r="180134" s="12" customFormat="1" x14ac:dyDescent="0.25"/>
    <row r="180135" s="12" customFormat="1" x14ac:dyDescent="0.25"/>
    <row r="180136" s="12" customFormat="1" x14ac:dyDescent="0.25"/>
    <row r="180137" s="12" customFormat="1" x14ac:dyDescent="0.25"/>
    <row r="180138" s="12" customFormat="1" x14ac:dyDescent="0.25"/>
    <row r="180139" s="12" customFormat="1" x14ac:dyDescent="0.25"/>
    <row r="180140" s="12" customFormat="1" x14ac:dyDescent="0.25"/>
    <row r="180141" s="12" customFormat="1" x14ac:dyDescent="0.25"/>
    <row r="180142" s="12" customFormat="1" x14ac:dyDescent="0.25"/>
    <row r="180143" s="12" customFormat="1" x14ac:dyDescent="0.25"/>
    <row r="180144" s="12" customFormat="1" x14ac:dyDescent="0.25"/>
    <row r="180145" s="12" customFormat="1" x14ac:dyDescent="0.25"/>
    <row r="180146" s="12" customFormat="1" x14ac:dyDescent="0.25"/>
    <row r="180147" s="12" customFormat="1" x14ac:dyDescent="0.25"/>
    <row r="180148" s="12" customFormat="1" x14ac:dyDescent="0.25"/>
    <row r="180149" s="12" customFormat="1" x14ac:dyDescent="0.25"/>
    <row r="180150" s="12" customFormat="1" x14ac:dyDescent="0.25"/>
    <row r="180151" s="12" customFormat="1" x14ac:dyDescent="0.25"/>
    <row r="180152" s="12" customFormat="1" x14ac:dyDescent="0.25"/>
    <row r="180153" s="12" customFormat="1" x14ac:dyDescent="0.25"/>
    <row r="180154" s="12" customFormat="1" x14ac:dyDescent="0.25"/>
    <row r="180155" s="12" customFormat="1" x14ac:dyDescent="0.25"/>
    <row r="180156" s="12" customFormat="1" x14ac:dyDescent="0.25"/>
    <row r="180157" s="12" customFormat="1" x14ac:dyDescent="0.25"/>
    <row r="180158" s="12" customFormat="1" x14ac:dyDescent="0.25"/>
    <row r="180159" s="12" customFormat="1" x14ac:dyDescent="0.25"/>
    <row r="180160" s="12" customFormat="1" x14ac:dyDescent="0.25"/>
    <row r="180161" s="12" customFormat="1" x14ac:dyDescent="0.25"/>
    <row r="180162" s="12" customFormat="1" x14ac:dyDescent="0.25"/>
    <row r="180163" s="12" customFormat="1" x14ac:dyDescent="0.25"/>
    <row r="180164" s="12" customFormat="1" x14ac:dyDescent="0.25"/>
    <row r="180165" s="12" customFormat="1" x14ac:dyDescent="0.25"/>
    <row r="180166" s="12" customFormat="1" x14ac:dyDescent="0.25"/>
    <row r="180167" s="12" customFormat="1" x14ac:dyDescent="0.25"/>
    <row r="180168" s="12" customFormat="1" x14ac:dyDescent="0.25"/>
    <row r="180169" s="12" customFormat="1" x14ac:dyDescent="0.25"/>
    <row r="180170" s="12" customFormat="1" x14ac:dyDescent="0.25"/>
    <row r="180171" s="12" customFormat="1" x14ac:dyDescent="0.25"/>
    <row r="180172" s="12" customFormat="1" x14ac:dyDescent="0.25"/>
    <row r="180173" s="12" customFormat="1" x14ac:dyDescent="0.25"/>
    <row r="180174" s="12" customFormat="1" x14ac:dyDescent="0.25"/>
    <row r="180175" s="12" customFormat="1" x14ac:dyDescent="0.25"/>
    <row r="180176" s="12" customFormat="1" x14ac:dyDescent="0.25"/>
    <row r="180177" s="12" customFormat="1" x14ac:dyDescent="0.25"/>
    <row r="180178" s="12" customFormat="1" x14ac:dyDescent="0.25"/>
    <row r="180179" s="12" customFormat="1" x14ac:dyDescent="0.25"/>
    <row r="180180" s="12" customFormat="1" x14ac:dyDescent="0.25"/>
    <row r="180181" s="12" customFormat="1" x14ac:dyDescent="0.25"/>
    <row r="180182" s="12" customFormat="1" x14ac:dyDescent="0.25"/>
    <row r="180183" s="12" customFormat="1" x14ac:dyDescent="0.25"/>
    <row r="180184" s="12" customFormat="1" x14ac:dyDescent="0.25"/>
    <row r="180185" s="12" customFormat="1" x14ac:dyDescent="0.25"/>
    <row r="180186" s="12" customFormat="1" x14ac:dyDescent="0.25"/>
    <row r="180187" s="12" customFormat="1" x14ac:dyDescent="0.25"/>
    <row r="180188" s="12" customFormat="1" x14ac:dyDescent="0.25"/>
    <row r="180189" s="12" customFormat="1" x14ac:dyDescent="0.25"/>
    <row r="180190" s="12" customFormat="1" x14ac:dyDescent="0.25"/>
    <row r="180191" s="12" customFormat="1" x14ac:dyDescent="0.25"/>
    <row r="180192" s="12" customFormat="1" x14ac:dyDescent="0.25"/>
    <row r="180193" s="12" customFormat="1" x14ac:dyDescent="0.25"/>
    <row r="180194" s="12" customFormat="1" x14ac:dyDescent="0.25"/>
    <row r="180195" s="12" customFormat="1" x14ac:dyDescent="0.25"/>
    <row r="180196" s="12" customFormat="1" x14ac:dyDescent="0.25"/>
    <row r="180197" s="12" customFormat="1" x14ac:dyDescent="0.25"/>
    <row r="180198" s="12" customFormat="1" x14ac:dyDescent="0.25"/>
    <row r="180199" s="12" customFormat="1" x14ac:dyDescent="0.25"/>
    <row r="180200" s="12" customFormat="1" x14ac:dyDescent="0.25"/>
    <row r="180201" s="12" customFormat="1" x14ac:dyDescent="0.25"/>
    <row r="180202" s="12" customFormat="1" x14ac:dyDescent="0.25"/>
    <row r="180203" s="12" customFormat="1" x14ac:dyDescent="0.25"/>
    <row r="180204" s="12" customFormat="1" x14ac:dyDescent="0.25"/>
    <row r="180205" s="12" customFormat="1" x14ac:dyDescent="0.25"/>
    <row r="180206" s="12" customFormat="1" x14ac:dyDescent="0.25"/>
    <row r="180207" s="12" customFormat="1" x14ac:dyDescent="0.25"/>
    <row r="180208" s="12" customFormat="1" x14ac:dyDescent="0.25"/>
    <row r="180209" s="12" customFormat="1" x14ac:dyDescent="0.25"/>
    <row r="180210" s="12" customFormat="1" x14ac:dyDescent="0.25"/>
    <row r="180211" s="12" customFormat="1" x14ac:dyDescent="0.25"/>
    <row r="180212" s="12" customFormat="1" x14ac:dyDescent="0.25"/>
    <row r="180213" s="12" customFormat="1" x14ac:dyDescent="0.25"/>
    <row r="180214" s="12" customFormat="1" x14ac:dyDescent="0.25"/>
    <row r="180215" s="12" customFormat="1" x14ac:dyDescent="0.25"/>
    <row r="180216" s="12" customFormat="1" x14ac:dyDescent="0.25"/>
    <row r="180217" s="12" customFormat="1" x14ac:dyDescent="0.25"/>
    <row r="180218" s="12" customFormat="1" x14ac:dyDescent="0.25"/>
    <row r="180219" s="12" customFormat="1" x14ac:dyDescent="0.25"/>
    <row r="180220" s="12" customFormat="1" x14ac:dyDescent="0.25"/>
    <row r="180221" s="12" customFormat="1" x14ac:dyDescent="0.25"/>
    <row r="180222" s="12" customFormat="1" x14ac:dyDescent="0.25"/>
    <row r="180223" s="12" customFormat="1" x14ac:dyDescent="0.25"/>
    <row r="180224" s="12" customFormat="1" x14ac:dyDescent="0.25"/>
    <row r="180225" s="12" customFormat="1" x14ac:dyDescent="0.25"/>
    <row r="180226" s="12" customFormat="1" x14ac:dyDescent="0.25"/>
    <row r="180227" s="12" customFormat="1" x14ac:dyDescent="0.25"/>
    <row r="180228" s="12" customFormat="1" x14ac:dyDescent="0.25"/>
    <row r="180229" s="12" customFormat="1" x14ac:dyDescent="0.25"/>
    <row r="180230" s="12" customFormat="1" x14ac:dyDescent="0.25"/>
    <row r="180231" s="12" customFormat="1" x14ac:dyDescent="0.25"/>
    <row r="180232" s="12" customFormat="1" x14ac:dyDescent="0.25"/>
    <row r="180233" s="12" customFormat="1" x14ac:dyDescent="0.25"/>
    <row r="180234" s="12" customFormat="1" x14ac:dyDescent="0.25"/>
    <row r="180235" s="12" customFormat="1" x14ac:dyDescent="0.25"/>
    <row r="180236" s="12" customFormat="1" x14ac:dyDescent="0.25"/>
    <row r="180237" s="12" customFormat="1" x14ac:dyDescent="0.25"/>
    <row r="180238" s="12" customFormat="1" x14ac:dyDescent="0.25"/>
    <row r="180239" s="12" customFormat="1" x14ac:dyDescent="0.25"/>
    <row r="180240" s="12" customFormat="1" x14ac:dyDescent="0.25"/>
    <row r="180241" s="12" customFormat="1" x14ac:dyDescent="0.25"/>
    <row r="180242" s="12" customFormat="1" x14ac:dyDescent="0.25"/>
    <row r="180243" s="12" customFormat="1" x14ac:dyDescent="0.25"/>
    <row r="180244" s="12" customFormat="1" x14ac:dyDescent="0.25"/>
    <row r="180245" s="12" customFormat="1" x14ac:dyDescent="0.25"/>
    <row r="180246" s="12" customFormat="1" x14ac:dyDescent="0.25"/>
    <row r="180247" s="12" customFormat="1" x14ac:dyDescent="0.25"/>
    <row r="180248" s="12" customFormat="1" x14ac:dyDescent="0.25"/>
    <row r="180249" s="12" customFormat="1" x14ac:dyDescent="0.25"/>
    <row r="180250" s="12" customFormat="1" x14ac:dyDescent="0.25"/>
    <row r="180251" s="12" customFormat="1" x14ac:dyDescent="0.25"/>
    <row r="180252" s="12" customFormat="1" x14ac:dyDescent="0.25"/>
    <row r="180253" s="12" customFormat="1" x14ac:dyDescent="0.25"/>
    <row r="180254" s="12" customFormat="1" x14ac:dyDescent="0.25"/>
    <row r="180255" s="12" customFormat="1" x14ac:dyDescent="0.25"/>
    <row r="180256" s="12" customFormat="1" x14ac:dyDescent="0.25"/>
    <row r="180257" s="12" customFormat="1" x14ac:dyDescent="0.25"/>
    <row r="180258" s="12" customFormat="1" x14ac:dyDescent="0.25"/>
    <row r="180259" s="12" customFormat="1" x14ac:dyDescent="0.25"/>
    <row r="180260" s="12" customFormat="1" x14ac:dyDescent="0.25"/>
    <row r="180261" s="12" customFormat="1" x14ac:dyDescent="0.25"/>
    <row r="180262" s="12" customFormat="1" x14ac:dyDescent="0.25"/>
    <row r="180263" s="12" customFormat="1" x14ac:dyDescent="0.25"/>
    <row r="180264" s="12" customFormat="1" x14ac:dyDescent="0.25"/>
    <row r="180265" s="12" customFormat="1" x14ac:dyDescent="0.25"/>
    <row r="180266" s="12" customFormat="1" x14ac:dyDescent="0.25"/>
    <row r="180267" s="12" customFormat="1" x14ac:dyDescent="0.25"/>
    <row r="180268" s="12" customFormat="1" x14ac:dyDescent="0.25"/>
    <row r="180269" s="12" customFormat="1" x14ac:dyDescent="0.25"/>
    <row r="180270" s="12" customFormat="1" x14ac:dyDescent="0.25"/>
    <row r="180271" s="12" customFormat="1" x14ac:dyDescent="0.25"/>
    <row r="180272" s="12" customFormat="1" x14ac:dyDescent="0.25"/>
    <row r="180273" s="12" customFormat="1" x14ac:dyDescent="0.25"/>
    <row r="180274" s="12" customFormat="1" x14ac:dyDescent="0.25"/>
    <row r="180275" s="12" customFormat="1" x14ac:dyDescent="0.25"/>
    <row r="180276" s="12" customFormat="1" x14ac:dyDescent="0.25"/>
    <row r="180277" s="12" customFormat="1" x14ac:dyDescent="0.25"/>
    <row r="180278" s="12" customFormat="1" x14ac:dyDescent="0.25"/>
    <row r="180279" s="12" customFormat="1" x14ac:dyDescent="0.25"/>
    <row r="180280" s="12" customFormat="1" x14ac:dyDescent="0.25"/>
    <row r="180281" s="12" customFormat="1" x14ac:dyDescent="0.25"/>
    <row r="180282" s="12" customFormat="1" x14ac:dyDescent="0.25"/>
    <row r="180283" s="12" customFormat="1" x14ac:dyDescent="0.25"/>
    <row r="180284" s="12" customFormat="1" x14ac:dyDescent="0.25"/>
    <row r="180285" s="12" customFormat="1" x14ac:dyDescent="0.25"/>
    <row r="180286" s="12" customFormat="1" x14ac:dyDescent="0.25"/>
    <row r="180287" s="12" customFormat="1" x14ac:dyDescent="0.25"/>
    <row r="180288" s="12" customFormat="1" x14ac:dyDescent="0.25"/>
    <row r="180289" s="12" customFormat="1" x14ac:dyDescent="0.25"/>
    <row r="180290" s="12" customFormat="1" x14ac:dyDescent="0.25"/>
    <row r="180291" s="12" customFormat="1" x14ac:dyDescent="0.25"/>
    <row r="180292" s="12" customFormat="1" x14ac:dyDescent="0.25"/>
    <row r="180293" s="12" customFormat="1" x14ac:dyDescent="0.25"/>
    <row r="180294" s="12" customFormat="1" x14ac:dyDescent="0.25"/>
    <row r="180295" s="12" customFormat="1" x14ac:dyDescent="0.25"/>
    <row r="180296" s="12" customFormat="1" x14ac:dyDescent="0.25"/>
    <row r="180297" s="12" customFormat="1" x14ac:dyDescent="0.25"/>
    <row r="180298" s="12" customFormat="1" x14ac:dyDescent="0.25"/>
    <row r="180299" s="12" customFormat="1" x14ac:dyDescent="0.25"/>
    <row r="180300" s="12" customFormat="1" x14ac:dyDescent="0.25"/>
    <row r="180301" s="12" customFormat="1" x14ac:dyDescent="0.25"/>
    <row r="180302" s="12" customFormat="1" x14ac:dyDescent="0.25"/>
    <row r="180303" s="12" customFormat="1" x14ac:dyDescent="0.25"/>
    <row r="180304" s="12" customFormat="1" x14ac:dyDescent="0.25"/>
    <row r="180305" s="12" customFormat="1" x14ac:dyDescent="0.25"/>
    <row r="180306" s="12" customFormat="1" x14ac:dyDescent="0.25"/>
    <row r="180307" s="12" customFormat="1" x14ac:dyDescent="0.25"/>
    <row r="180308" s="12" customFormat="1" x14ac:dyDescent="0.25"/>
    <row r="180309" s="12" customFormat="1" x14ac:dyDescent="0.25"/>
    <row r="180310" s="12" customFormat="1" x14ac:dyDescent="0.25"/>
    <row r="180311" s="12" customFormat="1" x14ac:dyDescent="0.25"/>
    <row r="180312" s="12" customFormat="1" x14ac:dyDescent="0.25"/>
    <row r="180313" s="12" customFormat="1" x14ac:dyDescent="0.25"/>
    <row r="180314" s="12" customFormat="1" x14ac:dyDescent="0.25"/>
    <row r="180315" s="12" customFormat="1" x14ac:dyDescent="0.25"/>
    <row r="180316" s="12" customFormat="1" x14ac:dyDescent="0.25"/>
    <row r="180317" s="12" customFormat="1" x14ac:dyDescent="0.25"/>
    <row r="180318" s="12" customFormat="1" x14ac:dyDescent="0.25"/>
    <row r="180319" s="12" customFormat="1" x14ac:dyDescent="0.25"/>
    <row r="180320" s="12" customFormat="1" x14ac:dyDescent="0.25"/>
    <row r="180321" s="12" customFormat="1" x14ac:dyDescent="0.25"/>
    <row r="180322" s="12" customFormat="1" x14ac:dyDescent="0.25"/>
    <row r="180323" s="12" customFormat="1" x14ac:dyDescent="0.25"/>
    <row r="180324" s="12" customFormat="1" x14ac:dyDescent="0.25"/>
    <row r="180325" s="12" customFormat="1" x14ac:dyDescent="0.25"/>
    <row r="180326" s="12" customFormat="1" x14ac:dyDescent="0.25"/>
    <row r="180327" s="12" customFormat="1" x14ac:dyDescent="0.25"/>
    <row r="180328" s="12" customFormat="1" x14ac:dyDescent="0.25"/>
    <row r="180329" s="12" customFormat="1" x14ac:dyDescent="0.25"/>
    <row r="180330" s="12" customFormat="1" x14ac:dyDescent="0.25"/>
    <row r="180331" s="12" customFormat="1" x14ac:dyDescent="0.25"/>
    <row r="180332" s="12" customFormat="1" x14ac:dyDescent="0.25"/>
    <row r="180333" s="12" customFormat="1" x14ac:dyDescent="0.25"/>
    <row r="180334" s="12" customFormat="1" x14ac:dyDescent="0.25"/>
    <row r="180335" s="12" customFormat="1" x14ac:dyDescent="0.25"/>
    <row r="180336" s="12" customFormat="1" x14ac:dyDescent="0.25"/>
    <row r="180337" s="12" customFormat="1" x14ac:dyDescent="0.25"/>
    <row r="180338" s="12" customFormat="1" x14ac:dyDescent="0.25"/>
    <row r="180339" s="12" customFormat="1" x14ac:dyDescent="0.25"/>
    <row r="180340" s="12" customFormat="1" x14ac:dyDescent="0.25"/>
    <row r="180341" s="12" customFormat="1" x14ac:dyDescent="0.25"/>
    <row r="180342" s="12" customFormat="1" x14ac:dyDescent="0.25"/>
    <row r="180343" s="12" customFormat="1" x14ac:dyDescent="0.25"/>
    <row r="180344" s="12" customFormat="1" x14ac:dyDescent="0.25"/>
    <row r="180345" s="12" customFormat="1" x14ac:dyDescent="0.25"/>
    <row r="180346" s="12" customFormat="1" x14ac:dyDescent="0.25"/>
    <row r="180347" s="12" customFormat="1" x14ac:dyDescent="0.25"/>
    <row r="180348" s="12" customFormat="1" x14ac:dyDescent="0.25"/>
    <row r="180349" s="12" customFormat="1" x14ac:dyDescent="0.25"/>
    <row r="180350" s="12" customFormat="1" x14ac:dyDescent="0.25"/>
    <row r="180351" s="12" customFormat="1" x14ac:dyDescent="0.25"/>
    <row r="180352" s="12" customFormat="1" x14ac:dyDescent="0.25"/>
    <row r="180353" s="12" customFormat="1" x14ac:dyDescent="0.25"/>
    <row r="180354" s="12" customFormat="1" x14ac:dyDescent="0.25"/>
    <row r="180355" s="12" customFormat="1" x14ac:dyDescent="0.25"/>
    <row r="180356" s="12" customFormat="1" x14ac:dyDescent="0.25"/>
    <row r="180357" s="12" customFormat="1" x14ac:dyDescent="0.25"/>
    <row r="180358" s="12" customFormat="1" x14ac:dyDescent="0.25"/>
    <row r="180359" s="12" customFormat="1" x14ac:dyDescent="0.25"/>
    <row r="180360" s="12" customFormat="1" x14ac:dyDescent="0.25"/>
    <row r="180361" s="12" customFormat="1" x14ac:dyDescent="0.25"/>
    <row r="180362" s="12" customFormat="1" x14ac:dyDescent="0.25"/>
    <row r="180363" s="12" customFormat="1" x14ac:dyDescent="0.25"/>
    <row r="180364" s="12" customFormat="1" x14ac:dyDescent="0.25"/>
    <row r="180365" s="12" customFormat="1" x14ac:dyDescent="0.25"/>
    <row r="180366" s="12" customFormat="1" x14ac:dyDescent="0.25"/>
    <row r="180367" s="12" customFormat="1" x14ac:dyDescent="0.25"/>
    <row r="180368" s="12" customFormat="1" x14ac:dyDescent="0.25"/>
    <row r="180369" s="12" customFormat="1" x14ac:dyDescent="0.25"/>
    <row r="180370" s="12" customFormat="1" x14ac:dyDescent="0.25"/>
    <row r="180371" s="12" customFormat="1" x14ac:dyDescent="0.25"/>
    <row r="180372" s="12" customFormat="1" x14ac:dyDescent="0.25"/>
    <row r="180373" s="12" customFormat="1" x14ac:dyDescent="0.25"/>
    <row r="180374" s="12" customFormat="1" x14ac:dyDescent="0.25"/>
    <row r="180375" s="12" customFormat="1" x14ac:dyDescent="0.25"/>
    <row r="180376" s="12" customFormat="1" x14ac:dyDescent="0.25"/>
    <row r="180377" s="12" customFormat="1" x14ac:dyDescent="0.25"/>
    <row r="180378" s="12" customFormat="1" x14ac:dyDescent="0.25"/>
    <row r="180379" s="12" customFormat="1" x14ac:dyDescent="0.25"/>
    <row r="180380" s="12" customFormat="1" x14ac:dyDescent="0.25"/>
    <row r="180381" s="12" customFormat="1" x14ac:dyDescent="0.25"/>
    <row r="180382" s="12" customFormat="1" x14ac:dyDescent="0.25"/>
    <row r="180383" s="12" customFormat="1" x14ac:dyDescent="0.25"/>
    <row r="180384" s="12" customFormat="1" x14ac:dyDescent="0.25"/>
    <row r="180385" s="12" customFormat="1" x14ac:dyDescent="0.25"/>
    <row r="180386" s="12" customFormat="1" x14ac:dyDescent="0.25"/>
    <row r="180387" s="12" customFormat="1" x14ac:dyDescent="0.25"/>
    <row r="180388" s="12" customFormat="1" x14ac:dyDescent="0.25"/>
    <row r="180389" s="12" customFormat="1" x14ac:dyDescent="0.25"/>
    <row r="180390" s="12" customFormat="1" x14ac:dyDescent="0.25"/>
    <row r="180391" s="12" customFormat="1" x14ac:dyDescent="0.25"/>
    <row r="180392" s="12" customFormat="1" x14ac:dyDescent="0.25"/>
    <row r="180393" s="12" customFormat="1" x14ac:dyDescent="0.25"/>
    <row r="180394" s="12" customFormat="1" x14ac:dyDescent="0.25"/>
    <row r="180395" s="12" customFormat="1" x14ac:dyDescent="0.25"/>
    <row r="180396" s="12" customFormat="1" x14ac:dyDescent="0.25"/>
    <row r="180397" s="12" customFormat="1" x14ac:dyDescent="0.25"/>
    <row r="180398" s="12" customFormat="1" x14ac:dyDescent="0.25"/>
    <row r="180399" s="12" customFormat="1" x14ac:dyDescent="0.25"/>
    <row r="180400" s="12" customFormat="1" x14ac:dyDescent="0.25"/>
    <row r="180401" s="12" customFormat="1" x14ac:dyDescent="0.25"/>
    <row r="180402" s="12" customFormat="1" x14ac:dyDescent="0.25"/>
    <row r="180403" s="12" customFormat="1" x14ac:dyDescent="0.25"/>
    <row r="180404" s="12" customFormat="1" x14ac:dyDescent="0.25"/>
    <row r="180405" s="12" customFormat="1" x14ac:dyDescent="0.25"/>
    <row r="180406" s="12" customFormat="1" x14ac:dyDescent="0.25"/>
    <row r="180407" s="12" customFormat="1" x14ac:dyDescent="0.25"/>
    <row r="180408" s="12" customFormat="1" x14ac:dyDescent="0.25"/>
    <row r="180409" s="12" customFormat="1" x14ac:dyDescent="0.25"/>
    <row r="180410" s="12" customFormat="1" x14ac:dyDescent="0.25"/>
    <row r="180411" s="12" customFormat="1" x14ac:dyDescent="0.25"/>
    <row r="180412" s="12" customFormat="1" x14ac:dyDescent="0.25"/>
    <row r="180413" s="12" customFormat="1" x14ac:dyDescent="0.25"/>
    <row r="180414" s="12" customFormat="1" x14ac:dyDescent="0.25"/>
    <row r="180415" s="12" customFormat="1" x14ac:dyDescent="0.25"/>
    <row r="180416" s="12" customFormat="1" x14ac:dyDescent="0.25"/>
    <row r="180417" s="12" customFormat="1" x14ac:dyDescent="0.25"/>
    <row r="180418" s="12" customFormat="1" x14ac:dyDescent="0.25"/>
    <row r="180419" s="12" customFormat="1" x14ac:dyDescent="0.25"/>
    <row r="180420" s="12" customFormat="1" x14ac:dyDescent="0.25"/>
    <row r="180421" s="12" customFormat="1" x14ac:dyDescent="0.25"/>
    <row r="180422" s="12" customFormat="1" x14ac:dyDescent="0.25"/>
    <row r="180423" s="12" customFormat="1" x14ac:dyDescent="0.25"/>
    <row r="180424" s="12" customFormat="1" x14ac:dyDescent="0.25"/>
    <row r="180425" s="12" customFormat="1" x14ac:dyDescent="0.25"/>
    <row r="180426" s="12" customFormat="1" x14ac:dyDescent="0.25"/>
    <row r="180427" s="12" customFormat="1" x14ac:dyDescent="0.25"/>
    <row r="180428" s="12" customFormat="1" x14ac:dyDescent="0.25"/>
    <row r="180429" s="12" customFormat="1" x14ac:dyDescent="0.25"/>
    <row r="180430" s="12" customFormat="1" x14ac:dyDescent="0.25"/>
    <row r="180431" s="12" customFormat="1" x14ac:dyDescent="0.25"/>
    <row r="180432" s="12" customFormat="1" x14ac:dyDescent="0.25"/>
    <row r="180433" s="12" customFormat="1" x14ac:dyDescent="0.25"/>
    <row r="180434" s="12" customFormat="1" x14ac:dyDescent="0.25"/>
    <row r="180435" s="12" customFormat="1" x14ac:dyDescent="0.25"/>
    <row r="180436" s="12" customFormat="1" x14ac:dyDescent="0.25"/>
    <row r="180437" s="12" customFormat="1" x14ac:dyDescent="0.25"/>
    <row r="180438" s="12" customFormat="1" x14ac:dyDescent="0.25"/>
    <row r="180439" s="12" customFormat="1" x14ac:dyDescent="0.25"/>
    <row r="180440" s="12" customFormat="1" x14ac:dyDescent="0.25"/>
    <row r="180441" s="12" customFormat="1" x14ac:dyDescent="0.25"/>
    <row r="180442" s="12" customFormat="1" x14ac:dyDescent="0.25"/>
    <row r="180443" s="12" customFormat="1" x14ac:dyDescent="0.25"/>
    <row r="180444" s="12" customFormat="1" x14ac:dyDescent="0.25"/>
    <row r="180445" s="12" customFormat="1" x14ac:dyDescent="0.25"/>
    <row r="180446" s="12" customFormat="1" x14ac:dyDescent="0.25"/>
    <row r="180447" s="12" customFormat="1" x14ac:dyDescent="0.25"/>
    <row r="180448" s="12" customFormat="1" x14ac:dyDescent="0.25"/>
    <row r="180449" s="12" customFormat="1" x14ac:dyDescent="0.25"/>
    <row r="180450" s="12" customFormat="1" x14ac:dyDescent="0.25"/>
    <row r="180451" s="12" customFormat="1" x14ac:dyDescent="0.25"/>
    <row r="180452" s="12" customFormat="1" x14ac:dyDescent="0.25"/>
    <row r="180453" s="12" customFormat="1" x14ac:dyDescent="0.25"/>
    <row r="180454" s="12" customFormat="1" x14ac:dyDescent="0.25"/>
    <row r="180455" s="12" customFormat="1" x14ac:dyDescent="0.25"/>
    <row r="180456" s="12" customFormat="1" x14ac:dyDescent="0.25"/>
    <row r="180457" s="12" customFormat="1" x14ac:dyDescent="0.25"/>
    <row r="180458" s="12" customFormat="1" x14ac:dyDescent="0.25"/>
    <row r="180459" s="12" customFormat="1" x14ac:dyDescent="0.25"/>
    <row r="180460" s="12" customFormat="1" x14ac:dyDescent="0.25"/>
    <row r="180461" s="12" customFormat="1" x14ac:dyDescent="0.25"/>
    <row r="180462" s="12" customFormat="1" x14ac:dyDescent="0.25"/>
    <row r="180463" s="12" customFormat="1" x14ac:dyDescent="0.25"/>
    <row r="180464" s="12" customFormat="1" x14ac:dyDescent="0.25"/>
    <row r="180465" s="12" customFormat="1" x14ac:dyDescent="0.25"/>
    <row r="180466" s="12" customFormat="1" x14ac:dyDescent="0.25"/>
    <row r="180467" s="12" customFormat="1" x14ac:dyDescent="0.25"/>
    <row r="180468" s="12" customFormat="1" x14ac:dyDescent="0.25"/>
    <row r="180469" s="12" customFormat="1" x14ac:dyDescent="0.25"/>
    <row r="180470" s="12" customFormat="1" x14ac:dyDescent="0.25"/>
    <row r="180471" s="12" customFormat="1" x14ac:dyDescent="0.25"/>
    <row r="180472" s="12" customFormat="1" x14ac:dyDescent="0.25"/>
    <row r="180473" s="12" customFormat="1" x14ac:dyDescent="0.25"/>
    <row r="180474" s="12" customFormat="1" x14ac:dyDescent="0.25"/>
    <row r="180475" s="12" customFormat="1" x14ac:dyDescent="0.25"/>
    <row r="180476" s="12" customFormat="1" x14ac:dyDescent="0.25"/>
    <row r="180477" s="12" customFormat="1" x14ac:dyDescent="0.25"/>
    <row r="180478" s="12" customFormat="1" x14ac:dyDescent="0.25"/>
    <row r="180479" s="12" customFormat="1" x14ac:dyDescent="0.25"/>
    <row r="180480" s="12" customFormat="1" x14ac:dyDescent="0.25"/>
    <row r="180481" s="12" customFormat="1" x14ac:dyDescent="0.25"/>
    <row r="180482" s="12" customFormat="1" x14ac:dyDescent="0.25"/>
    <row r="180483" s="12" customFormat="1" x14ac:dyDescent="0.25"/>
    <row r="180484" s="12" customFormat="1" x14ac:dyDescent="0.25"/>
    <row r="180485" s="12" customFormat="1" x14ac:dyDescent="0.25"/>
    <row r="180486" s="12" customFormat="1" x14ac:dyDescent="0.25"/>
    <row r="180487" s="12" customFormat="1" x14ac:dyDescent="0.25"/>
    <row r="180488" s="12" customFormat="1" x14ac:dyDescent="0.25"/>
    <row r="180489" s="12" customFormat="1" x14ac:dyDescent="0.25"/>
    <row r="180490" s="12" customFormat="1" x14ac:dyDescent="0.25"/>
    <row r="180491" s="12" customFormat="1" x14ac:dyDescent="0.25"/>
    <row r="180492" s="12" customFormat="1" x14ac:dyDescent="0.25"/>
    <row r="180493" s="12" customFormat="1" x14ac:dyDescent="0.25"/>
    <row r="180494" s="12" customFormat="1" x14ac:dyDescent="0.25"/>
    <row r="180495" s="12" customFormat="1" x14ac:dyDescent="0.25"/>
    <row r="180496" s="12" customFormat="1" x14ac:dyDescent="0.25"/>
    <row r="180497" s="12" customFormat="1" x14ac:dyDescent="0.25"/>
    <row r="180498" s="12" customFormat="1" x14ac:dyDescent="0.25"/>
    <row r="180499" s="12" customFormat="1" x14ac:dyDescent="0.25"/>
    <row r="180500" s="12" customFormat="1" x14ac:dyDescent="0.25"/>
    <row r="180501" s="12" customFormat="1" x14ac:dyDescent="0.25"/>
    <row r="180502" s="12" customFormat="1" x14ac:dyDescent="0.25"/>
    <row r="180503" s="12" customFormat="1" x14ac:dyDescent="0.25"/>
    <row r="180504" s="12" customFormat="1" x14ac:dyDescent="0.25"/>
    <row r="180505" s="12" customFormat="1" x14ac:dyDescent="0.25"/>
    <row r="180506" s="12" customFormat="1" x14ac:dyDescent="0.25"/>
    <row r="180507" s="12" customFormat="1" x14ac:dyDescent="0.25"/>
    <row r="180508" s="12" customFormat="1" x14ac:dyDescent="0.25"/>
    <row r="180509" s="12" customFormat="1" x14ac:dyDescent="0.25"/>
    <row r="180510" s="12" customFormat="1" x14ac:dyDescent="0.25"/>
    <row r="180511" s="12" customFormat="1" x14ac:dyDescent="0.25"/>
    <row r="180512" s="12" customFormat="1" x14ac:dyDescent="0.25"/>
    <row r="180513" s="12" customFormat="1" x14ac:dyDescent="0.25"/>
    <row r="180514" s="12" customFormat="1" x14ac:dyDescent="0.25"/>
    <row r="180515" s="12" customFormat="1" x14ac:dyDescent="0.25"/>
    <row r="180516" s="12" customFormat="1" x14ac:dyDescent="0.25"/>
    <row r="180517" s="12" customFormat="1" x14ac:dyDescent="0.25"/>
    <row r="180518" s="12" customFormat="1" x14ac:dyDescent="0.25"/>
    <row r="180519" s="12" customFormat="1" x14ac:dyDescent="0.25"/>
    <row r="180520" s="12" customFormat="1" x14ac:dyDescent="0.25"/>
    <row r="180521" s="12" customFormat="1" x14ac:dyDescent="0.25"/>
    <row r="180522" s="12" customFormat="1" x14ac:dyDescent="0.25"/>
    <row r="180523" s="12" customFormat="1" x14ac:dyDescent="0.25"/>
    <row r="180524" s="12" customFormat="1" x14ac:dyDescent="0.25"/>
    <row r="180525" s="12" customFormat="1" x14ac:dyDescent="0.25"/>
    <row r="180526" s="12" customFormat="1" x14ac:dyDescent="0.25"/>
    <row r="180527" s="12" customFormat="1" x14ac:dyDescent="0.25"/>
    <row r="180528" s="12" customFormat="1" x14ac:dyDescent="0.25"/>
    <row r="180529" s="12" customFormat="1" x14ac:dyDescent="0.25"/>
    <row r="180530" s="12" customFormat="1" x14ac:dyDescent="0.25"/>
    <row r="180531" s="12" customFormat="1" x14ac:dyDescent="0.25"/>
    <row r="180532" s="12" customFormat="1" x14ac:dyDescent="0.25"/>
    <row r="180533" s="12" customFormat="1" x14ac:dyDescent="0.25"/>
    <row r="180534" s="12" customFormat="1" x14ac:dyDescent="0.25"/>
    <row r="180535" s="12" customFormat="1" x14ac:dyDescent="0.25"/>
    <row r="180536" s="12" customFormat="1" x14ac:dyDescent="0.25"/>
    <row r="180537" s="12" customFormat="1" x14ac:dyDescent="0.25"/>
    <row r="180538" s="12" customFormat="1" x14ac:dyDescent="0.25"/>
    <row r="180539" s="12" customFormat="1" x14ac:dyDescent="0.25"/>
    <row r="180540" s="12" customFormat="1" x14ac:dyDescent="0.25"/>
    <row r="180541" s="12" customFormat="1" x14ac:dyDescent="0.25"/>
    <row r="180542" s="12" customFormat="1" x14ac:dyDescent="0.25"/>
    <row r="180543" s="12" customFormat="1" x14ac:dyDescent="0.25"/>
    <row r="180544" s="12" customFormat="1" x14ac:dyDescent="0.25"/>
    <row r="180545" s="12" customFormat="1" x14ac:dyDescent="0.25"/>
    <row r="180546" s="12" customFormat="1" x14ac:dyDescent="0.25"/>
    <row r="180547" s="12" customFormat="1" x14ac:dyDescent="0.25"/>
    <row r="180548" s="12" customFormat="1" x14ac:dyDescent="0.25"/>
    <row r="180549" s="12" customFormat="1" x14ac:dyDescent="0.25"/>
    <row r="180550" s="12" customFormat="1" x14ac:dyDescent="0.25"/>
    <row r="180551" s="12" customFormat="1" x14ac:dyDescent="0.25"/>
    <row r="180552" s="12" customFormat="1" x14ac:dyDescent="0.25"/>
    <row r="180553" s="12" customFormat="1" x14ac:dyDescent="0.25"/>
    <row r="180554" s="12" customFormat="1" x14ac:dyDescent="0.25"/>
    <row r="180555" s="12" customFormat="1" x14ac:dyDescent="0.25"/>
    <row r="180556" s="12" customFormat="1" x14ac:dyDescent="0.25"/>
    <row r="180557" s="12" customFormat="1" x14ac:dyDescent="0.25"/>
    <row r="180558" s="12" customFormat="1" x14ac:dyDescent="0.25"/>
    <row r="180559" s="12" customFormat="1" x14ac:dyDescent="0.25"/>
    <row r="180560" s="12" customFormat="1" x14ac:dyDescent="0.25"/>
    <row r="180561" s="12" customFormat="1" x14ac:dyDescent="0.25"/>
    <row r="180562" s="12" customFormat="1" x14ac:dyDescent="0.25"/>
    <row r="180563" s="12" customFormat="1" x14ac:dyDescent="0.25"/>
    <row r="180564" s="12" customFormat="1" x14ac:dyDescent="0.25"/>
    <row r="180565" s="12" customFormat="1" x14ac:dyDescent="0.25"/>
    <row r="180566" s="12" customFormat="1" x14ac:dyDescent="0.25"/>
    <row r="180567" s="12" customFormat="1" x14ac:dyDescent="0.25"/>
    <row r="180568" s="12" customFormat="1" x14ac:dyDescent="0.25"/>
    <row r="180569" s="12" customFormat="1" x14ac:dyDescent="0.25"/>
    <row r="180570" s="12" customFormat="1" x14ac:dyDescent="0.25"/>
    <row r="180571" s="12" customFormat="1" x14ac:dyDescent="0.25"/>
    <row r="180572" s="12" customFormat="1" x14ac:dyDescent="0.25"/>
    <row r="180573" s="12" customFormat="1" x14ac:dyDescent="0.25"/>
    <row r="180574" s="12" customFormat="1" x14ac:dyDescent="0.25"/>
    <row r="180575" s="12" customFormat="1" x14ac:dyDescent="0.25"/>
    <row r="180576" s="12" customFormat="1" x14ac:dyDescent="0.25"/>
    <row r="180577" s="12" customFormat="1" x14ac:dyDescent="0.25"/>
    <row r="180578" s="12" customFormat="1" x14ac:dyDescent="0.25"/>
    <row r="180579" s="12" customFormat="1" x14ac:dyDescent="0.25"/>
    <row r="180580" s="12" customFormat="1" x14ac:dyDescent="0.25"/>
    <row r="180581" s="12" customFormat="1" x14ac:dyDescent="0.25"/>
    <row r="180582" s="12" customFormat="1" x14ac:dyDescent="0.25"/>
    <row r="180583" s="12" customFormat="1" x14ac:dyDescent="0.25"/>
    <row r="180584" s="12" customFormat="1" x14ac:dyDescent="0.25"/>
    <row r="180585" s="12" customFormat="1" x14ac:dyDescent="0.25"/>
    <row r="180586" s="12" customFormat="1" x14ac:dyDescent="0.25"/>
    <row r="180587" s="12" customFormat="1" x14ac:dyDescent="0.25"/>
    <row r="180588" s="12" customFormat="1" x14ac:dyDescent="0.25"/>
    <row r="180589" s="12" customFormat="1" x14ac:dyDescent="0.25"/>
    <row r="180590" s="12" customFormat="1" x14ac:dyDescent="0.25"/>
    <row r="180591" s="12" customFormat="1" x14ac:dyDescent="0.25"/>
    <row r="180592" s="12" customFormat="1" x14ac:dyDescent="0.25"/>
    <row r="180593" s="12" customFormat="1" x14ac:dyDescent="0.25"/>
    <row r="180594" s="12" customFormat="1" x14ac:dyDescent="0.25"/>
    <row r="180595" s="12" customFormat="1" x14ac:dyDescent="0.25"/>
    <row r="180596" s="12" customFormat="1" x14ac:dyDescent="0.25"/>
    <row r="180597" s="12" customFormat="1" x14ac:dyDescent="0.25"/>
    <row r="180598" s="12" customFormat="1" x14ac:dyDescent="0.25"/>
    <row r="180599" s="12" customFormat="1" x14ac:dyDescent="0.25"/>
    <row r="180600" s="12" customFormat="1" x14ac:dyDescent="0.25"/>
    <row r="180601" s="12" customFormat="1" x14ac:dyDescent="0.25"/>
    <row r="180602" s="12" customFormat="1" x14ac:dyDescent="0.25"/>
    <row r="180603" s="12" customFormat="1" x14ac:dyDescent="0.25"/>
    <row r="180604" s="12" customFormat="1" x14ac:dyDescent="0.25"/>
    <row r="180605" s="12" customFormat="1" x14ac:dyDescent="0.25"/>
    <row r="180606" s="12" customFormat="1" x14ac:dyDescent="0.25"/>
    <row r="180607" s="12" customFormat="1" x14ac:dyDescent="0.25"/>
    <row r="180608" s="12" customFormat="1" x14ac:dyDescent="0.25"/>
    <row r="180609" s="12" customFormat="1" x14ac:dyDescent="0.25"/>
    <row r="180610" s="12" customFormat="1" x14ac:dyDescent="0.25"/>
    <row r="180611" s="12" customFormat="1" x14ac:dyDescent="0.25"/>
    <row r="180612" s="12" customFormat="1" x14ac:dyDescent="0.25"/>
    <row r="180613" s="12" customFormat="1" x14ac:dyDescent="0.25"/>
    <row r="180614" s="12" customFormat="1" x14ac:dyDescent="0.25"/>
    <row r="180615" s="12" customFormat="1" x14ac:dyDescent="0.25"/>
    <row r="180616" s="12" customFormat="1" x14ac:dyDescent="0.25"/>
    <row r="180617" s="12" customFormat="1" x14ac:dyDescent="0.25"/>
    <row r="180618" s="12" customFormat="1" x14ac:dyDescent="0.25"/>
    <row r="180619" s="12" customFormat="1" x14ac:dyDescent="0.25"/>
    <row r="180620" s="12" customFormat="1" x14ac:dyDescent="0.25"/>
    <row r="180621" s="12" customFormat="1" x14ac:dyDescent="0.25"/>
    <row r="180622" s="12" customFormat="1" x14ac:dyDescent="0.25"/>
    <row r="180623" s="12" customFormat="1" x14ac:dyDescent="0.25"/>
    <row r="180624" s="12" customFormat="1" x14ac:dyDescent="0.25"/>
    <row r="180625" s="12" customFormat="1" x14ac:dyDescent="0.25"/>
    <row r="180626" s="12" customFormat="1" x14ac:dyDescent="0.25"/>
    <row r="180627" s="12" customFormat="1" x14ac:dyDescent="0.25"/>
    <row r="180628" s="12" customFormat="1" x14ac:dyDescent="0.25"/>
    <row r="180629" s="12" customFormat="1" x14ac:dyDescent="0.25"/>
    <row r="180630" s="12" customFormat="1" x14ac:dyDescent="0.25"/>
    <row r="180631" s="12" customFormat="1" x14ac:dyDescent="0.25"/>
    <row r="180632" s="12" customFormat="1" x14ac:dyDescent="0.25"/>
    <row r="180633" s="12" customFormat="1" x14ac:dyDescent="0.25"/>
    <row r="180634" s="12" customFormat="1" x14ac:dyDescent="0.25"/>
    <row r="180635" s="12" customFormat="1" x14ac:dyDescent="0.25"/>
    <row r="180636" s="12" customFormat="1" x14ac:dyDescent="0.25"/>
    <row r="180637" s="12" customFormat="1" x14ac:dyDescent="0.25"/>
    <row r="180638" s="12" customFormat="1" x14ac:dyDescent="0.25"/>
    <row r="180639" s="12" customFormat="1" x14ac:dyDescent="0.25"/>
    <row r="180640" s="12" customFormat="1" x14ac:dyDescent="0.25"/>
    <row r="180641" s="12" customFormat="1" x14ac:dyDescent="0.25"/>
    <row r="180642" s="12" customFormat="1" x14ac:dyDescent="0.25"/>
    <row r="180643" s="12" customFormat="1" x14ac:dyDescent="0.25"/>
    <row r="180644" s="12" customFormat="1" x14ac:dyDescent="0.25"/>
    <row r="180645" s="12" customFormat="1" x14ac:dyDescent="0.25"/>
    <row r="180646" s="12" customFormat="1" x14ac:dyDescent="0.25"/>
    <row r="180647" s="12" customFormat="1" x14ac:dyDescent="0.25"/>
    <row r="180648" s="12" customFormat="1" x14ac:dyDescent="0.25"/>
    <row r="180649" s="12" customFormat="1" x14ac:dyDescent="0.25"/>
    <row r="180650" s="12" customFormat="1" x14ac:dyDescent="0.25"/>
    <row r="180651" s="12" customFormat="1" x14ac:dyDescent="0.25"/>
    <row r="180652" s="12" customFormat="1" x14ac:dyDescent="0.25"/>
    <row r="180653" s="12" customFormat="1" x14ac:dyDescent="0.25"/>
    <row r="180654" s="12" customFormat="1" x14ac:dyDescent="0.25"/>
    <row r="180655" s="12" customFormat="1" x14ac:dyDescent="0.25"/>
    <row r="180656" s="12" customFormat="1" x14ac:dyDescent="0.25"/>
    <row r="180657" s="12" customFormat="1" x14ac:dyDescent="0.25"/>
    <row r="180658" s="12" customFormat="1" x14ac:dyDescent="0.25"/>
    <row r="180659" s="12" customFormat="1" x14ac:dyDescent="0.25"/>
    <row r="180660" s="12" customFormat="1" x14ac:dyDescent="0.25"/>
    <row r="180661" s="12" customFormat="1" x14ac:dyDescent="0.25"/>
    <row r="180662" s="12" customFormat="1" x14ac:dyDescent="0.25"/>
    <row r="180663" s="12" customFormat="1" x14ac:dyDescent="0.25"/>
    <row r="180664" s="12" customFormat="1" x14ac:dyDescent="0.25"/>
    <row r="180665" s="12" customFormat="1" x14ac:dyDescent="0.25"/>
    <row r="180666" s="12" customFormat="1" x14ac:dyDescent="0.25"/>
    <row r="180667" s="12" customFormat="1" x14ac:dyDescent="0.25"/>
    <row r="180668" s="12" customFormat="1" x14ac:dyDescent="0.25"/>
    <row r="180669" s="12" customFormat="1" x14ac:dyDescent="0.25"/>
    <row r="180670" s="12" customFormat="1" x14ac:dyDescent="0.25"/>
    <row r="180671" s="12" customFormat="1" x14ac:dyDescent="0.25"/>
    <row r="180672" s="12" customFormat="1" x14ac:dyDescent="0.25"/>
    <row r="180673" s="12" customFormat="1" x14ac:dyDescent="0.25"/>
    <row r="180674" s="12" customFormat="1" x14ac:dyDescent="0.25"/>
    <row r="180675" s="12" customFormat="1" x14ac:dyDescent="0.25"/>
    <row r="180676" s="12" customFormat="1" x14ac:dyDescent="0.25"/>
    <row r="180677" s="12" customFormat="1" x14ac:dyDescent="0.25"/>
    <row r="180678" s="12" customFormat="1" x14ac:dyDescent="0.25"/>
    <row r="180679" s="12" customFormat="1" x14ac:dyDescent="0.25"/>
    <row r="180680" s="12" customFormat="1" x14ac:dyDescent="0.25"/>
    <row r="180681" s="12" customFormat="1" x14ac:dyDescent="0.25"/>
    <row r="180682" s="12" customFormat="1" x14ac:dyDescent="0.25"/>
    <row r="180683" s="12" customFormat="1" x14ac:dyDescent="0.25"/>
    <row r="180684" s="12" customFormat="1" x14ac:dyDescent="0.25"/>
    <row r="180685" s="12" customFormat="1" x14ac:dyDescent="0.25"/>
    <row r="180686" s="12" customFormat="1" x14ac:dyDescent="0.25"/>
    <row r="180687" s="12" customFormat="1" x14ac:dyDescent="0.25"/>
    <row r="180688" s="12" customFormat="1" x14ac:dyDescent="0.25"/>
    <row r="180689" s="12" customFormat="1" x14ac:dyDescent="0.25"/>
    <row r="180690" s="12" customFormat="1" x14ac:dyDescent="0.25"/>
    <row r="180691" s="12" customFormat="1" x14ac:dyDescent="0.25"/>
    <row r="180692" s="12" customFormat="1" x14ac:dyDescent="0.25"/>
    <row r="180693" s="12" customFormat="1" x14ac:dyDescent="0.25"/>
    <row r="180694" s="12" customFormat="1" x14ac:dyDescent="0.25"/>
    <row r="180695" s="12" customFormat="1" x14ac:dyDescent="0.25"/>
    <row r="180696" s="12" customFormat="1" x14ac:dyDescent="0.25"/>
    <row r="180697" s="12" customFormat="1" x14ac:dyDescent="0.25"/>
    <row r="180698" s="12" customFormat="1" x14ac:dyDescent="0.25"/>
    <row r="180699" s="12" customFormat="1" x14ac:dyDescent="0.25"/>
    <row r="180700" s="12" customFormat="1" x14ac:dyDescent="0.25"/>
    <row r="180701" s="12" customFormat="1" x14ac:dyDescent="0.25"/>
    <row r="180702" s="12" customFormat="1" x14ac:dyDescent="0.25"/>
    <row r="180703" s="12" customFormat="1" x14ac:dyDescent="0.25"/>
    <row r="180704" s="12" customFormat="1" x14ac:dyDescent="0.25"/>
    <row r="180705" s="12" customFormat="1" x14ac:dyDescent="0.25"/>
    <row r="180706" s="12" customFormat="1" x14ac:dyDescent="0.25"/>
    <row r="180707" s="12" customFormat="1" x14ac:dyDescent="0.25"/>
    <row r="180708" s="12" customFormat="1" x14ac:dyDescent="0.25"/>
    <row r="180709" s="12" customFormat="1" x14ac:dyDescent="0.25"/>
    <row r="180710" s="12" customFormat="1" x14ac:dyDescent="0.25"/>
    <row r="180711" s="12" customFormat="1" x14ac:dyDescent="0.25"/>
    <row r="180712" s="12" customFormat="1" x14ac:dyDescent="0.25"/>
    <row r="180713" s="12" customFormat="1" x14ac:dyDescent="0.25"/>
    <row r="180714" s="12" customFormat="1" x14ac:dyDescent="0.25"/>
    <row r="180715" s="12" customFormat="1" x14ac:dyDescent="0.25"/>
    <row r="180716" s="12" customFormat="1" x14ac:dyDescent="0.25"/>
    <row r="180717" s="12" customFormat="1" x14ac:dyDescent="0.25"/>
    <row r="180718" s="12" customFormat="1" x14ac:dyDescent="0.25"/>
    <row r="180719" s="12" customFormat="1" x14ac:dyDescent="0.25"/>
    <row r="180720" s="12" customFormat="1" x14ac:dyDescent="0.25"/>
    <row r="180721" s="12" customFormat="1" x14ac:dyDescent="0.25"/>
    <row r="180722" s="12" customFormat="1" x14ac:dyDescent="0.25"/>
    <row r="180723" s="12" customFormat="1" x14ac:dyDescent="0.25"/>
    <row r="180724" s="12" customFormat="1" x14ac:dyDescent="0.25"/>
    <row r="180725" s="12" customFormat="1" x14ac:dyDescent="0.25"/>
    <row r="180726" s="12" customFormat="1" x14ac:dyDescent="0.25"/>
    <row r="180727" s="12" customFormat="1" x14ac:dyDescent="0.25"/>
    <row r="180728" s="12" customFormat="1" x14ac:dyDescent="0.25"/>
    <row r="180729" s="12" customFormat="1" x14ac:dyDescent="0.25"/>
    <row r="180730" s="12" customFormat="1" x14ac:dyDescent="0.25"/>
    <row r="180731" s="12" customFormat="1" x14ac:dyDescent="0.25"/>
    <row r="180732" s="12" customFormat="1" x14ac:dyDescent="0.25"/>
    <row r="180733" s="12" customFormat="1" x14ac:dyDescent="0.25"/>
    <row r="180734" s="12" customFormat="1" x14ac:dyDescent="0.25"/>
    <row r="180735" s="12" customFormat="1" x14ac:dyDescent="0.25"/>
    <row r="180736" s="12" customFormat="1" x14ac:dyDescent="0.25"/>
    <row r="180737" s="12" customFormat="1" x14ac:dyDescent="0.25"/>
    <row r="180738" s="12" customFormat="1" x14ac:dyDescent="0.25"/>
    <row r="180739" s="12" customFormat="1" x14ac:dyDescent="0.25"/>
    <row r="180740" s="12" customFormat="1" x14ac:dyDescent="0.25"/>
    <row r="180741" s="12" customFormat="1" x14ac:dyDescent="0.25"/>
    <row r="180742" s="12" customFormat="1" x14ac:dyDescent="0.25"/>
    <row r="180743" s="12" customFormat="1" x14ac:dyDescent="0.25"/>
    <row r="180744" s="12" customFormat="1" x14ac:dyDescent="0.25"/>
    <row r="180745" s="12" customFormat="1" x14ac:dyDescent="0.25"/>
    <row r="180746" s="12" customFormat="1" x14ac:dyDescent="0.25"/>
    <row r="180747" s="12" customFormat="1" x14ac:dyDescent="0.25"/>
    <row r="180748" s="12" customFormat="1" x14ac:dyDescent="0.25"/>
    <row r="180749" s="12" customFormat="1" x14ac:dyDescent="0.25"/>
    <row r="180750" s="12" customFormat="1" x14ac:dyDescent="0.25"/>
    <row r="180751" s="12" customFormat="1" x14ac:dyDescent="0.25"/>
    <row r="180752" s="12" customFormat="1" x14ac:dyDescent="0.25"/>
    <row r="180753" s="12" customFormat="1" x14ac:dyDescent="0.25"/>
    <row r="180754" s="12" customFormat="1" x14ac:dyDescent="0.25"/>
    <row r="180755" s="12" customFormat="1" x14ac:dyDescent="0.25"/>
    <row r="180756" s="12" customFormat="1" x14ac:dyDescent="0.25"/>
    <row r="180757" s="12" customFormat="1" x14ac:dyDescent="0.25"/>
    <row r="180758" s="12" customFormat="1" x14ac:dyDescent="0.25"/>
    <row r="180759" s="12" customFormat="1" x14ac:dyDescent="0.25"/>
    <row r="180760" s="12" customFormat="1" x14ac:dyDescent="0.25"/>
    <row r="180761" s="12" customFormat="1" x14ac:dyDescent="0.25"/>
    <row r="180762" s="12" customFormat="1" x14ac:dyDescent="0.25"/>
    <row r="180763" s="12" customFormat="1" x14ac:dyDescent="0.25"/>
    <row r="180764" s="12" customFormat="1" x14ac:dyDescent="0.25"/>
    <row r="180765" s="12" customFormat="1" x14ac:dyDescent="0.25"/>
    <row r="180766" s="12" customFormat="1" x14ac:dyDescent="0.25"/>
    <row r="180767" s="12" customFormat="1" x14ac:dyDescent="0.25"/>
    <row r="180768" s="12" customFormat="1" x14ac:dyDescent="0.25"/>
    <row r="180769" s="12" customFormat="1" x14ac:dyDescent="0.25"/>
    <row r="180770" s="12" customFormat="1" x14ac:dyDescent="0.25"/>
    <row r="180771" s="12" customFormat="1" x14ac:dyDescent="0.25"/>
    <row r="180772" s="12" customFormat="1" x14ac:dyDescent="0.25"/>
    <row r="180773" s="12" customFormat="1" x14ac:dyDescent="0.25"/>
    <row r="180774" s="12" customFormat="1" x14ac:dyDescent="0.25"/>
    <row r="180775" s="12" customFormat="1" x14ac:dyDescent="0.25"/>
    <row r="180776" s="12" customFormat="1" x14ac:dyDescent="0.25"/>
    <row r="180777" s="12" customFormat="1" x14ac:dyDescent="0.25"/>
    <row r="180778" s="12" customFormat="1" x14ac:dyDescent="0.25"/>
    <row r="180779" s="12" customFormat="1" x14ac:dyDescent="0.25"/>
    <row r="180780" s="12" customFormat="1" x14ac:dyDescent="0.25"/>
    <row r="180781" s="12" customFormat="1" x14ac:dyDescent="0.25"/>
    <row r="180782" s="12" customFormat="1" x14ac:dyDescent="0.25"/>
    <row r="180783" s="12" customFormat="1" x14ac:dyDescent="0.25"/>
    <row r="180784" s="12" customFormat="1" x14ac:dyDescent="0.25"/>
    <row r="180785" s="12" customFormat="1" x14ac:dyDescent="0.25"/>
    <row r="180786" s="12" customFormat="1" x14ac:dyDescent="0.25"/>
    <row r="180787" s="12" customFormat="1" x14ac:dyDescent="0.25"/>
    <row r="180788" s="12" customFormat="1" x14ac:dyDescent="0.25"/>
    <row r="180789" s="12" customFormat="1" x14ac:dyDescent="0.25"/>
    <row r="180790" s="12" customFormat="1" x14ac:dyDescent="0.25"/>
    <row r="180791" s="12" customFormat="1" x14ac:dyDescent="0.25"/>
    <row r="180792" s="12" customFormat="1" x14ac:dyDescent="0.25"/>
    <row r="180793" s="12" customFormat="1" x14ac:dyDescent="0.25"/>
    <row r="180794" s="12" customFormat="1" x14ac:dyDescent="0.25"/>
    <row r="180795" s="12" customFormat="1" x14ac:dyDescent="0.25"/>
    <row r="180796" s="12" customFormat="1" x14ac:dyDescent="0.25"/>
    <row r="180797" s="12" customFormat="1" x14ac:dyDescent="0.25"/>
    <row r="180798" s="12" customFormat="1" x14ac:dyDescent="0.25"/>
    <row r="180799" s="12" customFormat="1" x14ac:dyDescent="0.25"/>
    <row r="180800" s="12" customFormat="1" x14ac:dyDescent="0.25"/>
    <row r="180801" s="12" customFormat="1" x14ac:dyDescent="0.25"/>
    <row r="180802" s="12" customFormat="1" x14ac:dyDescent="0.25"/>
    <row r="180803" s="12" customFormat="1" x14ac:dyDescent="0.25"/>
    <row r="180804" s="12" customFormat="1" x14ac:dyDescent="0.25"/>
    <row r="180805" s="12" customFormat="1" x14ac:dyDescent="0.25"/>
    <row r="180806" s="12" customFormat="1" x14ac:dyDescent="0.25"/>
    <row r="180807" s="12" customFormat="1" x14ac:dyDescent="0.25"/>
    <row r="180808" s="12" customFormat="1" x14ac:dyDescent="0.25"/>
    <row r="180809" s="12" customFormat="1" x14ac:dyDescent="0.25"/>
    <row r="180810" s="12" customFormat="1" x14ac:dyDescent="0.25"/>
    <row r="180811" s="12" customFormat="1" x14ac:dyDescent="0.25"/>
    <row r="180812" s="12" customFormat="1" x14ac:dyDescent="0.25"/>
    <row r="180813" s="12" customFormat="1" x14ac:dyDescent="0.25"/>
    <row r="180814" s="12" customFormat="1" x14ac:dyDescent="0.25"/>
    <row r="180815" s="12" customFormat="1" x14ac:dyDescent="0.25"/>
    <row r="180816" s="12" customFormat="1" x14ac:dyDescent="0.25"/>
    <row r="180817" s="12" customFormat="1" x14ac:dyDescent="0.25"/>
    <row r="180818" s="12" customFormat="1" x14ac:dyDescent="0.25"/>
    <row r="180819" s="12" customFormat="1" x14ac:dyDescent="0.25"/>
    <row r="180820" s="12" customFormat="1" x14ac:dyDescent="0.25"/>
    <row r="180821" s="12" customFormat="1" x14ac:dyDescent="0.25"/>
    <row r="180822" s="12" customFormat="1" x14ac:dyDescent="0.25"/>
    <row r="180823" s="12" customFormat="1" x14ac:dyDescent="0.25"/>
    <row r="180824" s="12" customFormat="1" x14ac:dyDescent="0.25"/>
    <row r="180825" s="12" customFormat="1" x14ac:dyDescent="0.25"/>
    <row r="180826" s="12" customFormat="1" x14ac:dyDescent="0.25"/>
    <row r="180827" s="12" customFormat="1" x14ac:dyDescent="0.25"/>
    <row r="180828" s="12" customFormat="1" x14ac:dyDescent="0.25"/>
    <row r="180829" s="12" customFormat="1" x14ac:dyDescent="0.25"/>
    <row r="180830" s="12" customFormat="1" x14ac:dyDescent="0.25"/>
    <row r="180831" s="12" customFormat="1" x14ac:dyDescent="0.25"/>
    <row r="180832" s="12" customFormat="1" x14ac:dyDescent="0.25"/>
    <row r="180833" s="12" customFormat="1" x14ac:dyDescent="0.25"/>
    <row r="180834" s="12" customFormat="1" x14ac:dyDescent="0.25"/>
    <row r="180835" s="12" customFormat="1" x14ac:dyDescent="0.25"/>
    <row r="180836" s="12" customFormat="1" x14ac:dyDescent="0.25"/>
    <row r="180837" s="12" customFormat="1" x14ac:dyDescent="0.25"/>
    <row r="180838" s="12" customFormat="1" x14ac:dyDescent="0.25"/>
    <row r="180839" s="12" customFormat="1" x14ac:dyDescent="0.25"/>
    <row r="180840" s="12" customFormat="1" x14ac:dyDescent="0.25"/>
    <row r="180841" s="12" customFormat="1" x14ac:dyDescent="0.25"/>
    <row r="180842" s="12" customFormat="1" x14ac:dyDescent="0.25"/>
    <row r="180843" s="12" customFormat="1" x14ac:dyDescent="0.25"/>
    <row r="180844" s="12" customFormat="1" x14ac:dyDescent="0.25"/>
    <row r="180845" s="12" customFormat="1" x14ac:dyDescent="0.25"/>
    <row r="180846" s="12" customFormat="1" x14ac:dyDescent="0.25"/>
    <row r="180847" s="12" customFormat="1" x14ac:dyDescent="0.25"/>
    <row r="180848" s="12" customFormat="1" x14ac:dyDescent="0.25"/>
    <row r="180849" s="12" customFormat="1" x14ac:dyDescent="0.25"/>
    <row r="180850" s="12" customFormat="1" x14ac:dyDescent="0.25"/>
    <row r="180851" s="12" customFormat="1" x14ac:dyDescent="0.25"/>
    <row r="180852" s="12" customFormat="1" x14ac:dyDescent="0.25"/>
    <row r="180853" s="12" customFormat="1" x14ac:dyDescent="0.25"/>
    <row r="180854" s="12" customFormat="1" x14ac:dyDescent="0.25"/>
    <row r="180855" s="12" customFormat="1" x14ac:dyDescent="0.25"/>
    <row r="180856" s="12" customFormat="1" x14ac:dyDescent="0.25"/>
    <row r="180857" s="12" customFormat="1" x14ac:dyDescent="0.25"/>
    <row r="180858" s="12" customFormat="1" x14ac:dyDescent="0.25"/>
    <row r="180859" s="12" customFormat="1" x14ac:dyDescent="0.25"/>
    <row r="180860" s="12" customFormat="1" x14ac:dyDescent="0.25"/>
    <row r="180861" s="12" customFormat="1" x14ac:dyDescent="0.25"/>
    <row r="180862" s="12" customFormat="1" x14ac:dyDescent="0.25"/>
    <row r="180863" s="12" customFormat="1" x14ac:dyDescent="0.25"/>
    <row r="180864" s="12" customFormat="1" x14ac:dyDescent="0.25"/>
    <row r="180865" s="12" customFormat="1" x14ac:dyDescent="0.25"/>
    <row r="180866" s="12" customFormat="1" x14ac:dyDescent="0.25"/>
    <row r="180867" s="12" customFormat="1" x14ac:dyDescent="0.25"/>
    <row r="180868" s="12" customFormat="1" x14ac:dyDescent="0.25"/>
    <row r="180869" s="12" customFormat="1" x14ac:dyDescent="0.25"/>
    <row r="180870" s="12" customFormat="1" x14ac:dyDescent="0.25"/>
    <row r="180871" s="12" customFormat="1" x14ac:dyDescent="0.25"/>
    <row r="180872" s="12" customFormat="1" x14ac:dyDescent="0.25"/>
    <row r="180873" s="12" customFormat="1" x14ac:dyDescent="0.25"/>
    <row r="180874" s="12" customFormat="1" x14ac:dyDescent="0.25"/>
    <row r="180875" s="12" customFormat="1" x14ac:dyDescent="0.25"/>
    <row r="180876" s="12" customFormat="1" x14ac:dyDescent="0.25"/>
    <row r="180877" s="12" customFormat="1" x14ac:dyDescent="0.25"/>
    <row r="180878" s="12" customFormat="1" x14ac:dyDescent="0.25"/>
    <row r="180879" s="12" customFormat="1" x14ac:dyDescent="0.25"/>
    <row r="180880" s="12" customFormat="1" x14ac:dyDescent="0.25"/>
    <row r="180881" s="12" customFormat="1" x14ac:dyDescent="0.25"/>
    <row r="180882" s="12" customFormat="1" x14ac:dyDescent="0.25"/>
    <row r="180883" s="12" customFormat="1" x14ac:dyDescent="0.25"/>
    <row r="180884" s="12" customFormat="1" x14ac:dyDescent="0.25"/>
    <row r="180885" s="12" customFormat="1" x14ac:dyDescent="0.25"/>
    <row r="180886" s="12" customFormat="1" x14ac:dyDescent="0.25"/>
    <row r="180887" s="12" customFormat="1" x14ac:dyDescent="0.25"/>
    <row r="180888" s="12" customFormat="1" x14ac:dyDescent="0.25"/>
    <row r="180889" s="12" customFormat="1" x14ac:dyDescent="0.25"/>
    <row r="180890" s="12" customFormat="1" x14ac:dyDescent="0.25"/>
    <row r="180891" s="12" customFormat="1" x14ac:dyDescent="0.25"/>
    <row r="180892" s="12" customFormat="1" x14ac:dyDescent="0.25"/>
    <row r="180893" s="12" customFormat="1" x14ac:dyDescent="0.25"/>
    <row r="180894" s="12" customFormat="1" x14ac:dyDescent="0.25"/>
    <row r="180895" s="12" customFormat="1" x14ac:dyDescent="0.25"/>
    <row r="180896" s="12" customFormat="1" x14ac:dyDescent="0.25"/>
    <row r="180897" s="12" customFormat="1" x14ac:dyDescent="0.25"/>
    <row r="180898" s="12" customFormat="1" x14ac:dyDescent="0.25"/>
    <row r="180899" s="12" customFormat="1" x14ac:dyDescent="0.25"/>
    <row r="180900" s="12" customFormat="1" x14ac:dyDescent="0.25"/>
    <row r="180901" s="12" customFormat="1" x14ac:dyDescent="0.25"/>
    <row r="180902" s="12" customFormat="1" x14ac:dyDescent="0.25"/>
    <row r="180903" s="12" customFormat="1" x14ac:dyDescent="0.25"/>
    <row r="180904" s="12" customFormat="1" x14ac:dyDescent="0.25"/>
    <row r="180905" s="12" customFormat="1" x14ac:dyDescent="0.25"/>
    <row r="180906" s="12" customFormat="1" x14ac:dyDescent="0.25"/>
    <row r="180907" s="12" customFormat="1" x14ac:dyDescent="0.25"/>
    <row r="180908" s="12" customFormat="1" x14ac:dyDescent="0.25"/>
    <row r="180909" s="12" customFormat="1" x14ac:dyDescent="0.25"/>
    <row r="180910" s="12" customFormat="1" x14ac:dyDescent="0.25"/>
    <row r="180911" s="12" customFormat="1" x14ac:dyDescent="0.25"/>
    <row r="180912" s="12" customFormat="1" x14ac:dyDescent="0.25"/>
    <row r="180913" s="12" customFormat="1" x14ac:dyDescent="0.25"/>
    <row r="180914" s="12" customFormat="1" x14ac:dyDescent="0.25"/>
    <row r="180915" s="12" customFormat="1" x14ac:dyDescent="0.25"/>
    <row r="180916" s="12" customFormat="1" x14ac:dyDescent="0.25"/>
    <row r="180917" s="12" customFormat="1" x14ac:dyDescent="0.25"/>
    <row r="180918" s="12" customFormat="1" x14ac:dyDescent="0.25"/>
    <row r="180919" s="12" customFormat="1" x14ac:dyDescent="0.25"/>
    <row r="180920" s="12" customFormat="1" x14ac:dyDescent="0.25"/>
    <row r="180921" s="12" customFormat="1" x14ac:dyDescent="0.25"/>
    <row r="180922" s="12" customFormat="1" x14ac:dyDescent="0.25"/>
    <row r="180923" s="12" customFormat="1" x14ac:dyDescent="0.25"/>
    <row r="180924" s="12" customFormat="1" x14ac:dyDescent="0.25"/>
    <row r="180925" s="12" customFormat="1" x14ac:dyDescent="0.25"/>
    <row r="180926" s="12" customFormat="1" x14ac:dyDescent="0.25"/>
    <row r="180927" s="12" customFormat="1" x14ac:dyDescent="0.25"/>
    <row r="180928" s="12" customFormat="1" x14ac:dyDescent="0.25"/>
    <row r="180929" s="12" customFormat="1" x14ac:dyDescent="0.25"/>
    <row r="180930" s="12" customFormat="1" x14ac:dyDescent="0.25"/>
    <row r="180931" s="12" customFormat="1" x14ac:dyDescent="0.25"/>
    <row r="180932" s="12" customFormat="1" x14ac:dyDescent="0.25"/>
    <row r="180933" s="12" customFormat="1" x14ac:dyDescent="0.25"/>
    <row r="180934" s="12" customFormat="1" x14ac:dyDescent="0.25"/>
    <row r="180935" s="12" customFormat="1" x14ac:dyDescent="0.25"/>
    <row r="180936" s="12" customFormat="1" x14ac:dyDescent="0.25"/>
    <row r="180937" s="12" customFormat="1" x14ac:dyDescent="0.25"/>
    <row r="180938" s="12" customFormat="1" x14ac:dyDescent="0.25"/>
    <row r="180939" s="12" customFormat="1" x14ac:dyDescent="0.25"/>
    <row r="180940" s="12" customFormat="1" x14ac:dyDescent="0.25"/>
    <row r="180941" s="12" customFormat="1" x14ac:dyDescent="0.25"/>
    <row r="180942" s="12" customFormat="1" x14ac:dyDescent="0.25"/>
    <row r="180943" s="12" customFormat="1" x14ac:dyDescent="0.25"/>
    <row r="180944" s="12" customFormat="1" x14ac:dyDescent="0.25"/>
    <row r="180945" s="12" customFormat="1" x14ac:dyDescent="0.25"/>
    <row r="180946" s="12" customFormat="1" x14ac:dyDescent="0.25"/>
    <row r="180947" s="12" customFormat="1" x14ac:dyDescent="0.25"/>
    <row r="180948" s="12" customFormat="1" x14ac:dyDescent="0.25"/>
    <row r="180949" s="12" customFormat="1" x14ac:dyDescent="0.25"/>
    <row r="180950" s="12" customFormat="1" x14ac:dyDescent="0.25"/>
    <row r="180951" s="12" customFormat="1" x14ac:dyDescent="0.25"/>
    <row r="180952" s="12" customFormat="1" x14ac:dyDescent="0.25"/>
    <row r="180953" s="12" customFormat="1" x14ac:dyDescent="0.25"/>
    <row r="180954" s="12" customFormat="1" x14ac:dyDescent="0.25"/>
    <row r="180955" s="12" customFormat="1" x14ac:dyDescent="0.25"/>
    <row r="180956" s="12" customFormat="1" x14ac:dyDescent="0.25"/>
    <row r="180957" s="12" customFormat="1" x14ac:dyDescent="0.25"/>
    <row r="180958" s="12" customFormat="1" x14ac:dyDescent="0.25"/>
    <row r="180959" s="12" customFormat="1" x14ac:dyDescent="0.25"/>
    <row r="180960" s="12" customFormat="1" x14ac:dyDescent="0.25"/>
    <row r="180961" s="12" customFormat="1" x14ac:dyDescent="0.25"/>
    <row r="180962" s="12" customFormat="1" x14ac:dyDescent="0.25"/>
    <row r="180963" s="12" customFormat="1" x14ac:dyDescent="0.25"/>
    <row r="180964" s="12" customFormat="1" x14ac:dyDescent="0.25"/>
    <row r="180965" s="12" customFormat="1" x14ac:dyDescent="0.25"/>
    <row r="180966" s="12" customFormat="1" x14ac:dyDescent="0.25"/>
    <row r="180967" s="12" customFormat="1" x14ac:dyDescent="0.25"/>
    <row r="180968" s="12" customFormat="1" x14ac:dyDescent="0.25"/>
    <row r="180969" s="12" customFormat="1" x14ac:dyDescent="0.25"/>
    <row r="180970" s="12" customFormat="1" x14ac:dyDescent="0.25"/>
    <row r="180971" s="12" customFormat="1" x14ac:dyDescent="0.25"/>
    <row r="180972" s="12" customFormat="1" x14ac:dyDescent="0.25"/>
    <row r="180973" s="12" customFormat="1" x14ac:dyDescent="0.25"/>
    <row r="180974" s="12" customFormat="1" x14ac:dyDescent="0.25"/>
    <row r="180975" s="12" customFormat="1" x14ac:dyDescent="0.25"/>
    <row r="180976" s="12" customFormat="1" x14ac:dyDescent="0.25"/>
    <row r="180977" s="12" customFormat="1" x14ac:dyDescent="0.25"/>
    <row r="180978" s="12" customFormat="1" x14ac:dyDescent="0.25"/>
    <row r="180979" s="12" customFormat="1" x14ac:dyDescent="0.25"/>
    <row r="180980" s="12" customFormat="1" x14ac:dyDescent="0.25"/>
    <row r="180981" s="12" customFormat="1" x14ac:dyDescent="0.25"/>
    <row r="180982" s="12" customFormat="1" x14ac:dyDescent="0.25"/>
    <row r="180983" s="12" customFormat="1" x14ac:dyDescent="0.25"/>
    <row r="180984" s="12" customFormat="1" x14ac:dyDescent="0.25"/>
    <row r="180985" s="12" customFormat="1" x14ac:dyDescent="0.25"/>
    <row r="180986" s="12" customFormat="1" x14ac:dyDescent="0.25"/>
    <row r="180987" s="12" customFormat="1" x14ac:dyDescent="0.25"/>
    <row r="180988" s="12" customFormat="1" x14ac:dyDescent="0.25"/>
    <row r="180989" s="12" customFormat="1" x14ac:dyDescent="0.25"/>
    <row r="180990" s="12" customFormat="1" x14ac:dyDescent="0.25"/>
    <row r="180991" s="12" customFormat="1" x14ac:dyDescent="0.25"/>
    <row r="180992" s="12" customFormat="1" x14ac:dyDescent="0.25"/>
    <row r="180993" s="12" customFormat="1" x14ac:dyDescent="0.25"/>
    <row r="180994" s="12" customFormat="1" x14ac:dyDescent="0.25"/>
    <row r="180995" s="12" customFormat="1" x14ac:dyDescent="0.25"/>
    <row r="180996" s="12" customFormat="1" x14ac:dyDescent="0.25"/>
    <row r="180997" s="12" customFormat="1" x14ac:dyDescent="0.25"/>
    <row r="180998" s="12" customFormat="1" x14ac:dyDescent="0.25"/>
    <row r="180999" s="12" customFormat="1" x14ac:dyDescent="0.25"/>
    <row r="181000" s="12" customFormat="1" x14ac:dyDescent="0.25"/>
    <row r="181001" s="12" customFormat="1" x14ac:dyDescent="0.25"/>
    <row r="181002" s="12" customFormat="1" x14ac:dyDescent="0.25"/>
    <row r="181003" s="12" customFormat="1" x14ac:dyDescent="0.25"/>
    <row r="181004" s="12" customFormat="1" x14ac:dyDescent="0.25"/>
    <row r="181005" s="12" customFormat="1" x14ac:dyDescent="0.25"/>
    <row r="181006" s="12" customFormat="1" x14ac:dyDescent="0.25"/>
    <row r="181007" s="12" customFormat="1" x14ac:dyDescent="0.25"/>
    <row r="181008" s="12" customFormat="1" x14ac:dyDescent="0.25"/>
    <row r="181009" s="12" customFormat="1" x14ac:dyDescent="0.25"/>
    <row r="181010" s="12" customFormat="1" x14ac:dyDescent="0.25"/>
    <row r="181011" s="12" customFormat="1" x14ac:dyDescent="0.25"/>
    <row r="181012" s="12" customFormat="1" x14ac:dyDescent="0.25"/>
    <row r="181013" s="12" customFormat="1" x14ac:dyDescent="0.25"/>
    <row r="181014" s="12" customFormat="1" x14ac:dyDescent="0.25"/>
    <row r="181015" s="12" customFormat="1" x14ac:dyDescent="0.25"/>
    <row r="181016" s="12" customFormat="1" x14ac:dyDescent="0.25"/>
    <row r="181017" s="12" customFormat="1" x14ac:dyDescent="0.25"/>
    <row r="181018" s="12" customFormat="1" x14ac:dyDescent="0.25"/>
    <row r="181019" s="12" customFormat="1" x14ac:dyDescent="0.25"/>
    <row r="181020" s="12" customFormat="1" x14ac:dyDescent="0.25"/>
    <row r="181021" s="12" customFormat="1" x14ac:dyDescent="0.25"/>
    <row r="181022" s="12" customFormat="1" x14ac:dyDescent="0.25"/>
    <row r="181023" s="12" customFormat="1" x14ac:dyDescent="0.25"/>
    <row r="181024" s="12" customFormat="1" x14ac:dyDescent="0.25"/>
    <row r="181025" s="12" customFormat="1" x14ac:dyDescent="0.25"/>
    <row r="181026" s="12" customFormat="1" x14ac:dyDescent="0.25"/>
    <row r="181027" s="12" customFormat="1" x14ac:dyDescent="0.25"/>
    <row r="181028" s="12" customFormat="1" x14ac:dyDescent="0.25"/>
    <row r="181029" s="12" customFormat="1" x14ac:dyDescent="0.25"/>
    <row r="181030" s="12" customFormat="1" x14ac:dyDescent="0.25"/>
    <row r="181031" s="12" customFormat="1" x14ac:dyDescent="0.25"/>
    <row r="181032" s="12" customFormat="1" x14ac:dyDescent="0.25"/>
    <row r="181033" s="12" customFormat="1" x14ac:dyDescent="0.25"/>
    <row r="181034" s="12" customFormat="1" x14ac:dyDescent="0.25"/>
    <row r="181035" s="12" customFormat="1" x14ac:dyDescent="0.25"/>
    <row r="181036" s="12" customFormat="1" x14ac:dyDescent="0.25"/>
    <row r="181037" s="12" customFormat="1" x14ac:dyDescent="0.25"/>
    <row r="181038" s="12" customFormat="1" x14ac:dyDescent="0.25"/>
    <row r="181039" s="12" customFormat="1" x14ac:dyDescent="0.25"/>
    <row r="181040" s="12" customFormat="1" x14ac:dyDescent="0.25"/>
    <row r="181041" s="12" customFormat="1" x14ac:dyDescent="0.25"/>
    <row r="181042" s="12" customFormat="1" x14ac:dyDescent="0.25"/>
    <row r="181043" s="12" customFormat="1" x14ac:dyDescent="0.25"/>
    <row r="181044" s="12" customFormat="1" x14ac:dyDescent="0.25"/>
    <row r="181045" s="12" customFormat="1" x14ac:dyDescent="0.25"/>
    <row r="181046" s="12" customFormat="1" x14ac:dyDescent="0.25"/>
    <row r="181047" s="12" customFormat="1" x14ac:dyDescent="0.25"/>
    <row r="181048" s="12" customFormat="1" x14ac:dyDescent="0.25"/>
    <row r="181049" s="12" customFormat="1" x14ac:dyDescent="0.25"/>
    <row r="181050" s="12" customFormat="1" x14ac:dyDescent="0.25"/>
    <row r="181051" s="12" customFormat="1" x14ac:dyDescent="0.25"/>
    <row r="181052" s="12" customFormat="1" x14ac:dyDescent="0.25"/>
    <row r="181053" s="12" customFormat="1" x14ac:dyDescent="0.25"/>
    <row r="181054" s="12" customFormat="1" x14ac:dyDescent="0.25"/>
    <row r="181055" s="12" customFormat="1" x14ac:dyDescent="0.25"/>
    <row r="181056" s="12" customFormat="1" x14ac:dyDescent="0.25"/>
    <row r="181057" s="12" customFormat="1" x14ac:dyDescent="0.25"/>
    <row r="181058" s="12" customFormat="1" x14ac:dyDescent="0.25"/>
    <row r="181059" s="12" customFormat="1" x14ac:dyDescent="0.25"/>
    <row r="181060" s="12" customFormat="1" x14ac:dyDescent="0.25"/>
    <row r="181061" s="12" customFormat="1" x14ac:dyDescent="0.25"/>
    <row r="181062" s="12" customFormat="1" x14ac:dyDescent="0.25"/>
    <row r="181063" s="12" customFormat="1" x14ac:dyDescent="0.25"/>
    <row r="181064" s="12" customFormat="1" x14ac:dyDescent="0.25"/>
    <row r="181065" s="12" customFormat="1" x14ac:dyDescent="0.25"/>
    <row r="181066" s="12" customFormat="1" x14ac:dyDescent="0.25"/>
    <row r="181067" s="12" customFormat="1" x14ac:dyDescent="0.25"/>
    <row r="181068" s="12" customFormat="1" x14ac:dyDescent="0.25"/>
    <row r="181069" s="12" customFormat="1" x14ac:dyDescent="0.25"/>
    <row r="181070" s="12" customFormat="1" x14ac:dyDescent="0.25"/>
    <row r="181071" s="12" customFormat="1" x14ac:dyDescent="0.25"/>
    <row r="181072" s="12" customFormat="1" x14ac:dyDescent="0.25"/>
    <row r="181073" s="12" customFormat="1" x14ac:dyDescent="0.25"/>
    <row r="181074" s="12" customFormat="1" x14ac:dyDescent="0.25"/>
    <row r="181075" s="12" customFormat="1" x14ac:dyDescent="0.25"/>
    <row r="181076" s="12" customFormat="1" x14ac:dyDescent="0.25"/>
    <row r="181077" s="12" customFormat="1" x14ac:dyDescent="0.25"/>
    <row r="181078" s="12" customFormat="1" x14ac:dyDescent="0.25"/>
    <row r="181079" s="12" customFormat="1" x14ac:dyDescent="0.25"/>
    <row r="181080" s="12" customFormat="1" x14ac:dyDescent="0.25"/>
    <row r="181081" s="12" customFormat="1" x14ac:dyDescent="0.25"/>
    <row r="181082" s="12" customFormat="1" x14ac:dyDescent="0.25"/>
    <row r="181083" s="12" customFormat="1" x14ac:dyDescent="0.25"/>
    <row r="181084" s="12" customFormat="1" x14ac:dyDescent="0.25"/>
    <row r="181085" s="12" customFormat="1" x14ac:dyDescent="0.25"/>
    <row r="181086" s="12" customFormat="1" x14ac:dyDescent="0.25"/>
    <row r="181087" s="12" customFormat="1" x14ac:dyDescent="0.25"/>
    <row r="181088" s="12" customFormat="1" x14ac:dyDescent="0.25"/>
    <row r="181089" s="12" customFormat="1" x14ac:dyDescent="0.25"/>
    <row r="181090" s="12" customFormat="1" x14ac:dyDescent="0.25"/>
    <row r="181091" s="12" customFormat="1" x14ac:dyDescent="0.25"/>
    <row r="181092" s="12" customFormat="1" x14ac:dyDescent="0.25"/>
    <row r="181093" s="12" customFormat="1" x14ac:dyDescent="0.25"/>
    <row r="181094" s="12" customFormat="1" x14ac:dyDescent="0.25"/>
    <row r="181095" s="12" customFormat="1" x14ac:dyDescent="0.25"/>
    <row r="181096" s="12" customFormat="1" x14ac:dyDescent="0.25"/>
    <row r="181097" s="12" customFormat="1" x14ac:dyDescent="0.25"/>
    <row r="181098" s="12" customFormat="1" x14ac:dyDescent="0.25"/>
    <row r="181099" s="12" customFormat="1" x14ac:dyDescent="0.25"/>
    <row r="181100" s="12" customFormat="1" x14ac:dyDescent="0.25"/>
    <row r="181101" s="12" customFormat="1" x14ac:dyDescent="0.25"/>
    <row r="181102" s="12" customFormat="1" x14ac:dyDescent="0.25"/>
    <row r="181103" s="12" customFormat="1" x14ac:dyDescent="0.25"/>
    <row r="181104" s="12" customFormat="1" x14ac:dyDescent="0.25"/>
    <row r="181105" s="12" customFormat="1" x14ac:dyDescent="0.25"/>
    <row r="181106" s="12" customFormat="1" x14ac:dyDescent="0.25"/>
    <row r="181107" s="12" customFormat="1" x14ac:dyDescent="0.25"/>
    <row r="181108" s="12" customFormat="1" x14ac:dyDescent="0.25"/>
    <row r="181109" s="12" customFormat="1" x14ac:dyDescent="0.25"/>
    <row r="181110" s="12" customFormat="1" x14ac:dyDescent="0.25"/>
    <row r="181111" s="12" customFormat="1" x14ac:dyDescent="0.25"/>
    <row r="181112" s="12" customFormat="1" x14ac:dyDescent="0.25"/>
    <row r="181113" s="12" customFormat="1" x14ac:dyDescent="0.25"/>
    <row r="181114" s="12" customFormat="1" x14ac:dyDescent="0.25"/>
    <row r="181115" s="12" customFormat="1" x14ac:dyDescent="0.25"/>
    <row r="181116" s="12" customFormat="1" x14ac:dyDescent="0.25"/>
    <row r="181117" s="12" customFormat="1" x14ac:dyDescent="0.25"/>
    <row r="181118" s="12" customFormat="1" x14ac:dyDescent="0.25"/>
    <row r="181119" s="12" customFormat="1" x14ac:dyDescent="0.25"/>
    <row r="181120" s="12" customFormat="1" x14ac:dyDescent="0.25"/>
    <row r="181121" s="12" customFormat="1" x14ac:dyDescent="0.25"/>
    <row r="181122" s="12" customFormat="1" x14ac:dyDescent="0.25"/>
    <row r="181123" s="12" customFormat="1" x14ac:dyDescent="0.25"/>
    <row r="181124" s="12" customFormat="1" x14ac:dyDescent="0.25"/>
    <row r="181125" s="12" customFormat="1" x14ac:dyDescent="0.25"/>
    <row r="181126" s="12" customFormat="1" x14ac:dyDescent="0.25"/>
    <row r="181127" s="12" customFormat="1" x14ac:dyDescent="0.25"/>
    <row r="181128" s="12" customFormat="1" x14ac:dyDescent="0.25"/>
    <row r="181129" s="12" customFormat="1" x14ac:dyDescent="0.25"/>
    <row r="181130" s="12" customFormat="1" x14ac:dyDescent="0.25"/>
    <row r="181131" s="12" customFormat="1" x14ac:dyDescent="0.25"/>
    <row r="181132" s="12" customFormat="1" x14ac:dyDescent="0.25"/>
    <row r="181133" s="12" customFormat="1" x14ac:dyDescent="0.25"/>
    <row r="181134" s="12" customFormat="1" x14ac:dyDescent="0.25"/>
    <row r="181135" s="12" customFormat="1" x14ac:dyDescent="0.25"/>
    <row r="181136" s="12" customFormat="1" x14ac:dyDescent="0.25"/>
    <row r="181137" s="12" customFormat="1" x14ac:dyDescent="0.25"/>
    <row r="181138" s="12" customFormat="1" x14ac:dyDescent="0.25"/>
    <row r="181139" s="12" customFormat="1" x14ac:dyDescent="0.25"/>
    <row r="181140" s="12" customFormat="1" x14ac:dyDescent="0.25"/>
    <row r="181141" s="12" customFormat="1" x14ac:dyDescent="0.25"/>
    <row r="181142" s="12" customFormat="1" x14ac:dyDescent="0.25"/>
    <row r="181143" s="12" customFormat="1" x14ac:dyDescent="0.25"/>
    <row r="181144" s="12" customFormat="1" x14ac:dyDescent="0.25"/>
    <row r="181145" s="12" customFormat="1" x14ac:dyDescent="0.25"/>
    <row r="181146" s="12" customFormat="1" x14ac:dyDescent="0.25"/>
    <row r="181147" s="12" customFormat="1" x14ac:dyDescent="0.25"/>
    <row r="181148" s="12" customFormat="1" x14ac:dyDescent="0.25"/>
    <row r="181149" s="12" customFormat="1" x14ac:dyDescent="0.25"/>
    <row r="181150" s="12" customFormat="1" x14ac:dyDescent="0.25"/>
    <row r="181151" s="12" customFormat="1" x14ac:dyDescent="0.25"/>
    <row r="181152" s="12" customFormat="1" x14ac:dyDescent="0.25"/>
    <row r="181153" s="12" customFormat="1" x14ac:dyDescent="0.25"/>
    <row r="181154" s="12" customFormat="1" x14ac:dyDescent="0.25"/>
    <row r="181155" s="12" customFormat="1" x14ac:dyDescent="0.25"/>
    <row r="181156" s="12" customFormat="1" x14ac:dyDescent="0.25"/>
    <row r="181157" s="12" customFormat="1" x14ac:dyDescent="0.25"/>
    <row r="181158" s="12" customFormat="1" x14ac:dyDescent="0.25"/>
    <row r="181159" s="12" customFormat="1" x14ac:dyDescent="0.25"/>
    <row r="181160" s="12" customFormat="1" x14ac:dyDescent="0.25"/>
    <row r="181161" s="12" customFormat="1" x14ac:dyDescent="0.25"/>
    <row r="181162" s="12" customFormat="1" x14ac:dyDescent="0.25"/>
    <row r="181163" s="12" customFormat="1" x14ac:dyDescent="0.25"/>
    <row r="181164" s="12" customFormat="1" x14ac:dyDescent="0.25"/>
    <row r="181165" s="12" customFormat="1" x14ac:dyDescent="0.25"/>
    <row r="181166" s="12" customFormat="1" x14ac:dyDescent="0.25"/>
    <row r="181167" s="12" customFormat="1" x14ac:dyDescent="0.25"/>
    <row r="181168" s="12" customFormat="1" x14ac:dyDescent="0.25"/>
    <row r="181169" s="12" customFormat="1" x14ac:dyDescent="0.25"/>
    <row r="181170" s="12" customFormat="1" x14ac:dyDescent="0.25"/>
    <row r="181171" s="12" customFormat="1" x14ac:dyDescent="0.25"/>
    <row r="181172" s="12" customFormat="1" x14ac:dyDescent="0.25"/>
    <row r="181173" s="12" customFormat="1" x14ac:dyDescent="0.25"/>
    <row r="181174" s="12" customFormat="1" x14ac:dyDescent="0.25"/>
    <row r="181175" s="12" customFormat="1" x14ac:dyDescent="0.25"/>
    <row r="181176" s="12" customFormat="1" x14ac:dyDescent="0.25"/>
    <row r="181177" s="12" customFormat="1" x14ac:dyDescent="0.25"/>
    <row r="181178" s="12" customFormat="1" x14ac:dyDescent="0.25"/>
    <row r="181179" s="12" customFormat="1" x14ac:dyDescent="0.25"/>
    <row r="181180" s="12" customFormat="1" x14ac:dyDescent="0.25"/>
    <row r="181181" s="12" customFormat="1" x14ac:dyDescent="0.25"/>
    <row r="181182" s="12" customFormat="1" x14ac:dyDescent="0.25"/>
    <row r="181183" s="12" customFormat="1" x14ac:dyDescent="0.25"/>
    <row r="181184" s="12" customFormat="1" x14ac:dyDescent="0.25"/>
    <row r="181185" s="12" customFormat="1" x14ac:dyDescent="0.25"/>
    <row r="181186" s="12" customFormat="1" x14ac:dyDescent="0.25"/>
    <row r="181187" s="12" customFormat="1" x14ac:dyDescent="0.25"/>
    <row r="181188" s="12" customFormat="1" x14ac:dyDescent="0.25"/>
    <row r="181189" s="12" customFormat="1" x14ac:dyDescent="0.25"/>
    <row r="181190" s="12" customFormat="1" x14ac:dyDescent="0.25"/>
    <row r="181191" s="12" customFormat="1" x14ac:dyDescent="0.25"/>
    <row r="181192" s="12" customFormat="1" x14ac:dyDescent="0.25"/>
    <row r="181193" s="12" customFormat="1" x14ac:dyDescent="0.25"/>
    <row r="181194" s="12" customFormat="1" x14ac:dyDescent="0.25"/>
    <row r="181195" s="12" customFormat="1" x14ac:dyDescent="0.25"/>
    <row r="181196" s="12" customFormat="1" x14ac:dyDescent="0.25"/>
    <row r="181197" s="12" customFormat="1" x14ac:dyDescent="0.25"/>
    <row r="181198" s="12" customFormat="1" x14ac:dyDescent="0.25"/>
    <row r="181199" s="12" customFormat="1" x14ac:dyDescent="0.25"/>
    <row r="181200" s="12" customFormat="1" x14ac:dyDescent="0.25"/>
    <row r="181201" s="12" customFormat="1" x14ac:dyDescent="0.25"/>
    <row r="181202" s="12" customFormat="1" x14ac:dyDescent="0.25"/>
    <row r="181203" s="12" customFormat="1" x14ac:dyDescent="0.25"/>
    <row r="181204" s="12" customFormat="1" x14ac:dyDescent="0.25"/>
    <row r="181205" s="12" customFormat="1" x14ac:dyDescent="0.25"/>
    <row r="181206" s="12" customFormat="1" x14ac:dyDescent="0.25"/>
    <row r="181207" s="12" customFormat="1" x14ac:dyDescent="0.25"/>
    <row r="181208" s="12" customFormat="1" x14ac:dyDescent="0.25"/>
    <row r="181209" s="12" customFormat="1" x14ac:dyDescent="0.25"/>
    <row r="181210" s="12" customFormat="1" x14ac:dyDescent="0.25"/>
    <row r="181211" s="12" customFormat="1" x14ac:dyDescent="0.25"/>
    <row r="181212" s="12" customFormat="1" x14ac:dyDescent="0.25"/>
    <row r="181213" s="12" customFormat="1" x14ac:dyDescent="0.25"/>
    <row r="181214" s="12" customFormat="1" x14ac:dyDescent="0.25"/>
    <row r="181215" s="12" customFormat="1" x14ac:dyDescent="0.25"/>
    <row r="181216" s="12" customFormat="1" x14ac:dyDescent="0.25"/>
    <row r="181217" s="12" customFormat="1" x14ac:dyDescent="0.25"/>
    <row r="181218" s="12" customFormat="1" x14ac:dyDescent="0.25"/>
    <row r="181219" s="12" customFormat="1" x14ac:dyDescent="0.25"/>
    <row r="181220" s="12" customFormat="1" x14ac:dyDescent="0.25"/>
    <row r="181221" s="12" customFormat="1" x14ac:dyDescent="0.25"/>
    <row r="181222" s="12" customFormat="1" x14ac:dyDescent="0.25"/>
    <row r="181223" s="12" customFormat="1" x14ac:dyDescent="0.25"/>
    <row r="181224" s="12" customFormat="1" x14ac:dyDescent="0.25"/>
    <row r="181225" s="12" customFormat="1" x14ac:dyDescent="0.25"/>
    <row r="181226" s="12" customFormat="1" x14ac:dyDescent="0.25"/>
    <row r="181227" s="12" customFormat="1" x14ac:dyDescent="0.25"/>
    <row r="181228" s="12" customFormat="1" x14ac:dyDescent="0.25"/>
    <row r="181229" s="12" customFormat="1" x14ac:dyDescent="0.25"/>
    <row r="181230" s="12" customFormat="1" x14ac:dyDescent="0.25"/>
    <row r="181231" s="12" customFormat="1" x14ac:dyDescent="0.25"/>
    <row r="181232" s="12" customFormat="1" x14ac:dyDescent="0.25"/>
    <row r="181233" s="12" customFormat="1" x14ac:dyDescent="0.25"/>
    <row r="181234" s="12" customFormat="1" x14ac:dyDescent="0.25"/>
    <row r="181235" s="12" customFormat="1" x14ac:dyDescent="0.25"/>
    <row r="181236" s="12" customFormat="1" x14ac:dyDescent="0.25"/>
    <row r="181237" s="12" customFormat="1" x14ac:dyDescent="0.25"/>
    <row r="181238" s="12" customFormat="1" x14ac:dyDescent="0.25"/>
    <row r="181239" s="12" customFormat="1" x14ac:dyDescent="0.25"/>
    <row r="181240" s="12" customFormat="1" x14ac:dyDescent="0.25"/>
    <row r="181241" s="12" customFormat="1" x14ac:dyDescent="0.25"/>
    <row r="181242" s="12" customFormat="1" x14ac:dyDescent="0.25"/>
    <row r="181243" s="12" customFormat="1" x14ac:dyDescent="0.25"/>
    <row r="181244" s="12" customFormat="1" x14ac:dyDescent="0.25"/>
    <row r="181245" s="12" customFormat="1" x14ac:dyDescent="0.25"/>
    <row r="181246" s="12" customFormat="1" x14ac:dyDescent="0.25"/>
    <row r="181247" s="12" customFormat="1" x14ac:dyDescent="0.25"/>
    <row r="181248" s="12" customFormat="1" x14ac:dyDescent="0.25"/>
    <row r="181249" s="12" customFormat="1" x14ac:dyDescent="0.25"/>
    <row r="181250" s="12" customFormat="1" x14ac:dyDescent="0.25"/>
    <row r="181251" s="12" customFormat="1" x14ac:dyDescent="0.25"/>
    <row r="181252" s="12" customFormat="1" x14ac:dyDescent="0.25"/>
    <row r="181253" s="12" customFormat="1" x14ac:dyDescent="0.25"/>
    <row r="181254" s="12" customFormat="1" x14ac:dyDescent="0.25"/>
    <row r="181255" s="12" customFormat="1" x14ac:dyDescent="0.25"/>
    <row r="181256" s="12" customFormat="1" x14ac:dyDescent="0.25"/>
    <row r="181257" s="12" customFormat="1" x14ac:dyDescent="0.25"/>
    <row r="181258" s="12" customFormat="1" x14ac:dyDescent="0.25"/>
    <row r="181259" s="12" customFormat="1" x14ac:dyDescent="0.25"/>
    <row r="181260" s="12" customFormat="1" x14ac:dyDescent="0.25"/>
    <row r="181261" s="12" customFormat="1" x14ac:dyDescent="0.25"/>
    <row r="181262" s="12" customFormat="1" x14ac:dyDescent="0.25"/>
    <row r="181263" s="12" customFormat="1" x14ac:dyDescent="0.25"/>
    <row r="181264" s="12" customFormat="1" x14ac:dyDescent="0.25"/>
    <row r="181265" s="12" customFormat="1" x14ac:dyDescent="0.25"/>
    <row r="181266" s="12" customFormat="1" x14ac:dyDescent="0.25"/>
    <row r="181267" s="12" customFormat="1" x14ac:dyDescent="0.25"/>
    <row r="181268" s="12" customFormat="1" x14ac:dyDescent="0.25"/>
    <row r="181269" s="12" customFormat="1" x14ac:dyDescent="0.25"/>
    <row r="181270" s="12" customFormat="1" x14ac:dyDescent="0.25"/>
    <row r="181271" s="12" customFormat="1" x14ac:dyDescent="0.25"/>
    <row r="181272" s="12" customFormat="1" x14ac:dyDescent="0.25"/>
    <row r="181273" s="12" customFormat="1" x14ac:dyDescent="0.25"/>
    <row r="181274" s="12" customFormat="1" x14ac:dyDescent="0.25"/>
    <row r="181275" s="12" customFormat="1" x14ac:dyDescent="0.25"/>
    <row r="181276" s="12" customFormat="1" x14ac:dyDescent="0.25"/>
    <row r="181277" s="12" customFormat="1" x14ac:dyDescent="0.25"/>
    <row r="181278" s="12" customFormat="1" x14ac:dyDescent="0.25"/>
    <row r="181279" s="12" customFormat="1" x14ac:dyDescent="0.25"/>
    <row r="181280" s="12" customFormat="1" x14ac:dyDescent="0.25"/>
    <row r="181281" s="12" customFormat="1" x14ac:dyDescent="0.25"/>
    <row r="181282" s="12" customFormat="1" x14ac:dyDescent="0.25"/>
    <row r="181283" s="12" customFormat="1" x14ac:dyDescent="0.25"/>
    <row r="181284" s="12" customFormat="1" x14ac:dyDescent="0.25"/>
    <row r="181285" s="12" customFormat="1" x14ac:dyDescent="0.25"/>
    <row r="181286" s="12" customFormat="1" x14ac:dyDescent="0.25"/>
    <row r="181287" s="12" customFormat="1" x14ac:dyDescent="0.25"/>
    <row r="181288" s="12" customFormat="1" x14ac:dyDescent="0.25"/>
    <row r="181289" s="12" customFormat="1" x14ac:dyDescent="0.25"/>
    <row r="181290" s="12" customFormat="1" x14ac:dyDescent="0.25"/>
    <row r="181291" s="12" customFormat="1" x14ac:dyDescent="0.25"/>
    <row r="181292" s="12" customFormat="1" x14ac:dyDescent="0.25"/>
    <row r="181293" s="12" customFormat="1" x14ac:dyDescent="0.25"/>
    <row r="181294" s="12" customFormat="1" x14ac:dyDescent="0.25"/>
    <row r="181295" s="12" customFormat="1" x14ac:dyDescent="0.25"/>
    <row r="181296" s="12" customFormat="1" x14ac:dyDescent="0.25"/>
    <row r="181297" s="12" customFormat="1" x14ac:dyDescent="0.25"/>
    <row r="181298" s="12" customFormat="1" x14ac:dyDescent="0.25"/>
    <row r="181299" s="12" customFormat="1" x14ac:dyDescent="0.25"/>
    <row r="181300" s="12" customFormat="1" x14ac:dyDescent="0.25"/>
    <row r="181301" s="12" customFormat="1" x14ac:dyDescent="0.25"/>
    <row r="181302" s="12" customFormat="1" x14ac:dyDescent="0.25"/>
    <row r="181303" s="12" customFormat="1" x14ac:dyDescent="0.25"/>
    <row r="181304" s="12" customFormat="1" x14ac:dyDescent="0.25"/>
    <row r="181305" s="12" customFormat="1" x14ac:dyDescent="0.25"/>
    <row r="181306" s="12" customFormat="1" x14ac:dyDescent="0.25"/>
    <row r="181307" s="12" customFormat="1" x14ac:dyDescent="0.25"/>
    <row r="181308" s="12" customFormat="1" x14ac:dyDescent="0.25"/>
    <row r="181309" s="12" customFormat="1" x14ac:dyDescent="0.25"/>
    <row r="181310" s="12" customFormat="1" x14ac:dyDescent="0.25"/>
    <row r="181311" s="12" customFormat="1" x14ac:dyDescent="0.25"/>
    <row r="181312" s="12" customFormat="1" x14ac:dyDescent="0.25"/>
    <row r="181313" s="12" customFormat="1" x14ac:dyDescent="0.25"/>
    <row r="181314" s="12" customFormat="1" x14ac:dyDescent="0.25"/>
    <row r="181315" s="12" customFormat="1" x14ac:dyDescent="0.25"/>
    <row r="181316" s="12" customFormat="1" x14ac:dyDescent="0.25"/>
    <row r="181317" s="12" customFormat="1" x14ac:dyDescent="0.25"/>
    <row r="181318" s="12" customFormat="1" x14ac:dyDescent="0.25"/>
    <row r="181319" s="12" customFormat="1" x14ac:dyDescent="0.25"/>
    <row r="181320" s="12" customFormat="1" x14ac:dyDescent="0.25"/>
    <row r="181321" s="12" customFormat="1" x14ac:dyDescent="0.25"/>
    <row r="181322" s="12" customFormat="1" x14ac:dyDescent="0.25"/>
    <row r="181323" s="12" customFormat="1" x14ac:dyDescent="0.25"/>
    <row r="181324" s="12" customFormat="1" x14ac:dyDescent="0.25"/>
    <row r="181325" s="12" customFormat="1" x14ac:dyDescent="0.25"/>
    <row r="181326" s="12" customFormat="1" x14ac:dyDescent="0.25"/>
    <row r="181327" s="12" customFormat="1" x14ac:dyDescent="0.25"/>
    <row r="181328" s="12" customFormat="1" x14ac:dyDescent="0.25"/>
    <row r="181329" s="12" customFormat="1" x14ac:dyDescent="0.25"/>
    <row r="181330" s="12" customFormat="1" x14ac:dyDescent="0.25"/>
    <row r="181331" s="12" customFormat="1" x14ac:dyDescent="0.25"/>
    <row r="181332" s="12" customFormat="1" x14ac:dyDescent="0.25"/>
    <row r="181333" s="12" customFormat="1" x14ac:dyDescent="0.25"/>
    <row r="181334" s="12" customFormat="1" x14ac:dyDescent="0.25"/>
    <row r="181335" s="12" customFormat="1" x14ac:dyDescent="0.25"/>
    <row r="181336" s="12" customFormat="1" x14ac:dyDescent="0.25"/>
    <row r="181337" s="12" customFormat="1" x14ac:dyDescent="0.25"/>
    <row r="181338" s="12" customFormat="1" x14ac:dyDescent="0.25"/>
    <row r="181339" s="12" customFormat="1" x14ac:dyDescent="0.25"/>
    <row r="181340" s="12" customFormat="1" x14ac:dyDescent="0.25"/>
    <row r="181341" s="12" customFormat="1" x14ac:dyDescent="0.25"/>
    <row r="181342" s="12" customFormat="1" x14ac:dyDescent="0.25"/>
    <row r="181343" s="12" customFormat="1" x14ac:dyDescent="0.25"/>
    <row r="181344" s="12" customFormat="1" x14ac:dyDescent="0.25"/>
    <row r="181345" s="12" customFormat="1" x14ac:dyDescent="0.25"/>
    <row r="181346" s="12" customFormat="1" x14ac:dyDescent="0.25"/>
    <row r="181347" s="12" customFormat="1" x14ac:dyDescent="0.25"/>
    <row r="181348" s="12" customFormat="1" x14ac:dyDescent="0.25"/>
    <row r="181349" s="12" customFormat="1" x14ac:dyDescent="0.25"/>
    <row r="181350" s="12" customFormat="1" x14ac:dyDescent="0.25"/>
    <row r="181351" s="12" customFormat="1" x14ac:dyDescent="0.25"/>
    <row r="181352" s="12" customFormat="1" x14ac:dyDescent="0.25"/>
    <row r="181353" s="12" customFormat="1" x14ac:dyDescent="0.25"/>
    <row r="181354" s="12" customFormat="1" x14ac:dyDescent="0.25"/>
    <row r="181355" s="12" customFormat="1" x14ac:dyDescent="0.25"/>
    <row r="181356" s="12" customFormat="1" x14ac:dyDescent="0.25"/>
    <row r="181357" s="12" customFormat="1" x14ac:dyDescent="0.25"/>
    <row r="181358" s="12" customFormat="1" x14ac:dyDescent="0.25"/>
    <row r="181359" s="12" customFormat="1" x14ac:dyDescent="0.25"/>
    <row r="181360" s="12" customFormat="1" x14ac:dyDescent="0.25"/>
    <row r="181361" s="12" customFormat="1" x14ac:dyDescent="0.25"/>
    <row r="181362" s="12" customFormat="1" x14ac:dyDescent="0.25"/>
    <row r="181363" s="12" customFormat="1" x14ac:dyDescent="0.25"/>
    <row r="181364" s="12" customFormat="1" x14ac:dyDescent="0.25"/>
    <row r="181365" s="12" customFormat="1" x14ac:dyDescent="0.25"/>
    <row r="181366" s="12" customFormat="1" x14ac:dyDescent="0.25"/>
    <row r="181367" s="12" customFormat="1" x14ac:dyDescent="0.25"/>
    <row r="181368" s="12" customFormat="1" x14ac:dyDescent="0.25"/>
    <row r="181369" s="12" customFormat="1" x14ac:dyDescent="0.25"/>
    <row r="181370" s="12" customFormat="1" x14ac:dyDescent="0.25"/>
    <row r="181371" s="12" customFormat="1" x14ac:dyDescent="0.25"/>
    <row r="181372" s="12" customFormat="1" x14ac:dyDescent="0.25"/>
    <row r="181373" s="12" customFormat="1" x14ac:dyDescent="0.25"/>
    <row r="181374" s="12" customFormat="1" x14ac:dyDescent="0.25"/>
    <row r="181375" s="12" customFormat="1" x14ac:dyDescent="0.25"/>
    <row r="181376" s="12" customFormat="1" x14ac:dyDescent="0.25"/>
    <row r="181377" s="12" customFormat="1" x14ac:dyDescent="0.25"/>
    <row r="181378" s="12" customFormat="1" x14ac:dyDescent="0.25"/>
    <row r="181379" s="12" customFormat="1" x14ac:dyDescent="0.25"/>
    <row r="181380" s="12" customFormat="1" x14ac:dyDescent="0.25"/>
    <row r="181381" s="12" customFormat="1" x14ac:dyDescent="0.25"/>
    <row r="181382" s="12" customFormat="1" x14ac:dyDescent="0.25"/>
    <row r="181383" s="12" customFormat="1" x14ac:dyDescent="0.25"/>
    <row r="181384" s="12" customFormat="1" x14ac:dyDescent="0.25"/>
    <row r="181385" s="12" customFormat="1" x14ac:dyDescent="0.25"/>
    <row r="181386" s="12" customFormat="1" x14ac:dyDescent="0.25"/>
    <row r="181387" s="12" customFormat="1" x14ac:dyDescent="0.25"/>
    <row r="181388" s="12" customFormat="1" x14ac:dyDescent="0.25"/>
    <row r="181389" s="12" customFormat="1" x14ac:dyDescent="0.25"/>
    <row r="181390" s="12" customFormat="1" x14ac:dyDescent="0.25"/>
    <row r="181391" s="12" customFormat="1" x14ac:dyDescent="0.25"/>
    <row r="181392" s="12" customFormat="1" x14ac:dyDescent="0.25"/>
    <row r="181393" s="12" customFormat="1" x14ac:dyDescent="0.25"/>
    <row r="181394" s="12" customFormat="1" x14ac:dyDescent="0.25"/>
    <row r="181395" s="12" customFormat="1" x14ac:dyDescent="0.25"/>
    <row r="181396" s="12" customFormat="1" x14ac:dyDescent="0.25"/>
    <row r="181397" s="12" customFormat="1" x14ac:dyDescent="0.25"/>
    <row r="181398" s="12" customFormat="1" x14ac:dyDescent="0.25"/>
    <row r="181399" s="12" customFormat="1" x14ac:dyDescent="0.25"/>
    <row r="181400" s="12" customFormat="1" x14ac:dyDescent="0.25"/>
    <row r="181401" s="12" customFormat="1" x14ac:dyDescent="0.25"/>
    <row r="181402" s="12" customFormat="1" x14ac:dyDescent="0.25"/>
    <row r="181403" s="12" customFormat="1" x14ac:dyDescent="0.25"/>
    <row r="181404" s="12" customFormat="1" x14ac:dyDescent="0.25"/>
    <row r="181405" s="12" customFormat="1" x14ac:dyDescent="0.25"/>
    <row r="181406" s="12" customFormat="1" x14ac:dyDescent="0.25"/>
    <row r="181407" s="12" customFormat="1" x14ac:dyDescent="0.25"/>
    <row r="181408" s="12" customFormat="1" x14ac:dyDescent="0.25"/>
    <row r="181409" s="12" customFormat="1" x14ac:dyDescent="0.25"/>
    <row r="181410" s="12" customFormat="1" x14ac:dyDescent="0.25"/>
    <row r="181411" s="12" customFormat="1" x14ac:dyDescent="0.25"/>
    <row r="181412" s="12" customFormat="1" x14ac:dyDescent="0.25"/>
    <row r="181413" s="12" customFormat="1" x14ac:dyDescent="0.25"/>
    <row r="181414" s="12" customFormat="1" x14ac:dyDescent="0.25"/>
    <row r="181415" s="12" customFormat="1" x14ac:dyDescent="0.25"/>
    <row r="181416" s="12" customFormat="1" x14ac:dyDescent="0.25"/>
    <row r="181417" s="12" customFormat="1" x14ac:dyDescent="0.25"/>
    <row r="181418" s="12" customFormat="1" x14ac:dyDescent="0.25"/>
    <row r="181419" s="12" customFormat="1" x14ac:dyDescent="0.25"/>
    <row r="181420" s="12" customFormat="1" x14ac:dyDescent="0.25"/>
    <row r="181421" s="12" customFormat="1" x14ac:dyDescent="0.25"/>
    <row r="181422" s="12" customFormat="1" x14ac:dyDescent="0.25"/>
    <row r="181423" s="12" customFormat="1" x14ac:dyDescent="0.25"/>
    <row r="181424" s="12" customFormat="1" x14ac:dyDescent="0.25"/>
    <row r="181425" s="12" customFormat="1" x14ac:dyDescent="0.25"/>
    <row r="181426" s="12" customFormat="1" x14ac:dyDescent="0.25"/>
    <row r="181427" s="12" customFormat="1" x14ac:dyDescent="0.25"/>
    <row r="181428" s="12" customFormat="1" x14ac:dyDescent="0.25"/>
    <row r="181429" s="12" customFormat="1" x14ac:dyDescent="0.25"/>
    <row r="181430" s="12" customFormat="1" x14ac:dyDescent="0.25"/>
    <row r="181431" s="12" customFormat="1" x14ac:dyDescent="0.25"/>
    <row r="181432" s="12" customFormat="1" x14ac:dyDescent="0.25"/>
    <row r="181433" s="12" customFormat="1" x14ac:dyDescent="0.25"/>
    <row r="181434" s="12" customFormat="1" x14ac:dyDescent="0.25"/>
    <row r="181435" s="12" customFormat="1" x14ac:dyDescent="0.25"/>
    <row r="181436" s="12" customFormat="1" x14ac:dyDescent="0.25"/>
    <row r="181437" s="12" customFormat="1" x14ac:dyDescent="0.25"/>
    <row r="181438" s="12" customFormat="1" x14ac:dyDescent="0.25"/>
    <row r="181439" s="12" customFormat="1" x14ac:dyDescent="0.25"/>
    <row r="181440" s="12" customFormat="1" x14ac:dyDescent="0.25"/>
    <row r="181441" s="12" customFormat="1" x14ac:dyDescent="0.25"/>
    <row r="181442" s="12" customFormat="1" x14ac:dyDescent="0.25"/>
    <row r="181443" s="12" customFormat="1" x14ac:dyDescent="0.25"/>
    <row r="181444" s="12" customFormat="1" x14ac:dyDescent="0.25"/>
    <row r="181445" s="12" customFormat="1" x14ac:dyDescent="0.25"/>
    <row r="181446" s="12" customFormat="1" x14ac:dyDescent="0.25"/>
    <row r="181447" s="12" customFormat="1" x14ac:dyDescent="0.25"/>
    <row r="181448" s="12" customFormat="1" x14ac:dyDescent="0.25"/>
    <row r="181449" s="12" customFormat="1" x14ac:dyDescent="0.25"/>
    <row r="181450" s="12" customFormat="1" x14ac:dyDescent="0.25"/>
    <row r="181451" s="12" customFormat="1" x14ac:dyDescent="0.25"/>
    <row r="181452" s="12" customFormat="1" x14ac:dyDescent="0.25"/>
    <row r="181453" s="12" customFormat="1" x14ac:dyDescent="0.25"/>
    <row r="181454" s="12" customFormat="1" x14ac:dyDescent="0.25"/>
    <row r="181455" s="12" customFormat="1" x14ac:dyDescent="0.25"/>
    <row r="181456" s="12" customFormat="1" x14ac:dyDescent="0.25"/>
    <row r="181457" s="12" customFormat="1" x14ac:dyDescent="0.25"/>
    <row r="181458" s="12" customFormat="1" x14ac:dyDescent="0.25"/>
    <row r="181459" s="12" customFormat="1" x14ac:dyDescent="0.25"/>
    <row r="181460" s="12" customFormat="1" x14ac:dyDescent="0.25"/>
    <row r="181461" s="12" customFormat="1" x14ac:dyDescent="0.25"/>
    <row r="181462" s="12" customFormat="1" x14ac:dyDescent="0.25"/>
    <row r="181463" s="12" customFormat="1" x14ac:dyDescent="0.25"/>
    <row r="181464" s="12" customFormat="1" x14ac:dyDescent="0.25"/>
    <row r="181465" s="12" customFormat="1" x14ac:dyDescent="0.25"/>
    <row r="181466" s="12" customFormat="1" x14ac:dyDescent="0.25"/>
    <row r="181467" s="12" customFormat="1" x14ac:dyDescent="0.25"/>
    <row r="181468" s="12" customFormat="1" x14ac:dyDescent="0.25"/>
    <row r="181469" s="12" customFormat="1" x14ac:dyDescent="0.25"/>
    <row r="181470" s="12" customFormat="1" x14ac:dyDescent="0.25"/>
    <row r="181471" s="12" customFormat="1" x14ac:dyDescent="0.25"/>
    <row r="181472" s="12" customFormat="1" x14ac:dyDescent="0.25"/>
    <row r="181473" s="12" customFormat="1" x14ac:dyDescent="0.25"/>
    <row r="181474" s="12" customFormat="1" x14ac:dyDescent="0.25"/>
    <row r="181475" s="12" customFormat="1" x14ac:dyDescent="0.25"/>
    <row r="181476" s="12" customFormat="1" x14ac:dyDescent="0.25"/>
    <row r="181477" s="12" customFormat="1" x14ac:dyDescent="0.25"/>
    <row r="181478" s="12" customFormat="1" x14ac:dyDescent="0.25"/>
    <row r="181479" s="12" customFormat="1" x14ac:dyDescent="0.25"/>
    <row r="181480" s="12" customFormat="1" x14ac:dyDescent="0.25"/>
    <row r="181481" s="12" customFormat="1" x14ac:dyDescent="0.25"/>
    <row r="181482" s="12" customFormat="1" x14ac:dyDescent="0.25"/>
    <row r="181483" s="12" customFormat="1" x14ac:dyDescent="0.25"/>
    <row r="181484" s="12" customFormat="1" x14ac:dyDescent="0.25"/>
    <row r="181485" s="12" customFormat="1" x14ac:dyDescent="0.25"/>
    <row r="181486" s="12" customFormat="1" x14ac:dyDescent="0.25"/>
    <row r="181487" s="12" customFormat="1" x14ac:dyDescent="0.25"/>
    <row r="181488" s="12" customFormat="1" x14ac:dyDescent="0.25"/>
    <row r="181489" s="12" customFormat="1" x14ac:dyDescent="0.25"/>
    <row r="181490" s="12" customFormat="1" x14ac:dyDescent="0.25"/>
    <row r="181491" s="12" customFormat="1" x14ac:dyDescent="0.25"/>
    <row r="181492" s="12" customFormat="1" x14ac:dyDescent="0.25"/>
    <row r="181493" s="12" customFormat="1" x14ac:dyDescent="0.25"/>
    <row r="181494" s="12" customFormat="1" x14ac:dyDescent="0.25"/>
    <row r="181495" s="12" customFormat="1" x14ac:dyDescent="0.25"/>
    <row r="181496" s="12" customFormat="1" x14ac:dyDescent="0.25"/>
    <row r="181497" s="12" customFormat="1" x14ac:dyDescent="0.25"/>
    <row r="181498" s="12" customFormat="1" x14ac:dyDescent="0.25"/>
    <row r="181499" s="12" customFormat="1" x14ac:dyDescent="0.25"/>
    <row r="181500" s="12" customFormat="1" x14ac:dyDescent="0.25"/>
    <row r="181501" s="12" customFormat="1" x14ac:dyDescent="0.25"/>
    <row r="181502" s="12" customFormat="1" x14ac:dyDescent="0.25"/>
    <row r="181503" s="12" customFormat="1" x14ac:dyDescent="0.25"/>
    <row r="181504" s="12" customFormat="1" x14ac:dyDescent="0.25"/>
    <row r="181505" s="12" customFormat="1" x14ac:dyDescent="0.25"/>
    <row r="181506" s="12" customFormat="1" x14ac:dyDescent="0.25"/>
    <row r="181507" s="12" customFormat="1" x14ac:dyDescent="0.25"/>
    <row r="181508" s="12" customFormat="1" x14ac:dyDescent="0.25"/>
    <row r="181509" s="12" customFormat="1" x14ac:dyDescent="0.25"/>
    <row r="181510" s="12" customFormat="1" x14ac:dyDescent="0.25"/>
    <row r="181511" s="12" customFormat="1" x14ac:dyDescent="0.25"/>
    <row r="181512" s="12" customFormat="1" x14ac:dyDescent="0.25"/>
    <row r="181513" s="12" customFormat="1" x14ac:dyDescent="0.25"/>
    <row r="181514" s="12" customFormat="1" x14ac:dyDescent="0.25"/>
    <row r="181515" s="12" customFormat="1" x14ac:dyDescent="0.25"/>
    <row r="181516" s="12" customFormat="1" x14ac:dyDescent="0.25"/>
    <row r="181517" s="12" customFormat="1" x14ac:dyDescent="0.25"/>
    <row r="181518" s="12" customFormat="1" x14ac:dyDescent="0.25"/>
    <row r="181519" s="12" customFormat="1" x14ac:dyDescent="0.25"/>
    <row r="181520" s="12" customFormat="1" x14ac:dyDescent="0.25"/>
    <row r="181521" s="12" customFormat="1" x14ac:dyDescent="0.25"/>
    <row r="181522" s="12" customFormat="1" x14ac:dyDescent="0.25"/>
    <row r="181523" s="12" customFormat="1" x14ac:dyDescent="0.25"/>
    <row r="181524" s="12" customFormat="1" x14ac:dyDescent="0.25"/>
    <row r="181525" s="12" customFormat="1" x14ac:dyDescent="0.25"/>
    <row r="181526" s="12" customFormat="1" x14ac:dyDescent="0.25"/>
    <row r="181527" s="12" customFormat="1" x14ac:dyDescent="0.25"/>
    <row r="181528" s="12" customFormat="1" x14ac:dyDescent="0.25"/>
    <row r="181529" s="12" customFormat="1" x14ac:dyDescent="0.25"/>
    <row r="181530" s="12" customFormat="1" x14ac:dyDescent="0.25"/>
    <row r="181531" s="12" customFormat="1" x14ac:dyDescent="0.25"/>
    <row r="181532" s="12" customFormat="1" x14ac:dyDescent="0.25"/>
    <row r="181533" s="12" customFormat="1" x14ac:dyDescent="0.25"/>
    <row r="181534" s="12" customFormat="1" x14ac:dyDescent="0.25"/>
    <row r="181535" s="12" customFormat="1" x14ac:dyDescent="0.25"/>
    <row r="181536" s="12" customFormat="1" x14ac:dyDescent="0.25"/>
    <row r="181537" s="12" customFormat="1" x14ac:dyDescent="0.25"/>
    <row r="181538" s="12" customFormat="1" x14ac:dyDescent="0.25"/>
    <row r="181539" s="12" customFormat="1" x14ac:dyDescent="0.25"/>
    <row r="181540" s="12" customFormat="1" x14ac:dyDescent="0.25"/>
    <row r="181541" s="12" customFormat="1" x14ac:dyDescent="0.25"/>
    <row r="181542" s="12" customFormat="1" x14ac:dyDescent="0.25"/>
    <row r="181543" s="12" customFormat="1" x14ac:dyDescent="0.25"/>
    <row r="181544" s="12" customFormat="1" x14ac:dyDescent="0.25"/>
    <row r="181545" s="12" customFormat="1" x14ac:dyDescent="0.25"/>
    <row r="181546" s="12" customFormat="1" x14ac:dyDescent="0.25"/>
    <row r="181547" s="12" customFormat="1" x14ac:dyDescent="0.25"/>
    <row r="181548" s="12" customFormat="1" x14ac:dyDescent="0.25"/>
    <row r="181549" s="12" customFormat="1" x14ac:dyDescent="0.25"/>
    <row r="181550" s="12" customFormat="1" x14ac:dyDescent="0.25"/>
    <row r="181551" s="12" customFormat="1" x14ac:dyDescent="0.25"/>
    <row r="181552" s="12" customFormat="1" x14ac:dyDescent="0.25"/>
    <row r="181553" s="12" customFormat="1" x14ac:dyDescent="0.25"/>
    <row r="181554" s="12" customFormat="1" x14ac:dyDescent="0.25"/>
    <row r="181555" s="12" customFormat="1" x14ac:dyDescent="0.25"/>
    <row r="181556" s="12" customFormat="1" x14ac:dyDescent="0.25"/>
    <row r="181557" s="12" customFormat="1" x14ac:dyDescent="0.25"/>
    <row r="181558" s="12" customFormat="1" x14ac:dyDescent="0.25"/>
    <row r="181559" s="12" customFormat="1" x14ac:dyDescent="0.25"/>
    <row r="181560" s="12" customFormat="1" x14ac:dyDescent="0.25"/>
    <row r="181561" s="12" customFormat="1" x14ac:dyDescent="0.25"/>
    <row r="181562" s="12" customFormat="1" x14ac:dyDescent="0.25"/>
    <row r="181563" s="12" customFormat="1" x14ac:dyDescent="0.25"/>
    <row r="181564" s="12" customFormat="1" x14ac:dyDescent="0.25"/>
    <row r="181565" s="12" customFormat="1" x14ac:dyDescent="0.25"/>
    <row r="181566" s="12" customFormat="1" x14ac:dyDescent="0.25"/>
    <row r="181567" s="12" customFormat="1" x14ac:dyDescent="0.25"/>
    <row r="181568" s="12" customFormat="1" x14ac:dyDescent="0.25"/>
    <row r="181569" s="12" customFormat="1" x14ac:dyDescent="0.25"/>
    <row r="181570" s="12" customFormat="1" x14ac:dyDescent="0.25"/>
    <row r="181571" s="12" customFormat="1" x14ac:dyDescent="0.25"/>
    <row r="181572" s="12" customFormat="1" x14ac:dyDescent="0.25"/>
    <row r="181573" s="12" customFormat="1" x14ac:dyDescent="0.25"/>
    <row r="181574" s="12" customFormat="1" x14ac:dyDescent="0.25"/>
    <row r="181575" s="12" customFormat="1" x14ac:dyDescent="0.25"/>
    <row r="181576" s="12" customFormat="1" x14ac:dyDescent="0.25"/>
    <row r="181577" s="12" customFormat="1" x14ac:dyDescent="0.25"/>
    <row r="181578" s="12" customFormat="1" x14ac:dyDescent="0.25"/>
    <row r="181579" s="12" customFormat="1" x14ac:dyDescent="0.25"/>
    <row r="181580" s="12" customFormat="1" x14ac:dyDescent="0.25"/>
    <row r="181581" s="12" customFormat="1" x14ac:dyDescent="0.25"/>
    <row r="181582" s="12" customFormat="1" x14ac:dyDescent="0.25"/>
    <row r="181583" s="12" customFormat="1" x14ac:dyDescent="0.25"/>
    <row r="181584" s="12" customFormat="1" x14ac:dyDescent="0.25"/>
    <row r="181585" s="12" customFormat="1" x14ac:dyDescent="0.25"/>
    <row r="181586" s="12" customFormat="1" x14ac:dyDescent="0.25"/>
    <row r="181587" s="12" customFormat="1" x14ac:dyDescent="0.25"/>
    <row r="181588" s="12" customFormat="1" x14ac:dyDescent="0.25"/>
    <row r="181589" s="12" customFormat="1" x14ac:dyDescent="0.25"/>
    <row r="181590" s="12" customFormat="1" x14ac:dyDescent="0.25"/>
    <row r="181591" s="12" customFormat="1" x14ac:dyDescent="0.25"/>
    <row r="181592" s="12" customFormat="1" x14ac:dyDescent="0.25"/>
    <row r="181593" s="12" customFormat="1" x14ac:dyDescent="0.25"/>
    <row r="181594" s="12" customFormat="1" x14ac:dyDescent="0.25"/>
    <row r="181595" s="12" customFormat="1" x14ac:dyDescent="0.25"/>
    <row r="181596" s="12" customFormat="1" x14ac:dyDescent="0.25"/>
    <row r="181597" s="12" customFormat="1" x14ac:dyDescent="0.25"/>
    <row r="181598" s="12" customFormat="1" x14ac:dyDescent="0.25"/>
    <row r="181599" s="12" customFormat="1" x14ac:dyDescent="0.25"/>
    <row r="181600" s="12" customFormat="1" x14ac:dyDescent="0.25"/>
    <row r="181601" s="12" customFormat="1" x14ac:dyDescent="0.25"/>
    <row r="181602" s="12" customFormat="1" x14ac:dyDescent="0.25"/>
    <row r="181603" s="12" customFormat="1" x14ac:dyDescent="0.25"/>
    <row r="181604" s="12" customFormat="1" x14ac:dyDescent="0.25"/>
    <row r="181605" s="12" customFormat="1" x14ac:dyDescent="0.25"/>
    <row r="181606" s="12" customFormat="1" x14ac:dyDescent="0.25"/>
    <row r="181607" s="12" customFormat="1" x14ac:dyDescent="0.25"/>
    <row r="181608" s="12" customFormat="1" x14ac:dyDescent="0.25"/>
    <row r="181609" s="12" customFormat="1" x14ac:dyDescent="0.25"/>
    <row r="181610" s="12" customFormat="1" x14ac:dyDescent="0.25"/>
    <row r="181611" s="12" customFormat="1" x14ac:dyDescent="0.25"/>
    <row r="181612" s="12" customFormat="1" x14ac:dyDescent="0.25"/>
    <row r="181613" s="12" customFormat="1" x14ac:dyDescent="0.25"/>
    <row r="181614" s="12" customFormat="1" x14ac:dyDescent="0.25"/>
    <row r="181615" s="12" customFormat="1" x14ac:dyDescent="0.25"/>
    <row r="181616" s="12" customFormat="1" x14ac:dyDescent="0.25"/>
    <row r="181617" s="12" customFormat="1" x14ac:dyDescent="0.25"/>
    <row r="181618" s="12" customFormat="1" x14ac:dyDescent="0.25"/>
    <row r="181619" s="12" customFormat="1" x14ac:dyDescent="0.25"/>
    <row r="181620" s="12" customFormat="1" x14ac:dyDescent="0.25"/>
    <row r="181621" s="12" customFormat="1" x14ac:dyDescent="0.25"/>
    <row r="181622" s="12" customFormat="1" x14ac:dyDescent="0.25"/>
    <row r="181623" s="12" customFormat="1" x14ac:dyDescent="0.25"/>
    <row r="181624" s="12" customFormat="1" x14ac:dyDescent="0.25"/>
    <row r="181625" s="12" customFormat="1" x14ac:dyDescent="0.25"/>
    <row r="181626" s="12" customFormat="1" x14ac:dyDescent="0.25"/>
    <row r="181627" s="12" customFormat="1" x14ac:dyDescent="0.25"/>
    <row r="181628" s="12" customFormat="1" x14ac:dyDescent="0.25"/>
    <row r="181629" s="12" customFormat="1" x14ac:dyDescent="0.25"/>
    <row r="181630" s="12" customFormat="1" x14ac:dyDescent="0.25"/>
    <row r="181631" s="12" customFormat="1" x14ac:dyDescent="0.25"/>
    <row r="181632" s="12" customFormat="1" x14ac:dyDescent="0.25"/>
    <row r="181633" s="12" customFormat="1" x14ac:dyDescent="0.25"/>
    <row r="181634" s="12" customFormat="1" x14ac:dyDescent="0.25"/>
    <row r="181635" s="12" customFormat="1" x14ac:dyDescent="0.25"/>
    <row r="181636" s="12" customFormat="1" x14ac:dyDescent="0.25"/>
    <row r="181637" s="12" customFormat="1" x14ac:dyDescent="0.25"/>
    <row r="181638" s="12" customFormat="1" x14ac:dyDescent="0.25"/>
    <row r="181639" s="12" customFormat="1" x14ac:dyDescent="0.25"/>
    <row r="181640" s="12" customFormat="1" x14ac:dyDescent="0.25"/>
    <row r="181641" s="12" customFormat="1" x14ac:dyDescent="0.25"/>
    <row r="181642" s="12" customFormat="1" x14ac:dyDescent="0.25"/>
    <row r="181643" s="12" customFormat="1" x14ac:dyDescent="0.25"/>
    <row r="181644" s="12" customFormat="1" x14ac:dyDescent="0.25"/>
    <row r="181645" s="12" customFormat="1" x14ac:dyDescent="0.25"/>
    <row r="181646" s="12" customFormat="1" x14ac:dyDescent="0.25"/>
    <row r="181647" s="12" customFormat="1" x14ac:dyDescent="0.25"/>
    <row r="181648" s="12" customFormat="1" x14ac:dyDescent="0.25"/>
    <row r="181649" s="12" customFormat="1" x14ac:dyDescent="0.25"/>
    <row r="181650" s="12" customFormat="1" x14ac:dyDescent="0.25"/>
    <row r="181651" s="12" customFormat="1" x14ac:dyDescent="0.25"/>
    <row r="181652" s="12" customFormat="1" x14ac:dyDescent="0.25"/>
    <row r="181653" s="12" customFormat="1" x14ac:dyDescent="0.25"/>
    <row r="181654" s="12" customFormat="1" x14ac:dyDescent="0.25"/>
    <row r="181655" s="12" customFormat="1" x14ac:dyDescent="0.25"/>
    <row r="181656" s="12" customFormat="1" x14ac:dyDescent="0.25"/>
    <row r="181657" s="12" customFormat="1" x14ac:dyDescent="0.25"/>
    <row r="181658" s="12" customFormat="1" x14ac:dyDescent="0.25"/>
    <row r="181659" s="12" customFormat="1" x14ac:dyDescent="0.25"/>
    <row r="181660" s="12" customFormat="1" x14ac:dyDescent="0.25"/>
    <row r="181661" s="12" customFormat="1" x14ac:dyDescent="0.25"/>
    <row r="181662" s="12" customFormat="1" x14ac:dyDescent="0.25"/>
    <row r="181663" s="12" customFormat="1" x14ac:dyDescent="0.25"/>
    <row r="181664" s="12" customFormat="1" x14ac:dyDescent="0.25"/>
    <row r="181665" s="12" customFormat="1" x14ac:dyDescent="0.25"/>
    <row r="181666" s="12" customFormat="1" x14ac:dyDescent="0.25"/>
    <row r="181667" s="12" customFormat="1" x14ac:dyDescent="0.25"/>
    <row r="181668" s="12" customFormat="1" x14ac:dyDescent="0.25"/>
    <row r="181669" s="12" customFormat="1" x14ac:dyDescent="0.25"/>
    <row r="181670" s="12" customFormat="1" x14ac:dyDescent="0.25"/>
    <row r="181671" s="12" customFormat="1" x14ac:dyDescent="0.25"/>
    <row r="181672" s="12" customFormat="1" x14ac:dyDescent="0.25"/>
    <row r="181673" s="12" customFormat="1" x14ac:dyDescent="0.25"/>
    <row r="181674" s="12" customFormat="1" x14ac:dyDescent="0.25"/>
    <row r="181675" s="12" customFormat="1" x14ac:dyDescent="0.25"/>
    <row r="181676" s="12" customFormat="1" x14ac:dyDescent="0.25"/>
    <row r="181677" s="12" customFormat="1" x14ac:dyDescent="0.25"/>
    <row r="181678" s="12" customFormat="1" x14ac:dyDescent="0.25"/>
    <row r="181679" s="12" customFormat="1" x14ac:dyDescent="0.25"/>
    <row r="181680" s="12" customFormat="1" x14ac:dyDescent="0.25"/>
    <row r="181681" s="12" customFormat="1" x14ac:dyDescent="0.25"/>
    <row r="181682" s="12" customFormat="1" x14ac:dyDescent="0.25"/>
    <row r="181683" s="12" customFormat="1" x14ac:dyDescent="0.25"/>
    <row r="181684" s="12" customFormat="1" x14ac:dyDescent="0.25"/>
    <row r="181685" s="12" customFormat="1" x14ac:dyDescent="0.25"/>
    <row r="181686" s="12" customFormat="1" x14ac:dyDescent="0.25"/>
    <row r="181687" s="12" customFormat="1" x14ac:dyDescent="0.25"/>
    <row r="181688" s="12" customFormat="1" x14ac:dyDescent="0.25"/>
    <row r="181689" s="12" customFormat="1" x14ac:dyDescent="0.25"/>
    <row r="181690" s="12" customFormat="1" x14ac:dyDescent="0.25"/>
    <row r="181691" s="12" customFormat="1" x14ac:dyDescent="0.25"/>
    <row r="181692" s="12" customFormat="1" x14ac:dyDescent="0.25"/>
    <row r="181693" s="12" customFormat="1" x14ac:dyDescent="0.25"/>
    <row r="181694" s="12" customFormat="1" x14ac:dyDescent="0.25"/>
    <row r="181695" s="12" customFormat="1" x14ac:dyDescent="0.25"/>
    <row r="181696" s="12" customFormat="1" x14ac:dyDescent="0.25"/>
    <row r="181697" s="12" customFormat="1" x14ac:dyDescent="0.25"/>
    <row r="181698" s="12" customFormat="1" x14ac:dyDescent="0.25"/>
    <row r="181699" s="12" customFormat="1" x14ac:dyDescent="0.25"/>
    <row r="181700" s="12" customFormat="1" x14ac:dyDescent="0.25"/>
    <row r="181701" s="12" customFormat="1" x14ac:dyDescent="0.25"/>
    <row r="181702" s="12" customFormat="1" x14ac:dyDescent="0.25"/>
    <row r="181703" s="12" customFormat="1" x14ac:dyDescent="0.25"/>
    <row r="181704" s="12" customFormat="1" x14ac:dyDescent="0.25"/>
    <row r="181705" s="12" customFormat="1" x14ac:dyDescent="0.25"/>
    <row r="181706" s="12" customFormat="1" x14ac:dyDescent="0.25"/>
    <row r="181707" s="12" customFormat="1" x14ac:dyDescent="0.25"/>
    <row r="181708" s="12" customFormat="1" x14ac:dyDescent="0.25"/>
    <row r="181709" s="12" customFormat="1" x14ac:dyDescent="0.25"/>
    <row r="181710" s="12" customFormat="1" x14ac:dyDescent="0.25"/>
    <row r="181711" s="12" customFormat="1" x14ac:dyDescent="0.25"/>
    <row r="181712" s="12" customFormat="1" x14ac:dyDescent="0.25"/>
    <row r="181713" s="12" customFormat="1" x14ac:dyDescent="0.25"/>
    <row r="181714" s="12" customFormat="1" x14ac:dyDescent="0.25"/>
    <row r="181715" s="12" customFormat="1" x14ac:dyDescent="0.25"/>
    <row r="181716" s="12" customFormat="1" x14ac:dyDescent="0.25"/>
    <row r="181717" s="12" customFormat="1" x14ac:dyDescent="0.25"/>
    <row r="181718" s="12" customFormat="1" x14ac:dyDescent="0.25"/>
    <row r="181719" s="12" customFormat="1" x14ac:dyDescent="0.25"/>
    <row r="181720" s="12" customFormat="1" x14ac:dyDescent="0.25"/>
    <row r="181721" s="12" customFormat="1" x14ac:dyDescent="0.25"/>
    <row r="181722" s="12" customFormat="1" x14ac:dyDescent="0.25"/>
    <row r="181723" s="12" customFormat="1" x14ac:dyDescent="0.25"/>
    <row r="181724" s="12" customFormat="1" x14ac:dyDescent="0.25"/>
    <row r="181725" s="12" customFormat="1" x14ac:dyDescent="0.25"/>
    <row r="181726" s="12" customFormat="1" x14ac:dyDescent="0.25"/>
    <row r="181727" s="12" customFormat="1" x14ac:dyDescent="0.25"/>
    <row r="181728" s="12" customFormat="1" x14ac:dyDescent="0.25"/>
    <row r="181729" s="12" customFormat="1" x14ac:dyDescent="0.25"/>
    <row r="181730" s="12" customFormat="1" x14ac:dyDescent="0.25"/>
    <row r="181731" s="12" customFormat="1" x14ac:dyDescent="0.25"/>
    <row r="181732" s="12" customFormat="1" x14ac:dyDescent="0.25"/>
    <row r="181733" s="12" customFormat="1" x14ac:dyDescent="0.25"/>
    <row r="181734" s="12" customFormat="1" x14ac:dyDescent="0.25"/>
    <row r="181735" s="12" customFormat="1" x14ac:dyDescent="0.25"/>
    <row r="181736" s="12" customFormat="1" x14ac:dyDescent="0.25"/>
    <row r="181737" s="12" customFormat="1" x14ac:dyDescent="0.25"/>
    <row r="181738" s="12" customFormat="1" x14ac:dyDescent="0.25"/>
    <row r="181739" s="12" customFormat="1" x14ac:dyDescent="0.25"/>
    <row r="181740" s="12" customFormat="1" x14ac:dyDescent="0.25"/>
    <row r="181741" s="12" customFormat="1" x14ac:dyDescent="0.25"/>
    <row r="181742" s="12" customFormat="1" x14ac:dyDescent="0.25"/>
    <row r="181743" s="12" customFormat="1" x14ac:dyDescent="0.25"/>
    <row r="181744" s="12" customFormat="1" x14ac:dyDescent="0.25"/>
    <row r="181745" s="12" customFormat="1" x14ac:dyDescent="0.25"/>
    <row r="181746" s="12" customFormat="1" x14ac:dyDescent="0.25"/>
    <row r="181747" s="12" customFormat="1" x14ac:dyDescent="0.25"/>
    <row r="181748" s="12" customFormat="1" x14ac:dyDescent="0.25"/>
    <row r="181749" s="12" customFormat="1" x14ac:dyDescent="0.25"/>
    <row r="181750" s="12" customFormat="1" x14ac:dyDescent="0.25"/>
    <row r="181751" s="12" customFormat="1" x14ac:dyDescent="0.25"/>
    <row r="181752" s="12" customFormat="1" x14ac:dyDescent="0.25"/>
    <row r="181753" s="12" customFormat="1" x14ac:dyDescent="0.25"/>
    <row r="181754" s="12" customFormat="1" x14ac:dyDescent="0.25"/>
    <row r="181755" s="12" customFormat="1" x14ac:dyDescent="0.25"/>
    <row r="181756" s="12" customFormat="1" x14ac:dyDescent="0.25"/>
    <row r="181757" s="12" customFormat="1" x14ac:dyDescent="0.25"/>
    <row r="181758" s="12" customFormat="1" x14ac:dyDescent="0.25"/>
    <row r="181759" s="12" customFormat="1" x14ac:dyDescent="0.25"/>
    <row r="181760" s="12" customFormat="1" x14ac:dyDescent="0.25"/>
    <row r="181761" s="12" customFormat="1" x14ac:dyDescent="0.25"/>
    <row r="181762" s="12" customFormat="1" x14ac:dyDescent="0.25"/>
    <row r="181763" s="12" customFormat="1" x14ac:dyDescent="0.25"/>
    <row r="181764" s="12" customFormat="1" x14ac:dyDescent="0.25"/>
    <row r="181765" s="12" customFormat="1" x14ac:dyDescent="0.25"/>
    <row r="181766" s="12" customFormat="1" x14ac:dyDescent="0.25"/>
    <row r="181767" s="12" customFormat="1" x14ac:dyDescent="0.25"/>
    <row r="181768" s="12" customFormat="1" x14ac:dyDescent="0.25"/>
    <row r="181769" s="12" customFormat="1" x14ac:dyDescent="0.25"/>
    <row r="181770" s="12" customFormat="1" x14ac:dyDescent="0.25"/>
    <row r="181771" s="12" customFormat="1" x14ac:dyDescent="0.25"/>
    <row r="181772" s="12" customFormat="1" x14ac:dyDescent="0.25"/>
    <row r="181773" s="12" customFormat="1" x14ac:dyDescent="0.25"/>
    <row r="181774" s="12" customFormat="1" x14ac:dyDescent="0.25"/>
    <row r="181775" s="12" customFormat="1" x14ac:dyDescent="0.25"/>
    <row r="181776" s="12" customFormat="1" x14ac:dyDescent="0.25"/>
    <row r="181777" s="12" customFormat="1" x14ac:dyDescent="0.25"/>
    <row r="181778" s="12" customFormat="1" x14ac:dyDescent="0.25"/>
    <row r="181779" s="12" customFormat="1" x14ac:dyDescent="0.25"/>
    <row r="181780" s="12" customFormat="1" x14ac:dyDescent="0.25"/>
    <row r="181781" s="12" customFormat="1" x14ac:dyDescent="0.25"/>
    <row r="181782" s="12" customFormat="1" x14ac:dyDescent="0.25"/>
    <row r="181783" s="12" customFormat="1" x14ac:dyDescent="0.25"/>
    <row r="181784" s="12" customFormat="1" x14ac:dyDescent="0.25"/>
    <row r="181785" s="12" customFormat="1" x14ac:dyDescent="0.25"/>
    <row r="181786" s="12" customFormat="1" x14ac:dyDescent="0.25"/>
    <row r="181787" s="12" customFormat="1" x14ac:dyDescent="0.25"/>
    <row r="181788" s="12" customFormat="1" x14ac:dyDescent="0.25"/>
    <row r="181789" s="12" customFormat="1" x14ac:dyDescent="0.25"/>
    <row r="181790" s="12" customFormat="1" x14ac:dyDescent="0.25"/>
    <row r="181791" s="12" customFormat="1" x14ac:dyDescent="0.25"/>
    <row r="181792" s="12" customFormat="1" x14ac:dyDescent="0.25"/>
    <row r="181793" s="12" customFormat="1" x14ac:dyDescent="0.25"/>
    <row r="181794" s="12" customFormat="1" x14ac:dyDescent="0.25"/>
    <row r="181795" s="12" customFormat="1" x14ac:dyDescent="0.25"/>
    <row r="181796" s="12" customFormat="1" x14ac:dyDescent="0.25"/>
    <row r="181797" s="12" customFormat="1" x14ac:dyDescent="0.25"/>
    <row r="181798" s="12" customFormat="1" x14ac:dyDescent="0.25"/>
    <row r="181799" s="12" customFormat="1" x14ac:dyDescent="0.25"/>
    <row r="181800" s="12" customFormat="1" x14ac:dyDescent="0.25"/>
    <row r="181801" s="12" customFormat="1" x14ac:dyDescent="0.25"/>
    <row r="181802" s="12" customFormat="1" x14ac:dyDescent="0.25"/>
    <row r="181803" s="12" customFormat="1" x14ac:dyDescent="0.25"/>
    <row r="181804" s="12" customFormat="1" x14ac:dyDescent="0.25"/>
    <row r="181805" s="12" customFormat="1" x14ac:dyDescent="0.25"/>
    <row r="181806" s="12" customFormat="1" x14ac:dyDescent="0.25"/>
    <row r="181807" s="12" customFormat="1" x14ac:dyDescent="0.25"/>
    <row r="181808" s="12" customFormat="1" x14ac:dyDescent="0.25"/>
    <row r="181809" s="12" customFormat="1" x14ac:dyDescent="0.25"/>
    <row r="181810" s="12" customFormat="1" x14ac:dyDescent="0.25"/>
    <row r="181811" s="12" customFormat="1" x14ac:dyDescent="0.25"/>
    <row r="181812" s="12" customFormat="1" x14ac:dyDescent="0.25"/>
    <row r="181813" s="12" customFormat="1" x14ac:dyDescent="0.25"/>
    <row r="181814" s="12" customFormat="1" x14ac:dyDescent="0.25"/>
    <row r="181815" s="12" customFormat="1" x14ac:dyDescent="0.25"/>
    <row r="181816" s="12" customFormat="1" x14ac:dyDescent="0.25"/>
    <row r="181817" s="12" customFormat="1" x14ac:dyDescent="0.25"/>
    <row r="181818" s="12" customFormat="1" x14ac:dyDescent="0.25"/>
    <row r="181819" s="12" customFormat="1" x14ac:dyDescent="0.25"/>
    <row r="181820" s="12" customFormat="1" x14ac:dyDescent="0.25"/>
    <row r="181821" s="12" customFormat="1" x14ac:dyDescent="0.25"/>
    <row r="181822" s="12" customFormat="1" x14ac:dyDescent="0.25"/>
    <row r="181823" s="12" customFormat="1" x14ac:dyDescent="0.25"/>
    <row r="181824" s="12" customFormat="1" x14ac:dyDescent="0.25"/>
    <row r="181825" s="12" customFormat="1" x14ac:dyDescent="0.25"/>
    <row r="181826" s="12" customFormat="1" x14ac:dyDescent="0.25"/>
    <row r="181827" s="12" customFormat="1" x14ac:dyDescent="0.25"/>
    <row r="181828" s="12" customFormat="1" x14ac:dyDescent="0.25"/>
    <row r="181829" s="12" customFormat="1" x14ac:dyDescent="0.25"/>
    <row r="181830" s="12" customFormat="1" x14ac:dyDescent="0.25"/>
    <row r="181831" s="12" customFormat="1" x14ac:dyDescent="0.25"/>
    <row r="181832" s="12" customFormat="1" x14ac:dyDescent="0.25"/>
    <row r="181833" s="12" customFormat="1" x14ac:dyDescent="0.25"/>
    <row r="181834" s="12" customFormat="1" x14ac:dyDescent="0.25"/>
    <row r="181835" s="12" customFormat="1" x14ac:dyDescent="0.25"/>
    <row r="181836" s="12" customFormat="1" x14ac:dyDescent="0.25"/>
    <row r="181837" s="12" customFormat="1" x14ac:dyDescent="0.25"/>
    <row r="181838" s="12" customFormat="1" x14ac:dyDescent="0.25"/>
    <row r="181839" s="12" customFormat="1" x14ac:dyDescent="0.25"/>
    <row r="181840" s="12" customFormat="1" x14ac:dyDescent="0.25"/>
    <row r="181841" s="12" customFormat="1" x14ac:dyDescent="0.25"/>
    <row r="181842" s="12" customFormat="1" x14ac:dyDescent="0.25"/>
    <row r="181843" s="12" customFormat="1" x14ac:dyDescent="0.25"/>
    <row r="181844" s="12" customFormat="1" x14ac:dyDescent="0.25"/>
    <row r="181845" s="12" customFormat="1" x14ac:dyDescent="0.25"/>
    <row r="181846" s="12" customFormat="1" x14ac:dyDescent="0.25"/>
    <row r="181847" s="12" customFormat="1" x14ac:dyDescent="0.25"/>
    <row r="181848" s="12" customFormat="1" x14ac:dyDescent="0.25"/>
    <row r="181849" s="12" customFormat="1" x14ac:dyDescent="0.25"/>
    <row r="181850" s="12" customFormat="1" x14ac:dyDescent="0.25"/>
    <row r="181851" s="12" customFormat="1" x14ac:dyDescent="0.25"/>
    <row r="181852" s="12" customFormat="1" x14ac:dyDescent="0.25"/>
    <row r="181853" s="12" customFormat="1" x14ac:dyDescent="0.25"/>
    <row r="181854" s="12" customFormat="1" x14ac:dyDescent="0.25"/>
    <row r="181855" s="12" customFormat="1" x14ac:dyDescent="0.25"/>
    <row r="181856" s="12" customFormat="1" x14ac:dyDescent="0.25"/>
    <row r="181857" s="12" customFormat="1" x14ac:dyDescent="0.25"/>
    <row r="181858" s="12" customFormat="1" x14ac:dyDescent="0.25"/>
    <row r="181859" s="12" customFormat="1" x14ac:dyDescent="0.25"/>
    <row r="181860" s="12" customFormat="1" x14ac:dyDescent="0.25"/>
    <row r="181861" s="12" customFormat="1" x14ac:dyDescent="0.25"/>
    <row r="181862" s="12" customFormat="1" x14ac:dyDescent="0.25"/>
    <row r="181863" s="12" customFormat="1" x14ac:dyDescent="0.25"/>
    <row r="181864" s="12" customFormat="1" x14ac:dyDescent="0.25"/>
    <row r="181865" s="12" customFormat="1" x14ac:dyDescent="0.25"/>
    <row r="181866" s="12" customFormat="1" x14ac:dyDescent="0.25"/>
    <row r="181867" s="12" customFormat="1" x14ac:dyDescent="0.25"/>
    <row r="181868" s="12" customFormat="1" x14ac:dyDescent="0.25"/>
    <row r="181869" s="12" customFormat="1" x14ac:dyDescent="0.25"/>
    <row r="181870" s="12" customFormat="1" x14ac:dyDescent="0.25"/>
    <row r="181871" s="12" customFormat="1" x14ac:dyDescent="0.25"/>
    <row r="181872" s="12" customFormat="1" x14ac:dyDescent="0.25"/>
    <row r="181873" s="12" customFormat="1" x14ac:dyDescent="0.25"/>
    <row r="181874" s="12" customFormat="1" x14ac:dyDescent="0.25"/>
    <row r="181875" s="12" customFormat="1" x14ac:dyDescent="0.25"/>
    <row r="181876" s="12" customFormat="1" x14ac:dyDescent="0.25"/>
    <row r="181877" s="12" customFormat="1" x14ac:dyDescent="0.25"/>
    <row r="181878" s="12" customFormat="1" x14ac:dyDescent="0.25"/>
    <row r="181879" s="12" customFormat="1" x14ac:dyDescent="0.25"/>
    <row r="181880" s="12" customFormat="1" x14ac:dyDescent="0.25"/>
    <row r="181881" s="12" customFormat="1" x14ac:dyDescent="0.25"/>
    <row r="181882" s="12" customFormat="1" x14ac:dyDescent="0.25"/>
    <row r="181883" s="12" customFormat="1" x14ac:dyDescent="0.25"/>
    <row r="181884" s="12" customFormat="1" x14ac:dyDescent="0.25"/>
    <row r="181885" s="12" customFormat="1" x14ac:dyDescent="0.25"/>
    <row r="181886" s="12" customFormat="1" x14ac:dyDescent="0.25"/>
    <row r="181887" s="12" customFormat="1" x14ac:dyDescent="0.25"/>
    <row r="181888" s="12" customFormat="1" x14ac:dyDescent="0.25"/>
    <row r="181889" s="12" customFormat="1" x14ac:dyDescent="0.25"/>
    <row r="181890" s="12" customFormat="1" x14ac:dyDescent="0.25"/>
    <row r="181891" s="12" customFormat="1" x14ac:dyDescent="0.25"/>
    <row r="181892" s="12" customFormat="1" x14ac:dyDescent="0.25"/>
    <row r="181893" s="12" customFormat="1" x14ac:dyDescent="0.25"/>
    <row r="181894" s="12" customFormat="1" x14ac:dyDescent="0.25"/>
    <row r="181895" s="12" customFormat="1" x14ac:dyDescent="0.25"/>
    <row r="181896" s="12" customFormat="1" x14ac:dyDescent="0.25"/>
    <row r="181897" s="12" customFormat="1" x14ac:dyDescent="0.25"/>
    <row r="181898" s="12" customFormat="1" x14ac:dyDescent="0.25"/>
    <row r="181899" s="12" customFormat="1" x14ac:dyDescent="0.25"/>
    <row r="181900" s="12" customFormat="1" x14ac:dyDescent="0.25"/>
    <row r="181901" s="12" customFormat="1" x14ac:dyDescent="0.25"/>
    <row r="181902" s="12" customFormat="1" x14ac:dyDescent="0.25"/>
    <row r="181903" s="12" customFormat="1" x14ac:dyDescent="0.25"/>
    <row r="181904" s="12" customFormat="1" x14ac:dyDescent="0.25"/>
    <row r="181905" s="12" customFormat="1" x14ac:dyDescent="0.25"/>
    <row r="181906" s="12" customFormat="1" x14ac:dyDescent="0.25"/>
    <row r="181907" s="12" customFormat="1" x14ac:dyDescent="0.25"/>
    <row r="181908" s="12" customFormat="1" x14ac:dyDescent="0.25"/>
    <row r="181909" s="12" customFormat="1" x14ac:dyDescent="0.25"/>
    <row r="181910" s="12" customFormat="1" x14ac:dyDescent="0.25"/>
    <row r="181911" s="12" customFormat="1" x14ac:dyDescent="0.25"/>
    <row r="181912" s="12" customFormat="1" x14ac:dyDescent="0.25"/>
    <row r="181913" s="12" customFormat="1" x14ac:dyDescent="0.25"/>
    <row r="181914" s="12" customFormat="1" x14ac:dyDescent="0.25"/>
    <row r="181915" s="12" customFormat="1" x14ac:dyDescent="0.25"/>
    <row r="181916" s="12" customFormat="1" x14ac:dyDescent="0.25"/>
    <row r="181917" s="12" customFormat="1" x14ac:dyDescent="0.25"/>
    <row r="181918" s="12" customFormat="1" x14ac:dyDescent="0.25"/>
    <row r="181919" s="12" customFormat="1" x14ac:dyDescent="0.25"/>
    <row r="181920" s="12" customFormat="1" x14ac:dyDescent="0.25"/>
    <row r="181921" s="12" customFormat="1" x14ac:dyDescent="0.25"/>
    <row r="181922" s="12" customFormat="1" x14ac:dyDescent="0.25"/>
    <row r="181923" s="12" customFormat="1" x14ac:dyDescent="0.25"/>
    <row r="181924" s="12" customFormat="1" x14ac:dyDescent="0.25"/>
    <row r="181925" s="12" customFormat="1" x14ac:dyDescent="0.25"/>
    <row r="181926" s="12" customFormat="1" x14ac:dyDescent="0.25"/>
    <row r="181927" s="12" customFormat="1" x14ac:dyDescent="0.25"/>
    <row r="181928" s="12" customFormat="1" x14ac:dyDescent="0.25"/>
    <row r="181929" s="12" customFormat="1" x14ac:dyDescent="0.25"/>
    <row r="181930" s="12" customFormat="1" x14ac:dyDescent="0.25"/>
    <row r="181931" s="12" customFormat="1" x14ac:dyDescent="0.25"/>
    <row r="181932" s="12" customFormat="1" x14ac:dyDescent="0.25"/>
    <row r="181933" s="12" customFormat="1" x14ac:dyDescent="0.25"/>
    <row r="181934" s="12" customFormat="1" x14ac:dyDescent="0.25"/>
    <row r="181935" s="12" customFormat="1" x14ac:dyDescent="0.25"/>
    <row r="181936" s="12" customFormat="1" x14ac:dyDescent="0.25"/>
    <row r="181937" s="12" customFormat="1" x14ac:dyDescent="0.25"/>
    <row r="181938" s="12" customFormat="1" x14ac:dyDescent="0.25"/>
    <row r="181939" s="12" customFormat="1" x14ac:dyDescent="0.25"/>
    <row r="181940" s="12" customFormat="1" x14ac:dyDescent="0.25"/>
    <row r="181941" s="12" customFormat="1" x14ac:dyDescent="0.25"/>
    <row r="181942" s="12" customFormat="1" x14ac:dyDescent="0.25"/>
    <row r="181943" s="12" customFormat="1" x14ac:dyDescent="0.25"/>
    <row r="181944" s="12" customFormat="1" x14ac:dyDescent="0.25"/>
    <row r="181945" s="12" customFormat="1" x14ac:dyDescent="0.25"/>
    <row r="181946" s="12" customFormat="1" x14ac:dyDescent="0.25"/>
    <row r="181947" s="12" customFormat="1" x14ac:dyDescent="0.25"/>
    <row r="181948" s="12" customFormat="1" x14ac:dyDescent="0.25"/>
    <row r="181949" s="12" customFormat="1" x14ac:dyDescent="0.25"/>
    <row r="181950" s="12" customFormat="1" x14ac:dyDescent="0.25"/>
    <row r="181951" s="12" customFormat="1" x14ac:dyDescent="0.25"/>
    <row r="181952" s="12" customFormat="1" x14ac:dyDescent="0.25"/>
    <row r="181953" s="12" customFormat="1" x14ac:dyDescent="0.25"/>
    <row r="181954" s="12" customFormat="1" x14ac:dyDescent="0.25"/>
    <row r="181955" s="12" customFormat="1" x14ac:dyDescent="0.25"/>
    <row r="181956" s="12" customFormat="1" x14ac:dyDescent="0.25"/>
    <row r="181957" s="12" customFormat="1" x14ac:dyDescent="0.25"/>
    <row r="181958" s="12" customFormat="1" x14ac:dyDescent="0.25"/>
    <row r="181959" s="12" customFormat="1" x14ac:dyDescent="0.25"/>
    <row r="181960" s="12" customFormat="1" x14ac:dyDescent="0.25"/>
    <row r="181961" s="12" customFormat="1" x14ac:dyDescent="0.25"/>
    <row r="181962" s="12" customFormat="1" x14ac:dyDescent="0.25"/>
    <row r="181963" s="12" customFormat="1" x14ac:dyDescent="0.25"/>
    <row r="181964" s="12" customFormat="1" x14ac:dyDescent="0.25"/>
    <row r="181965" s="12" customFormat="1" x14ac:dyDescent="0.25"/>
    <row r="181966" s="12" customFormat="1" x14ac:dyDescent="0.25"/>
    <row r="181967" s="12" customFormat="1" x14ac:dyDescent="0.25"/>
    <row r="181968" s="12" customFormat="1" x14ac:dyDescent="0.25"/>
    <row r="181969" s="12" customFormat="1" x14ac:dyDescent="0.25"/>
    <row r="181970" s="12" customFormat="1" x14ac:dyDescent="0.25"/>
    <row r="181971" s="12" customFormat="1" x14ac:dyDescent="0.25"/>
    <row r="181972" s="12" customFormat="1" x14ac:dyDescent="0.25"/>
    <row r="181973" s="12" customFormat="1" x14ac:dyDescent="0.25"/>
    <row r="181974" s="12" customFormat="1" x14ac:dyDescent="0.25"/>
    <row r="181975" s="12" customFormat="1" x14ac:dyDescent="0.25"/>
    <row r="181976" s="12" customFormat="1" x14ac:dyDescent="0.25"/>
    <row r="181977" s="12" customFormat="1" x14ac:dyDescent="0.25"/>
    <row r="181978" s="12" customFormat="1" x14ac:dyDescent="0.25"/>
    <row r="181979" s="12" customFormat="1" x14ac:dyDescent="0.25"/>
    <row r="181980" s="12" customFormat="1" x14ac:dyDescent="0.25"/>
    <row r="181981" s="12" customFormat="1" x14ac:dyDescent="0.25"/>
    <row r="181982" s="12" customFormat="1" x14ac:dyDescent="0.25"/>
    <row r="181983" s="12" customFormat="1" x14ac:dyDescent="0.25"/>
    <row r="181984" s="12" customFormat="1" x14ac:dyDescent="0.25"/>
    <row r="181985" s="12" customFormat="1" x14ac:dyDescent="0.25"/>
    <row r="181986" s="12" customFormat="1" x14ac:dyDescent="0.25"/>
    <row r="181987" s="12" customFormat="1" x14ac:dyDescent="0.25"/>
    <row r="181988" s="12" customFormat="1" x14ac:dyDescent="0.25"/>
    <row r="181989" s="12" customFormat="1" x14ac:dyDescent="0.25"/>
    <row r="181990" s="12" customFormat="1" x14ac:dyDescent="0.25"/>
    <row r="181991" s="12" customFormat="1" x14ac:dyDescent="0.25"/>
    <row r="181992" s="12" customFormat="1" x14ac:dyDescent="0.25"/>
    <row r="181993" s="12" customFormat="1" x14ac:dyDescent="0.25"/>
    <row r="181994" s="12" customFormat="1" x14ac:dyDescent="0.25"/>
    <row r="181995" s="12" customFormat="1" x14ac:dyDescent="0.25"/>
    <row r="181996" s="12" customFormat="1" x14ac:dyDescent="0.25"/>
    <row r="181997" s="12" customFormat="1" x14ac:dyDescent="0.25"/>
    <row r="181998" s="12" customFormat="1" x14ac:dyDescent="0.25"/>
    <row r="181999" s="12" customFormat="1" x14ac:dyDescent="0.25"/>
    <row r="182000" s="12" customFormat="1" x14ac:dyDescent="0.25"/>
    <row r="182001" s="12" customFormat="1" x14ac:dyDescent="0.25"/>
    <row r="182002" s="12" customFormat="1" x14ac:dyDescent="0.25"/>
    <row r="182003" s="12" customFormat="1" x14ac:dyDescent="0.25"/>
    <row r="182004" s="12" customFormat="1" x14ac:dyDescent="0.25"/>
    <row r="182005" s="12" customFormat="1" x14ac:dyDescent="0.25"/>
    <row r="182006" s="12" customFormat="1" x14ac:dyDescent="0.25"/>
    <row r="182007" s="12" customFormat="1" x14ac:dyDescent="0.25"/>
    <row r="182008" s="12" customFormat="1" x14ac:dyDescent="0.25"/>
    <row r="182009" s="12" customFormat="1" x14ac:dyDescent="0.25"/>
    <row r="182010" s="12" customFormat="1" x14ac:dyDescent="0.25"/>
    <row r="182011" s="12" customFormat="1" x14ac:dyDescent="0.25"/>
    <row r="182012" s="12" customFormat="1" x14ac:dyDescent="0.25"/>
    <row r="182013" s="12" customFormat="1" x14ac:dyDescent="0.25"/>
    <row r="182014" s="12" customFormat="1" x14ac:dyDescent="0.25"/>
    <row r="182015" s="12" customFormat="1" x14ac:dyDescent="0.25"/>
    <row r="182016" s="12" customFormat="1" x14ac:dyDescent="0.25"/>
    <row r="182017" s="12" customFormat="1" x14ac:dyDescent="0.25"/>
    <row r="182018" s="12" customFormat="1" x14ac:dyDescent="0.25"/>
    <row r="182019" s="12" customFormat="1" x14ac:dyDescent="0.25"/>
    <row r="182020" s="12" customFormat="1" x14ac:dyDescent="0.25"/>
    <row r="182021" s="12" customFormat="1" x14ac:dyDescent="0.25"/>
    <row r="182022" s="12" customFormat="1" x14ac:dyDescent="0.25"/>
    <row r="182023" s="12" customFormat="1" x14ac:dyDescent="0.25"/>
    <row r="182024" s="12" customFormat="1" x14ac:dyDescent="0.25"/>
    <row r="182025" s="12" customFormat="1" x14ac:dyDescent="0.25"/>
    <row r="182026" s="12" customFormat="1" x14ac:dyDescent="0.25"/>
    <row r="182027" s="12" customFormat="1" x14ac:dyDescent="0.25"/>
    <row r="182028" s="12" customFormat="1" x14ac:dyDescent="0.25"/>
    <row r="182029" s="12" customFormat="1" x14ac:dyDescent="0.25"/>
    <row r="182030" s="12" customFormat="1" x14ac:dyDescent="0.25"/>
    <row r="182031" s="12" customFormat="1" x14ac:dyDescent="0.25"/>
    <row r="182032" s="12" customFormat="1" x14ac:dyDescent="0.25"/>
    <row r="182033" s="12" customFormat="1" x14ac:dyDescent="0.25"/>
    <row r="182034" s="12" customFormat="1" x14ac:dyDescent="0.25"/>
    <row r="182035" s="12" customFormat="1" x14ac:dyDescent="0.25"/>
    <row r="182036" s="12" customFormat="1" x14ac:dyDescent="0.25"/>
    <row r="182037" s="12" customFormat="1" x14ac:dyDescent="0.25"/>
    <row r="182038" s="12" customFormat="1" x14ac:dyDescent="0.25"/>
    <row r="182039" s="12" customFormat="1" x14ac:dyDescent="0.25"/>
    <row r="182040" s="12" customFormat="1" x14ac:dyDescent="0.25"/>
    <row r="182041" s="12" customFormat="1" x14ac:dyDescent="0.25"/>
    <row r="182042" s="12" customFormat="1" x14ac:dyDescent="0.25"/>
    <row r="182043" s="12" customFormat="1" x14ac:dyDescent="0.25"/>
    <row r="182044" s="12" customFormat="1" x14ac:dyDescent="0.25"/>
    <row r="182045" s="12" customFormat="1" x14ac:dyDescent="0.25"/>
    <row r="182046" s="12" customFormat="1" x14ac:dyDescent="0.25"/>
    <row r="182047" s="12" customFormat="1" x14ac:dyDescent="0.25"/>
    <row r="182048" s="12" customFormat="1" x14ac:dyDescent="0.25"/>
    <row r="182049" s="12" customFormat="1" x14ac:dyDescent="0.25"/>
    <row r="182050" s="12" customFormat="1" x14ac:dyDescent="0.25"/>
    <row r="182051" s="12" customFormat="1" x14ac:dyDescent="0.25"/>
    <row r="182052" s="12" customFormat="1" x14ac:dyDescent="0.25"/>
    <row r="182053" s="12" customFormat="1" x14ac:dyDescent="0.25"/>
    <row r="182054" s="12" customFormat="1" x14ac:dyDescent="0.25"/>
    <row r="182055" s="12" customFormat="1" x14ac:dyDescent="0.25"/>
    <row r="182056" s="12" customFormat="1" x14ac:dyDescent="0.25"/>
    <row r="182057" s="12" customFormat="1" x14ac:dyDescent="0.25"/>
    <row r="182058" s="12" customFormat="1" x14ac:dyDescent="0.25"/>
    <row r="182059" s="12" customFormat="1" x14ac:dyDescent="0.25"/>
    <row r="182060" s="12" customFormat="1" x14ac:dyDescent="0.25"/>
    <row r="182061" s="12" customFormat="1" x14ac:dyDescent="0.25"/>
    <row r="182062" s="12" customFormat="1" x14ac:dyDescent="0.25"/>
    <row r="182063" s="12" customFormat="1" x14ac:dyDescent="0.25"/>
    <row r="182064" s="12" customFormat="1" x14ac:dyDescent="0.25"/>
    <row r="182065" s="12" customFormat="1" x14ac:dyDescent="0.25"/>
    <row r="182066" s="12" customFormat="1" x14ac:dyDescent="0.25"/>
    <row r="182067" s="12" customFormat="1" x14ac:dyDescent="0.25"/>
    <row r="182068" s="12" customFormat="1" x14ac:dyDescent="0.25"/>
    <row r="182069" s="12" customFormat="1" x14ac:dyDescent="0.25"/>
    <row r="182070" s="12" customFormat="1" x14ac:dyDescent="0.25"/>
    <row r="182071" s="12" customFormat="1" x14ac:dyDescent="0.25"/>
    <row r="182072" s="12" customFormat="1" x14ac:dyDescent="0.25"/>
    <row r="182073" s="12" customFormat="1" x14ac:dyDescent="0.25"/>
    <row r="182074" s="12" customFormat="1" x14ac:dyDescent="0.25"/>
    <row r="182075" s="12" customFormat="1" x14ac:dyDescent="0.25"/>
    <row r="182076" s="12" customFormat="1" x14ac:dyDescent="0.25"/>
    <row r="182077" s="12" customFormat="1" x14ac:dyDescent="0.25"/>
    <row r="182078" s="12" customFormat="1" x14ac:dyDescent="0.25"/>
    <row r="182079" s="12" customFormat="1" x14ac:dyDescent="0.25"/>
    <row r="182080" s="12" customFormat="1" x14ac:dyDescent="0.25"/>
    <row r="182081" s="12" customFormat="1" x14ac:dyDescent="0.25"/>
    <row r="182082" s="12" customFormat="1" x14ac:dyDescent="0.25"/>
    <row r="182083" s="12" customFormat="1" x14ac:dyDescent="0.25"/>
    <row r="182084" s="12" customFormat="1" x14ac:dyDescent="0.25"/>
    <row r="182085" s="12" customFormat="1" x14ac:dyDescent="0.25"/>
    <row r="182086" s="12" customFormat="1" x14ac:dyDescent="0.25"/>
    <row r="182087" s="12" customFormat="1" x14ac:dyDescent="0.25"/>
    <row r="182088" s="12" customFormat="1" x14ac:dyDescent="0.25"/>
    <row r="182089" s="12" customFormat="1" x14ac:dyDescent="0.25"/>
    <row r="182090" s="12" customFormat="1" x14ac:dyDescent="0.25"/>
    <row r="182091" s="12" customFormat="1" x14ac:dyDescent="0.25"/>
    <row r="182092" s="12" customFormat="1" x14ac:dyDescent="0.25"/>
    <row r="182093" s="12" customFormat="1" x14ac:dyDescent="0.25"/>
    <row r="182094" s="12" customFormat="1" x14ac:dyDescent="0.25"/>
    <row r="182095" s="12" customFormat="1" x14ac:dyDescent="0.25"/>
    <row r="182096" s="12" customFormat="1" x14ac:dyDescent="0.25"/>
    <row r="182097" s="12" customFormat="1" x14ac:dyDescent="0.25"/>
    <row r="182098" s="12" customFormat="1" x14ac:dyDescent="0.25"/>
    <row r="182099" s="12" customFormat="1" x14ac:dyDescent="0.25"/>
    <row r="182100" s="12" customFormat="1" x14ac:dyDescent="0.25"/>
    <row r="182101" s="12" customFormat="1" x14ac:dyDescent="0.25"/>
    <row r="182102" s="12" customFormat="1" x14ac:dyDescent="0.25"/>
    <row r="182103" s="12" customFormat="1" x14ac:dyDescent="0.25"/>
    <row r="182104" s="12" customFormat="1" x14ac:dyDescent="0.25"/>
    <row r="182105" s="12" customFormat="1" x14ac:dyDescent="0.25"/>
    <row r="182106" s="12" customFormat="1" x14ac:dyDescent="0.25"/>
    <row r="182107" s="12" customFormat="1" x14ac:dyDescent="0.25"/>
    <row r="182108" s="12" customFormat="1" x14ac:dyDescent="0.25"/>
    <row r="182109" s="12" customFormat="1" x14ac:dyDescent="0.25"/>
    <row r="182110" s="12" customFormat="1" x14ac:dyDescent="0.25"/>
    <row r="182111" s="12" customFormat="1" x14ac:dyDescent="0.25"/>
    <row r="182112" s="12" customFormat="1" x14ac:dyDescent="0.25"/>
    <row r="182113" s="12" customFormat="1" x14ac:dyDescent="0.25"/>
    <row r="182114" s="12" customFormat="1" x14ac:dyDescent="0.25"/>
    <row r="182115" s="12" customFormat="1" x14ac:dyDescent="0.25"/>
    <row r="182116" s="12" customFormat="1" x14ac:dyDescent="0.25"/>
    <row r="182117" s="12" customFormat="1" x14ac:dyDescent="0.25"/>
    <row r="182118" s="12" customFormat="1" x14ac:dyDescent="0.25"/>
    <row r="182119" s="12" customFormat="1" x14ac:dyDescent="0.25"/>
    <row r="182120" s="12" customFormat="1" x14ac:dyDescent="0.25"/>
    <row r="182121" s="12" customFormat="1" x14ac:dyDescent="0.25"/>
    <row r="182122" s="12" customFormat="1" x14ac:dyDescent="0.25"/>
    <row r="182123" s="12" customFormat="1" x14ac:dyDescent="0.25"/>
    <row r="182124" s="12" customFormat="1" x14ac:dyDescent="0.25"/>
    <row r="182125" s="12" customFormat="1" x14ac:dyDescent="0.25"/>
    <row r="182126" s="12" customFormat="1" x14ac:dyDescent="0.25"/>
    <row r="182127" s="12" customFormat="1" x14ac:dyDescent="0.25"/>
    <row r="182128" s="12" customFormat="1" x14ac:dyDescent="0.25"/>
    <row r="182129" s="12" customFormat="1" x14ac:dyDescent="0.25"/>
    <row r="182130" s="12" customFormat="1" x14ac:dyDescent="0.25"/>
    <row r="182131" s="12" customFormat="1" x14ac:dyDescent="0.25"/>
    <row r="182132" s="12" customFormat="1" x14ac:dyDescent="0.25"/>
    <row r="182133" s="12" customFormat="1" x14ac:dyDescent="0.25"/>
    <row r="182134" s="12" customFormat="1" x14ac:dyDescent="0.25"/>
    <row r="182135" s="12" customFormat="1" x14ac:dyDescent="0.25"/>
    <row r="182136" s="12" customFormat="1" x14ac:dyDescent="0.25"/>
    <row r="182137" s="12" customFormat="1" x14ac:dyDescent="0.25"/>
    <row r="182138" s="12" customFormat="1" x14ac:dyDescent="0.25"/>
    <row r="182139" s="12" customFormat="1" x14ac:dyDescent="0.25"/>
    <row r="182140" s="12" customFormat="1" x14ac:dyDescent="0.25"/>
    <row r="182141" s="12" customFormat="1" x14ac:dyDescent="0.25"/>
    <row r="182142" s="12" customFormat="1" x14ac:dyDescent="0.25"/>
    <row r="182143" s="12" customFormat="1" x14ac:dyDescent="0.25"/>
    <row r="182144" s="12" customFormat="1" x14ac:dyDescent="0.25"/>
    <row r="182145" s="12" customFormat="1" x14ac:dyDescent="0.25"/>
    <row r="182146" s="12" customFormat="1" x14ac:dyDescent="0.25"/>
    <row r="182147" s="12" customFormat="1" x14ac:dyDescent="0.25"/>
    <row r="182148" s="12" customFormat="1" x14ac:dyDescent="0.25"/>
    <row r="182149" s="12" customFormat="1" x14ac:dyDescent="0.25"/>
    <row r="182150" s="12" customFormat="1" x14ac:dyDescent="0.25"/>
    <row r="182151" s="12" customFormat="1" x14ac:dyDescent="0.25"/>
    <row r="182152" s="12" customFormat="1" x14ac:dyDescent="0.25"/>
    <row r="182153" s="12" customFormat="1" x14ac:dyDescent="0.25"/>
    <row r="182154" s="12" customFormat="1" x14ac:dyDescent="0.25"/>
    <row r="182155" s="12" customFormat="1" x14ac:dyDescent="0.25"/>
    <row r="182156" s="12" customFormat="1" x14ac:dyDescent="0.25"/>
    <row r="182157" s="12" customFormat="1" x14ac:dyDescent="0.25"/>
    <row r="182158" s="12" customFormat="1" x14ac:dyDescent="0.25"/>
    <row r="182159" s="12" customFormat="1" x14ac:dyDescent="0.25"/>
    <row r="182160" s="12" customFormat="1" x14ac:dyDescent="0.25"/>
    <row r="182161" s="12" customFormat="1" x14ac:dyDescent="0.25"/>
    <row r="182162" s="12" customFormat="1" x14ac:dyDescent="0.25"/>
    <row r="182163" s="12" customFormat="1" x14ac:dyDescent="0.25"/>
    <row r="182164" s="12" customFormat="1" x14ac:dyDescent="0.25"/>
    <row r="182165" s="12" customFormat="1" x14ac:dyDescent="0.25"/>
    <row r="182166" s="12" customFormat="1" x14ac:dyDescent="0.25"/>
    <row r="182167" s="12" customFormat="1" x14ac:dyDescent="0.25"/>
    <row r="182168" s="12" customFormat="1" x14ac:dyDescent="0.25"/>
    <row r="182169" s="12" customFormat="1" x14ac:dyDescent="0.25"/>
    <row r="182170" s="12" customFormat="1" x14ac:dyDescent="0.25"/>
    <row r="182171" s="12" customFormat="1" x14ac:dyDescent="0.25"/>
    <row r="182172" s="12" customFormat="1" x14ac:dyDescent="0.25"/>
    <row r="182173" s="12" customFormat="1" x14ac:dyDescent="0.25"/>
    <row r="182174" s="12" customFormat="1" x14ac:dyDescent="0.25"/>
    <row r="182175" s="12" customFormat="1" x14ac:dyDescent="0.25"/>
    <row r="182176" s="12" customFormat="1" x14ac:dyDescent="0.25"/>
    <row r="182177" s="12" customFormat="1" x14ac:dyDescent="0.25"/>
    <row r="182178" s="12" customFormat="1" x14ac:dyDescent="0.25"/>
    <row r="182179" s="12" customFormat="1" x14ac:dyDescent="0.25"/>
    <row r="182180" s="12" customFormat="1" x14ac:dyDescent="0.25"/>
    <row r="182181" s="12" customFormat="1" x14ac:dyDescent="0.25"/>
    <row r="182182" s="12" customFormat="1" x14ac:dyDescent="0.25"/>
    <row r="182183" s="12" customFormat="1" x14ac:dyDescent="0.25"/>
    <row r="182184" s="12" customFormat="1" x14ac:dyDescent="0.25"/>
    <row r="182185" s="12" customFormat="1" x14ac:dyDescent="0.25"/>
    <row r="182186" s="12" customFormat="1" x14ac:dyDescent="0.25"/>
    <row r="182187" s="12" customFormat="1" x14ac:dyDescent="0.25"/>
    <row r="182188" s="12" customFormat="1" x14ac:dyDescent="0.25"/>
    <row r="182189" s="12" customFormat="1" x14ac:dyDescent="0.25"/>
    <row r="182190" s="12" customFormat="1" x14ac:dyDescent="0.25"/>
    <row r="182191" s="12" customFormat="1" x14ac:dyDescent="0.25"/>
    <row r="182192" s="12" customFormat="1" x14ac:dyDescent="0.25"/>
    <row r="182193" s="12" customFormat="1" x14ac:dyDescent="0.25"/>
    <row r="182194" s="12" customFormat="1" x14ac:dyDescent="0.25"/>
    <row r="182195" s="12" customFormat="1" x14ac:dyDescent="0.25"/>
    <row r="182196" s="12" customFormat="1" x14ac:dyDescent="0.25"/>
    <row r="182197" s="12" customFormat="1" x14ac:dyDescent="0.25"/>
    <row r="182198" s="12" customFormat="1" x14ac:dyDescent="0.25"/>
    <row r="182199" s="12" customFormat="1" x14ac:dyDescent="0.25"/>
    <row r="182200" s="12" customFormat="1" x14ac:dyDescent="0.25"/>
    <row r="182201" s="12" customFormat="1" x14ac:dyDescent="0.25"/>
    <row r="182202" s="12" customFormat="1" x14ac:dyDescent="0.25"/>
    <row r="182203" s="12" customFormat="1" x14ac:dyDescent="0.25"/>
    <row r="182204" s="12" customFormat="1" x14ac:dyDescent="0.25"/>
    <row r="182205" s="12" customFormat="1" x14ac:dyDescent="0.25"/>
    <row r="182206" s="12" customFormat="1" x14ac:dyDescent="0.25"/>
    <row r="182207" s="12" customFormat="1" x14ac:dyDescent="0.25"/>
    <row r="182208" s="12" customFormat="1" x14ac:dyDescent="0.25"/>
    <row r="182209" s="12" customFormat="1" x14ac:dyDescent="0.25"/>
    <row r="182210" s="12" customFormat="1" x14ac:dyDescent="0.25"/>
    <row r="182211" s="12" customFormat="1" x14ac:dyDescent="0.25"/>
    <row r="182212" s="12" customFormat="1" x14ac:dyDescent="0.25"/>
    <row r="182213" s="12" customFormat="1" x14ac:dyDescent="0.25"/>
    <row r="182214" s="12" customFormat="1" x14ac:dyDescent="0.25"/>
    <row r="182215" s="12" customFormat="1" x14ac:dyDescent="0.25"/>
    <row r="182216" s="12" customFormat="1" x14ac:dyDescent="0.25"/>
    <row r="182217" s="12" customFormat="1" x14ac:dyDescent="0.25"/>
    <row r="182218" s="12" customFormat="1" x14ac:dyDescent="0.25"/>
    <row r="182219" s="12" customFormat="1" x14ac:dyDescent="0.25"/>
    <row r="182220" s="12" customFormat="1" x14ac:dyDescent="0.25"/>
    <row r="182221" s="12" customFormat="1" x14ac:dyDescent="0.25"/>
    <row r="182222" s="12" customFormat="1" x14ac:dyDescent="0.25"/>
    <row r="182223" s="12" customFormat="1" x14ac:dyDescent="0.25"/>
    <row r="182224" s="12" customFormat="1" x14ac:dyDescent="0.25"/>
    <row r="182225" s="12" customFormat="1" x14ac:dyDescent="0.25"/>
    <row r="182226" s="12" customFormat="1" x14ac:dyDescent="0.25"/>
    <row r="182227" s="12" customFormat="1" x14ac:dyDescent="0.25"/>
    <row r="182228" s="12" customFormat="1" x14ac:dyDescent="0.25"/>
    <row r="182229" s="12" customFormat="1" x14ac:dyDescent="0.25"/>
    <row r="182230" s="12" customFormat="1" x14ac:dyDescent="0.25"/>
    <row r="182231" s="12" customFormat="1" x14ac:dyDescent="0.25"/>
    <row r="182232" s="12" customFormat="1" x14ac:dyDescent="0.25"/>
    <row r="182233" s="12" customFormat="1" x14ac:dyDescent="0.25"/>
    <row r="182234" s="12" customFormat="1" x14ac:dyDescent="0.25"/>
    <row r="182235" s="12" customFormat="1" x14ac:dyDescent="0.25"/>
    <row r="182236" s="12" customFormat="1" x14ac:dyDescent="0.25"/>
    <row r="182237" s="12" customFormat="1" x14ac:dyDescent="0.25"/>
    <row r="182238" s="12" customFormat="1" x14ac:dyDescent="0.25"/>
    <row r="182239" s="12" customFormat="1" x14ac:dyDescent="0.25"/>
    <row r="182240" s="12" customFormat="1" x14ac:dyDescent="0.25"/>
    <row r="182241" s="12" customFormat="1" x14ac:dyDescent="0.25"/>
    <row r="182242" s="12" customFormat="1" x14ac:dyDescent="0.25"/>
    <row r="182243" s="12" customFormat="1" x14ac:dyDescent="0.25"/>
    <row r="182244" s="12" customFormat="1" x14ac:dyDescent="0.25"/>
    <row r="182245" s="12" customFormat="1" x14ac:dyDescent="0.25"/>
    <row r="182246" s="12" customFormat="1" x14ac:dyDescent="0.25"/>
    <row r="182247" s="12" customFormat="1" x14ac:dyDescent="0.25"/>
    <row r="182248" s="12" customFormat="1" x14ac:dyDescent="0.25"/>
    <row r="182249" s="12" customFormat="1" x14ac:dyDescent="0.25"/>
    <row r="182250" s="12" customFormat="1" x14ac:dyDescent="0.25"/>
    <row r="182251" s="12" customFormat="1" x14ac:dyDescent="0.25"/>
    <row r="182252" s="12" customFormat="1" x14ac:dyDescent="0.25"/>
    <row r="182253" s="12" customFormat="1" x14ac:dyDescent="0.25"/>
    <row r="182254" s="12" customFormat="1" x14ac:dyDescent="0.25"/>
    <row r="182255" s="12" customFormat="1" x14ac:dyDescent="0.25"/>
    <row r="182256" s="12" customFormat="1" x14ac:dyDescent="0.25"/>
    <row r="182257" s="12" customFormat="1" x14ac:dyDescent="0.25"/>
    <row r="182258" s="12" customFormat="1" x14ac:dyDescent="0.25"/>
    <row r="182259" s="12" customFormat="1" x14ac:dyDescent="0.25"/>
    <row r="182260" s="12" customFormat="1" x14ac:dyDescent="0.25"/>
    <row r="182261" s="12" customFormat="1" x14ac:dyDescent="0.25"/>
    <row r="182262" s="12" customFormat="1" x14ac:dyDescent="0.25"/>
    <row r="182263" s="12" customFormat="1" x14ac:dyDescent="0.25"/>
    <row r="182264" s="12" customFormat="1" x14ac:dyDescent="0.25"/>
    <row r="182265" s="12" customFormat="1" x14ac:dyDescent="0.25"/>
    <row r="182266" s="12" customFormat="1" x14ac:dyDescent="0.25"/>
    <row r="182267" s="12" customFormat="1" x14ac:dyDescent="0.25"/>
    <row r="182268" s="12" customFormat="1" x14ac:dyDescent="0.25"/>
    <row r="182269" s="12" customFormat="1" x14ac:dyDescent="0.25"/>
    <row r="182270" s="12" customFormat="1" x14ac:dyDescent="0.25"/>
    <row r="182271" s="12" customFormat="1" x14ac:dyDescent="0.25"/>
    <row r="182272" s="12" customFormat="1" x14ac:dyDescent="0.25"/>
    <row r="182273" s="12" customFormat="1" x14ac:dyDescent="0.25"/>
    <row r="182274" s="12" customFormat="1" x14ac:dyDescent="0.25"/>
    <row r="182275" s="12" customFormat="1" x14ac:dyDescent="0.25"/>
    <row r="182276" s="12" customFormat="1" x14ac:dyDescent="0.25"/>
    <row r="182277" s="12" customFormat="1" x14ac:dyDescent="0.25"/>
    <row r="182278" s="12" customFormat="1" x14ac:dyDescent="0.25"/>
    <row r="182279" s="12" customFormat="1" x14ac:dyDescent="0.25"/>
    <row r="182280" s="12" customFormat="1" x14ac:dyDescent="0.25"/>
    <row r="182281" s="12" customFormat="1" x14ac:dyDescent="0.25"/>
    <row r="182282" s="12" customFormat="1" x14ac:dyDescent="0.25"/>
    <row r="182283" s="12" customFormat="1" x14ac:dyDescent="0.25"/>
    <row r="182284" s="12" customFormat="1" x14ac:dyDescent="0.25"/>
    <row r="182285" s="12" customFormat="1" x14ac:dyDescent="0.25"/>
    <row r="182286" s="12" customFormat="1" x14ac:dyDescent="0.25"/>
    <row r="182287" s="12" customFormat="1" x14ac:dyDescent="0.25"/>
    <row r="182288" s="12" customFormat="1" x14ac:dyDescent="0.25"/>
    <row r="182289" s="12" customFormat="1" x14ac:dyDescent="0.25"/>
    <row r="182290" s="12" customFormat="1" x14ac:dyDescent="0.25"/>
    <row r="182291" s="12" customFormat="1" x14ac:dyDescent="0.25"/>
    <row r="182292" s="12" customFormat="1" x14ac:dyDescent="0.25"/>
    <row r="182293" s="12" customFormat="1" x14ac:dyDescent="0.25"/>
    <row r="182294" s="12" customFormat="1" x14ac:dyDescent="0.25"/>
    <row r="182295" s="12" customFormat="1" x14ac:dyDescent="0.25"/>
    <row r="182296" s="12" customFormat="1" x14ac:dyDescent="0.25"/>
    <row r="182297" s="12" customFormat="1" x14ac:dyDescent="0.25"/>
    <row r="182298" s="12" customFormat="1" x14ac:dyDescent="0.25"/>
    <row r="182299" s="12" customFormat="1" x14ac:dyDescent="0.25"/>
    <row r="182300" s="12" customFormat="1" x14ac:dyDescent="0.25"/>
    <row r="182301" s="12" customFormat="1" x14ac:dyDescent="0.25"/>
    <row r="182302" s="12" customFormat="1" x14ac:dyDescent="0.25"/>
    <row r="182303" s="12" customFormat="1" x14ac:dyDescent="0.25"/>
    <row r="182304" s="12" customFormat="1" x14ac:dyDescent="0.25"/>
    <row r="182305" s="12" customFormat="1" x14ac:dyDescent="0.25"/>
    <row r="182306" s="12" customFormat="1" x14ac:dyDescent="0.25"/>
    <row r="182307" s="12" customFormat="1" x14ac:dyDescent="0.25"/>
    <row r="182308" s="12" customFormat="1" x14ac:dyDescent="0.25"/>
    <row r="182309" s="12" customFormat="1" x14ac:dyDescent="0.25"/>
    <row r="182310" s="12" customFormat="1" x14ac:dyDescent="0.25"/>
    <row r="182311" s="12" customFormat="1" x14ac:dyDescent="0.25"/>
    <row r="182312" s="12" customFormat="1" x14ac:dyDescent="0.25"/>
    <row r="182313" s="12" customFormat="1" x14ac:dyDescent="0.25"/>
    <row r="182314" s="12" customFormat="1" x14ac:dyDescent="0.25"/>
    <row r="182315" s="12" customFormat="1" x14ac:dyDescent="0.25"/>
    <row r="182316" s="12" customFormat="1" x14ac:dyDescent="0.25"/>
    <row r="182317" s="12" customFormat="1" x14ac:dyDescent="0.25"/>
    <row r="182318" s="12" customFormat="1" x14ac:dyDescent="0.25"/>
    <row r="182319" s="12" customFormat="1" x14ac:dyDescent="0.25"/>
    <row r="182320" s="12" customFormat="1" x14ac:dyDescent="0.25"/>
    <row r="182321" s="12" customFormat="1" x14ac:dyDescent="0.25"/>
    <row r="182322" s="12" customFormat="1" x14ac:dyDescent="0.25"/>
    <row r="182323" s="12" customFormat="1" x14ac:dyDescent="0.25"/>
    <row r="182324" s="12" customFormat="1" x14ac:dyDescent="0.25"/>
    <row r="182325" s="12" customFormat="1" x14ac:dyDescent="0.25"/>
    <row r="182326" s="12" customFormat="1" x14ac:dyDescent="0.25"/>
    <row r="182327" s="12" customFormat="1" x14ac:dyDescent="0.25"/>
    <row r="182328" s="12" customFormat="1" x14ac:dyDescent="0.25"/>
    <row r="182329" s="12" customFormat="1" x14ac:dyDescent="0.25"/>
    <row r="182330" s="12" customFormat="1" x14ac:dyDescent="0.25"/>
    <row r="182331" s="12" customFormat="1" x14ac:dyDescent="0.25"/>
    <row r="182332" s="12" customFormat="1" x14ac:dyDescent="0.25"/>
    <row r="182333" s="12" customFormat="1" x14ac:dyDescent="0.25"/>
    <row r="182334" s="12" customFormat="1" x14ac:dyDescent="0.25"/>
    <row r="182335" s="12" customFormat="1" x14ac:dyDescent="0.25"/>
    <row r="182336" s="12" customFormat="1" x14ac:dyDescent="0.25"/>
    <row r="182337" s="12" customFormat="1" x14ac:dyDescent="0.25"/>
    <row r="182338" s="12" customFormat="1" x14ac:dyDescent="0.25"/>
    <row r="182339" s="12" customFormat="1" x14ac:dyDescent="0.25"/>
    <row r="182340" s="12" customFormat="1" x14ac:dyDescent="0.25"/>
    <row r="182341" s="12" customFormat="1" x14ac:dyDescent="0.25"/>
    <row r="182342" s="12" customFormat="1" x14ac:dyDescent="0.25"/>
    <row r="182343" s="12" customFormat="1" x14ac:dyDescent="0.25"/>
    <row r="182344" s="12" customFormat="1" x14ac:dyDescent="0.25"/>
    <row r="182345" s="12" customFormat="1" x14ac:dyDescent="0.25"/>
    <row r="182346" s="12" customFormat="1" x14ac:dyDescent="0.25"/>
    <row r="182347" s="12" customFormat="1" x14ac:dyDescent="0.25"/>
    <row r="182348" s="12" customFormat="1" x14ac:dyDescent="0.25"/>
    <row r="182349" s="12" customFormat="1" x14ac:dyDescent="0.25"/>
    <row r="182350" s="12" customFormat="1" x14ac:dyDescent="0.25"/>
    <row r="182351" s="12" customFormat="1" x14ac:dyDescent="0.25"/>
    <row r="182352" s="12" customFormat="1" x14ac:dyDescent="0.25"/>
    <row r="182353" s="12" customFormat="1" x14ac:dyDescent="0.25"/>
    <row r="182354" s="12" customFormat="1" x14ac:dyDescent="0.25"/>
    <row r="182355" s="12" customFormat="1" x14ac:dyDescent="0.25"/>
    <row r="182356" s="12" customFormat="1" x14ac:dyDescent="0.25"/>
    <row r="182357" s="12" customFormat="1" x14ac:dyDescent="0.25"/>
    <row r="182358" s="12" customFormat="1" x14ac:dyDescent="0.25"/>
    <row r="182359" s="12" customFormat="1" x14ac:dyDescent="0.25"/>
    <row r="182360" s="12" customFormat="1" x14ac:dyDescent="0.25"/>
    <row r="182361" s="12" customFormat="1" x14ac:dyDescent="0.25"/>
    <row r="182362" s="12" customFormat="1" x14ac:dyDescent="0.25"/>
    <row r="182363" s="12" customFormat="1" x14ac:dyDescent="0.25"/>
    <row r="182364" s="12" customFormat="1" x14ac:dyDescent="0.25"/>
    <row r="182365" s="12" customFormat="1" x14ac:dyDescent="0.25"/>
    <row r="182366" s="12" customFormat="1" x14ac:dyDescent="0.25"/>
    <row r="182367" s="12" customFormat="1" x14ac:dyDescent="0.25"/>
    <row r="182368" s="12" customFormat="1" x14ac:dyDescent="0.25"/>
    <row r="182369" s="12" customFormat="1" x14ac:dyDescent="0.25"/>
    <row r="182370" s="12" customFormat="1" x14ac:dyDescent="0.25"/>
    <row r="182371" s="12" customFormat="1" x14ac:dyDescent="0.25"/>
    <row r="182372" s="12" customFormat="1" x14ac:dyDescent="0.25"/>
    <row r="182373" s="12" customFormat="1" x14ac:dyDescent="0.25"/>
    <row r="182374" s="12" customFormat="1" x14ac:dyDescent="0.25"/>
    <row r="182375" s="12" customFormat="1" x14ac:dyDescent="0.25"/>
    <row r="182376" s="12" customFormat="1" x14ac:dyDescent="0.25"/>
    <row r="182377" s="12" customFormat="1" x14ac:dyDescent="0.25"/>
    <row r="182378" s="12" customFormat="1" x14ac:dyDescent="0.25"/>
    <row r="182379" s="12" customFormat="1" x14ac:dyDescent="0.25"/>
    <row r="182380" s="12" customFormat="1" x14ac:dyDescent="0.25"/>
    <row r="182381" s="12" customFormat="1" x14ac:dyDescent="0.25"/>
    <row r="182382" s="12" customFormat="1" x14ac:dyDescent="0.25"/>
    <row r="182383" s="12" customFormat="1" x14ac:dyDescent="0.25"/>
    <row r="182384" s="12" customFormat="1" x14ac:dyDescent="0.25"/>
    <row r="182385" s="12" customFormat="1" x14ac:dyDescent="0.25"/>
    <row r="182386" s="12" customFormat="1" x14ac:dyDescent="0.25"/>
    <row r="182387" s="12" customFormat="1" x14ac:dyDescent="0.25"/>
    <row r="182388" s="12" customFormat="1" x14ac:dyDescent="0.25"/>
    <row r="182389" s="12" customFormat="1" x14ac:dyDescent="0.25"/>
    <row r="182390" s="12" customFormat="1" x14ac:dyDescent="0.25"/>
    <row r="182391" s="12" customFormat="1" x14ac:dyDescent="0.25"/>
    <row r="182392" s="12" customFormat="1" x14ac:dyDescent="0.25"/>
    <row r="182393" s="12" customFormat="1" x14ac:dyDescent="0.25"/>
    <row r="182394" s="12" customFormat="1" x14ac:dyDescent="0.25"/>
    <row r="182395" s="12" customFormat="1" x14ac:dyDescent="0.25"/>
    <row r="182396" s="12" customFormat="1" x14ac:dyDescent="0.25"/>
    <row r="182397" s="12" customFormat="1" x14ac:dyDescent="0.25"/>
    <row r="182398" s="12" customFormat="1" x14ac:dyDescent="0.25"/>
    <row r="182399" s="12" customFormat="1" x14ac:dyDescent="0.25"/>
    <row r="182400" s="12" customFormat="1" x14ac:dyDescent="0.25"/>
    <row r="182401" s="12" customFormat="1" x14ac:dyDescent="0.25"/>
    <row r="182402" s="12" customFormat="1" x14ac:dyDescent="0.25"/>
    <row r="182403" s="12" customFormat="1" x14ac:dyDescent="0.25"/>
    <row r="182404" s="12" customFormat="1" x14ac:dyDescent="0.25"/>
    <row r="182405" s="12" customFormat="1" x14ac:dyDescent="0.25"/>
    <row r="182406" s="12" customFormat="1" x14ac:dyDescent="0.25"/>
    <row r="182407" s="12" customFormat="1" x14ac:dyDescent="0.25"/>
    <row r="182408" s="12" customFormat="1" x14ac:dyDescent="0.25"/>
    <row r="182409" s="12" customFormat="1" x14ac:dyDescent="0.25"/>
    <row r="182410" s="12" customFormat="1" x14ac:dyDescent="0.25"/>
    <row r="182411" s="12" customFormat="1" x14ac:dyDescent="0.25"/>
    <row r="182412" s="12" customFormat="1" x14ac:dyDescent="0.25"/>
    <row r="182413" s="12" customFormat="1" x14ac:dyDescent="0.25"/>
    <row r="182414" s="12" customFormat="1" x14ac:dyDescent="0.25"/>
    <row r="182415" s="12" customFormat="1" x14ac:dyDescent="0.25"/>
    <row r="182416" s="12" customFormat="1" x14ac:dyDescent="0.25"/>
    <row r="182417" s="12" customFormat="1" x14ac:dyDescent="0.25"/>
    <row r="182418" s="12" customFormat="1" x14ac:dyDescent="0.25"/>
    <row r="182419" s="12" customFormat="1" x14ac:dyDescent="0.25"/>
    <row r="182420" s="12" customFormat="1" x14ac:dyDescent="0.25"/>
    <row r="182421" s="12" customFormat="1" x14ac:dyDescent="0.25"/>
    <row r="182422" s="12" customFormat="1" x14ac:dyDescent="0.25"/>
    <row r="182423" s="12" customFormat="1" x14ac:dyDescent="0.25"/>
    <row r="182424" s="12" customFormat="1" x14ac:dyDescent="0.25"/>
    <row r="182425" s="12" customFormat="1" x14ac:dyDescent="0.25"/>
    <row r="182426" s="12" customFormat="1" x14ac:dyDescent="0.25"/>
    <row r="182427" s="12" customFormat="1" x14ac:dyDescent="0.25"/>
    <row r="182428" s="12" customFormat="1" x14ac:dyDescent="0.25"/>
    <row r="182429" s="12" customFormat="1" x14ac:dyDescent="0.25"/>
    <row r="182430" s="12" customFormat="1" x14ac:dyDescent="0.25"/>
    <row r="182431" s="12" customFormat="1" x14ac:dyDescent="0.25"/>
    <row r="182432" s="12" customFormat="1" x14ac:dyDescent="0.25"/>
    <row r="182433" s="12" customFormat="1" x14ac:dyDescent="0.25"/>
    <row r="182434" s="12" customFormat="1" x14ac:dyDescent="0.25"/>
    <row r="182435" s="12" customFormat="1" x14ac:dyDescent="0.25"/>
    <row r="182436" s="12" customFormat="1" x14ac:dyDescent="0.25"/>
    <row r="182437" s="12" customFormat="1" x14ac:dyDescent="0.25"/>
    <row r="182438" s="12" customFormat="1" x14ac:dyDescent="0.25"/>
    <row r="182439" s="12" customFormat="1" x14ac:dyDescent="0.25"/>
    <row r="182440" s="12" customFormat="1" x14ac:dyDescent="0.25"/>
    <row r="182441" s="12" customFormat="1" x14ac:dyDescent="0.25"/>
    <row r="182442" s="12" customFormat="1" x14ac:dyDescent="0.25"/>
    <row r="182443" s="12" customFormat="1" x14ac:dyDescent="0.25"/>
    <row r="182444" s="12" customFormat="1" x14ac:dyDescent="0.25"/>
    <row r="182445" s="12" customFormat="1" x14ac:dyDescent="0.25"/>
    <row r="182446" s="12" customFormat="1" x14ac:dyDescent="0.25"/>
    <row r="182447" s="12" customFormat="1" x14ac:dyDescent="0.25"/>
    <row r="182448" s="12" customFormat="1" x14ac:dyDescent="0.25"/>
    <row r="182449" s="12" customFormat="1" x14ac:dyDescent="0.25"/>
    <row r="182450" s="12" customFormat="1" x14ac:dyDescent="0.25"/>
    <row r="182451" s="12" customFormat="1" x14ac:dyDescent="0.25"/>
    <row r="182452" s="12" customFormat="1" x14ac:dyDescent="0.25"/>
    <row r="182453" s="12" customFormat="1" x14ac:dyDescent="0.25"/>
    <row r="182454" s="12" customFormat="1" x14ac:dyDescent="0.25"/>
    <row r="182455" s="12" customFormat="1" x14ac:dyDescent="0.25"/>
    <row r="182456" s="12" customFormat="1" x14ac:dyDescent="0.25"/>
    <row r="182457" s="12" customFormat="1" x14ac:dyDescent="0.25"/>
    <row r="182458" s="12" customFormat="1" x14ac:dyDescent="0.25"/>
    <row r="182459" s="12" customFormat="1" x14ac:dyDescent="0.25"/>
    <row r="182460" s="12" customFormat="1" x14ac:dyDescent="0.25"/>
    <row r="182461" s="12" customFormat="1" x14ac:dyDescent="0.25"/>
    <row r="182462" s="12" customFormat="1" x14ac:dyDescent="0.25"/>
    <row r="182463" s="12" customFormat="1" x14ac:dyDescent="0.25"/>
    <row r="182464" s="12" customFormat="1" x14ac:dyDescent="0.25"/>
    <row r="182465" s="12" customFormat="1" x14ac:dyDescent="0.25"/>
    <row r="182466" s="12" customFormat="1" x14ac:dyDescent="0.25"/>
    <row r="182467" s="12" customFormat="1" x14ac:dyDescent="0.25"/>
    <row r="182468" s="12" customFormat="1" x14ac:dyDescent="0.25"/>
    <row r="182469" s="12" customFormat="1" x14ac:dyDescent="0.25"/>
    <row r="182470" s="12" customFormat="1" x14ac:dyDescent="0.25"/>
    <row r="182471" s="12" customFormat="1" x14ac:dyDescent="0.25"/>
    <row r="182472" s="12" customFormat="1" x14ac:dyDescent="0.25"/>
    <row r="182473" s="12" customFormat="1" x14ac:dyDescent="0.25"/>
    <row r="182474" s="12" customFormat="1" x14ac:dyDescent="0.25"/>
    <row r="182475" s="12" customFormat="1" x14ac:dyDescent="0.25"/>
    <row r="182476" s="12" customFormat="1" x14ac:dyDescent="0.25"/>
    <row r="182477" s="12" customFormat="1" x14ac:dyDescent="0.25"/>
    <row r="182478" s="12" customFormat="1" x14ac:dyDescent="0.25"/>
    <row r="182479" s="12" customFormat="1" x14ac:dyDescent="0.25"/>
    <row r="182480" s="12" customFormat="1" x14ac:dyDescent="0.25"/>
    <row r="182481" s="12" customFormat="1" x14ac:dyDescent="0.25"/>
    <row r="182482" s="12" customFormat="1" x14ac:dyDescent="0.25"/>
    <row r="182483" s="12" customFormat="1" x14ac:dyDescent="0.25"/>
    <row r="182484" s="12" customFormat="1" x14ac:dyDescent="0.25"/>
    <row r="182485" s="12" customFormat="1" x14ac:dyDescent="0.25"/>
    <row r="182486" s="12" customFormat="1" x14ac:dyDescent="0.25"/>
    <row r="182487" s="12" customFormat="1" x14ac:dyDescent="0.25"/>
    <row r="182488" s="12" customFormat="1" x14ac:dyDescent="0.25"/>
    <row r="182489" s="12" customFormat="1" x14ac:dyDescent="0.25"/>
    <row r="182490" s="12" customFormat="1" x14ac:dyDescent="0.25"/>
    <row r="182491" s="12" customFormat="1" x14ac:dyDescent="0.25"/>
    <row r="182492" s="12" customFormat="1" x14ac:dyDescent="0.25"/>
    <row r="182493" s="12" customFormat="1" x14ac:dyDescent="0.25"/>
    <row r="182494" s="12" customFormat="1" x14ac:dyDescent="0.25"/>
    <row r="182495" s="12" customFormat="1" x14ac:dyDescent="0.25"/>
    <row r="182496" s="12" customFormat="1" x14ac:dyDescent="0.25"/>
    <row r="182497" s="12" customFormat="1" x14ac:dyDescent="0.25"/>
    <row r="182498" s="12" customFormat="1" x14ac:dyDescent="0.25"/>
    <row r="182499" s="12" customFormat="1" x14ac:dyDescent="0.25"/>
    <row r="182500" s="12" customFormat="1" x14ac:dyDescent="0.25"/>
    <row r="182501" s="12" customFormat="1" x14ac:dyDescent="0.25"/>
    <row r="182502" s="12" customFormat="1" x14ac:dyDescent="0.25"/>
    <row r="182503" s="12" customFormat="1" x14ac:dyDescent="0.25"/>
    <row r="182504" s="12" customFormat="1" x14ac:dyDescent="0.25"/>
    <row r="182505" s="12" customFormat="1" x14ac:dyDescent="0.25"/>
    <row r="182506" s="12" customFormat="1" x14ac:dyDescent="0.25"/>
    <row r="182507" s="12" customFormat="1" x14ac:dyDescent="0.25"/>
    <row r="182508" s="12" customFormat="1" x14ac:dyDescent="0.25"/>
    <row r="182509" s="12" customFormat="1" x14ac:dyDescent="0.25"/>
    <row r="182510" s="12" customFormat="1" x14ac:dyDescent="0.25"/>
    <row r="182511" s="12" customFormat="1" x14ac:dyDescent="0.25"/>
    <row r="182512" s="12" customFormat="1" x14ac:dyDescent="0.25"/>
    <row r="182513" s="12" customFormat="1" x14ac:dyDescent="0.25"/>
    <row r="182514" s="12" customFormat="1" x14ac:dyDescent="0.25"/>
    <row r="182515" s="12" customFormat="1" x14ac:dyDescent="0.25"/>
    <row r="182516" s="12" customFormat="1" x14ac:dyDescent="0.25"/>
    <row r="182517" s="12" customFormat="1" x14ac:dyDescent="0.25"/>
    <row r="182518" s="12" customFormat="1" x14ac:dyDescent="0.25"/>
    <row r="182519" s="12" customFormat="1" x14ac:dyDescent="0.25"/>
    <row r="182520" s="12" customFormat="1" x14ac:dyDescent="0.25"/>
    <row r="182521" s="12" customFormat="1" x14ac:dyDescent="0.25"/>
    <row r="182522" s="12" customFormat="1" x14ac:dyDescent="0.25"/>
    <row r="182523" s="12" customFormat="1" x14ac:dyDescent="0.25"/>
    <row r="182524" s="12" customFormat="1" x14ac:dyDescent="0.25"/>
    <row r="182525" s="12" customFormat="1" x14ac:dyDescent="0.25"/>
    <row r="182526" s="12" customFormat="1" x14ac:dyDescent="0.25"/>
    <row r="182527" s="12" customFormat="1" x14ac:dyDescent="0.25"/>
    <row r="182528" s="12" customFormat="1" x14ac:dyDescent="0.25"/>
    <row r="182529" s="12" customFormat="1" x14ac:dyDescent="0.25"/>
    <row r="182530" s="12" customFormat="1" x14ac:dyDescent="0.25"/>
    <row r="182531" s="12" customFormat="1" x14ac:dyDescent="0.25"/>
    <row r="182532" s="12" customFormat="1" x14ac:dyDescent="0.25"/>
    <row r="182533" s="12" customFormat="1" x14ac:dyDescent="0.25"/>
    <row r="182534" s="12" customFormat="1" x14ac:dyDescent="0.25"/>
    <row r="182535" s="12" customFormat="1" x14ac:dyDescent="0.25"/>
    <row r="182536" s="12" customFormat="1" x14ac:dyDescent="0.25"/>
    <row r="182537" s="12" customFormat="1" x14ac:dyDescent="0.25"/>
    <row r="182538" s="12" customFormat="1" x14ac:dyDescent="0.25"/>
    <row r="182539" s="12" customFormat="1" x14ac:dyDescent="0.25"/>
    <row r="182540" s="12" customFormat="1" x14ac:dyDescent="0.25"/>
    <row r="182541" s="12" customFormat="1" x14ac:dyDescent="0.25"/>
    <row r="182542" s="12" customFormat="1" x14ac:dyDescent="0.25"/>
    <row r="182543" s="12" customFormat="1" x14ac:dyDescent="0.25"/>
    <row r="182544" s="12" customFormat="1" x14ac:dyDescent="0.25"/>
    <row r="182545" s="12" customFormat="1" x14ac:dyDescent="0.25"/>
    <row r="182546" s="12" customFormat="1" x14ac:dyDescent="0.25"/>
    <row r="182547" s="12" customFormat="1" x14ac:dyDescent="0.25"/>
    <row r="182548" s="12" customFormat="1" x14ac:dyDescent="0.25"/>
    <row r="182549" s="12" customFormat="1" x14ac:dyDescent="0.25"/>
    <row r="182550" s="12" customFormat="1" x14ac:dyDescent="0.25"/>
    <row r="182551" s="12" customFormat="1" x14ac:dyDescent="0.25"/>
    <row r="182552" s="12" customFormat="1" x14ac:dyDescent="0.25"/>
    <row r="182553" s="12" customFormat="1" x14ac:dyDescent="0.25"/>
    <row r="182554" s="12" customFormat="1" x14ac:dyDescent="0.25"/>
    <row r="182555" s="12" customFormat="1" x14ac:dyDescent="0.25"/>
    <row r="182556" s="12" customFormat="1" x14ac:dyDescent="0.25"/>
    <row r="182557" s="12" customFormat="1" x14ac:dyDescent="0.25"/>
    <row r="182558" s="12" customFormat="1" x14ac:dyDescent="0.25"/>
    <row r="182559" s="12" customFormat="1" x14ac:dyDescent="0.25"/>
    <row r="182560" s="12" customFormat="1" x14ac:dyDescent="0.25"/>
    <row r="182561" s="12" customFormat="1" x14ac:dyDescent="0.25"/>
    <row r="182562" s="12" customFormat="1" x14ac:dyDescent="0.25"/>
    <row r="182563" s="12" customFormat="1" x14ac:dyDescent="0.25"/>
    <row r="182564" s="12" customFormat="1" x14ac:dyDescent="0.25"/>
    <row r="182565" s="12" customFormat="1" x14ac:dyDescent="0.25"/>
    <row r="182566" s="12" customFormat="1" x14ac:dyDescent="0.25"/>
    <row r="182567" s="12" customFormat="1" x14ac:dyDescent="0.25"/>
    <row r="182568" s="12" customFormat="1" x14ac:dyDescent="0.25"/>
    <row r="182569" s="12" customFormat="1" x14ac:dyDescent="0.25"/>
    <row r="182570" s="12" customFormat="1" x14ac:dyDescent="0.25"/>
    <row r="182571" s="12" customFormat="1" x14ac:dyDescent="0.25"/>
    <row r="182572" s="12" customFormat="1" x14ac:dyDescent="0.25"/>
    <row r="182573" s="12" customFormat="1" x14ac:dyDescent="0.25"/>
    <row r="182574" s="12" customFormat="1" x14ac:dyDescent="0.25"/>
    <row r="182575" s="12" customFormat="1" x14ac:dyDescent="0.25"/>
    <row r="182576" s="12" customFormat="1" x14ac:dyDescent="0.25"/>
    <row r="182577" s="12" customFormat="1" x14ac:dyDescent="0.25"/>
    <row r="182578" s="12" customFormat="1" x14ac:dyDescent="0.25"/>
    <row r="182579" s="12" customFormat="1" x14ac:dyDescent="0.25"/>
    <row r="182580" s="12" customFormat="1" x14ac:dyDescent="0.25"/>
    <row r="182581" s="12" customFormat="1" x14ac:dyDescent="0.25"/>
    <row r="182582" s="12" customFormat="1" x14ac:dyDescent="0.25"/>
    <row r="182583" s="12" customFormat="1" x14ac:dyDescent="0.25"/>
    <row r="182584" s="12" customFormat="1" x14ac:dyDescent="0.25"/>
    <row r="182585" s="12" customFormat="1" x14ac:dyDescent="0.25"/>
    <row r="182586" s="12" customFormat="1" x14ac:dyDescent="0.25"/>
    <row r="182587" s="12" customFormat="1" x14ac:dyDescent="0.25"/>
    <row r="182588" s="12" customFormat="1" x14ac:dyDescent="0.25"/>
    <row r="182589" s="12" customFormat="1" x14ac:dyDescent="0.25"/>
    <row r="182590" s="12" customFormat="1" x14ac:dyDescent="0.25"/>
    <row r="182591" s="12" customFormat="1" x14ac:dyDescent="0.25"/>
    <row r="182592" s="12" customFormat="1" x14ac:dyDescent="0.25"/>
    <row r="182593" s="12" customFormat="1" x14ac:dyDescent="0.25"/>
    <row r="182594" s="12" customFormat="1" x14ac:dyDescent="0.25"/>
    <row r="182595" s="12" customFormat="1" x14ac:dyDescent="0.25"/>
    <row r="182596" s="12" customFormat="1" x14ac:dyDescent="0.25"/>
    <row r="182597" s="12" customFormat="1" x14ac:dyDescent="0.25"/>
    <row r="182598" s="12" customFormat="1" x14ac:dyDescent="0.25"/>
    <row r="182599" s="12" customFormat="1" x14ac:dyDescent="0.25"/>
    <row r="182600" s="12" customFormat="1" x14ac:dyDescent="0.25"/>
    <row r="182601" s="12" customFormat="1" x14ac:dyDescent="0.25"/>
    <row r="182602" s="12" customFormat="1" x14ac:dyDescent="0.25"/>
    <row r="182603" s="12" customFormat="1" x14ac:dyDescent="0.25"/>
    <row r="182604" s="12" customFormat="1" x14ac:dyDescent="0.25"/>
    <row r="182605" s="12" customFormat="1" x14ac:dyDescent="0.25"/>
    <row r="182606" s="12" customFormat="1" x14ac:dyDescent="0.25"/>
    <row r="182607" s="12" customFormat="1" x14ac:dyDescent="0.25"/>
    <row r="182608" s="12" customFormat="1" x14ac:dyDescent="0.25"/>
    <row r="182609" s="12" customFormat="1" x14ac:dyDescent="0.25"/>
    <row r="182610" s="12" customFormat="1" x14ac:dyDescent="0.25"/>
    <row r="182611" s="12" customFormat="1" x14ac:dyDescent="0.25"/>
    <row r="182612" s="12" customFormat="1" x14ac:dyDescent="0.25"/>
    <row r="182613" s="12" customFormat="1" x14ac:dyDescent="0.25"/>
    <row r="182614" s="12" customFormat="1" x14ac:dyDescent="0.25"/>
    <row r="182615" s="12" customFormat="1" x14ac:dyDescent="0.25"/>
    <row r="182616" s="12" customFormat="1" x14ac:dyDescent="0.25"/>
    <row r="182617" s="12" customFormat="1" x14ac:dyDescent="0.25"/>
    <row r="182618" s="12" customFormat="1" x14ac:dyDescent="0.25"/>
    <row r="182619" s="12" customFormat="1" x14ac:dyDescent="0.25"/>
    <row r="182620" s="12" customFormat="1" x14ac:dyDescent="0.25"/>
    <row r="182621" s="12" customFormat="1" x14ac:dyDescent="0.25"/>
    <row r="182622" s="12" customFormat="1" x14ac:dyDescent="0.25"/>
    <row r="182623" s="12" customFormat="1" x14ac:dyDescent="0.25"/>
    <row r="182624" s="12" customFormat="1" x14ac:dyDescent="0.25"/>
    <row r="182625" s="12" customFormat="1" x14ac:dyDescent="0.25"/>
    <row r="182626" s="12" customFormat="1" x14ac:dyDescent="0.25"/>
    <row r="182627" s="12" customFormat="1" x14ac:dyDescent="0.25"/>
    <row r="182628" s="12" customFormat="1" x14ac:dyDescent="0.25"/>
    <row r="182629" s="12" customFormat="1" x14ac:dyDescent="0.25"/>
    <row r="182630" s="12" customFormat="1" x14ac:dyDescent="0.25"/>
    <row r="182631" s="12" customFormat="1" x14ac:dyDescent="0.25"/>
    <row r="182632" s="12" customFormat="1" x14ac:dyDescent="0.25"/>
    <row r="182633" s="12" customFormat="1" x14ac:dyDescent="0.25"/>
    <row r="182634" s="12" customFormat="1" x14ac:dyDescent="0.25"/>
    <row r="182635" s="12" customFormat="1" x14ac:dyDescent="0.25"/>
    <row r="182636" s="12" customFormat="1" x14ac:dyDescent="0.25"/>
    <row r="182637" s="12" customFormat="1" x14ac:dyDescent="0.25"/>
    <row r="182638" s="12" customFormat="1" x14ac:dyDescent="0.25"/>
    <row r="182639" s="12" customFormat="1" x14ac:dyDescent="0.25"/>
    <row r="182640" s="12" customFormat="1" x14ac:dyDescent="0.25"/>
    <row r="182641" s="12" customFormat="1" x14ac:dyDescent="0.25"/>
    <row r="182642" s="12" customFormat="1" x14ac:dyDescent="0.25"/>
    <row r="182643" s="12" customFormat="1" x14ac:dyDescent="0.25"/>
    <row r="182644" s="12" customFormat="1" x14ac:dyDescent="0.25"/>
    <row r="182645" s="12" customFormat="1" x14ac:dyDescent="0.25"/>
    <row r="182646" s="12" customFormat="1" x14ac:dyDescent="0.25"/>
    <row r="182647" s="12" customFormat="1" x14ac:dyDescent="0.25"/>
    <row r="182648" s="12" customFormat="1" x14ac:dyDescent="0.25"/>
    <row r="182649" s="12" customFormat="1" x14ac:dyDescent="0.25"/>
    <row r="182650" s="12" customFormat="1" x14ac:dyDescent="0.25"/>
    <row r="182651" s="12" customFormat="1" x14ac:dyDescent="0.25"/>
    <row r="182652" s="12" customFormat="1" x14ac:dyDescent="0.25"/>
    <row r="182653" s="12" customFormat="1" x14ac:dyDescent="0.25"/>
    <row r="182654" s="12" customFormat="1" x14ac:dyDescent="0.25"/>
    <row r="182655" s="12" customFormat="1" x14ac:dyDescent="0.25"/>
    <row r="182656" s="12" customFormat="1" x14ac:dyDescent="0.25"/>
    <row r="182657" s="12" customFormat="1" x14ac:dyDescent="0.25"/>
    <row r="182658" s="12" customFormat="1" x14ac:dyDescent="0.25"/>
    <row r="182659" s="12" customFormat="1" x14ac:dyDescent="0.25"/>
    <row r="182660" s="12" customFormat="1" x14ac:dyDescent="0.25"/>
    <row r="182661" s="12" customFormat="1" x14ac:dyDescent="0.25"/>
    <row r="182662" s="12" customFormat="1" x14ac:dyDescent="0.25"/>
    <row r="182663" s="12" customFormat="1" x14ac:dyDescent="0.25"/>
    <row r="182664" s="12" customFormat="1" x14ac:dyDescent="0.25"/>
    <row r="182665" s="12" customFormat="1" x14ac:dyDescent="0.25"/>
    <row r="182666" s="12" customFormat="1" x14ac:dyDescent="0.25"/>
    <row r="182667" s="12" customFormat="1" x14ac:dyDescent="0.25"/>
    <row r="182668" s="12" customFormat="1" x14ac:dyDescent="0.25"/>
    <row r="182669" s="12" customFormat="1" x14ac:dyDescent="0.25"/>
    <row r="182670" s="12" customFormat="1" x14ac:dyDescent="0.25"/>
    <row r="182671" s="12" customFormat="1" x14ac:dyDescent="0.25"/>
    <row r="182672" s="12" customFormat="1" x14ac:dyDescent="0.25"/>
    <row r="182673" s="12" customFormat="1" x14ac:dyDescent="0.25"/>
    <row r="182674" s="12" customFormat="1" x14ac:dyDescent="0.25"/>
    <row r="182675" s="12" customFormat="1" x14ac:dyDescent="0.25"/>
    <row r="182676" s="12" customFormat="1" x14ac:dyDescent="0.25"/>
    <row r="182677" s="12" customFormat="1" x14ac:dyDescent="0.25"/>
    <row r="182678" s="12" customFormat="1" x14ac:dyDescent="0.25"/>
    <row r="182679" s="12" customFormat="1" x14ac:dyDescent="0.25"/>
    <row r="182680" s="12" customFormat="1" x14ac:dyDescent="0.25"/>
    <row r="182681" s="12" customFormat="1" x14ac:dyDescent="0.25"/>
    <row r="182682" s="12" customFormat="1" x14ac:dyDescent="0.25"/>
    <row r="182683" s="12" customFormat="1" x14ac:dyDescent="0.25"/>
    <row r="182684" s="12" customFormat="1" x14ac:dyDescent="0.25"/>
    <row r="182685" s="12" customFormat="1" x14ac:dyDescent="0.25"/>
    <row r="182686" s="12" customFormat="1" x14ac:dyDescent="0.25"/>
    <row r="182687" s="12" customFormat="1" x14ac:dyDescent="0.25"/>
    <row r="182688" s="12" customFormat="1" x14ac:dyDescent="0.25"/>
    <row r="182689" s="12" customFormat="1" x14ac:dyDescent="0.25"/>
    <row r="182690" s="12" customFormat="1" x14ac:dyDescent="0.25"/>
    <row r="182691" s="12" customFormat="1" x14ac:dyDescent="0.25"/>
    <row r="182692" s="12" customFormat="1" x14ac:dyDescent="0.25"/>
    <row r="182693" s="12" customFormat="1" x14ac:dyDescent="0.25"/>
    <row r="182694" s="12" customFormat="1" x14ac:dyDescent="0.25"/>
    <row r="182695" s="12" customFormat="1" x14ac:dyDescent="0.25"/>
    <row r="182696" s="12" customFormat="1" x14ac:dyDescent="0.25"/>
    <row r="182697" s="12" customFormat="1" x14ac:dyDescent="0.25"/>
    <row r="182698" s="12" customFormat="1" x14ac:dyDescent="0.25"/>
    <row r="182699" s="12" customFormat="1" x14ac:dyDescent="0.25"/>
    <row r="182700" s="12" customFormat="1" x14ac:dyDescent="0.25"/>
    <row r="182701" s="12" customFormat="1" x14ac:dyDescent="0.25"/>
    <row r="182702" s="12" customFormat="1" x14ac:dyDescent="0.25"/>
    <row r="182703" s="12" customFormat="1" x14ac:dyDescent="0.25"/>
    <row r="182704" s="12" customFormat="1" x14ac:dyDescent="0.25"/>
    <row r="182705" s="12" customFormat="1" x14ac:dyDescent="0.25"/>
    <row r="182706" s="12" customFormat="1" x14ac:dyDescent="0.25"/>
    <row r="182707" s="12" customFormat="1" x14ac:dyDescent="0.25"/>
    <row r="182708" s="12" customFormat="1" x14ac:dyDescent="0.25"/>
    <row r="182709" s="12" customFormat="1" x14ac:dyDescent="0.25"/>
    <row r="182710" s="12" customFormat="1" x14ac:dyDescent="0.25"/>
    <row r="182711" s="12" customFormat="1" x14ac:dyDescent="0.25"/>
    <row r="182712" s="12" customFormat="1" x14ac:dyDescent="0.25"/>
    <row r="182713" s="12" customFormat="1" x14ac:dyDescent="0.25"/>
    <row r="182714" s="12" customFormat="1" x14ac:dyDescent="0.25"/>
    <row r="182715" s="12" customFormat="1" x14ac:dyDescent="0.25"/>
    <row r="182716" s="12" customFormat="1" x14ac:dyDescent="0.25"/>
    <row r="182717" s="12" customFormat="1" x14ac:dyDescent="0.25"/>
    <row r="182718" s="12" customFormat="1" x14ac:dyDescent="0.25"/>
    <row r="182719" s="12" customFormat="1" x14ac:dyDescent="0.25"/>
    <row r="182720" s="12" customFormat="1" x14ac:dyDescent="0.25"/>
    <row r="182721" s="12" customFormat="1" x14ac:dyDescent="0.25"/>
    <row r="182722" s="12" customFormat="1" x14ac:dyDescent="0.25"/>
    <row r="182723" s="12" customFormat="1" x14ac:dyDescent="0.25"/>
    <row r="182724" s="12" customFormat="1" x14ac:dyDescent="0.25"/>
    <row r="182725" s="12" customFormat="1" x14ac:dyDescent="0.25"/>
    <row r="182726" s="12" customFormat="1" x14ac:dyDescent="0.25"/>
    <row r="182727" s="12" customFormat="1" x14ac:dyDescent="0.25"/>
    <row r="182728" s="12" customFormat="1" x14ac:dyDescent="0.25"/>
    <row r="182729" s="12" customFormat="1" x14ac:dyDescent="0.25"/>
    <row r="182730" s="12" customFormat="1" x14ac:dyDescent="0.25"/>
    <row r="182731" s="12" customFormat="1" x14ac:dyDescent="0.25"/>
    <row r="182732" s="12" customFormat="1" x14ac:dyDescent="0.25"/>
    <row r="182733" s="12" customFormat="1" x14ac:dyDescent="0.25"/>
    <row r="182734" s="12" customFormat="1" x14ac:dyDescent="0.25"/>
    <row r="182735" s="12" customFormat="1" x14ac:dyDescent="0.25"/>
    <row r="182736" s="12" customFormat="1" x14ac:dyDescent="0.25"/>
    <row r="182737" s="12" customFormat="1" x14ac:dyDescent="0.25"/>
    <row r="182738" s="12" customFormat="1" x14ac:dyDescent="0.25"/>
    <row r="182739" s="12" customFormat="1" x14ac:dyDescent="0.25"/>
    <row r="182740" s="12" customFormat="1" x14ac:dyDescent="0.25"/>
    <row r="182741" s="12" customFormat="1" x14ac:dyDescent="0.25"/>
    <row r="182742" s="12" customFormat="1" x14ac:dyDescent="0.25"/>
    <row r="182743" s="12" customFormat="1" x14ac:dyDescent="0.25"/>
    <row r="182744" s="12" customFormat="1" x14ac:dyDescent="0.25"/>
    <row r="182745" s="12" customFormat="1" x14ac:dyDescent="0.25"/>
    <row r="182746" s="12" customFormat="1" x14ac:dyDescent="0.25"/>
    <row r="182747" s="12" customFormat="1" x14ac:dyDescent="0.25"/>
    <row r="182748" s="12" customFormat="1" x14ac:dyDescent="0.25"/>
    <row r="182749" s="12" customFormat="1" x14ac:dyDescent="0.25"/>
    <row r="182750" s="12" customFormat="1" x14ac:dyDescent="0.25"/>
    <row r="182751" s="12" customFormat="1" x14ac:dyDescent="0.25"/>
    <row r="182752" s="12" customFormat="1" x14ac:dyDescent="0.25"/>
    <row r="182753" s="12" customFormat="1" x14ac:dyDescent="0.25"/>
    <row r="182754" s="12" customFormat="1" x14ac:dyDescent="0.25"/>
    <row r="182755" s="12" customFormat="1" x14ac:dyDescent="0.25"/>
    <row r="182756" s="12" customFormat="1" x14ac:dyDescent="0.25"/>
    <row r="182757" s="12" customFormat="1" x14ac:dyDescent="0.25"/>
    <row r="182758" s="12" customFormat="1" x14ac:dyDescent="0.25"/>
    <row r="182759" s="12" customFormat="1" x14ac:dyDescent="0.25"/>
    <row r="182760" s="12" customFormat="1" x14ac:dyDescent="0.25"/>
    <row r="182761" s="12" customFormat="1" x14ac:dyDescent="0.25"/>
    <row r="182762" s="12" customFormat="1" x14ac:dyDescent="0.25"/>
    <row r="182763" s="12" customFormat="1" x14ac:dyDescent="0.25"/>
    <row r="182764" s="12" customFormat="1" x14ac:dyDescent="0.25"/>
    <row r="182765" s="12" customFormat="1" x14ac:dyDescent="0.25"/>
    <row r="182766" s="12" customFormat="1" x14ac:dyDescent="0.25"/>
    <row r="182767" s="12" customFormat="1" x14ac:dyDescent="0.25"/>
    <row r="182768" s="12" customFormat="1" x14ac:dyDescent="0.25"/>
    <row r="182769" s="12" customFormat="1" x14ac:dyDescent="0.25"/>
    <row r="182770" s="12" customFormat="1" x14ac:dyDescent="0.25"/>
    <row r="182771" s="12" customFormat="1" x14ac:dyDescent="0.25"/>
    <row r="182772" s="12" customFormat="1" x14ac:dyDescent="0.25"/>
    <row r="182773" s="12" customFormat="1" x14ac:dyDescent="0.25"/>
    <row r="182774" s="12" customFormat="1" x14ac:dyDescent="0.25"/>
    <row r="182775" s="12" customFormat="1" x14ac:dyDescent="0.25"/>
    <row r="182776" s="12" customFormat="1" x14ac:dyDescent="0.25"/>
    <row r="182777" s="12" customFormat="1" x14ac:dyDescent="0.25"/>
    <row r="182778" s="12" customFormat="1" x14ac:dyDescent="0.25"/>
    <row r="182779" s="12" customFormat="1" x14ac:dyDescent="0.25"/>
    <row r="182780" s="12" customFormat="1" x14ac:dyDescent="0.25"/>
    <row r="182781" s="12" customFormat="1" x14ac:dyDescent="0.25"/>
    <row r="182782" s="12" customFormat="1" x14ac:dyDescent="0.25"/>
    <row r="182783" s="12" customFormat="1" x14ac:dyDescent="0.25"/>
    <row r="182784" s="12" customFormat="1" x14ac:dyDescent="0.25"/>
    <row r="182785" s="12" customFormat="1" x14ac:dyDescent="0.25"/>
    <row r="182786" s="12" customFormat="1" x14ac:dyDescent="0.25"/>
    <row r="182787" s="12" customFormat="1" x14ac:dyDescent="0.25"/>
    <row r="182788" s="12" customFormat="1" x14ac:dyDescent="0.25"/>
    <row r="182789" s="12" customFormat="1" x14ac:dyDescent="0.25"/>
    <row r="182790" s="12" customFormat="1" x14ac:dyDescent="0.25"/>
    <row r="182791" s="12" customFormat="1" x14ac:dyDescent="0.25"/>
    <row r="182792" s="12" customFormat="1" x14ac:dyDescent="0.25"/>
    <row r="182793" s="12" customFormat="1" x14ac:dyDescent="0.25"/>
    <row r="182794" s="12" customFormat="1" x14ac:dyDescent="0.25"/>
    <row r="182795" s="12" customFormat="1" x14ac:dyDescent="0.25"/>
    <row r="182796" s="12" customFormat="1" x14ac:dyDescent="0.25"/>
    <row r="182797" s="12" customFormat="1" x14ac:dyDescent="0.25"/>
    <row r="182798" s="12" customFormat="1" x14ac:dyDescent="0.25"/>
    <row r="182799" s="12" customFormat="1" x14ac:dyDescent="0.25"/>
    <row r="182800" s="12" customFormat="1" x14ac:dyDescent="0.25"/>
    <row r="182801" s="12" customFormat="1" x14ac:dyDescent="0.25"/>
    <row r="182802" s="12" customFormat="1" x14ac:dyDescent="0.25"/>
    <row r="182803" s="12" customFormat="1" x14ac:dyDescent="0.25"/>
    <row r="182804" s="12" customFormat="1" x14ac:dyDescent="0.25"/>
    <row r="182805" s="12" customFormat="1" x14ac:dyDescent="0.25"/>
    <row r="182806" s="12" customFormat="1" x14ac:dyDescent="0.25"/>
    <row r="182807" s="12" customFormat="1" x14ac:dyDescent="0.25"/>
    <row r="182808" s="12" customFormat="1" x14ac:dyDescent="0.25"/>
    <row r="182809" s="12" customFormat="1" x14ac:dyDescent="0.25"/>
    <row r="182810" s="12" customFormat="1" x14ac:dyDescent="0.25"/>
    <row r="182811" s="12" customFormat="1" x14ac:dyDescent="0.25"/>
    <row r="182812" s="12" customFormat="1" x14ac:dyDescent="0.25"/>
    <row r="182813" s="12" customFormat="1" x14ac:dyDescent="0.25"/>
    <row r="182814" s="12" customFormat="1" x14ac:dyDescent="0.25"/>
    <row r="182815" s="12" customFormat="1" x14ac:dyDescent="0.25"/>
    <row r="182816" s="12" customFormat="1" x14ac:dyDescent="0.25"/>
    <row r="182817" s="12" customFormat="1" x14ac:dyDescent="0.25"/>
    <row r="182818" s="12" customFormat="1" x14ac:dyDescent="0.25"/>
    <row r="182819" s="12" customFormat="1" x14ac:dyDescent="0.25"/>
    <row r="182820" s="12" customFormat="1" x14ac:dyDescent="0.25"/>
    <row r="182821" s="12" customFormat="1" x14ac:dyDescent="0.25"/>
    <row r="182822" s="12" customFormat="1" x14ac:dyDescent="0.25"/>
    <row r="182823" s="12" customFormat="1" x14ac:dyDescent="0.25"/>
    <row r="182824" s="12" customFormat="1" x14ac:dyDescent="0.25"/>
    <row r="182825" s="12" customFormat="1" x14ac:dyDescent="0.25"/>
    <row r="182826" s="12" customFormat="1" x14ac:dyDescent="0.25"/>
    <row r="182827" s="12" customFormat="1" x14ac:dyDescent="0.25"/>
    <row r="182828" s="12" customFormat="1" x14ac:dyDescent="0.25"/>
    <row r="182829" s="12" customFormat="1" x14ac:dyDescent="0.25"/>
    <row r="182830" s="12" customFormat="1" x14ac:dyDescent="0.25"/>
    <row r="182831" s="12" customFormat="1" x14ac:dyDescent="0.25"/>
    <row r="182832" s="12" customFormat="1" x14ac:dyDescent="0.25"/>
    <row r="182833" s="12" customFormat="1" x14ac:dyDescent="0.25"/>
    <row r="182834" s="12" customFormat="1" x14ac:dyDescent="0.25"/>
    <row r="182835" s="12" customFormat="1" x14ac:dyDescent="0.25"/>
    <row r="182836" s="12" customFormat="1" x14ac:dyDescent="0.25"/>
    <row r="182837" s="12" customFormat="1" x14ac:dyDescent="0.25"/>
    <row r="182838" s="12" customFormat="1" x14ac:dyDescent="0.25"/>
    <row r="182839" s="12" customFormat="1" x14ac:dyDescent="0.25"/>
    <row r="182840" s="12" customFormat="1" x14ac:dyDescent="0.25"/>
    <row r="182841" s="12" customFormat="1" x14ac:dyDescent="0.25"/>
    <row r="182842" s="12" customFormat="1" x14ac:dyDescent="0.25"/>
    <row r="182843" s="12" customFormat="1" x14ac:dyDescent="0.25"/>
    <row r="182844" s="12" customFormat="1" x14ac:dyDescent="0.25"/>
    <row r="182845" s="12" customFormat="1" x14ac:dyDescent="0.25"/>
    <row r="182846" s="12" customFormat="1" x14ac:dyDescent="0.25"/>
    <row r="182847" s="12" customFormat="1" x14ac:dyDescent="0.25"/>
    <row r="182848" s="12" customFormat="1" x14ac:dyDescent="0.25"/>
    <row r="182849" s="12" customFormat="1" x14ac:dyDescent="0.25"/>
    <row r="182850" s="12" customFormat="1" x14ac:dyDescent="0.25"/>
    <row r="182851" s="12" customFormat="1" x14ac:dyDescent="0.25"/>
    <row r="182852" s="12" customFormat="1" x14ac:dyDescent="0.25"/>
    <row r="182853" s="12" customFormat="1" x14ac:dyDescent="0.25"/>
    <row r="182854" s="12" customFormat="1" x14ac:dyDescent="0.25"/>
    <row r="182855" s="12" customFormat="1" x14ac:dyDescent="0.25"/>
    <row r="182856" s="12" customFormat="1" x14ac:dyDescent="0.25"/>
    <row r="182857" s="12" customFormat="1" x14ac:dyDescent="0.25"/>
    <row r="182858" s="12" customFormat="1" x14ac:dyDescent="0.25"/>
    <row r="182859" s="12" customFormat="1" x14ac:dyDescent="0.25"/>
    <row r="182860" s="12" customFormat="1" x14ac:dyDescent="0.25"/>
    <row r="182861" s="12" customFormat="1" x14ac:dyDescent="0.25"/>
    <row r="182862" s="12" customFormat="1" x14ac:dyDescent="0.25"/>
    <row r="182863" s="12" customFormat="1" x14ac:dyDescent="0.25"/>
    <row r="182864" s="12" customFormat="1" x14ac:dyDescent="0.25"/>
    <row r="182865" s="12" customFormat="1" x14ac:dyDescent="0.25"/>
    <row r="182866" s="12" customFormat="1" x14ac:dyDescent="0.25"/>
    <row r="182867" s="12" customFormat="1" x14ac:dyDescent="0.25"/>
    <row r="182868" s="12" customFormat="1" x14ac:dyDescent="0.25"/>
    <row r="182869" s="12" customFormat="1" x14ac:dyDescent="0.25"/>
    <row r="182870" s="12" customFormat="1" x14ac:dyDescent="0.25"/>
    <row r="182871" s="12" customFormat="1" x14ac:dyDescent="0.25"/>
    <row r="182872" s="12" customFormat="1" x14ac:dyDescent="0.25"/>
    <row r="182873" s="12" customFormat="1" x14ac:dyDescent="0.25"/>
    <row r="182874" s="12" customFormat="1" x14ac:dyDescent="0.25"/>
    <row r="182875" s="12" customFormat="1" x14ac:dyDescent="0.25"/>
    <row r="182876" s="12" customFormat="1" x14ac:dyDescent="0.25"/>
    <row r="182877" s="12" customFormat="1" x14ac:dyDescent="0.25"/>
    <row r="182878" s="12" customFormat="1" x14ac:dyDescent="0.25"/>
    <row r="182879" s="12" customFormat="1" x14ac:dyDescent="0.25"/>
    <row r="182880" s="12" customFormat="1" x14ac:dyDescent="0.25"/>
    <row r="182881" s="12" customFormat="1" x14ac:dyDescent="0.25"/>
    <row r="182882" s="12" customFormat="1" x14ac:dyDescent="0.25"/>
    <row r="182883" s="12" customFormat="1" x14ac:dyDescent="0.25"/>
    <row r="182884" s="12" customFormat="1" x14ac:dyDescent="0.25"/>
    <row r="182885" s="12" customFormat="1" x14ac:dyDescent="0.25"/>
    <row r="182886" s="12" customFormat="1" x14ac:dyDescent="0.25"/>
    <row r="182887" s="12" customFormat="1" x14ac:dyDescent="0.25"/>
    <row r="182888" s="12" customFormat="1" x14ac:dyDescent="0.25"/>
    <row r="182889" s="12" customFormat="1" x14ac:dyDescent="0.25"/>
    <row r="182890" s="12" customFormat="1" x14ac:dyDescent="0.25"/>
    <row r="182891" s="12" customFormat="1" x14ac:dyDescent="0.25"/>
    <row r="182892" s="12" customFormat="1" x14ac:dyDescent="0.25"/>
    <row r="182893" s="12" customFormat="1" x14ac:dyDescent="0.25"/>
    <row r="182894" s="12" customFormat="1" x14ac:dyDescent="0.25"/>
    <row r="182895" s="12" customFormat="1" x14ac:dyDescent="0.25"/>
    <row r="182896" s="12" customFormat="1" x14ac:dyDescent="0.25"/>
    <row r="182897" s="12" customFormat="1" x14ac:dyDescent="0.25"/>
    <row r="182898" s="12" customFormat="1" x14ac:dyDescent="0.25"/>
    <row r="182899" s="12" customFormat="1" x14ac:dyDescent="0.25"/>
    <row r="182900" s="12" customFormat="1" x14ac:dyDescent="0.25"/>
    <row r="182901" s="12" customFormat="1" x14ac:dyDescent="0.25"/>
    <row r="182902" s="12" customFormat="1" x14ac:dyDescent="0.25"/>
    <row r="182903" s="12" customFormat="1" x14ac:dyDescent="0.25"/>
    <row r="182904" s="12" customFormat="1" x14ac:dyDescent="0.25"/>
    <row r="182905" s="12" customFormat="1" x14ac:dyDescent="0.25"/>
    <row r="182906" s="12" customFormat="1" x14ac:dyDescent="0.25"/>
    <row r="182907" s="12" customFormat="1" x14ac:dyDescent="0.25"/>
    <row r="182908" s="12" customFormat="1" x14ac:dyDescent="0.25"/>
    <row r="182909" s="12" customFormat="1" x14ac:dyDescent="0.25"/>
    <row r="182910" s="12" customFormat="1" x14ac:dyDescent="0.25"/>
    <row r="182911" s="12" customFormat="1" x14ac:dyDescent="0.25"/>
    <row r="182912" s="12" customFormat="1" x14ac:dyDescent="0.25"/>
    <row r="182913" s="12" customFormat="1" x14ac:dyDescent="0.25"/>
    <row r="182914" s="12" customFormat="1" x14ac:dyDescent="0.25"/>
    <row r="182915" s="12" customFormat="1" x14ac:dyDescent="0.25"/>
    <row r="182916" s="12" customFormat="1" x14ac:dyDescent="0.25"/>
    <row r="182917" s="12" customFormat="1" x14ac:dyDescent="0.25"/>
    <row r="182918" s="12" customFormat="1" x14ac:dyDescent="0.25"/>
    <row r="182919" s="12" customFormat="1" x14ac:dyDescent="0.25"/>
    <row r="182920" s="12" customFormat="1" x14ac:dyDescent="0.25"/>
    <row r="182921" s="12" customFormat="1" x14ac:dyDescent="0.25"/>
    <row r="182922" s="12" customFormat="1" x14ac:dyDescent="0.25"/>
    <row r="182923" s="12" customFormat="1" x14ac:dyDescent="0.25"/>
    <row r="182924" s="12" customFormat="1" x14ac:dyDescent="0.25"/>
    <row r="182925" s="12" customFormat="1" x14ac:dyDescent="0.25"/>
    <row r="182926" s="12" customFormat="1" x14ac:dyDescent="0.25"/>
    <row r="182927" s="12" customFormat="1" x14ac:dyDescent="0.25"/>
    <row r="182928" s="12" customFormat="1" x14ac:dyDescent="0.25"/>
    <row r="182929" s="12" customFormat="1" x14ac:dyDescent="0.25"/>
    <row r="182930" s="12" customFormat="1" x14ac:dyDescent="0.25"/>
    <row r="182931" s="12" customFormat="1" x14ac:dyDescent="0.25"/>
    <row r="182932" s="12" customFormat="1" x14ac:dyDescent="0.25"/>
    <row r="182933" s="12" customFormat="1" x14ac:dyDescent="0.25"/>
    <row r="182934" s="12" customFormat="1" x14ac:dyDescent="0.25"/>
    <row r="182935" s="12" customFormat="1" x14ac:dyDescent="0.25"/>
    <row r="182936" s="12" customFormat="1" x14ac:dyDescent="0.25"/>
    <row r="182937" s="12" customFormat="1" x14ac:dyDescent="0.25"/>
    <row r="182938" s="12" customFormat="1" x14ac:dyDescent="0.25"/>
    <row r="182939" s="12" customFormat="1" x14ac:dyDescent="0.25"/>
    <row r="182940" s="12" customFormat="1" x14ac:dyDescent="0.25"/>
    <row r="182941" s="12" customFormat="1" x14ac:dyDescent="0.25"/>
    <row r="182942" s="12" customFormat="1" x14ac:dyDescent="0.25"/>
    <row r="182943" s="12" customFormat="1" x14ac:dyDescent="0.25"/>
    <row r="182944" s="12" customFormat="1" x14ac:dyDescent="0.25"/>
    <row r="182945" s="12" customFormat="1" x14ac:dyDescent="0.25"/>
    <row r="182946" s="12" customFormat="1" x14ac:dyDescent="0.25"/>
    <row r="182947" s="12" customFormat="1" x14ac:dyDescent="0.25"/>
    <row r="182948" s="12" customFormat="1" x14ac:dyDescent="0.25"/>
    <row r="182949" s="12" customFormat="1" x14ac:dyDescent="0.25"/>
    <row r="182950" s="12" customFormat="1" x14ac:dyDescent="0.25"/>
    <row r="182951" s="12" customFormat="1" x14ac:dyDescent="0.25"/>
    <row r="182952" s="12" customFormat="1" x14ac:dyDescent="0.25"/>
    <row r="182953" s="12" customFormat="1" x14ac:dyDescent="0.25"/>
    <row r="182954" s="12" customFormat="1" x14ac:dyDescent="0.25"/>
    <row r="182955" s="12" customFormat="1" x14ac:dyDescent="0.25"/>
    <row r="182956" s="12" customFormat="1" x14ac:dyDescent="0.25"/>
    <row r="182957" s="12" customFormat="1" x14ac:dyDescent="0.25"/>
    <row r="182958" s="12" customFormat="1" x14ac:dyDescent="0.25"/>
    <row r="182959" s="12" customFormat="1" x14ac:dyDescent="0.25"/>
    <row r="182960" s="12" customFormat="1" x14ac:dyDescent="0.25"/>
    <row r="182961" s="12" customFormat="1" x14ac:dyDescent="0.25"/>
    <row r="182962" s="12" customFormat="1" x14ac:dyDescent="0.25"/>
    <row r="182963" s="12" customFormat="1" x14ac:dyDescent="0.25"/>
    <row r="182964" s="12" customFormat="1" x14ac:dyDescent="0.25"/>
    <row r="182965" s="12" customFormat="1" x14ac:dyDescent="0.25"/>
    <row r="182966" s="12" customFormat="1" x14ac:dyDescent="0.25"/>
    <row r="182967" s="12" customFormat="1" x14ac:dyDescent="0.25"/>
    <row r="182968" s="12" customFormat="1" x14ac:dyDescent="0.25"/>
    <row r="182969" s="12" customFormat="1" x14ac:dyDescent="0.25"/>
    <row r="182970" s="12" customFormat="1" x14ac:dyDescent="0.25"/>
    <row r="182971" s="12" customFormat="1" x14ac:dyDescent="0.25"/>
    <row r="182972" s="12" customFormat="1" x14ac:dyDescent="0.25"/>
    <row r="182973" s="12" customFormat="1" x14ac:dyDescent="0.25"/>
    <row r="182974" s="12" customFormat="1" x14ac:dyDescent="0.25"/>
    <row r="182975" s="12" customFormat="1" x14ac:dyDescent="0.25"/>
    <row r="182976" s="12" customFormat="1" x14ac:dyDescent="0.25"/>
    <row r="182977" s="12" customFormat="1" x14ac:dyDescent="0.25"/>
    <row r="182978" s="12" customFormat="1" x14ac:dyDescent="0.25"/>
    <row r="182979" s="12" customFormat="1" x14ac:dyDescent="0.25"/>
    <row r="182980" s="12" customFormat="1" x14ac:dyDescent="0.25"/>
    <row r="182981" s="12" customFormat="1" x14ac:dyDescent="0.25"/>
    <row r="182982" s="12" customFormat="1" x14ac:dyDescent="0.25"/>
    <row r="182983" s="12" customFormat="1" x14ac:dyDescent="0.25"/>
    <row r="182984" s="12" customFormat="1" x14ac:dyDescent="0.25"/>
    <row r="182985" s="12" customFormat="1" x14ac:dyDescent="0.25"/>
    <row r="182986" s="12" customFormat="1" x14ac:dyDescent="0.25"/>
    <row r="182987" s="12" customFormat="1" x14ac:dyDescent="0.25"/>
    <row r="182988" s="12" customFormat="1" x14ac:dyDescent="0.25"/>
    <row r="182989" s="12" customFormat="1" x14ac:dyDescent="0.25"/>
    <row r="182990" s="12" customFormat="1" x14ac:dyDescent="0.25"/>
    <row r="182991" s="12" customFormat="1" x14ac:dyDescent="0.25"/>
    <row r="182992" s="12" customFormat="1" x14ac:dyDescent="0.25"/>
    <row r="182993" s="12" customFormat="1" x14ac:dyDescent="0.25"/>
    <row r="182994" s="12" customFormat="1" x14ac:dyDescent="0.25"/>
    <row r="182995" s="12" customFormat="1" x14ac:dyDescent="0.25"/>
    <row r="182996" s="12" customFormat="1" x14ac:dyDescent="0.25"/>
    <row r="182997" s="12" customFormat="1" x14ac:dyDescent="0.25"/>
    <row r="182998" s="12" customFormat="1" x14ac:dyDescent="0.25"/>
    <row r="182999" s="12" customFormat="1" x14ac:dyDescent="0.25"/>
    <row r="183000" s="12" customFormat="1" x14ac:dyDescent="0.25"/>
    <row r="183001" s="12" customFormat="1" x14ac:dyDescent="0.25"/>
    <row r="183002" s="12" customFormat="1" x14ac:dyDescent="0.25"/>
    <row r="183003" s="12" customFormat="1" x14ac:dyDescent="0.25"/>
    <row r="183004" s="12" customFormat="1" x14ac:dyDescent="0.25"/>
    <row r="183005" s="12" customFormat="1" x14ac:dyDescent="0.25"/>
    <row r="183006" s="12" customFormat="1" x14ac:dyDescent="0.25"/>
    <row r="183007" s="12" customFormat="1" x14ac:dyDescent="0.25"/>
    <row r="183008" s="12" customFormat="1" x14ac:dyDescent="0.25"/>
    <row r="183009" s="12" customFormat="1" x14ac:dyDescent="0.25"/>
    <row r="183010" s="12" customFormat="1" x14ac:dyDescent="0.25"/>
    <row r="183011" s="12" customFormat="1" x14ac:dyDescent="0.25"/>
    <row r="183012" s="12" customFormat="1" x14ac:dyDescent="0.25"/>
    <row r="183013" s="12" customFormat="1" x14ac:dyDescent="0.25"/>
    <row r="183014" s="12" customFormat="1" x14ac:dyDescent="0.25"/>
    <row r="183015" s="12" customFormat="1" x14ac:dyDescent="0.25"/>
    <row r="183016" s="12" customFormat="1" x14ac:dyDescent="0.25"/>
    <row r="183017" s="12" customFormat="1" x14ac:dyDescent="0.25"/>
    <row r="183018" s="12" customFormat="1" x14ac:dyDescent="0.25"/>
    <row r="183019" s="12" customFormat="1" x14ac:dyDescent="0.25"/>
    <row r="183020" s="12" customFormat="1" x14ac:dyDescent="0.25"/>
    <row r="183021" s="12" customFormat="1" x14ac:dyDescent="0.25"/>
    <row r="183022" s="12" customFormat="1" x14ac:dyDescent="0.25"/>
    <row r="183023" s="12" customFormat="1" x14ac:dyDescent="0.25"/>
    <row r="183024" s="12" customFormat="1" x14ac:dyDescent="0.25"/>
    <row r="183025" s="12" customFormat="1" x14ac:dyDescent="0.25"/>
    <row r="183026" s="12" customFormat="1" x14ac:dyDescent="0.25"/>
    <row r="183027" s="12" customFormat="1" x14ac:dyDescent="0.25"/>
    <row r="183028" s="12" customFormat="1" x14ac:dyDescent="0.25"/>
    <row r="183029" s="12" customFormat="1" x14ac:dyDescent="0.25"/>
    <row r="183030" s="12" customFormat="1" x14ac:dyDescent="0.25"/>
    <row r="183031" s="12" customFormat="1" x14ac:dyDescent="0.25"/>
    <row r="183032" s="12" customFormat="1" x14ac:dyDescent="0.25"/>
    <row r="183033" s="12" customFormat="1" x14ac:dyDescent="0.25"/>
    <row r="183034" s="12" customFormat="1" x14ac:dyDescent="0.25"/>
    <row r="183035" s="12" customFormat="1" x14ac:dyDescent="0.25"/>
    <row r="183036" s="12" customFormat="1" x14ac:dyDescent="0.25"/>
    <row r="183037" s="12" customFormat="1" x14ac:dyDescent="0.25"/>
    <row r="183038" s="12" customFormat="1" x14ac:dyDescent="0.25"/>
    <row r="183039" s="12" customFormat="1" x14ac:dyDescent="0.25"/>
    <row r="183040" s="12" customFormat="1" x14ac:dyDescent="0.25"/>
    <row r="183041" s="12" customFormat="1" x14ac:dyDescent="0.25"/>
    <row r="183042" s="12" customFormat="1" x14ac:dyDescent="0.25"/>
    <row r="183043" s="12" customFormat="1" x14ac:dyDescent="0.25"/>
    <row r="183044" s="12" customFormat="1" x14ac:dyDescent="0.25"/>
    <row r="183045" s="12" customFormat="1" x14ac:dyDescent="0.25"/>
    <row r="183046" s="12" customFormat="1" x14ac:dyDescent="0.25"/>
    <row r="183047" s="12" customFormat="1" x14ac:dyDescent="0.25"/>
    <row r="183048" s="12" customFormat="1" x14ac:dyDescent="0.25"/>
    <row r="183049" s="12" customFormat="1" x14ac:dyDescent="0.25"/>
    <row r="183050" s="12" customFormat="1" x14ac:dyDescent="0.25"/>
    <row r="183051" s="12" customFormat="1" x14ac:dyDescent="0.25"/>
    <row r="183052" s="12" customFormat="1" x14ac:dyDescent="0.25"/>
    <row r="183053" s="12" customFormat="1" x14ac:dyDescent="0.25"/>
    <row r="183054" s="12" customFormat="1" x14ac:dyDescent="0.25"/>
    <row r="183055" s="12" customFormat="1" x14ac:dyDescent="0.25"/>
    <row r="183056" s="12" customFormat="1" x14ac:dyDescent="0.25"/>
    <row r="183057" s="12" customFormat="1" x14ac:dyDescent="0.25"/>
    <row r="183058" s="12" customFormat="1" x14ac:dyDescent="0.25"/>
    <row r="183059" s="12" customFormat="1" x14ac:dyDescent="0.25"/>
    <row r="183060" s="12" customFormat="1" x14ac:dyDescent="0.25"/>
    <row r="183061" s="12" customFormat="1" x14ac:dyDescent="0.25"/>
    <row r="183062" s="12" customFormat="1" x14ac:dyDescent="0.25"/>
    <row r="183063" s="12" customFormat="1" x14ac:dyDescent="0.25"/>
    <row r="183064" s="12" customFormat="1" x14ac:dyDescent="0.25"/>
    <row r="183065" s="12" customFormat="1" x14ac:dyDescent="0.25"/>
    <row r="183066" s="12" customFormat="1" x14ac:dyDescent="0.25"/>
    <row r="183067" s="12" customFormat="1" x14ac:dyDescent="0.25"/>
    <row r="183068" s="12" customFormat="1" x14ac:dyDescent="0.25"/>
    <row r="183069" s="12" customFormat="1" x14ac:dyDescent="0.25"/>
    <row r="183070" s="12" customFormat="1" x14ac:dyDescent="0.25"/>
    <row r="183071" s="12" customFormat="1" x14ac:dyDescent="0.25"/>
    <row r="183072" s="12" customFormat="1" x14ac:dyDescent="0.25"/>
    <row r="183073" s="12" customFormat="1" x14ac:dyDescent="0.25"/>
    <row r="183074" s="12" customFormat="1" x14ac:dyDescent="0.25"/>
    <row r="183075" s="12" customFormat="1" x14ac:dyDescent="0.25"/>
    <row r="183076" s="12" customFormat="1" x14ac:dyDescent="0.25"/>
    <row r="183077" s="12" customFormat="1" x14ac:dyDescent="0.25"/>
    <row r="183078" s="12" customFormat="1" x14ac:dyDescent="0.25"/>
    <row r="183079" s="12" customFormat="1" x14ac:dyDescent="0.25"/>
    <row r="183080" s="12" customFormat="1" x14ac:dyDescent="0.25"/>
    <row r="183081" s="12" customFormat="1" x14ac:dyDescent="0.25"/>
    <row r="183082" s="12" customFormat="1" x14ac:dyDescent="0.25"/>
    <row r="183083" s="12" customFormat="1" x14ac:dyDescent="0.25"/>
    <row r="183084" s="12" customFormat="1" x14ac:dyDescent="0.25"/>
    <row r="183085" s="12" customFormat="1" x14ac:dyDescent="0.25"/>
    <row r="183086" s="12" customFormat="1" x14ac:dyDescent="0.25"/>
    <row r="183087" s="12" customFormat="1" x14ac:dyDescent="0.25"/>
    <row r="183088" s="12" customFormat="1" x14ac:dyDescent="0.25"/>
    <row r="183089" s="12" customFormat="1" x14ac:dyDescent="0.25"/>
    <row r="183090" s="12" customFormat="1" x14ac:dyDescent="0.25"/>
    <row r="183091" s="12" customFormat="1" x14ac:dyDescent="0.25"/>
    <row r="183092" s="12" customFormat="1" x14ac:dyDescent="0.25"/>
    <row r="183093" s="12" customFormat="1" x14ac:dyDescent="0.25"/>
    <row r="183094" s="12" customFormat="1" x14ac:dyDescent="0.25"/>
    <row r="183095" s="12" customFormat="1" x14ac:dyDescent="0.25"/>
    <row r="183096" s="12" customFormat="1" x14ac:dyDescent="0.25"/>
    <row r="183097" s="12" customFormat="1" x14ac:dyDescent="0.25"/>
    <row r="183098" s="12" customFormat="1" x14ac:dyDescent="0.25"/>
    <row r="183099" s="12" customFormat="1" x14ac:dyDescent="0.25"/>
    <row r="183100" s="12" customFormat="1" x14ac:dyDescent="0.25"/>
    <row r="183101" s="12" customFormat="1" x14ac:dyDescent="0.25"/>
    <row r="183102" s="12" customFormat="1" x14ac:dyDescent="0.25"/>
    <row r="183103" s="12" customFormat="1" x14ac:dyDescent="0.25"/>
    <row r="183104" s="12" customFormat="1" x14ac:dyDescent="0.25"/>
    <row r="183105" s="12" customFormat="1" x14ac:dyDescent="0.25"/>
    <row r="183106" s="12" customFormat="1" x14ac:dyDescent="0.25"/>
    <row r="183107" s="12" customFormat="1" x14ac:dyDescent="0.25"/>
    <row r="183108" s="12" customFormat="1" x14ac:dyDescent="0.25"/>
    <row r="183109" s="12" customFormat="1" x14ac:dyDescent="0.25"/>
    <row r="183110" s="12" customFormat="1" x14ac:dyDescent="0.25"/>
    <row r="183111" s="12" customFormat="1" x14ac:dyDescent="0.25"/>
    <row r="183112" s="12" customFormat="1" x14ac:dyDescent="0.25"/>
    <row r="183113" s="12" customFormat="1" x14ac:dyDescent="0.25"/>
    <row r="183114" s="12" customFormat="1" x14ac:dyDescent="0.25"/>
    <row r="183115" s="12" customFormat="1" x14ac:dyDescent="0.25"/>
    <row r="183116" s="12" customFormat="1" x14ac:dyDescent="0.25"/>
    <row r="183117" s="12" customFormat="1" x14ac:dyDescent="0.25"/>
    <row r="183118" s="12" customFormat="1" x14ac:dyDescent="0.25"/>
    <row r="183119" s="12" customFormat="1" x14ac:dyDescent="0.25"/>
    <row r="183120" s="12" customFormat="1" x14ac:dyDescent="0.25"/>
    <row r="183121" s="12" customFormat="1" x14ac:dyDescent="0.25"/>
    <row r="183122" s="12" customFormat="1" x14ac:dyDescent="0.25"/>
    <row r="183123" s="12" customFormat="1" x14ac:dyDescent="0.25"/>
    <row r="183124" s="12" customFormat="1" x14ac:dyDescent="0.25"/>
    <row r="183125" s="12" customFormat="1" x14ac:dyDescent="0.25"/>
    <row r="183126" s="12" customFormat="1" x14ac:dyDescent="0.25"/>
    <row r="183127" s="12" customFormat="1" x14ac:dyDescent="0.25"/>
    <row r="183128" s="12" customFormat="1" x14ac:dyDescent="0.25"/>
    <row r="183129" s="12" customFormat="1" x14ac:dyDescent="0.25"/>
    <row r="183130" s="12" customFormat="1" x14ac:dyDescent="0.25"/>
    <row r="183131" s="12" customFormat="1" x14ac:dyDescent="0.25"/>
    <row r="183132" s="12" customFormat="1" x14ac:dyDescent="0.25"/>
    <row r="183133" s="12" customFormat="1" x14ac:dyDescent="0.25"/>
    <row r="183134" s="12" customFormat="1" x14ac:dyDescent="0.25"/>
    <row r="183135" s="12" customFormat="1" x14ac:dyDescent="0.25"/>
    <row r="183136" s="12" customFormat="1" x14ac:dyDescent="0.25"/>
    <row r="183137" s="12" customFormat="1" x14ac:dyDescent="0.25"/>
    <row r="183138" s="12" customFormat="1" x14ac:dyDescent="0.25"/>
    <row r="183139" s="12" customFormat="1" x14ac:dyDescent="0.25"/>
    <row r="183140" s="12" customFormat="1" x14ac:dyDescent="0.25"/>
    <row r="183141" s="12" customFormat="1" x14ac:dyDescent="0.25"/>
    <row r="183142" s="12" customFormat="1" x14ac:dyDescent="0.25"/>
    <row r="183143" s="12" customFormat="1" x14ac:dyDescent="0.25"/>
    <row r="183144" s="12" customFormat="1" x14ac:dyDescent="0.25"/>
    <row r="183145" s="12" customFormat="1" x14ac:dyDescent="0.25"/>
    <row r="183146" s="12" customFormat="1" x14ac:dyDescent="0.25"/>
    <row r="183147" s="12" customFormat="1" x14ac:dyDescent="0.25"/>
    <row r="183148" s="12" customFormat="1" x14ac:dyDescent="0.25"/>
    <row r="183149" s="12" customFormat="1" x14ac:dyDescent="0.25"/>
    <row r="183150" s="12" customFormat="1" x14ac:dyDescent="0.25"/>
    <row r="183151" s="12" customFormat="1" x14ac:dyDescent="0.25"/>
    <row r="183152" s="12" customFormat="1" x14ac:dyDescent="0.25"/>
    <row r="183153" s="12" customFormat="1" x14ac:dyDescent="0.25"/>
    <row r="183154" s="12" customFormat="1" x14ac:dyDescent="0.25"/>
    <row r="183155" s="12" customFormat="1" x14ac:dyDescent="0.25"/>
    <row r="183156" s="12" customFormat="1" x14ac:dyDescent="0.25"/>
    <row r="183157" s="12" customFormat="1" x14ac:dyDescent="0.25"/>
    <row r="183158" s="12" customFormat="1" x14ac:dyDescent="0.25"/>
    <row r="183159" s="12" customFormat="1" x14ac:dyDescent="0.25"/>
    <row r="183160" s="12" customFormat="1" x14ac:dyDescent="0.25"/>
    <row r="183161" s="12" customFormat="1" x14ac:dyDescent="0.25"/>
    <row r="183162" s="12" customFormat="1" x14ac:dyDescent="0.25"/>
    <row r="183163" s="12" customFormat="1" x14ac:dyDescent="0.25"/>
    <row r="183164" s="12" customFormat="1" x14ac:dyDescent="0.25"/>
    <row r="183165" s="12" customFormat="1" x14ac:dyDescent="0.25"/>
    <row r="183166" s="12" customFormat="1" x14ac:dyDescent="0.25"/>
    <row r="183167" s="12" customFormat="1" x14ac:dyDescent="0.25"/>
    <row r="183168" s="12" customFormat="1" x14ac:dyDescent="0.25"/>
    <row r="183169" s="12" customFormat="1" x14ac:dyDescent="0.25"/>
    <row r="183170" s="12" customFormat="1" x14ac:dyDescent="0.25"/>
    <row r="183171" s="12" customFormat="1" x14ac:dyDescent="0.25"/>
    <row r="183172" s="12" customFormat="1" x14ac:dyDescent="0.25"/>
    <row r="183173" s="12" customFormat="1" x14ac:dyDescent="0.25"/>
    <row r="183174" s="12" customFormat="1" x14ac:dyDescent="0.25"/>
    <row r="183175" s="12" customFormat="1" x14ac:dyDescent="0.25"/>
    <row r="183176" s="12" customFormat="1" x14ac:dyDescent="0.25"/>
    <row r="183177" s="12" customFormat="1" x14ac:dyDescent="0.25"/>
    <row r="183178" s="12" customFormat="1" x14ac:dyDescent="0.25"/>
    <row r="183179" s="12" customFormat="1" x14ac:dyDescent="0.25"/>
    <row r="183180" s="12" customFormat="1" x14ac:dyDescent="0.25"/>
    <row r="183181" s="12" customFormat="1" x14ac:dyDescent="0.25"/>
    <row r="183182" s="12" customFormat="1" x14ac:dyDescent="0.25"/>
    <row r="183183" s="12" customFormat="1" x14ac:dyDescent="0.25"/>
    <row r="183184" s="12" customFormat="1" x14ac:dyDescent="0.25"/>
    <row r="183185" s="12" customFormat="1" x14ac:dyDescent="0.25"/>
    <row r="183186" s="12" customFormat="1" x14ac:dyDescent="0.25"/>
    <row r="183187" s="12" customFormat="1" x14ac:dyDescent="0.25"/>
    <row r="183188" s="12" customFormat="1" x14ac:dyDescent="0.25"/>
    <row r="183189" s="12" customFormat="1" x14ac:dyDescent="0.25"/>
    <row r="183190" s="12" customFormat="1" x14ac:dyDescent="0.25"/>
    <row r="183191" s="12" customFormat="1" x14ac:dyDescent="0.25"/>
    <row r="183192" s="12" customFormat="1" x14ac:dyDescent="0.25"/>
    <row r="183193" s="12" customFormat="1" x14ac:dyDescent="0.25"/>
    <row r="183194" s="12" customFormat="1" x14ac:dyDescent="0.25"/>
    <row r="183195" s="12" customFormat="1" x14ac:dyDescent="0.25"/>
    <row r="183196" s="12" customFormat="1" x14ac:dyDescent="0.25"/>
    <row r="183197" s="12" customFormat="1" x14ac:dyDescent="0.25"/>
    <row r="183198" s="12" customFormat="1" x14ac:dyDescent="0.25"/>
    <row r="183199" s="12" customFormat="1" x14ac:dyDescent="0.25"/>
    <row r="183200" s="12" customFormat="1" x14ac:dyDescent="0.25"/>
    <row r="183201" s="12" customFormat="1" x14ac:dyDescent="0.25"/>
    <row r="183202" s="12" customFormat="1" x14ac:dyDescent="0.25"/>
    <row r="183203" s="12" customFormat="1" x14ac:dyDescent="0.25"/>
    <row r="183204" s="12" customFormat="1" x14ac:dyDescent="0.25"/>
    <row r="183205" s="12" customFormat="1" x14ac:dyDescent="0.25"/>
    <row r="183206" s="12" customFormat="1" x14ac:dyDescent="0.25"/>
    <row r="183207" s="12" customFormat="1" x14ac:dyDescent="0.25"/>
    <row r="183208" s="12" customFormat="1" x14ac:dyDescent="0.25"/>
    <row r="183209" s="12" customFormat="1" x14ac:dyDescent="0.25"/>
    <row r="183210" s="12" customFormat="1" x14ac:dyDescent="0.25"/>
    <row r="183211" s="12" customFormat="1" x14ac:dyDescent="0.25"/>
    <row r="183212" s="12" customFormat="1" x14ac:dyDescent="0.25"/>
    <row r="183213" s="12" customFormat="1" x14ac:dyDescent="0.25"/>
    <row r="183214" s="12" customFormat="1" x14ac:dyDescent="0.25"/>
    <row r="183215" s="12" customFormat="1" x14ac:dyDescent="0.25"/>
    <row r="183216" s="12" customFormat="1" x14ac:dyDescent="0.25"/>
    <row r="183217" s="12" customFormat="1" x14ac:dyDescent="0.25"/>
    <row r="183218" s="12" customFormat="1" x14ac:dyDescent="0.25"/>
    <row r="183219" s="12" customFormat="1" x14ac:dyDescent="0.25"/>
    <row r="183220" s="12" customFormat="1" x14ac:dyDescent="0.25"/>
    <row r="183221" s="12" customFormat="1" x14ac:dyDescent="0.25"/>
    <row r="183222" s="12" customFormat="1" x14ac:dyDescent="0.25"/>
    <row r="183223" s="12" customFormat="1" x14ac:dyDescent="0.25"/>
    <row r="183224" s="12" customFormat="1" x14ac:dyDescent="0.25"/>
    <row r="183225" s="12" customFormat="1" x14ac:dyDescent="0.25"/>
    <row r="183226" s="12" customFormat="1" x14ac:dyDescent="0.25"/>
    <row r="183227" s="12" customFormat="1" x14ac:dyDescent="0.25"/>
    <row r="183228" s="12" customFormat="1" x14ac:dyDescent="0.25"/>
    <row r="183229" s="12" customFormat="1" x14ac:dyDescent="0.25"/>
    <row r="183230" s="12" customFormat="1" x14ac:dyDescent="0.25"/>
    <row r="183231" s="12" customFormat="1" x14ac:dyDescent="0.25"/>
    <row r="183232" s="12" customFormat="1" x14ac:dyDescent="0.25"/>
    <row r="183233" s="12" customFormat="1" x14ac:dyDescent="0.25"/>
    <row r="183234" s="12" customFormat="1" x14ac:dyDescent="0.25"/>
    <row r="183235" s="12" customFormat="1" x14ac:dyDescent="0.25"/>
    <row r="183236" s="12" customFormat="1" x14ac:dyDescent="0.25"/>
    <row r="183237" s="12" customFormat="1" x14ac:dyDescent="0.25"/>
    <row r="183238" s="12" customFormat="1" x14ac:dyDescent="0.25"/>
    <row r="183239" s="12" customFormat="1" x14ac:dyDescent="0.25"/>
    <row r="183240" s="12" customFormat="1" x14ac:dyDescent="0.25"/>
    <row r="183241" s="12" customFormat="1" x14ac:dyDescent="0.25"/>
    <row r="183242" s="12" customFormat="1" x14ac:dyDescent="0.25"/>
    <row r="183243" s="12" customFormat="1" x14ac:dyDescent="0.25"/>
    <row r="183244" s="12" customFormat="1" x14ac:dyDescent="0.25"/>
    <row r="183245" s="12" customFormat="1" x14ac:dyDescent="0.25"/>
    <row r="183246" s="12" customFormat="1" x14ac:dyDescent="0.25"/>
    <row r="183247" s="12" customFormat="1" x14ac:dyDescent="0.25"/>
    <row r="183248" s="12" customFormat="1" x14ac:dyDescent="0.25"/>
    <row r="183249" s="12" customFormat="1" x14ac:dyDescent="0.25"/>
    <row r="183250" s="12" customFormat="1" x14ac:dyDescent="0.25"/>
    <row r="183251" s="12" customFormat="1" x14ac:dyDescent="0.25"/>
    <row r="183252" s="12" customFormat="1" x14ac:dyDescent="0.25"/>
    <row r="183253" s="12" customFormat="1" x14ac:dyDescent="0.25"/>
    <row r="183254" s="12" customFormat="1" x14ac:dyDescent="0.25"/>
    <row r="183255" s="12" customFormat="1" x14ac:dyDescent="0.25"/>
    <row r="183256" s="12" customFormat="1" x14ac:dyDescent="0.25"/>
    <row r="183257" s="12" customFormat="1" x14ac:dyDescent="0.25"/>
    <row r="183258" s="12" customFormat="1" x14ac:dyDescent="0.25"/>
    <row r="183259" s="12" customFormat="1" x14ac:dyDescent="0.25"/>
    <row r="183260" s="12" customFormat="1" x14ac:dyDescent="0.25"/>
    <row r="183261" s="12" customFormat="1" x14ac:dyDescent="0.25"/>
    <row r="183262" s="12" customFormat="1" x14ac:dyDescent="0.25"/>
    <row r="183263" s="12" customFormat="1" x14ac:dyDescent="0.25"/>
    <row r="183264" s="12" customFormat="1" x14ac:dyDescent="0.25"/>
    <row r="183265" s="12" customFormat="1" x14ac:dyDescent="0.25"/>
    <row r="183266" s="12" customFormat="1" x14ac:dyDescent="0.25"/>
    <row r="183267" s="12" customFormat="1" x14ac:dyDescent="0.25"/>
    <row r="183268" s="12" customFormat="1" x14ac:dyDescent="0.25"/>
    <row r="183269" s="12" customFormat="1" x14ac:dyDescent="0.25"/>
    <row r="183270" s="12" customFormat="1" x14ac:dyDescent="0.25"/>
    <row r="183271" s="12" customFormat="1" x14ac:dyDescent="0.25"/>
    <row r="183272" s="12" customFormat="1" x14ac:dyDescent="0.25"/>
    <row r="183273" s="12" customFormat="1" x14ac:dyDescent="0.25"/>
    <row r="183274" s="12" customFormat="1" x14ac:dyDescent="0.25"/>
    <row r="183275" s="12" customFormat="1" x14ac:dyDescent="0.25"/>
    <row r="183276" s="12" customFormat="1" x14ac:dyDescent="0.25"/>
    <row r="183277" s="12" customFormat="1" x14ac:dyDescent="0.25"/>
    <row r="183278" s="12" customFormat="1" x14ac:dyDescent="0.25"/>
    <row r="183279" s="12" customFormat="1" x14ac:dyDescent="0.25"/>
    <row r="183280" s="12" customFormat="1" x14ac:dyDescent="0.25"/>
    <row r="183281" s="12" customFormat="1" x14ac:dyDescent="0.25"/>
    <row r="183282" s="12" customFormat="1" x14ac:dyDescent="0.25"/>
    <row r="183283" s="12" customFormat="1" x14ac:dyDescent="0.25"/>
    <row r="183284" s="12" customFormat="1" x14ac:dyDescent="0.25"/>
    <row r="183285" s="12" customFormat="1" x14ac:dyDescent="0.25"/>
    <row r="183286" s="12" customFormat="1" x14ac:dyDescent="0.25"/>
    <row r="183287" s="12" customFormat="1" x14ac:dyDescent="0.25"/>
    <row r="183288" s="12" customFormat="1" x14ac:dyDescent="0.25"/>
    <row r="183289" s="12" customFormat="1" x14ac:dyDescent="0.25"/>
    <row r="183290" s="12" customFormat="1" x14ac:dyDescent="0.25"/>
    <row r="183291" s="12" customFormat="1" x14ac:dyDescent="0.25"/>
    <row r="183292" s="12" customFormat="1" x14ac:dyDescent="0.25"/>
    <row r="183293" s="12" customFormat="1" x14ac:dyDescent="0.25"/>
    <row r="183294" s="12" customFormat="1" x14ac:dyDescent="0.25"/>
    <row r="183295" s="12" customFormat="1" x14ac:dyDescent="0.25"/>
    <row r="183296" s="12" customFormat="1" x14ac:dyDescent="0.25"/>
    <row r="183297" s="12" customFormat="1" x14ac:dyDescent="0.25"/>
    <row r="183298" s="12" customFormat="1" x14ac:dyDescent="0.25"/>
    <row r="183299" s="12" customFormat="1" x14ac:dyDescent="0.25"/>
    <row r="183300" s="12" customFormat="1" x14ac:dyDescent="0.25"/>
    <row r="183301" s="12" customFormat="1" x14ac:dyDescent="0.25"/>
    <row r="183302" s="12" customFormat="1" x14ac:dyDescent="0.25"/>
    <row r="183303" s="12" customFormat="1" x14ac:dyDescent="0.25"/>
    <row r="183304" s="12" customFormat="1" x14ac:dyDescent="0.25"/>
    <row r="183305" s="12" customFormat="1" x14ac:dyDescent="0.25"/>
    <row r="183306" s="12" customFormat="1" x14ac:dyDescent="0.25"/>
    <row r="183307" s="12" customFormat="1" x14ac:dyDescent="0.25"/>
    <row r="183308" s="12" customFormat="1" x14ac:dyDescent="0.25"/>
    <row r="183309" s="12" customFormat="1" x14ac:dyDescent="0.25"/>
    <row r="183310" s="12" customFormat="1" x14ac:dyDescent="0.25"/>
    <row r="183311" s="12" customFormat="1" x14ac:dyDescent="0.25"/>
    <row r="183312" s="12" customFormat="1" x14ac:dyDescent="0.25"/>
    <row r="183313" s="12" customFormat="1" x14ac:dyDescent="0.25"/>
    <row r="183314" s="12" customFormat="1" x14ac:dyDescent="0.25"/>
    <row r="183315" s="12" customFormat="1" x14ac:dyDescent="0.25"/>
    <row r="183316" s="12" customFormat="1" x14ac:dyDescent="0.25"/>
    <row r="183317" s="12" customFormat="1" x14ac:dyDescent="0.25"/>
    <row r="183318" s="12" customFormat="1" x14ac:dyDescent="0.25"/>
    <row r="183319" s="12" customFormat="1" x14ac:dyDescent="0.25"/>
    <row r="183320" s="12" customFormat="1" x14ac:dyDescent="0.25"/>
    <row r="183321" s="12" customFormat="1" x14ac:dyDescent="0.25"/>
    <row r="183322" s="12" customFormat="1" x14ac:dyDescent="0.25"/>
    <row r="183323" s="12" customFormat="1" x14ac:dyDescent="0.25"/>
    <row r="183324" s="12" customFormat="1" x14ac:dyDescent="0.25"/>
    <row r="183325" s="12" customFormat="1" x14ac:dyDescent="0.25"/>
    <row r="183326" s="12" customFormat="1" x14ac:dyDescent="0.25"/>
    <row r="183327" s="12" customFormat="1" x14ac:dyDescent="0.25"/>
    <row r="183328" s="12" customFormat="1" x14ac:dyDescent="0.25"/>
    <row r="183329" s="12" customFormat="1" x14ac:dyDescent="0.25"/>
    <row r="183330" s="12" customFormat="1" x14ac:dyDescent="0.25"/>
    <row r="183331" s="12" customFormat="1" x14ac:dyDescent="0.25"/>
    <row r="183332" s="12" customFormat="1" x14ac:dyDescent="0.25"/>
    <row r="183333" s="12" customFormat="1" x14ac:dyDescent="0.25"/>
    <row r="183334" s="12" customFormat="1" x14ac:dyDescent="0.25"/>
    <row r="183335" s="12" customFormat="1" x14ac:dyDescent="0.25"/>
    <row r="183336" s="12" customFormat="1" x14ac:dyDescent="0.25"/>
    <row r="183337" s="12" customFormat="1" x14ac:dyDescent="0.25"/>
    <row r="183338" s="12" customFormat="1" x14ac:dyDescent="0.25"/>
    <row r="183339" s="12" customFormat="1" x14ac:dyDescent="0.25"/>
    <row r="183340" s="12" customFormat="1" x14ac:dyDescent="0.25"/>
    <row r="183341" s="12" customFormat="1" x14ac:dyDescent="0.25"/>
    <row r="183342" s="12" customFormat="1" x14ac:dyDescent="0.25"/>
    <row r="183343" s="12" customFormat="1" x14ac:dyDescent="0.25"/>
    <row r="183344" s="12" customFormat="1" x14ac:dyDescent="0.25"/>
    <row r="183345" s="12" customFormat="1" x14ac:dyDescent="0.25"/>
    <row r="183346" s="12" customFormat="1" x14ac:dyDescent="0.25"/>
    <row r="183347" s="12" customFormat="1" x14ac:dyDescent="0.25"/>
    <row r="183348" s="12" customFormat="1" x14ac:dyDescent="0.25"/>
    <row r="183349" s="12" customFormat="1" x14ac:dyDescent="0.25"/>
    <row r="183350" s="12" customFormat="1" x14ac:dyDescent="0.25"/>
    <row r="183351" s="12" customFormat="1" x14ac:dyDescent="0.25"/>
    <row r="183352" s="12" customFormat="1" x14ac:dyDescent="0.25"/>
    <row r="183353" s="12" customFormat="1" x14ac:dyDescent="0.25"/>
    <row r="183354" s="12" customFormat="1" x14ac:dyDescent="0.25"/>
    <row r="183355" s="12" customFormat="1" x14ac:dyDescent="0.25"/>
    <row r="183356" s="12" customFormat="1" x14ac:dyDescent="0.25"/>
    <row r="183357" s="12" customFormat="1" x14ac:dyDescent="0.25"/>
    <row r="183358" s="12" customFormat="1" x14ac:dyDescent="0.25"/>
    <row r="183359" s="12" customFormat="1" x14ac:dyDescent="0.25"/>
    <row r="183360" s="12" customFormat="1" x14ac:dyDescent="0.25"/>
    <row r="183361" s="12" customFormat="1" x14ac:dyDescent="0.25"/>
    <row r="183362" s="12" customFormat="1" x14ac:dyDescent="0.25"/>
    <row r="183363" s="12" customFormat="1" x14ac:dyDescent="0.25"/>
    <row r="183364" s="12" customFormat="1" x14ac:dyDescent="0.25"/>
    <row r="183365" s="12" customFormat="1" x14ac:dyDescent="0.25"/>
    <row r="183366" s="12" customFormat="1" x14ac:dyDescent="0.25"/>
    <row r="183367" s="12" customFormat="1" x14ac:dyDescent="0.25"/>
    <row r="183368" s="12" customFormat="1" x14ac:dyDescent="0.25"/>
    <row r="183369" s="12" customFormat="1" x14ac:dyDescent="0.25"/>
    <row r="183370" s="12" customFormat="1" x14ac:dyDescent="0.25"/>
    <row r="183371" s="12" customFormat="1" x14ac:dyDescent="0.25"/>
    <row r="183372" s="12" customFormat="1" x14ac:dyDescent="0.25"/>
    <row r="183373" s="12" customFormat="1" x14ac:dyDescent="0.25"/>
    <row r="183374" s="12" customFormat="1" x14ac:dyDescent="0.25"/>
    <row r="183375" s="12" customFormat="1" x14ac:dyDescent="0.25"/>
    <row r="183376" s="12" customFormat="1" x14ac:dyDescent="0.25"/>
    <row r="183377" s="12" customFormat="1" x14ac:dyDescent="0.25"/>
    <row r="183378" s="12" customFormat="1" x14ac:dyDescent="0.25"/>
    <row r="183379" s="12" customFormat="1" x14ac:dyDescent="0.25"/>
    <row r="183380" s="12" customFormat="1" x14ac:dyDescent="0.25"/>
    <row r="183381" s="12" customFormat="1" x14ac:dyDescent="0.25"/>
    <row r="183382" s="12" customFormat="1" x14ac:dyDescent="0.25"/>
    <row r="183383" s="12" customFormat="1" x14ac:dyDescent="0.25"/>
    <row r="183384" s="12" customFormat="1" x14ac:dyDescent="0.25"/>
    <row r="183385" s="12" customFormat="1" x14ac:dyDescent="0.25"/>
    <row r="183386" s="12" customFormat="1" x14ac:dyDescent="0.25"/>
    <row r="183387" s="12" customFormat="1" x14ac:dyDescent="0.25"/>
    <row r="183388" s="12" customFormat="1" x14ac:dyDescent="0.25"/>
    <row r="183389" s="12" customFormat="1" x14ac:dyDescent="0.25"/>
    <row r="183390" s="12" customFormat="1" x14ac:dyDescent="0.25"/>
    <row r="183391" s="12" customFormat="1" x14ac:dyDescent="0.25"/>
    <row r="183392" s="12" customFormat="1" x14ac:dyDescent="0.25"/>
    <row r="183393" s="12" customFormat="1" x14ac:dyDescent="0.25"/>
    <row r="183394" s="12" customFormat="1" x14ac:dyDescent="0.25"/>
    <row r="183395" s="12" customFormat="1" x14ac:dyDescent="0.25"/>
    <row r="183396" s="12" customFormat="1" x14ac:dyDescent="0.25"/>
    <row r="183397" s="12" customFormat="1" x14ac:dyDescent="0.25"/>
    <row r="183398" s="12" customFormat="1" x14ac:dyDescent="0.25"/>
    <row r="183399" s="12" customFormat="1" x14ac:dyDescent="0.25"/>
    <row r="183400" s="12" customFormat="1" x14ac:dyDescent="0.25"/>
    <row r="183401" s="12" customFormat="1" x14ac:dyDescent="0.25"/>
    <row r="183402" s="12" customFormat="1" x14ac:dyDescent="0.25"/>
    <row r="183403" s="12" customFormat="1" x14ac:dyDescent="0.25"/>
    <row r="183404" s="12" customFormat="1" x14ac:dyDescent="0.25"/>
    <row r="183405" s="12" customFormat="1" x14ac:dyDescent="0.25"/>
    <row r="183406" s="12" customFormat="1" x14ac:dyDescent="0.25"/>
    <row r="183407" s="12" customFormat="1" x14ac:dyDescent="0.25"/>
    <row r="183408" s="12" customFormat="1" x14ac:dyDescent="0.25"/>
    <row r="183409" s="12" customFormat="1" x14ac:dyDescent="0.25"/>
    <row r="183410" s="12" customFormat="1" x14ac:dyDescent="0.25"/>
    <row r="183411" s="12" customFormat="1" x14ac:dyDescent="0.25"/>
    <row r="183412" s="12" customFormat="1" x14ac:dyDescent="0.25"/>
    <row r="183413" s="12" customFormat="1" x14ac:dyDescent="0.25"/>
    <row r="183414" s="12" customFormat="1" x14ac:dyDescent="0.25"/>
    <row r="183415" s="12" customFormat="1" x14ac:dyDescent="0.25"/>
    <row r="183416" s="12" customFormat="1" x14ac:dyDescent="0.25"/>
    <row r="183417" s="12" customFormat="1" x14ac:dyDescent="0.25"/>
    <row r="183418" s="12" customFormat="1" x14ac:dyDescent="0.25"/>
    <row r="183419" s="12" customFormat="1" x14ac:dyDescent="0.25"/>
    <row r="183420" s="12" customFormat="1" x14ac:dyDescent="0.25"/>
    <row r="183421" s="12" customFormat="1" x14ac:dyDescent="0.25"/>
    <row r="183422" s="12" customFormat="1" x14ac:dyDescent="0.25"/>
    <row r="183423" s="12" customFormat="1" x14ac:dyDescent="0.25"/>
    <row r="183424" s="12" customFormat="1" x14ac:dyDescent="0.25"/>
    <row r="183425" s="12" customFormat="1" x14ac:dyDescent="0.25"/>
    <row r="183426" s="12" customFormat="1" x14ac:dyDescent="0.25"/>
    <row r="183427" s="12" customFormat="1" x14ac:dyDescent="0.25"/>
    <row r="183428" s="12" customFormat="1" x14ac:dyDescent="0.25"/>
    <row r="183429" s="12" customFormat="1" x14ac:dyDescent="0.25"/>
    <row r="183430" s="12" customFormat="1" x14ac:dyDescent="0.25"/>
    <row r="183431" s="12" customFormat="1" x14ac:dyDescent="0.25"/>
    <row r="183432" s="12" customFormat="1" x14ac:dyDescent="0.25"/>
    <row r="183433" s="12" customFormat="1" x14ac:dyDescent="0.25"/>
    <row r="183434" s="12" customFormat="1" x14ac:dyDescent="0.25"/>
    <row r="183435" s="12" customFormat="1" x14ac:dyDescent="0.25"/>
    <row r="183436" s="12" customFormat="1" x14ac:dyDescent="0.25"/>
    <row r="183437" s="12" customFormat="1" x14ac:dyDescent="0.25"/>
    <row r="183438" s="12" customFormat="1" x14ac:dyDescent="0.25"/>
    <row r="183439" s="12" customFormat="1" x14ac:dyDescent="0.25"/>
    <row r="183440" s="12" customFormat="1" x14ac:dyDescent="0.25"/>
    <row r="183441" s="12" customFormat="1" x14ac:dyDescent="0.25"/>
    <row r="183442" s="12" customFormat="1" x14ac:dyDescent="0.25"/>
    <row r="183443" s="12" customFormat="1" x14ac:dyDescent="0.25"/>
    <row r="183444" s="12" customFormat="1" x14ac:dyDescent="0.25"/>
    <row r="183445" s="12" customFormat="1" x14ac:dyDescent="0.25"/>
    <row r="183446" s="12" customFormat="1" x14ac:dyDescent="0.25"/>
    <row r="183447" s="12" customFormat="1" x14ac:dyDescent="0.25"/>
    <row r="183448" s="12" customFormat="1" x14ac:dyDescent="0.25"/>
    <row r="183449" s="12" customFormat="1" x14ac:dyDescent="0.25"/>
    <row r="183450" s="12" customFormat="1" x14ac:dyDescent="0.25"/>
    <row r="183451" s="12" customFormat="1" x14ac:dyDescent="0.25"/>
    <row r="183452" s="12" customFormat="1" x14ac:dyDescent="0.25"/>
    <row r="183453" s="12" customFormat="1" x14ac:dyDescent="0.25"/>
    <row r="183454" s="12" customFormat="1" x14ac:dyDescent="0.25"/>
    <row r="183455" s="12" customFormat="1" x14ac:dyDescent="0.25"/>
    <row r="183456" s="12" customFormat="1" x14ac:dyDescent="0.25"/>
    <row r="183457" s="12" customFormat="1" x14ac:dyDescent="0.25"/>
    <row r="183458" s="12" customFormat="1" x14ac:dyDescent="0.25"/>
    <row r="183459" s="12" customFormat="1" x14ac:dyDescent="0.25"/>
    <row r="183460" s="12" customFormat="1" x14ac:dyDescent="0.25"/>
    <row r="183461" s="12" customFormat="1" x14ac:dyDescent="0.25"/>
    <row r="183462" s="12" customFormat="1" x14ac:dyDescent="0.25"/>
    <row r="183463" s="12" customFormat="1" x14ac:dyDescent="0.25"/>
    <row r="183464" s="12" customFormat="1" x14ac:dyDescent="0.25"/>
    <row r="183465" s="12" customFormat="1" x14ac:dyDescent="0.25"/>
    <row r="183466" s="12" customFormat="1" x14ac:dyDescent="0.25"/>
    <row r="183467" s="12" customFormat="1" x14ac:dyDescent="0.25"/>
    <row r="183468" s="12" customFormat="1" x14ac:dyDescent="0.25"/>
    <row r="183469" s="12" customFormat="1" x14ac:dyDescent="0.25"/>
    <row r="183470" s="12" customFormat="1" x14ac:dyDescent="0.25"/>
    <row r="183471" s="12" customFormat="1" x14ac:dyDescent="0.25"/>
    <row r="183472" s="12" customFormat="1" x14ac:dyDescent="0.25"/>
    <row r="183473" s="12" customFormat="1" x14ac:dyDescent="0.25"/>
    <row r="183474" s="12" customFormat="1" x14ac:dyDescent="0.25"/>
    <row r="183475" s="12" customFormat="1" x14ac:dyDescent="0.25"/>
    <row r="183476" s="12" customFormat="1" x14ac:dyDescent="0.25"/>
    <row r="183477" s="12" customFormat="1" x14ac:dyDescent="0.25"/>
    <row r="183478" s="12" customFormat="1" x14ac:dyDescent="0.25"/>
    <row r="183479" s="12" customFormat="1" x14ac:dyDescent="0.25"/>
    <row r="183480" s="12" customFormat="1" x14ac:dyDescent="0.25"/>
    <row r="183481" s="12" customFormat="1" x14ac:dyDescent="0.25"/>
    <row r="183482" s="12" customFormat="1" x14ac:dyDescent="0.25"/>
    <row r="183483" s="12" customFormat="1" x14ac:dyDescent="0.25"/>
    <row r="183484" s="12" customFormat="1" x14ac:dyDescent="0.25"/>
    <row r="183485" s="12" customFormat="1" x14ac:dyDescent="0.25"/>
    <row r="183486" s="12" customFormat="1" x14ac:dyDescent="0.25"/>
    <row r="183487" s="12" customFormat="1" x14ac:dyDescent="0.25"/>
    <row r="183488" s="12" customFormat="1" x14ac:dyDescent="0.25"/>
    <row r="183489" s="12" customFormat="1" x14ac:dyDescent="0.25"/>
    <row r="183490" s="12" customFormat="1" x14ac:dyDescent="0.25"/>
    <row r="183491" s="12" customFormat="1" x14ac:dyDescent="0.25"/>
    <row r="183492" s="12" customFormat="1" x14ac:dyDescent="0.25"/>
    <row r="183493" s="12" customFormat="1" x14ac:dyDescent="0.25"/>
    <row r="183494" s="12" customFormat="1" x14ac:dyDescent="0.25"/>
    <row r="183495" s="12" customFormat="1" x14ac:dyDescent="0.25"/>
    <row r="183496" s="12" customFormat="1" x14ac:dyDescent="0.25"/>
    <row r="183497" s="12" customFormat="1" x14ac:dyDescent="0.25"/>
    <row r="183498" s="12" customFormat="1" x14ac:dyDescent="0.25"/>
    <row r="183499" s="12" customFormat="1" x14ac:dyDescent="0.25"/>
    <row r="183500" s="12" customFormat="1" x14ac:dyDescent="0.25"/>
    <row r="183501" s="12" customFormat="1" x14ac:dyDescent="0.25"/>
    <row r="183502" s="12" customFormat="1" x14ac:dyDescent="0.25"/>
    <row r="183503" s="12" customFormat="1" x14ac:dyDescent="0.25"/>
    <row r="183504" s="12" customFormat="1" x14ac:dyDescent="0.25"/>
    <row r="183505" s="12" customFormat="1" x14ac:dyDescent="0.25"/>
    <row r="183506" s="12" customFormat="1" x14ac:dyDescent="0.25"/>
    <row r="183507" s="12" customFormat="1" x14ac:dyDescent="0.25"/>
    <row r="183508" s="12" customFormat="1" x14ac:dyDescent="0.25"/>
    <row r="183509" s="12" customFormat="1" x14ac:dyDescent="0.25"/>
    <row r="183510" s="12" customFormat="1" x14ac:dyDescent="0.25"/>
    <row r="183511" s="12" customFormat="1" x14ac:dyDescent="0.25"/>
    <row r="183512" s="12" customFormat="1" x14ac:dyDescent="0.25"/>
    <row r="183513" s="12" customFormat="1" x14ac:dyDescent="0.25"/>
    <row r="183514" s="12" customFormat="1" x14ac:dyDescent="0.25"/>
    <row r="183515" s="12" customFormat="1" x14ac:dyDescent="0.25"/>
    <row r="183516" s="12" customFormat="1" x14ac:dyDescent="0.25"/>
    <row r="183517" s="12" customFormat="1" x14ac:dyDescent="0.25"/>
    <row r="183518" s="12" customFormat="1" x14ac:dyDescent="0.25"/>
    <row r="183519" s="12" customFormat="1" x14ac:dyDescent="0.25"/>
    <row r="183520" s="12" customFormat="1" x14ac:dyDescent="0.25"/>
    <row r="183521" s="12" customFormat="1" x14ac:dyDescent="0.25"/>
    <row r="183522" s="12" customFormat="1" x14ac:dyDescent="0.25"/>
    <row r="183523" s="12" customFormat="1" x14ac:dyDescent="0.25"/>
    <row r="183524" s="12" customFormat="1" x14ac:dyDescent="0.25"/>
    <row r="183525" s="12" customFormat="1" x14ac:dyDescent="0.25"/>
    <row r="183526" s="12" customFormat="1" x14ac:dyDescent="0.25"/>
    <row r="183527" s="12" customFormat="1" x14ac:dyDescent="0.25"/>
    <row r="183528" s="12" customFormat="1" x14ac:dyDescent="0.25"/>
    <row r="183529" s="12" customFormat="1" x14ac:dyDescent="0.25"/>
    <row r="183530" s="12" customFormat="1" x14ac:dyDescent="0.25"/>
    <row r="183531" s="12" customFormat="1" x14ac:dyDescent="0.25"/>
    <row r="183532" s="12" customFormat="1" x14ac:dyDescent="0.25"/>
    <row r="183533" s="12" customFormat="1" x14ac:dyDescent="0.25"/>
    <row r="183534" s="12" customFormat="1" x14ac:dyDescent="0.25"/>
    <row r="183535" s="12" customFormat="1" x14ac:dyDescent="0.25"/>
    <row r="183536" s="12" customFormat="1" x14ac:dyDescent="0.25"/>
    <row r="183537" s="12" customFormat="1" x14ac:dyDescent="0.25"/>
    <row r="183538" s="12" customFormat="1" x14ac:dyDescent="0.25"/>
    <row r="183539" s="12" customFormat="1" x14ac:dyDescent="0.25"/>
    <row r="183540" s="12" customFormat="1" x14ac:dyDescent="0.25"/>
    <row r="183541" s="12" customFormat="1" x14ac:dyDescent="0.25"/>
    <row r="183542" s="12" customFormat="1" x14ac:dyDescent="0.25"/>
    <row r="183543" s="12" customFormat="1" x14ac:dyDescent="0.25"/>
    <row r="183544" s="12" customFormat="1" x14ac:dyDescent="0.25"/>
    <row r="183545" s="12" customFormat="1" x14ac:dyDescent="0.25"/>
    <row r="183546" s="12" customFormat="1" x14ac:dyDescent="0.25"/>
    <row r="183547" s="12" customFormat="1" x14ac:dyDescent="0.25"/>
    <row r="183548" s="12" customFormat="1" x14ac:dyDescent="0.25"/>
    <row r="183549" s="12" customFormat="1" x14ac:dyDescent="0.25"/>
    <row r="183550" s="12" customFormat="1" x14ac:dyDescent="0.25"/>
    <row r="183551" s="12" customFormat="1" x14ac:dyDescent="0.25"/>
    <row r="183552" s="12" customFormat="1" x14ac:dyDescent="0.25"/>
    <row r="183553" s="12" customFormat="1" x14ac:dyDescent="0.25"/>
    <row r="183554" s="12" customFormat="1" x14ac:dyDescent="0.25"/>
    <row r="183555" s="12" customFormat="1" x14ac:dyDescent="0.25"/>
    <row r="183556" s="12" customFormat="1" x14ac:dyDescent="0.25"/>
    <row r="183557" s="12" customFormat="1" x14ac:dyDescent="0.25"/>
    <row r="183558" s="12" customFormat="1" x14ac:dyDescent="0.25"/>
    <row r="183559" s="12" customFormat="1" x14ac:dyDescent="0.25"/>
    <row r="183560" s="12" customFormat="1" x14ac:dyDescent="0.25"/>
    <row r="183561" s="12" customFormat="1" x14ac:dyDescent="0.25"/>
    <row r="183562" s="12" customFormat="1" x14ac:dyDescent="0.25"/>
    <row r="183563" s="12" customFormat="1" x14ac:dyDescent="0.25"/>
    <row r="183564" s="12" customFormat="1" x14ac:dyDescent="0.25"/>
    <row r="183565" s="12" customFormat="1" x14ac:dyDescent="0.25"/>
    <row r="183566" s="12" customFormat="1" x14ac:dyDescent="0.25"/>
    <row r="183567" s="12" customFormat="1" x14ac:dyDescent="0.25"/>
    <row r="183568" s="12" customFormat="1" x14ac:dyDescent="0.25"/>
    <row r="183569" s="12" customFormat="1" x14ac:dyDescent="0.25"/>
    <row r="183570" s="12" customFormat="1" x14ac:dyDescent="0.25"/>
    <row r="183571" s="12" customFormat="1" x14ac:dyDescent="0.25"/>
    <row r="183572" s="12" customFormat="1" x14ac:dyDescent="0.25"/>
    <row r="183573" s="12" customFormat="1" x14ac:dyDescent="0.25"/>
    <row r="183574" s="12" customFormat="1" x14ac:dyDescent="0.25"/>
    <row r="183575" s="12" customFormat="1" x14ac:dyDescent="0.25"/>
    <row r="183576" s="12" customFormat="1" x14ac:dyDescent="0.25"/>
    <row r="183577" s="12" customFormat="1" x14ac:dyDescent="0.25"/>
    <row r="183578" s="12" customFormat="1" x14ac:dyDescent="0.25"/>
    <row r="183579" s="12" customFormat="1" x14ac:dyDescent="0.25"/>
    <row r="183580" s="12" customFormat="1" x14ac:dyDescent="0.25"/>
    <row r="183581" s="12" customFormat="1" x14ac:dyDescent="0.25"/>
    <row r="183582" s="12" customFormat="1" x14ac:dyDescent="0.25"/>
    <row r="183583" s="12" customFormat="1" x14ac:dyDescent="0.25"/>
    <row r="183584" s="12" customFormat="1" x14ac:dyDescent="0.25"/>
    <row r="183585" s="12" customFormat="1" x14ac:dyDescent="0.25"/>
    <row r="183586" s="12" customFormat="1" x14ac:dyDescent="0.25"/>
    <row r="183587" s="12" customFormat="1" x14ac:dyDescent="0.25"/>
    <row r="183588" s="12" customFormat="1" x14ac:dyDescent="0.25"/>
    <row r="183589" s="12" customFormat="1" x14ac:dyDescent="0.25"/>
    <row r="183590" s="12" customFormat="1" x14ac:dyDescent="0.25"/>
    <row r="183591" s="12" customFormat="1" x14ac:dyDescent="0.25"/>
    <row r="183592" s="12" customFormat="1" x14ac:dyDescent="0.25"/>
    <row r="183593" s="12" customFormat="1" x14ac:dyDescent="0.25"/>
    <row r="183594" s="12" customFormat="1" x14ac:dyDescent="0.25"/>
    <row r="183595" s="12" customFormat="1" x14ac:dyDescent="0.25"/>
    <row r="183596" s="12" customFormat="1" x14ac:dyDescent="0.25"/>
    <row r="183597" s="12" customFormat="1" x14ac:dyDescent="0.25"/>
    <row r="183598" s="12" customFormat="1" x14ac:dyDescent="0.25"/>
    <row r="183599" s="12" customFormat="1" x14ac:dyDescent="0.25"/>
    <row r="183600" s="12" customFormat="1" x14ac:dyDescent="0.25"/>
    <row r="183601" s="12" customFormat="1" x14ac:dyDescent="0.25"/>
    <row r="183602" s="12" customFormat="1" x14ac:dyDescent="0.25"/>
    <row r="183603" s="12" customFormat="1" x14ac:dyDescent="0.25"/>
    <row r="183604" s="12" customFormat="1" x14ac:dyDescent="0.25"/>
    <row r="183605" s="12" customFormat="1" x14ac:dyDescent="0.25"/>
    <row r="183606" s="12" customFormat="1" x14ac:dyDescent="0.25"/>
    <row r="183607" s="12" customFormat="1" x14ac:dyDescent="0.25"/>
    <row r="183608" s="12" customFormat="1" x14ac:dyDescent="0.25"/>
    <row r="183609" s="12" customFormat="1" x14ac:dyDescent="0.25"/>
    <row r="183610" s="12" customFormat="1" x14ac:dyDescent="0.25"/>
    <row r="183611" s="12" customFormat="1" x14ac:dyDescent="0.25"/>
    <row r="183612" s="12" customFormat="1" x14ac:dyDescent="0.25"/>
    <row r="183613" s="12" customFormat="1" x14ac:dyDescent="0.25"/>
    <row r="183614" s="12" customFormat="1" x14ac:dyDescent="0.25"/>
    <row r="183615" s="12" customFormat="1" x14ac:dyDescent="0.25"/>
    <row r="183616" s="12" customFormat="1" x14ac:dyDescent="0.25"/>
    <row r="183617" s="12" customFormat="1" x14ac:dyDescent="0.25"/>
    <row r="183618" s="12" customFormat="1" x14ac:dyDescent="0.25"/>
    <row r="183619" s="12" customFormat="1" x14ac:dyDescent="0.25"/>
    <row r="183620" s="12" customFormat="1" x14ac:dyDescent="0.25"/>
    <row r="183621" s="12" customFormat="1" x14ac:dyDescent="0.25"/>
    <row r="183622" s="12" customFormat="1" x14ac:dyDescent="0.25"/>
    <row r="183623" s="12" customFormat="1" x14ac:dyDescent="0.25"/>
    <row r="183624" s="12" customFormat="1" x14ac:dyDescent="0.25"/>
    <row r="183625" s="12" customFormat="1" x14ac:dyDescent="0.25"/>
    <row r="183626" s="12" customFormat="1" x14ac:dyDescent="0.25"/>
    <row r="183627" s="12" customFormat="1" x14ac:dyDescent="0.25"/>
    <row r="183628" s="12" customFormat="1" x14ac:dyDescent="0.25"/>
    <row r="183629" s="12" customFormat="1" x14ac:dyDescent="0.25"/>
    <row r="183630" s="12" customFormat="1" x14ac:dyDescent="0.25"/>
    <row r="183631" s="12" customFormat="1" x14ac:dyDescent="0.25"/>
    <row r="183632" s="12" customFormat="1" x14ac:dyDescent="0.25"/>
    <row r="183633" s="12" customFormat="1" x14ac:dyDescent="0.25"/>
    <row r="183634" s="12" customFormat="1" x14ac:dyDescent="0.25"/>
    <row r="183635" s="12" customFormat="1" x14ac:dyDescent="0.25"/>
    <row r="183636" s="12" customFormat="1" x14ac:dyDescent="0.25"/>
    <row r="183637" s="12" customFormat="1" x14ac:dyDescent="0.25"/>
    <row r="183638" s="12" customFormat="1" x14ac:dyDescent="0.25"/>
    <row r="183639" s="12" customFormat="1" x14ac:dyDescent="0.25"/>
    <row r="183640" s="12" customFormat="1" x14ac:dyDescent="0.25"/>
    <row r="183641" s="12" customFormat="1" x14ac:dyDescent="0.25"/>
    <row r="183642" s="12" customFormat="1" x14ac:dyDescent="0.25"/>
    <row r="183643" s="12" customFormat="1" x14ac:dyDescent="0.25"/>
    <row r="183644" s="12" customFormat="1" x14ac:dyDescent="0.25"/>
    <row r="183645" s="12" customFormat="1" x14ac:dyDescent="0.25"/>
    <row r="183646" s="12" customFormat="1" x14ac:dyDescent="0.25"/>
    <row r="183647" s="12" customFormat="1" x14ac:dyDescent="0.25"/>
    <row r="183648" s="12" customFormat="1" x14ac:dyDescent="0.25"/>
    <row r="183649" s="12" customFormat="1" x14ac:dyDescent="0.25"/>
    <row r="183650" s="12" customFormat="1" x14ac:dyDescent="0.25"/>
    <row r="183651" s="12" customFormat="1" x14ac:dyDescent="0.25"/>
    <row r="183652" s="12" customFormat="1" x14ac:dyDescent="0.25"/>
    <row r="183653" s="12" customFormat="1" x14ac:dyDescent="0.25"/>
    <row r="183654" s="12" customFormat="1" x14ac:dyDescent="0.25"/>
    <row r="183655" s="12" customFormat="1" x14ac:dyDescent="0.25"/>
    <row r="183656" s="12" customFormat="1" x14ac:dyDescent="0.25"/>
    <row r="183657" s="12" customFormat="1" x14ac:dyDescent="0.25"/>
    <row r="183658" s="12" customFormat="1" x14ac:dyDescent="0.25"/>
    <row r="183659" s="12" customFormat="1" x14ac:dyDescent="0.25"/>
    <row r="183660" s="12" customFormat="1" x14ac:dyDescent="0.25"/>
    <row r="183661" s="12" customFormat="1" x14ac:dyDescent="0.25"/>
    <row r="183662" s="12" customFormat="1" x14ac:dyDescent="0.25"/>
    <row r="183663" s="12" customFormat="1" x14ac:dyDescent="0.25"/>
    <row r="183664" s="12" customFormat="1" x14ac:dyDescent="0.25"/>
    <row r="183665" s="12" customFormat="1" x14ac:dyDescent="0.25"/>
    <row r="183666" s="12" customFormat="1" x14ac:dyDescent="0.25"/>
    <row r="183667" s="12" customFormat="1" x14ac:dyDescent="0.25"/>
    <row r="183668" s="12" customFormat="1" x14ac:dyDescent="0.25"/>
    <row r="183669" s="12" customFormat="1" x14ac:dyDescent="0.25"/>
    <row r="183670" s="12" customFormat="1" x14ac:dyDescent="0.25"/>
    <row r="183671" s="12" customFormat="1" x14ac:dyDescent="0.25"/>
    <row r="183672" s="12" customFormat="1" x14ac:dyDescent="0.25"/>
    <row r="183673" s="12" customFormat="1" x14ac:dyDescent="0.25"/>
    <row r="183674" s="12" customFormat="1" x14ac:dyDescent="0.25"/>
    <row r="183675" s="12" customFormat="1" x14ac:dyDescent="0.25"/>
    <row r="183676" s="12" customFormat="1" x14ac:dyDescent="0.25"/>
    <row r="183677" s="12" customFormat="1" x14ac:dyDescent="0.25"/>
    <row r="183678" s="12" customFormat="1" x14ac:dyDescent="0.25"/>
    <row r="183679" s="12" customFormat="1" x14ac:dyDescent="0.25"/>
    <row r="183680" s="12" customFormat="1" x14ac:dyDescent="0.25"/>
    <row r="183681" s="12" customFormat="1" x14ac:dyDescent="0.25"/>
    <row r="183682" s="12" customFormat="1" x14ac:dyDescent="0.25"/>
    <row r="183683" s="12" customFormat="1" x14ac:dyDescent="0.25"/>
    <row r="183684" s="12" customFormat="1" x14ac:dyDescent="0.25"/>
    <row r="183685" s="12" customFormat="1" x14ac:dyDescent="0.25"/>
    <row r="183686" s="12" customFormat="1" x14ac:dyDescent="0.25"/>
    <row r="183687" s="12" customFormat="1" x14ac:dyDescent="0.25"/>
    <row r="183688" s="12" customFormat="1" x14ac:dyDescent="0.25"/>
    <row r="183689" s="12" customFormat="1" x14ac:dyDescent="0.25"/>
    <row r="183690" s="12" customFormat="1" x14ac:dyDescent="0.25"/>
    <row r="183691" s="12" customFormat="1" x14ac:dyDescent="0.25"/>
    <row r="183692" s="12" customFormat="1" x14ac:dyDescent="0.25"/>
    <row r="183693" s="12" customFormat="1" x14ac:dyDescent="0.25"/>
    <row r="183694" s="12" customFormat="1" x14ac:dyDescent="0.25"/>
    <row r="183695" s="12" customFormat="1" x14ac:dyDescent="0.25"/>
    <row r="183696" s="12" customFormat="1" x14ac:dyDescent="0.25"/>
    <row r="183697" s="12" customFormat="1" x14ac:dyDescent="0.25"/>
    <row r="183698" s="12" customFormat="1" x14ac:dyDescent="0.25"/>
    <row r="183699" s="12" customFormat="1" x14ac:dyDescent="0.25"/>
    <row r="183700" s="12" customFormat="1" x14ac:dyDescent="0.25"/>
    <row r="183701" s="12" customFormat="1" x14ac:dyDescent="0.25"/>
    <row r="183702" s="12" customFormat="1" x14ac:dyDescent="0.25"/>
    <row r="183703" s="12" customFormat="1" x14ac:dyDescent="0.25"/>
    <row r="183704" s="12" customFormat="1" x14ac:dyDescent="0.25"/>
    <row r="183705" s="12" customFormat="1" x14ac:dyDescent="0.25"/>
    <row r="183706" s="12" customFormat="1" x14ac:dyDescent="0.25"/>
    <row r="183707" s="12" customFormat="1" x14ac:dyDescent="0.25"/>
    <row r="183708" s="12" customFormat="1" x14ac:dyDescent="0.25"/>
    <row r="183709" s="12" customFormat="1" x14ac:dyDescent="0.25"/>
    <row r="183710" s="12" customFormat="1" x14ac:dyDescent="0.25"/>
    <row r="183711" s="12" customFormat="1" x14ac:dyDescent="0.25"/>
    <row r="183712" s="12" customFormat="1" x14ac:dyDescent="0.25"/>
    <row r="183713" s="12" customFormat="1" x14ac:dyDescent="0.25"/>
    <row r="183714" s="12" customFormat="1" x14ac:dyDescent="0.25"/>
    <row r="183715" s="12" customFormat="1" x14ac:dyDescent="0.25"/>
    <row r="183716" s="12" customFormat="1" x14ac:dyDescent="0.25"/>
    <row r="183717" s="12" customFormat="1" x14ac:dyDescent="0.25"/>
    <row r="183718" s="12" customFormat="1" x14ac:dyDescent="0.25"/>
    <row r="183719" s="12" customFormat="1" x14ac:dyDescent="0.25"/>
    <row r="183720" s="12" customFormat="1" x14ac:dyDescent="0.25"/>
    <row r="183721" s="12" customFormat="1" x14ac:dyDescent="0.25"/>
    <row r="183722" s="12" customFormat="1" x14ac:dyDescent="0.25"/>
    <row r="183723" s="12" customFormat="1" x14ac:dyDescent="0.25"/>
    <row r="183724" s="12" customFormat="1" x14ac:dyDescent="0.25"/>
    <row r="183725" s="12" customFormat="1" x14ac:dyDescent="0.25"/>
    <row r="183726" s="12" customFormat="1" x14ac:dyDescent="0.25"/>
    <row r="183727" s="12" customFormat="1" x14ac:dyDescent="0.25"/>
    <row r="183728" s="12" customFormat="1" x14ac:dyDescent="0.25"/>
    <row r="183729" s="12" customFormat="1" x14ac:dyDescent="0.25"/>
    <row r="183730" s="12" customFormat="1" x14ac:dyDescent="0.25"/>
    <row r="183731" s="12" customFormat="1" x14ac:dyDescent="0.25"/>
    <row r="183732" s="12" customFormat="1" x14ac:dyDescent="0.25"/>
    <row r="183733" s="12" customFormat="1" x14ac:dyDescent="0.25"/>
    <row r="183734" s="12" customFormat="1" x14ac:dyDescent="0.25"/>
    <row r="183735" s="12" customFormat="1" x14ac:dyDescent="0.25"/>
    <row r="183736" s="12" customFormat="1" x14ac:dyDescent="0.25"/>
    <row r="183737" s="12" customFormat="1" x14ac:dyDescent="0.25"/>
    <row r="183738" s="12" customFormat="1" x14ac:dyDescent="0.25"/>
    <row r="183739" s="12" customFormat="1" x14ac:dyDescent="0.25"/>
    <row r="183740" s="12" customFormat="1" x14ac:dyDescent="0.25"/>
    <row r="183741" s="12" customFormat="1" x14ac:dyDescent="0.25"/>
    <row r="183742" s="12" customFormat="1" x14ac:dyDescent="0.25"/>
    <row r="183743" s="12" customFormat="1" x14ac:dyDescent="0.25"/>
    <row r="183744" s="12" customFormat="1" x14ac:dyDescent="0.25"/>
    <row r="183745" s="12" customFormat="1" x14ac:dyDescent="0.25"/>
    <row r="183746" s="12" customFormat="1" x14ac:dyDescent="0.25"/>
    <row r="183747" s="12" customFormat="1" x14ac:dyDescent="0.25"/>
    <row r="183748" s="12" customFormat="1" x14ac:dyDescent="0.25"/>
    <row r="183749" s="12" customFormat="1" x14ac:dyDescent="0.25"/>
    <row r="183750" s="12" customFormat="1" x14ac:dyDescent="0.25"/>
    <row r="183751" s="12" customFormat="1" x14ac:dyDescent="0.25"/>
    <row r="183752" s="12" customFormat="1" x14ac:dyDescent="0.25"/>
    <row r="183753" s="12" customFormat="1" x14ac:dyDescent="0.25"/>
    <row r="183754" s="12" customFormat="1" x14ac:dyDescent="0.25"/>
    <row r="183755" s="12" customFormat="1" x14ac:dyDescent="0.25"/>
    <row r="183756" s="12" customFormat="1" x14ac:dyDescent="0.25"/>
    <row r="183757" s="12" customFormat="1" x14ac:dyDescent="0.25"/>
    <row r="183758" s="12" customFormat="1" x14ac:dyDescent="0.25"/>
    <row r="183759" s="12" customFormat="1" x14ac:dyDescent="0.25"/>
    <row r="183760" s="12" customFormat="1" x14ac:dyDescent="0.25"/>
    <row r="183761" s="12" customFormat="1" x14ac:dyDescent="0.25"/>
    <row r="183762" s="12" customFormat="1" x14ac:dyDescent="0.25"/>
    <row r="183763" s="12" customFormat="1" x14ac:dyDescent="0.25"/>
    <row r="183764" s="12" customFormat="1" x14ac:dyDescent="0.25"/>
    <row r="183765" s="12" customFormat="1" x14ac:dyDescent="0.25"/>
    <row r="183766" s="12" customFormat="1" x14ac:dyDescent="0.25"/>
    <row r="183767" s="12" customFormat="1" x14ac:dyDescent="0.25"/>
    <row r="183768" s="12" customFormat="1" x14ac:dyDescent="0.25"/>
    <row r="183769" s="12" customFormat="1" x14ac:dyDescent="0.25"/>
    <row r="183770" s="12" customFormat="1" x14ac:dyDescent="0.25"/>
    <row r="183771" s="12" customFormat="1" x14ac:dyDescent="0.25"/>
    <row r="183772" s="12" customFormat="1" x14ac:dyDescent="0.25"/>
    <row r="183773" s="12" customFormat="1" x14ac:dyDescent="0.25"/>
    <row r="183774" s="12" customFormat="1" x14ac:dyDescent="0.25"/>
    <row r="183775" s="12" customFormat="1" x14ac:dyDescent="0.25"/>
    <row r="183776" s="12" customFormat="1" x14ac:dyDescent="0.25"/>
    <row r="183777" s="12" customFormat="1" x14ac:dyDescent="0.25"/>
    <row r="183778" s="12" customFormat="1" x14ac:dyDescent="0.25"/>
    <row r="183779" s="12" customFormat="1" x14ac:dyDescent="0.25"/>
    <row r="183780" s="12" customFormat="1" x14ac:dyDescent="0.25"/>
    <row r="183781" s="12" customFormat="1" x14ac:dyDescent="0.25"/>
    <row r="183782" s="12" customFormat="1" x14ac:dyDescent="0.25"/>
    <row r="183783" s="12" customFormat="1" x14ac:dyDescent="0.25"/>
    <row r="183784" s="12" customFormat="1" x14ac:dyDescent="0.25"/>
    <row r="183785" s="12" customFormat="1" x14ac:dyDescent="0.25"/>
    <row r="183786" s="12" customFormat="1" x14ac:dyDescent="0.25"/>
    <row r="183787" s="12" customFormat="1" x14ac:dyDescent="0.25"/>
    <row r="183788" s="12" customFormat="1" x14ac:dyDescent="0.25"/>
    <row r="183789" s="12" customFormat="1" x14ac:dyDescent="0.25"/>
    <row r="183790" s="12" customFormat="1" x14ac:dyDescent="0.25"/>
    <row r="183791" s="12" customFormat="1" x14ac:dyDescent="0.25"/>
    <row r="183792" s="12" customFormat="1" x14ac:dyDescent="0.25"/>
    <row r="183793" s="12" customFormat="1" x14ac:dyDescent="0.25"/>
    <row r="183794" s="12" customFormat="1" x14ac:dyDescent="0.25"/>
    <row r="183795" s="12" customFormat="1" x14ac:dyDescent="0.25"/>
    <row r="183796" s="12" customFormat="1" x14ac:dyDescent="0.25"/>
    <row r="183797" s="12" customFormat="1" x14ac:dyDescent="0.25"/>
    <row r="183798" s="12" customFormat="1" x14ac:dyDescent="0.25"/>
    <row r="183799" s="12" customFormat="1" x14ac:dyDescent="0.25"/>
    <row r="183800" s="12" customFormat="1" x14ac:dyDescent="0.25"/>
    <row r="183801" s="12" customFormat="1" x14ac:dyDescent="0.25"/>
    <row r="183802" s="12" customFormat="1" x14ac:dyDescent="0.25"/>
    <row r="183803" s="12" customFormat="1" x14ac:dyDescent="0.25"/>
    <row r="183804" s="12" customFormat="1" x14ac:dyDescent="0.25"/>
    <row r="183805" s="12" customFormat="1" x14ac:dyDescent="0.25"/>
    <row r="183806" s="12" customFormat="1" x14ac:dyDescent="0.25"/>
    <row r="183807" s="12" customFormat="1" x14ac:dyDescent="0.25"/>
    <row r="183808" s="12" customFormat="1" x14ac:dyDescent="0.25"/>
    <row r="183809" s="12" customFormat="1" x14ac:dyDescent="0.25"/>
    <row r="183810" s="12" customFormat="1" x14ac:dyDescent="0.25"/>
    <row r="183811" s="12" customFormat="1" x14ac:dyDescent="0.25"/>
    <row r="183812" s="12" customFormat="1" x14ac:dyDescent="0.25"/>
    <row r="183813" s="12" customFormat="1" x14ac:dyDescent="0.25"/>
    <row r="183814" s="12" customFormat="1" x14ac:dyDescent="0.25"/>
    <row r="183815" s="12" customFormat="1" x14ac:dyDescent="0.25"/>
    <row r="183816" s="12" customFormat="1" x14ac:dyDescent="0.25"/>
    <row r="183817" s="12" customFormat="1" x14ac:dyDescent="0.25"/>
    <row r="183818" s="12" customFormat="1" x14ac:dyDescent="0.25"/>
    <row r="183819" s="12" customFormat="1" x14ac:dyDescent="0.25"/>
    <row r="183820" s="12" customFormat="1" x14ac:dyDescent="0.25"/>
    <row r="183821" s="12" customFormat="1" x14ac:dyDescent="0.25"/>
    <row r="183822" s="12" customFormat="1" x14ac:dyDescent="0.25"/>
    <row r="183823" s="12" customFormat="1" x14ac:dyDescent="0.25"/>
    <row r="183824" s="12" customFormat="1" x14ac:dyDescent="0.25"/>
    <row r="183825" s="12" customFormat="1" x14ac:dyDescent="0.25"/>
    <row r="183826" s="12" customFormat="1" x14ac:dyDescent="0.25"/>
    <row r="183827" s="12" customFormat="1" x14ac:dyDescent="0.25"/>
    <row r="183828" s="12" customFormat="1" x14ac:dyDescent="0.25"/>
    <row r="183829" s="12" customFormat="1" x14ac:dyDescent="0.25"/>
    <row r="183830" s="12" customFormat="1" x14ac:dyDescent="0.25"/>
    <row r="183831" s="12" customFormat="1" x14ac:dyDescent="0.25"/>
    <row r="183832" s="12" customFormat="1" x14ac:dyDescent="0.25"/>
    <row r="183833" s="12" customFormat="1" x14ac:dyDescent="0.25"/>
    <row r="183834" s="12" customFormat="1" x14ac:dyDescent="0.25"/>
    <row r="183835" s="12" customFormat="1" x14ac:dyDescent="0.25"/>
    <row r="183836" s="12" customFormat="1" x14ac:dyDescent="0.25"/>
    <row r="183837" s="12" customFormat="1" x14ac:dyDescent="0.25"/>
    <row r="183838" s="12" customFormat="1" x14ac:dyDescent="0.25"/>
    <row r="183839" s="12" customFormat="1" x14ac:dyDescent="0.25"/>
    <row r="183840" s="12" customFormat="1" x14ac:dyDescent="0.25"/>
    <row r="183841" s="12" customFormat="1" x14ac:dyDescent="0.25"/>
    <row r="183842" s="12" customFormat="1" x14ac:dyDescent="0.25"/>
    <row r="183843" s="12" customFormat="1" x14ac:dyDescent="0.25"/>
    <row r="183844" s="12" customFormat="1" x14ac:dyDescent="0.25"/>
    <row r="183845" s="12" customFormat="1" x14ac:dyDescent="0.25"/>
    <row r="183846" s="12" customFormat="1" x14ac:dyDescent="0.25"/>
    <row r="183847" s="12" customFormat="1" x14ac:dyDescent="0.25"/>
    <row r="183848" s="12" customFormat="1" x14ac:dyDescent="0.25"/>
    <row r="183849" s="12" customFormat="1" x14ac:dyDescent="0.25"/>
    <row r="183850" s="12" customFormat="1" x14ac:dyDescent="0.25"/>
    <row r="183851" s="12" customFormat="1" x14ac:dyDescent="0.25"/>
    <row r="183852" s="12" customFormat="1" x14ac:dyDescent="0.25"/>
    <row r="183853" s="12" customFormat="1" x14ac:dyDescent="0.25"/>
    <row r="183854" s="12" customFormat="1" x14ac:dyDescent="0.25"/>
    <row r="183855" s="12" customFormat="1" x14ac:dyDescent="0.25"/>
    <row r="183856" s="12" customFormat="1" x14ac:dyDescent="0.25"/>
    <row r="183857" s="12" customFormat="1" x14ac:dyDescent="0.25"/>
    <row r="183858" s="12" customFormat="1" x14ac:dyDescent="0.25"/>
    <row r="183859" s="12" customFormat="1" x14ac:dyDescent="0.25"/>
    <row r="183860" s="12" customFormat="1" x14ac:dyDescent="0.25"/>
    <row r="183861" s="12" customFormat="1" x14ac:dyDescent="0.25"/>
    <row r="183862" s="12" customFormat="1" x14ac:dyDescent="0.25"/>
    <row r="183863" s="12" customFormat="1" x14ac:dyDescent="0.25"/>
    <row r="183864" s="12" customFormat="1" x14ac:dyDescent="0.25"/>
    <row r="183865" s="12" customFormat="1" x14ac:dyDescent="0.25"/>
    <row r="183866" s="12" customFormat="1" x14ac:dyDescent="0.25"/>
    <row r="183867" s="12" customFormat="1" x14ac:dyDescent="0.25"/>
    <row r="183868" s="12" customFormat="1" x14ac:dyDescent="0.25"/>
    <row r="183869" s="12" customFormat="1" x14ac:dyDescent="0.25"/>
    <row r="183870" s="12" customFormat="1" x14ac:dyDescent="0.25"/>
    <row r="183871" s="12" customFormat="1" x14ac:dyDescent="0.25"/>
    <row r="183872" s="12" customFormat="1" x14ac:dyDescent="0.25"/>
    <row r="183873" s="12" customFormat="1" x14ac:dyDescent="0.25"/>
    <row r="183874" s="12" customFormat="1" x14ac:dyDescent="0.25"/>
    <row r="183875" s="12" customFormat="1" x14ac:dyDescent="0.25"/>
    <row r="183876" s="12" customFormat="1" x14ac:dyDescent="0.25"/>
    <row r="183877" s="12" customFormat="1" x14ac:dyDescent="0.25"/>
    <row r="183878" s="12" customFormat="1" x14ac:dyDescent="0.25"/>
    <row r="183879" s="12" customFormat="1" x14ac:dyDescent="0.25"/>
    <row r="183880" s="12" customFormat="1" x14ac:dyDescent="0.25"/>
    <row r="183881" s="12" customFormat="1" x14ac:dyDescent="0.25"/>
    <row r="183882" s="12" customFormat="1" x14ac:dyDescent="0.25"/>
    <row r="183883" s="12" customFormat="1" x14ac:dyDescent="0.25"/>
    <row r="183884" s="12" customFormat="1" x14ac:dyDescent="0.25"/>
    <row r="183885" s="12" customFormat="1" x14ac:dyDescent="0.25"/>
    <row r="183886" s="12" customFormat="1" x14ac:dyDescent="0.25"/>
    <row r="183887" s="12" customFormat="1" x14ac:dyDescent="0.25"/>
    <row r="183888" s="12" customFormat="1" x14ac:dyDescent="0.25"/>
    <row r="183889" s="12" customFormat="1" x14ac:dyDescent="0.25"/>
    <row r="183890" s="12" customFormat="1" x14ac:dyDescent="0.25"/>
    <row r="183891" s="12" customFormat="1" x14ac:dyDescent="0.25"/>
    <row r="183892" s="12" customFormat="1" x14ac:dyDescent="0.25"/>
    <row r="183893" s="12" customFormat="1" x14ac:dyDescent="0.25"/>
    <row r="183894" s="12" customFormat="1" x14ac:dyDescent="0.25"/>
    <row r="183895" s="12" customFormat="1" x14ac:dyDescent="0.25"/>
    <row r="183896" s="12" customFormat="1" x14ac:dyDescent="0.25"/>
    <row r="183897" s="12" customFormat="1" x14ac:dyDescent="0.25"/>
    <row r="183898" s="12" customFormat="1" x14ac:dyDescent="0.25"/>
    <row r="183899" s="12" customFormat="1" x14ac:dyDescent="0.25"/>
    <row r="183900" s="12" customFormat="1" x14ac:dyDescent="0.25"/>
    <row r="183901" s="12" customFormat="1" x14ac:dyDescent="0.25"/>
    <row r="183902" s="12" customFormat="1" x14ac:dyDescent="0.25"/>
    <row r="183903" s="12" customFormat="1" x14ac:dyDescent="0.25"/>
    <row r="183904" s="12" customFormat="1" x14ac:dyDescent="0.25"/>
    <row r="183905" s="12" customFormat="1" x14ac:dyDescent="0.25"/>
    <row r="183906" s="12" customFormat="1" x14ac:dyDescent="0.25"/>
    <row r="183907" s="12" customFormat="1" x14ac:dyDescent="0.25"/>
    <row r="183908" s="12" customFormat="1" x14ac:dyDescent="0.25"/>
    <row r="183909" s="12" customFormat="1" x14ac:dyDescent="0.25"/>
    <row r="183910" s="12" customFormat="1" x14ac:dyDescent="0.25"/>
    <row r="183911" s="12" customFormat="1" x14ac:dyDescent="0.25"/>
    <row r="183912" s="12" customFormat="1" x14ac:dyDescent="0.25"/>
    <row r="183913" s="12" customFormat="1" x14ac:dyDescent="0.25"/>
    <row r="183914" s="12" customFormat="1" x14ac:dyDescent="0.25"/>
    <row r="183915" s="12" customFormat="1" x14ac:dyDescent="0.25"/>
    <row r="183916" s="12" customFormat="1" x14ac:dyDescent="0.25"/>
    <row r="183917" s="12" customFormat="1" x14ac:dyDescent="0.25"/>
    <row r="183918" s="12" customFormat="1" x14ac:dyDescent="0.25"/>
    <row r="183919" s="12" customFormat="1" x14ac:dyDescent="0.25"/>
    <row r="183920" s="12" customFormat="1" x14ac:dyDescent="0.25"/>
    <row r="183921" s="12" customFormat="1" x14ac:dyDescent="0.25"/>
    <row r="183922" s="12" customFormat="1" x14ac:dyDescent="0.25"/>
    <row r="183923" s="12" customFormat="1" x14ac:dyDescent="0.25"/>
    <row r="183924" s="12" customFormat="1" x14ac:dyDescent="0.25"/>
    <row r="183925" s="12" customFormat="1" x14ac:dyDescent="0.25"/>
    <row r="183926" s="12" customFormat="1" x14ac:dyDescent="0.25"/>
    <row r="183927" s="12" customFormat="1" x14ac:dyDescent="0.25"/>
    <row r="183928" s="12" customFormat="1" x14ac:dyDescent="0.25"/>
    <row r="183929" s="12" customFormat="1" x14ac:dyDescent="0.25"/>
    <row r="183930" s="12" customFormat="1" x14ac:dyDescent="0.25"/>
    <row r="183931" s="12" customFormat="1" x14ac:dyDescent="0.25"/>
    <row r="183932" s="12" customFormat="1" x14ac:dyDescent="0.25"/>
    <row r="183933" s="12" customFormat="1" x14ac:dyDescent="0.25"/>
    <row r="183934" s="12" customFormat="1" x14ac:dyDescent="0.25"/>
    <row r="183935" s="12" customFormat="1" x14ac:dyDescent="0.25"/>
    <row r="183936" s="12" customFormat="1" x14ac:dyDescent="0.25"/>
    <row r="183937" s="12" customFormat="1" x14ac:dyDescent="0.25"/>
    <row r="183938" s="12" customFormat="1" x14ac:dyDescent="0.25"/>
    <row r="183939" s="12" customFormat="1" x14ac:dyDescent="0.25"/>
    <row r="183940" s="12" customFormat="1" x14ac:dyDescent="0.25"/>
    <row r="183941" s="12" customFormat="1" x14ac:dyDescent="0.25"/>
    <row r="183942" s="12" customFormat="1" x14ac:dyDescent="0.25"/>
    <row r="183943" s="12" customFormat="1" x14ac:dyDescent="0.25"/>
    <row r="183944" s="12" customFormat="1" x14ac:dyDescent="0.25"/>
    <row r="183945" s="12" customFormat="1" x14ac:dyDescent="0.25"/>
    <row r="183946" s="12" customFormat="1" x14ac:dyDescent="0.25"/>
    <row r="183947" s="12" customFormat="1" x14ac:dyDescent="0.25"/>
    <row r="183948" s="12" customFormat="1" x14ac:dyDescent="0.25"/>
    <row r="183949" s="12" customFormat="1" x14ac:dyDescent="0.25"/>
    <row r="183950" s="12" customFormat="1" x14ac:dyDescent="0.25"/>
    <row r="183951" s="12" customFormat="1" x14ac:dyDescent="0.25"/>
    <row r="183952" s="12" customFormat="1" x14ac:dyDescent="0.25"/>
    <row r="183953" s="12" customFormat="1" x14ac:dyDescent="0.25"/>
    <row r="183954" s="12" customFormat="1" x14ac:dyDescent="0.25"/>
    <row r="183955" s="12" customFormat="1" x14ac:dyDescent="0.25"/>
    <row r="183956" s="12" customFormat="1" x14ac:dyDescent="0.25"/>
    <row r="183957" s="12" customFormat="1" x14ac:dyDescent="0.25"/>
    <row r="183958" s="12" customFormat="1" x14ac:dyDescent="0.25"/>
    <row r="183959" s="12" customFormat="1" x14ac:dyDescent="0.25"/>
    <row r="183960" s="12" customFormat="1" x14ac:dyDescent="0.25"/>
    <row r="183961" s="12" customFormat="1" x14ac:dyDescent="0.25"/>
    <row r="183962" s="12" customFormat="1" x14ac:dyDescent="0.25"/>
    <row r="183963" s="12" customFormat="1" x14ac:dyDescent="0.25"/>
    <row r="183964" s="12" customFormat="1" x14ac:dyDescent="0.25"/>
    <row r="183965" s="12" customFormat="1" x14ac:dyDescent="0.25"/>
    <row r="183966" s="12" customFormat="1" x14ac:dyDescent="0.25"/>
    <row r="183967" s="12" customFormat="1" x14ac:dyDescent="0.25"/>
    <row r="183968" s="12" customFormat="1" x14ac:dyDescent="0.25"/>
    <row r="183969" s="12" customFormat="1" x14ac:dyDescent="0.25"/>
    <row r="183970" s="12" customFormat="1" x14ac:dyDescent="0.25"/>
    <row r="183971" s="12" customFormat="1" x14ac:dyDescent="0.25"/>
    <row r="183972" s="12" customFormat="1" x14ac:dyDescent="0.25"/>
    <row r="183973" s="12" customFormat="1" x14ac:dyDescent="0.25"/>
    <row r="183974" s="12" customFormat="1" x14ac:dyDescent="0.25"/>
    <row r="183975" s="12" customFormat="1" x14ac:dyDescent="0.25"/>
    <row r="183976" s="12" customFormat="1" x14ac:dyDescent="0.25"/>
    <row r="183977" s="12" customFormat="1" x14ac:dyDescent="0.25"/>
    <row r="183978" s="12" customFormat="1" x14ac:dyDescent="0.25"/>
    <row r="183979" s="12" customFormat="1" x14ac:dyDescent="0.25"/>
    <row r="183980" s="12" customFormat="1" x14ac:dyDescent="0.25"/>
    <row r="183981" s="12" customFormat="1" x14ac:dyDescent="0.25"/>
    <row r="183982" s="12" customFormat="1" x14ac:dyDescent="0.25"/>
    <row r="183983" s="12" customFormat="1" x14ac:dyDescent="0.25"/>
    <row r="183984" s="12" customFormat="1" x14ac:dyDescent="0.25"/>
    <row r="183985" s="12" customFormat="1" x14ac:dyDescent="0.25"/>
    <row r="183986" s="12" customFormat="1" x14ac:dyDescent="0.25"/>
    <row r="183987" s="12" customFormat="1" x14ac:dyDescent="0.25"/>
    <row r="183988" s="12" customFormat="1" x14ac:dyDescent="0.25"/>
    <row r="183989" s="12" customFormat="1" x14ac:dyDescent="0.25"/>
    <row r="183990" s="12" customFormat="1" x14ac:dyDescent="0.25"/>
    <row r="183991" s="12" customFormat="1" x14ac:dyDescent="0.25"/>
    <row r="183992" s="12" customFormat="1" x14ac:dyDescent="0.25"/>
    <row r="183993" s="12" customFormat="1" x14ac:dyDescent="0.25"/>
    <row r="183994" s="12" customFormat="1" x14ac:dyDescent="0.25"/>
    <row r="183995" s="12" customFormat="1" x14ac:dyDescent="0.25"/>
    <row r="183996" s="12" customFormat="1" x14ac:dyDescent="0.25"/>
    <row r="183997" s="12" customFormat="1" x14ac:dyDescent="0.25"/>
    <row r="183998" s="12" customFormat="1" x14ac:dyDescent="0.25"/>
    <row r="183999" s="12" customFormat="1" x14ac:dyDescent="0.25"/>
    <row r="184000" s="12" customFormat="1" x14ac:dyDescent="0.25"/>
    <row r="184001" s="12" customFormat="1" x14ac:dyDescent="0.25"/>
    <row r="184002" s="12" customFormat="1" x14ac:dyDescent="0.25"/>
    <row r="184003" s="12" customFormat="1" x14ac:dyDescent="0.25"/>
    <row r="184004" s="12" customFormat="1" x14ac:dyDescent="0.25"/>
    <row r="184005" s="12" customFormat="1" x14ac:dyDescent="0.25"/>
    <row r="184006" s="12" customFormat="1" x14ac:dyDescent="0.25"/>
    <row r="184007" s="12" customFormat="1" x14ac:dyDescent="0.25"/>
    <row r="184008" s="12" customFormat="1" x14ac:dyDescent="0.25"/>
    <row r="184009" s="12" customFormat="1" x14ac:dyDescent="0.25"/>
    <row r="184010" s="12" customFormat="1" x14ac:dyDescent="0.25"/>
    <row r="184011" s="12" customFormat="1" x14ac:dyDescent="0.25"/>
    <row r="184012" s="12" customFormat="1" x14ac:dyDescent="0.25"/>
    <row r="184013" s="12" customFormat="1" x14ac:dyDescent="0.25"/>
    <row r="184014" s="12" customFormat="1" x14ac:dyDescent="0.25"/>
    <row r="184015" s="12" customFormat="1" x14ac:dyDescent="0.25"/>
    <row r="184016" s="12" customFormat="1" x14ac:dyDescent="0.25"/>
    <row r="184017" s="12" customFormat="1" x14ac:dyDescent="0.25"/>
    <row r="184018" s="12" customFormat="1" x14ac:dyDescent="0.25"/>
    <row r="184019" s="12" customFormat="1" x14ac:dyDescent="0.25"/>
    <row r="184020" s="12" customFormat="1" x14ac:dyDescent="0.25"/>
    <row r="184021" s="12" customFormat="1" x14ac:dyDescent="0.25"/>
    <row r="184022" s="12" customFormat="1" x14ac:dyDescent="0.25"/>
    <row r="184023" s="12" customFormat="1" x14ac:dyDescent="0.25"/>
    <row r="184024" s="12" customFormat="1" x14ac:dyDescent="0.25"/>
    <row r="184025" s="12" customFormat="1" x14ac:dyDescent="0.25"/>
    <row r="184026" s="12" customFormat="1" x14ac:dyDescent="0.25"/>
    <row r="184027" s="12" customFormat="1" x14ac:dyDescent="0.25"/>
    <row r="184028" s="12" customFormat="1" x14ac:dyDescent="0.25"/>
    <row r="184029" s="12" customFormat="1" x14ac:dyDescent="0.25"/>
    <row r="184030" s="12" customFormat="1" x14ac:dyDescent="0.25"/>
    <row r="184031" s="12" customFormat="1" x14ac:dyDescent="0.25"/>
    <row r="184032" s="12" customFormat="1" x14ac:dyDescent="0.25"/>
    <row r="184033" s="12" customFormat="1" x14ac:dyDescent="0.25"/>
    <row r="184034" s="12" customFormat="1" x14ac:dyDescent="0.25"/>
    <row r="184035" s="12" customFormat="1" x14ac:dyDescent="0.25"/>
    <row r="184036" s="12" customFormat="1" x14ac:dyDescent="0.25"/>
    <row r="184037" s="12" customFormat="1" x14ac:dyDescent="0.25"/>
    <row r="184038" s="12" customFormat="1" x14ac:dyDescent="0.25"/>
    <row r="184039" s="12" customFormat="1" x14ac:dyDescent="0.25"/>
    <row r="184040" s="12" customFormat="1" x14ac:dyDescent="0.25"/>
    <row r="184041" s="12" customFormat="1" x14ac:dyDescent="0.25"/>
    <row r="184042" s="12" customFormat="1" x14ac:dyDescent="0.25"/>
    <row r="184043" s="12" customFormat="1" x14ac:dyDescent="0.25"/>
    <row r="184044" s="12" customFormat="1" x14ac:dyDescent="0.25"/>
    <row r="184045" s="12" customFormat="1" x14ac:dyDescent="0.25"/>
    <row r="184046" s="12" customFormat="1" x14ac:dyDescent="0.25"/>
    <row r="184047" s="12" customFormat="1" x14ac:dyDescent="0.25"/>
    <row r="184048" s="12" customFormat="1" x14ac:dyDescent="0.25"/>
    <row r="184049" s="12" customFormat="1" x14ac:dyDescent="0.25"/>
    <row r="184050" s="12" customFormat="1" x14ac:dyDescent="0.25"/>
    <row r="184051" s="12" customFormat="1" x14ac:dyDescent="0.25"/>
    <row r="184052" s="12" customFormat="1" x14ac:dyDescent="0.25"/>
    <row r="184053" s="12" customFormat="1" x14ac:dyDescent="0.25"/>
    <row r="184054" s="12" customFormat="1" x14ac:dyDescent="0.25"/>
    <row r="184055" s="12" customFormat="1" x14ac:dyDescent="0.25"/>
    <row r="184056" s="12" customFormat="1" x14ac:dyDescent="0.25"/>
    <row r="184057" s="12" customFormat="1" x14ac:dyDescent="0.25"/>
    <row r="184058" s="12" customFormat="1" x14ac:dyDescent="0.25"/>
    <row r="184059" s="12" customFormat="1" x14ac:dyDescent="0.25"/>
    <row r="184060" s="12" customFormat="1" x14ac:dyDescent="0.25"/>
    <row r="184061" s="12" customFormat="1" x14ac:dyDescent="0.25"/>
    <row r="184062" s="12" customFormat="1" x14ac:dyDescent="0.25"/>
    <row r="184063" s="12" customFormat="1" x14ac:dyDescent="0.25"/>
    <row r="184064" s="12" customFormat="1" x14ac:dyDescent="0.25"/>
    <row r="184065" s="12" customFormat="1" x14ac:dyDescent="0.25"/>
    <row r="184066" s="12" customFormat="1" x14ac:dyDescent="0.25"/>
    <row r="184067" s="12" customFormat="1" x14ac:dyDescent="0.25"/>
    <row r="184068" s="12" customFormat="1" x14ac:dyDescent="0.25"/>
    <row r="184069" s="12" customFormat="1" x14ac:dyDescent="0.25"/>
    <row r="184070" s="12" customFormat="1" x14ac:dyDescent="0.25"/>
    <row r="184071" s="12" customFormat="1" x14ac:dyDescent="0.25"/>
    <row r="184072" s="12" customFormat="1" x14ac:dyDescent="0.25"/>
    <row r="184073" s="12" customFormat="1" x14ac:dyDescent="0.25"/>
    <row r="184074" s="12" customFormat="1" x14ac:dyDescent="0.25"/>
    <row r="184075" s="12" customFormat="1" x14ac:dyDescent="0.25"/>
    <row r="184076" s="12" customFormat="1" x14ac:dyDescent="0.25"/>
    <row r="184077" s="12" customFormat="1" x14ac:dyDescent="0.25"/>
    <row r="184078" s="12" customFormat="1" x14ac:dyDescent="0.25"/>
    <row r="184079" s="12" customFormat="1" x14ac:dyDescent="0.25"/>
    <row r="184080" s="12" customFormat="1" x14ac:dyDescent="0.25"/>
    <row r="184081" s="12" customFormat="1" x14ac:dyDescent="0.25"/>
    <row r="184082" s="12" customFormat="1" x14ac:dyDescent="0.25"/>
    <row r="184083" s="12" customFormat="1" x14ac:dyDescent="0.25"/>
    <row r="184084" s="12" customFormat="1" x14ac:dyDescent="0.25"/>
    <row r="184085" s="12" customFormat="1" x14ac:dyDescent="0.25"/>
    <row r="184086" s="12" customFormat="1" x14ac:dyDescent="0.25"/>
    <row r="184087" s="12" customFormat="1" x14ac:dyDescent="0.25"/>
    <row r="184088" s="12" customFormat="1" x14ac:dyDescent="0.25"/>
    <row r="184089" s="12" customFormat="1" x14ac:dyDescent="0.25"/>
    <row r="184090" s="12" customFormat="1" x14ac:dyDescent="0.25"/>
    <row r="184091" s="12" customFormat="1" x14ac:dyDescent="0.25"/>
    <row r="184092" s="12" customFormat="1" x14ac:dyDescent="0.25"/>
    <row r="184093" s="12" customFormat="1" x14ac:dyDescent="0.25"/>
    <row r="184094" s="12" customFormat="1" x14ac:dyDescent="0.25"/>
    <row r="184095" s="12" customFormat="1" x14ac:dyDescent="0.25"/>
    <row r="184096" s="12" customFormat="1" x14ac:dyDescent="0.25"/>
    <row r="184097" s="12" customFormat="1" x14ac:dyDescent="0.25"/>
    <row r="184098" s="12" customFormat="1" x14ac:dyDescent="0.25"/>
    <row r="184099" s="12" customFormat="1" x14ac:dyDescent="0.25"/>
    <row r="184100" s="12" customFormat="1" x14ac:dyDescent="0.25"/>
    <row r="184101" s="12" customFormat="1" x14ac:dyDescent="0.25"/>
    <row r="184102" s="12" customFormat="1" x14ac:dyDescent="0.25"/>
    <row r="184103" s="12" customFormat="1" x14ac:dyDescent="0.25"/>
    <row r="184104" s="12" customFormat="1" x14ac:dyDescent="0.25"/>
    <row r="184105" s="12" customFormat="1" x14ac:dyDescent="0.25"/>
    <row r="184106" s="12" customFormat="1" x14ac:dyDescent="0.25"/>
    <row r="184107" s="12" customFormat="1" x14ac:dyDescent="0.25"/>
    <row r="184108" s="12" customFormat="1" x14ac:dyDescent="0.25"/>
    <row r="184109" s="12" customFormat="1" x14ac:dyDescent="0.25"/>
    <row r="184110" s="12" customFormat="1" x14ac:dyDescent="0.25"/>
    <row r="184111" s="12" customFormat="1" x14ac:dyDescent="0.25"/>
    <row r="184112" s="12" customFormat="1" x14ac:dyDescent="0.25"/>
    <row r="184113" s="12" customFormat="1" x14ac:dyDescent="0.25"/>
    <row r="184114" s="12" customFormat="1" x14ac:dyDescent="0.25"/>
    <row r="184115" s="12" customFormat="1" x14ac:dyDescent="0.25"/>
    <row r="184116" s="12" customFormat="1" x14ac:dyDescent="0.25"/>
    <row r="184117" s="12" customFormat="1" x14ac:dyDescent="0.25"/>
    <row r="184118" s="12" customFormat="1" x14ac:dyDescent="0.25"/>
    <row r="184119" s="12" customFormat="1" x14ac:dyDescent="0.25"/>
    <row r="184120" s="12" customFormat="1" x14ac:dyDescent="0.25"/>
    <row r="184121" s="12" customFormat="1" x14ac:dyDescent="0.25"/>
    <row r="184122" s="12" customFormat="1" x14ac:dyDescent="0.25"/>
    <row r="184123" s="12" customFormat="1" x14ac:dyDescent="0.25"/>
    <row r="184124" s="12" customFormat="1" x14ac:dyDescent="0.25"/>
    <row r="184125" s="12" customFormat="1" x14ac:dyDescent="0.25"/>
    <row r="184126" s="12" customFormat="1" x14ac:dyDescent="0.25"/>
    <row r="184127" s="12" customFormat="1" x14ac:dyDescent="0.25"/>
    <row r="184128" s="12" customFormat="1" x14ac:dyDescent="0.25"/>
    <row r="184129" s="12" customFormat="1" x14ac:dyDescent="0.25"/>
    <row r="184130" s="12" customFormat="1" x14ac:dyDescent="0.25"/>
    <row r="184131" s="12" customFormat="1" x14ac:dyDescent="0.25"/>
    <row r="184132" s="12" customFormat="1" x14ac:dyDescent="0.25"/>
    <row r="184133" s="12" customFormat="1" x14ac:dyDescent="0.25"/>
    <row r="184134" s="12" customFormat="1" x14ac:dyDescent="0.25"/>
    <row r="184135" s="12" customFormat="1" x14ac:dyDescent="0.25"/>
    <row r="184136" s="12" customFormat="1" x14ac:dyDescent="0.25"/>
    <row r="184137" s="12" customFormat="1" x14ac:dyDescent="0.25"/>
    <row r="184138" s="12" customFormat="1" x14ac:dyDescent="0.25"/>
    <row r="184139" s="12" customFormat="1" x14ac:dyDescent="0.25"/>
    <row r="184140" s="12" customFormat="1" x14ac:dyDescent="0.25"/>
    <row r="184141" s="12" customFormat="1" x14ac:dyDescent="0.25"/>
    <row r="184142" s="12" customFormat="1" x14ac:dyDescent="0.25"/>
    <row r="184143" s="12" customFormat="1" x14ac:dyDescent="0.25"/>
    <row r="184144" s="12" customFormat="1" x14ac:dyDescent="0.25"/>
    <row r="184145" s="12" customFormat="1" x14ac:dyDescent="0.25"/>
    <row r="184146" s="12" customFormat="1" x14ac:dyDescent="0.25"/>
    <row r="184147" s="12" customFormat="1" x14ac:dyDescent="0.25"/>
    <row r="184148" s="12" customFormat="1" x14ac:dyDescent="0.25"/>
    <row r="184149" s="12" customFormat="1" x14ac:dyDescent="0.25"/>
    <row r="184150" s="12" customFormat="1" x14ac:dyDescent="0.25"/>
    <row r="184151" s="12" customFormat="1" x14ac:dyDescent="0.25"/>
    <row r="184152" s="12" customFormat="1" x14ac:dyDescent="0.25"/>
    <row r="184153" s="12" customFormat="1" x14ac:dyDescent="0.25"/>
    <row r="184154" s="12" customFormat="1" x14ac:dyDescent="0.25"/>
    <row r="184155" s="12" customFormat="1" x14ac:dyDescent="0.25"/>
    <row r="184156" s="12" customFormat="1" x14ac:dyDescent="0.25"/>
    <row r="184157" s="12" customFormat="1" x14ac:dyDescent="0.25"/>
    <row r="184158" s="12" customFormat="1" x14ac:dyDescent="0.25"/>
    <row r="184159" s="12" customFormat="1" x14ac:dyDescent="0.25"/>
    <row r="184160" s="12" customFormat="1" x14ac:dyDescent="0.25"/>
    <row r="184161" s="12" customFormat="1" x14ac:dyDescent="0.25"/>
    <row r="184162" s="12" customFormat="1" x14ac:dyDescent="0.25"/>
    <row r="184163" s="12" customFormat="1" x14ac:dyDescent="0.25"/>
    <row r="184164" s="12" customFormat="1" x14ac:dyDescent="0.25"/>
    <row r="184165" s="12" customFormat="1" x14ac:dyDescent="0.25"/>
    <row r="184166" s="12" customFormat="1" x14ac:dyDescent="0.25"/>
    <row r="184167" s="12" customFormat="1" x14ac:dyDescent="0.25"/>
    <row r="184168" s="12" customFormat="1" x14ac:dyDescent="0.25"/>
    <row r="184169" s="12" customFormat="1" x14ac:dyDescent="0.25"/>
    <row r="184170" s="12" customFormat="1" x14ac:dyDescent="0.25"/>
    <row r="184171" s="12" customFormat="1" x14ac:dyDescent="0.25"/>
    <row r="184172" s="12" customFormat="1" x14ac:dyDescent="0.25"/>
    <row r="184173" s="12" customFormat="1" x14ac:dyDescent="0.25"/>
    <row r="184174" s="12" customFormat="1" x14ac:dyDescent="0.25"/>
    <row r="184175" s="12" customFormat="1" x14ac:dyDescent="0.25"/>
    <row r="184176" s="12" customFormat="1" x14ac:dyDescent="0.25"/>
    <row r="184177" s="12" customFormat="1" x14ac:dyDescent="0.25"/>
    <row r="184178" s="12" customFormat="1" x14ac:dyDescent="0.25"/>
    <row r="184179" s="12" customFormat="1" x14ac:dyDescent="0.25"/>
    <row r="184180" s="12" customFormat="1" x14ac:dyDescent="0.25"/>
    <row r="184181" s="12" customFormat="1" x14ac:dyDescent="0.25"/>
    <row r="184182" s="12" customFormat="1" x14ac:dyDescent="0.25"/>
    <row r="184183" s="12" customFormat="1" x14ac:dyDescent="0.25"/>
    <row r="184184" s="12" customFormat="1" x14ac:dyDescent="0.25"/>
    <row r="184185" s="12" customFormat="1" x14ac:dyDescent="0.25"/>
    <row r="184186" s="12" customFormat="1" x14ac:dyDescent="0.25"/>
    <row r="184187" s="12" customFormat="1" x14ac:dyDescent="0.25"/>
    <row r="184188" s="12" customFormat="1" x14ac:dyDescent="0.25"/>
    <row r="184189" s="12" customFormat="1" x14ac:dyDescent="0.25"/>
    <row r="184190" s="12" customFormat="1" x14ac:dyDescent="0.25"/>
    <row r="184191" s="12" customFormat="1" x14ac:dyDescent="0.25"/>
    <row r="184192" s="12" customFormat="1" x14ac:dyDescent="0.25"/>
    <row r="184193" s="12" customFormat="1" x14ac:dyDescent="0.25"/>
    <row r="184194" s="12" customFormat="1" x14ac:dyDescent="0.25"/>
    <row r="184195" s="12" customFormat="1" x14ac:dyDescent="0.25"/>
    <row r="184196" s="12" customFormat="1" x14ac:dyDescent="0.25"/>
    <row r="184197" s="12" customFormat="1" x14ac:dyDescent="0.25"/>
    <row r="184198" s="12" customFormat="1" x14ac:dyDescent="0.25"/>
    <row r="184199" s="12" customFormat="1" x14ac:dyDescent="0.25"/>
    <row r="184200" s="12" customFormat="1" x14ac:dyDescent="0.25"/>
    <row r="184201" s="12" customFormat="1" x14ac:dyDescent="0.25"/>
    <row r="184202" s="12" customFormat="1" x14ac:dyDescent="0.25"/>
    <row r="184203" s="12" customFormat="1" x14ac:dyDescent="0.25"/>
    <row r="184204" s="12" customFormat="1" x14ac:dyDescent="0.25"/>
    <row r="184205" s="12" customFormat="1" x14ac:dyDescent="0.25"/>
    <row r="184206" s="12" customFormat="1" x14ac:dyDescent="0.25"/>
    <row r="184207" s="12" customFormat="1" x14ac:dyDescent="0.25"/>
    <row r="184208" s="12" customFormat="1" x14ac:dyDescent="0.25"/>
    <row r="184209" s="12" customFormat="1" x14ac:dyDescent="0.25"/>
    <row r="184210" s="12" customFormat="1" x14ac:dyDescent="0.25"/>
    <row r="184211" s="12" customFormat="1" x14ac:dyDescent="0.25"/>
    <row r="184212" s="12" customFormat="1" x14ac:dyDescent="0.25"/>
    <row r="184213" s="12" customFormat="1" x14ac:dyDescent="0.25"/>
    <row r="184214" s="12" customFormat="1" x14ac:dyDescent="0.25"/>
    <row r="184215" s="12" customFormat="1" x14ac:dyDescent="0.25"/>
    <row r="184216" s="12" customFormat="1" x14ac:dyDescent="0.25"/>
    <row r="184217" s="12" customFormat="1" x14ac:dyDescent="0.25"/>
    <row r="184218" s="12" customFormat="1" x14ac:dyDescent="0.25"/>
    <row r="184219" s="12" customFormat="1" x14ac:dyDescent="0.25"/>
    <row r="184220" s="12" customFormat="1" x14ac:dyDescent="0.25"/>
    <row r="184221" s="12" customFormat="1" x14ac:dyDescent="0.25"/>
    <row r="184222" s="12" customFormat="1" x14ac:dyDescent="0.25"/>
    <row r="184223" s="12" customFormat="1" x14ac:dyDescent="0.25"/>
    <row r="184224" s="12" customFormat="1" x14ac:dyDescent="0.25"/>
    <row r="184225" s="12" customFormat="1" x14ac:dyDescent="0.25"/>
    <row r="184226" s="12" customFormat="1" x14ac:dyDescent="0.25"/>
    <row r="184227" s="12" customFormat="1" x14ac:dyDescent="0.25"/>
    <row r="184228" s="12" customFormat="1" x14ac:dyDescent="0.25"/>
    <row r="184229" s="12" customFormat="1" x14ac:dyDescent="0.25"/>
    <row r="184230" s="12" customFormat="1" x14ac:dyDescent="0.25"/>
    <row r="184231" s="12" customFormat="1" x14ac:dyDescent="0.25"/>
    <row r="184232" s="12" customFormat="1" x14ac:dyDescent="0.25"/>
    <row r="184233" s="12" customFormat="1" x14ac:dyDescent="0.25"/>
    <row r="184234" s="12" customFormat="1" x14ac:dyDescent="0.25"/>
    <row r="184235" s="12" customFormat="1" x14ac:dyDescent="0.25"/>
    <row r="184236" s="12" customFormat="1" x14ac:dyDescent="0.25"/>
    <row r="184237" s="12" customFormat="1" x14ac:dyDescent="0.25"/>
    <row r="184238" s="12" customFormat="1" x14ac:dyDescent="0.25"/>
    <row r="184239" s="12" customFormat="1" x14ac:dyDescent="0.25"/>
    <row r="184240" s="12" customFormat="1" x14ac:dyDescent="0.25"/>
    <row r="184241" s="12" customFormat="1" x14ac:dyDescent="0.25"/>
    <row r="184242" s="12" customFormat="1" x14ac:dyDescent="0.25"/>
    <row r="184243" s="12" customFormat="1" x14ac:dyDescent="0.25"/>
    <row r="184244" s="12" customFormat="1" x14ac:dyDescent="0.25"/>
    <row r="184245" s="12" customFormat="1" x14ac:dyDescent="0.25"/>
    <row r="184246" s="12" customFormat="1" x14ac:dyDescent="0.25"/>
    <row r="184247" s="12" customFormat="1" x14ac:dyDescent="0.25"/>
    <row r="184248" s="12" customFormat="1" x14ac:dyDescent="0.25"/>
    <row r="184249" s="12" customFormat="1" x14ac:dyDescent="0.25"/>
    <row r="184250" s="12" customFormat="1" x14ac:dyDescent="0.25"/>
    <row r="184251" s="12" customFormat="1" x14ac:dyDescent="0.25"/>
    <row r="184252" s="12" customFormat="1" x14ac:dyDescent="0.25"/>
    <row r="184253" s="12" customFormat="1" x14ac:dyDescent="0.25"/>
    <row r="184254" s="12" customFormat="1" x14ac:dyDescent="0.25"/>
    <row r="184255" s="12" customFormat="1" x14ac:dyDescent="0.25"/>
    <row r="184256" s="12" customFormat="1" x14ac:dyDescent="0.25"/>
    <row r="184257" s="12" customFormat="1" x14ac:dyDescent="0.25"/>
    <row r="184258" s="12" customFormat="1" x14ac:dyDescent="0.25"/>
    <row r="184259" s="12" customFormat="1" x14ac:dyDescent="0.25"/>
    <row r="184260" s="12" customFormat="1" x14ac:dyDescent="0.25"/>
    <row r="184261" s="12" customFormat="1" x14ac:dyDescent="0.25"/>
    <row r="184262" s="12" customFormat="1" x14ac:dyDescent="0.25"/>
    <row r="184263" s="12" customFormat="1" x14ac:dyDescent="0.25"/>
    <row r="184264" s="12" customFormat="1" x14ac:dyDescent="0.25"/>
    <row r="184265" s="12" customFormat="1" x14ac:dyDescent="0.25"/>
    <row r="184266" s="12" customFormat="1" x14ac:dyDescent="0.25"/>
    <row r="184267" s="12" customFormat="1" x14ac:dyDescent="0.25"/>
    <row r="184268" s="12" customFormat="1" x14ac:dyDescent="0.25"/>
    <row r="184269" s="12" customFormat="1" x14ac:dyDescent="0.25"/>
    <row r="184270" s="12" customFormat="1" x14ac:dyDescent="0.25"/>
    <row r="184271" s="12" customFormat="1" x14ac:dyDescent="0.25"/>
    <row r="184272" s="12" customFormat="1" x14ac:dyDescent="0.25"/>
    <row r="184273" s="12" customFormat="1" x14ac:dyDescent="0.25"/>
    <row r="184274" s="12" customFormat="1" x14ac:dyDescent="0.25"/>
    <row r="184275" s="12" customFormat="1" x14ac:dyDescent="0.25"/>
    <row r="184276" s="12" customFormat="1" x14ac:dyDescent="0.25"/>
    <row r="184277" s="12" customFormat="1" x14ac:dyDescent="0.25"/>
    <row r="184278" s="12" customFormat="1" x14ac:dyDescent="0.25"/>
    <row r="184279" s="12" customFormat="1" x14ac:dyDescent="0.25"/>
    <row r="184280" s="12" customFormat="1" x14ac:dyDescent="0.25"/>
    <row r="184281" s="12" customFormat="1" x14ac:dyDescent="0.25"/>
    <row r="184282" s="12" customFormat="1" x14ac:dyDescent="0.25"/>
    <row r="184283" s="12" customFormat="1" x14ac:dyDescent="0.25"/>
    <row r="184284" s="12" customFormat="1" x14ac:dyDescent="0.25"/>
    <row r="184285" s="12" customFormat="1" x14ac:dyDescent="0.25"/>
    <row r="184286" s="12" customFormat="1" x14ac:dyDescent="0.25"/>
    <row r="184287" s="12" customFormat="1" x14ac:dyDescent="0.25"/>
    <row r="184288" s="12" customFormat="1" x14ac:dyDescent="0.25"/>
    <row r="184289" s="12" customFormat="1" x14ac:dyDescent="0.25"/>
    <row r="184290" s="12" customFormat="1" x14ac:dyDescent="0.25"/>
    <row r="184291" s="12" customFormat="1" x14ac:dyDescent="0.25"/>
    <row r="184292" s="12" customFormat="1" x14ac:dyDescent="0.25"/>
    <row r="184293" s="12" customFormat="1" x14ac:dyDescent="0.25"/>
    <row r="184294" s="12" customFormat="1" x14ac:dyDescent="0.25"/>
    <row r="184295" s="12" customFormat="1" x14ac:dyDescent="0.25"/>
    <row r="184296" s="12" customFormat="1" x14ac:dyDescent="0.25"/>
    <row r="184297" s="12" customFormat="1" x14ac:dyDescent="0.25"/>
    <row r="184298" s="12" customFormat="1" x14ac:dyDescent="0.25"/>
    <row r="184299" s="12" customFormat="1" x14ac:dyDescent="0.25"/>
    <row r="184300" s="12" customFormat="1" x14ac:dyDescent="0.25"/>
    <row r="184301" s="12" customFormat="1" x14ac:dyDescent="0.25"/>
    <row r="184302" s="12" customFormat="1" x14ac:dyDescent="0.25"/>
    <row r="184303" s="12" customFormat="1" x14ac:dyDescent="0.25"/>
    <row r="184304" s="12" customFormat="1" x14ac:dyDescent="0.25"/>
    <row r="184305" s="12" customFormat="1" x14ac:dyDescent="0.25"/>
    <row r="184306" s="12" customFormat="1" x14ac:dyDescent="0.25"/>
    <row r="184307" s="12" customFormat="1" x14ac:dyDescent="0.25"/>
    <row r="184308" s="12" customFormat="1" x14ac:dyDescent="0.25"/>
    <row r="184309" s="12" customFormat="1" x14ac:dyDescent="0.25"/>
    <row r="184310" s="12" customFormat="1" x14ac:dyDescent="0.25"/>
    <row r="184311" s="12" customFormat="1" x14ac:dyDescent="0.25"/>
    <row r="184312" s="12" customFormat="1" x14ac:dyDescent="0.25"/>
    <row r="184313" s="12" customFormat="1" x14ac:dyDescent="0.25"/>
    <row r="184314" s="12" customFormat="1" x14ac:dyDescent="0.25"/>
    <row r="184315" s="12" customFormat="1" x14ac:dyDescent="0.25"/>
    <row r="184316" s="12" customFormat="1" x14ac:dyDescent="0.25"/>
    <row r="184317" s="12" customFormat="1" x14ac:dyDescent="0.25"/>
    <row r="184318" s="12" customFormat="1" x14ac:dyDescent="0.25"/>
    <row r="184319" s="12" customFormat="1" x14ac:dyDescent="0.25"/>
    <row r="184320" s="12" customFormat="1" x14ac:dyDescent="0.25"/>
    <row r="184321" s="12" customFormat="1" x14ac:dyDescent="0.25"/>
    <row r="184322" s="12" customFormat="1" x14ac:dyDescent="0.25"/>
    <row r="184323" s="12" customFormat="1" x14ac:dyDescent="0.25"/>
    <row r="184324" s="12" customFormat="1" x14ac:dyDescent="0.25"/>
    <row r="184325" s="12" customFormat="1" x14ac:dyDescent="0.25"/>
    <row r="184326" s="12" customFormat="1" x14ac:dyDescent="0.25"/>
    <row r="184327" s="12" customFormat="1" x14ac:dyDescent="0.25"/>
    <row r="184328" s="12" customFormat="1" x14ac:dyDescent="0.25"/>
    <row r="184329" s="12" customFormat="1" x14ac:dyDescent="0.25"/>
    <row r="184330" s="12" customFormat="1" x14ac:dyDescent="0.25"/>
    <row r="184331" s="12" customFormat="1" x14ac:dyDescent="0.25"/>
    <row r="184332" s="12" customFormat="1" x14ac:dyDescent="0.25"/>
    <row r="184333" s="12" customFormat="1" x14ac:dyDescent="0.25"/>
    <row r="184334" s="12" customFormat="1" x14ac:dyDescent="0.25"/>
    <row r="184335" s="12" customFormat="1" x14ac:dyDescent="0.25"/>
    <row r="184336" s="12" customFormat="1" x14ac:dyDescent="0.25"/>
    <row r="184337" s="12" customFormat="1" x14ac:dyDescent="0.25"/>
    <row r="184338" s="12" customFormat="1" x14ac:dyDescent="0.25"/>
    <row r="184339" s="12" customFormat="1" x14ac:dyDescent="0.25"/>
    <row r="184340" s="12" customFormat="1" x14ac:dyDescent="0.25"/>
    <row r="184341" s="12" customFormat="1" x14ac:dyDescent="0.25"/>
    <row r="184342" s="12" customFormat="1" x14ac:dyDescent="0.25"/>
    <row r="184343" s="12" customFormat="1" x14ac:dyDescent="0.25"/>
    <row r="184344" s="12" customFormat="1" x14ac:dyDescent="0.25"/>
    <row r="184345" s="12" customFormat="1" x14ac:dyDescent="0.25"/>
    <row r="184346" s="12" customFormat="1" x14ac:dyDescent="0.25"/>
    <row r="184347" s="12" customFormat="1" x14ac:dyDescent="0.25"/>
    <row r="184348" s="12" customFormat="1" x14ac:dyDescent="0.25"/>
    <row r="184349" s="12" customFormat="1" x14ac:dyDescent="0.25"/>
    <row r="184350" s="12" customFormat="1" x14ac:dyDescent="0.25"/>
    <row r="184351" s="12" customFormat="1" x14ac:dyDescent="0.25"/>
    <row r="184352" s="12" customFormat="1" x14ac:dyDescent="0.25"/>
    <row r="184353" s="12" customFormat="1" x14ac:dyDescent="0.25"/>
    <row r="184354" s="12" customFormat="1" x14ac:dyDescent="0.25"/>
    <row r="184355" s="12" customFormat="1" x14ac:dyDescent="0.25"/>
    <row r="184356" s="12" customFormat="1" x14ac:dyDescent="0.25"/>
    <row r="184357" s="12" customFormat="1" x14ac:dyDescent="0.25"/>
    <row r="184358" s="12" customFormat="1" x14ac:dyDescent="0.25"/>
    <row r="184359" s="12" customFormat="1" x14ac:dyDescent="0.25"/>
    <row r="184360" s="12" customFormat="1" x14ac:dyDescent="0.25"/>
    <row r="184361" s="12" customFormat="1" x14ac:dyDescent="0.25"/>
    <row r="184362" s="12" customFormat="1" x14ac:dyDescent="0.25"/>
    <row r="184363" s="12" customFormat="1" x14ac:dyDescent="0.25"/>
    <row r="184364" s="12" customFormat="1" x14ac:dyDescent="0.25"/>
    <row r="184365" s="12" customFormat="1" x14ac:dyDescent="0.25"/>
    <row r="184366" s="12" customFormat="1" x14ac:dyDescent="0.25"/>
    <row r="184367" s="12" customFormat="1" x14ac:dyDescent="0.25"/>
    <row r="184368" s="12" customFormat="1" x14ac:dyDescent="0.25"/>
    <row r="184369" s="12" customFormat="1" x14ac:dyDescent="0.25"/>
    <row r="184370" s="12" customFormat="1" x14ac:dyDescent="0.25"/>
    <row r="184371" s="12" customFormat="1" x14ac:dyDescent="0.25"/>
    <row r="184372" s="12" customFormat="1" x14ac:dyDescent="0.25"/>
    <row r="184373" s="12" customFormat="1" x14ac:dyDescent="0.25"/>
    <row r="184374" s="12" customFormat="1" x14ac:dyDescent="0.25"/>
    <row r="184375" s="12" customFormat="1" x14ac:dyDescent="0.25"/>
    <row r="184376" s="12" customFormat="1" x14ac:dyDescent="0.25"/>
    <row r="184377" s="12" customFormat="1" x14ac:dyDescent="0.25"/>
    <row r="184378" s="12" customFormat="1" x14ac:dyDescent="0.25"/>
    <row r="184379" s="12" customFormat="1" x14ac:dyDescent="0.25"/>
    <row r="184380" s="12" customFormat="1" x14ac:dyDescent="0.25"/>
    <row r="184381" s="12" customFormat="1" x14ac:dyDescent="0.25"/>
    <row r="184382" s="12" customFormat="1" x14ac:dyDescent="0.25"/>
    <row r="184383" s="12" customFormat="1" x14ac:dyDescent="0.25"/>
    <row r="184384" s="12" customFormat="1" x14ac:dyDescent="0.25"/>
    <row r="184385" s="12" customFormat="1" x14ac:dyDescent="0.25"/>
    <row r="184386" s="12" customFormat="1" x14ac:dyDescent="0.25"/>
    <row r="184387" s="12" customFormat="1" x14ac:dyDescent="0.25"/>
    <row r="184388" s="12" customFormat="1" x14ac:dyDescent="0.25"/>
    <row r="184389" s="12" customFormat="1" x14ac:dyDescent="0.25"/>
    <row r="184390" s="12" customFormat="1" x14ac:dyDescent="0.25"/>
    <row r="184391" s="12" customFormat="1" x14ac:dyDescent="0.25"/>
    <row r="184392" s="12" customFormat="1" x14ac:dyDescent="0.25"/>
    <row r="184393" s="12" customFormat="1" x14ac:dyDescent="0.25"/>
    <row r="184394" s="12" customFormat="1" x14ac:dyDescent="0.25"/>
    <row r="184395" s="12" customFormat="1" x14ac:dyDescent="0.25"/>
    <row r="184396" s="12" customFormat="1" x14ac:dyDescent="0.25"/>
    <row r="184397" s="12" customFormat="1" x14ac:dyDescent="0.25"/>
    <row r="184398" s="12" customFormat="1" x14ac:dyDescent="0.25"/>
    <row r="184399" s="12" customFormat="1" x14ac:dyDescent="0.25"/>
    <row r="184400" s="12" customFormat="1" x14ac:dyDescent="0.25"/>
    <row r="184401" s="12" customFormat="1" x14ac:dyDescent="0.25"/>
    <row r="184402" s="12" customFormat="1" x14ac:dyDescent="0.25"/>
    <row r="184403" s="12" customFormat="1" x14ac:dyDescent="0.25"/>
    <row r="184404" s="12" customFormat="1" x14ac:dyDescent="0.25"/>
    <row r="184405" s="12" customFormat="1" x14ac:dyDescent="0.25"/>
    <row r="184406" s="12" customFormat="1" x14ac:dyDescent="0.25"/>
    <row r="184407" s="12" customFormat="1" x14ac:dyDescent="0.25"/>
    <row r="184408" s="12" customFormat="1" x14ac:dyDescent="0.25"/>
    <row r="184409" s="12" customFormat="1" x14ac:dyDescent="0.25"/>
    <row r="184410" s="12" customFormat="1" x14ac:dyDescent="0.25"/>
    <row r="184411" s="12" customFormat="1" x14ac:dyDescent="0.25"/>
    <row r="184412" s="12" customFormat="1" x14ac:dyDescent="0.25"/>
    <row r="184413" s="12" customFormat="1" x14ac:dyDescent="0.25"/>
    <row r="184414" s="12" customFormat="1" x14ac:dyDescent="0.25"/>
    <row r="184415" s="12" customFormat="1" x14ac:dyDescent="0.25"/>
    <row r="184416" s="12" customFormat="1" x14ac:dyDescent="0.25"/>
    <row r="184417" s="12" customFormat="1" x14ac:dyDescent="0.25"/>
    <row r="184418" s="12" customFormat="1" x14ac:dyDescent="0.25"/>
    <row r="184419" s="12" customFormat="1" x14ac:dyDescent="0.25"/>
    <row r="184420" s="12" customFormat="1" x14ac:dyDescent="0.25"/>
    <row r="184421" s="12" customFormat="1" x14ac:dyDescent="0.25"/>
    <row r="184422" s="12" customFormat="1" x14ac:dyDescent="0.25"/>
    <row r="184423" s="12" customFormat="1" x14ac:dyDescent="0.25"/>
    <row r="184424" s="12" customFormat="1" x14ac:dyDescent="0.25"/>
    <row r="184425" s="12" customFormat="1" x14ac:dyDescent="0.25"/>
    <row r="184426" s="12" customFormat="1" x14ac:dyDescent="0.25"/>
    <row r="184427" s="12" customFormat="1" x14ac:dyDescent="0.25"/>
    <row r="184428" s="12" customFormat="1" x14ac:dyDescent="0.25"/>
    <row r="184429" s="12" customFormat="1" x14ac:dyDescent="0.25"/>
    <row r="184430" s="12" customFormat="1" x14ac:dyDescent="0.25"/>
    <row r="184431" s="12" customFormat="1" x14ac:dyDescent="0.25"/>
    <row r="184432" s="12" customFormat="1" x14ac:dyDescent="0.25"/>
    <row r="184433" s="12" customFormat="1" x14ac:dyDescent="0.25"/>
    <row r="184434" s="12" customFormat="1" x14ac:dyDescent="0.25"/>
    <row r="184435" s="12" customFormat="1" x14ac:dyDescent="0.25"/>
    <row r="184436" s="12" customFormat="1" x14ac:dyDescent="0.25"/>
    <row r="184437" s="12" customFormat="1" x14ac:dyDescent="0.25"/>
    <row r="184438" s="12" customFormat="1" x14ac:dyDescent="0.25"/>
    <row r="184439" s="12" customFormat="1" x14ac:dyDescent="0.25"/>
    <row r="184440" s="12" customFormat="1" x14ac:dyDescent="0.25"/>
    <row r="184441" s="12" customFormat="1" x14ac:dyDescent="0.25"/>
    <row r="184442" s="12" customFormat="1" x14ac:dyDescent="0.25"/>
    <row r="184443" s="12" customFormat="1" x14ac:dyDescent="0.25"/>
    <row r="184444" s="12" customFormat="1" x14ac:dyDescent="0.25"/>
    <row r="184445" s="12" customFormat="1" x14ac:dyDescent="0.25"/>
    <row r="184446" s="12" customFormat="1" x14ac:dyDescent="0.25"/>
    <row r="184447" s="12" customFormat="1" x14ac:dyDescent="0.25"/>
    <row r="184448" s="12" customFormat="1" x14ac:dyDescent="0.25"/>
    <row r="184449" s="12" customFormat="1" x14ac:dyDescent="0.25"/>
    <row r="184450" s="12" customFormat="1" x14ac:dyDescent="0.25"/>
    <row r="184451" s="12" customFormat="1" x14ac:dyDescent="0.25"/>
    <row r="184452" s="12" customFormat="1" x14ac:dyDescent="0.25"/>
    <row r="184453" s="12" customFormat="1" x14ac:dyDescent="0.25"/>
    <row r="184454" s="12" customFormat="1" x14ac:dyDescent="0.25"/>
    <row r="184455" s="12" customFormat="1" x14ac:dyDescent="0.25"/>
    <row r="184456" s="12" customFormat="1" x14ac:dyDescent="0.25"/>
    <row r="184457" s="12" customFormat="1" x14ac:dyDescent="0.25"/>
    <row r="184458" s="12" customFormat="1" x14ac:dyDescent="0.25"/>
    <row r="184459" s="12" customFormat="1" x14ac:dyDescent="0.25"/>
    <row r="184460" s="12" customFormat="1" x14ac:dyDescent="0.25"/>
    <row r="184461" s="12" customFormat="1" x14ac:dyDescent="0.25"/>
    <row r="184462" s="12" customFormat="1" x14ac:dyDescent="0.25"/>
    <row r="184463" s="12" customFormat="1" x14ac:dyDescent="0.25"/>
    <row r="184464" s="12" customFormat="1" x14ac:dyDescent="0.25"/>
    <row r="184465" s="12" customFormat="1" x14ac:dyDescent="0.25"/>
    <row r="184466" s="12" customFormat="1" x14ac:dyDescent="0.25"/>
    <row r="184467" s="12" customFormat="1" x14ac:dyDescent="0.25"/>
    <row r="184468" s="12" customFormat="1" x14ac:dyDescent="0.25"/>
    <row r="184469" s="12" customFormat="1" x14ac:dyDescent="0.25"/>
    <row r="184470" s="12" customFormat="1" x14ac:dyDescent="0.25"/>
    <row r="184471" s="12" customFormat="1" x14ac:dyDescent="0.25"/>
    <row r="184472" s="12" customFormat="1" x14ac:dyDescent="0.25"/>
    <row r="184473" s="12" customFormat="1" x14ac:dyDescent="0.25"/>
    <row r="184474" s="12" customFormat="1" x14ac:dyDescent="0.25"/>
    <row r="184475" s="12" customFormat="1" x14ac:dyDescent="0.25"/>
    <row r="184476" s="12" customFormat="1" x14ac:dyDescent="0.25"/>
    <row r="184477" s="12" customFormat="1" x14ac:dyDescent="0.25"/>
    <row r="184478" s="12" customFormat="1" x14ac:dyDescent="0.25"/>
    <row r="184479" s="12" customFormat="1" x14ac:dyDescent="0.25"/>
    <row r="184480" s="12" customFormat="1" x14ac:dyDescent="0.25"/>
    <row r="184481" s="12" customFormat="1" x14ac:dyDescent="0.25"/>
    <row r="184482" s="12" customFormat="1" x14ac:dyDescent="0.25"/>
    <row r="184483" s="12" customFormat="1" x14ac:dyDescent="0.25"/>
    <row r="184484" s="12" customFormat="1" x14ac:dyDescent="0.25"/>
    <row r="184485" s="12" customFormat="1" x14ac:dyDescent="0.25"/>
    <row r="184486" s="12" customFormat="1" x14ac:dyDescent="0.25"/>
    <row r="184487" s="12" customFormat="1" x14ac:dyDescent="0.25"/>
    <row r="184488" s="12" customFormat="1" x14ac:dyDescent="0.25"/>
    <row r="184489" s="12" customFormat="1" x14ac:dyDescent="0.25"/>
    <row r="184490" s="12" customFormat="1" x14ac:dyDescent="0.25"/>
    <row r="184491" s="12" customFormat="1" x14ac:dyDescent="0.25"/>
    <row r="184492" s="12" customFormat="1" x14ac:dyDescent="0.25"/>
    <row r="184493" s="12" customFormat="1" x14ac:dyDescent="0.25"/>
    <row r="184494" s="12" customFormat="1" x14ac:dyDescent="0.25"/>
    <row r="184495" s="12" customFormat="1" x14ac:dyDescent="0.25"/>
    <row r="184496" s="12" customFormat="1" x14ac:dyDescent="0.25"/>
    <row r="184497" s="12" customFormat="1" x14ac:dyDescent="0.25"/>
    <row r="184498" s="12" customFormat="1" x14ac:dyDescent="0.25"/>
    <row r="184499" s="12" customFormat="1" x14ac:dyDescent="0.25"/>
    <row r="184500" s="12" customFormat="1" x14ac:dyDescent="0.25"/>
    <row r="184501" s="12" customFormat="1" x14ac:dyDescent="0.25"/>
    <row r="184502" s="12" customFormat="1" x14ac:dyDescent="0.25"/>
    <row r="184503" s="12" customFormat="1" x14ac:dyDescent="0.25"/>
    <row r="184504" s="12" customFormat="1" x14ac:dyDescent="0.25"/>
    <row r="184505" s="12" customFormat="1" x14ac:dyDescent="0.25"/>
    <row r="184506" s="12" customFormat="1" x14ac:dyDescent="0.25"/>
    <row r="184507" s="12" customFormat="1" x14ac:dyDescent="0.25"/>
    <row r="184508" s="12" customFormat="1" x14ac:dyDescent="0.25"/>
    <row r="184509" s="12" customFormat="1" x14ac:dyDescent="0.25"/>
    <row r="184510" s="12" customFormat="1" x14ac:dyDescent="0.25"/>
    <row r="184511" s="12" customFormat="1" x14ac:dyDescent="0.25"/>
    <row r="184512" s="12" customFormat="1" x14ac:dyDescent="0.25"/>
    <row r="184513" s="12" customFormat="1" x14ac:dyDescent="0.25"/>
    <row r="184514" s="12" customFormat="1" x14ac:dyDescent="0.25"/>
    <row r="184515" s="12" customFormat="1" x14ac:dyDescent="0.25"/>
    <row r="184516" s="12" customFormat="1" x14ac:dyDescent="0.25"/>
    <row r="184517" s="12" customFormat="1" x14ac:dyDescent="0.25"/>
    <row r="184518" s="12" customFormat="1" x14ac:dyDescent="0.25"/>
    <row r="184519" s="12" customFormat="1" x14ac:dyDescent="0.25"/>
    <row r="184520" s="12" customFormat="1" x14ac:dyDescent="0.25"/>
    <row r="184521" s="12" customFormat="1" x14ac:dyDescent="0.25"/>
    <row r="184522" s="12" customFormat="1" x14ac:dyDescent="0.25"/>
    <row r="184523" s="12" customFormat="1" x14ac:dyDescent="0.25"/>
    <row r="184524" s="12" customFormat="1" x14ac:dyDescent="0.25"/>
    <row r="184525" s="12" customFormat="1" x14ac:dyDescent="0.25"/>
    <row r="184526" s="12" customFormat="1" x14ac:dyDescent="0.25"/>
    <row r="184527" s="12" customFormat="1" x14ac:dyDescent="0.25"/>
    <row r="184528" s="12" customFormat="1" x14ac:dyDescent="0.25"/>
    <row r="184529" s="12" customFormat="1" x14ac:dyDescent="0.25"/>
    <row r="184530" s="12" customFormat="1" x14ac:dyDescent="0.25"/>
    <row r="184531" s="12" customFormat="1" x14ac:dyDescent="0.25"/>
    <row r="184532" s="12" customFormat="1" x14ac:dyDescent="0.25"/>
    <row r="184533" s="12" customFormat="1" x14ac:dyDescent="0.25"/>
    <row r="184534" s="12" customFormat="1" x14ac:dyDescent="0.25"/>
    <row r="184535" s="12" customFormat="1" x14ac:dyDescent="0.25"/>
    <row r="184536" s="12" customFormat="1" x14ac:dyDescent="0.25"/>
    <row r="184537" s="12" customFormat="1" x14ac:dyDescent="0.25"/>
    <row r="184538" s="12" customFormat="1" x14ac:dyDescent="0.25"/>
    <row r="184539" s="12" customFormat="1" x14ac:dyDescent="0.25"/>
    <row r="184540" s="12" customFormat="1" x14ac:dyDescent="0.25"/>
    <row r="184541" s="12" customFormat="1" x14ac:dyDescent="0.25"/>
    <row r="184542" s="12" customFormat="1" x14ac:dyDescent="0.25"/>
    <row r="184543" s="12" customFormat="1" x14ac:dyDescent="0.25"/>
    <row r="184544" s="12" customFormat="1" x14ac:dyDescent="0.25"/>
    <row r="184545" s="12" customFormat="1" x14ac:dyDescent="0.25"/>
    <row r="184546" s="12" customFormat="1" x14ac:dyDescent="0.25"/>
    <row r="184547" s="12" customFormat="1" x14ac:dyDescent="0.25"/>
    <row r="184548" s="12" customFormat="1" x14ac:dyDescent="0.25"/>
    <row r="184549" s="12" customFormat="1" x14ac:dyDescent="0.25"/>
    <row r="184550" s="12" customFormat="1" x14ac:dyDescent="0.25"/>
    <row r="184551" s="12" customFormat="1" x14ac:dyDescent="0.25"/>
    <row r="184552" s="12" customFormat="1" x14ac:dyDescent="0.25"/>
    <row r="184553" s="12" customFormat="1" x14ac:dyDescent="0.25"/>
    <row r="184554" s="12" customFormat="1" x14ac:dyDescent="0.25"/>
    <row r="184555" s="12" customFormat="1" x14ac:dyDescent="0.25"/>
    <row r="184556" s="12" customFormat="1" x14ac:dyDescent="0.25"/>
    <row r="184557" s="12" customFormat="1" x14ac:dyDescent="0.25"/>
    <row r="184558" s="12" customFormat="1" x14ac:dyDescent="0.25"/>
    <row r="184559" s="12" customFormat="1" x14ac:dyDescent="0.25"/>
    <row r="184560" s="12" customFormat="1" x14ac:dyDescent="0.25"/>
    <row r="184561" s="12" customFormat="1" x14ac:dyDescent="0.25"/>
    <row r="184562" s="12" customFormat="1" x14ac:dyDescent="0.25"/>
    <row r="184563" s="12" customFormat="1" x14ac:dyDescent="0.25"/>
    <row r="184564" s="12" customFormat="1" x14ac:dyDescent="0.25"/>
    <row r="184565" s="12" customFormat="1" x14ac:dyDescent="0.25"/>
    <row r="184566" s="12" customFormat="1" x14ac:dyDescent="0.25"/>
    <row r="184567" s="12" customFormat="1" x14ac:dyDescent="0.25"/>
    <row r="184568" s="12" customFormat="1" x14ac:dyDescent="0.25"/>
    <row r="184569" s="12" customFormat="1" x14ac:dyDescent="0.25"/>
    <row r="184570" s="12" customFormat="1" x14ac:dyDescent="0.25"/>
    <row r="184571" s="12" customFormat="1" x14ac:dyDescent="0.25"/>
    <row r="184572" s="12" customFormat="1" x14ac:dyDescent="0.25"/>
    <row r="184573" s="12" customFormat="1" x14ac:dyDescent="0.25"/>
    <row r="184574" s="12" customFormat="1" x14ac:dyDescent="0.25"/>
    <row r="184575" s="12" customFormat="1" x14ac:dyDescent="0.25"/>
    <row r="184576" s="12" customFormat="1" x14ac:dyDescent="0.25"/>
    <row r="184577" s="12" customFormat="1" x14ac:dyDescent="0.25"/>
    <row r="184578" s="12" customFormat="1" x14ac:dyDescent="0.25"/>
    <row r="184579" s="12" customFormat="1" x14ac:dyDescent="0.25"/>
    <row r="184580" s="12" customFormat="1" x14ac:dyDescent="0.25"/>
    <row r="184581" s="12" customFormat="1" x14ac:dyDescent="0.25"/>
    <row r="184582" s="12" customFormat="1" x14ac:dyDescent="0.25"/>
    <row r="184583" s="12" customFormat="1" x14ac:dyDescent="0.25"/>
    <row r="184584" s="12" customFormat="1" x14ac:dyDescent="0.25"/>
    <row r="184585" s="12" customFormat="1" x14ac:dyDescent="0.25"/>
    <row r="184586" s="12" customFormat="1" x14ac:dyDescent="0.25"/>
    <row r="184587" s="12" customFormat="1" x14ac:dyDescent="0.25"/>
    <row r="184588" s="12" customFormat="1" x14ac:dyDescent="0.25"/>
    <row r="184589" s="12" customFormat="1" x14ac:dyDescent="0.25"/>
    <row r="184590" s="12" customFormat="1" x14ac:dyDescent="0.25"/>
    <row r="184591" s="12" customFormat="1" x14ac:dyDescent="0.25"/>
    <row r="184592" s="12" customFormat="1" x14ac:dyDescent="0.25"/>
    <row r="184593" s="12" customFormat="1" x14ac:dyDescent="0.25"/>
    <row r="184594" s="12" customFormat="1" x14ac:dyDescent="0.25"/>
    <row r="184595" s="12" customFormat="1" x14ac:dyDescent="0.25"/>
    <row r="184596" s="12" customFormat="1" x14ac:dyDescent="0.25"/>
    <row r="184597" s="12" customFormat="1" x14ac:dyDescent="0.25"/>
    <row r="184598" s="12" customFormat="1" x14ac:dyDescent="0.25"/>
    <row r="184599" s="12" customFormat="1" x14ac:dyDescent="0.25"/>
    <row r="184600" s="12" customFormat="1" x14ac:dyDescent="0.25"/>
    <row r="184601" s="12" customFormat="1" x14ac:dyDescent="0.25"/>
    <row r="184602" s="12" customFormat="1" x14ac:dyDescent="0.25"/>
    <row r="184603" s="12" customFormat="1" x14ac:dyDescent="0.25"/>
    <row r="184604" s="12" customFormat="1" x14ac:dyDescent="0.25"/>
    <row r="184605" s="12" customFormat="1" x14ac:dyDescent="0.25"/>
    <row r="184606" s="12" customFormat="1" x14ac:dyDescent="0.25"/>
    <row r="184607" s="12" customFormat="1" x14ac:dyDescent="0.25"/>
    <row r="184608" s="12" customFormat="1" x14ac:dyDescent="0.25"/>
    <row r="184609" s="12" customFormat="1" x14ac:dyDescent="0.25"/>
    <row r="184610" s="12" customFormat="1" x14ac:dyDescent="0.25"/>
    <row r="184611" s="12" customFormat="1" x14ac:dyDescent="0.25"/>
    <row r="184612" s="12" customFormat="1" x14ac:dyDescent="0.25"/>
    <row r="184613" s="12" customFormat="1" x14ac:dyDescent="0.25"/>
    <row r="184614" s="12" customFormat="1" x14ac:dyDescent="0.25"/>
    <row r="184615" s="12" customFormat="1" x14ac:dyDescent="0.25"/>
    <row r="184616" s="12" customFormat="1" x14ac:dyDescent="0.25"/>
    <row r="184617" s="12" customFormat="1" x14ac:dyDescent="0.25"/>
    <row r="184618" s="12" customFormat="1" x14ac:dyDescent="0.25"/>
    <row r="184619" s="12" customFormat="1" x14ac:dyDescent="0.25"/>
    <row r="184620" s="12" customFormat="1" x14ac:dyDescent="0.25"/>
    <row r="184621" s="12" customFormat="1" x14ac:dyDescent="0.25"/>
    <row r="184622" s="12" customFormat="1" x14ac:dyDescent="0.25"/>
    <row r="184623" s="12" customFormat="1" x14ac:dyDescent="0.25"/>
    <row r="184624" s="12" customFormat="1" x14ac:dyDescent="0.25"/>
    <row r="184625" s="12" customFormat="1" x14ac:dyDescent="0.25"/>
    <row r="184626" s="12" customFormat="1" x14ac:dyDescent="0.25"/>
    <row r="184627" s="12" customFormat="1" x14ac:dyDescent="0.25"/>
    <row r="184628" s="12" customFormat="1" x14ac:dyDescent="0.25"/>
    <row r="184629" s="12" customFormat="1" x14ac:dyDescent="0.25"/>
    <row r="184630" s="12" customFormat="1" x14ac:dyDescent="0.25"/>
    <row r="184631" s="12" customFormat="1" x14ac:dyDescent="0.25"/>
    <row r="184632" s="12" customFormat="1" x14ac:dyDescent="0.25"/>
    <row r="184633" s="12" customFormat="1" x14ac:dyDescent="0.25"/>
    <row r="184634" s="12" customFormat="1" x14ac:dyDescent="0.25"/>
    <row r="184635" s="12" customFormat="1" x14ac:dyDescent="0.25"/>
    <row r="184636" s="12" customFormat="1" x14ac:dyDescent="0.25"/>
    <row r="184637" s="12" customFormat="1" x14ac:dyDescent="0.25"/>
    <row r="184638" s="12" customFormat="1" x14ac:dyDescent="0.25"/>
    <row r="184639" s="12" customFormat="1" x14ac:dyDescent="0.25"/>
    <row r="184640" s="12" customFormat="1" x14ac:dyDescent="0.25"/>
    <row r="184641" s="12" customFormat="1" x14ac:dyDescent="0.25"/>
    <row r="184642" s="12" customFormat="1" x14ac:dyDescent="0.25"/>
    <row r="184643" s="12" customFormat="1" x14ac:dyDescent="0.25"/>
    <row r="184644" s="12" customFormat="1" x14ac:dyDescent="0.25"/>
    <row r="184645" s="12" customFormat="1" x14ac:dyDescent="0.25"/>
    <row r="184646" s="12" customFormat="1" x14ac:dyDescent="0.25"/>
    <row r="184647" s="12" customFormat="1" x14ac:dyDescent="0.25"/>
    <row r="184648" s="12" customFormat="1" x14ac:dyDescent="0.25"/>
    <row r="184649" s="12" customFormat="1" x14ac:dyDescent="0.25"/>
    <row r="184650" s="12" customFormat="1" x14ac:dyDescent="0.25"/>
    <row r="184651" s="12" customFormat="1" x14ac:dyDescent="0.25"/>
    <row r="184652" s="12" customFormat="1" x14ac:dyDescent="0.25"/>
    <row r="184653" s="12" customFormat="1" x14ac:dyDescent="0.25"/>
    <row r="184654" s="12" customFormat="1" x14ac:dyDescent="0.25"/>
    <row r="184655" s="12" customFormat="1" x14ac:dyDescent="0.25"/>
    <row r="184656" s="12" customFormat="1" x14ac:dyDescent="0.25"/>
    <row r="184657" s="12" customFormat="1" x14ac:dyDescent="0.25"/>
    <row r="184658" s="12" customFormat="1" x14ac:dyDescent="0.25"/>
    <row r="184659" s="12" customFormat="1" x14ac:dyDescent="0.25"/>
    <row r="184660" s="12" customFormat="1" x14ac:dyDescent="0.25"/>
    <row r="184661" s="12" customFormat="1" x14ac:dyDescent="0.25"/>
    <row r="184662" s="12" customFormat="1" x14ac:dyDescent="0.25"/>
    <row r="184663" s="12" customFormat="1" x14ac:dyDescent="0.25"/>
    <row r="184664" s="12" customFormat="1" x14ac:dyDescent="0.25"/>
    <row r="184665" s="12" customFormat="1" x14ac:dyDescent="0.25"/>
    <row r="184666" s="12" customFormat="1" x14ac:dyDescent="0.25"/>
    <row r="184667" s="12" customFormat="1" x14ac:dyDescent="0.25"/>
    <row r="184668" s="12" customFormat="1" x14ac:dyDescent="0.25"/>
    <row r="184669" s="12" customFormat="1" x14ac:dyDescent="0.25"/>
    <row r="184670" s="12" customFormat="1" x14ac:dyDescent="0.25"/>
    <row r="184671" s="12" customFormat="1" x14ac:dyDescent="0.25"/>
    <row r="184672" s="12" customFormat="1" x14ac:dyDescent="0.25"/>
    <row r="184673" s="12" customFormat="1" x14ac:dyDescent="0.25"/>
    <row r="184674" s="12" customFormat="1" x14ac:dyDescent="0.25"/>
    <row r="184675" s="12" customFormat="1" x14ac:dyDescent="0.25"/>
    <row r="184676" s="12" customFormat="1" x14ac:dyDescent="0.25"/>
    <row r="184677" s="12" customFormat="1" x14ac:dyDescent="0.25"/>
    <row r="184678" s="12" customFormat="1" x14ac:dyDescent="0.25"/>
    <row r="184679" s="12" customFormat="1" x14ac:dyDescent="0.25"/>
    <row r="184680" s="12" customFormat="1" x14ac:dyDescent="0.25"/>
    <row r="184681" s="12" customFormat="1" x14ac:dyDescent="0.25"/>
    <row r="184682" s="12" customFormat="1" x14ac:dyDescent="0.25"/>
    <row r="184683" s="12" customFormat="1" x14ac:dyDescent="0.25"/>
    <row r="184684" s="12" customFormat="1" x14ac:dyDescent="0.25"/>
    <row r="184685" s="12" customFormat="1" x14ac:dyDescent="0.25"/>
    <row r="184686" s="12" customFormat="1" x14ac:dyDescent="0.25"/>
    <row r="184687" s="12" customFormat="1" x14ac:dyDescent="0.25"/>
    <row r="184688" s="12" customFormat="1" x14ac:dyDescent="0.25"/>
    <row r="184689" s="12" customFormat="1" x14ac:dyDescent="0.25"/>
    <row r="184690" s="12" customFormat="1" x14ac:dyDescent="0.25"/>
    <row r="184691" s="12" customFormat="1" x14ac:dyDescent="0.25"/>
    <row r="184692" s="12" customFormat="1" x14ac:dyDescent="0.25"/>
    <row r="184693" s="12" customFormat="1" x14ac:dyDescent="0.25"/>
    <row r="184694" s="12" customFormat="1" x14ac:dyDescent="0.25"/>
    <row r="184695" s="12" customFormat="1" x14ac:dyDescent="0.25"/>
    <row r="184696" s="12" customFormat="1" x14ac:dyDescent="0.25"/>
    <row r="184697" s="12" customFormat="1" x14ac:dyDescent="0.25"/>
    <row r="184698" s="12" customFormat="1" x14ac:dyDescent="0.25"/>
    <row r="184699" s="12" customFormat="1" x14ac:dyDescent="0.25"/>
    <row r="184700" s="12" customFormat="1" x14ac:dyDescent="0.25"/>
    <row r="184701" s="12" customFormat="1" x14ac:dyDescent="0.25"/>
    <row r="184702" s="12" customFormat="1" x14ac:dyDescent="0.25"/>
    <row r="184703" s="12" customFormat="1" x14ac:dyDescent="0.25"/>
    <row r="184704" s="12" customFormat="1" x14ac:dyDescent="0.25"/>
    <row r="184705" s="12" customFormat="1" x14ac:dyDescent="0.25"/>
    <row r="184706" s="12" customFormat="1" x14ac:dyDescent="0.25"/>
    <row r="184707" s="12" customFormat="1" x14ac:dyDescent="0.25"/>
    <row r="184708" s="12" customFormat="1" x14ac:dyDescent="0.25"/>
    <row r="184709" s="12" customFormat="1" x14ac:dyDescent="0.25"/>
    <row r="184710" s="12" customFormat="1" x14ac:dyDescent="0.25"/>
    <row r="184711" s="12" customFormat="1" x14ac:dyDescent="0.25"/>
    <row r="184712" s="12" customFormat="1" x14ac:dyDescent="0.25"/>
    <row r="184713" s="12" customFormat="1" x14ac:dyDescent="0.25"/>
    <row r="184714" s="12" customFormat="1" x14ac:dyDescent="0.25"/>
    <row r="184715" s="12" customFormat="1" x14ac:dyDescent="0.25"/>
    <row r="184716" s="12" customFormat="1" x14ac:dyDescent="0.25"/>
    <row r="184717" s="12" customFormat="1" x14ac:dyDescent="0.25"/>
    <row r="184718" s="12" customFormat="1" x14ac:dyDescent="0.25"/>
    <row r="184719" s="12" customFormat="1" x14ac:dyDescent="0.25"/>
    <row r="184720" s="12" customFormat="1" x14ac:dyDescent="0.25"/>
    <row r="184721" s="12" customFormat="1" x14ac:dyDescent="0.25"/>
    <row r="184722" s="12" customFormat="1" x14ac:dyDescent="0.25"/>
    <row r="184723" s="12" customFormat="1" x14ac:dyDescent="0.25"/>
    <row r="184724" s="12" customFormat="1" x14ac:dyDescent="0.25"/>
    <row r="184725" s="12" customFormat="1" x14ac:dyDescent="0.25"/>
    <row r="184726" s="12" customFormat="1" x14ac:dyDescent="0.25"/>
    <row r="184727" s="12" customFormat="1" x14ac:dyDescent="0.25"/>
    <row r="184728" s="12" customFormat="1" x14ac:dyDescent="0.25"/>
    <row r="184729" s="12" customFormat="1" x14ac:dyDescent="0.25"/>
    <row r="184730" s="12" customFormat="1" x14ac:dyDescent="0.25"/>
    <row r="184731" s="12" customFormat="1" x14ac:dyDescent="0.25"/>
    <row r="184732" s="12" customFormat="1" x14ac:dyDescent="0.25"/>
    <row r="184733" s="12" customFormat="1" x14ac:dyDescent="0.25"/>
    <row r="184734" s="12" customFormat="1" x14ac:dyDescent="0.25"/>
    <row r="184735" s="12" customFormat="1" x14ac:dyDescent="0.25"/>
    <row r="184736" s="12" customFormat="1" x14ac:dyDescent="0.25"/>
    <row r="184737" s="12" customFormat="1" x14ac:dyDescent="0.25"/>
    <row r="184738" s="12" customFormat="1" x14ac:dyDescent="0.25"/>
    <row r="184739" s="12" customFormat="1" x14ac:dyDescent="0.25"/>
    <row r="184740" s="12" customFormat="1" x14ac:dyDescent="0.25"/>
    <row r="184741" s="12" customFormat="1" x14ac:dyDescent="0.25"/>
    <row r="184742" s="12" customFormat="1" x14ac:dyDescent="0.25"/>
    <row r="184743" s="12" customFormat="1" x14ac:dyDescent="0.25"/>
    <row r="184744" s="12" customFormat="1" x14ac:dyDescent="0.25"/>
    <row r="184745" s="12" customFormat="1" x14ac:dyDescent="0.25"/>
    <row r="184746" s="12" customFormat="1" x14ac:dyDescent="0.25"/>
    <row r="184747" s="12" customFormat="1" x14ac:dyDescent="0.25"/>
    <row r="184748" s="12" customFormat="1" x14ac:dyDescent="0.25"/>
    <row r="184749" s="12" customFormat="1" x14ac:dyDescent="0.25"/>
    <row r="184750" s="12" customFormat="1" x14ac:dyDescent="0.25"/>
    <row r="184751" s="12" customFormat="1" x14ac:dyDescent="0.25"/>
    <row r="184752" s="12" customFormat="1" x14ac:dyDescent="0.25"/>
    <row r="184753" s="12" customFormat="1" x14ac:dyDescent="0.25"/>
    <row r="184754" s="12" customFormat="1" x14ac:dyDescent="0.25"/>
    <row r="184755" s="12" customFormat="1" x14ac:dyDescent="0.25"/>
    <row r="184756" s="12" customFormat="1" x14ac:dyDescent="0.25"/>
    <row r="184757" s="12" customFormat="1" x14ac:dyDescent="0.25"/>
    <row r="184758" s="12" customFormat="1" x14ac:dyDescent="0.25"/>
    <row r="184759" s="12" customFormat="1" x14ac:dyDescent="0.25"/>
    <row r="184760" s="12" customFormat="1" x14ac:dyDescent="0.25"/>
    <row r="184761" s="12" customFormat="1" x14ac:dyDescent="0.25"/>
    <row r="184762" s="12" customFormat="1" x14ac:dyDescent="0.25"/>
    <row r="184763" s="12" customFormat="1" x14ac:dyDescent="0.25"/>
    <row r="184764" s="12" customFormat="1" x14ac:dyDescent="0.25"/>
    <row r="184765" s="12" customFormat="1" x14ac:dyDescent="0.25"/>
    <row r="184766" s="12" customFormat="1" x14ac:dyDescent="0.25"/>
    <row r="184767" s="12" customFormat="1" x14ac:dyDescent="0.25"/>
    <row r="184768" s="12" customFormat="1" x14ac:dyDescent="0.25"/>
    <row r="184769" s="12" customFormat="1" x14ac:dyDescent="0.25"/>
    <row r="184770" s="12" customFormat="1" x14ac:dyDescent="0.25"/>
    <row r="184771" s="12" customFormat="1" x14ac:dyDescent="0.25"/>
    <row r="184772" s="12" customFormat="1" x14ac:dyDescent="0.25"/>
    <row r="184773" s="12" customFormat="1" x14ac:dyDescent="0.25"/>
    <row r="184774" s="12" customFormat="1" x14ac:dyDescent="0.25"/>
    <row r="184775" s="12" customFormat="1" x14ac:dyDescent="0.25"/>
    <row r="184776" s="12" customFormat="1" x14ac:dyDescent="0.25"/>
    <row r="184777" s="12" customFormat="1" x14ac:dyDescent="0.25"/>
    <row r="184778" s="12" customFormat="1" x14ac:dyDescent="0.25"/>
    <row r="184779" s="12" customFormat="1" x14ac:dyDescent="0.25"/>
    <row r="184780" s="12" customFormat="1" x14ac:dyDescent="0.25"/>
    <row r="184781" s="12" customFormat="1" x14ac:dyDescent="0.25"/>
    <row r="184782" s="12" customFormat="1" x14ac:dyDescent="0.25"/>
    <row r="184783" s="12" customFormat="1" x14ac:dyDescent="0.25"/>
    <row r="184784" s="12" customFormat="1" x14ac:dyDescent="0.25"/>
    <row r="184785" s="12" customFormat="1" x14ac:dyDescent="0.25"/>
    <row r="184786" s="12" customFormat="1" x14ac:dyDescent="0.25"/>
    <row r="184787" s="12" customFormat="1" x14ac:dyDescent="0.25"/>
    <row r="184788" s="12" customFormat="1" x14ac:dyDescent="0.25"/>
    <row r="184789" s="12" customFormat="1" x14ac:dyDescent="0.25"/>
    <row r="184790" s="12" customFormat="1" x14ac:dyDescent="0.25"/>
    <row r="184791" s="12" customFormat="1" x14ac:dyDescent="0.25"/>
    <row r="184792" s="12" customFormat="1" x14ac:dyDescent="0.25"/>
    <row r="184793" s="12" customFormat="1" x14ac:dyDescent="0.25"/>
    <row r="184794" s="12" customFormat="1" x14ac:dyDescent="0.25"/>
    <row r="184795" s="12" customFormat="1" x14ac:dyDescent="0.25"/>
    <row r="184796" s="12" customFormat="1" x14ac:dyDescent="0.25"/>
    <row r="184797" s="12" customFormat="1" x14ac:dyDescent="0.25"/>
    <row r="184798" s="12" customFormat="1" x14ac:dyDescent="0.25"/>
    <row r="184799" s="12" customFormat="1" x14ac:dyDescent="0.25"/>
    <row r="184800" s="12" customFormat="1" x14ac:dyDescent="0.25"/>
    <row r="184801" s="12" customFormat="1" x14ac:dyDescent="0.25"/>
    <row r="184802" s="12" customFormat="1" x14ac:dyDescent="0.25"/>
    <row r="184803" s="12" customFormat="1" x14ac:dyDescent="0.25"/>
    <row r="184804" s="12" customFormat="1" x14ac:dyDescent="0.25"/>
    <row r="184805" s="12" customFormat="1" x14ac:dyDescent="0.25"/>
    <row r="184806" s="12" customFormat="1" x14ac:dyDescent="0.25"/>
    <row r="184807" s="12" customFormat="1" x14ac:dyDescent="0.25"/>
    <row r="184808" s="12" customFormat="1" x14ac:dyDescent="0.25"/>
    <row r="184809" s="12" customFormat="1" x14ac:dyDescent="0.25"/>
    <row r="184810" s="12" customFormat="1" x14ac:dyDescent="0.25"/>
    <row r="184811" s="12" customFormat="1" x14ac:dyDescent="0.25"/>
    <row r="184812" s="12" customFormat="1" x14ac:dyDescent="0.25"/>
    <row r="184813" s="12" customFormat="1" x14ac:dyDescent="0.25"/>
    <row r="184814" s="12" customFormat="1" x14ac:dyDescent="0.25"/>
    <row r="184815" s="12" customFormat="1" x14ac:dyDescent="0.25"/>
    <row r="184816" s="12" customFormat="1" x14ac:dyDescent="0.25"/>
    <row r="184817" s="12" customFormat="1" x14ac:dyDescent="0.25"/>
    <row r="184818" s="12" customFormat="1" x14ac:dyDescent="0.25"/>
    <row r="184819" s="12" customFormat="1" x14ac:dyDescent="0.25"/>
    <row r="184820" s="12" customFormat="1" x14ac:dyDescent="0.25"/>
    <row r="184821" s="12" customFormat="1" x14ac:dyDescent="0.25"/>
    <row r="184822" s="12" customFormat="1" x14ac:dyDescent="0.25"/>
    <row r="184823" s="12" customFormat="1" x14ac:dyDescent="0.25"/>
    <row r="184824" s="12" customFormat="1" x14ac:dyDescent="0.25"/>
    <row r="184825" s="12" customFormat="1" x14ac:dyDescent="0.25"/>
    <row r="184826" s="12" customFormat="1" x14ac:dyDescent="0.25"/>
    <row r="184827" s="12" customFormat="1" x14ac:dyDescent="0.25"/>
    <row r="184828" s="12" customFormat="1" x14ac:dyDescent="0.25"/>
    <row r="184829" s="12" customFormat="1" x14ac:dyDescent="0.25"/>
    <row r="184830" s="12" customFormat="1" x14ac:dyDescent="0.25"/>
    <row r="184831" s="12" customFormat="1" x14ac:dyDescent="0.25"/>
    <row r="184832" s="12" customFormat="1" x14ac:dyDescent="0.25"/>
    <row r="184833" s="12" customFormat="1" x14ac:dyDescent="0.25"/>
    <row r="184834" s="12" customFormat="1" x14ac:dyDescent="0.25"/>
    <row r="184835" s="12" customFormat="1" x14ac:dyDescent="0.25"/>
    <row r="184836" s="12" customFormat="1" x14ac:dyDescent="0.25"/>
    <row r="184837" s="12" customFormat="1" x14ac:dyDescent="0.25"/>
    <row r="184838" s="12" customFormat="1" x14ac:dyDescent="0.25"/>
    <row r="184839" s="12" customFormat="1" x14ac:dyDescent="0.25"/>
    <row r="184840" s="12" customFormat="1" x14ac:dyDescent="0.25"/>
    <row r="184841" s="12" customFormat="1" x14ac:dyDescent="0.25"/>
    <row r="184842" s="12" customFormat="1" x14ac:dyDescent="0.25"/>
    <row r="184843" s="12" customFormat="1" x14ac:dyDescent="0.25"/>
    <row r="184844" s="12" customFormat="1" x14ac:dyDescent="0.25"/>
    <row r="184845" s="12" customFormat="1" x14ac:dyDescent="0.25"/>
    <row r="184846" s="12" customFormat="1" x14ac:dyDescent="0.25"/>
    <row r="184847" s="12" customFormat="1" x14ac:dyDescent="0.25"/>
    <row r="184848" s="12" customFormat="1" x14ac:dyDescent="0.25"/>
    <row r="184849" s="12" customFormat="1" x14ac:dyDescent="0.25"/>
    <row r="184850" s="12" customFormat="1" x14ac:dyDescent="0.25"/>
    <row r="184851" s="12" customFormat="1" x14ac:dyDescent="0.25"/>
    <row r="184852" s="12" customFormat="1" x14ac:dyDescent="0.25"/>
    <row r="184853" s="12" customFormat="1" x14ac:dyDescent="0.25"/>
    <row r="184854" s="12" customFormat="1" x14ac:dyDescent="0.25"/>
    <row r="184855" s="12" customFormat="1" x14ac:dyDescent="0.25"/>
    <row r="184856" s="12" customFormat="1" x14ac:dyDescent="0.25"/>
    <row r="184857" s="12" customFormat="1" x14ac:dyDescent="0.25"/>
    <row r="184858" s="12" customFormat="1" x14ac:dyDescent="0.25"/>
    <row r="184859" s="12" customFormat="1" x14ac:dyDescent="0.25"/>
    <row r="184860" s="12" customFormat="1" x14ac:dyDescent="0.25"/>
    <row r="184861" s="12" customFormat="1" x14ac:dyDescent="0.25"/>
    <row r="184862" s="12" customFormat="1" x14ac:dyDescent="0.25"/>
    <row r="184863" s="12" customFormat="1" x14ac:dyDescent="0.25"/>
    <row r="184864" s="12" customFormat="1" x14ac:dyDescent="0.25"/>
    <row r="184865" s="12" customFormat="1" x14ac:dyDescent="0.25"/>
    <row r="184866" s="12" customFormat="1" x14ac:dyDescent="0.25"/>
    <row r="184867" s="12" customFormat="1" x14ac:dyDescent="0.25"/>
    <row r="184868" s="12" customFormat="1" x14ac:dyDescent="0.25"/>
    <row r="184869" s="12" customFormat="1" x14ac:dyDescent="0.25"/>
    <row r="184870" s="12" customFormat="1" x14ac:dyDescent="0.25"/>
    <row r="184871" s="12" customFormat="1" x14ac:dyDescent="0.25"/>
    <row r="184872" s="12" customFormat="1" x14ac:dyDescent="0.25"/>
    <row r="184873" s="12" customFormat="1" x14ac:dyDescent="0.25"/>
    <row r="184874" s="12" customFormat="1" x14ac:dyDescent="0.25"/>
    <row r="184875" s="12" customFormat="1" x14ac:dyDescent="0.25"/>
    <row r="184876" s="12" customFormat="1" x14ac:dyDescent="0.25"/>
    <row r="184877" s="12" customFormat="1" x14ac:dyDescent="0.25"/>
    <row r="184878" s="12" customFormat="1" x14ac:dyDescent="0.25"/>
    <row r="184879" s="12" customFormat="1" x14ac:dyDescent="0.25"/>
    <row r="184880" s="12" customFormat="1" x14ac:dyDescent="0.25"/>
    <row r="184881" s="12" customFormat="1" x14ac:dyDescent="0.25"/>
    <row r="184882" s="12" customFormat="1" x14ac:dyDescent="0.25"/>
    <row r="184883" s="12" customFormat="1" x14ac:dyDescent="0.25"/>
    <row r="184884" s="12" customFormat="1" x14ac:dyDescent="0.25"/>
    <row r="184885" s="12" customFormat="1" x14ac:dyDescent="0.25"/>
    <row r="184886" s="12" customFormat="1" x14ac:dyDescent="0.25"/>
    <row r="184887" s="12" customFormat="1" x14ac:dyDescent="0.25"/>
    <row r="184888" s="12" customFormat="1" x14ac:dyDescent="0.25"/>
    <row r="184889" s="12" customFormat="1" x14ac:dyDescent="0.25"/>
    <row r="184890" s="12" customFormat="1" x14ac:dyDescent="0.25"/>
    <row r="184891" s="12" customFormat="1" x14ac:dyDescent="0.25"/>
    <row r="184892" s="12" customFormat="1" x14ac:dyDescent="0.25"/>
    <row r="184893" s="12" customFormat="1" x14ac:dyDescent="0.25"/>
    <row r="184894" s="12" customFormat="1" x14ac:dyDescent="0.25"/>
    <row r="184895" s="12" customFormat="1" x14ac:dyDescent="0.25"/>
    <row r="184896" s="12" customFormat="1" x14ac:dyDescent="0.25"/>
    <row r="184897" s="12" customFormat="1" x14ac:dyDescent="0.25"/>
    <row r="184898" s="12" customFormat="1" x14ac:dyDescent="0.25"/>
    <row r="184899" s="12" customFormat="1" x14ac:dyDescent="0.25"/>
    <row r="184900" s="12" customFormat="1" x14ac:dyDescent="0.25"/>
    <row r="184901" s="12" customFormat="1" x14ac:dyDescent="0.25"/>
    <row r="184902" s="12" customFormat="1" x14ac:dyDescent="0.25"/>
    <row r="184903" s="12" customFormat="1" x14ac:dyDescent="0.25"/>
    <row r="184904" s="12" customFormat="1" x14ac:dyDescent="0.25"/>
    <row r="184905" s="12" customFormat="1" x14ac:dyDescent="0.25"/>
    <row r="184906" s="12" customFormat="1" x14ac:dyDescent="0.25"/>
    <row r="184907" s="12" customFormat="1" x14ac:dyDescent="0.25"/>
    <row r="184908" s="12" customFormat="1" x14ac:dyDescent="0.25"/>
    <row r="184909" s="12" customFormat="1" x14ac:dyDescent="0.25"/>
    <row r="184910" s="12" customFormat="1" x14ac:dyDescent="0.25"/>
    <row r="184911" s="12" customFormat="1" x14ac:dyDescent="0.25"/>
    <row r="184912" s="12" customFormat="1" x14ac:dyDescent="0.25"/>
    <row r="184913" s="12" customFormat="1" x14ac:dyDescent="0.25"/>
    <row r="184914" s="12" customFormat="1" x14ac:dyDescent="0.25"/>
    <row r="184915" s="12" customFormat="1" x14ac:dyDescent="0.25"/>
    <row r="184916" s="12" customFormat="1" x14ac:dyDescent="0.25"/>
    <row r="184917" s="12" customFormat="1" x14ac:dyDescent="0.25"/>
    <row r="184918" s="12" customFormat="1" x14ac:dyDescent="0.25"/>
    <row r="184919" s="12" customFormat="1" x14ac:dyDescent="0.25"/>
    <row r="184920" s="12" customFormat="1" x14ac:dyDescent="0.25"/>
    <row r="184921" s="12" customFormat="1" x14ac:dyDescent="0.25"/>
    <row r="184922" s="12" customFormat="1" x14ac:dyDescent="0.25"/>
    <row r="184923" s="12" customFormat="1" x14ac:dyDescent="0.25"/>
    <row r="184924" s="12" customFormat="1" x14ac:dyDescent="0.25"/>
    <row r="184925" s="12" customFormat="1" x14ac:dyDescent="0.25"/>
    <row r="184926" s="12" customFormat="1" x14ac:dyDescent="0.25"/>
    <row r="184927" s="12" customFormat="1" x14ac:dyDescent="0.25"/>
    <row r="184928" s="12" customFormat="1" x14ac:dyDescent="0.25"/>
    <row r="184929" s="12" customFormat="1" x14ac:dyDescent="0.25"/>
    <row r="184930" s="12" customFormat="1" x14ac:dyDescent="0.25"/>
    <row r="184931" s="12" customFormat="1" x14ac:dyDescent="0.25"/>
    <row r="184932" s="12" customFormat="1" x14ac:dyDescent="0.25"/>
    <row r="184933" s="12" customFormat="1" x14ac:dyDescent="0.25"/>
    <row r="184934" s="12" customFormat="1" x14ac:dyDescent="0.25"/>
    <row r="184935" s="12" customFormat="1" x14ac:dyDescent="0.25"/>
    <row r="184936" s="12" customFormat="1" x14ac:dyDescent="0.25"/>
    <row r="184937" s="12" customFormat="1" x14ac:dyDescent="0.25"/>
    <row r="184938" s="12" customFormat="1" x14ac:dyDescent="0.25"/>
    <row r="184939" s="12" customFormat="1" x14ac:dyDescent="0.25"/>
    <row r="184940" s="12" customFormat="1" x14ac:dyDescent="0.25"/>
    <row r="184941" s="12" customFormat="1" x14ac:dyDescent="0.25"/>
    <row r="184942" s="12" customFormat="1" x14ac:dyDescent="0.25"/>
    <row r="184943" s="12" customFormat="1" x14ac:dyDescent="0.25"/>
    <row r="184944" s="12" customFormat="1" x14ac:dyDescent="0.25"/>
    <row r="184945" s="12" customFormat="1" x14ac:dyDescent="0.25"/>
    <row r="184946" s="12" customFormat="1" x14ac:dyDescent="0.25"/>
    <row r="184947" s="12" customFormat="1" x14ac:dyDescent="0.25"/>
    <row r="184948" s="12" customFormat="1" x14ac:dyDescent="0.25"/>
    <row r="184949" s="12" customFormat="1" x14ac:dyDescent="0.25"/>
    <row r="184950" s="12" customFormat="1" x14ac:dyDescent="0.25"/>
    <row r="184951" s="12" customFormat="1" x14ac:dyDescent="0.25"/>
    <row r="184952" s="12" customFormat="1" x14ac:dyDescent="0.25"/>
    <row r="184953" s="12" customFormat="1" x14ac:dyDescent="0.25"/>
    <row r="184954" s="12" customFormat="1" x14ac:dyDescent="0.25"/>
    <row r="184955" s="12" customFormat="1" x14ac:dyDescent="0.25"/>
    <row r="184956" s="12" customFormat="1" x14ac:dyDescent="0.25"/>
    <row r="184957" s="12" customFormat="1" x14ac:dyDescent="0.25"/>
    <row r="184958" s="12" customFormat="1" x14ac:dyDescent="0.25"/>
    <row r="184959" s="12" customFormat="1" x14ac:dyDescent="0.25"/>
    <row r="184960" s="12" customFormat="1" x14ac:dyDescent="0.25"/>
    <row r="184961" s="12" customFormat="1" x14ac:dyDescent="0.25"/>
    <row r="184962" s="12" customFormat="1" x14ac:dyDescent="0.25"/>
    <row r="184963" s="12" customFormat="1" x14ac:dyDescent="0.25"/>
    <row r="184964" s="12" customFormat="1" x14ac:dyDescent="0.25"/>
    <row r="184965" s="12" customFormat="1" x14ac:dyDescent="0.25"/>
    <row r="184966" s="12" customFormat="1" x14ac:dyDescent="0.25"/>
    <row r="184967" s="12" customFormat="1" x14ac:dyDescent="0.25"/>
    <row r="184968" s="12" customFormat="1" x14ac:dyDescent="0.25"/>
    <row r="184969" s="12" customFormat="1" x14ac:dyDescent="0.25"/>
    <row r="184970" s="12" customFormat="1" x14ac:dyDescent="0.25"/>
    <row r="184971" s="12" customFormat="1" x14ac:dyDescent="0.25"/>
    <row r="184972" s="12" customFormat="1" x14ac:dyDescent="0.25"/>
    <row r="184973" s="12" customFormat="1" x14ac:dyDescent="0.25"/>
    <row r="184974" s="12" customFormat="1" x14ac:dyDescent="0.25"/>
    <row r="184975" s="12" customFormat="1" x14ac:dyDescent="0.25"/>
    <row r="184976" s="12" customFormat="1" x14ac:dyDescent="0.25"/>
    <row r="184977" s="12" customFormat="1" x14ac:dyDescent="0.25"/>
    <row r="184978" s="12" customFormat="1" x14ac:dyDescent="0.25"/>
    <row r="184979" s="12" customFormat="1" x14ac:dyDescent="0.25"/>
    <row r="184980" s="12" customFormat="1" x14ac:dyDescent="0.25"/>
    <row r="184981" s="12" customFormat="1" x14ac:dyDescent="0.25"/>
    <row r="184982" s="12" customFormat="1" x14ac:dyDescent="0.25"/>
    <row r="184983" s="12" customFormat="1" x14ac:dyDescent="0.25"/>
    <row r="184984" s="12" customFormat="1" x14ac:dyDescent="0.25"/>
    <row r="184985" s="12" customFormat="1" x14ac:dyDescent="0.25"/>
    <row r="184986" s="12" customFormat="1" x14ac:dyDescent="0.25"/>
    <row r="184987" s="12" customFormat="1" x14ac:dyDescent="0.25"/>
    <row r="184988" s="12" customFormat="1" x14ac:dyDescent="0.25"/>
    <row r="184989" s="12" customFormat="1" x14ac:dyDescent="0.25"/>
    <row r="184990" s="12" customFormat="1" x14ac:dyDescent="0.25"/>
    <row r="184991" s="12" customFormat="1" x14ac:dyDescent="0.25"/>
    <row r="184992" s="12" customFormat="1" x14ac:dyDescent="0.25"/>
    <row r="184993" s="12" customFormat="1" x14ac:dyDescent="0.25"/>
    <row r="184994" s="12" customFormat="1" x14ac:dyDescent="0.25"/>
    <row r="184995" s="12" customFormat="1" x14ac:dyDescent="0.25"/>
    <row r="184996" s="12" customFormat="1" x14ac:dyDescent="0.25"/>
    <row r="184997" s="12" customFormat="1" x14ac:dyDescent="0.25"/>
    <row r="184998" s="12" customFormat="1" x14ac:dyDescent="0.25"/>
    <row r="184999" s="12" customFormat="1" x14ac:dyDescent="0.25"/>
    <row r="185000" s="12" customFormat="1" x14ac:dyDescent="0.25"/>
    <row r="185001" s="12" customFormat="1" x14ac:dyDescent="0.25"/>
    <row r="185002" s="12" customFormat="1" x14ac:dyDescent="0.25"/>
    <row r="185003" s="12" customFormat="1" x14ac:dyDescent="0.25"/>
    <row r="185004" s="12" customFormat="1" x14ac:dyDescent="0.25"/>
    <row r="185005" s="12" customFormat="1" x14ac:dyDescent="0.25"/>
    <row r="185006" s="12" customFormat="1" x14ac:dyDescent="0.25"/>
    <row r="185007" s="12" customFormat="1" x14ac:dyDescent="0.25"/>
    <row r="185008" s="12" customFormat="1" x14ac:dyDescent="0.25"/>
    <row r="185009" s="12" customFormat="1" x14ac:dyDescent="0.25"/>
    <row r="185010" s="12" customFormat="1" x14ac:dyDescent="0.25"/>
    <row r="185011" s="12" customFormat="1" x14ac:dyDescent="0.25"/>
    <row r="185012" s="12" customFormat="1" x14ac:dyDescent="0.25"/>
    <row r="185013" s="12" customFormat="1" x14ac:dyDescent="0.25"/>
    <row r="185014" s="12" customFormat="1" x14ac:dyDescent="0.25"/>
    <row r="185015" s="12" customFormat="1" x14ac:dyDescent="0.25"/>
    <row r="185016" s="12" customFormat="1" x14ac:dyDescent="0.25"/>
    <row r="185017" s="12" customFormat="1" x14ac:dyDescent="0.25"/>
    <row r="185018" s="12" customFormat="1" x14ac:dyDescent="0.25"/>
    <row r="185019" s="12" customFormat="1" x14ac:dyDescent="0.25"/>
    <row r="185020" s="12" customFormat="1" x14ac:dyDescent="0.25"/>
    <row r="185021" s="12" customFormat="1" x14ac:dyDescent="0.25"/>
    <row r="185022" s="12" customFormat="1" x14ac:dyDescent="0.25"/>
    <row r="185023" s="12" customFormat="1" x14ac:dyDescent="0.25"/>
    <row r="185024" s="12" customFormat="1" x14ac:dyDescent="0.25"/>
    <row r="185025" s="12" customFormat="1" x14ac:dyDescent="0.25"/>
    <row r="185026" s="12" customFormat="1" x14ac:dyDescent="0.25"/>
    <row r="185027" s="12" customFormat="1" x14ac:dyDescent="0.25"/>
    <row r="185028" s="12" customFormat="1" x14ac:dyDescent="0.25"/>
    <row r="185029" s="12" customFormat="1" x14ac:dyDescent="0.25"/>
    <row r="185030" s="12" customFormat="1" x14ac:dyDescent="0.25"/>
    <row r="185031" s="12" customFormat="1" x14ac:dyDescent="0.25"/>
    <row r="185032" s="12" customFormat="1" x14ac:dyDescent="0.25"/>
    <row r="185033" s="12" customFormat="1" x14ac:dyDescent="0.25"/>
    <row r="185034" s="12" customFormat="1" x14ac:dyDescent="0.25"/>
    <row r="185035" s="12" customFormat="1" x14ac:dyDescent="0.25"/>
    <row r="185036" s="12" customFormat="1" x14ac:dyDescent="0.25"/>
    <row r="185037" s="12" customFormat="1" x14ac:dyDescent="0.25"/>
    <row r="185038" s="12" customFormat="1" x14ac:dyDescent="0.25"/>
    <row r="185039" s="12" customFormat="1" x14ac:dyDescent="0.25"/>
    <row r="185040" s="12" customFormat="1" x14ac:dyDescent="0.25"/>
    <row r="185041" s="12" customFormat="1" x14ac:dyDescent="0.25"/>
    <row r="185042" s="12" customFormat="1" x14ac:dyDescent="0.25"/>
    <row r="185043" s="12" customFormat="1" x14ac:dyDescent="0.25"/>
    <row r="185044" s="12" customFormat="1" x14ac:dyDescent="0.25"/>
    <row r="185045" s="12" customFormat="1" x14ac:dyDescent="0.25"/>
    <row r="185046" s="12" customFormat="1" x14ac:dyDescent="0.25"/>
    <row r="185047" s="12" customFormat="1" x14ac:dyDescent="0.25"/>
    <row r="185048" s="12" customFormat="1" x14ac:dyDescent="0.25"/>
    <row r="185049" s="12" customFormat="1" x14ac:dyDescent="0.25"/>
    <row r="185050" s="12" customFormat="1" x14ac:dyDescent="0.25"/>
    <row r="185051" s="12" customFormat="1" x14ac:dyDescent="0.25"/>
    <row r="185052" s="12" customFormat="1" x14ac:dyDescent="0.25"/>
    <row r="185053" s="12" customFormat="1" x14ac:dyDescent="0.25"/>
    <row r="185054" s="12" customFormat="1" x14ac:dyDescent="0.25"/>
    <row r="185055" s="12" customFormat="1" x14ac:dyDescent="0.25"/>
    <row r="185056" s="12" customFormat="1" x14ac:dyDescent="0.25"/>
    <row r="185057" s="12" customFormat="1" x14ac:dyDescent="0.25"/>
    <row r="185058" s="12" customFormat="1" x14ac:dyDescent="0.25"/>
    <row r="185059" s="12" customFormat="1" x14ac:dyDescent="0.25"/>
    <row r="185060" s="12" customFormat="1" x14ac:dyDescent="0.25"/>
    <row r="185061" s="12" customFormat="1" x14ac:dyDescent="0.25"/>
    <row r="185062" s="12" customFormat="1" x14ac:dyDescent="0.25"/>
    <row r="185063" s="12" customFormat="1" x14ac:dyDescent="0.25"/>
    <row r="185064" s="12" customFormat="1" x14ac:dyDescent="0.25"/>
    <row r="185065" s="12" customFormat="1" x14ac:dyDescent="0.25"/>
    <row r="185066" s="12" customFormat="1" x14ac:dyDescent="0.25"/>
    <row r="185067" s="12" customFormat="1" x14ac:dyDescent="0.25"/>
    <row r="185068" s="12" customFormat="1" x14ac:dyDescent="0.25"/>
    <row r="185069" s="12" customFormat="1" x14ac:dyDescent="0.25"/>
    <row r="185070" s="12" customFormat="1" x14ac:dyDescent="0.25"/>
    <row r="185071" s="12" customFormat="1" x14ac:dyDescent="0.25"/>
    <row r="185072" s="12" customFormat="1" x14ac:dyDescent="0.25"/>
    <row r="185073" s="12" customFormat="1" x14ac:dyDescent="0.25"/>
    <row r="185074" s="12" customFormat="1" x14ac:dyDescent="0.25"/>
    <row r="185075" s="12" customFormat="1" x14ac:dyDescent="0.25"/>
    <row r="185076" s="12" customFormat="1" x14ac:dyDescent="0.25"/>
    <row r="185077" s="12" customFormat="1" x14ac:dyDescent="0.25"/>
    <row r="185078" s="12" customFormat="1" x14ac:dyDescent="0.25"/>
    <row r="185079" s="12" customFormat="1" x14ac:dyDescent="0.25"/>
    <row r="185080" s="12" customFormat="1" x14ac:dyDescent="0.25"/>
    <row r="185081" s="12" customFormat="1" x14ac:dyDescent="0.25"/>
    <row r="185082" s="12" customFormat="1" x14ac:dyDescent="0.25"/>
    <row r="185083" s="12" customFormat="1" x14ac:dyDescent="0.25"/>
    <row r="185084" s="12" customFormat="1" x14ac:dyDescent="0.25"/>
    <row r="185085" s="12" customFormat="1" x14ac:dyDescent="0.25"/>
    <row r="185086" s="12" customFormat="1" x14ac:dyDescent="0.25"/>
    <row r="185087" s="12" customFormat="1" x14ac:dyDescent="0.25"/>
    <row r="185088" s="12" customFormat="1" x14ac:dyDescent="0.25"/>
    <row r="185089" s="12" customFormat="1" x14ac:dyDescent="0.25"/>
    <row r="185090" s="12" customFormat="1" x14ac:dyDescent="0.25"/>
    <row r="185091" s="12" customFormat="1" x14ac:dyDescent="0.25"/>
    <row r="185092" s="12" customFormat="1" x14ac:dyDescent="0.25"/>
    <row r="185093" s="12" customFormat="1" x14ac:dyDescent="0.25"/>
    <row r="185094" s="12" customFormat="1" x14ac:dyDescent="0.25"/>
    <row r="185095" s="12" customFormat="1" x14ac:dyDescent="0.25"/>
    <row r="185096" s="12" customFormat="1" x14ac:dyDescent="0.25"/>
    <row r="185097" s="12" customFormat="1" x14ac:dyDescent="0.25"/>
    <row r="185098" s="12" customFormat="1" x14ac:dyDescent="0.25"/>
    <row r="185099" s="12" customFormat="1" x14ac:dyDescent="0.25"/>
    <row r="185100" s="12" customFormat="1" x14ac:dyDescent="0.25"/>
    <row r="185101" s="12" customFormat="1" x14ac:dyDescent="0.25"/>
    <row r="185102" s="12" customFormat="1" x14ac:dyDescent="0.25"/>
    <row r="185103" s="12" customFormat="1" x14ac:dyDescent="0.25"/>
    <row r="185104" s="12" customFormat="1" x14ac:dyDescent="0.25"/>
    <row r="185105" s="12" customFormat="1" x14ac:dyDescent="0.25"/>
    <row r="185106" s="12" customFormat="1" x14ac:dyDescent="0.25"/>
    <row r="185107" s="12" customFormat="1" x14ac:dyDescent="0.25"/>
    <row r="185108" s="12" customFormat="1" x14ac:dyDescent="0.25"/>
    <row r="185109" s="12" customFormat="1" x14ac:dyDescent="0.25"/>
    <row r="185110" s="12" customFormat="1" x14ac:dyDescent="0.25"/>
    <row r="185111" s="12" customFormat="1" x14ac:dyDescent="0.25"/>
    <row r="185112" s="12" customFormat="1" x14ac:dyDescent="0.25"/>
    <row r="185113" s="12" customFormat="1" x14ac:dyDescent="0.25"/>
    <row r="185114" s="12" customFormat="1" x14ac:dyDescent="0.25"/>
    <row r="185115" s="12" customFormat="1" x14ac:dyDescent="0.25"/>
    <row r="185116" s="12" customFormat="1" x14ac:dyDescent="0.25"/>
    <row r="185117" s="12" customFormat="1" x14ac:dyDescent="0.25"/>
    <row r="185118" s="12" customFormat="1" x14ac:dyDescent="0.25"/>
    <row r="185119" s="12" customFormat="1" x14ac:dyDescent="0.25"/>
    <row r="185120" s="12" customFormat="1" x14ac:dyDescent="0.25"/>
    <row r="185121" s="12" customFormat="1" x14ac:dyDescent="0.25"/>
    <row r="185122" s="12" customFormat="1" x14ac:dyDescent="0.25"/>
    <row r="185123" s="12" customFormat="1" x14ac:dyDescent="0.25"/>
    <row r="185124" s="12" customFormat="1" x14ac:dyDescent="0.25"/>
    <row r="185125" s="12" customFormat="1" x14ac:dyDescent="0.25"/>
    <row r="185126" s="12" customFormat="1" x14ac:dyDescent="0.25"/>
    <row r="185127" s="12" customFormat="1" x14ac:dyDescent="0.25"/>
    <row r="185128" s="12" customFormat="1" x14ac:dyDescent="0.25"/>
    <row r="185129" s="12" customFormat="1" x14ac:dyDescent="0.25"/>
    <row r="185130" s="12" customFormat="1" x14ac:dyDescent="0.25"/>
    <row r="185131" s="12" customFormat="1" x14ac:dyDescent="0.25"/>
    <row r="185132" s="12" customFormat="1" x14ac:dyDescent="0.25"/>
    <row r="185133" s="12" customFormat="1" x14ac:dyDescent="0.25"/>
    <row r="185134" s="12" customFormat="1" x14ac:dyDescent="0.25"/>
    <row r="185135" s="12" customFormat="1" x14ac:dyDescent="0.25"/>
    <row r="185136" s="12" customFormat="1" x14ac:dyDescent="0.25"/>
    <row r="185137" s="12" customFormat="1" x14ac:dyDescent="0.25"/>
    <row r="185138" s="12" customFormat="1" x14ac:dyDescent="0.25"/>
    <row r="185139" s="12" customFormat="1" x14ac:dyDescent="0.25"/>
    <row r="185140" s="12" customFormat="1" x14ac:dyDescent="0.25"/>
    <row r="185141" s="12" customFormat="1" x14ac:dyDescent="0.25"/>
    <row r="185142" s="12" customFormat="1" x14ac:dyDescent="0.25"/>
    <row r="185143" s="12" customFormat="1" x14ac:dyDescent="0.25"/>
    <row r="185144" s="12" customFormat="1" x14ac:dyDescent="0.25"/>
    <row r="185145" s="12" customFormat="1" x14ac:dyDescent="0.25"/>
    <row r="185146" s="12" customFormat="1" x14ac:dyDescent="0.25"/>
    <row r="185147" s="12" customFormat="1" x14ac:dyDescent="0.25"/>
    <row r="185148" s="12" customFormat="1" x14ac:dyDescent="0.25"/>
    <row r="185149" s="12" customFormat="1" x14ac:dyDescent="0.25"/>
    <row r="185150" s="12" customFormat="1" x14ac:dyDescent="0.25"/>
    <row r="185151" s="12" customFormat="1" x14ac:dyDescent="0.25"/>
    <row r="185152" s="12" customFormat="1" x14ac:dyDescent="0.25"/>
    <row r="185153" s="12" customFormat="1" x14ac:dyDescent="0.25"/>
    <row r="185154" s="12" customFormat="1" x14ac:dyDescent="0.25"/>
    <row r="185155" s="12" customFormat="1" x14ac:dyDescent="0.25"/>
    <row r="185156" s="12" customFormat="1" x14ac:dyDescent="0.25"/>
    <row r="185157" s="12" customFormat="1" x14ac:dyDescent="0.25"/>
    <row r="185158" s="12" customFormat="1" x14ac:dyDescent="0.25"/>
    <row r="185159" s="12" customFormat="1" x14ac:dyDescent="0.25"/>
    <row r="185160" s="12" customFormat="1" x14ac:dyDescent="0.25"/>
    <row r="185161" s="12" customFormat="1" x14ac:dyDescent="0.25"/>
    <row r="185162" s="12" customFormat="1" x14ac:dyDescent="0.25"/>
    <row r="185163" s="12" customFormat="1" x14ac:dyDescent="0.25"/>
    <row r="185164" s="12" customFormat="1" x14ac:dyDescent="0.25"/>
    <row r="185165" s="12" customFormat="1" x14ac:dyDescent="0.25"/>
    <row r="185166" s="12" customFormat="1" x14ac:dyDescent="0.25"/>
    <row r="185167" s="12" customFormat="1" x14ac:dyDescent="0.25"/>
    <row r="185168" s="12" customFormat="1" x14ac:dyDescent="0.25"/>
    <row r="185169" s="12" customFormat="1" x14ac:dyDescent="0.25"/>
    <row r="185170" s="12" customFormat="1" x14ac:dyDescent="0.25"/>
    <row r="185171" s="12" customFormat="1" x14ac:dyDescent="0.25"/>
    <row r="185172" s="12" customFormat="1" x14ac:dyDescent="0.25"/>
    <row r="185173" s="12" customFormat="1" x14ac:dyDescent="0.25"/>
    <row r="185174" s="12" customFormat="1" x14ac:dyDescent="0.25"/>
    <row r="185175" s="12" customFormat="1" x14ac:dyDescent="0.25"/>
    <row r="185176" s="12" customFormat="1" x14ac:dyDescent="0.25"/>
    <row r="185177" s="12" customFormat="1" x14ac:dyDescent="0.25"/>
    <row r="185178" s="12" customFormat="1" x14ac:dyDescent="0.25"/>
    <row r="185179" s="12" customFormat="1" x14ac:dyDescent="0.25"/>
    <row r="185180" s="12" customFormat="1" x14ac:dyDescent="0.25"/>
    <row r="185181" s="12" customFormat="1" x14ac:dyDescent="0.25"/>
    <row r="185182" s="12" customFormat="1" x14ac:dyDescent="0.25"/>
    <row r="185183" s="12" customFormat="1" x14ac:dyDescent="0.25"/>
    <row r="185184" s="12" customFormat="1" x14ac:dyDescent="0.25"/>
    <row r="185185" s="12" customFormat="1" x14ac:dyDescent="0.25"/>
    <row r="185186" s="12" customFormat="1" x14ac:dyDescent="0.25"/>
    <row r="185187" s="12" customFormat="1" x14ac:dyDescent="0.25"/>
    <row r="185188" s="12" customFormat="1" x14ac:dyDescent="0.25"/>
    <row r="185189" s="12" customFormat="1" x14ac:dyDescent="0.25"/>
    <row r="185190" s="12" customFormat="1" x14ac:dyDescent="0.25"/>
    <row r="185191" s="12" customFormat="1" x14ac:dyDescent="0.25"/>
    <row r="185192" s="12" customFormat="1" x14ac:dyDescent="0.25"/>
    <row r="185193" s="12" customFormat="1" x14ac:dyDescent="0.25"/>
    <row r="185194" s="12" customFormat="1" x14ac:dyDescent="0.25"/>
    <row r="185195" s="12" customFormat="1" x14ac:dyDescent="0.25"/>
    <row r="185196" s="12" customFormat="1" x14ac:dyDescent="0.25"/>
    <row r="185197" s="12" customFormat="1" x14ac:dyDescent="0.25"/>
    <row r="185198" s="12" customFormat="1" x14ac:dyDescent="0.25"/>
    <row r="185199" s="12" customFormat="1" x14ac:dyDescent="0.25"/>
    <row r="185200" s="12" customFormat="1" x14ac:dyDescent="0.25"/>
    <row r="185201" s="12" customFormat="1" x14ac:dyDescent="0.25"/>
    <row r="185202" s="12" customFormat="1" x14ac:dyDescent="0.25"/>
    <row r="185203" s="12" customFormat="1" x14ac:dyDescent="0.25"/>
    <row r="185204" s="12" customFormat="1" x14ac:dyDescent="0.25"/>
    <row r="185205" s="12" customFormat="1" x14ac:dyDescent="0.25"/>
    <row r="185206" s="12" customFormat="1" x14ac:dyDescent="0.25"/>
    <row r="185207" s="12" customFormat="1" x14ac:dyDescent="0.25"/>
    <row r="185208" s="12" customFormat="1" x14ac:dyDescent="0.25"/>
    <row r="185209" s="12" customFormat="1" x14ac:dyDescent="0.25"/>
    <row r="185210" s="12" customFormat="1" x14ac:dyDescent="0.25"/>
    <row r="185211" s="12" customFormat="1" x14ac:dyDescent="0.25"/>
    <row r="185212" s="12" customFormat="1" x14ac:dyDescent="0.25"/>
    <row r="185213" s="12" customFormat="1" x14ac:dyDescent="0.25"/>
    <row r="185214" s="12" customFormat="1" x14ac:dyDescent="0.25"/>
    <row r="185215" s="12" customFormat="1" x14ac:dyDescent="0.25"/>
    <row r="185216" s="12" customFormat="1" x14ac:dyDescent="0.25"/>
    <row r="185217" s="12" customFormat="1" x14ac:dyDescent="0.25"/>
    <row r="185218" s="12" customFormat="1" x14ac:dyDescent="0.25"/>
    <row r="185219" s="12" customFormat="1" x14ac:dyDescent="0.25"/>
    <row r="185220" s="12" customFormat="1" x14ac:dyDescent="0.25"/>
    <row r="185221" s="12" customFormat="1" x14ac:dyDescent="0.25"/>
    <row r="185222" s="12" customFormat="1" x14ac:dyDescent="0.25"/>
    <row r="185223" s="12" customFormat="1" x14ac:dyDescent="0.25"/>
    <row r="185224" s="12" customFormat="1" x14ac:dyDescent="0.25"/>
    <row r="185225" s="12" customFormat="1" x14ac:dyDescent="0.25"/>
    <row r="185226" s="12" customFormat="1" x14ac:dyDescent="0.25"/>
    <row r="185227" s="12" customFormat="1" x14ac:dyDescent="0.25"/>
    <row r="185228" s="12" customFormat="1" x14ac:dyDescent="0.25"/>
    <row r="185229" s="12" customFormat="1" x14ac:dyDescent="0.25"/>
    <row r="185230" s="12" customFormat="1" x14ac:dyDescent="0.25"/>
    <row r="185231" s="12" customFormat="1" x14ac:dyDescent="0.25"/>
    <row r="185232" s="12" customFormat="1" x14ac:dyDescent="0.25"/>
    <row r="185233" s="12" customFormat="1" x14ac:dyDescent="0.25"/>
    <row r="185234" s="12" customFormat="1" x14ac:dyDescent="0.25"/>
    <row r="185235" s="12" customFormat="1" x14ac:dyDescent="0.25"/>
    <row r="185236" s="12" customFormat="1" x14ac:dyDescent="0.25"/>
    <row r="185237" s="12" customFormat="1" x14ac:dyDescent="0.25"/>
    <row r="185238" s="12" customFormat="1" x14ac:dyDescent="0.25"/>
    <row r="185239" s="12" customFormat="1" x14ac:dyDescent="0.25"/>
    <row r="185240" s="12" customFormat="1" x14ac:dyDescent="0.25"/>
    <row r="185241" s="12" customFormat="1" x14ac:dyDescent="0.25"/>
    <row r="185242" s="12" customFormat="1" x14ac:dyDescent="0.25"/>
    <row r="185243" s="12" customFormat="1" x14ac:dyDescent="0.25"/>
    <row r="185244" s="12" customFormat="1" x14ac:dyDescent="0.25"/>
    <row r="185245" s="12" customFormat="1" x14ac:dyDescent="0.25"/>
    <row r="185246" s="12" customFormat="1" x14ac:dyDescent="0.25"/>
    <row r="185247" s="12" customFormat="1" x14ac:dyDescent="0.25"/>
    <row r="185248" s="12" customFormat="1" x14ac:dyDescent="0.25"/>
    <row r="185249" s="12" customFormat="1" x14ac:dyDescent="0.25"/>
    <row r="185250" s="12" customFormat="1" x14ac:dyDescent="0.25"/>
    <row r="185251" s="12" customFormat="1" x14ac:dyDescent="0.25"/>
    <row r="185252" s="12" customFormat="1" x14ac:dyDescent="0.25"/>
    <row r="185253" s="12" customFormat="1" x14ac:dyDescent="0.25"/>
    <row r="185254" s="12" customFormat="1" x14ac:dyDescent="0.25"/>
    <row r="185255" s="12" customFormat="1" x14ac:dyDescent="0.25"/>
    <row r="185256" s="12" customFormat="1" x14ac:dyDescent="0.25"/>
    <row r="185257" s="12" customFormat="1" x14ac:dyDescent="0.25"/>
    <row r="185258" s="12" customFormat="1" x14ac:dyDescent="0.25"/>
    <row r="185259" s="12" customFormat="1" x14ac:dyDescent="0.25"/>
    <row r="185260" s="12" customFormat="1" x14ac:dyDescent="0.25"/>
    <row r="185261" s="12" customFormat="1" x14ac:dyDescent="0.25"/>
    <row r="185262" s="12" customFormat="1" x14ac:dyDescent="0.25"/>
    <row r="185263" s="12" customFormat="1" x14ac:dyDescent="0.25"/>
    <row r="185264" s="12" customFormat="1" x14ac:dyDescent="0.25"/>
    <row r="185265" s="12" customFormat="1" x14ac:dyDescent="0.25"/>
    <row r="185266" s="12" customFormat="1" x14ac:dyDescent="0.25"/>
    <row r="185267" s="12" customFormat="1" x14ac:dyDescent="0.25"/>
    <row r="185268" s="12" customFormat="1" x14ac:dyDescent="0.25"/>
    <row r="185269" s="12" customFormat="1" x14ac:dyDescent="0.25"/>
    <row r="185270" s="12" customFormat="1" x14ac:dyDescent="0.25"/>
    <row r="185271" s="12" customFormat="1" x14ac:dyDescent="0.25"/>
    <row r="185272" s="12" customFormat="1" x14ac:dyDescent="0.25"/>
    <row r="185273" s="12" customFormat="1" x14ac:dyDescent="0.25"/>
    <row r="185274" s="12" customFormat="1" x14ac:dyDescent="0.25"/>
    <row r="185275" s="12" customFormat="1" x14ac:dyDescent="0.25"/>
    <row r="185276" s="12" customFormat="1" x14ac:dyDescent="0.25"/>
    <row r="185277" s="12" customFormat="1" x14ac:dyDescent="0.25"/>
    <row r="185278" s="12" customFormat="1" x14ac:dyDescent="0.25"/>
    <row r="185279" s="12" customFormat="1" x14ac:dyDescent="0.25"/>
    <row r="185280" s="12" customFormat="1" x14ac:dyDescent="0.25"/>
    <row r="185281" s="12" customFormat="1" x14ac:dyDescent="0.25"/>
    <row r="185282" s="12" customFormat="1" x14ac:dyDescent="0.25"/>
    <row r="185283" s="12" customFormat="1" x14ac:dyDescent="0.25"/>
    <row r="185284" s="12" customFormat="1" x14ac:dyDescent="0.25"/>
    <row r="185285" s="12" customFormat="1" x14ac:dyDescent="0.25"/>
    <row r="185286" s="12" customFormat="1" x14ac:dyDescent="0.25"/>
    <row r="185287" s="12" customFormat="1" x14ac:dyDescent="0.25"/>
    <row r="185288" s="12" customFormat="1" x14ac:dyDescent="0.25"/>
    <row r="185289" s="12" customFormat="1" x14ac:dyDescent="0.25"/>
    <row r="185290" s="12" customFormat="1" x14ac:dyDescent="0.25"/>
    <row r="185291" s="12" customFormat="1" x14ac:dyDescent="0.25"/>
    <row r="185292" s="12" customFormat="1" x14ac:dyDescent="0.25"/>
    <row r="185293" s="12" customFormat="1" x14ac:dyDescent="0.25"/>
    <row r="185294" s="12" customFormat="1" x14ac:dyDescent="0.25"/>
    <row r="185295" s="12" customFormat="1" x14ac:dyDescent="0.25"/>
    <row r="185296" s="12" customFormat="1" x14ac:dyDescent="0.25"/>
    <row r="185297" s="12" customFormat="1" x14ac:dyDescent="0.25"/>
    <row r="185298" s="12" customFormat="1" x14ac:dyDescent="0.25"/>
    <row r="185299" s="12" customFormat="1" x14ac:dyDescent="0.25"/>
    <row r="185300" s="12" customFormat="1" x14ac:dyDescent="0.25"/>
    <row r="185301" s="12" customFormat="1" x14ac:dyDescent="0.25"/>
    <row r="185302" s="12" customFormat="1" x14ac:dyDescent="0.25"/>
    <row r="185303" s="12" customFormat="1" x14ac:dyDescent="0.25"/>
    <row r="185304" s="12" customFormat="1" x14ac:dyDescent="0.25"/>
    <row r="185305" s="12" customFormat="1" x14ac:dyDescent="0.25"/>
    <row r="185306" s="12" customFormat="1" x14ac:dyDescent="0.25"/>
    <row r="185307" s="12" customFormat="1" x14ac:dyDescent="0.25"/>
    <row r="185308" s="12" customFormat="1" x14ac:dyDescent="0.25"/>
    <row r="185309" s="12" customFormat="1" x14ac:dyDescent="0.25"/>
    <row r="185310" s="12" customFormat="1" x14ac:dyDescent="0.25"/>
    <row r="185311" s="12" customFormat="1" x14ac:dyDescent="0.25"/>
    <row r="185312" s="12" customFormat="1" x14ac:dyDescent="0.25"/>
    <row r="185313" s="12" customFormat="1" x14ac:dyDescent="0.25"/>
    <row r="185314" s="12" customFormat="1" x14ac:dyDescent="0.25"/>
    <row r="185315" s="12" customFormat="1" x14ac:dyDescent="0.25"/>
    <row r="185316" s="12" customFormat="1" x14ac:dyDescent="0.25"/>
    <row r="185317" s="12" customFormat="1" x14ac:dyDescent="0.25"/>
    <row r="185318" s="12" customFormat="1" x14ac:dyDescent="0.25"/>
    <row r="185319" s="12" customFormat="1" x14ac:dyDescent="0.25"/>
    <row r="185320" s="12" customFormat="1" x14ac:dyDescent="0.25"/>
    <row r="185321" s="12" customFormat="1" x14ac:dyDescent="0.25"/>
    <row r="185322" s="12" customFormat="1" x14ac:dyDescent="0.25"/>
    <row r="185323" s="12" customFormat="1" x14ac:dyDescent="0.25"/>
    <row r="185324" s="12" customFormat="1" x14ac:dyDescent="0.25"/>
    <row r="185325" s="12" customFormat="1" x14ac:dyDescent="0.25"/>
    <row r="185326" s="12" customFormat="1" x14ac:dyDescent="0.25"/>
    <row r="185327" s="12" customFormat="1" x14ac:dyDescent="0.25"/>
    <row r="185328" s="12" customFormat="1" x14ac:dyDescent="0.25"/>
    <row r="185329" s="12" customFormat="1" x14ac:dyDescent="0.25"/>
    <row r="185330" s="12" customFormat="1" x14ac:dyDescent="0.25"/>
    <row r="185331" s="12" customFormat="1" x14ac:dyDescent="0.25"/>
    <row r="185332" s="12" customFormat="1" x14ac:dyDescent="0.25"/>
    <row r="185333" s="12" customFormat="1" x14ac:dyDescent="0.25"/>
    <row r="185334" s="12" customFormat="1" x14ac:dyDescent="0.25"/>
    <row r="185335" s="12" customFormat="1" x14ac:dyDescent="0.25"/>
    <row r="185336" s="12" customFormat="1" x14ac:dyDescent="0.25"/>
    <row r="185337" s="12" customFormat="1" x14ac:dyDescent="0.25"/>
    <row r="185338" s="12" customFormat="1" x14ac:dyDescent="0.25"/>
    <row r="185339" s="12" customFormat="1" x14ac:dyDescent="0.25"/>
    <row r="185340" s="12" customFormat="1" x14ac:dyDescent="0.25"/>
    <row r="185341" s="12" customFormat="1" x14ac:dyDescent="0.25"/>
    <row r="185342" s="12" customFormat="1" x14ac:dyDescent="0.25"/>
    <row r="185343" s="12" customFormat="1" x14ac:dyDescent="0.25"/>
    <row r="185344" s="12" customFormat="1" x14ac:dyDescent="0.25"/>
    <row r="185345" s="12" customFormat="1" x14ac:dyDescent="0.25"/>
    <row r="185346" s="12" customFormat="1" x14ac:dyDescent="0.25"/>
    <row r="185347" s="12" customFormat="1" x14ac:dyDescent="0.25"/>
    <row r="185348" s="12" customFormat="1" x14ac:dyDescent="0.25"/>
    <row r="185349" s="12" customFormat="1" x14ac:dyDescent="0.25"/>
    <row r="185350" s="12" customFormat="1" x14ac:dyDescent="0.25"/>
    <row r="185351" s="12" customFormat="1" x14ac:dyDescent="0.25"/>
    <row r="185352" s="12" customFormat="1" x14ac:dyDescent="0.25"/>
    <row r="185353" s="12" customFormat="1" x14ac:dyDescent="0.25"/>
    <row r="185354" s="12" customFormat="1" x14ac:dyDescent="0.25"/>
    <row r="185355" s="12" customFormat="1" x14ac:dyDescent="0.25"/>
    <row r="185356" s="12" customFormat="1" x14ac:dyDescent="0.25"/>
    <row r="185357" s="12" customFormat="1" x14ac:dyDescent="0.25"/>
    <row r="185358" s="12" customFormat="1" x14ac:dyDescent="0.25"/>
    <row r="185359" s="12" customFormat="1" x14ac:dyDescent="0.25"/>
    <row r="185360" s="12" customFormat="1" x14ac:dyDescent="0.25"/>
    <row r="185361" s="12" customFormat="1" x14ac:dyDescent="0.25"/>
    <row r="185362" s="12" customFormat="1" x14ac:dyDescent="0.25"/>
    <row r="185363" s="12" customFormat="1" x14ac:dyDescent="0.25"/>
    <row r="185364" s="12" customFormat="1" x14ac:dyDescent="0.25"/>
    <row r="185365" s="12" customFormat="1" x14ac:dyDescent="0.25"/>
    <row r="185366" s="12" customFormat="1" x14ac:dyDescent="0.25"/>
    <row r="185367" s="12" customFormat="1" x14ac:dyDescent="0.25"/>
    <row r="185368" s="12" customFormat="1" x14ac:dyDescent="0.25"/>
    <row r="185369" s="12" customFormat="1" x14ac:dyDescent="0.25"/>
    <row r="185370" s="12" customFormat="1" x14ac:dyDescent="0.25"/>
    <row r="185371" s="12" customFormat="1" x14ac:dyDescent="0.25"/>
    <row r="185372" s="12" customFormat="1" x14ac:dyDescent="0.25"/>
    <row r="185373" s="12" customFormat="1" x14ac:dyDescent="0.25"/>
    <row r="185374" s="12" customFormat="1" x14ac:dyDescent="0.25"/>
    <row r="185375" s="12" customFormat="1" x14ac:dyDescent="0.25"/>
    <row r="185376" s="12" customFormat="1" x14ac:dyDescent="0.25"/>
    <row r="185377" s="12" customFormat="1" x14ac:dyDescent="0.25"/>
    <row r="185378" s="12" customFormat="1" x14ac:dyDescent="0.25"/>
    <row r="185379" s="12" customFormat="1" x14ac:dyDescent="0.25"/>
    <row r="185380" s="12" customFormat="1" x14ac:dyDescent="0.25"/>
    <row r="185381" s="12" customFormat="1" x14ac:dyDescent="0.25"/>
    <row r="185382" s="12" customFormat="1" x14ac:dyDescent="0.25"/>
    <row r="185383" s="12" customFormat="1" x14ac:dyDescent="0.25"/>
    <row r="185384" s="12" customFormat="1" x14ac:dyDescent="0.25"/>
    <row r="185385" s="12" customFormat="1" x14ac:dyDescent="0.25"/>
    <row r="185386" s="12" customFormat="1" x14ac:dyDescent="0.25"/>
    <row r="185387" s="12" customFormat="1" x14ac:dyDescent="0.25"/>
    <row r="185388" s="12" customFormat="1" x14ac:dyDescent="0.25"/>
    <row r="185389" s="12" customFormat="1" x14ac:dyDescent="0.25"/>
    <row r="185390" s="12" customFormat="1" x14ac:dyDescent="0.25"/>
    <row r="185391" s="12" customFormat="1" x14ac:dyDescent="0.25"/>
    <row r="185392" s="12" customFormat="1" x14ac:dyDescent="0.25"/>
    <row r="185393" s="12" customFormat="1" x14ac:dyDescent="0.25"/>
    <row r="185394" s="12" customFormat="1" x14ac:dyDescent="0.25"/>
    <row r="185395" s="12" customFormat="1" x14ac:dyDescent="0.25"/>
    <row r="185396" s="12" customFormat="1" x14ac:dyDescent="0.25"/>
    <row r="185397" s="12" customFormat="1" x14ac:dyDescent="0.25"/>
    <row r="185398" s="12" customFormat="1" x14ac:dyDescent="0.25"/>
    <row r="185399" s="12" customFormat="1" x14ac:dyDescent="0.25"/>
    <row r="185400" s="12" customFormat="1" x14ac:dyDescent="0.25"/>
    <row r="185401" s="12" customFormat="1" x14ac:dyDescent="0.25"/>
    <row r="185402" s="12" customFormat="1" x14ac:dyDescent="0.25"/>
    <row r="185403" s="12" customFormat="1" x14ac:dyDescent="0.25"/>
    <row r="185404" s="12" customFormat="1" x14ac:dyDescent="0.25"/>
    <row r="185405" s="12" customFormat="1" x14ac:dyDescent="0.25"/>
    <row r="185406" s="12" customFormat="1" x14ac:dyDescent="0.25"/>
    <row r="185407" s="12" customFormat="1" x14ac:dyDescent="0.25"/>
    <row r="185408" s="12" customFormat="1" x14ac:dyDescent="0.25"/>
    <row r="185409" s="12" customFormat="1" x14ac:dyDescent="0.25"/>
    <row r="185410" s="12" customFormat="1" x14ac:dyDescent="0.25"/>
    <row r="185411" s="12" customFormat="1" x14ac:dyDescent="0.25"/>
    <row r="185412" s="12" customFormat="1" x14ac:dyDescent="0.25"/>
    <row r="185413" s="12" customFormat="1" x14ac:dyDescent="0.25"/>
    <row r="185414" s="12" customFormat="1" x14ac:dyDescent="0.25"/>
    <row r="185415" s="12" customFormat="1" x14ac:dyDescent="0.25"/>
    <row r="185416" s="12" customFormat="1" x14ac:dyDescent="0.25"/>
    <row r="185417" s="12" customFormat="1" x14ac:dyDescent="0.25"/>
    <row r="185418" s="12" customFormat="1" x14ac:dyDescent="0.25"/>
    <row r="185419" s="12" customFormat="1" x14ac:dyDescent="0.25"/>
    <row r="185420" s="12" customFormat="1" x14ac:dyDescent="0.25"/>
    <row r="185421" s="12" customFormat="1" x14ac:dyDescent="0.25"/>
    <row r="185422" s="12" customFormat="1" x14ac:dyDescent="0.25"/>
    <row r="185423" s="12" customFormat="1" x14ac:dyDescent="0.25"/>
    <row r="185424" s="12" customFormat="1" x14ac:dyDescent="0.25"/>
    <row r="185425" s="12" customFormat="1" x14ac:dyDescent="0.25"/>
    <row r="185426" s="12" customFormat="1" x14ac:dyDescent="0.25"/>
    <row r="185427" s="12" customFormat="1" x14ac:dyDescent="0.25"/>
    <row r="185428" s="12" customFormat="1" x14ac:dyDescent="0.25"/>
    <row r="185429" s="12" customFormat="1" x14ac:dyDescent="0.25"/>
    <row r="185430" s="12" customFormat="1" x14ac:dyDescent="0.25"/>
    <row r="185431" s="12" customFormat="1" x14ac:dyDescent="0.25"/>
    <row r="185432" s="12" customFormat="1" x14ac:dyDescent="0.25"/>
    <row r="185433" s="12" customFormat="1" x14ac:dyDescent="0.25"/>
    <row r="185434" s="12" customFormat="1" x14ac:dyDescent="0.25"/>
    <row r="185435" s="12" customFormat="1" x14ac:dyDescent="0.25"/>
    <row r="185436" s="12" customFormat="1" x14ac:dyDescent="0.25"/>
    <row r="185437" s="12" customFormat="1" x14ac:dyDescent="0.25"/>
    <row r="185438" s="12" customFormat="1" x14ac:dyDescent="0.25"/>
    <row r="185439" s="12" customFormat="1" x14ac:dyDescent="0.25"/>
    <row r="185440" s="12" customFormat="1" x14ac:dyDescent="0.25"/>
    <row r="185441" s="12" customFormat="1" x14ac:dyDescent="0.25"/>
    <row r="185442" s="12" customFormat="1" x14ac:dyDescent="0.25"/>
    <row r="185443" s="12" customFormat="1" x14ac:dyDescent="0.25"/>
    <row r="185444" s="12" customFormat="1" x14ac:dyDescent="0.25"/>
    <row r="185445" s="12" customFormat="1" x14ac:dyDescent="0.25"/>
    <row r="185446" s="12" customFormat="1" x14ac:dyDescent="0.25"/>
    <row r="185447" s="12" customFormat="1" x14ac:dyDescent="0.25"/>
    <row r="185448" s="12" customFormat="1" x14ac:dyDescent="0.25"/>
    <row r="185449" s="12" customFormat="1" x14ac:dyDescent="0.25"/>
    <row r="185450" s="12" customFormat="1" x14ac:dyDescent="0.25"/>
    <row r="185451" s="12" customFormat="1" x14ac:dyDescent="0.25"/>
    <row r="185452" s="12" customFormat="1" x14ac:dyDescent="0.25"/>
    <row r="185453" s="12" customFormat="1" x14ac:dyDescent="0.25"/>
    <row r="185454" s="12" customFormat="1" x14ac:dyDescent="0.25"/>
    <row r="185455" s="12" customFormat="1" x14ac:dyDescent="0.25"/>
    <row r="185456" s="12" customFormat="1" x14ac:dyDescent="0.25"/>
    <row r="185457" s="12" customFormat="1" x14ac:dyDescent="0.25"/>
    <row r="185458" s="12" customFormat="1" x14ac:dyDescent="0.25"/>
    <row r="185459" s="12" customFormat="1" x14ac:dyDescent="0.25"/>
    <row r="185460" s="12" customFormat="1" x14ac:dyDescent="0.25"/>
    <row r="185461" s="12" customFormat="1" x14ac:dyDescent="0.25"/>
    <row r="185462" s="12" customFormat="1" x14ac:dyDescent="0.25"/>
    <row r="185463" s="12" customFormat="1" x14ac:dyDescent="0.25"/>
    <row r="185464" s="12" customFormat="1" x14ac:dyDescent="0.25"/>
    <row r="185465" s="12" customFormat="1" x14ac:dyDescent="0.25"/>
    <row r="185466" s="12" customFormat="1" x14ac:dyDescent="0.25"/>
    <row r="185467" s="12" customFormat="1" x14ac:dyDescent="0.25"/>
    <row r="185468" s="12" customFormat="1" x14ac:dyDescent="0.25"/>
    <row r="185469" s="12" customFormat="1" x14ac:dyDescent="0.25"/>
    <row r="185470" s="12" customFormat="1" x14ac:dyDescent="0.25"/>
    <row r="185471" s="12" customFormat="1" x14ac:dyDescent="0.25"/>
    <row r="185472" s="12" customFormat="1" x14ac:dyDescent="0.25"/>
    <row r="185473" s="12" customFormat="1" x14ac:dyDescent="0.25"/>
    <row r="185474" s="12" customFormat="1" x14ac:dyDescent="0.25"/>
    <row r="185475" s="12" customFormat="1" x14ac:dyDescent="0.25"/>
    <row r="185476" s="12" customFormat="1" x14ac:dyDescent="0.25"/>
    <row r="185477" s="12" customFormat="1" x14ac:dyDescent="0.25"/>
    <row r="185478" s="12" customFormat="1" x14ac:dyDescent="0.25"/>
    <row r="185479" s="12" customFormat="1" x14ac:dyDescent="0.25"/>
    <row r="185480" s="12" customFormat="1" x14ac:dyDescent="0.25"/>
    <row r="185481" s="12" customFormat="1" x14ac:dyDescent="0.25"/>
    <row r="185482" s="12" customFormat="1" x14ac:dyDescent="0.25"/>
    <row r="185483" s="12" customFormat="1" x14ac:dyDescent="0.25"/>
    <row r="185484" s="12" customFormat="1" x14ac:dyDescent="0.25"/>
    <row r="185485" s="12" customFormat="1" x14ac:dyDescent="0.25"/>
    <row r="185486" s="12" customFormat="1" x14ac:dyDescent="0.25"/>
    <row r="185487" s="12" customFormat="1" x14ac:dyDescent="0.25"/>
    <row r="185488" s="12" customFormat="1" x14ac:dyDescent="0.25"/>
    <row r="185489" s="12" customFormat="1" x14ac:dyDescent="0.25"/>
    <row r="185490" s="12" customFormat="1" x14ac:dyDescent="0.25"/>
    <row r="185491" s="12" customFormat="1" x14ac:dyDescent="0.25"/>
    <row r="185492" s="12" customFormat="1" x14ac:dyDescent="0.25"/>
    <row r="185493" s="12" customFormat="1" x14ac:dyDescent="0.25"/>
    <row r="185494" s="12" customFormat="1" x14ac:dyDescent="0.25"/>
    <row r="185495" s="12" customFormat="1" x14ac:dyDescent="0.25"/>
    <row r="185496" s="12" customFormat="1" x14ac:dyDescent="0.25"/>
    <row r="185497" s="12" customFormat="1" x14ac:dyDescent="0.25"/>
    <row r="185498" s="12" customFormat="1" x14ac:dyDescent="0.25"/>
    <row r="185499" s="12" customFormat="1" x14ac:dyDescent="0.25"/>
    <row r="185500" s="12" customFormat="1" x14ac:dyDescent="0.25"/>
    <row r="185501" s="12" customFormat="1" x14ac:dyDescent="0.25"/>
    <row r="185502" s="12" customFormat="1" x14ac:dyDescent="0.25"/>
    <row r="185503" s="12" customFormat="1" x14ac:dyDescent="0.25"/>
    <row r="185504" s="12" customFormat="1" x14ac:dyDescent="0.25"/>
    <row r="185505" s="12" customFormat="1" x14ac:dyDescent="0.25"/>
    <row r="185506" s="12" customFormat="1" x14ac:dyDescent="0.25"/>
    <row r="185507" s="12" customFormat="1" x14ac:dyDescent="0.25"/>
    <row r="185508" s="12" customFormat="1" x14ac:dyDescent="0.25"/>
    <row r="185509" s="12" customFormat="1" x14ac:dyDescent="0.25"/>
    <row r="185510" s="12" customFormat="1" x14ac:dyDescent="0.25"/>
    <row r="185511" s="12" customFormat="1" x14ac:dyDescent="0.25"/>
    <row r="185512" s="12" customFormat="1" x14ac:dyDescent="0.25"/>
    <row r="185513" s="12" customFormat="1" x14ac:dyDescent="0.25"/>
    <row r="185514" s="12" customFormat="1" x14ac:dyDescent="0.25"/>
    <row r="185515" s="12" customFormat="1" x14ac:dyDescent="0.25"/>
    <row r="185516" s="12" customFormat="1" x14ac:dyDescent="0.25"/>
    <row r="185517" s="12" customFormat="1" x14ac:dyDescent="0.25"/>
    <row r="185518" s="12" customFormat="1" x14ac:dyDescent="0.25"/>
    <row r="185519" s="12" customFormat="1" x14ac:dyDescent="0.25"/>
    <row r="185520" s="12" customFormat="1" x14ac:dyDescent="0.25"/>
    <row r="185521" s="12" customFormat="1" x14ac:dyDescent="0.25"/>
    <row r="185522" s="12" customFormat="1" x14ac:dyDescent="0.25"/>
    <row r="185523" s="12" customFormat="1" x14ac:dyDescent="0.25"/>
    <row r="185524" s="12" customFormat="1" x14ac:dyDescent="0.25"/>
    <row r="185525" s="12" customFormat="1" x14ac:dyDescent="0.25"/>
    <row r="185526" s="12" customFormat="1" x14ac:dyDescent="0.25"/>
    <row r="185527" s="12" customFormat="1" x14ac:dyDescent="0.25"/>
    <row r="185528" s="12" customFormat="1" x14ac:dyDescent="0.25"/>
    <row r="185529" s="12" customFormat="1" x14ac:dyDescent="0.25"/>
    <row r="185530" s="12" customFormat="1" x14ac:dyDescent="0.25"/>
    <row r="185531" s="12" customFormat="1" x14ac:dyDescent="0.25"/>
    <row r="185532" s="12" customFormat="1" x14ac:dyDescent="0.25"/>
    <row r="185533" s="12" customFormat="1" x14ac:dyDescent="0.25"/>
    <row r="185534" s="12" customFormat="1" x14ac:dyDescent="0.25"/>
    <row r="185535" s="12" customFormat="1" x14ac:dyDescent="0.25"/>
    <row r="185536" s="12" customFormat="1" x14ac:dyDescent="0.25"/>
    <row r="185537" s="12" customFormat="1" x14ac:dyDescent="0.25"/>
    <row r="185538" s="12" customFormat="1" x14ac:dyDescent="0.25"/>
    <row r="185539" s="12" customFormat="1" x14ac:dyDescent="0.25"/>
    <row r="185540" s="12" customFormat="1" x14ac:dyDescent="0.25"/>
    <row r="185541" s="12" customFormat="1" x14ac:dyDescent="0.25"/>
    <row r="185542" s="12" customFormat="1" x14ac:dyDescent="0.25"/>
    <row r="185543" s="12" customFormat="1" x14ac:dyDescent="0.25"/>
    <row r="185544" s="12" customFormat="1" x14ac:dyDescent="0.25"/>
    <row r="185545" s="12" customFormat="1" x14ac:dyDescent="0.25"/>
    <row r="185546" s="12" customFormat="1" x14ac:dyDescent="0.25"/>
    <row r="185547" s="12" customFormat="1" x14ac:dyDescent="0.25"/>
    <row r="185548" s="12" customFormat="1" x14ac:dyDescent="0.25"/>
    <row r="185549" s="12" customFormat="1" x14ac:dyDescent="0.25"/>
    <row r="185550" s="12" customFormat="1" x14ac:dyDescent="0.25"/>
    <row r="185551" s="12" customFormat="1" x14ac:dyDescent="0.25"/>
    <row r="185552" s="12" customFormat="1" x14ac:dyDescent="0.25"/>
    <row r="185553" s="12" customFormat="1" x14ac:dyDescent="0.25"/>
    <row r="185554" s="12" customFormat="1" x14ac:dyDescent="0.25"/>
    <row r="185555" s="12" customFormat="1" x14ac:dyDescent="0.25"/>
    <row r="185556" s="12" customFormat="1" x14ac:dyDescent="0.25"/>
    <row r="185557" s="12" customFormat="1" x14ac:dyDescent="0.25"/>
    <row r="185558" s="12" customFormat="1" x14ac:dyDescent="0.25"/>
    <row r="185559" s="12" customFormat="1" x14ac:dyDescent="0.25"/>
    <row r="185560" s="12" customFormat="1" x14ac:dyDescent="0.25"/>
    <row r="185561" s="12" customFormat="1" x14ac:dyDescent="0.25"/>
    <row r="185562" s="12" customFormat="1" x14ac:dyDescent="0.25"/>
    <row r="185563" s="12" customFormat="1" x14ac:dyDescent="0.25"/>
    <row r="185564" s="12" customFormat="1" x14ac:dyDescent="0.25"/>
    <row r="185565" s="12" customFormat="1" x14ac:dyDescent="0.25"/>
    <row r="185566" s="12" customFormat="1" x14ac:dyDescent="0.25"/>
    <row r="185567" s="12" customFormat="1" x14ac:dyDescent="0.25"/>
    <row r="185568" s="12" customFormat="1" x14ac:dyDescent="0.25"/>
    <row r="185569" s="12" customFormat="1" x14ac:dyDescent="0.25"/>
    <row r="185570" s="12" customFormat="1" x14ac:dyDescent="0.25"/>
    <row r="185571" s="12" customFormat="1" x14ac:dyDescent="0.25"/>
    <row r="185572" s="12" customFormat="1" x14ac:dyDescent="0.25"/>
    <row r="185573" s="12" customFormat="1" x14ac:dyDescent="0.25"/>
    <row r="185574" s="12" customFormat="1" x14ac:dyDescent="0.25"/>
    <row r="185575" s="12" customFormat="1" x14ac:dyDescent="0.25"/>
    <row r="185576" s="12" customFormat="1" x14ac:dyDescent="0.25"/>
    <row r="185577" s="12" customFormat="1" x14ac:dyDescent="0.25"/>
    <row r="185578" s="12" customFormat="1" x14ac:dyDescent="0.25"/>
    <row r="185579" s="12" customFormat="1" x14ac:dyDescent="0.25"/>
    <row r="185580" s="12" customFormat="1" x14ac:dyDescent="0.25"/>
    <row r="185581" s="12" customFormat="1" x14ac:dyDescent="0.25"/>
    <row r="185582" s="12" customFormat="1" x14ac:dyDescent="0.25"/>
    <row r="185583" s="12" customFormat="1" x14ac:dyDescent="0.25"/>
    <row r="185584" s="12" customFormat="1" x14ac:dyDescent="0.25"/>
    <row r="185585" s="12" customFormat="1" x14ac:dyDescent="0.25"/>
    <row r="185586" s="12" customFormat="1" x14ac:dyDescent="0.25"/>
    <row r="185587" s="12" customFormat="1" x14ac:dyDescent="0.25"/>
    <row r="185588" s="12" customFormat="1" x14ac:dyDescent="0.25"/>
    <row r="185589" s="12" customFormat="1" x14ac:dyDescent="0.25"/>
    <row r="185590" s="12" customFormat="1" x14ac:dyDescent="0.25"/>
    <row r="185591" s="12" customFormat="1" x14ac:dyDescent="0.25"/>
    <row r="185592" s="12" customFormat="1" x14ac:dyDescent="0.25"/>
    <row r="185593" s="12" customFormat="1" x14ac:dyDescent="0.25"/>
    <row r="185594" s="12" customFormat="1" x14ac:dyDescent="0.25"/>
    <row r="185595" s="12" customFormat="1" x14ac:dyDescent="0.25"/>
    <row r="185596" s="12" customFormat="1" x14ac:dyDescent="0.25"/>
    <row r="185597" s="12" customFormat="1" x14ac:dyDescent="0.25"/>
    <row r="185598" s="12" customFormat="1" x14ac:dyDescent="0.25"/>
    <row r="185599" s="12" customFormat="1" x14ac:dyDescent="0.25"/>
    <row r="185600" s="12" customFormat="1" x14ac:dyDescent="0.25"/>
    <row r="185601" s="12" customFormat="1" x14ac:dyDescent="0.25"/>
    <row r="185602" s="12" customFormat="1" x14ac:dyDescent="0.25"/>
    <row r="185603" s="12" customFormat="1" x14ac:dyDescent="0.25"/>
    <row r="185604" s="12" customFormat="1" x14ac:dyDescent="0.25"/>
    <row r="185605" s="12" customFormat="1" x14ac:dyDescent="0.25"/>
    <row r="185606" s="12" customFormat="1" x14ac:dyDescent="0.25"/>
    <row r="185607" s="12" customFormat="1" x14ac:dyDescent="0.25"/>
    <row r="185608" s="12" customFormat="1" x14ac:dyDescent="0.25"/>
    <row r="185609" s="12" customFormat="1" x14ac:dyDescent="0.25"/>
    <row r="185610" s="12" customFormat="1" x14ac:dyDescent="0.25"/>
    <row r="185611" s="12" customFormat="1" x14ac:dyDescent="0.25"/>
    <row r="185612" s="12" customFormat="1" x14ac:dyDescent="0.25"/>
    <row r="185613" s="12" customFormat="1" x14ac:dyDescent="0.25"/>
    <row r="185614" s="12" customFormat="1" x14ac:dyDescent="0.25"/>
    <row r="185615" s="12" customFormat="1" x14ac:dyDescent="0.25"/>
    <row r="185616" s="12" customFormat="1" x14ac:dyDescent="0.25"/>
    <row r="185617" s="12" customFormat="1" x14ac:dyDescent="0.25"/>
    <row r="185618" s="12" customFormat="1" x14ac:dyDescent="0.25"/>
    <row r="185619" s="12" customFormat="1" x14ac:dyDescent="0.25"/>
    <row r="185620" s="12" customFormat="1" x14ac:dyDescent="0.25"/>
    <row r="185621" s="12" customFormat="1" x14ac:dyDescent="0.25"/>
    <row r="185622" s="12" customFormat="1" x14ac:dyDescent="0.25"/>
    <row r="185623" s="12" customFormat="1" x14ac:dyDescent="0.25"/>
    <row r="185624" s="12" customFormat="1" x14ac:dyDescent="0.25"/>
    <row r="185625" s="12" customFormat="1" x14ac:dyDescent="0.25"/>
    <row r="185626" s="12" customFormat="1" x14ac:dyDescent="0.25"/>
    <row r="185627" s="12" customFormat="1" x14ac:dyDescent="0.25"/>
    <row r="185628" s="12" customFormat="1" x14ac:dyDescent="0.25"/>
    <row r="185629" s="12" customFormat="1" x14ac:dyDescent="0.25"/>
    <row r="185630" s="12" customFormat="1" x14ac:dyDescent="0.25"/>
    <row r="185631" s="12" customFormat="1" x14ac:dyDescent="0.25"/>
    <row r="185632" s="12" customFormat="1" x14ac:dyDescent="0.25"/>
    <row r="185633" s="12" customFormat="1" x14ac:dyDescent="0.25"/>
    <row r="185634" s="12" customFormat="1" x14ac:dyDescent="0.25"/>
    <row r="185635" s="12" customFormat="1" x14ac:dyDescent="0.25"/>
    <row r="185636" s="12" customFormat="1" x14ac:dyDescent="0.25"/>
    <row r="185637" s="12" customFormat="1" x14ac:dyDescent="0.25"/>
    <row r="185638" s="12" customFormat="1" x14ac:dyDescent="0.25"/>
    <row r="185639" s="12" customFormat="1" x14ac:dyDescent="0.25"/>
    <row r="185640" s="12" customFormat="1" x14ac:dyDescent="0.25"/>
    <row r="185641" s="12" customFormat="1" x14ac:dyDescent="0.25"/>
    <row r="185642" s="12" customFormat="1" x14ac:dyDescent="0.25"/>
    <row r="185643" s="12" customFormat="1" x14ac:dyDescent="0.25"/>
    <row r="185644" s="12" customFormat="1" x14ac:dyDescent="0.25"/>
    <row r="185645" s="12" customFormat="1" x14ac:dyDescent="0.25"/>
    <row r="185646" s="12" customFormat="1" x14ac:dyDescent="0.25"/>
    <row r="185647" s="12" customFormat="1" x14ac:dyDescent="0.25"/>
    <row r="185648" s="12" customFormat="1" x14ac:dyDescent="0.25"/>
    <row r="185649" s="12" customFormat="1" x14ac:dyDescent="0.25"/>
    <row r="185650" s="12" customFormat="1" x14ac:dyDescent="0.25"/>
    <row r="185651" s="12" customFormat="1" x14ac:dyDescent="0.25"/>
    <row r="185652" s="12" customFormat="1" x14ac:dyDescent="0.25"/>
    <row r="185653" s="12" customFormat="1" x14ac:dyDescent="0.25"/>
    <row r="185654" s="12" customFormat="1" x14ac:dyDescent="0.25"/>
    <row r="185655" s="12" customFormat="1" x14ac:dyDescent="0.25"/>
    <row r="185656" s="12" customFormat="1" x14ac:dyDescent="0.25"/>
    <row r="185657" s="12" customFormat="1" x14ac:dyDescent="0.25"/>
    <row r="185658" s="12" customFormat="1" x14ac:dyDescent="0.25"/>
    <row r="185659" s="12" customFormat="1" x14ac:dyDescent="0.25"/>
    <row r="185660" s="12" customFormat="1" x14ac:dyDescent="0.25"/>
    <row r="185661" s="12" customFormat="1" x14ac:dyDescent="0.25"/>
    <row r="185662" s="12" customFormat="1" x14ac:dyDescent="0.25"/>
    <row r="185663" s="12" customFormat="1" x14ac:dyDescent="0.25"/>
    <row r="185664" s="12" customFormat="1" x14ac:dyDescent="0.25"/>
    <row r="185665" s="12" customFormat="1" x14ac:dyDescent="0.25"/>
    <row r="185666" s="12" customFormat="1" x14ac:dyDescent="0.25"/>
    <row r="185667" s="12" customFormat="1" x14ac:dyDescent="0.25"/>
    <row r="185668" s="12" customFormat="1" x14ac:dyDescent="0.25"/>
    <row r="185669" s="12" customFormat="1" x14ac:dyDescent="0.25"/>
    <row r="185670" s="12" customFormat="1" x14ac:dyDescent="0.25"/>
    <row r="185671" s="12" customFormat="1" x14ac:dyDescent="0.25"/>
    <row r="185672" s="12" customFormat="1" x14ac:dyDescent="0.25"/>
    <row r="185673" s="12" customFormat="1" x14ac:dyDescent="0.25"/>
    <row r="185674" s="12" customFormat="1" x14ac:dyDescent="0.25"/>
    <row r="185675" s="12" customFormat="1" x14ac:dyDescent="0.25"/>
    <row r="185676" s="12" customFormat="1" x14ac:dyDescent="0.25"/>
    <row r="185677" s="12" customFormat="1" x14ac:dyDescent="0.25"/>
    <row r="185678" s="12" customFormat="1" x14ac:dyDescent="0.25"/>
    <row r="185679" s="12" customFormat="1" x14ac:dyDescent="0.25"/>
    <row r="185680" s="12" customFormat="1" x14ac:dyDescent="0.25"/>
    <row r="185681" s="12" customFormat="1" x14ac:dyDescent="0.25"/>
    <row r="185682" s="12" customFormat="1" x14ac:dyDescent="0.25"/>
    <row r="185683" s="12" customFormat="1" x14ac:dyDescent="0.25"/>
    <row r="185684" s="12" customFormat="1" x14ac:dyDescent="0.25"/>
    <row r="185685" s="12" customFormat="1" x14ac:dyDescent="0.25"/>
    <row r="185686" s="12" customFormat="1" x14ac:dyDescent="0.25"/>
    <row r="185687" s="12" customFormat="1" x14ac:dyDescent="0.25"/>
    <row r="185688" s="12" customFormat="1" x14ac:dyDescent="0.25"/>
    <row r="185689" s="12" customFormat="1" x14ac:dyDescent="0.25"/>
    <row r="185690" s="12" customFormat="1" x14ac:dyDescent="0.25"/>
    <row r="185691" s="12" customFormat="1" x14ac:dyDescent="0.25"/>
    <row r="185692" s="12" customFormat="1" x14ac:dyDescent="0.25"/>
    <row r="185693" s="12" customFormat="1" x14ac:dyDescent="0.25"/>
    <row r="185694" s="12" customFormat="1" x14ac:dyDescent="0.25"/>
    <row r="185695" s="12" customFormat="1" x14ac:dyDescent="0.25"/>
    <row r="185696" s="12" customFormat="1" x14ac:dyDescent="0.25"/>
    <row r="185697" s="12" customFormat="1" x14ac:dyDescent="0.25"/>
    <row r="185698" s="12" customFormat="1" x14ac:dyDescent="0.25"/>
    <row r="185699" s="12" customFormat="1" x14ac:dyDescent="0.25"/>
    <row r="185700" s="12" customFormat="1" x14ac:dyDescent="0.25"/>
    <row r="185701" s="12" customFormat="1" x14ac:dyDescent="0.25"/>
    <row r="185702" s="12" customFormat="1" x14ac:dyDescent="0.25"/>
    <row r="185703" s="12" customFormat="1" x14ac:dyDescent="0.25"/>
    <row r="185704" s="12" customFormat="1" x14ac:dyDescent="0.25"/>
    <row r="185705" s="12" customFormat="1" x14ac:dyDescent="0.25"/>
    <row r="185706" s="12" customFormat="1" x14ac:dyDescent="0.25"/>
    <row r="185707" s="12" customFormat="1" x14ac:dyDescent="0.25"/>
    <row r="185708" s="12" customFormat="1" x14ac:dyDescent="0.25"/>
    <row r="185709" s="12" customFormat="1" x14ac:dyDescent="0.25"/>
    <row r="185710" s="12" customFormat="1" x14ac:dyDescent="0.25"/>
    <row r="185711" s="12" customFormat="1" x14ac:dyDescent="0.25"/>
    <row r="185712" s="12" customFormat="1" x14ac:dyDescent="0.25"/>
    <row r="185713" s="12" customFormat="1" x14ac:dyDescent="0.25"/>
    <row r="185714" s="12" customFormat="1" x14ac:dyDescent="0.25"/>
    <row r="185715" s="12" customFormat="1" x14ac:dyDescent="0.25"/>
    <row r="185716" s="12" customFormat="1" x14ac:dyDescent="0.25"/>
    <row r="185717" s="12" customFormat="1" x14ac:dyDescent="0.25"/>
    <row r="185718" s="12" customFormat="1" x14ac:dyDescent="0.25"/>
    <row r="185719" s="12" customFormat="1" x14ac:dyDescent="0.25"/>
    <row r="185720" s="12" customFormat="1" x14ac:dyDescent="0.25"/>
    <row r="185721" s="12" customFormat="1" x14ac:dyDescent="0.25"/>
    <row r="185722" s="12" customFormat="1" x14ac:dyDescent="0.25"/>
    <row r="185723" s="12" customFormat="1" x14ac:dyDescent="0.25"/>
    <row r="185724" s="12" customFormat="1" x14ac:dyDescent="0.25"/>
    <row r="185725" s="12" customFormat="1" x14ac:dyDescent="0.25"/>
    <row r="185726" s="12" customFormat="1" x14ac:dyDescent="0.25"/>
    <row r="185727" s="12" customFormat="1" x14ac:dyDescent="0.25"/>
    <row r="185728" s="12" customFormat="1" x14ac:dyDescent="0.25"/>
    <row r="185729" s="12" customFormat="1" x14ac:dyDescent="0.25"/>
    <row r="185730" s="12" customFormat="1" x14ac:dyDescent="0.25"/>
    <row r="185731" s="12" customFormat="1" x14ac:dyDescent="0.25"/>
    <row r="185732" s="12" customFormat="1" x14ac:dyDescent="0.25"/>
    <row r="185733" s="12" customFormat="1" x14ac:dyDescent="0.25"/>
    <row r="185734" s="12" customFormat="1" x14ac:dyDescent="0.25"/>
    <row r="185735" s="12" customFormat="1" x14ac:dyDescent="0.25"/>
    <row r="185736" s="12" customFormat="1" x14ac:dyDescent="0.25"/>
    <row r="185737" s="12" customFormat="1" x14ac:dyDescent="0.25"/>
    <row r="185738" s="12" customFormat="1" x14ac:dyDescent="0.25"/>
    <row r="185739" s="12" customFormat="1" x14ac:dyDescent="0.25"/>
    <row r="185740" s="12" customFormat="1" x14ac:dyDescent="0.25"/>
    <row r="185741" s="12" customFormat="1" x14ac:dyDescent="0.25"/>
    <row r="185742" s="12" customFormat="1" x14ac:dyDescent="0.25"/>
    <row r="185743" s="12" customFormat="1" x14ac:dyDescent="0.25"/>
    <row r="185744" s="12" customFormat="1" x14ac:dyDescent="0.25"/>
    <row r="185745" s="12" customFormat="1" x14ac:dyDescent="0.25"/>
    <row r="185746" s="12" customFormat="1" x14ac:dyDescent="0.25"/>
    <row r="185747" s="12" customFormat="1" x14ac:dyDescent="0.25"/>
    <row r="185748" s="12" customFormat="1" x14ac:dyDescent="0.25"/>
    <row r="185749" s="12" customFormat="1" x14ac:dyDescent="0.25"/>
    <row r="185750" s="12" customFormat="1" x14ac:dyDescent="0.25"/>
    <row r="185751" s="12" customFormat="1" x14ac:dyDescent="0.25"/>
    <row r="185752" s="12" customFormat="1" x14ac:dyDescent="0.25"/>
    <row r="185753" s="12" customFormat="1" x14ac:dyDescent="0.25"/>
    <row r="185754" s="12" customFormat="1" x14ac:dyDescent="0.25"/>
    <row r="185755" s="12" customFormat="1" x14ac:dyDescent="0.25"/>
    <row r="185756" s="12" customFormat="1" x14ac:dyDescent="0.25"/>
    <row r="185757" s="12" customFormat="1" x14ac:dyDescent="0.25"/>
    <row r="185758" s="12" customFormat="1" x14ac:dyDescent="0.25"/>
    <row r="185759" s="12" customFormat="1" x14ac:dyDescent="0.25"/>
    <row r="185760" s="12" customFormat="1" x14ac:dyDescent="0.25"/>
    <row r="185761" s="12" customFormat="1" x14ac:dyDescent="0.25"/>
    <row r="185762" s="12" customFormat="1" x14ac:dyDescent="0.25"/>
    <row r="185763" s="12" customFormat="1" x14ac:dyDescent="0.25"/>
    <row r="185764" s="12" customFormat="1" x14ac:dyDescent="0.25"/>
    <row r="185765" s="12" customFormat="1" x14ac:dyDescent="0.25"/>
    <row r="185766" s="12" customFormat="1" x14ac:dyDescent="0.25"/>
    <row r="185767" s="12" customFormat="1" x14ac:dyDescent="0.25"/>
    <row r="185768" s="12" customFormat="1" x14ac:dyDescent="0.25"/>
    <row r="185769" s="12" customFormat="1" x14ac:dyDescent="0.25"/>
    <row r="185770" s="12" customFormat="1" x14ac:dyDescent="0.25"/>
    <row r="185771" s="12" customFormat="1" x14ac:dyDescent="0.25"/>
    <row r="185772" s="12" customFormat="1" x14ac:dyDescent="0.25"/>
    <row r="185773" s="12" customFormat="1" x14ac:dyDescent="0.25"/>
    <row r="185774" s="12" customFormat="1" x14ac:dyDescent="0.25"/>
    <row r="185775" s="12" customFormat="1" x14ac:dyDescent="0.25"/>
    <row r="185776" s="12" customFormat="1" x14ac:dyDescent="0.25"/>
    <row r="185777" s="12" customFormat="1" x14ac:dyDescent="0.25"/>
    <row r="185778" s="12" customFormat="1" x14ac:dyDescent="0.25"/>
    <row r="185779" s="12" customFormat="1" x14ac:dyDescent="0.25"/>
    <row r="185780" s="12" customFormat="1" x14ac:dyDescent="0.25"/>
    <row r="185781" s="12" customFormat="1" x14ac:dyDescent="0.25"/>
    <row r="185782" s="12" customFormat="1" x14ac:dyDescent="0.25"/>
    <row r="185783" s="12" customFormat="1" x14ac:dyDescent="0.25"/>
    <row r="185784" s="12" customFormat="1" x14ac:dyDescent="0.25"/>
    <row r="185785" s="12" customFormat="1" x14ac:dyDescent="0.25"/>
    <row r="185786" s="12" customFormat="1" x14ac:dyDescent="0.25"/>
    <row r="185787" s="12" customFormat="1" x14ac:dyDescent="0.25"/>
    <row r="185788" s="12" customFormat="1" x14ac:dyDescent="0.25"/>
    <row r="185789" s="12" customFormat="1" x14ac:dyDescent="0.25"/>
    <row r="185790" s="12" customFormat="1" x14ac:dyDescent="0.25"/>
    <row r="185791" s="12" customFormat="1" x14ac:dyDescent="0.25"/>
    <row r="185792" s="12" customFormat="1" x14ac:dyDescent="0.25"/>
    <row r="185793" s="12" customFormat="1" x14ac:dyDescent="0.25"/>
    <row r="185794" s="12" customFormat="1" x14ac:dyDescent="0.25"/>
    <row r="185795" s="12" customFormat="1" x14ac:dyDescent="0.25"/>
    <row r="185796" s="12" customFormat="1" x14ac:dyDescent="0.25"/>
    <row r="185797" s="12" customFormat="1" x14ac:dyDescent="0.25"/>
    <row r="185798" s="12" customFormat="1" x14ac:dyDescent="0.25"/>
    <row r="185799" s="12" customFormat="1" x14ac:dyDescent="0.25"/>
    <row r="185800" s="12" customFormat="1" x14ac:dyDescent="0.25"/>
    <row r="185801" s="12" customFormat="1" x14ac:dyDescent="0.25"/>
    <row r="185802" s="12" customFormat="1" x14ac:dyDescent="0.25"/>
    <row r="185803" s="12" customFormat="1" x14ac:dyDescent="0.25"/>
    <row r="185804" s="12" customFormat="1" x14ac:dyDescent="0.25"/>
    <row r="185805" s="12" customFormat="1" x14ac:dyDescent="0.25"/>
    <row r="185806" s="12" customFormat="1" x14ac:dyDescent="0.25"/>
    <row r="185807" s="12" customFormat="1" x14ac:dyDescent="0.25"/>
    <row r="185808" s="12" customFormat="1" x14ac:dyDescent="0.25"/>
    <row r="185809" s="12" customFormat="1" x14ac:dyDescent="0.25"/>
    <row r="185810" s="12" customFormat="1" x14ac:dyDescent="0.25"/>
    <row r="185811" s="12" customFormat="1" x14ac:dyDescent="0.25"/>
    <row r="185812" s="12" customFormat="1" x14ac:dyDescent="0.25"/>
    <row r="185813" s="12" customFormat="1" x14ac:dyDescent="0.25"/>
    <row r="185814" s="12" customFormat="1" x14ac:dyDescent="0.25"/>
    <row r="185815" s="12" customFormat="1" x14ac:dyDescent="0.25"/>
    <row r="185816" s="12" customFormat="1" x14ac:dyDescent="0.25"/>
    <row r="185817" s="12" customFormat="1" x14ac:dyDescent="0.25"/>
    <row r="185818" s="12" customFormat="1" x14ac:dyDescent="0.25"/>
    <row r="185819" s="12" customFormat="1" x14ac:dyDescent="0.25"/>
    <row r="185820" s="12" customFormat="1" x14ac:dyDescent="0.25"/>
    <row r="185821" s="12" customFormat="1" x14ac:dyDescent="0.25"/>
    <row r="185822" s="12" customFormat="1" x14ac:dyDescent="0.25"/>
    <row r="185823" s="12" customFormat="1" x14ac:dyDescent="0.25"/>
    <row r="185824" s="12" customFormat="1" x14ac:dyDescent="0.25"/>
    <row r="185825" s="12" customFormat="1" x14ac:dyDescent="0.25"/>
    <row r="185826" s="12" customFormat="1" x14ac:dyDescent="0.25"/>
    <row r="185827" s="12" customFormat="1" x14ac:dyDescent="0.25"/>
    <row r="185828" s="12" customFormat="1" x14ac:dyDescent="0.25"/>
    <row r="185829" s="12" customFormat="1" x14ac:dyDescent="0.25"/>
    <row r="185830" s="12" customFormat="1" x14ac:dyDescent="0.25"/>
    <row r="185831" s="12" customFormat="1" x14ac:dyDescent="0.25"/>
    <row r="185832" s="12" customFormat="1" x14ac:dyDescent="0.25"/>
    <row r="185833" s="12" customFormat="1" x14ac:dyDescent="0.25"/>
    <row r="185834" s="12" customFormat="1" x14ac:dyDescent="0.25"/>
    <row r="185835" s="12" customFormat="1" x14ac:dyDescent="0.25"/>
    <row r="185836" s="12" customFormat="1" x14ac:dyDescent="0.25"/>
    <row r="185837" s="12" customFormat="1" x14ac:dyDescent="0.25"/>
    <row r="185838" s="12" customFormat="1" x14ac:dyDescent="0.25"/>
    <row r="185839" s="12" customFormat="1" x14ac:dyDescent="0.25"/>
    <row r="185840" s="12" customFormat="1" x14ac:dyDescent="0.25"/>
    <row r="185841" s="12" customFormat="1" x14ac:dyDescent="0.25"/>
    <row r="185842" s="12" customFormat="1" x14ac:dyDescent="0.25"/>
    <row r="185843" s="12" customFormat="1" x14ac:dyDescent="0.25"/>
    <row r="185844" s="12" customFormat="1" x14ac:dyDescent="0.25"/>
    <row r="185845" s="12" customFormat="1" x14ac:dyDescent="0.25"/>
    <row r="185846" s="12" customFormat="1" x14ac:dyDescent="0.25"/>
    <row r="185847" s="12" customFormat="1" x14ac:dyDescent="0.25"/>
    <row r="185848" s="12" customFormat="1" x14ac:dyDescent="0.25"/>
    <row r="185849" s="12" customFormat="1" x14ac:dyDescent="0.25"/>
    <row r="185850" s="12" customFormat="1" x14ac:dyDescent="0.25"/>
    <row r="185851" s="12" customFormat="1" x14ac:dyDescent="0.25"/>
    <row r="185852" s="12" customFormat="1" x14ac:dyDescent="0.25"/>
    <row r="185853" s="12" customFormat="1" x14ac:dyDescent="0.25"/>
    <row r="185854" s="12" customFormat="1" x14ac:dyDescent="0.25"/>
    <row r="185855" s="12" customFormat="1" x14ac:dyDescent="0.25"/>
    <row r="185856" s="12" customFormat="1" x14ac:dyDescent="0.25"/>
    <row r="185857" s="12" customFormat="1" x14ac:dyDescent="0.25"/>
    <row r="185858" s="12" customFormat="1" x14ac:dyDescent="0.25"/>
    <row r="185859" s="12" customFormat="1" x14ac:dyDescent="0.25"/>
    <row r="185860" s="12" customFormat="1" x14ac:dyDescent="0.25"/>
    <row r="185861" s="12" customFormat="1" x14ac:dyDescent="0.25"/>
    <row r="185862" s="12" customFormat="1" x14ac:dyDescent="0.25"/>
    <row r="185863" s="12" customFormat="1" x14ac:dyDescent="0.25"/>
    <row r="185864" s="12" customFormat="1" x14ac:dyDescent="0.25"/>
    <row r="185865" s="12" customFormat="1" x14ac:dyDescent="0.25"/>
    <row r="185866" s="12" customFormat="1" x14ac:dyDescent="0.25"/>
    <row r="185867" s="12" customFormat="1" x14ac:dyDescent="0.25"/>
    <row r="185868" s="12" customFormat="1" x14ac:dyDescent="0.25"/>
    <row r="185869" s="12" customFormat="1" x14ac:dyDescent="0.25"/>
    <row r="185870" s="12" customFormat="1" x14ac:dyDescent="0.25"/>
    <row r="185871" s="12" customFormat="1" x14ac:dyDescent="0.25"/>
    <row r="185872" s="12" customFormat="1" x14ac:dyDescent="0.25"/>
    <row r="185873" s="12" customFormat="1" x14ac:dyDescent="0.25"/>
    <row r="185874" s="12" customFormat="1" x14ac:dyDescent="0.25"/>
    <row r="185875" s="12" customFormat="1" x14ac:dyDescent="0.25"/>
    <row r="185876" s="12" customFormat="1" x14ac:dyDescent="0.25"/>
    <row r="185877" s="12" customFormat="1" x14ac:dyDescent="0.25"/>
    <row r="185878" s="12" customFormat="1" x14ac:dyDescent="0.25"/>
    <row r="185879" s="12" customFormat="1" x14ac:dyDescent="0.25"/>
    <row r="185880" s="12" customFormat="1" x14ac:dyDescent="0.25"/>
    <row r="185881" s="12" customFormat="1" x14ac:dyDescent="0.25"/>
    <row r="185882" s="12" customFormat="1" x14ac:dyDescent="0.25"/>
    <row r="185883" s="12" customFormat="1" x14ac:dyDescent="0.25"/>
    <row r="185884" s="12" customFormat="1" x14ac:dyDescent="0.25"/>
    <row r="185885" s="12" customFormat="1" x14ac:dyDescent="0.25"/>
    <row r="185886" s="12" customFormat="1" x14ac:dyDescent="0.25"/>
    <row r="185887" s="12" customFormat="1" x14ac:dyDescent="0.25"/>
    <row r="185888" s="12" customFormat="1" x14ac:dyDescent="0.25"/>
    <row r="185889" s="12" customFormat="1" x14ac:dyDescent="0.25"/>
    <row r="185890" s="12" customFormat="1" x14ac:dyDescent="0.25"/>
    <row r="185891" s="12" customFormat="1" x14ac:dyDescent="0.25"/>
    <row r="185892" s="12" customFormat="1" x14ac:dyDescent="0.25"/>
    <row r="185893" s="12" customFormat="1" x14ac:dyDescent="0.25"/>
    <row r="185894" s="12" customFormat="1" x14ac:dyDescent="0.25"/>
    <row r="185895" s="12" customFormat="1" x14ac:dyDescent="0.25"/>
    <row r="185896" s="12" customFormat="1" x14ac:dyDescent="0.25"/>
    <row r="185897" s="12" customFormat="1" x14ac:dyDescent="0.25"/>
    <row r="185898" s="12" customFormat="1" x14ac:dyDescent="0.25"/>
    <row r="185899" s="12" customFormat="1" x14ac:dyDescent="0.25"/>
    <row r="185900" s="12" customFormat="1" x14ac:dyDescent="0.25"/>
    <row r="185901" s="12" customFormat="1" x14ac:dyDescent="0.25"/>
    <row r="185902" s="12" customFormat="1" x14ac:dyDescent="0.25"/>
    <row r="185903" s="12" customFormat="1" x14ac:dyDescent="0.25"/>
    <row r="185904" s="12" customFormat="1" x14ac:dyDescent="0.25"/>
    <row r="185905" s="12" customFormat="1" x14ac:dyDescent="0.25"/>
    <row r="185906" s="12" customFormat="1" x14ac:dyDescent="0.25"/>
    <row r="185907" s="12" customFormat="1" x14ac:dyDescent="0.25"/>
    <row r="185908" s="12" customFormat="1" x14ac:dyDescent="0.25"/>
    <row r="185909" s="12" customFormat="1" x14ac:dyDescent="0.25"/>
    <row r="185910" s="12" customFormat="1" x14ac:dyDescent="0.25"/>
    <row r="185911" s="12" customFormat="1" x14ac:dyDescent="0.25"/>
    <row r="185912" s="12" customFormat="1" x14ac:dyDescent="0.25"/>
    <row r="185913" s="12" customFormat="1" x14ac:dyDescent="0.25"/>
    <row r="185914" s="12" customFormat="1" x14ac:dyDescent="0.25"/>
    <row r="185915" s="12" customFormat="1" x14ac:dyDescent="0.25"/>
    <row r="185916" s="12" customFormat="1" x14ac:dyDescent="0.25"/>
    <row r="185917" s="12" customFormat="1" x14ac:dyDescent="0.25"/>
    <row r="185918" s="12" customFormat="1" x14ac:dyDescent="0.25"/>
    <row r="185919" s="12" customFormat="1" x14ac:dyDescent="0.25"/>
    <row r="185920" s="12" customFormat="1" x14ac:dyDescent="0.25"/>
    <row r="185921" s="12" customFormat="1" x14ac:dyDescent="0.25"/>
    <row r="185922" s="12" customFormat="1" x14ac:dyDescent="0.25"/>
    <row r="185923" s="12" customFormat="1" x14ac:dyDescent="0.25"/>
    <row r="185924" s="12" customFormat="1" x14ac:dyDescent="0.25"/>
    <row r="185925" s="12" customFormat="1" x14ac:dyDescent="0.25"/>
    <row r="185926" s="12" customFormat="1" x14ac:dyDescent="0.25"/>
    <row r="185927" s="12" customFormat="1" x14ac:dyDescent="0.25"/>
    <row r="185928" s="12" customFormat="1" x14ac:dyDescent="0.25"/>
    <row r="185929" s="12" customFormat="1" x14ac:dyDescent="0.25"/>
    <row r="185930" s="12" customFormat="1" x14ac:dyDescent="0.25"/>
    <row r="185931" s="12" customFormat="1" x14ac:dyDescent="0.25"/>
    <row r="185932" s="12" customFormat="1" x14ac:dyDescent="0.25"/>
    <row r="185933" s="12" customFormat="1" x14ac:dyDescent="0.25"/>
    <row r="185934" s="12" customFormat="1" x14ac:dyDescent="0.25"/>
    <row r="185935" s="12" customFormat="1" x14ac:dyDescent="0.25"/>
    <row r="185936" s="12" customFormat="1" x14ac:dyDescent="0.25"/>
    <row r="185937" s="12" customFormat="1" x14ac:dyDescent="0.25"/>
    <row r="185938" s="12" customFormat="1" x14ac:dyDescent="0.25"/>
    <row r="185939" s="12" customFormat="1" x14ac:dyDescent="0.25"/>
    <row r="185940" s="12" customFormat="1" x14ac:dyDescent="0.25"/>
    <row r="185941" s="12" customFormat="1" x14ac:dyDescent="0.25"/>
    <row r="185942" s="12" customFormat="1" x14ac:dyDescent="0.25"/>
    <row r="185943" s="12" customFormat="1" x14ac:dyDescent="0.25"/>
    <row r="185944" s="12" customFormat="1" x14ac:dyDescent="0.25"/>
    <row r="185945" s="12" customFormat="1" x14ac:dyDescent="0.25"/>
    <row r="185946" s="12" customFormat="1" x14ac:dyDescent="0.25"/>
    <row r="185947" s="12" customFormat="1" x14ac:dyDescent="0.25"/>
    <row r="185948" s="12" customFormat="1" x14ac:dyDescent="0.25"/>
    <row r="185949" s="12" customFormat="1" x14ac:dyDescent="0.25"/>
    <row r="185950" s="12" customFormat="1" x14ac:dyDescent="0.25"/>
    <row r="185951" s="12" customFormat="1" x14ac:dyDescent="0.25"/>
    <row r="185952" s="12" customFormat="1" x14ac:dyDescent="0.25"/>
    <row r="185953" s="12" customFormat="1" x14ac:dyDescent="0.25"/>
    <row r="185954" s="12" customFormat="1" x14ac:dyDescent="0.25"/>
    <row r="185955" s="12" customFormat="1" x14ac:dyDescent="0.25"/>
    <row r="185956" s="12" customFormat="1" x14ac:dyDescent="0.25"/>
    <row r="185957" s="12" customFormat="1" x14ac:dyDescent="0.25"/>
    <row r="185958" s="12" customFormat="1" x14ac:dyDescent="0.25"/>
    <row r="185959" s="12" customFormat="1" x14ac:dyDescent="0.25"/>
    <row r="185960" s="12" customFormat="1" x14ac:dyDescent="0.25"/>
    <row r="185961" s="12" customFormat="1" x14ac:dyDescent="0.25"/>
    <row r="185962" s="12" customFormat="1" x14ac:dyDescent="0.25"/>
    <row r="185963" s="12" customFormat="1" x14ac:dyDescent="0.25"/>
    <row r="185964" s="12" customFormat="1" x14ac:dyDescent="0.25"/>
    <row r="185965" s="12" customFormat="1" x14ac:dyDescent="0.25"/>
    <row r="185966" s="12" customFormat="1" x14ac:dyDescent="0.25"/>
    <row r="185967" s="12" customFormat="1" x14ac:dyDescent="0.25"/>
    <row r="185968" s="12" customFormat="1" x14ac:dyDescent="0.25"/>
    <row r="185969" s="12" customFormat="1" x14ac:dyDescent="0.25"/>
    <row r="185970" s="12" customFormat="1" x14ac:dyDescent="0.25"/>
    <row r="185971" s="12" customFormat="1" x14ac:dyDescent="0.25"/>
    <row r="185972" s="12" customFormat="1" x14ac:dyDescent="0.25"/>
    <row r="185973" s="12" customFormat="1" x14ac:dyDescent="0.25"/>
    <row r="185974" s="12" customFormat="1" x14ac:dyDescent="0.25"/>
    <row r="185975" s="12" customFormat="1" x14ac:dyDescent="0.25"/>
    <row r="185976" s="12" customFormat="1" x14ac:dyDescent="0.25"/>
    <row r="185977" s="12" customFormat="1" x14ac:dyDescent="0.25"/>
    <row r="185978" s="12" customFormat="1" x14ac:dyDescent="0.25"/>
    <row r="185979" s="12" customFormat="1" x14ac:dyDescent="0.25"/>
    <row r="185980" s="12" customFormat="1" x14ac:dyDescent="0.25"/>
    <row r="185981" s="12" customFormat="1" x14ac:dyDescent="0.25"/>
    <row r="185982" s="12" customFormat="1" x14ac:dyDescent="0.25"/>
    <row r="185983" s="12" customFormat="1" x14ac:dyDescent="0.25"/>
    <row r="185984" s="12" customFormat="1" x14ac:dyDescent="0.25"/>
    <row r="185985" s="12" customFormat="1" x14ac:dyDescent="0.25"/>
    <row r="185986" s="12" customFormat="1" x14ac:dyDescent="0.25"/>
    <row r="185987" s="12" customFormat="1" x14ac:dyDescent="0.25"/>
    <row r="185988" s="12" customFormat="1" x14ac:dyDescent="0.25"/>
    <row r="185989" s="12" customFormat="1" x14ac:dyDescent="0.25"/>
    <row r="185990" s="12" customFormat="1" x14ac:dyDescent="0.25"/>
    <row r="185991" s="12" customFormat="1" x14ac:dyDescent="0.25"/>
    <row r="185992" s="12" customFormat="1" x14ac:dyDescent="0.25"/>
    <row r="185993" s="12" customFormat="1" x14ac:dyDescent="0.25"/>
    <row r="185994" s="12" customFormat="1" x14ac:dyDescent="0.25"/>
    <row r="185995" s="12" customFormat="1" x14ac:dyDescent="0.25"/>
    <row r="185996" s="12" customFormat="1" x14ac:dyDescent="0.25"/>
    <row r="185997" s="12" customFormat="1" x14ac:dyDescent="0.25"/>
    <row r="185998" s="12" customFormat="1" x14ac:dyDescent="0.25"/>
    <row r="185999" s="12" customFormat="1" x14ac:dyDescent="0.25"/>
    <row r="186000" s="12" customFormat="1" x14ac:dyDescent="0.25"/>
    <row r="186001" s="12" customFormat="1" x14ac:dyDescent="0.25"/>
    <row r="186002" s="12" customFormat="1" x14ac:dyDescent="0.25"/>
    <row r="186003" s="12" customFormat="1" x14ac:dyDescent="0.25"/>
    <row r="186004" s="12" customFormat="1" x14ac:dyDescent="0.25"/>
    <row r="186005" s="12" customFormat="1" x14ac:dyDescent="0.25"/>
    <row r="186006" s="12" customFormat="1" x14ac:dyDescent="0.25"/>
    <row r="186007" s="12" customFormat="1" x14ac:dyDescent="0.25"/>
    <row r="186008" s="12" customFormat="1" x14ac:dyDescent="0.25"/>
    <row r="186009" s="12" customFormat="1" x14ac:dyDescent="0.25"/>
    <row r="186010" s="12" customFormat="1" x14ac:dyDescent="0.25"/>
    <row r="186011" s="12" customFormat="1" x14ac:dyDescent="0.25"/>
    <row r="186012" s="12" customFormat="1" x14ac:dyDescent="0.25"/>
    <row r="186013" s="12" customFormat="1" x14ac:dyDescent="0.25"/>
    <row r="186014" s="12" customFormat="1" x14ac:dyDescent="0.25"/>
    <row r="186015" s="12" customFormat="1" x14ac:dyDescent="0.25"/>
    <row r="186016" s="12" customFormat="1" x14ac:dyDescent="0.25"/>
    <row r="186017" s="12" customFormat="1" x14ac:dyDescent="0.25"/>
    <row r="186018" s="12" customFormat="1" x14ac:dyDescent="0.25"/>
    <row r="186019" s="12" customFormat="1" x14ac:dyDescent="0.25"/>
    <row r="186020" s="12" customFormat="1" x14ac:dyDescent="0.25"/>
    <row r="186021" s="12" customFormat="1" x14ac:dyDescent="0.25"/>
    <row r="186022" s="12" customFormat="1" x14ac:dyDescent="0.25"/>
    <row r="186023" s="12" customFormat="1" x14ac:dyDescent="0.25"/>
    <row r="186024" s="12" customFormat="1" x14ac:dyDescent="0.25"/>
    <row r="186025" s="12" customFormat="1" x14ac:dyDescent="0.25"/>
    <row r="186026" s="12" customFormat="1" x14ac:dyDescent="0.25"/>
    <row r="186027" s="12" customFormat="1" x14ac:dyDescent="0.25"/>
    <row r="186028" s="12" customFormat="1" x14ac:dyDescent="0.25"/>
    <row r="186029" s="12" customFormat="1" x14ac:dyDescent="0.25"/>
    <row r="186030" s="12" customFormat="1" x14ac:dyDescent="0.25"/>
    <row r="186031" s="12" customFormat="1" x14ac:dyDescent="0.25"/>
    <row r="186032" s="12" customFormat="1" x14ac:dyDescent="0.25"/>
    <row r="186033" s="12" customFormat="1" x14ac:dyDescent="0.25"/>
    <row r="186034" s="12" customFormat="1" x14ac:dyDescent="0.25"/>
    <row r="186035" s="12" customFormat="1" x14ac:dyDescent="0.25"/>
    <row r="186036" s="12" customFormat="1" x14ac:dyDescent="0.25"/>
    <row r="186037" s="12" customFormat="1" x14ac:dyDescent="0.25"/>
    <row r="186038" s="12" customFormat="1" x14ac:dyDescent="0.25"/>
    <row r="186039" s="12" customFormat="1" x14ac:dyDescent="0.25"/>
    <row r="186040" s="12" customFormat="1" x14ac:dyDescent="0.25"/>
    <row r="186041" s="12" customFormat="1" x14ac:dyDescent="0.25"/>
    <row r="186042" s="12" customFormat="1" x14ac:dyDescent="0.25"/>
    <row r="186043" s="12" customFormat="1" x14ac:dyDescent="0.25"/>
    <row r="186044" s="12" customFormat="1" x14ac:dyDescent="0.25"/>
    <row r="186045" s="12" customFormat="1" x14ac:dyDescent="0.25"/>
    <row r="186046" s="12" customFormat="1" x14ac:dyDescent="0.25"/>
    <row r="186047" s="12" customFormat="1" x14ac:dyDescent="0.25"/>
    <row r="186048" s="12" customFormat="1" x14ac:dyDescent="0.25"/>
    <row r="186049" s="12" customFormat="1" x14ac:dyDescent="0.25"/>
    <row r="186050" s="12" customFormat="1" x14ac:dyDescent="0.25"/>
    <row r="186051" s="12" customFormat="1" x14ac:dyDescent="0.25"/>
    <row r="186052" s="12" customFormat="1" x14ac:dyDescent="0.25"/>
    <row r="186053" s="12" customFormat="1" x14ac:dyDescent="0.25"/>
    <row r="186054" s="12" customFormat="1" x14ac:dyDescent="0.25"/>
    <row r="186055" s="12" customFormat="1" x14ac:dyDescent="0.25"/>
    <row r="186056" s="12" customFormat="1" x14ac:dyDescent="0.25"/>
    <row r="186057" s="12" customFormat="1" x14ac:dyDescent="0.25"/>
    <row r="186058" s="12" customFormat="1" x14ac:dyDescent="0.25"/>
    <row r="186059" s="12" customFormat="1" x14ac:dyDescent="0.25"/>
    <row r="186060" s="12" customFormat="1" x14ac:dyDescent="0.25"/>
    <row r="186061" s="12" customFormat="1" x14ac:dyDescent="0.25"/>
    <row r="186062" s="12" customFormat="1" x14ac:dyDescent="0.25"/>
    <row r="186063" s="12" customFormat="1" x14ac:dyDescent="0.25"/>
    <row r="186064" s="12" customFormat="1" x14ac:dyDescent="0.25"/>
    <row r="186065" s="12" customFormat="1" x14ac:dyDescent="0.25"/>
    <row r="186066" s="12" customFormat="1" x14ac:dyDescent="0.25"/>
    <row r="186067" s="12" customFormat="1" x14ac:dyDescent="0.25"/>
    <row r="186068" s="12" customFormat="1" x14ac:dyDescent="0.25"/>
    <row r="186069" s="12" customFormat="1" x14ac:dyDescent="0.25"/>
    <row r="186070" s="12" customFormat="1" x14ac:dyDescent="0.25"/>
    <row r="186071" s="12" customFormat="1" x14ac:dyDescent="0.25"/>
    <row r="186072" s="12" customFormat="1" x14ac:dyDescent="0.25"/>
    <row r="186073" s="12" customFormat="1" x14ac:dyDescent="0.25"/>
    <row r="186074" s="12" customFormat="1" x14ac:dyDescent="0.25"/>
    <row r="186075" s="12" customFormat="1" x14ac:dyDescent="0.25"/>
    <row r="186076" s="12" customFormat="1" x14ac:dyDescent="0.25"/>
    <row r="186077" s="12" customFormat="1" x14ac:dyDescent="0.25"/>
    <row r="186078" s="12" customFormat="1" x14ac:dyDescent="0.25"/>
    <row r="186079" s="12" customFormat="1" x14ac:dyDescent="0.25"/>
    <row r="186080" s="12" customFormat="1" x14ac:dyDescent="0.25"/>
    <row r="186081" s="12" customFormat="1" x14ac:dyDescent="0.25"/>
    <row r="186082" s="12" customFormat="1" x14ac:dyDescent="0.25"/>
    <row r="186083" s="12" customFormat="1" x14ac:dyDescent="0.25"/>
    <row r="186084" s="12" customFormat="1" x14ac:dyDescent="0.25"/>
    <row r="186085" s="12" customFormat="1" x14ac:dyDescent="0.25"/>
    <row r="186086" s="12" customFormat="1" x14ac:dyDescent="0.25"/>
    <row r="186087" s="12" customFormat="1" x14ac:dyDescent="0.25"/>
    <row r="186088" s="12" customFormat="1" x14ac:dyDescent="0.25"/>
    <row r="186089" s="12" customFormat="1" x14ac:dyDescent="0.25"/>
    <row r="186090" s="12" customFormat="1" x14ac:dyDescent="0.25"/>
    <row r="186091" s="12" customFormat="1" x14ac:dyDescent="0.25"/>
    <row r="186092" s="12" customFormat="1" x14ac:dyDescent="0.25"/>
    <row r="186093" s="12" customFormat="1" x14ac:dyDescent="0.25"/>
    <row r="186094" s="12" customFormat="1" x14ac:dyDescent="0.25"/>
    <row r="186095" s="12" customFormat="1" x14ac:dyDescent="0.25"/>
    <row r="186096" s="12" customFormat="1" x14ac:dyDescent="0.25"/>
    <row r="186097" s="12" customFormat="1" x14ac:dyDescent="0.25"/>
    <row r="186098" s="12" customFormat="1" x14ac:dyDescent="0.25"/>
    <row r="186099" s="12" customFormat="1" x14ac:dyDescent="0.25"/>
    <row r="186100" s="12" customFormat="1" x14ac:dyDescent="0.25"/>
    <row r="186101" s="12" customFormat="1" x14ac:dyDescent="0.25"/>
    <row r="186102" s="12" customFormat="1" x14ac:dyDescent="0.25"/>
    <row r="186103" s="12" customFormat="1" x14ac:dyDescent="0.25"/>
    <row r="186104" s="12" customFormat="1" x14ac:dyDescent="0.25"/>
    <row r="186105" s="12" customFormat="1" x14ac:dyDescent="0.25"/>
    <row r="186106" s="12" customFormat="1" x14ac:dyDescent="0.25"/>
    <row r="186107" s="12" customFormat="1" x14ac:dyDescent="0.25"/>
    <row r="186108" s="12" customFormat="1" x14ac:dyDescent="0.25"/>
    <row r="186109" s="12" customFormat="1" x14ac:dyDescent="0.25"/>
    <row r="186110" s="12" customFormat="1" x14ac:dyDescent="0.25"/>
    <row r="186111" s="12" customFormat="1" x14ac:dyDescent="0.25"/>
    <row r="186112" s="12" customFormat="1" x14ac:dyDescent="0.25"/>
    <row r="186113" s="12" customFormat="1" x14ac:dyDescent="0.25"/>
    <row r="186114" s="12" customFormat="1" x14ac:dyDescent="0.25"/>
    <row r="186115" s="12" customFormat="1" x14ac:dyDescent="0.25"/>
    <row r="186116" s="12" customFormat="1" x14ac:dyDescent="0.25"/>
    <row r="186117" s="12" customFormat="1" x14ac:dyDescent="0.25"/>
    <row r="186118" s="12" customFormat="1" x14ac:dyDescent="0.25"/>
    <row r="186119" s="12" customFormat="1" x14ac:dyDescent="0.25"/>
    <row r="186120" s="12" customFormat="1" x14ac:dyDescent="0.25"/>
    <row r="186121" s="12" customFormat="1" x14ac:dyDescent="0.25"/>
    <row r="186122" s="12" customFormat="1" x14ac:dyDescent="0.25"/>
    <row r="186123" s="12" customFormat="1" x14ac:dyDescent="0.25"/>
    <row r="186124" s="12" customFormat="1" x14ac:dyDescent="0.25"/>
    <row r="186125" s="12" customFormat="1" x14ac:dyDescent="0.25"/>
    <row r="186126" s="12" customFormat="1" x14ac:dyDescent="0.25"/>
    <row r="186127" s="12" customFormat="1" x14ac:dyDescent="0.25"/>
    <row r="186128" s="12" customFormat="1" x14ac:dyDescent="0.25"/>
    <row r="186129" s="12" customFormat="1" x14ac:dyDescent="0.25"/>
    <row r="186130" s="12" customFormat="1" x14ac:dyDescent="0.25"/>
    <row r="186131" s="12" customFormat="1" x14ac:dyDescent="0.25"/>
    <row r="186132" s="12" customFormat="1" x14ac:dyDescent="0.25"/>
    <row r="186133" s="12" customFormat="1" x14ac:dyDescent="0.25"/>
    <row r="186134" s="12" customFormat="1" x14ac:dyDescent="0.25"/>
    <row r="186135" s="12" customFormat="1" x14ac:dyDescent="0.25"/>
    <row r="186136" s="12" customFormat="1" x14ac:dyDescent="0.25"/>
    <row r="186137" s="12" customFormat="1" x14ac:dyDescent="0.25"/>
    <row r="186138" s="12" customFormat="1" x14ac:dyDescent="0.25"/>
    <row r="186139" s="12" customFormat="1" x14ac:dyDescent="0.25"/>
    <row r="186140" s="12" customFormat="1" x14ac:dyDescent="0.25"/>
    <row r="186141" s="12" customFormat="1" x14ac:dyDescent="0.25"/>
    <row r="186142" s="12" customFormat="1" x14ac:dyDescent="0.25"/>
    <row r="186143" s="12" customFormat="1" x14ac:dyDescent="0.25"/>
    <row r="186144" s="12" customFormat="1" x14ac:dyDescent="0.25"/>
    <row r="186145" s="12" customFormat="1" x14ac:dyDescent="0.25"/>
    <row r="186146" s="12" customFormat="1" x14ac:dyDescent="0.25"/>
    <row r="186147" s="12" customFormat="1" x14ac:dyDescent="0.25"/>
    <row r="186148" s="12" customFormat="1" x14ac:dyDescent="0.25"/>
    <row r="186149" s="12" customFormat="1" x14ac:dyDescent="0.25"/>
    <row r="186150" s="12" customFormat="1" x14ac:dyDescent="0.25"/>
    <row r="186151" s="12" customFormat="1" x14ac:dyDescent="0.25"/>
    <row r="186152" s="12" customFormat="1" x14ac:dyDescent="0.25"/>
    <row r="186153" s="12" customFormat="1" x14ac:dyDescent="0.25"/>
    <row r="186154" s="12" customFormat="1" x14ac:dyDescent="0.25"/>
    <row r="186155" s="12" customFormat="1" x14ac:dyDescent="0.25"/>
    <row r="186156" s="12" customFormat="1" x14ac:dyDescent="0.25"/>
    <row r="186157" s="12" customFormat="1" x14ac:dyDescent="0.25"/>
    <row r="186158" s="12" customFormat="1" x14ac:dyDescent="0.25"/>
    <row r="186159" s="12" customFormat="1" x14ac:dyDescent="0.25"/>
    <row r="186160" s="12" customFormat="1" x14ac:dyDescent="0.25"/>
    <row r="186161" s="12" customFormat="1" x14ac:dyDescent="0.25"/>
    <row r="186162" s="12" customFormat="1" x14ac:dyDescent="0.25"/>
    <row r="186163" s="12" customFormat="1" x14ac:dyDescent="0.25"/>
    <row r="186164" s="12" customFormat="1" x14ac:dyDescent="0.25"/>
    <row r="186165" s="12" customFormat="1" x14ac:dyDescent="0.25"/>
    <row r="186166" s="12" customFormat="1" x14ac:dyDescent="0.25"/>
    <row r="186167" s="12" customFormat="1" x14ac:dyDescent="0.25"/>
    <row r="186168" s="12" customFormat="1" x14ac:dyDescent="0.25"/>
    <row r="186169" s="12" customFormat="1" x14ac:dyDescent="0.25"/>
    <row r="186170" s="12" customFormat="1" x14ac:dyDescent="0.25"/>
    <row r="186171" s="12" customFormat="1" x14ac:dyDescent="0.25"/>
    <row r="186172" s="12" customFormat="1" x14ac:dyDescent="0.25"/>
    <row r="186173" s="12" customFormat="1" x14ac:dyDescent="0.25"/>
    <row r="186174" s="12" customFormat="1" x14ac:dyDescent="0.25"/>
    <row r="186175" s="12" customFormat="1" x14ac:dyDescent="0.25"/>
    <row r="186176" s="12" customFormat="1" x14ac:dyDescent="0.25"/>
    <row r="186177" s="12" customFormat="1" x14ac:dyDescent="0.25"/>
    <row r="186178" s="12" customFormat="1" x14ac:dyDescent="0.25"/>
    <row r="186179" s="12" customFormat="1" x14ac:dyDescent="0.25"/>
    <row r="186180" s="12" customFormat="1" x14ac:dyDescent="0.25"/>
    <row r="186181" s="12" customFormat="1" x14ac:dyDescent="0.25"/>
    <row r="186182" s="12" customFormat="1" x14ac:dyDescent="0.25"/>
    <row r="186183" s="12" customFormat="1" x14ac:dyDescent="0.25"/>
    <row r="186184" s="12" customFormat="1" x14ac:dyDescent="0.25"/>
    <row r="186185" s="12" customFormat="1" x14ac:dyDescent="0.25"/>
    <row r="186186" s="12" customFormat="1" x14ac:dyDescent="0.25"/>
    <row r="186187" s="12" customFormat="1" x14ac:dyDescent="0.25"/>
    <row r="186188" s="12" customFormat="1" x14ac:dyDescent="0.25"/>
    <row r="186189" s="12" customFormat="1" x14ac:dyDescent="0.25"/>
    <row r="186190" s="12" customFormat="1" x14ac:dyDescent="0.25"/>
    <row r="186191" s="12" customFormat="1" x14ac:dyDescent="0.25"/>
    <row r="186192" s="12" customFormat="1" x14ac:dyDescent="0.25"/>
    <row r="186193" s="12" customFormat="1" x14ac:dyDescent="0.25"/>
    <row r="186194" s="12" customFormat="1" x14ac:dyDescent="0.25"/>
    <row r="186195" s="12" customFormat="1" x14ac:dyDescent="0.25"/>
    <row r="186196" s="12" customFormat="1" x14ac:dyDescent="0.25"/>
    <row r="186197" s="12" customFormat="1" x14ac:dyDescent="0.25"/>
    <row r="186198" s="12" customFormat="1" x14ac:dyDescent="0.25"/>
    <row r="186199" s="12" customFormat="1" x14ac:dyDescent="0.25"/>
    <row r="186200" s="12" customFormat="1" x14ac:dyDescent="0.25"/>
    <row r="186201" s="12" customFormat="1" x14ac:dyDescent="0.25"/>
    <row r="186202" s="12" customFormat="1" x14ac:dyDescent="0.25"/>
    <row r="186203" s="12" customFormat="1" x14ac:dyDescent="0.25"/>
    <row r="186204" s="12" customFormat="1" x14ac:dyDescent="0.25"/>
    <row r="186205" s="12" customFormat="1" x14ac:dyDescent="0.25"/>
    <row r="186206" s="12" customFormat="1" x14ac:dyDescent="0.25"/>
    <row r="186207" s="12" customFormat="1" x14ac:dyDescent="0.25"/>
    <row r="186208" s="12" customFormat="1" x14ac:dyDescent="0.25"/>
    <row r="186209" s="12" customFormat="1" x14ac:dyDescent="0.25"/>
    <row r="186210" s="12" customFormat="1" x14ac:dyDescent="0.25"/>
    <row r="186211" s="12" customFormat="1" x14ac:dyDescent="0.25"/>
    <row r="186212" s="12" customFormat="1" x14ac:dyDescent="0.25"/>
    <row r="186213" s="12" customFormat="1" x14ac:dyDescent="0.25"/>
    <row r="186214" s="12" customFormat="1" x14ac:dyDescent="0.25"/>
    <row r="186215" s="12" customFormat="1" x14ac:dyDescent="0.25"/>
    <row r="186216" s="12" customFormat="1" x14ac:dyDescent="0.25"/>
    <row r="186217" s="12" customFormat="1" x14ac:dyDescent="0.25"/>
    <row r="186218" s="12" customFormat="1" x14ac:dyDescent="0.25"/>
    <row r="186219" s="12" customFormat="1" x14ac:dyDescent="0.25"/>
    <row r="186220" s="12" customFormat="1" x14ac:dyDescent="0.25"/>
    <row r="186221" s="12" customFormat="1" x14ac:dyDescent="0.25"/>
    <row r="186222" s="12" customFormat="1" x14ac:dyDescent="0.25"/>
    <row r="186223" s="12" customFormat="1" x14ac:dyDescent="0.25"/>
    <row r="186224" s="12" customFormat="1" x14ac:dyDescent="0.25"/>
    <row r="186225" s="12" customFormat="1" x14ac:dyDescent="0.25"/>
    <row r="186226" s="12" customFormat="1" x14ac:dyDescent="0.25"/>
    <row r="186227" s="12" customFormat="1" x14ac:dyDescent="0.25"/>
    <row r="186228" s="12" customFormat="1" x14ac:dyDescent="0.25"/>
    <row r="186229" s="12" customFormat="1" x14ac:dyDescent="0.25"/>
    <row r="186230" s="12" customFormat="1" x14ac:dyDescent="0.25"/>
    <row r="186231" s="12" customFormat="1" x14ac:dyDescent="0.25"/>
    <row r="186232" s="12" customFormat="1" x14ac:dyDescent="0.25"/>
    <row r="186233" s="12" customFormat="1" x14ac:dyDescent="0.25"/>
    <row r="186234" s="12" customFormat="1" x14ac:dyDescent="0.25"/>
    <row r="186235" s="12" customFormat="1" x14ac:dyDescent="0.25"/>
    <row r="186236" s="12" customFormat="1" x14ac:dyDescent="0.25"/>
    <row r="186237" s="12" customFormat="1" x14ac:dyDescent="0.25"/>
    <row r="186238" s="12" customFormat="1" x14ac:dyDescent="0.25"/>
    <row r="186239" s="12" customFormat="1" x14ac:dyDescent="0.25"/>
    <row r="186240" s="12" customFormat="1" x14ac:dyDescent="0.25"/>
    <row r="186241" s="12" customFormat="1" x14ac:dyDescent="0.25"/>
    <row r="186242" s="12" customFormat="1" x14ac:dyDescent="0.25"/>
    <row r="186243" s="12" customFormat="1" x14ac:dyDescent="0.25"/>
    <row r="186244" s="12" customFormat="1" x14ac:dyDescent="0.25"/>
    <row r="186245" s="12" customFormat="1" x14ac:dyDescent="0.25"/>
    <row r="186246" s="12" customFormat="1" x14ac:dyDescent="0.25"/>
    <row r="186247" s="12" customFormat="1" x14ac:dyDescent="0.25"/>
    <row r="186248" s="12" customFormat="1" x14ac:dyDescent="0.25"/>
    <row r="186249" s="12" customFormat="1" x14ac:dyDescent="0.25"/>
    <row r="186250" s="12" customFormat="1" x14ac:dyDescent="0.25"/>
    <row r="186251" s="12" customFormat="1" x14ac:dyDescent="0.25"/>
    <row r="186252" s="12" customFormat="1" x14ac:dyDescent="0.25"/>
    <row r="186253" s="12" customFormat="1" x14ac:dyDescent="0.25"/>
    <row r="186254" s="12" customFormat="1" x14ac:dyDescent="0.25"/>
    <row r="186255" s="12" customFormat="1" x14ac:dyDescent="0.25"/>
    <row r="186256" s="12" customFormat="1" x14ac:dyDescent="0.25"/>
    <row r="186257" s="12" customFormat="1" x14ac:dyDescent="0.25"/>
    <row r="186258" s="12" customFormat="1" x14ac:dyDescent="0.25"/>
    <row r="186259" s="12" customFormat="1" x14ac:dyDescent="0.25"/>
    <row r="186260" s="12" customFormat="1" x14ac:dyDescent="0.25"/>
    <row r="186261" s="12" customFormat="1" x14ac:dyDescent="0.25"/>
    <row r="186262" s="12" customFormat="1" x14ac:dyDescent="0.25"/>
    <row r="186263" s="12" customFormat="1" x14ac:dyDescent="0.25"/>
    <row r="186264" s="12" customFormat="1" x14ac:dyDescent="0.25"/>
    <row r="186265" s="12" customFormat="1" x14ac:dyDescent="0.25"/>
    <row r="186266" s="12" customFormat="1" x14ac:dyDescent="0.25"/>
    <row r="186267" s="12" customFormat="1" x14ac:dyDescent="0.25"/>
    <row r="186268" s="12" customFormat="1" x14ac:dyDescent="0.25"/>
    <row r="186269" s="12" customFormat="1" x14ac:dyDescent="0.25"/>
    <row r="186270" s="12" customFormat="1" x14ac:dyDescent="0.25"/>
    <row r="186271" s="12" customFormat="1" x14ac:dyDescent="0.25"/>
    <row r="186272" s="12" customFormat="1" x14ac:dyDescent="0.25"/>
    <row r="186273" s="12" customFormat="1" x14ac:dyDescent="0.25"/>
    <row r="186274" s="12" customFormat="1" x14ac:dyDescent="0.25"/>
    <row r="186275" s="12" customFormat="1" x14ac:dyDescent="0.25"/>
    <row r="186276" s="12" customFormat="1" x14ac:dyDescent="0.25"/>
    <row r="186277" s="12" customFormat="1" x14ac:dyDescent="0.25"/>
    <row r="186278" s="12" customFormat="1" x14ac:dyDescent="0.25"/>
    <row r="186279" s="12" customFormat="1" x14ac:dyDescent="0.25"/>
    <row r="186280" s="12" customFormat="1" x14ac:dyDescent="0.25"/>
    <row r="186281" s="12" customFormat="1" x14ac:dyDescent="0.25"/>
    <row r="186282" s="12" customFormat="1" x14ac:dyDescent="0.25"/>
    <row r="186283" s="12" customFormat="1" x14ac:dyDescent="0.25"/>
    <row r="186284" s="12" customFormat="1" x14ac:dyDescent="0.25"/>
    <row r="186285" s="12" customFormat="1" x14ac:dyDescent="0.25"/>
    <row r="186286" s="12" customFormat="1" x14ac:dyDescent="0.25"/>
    <row r="186287" s="12" customFormat="1" x14ac:dyDescent="0.25"/>
    <row r="186288" s="12" customFormat="1" x14ac:dyDescent="0.25"/>
    <row r="186289" s="12" customFormat="1" x14ac:dyDescent="0.25"/>
    <row r="186290" s="12" customFormat="1" x14ac:dyDescent="0.25"/>
    <row r="186291" s="12" customFormat="1" x14ac:dyDescent="0.25"/>
    <row r="186292" s="12" customFormat="1" x14ac:dyDescent="0.25"/>
    <row r="186293" s="12" customFormat="1" x14ac:dyDescent="0.25"/>
    <row r="186294" s="12" customFormat="1" x14ac:dyDescent="0.25"/>
    <row r="186295" s="12" customFormat="1" x14ac:dyDescent="0.25"/>
    <row r="186296" s="12" customFormat="1" x14ac:dyDescent="0.25"/>
    <row r="186297" s="12" customFormat="1" x14ac:dyDescent="0.25"/>
    <row r="186298" s="12" customFormat="1" x14ac:dyDescent="0.25"/>
    <row r="186299" s="12" customFormat="1" x14ac:dyDescent="0.25"/>
    <row r="186300" s="12" customFormat="1" x14ac:dyDescent="0.25"/>
    <row r="186301" s="12" customFormat="1" x14ac:dyDescent="0.25"/>
    <row r="186302" s="12" customFormat="1" x14ac:dyDescent="0.25"/>
    <row r="186303" s="12" customFormat="1" x14ac:dyDescent="0.25"/>
    <row r="186304" s="12" customFormat="1" x14ac:dyDescent="0.25"/>
    <row r="186305" s="12" customFormat="1" x14ac:dyDescent="0.25"/>
    <row r="186306" s="12" customFormat="1" x14ac:dyDescent="0.25"/>
    <row r="186307" s="12" customFormat="1" x14ac:dyDescent="0.25"/>
    <row r="186308" s="12" customFormat="1" x14ac:dyDescent="0.25"/>
    <row r="186309" s="12" customFormat="1" x14ac:dyDescent="0.25"/>
    <row r="186310" s="12" customFormat="1" x14ac:dyDescent="0.25"/>
    <row r="186311" s="12" customFormat="1" x14ac:dyDescent="0.25"/>
    <row r="186312" s="12" customFormat="1" x14ac:dyDescent="0.25"/>
    <row r="186313" s="12" customFormat="1" x14ac:dyDescent="0.25"/>
    <row r="186314" s="12" customFormat="1" x14ac:dyDescent="0.25"/>
    <row r="186315" s="12" customFormat="1" x14ac:dyDescent="0.25"/>
    <row r="186316" s="12" customFormat="1" x14ac:dyDescent="0.25"/>
    <row r="186317" s="12" customFormat="1" x14ac:dyDescent="0.25"/>
    <row r="186318" s="12" customFormat="1" x14ac:dyDescent="0.25"/>
    <row r="186319" s="12" customFormat="1" x14ac:dyDescent="0.25"/>
    <row r="186320" s="12" customFormat="1" x14ac:dyDescent="0.25"/>
    <row r="186321" s="12" customFormat="1" x14ac:dyDescent="0.25"/>
    <row r="186322" s="12" customFormat="1" x14ac:dyDescent="0.25"/>
    <row r="186323" s="12" customFormat="1" x14ac:dyDescent="0.25"/>
    <row r="186324" s="12" customFormat="1" x14ac:dyDescent="0.25"/>
    <row r="186325" s="12" customFormat="1" x14ac:dyDescent="0.25"/>
    <row r="186326" s="12" customFormat="1" x14ac:dyDescent="0.25"/>
    <row r="186327" s="12" customFormat="1" x14ac:dyDescent="0.25"/>
    <row r="186328" s="12" customFormat="1" x14ac:dyDescent="0.25"/>
    <row r="186329" s="12" customFormat="1" x14ac:dyDescent="0.25"/>
    <row r="186330" s="12" customFormat="1" x14ac:dyDescent="0.25"/>
    <row r="186331" s="12" customFormat="1" x14ac:dyDescent="0.25"/>
    <row r="186332" s="12" customFormat="1" x14ac:dyDescent="0.25"/>
    <row r="186333" s="12" customFormat="1" x14ac:dyDescent="0.25"/>
    <row r="186334" s="12" customFormat="1" x14ac:dyDescent="0.25"/>
    <row r="186335" s="12" customFormat="1" x14ac:dyDescent="0.25"/>
    <row r="186336" s="12" customFormat="1" x14ac:dyDescent="0.25"/>
    <row r="186337" s="12" customFormat="1" x14ac:dyDescent="0.25"/>
    <row r="186338" s="12" customFormat="1" x14ac:dyDescent="0.25"/>
    <row r="186339" s="12" customFormat="1" x14ac:dyDescent="0.25"/>
    <row r="186340" s="12" customFormat="1" x14ac:dyDescent="0.25"/>
    <row r="186341" s="12" customFormat="1" x14ac:dyDescent="0.25"/>
    <row r="186342" s="12" customFormat="1" x14ac:dyDescent="0.25"/>
    <row r="186343" s="12" customFormat="1" x14ac:dyDescent="0.25"/>
    <row r="186344" s="12" customFormat="1" x14ac:dyDescent="0.25"/>
    <row r="186345" s="12" customFormat="1" x14ac:dyDescent="0.25"/>
    <row r="186346" s="12" customFormat="1" x14ac:dyDescent="0.25"/>
    <row r="186347" s="12" customFormat="1" x14ac:dyDescent="0.25"/>
    <row r="186348" s="12" customFormat="1" x14ac:dyDescent="0.25"/>
    <row r="186349" s="12" customFormat="1" x14ac:dyDescent="0.25"/>
    <row r="186350" s="12" customFormat="1" x14ac:dyDescent="0.25"/>
    <row r="186351" s="12" customFormat="1" x14ac:dyDescent="0.25"/>
    <row r="186352" s="12" customFormat="1" x14ac:dyDescent="0.25"/>
    <row r="186353" s="12" customFormat="1" x14ac:dyDescent="0.25"/>
    <row r="186354" s="12" customFormat="1" x14ac:dyDescent="0.25"/>
    <row r="186355" s="12" customFormat="1" x14ac:dyDescent="0.25"/>
    <row r="186356" s="12" customFormat="1" x14ac:dyDescent="0.25"/>
    <row r="186357" s="12" customFormat="1" x14ac:dyDescent="0.25"/>
    <row r="186358" s="12" customFormat="1" x14ac:dyDescent="0.25"/>
    <row r="186359" s="12" customFormat="1" x14ac:dyDescent="0.25"/>
    <row r="186360" s="12" customFormat="1" x14ac:dyDescent="0.25"/>
    <row r="186361" s="12" customFormat="1" x14ac:dyDescent="0.25"/>
    <row r="186362" s="12" customFormat="1" x14ac:dyDescent="0.25"/>
    <row r="186363" s="12" customFormat="1" x14ac:dyDescent="0.25"/>
    <row r="186364" s="12" customFormat="1" x14ac:dyDescent="0.25"/>
    <row r="186365" s="12" customFormat="1" x14ac:dyDescent="0.25"/>
    <row r="186366" s="12" customFormat="1" x14ac:dyDescent="0.25"/>
    <row r="186367" s="12" customFormat="1" x14ac:dyDescent="0.25"/>
    <row r="186368" s="12" customFormat="1" x14ac:dyDescent="0.25"/>
    <row r="186369" s="12" customFormat="1" x14ac:dyDescent="0.25"/>
    <row r="186370" s="12" customFormat="1" x14ac:dyDescent="0.25"/>
    <row r="186371" s="12" customFormat="1" x14ac:dyDescent="0.25"/>
    <row r="186372" s="12" customFormat="1" x14ac:dyDescent="0.25"/>
    <row r="186373" s="12" customFormat="1" x14ac:dyDescent="0.25"/>
    <row r="186374" s="12" customFormat="1" x14ac:dyDescent="0.25"/>
    <row r="186375" s="12" customFormat="1" x14ac:dyDescent="0.25"/>
    <row r="186376" s="12" customFormat="1" x14ac:dyDescent="0.25"/>
    <row r="186377" s="12" customFormat="1" x14ac:dyDescent="0.25"/>
    <row r="186378" s="12" customFormat="1" x14ac:dyDescent="0.25"/>
    <row r="186379" s="12" customFormat="1" x14ac:dyDescent="0.25"/>
    <row r="186380" s="12" customFormat="1" x14ac:dyDescent="0.25"/>
    <row r="186381" s="12" customFormat="1" x14ac:dyDescent="0.25"/>
    <row r="186382" s="12" customFormat="1" x14ac:dyDescent="0.25"/>
    <row r="186383" s="12" customFormat="1" x14ac:dyDescent="0.25"/>
    <row r="186384" s="12" customFormat="1" x14ac:dyDescent="0.25"/>
    <row r="186385" s="12" customFormat="1" x14ac:dyDescent="0.25"/>
    <row r="186386" s="12" customFormat="1" x14ac:dyDescent="0.25"/>
    <row r="186387" s="12" customFormat="1" x14ac:dyDescent="0.25"/>
    <row r="186388" s="12" customFormat="1" x14ac:dyDescent="0.25"/>
    <row r="186389" s="12" customFormat="1" x14ac:dyDescent="0.25"/>
    <row r="186390" s="12" customFormat="1" x14ac:dyDescent="0.25"/>
    <row r="186391" s="12" customFormat="1" x14ac:dyDescent="0.25"/>
    <row r="186392" s="12" customFormat="1" x14ac:dyDescent="0.25"/>
    <row r="186393" s="12" customFormat="1" x14ac:dyDescent="0.25"/>
    <row r="186394" s="12" customFormat="1" x14ac:dyDescent="0.25"/>
    <row r="186395" s="12" customFormat="1" x14ac:dyDescent="0.25"/>
    <row r="186396" s="12" customFormat="1" x14ac:dyDescent="0.25"/>
    <row r="186397" s="12" customFormat="1" x14ac:dyDescent="0.25"/>
    <row r="186398" s="12" customFormat="1" x14ac:dyDescent="0.25"/>
    <row r="186399" s="12" customFormat="1" x14ac:dyDescent="0.25"/>
    <row r="186400" s="12" customFormat="1" x14ac:dyDescent="0.25"/>
    <row r="186401" s="12" customFormat="1" x14ac:dyDescent="0.25"/>
    <row r="186402" s="12" customFormat="1" x14ac:dyDescent="0.25"/>
    <row r="186403" s="12" customFormat="1" x14ac:dyDescent="0.25"/>
    <row r="186404" s="12" customFormat="1" x14ac:dyDescent="0.25"/>
    <row r="186405" s="12" customFormat="1" x14ac:dyDescent="0.25"/>
    <row r="186406" s="12" customFormat="1" x14ac:dyDescent="0.25"/>
    <row r="186407" s="12" customFormat="1" x14ac:dyDescent="0.25"/>
    <row r="186408" s="12" customFormat="1" x14ac:dyDescent="0.25"/>
    <row r="186409" s="12" customFormat="1" x14ac:dyDescent="0.25"/>
    <row r="186410" s="12" customFormat="1" x14ac:dyDescent="0.25"/>
    <row r="186411" s="12" customFormat="1" x14ac:dyDescent="0.25"/>
    <row r="186412" s="12" customFormat="1" x14ac:dyDescent="0.25"/>
    <row r="186413" s="12" customFormat="1" x14ac:dyDescent="0.25"/>
    <row r="186414" s="12" customFormat="1" x14ac:dyDescent="0.25"/>
    <row r="186415" s="12" customFormat="1" x14ac:dyDescent="0.25"/>
    <row r="186416" s="12" customFormat="1" x14ac:dyDescent="0.25"/>
    <row r="186417" s="12" customFormat="1" x14ac:dyDescent="0.25"/>
    <row r="186418" s="12" customFormat="1" x14ac:dyDescent="0.25"/>
    <row r="186419" s="12" customFormat="1" x14ac:dyDescent="0.25"/>
    <row r="186420" s="12" customFormat="1" x14ac:dyDescent="0.25"/>
    <row r="186421" s="12" customFormat="1" x14ac:dyDescent="0.25"/>
    <row r="186422" s="12" customFormat="1" x14ac:dyDescent="0.25"/>
    <row r="186423" s="12" customFormat="1" x14ac:dyDescent="0.25"/>
    <row r="186424" s="12" customFormat="1" x14ac:dyDescent="0.25"/>
    <row r="186425" s="12" customFormat="1" x14ac:dyDescent="0.25"/>
    <row r="186426" s="12" customFormat="1" x14ac:dyDescent="0.25"/>
    <row r="186427" s="12" customFormat="1" x14ac:dyDescent="0.25"/>
    <row r="186428" s="12" customFormat="1" x14ac:dyDescent="0.25"/>
    <row r="186429" s="12" customFormat="1" x14ac:dyDescent="0.25"/>
    <row r="186430" s="12" customFormat="1" x14ac:dyDescent="0.25"/>
    <row r="186431" s="12" customFormat="1" x14ac:dyDescent="0.25"/>
    <row r="186432" s="12" customFormat="1" x14ac:dyDescent="0.25"/>
    <row r="186433" s="12" customFormat="1" x14ac:dyDescent="0.25"/>
    <row r="186434" s="12" customFormat="1" x14ac:dyDescent="0.25"/>
    <row r="186435" s="12" customFormat="1" x14ac:dyDescent="0.25"/>
    <row r="186436" s="12" customFormat="1" x14ac:dyDescent="0.25"/>
    <row r="186437" s="12" customFormat="1" x14ac:dyDescent="0.25"/>
    <row r="186438" s="12" customFormat="1" x14ac:dyDescent="0.25"/>
    <row r="186439" s="12" customFormat="1" x14ac:dyDescent="0.25"/>
    <row r="186440" s="12" customFormat="1" x14ac:dyDescent="0.25"/>
    <row r="186441" s="12" customFormat="1" x14ac:dyDescent="0.25"/>
    <row r="186442" s="12" customFormat="1" x14ac:dyDescent="0.25"/>
    <row r="186443" s="12" customFormat="1" x14ac:dyDescent="0.25"/>
    <row r="186444" s="12" customFormat="1" x14ac:dyDescent="0.25"/>
    <row r="186445" s="12" customFormat="1" x14ac:dyDescent="0.25"/>
    <row r="186446" s="12" customFormat="1" x14ac:dyDescent="0.25"/>
    <row r="186447" s="12" customFormat="1" x14ac:dyDescent="0.25"/>
    <row r="186448" s="12" customFormat="1" x14ac:dyDescent="0.25"/>
    <row r="186449" s="12" customFormat="1" x14ac:dyDescent="0.25"/>
    <row r="186450" s="12" customFormat="1" x14ac:dyDescent="0.25"/>
    <row r="186451" s="12" customFormat="1" x14ac:dyDescent="0.25"/>
    <row r="186452" s="12" customFormat="1" x14ac:dyDescent="0.25"/>
    <row r="186453" s="12" customFormat="1" x14ac:dyDescent="0.25"/>
    <row r="186454" s="12" customFormat="1" x14ac:dyDescent="0.25"/>
    <row r="186455" s="12" customFormat="1" x14ac:dyDescent="0.25"/>
    <row r="186456" s="12" customFormat="1" x14ac:dyDescent="0.25"/>
    <row r="186457" s="12" customFormat="1" x14ac:dyDescent="0.25"/>
    <row r="186458" s="12" customFormat="1" x14ac:dyDescent="0.25"/>
    <row r="186459" s="12" customFormat="1" x14ac:dyDescent="0.25"/>
    <row r="186460" s="12" customFormat="1" x14ac:dyDescent="0.25"/>
    <row r="186461" s="12" customFormat="1" x14ac:dyDescent="0.25"/>
    <row r="186462" s="12" customFormat="1" x14ac:dyDescent="0.25"/>
    <row r="186463" s="12" customFormat="1" x14ac:dyDescent="0.25"/>
    <row r="186464" s="12" customFormat="1" x14ac:dyDescent="0.25"/>
    <row r="186465" s="12" customFormat="1" x14ac:dyDescent="0.25"/>
    <row r="186466" s="12" customFormat="1" x14ac:dyDescent="0.25"/>
    <row r="186467" s="12" customFormat="1" x14ac:dyDescent="0.25"/>
    <row r="186468" s="12" customFormat="1" x14ac:dyDescent="0.25"/>
    <row r="186469" s="12" customFormat="1" x14ac:dyDescent="0.25"/>
    <row r="186470" s="12" customFormat="1" x14ac:dyDescent="0.25"/>
    <row r="186471" s="12" customFormat="1" x14ac:dyDescent="0.25"/>
    <row r="186472" s="12" customFormat="1" x14ac:dyDescent="0.25"/>
    <row r="186473" s="12" customFormat="1" x14ac:dyDescent="0.25"/>
    <row r="186474" s="12" customFormat="1" x14ac:dyDescent="0.25"/>
    <row r="186475" s="12" customFormat="1" x14ac:dyDescent="0.25"/>
    <row r="186476" s="12" customFormat="1" x14ac:dyDescent="0.25"/>
    <row r="186477" s="12" customFormat="1" x14ac:dyDescent="0.25"/>
    <row r="186478" s="12" customFormat="1" x14ac:dyDescent="0.25"/>
    <row r="186479" s="12" customFormat="1" x14ac:dyDescent="0.25"/>
    <row r="186480" s="12" customFormat="1" x14ac:dyDescent="0.25"/>
    <row r="186481" s="12" customFormat="1" x14ac:dyDescent="0.25"/>
    <row r="186482" s="12" customFormat="1" x14ac:dyDescent="0.25"/>
    <row r="186483" s="12" customFormat="1" x14ac:dyDescent="0.25"/>
    <row r="186484" s="12" customFormat="1" x14ac:dyDescent="0.25"/>
    <row r="186485" s="12" customFormat="1" x14ac:dyDescent="0.25"/>
    <row r="186486" s="12" customFormat="1" x14ac:dyDescent="0.25"/>
    <row r="186487" s="12" customFormat="1" x14ac:dyDescent="0.25"/>
    <row r="186488" s="12" customFormat="1" x14ac:dyDescent="0.25"/>
    <row r="186489" s="12" customFormat="1" x14ac:dyDescent="0.25"/>
    <row r="186490" s="12" customFormat="1" x14ac:dyDescent="0.25"/>
    <row r="186491" s="12" customFormat="1" x14ac:dyDescent="0.25"/>
    <row r="186492" s="12" customFormat="1" x14ac:dyDescent="0.25"/>
    <row r="186493" s="12" customFormat="1" x14ac:dyDescent="0.25"/>
    <row r="186494" s="12" customFormat="1" x14ac:dyDescent="0.25"/>
    <row r="186495" s="12" customFormat="1" x14ac:dyDescent="0.25"/>
    <row r="186496" s="12" customFormat="1" x14ac:dyDescent="0.25"/>
    <row r="186497" s="12" customFormat="1" x14ac:dyDescent="0.25"/>
    <row r="186498" s="12" customFormat="1" x14ac:dyDescent="0.25"/>
    <row r="186499" s="12" customFormat="1" x14ac:dyDescent="0.25"/>
    <row r="186500" s="12" customFormat="1" x14ac:dyDescent="0.25"/>
    <row r="186501" s="12" customFormat="1" x14ac:dyDescent="0.25"/>
    <row r="186502" s="12" customFormat="1" x14ac:dyDescent="0.25"/>
    <row r="186503" s="12" customFormat="1" x14ac:dyDescent="0.25"/>
    <row r="186504" s="12" customFormat="1" x14ac:dyDescent="0.25"/>
    <row r="186505" s="12" customFormat="1" x14ac:dyDescent="0.25"/>
    <row r="186506" s="12" customFormat="1" x14ac:dyDescent="0.25"/>
    <row r="186507" s="12" customFormat="1" x14ac:dyDescent="0.25"/>
    <row r="186508" s="12" customFormat="1" x14ac:dyDescent="0.25"/>
    <row r="186509" s="12" customFormat="1" x14ac:dyDescent="0.25"/>
    <row r="186510" s="12" customFormat="1" x14ac:dyDescent="0.25"/>
    <row r="186511" s="12" customFormat="1" x14ac:dyDescent="0.25"/>
    <row r="186512" s="12" customFormat="1" x14ac:dyDescent="0.25"/>
    <row r="186513" s="12" customFormat="1" x14ac:dyDescent="0.25"/>
    <row r="186514" s="12" customFormat="1" x14ac:dyDescent="0.25"/>
    <row r="186515" s="12" customFormat="1" x14ac:dyDescent="0.25"/>
    <row r="186516" s="12" customFormat="1" x14ac:dyDescent="0.25"/>
    <row r="186517" s="12" customFormat="1" x14ac:dyDescent="0.25"/>
    <row r="186518" s="12" customFormat="1" x14ac:dyDescent="0.25"/>
    <row r="186519" s="12" customFormat="1" x14ac:dyDescent="0.25"/>
    <row r="186520" s="12" customFormat="1" x14ac:dyDescent="0.25"/>
    <row r="186521" s="12" customFormat="1" x14ac:dyDescent="0.25"/>
    <row r="186522" s="12" customFormat="1" x14ac:dyDescent="0.25"/>
    <row r="186523" s="12" customFormat="1" x14ac:dyDescent="0.25"/>
    <row r="186524" s="12" customFormat="1" x14ac:dyDescent="0.25"/>
    <row r="186525" s="12" customFormat="1" x14ac:dyDescent="0.25"/>
    <row r="186526" s="12" customFormat="1" x14ac:dyDescent="0.25"/>
    <row r="186527" s="12" customFormat="1" x14ac:dyDescent="0.25"/>
    <row r="186528" s="12" customFormat="1" x14ac:dyDescent="0.25"/>
    <row r="186529" s="12" customFormat="1" x14ac:dyDescent="0.25"/>
    <row r="186530" s="12" customFormat="1" x14ac:dyDescent="0.25"/>
    <row r="186531" s="12" customFormat="1" x14ac:dyDescent="0.25"/>
    <row r="186532" s="12" customFormat="1" x14ac:dyDescent="0.25"/>
    <row r="186533" s="12" customFormat="1" x14ac:dyDescent="0.25"/>
    <row r="186534" s="12" customFormat="1" x14ac:dyDescent="0.25"/>
    <row r="186535" s="12" customFormat="1" x14ac:dyDescent="0.25"/>
    <row r="186536" s="12" customFormat="1" x14ac:dyDescent="0.25"/>
    <row r="186537" s="12" customFormat="1" x14ac:dyDescent="0.25"/>
    <row r="186538" s="12" customFormat="1" x14ac:dyDescent="0.25"/>
    <row r="186539" s="12" customFormat="1" x14ac:dyDescent="0.25"/>
    <row r="186540" s="12" customFormat="1" x14ac:dyDescent="0.25"/>
    <row r="186541" s="12" customFormat="1" x14ac:dyDescent="0.25"/>
    <row r="186542" s="12" customFormat="1" x14ac:dyDescent="0.25"/>
    <row r="186543" s="12" customFormat="1" x14ac:dyDescent="0.25"/>
    <row r="186544" s="12" customFormat="1" x14ac:dyDescent="0.25"/>
    <row r="186545" s="12" customFormat="1" x14ac:dyDescent="0.25"/>
    <row r="186546" s="12" customFormat="1" x14ac:dyDescent="0.25"/>
    <row r="186547" s="12" customFormat="1" x14ac:dyDescent="0.25"/>
    <row r="186548" s="12" customFormat="1" x14ac:dyDescent="0.25"/>
    <row r="186549" s="12" customFormat="1" x14ac:dyDescent="0.25"/>
    <row r="186550" s="12" customFormat="1" x14ac:dyDescent="0.25"/>
    <row r="186551" s="12" customFormat="1" x14ac:dyDescent="0.25"/>
    <row r="186552" s="12" customFormat="1" x14ac:dyDescent="0.25"/>
    <row r="186553" s="12" customFormat="1" x14ac:dyDescent="0.25"/>
    <row r="186554" s="12" customFormat="1" x14ac:dyDescent="0.25"/>
    <row r="186555" s="12" customFormat="1" x14ac:dyDescent="0.25"/>
    <row r="186556" s="12" customFormat="1" x14ac:dyDescent="0.25"/>
    <row r="186557" s="12" customFormat="1" x14ac:dyDescent="0.25"/>
    <row r="186558" s="12" customFormat="1" x14ac:dyDescent="0.25"/>
    <row r="186559" s="12" customFormat="1" x14ac:dyDescent="0.25"/>
    <row r="186560" s="12" customFormat="1" x14ac:dyDescent="0.25"/>
    <row r="186561" s="12" customFormat="1" x14ac:dyDescent="0.25"/>
    <row r="186562" s="12" customFormat="1" x14ac:dyDescent="0.25"/>
    <row r="186563" s="12" customFormat="1" x14ac:dyDescent="0.25"/>
    <row r="186564" s="12" customFormat="1" x14ac:dyDescent="0.25"/>
    <row r="186565" s="12" customFormat="1" x14ac:dyDescent="0.25"/>
    <row r="186566" s="12" customFormat="1" x14ac:dyDescent="0.25"/>
    <row r="186567" s="12" customFormat="1" x14ac:dyDescent="0.25"/>
    <row r="186568" s="12" customFormat="1" x14ac:dyDescent="0.25"/>
    <row r="186569" s="12" customFormat="1" x14ac:dyDescent="0.25"/>
    <row r="186570" s="12" customFormat="1" x14ac:dyDescent="0.25"/>
    <row r="186571" s="12" customFormat="1" x14ac:dyDescent="0.25"/>
    <row r="186572" s="12" customFormat="1" x14ac:dyDescent="0.25"/>
    <row r="186573" s="12" customFormat="1" x14ac:dyDescent="0.25"/>
    <row r="186574" s="12" customFormat="1" x14ac:dyDescent="0.25"/>
    <row r="186575" s="12" customFormat="1" x14ac:dyDescent="0.25"/>
    <row r="186576" s="12" customFormat="1" x14ac:dyDescent="0.25"/>
    <row r="186577" s="12" customFormat="1" x14ac:dyDescent="0.25"/>
    <row r="186578" s="12" customFormat="1" x14ac:dyDescent="0.25"/>
    <row r="186579" s="12" customFormat="1" x14ac:dyDescent="0.25"/>
    <row r="186580" s="12" customFormat="1" x14ac:dyDescent="0.25"/>
    <row r="186581" s="12" customFormat="1" x14ac:dyDescent="0.25"/>
    <row r="186582" s="12" customFormat="1" x14ac:dyDescent="0.25"/>
    <row r="186583" s="12" customFormat="1" x14ac:dyDescent="0.25"/>
    <row r="186584" s="12" customFormat="1" x14ac:dyDescent="0.25"/>
    <row r="186585" s="12" customFormat="1" x14ac:dyDescent="0.25"/>
    <row r="186586" s="12" customFormat="1" x14ac:dyDescent="0.25"/>
    <row r="186587" s="12" customFormat="1" x14ac:dyDescent="0.25"/>
    <row r="186588" s="12" customFormat="1" x14ac:dyDescent="0.25"/>
    <row r="186589" s="12" customFormat="1" x14ac:dyDescent="0.25"/>
    <row r="186590" s="12" customFormat="1" x14ac:dyDescent="0.25"/>
    <row r="186591" s="12" customFormat="1" x14ac:dyDescent="0.25"/>
    <row r="186592" s="12" customFormat="1" x14ac:dyDescent="0.25"/>
    <row r="186593" s="12" customFormat="1" x14ac:dyDescent="0.25"/>
    <row r="186594" s="12" customFormat="1" x14ac:dyDescent="0.25"/>
    <row r="186595" s="12" customFormat="1" x14ac:dyDescent="0.25"/>
    <row r="186596" s="12" customFormat="1" x14ac:dyDescent="0.25"/>
    <row r="186597" s="12" customFormat="1" x14ac:dyDescent="0.25"/>
    <row r="186598" s="12" customFormat="1" x14ac:dyDescent="0.25"/>
    <row r="186599" s="12" customFormat="1" x14ac:dyDescent="0.25"/>
    <row r="186600" s="12" customFormat="1" x14ac:dyDescent="0.25"/>
    <row r="186601" s="12" customFormat="1" x14ac:dyDescent="0.25"/>
    <row r="186602" s="12" customFormat="1" x14ac:dyDescent="0.25"/>
    <row r="186603" s="12" customFormat="1" x14ac:dyDescent="0.25"/>
    <row r="186604" s="12" customFormat="1" x14ac:dyDescent="0.25"/>
    <row r="186605" s="12" customFormat="1" x14ac:dyDescent="0.25"/>
    <row r="186606" s="12" customFormat="1" x14ac:dyDescent="0.25"/>
    <row r="186607" s="12" customFormat="1" x14ac:dyDescent="0.25"/>
    <row r="186608" s="12" customFormat="1" x14ac:dyDescent="0.25"/>
    <row r="186609" s="12" customFormat="1" x14ac:dyDescent="0.25"/>
    <row r="186610" s="12" customFormat="1" x14ac:dyDescent="0.25"/>
    <row r="186611" s="12" customFormat="1" x14ac:dyDescent="0.25"/>
    <row r="186612" s="12" customFormat="1" x14ac:dyDescent="0.25"/>
    <row r="186613" s="12" customFormat="1" x14ac:dyDescent="0.25"/>
    <row r="186614" s="12" customFormat="1" x14ac:dyDescent="0.25"/>
    <row r="186615" s="12" customFormat="1" x14ac:dyDescent="0.25"/>
    <row r="186616" s="12" customFormat="1" x14ac:dyDescent="0.25"/>
    <row r="186617" s="12" customFormat="1" x14ac:dyDescent="0.25"/>
    <row r="186618" s="12" customFormat="1" x14ac:dyDescent="0.25"/>
    <row r="186619" s="12" customFormat="1" x14ac:dyDescent="0.25"/>
    <row r="186620" s="12" customFormat="1" x14ac:dyDescent="0.25"/>
    <row r="186621" s="12" customFormat="1" x14ac:dyDescent="0.25"/>
    <row r="186622" s="12" customFormat="1" x14ac:dyDescent="0.25"/>
    <row r="186623" s="12" customFormat="1" x14ac:dyDescent="0.25"/>
    <row r="186624" s="12" customFormat="1" x14ac:dyDescent="0.25"/>
    <row r="186625" s="12" customFormat="1" x14ac:dyDescent="0.25"/>
    <row r="186626" s="12" customFormat="1" x14ac:dyDescent="0.25"/>
    <row r="186627" s="12" customFormat="1" x14ac:dyDescent="0.25"/>
    <row r="186628" s="12" customFormat="1" x14ac:dyDescent="0.25"/>
    <row r="186629" s="12" customFormat="1" x14ac:dyDescent="0.25"/>
    <row r="186630" s="12" customFormat="1" x14ac:dyDescent="0.25"/>
    <row r="186631" s="12" customFormat="1" x14ac:dyDescent="0.25"/>
    <row r="186632" s="12" customFormat="1" x14ac:dyDescent="0.25"/>
    <row r="186633" s="12" customFormat="1" x14ac:dyDescent="0.25"/>
    <row r="186634" s="12" customFormat="1" x14ac:dyDescent="0.25"/>
    <row r="186635" s="12" customFormat="1" x14ac:dyDescent="0.25"/>
    <row r="186636" s="12" customFormat="1" x14ac:dyDescent="0.25"/>
    <row r="186637" s="12" customFormat="1" x14ac:dyDescent="0.25"/>
    <row r="186638" s="12" customFormat="1" x14ac:dyDescent="0.25"/>
    <row r="186639" s="12" customFormat="1" x14ac:dyDescent="0.25"/>
    <row r="186640" s="12" customFormat="1" x14ac:dyDescent="0.25"/>
    <row r="186641" s="12" customFormat="1" x14ac:dyDescent="0.25"/>
    <row r="186642" s="12" customFormat="1" x14ac:dyDescent="0.25"/>
    <row r="186643" s="12" customFormat="1" x14ac:dyDescent="0.25"/>
    <row r="186644" s="12" customFormat="1" x14ac:dyDescent="0.25"/>
    <row r="186645" s="12" customFormat="1" x14ac:dyDescent="0.25"/>
    <row r="186646" s="12" customFormat="1" x14ac:dyDescent="0.25"/>
    <row r="186647" s="12" customFormat="1" x14ac:dyDescent="0.25"/>
    <row r="186648" s="12" customFormat="1" x14ac:dyDescent="0.25"/>
    <row r="186649" s="12" customFormat="1" x14ac:dyDescent="0.25"/>
    <row r="186650" s="12" customFormat="1" x14ac:dyDescent="0.25"/>
    <row r="186651" s="12" customFormat="1" x14ac:dyDescent="0.25"/>
    <row r="186652" s="12" customFormat="1" x14ac:dyDescent="0.25"/>
    <row r="186653" s="12" customFormat="1" x14ac:dyDescent="0.25"/>
    <row r="186654" s="12" customFormat="1" x14ac:dyDescent="0.25"/>
    <row r="186655" s="12" customFormat="1" x14ac:dyDescent="0.25"/>
    <row r="186656" s="12" customFormat="1" x14ac:dyDescent="0.25"/>
    <row r="186657" s="12" customFormat="1" x14ac:dyDescent="0.25"/>
    <row r="186658" s="12" customFormat="1" x14ac:dyDescent="0.25"/>
    <row r="186659" s="12" customFormat="1" x14ac:dyDescent="0.25"/>
    <row r="186660" s="12" customFormat="1" x14ac:dyDescent="0.25"/>
    <row r="186661" s="12" customFormat="1" x14ac:dyDescent="0.25"/>
    <row r="186662" s="12" customFormat="1" x14ac:dyDescent="0.25"/>
    <row r="186663" s="12" customFormat="1" x14ac:dyDescent="0.25"/>
    <row r="186664" s="12" customFormat="1" x14ac:dyDescent="0.25"/>
    <row r="186665" s="12" customFormat="1" x14ac:dyDescent="0.25"/>
    <row r="186666" s="12" customFormat="1" x14ac:dyDescent="0.25"/>
    <row r="186667" s="12" customFormat="1" x14ac:dyDescent="0.25"/>
    <row r="186668" s="12" customFormat="1" x14ac:dyDescent="0.25"/>
    <row r="186669" s="12" customFormat="1" x14ac:dyDescent="0.25"/>
    <row r="186670" s="12" customFormat="1" x14ac:dyDescent="0.25"/>
    <row r="186671" s="12" customFormat="1" x14ac:dyDescent="0.25"/>
    <row r="186672" s="12" customFormat="1" x14ac:dyDescent="0.25"/>
    <row r="186673" s="12" customFormat="1" x14ac:dyDescent="0.25"/>
    <row r="186674" s="12" customFormat="1" x14ac:dyDescent="0.25"/>
    <row r="186675" s="12" customFormat="1" x14ac:dyDescent="0.25"/>
    <row r="186676" s="12" customFormat="1" x14ac:dyDescent="0.25"/>
    <row r="186677" s="12" customFormat="1" x14ac:dyDescent="0.25"/>
    <row r="186678" s="12" customFormat="1" x14ac:dyDescent="0.25"/>
    <row r="186679" s="12" customFormat="1" x14ac:dyDescent="0.25"/>
    <row r="186680" s="12" customFormat="1" x14ac:dyDescent="0.25"/>
    <row r="186681" s="12" customFormat="1" x14ac:dyDescent="0.25"/>
    <row r="186682" s="12" customFormat="1" x14ac:dyDescent="0.25"/>
    <row r="186683" s="12" customFormat="1" x14ac:dyDescent="0.25"/>
    <row r="186684" s="12" customFormat="1" x14ac:dyDescent="0.25"/>
    <row r="186685" s="12" customFormat="1" x14ac:dyDescent="0.25"/>
    <row r="186686" s="12" customFormat="1" x14ac:dyDescent="0.25"/>
    <row r="186687" s="12" customFormat="1" x14ac:dyDescent="0.25"/>
    <row r="186688" s="12" customFormat="1" x14ac:dyDescent="0.25"/>
    <row r="186689" s="12" customFormat="1" x14ac:dyDescent="0.25"/>
    <row r="186690" s="12" customFormat="1" x14ac:dyDescent="0.25"/>
    <row r="186691" s="12" customFormat="1" x14ac:dyDescent="0.25"/>
    <row r="186692" s="12" customFormat="1" x14ac:dyDescent="0.25"/>
    <row r="186693" s="12" customFormat="1" x14ac:dyDescent="0.25"/>
    <row r="186694" s="12" customFormat="1" x14ac:dyDescent="0.25"/>
    <row r="186695" s="12" customFormat="1" x14ac:dyDescent="0.25"/>
    <row r="186696" s="12" customFormat="1" x14ac:dyDescent="0.25"/>
    <row r="186697" s="12" customFormat="1" x14ac:dyDescent="0.25"/>
    <row r="186698" s="12" customFormat="1" x14ac:dyDescent="0.25"/>
    <row r="186699" s="12" customFormat="1" x14ac:dyDescent="0.25"/>
    <row r="186700" s="12" customFormat="1" x14ac:dyDescent="0.25"/>
    <row r="186701" s="12" customFormat="1" x14ac:dyDescent="0.25"/>
    <row r="186702" s="12" customFormat="1" x14ac:dyDescent="0.25"/>
    <row r="186703" s="12" customFormat="1" x14ac:dyDescent="0.25"/>
    <row r="186704" s="12" customFormat="1" x14ac:dyDescent="0.25"/>
    <row r="186705" s="12" customFormat="1" x14ac:dyDescent="0.25"/>
    <row r="186706" s="12" customFormat="1" x14ac:dyDescent="0.25"/>
    <row r="186707" s="12" customFormat="1" x14ac:dyDescent="0.25"/>
    <row r="186708" s="12" customFormat="1" x14ac:dyDescent="0.25"/>
    <row r="186709" s="12" customFormat="1" x14ac:dyDescent="0.25"/>
    <row r="186710" s="12" customFormat="1" x14ac:dyDescent="0.25"/>
    <row r="186711" s="12" customFormat="1" x14ac:dyDescent="0.25"/>
    <row r="186712" s="12" customFormat="1" x14ac:dyDescent="0.25"/>
    <row r="186713" s="12" customFormat="1" x14ac:dyDescent="0.25"/>
    <row r="186714" s="12" customFormat="1" x14ac:dyDescent="0.25"/>
    <row r="186715" s="12" customFormat="1" x14ac:dyDescent="0.25"/>
    <row r="186716" s="12" customFormat="1" x14ac:dyDescent="0.25"/>
    <row r="186717" s="12" customFormat="1" x14ac:dyDescent="0.25"/>
    <row r="186718" s="12" customFormat="1" x14ac:dyDescent="0.25"/>
    <row r="186719" s="12" customFormat="1" x14ac:dyDescent="0.25"/>
    <row r="186720" s="12" customFormat="1" x14ac:dyDescent="0.25"/>
    <row r="186721" s="12" customFormat="1" x14ac:dyDescent="0.25"/>
    <row r="186722" s="12" customFormat="1" x14ac:dyDescent="0.25"/>
    <row r="186723" s="12" customFormat="1" x14ac:dyDescent="0.25"/>
    <row r="186724" s="12" customFormat="1" x14ac:dyDescent="0.25"/>
    <row r="186725" s="12" customFormat="1" x14ac:dyDescent="0.25"/>
    <row r="186726" s="12" customFormat="1" x14ac:dyDescent="0.25"/>
    <row r="186727" s="12" customFormat="1" x14ac:dyDescent="0.25"/>
    <row r="186728" s="12" customFormat="1" x14ac:dyDescent="0.25"/>
    <row r="186729" s="12" customFormat="1" x14ac:dyDescent="0.25"/>
    <row r="186730" s="12" customFormat="1" x14ac:dyDescent="0.25"/>
    <row r="186731" s="12" customFormat="1" x14ac:dyDescent="0.25"/>
    <row r="186732" s="12" customFormat="1" x14ac:dyDescent="0.25"/>
    <row r="186733" s="12" customFormat="1" x14ac:dyDescent="0.25"/>
    <row r="186734" s="12" customFormat="1" x14ac:dyDescent="0.25"/>
    <row r="186735" s="12" customFormat="1" x14ac:dyDescent="0.25"/>
    <row r="186736" s="12" customFormat="1" x14ac:dyDescent="0.25"/>
    <row r="186737" s="12" customFormat="1" x14ac:dyDescent="0.25"/>
    <row r="186738" s="12" customFormat="1" x14ac:dyDescent="0.25"/>
    <row r="186739" s="12" customFormat="1" x14ac:dyDescent="0.25"/>
    <row r="186740" s="12" customFormat="1" x14ac:dyDescent="0.25"/>
    <row r="186741" s="12" customFormat="1" x14ac:dyDescent="0.25"/>
    <row r="186742" s="12" customFormat="1" x14ac:dyDescent="0.25"/>
    <row r="186743" s="12" customFormat="1" x14ac:dyDescent="0.25"/>
    <row r="186744" s="12" customFormat="1" x14ac:dyDescent="0.25"/>
    <row r="186745" s="12" customFormat="1" x14ac:dyDescent="0.25"/>
    <row r="186746" s="12" customFormat="1" x14ac:dyDescent="0.25"/>
    <row r="186747" s="12" customFormat="1" x14ac:dyDescent="0.25"/>
    <row r="186748" s="12" customFormat="1" x14ac:dyDescent="0.25"/>
    <row r="186749" s="12" customFormat="1" x14ac:dyDescent="0.25"/>
    <row r="186750" s="12" customFormat="1" x14ac:dyDescent="0.25"/>
    <row r="186751" s="12" customFormat="1" x14ac:dyDescent="0.25"/>
    <row r="186752" s="12" customFormat="1" x14ac:dyDescent="0.25"/>
    <row r="186753" s="12" customFormat="1" x14ac:dyDescent="0.25"/>
    <row r="186754" s="12" customFormat="1" x14ac:dyDescent="0.25"/>
    <row r="186755" s="12" customFormat="1" x14ac:dyDescent="0.25"/>
    <row r="186756" s="12" customFormat="1" x14ac:dyDescent="0.25"/>
    <row r="186757" s="12" customFormat="1" x14ac:dyDescent="0.25"/>
    <row r="186758" s="12" customFormat="1" x14ac:dyDescent="0.25"/>
    <row r="186759" s="12" customFormat="1" x14ac:dyDescent="0.25"/>
    <row r="186760" s="12" customFormat="1" x14ac:dyDescent="0.25"/>
    <row r="186761" s="12" customFormat="1" x14ac:dyDescent="0.25"/>
    <row r="186762" s="12" customFormat="1" x14ac:dyDescent="0.25"/>
    <row r="186763" s="12" customFormat="1" x14ac:dyDescent="0.25"/>
    <row r="186764" s="12" customFormat="1" x14ac:dyDescent="0.25"/>
    <row r="186765" s="12" customFormat="1" x14ac:dyDescent="0.25"/>
    <row r="186766" s="12" customFormat="1" x14ac:dyDescent="0.25"/>
    <row r="186767" s="12" customFormat="1" x14ac:dyDescent="0.25"/>
    <row r="186768" s="12" customFormat="1" x14ac:dyDescent="0.25"/>
    <row r="186769" s="12" customFormat="1" x14ac:dyDescent="0.25"/>
    <row r="186770" s="12" customFormat="1" x14ac:dyDescent="0.25"/>
    <row r="186771" s="12" customFormat="1" x14ac:dyDescent="0.25"/>
    <row r="186772" s="12" customFormat="1" x14ac:dyDescent="0.25"/>
    <row r="186773" s="12" customFormat="1" x14ac:dyDescent="0.25"/>
    <row r="186774" s="12" customFormat="1" x14ac:dyDescent="0.25"/>
    <row r="186775" s="12" customFormat="1" x14ac:dyDescent="0.25"/>
    <row r="186776" s="12" customFormat="1" x14ac:dyDescent="0.25"/>
    <row r="186777" s="12" customFormat="1" x14ac:dyDescent="0.25"/>
    <row r="186778" s="12" customFormat="1" x14ac:dyDescent="0.25"/>
    <row r="186779" s="12" customFormat="1" x14ac:dyDescent="0.25"/>
    <row r="186780" s="12" customFormat="1" x14ac:dyDescent="0.25"/>
    <row r="186781" s="12" customFormat="1" x14ac:dyDescent="0.25"/>
    <row r="186782" s="12" customFormat="1" x14ac:dyDescent="0.25"/>
    <row r="186783" s="12" customFormat="1" x14ac:dyDescent="0.25"/>
    <row r="186784" s="12" customFormat="1" x14ac:dyDescent="0.25"/>
    <row r="186785" s="12" customFormat="1" x14ac:dyDescent="0.25"/>
    <row r="186786" s="12" customFormat="1" x14ac:dyDescent="0.25"/>
    <row r="186787" s="12" customFormat="1" x14ac:dyDescent="0.25"/>
    <row r="186788" s="12" customFormat="1" x14ac:dyDescent="0.25"/>
    <row r="186789" s="12" customFormat="1" x14ac:dyDescent="0.25"/>
    <row r="186790" s="12" customFormat="1" x14ac:dyDescent="0.25"/>
    <row r="186791" s="12" customFormat="1" x14ac:dyDescent="0.25"/>
    <row r="186792" s="12" customFormat="1" x14ac:dyDescent="0.25"/>
    <row r="186793" s="12" customFormat="1" x14ac:dyDescent="0.25"/>
    <row r="186794" s="12" customFormat="1" x14ac:dyDescent="0.25"/>
    <row r="186795" s="12" customFormat="1" x14ac:dyDescent="0.25"/>
    <row r="186796" s="12" customFormat="1" x14ac:dyDescent="0.25"/>
    <row r="186797" s="12" customFormat="1" x14ac:dyDescent="0.25"/>
    <row r="186798" s="12" customFormat="1" x14ac:dyDescent="0.25"/>
    <row r="186799" s="12" customFormat="1" x14ac:dyDescent="0.25"/>
    <row r="186800" s="12" customFormat="1" x14ac:dyDescent="0.25"/>
    <row r="186801" s="12" customFormat="1" x14ac:dyDescent="0.25"/>
    <row r="186802" s="12" customFormat="1" x14ac:dyDescent="0.25"/>
    <row r="186803" s="12" customFormat="1" x14ac:dyDescent="0.25"/>
    <row r="186804" s="12" customFormat="1" x14ac:dyDescent="0.25"/>
    <row r="186805" s="12" customFormat="1" x14ac:dyDescent="0.25"/>
    <row r="186806" s="12" customFormat="1" x14ac:dyDescent="0.25"/>
    <row r="186807" s="12" customFormat="1" x14ac:dyDescent="0.25"/>
    <row r="186808" s="12" customFormat="1" x14ac:dyDescent="0.25"/>
    <row r="186809" s="12" customFormat="1" x14ac:dyDescent="0.25"/>
    <row r="186810" s="12" customFormat="1" x14ac:dyDescent="0.25"/>
    <row r="186811" s="12" customFormat="1" x14ac:dyDescent="0.25"/>
    <row r="186812" s="12" customFormat="1" x14ac:dyDescent="0.25"/>
    <row r="186813" s="12" customFormat="1" x14ac:dyDescent="0.25"/>
    <row r="186814" s="12" customFormat="1" x14ac:dyDescent="0.25"/>
    <row r="186815" s="12" customFormat="1" x14ac:dyDescent="0.25"/>
    <row r="186816" s="12" customFormat="1" x14ac:dyDescent="0.25"/>
    <row r="186817" s="12" customFormat="1" x14ac:dyDescent="0.25"/>
    <row r="186818" s="12" customFormat="1" x14ac:dyDescent="0.25"/>
    <row r="186819" s="12" customFormat="1" x14ac:dyDescent="0.25"/>
    <row r="186820" s="12" customFormat="1" x14ac:dyDescent="0.25"/>
    <row r="186821" s="12" customFormat="1" x14ac:dyDescent="0.25"/>
    <row r="186822" s="12" customFormat="1" x14ac:dyDescent="0.25"/>
    <row r="186823" s="12" customFormat="1" x14ac:dyDescent="0.25"/>
    <row r="186824" s="12" customFormat="1" x14ac:dyDescent="0.25"/>
    <row r="186825" s="12" customFormat="1" x14ac:dyDescent="0.25"/>
    <row r="186826" s="12" customFormat="1" x14ac:dyDescent="0.25"/>
    <row r="186827" s="12" customFormat="1" x14ac:dyDescent="0.25"/>
    <row r="186828" s="12" customFormat="1" x14ac:dyDescent="0.25"/>
    <row r="186829" s="12" customFormat="1" x14ac:dyDescent="0.25"/>
    <row r="186830" s="12" customFormat="1" x14ac:dyDescent="0.25"/>
    <row r="186831" s="12" customFormat="1" x14ac:dyDescent="0.25"/>
    <row r="186832" s="12" customFormat="1" x14ac:dyDescent="0.25"/>
    <row r="186833" s="12" customFormat="1" x14ac:dyDescent="0.25"/>
    <row r="186834" s="12" customFormat="1" x14ac:dyDescent="0.25"/>
    <row r="186835" s="12" customFormat="1" x14ac:dyDescent="0.25"/>
    <row r="186836" s="12" customFormat="1" x14ac:dyDescent="0.25"/>
    <row r="186837" s="12" customFormat="1" x14ac:dyDescent="0.25"/>
    <row r="186838" s="12" customFormat="1" x14ac:dyDescent="0.25"/>
    <row r="186839" s="12" customFormat="1" x14ac:dyDescent="0.25"/>
    <row r="186840" s="12" customFormat="1" x14ac:dyDescent="0.25"/>
    <row r="186841" s="12" customFormat="1" x14ac:dyDescent="0.25"/>
    <row r="186842" s="12" customFormat="1" x14ac:dyDescent="0.25"/>
    <row r="186843" s="12" customFormat="1" x14ac:dyDescent="0.25"/>
    <row r="186844" s="12" customFormat="1" x14ac:dyDescent="0.25"/>
    <row r="186845" s="12" customFormat="1" x14ac:dyDescent="0.25"/>
    <row r="186846" s="12" customFormat="1" x14ac:dyDescent="0.25"/>
    <row r="186847" s="12" customFormat="1" x14ac:dyDescent="0.25"/>
    <row r="186848" s="12" customFormat="1" x14ac:dyDescent="0.25"/>
    <row r="186849" s="12" customFormat="1" x14ac:dyDescent="0.25"/>
    <row r="186850" s="12" customFormat="1" x14ac:dyDescent="0.25"/>
    <row r="186851" s="12" customFormat="1" x14ac:dyDescent="0.25"/>
    <row r="186852" s="12" customFormat="1" x14ac:dyDescent="0.25"/>
    <row r="186853" s="12" customFormat="1" x14ac:dyDescent="0.25"/>
    <row r="186854" s="12" customFormat="1" x14ac:dyDescent="0.25"/>
    <row r="186855" s="12" customFormat="1" x14ac:dyDescent="0.25"/>
    <row r="186856" s="12" customFormat="1" x14ac:dyDescent="0.25"/>
    <row r="186857" s="12" customFormat="1" x14ac:dyDescent="0.25"/>
    <row r="186858" s="12" customFormat="1" x14ac:dyDescent="0.25"/>
    <row r="186859" s="12" customFormat="1" x14ac:dyDescent="0.25"/>
    <row r="186860" s="12" customFormat="1" x14ac:dyDescent="0.25"/>
    <row r="186861" s="12" customFormat="1" x14ac:dyDescent="0.25"/>
    <row r="186862" s="12" customFormat="1" x14ac:dyDescent="0.25"/>
    <row r="186863" s="12" customFormat="1" x14ac:dyDescent="0.25"/>
    <row r="186864" s="12" customFormat="1" x14ac:dyDescent="0.25"/>
    <row r="186865" s="12" customFormat="1" x14ac:dyDescent="0.25"/>
    <row r="186866" s="12" customFormat="1" x14ac:dyDescent="0.25"/>
    <row r="186867" s="12" customFormat="1" x14ac:dyDescent="0.25"/>
    <row r="186868" s="12" customFormat="1" x14ac:dyDescent="0.25"/>
    <row r="186869" s="12" customFormat="1" x14ac:dyDescent="0.25"/>
    <row r="186870" s="12" customFormat="1" x14ac:dyDescent="0.25"/>
    <row r="186871" s="12" customFormat="1" x14ac:dyDescent="0.25"/>
    <row r="186872" s="12" customFormat="1" x14ac:dyDescent="0.25"/>
    <row r="186873" s="12" customFormat="1" x14ac:dyDescent="0.25"/>
    <row r="186874" s="12" customFormat="1" x14ac:dyDescent="0.25"/>
    <row r="186875" s="12" customFormat="1" x14ac:dyDescent="0.25"/>
    <row r="186876" s="12" customFormat="1" x14ac:dyDescent="0.25"/>
    <row r="186877" s="12" customFormat="1" x14ac:dyDescent="0.25"/>
    <row r="186878" s="12" customFormat="1" x14ac:dyDescent="0.25"/>
    <row r="186879" s="12" customFormat="1" x14ac:dyDescent="0.25"/>
    <row r="186880" s="12" customFormat="1" x14ac:dyDescent="0.25"/>
    <row r="186881" s="12" customFormat="1" x14ac:dyDescent="0.25"/>
    <row r="186882" s="12" customFormat="1" x14ac:dyDescent="0.25"/>
    <row r="186883" s="12" customFormat="1" x14ac:dyDescent="0.25"/>
    <row r="186884" s="12" customFormat="1" x14ac:dyDescent="0.25"/>
    <row r="186885" s="12" customFormat="1" x14ac:dyDescent="0.25"/>
    <row r="186886" s="12" customFormat="1" x14ac:dyDescent="0.25"/>
    <row r="186887" s="12" customFormat="1" x14ac:dyDescent="0.25"/>
    <row r="186888" s="12" customFormat="1" x14ac:dyDescent="0.25"/>
    <row r="186889" s="12" customFormat="1" x14ac:dyDescent="0.25"/>
    <row r="186890" s="12" customFormat="1" x14ac:dyDescent="0.25"/>
    <row r="186891" s="12" customFormat="1" x14ac:dyDescent="0.25"/>
    <row r="186892" s="12" customFormat="1" x14ac:dyDescent="0.25"/>
    <row r="186893" s="12" customFormat="1" x14ac:dyDescent="0.25"/>
    <row r="186894" s="12" customFormat="1" x14ac:dyDescent="0.25"/>
    <row r="186895" s="12" customFormat="1" x14ac:dyDescent="0.25"/>
    <row r="186896" s="12" customFormat="1" x14ac:dyDescent="0.25"/>
    <row r="186897" s="12" customFormat="1" x14ac:dyDescent="0.25"/>
    <row r="186898" s="12" customFormat="1" x14ac:dyDescent="0.25"/>
    <row r="186899" s="12" customFormat="1" x14ac:dyDescent="0.25"/>
    <row r="186900" s="12" customFormat="1" x14ac:dyDescent="0.25"/>
    <row r="186901" s="12" customFormat="1" x14ac:dyDescent="0.25"/>
    <row r="186902" s="12" customFormat="1" x14ac:dyDescent="0.25"/>
    <row r="186903" s="12" customFormat="1" x14ac:dyDescent="0.25"/>
    <row r="186904" s="12" customFormat="1" x14ac:dyDescent="0.25"/>
    <row r="186905" s="12" customFormat="1" x14ac:dyDescent="0.25"/>
    <row r="186906" s="12" customFormat="1" x14ac:dyDescent="0.25"/>
    <row r="186907" s="12" customFormat="1" x14ac:dyDescent="0.25"/>
    <row r="186908" s="12" customFormat="1" x14ac:dyDescent="0.25"/>
    <row r="186909" s="12" customFormat="1" x14ac:dyDescent="0.25"/>
    <row r="186910" s="12" customFormat="1" x14ac:dyDescent="0.25"/>
    <row r="186911" s="12" customFormat="1" x14ac:dyDescent="0.25"/>
    <row r="186912" s="12" customFormat="1" x14ac:dyDescent="0.25"/>
    <row r="186913" s="12" customFormat="1" x14ac:dyDescent="0.25"/>
    <row r="186914" s="12" customFormat="1" x14ac:dyDescent="0.25"/>
    <row r="186915" s="12" customFormat="1" x14ac:dyDescent="0.25"/>
    <row r="186916" s="12" customFormat="1" x14ac:dyDescent="0.25"/>
    <row r="186917" s="12" customFormat="1" x14ac:dyDescent="0.25"/>
    <row r="186918" s="12" customFormat="1" x14ac:dyDescent="0.25"/>
    <row r="186919" s="12" customFormat="1" x14ac:dyDescent="0.25"/>
    <row r="186920" s="12" customFormat="1" x14ac:dyDescent="0.25"/>
    <row r="186921" s="12" customFormat="1" x14ac:dyDescent="0.25"/>
    <row r="186922" s="12" customFormat="1" x14ac:dyDescent="0.25"/>
    <row r="186923" s="12" customFormat="1" x14ac:dyDescent="0.25"/>
    <row r="186924" s="12" customFormat="1" x14ac:dyDescent="0.25"/>
    <row r="186925" s="12" customFormat="1" x14ac:dyDescent="0.25"/>
    <row r="186926" s="12" customFormat="1" x14ac:dyDescent="0.25"/>
    <row r="186927" s="12" customFormat="1" x14ac:dyDescent="0.25"/>
    <row r="186928" s="12" customFormat="1" x14ac:dyDescent="0.25"/>
    <row r="186929" s="12" customFormat="1" x14ac:dyDescent="0.25"/>
    <row r="186930" s="12" customFormat="1" x14ac:dyDescent="0.25"/>
    <row r="186931" s="12" customFormat="1" x14ac:dyDescent="0.25"/>
    <row r="186932" s="12" customFormat="1" x14ac:dyDescent="0.25"/>
    <row r="186933" s="12" customFormat="1" x14ac:dyDescent="0.25"/>
    <row r="186934" s="12" customFormat="1" x14ac:dyDescent="0.25"/>
    <row r="186935" s="12" customFormat="1" x14ac:dyDescent="0.25"/>
    <row r="186936" s="12" customFormat="1" x14ac:dyDescent="0.25"/>
    <row r="186937" s="12" customFormat="1" x14ac:dyDescent="0.25"/>
    <row r="186938" s="12" customFormat="1" x14ac:dyDescent="0.25"/>
    <row r="186939" s="12" customFormat="1" x14ac:dyDescent="0.25"/>
    <row r="186940" s="12" customFormat="1" x14ac:dyDescent="0.25"/>
    <row r="186941" s="12" customFormat="1" x14ac:dyDescent="0.25"/>
    <row r="186942" s="12" customFormat="1" x14ac:dyDescent="0.25"/>
    <row r="186943" s="12" customFormat="1" x14ac:dyDescent="0.25"/>
    <row r="186944" s="12" customFormat="1" x14ac:dyDescent="0.25"/>
    <row r="186945" s="12" customFormat="1" x14ac:dyDescent="0.25"/>
    <row r="186946" s="12" customFormat="1" x14ac:dyDescent="0.25"/>
    <row r="186947" s="12" customFormat="1" x14ac:dyDescent="0.25"/>
    <row r="186948" s="12" customFormat="1" x14ac:dyDescent="0.25"/>
    <row r="186949" s="12" customFormat="1" x14ac:dyDescent="0.25"/>
    <row r="186950" s="12" customFormat="1" x14ac:dyDescent="0.25"/>
    <row r="186951" s="12" customFormat="1" x14ac:dyDescent="0.25"/>
    <row r="186952" s="12" customFormat="1" x14ac:dyDescent="0.25"/>
    <row r="186953" s="12" customFormat="1" x14ac:dyDescent="0.25"/>
    <row r="186954" s="12" customFormat="1" x14ac:dyDescent="0.25"/>
    <row r="186955" s="12" customFormat="1" x14ac:dyDescent="0.25"/>
    <row r="186956" s="12" customFormat="1" x14ac:dyDescent="0.25"/>
    <row r="186957" s="12" customFormat="1" x14ac:dyDescent="0.25"/>
    <row r="186958" s="12" customFormat="1" x14ac:dyDescent="0.25"/>
    <row r="186959" s="12" customFormat="1" x14ac:dyDescent="0.25"/>
    <row r="186960" s="12" customFormat="1" x14ac:dyDescent="0.25"/>
    <row r="186961" s="12" customFormat="1" x14ac:dyDescent="0.25"/>
    <row r="186962" s="12" customFormat="1" x14ac:dyDescent="0.25"/>
    <row r="186963" s="12" customFormat="1" x14ac:dyDescent="0.25"/>
    <row r="186964" s="12" customFormat="1" x14ac:dyDescent="0.25"/>
    <row r="186965" s="12" customFormat="1" x14ac:dyDescent="0.25"/>
    <row r="186966" s="12" customFormat="1" x14ac:dyDescent="0.25"/>
    <row r="186967" s="12" customFormat="1" x14ac:dyDescent="0.25"/>
    <row r="186968" s="12" customFormat="1" x14ac:dyDescent="0.25"/>
    <row r="186969" s="12" customFormat="1" x14ac:dyDescent="0.25"/>
    <row r="186970" s="12" customFormat="1" x14ac:dyDescent="0.25"/>
    <row r="186971" s="12" customFormat="1" x14ac:dyDescent="0.25"/>
    <row r="186972" s="12" customFormat="1" x14ac:dyDescent="0.25"/>
    <row r="186973" s="12" customFormat="1" x14ac:dyDescent="0.25"/>
    <row r="186974" s="12" customFormat="1" x14ac:dyDescent="0.25"/>
    <row r="186975" s="12" customFormat="1" x14ac:dyDescent="0.25"/>
    <row r="186976" s="12" customFormat="1" x14ac:dyDescent="0.25"/>
    <row r="186977" s="12" customFormat="1" x14ac:dyDescent="0.25"/>
    <row r="186978" s="12" customFormat="1" x14ac:dyDescent="0.25"/>
    <row r="186979" s="12" customFormat="1" x14ac:dyDescent="0.25"/>
    <row r="186980" s="12" customFormat="1" x14ac:dyDescent="0.25"/>
    <row r="186981" s="12" customFormat="1" x14ac:dyDescent="0.25"/>
    <row r="186982" s="12" customFormat="1" x14ac:dyDescent="0.25"/>
    <row r="186983" s="12" customFormat="1" x14ac:dyDescent="0.25"/>
    <row r="186984" s="12" customFormat="1" x14ac:dyDescent="0.25"/>
    <row r="186985" s="12" customFormat="1" x14ac:dyDescent="0.25"/>
    <row r="186986" s="12" customFormat="1" x14ac:dyDescent="0.25"/>
    <row r="186987" s="12" customFormat="1" x14ac:dyDescent="0.25"/>
    <row r="186988" s="12" customFormat="1" x14ac:dyDescent="0.25"/>
    <row r="186989" s="12" customFormat="1" x14ac:dyDescent="0.25"/>
    <row r="186990" s="12" customFormat="1" x14ac:dyDescent="0.25"/>
    <row r="186991" s="12" customFormat="1" x14ac:dyDescent="0.25"/>
    <row r="186992" s="12" customFormat="1" x14ac:dyDescent="0.25"/>
    <row r="186993" s="12" customFormat="1" x14ac:dyDescent="0.25"/>
    <row r="186994" s="12" customFormat="1" x14ac:dyDescent="0.25"/>
    <row r="186995" s="12" customFormat="1" x14ac:dyDescent="0.25"/>
    <row r="186996" s="12" customFormat="1" x14ac:dyDescent="0.25"/>
    <row r="186997" s="12" customFormat="1" x14ac:dyDescent="0.25"/>
    <row r="186998" s="12" customFormat="1" x14ac:dyDescent="0.25"/>
    <row r="186999" s="12" customFormat="1" x14ac:dyDescent="0.25"/>
    <row r="187000" s="12" customFormat="1" x14ac:dyDescent="0.25"/>
    <row r="187001" s="12" customFormat="1" x14ac:dyDescent="0.25"/>
    <row r="187002" s="12" customFormat="1" x14ac:dyDescent="0.25"/>
    <row r="187003" s="12" customFormat="1" x14ac:dyDescent="0.25"/>
    <row r="187004" s="12" customFormat="1" x14ac:dyDescent="0.25"/>
    <row r="187005" s="12" customFormat="1" x14ac:dyDescent="0.25"/>
    <row r="187006" s="12" customFormat="1" x14ac:dyDescent="0.25"/>
    <row r="187007" s="12" customFormat="1" x14ac:dyDescent="0.25"/>
    <row r="187008" s="12" customFormat="1" x14ac:dyDescent="0.25"/>
    <row r="187009" s="12" customFormat="1" x14ac:dyDescent="0.25"/>
    <row r="187010" s="12" customFormat="1" x14ac:dyDescent="0.25"/>
    <row r="187011" s="12" customFormat="1" x14ac:dyDescent="0.25"/>
    <row r="187012" s="12" customFormat="1" x14ac:dyDescent="0.25"/>
    <row r="187013" s="12" customFormat="1" x14ac:dyDescent="0.25"/>
    <row r="187014" s="12" customFormat="1" x14ac:dyDescent="0.25"/>
    <row r="187015" s="12" customFormat="1" x14ac:dyDescent="0.25"/>
    <row r="187016" s="12" customFormat="1" x14ac:dyDescent="0.25"/>
    <row r="187017" s="12" customFormat="1" x14ac:dyDescent="0.25"/>
    <row r="187018" s="12" customFormat="1" x14ac:dyDescent="0.25"/>
    <row r="187019" s="12" customFormat="1" x14ac:dyDescent="0.25"/>
    <row r="187020" s="12" customFormat="1" x14ac:dyDescent="0.25"/>
    <row r="187021" s="12" customFormat="1" x14ac:dyDescent="0.25"/>
    <row r="187022" s="12" customFormat="1" x14ac:dyDescent="0.25"/>
    <row r="187023" s="12" customFormat="1" x14ac:dyDescent="0.25"/>
    <row r="187024" s="12" customFormat="1" x14ac:dyDescent="0.25"/>
    <row r="187025" s="12" customFormat="1" x14ac:dyDescent="0.25"/>
    <row r="187026" s="12" customFormat="1" x14ac:dyDescent="0.25"/>
    <row r="187027" s="12" customFormat="1" x14ac:dyDescent="0.25"/>
    <row r="187028" s="12" customFormat="1" x14ac:dyDescent="0.25"/>
    <row r="187029" s="12" customFormat="1" x14ac:dyDescent="0.25"/>
    <row r="187030" s="12" customFormat="1" x14ac:dyDescent="0.25"/>
    <row r="187031" s="12" customFormat="1" x14ac:dyDescent="0.25"/>
    <row r="187032" s="12" customFormat="1" x14ac:dyDescent="0.25"/>
    <row r="187033" s="12" customFormat="1" x14ac:dyDescent="0.25"/>
    <row r="187034" s="12" customFormat="1" x14ac:dyDescent="0.25"/>
    <row r="187035" s="12" customFormat="1" x14ac:dyDescent="0.25"/>
    <row r="187036" s="12" customFormat="1" x14ac:dyDescent="0.25"/>
    <row r="187037" s="12" customFormat="1" x14ac:dyDescent="0.25"/>
    <row r="187038" s="12" customFormat="1" x14ac:dyDescent="0.25"/>
    <row r="187039" s="12" customFormat="1" x14ac:dyDescent="0.25"/>
    <row r="187040" s="12" customFormat="1" x14ac:dyDescent="0.25"/>
    <row r="187041" s="12" customFormat="1" x14ac:dyDescent="0.25"/>
    <row r="187042" s="12" customFormat="1" x14ac:dyDescent="0.25"/>
    <row r="187043" s="12" customFormat="1" x14ac:dyDescent="0.25"/>
    <row r="187044" s="12" customFormat="1" x14ac:dyDescent="0.25"/>
    <row r="187045" s="12" customFormat="1" x14ac:dyDescent="0.25"/>
    <row r="187046" s="12" customFormat="1" x14ac:dyDescent="0.25"/>
    <row r="187047" s="12" customFormat="1" x14ac:dyDescent="0.25"/>
    <row r="187048" s="12" customFormat="1" x14ac:dyDescent="0.25"/>
    <row r="187049" s="12" customFormat="1" x14ac:dyDescent="0.25"/>
    <row r="187050" s="12" customFormat="1" x14ac:dyDescent="0.25"/>
    <row r="187051" s="12" customFormat="1" x14ac:dyDescent="0.25"/>
    <row r="187052" s="12" customFormat="1" x14ac:dyDescent="0.25"/>
    <row r="187053" s="12" customFormat="1" x14ac:dyDescent="0.25"/>
    <row r="187054" s="12" customFormat="1" x14ac:dyDescent="0.25"/>
    <row r="187055" s="12" customFormat="1" x14ac:dyDescent="0.25"/>
    <row r="187056" s="12" customFormat="1" x14ac:dyDescent="0.25"/>
    <row r="187057" s="12" customFormat="1" x14ac:dyDescent="0.25"/>
    <row r="187058" s="12" customFormat="1" x14ac:dyDescent="0.25"/>
    <row r="187059" s="12" customFormat="1" x14ac:dyDescent="0.25"/>
    <row r="187060" s="12" customFormat="1" x14ac:dyDescent="0.25"/>
    <row r="187061" s="12" customFormat="1" x14ac:dyDescent="0.25"/>
    <row r="187062" s="12" customFormat="1" x14ac:dyDescent="0.25"/>
    <row r="187063" s="12" customFormat="1" x14ac:dyDescent="0.25"/>
    <row r="187064" s="12" customFormat="1" x14ac:dyDescent="0.25"/>
    <row r="187065" s="12" customFormat="1" x14ac:dyDescent="0.25"/>
    <row r="187066" s="12" customFormat="1" x14ac:dyDescent="0.25"/>
    <row r="187067" s="12" customFormat="1" x14ac:dyDescent="0.25"/>
    <row r="187068" s="12" customFormat="1" x14ac:dyDescent="0.25"/>
    <row r="187069" s="12" customFormat="1" x14ac:dyDescent="0.25"/>
    <row r="187070" s="12" customFormat="1" x14ac:dyDescent="0.25"/>
    <row r="187071" s="12" customFormat="1" x14ac:dyDescent="0.25"/>
    <row r="187072" s="12" customFormat="1" x14ac:dyDescent="0.25"/>
    <row r="187073" s="12" customFormat="1" x14ac:dyDescent="0.25"/>
    <row r="187074" s="12" customFormat="1" x14ac:dyDescent="0.25"/>
    <row r="187075" s="12" customFormat="1" x14ac:dyDescent="0.25"/>
    <row r="187076" s="12" customFormat="1" x14ac:dyDescent="0.25"/>
    <row r="187077" s="12" customFormat="1" x14ac:dyDescent="0.25"/>
    <row r="187078" s="12" customFormat="1" x14ac:dyDescent="0.25"/>
    <row r="187079" s="12" customFormat="1" x14ac:dyDescent="0.25"/>
    <row r="187080" s="12" customFormat="1" x14ac:dyDescent="0.25"/>
    <row r="187081" s="12" customFormat="1" x14ac:dyDescent="0.25"/>
    <row r="187082" s="12" customFormat="1" x14ac:dyDescent="0.25"/>
    <row r="187083" s="12" customFormat="1" x14ac:dyDescent="0.25"/>
    <row r="187084" s="12" customFormat="1" x14ac:dyDescent="0.25"/>
    <row r="187085" s="12" customFormat="1" x14ac:dyDescent="0.25"/>
    <row r="187086" s="12" customFormat="1" x14ac:dyDescent="0.25"/>
    <row r="187087" s="12" customFormat="1" x14ac:dyDescent="0.25"/>
    <row r="187088" s="12" customFormat="1" x14ac:dyDescent="0.25"/>
    <row r="187089" s="12" customFormat="1" x14ac:dyDescent="0.25"/>
    <row r="187090" s="12" customFormat="1" x14ac:dyDescent="0.25"/>
    <row r="187091" s="12" customFormat="1" x14ac:dyDescent="0.25"/>
    <row r="187092" s="12" customFormat="1" x14ac:dyDescent="0.25"/>
    <row r="187093" s="12" customFormat="1" x14ac:dyDescent="0.25"/>
    <row r="187094" s="12" customFormat="1" x14ac:dyDescent="0.25"/>
    <row r="187095" s="12" customFormat="1" x14ac:dyDescent="0.25"/>
    <row r="187096" s="12" customFormat="1" x14ac:dyDescent="0.25"/>
    <row r="187097" s="12" customFormat="1" x14ac:dyDescent="0.25"/>
    <row r="187098" s="12" customFormat="1" x14ac:dyDescent="0.25"/>
    <row r="187099" s="12" customFormat="1" x14ac:dyDescent="0.25"/>
    <row r="187100" s="12" customFormat="1" x14ac:dyDescent="0.25"/>
    <row r="187101" s="12" customFormat="1" x14ac:dyDescent="0.25"/>
    <row r="187102" s="12" customFormat="1" x14ac:dyDescent="0.25"/>
    <row r="187103" s="12" customFormat="1" x14ac:dyDescent="0.25"/>
    <row r="187104" s="12" customFormat="1" x14ac:dyDescent="0.25"/>
    <row r="187105" s="12" customFormat="1" x14ac:dyDescent="0.25"/>
    <row r="187106" s="12" customFormat="1" x14ac:dyDescent="0.25"/>
    <row r="187107" s="12" customFormat="1" x14ac:dyDescent="0.25"/>
    <row r="187108" s="12" customFormat="1" x14ac:dyDescent="0.25"/>
    <row r="187109" s="12" customFormat="1" x14ac:dyDescent="0.25"/>
    <row r="187110" s="12" customFormat="1" x14ac:dyDescent="0.25"/>
    <row r="187111" s="12" customFormat="1" x14ac:dyDescent="0.25"/>
    <row r="187112" s="12" customFormat="1" x14ac:dyDescent="0.25"/>
    <row r="187113" s="12" customFormat="1" x14ac:dyDescent="0.25"/>
    <row r="187114" s="12" customFormat="1" x14ac:dyDescent="0.25"/>
    <row r="187115" s="12" customFormat="1" x14ac:dyDescent="0.25"/>
    <row r="187116" s="12" customFormat="1" x14ac:dyDescent="0.25"/>
    <row r="187117" s="12" customFormat="1" x14ac:dyDescent="0.25"/>
    <row r="187118" s="12" customFormat="1" x14ac:dyDescent="0.25"/>
    <row r="187119" s="12" customFormat="1" x14ac:dyDescent="0.25"/>
    <row r="187120" s="12" customFormat="1" x14ac:dyDescent="0.25"/>
    <row r="187121" s="12" customFormat="1" x14ac:dyDescent="0.25"/>
    <row r="187122" s="12" customFormat="1" x14ac:dyDescent="0.25"/>
    <row r="187123" s="12" customFormat="1" x14ac:dyDescent="0.25"/>
    <row r="187124" s="12" customFormat="1" x14ac:dyDescent="0.25"/>
    <row r="187125" s="12" customFormat="1" x14ac:dyDescent="0.25"/>
    <row r="187126" s="12" customFormat="1" x14ac:dyDescent="0.25"/>
    <row r="187127" s="12" customFormat="1" x14ac:dyDescent="0.25"/>
    <row r="187128" s="12" customFormat="1" x14ac:dyDescent="0.25"/>
    <row r="187129" s="12" customFormat="1" x14ac:dyDescent="0.25"/>
    <row r="187130" s="12" customFormat="1" x14ac:dyDescent="0.25"/>
    <row r="187131" s="12" customFormat="1" x14ac:dyDescent="0.25"/>
    <row r="187132" s="12" customFormat="1" x14ac:dyDescent="0.25"/>
    <row r="187133" s="12" customFormat="1" x14ac:dyDescent="0.25"/>
    <row r="187134" s="12" customFormat="1" x14ac:dyDescent="0.25"/>
    <row r="187135" s="12" customFormat="1" x14ac:dyDescent="0.25"/>
    <row r="187136" s="12" customFormat="1" x14ac:dyDescent="0.25"/>
    <row r="187137" s="12" customFormat="1" x14ac:dyDescent="0.25"/>
    <row r="187138" s="12" customFormat="1" x14ac:dyDescent="0.25"/>
    <row r="187139" s="12" customFormat="1" x14ac:dyDescent="0.25"/>
    <row r="187140" s="12" customFormat="1" x14ac:dyDescent="0.25"/>
    <row r="187141" s="12" customFormat="1" x14ac:dyDescent="0.25"/>
    <row r="187142" s="12" customFormat="1" x14ac:dyDescent="0.25"/>
    <row r="187143" s="12" customFormat="1" x14ac:dyDescent="0.25"/>
    <row r="187144" s="12" customFormat="1" x14ac:dyDescent="0.25"/>
    <row r="187145" s="12" customFormat="1" x14ac:dyDescent="0.25"/>
    <row r="187146" s="12" customFormat="1" x14ac:dyDescent="0.25"/>
    <row r="187147" s="12" customFormat="1" x14ac:dyDescent="0.25"/>
    <row r="187148" s="12" customFormat="1" x14ac:dyDescent="0.25"/>
    <row r="187149" s="12" customFormat="1" x14ac:dyDescent="0.25"/>
    <row r="187150" s="12" customFormat="1" x14ac:dyDescent="0.25"/>
    <row r="187151" s="12" customFormat="1" x14ac:dyDescent="0.25"/>
    <row r="187152" s="12" customFormat="1" x14ac:dyDescent="0.25"/>
    <row r="187153" s="12" customFormat="1" x14ac:dyDescent="0.25"/>
    <row r="187154" s="12" customFormat="1" x14ac:dyDescent="0.25"/>
    <row r="187155" s="12" customFormat="1" x14ac:dyDescent="0.25"/>
    <row r="187156" s="12" customFormat="1" x14ac:dyDescent="0.25"/>
    <row r="187157" s="12" customFormat="1" x14ac:dyDescent="0.25"/>
    <row r="187158" s="12" customFormat="1" x14ac:dyDescent="0.25"/>
    <row r="187159" s="12" customFormat="1" x14ac:dyDescent="0.25"/>
    <row r="187160" s="12" customFormat="1" x14ac:dyDescent="0.25"/>
    <row r="187161" s="12" customFormat="1" x14ac:dyDescent="0.25"/>
    <row r="187162" s="12" customFormat="1" x14ac:dyDescent="0.25"/>
    <row r="187163" s="12" customFormat="1" x14ac:dyDescent="0.25"/>
    <row r="187164" s="12" customFormat="1" x14ac:dyDescent="0.25"/>
    <row r="187165" s="12" customFormat="1" x14ac:dyDescent="0.25"/>
    <row r="187166" s="12" customFormat="1" x14ac:dyDescent="0.25"/>
    <row r="187167" s="12" customFormat="1" x14ac:dyDescent="0.25"/>
    <row r="187168" s="12" customFormat="1" x14ac:dyDescent="0.25"/>
    <row r="187169" s="12" customFormat="1" x14ac:dyDescent="0.25"/>
    <row r="187170" s="12" customFormat="1" x14ac:dyDescent="0.25"/>
    <row r="187171" s="12" customFormat="1" x14ac:dyDescent="0.25"/>
    <row r="187172" s="12" customFormat="1" x14ac:dyDescent="0.25"/>
    <row r="187173" s="12" customFormat="1" x14ac:dyDescent="0.25"/>
    <row r="187174" s="12" customFormat="1" x14ac:dyDescent="0.25"/>
    <row r="187175" s="12" customFormat="1" x14ac:dyDescent="0.25"/>
    <row r="187176" s="12" customFormat="1" x14ac:dyDescent="0.25"/>
    <row r="187177" s="12" customFormat="1" x14ac:dyDescent="0.25"/>
    <row r="187178" s="12" customFormat="1" x14ac:dyDescent="0.25"/>
    <row r="187179" s="12" customFormat="1" x14ac:dyDescent="0.25"/>
    <row r="187180" s="12" customFormat="1" x14ac:dyDescent="0.25"/>
    <row r="187181" s="12" customFormat="1" x14ac:dyDescent="0.25"/>
    <row r="187182" s="12" customFormat="1" x14ac:dyDescent="0.25"/>
    <row r="187183" s="12" customFormat="1" x14ac:dyDescent="0.25"/>
    <row r="187184" s="12" customFormat="1" x14ac:dyDescent="0.25"/>
    <row r="187185" s="12" customFormat="1" x14ac:dyDescent="0.25"/>
    <row r="187186" s="12" customFormat="1" x14ac:dyDescent="0.25"/>
    <row r="187187" s="12" customFormat="1" x14ac:dyDescent="0.25"/>
    <row r="187188" s="12" customFormat="1" x14ac:dyDescent="0.25"/>
    <row r="187189" s="12" customFormat="1" x14ac:dyDescent="0.25"/>
    <row r="187190" s="12" customFormat="1" x14ac:dyDescent="0.25"/>
    <row r="187191" s="12" customFormat="1" x14ac:dyDescent="0.25"/>
    <row r="187192" s="12" customFormat="1" x14ac:dyDescent="0.25"/>
    <row r="187193" s="12" customFormat="1" x14ac:dyDescent="0.25"/>
    <row r="187194" s="12" customFormat="1" x14ac:dyDescent="0.25"/>
    <row r="187195" s="12" customFormat="1" x14ac:dyDescent="0.25"/>
    <row r="187196" s="12" customFormat="1" x14ac:dyDescent="0.25"/>
    <row r="187197" s="12" customFormat="1" x14ac:dyDescent="0.25"/>
    <row r="187198" s="12" customFormat="1" x14ac:dyDescent="0.25"/>
    <row r="187199" s="12" customFormat="1" x14ac:dyDescent="0.25"/>
    <row r="187200" s="12" customFormat="1" x14ac:dyDescent="0.25"/>
    <row r="187201" s="12" customFormat="1" x14ac:dyDescent="0.25"/>
    <row r="187202" s="12" customFormat="1" x14ac:dyDescent="0.25"/>
    <row r="187203" s="12" customFormat="1" x14ac:dyDescent="0.25"/>
    <row r="187204" s="12" customFormat="1" x14ac:dyDescent="0.25"/>
    <row r="187205" s="12" customFormat="1" x14ac:dyDescent="0.25"/>
    <row r="187206" s="12" customFormat="1" x14ac:dyDescent="0.25"/>
    <row r="187207" s="12" customFormat="1" x14ac:dyDescent="0.25"/>
    <row r="187208" s="12" customFormat="1" x14ac:dyDescent="0.25"/>
    <row r="187209" s="12" customFormat="1" x14ac:dyDescent="0.25"/>
    <row r="187210" s="12" customFormat="1" x14ac:dyDescent="0.25"/>
    <row r="187211" s="12" customFormat="1" x14ac:dyDescent="0.25"/>
    <row r="187212" s="12" customFormat="1" x14ac:dyDescent="0.25"/>
    <row r="187213" s="12" customFormat="1" x14ac:dyDescent="0.25"/>
    <row r="187214" s="12" customFormat="1" x14ac:dyDescent="0.25"/>
    <row r="187215" s="12" customFormat="1" x14ac:dyDescent="0.25"/>
    <row r="187216" s="12" customFormat="1" x14ac:dyDescent="0.25"/>
    <row r="187217" s="12" customFormat="1" x14ac:dyDescent="0.25"/>
    <row r="187218" s="12" customFormat="1" x14ac:dyDescent="0.25"/>
    <row r="187219" s="12" customFormat="1" x14ac:dyDescent="0.25"/>
    <row r="187220" s="12" customFormat="1" x14ac:dyDescent="0.25"/>
    <row r="187221" s="12" customFormat="1" x14ac:dyDescent="0.25"/>
    <row r="187222" s="12" customFormat="1" x14ac:dyDescent="0.25"/>
    <row r="187223" s="12" customFormat="1" x14ac:dyDescent="0.25"/>
    <row r="187224" s="12" customFormat="1" x14ac:dyDescent="0.25"/>
    <row r="187225" s="12" customFormat="1" x14ac:dyDescent="0.25"/>
    <row r="187226" s="12" customFormat="1" x14ac:dyDescent="0.25"/>
    <row r="187227" s="12" customFormat="1" x14ac:dyDescent="0.25"/>
    <row r="187228" s="12" customFormat="1" x14ac:dyDescent="0.25"/>
    <row r="187229" s="12" customFormat="1" x14ac:dyDescent="0.25"/>
    <row r="187230" s="12" customFormat="1" x14ac:dyDescent="0.25"/>
    <row r="187231" s="12" customFormat="1" x14ac:dyDescent="0.25"/>
    <row r="187232" s="12" customFormat="1" x14ac:dyDescent="0.25"/>
    <row r="187233" s="12" customFormat="1" x14ac:dyDescent="0.25"/>
    <row r="187234" s="12" customFormat="1" x14ac:dyDescent="0.25"/>
    <row r="187235" s="12" customFormat="1" x14ac:dyDescent="0.25"/>
    <row r="187236" s="12" customFormat="1" x14ac:dyDescent="0.25"/>
    <row r="187237" s="12" customFormat="1" x14ac:dyDescent="0.25"/>
    <row r="187238" s="12" customFormat="1" x14ac:dyDescent="0.25"/>
    <row r="187239" s="12" customFormat="1" x14ac:dyDescent="0.25"/>
    <row r="187240" s="12" customFormat="1" x14ac:dyDescent="0.25"/>
    <row r="187241" s="12" customFormat="1" x14ac:dyDescent="0.25"/>
    <row r="187242" s="12" customFormat="1" x14ac:dyDescent="0.25"/>
    <row r="187243" s="12" customFormat="1" x14ac:dyDescent="0.25"/>
    <row r="187244" s="12" customFormat="1" x14ac:dyDescent="0.25"/>
    <row r="187245" s="12" customFormat="1" x14ac:dyDescent="0.25"/>
    <row r="187246" s="12" customFormat="1" x14ac:dyDescent="0.25"/>
    <row r="187247" s="12" customFormat="1" x14ac:dyDescent="0.25"/>
    <row r="187248" s="12" customFormat="1" x14ac:dyDescent="0.25"/>
    <row r="187249" s="12" customFormat="1" x14ac:dyDescent="0.25"/>
    <row r="187250" s="12" customFormat="1" x14ac:dyDescent="0.25"/>
    <row r="187251" s="12" customFormat="1" x14ac:dyDescent="0.25"/>
    <row r="187252" s="12" customFormat="1" x14ac:dyDescent="0.25"/>
    <row r="187253" s="12" customFormat="1" x14ac:dyDescent="0.25"/>
    <row r="187254" s="12" customFormat="1" x14ac:dyDescent="0.25"/>
    <row r="187255" s="12" customFormat="1" x14ac:dyDescent="0.25"/>
    <row r="187256" s="12" customFormat="1" x14ac:dyDescent="0.25"/>
    <row r="187257" s="12" customFormat="1" x14ac:dyDescent="0.25"/>
    <row r="187258" s="12" customFormat="1" x14ac:dyDescent="0.25"/>
    <row r="187259" s="12" customFormat="1" x14ac:dyDescent="0.25"/>
    <row r="187260" s="12" customFormat="1" x14ac:dyDescent="0.25"/>
    <row r="187261" s="12" customFormat="1" x14ac:dyDescent="0.25"/>
    <row r="187262" s="12" customFormat="1" x14ac:dyDescent="0.25"/>
    <row r="187263" s="12" customFormat="1" x14ac:dyDescent="0.25"/>
    <row r="187264" s="12" customFormat="1" x14ac:dyDescent="0.25"/>
    <row r="187265" s="12" customFormat="1" x14ac:dyDescent="0.25"/>
    <row r="187266" s="12" customFormat="1" x14ac:dyDescent="0.25"/>
    <row r="187267" s="12" customFormat="1" x14ac:dyDescent="0.25"/>
    <row r="187268" s="12" customFormat="1" x14ac:dyDescent="0.25"/>
    <row r="187269" s="12" customFormat="1" x14ac:dyDescent="0.25"/>
    <row r="187270" s="12" customFormat="1" x14ac:dyDescent="0.25"/>
    <row r="187271" s="12" customFormat="1" x14ac:dyDescent="0.25"/>
    <row r="187272" s="12" customFormat="1" x14ac:dyDescent="0.25"/>
    <row r="187273" s="12" customFormat="1" x14ac:dyDescent="0.25"/>
    <row r="187274" s="12" customFormat="1" x14ac:dyDescent="0.25"/>
    <row r="187275" s="12" customFormat="1" x14ac:dyDescent="0.25"/>
    <row r="187276" s="12" customFormat="1" x14ac:dyDescent="0.25"/>
    <row r="187277" s="12" customFormat="1" x14ac:dyDescent="0.25"/>
    <row r="187278" s="12" customFormat="1" x14ac:dyDescent="0.25"/>
    <row r="187279" s="12" customFormat="1" x14ac:dyDescent="0.25"/>
    <row r="187280" s="12" customFormat="1" x14ac:dyDescent="0.25"/>
    <row r="187281" s="12" customFormat="1" x14ac:dyDescent="0.25"/>
    <row r="187282" s="12" customFormat="1" x14ac:dyDescent="0.25"/>
    <row r="187283" s="12" customFormat="1" x14ac:dyDescent="0.25"/>
    <row r="187284" s="12" customFormat="1" x14ac:dyDescent="0.25"/>
    <row r="187285" s="12" customFormat="1" x14ac:dyDescent="0.25"/>
    <row r="187286" s="12" customFormat="1" x14ac:dyDescent="0.25"/>
    <row r="187287" s="12" customFormat="1" x14ac:dyDescent="0.25"/>
    <row r="187288" s="12" customFormat="1" x14ac:dyDescent="0.25"/>
    <row r="187289" s="12" customFormat="1" x14ac:dyDescent="0.25"/>
    <row r="187290" s="12" customFormat="1" x14ac:dyDescent="0.25"/>
    <row r="187291" s="12" customFormat="1" x14ac:dyDescent="0.25"/>
    <row r="187292" s="12" customFormat="1" x14ac:dyDescent="0.25"/>
    <row r="187293" s="12" customFormat="1" x14ac:dyDescent="0.25"/>
    <row r="187294" s="12" customFormat="1" x14ac:dyDescent="0.25"/>
    <row r="187295" s="12" customFormat="1" x14ac:dyDescent="0.25"/>
    <row r="187296" s="12" customFormat="1" x14ac:dyDescent="0.25"/>
    <row r="187297" s="12" customFormat="1" x14ac:dyDescent="0.25"/>
    <row r="187298" s="12" customFormat="1" x14ac:dyDescent="0.25"/>
    <row r="187299" s="12" customFormat="1" x14ac:dyDescent="0.25"/>
    <row r="187300" s="12" customFormat="1" x14ac:dyDescent="0.25"/>
    <row r="187301" s="12" customFormat="1" x14ac:dyDescent="0.25"/>
    <row r="187302" s="12" customFormat="1" x14ac:dyDescent="0.25"/>
    <row r="187303" s="12" customFormat="1" x14ac:dyDescent="0.25"/>
    <row r="187304" s="12" customFormat="1" x14ac:dyDescent="0.25"/>
    <row r="187305" s="12" customFormat="1" x14ac:dyDescent="0.25"/>
    <row r="187306" s="12" customFormat="1" x14ac:dyDescent="0.25"/>
    <row r="187307" s="12" customFormat="1" x14ac:dyDescent="0.25"/>
    <row r="187308" s="12" customFormat="1" x14ac:dyDescent="0.25"/>
    <row r="187309" s="12" customFormat="1" x14ac:dyDescent="0.25"/>
    <row r="187310" s="12" customFormat="1" x14ac:dyDescent="0.25"/>
    <row r="187311" s="12" customFormat="1" x14ac:dyDescent="0.25"/>
    <row r="187312" s="12" customFormat="1" x14ac:dyDescent="0.25"/>
    <row r="187313" s="12" customFormat="1" x14ac:dyDescent="0.25"/>
    <row r="187314" s="12" customFormat="1" x14ac:dyDescent="0.25"/>
    <row r="187315" s="12" customFormat="1" x14ac:dyDescent="0.25"/>
    <row r="187316" s="12" customFormat="1" x14ac:dyDescent="0.25"/>
    <row r="187317" s="12" customFormat="1" x14ac:dyDescent="0.25"/>
    <row r="187318" s="12" customFormat="1" x14ac:dyDescent="0.25"/>
    <row r="187319" s="12" customFormat="1" x14ac:dyDescent="0.25"/>
    <row r="187320" s="12" customFormat="1" x14ac:dyDescent="0.25"/>
    <row r="187321" s="12" customFormat="1" x14ac:dyDescent="0.25"/>
    <row r="187322" s="12" customFormat="1" x14ac:dyDescent="0.25"/>
    <row r="187323" s="12" customFormat="1" x14ac:dyDescent="0.25"/>
    <row r="187324" s="12" customFormat="1" x14ac:dyDescent="0.25"/>
    <row r="187325" s="12" customFormat="1" x14ac:dyDescent="0.25"/>
    <row r="187326" s="12" customFormat="1" x14ac:dyDescent="0.25"/>
    <row r="187327" s="12" customFormat="1" x14ac:dyDescent="0.25"/>
    <row r="187328" s="12" customFormat="1" x14ac:dyDescent="0.25"/>
    <row r="187329" s="12" customFormat="1" x14ac:dyDescent="0.25"/>
    <row r="187330" s="12" customFormat="1" x14ac:dyDescent="0.25"/>
    <row r="187331" s="12" customFormat="1" x14ac:dyDescent="0.25"/>
    <row r="187332" s="12" customFormat="1" x14ac:dyDescent="0.25"/>
    <row r="187333" s="12" customFormat="1" x14ac:dyDescent="0.25"/>
    <row r="187334" s="12" customFormat="1" x14ac:dyDescent="0.25"/>
    <row r="187335" s="12" customFormat="1" x14ac:dyDescent="0.25"/>
    <row r="187336" s="12" customFormat="1" x14ac:dyDescent="0.25"/>
    <row r="187337" s="12" customFormat="1" x14ac:dyDescent="0.25"/>
    <row r="187338" s="12" customFormat="1" x14ac:dyDescent="0.25"/>
    <row r="187339" s="12" customFormat="1" x14ac:dyDescent="0.25"/>
    <row r="187340" s="12" customFormat="1" x14ac:dyDescent="0.25"/>
    <row r="187341" s="12" customFormat="1" x14ac:dyDescent="0.25"/>
    <row r="187342" s="12" customFormat="1" x14ac:dyDescent="0.25"/>
    <row r="187343" s="12" customFormat="1" x14ac:dyDescent="0.25"/>
    <row r="187344" s="12" customFormat="1" x14ac:dyDescent="0.25"/>
    <row r="187345" s="12" customFormat="1" x14ac:dyDescent="0.25"/>
    <row r="187346" s="12" customFormat="1" x14ac:dyDescent="0.25"/>
    <row r="187347" s="12" customFormat="1" x14ac:dyDescent="0.25"/>
    <row r="187348" s="12" customFormat="1" x14ac:dyDescent="0.25"/>
    <row r="187349" s="12" customFormat="1" x14ac:dyDescent="0.25"/>
    <row r="187350" s="12" customFormat="1" x14ac:dyDescent="0.25"/>
    <row r="187351" s="12" customFormat="1" x14ac:dyDescent="0.25"/>
    <row r="187352" s="12" customFormat="1" x14ac:dyDescent="0.25"/>
    <row r="187353" s="12" customFormat="1" x14ac:dyDescent="0.25"/>
    <row r="187354" s="12" customFormat="1" x14ac:dyDescent="0.25"/>
    <row r="187355" s="12" customFormat="1" x14ac:dyDescent="0.25"/>
    <row r="187356" s="12" customFormat="1" x14ac:dyDescent="0.25"/>
    <row r="187357" s="12" customFormat="1" x14ac:dyDescent="0.25"/>
    <row r="187358" s="12" customFormat="1" x14ac:dyDescent="0.25"/>
    <row r="187359" s="12" customFormat="1" x14ac:dyDescent="0.25"/>
    <row r="187360" s="12" customFormat="1" x14ac:dyDescent="0.25"/>
    <row r="187361" s="12" customFormat="1" x14ac:dyDescent="0.25"/>
    <row r="187362" s="12" customFormat="1" x14ac:dyDescent="0.25"/>
    <row r="187363" s="12" customFormat="1" x14ac:dyDescent="0.25"/>
    <row r="187364" s="12" customFormat="1" x14ac:dyDescent="0.25"/>
    <row r="187365" s="12" customFormat="1" x14ac:dyDescent="0.25"/>
    <row r="187366" s="12" customFormat="1" x14ac:dyDescent="0.25"/>
    <row r="187367" s="12" customFormat="1" x14ac:dyDescent="0.25"/>
    <row r="187368" s="12" customFormat="1" x14ac:dyDescent="0.25"/>
    <row r="187369" s="12" customFormat="1" x14ac:dyDescent="0.25"/>
    <row r="187370" s="12" customFormat="1" x14ac:dyDescent="0.25"/>
    <row r="187371" s="12" customFormat="1" x14ac:dyDescent="0.25"/>
    <row r="187372" s="12" customFormat="1" x14ac:dyDescent="0.25"/>
    <row r="187373" s="12" customFormat="1" x14ac:dyDescent="0.25"/>
    <row r="187374" s="12" customFormat="1" x14ac:dyDescent="0.25"/>
    <row r="187375" s="12" customFormat="1" x14ac:dyDescent="0.25"/>
    <row r="187376" s="12" customFormat="1" x14ac:dyDescent="0.25"/>
    <row r="187377" s="12" customFormat="1" x14ac:dyDescent="0.25"/>
    <row r="187378" s="12" customFormat="1" x14ac:dyDescent="0.25"/>
    <row r="187379" s="12" customFormat="1" x14ac:dyDescent="0.25"/>
    <row r="187380" s="12" customFormat="1" x14ac:dyDescent="0.25"/>
    <row r="187381" s="12" customFormat="1" x14ac:dyDescent="0.25"/>
    <row r="187382" s="12" customFormat="1" x14ac:dyDescent="0.25"/>
    <row r="187383" s="12" customFormat="1" x14ac:dyDescent="0.25"/>
    <row r="187384" s="12" customFormat="1" x14ac:dyDescent="0.25"/>
    <row r="187385" s="12" customFormat="1" x14ac:dyDescent="0.25"/>
    <row r="187386" s="12" customFormat="1" x14ac:dyDescent="0.25"/>
    <row r="187387" s="12" customFormat="1" x14ac:dyDescent="0.25"/>
    <row r="187388" s="12" customFormat="1" x14ac:dyDescent="0.25"/>
    <row r="187389" s="12" customFormat="1" x14ac:dyDescent="0.25"/>
    <row r="187390" s="12" customFormat="1" x14ac:dyDescent="0.25"/>
    <row r="187391" s="12" customFormat="1" x14ac:dyDescent="0.25"/>
    <row r="187392" s="12" customFormat="1" x14ac:dyDescent="0.25"/>
    <row r="187393" s="12" customFormat="1" x14ac:dyDescent="0.25"/>
    <row r="187394" s="12" customFormat="1" x14ac:dyDescent="0.25"/>
    <row r="187395" s="12" customFormat="1" x14ac:dyDescent="0.25"/>
    <row r="187396" s="12" customFormat="1" x14ac:dyDescent="0.25"/>
    <row r="187397" s="12" customFormat="1" x14ac:dyDescent="0.25"/>
    <row r="187398" s="12" customFormat="1" x14ac:dyDescent="0.25"/>
    <row r="187399" s="12" customFormat="1" x14ac:dyDescent="0.25"/>
    <row r="187400" s="12" customFormat="1" x14ac:dyDescent="0.25"/>
    <row r="187401" s="12" customFormat="1" x14ac:dyDescent="0.25"/>
    <row r="187402" s="12" customFormat="1" x14ac:dyDescent="0.25"/>
    <row r="187403" s="12" customFormat="1" x14ac:dyDescent="0.25"/>
    <row r="187404" s="12" customFormat="1" x14ac:dyDescent="0.25"/>
    <row r="187405" s="12" customFormat="1" x14ac:dyDescent="0.25"/>
    <row r="187406" s="12" customFormat="1" x14ac:dyDescent="0.25"/>
    <row r="187407" s="12" customFormat="1" x14ac:dyDescent="0.25"/>
    <row r="187408" s="12" customFormat="1" x14ac:dyDescent="0.25"/>
    <row r="187409" s="12" customFormat="1" x14ac:dyDescent="0.25"/>
    <row r="187410" s="12" customFormat="1" x14ac:dyDescent="0.25"/>
    <row r="187411" s="12" customFormat="1" x14ac:dyDescent="0.25"/>
    <row r="187412" s="12" customFormat="1" x14ac:dyDescent="0.25"/>
    <row r="187413" s="12" customFormat="1" x14ac:dyDescent="0.25"/>
    <row r="187414" s="12" customFormat="1" x14ac:dyDescent="0.25"/>
    <row r="187415" s="12" customFormat="1" x14ac:dyDescent="0.25"/>
    <row r="187416" s="12" customFormat="1" x14ac:dyDescent="0.25"/>
    <row r="187417" s="12" customFormat="1" x14ac:dyDescent="0.25"/>
    <row r="187418" s="12" customFormat="1" x14ac:dyDescent="0.25"/>
    <row r="187419" s="12" customFormat="1" x14ac:dyDescent="0.25"/>
    <row r="187420" s="12" customFormat="1" x14ac:dyDescent="0.25"/>
    <row r="187421" s="12" customFormat="1" x14ac:dyDescent="0.25"/>
    <row r="187422" s="12" customFormat="1" x14ac:dyDescent="0.25"/>
    <row r="187423" s="12" customFormat="1" x14ac:dyDescent="0.25"/>
    <row r="187424" s="12" customFormat="1" x14ac:dyDescent="0.25"/>
    <row r="187425" s="12" customFormat="1" x14ac:dyDescent="0.25"/>
    <row r="187426" s="12" customFormat="1" x14ac:dyDescent="0.25"/>
    <row r="187427" s="12" customFormat="1" x14ac:dyDescent="0.25"/>
    <row r="187428" s="12" customFormat="1" x14ac:dyDescent="0.25"/>
    <row r="187429" s="12" customFormat="1" x14ac:dyDescent="0.25"/>
    <row r="187430" s="12" customFormat="1" x14ac:dyDescent="0.25"/>
    <row r="187431" s="12" customFormat="1" x14ac:dyDescent="0.25"/>
    <row r="187432" s="12" customFormat="1" x14ac:dyDescent="0.25"/>
    <row r="187433" s="12" customFormat="1" x14ac:dyDescent="0.25"/>
    <row r="187434" s="12" customFormat="1" x14ac:dyDescent="0.25"/>
    <row r="187435" s="12" customFormat="1" x14ac:dyDescent="0.25"/>
    <row r="187436" s="12" customFormat="1" x14ac:dyDescent="0.25"/>
    <row r="187437" s="12" customFormat="1" x14ac:dyDescent="0.25"/>
    <row r="187438" s="12" customFormat="1" x14ac:dyDescent="0.25"/>
    <row r="187439" s="12" customFormat="1" x14ac:dyDescent="0.25"/>
    <row r="187440" s="12" customFormat="1" x14ac:dyDescent="0.25"/>
    <row r="187441" s="12" customFormat="1" x14ac:dyDescent="0.25"/>
    <row r="187442" s="12" customFormat="1" x14ac:dyDescent="0.25"/>
    <row r="187443" s="12" customFormat="1" x14ac:dyDescent="0.25"/>
    <row r="187444" s="12" customFormat="1" x14ac:dyDescent="0.25"/>
    <row r="187445" s="12" customFormat="1" x14ac:dyDescent="0.25"/>
    <row r="187446" s="12" customFormat="1" x14ac:dyDescent="0.25"/>
    <row r="187447" s="12" customFormat="1" x14ac:dyDescent="0.25"/>
    <row r="187448" s="12" customFormat="1" x14ac:dyDescent="0.25"/>
    <row r="187449" s="12" customFormat="1" x14ac:dyDescent="0.25"/>
    <row r="187450" s="12" customFormat="1" x14ac:dyDescent="0.25"/>
    <row r="187451" s="12" customFormat="1" x14ac:dyDescent="0.25"/>
    <row r="187452" s="12" customFormat="1" x14ac:dyDescent="0.25"/>
    <row r="187453" s="12" customFormat="1" x14ac:dyDescent="0.25"/>
    <row r="187454" s="12" customFormat="1" x14ac:dyDescent="0.25"/>
    <row r="187455" s="12" customFormat="1" x14ac:dyDescent="0.25"/>
    <row r="187456" s="12" customFormat="1" x14ac:dyDescent="0.25"/>
    <row r="187457" s="12" customFormat="1" x14ac:dyDescent="0.25"/>
    <row r="187458" s="12" customFormat="1" x14ac:dyDescent="0.25"/>
    <row r="187459" s="12" customFormat="1" x14ac:dyDescent="0.25"/>
    <row r="187460" s="12" customFormat="1" x14ac:dyDescent="0.25"/>
    <row r="187461" s="12" customFormat="1" x14ac:dyDescent="0.25"/>
    <row r="187462" s="12" customFormat="1" x14ac:dyDescent="0.25"/>
    <row r="187463" s="12" customFormat="1" x14ac:dyDescent="0.25"/>
    <row r="187464" s="12" customFormat="1" x14ac:dyDescent="0.25"/>
    <row r="187465" s="12" customFormat="1" x14ac:dyDescent="0.25"/>
    <row r="187466" s="12" customFormat="1" x14ac:dyDescent="0.25"/>
    <row r="187467" s="12" customFormat="1" x14ac:dyDescent="0.25"/>
    <row r="187468" s="12" customFormat="1" x14ac:dyDescent="0.25"/>
    <row r="187469" s="12" customFormat="1" x14ac:dyDescent="0.25"/>
    <row r="187470" s="12" customFormat="1" x14ac:dyDescent="0.25"/>
    <row r="187471" s="12" customFormat="1" x14ac:dyDescent="0.25"/>
    <row r="187472" s="12" customFormat="1" x14ac:dyDescent="0.25"/>
    <row r="187473" s="12" customFormat="1" x14ac:dyDescent="0.25"/>
    <row r="187474" s="12" customFormat="1" x14ac:dyDescent="0.25"/>
    <row r="187475" s="12" customFormat="1" x14ac:dyDescent="0.25"/>
    <row r="187476" s="12" customFormat="1" x14ac:dyDescent="0.25"/>
    <row r="187477" s="12" customFormat="1" x14ac:dyDescent="0.25"/>
    <row r="187478" s="12" customFormat="1" x14ac:dyDescent="0.25"/>
    <row r="187479" s="12" customFormat="1" x14ac:dyDescent="0.25"/>
    <row r="187480" s="12" customFormat="1" x14ac:dyDescent="0.25"/>
    <row r="187481" s="12" customFormat="1" x14ac:dyDescent="0.25"/>
    <row r="187482" s="12" customFormat="1" x14ac:dyDescent="0.25"/>
    <row r="187483" s="12" customFormat="1" x14ac:dyDescent="0.25"/>
    <row r="187484" s="12" customFormat="1" x14ac:dyDescent="0.25"/>
    <row r="187485" s="12" customFormat="1" x14ac:dyDescent="0.25"/>
    <row r="187486" s="12" customFormat="1" x14ac:dyDescent="0.25"/>
    <row r="187487" s="12" customFormat="1" x14ac:dyDescent="0.25"/>
    <row r="187488" s="12" customFormat="1" x14ac:dyDescent="0.25"/>
    <row r="187489" s="12" customFormat="1" x14ac:dyDescent="0.25"/>
    <row r="187490" s="12" customFormat="1" x14ac:dyDescent="0.25"/>
    <row r="187491" s="12" customFormat="1" x14ac:dyDescent="0.25"/>
    <row r="187492" s="12" customFormat="1" x14ac:dyDescent="0.25"/>
    <row r="187493" s="12" customFormat="1" x14ac:dyDescent="0.25"/>
    <row r="187494" s="12" customFormat="1" x14ac:dyDescent="0.25"/>
    <row r="187495" s="12" customFormat="1" x14ac:dyDescent="0.25"/>
    <row r="187496" s="12" customFormat="1" x14ac:dyDescent="0.25"/>
    <row r="187497" s="12" customFormat="1" x14ac:dyDescent="0.25"/>
    <row r="187498" s="12" customFormat="1" x14ac:dyDescent="0.25"/>
    <row r="187499" s="12" customFormat="1" x14ac:dyDescent="0.25"/>
    <row r="187500" s="12" customFormat="1" x14ac:dyDescent="0.25"/>
    <row r="187501" s="12" customFormat="1" x14ac:dyDescent="0.25"/>
    <row r="187502" s="12" customFormat="1" x14ac:dyDescent="0.25"/>
    <row r="187503" s="12" customFormat="1" x14ac:dyDescent="0.25"/>
    <row r="187504" s="12" customFormat="1" x14ac:dyDescent="0.25"/>
    <row r="187505" s="12" customFormat="1" x14ac:dyDescent="0.25"/>
    <row r="187506" s="12" customFormat="1" x14ac:dyDescent="0.25"/>
    <row r="187507" s="12" customFormat="1" x14ac:dyDescent="0.25"/>
    <row r="187508" s="12" customFormat="1" x14ac:dyDescent="0.25"/>
    <row r="187509" s="12" customFormat="1" x14ac:dyDescent="0.25"/>
    <row r="187510" s="12" customFormat="1" x14ac:dyDescent="0.25"/>
    <row r="187511" s="12" customFormat="1" x14ac:dyDescent="0.25"/>
    <row r="187512" s="12" customFormat="1" x14ac:dyDescent="0.25"/>
    <row r="187513" s="12" customFormat="1" x14ac:dyDescent="0.25"/>
    <row r="187514" s="12" customFormat="1" x14ac:dyDescent="0.25"/>
    <row r="187515" s="12" customFormat="1" x14ac:dyDescent="0.25"/>
    <row r="187516" s="12" customFormat="1" x14ac:dyDescent="0.25"/>
    <row r="187517" s="12" customFormat="1" x14ac:dyDescent="0.25"/>
    <row r="187518" s="12" customFormat="1" x14ac:dyDescent="0.25"/>
    <row r="187519" s="12" customFormat="1" x14ac:dyDescent="0.25"/>
    <row r="187520" s="12" customFormat="1" x14ac:dyDescent="0.25"/>
    <row r="187521" s="12" customFormat="1" x14ac:dyDescent="0.25"/>
    <row r="187522" s="12" customFormat="1" x14ac:dyDescent="0.25"/>
    <row r="187523" s="12" customFormat="1" x14ac:dyDescent="0.25"/>
    <row r="187524" s="12" customFormat="1" x14ac:dyDescent="0.25"/>
    <row r="187525" s="12" customFormat="1" x14ac:dyDescent="0.25"/>
    <row r="187526" s="12" customFormat="1" x14ac:dyDescent="0.25"/>
    <row r="187527" s="12" customFormat="1" x14ac:dyDescent="0.25"/>
    <row r="187528" s="12" customFormat="1" x14ac:dyDescent="0.25"/>
    <row r="187529" s="12" customFormat="1" x14ac:dyDescent="0.25"/>
    <row r="187530" s="12" customFormat="1" x14ac:dyDescent="0.25"/>
    <row r="187531" s="12" customFormat="1" x14ac:dyDescent="0.25"/>
    <row r="187532" s="12" customFormat="1" x14ac:dyDescent="0.25"/>
    <row r="187533" s="12" customFormat="1" x14ac:dyDescent="0.25"/>
    <row r="187534" s="12" customFormat="1" x14ac:dyDescent="0.25"/>
    <row r="187535" s="12" customFormat="1" x14ac:dyDescent="0.25"/>
    <row r="187536" s="12" customFormat="1" x14ac:dyDescent="0.25"/>
    <row r="187537" s="12" customFormat="1" x14ac:dyDescent="0.25"/>
    <row r="187538" s="12" customFormat="1" x14ac:dyDescent="0.25"/>
    <row r="187539" s="12" customFormat="1" x14ac:dyDescent="0.25"/>
    <row r="187540" s="12" customFormat="1" x14ac:dyDescent="0.25"/>
    <row r="187541" s="12" customFormat="1" x14ac:dyDescent="0.25"/>
    <row r="187542" s="12" customFormat="1" x14ac:dyDescent="0.25"/>
    <row r="187543" s="12" customFormat="1" x14ac:dyDescent="0.25"/>
    <row r="187544" s="12" customFormat="1" x14ac:dyDescent="0.25"/>
    <row r="187545" s="12" customFormat="1" x14ac:dyDescent="0.25"/>
    <row r="187546" s="12" customFormat="1" x14ac:dyDescent="0.25"/>
    <row r="187547" s="12" customFormat="1" x14ac:dyDescent="0.25"/>
    <row r="187548" s="12" customFormat="1" x14ac:dyDescent="0.25"/>
    <row r="187549" s="12" customFormat="1" x14ac:dyDescent="0.25"/>
    <row r="187550" s="12" customFormat="1" x14ac:dyDescent="0.25"/>
    <row r="187551" s="12" customFormat="1" x14ac:dyDescent="0.25"/>
    <row r="187552" s="12" customFormat="1" x14ac:dyDescent="0.25"/>
    <row r="187553" s="12" customFormat="1" x14ac:dyDescent="0.25"/>
    <row r="187554" s="12" customFormat="1" x14ac:dyDescent="0.25"/>
    <row r="187555" s="12" customFormat="1" x14ac:dyDescent="0.25"/>
    <row r="187556" s="12" customFormat="1" x14ac:dyDescent="0.25"/>
    <row r="187557" s="12" customFormat="1" x14ac:dyDescent="0.25"/>
    <row r="187558" s="12" customFormat="1" x14ac:dyDescent="0.25"/>
    <row r="187559" s="12" customFormat="1" x14ac:dyDescent="0.25"/>
    <row r="187560" s="12" customFormat="1" x14ac:dyDescent="0.25"/>
    <row r="187561" s="12" customFormat="1" x14ac:dyDescent="0.25"/>
    <row r="187562" s="12" customFormat="1" x14ac:dyDescent="0.25"/>
    <row r="187563" s="12" customFormat="1" x14ac:dyDescent="0.25"/>
    <row r="187564" s="12" customFormat="1" x14ac:dyDescent="0.25"/>
    <row r="187565" s="12" customFormat="1" x14ac:dyDescent="0.25"/>
    <row r="187566" s="12" customFormat="1" x14ac:dyDescent="0.25"/>
    <row r="187567" s="12" customFormat="1" x14ac:dyDescent="0.25"/>
    <row r="187568" s="12" customFormat="1" x14ac:dyDescent="0.25"/>
    <row r="187569" s="12" customFormat="1" x14ac:dyDescent="0.25"/>
    <row r="187570" s="12" customFormat="1" x14ac:dyDescent="0.25"/>
    <row r="187571" s="12" customFormat="1" x14ac:dyDescent="0.25"/>
    <row r="187572" s="12" customFormat="1" x14ac:dyDescent="0.25"/>
    <row r="187573" s="12" customFormat="1" x14ac:dyDescent="0.25"/>
    <row r="187574" s="12" customFormat="1" x14ac:dyDescent="0.25"/>
    <row r="187575" s="12" customFormat="1" x14ac:dyDescent="0.25"/>
    <row r="187576" s="12" customFormat="1" x14ac:dyDescent="0.25"/>
    <row r="187577" s="12" customFormat="1" x14ac:dyDescent="0.25"/>
    <row r="187578" s="12" customFormat="1" x14ac:dyDescent="0.25"/>
    <row r="187579" s="12" customFormat="1" x14ac:dyDescent="0.25"/>
    <row r="187580" s="12" customFormat="1" x14ac:dyDescent="0.25"/>
    <row r="187581" s="12" customFormat="1" x14ac:dyDescent="0.25"/>
    <row r="187582" s="12" customFormat="1" x14ac:dyDescent="0.25"/>
    <row r="187583" s="12" customFormat="1" x14ac:dyDescent="0.25"/>
    <row r="187584" s="12" customFormat="1" x14ac:dyDescent="0.25"/>
    <row r="187585" s="12" customFormat="1" x14ac:dyDescent="0.25"/>
    <row r="187586" s="12" customFormat="1" x14ac:dyDescent="0.25"/>
    <row r="187587" s="12" customFormat="1" x14ac:dyDescent="0.25"/>
    <row r="187588" s="12" customFormat="1" x14ac:dyDescent="0.25"/>
    <row r="187589" s="12" customFormat="1" x14ac:dyDescent="0.25"/>
    <row r="187590" s="12" customFormat="1" x14ac:dyDescent="0.25"/>
    <row r="187591" s="12" customFormat="1" x14ac:dyDescent="0.25"/>
    <row r="187592" s="12" customFormat="1" x14ac:dyDescent="0.25"/>
    <row r="187593" s="12" customFormat="1" x14ac:dyDescent="0.25"/>
    <row r="187594" s="12" customFormat="1" x14ac:dyDescent="0.25"/>
    <row r="187595" s="12" customFormat="1" x14ac:dyDescent="0.25"/>
    <row r="187596" s="12" customFormat="1" x14ac:dyDescent="0.25"/>
    <row r="187597" s="12" customFormat="1" x14ac:dyDescent="0.25"/>
    <row r="187598" s="12" customFormat="1" x14ac:dyDescent="0.25"/>
    <row r="187599" s="12" customFormat="1" x14ac:dyDescent="0.25"/>
    <row r="187600" s="12" customFormat="1" x14ac:dyDescent="0.25"/>
    <row r="187601" s="12" customFormat="1" x14ac:dyDescent="0.25"/>
    <row r="187602" s="12" customFormat="1" x14ac:dyDescent="0.25"/>
    <row r="187603" s="12" customFormat="1" x14ac:dyDescent="0.25"/>
    <row r="187604" s="12" customFormat="1" x14ac:dyDescent="0.25"/>
    <row r="187605" s="12" customFormat="1" x14ac:dyDescent="0.25"/>
    <row r="187606" s="12" customFormat="1" x14ac:dyDescent="0.25"/>
    <row r="187607" s="12" customFormat="1" x14ac:dyDescent="0.25"/>
    <row r="187608" s="12" customFormat="1" x14ac:dyDescent="0.25"/>
    <row r="187609" s="12" customFormat="1" x14ac:dyDescent="0.25"/>
    <row r="187610" s="12" customFormat="1" x14ac:dyDescent="0.25"/>
    <row r="187611" s="12" customFormat="1" x14ac:dyDescent="0.25"/>
    <row r="187612" s="12" customFormat="1" x14ac:dyDescent="0.25"/>
    <row r="187613" s="12" customFormat="1" x14ac:dyDescent="0.25"/>
    <row r="187614" s="12" customFormat="1" x14ac:dyDescent="0.25"/>
    <row r="187615" s="12" customFormat="1" x14ac:dyDescent="0.25"/>
    <row r="187616" s="12" customFormat="1" x14ac:dyDescent="0.25"/>
    <row r="187617" s="12" customFormat="1" x14ac:dyDescent="0.25"/>
    <row r="187618" s="12" customFormat="1" x14ac:dyDescent="0.25"/>
    <row r="187619" s="12" customFormat="1" x14ac:dyDescent="0.25"/>
    <row r="187620" s="12" customFormat="1" x14ac:dyDescent="0.25"/>
    <row r="187621" s="12" customFormat="1" x14ac:dyDescent="0.25"/>
    <row r="187622" s="12" customFormat="1" x14ac:dyDescent="0.25"/>
    <row r="187623" s="12" customFormat="1" x14ac:dyDescent="0.25"/>
    <row r="187624" s="12" customFormat="1" x14ac:dyDescent="0.25"/>
    <row r="187625" s="12" customFormat="1" x14ac:dyDescent="0.25"/>
    <row r="187626" s="12" customFormat="1" x14ac:dyDescent="0.25"/>
    <row r="187627" s="12" customFormat="1" x14ac:dyDescent="0.25"/>
    <row r="187628" s="12" customFormat="1" x14ac:dyDescent="0.25"/>
    <row r="187629" s="12" customFormat="1" x14ac:dyDescent="0.25"/>
    <row r="187630" s="12" customFormat="1" x14ac:dyDescent="0.25"/>
    <row r="187631" s="12" customFormat="1" x14ac:dyDescent="0.25"/>
    <row r="187632" s="12" customFormat="1" x14ac:dyDescent="0.25"/>
    <row r="187633" s="12" customFormat="1" x14ac:dyDescent="0.25"/>
    <row r="187634" s="12" customFormat="1" x14ac:dyDescent="0.25"/>
    <row r="187635" s="12" customFormat="1" x14ac:dyDescent="0.25"/>
    <row r="187636" s="12" customFormat="1" x14ac:dyDescent="0.25"/>
    <row r="187637" s="12" customFormat="1" x14ac:dyDescent="0.25"/>
    <row r="187638" s="12" customFormat="1" x14ac:dyDescent="0.25"/>
    <row r="187639" s="12" customFormat="1" x14ac:dyDescent="0.25"/>
    <row r="187640" s="12" customFormat="1" x14ac:dyDescent="0.25"/>
    <row r="187641" s="12" customFormat="1" x14ac:dyDescent="0.25"/>
    <row r="187642" s="12" customFormat="1" x14ac:dyDescent="0.25"/>
    <row r="187643" s="12" customFormat="1" x14ac:dyDescent="0.25"/>
    <row r="187644" s="12" customFormat="1" x14ac:dyDescent="0.25"/>
    <row r="187645" s="12" customFormat="1" x14ac:dyDescent="0.25"/>
    <row r="187646" s="12" customFormat="1" x14ac:dyDescent="0.25"/>
    <row r="187647" s="12" customFormat="1" x14ac:dyDescent="0.25"/>
    <row r="187648" s="12" customFormat="1" x14ac:dyDescent="0.25"/>
    <row r="187649" s="12" customFormat="1" x14ac:dyDescent="0.25"/>
    <row r="187650" s="12" customFormat="1" x14ac:dyDescent="0.25"/>
    <row r="187651" s="12" customFormat="1" x14ac:dyDescent="0.25"/>
    <row r="187652" s="12" customFormat="1" x14ac:dyDescent="0.25"/>
    <row r="187653" s="12" customFormat="1" x14ac:dyDescent="0.25"/>
    <row r="187654" s="12" customFormat="1" x14ac:dyDescent="0.25"/>
    <row r="187655" s="12" customFormat="1" x14ac:dyDescent="0.25"/>
    <row r="187656" s="12" customFormat="1" x14ac:dyDescent="0.25"/>
    <row r="187657" s="12" customFormat="1" x14ac:dyDescent="0.25"/>
    <row r="187658" s="12" customFormat="1" x14ac:dyDescent="0.25"/>
    <row r="187659" s="12" customFormat="1" x14ac:dyDescent="0.25"/>
    <row r="187660" s="12" customFormat="1" x14ac:dyDescent="0.25"/>
    <row r="187661" s="12" customFormat="1" x14ac:dyDescent="0.25"/>
    <row r="187662" s="12" customFormat="1" x14ac:dyDescent="0.25"/>
    <row r="187663" s="12" customFormat="1" x14ac:dyDescent="0.25"/>
    <row r="187664" s="12" customFormat="1" x14ac:dyDescent="0.25"/>
    <row r="187665" s="12" customFormat="1" x14ac:dyDescent="0.25"/>
    <row r="187666" s="12" customFormat="1" x14ac:dyDescent="0.25"/>
    <row r="187667" s="12" customFormat="1" x14ac:dyDescent="0.25"/>
    <row r="187668" s="12" customFormat="1" x14ac:dyDescent="0.25"/>
    <row r="187669" s="12" customFormat="1" x14ac:dyDescent="0.25"/>
    <row r="187670" s="12" customFormat="1" x14ac:dyDescent="0.25"/>
    <row r="187671" s="12" customFormat="1" x14ac:dyDescent="0.25"/>
    <row r="187672" s="12" customFormat="1" x14ac:dyDescent="0.25"/>
    <row r="187673" s="12" customFormat="1" x14ac:dyDescent="0.25"/>
    <row r="187674" s="12" customFormat="1" x14ac:dyDescent="0.25"/>
    <row r="187675" s="12" customFormat="1" x14ac:dyDescent="0.25"/>
    <row r="187676" s="12" customFormat="1" x14ac:dyDescent="0.25"/>
    <row r="187677" s="12" customFormat="1" x14ac:dyDescent="0.25"/>
    <row r="187678" s="12" customFormat="1" x14ac:dyDescent="0.25"/>
    <row r="187679" s="12" customFormat="1" x14ac:dyDescent="0.25"/>
    <row r="187680" s="12" customFormat="1" x14ac:dyDescent="0.25"/>
    <row r="187681" s="12" customFormat="1" x14ac:dyDescent="0.25"/>
    <row r="187682" s="12" customFormat="1" x14ac:dyDescent="0.25"/>
    <row r="187683" s="12" customFormat="1" x14ac:dyDescent="0.25"/>
    <row r="187684" s="12" customFormat="1" x14ac:dyDescent="0.25"/>
    <row r="187685" s="12" customFormat="1" x14ac:dyDescent="0.25"/>
    <row r="187686" s="12" customFormat="1" x14ac:dyDescent="0.25"/>
    <row r="187687" s="12" customFormat="1" x14ac:dyDescent="0.25"/>
    <row r="187688" s="12" customFormat="1" x14ac:dyDescent="0.25"/>
    <row r="187689" s="12" customFormat="1" x14ac:dyDescent="0.25"/>
    <row r="187690" s="12" customFormat="1" x14ac:dyDescent="0.25"/>
    <row r="187691" s="12" customFormat="1" x14ac:dyDescent="0.25"/>
    <row r="187692" s="12" customFormat="1" x14ac:dyDescent="0.25"/>
    <row r="187693" s="12" customFormat="1" x14ac:dyDescent="0.25"/>
    <row r="187694" s="12" customFormat="1" x14ac:dyDescent="0.25"/>
    <row r="187695" s="12" customFormat="1" x14ac:dyDescent="0.25"/>
    <row r="187696" s="12" customFormat="1" x14ac:dyDescent="0.25"/>
    <row r="187697" s="12" customFormat="1" x14ac:dyDescent="0.25"/>
    <row r="187698" s="12" customFormat="1" x14ac:dyDescent="0.25"/>
    <row r="187699" s="12" customFormat="1" x14ac:dyDescent="0.25"/>
    <row r="187700" s="12" customFormat="1" x14ac:dyDescent="0.25"/>
    <row r="187701" s="12" customFormat="1" x14ac:dyDescent="0.25"/>
    <row r="187702" s="12" customFormat="1" x14ac:dyDescent="0.25"/>
    <row r="187703" s="12" customFormat="1" x14ac:dyDescent="0.25"/>
    <row r="187704" s="12" customFormat="1" x14ac:dyDescent="0.25"/>
    <row r="187705" s="12" customFormat="1" x14ac:dyDescent="0.25"/>
    <row r="187706" s="12" customFormat="1" x14ac:dyDescent="0.25"/>
    <row r="187707" s="12" customFormat="1" x14ac:dyDescent="0.25"/>
    <row r="187708" s="12" customFormat="1" x14ac:dyDescent="0.25"/>
    <row r="187709" s="12" customFormat="1" x14ac:dyDescent="0.25"/>
    <row r="187710" s="12" customFormat="1" x14ac:dyDescent="0.25"/>
    <row r="187711" s="12" customFormat="1" x14ac:dyDescent="0.25"/>
    <row r="187712" s="12" customFormat="1" x14ac:dyDescent="0.25"/>
    <row r="187713" s="12" customFormat="1" x14ac:dyDescent="0.25"/>
    <row r="187714" s="12" customFormat="1" x14ac:dyDescent="0.25"/>
    <row r="187715" s="12" customFormat="1" x14ac:dyDescent="0.25"/>
    <row r="187716" s="12" customFormat="1" x14ac:dyDescent="0.25"/>
    <row r="187717" s="12" customFormat="1" x14ac:dyDescent="0.25"/>
    <row r="187718" s="12" customFormat="1" x14ac:dyDescent="0.25"/>
    <row r="187719" s="12" customFormat="1" x14ac:dyDescent="0.25"/>
    <row r="187720" s="12" customFormat="1" x14ac:dyDescent="0.25"/>
    <row r="187721" s="12" customFormat="1" x14ac:dyDescent="0.25"/>
    <row r="187722" s="12" customFormat="1" x14ac:dyDescent="0.25"/>
    <row r="187723" s="12" customFormat="1" x14ac:dyDescent="0.25"/>
    <row r="187724" s="12" customFormat="1" x14ac:dyDescent="0.25"/>
    <row r="187725" s="12" customFormat="1" x14ac:dyDescent="0.25"/>
    <row r="187726" s="12" customFormat="1" x14ac:dyDescent="0.25"/>
    <row r="187727" s="12" customFormat="1" x14ac:dyDescent="0.25"/>
    <row r="187728" s="12" customFormat="1" x14ac:dyDescent="0.25"/>
    <row r="187729" s="12" customFormat="1" x14ac:dyDescent="0.25"/>
    <row r="187730" s="12" customFormat="1" x14ac:dyDescent="0.25"/>
    <row r="187731" s="12" customFormat="1" x14ac:dyDescent="0.25"/>
    <row r="187732" s="12" customFormat="1" x14ac:dyDescent="0.25"/>
    <row r="187733" s="12" customFormat="1" x14ac:dyDescent="0.25"/>
    <row r="187734" s="12" customFormat="1" x14ac:dyDescent="0.25"/>
    <row r="187735" s="12" customFormat="1" x14ac:dyDescent="0.25"/>
    <row r="187736" s="12" customFormat="1" x14ac:dyDescent="0.25"/>
    <row r="187737" s="12" customFormat="1" x14ac:dyDescent="0.25"/>
    <row r="187738" s="12" customFormat="1" x14ac:dyDescent="0.25"/>
    <row r="187739" s="12" customFormat="1" x14ac:dyDescent="0.25"/>
    <row r="187740" s="12" customFormat="1" x14ac:dyDescent="0.25"/>
    <row r="187741" s="12" customFormat="1" x14ac:dyDescent="0.25"/>
    <row r="187742" s="12" customFormat="1" x14ac:dyDescent="0.25"/>
    <row r="187743" s="12" customFormat="1" x14ac:dyDescent="0.25"/>
    <row r="187744" s="12" customFormat="1" x14ac:dyDescent="0.25"/>
    <row r="187745" s="12" customFormat="1" x14ac:dyDescent="0.25"/>
    <row r="187746" s="12" customFormat="1" x14ac:dyDescent="0.25"/>
    <row r="187747" s="12" customFormat="1" x14ac:dyDescent="0.25"/>
    <row r="187748" s="12" customFormat="1" x14ac:dyDescent="0.25"/>
    <row r="187749" s="12" customFormat="1" x14ac:dyDescent="0.25"/>
    <row r="187750" s="12" customFormat="1" x14ac:dyDescent="0.25"/>
    <row r="187751" s="12" customFormat="1" x14ac:dyDescent="0.25"/>
    <row r="187752" s="12" customFormat="1" x14ac:dyDescent="0.25"/>
    <row r="187753" s="12" customFormat="1" x14ac:dyDescent="0.25"/>
    <row r="187754" s="12" customFormat="1" x14ac:dyDescent="0.25"/>
    <row r="187755" s="12" customFormat="1" x14ac:dyDescent="0.25"/>
    <row r="187756" s="12" customFormat="1" x14ac:dyDescent="0.25"/>
    <row r="187757" s="12" customFormat="1" x14ac:dyDescent="0.25"/>
    <row r="187758" s="12" customFormat="1" x14ac:dyDescent="0.25"/>
    <row r="187759" s="12" customFormat="1" x14ac:dyDescent="0.25"/>
    <row r="187760" s="12" customFormat="1" x14ac:dyDescent="0.25"/>
    <row r="187761" s="12" customFormat="1" x14ac:dyDescent="0.25"/>
    <row r="187762" s="12" customFormat="1" x14ac:dyDescent="0.25"/>
    <row r="187763" s="12" customFormat="1" x14ac:dyDescent="0.25"/>
    <row r="187764" s="12" customFormat="1" x14ac:dyDescent="0.25"/>
    <row r="187765" s="12" customFormat="1" x14ac:dyDescent="0.25"/>
    <row r="187766" s="12" customFormat="1" x14ac:dyDescent="0.25"/>
    <row r="187767" s="12" customFormat="1" x14ac:dyDescent="0.25"/>
    <row r="187768" s="12" customFormat="1" x14ac:dyDescent="0.25"/>
    <row r="187769" s="12" customFormat="1" x14ac:dyDescent="0.25"/>
    <row r="187770" s="12" customFormat="1" x14ac:dyDescent="0.25"/>
    <row r="187771" s="12" customFormat="1" x14ac:dyDescent="0.25"/>
    <row r="187772" s="12" customFormat="1" x14ac:dyDescent="0.25"/>
    <row r="187773" s="12" customFormat="1" x14ac:dyDescent="0.25"/>
    <row r="187774" s="12" customFormat="1" x14ac:dyDescent="0.25"/>
    <row r="187775" s="12" customFormat="1" x14ac:dyDescent="0.25"/>
    <row r="187776" s="12" customFormat="1" x14ac:dyDescent="0.25"/>
    <row r="187777" s="12" customFormat="1" x14ac:dyDescent="0.25"/>
    <row r="187778" s="12" customFormat="1" x14ac:dyDescent="0.25"/>
    <row r="187779" s="12" customFormat="1" x14ac:dyDescent="0.25"/>
    <row r="187780" s="12" customFormat="1" x14ac:dyDescent="0.25"/>
    <row r="187781" s="12" customFormat="1" x14ac:dyDescent="0.25"/>
    <row r="187782" s="12" customFormat="1" x14ac:dyDescent="0.25"/>
    <row r="187783" s="12" customFormat="1" x14ac:dyDescent="0.25"/>
    <row r="187784" s="12" customFormat="1" x14ac:dyDescent="0.25"/>
    <row r="187785" s="12" customFormat="1" x14ac:dyDescent="0.25"/>
    <row r="187786" s="12" customFormat="1" x14ac:dyDescent="0.25"/>
    <row r="187787" s="12" customFormat="1" x14ac:dyDescent="0.25"/>
    <row r="187788" s="12" customFormat="1" x14ac:dyDescent="0.25"/>
    <row r="187789" s="12" customFormat="1" x14ac:dyDescent="0.25"/>
    <row r="187790" s="12" customFormat="1" x14ac:dyDescent="0.25"/>
    <row r="187791" s="12" customFormat="1" x14ac:dyDescent="0.25"/>
    <row r="187792" s="12" customFormat="1" x14ac:dyDescent="0.25"/>
    <row r="187793" s="12" customFormat="1" x14ac:dyDescent="0.25"/>
    <row r="187794" s="12" customFormat="1" x14ac:dyDescent="0.25"/>
    <row r="187795" s="12" customFormat="1" x14ac:dyDescent="0.25"/>
    <row r="187796" s="12" customFormat="1" x14ac:dyDescent="0.25"/>
    <row r="187797" s="12" customFormat="1" x14ac:dyDescent="0.25"/>
    <row r="187798" s="12" customFormat="1" x14ac:dyDescent="0.25"/>
    <row r="187799" s="12" customFormat="1" x14ac:dyDescent="0.25"/>
    <row r="187800" s="12" customFormat="1" x14ac:dyDescent="0.25"/>
    <row r="187801" s="12" customFormat="1" x14ac:dyDescent="0.25"/>
    <row r="187802" s="12" customFormat="1" x14ac:dyDescent="0.25"/>
    <row r="187803" s="12" customFormat="1" x14ac:dyDescent="0.25"/>
    <row r="187804" s="12" customFormat="1" x14ac:dyDescent="0.25"/>
    <row r="187805" s="12" customFormat="1" x14ac:dyDescent="0.25"/>
    <row r="187806" s="12" customFormat="1" x14ac:dyDescent="0.25"/>
    <row r="187807" s="12" customFormat="1" x14ac:dyDescent="0.25"/>
    <row r="187808" s="12" customFormat="1" x14ac:dyDescent="0.25"/>
    <row r="187809" s="12" customFormat="1" x14ac:dyDescent="0.25"/>
    <row r="187810" s="12" customFormat="1" x14ac:dyDescent="0.25"/>
    <row r="187811" s="12" customFormat="1" x14ac:dyDescent="0.25"/>
    <row r="187812" s="12" customFormat="1" x14ac:dyDescent="0.25"/>
    <row r="187813" s="12" customFormat="1" x14ac:dyDescent="0.25"/>
    <row r="187814" s="12" customFormat="1" x14ac:dyDescent="0.25"/>
    <row r="187815" s="12" customFormat="1" x14ac:dyDescent="0.25"/>
    <row r="187816" s="12" customFormat="1" x14ac:dyDescent="0.25"/>
    <row r="187817" s="12" customFormat="1" x14ac:dyDescent="0.25"/>
    <row r="187818" s="12" customFormat="1" x14ac:dyDescent="0.25"/>
    <row r="187819" s="12" customFormat="1" x14ac:dyDescent="0.25"/>
    <row r="187820" s="12" customFormat="1" x14ac:dyDescent="0.25"/>
    <row r="187821" s="12" customFormat="1" x14ac:dyDescent="0.25"/>
    <row r="187822" s="12" customFormat="1" x14ac:dyDescent="0.25"/>
    <row r="187823" s="12" customFormat="1" x14ac:dyDescent="0.25"/>
    <row r="187824" s="12" customFormat="1" x14ac:dyDescent="0.25"/>
    <row r="187825" s="12" customFormat="1" x14ac:dyDescent="0.25"/>
    <row r="187826" s="12" customFormat="1" x14ac:dyDescent="0.25"/>
    <row r="187827" s="12" customFormat="1" x14ac:dyDescent="0.25"/>
    <row r="187828" s="12" customFormat="1" x14ac:dyDescent="0.25"/>
    <row r="187829" s="12" customFormat="1" x14ac:dyDescent="0.25"/>
    <row r="187830" s="12" customFormat="1" x14ac:dyDescent="0.25"/>
    <row r="187831" s="12" customFormat="1" x14ac:dyDescent="0.25"/>
    <row r="187832" s="12" customFormat="1" x14ac:dyDescent="0.25"/>
    <row r="187833" s="12" customFormat="1" x14ac:dyDescent="0.25"/>
    <row r="187834" s="12" customFormat="1" x14ac:dyDescent="0.25"/>
    <row r="187835" s="12" customFormat="1" x14ac:dyDescent="0.25"/>
    <row r="187836" s="12" customFormat="1" x14ac:dyDescent="0.25"/>
    <row r="187837" s="12" customFormat="1" x14ac:dyDescent="0.25"/>
    <row r="187838" s="12" customFormat="1" x14ac:dyDescent="0.25"/>
    <row r="187839" s="12" customFormat="1" x14ac:dyDescent="0.25"/>
    <row r="187840" s="12" customFormat="1" x14ac:dyDescent="0.25"/>
    <row r="187841" s="12" customFormat="1" x14ac:dyDescent="0.25"/>
    <row r="187842" s="12" customFormat="1" x14ac:dyDescent="0.25"/>
    <row r="187843" s="12" customFormat="1" x14ac:dyDescent="0.25"/>
    <row r="187844" s="12" customFormat="1" x14ac:dyDescent="0.25"/>
    <row r="187845" s="12" customFormat="1" x14ac:dyDescent="0.25"/>
    <row r="187846" s="12" customFormat="1" x14ac:dyDescent="0.25"/>
    <row r="187847" s="12" customFormat="1" x14ac:dyDescent="0.25"/>
    <row r="187848" s="12" customFormat="1" x14ac:dyDescent="0.25"/>
    <row r="187849" s="12" customFormat="1" x14ac:dyDescent="0.25"/>
    <row r="187850" s="12" customFormat="1" x14ac:dyDescent="0.25"/>
    <row r="187851" s="12" customFormat="1" x14ac:dyDescent="0.25"/>
    <row r="187852" s="12" customFormat="1" x14ac:dyDescent="0.25"/>
    <row r="187853" s="12" customFormat="1" x14ac:dyDescent="0.25"/>
    <row r="187854" s="12" customFormat="1" x14ac:dyDescent="0.25"/>
    <row r="187855" s="12" customFormat="1" x14ac:dyDescent="0.25"/>
    <row r="187856" s="12" customFormat="1" x14ac:dyDescent="0.25"/>
    <row r="187857" s="12" customFormat="1" x14ac:dyDescent="0.25"/>
    <row r="187858" s="12" customFormat="1" x14ac:dyDescent="0.25"/>
    <row r="187859" s="12" customFormat="1" x14ac:dyDescent="0.25"/>
    <row r="187860" s="12" customFormat="1" x14ac:dyDescent="0.25"/>
    <row r="187861" s="12" customFormat="1" x14ac:dyDescent="0.25"/>
    <row r="187862" s="12" customFormat="1" x14ac:dyDescent="0.25"/>
    <row r="187863" s="12" customFormat="1" x14ac:dyDescent="0.25"/>
    <row r="187864" s="12" customFormat="1" x14ac:dyDescent="0.25"/>
    <row r="187865" s="12" customFormat="1" x14ac:dyDescent="0.25"/>
    <row r="187866" s="12" customFormat="1" x14ac:dyDescent="0.25"/>
    <row r="187867" s="12" customFormat="1" x14ac:dyDescent="0.25"/>
    <row r="187868" s="12" customFormat="1" x14ac:dyDescent="0.25"/>
    <row r="187869" s="12" customFormat="1" x14ac:dyDescent="0.25"/>
    <row r="187870" s="12" customFormat="1" x14ac:dyDescent="0.25"/>
    <row r="187871" s="12" customFormat="1" x14ac:dyDescent="0.25"/>
    <row r="187872" s="12" customFormat="1" x14ac:dyDescent="0.25"/>
    <row r="187873" s="12" customFormat="1" x14ac:dyDescent="0.25"/>
    <row r="187874" s="12" customFormat="1" x14ac:dyDescent="0.25"/>
    <row r="187875" s="12" customFormat="1" x14ac:dyDescent="0.25"/>
    <row r="187876" s="12" customFormat="1" x14ac:dyDescent="0.25"/>
    <row r="187877" s="12" customFormat="1" x14ac:dyDescent="0.25"/>
    <row r="187878" s="12" customFormat="1" x14ac:dyDescent="0.25"/>
    <row r="187879" s="12" customFormat="1" x14ac:dyDescent="0.25"/>
    <row r="187880" s="12" customFormat="1" x14ac:dyDescent="0.25"/>
    <row r="187881" s="12" customFormat="1" x14ac:dyDescent="0.25"/>
    <row r="187882" s="12" customFormat="1" x14ac:dyDescent="0.25"/>
    <row r="187883" s="12" customFormat="1" x14ac:dyDescent="0.25"/>
    <row r="187884" s="12" customFormat="1" x14ac:dyDescent="0.25"/>
    <row r="187885" s="12" customFormat="1" x14ac:dyDescent="0.25"/>
    <row r="187886" s="12" customFormat="1" x14ac:dyDescent="0.25"/>
    <row r="187887" s="12" customFormat="1" x14ac:dyDescent="0.25"/>
    <row r="187888" s="12" customFormat="1" x14ac:dyDescent="0.25"/>
    <row r="187889" s="12" customFormat="1" x14ac:dyDescent="0.25"/>
    <row r="187890" s="12" customFormat="1" x14ac:dyDescent="0.25"/>
    <row r="187891" s="12" customFormat="1" x14ac:dyDescent="0.25"/>
    <row r="187892" s="12" customFormat="1" x14ac:dyDescent="0.25"/>
    <row r="187893" s="12" customFormat="1" x14ac:dyDescent="0.25"/>
    <row r="187894" s="12" customFormat="1" x14ac:dyDescent="0.25"/>
    <row r="187895" s="12" customFormat="1" x14ac:dyDescent="0.25"/>
    <row r="187896" s="12" customFormat="1" x14ac:dyDescent="0.25"/>
    <row r="187897" s="12" customFormat="1" x14ac:dyDescent="0.25"/>
    <row r="187898" s="12" customFormat="1" x14ac:dyDescent="0.25"/>
    <row r="187899" s="12" customFormat="1" x14ac:dyDescent="0.25"/>
    <row r="187900" s="12" customFormat="1" x14ac:dyDescent="0.25"/>
    <row r="187901" s="12" customFormat="1" x14ac:dyDescent="0.25"/>
    <row r="187902" s="12" customFormat="1" x14ac:dyDescent="0.25"/>
    <row r="187903" s="12" customFormat="1" x14ac:dyDescent="0.25"/>
    <row r="187904" s="12" customFormat="1" x14ac:dyDescent="0.25"/>
    <row r="187905" s="12" customFormat="1" x14ac:dyDescent="0.25"/>
    <row r="187906" s="12" customFormat="1" x14ac:dyDescent="0.25"/>
    <row r="187907" s="12" customFormat="1" x14ac:dyDescent="0.25"/>
    <row r="187908" s="12" customFormat="1" x14ac:dyDescent="0.25"/>
    <row r="187909" s="12" customFormat="1" x14ac:dyDescent="0.25"/>
    <row r="187910" s="12" customFormat="1" x14ac:dyDescent="0.25"/>
    <row r="187911" s="12" customFormat="1" x14ac:dyDescent="0.25"/>
    <row r="187912" s="12" customFormat="1" x14ac:dyDescent="0.25"/>
    <row r="187913" s="12" customFormat="1" x14ac:dyDescent="0.25"/>
    <row r="187914" s="12" customFormat="1" x14ac:dyDescent="0.25"/>
    <row r="187915" s="12" customFormat="1" x14ac:dyDescent="0.25"/>
    <row r="187916" s="12" customFormat="1" x14ac:dyDescent="0.25"/>
    <row r="187917" s="12" customFormat="1" x14ac:dyDescent="0.25"/>
    <row r="187918" s="12" customFormat="1" x14ac:dyDescent="0.25"/>
    <row r="187919" s="12" customFormat="1" x14ac:dyDescent="0.25"/>
    <row r="187920" s="12" customFormat="1" x14ac:dyDescent="0.25"/>
    <row r="187921" s="12" customFormat="1" x14ac:dyDescent="0.25"/>
    <row r="187922" s="12" customFormat="1" x14ac:dyDescent="0.25"/>
    <row r="187923" s="12" customFormat="1" x14ac:dyDescent="0.25"/>
    <row r="187924" s="12" customFormat="1" x14ac:dyDescent="0.25"/>
    <row r="187925" s="12" customFormat="1" x14ac:dyDescent="0.25"/>
    <row r="187926" s="12" customFormat="1" x14ac:dyDescent="0.25"/>
    <row r="187927" s="12" customFormat="1" x14ac:dyDescent="0.25"/>
    <row r="187928" s="12" customFormat="1" x14ac:dyDescent="0.25"/>
    <row r="187929" s="12" customFormat="1" x14ac:dyDescent="0.25"/>
    <row r="187930" s="12" customFormat="1" x14ac:dyDescent="0.25"/>
    <row r="187931" s="12" customFormat="1" x14ac:dyDescent="0.25"/>
    <row r="187932" s="12" customFormat="1" x14ac:dyDescent="0.25"/>
    <row r="187933" s="12" customFormat="1" x14ac:dyDescent="0.25"/>
    <row r="187934" s="12" customFormat="1" x14ac:dyDescent="0.25"/>
    <row r="187935" s="12" customFormat="1" x14ac:dyDescent="0.25"/>
    <row r="187936" s="12" customFormat="1" x14ac:dyDescent="0.25"/>
    <row r="187937" s="12" customFormat="1" x14ac:dyDescent="0.25"/>
    <row r="187938" s="12" customFormat="1" x14ac:dyDescent="0.25"/>
    <row r="187939" s="12" customFormat="1" x14ac:dyDescent="0.25"/>
    <row r="187940" s="12" customFormat="1" x14ac:dyDescent="0.25"/>
    <row r="187941" s="12" customFormat="1" x14ac:dyDescent="0.25"/>
    <row r="187942" s="12" customFormat="1" x14ac:dyDescent="0.25"/>
    <row r="187943" s="12" customFormat="1" x14ac:dyDescent="0.25"/>
    <row r="187944" s="12" customFormat="1" x14ac:dyDescent="0.25"/>
    <row r="187945" s="12" customFormat="1" x14ac:dyDescent="0.25"/>
    <row r="187946" s="12" customFormat="1" x14ac:dyDescent="0.25"/>
    <row r="187947" s="12" customFormat="1" x14ac:dyDescent="0.25"/>
    <row r="187948" s="12" customFormat="1" x14ac:dyDescent="0.25"/>
    <row r="187949" s="12" customFormat="1" x14ac:dyDescent="0.25"/>
    <row r="187950" s="12" customFormat="1" x14ac:dyDescent="0.25"/>
    <row r="187951" s="12" customFormat="1" x14ac:dyDescent="0.25"/>
    <row r="187952" s="12" customFormat="1" x14ac:dyDescent="0.25"/>
    <row r="187953" s="12" customFormat="1" x14ac:dyDescent="0.25"/>
    <row r="187954" s="12" customFormat="1" x14ac:dyDescent="0.25"/>
    <row r="187955" s="12" customFormat="1" x14ac:dyDescent="0.25"/>
    <row r="187956" s="12" customFormat="1" x14ac:dyDescent="0.25"/>
    <row r="187957" s="12" customFormat="1" x14ac:dyDescent="0.25"/>
    <row r="187958" s="12" customFormat="1" x14ac:dyDescent="0.25"/>
    <row r="187959" s="12" customFormat="1" x14ac:dyDescent="0.25"/>
    <row r="187960" s="12" customFormat="1" x14ac:dyDescent="0.25"/>
    <row r="187961" s="12" customFormat="1" x14ac:dyDescent="0.25"/>
    <row r="187962" s="12" customFormat="1" x14ac:dyDescent="0.25"/>
    <row r="187963" s="12" customFormat="1" x14ac:dyDescent="0.25"/>
    <row r="187964" s="12" customFormat="1" x14ac:dyDescent="0.25"/>
    <row r="187965" s="12" customFormat="1" x14ac:dyDescent="0.25"/>
    <row r="187966" s="12" customFormat="1" x14ac:dyDescent="0.25"/>
    <row r="187967" s="12" customFormat="1" x14ac:dyDescent="0.25"/>
    <row r="187968" s="12" customFormat="1" x14ac:dyDescent="0.25"/>
    <row r="187969" s="12" customFormat="1" x14ac:dyDescent="0.25"/>
    <row r="187970" s="12" customFormat="1" x14ac:dyDescent="0.25"/>
    <row r="187971" s="12" customFormat="1" x14ac:dyDescent="0.25"/>
    <row r="187972" s="12" customFormat="1" x14ac:dyDescent="0.25"/>
    <row r="187973" s="12" customFormat="1" x14ac:dyDescent="0.25"/>
    <row r="187974" s="12" customFormat="1" x14ac:dyDescent="0.25"/>
    <row r="187975" s="12" customFormat="1" x14ac:dyDescent="0.25"/>
    <row r="187976" s="12" customFormat="1" x14ac:dyDescent="0.25"/>
    <row r="187977" s="12" customFormat="1" x14ac:dyDescent="0.25"/>
    <row r="187978" s="12" customFormat="1" x14ac:dyDescent="0.25"/>
    <row r="187979" s="12" customFormat="1" x14ac:dyDescent="0.25"/>
    <row r="187980" s="12" customFormat="1" x14ac:dyDescent="0.25"/>
    <row r="187981" s="12" customFormat="1" x14ac:dyDescent="0.25"/>
    <row r="187982" s="12" customFormat="1" x14ac:dyDescent="0.25"/>
    <row r="187983" s="12" customFormat="1" x14ac:dyDescent="0.25"/>
    <row r="187984" s="12" customFormat="1" x14ac:dyDescent="0.25"/>
    <row r="187985" s="12" customFormat="1" x14ac:dyDescent="0.25"/>
    <row r="187986" s="12" customFormat="1" x14ac:dyDescent="0.25"/>
    <row r="187987" s="12" customFormat="1" x14ac:dyDescent="0.25"/>
    <row r="187988" s="12" customFormat="1" x14ac:dyDescent="0.25"/>
    <row r="187989" s="12" customFormat="1" x14ac:dyDescent="0.25"/>
    <row r="187990" s="12" customFormat="1" x14ac:dyDescent="0.25"/>
    <row r="187991" s="12" customFormat="1" x14ac:dyDescent="0.25"/>
    <row r="187992" s="12" customFormat="1" x14ac:dyDescent="0.25"/>
    <row r="187993" s="12" customFormat="1" x14ac:dyDescent="0.25"/>
    <row r="187994" s="12" customFormat="1" x14ac:dyDescent="0.25"/>
    <row r="187995" s="12" customFormat="1" x14ac:dyDescent="0.25"/>
    <row r="187996" s="12" customFormat="1" x14ac:dyDescent="0.25"/>
    <row r="187997" s="12" customFormat="1" x14ac:dyDescent="0.25"/>
    <row r="187998" s="12" customFormat="1" x14ac:dyDescent="0.25"/>
    <row r="187999" s="12" customFormat="1" x14ac:dyDescent="0.25"/>
    <row r="188000" s="12" customFormat="1" x14ac:dyDescent="0.25"/>
    <row r="188001" s="12" customFormat="1" x14ac:dyDescent="0.25"/>
    <row r="188002" s="12" customFormat="1" x14ac:dyDescent="0.25"/>
    <row r="188003" s="12" customFormat="1" x14ac:dyDescent="0.25"/>
    <row r="188004" s="12" customFormat="1" x14ac:dyDescent="0.25"/>
    <row r="188005" s="12" customFormat="1" x14ac:dyDescent="0.25"/>
    <row r="188006" s="12" customFormat="1" x14ac:dyDescent="0.25"/>
    <row r="188007" s="12" customFormat="1" x14ac:dyDescent="0.25"/>
    <row r="188008" s="12" customFormat="1" x14ac:dyDescent="0.25"/>
    <row r="188009" s="12" customFormat="1" x14ac:dyDescent="0.25"/>
    <row r="188010" s="12" customFormat="1" x14ac:dyDescent="0.25"/>
    <row r="188011" s="12" customFormat="1" x14ac:dyDescent="0.25"/>
    <row r="188012" s="12" customFormat="1" x14ac:dyDescent="0.25"/>
    <row r="188013" s="12" customFormat="1" x14ac:dyDescent="0.25"/>
    <row r="188014" s="12" customFormat="1" x14ac:dyDescent="0.25"/>
    <row r="188015" s="12" customFormat="1" x14ac:dyDescent="0.25"/>
    <row r="188016" s="12" customFormat="1" x14ac:dyDescent="0.25"/>
    <row r="188017" s="12" customFormat="1" x14ac:dyDescent="0.25"/>
    <row r="188018" s="12" customFormat="1" x14ac:dyDescent="0.25"/>
    <row r="188019" s="12" customFormat="1" x14ac:dyDescent="0.25"/>
    <row r="188020" s="12" customFormat="1" x14ac:dyDescent="0.25"/>
    <row r="188021" s="12" customFormat="1" x14ac:dyDescent="0.25"/>
    <row r="188022" s="12" customFormat="1" x14ac:dyDescent="0.25"/>
    <row r="188023" s="12" customFormat="1" x14ac:dyDescent="0.25"/>
    <row r="188024" s="12" customFormat="1" x14ac:dyDescent="0.25"/>
    <row r="188025" s="12" customFormat="1" x14ac:dyDescent="0.25"/>
    <row r="188026" s="12" customFormat="1" x14ac:dyDescent="0.25"/>
    <row r="188027" s="12" customFormat="1" x14ac:dyDescent="0.25"/>
    <row r="188028" s="12" customFormat="1" x14ac:dyDescent="0.25"/>
    <row r="188029" s="12" customFormat="1" x14ac:dyDescent="0.25"/>
    <row r="188030" s="12" customFormat="1" x14ac:dyDescent="0.25"/>
    <row r="188031" s="12" customFormat="1" x14ac:dyDescent="0.25"/>
    <row r="188032" s="12" customFormat="1" x14ac:dyDescent="0.25"/>
    <row r="188033" s="12" customFormat="1" x14ac:dyDescent="0.25"/>
    <row r="188034" s="12" customFormat="1" x14ac:dyDescent="0.25"/>
    <row r="188035" s="12" customFormat="1" x14ac:dyDescent="0.25"/>
    <row r="188036" s="12" customFormat="1" x14ac:dyDescent="0.25"/>
    <row r="188037" s="12" customFormat="1" x14ac:dyDescent="0.25"/>
    <row r="188038" s="12" customFormat="1" x14ac:dyDescent="0.25"/>
    <row r="188039" s="12" customFormat="1" x14ac:dyDescent="0.25"/>
    <row r="188040" s="12" customFormat="1" x14ac:dyDescent="0.25"/>
    <row r="188041" s="12" customFormat="1" x14ac:dyDescent="0.25"/>
    <row r="188042" s="12" customFormat="1" x14ac:dyDescent="0.25"/>
    <row r="188043" s="12" customFormat="1" x14ac:dyDescent="0.25"/>
    <row r="188044" s="12" customFormat="1" x14ac:dyDescent="0.25"/>
    <row r="188045" s="12" customFormat="1" x14ac:dyDescent="0.25"/>
    <row r="188046" s="12" customFormat="1" x14ac:dyDescent="0.25"/>
    <row r="188047" s="12" customFormat="1" x14ac:dyDescent="0.25"/>
    <row r="188048" s="12" customFormat="1" x14ac:dyDescent="0.25"/>
    <row r="188049" s="12" customFormat="1" x14ac:dyDescent="0.25"/>
    <row r="188050" s="12" customFormat="1" x14ac:dyDescent="0.25"/>
    <row r="188051" s="12" customFormat="1" x14ac:dyDescent="0.25"/>
    <row r="188052" s="12" customFormat="1" x14ac:dyDescent="0.25"/>
    <row r="188053" s="12" customFormat="1" x14ac:dyDescent="0.25"/>
    <row r="188054" s="12" customFormat="1" x14ac:dyDescent="0.25"/>
    <row r="188055" s="12" customFormat="1" x14ac:dyDescent="0.25"/>
    <row r="188056" s="12" customFormat="1" x14ac:dyDescent="0.25"/>
    <row r="188057" s="12" customFormat="1" x14ac:dyDescent="0.25"/>
    <row r="188058" s="12" customFormat="1" x14ac:dyDescent="0.25"/>
    <row r="188059" s="12" customFormat="1" x14ac:dyDescent="0.25"/>
    <row r="188060" s="12" customFormat="1" x14ac:dyDescent="0.25"/>
    <row r="188061" s="12" customFormat="1" x14ac:dyDescent="0.25"/>
    <row r="188062" s="12" customFormat="1" x14ac:dyDescent="0.25"/>
    <row r="188063" s="12" customFormat="1" x14ac:dyDescent="0.25"/>
    <row r="188064" s="12" customFormat="1" x14ac:dyDescent="0.25"/>
    <row r="188065" s="12" customFormat="1" x14ac:dyDescent="0.25"/>
    <row r="188066" s="12" customFormat="1" x14ac:dyDescent="0.25"/>
    <row r="188067" s="12" customFormat="1" x14ac:dyDescent="0.25"/>
    <row r="188068" s="12" customFormat="1" x14ac:dyDescent="0.25"/>
    <row r="188069" s="12" customFormat="1" x14ac:dyDescent="0.25"/>
    <row r="188070" s="12" customFormat="1" x14ac:dyDescent="0.25"/>
    <row r="188071" s="12" customFormat="1" x14ac:dyDescent="0.25"/>
    <row r="188072" s="12" customFormat="1" x14ac:dyDescent="0.25"/>
    <row r="188073" s="12" customFormat="1" x14ac:dyDescent="0.25"/>
    <row r="188074" s="12" customFormat="1" x14ac:dyDescent="0.25"/>
    <row r="188075" s="12" customFormat="1" x14ac:dyDescent="0.25"/>
    <row r="188076" s="12" customFormat="1" x14ac:dyDescent="0.25"/>
    <row r="188077" s="12" customFormat="1" x14ac:dyDescent="0.25"/>
    <row r="188078" s="12" customFormat="1" x14ac:dyDescent="0.25"/>
    <row r="188079" s="12" customFormat="1" x14ac:dyDescent="0.25"/>
    <row r="188080" s="12" customFormat="1" x14ac:dyDescent="0.25"/>
    <row r="188081" s="12" customFormat="1" x14ac:dyDescent="0.25"/>
    <row r="188082" s="12" customFormat="1" x14ac:dyDescent="0.25"/>
    <row r="188083" s="12" customFormat="1" x14ac:dyDescent="0.25"/>
    <row r="188084" s="12" customFormat="1" x14ac:dyDescent="0.25"/>
    <row r="188085" s="12" customFormat="1" x14ac:dyDescent="0.25"/>
    <row r="188086" s="12" customFormat="1" x14ac:dyDescent="0.25"/>
    <row r="188087" s="12" customFormat="1" x14ac:dyDescent="0.25"/>
    <row r="188088" s="12" customFormat="1" x14ac:dyDescent="0.25"/>
    <row r="188089" s="12" customFormat="1" x14ac:dyDescent="0.25"/>
    <row r="188090" s="12" customFormat="1" x14ac:dyDescent="0.25"/>
    <row r="188091" s="12" customFormat="1" x14ac:dyDescent="0.25"/>
    <row r="188092" s="12" customFormat="1" x14ac:dyDescent="0.25"/>
    <row r="188093" s="12" customFormat="1" x14ac:dyDescent="0.25"/>
    <row r="188094" s="12" customFormat="1" x14ac:dyDescent="0.25"/>
    <row r="188095" s="12" customFormat="1" x14ac:dyDescent="0.25"/>
    <row r="188096" s="12" customFormat="1" x14ac:dyDescent="0.25"/>
    <row r="188097" s="12" customFormat="1" x14ac:dyDescent="0.25"/>
    <row r="188098" s="12" customFormat="1" x14ac:dyDescent="0.25"/>
    <row r="188099" s="12" customFormat="1" x14ac:dyDescent="0.25"/>
    <row r="188100" s="12" customFormat="1" x14ac:dyDescent="0.25"/>
    <row r="188101" s="12" customFormat="1" x14ac:dyDescent="0.25"/>
    <row r="188102" s="12" customFormat="1" x14ac:dyDescent="0.25"/>
    <row r="188103" s="12" customFormat="1" x14ac:dyDescent="0.25"/>
    <row r="188104" s="12" customFormat="1" x14ac:dyDescent="0.25"/>
    <row r="188105" s="12" customFormat="1" x14ac:dyDescent="0.25"/>
    <row r="188106" s="12" customFormat="1" x14ac:dyDescent="0.25"/>
    <row r="188107" s="12" customFormat="1" x14ac:dyDescent="0.25"/>
    <row r="188108" s="12" customFormat="1" x14ac:dyDescent="0.25"/>
    <row r="188109" s="12" customFormat="1" x14ac:dyDescent="0.25"/>
    <row r="188110" s="12" customFormat="1" x14ac:dyDescent="0.25"/>
    <row r="188111" s="12" customFormat="1" x14ac:dyDescent="0.25"/>
    <row r="188112" s="12" customFormat="1" x14ac:dyDescent="0.25"/>
    <row r="188113" s="12" customFormat="1" x14ac:dyDescent="0.25"/>
    <row r="188114" s="12" customFormat="1" x14ac:dyDescent="0.25"/>
    <row r="188115" s="12" customFormat="1" x14ac:dyDescent="0.25"/>
    <row r="188116" s="12" customFormat="1" x14ac:dyDescent="0.25"/>
    <row r="188117" s="12" customFormat="1" x14ac:dyDescent="0.25"/>
    <row r="188118" s="12" customFormat="1" x14ac:dyDescent="0.25"/>
    <row r="188119" s="12" customFormat="1" x14ac:dyDescent="0.25"/>
    <row r="188120" s="12" customFormat="1" x14ac:dyDescent="0.25"/>
    <row r="188121" s="12" customFormat="1" x14ac:dyDescent="0.25"/>
    <row r="188122" s="12" customFormat="1" x14ac:dyDescent="0.25"/>
    <row r="188123" s="12" customFormat="1" x14ac:dyDescent="0.25"/>
    <row r="188124" s="12" customFormat="1" x14ac:dyDescent="0.25"/>
    <row r="188125" s="12" customFormat="1" x14ac:dyDescent="0.25"/>
    <row r="188126" s="12" customFormat="1" x14ac:dyDescent="0.25"/>
    <row r="188127" s="12" customFormat="1" x14ac:dyDescent="0.25"/>
    <row r="188128" s="12" customFormat="1" x14ac:dyDescent="0.25"/>
    <row r="188129" s="12" customFormat="1" x14ac:dyDescent="0.25"/>
    <row r="188130" s="12" customFormat="1" x14ac:dyDescent="0.25"/>
    <row r="188131" s="12" customFormat="1" x14ac:dyDescent="0.25"/>
    <row r="188132" s="12" customFormat="1" x14ac:dyDescent="0.25"/>
    <row r="188133" s="12" customFormat="1" x14ac:dyDescent="0.25"/>
    <row r="188134" s="12" customFormat="1" x14ac:dyDescent="0.25"/>
    <row r="188135" s="12" customFormat="1" x14ac:dyDescent="0.25"/>
    <row r="188136" s="12" customFormat="1" x14ac:dyDescent="0.25"/>
    <row r="188137" s="12" customFormat="1" x14ac:dyDescent="0.25"/>
    <row r="188138" s="12" customFormat="1" x14ac:dyDescent="0.25"/>
    <row r="188139" s="12" customFormat="1" x14ac:dyDescent="0.25"/>
    <row r="188140" s="12" customFormat="1" x14ac:dyDescent="0.25"/>
    <row r="188141" s="12" customFormat="1" x14ac:dyDescent="0.25"/>
    <row r="188142" s="12" customFormat="1" x14ac:dyDescent="0.25"/>
    <row r="188143" s="12" customFormat="1" x14ac:dyDescent="0.25"/>
    <row r="188144" s="12" customFormat="1" x14ac:dyDescent="0.25"/>
    <row r="188145" s="12" customFormat="1" x14ac:dyDescent="0.25"/>
    <row r="188146" s="12" customFormat="1" x14ac:dyDescent="0.25"/>
    <row r="188147" s="12" customFormat="1" x14ac:dyDescent="0.25"/>
    <row r="188148" s="12" customFormat="1" x14ac:dyDescent="0.25"/>
    <row r="188149" s="12" customFormat="1" x14ac:dyDescent="0.25"/>
    <row r="188150" s="12" customFormat="1" x14ac:dyDescent="0.25"/>
    <row r="188151" s="12" customFormat="1" x14ac:dyDescent="0.25"/>
    <row r="188152" s="12" customFormat="1" x14ac:dyDescent="0.25"/>
    <row r="188153" s="12" customFormat="1" x14ac:dyDescent="0.25"/>
    <row r="188154" s="12" customFormat="1" x14ac:dyDescent="0.25"/>
    <row r="188155" s="12" customFormat="1" x14ac:dyDescent="0.25"/>
    <row r="188156" s="12" customFormat="1" x14ac:dyDescent="0.25"/>
    <row r="188157" s="12" customFormat="1" x14ac:dyDescent="0.25"/>
    <row r="188158" s="12" customFormat="1" x14ac:dyDescent="0.25"/>
    <row r="188159" s="12" customFormat="1" x14ac:dyDescent="0.25"/>
    <row r="188160" s="12" customFormat="1" x14ac:dyDescent="0.25"/>
    <row r="188161" s="12" customFormat="1" x14ac:dyDescent="0.25"/>
    <row r="188162" s="12" customFormat="1" x14ac:dyDescent="0.25"/>
    <row r="188163" s="12" customFormat="1" x14ac:dyDescent="0.25"/>
    <row r="188164" s="12" customFormat="1" x14ac:dyDescent="0.25"/>
    <row r="188165" s="12" customFormat="1" x14ac:dyDescent="0.25"/>
    <row r="188166" s="12" customFormat="1" x14ac:dyDescent="0.25"/>
    <row r="188167" s="12" customFormat="1" x14ac:dyDescent="0.25"/>
    <row r="188168" s="12" customFormat="1" x14ac:dyDescent="0.25"/>
    <row r="188169" s="12" customFormat="1" x14ac:dyDescent="0.25"/>
    <row r="188170" s="12" customFormat="1" x14ac:dyDescent="0.25"/>
    <row r="188171" s="12" customFormat="1" x14ac:dyDescent="0.25"/>
    <row r="188172" s="12" customFormat="1" x14ac:dyDescent="0.25"/>
    <row r="188173" s="12" customFormat="1" x14ac:dyDescent="0.25"/>
    <row r="188174" s="12" customFormat="1" x14ac:dyDescent="0.25"/>
    <row r="188175" s="12" customFormat="1" x14ac:dyDescent="0.25"/>
    <row r="188176" s="12" customFormat="1" x14ac:dyDescent="0.25"/>
    <row r="188177" s="12" customFormat="1" x14ac:dyDescent="0.25"/>
    <row r="188178" s="12" customFormat="1" x14ac:dyDescent="0.25"/>
    <row r="188179" s="12" customFormat="1" x14ac:dyDescent="0.25"/>
    <row r="188180" s="12" customFormat="1" x14ac:dyDescent="0.25"/>
    <row r="188181" s="12" customFormat="1" x14ac:dyDescent="0.25"/>
    <row r="188182" s="12" customFormat="1" x14ac:dyDescent="0.25"/>
    <row r="188183" s="12" customFormat="1" x14ac:dyDescent="0.25"/>
    <row r="188184" s="12" customFormat="1" x14ac:dyDescent="0.25"/>
    <row r="188185" s="12" customFormat="1" x14ac:dyDescent="0.25"/>
    <row r="188186" s="12" customFormat="1" x14ac:dyDescent="0.25"/>
    <row r="188187" s="12" customFormat="1" x14ac:dyDescent="0.25"/>
    <row r="188188" s="12" customFormat="1" x14ac:dyDescent="0.25"/>
    <row r="188189" s="12" customFormat="1" x14ac:dyDescent="0.25"/>
    <row r="188190" s="12" customFormat="1" x14ac:dyDescent="0.25"/>
    <row r="188191" s="12" customFormat="1" x14ac:dyDescent="0.25"/>
    <row r="188192" s="12" customFormat="1" x14ac:dyDescent="0.25"/>
    <row r="188193" s="12" customFormat="1" x14ac:dyDescent="0.25"/>
    <row r="188194" s="12" customFormat="1" x14ac:dyDescent="0.25"/>
    <row r="188195" s="12" customFormat="1" x14ac:dyDescent="0.25"/>
    <row r="188196" s="12" customFormat="1" x14ac:dyDescent="0.25"/>
    <row r="188197" s="12" customFormat="1" x14ac:dyDescent="0.25"/>
    <row r="188198" s="12" customFormat="1" x14ac:dyDescent="0.25"/>
    <row r="188199" s="12" customFormat="1" x14ac:dyDescent="0.25"/>
    <row r="188200" s="12" customFormat="1" x14ac:dyDescent="0.25"/>
    <row r="188201" s="12" customFormat="1" x14ac:dyDescent="0.25"/>
    <row r="188202" s="12" customFormat="1" x14ac:dyDescent="0.25"/>
    <row r="188203" s="12" customFormat="1" x14ac:dyDescent="0.25"/>
    <row r="188204" s="12" customFormat="1" x14ac:dyDescent="0.25"/>
    <row r="188205" s="12" customFormat="1" x14ac:dyDescent="0.25"/>
    <row r="188206" s="12" customFormat="1" x14ac:dyDescent="0.25"/>
    <row r="188207" s="12" customFormat="1" x14ac:dyDescent="0.25"/>
    <row r="188208" s="12" customFormat="1" x14ac:dyDescent="0.25"/>
    <row r="188209" s="12" customFormat="1" x14ac:dyDescent="0.25"/>
    <row r="188210" s="12" customFormat="1" x14ac:dyDescent="0.25"/>
    <row r="188211" s="12" customFormat="1" x14ac:dyDescent="0.25"/>
    <row r="188212" s="12" customFormat="1" x14ac:dyDescent="0.25"/>
    <row r="188213" s="12" customFormat="1" x14ac:dyDescent="0.25"/>
    <row r="188214" s="12" customFormat="1" x14ac:dyDescent="0.25"/>
    <row r="188215" s="12" customFormat="1" x14ac:dyDescent="0.25"/>
    <row r="188216" s="12" customFormat="1" x14ac:dyDescent="0.25"/>
    <row r="188217" s="12" customFormat="1" x14ac:dyDescent="0.25"/>
    <row r="188218" s="12" customFormat="1" x14ac:dyDescent="0.25"/>
    <row r="188219" s="12" customFormat="1" x14ac:dyDescent="0.25"/>
    <row r="188220" s="12" customFormat="1" x14ac:dyDescent="0.25"/>
    <row r="188221" s="12" customFormat="1" x14ac:dyDescent="0.25"/>
    <row r="188222" s="12" customFormat="1" x14ac:dyDescent="0.25"/>
    <row r="188223" s="12" customFormat="1" x14ac:dyDescent="0.25"/>
    <row r="188224" s="12" customFormat="1" x14ac:dyDescent="0.25"/>
    <row r="188225" s="12" customFormat="1" x14ac:dyDescent="0.25"/>
    <row r="188226" s="12" customFormat="1" x14ac:dyDescent="0.25"/>
    <row r="188227" s="12" customFormat="1" x14ac:dyDescent="0.25"/>
    <row r="188228" s="12" customFormat="1" x14ac:dyDescent="0.25"/>
    <row r="188229" s="12" customFormat="1" x14ac:dyDescent="0.25"/>
    <row r="188230" s="12" customFormat="1" x14ac:dyDescent="0.25"/>
    <row r="188231" s="12" customFormat="1" x14ac:dyDescent="0.25"/>
    <row r="188232" s="12" customFormat="1" x14ac:dyDescent="0.25"/>
    <row r="188233" s="12" customFormat="1" x14ac:dyDescent="0.25"/>
    <row r="188234" s="12" customFormat="1" x14ac:dyDescent="0.25"/>
    <row r="188235" s="12" customFormat="1" x14ac:dyDescent="0.25"/>
    <row r="188236" s="12" customFormat="1" x14ac:dyDescent="0.25"/>
    <row r="188237" s="12" customFormat="1" x14ac:dyDescent="0.25"/>
    <row r="188238" s="12" customFormat="1" x14ac:dyDescent="0.25"/>
    <row r="188239" s="12" customFormat="1" x14ac:dyDescent="0.25"/>
    <row r="188240" s="12" customFormat="1" x14ac:dyDescent="0.25"/>
    <row r="188241" s="12" customFormat="1" x14ac:dyDescent="0.25"/>
    <row r="188242" s="12" customFormat="1" x14ac:dyDescent="0.25"/>
    <row r="188243" s="12" customFormat="1" x14ac:dyDescent="0.25"/>
    <row r="188244" s="12" customFormat="1" x14ac:dyDescent="0.25"/>
    <row r="188245" s="12" customFormat="1" x14ac:dyDescent="0.25"/>
    <row r="188246" s="12" customFormat="1" x14ac:dyDescent="0.25"/>
    <row r="188247" s="12" customFormat="1" x14ac:dyDescent="0.25"/>
    <row r="188248" s="12" customFormat="1" x14ac:dyDescent="0.25"/>
    <row r="188249" s="12" customFormat="1" x14ac:dyDescent="0.25"/>
    <row r="188250" s="12" customFormat="1" x14ac:dyDescent="0.25"/>
    <row r="188251" s="12" customFormat="1" x14ac:dyDescent="0.25"/>
    <row r="188252" s="12" customFormat="1" x14ac:dyDescent="0.25"/>
    <row r="188253" s="12" customFormat="1" x14ac:dyDescent="0.25"/>
    <row r="188254" s="12" customFormat="1" x14ac:dyDescent="0.25"/>
    <row r="188255" s="12" customFormat="1" x14ac:dyDescent="0.25"/>
    <row r="188256" s="12" customFormat="1" x14ac:dyDescent="0.25"/>
    <row r="188257" s="12" customFormat="1" x14ac:dyDescent="0.25"/>
    <row r="188258" s="12" customFormat="1" x14ac:dyDescent="0.25"/>
    <row r="188259" s="12" customFormat="1" x14ac:dyDescent="0.25"/>
    <row r="188260" s="12" customFormat="1" x14ac:dyDescent="0.25"/>
    <row r="188261" s="12" customFormat="1" x14ac:dyDescent="0.25"/>
    <row r="188262" s="12" customFormat="1" x14ac:dyDescent="0.25"/>
    <row r="188263" s="12" customFormat="1" x14ac:dyDescent="0.25"/>
    <row r="188264" s="12" customFormat="1" x14ac:dyDescent="0.25"/>
    <row r="188265" s="12" customFormat="1" x14ac:dyDescent="0.25"/>
    <row r="188266" s="12" customFormat="1" x14ac:dyDescent="0.25"/>
    <row r="188267" s="12" customFormat="1" x14ac:dyDescent="0.25"/>
    <row r="188268" s="12" customFormat="1" x14ac:dyDescent="0.25"/>
    <row r="188269" s="12" customFormat="1" x14ac:dyDescent="0.25"/>
    <row r="188270" s="12" customFormat="1" x14ac:dyDescent="0.25"/>
    <row r="188271" s="12" customFormat="1" x14ac:dyDescent="0.25"/>
    <row r="188272" s="12" customFormat="1" x14ac:dyDescent="0.25"/>
    <row r="188273" s="12" customFormat="1" x14ac:dyDescent="0.25"/>
    <row r="188274" s="12" customFormat="1" x14ac:dyDescent="0.25"/>
    <row r="188275" s="12" customFormat="1" x14ac:dyDescent="0.25"/>
    <row r="188276" s="12" customFormat="1" x14ac:dyDescent="0.25"/>
    <row r="188277" s="12" customFormat="1" x14ac:dyDescent="0.25"/>
    <row r="188278" s="12" customFormat="1" x14ac:dyDescent="0.25"/>
    <row r="188279" s="12" customFormat="1" x14ac:dyDescent="0.25"/>
    <row r="188280" s="12" customFormat="1" x14ac:dyDescent="0.25"/>
    <row r="188281" s="12" customFormat="1" x14ac:dyDescent="0.25"/>
    <row r="188282" s="12" customFormat="1" x14ac:dyDescent="0.25"/>
    <row r="188283" s="12" customFormat="1" x14ac:dyDescent="0.25"/>
    <row r="188284" s="12" customFormat="1" x14ac:dyDescent="0.25"/>
    <row r="188285" s="12" customFormat="1" x14ac:dyDescent="0.25"/>
    <row r="188286" s="12" customFormat="1" x14ac:dyDescent="0.25"/>
    <row r="188287" s="12" customFormat="1" x14ac:dyDescent="0.25"/>
    <row r="188288" s="12" customFormat="1" x14ac:dyDescent="0.25"/>
    <row r="188289" s="12" customFormat="1" x14ac:dyDescent="0.25"/>
    <row r="188290" s="12" customFormat="1" x14ac:dyDescent="0.25"/>
    <row r="188291" s="12" customFormat="1" x14ac:dyDescent="0.25"/>
    <row r="188292" s="12" customFormat="1" x14ac:dyDescent="0.25"/>
    <row r="188293" s="12" customFormat="1" x14ac:dyDescent="0.25"/>
    <row r="188294" s="12" customFormat="1" x14ac:dyDescent="0.25"/>
    <row r="188295" s="12" customFormat="1" x14ac:dyDescent="0.25"/>
    <row r="188296" s="12" customFormat="1" x14ac:dyDescent="0.25"/>
    <row r="188297" s="12" customFormat="1" x14ac:dyDescent="0.25"/>
    <row r="188298" s="12" customFormat="1" x14ac:dyDescent="0.25"/>
    <row r="188299" s="12" customFormat="1" x14ac:dyDescent="0.25"/>
    <row r="188300" s="12" customFormat="1" x14ac:dyDescent="0.25"/>
    <row r="188301" s="12" customFormat="1" x14ac:dyDescent="0.25"/>
    <row r="188302" s="12" customFormat="1" x14ac:dyDescent="0.25"/>
    <row r="188303" s="12" customFormat="1" x14ac:dyDescent="0.25"/>
    <row r="188304" s="12" customFormat="1" x14ac:dyDescent="0.25"/>
    <row r="188305" s="12" customFormat="1" x14ac:dyDescent="0.25"/>
    <row r="188306" s="12" customFormat="1" x14ac:dyDescent="0.25"/>
    <row r="188307" s="12" customFormat="1" x14ac:dyDescent="0.25"/>
    <row r="188308" s="12" customFormat="1" x14ac:dyDescent="0.25"/>
    <row r="188309" s="12" customFormat="1" x14ac:dyDescent="0.25"/>
    <row r="188310" s="12" customFormat="1" x14ac:dyDescent="0.25"/>
    <row r="188311" s="12" customFormat="1" x14ac:dyDescent="0.25"/>
    <row r="188312" s="12" customFormat="1" x14ac:dyDescent="0.25"/>
    <row r="188313" s="12" customFormat="1" x14ac:dyDescent="0.25"/>
    <row r="188314" s="12" customFormat="1" x14ac:dyDescent="0.25"/>
    <row r="188315" s="12" customFormat="1" x14ac:dyDescent="0.25"/>
    <row r="188316" s="12" customFormat="1" x14ac:dyDescent="0.25"/>
    <row r="188317" s="12" customFormat="1" x14ac:dyDescent="0.25"/>
    <row r="188318" s="12" customFormat="1" x14ac:dyDescent="0.25"/>
    <row r="188319" s="12" customFormat="1" x14ac:dyDescent="0.25"/>
    <row r="188320" s="12" customFormat="1" x14ac:dyDescent="0.25"/>
    <row r="188321" s="12" customFormat="1" x14ac:dyDescent="0.25"/>
    <row r="188322" s="12" customFormat="1" x14ac:dyDescent="0.25"/>
    <row r="188323" s="12" customFormat="1" x14ac:dyDescent="0.25"/>
    <row r="188324" s="12" customFormat="1" x14ac:dyDescent="0.25"/>
    <row r="188325" s="12" customFormat="1" x14ac:dyDescent="0.25"/>
    <row r="188326" s="12" customFormat="1" x14ac:dyDescent="0.25"/>
    <row r="188327" s="12" customFormat="1" x14ac:dyDescent="0.25"/>
    <row r="188328" s="12" customFormat="1" x14ac:dyDescent="0.25"/>
    <row r="188329" s="12" customFormat="1" x14ac:dyDescent="0.25"/>
    <row r="188330" s="12" customFormat="1" x14ac:dyDescent="0.25"/>
    <row r="188331" s="12" customFormat="1" x14ac:dyDescent="0.25"/>
    <row r="188332" s="12" customFormat="1" x14ac:dyDescent="0.25"/>
    <row r="188333" s="12" customFormat="1" x14ac:dyDescent="0.25"/>
    <row r="188334" s="12" customFormat="1" x14ac:dyDescent="0.25"/>
    <row r="188335" s="12" customFormat="1" x14ac:dyDescent="0.25"/>
    <row r="188336" s="12" customFormat="1" x14ac:dyDescent="0.25"/>
    <row r="188337" s="12" customFormat="1" x14ac:dyDescent="0.25"/>
    <row r="188338" s="12" customFormat="1" x14ac:dyDescent="0.25"/>
    <row r="188339" s="12" customFormat="1" x14ac:dyDescent="0.25"/>
    <row r="188340" s="12" customFormat="1" x14ac:dyDescent="0.25"/>
    <row r="188341" s="12" customFormat="1" x14ac:dyDescent="0.25"/>
    <row r="188342" s="12" customFormat="1" x14ac:dyDescent="0.25"/>
    <row r="188343" s="12" customFormat="1" x14ac:dyDescent="0.25"/>
    <row r="188344" s="12" customFormat="1" x14ac:dyDescent="0.25"/>
    <row r="188345" s="12" customFormat="1" x14ac:dyDescent="0.25"/>
    <row r="188346" s="12" customFormat="1" x14ac:dyDescent="0.25"/>
    <row r="188347" s="12" customFormat="1" x14ac:dyDescent="0.25"/>
    <row r="188348" s="12" customFormat="1" x14ac:dyDescent="0.25"/>
    <row r="188349" s="12" customFormat="1" x14ac:dyDescent="0.25"/>
    <row r="188350" s="12" customFormat="1" x14ac:dyDescent="0.25"/>
    <row r="188351" s="12" customFormat="1" x14ac:dyDescent="0.25"/>
    <row r="188352" s="12" customFormat="1" x14ac:dyDescent="0.25"/>
    <row r="188353" s="12" customFormat="1" x14ac:dyDescent="0.25"/>
    <row r="188354" s="12" customFormat="1" x14ac:dyDescent="0.25"/>
    <row r="188355" s="12" customFormat="1" x14ac:dyDescent="0.25"/>
    <row r="188356" s="12" customFormat="1" x14ac:dyDescent="0.25"/>
    <row r="188357" s="12" customFormat="1" x14ac:dyDescent="0.25"/>
    <row r="188358" s="12" customFormat="1" x14ac:dyDescent="0.25"/>
    <row r="188359" s="12" customFormat="1" x14ac:dyDescent="0.25"/>
    <row r="188360" s="12" customFormat="1" x14ac:dyDescent="0.25"/>
    <row r="188361" s="12" customFormat="1" x14ac:dyDescent="0.25"/>
    <row r="188362" s="12" customFormat="1" x14ac:dyDescent="0.25"/>
    <row r="188363" s="12" customFormat="1" x14ac:dyDescent="0.25"/>
    <row r="188364" s="12" customFormat="1" x14ac:dyDescent="0.25"/>
    <row r="188365" s="12" customFormat="1" x14ac:dyDescent="0.25"/>
    <row r="188366" s="12" customFormat="1" x14ac:dyDescent="0.25"/>
    <row r="188367" s="12" customFormat="1" x14ac:dyDescent="0.25"/>
    <row r="188368" s="12" customFormat="1" x14ac:dyDescent="0.25"/>
    <row r="188369" s="12" customFormat="1" x14ac:dyDescent="0.25"/>
    <row r="188370" s="12" customFormat="1" x14ac:dyDescent="0.25"/>
    <row r="188371" s="12" customFormat="1" x14ac:dyDescent="0.25"/>
    <row r="188372" s="12" customFormat="1" x14ac:dyDescent="0.25"/>
    <row r="188373" s="12" customFormat="1" x14ac:dyDescent="0.25"/>
    <row r="188374" s="12" customFormat="1" x14ac:dyDescent="0.25"/>
    <row r="188375" s="12" customFormat="1" x14ac:dyDescent="0.25"/>
    <row r="188376" s="12" customFormat="1" x14ac:dyDescent="0.25"/>
    <row r="188377" s="12" customFormat="1" x14ac:dyDescent="0.25"/>
    <row r="188378" s="12" customFormat="1" x14ac:dyDescent="0.25"/>
    <row r="188379" s="12" customFormat="1" x14ac:dyDescent="0.25"/>
    <row r="188380" s="12" customFormat="1" x14ac:dyDescent="0.25"/>
    <row r="188381" s="12" customFormat="1" x14ac:dyDescent="0.25"/>
    <row r="188382" s="12" customFormat="1" x14ac:dyDescent="0.25"/>
    <row r="188383" s="12" customFormat="1" x14ac:dyDescent="0.25"/>
    <row r="188384" s="12" customFormat="1" x14ac:dyDescent="0.25"/>
    <row r="188385" s="12" customFormat="1" x14ac:dyDescent="0.25"/>
    <row r="188386" s="12" customFormat="1" x14ac:dyDescent="0.25"/>
    <row r="188387" s="12" customFormat="1" x14ac:dyDescent="0.25"/>
    <row r="188388" s="12" customFormat="1" x14ac:dyDescent="0.25"/>
    <row r="188389" s="12" customFormat="1" x14ac:dyDescent="0.25"/>
    <row r="188390" s="12" customFormat="1" x14ac:dyDescent="0.25"/>
    <row r="188391" s="12" customFormat="1" x14ac:dyDescent="0.25"/>
    <row r="188392" s="12" customFormat="1" x14ac:dyDescent="0.25"/>
    <row r="188393" s="12" customFormat="1" x14ac:dyDescent="0.25"/>
    <row r="188394" s="12" customFormat="1" x14ac:dyDescent="0.25"/>
    <row r="188395" s="12" customFormat="1" x14ac:dyDescent="0.25"/>
    <row r="188396" s="12" customFormat="1" x14ac:dyDescent="0.25"/>
    <row r="188397" s="12" customFormat="1" x14ac:dyDescent="0.25"/>
    <row r="188398" s="12" customFormat="1" x14ac:dyDescent="0.25"/>
    <row r="188399" s="12" customFormat="1" x14ac:dyDescent="0.25"/>
    <row r="188400" s="12" customFormat="1" x14ac:dyDescent="0.25"/>
    <row r="188401" s="12" customFormat="1" x14ac:dyDescent="0.25"/>
    <row r="188402" s="12" customFormat="1" x14ac:dyDescent="0.25"/>
    <row r="188403" s="12" customFormat="1" x14ac:dyDescent="0.25"/>
    <row r="188404" s="12" customFormat="1" x14ac:dyDescent="0.25"/>
    <row r="188405" s="12" customFormat="1" x14ac:dyDescent="0.25"/>
    <row r="188406" s="12" customFormat="1" x14ac:dyDescent="0.25"/>
    <row r="188407" s="12" customFormat="1" x14ac:dyDescent="0.25"/>
    <row r="188408" s="12" customFormat="1" x14ac:dyDescent="0.25"/>
    <row r="188409" s="12" customFormat="1" x14ac:dyDescent="0.25"/>
    <row r="188410" s="12" customFormat="1" x14ac:dyDescent="0.25"/>
    <row r="188411" s="12" customFormat="1" x14ac:dyDescent="0.25"/>
    <row r="188412" s="12" customFormat="1" x14ac:dyDescent="0.25"/>
    <row r="188413" s="12" customFormat="1" x14ac:dyDescent="0.25"/>
    <row r="188414" s="12" customFormat="1" x14ac:dyDescent="0.25"/>
    <row r="188415" s="12" customFormat="1" x14ac:dyDescent="0.25"/>
    <row r="188416" s="12" customFormat="1" x14ac:dyDescent="0.25"/>
    <row r="188417" s="12" customFormat="1" x14ac:dyDescent="0.25"/>
    <row r="188418" s="12" customFormat="1" x14ac:dyDescent="0.25"/>
    <row r="188419" s="12" customFormat="1" x14ac:dyDescent="0.25"/>
    <row r="188420" s="12" customFormat="1" x14ac:dyDescent="0.25"/>
    <row r="188421" s="12" customFormat="1" x14ac:dyDescent="0.25"/>
    <row r="188422" s="12" customFormat="1" x14ac:dyDescent="0.25"/>
    <row r="188423" s="12" customFormat="1" x14ac:dyDescent="0.25"/>
    <row r="188424" s="12" customFormat="1" x14ac:dyDescent="0.25"/>
    <row r="188425" s="12" customFormat="1" x14ac:dyDescent="0.25"/>
    <row r="188426" s="12" customFormat="1" x14ac:dyDescent="0.25"/>
    <row r="188427" s="12" customFormat="1" x14ac:dyDescent="0.25"/>
    <row r="188428" s="12" customFormat="1" x14ac:dyDescent="0.25"/>
    <row r="188429" s="12" customFormat="1" x14ac:dyDescent="0.25"/>
    <row r="188430" s="12" customFormat="1" x14ac:dyDescent="0.25"/>
    <row r="188431" s="12" customFormat="1" x14ac:dyDescent="0.25"/>
    <row r="188432" s="12" customFormat="1" x14ac:dyDescent="0.25"/>
    <row r="188433" s="12" customFormat="1" x14ac:dyDescent="0.25"/>
    <row r="188434" s="12" customFormat="1" x14ac:dyDescent="0.25"/>
    <row r="188435" s="12" customFormat="1" x14ac:dyDescent="0.25"/>
    <row r="188436" s="12" customFormat="1" x14ac:dyDescent="0.25"/>
    <row r="188437" s="12" customFormat="1" x14ac:dyDescent="0.25"/>
    <row r="188438" s="12" customFormat="1" x14ac:dyDescent="0.25"/>
    <row r="188439" s="12" customFormat="1" x14ac:dyDescent="0.25"/>
    <row r="188440" s="12" customFormat="1" x14ac:dyDescent="0.25"/>
    <row r="188441" s="12" customFormat="1" x14ac:dyDescent="0.25"/>
    <row r="188442" s="12" customFormat="1" x14ac:dyDescent="0.25"/>
    <row r="188443" s="12" customFormat="1" x14ac:dyDescent="0.25"/>
    <row r="188444" s="12" customFormat="1" x14ac:dyDescent="0.25"/>
    <row r="188445" s="12" customFormat="1" x14ac:dyDescent="0.25"/>
    <row r="188446" s="12" customFormat="1" x14ac:dyDescent="0.25"/>
    <row r="188447" s="12" customFormat="1" x14ac:dyDescent="0.25"/>
    <row r="188448" s="12" customFormat="1" x14ac:dyDescent="0.25"/>
    <row r="188449" s="12" customFormat="1" x14ac:dyDescent="0.25"/>
    <row r="188450" s="12" customFormat="1" x14ac:dyDescent="0.25"/>
    <row r="188451" s="12" customFormat="1" x14ac:dyDescent="0.25"/>
    <row r="188452" s="12" customFormat="1" x14ac:dyDescent="0.25"/>
    <row r="188453" s="12" customFormat="1" x14ac:dyDescent="0.25"/>
    <row r="188454" s="12" customFormat="1" x14ac:dyDescent="0.25"/>
    <row r="188455" s="12" customFormat="1" x14ac:dyDescent="0.25"/>
    <row r="188456" s="12" customFormat="1" x14ac:dyDescent="0.25"/>
    <row r="188457" s="12" customFormat="1" x14ac:dyDescent="0.25"/>
    <row r="188458" s="12" customFormat="1" x14ac:dyDescent="0.25"/>
    <row r="188459" s="12" customFormat="1" x14ac:dyDescent="0.25"/>
    <row r="188460" s="12" customFormat="1" x14ac:dyDescent="0.25"/>
    <row r="188461" s="12" customFormat="1" x14ac:dyDescent="0.25"/>
    <row r="188462" s="12" customFormat="1" x14ac:dyDescent="0.25"/>
    <row r="188463" s="12" customFormat="1" x14ac:dyDescent="0.25"/>
    <row r="188464" s="12" customFormat="1" x14ac:dyDescent="0.25"/>
    <row r="188465" s="12" customFormat="1" x14ac:dyDescent="0.25"/>
    <row r="188466" s="12" customFormat="1" x14ac:dyDescent="0.25"/>
    <row r="188467" s="12" customFormat="1" x14ac:dyDescent="0.25"/>
    <row r="188468" s="12" customFormat="1" x14ac:dyDescent="0.25"/>
    <row r="188469" s="12" customFormat="1" x14ac:dyDescent="0.25"/>
    <row r="188470" s="12" customFormat="1" x14ac:dyDescent="0.25"/>
    <row r="188471" s="12" customFormat="1" x14ac:dyDescent="0.25"/>
    <row r="188472" s="12" customFormat="1" x14ac:dyDescent="0.25"/>
    <row r="188473" s="12" customFormat="1" x14ac:dyDescent="0.25"/>
    <row r="188474" s="12" customFormat="1" x14ac:dyDescent="0.25"/>
    <row r="188475" s="12" customFormat="1" x14ac:dyDescent="0.25"/>
    <row r="188476" s="12" customFormat="1" x14ac:dyDescent="0.25"/>
    <row r="188477" s="12" customFormat="1" x14ac:dyDescent="0.25"/>
    <row r="188478" s="12" customFormat="1" x14ac:dyDescent="0.25"/>
    <row r="188479" s="12" customFormat="1" x14ac:dyDescent="0.25"/>
    <row r="188480" s="12" customFormat="1" x14ac:dyDescent="0.25"/>
    <row r="188481" s="12" customFormat="1" x14ac:dyDescent="0.25"/>
    <row r="188482" s="12" customFormat="1" x14ac:dyDescent="0.25"/>
    <row r="188483" s="12" customFormat="1" x14ac:dyDescent="0.25"/>
    <row r="188484" s="12" customFormat="1" x14ac:dyDescent="0.25"/>
    <row r="188485" s="12" customFormat="1" x14ac:dyDescent="0.25"/>
    <row r="188486" s="12" customFormat="1" x14ac:dyDescent="0.25"/>
    <row r="188487" s="12" customFormat="1" x14ac:dyDescent="0.25"/>
    <row r="188488" s="12" customFormat="1" x14ac:dyDescent="0.25"/>
    <row r="188489" s="12" customFormat="1" x14ac:dyDescent="0.25"/>
    <row r="188490" s="12" customFormat="1" x14ac:dyDescent="0.25"/>
    <row r="188491" s="12" customFormat="1" x14ac:dyDescent="0.25"/>
    <row r="188492" s="12" customFormat="1" x14ac:dyDescent="0.25"/>
    <row r="188493" s="12" customFormat="1" x14ac:dyDescent="0.25"/>
    <row r="188494" s="12" customFormat="1" x14ac:dyDescent="0.25"/>
    <row r="188495" s="12" customFormat="1" x14ac:dyDescent="0.25"/>
    <row r="188496" s="12" customFormat="1" x14ac:dyDescent="0.25"/>
    <row r="188497" s="12" customFormat="1" x14ac:dyDescent="0.25"/>
    <row r="188498" s="12" customFormat="1" x14ac:dyDescent="0.25"/>
    <row r="188499" s="12" customFormat="1" x14ac:dyDescent="0.25"/>
    <row r="188500" s="12" customFormat="1" x14ac:dyDescent="0.25"/>
    <row r="188501" s="12" customFormat="1" x14ac:dyDescent="0.25"/>
    <row r="188502" s="12" customFormat="1" x14ac:dyDescent="0.25"/>
    <row r="188503" s="12" customFormat="1" x14ac:dyDescent="0.25"/>
    <row r="188504" s="12" customFormat="1" x14ac:dyDescent="0.25"/>
    <row r="188505" s="12" customFormat="1" x14ac:dyDescent="0.25"/>
    <row r="188506" s="12" customFormat="1" x14ac:dyDescent="0.25"/>
    <row r="188507" s="12" customFormat="1" x14ac:dyDescent="0.25"/>
    <row r="188508" s="12" customFormat="1" x14ac:dyDescent="0.25"/>
    <row r="188509" s="12" customFormat="1" x14ac:dyDescent="0.25"/>
    <row r="188510" s="12" customFormat="1" x14ac:dyDescent="0.25"/>
    <row r="188511" s="12" customFormat="1" x14ac:dyDescent="0.25"/>
    <row r="188512" s="12" customFormat="1" x14ac:dyDescent="0.25"/>
    <row r="188513" s="12" customFormat="1" x14ac:dyDescent="0.25"/>
    <row r="188514" s="12" customFormat="1" x14ac:dyDescent="0.25"/>
    <row r="188515" s="12" customFormat="1" x14ac:dyDescent="0.25"/>
    <row r="188516" s="12" customFormat="1" x14ac:dyDescent="0.25"/>
    <row r="188517" s="12" customFormat="1" x14ac:dyDescent="0.25"/>
    <row r="188518" s="12" customFormat="1" x14ac:dyDescent="0.25"/>
    <row r="188519" s="12" customFormat="1" x14ac:dyDescent="0.25"/>
    <row r="188520" s="12" customFormat="1" x14ac:dyDescent="0.25"/>
    <row r="188521" s="12" customFormat="1" x14ac:dyDescent="0.25"/>
    <row r="188522" s="12" customFormat="1" x14ac:dyDescent="0.25"/>
    <row r="188523" s="12" customFormat="1" x14ac:dyDescent="0.25"/>
    <row r="188524" s="12" customFormat="1" x14ac:dyDescent="0.25"/>
    <row r="188525" s="12" customFormat="1" x14ac:dyDescent="0.25"/>
    <row r="188526" s="12" customFormat="1" x14ac:dyDescent="0.25"/>
    <row r="188527" s="12" customFormat="1" x14ac:dyDescent="0.25"/>
    <row r="188528" s="12" customFormat="1" x14ac:dyDescent="0.25"/>
    <row r="188529" s="12" customFormat="1" x14ac:dyDescent="0.25"/>
    <row r="188530" s="12" customFormat="1" x14ac:dyDescent="0.25"/>
    <row r="188531" s="12" customFormat="1" x14ac:dyDescent="0.25"/>
    <row r="188532" s="12" customFormat="1" x14ac:dyDescent="0.25"/>
    <row r="188533" s="12" customFormat="1" x14ac:dyDescent="0.25"/>
    <row r="188534" s="12" customFormat="1" x14ac:dyDescent="0.25"/>
    <row r="188535" s="12" customFormat="1" x14ac:dyDescent="0.25"/>
    <row r="188536" s="12" customFormat="1" x14ac:dyDescent="0.25"/>
    <row r="188537" s="12" customFormat="1" x14ac:dyDescent="0.25"/>
    <row r="188538" s="12" customFormat="1" x14ac:dyDescent="0.25"/>
    <row r="188539" s="12" customFormat="1" x14ac:dyDescent="0.25"/>
    <row r="188540" s="12" customFormat="1" x14ac:dyDescent="0.25"/>
    <row r="188541" s="12" customFormat="1" x14ac:dyDescent="0.25"/>
    <row r="188542" s="12" customFormat="1" x14ac:dyDescent="0.25"/>
    <row r="188543" s="12" customFormat="1" x14ac:dyDescent="0.25"/>
    <row r="188544" s="12" customFormat="1" x14ac:dyDescent="0.25"/>
    <row r="188545" s="12" customFormat="1" x14ac:dyDescent="0.25"/>
    <row r="188546" s="12" customFormat="1" x14ac:dyDescent="0.25"/>
    <row r="188547" s="12" customFormat="1" x14ac:dyDescent="0.25"/>
    <row r="188548" s="12" customFormat="1" x14ac:dyDescent="0.25"/>
    <row r="188549" s="12" customFormat="1" x14ac:dyDescent="0.25"/>
    <row r="188550" s="12" customFormat="1" x14ac:dyDescent="0.25"/>
    <row r="188551" s="12" customFormat="1" x14ac:dyDescent="0.25"/>
    <row r="188552" s="12" customFormat="1" x14ac:dyDescent="0.25"/>
    <row r="188553" s="12" customFormat="1" x14ac:dyDescent="0.25"/>
    <row r="188554" s="12" customFormat="1" x14ac:dyDescent="0.25"/>
    <row r="188555" s="12" customFormat="1" x14ac:dyDescent="0.25"/>
    <row r="188556" s="12" customFormat="1" x14ac:dyDescent="0.25"/>
    <row r="188557" s="12" customFormat="1" x14ac:dyDescent="0.25"/>
    <row r="188558" s="12" customFormat="1" x14ac:dyDescent="0.25"/>
    <row r="188559" s="12" customFormat="1" x14ac:dyDescent="0.25"/>
    <row r="188560" s="12" customFormat="1" x14ac:dyDescent="0.25"/>
    <row r="188561" s="12" customFormat="1" x14ac:dyDescent="0.25"/>
    <row r="188562" s="12" customFormat="1" x14ac:dyDescent="0.25"/>
    <row r="188563" s="12" customFormat="1" x14ac:dyDescent="0.25"/>
    <row r="188564" s="12" customFormat="1" x14ac:dyDescent="0.25"/>
    <row r="188565" s="12" customFormat="1" x14ac:dyDescent="0.25"/>
    <row r="188566" s="12" customFormat="1" x14ac:dyDescent="0.25"/>
    <row r="188567" s="12" customFormat="1" x14ac:dyDescent="0.25"/>
    <row r="188568" s="12" customFormat="1" x14ac:dyDescent="0.25"/>
    <row r="188569" s="12" customFormat="1" x14ac:dyDescent="0.25"/>
    <row r="188570" s="12" customFormat="1" x14ac:dyDescent="0.25"/>
    <row r="188571" s="12" customFormat="1" x14ac:dyDescent="0.25"/>
    <row r="188572" s="12" customFormat="1" x14ac:dyDescent="0.25"/>
    <row r="188573" s="12" customFormat="1" x14ac:dyDescent="0.25"/>
    <row r="188574" s="12" customFormat="1" x14ac:dyDescent="0.25"/>
    <row r="188575" s="12" customFormat="1" x14ac:dyDescent="0.25"/>
    <row r="188576" s="12" customFormat="1" x14ac:dyDescent="0.25"/>
    <row r="188577" s="12" customFormat="1" x14ac:dyDescent="0.25"/>
    <row r="188578" s="12" customFormat="1" x14ac:dyDescent="0.25"/>
    <row r="188579" s="12" customFormat="1" x14ac:dyDescent="0.25"/>
    <row r="188580" s="12" customFormat="1" x14ac:dyDescent="0.25"/>
    <row r="188581" s="12" customFormat="1" x14ac:dyDescent="0.25"/>
    <row r="188582" s="12" customFormat="1" x14ac:dyDescent="0.25"/>
    <row r="188583" s="12" customFormat="1" x14ac:dyDescent="0.25"/>
    <row r="188584" s="12" customFormat="1" x14ac:dyDescent="0.25"/>
    <row r="188585" s="12" customFormat="1" x14ac:dyDescent="0.25"/>
    <row r="188586" s="12" customFormat="1" x14ac:dyDescent="0.25"/>
    <row r="188587" s="12" customFormat="1" x14ac:dyDescent="0.25"/>
    <row r="188588" s="12" customFormat="1" x14ac:dyDescent="0.25"/>
    <row r="188589" s="12" customFormat="1" x14ac:dyDescent="0.25"/>
    <row r="188590" s="12" customFormat="1" x14ac:dyDescent="0.25"/>
    <row r="188591" s="12" customFormat="1" x14ac:dyDescent="0.25"/>
    <row r="188592" s="12" customFormat="1" x14ac:dyDescent="0.25"/>
    <row r="188593" s="12" customFormat="1" x14ac:dyDescent="0.25"/>
    <row r="188594" s="12" customFormat="1" x14ac:dyDescent="0.25"/>
    <row r="188595" s="12" customFormat="1" x14ac:dyDescent="0.25"/>
    <row r="188596" s="12" customFormat="1" x14ac:dyDescent="0.25"/>
    <row r="188597" s="12" customFormat="1" x14ac:dyDescent="0.25"/>
    <row r="188598" s="12" customFormat="1" x14ac:dyDescent="0.25"/>
    <row r="188599" s="12" customFormat="1" x14ac:dyDescent="0.25"/>
    <row r="188600" s="12" customFormat="1" x14ac:dyDescent="0.25"/>
    <row r="188601" s="12" customFormat="1" x14ac:dyDescent="0.25"/>
    <row r="188602" s="12" customFormat="1" x14ac:dyDescent="0.25"/>
    <row r="188603" s="12" customFormat="1" x14ac:dyDescent="0.25"/>
    <row r="188604" s="12" customFormat="1" x14ac:dyDescent="0.25"/>
    <row r="188605" s="12" customFormat="1" x14ac:dyDescent="0.25"/>
    <row r="188606" s="12" customFormat="1" x14ac:dyDescent="0.25"/>
    <row r="188607" s="12" customFormat="1" x14ac:dyDescent="0.25"/>
    <row r="188608" s="12" customFormat="1" x14ac:dyDescent="0.25"/>
    <row r="188609" s="12" customFormat="1" x14ac:dyDescent="0.25"/>
    <row r="188610" s="12" customFormat="1" x14ac:dyDescent="0.25"/>
    <row r="188611" s="12" customFormat="1" x14ac:dyDescent="0.25"/>
    <row r="188612" s="12" customFormat="1" x14ac:dyDescent="0.25"/>
    <row r="188613" s="12" customFormat="1" x14ac:dyDescent="0.25"/>
    <row r="188614" s="12" customFormat="1" x14ac:dyDescent="0.25"/>
    <row r="188615" s="12" customFormat="1" x14ac:dyDescent="0.25"/>
    <row r="188616" s="12" customFormat="1" x14ac:dyDescent="0.25"/>
    <row r="188617" s="12" customFormat="1" x14ac:dyDescent="0.25"/>
    <row r="188618" s="12" customFormat="1" x14ac:dyDescent="0.25"/>
    <row r="188619" s="12" customFormat="1" x14ac:dyDescent="0.25"/>
    <row r="188620" s="12" customFormat="1" x14ac:dyDescent="0.25"/>
    <row r="188621" s="12" customFormat="1" x14ac:dyDescent="0.25"/>
    <row r="188622" s="12" customFormat="1" x14ac:dyDescent="0.25"/>
    <row r="188623" s="12" customFormat="1" x14ac:dyDescent="0.25"/>
    <row r="188624" s="12" customFormat="1" x14ac:dyDescent="0.25"/>
    <row r="188625" s="12" customFormat="1" x14ac:dyDescent="0.25"/>
    <row r="188626" s="12" customFormat="1" x14ac:dyDescent="0.25"/>
    <row r="188627" s="12" customFormat="1" x14ac:dyDescent="0.25"/>
    <row r="188628" s="12" customFormat="1" x14ac:dyDescent="0.25"/>
    <row r="188629" s="12" customFormat="1" x14ac:dyDescent="0.25"/>
    <row r="188630" s="12" customFormat="1" x14ac:dyDescent="0.25"/>
    <row r="188631" s="12" customFormat="1" x14ac:dyDescent="0.25"/>
    <row r="188632" s="12" customFormat="1" x14ac:dyDescent="0.25"/>
    <row r="188633" s="12" customFormat="1" x14ac:dyDescent="0.25"/>
    <row r="188634" s="12" customFormat="1" x14ac:dyDescent="0.25"/>
    <row r="188635" s="12" customFormat="1" x14ac:dyDescent="0.25"/>
    <row r="188636" s="12" customFormat="1" x14ac:dyDescent="0.25"/>
    <row r="188637" s="12" customFormat="1" x14ac:dyDescent="0.25"/>
    <row r="188638" s="12" customFormat="1" x14ac:dyDescent="0.25"/>
    <row r="188639" s="12" customFormat="1" x14ac:dyDescent="0.25"/>
    <row r="188640" s="12" customFormat="1" x14ac:dyDescent="0.25"/>
    <row r="188641" s="12" customFormat="1" x14ac:dyDescent="0.25"/>
    <row r="188642" s="12" customFormat="1" x14ac:dyDescent="0.25"/>
    <row r="188643" s="12" customFormat="1" x14ac:dyDescent="0.25"/>
    <row r="188644" s="12" customFormat="1" x14ac:dyDescent="0.25"/>
    <row r="188645" s="12" customFormat="1" x14ac:dyDescent="0.25"/>
    <row r="188646" s="12" customFormat="1" x14ac:dyDescent="0.25"/>
    <row r="188647" s="12" customFormat="1" x14ac:dyDescent="0.25"/>
    <row r="188648" s="12" customFormat="1" x14ac:dyDescent="0.25"/>
    <row r="188649" s="12" customFormat="1" x14ac:dyDescent="0.25"/>
    <row r="188650" s="12" customFormat="1" x14ac:dyDescent="0.25"/>
    <row r="188651" s="12" customFormat="1" x14ac:dyDescent="0.25"/>
    <row r="188652" s="12" customFormat="1" x14ac:dyDescent="0.25"/>
    <row r="188653" s="12" customFormat="1" x14ac:dyDescent="0.25"/>
    <row r="188654" s="12" customFormat="1" x14ac:dyDescent="0.25"/>
    <row r="188655" s="12" customFormat="1" x14ac:dyDescent="0.25"/>
    <row r="188656" s="12" customFormat="1" x14ac:dyDescent="0.25"/>
    <row r="188657" s="12" customFormat="1" x14ac:dyDescent="0.25"/>
    <row r="188658" s="12" customFormat="1" x14ac:dyDescent="0.25"/>
    <row r="188659" s="12" customFormat="1" x14ac:dyDescent="0.25"/>
    <row r="188660" s="12" customFormat="1" x14ac:dyDescent="0.25"/>
    <row r="188661" s="12" customFormat="1" x14ac:dyDescent="0.25"/>
    <row r="188662" s="12" customFormat="1" x14ac:dyDescent="0.25"/>
    <row r="188663" s="12" customFormat="1" x14ac:dyDescent="0.25"/>
    <row r="188664" s="12" customFormat="1" x14ac:dyDescent="0.25"/>
    <row r="188665" s="12" customFormat="1" x14ac:dyDescent="0.25"/>
    <row r="188666" s="12" customFormat="1" x14ac:dyDescent="0.25"/>
    <row r="188667" s="12" customFormat="1" x14ac:dyDescent="0.25"/>
    <row r="188668" s="12" customFormat="1" x14ac:dyDescent="0.25"/>
    <row r="188669" s="12" customFormat="1" x14ac:dyDescent="0.25"/>
    <row r="188670" s="12" customFormat="1" x14ac:dyDescent="0.25"/>
    <row r="188671" s="12" customFormat="1" x14ac:dyDescent="0.25"/>
    <row r="188672" s="12" customFormat="1" x14ac:dyDescent="0.25"/>
    <row r="188673" s="12" customFormat="1" x14ac:dyDescent="0.25"/>
    <row r="188674" s="12" customFormat="1" x14ac:dyDescent="0.25"/>
    <row r="188675" s="12" customFormat="1" x14ac:dyDescent="0.25"/>
    <row r="188676" s="12" customFormat="1" x14ac:dyDescent="0.25"/>
    <row r="188677" s="12" customFormat="1" x14ac:dyDescent="0.25"/>
    <row r="188678" s="12" customFormat="1" x14ac:dyDescent="0.25"/>
    <row r="188679" s="12" customFormat="1" x14ac:dyDescent="0.25"/>
    <row r="188680" s="12" customFormat="1" x14ac:dyDescent="0.25"/>
    <row r="188681" s="12" customFormat="1" x14ac:dyDescent="0.25"/>
    <row r="188682" s="12" customFormat="1" x14ac:dyDescent="0.25"/>
    <row r="188683" s="12" customFormat="1" x14ac:dyDescent="0.25"/>
    <row r="188684" s="12" customFormat="1" x14ac:dyDescent="0.25"/>
    <row r="188685" s="12" customFormat="1" x14ac:dyDescent="0.25"/>
    <row r="188686" s="12" customFormat="1" x14ac:dyDescent="0.25"/>
    <row r="188687" s="12" customFormat="1" x14ac:dyDescent="0.25"/>
    <row r="188688" s="12" customFormat="1" x14ac:dyDescent="0.25"/>
    <row r="188689" s="12" customFormat="1" x14ac:dyDescent="0.25"/>
    <row r="188690" s="12" customFormat="1" x14ac:dyDescent="0.25"/>
    <row r="188691" s="12" customFormat="1" x14ac:dyDescent="0.25"/>
    <row r="188692" s="12" customFormat="1" x14ac:dyDescent="0.25"/>
    <row r="188693" s="12" customFormat="1" x14ac:dyDescent="0.25"/>
    <row r="188694" s="12" customFormat="1" x14ac:dyDescent="0.25"/>
    <row r="188695" s="12" customFormat="1" x14ac:dyDescent="0.25"/>
    <row r="188696" s="12" customFormat="1" x14ac:dyDescent="0.25"/>
    <row r="188697" s="12" customFormat="1" x14ac:dyDescent="0.25"/>
    <row r="188698" s="12" customFormat="1" x14ac:dyDescent="0.25"/>
    <row r="188699" s="12" customFormat="1" x14ac:dyDescent="0.25"/>
    <row r="188700" s="12" customFormat="1" x14ac:dyDescent="0.25"/>
    <row r="188701" s="12" customFormat="1" x14ac:dyDescent="0.25"/>
    <row r="188702" s="12" customFormat="1" x14ac:dyDescent="0.25"/>
    <row r="188703" s="12" customFormat="1" x14ac:dyDescent="0.25"/>
    <row r="188704" s="12" customFormat="1" x14ac:dyDescent="0.25"/>
    <row r="188705" s="12" customFormat="1" x14ac:dyDescent="0.25"/>
    <row r="188706" s="12" customFormat="1" x14ac:dyDescent="0.25"/>
    <row r="188707" s="12" customFormat="1" x14ac:dyDescent="0.25"/>
    <row r="188708" s="12" customFormat="1" x14ac:dyDescent="0.25"/>
    <row r="188709" s="12" customFormat="1" x14ac:dyDescent="0.25"/>
    <row r="188710" s="12" customFormat="1" x14ac:dyDescent="0.25"/>
    <row r="188711" s="12" customFormat="1" x14ac:dyDescent="0.25"/>
    <row r="188712" s="12" customFormat="1" x14ac:dyDescent="0.25"/>
    <row r="188713" s="12" customFormat="1" x14ac:dyDescent="0.25"/>
    <row r="188714" s="12" customFormat="1" x14ac:dyDescent="0.25"/>
    <row r="188715" s="12" customFormat="1" x14ac:dyDescent="0.25"/>
    <row r="188716" s="12" customFormat="1" x14ac:dyDescent="0.25"/>
    <row r="188717" s="12" customFormat="1" x14ac:dyDescent="0.25"/>
    <row r="188718" s="12" customFormat="1" x14ac:dyDescent="0.25"/>
    <row r="188719" s="12" customFormat="1" x14ac:dyDescent="0.25"/>
    <row r="188720" s="12" customFormat="1" x14ac:dyDescent="0.25"/>
    <row r="188721" s="12" customFormat="1" x14ac:dyDescent="0.25"/>
    <row r="188722" s="12" customFormat="1" x14ac:dyDescent="0.25"/>
    <row r="188723" s="12" customFormat="1" x14ac:dyDescent="0.25"/>
    <row r="188724" s="12" customFormat="1" x14ac:dyDescent="0.25"/>
    <row r="188725" s="12" customFormat="1" x14ac:dyDescent="0.25"/>
    <row r="188726" s="12" customFormat="1" x14ac:dyDescent="0.25"/>
    <row r="188727" s="12" customFormat="1" x14ac:dyDescent="0.25"/>
    <row r="188728" s="12" customFormat="1" x14ac:dyDescent="0.25"/>
    <row r="188729" s="12" customFormat="1" x14ac:dyDescent="0.25"/>
    <row r="188730" s="12" customFormat="1" x14ac:dyDescent="0.25"/>
    <row r="188731" s="12" customFormat="1" x14ac:dyDescent="0.25"/>
    <row r="188732" s="12" customFormat="1" x14ac:dyDescent="0.25"/>
    <row r="188733" s="12" customFormat="1" x14ac:dyDescent="0.25"/>
    <row r="188734" s="12" customFormat="1" x14ac:dyDescent="0.25"/>
    <row r="188735" s="12" customFormat="1" x14ac:dyDescent="0.25"/>
    <row r="188736" s="12" customFormat="1" x14ac:dyDescent="0.25"/>
    <row r="188737" s="12" customFormat="1" x14ac:dyDescent="0.25"/>
    <row r="188738" s="12" customFormat="1" x14ac:dyDescent="0.25"/>
    <row r="188739" s="12" customFormat="1" x14ac:dyDescent="0.25"/>
    <row r="188740" s="12" customFormat="1" x14ac:dyDescent="0.25"/>
    <row r="188741" s="12" customFormat="1" x14ac:dyDescent="0.25"/>
    <row r="188742" s="12" customFormat="1" x14ac:dyDescent="0.25"/>
    <row r="188743" s="12" customFormat="1" x14ac:dyDescent="0.25"/>
    <row r="188744" s="12" customFormat="1" x14ac:dyDescent="0.25"/>
    <row r="188745" s="12" customFormat="1" x14ac:dyDescent="0.25"/>
    <row r="188746" s="12" customFormat="1" x14ac:dyDescent="0.25"/>
    <row r="188747" s="12" customFormat="1" x14ac:dyDescent="0.25"/>
    <row r="188748" s="12" customFormat="1" x14ac:dyDescent="0.25"/>
    <row r="188749" s="12" customFormat="1" x14ac:dyDescent="0.25"/>
    <row r="188750" s="12" customFormat="1" x14ac:dyDescent="0.25"/>
    <row r="188751" s="12" customFormat="1" x14ac:dyDescent="0.25"/>
    <row r="188752" s="12" customFormat="1" x14ac:dyDescent="0.25"/>
    <row r="188753" s="12" customFormat="1" x14ac:dyDescent="0.25"/>
    <row r="188754" s="12" customFormat="1" x14ac:dyDescent="0.25"/>
    <row r="188755" s="12" customFormat="1" x14ac:dyDescent="0.25"/>
    <row r="188756" s="12" customFormat="1" x14ac:dyDescent="0.25"/>
    <row r="188757" s="12" customFormat="1" x14ac:dyDescent="0.25"/>
    <row r="188758" s="12" customFormat="1" x14ac:dyDescent="0.25"/>
    <row r="188759" s="12" customFormat="1" x14ac:dyDescent="0.25"/>
    <row r="188760" s="12" customFormat="1" x14ac:dyDescent="0.25"/>
    <row r="188761" s="12" customFormat="1" x14ac:dyDescent="0.25"/>
    <row r="188762" s="12" customFormat="1" x14ac:dyDescent="0.25"/>
    <row r="188763" s="12" customFormat="1" x14ac:dyDescent="0.25"/>
    <row r="188764" s="12" customFormat="1" x14ac:dyDescent="0.25"/>
    <row r="188765" s="12" customFormat="1" x14ac:dyDescent="0.25"/>
    <row r="188766" s="12" customFormat="1" x14ac:dyDescent="0.25"/>
    <row r="188767" s="12" customFormat="1" x14ac:dyDescent="0.25"/>
    <row r="188768" s="12" customFormat="1" x14ac:dyDescent="0.25"/>
    <row r="188769" s="12" customFormat="1" x14ac:dyDescent="0.25"/>
    <row r="188770" s="12" customFormat="1" x14ac:dyDescent="0.25"/>
    <row r="188771" s="12" customFormat="1" x14ac:dyDescent="0.25"/>
    <row r="188772" s="12" customFormat="1" x14ac:dyDescent="0.25"/>
    <row r="188773" s="12" customFormat="1" x14ac:dyDescent="0.25"/>
    <row r="188774" s="12" customFormat="1" x14ac:dyDescent="0.25"/>
    <row r="188775" s="12" customFormat="1" x14ac:dyDescent="0.25"/>
    <row r="188776" s="12" customFormat="1" x14ac:dyDescent="0.25"/>
    <row r="188777" s="12" customFormat="1" x14ac:dyDescent="0.25"/>
    <row r="188778" s="12" customFormat="1" x14ac:dyDescent="0.25"/>
    <row r="188779" s="12" customFormat="1" x14ac:dyDescent="0.25"/>
    <row r="188780" s="12" customFormat="1" x14ac:dyDescent="0.25"/>
    <row r="188781" s="12" customFormat="1" x14ac:dyDescent="0.25"/>
    <row r="188782" s="12" customFormat="1" x14ac:dyDescent="0.25"/>
    <row r="188783" s="12" customFormat="1" x14ac:dyDescent="0.25"/>
    <row r="188784" s="12" customFormat="1" x14ac:dyDescent="0.25"/>
    <row r="188785" s="12" customFormat="1" x14ac:dyDescent="0.25"/>
    <row r="188786" s="12" customFormat="1" x14ac:dyDescent="0.25"/>
    <row r="188787" s="12" customFormat="1" x14ac:dyDescent="0.25"/>
    <row r="188788" s="12" customFormat="1" x14ac:dyDescent="0.25"/>
    <row r="188789" s="12" customFormat="1" x14ac:dyDescent="0.25"/>
    <row r="188790" s="12" customFormat="1" x14ac:dyDescent="0.25"/>
    <row r="188791" s="12" customFormat="1" x14ac:dyDescent="0.25"/>
    <row r="188792" s="12" customFormat="1" x14ac:dyDescent="0.25"/>
    <row r="188793" s="12" customFormat="1" x14ac:dyDescent="0.25"/>
    <row r="188794" s="12" customFormat="1" x14ac:dyDescent="0.25"/>
    <row r="188795" s="12" customFormat="1" x14ac:dyDescent="0.25"/>
    <row r="188796" s="12" customFormat="1" x14ac:dyDescent="0.25"/>
    <row r="188797" s="12" customFormat="1" x14ac:dyDescent="0.25"/>
    <row r="188798" s="12" customFormat="1" x14ac:dyDescent="0.25"/>
    <row r="188799" s="12" customFormat="1" x14ac:dyDescent="0.25"/>
    <row r="188800" s="12" customFormat="1" x14ac:dyDescent="0.25"/>
    <row r="188801" s="12" customFormat="1" x14ac:dyDescent="0.25"/>
    <row r="188802" s="12" customFormat="1" x14ac:dyDescent="0.25"/>
    <row r="188803" s="12" customFormat="1" x14ac:dyDescent="0.25"/>
    <row r="188804" s="12" customFormat="1" x14ac:dyDescent="0.25"/>
    <row r="188805" s="12" customFormat="1" x14ac:dyDescent="0.25"/>
    <row r="188806" s="12" customFormat="1" x14ac:dyDescent="0.25"/>
    <row r="188807" s="12" customFormat="1" x14ac:dyDescent="0.25"/>
    <row r="188808" s="12" customFormat="1" x14ac:dyDescent="0.25"/>
    <row r="188809" s="12" customFormat="1" x14ac:dyDescent="0.25"/>
    <row r="188810" s="12" customFormat="1" x14ac:dyDescent="0.25"/>
    <row r="188811" s="12" customFormat="1" x14ac:dyDescent="0.25"/>
    <row r="188812" s="12" customFormat="1" x14ac:dyDescent="0.25"/>
    <row r="188813" s="12" customFormat="1" x14ac:dyDescent="0.25"/>
    <row r="188814" s="12" customFormat="1" x14ac:dyDescent="0.25"/>
    <row r="188815" s="12" customFormat="1" x14ac:dyDescent="0.25"/>
    <row r="188816" s="12" customFormat="1" x14ac:dyDescent="0.25"/>
    <row r="188817" s="12" customFormat="1" x14ac:dyDescent="0.25"/>
    <row r="188818" s="12" customFormat="1" x14ac:dyDescent="0.25"/>
    <row r="188819" s="12" customFormat="1" x14ac:dyDescent="0.25"/>
    <row r="188820" s="12" customFormat="1" x14ac:dyDescent="0.25"/>
    <row r="188821" s="12" customFormat="1" x14ac:dyDescent="0.25"/>
    <row r="188822" s="12" customFormat="1" x14ac:dyDescent="0.25"/>
    <row r="188823" s="12" customFormat="1" x14ac:dyDescent="0.25"/>
    <row r="188824" s="12" customFormat="1" x14ac:dyDescent="0.25"/>
    <row r="188825" s="12" customFormat="1" x14ac:dyDescent="0.25"/>
    <row r="188826" s="12" customFormat="1" x14ac:dyDescent="0.25"/>
    <row r="188827" s="12" customFormat="1" x14ac:dyDescent="0.25"/>
    <row r="188828" s="12" customFormat="1" x14ac:dyDescent="0.25"/>
    <row r="188829" s="12" customFormat="1" x14ac:dyDescent="0.25"/>
    <row r="188830" s="12" customFormat="1" x14ac:dyDescent="0.25"/>
    <row r="188831" s="12" customFormat="1" x14ac:dyDescent="0.25"/>
    <row r="188832" s="12" customFormat="1" x14ac:dyDescent="0.25"/>
    <row r="188833" s="12" customFormat="1" x14ac:dyDescent="0.25"/>
    <row r="188834" s="12" customFormat="1" x14ac:dyDescent="0.25"/>
    <row r="188835" s="12" customFormat="1" x14ac:dyDescent="0.25"/>
    <row r="188836" s="12" customFormat="1" x14ac:dyDescent="0.25"/>
    <row r="188837" s="12" customFormat="1" x14ac:dyDescent="0.25"/>
    <row r="188838" s="12" customFormat="1" x14ac:dyDescent="0.25"/>
    <row r="188839" s="12" customFormat="1" x14ac:dyDescent="0.25"/>
    <row r="188840" s="12" customFormat="1" x14ac:dyDescent="0.25"/>
    <row r="188841" s="12" customFormat="1" x14ac:dyDescent="0.25"/>
    <row r="188842" s="12" customFormat="1" x14ac:dyDescent="0.25"/>
    <row r="188843" s="12" customFormat="1" x14ac:dyDescent="0.25"/>
    <row r="188844" s="12" customFormat="1" x14ac:dyDescent="0.25"/>
    <row r="188845" s="12" customFormat="1" x14ac:dyDescent="0.25"/>
    <row r="188846" s="12" customFormat="1" x14ac:dyDescent="0.25"/>
    <row r="188847" s="12" customFormat="1" x14ac:dyDescent="0.25"/>
    <row r="188848" s="12" customFormat="1" x14ac:dyDescent="0.25"/>
    <row r="188849" s="12" customFormat="1" x14ac:dyDescent="0.25"/>
    <row r="188850" s="12" customFormat="1" x14ac:dyDescent="0.25"/>
    <row r="188851" s="12" customFormat="1" x14ac:dyDescent="0.25"/>
    <row r="188852" s="12" customFormat="1" x14ac:dyDescent="0.25"/>
    <row r="188853" s="12" customFormat="1" x14ac:dyDescent="0.25"/>
    <row r="188854" s="12" customFormat="1" x14ac:dyDescent="0.25"/>
    <row r="188855" s="12" customFormat="1" x14ac:dyDescent="0.25"/>
    <row r="188856" s="12" customFormat="1" x14ac:dyDescent="0.25"/>
    <row r="188857" s="12" customFormat="1" x14ac:dyDescent="0.25"/>
    <row r="188858" s="12" customFormat="1" x14ac:dyDescent="0.25"/>
    <row r="188859" s="12" customFormat="1" x14ac:dyDescent="0.25"/>
    <row r="188860" s="12" customFormat="1" x14ac:dyDescent="0.25"/>
    <row r="188861" s="12" customFormat="1" x14ac:dyDescent="0.25"/>
    <row r="188862" s="12" customFormat="1" x14ac:dyDescent="0.25"/>
    <row r="188863" s="12" customFormat="1" x14ac:dyDescent="0.25"/>
    <row r="188864" s="12" customFormat="1" x14ac:dyDescent="0.25"/>
    <row r="188865" s="12" customFormat="1" x14ac:dyDescent="0.25"/>
    <row r="188866" s="12" customFormat="1" x14ac:dyDescent="0.25"/>
    <row r="188867" s="12" customFormat="1" x14ac:dyDescent="0.25"/>
    <row r="188868" s="12" customFormat="1" x14ac:dyDescent="0.25"/>
    <row r="188869" s="12" customFormat="1" x14ac:dyDescent="0.25"/>
    <row r="188870" s="12" customFormat="1" x14ac:dyDescent="0.25"/>
    <row r="188871" s="12" customFormat="1" x14ac:dyDescent="0.25"/>
    <row r="188872" s="12" customFormat="1" x14ac:dyDescent="0.25"/>
    <row r="188873" s="12" customFormat="1" x14ac:dyDescent="0.25"/>
    <row r="188874" s="12" customFormat="1" x14ac:dyDescent="0.25"/>
    <row r="188875" s="12" customFormat="1" x14ac:dyDescent="0.25"/>
    <row r="188876" s="12" customFormat="1" x14ac:dyDescent="0.25"/>
    <row r="188877" s="12" customFormat="1" x14ac:dyDescent="0.25"/>
    <row r="188878" s="12" customFormat="1" x14ac:dyDescent="0.25"/>
    <row r="188879" s="12" customFormat="1" x14ac:dyDescent="0.25"/>
    <row r="188880" s="12" customFormat="1" x14ac:dyDescent="0.25"/>
    <row r="188881" s="12" customFormat="1" x14ac:dyDescent="0.25"/>
    <row r="188882" s="12" customFormat="1" x14ac:dyDescent="0.25"/>
    <row r="188883" s="12" customFormat="1" x14ac:dyDescent="0.25"/>
    <row r="188884" s="12" customFormat="1" x14ac:dyDescent="0.25"/>
    <row r="188885" s="12" customFormat="1" x14ac:dyDescent="0.25"/>
    <row r="188886" s="12" customFormat="1" x14ac:dyDescent="0.25"/>
    <row r="188887" s="12" customFormat="1" x14ac:dyDescent="0.25"/>
    <row r="188888" s="12" customFormat="1" x14ac:dyDescent="0.25"/>
    <row r="188889" s="12" customFormat="1" x14ac:dyDescent="0.25"/>
    <row r="188890" s="12" customFormat="1" x14ac:dyDescent="0.25"/>
    <row r="188891" s="12" customFormat="1" x14ac:dyDescent="0.25"/>
    <row r="188892" s="12" customFormat="1" x14ac:dyDescent="0.25"/>
    <row r="188893" s="12" customFormat="1" x14ac:dyDescent="0.25"/>
    <row r="188894" s="12" customFormat="1" x14ac:dyDescent="0.25"/>
    <row r="188895" s="12" customFormat="1" x14ac:dyDescent="0.25"/>
    <row r="188896" s="12" customFormat="1" x14ac:dyDescent="0.25"/>
    <row r="188897" s="12" customFormat="1" x14ac:dyDescent="0.25"/>
    <row r="188898" s="12" customFormat="1" x14ac:dyDescent="0.25"/>
    <row r="188899" s="12" customFormat="1" x14ac:dyDescent="0.25"/>
    <row r="188900" s="12" customFormat="1" x14ac:dyDescent="0.25"/>
    <row r="188901" s="12" customFormat="1" x14ac:dyDescent="0.25"/>
    <row r="188902" s="12" customFormat="1" x14ac:dyDescent="0.25"/>
    <row r="188903" s="12" customFormat="1" x14ac:dyDescent="0.25"/>
    <row r="188904" s="12" customFormat="1" x14ac:dyDescent="0.25"/>
    <row r="188905" s="12" customFormat="1" x14ac:dyDescent="0.25"/>
    <row r="188906" s="12" customFormat="1" x14ac:dyDescent="0.25"/>
    <row r="188907" s="12" customFormat="1" x14ac:dyDescent="0.25"/>
    <row r="188908" s="12" customFormat="1" x14ac:dyDescent="0.25"/>
    <row r="188909" s="12" customFormat="1" x14ac:dyDescent="0.25"/>
    <row r="188910" s="12" customFormat="1" x14ac:dyDescent="0.25"/>
    <row r="188911" s="12" customFormat="1" x14ac:dyDescent="0.25"/>
    <row r="188912" s="12" customFormat="1" x14ac:dyDescent="0.25"/>
    <row r="188913" s="12" customFormat="1" x14ac:dyDescent="0.25"/>
    <row r="188914" s="12" customFormat="1" x14ac:dyDescent="0.25"/>
    <row r="188915" s="12" customFormat="1" x14ac:dyDescent="0.25"/>
    <row r="188916" s="12" customFormat="1" x14ac:dyDescent="0.25"/>
    <row r="188917" s="12" customFormat="1" x14ac:dyDescent="0.25"/>
    <row r="188918" s="12" customFormat="1" x14ac:dyDescent="0.25"/>
    <row r="188919" s="12" customFormat="1" x14ac:dyDescent="0.25"/>
    <row r="188920" s="12" customFormat="1" x14ac:dyDescent="0.25"/>
    <row r="188921" s="12" customFormat="1" x14ac:dyDescent="0.25"/>
    <row r="188922" s="12" customFormat="1" x14ac:dyDescent="0.25"/>
    <row r="188923" s="12" customFormat="1" x14ac:dyDescent="0.25"/>
    <row r="188924" s="12" customFormat="1" x14ac:dyDescent="0.25"/>
    <row r="188925" s="12" customFormat="1" x14ac:dyDescent="0.25"/>
    <row r="188926" s="12" customFormat="1" x14ac:dyDescent="0.25"/>
    <row r="188927" s="12" customFormat="1" x14ac:dyDescent="0.25"/>
    <row r="188928" s="12" customFormat="1" x14ac:dyDescent="0.25"/>
    <row r="188929" s="12" customFormat="1" x14ac:dyDescent="0.25"/>
    <row r="188930" s="12" customFormat="1" x14ac:dyDescent="0.25"/>
    <row r="188931" s="12" customFormat="1" x14ac:dyDescent="0.25"/>
    <row r="188932" s="12" customFormat="1" x14ac:dyDescent="0.25"/>
    <row r="188933" s="12" customFormat="1" x14ac:dyDescent="0.25"/>
    <row r="188934" s="12" customFormat="1" x14ac:dyDescent="0.25"/>
    <row r="188935" s="12" customFormat="1" x14ac:dyDescent="0.25"/>
    <row r="188936" s="12" customFormat="1" x14ac:dyDescent="0.25"/>
    <row r="188937" s="12" customFormat="1" x14ac:dyDescent="0.25"/>
    <row r="188938" s="12" customFormat="1" x14ac:dyDescent="0.25"/>
    <row r="188939" s="12" customFormat="1" x14ac:dyDescent="0.25"/>
    <row r="188940" s="12" customFormat="1" x14ac:dyDescent="0.25"/>
    <row r="188941" s="12" customFormat="1" x14ac:dyDescent="0.25"/>
    <row r="188942" s="12" customFormat="1" x14ac:dyDescent="0.25"/>
    <row r="188943" s="12" customFormat="1" x14ac:dyDescent="0.25"/>
    <row r="188944" s="12" customFormat="1" x14ac:dyDescent="0.25"/>
    <row r="188945" s="12" customFormat="1" x14ac:dyDescent="0.25"/>
    <row r="188946" s="12" customFormat="1" x14ac:dyDescent="0.25"/>
    <row r="188947" s="12" customFormat="1" x14ac:dyDescent="0.25"/>
    <row r="188948" s="12" customFormat="1" x14ac:dyDescent="0.25"/>
    <row r="188949" s="12" customFormat="1" x14ac:dyDescent="0.25"/>
    <row r="188950" s="12" customFormat="1" x14ac:dyDescent="0.25"/>
    <row r="188951" s="12" customFormat="1" x14ac:dyDescent="0.25"/>
    <row r="188952" s="12" customFormat="1" x14ac:dyDescent="0.25"/>
    <row r="188953" s="12" customFormat="1" x14ac:dyDescent="0.25"/>
    <row r="188954" s="12" customFormat="1" x14ac:dyDescent="0.25"/>
    <row r="188955" s="12" customFormat="1" x14ac:dyDescent="0.25"/>
    <row r="188956" s="12" customFormat="1" x14ac:dyDescent="0.25"/>
    <row r="188957" s="12" customFormat="1" x14ac:dyDescent="0.25"/>
    <row r="188958" s="12" customFormat="1" x14ac:dyDescent="0.25"/>
    <row r="188959" s="12" customFormat="1" x14ac:dyDescent="0.25"/>
    <row r="188960" s="12" customFormat="1" x14ac:dyDescent="0.25"/>
    <row r="188961" s="12" customFormat="1" x14ac:dyDescent="0.25"/>
    <row r="188962" s="12" customFormat="1" x14ac:dyDescent="0.25"/>
    <row r="188963" s="12" customFormat="1" x14ac:dyDescent="0.25"/>
    <row r="188964" s="12" customFormat="1" x14ac:dyDescent="0.25"/>
    <row r="188965" s="12" customFormat="1" x14ac:dyDescent="0.25"/>
    <row r="188966" s="12" customFormat="1" x14ac:dyDescent="0.25"/>
    <row r="188967" s="12" customFormat="1" x14ac:dyDescent="0.25"/>
    <row r="188968" s="12" customFormat="1" x14ac:dyDescent="0.25"/>
    <row r="188969" s="12" customFormat="1" x14ac:dyDescent="0.25"/>
    <row r="188970" s="12" customFormat="1" x14ac:dyDescent="0.25"/>
    <row r="188971" s="12" customFormat="1" x14ac:dyDescent="0.25"/>
    <row r="188972" s="12" customFormat="1" x14ac:dyDescent="0.25"/>
    <row r="188973" s="12" customFormat="1" x14ac:dyDescent="0.25"/>
    <row r="188974" s="12" customFormat="1" x14ac:dyDescent="0.25"/>
    <row r="188975" s="12" customFormat="1" x14ac:dyDescent="0.25"/>
    <row r="188976" s="12" customFormat="1" x14ac:dyDescent="0.25"/>
    <row r="188977" s="12" customFormat="1" x14ac:dyDescent="0.25"/>
    <row r="188978" s="12" customFormat="1" x14ac:dyDescent="0.25"/>
    <row r="188979" s="12" customFormat="1" x14ac:dyDescent="0.25"/>
    <row r="188980" s="12" customFormat="1" x14ac:dyDescent="0.25"/>
    <row r="188981" s="12" customFormat="1" x14ac:dyDescent="0.25"/>
    <row r="188982" s="12" customFormat="1" x14ac:dyDescent="0.25"/>
    <row r="188983" s="12" customFormat="1" x14ac:dyDescent="0.25"/>
    <row r="188984" s="12" customFormat="1" x14ac:dyDescent="0.25"/>
    <row r="188985" s="12" customFormat="1" x14ac:dyDescent="0.25"/>
    <row r="188986" s="12" customFormat="1" x14ac:dyDescent="0.25"/>
    <row r="188987" s="12" customFormat="1" x14ac:dyDescent="0.25"/>
    <row r="188988" s="12" customFormat="1" x14ac:dyDescent="0.25"/>
    <row r="188989" s="12" customFormat="1" x14ac:dyDescent="0.25"/>
    <row r="188990" s="12" customFormat="1" x14ac:dyDescent="0.25"/>
    <row r="188991" s="12" customFormat="1" x14ac:dyDescent="0.25"/>
    <row r="188992" s="12" customFormat="1" x14ac:dyDescent="0.25"/>
    <row r="188993" s="12" customFormat="1" x14ac:dyDescent="0.25"/>
    <row r="188994" s="12" customFormat="1" x14ac:dyDescent="0.25"/>
    <row r="188995" s="12" customFormat="1" x14ac:dyDescent="0.25"/>
    <row r="188996" s="12" customFormat="1" x14ac:dyDescent="0.25"/>
    <row r="188997" s="12" customFormat="1" x14ac:dyDescent="0.25"/>
    <row r="188998" s="12" customFormat="1" x14ac:dyDescent="0.25"/>
    <row r="188999" s="12" customFormat="1" x14ac:dyDescent="0.25"/>
    <row r="189000" s="12" customFormat="1" x14ac:dyDescent="0.25"/>
    <row r="189001" s="12" customFormat="1" x14ac:dyDescent="0.25"/>
    <row r="189002" s="12" customFormat="1" x14ac:dyDescent="0.25"/>
    <row r="189003" s="12" customFormat="1" x14ac:dyDescent="0.25"/>
    <row r="189004" s="12" customFormat="1" x14ac:dyDescent="0.25"/>
    <row r="189005" s="12" customFormat="1" x14ac:dyDescent="0.25"/>
    <row r="189006" s="12" customFormat="1" x14ac:dyDescent="0.25"/>
    <row r="189007" s="12" customFormat="1" x14ac:dyDescent="0.25"/>
    <row r="189008" s="12" customFormat="1" x14ac:dyDescent="0.25"/>
    <row r="189009" s="12" customFormat="1" x14ac:dyDescent="0.25"/>
    <row r="189010" s="12" customFormat="1" x14ac:dyDescent="0.25"/>
    <row r="189011" s="12" customFormat="1" x14ac:dyDescent="0.25"/>
    <row r="189012" s="12" customFormat="1" x14ac:dyDescent="0.25"/>
    <row r="189013" s="12" customFormat="1" x14ac:dyDescent="0.25"/>
    <row r="189014" s="12" customFormat="1" x14ac:dyDescent="0.25"/>
    <row r="189015" s="12" customFormat="1" x14ac:dyDescent="0.25"/>
    <row r="189016" s="12" customFormat="1" x14ac:dyDescent="0.25"/>
    <row r="189017" s="12" customFormat="1" x14ac:dyDescent="0.25"/>
    <row r="189018" s="12" customFormat="1" x14ac:dyDescent="0.25"/>
    <row r="189019" s="12" customFormat="1" x14ac:dyDescent="0.25"/>
    <row r="189020" s="12" customFormat="1" x14ac:dyDescent="0.25"/>
    <row r="189021" s="12" customFormat="1" x14ac:dyDescent="0.25"/>
    <row r="189022" s="12" customFormat="1" x14ac:dyDescent="0.25"/>
    <row r="189023" s="12" customFormat="1" x14ac:dyDescent="0.25"/>
    <row r="189024" s="12" customFormat="1" x14ac:dyDescent="0.25"/>
    <row r="189025" s="12" customFormat="1" x14ac:dyDescent="0.25"/>
    <row r="189026" s="12" customFormat="1" x14ac:dyDescent="0.25"/>
    <row r="189027" s="12" customFormat="1" x14ac:dyDescent="0.25"/>
    <row r="189028" s="12" customFormat="1" x14ac:dyDescent="0.25"/>
    <row r="189029" s="12" customFormat="1" x14ac:dyDescent="0.25"/>
    <row r="189030" s="12" customFormat="1" x14ac:dyDescent="0.25"/>
    <row r="189031" s="12" customFormat="1" x14ac:dyDescent="0.25"/>
    <row r="189032" s="12" customFormat="1" x14ac:dyDescent="0.25"/>
    <row r="189033" s="12" customFormat="1" x14ac:dyDescent="0.25"/>
    <row r="189034" s="12" customFormat="1" x14ac:dyDescent="0.25"/>
    <row r="189035" s="12" customFormat="1" x14ac:dyDescent="0.25"/>
    <row r="189036" s="12" customFormat="1" x14ac:dyDescent="0.25"/>
    <row r="189037" s="12" customFormat="1" x14ac:dyDescent="0.25"/>
    <row r="189038" s="12" customFormat="1" x14ac:dyDescent="0.25"/>
    <row r="189039" s="12" customFormat="1" x14ac:dyDescent="0.25"/>
    <row r="189040" s="12" customFormat="1" x14ac:dyDescent="0.25"/>
    <row r="189041" s="12" customFormat="1" x14ac:dyDescent="0.25"/>
    <row r="189042" s="12" customFormat="1" x14ac:dyDescent="0.25"/>
    <row r="189043" s="12" customFormat="1" x14ac:dyDescent="0.25"/>
    <row r="189044" s="12" customFormat="1" x14ac:dyDescent="0.25"/>
    <row r="189045" s="12" customFormat="1" x14ac:dyDescent="0.25"/>
    <row r="189046" s="12" customFormat="1" x14ac:dyDescent="0.25"/>
    <row r="189047" s="12" customFormat="1" x14ac:dyDescent="0.25"/>
    <row r="189048" s="12" customFormat="1" x14ac:dyDescent="0.25"/>
    <row r="189049" s="12" customFormat="1" x14ac:dyDescent="0.25"/>
    <row r="189050" s="12" customFormat="1" x14ac:dyDescent="0.25"/>
    <row r="189051" s="12" customFormat="1" x14ac:dyDescent="0.25"/>
    <row r="189052" s="12" customFormat="1" x14ac:dyDescent="0.25"/>
    <row r="189053" s="12" customFormat="1" x14ac:dyDescent="0.25"/>
    <row r="189054" s="12" customFormat="1" x14ac:dyDescent="0.25"/>
    <row r="189055" s="12" customFormat="1" x14ac:dyDescent="0.25"/>
    <row r="189056" s="12" customFormat="1" x14ac:dyDescent="0.25"/>
    <row r="189057" s="12" customFormat="1" x14ac:dyDescent="0.25"/>
    <row r="189058" s="12" customFormat="1" x14ac:dyDescent="0.25"/>
    <row r="189059" s="12" customFormat="1" x14ac:dyDescent="0.25"/>
    <row r="189060" s="12" customFormat="1" x14ac:dyDescent="0.25"/>
    <row r="189061" s="12" customFormat="1" x14ac:dyDescent="0.25"/>
    <row r="189062" s="12" customFormat="1" x14ac:dyDescent="0.25"/>
    <row r="189063" s="12" customFormat="1" x14ac:dyDescent="0.25"/>
    <row r="189064" s="12" customFormat="1" x14ac:dyDescent="0.25"/>
    <row r="189065" s="12" customFormat="1" x14ac:dyDescent="0.25"/>
    <row r="189066" s="12" customFormat="1" x14ac:dyDescent="0.25"/>
    <row r="189067" s="12" customFormat="1" x14ac:dyDescent="0.25"/>
    <row r="189068" s="12" customFormat="1" x14ac:dyDescent="0.25"/>
    <row r="189069" s="12" customFormat="1" x14ac:dyDescent="0.25"/>
    <row r="189070" s="12" customFormat="1" x14ac:dyDescent="0.25"/>
    <row r="189071" s="12" customFormat="1" x14ac:dyDescent="0.25"/>
    <row r="189072" s="12" customFormat="1" x14ac:dyDescent="0.25"/>
    <row r="189073" s="12" customFormat="1" x14ac:dyDescent="0.25"/>
    <row r="189074" s="12" customFormat="1" x14ac:dyDescent="0.25"/>
    <row r="189075" s="12" customFormat="1" x14ac:dyDescent="0.25"/>
    <row r="189076" s="12" customFormat="1" x14ac:dyDescent="0.25"/>
    <row r="189077" s="12" customFormat="1" x14ac:dyDescent="0.25"/>
    <row r="189078" s="12" customFormat="1" x14ac:dyDescent="0.25"/>
    <row r="189079" s="12" customFormat="1" x14ac:dyDescent="0.25"/>
    <row r="189080" s="12" customFormat="1" x14ac:dyDescent="0.25"/>
    <row r="189081" s="12" customFormat="1" x14ac:dyDescent="0.25"/>
    <row r="189082" s="12" customFormat="1" x14ac:dyDescent="0.25"/>
    <row r="189083" s="12" customFormat="1" x14ac:dyDescent="0.25"/>
    <row r="189084" s="12" customFormat="1" x14ac:dyDescent="0.25"/>
    <row r="189085" s="12" customFormat="1" x14ac:dyDescent="0.25"/>
    <row r="189086" s="12" customFormat="1" x14ac:dyDescent="0.25"/>
    <row r="189087" s="12" customFormat="1" x14ac:dyDescent="0.25"/>
    <row r="189088" s="12" customFormat="1" x14ac:dyDescent="0.25"/>
    <row r="189089" s="12" customFormat="1" x14ac:dyDescent="0.25"/>
    <row r="189090" s="12" customFormat="1" x14ac:dyDescent="0.25"/>
    <row r="189091" s="12" customFormat="1" x14ac:dyDescent="0.25"/>
    <row r="189092" s="12" customFormat="1" x14ac:dyDescent="0.25"/>
    <row r="189093" s="12" customFormat="1" x14ac:dyDescent="0.25"/>
    <row r="189094" s="12" customFormat="1" x14ac:dyDescent="0.25"/>
    <row r="189095" s="12" customFormat="1" x14ac:dyDescent="0.25"/>
    <row r="189096" s="12" customFormat="1" x14ac:dyDescent="0.25"/>
    <row r="189097" s="12" customFormat="1" x14ac:dyDescent="0.25"/>
    <row r="189098" s="12" customFormat="1" x14ac:dyDescent="0.25"/>
    <row r="189099" s="12" customFormat="1" x14ac:dyDescent="0.25"/>
    <row r="189100" s="12" customFormat="1" x14ac:dyDescent="0.25"/>
    <row r="189101" s="12" customFormat="1" x14ac:dyDescent="0.25"/>
    <row r="189102" s="12" customFormat="1" x14ac:dyDescent="0.25"/>
    <row r="189103" s="12" customFormat="1" x14ac:dyDescent="0.25"/>
    <row r="189104" s="12" customFormat="1" x14ac:dyDescent="0.25"/>
    <row r="189105" s="12" customFormat="1" x14ac:dyDescent="0.25"/>
    <row r="189106" s="12" customFormat="1" x14ac:dyDescent="0.25"/>
    <row r="189107" s="12" customFormat="1" x14ac:dyDescent="0.25"/>
    <row r="189108" s="12" customFormat="1" x14ac:dyDescent="0.25"/>
    <row r="189109" s="12" customFormat="1" x14ac:dyDescent="0.25"/>
    <row r="189110" s="12" customFormat="1" x14ac:dyDescent="0.25"/>
    <row r="189111" s="12" customFormat="1" x14ac:dyDescent="0.25"/>
    <row r="189112" s="12" customFormat="1" x14ac:dyDescent="0.25"/>
    <row r="189113" s="12" customFormat="1" x14ac:dyDescent="0.25"/>
    <row r="189114" s="12" customFormat="1" x14ac:dyDescent="0.25"/>
    <row r="189115" s="12" customFormat="1" x14ac:dyDescent="0.25"/>
    <row r="189116" s="12" customFormat="1" x14ac:dyDescent="0.25"/>
    <row r="189117" s="12" customFormat="1" x14ac:dyDescent="0.25"/>
    <row r="189118" s="12" customFormat="1" x14ac:dyDescent="0.25"/>
    <row r="189119" s="12" customFormat="1" x14ac:dyDescent="0.25"/>
    <row r="189120" s="12" customFormat="1" x14ac:dyDescent="0.25"/>
    <row r="189121" s="12" customFormat="1" x14ac:dyDescent="0.25"/>
    <row r="189122" s="12" customFormat="1" x14ac:dyDescent="0.25"/>
    <row r="189123" s="12" customFormat="1" x14ac:dyDescent="0.25"/>
    <row r="189124" s="12" customFormat="1" x14ac:dyDescent="0.25"/>
    <row r="189125" s="12" customFormat="1" x14ac:dyDescent="0.25"/>
    <row r="189126" s="12" customFormat="1" x14ac:dyDescent="0.25"/>
    <row r="189127" s="12" customFormat="1" x14ac:dyDescent="0.25"/>
    <row r="189128" s="12" customFormat="1" x14ac:dyDescent="0.25"/>
    <row r="189129" s="12" customFormat="1" x14ac:dyDescent="0.25"/>
    <row r="189130" s="12" customFormat="1" x14ac:dyDescent="0.25"/>
    <row r="189131" s="12" customFormat="1" x14ac:dyDescent="0.25"/>
    <row r="189132" s="12" customFormat="1" x14ac:dyDescent="0.25"/>
    <row r="189133" s="12" customFormat="1" x14ac:dyDescent="0.25"/>
    <row r="189134" s="12" customFormat="1" x14ac:dyDescent="0.25"/>
    <row r="189135" s="12" customFormat="1" x14ac:dyDescent="0.25"/>
    <row r="189136" s="12" customFormat="1" x14ac:dyDescent="0.25"/>
    <row r="189137" s="12" customFormat="1" x14ac:dyDescent="0.25"/>
    <row r="189138" s="12" customFormat="1" x14ac:dyDescent="0.25"/>
    <row r="189139" s="12" customFormat="1" x14ac:dyDescent="0.25"/>
    <row r="189140" s="12" customFormat="1" x14ac:dyDescent="0.25"/>
    <row r="189141" s="12" customFormat="1" x14ac:dyDescent="0.25"/>
    <row r="189142" s="12" customFormat="1" x14ac:dyDescent="0.25"/>
    <row r="189143" s="12" customFormat="1" x14ac:dyDescent="0.25"/>
    <row r="189144" s="12" customFormat="1" x14ac:dyDescent="0.25"/>
    <row r="189145" s="12" customFormat="1" x14ac:dyDescent="0.25"/>
    <row r="189146" s="12" customFormat="1" x14ac:dyDescent="0.25"/>
    <row r="189147" s="12" customFormat="1" x14ac:dyDescent="0.25"/>
    <row r="189148" s="12" customFormat="1" x14ac:dyDescent="0.25"/>
    <row r="189149" s="12" customFormat="1" x14ac:dyDescent="0.25"/>
    <row r="189150" s="12" customFormat="1" x14ac:dyDescent="0.25"/>
    <row r="189151" s="12" customFormat="1" x14ac:dyDescent="0.25"/>
    <row r="189152" s="12" customFormat="1" x14ac:dyDescent="0.25"/>
    <row r="189153" s="12" customFormat="1" x14ac:dyDescent="0.25"/>
    <row r="189154" s="12" customFormat="1" x14ac:dyDescent="0.25"/>
    <row r="189155" s="12" customFormat="1" x14ac:dyDescent="0.25"/>
    <row r="189156" s="12" customFormat="1" x14ac:dyDescent="0.25"/>
    <row r="189157" s="12" customFormat="1" x14ac:dyDescent="0.25"/>
    <row r="189158" s="12" customFormat="1" x14ac:dyDescent="0.25"/>
    <row r="189159" s="12" customFormat="1" x14ac:dyDescent="0.25"/>
    <row r="189160" s="12" customFormat="1" x14ac:dyDescent="0.25"/>
    <row r="189161" s="12" customFormat="1" x14ac:dyDescent="0.25"/>
    <row r="189162" s="12" customFormat="1" x14ac:dyDescent="0.25"/>
    <row r="189163" s="12" customFormat="1" x14ac:dyDescent="0.25"/>
    <row r="189164" s="12" customFormat="1" x14ac:dyDescent="0.25"/>
    <row r="189165" s="12" customFormat="1" x14ac:dyDescent="0.25"/>
    <row r="189166" s="12" customFormat="1" x14ac:dyDescent="0.25"/>
    <row r="189167" s="12" customFormat="1" x14ac:dyDescent="0.25"/>
    <row r="189168" s="12" customFormat="1" x14ac:dyDescent="0.25"/>
    <row r="189169" s="12" customFormat="1" x14ac:dyDescent="0.25"/>
    <row r="189170" s="12" customFormat="1" x14ac:dyDescent="0.25"/>
    <row r="189171" s="12" customFormat="1" x14ac:dyDescent="0.25"/>
    <row r="189172" s="12" customFormat="1" x14ac:dyDescent="0.25"/>
    <row r="189173" s="12" customFormat="1" x14ac:dyDescent="0.25"/>
    <row r="189174" s="12" customFormat="1" x14ac:dyDescent="0.25"/>
    <row r="189175" s="12" customFormat="1" x14ac:dyDescent="0.25"/>
    <row r="189176" s="12" customFormat="1" x14ac:dyDescent="0.25"/>
    <row r="189177" s="12" customFormat="1" x14ac:dyDescent="0.25"/>
    <row r="189178" s="12" customFormat="1" x14ac:dyDescent="0.25"/>
    <row r="189179" s="12" customFormat="1" x14ac:dyDescent="0.25"/>
    <row r="189180" s="12" customFormat="1" x14ac:dyDescent="0.25"/>
    <row r="189181" s="12" customFormat="1" x14ac:dyDescent="0.25"/>
    <row r="189182" s="12" customFormat="1" x14ac:dyDescent="0.25"/>
    <row r="189183" s="12" customFormat="1" x14ac:dyDescent="0.25"/>
    <row r="189184" s="12" customFormat="1" x14ac:dyDescent="0.25"/>
    <row r="189185" s="12" customFormat="1" x14ac:dyDescent="0.25"/>
    <row r="189186" s="12" customFormat="1" x14ac:dyDescent="0.25"/>
    <row r="189187" s="12" customFormat="1" x14ac:dyDescent="0.25"/>
    <row r="189188" s="12" customFormat="1" x14ac:dyDescent="0.25"/>
    <row r="189189" s="12" customFormat="1" x14ac:dyDescent="0.25"/>
    <row r="189190" s="12" customFormat="1" x14ac:dyDescent="0.25"/>
    <row r="189191" s="12" customFormat="1" x14ac:dyDescent="0.25"/>
    <row r="189192" s="12" customFormat="1" x14ac:dyDescent="0.25"/>
    <row r="189193" s="12" customFormat="1" x14ac:dyDescent="0.25"/>
    <row r="189194" s="12" customFormat="1" x14ac:dyDescent="0.25"/>
    <row r="189195" s="12" customFormat="1" x14ac:dyDescent="0.25"/>
    <row r="189196" s="12" customFormat="1" x14ac:dyDescent="0.25"/>
    <row r="189197" s="12" customFormat="1" x14ac:dyDescent="0.25"/>
    <row r="189198" s="12" customFormat="1" x14ac:dyDescent="0.25"/>
    <row r="189199" s="12" customFormat="1" x14ac:dyDescent="0.25"/>
    <row r="189200" s="12" customFormat="1" x14ac:dyDescent="0.25"/>
    <row r="189201" s="12" customFormat="1" x14ac:dyDescent="0.25"/>
    <row r="189202" s="12" customFormat="1" x14ac:dyDescent="0.25"/>
    <row r="189203" s="12" customFormat="1" x14ac:dyDescent="0.25"/>
    <row r="189204" s="12" customFormat="1" x14ac:dyDescent="0.25"/>
    <row r="189205" s="12" customFormat="1" x14ac:dyDescent="0.25"/>
    <row r="189206" s="12" customFormat="1" x14ac:dyDescent="0.25"/>
    <row r="189207" s="12" customFormat="1" x14ac:dyDescent="0.25"/>
    <row r="189208" s="12" customFormat="1" x14ac:dyDescent="0.25"/>
    <row r="189209" s="12" customFormat="1" x14ac:dyDescent="0.25"/>
    <row r="189210" s="12" customFormat="1" x14ac:dyDescent="0.25"/>
    <row r="189211" s="12" customFormat="1" x14ac:dyDescent="0.25"/>
    <row r="189212" s="12" customFormat="1" x14ac:dyDescent="0.25"/>
    <row r="189213" s="12" customFormat="1" x14ac:dyDescent="0.25"/>
    <row r="189214" s="12" customFormat="1" x14ac:dyDescent="0.25"/>
    <row r="189215" s="12" customFormat="1" x14ac:dyDescent="0.25"/>
    <row r="189216" s="12" customFormat="1" x14ac:dyDescent="0.25"/>
    <row r="189217" s="12" customFormat="1" x14ac:dyDescent="0.25"/>
    <row r="189218" s="12" customFormat="1" x14ac:dyDescent="0.25"/>
    <row r="189219" s="12" customFormat="1" x14ac:dyDescent="0.25"/>
    <row r="189220" s="12" customFormat="1" x14ac:dyDescent="0.25"/>
    <row r="189221" s="12" customFormat="1" x14ac:dyDescent="0.25"/>
    <row r="189222" s="12" customFormat="1" x14ac:dyDescent="0.25"/>
    <row r="189223" s="12" customFormat="1" x14ac:dyDescent="0.25"/>
    <row r="189224" s="12" customFormat="1" x14ac:dyDescent="0.25"/>
    <row r="189225" s="12" customFormat="1" x14ac:dyDescent="0.25"/>
    <row r="189226" s="12" customFormat="1" x14ac:dyDescent="0.25"/>
    <row r="189227" s="12" customFormat="1" x14ac:dyDescent="0.25"/>
    <row r="189228" s="12" customFormat="1" x14ac:dyDescent="0.25"/>
    <row r="189229" s="12" customFormat="1" x14ac:dyDescent="0.25"/>
    <row r="189230" s="12" customFormat="1" x14ac:dyDescent="0.25"/>
    <row r="189231" s="12" customFormat="1" x14ac:dyDescent="0.25"/>
    <row r="189232" s="12" customFormat="1" x14ac:dyDescent="0.25"/>
    <row r="189233" s="12" customFormat="1" x14ac:dyDescent="0.25"/>
    <row r="189234" s="12" customFormat="1" x14ac:dyDescent="0.25"/>
    <row r="189235" s="12" customFormat="1" x14ac:dyDescent="0.25"/>
    <row r="189236" s="12" customFormat="1" x14ac:dyDescent="0.25"/>
    <row r="189237" s="12" customFormat="1" x14ac:dyDescent="0.25"/>
    <row r="189238" s="12" customFormat="1" x14ac:dyDescent="0.25"/>
    <row r="189239" s="12" customFormat="1" x14ac:dyDescent="0.25"/>
    <row r="189240" s="12" customFormat="1" x14ac:dyDescent="0.25"/>
    <row r="189241" s="12" customFormat="1" x14ac:dyDescent="0.25"/>
    <row r="189242" s="12" customFormat="1" x14ac:dyDescent="0.25"/>
    <row r="189243" s="12" customFormat="1" x14ac:dyDescent="0.25"/>
    <row r="189244" s="12" customFormat="1" x14ac:dyDescent="0.25"/>
    <row r="189245" s="12" customFormat="1" x14ac:dyDescent="0.25"/>
    <row r="189246" s="12" customFormat="1" x14ac:dyDescent="0.25"/>
    <row r="189247" s="12" customFormat="1" x14ac:dyDescent="0.25"/>
    <row r="189248" s="12" customFormat="1" x14ac:dyDescent="0.25"/>
    <row r="189249" s="12" customFormat="1" x14ac:dyDescent="0.25"/>
    <row r="189250" s="12" customFormat="1" x14ac:dyDescent="0.25"/>
    <row r="189251" s="12" customFormat="1" x14ac:dyDescent="0.25"/>
    <row r="189252" s="12" customFormat="1" x14ac:dyDescent="0.25"/>
    <row r="189253" s="12" customFormat="1" x14ac:dyDescent="0.25"/>
    <row r="189254" s="12" customFormat="1" x14ac:dyDescent="0.25"/>
    <row r="189255" s="12" customFormat="1" x14ac:dyDescent="0.25"/>
    <row r="189256" s="12" customFormat="1" x14ac:dyDescent="0.25"/>
    <row r="189257" s="12" customFormat="1" x14ac:dyDescent="0.25"/>
    <row r="189258" s="12" customFormat="1" x14ac:dyDescent="0.25"/>
    <row r="189259" s="12" customFormat="1" x14ac:dyDescent="0.25"/>
    <row r="189260" s="12" customFormat="1" x14ac:dyDescent="0.25"/>
    <row r="189261" s="12" customFormat="1" x14ac:dyDescent="0.25"/>
    <row r="189262" s="12" customFormat="1" x14ac:dyDescent="0.25"/>
    <row r="189263" s="12" customFormat="1" x14ac:dyDescent="0.25"/>
    <row r="189264" s="12" customFormat="1" x14ac:dyDescent="0.25"/>
    <row r="189265" s="12" customFormat="1" x14ac:dyDescent="0.25"/>
    <row r="189266" s="12" customFormat="1" x14ac:dyDescent="0.25"/>
    <row r="189267" s="12" customFormat="1" x14ac:dyDescent="0.25"/>
    <row r="189268" s="12" customFormat="1" x14ac:dyDescent="0.25"/>
    <row r="189269" s="12" customFormat="1" x14ac:dyDescent="0.25"/>
    <row r="189270" s="12" customFormat="1" x14ac:dyDescent="0.25"/>
    <row r="189271" s="12" customFormat="1" x14ac:dyDescent="0.25"/>
    <row r="189272" s="12" customFormat="1" x14ac:dyDescent="0.25"/>
    <row r="189273" s="12" customFormat="1" x14ac:dyDescent="0.25"/>
    <row r="189274" s="12" customFormat="1" x14ac:dyDescent="0.25"/>
    <row r="189275" s="12" customFormat="1" x14ac:dyDescent="0.25"/>
    <row r="189276" s="12" customFormat="1" x14ac:dyDescent="0.25"/>
    <row r="189277" s="12" customFormat="1" x14ac:dyDescent="0.25"/>
    <row r="189278" s="12" customFormat="1" x14ac:dyDescent="0.25"/>
    <row r="189279" s="12" customFormat="1" x14ac:dyDescent="0.25"/>
    <row r="189280" s="12" customFormat="1" x14ac:dyDescent="0.25"/>
    <row r="189281" s="12" customFormat="1" x14ac:dyDescent="0.25"/>
    <row r="189282" s="12" customFormat="1" x14ac:dyDescent="0.25"/>
    <row r="189283" s="12" customFormat="1" x14ac:dyDescent="0.25"/>
    <row r="189284" s="12" customFormat="1" x14ac:dyDescent="0.25"/>
    <row r="189285" s="12" customFormat="1" x14ac:dyDescent="0.25"/>
    <row r="189286" s="12" customFormat="1" x14ac:dyDescent="0.25"/>
    <row r="189287" s="12" customFormat="1" x14ac:dyDescent="0.25"/>
    <row r="189288" s="12" customFormat="1" x14ac:dyDescent="0.25"/>
    <row r="189289" s="12" customFormat="1" x14ac:dyDescent="0.25"/>
    <row r="189290" s="12" customFormat="1" x14ac:dyDescent="0.25"/>
    <row r="189291" s="12" customFormat="1" x14ac:dyDescent="0.25"/>
    <row r="189292" s="12" customFormat="1" x14ac:dyDescent="0.25"/>
    <row r="189293" s="12" customFormat="1" x14ac:dyDescent="0.25"/>
    <row r="189294" s="12" customFormat="1" x14ac:dyDescent="0.25"/>
    <row r="189295" s="12" customFormat="1" x14ac:dyDescent="0.25"/>
    <row r="189296" s="12" customFormat="1" x14ac:dyDescent="0.25"/>
    <row r="189297" s="12" customFormat="1" x14ac:dyDescent="0.25"/>
    <row r="189298" s="12" customFormat="1" x14ac:dyDescent="0.25"/>
    <row r="189299" s="12" customFormat="1" x14ac:dyDescent="0.25"/>
    <row r="189300" s="12" customFormat="1" x14ac:dyDescent="0.25"/>
    <row r="189301" s="12" customFormat="1" x14ac:dyDescent="0.25"/>
    <row r="189302" s="12" customFormat="1" x14ac:dyDescent="0.25"/>
    <row r="189303" s="12" customFormat="1" x14ac:dyDescent="0.25"/>
    <row r="189304" s="12" customFormat="1" x14ac:dyDescent="0.25"/>
    <row r="189305" s="12" customFormat="1" x14ac:dyDescent="0.25"/>
    <row r="189306" s="12" customFormat="1" x14ac:dyDescent="0.25"/>
    <row r="189307" s="12" customFormat="1" x14ac:dyDescent="0.25"/>
    <row r="189308" s="12" customFormat="1" x14ac:dyDescent="0.25"/>
    <row r="189309" s="12" customFormat="1" x14ac:dyDescent="0.25"/>
    <row r="189310" s="12" customFormat="1" x14ac:dyDescent="0.25"/>
    <row r="189311" s="12" customFormat="1" x14ac:dyDescent="0.25"/>
    <row r="189312" s="12" customFormat="1" x14ac:dyDescent="0.25"/>
    <row r="189313" s="12" customFormat="1" x14ac:dyDescent="0.25"/>
    <row r="189314" s="12" customFormat="1" x14ac:dyDescent="0.25"/>
    <row r="189315" s="12" customFormat="1" x14ac:dyDescent="0.25"/>
    <row r="189316" s="12" customFormat="1" x14ac:dyDescent="0.25"/>
    <row r="189317" s="12" customFormat="1" x14ac:dyDescent="0.25"/>
    <row r="189318" s="12" customFormat="1" x14ac:dyDescent="0.25"/>
    <row r="189319" s="12" customFormat="1" x14ac:dyDescent="0.25"/>
    <row r="189320" s="12" customFormat="1" x14ac:dyDescent="0.25"/>
    <row r="189321" s="12" customFormat="1" x14ac:dyDescent="0.25"/>
    <row r="189322" s="12" customFormat="1" x14ac:dyDescent="0.25"/>
    <row r="189323" s="12" customFormat="1" x14ac:dyDescent="0.25"/>
    <row r="189324" s="12" customFormat="1" x14ac:dyDescent="0.25"/>
    <row r="189325" s="12" customFormat="1" x14ac:dyDescent="0.25"/>
    <row r="189326" s="12" customFormat="1" x14ac:dyDescent="0.25"/>
    <row r="189327" s="12" customFormat="1" x14ac:dyDescent="0.25"/>
    <row r="189328" s="12" customFormat="1" x14ac:dyDescent="0.25"/>
    <row r="189329" s="12" customFormat="1" x14ac:dyDescent="0.25"/>
    <row r="189330" s="12" customFormat="1" x14ac:dyDescent="0.25"/>
    <row r="189331" s="12" customFormat="1" x14ac:dyDescent="0.25"/>
    <row r="189332" s="12" customFormat="1" x14ac:dyDescent="0.25"/>
    <row r="189333" s="12" customFormat="1" x14ac:dyDescent="0.25"/>
    <row r="189334" s="12" customFormat="1" x14ac:dyDescent="0.25"/>
    <row r="189335" s="12" customFormat="1" x14ac:dyDescent="0.25"/>
    <row r="189336" s="12" customFormat="1" x14ac:dyDescent="0.25"/>
    <row r="189337" s="12" customFormat="1" x14ac:dyDescent="0.25"/>
    <row r="189338" s="12" customFormat="1" x14ac:dyDescent="0.25"/>
    <row r="189339" s="12" customFormat="1" x14ac:dyDescent="0.25"/>
    <row r="189340" s="12" customFormat="1" x14ac:dyDescent="0.25"/>
    <row r="189341" s="12" customFormat="1" x14ac:dyDescent="0.25"/>
    <row r="189342" s="12" customFormat="1" x14ac:dyDescent="0.25"/>
    <row r="189343" s="12" customFormat="1" x14ac:dyDescent="0.25"/>
    <row r="189344" s="12" customFormat="1" x14ac:dyDescent="0.25"/>
    <row r="189345" s="12" customFormat="1" x14ac:dyDescent="0.25"/>
    <row r="189346" s="12" customFormat="1" x14ac:dyDescent="0.25"/>
    <row r="189347" s="12" customFormat="1" x14ac:dyDescent="0.25"/>
    <row r="189348" s="12" customFormat="1" x14ac:dyDescent="0.25"/>
    <row r="189349" s="12" customFormat="1" x14ac:dyDescent="0.25"/>
    <row r="189350" s="12" customFormat="1" x14ac:dyDescent="0.25"/>
    <row r="189351" s="12" customFormat="1" x14ac:dyDescent="0.25"/>
    <row r="189352" s="12" customFormat="1" x14ac:dyDescent="0.25"/>
    <row r="189353" s="12" customFormat="1" x14ac:dyDescent="0.25"/>
    <row r="189354" s="12" customFormat="1" x14ac:dyDescent="0.25"/>
    <row r="189355" s="12" customFormat="1" x14ac:dyDescent="0.25"/>
    <row r="189356" s="12" customFormat="1" x14ac:dyDescent="0.25"/>
    <row r="189357" s="12" customFormat="1" x14ac:dyDescent="0.25"/>
    <row r="189358" s="12" customFormat="1" x14ac:dyDescent="0.25"/>
    <row r="189359" s="12" customFormat="1" x14ac:dyDescent="0.25"/>
    <row r="189360" s="12" customFormat="1" x14ac:dyDescent="0.25"/>
    <row r="189361" s="12" customFormat="1" x14ac:dyDescent="0.25"/>
    <row r="189362" s="12" customFormat="1" x14ac:dyDescent="0.25"/>
    <row r="189363" s="12" customFormat="1" x14ac:dyDescent="0.25"/>
    <row r="189364" s="12" customFormat="1" x14ac:dyDescent="0.25"/>
    <row r="189365" s="12" customFormat="1" x14ac:dyDescent="0.25"/>
    <row r="189366" s="12" customFormat="1" x14ac:dyDescent="0.25"/>
    <row r="189367" s="12" customFormat="1" x14ac:dyDescent="0.25"/>
    <row r="189368" s="12" customFormat="1" x14ac:dyDescent="0.25"/>
    <row r="189369" s="12" customFormat="1" x14ac:dyDescent="0.25"/>
    <row r="189370" s="12" customFormat="1" x14ac:dyDescent="0.25"/>
    <row r="189371" s="12" customFormat="1" x14ac:dyDescent="0.25"/>
    <row r="189372" s="12" customFormat="1" x14ac:dyDescent="0.25"/>
    <row r="189373" s="12" customFormat="1" x14ac:dyDescent="0.25"/>
    <row r="189374" s="12" customFormat="1" x14ac:dyDescent="0.25"/>
    <row r="189375" s="12" customFormat="1" x14ac:dyDescent="0.25"/>
    <row r="189376" s="12" customFormat="1" x14ac:dyDescent="0.25"/>
    <row r="189377" s="12" customFormat="1" x14ac:dyDescent="0.25"/>
    <row r="189378" s="12" customFormat="1" x14ac:dyDescent="0.25"/>
    <row r="189379" s="12" customFormat="1" x14ac:dyDescent="0.25"/>
    <row r="189380" s="12" customFormat="1" x14ac:dyDescent="0.25"/>
    <row r="189381" s="12" customFormat="1" x14ac:dyDescent="0.25"/>
    <row r="189382" s="12" customFormat="1" x14ac:dyDescent="0.25"/>
    <row r="189383" s="12" customFormat="1" x14ac:dyDescent="0.25"/>
    <row r="189384" s="12" customFormat="1" x14ac:dyDescent="0.25"/>
    <row r="189385" s="12" customFormat="1" x14ac:dyDescent="0.25"/>
    <row r="189386" s="12" customFormat="1" x14ac:dyDescent="0.25"/>
    <row r="189387" s="12" customFormat="1" x14ac:dyDescent="0.25"/>
    <row r="189388" s="12" customFormat="1" x14ac:dyDescent="0.25"/>
    <row r="189389" s="12" customFormat="1" x14ac:dyDescent="0.25"/>
    <row r="189390" s="12" customFormat="1" x14ac:dyDescent="0.25"/>
    <row r="189391" s="12" customFormat="1" x14ac:dyDescent="0.25"/>
    <row r="189392" s="12" customFormat="1" x14ac:dyDescent="0.25"/>
    <row r="189393" s="12" customFormat="1" x14ac:dyDescent="0.25"/>
    <row r="189394" s="12" customFormat="1" x14ac:dyDescent="0.25"/>
    <row r="189395" s="12" customFormat="1" x14ac:dyDescent="0.25"/>
    <row r="189396" s="12" customFormat="1" x14ac:dyDescent="0.25"/>
    <row r="189397" s="12" customFormat="1" x14ac:dyDescent="0.25"/>
    <row r="189398" s="12" customFormat="1" x14ac:dyDescent="0.25"/>
    <row r="189399" s="12" customFormat="1" x14ac:dyDescent="0.25"/>
    <row r="189400" s="12" customFormat="1" x14ac:dyDescent="0.25"/>
    <row r="189401" s="12" customFormat="1" x14ac:dyDescent="0.25"/>
    <row r="189402" s="12" customFormat="1" x14ac:dyDescent="0.25"/>
    <row r="189403" s="12" customFormat="1" x14ac:dyDescent="0.25"/>
    <row r="189404" s="12" customFormat="1" x14ac:dyDescent="0.25"/>
    <row r="189405" s="12" customFormat="1" x14ac:dyDescent="0.25"/>
    <row r="189406" s="12" customFormat="1" x14ac:dyDescent="0.25"/>
    <row r="189407" s="12" customFormat="1" x14ac:dyDescent="0.25"/>
    <row r="189408" s="12" customFormat="1" x14ac:dyDescent="0.25"/>
    <row r="189409" s="12" customFormat="1" x14ac:dyDescent="0.25"/>
    <row r="189410" s="12" customFormat="1" x14ac:dyDescent="0.25"/>
    <row r="189411" s="12" customFormat="1" x14ac:dyDescent="0.25"/>
    <row r="189412" s="12" customFormat="1" x14ac:dyDescent="0.25"/>
    <row r="189413" s="12" customFormat="1" x14ac:dyDescent="0.25"/>
    <row r="189414" s="12" customFormat="1" x14ac:dyDescent="0.25"/>
    <row r="189415" s="12" customFormat="1" x14ac:dyDescent="0.25"/>
    <row r="189416" s="12" customFormat="1" x14ac:dyDescent="0.25"/>
    <row r="189417" s="12" customFormat="1" x14ac:dyDescent="0.25"/>
    <row r="189418" s="12" customFormat="1" x14ac:dyDescent="0.25"/>
    <row r="189419" s="12" customFormat="1" x14ac:dyDescent="0.25"/>
    <row r="189420" s="12" customFormat="1" x14ac:dyDescent="0.25"/>
    <row r="189421" s="12" customFormat="1" x14ac:dyDescent="0.25"/>
    <row r="189422" s="12" customFormat="1" x14ac:dyDescent="0.25"/>
    <row r="189423" s="12" customFormat="1" x14ac:dyDescent="0.25"/>
    <row r="189424" s="12" customFormat="1" x14ac:dyDescent="0.25"/>
    <row r="189425" s="12" customFormat="1" x14ac:dyDescent="0.25"/>
    <row r="189426" s="12" customFormat="1" x14ac:dyDescent="0.25"/>
    <row r="189427" s="12" customFormat="1" x14ac:dyDescent="0.25"/>
    <row r="189428" s="12" customFormat="1" x14ac:dyDescent="0.25"/>
    <row r="189429" s="12" customFormat="1" x14ac:dyDescent="0.25"/>
    <row r="189430" s="12" customFormat="1" x14ac:dyDescent="0.25"/>
    <row r="189431" s="12" customFormat="1" x14ac:dyDescent="0.25"/>
    <row r="189432" s="12" customFormat="1" x14ac:dyDescent="0.25"/>
    <row r="189433" s="12" customFormat="1" x14ac:dyDescent="0.25"/>
    <row r="189434" s="12" customFormat="1" x14ac:dyDescent="0.25"/>
    <row r="189435" s="12" customFormat="1" x14ac:dyDescent="0.25"/>
    <row r="189436" s="12" customFormat="1" x14ac:dyDescent="0.25"/>
    <row r="189437" s="12" customFormat="1" x14ac:dyDescent="0.25"/>
    <row r="189438" s="12" customFormat="1" x14ac:dyDescent="0.25"/>
    <row r="189439" s="12" customFormat="1" x14ac:dyDescent="0.25"/>
    <row r="189440" s="12" customFormat="1" x14ac:dyDescent="0.25"/>
    <row r="189441" s="12" customFormat="1" x14ac:dyDescent="0.25"/>
    <row r="189442" s="12" customFormat="1" x14ac:dyDescent="0.25"/>
    <row r="189443" s="12" customFormat="1" x14ac:dyDescent="0.25"/>
    <row r="189444" s="12" customFormat="1" x14ac:dyDescent="0.25"/>
    <row r="189445" s="12" customFormat="1" x14ac:dyDescent="0.25"/>
    <row r="189446" s="12" customFormat="1" x14ac:dyDescent="0.25"/>
    <row r="189447" s="12" customFormat="1" x14ac:dyDescent="0.25"/>
    <row r="189448" s="12" customFormat="1" x14ac:dyDescent="0.25"/>
    <row r="189449" s="12" customFormat="1" x14ac:dyDescent="0.25"/>
    <row r="189450" s="12" customFormat="1" x14ac:dyDescent="0.25"/>
    <row r="189451" s="12" customFormat="1" x14ac:dyDescent="0.25"/>
    <row r="189452" s="12" customFormat="1" x14ac:dyDescent="0.25"/>
    <row r="189453" s="12" customFormat="1" x14ac:dyDescent="0.25"/>
    <row r="189454" s="12" customFormat="1" x14ac:dyDescent="0.25"/>
    <row r="189455" s="12" customFormat="1" x14ac:dyDescent="0.25"/>
    <row r="189456" s="12" customFormat="1" x14ac:dyDescent="0.25"/>
    <row r="189457" s="12" customFormat="1" x14ac:dyDescent="0.25"/>
    <row r="189458" s="12" customFormat="1" x14ac:dyDescent="0.25"/>
    <row r="189459" s="12" customFormat="1" x14ac:dyDescent="0.25"/>
    <row r="189460" s="12" customFormat="1" x14ac:dyDescent="0.25"/>
    <row r="189461" s="12" customFormat="1" x14ac:dyDescent="0.25"/>
    <row r="189462" s="12" customFormat="1" x14ac:dyDescent="0.25"/>
    <row r="189463" s="12" customFormat="1" x14ac:dyDescent="0.25"/>
    <row r="189464" s="12" customFormat="1" x14ac:dyDescent="0.25"/>
    <row r="189465" s="12" customFormat="1" x14ac:dyDescent="0.25"/>
    <row r="189466" s="12" customFormat="1" x14ac:dyDescent="0.25"/>
    <row r="189467" s="12" customFormat="1" x14ac:dyDescent="0.25"/>
    <row r="189468" s="12" customFormat="1" x14ac:dyDescent="0.25"/>
    <row r="189469" s="12" customFormat="1" x14ac:dyDescent="0.25"/>
    <row r="189470" s="12" customFormat="1" x14ac:dyDescent="0.25"/>
    <row r="189471" s="12" customFormat="1" x14ac:dyDescent="0.25"/>
    <row r="189472" s="12" customFormat="1" x14ac:dyDescent="0.25"/>
    <row r="189473" s="12" customFormat="1" x14ac:dyDescent="0.25"/>
    <row r="189474" s="12" customFormat="1" x14ac:dyDescent="0.25"/>
    <row r="189475" s="12" customFormat="1" x14ac:dyDescent="0.25"/>
    <row r="189476" s="12" customFormat="1" x14ac:dyDescent="0.25"/>
    <row r="189477" s="12" customFormat="1" x14ac:dyDescent="0.25"/>
    <row r="189478" s="12" customFormat="1" x14ac:dyDescent="0.25"/>
    <row r="189479" s="12" customFormat="1" x14ac:dyDescent="0.25"/>
    <row r="189480" s="12" customFormat="1" x14ac:dyDescent="0.25"/>
    <row r="189481" s="12" customFormat="1" x14ac:dyDescent="0.25"/>
    <row r="189482" s="12" customFormat="1" x14ac:dyDescent="0.25"/>
    <row r="189483" s="12" customFormat="1" x14ac:dyDescent="0.25"/>
    <row r="189484" s="12" customFormat="1" x14ac:dyDescent="0.25"/>
    <row r="189485" s="12" customFormat="1" x14ac:dyDescent="0.25"/>
    <row r="189486" s="12" customFormat="1" x14ac:dyDescent="0.25"/>
    <row r="189487" s="12" customFormat="1" x14ac:dyDescent="0.25"/>
    <row r="189488" s="12" customFormat="1" x14ac:dyDescent="0.25"/>
    <row r="189489" s="12" customFormat="1" x14ac:dyDescent="0.25"/>
    <row r="189490" s="12" customFormat="1" x14ac:dyDescent="0.25"/>
    <row r="189491" s="12" customFormat="1" x14ac:dyDescent="0.25"/>
    <row r="189492" s="12" customFormat="1" x14ac:dyDescent="0.25"/>
    <row r="189493" s="12" customFormat="1" x14ac:dyDescent="0.25"/>
    <row r="189494" s="12" customFormat="1" x14ac:dyDescent="0.25"/>
    <row r="189495" s="12" customFormat="1" x14ac:dyDescent="0.25"/>
    <row r="189496" s="12" customFormat="1" x14ac:dyDescent="0.25"/>
    <row r="189497" s="12" customFormat="1" x14ac:dyDescent="0.25"/>
    <row r="189498" s="12" customFormat="1" x14ac:dyDescent="0.25"/>
    <row r="189499" s="12" customFormat="1" x14ac:dyDescent="0.25"/>
    <row r="189500" s="12" customFormat="1" x14ac:dyDescent="0.25"/>
    <row r="189501" s="12" customFormat="1" x14ac:dyDescent="0.25"/>
    <row r="189502" s="12" customFormat="1" x14ac:dyDescent="0.25"/>
    <row r="189503" s="12" customFormat="1" x14ac:dyDescent="0.25"/>
    <row r="189504" s="12" customFormat="1" x14ac:dyDescent="0.25"/>
    <row r="189505" s="12" customFormat="1" x14ac:dyDescent="0.25"/>
    <row r="189506" s="12" customFormat="1" x14ac:dyDescent="0.25"/>
    <row r="189507" s="12" customFormat="1" x14ac:dyDescent="0.25"/>
    <row r="189508" s="12" customFormat="1" x14ac:dyDescent="0.25"/>
    <row r="189509" s="12" customFormat="1" x14ac:dyDescent="0.25"/>
    <row r="189510" s="12" customFormat="1" x14ac:dyDescent="0.25"/>
    <row r="189511" s="12" customFormat="1" x14ac:dyDescent="0.25"/>
    <row r="189512" s="12" customFormat="1" x14ac:dyDescent="0.25"/>
    <row r="189513" s="12" customFormat="1" x14ac:dyDescent="0.25"/>
    <row r="189514" s="12" customFormat="1" x14ac:dyDescent="0.25"/>
    <row r="189515" s="12" customFormat="1" x14ac:dyDescent="0.25"/>
    <row r="189516" s="12" customFormat="1" x14ac:dyDescent="0.25"/>
    <row r="189517" s="12" customFormat="1" x14ac:dyDescent="0.25"/>
    <row r="189518" s="12" customFormat="1" x14ac:dyDescent="0.25"/>
    <row r="189519" s="12" customFormat="1" x14ac:dyDescent="0.25"/>
    <row r="189520" s="12" customFormat="1" x14ac:dyDescent="0.25"/>
    <row r="189521" s="12" customFormat="1" x14ac:dyDescent="0.25"/>
    <row r="189522" s="12" customFormat="1" x14ac:dyDescent="0.25"/>
    <row r="189523" s="12" customFormat="1" x14ac:dyDescent="0.25"/>
    <row r="189524" s="12" customFormat="1" x14ac:dyDescent="0.25"/>
    <row r="189525" s="12" customFormat="1" x14ac:dyDescent="0.25"/>
    <row r="189526" s="12" customFormat="1" x14ac:dyDescent="0.25"/>
    <row r="189527" s="12" customFormat="1" x14ac:dyDescent="0.25"/>
    <row r="189528" s="12" customFormat="1" x14ac:dyDescent="0.25"/>
    <row r="189529" s="12" customFormat="1" x14ac:dyDescent="0.25"/>
    <row r="189530" s="12" customFormat="1" x14ac:dyDescent="0.25"/>
    <row r="189531" s="12" customFormat="1" x14ac:dyDescent="0.25"/>
    <row r="189532" s="12" customFormat="1" x14ac:dyDescent="0.25"/>
    <row r="189533" s="12" customFormat="1" x14ac:dyDescent="0.25"/>
    <row r="189534" s="12" customFormat="1" x14ac:dyDescent="0.25"/>
    <row r="189535" s="12" customFormat="1" x14ac:dyDescent="0.25"/>
    <row r="189536" s="12" customFormat="1" x14ac:dyDescent="0.25"/>
    <row r="189537" s="12" customFormat="1" x14ac:dyDescent="0.25"/>
    <row r="189538" s="12" customFormat="1" x14ac:dyDescent="0.25"/>
    <row r="189539" s="12" customFormat="1" x14ac:dyDescent="0.25"/>
    <row r="189540" s="12" customFormat="1" x14ac:dyDescent="0.25"/>
    <row r="189541" s="12" customFormat="1" x14ac:dyDescent="0.25"/>
    <row r="189542" s="12" customFormat="1" x14ac:dyDescent="0.25"/>
    <row r="189543" s="12" customFormat="1" x14ac:dyDescent="0.25"/>
    <row r="189544" s="12" customFormat="1" x14ac:dyDescent="0.25"/>
    <row r="189545" s="12" customFormat="1" x14ac:dyDescent="0.25"/>
    <row r="189546" s="12" customFormat="1" x14ac:dyDescent="0.25"/>
    <row r="189547" s="12" customFormat="1" x14ac:dyDescent="0.25"/>
    <row r="189548" s="12" customFormat="1" x14ac:dyDescent="0.25"/>
    <row r="189549" s="12" customFormat="1" x14ac:dyDescent="0.25"/>
    <row r="189550" s="12" customFormat="1" x14ac:dyDescent="0.25"/>
    <row r="189551" s="12" customFormat="1" x14ac:dyDescent="0.25"/>
    <row r="189552" s="12" customFormat="1" x14ac:dyDescent="0.25"/>
    <row r="189553" s="12" customFormat="1" x14ac:dyDescent="0.25"/>
    <row r="189554" s="12" customFormat="1" x14ac:dyDescent="0.25"/>
    <row r="189555" s="12" customFormat="1" x14ac:dyDescent="0.25"/>
    <row r="189556" s="12" customFormat="1" x14ac:dyDescent="0.25"/>
    <row r="189557" s="12" customFormat="1" x14ac:dyDescent="0.25"/>
    <row r="189558" s="12" customFormat="1" x14ac:dyDescent="0.25"/>
    <row r="189559" s="12" customFormat="1" x14ac:dyDescent="0.25"/>
    <row r="189560" s="12" customFormat="1" x14ac:dyDescent="0.25"/>
    <row r="189561" s="12" customFormat="1" x14ac:dyDescent="0.25"/>
    <row r="189562" s="12" customFormat="1" x14ac:dyDescent="0.25"/>
    <row r="189563" s="12" customFormat="1" x14ac:dyDescent="0.25"/>
    <row r="189564" s="12" customFormat="1" x14ac:dyDescent="0.25"/>
    <row r="189565" s="12" customFormat="1" x14ac:dyDescent="0.25"/>
    <row r="189566" s="12" customFormat="1" x14ac:dyDescent="0.25"/>
    <row r="189567" s="12" customFormat="1" x14ac:dyDescent="0.25"/>
    <row r="189568" s="12" customFormat="1" x14ac:dyDescent="0.25"/>
    <row r="189569" s="12" customFormat="1" x14ac:dyDescent="0.25"/>
    <row r="189570" s="12" customFormat="1" x14ac:dyDescent="0.25"/>
    <row r="189571" s="12" customFormat="1" x14ac:dyDescent="0.25"/>
    <row r="189572" s="12" customFormat="1" x14ac:dyDescent="0.25"/>
    <row r="189573" s="12" customFormat="1" x14ac:dyDescent="0.25"/>
    <row r="189574" s="12" customFormat="1" x14ac:dyDescent="0.25"/>
    <row r="189575" s="12" customFormat="1" x14ac:dyDescent="0.25"/>
    <row r="189576" s="12" customFormat="1" x14ac:dyDescent="0.25"/>
    <row r="189577" s="12" customFormat="1" x14ac:dyDescent="0.25"/>
    <row r="189578" s="12" customFormat="1" x14ac:dyDescent="0.25"/>
    <row r="189579" s="12" customFormat="1" x14ac:dyDescent="0.25"/>
    <row r="189580" s="12" customFormat="1" x14ac:dyDescent="0.25"/>
    <row r="189581" s="12" customFormat="1" x14ac:dyDescent="0.25"/>
    <row r="189582" s="12" customFormat="1" x14ac:dyDescent="0.25"/>
    <row r="189583" s="12" customFormat="1" x14ac:dyDescent="0.25"/>
    <row r="189584" s="12" customFormat="1" x14ac:dyDescent="0.25"/>
    <row r="189585" s="12" customFormat="1" x14ac:dyDescent="0.25"/>
    <row r="189586" s="12" customFormat="1" x14ac:dyDescent="0.25"/>
    <row r="189587" s="12" customFormat="1" x14ac:dyDescent="0.25"/>
    <row r="189588" s="12" customFormat="1" x14ac:dyDescent="0.25"/>
    <row r="189589" s="12" customFormat="1" x14ac:dyDescent="0.25"/>
    <row r="189590" s="12" customFormat="1" x14ac:dyDescent="0.25"/>
    <row r="189591" s="12" customFormat="1" x14ac:dyDescent="0.25"/>
    <row r="189592" s="12" customFormat="1" x14ac:dyDescent="0.25"/>
    <row r="189593" s="12" customFormat="1" x14ac:dyDescent="0.25"/>
    <row r="189594" s="12" customFormat="1" x14ac:dyDescent="0.25"/>
    <row r="189595" s="12" customFormat="1" x14ac:dyDescent="0.25"/>
    <row r="189596" s="12" customFormat="1" x14ac:dyDescent="0.25"/>
    <row r="189597" s="12" customFormat="1" x14ac:dyDescent="0.25"/>
    <row r="189598" s="12" customFormat="1" x14ac:dyDescent="0.25"/>
    <row r="189599" s="12" customFormat="1" x14ac:dyDescent="0.25"/>
    <row r="189600" s="12" customFormat="1" x14ac:dyDescent="0.25"/>
    <row r="189601" s="12" customFormat="1" x14ac:dyDescent="0.25"/>
    <row r="189602" s="12" customFormat="1" x14ac:dyDescent="0.25"/>
    <row r="189603" s="12" customFormat="1" x14ac:dyDescent="0.25"/>
    <row r="189604" s="12" customFormat="1" x14ac:dyDescent="0.25"/>
    <row r="189605" s="12" customFormat="1" x14ac:dyDescent="0.25"/>
    <row r="189606" s="12" customFormat="1" x14ac:dyDescent="0.25"/>
    <row r="189607" s="12" customFormat="1" x14ac:dyDescent="0.25"/>
    <row r="189608" s="12" customFormat="1" x14ac:dyDescent="0.25"/>
    <row r="189609" s="12" customFormat="1" x14ac:dyDescent="0.25"/>
    <row r="189610" s="12" customFormat="1" x14ac:dyDescent="0.25"/>
    <row r="189611" s="12" customFormat="1" x14ac:dyDescent="0.25"/>
    <row r="189612" s="12" customFormat="1" x14ac:dyDescent="0.25"/>
    <row r="189613" s="12" customFormat="1" x14ac:dyDescent="0.25"/>
    <row r="189614" s="12" customFormat="1" x14ac:dyDescent="0.25"/>
    <row r="189615" s="12" customFormat="1" x14ac:dyDescent="0.25"/>
    <row r="189616" s="12" customFormat="1" x14ac:dyDescent="0.25"/>
    <row r="189617" s="12" customFormat="1" x14ac:dyDescent="0.25"/>
    <row r="189618" s="12" customFormat="1" x14ac:dyDescent="0.25"/>
    <row r="189619" s="12" customFormat="1" x14ac:dyDescent="0.25"/>
    <row r="189620" s="12" customFormat="1" x14ac:dyDescent="0.25"/>
    <row r="189621" s="12" customFormat="1" x14ac:dyDescent="0.25"/>
    <row r="189622" s="12" customFormat="1" x14ac:dyDescent="0.25"/>
    <row r="189623" s="12" customFormat="1" x14ac:dyDescent="0.25"/>
    <row r="189624" s="12" customFormat="1" x14ac:dyDescent="0.25"/>
    <row r="189625" s="12" customFormat="1" x14ac:dyDescent="0.25"/>
    <row r="189626" s="12" customFormat="1" x14ac:dyDescent="0.25"/>
    <row r="189627" s="12" customFormat="1" x14ac:dyDescent="0.25"/>
    <row r="189628" s="12" customFormat="1" x14ac:dyDescent="0.25"/>
    <row r="189629" s="12" customFormat="1" x14ac:dyDescent="0.25"/>
    <row r="189630" s="12" customFormat="1" x14ac:dyDescent="0.25"/>
    <row r="189631" s="12" customFormat="1" x14ac:dyDescent="0.25"/>
    <row r="189632" s="12" customFormat="1" x14ac:dyDescent="0.25"/>
    <row r="189633" s="12" customFormat="1" x14ac:dyDescent="0.25"/>
    <row r="189634" s="12" customFormat="1" x14ac:dyDescent="0.25"/>
    <row r="189635" s="12" customFormat="1" x14ac:dyDescent="0.25"/>
    <row r="189636" s="12" customFormat="1" x14ac:dyDescent="0.25"/>
    <row r="189637" s="12" customFormat="1" x14ac:dyDescent="0.25"/>
    <row r="189638" s="12" customFormat="1" x14ac:dyDescent="0.25"/>
    <row r="189639" s="12" customFormat="1" x14ac:dyDescent="0.25"/>
    <row r="189640" s="12" customFormat="1" x14ac:dyDescent="0.25"/>
    <row r="189641" s="12" customFormat="1" x14ac:dyDescent="0.25"/>
    <row r="189642" s="12" customFormat="1" x14ac:dyDescent="0.25"/>
    <row r="189643" s="12" customFormat="1" x14ac:dyDescent="0.25"/>
    <row r="189644" s="12" customFormat="1" x14ac:dyDescent="0.25"/>
    <row r="189645" s="12" customFormat="1" x14ac:dyDescent="0.25"/>
    <row r="189646" s="12" customFormat="1" x14ac:dyDescent="0.25"/>
    <row r="189647" s="12" customFormat="1" x14ac:dyDescent="0.25"/>
    <row r="189648" s="12" customFormat="1" x14ac:dyDescent="0.25"/>
    <row r="189649" s="12" customFormat="1" x14ac:dyDescent="0.25"/>
    <row r="189650" s="12" customFormat="1" x14ac:dyDescent="0.25"/>
    <row r="189651" s="12" customFormat="1" x14ac:dyDescent="0.25"/>
    <row r="189652" s="12" customFormat="1" x14ac:dyDescent="0.25"/>
    <row r="189653" s="12" customFormat="1" x14ac:dyDescent="0.25"/>
    <row r="189654" s="12" customFormat="1" x14ac:dyDescent="0.25"/>
    <row r="189655" s="12" customFormat="1" x14ac:dyDescent="0.25"/>
    <row r="189656" s="12" customFormat="1" x14ac:dyDescent="0.25"/>
    <row r="189657" s="12" customFormat="1" x14ac:dyDescent="0.25"/>
    <row r="189658" s="12" customFormat="1" x14ac:dyDescent="0.25"/>
    <row r="189659" s="12" customFormat="1" x14ac:dyDescent="0.25"/>
    <row r="189660" s="12" customFormat="1" x14ac:dyDescent="0.25"/>
    <row r="189661" s="12" customFormat="1" x14ac:dyDescent="0.25"/>
    <row r="189662" s="12" customFormat="1" x14ac:dyDescent="0.25"/>
    <row r="189663" s="12" customFormat="1" x14ac:dyDescent="0.25"/>
    <row r="189664" s="12" customFormat="1" x14ac:dyDescent="0.25"/>
    <row r="189665" s="12" customFormat="1" x14ac:dyDescent="0.25"/>
    <row r="189666" s="12" customFormat="1" x14ac:dyDescent="0.25"/>
    <row r="189667" s="12" customFormat="1" x14ac:dyDescent="0.25"/>
    <row r="189668" s="12" customFormat="1" x14ac:dyDescent="0.25"/>
    <row r="189669" s="12" customFormat="1" x14ac:dyDescent="0.25"/>
    <row r="189670" s="12" customFormat="1" x14ac:dyDescent="0.25"/>
    <row r="189671" s="12" customFormat="1" x14ac:dyDescent="0.25"/>
    <row r="189672" s="12" customFormat="1" x14ac:dyDescent="0.25"/>
    <row r="189673" s="12" customFormat="1" x14ac:dyDescent="0.25"/>
    <row r="189674" s="12" customFormat="1" x14ac:dyDescent="0.25"/>
    <row r="189675" s="12" customFormat="1" x14ac:dyDescent="0.25"/>
    <row r="189676" s="12" customFormat="1" x14ac:dyDescent="0.25"/>
    <row r="189677" s="12" customFormat="1" x14ac:dyDescent="0.25"/>
    <row r="189678" s="12" customFormat="1" x14ac:dyDescent="0.25"/>
    <row r="189679" s="12" customFormat="1" x14ac:dyDescent="0.25"/>
    <row r="189680" s="12" customFormat="1" x14ac:dyDescent="0.25"/>
    <row r="189681" s="12" customFormat="1" x14ac:dyDescent="0.25"/>
    <row r="189682" s="12" customFormat="1" x14ac:dyDescent="0.25"/>
    <row r="189683" s="12" customFormat="1" x14ac:dyDescent="0.25"/>
    <row r="189684" s="12" customFormat="1" x14ac:dyDescent="0.25"/>
    <row r="189685" s="12" customFormat="1" x14ac:dyDescent="0.25"/>
    <row r="189686" s="12" customFormat="1" x14ac:dyDescent="0.25"/>
    <row r="189687" s="12" customFormat="1" x14ac:dyDescent="0.25"/>
    <row r="189688" s="12" customFormat="1" x14ac:dyDescent="0.25"/>
    <row r="189689" s="12" customFormat="1" x14ac:dyDescent="0.25"/>
    <row r="189690" s="12" customFormat="1" x14ac:dyDescent="0.25"/>
    <row r="189691" s="12" customFormat="1" x14ac:dyDescent="0.25"/>
    <row r="189692" s="12" customFormat="1" x14ac:dyDescent="0.25"/>
    <row r="189693" s="12" customFormat="1" x14ac:dyDescent="0.25"/>
    <row r="189694" s="12" customFormat="1" x14ac:dyDescent="0.25"/>
    <row r="189695" s="12" customFormat="1" x14ac:dyDescent="0.25"/>
    <row r="189696" s="12" customFormat="1" x14ac:dyDescent="0.25"/>
    <row r="189697" s="12" customFormat="1" x14ac:dyDescent="0.25"/>
    <row r="189698" s="12" customFormat="1" x14ac:dyDescent="0.25"/>
    <row r="189699" s="12" customFormat="1" x14ac:dyDescent="0.25"/>
    <row r="189700" s="12" customFormat="1" x14ac:dyDescent="0.25"/>
    <row r="189701" s="12" customFormat="1" x14ac:dyDescent="0.25"/>
    <row r="189702" s="12" customFormat="1" x14ac:dyDescent="0.25"/>
    <row r="189703" s="12" customFormat="1" x14ac:dyDescent="0.25"/>
    <row r="189704" s="12" customFormat="1" x14ac:dyDescent="0.25"/>
    <row r="189705" s="12" customFormat="1" x14ac:dyDescent="0.25"/>
    <row r="189706" s="12" customFormat="1" x14ac:dyDescent="0.25"/>
    <row r="189707" s="12" customFormat="1" x14ac:dyDescent="0.25"/>
    <row r="189708" s="12" customFormat="1" x14ac:dyDescent="0.25"/>
    <row r="189709" s="12" customFormat="1" x14ac:dyDescent="0.25"/>
    <row r="189710" s="12" customFormat="1" x14ac:dyDescent="0.25"/>
    <row r="189711" s="12" customFormat="1" x14ac:dyDescent="0.25"/>
    <row r="189712" s="12" customFormat="1" x14ac:dyDescent="0.25"/>
    <row r="189713" s="12" customFormat="1" x14ac:dyDescent="0.25"/>
    <row r="189714" s="12" customFormat="1" x14ac:dyDescent="0.25"/>
    <row r="189715" s="12" customFormat="1" x14ac:dyDescent="0.25"/>
    <row r="189716" s="12" customFormat="1" x14ac:dyDescent="0.25"/>
    <row r="189717" s="12" customFormat="1" x14ac:dyDescent="0.25"/>
    <row r="189718" s="12" customFormat="1" x14ac:dyDescent="0.25"/>
    <row r="189719" s="12" customFormat="1" x14ac:dyDescent="0.25"/>
    <row r="189720" s="12" customFormat="1" x14ac:dyDescent="0.25"/>
    <row r="189721" s="12" customFormat="1" x14ac:dyDescent="0.25"/>
    <row r="189722" s="12" customFormat="1" x14ac:dyDescent="0.25"/>
    <row r="189723" s="12" customFormat="1" x14ac:dyDescent="0.25"/>
    <row r="189724" s="12" customFormat="1" x14ac:dyDescent="0.25"/>
    <row r="189725" s="12" customFormat="1" x14ac:dyDescent="0.25"/>
    <row r="189726" s="12" customFormat="1" x14ac:dyDescent="0.25"/>
    <row r="189727" s="12" customFormat="1" x14ac:dyDescent="0.25"/>
    <row r="189728" s="12" customFormat="1" x14ac:dyDescent="0.25"/>
    <row r="189729" s="12" customFormat="1" x14ac:dyDescent="0.25"/>
    <row r="189730" s="12" customFormat="1" x14ac:dyDescent="0.25"/>
    <row r="189731" s="12" customFormat="1" x14ac:dyDescent="0.25"/>
    <row r="189732" s="12" customFormat="1" x14ac:dyDescent="0.25"/>
    <row r="189733" s="12" customFormat="1" x14ac:dyDescent="0.25"/>
    <row r="189734" s="12" customFormat="1" x14ac:dyDescent="0.25"/>
    <row r="189735" s="12" customFormat="1" x14ac:dyDescent="0.25"/>
    <row r="189736" s="12" customFormat="1" x14ac:dyDescent="0.25"/>
    <row r="189737" s="12" customFormat="1" x14ac:dyDescent="0.25"/>
    <row r="189738" s="12" customFormat="1" x14ac:dyDescent="0.25"/>
    <row r="189739" s="12" customFormat="1" x14ac:dyDescent="0.25"/>
    <row r="189740" s="12" customFormat="1" x14ac:dyDescent="0.25"/>
    <row r="189741" s="12" customFormat="1" x14ac:dyDescent="0.25"/>
    <row r="189742" s="12" customFormat="1" x14ac:dyDescent="0.25"/>
    <row r="189743" s="12" customFormat="1" x14ac:dyDescent="0.25"/>
    <row r="189744" s="12" customFormat="1" x14ac:dyDescent="0.25"/>
    <row r="189745" s="12" customFormat="1" x14ac:dyDescent="0.25"/>
    <row r="189746" s="12" customFormat="1" x14ac:dyDescent="0.25"/>
    <row r="189747" s="12" customFormat="1" x14ac:dyDescent="0.25"/>
    <row r="189748" s="12" customFormat="1" x14ac:dyDescent="0.25"/>
    <row r="189749" s="12" customFormat="1" x14ac:dyDescent="0.25"/>
    <row r="189750" s="12" customFormat="1" x14ac:dyDescent="0.25"/>
    <row r="189751" s="12" customFormat="1" x14ac:dyDescent="0.25"/>
    <row r="189752" s="12" customFormat="1" x14ac:dyDescent="0.25"/>
    <row r="189753" s="12" customFormat="1" x14ac:dyDescent="0.25"/>
    <row r="189754" s="12" customFormat="1" x14ac:dyDescent="0.25"/>
    <row r="189755" s="12" customFormat="1" x14ac:dyDescent="0.25"/>
    <row r="189756" s="12" customFormat="1" x14ac:dyDescent="0.25"/>
    <row r="189757" s="12" customFormat="1" x14ac:dyDescent="0.25"/>
    <row r="189758" s="12" customFormat="1" x14ac:dyDescent="0.25"/>
    <row r="189759" s="12" customFormat="1" x14ac:dyDescent="0.25"/>
    <row r="189760" s="12" customFormat="1" x14ac:dyDescent="0.25"/>
    <row r="189761" s="12" customFormat="1" x14ac:dyDescent="0.25"/>
    <row r="189762" s="12" customFormat="1" x14ac:dyDescent="0.25"/>
    <row r="189763" s="12" customFormat="1" x14ac:dyDescent="0.25"/>
    <row r="189764" s="12" customFormat="1" x14ac:dyDescent="0.25"/>
    <row r="189765" s="12" customFormat="1" x14ac:dyDescent="0.25"/>
    <row r="189766" s="12" customFormat="1" x14ac:dyDescent="0.25"/>
    <row r="189767" s="12" customFormat="1" x14ac:dyDescent="0.25"/>
    <row r="189768" s="12" customFormat="1" x14ac:dyDescent="0.25"/>
    <row r="189769" s="12" customFormat="1" x14ac:dyDescent="0.25"/>
    <row r="189770" s="12" customFormat="1" x14ac:dyDescent="0.25"/>
    <row r="189771" s="12" customFormat="1" x14ac:dyDescent="0.25"/>
    <row r="189772" s="12" customFormat="1" x14ac:dyDescent="0.25"/>
    <row r="189773" s="12" customFormat="1" x14ac:dyDescent="0.25"/>
    <row r="189774" s="12" customFormat="1" x14ac:dyDescent="0.25"/>
    <row r="189775" s="12" customFormat="1" x14ac:dyDescent="0.25"/>
    <row r="189776" s="12" customFormat="1" x14ac:dyDescent="0.25"/>
    <row r="189777" s="12" customFormat="1" x14ac:dyDescent="0.25"/>
    <row r="189778" s="12" customFormat="1" x14ac:dyDescent="0.25"/>
    <row r="189779" s="12" customFormat="1" x14ac:dyDescent="0.25"/>
    <row r="189780" s="12" customFormat="1" x14ac:dyDescent="0.25"/>
    <row r="189781" s="12" customFormat="1" x14ac:dyDescent="0.25"/>
    <row r="189782" s="12" customFormat="1" x14ac:dyDescent="0.25"/>
    <row r="189783" s="12" customFormat="1" x14ac:dyDescent="0.25"/>
    <row r="189784" s="12" customFormat="1" x14ac:dyDescent="0.25"/>
    <row r="189785" s="12" customFormat="1" x14ac:dyDescent="0.25"/>
    <row r="189786" s="12" customFormat="1" x14ac:dyDescent="0.25"/>
    <row r="189787" s="12" customFormat="1" x14ac:dyDescent="0.25"/>
    <row r="189788" s="12" customFormat="1" x14ac:dyDescent="0.25"/>
    <row r="189789" s="12" customFormat="1" x14ac:dyDescent="0.25"/>
    <row r="189790" s="12" customFormat="1" x14ac:dyDescent="0.25"/>
    <row r="189791" s="12" customFormat="1" x14ac:dyDescent="0.25"/>
    <row r="189792" s="12" customFormat="1" x14ac:dyDescent="0.25"/>
    <row r="189793" s="12" customFormat="1" x14ac:dyDescent="0.25"/>
    <row r="189794" s="12" customFormat="1" x14ac:dyDescent="0.25"/>
    <row r="189795" s="12" customFormat="1" x14ac:dyDescent="0.25"/>
    <row r="189796" s="12" customFormat="1" x14ac:dyDescent="0.25"/>
    <row r="189797" s="12" customFormat="1" x14ac:dyDescent="0.25"/>
    <row r="189798" s="12" customFormat="1" x14ac:dyDescent="0.25"/>
    <row r="189799" s="12" customFormat="1" x14ac:dyDescent="0.25"/>
    <row r="189800" s="12" customFormat="1" x14ac:dyDescent="0.25"/>
    <row r="189801" s="12" customFormat="1" x14ac:dyDescent="0.25"/>
    <row r="189802" s="12" customFormat="1" x14ac:dyDescent="0.25"/>
    <row r="189803" s="12" customFormat="1" x14ac:dyDescent="0.25"/>
    <row r="189804" s="12" customFormat="1" x14ac:dyDescent="0.25"/>
    <row r="189805" s="12" customFormat="1" x14ac:dyDescent="0.25"/>
    <row r="189806" s="12" customFormat="1" x14ac:dyDescent="0.25"/>
    <row r="189807" s="12" customFormat="1" x14ac:dyDescent="0.25"/>
    <row r="189808" s="12" customFormat="1" x14ac:dyDescent="0.25"/>
    <row r="189809" s="12" customFormat="1" x14ac:dyDescent="0.25"/>
    <row r="189810" s="12" customFormat="1" x14ac:dyDescent="0.25"/>
    <row r="189811" s="12" customFormat="1" x14ac:dyDescent="0.25"/>
    <row r="189812" s="12" customFormat="1" x14ac:dyDescent="0.25"/>
    <row r="189813" s="12" customFormat="1" x14ac:dyDescent="0.25"/>
    <row r="189814" s="12" customFormat="1" x14ac:dyDescent="0.25"/>
    <row r="189815" s="12" customFormat="1" x14ac:dyDescent="0.25"/>
    <row r="189816" s="12" customFormat="1" x14ac:dyDescent="0.25"/>
    <row r="189817" s="12" customFormat="1" x14ac:dyDescent="0.25"/>
    <row r="189818" s="12" customFormat="1" x14ac:dyDescent="0.25"/>
    <row r="189819" s="12" customFormat="1" x14ac:dyDescent="0.25"/>
    <row r="189820" s="12" customFormat="1" x14ac:dyDescent="0.25"/>
    <row r="189821" s="12" customFormat="1" x14ac:dyDescent="0.25"/>
    <row r="189822" s="12" customFormat="1" x14ac:dyDescent="0.25"/>
    <row r="189823" s="12" customFormat="1" x14ac:dyDescent="0.25"/>
    <row r="189824" s="12" customFormat="1" x14ac:dyDescent="0.25"/>
    <row r="189825" s="12" customFormat="1" x14ac:dyDescent="0.25"/>
    <row r="189826" s="12" customFormat="1" x14ac:dyDescent="0.25"/>
    <row r="189827" s="12" customFormat="1" x14ac:dyDescent="0.25"/>
    <row r="189828" s="12" customFormat="1" x14ac:dyDescent="0.25"/>
    <row r="189829" s="12" customFormat="1" x14ac:dyDescent="0.25"/>
    <row r="189830" s="12" customFormat="1" x14ac:dyDescent="0.25"/>
    <row r="189831" s="12" customFormat="1" x14ac:dyDescent="0.25"/>
    <row r="189832" s="12" customFormat="1" x14ac:dyDescent="0.25"/>
    <row r="189833" s="12" customFormat="1" x14ac:dyDescent="0.25"/>
    <row r="189834" s="12" customFormat="1" x14ac:dyDescent="0.25"/>
    <row r="189835" s="12" customFormat="1" x14ac:dyDescent="0.25"/>
    <row r="189836" s="12" customFormat="1" x14ac:dyDescent="0.25"/>
    <row r="189837" s="12" customFormat="1" x14ac:dyDescent="0.25"/>
    <row r="189838" s="12" customFormat="1" x14ac:dyDescent="0.25"/>
    <row r="189839" s="12" customFormat="1" x14ac:dyDescent="0.25"/>
    <row r="189840" s="12" customFormat="1" x14ac:dyDescent="0.25"/>
    <row r="189841" s="12" customFormat="1" x14ac:dyDescent="0.25"/>
    <row r="189842" s="12" customFormat="1" x14ac:dyDescent="0.25"/>
    <row r="189843" s="12" customFormat="1" x14ac:dyDescent="0.25"/>
    <row r="189844" s="12" customFormat="1" x14ac:dyDescent="0.25"/>
    <row r="189845" s="12" customFormat="1" x14ac:dyDescent="0.25"/>
    <row r="189846" s="12" customFormat="1" x14ac:dyDescent="0.25"/>
    <row r="189847" s="12" customFormat="1" x14ac:dyDescent="0.25"/>
    <row r="189848" s="12" customFormat="1" x14ac:dyDescent="0.25"/>
    <row r="189849" s="12" customFormat="1" x14ac:dyDescent="0.25"/>
    <row r="189850" s="12" customFormat="1" x14ac:dyDescent="0.25"/>
    <row r="189851" s="12" customFormat="1" x14ac:dyDescent="0.25"/>
    <row r="189852" s="12" customFormat="1" x14ac:dyDescent="0.25"/>
    <row r="189853" s="12" customFormat="1" x14ac:dyDescent="0.25"/>
    <row r="189854" s="12" customFormat="1" x14ac:dyDescent="0.25"/>
    <row r="189855" s="12" customFormat="1" x14ac:dyDescent="0.25"/>
    <row r="189856" s="12" customFormat="1" x14ac:dyDescent="0.25"/>
    <row r="189857" s="12" customFormat="1" x14ac:dyDescent="0.25"/>
    <row r="189858" s="12" customFormat="1" x14ac:dyDescent="0.25"/>
    <row r="189859" s="12" customFormat="1" x14ac:dyDescent="0.25"/>
    <row r="189860" s="12" customFormat="1" x14ac:dyDescent="0.25"/>
    <row r="189861" s="12" customFormat="1" x14ac:dyDescent="0.25"/>
    <row r="189862" s="12" customFormat="1" x14ac:dyDescent="0.25"/>
    <row r="189863" s="12" customFormat="1" x14ac:dyDescent="0.25"/>
    <row r="189864" s="12" customFormat="1" x14ac:dyDescent="0.25"/>
    <row r="189865" s="12" customFormat="1" x14ac:dyDescent="0.25"/>
    <row r="189866" s="12" customFormat="1" x14ac:dyDescent="0.25"/>
    <row r="189867" s="12" customFormat="1" x14ac:dyDescent="0.25"/>
    <row r="189868" s="12" customFormat="1" x14ac:dyDescent="0.25"/>
    <row r="189869" s="12" customFormat="1" x14ac:dyDescent="0.25"/>
    <row r="189870" s="12" customFormat="1" x14ac:dyDescent="0.25"/>
    <row r="189871" s="12" customFormat="1" x14ac:dyDescent="0.25"/>
    <row r="189872" s="12" customFormat="1" x14ac:dyDescent="0.25"/>
    <row r="189873" s="12" customFormat="1" x14ac:dyDescent="0.25"/>
    <row r="189874" s="12" customFormat="1" x14ac:dyDescent="0.25"/>
    <row r="189875" s="12" customFormat="1" x14ac:dyDescent="0.25"/>
    <row r="189876" s="12" customFormat="1" x14ac:dyDescent="0.25"/>
    <row r="189877" s="12" customFormat="1" x14ac:dyDescent="0.25"/>
    <row r="189878" s="12" customFormat="1" x14ac:dyDescent="0.25"/>
    <row r="189879" s="12" customFormat="1" x14ac:dyDescent="0.25"/>
    <row r="189880" s="12" customFormat="1" x14ac:dyDescent="0.25"/>
    <row r="189881" s="12" customFormat="1" x14ac:dyDescent="0.25"/>
    <row r="189882" s="12" customFormat="1" x14ac:dyDescent="0.25"/>
    <row r="189883" s="12" customFormat="1" x14ac:dyDescent="0.25"/>
    <row r="189884" s="12" customFormat="1" x14ac:dyDescent="0.25"/>
    <row r="189885" s="12" customFormat="1" x14ac:dyDescent="0.25"/>
    <row r="189886" s="12" customFormat="1" x14ac:dyDescent="0.25"/>
    <row r="189887" s="12" customFormat="1" x14ac:dyDescent="0.25"/>
    <row r="189888" s="12" customFormat="1" x14ac:dyDescent="0.25"/>
    <row r="189889" s="12" customFormat="1" x14ac:dyDescent="0.25"/>
    <row r="189890" s="12" customFormat="1" x14ac:dyDescent="0.25"/>
    <row r="189891" s="12" customFormat="1" x14ac:dyDescent="0.25"/>
    <row r="189892" s="12" customFormat="1" x14ac:dyDescent="0.25"/>
    <row r="189893" s="12" customFormat="1" x14ac:dyDescent="0.25"/>
    <row r="189894" s="12" customFormat="1" x14ac:dyDescent="0.25"/>
    <row r="189895" s="12" customFormat="1" x14ac:dyDescent="0.25"/>
    <row r="189896" s="12" customFormat="1" x14ac:dyDescent="0.25"/>
    <row r="189897" s="12" customFormat="1" x14ac:dyDescent="0.25"/>
    <row r="189898" s="12" customFormat="1" x14ac:dyDescent="0.25"/>
    <row r="189899" s="12" customFormat="1" x14ac:dyDescent="0.25"/>
    <row r="189900" s="12" customFormat="1" x14ac:dyDescent="0.25"/>
    <row r="189901" s="12" customFormat="1" x14ac:dyDescent="0.25"/>
    <row r="189902" s="12" customFormat="1" x14ac:dyDescent="0.25"/>
    <row r="189903" s="12" customFormat="1" x14ac:dyDescent="0.25"/>
    <row r="189904" s="12" customFormat="1" x14ac:dyDescent="0.25"/>
    <row r="189905" s="12" customFormat="1" x14ac:dyDescent="0.25"/>
    <row r="189906" s="12" customFormat="1" x14ac:dyDescent="0.25"/>
    <row r="189907" s="12" customFormat="1" x14ac:dyDescent="0.25"/>
    <row r="189908" s="12" customFormat="1" x14ac:dyDescent="0.25"/>
    <row r="189909" s="12" customFormat="1" x14ac:dyDescent="0.25"/>
    <row r="189910" s="12" customFormat="1" x14ac:dyDescent="0.25"/>
    <row r="189911" s="12" customFormat="1" x14ac:dyDescent="0.25"/>
    <row r="189912" s="12" customFormat="1" x14ac:dyDescent="0.25"/>
    <row r="189913" s="12" customFormat="1" x14ac:dyDescent="0.25"/>
    <row r="189914" s="12" customFormat="1" x14ac:dyDescent="0.25"/>
    <row r="189915" s="12" customFormat="1" x14ac:dyDescent="0.25"/>
    <row r="189916" s="12" customFormat="1" x14ac:dyDescent="0.25"/>
    <row r="189917" s="12" customFormat="1" x14ac:dyDescent="0.25"/>
    <row r="189918" s="12" customFormat="1" x14ac:dyDescent="0.25"/>
    <row r="189919" s="12" customFormat="1" x14ac:dyDescent="0.25"/>
    <row r="189920" s="12" customFormat="1" x14ac:dyDescent="0.25"/>
    <row r="189921" s="12" customFormat="1" x14ac:dyDescent="0.25"/>
    <row r="189922" s="12" customFormat="1" x14ac:dyDescent="0.25"/>
    <row r="189923" s="12" customFormat="1" x14ac:dyDescent="0.25"/>
    <row r="189924" s="12" customFormat="1" x14ac:dyDescent="0.25"/>
    <row r="189925" s="12" customFormat="1" x14ac:dyDescent="0.25"/>
    <row r="189926" s="12" customFormat="1" x14ac:dyDescent="0.25"/>
    <row r="189927" s="12" customFormat="1" x14ac:dyDescent="0.25"/>
    <row r="189928" s="12" customFormat="1" x14ac:dyDescent="0.25"/>
    <row r="189929" s="12" customFormat="1" x14ac:dyDescent="0.25"/>
    <row r="189930" s="12" customFormat="1" x14ac:dyDescent="0.25"/>
    <row r="189931" s="12" customFormat="1" x14ac:dyDescent="0.25"/>
    <row r="189932" s="12" customFormat="1" x14ac:dyDescent="0.25"/>
    <row r="189933" s="12" customFormat="1" x14ac:dyDescent="0.25"/>
    <row r="189934" s="12" customFormat="1" x14ac:dyDescent="0.25"/>
    <row r="189935" s="12" customFormat="1" x14ac:dyDescent="0.25"/>
    <row r="189936" s="12" customFormat="1" x14ac:dyDescent="0.25"/>
    <row r="189937" s="12" customFormat="1" x14ac:dyDescent="0.25"/>
    <row r="189938" s="12" customFormat="1" x14ac:dyDescent="0.25"/>
    <row r="189939" s="12" customFormat="1" x14ac:dyDescent="0.25"/>
    <row r="189940" s="12" customFormat="1" x14ac:dyDescent="0.25"/>
    <row r="189941" s="12" customFormat="1" x14ac:dyDescent="0.25"/>
    <row r="189942" s="12" customFormat="1" x14ac:dyDescent="0.25"/>
    <row r="189943" s="12" customFormat="1" x14ac:dyDescent="0.25"/>
    <row r="189944" s="12" customFormat="1" x14ac:dyDescent="0.25"/>
    <row r="189945" s="12" customFormat="1" x14ac:dyDescent="0.25"/>
    <row r="189946" s="12" customFormat="1" x14ac:dyDescent="0.25"/>
    <row r="189947" s="12" customFormat="1" x14ac:dyDescent="0.25"/>
    <row r="189948" s="12" customFormat="1" x14ac:dyDescent="0.25"/>
    <row r="189949" s="12" customFormat="1" x14ac:dyDescent="0.25"/>
    <row r="189950" s="12" customFormat="1" x14ac:dyDescent="0.25"/>
    <row r="189951" s="12" customFormat="1" x14ac:dyDescent="0.25"/>
    <row r="189952" s="12" customFormat="1" x14ac:dyDescent="0.25"/>
    <row r="189953" s="12" customFormat="1" x14ac:dyDescent="0.25"/>
    <row r="189954" s="12" customFormat="1" x14ac:dyDescent="0.25"/>
    <row r="189955" s="12" customFormat="1" x14ac:dyDescent="0.25"/>
    <row r="189956" s="12" customFormat="1" x14ac:dyDescent="0.25"/>
    <row r="189957" s="12" customFormat="1" x14ac:dyDescent="0.25"/>
    <row r="189958" s="12" customFormat="1" x14ac:dyDescent="0.25"/>
    <row r="189959" s="12" customFormat="1" x14ac:dyDescent="0.25"/>
    <row r="189960" s="12" customFormat="1" x14ac:dyDescent="0.25"/>
    <row r="189961" s="12" customFormat="1" x14ac:dyDescent="0.25"/>
    <row r="189962" s="12" customFormat="1" x14ac:dyDescent="0.25"/>
    <row r="189963" s="12" customFormat="1" x14ac:dyDescent="0.25"/>
    <row r="189964" s="12" customFormat="1" x14ac:dyDescent="0.25"/>
    <row r="189965" s="12" customFormat="1" x14ac:dyDescent="0.25"/>
    <row r="189966" s="12" customFormat="1" x14ac:dyDescent="0.25"/>
    <row r="189967" s="12" customFormat="1" x14ac:dyDescent="0.25"/>
    <row r="189968" s="12" customFormat="1" x14ac:dyDescent="0.25"/>
    <row r="189969" s="12" customFormat="1" x14ac:dyDescent="0.25"/>
    <row r="189970" s="12" customFormat="1" x14ac:dyDescent="0.25"/>
    <row r="189971" s="12" customFormat="1" x14ac:dyDescent="0.25"/>
    <row r="189972" s="12" customFormat="1" x14ac:dyDescent="0.25"/>
    <row r="189973" s="12" customFormat="1" x14ac:dyDescent="0.25"/>
    <row r="189974" s="12" customFormat="1" x14ac:dyDescent="0.25"/>
    <row r="189975" s="12" customFormat="1" x14ac:dyDescent="0.25"/>
    <row r="189976" s="12" customFormat="1" x14ac:dyDescent="0.25"/>
    <row r="189977" s="12" customFormat="1" x14ac:dyDescent="0.25"/>
    <row r="189978" s="12" customFormat="1" x14ac:dyDescent="0.25"/>
    <row r="189979" s="12" customFormat="1" x14ac:dyDescent="0.25"/>
    <row r="189980" s="12" customFormat="1" x14ac:dyDescent="0.25"/>
    <row r="189981" s="12" customFormat="1" x14ac:dyDescent="0.25"/>
    <row r="189982" s="12" customFormat="1" x14ac:dyDescent="0.25"/>
    <row r="189983" s="12" customFormat="1" x14ac:dyDescent="0.25"/>
    <row r="189984" s="12" customFormat="1" x14ac:dyDescent="0.25"/>
    <row r="189985" s="12" customFormat="1" x14ac:dyDescent="0.25"/>
    <row r="189986" s="12" customFormat="1" x14ac:dyDescent="0.25"/>
    <row r="189987" s="12" customFormat="1" x14ac:dyDescent="0.25"/>
    <row r="189988" s="12" customFormat="1" x14ac:dyDescent="0.25"/>
    <row r="189989" s="12" customFormat="1" x14ac:dyDescent="0.25"/>
    <row r="189990" s="12" customFormat="1" x14ac:dyDescent="0.25"/>
    <row r="189991" s="12" customFormat="1" x14ac:dyDescent="0.25"/>
    <row r="189992" s="12" customFormat="1" x14ac:dyDescent="0.25"/>
    <row r="189993" s="12" customFormat="1" x14ac:dyDescent="0.25"/>
    <row r="189994" s="12" customFormat="1" x14ac:dyDescent="0.25"/>
    <row r="189995" s="12" customFormat="1" x14ac:dyDescent="0.25"/>
    <row r="189996" s="12" customFormat="1" x14ac:dyDescent="0.25"/>
    <row r="189997" s="12" customFormat="1" x14ac:dyDescent="0.25"/>
    <row r="189998" s="12" customFormat="1" x14ac:dyDescent="0.25"/>
    <row r="189999" s="12" customFormat="1" x14ac:dyDescent="0.25"/>
    <row r="190000" s="12" customFormat="1" x14ac:dyDescent="0.25"/>
    <row r="190001" s="12" customFormat="1" x14ac:dyDescent="0.25"/>
    <row r="190002" s="12" customFormat="1" x14ac:dyDescent="0.25"/>
    <row r="190003" s="12" customFormat="1" x14ac:dyDescent="0.25"/>
    <row r="190004" s="12" customFormat="1" x14ac:dyDescent="0.25"/>
    <row r="190005" s="12" customFormat="1" x14ac:dyDescent="0.25"/>
    <row r="190006" s="12" customFormat="1" x14ac:dyDescent="0.25"/>
    <row r="190007" s="12" customFormat="1" x14ac:dyDescent="0.25"/>
    <row r="190008" s="12" customFormat="1" x14ac:dyDescent="0.25"/>
    <row r="190009" s="12" customFormat="1" x14ac:dyDescent="0.25"/>
    <row r="190010" s="12" customFormat="1" x14ac:dyDescent="0.25"/>
    <row r="190011" s="12" customFormat="1" x14ac:dyDescent="0.25"/>
    <row r="190012" s="12" customFormat="1" x14ac:dyDescent="0.25"/>
    <row r="190013" s="12" customFormat="1" x14ac:dyDescent="0.25"/>
    <row r="190014" s="12" customFormat="1" x14ac:dyDescent="0.25"/>
    <row r="190015" s="12" customFormat="1" x14ac:dyDescent="0.25"/>
    <row r="190016" s="12" customFormat="1" x14ac:dyDescent="0.25"/>
    <row r="190017" s="12" customFormat="1" x14ac:dyDescent="0.25"/>
    <row r="190018" s="12" customFormat="1" x14ac:dyDescent="0.25"/>
    <row r="190019" s="12" customFormat="1" x14ac:dyDescent="0.25"/>
    <row r="190020" s="12" customFormat="1" x14ac:dyDescent="0.25"/>
    <row r="190021" s="12" customFormat="1" x14ac:dyDescent="0.25"/>
    <row r="190022" s="12" customFormat="1" x14ac:dyDescent="0.25"/>
    <row r="190023" s="12" customFormat="1" x14ac:dyDescent="0.25"/>
    <row r="190024" s="12" customFormat="1" x14ac:dyDescent="0.25"/>
    <row r="190025" s="12" customFormat="1" x14ac:dyDescent="0.25"/>
    <row r="190026" s="12" customFormat="1" x14ac:dyDescent="0.25"/>
    <row r="190027" s="12" customFormat="1" x14ac:dyDescent="0.25"/>
    <row r="190028" s="12" customFormat="1" x14ac:dyDescent="0.25"/>
    <row r="190029" s="12" customFormat="1" x14ac:dyDescent="0.25"/>
    <row r="190030" s="12" customFormat="1" x14ac:dyDescent="0.25"/>
    <row r="190031" s="12" customFormat="1" x14ac:dyDescent="0.25"/>
    <row r="190032" s="12" customFormat="1" x14ac:dyDescent="0.25"/>
    <row r="190033" s="12" customFormat="1" x14ac:dyDescent="0.25"/>
    <row r="190034" s="12" customFormat="1" x14ac:dyDescent="0.25"/>
    <row r="190035" s="12" customFormat="1" x14ac:dyDescent="0.25"/>
    <row r="190036" s="12" customFormat="1" x14ac:dyDescent="0.25"/>
    <row r="190037" s="12" customFormat="1" x14ac:dyDescent="0.25"/>
    <row r="190038" s="12" customFormat="1" x14ac:dyDescent="0.25"/>
    <row r="190039" s="12" customFormat="1" x14ac:dyDescent="0.25"/>
    <row r="190040" s="12" customFormat="1" x14ac:dyDescent="0.25"/>
    <row r="190041" s="12" customFormat="1" x14ac:dyDescent="0.25"/>
    <row r="190042" s="12" customFormat="1" x14ac:dyDescent="0.25"/>
    <row r="190043" s="12" customFormat="1" x14ac:dyDescent="0.25"/>
    <row r="190044" s="12" customFormat="1" x14ac:dyDescent="0.25"/>
    <row r="190045" s="12" customFormat="1" x14ac:dyDescent="0.25"/>
    <row r="190046" s="12" customFormat="1" x14ac:dyDescent="0.25"/>
    <row r="190047" s="12" customFormat="1" x14ac:dyDescent="0.25"/>
    <row r="190048" s="12" customFormat="1" x14ac:dyDescent="0.25"/>
    <row r="190049" s="12" customFormat="1" x14ac:dyDescent="0.25"/>
    <row r="190050" s="12" customFormat="1" x14ac:dyDescent="0.25"/>
    <row r="190051" s="12" customFormat="1" x14ac:dyDescent="0.25"/>
    <row r="190052" s="12" customFormat="1" x14ac:dyDescent="0.25"/>
    <row r="190053" s="12" customFormat="1" x14ac:dyDescent="0.25"/>
    <row r="190054" s="12" customFormat="1" x14ac:dyDescent="0.25"/>
    <row r="190055" s="12" customFormat="1" x14ac:dyDescent="0.25"/>
    <row r="190056" s="12" customFormat="1" x14ac:dyDescent="0.25"/>
    <row r="190057" s="12" customFormat="1" x14ac:dyDescent="0.25"/>
    <row r="190058" s="12" customFormat="1" x14ac:dyDescent="0.25"/>
    <row r="190059" s="12" customFormat="1" x14ac:dyDescent="0.25"/>
    <row r="190060" s="12" customFormat="1" x14ac:dyDescent="0.25"/>
    <row r="190061" s="12" customFormat="1" x14ac:dyDescent="0.25"/>
    <row r="190062" s="12" customFormat="1" x14ac:dyDescent="0.25"/>
    <row r="190063" s="12" customFormat="1" x14ac:dyDescent="0.25"/>
    <row r="190064" s="12" customFormat="1" x14ac:dyDescent="0.25"/>
    <row r="190065" s="12" customFormat="1" x14ac:dyDescent="0.25"/>
    <row r="190066" s="12" customFormat="1" x14ac:dyDescent="0.25"/>
    <row r="190067" s="12" customFormat="1" x14ac:dyDescent="0.25"/>
    <row r="190068" s="12" customFormat="1" x14ac:dyDescent="0.25"/>
    <row r="190069" s="12" customFormat="1" x14ac:dyDescent="0.25"/>
    <row r="190070" s="12" customFormat="1" x14ac:dyDescent="0.25"/>
    <row r="190071" s="12" customFormat="1" x14ac:dyDescent="0.25"/>
    <row r="190072" s="12" customFormat="1" x14ac:dyDescent="0.25"/>
    <row r="190073" s="12" customFormat="1" x14ac:dyDescent="0.25"/>
    <row r="190074" s="12" customFormat="1" x14ac:dyDescent="0.25"/>
    <row r="190075" s="12" customFormat="1" x14ac:dyDescent="0.25"/>
    <row r="190076" s="12" customFormat="1" x14ac:dyDescent="0.25"/>
    <row r="190077" s="12" customFormat="1" x14ac:dyDescent="0.25"/>
    <row r="190078" s="12" customFormat="1" x14ac:dyDescent="0.25"/>
    <row r="190079" s="12" customFormat="1" x14ac:dyDescent="0.25"/>
    <row r="190080" s="12" customFormat="1" x14ac:dyDescent="0.25"/>
    <row r="190081" s="12" customFormat="1" x14ac:dyDescent="0.25"/>
    <row r="190082" s="12" customFormat="1" x14ac:dyDescent="0.25"/>
    <row r="190083" s="12" customFormat="1" x14ac:dyDescent="0.25"/>
    <row r="190084" s="12" customFormat="1" x14ac:dyDescent="0.25"/>
    <row r="190085" s="12" customFormat="1" x14ac:dyDescent="0.25"/>
    <row r="190086" s="12" customFormat="1" x14ac:dyDescent="0.25"/>
    <row r="190087" s="12" customFormat="1" x14ac:dyDescent="0.25"/>
    <row r="190088" s="12" customFormat="1" x14ac:dyDescent="0.25"/>
    <row r="190089" s="12" customFormat="1" x14ac:dyDescent="0.25"/>
    <row r="190090" s="12" customFormat="1" x14ac:dyDescent="0.25"/>
    <row r="190091" s="12" customFormat="1" x14ac:dyDescent="0.25"/>
    <row r="190092" s="12" customFormat="1" x14ac:dyDescent="0.25"/>
    <row r="190093" s="12" customFormat="1" x14ac:dyDescent="0.25"/>
    <row r="190094" s="12" customFormat="1" x14ac:dyDescent="0.25"/>
    <row r="190095" s="12" customFormat="1" x14ac:dyDescent="0.25"/>
    <row r="190096" s="12" customFormat="1" x14ac:dyDescent="0.25"/>
    <row r="190097" s="12" customFormat="1" x14ac:dyDescent="0.25"/>
    <row r="190098" s="12" customFormat="1" x14ac:dyDescent="0.25"/>
    <row r="190099" s="12" customFormat="1" x14ac:dyDescent="0.25"/>
    <row r="190100" s="12" customFormat="1" x14ac:dyDescent="0.25"/>
    <row r="190101" s="12" customFormat="1" x14ac:dyDescent="0.25"/>
    <row r="190102" s="12" customFormat="1" x14ac:dyDescent="0.25"/>
    <row r="190103" s="12" customFormat="1" x14ac:dyDescent="0.25"/>
    <row r="190104" s="12" customFormat="1" x14ac:dyDescent="0.25"/>
    <row r="190105" s="12" customFormat="1" x14ac:dyDescent="0.25"/>
    <row r="190106" s="12" customFormat="1" x14ac:dyDescent="0.25"/>
    <row r="190107" s="12" customFormat="1" x14ac:dyDescent="0.25"/>
    <row r="190108" s="12" customFormat="1" x14ac:dyDescent="0.25"/>
    <row r="190109" s="12" customFormat="1" x14ac:dyDescent="0.25"/>
    <row r="190110" s="12" customFormat="1" x14ac:dyDescent="0.25"/>
    <row r="190111" s="12" customFormat="1" x14ac:dyDescent="0.25"/>
    <row r="190112" s="12" customFormat="1" x14ac:dyDescent="0.25"/>
    <row r="190113" s="12" customFormat="1" x14ac:dyDescent="0.25"/>
    <row r="190114" s="12" customFormat="1" x14ac:dyDescent="0.25"/>
    <row r="190115" s="12" customFormat="1" x14ac:dyDescent="0.25"/>
    <row r="190116" s="12" customFormat="1" x14ac:dyDescent="0.25"/>
    <row r="190117" s="12" customFormat="1" x14ac:dyDescent="0.25"/>
    <row r="190118" s="12" customFormat="1" x14ac:dyDescent="0.25"/>
    <row r="190119" s="12" customFormat="1" x14ac:dyDescent="0.25"/>
    <row r="190120" s="12" customFormat="1" x14ac:dyDescent="0.25"/>
    <row r="190121" s="12" customFormat="1" x14ac:dyDescent="0.25"/>
    <row r="190122" s="12" customFormat="1" x14ac:dyDescent="0.25"/>
    <row r="190123" s="12" customFormat="1" x14ac:dyDescent="0.25"/>
    <row r="190124" s="12" customFormat="1" x14ac:dyDescent="0.25"/>
    <row r="190125" s="12" customFormat="1" x14ac:dyDescent="0.25"/>
    <row r="190126" s="12" customFormat="1" x14ac:dyDescent="0.25"/>
    <row r="190127" s="12" customFormat="1" x14ac:dyDescent="0.25"/>
    <row r="190128" s="12" customFormat="1" x14ac:dyDescent="0.25"/>
    <row r="190129" s="12" customFormat="1" x14ac:dyDescent="0.25"/>
    <row r="190130" s="12" customFormat="1" x14ac:dyDescent="0.25"/>
    <row r="190131" s="12" customFormat="1" x14ac:dyDescent="0.25"/>
    <row r="190132" s="12" customFormat="1" x14ac:dyDescent="0.25"/>
    <row r="190133" s="12" customFormat="1" x14ac:dyDescent="0.25"/>
    <row r="190134" s="12" customFormat="1" x14ac:dyDescent="0.25"/>
    <row r="190135" s="12" customFormat="1" x14ac:dyDescent="0.25"/>
    <row r="190136" s="12" customFormat="1" x14ac:dyDescent="0.25"/>
    <row r="190137" s="12" customFormat="1" x14ac:dyDescent="0.25"/>
    <row r="190138" s="12" customFormat="1" x14ac:dyDescent="0.25"/>
    <row r="190139" s="12" customFormat="1" x14ac:dyDescent="0.25"/>
    <row r="190140" s="12" customFormat="1" x14ac:dyDescent="0.25"/>
    <row r="190141" s="12" customFormat="1" x14ac:dyDescent="0.25"/>
    <row r="190142" s="12" customFormat="1" x14ac:dyDescent="0.25"/>
    <row r="190143" s="12" customFormat="1" x14ac:dyDescent="0.25"/>
    <row r="190144" s="12" customFormat="1" x14ac:dyDescent="0.25"/>
    <row r="190145" s="12" customFormat="1" x14ac:dyDescent="0.25"/>
    <row r="190146" s="12" customFormat="1" x14ac:dyDescent="0.25"/>
    <row r="190147" s="12" customFormat="1" x14ac:dyDescent="0.25"/>
    <row r="190148" s="12" customFormat="1" x14ac:dyDescent="0.25"/>
    <row r="190149" s="12" customFormat="1" x14ac:dyDescent="0.25"/>
    <row r="190150" s="12" customFormat="1" x14ac:dyDescent="0.25"/>
    <row r="190151" s="12" customFormat="1" x14ac:dyDescent="0.25"/>
    <row r="190152" s="12" customFormat="1" x14ac:dyDescent="0.25"/>
    <row r="190153" s="12" customFormat="1" x14ac:dyDescent="0.25"/>
    <row r="190154" s="12" customFormat="1" x14ac:dyDescent="0.25"/>
    <row r="190155" s="12" customFormat="1" x14ac:dyDescent="0.25"/>
    <row r="190156" s="12" customFormat="1" x14ac:dyDescent="0.25"/>
    <row r="190157" s="12" customFormat="1" x14ac:dyDescent="0.25"/>
    <row r="190158" s="12" customFormat="1" x14ac:dyDescent="0.25"/>
    <row r="190159" s="12" customFormat="1" x14ac:dyDescent="0.25"/>
    <row r="190160" s="12" customFormat="1" x14ac:dyDescent="0.25"/>
    <row r="190161" s="12" customFormat="1" x14ac:dyDescent="0.25"/>
    <row r="190162" s="12" customFormat="1" x14ac:dyDescent="0.25"/>
    <row r="190163" s="12" customFormat="1" x14ac:dyDescent="0.25"/>
    <row r="190164" s="12" customFormat="1" x14ac:dyDescent="0.25"/>
    <row r="190165" s="12" customFormat="1" x14ac:dyDescent="0.25"/>
    <row r="190166" s="12" customFormat="1" x14ac:dyDescent="0.25"/>
    <row r="190167" s="12" customFormat="1" x14ac:dyDescent="0.25"/>
    <row r="190168" s="12" customFormat="1" x14ac:dyDescent="0.25"/>
    <row r="190169" s="12" customFormat="1" x14ac:dyDescent="0.25"/>
    <row r="190170" s="12" customFormat="1" x14ac:dyDescent="0.25"/>
    <row r="190171" s="12" customFormat="1" x14ac:dyDescent="0.25"/>
    <row r="190172" s="12" customFormat="1" x14ac:dyDescent="0.25"/>
    <row r="190173" s="12" customFormat="1" x14ac:dyDescent="0.25"/>
    <row r="190174" s="12" customFormat="1" x14ac:dyDescent="0.25"/>
    <row r="190175" s="12" customFormat="1" x14ac:dyDescent="0.25"/>
    <row r="190176" s="12" customFormat="1" x14ac:dyDescent="0.25"/>
    <row r="190177" s="12" customFormat="1" x14ac:dyDescent="0.25"/>
    <row r="190178" s="12" customFormat="1" x14ac:dyDescent="0.25"/>
    <row r="190179" s="12" customFormat="1" x14ac:dyDescent="0.25"/>
    <row r="190180" s="12" customFormat="1" x14ac:dyDescent="0.25"/>
    <row r="190181" s="12" customFormat="1" x14ac:dyDescent="0.25"/>
    <row r="190182" s="12" customFormat="1" x14ac:dyDescent="0.25"/>
    <row r="190183" s="12" customFormat="1" x14ac:dyDescent="0.25"/>
    <row r="190184" s="12" customFormat="1" x14ac:dyDescent="0.25"/>
    <row r="190185" s="12" customFormat="1" x14ac:dyDescent="0.25"/>
    <row r="190186" s="12" customFormat="1" x14ac:dyDescent="0.25"/>
    <row r="190187" s="12" customFormat="1" x14ac:dyDescent="0.25"/>
    <row r="190188" s="12" customFormat="1" x14ac:dyDescent="0.25"/>
    <row r="190189" s="12" customFormat="1" x14ac:dyDescent="0.25"/>
    <row r="190190" s="12" customFormat="1" x14ac:dyDescent="0.25"/>
    <row r="190191" s="12" customFormat="1" x14ac:dyDescent="0.25"/>
    <row r="190192" s="12" customFormat="1" x14ac:dyDescent="0.25"/>
    <row r="190193" s="12" customFormat="1" x14ac:dyDescent="0.25"/>
    <row r="190194" s="12" customFormat="1" x14ac:dyDescent="0.25"/>
    <row r="190195" s="12" customFormat="1" x14ac:dyDescent="0.25"/>
    <row r="190196" s="12" customFormat="1" x14ac:dyDescent="0.25"/>
    <row r="190197" s="12" customFormat="1" x14ac:dyDescent="0.25"/>
    <row r="190198" s="12" customFormat="1" x14ac:dyDescent="0.25"/>
    <row r="190199" s="12" customFormat="1" x14ac:dyDescent="0.25"/>
    <row r="190200" s="12" customFormat="1" x14ac:dyDescent="0.25"/>
    <row r="190201" s="12" customFormat="1" x14ac:dyDescent="0.25"/>
    <row r="190202" s="12" customFormat="1" x14ac:dyDescent="0.25"/>
    <row r="190203" s="12" customFormat="1" x14ac:dyDescent="0.25"/>
    <row r="190204" s="12" customFormat="1" x14ac:dyDescent="0.25"/>
    <row r="190205" s="12" customFormat="1" x14ac:dyDescent="0.25"/>
    <row r="190206" s="12" customFormat="1" x14ac:dyDescent="0.25"/>
    <row r="190207" s="12" customFormat="1" x14ac:dyDescent="0.25"/>
    <row r="190208" s="12" customFormat="1" x14ac:dyDescent="0.25"/>
    <row r="190209" s="12" customFormat="1" x14ac:dyDescent="0.25"/>
    <row r="190210" s="12" customFormat="1" x14ac:dyDescent="0.25"/>
    <row r="190211" s="12" customFormat="1" x14ac:dyDescent="0.25"/>
    <row r="190212" s="12" customFormat="1" x14ac:dyDescent="0.25"/>
    <row r="190213" s="12" customFormat="1" x14ac:dyDescent="0.25"/>
    <row r="190214" s="12" customFormat="1" x14ac:dyDescent="0.25"/>
    <row r="190215" s="12" customFormat="1" x14ac:dyDescent="0.25"/>
    <row r="190216" s="12" customFormat="1" x14ac:dyDescent="0.25"/>
    <row r="190217" s="12" customFormat="1" x14ac:dyDescent="0.25"/>
    <row r="190218" s="12" customFormat="1" x14ac:dyDescent="0.25"/>
    <row r="190219" s="12" customFormat="1" x14ac:dyDescent="0.25"/>
    <row r="190220" s="12" customFormat="1" x14ac:dyDescent="0.25"/>
    <row r="190221" s="12" customFormat="1" x14ac:dyDescent="0.25"/>
    <row r="190222" s="12" customFormat="1" x14ac:dyDescent="0.25"/>
    <row r="190223" s="12" customFormat="1" x14ac:dyDescent="0.25"/>
    <row r="190224" s="12" customFormat="1" x14ac:dyDescent="0.25"/>
    <row r="190225" s="12" customFormat="1" x14ac:dyDescent="0.25"/>
    <row r="190226" s="12" customFormat="1" x14ac:dyDescent="0.25"/>
    <row r="190227" s="12" customFormat="1" x14ac:dyDescent="0.25"/>
    <row r="190228" s="12" customFormat="1" x14ac:dyDescent="0.25"/>
    <row r="190229" s="12" customFormat="1" x14ac:dyDescent="0.25"/>
    <row r="190230" s="12" customFormat="1" x14ac:dyDescent="0.25"/>
    <row r="190231" s="12" customFormat="1" x14ac:dyDescent="0.25"/>
    <row r="190232" s="12" customFormat="1" x14ac:dyDescent="0.25"/>
    <row r="190233" s="12" customFormat="1" x14ac:dyDescent="0.25"/>
    <row r="190234" s="12" customFormat="1" x14ac:dyDescent="0.25"/>
    <row r="190235" s="12" customFormat="1" x14ac:dyDescent="0.25"/>
    <row r="190236" s="12" customFormat="1" x14ac:dyDescent="0.25"/>
    <row r="190237" s="12" customFormat="1" x14ac:dyDescent="0.25"/>
    <row r="190238" s="12" customFormat="1" x14ac:dyDescent="0.25"/>
    <row r="190239" s="12" customFormat="1" x14ac:dyDescent="0.25"/>
    <row r="190240" s="12" customFormat="1" x14ac:dyDescent="0.25"/>
    <row r="190241" s="12" customFormat="1" x14ac:dyDescent="0.25"/>
    <row r="190242" s="12" customFormat="1" x14ac:dyDescent="0.25"/>
    <row r="190243" s="12" customFormat="1" x14ac:dyDescent="0.25"/>
    <row r="190244" s="12" customFormat="1" x14ac:dyDescent="0.25"/>
    <row r="190245" s="12" customFormat="1" x14ac:dyDescent="0.25"/>
    <row r="190246" s="12" customFormat="1" x14ac:dyDescent="0.25"/>
    <row r="190247" s="12" customFormat="1" x14ac:dyDescent="0.25"/>
    <row r="190248" s="12" customFormat="1" x14ac:dyDescent="0.25"/>
    <row r="190249" s="12" customFormat="1" x14ac:dyDescent="0.25"/>
    <row r="190250" s="12" customFormat="1" x14ac:dyDescent="0.25"/>
    <row r="190251" s="12" customFormat="1" x14ac:dyDescent="0.25"/>
    <row r="190252" s="12" customFormat="1" x14ac:dyDescent="0.25"/>
    <row r="190253" s="12" customFormat="1" x14ac:dyDescent="0.25"/>
    <row r="190254" s="12" customFormat="1" x14ac:dyDescent="0.25"/>
    <row r="190255" s="12" customFormat="1" x14ac:dyDescent="0.25"/>
    <row r="190256" s="12" customFormat="1" x14ac:dyDescent="0.25"/>
    <row r="190257" s="12" customFormat="1" x14ac:dyDescent="0.25"/>
    <row r="190258" s="12" customFormat="1" x14ac:dyDescent="0.25"/>
    <row r="190259" s="12" customFormat="1" x14ac:dyDescent="0.25"/>
    <row r="190260" s="12" customFormat="1" x14ac:dyDescent="0.25"/>
    <row r="190261" s="12" customFormat="1" x14ac:dyDescent="0.25"/>
    <row r="190262" s="12" customFormat="1" x14ac:dyDescent="0.25"/>
    <row r="190263" s="12" customFormat="1" x14ac:dyDescent="0.25"/>
    <row r="190264" s="12" customFormat="1" x14ac:dyDescent="0.25"/>
    <row r="190265" s="12" customFormat="1" x14ac:dyDescent="0.25"/>
    <row r="190266" s="12" customFormat="1" x14ac:dyDescent="0.25"/>
    <row r="190267" s="12" customFormat="1" x14ac:dyDescent="0.25"/>
    <row r="190268" s="12" customFormat="1" x14ac:dyDescent="0.25"/>
    <row r="190269" s="12" customFormat="1" x14ac:dyDescent="0.25"/>
    <row r="190270" s="12" customFormat="1" x14ac:dyDescent="0.25"/>
    <row r="190271" s="12" customFormat="1" x14ac:dyDescent="0.25"/>
    <row r="190272" s="12" customFormat="1" x14ac:dyDescent="0.25"/>
    <row r="190273" s="12" customFormat="1" x14ac:dyDescent="0.25"/>
    <row r="190274" s="12" customFormat="1" x14ac:dyDescent="0.25"/>
    <row r="190275" s="12" customFormat="1" x14ac:dyDescent="0.25"/>
    <row r="190276" s="12" customFormat="1" x14ac:dyDescent="0.25"/>
    <row r="190277" s="12" customFormat="1" x14ac:dyDescent="0.25"/>
    <row r="190278" s="12" customFormat="1" x14ac:dyDescent="0.25"/>
    <row r="190279" s="12" customFormat="1" x14ac:dyDescent="0.25"/>
    <row r="190280" s="12" customFormat="1" x14ac:dyDescent="0.25"/>
    <row r="190281" s="12" customFormat="1" x14ac:dyDescent="0.25"/>
    <row r="190282" s="12" customFormat="1" x14ac:dyDescent="0.25"/>
    <row r="190283" s="12" customFormat="1" x14ac:dyDescent="0.25"/>
    <row r="190284" s="12" customFormat="1" x14ac:dyDescent="0.25"/>
    <row r="190285" s="12" customFormat="1" x14ac:dyDescent="0.25"/>
    <row r="190286" s="12" customFormat="1" x14ac:dyDescent="0.25"/>
    <row r="190287" s="12" customFormat="1" x14ac:dyDescent="0.25"/>
    <row r="190288" s="12" customFormat="1" x14ac:dyDescent="0.25"/>
    <row r="190289" s="12" customFormat="1" x14ac:dyDescent="0.25"/>
    <row r="190290" s="12" customFormat="1" x14ac:dyDescent="0.25"/>
    <row r="190291" s="12" customFormat="1" x14ac:dyDescent="0.25"/>
    <row r="190292" s="12" customFormat="1" x14ac:dyDescent="0.25"/>
    <row r="190293" s="12" customFormat="1" x14ac:dyDescent="0.25"/>
    <row r="190294" s="12" customFormat="1" x14ac:dyDescent="0.25"/>
    <row r="190295" s="12" customFormat="1" x14ac:dyDescent="0.25"/>
    <row r="190296" s="12" customFormat="1" x14ac:dyDescent="0.25"/>
    <row r="190297" s="12" customFormat="1" x14ac:dyDescent="0.25"/>
    <row r="190298" s="12" customFormat="1" x14ac:dyDescent="0.25"/>
    <row r="190299" s="12" customFormat="1" x14ac:dyDescent="0.25"/>
    <row r="190300" s="12" customFormat="1" x14ac:dyDescent="0.25"/>
    <row r="190301" s="12" customFormat="1" x14ac:dyDescent="0.25"/>
    <row r="190302" s="12" customFormat="1" x14ac:dyDescent="0.25"/>
    <row r="190303" s="12" customFormat="1" x14ac:dyDescent="0.25"/>
    <row r="190304" s="12" customFormat="1" x14ac:dyDescent="0.25"/>
    <row r="190305" s="12" customFormat="1" x14ac:dyDescent="0.25"/>
    <row r="190306" s="12" customFormat="1" x14ac:dyDescent="0.25"/>
    <row r="190307" s="12" customFormat="1" x14ac:dyDescent="0.25"/>
    <row r="190308" s="12" customFormat="1" x14ac:dyDescent="0.25"/>
    <row r="190309" s="12" customFormat="1" x14ac:dyDescent="0.25"/>
    <row r="190310" s="12" customFormat="1" x14ac:dyDescent="0.25"/>
    <row r="190311" s="12" customFormat="1" x14ac:dyDescent="0.25"/>
    <row r="190312" s="12" customFormat="1" x14ac:dyDescent="0.25"/>
    <row r="190313" s="12" customFormat="1" x14ac:dyDescent="0.25"/>
    <row r="190314" s="12" customFormat="1" x14ac:dyDescent="0.25"/>
    <row r="190315" s="12" customFormat="1" x14ac:dyDescent="0.25"/>
    <row r="190316" s="12" customFormat="1" x14ac:dyDescent="0.25"/>
    <row r="190317" s="12" customFormat="1" x14ac:dyDescent="0.25"/>
    <row r="190318" s="12" customFormat="1" x14ac:dyDescent="0.25"/>
    <row r="190319" s="12" customFormat="1" x14ac:dyDescent="0.25"/>
    <row r="190320" s="12" customFormat="1" x14ac:dyDescent="0.25"/>
    <row r="190321" s="12" customFormat="1" x14ac:dyDescent="0.25"/>
    <row r="190322" s="12" customFormat="1" x14ac:dyDescent="0.25"/>
    <row r="190323" s="12" customFormat="1" x14ac:dyDescent="0.25"/>
    <row r="190324" s="12" customFormat="1" x14ac:dyDescent="0.25"/>
    <row r="190325" s="12" customFormat="1" x14ac:dyDescent="0.25"/>
    <row r="190326" s="12" customFormat="1" x14ac:dyDescent="0.25"/>
    <row r="190327" s="12" customFormat="1" x14ac:dyDescent="0.25"/>
    <row r="190328" s="12" customFormat="1" x14ac:dyDescent="0.25"/>
    <row r="190329" s="12" customFormat="1" x14ac:dyDescent="0.25"/>
    <row r="190330" s="12" customFormat="1" x14ac:dyDescent="0.25"/>
    <row r="190331" s="12" customFormat="1" x14ac:dyDescent="0.25"/>
    <row r="190332" s="12" customFormat="1" x14ac:dyDescent="0.25"/>
    <row r="190333" s="12" customFormat="1" x14ac:dyDescent="0.25"/>
    <row r="190334" s="12" customFormat="1" x14ac:dyDescent="0.25"/>
    <row r="190335" s="12" customFormat="1" x14ac:dyDescent="0.25"/>
    <row r="190336" s="12" customFormat="1" x14ac:dyDescent="0.25"/>
    <row r="190337" s="12" customFormat="1" x14ac:dyDescent="0.25"/>
    <row r="190338" s="12" customFormat="1" x14ac:dyDescent="0.25"/>
    <row r="190339" s="12" customFormat="1" x14ac:dyDescent="0.25"/>
    <row r="190340" s="12" customFormat="1" x14ac:dyDescent="0.25"/>
    <row r="190341" s="12" customFormat="1" x14ac:dyDescent="0.25"/>
    <row r="190342" s="12" customFormat="1" x14ac:dyDescent="0.25"/>
    <row r="190343" s="12" customFormat="1" x14ac:dyDescent="0.25"/>
    <row r="190344" s="12" customFormat="1" x14ac:dyDescent="0.25"/>
    <row r="190345" s="12" customFormat="1" x14ac:dyDescent="0.25"/>
    <row r="190346" s="12" customFormat="1" x14ac:dyDescent="0.25"/>
    <row r="190347" s="12" customFormat="1" x14ac:dyDescent="0.25"/>
    <row r="190348" s="12" customFormat="1" x14ac:dyDescent="0.25"/>
    <row r="190349" s="12" customFormat="1" x14ac:dyDescent="0.25"/>
    <row r="190350" s="12" customFormat="1" x14ac:dyDescent="0.25"/>
    <row r="190351" s="12" customFormat="1" x14ac:dyDescent="0.25"/>
    <row r="190352" s="12" customFormat="1" x14ac:dyDescent="0.25"/>
    <row r="190353" s="12" customFormat="1" x14ac:dyDescent="0.25"/>
    <row r="190354" s="12" customFormat="1" x14ac:dyDescent="0.25"/>
    <row r="190355" s="12" customFormat="1" x14ac:dyDescent="0.25"/>
    <row r="190356" s="12" customFormat="1" x14ac:dyDescent="0.25"/>
    <row r="190357" s="12" customFormat="1" x14ac:dyDescent="0.25"/>
    <row r="190358" s="12" customFormat="1" x14ac:dyDescent="0.25"/>
    <row r="190359" s="12" customFormat="1" x14ac:dyDescent="0.25"/>
    <row r="190360" s="12" customFormat="1" x14ac:dyDescent="0.25"/>
    <row r="190361" s="12" customFormat="1" x14ac:dyDescent="0.25"/>
    <row r="190362" s="12" customFormat="1" x14ac:dyDescent="0.25"/>
    <row r="190363" s="12" customFormat="1" x14ac:dyDescent="0.25"/>
    <row r="190364" s="12" customFormat="1" x14ac:dyDescent="0.25"/>
    <row r="190365" s="12" customFormat="1" x14ac:dyDescent="0.25"/>
    <row r="190366" s="12" customFormat="1" x14ac:dyDescent="0.25"/>
    <row r="190367" s="12" customFormat="1" x14ac:dyDescent="0.25"/>
    <row r="190368" s="12" customFormat="1" x14ac:dyDescent="0.25"/>
    <row r="190369" s="12" customFormat="1" x14ac:dyDescent="0.25"/>
    <row r="190370" s="12" customFormat="1" x14ac:dyDescent="0.25"/>
    <row r="190371" s="12" customFormat="1" x14ac:dyDescent="0.25"/>
    <row r="190372" s="12" customFormat="1" x14ac:dyDescent="0.25"/>
    <row r="190373" s="12" customFormat="1" x14ac:dyDescent="0.25"/>
    <row r="190374" s="12" customFormat="1" x14ac:dyDescent="0.25"/>
    <row r="190375" s="12" customFormat="1" x14ac:dyDescent="0.25"/>
    <row r="190376" s="12" customFormat="1" x14ac:dyDescent="0.25"/>
    <row r="190377" s="12" customFormat="1" x14ac:dyDescent="0.25"/>
    <row r="190378" s="12" customFormat="1" x14ac:dyDescent="0.25"/>
    <row r="190379" s="12" customFormat="1" x14ac:dyDescent="0.25"/>
    <row r="190380" s="12" customFormat="1" x14ac:dyDescent="0.25"/>
    <row r="190381" s="12" customFormat="1" x14ac:dyDescent="0.25"/>
    <row r="190382" s="12" customFormat="1" x14ac:dyDescent="0.25"/>
    <row r="190383" s="12" customFormat="1" x14ac:dyDescent="0.25"/>
    <row r="190384" s="12" customFormat="1" x14ac:dyDescent="0.25"/>
    <row r="190385" s="12" customFormat="1" x14ac:dyDescent="0.25"/>
    <row r="190386" s="12" customFormat="1" x14ac:dyDescent="0.25"/>
    <row r="190387" s="12" customFormat="1" x14ac:dyDescent="0.25"/>
    <row r="190388" s="12" customFormat="1" x14ac:dyDescent="0.25"/>
    <row r="190389" s="12" customFormat="1" x14ac:dyDescent="0.25"/>
    <row r="190390" s="12" customFormat="1" x14ac:dyDescent="0.25"/>
    <row r="190391" s="12" customFormat="1" x14ac:dyDescent="0.25"/>
    <row r="190392" s="12" customFormat="1" x14ac:dyDescent="0.25"/>
    <row r="190393" s="12" customFormat="1" x14ac:dyDescent="0.25"/>
    <row r="190394" s="12" customFormat="1" x14ac:dyDescent="0.25"/>
    <row r="190395" s="12" customFormat="1" x14ac:dyDescent="0.25"/>
    <row r="190396" s="12" customFormat="1" x14ac:dyDescent="0.25"/>
    <row r="190397" s="12" customFormat="1" x14ac:dyDescent="0.25"/>
    <row r="190398" s="12" customFormat="1" x14ac:dyDescent="0.25"/>
    <row r="190399" s="12" customFormat="1" x14ac:dyDescent="0.25"/>
    <row r="190400" s="12" customFormat="1" x14ac:dyDescent="0.25"/>
    <row r="190401" s="12" customFormat="1" x14ac:dyDescent="0.25"/>
    <row r="190402" s="12" customFormat="1" x14ac:dyDescent="0.25"/>
    <row r="190403" s="12" customFormat="1" x14ac:dyDescent="0.25"/>
    <row r="190404" s="12" customFormat="1" x14ac:dyDescent="0.25"/>
    <row r="190405" s="12" customFormat="1" x14ac:dyDescent="0.25"/>
    <row r="190406" s="12" customFormat="1" x14ac:dyDescent="0.25"/>
    <row r="190407" s="12" customFormat="1" x14ac:dyDescent="0.25"/>
    <row r="190408" s="12" customFormat="1" x14ac:dyDescent="0.25"/>
    <row r="190409" s="12" customFormat="1" x14ac:dyDescent="0.25"/>
    <row r="190410" s="12" customFormat="1" x14ac:dyDescent="0.25"/>
    <row r="190411" s="12" customFormat="1" x14ac:dyDescent="0.25"/>
    <row r="190412" s="12" customFormat="1" x14ac:dyDescent="0.25"/>
    <row r="190413" s="12" customFormat="1" x14ac:dyDescent="0.25"/>
    <row r="190414" s="12" customFormat="1" x14ac:dyDescent="0.25"/>
    <row r="190415" s="12" customFormat="1" x14ac:dyDescent="0.25"/>
    <row r="190416" s="12" customFormat="1" x14ac:dyDescent="0.25"/>
    <row r="190417" s="12" customFormat="1" x14ac:dyDescent="0.25"/>
    <row r="190418" s="12" customFormat="1" x14ac:dyDescent="0.25"/>
    <row r="190419" s="12" customFormat="1" x14ac:dyDescent="0.25"/>
    <row r="190420" s="12" customFormat="1" x14ac:dyDescent="0.25"/>
    <row r="190421" s="12" customFormat="1" x14ac:dyDescent="0.25"/>
    <row r="190422" s="12" customFormat="1" x14ac:dyDescent="0.25"/>
    <row r="190423" s="12" customFormat="1" x14ac:dyDescent="0.25"/>
    <row r="190424" s="12" customFormat="1" x14ac:dyDescent="0.25"/>
    <row r="190425" s="12" customFormat="1" x14ac:dyDescent="0.25"/>
    <row r="190426" s="12" customFormat="1" x14ac:dyDescent="0.25"/>
    <row r="190427" s="12" customFormat="1" x14ac:dyDescent="0.25"/>
    <row r="190428" s="12" customFormat="1" x14ac:dyDescent="0.25"/>
    <row r="190429" s="12" customFormat="1" x14ac:dyDescent="0.25"/>
    <row r="190430" s="12" customFormat="1" x14ac:dyDescent="0.25"/>
    <row r="190431" s="12" customFormat="1" x14ac:dyDescent="0.25"/>
    <row r="190432" s="12" customFormat="1" x14ac:dyDescent="0.25"/>
    <row r="190433" s="12" customFormat="1" x14ac:dyDescent="0.25"/>
    <row r="190434" s="12" customFormat="1" x14ac:dyDescent="0.25"/>
    <row r="190435" s="12" customFormat="1" x14ac:dyDescent="0.25"/>
    <row r="190436" s="12" customFormat="1" x14ac:dyDescent="0.25"/>
    <row r="190437" s="12" customFormat="1" x14ac:dyDescent="0.25"/>
    <row r="190438" s="12" customFormat="1" x14ac:dyDescent="0.25"/>
    <row r="190439" s="12" customFormat="1" x14ac:dyDescent="0.25"/>
    <row r="190440" s="12" customFormat="1" x14ac:dyDescent="0.25"/>
    <row r="190441" s="12" customFormat="1" x14ac:dyDescent="0.25"/>
    <row r="190442" s="12" customFormat="1" x14ac:dyDescent="0.25"/>
    <row r="190443" s="12" customFormat="1" x14ac:dyDescent="0.25"/>
    <row r="190444" s="12" customFormat="1" x14ac:dyDescent="0.25"/>
    <row r="190445" s="12" customFormat="1" x14ac:dyDescent="0.25"/>
    <row r="190446" s="12" customFormat="1" x14ac:dyDescent="0.25"/>
    <row r="190447" s="12" customFormat="1" x14ac:dyDescent="0.25"/>
    <row r="190448" s="12" customFormat="1" x14ac:dyDescent="0.25"/>
    <row r="190449" s="12" customFormat="1" x14ac:dyDescent="0.25"/>
    <row r="190450" s="12" customFormat="1" x14ac:dyDescent="0.25"/>
    <row r="190451" s="12" customFormat="1" x14ac:dyDescent="0.25"/>
    <row r="190452" s="12" customFormat="1" x14ac:dyDescent="0.25"/>
    <row r="190453" s="12" customFormat="1" x14ac:dyDescent="0.25"/>
    <row r="190454" s="12" customFormat="1" x14ac:dyDescent="0.25"/>
    <row r="190455" s="12" customFormat="1" x14ac:dyDescent="0.25"/>
    <row r="190456" s="12" customFormat="1" x14ac:dyDescent="0.25"/>
    <row r="190457" s="12" customFormat="1" x14ac:dyDescent="0.25"/>
    <row r="190458" s="12" customFormat="1" x14ac:dyDescent="0.25"/>
    <row r="190459" s="12" customFormat="1" x14ac:dyDescent="0.25"/>
    <row r="190460" s="12" customFormat="1" x14ac:dyDescent="0.25"/>
    <row r="190461" s="12" customFormat="1" x14ac:dyDescent="0.25"/>
    <row r="190462" s="12" customFormat="1" x14ac:dyDescent="0.25"/>
    <row r="190463" s="12" customFormat="1" x14ac:dyDescent="0.25"/>
    <row r="190464" s="12" customFormat="1" x14ac:dyDescent="0.25"/>
    <row r="190465" s="12" customFormat="1" x14ac:dyDescent="0.25"/>
    <row r="190466" s="12" customFormat="1" x14ac:dyDescent="0.25"/>
    <row r="190467" s="12" customFormat="1" x14ac:dyDescent="0.25"/>
    <row r="190468" s="12" customFormat="1" x14ac:dyDescent="0.25"/>
    <row r="190469" s="12" customFormat="1" x14ac:dyDescent="0.25"/>
    <row r="190470" s="12" customFormat="1" x14ac:dyDescent="0.25"/>
    <row r="190471" s="12" customFormat="1" x14ac:dyDescent="0.25"/>
    <row r="190472" s="12" customFormat="1" x14ac:dyDescent="0.25"/>
    <row r="190473" s="12" customFormat="1" x14ac:dyDescent="0.25"/>
    <row r="190474" s="12" customFormat="1" x14ac:dyDescent="0.25"/>
    <row r="190475" s="12" customFormat="1" x14ac:dyDescent="0.25"/>
    <row r="190476" s="12" customFormat="1" x14ac:dyDescent="0.25"/>
    <row r="190477" s="12" customFormat="1" x14ac:dyDescent="0.25"/>
    <row r="190478" s="12" customFormat="1" x14ac:dyDescent="0.25"/>
    <row r="190479" s="12" customFormat="1" x14ac:dyDescent="0.25"/>
    <row r="190480" s="12" customFormat="1" x14ac:dyDescent="0.25"/>
    <row r="190481" s="12" customFormat="1" x14ac:dyDescent="0.25"/>
    <row r="190482" s="12" customFormat="1" x14ac:dyDescent="0.25"/>
    <row r="190483" s="12" customFormat="1" x14ac:dyDescent="0.25"/>
    <row r="190484" s="12" customFormat="1" x14ac:dyDescent="0.25"/>
    <row r="190485" s="12" customFormat="1" x14ac:dyDescent="0.25"/>
    <row r="190486" s="12" customFormat="1" x14ac:dyDescent="0.25"/>
    <row r="190487" s="12" customFormat="1" x14ac:dyDescent="0.25"/>
    <row r="190488" s="12" customFormat="1" x14ac:dyDescent="0.25"/>
    <row r="190489" s="12" customFormat="1" x14ac:dyDescent="0.25"/>
    <row r="190490" s="12" customFormat="1" x14ac:dyDescent="0.25"/>
    <row r="190491" s="12" customFormat="1" x14ac:dyDescent="0.25"/>
    <row r="190492" s="12" customFormat="1" x14ac:dyDescent="0.25"/>
    <row r="190493" s="12" customFormat="1" x14ac:dyDescent="0.25"/>
    <row r="190494" s="12" customFormat="1" x14ac:dyDescent="0.25"/>
    <row r="190495" s="12" customFormat="1" x14ac:dyDescent="0.25"/>
    <row r="190496" s="12" customFormat="1" x14ac:dyDescent="0.25"/>
    <row r="190497" s="12" customFormat="1" x14ac:dyDescent="0.25"/>
    <row r="190498" s="12" customFormat="1" x14ac:dyDescent="0.25"/>
    <row r="190499" s="12" customFormat="1" x14ac:dyDescent="0.25"/>
    <row r="190500" s="12" customFormat="1" x14ac:dyDescent="0.25"/>
    <row r="190501" s="12" customFormat="1" x14ac:dyDescent="0.25"/>
    <row r="190502" s="12" customFormat="1" x14ac:dyDescent="0.25"/>
    <row r="190503" s="12" customFormat="1" x14ac:dyDescent="0.25"/>
    <row r="190504" s="12" customFormat="1" x14ac:dyDescent="0.25"/>
    <row r="190505" s="12" customFormat="1" x14ac:dyDescent="0.25"/>
    <row r="190506" s="12" customFormat="1" x14ac:dyDescent="0.25"/>
    <row r="190507" s="12" customFormat="1" x14ac:dyDescent="0.25"/>
    <row r="190508" s="12" customFormat="1" x14ac:dyDescent="0.25"/>
    <row r="190509" s="12" customFormat="1" x14ac:dyDescent="0.25"/>
    <row r="190510" s="12" customFormat="1" x14ac:dyDescent="0.25"/>
    <row r="190511" s="12" customFormat="1" x14ac:dyDescent="0.25"/>
    <row r="190512" s="12" customFormat="1" x14ac:dyDescent="0.25"/>
    <row r="190513" s="12" customFormat="1" x14ac:dyDescent="0.25"/>
    <row r="190514" s="12" customFormat="1" x14ac:dyDescent="0.25"/>
    <row r="190515" s="12" customFormat="1" x14ac:dyDescent="0.25"/>
    <row r="190516" s="12" customFormat="1" x14ac:dyDescent="0.25"/>
    <row r="190517" s="12" customFormat="1" x14ac:dyDescent="0.25"/>
    <row r="190518" s="12" customFormat="1" x14ac:dyDescent="0.25"/>
    <row r="190519" s="12" customFormat="1" x14ac:dyDescent="0.25"/>
    <row r="190520" s="12" customFormat="1" x14ac:dyDescent="0.25"/>
    <row r="190521" s="12" customFormat="1" x14ac:dyDescent="0.25"/>
    <row r="190522" s="12" customFormat="1" x14ac:dyDescent="0.25"/>
    <row r="190523" s="12" customFormat="1" x14ac:dyDescent="0.25"/>
    <row r="190524" s="12" customFormat="1" x14ac:dyDescent="0.25"/>
    <row r="190525" s="12" customFormat="1" x14ac:dyDescent="0.25"/>
    <row r="190526" s="12" customFormat="1" x14ac:dyDescent="0.25"/>
    <row r="190527" s="12" customFormat="1" x14ac:dyDescent="0.25"/>
    <row r="190528" s="12" customFormat="1" x14ac:dyDescent="0.25"/>
    <row r="190529" s="12" customFormat="1" x14ac:dyDescent="0.25"/>
    <row r="190530" s="12" customFormat="1" x14ac:dyDescent="0.25"/>
    <row r="190531" s="12" customFormat="1" x14ac:dyDescent="0.25"/>
    <row r="190532" s="12" customFormat="1" x14ac:dyDescent="0.25"/>
    <row r="190533" s="12" customFormat="1" x14ac:dyDescent="0.25"/>
    <row r="190534" s="12" customFormat="1" x14ac:dyDescent="0.25"/>
    <row r="190535" s="12" customFormat="1" x14ac:dyDescent="0.25"/>
    <row r="190536" s="12" customFormat="1" x14ac:dyDescent="0.25"/>
    <row r="190537" s="12" customFormat="1" x14ac:dyDescent="0.25"/>
    <row r="190538" s="12" customFormat="1" x14ac:dyDescent="0.25"/>
    <row r="190539" s="12" customFormat="1" x14ac:dyDescent="0.25"/>
    <row r="190540" s="12" customFormat="1" x14ac:dyDescent="0.25"/>
    <row r="190541" s="12" customFormat="1" x14ac:dyDescent="0.25"/>
    <row r="190542" s="12" customFormat="1" x14ac:dyDescent="0.25"/>
    <row r="190543" s="12" customFormat="1" x14ac:dyDescent="0.25"/>
    <row r="190544" s="12" customFormat="1" x14ac:dyDescent="0.25"/>
    <row r="190545" s="12" customFormat="1" x14ac:dyDescent="0.25"/>
    <row r="190546" s="12" customFormat="1" x14ac:dyDescent="0.25"/>
    <row r="190547" s="12" customFormat="1" x14ac:dyDescent="0.25"/>
    <row r="190548" s="12" customFormat="1" x14ac:dyDescent="0.25"/>
    <row r="190549" s="12" customFormat="1" x14ac:dyDescent="0.25"/>
    <row r="190550" s="12" customFormat="1" x14ac:dyDescent="0.25"/>
    <row r="190551" s="12" customFormat="1" x14ac:dyDescent="0.25"/>
    <row r="190552" s="12" customFormat="1" x14ac:dyDescent="0.25"/>
    <row r="190553" s="12" customFormat="1" x14ac:dyDescent="0.25"/>
    <row r="190554" s="12" customFormat="1" x14ac:dyDescent="0.25"/>
    <row r="190555" s="12" customFormat="1" x14ac:dyDescent="0.25"/>
    <row r="190556" s="12" customFormat="1" x14ac:dyDescent="0.25"/>
    <row r="190557" s="12" customFormat="1" x14ac:dyDescent="0.25"/>
    <row r="190558" s="12" customFormat="1" x14ac:dyDescent="0.25"/>
    <row r="190559" s="12" customFormat="1" x14ac:dyDescent="0.25"/>
    <row r="190560" s="12" customFormat="1" x14ac:dyDescent="0.25"/>
    <row r="190561" s="12" customFormat="1" x14ac:dyDescent="0.25"/>
    <row r="190562" s="12" customFormat="1" x14ac:dyDescent="0.25"/>
    <row r="190563" s="12" customFormat="1" x14ac:dyDescent="0.25"/>
    <row r="190564" s="12" customFormat="1" x14ac:dyDescent="0.25"/>
    <row r="190565" s="12" customFormat="1" x14ac:dyDescent="0.25"/>
    <row r="190566" s="12" customFormat="1" x14ac:dyDescent="0.25"/>
    <row r="190567" s="12" customFormat="1" x14ac:dyDescent="0.25"/>
    <row r="190568" s="12" customFormat="1" x14ac:dyDescent="0.25"/>
    <row r="190569" s="12" customFormat="1" x14ac:dyDescent="0.25"/>
    <row r="190570" s="12" customFormat="1" x14ac:dyDescent="0.25"/>
    <row r="190571" s="12" customFormat="1" x14ac:dyDescent="0.25"/>
    <row r="190572" s="12" customFormat="1" x14ac:dyDescent="0.25"/>
    <row r="190573" s="12" customFormat="1" x14ac:dyDescent="0.25"/>
    <row r="190574" s="12" customFormat="1" x14ac:dyDescent="0.25"/>
    <row r="190575" s="12" customFormat="1" x14ac:dyDescent="0.25"/>
    <row r="190576" s="12" customFormat="1" x14ac:dyDescent="0.25"/>
    <row r="190577" s="12" customFormat="1" x14ac:dyDescent="0.25"/>
    <row r="190578" s="12" customFormat="1" x14ac:dyDescent="0.25"/>
    <row r="190579" s="12" customFormat="1" x14ac:dyDescent="0.25"/>
    <row r="190580" s="12" customFormat="1" x14ac:dyDescent="0.25"/>
    <row r="190581" s="12" customFormat="1" x14ac:dyDescent="0.25"/>
    <row r="190582" s="12" customFormat="1" x14ac:dyDescent="0.25"/>
    <row r="190583" s="12" customFormat="1" x14ac:dyDescent="0.25"/>
    <row r="190584" s="12" customFormat="1" x14ac:dyDescent="0.25"/>
    <row r="190585" s="12" customFormat="1" x14ac:dyDescent="0.25"/>
    <row r="190586" s="12" customFormat="1" x14ac:dyDescent="0.25"/>
    <row r="190587" s="12" customFormat="1" x14ac:dyDescent="0.25"/>
    <row r="190588" s="12" customFormat="1" x14ac:dyDescent="0.25"/>
    <row r="190589" s="12" customFormat="1" x14ac:dyDescent="0.25"/>
    <row r="190590" s="12" customFormat="1" x14ac:dyDescent="0.25"/>
    <row r="190591" s="12" customFormat="1" x14ac:dyDescent="0.25"/>
    <row r="190592" s="12" customFormat="1" x14ac:dyDescent="0.25"/>
    <row r="190593" s="12" customFormat="1" x14ac:dyDescent="0.25"/>
    <row r="190594" s="12" customFormat="1" x14ac:dyDescent="0.25"/>
    <row r="190595" s="12" customFormat="1" x14ac:dyDescent="0.25"/>
    <row r="190596" s="12" customFormat="1" x14ac:dyDescent="0.25"/>
    <row r="190597" s="12" customFormat="1" x14ac:dyDescent="0.25"/>
    <row r="190598" s="12" customFormat="1" x14ac:dyDescent="0.25"/>
    <row r="190599" s="12" customFormat="1" x14ac:dyDescent="0.25"/>
    <row r="190600" s="12" customFormat="1" x14ac:dyDescent="0.25"/>
    <row r="190601" s="12" customFormat="1" x14ac:dyDescent="0.25"/>
    <row r="190602" s="12" customFormat="1" x14ac:dyDescent="0.25"/>
    <row r="190603" s="12" customFormat="1" x14ac:dyDescent="0.25"/>
    <row r="190604" s="12" customFormat="1" x14ac:dyDescent="0.25"/>
    <row r="190605" s="12" customFormat="1" x14ac:dyDescent="0.25"/>
    <row r="190606" s="12" customFormat="1" x14ac:dyDescent="0.25"/>
    <row r="190607" s="12" customFormat="1" x14ac:dyDescent="0.25"/>
    <row r="190608" s="12" customFormat="1" x14ac:dyDescent="0.25"/>
    <row r="190609" s="12" customFormat="1" x14ac:dyDescent="0.25"/>
    <row r="190610" s="12" customFormat="1" x14ac:dyDescent="0.25"/>
    <row r="190611" s="12" customFormat="1" x14ac:dyDescent="0.25"/>
    <row r="190612" s="12" customFormat="1" x14ac:dyDescent="0.25"/>
    <row r="190613" s="12" customFormat="1" x14ac:dyDescent="0.25"/>
    <row r="190614" s="12" customFormat="1" x14ac:dyDescent="0.25"/>
    <row r="190615" s="12" customFormat="1" x14ac:dyDescent="0.25"/>
    <row r="190616" s="12" customFormat="1" x14ac:dyDescent="0.25"/>
    <row r="190617" s="12" customFormat="1" x14ac:dyDescent="0.25"/>
    <row r="190618" s="12" customFormat="1" x14ac:dyDescent="0.25"/>
    <row r="190619" s="12" customFormat="1" x14ac:dyDescent="0.25"/>
    <row r="190620" s="12" customFormat="1" x14ac:dyDescent="0.25"/>
    <row r="190621" s="12" customFormat="1" x14ac:dyDescent="0.25"/>
    <row r="190622" s="12" customFormat="1" x14ac:dyDescent="0.25"/>
    <row r="190623" s="12" customFormat="1" x14ac:dyDescent="0.25"/>
    <row r="190624" s="12" customFormat="1" x14ac:dyDescent="0.25"/>
    <row r="190625" s="12" customFormat="1" x14ac:dyDescent="0.25"/>
    <row r="190626" s="12" customFormat="1" x14ac:dyDescent="0.25"/>
    <row r="190627" s="12" customFormat="1" x14ac:dyDescent="0.25"/>
    <row r="190628" s="12" customFormat="1" x14ac:dyDescent="0.25"/>
    <row r="190629" s="12" customFormat="1" x14ac:dyDescent="0.25"/>
    <row r="190630" s="12" customFormat="1" x14ac:dyDescent="0.25"/>
    <row r="190631" s="12" customFormat="1" x14ac:dyDescent="0.25"/>
    <row r="190632" s="12" customFormat="1" x14ac:dyDescent="0.25"/>
    <row r="190633" s="12" customFormat="1" x14ac:dyDescent="0.25"/>
    <row r="190634" s="12" customFormat="1" x14ac:dyDescent="0.25"/>
    <row r="190635" s="12" customFormat="1" x14ac:dyDescent="0.25"/>
    <row r="190636" s="12" customFormat="1" x14ac:dyDescent="0.25"/>
    <row r="190637" s="12" customFormat="1" x14ac:dyDescent="0.25"/>
    <row r="190638" s="12" customFormat="1" x14ac:dyDescent="0.25"/>
    <row r="190639" s="12" customFormat="1" x14ac:dyDescent="0.25"/>
    <row r="190640" s="12" customFormat="1" x14ac:dyDescent="0.25"/>
    <row r="190641" s="12" customFormat="1" x14ac:dyDescent="0.25"/>
    <row r="190642" s="12" customFormat="1" x14ac:dyDescent="0.25"/>
    <row r="190643" s="12" customFormat="1" x14ac:dyDescent="0.25"/>
    <row r="190644" s="12" customFormat="1" x14ac:dyDescent="0.25"/>
    <row r="190645" s="12" customFormat="1" x14ac:dyDescent="0.25"/>
    <row r="190646" s="12" customFormat="1" x14ac:dyDescent="0.25"/>
    <row r="190647" s="12" customFormat="1" x14ac:dyDescent="0.25"/>
    <row r="190648" s="12" customFormat="1" x14ac:dyDescent="0.25"/>
    <row r="190649" s="12" customFormat="1" x14ac:dyDescent="0.25"/>
    <row r="190650" s="12" customFormat="1" x14ac:dyDescent="0.25"/>
    <row r="190651" s="12" customFormat="1" x14ac:dyDescent="0.25"/>
    <row r="190652" s="12" customFormat="1" x14ac:dyDescent="0.25"/>
    <row r="190653" s="12" customFormat="1" x14ac:dyDescent="0.25"/>
    <row r="190654" s="12" customFormat="1" x14ac:dyDescent="0.25"/>
    <row r="190655" s="12" customFormat="1" x14ac:dyDescent="0.25"/>
    <row r="190656" s="12" customFormat="1" x14ac:dyDescent="0.25"/>
    <row r="190657" s="12" customFormat="1" x14ac:dyDescent="0.25"/>
    <row r="190658" s="12" customFormat="1" x14ac:dyDescent="0.25"/>
    <row r="190659" s="12" customFormat="1" x14ac:dyDescent="0.25"/>
    <row r="190660" s="12" customFormat="1" x14ac:dyDescent="0.25"/>
    <row r="190661" s="12" customFormat="1" x14ac:dyDescent="0.25"/>
    <row r="190662" s="12" customFormat="1" x14ac:dyDescent="0.25"/>
    <row r="190663" s="12" customFormat="1" x14ac:dyDescent="0.25"/>
    <row r="190664" s="12" customFormat="1" x14ac:dyDescent="0.25"/>
    <row r="190665" s="12" customFormat="1" x14ac:dyDescent="0.25"/>
    <row r="190666" s="12" customFormat="1" x14ac:dyDescent="0.25"/>
    <row r="190667" s="12" customFormat="1" x14ac:dyDescent="0.25"/>
    <row r="190668" s="12" customFormat="1" x14ac:dyDescent="0.25"/>
    <row r="190669" s="12" customFormat="1" x14ac:dyDescent="0.25"/>
    <row r="190670" s="12" customFormat="1" x14ac:dyDescent="0.25"/>
    <row r="190671" s="12" customFormat="1" x14ac:dyDescent="0.25"/>
    <row r="190672" s="12" customFormat="1" x14ac:dyDescent="0.25"/>
    <row r="190673" s="12" customFormat="1" x14ac:dyDescent="0.25"/>
    <row r="190674" s="12" customFormat="1" x14ac:dyDescent="0.25"/>
    <row r="190675" s="12" customFormat="1" x14ac:dyDescent="0.25"/>
    <row r="190676" s="12" customFormat="1" x14ac:dyDescent="0.25"/>
    <row r="190677" s="12" customFormat="1" x14ac:dyDescent="0.25"/>
    <row r="190678" s="12" customFormat="1" x14ac:dyDescent="0.25"/>
    <row r="190679" s="12" customFormat="1" x14ac:dyDescent="0.25"/>
    <row r="190680" s="12" customFormat="1" x14ac:dyDescent="0.25"/>
    <row r="190681" s="12" customFormat="1" x14ac:dyDescent="0.25"/>
    <row r="190682" s="12" customFormat="1" x14ac:dyDescent="0.25"/>
    <row r="190683" s="12" customFormat="1" x14ac:dyDescent="0.25"/>
    <row r="190684" s="12" customFormat="1" x14ac:dyDescent="0.25"/>
    <row r="190685" s="12" customFormat="1" x14ac:dyDescent="0.25"/>
    <row r="190686" s="12" customFormat="1" x14ac:dyDescent="0.25"/>
    <row r="190687" s="12" customFormat="1" x14ac:dyDescent="0.25"/>
    <row r="190688" s="12" customFormat="1" x14ac:dyDescent="0.25"/>
    <row r="190689" s="12" customFormat="1" x14ac:dyDescent="0.25"/>
    <row r="190690" s="12" customFormat="1" x14ac:dyDescent="0.25"/>
    <row r="190691" s="12" customFormat="1" x14ac:dyDescent="0.25"/>
    <row r="190692" s="12" customFormat="1" x14ac:dyDescent="0.25"/>
    <row r="190693" s="12" customFormat="1" x14ac:dyDescent="0.25"/>
    <row r="190694" s="12" customFormat="1" x14ac:dyDescent="0.25"/>
    <row r="190695" s="12" customFormat="1" x14ac:dyDescent="0.25"/>
    <row r="190696" s="12" customFormat="1" x14ac:dyDescent="0.25"/>
    <row r="190697" s="12" customFormat="1" x14ac:dyDescent="0.25"/>
    <row r="190698" s="12" customFormat="1" x14ac:dyDescent="0.25"/>
    <row r="190699" s="12" customFormat="1" x14ac:dyDescent="0.25"/>
    <row r="190700" s="12" customFormat="1" x14ac:dyDescent="0.25"/>
    <row r="190701" s="12" customFormat="1" x14ac:dyDescent="0.25"/>
    <row r="190702" s="12" customFormat="1" x14ac:dyDescent="0.25"/>
    <row r="190703" s="12" customFormat="1" x14ac:dyDescent="0.25"/>
    <row r="190704" s="12" customFormat="1" x14ac:dyDescent="0.25"/>
    <row r="190705" s="12" customFormat="1" x14ac:dyDescent="0.25"/>
    <row r="190706" s="12" customFormat="1" x14ac:dyDescent="0.25"/>
    <row r="190707" s="12" customFormat="1" x14ac:dyDescent="0.25"/>
    <row r="190708" s="12" customFormat="1" x14ac:dyDescent="0.25"/>
    <row r="190709" s="12" customFormat="1" x14ac:dyDescent="0.25"/>
    <row r="190710" s="12" customFormat="1" x14ac:dyDescent="0.25"/>
    <row r="190711" s="12" customFormat="1" x14ac:dyDescent="0.25"/>
    <row r="190712" s="12" customFormat="1" x14ac:dyDescent="0.25"/>
    <row r="190713" s="12" customFormat="1" x14ac:dyDescent="0.25"/>
    <row r="190714" s="12" customFormat="1" x14ac:dyDescent="0.25"/>
    <row r="190715" s="12" customFormat="1" x14ac:dyDescent="0.25"/>
    <row r="190716" s="12" customFormat="1" x14ac:dyDescent="0.25"/>
    <row r="190717" s="12" customFormat="1" x14ac:dyDescent="0.25"/>
    <row r="190718" s="12" customFormat="1" x14ac:dyDescent="0.25"/>
    <row r="190719" s="12" customFormat="1" x14ac:dyDescent="0.25"/>
    <row r="190720" s="12" customFormat="1" x14ac:dyDescent="0.25"/>
    <row r="190721" s="12" customFormat="1" x14ac:dyDescent="0.25"/>
    <row r="190722" s="12" customFormat="1" x14ac:dyDescent="0.25"/>
    <row r="190723" s="12" customFormat="1" x14ac:dyDescent="0.25"/>
    <row r="190724" s="12" customFormat="1" x14ac:dyDescent="0.25"/>
    <row r="190725" s="12" customFormat="1" x14ac:dyDescent="0.25"/>
    <row r="190726" s="12" customFormat="1" x14ac:dyDescent="0.25"/>
    <row r="190727" s="12" customFormat="1" x14ac:dyDescent="0.25"/>
    <row r="190728" s="12" customFormat="1" x14ac:dyDescent="0.25"/>
    <row r="190729" s="12" customFormat="1" x14ac:dyDescent="0.25"/>
    <row r="190730" s="12" customFormat="1" x14ac:dyDescent="0.25"/>
    <row r="190731" s="12" customFormat="1" x14ac:dyDescent="0.25"/>
    <row r="190732" s="12" customFormat="1" x14ac:dyDescent="0.25"/>
    <row r="190733" s="12" customFormat="1" x14ac:dyDescent="0.25"/>
    <row r="190734" s="12" customFormat="1" x14ac:dyDescent="0.25"/>
    <row r="190735" s="12" customFormat="1" x14ac:dyDescent="0.25"/>
    <row r="190736" s="12" customFormat="1" x14ac:dyDescent="0.25"/>
    <row r="190737" s="12" customFormat="1" x14ac:dyDescent="0.25"/>
    <row r="190738" s="12" customFormat="1" x14ac:dyDescent="0.25"/>
    <row r="190739" s="12" customFormat="1" x14ac:dyDescent="0.25"/>
    <row r="190740" s="12" customFormat="1" x14ac:dyDescent="0.25"/>
    <row r="190741" s="12" customFormat="1" x14ac:dyDescent="0.25"/>
    <row r="190742" s="12" customFormat="1" x14ac:dyDescent="0.25"/>
    <row r="190743" s="12" customFormat="1" x14ac:dyDescent="0.25"/>
    <row r="190744" s="12" customFormat="1" x14ac:dyDescent="0.25"/>
    <row r="190745" s="12" customFormat="1" x14ac:dyDescent="0.25"/>
    <row r="190746" s="12" customFormat="1" x14ac:dyDescent="0.25"/>
    <row r="190747" s="12" customFormat="1" x14ac:dyDescent="0.25"/>
    <row r="190748" s="12" customFormat="1" x14ac:dyDescent="0.25"/>
    <row r="190749" s="12" customFormat="1" x14ac:dyDescent="0.25"/>
    <row r="190750" s="12" customFormat="1" x14ac:dyDescent="0.25"/>
    <row r="190751" s="12" customFormat="1" x14ac:dyDescent="0.25"/>
    <row r="190752" s="12" customFormat="1" x14ac:dyDescent="0.25"/>
    <row r="190753" s="12" customFormat="1" x14ac:dyDescent="0.25"/>
    <row r="190754" s="12" customFormat="1" x14ac:dyDescent="0.25"/>
    <row r="190755" s="12" customFormat="1" x14ac:dyDescent="0.25"/>
    <row r="190756" s="12" customFormat="1" x14ac:dyDescent="0.25"/>
    <row r="190757" s="12" customFormat="1" x14ac:dyDescent="0.25"/>
    <row r="190758" s="12" customFormat="1" x14ac:dyDescent="0.25"/>
    <row r="190759" s="12" customFormat="1" x14ac:dyDescent="0.25"/>
    <row r="190760" s="12" customFormat="1" x14ac:dyDescent="0.25"/>
    <row r="190761" s="12" customFormat="1" x14ac:dyDescent="0.25"/>
    <row r="190762" s="12" customFormat="1" x14ac:dyDescent="0.25"/>
    <row r="190763" s="12" customFormat="1" x14ac:dyDescent="0.25"/>
    <row r="190764" s="12" customFormat="1" x14ac:dyDescent="0.25"/>
    <row r="190765" s="12" customFormat="1" x14ac:dyDescent="0.25"/>
    <row r="190766" s="12" customFormat="1" x14ac:dyDescent="0.25"/>
    <row r="190767" s="12" customFormat="1" x14ac:dyDescent="0.25"/>
    <row r="190768" s="12" customFormat="1" x14ac:dyDescent="0.25"/>
    <row r="190769" s="12" customFormat="1" x14ac:dyDescent="0.25"/>
    <row r="190770" s="12" customFormat="1" x14ac:dyDescent="0.25"/>
    <row r="190771" s="12" customFormat="1" x14ac:dyDescent="0.25"/>
    <row r="190772" s="12" customFormat="1" x14ac:dyDescent="0.25"/>
    <row r="190773" s="12" customFormat="1" x14ac:dyDescent="0.25"/>
    <row r="190774" s="12" customFormat="1" x14ac:dyDescent="0.25"/>
    <row r="190775" s="12" customFormat="1" x14ac:dyDescent="0.25"/>
    <row r="190776" s="12" customFormat="1" x14ac:dyDescent="0.25"/>
    <row r="190777" s="12" customFormat="1" x14ac:dyDescent="0.25"/>
    <row r="190778" s="12" customFormat="1" x14ac:dyDescent="0.25"/>
    <row r="190779" s="12" customFormat="1" x14ac:dyDescent="0.25"/>
    <row r="190780" s="12" customFormat="1" x14ac:dyDescent="0.25"/>
    <row r="190781" s="12" customFormat="1" x14ac:dyDescent="0.25"/>
    <row r="190782" s="12" customFormat="1" x14ac:dyDescent="0.25"/>
    <row r="190783" s="12" customFormat="1" x14ac:dyDescent="0.25"/>
    <row r="190784" s="12" customFormat="1" x14ac:dyDescent="0.25"/>
    <row r="190785" s="12" customFormat="1" x14ac:dyDescent="0.25"/>
    <row r="190786" s="12" customFormat="1" x14ac:dyDescent="0.25"/>
    <row r="190787" s="12" customFormat="1" x14ac:dyDescent="0.25"/>
    <row r="190788" s="12" customFormat="1" x14ac:dyDescent="0.25"/>
    <row r="190789" s="12" customFormat="1" x14ac:dyDescent="0.25"/>
    <row r="190790" s="12" customFormat="1" x14ac:dyDescent="0.25"/>
    <row r="190791" s="12" customFormat="1" x14ac:dyDescent="0.25"/>
    <row r="190792" s="12" customFormat="1" x14ac:dyDescent="0.25"/>
    <row r="190793" s="12" customFormat="1" x14ac:dyDescent="0.25"/>
    <row r="190794" s="12" customFormat="1" x14ac:dyDescent="0.25"/>
    <row r="190795" s="12" customFormat="1" x14ac:dyDescent="0.25"/>
    <row r="190796" s="12" customFormat="1" x14ac:dyDescent="0.25"/>
    <row r="190797" s="12" customFormat="1" x14ac:dyDescent="0.25"/>
    <row r="190798" s="12" customFormat="1" x14ac:dyDescent="0.25"/>
    <row r="190799" s="12" customFormat="1" x14ac:dyDescent="0.25"/>
    <row r="190800" s="12" customFormat="1" x14ac:dyDescent="0.25"/>
    <row r="190801" s="12" customFormat="1" x14ac:dyDescent="0.25"/>
    <row r="190802" s="12" customFormat="1" x14ac:dyDescent="0.25"/>
    <row r="190803" s="12" customFormat="1" x14ac:dyDescent="0.25"/>
    <row r="190804" s="12" customFormat="1" x14ac:dyDescent="0.25"/>
    <row r="190805" s="12" customFormat="1" x14ac:dyDescent="0.25"/>
    <row r="190806" s="12" customFormat="1" x14ac:dyDescent="0.25"/>
    <row r="190807" s="12" customFormat="1" x14ac:dyDescent="0.25"/>
    <row r="190808" s="12" customFormat="1" x14ac:dyDescent="0.25"/>
    <row r="190809" s="12" customFormat="1" x14ac:dyDescent="0.25"/>
    <row r="190810" s="12" customFormat="1" x14ac:dyDescent="0.25"/>
    <row r="190811" s="12" customFormat="1" x14ac:dyDescent="0.25"/>
    <row r="190812" s="12" customFormat="1" x14ac:dyDescent="0.25"/>
    <row r="190813" s="12" customFormat="1" x14ac:dyDescent="0.25"/>
    <row r="190814" s="12" customFormat="1" x14ac:dyDescent="0.25"/>
    <row r="190815" s="12" customFormat="1" x14ac:dyDescent="0.25"/>
    <row r="190816" s="12" customFormat="1" x14ac:dyDescent="0.25"/>
    <row r="190817" s="12" customFormat="1" x14ac:dyDescent="0.25"/>
    <row r="190818" s="12" customFormat="1" x14ac:dyDescent="0.25"/>
    <row r="190819" s="12" customFormat="1" x14ac:dyDescent="0.25"/>
    <row r="190820" s="12" customFormat="1" x14ac:dyDescent="0.25"/>
    <row r="190821" s="12" customFormat="1" x14ac:dyDescent="0.25"/>
    <row r="190822" s="12" customFormat="1" x14ac:dyDescent="0.25"/>
    <row r="190823" s="12" customFormat="1" x14ac:dyDescent="0.25"/>
    <row r="190824" s="12" customFormat="1" x14ac:dyDescent="0.25"/>
    <row r="190825" s="12" customFormat="1" x14ac:dyDescent="0.25"/>
    <row r="190826" s="12" customFormat="1" x14ac:dyDescent="0.25"/>
    <row r="190827" s="12" customFormat="1" x14ac:dyDescent="0.25"/>
    <row r="190828" s="12" customFormat="1" x14ac:dyDescent="0.25"/>
    <row r="190829" s="12" customFormat="1" x14ac:dyDescent="0.25"/>
    <row r="190830" s="12" customFormat="1" x14ac:dyDescent="0.25"/>
    <row r="190831" s="12" customFormat="1" x14ac:dyDescent="0.25"/>
    <row r="190832" s="12" customFormat="1" x14ac:dyDescent="0.25"/>
    <row r="190833" s="12" customFormat="1" x14ac:dyDescent="0.25"/>
    <row r="190834" s="12" customFormat="1" x14ac:dyDescent="0.25"/>
    <row r="190835" s="12" customFormat="1" x14ac:dyDescent="0.25"/>
    <row r="190836" s="12" customFormat="1" x14ac:dyDescent="0.25"/>
    <row r="190837" s="12" customFormat="1" x14ac:dyDescent="0.25"/>
    <row r="190838" s="12" customFormat="1" x14ac:dyDescent="0.25"/>
    <row r="190839" s="12" customFormat="1" x14ac:dyDescent="0.25"/>
    <row r="190840" s="12" customFormat="1" x14ac:dyDescent="0.25"/>
    <row r="190841" s="12" customFormat="1" x14ac:dyDescent="0.25"/>
    <row r="190842" s="12" customFormat="1" x14ac:dyDescent="0.25"/>
    <row r="190843" s="12" customFormat="1" x14ac:dyDescent="0.25"/>
    <row r="190844" s="12" customFormat="1" x14ac:dyDescent="0.25"/>
    <row r="190845" s="12" customFormat="1" x14ac:dyDescent="0.25"/>
    <row r="190846" s="12" customFormat="1" x14ac:dyDescent="0.25"/>
    <row r="190847" s="12" customFormat="1" x14ac:dyDescent="0.25"/>
    <row r="190848" s="12" customFormat="1" x14ac:dyDescent="0.25"/>
    <row r="190849" s="12" customFormat="1" x14ac:dyDescent="0.25"/>
    <row r="190850" s="12" customFormat="1" x14ac:dyDescent="0.25"/>
    <row r="190851" s="12" customFormat="1" x14ac:dyDescent="0.25"/>
    <row r="190852" s="12" customFormat="1" x14ac:dyDescent="0.25"/>
    <row r="190853" s="12" customFormat="1" x14ac:dyDescent="0.25"/>
    <row r="190854" s="12" customFormat="1" x14ac:dyDescent="0.25"/>
    <row r="190855" s="12" customFormat="1" x14ac:dyDescent="0.25"/>
    <row r="190856" s="12" customFormat="1" x14ac:dyDescent="0.25"/>
    <row r="190857" s="12" customFormat="1" x14ac:dyDescent="0.25"/>
    <row r="190858" s="12" customFormat="1" x14ac:dyDescent="0.25"/>
    <row r="190859" s="12" customFormat="1" x14ac:dyDescent="0.25"/>
    <row r="190860" s="12" customFormat="1" x14ac:dyDescent="0.25"/>
    <row r="190861" s="12" customFormat="1" x14ac:dyDescent="0.25"/>
    <row r="190862" s="12" customFormat="1" x14ac:dyDescent="0.25"/>
    <row r="190863" s="12" customFormat="1" x14ac:dyDescent="0.25"/>
    <row r="190864" s="12" customFormat="1" x14ac:dyDescent="0.25"/>
    <row r="190865" s="12" customFormat="1" x14ac:dyDescent="0.25"/>
    <row r="190866" s="12" customFormat="1" x14ac:dyDescent="0.25"/>
    <row r="190867" s="12" customFormat="1" x14ac:dyDescent="0.25"/>
    <row r="190868" s="12" customFormat="1" x14ac:dyDescent="0.25"/>
    <row r="190869" s="12" customFormat="1" x14ac:dyDescent="0.25"/>
    <row r="190870" s="12" customFormat="1" x14ac:dyDescent="0.25"/>
    <row r="190871" s="12" customFormat="1" x14ac:dyDescent="0.25"/>
    <row r="190872" s="12" customFormat="1" x14ac:dyDescent="0.25"/>
    <row r="190873" s="12" customFormat="1" x14ac:dyDescent="0.25"/>
    <row r="190874" s="12" customFormat="1" x14ac:dyDescent="0.25"/>
    <row r="190875" s="12" customFormat="1" x14ac:dyDescent="0.25"/>
    <row r="190876" s="12" customFormat="1" x14ac:dyDescent="0.25"/>
    <row r="190877" s="12" customFormat="1" x14ac:dyDescent="0.25"/>
    <row r="190878" s="12" customFormat="1" x14ac:dyDescent="0.25"/>
    <row r="190879" s="12" customFormat="1" x14ac:dyDescent="0.25"/>
    <row r="190880" s="12" customFormat="1" x14ac:dyDescent="0.25"/>
    <row r="190881" s="12" customFormat="1" x14ac:dyDescent="0.25"/>
    <row r="190882" s="12" customFormat="1" x14ac:dyDescent="0.25"/>
    <row r="190883" s="12" customFormat="1" x14ac:dyDescent="0.25"/>
    <row r="190884" s="12" customFormat="1" x14ac:dyDescent="0.25"/>
    <row r="190885" s="12" customFormat="1" x14ac:dyDescent="0.25"/>
    <row r="190886" s="12" customFormat="1" x14ac:dyDescent="0.25"/>
    <row r="190887" s="12" customFormat="1" x14ac:dyDescent="0.25"/>
    <row r="190888" s="12" customFormat="1" x14ac:dyDescent="0.25"/>
    <row r="190889" s="12" customFormat="1" x14ac:dyDescent="0.25"/>
    <row r="190890" s="12" customFormat="1" x14ac:dyDescent="0.25"/>
    <row r="190891" s="12" customFormat="1" x14ac:dyDescent="0.25"/>
    <row r="190892" s="12" customFormat="1" x14ac:dyDescent="0.25"/>
    <row r="190893" s="12" customFormat="1" x14ac:dyDescent="0.25"/>
    <row r="190894" s="12" customFormat="1" x14ac:dyDescent="0.25"/>
    <row r="190895" s="12" customFormat="1" x14ac:dyDescent="0.25"/>
    <row r="190896" s="12" customFormat="1" x14ac:dyDescent="0.25"/>
    <row r="190897" s="12" customFormat="1" x14ac:dyDescent="0.25"/>
    <row r="190898" s="12" customFormat="1" x14ac:dyDescent="0.25"/>
    <row r="190899" s="12" customFormat="1" x14ac:dyDescent="0.25"/>
    <row r="190900" s="12" customFormat="1" x14ac:dyDescent="0.25"/>
    <row r="190901" s="12" customFormat="1" x14ac:dyDescent="0.25"/>
    <row r="190902" s="12" customFormat="1" x14ac:dyDescent="0.25"/>
    <row r="190903" s="12" customFormat="1" x14ac:dyDescent="0.25"/>
    <row r="190904" s="12" customFormat="1" x14ac:dyDescent="0.25"/>
    <row r="190905" s="12" customFormat="1" x14ac:dyDescent="0.25"/>
    <row r="190906" s="12" customFormat="1" x14ac:dyDescent="0.25"/>
    <row r="190907" s="12" customFormat="1" x14ac:dyDescent="0.25"/>
    <row r="190908" s="12" customFormat="1" x14ac:dyDescent="0.25"/>
    <row r="190909" s="12" customFormat="1" x14ac:dyDescent="0.25"/>
    <row r="190910" s="12" customFormat="1" x14ac:dyDescent="0.25"/>
    <row r="190911" s="12" customFormat="1" x14ac:dyDescent="0.25"/>
    <row r="190912" s="12" customFormat="1" x14ac:dyDescent="0.25"/>
    <row r="190913" s="12" customFormat="1" x14ac:dyDescent="0.25"/>
    <row r="190914" s="12" customFormat="1" x14ac:dyDescent="0.25"/>
    <row r="190915" s="12" customFormat="1" x14ac:dyDescent="0.25"/>
    <row r="190916" s="12" customFormat="1" x14ac:dyDescent="0.25"/>
    <row r="190917" s="12" customFormat="1" x14ac:dyDescent="0.25"/>
    <row r="190918" s="12" customFormat="1" x14ac:dyDescent="0.25"/>
    <row r="190919" s="12" customFormat="1" x14ac:dyDescent="0.25"/>
    <row r="190920" s="12" customFormat="1" x14ac:dyDescent="0.25"/>
    <row r="190921" s="12" customFormat="1" x14ac:dyDescent="0.25"/>
    <row r="190922" s="12" customFormat="1" x14ac:dyDescent="0.25"/>
    <row r="190923" s="12" customFormat="1" x14ac:dyDescent="0.25"/>
    <row r="190924" s="12" customFormat="1" x14ac:dyDescent="0.25"/>
    <row r="190925" s="12" customFormat="1" x14ac:dyDescent="0.25"/>
    <row r="190926" s="12" customFormat="1" x14ac:dyDescent="0.25"/>
    <row r="190927" s="12" customFormat="1" x14ac:dyDescent="0.25"/>
    <row r="190928" s="12" customFormat="1" x14ac:dyDescent="0.25"/>
    <row r="190929" s="12" customFormat="1" x14ac:dyDescent="0.25"/>
    <row r="190930" s="12" customFormat="1" x14ac:dyDescent="0.25"/>
    <row r="190931" s="12" customFormat="1" x14ac:dyDescent="0.25"/>
    <row r="190932" s="12" customFormat="1" x14ac:dyDescent="0.25"/>
    <row r="190933" s="12" customFormat="1" x14ac:dyDescent="0.25"/>
    <row r="190934" s="12" customFormat="1" x14ac:dyDescent="0.25"/>
    <row r="190935" s="12" customFormat="1" x14ac:dyDescent="0.25"/>
    <row r="190936" s="12" customFormat="1" x14ac:dyDescent="0.25"/>
    <row r="190937" s="12" customFormat="1" x14ac:dyDescent="0.25"/>
    <row r="190938" s="12" customFormat="1" x14ac:dyDescent="0.25"/>
    <row r="190939" s="12" customFormat="1" x14ac:dyDescent="0.25"/>
    <row r="190940" s="12" customFormat="1" x14ac:dyDescent="0.25"/>
    <row r="190941" s="12" customFormat="1" x14ac:dyDescent="0.25"/>
    <row r="190942" s="12" customFormat="1" x14ac:dyDescent="0.25"/>
    <row r="190943" s="12" customFormat="1" x14ac:dyDescent="0.25"/>
    <row r="190944" s="12" customFormat="1" x14ac:dyDescent="0.25"/>
    <row r="190945" s="12" customFormat="1" x14ac:dyDescent="0.25"/>
    <row r="190946" s="12" customFormat="1" x14ac:dyDescent="0.25"/>
    <row r="190947" s="12" customFormat="1" x14ac:dyDescent="0.25"/>
    <row r="190948" s="12" customFormat="1" x14ac:dyDescent="0.25"/>
    <row r="190949" s="12" customFormat="1" x14ac:dyDescent="0.25"/>
    <row r="190950" s="12" customFormat="1" x14ac:dyDescent="0.25"/>
    <row r="190951" s="12" customFormat="1" x14ac:dyDescent="0.25"/>
    <row r="190952" s="12" customFormat="1" x14ac:dyDescent="0.25"/>
    <row r="190953" s="12" customFormat="1" x14ac:dyDescent="0.25"/>
    <row r="190954" s="12" customFormat="1" x14ac:dyDescent="0.25"/>
    <row r="190955" s="12" customFormat="1" x14ac:dyDescent="0.25"/>
    <row r="190956" s="12" customFormat="1" x14ac:dyDescent="0.25"/>
    <row r="190957" s="12" customFormat="1" x14ac:dyDescent="0.25"/>
    <row r="190958" s="12" customFormat="1" x14ac:dyDescent="0.25"/>
    <row r="190959" s="12" customFormat="1" x14ac:dyDescent="0.25"/>
    <row r="190960" s="12" customFormat="1" x14ac:dyDescent="0.25"/>
    <row r="190961" s="12" customFormat="1" x14ac:dyDescent="0.25"/>
    <row r="190962" s="12" customFormat="1" x14ac:dyDescent="0.25"/>
    <row r="190963" s="12" customFormat="1" x14ac:dyDescent="0.25"/>
    <row r="190964" s="12" customFormat="1" x14ac:dyDescent="0.25"/>
    <row r="190965" s="12" customFormat="1" x14ac:dyDescent="0.25"/>
    <row r="190966" s="12" customFormat="1" x14ac:dyDescent="0.25"/>
    <row r="190967" s="12" customFormat="1" x14ac:dyDescent="0.25"/>
    <row r="190968" s="12" customFormat="1" x14ac:dyDescent="0.25"/>
    <row r="190969" s="12" customFormat="1" x14ac:dyDescent="0.25"/>
    <row r="190970" s="12" customFormat="1" x14ac:dyDescent="0.25"/>
    <row r="190971" s="12" customFormat="1" x14ac:dyDescent="0.25"/>
    <row r="190972" s="12" customFormat="1" x14ac:dyDescent="0.25"/>
    <row r="190973" s="12" customFormat="1" x14ac:dyDescent="0.25"/>
    <row r="190974" s="12" customFormat="1" x14ac:dyDescent="0.25"/>
    <row r="190975" s="12" customFormat="1" x14ac:dyDescent="0.25"/>
    <row r="190976" s="12" customFormat="1" x14ac:dyDescent="0.25"/>
    <row r="190977" s="12" customFormat="1" x14ac:dyDescent="0.25"/>
    <row r="190978" s="12" customFormat="1" x14ac:dyDescent="0.25"/>
    <row r="190979" s="12" customFormat="1" x14ac:dyDescent="0.25"/>
    <row r="190980" s="12" customFormat="1" x14ac:dyDescent="0.25"/>
    <row r="190981" s="12" customFormat="1" x14ac:dyDescent="0.25"/>
    <row r="190982" s="12" customFormat="1" x14ac:dyDescent="0.25"/>
    <row r="190983" s="12" customFormat="1" x14ac:dyDescent="0.25"/>
    <row r="190984" s="12" customFormat="1" x14ac:dyDescent="0.25"/>
    <row r="190985" s="12" customFormat="1" x14ac:dyDescent="0.25"/>
    <row r="190986" s="12" customFormat="1" x14ac:dyDescent="0.25"/>
    <row r="190987" s="12" customFormat="1" x14ac:dyDescent="0.25"/>
    <row r="190988" s="12" customFormat="1" x14ac:dyDescent="0.25"/>
    <row r="190989" s="12" customFormat="1" x14ac:dyDescent="0.25"/>
    <row r="190990" s="12" customFormat="1" x14ac:dyDescent="0.25"/>
    <row r="190991" s="12" customFormat="1" x14ac:dyDescent="0.25"/>
    <row r="190992" s="12" customFormat="1" x14ac:dyDescent="0.25"/>
    <row r="190993" s="12" customFormat="1" x14ac:dyDescent="0.25"/>
    <row r="190994" s="12" customFormat="1" x14ac:dyDescent="0.25"/>
    <row r="190995" s="12" customFormat="1" x14ac:dyDescent="0.25"/>
    <row r="190996" s="12" customFormat="1" x14ac:dyDescent="0.25"/>
    <row r="190997" s="12" customFormat="1" x14ac:dyDescent="0.25"/>
    <row r="190998" s="12" customFormat="1" x14ac:dyDescent="0.25"/>
    <row r="190999" s="12" customFormat="1" x14ac:dyDescent="0.25"/>
    <row r="191000" s="12" customFormat="1" x14ac:dyDescent="0.25"/>
    <row r="191001" s="12" customFormat="1" x14ac:dyDescent="0.25"/>
    <row r="191002" s="12" customFormat="1" x14ac:dyDescent="0.25"/>
    <row r="191003" s="12" customFormat="1" x14ac:dyDescent="0.25"/>
    <row r="191004" s="12" customFormat="1" x14ac:dyDescent="0.25"/>
    <row r="191005" s="12" customFormat="1" x14ac:dyDescent="0.25"/>
    <row r="191006" s="12" customFormat="1" x14ac:dyDescent="0.25"/>
    <row r="191007" s="12" customFormat="1" x14ac:dyDescent="0.25"/>
    <row r="191008" s="12" customFormat="1" x14ac:dyDescent="0.25"/>
    <row r="191009" s="12" customFormat="1" x14ac:dyDescent="0.25"/>
    <row r="191010" s="12" customFormat="1" x14ac:dyDescent="0.25"/>
    <row r="191011" s="12" customFormat="1" x14ac:dyDescent="0.25"/>
    <row r="191012" s="12" customFormat="1" x14ac:dyDescent="0.25"/>
    <row r="191013" s="12" customFormat="1" x14ac:dyDescent="0.25"/>
    <row r="191014" s="12" customFormat="1" x14ac:dyDescent="0.25"/>
    <row r="191015" s="12" customFormat="1" x14ac:dyDescent="0.25"/>
    <row r="191016" s="12" customFormat="1" x14ac:dyDescent="0.25"/>
    <row r="191017" s="12" customFormat="1" x14ac:dyDescent="0.25"/>
    <row r="191018" s="12" customFormat="1" x14ac:dyDescent="0.25"/>
    <row r="191019" s="12" customFormat="1" x14ac:dyDescent="0.25"/>
    <row r="191020" s="12" customFormat="1" x14ac:dyDescent="0.25"/>
    <row r="191021" s="12" customFormat="1" x14ac:dyDescent="0.25"/>
    <row r="191022" s="12" customFormat="1" x14ac:dyDescent="0.25"/>
    <row r="191023" s="12" customFormat="1" x14ac:dyDescent="0.25"/>
    <row r="191024" s="12" customFormat="1" x14ac:dyDescent="0.25"/>
    <row r="191025" s="12" customFormat="1" x14ac:dyDescent="0.25"/>
    <row r="191026" s="12" customFormat="1" x14ac:dyDescent="0.25"/>
    <row r="191027" s="12" customFormat="1" x14ac:dyDescent="0.25"/>
    <row r="191028" s="12" customFormat="1" x14ac:dyDescent="0.25"/>
    <row r="191029" s="12" customFormat="1" x14ac:dyDescent="0.25"/>
    <row r="191030" s="12" customFormat="1" x14ac:dyDescent="0.25"/>
    <row r="191031" s="12" customFormat="1" x14ac:dyDescent="0.25"/>
    <row r="191032" s="12" customFormat="1" x14ac:dyDescent="0.25"/>
    <row r="191033" s="12" customFormat="1" x14ac:dyDescent="0.25"/>
    <row r="191034" s="12" customFormat="1" x14ac:dyDescent="0.25"/>
    <row r="191035" s="12" customFormat="1" x14ac:dyDescent="0.25"/>
    <row r="191036" s="12" customFormat="1" x14ac:dyDescent="0.25"/>
    <row r="191037" s="12" customFormat="1" x14ac:dyDescent="0.25"/>
    <row r="191038" s="12" customFormat="1" x14ac:dyDescent="0.25"/>
    <row r="191039" s="12" customFormat="1" x14ac:dyDescent="0.25"/>
    <row r="191040" s="12" customFormat="1" x14ac:dyDescent="0.25"/>
    <row r="191041" s="12" customFormat="1" x14ac:dyDescent="0.25"/>
    <row r="191042" s="12" customFormat="1" x14ac:dyDescent="0.25"/>
    <row r="191043" s="12" customFormat="1" x14ac:dyDescent="0.25"/>
    <row r="191044" s="12" customFormat="1" x14ac:dyDescent="0.25"/>
    <row r="191045" s="12" customFormat="1" x14ac:dyDescent="0.25"/>
    <row r="191046" s="12" customFormat="1" x14ac:dyDescent="0.25"/>
    <row r="191047" s="12" customFormat="1" x14ac:dyDescent="0.25"/>
    <row r="191048" s="12" customFormat="1" x14ac:dyDescent="0.25"/>
    <row r="191049" s="12" customFormat="1" x14ac:dyDescent="0.25"/>
    <row r="191050" s="12" customFormat="1" x14ac:dyDescent="0.25"/>
    <row r="191051" s="12" customFormat="1" x14ac:dyDescent="0.25"/>
    <row r="191052" s="12" customFormat="1" x14ac:dyDescent="0.25"/>
    <row r="191053" s="12" customFormat="1" x14ac:dyDescent="0.25"/>
    <row r="191054" s="12" customFormat="1" x14ac:dyDescent="0.25"/>
    <row r="191055" s="12" customFormat="1" x14ac:dyDescent="0.25"/>
    <row r="191056" s="12" customFormat="1" x14ac:dyDescent="0.25"/>
    <row r="191057" s="12" customFormat="1" x14ac:dyDescent="0.25"/>
    <row r="191058" s="12" customFormat="1" x14ac:dyDescent="0.25"/>
    <row r="191059" s="12" customFormat="1" x14ac:dyDescent="0.25"/>
    <row r="191060" s="12" customFormat="1" x14ac:dyDescent="0.25"/>
    <row r="191061" s="12" customFormat="1" x14ac:dyDescent="0.25"/>
    <row r="191062" s="12" customFormat="1" x14ac:dyDescent="0.25"/>
    <row r="191063" s="12" customFormat="1" x14ac:dyDescent="0.25"/>
    <row r="191064" s="12" customFormat="1" x14ac:dyDescent="0.25"/>
    <row r="191065" s="12" customFormat="1" x14ac:dyDescent="0.25"/>
    <row r="191066" s="12" customFormat="1" x14ac:dyDescent="0.25"/>
    <row r="191067" s="12" customFormat="1" x14ac:dyDescent="0.25"/>
    <row r="191068" s="12" customFormat="1" x14ac:dyDescent="0.25"/>
    <row r="191069" s="12" customFormat="1" x14ac:dyDescent="0.25"/>
    <row r="191070" s="12" customFormat="1" x14ac:dyDescent="0.25"/>
    <row r="191071" s="12" customFormat="1" x14ac:dyDescent="0.25"/>
    <row r="191072" s="12" customFormat="1" x14ac:dyDescent="0.25"/>
    <row r="191073" s="12" customFormat="1" x14ac:dyDescent="0.25"/>
    <row r="191074" s="12" customFormat="1" x14ac:dyDescent="0.25"/>
    <row r="191075" s="12" customFormat="1" x14ac:dyDescent="0.25"/>
    <row r="191076" s="12" customFormat="1" x14ac:dyDescent="0.25"/>
    <row r="191077" s="12" customFormat="1" x14ac:dyDescent="0.25"/>
    <row r="191078" s="12" customFormat="1" x14ac:dyDescent="0.25"/>
    <row r="191079" s="12" customFormat="1" x14ac:dyDescent="0.25"/>
    <row r="191080" s="12" customFormat="1" x14ac:dyDescent="0.25"/>
    <row r="191081" s="12" customFormat="1" x14ac:dyDescent="0.25"/>
    <row r="191082" s="12" customFormat="1" x14ac:dyDescent="0.25"/>
    <row r="191083" s="12" customFormat="1" x14ac:dyDescent="0.25"/>
    <row r="191084" s="12" customFormat="1" x14ac:dyDescent="0.25"/>
    <row r="191085" s="12" customFormat="1" x14ac:dyDescent="0.25"/>
    <row r="191086" s="12" customFormat="1" x14ac:dyDescent="0.25"/>
    <row r="191087" s="12" customFormat="1" x14ac:dyDescent="0.25"/>
    <row r="191088" s="12" customFormat="1" x14ac:dyDescent="0.25"/>
    <row r="191089" s="12" customFormat="1" x14ac:dyDescent="0.25"/>
    <row r="191090" s="12" customFormat="1" x14ac:dyDescent="0.25"/>
    <row r="191091" s="12" customFormat="1" x14ac:dyDescent="0.25"/>
    <row r="191092" s="12" customFormat="1" x14ac:dyDescent="0.25"/>
    <row r="191093" s="12" customFormat="1" x14ac:dyDescent="0.25"/>
    <row r="191094" s="12" customFormat="1" x14ac:dyDescent="0.25"/>
    <row r="191095" s="12" customFormat="1" x14ac:dyDescent="0.25"/>
    <row r="191096" s="12" customFormat="1" x14ac:dyDescent="0.25"/>
    <row r="191097" s="12" customFormat="1" x14ac:dyDescent="0.25"/>
    <row r="191098" s="12" customFormat="1" x14ac:dyDescent="0.25"/>
    <row r="191099" s="12" customFormat="1" x14ac:dyDescent="0.25"/>
    <row r="191100" s="12" customFormat="1" x14ac:dyDescent="0.25"/>
    <row r="191101" s="12" customFormat="1" x14ac:dyDescent="0.25"/>
    <row r="191102" s="12" customFormat="1" x14ac:dyDescent="0.25"/>
    <row r="191103" s="12" customFormat="1" x14ac:dyDescent="0.25"/>
    <row r="191104" s="12" customFormat="1" x14ac:dyDescent="0.25"/>
    <row r="191105" s="12" customFormat="1" x14ac:dyDescent="0.25"/>
    <row r="191106" s="12" customFormat="1" x14ac:dyDescent="0.25"/>
    <row r="191107" s="12" customFormat="1" x14ac:dyDescent="0.25"/>
    <row r="191108" s="12" customFormat="1" x14ac:dyDescent="0.25"/>
    <row r="191109" s="12" customFormat="1" x14ac:dyDescent="0.25"/>
    <row r="191110" s="12" customFormat="1" x14ac:dyDescent="0.25"/>
    <row r="191111" s="12" customFormat="1" x14ac:dyDescent="0.25"/>
    <row r="191112" s="12" customFormat="1" x14ac:dyDescent="0.25"/>
    <row r="191113" s="12" customFormat="1" x14ac:dyDescent="0.25"/>
    <row r="191114" s="12" customFormat="1" x14ac:dyDescent="0.25"/>
    <row r="191115" s="12" customFormat="1" x14ac:dyDescent="0.25"/>
    <row r="191116" s="12" customFormat="1" x14ac:dyDescent="0.25"/>
    <row r="191117" s="12" customFormat="1" x14ac:dyDescent="0.25"/>
    <row r="191118" s="12" customFormat="1" x14ac:dyDescent="0.25"/>
    <row r="191119" s="12" customFormat="1" x14ac:dyDescent="0.25"/>
    <row r="191120" s="12" customFormat="1" x14ac:dyDescent="0.25"/>
    <row r="191121" s="12" customFormat="1" x14ac:dyDescent="0.25"/>
    <row r="191122" s="12" customFormat="1" x14ac:dyDescent="0.25"/>
    <row r="191123" s="12" customFormat="1" x14ac:dyDescent="0.25"/>
    <row r="191124" s="12" customFormat="1" x14ac:dyDescent="0.25"/>
    <row r="191125" s="12" customFormat="1" x14ac:dyDescent="0.25"/>
    <row r="191126" s="12" customFormat="1" x14ac:dyDescent="0.25"/>
    <row r="191127" s="12" customFormat="1" x14ac:dyDescent="0.25"/>
    <row r="191128" s="12" customFormat="1" x14ac:dyDescent="0.25"/>
    <row r="191129" s="12" customFormat="1" x14ac:dyDescent="0.25"/>
    <row r="191130" s="12" customFormat="1" x14ac:dyDescent="0.25"/>
    <row r="191131" s="12" customFormat="1" x14ac:dyDescent="0.25"/>
    <row r="191132" s="12" customFormat="1" x14ac:dyDescent="0.25"/>
    <row r="191133" s="12" customFormat="1" x14ac:dyDescent="0.25"/>
    <row r="191134" s="12" customFormat="1" x14ac:dyDescent="0.25"/>
    <row r="191135" s="12" customFormat="1" x14ac:dyDescent="0.25"/>
    <row r="191136" s="12" customFormat="1" x14ac:dyDescent="0.25"/>
    <row r="191137" s="12" customFormat="1" x14ac:dyDescent="0.25"/>
    <row r="191138" s="12" customFormat="1" x14ac:dyDescent="0.25"/>
    <row r="191139" s="12" customFormat="1" x14ac:dyDescent="0.25"/>
    <row r="191140" s="12" customFormat="1" x14ac:dyDescent="0.25"/>
    <row r="191141" s="12" customFormat="1" x14ac:dyDescent="0.25"/>
    <row r="191142" s="12" customFormat="1" x14ac:dyDescent="0.25"/>
    <row r="191143" s="12" customFormat="1" x14ac:dyDescent="0.25"/>
    <row r="191144" s="12" customFormat="1" x14ac:dyDescent="0.25"/>
    <row r="191145" s="12" customFormat="1" x14ac:dyDescent="0.25"/>
    <row r="191146" s="12" customFormat="1" x14ac:dyDescent="0.25"/>
    <row r="191147" s="12" customFormat="1" x14ac:dyDescent="0.25"/>
    <row r="191148" s="12" customFormat="1" x14ac:dyDescent="0.25"/>
    <row r="191149" s="12" customFormat="1" x14ac:dyDescent="0.25"/>
    <row r="191150" s="12" customFormat="1" x14ac:dyDescent="0.25"/>
    <row r="191151" s="12" customFormat="1" x14ac:dyDescent="0.25"/>
    <row r="191152" s="12" customFormat="1" x14ac:dyDescent="0.25"/>
    <row r="191153" s="12" customFormat="1" x14ac:dyDescent="0.25"/>
    <row r="191154" s="12" customFormat="1" x14ac:dyDescent="0.25"/>
    <row r="191155" s="12" customFormat="1" x14ac:dyDescent="0.25"/>
    <row r="191156" s="12" customFormat="1" x14ac:dyDescent="0.25"/>
    <row r="191157" s="12" customFormat="1" x14ac:dyDescent="0.25"/>
    <row r="191158" s="12" customFormat="1" x14ac:dyDescent="0.25"/>
    <row r="191159" s="12" customFormat="1" x14ac:dyDescent="0.25"/>
    <row r="191160" s="12" customFormat="1" x14ac:dyDescent="0.25"/>
    <row r="191161" s="12" customFormat="1" x14ac:dyDescent="0.25"/>
    <row r="191162" s="12" customFormat="1" x14ac:dyDescent="0.25"/>
    <row r="191163" s="12" customFormat="1" x14ac:dyDescent="0.25"/>
    <row r="191164" s="12" customFormat="1" x14ac:dyDescent="0.25"/>
    <row r="191165" s="12" customFormat="1" x14ac:dyDescent="0.25"/>
    <row r="191166" s="12" customFormat="1" x14ac:dyDescent="0.25"/>
    <row r="191167" s="12" customFormat="1" x14ac:dyDescent="0.25"/>
    <row r="191168" s="12" customFormat="1" x14ac:dyDescent="0.25"/>
    <row r="191169" s="12" customFormat="1" x14ac:dyDescent="0.25"/>
    <row r="191170" s="12" customFormat="1" x14ac:dyDescent="0.25"/>
    <row r="191171" s="12" customFormat="1" x14ac:dyDescent="0.25"/>
    <row r="191172" s="12" customFormat="1" x14ac:dyDescent="0.25"/>
    <row r="191173" s="12" customFormat="1" x14ac:dyDescent="0.25"/>
    <row r="191174" s="12" customFormat="1" x14ac:dyDescent="0.25"/>
    <row r="191175" s="12" customFormat="1" x14ac:dyDescent="0.25"/>
    <row r="191176" s="12" customFormat="1" x14ac:dyDescent="0.25"/>
    <row r="191177" s="12" customFormat="1" x14ac:dyDescent="0.25"/>
    <row r="191178" s="12" customFormat="1" x14ac:dyDescent="0.25"/>
    <row r="191179" s="12" customFormat="1" x14ac:dyDescent="0.25"/>
    <row r="191180" s="12" customFormat="1" x14ac:dyDescent="0.25"/>
    <row r="191181" s="12" customFormat="1" x14ac:dyDescent="0.25"/>
    <row r="191182" s="12" customFormat="1" x14ac:dyDescent="0.25"/>
    <row r="191183" s="12" customFormat="1" x14ac:dyDescent="0.25"/>
    <row r="191184" s="12" customFormat="1" x14ac:dyDescent="0.25"/>
    <row r="191185" s="12" customFormat="1" x14ac:dyDescent="0.25"/>
    <row r="191186" s="12" customFormat="1" x14ac:dyDescent="0.25"/>
    <row r="191187" s="12" customFormat="1" x14ac:dyDescent="0.25"/>
    <row r="191188" s="12" customFormat="1" x14ac:dyDescent="0.25"/>
    <row r="191189" s="12" customFormat="1" x14ac:dyDescent="0.25"/>
    <row r="191190" s="12" customFormat="1" x14ac:dyDescent="0.25"/>
    <row r="191191" s="12" customFormat="1" x14ac:dyDescent="0.25"/>
    <row r="191192" s="12" customFormat="1" x14ac:dyDescent="0.25"/>
    <row r="191193" s="12" customFormat="1" x14ac:dyDescent="0.25"/>
    <row r="191194" s="12" customFormat="1" x14ac:dyDescent="0.25"/>
    <row r="191195" s="12" customFormat="1" x14ac:dyDescent="0.25"/>
    <row r="191196" s="12" customFormat="1" x14ac:dyDescent="0.25"/>
    <row r="191197" s="12" customFormat="1" x14ac:dyDescent="0.25"/>
    <row r="191198" s="12" customFormat="1" x14ac:dyDescent="0.25"/>
    <row r="191199" s="12" customFormat="1" x14ac:dyDescent="0.25"/>
    <row r="191200" s="12" customFormat="1" x14ac:dyDescent="0.25"/>
    <row r="191201" s="12" customFormat="1" x14ac:dyDescent="0.25"/>
    <row r="191202" s="12" customFormat="1" x14ac:dyDescent="0.25"/>
    <row r="191203" s="12" customFormat="1" x14ac:dyDescent="0.25"/>
    <row r="191204" s="12" customFormat="1" x14ac:dyDescent="0.25"/>
    <row r="191205" s="12" customFormat="1" x14ac:dyDescent="0.25"/>
    <row r="191206" s="12" customFormat="1" x14ac:dyDescent="0.25"/>
    <row r="191207" s="12" customFormat="1" x14ac:dyDescent="0.25"/>
    <row r="191208" s="12" customFormat="1" x14ac:dyDescent="0.25"/>
    <row r="191209" s="12" customFormat="1" x14ac:dyDescent="0.25"/>
    <row r="191210" s="12" customFormat="1" x14ac:dyDescent="0.25"/>
    <row r="191211" s="12" customFormat="1" x14ac:dyDescent="0.25"/>
    <row r="191212" s="12" customFormat="1" x14ac:dyDescent="0.25"/>
    <row r="191213" s="12" customFormat="1" x14ac:dyDescent="0.25"/>
    <row r="191214" s="12" customFormat="1" x14ac:dyDescent="0.25"/>
    <row r="191215" s="12" customFormat="1" x14ac:dyDescent="0.25"/>
    <row r="191216" s="12" customFormat="1" x14ac:dyDescent="0.25"/>
    <row r="191217" s="12" customFormat="1" x14ac:dyDescent="0.25"/>
    <row r="191218" s="12" customFormat="1" x14ac:dyDescent="0.25"/>
    <row r="191219" s="12" customFormat="1" x14ac:dyDescent="0.25"/>
    <row r="191220" s="12" customFormat="1" x14ac:dyDescent="0.25"/>
    <row r="191221" s="12" customFormat="1" x14ac:dyDescent="0.25"/>
    <row r="191222" s="12" customFormat="1" x14ac:dyDescent="0.25"/>
    <row r="191223" s="12" customFormat="1" x14ac:dyDescent="0.25"/>
    <row r="191224" s="12" customFormat="1" x14ac:dyDescent="0.25"/>
    <row r="191225" s="12" customFormat="1" x14ac:dyDescent="0.25"/>
    <row r="191226" s="12" customFormat="1" x14ac:dyDescent="0.25"/>
    <row r="191227" s="12" customFormat="1" x14ac:dyDescent="0.25"/>
    <row r="191228" s="12" customFormat="1" x14ac:dyDescent="0.25"/>
    <row r="191229" s="12" customFormat="1" x14ac:dyDescent="0.25"/>
    <row r="191230" s="12" customFormat="1" x14ac:dyDescent="0.25"/>
    <row r="191231" s="12" customFormat="1" x14ac:dyDescent="0.25"/>
    <row r="191232" s="12" customFormat="1" x14ac:dyDescent="0.25"/>
    <row r="191233" s="12" customFormat="1" x14ac:dyDescent="0.25"/>
    <row r="191234" s="12" customFormat="1" x14ac:dyDescent="0.25"/>
    <row r="191235" s="12" customFormat="1" x14ac:dyDescent="0.25"/>
    <row r="191236" s="12" customFormat="1" x14ac:dyDescent="0.25"/>
    <row r="191237" s="12" customFormat="1" x14ac:dyDescent="0.25"/>
    <row r="191238" s="12" customFormat="1" x14ac:dyDescent="0.25"/>
    <row r="191239" s="12" customFormat="1" x14ac:dyDescent="0.25"/>
    <row r="191240" s="12" customFormat="1" x14ac:dyDescent="0.25"/>
    <row r="191241" s="12" customFormat="1" x14ac:dyDescent="0.25"/>
    <row r="191242" s="12" customFormat="1" x14ac:dyDescent="0.25"/>
    <row r="191243" s="12" customFormat="1" x14ac:dyDescent="0.25"/>
    <row r="191244" s="12" customFormat="1" x14ac:dyDescent="0.25"/>
    <row r="191245" s="12" customFormat="1" x14ac:dyDescent="0.25"/>
    <row r="191246" s="12" customFormat="1" x14ac:dyDescent="0.25"/>
    <row r="191247" s="12" customFormat="1" x14ac:dyDescent="0.25"/>
    <row r="191248" s="12" customFormat="1" x14ac:dyDescent="0.25"/>
    <row r="191249" s="12" customFormat="1" x14ac:dyDescent="0.25"/>
    <row r="191250" s="12" customFormat="1" x14ac:dyDescent="0.25"/>
    <row r="191251" s="12" customFormat="1" x14ac:dyDescent="0.25"/>
    <row r="191252" s="12" customFormat="1" x14ac:dyDescent="0.25"/>
    <row r="191253" s="12" customFormat="1" x14ac:dyDescent="0.25"/>
    <row r="191254" s="12" customFormat="1" x14ac:dyDescent="0.25"/>
    <row r="191255" s="12" customFormat="1" x14ac:dyDescent="0.25"/>
    <row r="191256" s="12" customFormat="1" x14ac:dyDescent="0.25"/>
    <row r="191257" s="12" customFormat="1" x14ac:dyDescent="0.25"/>
    <row r="191258" s="12" customFormat="1" x14ac:dyDescent="0.25"/>
    <row r="191259" s="12" customFormat="1" x14ac:dyDescent="0.25"/>
    <row r="191260" s="12" customFormat="1" x14ac:dyDescent="0.25"/>
    <row r="191261" s="12" customFormat="1" x14ac:dyDescent="0.25"/>
    <row r="191262" s="12" customFormat="1" x14ac:dyDescent="0.25"/>
    <row r="191263" s="12" customFormat="1" x14ac:dyDescent="0.25"/>
    <row r="191264" s="12" customFormat="1" x14ac:dyDescent="0.25"/>
    <row r="191265" s="12" customFormat="1" x14ac:dyDescent="0.25"/>
    <row r="191266" s="12" customFormat="1" x14ac:dyDescent="0.25"/>
    <row r="191267" s="12" customFormat="1" x14ac:dyDescent="0.25"/>
    <row r="191268" s="12" customFormat="1" x14ac:dyDescent="0.25"/>
    <row r="191269" s="12" customFormat="1" x14ac:dyDescent="0.25"/>
    <row r="191270" s="12" customFormat="1" x14ac:dyDescent="0.25"/>
    <row r="191271" s="12" customFormat="1" x14ac:dyDescent="0.25"/>
    <row r="191272" s="12" customFormat="1" x14ac:dyDescent="0.25"/>
    <row r="191273" s="12" customFormat="1" x14ac:dyDescent="0.25"/>
    <row r="191274" s="12" customFormat="1" x14ac:dyDescent="0.25"/>
    <row r="191275" s="12" customFormat="1" x14ac:dyDescent="0.25"/>
    <row r="191276" s="12" customFormat="1" x14ac:dyDescent="0.25"/>
    <row r="191277" s="12" customFormat="1" x14ac:dyDescent="0.25"/>
    <row r="191278" s="12" customFormat="1" x14ac:dyDescent="0.25"/>
    <row r="191279" s="12" customFormat="1" x14ac:dyDescent="0.25"/>
    <row r="191280" s="12" customFormat="1" x14ac:dyDescent="0.25"/>
    <row r="191281" s="12" customFormat="1" x14ac:dyDescent="0.25"/>
    <row r="191282" s="12" customFormat="1" x14ac:dyDescent="0.25"/>
    <row r="191283" s="12" customFormat="1" x14ac:dyDescent="0.25"/>
    <row r="191284" s="12" customFormat="1" x14ac:dyDescent="0.25"/>
    <row r="191285" s="12" customFormat="1" x14ac:dyDescent="0.25"/>
    <row r="191286" s="12" customFormat="1" x14ac:dyDescent="0.25"/>
    <row r="191287" s="12" customFormat="1" x14ac:dyDescent="0.25"/>
    <row r="191288" s="12" customFormat="1" x14ac:dyDescent="0.25"/>
    <row r="191289" s="12" customFormat="1" x14ac:dyDescent="0.25"/>
    <row r="191290" s="12" customFormat="1" x14ac:dyDescent="0.25"/>
    <row r="191291" s="12" customFormat="1" x14ac:dyDescent="0.25"/>
    <row r="191292" s="12" customFormat="1" x14ac:dyDescent="0.25"/>
    <row r="191293" s="12" customFormat="1" x14ac:dyDescent="0.25"/>
    <row r="191294" s="12" customFormat="1" x14ac:dyDescent="0.25"/>
    <row r="191295" s="12" customFormat="1" x14ac:dyDescent="0.25"/>
    <row r="191296" s="12" customFormat="1" x14ac:dyDescent="0.25"/>
    <row r="191297" s="12" customFormat="1" x14ac:dyDescent="0.25"/>
    <row r="191298" s="12" customFormat="1" x14ac:dyDescent="0.25"/>
    <row r="191299" s="12" customFormat="1" x14ac:dyDescent="0.25"/>
    <row r="191300" s="12" customFormat="1" x14ac:dyDescent="0.25"/>
    <row r="191301" s="12" customFormat="1" x14ac:dyDescent="0.25"/>
    <row r="191302" s="12" customFormat="1" x14ac:dyDescent="0.25"/>
    <row r="191303" s="12" customFormat="1" x14ac:dyDescent="0.25"/>
    <row r="191304" s="12" customFormat="1" x14ac:dyDescent="0.25"/>
    <row r="191305" s="12" customFormat="1" x14ac:dyDescent="0.25"/>
    <row r="191306" s="12" customFormat="1" x14ac:dyDescent="0.25"/>
    <row r="191307" s="12" customFormat="1" x14ac:dyDescent="0.25"/>
    <row r="191308" s="12" customFormat="1" x14ac:dyDescent="0.25"/>
    <row r="191309" s="12" customFormat="1" x14ac:dyDescent="0.25"/>
    <row r="191310" s="12" customFormat="1" x14ac:dyDescent="0.25"/>
    <row r="191311" s="12" customFormat="1" x14ac:dyDescent="0.25"/>
    <row r="191312" s="12" customFormat="1" x14ac:dyDescent="0.25"/>
    <row r="191313" s="12" customFormat="1" x14ac:dyDescent="0.25"/>
    <row r="191314" s="12" customFormat="1" x14ac:dyDescent="0.25"/>
    <row r="191315" s="12" customFormat="1" x14ac:dyDescent="0.25"/>
    <row r="191316" s="12" customFormat="1" x14ac:dyDescent="0.25"/>
    <row r="191317" s="12" customFormat="1" x14ac:dyDescent="0.25"/>
    <row r="191318" s="12" customFormat="1" x14ac:dyDescent="0.25"/>
    <row r="191319" s="12" customFormat="1" x14ac:dyDescent="0.25"/>
    <row r="191320" s="12" customFormat="1" x14ac:dyDescent="0.25"/>
    <row r="191321" s="12" customFormat="1" x14ac:dyDescent="0.25"/>
    <row r="191322" s="12" customFormat="1" x14ac:dyDescent="0.25"/>
    <row r="191323" s="12" customFormat="1" x14ac:dyDescent="0.25"/>
    <row r="191324" s="12" customFormat="1" x14ac:dyDescent="0.25"/>
    <row r="191325" s="12" customFormat="1" x14ac:dyDescent="0.25"/>
    <row r="191326" s="12" customFormat="1" x14ac:dyDescent="0.25"/>
    <row r="191327" s="12" customFormat="1" x14ac:dyDescent="0.25"/>
    <row r="191328" s="12" customFormat="1" x14ac:dyDescent="0.25"/>
    <row r="191329" s="12" customFormat="1" x14ac:dyDescent="0.25"/>
    <row r="191330" s="12" customFormat="1" x14ac:dyDescent="0.25"/>
    <row r="191331" s="12" customFormat="1" x14ac:dyDescent="0.25"/>
    <row r="191332" s="12" customFormat="1" x14ac:dyDescent="0.25"/>
    <row r="191333" s="12" customFormat="1" x14ac:dyDescent="0.25"/>
    <row r="191334" s="12" customFormat="1" x14ac:dyDescent="0.25"/>
    <row r="191335" s="12" customFormat="1" x14ac:dyDescent="0.25"/>
    <row r="191336" s="12" customFormat="1" x14ac:dyDescent="0.25"/>
    <row r="191337" s="12" customFormat="1" x14ac:dyDescent="0.25"/>
    <row r="191338" s="12" customFormat="1" x14ac:dyDescent="0.25"/>
    <row r="191339" s="12" customFormat="1" x14ac:dyDescent="0.25"/>
    <row r="191340" s="12" customFormat="1" x14ac:dyDescent="0.25"/>
    <row r="191341" s="12" customFormat="1" x14ac:dyDescent="0.25"/>
    <row r="191342" s="12" customFormat="1" x14ac:dyDescent="0.25"/>
    <row r="191343" s="12" customFormat="1" x14ac:dyDescent="0.25"/>
    <row r="191344" s="12" customFormat="1" x14ac:dyDescent="0.25"/>
    <row r="191345" s="12" customFormat="1" x14ac:dyDescent="0.25"/>
    <row r="191346" s="12" customFormat="1" x14ac:dyDescent="0.25"/>
    <row r="191347" s="12" customFormat="1" x14ac:dyDescent="0.25"/>
    <row r="191348" s="12" customFormat="1" x14ac:dyDescent="0.25"/>
    <row r="191349" s="12" customFormat="1" x14ac:dyDescent="0.25"/>
    <row r="191350" s="12" customFormat="1" x14ac:dyDescent="0.25"/>
    <row r="191351" s="12" customFormat="1" x14ac:dyDescent="0.25"/>
    <row r="191352" s="12" customFormat="1" x14ac:dyDescent="0.25"/>
    <row r="191353" s="12" customFormat="1" x14ac:dyDescent="0.25"/>
    <row r="191354" s="12" customFormat="1" x14ac:dyDescent="0.25"/>
    <row r="191355" s="12" customFormat="1" x14ac:dyDescent="0.25"/>
    <row r="191356" s="12" customFormat="1" x14ac:dyDescent="0.25"/>
    <row r="191357" s="12" customFormat="1" x14ac:dyDescent="0.25"/>
    <row r="191358" s="12" customFormat="1" x14ac:dyDescent="0.25"/>
    <row r="191359" s="12" customFormat="1" x14ac:dyDescent="0.25"/>
    <row r="191360" s="12" customFormat="1" x14ac:dyDescent="0.25"/>
    <row r="191361" s="12" customFormat="1" x14ac:dyDescent="0.25"/>
    <row r="191362" s="12" customFormat="1" x14ac:dyDescent="0.25"/>
    <row r="191363" s="12" customFormat="1" x14ac:dyDescent="0.25"/>
    <row r="191364" s="12" customFormat="1" x14ac:dyDescent="0.25"/>
    <row r="191365" s="12" customFormat="1" x14ac:dyDescent="0.25"/>
    <row r="191366" s="12" customFormat="1" x14ac:dyDescent="0.25"/>
    <row r="191367" s="12" customFormat="1" x14ac:dyDescent="0.25"/>
    <row r="191368" s="12" customFormat="1" x14ac:dyDescent="0.25"/>
    <row r="191369" s="12" customFormat="1" x14ac:dyDescent="0.25"/>
    <row r="191370" s="12" customFormat="1" x14ac:dyDescent="0.25"/>
    <row r="191371" s="12" customFormat="1" x14ac:dyDescent="0.25"/>
    <row r="191372" s="12" customFormat="1" x14ac:dyDescent="0.25"/>
    <row r="191373" s="12" customFormat="1" x14ac:dyDescent="0.25"/>
    <row r="191374" s="12" customFormat="1" x14ac:dyDescent="0.25"/>
    <row r="191375" s="12" customFormat="1" x14ac:dyDescent="0.25"/>
    <row r="191376" s="12" customFormat="1" x14ac:dyDescent="0.25"/>
    <row r="191377" s="12" customFormat="1" x14ac:dyDescent="0.25"/>
    <row r="191378" s="12" customFormat="1" x14ac:dyDescent="0.25"/>
    <row r="191379" s="12" customFormat="1" x14ac:dyDescent="0.25"/>
    <row r="191380" s="12" customFormat="1" x14ac:dyDescent="0.25"/>
    <row r="191381" s="12" customFormat="1" x14ac:dyDescent="0.25"/>
    <row r="191382" s="12" customFormat="1" x14ac:dyDescent="0.25"/>
    <row r="191383" s="12" customFormat="1" x14ac:dyDescent="0.25"/>
    <row r="191384" s="12" customFormat="1" x14ac:dyDescent="0.25"/>
    <row r="191385" s="12" customFormat="1" x14ac:dyDescent="0.25"/>
    <row r="191386" s="12" customFormat="1" x14ac:dyDescent="0.25"/>
    <row r="191387" s="12" customFormat="1" x14ac:dyDescent="0.25"/>
    <row r="191388" s="12" customFormat="1" x14ac:dyDescent="0.25"/>
    <row r="191389" s="12" customFormat="1" x14ac:dyDescent="0.25"/>
    <row r="191390" s="12" customFormat="1" x14ac:dyDescent="0.25"/>
    <row r="191391" s="12" customFormat="1" x14ac:dyDescent="0.25"/>
    <row r="191392" s="12" customFormat="1" x14ac:dyDescent="0.25"/>
    <row r="191393" s="12" customFormat="1" x14ac:dyDescent="0.25"/>
    <row r="191394" s="12" customFormat="1" x14ac:dyDescent="0.25"/>
    <row r="191395" s="12" customFormat="1" x14ac:dyDescent="0.25"/>
    <row r="191396" s="12" customFormat="1" x14ac:dyDescent="0.25"/>
    <row r="191397" s="12" customFormat="1" x14ac:dyDescent="0.25"/>
    <row r="191398" s="12" customFormat="1" x14ac:dyDescent="0.25"/>
    <row r="191399" s="12" customFormat="1" x14ac:dyDescent="0.25"/>
    <row r="191400" s="12" customFormat="1" x14ac:dyDescent="0.25"/>
    <row r="191401" s="12" customFormat="1" x14ac:dyDescent="0.25"/>
    <row r="191402" s="12" customFormat="1" x14ac:dyDescent="0.25"/>
    <row r="191403" s="12" customFormat="1" x14ac:dyDescent="0.25"/>
    <row r="191404" s="12" customFormat="1" x14ac:dyDescent="0.25"/>
    <row r="191405" s="12" customFormat="1" x14ac:dyDescent="0.25"/>
    <row r="191406" s="12" customFormat="1" x14ac:dyDescent="0.25"/>
    <row r="191407" s="12" customFormat="1" x14ac:dyDescent="0.25"/>
    <row r="191408" s="12" customFormat="1" x14ac:dyDescent="0.25"/>
    <row r="191409" s="12" customFormat="1" x14ac:dyDescent="0.25"/>
    <row r="191410" s="12" customFormat="1" x14ac:dyDescent="0.25"/>
    <row r="191411" s="12" customFormat="1" x14ac:dyDescent="0.25"/>
    <row r="191412" s="12" customFormat="1" x14ac:dyDescent="0.25"/>
    <row r="191413" s="12" customFormat="1" x14ac:dyDescent="0.25"/>
    <row r="191414" s="12" customFormat="1" x14ac:dyDescent="0.25"/>
    <row r="191415" s="12" customFormat="1" x14ac:dyDescent="0.25"/>
    <row r="191416" s="12" customFormat="1" x14ac:dyDescent="0.25"/>
    <row r="191417" s="12" customFormat="1" x14ac:dyDescent="0.25"/>
    <row r="191418" s="12" customFormat="1" x14ac:dyDescent="0.25"/>
    <row r="191419" s="12" customFormat="1" x14ac:dyDescent="0.25"/>
    <row r="191420" s="12" customFormat="1" x14ac:dyDescent="0.25"/>
    <row r="191421" s="12" customFormat="1" x14ac:dyDescent="0.25"/>
    <row r="191422" s="12" customFormat="1" x14ac:dyDescent="0.25"/>
    <row r="191423" s="12" customFormat="1" x14ac:dyDescent="0.25"/>
    <row r="191424" s="12" customFormat="1" x14ac:dyDescent="0.25"/>
    <row r="191425" s="12" customFormat="1" x14ac:dyDescent="0.25"/>
    <row r="191426" s="12" customFormat="1" x14ac:dyDescent="0.25"/>
    <row r="191427" s="12" customFormat="1" x14ac:dyDescent="0.25"/>
    <row r="191428" s="12" customFormat="1" x14ac:dyDescent="0.25"/>
    <row r="191429" s="12" customFormat="1" x14ac:dyDescent="0.25"/>
    <row r="191430" s="12" customFormat="1" x14ac:dyDescent="0.25"/>
    <row r="191431" s="12" customFormat="1" x14ac:dyDescent="0.25"/>
    <row r="191432" s="12" customFormat="1" x14ac:dyDescent="0.25"/>
    <row r="191433" s="12" customFormat="1" x14ac:dyDescent="0.25"/>
    <row r="191434" s="12" customFormat="1" x14ac:dyDescent="0.25"/>
    <row r="191435" s="12" customFormat="1" x14ac:dyDescent="0.25"/>
    <row r="191436" s="12" customFormat="1" x14ac:dyDescent="0.25"/>
    <row r="191437" s="12" customFormat="1" x14ac:dyDescent="0.25"/>
    <row r="191438" s="12" customFormat="1" x14ac:dyDescent="0.25"/>
    <row r="191439" s="12" customFormat="1" x14ac:dyDescent="0.25"/>
    <row r="191440" s="12" customFormat="1" x14ac:dyDescent="0.25"/>
    <row r="191441" s="12" customFormat="1" x14ac:dyDescent="0.25"/>
    <row r="191442" s="12" customFormat="1" x14ac:dyDescent="0.25"/>
    <row r="191443" s="12" customFormat="1" x14ac:dyDescent="0.25"/>
    <row r="191444" s="12" customFormat="1" x14ac:dyDescent="0.25"/>
    <row r="191445" s="12" customFormat="1" x14ac:dyDescent="0.25"/>
    <row r="191446" s="12" customFormat="1" x14ac:dyDescent="0.25"/>
    <row r="191447" s="12" customFormat="1" x14ac:dyDescent="0.25"/>
    <row r="191448" s="12" customFormat="1" x14ac:dyDescent="0.25"/>
    <row r="191449" s="12" customFormat="1" x14ac:dyDescent="0.25"/>
    <row r="191450" s="12" customFormat="1" x14ac:dyDescent="0.25"/>
    <row r="191451" s="12" customFormat="1" x14ac:dyDescent="0.25"/>
    <row r="191452" s="12" customFormat="1" x14ac:dyDescent="0.25"/>
    <row r="191453" s="12" customFormat="1" x14ac:dyDescent="0.25"/>
    <row r="191454" s="12" customFormat="1" x14ac:dyDescent="0.25"/>
    <row r="191455" s="12" customFormat="1" x14ac:dyDescent="0.25"/>
    <row r="191456" s="12" customFormat="1" x14ac:dyDescent="0.25"/>
    <row r="191457" s="12" customFormat="1" x14ac:dyDescent="0.25"/>
    <row r="191458" s="12" customFormat="1" x14ac:dyDescent="0.25"/>
    <row r="191459" s="12" customFormat="1" x14ac:dyDescent="0.25"/>
    <row r="191460" s="12" customFormat="1" x14ac:dyDescent="0.25"/>
    <row r="191461" s="12" customFormat="1" x14ac:dyDescent="0.25"/>
    <row r="191462" s="12" customFormat="1" x14ac:dyDescent="0.25"/>
    <row r="191463" s="12" customFormat="1" x14ac:dyDescent="0.25"/>
    <row r="191464" s="12" customFormat="1" x14ac:dyDescent="0.25"/>
    <row r="191465" s="12" customFormat="1" x14ac:dyDescent="0.25"/>
    <row r="191466" s="12" customFormat="1" x14ac:dyDescent="0.25"/>
    <row r="191467" s="12" customFormat="1" x14ac:dyDescent="0.25"/>
    <row r="191468" s="12" customFormat="1" x14ac:dyDescent="0.25"/>
    <row r="191469" s="12" customFormat="1" x14ac:dyDescent="0.25"/>
    <row r="191470" s="12" customFormat="1" x14ac:dyDescent="0.25"/>
    <row r="191471" s="12" customFormat="1" x14ac:dyDescent="0.25"/>
    <row r="191472" s="12" customFormat="1" x14ac:dyDescent="0.25"/>
    <row r="191473" s="12" customFormat="1" x14ac:dyDescent="0.25"/>
    <row r="191474" s="12" customFormat="1" x14ac:dyDescent="0.25"/>
    <row r="191475" s="12" customFormat="1" x14ac:dyDescent="0.25"/>
    <row r="191476" s="12" customFormat="1" x14ac:dyDescent="0.25"/>
    <row r="191477" s="12" customFormat="1" x14ac:dyDescent="0.25"/>
    <row r="191478" s="12" customFormat="1" x14ac:dyDescent="0.25"/>
    <row r="191479" s="12" customFormat="1" x14ac:dyDescent="0.25"/>
    <row r="191480" s="12" customFormat="1" x14ac:dyDescent="0.25"/>
    <row r="191481" s="12" customFormat="1" x14ac:dyDescent="0.25"/>
    <row r="191482" s="12" customFormat="1" x14ac:dyDescent="0.25"/>
    <row r="191483" s="12" customFormat="1" x14ac:dyDescent="0.25"/>
    <row r="191484" s="12" customFormat="1" x14ac:dyDescent="0.25"/>
    <row r="191485" s="12" customFormat="1" x14ac:dyDescent="0.25"/>
    <row r="191486" s="12" customFormat="1" x14ac:dyDescent="0.25"/>
    <row r="191487" s="12" customFormat="1" x14ac:dyDescent="0.25"/>
    <row r="191488" s="12" customFormat="1" x14ac:dyDescent="0.25"/>
    <row r="191489" s="12" customFormat="1" x14ac:dyDescent="0.25"/>
    <row r="191490" s="12" customFormat="1" x14ac:dyDescent="0.25"/>
    <row r="191491" s="12" customFormat="1" x14ac:dyDescent="0.25"/>
    <row r="191492" s="12" customFormat="1" x14ac:dyDescent="0.25"/>
    <row r="191493" s="12" customFormat="1" x14ac:dyDescent="0.25"/>
    <row r="191494" s="12" customFormat="1" x14ac:dyDescent="0.25"/>
    <row r="191495" s="12" customFormat="1" x14ac:dyDescent="0.25"/>
    <row r="191496" s="12" customFormat="1" x14ac:dyDescent="0.25"/>
    <row r="191497" s="12" customFormat="1" x14ac:dyDescent="0.25"/>
    <row r="191498" s="12" customFormat="1" x14ac:dyDescent="0.25"/>
    <row r="191499" s="12" customFormat="1" x14ac:dyDescent="0.25"/>
    <row r="191500" s="12" customFormat="1" x14ac:dyDescent="0.25"/>
    <row r="191501" s="12" customFormat="1" x14ac:dyDescent="0.25"/>
    <row r="191502" s="12" customFormat="1" x14ac:dyDescent="0.25"/>
    <row r="191503" s="12" customFormat="1" x14ac:dyDescent="0.25"/>
    <row r="191504" s="12" customFormat="1" x14ac:dyDescent="0.25"/>
    <row r="191505" s="12" customFormat="1" x14ac:dyDescent="0.25"/>
    <row r="191506" s="12" customFormat="1" x14ac:dyDescent="0.25"/>
    <row r="191507" s="12" customFormat="1" x14ac:dyDescent="0.25"/>
    <row r="191508" s="12" customFormat="1" x14ac:dyDescent="0.25"/>
    <row r="191509" s="12" customFormat="1" x14ac:dyDescent="0.25"/>
    <row r="191510" s="12" customFormat="1" x14ac:dyDescent="0.25"/>
    <row r="191511" s="12" customFormat="1" x14ac:dyDescent="0.25"/>
    <row r="191512" s="12" customFormat="1" x14ac:dyDescent="0.25"/>
    <row r="191513" s="12" customFormat="1" x14ac:dyDescent="0.25"/>
    <row r="191514" s="12" customFormat="1" x14ac:dyDescent="0.25"/>
    <row r="191515" s="12" customFormat="1" x14ac:dyDescent="0.25"/>
    <row r="191516" s="12" customFormat="1" x14ac:dyDescent="0.25"/>
    <row r="191517" s="12" customFormat="1" x14ac:dyDescent="0.25"/>
    <row r="191518" s="12" customFormat="1" x14ac:dyDescent="0.25"/>
    <row r="191519" s="12" customFormat="1" x14ac:dyDescent="0.25"/>
    <row r="191520" s="12" customFormat="1" x14ac:dyDescent="0.25"/>
    <row r="191521" s="12" customFormat="1" x14ac:dyDescent="0.25"/>
    <row r="191522" s="12" customFormat="1" x14ac:dyDescent="0.25"/>
    <row r="191523" s="12" customFormat="1" x14ac:dyDescent="0.25"/>
    <row r="191524" s="12" customFormat="1" x14ac:dyDescent="0.25"/>
    <row r="191525" s="12" customFormat="1" x14ac:dyDescent="0.25"/>
    <row r="191526" s="12" customFormat="1" x14ac:dyDescent="0.25"/>
    <row r="191527" s="12" customFormat="1" x14ac:dyDescent="0.25"/>
    <row r="191528" s="12" customFormat="1" x14ac:dyDescent="0.25"/>
    <row r="191529" s="12" customFormat="1" x14ac:dyDescent="0.25"/>
    <row r="191530" s="12" customFormat="1" x14ac:dyDescent="0.25"/>
    <row r="191531" s="12" customFormat="1" x14ac:dyDescent="0.25"/>
    <row r="191532" s="12" customFormat="1" x14ac:dyDescent="0.25"/>
    <row r="191533" s="12" customFormat="1" x14ac:dyDescent="0.25"/>
    <row r="191534" s="12" customFormat="1" x14ac:dyDescent="0.25"/>
    <row r="191535" s="12" customFormat="1" x14ac:dyDescent="0.25"/>
    <row r="191536" s="12" customFormat="1" x14ac:dyDescent="0.25"/>
    <row r="191537" s="12" customFormat="1" x14ac:dyDescent="0.25"/>
    <row r="191538" s="12" customFormat="1" x14ac:dyDescent="0.25"/>
    <row r="191539" s="12" customFormat="1" x14ac:dyDescent="0.25"/>
    <row r="191540" s="12" customFormat="1" x14ac:dyDescent="0.25"/>
    <row r="191541" s="12" customFormat="1" x14ac:dyDescent="0.25"/>
    <row r="191542" s="12" customFormat="1" x14ac:dyDescent="0.25"/>
    <row r="191543" s="12" customFormat="1" x14ac:dyDescent="0.25"/>
    <row r="191544" s="12" customFormat="1" x14ac:dyDescent="0.25"/>
    <row r="191545" s="12" customFormat="1" x14ac:dyDescent="0.25"/>
    <row r="191546" s="12" customFormat="1" x14ac:dyDescent="0.25"/>
    <row r="191547" s="12" customFormat="1" x14ac:dyDescent="0.25"/>
    <row r="191548" s="12" customFormat="1" x14ac:dyDescent="0.25"/>
    <row r="191549" s="12" customFormat="1" x14ac:dyDescent="0.25"/>
    <row r="191550" s="12" customFormat="1" x14ac:dyDescent="0.25"/>
    <row r="191551" s="12" customFormat="1" x14ac:dyDescent="0.25"/>
    <row r="191552" s="12" customFormat="1" x14ac:dyDescent="0.25"/>
    <row r="191553" s="12" customFormat="1" x14ac:dyDescent="0.25"/>
    <row r="191554" s="12" customFormat="1" x14ac:dyDescent="0.25"/>
    <row r="191555" s="12" customFormat="1" x14ac:dyDescent="0.25"/>
    <row r="191556" s="12" customFormat="1" x14ac:dyDescent="0.25"/>
    <row r="191557" s="12" customFormat="1" x14ac:dyDescent="0.25"/>
    <row r="191558" s="12" customFormat="1" x14ac:dyDescent="0.25"/>
    <row r="191559" s="12" customFormat="1" x14ac:dyDescent="0.25"/>
    <row r="191560" s="12" customFormat="1" x14ac:dyDescent="0.25"/>
    <row r="191561" s="12" customFormat="1" x14ac:dyDescent="0.25"/>
    <row r="191562" s="12" customFormat="1" x14ac:dyDescent="0.25"/>
    <row r="191563" s="12" customFormat="1" x14ac:dyDescent="0.25"/>
    <row r="191564" s="12" customFormat="1" x14ac:dyDescent="0.25"/>
    <row r="191565" s="12" customFormat="1" x14ac:dyDescent="0.25"/>
    <row r="191566" s="12" customFormat="1" x14ac:dyDescent="0.25"/>
    <row r="191567" s="12" customFormat="1" x14ac:dyDescent="0.25"/>
    <row r="191568" s="12" customFormat="1" x14ac:dyDescent="0.25"/>
    <row r="191569" s="12" customFormat="1" x14ac:dyDescent="0.25"/>
    <row r="191570" s="12" customFormat="1" x14ac:dyDescent="0.25"/>
    <row r="191571" s="12" customFormat="1" x14ac:dyDescent="0.25"/>
    <row r="191572" s="12" customFormat="1" x14ac:dyDescent="0.25"/>
    <row r="191573" s="12" customFormat="1" x14ac:dyDescent="0.25"/>
    <row r="191574" s="12" customFormat="1" x14ac:dyDescent="0.25"/>
    <row r="191575" s="12" customFormat="1" x14ac:dyDescent="0.25"/>
    <row r="191576" s="12" customFormat="1" x14ac:dyDescent="0.25"/>
    <row r="191577" s="12" customFormat="1" x14ac:dyDescent="0.25"/>
    <row r="191578" s="12" customFormat="1" x14ac:dyDescent="0.25"/>
    <row r="191579" s="12" customFormat="1" x14ac:dyDescent="0.25"/>
    <row r="191580" s="12" customFormat="1" x14ac:dyDescent="0.25"/>
    <row r="191581" s="12" customFormat="1" x14ac:dyDescent="0.25"/>
    <row r="191582" s="12" customFormat="1" x14ac:dyDescent="0.25"/>
    <row r="191583" s="12" customFormat="1" x14ac:dyDescent="0.25"/>
    <row r="191584" s="12" customFormat="1" x14ac:dyDescent="0.25"/>
    <row r="191585" s="12" customFormat="1" x14ac:dyDescent="0.25"/>
    <row r="191586" s="12" customFormat="1" x14ac:dyDescent="0.25"/>
    <row r="191587" s="12" customFormat="1" x14ac:dyDescent="0.25"/>
    <row r="191588" s="12" customFormat="1" x14ac:dyDescent="0.25"/>
    <row r="191589" s="12" customFormat="1" x14ac:dyDescent="0.25"/>
    <row r="191590" s="12" customFormat="1" x14ac:dyDescent="0.25"/>
    <row r="191591" s="12" customFormat="1" x14ac:dyDescent="0.25"/>
    <row r="191592" s="12" customFormat="1" x14ac:dyDescent="0.25"/>
    <row r="191593" s="12" customFormat="1" x14ac:dyDescent="0.25"/>
    <row r="191594" s="12" customFormat="1" x14ac:dyDescent="0.25"/>
    <row r="191595" s="12" customFormat="1" x14ac:dyDescent="0.25"/>
    <row r="191596" s="12" customFormat="1" x14ac:dyDescent="0.25"/>
    <row r="191597" s="12" customFormat="1" x14ac:dyDescent="0.25"/>
    <row r="191598" s="12" customFormat="1" x14ac:dyDescent="0.25"/>
    <row r="191599" s="12" customFormat="1" x14ac:dyDescent="0.25"/>
    <row r="191600" s="12" customFormat="1" x14ac:dyDescent="0.25"/>
    <row r="191601" s="12" customFormat="1" x14ac:dyDescent="0.25"/>
    <row r="191602" s="12" customFormat="1" x14ac:dyDescent="0.25"/>
    <row r="191603" s="12" customFormat="1" x14ac:dyDescent="0.25"/>
    <row r="191604" s="12" customFormat="1" x14ac:dyDescent="0.25"/>
    <row r="191605" s="12" customFormat="1" x14ac:dyDescent="0.25"/>
    <row r="191606" s="12" customFormat="1" x14ac:dyDescent="0.25"/>
    <row r="191607" s="12" customFormat="1" x14ac:dyDescent="0.25"/>
    <row r="191608" s="12" customFormat="1" x14ac:dyDescent="0.25"/>
    <row r="191609" s="12" customFormat="1" x14ac:dyDescent="0.25"/>
    <row r="191610" s="12" customFormat="1" x14ac:dyDescent="0.25"/>
    <row r="191611" s="12" customFormat="1" x14ac:dyDescent="0.25"/>
    <row r="191612" s="12" customFormat="1" x14ac:dyDescent="0.25"/>
    <row r="191613" s="12" customFormat="1" x14ac:dyDescent="0.25"/>
    <row r="191614" s="12" customFormat="1" x14ac:dyDescent="0.25"/>
    <row r="191615" s="12" customFormat="1" x14ac:dyDescent="0.25"/>
    <row r="191616" s="12" customFormat="1" x14ac:dyDescent="0.25"/>
    <row r="191617" s="12" customFormat="1" x14ac:dyDescent="0.25"/>
    <row r="191618" s="12" customFormat="1" x14ac:dyDescent="0.25"/>
    <row r="191619" s="12" customFormat="1" x14ac:dyDescent="0.25"/>
    <row r="191620" s="12" customFormat="1" x14ac:dyDescent="0.25"/>
    <row r="191621" s="12" customFormat="1" x14ac:dyDescent="0.25"/>
    <row r="191622" s="12" customFormat="1" x14ac:dyDescent="0.25"/>
    <row r="191623" s="12" customFormat="1" x14ac:dyDescent="0.25"/>
    <row r="191624" s="12" customFormat="1" x14ac:dyDescent="0.25"/>
    <row r="191625" s="12" customFormat="1" x14ac:dyDescent="0.25"/>
    <row r="191626" s="12" customFormat="1" x14ac:dyDescent="0.25"/>
    <row r="191627" s="12" customFormat="1" x14ac:dyDescent="0.25"/>
    <row r="191628" s="12" customFormat="1" x14ac:dyDescent="0.25"/>
    <row r="191629" s="12" customFormat="1" x14ac:dyDescent="0.25"/>
    <row r="191630" s="12" customFormat="1" x14ac:dyDescent="0.25"/>
    <row r="191631" s="12" customFormat="1" x14ac:dyDescent="0.25"/>
    <row r="191632" s="12" customFormat="1" x14ac:dyDescent="0.25"/>
    <row r="191633" s="12" customFormat="1" x14ac:dyDescent="0.25"/>
    <row r="191634" s="12" customFormat="1" x14ac:dyDescent="0.25"/>
    <row r="191635" s="12" customFormat="1" x14ac:dyDescent="0.25"/>
    <row r="191636" s="12" customFormat="1" x14ac:dyDescent="0.25"/>
    <row r="191637" s="12" customFormat="1" x14ac:dyDescent="0.25"/>
    <row r="191638" s="12" customFormat="1" x14ac:dyDescent="0.25"/>
    <row r="191639" s="12" customFormat="1" x14ac:dyDescent="0.25"/>
    <row r="191640" s="12" customFormat="1" x14ac:dyDescent="0.25"/>
    <row r="191641" s="12" customFormat="1" x14ac:dyDescent="0.25"/>
    <row r="191642" s="12" customFormat="1" x14ac:dyDescent="0.25"/>
    <row r="191643" s="12" customFormat="1" x14ac:dyDescent="0.25"/>
    <row r="191644" s="12" customFormat="1" x14ac:dyDescent="0.25"/>
    <row r="191645" s="12" customFormat="1" x14ac:dyDescent="0.25"/>
    <row r="191646" s="12" customFormat="1" x14ac:dyDescent="0.25"/>
    <row r="191647" s="12" customFormat="1" x14ac:dyDescent="0.25"/>
    <row r="191648" s="12" customFormat="1" x14ac:dyDescent="0.25"/>
    <row r="191649" s="12" customFormat="1" x14ac:dyDescent="0.25"/>
    <row r="191650" s="12" customFormat="1" x14ac:dyDescent="0.25"/>
    <row r="191651" s="12" customFormat="1" x14ac:dyDescent="0.25"/>
    <row r="191652" s="12" customFormat="1" x14ac:dyDescent="0.25"/>
    <row r="191653" s="12" customFormat="1" x14ac:dyDescent="0.25"/>
    <row r="191654" s="12" customFormat="1" x14ac:dyDescent="0.25"/>
    <row r="191655" s="12" customFormat="1" x14ac:dyDescent="0.25"/>
    <row r="191656" s="12" customFormat="1" x14ac:dyDescent="0.25"/>
    <row r="191657" s="12" customFormat="1" x14ac:dyDescent="0.25"/>
    <row r="191658" s="12" customFormat="1" x14ac:dyDescent="0.25"/>
    <row r="191659" s="12" customFormat="1" x14ac:dyDescent="0.25"/>
    <row r="191660" s="12" customFormat="1" x14ac:dyDescent="0.25"/>
    <row r="191661" s="12" customFormat="1" x14ac:dyDescent="0.25"/>
    <row r="191662" s="12" customFormat="1" x14ac:dyDescent="0.25"/>
    <row r="191663" s="12" customFormat="1" x14ac:dyDescent="0.25"/>
    <row r="191664" s="12" customFormat="1" x14ac:dyDescent="0.25"/>
    <row r="191665" s="12" customFormat="1" x14ac:dyDescent="0.25"/>
    <row r="191666" s="12" customFormat="1" x14ac:dyDescent="0.25"/>
    <row r="191667" s="12" customFormat="1" x14ac:dyDescent="0.25"/>
    <row r="191668" s="12" customFormat="1" x14ac:dyDescent="0.25"/>
    <row r="191669" s="12" customFormat="1" x14ac:dyDescent="0.25"/>
    <row r="191670" s="12" customFormat="1" x14ac:dyDescent="0.25"/>
    <row r="191671" s="12" customFormat="1" x14ac:dyDescent="0.25"/>
    <row r="191672" s="12" customFormat="1" x14ac:dyDescent="0.25"/>
    <row r="191673" s="12" customFormat="1" x14ac:dyDescent="0.25"/>
    <row r="191674" s="12" customFormat="1" x14ac:dyDescent="0.25"/>
    <row r="191675" s="12" customFormat="1" x14ac:dyDescent="0.25"/>
    <row r="191676" s="12" customFormat="1" x14ac:dyDescent="0.25"/>
    <row r="191677" s="12" customFormat="1" x14ac:dyDescent="0.25"/>
    <row r="191678" s="12" customFormat="1" x14ac:dyDescent="0.25"/>
    <row r="191679" s="12" customFormat="1" x14ac:dyDescent="0.25"/>
    <row r="191680" s="12" customFormat="1" x14ac:dyDescent="0.25"/>
    <row r="191681" s="12" customFormat="1" x14ac:dyDescent="0.25"/>
    <row r="191682" s="12" customFormat="1" x14ac:dyDescent="0.25"/>
    <row r="191683" s="12" customFormat="1" x14ac:dyDescent="0.25"/>
    <row r="191684" s="12" customFormat="1" x14ac:dyDescent="0.25"/>
    <row r="191685" s="12" customFormat="1" x14ac:dyDescent="0.25"/>
    <row r="191686" s="12" customFormat="1" x14ac:dyDescent="0.25"/>
    <row r="191687" s="12" customFormat="1" x14ac:dyDescent="0.25"/>
    <row r="191688" s="12" customFormat="1" x14ac:dyDescent="0.25"/>
    <row r="191689" s="12" customFormat="1" x14ac:dyDescent="0.25"/>
    <row r="191690" s="12" customFormat="1" x14ac:dyDescent="0.25"/>
    <row r="191691" s="12" customFormat="1" x14ac:dyDescent="0.25"/>
    <row r="191692" s="12" customFormat="1" x14ac:dyDescent="0.25"/>
    <row r="191693" s="12" customFormat="1" x14ac:dyDescent="0.25"/>
    <row r="191694" s="12" customFormat="1" x14ac:dyDescent="0.25"/>
    <row r="191695" s="12" customFormat="1" x14ac:dyDescent="0.25"/>
    <row r="191696" s="12" customFormat="1" x14ac:dyDescent="0.25"/>
    <row r="191697" s="12" customFormat="1" x14ac:dyDescent="0.25"/>
    <row r="191698" s="12" customFormat="1" x14ac:dyDescent="0.25"/>
    <row r="191699" s="12" customFormat="1" x14ac:dyDescent="0.25"/>
    <row r="191700" s="12" customFormat="1" x14ac:dyDescent="0.25"/>
    <row r="191701" s="12" customFormat="1" x14ac:dyDescent="0.25"/>
    <row r="191702" s="12" customFormat="1" x14ac:dyDescent="0.25"/>
    <row r="191703" s="12" customFormat="1" x14ac:dyDescent="0.25"/>
    <row r="191704" s="12" customFormat="1" x14ac:dyDescent="0.25"/>
    <row r="191705" s="12" customFormat="1" x14ac:dyDescent="0.25"/>
    <row r="191706" s="12" customFormat="1" x14ac:dyDescent="0.25"/>
    <row r="191707" s="12" customFormat="1" x14ac:dyDescent="0.25"/>
    <row r="191708" s="12" customFormat="1" x14ac:dyDescent="0.25"/>
    <row r="191709" s="12" customFormat="1" x14ac:dyDescent="0.25"/>
    <row r="191710" s="12" customFormat="1" x14ac:dyDescent="0.25"/>
    <row r="191711" s="12" customFormat="1" x14ac:dyDescent="0.25"/>
    <row r="191712" s="12" customFormat="1" x14ac:dyDescent="0.25"/>
    <row r="191713" s="12" customFormat="1" x14ac:dyDescent="0.25"/>
    <row r="191714" s="12" customFormat="1" x14ac:dyDescent="0.25"/>
    <row r="191715" s="12" customFormat="1" x14ac:dyDescent="0.25"/>
    <row r="191716" s="12" customFormat="1" x14ac:dyDescent="0.25"/>
    <row r="191717" s="12" customFormat="1" x14ac:dyDescent="0.25"/>
    <row r="191718" s="12" customFormat="1" x14ac:dyDescent="0.25"/>
    <row r="191719" s="12" customFormat="1" x14ac:dyDescent="0.25"/>
    <row r="191720" s="12" customFormat="1" x14ac:dyDescent="0.25"/>
    <row r="191721" s="12" customFormat="1" x14ac:dyDescent="0.25"/>
    <row r="191722" s="12" customFormat="1" x14ac:dyDescent="0.25"/>
    <row r="191723" s="12" customFormat="1" x14ac:dyDescent="0.25"/>
    <row r="191724" s="12" customFormat="1" x14ac:dyDescent="0.25"/>
    <row r="191725" s="12" customFormat="1" x14ac:dyDescent="0.25"/>
    <row r="191726" s="12" customFormat="1" x14ac:dyDescent="0.25"/>
    <row r="191727" s="12" customFormat="1" x14ac:dyDescent="0.25"/>
    <row r="191728" s="12" customFormat="1" x14ac:dyDescent="0.25"/>
    <row r="191729" s="12" customFormat="1" x14ac:dyDescent="0.25"/>
    <row r="191730" s="12" customFormat="1" x14ac:dyDescent="0.25"/>
    <row r="191731" s="12" customFormat="1" x14ac:dyDescent="0.25"/>
    <row r="191732" s="12" customFormat="1" x14ac:dyDescent="0.25"/>
    <row r="191733" s="12" customFormat="1" x14ac:dyDescent="0.25"/>
    <row r="191734" s="12" customFormat="1" x14ac:dyDescent="0.25"/>
    <row r="191735" s="12" customFormat="1" x14ac:dyDescent="0.25"/>
    <row r="191736" s="12" customFormat="1" x14ac:dyDescent="0.25"/>
    <row r="191737" s="12" customFormat="1" x14ac:dyDescent="0.25"/>
    <row r="191738" s="12" customFormat="1" x14ac:dyDescent="0.25"/>
    <row r="191739" s="12" customFormat="1" x14ac:dyDescent="0.25"/>
    <row r="191740" s="12" customFormat="1" x14ac:dyDescent="0.25"/>
    <row r="191741" s="12" customFormat="1" x14ac:dyDescent="0.25"/>
    <row r="191742" s="12" customFormat="1" x14ac:dyDescent="0.25"/>
    <row r="191743" s="12" customFormat="1" x14ac:dyDescent="0.25"/>
    <row r="191744" s="12" customFormat="1" x14ac:dyDescent="0.25"/>
    <row r="191745" s="12" customFormat="1" x14ac:dyDescent="0.25"/>
    <row r="191746" s="12" customFormat="1" x14ac:dyDescent="0.25"/>
    <row r="191747" s="12" customFormat="1" x14ac:dyDescent="0.25"/>
    <row r="191748" s="12" customFormat="1" x14ac:dyDescent="0.25"/>
    <row r="191749" s="12" customFormat="1" x14ac:dyDescent="0.25"/>
    <row r="191750" s="12" customFormat="1" x14ac:dyDescent="0.25"/>
    <row r="191751" s="12" customFormat="1" x14ac:dyDescent="0.25"/>
    <row r="191752" s="12" customFormat="1" x14ac:dyDescent="0.25"/>
    <row r="191753" s="12" customFormat="1" x14ac:dyDescent="0.25"/>
    <row r="191754" s="12" customFormat="1" x14ac:dyDescent="0.25"/>
    <row r="191755" s="12" customFormat="1" x14ac:dyDescent="0.25"/>
    <row r="191756" s="12" customFormat="1" x14ac:dyDescent="0.25"/>
    <row r="191757" s="12" customFormat="1" x14ac:dyDescent="0.25"/>
    <row r="191758" s="12" customFormat="1" x14ac:dyDescent="0.25"/>
    <row r="191759" s="12" customFormat="1" x14ac:dyDescent="0.25"/>
    <row r="191760" s="12" customFormat="1" x14ac:dyDescent="0.25"/>
    <row r="191761" s="12" customFormat="1" x14ac:dyDescent="0.25"/>
    <row r="191762" s="12" customFormat="1" x14ac:dyDescent="0.25"/>
    <row r="191763" s="12" customFormat="1" x14ac:dyDescent="0.25"/>
    <row r="191764" s="12" customFormat="1" x14ac:dyDescent="0.25"/>
    <row r="191765" s="12" customFormat="1" x14ac:dyDescent="0.25"/>
    <row r="191766" s="12" customFormat="1" x14ac:dyDescent="0.25"/>
    <row r="191767" s="12" customFormat="1" x14ac:dyDescent="0.25"/>
    <row r="191768" s="12" customFormat="1" x14ac:dyDescent="0.25"/>
    <row r="191769" s="12" customFormat="1" x14ac:dyDescent="0.25"/>
    <row r="191770" s="12" customFormat="1" x14ac:dyDescent="0.25"/>
    <row r="191771" s="12" customFormat="1" x14ac:dyDescent="0.25"/>
    <row r="191772" s="12" customFormat="1" x14ac:dyDescent="0.25"/>
    <row r="191773" s="12" customFormat="1" x14ac:dyDescent="0.25"/>
    <row r="191774" s="12" customFormat="1" x14ac:dyDescent="0.25"/>
    <row r="191775" s="12" customFormat="1" x14ac:dyDescent="0.25"/>
    <row r="191776" s="12" customFormat="1" x14ac:dyDescent="0.25"/>
    <row r="191777" s="12" customFormat="1" x14ac:dyDescent="0.25"/>
    <row r="191778" s="12" customFormat="1" x14ac:dyDescent="0.25"/>
    <row r="191779" s="12" customFormat="1" x14ac:dyDescent="0.25"/>
    <row r="191780" s="12" customFormat="1" x14ac:dyDescent="0.25"/>
    <row r="191781" s="12" customFormat="1" x14ac:dyDescent="0.25"/>
    <row r="191782" s="12" customFormat="1" x14ac:dyDescent="0.25"/>
    <row r="191783" s="12" customFormat="1" x14ac:dyDescent="0.25"/>
    <row r="191784" s="12" customFormat="1" x14ac:dyDescent="0.25"/>
    <row r="191785" s="12" customFormat="1" x14ac:dyDescent="0.25"/>
    <row r="191786" s="12" customFormat="1" x14ac:dyDescent="0.25"/>
    <row r="191787" s="12" customFormat="1" x14ac:dyDescent="0.25"/>
    <row r="191788" s="12" customFormat="1" x14ac:dyDescent="0.25"/>
    <row r="191789" s="12" customFormat="1" x14ac:dyDescent="0.25"/>
    <row r="191790" s="12" customFormat="1" x14ac:dyDescent="0.25"/>
    <row r="191791" s="12" customFormat="1" x14ac:dyDescent="0.25"/>
    <row r="191792" s="12" customFormat="1" x14ac:dyDescent="0.25"/>
    <row r="191793" s="12" customFormat="1" x14ac:dyDescent="0.25"/>
    <row r="191794" s="12" customFormat="1" x14ac:dyDescent="0.25"/>
    <row r="191795" s="12" customFormat="1" x14ac:dyDescent="0.25"/>
    <row r="191796" s="12" customFormat="1" x14ac:dyDescent="0.25"/>
    <row r="191797" s="12" customFormat="1" x14ac:dyDescent="0.25"/>
    <row r="191798" s="12" customFormat="1" x14ac:dyDescent="0.25"/>
    <row r="191799" s="12" customFormat="1" x14ac:dyDescent="0.25"/>
    <row r="191800" s="12" customFormat="1" x14ac:dyDescent="0.25"/>
    <row r="191801" s="12" customFormat="1" x14ac:dyDescent="0.25"/>
    <row r="191802" s="12" customFormat="1" x14ac:dyDescent="0.25"/>
    <row r="191803" s="12" customFormat="1" x14ac:dyDescent="0.25"/>
    <row r="191804" s="12" customFormat="1" x14ac:dyDescent="0.25"/>
    <row r="191805" s="12" customFormat="1" x14ac:dyDescent="0.25"/>
    <row r="191806" s="12" customFormat="1" x14ac:dyDescent="0.25"/>
    <row r="191807" s="12" customFormat="1" x14ac:dyDescent="0.25"/>
    <row r="191808" s="12" customFormat="1" x14ac:dyDescent="0.25"/>
    <row r="191809" s="12" customFormat="1" x14ac:dyDescent="0.25"/>
    <row r="191810" s="12" customFormat="1" x14ac:dyDescent="0.25"/>
    <row r="191811" s="12" customFormat="1" x14ac:dyDescent="0.25"/>
    <row r="191812" s="12" customFormat="1" x14ac:dyDescent="0.25"/>
    <row r="191813" s="12" customFormat="1" x14ac:dyDescent="0.25"/>
    <row r="191814" s="12" customFormat="1" x14ac:dyDescent="0.25"/>
    <row r="191815" s="12" customFormat="1" x14ac:dyDescent="0.25"/>
    <row r="191816" s="12" customFormat="1" x14ac:dyDescent="0.25"/>
    <row r="191817" s="12" customFormat="1" x14ac:dyDescent="0.25"/>
    <row r="191818" s="12" customFormat="1" x14ac:dyDescent="0.25"/>
    <row r="191819" s="12" customFormat="1" x14ac:dyDescent="0.25"/>
    <row r="191820" s="12" customFormat="1" x14ac:dyDescent="0.25"/>
    <row r="191821" s="12" customFormat="1" x14ac:dyDescent="0.25"/>
    <row r="191822" s="12" customFormat="1" x14ac:dyDescent="0.25"/>
    <row r="191823" s="12" customFormat="1" x14ac:dyDescent="0.25"/>
    <row r="191824" s="12" customFormat="1" x14ac:dyDescent="0.25"/>
    <row r="191825" s="12" customFormat="1" x14ac:dyDescent="0.25"/>
    <row r="191826" s="12" customFormat="1" x14ac:dyDescent="0.25"/>
    <row r="191827" s="12" customFormat="1" x14ac:dyDescent="0.25"/>
    <row r="191828" s="12" customFormat="1" x14ac:dyDescent="0.25"/>
    <row r="191829" s="12" customFormat="1" x14ac:dyDescent="0.25"/>
    <row r="191830" s="12" customFormat="1" x14ac:dyDescent="0.25"/>
    <row r="191831" s="12" customFormat="1" x14ac:dyDescent="0.25"/>
    <row r="191832" s="12" customFormat="1" x14ac:dyDescent="0.25"/>
    <row r="191833" s="12" customFormat="1" x14ac:dyDescent="0.25"/>
    <row r="191834" s="12" customFormat="1" x14ac:dyDescent="0.25"/>
    <row r="191835" s="12" customFormat="1" x14ac:dyDescent="0.25"/>
    <row r="191836" s="12" customFormat="1" x14ac:dyDescent="0.25"/>
    <row r="191837" s="12" customFormat="1" x14ac:dyDescent="0.25"/>
    <row r="191838" s="12" customFormat="1" x14ac:dyDescent="0.25"/>
    <row r="191839" s="12" customFormat="1" x14ac:dyDescent="0.25"/>
    <row r="191840" s="12" customFormat="1" x14ac:dyDescent="0.25"/>
    <row r="191841" s="12" customFormat="1" x14ac:dyDescent="0.25"/>
    <row r="191842" s="12" customFormat="1" x14ac:dyDescent="0.25"/>
    <row r="191843" s="12" customFormat="1" x14ac:dyDescent="0.25"/>
    <row r="191844" s="12" customFormat="1" x14ac:dyDescent="0.25"/>
    <row r="191845" s="12" customFormat="1" x14ac:dyDescent="0.25"/>
    <row r="191846" s="12" customFormat="1" x14ac:dyDescent="0.25"/>
    <row r="191847" s="12" customFormat="1" x14ac:dyDescent="0.25"/>
    <row r="191848" s="12" customFormat="1" x14ac:dyDescent="0.25"/>
    <row r="191849" s="12" customFormat="1" x14ac:dyDescent="0.25"/>
    <row r="191850" s="12" customFormat="1" x14ac:dyDescent="0.25"/>
    <row r="191851" s="12" customFormat="1" x14ac:dyDescent="0.25"/>
    <row r="191852" s="12" customFormat="1" x14ac:dyDescent="0.25"/>
    <row r="191853" s="12" customFormat="1" x14ac:dyDescent="0.25"/>
    <row r="191854" s="12" customFormat="1" x14ac:dyDescent="0.25"/>
    <row r="191855" s="12" customFormat="1" x14ac:dyDescent="0.25"/>
    <row r="191856" s="12" customFormat="1" x14ac:dyDescent="0.25"/>
    <row r="191857" s="12" customFormat="1" x14ac:dyDescent="0.25"/>
    <row r="191858" s="12" customFormat="1" x14ac:dyDescent="0.25"/>
    <row r="191859" s="12" customFormat="1" x14ac:dyDescent="0.25"/>
    <row r="191860" s="12" customFormat="1" x14ac:dyDescent="0.25"/>
    <row r="191861" s="12" customFormat="1" x14ac:dyDescent="0.25"/>
    <row r="191862" s="12" customFormat="1" x14ac:dyDescent="0.25"/>
    <row r="191863" s="12" customFormat="1" x14ac:dyDescent="0.25"/>
    <row r="191864" s="12" customFormat="1" x14ac:dyDescent="0.25"/>
    <row r="191865" s="12" customFormat="1" x14ac:dyDescent="0.25"/>
    <row r="191866" s="12" customFormat="1" x14ac:dyDescent="0.25"/>
    <row r="191867" s="12" customFormat="1" x14ac:dyDescent="0.25"/>
    <row r="191868" s="12" customFormat="1" x14ac:dyDescent="0.25"/>
    <row r="191869" s="12" customFormat="1" x14ac:dyDescent="0.25"/>
    <row r="191870" s="12" customFormat="1" x14ac:dyDescent="0.25"/>
    <row r="191871" s="12" customFormat="1" x14ac:dyDescent="0.25"/>
    <row r="191872" s="12" customFormat="1" x14ac:dyDescent="0.25"/>
    <row r="191873" s="12" customFormat="1" x14ac:dyDescent="0.25"/>
    <row r="191874" s="12" customFormat="1" x14ac:dyDescent="0.25"/>
    <row r="191875" s="12" customFormat="1" x14ac:dyDescent="0.25"/>
    <row r="191876" s="12" customFormat="1" x14ac:dyDescent="0.25"/>
    <row r="191877" s="12" customFormat="1" x14ac:dyDescent="0.25"/>
    <row r="191878" s="12" customFormat="1" x14ac:dyDescent="0.25"/>
    <row r="191879" s="12" customFormat="1" x14ac:dyDescent="0.25"/>
    <row r="191880" s="12" customFormat="1" x14ac:dyDescent="0.25"/>
    <row r="191881" s="12" customFormat="1" x14ac:dyDescent="0.25"/>
    <row r="191882" s="12" customFormat="1" x14ac:dyDescent="0.25"/>
    <row r="191883" s="12" customFormat="1" x14ac:dyDescent="0.25"/>
    <row r="191884" s="12" customFormat="1" x14ac:dyDescent="0.25"/>
    <row r="191885" s="12" customFormat="1" x14ac:dyDescent="0.25"/>
    <row r="191886" s="12" customFormat="1" x14ac:dyDescent="0.25"/>
    <row r="191887" s="12" customFormat="1" x14ac:dyDescent="0.25"/>
    <row r="191888" s="12" customFormat="1" x14ac:dyDescent="0.25"/>
    <row r="191889" s="12" customFormat="1" x14ac:dyDescent="0.25"/>
    <row r="191890" s="12" customFormat="1" x14ac:dyDescent="0.25"/>
    <row r="191891" s="12" customFormat="1" x14ac:dyDescent="0.25"/>
    <row r="191892" s="12" customFormat="1" x14ac:dyDescent="0.25"/>
    <row r="191893" s="12" customFormat="1" x14ac:dyDescent="0.25"/>
    <row r="191894" s="12" customFormat="1" x14ac:dyDescent="0.25"/>
    <row r="191895" s="12" customFormat="1" x14ac:dyDescent="0.25"/>
    <row r="191896" s="12" customFormat="1" x14ac:dyDescent="0.25"/>
    <row r="191897" s="12" customFormat="1" x14ac:dyDescent="0.25"/>
    <row r="191898" s="12" customFormat="1" x14ac:dyDescent="0.25"/>
    <row r="191899" s="12" customFormat="1" x14ac:dyDescent="0.25"/>
    <row r="191900" s="12" customFormat="1" x14ac:dyDescent="0.25"/>
    <row r="191901" s="12" customFormat="1" x14ac:dyDescent="0.25"/>
    <row r="191902" s="12" customFormat="1" x14ac:dyDescent="0.25"/>
    <row r="191903" s="12" customFormat="1" x14ac:dyDescent="0.25"/>
    <row r="191904" s="12" customFormat="1" x14ac:dyDescent="0.25"/>
    <row r="191905" s="12" customFormat="1" x14ac:dyDescent="0.25"/>
    <row r="191906" s="12" customFormat="1" x14ac:dyDescent="0.25"/>
    <row r="191907" s="12" customFormat="1" x14ac:dyDescent="0.25"/>
    <row r="191908" s="12" customFormat="1" x14ac:dyDescent="0.25"/>
    <row r="191909" s="12" customFormat="1" x14ac:dyDescent="0.25"/>
    <row r="191910" s="12" customFormat="1" x14ac:dyDescent="0.25"/>
    <row r="191911" s="12" customFormat="1" x14ac:dyDescent="0.25"/>
    <row r="191912" s="12" customFormat="1" x14ac:dyDescent="0.25"/>
    <row r="191913" s="12" customFormat="1" x14ac:dyDescent="0.25"/>
    <row r="191914" s="12" customFormat="1" x14ac:dyDescent="0.25"/>
    <row r="191915" s="12" customFormat="1" x14ac:dyDescent="0.25"/>
    <row r="191916" s="12" customFormat="1" x14ac:dyDescent="0.25"/>
    <row r="191917" s="12" customFormat="1" x14ac:dyDescent="0.25"/>
    <row r="191918" s="12" customFormat="1" x14ac:dyDescent="0.25"/>
    <row r="191919" s="12" customFormat="1" x14ac:dyDescent="0.25"/>
    <row r="191920" s="12" customFormat="1" x14ac:dyDescent="0.25"/>
    <row r="191921" s="12" customFormat="1" x14ac:dyDescent="0.25"/>
    <row r="191922" s="12" customFormat="1" x14ac:dyDescent="0.25"/>
    <row r="191923" s="12" customFormat="1" x14ac:dyDescent="0.25"/>
    <row r="191924" s="12" customFormat="1" x14ac:dyDescent="0.25"/>
    <row r="191925" s="12" customFormat="1" x14ac:dyDescent="0.25"/>
    <row r="191926" s="12" customFormat="1" x14ac:dyDescent="0.25"/>
    <row r="191927" s="12" customFormat="1" x14ac:dyDescent="0.25"/>
    <row r="191928" s="12" customFormat="1" x14ac:dyDescent="0.25"/>
    <row r="191929" s="12" customFormat="1" x14ac:dyDescent="0.25"/>
    <row r="191930" s="12" customFormat="1" x14ac:dyDescent="0.25"/>
    <row r="191931" s="12" customFormat="1" x14ac:dyDescent="0.25"/>
    <row r="191932" s="12" customFormat="1" x14ac:dyDescent="0.25"/>
    <row r="191933" s="12" customFormat="1" x14ac:dyDescent="0.25"/>
    <row r="191934" s="12" customFormat="1" x14ac:dyDescent="0.25"/>
    <row r="191935" s="12" customFormat="1" x14ac:dyDescent="0.25"/>
    <row r="191936" s="12" customFormat="1" x14ac:dyDescent="0.25"/>
    <row r="191937" s="12" customFormat="1" x14ac:dyDescent="0.25"/>
    <row r="191938" s="12" customFormat="1" x14ac:dyDescent="0.25"/>
    <row r="191939" s="12" customFormat="1" x14ac:dyDescent="0.25"/>
    <row r="191940" s="12" customFormat="1" x14ac:dyDescent="0.25"/>
    <row r="191941" s="12" customFormat="1" x14ac:dyDescent="0.25"/>
    <row r="191942" s="12" customFormat="1" x14ac:dyDescent="0.25"/>
    <row r="191943" s="12" customFormat="1" x14ac:dyDescent="0.25"/>
    <row r="191944" s="12" customFormat="1" x14ac:dyDescent="0.25"/>
    <row r="191945" s="12" customFormat="1" x14ac:dyDescent="0.25"/>
    <row r="191946" s="12" customFormat="1" x14ac:dyDescent="0.25"/>
    <row r="191947" s="12" customFormat="1" x14ac:dyDescent="0.25"/>
    <row r="191948" s="12" customFormat="1" x14ac:dyDescent="0.25"/>
    <row r="191949" s="12" customFormat="1" x14ac:dyDescent="0.25"/>
    <row r="191950" s="12" customFormat="1" x14ac:dyDescent="0.25"/>
    <row r="191951" s="12" customFormat="1" x14ac:dyDescent="0.25"/>
    <row r="191952" s="12" customFormat="1" x14ac:dyDescent="0.25"/>
    <row r="191953" s="12" customFormat="1" x14ac:dyDescent="0.25"/>
    <row r="191954" s="12" customFormat="1" x14ac:dyDescent="0.25"/>
    <row r="191955" s="12" customFormat="1" x14ac:dyDescent="0.25"/>
    <row r="191956" s="12" customFormat="1" x14ac:dyDescent="0.25"/>
    <row r="191957" s="12" customFormat="1" x14ac:dyDescent="0.25"/>
    <row r="191958" s="12" customFormat="1" x14ac:dyDescent="0.25"/>
    <row r="191959" s="12" customFormat="1" x14ac:dyDescent="0.25"/>
    <row r="191960" s="12" customFormat="1" x14ac:dyDescent="0.25"/>
    <row r="191961" s="12" customFormat="1" x14ac:dyDescent="0.25"/>
    <row r="191962" s="12" customFormat="1" x14ac:dyDescent="0.25"/>
    <row r="191963" s="12" customFormat="1" x14ac:dyDescent="0.25"/>
    <row r="191964" s="12" customFormat="1" x14ac:dyDescent="0.25"/>
    <row r="191965" s="12" customFormat="1" x14ac:dyDescent="0.25"/>
    <row r="191966" s="12" customFormat="1" x14ac:dyDescent="0.25"/>
    <row r="191967" s="12" customFormat="1" x14ac:dyDescent="0.25"/>
    <row r="191968" s="12" customFormat="1" x14ac:dyDescent="0.25"/>
    <row r="191969" s="12" customFormat="1" x14ac:dyDescent="0.25"/>
    <row r="191970" s="12" customFormat="1" x14ac:dyDescent="0.25"/>
    <row r="191971" s="12" customFormat="1" x14ac:dyDescent="0.25"/>
    <row r="191972" s="12" customFormat="1" x14ac:dyDescent="0.25"/>
    <row r="191973" s="12" customFormat="1" x14ac:dyDescent="0.25"/>
    <row r="191974" s="12" customFormat="1" x14ac:dyDescent="0.25"/>
    <row r="191975" s="12" customFormat="1" x14ac:dyDescent="0.25"/>
    <row r="191976" s="12" customFormat="1" x14ac:dyDescent="0.25"/>
    <row r="191977" s="12" customFormat="1" x14ac:dyDescent="0.25"/>
    <row r="191978" s="12" customFormat="1" x14ac:dyDescent="0.25"/>
    <row r="191979" s="12" customFormat="1" x14ac:dyDescent="0.25"/>
    <row r="191980" s="12" customFormat="1" x14ac:dyDescent="0.25"/>
    <row r="191981" s="12" customFormat="1" x14ac:dyDescent="0.25"/>
    <row r="191982" s="12" customFormat="1" x14ac:dyDescent="0.25"/>
    <row r="191983" s="12" customFormat="1" x14ac:dyDescent="0.25"/>
    <row r="191984" s="12" customFormat="1" x14ac:dyDescent="0.25"/>
    <row r="191985" s="12" customFormat="1" x14ac:dyDescent="0.25"/>
    <row r="191986" s="12" customFormat="1" x14ac:dyDescent="0.25"/>
    <row r="191987" s="12" customFormat="1" x14ac:dyDescent="0.25"/>
    <row r="191988" s="12" customFormat="1" x14ac:dyDescent="0.25"/>
    <row r="191989" s="12" customFormat="1" x14ac:dyDescent="0.25"/>
    <row r="191990" s="12" customFormat="1" x14ac:dyDescent="0.25"/>
    <row r="191991" s="12" customFormat="1" x14ac:dyDescent="0.25"/>
    <row r="191992" s="12" customFormat="1" x14ac:dyDescent="0.25"/>
    <row r="191993" s="12" customFormat="1" x14ac:dyDescent="0.25"/>
    <row r="191994" s="12" customFormat="1" x14ac:dyDescent="0.25"/>
    <row r="191995" s="12" customFormat="1" x14ac:dyDescent="0.25"/>
    <row r="191996" s="12" customFormat="1" x14ac:dyDescent="0.25"/>
    <row r="191997" s="12" customFormat="1" x14ac:dyDescent="0.25"/>
    <row r="191998" s="12" customFormat="1" x14ac:dyDescent="0.25"/>
    <row r="191999" s="12" customFormat="1" x14ac:dyDescent="0.25"/>
    <row r="192000" s="12" customFormat="1" x14ac:dyDescent="0.25"/>
    <row r="192001" s="12" customFormat="1" x14ac:dyDescent="0.25"/>
    <row r="192002" s="12" customFormat="1" x14ac:dyDescent="0.25"/>
    <row r="192003" s="12" customFormat="1" x14ac:dyDescent="0.25"/>
    <row r="192004" s="12" customFormat="1" x14ac:dyDescent="0.25"/>
    <row r="192005" s="12" customFormat="1" x14ac:dyDescent="0.25"/>
    <row r="192006" s="12" customFormat="1" x14ac:dyDescent="0.25"/>
    <row r="192007" s="12" customFormat="1" x14ac:dyDescent="0.25"/>
    <row r="192008" s="12" customFormat="1" x14ac:dyDescent="0.25"/>
    <row r="192009" s="12" customFormat="1" x14ac:dyDescent="0.25"/>
    <row r="192010" s="12" customFormat="1" x14ac:dyDescent="0.25"/>
    <row r="192011" s="12" customFormat="1" x14ac:dyDescent="0.25"/>
    <row r="192012" s="12" customFormat="1" x14ac:dyDescent="0.25"/>
    <row r="192013" s="12" customFormat="1" x14ac:dyDescent="0.25"/>
    <row r="192014" s="12" customFormat="1" x14ac:dyDescent="0.25"/>
    <row r="192015" s="12" customFormat="1" x14ac:dyDescent="0.25"/>
    <row r="192016" s="12" customFormat="1" x14ac:dyDescent="0.25"/>
    <row r="192017" s="12" customFormat="1" x14ac:dyDescent="0.25"/>
    <row r="192018" s="12" customFormat="1" x14ac:dyDescent="0.25"/>
    <row r="192019" s="12" customFormat="1" x14ac:dyDescent="0.25"/>
    <row r="192020" s="12" customFormat="1" x14ac:dyDescent="0.25"/>
    <row r="192021" s="12" customFormat="1" x14ac:dyDescent="0.25"/>
    <row r="192022" s="12" customFormat="1" x14ac:dyDescent="0.25"/>
    <row r="192023" s="12" customFormat="1" x14ac:dyDescent="0.25"/>
    <row r="192024" s="12" customFormat="1" x14ac:dyDescent="0.25"/>
    <row r="192025" s="12" customFormat="1" x14ac:dyDescent="0.25"/>
    <row r="192026" s="12" customFormat="1" x14ac:dyDescent="0.25"/>
    <row r="192027" s="12" customFormat="1" x14ac:dyDescent="0.25"/>
    <row r="192028" s="12" customFormat="1" x14ac:dyDescent="0.25"/>
    <row r="192029" s="12" customFormat="1" x14ac:dyDescent="0.25"/>
    <row r="192030" s="12" customFormat="1" x14ac:dyDescent="0.25"/>
    <row r="192031" s="12" customFormat="1" x14ac:dyDescent="0.25"/>
    <row r="192032" s="12" customFormat="1" x14ac:dyDescent="0.25"/>
    <row r="192033" s="12" customFormat="1" x14ac:dyDescent="0.25"/>
    <row r="192034" s="12" customFormat="1" x14ac:dyDescent="0.25"/>
    <row r="192035" s="12" customFormat="1" x14ac:dyDescent="0.25"/>
    <row r="192036" s="12" customFormat="1" x14ac:dyDescent="0.25"/>
    <row r="192037" s="12" customFormat="1" x14ac:dyDescent="0.25"/>
    <row r="192038" s="12" customFormat="1" x14ac:dyDescent="0.25"/>
    <row r="192039" s="12" customFormat="1" x14ac:dyDescent="0.25"/>
    <row r="192040" s="12" customFormat="1" x14ac:dyDescent="0.25"/>
    <row r="192041" s="12" customFormat="1" x14ac:dyDescent="0.25"/>
    <row r="192042" s="12" customFormat="1" x14ac:dyDescent="0.25"/>
    <row r="192043" s="12" customFormat="1" x14ac:dyDescent="0.25"/>
    <row r="192044" s="12" customFormat="1" x14ac:dyDescent="0.25"/>
    <row r="192045" s="12" customFormat="1" x14ac:dyDescent="0.25"/>
    <row r="192046" s="12" customFormat="1" x14ac:dyDescent="0.25"/>
    <row r="192047" s="12" customFormat="1" x14ac:dyDescent="0.25"/>
    <row r="192048" s="12" customFormat="1" x14ac:dyDescent="0.25"/>
    <row r="192049" s="12" customFormat="1" x14ac:dyDescent="0.25"/>
    <row r="192050" s="12" customFormat="1" x14ac:dyDescent="0.25"/>
    <row r="192051" s="12" customFormat="1" x14ac:dyDescent="0.25"/>
    <row r="192052" s="12" customFormat="1" x14ac:dyDescent="0.25"/>
    <row r="192053" s="12" customFormat="1" x14ac:dyDescent="0.25"/>
    <row r="192054" s="12" customFormat="1" x14ac:dyDescent="0.25"/>
    <row r="192055" s="12" customFormat="1" x14ac:dyDescent="0.25"/>
    <row r="192056" s="12" customFormat="1" x14ac:dyDescent="0.25"/>
    <row r="192057" s="12" customFormat="1" x14ac:dyDescent="0.25"/>
    <row r="192058" s="12" customFormat="1" x14ac:dyDescent="0.25"/>
    <row r="192059" s="12" customFormat="1" x14ac:dyDescent="0.25"/>
    <row r="192060" s="12" customFormat="1" x14ac:dyDescent="0.25"/>
    <row r="192061" s="12" customFormat="1" x14ac:dyDescent="0.25"/>
    <row r="192062" s="12" customFormat="1" x14ac:dyDescent="0.25"/>
    <row r="192063" s="12" customFormat="1" x14ac:dyDescent="0.25"/>
    <row r="192064" s="12" customFormat="1" x14ac:dyDescent="0.25"/>
    <row r="192065" s="12" customFormat="1" x14ac:dyDescent="0.25"/>
    <row r="192066" s="12" customFormat="1" x14ac:dyDescent="0.25"/>
    <row r="192067" s="12" customFormat="1" x14ac:dyDescent="0.25"/>
    <row r="192068" s="12" customFormat="1" x14ac:dyDescent="0.25"/>
    <row r="192069" s="12" customFormat="1" x14ac:dyDescent="0.25"/>
    <row r="192070" s="12" customFormat="1" x14ac:dyDescent="0.25"/>
    <row r="192071" s="12" customFormat="1" x14ac:dyDescent="0.25"/>
    <row r="192072" s="12" customFormat="1" x14ac:dyDescent="0.25"/>
    <row r="192073" s="12" customFormat="1" x14ac:dyDescent="0.25"/>
    <row r="192074" s="12" customFormat="1" x14ac:dyDescent="0.25"/>
    <row r="192075" s="12" customFormat="1" x14ac:dyDescent="0.25"/>
    <row r="192076" s="12" customFormat="1" x14ac:dyDescent="0.25"/>
    <row r="192077" s="12" customFormat="1" x14ac:dyDescent="0.25"/>
    <row r="192078" s="12" customFormat="1" x14ac:dyDescent="0.25"/>
    <row r="192079" s="12" customFormat="1" x14ac:dyDescent="0.25"/>
    <row r="192080" s="12" customFormat="1" x14ac:dyDescent="0.25"/>
    <row r="192081" s="12" customFormat="1" x14ac:dyDescent="0.25"/>
    <row r="192082" s="12" customFormat="1" x14ac:dyDescent="0.25"/>
    <row r="192083" s="12" customFormat="1" x14ac:dyDescent="0.25"/>
    <row r="192084" s="12" customFormat="1" x14ac:dyDescent="0.25"/>
    <row r="192085" s="12" customFormat="1" x14ac:dyDescent="0.25"/>
    <row r="192086" s="12" customFormat="1" x14ac:dyDescent="0.25"/>
    <row r="192087" s="12" customFormat="1" x14ac:dyDescent="0.25"/>
    <row r="192088" s="12" customFormat="1" x14ac:dyDescent="0.25"/>
    <row r="192089" s="12" customFormat="1" x14ac:dyDescent="0.25"/>
    <row r="192090" s="12" customFormat="1" x14ac:dyDescent="0.25"/>
    <row r="192091" s="12" customFormat="1" x14ac:dyDescent="0.25"/>
    <row r="192092" s="12" customFormat="1" x14ac:dyDescent="0.25"/>
    <row r="192093" s="12" customFormat="1" x14ac:dyDescent="0.25"/>
    <row r="192094" s="12" customFormat="1" x14ac:dyDescent="0.25"/>
    <row r="192095" s="12" customFormat="1" x14ac:dyDescent="0.25"/>
    <row r="192096" s="12" customFormat="1" x14ac:dyDescent="0.25"/>
    <row r="192097" s="12" customFormat="1" x14ac:dyDescent="0.25"/>
    <row r="192098" s="12" customFormat="1" x14ac:dyDescent="0.25"/>
    <row r="192099" s="12" customFormat="1" x14ac:dyDescent="0.25"/>
    <row r="192100" s="12" customFormat="1" x14ac:dyDescent="0.25"/>
    <row r="192101" s="12" customFormat="1" x14ac:dyDescent="0.25"/>
    <row r="192102" s="12" customFormat="1" x14ac:dyDescent="0.25"/>
    <row r="192103" s="12" customFormat="1" x14ac:dyDescent="0.25"/>
    <row r="192104" s="12" customFormat="1" x14ac:dyDescent="0.25"/>
    <row r="192105" s="12" customFormat="1" x14ac:dyDescent="0.25"/>
    <row r="192106" s="12" customFormat="1" x14ac:dyDescent="0.25"/>
    <row r="192107" s="12" customFormat="1" x14ac:dyDescent="0.25"/>
    <row r="192108" s="12" customFormat="1" x14ac:dyDescent="0.25"/>
    <row r="192109" s="12" customFormat="1" x14ac:dyDescent="0.25"/>
    <row r="192110" s="12" customFormat="1" x14ac:dyDescent="0.25"/>
    <row r="192111" s="12" customFormat="1" x14ac:dyDescent="0.25"/>
    <row r="192112" s="12" customFormat="1" x14ac:dyDescent="0.25"/>
    <row r="192113" s="12" customFormat="1" x14ac:dyDescent="0.25"/>
    <row r="192114" s="12" customFormat="1" x14ac:dyDescent="0.25"/>
    <row r="192115" s="12" customFormat="1" x14ac:dyDescent="0.25"/>
    <row r="192116" s="12" customFormat="1" x14ac:dyDescent="0.25"/>
    <row r="192117" s="12" customFormat="1" x14ac:dyDescent="0.25"/>
    <row r="192118" s="12" customFormat="1" x14ac:dyDescent="0.25"/>
    <row r="192119" s="12" customFormat="1" x14ac:dyDescent="0.25"/>
    <row r="192120" s="12" customFormat="1" x14ac:dyDescent="0.25"/>
    <row r="192121" s="12" customFormat="1" x14ac:dyDescent="0.25"/>
    <row r="192122" s="12" customFormat="1" x14ac:dyDescent="0.25"/>
    <row r="192123" s="12" customFormat="1" x14ac:dyDescent="0.25"/>
    <row r="192124" s="12" customFormat="1" x14ac:dyDescent="0.25"/>
    <row r="192125" s="12" customFormat="1" x14ac:dyDescent="0.25"/>
    <row r="192126" s="12" customFormat="1" x14ac:dyDescent="0.25"/>
    <row r="192127" s="12" customFormat="1" x14ac:dyDescent="0.25"/>
    <row r="192128" s="12" customFormat="1" x14ac:dyDescent="0.25"/>
    <row r="192129" s="12" customFormat="1" x14ac:dyDescent="0.25"/>
    <row r="192130" s="12" customFormat="1" x14ac:dyDescent="0.25"/>
    <row r="192131" s="12" customFormat="1" x14ac:dyDescent="0.25"/>
    <row r="192132" s="12" customFormat="1" x14ac:dyDescent="0.25"/>
    <row r="192133" s="12" customFormat="1" x14ac:dyDescent="0.25"/>
    <row r="192134" s="12" customFormat="1" x14ac:dyDescent="0.25"/>
    <row r="192135" s="12" customFormat="1" x14ac:dyDescent="0.25"/>
    <row r="192136" s="12" customFormat="1" x14ac:dyDescent="0.25"/>
    <row r="192137" s="12" customFormat="1" x14ac:dyDescent="0.25"/>
    <row r="192138" s="12" customFormat="1" x14ac:dyDescent="0.25"/>
    <row r="192139" s="12" customFormat="1" x14ac:dyDescent="0.25"/>
    <row r="192140" s="12" customFormat="1" x14ac:dyDescent="0.25"/>
    <row r="192141" s="12" customFormat="1" x14ac:dyDescent="0.25"/>
    <row r="192142" s="12" customFormat="1" x14ac:dyDescent="0.25"/>
    <row r="192143" s="12" customFormat="1" x14ac:dyDescent="0.25"/>
    <row r="192144" s="12" customFormat="1" x14ac:dyDescent="0.25"/>
    <row r="192145" s="12" customFormat="1" x14ac:dyDescent="0.25"/>
    <row r="192146" s="12" customFormat="1" x14ac:dyDescent="0.25"/>
    <row r="192147" s="12" customFormat="1" x14ac:dyDescent="0.25"/>
    <row r="192148" s="12" customFormat="1" x14ac:dyDescent="0.25"/>
    <row r="192149" s="12" customFormat="1" x14ac:dyDescent="0.25"/>
    <row r="192150" s="12" customFormat="1" x14ac:dyDescent="0.25"/>
    <row r="192151" s="12" customFormat="1" x14ac:dyDescent="0.25"/>
    <row r="192152" s="12" customFormat="1" x14ac:dyDescent="0.25"/>
    <row r="192153" s="12" customFormat="1" x14ac:dyDescent="0.25"/>
    <row r="192154" s="12" customFormat="1" x14ac:dyDescent="0.25"/>
    <row r="192155" s="12" customFormat="1" x14ac:dyDescent="0.25"/>
    <row r="192156" s="12" customFormat="1" x14ac:dyDescent="0.25"/>
    <row r="192157" s="12" customFormat="1" x14ac:dyDescent="0.25"/>
    <row r="192158" s="12" customFormat="1" x14ac:dyDescent="0.25"/>
    <row r="192159" s="12" customFormat="1" x14ac:dyDescent="0.25"/>
    <row r="192160" s="12" customFormat="1" x14ac:dyDescent="0.25"/>
    <row r="192161" s="12" customFormat="1" x14ac:dyDescent="0.25"/>
    <row r="192162" s="12" customFormat="1" x14ac:dyDescent="0.25"/>
    <row r="192163" s="12" customFormat="1" x14ac:dyDescent="0.25"/>
    <row r="192164" s="12" customFormat="1" x14ac:dyDescent="0.25"/>
    <row r="192165" s="12" customFormat="1" x14ac:dyDescent="0.25"/>
    <row r="192166" s="12" customFormat="1" x14ac:dyDescent="0.25"/>
    <row r="192167" s="12" customFormat="1" x14ac:dyDescent="0.25"/>
    <row r="192168" s="12" customFormat="1" x14ac:dyDescent="0.25"/>
    <row r="192169" s="12" customFormat="1" x14ac:dyDescent="0.25"/>
    <row r="192170" s="12" customFormat="1" x14ac:dyDescent="0.25"/>
    <row r="192171" s="12" customFormat="1" x14ac:dyDescent="0.25"/>
    <row r="192172" s="12" customFormat="1" x14ac:dyDescent="0.25"/>
    <row r="192173" s="12" customFormat="1" x14ac:dyDescent="0.25"/>
    <row r="192174" s="12" customFormat="1" x14ac:dyDescent="0.25"/>
    <row r="192175" s="12" customFormat="1" x14ac:dyDescent="0.25"/>
    <row r="192176" s="12" customFormat="1" x14ac:dyDescent="0.25"/>
    <row r="192177" s="12" customFormat="1" x14ac:dyDescent="0.25"/>
    <row r="192178" s="12" customFormat="1" x14ac:dyDescent="0.25"/>
    <row r="192179" s="12" customFormat="1" x14ac:dyDescent="0.25"/>
    <row r="192180" s="12" customFormat="1" x14ac:dyDescent="0.25"/>
    <row r="192181" s="12" customFormat="1" x14ac:dyDescent="0.25"/>
    <row r="192182" s="12" customFormat="1" x14ac:dyDescent="0.25"/>
    <row r="192183" s="12" customFormat="1" x14ac:dyDescent="0.25"/>
    <row r="192184" s="12" customFormat="1" x14ac:dyDescent="0.25"/>
    <row r="192185" s="12" customFormat="1" x14ac:dyDescent="0.25"/>
    <row r="192186" s="12" customFormat="1" x14ac:dyDescent="0.25"/>
    <row r="192187" s="12" customFormat="1" x14ac:dyDescent="0.25"/>
    <row r="192188" s="12" customFormat="1" x14ac:dyDescent="0.25"/>
    <row r="192189" s="12" customFormat="1" x14ac:dyDescent="0.25"/>
    <row r="192190" s="12" customFormat="1" x14ac:dyDescent="0.25"/>
    <row r="192191" s="12" customFormat="1" x14ac:dyDescent="0.25"/>
    <row r="192192" s="12" customFormat="1" x14ac:dyDescent="0.25"/>
    <row r="192193" s="12" customFormat="1" x14ac:dyDescent="0.25"/>
    <row r="192194" s="12" customFormat="1" x14ac:dyDescent="0.25"/>
    <row r="192195" s="12" customFormat="1" x14ac:dyDescent="0.25"/>
    <row r="192196" s="12" customFormat="1" x14ac:dyDescent="0.25"/>
    <row r="192197" s="12" customFormat="1" x14ac:dyDescent="0.25"/>
    <row r="192198" s="12" customFormat="1" x14ac:dyDescent="0.25"/>
    <row r="192199" s="12" customFormat="1" x14ac:dyDescent="0.25"/>
    <row r="192200" s="12" customFormat="1" x14ac:dyDescent="0.25"/>
    <row r="192201" s="12" customFormat="1" x14ac:dyDescent="0.25"/>
    <row r="192202" s="12" customFormat="1" x14ac:dyDescent="0.25"/>
    <row r="192203" s="12" customFormat="1" x14ac:dyDescent="0.25"/>
    <row r="192204" s="12" customFormat="1" x14ac:dyDescent="0.25"/>
    <row r="192205" s="12" customFormat="1" x14ac:dyDescent="0.25"/>
    <row r="192206" s="12" customFormat="1" x14ac:dyDescent="0.25"/>
    <row r="192207" s="12" customFormat="1" x14ac:dyDescent="0.25"/>
    <row r="192208" s="12" customFormat="1" x14ac:dyDescent="0.25"/>
    <row r="192209" s="12" customFormat="1" x14ac:dyDescent="0.25"/>
    <row r="192210" s="12" customFormat="1" x14ac:dyDescent="0.25"/>
    <row r="192211" s="12" customFormat="1" x14ac:dyDescent="0.25"/>
    <row r="192212" s="12" customFormat="1" x14ac:dyDescent="0.25"/>
    <row r="192213" s="12" customFormat="1" x14ac:dyDescent="0.25"/>
    <row r="192214" s="12" customFormat="1" x14ac:dyDescent="0.25"/>
    <row r="192215" s="12" customFormat="1" x14ac:dyDescent="0.25"/>
    <row r="192216" s="12" customFormat="1" x14ac:dyDescent="0.25"/>
    <row r="192217" s="12" customFormat="1" x14ac:dyDescent="0.25"/>
    <row r="192218" s="12" customFormat="1" x14ac:dyDescent="0.25"/>
    <row r="192219" s="12" customFormat="1" x14ac:dyDescent="0.25"/>
    <row r="192220" s="12" customFormat="1" x14ac:dyDescent="0.25"/>
    <row r="192221" s="12" customFormat="1" x14ac:dyDescent="0.25"/>
    <row r="192222" s="12" customFormat="1" x14ac:dyDescent="0.25"/>
    <row r="192223" s="12" customFormat="1" x14ac:dyDescent="0.25"/>
    <row r="192224" s="12" customFormat="1" x14ac:dyDescent="0.25"/>
    <row r="192225" s="12" customFormat="1" x14ac:dyDescent="0.25"/>
    <row r="192226" s="12" customFormat="1" x14ac:dyDescent="0.25"/>
    <row r="192227" s="12" customFormat="1" x14ac:dyDescent="0.25"/>
    <row r="192228" s="12" customFormat="1" x14ac:dyDescent="0.25"/>
    <row r="192229" s="12" customFormat="1" x14ac:dyDescent="0.25"/>
    <row r="192230" s="12" customFormat="1" x14ac:dyDescent="0.25"/>
    <row r="192231" s="12" customFormat="1" x14ac:dyDescent="0.25"/>
    <row r="192232" s="12" customFormat="1" x14ac:dyDescent="0.25"/>
    <row r="192233" s="12" customFormat="1" x14ac:dyDescent="0.25"/>
    <row r="192234" s="12" customFormat="1" x14ac:dyDescent="0.25"/>
    <row r="192235" s="12" customFormat="1" x14ac:dyDescent="0.25"/>
    <row r="192236" s="12" customFormat="1" x14ac:dyDescent="0.25"/>
    <row r="192237" s="12" customFormat="1" x14ac:dyDescent="0.25"/>
    <row r="192238" s="12" customFormat="1" x14ac:dyDescent="0.25"/>
    <row r="192239" s="12" customFormat="1" x14ac:dyDescent="0.25"/>
    <row r="192240" s="12" customFormat="1" x14ac:dyDescent="0.25"/>
    <row r="192241" s="12" customFormat="1" x14ac:dyDescent="0.25"/>
    <row r="192242" s="12" customFormat="1" x14ac:dyDescent="0.25"/>
    <row r="192243" s="12" customFormat="1" x14ac:dyDescent="0.25"/>
    <row r="192244" s="12" customFormat="1" x14ac:dyDescent="0.25"/>
    <row r="192245" s="12" customFormat="1" x14ac:dyDescent="0.25"/>
    <row r="192246" s="12" customFormat="1" x14ac:dyDescent="0.25"/>
    <row r="192247" s="12" customFormat="1" x14ac:dyDescent="0.25"/>
    <row r="192248" s="12" customFormat="1" x14ac:dyDescent="0.25"/>
    <row r="192249" s="12" customFormat="1" x14ac:dyDescent="0.25"/>
    <row r="192250" s="12" customFormat="1" x14ac:dyDescent="0.25"/>
    <row r="192251" s="12" customFormat="1" x14ac:dyDescent="0.25"/>
    <row r="192252" s="12" customFormat="1" x14ac:dyDescent="0.25"/>
    <row r="192253" s="12" customFormat="1" x14ac:dyDescent="0.25"/>
    <row r="192254" s="12" customFormat="1" x14ac:dyDescent="0.25"/>
    <row r="192255" s="12" customFormat="1" x14ac:dyDescent="0.25"/>
    <row r="192256" s="12" customFormat="1" x14ac:dyDescent="0.25"/>
    <row r="192257" s="12" customFormat="1" x14ac:dyDescent="0.25"/>
    <row r="192258" s="12" customFormat="1" x14ac:dyDescent="0.25"/>
    <row r="192259" s="12" customFormat="1" x14ac:dyDescent="0.25"/>
    <row r="192260" s="12" customFormat="1" x14ac:dyDescent="0.25"/>
    <row r="192261" s="12" customFormat="1" x14ac:dyDescent="0.25"/>
    <row r="192262" s="12" customFormat="1" x14ac:dyDescent="0.25"/>
    <row r="192263" s="12" customFormat="1" x14ac:dyDescent="0.25"/>
    <row r="192264" s="12" customFormat="1" x14ac:dyDescent="0.25"/>
    <row r="192265" s="12" customFormat="1" x14ac:dyDescent="0.25"/>
    <row r="192266" s="12" customFormat="1" x14ac:dyDescent="0.25"/>
    <row r="192267" s="12" customFormat="1" x14ac:dyDescent="0.25"/>
    <row r="192268" s="12" customFormat="1" x14ac:dyDescent="0.25"/>
    <row r="192269" s="12" customFormat="1" x14ac:dyDescent="0.25"/>
    <row r="192270" s="12" customFormat="1" x14ac:dyDescent="0.25"/>
    <row r="192271" s="12" customFormat="1" x14ac:dyDescent="0.25"/>
    <row r="192272" s="12" customFormat="1" x14ac:dyDescent="0.25"/>
    <row r="192273" s="12" customFormat="1" x14ac:dyDescent="0.25"/>
    <row r="192274" s="12" customFormat="1" x14ac:dyDescent="0.25"/>
    <row r="192275" s="12" customFormat="1" x14ac:dyDescent="0.25"/>
    <row r="192276" s="12" customFormat="1" x14ac:dyDescent="0.25"/>
    <row r="192277" s="12" customFormat="1" x14ac:dyDescent="0.25"/>
    <row r="192278" s="12" customFormat="1" x14ac:dyDescent="0.25"/>
    <row r="192279" s="12" customFormat="1" x14ac:dyDescent="0.25"/>
    <row r="192280" s="12" customFormat="1" x14ac:dyDescent="0.25"/>
    <row r="192281" s="12" customFormat="1" x14ac:dyDescent="0.25"/>
    <row r="192282" s="12" customFormat="1" x14ac:dyDescent="0.25"/>
    <row r="192283" s="12" customFormat="1" x14ac:dyDescent="0.25"/>
    <row r="192284" s="12" customFormat="1" x14ac:dyDescent="0.25"/>
    <row r="192285" s="12" customFormat="1" x14ac:dyDescent="0.25"/>
    <row r="192286" s="12" customFormat="1" x14ac:dyDescent="0.25"/>
    <row r="192287" s="12" customFormat="1" x14ac:dyDescent="0.25"/>
    <row r="192288" s="12" customFormat="1" x14ac:dyDescent="0.25"/>
    <row r="192289" s="12" customFormat="1" x14ac:dyDescent="0.25"/>
    <row r="192290" s="12" customFormat="1" x14ac:dyDescent="0.25"/>
    <row r="192291" s="12" customFormat="1" x14ac:dyDescent="0.25"/>
    <row r="192292" s="12" customFormat="1" x14ac:dyDescent="0.25"/>
    <row r="192293" s="12" customFormat="1" x14ac:dyDescent="0.25"/>
    <row r="192294" s="12" customFormat="1" x14ac:dyDescent="0.25"/>
    <row r="192295" s="12" customFormat="1" x14ac:dyDescent="0.25"/>
    <row r="192296" s="12" customFormat="1" x14ac:dyDescent="0.25"/>
    <row r="192297" s="12" customFormat="1" x14ac:dyDescent="0.25"/>
    <row r="192298" s="12" customFormat="1" x14ac:dyDescent="0.25"/>
    <row r="192299" s="12" customFormat="1" x14ac:dyDescent="0.25"/>
    <row r="192300" s="12" customFormat="1" x14ac:dyDescent="0.25"/>
    <row r="192301" s="12" customFormat="1" x14ac:dyDescent="0.25"/>
    <row r="192302" s="12" customFormat="1" x14ac:dyDescent="0.25"/>
    <row r="192303" s="12" customFormat="1" x14ac:dyDescent="0.25"/>
    <row r="192304" s="12" customFormat="1" x14ac:dyDescent="0.25"/>
    <row r="192305" s="12" customFormat="1" x14ac:dyDescent="0.25"/>
    <row r="192306" s="12" customFormat="1" x14ac:dyDescent="0.25"/>
    <row r="192307" s="12" customFormat="1" x14ac:dyDescent="0.25"/>
    <row r="192308" s="12" customFormat="1" x14ac:dyDescent="0.25"/>
    <row r="192309" s="12" customFormat="1" x14ac:dyDescent="0.25"/>
    <row r="192310" s="12" customFormat="1" x14ac:dyDescent="0.25"/>
    <row r="192311" s="12" customFormat="1" x14ac:dyDescent="0.25"/>
    <row r="192312" s="12" customFormat="1" x14ac:dyDescent="0.25"/>
    <row r="192313" s="12" customFormat="1" x14ac:dyDescent="0.25"/>
    <row r="192314" s="12" customFormat="1" x14ac:dyDescent="0.25"/>
    <row r="192315" s="12" customFormat="1" x14ac:dyDescent="0.25"/>
    <row r="192316" s="12" customFormat="1" x14ac:dyDescent="0.25"/>
    <row r="192317" s="12" customFormat="1" x14ac:dyDescent="0.25"/>
    <row r="192318" s="12" customFormat="1" x14ac:dyDescent="0.25"/>
    <row r="192319" s="12" customFormat="1" x14ac:dyDescent="0.25"/>
    <row r="192320" s="12" customFormat="1" x14ac:dyDescent="0.25"/>
    <row r="192321" s="12" customFormat="1" x14ac:dyDescent="0.25"/>
    <row r="192322" s="12" customFormat="1" x14ac:dyDescent="0.25"/>
    <row r="192323" s="12" customFormat="1" x14ac:dyDescent="0.25"/>
    <row r="192324" s="12" customFormat="1" x14ac:dyDescent="0.25"/>
    <row r="192325" s="12" customFormat="1" x14ac:dyDescent="0.25"/>
    <row r="192326" s="12" customFormat="1" x14ac:dyDescent="0.25"/>
    <row r="192327" s="12" customFormat="1" x14ac:dyDescent="0.25"/>
    <row r="192328" s="12" customFormat="1" x14ac:dyDescent="0.25"/>
    <row r="192329" s="12" customFormat="1" x14ac:dyDescent="0.25"/>
    <row r="192330" s="12" customFormat="1" x14ac:dyDescent="0.25"/>
    <row r="192331" s="12" customFormat="1" x14ac:dyDescent="0.25"/>
    <row r="192332" s="12" customFormat="1" x14ac:dyDescent="0.25"/>
    <row r="192333" s="12" customFormat="1" x14ac:dyDescent="0.25"/>
    <row r="192334" s="12" customFormat="1" x14ac:dyDescent="0.25"/>
    <row r="192335" s="12" customFormat="1" x14ac:dyDescent="0.25"/>
    <row r="192336" s="12" customFormat="1" x14ac:dyDescent="0.25"/>
    <row r="192337" s="12" customFormat="1" x14ac:dyDescent="0.25"/>
    <row r="192338" s="12" customFormat="1" x14ac:dyDescent="0.25"/>
    <row r="192339" s="12" customFormat="1" x14ac:dyDescent="0.25"/>
    <row r="192340" s="12" customFormat="1" x14ac:dyDescent="0.25"/>
    <row r="192341" s="12" customFormat="1" x14ac:dyDescent="0.25"/>
    <row r="192342" s="12" customFormat="1" x14ac:dyDescent="0.25"/>
    <row r="192343" s="12" customFormat="1" x14ac:dyDescent="0.25"/>
    <row r="192344" s="12" customFormat="1" x14ac:dyDescent="0.25"/>
    <row r="192345" s="12" customFormat="1" x14ac:dyDescent="0.25"/>
    <row r="192346" s="12" customFormat="1" x14ac:dyDescent="0.25"/>
    <row r="192347" s="12" customFormat="1" x14ac:dyDescent="0.25"/>
    <row r="192348" s="12" customFormat="1" x14ac:dyDescent="0.25"/>
    <row r="192349" s="12" customFormat="1" x14ac:dyDescent="0.25"/>
    <row r="192350" s="12" customFormat="1" x14ac:dyDescent="0.25"/>
    <row r="192351" s="12" customFormat="1" x14ac:dyDescent="0.25"/>
    <row r="192352" s="12" customFormat="1" x14ac:dyDescent="0.25"/>
    <row r="192353" s="12" customFormat="1" x14ac:dyDescent="0.25"/>
    <row r="192354" s="12" customFormat="1" x14ac:dyDescent="0.25"/>
    <row r="192355" s="12" customFormat="1" x14ac:dyDescent="0.25"/>
    <row r="192356" s="12" customFormat="1" x14ac:dyDescent="0.25"/>
    <row r="192357" s="12" customFormat="1" x14ac:dyDescent="0.25"/>
    <row r="192358" s="12" customFormat="1" x14ac:dyDescent="0.25"/>
    <row r="192359" s="12" customFormat="1" x14ac:dyDescent="0.25"/>
    <row r="192360" s="12" customFormat="1" x14ac:dyDescent="0.25"/>
    <row r="192361" s="12" customFormat="1" x14ac:dyDescent="0.25"/>
    <row r="192362" s="12" customFormat="1" x14ac:dyDescent="0.25"/>
    <row r="192363" s="12" customFormat="1" x14ac:dyDescent="0.25"/>
    <row r="192364" s="12" customFormat="1" x14ac:dyDescent="0.25"/>
    <row r="192365" s="12" customFormat="1" x14ac:dyDescent="0.25"/>
    <row r="192366" s="12" customFormat="1" x14ac:dyDescent="0.25"/>
    <row r="192367" s="12" customFormat="1" x14ac:dyDescent="0.25"/>
    <row r="192368" s="12" customFormat="1" x14ac:dyDescent="0.25"/>
    <row r="192369" s="12" customFormat="1" x14ac:dyDescent="0.25"/>
    <row r="192370" s="12" customFormat="1" x14ac:dyDescent="0.25"/>
    <row r="192371" s="12" customFormat="1" x14ac:dyDescent="0.25"/>
    <row r="192372" s="12" customFormat="1" x14ac:dyDescent="0.25"/>
    <row r="192373" s="12" customFormat="1" x14ac:dyDescent="0.25"/>
    <row r="192374" s="12" customFormat="1" x14ac:dyDescent="0.25"/>
    <row r="192375" s="12" customFormat="1" x14ac:dyDescent="0.25"/>
    <row r="192376" s="12" customFormat="1" x14ac:dyDescent="0.25"/>
    <row r="192377" s="12" customFormat="1" x14ac:dyDescent="0.25"/>
    <row r="192378" s="12" customFormat="1" x14ac:dyDescent="0.25"/>
    <row r="192379" s="12" customFormat="1" x14ac:dyDescent="0.25"/>
    <row r="192380" s="12" customFormat="1" x14ac:dyDescent="0.25"/>
    <row r="192381" s="12" customFormat="1" x14ac:dyDescent="0.25"/>
    <row r="192382" s="12" customFormat="1" x14ac:dyDescent="0.25"/>
    <row r="192383" s="12" customFormat="1" x14ac:dyDescent="0.25"/>
    <row r="192384" s="12" customFormat="1" x14ac:dyDescent="0.25"/>
    <row r="192385" s="12" customFormat="1" x14ac:dyDescent="0.25"/>
    <row r="192386" s="12" customFormat="1" x14ac:dyDescent="0.25"/>
    <row r="192387" s="12" customFormat="1" x14ac:dyDescent="0.25"/>
    <row r="192388" s="12" customFormat="1" x14ac:dyDescent="0.25"/>
    <row r="192389" s="12" customFormat="1" x14ac:dyDescent="0.25"/>
    <row r="192390" s="12" customFormat="1" x14ac:dyDescent="0.25"/>
    <row r="192391" s="12" customFormat="1" x14ac:dyDescent="0.25"/>
    <row r="192392" s="12" customFormat="1" x14ac:dyDescent="0.25"/>
    <row r="192393" s="12" customFormat="1" x14ac:dyDescent="0.25"/>
    <row r="192394" s="12" customFormat="1" x14ac:dyDescent="0.25"/>
    <row r="192395" s="12" customFormat="1" x14ac:dyDescent="0.25"/>
    <row r="192396" s="12" customFormat="1" x14ac:dyDescent="0.25"/>
    <row r="192397" s="12" customFormat="1" x14ac:dyDescent="0.25"/>
    <row r="192398" s="12" customFormat="1" x14ac:dyDescent="0.25"/>
    <row r="192399" s="12" customFormat="1" x14ac:dyDescent="0.25"/>
    <row r="192400" s="12" customFormat="1" x14ac:dyDescent="0.25"/>
    <row r="192401" s="12" customFormat="1" x14ac:dyDescent="0.25"/>
    <row r="192402" s="12" customFormat="1" x14ac:dyDescent="0.25"/>
    <row r="192403" s="12" customFormat="1" x14ac:dyDescent="0.25"/>
    <row r="192404" s="12" customFormat="1" x14ac:dyDescent="0.25"/>
    <row r="192405" s="12" customFormat="1" x14ac:dyDescent="0.25"/>
    <row r="192406" s="12" customFormat="1" x14ac:dyDescent="0.25"/>
    <row r="192407" s="12" customFormat="1" x14ac:dyDescent="0.25"/>
    <row r="192408" s="12" customFormat="1" x14ac:dyDescent="0.25"/>
    <row r="192409" s="12" customFormat="1" x14ac:dyDescent="0.25"/>
    <row r="192410" s="12" customFormat="1" x14ac:dyDescent="0.25"/>
    <row r="192411" s="12" customFormat="1" x14ac:dyDescent="0.25"/>
    <row r="192412" s="12" customFormat="1" x14ac:dyDescent="0.25"/>
    <row r="192413" s="12" customFormat="1" x14ac:dyDescent="0.25"/>
    <row r="192414" s="12" customFormat="1" x14ac:dyDescent="0.25"/>
    <row r="192415" s="12" customFormat="1" x14ac:dyDescent="0.25"/>
    <row r="192416" s="12" customFormat="1" x14ac:dyDescent="0.25"/>
    <row r="192417" s="12" customFormat="1" x14ac:dyDescent="0.25"/>
    <row r="192418" s="12" customFormat="1" x14ac:dyDescent="0.25"/>
    <row r="192419" s="12" customFormat="1" x14ac:dyDescent="0.25"/>
    <row r="192420" s="12" customFormat="1" x14ac:dyDescent="0.25"/>
    <row r="192421" s="12" customFormat="1" x14ac:dyDescent="0.25"/>
    <row r="192422" s="12" customFormat="1" x14ac:dyDescent="0.25"/>
    <row r="192423" s="12" customFormat="1" x14ac:dyDescent="0.25"/>
    <row r="192424" s="12" customFormat="1" x14ac:dyDescent="0.25"/>
    <row r="192425" s="12" customFormat="1" x14ac:dyDescent="0.25"/>
    <row r="192426" s="12" customFormat="1" x14ac:dyDescent="0.25"/>
    <row r="192427" s="12" customFormat="1" x14ac:dyDescent="0.25"/>
    <row r="192428" s="12" customFormat="1" x14ac:dyDescent="0.25"/>
    <row r="192429" s="12" customFormat="1" x14ac:dyDescent="0.25"/>
    <row r="192430" s="12" customFormat="1" x14ac:dyDescent="0.25"/>
    <row r="192431" s="12" customFormat="1" x14ac:dyDescent="0.25"/>
    <row r="192432" s="12" customFormat="1" x14ac:dyDescent="0.25"/>
    <row r="192433" s="12" customFormat="1" x14ac:dyDescent="0.25"/>
    <row r="192434" s="12" customFormat="1" x14ac:dyDescent="0.25"/>
    <row r="192435" s="12" customFormat="1" x14ac:dyDescent="0.25"/>
    <row r="192436" s="12" customFormat="1" x14ac:dyDescent="0.25"/>
    <row r="192437" s="12" customFormat="1" x14ac:dyDescent="0.25"/>
    <row r="192438" s="12" customFormat="1" x14ac:dyDescent="0.25"/>
    <row r="192439" s="12" customFormat="1" x14ac:dyDescent="0.25"/>
    <row r="192440" s="12" customFormat="1" x14ac:dyDescent="0.25"/>
    <row r="192441" s="12" customFormat="1" x14ac:dyDescent="0.25"/>
    <row r="192442" s="12" customFormat="1" x14ac:dyDescent="0.25"/>
    <row r="192443" s="12" customFormat="1" x14ac:dyDescent="0.25"/>
    <row r="192444" s="12" customFormat="1" x14ac:dyDescent="0.25"/>
    <row r="192445" s="12" customFormat="1" x14ac:dyDescent="0.25"/>
    <row r="192446" s="12" customFormat="1" x14ac:dyDescent="0.25"/>
    <row r="192447" s="12" customFormat="1" x14ac:dyDescent="0.25"/>
    <row r="192448" s="12" customFormat="1" x14ac:dyDescent="0.25"/>
    <row r="192449" s="12" customFormat="1" x14ac:dyDescent="0.25"/>
    <row r="192450" s="12" customFormat="1" x14ac:dyDescent="0.25"/>
    <row r="192451" s="12" customFormat="1" x14ac:dyDescent="0.25"/>
    <row r="192452" s="12" customFormat="1" x14ac:dyDescent="0.25"/>
    <row r="192453" s="12" customFormat="1" x14ac:dyDescent="0.25"/>
    <row r="192454" s="12" customFormat="1" x14ac:dyDescent="0.25"/>
    <row r="192455" s="12" customFormat="1" x14ac:dyDescent="0.25"/>
    <row r="192456" s="12" customFormat="1" x14ac:dyDescent="0.25"/>
    <row r="192457" s="12" customFormat="1" x14ac:dyDescent="0.25"/>
    <row r="192458" s="12" customFormat="1" x14ac:dyDescent="0.25"/>
    <row r="192459" s="12" customFormat="1" x14ac:dyDescent="0.25"/>
    <row r="192460" s="12" customFormat="1" x14ac:dyDescent="0.25"/>
    <row r="192461" s="12" customFormat="1" x14ac:dyDescent="0.25"/>
    <row r="192462" s="12" customFormat="1" x14ac:dyDescent="0.25"/>
    <row r="192463" s="12" customFormat="1" x14ac:dyDescent="0.25"/>
    <row r="192464" s="12" customFormat="1" x14ac:dyDescent="0.25"/>
    <row r="192465" s="12" customFormat="1" x14ac:dyDescent="0.25"/>
    <row r="192466" s="12" customFormat="1" x14ac:dyDescent="0.25"/>
    <row r="192467" s="12" customFormat="1" x14ac:dyDescent="0.25"/>
    <row r="192468" s="12" customFormat="1" x14ac:dyDescent="0.25"/>
    <row r="192469" s="12" customFormat="1" x14ac:dyDescent="0.25"/>
    <row r="192470" s="12" customFormat="1" x14ac:dyDescent="0.25"/>
    <row r="192471" s="12" customFormat="1" x14ac:dyDescent="0.25"/>
    <row r="192472" s="12" customFormat="1" x14ac:dyDescent="0.25"/>
    <row r="192473" s="12" customFormat="1" x14ac:dyDescent="0.25"/>
    <row r="192474" s="12" customFormat="1" x14ac:dyDescent="0.25"/>
    <row r="192475" s="12" customFormat="1" x14ac:dyDescent="0.25"/>
    <row r="192476" s="12" customFormat="1" x14ac:dyDescent="0.25"/>
    <row r="192477" s="12" customFormat="1" x14ac:dyDescent="0.25"/>
    <row r="192478" s="12" customFormat="1" x14ac:dyDescent="0.25"/>
    <row r="192479" s="12" customFormat="1" x14ac:dyDescent="0.25"/>
    <row r="192480" s="12" customFormat="1" x14ac:dyDescent="0.25"/>
    <row r="192481" s="12" customFormat="1" x14ac:dyDescent="0.25"/>
    <row r="192482" s="12" customFormat="1" x14ac:dyDescent="0.25"/>
    <row r="192483" s="12" customFormat="1" x14ac:dyDescent="0.25"/>
    <row r="192484" s="12" customFormat="1" x14ac:dyDescent="0.25"/>
    <row r="192485" s="12" customFormat="1" x14ac:dyDescent="0.25"/>
    <row r="192486" s="12" customFormat="1" x14ac:dyDescent="0.25"/>
    <row r="192487" s="12" customFormat="1" x14ac:dyDescent="0.25"/>
    <row r="192488" s="12" customFormat="1" x14ac:dyDescent="0.25"/>
    <row r="192489" s="12" customFormat="1" x14ac:dyDescent="0.25"/>
    <row r="192490" s="12" customFormat="1" x14ac:dyDescent="0.25"/>
    <row r="192491" s="12" customFormat="1" x14ac:dyDescent="0.25"/>
    <row r="192492" s="12" customFormat="1" x14ac:dyDescent="0.25"/>
    <row r="192493" s="12" customFormat="1" x14ac:dyDescent="0.25"/>
    <row r="192494" s="12" customFormat="1" x14ac:dyDescent="0.25"/>
    <row r="192495" s="12" customFormat="1" x14ac:dyDescent="0.25"/>
    <row r="192496" s="12" customFormat="1" x14ac:dyDescent="0.25"/>
    <row r="192497" s="12" customFormat="1" x14ac:dyDescent="0.25"/>
    <row r="192498" s="12" customFormat="1" x14ac:dyDescent="0.25"/>
    <row r="192499" s="12" customFormat="1" x14ac:dyDescent="0.25"/>
    <row r="192500" s="12" customFormat="1" x14ac:dyDescent="0.25"/>
    <row r="192501" s="12" customFormat="1" x14ac:dyDescent="0.25"/>
    <row r="192502" s="12" customFormat="1" x14ac:dyDescent="0.25"/>
    <row r="192503" s="12" customFormat="1" x14ac:dyDescent="0.25"/>
    <row r="192504" s="12" customFormat="1" x14ac:dyDescent="0.25"/>
    <row r="192505" s="12" customFormat="1" x14ac:dyDescent="0.25"/>
    <row r="192506" s="12" customFormat="1" x14ac:dyDescent="0.25"/>
    <row r="192507" s="12" customFormat="1" x14ac:dyDescent="0.25"/>
    <row r="192508" s="12" customFormat="1" x14ac:dyDescent="0.25"/>
    <row r="192509" s="12" customFormat="1" x14ac:dyDescent="0.25"/>
    <row r="192510" s="12" customFormat="1" x14ac:dyDescent="0.25"/>
    <row r="192511" s="12" customFormat="1" x14ac:dyDescent="0.25"/>
    <row r="192512" s="12" customFormat="1" x14ac:dyDescent="0.25"/>
    <row r="192513" s="12" customFormat="1" x14ac:dyDescent="0.25"/>
    <row r="192514" s="12" customFormat="1" x14ac:dyDescent="0.25"/>
    <row r="192515" s="12" customFormat="1" x14ac:dyDescent="0.25"/>
    <row r="192516" s="12" customFormat="1" x14ac:dyDescent="0.25"/>
    <row r="192517" s="12" customFormat="1" x14ac:dyDescent="0.25"/>
    <row r="192518" s="12" customFormat="1" x14ac:dyDescent="0.25"/>
    <row r="192519" s="12" customFormat="1" x14ac:dyDescent="0.25"/>
    <row r="192520" s="12" customFormat="1" x14ac:dyDescent="0.25"/>
    <row r="192521" s="12" customFormat="1" x14ac:dyDescent="0.25"/>
    <row r="192522" s="12" customFormat="1" x14ac:dyDescent="0.25"/>
    <row r="192523" s="12" customFormat="1" x14ac:dyDescent="0.25"/>
    <row r="192524" s="12" customFormat="1" x14ac:dyDescent="0.25"/>
    <row r="192525" s="12" customFormat="1" x14ac:dyDescent="0.25"/>
    <row r="192526" s="12" customFormat="1" x14ac:dyDescent="0.25"/>
    <row r="192527" s="12" customFormat="1" x14ac:dyDescent="0.25"/>
    <row r="192528" s="12" customFormat="1" x14ac:dyDescent="0.25"/>
    <row r="192529" s="12" customFormat="1" x14ac:dyDescent="0.25"/>
    <row r="192530" s="12" customFormat="1" x14ac:dyDescent="0.25"/>
    <row r="192531" s="12" customFormat="1" x14ac:dyDescent="0.25"/>
    <row r="192532" s="12" customFormat="1" x14ac:dyDescent="0.25"/>
    <row r="192533" s="12" customFormat="1" x14ac:dyDescent="0.25"/>
    <row r="192534" s="12" customFormat="1" x14ac:dyDescent="0.25"/>
    <row r="192535" s="12" customFormat="1" x14ac:dyDescent="0.25"/>
    <row r="192536" s="12" customFormat="1" x14ac:dyDescent="0.25"/>
    <row r="192537" s="12" customFormat="1" x14ac:dyDescent="0.25"/>
    <row r="192538" s="12" customFormat="1" x14ac:dyDescent="0.25"/>
    <row r="192539" s="12" customFormat="1" x14ac:dyDescent="0.25"/>
    <row r="192540" s="12" customFormat="1" x14ac:dyDescent="0.25"/>
    <row r="192541" s="12" customFormat="1" x14ac:dyDescent="0.25"/>
    <row r="192542" s="12" customFormat="1" x14ac:dyDescent="0.25"/>
    <row r="192543" s="12" customFormat="1" x14ac:dyDescent="0.25"/>
    <row r="192544" s="12" customFormat="1" x14ac:dyDescent="0.25"/>
    <row r="192545" s="12" customFormat="1" x14ac:dyDescent="0.25"/>
    <row r="192546" s="12" customFormat="1" x14ac:dyDescent="0.25"/>
    <row r="192547" s="12" customFormat="1" x14ac:dyDescent="0.25"/>
    <row r="192548" s="12" customFormat="1" x14ac:dyDescent="0.25"/>
    <row r="192549" s="12" customFormat="1" x14ac:dyDescent="0.25"/>
    <row r="192550" s="12" customFormat="1" x14ac:dyDescent="0.25"/>
    <row r="192551" s="12" customFormat="1" x14ac:dyDescent="0.25"/>
    <row r="192552" s="12" customFormat="1" x14ac:dyDescent="0.25"/>
    <row r="192553" s="12" customFormat="1" x14ac:dyDescent="0.25"/>
    <row r="192554" s="12" customFormat="1" x14ac:dyDescent="0.25"/>
    <row r="192555" s="12" customFormat="1" x14ac:dyDescent="0.25"/>
    <row r="192556" s="12" customFormat="1" x14ac:dyDescent="0.25"/>
    <row r="192557" s="12" customFormat="1" x14ac:dyDescent="0.25"/>
    <row r="192558" s="12" customFormat="1" x14ac:dyDescent="0.25"/>
    <row r="192559" s="12" customFormat="1" x14ac:dyDescent="0.25"/>
    <row r="192560" s="12" customFormat="1" x14ac:dyDescent="0.25"/>
    <row r="192561" s="12" customFormat="1" x14ac:dyDescent="0.25"/>
    <row r="192562" s="12" customFormat="1" x14ac:dyDescent="0.25"/>
    <row r="192563" s="12" customFormat="1" x14ac:dyDescent="0.25"/>
    <row r="192564" s="12" customFormat="1" x14ac:dyDescent="0.25"/>
    <row r="192565" s="12" customFormat="1" x14ac:dyDescent="0.25"/>
    <row r="192566" s="12" customFormat="1" x14ac:dyDescent="0.25"/>
    <row r="192567" s="12" customFormat="1" x14ac:dyDescent="0.25"/>
    <row r="192568" s="12" customFormat="1" x14ac:dyDescent="0.25"/>
    <row r="192569" s="12" customFormat="1" x14ac:dyDescent="0.25"/>
    <row r="192570" s="12" customFormat="1" x14ac:dyDescent="0.25"/>
    <row r="192571" s="12" customFormat="1" x14ac:dyDescent="0.25"/>
    <row r="192572" s="12" customFormat="1" x14ac:dyDescent="0.25"/>
    <row r="192573" s="12" customFormat="1" x14ac:dyDescent="0.25"/>
    <row r="192574" s="12" customFormat="1" x14ac:dyDescent="0.25"/>
    <row r="192575" s="12" customFormat="1" x14ac:dyDescent="0.25"/>
    <row r="192576" s="12" customFormat="1" x14ac:dyDescent="0.25"/>
    <row r="192577" s="12" customFormat="1" x14ac:dyDescent="0.25"/>
    <row r="192578" s="12" customFormat="1" x14ac:dyDescent="0.25"/>
    <row r="192579" s="12" customFormat="1" x14ac:dyDescent="0.25"/>
    <row r="192580" s="12" customFormat="1" x14ac:dyDescent="0.25"/>
    <row r="192581" s="12" customFormat="1" x14ac:dyDescent="0.25"/>
    <row r="192582" s="12" customFormat="1" x14ac:dyDescent="0.25"/>
    <row r="192583" s="12" customFormat="1" x14ac:dyDescent="0.25"/>
    <row r="192584" s="12" customFormat="1" x14ac:dyDescent="0.25"/>
    <row r="192585" s="12" customFormat="1" x14ac:dyDescent="0.25"/>
    <row r="192586" s="12" customFormat="1" x14ac:dyDescent="0.25"/>
    <row r="192587" s="12" customFormat="1" x14ac:dyDescent="0.25"/>
    <row r="192588" s="12" customFormat="1" x14ac:dyDescent="0.25"/>
    <row r="192589" s="12" customFormat="1" x14ac:dyDescent="0.25"/>
    <row r="192590" s="12" customFormat="1" x14ac:dyDescent="0.25"/>
    <row r="192591" s="12" customFormat="1" x14ac:dyDescent="0.25"/>
    <row r="192592" s="12" customFormat="1" x14ac:dyDescent="0.25"/>
    <row r="192593" s="12" customFormat="1" x14ac:dyDescent="0.25"/>
    <row r="192594" s="12" customFormat="1" x14ac:dyDescent="0.25"/>
    <row r="192595" s="12" customFormat="1" x14ac:dyDescent="0.25"/>
    <row r="192596" s="12" customFormat="1" x14ac:dyDescent="0.25"/>
    <row r="192597" s="12" customFormat="1" x14ac:dyDescent="0.25"/>
    <row r="192598" s="12" customFormat="1" x14ac:dyDescent="0.25"/>
    <row r="192599" s="12" customFormat="1" x14ac:dyDescent="0.25"/>
    <row r="192600" s="12" customFormat="1" x14ac:dyDescent="0.25"/>
    <row r="192601" s="12" customFormat="1" x14ac:dyDescent="0.25"/>
    <row r="192602" s="12" customFormat="1" x14ac:dyDescent="0.25"/>
    <row r="192603" s="12" customFormat="1" x14ac:dyDescent="0.25"/>
    <row r="192604" s="12" customFormat="1" x14ac:dyDescent="0.25"/>
    <row r="192605" s="12" customFormat="1" x14ac:dyDescent="0.25"/>
    <row r="192606" s="12" customFormat="1" x14ac:dyDescent="0.25"/>
    <row r="192607" s="12" customFormat="1" x14ac:dyDescent="0.25"/>
    <row r="192608" s="12" customFormat="1" x14ac:dyDescent="0.25"/>
    <row r="192609" s="12" customFormat="1" x14ac:dyDescent="0.25"/>
    <row r="192610" s="12" customFormat="1" x14ac:dyDescent="0.25"/>
    <row r="192611" s="12" customFormat="1" x14ac:dyDescent="0.25"/>
    <row r="192612" s="12" customFormat="1" x14ac:dyDescent="0.25"/>
    <row r="192613" s="12" customFormat="1" x14ac:dyDescent="0.25"/>
    <row r="192614" s="12" customFormat="1" x14ac:dyDescent="0.25"/>
    <row r="192615" s="12" customFormat="1" x14ac:dyDescent="0.25"/>
    <row r="192616" s="12" customFormat="1" x14ac:dyDescent="0.25"/>
    <row r="192617" s="12" customFormat="1" x14ac:dyDescent="0.25"/>
    <row r="192618" s="12" customFormat="1" x14ac:dyDescent="0.25"/>
    <row r="192619" s="12" customFormat="1" x14ac:dyDescent="0.25"/>
    <row r="192620" s="12" customFormat="1" x14ac:dyDescent="0.25"/>
    <row r="192621" s="12" customFormat="1" x14ac:dyDescent="0.25"/>
    <row r="192622" s="12" customFormat="1" x14ac:dyDescent="0.25"/>
    <row r="192623" s="12" customFormat="1" x14ac:dyDescent="0.25"/>
    <row r="192624" s="12" customFormat="1" x14ac:dyDescent="0.25"/>
    <row r="192625" s="12" customFormat="1" x14ac:dyDescent="0.25"/>
    <row r="192626" s="12" customFormat="1" x14ac:dyDescent="0.25"/>
    <row r="192627" s="12" customFormat="1" x14ac:dyDescent="0.25"/>
    <row r="192628" s="12" customFormat="1" x14ac:dyDescent="0.25"/>
    <row r="192629" s="12" customFormat="1" x14ac:dyDescent="0.25"/>
    <row r="192630" s="12" customFormat="1" x14ac:dyDescent="0.25"/>
    <row r="192631" s="12" customFormat="1" x14ac:dyDescent="0.25"/>
    <row r="192632" s="12" customFormat="1" x14ac:dyDescent="0.25"/>
    <row r="192633" s="12" customFormat="1" x14ac:dyDescent="0.25"/>
    <row r="192634" s="12" customFormat="1" x14ac:dyDescent="0.25"/>
    <row r="192635" s="12" customFormat="1" x14ac:dyDescent="0.25"/>
    <row r="192636" s="12" customFormat="1" x14ac:dyDescent="0.25"/>
    <row r="192637" s="12" customFormat="1" x14ac:dyDescent="0.25"/>
    <row r="192638" s="12" customFormat="1" x14ac:dyDescent="0.25"/>
    <row r="192639" s="12" customFormat="1" x14ac:dyDescent="0.25"/>
    <row r="192640" s="12" customFormat="1" x14ac:dyDescent="0.25"/>
    <row r="192641" s="12" customFormat="1" x14ac:dyDescent="0.25"/>
    <row r="192642" s="12" customFormat="1" x14ac:dyDescent="0.25"/>
    <row r="192643" s="12" customFormat="1" x14ac:dyDescent="0.25"/>
    <row r="192644" s="12" customFormat="1" x14ac:dyDescent="0.25"/>
    <row r="192645" s="12" customFormat="1" x14ac:dyDescent="0.25"/>
    <row r="192646" s="12" customFormat="1" x14ac:dyDescent="0.25"/>
    <row r="192647" s="12" customFormat="1" x14ac:dyDescent="0.25"/>
    <row r="192648" s="12" customFormat="1" x14ac:dyDescent="0.25"/>
    <row r="192649" s="12" customFormat="1" x14ac:dyDescent="0.25"/>
    <row r="192650" s="12" customFormat="1" x14ac:dyDescent="0.25"/>
    <row r="192651" s="12" customFormat="1" x14ac:dyDescent="0.25"/>
    <row r="192652" s="12" customFormat="1" x14ac:dyDescent="0.25"/>
    <row r="192653" s="12" customFormat="1" x14ac:dyDescent="0.25"/>
    <row r="192654" s="12" customFormat="1" x14ac:dyDescent="0.25"/>
    <row r="192655" s="12" customFormat="1" x14ac:dyDescent="0.25"/>
    <row r="192656" s="12" customFormat="1" x14ac:dyDescent="0.25"/>
    <row r="192657" s="12" customFormat="1" x14ac:dyDescent="0.25"/>
    <row r="192658" s="12" customFormat="1" x14ac:dyDescent="0.25"/>
    <row r="192659" s="12" customFormat="1" x14ac:dyDescent="0.25"/>
    <row r="192660" s="12" customFormat="1" x14ac:dyDescent="0.25"/>
    <row r="192661" s="12" customFormat="1" x14ac:dyDescent="0.25"/>
    <row r="192662" s="12" customFormat="1" x14ac:dyDescent="0.25"/>
    <row r="192663" s="12" customFormat="1" x14ac:dyDescent="0.25"/>
    <row r="192664" s="12" customFormat="1" x14ac:dyDescent="0.25"/>
    <row r="192665" s="12" customFormat="1" x14ac:dyDescent="0.25"/>
    <row r="192666" s="12" customFormat="1" x14ac:dyDescent="0.25"/>
    <row r="192667" s="12" customFormat="1" x14ac:dyDescent="0.25"/>
    <row r="192668" s="12" customFormat="1" x14ac:dyDescent="0.25"/>
    <row r="192669" s="12" customFormat="1" x14ac:dyDescent="0.25"/>
    <row r="192670" s="12" customFormat="1" x14ac:dyDescent="0.25"/>
    <row r="192671" s="12" customFormat="1" x14ac:dyDescent="0.25"/>
    <row r="192672" s="12" customFormat="1" x14ac:dyDescent="0.25"/>
    <row r="192673" s="12" customFormat="1" x14ac:dyDescent="0.25"/>
    <row r="192674" s="12" customFormat="1" x14ac:dyDescent="0.25"/>
    <row r="192675" s="12" customFormat="1" x14ac:dyDescent="0.25"/>
    <row r="192676" s="12" customFormat="1" x14ac:dyDescent="0.25"/>
    <row r="192677" s="12" customFormat="1" x14ac:dyDescent="0.25"/>
    <row r="192678" s="12" customFormat="1" x14ac:dyDescent="0.25"/>
    <row r="192679" s="12" customFormat="1" x14ac:dyDescent="0.25"/>
    <row r="192680" s="12" customFormat="1" x14ac:dyDescent="0.25"/>
    <row r="192681" s="12" customFormat="1" x14ac:dyDescent="0.25"/>
    <row r="192682" s="12" customFormat="1" x14ac:dyDescent="0.25"/>
    <row r="192683" s="12" customFormat="1" x14ac:dyDescent="0.25"/>
    <row r="192684" s="12" customFormat="1" x14ac:dyDescent="0.25"/>
    <row r="192685" s="12" customFormat="1" x14ac:dyDescent="0.25"/>
    <row r="192686" s="12" customFormat="1" x14ac:dyDescent="0.25"/>
    <row r="192687" s="12" customFormat="1" x14ac:dyDescent="0.25"/>
    <row r="192688" s="12" customFormat="1" x14ac:dyDescent="0.25"/>
    <row r="192689" s="12" customFormat="1" x14ac:dyDescent="0.25"/>
    <row r="192690" s="12" customFormat="1" x14ac:dyDescent="0.25"/>
    <row r="192691" s="12" customFormat="1" x14ac:dyDescent="0.25"/>
    <row r="192692" s="12" customFormat="1" x14ac:dyDescent="0.25"/>
    <row r="192693" s="12" customFormat="1" x14ac:dyDescent="0.25"/>
    <row r="192694" s="12" customFormat="1" x14ac:dyDescent="0.25"/>
    <row r="192695" s="12" customFormat="1" x14ac:dyDescent="0.25"/>
    <row r="192696" s="12" customFormat="1" x14ac:dyDescent="0.25"/>
    <row r="192697" s="12" customFormat="1" x14ac:dyDescent="0.25"/>
    <row r="192698" s="12" customFormat="1" x14ac:dyDescent="0.25"/>
    <row r="192699" s="12" customFormat="1" x14ac:dyDescent="0.25"/>
    <row r="192700" s="12" customFormat="1" x14ac:dyDescent="0.25"/>
    <row r="192701" s="12" customFormat="1" x14ac:dyDescent="0.25"/>
    <row r="192702" s="12" customFormat="1" x14ac:dyDescent="0.25"/>
    <row r="192703" s="12" customFormat="1" x14ac:dyDescent="0.25"/>
    <row r="192704" s="12" customFormat="1" x14ac:dyDescent="0.25"/>
    <row r="192705" s="12" customFormat="1" x14ac:dyDescent="0.25"/>
    <row r="192706" s="12" customFormat="1" x14ac:dyDescent="0.25"/>
    <row r="192707" s="12" customFormat="1" x14ac:dyDescent="0.25"/>
    <row r="192708" s="12" customFormat="1" x14ac:dyDescent="0.25"/>
    <row r="192709" s="12" customFormat="1" x14ac:dyDescent="0.25"/>
    <row r="192710" s="12" customFormat="1" x14ac:dyDescent="0.25"/>
    <row r="192711" s="12" customFormat="1" x14ac:dyDescent="0.25"/>
    <row r="192712" s="12" customFormat="1" x14ac:dyDescent="0.25"/>
    <row r="192713" s="12" customFormat="1" x14ac:dyDescent="0.25"/>
    <row r="192714" s="12" customFormat="1" x14ac:dyDescent="0.25"/>
    <row r="192715" s="12" customFormat="1" x14ac:dyDescent="0.25"/>
    <row r="192716" s="12" customFormat="1" x14ac:dyDescent="0.25"/>
    <row r="192717" s="12" customFormat="1" x14ac:dyDescent="0.25"/>
    <row r="192718" s="12" customFormat="1" x14ac:dyDescent="0.25"/>
    <row r="192719" s="12" customFormat="1" x14ac:dyDescent="0.25"/>
    <row r="192720" s="12" customFormat="1" x14ac:dyDescent="0.25"/>
    <row r="192721" s="12" customFormat="1" x14ac:dyDescent="0.25"/>
    <row r="192722" s="12" customFormat="1" x14ac:dyDescent="0.25"/>
    <row r="192723" s="12" customFormat="1" x14ac:dyDescent="0.25"/>
    <row r="192724" s="12" customFormat="1" x14ac:dyDescent="0.25"/>
    <row r="192725" s="12" customFormat="1" x14ac:dyDescent="0.25"/>
    <row r="192726" s="12" customFormat="1" x14ac:dyDescent="0.25"/>
    <row r="192727" s="12" customFormat="1" x14ac:dyDescent="0.25"/>
    <row r="192728" s="12" customFormat="1" x14ac:dyDescent="0.25"/>
    <row r="192729" s="12" customFormat="1" x14ac:dyDescent="0.25"/>
    <row r="192730" s="12" customFormat="1" x14ac:dyDescent="0.25"/>
    <row r="192731" s="12" customFormat="1" x14ac:dyDescent="0.25"/>
    <row r="192732" s="12" customFormat="1" x14ac:dyDescent="0.25"/>
    <row r="192733" s="12" customFormat="1" x14ac:dyDescent="0.25"/>
    <row r="192734" s="12" customFormat="1" x14ac:dyDescent="0.25"/>
    <row r="192735" s="12" customFormat="1" x14ac:dyDescent="0.25"/>
    <row r="192736" s="12" customFormat="1" x14ac:dyDescent="0.25"/>
    <row r="192737" s="12" customFormat="1" x14ac:dyDescent="0.25"/>
    <row r="192738" s="12" customFormat="1" x14ac:dyDescent="0.25"/>
    <row r="192739" s="12" customFormat="1" x14ac:dyDescent="0.25"/>
    <row r="192740" s="12" customFormat="1" x14ac:dyDescent="0.25"/>
    <row r="192741" s="12" customFormat="1" x14ac:dyDescent="0.25"/>
    <row r="192742" s="12" customFormat="1" x14ac:dyDescent="0.25"/>
    <row r="192743" s="12" customFormat="1" x14ac:dyDescent="0.25"/>
    <row r="192744" s="12" customFormat="1" x14ac:dyDescent="0.25"/>
    <row r="192745" s="12" customFormat="1" x14ac:dyDescent="0.25"/>
    <row r="192746" s="12" customFormat="1" x14ac:dyDescent="0.25"/>
    <row r="192747" s="12" customFormat="1" x14ac:dyDescent="0.25"/>
    <row r="192748" s="12" customFormat="1" x14ac:dyDescent="0.25"/>
    <row r="192749" s="12" customFormat="1" x14ac:dyDescent="0.25"/>
    <row r="192750" s="12" customFormat="1" x14ac:dyDescent="0.25"/>
    <row r="192751" s="12" customFormat="1" x14ac:dyDescent="0.25"/>
    <row r="192752" s="12" customFormat="1" x14ac:dyDescent="0.25"/>
    <row r="192753" s="12" customFormat="1" x14ac:dyDescent="0.25"/>
    <row r="192754" s="12" customFormat="1" x14ac:dyDescent="0.25"/>
    <row r="192755" s="12" customFormat="1" x14ac:dyDescent="0.25"/>
    <row r="192756" s="12" customFormat="1" x14ac:dyDescent="0.25"/>
    <row r="192757" s="12" customFormat="1" x14ac:dyDescent="0.25"/>
    <row r="192758" s="12" customFormat="1" x14ac:dyDescent="0.25"/>
    <row r="192759" s="12" customFormat="1" x14ac:dyDescent="0.25"/>
    <row r="192760" s="12" customFormat="1" x14ac:dyDescent="0.25"/>
    <row r="192761" s="12" customFormat="1" x14ac:dyDescent="0.25"/>
    <row r="192762" s="12" customFormat="1" x14ac:dyDescent="0.25"/>
    <row r="192763" s="12" customFormat="1" x14ac:dyDescent="0.25"/>
    <row r="192764" s="12" customFormat="1" x14ac:dyDescent="0.25"/>
    <row r="192765" s="12" customFormat="1" x14ac:dyDescent="0.25"/>
    <row r="192766" s="12" customFormat="1" x14ac:dyDescent="0.25"/>
    <row r="192767" s="12" customFormat="1" x14ac:dyDescent="0.25"/>
    <row r="192768" s="12" customFormat="1" x14ac:dyDescent="0.25"/>
    <row r="192769" s="12" customFormat="1" x14ac:dyDescent="0.25"/>
    <row r="192770" s="12" customFormat="1" x14ac:dyDescent="0.25"/>
    <row r="192771" s="12" customFormat="1" x14ac:dyDescent="0.25"/>
    <row r="192772" s="12" customFormat="1" x14ac:dyDescent="0.25"/>
    <row r="192773" s="12" customFormat="1" x14ac:dyDescent="0.25"/>
    <row r="192774" s="12" customFormat="1" x14ac:dyDescent="0.25"/>
    <row r="192775" s="12" customFormat="1" x14ac:dyDescent="0.25"/>
    <row r="192776" s="12" customFormat="1" x14ac:dyDescent="0.25"/>
    <row r="192777" s="12" customFormat="1" x14ac:dyDescent="0.25"/>
    <row r="192778" s="12" customFormat="1" x14ac:dyDescent="0.25"/>
    <row r="192779" s="12" customFormat="1" x14ac:dyDescent="0.25"/>
    <row r="192780" s="12" customFormat="1" x14ac:dyDescent="0.25"/>
    <row r="192781" s="12" customFormat="1" x14ac:dyDescent="0.25"/>
    <row r="192782" s="12" customFormat="1" x14ac:dyDescent="0.25"/>
    <row r="192783" s="12" customFormat="1" x14ac:dyDescent="0.25"/>
    <row r="192784" s="12" customFormat="1" x14ac:dyDescent="0.25"/>
    <row r="192785" s="12" customFormat="1" x14ac:dyDescent="0.25"/>
    <row r="192786" s="12" customFormat="1" x14ac:dyDescent="0.25"/>
    <row r="192787" s="12" customFormat="1" x14ac:dyDescent="0.25"/>
    <row r="192788" s="12" customFormat="1" x14ac:dyDescent="0.25"/>
    <row r="192789" s="12" customFormat="1" x14ac:dyDescent="0.25"/>
    <row r="192790" s="12" customFormat="1" x14ac:dyDescent="0.25"/>
    <row r="192791" s="12" customFormat="1" x14ac:dyDescent="0.25"/>
    <row r="192792" s="12" customFormat="1" x14ac:dyDescent="0.25"/>
    <row r="192793" s="12" customFormat="1" x14ac:dyDescent="0.25"/>
    <row r="192794" s="12" customFormat="1" x14ac:dyDescent="0.25"/>
    <row r="192795" s="12" customFormat="1" x14ac:dyDescent="0.25"/>
    <row r="192796" s="12" customFormat="1" x14ac:dyDescent="0.25"/>
    <row r="192797" s="12" customFormat="1" x14ac:dyDescent="0.25"/>
    <row r="192798" s="12" customFormat="1" x14ac:dyDescent="0.25"/>
    <row r="192799" s="12" customFormat="1" x14ac:dyDescent="0.25"/>
    <row r="192800" s="12" customFormat="1" x14ac:dyDescent="0.25"/>
    <row r="192801" s="12" customFormat="1" x14ac:dyDescent="0.25"/>
    <row r="192802" s="12" customFormat="1" x14ac:dyDescent="0.25"/>
    <row r="192803" s="12" customFormat="1" x14ac:dyDescent="0.25"/>
    <row r="192804" s="12" customFormat="1" x14ac:dyDescent="0.25"/>
    <row r="192805" s="12" customFormat="1" x14ac:dyDescent="0.25"/>
    <row r="192806" s="12" customFormat="1" x14ac:dyDescent="0.25"/>
    <row r="192807" s="12" customFormat="1" x14ac:dyDescent="0.25"/>
    <row r="192808" s="12" customFormat="1" x14ac:dyDescent="0.25"/>
    <row r="192809" s="12" customFormat="1" x14ac:dyDescent="0.25"/>
    <row r="192810" s="12" customFormat="1" x14ac:dyDescent="0.25"/>
    <row r="192811" s="12" customFormat="1" x14ac:dyDescent="0.25"/>
    <row r="192812" s="12" customFormat="1" x14ac:dyDescent="0.25"/>
    <row r="192813" s="12" customFormat="1" x14ac:dyDescent="0.25"/>
    <row r="192814" s="12" customFormat="1" x14ac:dyDescent="0.25"/>
    <row r="192815" s="12" customFormat="1" x14ac:dyDescent="0.25"/>
    <row r="192816" s="12" customFormat="1" x14ac:dyDescent="0.25"/>
    <row r="192817" s="12" customFormat="1" x14ac:dyDescent="0.25"/>
    <row r="192818" s="12" customFormat="1" x14ac:dyDescent="0.25"/>
    <row r="192819" s="12" customFormat="1" x14ac:dyDescent="0.25"/>
    <row r="192820" s="12" customFormat="1" x14ac:dyDescent="0.25"/>
    <row r="192821" s="12" customFormat="1" x14ac:dyDescent="0.25"/>
    <row r="192822" s="12" customFormat="1" x14ac:dyDescent="0.25"/>
    <row r="192823" s="12" customFormat="1" x14ac:dyDescent="0.25"/>
    <row r="192824" s="12" customFormat="1" x14ac:dyDescent="0.25"/>
    <row r="192825" s="12" customFormat="1" x14ac:dyDescent="0.25"/>
    <row r="192826" s="12" customFormat="1" x14ac:dyDescent="0.25"/>
    <row r="192827" s="12" customFormat="1" x14ac:dyDescent="0.25"/>
    <row r="192828" s="12" customFormat="1" x14ac:dyDescent="0.25"/>
    <row r="192829" s="12" customFormat="1" x14ac:dyDescent="0.25"/>
    <row r="192830" s="12" customFormat="1" x14ac:dyDescent="0.25"/>
    <row r="192831" s="12" customFormat="1" x14ac:dyDescent="0.25"/>
    <row r="192832" s="12" customFormat="1" x14ac:dyDescent="0.25"/>
    <row r="192833" s="12" customFormat="1" x14ac:dyDescent="0.25"/>
    <row r="192834" s="12" customFormat="1" x14ac:dyDescent="0.25"/>
    <row r="192835" s="12" customFormat="1" x14ac:dyDescent="0.25"/>
    <row r="192836" s="12" customFormat="1" x14ac:dyDescent="0.25"/>
    <row r="192837" s="12" customFormat="1" x14ac:dyDescent="0.25"/>
    <row r="192838" s="12" customFormat="1" x14ac:dyDescent="0.25"/>
    <row r="192839" s="12" customFormat="1" x14ac:dyDescent="0.25"/>
    <row r="192840" s="12" customFormat="1" x14ac:dyDescent="0.25"/>
    <row r="192841" s="12" customFormat="1" x14ac:dyDescent="0.25"/>
    <row r="192842" s="12" customFormat="1" x14ac:dyDescent="0.25"/>
    <row r="192843" s="12" customFormat="1" x14ac:dyDescent="0.25"/>
    <row r="192844" s="12" customFormat="1" x14ac:dyDescent="0.25"/>
    <row r="192845" s="12" customFormat="1" x14ac:dyDescent="0.25"/>
    <row r="192846" s="12" customFormat="1" x14ac:dyDescent="0.25"/>
    <row r="192847" s="12" customFormat="1" x14ac:dyDescent="0.25"/>
    <row r="192848" s="12" customFormat="1" x14ac:dyDescent="0.25"/>
    <row r="192849" s="12" customFormat="1" x14ac:dyDescent="0.25"/>
    <row r="192850" s="12" customFormat="1" x14ac:dyDescent="0.25"/>
    <row r="192851" s="12" customFormat="1" x14ac:dyDescent="0.25"/>
    <row r="192852" s="12" customFormat="1" x14ac:dyDescent="0.25"/>
    <row r="192853" s="12" customFormat="1" x14ac:dyDescent="0.25"/>
    <row r="192854" s="12" customFormat="1" x14ac:dyDescent="0.25"/>
    <row r="192855" s="12" customFormat="1" x14ac:dyDescent="0.25"/>
    <row r="192856" s="12" customFormat="1" x14ac:dyDescent="0.25"/>
    <row r="192857" s="12" customFormat="1" x14ac:dyDescent="0.25"/>
    <row r="192858" s="12" customFormat="1" x14ac:dyDescent="0.25"/>
    <row r="192859" s="12" customFormat="1" x14ac:dyDescent="0.25"/>
    <row r="192860" s="12" customFormat="1" x14ac:dyDescent="0.25"/>
    <row r="192861" s="12" customFormat="1" x14ac:dyDescent="0.25"/>
    <row r="192862" s="12" customFormat="1" x14ac:dyDescent="0.25"/>
    <row r="192863" s="12" customFormat="1" x14ac:dyDescent="0.25"/>
    <row r="192864" s="12" customFormat="1" x14ac:dyDescent="0.25"/>
    <row r="192865" s="12" customFormat="1" x14ac:dyDescent="0.25"/>
    <row r="192866" s="12" customFormat="1" x14ac:dyDescent="0.25"/>
    <row r="192867" s="12" customFormat="1" x14ac:dyDescent="0.25"/>
    <row r="192868" s="12" customFormat="1" x14ac:dyDescent="0.25"/>
    <row r="192869" s="12" customFormat="1" x14ac:dyDescent="0.25"/>
    <row r="192870" s="12" customFormat="1" x14ac:dyDescent="0.25"/>
    <row r="192871" s="12" customFormat="1" x14ac:dyDescent="0.25"/>
    <row r="192872" s="12" customFormat="1" x14ac:dyDescent="0.25"/>
    <row r="192873" s="12" customFormat="1" x14ac:dyDescent="0.25"/>
    <row r="192874" s="12" customFormat="1" x14ac:dyDescent="0.25"/>
    <row r="192875" s="12" customFormat="1" x14ac:dyDescent="0.25"/>
    <row r="192876" s="12" customFormat="1" x14ac:dyDescent="0.25"/>
    <row r="192877" s="12" customFormat="1" x14ac:dyDescent="0.25"/>
    <row r="192878" s="12" customFormat="1" x14ac:dyDescent="0.25"/>
    <row r="192879" s="12" customFormat="1" x14ac:dyDescent="0.25"/>
    <row r="192880" s="12" customFormat="1" x14ac:dyDescent="0.25"/>
    <row r="192881" s="12" customFormat="1" x14ac:dyDescent="0.25"/>
    <row r="192882" s="12" customFormat="1" x14ac:dyDescent="0.25"/>
    <row r="192883" s="12" customFormat="1" x14ac:dyDescent="0.25"/>
    <row r="192884" s="12" customFormat="1" x14ac:dyDescent="0.25"/>
    <row r="192885" s="12" customFormat="1" x14ac:dyDescent="0.25"/>
    <row r="192886" s="12" customFormat="1" x14ac:dyDescent="0.25"/>
    <row r="192887" s="12" customFormat="1" x14ac:dyDescent="0.25"/>
    <row r="192888" s="12" customFormat="1" x14ac:dyDescent="0.25"/>
    <row r="192889" s="12" customFormat="1" x14ac:dyDescent="0.25"/>
    <row r="192890" s="12" customFormat="1" x14ac:dyDescent="0.25"/>
    <row r="192891" s="12" customFormat="1" x14ac:dyDescent="0.25"/>
    <row r="192892" s="12" customFormat="1" x14ac:dyDescent="0.25"/>
    <row r="192893" s="12" customFormat="1" x14ac:dyDescent="0.25"/>
    <row r="192894" s="12" customFormat="1" x14ac:dyDescent="0.25"/>
    <row r="192895" s="12" customFormat="1" x14ac:dyDescent="0.25"/>
    <row r="192896" s="12" customFormat="1" x14ac:dyDescent="0.25"/>
    <row r="192897" s="12" customFormat="1" x14ac:dyDescent="0.25"/>
    <row r="192898" s="12" customFormat="1" x14ac:dyDescent="0.25"/>
    <row r="192899" s="12" customFormat="1" x14ac:dyDescent="0.25"/>
    <row r="192900" s="12" customFormat="1" x14ac:dyDescent="0.25"/>
    <row r="192901" s="12" customFormat="1" x14ac:dyDescent="0.25"/>
    <row r="192902" s="12" customFormat="1" x14ac:dyDescent="0.25"/>
    <row r="192903" s="12" customFormat="1" x14ac:dyDescent="0.25"/>
    <row r="192904" s="12" customFormat="1" x14ac:dyDescent="0.25"/>
    <row r="192905" s="12" customFormat="1" x14ac:dyDescent="0.25"/>
    <row r="192906" s="12" customFormat="1" x14ac:dyDescent="0.25"/>
    <row r="192907" s="12" customFormat="1" x14ac:dyDescent="0.25"/>
    <row r="192908" s="12" customFormat="1" x14ac:dyDescent="0.25"/>
    <row r="192909" s="12" customFormat="1" x14ac:dyDescent="0.25"/>
    <row r="192910" s="12" customFormat="1" x14ac:dyDescent="0.25"/>
    <row r="192911" s="12" customFormat="1" x14ac:dyDescent="0.25"/>
    <row r="192912" s="12" customFormat="1" x14ac:dyDescent="0.25"/>
    <row r="192913" s="12" customFormat="1" x14ac:dyDescent="0.25"/>
    <row r="192914" s="12" customFormat="1" x14ac:dyDescent="0.25"/>
    <row r="192915" s="12" customFormat="1" x14ac:dyDescent="0.25"/>
    <row r="192916" s="12" customFormat="1" x14ac:dyDescent="0.25"/>
    <row r="192917" s="12" customFormat="1" x14ac:dyDescent="0.25"/>
    <row r="192918" s="12" customFormat="1" x14ac:dyDescent="0.25"/>
    <row r="192919" s="12" customFormat="1" x14ac:dyDescent="0.25"/>
    <row r="192920" s="12" customFormat="1" x14ac:dyDescent="0.25"/>
    <row r="192921" s="12" customFormat="1" x14ac:dyDescent="0.25"/>
    <row r="192922" s="12" customFormat="1" x14ac:dyDescent="0.25"/>
    <row r="192923" s="12" customFormat="1" x14ac:dyDescent="0.25"/>
    <row r="192924" s="12" customFormat="1" x14ac:dyDescent="0.25"/>
    <row r="192925" s="12" customFormat="1" x14ac:dyDescent="0.25"/>
    <row r="192926" s="12" customFormat="1" x14ac:dyDescent="0.25"/>
    <row r="192927" s="12" customFormat="1" x14ac:dyDescent="0.25"/>
    <row r="192928" s="12" customFormat="1" x14ac:dyDescent="0.25"/>
    <row r="192929" s="12" customFormat="1" x14ac:dyDescent="0.25"/>
    <row r="192930" s="12" customFormat="1" x14ac:dyDescent="0.25"/>
    <row r="192931" s="12" customFormat="1" x14ac:dyDescent="0.25"/>
    <row r="192932" s="12" customFormat="1" x14ac:dyDescent="0.25"/>
    <row r="192933" s="12" customFormat="1" x14ac:dyDescent="0.25"/>
    <row r="192934" s="12" customFormat="1" x14ac:dyDescent="0.25"/>
    <row r="192935" s="12" customFormat="1" x14ac:dyDescent="0.25"/>
    <row r="192936" s="12" customFormat="1" x14ac:dyDescent="0.25"/>
    <row r="192937" s="12" customFormat="1" x14ac:dyDescent="0.25"/>
    <row r="192938" s="12" customFormat="1" x14ac:dyDescent="0.25"/>
    <row r="192939" s="12" customFormat="1" x14ac:dyDescent="0.25"/>
    <row r="192940" s="12" customFormat="1" x14ac:dyDescent="0.25"/>
    <row r="192941" s="12" customFormat="1" x14ac:dyDescent="0.25"/>
    <row r="192942" s="12" customFormat="1" x14ac:dyDescent="0.25"/>
    <row r="192943" s="12" customFormat="1" x14ac:dyDescent="0.25"/>
    <row r="192944" s="12" customFormat="1" x14ac:dyDescent="0.25"/>
    <row r="192945" s="12" customFormat="1" x14ac:dyDescent="0.25"/>
    <row r="192946" s="12" customFormat="1" x14ac:dyDescent="0.25"/>
    <row r="192947" s="12" customFormat="1" x14ac:dyDescent="0.25"/>
    <row r="192948" s="12" customFormat="1" x14ac:dyDescent="0.25"/>
    <row r="192949" s="12" customFormat="1" x14ac:dyDescent="0.25"/>
    <row r="192950" s="12" customFormat="1" x14ac:dyDescent="0.25"/>
    <row r="192951" s="12" customFormat="1" x14ac:dyDescent="0.25"/>
    <row r="192952" s="12" customFormat="1" x14ac:dyDescent="0.25"/>
    <row r="192953" s="12" customFormat="1" x14ac:dyDescent="0.25"/>
    <row r="192954" s="12" customFormat="1" x14ac:dyDescent="0.25"/>
    <row r="192955" s="12" customFormat="1" x14ac:dyDescent="0.25"/>
    <row r="192956" s="12" customFormat="1" x14ac:dyDescent="0.25"/>
    <row r="192957" s="12" customFormat="1" x14ac:dyDescent="0.25"/>
    <row r="192958" s="12" customFormat="1" x14ac:dyDescent="0.25"/>
    <row r="192959" s="12" customFormat="1" x14ac:dyDescent="0.25"/>
    <row r="192960" s="12" customFormat="1" x14ac:dyDescent="0.25"/>
    <row r="192961" s="12" customFormat="1" x14ac:dyDescent="0.25"/>
    <row r="192962" s="12" customFormat="1" x14ac:dyDescent="0.25"/>
    <row r="192963" s="12" customFormat="1" x14ac:dyDescent="0.25"/>
    <row r="192964" s="12" customFormat="1" x14ac:dyDescent="0.25"/>
    <row r="192965" s="12" customFormat="1" x14ac:dyDescent="0.25"/>
    <row r="192966" s="12" customFormat="1" x14ac:dyDescent="0.25"/>
    <row r="192967" s="12" customFormat="1" x14ac:dyDescent="0.25"/>
    <row r="192968" s="12" customFormat="1" x14ac:dyDescent="0.25"/>
    <row r="192969" s="12" customFormat="1" x14ac:dyDescent="0.25"/>
    <row r="192970" s="12" customFormat="1" x14ac:dyDescent="0.25"/>
    <row r="192971" s="12" customFormat="1" x14ac:dyDescent="0.25"/>
    <row r="192972" s="12" customFormat="1" x14ac:dyDescent="0.25"/>
    <row r="192973" s="12" customFormat="1" x14ac:dyDescent="0.25"/>
    <row r="192974" s="12" customFormat="1" x14ac:dyDescent="0.25"/>
    <row r="192975" s="12" customFormat="1" x14ac:dyDescent="0.25"/>
    <row r="192976" s="12" customFormat="1" x14ac:dyDescent="0.25"/>
    <row r="192977" s="12" customFormat="1" x14ac:dyDescent="0.25"/>
    <row r="192978" s="12" customFormat="1" x14ac:dyDescent="0.25"/>
    <row r="192979" s="12" customFormat="1" x14ac:dyDescent="0.25"/>
    <row r="192980" s="12" customFormat="1" x14ac:dyDescent="0.25"/>
    <row r="192981" s="12" customFormat="1" x14ac:dyDescent="0.25"/>
    <row r="192982" s="12" customFormat="1" x14ac:dyDescent="0.25"/>
    <row r="192983" s="12" customFormat="1" x14ac:dyDescent="0.25"/>
    <row r="192984" s="12" customFormat="1" x14ac:dyDescent="0.25"/>
    <row r="192985" s="12" customFormat="1" x14ac:dyDescent="0.25"/>
    <row r="192986" s="12" customFormat="1" x14ac:dyDescent="0.25"/>
    <row r="192987" s="12" customFormat="1" x14ac:dyDescent="0.25"/>
    <row r="192988" s="12" customFormat="1" x14ac:dyDescent="0.25"/>
    <row r="192989" s="12" customFormat="1" x14ac:dyDescent="0.25"/>
    <row r="192990" s="12" customFormat="1" x14ac:dyDescent="0.25"/>
    <row r="192991" s="12" customFormat="1" x14ac:dyDescent="0.25"/>
    <row r="192992" s="12" customFormat="1" x14ac:dyDescent="0.25"/>
    <row r="192993" s="12" customFormat="1" x14ac:dyDescent="0.25"/>
    <row r="192994" s="12" customFormat="1" x14ac:dyDescent="0.25"/>
    <row r="192995" s="12" customFormat="1" x14ac:dyDescent="0.25"/>
    <row r="192996" s="12" customFormat="1" x14ac:dyDescent="0.25"/>
    <row r="192997" s="12" customFormat="1" x14ac:dyDescent="0.25"/>
    <row r="192998" s="12" customFormat="1" x14ac:dyDescent="0.25"/>
    <row r="192999" s="12" customFormat="1" x14ac:dyDescent="0.25"/>
    <row r="193000" s="12" customFormat="1" x14ac:dyDescent="0.25"/>
    <row r="193001" s="12" customFormat="1" x14ac:dyDescent="0.25"/>
    <row r="193002" s="12" customFormat="1" x14ac:dyDescent="0.25"/>
    <row r="193003" s="12" customFormat="1" x14ac:dyDescent="0.25"/>
    <row r="193004" s="12" customFormat="1" x14ac:dyDescent="0.25"/>
    <row r="193005" s="12" customFormat="1" x14ac:dyDescent="0.25"/>
    <row r="193006" s="12" customFormat="1" x14ac:dyDescent="0.25"/>
    <row r="193007" s="12" customFormat="1" x14ac:dyDescent="0.25"/>
    <row r="193008" s="12" customFormat="1" x14ac:dyDescent="0.25"/>
    <row r="193009" s="12" customFormat="1" x14ac:dyDescent="0.25"/>
    <row r="193010" s="12" customFormat="1" x14ac:dyDescent="0.25"/>
    <row r="193011" s="12" customFormat="1" x14ac:dyDescent="0.25"/>
    <row r="193012" s="12" customFormat="1" x14ac:dyDescent="0.25"/>
    <row r="193013" s="12" customFormat="1" x14ac:dyDescent="0.25"/>
    <row r="193014" s="12" customFormat="1" x14ac:dyDescent="0.25"/>
    <row r="193015" s="12" customFormat="1" x14ac:dyDescent="0.25"/>
    <row r="193016" s="12" customFormat="1" x14ac:dyDescent="0.25"/>
    <row r="193017" s="12" customFormat="1" x14ac:dyDescent="0.25"/>
    <row r="193018" s="12" customFormat="1" x14ac:dyDescent="0.25"/>
    <row r="193019" s="12" customFormat="1" x14ac:dyDescent="0.25"/>
    <row r="193020" s="12" customFormat="1" x14ac:dyDescent="0.25"/>
    <row r="193021" s="12" customFormat="1" x14ac:dyDescent="0.25"/>
    <row r="193022" s="12" customFormat="1" x14ac:dyDescent="0.25"/>
    <row r="193023" s="12" customFormat="1" x14ac:dyDescent="0.25"/>
    <row r="193024" s="12" customFormat="1" x14ac:dyDescent="0.25"/>
    <row r="193025" s="12" customFormat="1" x14ac:dyDescent="0.25"/>
    <row r="193026" s="12" customFormat="1" x14ac:dyDescent="0.25"/>
    <row r="193027" s="12" customFormat="1" x14ac:dyDescent="0.25"/>
    <row r="193028" s="12" customFormat="1" x14ac:dyDescent="0.25"/>
    <row r="193029" s="12" customFormat="1" x14ac:dyDescent="0.25"/>
    <row r="193030" s="12" customFormat="1" x14ac:dyDescent="0.25"/>
    <row r="193031" s="12" customFormat="1" x14ac:dyDescent="0.25"/>
    <row r="193032" s="12" customFormat="1" x14ac:dyDescent="0.25"/>
    <row r="193033" s="12" customFormat="1" x14ac:dyDescent="0.25"/>
    <row r="193034" s="12" customFormat="1" x14ac:dyDescent="0.25"/>
    <row r="193035" s="12" customFormat="1" x14ac:dyDescent="0.25"/>
    <row r="193036" s="12" customFormat="1" x14ac:dyDescent="0.25"/>
    <row r="193037" s="12" customFormat="1" x14ac:dyDescent="0.25"/>
    <row r="193038" s="12" customFormat="1" x14ac:dyDescent="0.25"/>
    <row r="193039" s="12" customFormat="1" x14ac:dyDescent="0.25"/>
    <row r="193040" s="12" customFormat="1" x14ac:dyDescent="0.25"/>
    <row r="193041" s="12" customFormat="1" x14ac:dyDescent="0.25"/>
    <row r="193042" s="12" customFormat="1" x14ac:dyDescent="0.25"/>
    <row r="193043" s="12" customFormat="1" x14ac:dyDescent="0.25"/>
    <row r="193044" s="12" customFormat="1" x14ac:dyDescent="0.25"/>
    <row r="193045" s="12" customFormat="1" x14ac:dyDescent="0.25"/>
    <row r="193046" s="12" customFormat="1" x14ac:dyDescent="0.25"/>
    <row r="193047" s="12" customFormat="1" x14ac:dyDescent="0.25"/>
    <row r="193048" s="12" customFormat="1" x14ac:dyDescent="0.25"/>
    <row r="193049" s="12" customFormat="1" x14ac:dyDescent="0.25"/>
    <row r="193050" s="12" customFormat="1" x14ac:dyDescent="0.25"/>
    <row r="193051" s="12" customFormat="1" x14ac:dyDescent="0.25"/>
    <row r="193052" s="12" customFormat="1" x14ac:dyDescent="0.25"/>
    <row r="193053" s="12" customFormat="1" x14ac:dyDescent="0.25"/>
    <row r="193054" s="12" customFormat="1" x14ac:dyDescent="0.25"/>
    <row r="193055" s="12" customFormat="1" x14ac:dyDescent="0.25"/>
    <row r="193056" s="12" customFormat="1" x14ac:dyDescent="0.25"/>
    <row r="193057" s="12" customFormat="1" x14ac:dyDescent="0.25"/>
    <row r="193058" s="12" customFormat="1" x14ac:dyDescent="0.25"/>
    <row r="193059" s="12" customFormat="1" x14ac:dyDescent="0.25"/>
    <row r="193060" s="12" customFormat="1" x14ac:dyDescent="0.25"/>
    <row r="193061" s="12" customFormat="1" x14ac:dyDescent="0.25"/>
    <row r="193062" s="12" customFormat="1" x14ac:dyDescent="0.25"/>
    <row r="193063" s="12" customFormat="1" x14ac:dyDescent="0.25"/>
    <row r="193064" s="12" customFormat="1" x14ac:dyDescent="0.25"/>
    <row r="193065" s="12" customFormat="1" x14ac:dyDescent="0.25"/>
    <row r="193066" s="12" customFormat="1" x14ac:dyDescent="0.25"/>
    <row r="193067" s="12" customFormat="1" x14ac:dyDescent="0.25"/>
    <row r="193068" s="12" customFormat="1" x14ac:dyDescent="0.25"/>
    <row r="193069" s="12" customFormat="1" x14ac:dyDescent="0.25"/>
    <row r="193070" s="12" customFormat="1" x14ac:dyDescent="0.25"/>
    <row r="193071" s="12" customFormat="1" x14ac:dyDescent="0.25"/>
    <row r="193072" s="12" customFormat="1" x14ac:dyDescent="0.25"/>
    <row r="193073" s="12" customFormat="1" x14ac:dyDescent="0.25"/>
    <row r="193074" s="12" customFormat="1" x14ac:dyDescent="0.25"/>
    <row r="193075" s="12" customFormat="1" x14ac:dyDescent="0.25"/>
    <row r="193076" s="12" customFormat="1" x14ac:dyDescent="0.25"/>
    <row r="193077" s="12" customFormat="1" x14ac:dyDescent="0.25"/>
    <row r="193078" s="12" customFormat="1" x14ac:dyDescent="0.25"/>
    <row r="193079" s="12" customFormat="1" x14ac:dyDescent="0.25"/>
    <row r="193080" s="12" customFormat="1" x14ac:dyDescent="0.25"/>
    <row r="193081" s="12" customFormat="1" x14ac:dyDescent="0.25"/>
    <row r="193082" s="12" customFormat="1" x14ac:dyDescent="0.25"/>
    <row r="193083" s="12" customFormat="1" x14ac:dyDescent="0.25"/>
    <row r="193084" s="12" customFormat="1" x14ac:dyDescent="0.25"/>
    <row r="193085" s="12" customFormat="1" x14ac:dyDescent="0.25"/>
    <row r="193086" s="12" customFormat="1" x14ac:dyDescent="0.25"/>
    <row r="193087" s="12" customFormat="1" x14ac:dyDescent="0.25"/>
    <row r="193088" s="12" customFormat="1" x14ac:dyDescent="0.25"/>
    <row r="193089" s="12" customFormat="1" x14ac:dyDescent="0.25"/>
    <row r="193090" s="12" customFormat="1" x14ac:dyDescent="0.25"/>
    <row r="193091" s="12" customFormat="1" x14ac:dyDescent="0.25"/>
    <row r="193092" s="12" customFormat="1" x14ac:dyDescent="0.25"/>
    <row r="193093" s="12" customFormat="1" x14ac:dyDescent="0.25"/>
    <row r="193094" s="12" customFormat="1" x14ac:dyDescent="0.25"/>
    <row r="193095" s="12" customFormat="1" x14ac:dyDescent="0.25"/>
    <row r="193096" s="12" customFormat="1" x14ac:dyDescent="0.25"/>
    <row r="193097" s="12" customFormat="1" x14ac:dyDescent="0.25"/>
    <row r="193098" s="12" customFormat="1" x14ac:dyDescent="0.25"/>
    <row r="193099" s="12" customFormat="1" x14ac:dyDescent="0.25"/>
    <row r="193100" s="12" customFormat="1" x14ac:dyDescent="0.25"/>
    <row r="193101" s="12" customFormat="1" x14ac:dyDescent="0.25"/>
    <row r="193102" s="12" customFormat="1" x14ac:dyDescent="0.25"/>
    <row r="193103" s="12" customFormat="1" x14ac:dyDescent="0.25"/>
    <row r="193104" s="12" customFormat="1" x14ac:dyDescent="0.25"/>
    <row r="193105" s="12" customFormat="1" x14ac:dyDescent="0.25"/>
    <row r="193106" s="12" customFormat="1" x14ac:dyDescent="0.25"/>
    <row r="193107" s="12" customFormat="1" x14ac:dyDescent="0.25"/>
    <row r="193108" s="12" customFormat="1" x14ac:dyDescent="0.25"/>
    <row r="193109" s="12" customFormat="1" x14ac:dyDescent="0.25"/>
    <row r="193110" s="12" customFormat="1" x14ac:dyDescent="0.25"/>
    <row r="193111" s="12" customFormat="1" x14ac:dyDescent="0.25"/>
    <row r="193112" s="12" customFormat="1" x14ac:dyDescent="0.25"/>
    <row r="193113" s="12" customFormat="1" x14ac:dyDescent="0.25"/>
    <row r="193114" s="12" customFormat="1" x14ac:dyDescent="0.25"/>
    <row r="193115" s="12" customFormat="1" x14ac:dyDescent="0.25"/>
    <row r="193116" s="12" customFormat="1" x14ac:dyDescent="0.25"/>
    <row r="193117" s="12" customFormat="1" x14ac:dyDescent="0.25"/>
    <row r="193118" s="12" customFormat="1" x14ac:dyDescent="0.25"/>
    <row r="193119" s="12" customFormat="1" x14ac:dyDescent="0.25"/>
    <row r="193120" s="12" customFormat="1" x14ac:dyDescent="0.25"/>
    <row r="193121" s="12" customFormat="1" x14ac:dyDescent="0.25"/>
    <row r="193122" s="12" customFormat="1" x14ac:dyDescent="0.25"/>
    <row r="193123" s="12" customFormat="1" x14ac:dyDescent="0.25"/>
    <row r="193124" s="12" customFormat="1" x14ac:dyDescent="0.25"/>
    <row r="193125" s="12" customFormat="1" x14ac:dyDescent="0.25"/>
    <row r="193126" s="12" customFormat="1" x14ac:dyDescent="0.25"/>
    <row r="193127" s="12" customFormat="1" x14ac:dyDescent="0.25"/>
    <row r="193128" s="12" customFormat="1" x14ac:dyDescent="0.25"/>
    <row r="193129" s="12" customFormat="1" x14ac:dyDescent="0.25"/>
    <row r="193130" s="12" customFormat="1" x14ac:dyDescent="0.25"/>
    <row r="193131" s="12" customFormat="1" x14ac:dyDescent="0.25"/>
    <row r="193132" s="12" customFormat="1" x14ac:dyDescent="0.25"/>
    <row r="193133" s="12" customFormat="1" x14ac:dyDescent="0.25"/>
    <row r="193134" s="12" customFormat="1" x14ac:dyDescent="0.25"/>
    <row r="193135" s="12" customFormat="1" x14ac:dyDescent="0.25"/>
    <row r="193136" s="12" customFormat="1" x14ac:dyDescent="0.25"/>
    <row r="193137" s="12" customFormat="1" x14ac:dyDescent="0.25"/>
    <row r="193138" s="12" customFormat="1" x14ac:dyDescent="0.25"/>
    <row r="193139" s="12" customFormat="1" x14ac:dyDescent="0.25"/>
    <row r="193140" s="12" customFormat="1" x14ac:dyDescent="0.25"/>
    <row r="193141" s="12" customFormat="1" x14ac:dyDescent="0.25"/>
    <row r="193142" s="12" customFormat="1" x14ac:dyDescent="0.25"/>
    <row r="193143" s="12" customFormat="1" x14ac:dyDescent="0.25"/>
    <row r="193144" s="12" customFormat="1" x14ac:dyDescent="0.25"/>
    <row r="193145" s="12" customFormat="1" x14ac:dyDescent="0.25"/>
    <row r="193146" s="12" customFormat="1" x14ac:dyDescent="0.25"/>
    <row r="193147" s="12" customFormat="1" x14ac:dyDescent="0.25"/>
    <row r="193148" s="12" customFormat="1" x14ac:dyDescent="0.25"/>
    <row r="193149" s="12" customFormat="1" x14ac:dyDescent="0.25"/>
    <row r="193150" s="12" customFormat="1" x14ac:dyDescent="0.25"/>
    <row r="193151" s="12" customFormat="1" x14ac:dyDescent="0.25"/>
    <row r="193152" s="12" customFormat="1" x14ac:dyDescent="0.25"/>
    <row r="193153" s="12" customFormat="1" x14ac:dyDescent="0.25"/>
    <row r="193154" s="12" customFormat="1" x14ac:dyDescent="0.25"/>
    <row r="193155" s="12" customFormat="1" x14ac:dyDescent="0.25"/>
    <row r="193156" s="12" customFormat="1" x14ac:dyDescent="0.25"/>
    <row r="193157" s="12" customFormat="1" x14ac:dyDescent="0.25"/>
    <row r="193158" s="12" customFormat="1" x14ac:dyDescent="0.25"/>
    <row r="193159" s="12" customFormat="1" x14ac:dyDescent="0.25"/>
    <row r="193160" s="12" customFormat="1" x14ac:dyDescent="0.25"/>
    <row r="193161" s="12" customFormat="1" x14ac:dyDescent="0.25"/>
    <row r="193162" s="12" customFormat="1" x14ac:dyDescent="0.25"/>
    <row r="193163" s="12" customFormat="1" x14ac:dyDescent="0.25"/>
    <row r="193164" s="12" customFormat="1" x14ac:dyDescent="0.25"/>
    <row r="193165" s="12" customFormat="1" x14ac:dyDescent="0.25"/>
    <row r="193166" s="12" customFormat="1" x14ac:dyDescent="0.25"/>
    <row r="193167" s="12" customFormat="1" x14ac:dyDescent="0.25"/>
    <row r="193168" s="12" customFormat="1" x14ac:dyDescent="0.25"/>
    <row r="193169" s="12" customFormat="1" x14ac:dyDescent="0.25"/>
    <row r="193170" s="12" customFormat="1" x14ac:dyDescent="0.25"/>
    <row r="193171" s="12" customFormat="1" x14ac:dyDescent="0.25"/>
    <row r="193172" s="12" customFormat="1" x14ac:dyDescent="0.25"/>
    <row r="193173" s="12" customFormat="1" x14ac:dyDescent="0.25"/>
    <row r="193174" s="12" customFormat="1" x14ac:dyDescent="0.25"/>
    <row r="193175" s="12" customFormat="1" x14ac:dyDescent="0.25"/>
    <row r="193176" s="12" customFormat="1" x14ac:dyDescent="0.25"/>
    <row r="193177" s="12" customFormat="1" x14ac:dyDescent="0.25"/>
    <row r="193178" s="12" customFormat="1" x14ac:dyDescent="0.25"/>
    <row r="193179" s="12" customFormat="1" x14ac:dyDescent="0.25"/>
    <row r="193180" s="12" customFormat="1" x14ac:dyDescent="0.25"/>
    <row r="193181" s="12" customFormat="1" x14ac:dyDescent="0.25"/>
    <row r="193182" s="12" customFormat="1" x14ac:dyDescent="0.25"/>
    <row r="193183" s="12" customFormat="1" x14ac:dyDescent="0.25"/>
    <row r="193184" s="12" customFormat="1" x14ac:dyDescent="0.25"/>
    <row r="193185" s="12" customFormat="1" x14ac:dyDescent="0.25"/>
    <row r="193186" s="12" customFormat="1" x14ac:dyDescent="0.25"/>
    <row r="193187" s="12" customFormat="1" x14ac:dyDescent="0.25"/>
    <row r="193188" s="12" customFormat="1" x14ac:dyDescent="0.25"/>
    <row r="193189" s="12" customFormat="1" x14ac:dyDescent="0.25"/>
    <row r="193190" s="12" customFormat="1" x14ac:dyDescent="0.25"/>
    <row r="193191" s="12" customFormat="1" x14ac:dyDescent="0.25"/>
    <row r="193192" s="12" customFormat="1" x14ac:dyDescent="0.25"/>
    <row r="193193" s="12" customFormat="1" x14ac:dyDescent="0.25"/>
    <row r="193194" s="12" customFormat="1" x14ac:dyDescent="0.25"/>
    <row r="193195" s="12" customFormat="1" x14ac:dyDescent="0.25"/>
    <row r="193196" s="12" customFormat="1" x14ac:dyDescent="0.25"/>
    <row r="193197" s="12" customFormat="1" x14ac:dyDescent="0.25"/>
    <row r="193198" s="12" customFormat="1" x14ac:dyDescent="0.25"/>
    <row r="193199" s="12" customFormat="1" x14ac:dyDescent="0.25"/>
    <row r="193200" s="12" customFormat="1" x14ac:dyDescent="0.25"/>
    <row r="193201" s="12" customFormat="1" x14ac:dyDescent="0.25"/>
    <row r="193202" s="12" customFormat="1" x14ac:dyDescent="0.25"/>
    <row r="193203" s="12" customFormat="1" x14ac:dyDescent="0.25"/>
    <row r="193204" s="12" customFormat="1" x14ac:dyDescent="0.25"/>
    <row r="193205" s="12" customFormat="1" x14ac:dyDescent="0.25"/>
    <row r="193206" s="12" customFormat="1" x14ac:dyDescent="0.25"/>
    <row r="193207" s="12" customFormat="1" x14ac:dyDescent="0.25"/>
    <row r="193208" s="12" customFormat="1" x14ac:dyDescent="0.25"/>
    <row r="193209" s="12" customFormat="1" x14ac:dyDescent="0.25"/>
    <row r="193210" s="12" customFormat="1" x14ac:dyDescent="0.25"/>
    <row r="193211" s="12" customFormat="1" x14ac:dyDescent="0.25"/>
    <row r="193212" s="12" customFormat="1" x14ac:dyDescent="0.25"/>
    <row r="193213" s="12" customFormat="1" x14ac:dyDescent="0.25"/>
    <row r="193214" s="12" customFormat="1" x14ac:dyDescent="0.25"/>
    <row r="193215" s="12" customFormat="1" x14ac:dyDescent="0.25"/>
    <row r="193216" s="12" customFormat="1" x14ac:dyDescent="0.25"/>
    <row r="193217" s="12" customFormat="1" x14ac:dyDescent="0.25"/>
    <row r="193218" s="12" customFormat="1" x14ac:dyDescent="0.25"/>
    <row r="193219" s="12" customFormat="1" x14ac:dyDescent="0.25"/>
    <row r="193220" s="12" customFormat="1" x14ac:dyDescent="0.25"/>
    <row r="193221" s="12" customFormat="1" x14ac:dyDescent="0.25"/>
    <row r="193222" s="12" customFormat="1" x14ac:dyDescent="0.25"/>
    <row r="193223" s="12" customFormat="1" x14ac:dyDescent="0.25"/>
    <row r="193224" s="12" customFormat="1" x14ac:dyDescent="0.25"/>
    <row r="193225" s="12" customFormat="1" x14ac:dyDescent="0.25"/>
    <row r="193226" s="12" customFormat="1" x14ac:dyDescent="0.25"/>
    <row r="193227" s="12" customFormat="1" x14ac:dyDescent="0.25"/>
    <row r="193228" s="12" customFormat="1" x14ac:dyDescent="0.25"/>
    <row r="193229" s="12" customFormat="1" x14ac:dyDescent="0.25"/>
    <row r="193230" s="12" customFormat="1" x14ac:dyDescent="0.25"/>
    <row r="193231" s="12" customFormat="1" x14ac:dyDescent="0.25"/>
    <row r="193232" s="12" customFormat="1" x14ac:dyDescent="0.25"/>
    <row r="193233" s="12" customFormat="1" x14ac:dyDescent="0.25"/>
    <row r="193234" s="12" customFormat="1" x14ac:dyDescent="0.25"/>
    <row r="193235" s="12" customFormat="1" x14ac:dyDescent="0.25"/>
    <row r="193236" s="12" customFormat="1" x14ac:dyDescent="0.25"/>
    <row r="193237" s="12" customFormat="1" x14ac:dyDescent="0.25"/>
    <row r="193238" s="12" customFormat="1" x14ac:dyDescent="0.25"/>
    <row r="193239" s="12" customFormat="1" x14ac:dyDescent="0.25"/>
    <row r="193240" s="12" customFormat="1" x14ac:dyDescent="0.25"/>
    <row r="193241" s="12" customFormat="1" x14ac:dyDescent="0.25"/>
    <row r="193242" s="12" customFormat="1" x14ac:dyDescent="0.25"/>
    <row r="193243" s="12" customFormat="1" x14ac:dyDescent="0.25"/>
    <row r="193244" s="12" customFormat="1" x14ac:dyDescent="0.25"/>
    <row r="193245" s="12" customFormat="1" x14ac:dyDescent="0.25"/>
    <row r="193246" s="12" customFormat="1" x14ac:dyDescent="0.25"/>
    <row r="193247" s="12" customFormat="1" x14ac:dyDescent="0.25"/>
    <row r="193248" s="12" customFormat="1" x14ac:dyDescent="0.25"/>
    <row r="193249" s="12" customFormat="1" x14ac:dyDescent="0.25"/>
    <row r="193250" s="12" customFormat="1" x14ac:dyDescent="0.25"/>
    <row r="193251" s="12" customFormat="1" x14ac:dyDescent="0.25"/>
    <row r="193252" s="12" customFormat="1" x14ac:dyDescent="0.25"/>
    <row r="193253" s="12" customFormat="1" x14ac:dyDescent="0.25"/>
    <row r="193254" s="12" customFormat="1" x14ac:dyDescent="0.25"/>
    <row r="193255" s="12" customFormat="1" x14ac:dyDescent="0.25"/>
    <row r="193256" s="12" customFormat="1" x14ac:dyDescent="0.25"/>
    <row r="193257" s="12" customFormat="1" x14ac:dyDescent="0.25"/>
    <row r="193258" s="12" customFormat="1" x14ac:dyDescent="0.25"/>
    <row r="193259" s="12" customFormat="1" x14ac:dyDescent="0.25"/>
    <row r="193260" s="12" customFormat="1" x14ac:dyDescent="0.25"/>
    <row r="193261" s="12" customFormat="1" x14ac:dyDescent="0.25"/>
    <row r="193262" s="12" customFormat="1" x14ac:dyDescent="0.25"/>
    <row r="193263" s="12" customFormat="1" x14ac:dyDescent="0.25"/>
    <row r="193264" s="12" customFormat="1" x14ac:dyDescent="0.25"/>
    <row r="193265" s="12" customFormat="1" x14ac:dyDescent="0.25"/>
    <row r="193266" s="12" customFormat="1" x14ac:dyDescent="0.25"/>
    <row r="193267" s="12" customFormat="1" x14ac:dyDescent="0.25"/>
    <row r="193268" s="12" customFormat="1" x14ac:dyDescent="0.25"/>
    <row r="193269" s="12" customFormat="1" x14ac:dyDescent="0.25"/>
    <row r="193270" s="12" customFormat="1" x14ac:dyDescent="0.25"/>
    <row r="193271" s="12" customFormat="1" x14ac:dyDescent="0.25"/>
    <row r="193272" s="12" customFormat="1" x14ac:dyDescent="0.25"/>
    <row r="193273" s="12" customFormat="1" x14ac:dyDescent="0.25"/>
    <row r="193274" s="12" customFormat="1" x14ac:dyDescent="0.25"/>
    <row r="193275" s="12" customFormat="1" x14ac:dyDescent="0.25"/>
    <row r="193276" s="12" customFormat="1" x14ac:dyDescent="0.25"/>
    <row r="193277" s="12" customFormat="1" x14ac:dyDescent="0.25"/>
    <row r="193278" s="12" customFormat="1" x14ac:dyDescent="0.25"/>
    <row r="193279" s="12" customFormat="1" x14ac:dyDescent="0.25"/>
    <row r="193280" s="12" customFormat="1" x14ac:dyDescent="0.25"/>
    <row r="193281" s="12" customFormat="1" x14ac:dyDescent="0.25"/>
    <row r="193282" s="12" customFormat="1" x14ac:dyDescent="0.25"/>
    <row r="193283" s="12" customFormat="1" x14ac:dyDescent="0.25"/>
    <row r="193284" s="12" customFormat="1" x14ac:dyDescent="0.25"/>
    <row r="193285" s="12" customFormat="1" x14ac:dyDescent="0.25"/>
    <row r="193286" s="12" customFormat="1" x14ac:dyDescent="0.25"/>
    <row r="193287" s="12" customFormat="1" x14ac:dyDescent="0.25"/>
    <row r="193288" s="12" customFormat="1" x14ac:dyDescent="0.25"/>
    <row r="193289" s="12" customFormat="1" x14ac:dyDescent="0.25"/>
    <row r="193290" s="12" customFormat="1" x14ac:dyDescent="0.25"/>
    <row r="193291" s="12" customFormat="1" x14ac:dyDescent="0.25"/>
    <row r="193292" s="12" customFormat="1" x14ac:dyDescent="0.25"/>
    <row r="193293" s="12" customFormat="1" x14ac:dyDescent="0.25"/>
    <row r="193294" s="12" customFormat="1" x14ac:dyDescent="0.25"/>
    <row r="193295" s="12" customFormat="1" x14ac:dyDescent="0.25"/>
    <row r="193296" s="12" customFormat="1" x14ac:dyDescent="0.25"/>
    <row r="193297" s="12" customFormat="1" x14ac:dyDescent="0.25"/>
    <row r="193298" s="12" customFormat="1" x14ac:dyDescent="0.25"/>
    <row r="193299" s="12" customFormat="1" x14ac:dyDescent="0.25"/>
    <row r="193300" s="12" customFormat="1" x14ac:dyDescent="0.25"/>
    <row r="193301" s="12" customFormat="1" x14ac:dyDescent="0.25"/>
    <row r="193302" s="12" customFormat="1" x14ac:dyDescent="0.25"/>
    <row r="193303" s="12" customFormat="1" x14ac:dyDescent="0.25"/>
    <row r="193304" s="12" customFormat="1" x14ac:dyDescent="0.25"/>
    <row r="193305" s="12" customFormat="1" x14ac:dyDescent="0.25"/>
    <row r="193306" s="12" customFormat="1" x14ac:dyDescent="0.25"/>
    <row r="193307" s="12" customFormat="1" x14ac:dyDescent="0.25"/>
    <row r="193308" s="12" customFormat="1" x14ac:dyDescent="0.25"/>
    <row r="193309" s="12" customFormat="1" x14ac:dyDescent="0.25"/>
    <row r="193310" s="12" customFormat="1" x14ac:dyDescent="0.25"/>
    <row r="193311" s="12" customFormat="1" x14ac:dyDescent="0.25"/>
    <row r="193312" s="12" customFormat="1" x14ac:dyDescent="0.25"/>
    <row r="193313" s="12" customFormat="1" x14ac:dyDescent="0.25"/>
    <row r="193314" s="12" customFormat="1" x14ac:dyDescent="0.25"/>
    <row r="193315" s="12" customFormat="1" x14ac:dyDescent="0.25"/>
    <row r="193316" s="12" customFormat="1" x14ac:dyDescent="0.25"/>
    <row r="193317" s="12" customFormat="1" x14ac:dyDescent="0.25"/>
    <row r="193318" s="12" customFormat="1" x14ac:dyDescent="0.25"/>
    <row r="193319" s="12" customFormat="1" x14ac:dyDescent="0.25"/>
    <row r="193320" s="12" customFormat="1" x14ac:dyDescent="0.25"/>
    <row r="193321" s="12" customFormat="1" x14ac:dyDescent="0.25"/>
    <row r="193322" s="12" customFormat="1" x14ac:dyDescent="0.25"/>
    <row r="193323" s="12" customFormat="1" x14ac:dyDescent="0.25"/>
    <row r="193324" s="12" customFormat="1" x14ac:dyDescent="0.25"/>
    <row r="193325" s="12" customFormat="1" x14ac:dyDescent="0.25"/>
    <row r="193326" s="12" customFormat="1" x14ac:dyDescent="0.25"/>
    <row r="193327" s="12" customFormat="1" x14ac:dyDescent="0.25"/>
    <row r="193328" s="12" customFormat="1" x14ac:dyDescent="0.25"/>
    <row r="193329" s="12" customFormat="1" x14ac:dyDescent="0.25"/>
    <row r="193330" s="12" customFormat="1" x14ac:dyDescent="0.25"/>
    <row r="193331" s="12" customFormat="1" x14ac:dyDescent="0.25"/>
    <row r="193332" s="12" customFormat="1" x14ac:dyDescent="0.25"/>
    <row r="193333" s="12" customFormat="1" x14ac:dyDescent="0.25"/>
    <row r="193334" s="12" customFormat="1" x14ac:dyDescent="0.25"/>
    <row r="193335" s="12" customFormat="1" x14ac:dyDescent="0.25"/>
    <row r="193336" s="12" customFormat="1" x14ac:dyDescent="0.25"/>
    <row r="193337" s="12" customFormat="1" x14ac:dyDescent="0.25"/>
    <row r="193338" s="12" customFormat="1" x14ac:dyDescent="0.25"/>
    <row r="193339" s="12" customFormat="1" x14ac:dyDescent="0.25"/>
    <row r="193340" s="12" customFormat="1" x14ac:dyDescent="0.25"/>
    <row r="193341" s="12" customFormat="1" x14ac:dyDescent="0.25"/>
    <row r="193342" s="12" customFormat="1" x14ac:dyDescent="0.25"/>
    <row r="193343" s="12" customFormat="1" x14ac:dyDescent="0.25"/>
    <row r="193344" s="12" customFormat="1" x14ac:dyDescent="0.25"/>
    <row r="193345" s="12" customFormat="1" x14ac:dyDescent="0.25"/>
    <row r="193346" s="12" customFormat="1" x14ac:dyDescent="0.25"/>
    <row r="193347" s="12" customFormat="1" x14ac:dyDescent="0.25"/>
    <row r="193348" s="12" customFormat="1" x14ac:dyDescent="0.25"/>
    <row r="193349" s="12" customFormat="1" x14ac:dyDescent="0.25"/>
    <row r="193350" s="12" customFormat="1" x14ac:dyDescent="0.25"/>
    <row r="193351" s="12" customFormat="1" x14ac:dyDescent="0.25"/>
    <row r="193352" s="12" customFormat="1" x14ac:dyDescent="0.25"/>
    <row r="193353" s="12" customFormat="1" x14ac:dyDescent="0.25"/>
    <row r="193354" s="12" customFormat="1" x14ac:dyDescent="0.25"/>
    <row r="193355" s="12" customFormat="1" x14ac:dyDescent="0.25"/>
    <row r="193356" s="12" customFormat="1" x14ac:dyDescent="0.25"/>
    <row r="193357" s="12" customFormat="1" x14ac:dyDescent="0.25"/>
    <row r="193358" s="12" customFormat="1" x14ac:dyDescent="0.25"/>
    <row r="193359" s="12" customFormat="1" x14ac:dyDescent="0.25"/>
    <row r="193360" s="12" customFormat="1" x14ac:dyDescent="0.25"/>
    <row r="193361" s="12" customFormat="1" x14ac:dyDescent="0.25"/>
    <row r="193362" s="12" customFormat="1" x14ac:dyDescent="0.25"/>
    <row r="193363" s="12" customFormat="1" x14ac:dyDescent="0.25"/>
    <row r="193364" s="12" customFormat="1" x14ac:dyDescent="0.25"/>
    <row r="193365" s="12" customFormat="1" x14ac:dyDescent="0.25"/>
    <row r="193366" s="12" customFormat="1" x14ac:dyDescent="0.25"/>
    <row r="193367" s="12" customFormat="1" x14ac:dyDescent="0.25"/>
    <row r="193368" s="12" customFormat="1" x14ac:dyDescent="0.25"/>
    <row r="193369" s="12" customFormat="1" x14ac:dyDescent="0.25"/>
    <row r="193370" s="12" customFormat="1" x14ac:dyDescent="0.25"/>
    <row r="193371" s="12" customFormat="1" x14ac:dyDescent="0.25"/>
    <row r="193372" s="12" customFormat="1" x14ac:dyDescent="0.25"/>
    <row r="193373" s="12" customFormat="1" x14ac:dyDescent="0.25"/>
    <row r="193374" s="12" customFormat="1" x14ac:dyDescent="0.25"/>
    <row r="193375" s="12" customFormat="1" x14ac:dyDescent="0.25"/>
    <row r="193376" s="12" customFormat="1" x14ac:dyDescent="0.25"/>
    <row r="193377" s="12" customFormat="1" x14ac:dyDescent="0.25"/>
    <row r="193378" s="12" customFormat="1" x14ac:dyDescent="0.25"/>
    <row r="193379" s="12" customFormat="1" x14ac:dyDescent="0.25"/>
    <row r="193380" s="12" customFormat="1" x14ac:dyDescent="0.25"/>
    <row r="193381" s="12" customFormat="1" x14ac:dyDescent="0.25"/>
    <row r="193382" s="12" customFormat="1" x14ac:dyDescent="0.25"/>
    <row r="193383" s="12" customFormat="1" x14ac:dyDescent="0.25"/>
    <row r="193384" s="12" customFormat="1" x14ac:dyDescent="0.25"/>
    <row r="193385" s="12" customFormat="1" x14ac:dyDescent="0.25"/>
    <row r="193386" s="12" customFormat="1" x14ac:dyDescent="0.25"/>
    <row r="193387" s="12" customFormat="1" x14ac:dyDescent="0.25"/>
    <row r="193388" s="12" customFormat="1" x14ac:dyDescent="0.25"/>
    <row r="193389" s="12" customFormat="1" x14ac:dyDescent="0.25"/>
    <row r="193390" s="12" customFormat="1" x14ac:dyDescent="0.25"/>
    <row r="193391" s="12" customFormat="1" x14ac:dyDescent="0.25"/>
    <row r="193392" s="12" customFormat="1" x14ac:dyDescent="0.25"/>
    <row r="193393" s="12" customFormat="1" x14ac:dyDescent="0.25"/>
    <row r="193394" s="12" customFormat="1" x14ac:dyDescent="0.25"/>
    <row r="193395" s="12" customFormat="1" x14ac:dyDescent="0.25"/>
    <row r="193396" s="12" customFormat="1" x14ac:dyDescent="0.25"/>
    <row r="193397" s="12" customFormat="1" x14ac:dyDescent="0.25"/>
    <row r="193398" s="12" customFormat="1" x14ac:dyDescent="0.25"/>
    <row r="193399" s="12" customFormat="1" x14ac:dyDescent="0.25"/>
    <row r="193400" s="12" customFormat="1" x14ac:dyDescent="0.25"/>
    <row r="193401" s="12" customFormat="1" x14ac:dyDescent="0.25"/>
    <row r="193402" s="12" customFormat="1" x14ac:dyDescent="0.25"/>
    <row r="193403" s="12" customFormat="1" x14ac:dyDescent="0.25"/>
    <row r="193404" s="12" customFormat="1" x14ac:dyDescent="0.25"/>
    <row r="193405" s="12" customFormat="1" x14ac:dyDescent="0.25"/>
    <row r="193406" s="12" customFormat="1" x14ac:dyDescent="0.25"/>
    <row r="193407" s="12" customFormat="1" x14ac:dyDescent="0.25"/>
    <row r="193408" s="12" customFormat="1" x14ac:dyDescent="0.25"/>
    <row r="193409" s="12" customFormat="1" x14ac:dyDescent="0.25"/>
    <row r="193410" s="12" customFormat="1" x14ac:dyDescent="0.25"/>
    <row r="193411" s="12" customFormat="1" x14ac:dyDescent="0.25"/>
    <row r="193412" s="12" customFormat="1" x14ac:dyDescent="0.25"/>
    <row r="193413" s="12" customFormat="1" x14ac:dyDescent="0.25"/>
    <row r="193414" s="12" customFormat="1" x14ac:dyDescent="0.25"/>
    <row r="193415" s="12" customFormat="1" x14ac:dyDescent="0.25"/>
    <row r="193416" s="12" customFormat="1" x14ac:dyDescent="0.25"/>
    <row r="193417" s="12" customFormat="1" x14ac:dyDescent="0.25"/>
    <row r="193418" s="12" customFormat="1" x14ac:dyDescent="0.25"/>
    <row r="193419" s="12" customFormat="1" x14ac:dyDescent="0.25"/>
    <row r="193420" s="12" customFormat="1" x14ac:dyDescent="0.25"/>
    <row r="193421" s="12" customFormat="1" x14ac:dyDescent="0.25"/>
    <row r="193422" s="12" customFormat="1" x14ac:dyDescent="0.25"/>
    <row r="193423" s="12" customFormat="1" x14ac:dyDescent="0.25"/>
    <row r="193424" s="12" customFormat="1" x14ac:dyDescent="0.25"/>
    <row r="193425" s="12" customFormat="1" x14ac:dyDescent="0.25"/>
    <row r="193426" s="12" customFormat="1" x14ac:dyDescent="0.25"/>
    <row r="193427" s="12" customFormat="1" x14ac:dyDescent="0.25"/>
    <row r="193428" s="12" customFormat="1" x14ac:dyDescent="0.25"/>
    <row r="193429" s="12" customFormat="1" x14ac:dyDescent="0.25"/>
    <row r="193430" s="12" customFormat="1" x14ac:dyDescent="0.25"/>
    <row r="193431" s="12" customFormat="1" x14ac:dyDescent="0.25"/>
    <row r="193432" s="12" customFormat="1" x14ac:dyDescent="0.25"/>
    <row r="193433" s="12" customFormat="1" x14ac:dyDescent="0.25"/>
    <row r="193434" s="12" customFormat="1" x14ac:dyDescent="0.25"/>
    <row r="193435" s="12" customFormat="1" x14ac:dyDescent="0.25"/>
    <row r="193436" s="12" customFormat="1" x14ac:dyDescent="0.25"/>
    <row r="193437" s="12" customFormat="1" x14ac:dyDescent="0.25"/>
    <row r="193438" s="12" customFormat="1" x14ac:dyDescent="0.25"/>
    <row r="193439" s="12" customFormat="1" x14ac:dyDescent="0.25"/>
    <row r="193440" s="12" customFormat="1" x14ac:dyDescent="0.25"/>
    <row r="193441" s="12" customFormat="1" x14ac:dyDescent="0.25"/>
    <row r="193442" s="12" customFormat="1" x14ac:dyDescent="0.25"/>
    <row r="193443" s="12" customFormat="1" x14ac:dyDescent="0.25"/>
    <row r="193444" s="12" customFormat="1" x14ac:dyDescent="0.25"/>
    <row r="193445" s="12" customFormat="1" x14ac:dyDescent="0.25"/>
    <row r="193446" s="12" customFormat="1" x14ac:dyDescent="0.25"/>
    <row r="193447" s="12" customFormat="1" x14ac:dyDescent="0.25"/>
    <row r="193448" s="12" customFormat="1" x14ac:dyDescent="0.25"/>
    <row r="193449" s="12" customFormat="1" x14ac:dyDescent="0.25"/>
    <row r="193450" s="12" customFormat="1" x14ac:dyDescent="0.25"/>
    <row r="193451" s="12" customFormat="1" x14ac:dyDescent="0.25"/>
    <row r="193452" s="12" customFormat="1" x14ac:dyDescent="0.25"/>
    <row r="193453" s="12" customFormat="1" x14ac:dyDescent="0.25"/>
    <row r="193454" s="12" customFormat="1" x14ac:dyDescent="0.25"/>
    <row r="193455" s="12" customFormat="1" x14ac:dyDescent="0.25"/>
    <row r="193456" s="12" customFormat="1" x14ac:dyDescent="0.25"/>
    <row r="193457" s="12" customFormat="1" x14ac:dyDescent="0.25"/>
    <row r="193458" s="12" customFormat="1" x14ac:dyDescent="0.25"/>
    <row r="193459" s="12" customFormat="1" x14ac:dyDescent="0.25"/>
    <row r="193460" s="12" customFormat="1" x14ac:dyDescent="0.25"/>
    <row r="193461" s="12" customFormat="1" x14ac:dyDescent="0.25"/>
    <row r="193462" s="12" customFormat="1" x14ac:dyDescent="0.25"/>
    <row r="193463" s="12" customFormat="1" x14ac:dyDescent="0.25"/>
    <row r="193464" s="12" customFormat="1" x14ac:dyDescent="0.25"/>
    <row r="193465" s="12" customFormat="1" x14ac:dyDescent="0.25"/>
    <row r="193466" s="12" customFormat="1" x14ac:dyDescent="0.25"/>
    <row r="193467" s="12" customFormat="1" x14ac:dyDescent="0.25"/>
    <row r="193468" s="12" customFormat="1" x14ac:dyDescent="0.25"/>
    <row r="193469" s="12" customFormat="1" x14ac:dyDescent="0.25"/>
    <row r="193470" s="12" customFormat="1" x14ac:dyDescent="0.25"/>
    <row r="193471" s="12" customFormat="1" x14ac:dyDescent="0.25"/>
    <row r="193472" s="12" customFormat="1" x14ac:dyDescent="0.25"/>
    <row r="193473" s="12" customFormat="1" x14ac:dyDescent="0.25"/>
    <row r="193474" s="12" customFormat="1" x14ac:dyDescent="0.25"/>
    <row r="193475" s="12" customFormat="1" x14ac:dyDescent="0.25"/>
    <row r="193476" s="12" customFormat="1" x14ac:dyDescent="0.25"/>
    <row r="193477" s="12" customFormat="1" x14ac:dyDescent="0.25"/>
    <row r="193478" s="12" customFormat="1" x14ac:dyDescent="0.25"/>
    <row r="193479" s="12" customFormat="1" x14ac:dyDescent="0.25"/>
    <row r="193480" s="12" customFormat="1" x14ac:dyDescent="0.25"/>
    <row r="193481" s="12" customFormat="1" x14ac:dyDescent="0.25"/>
    <row r="193482" s="12" customFormat="1" x14ac:dyDescent="0.25"/>
    <row r="193483" s="12" customFormat="1" x14ac:dyDescent="0.25"/>
    <row r="193484" s="12" customFormat="1" x14ac:dyDescent="0.25"/>
    <row r="193485" s="12" customFormat="1" x14ac:dyDescent="0.25"/>
    <row r="193486" s="12" customFormat="1" x14ac:dyDescent="0.25"/>
    <row r="193487" s="12" customFormat="1" x14ac:dyDescent="0.25"/>
    <row r="193488" s="12" customFormat="1" x14ac:dyDescent="0.25"/>
    <row r="193489" s="12" customFormat="1" x14ac:dyDescent="0.25"/>
    <row r="193490" s="12" customFormat="1" x14ac:dyDescent="0.25"/>
    <row r="193491" s="12" customFormat="1" x14ac:dyDescent="0.25"/>
    <row r="193492" s="12" customFormat="1" x14ac:dyDescent="0.25"/>
    <row r="193493" s="12" customFormat="1" x14ac:dyDescent="0.25"/>
    <row r="193494" s="12" customFormat="1" x14ac:dyDescent="0.25"/>
    <row r="193495" s="12" customFormat="1" x14ac:dyDescent="0.25"/>
    <row r="193496" s="12" customFormat="1" x14ac:dyDescent="0.25"/>
    <row r="193497" s="12" customFormat="1" x14ac:dyDescent="0.25"/>
    <row r="193498" s="12" customFormat="1" x14ac:dyDescent="0.25"/>
    <row r="193499" s="12" customFormat="1" x14ac:dyDescent="0.25"/>
    <row r="193500" s="12" customFormat="1" x14ac:dyDescent="0.25"/>
    <row r="193501" s="12" customFormat="1" x14ac:dyDescent="0.25"/>
    <row r="193502" s="12" customFormat="1" x14ac:dyDescent="0.25"/>
    <row r="193503" s="12" customFormat="1" x14ac:dyDescent="0.25"/>
    <row r="193504" s="12" customFormat="1" x14ac:dyDescent="0.25"/>
    <row r="193505" s="12" customFormat="1" x14ac:dyDescent="0.25"/>
    <row r="193506" s="12" customFormat="1" x14ac:dyDescent="0.25"/>
    <row r="193507" s="12" customFormat="1" x14ac:dyDescent="0.25"/>
    <row r="193508" s="12" customFormat="1" x14ac:dyDescent="0.25"/>
    <row r="193509" s="12" customFormat="1" x14ac:dyDescent="0.25"/>
    <row r="193510" s="12" customFormat="1" x14ac:dyDescent="0.25"/>
    <row r="193511" s="12" customFormat="1" x14ac:dyDescent="0.25"/>
    <row r="193512" s="12" customFormat="1" x14ac:dyDescent="0.25"/>
    <row r="193513" s="12" customFormat="1" x14ac:dyDescent="0.25"/>
    <row r="193514" s="12" customFormat="1" x14ac:dyDescent="0.25"/>
    <row r="193515" s="12" customFormat="1" x14ac:dyDescent="0.25"/>
    <row r="193516" s="12" customFormat="1" x14ac:dyDescent="0.25"/>
    <row r="193517" s="12" customFormat="1" x14ac:dyDescent="0.25"/>
    <row r="193518" s="12" customFormat="1" x14ac:dyDescent="0.25"/>
    <row r="193519" s="12" customFormat="1" x14ac:dyDescent="0.25"/>
    <row r="193520" s="12" customFormat="1" x14ac:dyDescent="0.25"/>
    <row r="193521" s="12" customFormat="1" x14ac:dyDescent="0.25"/>
    <row r="193522" s="12" customFormat="1" x14ac:dyDescent="0.25"/>
    <row r="193523" s="12" customFormat="1" x14ac:dyDescent="0.25"/>
    <row r="193524" s="12" customFormat="1" x14ac:dyDescent="0.25"/>
    <row r="193525" s="12" customFormat="1" x14ac:dyDescent="0.25"/>
    <row r="193526" s="12" customFormat="1" x14ac:dyDescent="0.25"/>
    <row r="193527" s="12" customFormat="1" x14ac:dyDescent="0.25"/>
    <row r="193528" s="12" customFormat="1" x14ac:dyDescent="0.25"/>
    <row r="193529" s="12" customFormat="1" x14ac:dyDescent="0.25"/>
    <row r="193530" s="12" customFormat="1" x14ac:dyDescent="0.25"/>
    <row r="193531" s="12" customFormat="1" x14ac:dyDescent="0.25"/>
    <row r="193532" s="12" customFormat="1" x14ac:dyDescent="0.25"/>
    <row r="193533" s="12" customFormat="1" x14ac:dyDescent="0.25"/>
    <row r="193534" s="12" customFormat="1" x14ac:dyDescent="0.25"/>
    <row r="193535" s="12" customFormat="1" x14ac:dyDescent="0.25"/>
    <row r="193536" s="12" customFormat="1" x14ac:dyDescent="0.25"/>
    <row r="193537" s="12" customFormat="1" x14ac:dyDescent="0.25"/>
    <row r="193538" s="12" customFormat="1" x14ac:dyDescent="0.25"/>
    <row r="193539" s="12" customFormat="1" x14ac:dyDescent="0.25"/>
    <row r="193540" s="12" customFormat="1" x14ac:dyDescent="0.25"/>
    <row r="193541" s="12" customFormat="1" x14ac:dyDescent="0.25"/>
    <row r="193542" s="12" customFormat="1" x14ac:dyDescent="0.25"/>
    <row r="193543" s="12" customFormat="1" x14ac:dyDescent="0.25"/>
    <row r="193544" s="12" customFormat="1" x14ac:dyDescent="0.25"/>
    <row r="193545" s="12" customFormat="1" x14ac:dyDescent="0.25"/>
    <row r="193546" s="12" customFormat="1" x14ac:dyDescent="0.25"/>
    <row r="193547" s="12" customFormat="1" x14ac:dyDescent="0.25"/>
    <row r="193548" s="12" customFormat="1" x14ac:dyDescent="0.25"/>
    <row r="193549" s="12" customFormat="1" x14ac:dyDescent="0.25"/>
    <row r="193550" s="12" customFormat="1" x14ac:dyDescent="0.25"/>
    <row r="193551" s="12" customFormat="1" x14ac:dyDescent="0.25"/>
    <row r="193552" s="12" customFormat="1" x14ac:dyDescent="0.25"/>
    <row r="193553" s="12" customFormat="1" x14ac:dyDescent="0.25"/>
    <row r="193554" s="12" customFormat="1" x14ac:dyDescent="0.25"/>
    <row r="193555" s="12" customFormat="1" x14ac:dyDescent="0.25"/>
    <row r="193556" s="12" customFormat="1" x14ac:dyDescent="0.25"/>
    <row r="193557" s="12" customFormat="1" x14ac:dyDescent="0.25"/>
    <row r="193558" s="12" customFormat="1" x14ac:dyDescent="0.25"/>
    <row r="193559" s="12" customFormat="1" x14ac:dyDescent="0.25"/>
    <row r="193560" s="12" customFormat="1" x14ac:dyDescent="0.25"/>
    <row r="193561" s="12" customFormat="1" x14ac:dyDescent="0.25"/>
    <row r="193562" s="12" customFormat="1" x14ac:dyDescent="0.25"/>
    <row r="193563" s="12" customFormat="1" x14ac:dyDescent="0.25"/>
    <row r="193564" s="12" customFormat="1" x14ac:dyDescent="0.25"/>
    <row r="193565" s="12" customFormat="1" x14ac:dyDescent="0.25"/>
    <row r="193566" s="12" customFormat="1" x14ac:dyDescent="0.25"/>
    <row r="193567" s="12" customFormat="1" x14ac:dyDescent="0.25"/>
    <row r="193568" s="12" customFormat="1" x14ac:dyDescent="0.25"/>
    <row r="193569" s="12" customFormat="1" x14ac:dyDescent="0.25"/>
    <row r="193570" s="12" customFormat="1" x14ac:dyDescent="0.25"/>
    <row r="193571" s="12" customFormat="1" x14ac:dyDescent="0.25"/>
    <row r="193572" s="12" customFormat="1" x14ac:dyDescent="0.25"/>
    <row r="193573" s="12" customFormat="1" x14ac:dyDescent="0.25"/>
    <row r="193574" s="12" customFormat="1" x14ac:dyDescent="0.25"/>
    <row r="193575" s="12" customFormat="1" x14ac:dyDescent="0.25"/>
    <row r="193576" s="12" customFormat="1" x14ac:dyDescent="0.25"/>
    <row r="193577" s="12" customFormat="1" x14ac:dyDescent="0.25"/>
    <row r="193578" s="12" customFormat="1" x14ac:dyDescent="0.25"/>
    <row r="193579" s="12" customFormat="1" x14ac:dyDescent="0.25"/>
    <row r="193580" s="12" customFormat="1" x14ac:dyDescent="0.25"/>
    <row r="193581" s="12" customFormat="1" x14ac:dyDescent="0.25"/>
    <row r="193582" s="12" customFormat="1" x14ac:dyDescent="0.25"/>
    <row r="193583" s="12" customFormat="1" x14ac:dyDescent="0.25"/>
    <row r="193584" s="12" customFormat="1" x14ac:dyDescent="0.25"/>
    <row r="193585" s="12" customFormat="1" x14ac:dyDescent="0.25"/>
    <row r="193586" s="12" customFormat="1" x14ac:dyDescent="0.25"/>
    <row r="193587" s="12" customFormat="1" x14ac:dyDescent="0.25"/>
    <row r="193588" s="12" customFormat="1" x14ac:dyDescent="0.25"/>
    <row r="193589" s="12" customFormat="1" x14ac:dyDescent="0.25"/>
    <row r="193590" s="12" customFormat="1" x14ac:dyDescent="0.25"/>
    <row r="193591" s="12" customFormat="1" x14ac:dyDescent="0.25"/>
    <row r="193592" s="12" customFormat="1" x14ac:dyDescent="0.25"/>
    <row r="193593" s="12" customFormat="1" x14ac:dyDescent="0.25"/>
    <row r="193594" s="12" customFormat="1" x14ac:dyDescent="0.25"/>
    <row r="193595" s="12" customFormat="1" x14ac:dyDescent="0.25"/>
    <row r="193596" s="12" customFormat="1" x14ac:dyDescent="0.25"/>
    <row r="193597" s="12" customFormat="1" x14ac:dyDescent="0.25"/>
    <row r="193598" s="12" customFormat="1" x14ac:dyDescent="0.25"/>
    <row r="193599" s="12" customFormat="1" x14ac:dyDescent="0.25"/>
    <row r="193600" s="12" customFormat="1" x14ac:dyDescent="0.25"/>
    <row r="193601" s="12" customFormat="1" x14ac:dyDescent="0.25"/>
    <row r="193602" s="12" customFormat="1" x14ac:dyDescent="0.25"/>
    <row r="193603" s="12" customFormat="1" x14ac:dyDescent="0.25"/>
    <row r="193604" s="12" customFormat="1" x14ac:dyDescent="0.25"/>
    <row r="193605" s="12" customFormat="1" x14ac:dyDescent="0.25"/>
    <row r="193606" s="12" customFormat="1" x14ac:dyDescent="0.25"/>
    <row r="193607" s="12" customFormat="1" x14ac:dyDescent="0.25"/>
    <row r="193608" s="12" customFormat="1" x14ac:dyDescent="0.25"/>
    <row r="193609" s="12" customFormat="1" x14ac:dyDescent="0.25"/>
    <row r="193610" s="12" customFormat="1" x14ac:dyDescent="0.25"/>
    <row r="193611" s="12" customFormat="1" x14ac:dyDescent="0.25"/>
    <row r="193612" s="12" customFormat="1" x14ac:dyDescent="0.25"/>
    <row r="193613" s="12" customFormat="1" x14ac:dyDescent="0.25"/>
    <row r="193614" s="12" customFormat="1" x14ac:dyDescent="0.25"/>
    <row r="193615" s="12" customFormat="1" x14ac:dyDescent="0.25"/>
    <row r="193616" s="12" customFormat="1" x14ac:dyDescent="0.25"/>
    <row r="193617" s="12" customFormat="1" x14ac:dyDescent="0.25"/>
    <row r="193618" s="12" customFormat="1" x14ac:dyDescent="0.25"/>
    <row r="193619" s="12" customFormat="1" x14ac:dyDescent="0.25"/>
    <row r="193620" s="12" customFormat="1" x14ac:dyDescent="0.25"/>
    <row r="193621" s="12" customFormat="1" x14ac:dyDescent="0.25"/>
    <row r="193622" s="12" customFormat="1" x14ac:dyDescent="0.25"/>
    <row r="193623" s="12" customFormat="1" x14ac:dyDescent="0.25"/>
    <row r="193624" s="12" customFormat="1" x14ac:dyDescent="0.25"/>
    <row r="193625" s="12" customFormat="1" x14ac:dyDescent="0.25"/>
    <row r="193626" s="12" customFormat="1" x14ac:dyDescent="0.25"/>
    <row r="193627" s="12" customFormat="1" x14ac:dyDescent="0.25"/>
    <row r="193628" s="12" customFormat="1" x14ac:dyDescent="0.25"/>
    <row r="193629" s="12" customFormat="1" x14ac:dyDescent="0.25"/>
    <row r="193630" s="12" customFormat="1" x14ac:dyDescent="0.25"/>
    <row r="193631" s="12" customFormat="1" x14ac:dyDescent="0.25"/>
    <row r="193632" s="12" customFormat="1" x14ac:dyDescent="0.25"/>
    <row r="193633" s="12" customFormat="1" x14ac:dyDescent="0.25"/>
    <row r="193634" s="12" customFormat="1" x14ac:dyDescent="0.25"/>
    <row r="193635" s="12" customFormat="1" x14ac:dyDescent="0.25"/>
    <row r="193636" s="12" customFormat="1" x14ac:dyDescent="0.25"/>
    <row r="193637" s="12" customFormat="1" x14ac:dyDescent="0.25"/>
    <row r="193638" s="12" customFormat="1" x14ac:dyDescent="0.25"/>
    <row r="193639" s="12" customFormat="1" x14ac:dyDescent="0.25"/>
    <row r="193640" s="12" customFormat="1" x14ac:dyDescent="0.25"/>
    <row r="193641" s="12" customFormat="1" x14ac:dyDescent="0.25"/>
    <row r="193642" s="12" customFormat="1" x14ac:dyDescent="0.25"/>
    <row r="193643" s="12" customFormat="1" x14ac:dyDescent="0.25"/>
    <row r="193644" s="12" customFormat="1" x14ac:dyDescent="0.25"/>
    <row r="193645" s="12" customFormat="1" x14ac:dyDescent="0.25"/>
    <row r="193646" s="12" customFormat="1" x14ac:dyDescent="0.25"/>
    <row r="193647" s="12" customFormat="1" x14ac:dyDescent="0.25"/>
    <row r="193648" s="12" customFormat="1" x14ac:dyDescent="0.25"/>
    <row r="193649" s="12" customFormat="1" x14ac:dyDescent="0.25"/>
    <row r="193650" s="12" customFormat="1" x14ac:dyDescent="0.25"/>
    <row r="193651" s="12" customFormat="1" x14ac:dyDescent="0.25"/>
    <row r="193652" s="12" customFormat="1" x14ac:dyDescent="0.25"/>
    <row r="193653" s="12" customFormat="1" x14ac:dyDescent="0.25"/>
    <row r="193654" s="12" customFormat="1" x14ac:dyDescent="0.25"/>
    <row r="193655" s="12" customFormat="1" x14ac:dyDescent="0.25"/>
    <row r="193656" s="12" customFormat="1" x14ac:dyDescent="0.25"/>
    <row r="193657" s="12" customFormat="1" x14ac:dyDescent="0.25"/>
    <row r="193658" s="12" customFormat="1" x14ac:dyDescent="0.25"/>
    <row r="193659" s="12" customFormat="1" x14ac:dyDescent="0.25"/>
    <row r="193660" s="12" customFormat="1" x14ac:dyDescent="0.25"/>
    <row r="193661" s="12" customFormat="1" x14ac:dyDescent="0.25"/>
    <row r="193662" s="12" customFormat="1" x14ac:dyDescent="0.25"/>
    <row r="193663" s="12" customFormat="1" x14ac:dyDescent="0.25"/>
    <row r="193664" s="12" customFormat="1" x14ac:dyDescent="0.25"/>
    <row r="193665" s="12" customFormat="1" x14ac:dyDescent="0.25"/>
    <row r="193666" s="12" customFormat="1" x14ac:dyDescent="0.25"/>
    <row r="193667" s="12" customFormat="1" x14ac:dyDescent="0.25"/>
    <row r="193668" s="12" customFormat="1" x14ac:dyDescent="0.25"/>
    <row r="193669" s="12" customFormat="1" x14ac:dyDescent="0.25"/>
    <row r="193670" s="12" customFormat="1" x14ac:dyDescent="0.25"/>
    <row r="193671" s="12" customFormat="1" x14ac:dyDescent="0.25"/>
    <row r="193672" s="12" customFormat="1" x14ac:dyDescent="0.25"/>
    <row r="193673" s="12" customFormat="1" x14ac:dyDescent="0.25"/>
    <row r="193674" s="12" customFormat="1" x14ac:dyDescent="0.25"/>
    <row r="193675" s="12" customFormat="1" x14ac:dyDescent="0.25"/>
    <row r="193676" s="12" customFormat="1" x14ac:dyDescent="0.25"/>
    <row r="193677" s="12" customFormat="1" x14ac:dyDescent="0.25"/>
    <row r="193678" s="12" customFormat="1" x14ac:dyDescent="0.25"/>
    <row r="193679" s="12" customFormat="1" x14ac:dyDescent="0.25"/>
    <row r="193680" s="12" customFormat="1" x14ac:dyDescent="0.25"/>
    <row r="193681" s="12" customFormat="1" x14ac:dyDescent="0.25"/>
    <row r="193682" s="12" customFormat="1" x14ac:dyDescent="0.25"/>
    <row r="193683" s="12" customFormat="1" x14ac:dyDescent="0.25"/>
    <row r="193684" s="12" customFormat="1" x14ac:dyDescent="0.25"/>
    <row r="193685" s="12" customFormat="1" x14ac:dyDescent="0.25"/>
    <row r="193686" s="12" customFormat="1" x14ac:dyDescent="0.25"/>
    <row r="193687" s="12" customFormat="1" x14ac:dyDescent="0.25"/>
    <row r="193688" s="12" customFormat="1" x14ac:dyDescent="0.25"/>
    <row r="193689" s="12" customFormat="1" x14ac:dyDescent="0.25"/>
    <row r="193690" s="12" customFormat="1" x14ac:dyDescent="0.25"/>
    <row r="193691" s="12" customFormat="1" x14ac:dyDescent="0.25"/>
    <row r="193692" s="12" customFormat="1" x14ac:dyDescent="0.25"/>
    <row r="193693" s="12" customFormat="1" x14ac:dyDescent="0.25"/>
    <row r="193694" s="12" customFormat="1" x14ac:dyDescent="0.25"/>
    <row r="193695" s="12" customFormat="1" x14ac:dyDescent="0.25"/>
    <row r="193696" s="12" customFormat="1" x14ac:dyDescent="0.25"/>
    <row r="193697" s="12" customFormat="1" x14ac:dyDescent="0.25"/>
    <row r="193698" s="12" customFormat="1" x14ac:dyDescent="0.25"/>
    <row r="193699" s="12" customFormat="1" x14ac:dyDescent="0.25"/>
    <row r="193700" s="12" customFormat="1" x14ac:dyDescent="0.25"/>
    <row r="193701" s="12" customFormat="1" x14ac:dyDescent="0.25"/>
    <row r="193702" s="12" customFormat="1" x14ac:dyDescent="0.25"/>
    <row r="193703" s="12" customFormat="1" x14ac:dyDescent="0.25"/>
    <row r="193704" s="12" customFormat="1" x14ac:dyDescent="0.25"/>
    <row r="193705" s="12" customFormat="1" x14ac:dyDescent="0.25"/>
    <row r="193706" s="12" customFormat="1" x14ac:dyDescent="0.25"/>
    <row r="193707" s="12" customFormat="1" x14ac:dyDescent="0.25"/>
    <row r="193708" s="12" customFormat="1" x14ac:dyDescent="0.25"/>
    <row r="193709" s="12" customFormat="1" x14ac:dyDescent="0.25"/>
    <row r="193710" s="12" customFormat="1" x14ac:dyDescent="0.25"/>
    <row r="193711" s="12" customFormat="1" x14ac:dyDescent="0.25"/>
    <row r="193712" s="12" customFormat="1" x14ac:dyDescent="0.25"/>
    <row r="193713" s="12" customFormat="1" x14ac:dyDescent="0.25"/>
    <row r="193714" s="12" customFormat="1" x14ac:dyDescent="0.25"/>
    <row r="193715" s="12" customFormat="1" x14ac:dyDescent="0.25"/>
    <row r="193716" s="12" customFormat="1" x14ac:dyDescent="0.25"/>
    <row r="193717" s="12" customFormat="1" x14ac:dyDescent="0.25"/>
    <row r="193718" s="12" customFormat="1" x14ac:dyDescent="0.25"/>
    <row r="193719" s="12" customFormat="1" x14ac:dyDescent="0.25"/>
    <row r="193720" s="12" customFormat="1" x14ac:dyDescent="0.25"/>
    <row r="193721" s="12" customFormat="1" x14ac:dyDescent="0.25"/>
    <row r="193722" s="12" customFormat="1" x14ac:dyDescent="0.25"/>
    <row r="193723" s="12" customFormat="1" x14ac:dyDescent="0.25"/>
    <row r="193724" s="12" customFormat="1" x14ac:dyDescent="0.25"/>
    <row r="193725" s="12" customFormat="1" x14ac:dyDescent="0.25"/>
    <row r="193726" s="12" customFormat="1" x14ac:dyDescent="0.25"/>
    <row r="193727" s="12" customFormat="1" x14ac:dyDescent="0.25"/>
    <row r="193728" s="12" customFormat="1" x14ac:dyDescent="0.25"/>
    <row r="193729" s="12" customFormat="1" x14ac:dyDescent="0.25"/>
    <row r="193730" s="12" customFormat="1" x14ac:dyDescent="0.25"/>
    <row r="193731" s="12" customFormat="1" x14ac:dyDescent="0.25"/>
    <row r="193732" s="12" customFormat="1" x14ac:dyDescent="0.25"/>
    <row r="193733" s="12" customFormat="1" x14ac:dyDescent="0.25"/>
    <row r="193734" s="12" customFormat="1" x14ac:dyDescent="0.25"/>
    <row r="193735" s="12" customFormat="1" x14ac:dyDescent="0.25"/>
    <row r="193736" s="12" customFormat="1" x14ac:dyDescent="0.25"/>
    <row r="193737" s="12" customFormat="1" x14ac:dyDescent="0.25"/>
    <row r="193738" s="12" customFormat="1" x14ac:dyDescent="0.25"/>
    <row r="193739" s="12" customFormat="1" x14ac:dyDescent="0.25"/>
    <row r="193740" s="12" customFormat="1" x14ac:dyDescent="0.25"/>
    <row r="193741" s="12" customFormat="1" x14ac:dyDescent="0.25"/>
    <row r="193742" s="12" customFormat="1" x14ac:dyDescent="0.25"/>
    <row r="193743" s="12" customFormat="1" x14ac:dyDescent="0.25"/>
    <row r="193744" s="12" customFormat="1" x14ac:dyDescent="0.25"/>
    <row r="193745" s="12" customFormat="1" x14ac:dyDescent="0.25"/>
    <row r="193746" s="12" customFormat="1" x14ac:dyDescent="0.25"/>
    <row r="193747" s="12" customFormat="1" x14ac:dyDescent="0.25"/>
    <row r="193748" s="12" customFormat="1" x14ac:dyDescent="0.25"/>
    <row r="193749" s="12" customFormat="1" x14ac:dyDescent="0.25"/>
    <row r="193750" s="12" customFormat="1" x14ac:dyDescent="0.25"/>
    <row r="193751" s="12" customFormat="1" x14ac:dyDescent="0.25"/>
    <row r="193752" s="12" customFormat="1" x14ac:dyDescent="0.25"/>
    <row r="193753" s="12" customFormat="1" x14ac:dyDescent="0.25"/>
    <row r="193754" s="12" customFormat="1" x14ac:dyDescent="0.25"/>
    <row r="193755" s="12" customFormat="1" x14ac:dyDescent="0.25"/>
    <row r="193756" s="12" customFormat="1" x14ac:dyDescent="0.25"/>
    <row r="193757" s="12" customFormat="1" x14ac:dyDescent="0.25"/>
    <row r="193758" s="12" customFormat="1" x14ac:dyDescent="0.25"/>
    <row r="193759" s="12" customFormat="1" x14ac:dyDescent="0.25"/>
    <row r="193760" s="12" customFormat="1" x14ac:dyDescent="0.25"/>
    <row r="193761" s="12" customFormat="1" x14ac:dyDescent="0.25"/>
    <row r="193762" s="12" customFormat="1" x14ac:dyDescent="0.25"/>
    <row r="193763" s="12" customFormat="1" x14ac:dyDescent="0.25"/>
    <row r="193764" s="12" customFormat="1" x14ac:dyDescent="0.25"/>
    <row r="193765" s="12" customFormat="1" x14ac:dyDescent="0.25"/>
    <row r="193766" s="12" customFormat="1" x14ac:dyDescent="0.25"/>
    <row r="193767" s="12" customFormat="1" x14ac:dyDescent="0.25"/>
    <row r="193768" s="12" customFormat="1" x14ac:dyDescent="0.25"/>
    <row r="193769" s="12" customFormat="1" x14ac:dyDescent="0.25"/>
    <row r="193770" s="12" customFormat="1" x14ac:dyDescent="0.25"/>
    <row r="193771" s="12" customFormat="1" x14ac:dyDescent="0.25"/>
    <row r="193772" s="12" customFormat="1" x14ac:dyDescent="0.25"/>
    <row r="193773" s="12" customFormat="1" x14ac:dyDescent="0.25"/>
    <row r="193774" s="12" customFormat="1" x14ac:dyDescent="0.25"/>
    <row r="193775" s="12" customFormat="1" x14ac:dyDescent="0.25"/>
    <row r="193776" s="12" customFormat="1" x14ac:dyDescent="0.25"/>
    <row r="193777" s="12" customFormat="1" x14ac:dyDescent="0.25"/>
    <row r="193778" s="12" customFormat="1" x14ac:dyDescent="0.25"/>
    <row r="193779" s="12" customFormat="1" x14ac:dyDescent="0.25"/>
    <row r="193780" s="12" customFormat="1" x14ac:dyDescent="0.25"/>
    <row r="193781" s="12" customFormat="1" x14ac:dyDescent="0.25"/>
    <row r="193782" s="12" customFormat="1" x14ac:dyDescent="0.25"/>
    <row r="193783" s="12" customFormat="1" x14ac:dyDescent="0.25"/>
    <row r="193784" s="12" customFormat="1" x14ac:dyDescent="0.25"/>
    <row r="193785" s="12" customFormat="1" x14ac:dyDescent="0.25"/>
    <row r="193786" s="12" customFormat="1" x14ac:dyDescent="0.25"/>
    <row r="193787" s="12" customFormat="1" x14ac:dyDescent="0.25"/>
    <row r="193788" s="12" customFormat="1" x14ac:dyDescent="0.25"/>
    <row r="193789" s="12" customFormat="1" x14ac:dyDescent="0.25"/>
    <row r="193790" s="12" customFormat="1" x14ac:dyDescent="0.25"/>
    <row r="193791" s="12" customFormat="1" x14ac:dyDescent="0.25"/>
    <row r="193792" s="12" customFormat="1" x14ac:dyDescent="0.25"/>
    <row r="193793" s="12" customFormat="1" x14ac:dyDescent="0.25"/>
    <row r="193794" s="12" customFormat="1" x14ac:dyDescent="0.25"/>
    <row r="193795" s="12" customFormat="1" x14ac:dyDescent="0.25"/>
    <row r="193796" s="12" customFormat="1" x14ac:dyDescent="0.25"/>
    <row r="193797" s="12" customFormat="1" x14ac:dyDescent="0.25"/>
    <row r="193798" s="12" customFormat="1" x14ac:dyDescent="0.25"/>
    <row r="193799" s="12" customFormat="1" x14ac:dyDescent="0.25"/>
    <row r="193800" s="12" customFormat="1" x14ac:dyDescent="0.25"/>
    <row r="193801" s="12" customFormat="1" x14ac:dyDescent="0.25"/>
    <row r="193802" s="12" customFormat="1" x14ac:dyDescent="0.25"/>
    <row r="193803" s="12" customFormat="1" x14ac:dyDescent="0.25"/>
    <row r="193804" s="12" customFormat="1" x14ac:dyDescent="0.25"/>
    <row r="193805" s="12" customFormat="1" x14ac:dyDescent="0.25"/>
    <row r="193806" s="12" customFormat="1" x14ac:dyDescent="0.25"/>
    <row r="193807" s="12" customFormat="1" x14ac:dyDescent="0.25"/>
    <row r="193808" s="12" customFormat="1" x14ac:dyDescent="0.25"/>
    <row r="193809" s="12" customFormat="1" x14ac:dyDescent="0.25"/>
    <row r="193810" s="12" customFormat="1" x14ac:dyDescent="0.25"/>
    <row r="193811" s="12" customFormat="1" x14ac:dyDescent="0.25"/>
    <row r="193812" s="12" customFormat="1" x14ac:dyDescent="0.25"/>
    <row r="193813" s="12" customFormat="1" x14ac:dyDescent="0.25"/>
    <row r="193814" s="12" customFormat="1" x14ac:dyDescent="0.25"/>
    <row r="193815" s="12" customFormat="1" x14ac:dyDescent="0.25"/>
    <row r="193816" s="12" customFormat="1" x14ac:dyDescent="0.25"/>
    <row r="193817" s="12" customFormat="1" x14ac:dyDescent="0.25"/>
    <row r="193818" s="12" customFormat="1" x14ac:dyDescent="0.25"/>
    <row r="193819" s="12" customFormat="1" x14ac:dyDescent="0.25"/>
    <row r="193820" s="12" customFormat="1" x14ac:dyDescent="0.25"/>
    <row r="193821" s="12" customFormat="1" x14ac:dyDescent="0.25"/>
    <row r="193822" s="12" customFormat="1" x14ac:dyDescent="0.25"/>
    <row r="193823" s="12" customFormat="1" x14ac:dyDescent="0.25"/>
    <row r="193824" s="12" customFormat="1" x14ac:dyDescent="0.25"/>
    <row r="193825" s="12" customFormat="1" x14ac:dyDescent="0.25"/>
    <row r="193826" s="12" customFormat="1" x14ac:dyDescent="0.25"/>
    <row r="193827" s="12" customFormat="1" x14ac:dyDescent="0.25"/>
    <row r="193828" s="12" customFormat="1" x14ac:dyDescent="0.25"/>
    <row r="193829" s="12" customFormat="1" x14ac:dyDescent="0.25"/>
    <row r="193830" s="12" customFormat="1" x14ac:dyDescent="0.25"/>
    <row r="193831" s="12" customFormat="1" x14ac:dyDescent="0.25"/>
    <row r="193832" s="12" customFormat="1" x14ac:dyDescent="0.25"/>
    <row r="193833" s="12" customFormat="1" x14ac:dyDescent="0.25"/>
    <row r="193834" s="12" customFormat="1" x14ac:dyDescent="0.25"/>
    <row r="193835" s="12" customFormat="1" x14ac:dyDescent="0.25"/>
    <row r="193836" s="12" customFormat="1" x14ac:dyDescent="0.25"/>
    <row r="193837" s="12" customFormat="1" x14ac:dyDescent="0.25"/>
    <row r="193838" s="12" customFormat="1" x14ac:dyDescent="0.25"/>
    <row r="193839" s="12" customFormat="1" x14ac:dyDescent="0.25"/>
    <row r="193840" s="12" customFormat="1" x14ac:dyDescent="0.25"/>
    <row r="193841" s="12" customFormat="1" x14ac:dyDescent="0.25"/>
    <row r="193842" s="12" customFormat="1" x14ac:dyDescent="0.25"/>
    <row r="193843" s="12" customFormat="1" x14ac:dyDescent="0.25"/>
    <row r="193844" s="12" customFormat="1" x14ac:dyDescent="0.25"/>
    <row r="193845" s="12" customFormat="1" x14ac:dyDescent="0.25"/>
    <row r="193846" s="12" customFormat="1" x14ac:dyDescent="0.25"/>
    <row r="193847" s="12" customFormat="1" x14ac:dyDescent="0.25"/>
    <row r="193848" s="12" customFormat="1" x14ac:dyDescent="0.25"/>
    <row r="193849" s="12" customFormat="1" x14ac:dyDescent="0.25"/>
    <row r="193850" s="12" customFormat="1" x14ac:dyDescent="0.25"/>
    <row r="193851" s="12" customFormat="1" x14ac:dyDescent="0.25"/>
    <row r="193852" s="12" customFormat="1" x14ac:dyDescent="0.25"/>
    <row r="193853" s="12" customFormat="1" x14ac:dyDescent="0.25"/>
    <row r="193854" s="12" customFormat="1" x14ac:dyDescent="0.25"/>
    <row r="193855" s="12" customFormat="1" x14ac:dyDescent="0.25"/>
    <row r="193856" s="12" customFormat="1" x14ac:dyDescent="0.25"/>
    <row r="193857" s="12" customFormat="1" x14ac:dyDescent="0.25"/>
    <row r="193858" s="12" customFormat="1" x14ac:dyDescent="0.25"/>
    <row r="193859" s="12" customFormat="1" x14ac:dyDescent="0.25"/>
    <row r="193860" s="12" customFormat="1" x14ac:dyDescent="0.25"/>
    <row r="193861" s="12" customFormat="1" x14ac:dyDescent="0.25"/>
    <row r="193862" s="12" customFormat="1" x14ac:dyDescent="0.25"/>
    <row r="193863" s="12" customFormat="1" x14ac:dyDescent="0.25"/>
    <row r="193864" s="12" customFormat="1" x14ac:dyDescent="0.25"/>
    <row r="193865" s="12" customFormat="1" x14ac:dyDescent="0.25"/>
    <row r="193866" s="12" customFormat="1" x14ac:dyDescent="0.25"/>
    <row r="193867" s="12" customFormat="1" x14ac:dyDescent="0.25"/>
    <row r="193868" s="12" customFormat="1" x14ac:dyDescent="0.25"/>
    <row r="193869" s="12" customFormat="1" x14ac:dyDescent="0.25"/>
    <row r="193870" s="12" customFormat="1" x14ac:dyDescent="0.25"/>
    <row r="193871" s="12" customFormat="1" x14ac:dyDescent="0.25"/>
    <row r="193872" s="12" customFormat="1" x14ac:dyDescent="0.25"/>
    <row r="193873" s="12" customFormat="1" x14ac:dyDescent="0.25"/>
    <row r="193874" s="12" customFormat="1" x14ac:dyDescent="0.25"/>
    <row r="193875" s="12" customFormat="1" x14ac:dyDescent="0.25"/>
    <row r="193876" s="12" customFormat="1" x14ac:dyDescent="0.25"/>
    <row r="193877" s="12" customFormat="1" x14ac:dyDescent="0.25"/>
    <row r="193878" s="12" customFormat="1" x14ac:dyDescent="0.25"/>
    <row r="193879" s="12" customFormat="1" x14ac:dyDescent="0.25"/>
    <row r="193880" s="12" customFormat="1" x14ac:dyDescent="0.25"/>
    <row r="193881" s="12" customFormat="1" x14ac:dyDescent="0.25"/>
    <row r="193882" s="12" customFormat="1" x14ac:dyDescent="0.25"/>
    <row r="193883" s="12" customFormat="1" x14ac:dyDescent="0.25"/>
    <row r="193884" s="12" customFormat="1" x14ac:dyDescent="0.25"/>
    <row r="193885" s="12" customFormat="1" x14ac:dyDescent="0.25"/>
    <row r="193886" s="12" customFormat="1" x14ac:dyDescent="0.25"/>
    <row r="193887" s="12" customFormat="1" x14ac:dyDescent="0.25"/>
    <row r="193888" s="12" customFormat="1" x14ac:dyDescent="0.25"/>
    <row r="193889" s="12" customFormat="1" x14ac:dyDescent="0.25"/>
    <row r="193890" s="12" customFormat="1" x14ac:dyDescent="0.25"/>
    <row r="193891" s="12" customFormat="1" x14ac:dyDescent="0.25"/>
    <row r="193892" s="12" customFormat="1" x14ac:dyDescent="0.25"/>
    <row r="193893" s="12" customFormat="1" x14ac:dyDescent="0.25"/>
    <row r="193894" s="12" customFormat="1" x14ac:dyDescent="0.25"/>
    <row r="193895" s="12" customFormat="1" x14ac:dyDescent="0.25"/>
    <row r="193896" s="12" customFormat="1" x14ac:dyDescent="0.25"/>
    <row r="193897" s="12" customFormat="1" x14ac:dyDescent="0.25"/>
    <row r="193898" s="12" customFormat="1" x14ac:dyDescent="0.25"/>
    <row r="193899" s="12" customFormat="1" x14ac:dyDescent="0.25"/>
    <row r="193900" s="12" customFormat="1" x14ac:dyDescent="0.25"/>
    <row r="193901" s="12" customFormat="1" x14ac:dyDescent="0.25"/>
    <row r="193902" s="12" customFormat="1" x14ac:dyDescent="0.25"/>
    <row r="193903" s="12" customFormat="1" x14ac:dyDescent="0.25"/>
    <row r="193904" s="12" customFormat="1" x14ac:dyDescent="0.25"/>
    <row r="193905" s="12" customFormat="1" x14ac:dyDescent="0.25"/>
    <row r="193906" s="12" customFormat="1" x14ac:dyDescent="0.25"/>
    <row r="193907" s="12" customFormat="1" x14ac:dyDescent="0.25"/>
    <row r="193908" s="12" customFormat="1" x14ac:dyDescent="0.25"/>
    <row r="193909" s="12" customFormat="1" x14ac:dyDescent="0.25"/>
    <row r="193910" s="12" customFormat="1" x14ac:dyDescent="0.25"/>
    <row r="193911" s="12" customFormat="1" x14ac:dyDescent="0.25"/>
    <row r="193912" s="12" customFormat="1" x14ac:dyDescent="0.25"/>
    <row r="193913" s="12" customFormat="1" x14ac:dyDescent="0.25"/>
    <row r="193914" s="12" customFormat="1" x14ac:dyDescent="0.25"/>
    <row r="193915" s="12" customFormat="1" x14ac:dyDescent="0.25"/>
    <row r="193916" s="12" customFormat="1" x14ac:dyDescent="0.25"/>
    <row r="193917" s="12" customFormat="1" x14ac:dyDescent="0.25"/>
    <row r="193918" s="12" customFormat="1" x14ac:dyDescent="0.25"/>
    <row r="193919" s="12" customFormat="1" x14ac:dyDescent="0.25"/>
    <row r="193920" s="12" customFormat="1" x14ac:dyDescent="0.25"/>
    <row r="193921" s="12" customFormat="1" x14ac:dyDescent="0.25"/>
    <row r="193922" s="12" customFormat="1" x14ac:dyDescent="0.25"/>
    <row r="193923" s="12" customFormat="1" x14ac:dyDescent="0.25"/>
    <row r="193924" s="12" customFormat="1" x14ac:dyDescent="0.25"/>
    <row r="193925" s="12" customFormat="1" x14ac:dyDescent="0.25"/>
    <row r="193926" s="12" customFormat="1" x14ac:dyDescent="0.25"/>
    <row r="193927" s="12" customFormat="1" x14ac:dyDescent="0.25"/>
    <row r="193928" s="12" customFormat="1" x14ac:dyDescent="0.25"/>
    <row r="193929" s="12" customFormat="1" x14ac:dyDescent="0.25"/>
    <row r="193930" s="12" customFormat="1" x14ac:dyDescent="0.25"/>
    <row r="193931" s="12" customFormat="1" x14ac:dyDescent="0.25"/>
    <row r="193932" s="12" customFormat="1" x14ac:dyDescent="0.25"/>
    <row r="193933" s="12" customFormat="1" x14ac:dyDescent="0.25"/>
    <row r="193934" s="12" customFormat="1" x14ac:dyDescent="0.25"/>
    <row r="193935" s="12" customFormat="1" x14ac:dyDescent="0.25"/>
    <row r="193936" s="12" customFormat="1" x14ac:dyDescent="0.25"/>
    <row r="193937" s="12" customFormat="1" x14ac:dyDescent="0.25"/>
    <row r="193938" s="12" customFormat="1" x14ac:dyDescent="0.25"/>
    <row r="193939" s="12" customFormat="1" x14ac:dyDescent="0.25"/>
    <row r="193940" s="12" customFormat="1" x14ac:dyDescent="0.25"/>
    <row r="193941" s="12" customFormat="1" x14ac:dyDescent="0.25"/>
    <row r="193942" s="12" customFormat="1" x14ac:dyDescent="0.25"/>
    <row r="193943" s="12" customFormat="1" x14ac:dyDescent="0.25"/>
    <row r="193944" s="12" customFormat="1" x14ac:dyDescent="0.25"/>
    <row r="193945" s="12" customFormat="1" x14ac:dyDescent="0.25"/>
    <row r="193946" s="12" customFormat="1" x14ac:dyDescent="0.25"/>
    <row r="193947" s="12" customFormat="1" x14ac:dyDescent="0.25"/>
    <row r="193948" s="12" customFormat="1" x14ac:dyDescent="0.25"/>
    <row r="193949" s="12" customFormat="1" x14ac:dyDescent="0.25"/>
    <row r="193950" s="12" customFormat="1" x14ac:dyDescent="0.25"/>
    <row r="193951" s="12" customFormat="1" x14ac:dyDescent="0.25"/>
    <row r="193952" s="12" customFormat="1" x14ac:dyDescent="0.25"/>
    <row r="193953" s="12" customFormat="1" x14ac:dyDescent="0.25"/>
    <row r="193954" s="12" customFormat="1" x14ac:dyDescent="0.25"/>
    <row r="193955" s="12" customFormat="1" x14ac:dyDescent="0.25"/>
    <row r="193956" s="12" customFormat="1" x14ac:dyDescent="0.25"/>
    <row r="193957" s="12" customFormat="1" x14ac:dyDescent="0.25"/>
    <row r="193958" s="12" customFormat="1" x14ac:dyDescent="0.25"/>
    <row r="193959" s="12" customFormat="1" x14ac:dyDescent="0.25"/>
    <row r="193960" s="12" customFormat="1" x14ac:dyDescent="0.25"/>
    <row r="193961" s="12" customFormat="1" x14ac:dyDescent="0.25"/>
    <row r="193962" s="12" customFormat="1" x14ac:dyDescent="0.25"/>
    <row r="193963" s="12" customFormat="1" x14ac:dyDescent="0.25"/>
    <row r="193964" s="12" customFormat="1" x14ac:dyDescent="0.25"/>
    <row r="193965" s="12" customFormat="1" x14ac:dyDescent="0.25"/>
    <row r="193966" s="12" customFormat="1" x14ac:dyDescent="0.25"/>
    <row r="193967" s="12" customFormat="1" x14ac:dyDescent="0.25"/>
    <row r="193968" s="12" customFormat="1" x14ac:dyDescent="0.25"/>
    <row r="193969" s="12" customFormat="1" x14ac:dyDescent="0.25"/>
    <row r="193970" s="12" customFormat="1" x14ac:dyDescent="0.25"/>
    <row r="193971" s="12" customFormat="1" x14ac:dyDescent="0.25"/>
    <row r="193972" s="12" customFormat="1" x14ac:dyDescent="0.25"/>
    <row r="193973" s="12" customFormat="1" x14ac:dyDescent="0.25"/>
    <row r="193974" s="12" customFormat="1" x14ac:dyDescent="0.25"/>
    <row r="193975" s="12" customFormat="1" x14ac:dyDescent="0.25"/>
    <row r="193976" s="12" customFormat="1" x14ac:dyDescent="0.25"/>
    <row r="193977" s="12" customFormat="1" x14ac:dyDescent="0.25"/>
    <row r="193978" s="12" customFormat="1" x14ac:dyDescent="0.25"/>
    <row r="193979" s="12" customFormat="1" x14ac:dyDescent="0.25"/>
    <row r="193980" s="12" customFormat="1" x14ac:dyDescent="0.25"/>
    <row r="193981" s="12" customFormat="1" x14ac:dyDescent="0.25"/>
    <row r="193982" s="12" customFormat="1" x14ac:dyDescent="0.25"/>
    <row r="193983" s="12" customFormat="1" x14ac:dyDescent="0.25"/>
    <row r="193984" s="12" customFormat="1" x14ac:dyDescent="0.25"/>
    <row r="193985" s="12" customFormat="1" x14ac:dyDescent="0.25"/>
    <row r="193986" s="12" customFormat="1" x14ac:dyDescent="0.25"/>
    <row r="193987" s="12" customFormat="1" x14ac:dyDescent="0.25"/>
    <row r="193988" s="12" customFormat="1" x14ac:dyDescent="0.25"/>
    <row r="193989" s="12" customFormat="1" x14ac:dyDescent="0.25"/>
    <row r="193990" s="12" customFormat="1" x14ac:dyDescent="0.25"/>
    <row r="193991" s="12" customFormat="1" x14ac:dyDescent="0.25"/>
    <row r="193992" s="12" customFormat="1" x14ac:dyDescent="0.25"/>
    <row r="193993" s="12" customFormat="1" x14ac:dyDescent="0.25"/>
    <row r="193994" s="12" customFormat="1" x14ac:dyDescent="0.25"/>
    <row r="193995" s="12" customFormat="1" x14ac:dyDescent="0.25"/>
    <row r="193996" s="12" customFormat="1" x14ac:dyDescent="0.25"/>
    <row r="193997" s="12" customFormat="1" x14ac:dyDescent="0.25"/>
    <row r="193998" s="12" customFormat="1" x14ac:dyDescent="0.25"/>
    <row r="193999" s="12" customFormat="1" x14ac:dyDescent="0.25"/>
    <row r="194000" s="12" customFormat="1" x14ac:dyDescent="0.25"/>
    <row r="194001" s="12" customFormat="1" x14ac:dyDescent="0.25"/>
    <row r="194002" s="12" customFormat="1" x14ac:dyDescent="0.25"/>
    <row r="194003" s="12" customFormat="1" x14ac:dyDescent="0.25"/>
    <row r="194004" s="12" customFormat="1" x14ac:dyDescent="0.25"/>
    <row r="194005" s="12" customFormat="1" x14ac:dyDescent="0.25"/>
    <row r="194006" s="12" customFormat="1" x14ac:dyDescent="0.25"/>
    <row r="194007" s="12" customFormat="1" x14ac:dyDescent="0.25"/>
    <row r="194008" s="12" customFormat="1" x14ac:dyDescent="0.25"/>
    <row r="194009" s="12" customFormat="1" x14ac:dyDescent="0.25"/>
    <row r="194010" s="12" customFormat="1" x14ac:dyDescent="0.25"/>
    <row r="194011" s="12" customFormat="1" x14ac:dyDescent="0.25"/>
    <row r="194012" s="12" customFormat="1" x14ac:dyDescent="0.25"/>
    <row r="194013" s="12" customFormat="1" x14ac:dyDescent="0.25"/>
    <row r="194014" s="12" customFormat="1" x14ac:dyDescent="0.25"/>
    <row r="194015" s="12" customFormat="1" x14ac:dyDescent="0.25"/>
    <row r="194016" s="12" customFormat="1" x14ac:dyDescent="0.25"/>
    <row r="194017" s="12" customFormat="1" x14ac:dyDescent="0.25"/>
    <row r="194018" s="12" customFormat="1" x14ac:dyDescent="0.25"/>
    <row r="194019" s="12" customFormat="1" x14ac:dyDescent="0.25"/>
    <row r="194020" s="12" customFormat="1" x14ac:dyDescent="0.25"/>
    <row r="194021" s="12" customFormat="1" x14ac:dyDescent="0.25"/>
    <row r="194022" s="12" customFormat="1" x14ac:dyDescent="0.25"/>
    <row r="194023" s="12" customFormat="1" x14ac:dyDescent="0.25"/>
    <row r="194024" s="12" customFormat="1" x14ac:dyDescent="0.25"/>
    <row r="194025" s="12" customFormat="1" x14ac:dyDescent="0.25"/>
    <row r="194026" s="12" customFormat="1" x14ac:dyDescent="0.25"/>
    <row r="194027" s="12" customFormat="1" x14ac:dyDescent="0.25"/>
    <row r="194028" s="12" customFormat="1" x14ac:dyDescent="0.25"/>
    <row r="194029" s="12" customFormat="1" x14ac:dyDescent="0.25"/>
    <row r="194030" s="12" customFormat="1" x14ac:dyDescent="0.25"/>
    <row r="194031" s="12" customFormat="1" x14ac:dyDescent="0.25"/>
    <row r="194032" s="12" customFormat="1" x14ac:dyDescent="0.25"/>
    <row r="194033" s="12" customFormat="1" x14ac:dyDescent="0.25"/>
    <row r="194034" s="12" customFormat="1" x14ac:dyDescent="0.25"/>
    <row r="194035" s="12" customFormat="1" x14ac:dyDescent="0.25"/>
    <row r="194036" s="12" customFormat="1" x14ac:dyDescent="0.25"/>
    <row r="194037" s="12" customFormat="1" x14ac:dyDescent="0.25"/>
    <row r="194038" s="12" customFormat="1" x14ac:dyDescent="0.25"/>
    <row r="194039" s="12" customFormat="1" x14ac:dyDescent="0.25"/>
    <row r="194040" s="12" customFormat="1" x14ac:dyDescent="0.25"/>
    <row r="194041" s="12" customFormat="1" x14ac:dyDescent="0.25"/>
    <row r="194042" s="12" customFormat="1" x14ac:dyDescent="0.25"/>
    <row r="194043" s="12" customFormat="1" x14ac:dyDescent="0.25"/>
    <row r="194044" s="12" customFormat="1" x14ac:dyDescent="0.25"/>
    <row r="194045" s="12" customFormat="1" x14ac:dyDescent="0.25"/>
    <row r="194046" s="12" customFormat="1" x14ac:dyDescent="0.25"/>
    <row r="194047" s="12" customFormat="1" x14ac:dyDescent="0.25"/>
    <row r="194048" s="12" customFormat="1" x14ac:dyDescent="0.25"/>
    <row r="194049" s="12" customFormat="1" x14ac:dyDescent="0.25"/>
    <row r="194050" s="12" customFormat="1" x14ac:dyDescent="0.25"/>
    <row r="194051" s="12" customFormat="1" x14ac:dyDescent="0.25"/>
    <row r="194052" s="12" customFormat="1" x14ac:dyDescent="0.25"/>
    <row r="194053" s="12" customFormat="1" x14ac:dyDescent="0.25"/>
    <row r="194054" s="12" customFormat="1" x14ac:dyDescent="0.25"/>
    <row r="194055" s="12" customFormat="1" x14ac:dyDescent="0.25"/>
    <row r="194056" s="12" customFormat="1" x14ac:dyDescent="0.25"/>
    <row r="194057" s="12" customFormat="1" x14ac:dyDescent="0.25"/>
    <row r="194058" s="12" customFormat="1" x14ac:dyDescent="0.25"/>
    <row r="194059" s="12" customFormat="1" x14ac:dyDescent="0.25"/>
    <row r="194060" s="12" customFormat="1" x14ac:dyDescent="0.25"/>
    <row r="194061" s="12" customFormat="1" x14ac:dyDescent="0.25"/>
    <row r="194062" s="12" customFormat="1" x14ac:dyDescent="0.25"/>
    <row r="194063" s="12" customFormat="1" x14ac:dyDescent="0.25"/>
    <row r="194064" s="12" customFormat="1" x14ac:dyDescent="0.25"/>
    <row r="194065" s="12" customFormat="1" x14ac:dyDescent="0.25"/>
    <row r="194066" s="12" customFormat="1" x14ac:dyDescent="0.25"/>
    <row r="194067" s="12" customFormat="1" x14ac:dyDescent="0.25"/>
    <row r="194068" s="12" customFormat="1" x14ac:dyDescent="0.25"/>
    <row r="194069" s="12" customFormat="1" x14ac:dyDescent="0.25"/>
    <row r="194070" s="12" customFormat="1" x14ac:dyDescent="0.25"/>
    <row r="194071" s="12" customFormat="1" x14ac:dyDescent="0.25"/>
    <row r="194072" s="12" customFormat="1" x14ac:dyDescent="0.25"/>
    <row r="194073" s="12" customFormat="1" x14ac:dyDescent="0.25"/>
    <row r="194074" s="12" customFormat="1" x14ac:dyDescent="0.25"/>
    <row r="194075" s="12" customFormat="1" x14ac:dyDescent="0.25"/>
    <row r="194076" s="12" customFormat="1" x14ac:dyDescent="0.25"/>
    <row r="194077" s="12" customFormat="1" x14ac:dyDescent="0.25"/>
    <row r="194078" s="12" customFormat="1" x14ac:dyDescent="0.25"/>
    <row r="194079" s="12" customFormat="1" x14ac:dyDescent="0.25"/>
    <row r="194080" s="12" customFormat="1" x14ac:dyDescent="0.25"/>
    <row r="194081" s="12" customFormat="1" x14ac:dyDescent="0.25"/>
    <row r="194082" s="12" customFormat="1" x14ac:dyDescent="0.25"/>
    <row r="194083" s="12" customFormat="1" x14ac:dyDescent="0.25"/>
    <row r="194084" s="12" customFormat="1" x14ac:dyDescent="0.25"/>
    <row r="194085" s="12" customFormat="1" x14ac:dyDescent="0.25"/>
    <row r="194086" s="12" customFormat="1" x14ac:dyDescent="0.25"/>
    <row r="194087" s="12" customFormat="1" x14ac:dyDescent="0.25"/>
    <row r="194088" s="12" customFormat="1" x14ac:dyDescent="0.25"/>
    <row r="194089" s="12" customFormat="1" x14ac:dyDescent="0.25"/>
    <row r="194090" s="12" customFormat="1" x14ac:dyDescent="0.25"/>
    <row r="194091" s="12" customFormat="1" x14ac:dyDescent="0.25"/>
    <row r="194092" s="12" customFormat="1" x14ac:dyDescent="0.25"/>
    <row r="194093" s="12" customFormat="1" x14ac:dyDescent="0.25"/>
    <row r="194094" s="12" customFormat="1" x14ac:dyDescent="0.25"/>
    <row r="194095" s="12" customFormat="1" x14ac:dyDescent="0.25"/>
    <row r="194096" s="12" customFormat="1" x14ac:dyDescent="0.25"/>
    <row r="194097" s="12" customFormat="1" x14ac:dyDescent="0.25"/>
    <row r="194098" s="12" customFormat="1" x14ac:dyDescent="0.25"/>
    <row r="194099" s="12" customFormat="1" x14ac:dyDescent="0.25"/>
    <row r="194100" s="12" customFormat="1" x14ac:dyDescent="0.25"/>
    <row r="194101" s="12" customFormat="1" x14ac:dyDescent="0.25"/>
    <row r="194102" s="12" customFormat="1" x14ac:dyDescent="0.25"/>
    <row r="194103" s="12" customFormat="1" x14ac:dyDescent="0.25"/>
    <row r="194104" s="12" customFormat="1" x14ac:dyDescent="0.25"/>
    <row r="194105" s="12" customFormat="1" x14ac:dyDescent="0.25"/>
    <row r="194106" s="12" customFormat="1" x14ac:dyDescent="0.25"/>
    <row r="194107" s="12" customFormat="1" x14ac:dyDescent="0.25"/>
    <row r="194108" s="12" customFormat="1" x14ac:dyDescent="0.25"/>
    <row r="194109" s="12" customFormat="1" x14ac:dyDescent="0.25"/>
    <row r="194110" s="12" customFormat="1" x14ac:dyDescent="0.25"/>
    <row r="194111" s="12" customFormat="1" x14ac:dyDescent="0.25"/>
    <row r="194112" s="12" customFormat="1" x14ac:dyDescent="0.25"/>
    <row r="194113" s="12" customFormat="1" x14ac:dyDescent="0.25"/>
    <row r="194114" s="12" customFormat="1" x14ac:dyDescent="0.25"/>
    <row r="194115" s="12" customFormat="1" x14ac:dyDescent="0.25"/>
    <row r="194116" s="12" customFormat="1" x14ac:dyDescent="0.25"/>
    <row r="194117" s="12" customFormat="1" x14ac:dyDescent="0.25"/>
    <row r="194118" s="12" customFormat="1" x14ac:dyDescent="0.25"/>
    <row r="194119" s="12" customFormat="1" x14ac:dyDescent="0.25"/>
    <row r="194120" s="12" customFormat="1" x14ac:dyDescent="0.25"/>
    <row r="194121" s="12" customFormat="1" x14ac:dyDescent="0.25"/>
    <row r="194122" s="12" customFormat="1" x14ac:dyDescent="0.25"/>
    <row r="194123" s="12" customFormat="1" x14ac:dyDescent="0.25"/>
    <row r="194124" s="12" customFormat="1" x14ac:dyDescent="0.25"/>
    <row r="194125" s="12" customFormat="1" x14ac:dyDescent="0.25"/>
    <row r="194126" s="12" customFormat="1" x14ac:dyDescent="0.25"/>
    <row r="194127" s="12" customFormat="1" x14ac:dyDescent="0.25"/>
    <row r="194128" s="12" customFormat="1" x14ac:dyDescent="0.25"/>
    <row r="194129" s="12" customFormat="1" x14ac:dyDescent="0.25"/>
    <row r="194130" s="12" customFormat="1" x14ac:dyDescent="0.25"/>
    <row r="194131" s="12" customFormat="1" x14ac:dyDescent="0.25"/>
    <row r="194132" s="12" customFormat="1" x14ac:dyDescent="0.25"/>
    <row r="194133" s="12" customFormat="1" x14ac:dyDescent="0.25"/>
    <row r="194134" s="12" customFormat="1" x14ac:dyDescent="0.25"/>
    <row r="194135" s="12" customFormat="1" x14ac:dyDescent="0.25"/>
    <row r="194136" s="12" customFormat="1" x14ac:dyDescent="0.25"/>
    <row r="194137" s="12" customFormat="1" x14ac:dyDescent="0.25"/>
    <row r="194138" s="12" customFormat="1" x14ac:dyDescent="0.25"/>
    <row r="194139" s="12" customFormat="1" x14ac:dyDescent="0.25"/>
    <row r="194140" s="12" customFormat="1" x14ac:dyDescent="0.25"/>
    <row r="194141" s="12" customFormat="1" x14ac:dyDescent="0.25"/>
    <row r="194142" s="12" customFormat="1" x14ac:dyDescent="0.25"/>
    <row r="194143" s="12" customFormat="1" x14ac:dyDescent="0.25"/>
    <row r="194144" s="12" customFormat="1" x14ac:dyDescent="0.25"/>
    <row r="194145" s="12" customFormat="1" x14ac:dyDescent="0.25"/>
    <row r="194146" s="12" customFormat="1" x14ac:dyDescent="0.25"/>
    <row r="194147" s="12" customFormat="1" x14ac:dyDescent="0.25"/>
    <row r="194148" s="12" customFormat="1" x14ac:dyDescent="0.25"/>
    <row r="194149" s="12" customFormat="1" x14ac:dyDescent="0.25"/>
    <row r="194150" s="12" customFormat="1" x14ac:dyDescent="0.25"/>
    <row r="194151" s="12" customFormat="1" x14ac:dyDescent="0.25"/>
    <row r="194152" s="12" customFormat="1" x14ac:dyDescent="0.25"/>
    <row r="194153" s="12" customFormat="1" x14ac:dyDescent="0.25"/>
    <row r="194154" s="12" customFormat="1" x14ac:dyDescent="0.25"/>
    <row r="194155" s="12" customFormat="1" x14ac:dyDescent="0.25"/>
    <row r="194156" s="12" customFormat="1" x14ac:dyDescent="0.25"/>
    <row r="194157" s="12" customFormat="1" x14ac:dyDescent="0.25"/>
    <row r="194158" s="12" customFormat="1" x14ac:dyDescent="0.25"/>
    <row r="194159" s="12" customFormat="1" x14ac:dyDescent="0.25"/>
    <row r="194160" s="12" customFormat="1" x14ac:dyDescent="0.25"/>
    <row r="194161" s="12" customFormat="1" x14ac:dyDescent="0.25"/>
    <row r="194162" s="12" customFormat="1" x14ac:dyDescent="0.25"/>
    <row r="194163" s="12" customFormat="1" x14ac:dyDescent="0.25"/>
    <row r="194164" s="12" customFormat="1" x14ac:dyDescent="0.25"/>
    <row r="194165" s="12" customFormat="1" x14ac:dyDescent="0.25"/>
    <row r="194166" s="12" customFormat="1" x14ac:dyDescent="0.25"/>
    <row r="194167" s="12" customFormat="1" x14ac:dyDescent="0.25"/>
    <row r="194168" s="12" customFormat="1" x14ac:dyDescent="0.25"/>
    <row r="194169" s="12" customFormat="1" x14ac:dyDescent="0.25"/>
    <row r="194170" s="12" customFormat="1" x14ac:dyDescent="0.25"/>
    <row r="194171" s="12" customFormat="1" x14ac:dyDescent="0.25"/>
    <row r="194172" s="12" customFormat="1" x14ac:dyDescent="0.25"/>
    <row r="194173" s="12" customFormat="1" x14ac:dyDescent="0.25"/>
    <row r="194174" s="12" customFormat="1" x14ac:dyDescent="0.25"/>
    <row r="194175" s="12" customFormat="1" x14ac:dyDescent="0.25"/>
    <row r="194176" s="12" customFormat="1" x14ac:dyDescent="0.25"/>
    <row r="194177" s="12" customFormat="1" x14ac:dyDescent="0.25"/>
    <row r="194178" s="12" customFormat="1" x14ac:dyDescent="0.25"/>
    <row r="194179" s="12" customFormat="1" x14ac:dyDescent="0.25"/>
    <row r="194180" s="12" customFormat="1" x14ac:dyDescent="0.25"/>
    <row r="194181" s="12" customFormat="1" x14ac:dyDescent="0.25"/>
    <row r="194182" s="12" customFormat="1" x14ac:dyDescent="0.25"/>
    <row r="194183" s="12" customFormat="1" x14ac:dyDescent="0.25"/>
    <row r="194184" s="12" customFormat="1" x14ac:dyDescent="0.25"/>
    <row r="194185" s="12" customFormat="1" x14ac:dyDescent="0.25"/>
    <row r="194186" s="12" customFormat="1" x14ac:dyDescent="0.25"/>
    <row r="194187" s="12" customFormat="1" x14ac:dyDescent="0.25"/>
    <row r="194188" s="12" customFormat="1" x14ac:dyDescent="0.25"/>
    <row r="194189" s="12" customFormat="1" x14ac:dyDescent="0.25"/>
    <row r="194190" s="12" customFormat="1" x14ac:dyDescent="0.25"/>
    <row r="194191" s="12" customFormat="1" x14ac:dyDescent="0.25"/>
    <row r="194192" s="12" customFormat="1" x14ac:dyDescent="0.25"/>
    <row r="194193" s="12" customFormat="1" x14ac:dyDescent="0.25"/>
    <row r="194194" s="12" customFormat="1" x14ac:dyDescent="0.25"/>
    <row r="194195" s="12" customFormat="1" x14ac:dyDescent="0.25"/>
    <row r="194196" s="12" customFormat="1" x14ac:dyDescent="0.25"/>
    <row r="194197" s="12" customFormat="1" x14ac:dyDescent="0.25"/>
    <row r="194198" s="12" customFormat="1" x14ac:dyDescent="0.25"/>
    <row r="194199" s="12" customFormat="1" x14ac:dyDescent="0.25"/>
    <row r="194200" s="12" customFormat="1" x14ac:dyDescent="0.25"/>
    <row r="194201" s="12" customFormat="1" x14ac:dyDescent="0.25"/>
    <row r="194202" s="12" customFormat="1" x14ac:dyDescent="0.25"/>
    <row r="194203" s="12" customFormat="1" x14ac:dyDescent="0.25"/>
    <row r="194204" s="12" customFormat="1" x14ac:dyDescent="0.25"/>
    <row r="194205" s="12" customFormat="1" x14ac:dyDescent="0.25"/>
    <row r="194206" s="12" customFormat="1" x14ac:dyDescent="0.25"/>
    <row r="194207" s="12" customFormat="1" x14ac:dyDescent="0.25"/>
    <row r="194208" s="12" customFormat="1" x14ac:dyDescent="0.25"/>
    <row r="194209" s="12" customFormat="1" x14ac:dyDescent="0.25"/>
    <row r="194210" s="12" customFormat="1" x14ac:dyDescent="0.25"/>
    <row r="194211" s="12" customFormat="1" x14ac:dyDescent="0.25"/>
    <row r="194212" s="12" customFormat="1" x14ac:dyDescent="0.25"/>
    <row r="194213" s="12" customFormat="1" x14ac:dyDescent="0.25"/>
    <row r="194214" s="12" customFormat="1" x14ac:dyDescent="0.25"/>
    <row r="194215" s="12" customFormat="1" x14ac:dyDescent="0.25"/>
    <row r="194216" s="12" customFormat="1" x14ac:dyDescent="0.25"/>
    <row r="194217" s="12" customFormat="1" x14ac:dyDescent="0.25"/>
    <row r="194218" s="12" customFormat="1" x14ac:dyDescent="0.25"/>
    <row r="194219" s="12" customFormat="1" x14ac:dyDescent="0.25"/>
    <row r="194220" s="12" customFormat="1" x14ac:dyDescent="0.25"/>
    <row r="194221" s="12" customFormat="1" x14ac:dyDescent="0.25"/>
    <row r="194222" s="12" customFormat="1" x14ac:dyDescent="0.25"/>
    <row r="194223" s="12" customFormat="1" x14ac:dyDescent="0.25"/>
    <row r="194224" s="12" customFormat="1" x14ac:dyDescent="0.25"/>
    <row r="194225" s="12" customFormat="1" x14ac:dyDescent="0.25"/>
    <row r="194226" s="12" customFormat="1" x14ac:dyDescent="0.25"/>
    <row r="194227" s="12" customFormat="1" x14ac:dyDescent="0.25"/>
    <row r="194228" s="12" customFormat="1" x14ac:dyDescent="0.25"/>
    <row r="194229" s="12" customFormat="1" x14ac:dyDescent="0.25"/>
    <row r="194230" s="12" customFormat="1" x14ac:dyDescent="0.25"/>
    <row r="194231" s="12" customFormat="1" x14ac:dyDescent="0.25"/>
    <row r="194232" s="12" customFormat="1" x14ac:dyDescent="0.25"/>
    <row r="194233" s="12" customFormat="1" x14ac:dyDescent="0.25"/>
    <row r="194234" s="12" customFormat="1" x14ac:dyDescent="0.25"/>
    <row r="194235" s="12" customFormat="1" x14ac:dyDescent="0.25"/>
    <row r="194236" s="12" customFormat="1" x14ac:dyDescent="0.25"/>
    <row r="194237" s="12" customFormat="1" x14ac:dyDescent="0.25"/>
    <row r="194238" s="12" customFormat="1" x14ac:dyDescent="0.25"/>
    <row r="194239" s="12" customFormat="1" x14ac:dyDescent="0.25"/>
    <row r="194240" s="12" customFormat="1" x14ac:dyDescent="0.25"/>
    <row r="194241" s="12" customFormat="1" x14ac:dyDescent="0.25"/>
    <row r="194242" s="12" customFormat="1" x14ac:dyDescent="0.25"/>
    <row r="194243" s="12" customFormat="1" x14ac:dyDescent="0.25"/>
    <row r="194244" s="12" customFormat="1" x14ac:dyDescent="0.25"/>
    <row r="194245" s="12" customFormat="1" x14ac:dyDescent="0.25"/>
    <row r="194246" s="12" customFormat="1" x14ac:dyDescent="0.25"/>
    <row r="194247" s="12" customFormat="1" x14ac:dyDescent="0.25"/>
    <row r="194248" s="12" customFormat="1" x14ac:dyDescent="0.25"/>
    <row r="194249" s="12" customFormat="1" x14ac:dyDescent="0.25"/>
    <row r="194250" s="12" customFormat="1" x14ac:dyDescent="0.25"/>
    <row r="194251" s="12" customFormat="1" x14ac:dyDescent="0.25"/>
    <row r="194252" s="12" customFormat="1" x14ac:dyDescent="0.25"/>
    <row r="194253" s="12" customFormat="1" x14ac:dyDescent="0.25"/>
    <row r="194254" s="12" customFormat="1" x14ac:dyDescent="0.25"/>
    <row r="194255" s="12" customFormat="1" x14ac:dyDescent="0.25"/>
    <row r="194256" s="12" customFormat="1" x14ac:dyDescent="0.25"/>
    <row r="194257" s="12" customFormat="1" x14ac:dyDescent="0.25"/>
    <row r="194258" s="12" customFormat="1" x14ac:dyDescent="0.25"/>
    <row r="194259" s="12" customFormat="1" x14ac:dyDescent="0.25"/>
    <row r="194260" s="12" customFormat="1" x14ac:dyDescent="0.25"/>
    <row r="194261" s="12" customFormat="1" x14ac:dyDescent="0.25"/>
    <row r="194262" s="12" customFormat="1" x14ac:dyDescent="0.25"/>
    <row r="194263" s="12" customFormat="1" x14ac:dyDescent="0.25"/>
    <row r="194264" s="12" customFormat="1" x14ac:dyDescent="0.25"/>
    <row r="194265" s="12" customFormat="1" x14ac:dyDescent="0.25"/>
    <row r="194266" s="12" customFormat="1" x14ac:dyDescent="0.25"/>
    <row r="194267" s="12" customFormat="1" x14ac:dyDescent="0.25"/>
    <row r="194268" s="12" customFormat="1" x14ac:dyDescent="0.25"/>
    <row r="194269" s="12" customFormat="1" x14ac:dyDescent="0.25"/>
    <row r="194270" s="12" customFormat="1" x14ac:dyDescent="0.25"/>
    <row r="194271" s="12" customFormat="1" x14ac:dyDescent="0.25"/>
    <row r="194272" s="12" customFormat="1" x14ac:dyDescent="0.25"/>
    <row r="194273" s="12" customFormat="1" x14ac:dyDescent="0.25"/>
    <row r="194274" s="12" customFormat="1" x14ac:dyDescent="0.25"/>
    <row r="194275" s="12" customFormat="1" x14ac:dyDescent="0.25"/>
    <row r="194276" s="12" customFormat="1" x14ac:dyDescent="0.25"/>
    <row r="194277" s="12" customFormat="1" x14ac:dyDescent="0.25"/>
    <row r="194278" s="12" customFormat="1" x14ac:dyDescent="0.25"/>
    <row r="194279" s="12" customFormat="1" x14ac:dyDescent="0.25"/>
    <row r="194280" s="12" customFormat="1" x14ac:dyDescent="0.25"/>
    <row r="194281" s="12" customFormat="1" x14ac:dyDescent="0.25"/>
    <row r="194282" s="12" customFormat="1" x14ac:dyDescent="0.25"/>
    <row r="194283" s="12" customFormat="1" x14ac:dyDescent="0.25"/>
    <row r="194284" s="12" customFormat="1" x14ac:dyDescent="0.25"/>
    <row r="194285" s="12" customFormat="1" x14ac:dyDescent="0.25"/>
    <row r="194286" s="12" customFormat="1" x14ac:dyDescent="0.25"/>
    <row r="194287" s="12" customFormat="1" x14ac:dyDescent="0.25"/>
    <row r="194288" s="12" customFormat="1" x14ac:dyDescent="0.25"/>
    <row r="194289" s="12" customFormat="1" x14ac:dyDescent="0.25"/>
    <row r="194290" s="12" customFormat="1" x14ac:dyDescent="0.25"/>
    <row r="194291" s="12" customFormat="1" x14ac:dyDescent="0.25"/>
    <row r="194292" s="12" customFormat="1" x14ac:dyDescent="0.25"/>
    <row r="194293" s="12" customFormat="1" x14ac:dyDescent="0.25"/>
    <row r="194294" s="12" customFormat="1" x14ac:dyDescent="0.25"/>
    <row r="194295" s="12" customFormat="1" x14ac:dyDescent="0.25"/>
    <row r="194296" s="12" customFormat="1" x14ac:dyDescent="0.25"/>
    <row r="194297" s="12" customFormat="1" x14ac:dyDescent="0.25"/>
    <row r="194298" s="12" customFormat="1" x14ac:dyDescent="0.25"/>
    <row r="194299" s="12" customFormat="1" x14ac:dyDescent="0.25"/>
    <row r="194300" s="12" customFormat="1" x14ac:dyDescent="0.25"/>
    <row r="194301" s="12" customFormat="1" x14ac:dyDescent="0.25"/>
    <row r="194302" s="12" customFormat="1" x14ac:dyDescent="0.25"/>
    <row r="194303" s="12" customFormat="1" x14ac:dyDescent="0.25"/>
    <row r="194304" s="12" customFormat="1" x14ac:dyDescent="0.25"/>
    <row r="194305" s="12" customFormat="1" x14ac:dyDescent="0.25"/>
    <row r="194306" s="12" customFormat="1" x14ac:dyDescent="0.25"/>
    <row r="194307" s="12" customFormat="1" x14ac:dyDescent="0.25"/>
    <row r="194308" s="12" customFormat="1" x14ac:dyDescent="0.25"/>
    <row r="194309" s="12" customFormat="1" x14ac:dyDescent="0.25"/>
    <row r="194310" s="12" customFormat="1" x14ac:dyDescent="0.25"/>
    <row r="194311" s="12" customFormat="1" x14ac:dyDescent="0.25"/>
    <row r="194312" s="12" customFormat="1" x14ac:dyDescent="0.25"/>
    <row r="194313" s="12" customFormat="1" x14ac:dyDescent="0.25"/>
    <row r="194314" s="12" customFormat="1" x14ac:dyDescent="0.25"/>
    <row r="194315" s="12" customFormat="1" x14ac:dyDescent="0.25"/>
    <row r="194316" s="12" customFormat="1" x14ac:dyDescent="0.25"/>
    <row r="194317" s="12" customFormat="1" x14ac:dyDescent="0.25"/>
    <row r="194318" s="12" customFormat="1" x14ac:dyDescent="0.25"/>
    <row r="194319" s="12" customFormat="1" x14ac:dyDescent="0.25"/>
    <row r="194320" s="12" customFormat="1" x14ac:dyDescent="0.25"/>
    <row r="194321" s="12" customFormat="1" x14ac:dyDescent="0.25"/>
    <row r="194322" s="12" customFormat="1" x14ac:dyDescent="0.25"/>
    <row r="194323" s="12" customFormat="1" x14ac:dyDescent="0.25"/>
    <row r="194324" s="12" customFormat="1" x14ac:dyDescent="0.25"/>
    <row r="194325" s="12" customFormat="1" x14ac:dyDescent="0.25"/>
    <row r="194326" s="12" customFormat="1" x14ac:dyDescent="0.25"/>
    <row r="194327" s="12" customFormat="1" x14ac:dyDescent="0.25"/>
    <row r="194328" s="12" customFormat="1" x14ac:dyDescent="0.25"/>
    <row r="194329" s="12" customFormat="1" x14ac:dyDescent="0.25"/>
    <row r="194330" s="12" customFormat="1" x14ac:dyDescent="0.25"/>
    <row r="194331" s="12" customFormat="1" x14ac:dyDescent="0.25"/>
    <row r="194332" s="12" customFormat="1" x14ac:dyDescent="0.25"/>
    <row r="194333" s="12" customFormat="1" x14ac:dyDescent="0.25"/>
    <row r="194334" s="12" customFormat="1" x14ac:dyDescent="0.25"/>
    <row r="194335" s="12" customFormat="1" x14ac:dyDescent="0.25"/>
    <row r="194336" s="12" customFormat="1" x14ac:dyDescent="0.25"/>
    <row r="194337" s="12" customFormat="1" x14ac:dyDescent="0.25"/>
    <row r="194338" s="12" customFormat="1" x14ac:dyDescent="0.25"/>
    <row r="194339" s="12" customFormat="1" x14ac:dyDescent="0.25"/>
    <row r="194340" s="12" customFormat="1" x14ac:dyDescent="0.25"/>
    <row r="194341" s="12" customFormat="1" x14ac:dyDescent="0.25"/>
    <row r="194342" s="12" customFormat="1" x14ac:dyDescent="0.25"/>
    <row r="194343" s="12" customFormat="1" x14ac:dyDescent="0.25"/>
    <row r="194344" s="12" customFormat="1" x14ac:dyDescent="0.25"/>
    <row r="194345" s="12" customFormat="1" x14ac:dyDescent="0.25"/>
    <row r="194346" s="12" customFormat="1" x14ac:dyDescent="0.25"/>
    <row r="194347" s="12" customFormat="1" x14ac:dyDescent="0.25"/>
    <row r="194348" s="12" customFormat="1" x14ac:dyDescent="0.25"/>
    <row r="194349" s="12" customFormat="1" x14ac:dyDescent="0.25"/>
    <row r="194350" s="12" customFormat="1" x14ac:dyDescent="0.25"/>
    <row r="194351" s="12" customFormat="1" x14ac:dyDescent="0.25"/>
    <row r="194352" s="12" customFormat="1" x14ac:dyDescent="0.25"/>
    <row r="194353" s="12" customFormat="1" x14ac:dyDescent="0.25"/>
    <row r="194354" s="12" customFormat="1" x14ac:dyDescent="0.25"/>
    <row r="194355" s="12" customFormat="1" x14ac:dyDescent="0.25"/>
    <row r="194356" s="12" customFormat="1" x14ac:dyDescent="0.25"/>
    <row r="194357" s="12" customFormat="1" x14ac:dyDescent="0.25"/>
    <row r="194358" s="12" customFormat="1" x14ac:dyDescent="0.25"/>
    <row r="194359" s="12" customFormat="1" x14ac:dyDescent="0.25"/>
    <row r="194360" s="12" customFormat="1" x14ac:dyDescent="0.25"/>
    <row r="194361" s="12" customFormat="1" x14ac:dyDescent="0.25"/>
    <row r="194362" s="12" customFormat="1" x14ac:dyDescent="0.25"/>
    <row r="194363" s="12" customFormat="1" x14ac:dyDescent="0.25"/>
    <row r="194364" s="12" customFormat="1" x14ac:dyDescent="0.25"/>
    <row r="194365" s="12" customFormat="1" x14ac:dyDescent="0.25"/>
    <row r="194366" s="12" customFormat="1" x14ac:dyDescent="0.25"/>
    <row r="194367" s="12" customFormat="1" x14ac:dyDescent="0.25"/>
    <row r="194368" s="12" customFormat="1" x14ac:dyDescent="0.25"/>
    <row r="194369" s="12" customFormat="1" x14ac:dyDescent="0.25"/>
    <row r="194370" s="12" customFormat="1" x14ac:dyDescent="0.25"/>
    <row r="194371" s="12" customFormat="1" x14ac:dyDescent="0.25"/>
    <row r="194372" s="12" customFormat="1" x14ac:dyDescent="0.25"/>
    <row r="194373" s="12" customFormat="1" x14ac:dyDescent="0.25"/>
    <row r="194374" s="12" customFormat="1" x14ac:dyDescent="0.25"/>
    <row r="194375" s="12" customFormat="1" x14ac:dyDescent="0.25"/>
    <row r="194376" s="12" customFormat="1" x14ac:dyDescent="0.25"/>
    <row r="194377" s="12" customFormat="1" x14ac:dyDescent="0.25"/>
    <row r="194378" s="12" customFormat="1" x14ac:dyDescent="0.25"/>
    <row r="194379" s="12" customFormat="1" x14ac:dyDescent="0.25"/>
    <row r="194380" s="12" customFormat="1" x14ac:dyDescent="0.25"/>
    <row r="194381" s="12" customFormat="1" x14ac:dyDescent="0.25"/>
    <row r="194382" s="12" customFormat="1" x14ac:dyDescent="0.25"/>
    <row r="194383" s="12" customFormat="1" x14ac:dyDescent="0.25"/>
    <row r="194384" s="12" customFormat="1" x14ac:dyDescent="0.25"/>
    <row r="194385" s="12" customFormat="1" x14ac:dyDescent="0.25"/>
    <row r="194386" s="12" customFormat="1" x14ac:dyDescent="0.25"/>
    <row r="194387" s="12" customFormat="1" x14ac:dyDescent="0.25"/>
    <row r="194388" s="12" customFormat="1" x14ac:dyDescent="0.25"/>
    <row r="194389" s="12" customFormat="1" x14ac:dyDescent="0.25"/>
    <row r="194390" s="12" customFormat="1" x14ac:dyDescent="0.25"/>
    <row r="194391" s="12" customFormat="1" x14ac:dyDescent="0.25"/>
    <row r="194392" s="12" customFormat="1" x14ac:dyDescent="0.25"/>
    <row r="194393" s="12" customFormat="1" x14ac:dyDescent="0.25"/>
    <row r="194394" s="12" customFormat="1" x14ac:dyDescent="0.25"/>
    <row r="194395" s="12" customFormat="1" x14ac:dyDescent="0.25"/>
    <row r="194396" s="12" customFormat="1" x14ac:dyDescent="0.25"/>
    <row r="194397" s="12" customFormat="1" x14ac:dyDescent="0.25"/>
    <row r="194398" s="12" customFormat="1" x14ac:dyDescent="0.25"/>
    <row r="194399" s="12" customFormat="1" x14ac:dyDescent="0.25"/>
    <row r="194400" s="12" customFormat="1" x14ac:dyDescent="0.25"/>
    <row r="194401" s="12" customFormat="1" x14ac:dyDescent="0.25"/>
    <row r="194402" s="12" customFormat="1" x14ac:dyDescent="0.25"/>
    <row r="194403" s="12" customFormat="1" x14ac:dyDescent="0.25"/>
    <row r="194404" s="12" customFormat="1" x14ac:dyDescent="0.25"/>
    <row r="194405" s="12" customFormat="1" x14ac:dyDescent="0.25"/>
    <row r="194406" s="12" customFormat="1" x14ac:dyDescent="0.25"/>
    <row r="194407" s="12" customFormat="1" x14ac:dyDescent="0.25"/>
    <row r="194408" s="12" customFormat="1" x14ac:dyDescent="0.25"/>
    <row r="194409" s="12" customFormat="1" x14ac:dyDescent="0.25"/>
    <row r="194410" s="12" customFormat="1" x14ac:dyDescent="0.25"/>
    <row r="194411" s="12" customFormat="1" x14ac:dyDescent="0.25"/>
    <row r="194412" s="12" customFormat="1" x14ac:dyDescent="0.25"/>
    <row r="194413" s="12" customFormat="1" x14ac:dyDescent="0.25"/>
    <row r="194414" s="12" customFormat="1" x14ac:dyDescent="0.25"/>
    <row r="194415" s="12" customFormat="1" x14ac:dyDescent="0.25"/>
    <row r="194416" s="12" customFormat="1" x14ac:dyDescent="0.25"/>
    <row r="194417" s="12" customFormat="1" x14ac:dyDescent="0.25"/>
    <row r="194418" s="12" customFormat="1" x14ac:dyDescent="0.25"/>
    <row r="194419" s="12" customFormat="1" x14ac:dyDescent="0.25"/>
    <row r="194420" s="12" customFormat="1" x14ac:dyDescent="0.25"/>
    <row r="194421" s="12" customFormat="1" x14ac:dyDescent="0.25"/>
    <row r="194422" s="12" customFormat="1" x14ac:dyDescent="0.25"/>
    <row r="194423" s="12" customFormat="1" x14ac:dyDescent="0.25"/>
    <row r="194424" s="12" customFormat="1" x14ac:dyDescent="0.25"/>
    <row r="194425" s="12" customFormat="1" x14ac:dyDescent="0.25"/>
    <row r="194426" s="12" customFormat="1" x14ac:dyDescent="0.25"/>
    <row r="194427" s="12" customFormat="1" x14ac:dyDescent="0.25"/>
    <row r="194428" s="12" customFormat="1" x14ac:dyDescent="0.25"/>
    <row r="194429" s="12" customFormat="1" x14ac:dyDescent="0.25"/>
    <row r="194430" s="12" customFormat="1" x14ac:dyDescent="0.25"/>
    <row r="194431" s="12" customFormat="1" x14ac:dyDescent="0.25"/>
    <row r="194432" s="12" customFormat="1" x14ac:dyDescent="0.25"/>
    <row r="194433" s="12" customFormat="1" x14ac:dyDescent="0.25"/>
    <row r="194434" s="12" customFormat="1" x14ac:dyDescent="0.25"/>
    <row r="194435" s="12" customFormat="1" x14ac:dyDescent="0.25"/>
    <row r="194436" s="12" customFormat="1" x14ac:dyDescent="0.25"/>
    <row r="194437" s="12" customFormat="1" x14ac:dyDescent="0.25"/>
    <row r="194438" s="12" customFormat="1" x14ac:dyDescent="0.25"/>
    <row r="194439" s="12" customFormat="1" x14ac:dyDescent="0.25"/>
    <row r="194440" s="12" customFormat="1" x14ac:dyDescent="0.25"/>
    <row r="194441" s="12" customFormat="1" x14ac:dyDescent="0.25"/>
    <row r="194442" s="12" customFormat="1" x14ac:dyDescent="0.25"/>
    <row r="194443" s="12" customFormat="1" x14ac:dyDescent="0.25"/>
    <row r="194444" s="12" customFormat="1" x14ac:dyDescent="0.25"/>
    <row r="194445" s="12" customFormat="1" x14ac:dyDescent="0.25"/>
    <row r="194446" s="12" customFormat="1" x14ac:dyDescent="0.25"/>
    <row r="194447" s="12" customFormat="1" x14ac:dyDescent="0.25"/>
    <row r="194448" s="12" customFormat="1" x14ac:dyDescent="0.25"/>
    <row r="194449" s="12" customFormat="1" x14ac:dyDescent="0.25"/>
    <row r="194450" s="12" customFormat="1" x14ac:dyDescent="0.25"/>
    <row r="194451" s="12" customFormat="1" x14ac:dyDescent="0.25"/>
    <row r="194452" s="12" customFormat="1" x14ac:dyDescent="0.25"/>
    <row r="194453" s="12" customFormat="1" x14ac:dyDescent="0.25"/>
    <row r="194454" s="12" customFormat="1" x14ac:dyDescent="0.25"/>
    <row r="194455" s="12" customFormat="1" x14ac:dyDescent="0.25"/>
    <row r="194456" s="12" customFormat="1" x14ac:dyDescent="0.25"/>
    <row r="194457" s="12" customFormat="1" x14ac:dyDescent="0.25"/>
    <row r="194458" s="12" customFormat="1" x14ac:dyDescent="0.25"/>
    <row r="194459" s="12" customFormat="1" x14ac:dyDescent="0.25"/>
    <row r="194460" s="12" customFormat="1" x14ac:dyDescent="0.25"/>
    <row r="194461" s="12" customFormat="1" x14ac:dyDescent="0.25"/>
    <row r="194462" s="12" customFormat="1" x14ac:dyDescent="0.25"/>
    <row r="194463" s="12" customFormat="1" x14ac:dyDescent="0.25"/>
    <row r="194464" s="12" customFormat="1" x14ac:dyDescent="0.25"/>
    <row r="194465" s="12" customFormat="1" x14ac:dyDescent="0.25"/>
    <row r="194466" s="12" customFormat="1" x14ac:dyDescent="0.25"/>
    <row r="194467" s="12" customFormat="1" x14ac:dyDescent="0.25"/>
    <row r="194468" s="12" customFormat="1" x14ac:dyDescent="0.25"/>
    <row r="194469" s="12" customFormat="1" x14ac:dyDescent="0.25"/>
    <row r="194470" s="12" customFormat="1" x14ac:dyDescent="0.25"/>
    <row r="194471" s="12" customFormat="1" x14ac:dyDescent="0.25"/>
    <row r="194472" s="12" customFormat="1" x14ac:dyDescent="0.25"/>
    <row r="194473" s="12" customFormat="1" x14ac:dyDescent="0.25"/>
    <row r="194474" s="12" customFormat="1" x14ac:dyDescent="0.25"/>
    <row r="194475" s="12" customFormat="1" x14ac:dyDescent="0.25"/>
    <row r="194476" s="12" customFormat="1" x14ac:dyDescent="0.25"/>
    <row r="194477" s="12" customFormat="1" x14ac:dyDescent="0.25"/>
    <row r="194478" s="12" customFormat="1" x14ac:dyDescent="0.25"/>
    <row r="194479" s="12" customFormat="1" x14ac:dyDescent="0.25"/>
    <row r="194480" s="12" customFormat="1" x14ac:dyDescent="0.25"/>
    <row r="194481" s="12" customFormat="1" x14ac:dyDescent="0.25"/>
    <row r="194482" s="12" customFormat="1" x14ac:dyDescent="0.25"/>
    <row r="194483" s="12" customFormat="1" x14ac:dyDescent="0.25"/>
    <row r="194484" s="12" customFormat="1" x14ac:dyDescent="0.25"/>
    <row r="194485" s="12" customFormat="1" x14ac:dyDescent="0.25"/>
    <row r="194486" s="12" customFormat="1" x14ac:dyDescent="0.25"/>
    <row r="194487" s="12" customFormat="1" x14ac:dyDescent="0.25"/>
    <row r="194488" s="12" customFormat="1" x14ac:dyDescent="0.25"/>
    <row r="194489" s="12" customFormat="1" x14ac:dyDescent="0.25"/>
    <row r="194490" s="12" customFormat="1" x14ac:dyDescent="0.25"/>
    <row r="194491" s="12" customFormat="1" x14ac:dyDescent="0.25"/>
    <row r="194492" s="12" customFormat="1" x14ac:dyDescent="0.25"/>
    <row r="194493" s="12" customFormat="1" x14ac:dyDescent="0.25"/>
    <row r="194494" s="12" customFormat="1" x14ac:dyDescent="0.25"/>
    <row r="194495" s="12" customFormat="1" x14ac:dyDescent="0.25"/>
    <row r="194496" s="12" customFormat="1" x14ac:dyDescent="0.25"/>
    <row r="194497" s="12" customFormat="1" x14ac:dyDescent="0.25"/>
    <row r="194498" s="12" customFormat="1" x14ac:dyDescent="0.25"/>
    <row r="194499" s="12" customFormat="1" x14ac:dyDescent="0.25"/>
    <row r="194500" s="12" customFormat="1" x14ac:dyDescent="0.25"/>
    <row r="194501" s="12" customFormat="1" x14ac:dyDescent="0.25"/>
    <row r="194502" s="12" customFormat="1" x14ac:dyDescent="0.25"/>
    <row r="194503" s="12" customFormat="1" x14ac:dyDescent="0.25"/>
    <row r="194504" s="12" customFormat="1" x14ac:dyDescent="0.25"/>
    <row r="194505" s="12" customFormat="1" x14ac:dyDescent="0.25"/>
    <row r="194506" s="12" customFormat="1" x14ac:dyDescent="0.25"/>
    <row r="194507" s="12" customFormat="1" x14ac:dyDescent="0.25"/>
    <row r="194508" s="12" customFormat="1" x14ac:dyDescent="0.25"/>
    <row r="194509" s="12" customFormat="1" x14ac:dyDescent="0.25"/>
    <row r="194510" s="12" customFormat="1" x14ac:dyDescent="0.25"/>
    <row r="194511" s="12" customFormat="1" x14ac:dyDescent="0.25"/>
    <row r="194512" s="12" customFormat="1" x14ac:dyDescent="0.25"/>
    <row r="194513" s="12" customFormat="1" x14ac:dyDescent="0.25"/>
    <row r="194514" s="12" customFormat="1" x14ac:dyDescent="0.25"/>
    <row r="194515" s="12" customFormat="1" x14ac:dyDescent="0.25"/>
    <row r="194516" s="12" customFormat="1" x14ac:dyDescent="0.25"/>
    <row r="194517" s="12" customFormat="1" x14ac:dyDescent="0.25"/>
    <row r="194518" s="12" customFormat="1" x14ac:dyDescent="0.25"/>
    <row r="194519" s="12" customFormat="1" x14ac:dyDescent="0.25"/>
    <row r="194520" s="12" customFormat="1" x14ac:dyDescent="0.25"/>
    <row r="194521" s="12" customFormat="1" x14ac:dyDescent="0.25"/>
    <row r="194522" s="12" customFormat="1" x14ac:dyDescent="0.25"/>
    <row r="194523" s="12" customFormat="1" x14ac:dyDescent="0.25"/>
    <row r="194524" s="12" customFormat="1" x14ac:dyDescent="0.25"/>
    <row r="194525" s="12" customFormat="1" x14ac:dyDescent="0.25"/>
    <row r="194526" s="12" customFormat="1" x14ac:dyDescent="0.25"/>
    <row r="194527" s="12" customFormat="1" x14ac:dyDescent="0.25"/>
    <row r="194528" s="12" customFormat="1" x14ac:dyDescent="0.25"/>
    <row r="194529" s="12" customFormat="1" x14ac:dyDescent="0.25"/>
    <row r="194530" s="12" customFormat="1" x14ac:dyDescent="0.25"/>
    <row r="194531" s="12" customFormat="1" x14ac:dyDescent="0.25"/>
    <row r="194532" s="12" customFormat="1" x14ac:dyDescent="0.25"/>
    <row r="194533" s="12" customFormat="1" x14ac:dyDescent="0.25"/>
    <row r="194534" s="12" customFormat="1" x14ac:dyDescent="0.25"/>
    <row r="194535" s="12" customFormat="1" x14ac:dyDescent="0.25"/>
    <row r="194536" s="12" customFormat="1" x14ac:dyDescent="0.25"/>
    <row r="194537" s="12" customFormat="1" x14ac:dyDescent="0.25"/>
    <row r="194538" s="12" customFormat="1" x14ac:dyDescent="0.25"/>
    <row r="194539" s="12" customFormat="1" x14ac:dyDescent="0.25"/>
    <row r="194540" s="12" customFormat="1" x14ac:dyDescent="0.25"/>
    <row r="194541" s="12" customFormat="1" x14ac:dyDescent="0.25"/>
    <row r="194542" s="12" customFormat="1" x14ac:dyDescent="0.25"/>
    <row r="194543" s="12" customFormat="1" x14ac:dyDescent="0.25"/>
    <row r="194544" s="12" customFormat="1" x14ac:dyDescent="0.25"/>
    <row r="194545" s="12" customFormat="1" x14ac:dyDescent="0.25"/>
    <row r="194546" s="12" customFormat="1" x14ac:dyDescent="0.25"/>
    <row r="194547" s="12" customFormat="1" x14ac:dyDescent="0.25"/>
    <row r="194548" s="12" customFormat="1" x14ac:dyDescent="0.25"/>
    <row r="194549" s="12" customFormat="1" x14ac:dyDescent="0.25"/>
    <row r="194550" s="12" customFormat="1" x14ac:dyDescent="0.25"/>
    <row r="194551" s="12" customFormat="1" x14ac:dyDescent="0.25"/>
    <row r="194552" s="12" customFormat="1" x14ac:dyDescent="0.25"/>
    <row r="194553" s="12" customFormat="1" x14ac:dyDescent="0.25"/>
    <row r="194554" s="12" customFormat="1" x14ac:dyDescent="0.25"/>
    <row r="194555" s="12" customFormat="1" x14ac:dyDescent="0.25"/>
    <row r="194556" s="12" customFormat="1" x14ac:dyDescent="0.25"/>
    <row r="194557" s="12" customFormat="1" x14ac:dyDescent="0.25"/>
    <row r="194558" s="12" customFormat="1" x14ac:dyDescent="0.25"/>
    <row r="194559" s="12" customFormat="1" x14ac:dyDescent="0.25"/>
    <row r="194560" s="12" customFormat="1" x14ac:dyDescent="0.25"/>
    <row r="194561" s="12" customFormat="1" x14ac:dyDescent="0.25"/>
    <row r="194562" s="12" customFormat="1" x14ac:dyDescent="0.25"/>
    <row r="194563" s="12" customFormat="1" x14ac:dyDescent="0.25"/>
    <row r="194564" s="12" customFormat="1" x14ac:dyDescent="0.25"/>
    <row r="194565" s="12" customFormat="1" x14ac:dyDescent="0.25"/>
    <row r="194566" s="12" customFormat="1" x14ac:dyDescent="0.25"/>
    <row r="194567" s="12" customFormat="1" x14ac:dyDescent="0.25"/>
    <row r="194568" s="12" customFormat="1" x14ac:dyDescent="0.25"/>
    <row r="194569" s="12" customFormat="1" x14ac:dyDescent="0.25"/>
    <row r="194570" s="12" customFormat="1" x14ac:dyDescent="0.25"/>
    <row r="194571" s="12" customFormat="1" x14ac:dyDescent="0.25"/>
    <row r="194572" s="12" customFormat="1" x14ac:dyDescent="0.25"/>
    <row r="194573" s="12" customFormat="1" x14ac:dyDescent="0.25"/>
    <row r="194574" s="12" customFormat="1" x14ac:dyDescent="0.25"/>
    <row r="194575" s="12" customFormat="1" x14ac:dyDescent="0.25"/>
    <row r="194576" s="12" customFormat="1" x14ac:dyDescent="0.25"/>
    <row r="194577" s="12" customFormat="1" x14ac:dyDescent="0.25"/>
    <row r="194578" s="12" customFormat="1" x14ac:dyDescent="0.25"/>
    <row r="194579" s="12" customFormat="1" x14ac:dyDescent="0.25"/>
    <row r="194580" s="12" customFormat="1" x14ac:dyDescent="0.25"/>
    <row r="194581" s="12" customFormat="1" x14ac:dyDescent="0.25"/>
    <row r="194582" s="12" customFormat="1" x14ac:dyDescent="0.25"/>
    <row r="194583" s="12" customFormat="1" x14ac:dyDescent="0.25"/>
    <row r="194584" s="12" customFormat="1" x14ac:dyDescent="0.25"/>
    <row r="194585" s="12" customFormat="1" x14ac:dyDescent="0.25"/>
    <row r="194586" s="12" customFormat="1" x14ac:dyDescent="0.25"/>
    <row r="194587" s="12" customFormat="1" x14ac:dyDescent="0.25"/>
    <row r="194588" s="12" customFormat="1" x14ac:dyDescent="0.25"/>
    <row r="194589" s="12" customFormat="1" x14ac:dyDescent="0.25"/>
    <row r="194590" s="12" customFormat="1" x14ac:dyDescent="0.25"/>
    <row r="194591" s="12" customFormat="1" x14ac:dyDescent="0.25"/>
    <row r="194592" s="12" customFormat="1" x14ac:dyDescent="0.25"/>
    <row r="194593" s="12" customFormat="1" x14ac:dyDescent="0.25"/>
    <row r="194594" s="12" customFormat="1" x14ac:dyDescent="0.25"/>
    <row r="194595" s="12" customFormat="1" x14ac:dyDescent="0.25"/>
    <row r="194596" s="12" customFormat="1" x14ac:dyDescent="0.25"/>
    <row r="194597" s="12" customFormat="1" x14ac:dyDescent="0.25"/>
    <row r="194598" s="12" customFormat="1" x14ac:dyDescent="0.25"/>
    <row r="194599" s="12" customFormat="1" x14ac:dyDescent="0.25"/>
    <row r="194600" s="12" customFormat="1" x14ac:dyDescent="0.25"/>
    <row r="194601" s="12" customFormat="1" x14ac:dyDescent="0.25"/>
    <row r="194602" s="12" customFormat="1" x14ac:dyDescent="0.25"/>
    <row r="194603" s="12" customFormat="1" x14ac:dyDescent="0.25"/>
    <row r="194604" s="12" customFormat="1" x14ac:dyDescent="0.25"/>
    <row r="194605" s="12" customFormat="1" x14ac:dyDescent="0.25"/>
    <row r="194606" s="12" customFormat="1" x14ac:dyDescent="0.25"/>
    <row r="194607" s="12" customFormat="1" x14ac:dyDescent="0.25"/>
    <row r="194608" s="12" customFormat="1" x14ac:dyDescent="0.25"/>
    <row r="194609" s="12" customFormat="1" x14ac:dyDescent="0.25"/>
    <row r="194610" s="12" customFormat="1" x14ac:dyDescent="0.25"/>
    <row r="194611" s="12" customFormat="1" x14ac:dyDescent="0.25"/>
    <row r="194612" s="12" customFormat="1" x14ac:dyDescent="0.25"/>
    <row r="194613" s="12" customFormat="1" x14ac:dyDescent="0.25"/>
    <row r="194614" s="12" customFormat="1" x14ac:dyDescent="0.25"/>
    <row r="194615" s="12" customFormat="1" x14ac:dyDescent="0.25"/>
    <row r="194616" s="12" customFormat="1" x14ac:dyDescent="0.25"/>
    <row r="194617" s="12" customFormat="1" x14ac:dyDescent="0.25"/>
    <row r="194618" s="12" customFormat="1" x14ac:dyDescent="0.25"/>
    <row r="194619" s="12" customFormat="1" x14ac:dyDescent="0.25"/>
    <row r="194620" s="12" customFormat="1" x14ac:dyDescent="0.25"/>
    <row r="194621" s="12" customFormat="1" x14ac:dyDescent="0.25"/>
    <row r="194622" s="12" customFormat="1" x14ac:dyDescent="0.25"/>
    <row r="194623" s="12" customFormat="1" x14ac:dyDescent="0.25"/>
    <row r="194624" s="12" customFormat="1" x14ac:dyDescent="0.25"/>
    <row r="194625" s="12" customFormat="1" x14ac:dyDescent="0.25"/>
    <row r="194626" s="12" customFormat="1" x14ac:dyDescent="0.25"/>
    <row r="194627" s="12" customFormat="1" x14ac:dyDescent="0.25"/>
    <row r="194628" s="12" customFormat="1" x14ac:dyDescent="0.25"/>
    <row r="194629" s="12" customFormat="1" x14ac:dyDescent="0.25"/>
    <row r="194630" s="12" customFormat="1" x14ac:dyDescent="0.25"/>
    <row r="194631" s="12" customFormat="1" x14ac:dyDescent="0.25"/>
    <row r="194632" s="12" customFormat="1" x14ac:dyDescent="0.25"/>
    <row r="194633" s="12" customFormat="1" x14ac:dyDescent="0.25"/>
    <row r="194634" s="12" customFormat="1" x14ac:dyDescent="0.25"/>
    <row r="194635" s="12" customFormat="1" x14ac:dyDescent="0.25"/>
    <row r="194636" s="12" customFormat="1" x14ac:dyDescent="0.25"/>
    <row r="194637" s="12" customFormat="1" x14ac:dyDescent="0.25"/>
    <row r="194638" s="12" customFormat="1" x14ac:dyDescent="0.25"/>
    <row r="194639" s="12" customFormat="1" x14ac:dyDescent="0.25"/>
    <row r="194640" s="12" customFormat="1" x14ac:dyDescent="0.25"/>
    <row r="194641" s="12" customFormat="1" x14ac:dyDescent="0.25"/>
    <row r="194642" s="12" customFormat="1" x14ac:dyDescent="0.25"/>
    <row r="194643" s="12" customFormat="1" x14ac:dyDescent="0.25"/>
    <row r="194644" s="12" customFormat="1" x14ac:dyDescent="0.25"/>
    <row r="194645" s="12" customFormat="1" x14ac:dyDescent="0.25"/>
    <row r="194646" s="12" customFormat="1" x14ac:dyDescent="0.25"/>
    <row r="194647" s="12" customFormat="1" x14ac:dyDescent="0.25"/>
    <row r="194648" s="12" customFormat="1" x14ac:dyDescent="0.25"/>
    <row r="194649" s="12" customFormat="1" x14ac:dyDescent="0.25"/>
    <row r="194650" s="12" customFormat="1" x14ac:dyDescent="0.25"/>
    <row r="194651" s="12" customFormat="1" x14ac:dyDescent="0.25"/>
    <row r="194652" s="12" customFormat="1" x14ac:dyDescent="0.25"/>
    <row r="194653" s="12" customFormat="1" x14ac:dyDescent="0.25"/>
    <row r="194654" s="12" customFormat="1" x14ac:dyDescent="0.25"/>
    <row r="194655" s="12" customFormat="1" x14ac:dyDescent="0.25"/>
    <row r="194656" s="12" customFormat="1" x14ac:dyDescent="0.25"/>
    <row r="194657" s="12" customFormat="1" x14ac:dyDescent="0.25"/>
    <row r="194658" s="12" customFormat="1" x14ac:dyDescent="0.25"/>
    <row r="194659" s="12" customFormat="1" x14ac:dyDescent="0.25"/>
    <row r="194660" s="12" customFormat="1" x14ac:dyDescent="0.25"/>
    <row r="194661" s="12" customFormat="1" x14ac:dyDescent="0.25"/>
    <row r="194662" s="12" customFormat="1" x14ac:dyDescent="0.25"/>
    <row r="194663" s="12" customFormat="1" x14ac:dyDescent="0.25"/>
    <row r="194664" s="12" customFormat="1" x14ac:dyDescent="0.25"/>
    <row r="194665" s="12" customFormat="1" x14ac:dyDescent="0.25"/>
    <row r="194666" s="12" customFormat="1" x14ac:dyDescent="0.25"/>
    <row r="194667" s="12" customFormat="1" x14ac:dyDescent="0.25"/>
    <row r="194668" s="12" customFormat="1" x14ac:dyDescent="0.25"/>
    <row r="194669" s="12" customFormat="1" x14ac:dyDescent="0.25"/>
    <row r="194670" s="12" customFormat="1" x14ac:dyDescent="0.25"/>
    <row r="194671" s="12" customFormat="1" x14ac:dyDescent="0.25"/>
    <row r="194672" s="12" customFormat="1" x14ac:dyDescent="0.25"/>
    <row r="194673" s="12" customFormat="1" x14ac:dyDescent="0.25"/>
    <row r="194674" s="12" customFormat="1" x14ac:dyDescent="0.25"/>
    <row r="194675" s="12" customFormat="1" x14ac:dyDescent="0.25"/>
    <row r="194676" s="12" customFormat="1" x14ac:dyDescent="0.25"/>
    <row r="194677" s="12" customFormat="1" x14ac:dyDescent="0.25"/>
    <row r="194678" s="12" customFormat="1" x14ac:dyDescent="0.25"/>
    <row r="194679" s="12" customFormat="1" x14ac:dyDescent="0.25"/>
    <row r="194680" s="12" customFormat="1" x14ac:dyDescent="0.25"/>
    <row r="194681" s="12" customFormat="1" x14ac:dyDescent="0.25"/>
    <row r="194682" s="12" customFormat="1" x14ac:dyDescent="0.25"/>
    <row r="194683" s="12" customFormat="1" x14ac:dyDescent="0.25"/>
    <row r="194684" s="12" customFormat="1" x14ac:dyDescent="0.25"/>
    <row r="194685" s="12" customFormat="1" x14ac:dyDescent="0.25"/>
    <row r="194686" s="12" customFormat="1" x14ac:dyDescent="0.25"/>
    <row r="194687" s="12" customFormat="1" x14ac:dyDescent="0.25"/>
    <row r="194688" s="12" customFormat="1" x14ac:dyDescent="0.25"/>
    <row r="194689" s="12" customFormat="1" x14ac:dyDescent="0.25"/>
    <row r="194690" s="12" customFormat="1" x14ac:dyDescent="0.25"/>
    <row r="194691" s="12" customFormat="1" x14ac:dyDescent="0.25"/>
    <row r="194692" s="12" customFormat="1" x14ac:dyDescent="0.25"/>
    <row r="194693" s="12" customFormat="1" x14ac:dyDescent="0.25"/>
    <row r="194694" s="12" customFormat="1" x14ac:dyDescent="0.25"/>
    <row r="194695" s="12" customFormat="1" x14ac:dyDescent="0.25"/>
    <row r="194696" s="12" customFormat="1" x14ac:dyDescent="0.25"/>
    <row r="194697" s="12" customFormat="1" x14ac:dyDescent="0.25"/>
    <row r="194698" s="12" customFormat="1" x14ac:dyDescent="0.25"/>
    <row r="194699" s="12" customFormat="1" x14ac:dyDescent="0.25"/>
    <row r="194700" s="12" customFormat="1" x14ac:dyDescent="0.25"/>
    <row r="194701" s="12" customFormat="1" x14ac:dyDescent="0.25"/>
    <row r="194702" s="12" customFormat="1" x14ac:dyDescent="0.25"/>
    <row r="194703" s="12" customFormat="1" x14ac:dyDescent="0.25"/>
    <row r="194704" s="12" customFormat="1" x14ac:dyDescent="0.25"/>
    <row r="194705" s="12" customFormat="1" x14ac:dyDescent="0.25"/>
    <row r="194706" s="12" customFormat="1" x14ac:dyDescent="0.25"/>
    <row r="194707" s="12" customFormat="1" x14ac:dyDescent="0.25"/>
    <row r="194708" s="12" customFormat="1" x14ac:dyDescent="0.25"/>
    <row r="194709" s="12" customFormat="1" x14ac:dyDescent="0.25"/>
    <row r="194710" s="12" customFormat="1" x14ac:dyDescent="0.25"/>
    <row r="194711" s="12" customFormat="1" x14ac:dyDescent="0.25"/>
    <row r="194712" s="12" customFormat="1" x14ac:dyDescent="0.25"/>
    <row r="194713" s="12" customFormat="1" x14ac:dyDescent="0.25"/>
    <row r="194714" s="12" customFormat="1" x14ac:dyDescent="0.25"/>
    <row r="194715" s="12" customFormat="1" x14ac:dyDescent="0.25"/>
    <row r="194716" s="12" customFormat="1" x14ac:dyDescent="0.25"/>
    <row r="194717" s="12" customFormat="1" x14ac:dyDescent="0.25"/>
    <row r="194718" s="12" customFormat="1" x14ac:dyDescent="0.25"/>
    <row r="194719" s="12" customFormat="1" x14ac:dyDescent="0.25"/>
    <row r="194720" s="12" customFormat="1" x14ac:dyDescent="0.25"/>
    <row r="194721" s="12" customFormat="1" x14ac:dyDescent="0.25"/>
    <row r="194722" s="12" customFormat="1" x14ac:dyDescent="0.25"/>
    <row r="194723" s="12" customFormat="1" x14ac:dyDescent="0.25"/>
    <row r="194724" s="12" customFormat="1" x14ac:dyDescent="0.25"/>
    <row r="194725" s="12" customFormat="1" x14ac:dyDescent="0.25"/>
    <row r="194726" s="12" customFormat="1" x14ac:dyDescent="0.25"/>
    <row r="194727" s="12" customFormat="1" x14ac:dyDescent="0.25"/>
    <row r="194728" s="12" customFormat="1" x14ac:dyDescent="0.25"/>
    <row r="194729" s="12" customFormat="1" x14ac:dyDescent="0.25"/>
    <row r="194730" s="12" customFormat="1" x14ac:dyDescent="0.25"/>
    <row r="194731" s="12" customFormat="1" x14ac:dyDescent="0.25"/>
    <row r="194732" s="12" customFormat="1" x14ac:dyDescent="0.25"/>
    <row r="194733" s="12" customFormat="1" x14ac:dyDescent="0.25"/>
    <row r="194734" s="12" customFormat="1" x14ac:dyDescent="0.25"/>
    <row r="194735" s="12" customFormat="1" x14ac:dyDescent="0.25"/>
    <row r="194736" s="12" customFormat="1" x14ac:dyDescent="0.25"/>
    <row r="194737" s="12" customFormat="1" x14ac:dyDescent="0.25"/>
    <row r="194738" s="12" customFormat="1" x14ac:dyDescent="0.25"/>
    <row r="194739" s="12" customFormat="1" x14ac:dyDescent="0.25"/>
    <row r="194740" s="12" customFormat="1" x14ac:dyDescent="0.25"/>
    <row r="194741" s="12" customFormat="1" x14ac:dyDescent="0.25"/>
    <row r="194742" s="12" customFormat="1" x14ac:dyDescent="0.25"/>
    <row r="194743" s="12" customFormat="1" x14ac:dyDescent="0.25"/>
    <row r="194744" s="12" customFormat="1" x14ac:dyDescent="0.25"/>
    <row r="194745" s="12" customFormat="1" x14ac:dyDescent="0.25"/>
    <row r="194746" s="12" customFormat="1" x14ac:dyDescent="0.25"/>
    <row r="194747" s="12" customFormat="1" x14ac:dyDescent="0.25"/>
    <row r="194748" s="12" customFormat="1" x14ac:dyDescent="0.25"/>
    <row r="194749" s="12" customFormat="1" x14ac:dyDescent="0.25"/>
    <row r="194750" s="12" customFormat="1" x14ac:dyDescent="0.25"/>
    <row r="194751" s="12" customFormat="1" x14ac:dyDescent="0.25"/>
    <row r="194752" s="12" customFormat="1" x14ac:dyDescent="0.25"/>
    <row r="194753" s="12" customFormat="1" x14ac:dyDescent="0.25"/>
    <row r="194754" s="12" customFormat="1" x14ac:dyDescent="0.25"/>
    <row r="194755" s="12" customFormat="1" x14ac:dyDescent="0.25"/>
    <row r="194756" s="12" customFormat="1" x14ac:dyDescent="0.25"/>
    <row r="194757" s="12" customFormat="1" x14ac:dyDescent="0.25"/>
    <row r="194758" s="12" customFormat="1" x14ac:dyDescent="0.25"/>
    <row r="194759" s="12" customFormat="1" x14ac:dyDescent="0.25"/>
    <row r="194760" s="12" customFormat="1" x14ac:dyDescent="0.25"/>
    <row r="194761" s="12" customFormat="1" x14ac:dyDescent="0.25"/>
    <row r="194762" s="12" customFormat="1" x14ac:dyDescent="0.25"/>
    <row r="194763" s="12" customFormat="1" x14ac:dyDescent="0.25"/>
    <row r="194764" s="12" customFormat="1" x14ac:dyDescent="0.25"/>
    <row r="194765" s="12" customFormat="1" x14ac:dyDescent="0.25"/>
    <row r="194766" s="12" customFormat="1" x14ac:dyDescent="0.25"/>
    <row r="194767" s="12" customFormat="1" x14ac:dyDescent="0.25"/>
    <row r="194768" s="12" customFormat="1" x14ac:dyDescent="0.25"/>
    <row r="194769" s="12" customFormat="1" x14ac:dyDescent="0.25"/>
    <row r="194770" s="12" customFormat="1" x14ac:dyDescent="0.25"/>
    <row r="194771" s="12" customFormat="1" x14ac:dyDescent="0.25"/>
    <row r="194772" s="12" customFormat="1" x14ac:dyDescent="0.25"/>
    <row r="194773" s="12" customFormat="1" x14ac:dyDescent="0.25"/>
    <row r="194774" s="12" customFormat="1" x14ac:dyDescent="0.25"/>
    <row r="194775" s="12" customFormat="1" x14ac:dyDescent="0.25"/>
    <row r="194776" s="12" customFormat="1" x14ac:dyDescent="0.25"/>
    <row r="194777" s="12" customFormat="1" x14ac:dyDescent="0.25"/>
    <row r="194778" s="12" customFormat="1" x14ac:dyDescent="0.25"/>
    <row r="194779" s="12" customFormat="1" x14ac:dyDescent="0.25"/>
    <row r="194780" s="12" customFormat="1" x14ac:dyDescent="0.25"/>
    <row r="194781" s="12" customFormat="1" x14ac:dyDescent="0.25"/>
    <row r="194782" s="12" customFormat="1" x14ac:dyDescent="0.25"/>
    <row r="194783" s="12" customFormat="1" x14ac:dyDescent="0.25"/>
    <row r="194784" s="12" customFormat="1" x14ac:dyDescent="0.25"/>
    <row r="194785" s="12" customFormat="1" x14ac:dyDescent="0.25"/>
    <row r="194786" s="12" customFormat="1" x14ac:dyDescent="0.25"/>
    <row r="194787" s="12" customFormat="1" x14ac:dyDescent="0.25"/>
    <row r="194788" s="12" customFormat="1" x14ac:dyDescent="0.25"/>
    <row r="194789" s="12" customFormat="1" x14ac:dyDescent="0.25"/>
    <row r="194790" s="12" customFormat="1" x14ac:dyDescent="0.25"/>
    <row r="194791" s="12" customFormat="1" x14ac:dyDescent="0.25"/>
    <row r="194792" s="12" customFormat="1" x14ac:dyDescent="0.25"/>
    <row r="194793" s="12" customFormat="1" x14ac:dyDescent="0.25"/>
    <row r="194794" s="12" customFormat="1" x14ac:dyDescent="0.25"/>
    <row r="194795" s="12" customFormat="1" x14ac:dyDescent="0.25"/>
    <row r="194796" s="12" customFormat="1" x14ac:dyDescent="0.25"/>
    <row r="194797" s="12" customFormat="1" x14ac:dyDescent="0.25"/>
    <row r="194798" s="12" customFormat="1" x14ac:dyDescent="0.25"/>
    <row r="194799" s="12" customFormat="1" x14ac:dyDescent="0.25"/>
    <row r="194800" s="12" customFormat="1" x14ac:dyDescent="0.25"/>
    <row r="194801" s="12" customFormat="1" x14ac:dyDescent="0.25"/>
    <row r="194802" s="12" customFormat="1" x14ac:dyDescent="0.25"/>
    <row r="194803" s="12" customFormat="1" x14ac:dyDescent="0.25"/>
    <row r="194804" s="12" customFormat="1" x14ac:dyDescent="0.25"/>
    <row r="194805" s="12" customFormat="1" x14ac:dyDescent="0.25"/>
    <row r="194806" s="12" customFormat="1" x14ac:dyDescent="0.25"/>
    <row r="194807" s="12" customFormat="1" x14ac:dyDescent="0.25"/>
    <row r="194808" s="12" customFormat="1" x14ac:dyDescent="0.25"/>
    <row r="194809" s="12" customFormat="1" x14ac:dyDescent="0.25"/>
    <row r="194810" s="12" customFormat="1" x14ac:dyDescent="0.25"/>
    <row r="194811" s="12" customFormat="1" x14ac:dyDescent="0.25"/>
    <row r="194812" s="12" customFormat="1" x14ac:dyDescent="0.25"/>
    <row r="194813" s="12" customFormat="1" x14ac:dyDescent="0.25"/>
    <row r="194814" s="12" customFormat="1" x14ac:dyDescent="0.25"/>
    <row r="194815" s="12" customFormat="1" x14ac:dyDescent="0.25"/>
    <row r="194816" s="12" customFormat="1" x14ac:dyDescent="0.25"/>
    <row r="194817" s="12" customFormat="1" x14ac:dyDescent="0.25"/>
    <row r="194818" s="12" customFormat="1" x14ac:dyDescent="0.25"/>
    <row r="194819" s="12" customFormat="1" x14ac:dyDescent="0.25"/>
    <row r="194820" s="12" customFormat="1" x14ac:dyDescent="0.25"/>
    <row r="194821" s="12" customFormat="1" x14ac:dyDescent="0.25"/>
    <row r="194822" s="12" customFormat="1" x14ac:dyDescent="0.25"/>
    <row r="194823" s="12" customFormat="1" x14ac:dyDescent="0.25"/>
    <row r="194824" s="12" customFormat="1" x14ac:dyDescent="0.25"/>
    <row r="194825" s="12" customFormat="1" x14ac:dyDescent="0.25"/>
    <row r="194826" s="12" customFormat="1" x14ac:dyDescent="0.25"/>
    <row r="194827" s="12" customFormat="1" x14ac:dyDescent="0.25"/>
    <row r="194828" s="12" customFormat="1" x14ac:dyDescent="0.25"/>
    <row r="194829" s="12" customFormat="1" x14ac:dyDescent="0.25"/>
    <row r="194830" s="12" customFormat="1" x14ac:dyDescent="0.25"/>
    <row r="194831" s="12" customFormat="1" x14ac:dyDescent="0.25"/>
    <row r="194832" s="12" customFormat="1" x14ac:dyDescent="0.25"/>
    <row r="194833" s="12" customFormat="1" x14ac:dyDescent="0.25"/>
    <row r="194834" s="12" customFormat="1" x14ac:dyDescent="0.25"/>
    <row r="194835" s="12" customFormat="1" x14ac:dyDescent="0.25"/>
    <row r="194836" s="12" customFormat="1" x14ac:dyDescent="0.25"/>
    <row r="194837" s="12" customFormat="1" x14ac:dyDescent="0.25"/>
    <row r="194838" s="12" customFormat="1" x14ac:dyDescent="0.25"/>
    <row r="194839" s="12" customFormat="1" x14ac:dyDescent="0.25"/>
    <row r="194840" s="12" customFormat="1" x14ac:dyDescent="0.25"/>
    <row r="194841" s="12" customFormat="1" x14ac:dyDescent="0.25"/>
    <row r="194842" s="12" customFormat="1" x14ac:dyDescent="0.25"/>
    <row r="194843" s="12" customFormat="1" x14ac:dyDescent="0.25"/>
    <row r="194844" s="12" customFormat="1" x14ac:dyDescent="0.25"/>
    <row r="194845" s="12" customFormat="1" x14ac:dyDescent="0.25"/>
    <row r="194846" s="12" customFormat="1" x14ac:dyDescent="0.25"/>
    <row r="194847" s="12" customFormat="1" x14ac:dyDescent="0.25"/>
    <row r="194848" s="12" customFormat="1" x14ac:dyDescent="0.25"/>
    <row r="194849" s="12" customFormat="1" x14ac:dyDescent="0.25"/>
    <row r="194850" s="12" customFormat="1" x14ac:dyDescent="0.25"/>
    <row r="194851" s="12" customFormat="1" x14ac:dyDescent="0.25"/>
    <row r="194852" s="12" customFormat="1" x14ac:dyDescent="0.25"/>
    <row r="194853" s="12" customFormat="1" x14ac:dyDescent="0.25"/>
    <row r="194854" s="12" customFormat="1" x14ac:dyDescent="0.25"/>
    <row r="194855" s="12" customFormat="1" x14ac:dyDescent="0.25"/>
    <row r="194856" s="12" customFormat="1" x14ac:dyDescent="0.25"/>
    <row r="194857" s="12" customFormat="1" x14ac:dyDescent="0.25"/>
    <row r="194858" s="12" customFormat="1" x14ac:dyDescent="0.25"/>
    <row r="194859" s="12" customFormat="1" x14ac:dyDescent="0.25"/>
    <row r="194860" s="12" customFormat="1" x14ac:dyDescent="0.25"/>
    <row r="194861" s="12" customFormat="1" x14ac:dyDescent="0.25"/>
    <row r="194862" s="12" customFormat="1" x14ac:dyDescent="0.25"/>
    <row r="194863" s="12" customFormat="1" x14ac:dyDescent="0.25"/>
    <row r="194864" s="12" customFormat="1" x14ac:dyDescent="0.25"/>
    <row r="194865" s="12" customFormat="1" x14ac:dyDescent="0.25"/>
    <row r="194866" s="12" customFormat="1" x14ac:dyDescent="0.25"/>
    <row r="194867" s="12" customFormat="1" x14ac:dyDescent="0.25"/>
    <row r="194868" s="12" customFormat="1" x14ac:dyDescent="0.25"/>
    <row r="194869" s="12" customFormat="1" x14ac:dyDescent="0.25"/>
    <row r="194870" s="12" customFormat="1" x14ac:dyDescent="0.25"/>
    <row r="194871" s="12" customFormat="1" x14ac:dyDescent="0.25"/>
    <row r="194872" s="12" customFormat="1" x14ac:dyDescent="0.25"/>
    <row r="194873" s="12" customFormat="1" x14ac:dyDescent="0.25"/>
    <row r="194874" s="12" customFormat="1" x14ac:dyDescent="0.25"/>
    <row r="194875" s="12" customFormat="1" x14ac:dyDescent="0.25"/>
    <row r="194876" s="12" customFormat="1" x14ac:dyDescent="0.25"/>
    <row r="194877" s="12" customFormat="1" x14ac:dyDescent="0.25"/>
    <row r="194878" s="12" customFormat="1" x14ac:dyDescent="0.25"/>
    <row r="194879" s="12" customFormat="1" x14ac:dyDescent="0.25"/>
    <row r="194880" s="12" customFormat="1" x14ac:dyDescent="0.25"/>
    <row r="194881" s="12" customFormat="1" x14ac:dyDescent="0.25"/>
    <row r="194882" s="12" customFormat="1" x14ac:dyDescent="0.25"/>
    <row r="194883" s="12" customFormat="1" x14ac:dyDescent="0.25"/>
    <row r="194884" s="12" customFormat="1" x14ac:dyDescent="0.25"/>
    <row r="194885" s="12" customFormat="1" x14ac:dyDescent="0.25"/>
    <row r="194886" s="12" customFormat="1" x14ac:dyDescent="0.25"/>
    <row r="194887" s="12" customFormat="1" x14ac:dyDescent="0.25"/>
    <row r="194888" s="12" customFormat="1" x14ac:dyDescent="0.25"/>
    <row r="194889" s="12" customFormat="1" x14ac:dyDescent="0.25"/>
    <row r="194890" s="12" customFormat="1" x14ac:dyDescent="0.25"/>
    <row r="194891" s="12" customFormat="1" x14ac:dyDescent="0.25"/>
    <row r="194892" s="12" customFormat="1" x14ac:dyDescent="0.25"/>
    <row r="194893" s="12" customFormat="1" x14ac:dyDescent="0.25"/>
    <row r="194894" s="12" customFormat="1" x14ac:dyDescent="0.25"/>
    <row r="194895" s="12" customFormat="1" x14ac:dyDescent="0.25"/>
    <row r="194896" s="12" customFormat="1" x14ac:dyDescent="0.25"/>
    <row r="194897" s="12" customFormat="1" x14ac:dyDescent="0.25"/>
    <row r="194898" s="12" customFormat="1" x14ac:dyDescent="0.25"/>
    <row r="194899" s="12" customFormat="1" x14ac:dyDescent="0.25"/>
    <row r="194900" s="12" customFormat="1" x14ac:dyDescent="0.25"/>
    <row r="194901" s="12" customFormat="1" x14ac:dyDescent="0.25"/>
    <row r="194902" s="12" customFormat="1" x14ac:dyDescent="0.25"/>
    <row r="194903" s="12" customFormat="1" x14ac:dyDescent="0.25"/>
    <row r="194904" s="12" customFormat="1" x14ac:dyDescent="0.25"/>
    <row r="194905" s="12" customFormat="1" x14ac:dyDescent="0.25"/>
    <row r="194906" s="12" customFormat="1" x14ac:dyDescent="0.25"/>
    <row r="194907" s="12" customFormat="1" x14ac:dyDescent="0.25"/>
    <row r="194908" s="12" customFormat="1" x14ac:dyDescent="0.25"/>
    <row r="194909" s="12" customFormat="1" x14ac:dyDescent="0.25"/>
    <row r="194910" s="12" customFormat="1" x14ac:dyDescent="0.25"/>
    <row r="194911" s="12" customFormat="1" x14ac:dyDescent="0.25"/>
    <row r="194912" s="12" customFormat="1" x14ac:dyDescent="0.25"/>
    <row r="194913" s="12" customFormat="1" x14ac:dyDescent="0.25"/>
    <row r="194914" s="12" customFormat="1" x14ac:dyDescent="0.25"/>
    <row r="194915" s="12" customFormat="1" x14ac:dyDescent="0.25"/>
    <row r="194916" s="12" customFormat="1" x14ac:dyDescent="0.25"/>
    <row r="194917" s="12" customFormat="1" x14ac:dyDescent="0.25"/>
    <row r="194918" s="12" customFormat="1" x14ac:dyDescent="0.25"/>
    <row r="194919" s="12" customFormat="1" x14ac:dyDescent="0.25"/>
    <row r="194920" s="12" customFormat="1" x14ac:dyDescent="0.25"/>
    <row r="194921" s="12" customFormat="1" x14ac:dyDescent="0.25"/>
    <row r="194922" s="12" customFormat="1" x14ac:dyDescent="0.25"/>
    <row r="194923" s="12" customFormat="1" x14ac:dyDescent="0.25"/>
    <row r="194924" s="12" customFormat="1" x14ac:dyDescent="0.25"/>
    <row r="194925" s="12" customFormat="1" x14ac:dyDescent="0.25"/>
    <row r="194926" s="12" customFormat="1" x14ac:dyDescent="0.25"/>
    <row r="194927" s="12" customFormat="1" x14ac:dyDescent="0.25"/>
    <row r="194928" s="12" customFormat="1" x14ac:dyDescent="0.25"/>
    <row r="194929" s="12" customFormat="1" x14ac:dyDescent="0.25"/>
    <row r="194930" s="12" customFormat="1" x14ac:dyDescent="0.25"/>
    <row r="194931" s="12" customFormat="1" x14ac:dyDescent="0.25"/>
    <row r="194932" s="12" customFormat="1" x14ac:dyDescent="0.25"/>
    <row r="194933" s="12" customFormat="1" x14ac:dyDescent="0.25"/>
    <row r="194934" s="12" customFormat="1" x14ac:dyDescent="0.25"/>
    <row r="194935" s="12" customFormat="1" x14ac:dyDescent="0.25"/>
    <row r="194936" s="12" customFormat="1" x14ac:dyDescent="0.25"/>
    <row r="194937" s="12" customFormat="1" x14ac:dyDescent="0.25"/>
    <row r="194938" s="12" customFormat="1" x14ac:dyDescent="0.25"/>
    <row r="194939" s="12" customFormat="1" x14ac:dyDescent="0.25"/>
    <row r="194940" s="12" customFormat="1" x14ac:dyDescent="0.25"/>
    <row r="194941" s="12" customFormat="1" x14ac:dyDescent="0.25"/>
    <row r="194942" s="12" customFormat="1" x14ac:dyDescent="0.25"/>
    <row r="194943" s="12" customFormat="1" x14ac:dyDescent="0.25"/>
    <row r="194944" s="12" customFormat="1" x14ac:dyDescent="0.25"/>
    <row r="194945" s="12" customFormat="1" x14ac:dyDescent="0.25"/>
    <row r="194946" s="12" customFormat="1" x14ac:dyDescent="0.25"/>
    <row r="194947" s="12" customFormat="1" x14ac:dyDescent="0.25"/>
    <row r="194948" s="12" customFormat="1" x14ac:dyDescent="0.25"/>
    <row r="194949" s="12" customFormat="1" x14ac:dyDescent="0.25"/>
    <row r="194950" s="12" customFormat="1" x14ac:dyDescent="0.25"/>
    <row r="194951" s="12" customFormat="1" x14ac:dyDescent="0.25"/>
    <row r="194952" s="12" customFormat="1" x14ac:dyDescent="0.25"/>
    <row r="194953" s="12" customFormat="1" x14ac:dyDescent="0.25"/>
    <row r="194954" s="12" customFormat="1" x14ac:dyDescent="0.25"/>
    <row r="194955" s="12" customFormat="1" x14ac:dyDescent="0.25"/>
    <row r="194956" s="12" customFormat="1" x14ac:dyDescent="0.25"/>
    <row r="194957" s="12" customFormat="1" x14ac:dyDescent="0.25"/>
    <row r="194958" s="12" customFormat="1" x14ac:dyDescent="0.25"/>
    <row r="194959" s="12" customFormat="1" x14ac:dyDescent="0.25"/>
    <row r="194960" s="12" customFormat="1" x14ac:dyDescent="0.25"/>
    <row r="194961" s="12" customFormat="1" x14ac:dyDescent="0.25"/>
    <row r="194962" s="12" customFormat="1" x14ac:dyDescent="0.25"/>
    <row r="194963" s="12" customFormat="1" x14ac:dyDescent="0.25"/>
    <row r="194964" s="12" customFormat="1" x14ac:dyDescent="0.25"/>
    <row r="194965" s="12" customFormat="1" x14ac:dyDescent="0.25"/>
    <row r="194966" s="12" customFormat="1" x14ac:dyDescent="0.25"/>
    <row r="194967" s="12" customFormat="1" x14ac:dyDescent="0.25"/>
    <row r="194968" s="12" customFormat="1" x14ac:dyDescent="0.25"/>
    <row r="194969" s="12" customFormat="1" x14ac:dyDescent="0.25"/>
    <row r="194970" s="12" customFormat="1" x14ac:dyDescent="0.25"/>
    <row r="194971" s="12" customFormat="1" x14ac:dyDescent="0.25"/>
    <row r="194972" s="12" customFormat="1" x14ac:dyDescent="0.25"/>
    <row r="194973" s="12" customFormat="1" x14ac:dyDescent="0.25"/>
    <row r="194974" s="12" customFormat="1" x14ac:dyDescent="0.25"/>
    <row r="194975" s="12" customFormat="1" x14ac:dyDescent="0.25"/>
    <row r="194976" s="12" customFormat="1" x14ac:dyDescent="0.25"/>
    <row r="194977" s="12" customFormat="1" x14ac:dyDescent="0.25"/>
    <row r="194978" s="12" customFormat="1" x14ac:dyDescent="0.25"/>
    <row r="194979" s="12" customFormat="1" x14ac:dyDescent="0.25"/>
    <row r="194980" s="12" customFormat="1" x14ac:dyDescent="0.25"/>
    <row r="194981" s="12" customFormat="1" x14ac:dyDescent="0.25"/>
    <row r="194982" s="12" customFormat="1" x14ac:dyDescent="0.25"/>
    <row r="194983" s="12" customFormat="1" x14ac:dyDescent="0.25"/>
    <row r="194984" s="12" customFormat="1" x14ac:dyDescent="0.25"/>
    <row r="194985" s="12" customFormat="1" x14ac:dyDescent="0.25"/>
    <row r="194986" s="12" customFormat="1" x14ac:dyDescent="0.25"/>
    <row r="194987" s="12" customFormat="1" x14ac:dyDescent="0.25"/>
    <row r="194988" s="12" customFormat="1" x14ac:dyDescent="0.25"/>
    <row r="194989" s="12" customFormat="1" x14ac:dyDescent="0.25"/>
    <row r="194990" s="12" customFormat="1" x14ac:dyDescent="0.25"/>
    <row r="194991" s="12" customFormat="1" x14ac:dyDescent="0.25"/>
    <row r="194992" s="12" customFormat="1" x14ac:dyDescent="0.25"/>
    <row r="194993" s="12" customFormat="1" x14ac:dyDescent="0.25"/>
    <row r="194994" s="12" customFormat="1" x14ac:dyDescent="0.25"/>
    <row r="194995" s="12" customFormat="1" x14ac:dyDescent="0.25"/>
    <row r="194996" s="12" customFormat="1" x14ac:dyDescent="0.25"/>
    <row r="194997" s="12" customFormat="1" x14ac:dyDescent="0.25"/>
    <row r="194998" s="12" customFormat="1" x14ac:dyDescent="0.25"/>
    <row r="194999" s="12" customFormat="1" x14ac:dyDescent="0.25"/>
    <row r="195000" s="12" customFormat="1" x14ac:dyDescent="0.25"/>
    <row r="195001" s="12" customFormat="1" x14ac:dyDescent="0.25"/>
    <row r="195002" s="12" customFormat="1" x14ac:dyDescent="0.25"/>
    <row r="195003" s="12" customFormat="1" x14ac:dyDescent="0.25"/>
    <row r="195004" s="12" customFormat="1" x14ac:dyDescent="0.25"/>
    <row r="195005" s="12" customFormat="1" x14ac:dyDescent="0.25"/>
    <row r="195006" s="12" customFormat="1" x14ac:dyDescent="0.25"/>
    <row r="195007" s="12" customFormat="1" x14ac:dyDescent="0.25"/>
    <row r="195008" s="12" customFormat="1" x14ac:dyDescent="0.25"/>
    <row r="195009" s="12" customFormat="1" x14ac:dyDescent="0.25"/>
    <row r="195010" s="12" customFormat="1" x14ac:dyDescent="0.25"/>
    <row r="195011" s="12" customFormat="1" x14ac:dyDescent="0.25"/>
    <row r="195012" s="12" customFormat="1" x14ac:dyDescent="0.25"/>
    <row r="195013" s="12" customFormat="1" x14ac:dyDescent="0.25"/>
    <row r="195014" s="12" customFormat="1" x14ac:dyDescent="0.25"/>
    <row r="195015" s="12" customFormat="1" x14ac:dyDescent="0.25"/>
    <row r="195016" s="12" customFormat="1" x14ac:dyDescent="0.25"/>
    <row r="195017" s="12" customFormat="1" x14ac:dyDescent="0.25"/>
    <row r="195018" s="12" customFormat="1" x14ac:dyDescent="0.25"/>
    <row r="195019" s="12" customFormat="1" x14ac:dyDescent="0.25"/>
    <row r="195020" s="12" customFormat="1" x14ac:dyDescent="0.25"/>
    <row r="195021" s="12" customFormat="1" x14ac:dyDescent="0.25"/>
    <row r="195022" s="12" customFormat="1" x14ac:dyDescent="0.25"/>
    <row r="195023" s="12" customFormat="1" x14ac:dyDescent="0.25"/>
    <row r="195024" s="12" customFormat="1" x14ac:dyDescent="0.25"/>
    <row r="195025" s="12" customFormat="1" x14ac:dyDescent="0.25"/>
    <row r="195026" s="12" customFormat="1" x14ac:dyDescent="0.25"/>
    <row r="195027" s="12" customFormat="1" x14ac:dyDescent="0.25"/>
    <row r="195028" s="12" customFormat="1" x14ac:dyDescent="0.25"/>
    <row r="195029" s="12" customFormat="1" x14ac:dyDescent="0.25"/>
    <row r="195030" s="12" customFormat="1" x14ac:dyDescent="0.25"/>
    <row r="195031" s="12" customFormat="1" x14ac:dyDescent="0.25"/>
    <row r="195032" s="12" customFormat="1" x14ac:dyDescent="0.25"/>
    <row r="195033" s="12" customFormat="1" x14ac:dyDescent="0.25"/>
    <row r="195034" s="12" customFormat="1" x14ac:dyDescent="0.25"/>
    <row r="195035" s="12" customFormat="1" x14ac:dyDescent="0.25"/>
    <row r="195036" s="12" customFormat="1" x14ac:dyDescent="0.25"/>
    <row r="195037" s="12" customFormat="1" x14ac:dyDescent="0.25"/>
    <row r="195038" s="12" customFormat="1" x14ac:dyDescent="0.25"/>
    <row r="195039" s="12" customFormat="1" x14ac:dyDescent="0.25"/>
    <row r="195040" s="12" customFormat="1" x14ac:dyDescent="0.25"/>
    <row r="195041" s="12" customFormat="1" x14ac:dyDescent="0.25"/>
    <row r="195042" s="12" customFormat="1" x14ac:dyDescent="0.25"/>
    <row r="195043" s="12" customFormat="1" x14ac:dyDescent="0.25"/>
    <row r="195044" s="12" customFormat="1" x14ac:dyDescent="0.25"/>
    <row r="195045" s="12" customFormat="1" x14ac:dyDescent="0.25"/>
    <row r="195046" s="12" customFormat="1" x14ac:dyDescent="0.25"/>
    <row r="195047" s="12" customFormat="1" x14ac:dyDescent="0.25"/>
    <row r="195048" s="12" customFormat="1" x14ac:dyDescent="0.25"/>
    <row r="195049" s="12" customFormat="1" x14ac:dyDescent="0.25"/>
    <row r="195050" s="12" customFormat="1" x14ac:dyDescent="0.25"/>
    <row r="195051" s="12" customFormat="1" x14ac:dyDescent="0.25"/>
    <row r="195052" s="12" customFormat="1" x14ac:dyDescent="0.25"/>
    <row r="195053" s="12" customFormat="1" x14ac:dyDescent="0.25"/>
    <row r="195054" s="12" customFormat="1" x14ac:dyDescent="0.25"/>
    <row r="195055" s="12" customFormat="1" x14ac:dyDescent="0.25"/>
    <row r="195056" s="12" customFormat="1" x14ac:dyDescent="0.25"/>
    <row r="195057" s="12" customFormat="1" x14ac:dyDescent="0.25"/>
    <row r="195058" s="12" customFormat="1" x14ac:dyDescent="0.25"/>
    <row r="195059" s="12" customFormat="1" x14ac:dyDescent="0.25"/>
    <row r="195060" s="12" customFormat="1" x14ac:dyDescent="0.25"/>
    <row r="195061" s="12" customFormat="1" x14ac:dyDescent="0.25"/>
    <row r="195062" s="12" customFormat="1" x14ac:dyDescent="0.25"/>
    <row r="195063" s="12" customFormat="1" x14ac:dyDescent="0.25"/>
    <row r="195064" s="12" customFormat="1" x14ac:dyDescent="0.25"/>
    <row r="195065" s="12" customFormat="1" x14ac:dyDescent="0.25"/>
    <row r="195066" s="12" customFormat="1" x14ac:dyDescent="0.25"/>
    <row r="195067" s="12" customFormat="1" x14ac:dyDescent="0.25"/>
    <row r="195068" s="12" customFormat="1" x14ac:dyDescent="0.25"/>
    <row r="195069" s="12" customFormat="1" x14ac:dyDescent="0.25"/>
    <row r="195070" s="12" customFormat="1" x14ac:dyDescent="0.25"/>
    <row r="195071" s="12" customFormat="1" x14ac:dyDescent="0.25"/>
    <row r="195072" s="12" customFormat="1" x14ac:dyDescent="0.25"/>
    <row r="195073" s="12" customFormat="1" x14ac:dyDescent="0.25"/>
    <row r="195074" s="12" customFormat="1" x14ac:dyDescent="0.25"/>
    <row r="195075" s="12" customFormat="1" x14ac:dyDescent="0.25"/>
    <row r="195076" s="12" customFormat="1" x14ac:dyDescent="0.25"/>
    <row r="195077" s="12" customFormat="1" x14ac:dyDescent="0.25"/>
    <row r="195078" s="12" customFormat="1" x14ac:dyDescent="0.25"/>
    <row r="195079" s="12" customFormat="1" x14ac:dyDescent="0.25"/>
    <row r="195080" s="12" customFormat="1" x14ac:dyDescent="0.25"/>
    <row r="195081" s="12" customFormat="1" x14ac:dyDescent="0.25"/>
    <row r="195082" s="12" customFormat="1" x14ac:dyDescent="0.25"/>
    <row r="195083" s="12" customFormat="1" x14ac:dyDescent="0.25"/>
    <row r="195084" s="12" customFormat="1" x14ac:dyDescent="0.25"/>
    <row r="195085" s="12" customFormat="1" x14ac:dyDescent="0.25"/>
    <row r="195086" s="12" customFormat="1" x14ac:dyDescent="0.25"/>
    <row r="195087" s="12" customFormat="1" x14ac:dyDescent="0.25"/>
    <row r="195088" s="12" customFormat="1" x14ac:dyDescent="0.25"/>
    <row r="195089" s="12" customFormat="1" x14ac:dyDescent="0.25"/>
    <row r="195090" s="12" customFormat="1" x14ac:dyDescent="0.25"/>
    <row r="195091" s="12" customFormat="1" x14ac:dyDescent="0.25"/>
    <row r="195092" s="12" customFormat="1" x14ac:dyDescent="0.25"/>
    <row r="195093" s="12" customFormat="1" x14ac:dyDescent="0.25"/>
    <row r="195094" s="12" customFormat="1" x14ac:dyDescent="0.25"/>
    <row r="195095" s="12" customFormat="1" x14ac:dyDescent="0.25"/>
    <row r="195096" s="12" customFormat="1" x14ac:dyDescent="0.25"/>
    <row r="195097" s="12" customFormat="1" x14ac:dyDescent="0.25"/>
    <row r="195098" s="12" customFormat="1" x14ac:dyDescent="0.25"/>
    <row r="195099" s="12" customFormat="1" x14ac:dyDescent="0.25"/>
    <row r="195100" s="12" customFormat="1" x14ac:dyDescent="0.25"/>
    <row r="195101" s="12" customFormat="1" x14ac:dyDescent="0.25"/>
    <row r="195102" s="12" customFormat="1" x14ac:dyDescent="0.25"/>
    <row r="195103" s="12" customFormat="1" x14ac:dyDescent="0.25"/>
    <row r="195104" s="12" customFormat="1" x14ac:dyDescent="0.25"/>
    <row r="195105" s="12" customFormat="1" x14ac:dyDescent="0.25"/>
    <row r="195106" s="12" customFormat="1" x14ac:dyDescent="0.25"/>
    <row r="195107" s="12" customFormat="1" x14ac:dyDescent="0.25"/>
    <row r="195108" s="12" customFormat="1" x14ac:dyDescent="0.25"/>
    <row r="195109" s="12" customFormat="1" x14ac:dyDescent="0.25"/>
    <row r="195110" s="12" customFormat="1" x14ac:dyDescent="0.25"/>
    <row r="195111" s="12" customFormat="1" x14ac:dyDescent="0.25"/>
    <row r="195112" s="12" customFormat="1" x14ac:dyDescent="0.25"/>
    <row r="195113" s="12" customFormat="1" x14ac:dyDescent="0.25"/>
    <row r="195114" s="12" customFormat="1" x14ac:dyDescent="0.25"/>
    <row r="195115" s="12" customFormat="1" x14ac:dyDescent="0.25"/>
    <row r="195116" s="12" customFormat="1" x14ac:dyDescent="0.25"/>
    <row r="195117" s="12" customFormat="1" x14ac:dyDescent="0.25"/>
    <row r="195118" s="12" customFormat="1" x14ac:dyDescent="0.25"/>
    <row r="195119" s="12" customFormat="1" x14ac:dyDescent="0.25"/>
    <row r="195120" s="12" customFormat="1" x14ac:dyDescent="0.25"/>
    <row r="195121" s="12" customFormat="1" x14ac:dyDescent="0.25"/>
    <row r="195122" s="12" customFormat="1" x14ac:dyDescent="0.25"/>
    <row r="195123" s="12" customFormat="1" x14ac:dyDescent="0.25"/>
    <row r="195124" s="12" customFormat="1" x14ac:dyDescent="0.25"/>
    <row r="195125" s="12" customFormat="1" x14ac:dyDescent="0.25"/>
    <row r="195126" s="12" customFormat="1" x14ac:dyDescent="0.25"/>
    <row r="195127" s="12" customFormat="1" x14ac:dyDescent="0.25"/>
    <row r="195128" s="12" customFormat="1" x14ac:dyDescent="0.25"/>
    <row r="195129" s="12" customFormat="1" x14ac:dyDescent="0.25"/>
    <row r="195130" s="12" customFormat="1" x14ac:dyDescent="0.25"/>
    <row r="195131" s="12" customFormat="1" x14ac:dyDescent="0.25"/>
    <row r="195132" s="12" customFormat="1" x14ac:dyDescent="0.25"/>
    <row r="195133" s="12" customFormat="1" x14ac:dyDescent="0.25"/>
    <row r="195134" s="12" customFormat="1" x14ac:dyDescent="0.25"/>
    <row r="195135" s="12" customFormat="1" x14ac:dyDescent="0.25"/>
    <row r="195136" s="12" customFormat="1" x14ac:dyDescent="0.25"/>
    <row r="195137" s="12" customFormat="1" x14ac:dyDescent="0.25"/>
    <row r="195138" s="12" customFormat="1" x14ac:dyDescent="0.25"/>
    <row r="195139" s="12" customFormat="1" x14ac:dyDescent="0.25"/>
    <row r="195140" s="12" customFormat="1" x14ac:dyDescent="0.25"/>
    <row r="195141" s="12" customFormat="1" x14ac:dyDescent="0.25"/>
    <row r="195142" s="12" customFormat="1" x14ac:dyDescent="0.25"/>
    <row r="195143" s="12" customFormat="1" x14ac:dyDescent="0.25"/>
    <row r="195144" s="12" customFormat="1" x14ac:dyDescent="0.25"/>
    <row r="195145" s="12" customFormat="1" x14ac:dyDescent="0.25"/>
    <row r="195146" s="12" customFormat="1" x14ac:dyDescent="0.25"/>
    <row r="195147" s="12" customFormat="1" x14ac:dyDescent="0.25"/>
    <row r="195148" s="12" customFormat="1" x14ac:dyDescent="0.25"/>
    <row r="195149" s="12" customFormat="1" x14ac:dyDescent="0.25"/>
    <row r="195150" s="12" customFormat="1" x14ac:dyDescent="0.25"/>
    <row r="195151" s="12" customFormat="1" x14ac:dyDescent="0.25"/>
    <row r="195152" s="12" customFormat="1" x14ac:dyDescent="0.25"/>
    <row r="195153" s="12" customFormat="1" x14ac:dyDescent="0.25"/>
    <row r="195154" s="12" customFormat="1" x14ac:dyDescent="0.25"/>
    <row r="195155" s="12" customFormat="1" x14ac:dyDescent="0.25"/>
    <row r="195156" s="12" customFormat="1" x14ac:dyDescent="0.25"/>
    <row r="195157" s="12" customFormat="1" x14ac:dyDescent="0.25"/>
    <row r="195158" s="12" customFormat="1" x14ac:dyDescent="0.25"/>
    <row r="195159" s="12" customFormat="1" x14ac:dyDescent="0.25"/>
    <row r="195160" s="12" customFormat="1" x14ac:dyDescent="0.25"/>
    <row r="195161" s="12" customFormat="1" x14ac:dyDescent="0.25"/>
    <row r="195162" s="12" customFormat="1" x14ac:dyDescent="0.25"/>
    <row r="195163" s="12" customFormat="1" x14ac:dyDescent="0.25"/>
    <row r="195164" s="12" customFormat="1" x14ac:dyDescent="0.25"/>
    <row r="195165" s="12" customFormat="1" x14ac:dyDescent="0.25"/>
    <row r="195166" s="12" customFormat="1" x14ac:dyDescent="0.25"/>
    <row r="195167" s="12" customFormat="1" x14ac:dyDescent="0.25"/>
    <row r="195168" s="12" customFormat="1" x14ac:dyDescent="0.25"/>
    <row r="195169" s="12" customFormat="1" x14ac:dyDescent="0.25"/>
    <row r="195170" s="12" customFormat="1" x14ac:dyDescent="0.25"/>
    <row r="195171" s="12" customFormat="1" x14ac:dyDescent="0.25"/>
    <row r="195172" s="12" customFormat="1" x14ac:dyDescent="0.25"/>
    <row r="195173" s="12" customFormat="1" x14ac:dyDescent="0.25"/>
    <row r="195174" s="12" customFormat="1" x14ac:dyDescent="0.25"/>
    <row r="195175" s="12" customFormat="1" x14ac:dyDescent="0.25"/>
    <row r="195176" s="12" customFormat="1" x14ac:dyDescent="0.25"/>
    <row r="195177" s="12" customFormat="1" x14ac:dyDescent="0.25"/>
    <row r="195178" s="12" customFormat="1" x14ac:dyDescent="0.25"/>
    <row r="195179" s="12" customFormat="1" x14ac:dyDescent="0.25"/>
    <row r="195180" s="12" customFormat="1" x14ac:dyDescent="0.25"/>
    <row r="195181" s="12" customFormat="1" x14ac:dyDescent="0.25"/>
    <row r="195182" s="12" customFormat="1" x14ac:dyDescent="0.25"/>
    <row r="195183" s="12" customFormat="1" x14ac:dyDescent="0.25"/>
    <row r="195184" s="12" customFormat="1" x14ac:dyDescent="0.25"/>
    <row r="195185" s="12" customFormat="1" x14ac:dyDescent="0.25"/>
    <row r="195186" s="12" customFormat="1" x14ac:dyDescent="0.25"/>
    <row r="195187" s="12" customFormat="1" x14ac:dyDescent="0.25"/>
    <row r="195188" s="12" customFormat="1" x14ac:dyDescent="0.25"/>
    <row r="195189" s="12" customFormat="1" x14ac:dyDescent="0.25"/>
    <row r="195190" s="12" customFormat="1" x14ac:dyDescent="0.25"/>
    <row r="195191" s="12" customFormat="1" x14ac:dyDescent="0.25"/>
    <row r="195192" s="12" customFormat="1" x14ac:dyDescent="0.25"/>
    <row r="195193" s="12" customFormat="1" x14ac:dyDescent="0.25"/>
    <row r="195194" s="12" customFormat="1" x14ac:dyDescent="0.25"/>
    <row r="195195" s="12" customFormat="1" x14ac:dyDescent="0.25"/>
    <row r="195196" s="12" customFormat="1" x14ac:dyDescent="0.25"/>
    <row r="195197" s="12" customFormat="1" x14ac:dyDescent="0.25"/>
    <row r="195198" s="12" customFormat="1" x14ac:dyDescent="0.25"/>
    <row r="195199" s="12" customFormat="1" x14ac:dyDescent="0.25"/>
    <row r="195200" s="12" customFormat="1" x14ac:dyDescent="0.25"/>
    <row r="195201" s="12" customFormat="1" x14ac:dyDescent="0.25"/>
    <row r="195202" s="12" customFormat="1" x14ac:dyDescent="0.25"/>
    <row r="195203" s="12" customFormat="1" x14ac:dyDescent="0.25"/>
    <row r="195204" s="12" customFormat="1" x14ac:dyDescent="0.25"/>
    <row r="195205" s="12" customFormat="1" x14ac:dyDescent="0.25"/>
    <row r="195206" s="12" customFormat="1" x14ac:dyDescent="0.25"/>
    <row r="195207" s="12" customFormat="1" x14ac:dyDescent="0.25"/>
    <row r="195208" s="12" customFormat="1" x14ac:dyDescent="0.25"/>
    <row r="195209" s="12" customFormat="1" x14ac:dyDescent="0.25"/>
    <row r="195210" s="12" customFormat="1" x14ac:dyDescent="0.25"/>
    <row r="195211" s="12" customFormat="1" x14ac:dyDescent="0.25"/>
    <row r="195212" s="12" customFormat="1" x14ac:dyDescent="0.25"/>
    <row r="195213" s="12" customFormat="1" x14ac:dyDescent="0.25"/>
    <row r="195214" s="12" customFormat="1" x14ac:dyDescent="0.25"/>
    <row r="195215" s="12" customFormat="1" x14ac:dyDescent="0.25"/>
    <row r="195216" s="12" customFormat="1" x14ac:dyDescent="0.25"/>
    <row r="195217" s="12" customFormat="1" x14ac:dyDescent="0.25"/>
    <row r="195218" s="12" customFormat="1" x14ac:dyDescent="0.25"/>
    <row r="195219" s="12" customFormat="1" x14ac:dyDescent="0.25"/>
    <row r="195220" s="12" customFormat="1" x14ac:dyDescent="0.25"/>
    <row r="195221" s="12" customFormat="1" x14ac:dyDescent="0.25"/>
    <row r="195222" s="12" customFormat="1" x14ac:dyDescent="0.25"/>
    <row r="195223" s="12" customFormat="1" x14ac:dyDescent="0.25"/>
    <row r="195224" s="12" customFormat="1" x14ac:dyDescent="0.25"/>
    <row r="195225" s="12" customFormat="1" x14ac:dyDescent="0.25"/>
    <row r="195226" s="12" customFormat="1" x14ac:dyDescent="0.25"/>
    <row r="195227" s="12" customFormat="1" x14ac:dyDescent="0.25"/>
    <row r="195228" s="12" customFormat="1" x14ac:dyDescent="0.25"/>
    <row r="195229" s="12" customFormat="1" x14ac:dyDescent="0.25"/>
    <row r="195230" s="12" customFormat="1" x14ac:dyDescent="0.25"/>
    <row r="195231" s="12" customFormat="1" x14ac:dyDescent="0.25"/>
    <row r="195232" s="12" customFormat="1" x14ac:dyDescent="0.25"/>
    <row r="195233" s="12" customFormat="1" x14ac:dyDescent="0.25"/>
    <row r="195234" s="12" customFormat="1" x14ac:dyDescent="0.25"/>
    <row r="195235" s="12" customFormat="1" x14ac:dyDescent="0.25"/>
    <row r="195236" s="12" customFormat="1" x14ac:dyDescent="0.25"/>
    <row r="195237" s="12" customFormat="1" x14ac:dyDescent="0.25"/>
    <row r="195238" s="12" customFormat="1" x14ac:dyDescent="0.25"/>
    <row r="195239" s="12" customFormat="1" x14ac:dyDescent="0.25"/>
    <row r="195240" s="12" customFormat="1" x14ac:dyDescent="0.25"/>
    <row r="195241" s="12" customFormat="1" x14ac:dyDescent="0.25"/>
    <row r="195242" s="12" customFormat="1" x14ac:dyDescent="0.25"/>
    <row r="195243" s="12" customFormat="1" x14ac:dyDescent="0.25"/>
    <row r="195244" s="12" customFormat="1" x14ac:dyDescent="0.25"/>
    <row r="195245" s="12" customFormat="1" x14ac:dyDescent="0.25"/>
    <row r="195246" s="12" customFormat="1" x14ac:dyDescent="0.25"/>
    <row r="195247" s="12" customFormat="1" x14ac:dyDescent="0.25"/>
    <row r="195248" s="12" customFormat="1" x14ac:dyDescent="0.25"/>
    <row r="195249" s="12" customFormat="1" x14ac:dyDescent="0.25"/>
    <row r="195250" s="12" customFormat="1" x14ac:dyDescent="0.25"/>
    <row r="195251" s="12" customFormat="1" x14ac:dyDescent="0.25"/>
    <row r="195252" s="12" customFormat="1" x14ac:dyDescent="0.25"/>
    <row r="195253" s="12" customFormat="1" x14ac:dyDescent="0.25"/>
    <row r="195254" s="12" customFormat="1" x14ac:dyDescent="0.25"/>
    <row r="195255" s="12" customFormat="1" x14ac:dyDescent="0.25"/>
    <row r="195256" s="12" customFormat="1" x14ac:dyDescent="0.25"/>
    <row r="195257" s="12" customFormat="1" x14ac:dyDescent="0.25"/>
    <row r="195258" s="12" customFormat="1" x14ac:dyDescent="0.25"/>
    <row r="195259" s="12" customFormat="1" x14ac:dyDescent="0.25"/>
    <row r="195260" s="12" customFormat="1" x14ac:dyDescent="0.25"/>
    <row r="195261" s="12" customFormat="1" x14ac:dyDescent="0.25"/>
    <row r="195262" s="12" customFormat="1" x14ac:dyDescent="0.25"/>
    <row r="195263" s="12" customFormat="1" x14ac:dyDescent="0.25"/>
    <row r="195264" s="12" customFormat="1" x14ac:dyDescent="0.25"/>
    <row r="195265" s="12" customFormat="1" x14ac:dyDescent="0.25"/>
    <row r="195266" s="12" customFormat="1" x14ac:dyDescent="0.25"/>
    <row r="195267" s="12" customFormat="1" x14ac:dyDescent="0.25"/>
    <row r="195268" s="12" customFormat="1" x14ac:dyDescent="0.25"/>
    <row r="195269" s="12" customFormat="1" x14ac:dyDescent="0.25"/>
    <row r="195270" s="12" customFormat="1" x14ac:dyDescent="0.25"/>
    <row r="195271" s="12" customFormat="1" x14ac:dyDescent="0.25"/>
    <row r="195272" s="12" customFormat="1" x14ac:dyDescent="0.25"/>
    <row r="195273" s="12" customFormat="1" x14ac:dyDescent="0.25"/>
    <row r="195274" s="12" customFormat="1" x14ac:dyDescent="0.25"/>
    <row r="195275" s="12" customFormat="1" x14ac:dyDescent="0.25"/>
    <row r="195276" s="12" customFormat="1" x14ac:dyDescent="0.25"/>
    <row r="195277" s="12" customFormat="1" x14ac:dyDescent="0.25"/>
    <row r="195278" s="12" customFormat="1" x14ac:dyDescent="0.25"/>
    <row r="195279" s="12" customFormat="1" x14ac:dyDescent="0.25"/>
    <row r="195280" s="12" customFormat="1" x14ac:dyDescent="0.25"/>
    <row r="195281" s="12" customFormat="1" x14ac:dyDescent="0.25"/>
    <row r="195282" s="12" customFormat="1" x14ac:dyDescent="0.25"/>
    <row r="195283" s="12" customFormat="1" x14ac:dyDescent="0.25"/>
    <row r="195284" s="12" customFormat="1" x14ac:dyDescent="0.25"/>
    <row r="195285" s="12" customFormat="1" x14ac:dyDescent="0.25"/>
    <row r="195286" s="12" customFormat="1" x14ac:dyDescent="0.25"/>
    <row r="195287" s="12" customFormat="1" x14ac:dyDescent="0.25"/>
    <row r="195288" s="12" customFormat="1" x14ac:dyDescent="0.25"/>
    <row r="195289" s="12" customFormat="1" x14ac:dyDescent="0.25"/>
    <row r="195290" s="12" customFormat="1" x14ac:dyDescent="0.25"/>
    <row r="195291" s="12" customFormat="1" x14ac:dyDescent="0.25"/>
    <row r="195292" s="12" customFormat="1" x14ac:dyDescent="0.25"/>
    <row r="195293" s="12" customFormat="1" x14ac:dyDescent="0.25"/>
    <row r="195294" s="12" customFormat="1" x14ac:dyDescent="0.25"/>
    <row r="195295" s="12" customFormat="1" x14ac:dyDescent="0.25"/>
    <row r="195296" s="12" customFormat="1" x14ac:dyDescent="0.25"/>
    <row r="195297" s="12" customFormat="1" x14ac:dyDescent="0.25"/>
    <row r="195298" s="12" customFormat="1" x14ac:dyDescent="0.25"/>
    <row r="195299" s="12" customFormat="1" x14ac:dyDescent="0.25"/>
    <row r="195300" s="12" customFormat="1" x14ac:dyDescent="0.25"/>
    <row r="195301" s="12" customFormat="1" x14ac:dyDescent="0.25"/>
    <row r="195302" s="12" customFormat="1" x14ac:dyDescent="0.25"/>
    <row r="195303" s="12" customFormat="1" x14ac:dyDescent="0.25"/>
    <row r="195304" s="12" customFormat="1" x14ac:dyDescent="0.25"/>
    <row r="195305" s="12" customFormat="1" x14ac:dyDescent="0.25"/>
    <row r="195306" s="12" customFormat="1" x14ac:dyDescent="0.25"/>
    <row r="195307" s="12" customFormat="1" x14ac:dyDescent="0.25"/>
    <row r="195308" s="12" customFormat="1" x14ac:dyDescent="0.25"/>
    <row r="195309" s="12" customFormat="1" x14ac:dyDescent="0.25"/>
    <row r="195310" s="12" customFormat="1" x14ac:dyDescent="0.25"/>
    <row r="195311" s="12" customFormat="1" x14ac:dyDescent="0.25"/>
    <row r="195312" s="12" customFormat="1" x14ac:dyDescent="0.25"/>
    <row r="195313" s="12" customFormat="1" x14ac:dyDescent="0.25"/>
    <row r="195314" s="12" customFormat="1" x14ac:dyDescent="0.25"/>
    <row r="195315" s="12" customFormat="1" x14ac:dyDescent="0.25"/>
    <row r="195316" s="12" customFormat="1" x14ac:dyDescent="0.25"/>
    <row r="195317" s="12" customFormat="1" x14ac:dyDescent="0.25"/>
    <row r="195318" s="12" customFormat="1" x14ac:dyDescent="0.25"/>
    <row r="195319" s="12" customFormat="1" x14ac:dyDescent="0.25"/>
    <row r="195320" s="12" customFormat="1" x14ac:dyDescent="0.25"/>
    <row r="195321" s="12" customFormat="1" x14ac:dyDescent="0.25"/>
    <row r="195322" s="12" customFormat="1" x14ac:dyDescent="0.25"/>
    <row r="195323" s="12" customFormat="1" x14ac:dyDescent="0.25"/>
    <row r="195324" s="12" customFormat="1" x14ac:dyDescent="0.25"/>
    <row r="195325" s="12" customFormat="1" x14ac:dyDescent="0.25"/>
    <row r="195326" s="12" customFormat="1" x14ac:dyDescent="0.25"/>
    <row r="195327" s="12" customFormat="1" x14ac:dyDescent="0.25"/>
    <row r="195328" s="12" customFormat="1" x14ac:dyDescent="0.25"/>
    <row r="195329" s="12" customFormat="1" x14ac:dyDescent="0.25"/>
    <row r="195330" s="12" customFormat="1" x14ac:dyDescent="0.25"/>
    <row r="195331" s="12" customFormat="1" x14ac:dyDescent="0.25"/>
    <row r="195332" s="12" customFormat="1" x14ac:dyDescent="0.25"/>
    <row r="195333" s="12" customFormat="1" x14ac:dyDescent="0.25"/>
    <row r="195334" s="12" customFormat="1" x14ac:dyDescent="0.25"/>
    <row r="195335" s="12" customFormat="1" x14ac:dyDescent="0.25"/>
    <row r="195336" s="12" customFormat="1" x14ac:dyDescent="0.25"/>
    <row r="195337" s="12" customFormat="1" x14ac:dyDescent="0.25"/>
    <row r="195338" s="12" customFormat="1" x14ac:dyDescent="0.25"/>
    <row r="195339" s="12" customFormat="1" x14ac:dyDescent="0.25"/>
    <row r="195340" s="12" customFormat="1" x14ac:dyDescent="0.25"/>
    <row r="195341" s="12" customFormat="1" x14ac:dyDescent="0.25"/>
    <row r="195342" s="12" customFormat="1" x14ac:dyDescent="0.25"/>
    <row r="195343" s="12" customFormat="1" x14ac:dyDescent="0.25"/>
    <row r="195344" s="12" customFormat="1" x14ac:dyDescent="0.25"/>
    <row r="195345" s="12" customFormat="1" x14ac:dyDescent="0.25"/>
    <row r="195346" s="12" customFormat="1" x14ac:dyDescent="0.25"/>
    <row r="195347" s="12" customFormat="1" x14ac:dyDescent="0.25"/>
    <row r="195348" s="12" customFormat="1" x14ac:dyDescent="0.25"/>
    <row r="195349" s="12" customFormat="1" x14ac:dyDescent="0.25"/>
    <row r="195350" s="12" customFormat="1" x14ac:dyDescent="0.25"/>
    <row r="195351" s="12" customFormat="1" x14ac:dyDescent="0.25"/>
    <row r="195352" s="12" customFormat="1" x14ac:dyDescent="0.25"/>
    <row r="195353" s="12" customFormat="1" x14ac:dyDescent="0.25"/>
    <row r="195354" s="12" customFormat="1" x14ac:dyDescent="0.25"/>
    <row r="195355" s="12" customFormat="1" x14ac:dyDescent="0.25"/>
    <row r="195356" s="12" customFormat="1" x14ac:dyDescent="0.25"/>
    <row r="195357" s="12" customFormat="1" x14ac:dyDescent="0.25"/>
    <row r="195358" s="12" customFormat="1" x14ac:dyDescent="0.25"/>
    <row r="195359" s="12" customFormat="1" x14ac:dyDescent="0.25"/>
    <row r="195360" s="12" customFormat="1" x14ac:dyDescent="0.25"/>
    <row r="195361" s="12" customFormat="1" x14ac:dyDescent="0.25"/>
    <row r="195362" s="12" customFormat="1" x14ac:dyDescent="0.25"/>
    <row r="195363" s="12" customFormat="1" x14ac:dyDescent="0.25"/>
    <row r="195364" s="12" customFormat="1" x14ac:dyDescent="0.25"/>
    <row r="195365" s="12" customFormat="1" x14ac:dyDescent="0.25"/>
    <row r="195366" s="12" customFormat="1" x14ac:dyDescent="0.25"/>
    <row r="195367" s="12" customFormat="1" x14ac:dyDescent="0.25"/>
    <row r="195368" s="12" customFormat="1" x14ac:dyDescent="0.25"/>
    <row r="195369" s="12" customFormat="1" x14ac:dyDescent="0.25"/>
    <row r="195370" s="12" customFormat="1" x14ac:dyDescent="0.25"/>
    <row r="195371" s="12" customFormat="1" x14ac:dyDescent="0.25"/>
    <row r="195372" s="12" customFormat="1" x14ac:dyDescent="0.25"/>
    <row r="195373" s="12" customFormat="1" x14ac:dyDescent="0.25"/>
    <row r="195374" s="12" customFormat="1" x14ac:dyDescent="0.25"/>
    <row r="195375" s="12" customFormat="1" x14ac:dyDescent="0.25"/>
    <row r="195376" s="12" customFormat="1" x14ac:dyDescent="0.25"/>
    <row r="195377" s="12" customFormat="1" x14ac:dyDescent="0.25"/>
    <row r="195378" s="12" customFormat="1" x14ac:dyDescent="0.25"/>
    <row r="195379" s="12" customFormat="1" x14ac:dyDescent="0.25"/>
    <row r="195380" s="12" customFormat="1" x14ac:dyDescent="0.25"/>
    <row r="195381" s="12" customFormat="1" x14ac:dyDescent="0.25"/>
    <row r="195382" s="12" customFormat="1" x14ac:dyDescent="0.25"/>
    <row r="195383" s="12" customFormat="1" x14ac:dyDescent="0.25"/>
    <row r="195384" s="12" customFormat="1" x14ac:dyDescent="0.25"/>
    <row r="195385" s="12" customFormat="1" x14ac:dyDescent="0.25"/>
    <row r="195386" s="12" customFormat="1" x14ac:dyDescent="0.25"/>
    <row r="195387" s="12" customFormat="1" x14ac:dyDescent="0.25"/>
    <row r="195388" s="12" customFormat="1" x14ac:dyDescent="0.25"/>
    <row r="195389" s="12" customFormat="1" x14ac:dyDescent="0.25"/>
    <row r="195390" s="12" customFormat="1" x14ac:dyDescent="0.25"/>
    <row r="195391" s="12" customFormat="1" x14ac:dyDescent="0.25"/>
    <row r="195392" s="12" customFormat="1" x14ac:dyDescent="0.25"/>
    <row r="195393" s="12" customFormat="1" x14ac:dyDescent="0.25"/>
    <row r="195394" s="12" customFormat="1" x14ac:dyDescent="0.25"/>
    <row r="195395" s="12" customFormat="1" x14ac:dyDescent="0.25"/>
    <row r="195396" s="12" customFormat="1" x14ac:dyDescent="0.25"/>
    <row r="195397" s="12" customFormat="1" x14ac:dyDescent="0.25"/>
    <row r="195398" s="12" customFormat="1" x14ac:dyDescent="0.25"/>
    <row r="195399" s="12" customFormat="1" x14ac:dyDescent="0.25"/>
    <row r="195400" s="12" customFormat="1" x14ac:dyDescent="0.25"/>
    <row r="195401" s="12" customFormat="1" x14ac:dyDescent="0.25"/>
    <row r="195402" s="12" customFormat="1" x14ac:dyDescent="0.25"/>
    <row r="195403" s="12" customFormat="1" x14ac:dyDescent="0.25"/>
    <row r="195404" s="12" customFormat="1" x14ac:dyDescent="0.25"/>
    <row r="195405" s="12" customFormat="1" x14ac:dyDescent="0.25"/>
    <row r="195406" s="12" customFormat="1" x14ac:dyDescent="0.25"/>
    <row r="195407" s="12" customFormat="1" x14ac:dyDescent="0.25"/>
    <row r="195408" s="12" customFormat="1" x14ac:dyDescent="0.25"/>
    <row r="195409" s="12" customFormat="1" x14ac:dyDescent="0.25"/>
    <row r="195410" s="12" customFormat="1" x14ac:dyDescent="0.25"/>
    <row r="195411" s="12" customFormat="1" x14ac:dyDescent="0.25"/>
    <row r="195412" s="12" customFormat="1" x14ac:dyDescent="0.25"/>
    <row r="195413" s="12" customFormat="1" x14ac:dyDescent="0.25"/>
    <row r="195414" s="12" customFormat="1" x14ac:dyDescent="0.25"/>
    <row r="195415" s="12" customFormat="1" x14ac:dyDescent="0.25"/>
    <row r="195416" s="12" customFormat="1" x14ac:dyDescent="0.25"/>
    <row r="195417" s="12" customFormat="1" x14ac:dyDescent="0.25"/>
    <row r="195418" s="12" customFormat="1" x14ac:dyDescent="0.25"/>
    <row r="195419" s="12" customFormat="1" x14ac:dyDescent="0.25"/>
    <row r="195420" s="12" customFormat="1" x14ac:dyDescent="0.25"/>
    <row r="195421" s="12" customFormat="1" x14ac:dyDescent="0.25"/>
    <row r="195422" s="12" customFormat="1" x14ac:dyDescent="0.25"/>
    <row r="195423" s="12" customFormat="1" x14ac:dyDescent="0.25"/>
    <row r="195424" s="12" customFormat="1" x14ac:dyDescent="0.25"/>
    <row r="195425" s="12" customFormat="1" x14ac:dyDescent="0.25"/>
    <row r="195426" s="12" customFormat="1" x14ac:dyDescent="0.25"/>
    <row r="195427" s="12" customFormat="1" x14ac:dyDescent="0.25"/>
    <row r="195428" s="12" customFormat="1" x14ac:dyDescent="0.25"/>
    <row r="195429" s="12" customFormat="1" x14ac:dyDescent="0.25"/>
    <row r="195430" s="12" customFormat="1" x14ac:dyDescent="0.25"/>
    <row r="195431" s="12" customFormat="1" x14ac:dyDescent="0.25"/>
    <row r="195432" s="12" customFormat="1" x14ac:dyDescent="0.25"/>
    <row r="195433" s="12" customFormat="1" x14ac:dyDescent="0.25"/>
    <row r="195434" s="12" customFormat="1" x14ac:dyDescent="0.25"/>
    <row r="195435" s="12" customFormat="1" x14ac:dyDescent="0.25"/>
    <row r="195436" s="12" customFormat="1" x14ac:dyDescent="0.25"/>
    <row r="195437" s="12" customFormat="1" x14ac:dyDescent="0.25"/>
    <row r="195438" s="12" customFormat="1" x14ac:dyDescent="0.25"/>
    <row r="195439" s="12" customFormat="1" x14ac:dyDescent="0.25"/>
    <row r="195440" s="12" customFormat="1" x14ac:dyDescent="0.25"/>
    <row r="195441" s="12" customFormat="1" x14ac:dyDescent="0.25"/>
    <row r="195442" s="12" customFormat="1" x14ac:dyDescent="0.25"/>
    <row r="195443" s="12" customFormat="1" x14ac:dyDescent="0.25"/>
    <row r="195444" s="12" customFormat="1" x14ac:dyDescent="0.25"/>
    <row r="195445" s="12" customFormat="1" x14ac:dyDescent="0.25"/>
    <row r="195446" s="12" customFormat="1" x14ac:dyDescent="0.25"/>
    <row r="195447" s="12" customFormat="1" x14ac:dyDescent="0.25"/>
    <row r="195448" s="12" customFormat="1" x14ac:dyDescent="0.25"/>
    <row r="195449" s="12" customFormat="1" x14ac:dyDescent="0.25"/>
    <row r="195450" s="12" customFormat="1" x14ac:dyDescent="0.25"/>
    <row r="195451" s="12" customFormat="1" x14ac:dyDescent="0.25"/>
    <row r="195452" s="12" customFormat="1" x14ac:dyDescent="0.25"/>
    <row r="195453" s="12" customFormat="1" x14ac:dyDescent="0.25"/>
    <row r="195454" s="12" customFormat="1" x14ac:dyDescent="0.25"/>
    <row r="195455" s="12" customFormat="1" x14ac:dyDescent="0.25"/>
    <row r="195456" s="12" customFormat="1" x14ac:dyDescent="0.25"/>
    <row r="195457" s="12" customFormat="1" x14ac:dyDescent="0.25"/>
    <row r="195458" s="12" customFormat="1" x14ac:dyDescent="0.25"/>
    <row r="195459" s="12" customFormat="1" x14ac:dyDescent="0.25"/>
    <row r="195460" s="12" customFormat="1" x14ac:dyDescent="0.25"/>
    <row r="195461" s="12" customFormat="1" x14ac:dyDescent="0.25"/>
    <row r="195462" s="12" customFormat="1" x14ac:dyDescent="0.25"/>
    <row r="195463" s="12" customFormat="1" x14ac:dyDescent="0.25"/>
    <row r="195464" s="12" customFormat="1" x14ac:dyDescent="0.25"/>
    <row r="195465" s="12" customFormat="1" x14ac:dyDescent="0.25"/>
    <row r="195466" s="12" customFormat="1" x14ac:dyDescent="0.25"/>
    <row r="195467" s="12" customFormat="1" x14ac:dyDescent="0.25"/>
    <row r="195468" s="12" customFormat="1" x14ac:dyDescent="0.25"/>
    <row r="195469" s="12" customFormat="1" x14ac:dyDescent="0.25"/>
    <row r="195470" s="12" customFormat="1" x14ac:dyDescent="0.25"/>
    <row r="195471" s="12" customFormat="1" x14ac:dyDescent="0.25"/>
    <row r="195472" s="12" customFormat="1" x14ac:dyDescent="0.25"/>
    <row r="195473" s="12" customFormat="1" x14ac:dyDescent="0.25"/>
    <row r="195474" s="12" customFormat="1" x14ac:dyDescent="0.25"/>
    <row r="195475" s="12" customFormat="1" x14ac:dyDescent="0.25"/>
    <row r="195476" s="12" customFormat="1" x14ac:dyDescent="0.25"/>
    <row r="195477" s="12" customFormat="1" x14ac:dyDescent="0.25"/>
    <row r="195478" s="12" customFormat="1" x14ac:dyDescent="0.25"/>
    <row r="195479" s="12" customFormat="1" x14ac:dyDescent="0.25"/>
    <row r="195480" s="12" customFormat="1" x14ac:dyDescent="0.25"/>
    <row r="195481" s="12" customFormat="1" x14ac:dyDescent="0.25"/>
    <row r="195482" s="12" customFormat="1" x14ac:dyDescent="0.25"/>
    <row r="195483" s="12" customFormat="1" x14ac:dyDescent="0.25"/>
    <row r="195484" s="12" customFormat="1" x14ac:dyDescent="0.25"/>
    <row r="195485" s="12" customFormat="1" x14ac:dyDescent="0.25"/>
    <row r="195486" s="12" customFormat="1" x14ac:dyDescent="0.25"/>
    <row r="195487" s="12" customFormat="1" x14ac:dyDescent="0.25"/>
    <row r="195488" s="12" customFormat="1" x14ac:dyDescent="0.25"/>
    <row r="195489" s="12" customFormat="1" x14ac:dyDescent="0.25"/>
    <row r="195490" s="12" customFormat="1" x14ac:dyDescent="0.25"/>
    <row r="195491" s="12" customFormat="1" x14ac:dyDescent="0.25"/>
    <row r="195492" s="12" customFormat="1" x14ac:dyDescent="0.25"/>
    <row r="195493" s="12" customFormat="1" x14ac:dyDescent="0.25"/>
    <row r="195494" s="12" customFormat="1" x14ac:dyDescent="0.25"/>
    <row r="195495" s="12" customFormat="1" x14ac:dyDescent="0.25"/>
    <row r="195496" s="12" customFormat="1" x14ac:dyDescent="0.25"/>
    <row r="195497" s="12" customFormat="1" x14ac:dyDescent="0.25"/>
    <row r="195498" s="12" customFormat="1" x14ac:dyDescent="0.25"/>
    <row r="195499" s="12" customFormat="1" x14ac:dyDescent="0.25"/>
    <row r="195500" s="12" customFormat="1" x14ac:dyDescent="0.25"/>
    <row r="195501" s="12" customFormat="1" x14ac:dyDescent="0.25"/>
    <row r="195502" s="12" customFormat="1" x14ac:dyDescent="0.25"/>
    <row r="195503" s="12" customFormat="1" x14ac:dyDescent="0.25"/>
    <row r="195504" s="12" customFormat="1" x14ac:dyDescent="0.25"/>
    <row r="195505" s="12" customFormat="1" x14ac:dyDescent="0.25"/>
    <row r="195506" s="12" customFormat="1" x14ac:dyDescent="0.25"/>
    <row r="195507" s="12" customFormat="1" x14ac:dyDescent="0.25"/>
    <row r="195508" s="12" customFormat="1" x14ac:dyDescent="0.25"/>
    <row r="195509" s="12" customFormat="1" x14ac:dyDescent="0.25"/>
    <row r="195510" s="12" customFormat="1" x14ac:dyDescent="0.25"/>
    <row r="195511" s="12" customFormat="1" x14ac:dyDescent="0.25"/>
    <row r="195512" s="12" customFormat="1" x14ac:dyDescent="0.25"/>
    <row r="195513" s="12" customFormat="1" x14ac:dyDescent="0.25"/>
    <row r="195514" s="12" customFormat="1" x14ac:dyDescent="0.25"/>
    <row r="195515" s="12" customFormat="1" x14ac:dyDescent="0.25"/>
    <row r="195516" s="12" customFormat="1" x14ac:dyDescent="0.25"/>
    <row r="195517" s="12" customFormat="1" x14ac:dyDescent="0.25"/>
    <row r="195518" s="12" customFormat="1" x14ac:dyDescent="0.25"/>
    <row r="195519" s="12" customFormat="1" x14ac:dyDescent="0.25"/>
    <row r="195520" s="12" customFormat="1" x14ac:dyDescent="0.25"/>
    <row r="195521" s="12" customFormat="1" x14ac:dyDescent="0.25"/>
    <row r="195522" s="12" customFormat="1" x14ac:dyDescent="0.25"/>
    <row r="195523" s="12" customFormat="1" x14ac:dyDescent="0.25"/>
    <row r="195524" s="12" customFormat="1" x14ac:dyDescent="0.25"/>
    <row r="195525" s="12" customFormat="1" x14ac:dyDescent="0.25"/>
    <row r="195526" s="12" customFormat="1" x14ac:dyDescent="0.25"/>
    <row r="195527" s="12" customFormat="1" x14ac:dyDescent="0.25"/>
    <row r="195528" s="12" customFormat="1" x14ac:dyDescent="0.25"/>
    <row r="195529" s="12" customFormat="1" x14ac:dyDescent="0.25"/>
    <row r="195530" s="12" customFormat="1" x14ac:dyDescent="0.25"/>
    <row r="195531" s="12" customFormat="1" x14ac:dyDescent="0.25"/>
    <row r="195532" s="12" customFormat="1" x14ac:dyDescent="0.25"/>
    <row r="195533" s="12" customFormat="1" x14ac:dyDescent="0.25"/>
    <row r="195534" s="12" customFormat="1" x14ac:dyDescent="0.25"/>
    <row r="195535" s="12" customFormat="1" x14ac:dyDescent="0.25"/>
    <row r="195536" s="12" customFormat="1" x14ac:dyDescent="0.25"/>
    <row r="195537" s="12" customFormat="1" x14ac:dyDescent="0.25"/>
    <row r="195538" s="12" customFormat="1" x14ac:dyDescent="0.25"/>
    <row r="195539" s="12" customFormat="1" x14ac:dyDescent="0.25"/>
    <row r="195540" s="12" customFormat="1" x14ac:dyDescent="0.25"/>
    <row r="195541" s="12" customFormat="1" x14ac:dyDescent="0.25"/>
    <row r="195542" s="12" customFormat="1" x14ac:dyDescent="0.25"/>
    <row r="195543" s="12" customFormat="1" x14ac:dyDescent="0.25"/>
    <row r="195544" s="12" customFormat="1" x14ac:dyDescent="0.25"/>
    <row r="195545" s="12" customFormat="1" x14ac:dyDescent="0.25"/>
    <row r="195546" s="12" customFormat="1" x14ac:dyDescent="0.25"/>
    <row r="195547" s="12" customFormat="1" x14ac:dyDescent="0.25"/>
    <row r="195548" s="12" customFormat="1" x14ac:dyDescent="0.25"/>
    <row r="195549" s="12" customFormat="1" x14ac:dyDescent="0.25"/>
    <row r="195550" s="12" customFormat="1" x14ac:dyDescent="0.25"/>
    <row r="195551" s="12" customFormat="1" x14ac:dyDescent="0.25"/>
    <row r="195552" s="12" customFormat="1" x14ac:dyDescent="0.25"/>
    <row r="195553" s="12" customFormat="1" x14ac:dyDescent="0.25"/>
    <row r="195554" s="12" customFormat="1" x14ac:dyDescent="0.25"/>
    <row r="195555" s="12" customFormat="1" x14ac:dyDescent="0.25"/>
    <row r="195556" s="12" customFormat="1" x14ac:dyDescent="0.25"/>
    <row r="195557" s="12" customFormat="1" x14ac:dyDescent="0.25"/>
    <row r="195558" s="12" customFormat="1" x14ac:dyDescent="0.25"/>
    <row r="195559" s="12" customFormat="1" x14ac:dyDescent="0.25"/>
    <row r="195560" s="12" customFormat="1" x14ac:dyDescent="0.25"/>
    <row r="195561" s="12" customFormat="1" x14ac:dyDescent="0.25"/>
    <row r="195562" s="12" customFormat="1" x14ac:dyDescent="0.25"/>
    <row r="195563" s="12" customFormat="1" x14ac:dyDescent="0.25"/>
    <row r="195564" s="12" customFormat="1" x14ac:dyDescent="0.25"/>
    <row r="195565" s="12" customFormat="1" x14ac:dyDescent="0.25"/>
    <row r="195566" s="12" customFormat="1" x14ac:dyDescent="0.25"/>
    <row r="195567" s="12" customFormat="1" x14ac:dyDescent="0.25"/>
    <row r="195568" s="12" customFormat="1" x14ac:dyDescent="0.25"/>
    <row r="195569" s="12" customFormat="1" x14ac:dyDescent="0.25"/>
    <row r="195570" s="12" customFormat="1" x14ac:dyDescent="0.25"/>
    <row r="195571" s="12" customFormat="1" x14ac:dyDescent="0.25"/>
    <row r="195572" s="12" customFormat="1" x14ac:dyDescent="0.25"/>
    <row r="195573" s="12" customFormat="1" x14ac:dyDescent="0.25"/>
    <row r="195574" s="12" customFormat="1" x14ac:dyDescent="0.25"/>
    <row r="195575" s="12" customFormat="1" x14ac:dyDescent="0.25"/>
    <row r="195576" s="12" customFormat="1" x14ac:dyDescent="0.25"/>
    <row r="195577" s="12" customFormat="1" x14ac:dyDescent="0.25"/>
    <row r="195578" s="12" customFormat="1" x14ac:dyDescent="0.25"/>
    <row r="195579" s="12" customFormat="1" x14ac:dyDescent="0.25"/>
    <row r="195580" s="12" customFormat="1" x14ac:dyDescent="0.25"/>
    <row r="195581" s="12" customFormat="1" x14ac:dyDescent="0.25"/>
    <row r="195582" s="12" customFormat="1" x14ac:dyDescent="0.25"/>
    <row r="195583" s="12" customFormat="1" x14ac:dyDescent="0.25"/>
    <row r="195584" s="12" customFormat="1" x14ac:dyDescent="0.25"/>
    <row r="195585" s="12" customFormat="1" x14ac:dyDescent="0.25"/>
    <row r="195586" s="12" customFormat="1" x14ac:dyDescent="0.25"/>
    <row r="195587" s="12" customFormat="1" x14ac:dyDescent="0.25"/>
    <row r="195588" s="12" customFormat="1" x14ac:dyDescent="0.25"/>
    <row r="195589" s="12" customFormat="1" x14ac:dyDescent="0.25"/>
    <row r="195590" s="12" customFormat="1" x14ac:dyDescent="0.25"/>
    <row r="195591" s="12" customFormat="1" x14ac:dyDescent="0.25"/>
    <row r="195592" s="12" customFormat="1" x14ac:dyDescent="0.25"/>
    <row r="195593" s="12" customFormat="1" x14ac:dyDescent="0.25"/>
    <row r="195594" s="12" customFormat="1" x14ac:dyDescent="0.25"/>
    <row r="195595" s="12" customFormat="1" x14ac:dyDescent="0.25"/>
    <row r="195596" s="12" customFormat="1" x14ac:dyDescent="0.25"/>
    <row r="195597" s="12" customFormat="1" x14ac:dyDescent="0.25"/>
    <row r="195598" s="12" customFormat="1" x14ac:dyDescent="0.25"/>
    <row r="195599" s="12" customFormat="1" x14ac:dyDescent="0.25"/>
    <row r="195600" s="12" customFormat="1" x14ac:dyDescent="0.25"/>
    <row r="195601" s="12" customFormat="1" x14ac:dyDescent="0.25"/>
    <row r="195602" s="12" customFormat="1" x14ac:dyDescent="0.25"/>
    <row r="195603" s="12" customFormat="1" x14ac:dyDescent="0.25"/>
    <row r="195604" s="12" customFormat="1" x14ac:dyDescent="0.25"/>
    <row r="195605" s="12" customFormat="1" x14ac:dyDescent="0.25"/>
    <row r="195606" s="12" customFormat="1" x14ac:dyDescent="0.25"/>
    <row r="195607" s="12" customFormat="1" x14ac:dyDescent="0.25"/>
    <row r="195608" s="12" customFormat="1" x14ac:dyDescent="0.25"/>
    <row r="195609" s="12" customFormat="1" x14ac:dyDescent="0.25"/>
    <row r="195610" s="12" customFormat="1" x14ac:dyDescent="0.25"/>
    <row r="195611" s="12" customFormat="1" x14ac:dyDescent="0.25"/>
    <row r="195612" s="12" customFormat="1" x14ac:dyDescent="0.25"/>
    <row r="195613" s="12" customFormat="1" x14ac:dyDescent="0.25"/>
    <row r="195614" s="12" customFormat="1" x14ac:dyDescent="0.25"/>
    <row r="195615" s="12" customFormat="1" x14ac:dyDescent="0.25"/>
    <row r="195616" s="12" customFormat="1" x14ac:dyDescent="0.25"/>
    <row r="195617" s="12" customFormat="1" x14ac:dyDescent="0.25"/>
    <row r="195618" s="12" customFormat="1" x14ac:dyDescent="0.25"/>
    <row r="195619" s="12" customFormat="1" x14ac:dyDescent="0.25"/>
    <row r="195620" s="12" customFormat="1" x14ac:dyDescent="0.25"/>
    <row r="195621" s="12" customFormat="1" x14ac:dyDescent="0.25"/>
    <row r="195622" s="12" customFormat="1" x14ac:dyDescent="0.25"/>
    <row r="195623" s="12" customFormat="1" x14ac:dyDescent="0.25"/>
    <row r="195624" s="12" customFormat="1" x14ac:dyDescent="0.25"/>
    <row r="195625" s="12" customFormat="1" x14ac:dyDescent="0.25"/>
    <row r="195626" s="12" customFormat="1" x14ac:dyDescent="0.25"/>
    <row r="195627" s="12" customFormat="1" x14ac:dyDescent="0.25"/>
    <row r="195628" s="12" customFormat="1" x14ac:dyDescent="0.25"/>
    <row r="195629" s="12" customFormat="1" x14ac:dyDescent="0.25"/>
    <row r="195630" s="12" customFormat="1" x14ac:dyDescent="0.25"/>
    <row r="195631" s="12" customFormat="1" x14ac:dyDescent="0.25"/>
    <row r="195632" s="12" customFormat="1" x14ac:dyDescent="0.25"/>
    <row r="195633" s="12" customFormat="1" x14ac:dyDescent="0.25"/>
    <row r="195634" s="12" customFormat="1" x14ac:dyDescent="0.25"/>
    <row r="195635" s="12" customFormat="1" x14ac:dyDescent="0.25"/>
    <row r="195636" s="12" customFormat="1" x14ac:dyDescent="0.25"/>
    <row r="195637" s="12" customFormat="1" x14ac:dyDescent="0.25"/>
    <row r="195638" s="12" customFormat="1" x14ac:dyDescent="0.25"/>
    <row r="195639" s="12" customFormat="1" x14ac:dyDescent="0.25"/>
    <row r="195640" s="12" customFormat="1" x14ac:dyDescent="0.25"/>
    <row r="195641" s="12" customFormat="1" x14ac:dyDescent="0.25"/>
    <row r="195642" s="12" customFormat="1" x14ac:dyDescent="0.25"/>
    <row r="195643" s="12" customFormat="1" x14ac:dyDescent="0.25"/>
    <row r="195644" s="12" customFormat="1" x14ac:dyDescent="0.25"/>
    <row r="195645" s="12" customFormat="1" x14ac:dyDescent="0.25"/>
    <row r="195646" s="12" customFormat="1" x14ac:dyDescent="0.25"/>
    <row r="195647" s="12" customFormat="1" x14ac:dyDescent="0.25"/>
    <row r="195648" s="12" customFormat="1" x14ac:dyDescent="0.25"/>
    <row r="195649" s="12" customFormat="1" x14ac:dyDescent="0.25"/>
    <row r="195650" s="12" customFormat="1" x14ac:dyDescent="0.25"/>
    <row r="195651" s="12" customFormat="1" x14ac:dyDescent="0.25"/>
    <row r="195652" s="12" customFormat="1" x14ac:dyDescent="0.25"/>
    <row r="195653" s="12" customFormat="1" x14ac:dyDescent="0.25"/>
    <row r="195654" s="12" customFormat="1" x14ac:dyDescent="0.25"/>
    <row r="195655" s="12" customFormat="1" x14ac:dyDescent="0.25"/>
    <row r="195656" s="12" customFormat="1" x14ac:dyDescent="0.25"/>
    <row r="195657" s="12" customFormat="1" x14ac:dyDescent="0.25"/>
    <row r="195658" s="12" customFormat="1" x14ac:dyDescent="0.25"/>
    <row r="195659" s="12" customFormat="1" x14ac:dyDescent="0.25"/>
    <row r="195660" s="12" customFormat="1" x14ac:dyDescent="0.25"/>
    <row r="195661" s="12" customFormat="1" x14ac:dyDescent="0.25"/>
    <row r="195662" s="12" customFormat="1" x14ac:dyDescent="0.25"/>
    <row r="195663" s="12" customFormat="1" x14ac:dyDescent="0.25"/>
    <row r="195664" s="12" customFormat="1" x14ac:dyDescent="0.25"/>
    <row r="195665" s="12" customFormat="1" x14ac:dyDescent="0.25"/>
    <row r="195666" s="12" customFormat="1" x14ac:dyDescent="0.25"/>
    <row r="195667" s="12" customFormat="1" x14ac:dyDescent="0.25"/>
    <row r="195668" s="12" customFormat="1" x14ac:dyDescent="0.25"/>
    <row r="195669" s="12" customFormat="1" x14ac:dyDescent="0.25"/>
    <row r="195670" s="12" customFormat="1" x14ac:dyDescent="0.25"/>
    <row r="195671" s="12" customFormat="1" x14ac:dyDescent="0.25"/>
    <row r="195672" s="12" customFormat="1" x14ac:dyDescent="0.25"/>
    <row r="195673" s="12" customFormat="1" x14ac:dyDescent="0.25"/>
    <row r="195674" s="12" customFormat="1" x14ac:dyDescent="0.25"/>
    <row r="195675" s="12" customFormat="1" x14ac:dyDescent="0.25"/>
    <row r="195676" s="12" customFormat="1" x14ac:dyDescent="0.25"/>
    <row r="195677" s="12" customFormat="1" x14ac:dyDescent="0.25"/>
    <row r="195678" s="12" customFormat="1" x14ac:dyDescent="0.25"/>
    <row r="195679" s="12" customFormat="1" x14ac:dyDescent="0.25"/>
    <row r="195680" s="12" customFormat="1" x14ac:dyDescent="0.25"/>
    <row r="195681" s="12" customFormat="1" x14ac:dyDescent="0.25"/>
    <row r="195682" s="12" customFormat="1" x14ac:dyDescent="0.25"/>
    <row r="195683" s="12" customFormat="1" x14ac:dyDescent="0.25"/>
    <row r="195684" s="12" customFormat="1" x14ac:dyDescent="0.25"/>
    <row r="195685" s="12" customFormat="1" x14ac:dyDescent="0.25"/>
    <row r="195686" s="12" customFormat="1" x14ac:dyDescent="0.25"/>
    <row r="195687" s="12" customFormat="1" x14ac:dyDescent="0.25"/>
    <row r="195688" s="12" customFormat="1" x14ac:dyDescent="0.25"/>
    <row r="195689" s="12" customFormat="1" x14ac:dyDescent="0.25"/>
    <row r="195690" s="12" customFormat="1" x14ac:dyDescent="0.25"/>
    <row r="195691" s="12" customFormat="1" x14ac:dyDescent="0.25"/>
    <row r="195692" s="12" customFormat="1" x14ac:dyDescent="0.25"/>
    <row r="195693" s="12" customFormat="1" x14ac:dyDescent="0.25"/>
    <row r="195694" s="12" customFormat="1" x14ac:dyDescent="0.25"/>
    <row r="195695" s="12" customFormat="1" x14ac:dyDescent="0.25"/>
    <row r="195696" s="12" customFormat="1" x14ac:dyDescent="0.25"/>
    <row r="195697" s="12" customFormat="1" x14ac:dyDescent="0.25"/>
    <row r="195698" s="12" customFormat="1" x14ac:dyDescent="0.25"/>
    <row r="195699" s="12" customFormat="1" x14ac:dyDescent="0.25"/>
    <row r="195700" s="12" customFormat="1" x14ac:dyDescent="0.25"/>
    <row r="195701" s="12" customFormat="1" x14ac:dyDescent="0.25"/>
    <row r="195702" s="12" customFormat="1" x14ac:dyDescent="0.25"/>
    <row r="195703" s="12" customFormat="1" x14ac:dyDescent="0.25"/>
    <row r="195704" s="12" customFormat="1" x14ac:dyDescent="0.25"/>
    <row r="195705" s="12" customFormat="1" x14ac:dyDescent="0.25"/>
    <row r="195706" s="12" customFormat="1" x14ac:dyDescent="0.25"/>
    <row r="195707" s="12" customFormat="1" x14ac:dyDescent="0.25"/>
    <row r="195708" s="12" customFormat="1" x14ac:dyDescent="0.25"/>
    <row r="195709" s="12" customFormat="1" x14ac:dyDescent="0.25"/>
    <row r="195710" s="12" customFormat="1" x14ac:dyDescent="0.25"/>
    <row r="195711" s="12" customFormat="1" x14ac:dyDescent="0.25"/>
    <row r="195712" s="12" customFormat="1" x14ac:dyDescent="0.25"/>
    <row r="195713" s="12" customFormat="1" x14ac:dyDescent="0.25"/>
    <row r="195714" s="12" customFormat="1" x14ac:dyDescent="0.25"/>
    <row r="195715" s="12" customFormat="1" x14ac:dyDescent="0.25"/>
    <row r="195716" s="12" customFormat="1" x14ac:dyDescent="0.25"/>
    <row r="195717" s="12" customFormat="1" x14ac:dyDescent="0.25"/>
    <row r="195718" s="12" customFormat="1" x14ac:dyDescent="0.25"/>
    <row r="195719" s="12" customFormat="1" x14ac:dyDescent="0.25"/>
    <row r="195720" s="12" customFormat="1" x14ac:dyDescent="0.25"/>
    <row r="195721" s="12" customFormat="1" x14ac:dyDescent="0.25"/>
    <row r="195722" s="12" customFormat="1" x14ac:dyDescent="0.25"/>
    <row r="195723" s="12" customFormat="1" x14ac:dyDescent="0.25"/>
    <row r="195724" s="12" customFormat="1" x14ac:dyDescent="0.25"/>
    <row r="195725" s="12" customFormat="1" x14ac:dyDescent="0.25"/>
    <row r="195726" s="12" customFormat="1" x14ac:dyDescent="0.25"/>
    <row r="195727" s="12" customFormat="1" x14ac:dyDescent="0.25"/>
    <row r="195728" s="12" customFormat="1" x14ac:dyDescent="0.25"/>
    <row r="195729" s="12" customFormat="1" x14ac:dyDescent="0.25"/>
    <row r="195730" s="12" customFormat="1" x14ac:dyDescent="0.25"/>
    <row r="195731" s="12" customFormat="1" x14ac:dyDescent="0.25"/>
    <row r="195732" s="12" customFormat="1" x14ac:dyDescent="0.25"/>
    <row r="195733" s="12" customFormat="1" x14ac:dyDescent="0.25"/>
    <row r="195734" s="12" customFormat="1" x14ac:dyDescent="0.25"/>
    <row r="195735" s="12" customFormat="1" x14ac:dyDescent="0.25"/>
    <row r="195736" s="12" customFormat="1" x14ac:dyDescent="0.25"/>
    <row r="195737" s="12" customFormat="1" x14ac:dyDescent="0.25"/>
    <row r="195738" s="12" customFormat="1" x14ac:dyDescent="0.25"/>
    <row r="195739" s="12" customFormat="1" x14ac:dyDescent="0.25"/>
    <row r="195740" s="12" customFormat="1" x14ac:dyDescent="0.25"/>
    <row r="195741" s="12" customFormat="1" x14ac:dyDescent="0.25"/>
    <row r="195742" s="12" customFormat="1" x14ac:dyDescent="0.25"/>
    <row r="195743" s="12" customFormat="1" x14ac:dyDescent="0.25"/>
    <row r="195744" s="12" customFormat="1" x14ac:dyDescent="0.25"/>
    <row r="195745" s="12" customFormat="1" x14ac:dyDescent="0.25"/>
    <row r="195746" s="12" customFormat="1" x14ac:dyDescent="0.25"/>
    <row r="195747" s="12" customFormat="1" x14ac:dyDescent="0.25"/>
    <row r="195748" s="12" customFormat="1" x14ac:dyDescent="0.25"/>
    <row r="195749" s="12" customFormat="1" x14ac:dyDescent="0.25"/>
    <row r="195750" s="12" customFormat="1" x14ac:dyDescent="0.25"/>
    <row r="195751" s="12" customFormat="1" x14ac:dyDescent="0.25"/>
    <row r="195752" s="12" customFormat="1" x14ac:dyDescent="0.25"/>
    <row r="195753" s="12" customFormat="1" x14ac:dyDescent="0.25"/>
    <row r="195754" s="12" customFormat="1" x14ac:dyDescent="0.25"/>
    <row r="195755" s="12" customFormat="1" x14ac:dyDescent="0.25"/>
    <row r="195756" s="12" customFormat="1" x14ac:dyDescent="0.25"/>
    <row r="195757" s="12" customFormat="1" x14ac:dyDescent="0.25"/>
    <row r="195758" s="12" customFormat="1" x14ac:dyDescent="0.25"/>
    <row r="195759" s="12" customFormat="1" x14ac:dyDescent="0.25"/>
    <row r="195760" s="12" customFormat="1" x14ac:dyDescent="0.25"/>
    <row r="195761" s="12" customFormat="1" x14ac:dyDescent="0.25"/>
    <row r="195762" s="12" customFormat="1" x14ac:dyDescent="0.25"/>
    <row r="195763" s="12" customFormat="1" x14ac:dyDescent="0.25"/>
    <row r="195764" s="12" customFormat="1" x14ac:dyDescent="0.25"/>
    <row r="195765" s="12" customFormat="1" x14ac:dyDescent="0.25"/>
    <row r="195766" s="12" customFormat="1" x14ac:dyDescent="0.25"/>
    <row r="195767" s="12" customFormat="1" x14ac:dyDescent="0.25"/>
    <row r="195768" s="12" customFormat="1" x14ac:dyDescent="0.25"/>
    <row r="195769" s="12" customFormat="1" x14ac:dyDescent="0.25"/>
    <row r="195770" s="12" customFormat="1" x14ac:dyDescent="0.25"/>
    <row r="195771" s="12" customFormat="1" x14ac:dyDescent="0.25"/>
    <row r="195772" s="12" customFormat="1" x14ac:dyDescent="0.25"/>
    <row r="195773" s="12" customFormat="1" x14ac:dyDescent="0.25"/>
    <row r="195774" s="12" customFormat="1" x14ac:dyDescent="0.25"/>
    <row r="195775" s="12" customFormat="1" x14ac:dyDescent="0.25"/>
    <row r="195776" s="12" customFormat="1" x14ac:dyDescent="0.25"/>
    <row r="195777" s="12" customFormat="1" x14ac:dyDescent="0.25"/>
    <row r="195778" s="12" customFormat="1" x14ac:dyDescent="0.25"/>
    <row r="195779" s="12" customFormat="1" x14ac:dyDescent="0.25"/>
    <row r="195780" s="12" customFormat="1" x14ac:dyDescent="0.25"/>
    <row r="195781" s="12" customFormat="1" x14ac:dyDescent="0.25"/>
    <row r="195782" s="12" customFormat="1" x14ac:dyDescent="0.25"/>
    <row r="195783" s="12" customFormat="1" x14ac:dyDescent="0.25"/>
    <row r="195784" s="12" customFormat="1" x14ac:dyDescent="0.25"/>
    <row r="195785" s="12" customFormat="1" x14ac:dyDescent="0.25"/>
    <row r="195786" s="12" customFormat="1" x14ac:dyDescent="0.25"/>
    <row r="195787" s="12" customFormat="1" x14ac:dyDescent="0.25"/>
    <row r="195788" s="12" customFormat="1" x14ac:dyDescent="0.25"/>
    <row r="195789" s="12" customFormat="1" x14ac:dyDescent="0.25"/>
    <row r="195790" s="12" customFormat="1" x14ac:dyDescent="0.25"/>
    <row r="195791" s="12" customFormat="1" x14ac:dyDescent="0.25"/>
    <row r="195792" s="12" customFormat="1" x14ac:dyDescent="0.25"/>
    <row r="195793" s="12" customFormat="1" x14ac:dyDescent="0.25"/>
    <row r="195794" s="12" customFormat="1" x14ac:dyDescent="0.25"/>
    <row r="195795" s="12" customFormat="1" x14ac:dyDescent="0.25"/>
    <row r="195796" s="12" customFormat="1" x14ac:dyDescent="0.25"/>
    <row r="195797" s="12" customFormat="1" x14ac:dyDescent="0.25"/>
    <row r="195798" s="12" customFormat="1" x14ac:dyDescent="0.25"/>
    <row r="195799" s="12" customFormat="1" x14ac:dyDescent="0.25"/>
    <row r="195800" s="12" customFormat="1" x14ac:dyDescent="0.25"/>
    <row r="195801" s="12" customFormat="1" x14ac:dyDescent="0.25"/>
    <row r="195802" s="12" customFormat="1" x14ac:dyDescent="0.25"/>
    <row r="195803" s="12" customFormat="1" x14ac:dyDescent="0.25"/>
    <row r="195804" s="12" customFormat="1" x14ac:dyDescent="0.25"/>
    <row r="195805" s="12" customFormat="1" x14ac:dyDescent="0.25"/>
    <row r="195806" s="12" customFormat="1" x14ac:dyDescent="0.25"/>
    <row r="195807" s="12" customFormat="1" x14ac:dyDescent="0.25"/>
    <row r="195808" s="12" customFormat="1" x14ac:dyDescent="0.25"/>
    <row r="195809" s="12" customFormat="1" x14ac:dyDescent="0.25"/>
    <row r="195810" s="12" customFormat="1" x14ac:dyDescent="0.25"/>
    <row r="195811" s="12" customFormat="1" x14ac:dyDescent="0.25"/>
    <row r="195812" s="12" customFormat="1" x14ac:dyDescent="0.25"/>
    <row r="195813" s="12" customFormat="1" x14ac:dyDescent="0.25"/>
    <row r="195814" s="12" customFormat="1" x14ac:dyDescent="0.25"/>
    <row r="195815" s="12" customFormat="1" x14ac:dyDescent="0.25"/>
    <row r="195816" s="12" customFormat="1" x14ac:dyDescent="0.25"/>
    <row r="195817" s="12" customFormat="1" x14ac:dyDescent="0.25"/>
    <row r="195818" s="12" customFormat="1" x14ac:dyDescent="0.25"/>
    <row r="195819" s="12" customFormat="1" x14ac:dyDescent="0.25"/>
    <row r="195820" s="12" customFormat="1" x14ac:dyDescent="0.25"/>
    <row r="195821" s="12" customFormat="1" x14ac:dyDescent="0.25"/>
    <row r="195822" s="12" customFormat="1" x14ac:dyDescent="0.25"/>
    <row r="195823" s="12" customFormat="1" x14ac:dyDescent="0.25"/>
    <row r="195824" s="12" customFormat="1" x14ac:dyDescent="0.25"/>
    <row r="195825" s="12" customFormat="1" x14ac:dyDescent="0.25"/>
    <row r="195826" s="12" customFormat="1" x14ac:dyDescent="0.25"/>
    <row r="195827" s="12" customFormat="1" x14ac:dyDescent="0.25"/>
    <row r="195828" s="12" customFormat="1" x14ac:dyDescent="0.25"/>
    <row r="195829" s="12" customFormat="1" x14ac:dyDescent="0.25"/>
    <row r="195830" s="12" customFormat="1" x14ac:dyDescent="0.25"/>
    <row r="195831" s="12" customFormat="1" x14ac:dyDescent="0.25"/>
    <row r="195832" s="12" customFormat="1" x14ac:dyDescent="0.25"/>
    <row r="195833" s="12" customFormat="1" x14ac:dyDescent="0.25"/>
    <row r="195834" s="12" customFormat="1" x14ac:dyDescent="0.25"/>
    <row r="195835" s="12" customFormat="1" x14ac:dyDescent="0.25"/>
    <row r="195836" s="12" customFormat="1" x14ac:dyDescent="0.25"/>
    <row r="195837" s="12" customFormat="1" x14ac:dyDescent="0.25"/>
    <row r="195838" s="12" customFormat="1" x14ac:dyDescent="0.25"/>
    <row r="195839" s="12" customFormat="1" x14ac:dyDescent="0.25"/>
    <row r="195840" s="12" customFormat="1" x14ac:dyDescent="0.25"/>
    <row r="195841" s="12" customFormat="1" x14ac:dyDescent="0.25"/>
    <row r="195842" s="12" customFormat="1" x14ac:dyDescent="0.25"/>
    <row r="195843" s="12" customFormat="1" x14ac:dyDescent="0.25"/>
    <row r="195844" s="12" customFormat="1" x14ac:dyDescent="0.25"/>
    <row r="195845" s="12" customFormat="1" x14ac:dyDescent="0.25"/>
    <row r="195846" s="12" customFormat="1" x14ac:dyDescent="0.25"/>
    <row r="195847" s="12" customFormat="1" x14ac:dyDescent="0.25"/>
    <row r="195848" s="12" customFormat="1" x14ac:dyDescent="0.25"/>
    <row r="195849" s="12" customFormat="1" x14ac:dyDescent="0.25"/>
    <row r="195850" s="12" customFormat="1" x14ac:dyDescent="0.25"/>
    <row r="195851" s="12" customFormat="1" x14ac:dyDescent="0.25"/>
    <row r="195852" s="12" customFormat="1" x14ac:dyDescent="0.25"/>
    <row r="195853" s="12" customFormat="1" x14ac:dyDescent="0.25"/>
    <row r="195854" s="12" customFormat="1" x14ac:dyDescent="0.25"/>
    <row r="195855" s="12" customFormat="1" x14ac:dyDescent="0.25"/>
    <row r="195856" s="12" customFormat="1" x14ac:dyDescent="0.25"/>
    <row r="195857" s="12" customFormat="1" x14ac:dyDescent="0.25"/>
    <row r="195858" s="12" customFormat="1" x14ac:dyDescent="0.25"/>
    <row r="195859" s="12" customFormat="1" x14ac:dyDescent="0.25"/>
    <row r="195860" s="12" customFormat="1" x14ac:dyDescent="0.25"/>
    <row r="195861" s="12" customFormat="1" x14ac:dyDescent="0.25"/>
    <row r="195862" s="12" customFormat="1" x14ac:dyDescent="0.25"/>
    <row r="195863" s="12" customFormat="1" x14ac:dyDescent="0.25"/>
    <row r="195864" s="12" customFormat="1" x14ac:dyDescent="0.25"/>
    <row r="195865" s="12" customFormat="1" x14ac:dyDescent="0.25"/>
    <row r="195866" s="12" customFormat="1" x14ac:dyDescent="0.25"/>
    <row r="195867" s="12" customFormat="1" x14ac:dyDescent="0.25"/>
    <row r="195868" s="12" customFormat="1" x14ac:dyDescent="0.25"/>
    <row r="195869" s="12" customFormat="1" x14ac:dyDescent="0.25"/>
    <row r="195870" s="12" customFormat="1" x14ac:dyDescent="0.25"/>
    <row r="195871" s="12" customFormat="1" x14ac:dyDescent="0.25"/>
    <row r="195872" s="12" customFormat="1" x14ac:dyDescent="0.25"/>
    <row r="195873" s="12" customFormat="1" x14ac:dyDescent="0.25"/>
    <row r="195874" s="12" customFormat="1" x14ac:dyDescent="0.25"/>
    <row r="195875" s="12" customFormat="1" x14ac:dyDescent="0.25"/>
    <row r="195876" s="12" customFormat="1" x14ac:dyDescent="0.25"/>
    <row r="195877" s="12" customFormat="1" x14ac:dyDescent="0.25"/>
    <row r="195878" s="12" customFormat="1" x14ac:dyDescent="0.25"/>
    <row r="195879" s="12" customFormat="1" x14ac:dyDescent="0.25"/>
    <row r="195880" s="12" customFormat="1" x14ac:dyDescent="0.25"/>
    <row r="195881" s="12" customFormat="1" x14ac:dyDescent="0.25"/>
    <row r="195882" s="12" customFormat="1" x14ac:dyDescent="0.25"/>
    <row r="195883" s="12" customFormat="1" x14ac:dyDescent="0.25"/>
    <row r="195884" s="12" customFormat="1" x14ac:dyDescent="0.25"/>
    <row r="195885" s="12" customFormat="1" x14ac:dyDescent="0.25"/>
    <row r="195886" s="12" customFormat="1" x14ac:dyDescent="0.25"/>
    <row r="195887" s="12" customFormat="1" x14ac:dyDescent="0.25"/>
    <row r="195888" s="12" customFormat="1" x14ac:dyDescent="0.25"/>
    <row r="195889" s="12" customFormat="1" x14ac:dyDescent="0.25"/>
    <row r="195890" s="12" customFormat="1" x14ac:dyDescent="0.25"/>
    <row r="195891" s="12" customFormat="1" x14ac:dyDescent="0.25"/>
    <row r="195892" s="12" customFormat="1" x14ac:dyDescent="0.25"/>
    <row r="195893" s="12" customFormat="1" x14ac:dyDescent="0.25"/>
    <row r="195894" s="12" customFormat="1" x14ac:dyDescent="0.25"/>
    <row r="195895" s="12" customFormat="1" x14ac:dyDescent="0.25"/>
    <row r="195896" s="12" customFormat="1" x14ac:dyDescent="0.25"/>
    <row r="195897" s="12" customFormat="1" x14ac:dyDescent="0.25"/>
    <row r="195898" s="12" customFormat="1" x14ac:dyDescent="0.25"/>
    <row r="195899" s="12" customFormat="1" x14ac:dyDescent="0.25"/>
    <row r="195900" s="12" customFormat="1" x14ac:dyDescent="0.25"/>
    <row r="195901" s="12" customFormat="1" x14ac:dyDescent="0.25"/>
    <row r="195902" s="12" customFormat="1" x14ac:dyDescent="0.25"/>
    <row r="195903" s="12" customFormat="1" x14ac:dyDescent="0.25"/>
    <row r="195904" s="12" customFormat="1" x14ac:dyDescent="0.25"/>
    <row r="195905" s="12" customFormat="1" x14ac:dyDescent="0.25"/>
    <row r="195906" s="12" customFormat="1" x14ac:dyDescent="0.25"/>
    <row r="195907" s="12" customFormat="1" x14ac:dyDescent="0.25"/>
    <row r="195908" s="12" customFormat="1" x14ac:dyDescent="0.25"/>
    <row r="195909" s="12" customFormat="1" x14ac:dyDescent="0.25"/>
    <row r="195910" s="12" customFormat="1" x14ac:dyDescent="0.25"/>
    <row r="195911" s="12" customFormat="1" x14ac:dyDescent="0.25"/>
    <row r="195912" s="12" customFormat="1" x14ac:dyDescent="0.25"/>
    <row r="195913" s="12" customFormat="1" x14ac:dyDescent="0.25"/>
    <row r="195914" s="12" customFormat="1" x14ac:dyDescent="0.25"/>
    <row r="195915" s="12" customFormat="1" x14ac:dyDescent="0.25"/>
    <row r="195916" s="12" customFormat="1" x14ac:dyDescent="0.25"/>
    <row r="195917" s="12" customFormat="1" x14ac:dyDescent="0.25"/>
    <row r="195918" s="12" customFormat="1" x14ac:dyDescent="0.25"/>
    <row r="195919" s="12" customFormat="1" x14ac:dyDescent="0.25"/>
    <row r="195920" s="12" customFormat="1" x14ac:dyDescent="0.25"/>
    <row r="195921" s="12" customFormat="1" x14ac:dyDescent="0.25"/>
    <row r="195922" s="12" customFormat="1" x14ac:dyDescent="0.25"/>
    <row r="195923" s="12" customFormat="1" x14ac:dyDescent="0.25"/>
    <row r="195924" s="12" customFormat="1" x14ac:dyDescent="0.25"/>
    <row r="195925" s="12" customFormat="1" x14ac:dyDescent="0.25"/>
    <row r="195926" s="12" customFormat="1" x14ac:dyDescent="0.25"/>
    <row r="195927" s="12" customFormat="1" x14ac:dyDescent="0.25"/>
    <row r="195928" s="12" customFormat="1" x14ac:dyDescent="0.25"/>
    <row r="195929" s="12" customFormat="1" x14ac:dyDescent="0.25"/>
    <row r="195930" s="12" customFormat="1" x14ac:dyDescent="0.25"/>
    <row r="195931" s="12" customFormat="1" x14ac:dyDescent="0.25"/>
    <row r="195932" s="12" customFormat="1" x14ac:dyDescent="0.25"/>
    <row r="195933" s="12" customFormat="1" x14ac:dyDescent="0.25"/>
    <row r="195934" s="12" customFormat="1" x14ac:dyDescent="0.25"/>
    <row r="195935" s="12" customFormat="1" x14ac:dyDescent="0.25"/>
    <row r="195936" s="12" customFormat="1" x14ac:dyDescent="0.25"/>
    <row r="195937" s="12" customFormat="1" x14ac:dyDescent="0.25"/>
    <row r="195938" s="12" customFormat="1" x14ac:dyDescent="0.25"/>
    <row r="195939" s="12" customFormat="1" x14ac:dyDescent="0.25"/>
    <row r="195940" s="12" customFormat="1" x14ac:dyDescent="0.25"/>
    <row r="195941" s="12" customFormat="1" x14ac:dyDescent="0.25"/>
    <row r="195942" s="12" customFormat="1" x14ac:dyDescent="0.25"/>
    <row r="195943" s="12" customFormat="1" x14ac:dyDescent="0.25"/>
    <row r="195944" s="12" customFormat="1" x14ac:dyDescent="0.25"/>
    <row r="195945" s="12" customFormat="1" x14ac:dyDescent="0.25"/>
    <row r="195946" s="12" customFormat="1" x14ac:dyDescent="0.25"/>
    <row r="195947" s="12" customFormat="1" x14ac:dyDescent="0.25"/>
    <row r="195948" s="12" customFormat="1" x14ac:dyDescent="0.25"/>
    <row r="195949" s="12" customFormat="1" x14ac:dyDescent="0.25"/>
    <row r="195950" s="12" customFormat="1" x14ac:dyDescent="0.25"/>
    <row r="195951" s="12" customFormat="1" x14ac:dyDescent="0.25"/>
    <row r="195952" s="12" customFormat="1" x14ac:dyDescent="0.25"/>
    <row r="195953" s="12" customFormat="1" x14ac:dyDescent="0.25"/>
    <row r="195954" s="12" customFormat="1" x14ac:dyDescent="0.25"/>
    <row r="195955" s="12" customFormat="1" x14ac:dyDescent="0.25"/>
    <row r="195956" s="12" customFormat="1" x14ac:dyDescent="0.25"/>
    <row r="195957" s="12" customFormat="1" x14ac:dyDescent="0.25"/>
    <row r="195958" s="12" customFormat="1" x14ac:dyDescent="0.25"/>
    <row r="195959" s="12" customFormat="1" x14ac:dyDescent="0.25"/>
    <row r="195960" s="12" customFormat="1" x14ac:dyDescent="0.25"/>
    <row r="195961" s="12" customFormat="1" x14ac:dyDescent="0.25"/>
    <row r="195962" s="12" customFormat="1" x14ac:dyDescent="0.25"/>
    <row r="195963" s="12" customFormat="1" x14ac:dyDescent="0.25"/>
    <row r="195964" s="12" customFormat="1" x14ac:dyDescent="0.25"/>
    <row r="195965" s="12" customFormat="1" x14ac:dyDescent="0.25"/>
    <row r="195966" s="12" customFormat="1" x14ac:dyDescent="0.25"/>
    <row r="195967" s="12" customFormat="1" x14ac:dyDescent="0.25"/>
    <row r="195968" s="12" customFormat="1" x14ac:dyDescent="0.25"/>
    <row r="195969" s="12" customFormat="1" x14ac:dyDescent="0.25"/>
    <row r="195970" s="12" customFormat="1" x14ac:dyDescent="0.25"/>
    <row r="195971" s="12" customFormat="1" x14ac:dyDescent="0.25"/>
    <row r="195972" s="12" customFormat="1" x14ac:dyDescent="0.25"/>
    <row r="195973" s="12" customFormat="1" x14ac:dyDescent="0.25"/>
    <row r="195974" s="12" customFormat="1" x14ac:dyDescent="0.25"/>
    <row r="195975" s="12" customFormat="1" x14ac:dyDescent="0.25"/>
    <row r="195976" s="12" customFormat="1" x14ac:dyDescent="0.25"/>
    <row r="195977" s="12" customFormat="1" x14ac:dyDescent="0.25"/>
    <row r="195978" s="12" customFormat="1" x14ac:dyDescent="0.25"/>
    <row r="195979" s="12" customFormat="1" x14ac:dyDescent="0.25"/>
    <row r="195980" s="12" customFormat="1" x14ac:dyDescent="0.25"/>
    <row r="195981" s="12" customFormat="1" x14ac:dyDescent="0.25"/>
    <row r="195982" s="12" customFormat="1" x14ac:dyDescent="0.25"/>
    <row r="195983" s="12" customFormat="1" x14ac:dyDescent="0.25"/>
    <row r="195984" s="12" customFormat="1" x14ac:dyDescent="0.25"/>
    <row r="195985" s="12" customFormat="1" x14ac:dyDescent="0.25"/>
    <row r="195986" s="12" customFormat="1" x14ac:dyDescent="0.25"/>
    <row r="195987" s="12" customFormat="1" x14ac:dyDescent="0.25"/>
    <row r="195988" s="12" customFormat="1" x14ac:dyDescent="0.25"/>
    <row r="195989" s="12" customFormat="1" x14ac:dyDescent="0.25"/>
    <row r="195990" s="12" customFormat="1" x14ac:dyDescent="0.25"/>
    <row r="195991" s="12" customFormat="1" x14ac:dyDescent="0.25"/>
    <row r="195992" s="12" customFormat="1" x14ac:dyDescent="0.25"/>
    <row r="195993" s="12" customFormat="1" x14ac:dyDescent="0.25"/>
    <row r="195994" s="12" customFormat="1" x14ac:dyDescent="0.25"/>
    <row r="195995" s="12" customFormat="1" x14ac:dyDescent="0.25"/>
    <row r="195996" s="12" customFormat="1" x14ac:dyDescent="0.25"/>
    <row r="195997" s="12" customFormat="1" x14ac:dyDescent="0.25"/>
    <row r="195998" s="12" customFormat="1" x14ac:dyDescent="0.25"/>
    <row r="195999" s="12" customFormat="1" x14ac:dyDescent="0.25"/>
    <row r="196000" s="12" customFormat="1" x14ac:dyDescent="0.25"/>
    <row r="196001" s="12" customFormat="1" x14ac:dyDescent="0.25"/>
    <row r="196002" s="12" customFormat="1" x14ac:dyDescent="0.25"/>
    <row r="196003" s="12" customFormat="1" x14ac:dyDescent="0.25"/>
    <row r="196004" s="12" customFormat="1" x14ac:dyDescent="0.25"/>
    <row r="196005" s="12" customFormat="1" x14ac:dyDescent="0.25"/>
    <row r="196006" s="12" customFormat="1" x14ac:dyDescent="0.25"/>
    <row r="196007" s="12" customFormat="1" x14ac:dyDescent="0.25"/>
    <row r="196008" s="12" customFormat="1" x14ac:dyDescent="0.25"/>
    <row r="196009" s="12" customFormat="1" x14ac:dyDescent="0.25"/>
    <row r="196010" s="12" customFormat="1" x14ac:dyDescent="0.25"/>
    <row r="196011" s="12" customFormat="1" x14ac:dyDescent="0.25"/>
    <row r="196012" s="12" customFormat="1" x14ac:dyDescent="0.25"/>
    <row r="196013" s="12" customFormat="1" x14ac:dyDescent="0.25"/>
    <row r="196014" s="12" customFormat="1" x14ac:dyDescent="0.25"/>
    <row r="196015" s="12" customFormat="1" x14ac:dyDescent="0.25"/>
    <row r="196016" s="12" customFormat="1" x14ac:dyDescent="0.25"/>
    <row r="196017" s="12" customFormat="1" x14ac:dyDescent="0.25"/>
    <row r="196018" s="12" customFormat="1" x14ac:dyDescent="0.25"/>
    <row r="196019" s="12" customFormat="1" x14ac:dyDescent="0.25"/>
    <row r="196020" s="12" customFormat="1" x14ac:dyDescent="0.25"/>
    <row r="196021" s="12" customFormat="1" x14ac:dyDescent="0.25"/>
    <row r="196022" s="12" customFormat="1" x14ac:dyDescent="0.25"/>
    <row r="196023" s="12" customFormat="1" x14ac:dyDescent="0.25"/>
    <row r="196024" s="12" customFormat="1" x14ac:dyDescent="0.25"/>
    <row r="196025" s="12" customFormat="1" x14ac:dyDescent="0.25"/>
    <row r="196026" s="12" customFormat="1" x14ac:dyDescent="0.25"/>
    <row r="196027" s="12" customFormat="1" x14ac:dyDescent="0.25"/>
    <row r="196028" s="12" customFormat="1" x14ac:dyDescent="0.25"/>
    <row r="196029" s="12" customFormat="1" x14ac:dyDescent="0.25"/>
    <row r="196030" s="12" customFormat="1" x14ac:dyDescent="0.25"/>
    <row r="196031" s="12" customFormat="1" x14ac:dyDescent="0.25"/>
    <row r="196032" s="12" customFormat="1" x14ac:dyDescent="0.25"/>
    <row r="196033" s="12" customFormat="1" x14ac:dyDescent="0.25"/>
    <row r="196034" s="12" customFormat="1" x14ac:dyDescent="0.25"/>
    <row r="196035" s="12" customFormat="1" x14ac:dyDescent="0.25"/>
    <row r="196036" s="12" customFormat="1" x14ac:dyDescent="0.25"/>
    <row r="196037" s="12" customFormat="1" x14ac:dyDescent="0.25"/>
    <row r="196038" s="12" customFormat="1" x14ac:dyDescent="0.25"/>
    <row r="196039" s="12" customFormat="1" x14ac:dyDescent="0.25"/>
    <row r="196040" s="12" customFormat="1" x14ac:dyDescent="0.25"/>
    <row r="196041" s="12" customFormat="1" x14ac:dyDescent="0.25"/>
    <row r="196042" s="12" customFormat="1" x14ac:dyDescent="0.25"/>
    <row r="196043" s="12" customFormat="1" x14ac:dyDescent="0.25"/>
    <row r="196044" s="12" customFormat="1" x14ac:dyDescent="0.25"/>
    <row r="196045" s="12" customFormat="1" x14ac:dyDescent="0.25"/>
    <row r="196046" s="12" customFormat="1" x14ac:dyDescent="0.25"/>
    <row r="196047" s="12" customFormat="1" x14ac:dyDescent="0.25"/>
    <row r="196048" s="12" customFormat="1" x14ac:dyDescent="0.25"/>
    <row r="196049" s="12" customFormat="1" x14ac:dyDescent="0.25"/>
    <row r="196050" s="12" customFormat="1" x14ac:dyDescent="0.25"/>
    <row r="196051" s="12" customFormat="1" x14ac:dyDescent="0.25"/>
    <row r="196052" s="12" customFormat="1" x14ac:dyDescent="0.25"/>
    <row r="196053" s="12" customFormat="1" x14ac:dyDescent="0.25"/>
    <row r="196054" s="12" customFormat="1" x14ac:dyDescent="0.25"/>
    <row r="196055" s="12" customFormat="1" x14ac:dyDescent="0.25"/>
    <row r="196056" s="12" customFormat="1" x14ac:dyDescent="0.25"/>
    <row r="196057" s="12" customFormat="1" x14ac:dyDescent="0.25"/>
    <row r="196058" s="12" customFormat="1" x14ac:dyDescent="0.25"/>
    <row r="196059" s="12" customFormat="1" x14ac:dyDescent="0.25"/>
    <row r="196060" s="12" customFormat="1" x14ac:dyDescent="0.25"/>
    <row r="196061" s="12" customFormat="1" x14ac:dyDescent="0.25"/>
    <row r="196062" s="12" customFormat="1" x14ac:dyDescent="0.25"/>
    <row r="196063" s="12" customFormat="1" x14ac:dyDescent="0.25"/>
    <row r="196064" s="12" customFormat="1" x14ac:dyDescent="0.25"/>
    <row r="196065" s="12" customFormat="1" x14ac:dyDescent="0.25"/>
    <row r="196066" s="12" customFormat="1" x14ac:dyDescent="0.25"/>
    <row r="196067" s="12" customFormat="1" x14ac:dyDescent="0.25"/>
    <row r="196068" s="12" customFormat="1" x14ac:dyDescent="0.25"/>
    <row r="196069" s="12" customFormat="1" x14ac:dyDescent="0.25"/>
    <row r="196070" s="12" customFormat="1" x14ac:dyDescent="0.25"/>
    <row r="196071" s="12" customFormat="1" x14ac:dyDescent="0.25"/>
    <row r="196072" s="12" customFormat="1" x14ac:dyDescent="0.25"/>
    <row r="196073" s="12" customFormat="1" x14ac:dyDescent="0.25"/>
    <row r="196074" s="12" customFormat="1" x14ac:dyDescent="0.25"/>
    <row r="196075" s="12" customFormat="1" x14ac:dyDescent="0.25"/>
    <row r="196076" s="12" customFormat="1" x14ac:dyDescent="0.25"/>
    <row r="196077" s="12" customFormat="1" x14ac:dyDescent="0.25"/>
    <row r="196078" s="12" customFormat="1" x14ac:dyDescent="0.25"/>
    <row r="196079" s="12" customFormat="1" x14ac:dyDescent="0.25"/>
    <row r="196080" s="12" customFormat="1" x14ac:dyDescent="0.25"/>
    <row r="196081" s="12" customFormat="1" x14ac:dyDescent="0.25"/>
    <row r="196082" s="12" customFormat="1" x14ac:dyDescent="0.25"/>
    <row r="196083" s="12" customFormat="1" x14ac:dyDescent="0.25"/>
    <row r="196084" s="12" customFormat="1" x14ac:dyDescent="0.25"/>
    <row r="196085" s="12" customFormat="1" x14ac:dyDescent="0.25"/>
    <row r="196086" s="12" customFormat="1" x14ac:dyDescent="0.25"/>
    <row r="196087" s="12" customFormat="1" x14ac:dyDescent="0.25"/>
    <row r="196088" s="12" customFormat="1" x14ac:dyDescent="0.25"/>
    <row r="196089" s="12" customFormat="1" x14ac:dyDescent="0.25"/>
    <row r="196090" s="12" customFormat="1" x14ac:dyDescent="0.25"/>
    <row r="196091" s="12" customFormat="1" x14ac:dyDescent="0.25"/>
    <row r="196092" s="12" customFormat="1" x14ac:dyDescent="0.25"/>
    <row r="196093" s="12" customFormat="1" x14ac:dyDescent="0.25"/>
    <row r="196094" s="12" customFormat="1" x14ac:dyDescent="0.25"/>
    <row r="196095" s="12" customFormat="1" x14ac:dyDescent="0.25"/>
    <row r="196096" s="12" customFormat="1" x14ac:dyDescent="0.25"/>
    <row r="196097" s="12" customFormat="1" x14ac:dyDescent="0.25"/>
    <row r="196098" s="12" customFormat="1" x14ac:dyDescent="0.25"/>
    <row r="196099" s="12" customFormat="1" x14ac:dyDescent="0.25"/>
    <row r="196100" s="12" customFormat="1" x14ac:dyDescent="0.25"/>
    <row r="196101" s="12" customFormat="1" x14ac:dyDescent="0.25"/>
    <row r="196102" s="12" customFormat="1" x14ac:dyDescent="0.25"/>
    <row r="196103" s="12" customFormat="1" x14ac:dyDescent="0.25"/>
    <row r="196104" s="12" customFormat="1" x14ac:dyDescent="0.25"/>
    <row r="196105" s="12" customFormat="1" x14ac:dyDescent="0.25"/>
    <row r="196106" s="12" customFormat="1" x14ac:dyDescent="0.25"/>
    <row r="196107" s="12" customFormat="1" x14ac:dyDescent="0.25"/>
    <row r="196108" s="12" customFormat="1" x14ac:dyDescent="0.25"/>
    <row r="196109" s="12" customFormat="1" x14ac:dyDescent="0.25"/>
    <row r="196110" s="12" customFormat="1" x14ac:dyDescent="0.25"/>
    <row r="196111" s="12" customFormat="1" x14ac:dyDescent="0.25"/>
    <row r="196112" s="12" customFormat="1" x14ac:dyDescent="0.25"/>
    <row r="196113" s="12" customFormat="1" x14ac:dyDescent="0.25"/>
    <row r="196114" s="12" customFormat="1" x14ac:dyDescent="0.25"/>
    <row r="196115" s="12" customFormat="1" x14ac:dyDescent="0.25"/>
    <row r="196116" s="12" customFormat="1" x14ac:dyDescent="0.25"/>
    <row r="196117" s="12" customFormat="1" x14ac:dyDescent="0.25"/>
    <row r="196118" s="12" customFormat="1" x14ac:dyDescent="0.25"/>
    <row r="196119" s="12" customFormat="1" x14ac:dyDescent="0.25"/>
    <row r="196120" s="12" customFormat="1" x14ac:dyDescent="0.25"/>
    <row r="196121" s="12" customFormat="1" x14ac:dyDescent="0.25"/>
    <row r="196122" s="12" customFormat="1" x14ac:dyDescent="0.25"/>
    <row r="196123" s="12" customFormat="1" x14ac:dyDescent="0.25"/>
    <row r="196124" s="12" customFormat="1" x14ac:dyDescent="0.25"/>
    <row r="196125" s="12" customFormat="1" x14ac:dyDescent="0.25"/>
    <row r="196126" s="12" customFormat="1" x14ac:dyDescent="0.25"/>
    <row r="196127" s="12" customFormat="1" x14ac:dyDescent="0.25"/>
    <row r="196128" s="12" customFormat="1" x14ac:dyDescent="0.25"/>
    <row r="196129" s="12" customFormat="1" x14ac:dyDescent="0.25"/>
    <row r="196130" s="12" customFormat="1" x14ac:dyDescent="0.25"/>
    <row r="196131" s="12" customFormat="1" x14ac:dyDescent="0.25"/>
    <row r="196132" s="12" customFormat="1" x14ac:dyDescent="0.25"/>
    <row r="196133" s="12" customFormat="1" x14ac:dyDescent="0.25"/>
    <row r="196134" s="12" customFormat="1" x14ac:dyDescent="0.25"/>
    <row r="196135" s="12" customFormat="1" x14ac:dyDescent="0.25"/>
    <row r="196136" s="12" customFormat="1" x14ac:dyDescent="0.25"/>
    <row r="196137" s="12" customFormat="1" x14ac:dyDescent="0.25"/>
    <row r="196138" s="12" customFormat="1" x14ac:dyDescent="0.25"/>
    <row r="196139" s="12" customFormat="1" x14ac:dyDescent="0.25"/>
    <row r="196140" s="12" customFormat="1" x14ac:dyDescent="0.25"/>
    <row r="196141" s="12" customFormat="1" x14ac:dyDescent="0.25"/>
    <row r="196142" s="12" customFormat="1" x14ac:dyDescent="0.25"/>
    <row r="196143" s="12" customFormat="1" x14ac:dyDescent="0.25"/>
    <row r="196144" s="12" customFormat="1" x14ac:dyDescent="0.25"/>
    <row r="196145" s="12" customFormat="1" x14ac:dyDescent="0.25"/>
    <row r="196146" s="12" customFormat="1" x14ac:dyDescent="0.25"/>
    <row r="196147" s="12" customFormat="1" x14ac:dyDescent="0.25"/>
    <row r="196148" s="12" customFormat="1" x14ac:dyDescent="0.25"/>
    <row r="196149" s="12" customFormat="1" x14ac:dyDescent="0.25"/>
    <row r="196150" s="12" customFormat="1" x14ac:dyDescent="0.25"/>
    <row r="196151" s="12" customFormat="1" x14ac:dyDescent="0.25"/>
    <row r="196152" s="12" customFormat="1" x14ac:dyDescent="0.25"/>
    <row r="196153" s="12" customFormat="1" x14ac:dyDescent="0.25"/>
    <row r="196154" s="12" customFormat="1" x14ac:dyDescent="0.25"/>
    <row r="196155" s="12" customFormat="1" x14ac:dyDescent="0.25"/>
    <row r="196156" s="12" customFormat="1" x14ac:dyDescent="0.25"/>
    <row r="196157" s="12" customFormat="1" x14ac:dyDescent="0.25"/>
    <row r="196158" s="12" customFormat="1" x14ac:dyDescent="0.25"/>
    <row r="196159" s="12" customFormat="1" x14ac:dyDescent="0.25"/>
    <row r="196160" s="12" customFormat="1" x14ac:dyDescent="0.25"/>
    <row r="196161" s="12" customFormat="1" x14ac:dyDescent="0.25"/>
    <row r="196162" s="12" customFormat="1" x14ac:dyDescent="0.25"/>
    <row r="196163" s="12" customFormat="1" x14ac:dyDescent="0.25"/>
    <row r="196164" s="12" customFormat="1" x14ac:dyDescent="0.25"/>
    <row r="196165" s="12" customFormat="1" x14ac:dyDescent="0.25"/>
    <row r="196166" s="12" customFormat="1" x14ac:dyDescent="0.25"/>
    <row r="196167" s="12" customFormat="1" x14ac:dyDescent="0.25"/>
    <row r="196168" s="12" customFormat="1" x14ac:dyDescent="0.25"/>
    <row r="196169" s="12" customFormat="1" x14ac:dyDescent="0.25"/>
    <row r="196170" s="12" customFormat="1" x14ac:dyDescent="0.25"/>
    <row r="196171" s="12" customFormat="1" x14ac:dyDescent="0.25"/>
    <row r="196172" s="12" customFormat="1" x14ac:dyDescent="0.25"/>
    <row r="196173" s="12" customFormat="1" x14ac:dyDescent="0.25"/>
    <row r="196174" s="12" customFormat="1" x14ac:dyDescent="0.25"/>
    <row r="196175" s="12" customFormat="1" x14ac:dyDescent="0.25"/>
    <row r="196176" s="12" customFormat="1" x14ac:dyDescent="0.25"/>
    <row r="196177" s="12" customFormat="1" x14ac:dyDescent="0.25"/>
    <row r="196178" s="12" customFormat="1" x14ac:dyDescent="0.25"/>
    <row r="196179" s="12" customFormat="1" x14ac:dyDescent="0.25"/>
    <row r="196180" s="12" customFormat="1" x14ac:dyDescent="0.25"/>
    <row r="196181" s="12" customFormat="1" x14ac:dyDescent="0.25"/>
    <row r="196182" s="12" customFormat="1" x14ac:dyDescent="0.25"/>
    <row r="196183" s="12" customFormat="1" x14ac:dyDescent="0.25"/>
    <row r="196184" s="12" customFormat="1" x14ac:dyDescent="0.25"/>
    <row r="196185" s="12" customFormat="1" x14ac:dyDescent="0.25"/>
    <row r="196186" s="12" customFormat="1" x14ac:dyDescent="0.25"/>
    <row r="196187" s="12" customFormat="1" x14ac:dyDescent="0.25"/>
    <row r="196188" s="12" customFormat="1" x14ac:dyDescent="0.25"/>
    <row r="196189" s="12" customFormat="1" x14ac:dyDescent="0.25"/>
    <row r="196190" s="12" customFormat="1" x14ac:dyDescent="0.25"/>
    <row r="196191" s="12" customFormat="1" x14ac:dyDescent="0.25"/>
    <row r="196192" s="12" customFormat="1" x14ac:dyDescent="0.25"/>
    <row r="196193" s="12" customFormat="1" x14ac:dyDescent="0.25"/>
    <row r="196194" s="12" customFormat="1" x14ac:dyDescent="0.25"/>
    <row r="196195" s="12" customFormat="1" x14ac:dyDescent="0.25"/>
    <row r="196196" s="12" customFormat="1" x14ac:dyDescent="0.25"/>
    <row r="196197" s="12" customFormat="1" x14ac:dyDescent="0.25"/>
    <row r="196198" s="12" customFormat="1" x14ac:dyDescent="0.25"/>
    <row r="196199" s="12" customFormat="1" x14ac:dyDescent="0.25"/>
    <row r="196200" s="12" customFormat="1" x14ac:dyDescent="0.25"/>
    <row r="196201" s="12" customFormat="1" x14ac:dyDescent="0.25"/>
    <row r="196202" s="12" customFormat="1" x14ac:dyDescent="0.25"/>
    <row r="196203" s="12" customFormat="1" x14ac:dyDescent="0.25"/>
    <row r="196204" s="12" customFormat="1" x14ac:dyDescent="0.25"/>
    <row r="196205" s="12" customFormat="1" x14ac:dyDescent="0.25"/>
    <row r="196206" s="12" customFormat="1" x14ac:dyDescent="0.25"/>
    <row r="196207" s="12" customFormat="1" x14ac:dyDescent="0.25"/>
    <row r="196208" s="12" customFormat="1" x14ac:dyDescent="0.25"/>
    <row r="196209" s="12" customFormat="1" x14ac:dyDescent="0.25"/>
    <row r="196210" s="12" customFormat="1" x14ac:dyDescent="0.25"/>
    <row r="196211" s="12" customFormat="1" x14ac:dyDescent="0.25"/>
    <row r="196212" s="12" customFormat="1" x14ac:dyDescent="0.25"/>
    <row r="196213" s="12" customFormat="1" x14ac:dyDescent="0.25"/>
    <row r="196214" s="12" customFormat="1" x14ac:dyDescent="0.25"/>
    <row r="196215" s="12" customFormat="1" x14ac:dyDescent="0.25"/>
    <row r="196216" s="12" customFormat="1" x14ac:dyDescent="0.25"/>
    <row r="196217" s="12" customFormat="1" x14ac:dyDescent="0.25"/>
    <row r="196218" s="12" customFormat="1" x14ac:dyDescent="0.25"/>
    <row r="196219" s="12" customFormat="1" x14ac:dyDescent="0.25"/>
    <row r="196220" s="12" customFormat="1" x14ac:dyDescent="0.25"/>
    <row r="196221" s="12" customFormat="1" x14ac:dyDescent="0.25"/>
    <row r="196222" s="12" customFormat="1" x14ac:dyDescent="0.25"/>
    <row r="196223" s="12" customFormat="1" x14ac:dyDescent="0.25"/>
    <row r="196224" s="12" customFormat="1" x14ac:dyDescent="0.25"/>
    <row r="196225" s="12" customFormat="1" x14ac:dyDescent="0.25"/>
    <row r="196226" s="12" customFormat="1" x14ac:dyDescent="0.25"/>
    <row r="196227" s="12" customFormat="1" x14ac:dyDescent="0.25"/>
    <row r="196228" s="12" customFormat="1" x14ac:dyDescent="0.25"/>
    <row r="196229" s="12" customFormat="1" x14ac:dyDescent="0.25"/>
    <row r="196230" s="12" customFormat="1" x14ac:dyDescent="0.25"/>
    <row r="196231" s="12" customFormat="1" x14ac:dyDescent="0.25"/>
    <row r="196232" s="12" customFormat="1" x14ac:dyDescent="0.25"/>
    <row r="196233" s="12" customFormat="1" x14ac:dyDescent="0.25"/>
    <row r="196234" s="12" customFormat="1" x14ac:dyDescent="0.25"/>
    <row r="196235" s="12" customFormat="1" x14ac:dyDescent="0.25"/>
    <row r="196236" s="12" customFormat="1" x14ac:dyDescent="0.25"/>
    <row r="196237" s="12" customFormat="1" x14ac:dyDescent="0.25"/>
    <row r="196238" s="12" customFormat="1" x14ac:dyDescent="0.25"/>
    <row r="196239" s="12" customFormat="1" x14ac:dyDescent="0.25"/>
    <row r="196240" s="12" customFormat="1" x14ac:dyDescent="0.25"/>
    <row r="196241" s="12" customFormat="1" x14ac:dyDescent="0.25"/>
    <row r="196242" s="12" customFormat="1" x14ac:dyDescent="0.25"/>
    <row r="196243" s="12" customFormat="1" x14ac:dyDescent="0.25"/>
    <row r="196244" s="12" customFormat="1" x14ac:dyDescent="0.25"/>
    <row r="196245" s="12" customFormat="1" x14ac:dyDescent="0.25"/>
    <row r="196246" s="12" customFormat="1" x14ac:dyDescent="0.25"/>
    <row r="196247" s="12" customFormat="1" x14ac:dyDescent="0.25"/>
    <row r="196248" s="12" customFormat="1" x14ac:dyDescent="0.25"/>
    <row r="196249" s="12" customFormat="1" x14ac:dyDescent="0.25"/>
    <row r="196250" s="12" customFormat="1" x14ac:dyDescent="0.25"/>
    <row r="196251" s="12" customFormat="1" x14ac:dyDescent="0.25"/>
    <row r="196252" s="12" customFormat="1" x14ac:dyDescent="0.25"/>
    <row r="196253" s="12" customFormat="1" x14ac:dyDescent="0.25"/>
    <row r="196254" s="12" customFormat="1" x14ac:dyDescent="0.25"/>
    <row r="196255" s="12" customFormat="1" x14ac:dyDescent="0.25"/>
    <row r="196256" s="12" customFormat="1" x14ac:dyDescent="0.25"/>
    <row r="196257" s="12" customFormat="1" x14ac:dyDescent="0.25"/>
    <row r="196258" s="12" customFormat="1" x14ac:dyDescent="0.25"/>
    <row r="196259" s="12" customFormat="1" x14ac:dyDescent="0.25"/>
    <row r="196260" s="12" customFormat="1" x14ac:dyDescent="0.25"/>
    <row r="196261" s="12" customFormat="1" x14ac:dyDescent="0.25"/>
    <row r="196262" s="12" customFormat="1" x14ac:dyDescent="0.25"/>
    <row r="196263" s="12" customFormat="1" x14ac:dyDescent="0.25"/>
    <row r="196264" s="12" customFormat="1" x14ac:dyDescent="0.25"/>
    <row r="196265" s="12" customFormat="1" x14ac:dyDescent="0.25"/>
    <row r="196266" s="12" customFormat="1" x14ac:dyDescent="0.25"/>
    <row r="196267" s="12" customFormat="1" x14ac:dyDescent="0.25"/>
    <row r="196268" s="12" customFormat="1" x14ac:dyDescent="0.25"/>
    <row r="196269" s="12" customFormat="1" x14ac:dyDescent="0.25"/>
    <row r="196270" s="12" customFormat="1" x14ac:dyDescent="0.25"/>
    <row r="196271" s="12" customFormat="1" x14ac:dyDescent="0.25"/>
    <row r="196272" s="12" customFormat="1" x14ac:dyDescent="0.25"/>
    <row r="196273" s="12" customFormat="1" x14ac:dyDescent="0.25"/>
    <row r="196274" s="12" customFormat="1" x14ac:dyDescent="0.25"/>
    <row r="196275" s="12" customFormat="1" x14ac:dyDescent="0.25"/>
    <row r="196276" s="12" customFormat="1" x14ac:dyDescent="0.25"/>
    <row r="196277" s="12" customFormat="1" x14ac:dyDescent="0.25"/>
    <row r="196278" s="12" customFormat="1" x14ac:dyDescent="0.25"/>
    <row r="196279" s="12" customFormat="1" x14ac:dyDescent="0.25"/>
    <row r="196280" s="12" customFormat="1" x14ac:dyDescent="0.25"/>
    <row r="196281" s="12" customFormat="1" x14ac:dyDescent="0.25"/>
    <row r="196282" s="12" customFormat="1" x14ac:dyDescent="0.25"/>
    <row r="196283" s="12" customFormat="1" x14ac:dyDescent="0.25"/>
    <row r="196284" s="12" customFormat="1" x14ac:dyDescent="0.25"/>
    <row r="196285" s="12" customFormat="1" x14ac:dyDescent="0.25"/>
    <row r="196286" s="12" customFormat="1" x14ac:dyDescent="0.25"/>
    <row r="196287" s="12" customFormat="1" x14ac:dyDescent="0.25"/>
    <row r="196288" s="12" customFormat="1" x14ac:dyDescent="0.25"/>
    <row r="196289" s="12" customFormat="1" x14ac:dyDescent="0.25"/>
    <row r="196290" s="12" customFormat="1" x14ac:dyDescent="0.25"/>
    <row r="196291" s="12" customFormat="1" x14ac:dyDescent="0.25"/>
    <row r="196292" s="12" customFormat="1" x14ac:dyDescent="0.25"/>
    <row r="196293" s="12" customFormat="1" x14ac:dyDescent="0.25"/>
    <row r="196294" s="12" customFormat="1" x14ac:dyDescent="0.25"/>
    <row r="196295" s="12" customFormat="1" x14ac:dyDescent="0.25"/>
    <row r="196296" s="12" customFormat="1" x14ac:dyDescent="0.25"/>
    <row r="196297" s="12" customFormat="1" x14ac:dyDescent="0.25"/>
    <row r="196298" s="12" customFormat="1" x14ac:dyDescent="0.25"/>
    <row r="196299" s="12" customFormat="1" x14ac:dyDescent="0.25"/>
    <row r="196300" s="12" customFormat="1" x14ac:dyDescent="0.25"/>
    <row r="196301" s="12" customFormat="1" x14ac:dyDescent="0.25"/>
    <row r="196302" s="12" customFormat="1" x14ac:dyDescent="0.25"/>
    <row r="196303" s="12" customFormat="1" x14ac:dyDescent="0.25"/>
    <row r="196304" s="12" customFormat="1" x14ac:dyDescent="0.25"/>
    <row r="196305" s="12" customFormat="1" x14ac:dyDescent="0.25"/>
    <row r="196306" s="12" customFormat="1" x14ac:dyDescent="0.25"/>
    <row r="196307" s="12" customFormat="1" x14ac:dyDescent="0.25"/>
    <row r="196308" s="12" customFormat="1" x14ac:dyDescent="0.25"/>
    <row r="196309" s="12" customFormat="1" x14ac:dyDescent="0.25"/>
    <row r="196310" s="12" customFormat="1" x14ac:dyDescent="0.25"/>
    <row r="196311" s="12" customFormat="1" x14ac:dyDescent="0.25"/>
    <row r="196312" s="12" customFormat="1" x14ac:dyDescent="0.25"/>
    <row r="196313" s="12" customFormat="1" x14ac:dyDescent="0.25"/>
    <row r="196314" s="12" customFormat="1" x14ac:dyDescent="0.25"/>
    <row r="196315" s="12" customFormat="1" x14ac:dyDescent="0.25"/>
    <row r="196316" s="12" customFormat="1" x14ac:dyDescent="0.25"/>
    <row r="196317" s="12" customFormat="1" x14ac:dyDescent="0.25"/>
    <row r="196318" s="12" customFormat="1" x14ac:dyDescent="0.25"/>
    <row r="196319" s="12" customFormat="1" x14ac:dyDescent="0.25"/>
    <row r="196320" s="12" customFormat="1" x14ac:dyDescent="0.25"/>
    <row r="196321" s="12" customFormat="1" x14ac:dyDescent="0.25"/>
    <row r="196322" s="12" customFormat="1" x14ac:dyDescent="0.25"/>
    <row r="196323" s="12" customFormat="1" x14ac:dyDescent="0.25"/>
    <row r="196324" s="12" customFormat="1" x14ac:dyDescent="0.25"/>
    <row r="196325" s="12" customFormat="1" x14ac:dyDescent="0.25"/>
    <row r="196326" s="12" customFormat="1" x14ac:dyDescent="0.25"/>
    <row r="196327" s="12" customFormat="1" x14ac:dyDescent="0.25"/>
    <row r="196328" s="12" customFormat="1" x14ac:dyDescent="0.25"/>
    <row r="196329" s="12" customFormat="1" x14ac:dyDescent="0.25"/>
    <row r="196330" s="12" customFormat="1" x14ac:dyDescent="0.25"/>
    <row r="196331" s="12" customFormat="1" x14ac:dyDescent="0.25"/>
    <row r="196332" s="12" customFormat="1" x14ac:dyDescent="0.25"/>
    <row r="196333" s="12" customFormat="1" x14ac:dyDescent="0.25"/>
    <row r="196334" s="12" customFormat="1" x14ac:dyDescent="0.25"/>
    <row r="196335" s="12" customFormat="1" x14ac:dyDescent="0.25"/>
    <row r="196336" s="12" customFormat="1" x14ac:dyDescent="0.25"/>
    <row r="196337" s="12" customFormat="1" x14ac:dyDescent="0.25"/>
    <row r="196338" s="12" customFormat="1" x14ac:dyDescent="0.25"/>
    <row r="196339" s="12" customFormat="1" x14ac:dyDescent="0.25"/>
    <row r="196340" s="12" customFormat="1" x14ac:dyDescent="0.25"/>
    <row r="196341" s="12" customFormat="1" x14ac:dyDescent="0.25"/>
    <row r="196342" s="12" customFormat="1" x14ac:dyDescent="0.25"/>
    <row r="196343" s="12" customFormat="1" x14ac:dyDescent="0.25"/>
    <row r="196344" s="12" customFormat="1" x14ac:dyDescent="0.25"/>
    <row r="196345" s="12" customFormat="1" x14ac:dyDescent="0.25"/>
    <row r="196346" s="12" customFormat="1" x14ac:dyDescent="0.25"/>
    <row r="196347" s="12" customFormat="1" x14ac:dyDescent="0.25"/>
    <row r="196348" s="12" customFormat="1" x14ac:dyDescent="0.25"/>
    <row r="196349" s="12" customFormat="1" x14ac:dyDescent="0.25"/>
    <row r="196350" s="12" customFormat="1" x14ac:dyDescent="0.25"/>
    <row r="196351" s="12" customFormat="1" x14ac:dyDescent="0.25"/>
    <row r="196352" s="12" customFormat="1" x14ac:dyDescent="0.25"/>
    <row r="196353" s="12" customFormat="1" x14ac:dyDescent="0.25"/>
    <row r="196354" s="12" customFormat="1" x14ac:dyDescent="0.25"/>
    <row r="196355" s="12" customFormat="1" x14ac:dyDescent="0.25"/>
    <row r="196356" s="12" customFormat="1" x14ac:dyDescent="0.25"/>
    <row r="196357" s="12" customFormat="1" x14ac:dyDescent="0.25"/>
    <row r="196358" s="12" customFormat="1" x14ac:dyDescent="0.25"/>
    <row r="196359" s="12" customFormat="1" x14ac:dyDescent="0.25"/>
    <row r="196360" s="12" customFormat="1" x14ac:dyDescent="0.25"/>
    <row r="196361" s="12" customFormat="1" x14ac:dyDescent="0.25"/>
    <row r="196362" s="12" customFormat="1" x14ac:dyDescent="0.25"/>
    <row r="196363" s="12" customFormat="1" x14ac:dyDescent="0.25"/>
    <row r="196364" s="12" customFormat="1" x14ac:dyDescent="0.25"/>
    <row r="196365" s="12" customFormat="1" x14ac:dyDescent="0.25"/>
    <row r="196366" s="12" customFormat="1" x14ac:dyDescent="0.25"/>
    <row r="196367" s="12" customFormat="1" x14ac:dyDescent="0.25"/>
    <row r="196368" s="12" customFormat="1" x14ac:dyDescent="0.25"/>
    <row r="196369" s="12" customFormat="1" x14ac:dyDescent="0.25"/>
    <row r="196370" s="12" customFormat="1" x14ac:dyDescent="0.25"/>
    <row r="196371" s="12" customFormat="1" x14ac:dyDescent="0.25"/>
    <row r="196372" s="12" customFormat="1" x14ac:dyDescent="0.25"/>
    <row r="196373" s="12" customFormat="1" x14ac:dyDescent="0.25"/>
    <row r="196374" s="12" customFormat="1" x14ac:dyDescent="0.25"/>
    <row r="196375" s="12" customFormat="1" x14ac:dyDescent="0.25"/>
    <row r="196376" s="12" customFormat="1" x14ac:dyDescent="0.25"/>
    <row r="196377" s="12" customFormat="1" x14ac:dyDescent="0.25"/>
    <row r="196378" s="12" customFormat="1" x14ac:dyDescent="0.25"/>
    <row r="196379" s="12" customFormat="1" x14ac:dyDescent="0.25"/>
    <row r="196380" s="12" customFormat="1" x14ac:dyDescent="0.25"/>
    <row r="196381" s="12" customFormat="1" x14ac:dyDescent="0.25"/>
    <row r="196382" s="12" customFormat="1" x14ac:dyDescent="0.25"/>
    <row r="196383" s="12" customFormat="1" x14ac:dyDescent="0.25"/>
    <row r="196384" s="12" customFormat="1" x14ac:dyDescent="0.25"/>
    <row r="196385" s="12" customFormat="1" x14ac:dyDescent="0.25"/>
    <row r="196386" s="12" customFormat="1" x14ac:dyDescent="0.25"/>
    <row r="196387" s="12" customFormat="1" x14ac:dyDescent="0.25"/>
    <row r="196388" s="12" customFormat="1" x14ac:dyDescent="0.25"/>
    <row r="196389" s="12" customFormat="1" x14ac:dyDescent="0.25"/>
    <row r="196390" s="12" customFormat="1" x14ac:dyDescent="0.25"/>
    <row r="196391" s="12" customFormat="1" x14ac:dyDescent="0.25"/>
    <row r="196392" s="12" customFormat="1" x14ac:dyDescent="0.25"/>
    <row r="196393" s="12" customFormat="1" x14ac:dyDescent="0.25"/>
    <row r="196394" s="12" customFormat="1" x14ac:dyDescent="0.25"/>
    <row r="196395" s="12" customFormat="1" x14ac:dyDescent="0.25"/>
    <row r="196396" s="12" customFormat="1" x14ac:dyDescent="0.25"/>
    <row r="196397" s="12" customFormat="1" x14ac:dyDescent="0.25"/>
    <row r="196398" s="12" customFormat="1" x14ac:dyDescent="0.25"/>
    <row r="196399" s="12" customFormat="1" x14ac:dyDescent="0.25"/>
    <row r="196400" s="12" customFormat="1" x14ac:dyDescent="0.25"/>
    <row r="196401" s="12" customFormat="1" x14ac:dyDescent="0.25"/>
    <row r="196402" s="12" customFormat="1" x14ac:dyDescent="0.25"/>
    <row r="196403" s="12" customFormat="1" x14ac:dyDescent="0.25"/>
    <row r="196404" s="12" customFormat="1" x14ac:dyDescent="0.25"/>
    <row r="196405" s="12" customFormat="1" x14ac:dyDescent="0.25"/>
    <row r="196406" s="12" customFormat="1" x14ac:dyDescent="0.25"/>
    <row r="196407" s="12" customFormat="1" x14ac:dyDescent="0.25"/>
    <row r="196408" s="12" customFormat="1" x14ac:dyDescent="0.25"/>
    <row r="196409" s="12" customFormat="1" x14ac:dyDescent="0.25"/>
    <row r="196410" s="12" customFormat="1" x14ac:dyDescent="0.25"/>
    <row r="196411" s="12" customFormat="1" x14ac:dyDescent="0.25"/>
    <row r="196412" s="12" customFormat="1" x14ac:dyDescent="0.25"/>
    <row r="196413" s="12" customFormat="1" x14ac:dyDescent="0.25"/>
    <row r="196414" s="12" customFormat="1" x14ac:dyDescent="0.25"/>
    <row r="196415" s="12" customFormat="1" x14ac:dyDescent="0.25"/>
    <row r="196416" s="12" customFormat="1" x14ac:dyDescent="0.25"/>
    <row r="196417" s="12" customFormat="1" x14ac:dyDescent="0.25"/>
    <row r="196418" s="12" customFormat="1" x14ac:dyDescent="0.25"/>
    <row r="196419" s="12" customFormat="1" x14ac:dyDescent="0.25"/>
    <row r="196420" s="12" customFormat="1" x14ac:dyDescent="0.25"/>
    <row r="196421" s="12" customFormat="1" x14ac:dyDescent="0.25"/>
    <row r="196422" s="12" customFormat="1" x14ac:dyDescent="0.25"/>
    <row r="196423" s="12" customFormat="1" x14ac:dyDescent="0.25"/>
    <row r="196424" s="12" customFormat="1" x14ac:dyDescent="0.25"/>
    <row r="196425" s="12" customFormat="1" x14ac:dyDescent="0.25"/>
    <row r="196426" s="12" customFormat="1" x14ac:dyDescent="0.25"/>
    <row r="196427" s="12" customFormat="1" x14ac:dyDescent="0.25"/>
    <row r="196428" s="12" customFormat="1" x14ac:dyDescent="0.25"/>
    <row r="196429" s="12" customFormat="1" x14ac:dyDescent="0.25"/>
    <row r="196430" s="12" customFormat="1" x14ac:dyDescent="0.25"/>
    <row r="196431" s="12" customFormat="1" x14ac:dyDescent="0.25"/>
    <row r="196432" s="12" customFormat="1" x14ac:dyDescent="0.25"/>
    <row r="196433" s="12" customFormat="1" x14ac:dyDescent="0.25"/>
    <row r="196434" s="12" customFormat="1" x14ac:dyDescent="0.25"/>
    <row r="196435" s="12" customFormat="1" x14ac:dyDescent="0.25"/>
    <row r="196436" s="12" customFormat="1" x14ac:dyDescent="0.25"/>
    <row r="196437" s="12" customFormat="1" x14ac:dyDescent="0.25"/>
    <row r="196438" s="12" customFormat="1" x14ac:dyDescent="0.25"/>
    <row r="196439" s="12" customFormat="1" x14ac:dyDescent="0.25"/>
    <row r="196440" s="12" customFormat="1" x14ac:dyDescent="0.25"/>
    <row r="196441" s="12" customFormat="1" x14ac:dyDescent="0.25"/>
    <row r="196442" s="12" customFormat="1" x14ac:dyDescent="0.25"/>
    <row r="196443" s="12" customFormat="1" x14ac:dyDescent="0.25"/>
    <row r="196444" s="12" customFormat="1" x14ac:dyDescent="0.25"/>
    <row r="196445" s="12" customFormat="1" x14ac:dyDescent="0.25"/>
    <row r="196446" s="12" customFormat="1" x14ac:dyDescent="0.25"/>
    <row r="196447" s="12" customFormat="1" x14ac:dyDescent="0.25"/>
    <row r="196448" s="12" customFormat="1" x14ac:dyDescent="0.25"/>
    <row r="196449" s="12" customFormat="1" x14ac:dyDescent="0.25"/>
    <row r="196450" s="12" customFormat="1" x14ac:dyDescent="0.25"/>
    <row r="196451" s="12" customFormat="1" x14ac:dyDescent="0.25"/>
    <row r="196452" s="12" customFormat="1" x14ac:dyDescent="0.25"/>
    <row r="196453" s="12" customFormat="1" x14ac:dyDescent="0.25"/>
    <row r="196454" s="12" customFormat="1" x14ac:dyDescent="0.25"/>
    <row r="196455" s="12" customFormat="1" x14ac:dyDescent="0.25"/>
    <row r="196456" s="12" customFormat="1" x14ac:dyDescent="0.25"/>
    <row r="196457" s="12" customFormat="1" x14ac:dyDescent="0.25"/>
    <row r="196458" s="12" customFormat="1" x14ac:dyDescent="0.25"/>
    <row r="196459" s="12" customFormat="1" x14ac:dyDescent="0.25"/>
    <row r="196460" s="12" customFormat="1" x14ac:dyDescent="0.25"/>
    <row r="196461" s="12" customFormat="1" x14ac:dyDescent="0.25"/>
    <row r="196462" s="12" customFormat="1" x14ac:dyDescent="0.25"/>
    <row r="196463" s="12" customFormat="1" x14ac:dyDescent="0.25"/>
    <row r="196464" s="12" customFormat="1" x14ac:dyDescent="0.25"/>
    <row r="196465" s="12" customFormat="1" x14ac:dyDescent="0.25"/>
    <row r="196466" s="12" customFormat="1" x14ac:dyDescent="0.25"/>
    <row r="196467" s="12" customFormat="1" x14ac:dyDescent="0.25"/>
    <row r="196468" s="12" customFormat="1" x14ac:dyDescent="0.25"/>
    <row r="196469" s="12" customFormat="1" x14ac:dyDescent="0.25"/>
    <row r="196470" s="12" customFormat="1" x14ac:dyDescent="0.25"/>
    <row r="196471" s="12" customFormat="1" x14ac:dyDescent="0.25"/>
    <row r="196472" s="12" customFormat="1" x14ac:dyDescent="0.25"/>
    <row r="196473" s="12" customFormat="1" x14ac:dyDescent="0.25"/>
    <row r="196474" s="12" customFormat="1" x14ac:dyDescent="0.25"/>
    <row r="196475" s="12" customFormat="1" x14ac:dyDescent="0.25"/>
    <row r="196476" s="12" customFormat="1" x14ac:dyDescent="0.25"/>
    <row r="196477" s="12" customFormat="1" x14ac:dyDescent="0.25"/>
    <row r="196478" s="12" customFormat="1" x14ac:dyDescent="0.25"/>
    <row r="196479" s="12" customFormat="1" x14ac:dyDescent="0.25"/>
    <row r="196480" s="12" customFormat="1" x14ac:dyDescent="0.25"/>
    <row r="196481" s="12" customFormat="1" x14ac:dyDescent="0.25"/>
    <row r="196482" s="12" customFormat="1" x14ac:dyDescent="0.25"/>
    <row r="196483" s="12" customFormat="1" x14ac:dyDescent="0.25"/>
    <row r="196484" s="12" customFormat="1" x14ac:dyDescent="0.25"/>
    <row r="196485" s="12" customFormat="1" x14ac:dyDescent="0.25"/>
    <row r="196486" s="12" customFormat="1" x14ac:dyDescent="0.25"/>
    <row r="196487" s="12" customFormat="1" x14ac:dyDescent="0.25"/>
    <row r="196488" s="12" customFormat="1" x14ac:dyDescent="0.25"/>
    <row r="196489" s="12" customFormat="1" x14ac:dyDescent="0.25"/>
    <row r="196490" s="12" customFormat="1" x14ac:dyDescent="0.25"/>
    <row r="196491" s="12" customFormat="1" x14ac:dyDescent="0.25"/>
    <row r="196492" s="12" customFormat="1" x14ac:dyDescent="0.25"/>
    <row r="196493" s="12" customFormat="1" x14ac:dyDescent="0.25"/>
    <row r="196494" s="12" customFormat="1" x14ac:dyDescent="0.25"/>
    <row r="196495" s="12" customFormat="1" x14ac:dyDescent="0.25"/>
    <row r="196496" s="12" customFormat="1" x14ac:dyDescent="0.25"/>
    <row r="196497" s="12" customFormat="1" x14ac:dyDescent="0.25"/>
    <row r="196498" s="12" customFormat="1" x14ac:dyDescent="0.25"/>
    <row r="196499" s="12" customFormat="1" x14ac:dyDescent="0.25"/>
    <row r="196500" s="12" customFormat="1" x14ac:dyDescent="0.25"/>
    <row r="196501" s="12" customFormat="1" x14ac:dyDescent="0.25"/>
    <row r="196502" s="12" customFormat="1" x14ac:dyDescent="0.25"/>
    <row r="196503" s="12" customFormat="1" x14ac:dyDescent="0.25"/>
    <row r="196504" s="12" customFormat="1" x14ac:dyDescent="0.25"/>
    <row r="196505" s="12" customFormat="1" x14ac:dyDescent="0.25"/>
    <row r="196506" s="12" customFormat="1" x14ac:dyDescent="0.25"/>
    <row r="196507" s="12" customFormat="1" x14ac:dyDescent="0.25"/>
    <row r="196508" s="12" customFormat="1" x14ac:dyDescent="0.25"/>
    <row r="196509" s="12" customFormat="1" x14ac:dyDescent="0.25"/>
    <row r="196510" s="12" customFormat="1" x14ac:dyDescent="0.25"/>
    <row r="196511" s="12" customFormat="1" x14ac:dyDescent="0.25"/>
    <row r="196512" s="12" customFormat="1" x14ac:dyDescent="0.25"/>
    <row r="196513" s="12" customFormat="1" x14ac:dyDescent="0.25"/>
    <row r="196514" s="12" customFormat="1" x14ac:dyDescent="0.25"/>
    <row r="196515" s="12" customFormat="1" x14ac:dyDescent="0.25"/>
    <row r="196516" s="12" customFormat="1" x14ac:dyDescent="0.25"/>
    <row r="196517" s="12" customFormat="1" x14ac:dyDescent="0.25"/>
    <row r="196518" s="12" customFormat="1" x14ac:dyDescent="0.25"/>
    <row r="196519" s="12" customFormat="1" x14ac:dyDescent="0.25"/>
    <row r="196520" s="12" customFormat="1" x14ac:dyDescent="0.25"/>
    <row r="196521" s="12" customFormat="1" x14ac:dyDescent="0.25"/>
    <row r="196522" s="12" customFormat="1" x14ac:dyDescent="0.25"/>
    <row r="196523" s="12" customFormat="1" x14ac:dyDescent="0.25"/>
    <row r="196524" s="12" customFormat="1" x14ac:dyDescent="0.25"/>
    <row r="196525" s="12" customFormat="1" x14ac:dyDescent="0.25"/>
    <row r="196526" s="12" customFormat="1" x14ac:dyDescent="0.25"/>
    <row r="196527" s="12" customFormat="1" x14ac:dyDescent="0.25"/>
    <row r="196528" s="12" customFormat="1" x14ac:dyDescent="0.25"/>
    <row r="196529" s="12" customFormat="1" x14ac:dyDescent="0.25"/>
    <row r="196530" s="12" customFormat="1" x14ac:dyDescent="0.25"/>
    <row r="196531" s="12" customFormat="1" x14ac:dyDescent="0.25"/>
    <row r="196532" s="12" customFormat="1" x14ac:dyDescent="0.25"/>
    <row r="196533" s="12" customFormat="1" x14ac:dyDescent="0.25"/>
    <row r="196534" s="12" customFormat="1" x14ac:dyDescent="0.25"/>
    <row r="196535" s="12" customFormat="1" x14ac:dyDescent="0.25"/>
    <row r="196536" s="12" customFormat="1" x14ac:dyDescent="0.25"/>
    <row r="196537" s="12" customFormat="1" x14ac:dyDescent="0.25"/>
    <row r="196538" s="12" customFormat="1" x14ac:dyDescent="0.25"/>
    <row r="196539" s="12" customFormat="1" x14ac:dyDescent="0.25"/>
    <row r="196540" s="12" customFormat="1" x14ac:dyDescent="0.25"/>
    <row r="196541" s="12" customFormat="1" x14ac:dyDescent="0.25"/>
    <row r="196542" s="12" customFormat="1" x14ac:dyDescent="0.25"/>
    <row r="196543" s="12" customFormat="1" x14ac:dyDescent="0.25"/>
    <row r="196544" s="12" customFormat="1" x14ac:dyDescent="0.25"/>
    <row r="196545" s="12" customFormat="1" x14ac:dyDescent="0.25"/>
    <row r="196546" s="12" customFormat="1" x14ac:dyDescent="0.25"/>
    <row r="196547" s="12" customFormat="1" x14ac:dyDescent="0.25"/>
    <row r="196548" s="12" customFormat="1" x14ac:dyDescent="0.25"/>
    <row r="196549" s="12" customFormat="1" x14ac:dyDescent="0.25"/>
    <row r="196550" s="12" customFormat="1" x14ac:dyDescent="0.25"/>
    <row r="196551" s="12" customFormat="1" x14ac:dyDescent="0.25"/>
    <row r="196552" s="12" customFormat="1" x14ac:dyDescent="0.25"/>
    <row r="196553" s="12" customFormat="1" x14ac:dyDescent="0.25"/>
    <row r="196554" s="12" customFormat="1" x14ac:dyDescent="0.25"/>
    <row r="196555" s="12" customFormat="1" x14ac:dyDescent="0.25"/>
    <row r="196556" s="12" customFormat="1" x14ac:dyDescent="0.25"/>
    <row r="196557" s="12" customFormat="1" x14ac:dyDescent="0.25"/>
    <row r="196558" s="12" customFormat="1" x14ac:dyDescent="0.25"/>
    <row r="196559" s="12" customFormat="1" x14ac:dyDescent="0.25"/>
    <row r="196560" s="12" customFormat="1" x14ac:dyDescent="0.25"/>
    <row r="196561" s="12" customFormat="1" x14ac:dyDescent="0.25"/>
    <row r="196562" s="12" customFormat="1" x14ac:dyDescent="0.25"/>
    <row r="196563" s="12" customFormat="1" x14ac:dyDescent="0.25"/>
    <row r="196564" s="12" customFormat="1" x14ac:dyDescent="0.25"/>
    <row r="196565" s="12" customFormat="1" x14ac:dyDescent="0.25"/>
    <row r="196566" s="12" customFormat="1" x14ac:dyDescent="0.25"/>
    <row r="196567" s="12" customFormat="1" x14ac:dyDescent="0.25"/>
    <row r="196568" s="12" customFormat="1" x14ac:dyDescent="0.25"/>
    <row r="196569" s="12" customFormat="1" x14ac:dyDescent="0.25"/>
    <row r="196570" s="12" customFormat="1" x14ac:dyDescent="0.25"/>
    <row r="196571" s="12" customFormat="1" x14ac:dyDescent="0.25"/>
    <row r="196572" s="12" customFormat="1" x14ac:dyDescent="0.25"/>
    <row r="196573" s="12" customFormat="1" x14ac:dyDescent="0.25"/>
    <row r="196574" s="12" customFormat="1" x14ac:dyDescent="0.25"/>
    <row r="196575" s="12" customFormat="1" x14ac:dyDescent="0.25"/>
    <row r="196576" s="12" customFormat="1" x14ac:dyDescent="0.25"/>
    <row r="196577" s="12" customFormat="1" x14ac:dyDescent="0.25"/>
    <row r="196578" s="12" customFormat="1" x14ac:dyDescent="0.25"/>
    <row r="196579" s="12" customFormat="1" x14ac:dyDescent="0.25"/>
    <row r="196580" s="12" customFormat="1" x14ac:dyDescent="0.25"/>
    <row r="196581" s="12" customFormat="1" x14ac:dyDescent="0.25"/>
    <row r="196582" s="12" customFormat="1" x14ac:dyDescent="0.25"/>
    <row r="196583" s="12" customFormat="1" x14ac:dyDescent="0.25"/>
    <row r="196584" s="12" customFormat="1" x14ac:dyDescent="0.25"/>
    <row r="196585" s="12" customFormat="1" x14ac:dyDescent="0.25"/>
    <row r="196586" s="12" customFormat="1" x14ac:dyDescent="0.25"/>
    <row r="196587" s="12" customFormat="1" x14ac:dyDescent="0.25"/>
    <row r="196588" s="12" customFormat="1" x14ac:dyDescent="0.25"/>
    <row r="196589" s="12" customFormat="1" x14ac:dyDescent="0.25"/>
    <row r="196590" s="12" customFormat="1" x14ac:dyDescent="0.25"/>
    <row r="196591" s="12" customFormat="1" x14ac:dyDescent="0.25"/>
    <row r="196592" s="12" customFormat="1" x14ac:dyDescent="0.25"/>
    <row r="196593" s="12" customFormat="1" x14ac:dyDescent="0.25"/>
    <row r="196594" s="12" customFormat="1" x14ac:dyDescent="0.25"/>
    <row r="196595" s="12" customFormat="1" x14ac:dyDescent="0.25"/>
    <row r="196596" s="12" customFormat="1" x14ac:dyDescent="0.25"/>
    <row r="196597" s="12" customFormat="1" x14ac:dyDescent="0.25"/>
    <row r="196598" s="12" customFormat="1" x14ac:dyDescent="0.25"/>
    <row r="196599" s="12" customFormat="1" x14ac:dyDescent="0.25"/>
    <row r="196600" s="12" customFormat="1" x14ac:dyDescent="0.25"/>
    <row r="196601" s="12" customFormat="1" x14ac:dyDescent="0.25"/>
    <row r="196602" s="12" customFormat="1" x14ac:dyDescent="0.25"/>
    <row r="196603" s="12" customFormat="1" x14ac:dyDescent="0.25"/>
    <row r="196604" s="12" customFormat="1" x14ac:dyDescent="0.25"/>
    <row r="196605" s="12" customFormat="1" x14ac:dyDescent="0.25"/>
    <row r="196606" s="12" customFormat="1" x14ac:dyDescent="0.25"/>
    <row r="196607" s="12" customFormat="1" x14ac:dyDescent="0.25"/>
    <row r="196608" s="12" customFormat="1" x14ac:dyDescent="0.25"/>
    <row r="196609" s="12" customFormat="1" x14ac:dyDescent="0.25"/>
    <row r="196610" s="12" customFormat="1" x14ac:dyDescent="0.25"/>
    <row r="196611" s="12" customFormat="1" x14ac:dyDescent="0.25"/>
    <row r="196612" s="12" customFormat="1" x14ac:dyDescent="0.25"/>
    <row r="196613" s="12" customFormat="1" x14ac:dyDescent="0.25"/>
    <row r="196614" s="12" customFormat="1" x14ac:dyDescent="0.25"/>
    <row r="196615" s="12" customFormat="1" x14ac:dyDescent="0.25"/>
    <row r="196616" s="12" customFormat="1" x14ac:dyDescent="0.25"/>
    <row r="196617" s="12" customFormat="1" x14ac:dyDescent="0.25"/>
    <row r="196618" s="12" customFormat="1" x14ac:dyDescent="0.25"/>
    <row r="196619" s="12" customFormat="1" x14ac:dyDescent="0.25"/>
    <row r="196620" s="12" customFormat="1" x14ac:dyDescent="0.25"/>
    <row r="196621" s="12" customFormat="1" x14ac:dyDescent="0.25"/>
    <row r="196622" s="12" customFormat="1" x14ac:dyDescent="0.25"/>
    <row r="196623" s="12" customFormat="1" x14ac:dyDescent="0.25"/>
    <row r="196624" s="12" customFormat="1" x14ac:dyDescent="0.25"/>
    <row r="196625" s="12" customFormat="1" x14ac:dyDescent="0.25"/>
    <row r="196626" s="12" customFormat="1" x14ac:dyDescent="0.25"/>
    <row r="196627" s="12" customFormat="1" x14ac:dyDescent="0.25"/>
    <row r="196628" s="12" customFormat="1" x14ac:dyDescent="0.25"/>
    <row r="196629" s="12" customFormat="1" x14ac:dyDescent="0.25"/>
    <row r="196630" s="12" customFormat="1" x14ac:dyDescent="0.25"/>
    <row r="196631" s="12" customFormat="1" x14ac:dyDescent="0.25"/>
    <row r="196632" s="12" customFormat="1" x14ac:dyDescent="0.25"/>
    <row r="196633" s="12" customFormat="1" x14ac:dyDescent="0.25"/>
    <row r="196634" s="12" customFormat="1" x14ac:dyDescent="0.25"/>
    <row r="196635" s="12" customFormat="1" x14ac:dyDescent="0.25"/>
    <row r="196636" s="12" customFormat="1" x14ac:dyDescent="0.25"/>
    <row r="196637" s="12" customFormat="1" x14ac:dyDescent="0.25"/>
    <row r="196638" s="12" customFormat="1" x14ac:dyDescent="0.25"/>
    <row r="196639" s="12" customFormat="1" x14ac:dyDescent="0.25"/>
    <row r="196640" s="12" customFormat="1" x14ac:dyDescent="0.25"/>
    <row r="196641" s="12" customFormat="1" x14ac:dyDescent="0.25"/>
    <row r="196642" s="12" customFormat="1" x14ac:dyDescent="0.25"/>
    <row r="196643" s="12" customFormat="1" x14ac:dyDescent="0.25"/>
    <row r="196644" s="12" customFormat="1" x14ac:dyDescent="0.25"/>
    <row r="196645" s="12" customFormat="1" x14ac:dyDescent="0.25"/>
    <row r="196646" s="12" customFormat="1" x14ac:dyDescent="0.25"/>
    <row r="196647" s="12" customFormat="1" x14ac:dyDescent="0.25"/>
    <row r="196648" s="12" customFormat="1" x14ac:dyDescent="0.25"/>
    <row r="196649" s="12" customFormat="1" x14ac:dyDescent="0.25"/>
    <row r="196650" s="12" customFormat="1" x14ac:dyDescent="0.25"/>
    <row r="196651" s="12" customFormat="1" x14ac:dyDescent="0.25"/>
    <row r="196652" s="12" customFormat="1" x14ac:dyDescent="0.25"/>
    <row r="196653" s="12" customFormat="1" x14ac:dyDescent="0.25"/>
    <row r="196654" s="12" customFormat="1" x14ac:dyDescent="0.25"/>
    <row r="196655" s="12" customFormat="1" x14ac:dyDescent="0.25"/>
    <row r="196656" s="12" customFormat="1" x14ac:dyDescent="0.25"/>
    <row r="196657" s="12" customFormat="1" x14ac:dyDescent="0.25"/>
    <row r="196658" s="12" customFormat="1" x14ac:dyDescent="0.25"/>
    <row r="196659" s="12" customFormat="1" x14ac:dyDescent="0.25"/>
    <row r="196660" s="12" customFormat="1" x14ac:dyDescent="0.25"/>
    <row r="196661" s="12" customFormat="1" x14ac:dyDescent="0.25"/>
    <row r="196662" s="12" customFormat="1" x14ac:dyDescent="0.25"/>
    <row r="196663" s="12" customFormat="1" x14ac:dyDescent="0.25"/>
    <row r="196664" s="12" customFormat="1" x14ac:dyDescent="0.25"/>
    <row r="196665" s="12" customFormat="1" x14ac:dyDescent="0.25"/>
    <row r="196666" s="12" customFormat="1" x14ac:dyDescent="0.25"/>
    <row r="196667" s="12" customFormat="1" x14ac:dyDescent="0.25"/>
    <row r="196668" s="12" customFormat="1" x14ac:dyDescent="0.25"/>
    <row r="196669" s="12" customFormat="1" x14ac:dyDescent="0.25"/>
    <row r="196670" s="12" customFormat="1" x14ac:dyDescent="0.25"/>
    <row r="196671" s="12" customFormat="1" x14ac:dyDescent="0.25"/>
    <row r="196672" s="12" customFormat="1" x14ac:dyDescent="0.25"/>
    <row r="196673" s="12" customFormat="1" x14ac:dyDescent="0.25"/>
    <row r="196674" s="12" customFormat="1" x14ac:dyDescent="0.25"/>
    <row r="196675" s="12" customFormat="1" x14ac:dyDescent="0.25"/>
    <row r="196676" s="12" customFormat="1" x14ac:dyDescent="0.25"/>
    <row r="196677" s="12" customFormat="1" x14ac:dyDescent="0.25"/>
    <row r="196678" s="12" customFormat="1" x14ac:dyDescent="0.25"/>
    <row r="196679" s="12" customFormat="1" x14ac:dyDescent="0.25"/>
    <row r="196680" s="12" customFormat="1" x14ac:dyDescent="0.25"/>
    <row r="196681" s="12" customFormat="1" x14ac:dyDescent="0.25"/>
    <row r="196682" s="12" customFormat="1" x14ac:dyDescent="0.25"/>
    <row r="196683" s="12" customFormat="1" x14ac:dyDescent="0.25"/>
    <row r="196684" s="12" customFormat="1" x14ac:dyDescent="0.25"/>
    <row r="196685" s="12" customFormat="1" x14ac:dyDescent="0.25"/>
    <row r="196686" s="12" customFormat="1" x14ac:dyDescent="0.25"/>
    <row r="196687" s="12" customFormat="1" x14ac:dyDescent="0.25"/>
    <row r="196688" s="12" customFormat="1" x14ac:dyDescent="0.25"/>
    <row r="196689" s="12" customFormat="1" x14ac:dyDescent="0.25"/>
    <row r="196690" s="12" customFormat="1" x14ac:dyDescent="0.25"/>
    <row r="196691" s="12" customFormat="1" x14ac:dyDescent="0.25"/>
    <row r="196692" s="12" customFormat="1" x14ac:dyDescent="0.25"/>
    <row r="196693" s="12" customFormat="1" x14ac:dyDescent="0.25"/>
    <row r="196694" s="12" customFormat="1" x14ac:dyDescent="0.25"/>
    <row r="196695" s="12" customFormat="1" x14ac:dyDescent="0.25"/>
    <row r="196696" s="12" customFormat="1" x14ac:dyDescent="0.25"/>
    <row r="196697" s="12" customFormat="1" x14ac:dyDescent="0.25"/>
    <row r="196698" s="12" customFormat="1" x14ac:dyDescent="0.25"/>
    <row r="196699" s="12" customFormat="1" x14ac:dyDescent="0.25"/>
    <row r="196700" s="12" customFormat="1" x14ac:dyDescent="0.25"/>
    <row r="196701" s="12" customFormat="1" x14ac:dyDescent="0.25"/>
    <row r="196702" s="12" customFormat="1" x14ac:dyDescent="0.25"/>
    <row r="196703" s="12" customFormat="1" x14ac:dyDescent="0.25"/>
    <row r="196704" s="12" customFormat="1" x14ac:dyDescent="0.25"/>
    <row r="196705" s="12" customFormat="1" x14ac:dyDescent="0.25"/>
    <row r="196706" s="12" customFormat="1" x14ac:dyDescent="0.25"/>
    <row r="196707" s="12" customFormat="1" x14ac:dyDescent="0.25"/>
    <row r="196708" s="12" customFormat="1" x14ac:dyDescent="0.25"/>
    <row r="196709" s="12" customFormat="1" x14ac:dyDescent="0.25"/>
    <row r="196710" s="12" customFormat="1" x14ac:dyDescent="0.25"/>
    <row r="196711" s="12" customFormat="1" x14ac:dyDescent="0.25"/>
    <row r="196712" s="12" customFormat="1" x14ac:dyDescent="0.25"/>
    <row r="196713" s="12" customFormat="1" x14ac:dyDescent="0.25"/>
    <row r="196714" s="12" customFormat="1" x14ac:dyDescent="0.25"/>
    <row r="196715" s="12" customFormat="1" x14ac:dyDescent="0.25"/>
    <row r="196716" s="12" customFormat="1" x14ac:dyDescent="0.25"/>
    <row r="196717" s="12" customFormat="1" x14ac:dyDescent="0.25"/>
    <row r="196718" s="12" customFormat="1" x14ac:dyDescent="0.25"/>
    <row r="196719" s="12" customFormat="1" x14ac:dyDescent="0.25"/>
    <row r="196720" s="12" customFormat="1" x14ac:dyDescent="0.25"/>
    <row r="196721" s="12" customFormat="1" x14ac:dyDescent="0.25"/>
    <row r="196722" s="12" customFormat="1" x14ac:dyDescent="0.25"/>
    <row r="196723" s="12" customFormat="1" x14ac:dyDescent="0.25"/>
    <row r="196724" s="12" customFormat="1" x14ac:dyDescent="0.25"/>
    <row r="196725" s="12" customFormat="1" x14ac:dyDescent="0.25"/>
    <row r="196726" s="12" customFormat="1" x14ac:dyDescent="0.25"/>
    <row r="196727" s="12" customFormat="1" x14ac:dyDescent="0.25"/>
    <row r="196728" s="12" customFormat="1" x14ac:dyDescent="0.25"/>
    <row r="196729" s="12" customFormat="1" x14ac:dyDescent="0.25"/>
    <row r="196730" s="12" customFormat="1" x14ac:dyDescent="0.25"/>
    <row r="196731" s="12" customFormat="1" x14ac:dyDescent="0.25"/>
    <row r="196732" s="12" customFormat="1" x14ac:dyDescent="0.25"/>
    <row r="196733" s="12" customFormat="1" x14ac:dyDescent="0.25"/>
    <row r="196734" s="12" customFormat="1" x14ac:dyDescent="0.25"/>
    <row r="196735" s="12" customFormat="1" x14ac:dyDescent="0.25"/>
    <row r="196736" s="12" customFormat="1" x14ac:dyDescent="0.25"/>
    <row r="196737" s="12" customFormat="1" x14ac:dyDescent="0.25"/>
    <row r="196738" s="12" customFormat="1" x14ac:dyDescent="0.25"/>
    <row r="196739" s="12" customFormat="1" x14ac:dyDescent="0.25"/>
    <row r="196740" s="12" customFormat="1" x14ac:dyDescent="0.25"/>
    <row r="196741" s="12" customFormat="1" x14ac:dyDescent="0.25"/>
    <row r="196742" s="12" customFormat="1" x14ac:dyDescent="0.25"/>
    <row r="196743" s="12" customFormat="1" x14ac:dyDescent="0.25"/>
    <row r="196744" s="12" customFormat="1" x14ac:dyDescent="0.25"/>
    <row r="196745" s="12" customFormat="1" x14ac:dyDescent="0.25"/>
    <row r="196746" s="12" customFormat="1" x14ac:dyDescent="0.25"/>
    <row r="196747" s="12" customFormat="1" x14ac:dyDescent="0.25"/>
    <row r="196748" s="12" customFormat="1" x14ac:dyDescent="0.25"/>
    <row r="196749" s="12" customFormat="1" x14ac:dyDescent="0.25"/>
    <row r="196750" s="12" customFormat="1" x14ac:dyDescent="0.25"/>
    <row r="196751" s="12" customFormat="1" x14ac:dyDescent="0.25"/>
    <row r="196752" s="12" customFormat="1" x14ac:dyDescent="0.25"/>
    <row r="196753" s="12" customFormat="1" x14ac:dyDescent="0.25"/>
    <row r="196754" s="12" customFormat="1" x14ac:dyDescent="0.25"/>
    <row r="196755" s="12" customFormat="1" x14ac:dyDescent="0.25"/>
    <row r="196756" s="12" customFormat="1" x14ac:dyDescent="0.25"/>
    <row r="196757" s="12" customFormat="1" x14ac:dyDescent="0.25"/>
    <row r="196758" s="12" customFormat="1" x14ac:dyDescent="0.25"/>
    <row r="196759" s="12" customFormat="1" x14ac:dyDescent="0.25"/>
    <row r="196760" s="12" customFormat="1" x14ac:dyDescent="0.25"/>
    <row r="196761" s="12" customFormat="1" x14ac:dyDescent="0.25"/>
    <row r="196762" s="12" customFormat="1" x14ac:dyDescent="0.25"/>
    <row r="196763" s="12" customFormat="1" x14ac:dyDescent="0.25"/>
    <row r="196764" s="12" customFormat="1" x14ac:dyDescent="0.25"/>
    <row r="196765" s="12" customFormat="1" x14ac:dyDescent="0.25"/>
    <row r="196766" s="12" customFormat="1" x14ac:dyDescent="0.25"/>
    <row r="196767" s="12" customFormat="1" x14ac:dyDescent="0.25"/>
    <row r="196768" s="12" customFormat="1" x14ac:dyDescent="0.25"/>
    <row r="196769" s="12" customFormat="1" x14ac:dyDescent="0.25"/>
    <row r="196770" s="12" customFormat="1" x14ac:dyDescent="0.25"/>
    <row r="196771" s="12" customFormat="1" x14ac:dyDescent="0.25"/>
    <row r="196772" s="12" customFormat="1" x14ac:dyDescent="0.25"/>
    <row r="196773" s="12" customFormat="1" x14ac:dyDescent="0.25"/>
    <row r="196774" s="12" customFormat="1" x14ac:dyDescent="0.25"/>
    <row r="196775" s="12" customFormat="1" x14ac:dyDescent="0.25"/>
    <row r="196776" s="12" customFormat="1" x14ac:dyDescent="0.25"/>
    <row r="196777" s="12" customFormat="1" x14ac:dyDescent="0.25"/>
    <row r="196778" s="12" customFormat="1" x14ac:dyDescent="0.25"/>
    <row r="196779" s="12" customFormat="1" x14ac:dyDescent="0.25"/>
    <row r="196780" s="12" customFormat="1" x14ac:dyDescent="0.25"/>
    <row r="196781" s="12" customFormat="1" x14ac:dyDescent="0.25"/>
    <row r="196782" s="12" customFormat="1" x14ac:dyDescent="0.25"/>
    <row r="196783" s="12" customFormat="1" x14ac:dyDescent="0.25"/>
    <row r="196784" s="12" customFormat="1" x14ac:dyDescent="0.25"/>
    <row r="196785" s="12" customFormat="1" x14ac:dyDescent="0.25"/>
    <row r="196786" s="12" customFormat="1" x14ac:dyDescent="0.25"/>
    <row r="196787" s="12" customFormat="1" x14ac:dyDescent="0.25"/>
    <row r="196788" s="12" customFormat="1" x14ac:dyDescent="0.25"/>
    <row r="196789" s="12" customFormat="1" x14ac:dyDescent="0.25"/>
    <row r="196790" s="12" customFormat="1" x14ac:dyDescent="0.25"/>
    <row r="196791" s="12" customFormat="1" x14ac:dyDescent="0.25"/>
    <row r="196792" s="12" customFormat="1" x14ac:dyDescent="0.25"/>
    <row r="196793" s="12" customFormat="1" x14ac:dyDescent="0.25"/>
    <row r="196794" s="12" customFormat="1" x14ac:dyDescent="0.25"/>
    <row r="196795" s="12" customFormat="1" x14ac:dyDescent="0.25"/>
    <row r="196796" s="12" customFormat="1" x14ac:dyDescent="0.25"/>
    <row r="196797" s="12" customFormat="1" x14ac:dyDescent="0.25"/>
    <row r="196798" s="12" customFormat="1" x14ac:dyDescent="0.25"/>
    <row r="196799" s="12" customFormat="1" x14ac:dyDescent="0.25"/>
    <row r="196800" s="12" customFormat="1" x14ac:dyDescent="0.25"/>
    <row r="196801" s="12" customFormat="1" x14ac:dyDescent="0.25"/>
    <row r="196802" s="12" customFormat="1" x14ac:dyDescent="0.25"/>
    <row r="196803" s="12" customFormat="1" x14ac:dyDescent="0.25"/>
    <row r="196804" s="12" customFormat="1" x14ac:dyDescent="0.25"/>
    <row r="196805" s="12" customFormat="1" x14ac:dyDescent="0.25"/>
    <row r="196806" s="12" customFormat="1" x14ac:dyDescent="0.25"/>
    <row r="196807" s="12" customFormat="1" x14ac:dyDescent="0.25"/>
    <row r="196808" s="12" customFormat="1" x14ac:dyDescent="0.25"/>
    <row r="196809" s="12" customFormat="1" x14ac:dyDescent="0.25"/>
    <row r="196810" s="12" customFormat="1" x14ac:dyDescent="0.25"/>
    <row r="196811" s="12" customFormat="1" x14ac:dyDescent="0.25"/>
    <row r="196812" s="12" customFormat="1" x14ac:dyDescent="0.25"/>
    <row r="196813" s="12" customFormat="1" x14ac:dyDescent="0.25"/>
    <row r="196814" s="12" customFormat="1" x14ac:dyDescent="0.25"/>
    <row r="196815" s="12" customFormat="1" x14ac:dyDescent="0.25"/>
    <row r="196816" s="12" customFormat="1" x14ac:dyDescent="0.25"/>
    <row r="196817" s="12" customFormat="1" x14ac:dyDescent="0.25"/>
    <row r="196818" s="12" customFormat="1" x14ac:dyDescent="0.25"/>
    <row r="196819" s="12" customFormat="1" x14ac:dyDescent="0.25"/>
    <row r="196820" s="12" customFormat="1" x14ac:dyDescent="0.25"/>
    <row r="196821" s="12" customFormat="1" x14ac:dyDescent="0.25"/>
    <row r="196822" s="12" customFormat="1" x14ac:dyDescent="0.25"/>
    <row r="196823" s="12" customFormat="1" x14ac:dyDescent="0.25"/>
    <row r="196824" s="12" customFormat="1" x14ac:dyDescent="0.25"/>
    <row r="196825" s="12" customFormat="1" x14ac:dyDescent="0.25"/>
    <row r="196826" s="12" customFormat="1" x14ac:dyDescent="0.25"/>
    <row r="196827" s="12" customFormat="1" x14ac:dyDescent="0.25"/>
    <row r="196828" s="12" customFormat="1" x14ac:dyDescent="0.25"/>
    <row r="196829" s="12" customFormat="1" x14ac:dyDescent="0.25"/>
    <row r="196830" s="12" customFormat="1" x14ac:dyDescent="0.25"/>
    <row r="196831" s="12" customFormat="1" x14ac:dyDescent="0.25"/>
    <row r="196832" s="12" customFormat="1" x14ac:dyDescent="0.25"/>
    <row r="196833" s="12" customFormat="1" x14ac:dyDescent="0.25"/>
    <row r="196834" s="12" customFormat="1" x14ac:dyDescent="0.25"/>
    <row r="196835" s="12" customFormat="1" x14ac:dyDescent="0.25"/>
    <row r="196836" s="12" customFormat="1" x14ac:dyDescent="0.25"/>
    <row r="196837" s="12" customFormat="1" x14ac:dyDescent="0.25"/>
    <row r="196838" s="12" customFormat="1" x14ac:dyDescent="0.25"/>
    <row r="196839" s="12" customFormat="1" x14ac:dyDescent="0.25"/>
    <row r="196840" s="12" customFormat="1" x14ac:dyDescent="0.25"/>
    <row r="196841" s="12" customFormat="1" x14ac:dyDescent="0.25"/>
    <row r="196842" s="12" customFormat="1" x14ac:dyDescent="0.25"/>
    <row r="196843" s="12" customFormat="1" x14ac:dyDescent="0.25"/>
    <row r="196844" s="12" customFormat="1" x14ac:dyDescent="0.25"/>
    <row r="196845" s="12" customFormat="1" x14ac:dyDescent="0.25"/>
    <row r="196846" s="12" customFormat="1" x14ac:dyDescent="0.25"/>
    <row r="196847" s="12" customFormat="1" x14ac:dyDescent="0.25"/>
    <row r="196848" s="12" customFormat="1" x14ac:dyDescent="0.25"/>
    <row r="196849" s="12" customFormat="1" x14ac:dyDescent="0.25"/>
    <row r="196850" s="12" customFormat="1" x14ac:dyDescent="0.25"/>
    <row r="196851" s="12" customFormat="1" x14ac:dyDescent="0.25"/>
    <row r="196852" s="12" customFormat="1" x14ac:dyDescent="0.25"/>
    <row r="196853" s="12" customFormat="1" x14ac:dyDescent="0.25"/>
    <row r="196854" s="12" customFormat="1" x14ac:dyDescent="0.25"/>
    <row r="196855" s="12" customFormat="1" x14ac:dyDescent="0.25"/>
    <row r="196856" s="12" customFormat="1" x14ac:dyDescent="0.25"/>
    <row r="196857" s="12" customFormat="1" x14ac:dyDescent="0.25"/>
    <row r="196858" s="12" customFormat="1" x14ac:dyDescent="0.25"/>
    <row r="196859" s="12" customFormat="1" x14ac:dyDescent="0.25"/>
    <row r="196860" s="12" customFormat="1" x14ac:dyDescent="0.25"/>
    <row r="196861" s="12" customFormat="1" x14ac:dyDescent="0.25"/>
    <row r="196862" s="12" customFormat="1" x14ac:dyDescent="0.25"/>
    <row r="196863" s="12" customFormat="1" x14ac:dyDescent="0.25"/>
    <row r="196864" s="12" customFormat="1" x14ac:dyDescent="0.25"/>
    <row r="196865" s="12" customFormat="1" x14ac:dyDescent="0.25"/>
    <row r="196866" s="12" customFormat="1" x14ac:dyDescent="0.25"/>
    <row r="196867" s="12" customFormat="1" x14ac:dyDescent="0.25"/>
    <row r="196868" s="12" customFormat="1" x14ac:dyDescent="0.25"/>
    <row r="196869" s="12" customFormat="1" x14ac:dyDescent="0.25"/>
    <row r="196870" s="12" customFormat="1" x14ac:dyDescent="0.25"/>
    <row r="196871" s="12" customFormat="1" x14ac:dyDescent="0.25"/>
    <row r="196872" s="12" customFormat="1" x14ac:dyDescent="0.25"/>
    <row r="196873" s="12" customFormat="1" x14ac:dyDescent="0.25"/>
    <row r="196874" s="12" customFormat="1" x14ac:dyDescent="0.25"/>
    <row r="196875" s="12" customFormat="1" x14ac:dyDescent="0.25"/>
    <row r="196876" s="12" customFormat="1" x14ac:dyDescent="0.25"/>
    <row r="196877" s="12" customFormat="1" x14ac:dyDescent="0.25"/>
    <row r="196878" s="12" customFormat="1" x14ac:dyDescent="0.25"/>
    <row r="196879" s="12" customFormat="1" x14ac:dyDescent="0.25"/>
    <row r="196880" s="12" customFormat="1" x14ac:dyDescent="0.25"/>
    <row r="196881" s="12" customFormat="1" x14ac:dyDescent="0.25"/>
    <row r="196882" s="12" customFormat="1" x14ac:dyDescent="0.25"/>
    <row r="196883" s="12" customFormat="1" x14ac:dyDescent="0.25"/>
    <row r="196884" s="12" customFormat="1" x14ac:dyDescent="0.25"/>
    <row r="196885" s="12" customFormat="1" x14ac:dyDescent="0.25"/>
    <row r="196886" s="12" customFormat="1" x14ac:dyDescent="0.25"/>
    <row r="196887" s="12" customFormat="1" x14ac:dyDescent="0.25"/>
    <row r="196888" s="12" customFormat="1" x14ac:dyDescent="0.25"/>
    <row r="196889" s="12" customFormat="1" x14ac:dyDescent="0.25"/>
    <row r="196890" s="12" customFormat="1" x14ac:dyDescent="0.25"/>
    <row r="196891" s="12" customFormat="1" x14ac:dyDescent="0.25"/>
    <row r="196892" s="12" customFormat="1" x14ac:dyDescent="0.25"/>
    <row r="196893" s="12" customFormat="1" x14ac:dyDescent="0.25"/>
    <row r="196894" s="12" customFormat="1" x14ac:dyDescent="0.25"/>
    <row r="196895" s="12" customFormat="1" x14ac:dyDescent="0.25"/>
    <row r="196896" s="12" customFormat="1" x14ac:dyDescent="0.25"/>
    <row r="196897" s="12" customFormat="1" x14ac:dyDescent="0.25"/>
    <row r="196898" s="12" customFormat="1" x14ac:dyDescent="0.25"/>
    <row r="196899" s="12" customFormat="1" x14ac:dyDescent="0.25"/>
    <row r="196900" s="12" customFormat="1" x14ac:dyDescent="0.25"/>
    <row r="196901" s="12" customFormat="1" x14ac:dyDescent="0.25"/>
    <row r="196902" s="12" customFormat="1" x14ac:dyDescent="0.25"/>
    <row r="196903" s="12" customFormat="1" x14ac:dyDescent="0.25"/>
    <row r="196904" s="12" customFormat="1" x14ac:dyDescent="0.25"/>
    <row r="196905" s="12" customFormat="1" x14ac:dyDescent="0.25"/>
    <row r="196906" s="12" customFormat="1" x14ac:dyDescent="0.25"/>
    <row r="196907" s="12" customFormat="1" x14ac:dyDescent="0.25"/>
    <row r="196908" s="12" customFormat="1" x14ac:dyDescent="0.25"/>
    <row r="196909" s="12" customFormat="1" x14ac:dyDescent="0.25"/>
    <row r="196910" s="12" customFormat="1" x14ac:dyDescent="0.25"/>
    <row r="196911" s="12" customFormat="1" x14ac:dyDescent="0.25"/>
    <row r="196912" s="12" customFormat="1" x14ac:dyDescent="0.25"/>
    <row r="196913" s="12" customFormat="1" x14ac:dyDescent="0.25"/>
    <row r="196914" s="12" customFormat="1" x14ac:dyDescent="0.25"/>
    <row r="196915" s="12" customFormat="1" x14ac:dyDescent="0.25"/>
    <row r="196916" s="12" customFormat="1" x14ac:dyDescent="0.25"/>
    <row r="196917" s="12" customFormat="1" x14ac:dyDescent="0.25"/>
    <row r="196918" s="12" customFormat="1" x14ac:dyDescent="0.25"/>
    <row r="196919" s="12" customFormat="1" x14ac:dyDescent="0.25"/>
    <row r="196920" s="12" customFormat="1" x14ac:dyDescent="0.25"/>
    <row r="196921" s="12" customFormat="1" x14ac:dyDescent="0.25"/>
    <row r="196922" s="12" customFormat="1" x14ac:dyDescent="0.25"/>
    <row r="196923" s="12" customFormat="1" x14ac:dyDescent="0.25"/>
    <row r="196924" s="12" customFormat="1" x14ac:dyDescent="0.25"/>
    <row r="196925" s="12" customFormat="1" x14ac:dyDescent="0.25"/>
    <row r="196926" s="12" customFormat="1" x14ac:dyDescent="0.25"/>
    <row r="196927" s="12" customFormat="1" x14ac:dyDescent="0.25"/>
    <row r="196928" s="12" customFormat="1" x14ac:dyDescent="0.25"/>
    <row r="196929" s="12" customFormat="1" x14ac:dyDescent="0.25"/>
    <row r="196930" s="12" customFormat="1" x14ac:dyDescent="0.25"/>
    <row r="196931" s="12" customFormat="1" x14ac:dyDescent="0.25"/>
    <row r="196932" s="12" customFormat="1" x14ac:dyDescent="0.25"/>
    <row r="196933" s="12" customFormat="1" x14ac:dyDescent="0.25"/>
    <row r="196934" s="12" customFormat="1" x14ac:dyDescent="0.25"/>
    <row r="196935" s="12" customFormat="1" x14ac:dyDescent="0.25"/>
    <row r="196936" s="12" customFormat="1" x14ac:dyDescent="0.25"/>
    <row r="196937" s="12" customFormat="1" x14ac:dyDescent="0.25"/>
    <row r="196938" s="12" customFormat="1" x14ac:dyDescent="0.25"/>
    <row r="196939" s="12" customFormat="1" x14ac:dyDescent="0.25"/>
    <row r="196940" s="12" customFormat="1" x14ac:dyDescent="0.25"/>
    <row r="196941" s="12" customFormat="1" x14ac:dyDescent="0.25"/>
    <row r="196942" s="12" customFormat="1" x14ac:dyDescent="0.25"/>
    <row r="196943" s="12" customFormat="1" x14ac:dyDescent="0.25"/>
    <row r="196944" s="12" customFormat="1" x14ac:dyDescent="0.25"/>
    <row r="196945" s="12" customFormat="1" x14ac:dyDescent="0.25"/>
    <row r="196946" s="12" customFormat="1" x14ac:dyDescent="0.25"/>
    <row r="196947" s="12" customFormat="1" x14ac:dyDescent="0.25"/>
    <row r="196948" s="12" customFormat="1" x14ac:dyDescent="0.25"/>
    <row r="196949" s="12" customFormat="1" x14ac:dyDescent="0.25"/>
    <row r="196950" s="12" customFormat="1" x14ac:dyDescent="0.25"/>
    <row r="196951" s="12" customFormat="1" x14ac:dyDescent="0.25"/>
    <row r="196952" s="12" customFormat="1" x14ac:dyDescent="0.25"/>
    <row r="196953" s="12" customFormat="1" x14ac:dyDescent="0.25"/>
    <row r="196954" s="12" customFormat="1" x14ac:dyDescent="0.25"/>
    <row r="196955" s="12" customFormat="1" x14ac:dyDescent="0.25"/>
    <row r="196956" s="12" customFormat="1" x14ac:dyDescent="0.25"/>
    <row r="196957" s="12" customFormat="1" x14ac:dyDescent="0.25"/>
    <row r="196958" s="12" customFormat="1" x14ac:dyDescent="0.25"/>
    <row r="196959" s="12" customFormat="1" x14ac:dyDescent="0.25"/>
    <row r="196960" s="12" customFormat="1" x14ac:dyDescent="0.25"/>
    <row r="196961" s="12" customFormat="1" x14ac:dyDescent="0.25"/>
    <row r="196962" s="12" customFormat="1" x14ac:dyDescent="0.25"/>
    <row r="196963" s="12" customFormat="1" x14ac:dyDescent="0.25"/>
    <row r="196964" s="12" customFormat="1" x14ac:dyDescent="0.25"/>
    <row r="196965" s="12" customFormat="1" x14ac:dyDescent="0.25"/>
    <row r="196966" s="12" customFormat="1" x14ac:dyDescent="0.25"/>
    <row r="196967" s="12" customFormat="1" x14ac:dyDescent="0.25"/>
    <row r="196968" s="12" customFormat="1" x14ac:dyDescent="0.25"/>
    <row r="196969" s="12" customFormat="1" x14ac:dyDescent="0.25"/>
    <row r="196970" s="12" customFormat="1" x14ac:dyDescent="0.25"/>
    <row r="196971" s="12" customFormat="1" x14ac:dyDescent="0.25"/>
    <row r="196972" s="12" customFormat="1" x14ac:dyDescent="0.25"/>
    <row r="196973" s="12" customFormat="1" x14ac:dyDescent="0.25"/>
    <row r="196974" s="12" customFormat="1" x14ac:dyDescent="0.25"/>
    <row r="196975" s="12" customFormat="1" x14ac:dyDescent="0.25"/>
    <row r="196976" s="12" customFormat="1" x14ac:dyDescent="0.25"/>
    <row r="196977" s="12" customFormat="1" x14ac:dyDescent="0.25"/>
    <row r="196978" s="12" customFormat="1" x14ac:dyDescent="0.25"/>
    <row r="196979" s="12" customFormat="1" x14ac:dyDescent="0.25"/>
    <row r="196980" s="12" customFormat="1" x14ac:dyDescent="0.25"/>
    <row r="196981" s="12" customFormat="1" x14ac:dyDescent="0.25"/>
    <row r="196982" s="12" customFormat="1" x14ac:dyDescent="0.25"/>
    <row r="196983" s="12" customFormat="1" x14ac:dyDescent="0.25"/>
    <row r="196984" s="12" customFormat="1" x14ac:dyDescent="0.25"/>
    <row r="196985" s="12" customFormat="1" x14ac:dyDescent="0.25"/>
    <row r="196986" s="12" customFormat="1" x14ac:dyDescent="0.25"/>
    <row r="196987" s="12" customFormat="1" x14ac:dyDescent="0.25"/>
    <row r="196988" s="12" customFormat="1" x14ac:dyDescent="0.25"/>
    <row r="196989" s="12" customFormat="1" x14ac:dyDescent="0.25"/>
    <row r="196990" s="12" customFormat="1" x14ac:dyDescent="0.25"/>
    <row r="196991" s="12" customFormat="1" x14ac:dyDescent="0.25"/>
    <row r="196992" s="12" customFormat="1" x14ac:dyDescent="0.25"/>
    <row r="196993" s="12" customFormat="1" x14ac:dyDescent="0.25"/>
    <row r="196994" s="12" customFormat="1" x14ac:dyDescent="0.25"/>
    <row r="196995" s="12" customFormat="1" x14ac:dyDescent="0.25"/>
    <row r="196996" s="12" customFormat="1" x14ac:dyDescent="0.25"/>
    <row r="196997" s="12" customFormat="1" x14ac:dyDescent="0.25"/>
    <row r="196998" s="12" customFormat="1" x14ac:dyDescent="0.25"/>
    <row r="196999" s="12" customFormat="1" x14ac:dyDescent="0.25"/>
    <row r="197000" s="12" customFormat="1" x14ac:dyDescent="0.25"/>
    <row r="197001" s="12" customFormat="1" x14ac:dyDescent="0.25"/>
    <row r="197002" s="12" customFormat="1" x14ac:dyDescent="0.25"/>
    <row r="197003" s="12" customFormat="1" x14ac:dyDescent="0.25"/>
    <row r="197004" s="12" customFormat="1" x14ac:dyDescent="0.25"/>
    <row r="197005" s="12" customFormat="1" x14ac:dyDescent="0.25"/>
    <row r="197006" s="12" customFormat="1" x14ac:dyDescent="0.25"/>
    <row r="197007" s="12" customFormat="1" x14ac:dyDescent="0.25"/>
    <row r="197008" s="12" customFormat="1" x14ac:dyDescent="0.25"/>
    <row r="197009" s="12" customFormat="1" x14ac:dyDescent="0.25"/>
    <row r="197010" s="12" customFormat="1" x14ac:dyDescent="0.25"/>
    <row r="197011" s="12" customFormat="1" x14ac:dyDescent="0.25"/>
    <row r="197012" s="12" customFormat="1" x14ac:dyDescent="0.25"/>
    <row r="197013" s="12" customFormat="1" x14ac:dyDescent="0.25"/>
    <row r="197014" s="12" customFormat="1" x14ac:dyDescent="0.25"/>
    <row r="197015" s="12" customFormat="1" x14ac:dyDescent="0.25"/>
    <row r="197016" s="12" customFormat="1" x14ac:dyDescent="0.25"/>
    <row r="197017" s="12" customFormat="1" x14ac:dyDescent="0.25"/>
    <row r="197018" s="12" customFormat="1" x14ac:dyDescent="0.25"/>
    <row r="197019" s="12" customFormat="1" x14ac:dyDescent="0.25"/>
    <row r="197020" s="12" customFormat="1" x14ac:dyDescent="0.25"/>
    <row r="197021" s="12" customFormat="1" x14ac:dyDescent="0.25"/>
    <row r="197022" s="12" customFormat="1" x14ac:dyDescent="0.25"/>
    <row r="197023" s="12" customFormat="1" x14ac:dyDescent="0.25"/>
    <row r="197024" s="12" customFormat="1" x14ac:dyDescent="0.25"/>
    <row r="197025" s="12" customFormat="1" x14ac:dyDescent="0.25"/>
    <row r="197026" s="12" customFormat="1" x14ac:dyDescent="0.25"/>
    <row r="197027" s="12" customFormat="1" x14ac:dyDescent="0.25"/>
    <row r="197028" s="12" customFormat="1" x14ac:dyDescent="0.25"/>
    <row r="197029" s="12" customFormat="1" x14ac:dyDescent="0.25"/>
    <row r="197030" s="12" customFormat="1" x14ac:dyDescent="0.25"/>
    <row r="197031" s="12" customFormat="1" x14ac:dyDescent="0.25"/>
    <row r="197032" s="12" customFormat="1" x14ac:dyDescent="0.25"/>
    <row r="197033" s="12" customFormat="1" x14ac:dyDescent="0.25"/>
    <row r="197034" s="12" customFormat="1" x14ac:dyDescent="0.25"/>
    <row r="197035" s="12" customFormat="1" x14ac:dyDescent="0.25"/>
    <row r="197036" s="12" customFormat="1" x14ac:dyDescent="0.25"/>
    <row r="197037" s="12" customFormat="1" x14ac:dyDescent="0.25"/>
    <row r="197038" s="12" customFormat="1" x14ac:dyDescent="0.25"/>
    <row r="197039" s="12" customFormat="1" x14ac:dyDescent="0.25"/>
    <row r="197040" s="12" customFormat="1" x14ac:dyDescent="0.25"/>
    <row r="197041" s="12" customFormat="1" x14ac:dyDescent="0.25"/>
    <row r="197042" s="12" customFormat="1" x14ac:dyDescent="0.25"/>
    <row r="197043" s="12" customFormat="1" x14ac:dyDescent="0.25"/>
    <row r="197044" s="12" customFormat="1" x14ac:dyDescent="0.25"/>
    <row r="197045" s="12" customFormat="1" x14ac:dyDescent="0.25"/>
    <row r="197046" s="12" customFormat="1" x14ac:dyDescent="0.25"/>
    <row r="197047" s="12" customFormat="1" x14ac:dyDescent="0.25"/>
    <row r="197048" s="12" customFormat="1" x14ac:dyDescent="0.25"/>
    <row r="197049" s="12" customFormat="1" x14ac:dyDescent="0.25"/>
    <row r="197050" s="12" customFormat="1" x14ac:dyDescent="0.25"/>
    <row r="197051" s="12" customFormat="1" x14ac:dyDescent="0.25"/>
    <row r="197052" s="12" customFormat="1" x14ac:dyDescent="0.25"/>
    <row r="197053" s="12" customFormat="1" x14ac:dyDescent="0.25"/>
    <row r="197054" s="12" customFormat="1" x14ac:dyDescent="0.25"/>
    <row r="197055" s="12" customFormat="1" x14ac:dyDescent="0.25"/>
    <row r="197056" s="12" customFormat="1" x14ac:dyDescent="0.25"/>
    <row r="197057" s="12" customFormat="1" x14ac:dyDescent="0.25"/>
    <row r="197058" s="12" customFormat="1" x14ac:dyDescent="0.25"/>
    <row r="197059" s="12" customFormat="1" x14ac:dyDescent="0.25"/>
    <row r="197060" s="12" customFormat="1" x14ac:dyDescent="0.25"/>
    <row r="197061" s="12" customFormat="1" x14ac:dyDescent="0.25"/>
    <row r="197062" s="12" customFormat="1" x14ac:dyDescent="0.25"/>
    <row r="197063" s="12" customFormat="1" x14ac:dyDescent="0.25"/>
    <row r="197064" s="12" customFormat="1" x14ac:dyDescent="0.25"/>
    <row r="197065" s="12" customFormat="1" x14ac:dyDescent="0.25"/>
    <row r="197066" s="12" customFormat="1" x14ac:dyDescent="0.25"/>
    <row r="197067" s="12" customFormat="1" x14ac:dyDescent="0.25"/>
    <row r="197068" s="12" customFormat="1" x14ac:dyDescent="0.25"/>
    <row r="197069" s="12" customFormat="1" x14ac:dyDescent="0.25"/>
    <row r="197070" s="12" customFormat="1" x14ac:dyDescent="0.25"/>
    <row r="197071" s="12" customFormat="1" x14ac:dyDescent="0.25"/>
    <row r="197072" s="12" customFormat="1" x14ac:dyDescent="0.25"/>
    <row r="197073" s="12" customFormat="1" x14ac:dyDescent="0.25"/>
    <row r="197074" s="12" customFormat="1" x14ac:dyDescent="0.25"/>
    <row r="197075" s="12" customFormat="1" x14ac:dyDescent="0.25"/>
    <row r="197076" s="12" customFormat="1" x14ac:dyDescent="0.25"/>
    <row r="197077" s="12" customFormat="1" x14ac:dyDescent="0.25"/>
    <row r="197078" s="12" customFormat="1" x14ac:dyDescent="0.25"/>
    <row r="197079" s="12" customFormat="1" x14ac:dyDescent="0.25"/>
    <row r="197080" s="12" customFormat="1" x14ac:dyDescent="0.25"/>
    <row r="197081" s="12" customFormat="1" x14ac:dyDescent="0.25"/>
    <row r="197082" s="12" customFormat="1" x14ac:dyDescent="0.25"/>
    <row r="197083" s="12" customFormat="1" x14ac:dyDescent="0.25"/>
    <row r="197084" s="12" customFormat="1" x14ac:dyDescent="0.25"/>
    <row r="197085" s="12" customFormat="1" x14ac:dyDescent="0.25"/>
    <row r="197086" s="12" customFormat="1" x14ac:dyDescent="0.25"/>
    <row r="197087" s="12" customFormat="1" x14ac:dyDescent="0.25"/>
    <row r="197088" s="12" customFormat="1" x14ac:dyDescent="0.25"/>
    <row r="197089" s="12" customFormat="1" x14ac:dyDescent="0.25"/>
    <row r="197090" s="12" customFormat="1" x14ac:dyDescent="0.25"/>
    <row r="197091" s="12" customFormat="1" x14ac:dyDescent="0.25"/>
    <row r="197092" s="12" customFormat="1" x14ac:dyDescent="0.25"/>
    <row r="197093" s="12" customFormat="1" x14ac:dyDescent="0.25"/>
    <row r="197094" s="12" customFormat="1" x14ac:dyDescent="0.25"/>
    <row r="197095" s="12" customFormat="1" x14ac:dyDescent="0.25"/>
    <row r="197096" s="12" customFormat="1" x14ac:dyDescent="0.25"/>
    <row r="197097" s="12" customFormat="1" x14ac:dyDescent="0.25"/>
    <row r="197098" s="12" customFormat="1" x14ac:dyDescent="0.25"/>
    <row r="197099" s="12" customFormat="1" x14ac:dyDescent="0.25"/>
    <row r="197100" s="12" customFormat="1" x14ac:dyDescent="0.25"/>
    <row r="197101" s="12" customFormat="1" x14ac:dyDescent="0.25"/>
    <row r="197102" s="12" customFormat="1" x14ac:dyDescent="0.25"/>
    <row r="197103" s="12" customFormat="1" x14ac:dyDescent="0.25"/>
    <row r="197104" s="12" customFormat="1" x14ac:dyDescent="0.25"/>
    <row r="197105" s="12" customFormat="1" x14ac:dyDescent="0.25"/>
    <row r="197106" s="12" customFormat="1" x14ac:dyDescent="0.25"/>
    <row r="197107" s="12" customFormat="1" x14ac:dyDescent="0.25"/>
    <row r="197108" s="12" customFormat="1" x14ac:dyDescent="0.25"/>
    <row r="197109" s="12" customFormat="1" x14ac:dyDescent="0.25"/>
    <row r="197110" s="12" customFormat="1" x14ac:dyDescent="0.25"/>
    <row r="197111" s="12" customFormat="1" x14ac:dyDescent="0.25"/>
    <row r="197112" s="12" customFormat="1" x14ac:dyDescent="0.25"/>
    <row r="197113" s="12" customFormat="1" x14ac:dyDescent="0.25"/>
    <row r="197114" s="12" customFormat="1" x14ac:dyDescent="0.25"/>
    <row r="197115" s="12" customFormat="1" x14ac:dyDescent="0.25"/>
    <row r="197116" s="12" customFormat="1" x14ac:dyDescent="0.25"/>
    <row r="197117" s="12" customFormat="1" x14ac:dyDescent="0.25"/>
    <row r="197118" s="12" customFormat="1" x14ac:dyDescent="0.25"/>
    <row r="197119" s="12" customFormat="1" x14ac:dyDescent="0.25"/>
    <row r="197120" s="12" customFormat="1" x14ac:dyDescent="0.25"/>
    <row r="197121" s="12" customFormat="1" x14ac:dyDescent="0.25"/>
    <row r="197122" s="12" customFormat="1" x14ac:dyDescent="0.25"/>
    <row r="197123" s="12" customFormat="1" x14ac:dyDescent="0.25"/>
    <row r="197124" s="12" customFormat="1" x14ac:dyDescent="0.25"/>
    <row r="197125" s="12" customFormat="1" x14ac:dyDescent="0.25"/>
    <row r="197126" s="12" customFormat="1" x14ac:dyDescent="0.25"/>
    <row r="197127" s="12" customFormat="1" x14ac:dyDescent="0.25"/>
    <row r="197128" s="12" customFormat="1" x14ac:dyDescent="0.25"/>
    <row r="197129" s="12" customFormat="1" x14ac:dyDescent="0.25"/>
    <row r="197130" s="12" customFormat="1" x14ac:dyDescent="0.25"/>
    <row r="197131" s="12" customFormat="1" x14ac:dyDescent="0.25"/>
    <row r="197132" s="12" customFormat="1" x14ac:dyDescent="0.25"/>
    <row r="197133" s="12" customFormat="1" x14ac:dyDescent="0.25"/>
    <row r="197134" s="12" customFormat="1" x14ac:dyDescent="0.25"/>
    <row r="197135" s="12" customFormat="1" x14ac:dyDescent="0.25"/>
    <row r="197136" s="12" customFormat="1" x14ac:dyDescent="0.25"/>
    <row r="197137" s="12" customFormat="1" x14ac:dyDescent="0.25"/>
    <row r="197138" s="12" customFormat="1" x14ac:dyDescent="0.25"/>
    <row r="197139" s="12" customFormat="1" x14ac:dyDescent="0.25"/>
    <row r="197140" s="12" customFormat="1" x14ac:dyDescent="0.25"/>
    <row r="197141" s="12" customFormat="1" x14ac:dyDescent="0.25"/>
    <row r="197142" s="12" customFormat="1" x14ac:dyDescent="0.25"/>
    <row r="197143" s="12" customFormat="1" x14ac:dyDescent="0.25"/>
    <row r="197144" s="12" customFormat="1" x14ac:dyDescent="0.25"/>
    <row r="197145" s="12" customFormat="1" x14ac:dyDescent="0.25"/>
    <row r="197146" s="12" customFormat="1" x14ac:dyDescent="0.25"/>
    <row r="197147" s="12" customFormat="1" x14ac:dyDescent="0.25"/>
    <row r="197148" s="12" customFormat="1" x14ac:dyDescent="0.25"/>
    <row r="197149" s="12" customFormat="1" x14ac:dyDescent="0.25"/>
    <row r="197150" s="12" customFormat="1" x14ac:dyDescent="0.25"/>
    <row r="197151" s="12" customFormat="1" x14ac:dyDescent="0.25"/>
    <row r="197152" s="12" customFormat="1" x14ac:dyDescent="0.25"/>
    <row r="197153" s="12" customFormat="1" x14ac:dyDescent="0.25"/>
    <row r="197154" s="12" customFormat="1" x14ac:dyDescent="0.25"/>
    <row r="197155" s="12" customFormat="1" x14ac:dyDescent="0.25"/>
    <row r="197156" s="12" customFormat="1" x14ac:dyDescent="0.25"/>
    <row r="197157" s="12" customFormat="1" x14ac:dyDescent="0.25"/>
    <row r="197158" s="12" customFormat="1" x14ac:dyDescent="0.25"/>
    <row r="197159" s="12" customFormat="1" x14ac:dyDescent="0.25"/>
    <row r="197160" s="12" customFormat="1" x14ac:dyDescent="0.25"/>
    <row r="197161" s="12" customFormat="1" x14ac:dyDescent="0.25"/>
    <row r="197162" s="12" customFormat="1" x14ac:dyDescent="0.25"/>
    <row r="197163" s="12" customFormat="1" x14ac:dyDescent="0.25"/>
    <row r="197164" s="12" customFormat="1" x14ac:dyDescent="0.25"/>
    <row r="197165" s="12" customFormat="1" x14ac:dyDescent="0.25"/>
    <row r="197166" s="12" customFormat="1" x14ac:dyDescent="0.25"/>
    <row r="197167" s="12" customFormat="1" x14ac:dyDescent="0.25"/>
    <row r="197168" s="12" customFormat="1" x14ac:dyDescent="0.25"/>
    <row r="197169" s="12" customFormat="1" x14ac:dyDescent="0.25"/>
    <row r="197170" s="12" customFormat="1" x14ac:dyDescent="0.25"/>
    <row r="197171" s="12" customFormat="1" x14ac:dyDescent="0.25"/>
    <row r="197172" s="12" customFormat="1" x14ac:dyDescent="0.25"/>
    <row r="197173" s="12" customFormat="1" x14ac:dyDescent="0.25"/>
    <row r="197174" s="12" customFormat="1" x14ac:dyDescent="0.25"/>
    <row r="197175" s="12" customFormat="1" x14ac:dyDescent="0.25"/>
    <row r="197176" s="12" customFormat="1" x14ac:dyDescent="0.25"/>
    <row r="197177" s="12" customFormat="1" x14ac:dyDescent="0.25"/>
    <row r="197178" s="12" customFormat="1" x14ac:dyDescent="0.25"/>
    <row r="197179" s="12" customFormat="1" x14ac:dyDescent="0.25"/>
    <row r="197180" s="12" customFormat="1" x14ac:dyDescent="0.25"/>
    <row r="197181" s="12" customFormat="1" x14ac:dyDescent="0.25"/>
    <row r="197182" s="12" customFormat="1" x14ac:dyDescent="0.25"/>
    <row r="197183" s="12" customFormat="1" x14ac:dyDescent="0.25"/>
    <row r="197184" s="12" customFormat="1" x14ac:dyDescent="0.25"/>
    <row r="197185" s="12" customFormat="1" x14ac:dyDescent="0.25"/>
    <row r="197186" s="12" customFormat="1" x14ac:dyDescent="0.25"/>
    <row r="197187" s="12" customFormat="1" x14ac:dyDescent="0.25"/>
    <row r="197188" s="12" customFormat="1" x14ac:dyDescent="0.25"/>
    <row r="197189" s="12" customFormat="1" x14ac:dyDescent="0.25"/>
    <row r="197190" s="12" customFormat="1" x14ac:dyDescent="0.25"/>
    <row r="197191" s="12" customFormat="1" x14ac:dyDescent="0.25"/>
    <row r="197192" s="12" customFormat="1" x14ac:dyDescent="0.25"/>
    <row r="197193" s="12" customFormat="1" x14ac:dyDescent="0.25"/>
    <row r="197194" s="12" customFormat="1" x14ac:dyDescent="0.25"/>
    <row r="197195" s="12" customFormat="1" x14ac:dyDescent="0.25"/>
    <row r="197196" s="12" customFormat="1" x14ac:dyDescent="0.25"/>
    <row r="197197" s="12" customFormat="1" x14ac:dyDescent="0.25"/>
    <row r="197198" s="12" customFormat="1" x14ac:dyDescent="0.25"/>
    <row r="197199" s="12" customFormat="1" x14ac:dyDescent="0.25"/>
    <row r="197200" s="12" customFormat="1" x14ac:dyDescent="0.25"/>
    <row r="197201" s="12" customFormat="1" x14ac:dyDescent="0.25"/>
    <row r="197202" s="12" customFormat="1" x14ac:dyDescent="0.25"/>
    <row r="197203" s="12" customFormat="1" x14ac:dyDescent="0.25"/>
    <row r="197204" s="12" customFormat="1" x14ac:dyDescent="0.25"/>
    <row r="197205" s="12" customFormat="1" x14ac:dyDescent="0.25"/>
    <row r="197206" s="12" customFormat="1" x14ac:dyDescent="0.25"/>
    <row r="197207" s="12" customFormat="1" x14ac:dyDescent="0.25"/>
    <row r="197208" s="12" customFormat="1" x14ac:dyDescent="0.25"/>
    <row r="197209" s="12" customFormat="1" x14ac:dyDescent="0.25"/>
    <row r="197210" s="12" customFormat="1" x14ac:dyDescent="0.25"/>
    <row r="197211" s="12" customFormat="1" x14ac:dyDescent="0.25"/>
    <row r="197212" s="12" customFormat="1" x14ac:dyDescent="0.25"/>
    <row r="197213" s="12" customFormat="1" x14ac:dyDescent="0.25"/>
    <row r="197214" s="12" customFormat="1" x14ac:dyDescent="0.25"/>
    <row r="197215" s="12" customFormat="1" x14ac:dyDescent="0.25"/>
    <row r="197216" s="12" customFormat="1" x14ac:dyDescent="0.25"/>
    <row r="197217" s="12" customFormat="1" x14ac:dyDescent="0.25"/>
    <row r="197218" s="12" customFormat="1" x14ac:dyDescent="0.25"/>
    <row r="197219" s="12" customFormat="1" x14ac:dyDescent="0.25"/>
    <row r="197220" s="12" customFormat="1" x14ac:dyDescent="0.25"/>
    <row r="197221" s="12" customFormat="1" x14ac:dyDescent="0.25"/>
    <row r="197222" s="12" customFormat="1" x14ac:dyDescent="0.25"/>
    <row r="197223" s="12" customFormat="1" x14ac:dyDescent="0.25"/>
    <row r="197224" s="12" customFormat="1" x14ac:dyDescent="0.25"/>
    <row r="197225" s="12" customFormat="1" x14ac:dyDescent="0.25"/>
    <row r="197226" s="12" customFormat="1" x14ac:dyDescent="0.25"/>
    <row r="197227" s="12" customFormat="1" x14ac:dyDescent="0.25"/>
    <row r="197228" s="12" customFormat="1" x14ac:dyDescent="0.25"/>
    <row r="197229" s="12" customFormat="1" x14ac:dyDescent="0.25"/>
    <row r="197230" s="12" customFormat="1" x14ac:dyDescent="0.25"/>
    <row r="197231" s="12" customFormat="1" x14ac:dyDescent="0.25"/>
    <row r="197232" s="12" customFormat="1" x14ac:dyDescent="0.25"/>
    <row r="197233" s="12" customFormat="1" x14ac:dyDescent="0.25"/>
    <row r="197234" s="12" customFormat="1" x14ac:dyDescent="0.25"/>
    <row r="197235" s="12" customFormat="1" x14ac:dyDescent="0.25"/>
    <row r="197236" s="12" customFormat="1" x14ac:dyDescent="0.25"/>
    <row r="197237" s="12" customFormat="1" x14ac:dyDescent="0.25"/>
    <row r="197238" s="12" customFormat="1" x14ac:dyDescent="0.25"/>
    <row r="197239" s="12" customFormat="1" x14ac:dyDescent="0.25"/>
    <row r="197240" s="12" customFormat="1" x14ac:dyDescent="0.25"/>
    <row r="197241" s="12" customFormat="1" x14ac:dyDescent="0.25"/>
    <row r="197242" s="12" customFormat="1" x14ac:dyDescent="0.25"/>
    <row r="197243" s="12" customFormat="1" x14ac:dyDescent="0.25"/>
    <row r="197244" s="12" customFormat="1" x14ac:dyDescent="0.25"/>
    <row r="197245" s="12" customFormat="1" x14ac:dyDescent="0.25"/>
    <row r="197246" s="12" customFormat="1" x14ac:dyDescent="0.25"/>
    <row r="197247" s="12" customFormat="1" x14ac:dyDescent="0.25"/>
    <row r="197248" s="12" customFormat="1" x14ac:dyDescent="0.25"/>
    <row r="197249" s="12" customFormat="1" x14ac:dyDescent="0.25"/>
    <row r="197250" s="12" customFormat="1" x14ac:dyDescent="0.25"/>
    <row r="197251" s="12" customFormat="1" x14ac:dyDescent="0.25"/>
    <row r="197252" s="12" customFormat="1" x14ac:dyDescent="0.25"/>
    <row r="197253" s="12" customFormat="1" x14ac:dyDescent="0.25"/>
    <row r="197254" s="12" customFormat="1" x14ac:dyDescent="0.25"/>
    <row r="197255" s="12" customFormat="1" x14ac:dyDescent="0.25"/>
    <row r="197256" s="12" customFormat="1" x14ac:dyDescent="0.25"/>
    <row r="197257" s="12" customFormat="1" x14ac:dyDescent="0.25"/>
    <row r="197258" s="12" customFormat="1" x14ac:dyDescent="0.25"/>
    <row r="197259" s="12" customFormat="1" x14ac:dyDescent="0.25"/>
    <row r="197260" s="12" customFormat="1" x14ac:dyDescent="0.25"/>
    <row r="197261" s="12" customFormat="1" x14ac:dyDescent="0.25"/>
    <row r="197262" s="12" customFormat="1" x14ac:dyDescent="0.25"/>
    <row r="197263" s="12" customFormat="1" x14ac:dyDescent="0.25"/>
    <row r="197264" s="12" customFormat="1" x14ac:dyDescent="0.25"/>
    <row r="197265" s="12" customFormat="1" x14ac:dyDescent="0.25"/>
    <row r="197266" s="12" customFormat="1" x14ac:dyDescent="0.25"/>
    <row r="197267" s="12" customFormat="1" x14ac:dyDescent="0.25"/>
    <row r="197268" s="12" customFormat="1" x14ac:dyDescent="0.25"/>
    <row r="197269" s="12" customFormat="1" x14ac:dyDescent="0.25"/>
    <row r="197270" s="12" customFormat="1" x14ac:dyDescent="0.25"/>
    <row r="197271" s="12" customFormat="1" x14ac:dyDescent="0.25"/>
    <row r="197272" s="12" customFormat="1" x14ac:dyDescent="0.25"/>
    <row r="197273" s="12" customFormat="1" x14ac:dyDescent="0.25"/>
    <row r="197274" s="12" customFormat="1" x14ac:dyDescent="0.25"/>
    <row r="197275" s="12" customFormat="1" x14ac:dyDescent="0.25"/>
    <row r="197276" s="12" customFormat="1" x14ac:dyDescent="0.25"/>
    <row r="197277" s="12" customFormat="1" x14ac:dyDescent="0.25"/>
    <row r="197278" s="12" customFormat="1" x14ac:dyDescent="0.25"/>
    <row r="197279" s="12" customFormat="1" x14ac:dyDescent="0.25"/>
    <row r="197280" s="12" customFormat="1" x14ac:dyDescent="0.25"/>
    <row r="197281" s="12" customFormat="1" x14ac:dyDescent="0.25"/>
    <row r="197282" s="12" customFormat="1" x14ac:dyDescent="0.25"/>
    <row r="197283" s="12" customFormat="1" x14ac:dyDescent="0.25"/>
    <row r="197284" s="12" customFormat="1" x14ac:dyDescent="0.25"/>
    <row r="197285" s="12" customFormat="1" x14ac:dyDescent="0.25"/>
    <row r="197286" s="12" customFormat="1" x14ac:dyDescent="0.25"/>
    <row r="197287" s="12" customFormat="1" x14ac:dyDescent="0.25"/>
    <row r="197288" s="12" customFormat="1" x14ac:dyDescent="0.25"/>
    <row r="197289" s="12" customFormat="1" x14ac:dyDescent="0.25"/>
    <row r="197290" s="12" customFormat="1" x14ac:dyDescent="0.25"/>
    <row r="197291" s="12" customFormat="1" x14ac:dyDescent="0.25"/>
    <row r="197292" s="12" customFormat="1" x14ac:dyDescent="0.25"/>
    <row r="197293" s="12" customFormat="1" x14ac:dyDescent="0.25"/>
    <row r="197294" s="12" customFormat="1" x14ac:dyDescent="0.25"/>
    <row r="197295" s="12" customFormat="1" x14ac:dyDescent="0.25"/>
    <row r="197296" s="12" customFormat="1" x14ac:dyDescent="0.25"/>
    <row r="197297" s="12" customFormat="1" x14ac:dyDescent="0.25"/>
    <row r="197298" s="12" customFormat="1" x14ac:dyDescent="0.25"/>
    <row r="197299" s="12" customFormat="1" x14ac:dyDescent="0.25"/>
    <row r="197300" s="12" customFormat="1" x14ac:dyDescent="0.25"/>
    <row r="197301" s="12" customFormat="1" x14ac:dyDescent="0.25"/>
    <row r="197302" s="12" customFormat="1" x14ac:dyDescent="0.25"/>
    <row r="197303" s="12" customFormat="1" x14ac:dyDescent="0.25"/>
    <row r="197304" s="12" customFormat="1" x14ac:dyDescent="0.25"/>
    <row r="197305" s="12" customFormat="1" x14ac:dyDescent="0.25"/>
    <row r="197306" s="12" customFormat="1" x14ac:dyDescent="0.25"/>
    <row r="197307" s="12" customFormat="1" x14ac:dyDescent="0.25"/>
    <row r="197308" s="12" customFormat="1" x14ac:dyDescent="0.25"/>
    <row r="197309" s="12" customFormat="1" x14ac:dyDescent="0.25"/>
    <row r="197310" s="12" customFormat="1" x14ac:dyDescent="0.25"/>
    <row r="197311" s="12" customFormat="1" x14ac:dyDescent="0.25"/>
    <row r="197312" s="12" customFormat="1" x14ac:dyDescent="0.25"/>
    <row r="197313" s="12" customFormat="1" x14ac:dyDescent="0.25"/>
    <row r="197314" s="12" customFormat="1" x14ac:dyDescent="0.25"/>
    <row r="197315" s="12" customFormat="1" x14ac:dyDescent="0.25"/>
    <row r="197316" s="12" customFormat="1" x14ac:dyDescent="0.25"/>
    <row r="197317" s="12" customFormat="1" x14ac:dyDescent="0.25"/>
    <row r="197318" s="12" customFormat="1" x14ac:dyDescent="0.25"/>
    <row r="197319" s="12" customFormat="1" x14ac:dyDescent="0.25"/>
    <row r="197320" s="12" customFormat="1" x14ac:dyDescent="0.25"/>
    <row r="197321" s="12" customFormat="1" x14ac:dyDescent="0.25"/>
    <row r="197322" s="12" customFormat="1" x14ac:dyDescent="0.25"/>
    <row r="197323" s="12" customFormat="1" x14ac:dyDescent="0.25"/>
    <row r="197324" s="12" customFormat="1" x14ac:dyDescent="0.25"/>
    <row r="197325" s="12" customFormat="1" x14ac:dyDescent="0.25"/>
    <row r="197326" s="12" customFormat="1" x14ac:dyDescent="0.25"/>
    <row r="197327" s="12" customFormat="1" x14ac:dyDescent="0.25"/>
    <row r="197328" s="12" customFormat="1" x14ac:dyDescent="0.25"/>
    <row r="197329" s="12" customFormat="1" x14ac:dyDescent="0.25"/>
    <row r="197330" s="12" customFormat="1" x14ac:dyDescent="0.25"/>
    <row r="197331" s="12" customFormat="1" x14ac:dyDescent="0.25"/>
    <row r="197332" s="12" customFormat="1" x14ac:dyDescent="0.25"/>
    <row r="197333" s="12" customFormat="1" x14ac:dyDescent="0.25"/>
    <row r="197334" s="12" customFormat="1" x14ac:dyDescent="0.25"/>
    <row r="197335" s="12" customFormat="1" x14ac:dyDescent="0.25"/>
    <row r="197336" s="12" customFormat="1" x14ac:dyDescent="0.25"/>
    <row r="197337" s="12" customFormat="1" x14ac:dyDescent="0.25"/>
    <row r="197338" s="12" customFormat="1" x14ac:dyDescent="0.25"/>
    <row r="197339" s="12" customFormat="1" x14ac:dyDescent="0.25"/>
    <row r="197340" s="12" customFormat="1" x14ac:dyDescent="0.25"/>
    <row r="197341" s="12" customFormat="1" x14ac:dyDescent="0.25"/>
    <row r="197342" s="12" customFormat="1" x14ac:dyDescent="0.25"/>
    <row r="197343" s="12" customFormat="1" x14ac:dyDescent="0.25"/>
    <row r="197344" s="12" customFormat="1" x14ac:dyDescent="0.25"/>
    <row r="197345" s="12" customFormat="1" x14ac:dyDescent="0.25"/>
    <row r="197346" s="12" customFormat="1" x14ac:dyDescent="0.25"/>
    <row r="197347" s="12" customFormat="1" x14ac:dyDescent="0.25"/>
    <row r="197348" s="12" customFormat="1" x14ac:dyDescent="0.25"/>
    <row r="197349" s="12" customFormat="1" x14ac:dyDescent="0.25"/>
    <row r="197350" s="12" customFormat="1" x14ac:dyDescent="0.25"/>
    <row r="197351" s="12" customFormat="1" x14ac:dyDescent="0.25"/>
    <row r="197352" s="12" customFormat="1" x14ac:dyDescent="0.25"/>
    <row r="197353" s="12" customFormat="1" x14ac:dyDescent="0.25"/>
    <row r="197354" s="12" customFormat="1" x14ac:dyDescent="0.25"/>
    <row r="197355" s="12" customFormat="1" x14ac:dyDescent="0.25"/>
    <row r="197356" s="12" customFormat="1" x14ac:dyDescent="0.25"/>
    <row r="197357" s="12" customFormat="1" x14ac:dyDescent="0.25"/>
    <row r="197358" s="12" customFormat="1" x14ac:dyDescent="0.25"/>
    <row r="197359" s="12" customFormat="1" x14ac:dyDescent="0.25"/>
    <row r="197360" s="12" customFormat="1" x14ac:dyDescent="0.25"/>
    <row r="197361" s="12" customFormat="1" x14ac:dyDescent="0.25"/>
    <row r="197362" s="12" customFormat="1" x14ac:dyDescent="0.25"/>
    <row r="197363" s="12" customFormat="1" x14ac:dyDescent="0.25"/>
    <row r="197364" s="12" customFormat="1" x14ac:dyDescent="0.25"/>
    <row r="197365" s="12" customFormat="1" x14ac:dyDescent="0.25"/>
    <row r="197366" s="12" customFormat="1" x14ac:dyDescent="0.25"/>
    <row r="197367" s="12" customFormat="1" x14ac:dyDescent="0.25"/>
    <row r="197368" s="12" customFormat="1" x14ac:dyDescent="0.25"/>
    <row r="197369" s="12" customFormat="1" x14ac:dyDescent="0.25"/>
    <row r="197370" s="12" customFormat="1" x14ac:dyDescent="0.25"/>
    <row r="197371" s="12" customFormat="1" x14ac:dyDescent="0.25"/>
    <row r="197372" s="12" customFormat="1" x14ac:dyDescent="0.25"/>
    <row r="197373" s="12" customFormat="1" x14ac:dyDescent="0.25"/>
    <row r="197374" s="12" customFormat="1" x14ac:dyDescent="0.25"/>
    <row r="197375" s="12" customFormat="1" x14ac:dyDescent="0.25"/>
    <row r="197376" s="12" customFormat="1" x14ac:dyDescent="0.25"/>
    <row r="197377" s="12" customFormat="1" x14ac:dyDescent="0.25"/>
    <row r="197378" s="12" customFormat="1" x14ac:dyDescent="0.25"/>
    <row r="197379" s="12" customFormat="1" x14ac:dyDescent="0.25"/>
    <row r="197380" s="12" customFormat="1" x14ac:dyDescent="0.25"/>
    <row r="197381" s="12" customFormat="1" x14ac:dyDescent="0.25"/>
    <row r="197382" s="12" customFormat="1" x14ac:dyDescent="0.25"/>
    <row r="197383" s="12" customFormat="1" x14ac:dyDescent="0.25"/>
    <row r="197384" s="12" customFormat="1" x14ac:dyDescent="0.25"/>
    <row r="197385" s="12" customFormat="1" x14ac:dyDescent="0.25"/>
    <row r="197386" s="12" customFormat="1" x14ac:dyDescent="0.25"/>
    <row r="197387" s="12" customFormat="1" x14ac:dyDescent="0.25"/>
    <row r="197388" s="12" customFormat="1" x14ac:dyDescent="0.25"/>
    <row r="197389" s="12" customFormat="1" x14ac:dyDescent="0.25"/>
    <row r="197390" s="12" customFormat="1" x14ac:dyDescent="0.25"/>
    <row r="197391" s="12" customFormat="1" x14ac:dyDescent="0.25"/>
    <row r="197392" s="12" customFormat="1" x14ac:dyDescent="0.25"/>
    <row r="197393" s="12" customFormat="1" x14ac:dyDescent="0.25"/>
    <row r="197394" s="12" customFormat="1" x14ac:dyDescent="0.25"/>
    <row r="197395" s="12" customFormat="1" x14ac:dyDescent="0.25"/>
    <row r="197396" s="12" customFormat="1" x14ac:dyDescent="0.25"/>
    <row r="197397" s="12" customFormat="1" x14ac:dyDescent="0.25"/>
    <row r="197398" s="12" customFormat="1" x14ac:dyDescent="0.25"/>
    <row r="197399" s="12" customFormat="1" x14ac:dyDescent="0.25"/>
    <row r="197400" s="12" customFormat="1" x14ac:dyDescent="0.25"/>
    <row r="197401" s="12" customFormat="1" x14ac:dyDescent="0.25"/>
    <row r="197402" s="12" customFormat="1" x14ac:dyDescent="0.25"/>
    <row r="197403" s="12" customFormat="1" x14ac:dyDescent="0.25"/>
    <row r="197404" s="12" customFormat="1" x14ac:dyDescent="0.25"/>
    <row r="197405" s="12" customFormat="1" x14ac:dyDescent="0.25"/>
    <row r="197406" s="12" customFormat="1" x14ac:dyDescent="0.25"/>
    <row r="197407" s="12" customFormat="1" x14ac:dyDescent="0.25"/>
    <row r="197408" s="12" customFormat="1" x14ac:dyDescent="0.25"/>
    <row r="197409" s="12" customFormat="1" x14ac:dyDescent="0.25"/>
    <row r="197410" s="12" customFormat="1" x14ac:dyDescent="0.25"/>
    <row r="197411" s="12" customFormat="1" x14ac:dyDescent="0.25"/>
    <row r="197412" s="12" customFormat="1" x14ac:dyDescent="0.25"/>
    <row r="197413" s="12" customFormat="1" x14ac:dyDescent="0.25"/>
    <row r="197414" s="12" customFormat="1" x14ac:dyDescent="0.25"/>
    <row r="197415" s="12" customFormat="1" x14ac:dyDescent="0.25"/>
    <row r="197416" s="12" customFormat="1" x14ac:dyDescent="0.25"/>
    <row r="197417" s="12" customFormat="1" x14ac:dyDescent="0.25"/>
    <row r="197418" s="12" customFormat="1" x14ac:dyDescent="0.25"/>
    <row r="197419" s="12" customFormat="1" x14ac:dyDescent="0.25"/>
    <row r="197420" s="12" customFormat="1" x14ac:dyDescent="0.25"/>
    <row r="197421" s="12" customFormat="1" x14ac:dyDescent="0.25"/>
    <row r="197422" s="12" customFormat="1" x14ac:dyDescent="0.25"/>
    <row r="197423" s="12" customFormat="1" x14ac:dyDescent="0.25"/>
    <row r="197424" s="12" customFormat="1" x14ac:dyDescent="0.25"/>
    <row r="197425" s="12" customFormat="1" x14ac:dyDescent="0.25"/>
    <row r="197426" s="12" customFormat="1" x14ac:dyDescent="0.25"/>
    <row r="197427" s="12" customFormat="1" x14ac:dyDescent="0.25"/>
    <row r="197428" s="12" customFormat="1" x14ac:dyDescent="0.25"/>
    <row r="197429" s="12" customFormat="1" x14ac:dyDescent="0.25"/>
    <row r="197430" s="12" customFormat="1" x14ac:dyDescent="0.25"/>
    <row r="197431" s="12" customFormat="1" x14ac:dyDescent="0.25"/>
    <row r="197432" s="12" customFormat="1" x14ac:dyDescent="0.25"/>
    <row r="197433" s="12" customFormat="1" x14ac:dyDescent="0.25"/>
    <row r="197434" s="12" customFormat="1" x14ac:dyDescent="0.25"/>
    <row r="197435" s="12" customFormat="1" x14ac:dyDescent="0.25"/>
    <row r="197436" s="12" customFormat="1" x14ac:dyDescent="0.25"/>
    <row r="197437" s="12" customFormat="1" x14ac:dyDescent="0.25"/>
    <row r="197438" s="12" customFormat="1" x14ac:dyDescent="0.25"/>
    <row r="197439" s="12" customFormat="1" x14ac:dyDescent="0.25"/>
    <row r="197440" s="12" customFormat="1" x14ac:dyDescent="0.25"/>
    <row r="197441" s="12" customFormat="1" x14ac:dyDescent="0.25"/>
    <row r="197442" s="12" customFormat="1" x14ac:dyDescent="0.25"/>
    <row r="197443" s="12" customFormat="1" x14ac:dyDescent="0.25"/>
    <row r="197444" s="12" customFormat="1" x14ac:dyDescent="0.25"/>
    <row r="197445" s="12" customFormat="1" x14ac:dyDescent="0.25"/>
    <row r="197446" s="12" customFormat="1" x14ac:dyDescent="0.25"/>
    <row r="197447" s="12" customFormat="1" x14ac:dyDescent="0.25"/>
    <row r="197448" s="12" customFormat="1" x14ac:dyDescent="0.25"/>
    <row r="197449" s="12" customFormat="1" x14ac:dyDescent="0.25"/>
    <row r="197450" s="12" customFormat="1" x14ac:dyDescent="0.25"/>
    <row r="197451" s="12" customFormat="1" x14ac:dyDescent="0.25"/>
    <row r="197452" s="12" customFormat="1" x14ac:dyDescent="0.25"/>
    <row r="197453" s="12" customFormat="1" x14ac:dyDescent="0.25"/>
    <row r="197454" s="12" customFormat="1" x14ac:dyDescent="0.25"/>
    <row r="197455" s="12" customFormat="1" x14ac:dyDescent="0.25"/>
    <row r="197456" s="12" customFormat="1" x14ac:dyDescent="0.25"/>
    <row r="197457" s="12" customFormat="1" x14ac:dyDescent="0.25"/>
    <row r="197458" s="12" customFormat="1" x14ac:dyDescent="0.25"/>
    <row r="197459" s="12" customFormat="1" x14ac:dyDescent="0.25"/>
    <row r="197460" s="12" customFormat="1" x14ac:dyDescent="0.25"/>
    <row r="197461" s="12" customFormat="1" x14ac:dyDescent="0.25"/>
    <row r="197462" s="12" customFormat="1" x14ac:dyDescent="0.25"/>
    <row r="197463" s="12" customFormat="1" x14ac:dyDescent="0.25"/>
    <row r="197464" s="12" customFormat="1" x14ac:dyDescent="0.25"/>
    <row r="197465" s="12" customFormat="1" x14ac:dyDescent="0.25"/>
    <row r="197466" s="12" customFormat="1" x14ac:dyDescent="0.25"/>
    <row r="197467" s="12" customFormat="1" x14ac:dyDescent="0.25"/>
    <row r="197468" s="12" customFormat="1" x14ac:dyDescent="0.25"/>
    <row r="197469" s="12" customFormat="1" x14ac:dyDescent="0.25"/>
    <row r="197470" s="12" customFormat="1" x14ac:dyDescent="0.25"/>
    <row r="197471" s="12" customFormat="1" x14ac:dyDescent="0.25"/>
    <row r="197472" s="12" customFormat="1" x14ac:dyDescent="0.25"/>
    <row r="197473" s="12" customFormat="1" x14ac:dyDescent="0.25"/>
    <row r="197474" s="12" customFormat="1" x14ac:dyDescent="0.25"/>
    <row r="197475" s="12" customFormat="1" x14ac:dyDescent="0.25"/>
    <row r="197476" s="12" customFormat="1" x14ac:dyDescent="0.25"/>
    <row r="197477" s="12" customFormat="1" x14ac:dyDescent="0.25"/>
    <row r="197478" s="12" customFormat="1" x14ac:dyDescent="0.25"/>
    <row r="197479" s="12" customFormat="1" x14ac:dyDescent="0.25"/>
    <row r="197480" s="12" customFormat="1" x14ac:dyDescent="0.25"/>
    <row r="197481" s="12" customFormat="1" x14ac:dyDescent="0.25"/>
    <row r="197482" s="12" customFormat="1" x14ac:dyDescent="0.25"/>
    <row r="197483" s="12" customFormat="1" x14ac:dyDescent="0.25"/>
    <row r="197484" s="12" customFormat="1" x14ac:dyDescent="0.25"/>
    <row r="197485" s="12" customFormat="1" x14ac:dyDescent="0.25"/>
    <row r="197486" s="12" customFormat="1" x14ac:dyDescent="0.25"/>
    <row r="197487" s="12" customFormat="1" x14ac:dyDescent="0.25"/>
    <row r="197488" s="12" customFormat="1" x14ac:dyDescent="0.25"/>
    <row r="197489" s="12" customFormat="1" x14ac:dyDescent="0.25"/>
    <row r="197490" s="12" customFormat="1" x14ac:dyDescent="0.25"/>
    <row r="197491" s="12" customFormat="1" x14ac:dyDescent="0.25"/>
    <row r="197492" s="12" customFormat="1" x14ac:dyDescent="0.25"/>
    <row r="197493" s="12" customFormat="1" x14ac:dyDescent="0.25"/>
    <row r="197494" s="12" customFormat="1" x14ac:dyDescent="0.25"/>
    <row r="197495" s="12" customFormat="1" x14ac:dyDescent="0.25"/>
    <row r="197496" s="12" customFormat="1" x14ac:dyDescent="0.25"/>
    <row r="197497" s="12" customFormat="1" x14ac:dyDescent="0.25"/>
    <row r="197498" s="12" customFormat="1" x14ac:dyDescent="0.25"/>
    <row r="197499" s="12" customFormat="1" x14ac:dyDescent="0.25"/>
    <row r="197500" s="12" customFormat="1" x14ac:dyDescent="0.25"/>
    <row r="197501" s="12" customFormat="1" x14ac:dyDescent="0.25"/>
    <row r="197502" s="12" customFormat="1" x14ac:dyDescent="0.25"/>
    <row r="197503" s="12" customFormat="1" x14ac:dyDescent="0.25"/>
    <row r="197504" s="12" customFormat="1" x14ac:dyDescent="0.25"/>
    <row r="197505" s="12" customFormat="1" x14ac:dyDescent="0.25"/>
    <row r="197506" s="12" customFormat="1" x14ac:dyDescent="0.25"/>
    <row r="197507" s="12" customFormat="1" x14ac:dyDescent="0.25"/>
    <row r="197508" s="12" customFormat="1" x14ac:dyDescent="0.25"/>
    <row r="197509" s="12" customFormat="1" x14ac:dyDescent="0.25"/>
    <row r="197510" s="12" customFormat="1" x14ac:dyDescent="0.25"/>
    <row r="197511" s="12" customFormat="1" x14ac:dyDescent="0.25"/>
    <row r="197512" s="12" customFormat="1" x14ac:dyDescent="0.25"/>
    <row r="197513" s="12" customFormat="1" x14ac:dyDescent="0.25"/>
    <row r="197514" s="12" customFormat="1" x14ac:dyDescent="0.25"/>
    <row r="197515" s="12" customFormat="1" x14ac:dyDescent="0.25"/>
    <row r="197516" s="12" customFormat="1" x14ac:dyDescent="0.25"/>
    <row r="197517" s="12" customFormat="1" x14ac:dyDescent="0.25"/>
    <row r="197518" s="12" customFormat="1" x14ac:dyDescent="0.25"/>
    <row r="197519" s="12" customFormat="1" x14ac:dyDescent="0.25"/>
    <row r="197520" s="12" customFormat="1" x14ac:dyDescent="0.25"/>
    <row r="197521" s="12" customFormat="1" x14ac:dyDescent="0.25"/>
    <row r="197522" s="12" customFormat="1" x14ac:dyDescent="0.25"/>
    <row r="197523" s="12" customFormat="1" x14ac:dyDescent="0.25"/>
    <row r="197524" s="12" customFormat="1" x14ac:dyDescent="0.25"/>
    <row r="197525" s="12" customFormat="1" x14ac:dyDescent="0.25"/>
    <row r="197526" s="12" customFormat="1" x14ac:dyDescent="0.25"/>
    <row r="197527" s="12" customFormat="1" x14ac:dyDescent="0.25"/>
    <row r="197528" s="12" customFormat="1" x14ac:dyDescent="0.25"/>
    <row r="197529" s="12" customFormat="1" x14ac:dyDescent="0.25"/>
    <row r="197530" s="12" customFormat="1" x14ac:dyDescent="0.25"/>
    <row r="197531" s="12" customFormat="1" x14ac:dyDescent="0.25"/>
    <row r="197532" s="12" customFormat="1" x14ac:dyDescent="0.25"/>
    <row r="197533" s="12" customFormat="1" x14ac:dyDescent="0.25"/>
    <row r="197534" s="12" customFormat="1" x14ac:dyDescent="0.25"/>
    <row r="197535" s="12" customFormat="1" x14ac:dyDescent="0.25"/>
    <row r="197536" s="12" customFormat="1" x14ac:dyDescent="0.25"/>
    <row r="197537" s="12" customFormat="1" x14ac:dyDescent="0.25"/>
    <row r="197538" s="12" customFormat="1" x14ac:dyDescent="0.25"/>
    <row r="197539" s="12" customFormat="1" x14ac:dyDescent="0.25"/>
    <row r="197540" s="12" customFormat="1" x14ac:dyDescent="0.25"/>
    <row r="197541" s="12" customFormat="1" x14ac:dyDescent="0.25"/>
    <row r="197542" s="12" customFormat="1" x14ac:dyDescent="0.25"/>
    <row r="197543" s="12" customFormat="1" x14ac:dyDescent="0.25"/>
    <row r="197544" s="12" customFormat="1" x14ac:dyDescent="0.25"/>
    <row r="197545" s="12" customFormat="1" x14ac:dyDescent="0.25"/>
    <row r="197546" s="12" customFormat="1" x14ac:dyDescent="0.25"/>
    <row r="197547" s="12" customFormat="1" x14ac:dyDescent="0.25"/>
    <row r="197548" s="12" customFormat="1" x14ac:dyDescent="0.25"/>
    <row r="197549" s="12" customFormat="1" x14ac:dyDescent="0.25"/>
    <row r="197550" s="12" customFormat="1" x14ac:dyDescent="0.25"/>
    <row r="197551" s="12" customFormat="1" x14ac:dyDescent="0.25"/>
    <row r="197552" s="12" customFormat="1" x14ac:dyDescent="0.25"/>
    <row r="197553" s="12" customFormat="1" x14ac:dyDescent="0.25"/>
    <row r="197554" s="12" customFormat="1" x14ac:dyDescent="0.25"/>
    <row r="197555" s="12" customFormat="1" x14ac:dyDescent="0.25"/>
    <row r="197556" s="12" customFormat="1" x14ac:dyDescent="0.25"/>
    <row r="197557" s="12" customFormat="1" x14ac:dyDescent="0.25"/>
    <row r="197558" s="12" customFormat="1" x14ac:dyDescent="0.25"/>
    <row r="197559" s="12" customFormat="1" x14ac:dyDescent="0.25"/>
    <row r="197560" s="12" customFormat="1" x14ac:dyDescent="0.25"/>
    <row r="197561" s="12" customFormat="1" x14ac:dyDescent="0.25"/>
    <row r="197562" s="12" customFormat="1" x14ac:dyDescent="0.25"/>
    <row r="197563" s="12" customFormat="1" x14ac:dyDescent="0.25"/>
    <row r="197564" s="12" customFormat="1" x14ac:dyDescent="0.25"/>
    <row r="197565" s="12" customFormat="1" x14ac:dyDescent="0.25"/>
    <row r="197566" s="12" customFormat="1" x14ac:dyDescent="0.25"/>
    <row r="197567" s="12" customFormat="1" x14ac:dyDescent="0.25"/>
    <row r="197568" s="12" customFormat="1" x14ac:dyDescent="0.25"/>
    <row r="197569" s="12" customFormat="1" x14ac:dyDescent="0.25"/>
    <row r="197570" s="12" customFormat="1" x14ac:dyDescent="0.25"/>
    <row r="197571" s="12" customFormat="1" x14ac:dyDescent="0.25"/>
    <row r="197572" s="12" customFormat="1" x14ac:dyDescent="0.25"/>
    <row r="197573" s="12" customFormat="1" x14ac:dyDescent="0.25"/>
    <row r="197574" s="12" customFormat="1" x14ac:dyDescent="0.25"/>
    <row r="197575" s="12" customFormat="1" x14ac:dyDescent="0.25"/>
    <row r="197576" s="12" customFormat="1" x14ac:dyDescent="0.25"/>
    <row r="197577" s="12" customFormat="1" x14ac:dyDescent="0.25"/>
    <row r="197578" s="12" customFormat="1" x14ac:dyDescent="0.25"/>
    <row r="197579" s="12" customFormat="1" x14ac:dyDescent="0.25"/>
    <row r="197580" s="12" customFormat="1" x14ac:dyDescent="0.25"/>
    <row r="197581" s="12" customFormat="1" x14ac:dyDescent="0.25"/>
    <row r="197582" s="12" customFormat="1" x14ac:dyDescent="0.25"/>
    <row r="197583" s="12" customFormat="1" x14ac:dyDescent="0.25"/>
    <row r="197584" s="12" customFormat="1" x14ac:dyDescent="0.25"/>
    <row r="197585" s="12" customFormat="1" x14ac:dyDescent="0.25"/>
    <row r="197586" s="12" customFormat="1" x14ac:dyDescent="0.25"/>
    <row r="197587" s="12" customFormat="1" x14ac:dyDescent="0.25"/>
    <row r="197588" s="12" customFormat="1" x14ac:dyDescent="0.25"/>
    <row r="197589" s="12" customFormat="1" x14ac:dyDescent="0.25"/>
    <row r="197590" s="12" customFormat="1" x14ac:dyDescent="0.25"/>
    <row r="197591" s="12" customFormat="1" x14ac:dyDescent="0.25"/>
    <row r="197592" s="12" customFormat="1" x14ac:dyDescent="0.25"/>
    <row r="197593" s="12" customFormat="1" x14ac:dyDescent="0.25"/>
    <row r="197594" s="12" customFormat="1" x14ac:dyDescent="0.25"/>
    <row r="197595" s="12" customFormat="1" x14ac:dyDescent="0.25"/>
    <row r="197596" s="12" customFormat="1" x14ac:dyDescent="0.25"/>
    <row r="197597" s="12" customFormat="1" x14ac:dyDescent="0.25"/>
    <row r="197598" s="12" customFormat="1" x14ac:dyDescent="0.25"/>
    <row r="197599" s="12" customFormat="1" x14ac:dyDescent="0.25"/>
    <row r="197600" s="12" customFormat="1" x14ac:dyDescent="0.25"/>
    <row r="197601" s="12" customFormat="1" x14ac:dyDescent="0.25"/>
    <row r="197602" s="12" customFormat="1" x14ac:dyDescent="0.25"/>
    <row r="197603" s="12" customFormat="1" x14ac:dyDescent="0.25"/>
    <row r="197604" s="12" customFormat="1" x14ac:dyDescent="0.25"/>
    <row r="197605" s="12" customFormat="1" x14ac:dyDescent="0.25"/>
    <row r="197606" s="12" customFormat="1" x14ac:dyDescent="0.25"/>
    <row r="197607" s="12" customFormat="1" x14ac:dyDescent="0.25"/>
    <row r="197608" s="12" customFormat="1" x14ac:dyDescent="0.25"/>
    <row r="197609" s="12" customFormat="1" x14ac:dyDescent="0.25"/>
    <row r="197610" s="12" customFormat="1" x14ac:dyDescent="0.25"/>
    <row r="197611" s="12" customFormat="1" x14ac:dyDescent="0.25"/>
    <row r="197612" s="12" customFormat="1" x14ac:dyDescent="0.25"/>
    <row r="197613" s="12" customFormat="1" x14ac:dyDescent="0.25"/>
    <row r="197614" s="12" customFormat="1" x14ac:dyDescent="0.25"/>
    <row r="197615" s="12" customFormat="1" x14ac:dyDescent="0.25"/>
    <row r="197616" s="12" customFormat="1" x14ac:dyDescent="0.25"/>
    <row r="197617" s="12" customFormat="1" x14ac:dyDescent="0.25"/>
    <row r="197618" s="12" customFormat="1" x14ac:dyDescent="0.25"/>
    <row r="197619" s="12" customFormat="1" x14ac:dyDescent="0.25"/>
    <row r="197620" s="12" customFormat="1" x14ac:dyDescent="0.25"/>
    <row r="197621" s="12" customFormat="1" x14ac:dyDescent="0.25"/>
    <row r="197622" s="12" customFormat="1" x14ac:dyDescent="0.25"/>
    <row r="197623" s="12" customFormat="1" x14ac:dyDescent="0.25"/>
    <row r="197624" s="12" customFormat="1" x14ac:dyDescent="0.25"/>
    <row r="197625" s="12" customFormat="1" x14ac:dyDescent="0.25"/>
    <row r="197626" s="12" customFormat="1" x14ac:dyDescent="0.25"/>
    <row r="197627" s="12" customFormat="1" x14ac:dyDescent="0.25"/>
    <row r="197628" s="12" customFormat="1" x14ac:dyDescent="0.25"/>
    <row r="197629" s="12" customFormat="1" x14ac:dyDescent="0.25"/>
    <row r="197630" s="12" customFormat="1" x14ac:dyDescent="0.25"/>
    <row r="197631" s="12" customFormat="1" x14ac:dyDescent="0.25"/>
    <row r="197632" s="12" customFormat="1" x14ac:dyDescent="0.25"/>
    <row r="197633" s="12" customFormat="1" x14ac:dyDescent="0.25"/>
    <row r="197634" s="12" customFormat="1" x14ac:dyDescent="0.25"/>
    <row r="197635" s="12" customFormat="1" x14ac:dyDescent="0.25"/>
    <row r="197636" s="12" customFormat="1" x14ac:dyDescent="0.25"/>
    <row r="197637" s="12" customFormat="1" x14ac:dyDescent="0.25"/>
    <row r="197638" s="12" customFormat="1" x14ac:dyDescent="0.25"/>
    <row r="197639" s="12" customFormat="1" x14ac:dyDescent="0.25"/>
    <row r="197640" s="12" customFormat="1" x14ac:dyDescent="0.25"/>
    <row r="197641" s="12" customFormat="1" x14ac:dyDescent="0.25"/>
    <row r="197642" s="12" customFormat="1" x14ac:dyDescent="0.25"/>
    <row r="197643" s="12" customFormat="1" x14ac:dyDescent="0.25"/>
    <row r="197644" s="12" customFormat="1" x14ac:dyDescent="0.25"/>
    <row r="197645" s="12" customFormat="1" x14ac:dyDescent="0.25"/>
    <row r="197646" s="12" customFormat="1" x14ac:dyDescent="0.25"/>
    <row r="197647" s="12" customFormat="1" x14ac:dyDescent="0.25"/>
    <row r="197648" s="12" customFormat="1" x14ac:dyDescent="0.25"/>
    <row r="197649" s="12" customFormat="1" x14ac:dyDescent="0.25"/>
    <row r="197650" s="12" customFormat="1" x14ac:dyDescent="0.25"/>
    <row r="197651" s="12" customFormat="1" x14ac:dyDescent="0.25"/>
    <row r="197652" s="12" customFormat="1" x14ac:dyDescent="0.25"/>
    <row r="197653" s="12" customFormat="1" x14ac:dyDescent="0.25"/>
    <row r="197654" s="12" customFormat="1" x14ac:dyDescent="0.25"/>
    <row r="197655" s="12" customFormat="1" x14ac:dyDescent="0.25"/>
    <row r="197656" s="12" customFormat="1" x14ac:dyDescent="0.25"/>
    <row r="197657" s="12" customFormat="1" x14ac:dyDescent="0.25"/>
    <row r="197658" s="12" customFormat="1" x14ac:dyDescent="0.25"/>
    <row r="197659" s="12" customFormat="1" x14ac:dyDescent="0.25"/>
    <row r="197660" s="12" customFormat="1" x14ac:dyDescent="0.25"/>
    <row r="197661" s="12" customFormat="1" x14ac:dyDescent="0.25"/>
    <row r="197662" s="12" customFormat="1" x14ac:dyDescent="0.25"/>
    <row r="197663" s="12" customFormat="1" x14ac:dyDescent="0.25"/>
    <row r="197664" s="12" customFormat="1" x14ac:dyDescent="0.25"/>
    <row r="197665" s="12" customFormat="1" x14ac:dyDescent="0.25"/>
    <row r="197666" s="12" customFormat="1" x14ac:dyDescent="0.25"/>
    <row r="197667" s="12" customFormat="1" x14ac:dyDescent="0.25"/>
    <row r="197668" s="12" customFormat="1" x14ac:dyDescent="0.25"/>
    <row r="197669" s="12" customFormat="1" x14ac:dyDescent="0.25"/>
    <row r="197670" s="12" customFormat="1" x14ac:dyDescent="0.25"/>
    <row r="197671" s="12" customFormat="1" x14ac:dyDescent="0.25"/>
    <row r="197672" s="12" customFormat="1" x14ac:dyDescent="0.25"/>
    <row r="197673" s="12" customFormat="1" x14ac:dyDescent="0.25"/>
    <row r="197674" s="12" customFormat="1" x14ac:dyDescent="0.25"/>
    <row r="197675" s="12" customFormat="1" x14ac:dyDescent="0.25"/>
    <row r="197676" s="12" customFormat="1" x14ac:dyDescent="0.25"/>
    <row r="197677" s="12" customFormat="1" x14ac:dyDescent="0.25"/>
    <row r="197678" s="12" customFormat="1" x14ac:dyDescent="0.25"/>
    <row r="197679" s="12" customFormat="1" x14ac:dyDescent="0.25"/>
    <row r="197680" s="12" customFormat="1" x14ac:dyDescent="0.25"/>
    <row r="197681" s="12" customFormat="1" x14ac:dyDescent="0.25"/>
    <row r="197682" s="12" customFormat="1" x14ac:dyDescent="0.25"/>
    <row r="197683" s="12" customFormat="1" x14ac:dyDescent="0.25"/>
    <row r="197684" s="12" customFormat="1" x14ac:dyDescent="0.25"/>
    <row r="197685" s="12" customFormat="1" x14ac:dyDescent="0.25"/>
    <row r="197686" s="12" customFormat="1" x14ac:dyDescent="0.25"/>
    <row r="197687" s="12" customFormat="1" x14ac:dyDescent="0.25"/>
    <row r="197688" s="12" customFormat="1" x14ac:dyDescent="0.25"/>
    <row r="197689" s="12" customFormat="1" x14ac:dyDescent="0.25"/>
    <row r="197690" s="12" customFormat="1" x14ac:dyDescent="0.25"/>
    <row r="197691" s="12" customFormat="1" x14ac:dyDescent="0.25"/>
    <row r="197692" s="12" customFormat="1" x14ac:dyDescent="0.25"/>
    <row r="197693" s="12" customFormat="1" x14ac:dyDescent="0.25"/>
    <row r="197694" s="12" customFormat="1" x14ac:dyDescent="0.25"/>
    <row r="197695" s="12" customFormat="1" x14ac:dyDescent="0.25"/>
    <row r="197696" s="12" customFormat="1" x14ac:dyDescent="0.25"/>
    <row r="197697" s="12" customFormat="1" x14ac:dyDescent="0.25"/>
    <row r="197698" s="12" customFormat="1" x14ac:dyDescent="0.25"/>
    <row r="197699" s="12" customFormat="1" x14ac:dyDescent="0.25"/>
    <row r="197700" s="12" customFormat="1" x14ac:dyDescent="0.25"/>
    <row r="197701" s="12" customFormat="1" x14ac:dyDescent="0.25"/>
    <row r="197702" s="12" customFormat="1" x14ac:dyDescent="0.25"/>
    <row r="197703" s="12" customFormat="1" x14ac:dyDescent="0.25"/>
    <row r="197704" s="12" customFormat="1" x14ac:dyDescent="0.25"/>
    <row r="197705" s="12" customFormat="1" x14ac:dyDescent="0.25"/>
    <row r="197706" s="12" customFormat="1" x14ac:dyDescent="0.25"/>
    <row r="197707" s="12" customFormat="1" x14ac:dyDescent="0.25"/>
    <row r="197708" s="12" customFormat="1" x14ac:dyDescent="0.25"/>
    <row r="197709" s="12" customFormat="1" x14ac:dyDescent="0.25"/>
    <row r="197710" s="12" customFormat="1" x14ac:dyDescent="0.25"/>
    <row r="197711" s="12" customFormat="1" x14ac:dyDescent="0.25"/>
    <row r="197712" s="12" customFormat="1" x14ac:dyDescent="0.25"/>
    <row r="197713" s="12" customFormat="1" x14ac:dyDescent="0.25"/>
    <row r="197714" s="12" customFormat="1" x14ac:dyDescent="0.25"/>
    <row r="197715" s="12" customFormat="1" x14ac:dyDescent="0.25"/>
    <row r="197716" s="12" customFormat="1" x14ac:dyDescent="0.25"/>
    <row r="197717" s="12" customFormat="1" x14ac:dyDescent="0.25"/>
    <row r="197718" s="12" customFormat="1" x14ac:dyDescent="0.25"/>
    <row r="197719" s="12" customFormat="1" x14ac:dyDescent="0.25"/>
    <row r="197720" s="12" customFormat="1" x14ac:dyDescent="0.25"/>
    <row r="197721" s="12" customFormat="1" x14ac:dyDescent="0.25"/>
    <row r="197722" s="12" customFormat="1" x14ac:dyDescent="0.25"/>
    <row r="197723" s="12" customFormat="1" x14ac:dyDescent="0.25"/>
    <row r="197724" s="12" customFormat="1" x14ac:dyDescent="0.25"/>
    <row r="197725" s="12" customFormat="1" x14ac:dyDescent="0.25"/>
    <row r="197726" s="12" customFormat="1" x14ac:dyDescent="0.25"/>
    <row r="197727" s="12" customFormat="1" x14ac:dyDescent="0.25"/>
    <row r="197728" s="12" customFormat="1" x14ac:dyDescent="0.25"/>
    <row r="197729" s="12" customFormat="1" x14ac:dyDescent="0.25"/>
    <row r="197730" s="12" customFormat="1" x14ac:dyDescent="0.25"/>
    <row r="197731" s="12" customFormat="1" x14ac:dyDescent="0.25"/>
    <row r="197732" s="12" customFormat="1" x14ac:dyDescent="0.25"/>
    <row r="197733" s="12" customFormat="1" x14ac:dyDescent="0.25"/>
    <row r="197734" s="12" customFormat="1" x14ac:dyDescent="0.25"/>
    <row r="197735" s="12" customFormat="1" x14ac:dyDescent="0.25"/>
    <row r="197736" s="12" customFormat="1" x14ac:dyDescent="0.25"/>
    <row r="197737" s="12" customFormat="1" x14ac:dyDescent="0.25"/>
    <row r="197738" s="12" customFormat="1" x14ac:dyDescent="0.25"/>
    <row r="197739" s="12" customFormat="1" x14ac:dyDescent="0.25"/>
    <row r="197740" s="12" customFormat="1" x14ac:dyDescent="0.25"/>
    <row r="197741" s="12" customFormat="1" x14ac:dyDescent="0.25"/>
    <row r="197742" s="12" customFormat="1" x14ac:dyDescent="0.25"/>
    <row r="197743" s="12" customFormat="1" x14ac:dyDescent="0.25"/>
    <row r="197744" s="12" customFormat="1" x14ac:dyDescent="0.25"/>
    <row r="197745" s="12" customFormat="1" x14ac:dyDescent="0.25"/>
    <row r="197746" s="12" customFormat="1" x14ac:dyDescent="0.25"/>
    <row r="197747" s="12" customFormat="1" x14ac:dyDescent="0.25"/>
    <row r="197748" s="12" customFormat="1" x14ac:dyDescent="0.25"/>
    <row r="197749" s="12" customFormat="1" x14ac:dyDescent="0.25"/>
    <row r="197750" s="12" customFormat="1" x14ac:dyDescent="0.25"/>
    <row r="197751" s="12" customFormat="1" x14ac:dyDescent="0.25"/>
    <row r="197752" s="12" customFormat="1" x14ac:dyDescent="0.25"/>
    <row r="197753" s="12" customFormat="1" x14ac:dyDescent="0.25"/>
    <row r="197754" s="12" customFormat="1" x14ac:dyDescent="0.25"/>
    <row r="197755" s="12" customFormat="1" x14ac:dyDescent="0.25"/>
    <row r="197756" s="12" customFormat="1" x14ac:dyDescent="0.25"/>
    <row r="197757" s="12" customFormat="1" x14ac:dyDescent="0.25"/>
    <row r="197758" s="12" customFormat="1" x14ac:dyDescent="0.25"/>
    <row r="197759" s="12" customFormat="1" x14ac:dyDescent="0.25"/>
    <row r="197760" s="12" customFormat="1" x14ac:dyDescent="0.25"/>
    <row r="197761" s="12" customFormat="1" x14ac:dyDescent="0.25"/>
    <row r="197762" s="12" customFormat="1" x14ac:dyDescent="0.25"/>
    <row r="197763" s="12" customFormat="1" x14ac:dyDescent="0.25"/>
    <row r="197764" s="12" customFormat="1" x14ac:dyDescent="0.25"/>
    <row r="197765" s="12" customFormat="1" x14ac:dyDescent="0.25"/>
    <row r="197766" s="12" customFormat="1" x14ac:dyDescent="0.25"/>
    <row r="197767" s="12" customFormat="1" x14ac:dyDescent="0.25"/>
    <row r="197768" s="12" customFormat="1" x14ac:dyDescent="0.25"/>
    <row r="197769" s="12" customFormat="1" x14ac:dyDescent="0.25"/>
    <row r="197770" s="12" customFormat="1" x14ac:dyDescent="0.25"/>
    <row r="197771" s="12" customFormat="1" x14ac:dyDescent="0.25"/>
    <row r="197772" s="12" customFormat="1" x14ac:dyDescent="0.25"/>
    <row r="197773" s="12" customFormat="1" x14ac:dyDescent="0.25"/>
    <row r="197774" s="12" customFormat="1" x14ac:dyDescent="0.25"/>
    <row r="197775" s="12" customFormat="1" x14ac:dyDescent="0.25"/>
    <row r="197776" s="12" customFormat="1" x14ac:dyDescent="0.25"/>
    <row r="197777" s="12" customFormat="1" x14ac:dyDescent="0.25"/>
    <row r="197778" s="12" customFormat="1" x14ac:dyDescent="0.25"/>
    <row r="197779" s="12" customFormat="1" x14ac:dyDescent="0.25"/>
    <row r="197780" s="12" customFormat="1" x14ac:dyDescent="0.25"/>
    <row r="197781" s="12" customFormat="1" x14ac:dyDescent="0.25"/>
    <row r="197782" s="12" customFormat="1" x14ac:dyDescent="0.25"/>
    <row r="197783" s="12" customFormat="1" x14ac:dyDescent="0.25"/>
    <row r="197784" s="12" customFormat="1" x14ac:dyDescent="0.25"/>
    <row r="197785" s="12" customFormat="1" x14ac:dyDescent="0.25"/>
    <row r="197786" s="12" customFormat="1" x14ac:dyDescent="0.25"/>
    <row r="197787" s="12" customFormat="1" x14ac:dyDescent="0.25"/>
    <row r="197788" s="12" customFormat="1" x14ac:dyDescent="0.25"/>
    <row r="197789" s="12" customFormat="1" x14ac:dyDescent="0.25"/>
    <row r="197790" s="12" customFormat="1" x14ac:dyDescent="0.25"/>
    <row r="197791" s="12" customFormat="1" x14ac:dyDescent="0.25"/>
    <row r="197792" s="12" customFormat="1" x14ac:dyDescent="0.25"/>
    <row r="197793" s="12" customFormat="1" x14ac:dyDescent="0.25"/>
    <row r="197794" s="12" customFormat="1" x14ac:dyDescent="0.25"/>
    <row r="197795" s="12" customFormat="1" x14ac:dyDescent="0.25"/>
    <row r="197796" s="12" customFormat="1" x14ac:dyDescent="0.25"/>
    <row r="197797" s="12" customFormat="1" x14ac:dyDescent="0.25"/>
    <row r="197798" s="12" customFormat="1" x14ac:dyDescent="0.25"/>
    <row r="197799" s="12" customFormat="1" x14ac:dyDescent="0.25"/>
    <row r="197800" s="12" customFormat="1" x14ac:dyDescent="0.25"/>
    <row r="197801" s="12" customFormat="1" x14ac:dyDescent="0.25"/>
    <row r="197802" s="12" customFormat="1" x14ac:dyDescent="0.25"/>
    <row r="197803" s="12" customFormat="1" x14ac:dyDescent="0.25"/>
    <row r="197804" s="12" customFormat="1" x14ac:dyDescent="0.25"/>
    <row r="197805" s="12" customFormat="1" x14ac:dyDescent="0.25"/>
    <row r="197806" s="12" customFormat="1" x14ac:dyDescent="0.25"/>
    <row r="197807" s="12" customFormat="1" x14ac:dyDescent="0.25"/>
    <row r="197808" s="12" customFormat="1" x14ac:dyDescent="0.25"/>
    <row r="197809" s="12" customFormat="1" x14ac:dyDescent="0.25"/>
    <row r="197810" s="12" customFormat="1" x14ac:dyDescent="0.25"/>
    <row r="197811" s="12" customFormat="1" x14ac:dyDescent="0.25"/>
    <row r="197812" s="12" customFormat="1" x14ac:dyDescent="0.25"/>
    <row r="197813" s="12" customFormat="1" x14ac:dyDescent="0.25"/>
    <row r="197814" s="12" customFormat="1" x14ac:dyDescent="0.25"/>
    <row r="197815" s="12" customFormat="1" x14ac:dyDescent="0.25"/>
    <row r="197816" s="12" customFormat="1" x14ac:dyDescent="0.25"/>
    <row r="197817" s="12" customFormat="1" x14ac:dyDescent="0.25"/>
    <row r="197818" s="12" customFormat="1" x14ac:dyDescent="0.25"/>
    <row r="197819" s="12" customFormat="1" x14ac:dyDescent="0.25"/>
    <row r="197820" s="12" customFormat="1" x14ac:dyDescent="0.25"/>
    <row r="197821" s="12" customFormat="1" x14ac:dyDescent="0.25"/>
    <row r="197822" s="12" customFormat="1" x14ac:dyDescent="0.25"/>
    <row r="197823" s="12" customFormat="1" x14ac:dyDescent="0.25"/>
    <row r="197824" s="12" customFormat="1" x14ac:dyDescent="0.25"/>
    <row r="197825" s="12" customFormat="1" x14ac:dyDescent="0.25"/>
    <row r="197826" s="12" customFormat="1" x14ac:dyDescent="0.25"/>
    <row r="197827" s="12" customFormat="1" x14ac:dyDescent="0.25"/>
    <row r="197828" s="12" customFormat="1" x14ac:dyDescent="0.25"/>
    <row r="197829" s="12" customFormat="1" x14ac:dyDescent="0.25"/>
    <row r="197830" s="12" customFormat="1" x14ac:dyDescent="0.25"/>
    <row r="197831" s="12" customFormat="1" x14ac:dyDescent="0.25"/>
    <row r="197832" s="12" customFormat="1" x14ac:dyDescent="0.25"/>
    <row r="197833" s="12" customFormat="1" x14ac:dyDescent="0.25"/>
    <row r="197834" s="12" customFormat="1" x14ac:dyDescent="0.25"/>
    <row r="197835" s="12" customFormat="1" x14ac:dyDescent="0.25"/>
    <row r="197836" s="12" customFormat="1" x14ac:dyDescent="0.25"/>
    <row r="197837" s="12" customFormat="1" x14ac:dyDescent="0.25"/>
    <row r="197838" s="12" customFormat="1" x14ac:dyDescent="0.25"/>
    <row r="197839" s="12" customFormat="1" x14ac:dyDescent="0.25"/>
    <row r="197840" s="12" customFormat="1" x14ac:dyDescent="0.25"/>
    <row r="197841" s="12" customFormat="1" x14ac:dyDescent="0.25"/>
    <row r="197842" s="12" customFormat="1" x14ac:dyDescent="0.25"/>
    <row r="197843" s="12" customFormat="1" x14ac:dyDescent="0.25"/>
    <row r="197844" s="12" customFormat="1" x14ac:dyDescent="0.25"/>
    <row r="197845" s="12" customFormat="1" x14ac:dyDescent="0.25"/>
    <row r="197846" s="12" customFormat="1" x14ac:dyDescent="0.25"/>
    <row r="197847" s="12" customFormat="1" x14ac:dyDescent="0.25"/>
    <row r="197848" s="12" customFormat="1" x14ac:dyDescent="0.25"/>
    <row r="197849" s="12" customFormat="1" x14ac:dyDescent="0.25"/>
    <row r="197850" s="12" customFormat="1" x14ac:dyDescent="0.25"/>
    <row r="197851" s="12" customFormat="1" x14ac:dyDescent="0.25"/>
    <row r="197852" s="12" customFormat="1" x14ac:dyDescent="0.25"/>
    <row r="197853" s="12" customFormat="1" x14ac:dyDescent="0.25"/>
    <row r="197854" s="12" customFormat="1" x14ac:dyDescent="0.25"/>
    <row r="197855" s="12" customFormat="1" x14ac:dyDescent="0.25"/>
    <row r="197856" s="12" customFormat="1" x14ac:dyDescent="0.25"/>
    <row r="197857" s="12" customFormat="1" x14ac:dyDescent="0.25"/>
    <row r="197858" s="12" customFormat="1" x14ac:dyDescent="0.25"/>
    <row r="197859" s="12" customFormat="1" x14ac:dyDescent="0.25"/>
    <row r="197860" s="12" customFormat="1" x14ac:dyDescent="0.25"/>
    <row r="197861" s="12" customFormat="1" x14ac:dyDescent="0.25"/>
    <row r="197862" s="12" customFormat="1" x14ac:dyDescent="0.25"/>
    <row r="197863" s="12" customFormat="1" x14ac:dyDescent="0.25"/>
    <row r="197864" s="12" customFormat="1" x14ac:dyDescent="0.25"/>
    <row r="197865" s="12" customFormat="1" x14ac:dyDescent="0.25"/>
    <row r="197866" s="12" customFormat="1" x14ac:dyDescent="0.25"/>
    <row r="197867" s="12" customFormat="1" x14ac:dyDescent="0.25"/>
    <row r="197868" s="12" customFormat="1" x14ac:dyDescent="0.25"/>
    <row r="197869" s="12" customFormat="1" x14ac:dyDescent="0.25"/>
    <row r="197870" s="12" customFormat="1" x14ac:dyDescent="0.25"/>
    <row r="197871" s="12" customFormat="1" x14ac:dyDescent="0.25"/>
    <row r="197872" s="12" customFormat="1" x14ac:dyDescent="0.25"/>
    <row r="197873" s="12" customFormat="1" x14ac:dyDescent="0.25"/>
    <row r="197874" s="12" customFormat="1" x14ac:dyDescent="0.25"/>
    <row r="197875" s="12" customFormat="1" x14ac:dyDescent="0.25"/>
    <row r="197876" s="12" customFormat="1" x14ac:dyDescent="0.25"/>
    <row r="197877" s="12" customFormat="1" x14ac:dyDescent="0.25"/>
    <row r="197878" s="12" customFormat="1" x14ac:dyDescent="0.25"/>
    <row r="197879" s="12" customFormat="1" x14ac:dyDescent="0.25"/>
    <row r="197880" s="12" customFormat="1" x14ac:dyDescent="0.25"/>
    <row r="197881" s="12" customFormat="1" x14ac:dyDescent="0.25"/>
    <row r="197882" s="12" customFormat="1" x14ac:dyDescent="0.25"/>
    <row r="197883" s="12" customFormat="1" x14ac:dyDescent="0.25"/>
    <row r="197884" s="12" customFormat="1" x14ac:dyDescent="0.25"/>
    <row r="197885" s="12" customFormat="1" x14ac:dyDescent="0.25"/>
    <row r="197886" s="12" customFormat="1" x14ac:dyDescent="0.25"/>
    <row r="197887" s="12" customFormat="1" x14ac:dyDescent="0.25"/>
    <row r="197888" s="12" customFormat="1" x14ac:dyDescent="0.25"/>
    <row r="197889" s="12" customFormat="1" x14ac:dyDescent="0.25"/>
    <row r="197890" s="12" customFormat="1" x14ac:dyDescent="0.25"/>
    <row r="197891" s="12" customFormat="1" x14ac:dyDescent="0.25"/>
    <row r="197892" s="12" customFormat="1" x14ac:dyDescent="0.25"/>
    <row r="197893" s="12" customFormat="1" x14ac:dyDescent="0.25"/>
    <row r="197894" s="12" customFormat="1" x14ac:dyDescent="0.25"/>
    <row r="197895" s="12" customFormat="1" x14ac:dyDescent="0.25"/>
    <row r="197896" s="12" customFormat="1" x14ac:dyDescent="0.25"/>
    <row r="197897" s="12" customFormat="1" x14ac:dyDescent="0.25"/>
    <row r="197898" s="12" customFormat="1" x14ac:dyDescent="0.25"/>
    <row r="197899" s="12" customFormat="1" x14ac:dyDescent="0.25"/>
    <row r="197900" s="12" customFormat="1" x14ac:dyDescent="0.25"/>
    <row r="197901" s="12" customFormat="1" x14ac:dyDescent="0.25"/>
    <row r="197902" s="12" customFormat="1" x14ac:dyDescent="0.25"/>
    <row r="197903" s="12" customFormat="1" x14ac:dyDescent="0.25"/>
    <row r="197904" s="12" customFormat="1" x14ac:dyDescent="0.25"/>
    <row r="197905" s="12" customFormat="1" x14ac:dyDescent="0.25"/>
    <row r="197906" s="12" customFormat="1" x14ac:dyDescent="0.25"/>
    <row r="197907" s="12" customFormat="1" x14ac:dyDescent="0.25"/>
    <row r="197908" s="12" customFormat="1" x14ac:dyDescent="0.25"/>
    <row r="197909" s="12" customFormat="1" x14ac:dyDescent="0.25"/>
    <row r="197910" s="12" customFormat="1" x14ac:dyDescent="0.25"/>
    <row r="197911" s="12" customFormat="1" x14ac:dyDescent="0.25"/>
    <row r="197912" s="12" customFormat="1" x14ac:dyDescent="0.25"/>
    <row r="197913" s="12" customFormat="1" x14ac:dyDescent="0.25"/>
    <row r="197914" s="12" customFormat="1" x14ac:dyDescent="0.25"/>
    <row r="197915" s="12" customFormat="1" x14ac:dyDescent="0.25"/>
    <row r="197916" s="12" customFormat="1" x14ac:dyDescent="0.25"/>
    <row r="197917" s="12" customFormat="1" x14ac:dyDescent="0.25"/>
    <row r="197918" s="12" customFormat="1" x14ac:dyDescent="0.25"/>
    <row r="197919" s="12" customFormat="1" x14ac:dyDescent="0.25"/>
    <row r="197920" s="12" customFormat="1" x14ac:dyDescent="0.25"/>
    <row r="197921" s="12" customFormat="1" x14ac:dyDescent="0.25"/>
    <row r="197922" s="12" customFormat="1" x14ac:dyDescent="0.25"/>
    <row r="197923" s="12" customFormat="1" x14ac:dyDescent="0.25"/>
    <row r="197924" s="12" customFormat="1" x14ac:dyDescent="0.25"/>
    <row r="197925" s="12" customFormat="1" x14ac:dyDescent="0.25"/>
    <row r="197926" s="12" customFormat="1" x14ac:dyDescent="0.25"/>
    <row r="197927" s="12" customFormat="1" x14ac:dyDescent="0.25"/>
    <row r="197928" s="12" customFormat="1" x14ac:dyDescent="0.25"/>
    <row r="197929" s="12" customFormat="1" x14ac:dyDescent="0.25"/>
    <row r="197930" s="12" customFormat="1" x14ac:dyDescent="0.25"/>
    <row r="197931" s="12" customFormat="1" x14ac:dyDescent="0.25"/>
    <row r="197932" s="12" customFormat="1" x14ac:dyDescent="0.25"/>
    <row r="197933" s="12" customFormat="1" x14ac:dyDescent="0.25"/>
    <row r="197934" s="12" customFormat="1" x14ac:dyDescent="0.25"/>
    <row r="197935" s="12" customFormat="1" x14ac:dyDescent="0.25"/>
    <row r="197936" s="12" customFormat="1" x14ac:dyDescent="0.25"/>
    <row r="197937" s="12" customFormat="1" x14ac:dyDescent="0.25"/>
    <row r="197938" s="12" customFormat="1" x14ac:dyDescent="0.25"/>
    <row r="197939" s="12" customFormat="1" x14ac:dyDescent="0.25"/>
    <row r="197940" s="12" customFormat="1" x14ac:dyDescent="0.25"/>
    <row r="197941" s="12" customFormat="1" x14ac:dyDescent="0.25"/>
    <row r="197942" s="12" customFormat="1" x14ac:dyDescent="0.25"/>
    <row r="197943" s="12" customFormat="1" x14ac:dyDescent="0.25"/>
    <row r="197944" s="12" customFormat="1" x14ac:dyDescent="0.25"/>
    <row r="197945" s="12" customFormat="1" x14ac:dyDescent="0.25"/>
    <row r="197946" s="12" customFormat="1" x14ac:dyDescent="0.25"/>
    <row r="197947" s="12" customFormat="1" x14ac:dyDescent="0.25"/>
    <row r="197948" s="12" customFormat="1" x14ac:dyDescent="0.25"/>
    <row r="197949" s="12" customFormat="1" x14ac:dyDescent="0.25"/>
    <row r="197950" s="12" customFormat="1" x14ac:dyDescent="0.25"/>
    <row r="197951" s="12" customFormat="1" x14ac:dyDescent="0.25"/>
    <row r="197952" s="12" customFormat="1" x14ac:dyDescent="0.25"/>
    <row r="197953" s="12" customFormat="1" x14ac:dyDescent="0.25"/>
    <row r="197954" s="12" customFormat="1" x14ac:dyDescent="0.25"/>
    <row r="197955" s="12" customFormat="1" x14ac:dyDescent="0.25"/>
    <row r="197956" s="12" customFormat="1" x14ac:dyDescent="0.25"/>
    <row r="197957" s="12" customFormat="1" x14ac:dyDescent="0.25"/>
    <row r="197958" s="12" customFormat="1" x14ac:dyDescent="0.25"/>
    <row r="197959" s="12" customFormat="1" x14ac:dyDescent="0.25"/>
    <row r="197960" s="12" customFormat="1" x14ac:dyDescent="0.25"/>
    <row r="197961" s="12" customFormat="1" x14ac:dyDescent="0.25"/>
    <row r="197962" s="12" customFormat="1" x14ac:dyDescent="0.25"/>
    <row r="197963" s="12" customFormat="1" x14ac:dyDescent="0.25"/>
    <row r="197964" s="12" customFormat="1" x14ac:dyDescent="0.25"/>
    <row r="197965" s="12" customFormat="1" x14ac:dyDescent="0.25"/>
    <row r="197966" s="12" customFormat="1" x14ac:dyDescent="0.25"/>
    <row r="197967" s="12" customFormat="1" x14ac:dyDescent="0.25"/>
    <row r="197968" s="12" customFormat="1" x14ac:dyDescent="0.25"/>
    <row r="197969" s="12" customFormat="1" x14ac:dyDescent="0.25"/>
    <row r="197970" s="12" customFormat="1" x14ac:dyDescent="0.25"/>
    <row r="197971" s="12" customFormat="1" x14ac:dyDescent="0.25"/>
    <row r="197972" s="12" customFormat="1" x14ac:dyDescent="0.25"/>
    <row r="197973" s="12" customFormat="1" x14ac:dyDescent="0.25"/>
    <row r="197974" s="12" customFormat="1" x14ac:dyDescent="0.25"/>
    <row r="197975" s="12" customFormat="1" x14ac:dyDescent="0.25"/>
    <row r="197976" s="12" customFormat="1" x14ac:dyDescent="0.25"/>
    <row r="197977" s="12" customFormat="1" x14ac:dyDescent="0.25"/>
    <row r="197978" s="12" customFormat="1" x14ac:dyDescent="0.25"/>
    <row r="197979" s="12" customFormat="1" x14ac:dyDescent="0.25"/>
    <row r="197980" s="12" customFormat="1" x14ac:dyDescent="0.25"/>
    <row r="197981" s="12" customFormat="1" x14ac:dyDescent="0.25"/>
    <row r="197982" s="12" customFormat="1" x14ac:dyDescent="0.25"/>
    <row r="197983" s="12" customFormat="1" x14ac:dyDescent="0.25"/>
    <row r="197984" s="12" customFormat="1" x14ac:dyDescent="0.25"/>
    <row r="197985" s="12" customFormat="1" x14ac:dyDescent="0.25"/>
    <row r="197986" s="12" customFormat="1" x14ac:dyDescent="0.25"/>
    <row r="197987" s="12" customFormat="1" x14ac:dyDescent="0.25"/>
    <row r="197988" s="12" customFormat="1" x14ac:dyDescent="0.25"/>
    <row r="197989" s="12" customFormat="1" x14ac:dyDescent="0.25"/>
    <row r="197990" s="12" customFormat="1" x14ac:dyDescent="0.25"/>
    <row r="197991" s="12" customFormat="1" x14ac:dyDescent="0.25"/>
    <row r="197992" s="12" customFormat="1" x14ac:dyDescent="0.25"/>
    <row r="197993" s="12" customFormat="1" x14ac:dyDescent="0.25"/>
    <row r="197994" s="12" customFormat="1" x14ac:dyDescent="0.25"/>
    <row r="197995" s="12" customFormat="1" x14ac:dyDescent="0.25"/>
    <row r="197996" s="12" customFormat="1" x14ac:dyDescent="0.25"/>
    <row r="197997" s="12" customFormat="1" x14ac:dyDescent="0.25"/>
    <row r="197998" s="12" customFormat="1" x14ac:dyDescent="0.25"/>
    <row r="197999" s="12" customFormat="1" x14ac:dyDescent="0.25"/>
    <row r="198000" s="12" customFormat="1" x14ac:dyDescent="0.25"/>
    <row r="198001" s="12" customFormat="1" x14ac:dyDescent="0.25"/>
    <row r="198002" s="12" customFormat="1" x14ac:dyDescent="0.25"/>
    <row r="198003" s="12" customFormat="1" x14ac:dyDescent="0.25"/>
    <row r="198004" s="12" customFormat="1" x14ac:dyDescent="0.25"/>
    <row r="198005" s="12" customFormat="1" x14ac:dyDescent="0.25"/>
    <row r="198006" s="12" customFormat="1" x14ac:dyDescent="0.25"/>
    <row r="198007" s="12" customFormat="1" x14ac:dyDescent="0.25"/>
    <row r="198008" s="12" customFormat="1" x14ac:dyDescent="0.25"/>
    <row r="198009" s="12" customFormat="1" x14ac:dyDescent="0.25"/>
    <row r="198010" s="12" customFormat="1" x14ac:dyDescent="0.25"/>
    <row r="198011" s="12" customFormat="1" x14ac:dyDescent="0.25"/>
    <row r="198012" s="12" customFormat="1" x14ac:dyDescent="0.25"/>
    <row r="198013" s="12" customFormat="1" x14ac:dyDescent="0.25"/>
    <row r="198014" s="12" customFormat="1" x14ac:dyDescent="0.25"/>
    <row r="198015" s="12" customFormat="1" x14ac:dyDescent="0.25"/>
    <row r="198016" s="12" customFormat="1" x14ac:dyDescent="0.25"/>
    <row r="198017" s="12" customFormat="1" x14ac:dyDescent="0.25"/>
    <row r="198018" s="12" customFormat="1" x14ac:dyDescent="0.25"/>
    <row r="198019" s="12" customFormat="1" x14ac:dyDescent="0.25"/>
    <row r="198020" s="12" customFormat="1" x14ac:dyDescent="0.25"/>
    <row r="198021" s="12" customFormat="1" x14ac:dyDescent="0.25"/>
    <row r="198022" s="12" customFormat="1" x14ac:dyDescent="0.25"/>
    <row r="198023" s="12" customFormat="1" x14ac:dyDescent="0.25"/>
    <row r="198024" s="12" customFormat="1" x14ac:dyDescent="0.25"/>
    <row r="198025" s="12" customFormat="1" x14ac:dyDescent="0.25"/>
    <row r="198026" s="12" customFormat="1" x14ac:dyDescent="0.25"/>
    <row r="198027" s="12" customFormat="1" x14ac:dyDescent="0.25"/>
    <row r="198028" s="12" customFormat="1" x14ac:dyDescent="0.25"/>
    <row r="198029" s="12" customFormat="1" x14ac:dyDescent="0.25"/>
    <row r="198030" s="12" customFormat="1" x14ac:dyDescent="0.25"/>
    <row r="198031" s="12" customFormat="1" x14ac:dyDescent="0.25"/>
    <row r="198032" s="12" customFormat="1" x14ac:dyDescent="0.25"/>
    <row r="198033" s="12" customFormat="1" x14ac:dyDescent="0.25"/>
    <row r="198034" s="12" customFormat="1" x14ac:dyDescent="0.25"/>
    <row r="198035" s="12" customFormat="1" x14ac:dyDescent="0.25"/>
    <row r="198036" s="12" customFormat="1" x14ac:dyDescent="0.25"/>
    <row r="198037" s="12" customFormat="1" x14ac:dyDescent="0.25"/>
    <row r="198038" s="12" customFormat="1" x14ac:dyDescent="0.25"/>
    <row r="198039" s="12" customFormat="1" x14ac:dyDescent="0.25"/>
    <row r="198040" s="12" customFormat="1" x14ac:dyDescent="0.25"/>
    <row r="198041" s="12" customFormat="1" x14ac:dyDescent="0.25"/>
    <row r="198042" s="12" customFormat="1" x14ac:dyDescent="0.25"/>
    <row r="198043" s="12" customFormat="1" x14ac:dyDescent="0.25"/>
    <row r="198044" s="12" customFormat="1" x14ac:dyDescent="0.25"/>
    <row r="198045" s="12" customFormat="1" x14ac:dyDescent="0.25"/>
    <row r="198046" s="12" customFormat="1" x14ac:dyDescent="0.25"/>
    <row r="198047" s="12" customFormat="1" x14ac:dyDescent="0.25"/>
    <row r="198048" s="12" customFormat="1" x14ac:dyDescent="0.25"/>
    <row r="198049" s="12" customFormat="1" x14ac:dyDescent="0.25"/>
    <row r="198050" s="12" customFormat="1" x14ac:dyDescent="0.25"/>
    <row r="198051" s="12" customFormat="1" x14ac:dyDescent="0.25"/>
    <row r="198052" s="12" customFormat="1" x14ac:dyDescent="0.25"/>
    <row r="198053" s="12" customFormat="1" x14ac:dyDescent="0.25"/>
    <row r="198054" s="12" customFormat="1" x14ac:dyDescent="0.25"/>
    <row r="198055" s="12" customFormat="1" x14ac:dyDescent="0.25"/>
    <row r="198056" s="12" customFormat="1" x14ac:dyDescent="0.25"/>
    <row r="198057" s="12" customFormat="1" x14ac:dyDescent="0.25"/>
    <row r="198058" s="12" customFormat="1" x14ac:dyDescent="0.25"/>
    <row r="198059" s="12" customFormat="1" x14ac:dyDescent="0.25"/>
    <row r="198060" s="12" customFormat="1" x14ac:dyDescent="0.25"/>
    <row r="198061" s="12" customFormat="1" x14ac:dyDescent="0.25"/>
    <row r="198062" s="12" customFormat="1" x14ac:dyDescent="0.25"/>
    <row r="198063" s="12" customFormat="1" x14ac:dyDescent="0.25"/>
    <row r="198064" s="12" customFormat="1" x14ac:dyDescent="0.25"/>
    <row r="198065" s="12" customFormat="1" x14ac:dyDescent="0.25"/>
    <row r="198066" s="12" customFormat="1" x14ac:dyDescent="0.25"/>
    <row r="198067" s="12" customFormat="1" x14ac:dyDescent="0.25"/>
    <row r="198068" s="12" customFormat="1" x14ac:dyDescent="0.25"/>
    <row r="198069" s="12" customFormat="1" x14ac:dyDescent="0.25"/>
    <row r="198070" s="12" customFormat="1" x14ac:dyDescent="0.25"/>
    <row r="198071" s="12" customFormat="1" x14ac:dyDescent="0.25"/>
    <row r="198072" s="12" customFormat="1" x14ac:dyDescent="0.25"/>
    <row r="198073" s="12" customFormat="1" x14ac:dyDescent="0.25"/>
    <row r="198074" s="12" customFormat="1" x14ac:dyDescent="0.25"/>
    <row r="198075" s="12" customFormat="1" x14ac:dyDescent="0.25"/>
    <row r="198076" s="12" customFormat="1" x14ac:dyDescent="0.25"/>
    <row r="198077" s="12" customFormat="1" x14ac:dyDescent="0.25"/>
    <row r="198078" s="12" customFormat="1" x14ac:dyDescent="0.25"/>
    <row r="198079" s="12" customFormat="1" x14ac:dyDescent="0.25"/>
    <row r="198080" s="12" customFormat="1" x14ac:dyDescent="0.25"/>
    <row r="198081" s="12" customFormat="1" x14ac:dyDescent="0.25"/>
    <row r="198082" s="12" customFormat="1" x14ac:dyDescent="0.25"/>
    <row r="198083" s="12" customFormat="1" x14ac:dyDescent="0.25"/>
    <row r="198084" s="12" customFormat="1" x14ac:dyDescent="0.25"/>
    <row r="198085" s="12" customFormat="1" x14ac:dyDescent="0.25"/>
    <row r="198086" s="12" customFormat="1" x14ac:dyDescent="0.25"/>
    <row r="198087" s="12" customFormat="1" x14ac:dyDescent="0.25"/>
    <row r="198088" s="12" customFormat="1" x14ac:dyDescent="0.25"/>
    <row r="198089" s="12" customFormat="1" x14ac:dyDescent="0.25"/>
    <row r="198090" s="12" customFormat="1" x14ac:dyDescent="0.25"/>
    <row r="198091" s="12" customFormat="1" x14ac:dyDescent="0.25"/>
    <row r="198092" s="12" customFormat="1" x14ac:dyDescent="0.25"/>
    <row r="198093" s="12" customFormat="1" x14ac:dyDescent="0.25"/>
    <row r="198094" s="12" customFormat="1" x14ac:dyDescent="0.25"/>
    <row r="198095" s="12" customFormat="1" x14ac:dyDescent="0.25"/>
    <row r="198096" s="12" customFormat="1" x14ac:dyDescent="0.25"/>
    <row r="198097" s="12" customFormat="1" x14ac:dyDescent="0.25"/>
    <row r="198098" s="12" customFormat="1" x14ac:dyDescent="0.25"/>
    <row r="198099" s="12" customFormat="1" x14ac:dyDescent="0.25"/>
    <row r="198100" s="12" customFormat="1" x14ac:dyDescent="0.25"/>
    <row r="198101" s="12" customFormat="1" x14ac:dyDescent="0.25"/>
    <row r="198102" s="12" customFormat="1" x14ac:dyDescent="0.25"/>
    <row r="198103" s="12" customFormat="1" x14ac:dyDescent="0.25"/>
    <row r="198104" s="12" customFormat="1" x14ac:dyDescent="0.25"/>
    <row r="198105" s="12" customFormat="1" x14ac:dyDescent="0.25"/>
    <row r="198106" s="12" customFormat="1" x14ac:dyDescent="0.25"/>
    <row r="198107" s="12" customFormat="1" x14ac:dyDescent="0.25"/>
    <row r="198108" s="12" customFormat="1" x14ac:dyDescent="0.25"/>
    <row r="198109" s="12" customFormat="1" x14ac:dyDescent="0.25"/>
    <row r="198110" s="12" customFormat="1" x14ac:dyDescent="0.25"/>
    <row r="198111" s="12" customFormat="1" x14ac:dyDescent="0.25"/>
    <row r="198112" s="12" customFormat="1" x14ac:dyDescent="0.25"/>
    <row r="198113" s="12" customFormat="1" x14ac:dyDescent="0.25"/>
    <row r="198114" s="12" customFormat="1" x14ac:dyDescent="0.25"/>
    <row r="198115" s="12" customFormat="1" x14ac:dyDescent="0.25"/>
    <row r="198116" s="12" customFormat="1" x14ac:dyDescent="0.25"/>
    <row r="198117" s="12" customFormat="1" x14ac:dyDescent="0.25"/>
    <row r="198118" s="12" customFormat="1" x14ac:dyDescent="0.25"/>
    <row r="198119" s="12" customFormat="1" x14ac:dyDescent="0.25"/>
    <row r="198120" s="12" customFormat="1" x14ac:dyDescent="0.25"/>
    <row r="198121" s="12" customFormat="1" x14ac:dyDescent="0.25"/>
    <row r="198122" s="12" customFormat="1" x14ac:dyDescent="0.25"/>
    <row r="198123" s="12" customFormat="1" x14ac:dyDescent="0.25"/>
    <row r="198124" s="12" customFormat="1" x14ac:dyDescent="0.25"/>
    <row r="198125" s="12" customFormat="1" x14ac:dyDescent="0.25"/>
    <row r="198126" s="12" customFormat="1" x14ac:dyDescent="0.25"/>
    <row r="198127" s="12" customFormat="1" x14ac:dyDescent="0.25"/>
    <row r="198128" s="12" customFormat="1" x14ac:dyDescent="0.25"/>
    <row r="198129" s="12" customFormat="1" x14ac:dyDescent="0.25"/>
    <row r="198130" s="12" customFormat="1" x14ac:dyDescent="0.25"/>
    <row r="198131" s="12" customFormat="1" x14ac:dyDescent="0.25"/>
    <row r="198132" s="12" customFormat="1" x14ac:dyDescent="0.25"/>
    <row r="198133" s="12" customFormat="1" x14ac:dyDescent="0.25"/>
    <row r="198134" s="12" customFormat="1" x14ac:dyDescent="0.25"/>
    <row r="198135" s="12" customFormat="1" x14ac:dyDescent="0.25"/>
    <row r="198136" s="12" customFormat="1" x14ac:dyDescent="0.25"/>
    <row r="198137" s="12" customFormat="1" x14ac:dyDescent="0.25"/>
    <row r="198138" s="12" customFormat="1" x14ac:dyDescent="0.25"/>
    <row r="198139" s="12" customFormat="1" x14ac:dyDescent="0.25"/>
    <row r="198140" s="12" customFormat="1" x14ac:dyDescent="0.25"/>
    <row r="198141" s="12" customFormat="1" x14ac:dyDescent="0.25"/>
    <row r="198142" s="12" customFormat="1" x14ac:dyDescent="0.25"/>
    <row r="198143" s="12" customFormat="1" x14ac:dyDescent="0.25"/>
    <row r="198144" s="12" customFormat="1" x14ac:dyDescent="0.25"/>
    <row r="198145" s="12" customFormat="1" x14ac:dyDescent="0.25"/>
    <row r="198146" s="12" customFormat="1" x14ac:dyDescent="0.25"/>
    <row r="198147" s="12" customFormat="1" x14ac:dyDescent="0.25"/>
    <row r="198148" s="12" customFormat="1" x14ac:dyDescent="0.25"/>
    <row r="198149" s="12" customFormat="1" x14ac:dyDescent="0.25"/>
    <row r="198150" s="12" customFormat="1" x14ac:dyDescent="0.25"/>
    <row r="198151" s="12" customFormat="1" x14ac:dyDescent="0.25"/>
    <row r="198152" s="12" customFormat="1" x14ac:dyDescent="0.25"/>
    <row r="198153" s="12" customFormat="1" x14ac:dyDescent="0.25"/>
    <row r="198154" s="12" customFormat="1" x14ac:dyDescent="0.25"/>
    <row r="198155" s="12" customFormat="1" x14ac:dyDescent="0.25"/>
    <row r="198156" s="12" customFormat="1" x14ac:dyDescent="0.25"/>
    <row r="198157" s="12" customFormat="1" x14ac:dyDescent="0.25"/>
    <row r="198158" s="12" customFormat="1" x14ac:dyDescent="0.25"/>
    <row r="198159" s="12" customFormat="1" x14ac:dyDescent="0.25"/>
    <row r="198160" s="12" customFormat="1" x14ac:dyDescent="0.25"/>
    <row r="198161" s="12" customFormat="1" x14ac:dyDescent="0.25"/>
    <row r="198162" s="12" customFormat="1" x14ac:dyDescent="0.25"/>
    <row r="198163" s="12" customFormat="1" x14ac:dyDescent="0.25"/>
    <row r="198164" s="12" customFormat="1" x14ac:dyDescent="0.25"/>
    <row r="198165" s="12" customFormat="1" x14ac:dyDescent="0.25"/>
    <row r="198166" s="12" customFormat="1" x14ac:dyDescent="0.25"/>
    <row r="198167" s="12" customFormat="1" x14ac:dyDescent="0.25"/>
    <row r="198168" s="12" customFormat="1" x14ac:dyDescent="0.25"/>
    <row r="198169" s="12" customFormat="1" x14ac:dyDescent="0.25"/>
    <row r="198170" s="12" customFormat="1" x14ac:dyDescent="0.25"/>
    <row r="198171" s="12" customFormat="1" x14ac:dyDescent="0.25"/>
    <row r="198172" s="12" customFormat="1" x14ac:dyDescent="0.25"/>
    <row r="198173" s="12" customFormat="1" x14ac:dyDescent="0.25"/>
    <row r="198174" s="12" customFormat="1" x14ac:dyDescent="0.25"/>
    <row r="198175" s="12" customFormat="1" x14ac:dyDescent="0.25"/>
    <row r="198176" s="12" customFormat="1" x14ac:dyDescent="0.25"/>
    <row r="198177" s="12" customFormat="1" x14ac:dyDescent="0.25"/>
    <row r="198178" s="12" customFormat="1" x14ac:dyDescent="0.25"/>
    <row r="198179" s="12" customFormat="1" x14ac:dyDescent="0.25"/>
    <row r="198180" s="12" customFormat="1" x14ac:dyDescent="0.25"/>
    <row r="198181" s="12" customFormat="1" x14ac:dyDescent="0.25"/>
    <row r="198182" s="12" customFormat="1" x14ac:dyDescent="0.25"/>
    <row r="198183" s="12" customFormat="1" x14ac:dyDescent="0.25"/>
    <row r="198184" s="12" customFormat="1" x14ac:dyDescent="0.25"/>
    <row r="198185" s="12" customFormat="1" x14ac:dyDescent="0.25"/>
    <row r="198186" s="12" customFormat="1" x14ac:dyDescent="0.25"/>
    <row r="198187" s="12" customFormat="1" x14ac:dyDescent="0.25"/>
    <row r="198188" s="12" customFormat="1" x14ac:dyDescent="0.25"/>
    <row r="198189" s="12" customFormat="1" x14ac:dyDescent="0.25"/>
    <row r="198190" s="12" customFormat="1" x14ac:dyDescent="0.25"/>
    <row r="198191" s="12" customFormat="1" x14ac:dyDescent="0.25"/>
    <row r="198192" s="12" customFormat="1" x14ac:dyDescent="0.25"/>
    <row r="198193" s="12" customFormat="1" x14ac:dyDescent="0.25"/>
    <row r="198194" s="12" customFormat="1" x14ac:dyDescent="0.25"/>
    <row r="198195" s="12" customFormat="1" x14ac:dyDescent="0.25"/>
    <row r="198196" s="12" customFormat="1" x14ac:dyDescent="0.25"/>
    <row r="198197" s="12" customFormat="1" x14ac:dyDescent="0.25"/>
    <row r="198198" s="12" customFormat="1" x14ac:dyDescent="0.25"/>
    <row r="198199" s="12" customFormat="1" x14ac:dyDescent="0.25"/>
    <row r="198200" s="12" customFormat="1" x14ac:dyDescent="0.25"/>
    <row r="198201" s="12" customFormat="1" x14ac:dyDescent="0.25"/>
    <row r="198202" s="12" customFormat="1" x14ac:dyDescent="0.25"/>
    <row r="198203" s="12" customFormat="1" x14ac:dyDescent="0.25"/>
    <row r="198204" s="12" customFormat="1" x14ac:dyDescent="0.25"/>
    <row r="198205" s="12" customFormat="1" x14ac:dyDescent="0.25"/>
    <row r="198206" s="12" customFormat="1" x14ac:dyDescent="0.25"/>
    <row r="198207" s="12" customFormat="1" x14ac:dyDescent="0.25"/>
    <row r="198208" s="12" customFormat="1" x14ac:dyDescent="0.25"/>
    <row r="198209" s="12" customFormat="1" x14ac:dyDescent="0.25"/>
    <row r="198210" s="12" customFormat="1" x14ac:dyDescent="0.25"/>
    <row r="198211" s="12" customFormat="1" x14ac:dyDescent="0.25"/>
    <row r="198212" s="12" customFormat="1" x14ac:dyDescent="0.25"/>
    <row r="198213" s="12" customFormat="1" x14ac:dyDescent="0.25"/>
    <row r="198214" s="12" customFormat="1" x14ac:dyDescent="0.25"/>
    <row r="198215" s="12" customFormat="1" x14ac:dyDescent="0.25"/>
    <row r="198216" s="12" customFormat="1" x14ac:dyDescent="0.25"/>
    <row r="198217" s="12" customFormat="1" x14ac:dyDescent="0.25"/>
    <row r="198218" s="12" customFormat="1" x14ac:dyDescent="0.25"/>
    <row r="198219" s="12" customFormat="1" x14ac:dyDescent="0.25"/>
    <row r="198220" s="12" customFormat="1" x14ac:dyDescent="0.25"/>
    <row r="198221" s="12" customFormat="1" x14ac:dyDescent="0.25"/>
    <row r="198222" s="12" customFormat="1" x14ac:dyDescent="0.25"/>
    <row r="198223" s="12" customFormat="1" x14ac:dyDescent="0.25"/>
    <row r="198224" s="12" customFormat="1" x14ac:dyDescent="0.25"/>
    <row r="198225" s="12" customFormat="1" x14ac:dyDescent="0.25"/>
    <row r="198226" s="12" customFormat="1" x14ac:dyDescent="0.25"/>
    <row r="198227" s="12" customFormat="1" x14ac:dyDescent="0.25"/>
    <row r="198228" s="12" customFormat="1" x14ac:dyDescent="0.25"/>
    <row r="198229" s="12" customFormat="1" x14ac:dyDescent="0.25"/>
    <row r="198230" s="12" customFormat="1" x14ac:dyDescent="0.25"/>
    <row r="198231" s="12" customFormat="1" x14ac:dyDescent="0.25"/>
    <row r="198232" s="12" customFormat="1" x14ac:dyDescent="0.25"/>
    <row r="198233" s="12" customFormat="1" x14ac:dyDescent="0.25"/>
    <row r="198234" s="12" customFormat="1" x14ac:dyDescent="0.25"/>
    <row r="198235" s="12" customFormat="1" x14ac:dyDescent="0.25"/>
    <row r="198236" s="12" customFormat="1" x14ac:dyDescent="0.25"/>
    <row r="198237" s="12" customFormat="1" x14ac:dyDescent="0.25"/>
    <row r="198238" s="12" customFormat="1" x14ac:dyDescent="0.25"/>
    <row r="198239" s="12" customFormat="1" x14ac:dyDescent="0.25"/>
    <row r="198240" s="12" customFormat="1" x14ac:dyDescent="0.25"/>
    <row r="198241" s="12" customFormat="1" x14ac:dyDescent="0.25"/>
    <row r="198242" s="12" customFormat="1" x14ac:dyDescent="0.25"/>
    <row r="198243" s="12" customFormat="1" x14ac:dyDescent="0.25"/>
    <row r="198244" s="12" customFormat="1" x14ac:dyDescent="0.25"/>
    <row r="198245" s="12" customFormat="1" x14ac:dyDescent="0.25"/>
    <row r="198246" s="12" customFormat="1" x14ac:dyDescent="0.25"/>
    <row r="198247" s="12" customFormat="1" x14ac:dyDescent="0.25"/>
    <row r="198248" s="12" customFormat="1" x14ac:dyDescent="0.25"/>
    <row r="198249" s="12" customFormat="1" x14ac:dyDescent="0.25"/>
    <row r="198250" s="12" customFormat="1" x14ac:dyDescent="0.25"/>
    <row r="198251" s="12" customFormat="1" x14ac:dyDescent="0.25"/>
    <row r="198252" s="12" customFormat="1" x14ac:dyDescent="0.25"/>
    <row r="198253" s="12" customFormat="1" x14ac:dyDescent="0.25"/>
    <row r="198254" s="12" customFormat="1" x14ac:dyDescent="0.25"/>
    <row r="198255" s="12" customFormat="1" x14ac:dyDescent="0.25"/>
    <row r="198256" s="12" customFormat="1" x14ac:dyDescent="0.25"/>
    <row r="198257" s="12" customFormat="1" x14ac:dyDescent="0.25"/>
    <row r="198258" s="12" customFormat="1" x14ac:dyDescent="0.25"/>
    <row r="198259" s="12" customFormat="1" x14ac:dyDescent="0.25"/>
    <row r="198260" s="12" customFormat="1" x14ac:dyDescent="0.25"/>
    <row r="198261" s="12" customFormat="1" x14ac:dyDescent="0.25"/>
    <row r="198262" s="12" customFormat="1" x14ac:dyDescent="0.25"/>
    <row r="198263" s="12" customFormat="1" x14ac:dyDescent="0.25"/>
    <row r="198264" s="12" customFormat="1" x14ac:dyDescent="0.25"/>
    <row r="198265" s="12" customFormat="1" x14ac:dyDescent="0.25"/>
    <row r="198266" s="12" customFormat="1" x14ac:dyDescent="0.25"/>
    <row r="198267" s="12" customFormat="1" x14ac:dyDescent="0.25"/>
    <row r="198268" s="12" customFormat="1" x14ac:dyDescent="0.25"/>
    <row r="198269" s="12" customFormat="1" x14ac:dyDescent="0.25"/>
    <row r="198270" s="12" customFormat="1" x14ac:dyDescent="0.25"/>
    <row r="198271" s="12" customFormat="1" x14ac:dyDescent="0.25"/>
    <row r="198272" s="12" customFormat="1" x14ac:dyDescent="0.25"/>
    <row r="198273" s="12" customFormat="1" x14ac:dyDescent="0.25"/>
    <row r="198274" s="12" customFormat="1" x14ac:dyDescent="0.25"/>
    <row r="198275" s="12" customFormat="1" x14ac:dyDescent="0.25"/>
    <row r="198276" s="12" customFormat="1" x14ac:dyDescent="0.25"/>
    <row r="198277" s="12" customFormat="1" x14ac:dyDescent="0.25"/>
    <row r="198278" s="12" customFormat="1" x14ac:dyDescent="0.25"/>
    <row r="198279" s="12" customFormat="1" x14ac:dyDescent="0.25"/>
    <row r="198280" s="12" customFormat="1" x14ac:dyDescent="0.25"/>
    <row r="198281" s="12" customFormat="1" x14ac:dyDescent="0.25"/>
    <row r="198282" s="12" customFormat="1" x14ac:dyDescent="0.25"/>
    <row r="198283" s="12" customFormat="1" x14ac:dyDescent="0.25"/>
    <row r="198284" s="12" customFormat="1" x14ac:dyDescent="0.25"/>
    <row r="198285" s="12" customFormat="1" x14ac:dyDescent="0.25"/>
    <row r="198286" s="12" customFormat="1" x14ac:dyDescent="0.25"/>
    <row r="198287" s="12" customFormat="1" x14ac:dyDescent="0.25"/>
    <row r="198288" s="12" customFormat="1" x14ac:dyDescent="0.25"/>
    <row r="198289" s="12" customFormat="1" x14ac:dyDescent="0.25"/>
    <row r="198290" s="12" customFormat="1" x14ac:dyDescent="0.25"/>
    <row r="198291" s="12" customFormat="1" x14ac:dyDescent="0.25"/>
    <row r="198292" s="12" customFormat="1" x14ac:dyDescent="0.25"/>
    <row r="198293" s="12" customFormat="1" x14ac:dyDescent="0.25"/>
    <row r="198294" s="12" customFormat="1" x14ac:dyDescent="0.25"/>
    <row r="198295" s="12" customFormat="1" x14ac:dyDescent="0.25"/>
    <row r="198296" s="12" customFormat="1" x14ac:dyDescent="0.25"/>
    <row r="198297" s="12" customFormat="1" x14ac:dyDescent="0.25"/>
    <row r="198298" s="12" customFormat="1" x14ac:dyDescent="0.25"/>
    <row r="198299" s="12" customFormat="1" x14ac:dyDescent="0.25"/>
    <row r="198300" s="12" customFormat="1" x14ac:dyDescent="0.25"/>
    <row r="198301" s="12" customFormat="1" x14ac:dyDescent="0.25"/>
    <row r="198302" s="12" customFormat="1" x14ac:dyDescent="0.25"/>
    <row r="198303" s="12" customFormat="1" x14ac:dyDescent="0.25"/>
    <row r="198304" s="12" customFormat="1" x14ac:dyDescent="0.25"/>
    <row r="198305" s="12" customFormat="1" x14ac:dyDescent="0.25"/>
    <row r="198306" s="12" customFormat="1" x14ac:dyDescent="0.25"/>
    <row r="198307" s="12" customFormat="1" x14ac:dyDescent="0.25"/>
    <row r="198308" s="12" customFormat="1" x14ac:dyDescent="0.25"/>
    <row r="198309" s="12" customFormat="1" x14ac:dyDescent="0.25"/>
    <row r="198310" s="12" customFormat="1" x14ac:dyDescent="0.25"/>
    <row r="198311" s="12" customFormat="1" x14ac:dyDescent="0.25"/>
    <row r="198312" s="12" customFormat="1" x14ac:dyDescent="0.25"/>
    <row r="198313" s="12" customFormat="1" x14ac:dyDescent="0.25"/>
    <row r="198314" s="12" customFormat="1" x14ac:dyDescent="0.25"/>
    <row r="198315" s="12" customFormat="1" x14ac:dyDescent="0.25"/>
    <row r="198316" s="12" customFormat="1" x14ac:dyDescent="0.25"/>
    <row r="198317" s="12" customFormat="1" x14ac:dyDescent="0.25"/>
    <row r="198318" s="12" customFormat="1" x14ac:dyDescent="0.25"/>
    <row r="198319" s="12" customFormat="1" x14ac:dyDescent="0.25"/>
    <row r="198320" s="12" customFormat="1" x14ac:dyDescent="0.25"/>
    <row r="198321" s="12" customFormat="1" x14ac:dyDescent="0.25"/>
    <row r="198322" s="12" customFormat="1" x14ac:dyDescent="0.25"/>
    <row r="198323" s="12" customFormat="1" x14ac:dyDescent="0.25"/>
    <row r="198324" s="12" customFormat="1" x14ac:dyDescent="0.25"/>
    <row r="198325" s="12" customFormat="1" x14ac:dyDescent="0.25"/>
    <row r="198326" s="12" customFormat="1" x14ac:dyDescent="0.25"/>
    <row r="198327" s="12" customFormat="1" x14ac:dyDescent="0.25"/>
    <row r="198328" s="12" customFormat="1" x14ac:dyDescent="0.25"/>
    <row r="198329" s="12" customFormat="1" x14ac:dyDescent="0.25"/>
    <row r="198330" s="12" customFormat="1" x14ac:dyDescent="0.25"/>
    <row r="198331" s="12" customFormat="1" x14ac:dyDescent="0.25"/>
    <row r="198332" s="12" customFormat="1" x14ac:dyDescent="0.25"/>
    <row r="198333" s="12" customFormat="1" x14ac:dyDescent="0.25"/>
    <row r="198334" s="12" customFormat="1" x14ac:dyDescent="0.25"/>
    <row r="198335" s="12" customFormat="1" x14ac:dyDescent="0.25"/>
    <row r="198336" s="12" customFormat="1" x14ac:dyDescent="0.25"/>
    <row r="198337" s="12" customFormat="1" x14ac:dyDescent="0.25"/>
    <row r="198338" s="12" customFormat="1" x14ac:dyDescent="0.25"/>
    <row r="198339" s="12" customFormat="1" x14ac:dyDescent="0.25"/>
    <row r="198340" s="12" customFormat="1" x14ac:dyDescent="0.25"/>
    <row r="198341" s="12" customFormat="1" x14ac:dyDescent="0.25"/>
    <row r="198342" s="12" customFormat="1" x14ac:dyDescent="0.25"/>
    <row r="198343" s="12" customFormat="1" x14ac:dyDescent="0.25"/>
    <row r="198344" s="12" customFormat="1" x14ac:dyDescent="0.25"/>
    <row r="198345" s="12" customFormat="1" x14ac:dyDescent="0.25"/>
    <row r="198346" s="12" customFormat="1" x14ac:dyDescent="0.25"/>
    <row r="198347" s="12" customFormat="1" x14ac:dyDescent="0.25"/>
    <row r="198348" s="12" customFormat="1" x14ac:dyDescent="0.25"/>
    <row r="198349" s="12" customFormat="1" x14ac:dyDescent="0.25"/>
    <row r="198350" s="12" customFormat="1" x14ac:dyDescent="0.25"/>
    <row r="198351" s="12" customFormat="1" x14ac:dyDescent="0.25"/>
    <row r="198352" s="12" customFormat="1" x14ac:dyDescent="0.25"/>
    <row r="198353" s="12" customFormat="1" x14ac:dyDescent="0.25"/>
    <row r="198354" s="12" customFormat="1" x14ac:dyDescent="0.25"/>
    <row r="198355" s="12" customFormat="1" x14ac:dyDescent="0.25"/>
    <row r="198356" s="12" customFormat="1" x14ac:dyDescent="0.25"/>
    <row r="198357" s="12" customFormat="1" x14ac:dyDescent="0.25"/>
    <row r="198358" s="12" customFormat="1" x14ac:dyDescent="0.25"/>
    <row r="198359" s="12" customFormat="1" x14ac:dyDescent="0.25"/>
    <row r="198360" s="12" customFormat="1" x14ac:dyDescent="0.25"/>
    <row r="198361" s="12" customFormat="1" x14ac:dyDescent="0.25"/>
    <row r="198362" s="12" customFormat="1" x14ac:dyDescent="0.25"/>
    <row r="198363" s="12" customFormat="1" x14ac:dyDescent="0.25"/>
    <row r="198364" s="12" customFormat="1" x14ac:dyDescent="0.25"/>
    <row r="198365" s="12" customFormat="1" x14ac:dyDescent="0.25"/>
    <row r="198366" s="12" customFormat="1" x14ac:dyDescent="0.25"/>
    <row r="198367" s="12" customFormat="1" x14ac:dyDescent="0.25"/>
    <row r="198368" s="12" customFormat="1" x14ac:dyDescent="0.25"/>
    <row r="198369" s="12" customFormat="1" x14ac:dyDescent="0.25"/>
    <row r="198370" s="12" customFormat="1" x14ac:dyDescent="0.25"/>
    <row r="198371" s="12" customFormat="1" x14ac:dyDescent="0.25"/>
    <row r="198372" s="12" customFormat="1" x14ac:dyDescent="0.25"/>
    <row r="198373" s="12" customFormat="1" x14ac:dyDescent="0.25"/>
    <row r="198374" s="12" customFormat="1" x14ac:dyDescent="0.25"/>
    <row r="198375" s="12" customFormat="1" x14ac:dyDescent="0.25"/>
    <row r="198376" s="12" customFormat="1" x14ac:dyDescent="0.25"/>
    <row r="198377" s="12" customFormat="1" x14ac:dyDescent="0.25"/>
    <row r="198378" s="12" customFormat="1" x14ac:dyDescent="0.25"/>
    <row r="198379" s="12" customFormat="1" x14ac:dyDescent="0.25"/>
    <row r="198380" s="12" customFormat="1" x14ac:dyDescent="0.25"/>
    <row r="198381" s="12" customFormat="1" x14ac:dyDescent="0.25"/>
    <row r="198382" s="12" customFormat="1" x14ac:dyDescent="0.25"/>
    <row r="198383" s="12" customFormat="1" x14ac:dyDescent="0.25"/>
    <row r="198384" s="12" customFormat="1" x14ac:dyDescent="0.25"/>
    <row r="198385" s="12" customFormat="1" x14ac:dyDescent="0.25"/>
    <row r="198386" s="12" customFormat="1" x14ac:dyDescent="0.25"/>
    <row r="198387" s="12" customFormat="1" x14ac:dyDescent="0.25"/>
    <row r="198388" s="12" customFormat="1" x14ac:dyDescent="0.25"/>
    <row r="198389" s="12" customFormat="1" x14ac:dyDescent="0.25"/>
    <row r="198390" s="12" customFormat="1" x14ac:dyDescent="0.25"/>
    <row r="198391" s="12" customFormat="1" x14ac:dyDescent="0.25"/>
    <row r="198392" s="12" customFormat="1" x14ac:dyDescent="0.25"/>
    <row r="198393" s="12" customFormat="1" x14ac:dyDescent="0.25"/>
    <row r="198394" s="12" customFormat="1" x14ac:dyDescent="0.25"/>
    <row r="198395" s="12" customFormat="1" x14ac:dyDescent="0.25"/>
    <row r="198396" s="12" customFormat="1" x14ac:dyDescent="0.25"/>
    <row r="198397" s="12" customFormat="1" x14ac:dyDescent="0.25"/>
    <row r="198398" s="12" customFormat="1" x14ac:dyDescent="0.25"/>
    <row r="198399" s="12" customFormat="1" x14ac:dyDescent="0.25"/>
    <row r="198400" s="12" customFormat="1" x14ac:dyDescent="0.25"/>
    <row r="198401" s="12" customFormat="1" x14ac:dyDescent="0.25"/>
    <row r="198402" s="12" customFormat="1" x14ac:dyDescent="0.25"/>
    <row r="198403" s="12" customFormat="1" x14ac:dyDescent="0.25"/>
    <row r="198404" s="12" customFormat="1" x14ac:dyDescent="0.25"/>
    <row r="198405" s="12" customFormat="1" x14ac:dyDescent="0.25"/>
    <row r="198406" s="12" customFormat="1" x14ac:dyDescent="0.25"/>
    <row r="198407" s="12" customFormat="1" x14ac:dyDescent="0.25"/>
    <row r="198408" s="12" customFormat="1" x14ac:dyDescent="0.25"/>
    <row r="198409" s="12" customFormat="1" x14ac:dyDescent="0.25"/>
    <row r="198410" s="12" customFormat="1" x14ac:dyDescent="0.25"/>
    <row r="198411" s="12" customFormat="1" x14ac:dyDescent="0.25"/>
    <row r="198412" s="12" customFormat="1" x14ac:dyDescent="0.25"/>
    <row r="198413" s="12" customFormat="1" x14ac:dyDescent="0.25"/>
    <row r="198414" s="12" customFormat="1" x14ac:dyDescent="0.25"/>
    <row r="198415" s="12" customFormat="1" x14ac:dyDescent="0.25"/>
    <row r="198416" s="12" customFormat="1" x14ac:dyDescent="0.25"/>
    <row r="198417" s="12" customFormat="1" x14ac:dyDescent="0.25"/>
    <row r="198418" s="12" customFormat="1" x14ac:dyDescent="0.25"/>
    <row r="198419" s="12" customFormat="1" x14ac:dyDescent="0.25"/>
    <row r="198420" s="12" customFormat="1" x14ac:dyDescent="0.25"/>
    <row r="198421" s="12" customFormat="1" x14ac:dyDescent="0.25"/>
    <row r="198422" s="12" customFormat="1" x14ac:dyDescent="0.25"/>
    <row r="198423" s="12" customFormat="1" x14ac:dyDescent="0.25"/>
    <row r="198424" s="12" customFormat="1" x14ac:dyDescent="0.25"/>
    <row r="198425" s="12" customFormat="1" x14ac:dyDescent="0.25"/>
    <row r="198426" s="12" customFormat="1" x14ac:dyDescent="0.25"/>
    <row r="198427" s="12" customFormat="1" x14ac:dyDescent="0.25"/>
    <row r="198428" s="12" customFormat="1" x14ac:dyDescent="0.25"/>
    <row r="198429" s="12" customFormat="1" x14ac:dyDescent="0.25"/>
    <row r="198430" s="12" customFormat="1" x14ac:dyDescent="0.25"/>
    <row r="198431" s="12" customFormat="1" x14ac:dyDescent="0.25"/>
    <row r="198432" s="12" customFormat="1" x14ac:dyDescent="0.25"/>
    <row r="198433" s="12" customFormat="1" x14ac:dyDescent="0.25"/>
    <row r="198434" s="12" customFormat="1" x14ac:dyDescent="0.25"/>
    <row r="198435" s="12" customFormat="1" x14ac:dyDescent="0.25"/>
    <row r="198436" s="12" customFormat="1" x14ac:dyDescent="0.25"/>
    <row r="198437" s="12" customFormat="1" x14ac:dyDescent="0.25"/>
    <row r="198438" s="12" customFormat="1" x14ac:dyDescent="0.25"/>
    <row r="198439" s="12" customFormat="1" x14ac:dyDescent="0.25"/>
    <row r="198440" s="12" customFormat="1" x14ac:dyDescent="0.25"/>
    <row r="198441" s="12" customFormat="1" x14ac:dyDescent="0.25"/>
    <row r="198442" s="12" customFormat="1" x14ac:dyDescent="0.25"/>
    <row r="198443" s="12" customFormat="1" x14ac:dyDescent="0.25"/>
    <row r="198444" s="12" customFormat="1" x14ac:dyDescent="0.25"/>
    <row r="198445" s="12" customFormat="1" x14ac:dyDescent="0.25"/>
    <row r="198446" s="12" customFormat="1" x14ac:dyDescent="0.25"/>
    <row r="198447" s="12" customFormat="1" x14ac:dyDescent="0.25"/>
    <row r="198448" s="12" customFormat="1" x14ac:dyDescent="0.25"/>
    <row r="198449" s="12" customFormat="1" x14ac:dyDescent="0.25"/>
    <row r="198450" s="12" customFormat="1" x14ac:dyDescent="0.25"/>
    <row r="198451" s="12" customFormat="1" x14ac:dyDescent="0.25"/>
    <row r="198452" s="12" customFormat="1" x14ac:dyDescent="0.25"/>
    <row r="198453" s="12" customFormat="1" x14ac:dyDescent="0.25"/>
    <row r="198454" s="12" customFormat="1" x14ac:dyDescent="0.25"/>
    <row r="198455" s="12" customFormat="1" x14ac:dyDescent="0.25"/>
    <row r="198456" s="12" customFormat="1" x14ac:dyDescent="0.25"/>
    <row r="198457" s="12" customFormat="1" x14ac:dyDescent="0.25"/>
    <row r="198458" s="12" customFormat="1" x14ac:dyDescent="0.25"/>
    <row r="198459" s="12" customFormat="1" x14ac:dyDescent="0.25"/>
    <row r="198460" s="12" customFormat="1" x14ac:dyDescent="0.25"/>
    <row r="198461" s="12" customFormat="1" x14ac:dyDescent="0.25"/>
    <row r="198462" s="12" customFormat="1" x14ac:dyDescent="0.25"/>
    <row r="198463" s="12" customFormat="1" x14ac:dyDescent="0.25"/>
    <row r="198464" s="12" customFormat="1" x14ac:dyDescent="0.25"/>
    <row r="198465" s="12" customFormat="1" x14ac:dyDescent="0.25"/>
    <row r="198466" s="12" customFormat="1" x14ac:dyDescent="0.25"/>
    <row r="198467" s="12" customFormat="1" x14ac:dyDescent="0.25"/>
    <row r="198468" s="12" customFormat="1" x14ac:dyDescent="0.25"/>
    <row r="198469" s="12" customFormat="1" x14ac:dyDescent="0.25"/>
    <row r="198470" s="12" customFormat="1" x14ac:dyDescent="0.25"/>
    <row r="198471" s="12" customFormat="1" x14ac:dyDescent="0.25"/>
    <row r="198472" s="12" customFormat="1" x14ac:dyDescent="0.25"/>
    <row r="198473" s="12" customFormat="1" x14ac:dyDescent="0.25"/>
    <row r="198474" s="12" customFormat="1" x14ac:dyDescent="0.25"/>
    <row r="198475" s="12" customFormat="1" x14ac:dyDescent="0.25"/>
    <row r="198476" s="12" customFormat="1" x14ac:dyDescent="0.25"/>
    <row r="198477" s="12" customFormat="1" x14ac:dyDescent="0.25"/>
    <row r="198478" s="12" customFormat="1" x14ac:dyDescent="0.25"/>
    <row r="198479" s="12" customFormat="1" x14ac:dyDescent="0.25"/>
    <row r="198480" s="12" customFormat="1" x14ac:dyDescent="0.25"/>
    <row r="198481" s="12" customFormat="1" x14ac:dyDescent="0.25"/>
    <row r="198482" s="12" customFormat="1" x14ac:dyDescent="0.25"/>
    <row r="198483" s="12" customFormat="1" x14ac:dyDescent="0.25"/>
    <row r="198484" s="12" customFormat="1" x14ac:dyDescent="0.25"/>
    <row r="198485" s="12" customFormat="1" x14ac:dyDescent="0.25"/>
    <row r="198486" s="12" customFormat="1" x14ac:dyDescent="0.25"/>
    <row r="198487" s="12" customFormat="1" x14ac:dyDescent="0.25"/>
    <row r="198488" s="12" customFormat="1" x14ac:dyDescent="0.25"/>
    <row r="198489" s="12" customFormat="1" x14ac:dyDescent="0.25"/>
    <row r="198490" s="12" customFormat="1" x14ac:dyDescent="0.25"/>
    <row r="198491" s="12" customFormat="1" x14ac:dyDescent="0.25"/>
    <row r="198492" s="12" customFormat="1" x14ac:dyDescent="0.25"/>
    <row r="198493" s="12" customFormat="1" x14ac:dyDescent="0.25"/>
    <row r="198494" s="12" customFormat="1" x14ac:dyDescent="0.25"/>
    <row r="198495" s="12" customFormat="1" x14ac:dyDescent="0.25"/>
    <row r="198496" s="12" customFormat="1" x14ac:dyDescent="0.25"/>
    <row r="198497" s="12" customFormat="1" x14ac:dyDescent="0.25"/>
    <row r="198498" s="12" customFormat="1" x14ac:dyDescent="0.25"/>
    <row r="198499" s="12" customFormat="1" x14ac:dyDescent="0.25"/>
    <row r="198500" s="12" customFormat="1" x14ac:dyDescent="0.25"/>
    <row r="198501" s="12" customFormat="1" x14ac:dyDescent="0.25"/>
    <row r="198502" s="12" customFormat="1" x14ac:dyDescent="0.25"/>
    <row r="198503" s="12" customFormat="1" x14ac:dyDescent="0.25"/>
    <row r="198504" s="12" customFormat="1" x14ac:dyDescent="0.25"/>
    <row r="198505" s="12" customFormat="1" x14ac:dyDescent="0.25"/>
    <row r="198506" s="12" customFormat="1" x14ac:dyDescent="0.25"/>
    <row r="198507" s="12" customFormat="1" x14ac:dyDescent="0.25"/>
    <row r="198508" s="12" customFormat="1" x14ac:dyDescent="0.25"/>
    <row r="198509" s="12" customFormat="1" x14ac:dyDescent="0.25"/>
    <row r="198510" s="12" customFormat="1" x14ac:dyDescent="0.25"/>
    <row r="198511" s="12" customFormat="1" x14ac:dyDescent="0.25"/>
    <row r="198512" s="12" customFormat="1" x14ac:dyDescent="0.25"/>
    <row r="198513" s="12" customFormat="1" x14ac:dyDescent="0.25"/>
    <row r="198514" s="12" customFormat="1" x14ac:dyDescent="0.25"/>
    <row r="198515" s="12" customFormat="1" x14ac:dyDescent="0.25"/>
    <row r="198516" s="12" customFormat="1" x14ac:dyDescent="0.25"/>
    <row r="198517" s="12" customFormat="1" x14ac:dyDescent="0.25"/>
    <row r="198518" s="12" customFormat="1" x14ac:dyDescent="0.25"/>
    <row r="198519" s="12" customFormat="1" x14ac:dyDescent="0.25"/>
    <row r="198520" s="12" customFormat="1" x14ac:dyDescent="0.25"/>
    <row r="198521" s="12" customFormat="1" x14ac:dyDescent="0.25"/>
    <row r="198522" s="12" customFormat="1" x14ac:dyDescent="0.25"/>
    <row r="198523" s="12" customFormat="1" x14ac:dyDescent="0.25"/>
    <row r="198524" s="12" customFormat="1" x14ac:dyDescent="0.25"/>
    <row r="198525" s="12" customFormat="1" x14ac:dyDescent="0.25"/>
    <row r="198526" s="12" customFormat="1" x14ac:dyDescent="0.25"/>
    <row r="198527" s="12" customFormat="1" x14ac:dyDescent="0.25"/>
    <row r="198528" s="12" customFormat="1" x14ac:dyDescent="0.25"/>
    <row r="198529" s="12" customFormat="1" x14ac:dyDescent="0.25"/>
    <row r="198530" s="12" customFormat="1" x14ac:dyDescent="0.25"/>
    <row r="198531" s="12" customFormat="1" x14ac:dyDescent="0.25"/>
    <row r="198532" s="12" customFormat="1" x14ac:dyDescent="0.25"/>
    <row r="198533" s="12" customFormat="1" x14ac:dyDescent="0.25"/>
    <row r="198534" s="12" customFormat="1" x14ac:dyDescent="0.25"/>
    <row r="198535" s="12" customFormat="1" x14ac:dyDescent="0.25"/>
    <row r="198536" s="12" customFormat="1" x14ac:dyDescent="0.25"/>
    <row r="198537" s="12" customFormat="1" x14ac:dyDescent="0.25"/>
    <row r="198538" s="12" customFormat="1" x14ac:dyDescent="0.25"/>
    <row r="198539" s="12" customFormat="1" x14ac:dyDescent="0.25"/>
    <row r="198540" s="12" customFormat="1" x14ac:dyDescent="0.25"/>
    <row r="198541" s="12" customFormat="1" x14ac:dyDescent="0.25"/>
    <row r="198542" s="12" customFormat="1" x14ac:dyDescent="0.25"/>
    <row r="198543" s="12" customFormat="1" x14ac:dyDescent="0.25"/>
    <row r="198544" s="12" customFormat="1" x14ac:dyDescent="0.25"/>
    <row r="198545" s="12" customFormat="1" x14ac:dyDescent="0.25"/>
    <row r="198546" s="12" customFormat="1" x14ac:dyDescent="0.25"/>
    <row r="198547" s="12" customFormat="1" x14ac:dyDescent="0.25"/>
    <row r="198548" s="12" customFormat="1" x14ac:dyDescent="0.25"/>
    <row r="198549" s="12" customFormat="1" x14ac:dyDescent="0.25"/>
    <row r="198550" s="12" customFormat="1" x14ac:dyDescent="0.25"/>
    <row r="198551" s="12" customFormat="1" x14ac:dyDescent="0.25"/>
    <row r="198552" s="12" customFormat="1" x14ac:dyDescent="0.25"/>
    <row r="198553" s="12" customFormat="1" x14ac:dyDescent="0.25"/>
    <row r="198554" s="12" customFormat="1" x14ac:dyDescent="0.25"/>
    <row r="198555" s="12" customFormat="1" x14ac:dyDescent="0.25"/>
    <row r="198556" s="12" customFormat="1" x14ac:dyDescent="0.25"/>
    <row r="198557" s="12" customFormat="1" x14ac:dyDescent="0.25"/>
    <row r="198558" s="12" customFormat="1" x14ac:dyDescent="0.25"/>
    <row r="198559" s="12" customFormat="1" x14ac:dyDescent="0.25"/>
    <row r="198560" s="12" customFormat="1" x14ac:dyDescent="0.25"/>
    <row r="198561" s="12" customFormat="1" x14ac:dyDescent="0.25"/>
    <row r="198562" s="12" customFormat="1" x14ac:dyDescent="0.25"/>
    <row r="198563" s="12" customFormat="1" x14ac:dyDescent="0.25"/>
    <row r="198564" s="12" customFormat="1" x14ac:dyDescent="0.25"/>
    <row r="198565" s="12" customFormat="1" x14ac:dyDescent="0.25"/>
    <row r="198566" s="12" customFormat="1" x14ac:dyDescent="0.25"/>
    <row r="198567" s="12" customFormat="1" x14ac:dyDescent="0.25"/>
    <row r="198568" s="12" customFormat="1" x14ac:dyDescent="0.25"/>
    <row r="198569" s="12" customFormat="1" x14ac:dyDescent="0.25"/>
    <row r="198570" s="12" customFormat="1" x14ac:dyDescent="0.25"/>
    <row r="198571" s="12" customFormat="1" x14ac:dyDescent="0.25"/>
    <row r="198572" s="12" customFormat="1" x14ac:dyDescent="0.25"/>
    <row r="198573" s="12" customFormat="1" x14ac:dyDescent="0.25"/>
    <row r="198574" s="12" customFormat="1" x14ac:dyDescent="0.25"/>
    <row r="198575" s="12" customFormat="1" x14ac:dyDescent="0.25"/>
    <row r="198576" s="12" customFormat="1" x14ac:dyDescent="0.25"/>
    <row r="198577" s="12" customFormat="1" x14ac:dyDescent="0.25"/>
    <row r="198578" s="12" customFormat="1" x14ac:dyDescent="0.25"/>
    <row r="198579" s="12" customFormat="1" x14ac:dyDescent="0.25"/>
    <row r="198580" s="12" customFormat="1" x14ac:dyDescent="0.25"/>
    <row r="198581" s="12" customFormat="1" x14ac:dyDescent="0.25"/>
    <row r="198582" s="12" customFormat="1" x14ac:dyDescent="0.25"/>
    <row r="198583" s="12" customFormat="1" x14ac:dyDescent="0.25"/>
    <row r="198584" s="12" customFormat="1" x14ac:dyDescent="0.25"/>
    <row r="198585" s="12" customFormat="1" x14ac:dyDescent="0.25"/>
    <row r="198586" s="12" customFormat="1" x14ac:dyDescent="0.25"/>
    <row r="198587" s="12" customFormat="1" x14ac:dyDescent="0.25"/>
    <row r="198588" s="12" customFormat="1" x14ac:dyDescent="0.25"/>
    <row r="198589" s="12" customFormat="1" x14ac:dyDescent="0.25"/>
    <row r="198590" s="12" customFormat="1" x14ac:dyDescent="0.25"/>
    <row r="198591" s="12" customFormat="1" x14ac:dyDescent="0.25"/>
    <row r="198592" s="12" customFormat="1" x14ac:dyDescent="0.25"/>
    <row r="198593" s="12" customFormat="1" x14ac:dyDescent="0.25"/>
    <row r="198594" s="12" customFormat="1" x14ac:dyDescent="0.25"/>
    <row r="198595" s="12" customFormat="1" x14ac:dyDescent="0.25"/>
    <row r="198596" s="12" customFormat="1" x14ac:dyDescent="0.25"/>
    <row r="198597" s="12" customFormat="1" x14ac:dyDescent="0.25"/>
    <row r="198598" s="12" customFormat="1" x14ac:dyDescent="0.25"/>
    <row r="198599" s="12" customFormat="1" x14ac:dyDescent="0.25"/>
    <row r="198600" s="12" customFormat="1" x14ac:dyDescent="0.25"/>
    <row r="198601" s="12" customFormat="1" x14ac:dyDescent="0.25"/>
    <row r="198602" s="12" customFormat="1" x14ac:dyDescent="0.25"/>
    <row r="198603" s="12" customFormat="1" x14ac:dyDescent="0.25"/>
    <row r="198604" s="12" customFormat="1" x14ac:dyDescent="0.25"/>
    <row r="198605" s="12" customFormat="1" x14ac:dyDescent="0.25"/>
    <row r="198606" s="12" customFormat="1" x14ac:dyDescent="0.25"/>
    <row r="198607" s="12" customFormat="1" x14ac:dyDescent="0.25"/>
    <row r="198608" s="12" customFormat="1" x14ac:dyDescent="0.25"/>
    <row r="198609" s="12" customFormat="1" x14ac:dyDescent="0.25"/>
    <row r="198610" s="12" customFormat="1" x14ac:dyDescent="0.25"/>
    <row r="198611" s="12" customFormat="1" x14ac:dyDescent="0.25"/>
    <row r="198612" s="12" customFormat="1" x14ac:dyDescent="0.25"/>
    <row r="198613" s="12" customFormat="1" x14ac:dyDescent="0.25"/>
    <row r="198614" s="12" customFormat="1" x14ac:dyDescent="0.25"/>
    <row r="198615" s="12" customFormat="1" x14ac:dyDescent="0.25"/>
    <row r="198616" s="12" customFormat="1" x14ac:dyDescent="0.25"/>
    <row r="198617" s="12" customFormat="1" x14ac:dyDescent="0.25"/>
    <row r="198618" s="12" customFormat="1" x14ac:dyDescent="0.25"/>
    <row r="198619" s="12" customFormat="1" x14ac:dyDescent="0.25"/>
    <row r="198620" s="12" customFormat="1" x14ac:dyDescent="0.25"/>
    <row r="198621" s="12" customFormat="1" x14ac:dyDescent="0.25"/>
    <row r="198622" s="12" customFormat="1" x14ac:dyDescent="0.25"/>
    <row r="198623" s="12" customFormat="1" x14ac:dyDescent="0.25"/>
    <row r="198624" s="12" customFormat="1" x14ac:dyDescent="0.25"/>
    <row r="198625" s="12" customFormat="1" x14ac:dyDescent="0.25"/>
    <row r="198626" s="12" customFormat="1" x14ac:dyDescent="0.25"/>
    <row r="198627" s="12" customFormat="1" x14ac:dyDescent="0.25"/>
    <row r="198628" s="12" customFormat="1" x14ac:dyDescent="0.25"/>
    <row r="198629" s="12" customFormat="1" x14ac:dyDescent="0.25"/>
    <row r="198630" s="12" customFormat="1" x14ac:dyDescent="0.25"/>
    <row r="198631" s="12" customFormat="1" x14ac:dyDescent="0.25"/>
    <row r="198632" s="12" customFormat="1" x14ac:dyDescent="0.25"/>
    <row r="198633" s="12" customFormat="1" x14ac:dyDescent="0.25"/>
    <row r="198634" s="12" customFormat="1" x14ac:dyDescent="0.25"/>
    <row r="198635" s="12" customFormat="1" x14ac:dyDescent="0.25"/>
    <row r="198636" s="12" customFormat="1" x14ac:dyDescent="0.25"/>
    <row r="198637" s="12" customFormat="1" x14ac:dyDescent="0.25"/>
    <row r="198638" s="12" customFormat="1" x14ac:dyDescent="0.25"/>
    <row r="198639" s="12" customFormat="1" x14ac:dyDescent="0.25"/>
    <row r="198640" s="12" customFormat="1" x14ac:dyDescent="0.25"/>
    <row r="198641" s="12" customFormat="1" x14ac:dyDescent="0.25"/>
    <row r="198642" s="12" customFormat="1" x14ac:dyDescent="0.25"/>
    <row r="198643" s="12" customFormat="1" x14ac:dyDescent="0.25"/>
    <row r="198644" s="12" customFormat="1" x14ac:dyDescent="0.25"/>
    <row r="198645" s="12" customFormat="1" x14ac:dyDescent="0.25"/>
    <row r="198646" s="12" customFormat="1" x14ac:dyDescent="0.25"/>
    <row r="198647" s="12" customFormat="1" x14ac:dyDescent="0.25"/>
    <row r="198648" s="12" customFormat="1" x14ac:dyDescent="0.25"/>
    <row r="198649" s="12" customFormat="1" x14ac:dyDescent="0.25"/>
    <row r="198650" s="12" customFormat="1" x14ac:dyDescent="0.25"/>
    <row r="198651" s="12" customFormat="1" x14ac:dyDescent="0.25"/>
    <row r="198652" s="12" customFormat="1" x14ac:dyDescent="0.25"/>
    <row r="198653" s="12" customFormat="1" x14ac:dyDescent="0.25"/>
    <row r="198654" s="12" customFormat="1" x14ac:dyDescent="0.25"/>
    <row r="198655" s="12" customFormat="1" x14ac:dyDescent="0.25"/>
    <row r="198656" s="12" customFormat="1" x14ac:dyDescent="0.25"/>
    <row r="198657" s="12" customFormat="1" x14ac:dyDescent="0.25"/>
    <row r="198658" s="12" customFormat="1" x14ac:dyDescent="0.25"/>
    <row r="198659" s="12" customFormat="1" x14ac:dyDescent="0.25"/>
    <row r="198660" s="12" customFormat="1" x14ac:dyDescent="0.25"/>
    <row r="198661" s="12" customFormat="1" x14ac:dyDescent="0.25"/>
    <row r="198662" s="12" customFormat="1" x14ac:dyDescent="0.25"/>
    <row r="198663" s="12" customFormat="1" x14ac:dyDescent="0.25"/>
    <row r="198664" s="12" customFormat="1" x14ac:dyDescent="0.25"/>
    <row r="198665" s="12" customFormat="1" x14ac:dyDescent="0.25"/>
    <row r="198666" s="12" customFormat="1" x14ac:dyDescent="0.25"/>
    <row r="198667" s="12" customFormat="1" x14ac:dyDescent="0.25"/>
    <row r="198668" s="12" customFormat="1" x14ac:dyDescent="0.25"/>
    <row r="198669" s="12" customFormat="1" x14ac:dyDescent="0.25"/>
    <row r="198670" s="12" customFormat="1" x14ac:dyDescent="0.25"/>
    <row r="198671" s="12" customFormat="1" x14ac:dyDescent="0.25"/>
    <row r="198672" s="12" customFormat="1" x14ac:dyDescent="0.25"/>
    <row r="198673" s="12" customFormat="1" x14ac:dyDescent="0.25"/>
    <row r="198674" s="12" customFormat="1" x14ac:dyDescent="0.25"/>
    <row r="198675" s="12" customFormat="1" x14ac:dyDescent="0.25"/>
    <row r="198676" s="12" customFormat="1" x14ac:dyDescent="0.25"/>
    <row r="198677" s="12" customFormat="1" x14ac:dyDescent="0.25"/>
    <row r="198678" s="12" customFormat="1" x14ac:dyDescent="0.25"/>
    <row r="198679" s="12" customFormat="1" x14ac:dyDescent="0.25"/>
    <row r="198680" s="12" customFormat="1" x14ac:dyDescent="0.25"/>
    <row r="198681" s="12" customFormat="1" x14ac:dyDescent="0.25"/>
    <row r="198682" s="12" customFormat="1" x14ac:dyDescent="0.25"/>
    <row r="198683" s="12" customFormat="1" x14ac:dyDescent="0.25"/>
    <row r="198684" s="12" customFormat="1" x14ac:dyDescent="0.25"/>
    <row r="198685" s="12" customFormat="1" x14ac:dyDescent="0.25"/>
    <row r="198686" s="12" customFormat="1" x14ac:dyDescent="0.25"/>
    <row r="198687" s="12" customFormat="1" x14ac:dyDescent="0.25"/>
    <row r="198688" s="12" customFormat="1" x14ac:dyDescent="0.25"/>
    <row r="198689" s="12" customFormat="1" x14ac:dyDescent="0.25"/>
    <row r="198690" s="12" customFormat="1" x14ac:dyDescent="0.25"/>
    <row r="198691" s="12" customFormat="1" x14ac:dyDescent="0.25"/>
    <row r="198692" s="12" customFormat="1" x14ac:dyDescent="0.25"/>
    <row r="198693" s="12" customFormat="1" x14ac:dyDescent="0.25"/>
    <row r="198694" s="12" customFormat="1" x14ac:dyDescent="0.25"/>
    <row r="198695" s="12" customFormat="1" x14ac:dyDescent="0.25"/>
    <row r="198696" s="12" customFormat="1" x14ac:dyDescent="0.25"/>
    <row r="198697" s="12" customFormat="1" x14ac:dyDescent="0.25"/>
    <row r="198698" s="12" customFormat="1" x14ac:dyDescent="0.25"/>
    <row r="198699" s="12" customFormat="1" x14ac:dyDescent="0.25"/>
    <row r="198700" s="12" customFormat="1" x14ac:dyDescent="0.25"/>
    <row r="198701" s="12" customFormat="1" x14ac:dyDescent="0.25"/>
    <row r="198702" s="12" customFormat="1" x14ac:dyDescent="0.25"/>
    <row r="198703" s="12" customFormat="1" x14ac:dyDescent="0.25"/>
    <row r="198704" s="12" customFormat="1" x14ac:dyDescent="0.25"/>
    <row r="198705" s="12" customFormat="1" x14ac:dyDescent="0.25"/>
    <row r="198706" s="12" customFormat="1" x14ac:dyDescent="0.25"/>
    <row r="198707" s="12" customFormat="1" x14ac:dyDescent="0.25"/>
    <row r="198708" s="12" customFormat="1" x14ac:dyDescent="0.25"/>
    <row r="198709" s="12" customFormat="1" x14ac:dyDescent="0.25"/>
    <row r="198710" s="12" customFormat="1" x14ac:dyDescent="0.25"/>
    <row r="198711" s="12" customFormat="1" x14ac:dyDescent="0.25"/>
    <row r="198712" s="12" customFormat="1" x14ac:dyDescent="0.25"/>
    <row r="198713" s="12" customFormat="1" x14ac:dyDescent="0.25"/>
    <row r="198714" s="12" customFormat="1" x14ac:dyDescent="0.25"/>
    <row r="198715" s="12" customFormat="1" x14ac:dyDescent="0.25"/>
    <row r="198716" s="12" customFormat="1" x14ac:dyDescent="0.25"/>
    <row r="198717" s="12" customFormat="1" x14ac:dyDescent="0.25"/>
    <row r="198718" s="12" customFormat="1" x14ac:dyDescent="0.25"/>
    <row r="198719" s="12" customFormat="1" x14ac:dyDescent="0.25"/>
    <row r="198720" s="12" customFormat="1" x14ac:dyDescent="0.25"/>
    <row r="198721" s="12" customFormat="1" x14ac:dyDescent="0.25"/>
    <row r="198722" s="12" customFormat="1" x14ac:dyDescent="0.25"/>
    <row r="198723" s="12" customFormat="1" x14ac:dyDescent="0.25"/>
    <row r="198724" s="12" customFormat="1" x14ac:dyDescent="0.25"/>
    <row r="198725" s="12" customFormat="1" x14ac:dyDescent="0.25"/>
    <row r="198726" s="12" customFormat="1" x14ac:dyDescent="0.25"/>
    <row r="198727" s="12" customFormat="1" x14ac:dyDescent="0.25"/>
    <row r="198728" s="12" customFormat="1" x14ac:dyDescent="0.25"/>
    <row r="198729" s="12" customFormat="1" x14ac:dyDescent="0.25"/>
    <row r="198730" s="12" customFormat="1" x14ac:dyDescent="0.25"/>
    <row r="198731" s="12" customFormat="1" x14ac:dyDescent="0.25"/>
    <row r="198732" s="12" customFormat="1" x14ac:dyDescent="0.25"/>
    <row r="198733" s="12" customFormat="1" x14ac:dyDescent="0.25"/>
    <row r="198734" s="12" customFormat="1" x14ac:dyDescent="0.25"/>
    <row r="198735" s="12" customFormat="1" x14ac:dyDescent="0.25"/>
    <row r="198736" s="12" customFormat="1" x14ac:dyDescent="0.25"/>
    <row r="198737" s="12" customFormat="1" x14ac:dyDescent="0.25"/>
    <row r="198738" s="12" customFormat="1" x14ac:dyDescent="0.25"/>
    <row r="198739" s="12" customFormat="1" x14ac:dyDescent="0.25"/>
    <row r="198740" s="12" customFormat="1" x14ac:dyDescent="0.25"/>
    <row r="198741" s="12" customFormat="1" x14ac:dyDescent="0.25"/>
    <row r="198742" s="12" customFormat="1" x14ac:dyDescent="0.25"/>
    <row r="198743" s="12" customFormat="1" x14ac:dyDescent="0.25"/>
    <row r="198744" s="12" customFormat="1" x14ac:dyDescent="0.25"/>
    <row r="198745" s="12" customFormat="1" x14ac:dyDescent="0.25"/>
    <row r="198746" s="12" customFormat="1" x14ac:dyDescent="0.25"/>
    <row r="198747" s="12" customFormat="1" x14ac:dyDescent="0.25"/>
    <row r="198748" s="12" customFormat="1" x14ac:dyDescent="0.25"/>
    <row r="198749" s="12" customFormat="1" x14ac:dyDescent="0.25"/>
    <row r="198750" s="12" customFormat="1" x14ac:dyDescent="0.25"/>
    <row r="198751" s="12" customFormat="1" x14ac:dyDescent="0.25"/>
    <row r="198752" s="12" customFormat="1" x14ac:dyDescent="0.25"/>
    <row r="198753" s="12" customFormat="1" x14ac:dyDescent="0.25"/>
    <row r="198754" s="12" customFormat="1" x14ac:dyDescent="0.25"/>
    <row r="198755" s="12" customFormat="1" x14ac:dyDescent="0.25"/>
    <row r="198756" s="12" customFormat="1" x14ac:dyDescent="0.25"/>
    <row r="198757" s="12" customFormat="1" x14ac:dyDescent="0.25"/>
    <row r="198758" s="12" customFormat="1" x14ac:dyDescent="0.25"/>
    <row r="198759" s="12" customFormat="1" x14ac:dyDescent="0.25"/>
    <row r="198760" s="12" customFormat="1" x14ac:dyDescent="0.25"/>
    <row r="198761" s="12" customFormat="1" x14ac:dyDescent="0.25"/>
    <row r="198762" s="12" customFormat="1" x14ac:dyDescent="0.25"/>
    <row r="198763" s="12" customFormat="1" x14ac:dyDescent="0.25"/>
    <row r="198764" s="12" customFormat="1" x14ac:dyDescent="0.25"/>
    <row r="198765" s="12" customFormat="1" x14ac:dyDescent="0.25"/>
    <row r="198766" s="12" customFormat="1" x14ac:dyDescent="0.25"/>
    <row r="198767" s="12" customFormat="1" x14ac:dyDescent="0.25"/>
    <row r="198768" s="12" customFormat="1" x14ac:dyDescent="0.25"/>
    <row r="198769" s="12" customFormat="1" x14ac:dyDescent="0.25"/>
    <row r="198770" s="12" customFormat="1" x14ac:dyDescent="0.25"/>
    <row r="198771" s="12" customFormat="1" x14ac:dyDescent="0.25"/>
    <row r="198772" s="12" customFormat="1" x14ac:dyDescent="0.25"/>
    <row r="198773" s="12" customFormat="1" x14ac:dyDescent="0.25"/>
    <row r="198774" s="12" customFormat="1" x14ac:dyDescent="0.25"/>
    <row r="198775" s="12" customFormat="1" x14ac:dyDescent="0.25"/>
    <row r="198776" s="12" customFormat="1" x14ac:dyDescent="0.25"/>
    <row r="198777" s="12" customFormat="1" x14ac:dyDescent="0.25"/>
    <row r="198778" s="12" customFormat="1" x14ac:dyDescent="0.25"/>
    <row r="198779" s="12" customFormat="1" x14ac:dyDescent="0.25"/>
    <row r="198780" s="12" customFormat="1" x14ac:dyDescent="0.25"/>
    <row r="198781" s="12" customFormat="1" x14ac:dyDescent="0.25"/>
    <row r="198782" s="12" customFormat="1" x14ac:dyDescent="0.25"/>
    <row r="198783" s="12" customFormat="1" x14ac:dyDescent="0.25"/>
    <row r="198784" s="12" customFormat="1" x14ac:dyDescent="0.25"/>
    <row r="198785" s="12" customFormat="1" x14ac:dyDescent="0.25"/>
    <row r="198786" s="12" customFormat="1" x14ac:dyDescent="0.25"/>
    <row r="198787" s="12" customFormat="1" x14ac:dyDescent="0.25"/>
    <row r="198788" s="12" customFormat="1" x14ac:dyDescent="0.25"/>
    <row r="198789" s="12" customFormat="1" x14ac:dyDescent="0.25"/>
    <row r="198790" s="12" customFormat="1" x14ac:dyDescent="0.25"/>
    <row r="198791" s="12" customFormat="1" x14ac:dyDescent="0.25"/>
    <row r="198792" s="12" customFormat="1" x14ac:dyDescent="0.25"/>
    <row r="198793" s="12" customFormat="1" x14ac:dyDescent="0.25"/>
    <row r="198794" s="12" customFormat="1" x14ac:dyDescent="0.25"/>
    <row r="198795" s="12" customFormat="1" x14ac:dyDescent="0.25"/>
    <row r="198796" s="12" customFormat="1" x14ac:dyDescent="0.25"/>
    <row r="198797" s="12" customFormat="1" x14ac:dyDescent="0.25"/>
    <row r="198798" s="12" customFormat="1" x14ac:dyDescent="0.25"/>
    <row r="198799" s="12" customFormat="1" x14ac:dyDescent="0.25"/>
    <row r="198800" s="12" customFormat="1" x14ac:dyDescent="0.25"/>
    <row r="198801" s="12" customFormat="1" x14ac:dyDescent="0.25"/>
    <row r="198802" s="12" customFormat="1" x14ac:dyDescent="0.25"/>
    <row r="198803" s="12" customFormat="1" x14ac:dyDescent="0.25"/>
    <row r="198804" s="12" customFormat="1" x14ac:dyDescent="0.25"/>
    <row r="198805" s="12" customFormat="1" x14ac:dyDescent="0.25"/>
    <row r="198806" s="12" customFormat="1" x14ac:dyDescent="0.25"/>
    <row r="198807" s="12" customFormat="1" x14ac:dyDescent="0.25"/>
    <row r="198808" s="12" customFormat="1" x14ac:dyDescent="0.25"/>
    <row r="198809" s="12" customFormat="1" x14ac:dyDescent="0.25"/>
    <row r="198810" s="12" customFormat="1" x14ac:dyDescent="0.25"/>
    <row r="198811" s="12" customFormat="1" x14ac:dyDescent="0.25"/>
    <row r="198812" s="12" customFormat="1" x14ac:dyDescent="0.25"/>
    <row r="198813" s="12" customFormat="1" x14ac:dyDescent="0.25"/>
    <row r="198814" s="12" customFormat="1" x14ac:dyDescent="0.25"/>
    <row r="198815" s="12" customFormat="1" x14ac:dyDescent="0.25"/>
    <row r="198816" s="12" customFormat="1" x14ac:dyDescent="0.25"/>
    <row r="198817" s="12" customFormat="1" x14ac:dyDescent="0.25"/>
    <row r="198818" s="12" customFormat="1" x14ac:dyDescent="0.25"/>
    <row r="198819" s="12" customFormat="1" x14ac:dyDescent="0.25"/>
    <row r="198820" s="12" customFormat="1" x14ac:dyDescent="0.25"/>
    <row r="198821" s="12" customFormat="1" x14ac:dyDescent="0.25"/>
    <row r="198822" s="12" customFormat="1" x14ac:dyDescent="0.25"/>
    <row r="198823" s="12" customFormat="1" x14ac:dyDescent="0.25"/>
    <row r="198824" s="12" customFormat="1" x14ac:dyDescent="0.25"/>
    <row r="198825" s="12" customFormat="1" x14ac:dyDescent="0.25"/>
    <row r="198826" s="12" customFormat="1" x14ac:dyDescent="0.25"/>
    <row r="198827" s="12" customFormat="1" x14ac:dyDescent="0.25"/>
    <row r="198828" s="12" customFormat="1" x14ac:dyDescent="0.25"/>
    <row r="198829" s="12" customFormat="1" x14ac:dyDescent="0.25"/>
    <row r="198830" s="12" customFormat="1" x14ac:dyDescent="0.25"/>
    <row r="198831" s="12" customFormat="1" x14ac:dyDescent="0.25"/>
    <row r="198832" s="12" customFormat="1" x14ac:dyDescent="0.25"/>
    <row r="198833" s="12" customFormat="1" x14ac:dyDescent="0.25"/>
    <row r="198834" s="12" customFormat="1" x14ac:dyDescent="0.25"/>
    <row r="198835" s="12" customFormat="1" x14ac:dyDescent="0.25"/>
    <row r="198836" s="12" customFormat="1" x14ac:dyDescent="0.25"/>
    <row r="198837" s="12" customFormat="1" x14ac:dyDescent="0.25"/>
    <row r="198838" s="12" customFormat="1" x14ac:dyDescent="0.25"/>
    <row r="198839" s="12" customFormat="1" x14ac:dyDescent="0.25"/>
    <row r="198840" s="12" customFormat="1" x14ac:dyDescent="0.25"/>
    <row r="198841" s="12" customFormat="1" x14ac:dyDescent="0.25"/>
    <row r="198842" s="12" customFormat="1" x14ac:dyDescent="0.25"/>
    <row r="198843" s="12" customFormat="1" x14ac:dyDescent="0.25"/>
    <row r="198844" s="12" customFormat="1" x14ac:dyDescent="0.25"/>
    <row r="198845" s="12" customFormat="1" x14ac:dyDescent="0.25"/>
    <row r="198846" s="12" customFormat="1" x14ac:dyDescent="0.25"/>
    <row r="198847" s="12" customFormat="1" x14ac:dyDescent="0.25"/>
    <row r="198848" s="12" customFormat="1" x14ac:dyDescent="0.25"/>
    <row r="198849" s="12" customFormat="1" x14ac:dyDescent="0.25"/>
    <row r="198850" s="12" customFormat="1" x14ac:dyDescent="0.25"/>
    <row r="198851" s="12" customFormat="1" x14ac:dyDescent="0.25"/>
    <row r="198852" s="12" customFormat="1" x14ac:dyDescent="0.25"/>
    <row r="198853" s="12" customFormat="1" x14ac:dyDescent="0.25"/>
    <row r="198854" s="12" customFormat="1" x14ac:dyDescent="0.25"/>
    <row r="198855" s="12" customFormat="1" x14ac:dyDescent="0.25"/>
    <row r="198856" s="12" customFormat="1" x14ac:dyDescent="0.25"/>
    <row r="198857" s="12" customFormat="1" x14ac:dyDescent="0.25"/>
    <row r="198858" s="12" customFormat="1" x14ac:dyDescent="0.25"/>
    <row r="198859" s="12" customFormat="1" x14ac:dyDescent="0.25"/>
    <row r="198860" s="12" customFormat="1" x14ac:dyDescent="0.25"/>
    <row r="198861" s="12" customFormat="1" x14ac:dyDescent="0.25"/>
    <row r="198862" s="12" customFormat="1" x14ac:dyDescent="0.25"/>
    <row r="198863" s="12" customFormat="1" x14ac:dyDescent="0.25"/>
    <row r="198864" s="12" customFormat="1" x14ac:dyDescent="0.25"/>
    <row r="198865" s="12" customFormat="1" x14ac:dyDescent="0.25"/>
    <row r="198866" s="12" customFormat="1" x14ac:dyDescent="0.25"/>
    <row r="198867" s="12" customFormat="1" x14ac:dyDescent="0.25"/>
    <row r="198868" s="12" customFormat="1" x14ac:dyDescent="0.25"/>
    <row r="198869" s="12" customFormat="1" x14ac:dyDescent="0.25"/>
    <row r="198870" s="12" customFormat="1" x14ac:dyDescent="0.25"/>
    <row r="198871" s="12" customFormat="1" x14ac:dyDescent="0.25"/>
    <row r="198872" s="12" customFormat="1" x14ac:dyDescent="0.25"/>
    <row r="198873" s="12" customFormat="1" x14ac:dyDescent="0.25"/>
    <row r="198874" s="12" customFormat="1" x14ac:dyDescent="0.25"/>
    <row r="198875" s="12" customFormat="1" x14ac:dyDescent="0.25"/>
    <row r="198876" s="12" customFormat="1" x14ac:dyDescent="0.25"/>
    <row r="198877" s="12" customFormat="1" x14ac:dyDescent="0.25"/>
    <row r="198878" s="12" customFormat="1" x14ac:dyDescent="0.25"/>
    <row r="198879" s="12" customFormat="1" x14ac:dyDescent="0.25"/>
    <row r="198880" s="12" customFormat="1" x14ac:dyDescent="0.25"/>
    <row r="198881" s="12" customFormat="1" x14ac:dyDescent="0.25"/>
    <row r="198882" s="12" customFormat="1" x14ac:dyDescent="0.25"/>
    <row r="198883" s="12" customFormat="1" x14ac:dyDescent="0.25"/>
    <row r="198884" s="12" customFormat="1" x14ac:dyDescent="0.25"/>
    <row r="198885" s="12" customFormat="1" x14ac:dyDescent="0.25"/>
    <row r="198886" s="12" customFormat="1" x14ac:dyDescent="0.25"/>
    <row r="198887" s="12" customFormat="1" x14ac:dyDescent="0.25"/>
    <row r="198888" s="12" customFormat="1" x14ac:dyDescent="0.25"/>
    <row r="198889" s="12" customFormat="1" x14ac:dyDescent="0.25"/>
    <row r="198890" s="12" customFormat="1" x14ac:dyDescent="0.25"/>
    <row r="198891" s="12" customFormat="1" x14ac:dyDescent="0.25"/>
    <row r="198892" s="12" customFormat="1" x14ac:dyDescent="0.25"/>
    <row r="198893" s="12" customFormat="1" x14ac:dyDescent="0.25"/>
    <row r="198894" s="12" customFormat="1" x14ac:dyDescent="0.25"/>
    <row r="198895" s="12" customFormat="1" x14ac:dyDescent="0.25"/>
    <row r="198896" s="12" customFormat="1" x14ac:dyDescent="0.25"/>
    <row r="198897" s="12" customFormat="1" x14ac:dyDescent="0.25"/>
    <row r="198898" s="12" customFormat="1" x14ac:dyDescent="0.25"/>
    <row r="198899" s="12" customFormat="1" x14ac:dyDescent="0.25"/>
    <row r="198900" s="12" customFormat="1" x14ac:dyDescent="0.25"/>
    <row r="198901" s="12" customFormat="1" x14ac:dyDescent="0.25"/>
    <row r="198902" s="12" customFormat="1" x14ac:dyDescent="0.25"/>
    <row r="198903" s="12" customFormat="1" x14ac:dyDescent="0.25"/>
    <row r="198904" s="12" customFormat="1" x14ac:dyDescent="0.25"/>
    <row r="198905" s="12" customFormat="1" x14ac:dyDescent="0.25"/>
    <row r="198906" s="12" customFormat="1" x14ac:dyDescent="0.25"/>
    <row r="198907" s="12" customFormat="1" x14ac:dyDescent="0.25"/>
    <row r="198908" s="12" customFormat="1" x14ac:dyDescent="0.25"/>
    <row r="198909" s="12" customFormat="1" x14ac:dyDescent="0.25"/>
    <row r="198910" s="12" customFormat="1" x14ac:dyDescent="0.25"/>
    <row r="198911" s="12" customFormat="1" x14ac:dyDescent="0.25"/>
    <row r="198912" s="12" customFormat="1" x14ac:dyDescent="0.25"/>
    <row r="198913" s="12" customFormat="1" x14ac:dyDescent="0.25"/>
    <row r="198914" s="12" customFormat="1" x14ac:dyDescent="0.25"/>
    <row r="198915" s="12" customFormat="1" x14ac:dyDescent="0.25"/>
    <row r="198916" s="12" customFormat="1" x14ac:dyDescent="0.25"/>
    <row r="198917" s="12" customFormat="1" x14ac:dyDescent="0.25"/>
    <row r="198918" s="12" customFormat="1" x14ac:dyDescent="0.25"/>
    <row r="198919" s="12" customFormat="1" x14ac:dyDescent="0.25"/>
    <row r="198920" s="12" customFormat="1" x14ac:dyDescent="0.25"/>
    <row r="198921" s="12" customFormat="1" x14ac:dyDescent="0.25"/>
    <row r="198922" s="12" customFormat="1" x14ac:dyDescent="0.25"/>
    <row r="198923" s="12" customFormat="1" x14ac:dyDescent="0.25"/>
    <row r="198924" s="12" customFormat="1" x14ac:dyDescent="0.25"/>
    <row r="198925" s="12" customFormat="1" x14ac:dyDescent="0.25"/>
    <row r="198926" s="12" customFormat="1" x14ac:dyDescent="0.25"/>
    <row r="198927" s="12" customFormat="1" x14ac:dyDescent="0.25"/>
    <row r="198928" s="12" customFormat="1" x14ac:dyDescent="0.25"/>
    <row r="198929" s="12" customFormat="1" x14ac:dyDescent="0.25"/>
    <row r="198930" s="12" customFormat="1" x14ac:dyDescent="0.25"/>
    <row r="198931" s="12" customFormat="1" x14ac:dyDescent="0.25"/>
    <row r="198932" s="12" customFormat="1" x14ac:dyDescent="0.25"/>
    <row r="198933" s="12" customFormat="1" x14ac:dyDescent="0.25"/>
    <row r="198934" s="12" customFormat="1" x14ac:dyDescent="0.25"/>
    <row r="198935" s="12" customFormat="1" x14ac:dyDescent="0.25"/>
    <row r="198936" s="12" customFormat="1" x14ac:dyDescent="0.25"/>
    <row r="198937" s="12" customFormat="1" x14ac:dyDescent="0.25"/>
    <row r="198938" s="12" customFormat="1" x14ac:dyDescent="0.25"/>
    <row r="198939" s="12" customFormat="1" x14ac:dyDescent="0.25"/>
    <row r="198940" s="12" customFormat="1" x14ac:dyDescent="0.25"/>
    <row r="198941" s="12" customFormat="1" x14ac:dyDescent="0.25"/>
    <row r="198942" s="12" customFormat="1" x14ac:dyDescent="0.25"/>
    <row r="198943" s="12" customFormat="1" x14ac:dyDescent="0.25"/>
    <row r="198944" s="12" customFormat="1" x14ac:dyDescent="0.25"/>
    <row r="198945" s="12" customFormat="1" x14ac:dyDescent="0.25"/>
    <row r="198946" s="12" customFormat="1" x14ac:dyDescent="0.25"/>
    <row r="198947" s="12" customFormat="1" x14ac:dyDescent="0.25"/>
    <row r="198948" s="12" customFormat="1" x14ac:dyDescent="0.25"/>
    <row r="198949" s="12" customFormat="1" x14ac:dyDescent="0.25"/>
    <row r="198950" s="12" customFormat="1" x14ac:dyDescent="0.25"/>
    <row r="198951" s="12" customFormat="1" x14ac:dyDescent="0.25"/>
    <row r="198952" s="12" customFormat="1" x14ac:dyDescent="0.25"/>
    <row r="198953" s="12" customFormat="1" x14ac:dyDescent="0.25"/>
    <row r="198954" s="12" customFormat="1" x14ac:dyDescent="0.25"/>
    <row r="198955" s="12" customFormat="1" x14ac:dyDescent="0.25"/>
    <row r="198956" s="12" customFormat="1" x14ac:dyDescent="0.25"/>
    <row r="198957" s="12" customFormat="1" x14ac:dyDescent="0.25"/>
    <row r="198958" s="12" customFormat="1" x14ac:dyDescent="0.25"/>
    <row r="198959" s="12" customFormat="1" x14ac:dyDescent="0.25"/>
    <row r="198960" s="12" customFormat="1" x14ac:dyDescent="0.25"/>
    <row r="198961" s="12" customFormat="1" x14ac:dyDescent="0.25"/>
    <row r="198962" s="12" customFormat="1" x14ac:dyDescent="0.25"/>
    <row r="198963" s="12" customFormat="1" x14ac:dyDescent="0.25"/>
    <row r="198964" s="12" customFormat="1" x14ac:dyDescent="0.25"/>
    <row r="198965" s="12" customFormat="1" x14ac:dyDescent="0.25"/>
    <row r="198966" s="12" customFormat="1" x14ac:dyDescent="0.25"/>
    <row r="198967" s="12" customFormat="1" x14ac:dyDescent="0.25"/>
    <row r="198968" s="12" customFormat="1" x14ac:dyDescent="0.25"/>
    <row r="198969" s="12" customFormat="1" x14ac:dyDescent="0.25"/>
    <row r="198970" s="12" customFormat="1" x14ac:dyDescent="0.25"/>
    <row r="198971" s="12" customFormat="1" x14ac:dyDescent="0.25"/>
    <row r="198972" s="12" customFormat="1" x14ac:dyDescent="0.25"/>
    <row r="198973" s="12" customFormat="1" x14ac:dyDescent="0.25"/>
    <row r="198974" s="12" customFormat="1" x14ac:dyDescent="0.25"/>
    <row r="198975" s="12" customFormat="1" x14ac:dyDescent="0.25"/>
    <row r="198976" s="12" customFormat="1" x14ac:dyDescent="0.25"/>
    <row r="198977" s="12" customFormat="1" x14ac:dyDescent="0.25"/>
    <row r="198978" s="12" customFormat="1" x14ac:dyDescent="0.25"/>
    <row r="198979" s="12" customFormat="1" x14ac:dyDescent="0.25"/>
    <row r="198980" s="12" customFormat="1" x14ac:dyDescent="0.25"/>
    <row r="198981" s="12" customFormat="1" x14ac:dyDescent="0.25"/>
    <row r="198982" s="12" customFormat="1" x14ac:dyDescent="0.25"/>
    <row r="198983" s="12" customFormat="1" x14ac:dyDescent="0.25"/>
    <row r="198984" s="12" customFormat="1" x14ac:dyDescent="0.25"/>
    <row r="198985" s="12" customFormat="1" x14ac:dyDescent="0.25"/>
    <row r="198986" s="12" customFormat="1" x14ac:dyDescent="0.25"/>
    <row r="198987" s="12" customFormat="1" x14ac:dyDescent="0.25"/>
    <row r="198988" s="12" customFormat="1" x14ac:dyDescent="0.25"/>
    <row r="198989" s="12" customFormat="1" x14ac:dyDescent="0.25"/>
    <row r="198990" s="12" customFormat="1" x14ac:dyDescent="0.25"/>
    <row r="198991" s="12" customFormat="1" x14ac:dyDescent="0.25"/>
    <row r="198992" s="12" customFormat="1" x14ac:dyDescent="0.25"/>
    <row r="198993" s="12" customFormat="1" x14ac:dyDescent="0.25"/>
    <row r="198994" s="12" customFormat="1" x14ac:dyDescent="0.25"/>
    <row r="198995" s="12" customFormat="1" x14ac:dyDescent="0.25"/>
    <row r="198996" s="12" customFormat="1" x14ac:dyDescent="0.25"/>
    <row r="198997" s="12" customFormat="1" x14ac:dyDescent="0.25"/>
    <row r="198998" s="12" customFormat="1" x14ac:dyDescent="0.25"/>
    <row r="198999" s="12" customFormat="1" x14ac:dyDescent="0.25"/>
    <row r="199000" s="12" customFormat="1" x14ac:dyDescent="0.25"/>
    <row r="199001" s="12" customFormat="1" x14ac:dyDescent="0.25"/>
    <row r="199002" s="12" customFormat="1" x14ac:dyDescent="0.25"/>
    <row r="199003" s="12" customFormat="1" x14ac:dyDescent="0.25"/>
    <row r="199004" s="12" customFormat="1" x14ac:dyDescent="0.25"/>
    <row r="199005" s="12" customFormat="1" x14ac:dyDescent="0.25"/>
    <row r="199006" s="12" customFormat="1" x14ac:dyDescent="0.25"/>
    <row r="199007" s="12" customFormat="1" x14ac:dyDescent="0.25"/>
    <row r="199008" s="12" customFormat="1" x14ac:dyDescent="0.25"/>
    <row r="199009" s="12" customFormat="1" x14ac:dyDescent="0.25"/>
    <row r="199010" s="12" customFormat="1" x14ac:dyDescent="0.25"/>
    <row r="199011" s="12" customFormat="1" x14ac:dyDescent="0.25"/>
    <row r="199012" s="12" customFormat="1" x14ac:dyDescent="0.25"/>
    <row r="199013" s="12" customFormat="1" x14ac:dyDescent="0.25"/>
    <row r="199014" s="12" customFormat="1" x14ac:dyDescent="0.25"/>
    <row r="199015" s="12" customFormat="1" x14ac:dyDescent="0.25"/>
    <row r="199016" s="12" customFormat="1" x14ac:dyDescent="0.25"/>
    <row r="199017" s="12" customFormat="1" x14ac:dyDescent="0.25"/>
    <row r="199018" s="12" customFormat="1" x14ac:dyDescent="0.25"/>
    <row r="199019" s="12" customFormat="1" x14ac:dyDescent="0.25"/>
    <row r="199020" s="12" customFormat="1" x14ac:dyDescent="0.25"/>
    <row r="199021" s="12" customFormat="1" x14ac:dyDescent="0.25"/>
    <row r="199022" s="12" customFormat="1" x14ac:dyDescent="0.25"/>
    <row r="199023" s="12" customFormat="1" x14ac:dyDescent="0.25"/>
    <row r="199024" s="12" customFormat="1" x14ac:dyDescent="0.25"/>
    <row r="199025" s="12" customFormat="1" x14ac:dyDescent="0.25"/>
    <row r="199026" s="12" customFormat="1" x14ac:dyDescent="0.25"/>
    <row r="199027" s="12" customFormat="1" x14ac:dyDescent="0.25"/>
    <row r="199028" s="12" customFormat="1" x14ac:dyDescent="0.25"/>
    <row r="199029" s="12" customFormat="1" x14ac:dyDescent="0.25"/>
    <row r="199030" s="12" customFormat="1" x14ac:dyDescent="0.25"/>
    <row r="199031" s="12" customFormat="1" x14ac:dyDescent="0.25"/>
    <row r="199032" s="12" customFormat="1" x14ac:dyDescent="0.25"/>
    <row r="199033" s="12" customFormat="1" x14ac:dyDescent="0.25"/>
    <row r="199034" s="12" customFormat="1" x14ac:dyDescent="0.25"/>
    <row r="199035" s="12" customFormat="1" x14ac:dyDescent="0.25"/>
    <row r="199036" s="12" customFormat="1" x14ac:dyDescent="0.25"/>
    <row r="199037" s="12" customFormat="1" x14ac:dyDescent="0.25"/>
    <row r="199038" s="12" customFormat="1" x14ac:dyDescent="0.25"/>
    <row r="199039" s="12" customFormat="1" x14ac:dyDescent="0.25"/>
    <row r="199040" s="12" customFormat="1" x14ac:dyDescent="0.25"/>
    <row r="199041" s="12" customFormat="1" x14ac:dyDescent="0.25"/>
    <row r="199042" s="12" customFormat="1" x14ac:dyDescent="0.25"/>
    <row r="199043" s="12" customFormat="1" x14ac:dyDescent="0.25"/>
    <row r="199044" s="12" customFormat="1" x14ac:dyDescent="0.25"/>
    <row r="199045" s="12" customFormat="1" x14ac:dyDescent="0.25"/>
    <row r="199046" s="12" customFormat="1" x14ac:dyDescent="0.25"/>
    <row r="199047" s="12" customFormat="1" x14ac:dyDescent="0.25"/>
    <row r="199048" s="12" customFormat="1" x14ac:dyDescent="0.25"/>
    <row r="199049" s="12" customFormat="1" x14ac:dyDescent="0.25"/>
    <row r="199050" s="12" customFormat="1" x14ac:dyDescent="0.25"/>
    <row r="199051" s="12" customFormat="1" x14ac:dyDescent="0.25"/>
    <row r="199052" s="12" customFormat="1" x14ac:dyDescent="0.25"/>
    <row r="199053" s="12" customFormat="1" x14ac:dyDescent="0.25"/>
    <row r="199054" s="12" customFormat="1" x14ac:dyDescent="0.25"/>
    <row r="199055" s="12" customFormat="1" x14ac:dyDescent="0.25"/>
    <row r="199056" s="12" customFormat="1" x14ac:dyDescent="0.25"/>
    <row r="199057" s="12" customFormat="1" x14ac:dyDescent="0.25"/>
    <row r="199058" s="12" customFormat="1" x14ac:dyDescent="0.25"/>
    <row r="199059" s="12" customFormat="1" x14ac:dyDescent="0.25"/>
    <row r="199060" s="12" customFormat="1" x14ac:dyDescent="0.25"/>
    <row r="199061" s="12" customFormat="1" x14ac:dyDescent="0.25"/>
    <row r="199062" s="12" customFormat="1" x14ac:dyDescent="0.25"/>
    <row r="199063" s="12" customFormat="1" x14ac:dyDescent="0.25"/>
    <row r="199064" s="12" customFormat="1" x14ac:dyDescent="0.25"/>
    <row r="199065" s="12" customFormat="1" x14ac:dyDescent="0.25"/>
    <row r="199066" s="12" customFormat="1" x14ac:dyDescent="0.25"/>
    <row r="199067" s="12" customFormat="1" x14ac:dyDescent="0.25"/>
    <row r="199068" s="12" customFormat="1" x14ac:dyDescent="0.25"/>
    <row r="199069" s="12" customFormat="1" x14ac:dyDescent="0.25"/>
    <row r="199070" s="12" customFormat="1" x14ac:dyDescent="0.25"/>
    <row r="199071" s="12" customFormat="1" x14ac:dyDescent="0.25"/>
    <row r="199072" s="12" customFormat="1" x14ac:dyDescent="0.25"/>
    <row r="199073" s="12" customFormat="1" x14ac:dyDescent="0.25"/>
    <row r="199074" s="12" customFormat="1" x14ac:dyDescent="0.25"/>
    <row r="199075" s="12" customFormat="1" x14ac:dyDescent="0.25"/>
    <row r="199076" s="12" customFormat="1" x14ac:dyDescent="0.25"/>
    <row r="199077" s="12" customFormat="1" x14ac:dyDescent="0.25"/>
    <row r="199078" s="12" customFormat="1" x14ac:dyDescent="0.25"/>
    <row r="199079" s="12" customFormat="1" x14ac:dyDescent="0.25"/>
    <row r="199080" s="12" customFormat="1" x14ac:dyDescent="0.25"/>
    <row r="199081" s="12" customFormat="1" x14ac:dyDescent="0.25"/>
    <row r="199082" s="12" customFormat="1" x14ac:dyDescent="0.25"/>
    <row r="199083" s="12" customFormat="1" x14ac:dyDescent="0.25"/>
    <row r="199084" s="12" customFormat="1" x14ac:dyDescent="0.25"/>
    <row r="199085" s="12" customFormat="1" x14ac:dyDescent="0.25"/>
    <row r="199086" s="12" customFormat="1" x14ac:dyDescent="0.25"/>
    <row r="199087" s="12" customFormat="1" x14ac:dyDescent="0.25"/>
    <row r="199088" s="12" customFormat="1" x14ac:dyDescent="0.25"/>
    <row r="199089" s="12" customFormat="1" x14ac:dyDescent="0.25"/>
    <row r="199090" s="12" customFormat="1" x14ac:dyDescent="0.25"/>
    <row r="199091" s="12" customFormat="1" x14ac:dyDescent="0.25"/>
    <row r="199092" s="12" customFormat="1" x14ac:dyDescent="0.25"/>
    <row r="199093" s="12" customFormat="1" x14ac:dyDescent="0.25"/>
    <row r="199094" s="12" customFormat="1" x14ac:dyDescent="0.25"/>
    <row r="199095" s="12" customFormat="1" x14ac:dyDescent="0.25"/>
    <row r="199096" s="12" customFormat="1" x14ac:dyDescent="0.25"/>
    <row r="199097" s="12" customFormat="1" x14ac:dyDescent="0.25"/>
    <row r="199098" s="12" customFormat="1" x14ac:dyDescent="0.25"/>
    <row r="199099" s="12" customFormat="1" x14ac:dyDescent="0.25"/>
    <row r="199100" s="12" customFormat="1" x14ac:dyDescent="0.25"/>
    <row r="199101" s="12" customFormat="1" x14ac:dyDescent="0.25"/>
    <row r="199102" s="12" customFormat="1" x14ac:dyDescent="0.25"/>
    <row r="199103" s="12" customFormat="1" x14ac:dyDescent="0.25"/>
    <row r="199104" s="12" customFormat="1" x14ac:dyDescent="0.25"/>
    <row r="199105" s="12" customFormat="1" x14ac:dyDescent="0.25"/>
    <row r="199106" s="12" customFormat="1" x14ac:dyDescent="0.25"/>
    <row r="199107" s="12" customFormat="1" x14ac:dyDescent="0.25"/>
    <row r="199108" s="12" customFormat="1" x14ac:dyDescent="0.25"/>
    <row r="199109" s="12" customFormat="1" x14ac:dyDescent="0.25"/>
    <row r="199110" s="12" customFormat="1" x14ac:dyDescent="0.25"/>
    <row r="199111" s="12" customFormat="1" x14ac:dyDescent="0.25"/>
    <row r="199112" s="12" customFormat="1" x14ac:dyDescent="0.25"/>
    <row r="199113" s="12" customFormat="1" x14ac:dyDescent="0.25"/>
    <row r="199114" s="12" customFormat="1" x14ac:dyDescent="0.25"/>
    <row r="199115" s="12" customFormat="1" x14ac:dyDescent="0.25"/>
    <row r="199116" s="12" customFormat="1" x14ac:dyDescent="0.25"/>
    <row r="199117" s="12" customFormat="1" x14ac:dyDescent="0.25"/>
    <row r="199118" s="12" customFormat="1" x14ac:dyDescent="0.25"/>
    <row r="199119" s="12" customFormat="1" x14ac:dyDescent="0.25"/>
    <row r="199120" s="12" customFormat="1" x14ac:dyDescent="0.25"/>
    <row r="199121" s="12" customFormat="1" x14ac:dyDescent="0.25"/>
    <row r="199122" s="12" customFormat="1" x14ac:dyDescent="0.25"/>
    <row r="199123" s="12" customFormat="1" x14ac:dyDescent="0.25"/>
    <row r="199124" s="12" customFormat="1" x14ac:dyDescent="0.25"/>
    <row r="199125" s="12" customFormat="1" x14ac:dyDescent="0.25"/>
    <row r="199126" s="12" customFormat="1" x14ac:dyDescent="0.25"/>
    <row r="199127" s="12" customFormat="1" x14ac:dyDescent="0.25"/>
    <row r="199128" s="12" customFormat="1" x14ac:dyDescent="0.25"/>
    <row r="199129" s="12" customFormat="1" x14ac:dyDescent="0.25"/>
    <row r="199130" s="12" customFormat="1" x14ac:dyDescent="0.25"/>
    <row r="199131" s="12" customFormat="1" x14ac:dyDescent="0.25"/>
    <row r="199132" s="12" customFormat="1" x14ac:dyDescent="0.25"/>
    <row r="199133" s="12" customFormat="1" x14ac:dyDescent="0.25"/>
    <row r="199134" s="12" customFormat="1" x14ac:dyDescent="0.25"/>
    <row r="199135" s="12" customFormat="1" x14ac:dyDescent="0.25"/>
    <row r="199136" s="12" customFormat="1" x14ac:dyDescent="0.25"/>
    <row r="199137" s="12" customFormat="1" x14ac:dyDescent="0.25"/>
    <row r="199138" s="12" customFormat="1" x14ac:dyDescent="0.25"/>
    <row r="199139" s="12" customFormat="1" x14ac:dyDescent="0.25"/>
    <row r="199140" s="12" customFormat="1" x14ac:dyDescent="0.25"/>
    <row r="199141" s="12" customFormat="1" x14ac:dyDescent="0.25"/>
    <row r="199142" s="12" customFormat="1" x14ac:dyDescent="0.25"/>
    <row r="199143" s="12" customFormat="1" x14ac:dyDescent="0.25"/>
    <row r="199144" s="12" customFormat="1" x14ac:dyDescent="0.25"/>
    <row r="199145" s="12" customFormat="1" x14ac:dyDescent="0.25"/>
    <row r="199146" s="12" customFormat="1" x14ac:dyDescent="0.25"/>
    <row r="199147" s="12" customFormat="1" x14ac:dyDescent="0.25"/>
    <row r="199148" s="12" customFormat="1" x14ac:dyDescent="0.25"/>
    <row r="199149" s="12" customFormat="1" x14ac:dyDescent="0.25"/>
    <row r="199150" s="12" customFormat="1" x14ac:dyDescent="0.25"/>
    <row r="199151" s="12" customFormat="1" x14ac:dyDescent="0.25"/>
    <row r="199152" s="12" customFormat="1" x14ac:dyDescent="0.25"/>
    <row r="199153" s="12" customFormat="1" x14ac:dyDescent="0.25"/>
    <row r="199154" s="12" customFormat="1" x14ac:dyDescent="0.25"/>
    <row r="199155" s="12" customFormat="1" x14ac:dyDescent="0.25"/>
    <row r="199156" s="12" customFormat="1" x14ac:dyDescent="0.25"/>
    <row r="199157" s="12" customFormat="1" x14ac:dyDescent="0.25"/>
    <row r="199158" s="12" customFormat="1" x14ac:dyDescent="0.25"/>
    <row r="199159" s="12" customFormat="1" x14ac:dyDescent="0.25"/>
    <row r="199160" s="12" customFormat="1" x14ac:dyDescent="0.25"/>
    <row r="199161" s="12" customFormat="1" x14ac:dyDescent="0.25"/>
    <row r="199162" s="12" customFormat="1" x14ac:dyDescent="0.25"/>
    <row r="199163" s="12" customFormat="1" x14ac:dyDescent="0.25"/>
    <row r="199164" s="12" customFormat="1" x14ac:dyDescent="0.25"/>
    <row r="199165" s="12" customFormat="1" x14ac:dyDescent="0.25"/>
    <row r="199166" s="12" customFormat="1" x14ac:dyDescent="0.25"/>
    <row r="199167" s="12" customFormat="1" x14ac:dyDescent="0.25"/>
    <row r="199168" s="12" customFormat="1" x14ac:dyDescent="0.25"/>
    <row r="199169" s="12" customFormat="1" x14ac:dyDescent="0.25"/>
    <row r="199170" s="12" customFormat="1" x14ac:dyDescent="0.25"/>
    <row r="199171" s="12" customFormat="1" x14ac:dyDescent="0.25"/>
    <row r="199172" s="12" customFormat="1" x14ac:dyDescent="0.25"/>
    <row r="199173" s="12" customFormat="1" x14ac:dyDescent="0.25"/>
    <row r="199174" s="12" customFormat="1" x14ac:dyDescent="0.25"/>
    <row r="199175" s="12" customFormat="1" x14ac:dyDescent="0.25"/>
    <row r="199176" s="12" customFormat="1" x14ac:dyDescent="0.25"/>
    <row r="199177" s="12" customFormat="1" x14ac:dyDescent="0.25"/>
    <row r="199178" s="12" customFormat="1" x14ac:dyDescent="0.25"/>
    <row r="199179" s="12" customFormat="1" x14ac:dyDescent="0.25"/>
    <row r="199180" s="12" customFormat="1" x14ac:dyDescent="0.25"/>
    <row r="199181" s="12" customFormat="1" x14ac:dyDescent="0.25"/>
    <row r="199182" s="12" customFormat="1" x14ac:dyDescent="0.25"/>
    <row r="199183" s="12" customFormat="1" x14ac:dyDescent="0.25"/>
    <row r="199184" s="12" customFormat="1" x14ac:dyDescent="0.25"/>
    <row r="199185" s="12" customFormat="1" x14ac:dyDescent="0.25"/>
    <row r="199186" s="12" customFormat="1" x14ac:dyDescent="0.25"/>
    <row r="199187" s="12" customFormat="1" x14ac:dyDescent="0.25"/>
    <row r="199188" s="12" customFormat="1" x14ac:dyDescent="0.25"/>
    <row r="199189" s="12" customFormat="1" x14ac:dyDescent="0.25"/>
    <row r="199190" s="12" customFormat="1" x14ac:dyDescent="0.25"/>
    <row r="199191" s="12" customFormat="1" x14ac:dyDescent="0.25"/>
    <row r="199192" s="12" customFormat="1" x14ac:dyDescent="0.25"/>
    <row r="199193" s="12" customFormat="1" x14ac:dyDescent="0.25"/>
    <row r="199194" s="12" customFormat="1" x14ac:dyDescent="0.25"/>
    <row r="199195" s="12" customFormat="1" x14ac:dyDescent="0.25"/>
    <row r="199196" s="12" customFormat="1" x14ac:dyDescent="0.25"/>
    <row r="199197" s="12" customFormat="1" x14ac:dyDescent="0.25"/>
    <row r="199198" s="12" customFormat="1" x14ac:dyDescent="0.25"/>
    <row r="199199" s="12" customFormat="1" x14ac:dyDescent="0.25"/>
    <row r="199200" s="12" customFormat="1" x14ac:dyDescent="0.25"/>
    <row r="199201" s="12" customFormat="1" x14ac:dyDescent="0.25"/>
    <row r="199202" s="12" customFormat="1" x14ac:dyDescent="0.25"/>
    <row r="199203" s="12" customFormat="1" x14ac:dyDescent="0.25"/>
    <row r="199204" s="12" customFormat="1" x14ac:dyDescent="0.25"/>
    <row r="199205" s="12" customFormat="1" x14ac:dyDescent="0.25"/>
    <row r="199206" s="12" customFormat="1" x14ac:dyDescent="0.25"/>
    <row r="199207" s="12" customFormat="1" x14ac:dyDescent="0.25"/>
    <row r="199208" s="12" customFormat="1" x14ac:dyDescent="0.25"/>
    <row r="199209" s="12" customFormat="1" x14ac:dyDescent="0.25"/>
    <row r="199210" s="12" customFormat="1" x14ac:dyDescent="0.25"/>
    <row r="199211" s="12" customFormat="1" x14ac:dyDescent="0.25"/>
    <row r="199212" s="12" customFormat="1" x14ac:dyDescent="0.25"/>
    <row r="199213" s="12" customFormat="1" x14ac:dyDescent="0.25"/>
    <row r="199214" s="12" customFormat="1" x14ac:dyDescent="0.25"/>
    <row r="199215" s="12" customFormat="1" x14ac:dyDescent="0.25"/>
    <row r="199216" s="12" customFormat="1" x14ac:dyDescent="0.25"/>
    <row r="199217" s="12" customFormat="1" x14ac:dyDescent="0.25"/>
    <row r="199218" s="12" customFormat="1" x14ac:dyDescent="0.25"/>
    <row r="199219" s="12" customFormat="1" x14ac:dyDescent="0.25"/>
    <row r="199220" s="12" customFormat="1" x14ac:dyDescent="0.25"/>
    <row r="199221" s="12" customFormat="1" x14ac:dyDescent="0.25"/>
    <row r="199222" s="12" customFormat="1" x14ac:dyDescent="0.25"/>
    <row r="199223" s="12" customFormat="1" x14ac:dyDescent="0.25"/>
    <row r="199224" s="12" customFormat="1" x14ac:dyDescent="0.25"/>
    <row r="199225" s="12" customFormat="1" x14ac:dyDescent="0.25"/>
    <row r="199226" s="12" customFormat="1" x14ac:dyDescent="0.25"/>
    <row r="199227" s="12" customFormat="1" x14ac:dyDescent="0.25"/>
    <row r="199228" s="12" customFormat="1" x14ac:dyDescent="0.25"/>
    <row r="199229" s="12" customFormat="1" x14ac:dyDescent="0.25"/>
    <row r="199230" s="12" customFormat="1" x14ac:dyDescent="0.25"/>
    <row r="199231" s="12" customFormat="1" x14ac:dyDescent="0.25"/>
    <row r="199232" s="12" customFormat="1" x14ac:dyDescent="0.25"/>
    <row r="199233" s="12" customFormat="1" x14ac:dyDescent="0.25"/>
    <row r="199234" s="12" customFormat="1" x14ac:dyDescent="0.25"/>
    <row r="199235" s="12" customFormat="1" x14ac:dyDescent="0.25"/>
    <row r="199236" s="12" customFormat="1" x14ac:dyDescent="0.25"/>
    <row r="199237" s="12" customFormat="1" x14ac:dyDescent="0.25"/>
    <row r="199238" s="12" customFormat="1" x14ac:dyDescent="0.25"/>
    <row r="199239" s="12" customFormat="1" x14ac:dyDescent="0.25"/>
    <row r="199240" s="12" customFormat="1" x14ac:dyDescent="0.25"/>
    <row r="199241" s="12" customFormat="1" x14ac:dyDescent="0.25"/>
    <row r="199242" s="12" customFormat="1" x14ac:dyDescent="0.25"/>
    <row r="199243" s="12" customFormat="1" x14ac:dyDescent="0.25"/>
    <row r="199244" s="12" customFormat="1" x14ac:dyDescent="0.25"/>
    <row r="199245" s="12" customFormat="1" x14ac:dyDescent="0.25"/>
    <row r="199246" s="12" customFormat="1" x14ac:dyDescent="0.25"/>
    <row r="199247" s="12" customFormat="1" x14ac:dyDescent="0.25"/>
    <row r="199248" s="12" customFormat="1" x14ac:dyDescent="0.25"/>
    <row r="199249" s="12" customFormat="1" x14ac:dyDescent="0.25"/>
    <row r="199250" s="12" customFormat="1" x14ac:dyDescent="0.25"/>
    <row r="199251" s="12" customFormat="1" x14ac:dyDescent="0.25"/>
    <row r="199252" s="12" customFormat="1" x14ac:dyDescent="0.25"/>
    <row r="199253" s="12" customFormat="1" x14ac:dyDescent="0.25"/>
    <row r="199254" s="12" customFormat="1" x14ac:dyDescent="0.25"/>
    <row r="199255" s="12" customFormat="1" x14ac:dyDescent="0.25"/>
    <row r="199256" s="12" customFormat="1" x14ac:dyDescent="0.25"/>
    <row r="199257" s="12" customFormat="1" x14ac:dyDescent="0.25"/>
    <row r="199258" s="12" customFormat="1" x14ac:dyDescent="0.25"/>
    <row r="199259" s="12" customFormat="1" x14ac:dyDescent="0.25"/>
    <row r="199260" s="12" customFormat="1" x14ac:dyDescent="0.25"/>
    <row r="199261" s="12" customFormat="1" x14ac:dyDescent="0.25"/>
    <row r="199262" s="12" customFormat="1" x14ac:dyDescent="0.25"/>
    <row r="199263" s="12" customFormat="1" x14ac:dyDescent="0.25"/>
    <row r="199264" s="12" customFormat="1" x14ac:dyDescent="0.25"/>
    <row r="199265" s="12" customFormat="1" x14ac:dyDescent="0.25"/>
    <row r="199266" s="12" customFormat="1" x14ac:dyDescent="0.25"/>
    <row r="199267" s="12" customFormat="1" x14ac:dyDescent="0.25"/>
    <row r="199268" s="12" customFormat="1" x14ac:dyDescent="0.25"/>
    <row r="199269" s="12" customFormat="1" x14ac:dyDescent="0.25"/>
    <row r="199270" s="12" customFormat="1" x14ac:dyDescent="0.25"/>
    <row r="199271" s="12" customFormat="1" x14ac:dyDescent="0.25"/>
    <row r="199272" s="12" customFormat="1" x14ac:dyDescent="0.25"/>
    <row r="199273" s="12" customFormat="1" x14ac:dyDescent="0.25"/>
    <row r="199274" s="12" customFormat="1" x14ac:dyDescent="0.25"/>
    <row r="199275" s="12" customFormat="1" x14ac:dyDescent="0.25"/>
    <row r="199276" s="12" customFormat="1" x14ac:dyDescent="0.25"/>
    <row r="199277" s="12" customFormat="1" x14ac:dyDescent="0.25"/>
    <row r="199278" s="12" customFormat="1" x14ac:dyDescent="0.25"/>
    <row r="199279" s="12" customFormat="1" x14ac:dyDescent="0.25"/>
    <row r="199280" s="12" customFormat="1" x14ac:dyDescent="0.25"/>
    <row r="199281" s="12" customFormat="1" x14ac:dyDescent="0.25"/>
    <row r="199282" s="12" customFormat="1" x14ac:dyDescent="0.25"/>
    <row r="199283" s="12" customFormat="1" x14ac:dyDescent="0.25"/>
    <row r="199284" s="12" customFormat="1" x14ac:dyDescent="0.25"/>
    <row r="199285" s="12" customFormat="1" x14ac:dyDescent="0.25"/>
    <row r="199286" s="12" customFormat="1" x14ac:dyDescent="0.25"/>
    <row r="199287" s="12" customFormat="1" x14ac:dyDescent="0.25"/>
    <row r="199288" s="12" customFormat="1" x14ac:dyDescent="0.25"/>
    <row r="199289" s="12" customFormat="1" x14ac:dyDescent="0.25"/>
    <row r="199290" s="12" customFormat="1" x14ac:dyDescent="0.25"/>
    <row r="199291" s="12" customFormat="1" x14ac:dyDescent="0.25"/>
    <row r="199292" s="12" customFormat="1" x14ac:dyDescent="0.25"/>
    <row r="199293" s="12" customFormat="1" x14ac:dyDescent="0.25"/>
    <row r="199294" s="12" customFormat="1" x14ac:dyDescent="0.25"/>
    <row r="199295" s="12" customFormat="1" x14ac:dyDescent="0.25"/>
    <row r="199296" s="12" customFormat="1" x14ac:dyDescent="0.25"/>
    <row r="199297" s="12" customFormat="1" x14ac:dyDescent="0.25"/>
    <row r="199298" s="12" customFormat="1" x14ac:dyDescent="0.25"/>
    <row r="199299" s="12" customFormat="1" x14ac:dyDescent="0.25"/>
    <row r="199300" s="12" customFormat="1" x14ac:dyDescent="0.25"/>
    <row r="199301" s="12" customFormat="1" x14ac:dyDescent="0.25"/>
    <row r="199302" s="12" customFormat="1" x14ac:dyDescent="0.25"/>
    <row r="199303" s="12" customFormat="1" x14ac:dyDescent="0.25"/>
    <row r="199304" s="12" customFormat="1" x14ac:dyDescent="0.25"/>
    <row r="199305" s="12" customFormat="1" x14ac:dyDescent="0.25"/>
    <row r="199306" s="12" customFormat="1" x14ac:dyDescent="0.25"/>
    <row r="199307" s="12" customFormat="1" x14ac:dyDescent="0.25"/>
    <row r="199308" s="12" customFormat="1" x14ac:dyDescent="0.25"/>
    <row r="199309" s="12" customFormat="1" x14ac:dyDescent="0.25"/>
    <row r="199310" s="12" customFormat="1" x14ac:dyDescent="0.25"/>
    <row r="199311" s="12" customFormat="1" x14ac:dyDescent="0.25"/>
    <row r="199312" s="12" customFormat="1" x14ac:dyDescent="0.25"/>
    <row r="199313" s="12" customFormat="1" x14ac:dyDescent="0.25"/>
    <row r="199314" s="12" customFormat="1" x14ac:dyDescent="0.25"/>
    <row r="199315" s="12" customFormat="1" x14ac:dyDescent="0.25"/>
    <row r="199316" s="12" customFormat="1" x14ac:dyDescent="0.25"/>
    <row r="199317" s="12" customFormat="1" x14ac:dyDescent="0.25"/>
    <row r="199318" s="12" customFormat="1" x14ac:dyDescent="0.25"/>
    <row r="199319" s="12" customFormat="1" x14ac:dyDescent="0.25"/>
    <row r="199320" s="12" customFormat="1" x14ac:dyDescent="0.25"/>
    <row r="199321" s="12" customFormat="1" x14ac:dyDescent="0.25"/>
    <row r="199322" s="12" customFormat="1" x14ac:dyDescent="0.25"/>
    <row r="199323" s="12" customFormat="1" x14ac:dyDescent="0.25"/>
    <row r="199324" s="12" customFormat="1" x14ac:dyDescent="0.25"/>
    <row r="199325" s="12" customFormat="1" x14ac:dyDescent="0.25"/>
    <row r="199326" s="12" customFormat="1" x14ac:dyDescent="0.25"/>
    <row r="199327" s="12" customFormat="1" x14ac:dyDescent="0.25"/>
    <row r="199328" s="12" customFormat="1" x14ac:dyDescent="0.25"/>
    <row r="199329" s="12" customFormat="1" x14ac:dyDescent="0.25"/>
    <row r="199330" s="12" customFormat="1" x14ac:dyDescent="0.25"/>
    <row r="199331" s="12" customFormat="1" x14ac:dyDescent="0.25"/>
    <row r="199332" s="12" customFormat="1" x14ac:dyDescent="0.25"/>
    <row r="199333" s="12" customFormat="1" x14ac:dyDescent="0.25"/>
    <row r="199334" s="12" customFormat="1" x14ac:dyDescent="0.25"/>
    <row r="199335" s="12" customFormat="1" x14ac:dyDescent="0.25"/>
    <row r="199336" s="12" customFormat="1" x14ac:dyDescent="0.25"/>
    <row r="199337" s="12" customFormat="1" x14ac:dyDescent="0.25"/>
    <row r="199338" s="12" customFormat="1" x14ac:dyDescent="0.25"/>
    <row r="199339" s="12" customFormat="1" x14ac:dyDescent="0.25"/>
    <row r="199340" s="12" customFormat="1" x14ac:dyDescent="0.25"/>
    <row r="199341" s="12" customFormat="1" x14ac:dyDescent="0.25"/>
    <row r="199342" s="12" customFormat="1" x14ac:dyDescent="0.25"/>
    <row r="199343" s="12" customFormat="1" x14ac:dyDescent="0.25"/>
    <row r="199344" s="12" customFormat="1" x14ac:dyDescent="0.25"/>
    <row r="199345" s="12" customFormat="1" x14ac:dyDescent="0.25"/>
    <row r="199346" s="12" customFormat="1" x14ac:dyDescent="0.25"/>
    <row r="199347" s="12" customFormat="1" x14ac:dyDescent="0.25"/>
    <row r="199348" s="12" customFormat="1" x14ac:dyDescent="0.25"/>
    <row r="199349" s="12" customFormat="1" x14ac:dyDescent="0.25"/>
    <row r="199350" s="12" customFormat="1" x14ac:dyDescent="0.25"/>
    <row r="199351" s="12" customFormat="1" x14ac:dyDescent="0.25"/>
    <row r="199352" s="12" customFormat="1" x14ac:dyDescent="0.25"/>
    <row r="199353" s="12" customFormat="1" x14ac:dyDescent="0.25"/>
    <row r="199354" s="12" customFormat="1" x14ac:dyDescent="0.25"/>
    <row r="199355" s="12" customFormat="1" x14ac:dyDescent="0.25"/>
    <row r="199356" s="12" customFormat="1" x14ac:dyDescent="0.25"/>
    <row r="199357" s="12" customFormat="1" x14ac:dyDescent="0.25"/>
    <row r="199358" s="12" customFormat="1" x14ac:dyDescent="0.25"/>
    <row r="199359" s="12" customFormat="1" x14ac:dyDescent="0.25"/>
    <row r="199360" s="12" customFormat="1" x14ac:dyDescent="0.25"/>
    <row r="199361" s="12" customFormat="1" x14ac:dyDescent="0.25"/>
    <row r="199362" s="12" customFormat="1" x14ac:dyDescent="0.25"/>
    <row r="199363" s="12" customFormat="1" x14ac:dyDescent="0.25"/>
    <row r="199364" s="12" customFormat="1" x14ac:dyDescent="0.25"/>
    <row r="199365" s="12" customFormat="1" x14ac:dyDescent="0.25"/>
    <row r="199366" s="12" customFormat="1" x14ac:dyDescent="0.25"/>
    <row r="199367" s="12" customFormat="1" x14ac:dyDescent="0.25"/>
    <row r="199368" s="12" customFormat="1" x14ac:dyDescent="0.25"/>
    <row r="199369" s="12" customFormat="1" x14ac:dyDescent="0.25"/>
    <row r="199370" s="12" customFormat="1" x14ac:dyDescent="0.25"/>
    <row r="199371" s="12" customFormat="1" x14ac:dyDescent="0.25"/>
    <row r="199372" s="12" customFormat="1" x14ac:dyDescent="0.25"/>
    <row r="199373" s="12" customFormat="1" x14ac:dyDescent="0.25"/>
    <row r="199374" s="12" customFormat="1" x14ac:dyDescent="0.25"/>
    <row r="199375" s="12" customFormat="1" x14ac:dyDescent="0.25"/>
    <row r="199376" s="12" customFormat="1" x14ac:dyDescent="0.25"/>
    <row r="199377" s="12" customFormat="1" x14ac:dyDescent="0.25"/>
    <row r="199378" s="12" customFormat="1" x14ac:dyDescent="0.25"/>
    <row r="199379" s="12" customFormat="1" x14ac:dyDescent="0.25"/>
    <row r="199380" s="12" customFormat="1" x14ac:dyDescent="0.25"/>
    <row r="199381" s="12" customFormat="1" x14ac:dyDescent="0.25"/>
    <row r="199382" s="12" customFormat="1" x14ac:dyDescent="0.25"/>
    <row r="199383" s="12" customFormat="1" x14ac:dyDescent="0.25"/>
    <row r="199384" s="12" customFormat="1" x14ac:dyDescent="0.25"/>
    <row r="199385" s="12" customFormat="1" x14ac:dyDescent="0.25"/>
    <row r="199386" s="12" customFormat="1" x14ac:dyDescent="0.25"/>
    <row r="199387" s="12" customFormat="1" x14ac:dyDescent="0.25"/>
    <row r="199388" s="12" customFormat="1" x14ac:dyDescent="0.25"/>
    <row r="199389" s="12" customFormat="1" x14ac:dyDescent="0.25"/>
    <row r="199390" s="12" customFormat="1" x14ac:dyDescent="0.25"/>
    <row r="199391" s="12" customFormat="1" x14ac:dyDescent="0.25"/>
    <row r="199392" s="12" customFormat="1" x14ac:dyDescent="0.25"/>
    <row r="199393" s="12" customFormat="1" x14ac:dyDescent="0.25"/>
    <row r="199394" s="12" customFormat="1" x14ac:dyDescent="0.25"/>
    <row r="199395" s="12" customFormat="1" x14ac:dyDescent="0.25"/>
    <row r="199396" s="12" customFormat="1" x14ac:dyDescent="0.25"/>
    <row r="199397" s="12" customFormat="1" x14ac:dyDescent="0.25"/>
    <row r="199398" s="12" customFormat="1" x14ac:dyDescent="0.25"/>
    <row r="199399" s="12" customFormat="1" x14ac:dyDescent="0.25"/>
    <row r="199400" s="12" customFormat="1" x14ac:dyDescent="0.25"/>
    <row r="199401" s="12" customFormat="1" x14ac:dyDescent="0.25"/>
    <row r="199402" s="12" customFormat="1" x14ac:dyDescent="0.25"/>
    <row r="199403" s="12" customFormat="1" x14ac:dyDescent="0.25"/>
    <row r="199404" s="12" customFormat="1" x14ac:dyDescent="0.25"/>
    <row r="199405" s="12" customFormat="1" x14ac:dyDescent="0.25"/>
    <row r="199406" s="12" customFormat="1" x14ac:dyDescent="0.25"/>
    <row r="199407" s="12" customFormat="1" x14ac:dyDescent="0.25"/>
    <row r="199408" s="12" customFormat="1" x14ac:dyDescent="0.25"/>
    <row r="199409" s="12" customFormat="1" x14ac:dyDescent="0.25"/>
    <row r="199410" s="12" customFormat="1" x14ac:dyDescent="0.25"/>
    <row r="199411" s="12" customFormat="1" x14ac:dyDescent="0.25"/>
    <row r="199412" s="12" customFormat="1" x14ac:dyDescent="0.25"/>
    <row r="199413" s="12" customFormat="1" x14ac:dyDescent="0.25"/>
    <row r="199414" s="12" customFormat="1" x14ac:dyDescent="0.25"/>
    <row r="199415" s="12" customFormat="1" x14ac:dyDescent="0.25"/>
    <row r="199416" s="12" customFormat="1" x14ac:dyDescent="0.25"/>
    <row r="199417" s="12" customFormat="1" x14ac:dyDescent="0.25"/>
    <row r="199418" s="12" customFormat="1" x14ac:dyDescent="0.25"/>
    <row r="199419" s="12" customFormat="1" x14ac:dyDescent="0.25"/>
    <row r="199420" s="12" customFormat="1" x14ac:dyDescent="0.25"/>
    <row r="199421" s="12" customFormat="1" x14ac:dyDescent="0.25"/>
    <row r="199422" s="12" customFormat="1" x14ac:dyDescent="0.25"/>
    <row r="199423" s="12" customFormat="1" x14ac:dyDescent="0.25"/>
    <row r="199424" s="12" customFormat="1" x14ac:dyDescent="0.25"/>
    <row r="199425" s="12" customFormat="1" x14ac:dyDescent="0.25"/>
    <row r="199426" s="12" customFormat="1" x14ac:dyDescent="0.25"/>
    <row r="199427" s="12" customFormat="1" x14ac:dyDescent="0.25"/>
    <row r="199428" s="12" customFormat="1" x14ac:dyDescent="0.25"/>
    <row r="199429" s="12" customFormat="1" x14ac:dyDescent="0.25"/>
    <row r="199430" s="12" customFormat="1" x14ac:dyDescent="0.25"/>
    <row r="199431" s="12" customFormat="1" x14ac:dyDescent="0.25"/>
    <row r="199432" s="12" customFormat="1" x14ac:dyDescent="0.25"/>
    <row r="199433" s="12" customFormat="1" x14ac:dyDescent="0.25"/>
    <row r="199434" s="12" customFormat="1" x14ac:dyDescent="0.25"/>
    <row r="199435" s="12" customFormat="1" x14ac:dyDescent="0.25"/>
    <row r="199436" s="12" customFormat="1" x14ac:dyDescent="0.25"/>
    <row r="199437" s="12" customFormat="1" x14ac:dyDescent="0.25"/>
    <row r="199438" s="12" customFormat="1" x14ac:dyDescent="0.25"/>
    <row r="199439" s="12" customFormat="1" x14ac:dyDescent="0.25"/>
    <row r="199440" s="12" customFormat="1" x14ac:dyDescent="0.25"/>
    <row r="199441" s="12" customFormat="1" x14ac:dyDescent="0.25"/>
    <row r="199442" s="12" customFormat="1" x14ac:dyDescent="0.25"/>
    <row r="199443" s="12" customFormat="1" x14ac:dyDescent="0.25"/>
    <row r="199444" s="12" customFormat="1" x14ac:dyDescent="0.25"/>
    <row r="199445" s="12" customFormat="1" x14ac:dyDescent="0.25"/>
    <row r="199446" s="12" customFormat="1" x14ac:dyDescent="0.25"/>
    <row r="199447" s="12" customFormat="1" x14ac:dyDescent="0.25"/>
    <row r="199448" s="12" customFormat="1" x14ac:dyDescent="0.25"/>
    <row r="199449" s="12" customFormat="1" x14ac:dyDescent="0.25"/>
    <row r="199450" s="12" customFormat="1" x14ac:dyDescent="0.25"/>
    <row r="199451" s="12" customFormat="1" x14ac:dyDescent="0.25"/>
    <row r="199452" s="12" customFormat="1" x14ac:dyDescent="0.25"/>
    <row r="199453" s="12" customFormat="1" x14ac:dyDescent="0.25"/>
    <row r="199454" s="12" customFormat="1" x14ac:dyDescent="0.25"/>
    <row r="199455" s="12" customFormat="1" x14ac:dyDescent="0.25"/>
    <row r="199456" s="12" customFormat="1" x14ac:dyDescent="0.25"/>
    <row r="199457" s="12" customFormat="1" x14ac:dyDescent="0.25"/>
    <row r="199458" s="12" customFormat="1" x14ac:dyDescent="0.25"/>
    <row r="199459" s="12" customFormat="1" x14ac:dyDescent="0.25"/>
    <row r="199460" s="12" customFormat="1" x14ac:dyDescent="0.25"/>
    <row r="199461" s="12" customFormat="1" x14ac:dyDescent="0.25"/>
    <row r="199462" s="12" customFormat="1" x14ac:dyDescent="0.25"/>
    <row r="199463" s="12" customFormat="1" x14ac:dyDescent="0.25"/>
    <row r="199464" s="12" customFormat="1" x14ac:dyDescent="0.25"/>
    <row r="199465" s="12" customFormat="1" x14ac:dyDescent="0.25"/>
    <row r="199466" s="12" customFormat="1" x14ac:dyDescent="0.25"/>
    <row r="199467" s="12" customFormat="1" x14ac:dyDescent="0.25"/>
    <row r="199468" s="12" customFormat="1" x14ac:dyDescent="0.25"/>
    <row r="199469" s="12" customFormat="1" x14ac:dyDescent="0.25"/>
    <row r="199470" s="12" customFormat="1" x14ac:dyDescent="0.25"/>
    <row r="199471" s="12" customFormat="1" x14ac:dyDescent="0.25"/>
    <row r="199472" s="12" customFormat="1" x14ac:dyDescent="0.25"/>
    <row r="199473" s="12" customFormat="1" x14ac:dyDescent="0.25"/>
    <row r="199474" s="12" customFormat="1" x14ac:dyDescent="0.25"/>
    <row r="199475" s="12" customFormat="1" x14ac:dyDescent="0.25"/>
    <row r="199476" s="12" customFormat="1" x14ac:dyDescent="0.25"/>
    <row r="199477" s="12" customFormat="1" x14ac:dyDescent="0.25"/>
    <row r="199478" s="12" customFormat="1" x14ac:dyDescent="0.25"/>
    <row r="199479" s="12" customFormat="1" x14ac:dyDescent="0.25"/>
    <row r="199480" s="12" customFormat="1" x14ac:dyDescent="0.25"/>
    <row r="199481" s="12" customFormat="1" x14ac:dyDescent="0.25"/>
    <row r="199482" s="12" customFormat="1" x14ac:dyDescent="0.25"/>
    <row r="199483" s="12" customFormat="1" x14ac:dyDescent="0.25"/>
    <row r="199484" s="12" customFormat="1" x14ac:dyDescent="0.25"/>
    <row r="199485" s="12" customFormat="1" x14ac:dyDescent="0.25"/>
    <row r="199486" s="12" customFormat="1" x14ac:dyDescent="0.25"/>
    <row r="199487" s="12" customFormat="1" x14ac:dyDescent="0.25"/>
    <row r="199488" s="12" customFormat="1" x14ac:dyDescent="0.25"/>
    <row r="199489" s="12" customFormat="1" x14ac:dyDescent="0.25"/>
    <row r="199490" s="12" customFormat="1" x14ac:dyDescent="0.25"/>
    <row r="199491" s="12" customFormat="1" x14ac:dyDescent="0.25"/>
    <row r="199492" s="12" customFormat="1" x14ac:dyDescent="0.25"/>
    <row r="199493" s="12" customFormat="1" x14ac:dyDescent="0.25"/>
    <row r="199494" s="12" customFormat="1" x14ac:dyDescent="0.25"/>
    <row r="199495" s="12" customFormat="1" x14ac:dyDescent="0.25"/>
    <row r="199496" s="12" customFormat="1" x14ac:dyDescent="0.25"/>
    <row r="199497" s="12" customFormat="1" x14ac:dyDescent="0.25"/>
    <row r="199498" s="12" customFormat="1" x14ac:dyDescent="0.25"/>
    <row r="199499" s="12" customFormat="1" x14ac:dyDescent="0.25"/>
    <row r="199500" s="12" customFormat="1" x14ac:dyDescent="0.25"/>
    <row r="199501" s="12" customFormat="1" x14ac:dyDescent="0.25"/>
    <row r="199502" s="12" customFormat="1" x14ac:dyDescent="0.25"/>
    <row r="199503" s="12" customFormat="1" x14ac:dyDescent="0.25"/>
    <row r="199504" s="12" customFormat="1" x14ac:dyDescent="0.25"/>
    <row r="199505" s="12" customFormat="1" x14ac:dyDescent="0.25"/>
    <row r="199506" s="12" customFormat="1" x14ac:dyDescent="0.25"/>
    <row r="199507" s="12" customFormat="1" x14ac:dyDescent="0.25"/>
    <row r="199508" s="12" customFormat="1" x14ac:dyDescent="0.25"/>
    <row r="199509" s="12" customFormat="1" x14ac:dyDescent="0.25"/>
    <row r="199510" s="12" customFormat="1" x14ac:dyDescent="0.25"/>
    <row r="199511" s="12" customFormat="1" x14ac:dyDescent="0.25"/>
    <row r="199512" s="12" customFormat="1" x14ac:dyDescent="0.25"/>
    <row r="199513" s="12" customFormat="1" x14ac:dyDescent="0.25"/>
    <row r="199514" s="12" customFormat="1" x14ac:dyDescent="0.25"/>
    <row r="199515" s="12" customFormat="1" x14ac:dyDescent="0.25"/>
    <row r="199516" s="12" customFormat="1" x14ac:dyDescent="0.25"/>
    <row r="199517" s="12" customFormat="1" x14ac:dyDescent="0.25"/>
    <row r="199518" s="12" customFormat="1" x14ac:dyDescent="0.25"/>
    <row r="199519" s="12" customFormat="1" x14ac:dyDescent="0.25"/>
    <row r="199520" s="12" customFormat="1" x14ac:dyDescent="0.25"/>
    <row r="199521" s="12" customFormat="1" x14ac:dyDescent="0.25"/>
    <row r="199522" s="12" customFormat="1" x14ac:dyDescent="0.25"/>
    <row r="199523" s="12" customFormat="1" x14ac:dyDescent="0.25"/>
    <row r="199524" s="12" customFormat="1" x14ac:dyDescent="0.25"/>
    <row r="199525" s="12" customFormat="1" x14ac:dyDescent="0.25"/>
    <row r="199526" s="12" customFormat="1" x14ac:dyDescent="0.25"/>
    <row r="199527" s="12" customFormat="1" x14ac:dyDescent="0.25"/>
    <row r="199528" s="12" customFormat="1" x14ac:dyDescent="0.25"/>
    <row r="199529" s="12" customFormat="1" x14ac:dyDescent="0.25"/>
    <row r="199530" s="12" customFormat="1" x14ac:dyDescent="0.25"/>
    <row r="199531" s="12" customFormat="1" x14ac:dyDescent="0.25"/>
    <row r="199532" s="12" customFormat="1" x14ac:dyDescent="0.25"/>
    <row r="199533" s="12" customFormat="1" x14ac:dyDescent="0.25"/>
    <row r="199534" s="12" customFormat="1" x14ac:dyDescent="0.25"/>
    <row r="199535" s="12" customFormat="1" x14ac:dyDescent="0.25"/>
    <row r="199536" s="12" customFormat="1" x14ac:dyDescent="0.25"/>
    <row r="199537" s="12" customFormat="1" x14ac:dyDescent="0.25"/>
    <row r="199538" s="12" customFormat="1" x14ac:dyDescent="0.25"/>
    <row r="199539" s="12" customFormat="1" x14ac:dyDescent="0.25"/>
    <row r="199540" s="12" customFormat="1" x14ac:dyDescent="0.25"/>
    <row r="199541" s="12" customFormat="1" x14ac:dyDescent="0.25"/>
    <row r="199542" s="12" customFormat="1" x14ac:dyDescent="0.25"/>
    <row r="199543" s="12" customFormat="1" x14ac:dyDescent="0.25"/>
    <row r="199544" s="12" customFormat="1" x14ac:dyDescent="0.25"/>
    <row r="199545" s="12" customFormat="1" x14ac:dyDescent="0.25"/>
    <row r="199546" s="12" customFormat="1" x14ac:dyDescent="0.25"/>
    <row r="199547" s="12" customFormat="1" x14ac:dyDescent="0.25"/>
    <row r="199548" s="12" customFormat="1" x14ac:dyDescent="0.25"/>
    <row r="199549" s="12" customFormat="1" x14ac:dyDescent="0.25"/>
    <row r="199550" s="12" customFormat="1" x14ac:dyDescent="0.25"/>
    <row r="199551" s="12" customFormat="1" x14ac:dyDescent="0.25"/>
    <row r="199552" s="12" customFormat="1" x14ac:dyDescent="0.25"/>
    <row r="199553" s="12" customFormat="1" x14ac:dyDescent="0.25"/>
    <row r="199554" s="12" customFormat="1" x14ac:dyDescent="0.25"/>
    <row r="199555" s="12" customFormat="1" x14ac:dyDescent="0.25"/>
    <row r="199556" s="12" customFormat="1" x14ac:dyDescent="0.25"/>
    <row r="199557" s="12" customFormat="1" x14ac:dyDescent="0.25"/>
    <row r="199558" s="12" customFormat="1" x14ac:dyDescent="0.25"/>
    <row r="199559" s="12" customFormat="1" x14ac:dyDescent="0.25"/>
    <row r="199560" s="12" customFormat="1" x14ac:dyDescent="0.25"/>
    <row r="199561" s="12" customFormat="1" x14ac:dyDescent="0.25"/>
    <row r="199562" s="12" customFormat="1" x14ac:dyDescent="0.25"/>
    <row r="199563" s="12" customFormat="1" x14ac:dyDescent="0.25"/>
    <row r="199564" s="12" customFormat="1" x14ac:dyDescent="0.25"/>
    <row r="199565" s="12" customFormat="1" x14ac:dyDescent="0.25"/>
    <row r="199566" s="12" customFormat="1" x14ac:dyDescent="0.25"/>
    <row r="199567" s="12" customFormat="1" x14ac:dyDescent="0.25"/>
    <row r="199568" s="12" customFormat="1" x14ac:dyDescent="0.25"/>
    <row r="199569" s="12" customFormat="1" x14ac:dyDescent="0.25"/>
    <row r="199570" s="12" customFormat="1" x14ac:dyDescent="0.25"/>
    <row r="199571" s="12" customFormat="1" x14ac:dyDescent="0.25"/>
    <row r="199572" s="12" customFormat="1" x14ac:dyDescent="0.25"/>
    <row r="199573" s="12" customFormat="1" x14ac:dyDescent="0.25"/>
    <row r="199574" s="12" customFormat="1" x14ac:dyDescent="0.25"/>
    <row r="199575" s="12" customFormat="1" x14ac:dyDescent="0.25"/>
    <row r="199576" s="12" customFormat="1" x14ac:dyDescent="0.25"/>
    <row r="199577" s="12" customFormat="1" x14ac:dyDescent="0.25"/>
    <row r="199578" s="12" customFormat="1" x14ac:dyDescent="0.25"/>
    <row r="199579" s="12" customFormat="1" x14ac:dyDescent="0.25"/>
    <row r="199580" s="12" customFormat="1" x14ac:dyDescent="0.25"/>
    <row r="199581" s="12" customFormat="1" x14ac:dyDescent="0.25"/>
    <row r="199582" s="12" customFormat="1" x14ac:dyDescent="0.25"/>
    <row r="199583" s="12" customFormat="1" x14ac:dyDescent="0.25"/>
    <row r="199584" s="12" customFormat="1" x14ac:dyDescent="0.25"/>
    <row r="199585" s="12" customFormat="1" x14ac:dyDescent="0.25"/>
    <row r="199586" s="12" customFormat="1" x14ac:dyDescent="0.25"/>
    <row r="199587" s="12" customFormat="1" x14ac:dyDescent="0.25"/>
    <row r="199588" s="12" customFormat="1" x14ac:dyDescent="0.25"/>
    <row r="199589" s="12" customFormat="1" x14ac:dyDescent="0.25"/>
    <row r="199590" s="12" customFormat="1" x14ac:dyDescent="0.25"/>
    <row r="199591" s="12" customFormat="1" x14ac:dyDescent="0.25"/>
    <row r="199592" s="12" customFormat="1" x14ac:dyDescent="0.25"/>
    <row r="199593" s="12" customFormat="1" x14ac:dyDescent="0.25"/>
    <row r="199594" s="12" customFormat="1" x14ac:dyDescent="0.25"/>
    <row r="199595" s="12" customFormat="1" x14ac:dyDescent="0.25"/>
    <row r="199596" s="12" customFormat="1" x14ac:dyDescent="0.25"/>
    <row r="199597" s="12" customFormat="1" x14ac:dyDescent="0.25"/>
    <row r="199598" s="12" customFormat="1" x14ac:dyDescent="0.25"/>
    <row r="199599" s="12" customFormat="1" x14ac:dyDescent="0.25"/>
    <row r="199600" s="12" customFormat="1" x14ac:dyDescent="0.25"/>
    <row r="199601" s="12" customFormat="1" x14ac:dyDescent="0.25"/>
    <row r="199602" s="12" customFormat="1" x14ac:dyDescent="0.25"/>
    <row r="199603" s="12" customFormat="1" x14ac:dyDescent="0.25"/>
    <row r="199604" s="12" customFormat="1" x14ac:dyDescent="0.25"/>
    <row r="199605" s="12" customFormat="1" x14ac:dyDescent="0.25"/>
    <row r="199606" s="12" customFormat="1" x14ac:dyDescent="0.25"/>
    <row r="199607" s="12" customFormat="1" x14ac:dyDescent="0.25"/>
    <row r="199608" s="12" customFormat="1" x14ac:dyDescent="0.25"/>
    <row r="199609" s="12" customFormat="1" x14ac:dyDescent="0.25"/>
    <row r="199610" s="12" customFormat="1" x14ac:dyDescent="0.25"/>
    <row r="199611" s="12" customFormat="1" x14ac:dyDescent="0.25"/>
    <row r="199612" s="12" customFormat="1" x14ac:dyDescent="0.25"/>
    <row r="199613" s="12" customFormat="1" x14ac:dyDescent="0.25"/>
    <row r="199614" s="12" customFormat="1" x14ac:dyDescent="0.25"/>
    <row r="199615" s="12" customFormat="1" x14ac:dyDescent="0.25"/>
    <row r="199616" s="12" customFormat="1" x14ac:dyDescent="0.25"/>
    <row r="199617" s="12" customFormat="1" x14ac:dyDescent="0.25"/>
    <row r="199618" s="12" customFormat="1" x14ac:dyDescent="0.25"/>
    <row r="199619" s="12" customFormat="1" x14ac:dyDescent="0.25"/>
    <row r="199620" s="12" customFormat="1" x14ac:dyDescent="0.25"/>
    <row r="199621" s="12" customFormat="1" x14ac:dyDescent="0.25"/>
    <row r="199622" s="12" customFormat="1" x14ac:dyDescent="0.25"/>
    <row r="199623" s="12" customFormat="1" x14ac:dyDescent="0.25"/>
    <row r="199624" s="12" customFormat="1" x14ac:dyDescent="0.25"/>
    <row r="199625" s="12" customFormat="1" x14ac:dyDescent="0.25"/>
    <row r="199626" s="12" customFormat="1" x14ac:dyDescent="0.25"/>
    <row r="199627" s="12" customFormat="1" x14ac:dyDescent="0.25"/>
    <row r="199628" s="12" customFormat="1" x14ac:dyDescent="0.25"/>
    <row r="199629" s="12" customFormat="1" x14ac:dyDescent="0.25"/>
    <row r="199630" s="12" customFormat="1" x14ac:dyDescent="0.25"/>
    <row r="199631" s="12" customFormat="1" x14ac:dyDescent="0.25"/>
    <row r="199632" s="12" customFormat="1" x14ac:dyDescent="0.25"/>
    <row r="199633" s="12" customFormat="1" x14ac:dyDescent="0.25"/>
    <row r="199634" s="12" customFormat="1" x14ac:dyDescent="0.25"/>
    <row r="199635" s="12" customFormat="1" x14ac:dyDescent="0.25"/>
    <row r="199636" s="12" customFormat="1" x14ac:dyDescent="0.25"/>
    <row r="199637" s="12" customFormat="1" x14ac:dyDescent="0.25"/>
    <row r="199638" s="12" customFormat="1" x14ac:dyDescent="0.25"/>
    <row r="199639" s="12" customFormat="1" x14ac:dyDescent="0.25"/>
    <row r="199640" s="12" customFormat="1" x14ac:dyDescent="0.25"/>
    <row r="199641" s="12" customFormat="1" x14ac:dyDescent="0.25"/>
    <row r="199642" s="12" customFormat="1" x14ac:dyDescent="0.25"/>
    <row r="199643" s="12" customFormat="1" x14ac:dyDescent="0.25"/>
    <row r="199644" s="12" customFormat="1" x14ac:dyDescent="0.25"/>
    <row r="199645" s="12" customFormat="1" x14ac:dyDescent="0.25"/>
    <row r="199646" s="12" customFormat="1" x14ac:dyDescent="0.25"/>
    <row r="199647" s="12" customFormat="1" x14ac:dyDescent="0.25"/>
    <row r="199648" s="12" customFormat="1" x14ac:dyDescent="0.25"/>
    <row r="199649" s="12" customFormat="1" x14ac:dyDescent="0.25"/>
    <row r="199650" s="12" customFormat="1" x14ac:dyDescent="0.25"/>
    <row r="199651" s="12" customFormat="1" x14ac:dyDescent="0.25"/>
    <row r="199652" s="12" customFormat="1" x14ac:dyDescent="0.25"/>
    <row r="199653" s="12" customFormat="1" x14ac:dyDescent="0.25"/>
    <row r="199654" s="12" customFormat="1" x14ac:dyDescent="0.25"/>
    <row r="199655" s="12" customFormat="1" x14ac:dyDescent="0.25"/>
    <row r="199656" s="12" customFormat="1" x14ac:dyDescent="0.25"/>
    <row r="199657" s="12" customFormat="1" x14ac:dyDescent="0.25"/>
    <row r="199658" s="12" customFormat="1" x14ac:dyDescent="0.25"/>
    <row r="199659" s="12" customFormat="1" x14ac:dyDescent="0.25"/>
    <row r="199660" s="12" customFormat="1" x14ac:dyDescent="0.25"/>
    <row r="199661" s="12" customFormat="1" x14ac:dyDescent="0.25"/>
    <row r="199662" s="12" customFormat="1" x14ac:dyDescent="0.25"/>
    <row r="199663" s="12" customFormat="1" x14ac:dyDescent="0.25"/>
    <row r="199664" s="12" customFormat="1" x14ac:dyDescent="0.25"/>
    <row r="199665" s="12" customFormat="1" x14ac:dyDescent="0.25"/>
    <row r="199666" s="12" customFormat="1" x14ac:dyDescent="0.25"/>
    <row r="199667" s="12" customFormat="1" x14ac:dyDescent="0.25"/>
    <row r="199668" s="12" customFormat="1" x14ac:dyDescent="0.25"/>
    <row r="199669" s="12" customFormat="1" x14ac:dyDescent="0.25"/>
    <row r="199670" s="12" customFormat="1" x14ac:dyDescent="0.25"/>
    <row r="199671" s="12" customFormat="1" x14ac:dyDescent="0.25"/>
    <row r="199672" s="12" customFormat="1" x14ac:dyDescent="0.25"/>
    <row r="199673" s="12" customFormat="1" x14ac:dyDescent="0.25"/>
    <row r="199674" s="12" customFormat="1" x14ac:dyDescent="0.25"/>
    <row r="199675" s="12" customFormat="1" x14ac:dyDescent="0.25"/>
    <row r="199676" s="12" customFormat="1" x14ac:dyDescent="0.25"/>
    <row r="199677" s="12" customFormat="1" x14ac:dyDescent="0.25"/>
    <row r="199678" s="12" customFormat="1" x14ac:dyDescent="0.25"/>
    <row r="199679" s="12" customFormat="1" x14ac:dyDescent="0.25"/>
    <row r="199680" s="12" customFormat="1" x14ac:dyDescent="0.25"/>
    <row r="199681" s="12" customFormat="1" x14ac:dyDescent="0.25"/>
    <row r="199682" s="12" customFormat="1" x14ac:dyDescent="0.25"/>
    <row r="199683" s="12" customFormat="1" x14ac:dyDescent="0.25"/>
    <row r="199684" s="12" customFormat="1" x14ac:dyDescent="0.25"/>
    <row r="199685" s="12" customFormat="1" x14ac:dyDescent="0.25"/>
    <row r="199686" s="12" customFormat="1" x14ac:dyDescent="0.25"/>
    <row r="199687" s="12" customFormat="1" x14ac:dyDescent="0.25"/>
    <row r="199688" s="12" customFormat="1" x14ac:dyDescent="0.25"/>
    <row r="199689" s="12" customFormat="1" x14ac:dyDescent="0.25"/>
    <row r="199690" s="12" customFormat="1" x14ac:dyDescent="0.25"/>
    <row r="199691" s="12" customFormat="1" x14ac:dyDescent="0.25"/>
    <row r="199692" s="12" customFormat="1" x14ac:dyDescent="0.25"/>
    <row r="199693" s="12" customFormat="1" x14ac:dyDescent="0.25"/>
    <row r="199694" s="12" customFormat="1" x14ac:dyDescent="0.25"/>
    <row r="199695" s="12" customFormat="1" x14ac:dyDescent="0.25"/>
    <row r="199696" s="12" customFormat="1" x14ac:dyDescent="0.25"/>
    <row r="199697" s="12" customFormat="1" x14ac:dyDescent="0.25"/>
    <row r="199698" s="12" customFormat="1" x14ac:dyDescent="0.25"/>
    <row r="199699" s="12" customFormat="1" x14ac:dyDescent="0.25"/>
    <row r="199700" s="12" customFormat="1" x14ac:dyDescent="0.25"/>
    <row r="199701" s="12" customFormat="1" x14ac:dyDescent="0.25"/>
    <row r="199702" s="12" customFormat="1" x14ac:dyDescent="0.25"/>
    <row r="199703" s="12" customFormat="1" x14ac:dyDescent="0.25"/>
    <row r="199704" s="12" customFormat="1" x14ac:dyDescent="0.25"/>
    <row r="199705" s="12" customFormat="1" x14ac:dyDescent="0.25"/>
    <row r="199706" s="12" customFormat="1" x14ac:dyDescent="0.25"/>
    <row r="199707" s="12" customFormat="1" x14ac:dyDescent="0.25"/>
    <row r="199708" s="12" customFormat="1" x14ac:dyDescent="0.25"/>
    <row r="199709" s="12" customFormat="1" x14ac:dyDescent="0.25"/>
    <row r="199710" s="12" customFormat="1" x14ac:dyDescent="0.25"/>
    <row r="199711" s="12" customFormat="1" x14ac:dyDescent="0.25"/>
    <row r="199712" s="12" customFormat="1" x14ac:dyDescent="0.25"/>
    <row r="199713" s="12" customFormat="1" x14ac:dyDescent="0.25"/>
    <row r="199714" s="12" customFormat="1" x14ac:dyDescent="0.25"/>
    <row r="199715" s="12" customFormat="1" x14ac:dyDescent="0.25"/>
    <row r="199716" s="12" customFormat="1" x14ac:dyDescent="0.25"/>
    <row r="199717" s="12" customFormat="1" x14ac:dyDescent="0.25"/>
    <row r="199718" s="12" customFormat="1" x14ac:dyDescent="0.25"/>
    <row r="199719" s="12" customFormat="1" x14ac:dyDescent="0.25"/>
    <row r="199720" s="12" customFormat="1" x14ac:dyDescent="0.25"/>
    <row r="199721" s="12" customFormat="1" x14ac:dyDescent="0.25"/>
    <row r="199722" s="12" customFormat="1" x14ac:dyDescent="0.25"/>
    <row r="199723" s="12" customFormat="1" x14ac:dyDescent="0.25"/>
    <row r="199724" s="12" customFormat="1" x14ac:dyDescent="0.25"/>
    <row r="199725" s="12" customFormat="1" x14ac:dyDescent="0.25"/>
    <row r="199726" s="12" customFormat="1" x14ac:dyDescent="0.25"/>
    <row r="199727" s="12" customFormat="1" x14ac:dyDescent="0.25"/>
    <row r="199728" s="12" customFormat="1" x14ac:dyDescent="0.25"/>
    <row r="199729" s="12" customFormat="1" x14ac:dyDescent="0.25"/>
    <row r="199730" s="12" customFormat="1" x14ac:dyDescent="0.25"/>
    <row r="199731" s="12" customFormat="1" x14ac:dyDescent="0.25"/>
    <row r="199732" s="12" customFormat="1" x14ac:dyDescent="0.25"/>
    <row r="199733" s="12" customFormat="1" x14ac:dyDescent="0.25"/>
    <row r="199734" s="12" customFormat="1" x14ac:dyDescent="0.25"/>
    <row r="199735" s="12" customFormat="1" x14ac:dyDescent="0.25"/>
    <row r="199736" s="12" customFormat="1" x14ac:dyDescent="0.25"/>
    <row r="199737" s="12" customFormat="1" x14ac:dyDescent="0.25"/>
    <row r="199738" s="12" customFormat="1" x14ac:dyDescent="0.25"/>
    <row r="199739" s="12" customFormat="1" x14ac:dyDescent="0.25"/>
    <row r="199740" s="12" customFormat="1" x14ac:dyDescent="0.25"/>
    <row r="199741" s="12" customFormat="1" x14ac:dyDescent="0.25"/>
    <row r="199742" s="12" customFormat="1" x14ac:dyDescent="0.25"/>
    <row r="199743" s="12" customFormat="1" x14ac:dyDescent="0.25"/>
    <row r="199744" s="12" customFormat="1" x14ac:dyDescent="0.25"/>
    <row r="199745" s="12" customFormat="1" x14ac:dyDescent="0.25"/>
    <row r="199746" s="12" customFormat="1" x14ac:dyDescent="0.25"/>
    <row r="199747" s="12" customFormat="1" x14ac:dyDescent="0.25"/>
    <row r="199748" s="12" customFormat="1" x14ac:dyDescent="0.25"/>
    <row r="199749" s="12" customFormat="1" x14ac:dyDescent="0.25"/>
    <row r="199750" s="12" customFormat="1" x14ac:dyDescent="0.25"/>
    <row r="199751" s="12" customFormat="1" x14ac:dyDescent="0.25"/>
    <row r="199752" s="12" customFormat="1" x14ac:dyDescent="0.25"/>
    <row r="199753" s="12" customFormat="1" x14ac:dyDescent="0.25"/>
    <row r="199754" s="12" customFormat="1" x14ac:dyDescent="0.25"/>
    <row r="199755" s="12" customFormat="1" x14ac:dyDescent="0.25"/>
    <row r="199756" s="12" customFormat="1" x14ac:dyDescent="0.25"/>
    <row r="199757" s="12" customFormat="1" x14ac:dyDescent="0.25"/>
    <row r="199758" s="12" customFormat="1" x14ac:dyDescent="0.25"/>
    <row r="199759" s="12" customFormat="1" x14ac:dyDescent="0.25"/>
    <row r="199760" s="12" customFormat="1" x14ac:dyDescent="0.25"/>
    <row r="199761" s="12" customFormat="1" x14ac:dyDescent="0.25"/>
    <row r="199762" s="12" customFormat="1" x14ac:dyDescent="0.25"/>
    <row r="199763" s="12" customFormat="1" x14ac:dyDescent="0.25"/>
    <row r="199764" s="12" customFormat="1" x14ac:dyDescent="0.25"/>
    <row r="199765" s="12" customFormat="1" x14ac:dyDescent="0.25"/>
    <row r="199766" s="12" customFormat="1" x14ac:dyDescent="0.25"/>
    <row r="199767" s="12" customFormat="1" x14ac:dyDescent="0.25"/>
    <row r="199768" s="12" customFormat="1" x14ac:dyDescent="0.25"/>
    <row r="199769" s="12" customFormat="1" x14ac:dyDescent="0.25"/>
    <row r="199770" s="12" customFormat="1" x14ac:dyDescent="0.25"/>
    <row r="199771" s="12" customFormat="1" x14ac:dyDescent="0.25"/>
    <row r="199772" s="12" customFormat="1" x14ac:dyDescent="0.25"/>
    <row r="199773" s="12" customFormat="1" x14ac:dyDescent="0.25"/>
    <row r="199774" s="12" customFormat="1" x14ac:dyDescent="0.25"/>
    <row r="199775" s="12" customFormat="1" x14ac:dyDescent="0.25"/>
    <row r="199776" s="12" customFormat="1" x14ac:dyDescent="0.25"/>
    <row r="199777" s="12" customFormat="1" x14ac:dyDescent="0.25"/>
    <row r="199778" s="12" customFormat="1" x14ac:dyDescent="0.25"/>
    <row r="199779" s="12" customFormat="1" x14ac:dyDescent="0.25"/>
    <row r="199780" s="12" customFormat="1" x14ac:dyDescent="0.25"/>
    <row r="199781" s="12" customFormat="1" x14ac:dyDescent="0.25"/>
    <row r="199782" s="12" customFormat="1" x14ac:dyDescent="0.25"/>
    <row r="199783" s="12" customFormat="1" x14ac:dyDescent="0.25"/>
    <row r="199784" s="12" customFormat="1" x14ac:dyDescent="0.25"/>
    <row r="199785" s="12" customFormat="1" x14ac:dyDescent="0.25"/>
    <row r="199786" s="12" customFormat="1" x14ac:dyDescent="0.25"/>
    <row r="199787" s="12" customFormat="1" x14ac:dyDescent="0.25"/>
    <row r="199788" s="12" customFormat="1" x14ac:dyDescent="0.25"/>
    <row r="199789" s="12" customFormat="1" x14ac:dyDescent="0.25"/>
    <row r="199790" s="12" customFormat="1" x14ac:dyDescent="0.25"/>
    <row r="199791" s="12" customFormat="1" x14ac:dyDescent="0.25"/>
    <row r="199792" s="12" customFormat="1" x14ac:dyDescent="0.25"/>
    <row r="199793" s="12" customFormat="1" x14ac:dyDescent="0.25"/>
    <row r="199794" s="12" customFormat="1" x14ac:dyDescent="0.25"/>
    <row r="199795" s="12" customFormat="1" x14ac:dyDescent="0.25"/>
    <row r="199796" s="12" customFormat="1" x14ac:dyDescent="0.25"/>
    <row r="199797" s="12" customFormat="1" x14ac:dyDescent="0.25"/>
    <row r="199798" s="12" customFormat="1" x14ac:dyDescent="0.25"/>
    <row r="199799" s="12" customFormat="1" x14ac:dyDescent="0.25"/>
    <row r="199800" s="12" customFormat="1" x14ac:dyDescent="0.25"/>
    <row r="199801" s="12" customFormat="1" x14ac:dyDescent="0.25"/>
    <row r="199802" s="12" customFormat="1" x14ac:dyDescent="0.25"/>
    <row r="199803" s="12" customFormat="1" x14ac:dyDescent="0.25"/>
    <row r="199804" s="12" customFormat="1" x14ac:dyDescent="0.25"/>
    <row r="199805" s="12" customFormat="1" x14ac:dyDescent="0.25"/>
    <row r="199806" s="12" customFormat="1" x14ac:dyDescent="0.25"/>
    <row r="199807" s="12" customFormat="1" x14ac:dyDescent="0.25"/>
    <row r="199808" s="12" customFormat="1" x14ac:dyDescent="0.25"/>
    <row r="199809" s="12" customFormat="1" x14ac:dyDescent="0.25"/>
    <row r="199810" s="12" customFormat="1" x14ac:dyDescent="0.25"/>
    <row r="199811" s="12" customFormat="1" x14ac:dyDescent="0.25"/>
    <row r="199812" s="12" customFormat="1" x14ac:dyDescent="0.25"/>
    <row r="199813" s="12" customFormat="1" x14ac:dyDescent="0.25"/>
    <row r="199814" s="12" customFormat="1" x14ac:dyDescent="0.25"/>
    <row r="199815" s="12" customFormat="1" x14ac:dyDescent="0.25"/>
    <row r="199816" s="12" customFormat="1" x14ac:dyDescent="0.25"/>
    <row r="199817" s="12" customFormat="1" x14ac:dyDescent="0.25"/>
    <row r="199818" s="12" customFormat="1" x14ac:dyDescent="0.25"/>
    <row r="199819" s="12" customFormat="1" x14ac:dyDescent="0.25"/>
    <row r="199820" s="12" customFormat="1" x14ac:dyDescent="0.25"/>
    <row r="199821" s="12" customFormat="1" x14ac:dyDescent="0.25"/>
    <row r="199822" s="12" customFormat="1" x14ac:dyDescent="0.25"/>
    <row r="199823" s="12" customFormat="1" x14ac:dyDescent="0.25"/>
    <row r="199824" s="12" customFormat="1" x14ac:dyDescent="0.25"/>
    <row r="199825" s="12" customFormat="1" x14ac:dyDescent="0.25"/>
    <row r="199826" s="12" customFormat="1" x14ac:dyDescent="0.25"/>
    <row r="199827" s="12" customFormat="1" x14ac:dyDescent="0.25"/>
    <row r="199828" s="12" customFormat="1" x14ac:dyDescent="0.25"/>
    <row r="199829" s="12" customFormat="1" x14ac:dyDescent="0.25"/>
    <row r="199830" s="12" customFormat="1" x14ac:dyDescent="0.25"/>
    <row r="199831" s="12" customFormat="1" x14ac:dyDescent="0.25"/>
    <row r="199832" s="12" customFormat="1" x14ac:dyDescent="0.25"/>
    <row r="199833" s="12" customFormat="1" x14ac:dyDescent="0.25"/>
    <row r="199834" s="12" customFormat="1" x14ac:dyDescent="0.25"/>
    <row r="199835" s="12" customFormat="1" x14ac:dyDescent="0.25"/>
    <row r="199836" s="12" customFormat="1" x14ac:dyDescent="0.25"/>
    <row r="199837" s="12" customFormat="1" x14ac:dyDescent="0.25"/>
    <row r="199838" s="12" customFormat="1" x14ac:dyDescent="0.25"/>
    <row r="199839" s="12" customFormat="1" x14ac:dyDescent="0.25"/>
    <row r="199840" s="12" customFormat="1" x14ac:dyDescent="0.25"/>
    <row r="199841" s="12" customFormat="1" x14ac:dyDescent="0.25"/>
    <row r="199842" s="12" customFormat="1" x14ac:dyDescent="0.25"/>
    <row r="199843" s="12" customFormat="1" x14ac:dyDescent="0.25"/>
    <row r="199844" s="12" customFormat="1" x14ac:dyDescent="0.25"/>
    <row r="199845" s="12" customFormat="1" x14ac:dyDescent="0.25"/>
    <row r="199846" s="12" customFormat="1" x14ac:dyDescent="0.25"/>
    <row r="199847" s="12" customFormat="1" x14ac:dyDescent="0.25"/>
    <row r="199848" s="12" customFormat="1" x14ac:dyDescent="0.25"/>
    <row r="199849" s="12" customFormat="1" x14ac:dyDescent="0.25"/>
    <row r="199850" s="12" customFormat="1" x14ac:dyDescent="0.25"/>
    <row r="199851" s="12" customFormat="1" x14ac:dyDescent="0.25"/>
    <row r="199852" s="12" customFormat="1" x14ac:dyDescent="0.25"/>
    <row r="199853" s="12" customFormat="1" x14ac:dyDescent="0.25"/>
    <row r="199854" s="12" customFormat="1" x14ac:dyDescent="0.25"/>
    <row r="199855" s="12" customFormat="1" x14ac:dyDescent="0.25"/>
    <row r="199856" s="12" customFormat="1" x14ac:dyDescent="0.25"/>
    <row r="199857" s="12" customFormat="1" x14ac:dyDescent="0.25"/>
    <row r="199858" s="12" customFormat="1" x14ac:dyDescent="0.25"/>
    <row r="199859" s="12" customFormat="1" x14ac:dyDescent="0.25"/>
    <row r="199860" s="12" customFormat="1" x14ac:dyDescent="0.25"/>
    <row r="199861" s="12" customFormat="1" x14ac:dyDescent="0.25"/>
    <row r="199862" s="12" customFormat="1" x14ac:dyDescent="0.25"/>
    <row r="199863" s="12" customFormat="1" x14ac:dyDescent="0.25"/>
    <row r="199864" s="12" customFormat="1" x14ac:dyDescent="0.25"/>
    <row r="199865" s="12" customFormat="1" x14ac:dyDescent="0.25"/>
    <row r="199866" s="12" customFormat="1" x14ac:dyDescent="0.25"/>
    <row r="199867" s="12" customFormat="1" x14ac:dyDescent="0.25"/>
    <row r="199868" s="12" customFormat="1" x14ac:dyDescent="0.25"/>
    <row r="199869" s="12" customFormat="1" x14ac:dyDescent="0.25"/>
    <row r="199870" s="12" customFormat="1" x14ac:dyDescent="0.25"/>
    <row r="199871" s="12" customFormat="1" x14ac:dyDescent="0.25"/>
    <row r="199872" s="12" customFormat="1" x14ac:dyDescent="0.25"/>
    <row r="199873" s="12" customFormat="1" x14ac:dyDescent="0.25"/>
    <row r="199874" s="12" customFormat="1" x14ac:dyDescent="0.25"/>
    <row r="199875" s="12" customFormat="1" x14ac:dyDescent="0.25"/>
    <row r="199876" s="12" customFormat="1" x14ac:dyDescent="0.25"/>
    <row r="199877" s="12" customFormat="1" x14ac:dyDescent="0.25"/>
    <row r="199878" s="12" customFormat="1" x14ac:dyDescent="0.25"/>
    <row r="199879" s="12" customFormat="1" x14ac:dyDescent="0.25"/>
    <row r="199880" s="12" customFormat="1" x14ac:dyDescent="0.25"/>
    <row r="199881" s="12" customFormat="1" x14ac:dyDescent="0.25"/>
    <row r="199882" s="12" customFormat="1" x14ac:dyDescent="0.25"/>
    <row r="199883" s="12" customFormat="1" x14ac:dyDescent="0.25"/>
    <row r="199884" s="12" customFormat="1" x14ac:dyDescent="0.25"/>
    <row r="199885" s="12" customFormat="1" x14ac:dyDescent="0.25"/>
    <row r="199886" s="12" customFormat="1" x14ac:dyDescent="0.25"/>
    <row r="199887" s="12" customFormat="1" x14ac:dyDescent="0.25"/>
    <row r="199888" s="12" customFormat="1" x14ac:dyDescent="0.25"/>
    <row r="199889" s="12" customFormat="1" x14ac:dyDescent="0.25"/>
    <row r="199890" s="12" customFormat="1" x14ac:dyDescent="0.25"/>
    <row r="199891" s="12" customFormat="1" x14ac:dyDescent="0.25"/>
    <row r="199892" s="12" customFormat="1" x14ac:dyDescent="0.25"/>
    <row r="199893" s="12" customFormat="1" x14ac:dyDescent="0.25"/>
    <row r="199894" s="12" customFormat="1" x14ac:dyDescent="0.25"/>
    <row r="199895" s="12" customFormat="1" x14ac:dyDescent="0.25"/>
    <row r="199896" s="12" customFormat="1" x14ac:dyDescent="0.25"/>
    <row r="199897" s="12" customFormat="1" x14ac:dyDescent="0.25"/>
    <row r="199898" s="12" customFormat="1" x14ac:dyDescent="0.25"/>
    <row r="199899" s="12" customFormat="1" x14ac:dyDescent="0.25"/>
    <row r="199900" s="12" customFormat="1" x14ac:dyDescent="0.25"/>
    <row r="199901" s="12" customFormat="1" x14ac:dyDescent="0.25"/>
    <row r="199902" s="12" customFormat="1" x14ac:dyDescent="0.25"/>
    <row r="199903" s="12" customFormat="1" x14ac:dyDescent="0.25"/>
    <row r="199904" s="12" customFormat="1" x14ac:dyDescent="0.25"/>
    <row r="199905" s="12" customFormat="1" x14ac:dyDescent="0.25"/>
    <row r="199906" s="12" customFormat="1" x14ac:dyDescent="0.25"/>
    <row r="199907" s="12" customFormat="1" x14ac:dyDescent="0.25"/>
    <row r="199908" s="12" customFormat="1" x14ac:dyDescent="0.25"/>
    <row r="199909" s="12" customFormat="1" x14ac:dyDescent="0.25"/>
    <row r="199910" s="12" customFormat="1" x14ac:dyDescent="0.25"/>
    <row r="199911" s="12" customFormat="1" x14ac:dyDescent="0.25"/>
    <row r="199912" s="12" customFormat="1" x14ac:dyDescent="0.25"/>
    <row r="199913" s="12" customFormat="1" x14ac:dyDescent="0.25"/>
    <row r="199914" s="12" customFormat="1" x14ac:dyDescent="0.25"/>
    <row r="199915" s="12" customFormat="1" x14ac:dyDescent="0.25"/>
    <row r="199916" s="12" customFormat="1" x14ac:dyDescent="0.25"/>
    <row r="199917" s="12" customFormat="1" x14ac:dyDescent="0.25"/>
    <row r="199918" s="12" customFormat="1" x14ac:dyDescent="0.25"/>
    <row r="199919" s="12" customFormat="1" x14ac:dyDescent="0.25"/>
    <row r="199920" s="12" customFormat="1" x14ac:dyDescent="0.25"/>
    <row r="199921" s="12" customFormat="1" x14ac:dyDescent="0.25"/>
    <row r="199922" s="12" customFormat="1" x14ac:dyDescent="0.25"/>
    <row r="199923" s="12" customFormat="1" x14ac:dyDescent="0.25"/>
    <row r="199924" s="12" customFormat="1" x14ac:dyDescent="0.25"/>
    <row r="199925" s="12" customFormat="1" x14ac:dyDescent="0.25"/>
    <row r="199926" s="12" customFormat="1" x14ac:dyDescent="0.25"/>
    <row r="199927" s="12" customFormat="1" x14ac:dyDescent="0.25"/>
    <row r="199928" s="12" customFormat="1" x14ac:dyDescent="0.25"/>
    <row r="199929" s="12" customFormat="1" x14ac:dyDescent="0.25"/>
    <row r="199930" s="12" customFormat="1" x14ac:dyDescent="0.25"/>
    <row r="199931" s="12" customFormat="1" x14ac:dyDescent="0.25"/>
    <row r="199932" s="12" customFormat="1" x14ac:dyDescent="0.25"/>
    <row r="199933" s="12" customFormat="1" x14ac:dyDescent="0.25"/>
    <row r="199934" s="12" customFormat="1" x14ac:dyDescent="0.25"/>
    <row r="199935" s="12" customFormat="1" x14ac:dyDescent="0.25"/>
    <row r="199936" s="12" customFormat="1" x14ac:dyDescent="0.25"/>
    <row r="199937" s="12" customFormat="1" x14ac:dyDescent="0.25"/>
    <row r="199938" s="12" customFormat="1" x14ac:dyDescent="0.25"/>
    <row r="199939" s="12" customFormat="1" x14ac:dyDescent="0.25"/>
    <row r="199940" s="12" customFormat="1" x14ac:dyDescent="0.25"/>
    <row r="199941" s="12" customFormat="1" x14ac:dyDescent="0.25"/>
    <row r="199942" s="12" customFormat="1" x14ac:dyDescent="0.25"/>
    <row r="199943" s="12" customFormat="1" x14ac:dyDescent="0.25"/>
    <row r="199944" s="12" customFormat="1" x14ac:dyDescent="0.25"/>
    <row r="199945" s="12" customFormat="1" x14ac:dyDescent="0.25"/>
    <row r="199946" s="12" customFormat="1" x14ac:dyDescent="0.25"/>
    <row r="199947" s="12" customFormat="1" x14ac:dyDescent="0.25"/>
    <row r="199948" s="12" customFormat="1" x14ac:dyDescent="0.25"/>
    <row r="199949" s="12" customFormat="1" x14ac:dyDescent="0.25"/>
    <row r="199950" s="12" customFormat="1" x14ac:dyDescent="0.25"/>
    <row r="199951" s="12" customFormat="1" x14ac:dyDescent="0.25"/>
    <row r="199952" s="12" customFormat="1" x14ac:dyDescent="0.25"/>
    <row r="199953" s="12" customFormat="1" x14ac:dyDescent="0.25"/>
    <row r="199954" s="12" customFormat="1" x14ac:dyDescent="0.25"/>
    <row r="199955" s="12" customFormat="1" x14ac:dyDescent="0.25"/>
    <row r="199956" s="12" customFormat="1" x14ac:dyDescent="0.25"/>
    <row r="199957" s="12" customFormat="1" x14ac:dyDescent="0.25"/>
    <row r="199958" s="12" customFormat="1" x14ac:dyDescent="0.25"/>
    <row r="199959" s="12" customFormat="1" x14ac:dyDescent="0.25"/>
    <row r="199960" s="12" customFormat="1" x14ac:dyDescent="0.25"/>
    <row r="199961" s="12" customFormat="1" x14ac:dyDescent="0.25"/>
    <row r="199962" s="12" customFormat="1" x14ac:dyDescent="0.25"/>
    <row r="199963" s="12" customFormat="1" x14ac:dyDescent="0.25"/>
    <row r="199964" s="12" customFormat="1" x14ac:dyDescent="0.25"/>
    <row r="199965" s="12" customFormat="1" x14ac:dyDescent="0.25"/>
    <row r="199966" s="12" customFormat="1" x14ac:dyDescent="0.25"/>
    <row r="199967" s="12" customFormat="1" x14ac:dyDescent="0.25"/>
    <row r="199968" s="12" customFormat="1" x14ac:dyDescent="0.25"/>
    <row r="199969" s="12" customFormat="1" x14ac:dyDescent="0.25"/>
    <row r="199970" s="12" customFormat="1" x14ac:dyDescent="0.25"/>
    <row r="199971" s="12" customFormat="1" x14ac:dyDescent="0.25"/>
    <row r="199972" s="12" customFormat="1" x14ac:dyDescent="0.25"/>
    <row r="199973" s="12" customFormat="1" x14ac:dyDescent="0.25"/>
    <row r="199974" s="12" customFormat="1" x14ac:dyDescent="0.25"/>
    <row r="199975" s="12" customFormat="1" x14ac:dyDescent="0.25"/>
    <row r="199976" s="12" customFormat="1" x14ac:dyDescent="0.25"/>
    <row r="199977" s="12" customFormat="1" x14ac:dyDescent="0.25"/>
    <row r="199978" s="12" customFormat="1" x14ac:dyDescent="0.25"/>
    <row r="199979" s="12" customFormat="1" x14ac:dyDescent="0.25"/>
    <row r="199980" s="12" customFormat="1" x14ac:dyDescent="0.25"/>
    <row r="199981" s="12" customFormat="1" x14ac:dyDescent="0.25"/>
    <row r="199982" s="12" customFormat="1" x14ac:dyDescent="0.25"/>
    <row r="199983" s="12" customFormat="1" x14ac:dyDescent="0.25"/>
    <row r="199984" s="12" customFormat="1" x14ac:dyDescent="0.25"/>
    <row r="199985" s="12" customFormat="1" x14ac:dyDescent="0.25"/>
    <row r="199986" s="12" customFormat="1" x14ac:dyDescent="0.25"/>
    <row r="199987" s="12" customFormat="1" x14ac:dyDescent="0.25"/>
    <row r="199988" s="12" customFormat="1" x14ac:dyDescent="0.25"/>
    <row r="199989" s="12" customFormat="1" x14ac:dyDescent="0.25"/>
    <row r="199990" s="12" customFormat="1" x14ac:dyDescent="0.25"/>
    <row r="199991" s="12" customFormat="1" x14ac:dyDescent="0.25"/>
    <row r="199992" s="12" customFormat="1" x14ac:dyDescent="0.25"/>
    <row r="199993" s="12" customFormat="1" x14ac:dyDescent="0.25"/>
    <row r="199994" s="12" customFormat="1" x14ac:dyDescent="0.25"/>
    <row r="199995" s="12" customFormat="1" x14ac:dyDescent="0.25"/>
    <row r="199996" s="12" customFormat="1" x14ac:dyDescent="0.25"/>
    <row r="199997" s="12" customFormat="1" x14ac:dyDescent="0.25"/>
    <row r="199998" s="12" customFormat="1" x14ac:dyDescent="0.25"/>
    <row r="199999" s="12" customFormat="1" x14ac:dyDescent="0.25"/>
    <row r="200000" s="12" customFormat="1" x14ac:dyDescent="0.25"/>
    <row r="200001" s="12" customFormat="1" x14ac:dyDescent="0.25"/>
    <row r="200002" s="12" customFormat="1" x14ac:dyDescent="0.25"/>
    <row r="200003" s="12" customFormat="1" x14ac:dyDescent="0.25"/>
    <row r="200004" s="12" customFormat="1" x14ac:dyDescent="0.25"/>
    <row r="200005" s="12" customFormat="1" x14ac:dyDescent="0.25"/>
    <row r="200006" s="12" customFormat="1" x14ac:dyDescent="0.25"/>
    <row r="200007" s="12" customFormat="1" x14ac:dyDescent="0.25"/>
    <row r="200008" s="12" customFormat="1" x14ac:dyDescent="0.25"/>
    <row r="200009" s="12" customFormat="1" x14ac:dyDescent="0.25"/>
    <row r="200010" s="12" customFormat="1" x14ac:dyDescent="0.25"/>
    <row r="200011" s="12" customFormat="1" x14ac:dyDescent="0.25"/>
    <row r="200012" s="12" customFormat="1" x14ac:dyDescent="0.25"/>
    <row r="200013" s="12" customFormat="1" x14ac:dyDescent="0.25"/>
    <row r="200014" s="12" customFormat="1" x14ac:dyDescent="0.25"/>
    <row r="200015" s="12" customFormat="1" x14ac:dyDescent="0.25"/>
    <row r="200016" s="12" customFormat="1" x14ac:dyDescent="0.25"/>
    <row r="200017" s="12" customFormat="1" x14ac:dyDescent="0.25"/>
    <row r="200018" s="12" customFormat="1" x14ac:dyDescent="0.25"/>
    <row r="200019" s="12" customFormat="1" x14ac:dyDescent="0.25"/>
    <row r="200020" s="12" customFormat="1" x14ac:dyDescent="0.25"/>
    <row r="200021" s="12" customFormat="1" x14ac:dyDescent="0.25"/>
    <row r="200022" s="12" customFormat="1" x14ac:dyDescent="0.25"/>
    <row r="200023" s="12" customFormat="1" x14ac:dyDescent="0.25"/>
    <row r="200024" s="12" customFormat="1" x14ac:dyDescent="0.25"/>
    <row r="200025" s="12" customFormat="1" x14ac:dyDescent="0.25"/>
    <row r="200026" s="12" customFormat="1" x14ac:dyDescent="0.25"/>
    <row r="200027" s="12" customFormat="1" x14ac:dyDescent="0.25"/>
    <row r="200028" s="12" customFormat="1" x14ac:dyDescent="0.25"/>
    <row r="200029" s="12" customFormat="1" x14ac:dyDescent="0.25"/>
    <row r="200030" s="12" customFormat="1" x14ac:dyDescent="0.25"/>
    <row r="200031" s="12" customFormat="1" x14ac:dyDescent="0.25"/>
    <row r="200032" s="12" customFormat="1" x14ac:dyDescent="0.25"/>
    <row r="200033" s="12" customFormat="1" x14ac:dyDescent="0.25"/>
    <row r="200034" s="12" customFormat="1" x14ac:dyDescent="0.25"/>
    <row r="200035" s="12" customFormat="1" x14ac:dyDescent="0.25"/>
    <row r="200036" s="12" customFormat="1" x14ac:dyDescent="0.25"/>
    <row r="200037" s="12" customFormat="1" x14ac:dyDescent="0.25"/>
    <row r="200038" s="12" customFormat="1" x14ac:dyDescent="0.25"/>
    <row r="200039" s="12" customFormat="1" x14ac:dyDescent="0.25"/>
    <row r="200040" s="12" customFormat="1" x14ac:dyDescent="0.25"/>
    <row r="200041" s="12" customFormat="1" x14ac:dyDescent="0.25"/>
    <row r="200042" s="12" customFormat="1" x14ac:dyDescent="0.25"/>
    <row r="200043" s="12" customFormat="1" x14ac:dyDescent="0.25"/>
    <row r="200044" s="12" customFormat="1" x14ac:dyDescent="0.25"/>
    <row r="200045" s="12" customFormat="1" x14ac:dyDescent="0.25"/>
    <row r="200046" s="12" customFormat="1" x14ac:dyDescent="0.25"/>
    <row r="200047" s="12" customFormat="1" x14ac:dyDescent="0.25"/>
    <row r="200048" s="12" customFormat="1" x14ac:dyDescent="0.25"/>
    <row r="200049" s="12" customFormat="1" x14ac:dyDescent="0.25"/>
    <row r="200050" s="12" customFormat="1" x14ac:dyDescent="0.25"/>
    <row r="200051" s="12" customFormat="1" x14ac:dyDescent="0.25"/>
    <row r="200052" s="12" customFormat="1" x14ac:dyDescent="0.25"/>
    <row r="200053" s="12" customFormat="1" x14ac:dyDescent="0.25"/>
    <row r="200054" s="12" customFormat="1" x14ac:dyDescent="0.25"/>
    <row r="200055" s="12" customFormat="1" x14ac:dyDescent="0.25"/>
    <row r="200056" s="12" customFormat="1" x14ac:dyDescent="0.25"/>
    <row r="200057" s="12" customFormat="1" x14ac:dyDescent="0.25"/>
    <row r="200058" s="12" customFormat="1" x14ac:dyDescent="0.25"/>
    <row r="200059" s="12" customFormat="1" x14ac:dyDescent="0.25"/>
    <row r="200060" s="12" customFormat="1" x14ac:dyDescent="0.25"/>
    <row r="200061" s="12" customFormat="1" x14ac:dyDescent="0.25"/>
    <row r="200062" s="12" customFormat="1" x14ac:dyDescent="0.25"/>
    <row r="200063" s="12" customFormat="1" x14ac:dyDescent="0.25"/>
    <row r="200064" s="12" customFormat="1" x14ac:dyDescent="0.25"/>
    <row r="200065" s="12" customFormat="1" x14ac:dyDescent="0.25"/>
    <row r="200066" s="12" customFormat="1" x14ac:dyDescent="0.25"/>
    <row r="200067" s="12" customFormat="1" x14ac:dyDescent="0.25"/>
    <row r="200068" s="12" customFormat="1" x14ac:dyDescent="0.25"/>
    <row r="200069" s="12" customFormat="1" x14ac:dyDescent="0.25"/>
    <row r="200070" s="12" customFormat="1" x14ac:dyDescent="0.25"/>
    <row r="200071" s="12" customFormat="1" x14ac:dyDescent="0.25"/>
    <row r="200072" s="12" customFormat="1" x14ac:dyDescent="0.25"/>
    <row r="200073" s="12" customFormat="1" x14ac:dyDescent="0.25"/>
    <row r="200074" s="12" customFormat="1" x14ac:dyDescent="0.25"/>
    <row r="200075" s="12" customFormat="1" x14ac:dyDescent="0.25"/>
    <row r="200076" s="12" customFormat="1" x14ac:dyDescent="0.25"/>
    <row r="200077" s="12" customFormat="1" x14ac:dyDescent="0.25"/>
    <row r="200078" s="12" customFormat="1" x14ac:dyDescent="0.25"/>
    <row r="200079" s="12" customFormat="1" x14ac:dyDescent="0.25"/>
    <row r="200080" s="12" customFormat="1" x14ac:dyDescent="0.25"/>
    <row r="200081" s="12" customFormat="1" x14ac:dyDescent="0.25"/>
    <row r="200082" s="12" customFormat="1" x14ac:dyDescent="0.25"/>
    <row r="200083" s="12" customFormat="1" x14ac:dyDescent="0.25"/>
    <row r="200084" s="12" customFormat="1" x14ac:dyDescent="0.25"/>
    <row r="200085" s="12" customFormat="1" x14ac:dyDescent="0.25"/>
    <row r="200086" s="12" customFormat="1" x14ac:dyDescent="0.25"/>
    <row r="200087" s="12" customFormat="1" x14ac:dyDescent="0.25"/>
    <row r="200088" s="12" customFormat="1" x14ac:dyDescent="0.25"/>
    <row r="200089" s="12" customFormat="1" x14ac:dyDescent="0.25"/>
    <row r="200090" s="12" customFormat="1" x14ac:dyDescent="0.25"/>
    <row r="200091" s="12" customFormat="1" x14ac:dyDescent="0.25"/>
    <row r="200092" s="12" customFormat="1" x14ac:dyDescent="0.25"/>
    <row r="200093" s="12" customFormat="1" x14ac:dyDescent="0.25"/>
    <row r="200094" s="12" customFormat="1" x14ac:dyDescent="0.25"/>
    <row r="200095" s="12" customFormat="1" x14ac:dyDescent="0.25"/>
    <row r="200096" s="12" customFormat="1" x14ac:dyDescent="0.25"/>
    <row r="200097" s="12" customFormat="1" x14ac:dyDescent="0.25"/>
    <row r="200098" s="12" customFormat="1" x14ac:dyDescent="0.25"/>
    <row r="200099" s="12" customFormat="1" x14ac:dyDescent="0.25"/>
    <row r="200100" s="12" customFormat="1" x14ac:dyDescent="0.25"/>
    <row r="200101" s="12" customFormat="1" x14ac:dyDescent="0.25"/>
    <row r="200102" s="12" customFormat="1" x14ac:dyDescent="0.25"/>
    <row r="200103" s="12" customFormat="1" x14ac:dyDescent="0.25"/>
    <row r="200104" s="12" customFormat="1" x14ac:dyDescent="0.25"/>
    <row r="200105" s="12" customFormat="1" x14ac:dyDescent="0.25"/>
    <row r="200106" s="12" customFormat="1" x14ac:dyDescent="0.25"/>
    <row r="200107" s="12" customFormat="1" x14ac:dyDescent="0.25"/>
    <row r="200108" s="12" customFormat="1" x14ac:dyDescent="0.25"/>
    <row r="200109" s="12" customFormat="1" x14ac:dyDescent="0.25"/>
    <row r="200110" s="12" customFormat="1" x14ac:dyDescent="0.25"/>
    <row r="200111" s="12" customFormat="1" x14ac:dyDescent="0.25"/>
    <row r="200112" s="12" customFormat="1" x14ac:dyDescent="0.25"/>
    <row r="200113" s="12" customFormat="1" x14ac:dyDescent="0.25"/>
    <row r="200114" s="12" customFormat="1" x14ac:dyDescent="0.25"/>
    <row r="200115" s="12" customFormat="1" x14ac:dyDescent="0.25"/>
    <row r="200116" s="12" customFormat="1" x14ac:dyDescent="0.25"/>
    <row r="200117" s="12" customFormat="1" x14ac:dyDescent="0.25"/>
    <row r="200118" s="12" customFormat="1" x14ac:dyDescent="0.25"/>
    <row r="200119" s="12" customFormat="1" x14ac:dyDescent="0.25"/>
    <row r="200120" s="12" customFormat="1" x14ac:dyDescent="0.25"/>
    <row r="200121" s="12" customFormat="1" x14ac:dyDescent="0.25"/>
    <row r="200122" s="12" customFormat="1" x14ac:dyDescent="0.25"/>
    <row r="200123" s="12" customFormat="1" x14ac:dyDescent="0.25"/>
    <row r="200124" s="12" customFormat="1" x14ac:dyDescent="0.25"/>
    <row r="200125" s="12" customFormat="1" x14ac:dyDescent="0.25"/>
    <row r="200126" s="12" customFormat="1" x14ac:dyDescent="0.25"/>
    <row r="200127" s="12" customFormat="1" x14ac:dyDescent="0.25"/>
    <row r="200128" s="12" customFormat="1" x14ac:dyDescent="0.25"/>
    <row r="200129" s="12" customFormat="1" x14ac:dyDescent="0.25"/>
    <row r="200130" s="12" customFormat="1" x14ac:dyDescent="0.25"/>
    <row r="200131" s="12" customFormat="1" x14ac:dyDescent="0.25"/>
    <row r="200132" s="12" customFormat="1" x14ac:dyDescent="0.25"/>
    <row r="200133" s="12" customFormat="1" x14ac:dyDescent="0.25"/>
    <row r="200134" s="12" customFormat="1" x14ac:dyDescent="0.25"/>
    <row r="200135" s="12" customFormat="1" x14ac:dyDescent="0.25"/>
    <row r="200136" s="12" customFormat="1" x14ac:dyDescent="0.25"/>
    <row r="200137" s="12" customFormat="1" x14ac:dyDescent="0.25"/>
    <row r="200138" s="12" customFormat="1" x14ac:dyDescent="0.25"/>
    <row r="200139" s="12" customFormat="1" x14ac:dyDescent="0.25"/>
    <row r="200140" s="12" customFormat="1" x14ac:dyDescent="0.25"/>
    <row r="200141" s="12" customFormat="1" x14ac:dyDescent="0.25"/>
    <row r="200142" s="12" customFormat="1" x14ac:dyDescent="0.25"/>
    <row r="200143" s="12" customFormat="1" x14ac:dyDescent="0.25"/>
    <row r="200144" s="12" customFormat="1" x14ac:dyDescent="0.25"/>
    <row r="200145" s="12" customFormat="1" x14ac:dyDescent="0.25"/>
    <row r="200146" s="12" customFormat="1" x14ac:dyDescent="0.25"/>
    <row r="200147" s="12" customFormat="1" x14ac:dyDescent="0.25"/>
    <row r="200148" s="12" customFormat="1" x14ac:dyDescent="0.25"/>
    <row r="200149" s="12" customFormat="1" x14ac:dyDescent="0.25"/>
    <row r="200150" s="12" customFormat="1" x14ac:dyDescent="0.25"/>
    <row r="200151" s="12" customFormat="1" x14ac:dyDescent="0.25"/>
    <row r="200152" s="12" customFormat="1" x14ac:dyDescent="0.25"/>
    <row r="200153" s="12" customFormat="1" x14ac:dyDescent="0.25"/>
    <row r="200154" s="12" customFormat="1" x14ac:dyDescent="0.25"/>
    <row r="200155" s="12" customFormat="1" x14ac:dyDescent="0.25"/>
    <row r="200156" s="12" customFormat="1" x14ac:dyDescent="0.25"/>
    <row r="200157" s="12" customFormat="1" x14ac:dyDescent="0.25"/>
    <row r="200158" s="12" customFormat="1" x14ac:dyDescent="0.25"/>
    <row r="200159" s="12" customFormat="1" x14ac:dyDescent="0.25"/>
    <row r="200160" s="12" customFormat="1" x14ac:dyDescent="0.25"/>
    <row r="200161" s="12" customFormat="1" x14ac:dyDescent="0.25"/>
    <row r="200162" s="12" customFormat="1" x14ac:dyDescent="0.25"/>
    <row r="200163" s="12" customFormat="1" x14ac:dyDescent="0.25"/>
    <row r="200164" s="12" customFormat="1" x14ac:dyDescent="0.25"/>
    <row r="200165" s="12" customFormat="1" x14ac:dyDescent="0.25"/>
    <row r="200166" s="12" customFormat="1" x14ac:dyDescent="0.25"/>
    <row r="200167" s="12" customFormat="1" x14ac:dyDescent="0.25"/>
    <row r="200168" s="12" customFormat="1" x14ac:dyDescent="0.25"/>
    <row r="200169" s="12" customFormat="1" x14ac:dyDescent="0.25"/>
    <row r="200170" s="12" customFormat="1" x14ac:dyDescent="0.25"/>
    <row r="200171" s="12" customFormat="1" x14ac:dyDescent="0.25"/>
    <row r="200172" s="12" customFormat="1" x14ac:dyDescent="0.25"/>
    <row r="200173" s="12" customFormat="1" x14ac:dyDescent="0.25"/>
    <row r="200174" s="12" customFormat="1" x14ac:dyDescent="0.25"/>
    <row r="200175" s="12" customFormat="1" x14ac:dyDescent="0.25"/>
    <row r="200176" s="12" customFormat="1" x14ac:dyDescent="0.25"/>
    <row r="200177" s="12" customFormat="1" x14ac:dyDescent="0.25"/>
    <row r="200178" s="12" customFormat="1" x14ac:dyDescent="0.25"/>
    <row r="200179" s="12" customFormat="1" x14ac:dyDescent="0.25"/>
    <row r="200180" s="12" customFormat="1" x14ac:dyDescent="0.25"/>
    <row r="200181" s="12" customFormat="1" x14ac:dyDescent="0.25"/>
    <row r="200182" s="12" customFormat="1" x14ac:dyDescent="0.25"/>
    <row r="200183" s="12" customFormat="1" x14ac:dyDescent="0.25"/>
    <row r="200184" s="12" customFormat="1" x14ac:dyDescent="0.25"/>
    <row r="200185" s="12" customFormat="1" x14ac:dyDescent="0.25"/>
    <row r="200186" s="12" customFormat="1" x14ac:dyDescent="0.25"/>
    <row r="200187" s="12" customFormat="1" x14ac:dyDescent="0.25"/>
    <row r="200188" s="12" customFormat="1" x14ac:dyDescent="0.25"/>
    <row r="200189" s="12" customFormat="1" x14ac:dyDescent="0.25"/>
    <row r="200190" s="12" customFormat="1" x14ac:dyDescent="0.25"/>
    <row r="200191" s="12" customFormat="1" x14ac:dyDescent="0.25"/>
    <row r="200192" s="12" customFormat="1" x14ac:dyDescent="0.25"/>
    <row r="200193" s="12" customFormat="1" x14ac:dyDescent="0.25"/>
    <row r="200194" s="12" customFormat="1" x14ac:dyDescent="0.25"/>
    <row r="200195" s="12" customFormat="1" x14ac:dyDescent="0.25"/>
    <row r="200196" s="12" customFormat="1" x14ac:dyDescent="0.25"/>
    <row r="200197" s="12" customFormat="1" x14ac:dyDescent="0.25"/>
    <row r="200198" s="12" customFormat="1" x14ac:dyDescent="0.25"/>
    <row r="200199" s="12" customFormat="1" x14ac:dyDescent="0.25"/>
    <row r="200200" s="12" customFormat="1" x14ac:dyDescent="0.25"/>
    <row r="200201" s="12" customFormat="1" x14ac:dyDescent="0.25"/>
    <row r="200202" s="12" customFormat="1" x14ac:dyDescent="0.25"/>
    <row r="200203" s="12" customFormat="1" x14ac:dyDescent="0.25"/>
    <row r="200204" s="12" customFormat="1" x14ac:dyDescent="0.25"/>
    <row r="200205" s="12" customFormat="1" x14ac:dyDescent="0.25"/>
    <row r="200206" s="12" customFormat="1" x14ac:dyDescent="0.25"/>
    <row r="200207" s="12" customFormat="1" x14ac:dyDescent="0.25"/>
    <row r="200208" s="12" customFormat="1" x14ac:dyDescent="0.25"/>
    <row r="200209" s="12" customFormat="1" x14ac:dyDescent="0.25"/>
    <row r="200210" s="12" customFormat="1" x14ac:dyDescent="0.25"/>
    <row r="200211" s="12" customFormat="1" x14ac:dyDescent="0.25"/>
    <row r="200212" s="12" customFormat="1" x14ac:dyDescent="0.25"/>
    <row r="200213" s="12" customFormat="1" x14ac:dyDescent="0.25"/>
    <row r="200214" s="12" customFormat="1" x14ac:dyDescent="0.25"/>
    <row r="200215" s="12" customFormat="1" x14ac:dyDescent="0.25"/>
    <row r="200216" s="12" customFormat="1" x14ac:dyDescent="0.25"/>
    <row r="200217" s="12" customFormat="1" x14ac:dyDescent="0.25"/>
    <row r="200218" s="12" customFormat="1" x14ac:dyDescent="0.25"/>
    <row r="200219" s="12" customFormat="1" x14ac:dyDescent="0.25"/>
    <row r="200220" s="12" customFormat="1" x14ac:dyDescent="0.25"/>
    <row r="200221" s="12" customFormat="1" x14ac:dyDescent="0.25"/>
    <row r="200222" s="12" customFormat="1" x14ac:dyDescent="0.25"/>
    <row r="200223" s="12" customFormat="1" x14ac:dyDescent="0.25"/>
    <row r="200224" s="12" customFormat="1" x14ac:dyDescent="0.25"/>
    <row r="200225" s="12" customFormat="1" x14ac:dyDescent="0.25"/>
    <row r="200226" s="12" customFormat="1" x14ac:dyDescent="0.25"/>
    <row r="200227" s="12" customFormat="1" x14ac:dyDescent="0.25"/>
    <row r="200228" s="12" customFormat="1" x14ac:dyDescent="0.25"/>
    <row r="200229" s="12" customFormat="1" x14ac:dyDescent="0.25"/>
    <row r="200230" s="12" customFormat="1" x14ac:dyDescent="0.25"/>
    <row r="200231" s="12" customFormat="1" x14ac:dyDescent="0.25"/>
    <row r="200232" s="12" customFormat="1" x14ac:dyDescent="0.25"/>
    <row r="200233" s="12" customFormat="1" x14ac:dyDescent="0.25"/>
    <row r="200234" s="12" customFormat="1" x14ac:dyDescent="0.25"/>
    <row r="200235" s="12" customFormat="1" x14ac:dyDescent="0.25"/>
    <row r="200236" s="12" customFormat="1" x14ac:dyDescent="0.25"/>
    <row r="200237" s="12" customFormat="1" x14ac:dyDescent="0.25"/>
    <row r="200238" s="12" customFormat="1" x14ac:dyDescent="0.25"/>
    <row r="200239" s="12" customFormat="1" x14ac:dyDescent="0.25"/>
    <row r="200240" s="12" customFormat="1" x14ac:dyDescent="0.25"/>
    <row r="200241" s="12" customFormat="1" x14ac:dyDescent="0.25"/>
    <row r="200242" s="12" customFormat="1" x14ac:dyDescent="0.25"/>
    <row r="200243" s="12" customFormat="1" x14ac:dyDescent="0.25"/>
    <row r="200244" s="12" customFormat="1" x14ac:dyDescent="0.25"/>
    <row r="200245" s="12" customFormat="1" x14ac:dyDescent="0.25"/>
    <row r="200246" s="12" customFormat="1" x14ac:dyDescent="0.25"/>
    <row r="200247" s="12" customFormat="1" x14ac:dyDescent="0.25"/>
    <row r="200248" s="12" customFormat="1" x14ac:dyDescent="0.25"/>
    <row r="200249" s="12" customFormat="1" x14ac:dyDescent="0.25"/>
    <row r="200250" s="12" customFormat="1" x14ac:dyDescent="0.25"/>
    <row r="200251" s="12" customFormat="1" x14ac:dyDescent="0.25"/>
    <row r="200252" s="12" customFormat="1" x14ac:dyDescent="0.25"/>
    <row r="200253" s="12" customFormat="1" x14ac:dyDescent="0.25"/>
    <row r="200254" s="12" customFormat="1" x14ac:dyDescent="0.25"/>
    <row r="200255" s="12" customFormat="1" x14ac:dyDescent="0.25"/>
    <row r="200256" s="12" customFormat="1" x14ac:dyDescent="0.25"/>
    <row r="200257" s="12" customFormat="1" x14ac:dyDescent="0.25"/>
    <row r="200258" s="12" customFormat="1" x14ac:dyDescent="0.25"/>
    <row r="200259" s="12" customFormat="1" x14ac:dyDescent="0.25"/>
    <row r="200260" s="12" customFormat="1" x14ac:dyDescent="0.25"/>
    <row r="200261" s="12" customFormat="1" x14ac:dyDescent="0.25"/>
    <row r="200262" s="12" customFormat="1" x14ac:dyDescent="0.25"/>
    <row r="200263" s="12" customFormat="1" x14ac:dyDescent="0.25"/>
    <row r="200264" s="12" customFormat="1" x14ac:dyDescent="0.25"/>
    <row r="200265" s="12" customFormat="1" x14ac:dyDescent="0.25"/>
    <row r="200266" s="12" customFormat="1" x14ac:dyDescent="0.25"/>
    <row r="200267" s="12" customFormat="1" x14ac:dyDescent="0.25"/>
    <row r="200268" s="12" customFormat="1" x14ac:dyDescent="0.25"/>
    <row r="200269" s="12" customFormat="1" x14ac:dyDescent="0.25"/>
    <row r="200270" s="12" customFormat="1" x14ac:dyDescent="0.25"/>
    <row r="200271" s="12" customFormat="1" x14ac:dyDescent="0.25"/>
    <row r="200272" s="12" customFormat="1" x14ac:dyDescent="0.25"/>
    <row r="200273" s="12" customFormat="1" x14ac:dyDescent="0.25"/>
    <row r="200274" s="12" customFormat="1" x14ac:dyDescent="0.25"/>
    <row r="200275" s="12" customFormat="1" x14ac:dyDescent="0.25"/>
    <row r="200276" s="12" customFormat="1" x14ac:dyDescent="0.25"/>
    <row r="200277" s="12" customFormat="1" x14ac:dyDescent="0.25"/>
    <row r="200278" s="12" customFormat="1" x14ac:dyDescent="0.25"/>
    <row r="200279" s="12" customFormat="1" x14ac:dyDescent="0.25"/>
    <row r="200280" s="12" customFormat="1" x14ac:dyDescent="0.25"/>
    <row r="200281" s="12" customFormat="1" x14ac:dyDescent="0.25"/>
    <row r="200282" s="12" customFormat="1" x14ac:dyDescent="0.25"/>
    <row r="200283" s="12" customFormat="1" x14ac:dyDescent="0.25"/>
    <row r="200284" s="12" customFormat="1" x14ac:dyDescent="0.25"/>
    <row r="200285" s="12" customFormat="1" x14ac:dyDescent="0.25"/>
    <row r="200286" s="12" customFormat="1" x14ac:dyDescent="0.25"/>
    <row r="200287" s="12" customFormat="1" x14ac:dyDescent="0.25"/>
    <row r="200288" s="12" customFormat="1" x14ac:dyDescent="0.25"/>
    <row r="200289" s="12" customFormat="1" x14ac:dyDescent="0.25"/>
    <row r="200290" s="12" customFormat="1" x14ac:dyDescent="0.25"/>
    <row r="200291" s="12" customFormat="1" x14ac:dyDescent="0.25"/>
    <row r="200292" s="12" customFormat="1" x14ac:dyDescent="0.25"/>
    <row r="200293" s="12" customFormat="1" x14ac:dyDescent="0.25"/>
    <row r="200294" s="12" customFormat="1" x14ac:dyDescent="0.25"/>
    <row r="200295" s="12" customFormat="1" x14ac:dyDescent="0.25"/>
    <row r="200296" s="12" customFormat="1" x14ac:dyDescent="0.25"/>
    <row r="200297" s="12" customFormat="1" x14ac:dyDescent="0.25"/>
    <row r="200298" s="12" customFormat="1" x14ac:dyDescent="0.25"/>
    <row r="200299" s="12" customFormat="1" x14ac:dyDescent="0.25"/>
    <row r="200300" s="12" customFormat="1" x14ac:dyDescent="0.25"/>
    <row r="200301" s="12" customFormat="1" x14ac:dyDescent="0.25"/>
    <row r="200302" s="12" customFormat="1" x14ac:dyDescent="0.25"/>
    <row r="200303" s="12" customFormat="1" x14ac:dyDescent="0.25"/>
    <row r="200304" s="12" customFormat="1" x14ac:dyDescent="0.25"/>
    <row r="200305" s="12" customFormat="1" x14ac:dyDescent="0.25"/>
    <row r="200306" s="12" customFormat="1" x14ac:dyDescent="0.25"/>
    <row r="200307" s="12" customFormat="1" x14ac:dyDescent="0.25"/>
    <row r="200308" s="12" customFormat="1" x14ac:dyDescent="0.25"/>
    <row r="200309" s="12" customFormat="1" x14ac:dyDescent="0.25"/>
    <row r="200310" s="12" customFormat="1" x14ac:dyDescent="0.25"/>
    <row r="200311" s="12" customFormat="1" x14ac:dyDescent="0.25"/>
    <row r="200312" s="12" customFormat="1" x14ac:dyDescent="0.25"/>
    <row r="200313" s="12" customFormat="1" x14ac:dyDescent="0.25"/>
    <row r="200314" s="12" customFormat="1" x14ac:dyDescent="0.25"/>
    <row r="200315" s="12" customFormat="1" x14ac:dyDescent="0.25"/>
    <row r="200316" s="12" customFormat="1" x14ac:dyDescent="0.25"/>
    <row r="200317" s="12" customFormat="1" x14ac:dyDescent="0.25"/>
    <row r="200318" s="12" customFormat="1" x14ac:dyDescent="0.25"/>
    <row r="200319" s="12" customFormat="1" x14ac:dyDescent="0.25"/>
    <row r="200320" s="12" customFormat="1" x14ac:dyDescent="0.25"/>
    <row r="200321" s="12" customFormat="1" x14ac:dyDescent="0.25"/>
    <row r="200322" s="12" customFormat="1" x14ac:dyDescent="0.25"/>
    <row r="200323" s="12" customFormat="1" x14ac:dyDescent="0.25"/>
    <row r="200324" s="12" customFormat="1" x14ac:dyDescent="0.25"/>
    <row r="200325" s="12" customFormat="1" x14ac:dyDescent="0.25"/>
    <row r="200326" s="12" customFormat="1" x14ac:dyDescent="0.25"/>
    <row r="200327" s="12" customFormat="1" x14ac:dyDescent="0.25"/>
    <row r="200328" s="12" customFormat="1" x14ac:dyDescent="0.25"/>
    <row r="200329" s="12" customFormat="1" x14ac:dyDescent="0.25"/>
    <row r="200330" s="12" customFormat="1" x14ac:dyDescent="0.25"/>
    <row r="200331" s="12" customFormat="1" x14ac:dyDescent="0.25"/>
    <row r="200332" s="12" customFormat="1" x14ac:dyDescent="0.25"/>
    <row r="200333" s="12" customFormat="1" x14ac:dyDescent="0.25"/>
    <row r="200334" s="12" customFormat="1" x14ac:dyDescent="0.25"/>
    <row r="200335" s="12" customFormat="1" x14ac:dyDescent="0.25"/>
    <row r="200336" s="12" customFormat="1" x14ac:dyDescent="0.25"/>
    <row r="200337" s="12" customFormat="1" x14ac:dyDescent="0.25"/>
    <row r="200338" s="12" customFormat="1" x14ac:dyDescent="0.25"/>
    <row r="200339" s="12" customFormat="1" x14ac:dyDescent="0.25"/>
    <row r="200340" s="12" customFormat="1" x14ac:dyDescent="0.25"/>
    <row r="200341" s="12" customFormat="1" x14ac:dyDescent="0.25"/>
    <row r="200342" s="12" customFormat="1" x14ac:dyDescent="0.25"/>
    <row r="200343" s="12" customFormat="1" x14ac:dyDescent="0.25"/>
    <row r="200344" s="12" customFormat="1" x14ac:dyDescent="0.25"/>
    <row r="200345" s="12" customFormat="1" x14ac:dyDescent="0.25"/>
    <row r="200346" s="12" customFormat="1" x14ac:dyDescent="0.25"/>
    <row r="200347" s="12" customFormat="1" x14ac:dyDescent="0.25"/>
    <row r="200348" s="12" customFormat="1" x14ac:dyDescent="0.25"/>
    <row r="200349" s="12" customFormat="1" x14ac:dyDescent="0.25"/>
    <row r="200350" s="12" customFormat="1" x14ac:dyDescent="0.25"/>
    <row r="200351" s="12" customFormat="1" x14ac:dyDescent="0.25"/>
    <row r="200352" s="12" customFormat="1" x14ac:dyDescent="0.25"/>
    <row r="200353" s="12" customFormat="1" x14ac:dyDescent="0.25"/>
    <row r="200354" s="12" customFormat="1" x14ac:dyDescent="0.25"/>
    <row r="200355" s="12" customFormat="1" x14ac:dyDescent="0.25"/>
    <row r="200356" s="12" customFormat="1" x14ac:dyDescent="0.25"/>
    <row r="200357" s="12" customFormat="1" x14ac:dyDescent="0.25"/>
    <row r="200358" s="12" customFormat="1" x14ac:dyDescent="0.25"/>
    <row r="200359" s="12" customFormat="1" x14ac:dyDescent="0.25"/>
    <row r="200360" s="12" customFormat="1" x14ac:dyDescent="0.25"/>
    <row r="200361" s="12" customFormat="1" x14ac:dyDescent="0.25"/>
    <row r="200362" s="12" customFormat="1" x14ac:dyDescent="0.25"/>
    <row r="200363" s="12" customFormat="1" x14ac:dyDescent="0.25"/>
    <row r="200364" s="12" customFormat="1" x14ac:dyDescent="0.25"/>
    <row r="200365" s="12" customFormat="1" x14ac:dyDescent="0.25"/>
    <row r="200366" s="12" customFormat="1" x14ac:dyDescent="0.25"/>
    <row r="200367" s="12" customFormat="1" x14ac:dyDescent="0.25"/>
    <row r="200368" s="12" customFormat="1" x14ac:dyDescent="0.25"/>
    <row r="200369" s="12" customFormat="1" x14ac:dyDescent="0.25"/>
    <row r="200370" s="12" customFormat="1" x14ac:dyDescent="0.25"/>
    <row r="200371" s="12" customFormat="1" x14ac:dyDescent="0.25"/>
    <row r="200372" s="12" customFormat="1" x14ac:dyDescent="0.25"/>
    <row r="200373" s="12" customFormat="1" x14ac:dyDescent="0.25"/>
    <row r="200374" s="12" customFormat="1" x14ac:dyDescent="0.25"/>
    <row r="200375" s="12" customFormat="1" x14ac:dyDescent="0.25"/>
    <row r="200376" s="12" customFormat="1" x14ac:dyDescent="0.25"/>
    <row r="200377" s="12" customFormat="1" x14ac:dyDescent="0.25"/>
    <row r="200378" s="12" customFormat="1" x14ac:dyDescent="0.25"/>
    <row r="200379" s="12" customFormat="1" x14ac:dyDescent="0.25"/>
    <row r="200380" s="12" customFormat="1" x14ac:dyDescent="0.25"/>
    <row r="200381" s="12" customFormat="1" x14ac:dyDescent="0.25"/>
    <row r="200382" s="12" customFormat="1" x14ac:dyDescent="0.25"/>
    <row r="200383" s="12" customFormat="1" x14ac:dyDescent="0.25"/>
    <row r="200384" s="12" customFormat="1" x14ac:dyDescent="0.25"/>
    <row r="200385" s="12" customFormat="1" x14ac:dyDescent="0.25"/>
    <row r="200386" s="12" customFormat="1" x14ac:dyDescent="0.25"/>
    <row r="200387" s="12" customFormat="1" x14ac:dyDescent="0.25"/>
    <row r="200388" s="12" customFormat="1" x14ac:dyDescent="0.25"/>
    <row r="200389" s="12" customFormat="1" x14ac:dyDescent="0.25"/>
    <row r="200390" s="12" customFormat="1" x14ac:dyDescent="0.25"/>
    <row r="200391" s="12" customFormat="1" x14ac:dyDescent="0.25"/>
    <row r="200392" s="12" customFormat="1" x14ac:dyDescent="0.25"/>
    <row r="200393" s="12" customFormat="1" x14ac:dyDescent="0.25"/>
    <row r="200394" s="12" customFormat="1" x14ac:dyDescent="0.25"/>
    <row r="200395" s="12" customFormat="1" x14ac:dyDescent="0.25"/>
    <row r="200396" s="12" customFormat="1" x14ac:dyDescent="0.25"/>
    <row r="200397" s="12" customFormat="1" x14ac:dyDescent="0.25"/>
    <row r="200398" s="12" customFormat="1" x14ac:dyDescent="0.25"/>
    <row r="200399" s="12" customFormat="1" x14ac:dyDescent="0.25"/>
    <row r="200400" s="12" customFormat="1" x14ac:dyDescent="0.25"/>
    <row r="200401" s="12" customFormat="1" x14ac:dyDescent="0.25"/>
    <row r="200402" s="12" customFormat="1" x14ac:dyDescent="0.25"/>
    <row r="200403" s="12" customFormat="1" x14ac:dyDescent="0.25"/>
    <row r="200404" s="12" customFormat="1" x14ac:dyDescent="0.25"/>
    <row r="200405" s="12" customFormat="1" x14ac:dyDescent="0.25"/>
    <row r="200406" s="12" customFormat="1" x14ac:dyDescent="0.25"/>
    <row r="200407" s="12" customFormat="1" x14ac:dyDescent="0.25"/>
    <row r="200408" s="12" customFormat="1" x14ac:dyDescent="0.25"/>
    <row r="200409" s="12" customFormat="1" x14ac:dyDescent="0.25"/>
    <row r="200410" s="12" customFormat="1" x14ac:dyDescent="0.25"/>
    <row r="200411" s="12" customFormat="1" x14ac:dyDescent="0.25"/>
    <row r="200412" s="12" customFormat="1" x14ac:dyDescent="0.25"/>
    <row r="200413" s="12" customFormat="1" x14ac:dyDescent="0.25"/>
    <row r="200414" s="12" customFormat="1" x14ac:dyDescent="0.25"/>
    <row r="200415" s="12" customFormat="1" x14ac:dyDescent="0.25"/>
    <row r="200416" s="12" customFormat="1" x14ac:dyDescent="0.25"/>
    <row r="200417" s="12" customFormat="1" x14ac:dyDescent="0.25"/>
    <row r="200418" s="12" customFormat="1" x14ac:dyDescent="0.25"/>
    <row r="200419" s="12" customFormat="1" x14ac:dyDescent="0.25"/>
    <row r="200420" s="12" customFormat="1" x14ac:dyDescent="0.25"/>
    <row r="200421" s="12" customFormat="1" x14ac:dyDescent="0.25"/>
    <row r="200422" s="12" customFormat="1" x14ac:dyDescent="0.25"/>
    <row r="200423" s="12" customFormat="1" x14ac:dyDescent="0.25"/>
    <row r="200424" s="12" customFormat="1" x14ac:dyDescent="0.25"/>
    <row r="200425" s="12" customFormat="1" x14ac:dyDescent="0.25"/>
    <row r="200426" s="12" customFormat="1" x14ac:dyDescent="0.25"/>
    <row r="200427" s="12" customFormat="1" x14ac:dyDescent="0.25"/>
    <row r="200428" s="12" customFormat="1" x14ac:dyDescent="0.25"/>
    <row r="200429" s="12" customFormat="1" x14ac:dyDescent="0.25"/>
    <row r="200430" s="12" customFormat="1" x14ac:dyDescent="0.25"/>
    <row r="200431" s="12" customFormat="1" x14ac:dyDescent="0.25"/>
    <row r="200432" s="12" customFormat="1" x14ac:dyDescent="0.25"/>
    <row r="200433" s="12" customFormat="1" x14ac:dyDescent="0.25"/>
    <row r="200434" s="12" customFormat="1" x14ac:dyDescent="0.25"/>
    <row r="200435" s="12" customFormat="1" x14ac:dyDescent="0.25"/>
    <row r="200436" s="12" customFormat="1" x14ac:dyDescent="0.25"/>
    <row r="200437" s="12" customFormat="1" x14ac:dyDescent="0.25"/>
    <row r="200438" s="12" customFormat="1" x14ac:dyDescent="0.25"/>
    <row r="200439" s="12" customFormat="1" x14ac:dyDescent="0.25"/>
    <row r="200440" s="12" customFormat="1" x14ac:dyDescent="0.25"/>
    <row r="200441" s="12" customFormat="1" x14ac:dyDescent="0.25"/>
    <row r="200442" s="12" customFormat="1" x14ac:dyDescent="0.25"/>
    <row r="200443" s="12" customFormat="1" x14ac:dyDescent="0.25"/>
    <row r="200444" s="12" customFormat="1" x14ac:dyDescent="0.25"/>
    <row r="200445" s="12" customFormat="1" x14ac:dyDescent="0.25"/>
    <row r="200446" s="12" customFormat="1" x14ac:dyDescent="0.25"/>
    <row r="200447" s="12" customFormat="1" x14ac:dyDescent="0.25"/>
    <row r="200448" s="12" customFormat="1" x14ac:dyDescent="0.25"/>
    <row r="200449" s="12" customFormat="1" x14ac:dyDescent="0.25"/>
    <row r="200450" s="12" customFormat="1" x14ac:dyDescent="0.25"/>
    <row r="200451" s="12" customFormat="1" x14ac:dyDescent="0.25"/>
    <row r="200452" s="12" customFormat="1" x14ac:dyDescent="0.25"/>
    <row r="200453" s="12" customFormat="1" x14ac:dyDescent="0.25"/>
    <row r="200454" s="12" customFormat="1" x14ac:dyDescent="0.25"/>
    <row r="200455" s="12" customFormat="1" x14ac:dyDescent="0.25"/>
    <row r="200456" s="12" customFormat="1" x14ac:dyDescent="0.25"/>
    <row r="200457" s="12" customFormat="1" x14ac:dyDescent="0.25"/>
    <row r="200458" s="12" customFormat="1" x14ac:dyDescent="0.25"/>
    <row r="200459" s="12" customFormat="1" x14ac:dyDescent="0.25"/>
    <row r="200460" s="12" customFormat="1" x14ac:dyDescent="0.25"/>
    <row r="200461" s="12" customFormat="1" x14ac:dyDescent="0.25"/>
    <row r="200462" s="12" customFormat="1" x14ac:dyDescent="0.25"/>
    <row r="200463" s="12" customFormat="1" x14ac:dyDescent="0.25"/>
    <row r="200464" s="12" customFormat="1" x14ac:dyDescent="0.25"/>
    <row r="200465" s="12" customFormat="1" x14ac:dyDescent="0.25"/>
    <row r="200466" s="12" customFormat="1" x14ac:dyDescent="0.25"/>
    <row r="200467" s="12" customFormat="1" x14ac:dyDescent="0.25"/>
    <row r="200468" s="12" customFormat="1" x14ac:dyDescent="0.25"/>
    <row r="200469" s="12" customFormat="1" x14ac:dyDescent="0.25"/>
    <row r="200470" s="12" customFormat="1" x14ac:dyDescent="0.25"/>
    <row r="200471" s="12" customFormat="1" x14ac:dyDescent="0.25"/>
    <row r="200472" s="12" customFormat="1" x14ac:dyDescent="0.25"/>
    <row r="200473" s="12" customFormat="1" x14ac:dyDescent="0.25"/>
    <row r="200474" s="12" customFormat="1" x14ac:dyDescent="0.25"/>
    <row r="200475" s="12" customFormat="1" x14ac:dyDescent="0.25"/>
    <row r="200476" s="12" customFormat="1" x14ac:dyDescent="0.25"/>
    <row r="200477" s="12" customFormat="1" x14ac:dyDescent="0.25"/>
    <row r="200478" s="12" customFormat="1" x14ac:dyDescent="0.25"/>
    <row r="200479" s="12" customFormat="1" x14ac:dyDescent="0.25"/>
    <row r="200480" s="12" customFormat="1" x14ac:dyDescent="0.25"/>
    <row r="200481" s="12" customFormat="1" x14ac:dyDescent="0.25"/>
    <row r="200482" s="12" customFormat="1" x14ac:dyDescent="0.25"/>
    <row r="200483" s="12" customFormat="1" x14ac:dyDescent="0.25"/>
    <row r="200484" s="12" customFormat="1" x14ac:dyDescent="0.25"/>
    <row r="200485" s="12" customFormat="1" x14ac:dyDescent="0.25"/>
    <row r="200486" s="12" customFormat="1" x14ac:dyDescent="0.25"/>
    <row r="200487" s="12" customFormat="1" x14ac:dyDescent="0.25"/>
    <row r="200488" s="12" customFormat="1" x14ac:dyDescent="0.25"/>
    <row r="200489" s="12" customFormat="1" x14ac:dyDescent="0.25"/>
    <row r="200490" s="12" customFormat="1" x14ac:dyDescent="0.25"/>
    <row r="200491" s="12" customFormat="1" x14ac:dyDescent="0.25"/>
    <row r="200492" s="12" customFormat="1" x14ac:dyDescent="0.25"/>
    <row r="200493" s="12" customFormat="1" x14ac:dyDescent="0.25"/>
    <row r="200494" s="12" customFormat="1" x14ac:dyDescent="0.25"/>
    <row r="200495" s="12" customFormat="1" x14ac:dyDescent="0.25"/>
    <row r="200496" s="12" customFormat="1" x14ac:dyDescent="0.25"/>
    <row r="200497" s="12" customFormat="1" x14ac:dyDescent="0.25"/>
    <row r="200498" s="12" customFormat="1" x14ac:dyDescent="0.25"/>
    <row r="200499" s="12" customFormat="1" x14ac:dyDescent="0.25"/>
    <row r="200500" s="12" customFormat="1" x14ac:dyDescent="0.25"/>
    <row r="200501" s="12" customFormat="1" x14ac:dyDescent="0.25"/>
    <row r="200502" s="12" customFormat="1" x14ac:dyDescent="0.25"/>
    <row r="200503" s="12" customFormat="1" x14ac:dyDescent="0.25"/>
    <row r="200504" s="12" customFormat="1" x14ac:dyDescent="0.25"/>
    <row r="200505" s="12" customFormat="1" x14ac:dyDescent="0.25"/>
    <row r="200506" s="12" customFormat="1" x14ac:dyDescent="0.25"/>
    <row r="200507" s="12" customFormat="1" x14ac:dyDescent="0.25"/>
    <row r="200508" s="12" customFormat="1" x14ac:dyDescent="0.25"/>
    <row r="200509" s="12" customFormat="1" x14ac:dyDescent="0.25"/>
    <row r="200510" s="12" customFormat="1" x14ac:dyDescent="0.25"/>
    <row r="200511" s="12" customFormat="1" x14ac:dyDescent="0.25"/>
    <row r="200512" s="12" customFormat="1" x14ac:dyDescent="0.25"/>
    <row r="200513" s="12" customFormat="1" x14ac:dyDescent="0.25"/>
    <row r="200514" s="12" customFormat="1" x14ac:dyDescent="0.25"/>
    <row r="200515" s="12" customFormat="1" x14ac:dyDescent="0.25"/>
    <row r="200516" s="12" customFormat="1" x14ac:dyDescent="0.25"/>
    <row r="200517" s="12" customFormat="1" x14ac:dyDescent="0.25"/>
    <row r="200518" s="12" customFormat="1" x14ac:dyDescent="0.25"/>
    <row r="200519" s="12" customFormat="1" x14ac:dyDescent="0.25"/>
    <row r="200520" s="12" customFormat="1" x14ac:dyDescent="0.25"/>
    <row r="200521" s="12" customFormat="1" x14ac:dyDescent="0.25"/>
    <row r="200522" s="12" customFormat="1" x14ac:dyDescent="0.25"/>
    <row r="200523" s="12" customFormat="1" x14ac:dyDescent="0.25"/>
    <row r="200524" s="12" customFormat="1" x14ac:dyDescent="0.25"/>
    <row r="200525" s="12" customFormat="1" x14ac:dyDescent="0.25"/>
    <row r="200526" s="12" customFormat="1" x14ac:dyDescent="0.25"/>
    <row r="200527" s="12" customFormat="1" x14ac:dyDescent="0.25"/>
    <row r="200528" s="12" customFormat="1" x14ac:dyDescent="0.25"/>
    <row r="200529" s="12" customFormat="1" x14ac:dyDescent="0.25"/>
    <row r="200530" s="12" customFormat="1" x14ac:dyDescent="0.25"/>
    <row r="200531" s="12" customFormat="1" x14ac:dyDescent="0.25"/>
    <row r="200532" s="12" customFormat="1" x14ac:dyDescent="0.25"/>
    <row r="200533" s="12" customFormat="1" x14ac:dyDescent="0.25"/>
    <row r="200534" s="12" customFormat="1" x14ac:dyDescent="0.25"/>
    <row r="200535" s="12" customFormat="1" x14ac:dyDescent="0.25"/>
    <row r="200536" s="12" customFormat="1" x14ac:dyDescent="0.25"/>
    <row r="200537" s="12" customFormat="1" x14ac:dyDescent="0.25"/>
    <row r="200538" s="12" customFormat="1" x14ac:dyDescent="0.25"/>
    <row r="200539" s="12" customFormat="1" x14ac:dyDescent="0.25"/>
    <row r="200540" s="12" customFormat="1" x14ac:dyDescent="0.25"/>
    <row r="200541" s="12" customFormat="1" x14ac:dyDescent="0.25"/>
    <row r="200542" s="12" customFormat="1" x14ac:dyDescent="0.25"/>
    <row r="200543" s="12" customFormat="1" x14ac:dyDescent="0.25"/>
    <row r="200544" s="12" customFormat="1" x14ac:dyDescent="0.25"/>
    <row r="200545" s="12" customFormat="1" x14ac:dyDescent="0.25"/>
    <row r="200546" s="12" customFormat="1" x14ac:dyDescent="0.25"/>
    <row r="200547" s="12" customFormat="1" x14ac:dyDescent="0.25"/>
    <row r="200548" s="12" customFormat="1" x14ac:dyDescent="0.25"/>
    <row r="200549" s="12" customFormat="1" x14ac:dyDescent="0.25"/>
    <row r="200550" s="12" customFormat="1" x14ac:dyDescent="0.25"/>
    <row r="200551" s="12" customFormat="1" x14ac:dyDescent="0.25"/>
    <row r="200552" s="12" customFormat="1" x14ac:dyDescent="0.25"/>
    <row r="200553" s="12" customFormat="1" x14ac:dyDescent="0.25"/>
    <row r="200554" s="12" customFormat="1" x14ac:dyDescent="0.25"/>
    <row r="200555" s="12" customFormat="1" x14ac:dyDescent="0.25"/>
    <row r="200556" s="12" customFormat="1" x14ac:dyDescent="0.25"/>
    <row r="200557" s="12" customFormat="1" x14ac:dyDescent="0.25"/>
    <row r="200558" s="12" customFormat="1" x14ac:dyDescent="0.25"/>
    <row r="200559" s="12" customFormat="1" x14ac:dyDescent="0.25"/>
    <row r="200560" s="12" customFormat="1" x14ac:dyDescent="0.25"/>
    <row r="200561" s="12" customFormat="1" x14ac:dyDescent="0.25"/>
    <row r="200562" s="12" customFormat="1" x14ac:dyDescent="0.25"/>
    <row r="200563" s="12" customFormat="1" x14ac:dyDescent="0.25"/>
    <row r="200564" s="12" customFormat="1" x14ac:dyDescent="0.25"/>
    <row r="200565" s="12" customFormat="1" x14ac:dyDescent="0.25"/>
    <row r="200566" s="12" customFormat="1" x14ac:dyDescent="0.25"/>
    <row r="200567" s="12" customFormat="1" x14ac:dyDescent="0.25"/>
    <row r="200568" s="12" customFormat="1" x14ac:dyDescent="0.25"/>
    <row r="200569" s="12" customFormat="1" x14ac:dyDescent="0.25"/>
    <row r="200570" s="12" customFormat="1" x14ac:dyDescent="0.25"/>
    <row r="200571" s="12" customFormat="1" x14ac:dyDescent="0.25"/>
    <row r="200572" s="12" customFormat="1" x14ac:dyDescent="0.25"/>
    <row r="200573" s="12" customFormat="1" x14ac:dyDescent="0.25"/>
    <row r="200574" s="12" customFormat="1" x14ac:dyDescent="0.25"/>
    <row r="200575" s="12" customFormat="1" x14ac:dyDescent="0.25"/>
    <row r="200576" s="12" customFormat="1" x14ac:dyDescent="0.25"/>
    <row r="200577" s="12" customFormat="1" x14ac:dyDescent="0.25"/>
    <row r="200578" s="12" customFormat="1" x14ac:dyDescent="0.25"/>
    <row r="200579" s="12" customFormat="1" x14ac:dyDescent="0.25"/>
    <row r="200580" s="12" customFormat="1" x14ac:dyDescent="0.25"/>
    <row r="200581" s="12" customFormat="1" x14ac:dyDescent="0.25"/>
    <row r="200582" s="12" customFormat="1" x14ac:dyDescent="0.25"/>
    <row r="200583" s="12" customFormat="1" x14ac:dyDescent="0.25"/>
    <row r="200584" s="12" customFormat="1" x14ac:dyDescent="0.25"/>
    <row r="200585" s="12" customFormat="1" x14ac:dyDescent="0.25"/>
    <row r="200586" s="12" customFormat="1" x14ac:dyDescent="0.25"/>
    <row r="200587" s="12" customFormat="1" x14ac:dyDescent="0.25"/>
    <row r="200588" s="12" customFormat="1" x14ac:dyDescent="0.25"/>
    <row r="200589" s="12" customFormat="1" x14ac:dyDescent="0.25"/>
    <row r="200590" s="12" customFormat="1" x14ac:dyDescent="0.25"/>
    <row r="200591" s="12" customFormat="1" x14ac:dyDescent="0.25"/>
    <row r="200592" s="12" customFormat="1" x14ac:dyDescent="0.25"/>
    <row r="200593" s="12" customFormat="1" x14ac:dyDescent="0.25"/>
    <row r="200594" s="12" customFormat="1" x14ac:dyDescent="0.25"/>
    <row r="200595" s="12" customFormat="1" x14ac:dyDescent="0.25"/>
    <row r="200596" s="12" customFormat="1" x14ac:dyDescent="0.25"/>
    <row r="200597" s="12" customFormat="1" x14ac:dyDescent="0.25"/>
    <row r="200598" s="12" customFormat="1" x14ac:dyDescent="0.25"/>
    <row r="200599" s="12" customFormat="1" x14ac:dyDescent="0.25"/>
    <row r="200600" s="12" customFormat="1" x14ac:dyDescent="0.25"/>
    <row r="200601" s="12" customFormat="1" x14ac:dyDescent="0.25"/>
    <row r="200602" s="12" customFormat="1" x14ac:dyDescent="0.25"/>
    <row r="200603" s="12" customFormat="1" x14ac:dyDescent="0.25"/>
    <row r="200604" s="12" customFormat="1" x14ac:dyDescent="0.25"/>
    <row r="200605" s="12" customFormat="1" x14ac:dyDescent="0.25"/>
    <row r="200606" s="12" customFormat="1" x14ac:dyDescent="0.25"/>
    <row r="200607" s="12" customFormat="1" x14ac:dyDescent="0.25"/>
    <row r="200608" s="12" customFormat="1" x14ac:dyDescent="0.25"/>
    <row r="200609" s="12" customFormat="1" x14ac:dyDescent="0.25"/>
    <row r="200610" s="12" customFormat="1" x14ac:dyDescent="0.25"/>
    <row r="200611" s="12" customFormat="1" x14ac:dyDescent="0.25"/>
    <row r="200612" s="12" customFormat="1" x14ac:dyDescent="0.25"/>
    <row r="200613" s="12" customFormat="1" x14ac:dyDescent="0.25"/>
    <row r="200614" s="12" customFormat="1" x14ac:dyDescent="0.25"/>
    <row r="200615" s="12" customFormat="1" x14ac:dyDescent="0.25"/>
    <row r="200616" s="12" customFormat="1" x14ac:dyDescent="0.25"/>
    <row r="200617" s="12" customFormat="1" x14ac:dyDescent="0.25"/>
    <row r="200618" s="12" customFormat="1" x14ac:dyDescent="0.25"/>
    <row r="200619" s="12" customFormat="1" x14ac:dyDescent="0.25"/>
    <row r="200620" s="12" customFormat="1" x14ac:dyDescent="0.25"/>
    <row r="200621" s="12" customFormat="1" x14ac:dyDescent="0.25"/>
    <row r="200622" s="12" customFormat="1" x14ac:dyDescent="0.25"/>
    <row r="200623" s="12" customFormat="1" x14ac:dyDescent="0.25"/>
    <row r="200624" s="12" customFormat="1" x14ac:dyDescent="0.25"/>
    <row r="200625" s="12" customFormat="1" x14ac:dyDescent="0.25"/>
    <row r="200626" s="12" customFormat="1" x14ac:dyDescent="0.25"/>
    <row r="200627" s="12" customFormat="1" x14ac:dyDescent="0.25"/>
    <row r="200628" s="12" customFormat="1" x14ac:dyDescent="0.25"/>
    <row r="200629" s="12" customFormat="1" x14ac:dyDescent="0.25"/>
    <row r="200630" s="12" customFormat="1" x14ac:dyDescent="0.25"/>
    <row r="200631" s="12" customFormat="1" x14ac:dyDescent="0.25"/>
    <row r="200632" s="12" customFormat="1" x14ac:dyDescent="0.25"/>
    <row r="200633" s="12" customFormat="1" x14ac:dyDescent="0.25"/>
    <row r="200634" s="12" customFormat="1" x14ac:dyDescent="0.25"/>
    <row r="200635" s="12" customFormat="1" x14ac:dyDescent="0.25"/>
    <row r="200636" s="12" customFormat="1" x14ac:dyDescent="0.25"/>
    <row r="200637" s="12" customFormat="1" x14ac:dyDescent="0.25"/>
    <row r="200638" s="12" customFormat="1" x14ac:dyDescent="0.25"/>
    <row r="200639" s="12" customFormat="1" x14ac:dyDescent="0.25"/>
    <row r="200640" s="12" customFormat="1" x14ac:dyDescent="0.25"/>
    <row r="200641" s="12" customFormat="1" x14ac:dyDescent="0.25"/>
    <row r="200642" s="12" customFormat="1" x14ac:dyDescent="0.25"/>
    <row r="200643" s="12" customFormat="1" x14ac:dyDescent="0.25"/>
    <row r="200644" s="12" customFormat="1" x14ac:dyDescent="0.25"/>
    <row r="200645" s="12" customFormat="1" x14ac:dyDescent="0.25"/>
    <row r="200646" s="12" customFormat="1" x14ac:dyDescent="0.25"/>
    <row r="200647" s="12" customFormat="1" x14ac:dyDescent="0.25"/>
    <row r="200648" s="12" customFormat="1" x14ac:dyDescent="0.25"/>
    <row r="200649" s="12" customFormat="1" x14ac:dyDescent="0.25"/>
    <row r="200650" s="12" customFormat="1" x14ac:dyDescent="0.25"/>
    <row r="200651" s="12" customFormat="1" x14ac:dyDescent="0.25"/>
    <row r="200652" s="12" customFormat="1" x14ac:dyDescent="0.25"/>
    <row r="200653" s="12" customFormat="1" x14ac:dyDescent="0.25"/>
    <row r="200654" s="12" customFormat="1" x14ac:dyDescent="0.25"/>
    <row r="200655" s="12" customFormat="1" x14ac:dyDescent="0.25"/>
    <row r="200656" s="12" customFormat="1" x14ac:dyDescent="0.25"/>
    <row r="200657" s="12" customFormat="1" x14ac:dyDescent="0.25"/>
    <row r="200658" s="12" customFormat="1" x14ac:dyDescent="0.25"/>
    <row r="200659" s="12" customFormat="1" x14ac:dyDescent="0.25"/>
    <row r="200660" s="12" customFormat="1" x14ac:dyDescent="0.25"/>
    <row r="200661" s="12" customFormat="1" x14ac:dyDescent="0.25"/>
    <row r="200662" s="12" customFormat="1" x14ac:dyDescent="0.25"/>
    <row r="200663" s="12" customFormat="1" x14ac:dyDescent="0.25"/>
    <row r="200664" s="12" customFormat="1" x14ac:dyDescent="0.25"/>
    <row r="200665" s="12" customFormat="1" x14ac:dyDescent="0.25"/>
    <row r="200666" s="12" customFormat="1" x14ac:dyDescent="0.25"/>
    <row r="200667" s="12" customFormat="1" x14ac:dyDescent="0.25"/>
    <row r="200668" s="12" customFormat="1" x14ac:dyDescent="0.25"/>
    <row r="200669" s="12" customFormat="1" x14ac:dyDescent="0.25"/>
    <row r="200670" s="12" customFormat="1" x14ac:dyDescent="0.25"/>
    <row r="200671" s="12" customFormat="1" x14ac:dyDescent="0.25"/>
    <row r="200672" s="12" customFormat="1" x14ac:dyDescent="0.25"/>
    <row r="200673" s="12" customFormat="1" x14ac:dyDescent="0.25"/>
    <row r="200674" s="12" customFormat="1" x14ac:dyDescent="0.25"/>
    <row r="200675" s="12" customFormat="1" x14ac:dyDescent="0.25"/>
    <row r="200676" s="12" customFormat="1" x14ac:dyDescent="0.25"/>
    <row r="200677" s="12" customFormat="1" x14ac:dyDescent="0.25"/>
    <row r="200678" s="12" customFormat="1" x14ac:dyDescent="0.25"/>
    <row r="200679" s="12" customFormat="1" x14ac:dyDescent="0.25"/>
    <row r="200680" s="12" customFormat="1" x14ac:dyDescent="0.25"/>
    <row r="200681" s="12" customFormat="1" x14ac:dyDescent="0.25"/>
    <row r="200682" s="12" customFormat="1" x14ac:dyDescent="0.25"/>
    <row r="200683" s="12" customFormat="1" x14ac:dyDescent="0.25"/>
    <row r="200684" s="12" customFormat="1" x14ac:dyDescent="0.25"/>
    <row r="200685" s="12" customFormat="1" x14ac:dyDescent="0.25"/>
    <row r="200686" s="12" customFormat="1" x14ac:dyDescent="0.25"/>
    <row r="200687" s="12" customFormat="1" x14ac:dyDescent="0.25"/>
    <row r="200688" s="12" customFormat="1" x14ac:dyDescent="0.25"/>
    <row r="200689" s="12" customFormat="1" x14ac:dyDescent="0.25"/>
    <row r="200690" s="12" customFormat="1" x14ac:dyDescent="0.25"/>
    <row r="200691" s="12" customFormat="1" x14ac:dyDescent="0.25"/>
    <row r="200692" s="12" customFormat="1" x14ac:dyDescent="0.25"/>
    <row r="200693" s="12" customFormat="1" x14ac:dyDescent="0.25"/>
    <row r="200694" s="12" customFormat="1" x14ac:dyDescent="0.25"/>
    <row r="200695" s="12" customFormat="1" x14ac:dyDescent="0.25"/>
    <row r="200696" s="12" customFormat="1" x14ac:dyDescent="0.25"/>
    <row r="200697" s="12" customFormat="1" x14ac:dyDescent="0.25"/>
    <row r="200698" s="12" customFormat="1" x14ac:dyDescent="0.25"/>
    <row r="200699" s="12" customFormat="1" x14ac:dyDescent="0.25"/>
    <row r="200700" s="12" customFormat="1" x14ac:dyDescent="0.25"/>
    <row r="200701" s="12" customFormat="1" x14ac:dyDescent="0.25"/>
    <row r="200702" s="12" customFormat="1" x14ac:dyDescent="0.25"/>
    <row r="200703" s="12" customFormat="1" x14ac:dyDescent="0.25"/>
    <row r="200704" s="12" customFormat="1" x14ac:dyDescent="0.25"/>
    <row r="200705" s="12" customFormat="1" x14ac:dyDescent="0.25"/>
    <row r="200706" s="12" customFormat="1" x14ac:dyDescent="0.25"/>
    <row r="200707" s="12" customFormat="1" x14ac:dyDescent="0.25"/>
    <row r="200708" s="12" customFormat="1" x14ac:dyDescent="0.25"/>
    <row r="200709" s="12" customFormat="1" x14ac:dyDescent="0.25"/>
    <row r="200710" s="12" customFormat="1" x14ac:dyDescent="0.25"/>
    <row r="200711" s="12" customFormat="1" x14ac:dyDescent="0.25"/>
    <row r="200712" s="12" customFormat="1" x14ac:dyDescent="0.25"/>
    <row r="200713" s="12" customFormat="1" x14ac:dyDescent="0.25"/>
    <row r="200714" s="12" customFormat="1" x14ac:dyDescent="0.25"/>
    <row r="200715" s="12" customFormat="1" x14ac:dyDescent="0.25"/>
    <row r="200716" s="12" customFormat="1" x14ac:dyDescent="0.25"/>
    <row r="200717" s="12" customFormat="1" x14ac:dyDescent="0.25"/>
    <row r="200718" s="12" customFormat="1" x14ac:dyDescent="0.25"/>
    <row r="200719" s="12" customFormat="1" x14ac:dyDescent="0.25"/>
    <row r="200720" s="12" customFormat="1" x14ac:dyDescent="0.25"/>
    <row r="200721" s="12" customFormat="1" x14ac:dyDescent="0.25"/>
    <row r="200722" s="12" customFormat="1" x14ac:dyDescent="0.25"/>
    <row r="200723" s="12" customFormat="1" x14ac:dyDescent="0.25"/>
    <row r="200724" s="12" customFormat="1" x14ac:dyDescent="0.25"/>
    <row r="200725" s="12" customFormat="1" x14ac:dyDescent="0.25"/>
    <row r="200726" s="12" customFormat="1" x14ac:dyDescent="0.25"/>
    <row r="200727" s="12" customFormat="1" x14ac:dyDescent="0.25"/>
    <row r="200728" s="12" customFormat="1" x14ac:dyDescent="0.25"/>
    <row r="200729" s="12" customFormat="1" x14ac:dyDescent="0.25"/>
    <row r="200730" s="12" customFormat="1" x14ac:dyDescent="0.25"/>
    <row r="200731" s="12" customFormat="1" x14ac:dyDescent="0.25"/>
    <row r="200732" s="12" customFormat="1" x14ac:dyDescent="0.25"/>
    <row r="200733" s="12" customFormat="1" x14ac:dyDescent="0.25"/>
    <row r="200734" s="12" customFormat="1" x14ac:dyDescent="0.25"/>
    <row r="200735" s="12" customFormat="1" x14ac:dyDescent="0.25"/>
    <row r="200736" s="12" customFormat="1" x14ac:dyDescent="0.25"/>
    <row r="200737" s="12" customFormat="1" x14ac:dyDescent="0.25"/>
    <row r="200738" s="12" customFormat="1" x14ac:dyDescent="0.25"/>
    <row r="200739" s="12" customFormat="1" x14ac:dyDescent="0.25"/>
    <row r="200740" s="12" customFormat="1" x14ac:dyDescent="0.25"/>
    <row r="200741" s="12" customFormat="1" x14ac:dyDescent="0.25"/>
    <row r="200742" s="12" customFormat="1" x14ac:dyDescent="0.25"/>
    <row r="200743" s="12" customFormat="1" x14ac:dyDescent="0.25"/>
    <row r="200744" s="12" customFormat="1" x14ac:dyDescent="0.25"/>
    <row r="200745" s="12" customFormat="1" x14ac:dyDescent="0.25"/>
    <row r="200746" s="12" customFormat="1" x14ac:dyDescent="0.25"/>
    <row r="200747" s="12" customFormat="1" x14ac:dyDescent="0.25"/>
    <row r="200748" s="12" customFormat="1" x14ac:dyDescent="0.25"/>
    <row r="200749" s="12" customFormat="1" x14ac:dyDescent="0.25"/>
    <row r="200750" s="12" customFormat="1" x14ac:dyDescent="0.25"/>
    <row r="200751" s="12" customFormat="1" x14ac:dyDescent="0.25"/>
    <row r="200752" s="12" customFormat="1" x14ac:dyDescent="0.25"/>
    <row r="200753" s="12" customFormat="1" x14ac:dyDescent="0.25"/>
    <row r="200754" s="12" customFormat="1" x14ac:dyDescent="0.25"/>
    <row r="200755" s="12" customFormat="1" x14ac:dyDescent="0.25"/>
    <row r="200756" s="12" customFormat="1" x14ac:dyDescent="0.25"/>
    <row r="200757" s="12" customFormat="1" x14ac:dyDescent="0.25"/>
    <row r="200758" s="12" customFormat="1" x14ac:dyDescent="0.25"/>
    <row r="200759" s="12" customFormat="1" x14ac:dyDescent="0.25"/>
    <row r="200760" s="12" customFormat="1" x14ac:dyDescent="0.25"/>
    <row r="200761" s="12" customFormat="1" x14ac:dyDescent="0.25"/>
    <row r="200762" s="12" customFormat="1" x14ac:dyDescent="0.25"/>
    <row r="200763" s="12" customFormat="1" x14ac:dyDescent="0.25"/>
    <row r="200764" s="12" customFormat="1" x14ac:dyDescent="0.25"/>
    <row r="200765" s="12" customFormat="1" x14ac:dyDescent="0.25"/>
    <row r="200766" s="12" customFormat="1" x14ac:dyDescent="0.25"/>
    <row r="200767" s="12" customFormat="1" x14ac:dyDescent="0.25"/>
    <row r="200768" s="12" customFormat="1" x14ac:dyDescent="0.25"/>
    <row r="200769" s="12" customFormat="1" x14ac:dyDescent="0.25"/>
    <row r="200770" s="12" customFormat="1" x14ac:dyDescent="0.25"/>
    <row r="200771" s="12" customFormat="1" x14ac:dyDescent="0.25"/>
    <row r="200772" s="12" customFormat="1" x14ac:dyDescent="0.25"/>
    <row r="200773" s="12" customFormat="1" x14ac:dyDescent="0.25"/>
    <row r="200774" s="12" customFormat="1" x14ac:dyDescent="0.25"/>
    <row r="200775" s="12" customFormat="1" x14ac:dyDescent="0.25"/>
    <row r="200776" s="12" customFormat="1" x14ac:dyDescent="0.25"/>
    <row r="200777" s="12" customFormat="1" x14ac:dyDescent="0.25"/>
    <row r="200778" s="12" customFormat="1" x14ac:dyDescent="0.25"/>
    <row r="200779" s="12" customFormat="1" x14ac:dyDescent="0.25"/>
    <row r="200780" s="12" customFormat="1" x14ac:dyDescent="0.25"/>
    <row r="200781" s="12" customFormat="1" x14ac:dyDescent="0.25"/>
    <row r="200782" s="12" customFormat="1" x14ac:dyDescent="0.25"/>
    <row r="200783" s="12" customFormat="1" x14ac:dyDescent="0.25"/>
    <row r="200784" s="12" customFormat="1" x14ac:dyDescent="0.25"/>
    <row r="200785" s="12" customFormat="1" x14ac:dyDescent="0.25"/>
    <row r="200786" s="12" customFormat="1" x14ac:dyDescent="0.25"/>
    <row r="200787" s="12" customFormat="1" x14ac:dyDescent="0.25"/>
    <row r="200788" s="12" customFormat="1" x14ac:dyDescent="0.25"/>
    <row r="200789" s="12" customFormat="1" x14ac:dyDescent="0.25"/>
    <row r="200790" s="12" customFormat="1" x14ac:dyDescent="0.25"/>
    <row r="200791" s="12" customFormat="1" x14ac:dyDescent="0.25"/>
    <row r="200792" s="12" customFormat="1" x14ac:dyDescent="0.25"/>
    <row r="200793" s="12" customFormat="1" x14ac:dyDescent="0.25"/>
    <row r="200794" s="12" customFormat="1" x14ac:dyDescent="0.25"/>
    <row r="200795" s="12" customFormat="1" x14ac:dyDescent="0.25"/>
    <row r="200796" s="12" customFormat="1" x14ac:dyDescent="0.25"/>
    <row r="200797" s="12" customFormat="1" x14ac:dyDescent="0.25"/>
    <row r="200798" s="12" customFormat="1" x14ac:dyDescent="0.25"/>
    <row r="200799" s="12" customFormat="1" x14ac:dyDescent="0.25"/>
    <row r="200800" s="12" customFormat="1" x14ac:dyDescent="0.25"/>
    <row r="200801" s="12" customFormat="1" x14ac:dyDescent="0.25"/>
    <row r="200802" s="12" customFormat="1" x14ac:dyDescent="0.25"/>
    <row r="200803" s="12" customFormat="1" x14ac:dyDescent="0.25"/>
    <row r="200804" s="12" customFormat="1" x14ac:dyDescent="0.25"/>
    <row r="200805" s="12" customFormat="1" x14ac:dyDescent="0.25"/>
    <row r="200806" s="12" customFormat="1" x14ac:dyDescent="0.25"/>
    <row r="200807" s="12" customFormat="1" x14ac:dyDescent="0.25"/>
    <row r="200808" s="12" customFormat="1" x14ac:dyDescent="0.25"/>
    <row r="200809" s="12" customFormat="1" x14ac:dyDescent="0.25"/>
    <row r="200810" s="12" customFormat="1" x14ac:dyDescent="0.25"/>
    <row r="200811" s="12" customFormat="1" x14ac:dyDescent="0.25"/>
    <row r="200812" s="12" customFormat="1" x14ac:dyDescent="0.25"/>
    <row r="200813" s="12" customFormat="1" x14ac:dyDescent="0.25"/>
    <row r="200814" s="12" customFormat="1" x14ac:dyDescent="0.25"/>
    <row r="200815" s="12" customFormat="1" x14ac:dyDescent="0.25"/>
    <row r="200816" s="12" customFormat="1" x14ac:dyDescent="0.25"/>
    <row r="200817" s="12" customFormat="1" x14ac:dyDescent="0.25"/>
    <row r="200818" s="12" customFormat="1" x14ac:dyDescent="0.25"/>
    <row r="200819" s="12" customFormat="1" x14ac:dyDescent="0.25"/>
    <row r="200820" s="12" customFormat="1" x14ac:dyDescent="0.25"/>
    <row r="200821" s="12" customFormat="1" x14ac:dyDescent="0.25"/>
    <row r="200822" s="12" customFormat="1" x14ac:dyDescent="0.25"/>
    <row r="200823" s="12" customFormat="1" x14ac:dyDescent="0.25"/>
    <row r="200824" s="12" customFormat="1" x14ac:dyDescent="0.25"/>
    <row r="200825" s="12" customFormat="1" x14ac:dyDescent="0.25"/>
    <row r="200826" s="12" customFormat="1" x14ac:dyDescent="0.25"/>
    <row r="200827" s="12" customFormat="1" x14ac:dyDescent="0.25"/>
    <row r="200828" s="12" customFormat="1" x14ac:dyDescent="0.25"/>
    <row r="200829" s="12" customFormat="1" x14ac:dyDescent="0.25"/>
    <row r="200830" s="12" customFormat="1" x14ac:dyDescent="0.25"/>
    <row r="200831" s="12" customFormat="1" x14ac:dyDescent="0.25"/>
    <row r="200832" s="12" customFormat="1" x14ac:dyDescent="0.25"/>
    <row r="200833" s="12" customFormat="1" x14ac:dyDescent="0.25"/>
    <row r="200834" s="12" customFormat="1" x14ac:dyDescent="0.25"/>
    <row r="200835" s="12" customFormat="1" x14ac:dyDescent="0.25"/>
    <row r="200836" s="12" customFormat="1" x14ac:dyDescent="0.25"/>
    <row r="200837" s="12" customFormat="1" x14ac:dyDescent="0.25"/>
    <row r="200838" s="12" customFormat="1" x14ac:dyDescent="0.25"/>
    <row r="200839" s="12" customFormat="1" x14ac:dyDescent="0.25"/>
    <row r="200840" s="12" customFormat="1" x14ac:dyDescent="0.25"/>
    <row r="200841" s="12" customFormat="1" x14ac:dyDescent="0.25"/>
    <row r="200842" s="12" customFormat="1" x14ac:dyDescent="0.25"/>
    <row r="200843" s="12" customFormat="1" x14ac:dyDescent="0.25"/>
    <row r="200844" s="12" customFormat="1" x14ac:dyDescent="0.25"/>
    <row r="200845" s="12" customFormat="1" x14ac:dyDescent="0.25"/>
    <row r="200846" s="12" customFormat="1" x14ac:dyDescent="0.25"/>
    <row r="200847" s="12" customFormat="1" x14ac:dyDescent="0.25"/>
    <row r="200848" s="12" customFormat="1" x14ac:dyDescent="0.25"/>
    <row r="200849" s="12" customFormat="1" x14ac:dyDescent="0.25"/>
    <row r="200850" s="12" customFormat="1" x14ac:dyDescent="0.25"/>
    <row r="200851" s="12" customFormat="1" x14ac:dyDescent="0.25"/>
    <row r="200852" s="12" customFormat="1" x14ac:dyDescent="0.25"/>
    <row r="200853" s="12" customFormat="1" x14ac:dyDescent="0.25"/>
    <row r="200854" s="12" customFormat="1" x14ac:dyDescent="0.25"/>
    <row r="200855" s="12" customFormat="1" x14ac:dyDescent="0.25"/>
    <row r="200856" s="12" customFormat="1" x14ac:dyDescent="0.25"/>
    <row r="200857" s="12" customFormat="1" x14ac:dyDescent="0.25"/>
    <row r="200858" s="12" customFormat="1" x14ac:dyDescent="0.25"/>
    <row r="200859" s="12" customFormat="1" x14ac:dyDescent="0.25"/>
    <row r="200860" s="12" customFormat="1" x14ac:dyDescent="0.25"/>
    <row r="200861" s="12" customFormat="1" x14ac:dyDescent="0.25"/>
    <row r="200862" s="12" customFormat="1" x14ac:dyDescent="0.25"/>
    <row r="200863" s="12" customFormat="1" x14ac:dyDescent="0.25"/>
    <row r="200864" s="12" customFormat="1" x14ac:dyDescent="0.25"/>
    <row r="200865" s="12" customFormat="1" x14ac:dyDescent="0.25"/>
    <row r="200866" s="12" customFormat="1" x14ac:dyDescent="0.25"/>
    <row r="200867" s="12" customFormat="1" x14ac:dyDescent="0.25"/>
    <row r="200868" s="12" customFormat="1" x14ac:dyDescent="0.25"/>
    <row r="200869" s="12" customFormat="1" x14ac:dyDescent="0.25"/>
    <row r="200870" s="12" customFormat="1" x14ac:dyDescent="0.25"/>
    <row r="200871" s="12" customFormat="1" x14ac:dyDescent="0.25"/>
    <row r="200872" s="12" customFormat="1" x14ac:dyDescent="0.25"/>
    <row r="200873" s="12" customFormat="1" x14ac:dyDescent="0.25"/>
    <row r="200874" s="12" customFormat="1" x14ac:dyDescent="0.25"/>
    <row r="200875" s="12" customFormat="1" x14ac:dyDescent="0.25"/>
    <row r="200876" s="12" customFormat="1" x14ac:dyDescent="0.25"/>
    <row r="200877" s="12" customFormat="1" x14ac:dyDescent="0.25"/>
    <row r="200878" s="12" customFormat="1" x14ac:dyDescent="0.25"/>
    <row r="200879" s="12" customFormat="1" x14ac:dyDescent="0.25"/>
    <row r="200880" s="12" customFormat="1" x14ac:dyDescent="0.25"/>
    <row r="200881" s="12" customFormat="1" x14ac:dyDescent="0.25"/>
    <row r="200882" s="12" customFormat="1" x14ac:dyDescent="0.25"/>
    <row r="200883" s="12" customFormat="1" x14ac:dyDescent="0.25"/>
    <row r="200884" s="12" customFormat="1" x14ac:dyDescent="0.25"/>
    <row r="200885" s="12" customFormat="1" x14ac:dyDescent="0.25"/>
    <row r="200886" s="12" customFormat="1" x14ac:dyDescent="0.25"/>
    <row r="200887" s="12" customFormat="1" x14ac:dyDescent="0.25"/>
    <row r="200888" s="12" customFormat="1" x14ac:dyDescent="0.25"/>
    <row r="200889" s="12" customFormat="1" x14ac:dyDescent="0.25"/>
    <row r="200890" s="12" customFormat="1" x14ac:dyDescent="0.25"/>
    <row r="200891" s="12" customFormat="1" x14ac:dyDescent="0.25"/>
    <row r="200892" s="12" customFormat="1" x14ac:dyDescent="0.25"/>
    <row r="200893" s="12" customFormat="1" x14ac:dyDescent="0.25"/>
    <row r="200894" s="12" customFormat="1" x14ac:dyDescent="0.25"/>
    <row r="200895" s="12" customFormat="1" x14ac:dyDescent="0.25"/>
    <row r="200896" s="12" customFormat="1" x14ac:dyDescent="0.25"/>
    <row r="200897" s="12" customFormat="1" x14ac:dyDescent="0.25"/>
    <row r="200898" s="12" customFormat="1" x14ac:dyDescent="0.25"/>
    <row r="200899" s="12" customFormat="1" x14ac:dyDescent="0.25"/>
    <row r="200900" s="12" customFormat="1" x14ac:dyDescent="0.25"/>
    <row r="200901" s="12" customFormat="1" x14ac:dyDescent="0.25"/>
    <row r="200902" s="12" customFormat="1" x14ac:dyDescent="0.25"/>
    <row r="200903" s="12" customFormat="1" x14ac:dyDescent="0.25"/>
    <row r="200904" s="12" customFormat="1" x14ac:dyDescent="0.25"/>
    <row r="200905" s="12" customFormat="1" x14ac:dyDescent="0.25"/>
    <row r="200906" s="12" customFormat="1" x14ac:dyDescent="0.25"/>
    <row r="200907" s="12" customFormat="1" x14ac:dyDescent="0.25"/>
    <row r="200908" s="12" customFormat="1" x14ac:dyDescent="0.25"/>
    <row r="200909" s="12" customFormat="1" x14ac:dyDescent="0.25"/>
    <row r="200910" s="12" customFormat="1" x14ac:dyDescent="0.25"/>
    <row r="200911" s="12" customFormat="1" x14ac:dyDescent="0.25"/>
    <row r="200912" s="12" customFormat="1" x14ac:dyDescent="0.25"/>
    <row r="200913" s="12" customFormat="1" x14ac:dyDescent="0.25"/>
    <row r="200914" s="12" customFormat="1" x14ac:dyDescent="0.25"/>
    <row r="200915" s="12" customFormat="1" x14ac:dyDescent="0.25"/>
    <row r="200916" s="12" customFormat="1" x14ac:dyDescent="0.25"/>
    <row r="200917" s="12" customFormat="1" x14ac:dyDescent="0.25"/>
    <row r="200918" s="12" customFormat="1" x14ac:dyDescent="0.25"/>
    <row r="200919" s="12" customFormat="1" x14ac:dyDescent="0.25"/>
    <row r="200920" s="12" customFormat="1" x14ac:dyDescent="0.25"/>
    <row r="200921" s="12" customFormat="1" x14ac:dyDescent="0.25"/>
    <row r="200922" s="12" customFormat="1" x14ac:dyDescent="0.25"/>
    <row r="200923" s="12" customFormat="1" x14ac:dyDescent="0.25"/>
    <row r="200924" s="12" customFormat="1" x14ac:dyDescent="0.25"/>
    <row r="200925" s="12" customFormat="1" x14ac:dyDescent="0.25"/>
    <row r="200926" s="12" customFormat="1" x14ac:dyDescent="0.25"/>
    <row r="200927" s="12" customFormat="1" x14ac:dyDescent="0.25"/>
    <row r="200928" s="12" customFormat="1" x14ac:dyDescent="0.25"/>
    <row r="200929" s="12" customFormat="1" x14ac:dyDescent="0.25"/>
    <row r="200930" s="12" customFormat="1" x14ac:dyDescent="0.25"/>
    <row r="200931" s="12" customFormat="1" x14ac:dyDescent="0.25"/>
    <row r="200932" s="12" customFormat="1" x14ac:dyDescent="0.25"/>
    <row r="200933" s="12" customFormat="1" x14ac:dyDescent="0.25"/>
    <row r="200934" s="12" customFormat="1" x14ac:dyDescent="0.25"/>
    <row r="200935" s="12" customFormat="1" x14ac:dyDescent="0.25"/>
    <row r="200936" s="12" customFormat="1" x14ac:dyDescent="0.25"/>
    <row r="200937" s="12" customFormat="1" x14ac:dyDescent="0.25"/>
    <row r="200938" s="12" customFormat="1" x14ac:dyDescent="0.25"/>
    <row r="200939" s="12" customFormat="1" x14ac:dyDescent="0.25"/>
    <row r="200940" s="12" customFormat="1" x14ac:dyDescent="0.25"/>
    <row r="200941" s="12" customFormat="1" x14ac:dyDescent="0.25"/>
    <row r="200942" s="12" customFormat="1" x14ac:dyDescent="0.25"/>
    <row r="200943" s="12" customFormat="1" x14ac:dyDescent="0.25"/>
    <row r="200944" s="12" customFormat="1" x14ac:dyDescent="0.25"/>
    <row r="200945" s="12" customFormat="1" x14ac:dyDescent="0.25"/>
    <row r="200946" s="12" customFormat="1" x14ac:dyDescent="0.25"/>
    <row r="200947" s="12" customFormat="1" x14ac:dyDescent="0.25"/>
    <row r="200948" s="12" customFormat="1" x14ac:dyDescent="0.25"/>
    <row r="200949" s="12" customFormat="1" x14ac:dyDescent="0.25"/>
    <row r="200950" s="12" customFormat="1" x14ac:dyDescent="0.25"/>
    <row r="200951" s="12" customFormat="1" x14ac:dyDescent="0.25"/>
    <row r="200952" s="12" customFormat="1" x14ac:dyDescent="0.25"/>
    <row r="200953" s="12" customFormat="1" x14ac:dyDescent="0.25"/>
    <row r="200954" s="12" customFormat="1" x14ac:dyDescent="0.25"/>
    <row r="200955" s="12" customFormat="1" x14ac:dyDescent="0.25"/>
    <row r="200956" s="12" customFormat="1" x14ac:dyDescent="0.25"/>
    <row r="200957" s="12" customFormat="1" x14ac:dyDescent="0.25"/>
    <row r="200958" s="12" customFormat="1" x14ac:dyDescent="0.25"/>
    <row r="200959" s="12" customFormat="1" x14ac:dyDescent="0.25"/>
    <row r="200960" s="12" customFormat="1" x14ac:dyDescent="0.25"/>
    <row r="200961" s="12" customFormat="1" x14ac:dyDescent="0.25"/>
    <row r="200962" s="12" customFormat="1" x14ac:dyDescent="0.25"/>
    <row r="200963" s="12" customFormat="1" x14ac:dyDescent="0.25"/>
    <row r="200964" s="12" customFormat="1" x14ac:dyDescent="0.25"/>
    <row r="200965" s="12" customFormat="1" x14ac:dyDescent="0.25"/>
    <row r="200966" s="12" customFormat="1" x14ac:dyDescent="0.25"/>
    <row r="200967" s="12" customFormat="1" x14ac:dyDescent="0.25"/>
    <row r="200968" s="12" customFormat="1" x14ac:dyDescent="0.25"/>
    <row r="200969" s="12" customFormat="1" x14ac:dyDescent="0.25"/>
    <row r="200970" s="12" customFormat="1" x14ac:dyDescent="0.25"/>
    <row r="200971" s="12" customFormat="1" x14ac:dyDescent="0.25"/>
    <row r="200972" s="12" customFormat="1" x14ac:dyDescent="0.25"/>
    <row r="200973" s="12" customFormat="1" x14ac:dyDescent="0.25"/>
    <row r="200974" s="12" customFormat="1" x14ac:dyDescent="0.25"/>
    <row r="200975" s="12" customFormat="1" x14ac:dyDescent="0.25"/>
    <row r="200976" s="12" customFormat="1" x14ac:dyDescent="0.25"/>
    <row r="200977" s="12" customFormat="1" x14ac:dyDescent="0.25"/>
    <row r="200978" s="12" customFormat="1" x14ac:dyDescent="0.25"/>
    <row r="200979" s="12" customFormat="1" x14ac:dyDescent="0.25"/>
    <row r="200980" s="12" customFormat="1" x14ac:dyDescent="0.25"/>
    <row r="200981" s="12" customFormat="1" x14ac:dyDescent="0.25"/>
    <row r="200982" s="12" customFormat="1" x14ac:dyDescent="0.25"/>
    <row r="200983" s="12" customFormat="1" x14ac:dyDescent="0.25"/>
    <row r="200984" s="12" customFormat="1" x14ac:dyDescent="0.25"/>
    <row r="200985" s="12" customFormat="1" x14ac:dyDescent="0.25"/>
    <row r="200986" s="12" customFormat="1" x14ac:dyDescent="0.25"/>
    <row r="200987" s="12" customFormat="1" x14ac:dyDescent="0.25"/>
    <row r="200988" s="12" customFormat="1" x14ac:dyDescent="0.25"/>
    <row r="200989" s="12" customFormat="1" x14ac:dyDescent="0.25"/>
    <row r="200990" s="12" customFormat="1" x14ac:dyDescent="0.25"/>
    <row r="200991" s="12" customFormat="1" x14ac:dyDescent="0.25"/>
    <row r="200992" s="12" customFormat="1" x14ac:dyDescent="0.25"/>
    <row r="200993" s="12" customFormat="1" x14ac:dyDescent="0.25"/>
    <row r="200994" s="12" customFormat="1" x14ac:dyDescent="0.25"/>
    <row r="200995" s="12" customFormat="1" x14ac:dyDescent="0.25"/>
    <row r="200996" s="12" customFormat="1" x14ac:dyDescent="0.25"/>
    <row r="200997" s="12" customFormat="1" x14ac:dyDescent="0.25"/>
    <row r="200998" s="12" customFormat="1" x14ac:dyDescent="0.25"/>
    <row r="200999" s="12" customFormat="1" x14ac:dyDescent="0.25"/>
    <row r="201000" s="12" customFormat="1" x14ac:dyDescent="0.25"/>
    <row r="201001" s="12" customFormat="1" x14ac:dyDescent="0.25"/>
    <row r="201002" s="12" customFormat="1" x14ac:dyDescent="0.25"/>
    <row r="201003" s="12" customFormat="1" x14ac:dyDescent="0.25"/>
    <row r="201004" s="12" customFormat="1" x14ac:dyDescent="0.25"/>
    <row r="201005" s="12" customFormat="1" x14ac:dyDescent="0.25"/>
    <row r="201006" s="12" customFormat="1" x14ac:dyDescent="0.25"/>
    <row r="201007" s="12" customFormat="1" x14ac:dyDescent="0.25"/>
    <row r="201008" s="12" customFormat="1" x14ac:dyDescent="0.25"/>
    <row r="201009" s="12" customFormat="1" x14ac:dyDescent="0.25"/>
    <row r="201010" s="12" customFormat="1" x14ac:dyDescent="0.25"/>
    <row r="201011" s="12" customFormat="1" x14ac:dyDescent="0.25"/>
    <row r="201012" s="12" customFormat="1" x14ac:dyDescent="0.25"/>
    <row r="201013" s="12" customFormat="1" x14ac:dyDescent="0.25"/>
    <row r="201014" s="12" customFormat="1" x14ac:dyDescent="0.25"/>
    <row r="201015" s="12" customFormat="1" x14ac:dyDescent="0.25"/>
    <row r="201016" s="12" customFormat="1" x14ac:dyDescent="0.25"/>
    <row r="201017" s="12" customFormat="1" x14ac:dyDescent="0.25"/>
    <row r="201018" s="12" customFormat="1" x14ac:dyDescent="0.25"/>
    <row r="201019" s="12" customFormat="1" x14ac:dyDescent="0.25"/>
    <row r="201020" s="12" customFormat="1" x14ac:dyDescent="0.25"/>
    <row r="201021" s="12" customFormat="1" x14ac:dyDescent="0.25"/>
    <row r="201022" s="12" customFormat="1" x14ac:dyDescent="0.25"/>
    <row r="201023" s="12" customFormat="1" x14ac:dyDescent="0.25"/>
    <row r="201024" s="12" customFormat="1" x14ac:dyDescent="0.25"/>
    <row r="201025" s="12" customFormat="1" x14ac:dyDescent="0.25"/>
    <row r="201026" s="12" customFormat="1" x14ac:dyDescent="0.25"/>
    <row r="201027" s="12" customFormat="1" x14ac:dyDescent="0.25"/>
    <row r="201028" s="12" customFormat="1" x14ac:dyDescent="0.25"/>
    <row r="201029" s="12" customFormat="1" x14ac:dyDescent="0.25"/>
    <row r="201030" s="12" customFormat="1" x14ac:dyDescent="0.25"/>
    <row r="201031" s="12" customFormat="1" x14ac:dyDescent="0.25"/>
    <row r="201032" s="12" customFormat="1" x14ac:dyDescent="0.25"/>
    <row r="201033" s="12" customFormat="1" x14ac:dyDescent="0.25"/>
    <row r="201034" s="12" customFormat="1" x14ac:dyDescent="0.25"/>
    <row r="201035" s="12" customFormat="1" x14ac:dyDescent="0.25"/>
    <row r="201036" s="12" customFormat="1" x14ac:dyDescent="0.25"/>
    <row r="201037" s="12" customFormat="1" x14ac:dyDescent="0.25"/>
    <row r="201038" s="12" customFormat="1" x14ac:dyDescent="0.25"/>
    <row r="201039" s="12" customFormat="1" x14ac:dyDescent="0.25"/>
    <row r="201040" s="12" customFormat="1" x14ac:dyDescent="0.25"/>
    <row r="201041" s="12" customFormat="1" x14ac:dyDescent="0.25"/>
    <row r="201042" s="12" customFormat="1" x14ac:dyDescent="0.25"/>
    <row r="201043" s="12" customFormat="1" x14ac:dyDescent="0.25"/>
    <row r="201044" s="12" customFormat="1" x14ac:dyDescent="0.25"/>
    <row r="201045" s="12" customFormat="1" x14ac:dyDescent="0.25"/>
    <row r="201046" s="12" customFormat="1" x14ac:dyDescent="0.25"/>
    <row r="201047" s="12" customFormat="1" x14ac:dyDescent="0.25"/>
    <row r="201048" s="12" customFormat="1" x14ac:dyDescent="0.25"/>
    <row r="201049" s="12" customFormat="1" x14ac:dyDescent="0.25"/>
    <row r="201050" s="12" customFormat="1" x14ac:dyDescent="0.25"/>
    <row r="201051" s="12" customFormat="1" x14ac:dyDescent="0.25"/>
    <row r="201052" s="12" customFormat="1" x14ac:dyDescent="0.25"/>
    <row r="201053" s="12" customFormat="1" x14ac:dyDescent="0.25"/>
    <row r="201054" s="12" customFormat="1" x14ac:dyDescent="0.25"/>
    <row r="201055" s="12" customFormat="1" x14ac:dyDescent="0.25"/>
    <row r="201056" s="12" customFormat="1" x14ac:dyDescent="0.25"/>
    <row r="201057" s="12" customFormat="1" x14ac:dyDescent="0.25"/>
    <row r="201058" s="12" customFormat="1" x14ac:dyDescent="0.25"/>
    <row r="201059" s="12" customFormat="1" x14ac:dyDescent="0.25"/>
    <row r="201060" s="12" customFormat="1" x14ac:dyDescent="0.25"/>
    <row r="201061" s="12" customFormat="1" x14ac:dyDescent="0.25"/>
    <row r="201062" s="12" customFormat="1" x14ac:dyDescent="0.25"/>
    <row r="201063" s="12" customFormat="1" x14ac:dyDescent="0.25"/>
    <row r="201064" s="12" customFormat="1" x14ac:dyDescent="0.25"/>
    <row r="201065" s="12" customFormat="1" x14ac:dyDescent="0.25"/>
    <row r="201066" s="12" customFormat="1" x14ac:dyDescent="0.25"/>
    <row r="201067" s="12" customFormat="1" x14ac:dyDescent="0.25"/>
    <row r="201068" s="12" customFormat="1" x14ac:dyDescent="0.25"/>
    <row r="201069" s="12" customFormat="1" x14ac:dyDescent="0.25"/>
    <row r="201070" s="12" customFormat="1" x14ac:dyDescent="0.25"/>
    <row r="201071" s="12" customFormat="1" x14ac:dyDescent="0.25"/>
    <row r="201072" s="12" customFormat="1" x14ac:dyDescent="0.25"/>
    <row r="201073" s="12" customFormat="1" x14ac:dyDescent="0.25"/>
    <row r="201074" s="12" customFormat="1" x14ac:dyDescent="0.25"/>
    <row r="201075" s="12" customFormat="1" x14ac:dyDescent="0.25"/>
    <row r="201076" s="12" customFormat="1" x14ac:dyDescent="0.25"/>
    <row r="201077" s="12" customFormat="1" x14ac:dyDescent="0.25"/>
    <row r="201078" s="12" customFormat="1" x14ac:dyDescent="0.25"/>
    <row r="201079" s="12" customFormat="1" x14ac:dyDescent="0.25"/>
    <row r="201080" s="12" customFormat="1" x14ac:dyDescent="0.25"/>
    <row r="201081" s="12" customFormat="1" x14ac:dyDescent="0.25"/>
    <row r="201082" s="12" customFormat="1" x14ac:dyDescent="0.25"/>
    <row r="201083" s="12" customFormat="1" x14ac:dyDescent="0.25"/>
    <row r="201084" s="12" customFormat="1" x14ac:dyDescent="0.25"/>
    <row r="201085" s="12" customFormat="1" x14ac:dyDescent="0.25"/>
    <row r="201086" s="12" customFormat="1" x14ac:dyDescent="0.25"/>
    <row r="201087" s="12" customFormat="1" x14ac:dyDescent="0.25"/>
    <row r="201088" s="12" customFormat="1" x14ac:dyDescent="0.25"/>
    <row r="201089" s="12" customFormat="1" x14ac:dyDescent="0.25"/>
    <row r="201090" s="12" customFormat="1" x14ac:dyDescent="0.25"/>
    <row r="201091" s="12" customFormat="1" x14ac:dyDescent="0.25"/>
    <row r="201092" s="12" customFormat="1" x14ac:dyDescent="0.25"/>
    <row r="201093" s="12" customFormat="1" x14ac:dyDescent="0.25"/>
    <row r="201094" s="12" customFormat="1" x14ac:dyDescent="0.25"/>
    <row r="201095" s="12" customFormat="1" x14ac:dyDescent="0.25"/>
    <row r="201096" s="12" customFormat="1" x14ac:dyDescent="0.25"/>
    <row r="201097" s="12" customFormat="1" x14ac:dyDescent="0.25"/>
    <row r="201098" s="12" customFormat="1" x14ac:dyDescent="0.25"/>
    <row r="201099" s="12" customFormat="1" x14ac:dyDescent="0.25"/>
    <row r="201100" s="12" customFormat="1" x14ac:dyDescent="0.25"/>
    <row r="201101" s="12" customFormat="1" x14ac:dyDescent="0.25"/>
    <row r="201102" s="12" customFormat="1" x14ac:dyDescent="0.25"/>
    <row r="201103" s="12" customFormat="1" x14ac:dyDescent="0.25"/>
    <row r="201104" s="12" customFormat="1" x14ac:dyDescent="0.25"/>
    <row r="201105" s="12" customFormat="1" x14ac:dyDescent="0.25"/>
    <row r="201106" s="12" customFormat="1" x14ac:dyDescent="0.25"/>
    <row r="201107" s="12" customFormat="1" x14ac:dyDescent="0.25"/>
    <row r="201108" s="12" customFormat="1" x14ac:dyDescent="0.25"/>
    <row r="201109" s="12" customFormat="1" x14ac:dyDescent="0.25"/>
    <row r="201110" s="12" customFormat="1" x14ac:dyDescent="0.25"/>
    <row r="201111" s="12" customFormat="1" x14ac:dyDescent="0.25"/>
    <row r="201112" s="12" customFormat="1" x14ac:dyDescent="0.25"/>
    <row r="201113" s="12" customFormat="1" x14ac:dyDescent="0.25"/>
    <row r="201114" s="12" customFormat="1" x14ac:dyDescent="0.25"/>
    <row r="201115" s="12" customFormat="1" x14ac:dyDescent="0.25"/>
    <row r="201116" s="12" customFormat="1" x14ac:dyDescent="0.25"/>
    <row r="201117" s="12" customFormat="1" x14ac:dyDescent="0.25"/>
    <row r="201118" s="12" customFormat="1" x14ac:dyDescent="0.25"/>
    <row r="201119" s="12" customFormat="1" x14ac:dyDescent="0.25"/>
    <row r="201120" s="12" customFormat="1" x14ac:dyDescent="0.25"/>
    <row r="201121" s="12" customFormat="1" x14ac:dyDescent="0.25"/>
    <row r="201122" s="12" customFormat="1" x14ac:dyDescent="0.25"/>
    <row r="201123" s="12" customFormat="1" x14ac:dyDescent="0.25"/>
    <row r="201124" s="12" customFormat="1" x14ac:dyDescent="0.25"/>
    <row r="201125" s="12" customFormat="1" x14ac:dyDescent="0.25"/>
    <row r="201126" s="12" customFormat="1" x14ac:dyDescent="0.25"/>
    <row r="201127" s="12" customFormat="1" x14ac:dyDescent="0.25"/>
    <row r="201128" s="12" customFormat="1" x14ac:dyDescent="0.25"/>
    <row r="201129" s="12" customFormat="1" x14ac:dyDescent="0.25"/>
    <row r="201130" s="12" customFormat="1" x14ac:dyDescent="0.25"/>
    <row r="201131" s="12" customFormat="1" x14ac:dyDescent="0.25"/>
    <row r="201132" s="12" customFormat="1" x14ac:dyDescent="0.25"/>
    <row r="201133" s="12" customFormat="1" x14ac:dyDescent="0.25"/>
    <row r="201134" s="12" customFormat="1" x14ac:dyDescent="0.25"/>
    <row r="201135" s="12" customFormat="1" x14ac:dyDescent="0.25"/>
    <row r="201136" s="12" customFormat="1" x14ac:dyDescent="0.25"/>
    <row r="201137" s="12" customFormat="1" x14ac:dyDescent="0.25"/>
    <row r="201138" s="12" customFormat="1" x14ac:dyDescent="0.25"/>
    <row r="201139" s="12" customFormat="1" x14ac:dyDescent="0.25"/>
    <row r="201140" s="12" customFormat="1" x14ac:dyDescent="0.25"/>
    <row r="201141" s="12" customFormat="1" x14ac:dyDescent="0.25"/>
    <row r="201142" s="12" customFormat="1" x14ac:dyDescent="0.25"/>
    <row r="201143" s="12" customFormat="1" x14ac:dyDescent="0.25"/>
    <row r="201144" s="12" customFormat="1" x14ac:dyDescent="0.25"/>
    <row r="201145" s="12" customFormat="1" x14ac:dyDescent="0.25"/>
    <row r="201146" s="12" customFormat="1" x14ac:dyDescent="0.25"/>
    <row r="201147" s="12" customFormat="1" x14ac:dyDescent="0.25"/>
    <row r="201148" s="12" customFormat="1" x14ac:dyDescent="0.25"/>
    <row r="201149" s="12" customFormat="1" x14ac:dyDescent="0.25"/>
    <row r="201150" s="12" customFormat="1" x14ac:dyDescent="0.25"/>
    <row r="201151" s="12" customFormat="1" x14ac:dyDescent="0.25"/>
    <row r="201152" s="12" customFormat="1" x14ac:dyDescent="0.25"/>
    <row r="201153" s="12" customFormat="1" x14ac:dyDescent="0.25"/>
    <row r="201154" s="12" customFormat="1" x14ac:dyDescent="0.25"/>
    <row r="201155" s="12" customFormat="1" x14ac:dyDescent="0.25"/>
    <row r="201156" s="12" customFormat="1" x14ac:dyDescent="0.25"/>
    <row r="201157" s="12" customFormat="1" x14ac:dyDescent="0.25"/>
    <row r="201158" s="12" customFormat="1" x14ac:dyDescent="0.25"/>
    <row r="201159" s="12" customFormat="1" x14ac:dyDescent="0.25"/>
    <row r="201160" s="12" customFormat="1" x14ac:dyDescent="0.25"/>
    <row r="201161" s="12" customFormat="1" x14ac:dyDescent="0.25"/>
    <row r="201162" s="12" customFormat="1" x14ac:dyDescent="0.25"/>
    <row r="201163" s="12" customFormat="1" x14ac:dyDescent="0.25"/>
    <row r="201164" s="12" customFormat="1" x14ac:dyDescent="0.25"/>
    <row r="201165" s="12" customFormat="1" x14ac:dyDescent="0.25"/>
    <row r="201166" s="12" customFormat="1" x14ac:dyDescent="0.25"/>
    <row r="201167" s="12" customFormat="1" x14ac:dyDescent="0.25"/>
    <row r="201168" s="12" customFormat="1" x14ac:dyDescent="0.25"/>
    <row r="201169" s="12" customFormat="1" x14ac:dyDescent="0.25"/>
    <row r="201170" s="12" customFormat="1" x14ac:dyDescent="0.25"/>
    <row r="201171" s="12" customFormat="1" x14ac:dyDescent="0.25"/>
    <row r="201172" s="12" customFormat="1" x14ac:dyDescent="0.25"/>
    <row r="201173" s="12" customFormat="1" x14ac:dyDescent="0.25"/>
    <row r="201174" s="12" customFormat="1" x14ac:dyDescent="0.25"/>
    <row r="201175" s="12" customFormat="1" x14ac:dyDescent="0.25"/>
    <row r="201176" s="12" customFormat="1" x14ac:dyDescent="0.25"/>
    <row r="201177" s="12" customFormat="1" x14ac:dyDescent="0.25"/>
    <row r="201178" s="12" customFormat="1" x14ac:dyDescent="0.25"/>
    <row r="201179" s="12" customFormat="1" x14ac:dyDescent="0.25"/>
    <row r="201180" s="12" customFormat="1" x14ac:dyDescent="0.25"/>
    <row r="201181" s="12" customFormat="1" x14ac:dyDescent="0.25"/>
    <row r="201182" s="12" customFormat="1" x14ac:dyDescent="0.25"/>
    <row r="201183" s="12" customFormat="1" x14ac:dyDescent="0.25"/>
    <row r="201184" s="12" customFormat="1" x14ac:dyDescent="0.25"/>
    <row r="201185" s="12" customFormat="1" x14ac:dyDescent="0.25"/>
    <row r="201186" s="12" customFormat="1" x14ac:dyDescent="0.25"/>
    <row r="201187" s="12" customFormat="1" x14ac:dyDescent="0.25"/>
    <row r="201188" s="12" customFormat="1" x14ac:dyDescent="0.25"/>
    <row r="201189" s="12" customFormat="1" x14ac:dyDescent="0.25"/>
    <row r="201190" s="12" customFormat="1" x14ac:dyDescent="0.25"/>
    <row r="201191" s="12" customFormat="1" x14ac:dyDescent="0.25"/>
    <row r="201192" s="12" customFormat="1" x14ac:dyDescent="0.25"/>
    <row r="201193" s="12" customFormat="1" x14ac:dyDescent="0.25"/>
    <row r="201194" s="12" customFormat="1" x14ac:dyDescent="0.25"/>
    <row r="201195" s="12" customFormat="1" x14ac:dyDescent="0.25"/>
    <row r="201196" s="12" customFormat="1" x14ac:dyDescent="0.25"/>
    <row r="201197" s="12" customFormat="1" x14ac:dyDescent="0.25"/>
    <row r="201198" s="12" customFormat="1" x14ac:dyDescent="0.25"/>
    <row r="201199" s="12" customFormat="1" x14ac:dyDescent="0.25"/>
    <row r="201200" s="12" customFormat="1" x14ac:dyDescent="0.25"/>
    <row r="201201" s="12" customFormat="1" x14ac:dyDescent="0.25"/>
    <row r="201202" s="12" customFormat="1" x14ac:dyDescent="0.25"/>
    <row r="201203" s="12" customFormat="1" x14ac:dyDescent="0.25"/>
    <row r="201204" s="12" customFormat="1" x14ac:dyDescent="0.25"/>
    <row r="201205" s="12" customFormat="1" x14ac:dyDescent="0.25"/>
    <row r="201206" s="12" customFormat="1" x14ac:dyDescent="0.25"/>
    <row r="201207" s="12" customFormat="1" x14ac:dyDescent="0.25"/>
    <row r="201208" s="12" customFormat="1" x14ac:dyDescent="0.25"/>
    <row r="201209" s="12" customFormat="1" x14ac:dyDescent="0.25"/>
    <row r="201210" s="12" customFormat="1" x14ac:dyDescent="0.25"/>
    <row r="201211" s="12" customFormat="1" x14ac:dyDescent="0.25"/>
    <row r="201212" s="12" customFormat="1" x14ac:dyDescent="0.25"/>
    <row r="201213" s="12" customFormat="1" x14ac:dyDescent="0.25"/>
    <row r="201214" s="12" customFormat="1" x14ac:dyDescent="0.25"/>
    <row r="201215" s="12" customFormat="1" x14ac:dyDescent="0.25"/>
    <row r="201216" s="12" customFormat="1" x14ac:dyDescent="0.25"/>
    <row r="201217" s="12" customFormat="1" x14ac:dyDescent="0.25"/>
    <row r="201218" s="12" customFormat="1" x14ac:dyDescent="0.25"/>
    <row r="201219" s="12" customFormat="1" x14ac:dyDescent="0.25"/>
    <row r="201220" s="12" customFormat="1" x14ac:dyDescent="0.25"/>
    <row r="201221" s="12" customFormat="1" x14ac:dyDescent="0.25"/>
    <row r="201222" s="12" customFormat="1" x14ac:dyDescent="0.25"/>
    <row r="201223" s="12" customFormat="1" x14ac:dyDescent="0.25"/>
    <row r="201224" s="12" customFormat="1" x14ac:dyDescent="0.25"/>
    <row r="201225" s="12" customFormat="1" x14ac:dyDescent="0.25"/>
    <row r="201226" s="12" customFormat="1" x14ac:dyDescent="0.25"/>
    <row r="201227" s="12" customFormat="1" x14ac:dyDescent="0.25"/>
    <row r="201228" s="12" customFormat="1" x14ac:dyDescent="0.25"/>
    <row r="201229" s="12" customFormat="1" x14ac:dyDescent="0.25"/>
    <row r="201230" s="12" customFormat="1" x14ac:dyDescent="0.25"/>
    <row r="201231" s="12" customFormat="1" x14ac:dyDescent="0.25"/>
    <row r="201232" s="12" customFormat="1" x14ac:dyDescent="0.25"/>
    <row r="201233" s="12" customFormat="1" x14ac:dyDescent="0.25"/>
    <row r="201234" s="12" customFormat="1" x14ac:dyDescent="0.25"/>
    <row r="201235" s="12" customFormat="1" x14ac:dyDescent="0.25"/>
    <row r="201236" s="12" customFormat="1" x14ac:dyDescent="0.25"/>
    <row r="201237" s="12" customFormat="1" x14ac:dyDescent="0.25"/>
    <row r="201238" s="12" customFormat="1" x14ac:dyDescent="0.25"/>
    <row r="201239" s="12" customFormat="1" x14ac:dyDescent="0.25"/>
    <row r="201240" s="12" customFormat="1" x14ac:dyDescent="0.25"/>
    <row r="201241" s="12" customFormat="1" x14ac:dyDescent="0.25"/>
    <row r="201242" s="12" customFormat="1" x14ac:dyDescent="0.25"/>
    <row r="201243" s="12" customFormat="1" x14ac:dyDescent="0.25"/>
    <row r="201244" s="12" customFormat="1" x14ac:dyDescent="0.25"/>
    <row r="201245" s="12" customFormat="1" x14ac:dyDescent="0.25"/>
    <row r="201246" s="12" customFormat="1" x14ac:dyDescent="0.25"/>
    <row r="201247" s="12" customFormat="1" x14ac:dyDescent="0.25"/>
    <row r="201248" s="12" customFormat="1" x14ac:dyDescent="0.25"/>
    <row r="201249" s="12" customFormat="1" x14ac:dyDescent="0.25"/>
    <row r="201250" s="12" customFormat="1" x14ac:dyDescent="0.25"/>
    <row r="201251" s="12" customFormat="1" x14ac:dyDescent="0.25"/>
    <row r="201252" s="12" customFormat="1" x14ac:dyDescent="0.25"/>
    <row r="201253" s="12" customFormat="1" x14ac:dyDescent="0.25"/>
    <row r="201254" s="12" customFormat="1" x14ac:dyDescent="0.25"/>
    <row r="201255" s="12" customFormat="1" x14ac:dyDescent="0.25"/>
    <row r="201256" s="12" customFormat="1" x14ac:dyDescent="0.25"/>
    <row r="201257" s="12" customFormat="1" x14ac:dyDescent="0.25"/>
    <row r="201258" s="12" customFormat="1" x14ac:dyDescent="0.25"/>
    <row r="201259" s="12" customFormat="1" x14ac:dyDescent="0.25"/>
    <row r="201260" s="12" customFormat="1" x14ac:dyDescent="0.25"/>
    <row r="201261" s="12" customFormat="1" x14ac:dyDescent="0.25"/>
    <row r="201262" s="12" customFormat="1" x14ac:dyDescent="0.25"/>
    <row r="201263" s="12" customFormat="1" x14ac:dyDescent="0.25"/>
    <row r="201264" s="12" customFormat="1" x14ac:dyDescent="0.25"/>
    <row r="201265" s="12" customFormat="1" x14ac:dyDescent="0.25"/>
    <row r="201266" s="12" customFormat="1" x14ac:dyDescent="0.25"/>
    <row r="201267" s="12" customFormat="1" x14ac:dyDescent="0.25"/>
    <row r="201268" s="12" customFormat="1" x14ac:dyDescent="0.25"/>
    <row r="201269" s="12" customFormat="1" x14ac:dyDescent="0.25"/>
    <row r="201270" s="12" customFormat="1" x14ac:dyDescent="0.25"/>
    <row r="201271" s="12" customFormat="1" x14ac:dyDescent="0.25"/>
    <row r="201272" s="12" customFormat="1" x14ac:dyDescent="0.25"/>
    <row r="201273" s="12" customFormat="1" x14ac:dyDescent="0.25"/>
    <row r="201274" s="12" customFormat="1" x14ac:dyDescent="0.25"/>
    <row r="201275" s="12" customFormat="1" x14ac:dyDescent="0.25"/>
    <row r="201276" s="12" customFormat="1" x14ac:dyDescent="0.25"/>
    <row r="201277" s="12" customFormat="1" x14ac:dyDescent="0.25"/>
    <row r="201278" s="12" customFormat="1" x14ac:dyDescent="0.25"/>
    <row r="201279" s="12" customFormat="1" x14ac:dyDescent="0.25"/>
    <row r="201280" s="12" customFormat="1" x14ac:dyDescent="0.25"/>
    <row r="201281" s="12" customFormat="1" x14ac:dyDescent="0.25"/>
    <row r="201282" s="12" customFormat="1" x14ac:dyDescent="0.25"/>
    <row r="201283" s="12" customFormat="1" x14ac:dyDescent="0.25"/>
    <row r="201284" s="12" customFormat="1" x14ac:dyDescent="0.25"/>
    <row r="201285" s="12" customFormat="1" x14ac:dyDescent="0.25"/>
    <row r="201286" s="12" customFormat="1" x14ac:dyDescent="0.25"/>
    <row r="201287" s="12" customFormat="1" x14ac:dyDescent="0.25"/>
    <row r="201288" s="12" customFormat="1" x14ac:dyDescent="0.25"/>
    <row r="201289" s="12" customFormat="1" x14ac:dyDescent="0.25"/>
    <row r="201290" s="12" customFormat="1" x14ac:dyDescent="0.25"/>
    <row r="201291" s="12" customFormat="1" x14ac:dyDescent="0.25"/>
    <row r="201292" s="12" customFormat="1" x14ac:dyDescent="0.25"/>
    <row r="201293" s="12" customFormat="1" x14ac:dyDescent="0.25"/>
    <row r="201294" s="12" customFormat="1" x14ac:dyDescent="0.25"/>
    <row r="201295" s="12" customFormat="1" x14ac:dyDescent="0.25"/>
    <row r="201296" s="12" customFormat="1" x14ac:dyDescent="0.25"/>
    <row r="201297" s="12" customFormat="1" x14ac:dyDescent="0.25"/>
    <row r="201298" s="12" customFormat="1" x14ac:dyDescent="0.25"/>
    <row r="201299" s="12" customFormat="1" x14ac:dyDescent="0.25"/>
    <row r="201300" s="12" customFormat="1" x14ac:dyDescent="0.25"/>
    <row r="201301" s="12" customFormat="1" x14ac:dyDescent="0.25"/>
    <row r="201302" s="12" customFormat="1" x14ac:dyDescent="0.25"/>
    <row r="201303" s="12" customFormat="1" x14ac:dyDescent="0.25"/>
    <row r="201304" s="12" customFormat="1" x14ac:dyDescent="0.25"/>
    <row r="201305" s="12" customFormat="1" x14ac:dyDescent="0.25"/>
    <row r="201306" s="12" customFormat="1" x14ac:dyDescent="0.25"/>
    <row r="201307" s="12" customFormat="1" x14ac:dyDescent="0.25"/>
    <row r="201308" s="12" customFormat="1" x14ac:dyDescent="0.25"/>
    <row r="201309" s="12" customFormat="1" x14ac:dyDescent="0.25"/>
    <row r="201310" s="12" customFormat="1" x14ac:dyDescent="0.25"/>
    <row r="201311" s="12" customFormat="1" x14ac:dyDescent="0.25"/>
    <row r="201312" s="12" customFormat="1" x14ac:dyDescent="0.25"/>
    <row r="201313" s="12" customFormat="1" x14ac:dyDescent="0.25"/>
    <row r="201314" s="12" customFormat="1" x14ac:dyDescent="0.25"/>
    <row r="201315" s="12" customFormat="1" x14ac:dyDescent="0.25"/>
    <row r="201316" s="12" customFormat="1" x14ac:dyDescent="0.25"/>
    <row r="201317" s="12" customFormat="1" x14ac:dyDescent="0.25"/>
    <row r="201318" s="12" customFormat="1" x14ac:dyDescent="0.25"/>
    <row r="201319" s="12" customFormat="1" x14ac:dyDescent="0.25"/>
    <row r="201320" s="12" customFormat="1" x14ac:dyDescent="0.25"/>
    <row r="201321" s="12" customFormat="1" x14ac:dyDescent="0.25"/>
    <row r="201322" s="12" customFormat="1" x14ac:dyDescent="0.25"/>
    <row r="201323" s="12" customFormat="1" x14ac:dyDescent="0.25"/>
    <row r="201324" s="12" customFormat="1" x14ac:dyDescent="0.25"/>
    <row r="201325" s="12" customFormat="1" x14ac:dyDescent="0.25"/>
    <row r="201326" s="12" customFormat="1" x14ac:dyDescent="0.25"/>
    <row r="201327" s="12" customFormat="1" x14ac:dyDescent="0.25"/>
    <row r="201328" s="12" customFormat="1" x14ac:dyDescent="0.25"/>
    <row r="201329" s="12" customFormat="1" x14ac:dyDescent="0.25"/>
    <row r="201330" s="12" customFormat="1" x14ac:dyDescent="0.25"/>
    <row r="201331" s="12" customFormat="1" x14ac:dyDescent="0.25"/>
    <row r="201332" s="12" customFormat="1" x14ac:dyDescent="0.25"/>
    <row r="201333" s="12" customFormat="1" x14ac:dyDescent="0.25"/>
    <row r="201334" s="12" customFormat="1" x14ac:dyDescent="0.25"/>
    <row r="201335" s="12" customFormat="1" x14ac:dyDescent="0.25"/>
    <row r="201336" s="12" customFormat="1" x14ac:dyDescent="0.25"/>
    <row r="201337" s="12" customFormat="1" x14ac:dyDescent="0.25"/>
    <row r="201338" s="12" customFormat="1" x14ac:dyDescent="0.25"/>
    <row r="201339" s="12" customFormat="1" x14ac:dyDescent="0.25"/>
    <row r="201340" s="12" customFormat="1" x14ac:dyDescent="0.25"/>
    <row r="201341" s="12" customFormat="1" x14ac:dyDescent="0.25"/>
    <row r="201342" s="12" customFormat="1" x14ac:dyDescent="0.25"/>
    <row r="201343" s="12" customFormat="1" x14ac:dyDescent="0.25"/>
    <row r="201344" s="12" customFormat="1" x14ac:dyDescent="0.25"/>
    <row r="201345" s="12" customFormat="1" x14ac:dyDescent="0.25"/>
    <row r="201346" s="12" customFormat="1" x14ac:dyDescent="0.25"/>
    <row r="201347" s="12" customFormat="1" x14ac:dyDescent="0.25"/>
    <row r="201348" s="12" customFormat="1" x14ac:dyDescent="0.25"/>
    <row r="201349" s="12" customFormat="1" x14ac:dyDescent="0.25"/>
    <row r="201350" s="12" customFormat="1" x14ac:dyDescent="0.25"/>
    <row r="201351" s="12" customFormat="1" x14ac:dyDescent="0.25"/>
    <row r="201352" s="12" customFormat="1" x14ac:dyDescent="0.25"/>
    <row r="201353" s="12" customFormat="1" x14ac:dyDescent="0.25"/>
    <row r="201354" s="12" customFormat="1" x14ac:dyDescent="0.25"/>
    <row r="201355" s="12" customFormat="1" x14ac:dyDescent="0.25"/>
    <row r="201356" s="12" customFormat="1" x14ac:dyDescent="0.25"/>
    <row r="201357" s="12" customFormat="1" x14ac:dyDescent="0.25"/>
    <row r="201358" s="12" customFormat="1" x14ac:dyDescent="0.25"/>
    <row r="201359" s="12" customFormat="1" x14ac:dyDescent="0.25"/>
    <row r="201360" s="12" customFormat="1" x14ac:dyDescent="0.25"/>
    <row r="201361" s="12" customFormat="1" x14ac:dyDescent="0.25"/>
    <row r="201362" s="12" customFormat="1" x14ac:dyDescent="0.25"/>
    <row r="201363" s="12" customFormat="1" x14ac:dyDescent="0.25"/>
    <row r="201364" s="12" customFormat="1" x14ac:dyDescent="0.25"/>
    <row r="201365" s="12" customFormat="1" x14ac:dyDescent="0.25"/>
    <row r="201366" s="12" customFormat="1" x14ac:dyDescent="0.25"/>
    <row r="201367" s="12" customFormat="1" x14ac:dyDescent="0.25"/>
    <row r="201368" s="12" customFormat="1" x14ac:dyDescent="0.25"/>
    <row r="201369" s="12" customFormat="1" x14ac:dyDescent="0.25"/>
    <row r="201370" s="12" customFormat="1" x14ac:dyDescent="0.25"/>
    <row r="201371" s="12" customFormat="1" x14ac:dyDescent="0.25"/>
    <row r="201372" s="12" customFormat="1" x14ac:dyDescent="0.25"/>
    <row r="201373" s="12" customFormat="1" x14ac:dyDescent="0.25"/>
    <row r="201374" s="12" customFormat="1" x14ac:dyDescent="0.25"/>
    <row r="201375" s="12" customFormat="1" x14ac:dyDescent="0.25"/>
    <row r="201376" s="12" customFormat="1" x14ac:dyDescent="0.25"/>
    <row r="201377" s="12" customFormat="1" x14ac:dyDescent="0.25"/>
    <row r="201378" s="12" customFormat="1" x14ac:dyDescent="0.25"/>
    <row r="201379" s="12" customFormat="1" x14ac:dyDescent="0.25"/>
    <row r="201380" s="12" customFormat="1" x14ac:dyDescent="0.25"/>
    <row r="201381" s="12" customFormat="1" x14ac:dyDescent="0.25"/>
    <row r="201382" s="12" customFormat="1" x14ac:dyDescent="0.25"/>
    <row r="201383" s="12" customFormat="1" x14ac:dyDescent="0.25"/>
    <row r="201384" s="12" customFormat="1" x14ac:dyDescent="0.25"/>
    <row r="201385" s="12" customFormat="1" x14ac:dyDescent="0.25"/>
    <row r="201386" s="12" customFormat="1" x14ac:dyDescent="0.25"/>
    <row r="201387" s="12" customFormat="1" x14ac:dyDescent="0.25"/>
    <row r="201388" s="12" customFormat="1" x14ac:dyDescent="0.25"/>
    <row r="201389" s="12" customFormat="1" x14ac:dyDescent="0.25"/>
    <row r="201390" s="12" customFormat="1" x14ac:dyDescent="0.25"/>
    <row r="201391" s="12" customFormat="1" x14ac:dyDescent="0.25"/>
    <row r="201392" s="12" customFormat="1" x14ac:dyDescent="0.25"/>
    <row r="201393" s="12" customFormat="1" x14ac:dyDescent="0.25"/>
    <row r="201394" s="12" customFormat="1" x14ac:dyDescent="0.25"/>
    <row r="201395" s="12" customFormat="1" x14ac:dyDescent="0.25"/>
    <row r="201396" s="12" customFormat="1" x14ac:dyDescent="0.25"/>
    <row r="201397" s="12" customFormat="1" x14ac:dyDescent="0.25"/>
    <row r="201398" s="12" customFormat="1" x14ac:dyDescent="0.25"/>
    <row r="201399" s="12" customFormat="1" x14ac:dyDescent="0.25"/>
    <row r="201400" s="12" customFormat="1" x14ac:dyDescent="0.25"/>
    <row r="201401" s="12" customFormat="1" x14ac:dyDescent="0.25"/>
    <row r="201402" s="12" customFormat="1" x14ac:dyDescent="0.25"/>
    <row r="201403" s="12" customFormat="1" x14ac:dyDescent="0.25"/>
    <row r="201404" s="12" customFormat="1" x14ac:dyDescent="0.25"/>
    <row r="201405" s="12" customFormat="1" x14ac:dyDescent="0.25"/>
    <row r="201406" s="12" customFormat="1" x14ac:dyDescent="0.25"/>
    <row r="201407" s="12" customFormat="1" x14ac:dyDescent="0.25"/>
    <row r="201408" s="12" customFormat="1" x14ac:dyDescent="0.25"/>
    <row r="201409" s="12" customFormat="1" x14ac:dyDescent="0.25"/>
    <row r="201410" s="12" customFormat="1" x14ac:dyDescent="0.25"/>
    <row r="201411" s="12" customFormat="1" x14ac:dyDescent="0.25"/>
    <row r="201412" s="12" customFormat="1" x14ac:dyDescent="0.25"/>
    <row r="201413" s="12" customFormat="1" x14ac:dyDescent="0.25"/>
    <row r="201414" s="12" customFormat="1" x14ac:dyDescent="0.25"/>
    <row r="201415" s="12" customFormat="1" x14ac:dyDescent="0.25"/>
    <row r="201416" s="12" customFormat="1" x14ac:dyDescent="0.25"/>
    <row r="201417" s="12" customFormat="1" x14ac:dyDescent="0.25"/>
    <row r="201418" s="12" customFormat="1" x14ac:dyDescent="0.25"/>
    <row r="201419" s="12" customFormat="1" x14ac:dyDescent="0.25"/>
    <row r="201420" s="12" customFormat="1" x14ac:dyDescent="0.25"/>
    <row r="201421" s="12" customFormat="1" x14ac:dyDescent="0.25"/>
    <row r="201422" s="12" customFormat="1" x14ac:dyDescent="0.25"/>
    <row r="201423" s="12" customFormat="1" x14ac:dyDescent="0.25"/>
    <row r="201424" s="12" customFormat="1" x14ac:dyDescent="0.25"/>
    <row r="201425" s="12" customFormat="1" x14ac:dyDescent="0.25"/>
    <row r="201426" s="12" customFormat="1" x14ac:dyDescent="0.25"/>
    <row r="201427" s="12" customFormat="1" x14ac:dyDescent="0.25"/>
    <row r="201428" s="12" customFormat="1" x14ac:dyDescent="0.25"/>
    <row r="201429" s="12" customFormat="1" x14ac:dyDescent="0.25"/>
    <row r="201430" s="12" customFormat="1" x14ac:dyDescent="0.25"/>
    <row r="201431" s="12" customFormat="1" x14ac:dyDescent="0.25"/>
    <row r="201432" s="12" customFormat="1" x14ac:dyDescent="0.25"/>
    <row r="201433" s="12" customFormat="1" x14ac:dyDescent="0.25"/>
    <row r="201434" s="12" customFormat="1" x14ac:dyDescent="0.25"/>
    <row r="201435" s="12" customFormat="1" x14ac:dyDescent="0.25"/>
    <row r="201436" s="12" customFormat="1" x14ac:dyDescent="0.25"/>
    <row r="201437" s="12" customFormat="1" x14ac:dyDescent="0.25"/>
    <row r="201438" s="12" customFormat="1" x14ac:dyDescent="0.25"/>
    <row r="201439" s="12" customFormat="1" x14ac:dyDescent="0.25"/>
    <row r="201440" s="12" customFormat="1" x14ac:dyDescent="0.25"/>
    <row r="201441" s="12" customFormat="1" x14ac:dyDescent="0.25"/>
    <row r="201442" s="12" customFormat="1" x14ac:dyDescent="0.25"/>
    <row r="201443" s="12" customFormat="1" x14ac:dyDescent="0.25"/>
    <row r="201444" s="12" customFormat="1" x14ac:dyDescent="0.25"/>
    <row r="201445" s="12" customFormat="1" x14ac:dyDescent="0.25"/>
    <row r="201446" s="12" customFormat="1" x14ac:dyDescent="0.25"/>
    <row r="201447" s="12" customFormat="1" x14ac:dyDescent="0.25"/>
    <row r="201448" s="12" customFormat="1" x14ac:dyDescent="0.25"/>
    <row r="201449" s="12" customFormat="1" x14ac:dyDescent="0.25"/>
    <row r="201450" s="12" customFormat="1" x14ac:dyDescent="0.25"/>
    <row r="201451" s="12" customFormat="1" x14ac:dyDescent="0.25"/>
    <row r="201452" s="12" customFormat="1" x14ac:dyDescent="0.25"/>
    <row r="201453" s="12" customFormat="1" x14ac:dyDescent="0.25"/>
    <row r="201454" s="12" customFormat="1" x14ac:dyDescent="0.25"/>
    <row r="201455" s="12" customFormat="1" x14ac:dyDescent="0.25"/>
    <row r="201456" s="12" customFormat="1" x14ac:dyDescent="0.25"/>
    <row r="201457" s="12" customFormat="1" x14ac:dyDescent="0.25"/>
    <row r="201458" s="12" customFormat="1" x14ac:dyDescent="0.25"/>
    <row r="201459" s="12" customFormat="1" x14ac:dyDescent="0.25"/>
    <row r="201460" s="12" customFormat="1" x14ac:dyDescent="0.25"/>
    <row r="201461" s="12" customFormat="1" x14ac:dyDescent="0.25"/>
    <row r="201462" s="12" customFormat="1" x14ac:dyDescent="0.25"/>
    <row r="201463" s="12" customFormat="1" x14ac:dyDescent="0.25"/>
    <row r="201464" s="12" customFormat="1" x14ac:dyDescent="0.25"/>
    <row r="201465" s="12" customFormat="1" x14ac:dyDescent="0.25"/>
    <row r="201466" s="12" customFormat="1" x14ac:dyDescent="0.25"/>
    <row r="201467" s="12" customFormat="1" x14ac:dyDescent="0.25"/>
    <row r="201468" s="12" customFormat="1" x14ac:dyDescent="0.25"/>
    <row r="201469" s="12" customFormat="1" x14ac:dyDescent="0.25"/>
    <row r="201470" s="12" customFormat="1" x14ac:dyDescent="0.25"/>
    <row r="201471" s="12" customFormat="1" x14ac:dyDescent="0.25"/>
    <row r="201472" s="12" customFormat="1" x14ac:dyDescent="0.25"/>
    <row r="201473" s="12" customFormat="1" x14ac:dyDescent="0.25"/>
    <row r="201474" s="12" customFormat="1" x14ac:dyDescent="0.25"/>
    <row r="201475" s="12" customFormat="1" x14ac:dyDescent="0.25"/>
    <row r="201476" s="12" customFormat="1" x14ac:dyDescent="0.25"/>
    <row r="201477" s="12" customFormat="1" x14ac:dyDescent="0.25"/>
    <row r="201478" s="12" customFormat="1" x14ac:dyDescent="0.25"/>
    <row r="201479" s="12" customFormat="1" x14ac:dyDescent="0.25"/>
    <row r="201480" s="12" customFormat="1" x14ac:dyDescent="0.25"/>
    <row r="201481" s="12" customFormat="1" x14ac:dyDescent="0.25"/>
    <row r="201482" s="12" customFormat="1" x14ac:dyDescent="0.25"/>
    <row r="201483" s="12" customFormat="1" x14ac:dyDescent="0.25"/>
    <row r="201484" s="12" customFormat="1" x14ac:dyDescent="0.25"/>
    <row r="201485" s="12" customFormat="1" x14ac:dyDescent="0.25"/>
    <row r="201486" s="12" customFormat="1" x14ac:dyDescent="0.25"/>
    <row r="201487" s="12" customFormat="1" x14ac:dyDescent="0.25"/>
    <row r="201488" s="12" customFormat="1" x14ac:dyDescent="0.25"/>
    <row r="201489" s="12" customFormat="1" x14ac:dyDescent="0.25"/>
    <row r="201490" s="12" customFormat="1" x14ac:dyDescent="0.25"/>
    <row r="201491" s="12" customFormat="1" x14ac:dyDescent="0.25"/>
    <row r="201492" s="12" customFormat="1" x14ac:dyDescent="0.25"/>
    <row r="201493" s="12" customFormat="1" x14ac:dyDescent="0.25"/>
    <row r="201494" s="12" customFormat="1" x14ac:dyDescent="0.25"/>
    <row r="201495" s="12" customFormat="1" x14ac:dyDescent="0.25"/>
    <row r="201496" s="12" customFormat="1" x14ac:dyDescent="0.25"/>
    <row r="201497" s="12" customFormat="1" x14ac:dyDescent="0.25"/>
    <row r="201498" s="12" customFormat="1" x14ac:dyDescent="0.25"/>
    <row r="201499" s="12" customFormat="1" x14ac:dyDescent="0.25"/>
    <row r="201500" s="12" customFormat="1" x14ac:dyDescent="0.25"/>
    <row r="201501" s="12" customFormat="1" x14ac:dyDescent="0.25"/>
    <row r="201502" s="12" customFormat="1" x14ac:dyDescent="0.25"/>
    <row r="201503" s="12" customFormat="1" x14ac:dyDescent="0.25"/>
    <row r="201504" s="12" customFormat="1" x14ac:dyDescent="0.25"/>
    <row r="201505" s="12" customFormat="1" x14ac:dyDescent="0.25"/>
    <row r="201506" s="12" customFormat="1" x14ac:dyDescent="0.25"/>
    <row r="201507" s="12" customFormat="1" x14ac:dyDescent="0.25"/>
    <row r="201508" s="12" customFormat="1" x14ac:dyDescent="0.25"/>
    <row r="201509" s="12" customFormat="1" x14ac:dyDescent="0.25"/>
    <row r="201510" s="12" customFormat="1" x14ac:dyDescent="0.25"/>
    <row r="201511" s="12" customFormat="1" x14ac:dyDescent="0.25"/>
    <row r="201512" s="12" customFormat="1" x14ac:dyDescent="0.25"/>
    <row r="201513" s="12" customFormat="1" x14ac:dyDescent="0.25"/>
    <row r="201514" s="12" customFormat="1" x14ac:dyDescent="0.25"/>
    <row r="201515" s="12" customFormat="1" x14ac:dyDescent="0.25"/>
    <row r="201516" s="12" customFormat="1" x14ac:dyDescent="0.25"/>
    <row r="201517" s="12" customFormat="1" x14ac:dyDescent="0.25"/>
    <row r="201518" s="12" customFormat="1" x14ac:dyDescent="0.25"/>
    <row r="201519" s="12" customFormat="1" x14ac:dyDescent="0.25"/>
    <row r="201520" s="12" customFormat="1" x14ac:dyDescent="0.25"/>
    <row r="201521" s="12" customFormat="1" x14ac:dyDescent="0.25"/>
    <row r="201522" s="12" customFormat="1" x14ac:dyDescent="0.25"/>
    <row r="201523" s="12" customFormat="1" x14ac:dyDescent="0.25"/>
    <row r="201524" s="12" customFormat="1" x14ac:dyDescent="0.25"/>
    <row r="201525" s="12" customFormat="1" x14ac:dyDescent="0.25"/>
    <row r="201526" s="12" customFormat="1" x14ac:dyDescent="0.25"/>
    <row r="201527" s="12" customFormat="1" x14ac:dyDescent="0.25"/>
    <row r="201528" s="12" customFormat="1" x14ac:dyDescent="0.25"/>
    <row r="201529" s="12" customFormat="1" x14ac:dyDescent="0.25"/>
    <row r="201530" s="12" customFormat="1" x14ac:dyDescent="0.25"/>
    <row r="201531" s="12" customFormat="1" x14ac:dyDescent="0.25"/>
    <row r="201532" s="12" customFormat="1" x14ac:dyDescent="0.25"/>
    <row r="201533" s="12" customFormat="1" x14ac:dyDescent="0.25"/>
    <row r="201534" s="12" customFormat="1" x14ac:dyDescent="0.25"/>
    <row r="201535" s="12" customFormat="1" x14ac:dyDescent="0.25"/>
    <row r="201536" s="12" customFormat="1" x14ac:dyDescent="0.25"/>
    <row r="201537" s="12" customFormat="1" x14ac:dyDescent="0.25"/>
    <row r="201538" s="12" customFormat="1" x14ac:dyDescent="0.25"/>
    <row r="201539" s="12" customFormat="1" x14ac:dyDescent="0.25"/>
    <row r="201540" s="12" customFormat="1" x14ac:dyDescent="0.25"/>
    <row r="201541" s="12" customFormat="1" x14ac:dyDescent="0.25"/>
    <row r="201542" s="12" customFormat="1" x14ac:dyDescent="0.25"/>
    <row r="201543" s="12" customFormat="1" x14ac:dyDescent="0.25"/>
    <row r="201544" s="12" customFormat="1" x14ac:dyDescent="0.25"/>
    <row r="201545" s="12" customFormat="1" x14ac:dyDescent="0.25"/>
    <row r="201546" s="12" customFormat="1" x14ac:dyDescent="0.25"/>
    <row r="201547" s="12" customFormat="1" x14ac:dyDescent="0.25"/>
    <row r="201548" s="12" customFormat="1" x14ac:dyDescent="0.25"/>
    <row r="201549" s="12" customFormat="1" x14ac:dyDescent="0.25"/>
    <row r="201550" s="12" customFormat="1" x14ac:dyDescent="0.25"/>
    <row r="201551" s="12" customFormat="1" x14ac:dyDescent="0.25"/>
    <row r="201552" s="12" customFormat="1" x14ac:dyDescent="0.25"/>
    <row r="201553" s="12" customFormat="1" x14ac:dyDescent="0.25"/>
    <row r="201554" s="12" customFormat="1" x14ac:dyDescent="0.25"/>
    <row r="201555" s="12" customFormat="1" x14ac:dyDescent="0.25"/>
    <row r="201556" s="12" customFormat="1" x14ac:dyDescent="0.25"/>
    <row r="201557" s="12" customFormat="1" x14ac:dyDescent="0.25"/>
    <row r="201558" s="12" customFormat="1" x14ac:dyDescent="0.25"/>
    <row r="201559" s="12" customFormat="1" x14ac:dyDescent="0.25"/>
    <row r="201560" s="12" customFormat="1" x14ac:dyDescent="0.25"/>
    <row r="201561" s="12" customFormat="1" x14ac:dyDescent="0.25"/>
    <row r="201562" s="12" customFormat="1" x14ac:dyDescent="0.25"/>
    <row r="201563" s="12" customFormat="1" x14ac:dyDescent="0.25"/>
    <row r="201564" s="12" customFormat="1" x14ac:dyDescent="0.25"/>
    <row r="201565" s="12" customFormat="1" x14ac:dyDescent="0.25"/>
    <row r="201566" s="12" customFormat="1" x14ac:dyDescent="0.25"/>
    <row r="201567" s="12" customFormat="1" x14ac:dyDescent="0.25"/>
    <row r="201568" s="12" customFormat="1" x14ac:dyDescent="0.25"/>
    <row r="201569" s="12" customFormat="1" x14ac:dyDescent="0.25"/>
    <row r="201570" s="12" customFormat="1" x14ac:dyDescent="0.25"/>
    <row r="201571" s="12" customFormat="1" x14ac:dyDescent="0.25"/>
    <row r="201572" s="12" customFormat="1" x14ac:dyDescent="0.25"/>
    <row r="201573" s="12" customFormat="1" x14ac:dyDescent="0.25"/>
    <row r="201574" s="12" customFormat="1" x14ac:dyDescent="0.25"/>
    <row r="201575" s="12" customFormat="1" x14ac:dyDescent="0.25"/>
    <row r="201576" s="12" customFormat="1" x14ac:dyDescent="0.25"/>
    <row r="201577" s="12" customFormat="1" x14ac:dyDescent="0.25"/>
    <row r="201578" s="12" customFormat="1" x14ac:dyDescent="0.25"/>
    <row r="201579" s="12" customFormat="1" x14ac:dyDescent="0.25"/>
    <row r="201580" s="12" customFormat="1" x14ac:dyDescent="0.25"/>
    <row r="201581" s="12" customFormat="1" x14ac:dyDescent="0.25"/>
    <row r="201582" s="12" customFormat="1" x14ac:dyDescent="0.25"/>
    <row r="201583" s="12" customFormat="1" x14ac:dyDescent="0.25"/>
    <row r="201584" s="12" customFormat="1" x14ac:dyDescent="0.25"/>
    <row r="201585" s="12" customFormat="1" x14ac:dyDescent="0.25"/>
    <row r="201586" s="12" customFormat="1" x14ac:dyDescent="0.25"/>
    <row r="201587" s="12" customFormat="1" x14ac:dyDescent="0.25"/>
    <row r="201588" s="12" customFormat="1" x14ac:dyDescent="0.25"/>
    <row r="201589" s="12" customFormat="1" x14ac:dyDescent="0.25"/>
    <row r="201590" s="12" customFormat="1" x14ac:dyDescent="0.25"/>
    <row r="201591" s="12" customFormat="1" x14ac:dyDescent="0.25"/>
    <row r="201592" s="12" customFormat="1" x14ac:dyDescent="0.25"/>
    <row r="201593" s="12" customFormat="1" x14ac:dyDescent="0.25"/>
    <row r="201594" s="12" customFormat="1" x14ac:dyDescent="0.25"/>
    <row r="201595" s="12" customFormat="1" x14ac:dyDescent="0.25"/>
    <row r="201596" s="12" customFormat="1" x14ac:dyDescent="0.25"/>
    <row r="201597" s="12" customFormat="1" x14ac:dyDescent="0.25"/>
    <row r="201598" s="12" customFormat="1" x14ac:dyDescent="0.25"/>
    <row r="201599" s="12" customFormat="1" x14ac:dyDescent="0.25"/>
    <row r="201600" s="12" customFormat="1" x14ac:dyDescent="0.25"/>
    <row r="201601" s="12" customFormat="1" x14ac:dyDescent="0.25"/>
    <row r="201602" s="12" customFormat="1" x14ac:dyDescent="0.25"/>
    <row r="201603" s="12" customFormat="1" x14ac:dyDescent="0.25"/>
    <row r="201604" s="12" customFormat="1" x14ac:dyDescent="0.25"/>
    <row r="201605" s="12" customFormat="1" x14ac:dyDescent="0.25"/>
    <row r="201606" s="12" customFormat="1" x14ac:dyDescent="0.25"/>
    <row r="201607" s="12" customFormat="1" x14ac:dyDescent="0.25"/>
    <row r="201608" s="12" customFormat="1" x14ac:dyDescent="0.25"/>
    <row r="201609" s="12" customFormat="1" x14ac:dyDescent="0.25"/>
    <row r="201610" s="12" customFormat="1" x14ac:dyDescent="0.25"/>
    <row r="201611" s="12" customFormat="1" x14ac:dyDescent="0.25"/>
    <row r="201612" s="12" customFormat="1" x14ac:dyDescent="0.25"/>
    <row r="201613" s="12" customFormat="1" x14ac:dyDescent="0.25"/>
    <row r="201614" s="12" customFormat="1" x14ac:dyDescent="0.25"/>
    <row r="201615" s="12" customFormat="1" x14ac:dyDescent="0.25"/>
    <row r="201616" s="12" customFormat="1" x14ac:dyDescent="0.25"/>
    <row r="201617" s="12" customFormat="1" x14ac:dyDescent="0.25"/>
    <row r="201618" s="12" customFormat="1" x14ac:dyDescent="0.25"/>
    <row r="201619" s="12" customFormat="1" x14ac:dyDescent="0.25"/>
    <row r="201620" s="12" customFormat="1" x14ac:dyDescent="0.25"/>
    <row r="201621" s="12" customFormat="1" x14ac:dyDescent="0.25"/>
    <row r="201622" s="12" customFormat="1" x14ac:dyDescent="0.25"/>
    <row r="201623" s="12" customFormat="1" x14ac:dyDescent="0.25"/>
    <row r="201624" s="12" customFormat="1" x14ac:dyDescent="0.25"/>
    <row r="201625" s="12" customFormat="1" x14ac:dyDescent="0.25"/>
    <row r="201626" s="12" customFormat="1" x14ac:dyDescent="0.25"/>
    <row r="201627" s="12" customFormat="1" x14ac:dyDescent="0.25"/>
    <row r="201628" s="12" customFormat="1" x14ac:dyDescent="0.25"/>
    <row r="201629" s="12" customFormat="1" x14ac:dyDescent="0.25"/>
    <row r="201630" s="12" customFormat="1" x14ac:dyDescent="0.25"/>
    <row r="201631" s="12" customFormat="1" x14ac:dyDescent="0.25"/>
    <row r="201632" s="12" customFormat="1" x14ac:dyDescent="0.25"/>
    <row r="201633" s="12" customFormat="1" x14ac:dyDescent="0.25"/>
    <row r="201634" s="12" customFormat="1" x14ac:dyDescent="0.25"/>
    <row r="201635" s="12" customFormat="1" x14ac:dyDescent="0.25"/>
    <row r="201636" s="12" customFormat="1" x14ac:dyDescent="0.25"/>
    <row r="201637" s="12" customFormat="1" x14ac:dyDescent="0.25"/>
    <row r="201638" s="12" customFormat="1" x14ac:dyDescent="0.25"/>
    <row r="201639" s="12" customFormat="1" x14ac:dyDescent="0.25"/>
    <row r="201640" s="12" customFormat="1" x14ac:dyDescent="0.25"/>
    <row r="201641" s="12" customFormat="1" x14ac:dyDescent="0.25"/>
    <row r="201642" s="12" customFormat="1" x14ac:dyDescent="0.25"/>
    <row r="201643" s="12" customFormat="1" x14ac:dyDescent="0.25"/>
    <row r="201644" s="12" customFormat="1" x14ac:dyDescent="0.25"/>
    <row r="201645" s="12" customFormat="1" x14ac:dyDescent="0.25"/>
    <row r="201646" s="12" customFormat="1" x14ac:dyDescent="0.25"/>
    <row r="201647" s="12" customFormat="1" x14ac:dyDescent="0.25"/>
    <row r="201648" s="12" customFormat="1" x14ac:dyDescent="0.25"/>
    <row r="201649" s="12" customFormat="1" x14ac:dyDescent="0.25"/>
    <row r="201650" s="12" customFormat="1" x14ac:dyDescent="0.25"/>
    <row r="201651" s="12" customFormat="1" x14ac:dyDescent="0.25"/>
    <row r="201652" s="12" customFormat="1" x14ac:dyDescent="0.25"/>
    <row r="201653" s="12" customFormat="1" x14ac:dyDescent="0.25"/>
    <row r="201654" s="12" customFormat="1" x14ac:dyDescent="0.25"/>
    <row r="201655" s="12" customFormat="1" x14ac:dyDescent="0.25"/>
    <row r="201656" s="12" customFormat="1" x14ac:dyDescent="0.25"/>
    <row r="201657" s="12" customFormat="1" x14ac:dyDescent="0.25"/>
    <row r="201658" s="12" customFormat="1" x14ac:dyDescent="0.25"/>
    <row r="201659" s="12" customFormat="1" x14ac:dyDescent="0.25"/>
    <row r="201660" s="12" customFormat="1" x14ac:dyDescent="0.25"/>
    <row r="201661" s="12" customFormat="1" x14ac:dyDescent="0.25"/>
    <row r="201662" s="12" customFormat="1" x14ac:dyDescent="0.25"/>
    <row r="201663" s="12" customFormat="1" x14ac:dyDescent="0.25"/>
    <row r="201664" s="12" customFormat="1" x14ac:dyDescent="0.25"/>
    <row r="201665" s="12" customFormat="1" x14ac:dyDescent="0.25"/>
    <row r="201666" s="12" customFormat="1" x14ac:dyDescent="0.25"/>
    <row r="201667" s="12" customFormat="1" x14ac:dyDescent="0.25"/>
    <row r="201668" s="12" customFormat="1" x14ac:dyDescent="0.25"/>
    <row r="201669" s="12" customFormat="1" x14ac:dyDescent="0.25"/>
    <row r="201670" s="12" customFormat="1" x14ac:dyDescent="0.25"/>
    <row r="201671" s="12" customFormat="1" x14ac:dyDescent="0.25"/>
    <row r="201672" s="12" customFormat="1" x14ac:dyDescent="0.25"/>
    <row r="201673" s="12" customFormat="1" x14ac:dyDescent="0.25"/>
    <row r="201674" s="12" customFormat="1" x14ac:dyDescent="0.25"/>
    <row r="201675" s="12" customFormat="1" x14ac:dyDescent="0.25"/>
    <row r="201676" s="12" customFormat="1" x14ac:dyDescent="0.25"/>
    <row r="201677" s="12" customFormat="1" x14ac:dyDescent="0.25"/>
    <row r="201678" s="12" customFormat="1" x14ac:dyDescent="0.25"/>
    <row r="201679" s="12" customFormat="1" x14ac:dyDescent="0.25"/>
    <row r="201680" s="12" customFormat="1" x14ac:dyDescent="0.25"/>
    <row r="201681" s="12" customFormat="1" x14ac:dyDescent="0.25"/>
    <row r="201682" s="12" customFormat="1" x14ac:dyDescent="0.25"/>
    <row r="201683" s="12" customFormat="1" x14ac:dyDescent="0.25"/>
    <row r="201684" s="12" customFormat="1" x14ac:dyDescent="0.25"/>
    <row r="201685" s="12" customFormat="1" x14ac:dyDescent="0.25"/>
    <row r="201686" s="12" customFormat="1" x14ac:dyDescent="0.25"/>
    <row r="201687" s="12" customFormat="1" x14ac:dyDescent="0.25"/>
    <row r="201688" s="12" customFormat="1" x14ac:dyDescent="0.25"/>
    <row r="201689" s="12" customFormat="1" x14ac:dyDescent="0.25"/>
    <row r="201690" s="12" customFormat="1" x14ac:dyDescent="0.25"/>
    <row r="201691" s="12" customFormat="1" x14ac:dyDescent="0.25"/>
    <row r="201692" s="12" customFormat="1" x14ac:dyDescent="0.25"/>
    <row r="201693" s="12" customFormat="1" x14ac:dyDescent="0.25"/>
    <row r="201694" s="12" customFormat="1" x14ac:dyDescent="0.25"/>
    <row r="201695" s="12" customFormat="1" x14ac:dyDescent="0.25"/>
    <row r="201696" s="12" customFormat="1" x14ac:dyDescent="0.25"/>
    <row r="201697" s="12" customFormat="1" x14ac:dyDescent="0.25"/>
    <row r="201698" s="12" customFormat="1" x14ac:dyDescent="0.25"/>
    <row r="201699" s="12" customFormat="1" x14ac:dyDescent="0.25"/>
    <row r="201700" s="12" customFormat="1" x14ac:dyDescent="0.25"/>
    <row r="201701" s="12" customFormat="1" x14ac:dyDescent="0.25"/>
    <row r="201702" s="12" customFormat="1" x14ac:dyDescent="0.25"/>
    <row r="201703" s="12" customFormat="1" x14ac:dyDescent="0.25"/>
    <row r="201704" s="12" customFormat="1" x14ac:dyDescent="0.25"/>
    <row r="201705" s="12" customFormat="1" x14ac:dyDescent="0.25"/>
    <row r="201706" s="12" customFormat="1" x14ac:dyDescent="0.25"/>
    <row r="201707" s="12" customFormat="1" x14ac:dyDescent="0.25"/>
    <row r="201708" s="12" customFormat="1" x14ac:dyDescent="0.25"/>
    <row r="201709" s="12" customFormat="1" x14ac:dyDescent="0.25"/>
    <row r="201710" s="12" customFormat="1" x14ac:dyDescent="0.25"/>
    <row r="201711" s="12" customFormat="1" x14ac:dyDescent="0.25"/>
    <row r="201712" s="12" customFormat="1" x14ac:dyDescent="0.25"/>
    <row r="201713" s="12" customFormat="1" x14ac:dyDescent="0.25"/>
    <row r="201714" s="12" customFormat="1" x14ac:dyDescent="0.25"/>
    <row r="201715" s="12" customFormat="1" x14ac:dyDescent="0.25"/>
    <row r="201716" s="12" customFormat="1" x14ac:dyDescent="0.25"/>
    <row r="201717" s="12" customFormat="1" x14ac:dyDescent="0.25"/>
    <row r="201718" s="12" customFormat="1" x14ac:dyDescent="0.25"/>
    <row r="201719" s="12" customFormat="1" x14ac:dyDescent="0.25"/>
    <row r="201720" s="12" customFormat="1" x14ac:dyDescent="0.25"/>
    <row r="201721" s="12" customFormat="1" x14ac:dyDescent="0.25"/>
    <row r="201722" s="12" customFormat="1" x14ac:dyDescent="0.25"/>
    <row r="201723" s="12" customFormat="1" x14ac:dyDescent="0.25"/>
    <row r="201724" s="12" customFormat="1" x14ac:dyDescent="0.25"/>
    <row r="201725" s="12" customFormat="1" x14ac:dyDescent="0.25"/>
    <row r="201726" s="12" customFormat="1" x14ac:dyDescent="0.25"/>
    <row r="201727" s="12" customFormat="1" x14ac:dyDescent="0.25"/>
    <row r="201728" s="12" customFormat="1" x14ac:dyDescent="0.25"/>
    <row r="201729" s="12" customFormat="1" x14ac:dyDescent="0.25"/>
    <row r="201730" s="12" customFormat="1" x14ac:dyDescent="0.25"/>
    <row r="201731" s="12" customFormat="1" x14ac:dyDescent="0.25"/>
    <row r="201732" s="12" customFormat="1" x14ac:dyDescent="0.25"/>
    <row r="201733" s="12" customFormat="1" x14ac:dyDescent="0.25"/>
    <row r="201734" s="12" customFormat="1" x14ac:dyDescent="0.25"/>
    <row r="201735" s="12" customFormat="1" x14ac:dyDescent="0.25"/>
    <row r="201736" s="12" customFormat="1" x14ac:dyDescent="0.25"/>
    <row r="201737" s="12" customFormat="1" x14ac:dyDescent="0.25"/>
    <row r="201738" s="12" customFormat="1" x14ac:dyDescent="0.25"/>
    <row r="201739" s="12" customFormat="1" x14ac:dyDescent="0.25"/>
    <row r="201740" s="12" customFormat="1" x14ac:dyDescent="0.25"/>
    <row r="201741" s="12" customFormat="1" x14ac:dyDescent="0.25"/>
    <row r="201742" s="12" customFormat="1" x14ac:dyDescent="0.25"/>
    <row r="201743" s="12" customFormat="1" x14ac:dyDescent="0.25"/>
    <row r="201744" s="12" customFormat="1" x14ac:dyDescent="0.25"/>
    <row r="201745" s="12" customFormat="1" x14ac:dyDescent="0.25"/>
    <row r="201746" s="12" customFormat="1" x14ac:dyDescent="0.25"/>
    <row r="201747" s="12" customFormat="1" x14ac:dyDescent="0.25"/>
    <row r="201748" s="12" customFormat="1" x14ac:dyDescent="0.25"/>
    <row r="201749" s="12" customFormat="1" x14ac:dyDescent="0.25"/>
    <row r="201750" s="12" customFormat="1" x14ac:dyDescent="0.25"/>
    <row r="201751" s="12" customFormat="1" x14ac:dyDescent="0.25"/>
    <row r="201752" s="12" customFormat="1" x14ac:dyDescent="0.25"/>
    <row r="201753" s="12" customFormat="1" x14ac:dyDescent="0.25"/>
    <row r="201754" s="12" customFormat="1" x14ac:dyDescent="0.25"/>
    <row r="201755" s="12" customFormat="1" x14ac:dyDescent="0.25"/>
    <row r="201756" s="12" customFormat="1" x14ac:dyDescent="0.25"/>
    <row r="201757" s="12" customFormat="1" x14ac:dyDescent="0.25"/>
    <row r="201758" s="12" customFormat="1" x14ac:dyDescent="0.25"/>
    <row r="201759" s="12" customFormat="1" x14ac:dyDescent="0.25"/>
    <row r="201760" s="12" customFormat="1" x14ac:dyDescent="0.25"/>
    <row r="201761" s="12" customFormat="1" x14ac:dyDescent="0.25"/>
    <row r="201762" s="12" customFormat="1" x14ac:dyDescent="0.25"/>
    <row r="201763" s="12" customFormat="1" x14ac:dyDescent="0.25"/>
    <row r="201764" s="12" customFormat="1" x14ac:dyDescent="0.25"/>
    <row r="201765" s="12" customFormat="1" x14ac:dyDescent="0.25"/>
    <row r="201766" s="12" customFormat="1" x14ac:dyDescent="0.25"/>
    <row r="201767" s="12" customFormat="1" x14ac:dyDescent="0.25"/>
    <row r="201768" s="12" customFormat="1" x14ac:dyDescent="0.25"/>
    <row r="201769" s="12" customFormat="1" x14ac:dyDescent="0.25"/>
    <row r="201770" s="12" customFormat="1" x14ac:dyDescent="0.25"/>
    <row r="201771" s="12" customFormat="1" x14ac:dyDescent="0.25"/>
    <row r="201772" s="12" customFormat="1" x14ac:dyDescent="0.25"/>
    <row r="201773" s="12" customFormat="1" x14ac:dyDescent="0.25"/>
    <row r="201774" s="12" customFormat="1" x14ac:dyDescent="0.25"/>
    <row r="201775" s="12" customFormat="1" x14ac:dyDescent="0.25"/>
    <row r="201776" s="12" customFormat="1" x14ac:dyDescent="0.25"/>
    <row r="201777" s="12" customFormat="1" x14ac:dyDescent="0.25"/>
    <row r="201778" s="12" customFormat="1" x14ac:dyDescent="0.25"/>
    <row r="201779" s="12" customFormat="1" x14ac:dyDescent="0.25"/>
    <row r="201780" s="12" customFormat="1" x14ac:dyDescent="0.25"/>
    <row r="201781" s="12" customFormat="1" x14ac:dyDescent="0.25"/>
    <row r="201782" s="12" customFormat="1" x14ac:dyDescent="0.25"/>
    <row r="201783" s="12" customFormat="1" x14ac:dyDescent="0.25"/>
    <row r="201784" s="12" customFormat="1" x14ac:dyDescent="0.25"/>
    <row r="201785" s="12" customFormat="1" x14ac:dyDescent="0.25"/>
    <row r="201786" s="12" customFormat="1" x14ac:dyDescent="0.25"/>
    <row r="201787" s="12" customFormat="1" x14ac:dyDescent="0.25"/>
    <row r="201788" s="12" customFormat="1" x14ac:dyDescent="0.25"/>
    <row r="201789" s="12" customFormat="1" x14ac:dyDescent="0.25"/>
    <row r="201790" s="12" customFormat="1" x14ac:dyDescent="0.25"/>
    <row r="201791" s="12" customFormat="1" x14ac:dyDescent="0.25"/>
    <row r="201792" s="12" customFormat="1" x14ac:dyDescent="0.25"/>
    <row r="201793" s="12" customFormat="1" x14ac:dyDescent="0.25"/>
    <row r="201794" s="12" customFormat="1" x14ac:dyDescent="0.25"/>
    <row r="201795" s="12" customFormat="1" x14ac:dyDescent="0.25"/>
    <row r="201796" s="12" customFormat="1" x14ac:dyDescent="0.25"/>
    <row r="201797" s="12" customFormat="1" x14ac:dyDescent="0.25"/>
    <row r="201798" s="12" customFormat="1" x14ac:dyDescent="0.25"/>
    <row r="201799" s="12" customFormat="1" x14ac:dyDescent="0.25"/>
    <row r="201800" s="12" customFormat="1" x14ac:dyDescent="0.25"/>
    <row r="201801" s="12" customFormat="1" x14ac:dyDescent="0.25"/>
    <row r="201802" s="12" customFormat="1" x14ac:dyDescent="0.25"/>
    <row r="201803" s="12" customFormat="1" x14ac:dyDescent="0.25"/>
    <row r="201804" s="12" customFormat="1" x14ac:dyDescent="0.25"/>
    <row r="201805" s="12" customFormat="1" x14ac:dyDescent="0.25"/>
    <row r="201806" s="12" customFormat="1" x14ac:dyDescent="0.25"/>
    <row r="201807" s="12" customFormat="1" x14ac:dyDescent="0.25"/>
    <row r="201808" s="12" customFormat="1" x14ac:dyDescent="0.25"/>
    <row r="201809" s="12" customFormat="1" x14ac:dyDescent="0.25"/>
    <row r="201810" s="12" customFormat="1" x14ac:dyDescent="0.25"/>
    <row r="201811" s="12" customFormat="1" x14ac:dyDescent="0.25"/>
    <row r="201812" s="12" customFormat="1" x14ac:dyDescent="0.25"/>
    <row r="201813" s="12" customFormat="1" x14ac:dyDescent="0.25"/>
    <row r="201814" s="12" customFormat="1" x14ac:dyDescent="0.25"/>
    <row r="201815" s="12" customFormat="1" x14ac:dyDescent="0.25"/>
    <row r="201816" s="12" customFormat="1" x14ac:dyDescent="0.25"/>
    <row r="201817" s="12" customFormat="1" x14ac:dyDescent="0.25"/>
    <row r="201818" s="12" customFormat="1" x14ac:dyDescent="0.25"/>
    <row r="201819" s="12" customFormat="1" x14ac:dyDescent="0.25"/>
    <row r="201820" s="12" customFormat="1" x14ac:dyDescent="0.25"/>
    <row r="201821" s="12" customFormat="1" x14ac:dyDescent="0.25"/>
    <row r="201822" s="12" customFormat="1" x14ac:dyDescent="0.25"/>
    <row r="201823" s="12" customFormat="1" x14ac:dyDescent="0.25"/>
    <row r="201824" s="12" customFormat="1" x14ac:dyDescent="0.25"/>
    <row r="201825" s="12" customFormat="1" x14ac:dyDescent="0.25"/>
    <row r="201826" s="12" customFormat="1" x14ac:dyDescent="0.25"/>
    <row r="201827" s="12" customFormat="1" x14ac:dyDescent="0.25"/>
    <row r="201828" s="12" customFormat="1" x14ac:dyDescent="0.25"/>
    <row r="201829" s="12" customFormat="1" x14ac:dyDescent="0.25"/>
    <row r="201830" s="12" customFormat="1" x14ac:dyDescent="0.25"/>
    <row r="201831" s="12" customFormat="1" x14ac:dyDescent="0.25"/>
    <row r="201832" s="12" customFormat="1" x14ac:dyDescent="0.25"/>
    <row r="201833" s="12" customFormat="1" x14ac:dyDescent="0.25"/>
    <row r="201834" s="12" customFormat="1" x14ac:dyDescent="0.25"/>
    <row r="201835" s="12" customFormat="1" x14ac:dyDescent="0.25"/>
    <row r="201836" s="12" customFormat="1" x14ac:dyDescent="0.25"/>
    <row r="201837" s="12" customFormat="1" x14ac:dyDescent="0.25"/>
    <row r="201838" s="12" customFormat="1" x14ac:dyDescent="0.25"/>
    <row r="201839" s="12" customFormat="1" x14ac:dyDescent="0.25"/>
    <row r="201840" s="12" customFormat="1" x14ac:dyDescent="0.25"/>
    <row r="201841" s="12" customFormat="1" x14ac:dyDescent="0.25"/>
    <row r="201842" s="12" customFormat="1" x14ac:dyDescent="0.25"/>
    <row r="201843" s="12" customFormat="1" x14ac:dyDescent="0.25"/>
    <row r="201844" s="12" customFormat="1" x14ac:dyDescent="0.25"/>
    <row r="201845" s="12" customFormat="1" x14ac:dyDescent="0.25"/>
    <row r="201846" s="12" customFormat="1" x14ac:dyDescent="0.25"/>
    <row r="201847" s="12" customFormat="1" x14ac:dyDescent="0.25"/>
    <row r="201848" s="12" customFormat="1" x14ac:dyDescent="0.25"/>
    <row r="201849" s="12" customFormat="1" x14ac:dyDescent="0.25"/>
    <row r="201850" s="12" customFormat="1" x14ac:dyDescent="0.25"/>
    <row r="201851" s="12" customFormat="1" x14ac:dyDescent="0.25"/>
    <row r="201852" s="12" customFormat="1" x14ac:dyDescent="0.25"/>
    <row r="201853" s="12" customFormat="1" x14ac:dyDescent="0.25"/>
    <row r="201854" s="12" customFormat="1" x14ac:dyDescent="0.25"/>
    <row r="201855" s="12" customFormat="1" x14ac:dyDescent="0.25"/>
    <row r="201856" s="12" customFormat="1" x14ac:dyDescent="0.25"/>
    <row r="201857" s="12" customFormat="1" x14ac:dyDescent="0.25"/>
    <row r="201858" s="12" customFormat="1" x14ac:dyDescent="0.25"/>
    <row r="201859" s="12" customFormat="1" x14ac:dyDescent="0.25"/>
    <row r="201860" s="12" customFormat="1" x14ac:dyDescent="0.25"/>
    <row r="201861" s="12" customFormat="1" x14ac:dyDescent="0.25"/>
    <row r="201862" s="12" customFormat="1" x14ac:dyDescent="0.25"/>
    <row r="201863" s="12" customFormat="1" x14ac:dyDescent="0.25"/>
    <row r="201864" s="12" customFormat="1" x14ac:dyDescent="0.25"/>
    <row r="201865" s="12" customFormat="1" x14ac:dyDescent="0.25"/>
    <row r="201866" s="12" customFormat="1" x14ac:dyDescent="0.25"/>
    <row r="201867" s="12" customFormat="1" x14ac:dyDescent="0.25"/>
    <row r="201868" s="12" customFormat="1" x14ac:dyDescent="0.25"/>
    <row r="201869" s="12" customFormat="1" x14ac:dyDescent="0.25"/>
    <row r="201870" s="12" customFormat="1" x14ac:dyDescent="0.25"/>
    <row r="201871" s="12" customFormat="1" x14ac:dyDescent="0.25"/>
    <row r="201872" s="12" customFormat="1" x14ac:dyDescent="0.25"/>
    <row r="201873" s="12" customFormat="1" x14ac:dyDescent="0.25"/>
    <row r="201874" s="12" customFormat="1" x14ac:dyDescent="0.25"/>
    <row r="201875" s="12" customFormat="1" x14ac:dyDescent="0.25"/>
    <row r="201876" s="12" customFormat="1" x14ac:dyDescent="0.25"/>
    <row r="201877" s="12" customFormat="1" x14ac:dyDescent="0.25"/>
    <row r="201878" s="12" customFormat="1" x14ac:dyDescent="0.25"/>
    <row r="201879" s="12" customFormat="1" x14ac:dyDescent="0.25"/>
    <row r="201880" s="12" customFormat="1" x14ac:dyDescent="0.25"/>
    <row r="201881" s="12" customFormat="1" x14ac:dyDescent="0.25"/>
    <row r="201882" s="12" customFormat="1" x14ac:dyDescent="0.25"/>
    <row r="201883" s="12" customFormat="1" x14ac:dyDescent="0.25"/>
    <row r="201884" s="12" customFormat="1" x14ac:dyDescent="0.25"/>
    <row r="201885" s="12" customFormat="1" x14ac:dyDescent="0.25"/>
    <row r="201886" s="12" customFormat="1" x14ac:dyDescent="0.25"/>
    <row r="201887" s="12" customFormat="1" x14ac:dyDescent="0.25"/>
    <row r="201888" s="12" customFormat="1" x14ac:dyDescent="0.25"/>
    <row r="201889" s="12" customFormat="1" x14ac:dyDescent="0.25"/>
    <row r="201890" s="12" customFormat="1" x14ac:dyDescent="0.25"/>
    <row r="201891" s="12" customFormat="1" x14ac:dyDescent="0.25"/>
    <row r="201892" s="12" customFormat="1" x14ac:dyDescent="0.25"/>
    <row r="201893" s="12" customFormat="1" x14ac:dyDescent="0.25"/>
    <row r="201894" s="12" customFormat="1" x14ac:dyDescent="0.25"/>
    <row r="201895" s="12" customFormat="1" x14ac:dyDescent="0.25"/>
    <row r="201896" s="12" customFormat="1" x14ac:dyDescent="0.25"/>
    <row r="201897" s="12" customFormat="1" x14ac:dyDescent="0.25"/>
    <row r="201898" s="12" customFormat="1" x14ac:dyDescent="0.25"/>
    <row r="201899" s="12" customFormat="1" x14ac:dyDescent="0.25"/>
    <row r="201900" s="12" customFormat="1" x14ac:dyDescent="0.25"/>
    <row r="201901" s="12" customFormat="1" x14ac:dyDescent="0.25"/>
    <row r="201902" s="12" customFormat="1" x14ac:dyDescent="0.25"/>
    <row r="201903" s="12" customFormat="1" x14ac:dyDescent="0.25"/>
    <row r="201904" s="12" customFormat="1" x14ac:dyDescent="0.25"/>
    <row r="201905" s="12" customFormat="1" x14ac:dyDescent="0.25"/>
    <row r="201906" s="12" customFormat="1" x14ac:dyDescent="0.25"/>
    <row r="201907" s="12" customFormat="1" x14ac:dyDescent="0.25"/>
    <row r="201908" s="12" customFormat="1" x14ac:dyDescent="0.25"/>
    <row r="201909" s="12" customFormat="1" x14ac:dyDescent="0.25"/>
    <row r="201910" s="12" customFormat="1" x14ac:dyDescent="0.25"/>
    <row r="201911" s="12" customFormat="1" x14ac:dyDescent="0.25"/>
    <row r="201912" s="12" customFormat="1" x14ac:dyDescent="0.25"/>
    <row r="201913" s="12" customFormat="1" x14ac:dyDescent="0.25"/>
    <row r="201914" s="12" customFormat="1" x14ac:dyDescent="0.25"/>
    <row r="201915" s="12" customFormat="1" x14ac:dyDescent="0.25"/>
    <row r="201916" s="12" customFormat="1" x14ac:dyDescent="0.25"/>
    <row r="201917" s="12" customFormat="1" x14ac:dyDescent="0.25"/>
    <row r="201918" s="12" customFormat="1" x14ac:dyDescent="0.25"/>
    <row r="201919" s="12" customFormat="1" x14ac:dyDescent="0.25"/>
    <row r="201920" s="12" customFormat="1" x14ac:dyDescent="0.25"/>
    <row r="201921" s="12" customFormat="1" x14ac:dyDescent="0.25"/>
    <row r="201922" s="12" customFormat="1" x14ac:dyDescent="0.25"/>
    <row r="201923" s="12" customFormat="1" x14ac:dyDescent="0.25"/>
    <row r="201924" s="12" customFormat="1" x14ac:dyDescent="0.25"/>
    <row r="201925" s="12" customFormat="1" x14ac:dyDescent="0.25"/>
    <row r="201926" s="12" customFormat="1" x14ac:dyDescent="0.25"/>
    <row r="201927" s="12" customFormat="1" x14ac:dyDescent="0.25"/>
    <row r="201928" s="12" customFormat="1" x14ac:dyDescent="0.25"/>
    <row r="201929" s="12" customFormat="1" x14ac:dyDescent="0.25"/>
    <row r="201930" s="12" customFormat="1" x14ac:dyDescent="0.25"/>
    <row r="201931" s="12" customFormat="1" x14ac:dyDescent="0.25"/>
    <row r="201932" s="12" customFormat="1" x14ac:dyDescent="0.25"/>
    <row r="201933" s="12" customFormat="1" x14ac:dyDescent="0.25"/>
    <row r="201934" s="12" customFormat="1" x14ac:dyDescent="0.25"/>
    <row r="201935" s="12" customFormat="1" x14ac:dyDescent="0.25"/>
    <row r="201936" s="12" customFormat="1" x14ac:dyDescent="0.25"/>
    <row r="201937" s="12" customFormat="1" x14ac:dyDescent="0.25"/>
    <row r="201938" s="12" customFormat="1" x14ac:dyDescent="0.25"/>
    <row r="201939" s="12" customFormat="1" x14ac:dyDescent="0.25"/>
    <row r="201940" s="12" customFormat="1" x14ac:dyDescent="0.25"/>
    <row r="201941" s="12" customFormat="1" x14ac:dyDescent="0.25"/>
    <row r="201942" s="12" customFormat="1" x14ac:dyDescent="0.25"/>
    <row r="201943" s="12" customFormat="1" x14ac:dyDescent="0.25"/>
    <row r="201944" s="12" customFormat="1" x14ac:dyDescent="0.25"/>
    <row r="201945" s="12" customFormat="1" x14ac:dyDescent="0.25"/>
    <row r="201946" s="12" customFormat="1" x14ac:dyDescent="0.25"/>
    <row r="201947" s="12" customFormat="1" x14ac:dyDescent="0.25"/>
    <row r="201948" s="12" customFormat="1" x14ac:dyDescent="0.25"/>
    <row r="201949" s="12" customFormat="1" x14ac:dyDescent="0.25"/>
    <row r="201950" s="12" customFormat="1" x14ac:dyDescent="0.25"/>
    <row r="201951" s="12" customFormat="1" x14ac:dyDescent="0.25"/>
    <row r="201952" s="12" customFormat="1" x14ac:dyDescent="0.25"/>
    <row r="201953" s="12" customFormat="1" x14ac:dyDescent="0.25"/>
    <row r="201954" s="12" customFormat="1" x14ac:dyDescent="0.25"/>
    <row r="201955" s="12" customFormat="1" x14ac:dyDescent="0.25"/>
    <row r="201956" s="12" customFormat="1" x14ac:dyDescent="0.25"/>
    <row r="201957" s="12" customFormat="1" x14ac:dyDescent="0.25"/>
    <row r="201958" s="12" customFormat="1" x14ac:dyDescent="0.25"/>
    <row r="201959" s="12" customFormat="1" x14ac:dyDescent="0.25"/>
    <row r="201960" s="12" customFormat="1" x14ac:dyDescent="0.25"/>
    <row r="201961" s="12" customFormat="1" x14ac:dyDescent="0.25"/>
    <row r="201962" s="12" customFormat="1" x14ac:dyDescent="0.25"/>
    <row r="201963" s="12" customFormat="1" x14ac:dyDescent="0.25"/>
    <row r="201964" s="12" customFormat="1" x14ac:dyDescent="0.25"/>
    <row r="201965" s="12" customFormat="1" x14ac:dyDescent="0.25"/>
    <row r="201966" s="12" customFormat="1" x14ac:dyDescent="0.25"/>
    <row r="201967" s="12" customFormat="1" x14ac:dyDescent="0.25"/>
    <row r="201968" s="12" customFormat="1" x14ac:dyDescent="0.25"/>
    <row r="201969" s="12" customFormat="1" x14ac:dyDescent="0.25"/>
    <row r="201970" s="12" customFormat="1" x14ac:dyDescent="0.25"/>
    <row r="201971" s="12" customFormat="1" x14ac:dyDescent="0.25"/>
    <row r="201972" s="12" customFormat="1" x14ac:dyDescent="0.25"/>
    <row r="201973" s="12" customFormat="1" x14ac:dyDescent="0.25"/>
    <row r="201974" s="12" customFormat="1" x14ac:dyDescent="0.25"/>
    <row r="201975" s="12" customFormat="1" x14ac:dyDescent="0.25"/>
    <row r="201976" s="12" customFormat="1" x14ac:dyDescent="0.25"/>
    <row r="201977" s="12" customFormat="1" x14ac:dyDescent="0.25"/>
    <row r="201978" s="12" customFormat="1" x14ac:dyDescent="0.25"/>
    <row r="201979" s="12" customFormat="1" x14ac:dyDescent="0.25"/>
    <row r="201980" s="12" customFormat="1" x14ac:dyDescent="0.25"/>
    <row r="201981" s="12" customFormat="1" x14ac:dyDescent="0.25"/>
    <row r="201982" s="12" customFormat="1" x14ac:dyDescent="0.25"/>
    <row r="201983" s="12" customFormat="1" x14ac:dyDescent="0.25"/>
    <row r="201984" s="12" customFormat="1" x14ac:dyDescent="0.25"/>
    <row r="201985" s="12" customFormat="1" x14ac:dyDescent="0.25"/>
    <row r="201986" s="12" customFormat="1" x14ac:dyDescent="0.25"/>
    <row r="201987" s="12" customFormat="1" x14ac:dyDescent="0.25"/>
    <row r="201988" s="12" customFormat="1" x14ac:dyDescent="0.25"/>
    <row r="201989" s="12" customFormat="1" x14ac:dyDescent="0.25"/>
    <row r="201990" s="12" customFormat="1" x14ac:dyDescent="0.25"/>
    <row r="201991" s="12" customFormat="1" x14ac:dyDescent="0.25"/>
    <row r="201992" s="12" customFormat="1" x14ac:dyDescent="0.25"/>
    <row r="201993" s="12" customFormat="1" x14ac:dyDescent="0.25"/>
    <row r="201994" s="12" customFormat="1" x14ac:dyDescent="0.25"/>
    <row r="201995" s="12" customFormat="1" x14ac:dyDescent="0.25"/>
    <row r="201996" s="12" customFormat="1" x14ac:dyDescent="0.25"/>
    <row r="201997" s="12" customFormat="1" x14ac:dyDescent="0.25"/>
    <row r="201998" s="12" customFormat="1" x14ac:dyDescent="0.25"/>
    <row r="201999" s="12" customFormat="1" x14ac:dyDescent="0.25"/>
    <row r="202000" s="12" customFormat="1" x14ac:dyDescent="0.25"/>
    <row r="202001" s="12" customFormat="1" x14ac:dyDescent="0.25"/>
    <row r="202002" s="12" customFormat="1" x14ac:dyDescent="0.25"/>
    <row r="202003" s="12" customFormat="1" x14ac:dyDescent="0.25"/>
    <row r="202004" s="12" customFormat="1" x14ac:dyDescent="0.25"/>
    <row r="202005" s="12" customFormat="1" x14ac:dyDescent="0.25"/>
    <row r="202006" s="12" customFormat="1" x14ac:dyDescent="0.25"/>
    <row r="202007" s="12" customFormat="1" x14ac:dyDescent="0.25"/>
    <row r="202008" s="12" customFormat="1" x14ac:dyDescent="0.25"/>
    <row r="202009" s="12" customFormat="1" x14ac:dyDescent="0.25"/>
    <row r="202010" s="12" customFormat="1" x14ac:dyDescent="0.25"/>
    <row r="202011" s="12" customFormat="1" x14ac:dyDescent="0.25"/>
    <row r="202012" s="12" customFormat="1" x14ac:dyDescent="0.25"/>
    <row r="202013" s="12" customFormat="1" x14ac:dyDescent="0.25"/>
    <row r="202014" s="12" customFormat="1" x14ac:dyDescent="0.25"/>
    <row r="202015" s="12" customFormat="1" x14ac:dyDescent="0.25"/>
    <row r="202016" s="12" customFormat="1" x14ac:dyDescent="0.25"/>
    <row r="202017" s="12" customFormat="1" x14ac:dyDescent="0.25"/>
    <row r="202018" s="12" customFormat="1" x14ac:dyDescent="0.25"/>
    <row r="202019" s="12" customFormat="1" x14ac:dyDescent="0.25"/>
    <row r="202020" s="12" customFormat="1" x14ac:dyDescent="0.25"/>
    <row r="202021" s="12" customFormat="1" x14ac:dyDescent="0.25"/>
    <row r="202022" s="12" customFormat="1" x14ac:dyDescent="0.25"/>
    <row r="202023" s="12" customFormat="1" x14ac:dyDescent="0.25"/>
    <row r="202024" s="12" customFormat="1" x14ac:dyDescent="0.25"/>
    <row r="202025" s="12" customFormat="1" x14ac:dyDescent="0.25"/>
    <row r="202026" s="12" customFormat="1" x14ac:dyDescent="0.25"/>
    <row r="202027" s="12" customFormat="1" x14ac:dyDescent="0.25"/>
    <row r="202028" s="12" customFormat="1" x14ac:dyDescent="0.25"/>
    <row r="202029" s="12" customFormat="1" x14ac:dyDescent="0.25"/>
    <row r="202030" s="12" customFormat="1" x14ac:dyDescent="0.25"/>
    <row r="202031" s="12" customFormat="1" x14ac:dyDescent="0.25"/>
    <row r="202032" s="12" customFormat="1" x14ac:dyDescent="0.25"/>
    <row r="202033" s="12" customFormat="1" x14ac:dyDescent="0.25"/>
    <row r="202034" s="12" customFormat="1" x14ac:dyDescent="0.25"/>
    <row r="202035" s="12" customFormat="1" x14ac:dyDescent="0.25"/>
    <row r="202036" s="12" customFormat="1" x14ac:dyDescent="0.25"/>
    <row r="202037" s="12" customFormat="1" x14ac:dyDescent="0.25"/>
    <row r="202038" s="12" customFormat="1" x14ac:dyDescent="0.25"/>
    <row r="202039" s="12" customFormat="1" x14ac:dyDescent="0.25"/>
    <row r="202040" s="12" customFormat="1" x14ac:dyDescent="0.25"/>
    <row r="202041" s="12" customFormat="1" x14ac:dyDescent="0.25"/>
    <row r="202042" s="12" customFormat="1" x14ac:dyDescent="0.25"/>
    <row r="202043" s="12" customFormat="1" x14ac:dyDescent="0.25"/>
    <row r="202044" s="12" customFormat="1" x14ac:dyDescent="0.25"/>
    <row r="202045" s="12" customFormat="1" x14ac:dyDescent="0.25"/>
    <row r="202046" s="12" customFormat="1" x14ac:dyDescent="0.25"/>
    <row r="202047" s="12" customFormat="1" x14ac:dyDescent="0.25"/>
    <row r="202048" s="12" customFormat="1" x14ac:dyDescent="0.25"/>
    <row r="202049" s="12" customFormat="1" x14ac:dyDescent="0.25"/>
    <row r="202050" s="12" customFormat="1" x14ac:dyDescent="0.25"/>
    <row r="202051" s="12" customFormat="1" x14ac:dyDescent="0.25"/>
    <row r="202052" s="12" customFormat="1" x14ac:dyDescent="0.25"/>
    <row r="202053" s="12" customFormat="1" x14ac:dyDescent="0.25"/>
    <row r="202054" s="12" customFormat="1" x14ac:dyDescent="0.25"/>
    <row r="202055" s="12" customFormat="1" x14ac:dyDescent="0.25"/>
    <row r="202056" s="12" customFormat="1" x14ac:dyDescent="0.25"/>
    <row r="202057" s="12" customFormat="1" x14ac:dyDescent="0.25"/>
    <row r="202058" s="12" customFormat="1" x14ac:dyDescent="0.25"/>
    <row r="202059" s="12" customFormat="1" x14ac:dyDescent="0.25"/>
    <row r="202060" s="12" customFormat="1" x14ac:dyDescent="0.25"/>
    <row r="202061" s="12" customFormat="1" x14ac:dyDescent="0.25"/>
    <row r="202062" s="12" customFormat="1" x14ac:dyDescent="0.25"/>
    <row r="202063" s="12" customFormat="1" x14ac:dyDescent="0.25"/>
    <row r="202064" s="12" customFormat="1" x14ac:dyDescent="0.25"/>
    <row r="202065" s="12" customFormat="1" x14ac:dyDescent="0.25"/>
    <row r="202066" s="12" customFormat="1" x14ac:dyDescent="0.25"/>
    <row r="202067" s="12" customFormat="1" x14ac:dyDescent="0.25"/>
    <row r="202068" s="12" customFormat="1" x14ac:dyDescent="0.25"/>
    <row r="202069" s="12" customFormat="1" x14ac:dyDescent="0.25"/>
    <row r="202070" s="12" customFormat="1" x14ac:dyDescent="0.25"/>
    <row r="202071" s="12" customFormat="1" x14ac:dyDescent="0.25"/>
    <row r="202072" s="12" customFormat="1" x14ac:dyDescent="0.25"/>
    <row r="202073" s="12" customFormat="1" x14ac:dyDescent="0.25"/>
    <row r="202074" s="12" customFormat="1" x14ac:dyDescent="0.25"/>
    <row r="202075" s="12" customFormat="1" x14ac:dyDescent="0.25"/>
    <row r="202076" s="12" customFormat="1" x14ac:dyDescent="0.25"/>
    <row r="202077" s="12" customFormat="1" x14ac:dyDescent="0.25"/>
    <row r="202078" s="12" customFormat="1" x14ac:dyDescent="0.25"/>
    <row r="202079" s="12" customFormat="1" x14ac:dyDescent="0.25"/>
    <row r="202080" s="12" customFormat="1" x14ac:dyDescent="0.25"/>
    <row r="202081" s="12" customFormat="1" x14ac:dyDescent="0.25"/>
    <row r="202082" s="12" customFormat="1" x14ac:dyDescent="0.25"/>
    <row r="202083" s="12" customFormat="1" x14ac:dyDescent="0.25"/>
    <row r="202084" s="12" customFormat="1" x14ac:dyDescent="0.25"/>
    <row r="202085" s="12" customFormat="1" x14ac:dyDescent="0.25"/>
    <row r="202086" s="12" customFormat="1" x14ac:dyDescent="0.25"/>
    <row r="202087" s="12" customFormat="1" x14ac:dyDescent="0.25"/>
    <row r="202088" s="12" customFormat="1" x14ac:dyDescent="0.25"/>
    <row r="202089" s="12" customFormat="1" x14ac:dyDescent="0.25"/>
    <row r="202090" s="12" customFormat="1" x14ac:dyDescent="0.25"/>
    <row r="202091" s="12" customFormat="1" x14ac:dyDescent="0.25"/>
    <row r="202092" s="12" customFormat="1" x14ac:dyDescent="0.25"/>
    <row r="202093" s="12" customFormat="1" x14ac:dyDescent="0.25"/>
    <row r="202094" s="12" customFormat="1" x14ac:dyDescent="0.25"/>
    <row r="202095" s="12" customFormat="1" x14ac:dyDescent="0.25"/>
    <row r="202096" s="12" customFormat="1" x14ac:dyDescent="0.25"/>
    <row r="202097" s="12" customFormat="1" x14ac:dyDescent="0.25"/>
    <row r="202098" s="12" customFormat="1" x14ac:dyDescent="0.25"/>
    <row r="202099" s="12" customFormat="1" x14ac:dyDescent="0.25"/>
    <row r="202100" s="12" customFormat="1" x14ac:dyDescent="0.25"/>
    <row r="202101" s="12" customFormat="1" x14ac:dyDescent="0.25"/>
    <row r="202102" s="12" customFormat="1" x14ac:dyDescent="0.25"/>
    <row r="202103" s="12" customFormat="1" x14ac:dyDescent="0.25"/>
    <row r="202104" s="12" customFormat="1" x14ac:dyDescent="0.25"/>
    <row r="202105" s="12" customFormat="1" x14ac:dyDescent="0.25"/>
    <row r="202106" s="12" customFormat="1" x14ac:dyDescent="0.25"/>
    <row r="202107" s="12" customFormat="1" x14ac:dyDescent="0.25"/>
    <row r="202108" s="12" customFormat="1" x14ac:dyDescent="0.25"/>
    <row r="202109" s="12" customFormat="1" x14ac:dyDescent="0.25"/>
    <row r="202110" s="12" customFormat="1" x14ac:dyDescent="0.25"/>
    <row r="202111" s="12" customFormat="1" x14ac:dyDescent="0.25"/>
    <row r="202112" s="12" customFormat="1" x14ac:dyDescent="0.25"/>
    <row r="202113" s="12" customFormat="1" x14ac:dyDescent="0.25"/>
    <row r="202114" s="12" customFormat="1" x14ac:dyDescent="0.25"/>
    <row r="202115" s="12" customFormat="1" x14ac:dyDescent="0.25"/>
    <row r="202116" s="12" customFormat="1" x14ac:dyDescent="0.25"/>
    <row r="202117" s="12" customFormat="1" x14ac:dyDescent="0.25"/>
    <row r="202118" s="12" customFormat="1" x14ac:dyDescent="0.25"/>
    <row r="202119" s="12" customFormat="1" x14ac:dyDescent="0.25"/>
    <row r="202120" s="12" customFormat="1" x14ac:dyDescent="0.25"/>
    <row r="202121" s="12" customFormat="1" x14ac:dyDescent="0.25"/>
    <row r="202122" s="12" customFormat="1" x14ac:dyDescent="0.25"/>
    <row r="202123" s="12" customFormat="1" x14ac:dyDescent="0.25"/>
    <row r="202124" s="12" customFormat="1" x14ac:dyDescent="0.25"/>
    <row r="202125" s="12" customFormat="1" x14ac:dyDescent="0.25"/>
    <row r="202126" s="12" customFormat="1" x14ac:dyDescent="0.25"/>
    <row r="202127" s="12" customFormat="1" x14ac:dyDescent="0.25"/>
    <row r="202128" s="12" customFormat="1" x14ac:dyDescent="0.25"/>
    <row r="202129" s="12" customFormat="1" x14ac:dyDescent="0.25"/>
    <row r="202130" s="12" customFormat="1" x14ac:dyDescent="0.25"/>
    <row r="202131" s="12" customFormat="1" x14ac:dyDescent="0.25"/>
    <row r="202132" s="12" customFormat="1" x14ac:dyDescent="0.25"/>
    <row r="202133" s="12" customFormat="1" x14ac:dyDescent="0.25"/>
    <row r="202134" s="12" customFormat="1" x14ac:dyDescent="0.25"/>
    <row r="202135" s="12" customFormat="1" x14ac:dyDescent="0.25"/>
    <row r="202136" s="12" customFormat="1" x14ac:dyDescent="0.25"/>
    <row r="202137" s="12" customFormat="1" x14ac:dyDescent="0.25"/>
    <row r="202138" s="12" customFormat="1" x14ac:dyDescent="0.25"/>
    <row r="202139" s="12" customFormat="1" x14ac:dyDescent="0.25"/>
    <row r="202140" s="12" customFormat="1" x14ac:dyDescent="0.25"/>
    <row r="202141" s="12" customFormat="1" x14ac:dyDescent="0.25"/>
    <row r="202142" s="12" customFormat="1" x14ac:dyDescent="0.25"/>
    <row r="202143" s="12" customFormat="1" x14ac:dyDescent="0.25"/>
    <row r="202144" s="12" customFormat="1" x14ac:dyDescent="0.25"/>
    <row r="202145" s="12" customFormat="1" x14ac:dyDescent="0.25"/>
    <row r="202146" s="12" customFormat="1" x14ac:dyDescent="0.25"/>
    <row r="202147" s="12" customFormat="1" x14ac:dyDescent="0.25"/>
    <row r="202148" s="12" customFormat="1" x14ac:dyDescent="0.25"/>
    <row r="202149" s="12" customFormat="1" x14ac:dyDescent="0.25"/>
    <row r="202150" s="12" customFormat="1" x14ac:dyDescent="0.25"/>
    <row r="202151" s="12" customFormat="1" x14ac:dyDescent="0.25"/>
    <row r="202152" s="12" customFormat="1" x14ac:dyDescent="0.25"/>
    <row r="202153" s="12" customFormat="1" x14ac:dyDescent="0.25"/>
    <row r="202154" s="12" customFormat="1" x14ac:dyDescent="0.25"/>
    <row r="202155" s="12" customFormat="1" x14ac:dyDescent="0.25"/>
    <row r="202156" s="12" customFormat="1" x14ac:dyDescent="0.25"/>
    <row r="202157" s="12" customFormat="1" x14ac:dyDescent="0.25"/>
    <row r="202158" s="12" customFormat="1" x14ac:dyDescent="0.25"/>
    <row r="202159" s="12" customFormat="1" x14ac:dyDescent="0.25"/>
    <row r="202160" s="12" customFormat="1" x14ac:dyDescent="0.25"/>
    <row r="202161" s="12" customFormat="1" x14ac:dyDescent="0.25"/>
    <row r="202162" s="12" customFormat="1" x14ac:dyDescent="0.25"/>
    <row r="202163" s="12" customFormat="1" x14ac:dyDescent="0.25"/>
    <row r="202164" s="12" customFormat="1" x14ac:dyDescent="0.25"/>
    <row r="202165" s="12" customFormat="1" x14ac:dyDescent="0.25"/>
    <row r="202166" s="12" customFormat="1" x14ac:dyDescent="0.25"/>
    <row r="202167" s="12" customFormat="1" x14ac:dyDescent="0.25"/>
    <row r="202168" s="12" customFormat="1" x14ac:dyDescent="0.25"/>
    <row r="202169" s="12" customFormat="1" x14ac:dyDescent="0.25"/>
    <row r="202170" s="12" customFormat="1" x14ac:dyDescent="0.25"/>
    <row r="202171" s="12" customFormat="1" x14ac:dyDescent="0.25"/>
    <row r="202172" s="12" customFormat="1" x14ac:dyDescent="0.25"/>
    <row r="202173" s="12" customFormat="1" x14ac:dyDescent="0.25"/>
    <row r="202174" s="12" customFormat="1" x14ac:dyDescent="0.25"/>
    <row r="202175" s="12" customFormat="1" x14ac:dyDescent="0.25"/>
    <row r="202176" s="12" customFormat="1" x14ac:dyDescent="0.25"/>
    <row r="202177" s="12" customFormat="1" x14ac:dyDescent="0.25"/>
    <row r="202178" s="12" customFormat="1" x14ac:dyDescent="0.25"/>
    <row r="202179" s="12" customFormat="1" x14ac:dyDescent="0.25"/>
    <row r="202180" s="12" customFormat="1" x14ac:dyDescent="0.25"/>
    <row r="202181" s="12" customFormat="1" x14ac:dyDescent="0.25"/>
    <row r="202182" s="12" customFormat="1" x14ac:dyDescent="0.25"/>
    <row r="202183" s="12" customFormat="1" x14ac:dyDescent="0.25"/>
    <row r="202184" s="12" customFormat="1" x14ac:dyDescent="0.25"/>
    <row r="202185" s="12" customFormat="1" x14ac:dyDescent="0.25"/>
    <row r="202186" s="12" customFormat="1" x14ac:dyDescent="0.25"/>
    <row r="202187" s="12" customFormat="1" x14ac:dyDescent="0.25"/>
    <row r="202188" s="12" customFormat="1" x14ac:dyDescent="0.25"/>
    <row r="202189" s="12" customFormat="1" x14ac:dyDescent="0.25"/>
    <row r="202190" s="12" customFormat="1" x14ac:dyDescent="0.25"/>
    <row r="202191" s="12" customFormat="1" x14ac:dyDescent="0.25"/>
    <row r="202192" s="12" customFormat="1" x14ac:dyDescent="0.25"/>
    <row r="202193" s="12" customFormat="1" x14ac:dyDescent="0.25"/>
    <row r="202194" s="12" customFormat="1" x14ac:dyDescent="0.25"/>
    <row r="202195" s="12" customFormat="1" x14ac:dyDescent="0.25"/>
    <row r="202196" s="12" customFormat="1" x14ac:dyDescent="0.25"/>
    <row r="202197" s="12" customFormat="1" x14ac:dyDescent="0.25"/>
    <row r="202198" s="12" customFormat="1" x14ac:dyDescent="0.25"/>
    <row r="202199" s="12" customFormat="1" x14ac:dyDescent="0.25"/>
    <row r="202200" s="12" customFormat="1" x14ac:dyDescent="0.25"/>
    <row r="202201" s="12" customFormat="1" x14ac:dyDescent="0.25"/>
    <row r="202202" s="12" customFormat="1" x14ac:dyDescent="0.25"/>
    <row r="202203" s="12" customFormat="1" x14ac:dyDescent="0.25"/>
    <row r="202204" s="12" customFormat="1" x14ac:dyDescent="0.25"/>
    <row r="202205" s="12" customFormat="1" x14ac:dyDescent="0.25"/>
    <row r="202206" s="12" customFormat="1" x14ac:dyDescent="0.25"/>
    <row r="202207" s="12" customFormat="1" x14ac:dyDescent="0.25"/>
    <row r="202208" s="12" customFormat="1" x14ac:dyDescent="0.25"/>
    <row r="202209" s="12" customFormat="1" x14ac:dyDescent="0.25"/>
    <row r="202210" s="12" customFormat="1" x14ac:dyDescent="0.25"/>
    <row r="202211" s="12" customFormat="1" x14ac:dyDescent="0.25"/>
    <row r="202212" s="12" customFormat="1" x14ac:dyDescent="0.25"/>
    <row r="202213" s="12" customFormat="1" x14ac:dyDescent="0.25"/>
    <row r="202214" s="12" customFormat="1" x14ac:dyDescent="0.25"/>
    <row r="202215" s="12" customFormat="1" x14ac:dyDescent="0.25"/>
    <row r="202216" s="12" customFormat="1" x14ac:dyDescent="0.25"/>
    <row r="202217" s="12" customFormat="1" x14ac:dyDescent="0.25"/>
    <row r="202218" s="12" customFormat="1" x14ac:dyDescent="0.25"/>
    <row r="202219" s="12" customFormat="1" x14ac:dyDescent="0.25"/>
    <row r="202220" s="12" customFormat="1" x14ac:dyDescent="0.25"/>
    <row r="202221" s="12" customFormat="1" x14ac:dyDescent="0.25"/>
    <row r="202222" s="12" customFormat="1" x14ac:dyDescent="0.25"/>
    <row r="202223" s="12" customFormat="1" x14ac:dyDescent="0.25"/>
    <row r="202224" s="12" customFormat="1" x14ac:dyDescent="0.25"/>
    <row r="202225" s="12" customFormat="1" x14ac:dyDescent="0.25"/>
    <row r="202226" s="12" customFormat="1" x14ac:dyDescent="0.25"/>
    <row r="202227" s="12" customFormat="1" x14ac:dyDescent="0.25"/>
    <row r="202228" s="12" customFormat="1" x14ac:dyDescent="0.25"/>
    <row r="202229" s="12" customFormat="1" x14ac:dyDescent="0.25"/>
    <row r="202230" s="12" customFormat="1" x14ac:dyDescent="0.25"/>
    <row r="202231" s="12" customFormat="1" x14ac:dyDescent="0.25"/>
    <row r="202232" s="12" customFormat="1" x14ac:dyDescent="0.25"/>
    <row r="202233" s="12" customFormat="1" x14ac:dyDescent="0.25"/>
    <row r="202234" s="12" customFormat="1" x14ac:dyDescent="0.25"/>
    <row r="202235" s="12" customFormat="1" x14ac:dyDescent="0.25"/>
    <row r="202236" s="12" customFormat="1" x14ac:dyDescent="0.25"/>
    <row r="202237" s="12" customFormat="1" x14ac:dyDescent="0.25"/>
    <row r="202238" s="12" customFormat="1" x14ac:dyDescent="0.25"/>
    <row r="202239" s="12" customFormat="1" x14ac:dyDescent="0.25"/>
    <row r="202240" s="12" customFormat="1" x14ac:dyDescent="0.25"/>
    <row r="202241" s="12" customFormat="1" x14ac:dyDescent="0.25"/>
    <row r="202242" s="12" customFormat="1" x14ac:dyDescent="0.25"/>
    <row r="202243" s="12" customFormat="1" x14ac:dyDescent="0.25"/>
    <row r="202244" s="12" customFormat="1" x14ac:dyDescent="0.25"/>
    <row r="202245" s="12" customFormat="1" x14ac:dyDescent="0.25"/>
    <row r="202246" s="12" customFormat="1" x14ac:dyDescent="0.25"/>
    <row r="202247" s="12" customFormat="1" x14ac:dyDescent="0.25"/>
    <row r="202248" s="12" customFormat="1" x14ac:dyDescent="0.25"/>
    <row r="202249" s="12" customFormat="1" x14ac:dyDescent="0.25"/>
    <row r="202250" s="12" customFormat="1" x14ac:dyDescent="0.25"/>
    <row r="202251" s="12" customFormat="1" x14ac:dyDescent="0.25"/>
    <row r="202252" s="12" customFormat="1" x14ac:dyDescent="0.25"/>
    <row r="202253" s="12" customFormat="1" x14ac:dyDescent="0.25"/>
    <row r="202254" s="12" customFormat="1" x14ac:dyDescent="0.25"/>
    <row r="202255" s="12" customFormat="1" x14ac:dyDescent="0.25"/>
    <row r="202256" s="12" customFormat="1" x14ac:dyDescent="0.25"/>
    <row r="202257" s="12" customFormat="1" x14ac:dyDescent="0.25"/>
    <row r="202258" s="12" customFormat="1" x14ac:dyDescent="0.25"/>
    <row r="202259" s="12" customFormat="1" x14ac:dyDescent="0.25"/>
    <row r="202260" s="12" customFormat="1" x14ac:dyDescent="0.25"/>
    <row r="202261" s="12" customFormat="1" x14ac:dyDescent="0.25"/>
    <row r="202262" s="12" customFormat="1" x14ac:dyDescent="0.25"/>
    <row r="202263" s="12" customFormat="1" x14ac:dyDescent="0.25"/>
    <row r="202264" s="12" customFormat="1" x14ac:dyDescent="0.25"/>
    <row r="202265" s="12" customFormat="1" x14ac:dyDescent="0.25"/>
    <row r="202266" s="12" customFormat="1" x14ac:dyDescent="0.25"/>
    <row r="202267" s="12" customFormat="1" x14ac:dyDescent="0.25"/>
    <row r="202268" s="12" customFormat="1" x14ac:dyDescent="0.25"/>
    <row r="202269" s="12" customFormat="1" x14ac:dyDescent="0.25"/>
    <row r="202270" s="12" customFormat="1" x14ac:dyDescent="0.25"/>
    <row r="202271" s="12" customFormat="1" x14ac:dyDescent="0.25"/>
    <row r="202272" s="12" customFormat="1" x14ac:dyDescent="0.25"/>
    <row r="202273" s="12" customFormat="1" x14ac:dyDescent="0.25"/>
    <row r="202274" s="12" customFormat="1" x14ac:dyDescent="0.25"/>
    <row r="202275" s="12" customFormat="1" x14ac:dyDescent="0.25"/>
    <row r="202276" s="12" customFormat="1" x14ac:dyDescent="0.25"/>
    <row r="202277" s="12" customFormat="1" x14ac:dyDescent="0.25"/>
    <row r="202278" s="12" customFormat="1" x14ac:dyDescent="0.25"/>
    <row r="202279" s="12" customFormat="1" x14ac:dyDescent="0.25"/>
    <row r="202280" s="12" customFormat="1" x14ac:dyDescent="0.25"/>
    <row r="202281" s="12" customFormat="1" x14ac:dyDescent="0.25"/>
    <row r="202282" s="12" customFormat="1" x14ac:dyDescent="0.25"/>
    <row r="202283" s="12" customFormat="1" x14ac:dyDescent="0.25"/>
    <row r="202284" s="12" customFormat="1" x14ac:dyDescent="0.25"/>
    <row r="202285" s="12" customFormat="1" x14ac:dyDescent="0.25"/>
    <row r="202286" s="12" customFormat="1" x14ac:dyDescent="0.25"/>
    <row r="202287" s="12" customFormat="1" x14ac:dyDescent="0.25"/>
    <row r="202288" s="12" customFormat="1" x14ac:dyDescent="0.25"/>
    <row r="202289" s="12" customFormat="1" x14ac:dyDescent="0.25"/>
    <row r="202290" s="12" customFormat="1" x14ac:dyDescent="0.25"/>
    <row r="202291" s="12" customFormat="1" x14ac:dyDescent="0.25"/>
    <row r="202292" s="12" customFormat="1" x14ac:dyDescent="0.25"/>
    <row r="202293" s="12" customFormat="1" x14ac:dyDescent="0.25"/>
    <row r="202294" s="12" customFormat="1" x14ac:dyDescent="0.25"/>
    <row r="202295" s="12" customFormat="1" x14ac:dyDescent="0.25"/>
    <row r="202296" s="12" customFormat="1" x14ac:dyDescent="0.25"/>
    <row r="202297" s="12" customFormat="1" x14ac:dyDescent="0.25"/>
    <row r="202298" s="12" customFormat="1" x14ac:dyDescent="0.25"/>
    <row r="202299" s="12" customFormat="1" x14ac:dyDescent="0.25"/>
    <row r="202300" s="12" customFormat="1" x14ac:dyDescent="0.25"/>
    <row r="202301" s="12" customFormat="1" x14ac:dyDescent="0.25"/>
    <row r="202302" s="12" customFormat="1" x14ac:dyDescent="0.25"/>
    <row r="202303" s="12" customFormat="1" x14ac:dyDescent="0.25"/>
    <row r="202304" s="12" customFormat="1" x14ac:dyDescent="0.25"/>
    <row r="202305" s="12" customFormat="1" x14ac:dyDescent="0.25"/>
    <row r="202306" s="12" customFormat="1" x14ac:dyDescent="0.25"/>
    <row r="202307" s="12" customFormat="1" x14ac:dyDescent="0.25"/>
    <row r="202308" s="12" customFormat="1" x14ac:dyDescent="0.25"/>
    <row r="202309" s="12" customFormat="1" x14ac:dyDescent="0.25"/>
    <row r="202310" s="12" customFormat="1" x14ac:dyDescent="0.25"/>
    <row r="202311" s="12" customFormat="1" x14ac:dyDescent="0.25"/>
    <row r="202312" s="12" customFormat="1" x14ac:dyDescent="0.25"/>
    <row r="202313" s="12" customFormat="1" x14ac:dyDescent="0.25"/>
    <row r="202314" s="12" customFormat="1" x14ac:dyDescent="0.25"/>
    <row r="202315" s="12" customFormat="1" x14ac:dyDescent="0.25"/>
    <row r="202316" s="12" customFormat="1" x14ac:dyDescent="0.25"/>
    <row r="202317" s="12" customFormat="1" x14ac:dyDescent="0.25"/>
    <row r="202318" s="12" customFormat="1" x14ac:dyDescent="0.25"/>
    <row r="202319" s="12" customFormat="1" x14ac:dyDescent="0.25"/>
    <row r="202320" s="12" customFormat="1" x14ac:dyDescent="0.25"/>
    <row r="202321" s="12" customFormat="1" x14ac:dyDescent="0.25"/>
    <row r="202322" s="12" customFormat="1" x14ac:dyDescent="0.25"/>
    <row r="202323" s="12" customFormat="1" x14ac:dyDescent="0.25"/>
    <row r="202324" s="12" customFormat="1" x14ac:dyDescent="0.25"/>
    <row r="202325" s="12" customFormat="1" x14ac:dyDescent="0.25"/>
    <row r="202326" s="12" customFormat="1" x14ac:dyDescent="0.25"/>
    <row r="202327" s="12" customFormat="1" x14ac:dyDescent="0.25"/>
    <row r="202328" s="12" customFormat="1" x14ac:dyDescent="0.25"/>
    <row r="202329" s="12" customFormat="1" x14ac:dyDescent="0.25"/>
    <row r="202330" s="12" customFormat="1" x14ac:dyDescent="0.25"/>
    <row r="202331" s="12" customFormat="1" x14ac:dyDescent="0.25"/>
    <row r="202332" s="12" customFormat="1" x14ac:dyDescent="0.25"/>
    <row r="202333" s="12" customFormat="1" x14ac:dyDescent="0.25"/>
    <row r="202334" s="12" customFormat="1" x14ac:dyDescent="0.25"/>
    <row r="202335" s="12" customFormat="1" x14ac:dyDescent="0.25"/>
    <row r="202336" s="12" customFormat="1" x14ac:dyDescent="0.25"/>
    <row r="202337" s="12" customFormat="1" x14ac:dyDescent="0.25"/>
    <row r="202338" s="12" customFormat="1" x14ac:dyDescent="0.25"/>
    <row r="202339" s="12" customFormat="1" x14ac:dyDescent="0.25"/>
    <row r="202340" s="12" customFormat="1" x14ac:dyDescent="0.25"/>
    <row r="202341" s="12" customFormat="1" x14ac:dyDescent="0.25"/>
    <row r="202342" s="12" customFormat="1" x14ac:dyDescent="0.25"/>
    <row r="202343" s="12" customFormat="1" x14ac:dyDescent="0.25"/>
    <row r="202344" s="12" customFormat="1" x14ac:dyDescent="0.25"/>
    <row r="202345" s="12" customFormat="1" x14ac:dyDescent="0.25"/>
    <row r="202346" s="12" customFormat="1" x14ac:dyDescent="0.25"/>
    <row r="202347" s="12" customFormat="1" x14ac:dyDescent="0.25"/>
    <row r="202348" s="12" customFormat="1" x14ac:dyDescent="0.25"/>
    <row r="202349" s="12" customFormat="1" x14ac:dyDescent="0.25"/>
    <row r="202350" s="12" customFormat="1" x14ac:dyDescent="0.25"/>
    <row r="202351" s="12" customFormat="1" x14ac:dyDescent="0.25"/>
    <row r="202352" s="12" customFormat="1" x14ac:dyDescent="0.25"/>
    <row r="202353" s="12" customFormat="1" x14ac:dyDescent="0.25"/>
    <row r="202354" s="12" customFormat="1" x14ac:dyDescent="0.25"/>
    <row r="202355" s="12" customFormat="1" x14ac:dyDescent="0.25"/>
    <row r="202356" s="12" customFormat="1" x14ac:dyDescent="0.25"/>
    <row r="202357" s="12" customFormat="1" x14ac:dyDescent="0.25"/>
    <row r="202358" s="12" customFormat="1" x14ac:dyDescent="0.25"/>
    <row r="202359" s="12" customFormat="1" x14ac:dyDescent="0.25"/>
    <row r="202360" s="12" customFormat="1" x14ac:dyDescent="0.25"/>
    <row r="202361" s="12" customFormat="1" x14ac:dyDescent="0.25"/>
    <row r="202362" s="12" customFormat="1" x14ac:dyDescent="0.25"/>
    <row r="202363" s="12" customFormat="1" x14ac:dyDescent="0.25"/>
    <row r="202364" s="12" customFormat="1" x14ac:dyDescent="0.25"/>
    <row r="202365" s="12" customFormat="1" x14ac:dyDescent="0.25"/>
    <row r="202366" s="12" customFormat="1" x14ac:dyDescent="0.25"/>
    <row r="202367" s="12" customFormat="1" x14ac:dyDescent="0.25"/>
    <row r="202368" s="12" customFormat="1" x14ac:dyDescent="0.25"/>
    <row r="202369" s="12" customFormat="1" x14ac:dyDescent="0.25"/>
    <row r="202370" s="12" customFormat="1" x14ac:dyDescent="0.25"/>
    <row r="202371" s="12" customFormat="1" x14ac:dyDescent="0.25"/>
    <row r="202372" s="12" customFormat="1" x14ac:dyDescent="0.25"/>
    <row r="202373" s="12" customFormat="1" x14ac:dyDescent="0.25"/>
    <row r="202374" s="12" customFormat="1" x14ac:dyDescent="0.25"/>
    <row r="202375" s="12" customFormat="1" x14ac:dyDescent="0.25"/>
    <row r="202376" s="12" customFormat="1" x14ac:dyDescent="0.25"/>
    <row r="202377" s="12" customFormat="1" x14ac:dyDescent="0.25"/>
    <row r="202378" s="12" customFormat="1" x14ac:dyDescent="0.25"/>
    <row r="202379" s="12" customFormat="1" x14ac:dyDescent="0.25"/>
    <row r="202380" s="12" customFormat="1" x14ac:dyDescent="0.25"/>
    <row r="202381" s="12" customFormat="1" x14ac:dyDescent="0.25"/>
    <row r="202382" s="12" customFormat="1" x14ac:dyDescent="0.25"/>
    <row r="202383" s="12" customFormat="1" x14ac:dyDescent="0.25"/>
    <row r="202384" s="12" customFormat="1" x14ac:dyDescent="0.25"/>
    <row r="202385" s="12" customFormat="1" x14ac:dyDescent="0.25"/>
    <row r="202386" s="12" customFormat="1" x14ac:dyDescent="0.25"/>
    <row r="202387" s="12" customFormat="1" x14ac:dyDescent="0.25"/>
    <row r="202388" s="12" customFormat="1" x14ac:dyDescent="0.25"/>
    <row r="202389" s="12" customFormat="1" x14ac:dyDescent="0.25"/>
    <row r="202390" s="12" customFormat="1" x14ac:dyDescent="0.25"/>
    <row r="202391" s="12" customFormat="1" x14ac:dyDescent="0.25"/>
    <row r="202392" s="12" customFormat="1" x14ac:dyDescent="0.25"/>
    <row r="202393" s="12" customFormat="1" x14ac:dyDescent="0.25"/>
    <row r="202394" s="12" customFormat="1" x14ac:dyDescent="0.25"/>
    <row r="202395" s="12" customFormat="1" x14ac:dyDescent="0.25"/>
    <row r="202396" s="12" customFormat="1" x14ac:dyDescent="0.25"/>
    <row r="202397" s="12" customFormat="1" x14ac:dyDescent="0.25"/>
    <row r="202398" s="12" customFormat="1" x14ac:dyDescent="0.25"/>
    <row r="202399" s="12" customFormat="1" x14ac:dyDescent="0.25"/>
    <row r="202400" s="12" customFormat="1" x14ac:dyDescent="0.25"/>
    <row r="202401" s="12" customFormat="1" x14ac:dyDescent="0.25"/>
    <row r="202402" s="12" customFormat="1" x14ac:dyDescent="0.25"/>
    <row r="202403" s="12" customFormat="1" x14ac:dyDescent="0.25"/>
    <row r="202404" s="12" customFormat="1" x14ac:dyDescent="0.25"/>
    <row r="202405" s="12" customFormat="1" x14ac:dyDescent="0.25"/>
    <row r="202406" s="12" customFormat="1" x14ac:dyDescent="0.25"/>
    <row r="202407" s="12" customFormat="1" x14ac:dyDescent="0.25"/>
    <row r="202408" s="12" customFormat="1" x14ac:dyDescent="0.25"/>
    <row r="202409" s="12" customFormat="1" x14ac:dyDescent="0.25"/>
    <row r="202410" s="12" customFormat="1" x14ac:dyDescent="0.25"/>
    <row r="202411" s="12" customFormat="1" x14ac:dyDescent="0.25"/>
    <row r="202412" s="12" customFormat="1" x14ac:dyDescent="0.25"/>
    <row r="202413" s="12" customFormat="1" x14ac:dyDescent="0.25"/>
    <row r="202414" s="12" customFormat="1" x14ac:dyDescent="0.25"/>
    <row r="202415" s="12" customFormat="1" x14ac:dyDescent="0.25"/>
    <row r="202416" s="12" customFormat="1" x14ac:dyDescent="0.25"/>
    <row r="202417" s="12" customFormat="1" x14ac:dyDescent="0.25"/>
    <row r="202418" s="12" customFormat="1" x14ac:dyDescent="0.25"/>
    <row r="202419" s="12" customFormat="1" x14ac:dyDescent="0.25"/>
    <row r="202420" s="12" customFormat="1" x14ac:dyDescent="0.25"/>
    <row r="202421" s="12" customFormat="1" x14ac:dyDescent="0.25"/>
    <row r="202422" s="12" customFormat="1" x14ac:dyDescent="0.25"/>
    <row r="202423" s="12" customFormat="1" x14ac:dyDescent="0.25"/>
    <row r="202424" s="12" customFormat="1" x14ac:dyDescent="0.25"/>
    <row r="202425" s="12" customFormat="1" x14ac:dyDescent="0.25"/>
    <row r="202426" s="12" customFormat="1" x14ac:dyDescent="0.25"/>
    <row r="202427" s="12" customFormat="1" x14ac:dyDescent="0.25"/>
    <row r="202428" s="12" customFormat="1" x14ac:dyDescent="0.25"/>
    <row r="202429" s="12" customFormat="1" x14ac:dyDescent="0.25"/>
    <row r="202430" s="12" customFormat="1" x14ac:dyDescent="0.25"/>
    <row r="202431" s="12" customFormat="1" x14ac:dyDescent="0.25"/>
    <row r="202432" s="12" customFormat="1" x14ac:dyDescent="0.25"/>
    <row r="202433" s="12" customFormat="1" x14ac:dyDescent="0.25"/>
    <row r="202434" s="12" customFormat="1" x14ac:dyDescent="0.25"/>
    <row r="202435" s="12" customFormat="1" x14ac:dyDescent="0.25"/>
    <row r="202436" s="12" customFormat="1" x14ac:dyDescent="0.25"/>
    <row r="202437" s="12" customFormat="1" x14ac:dyDescent="0.25"/>
    <row r="202438" s="12" customFormat="1" x14ac:dyDescent="0.25"/>
    <row r="202439" s="12" customFormat="1" x14ac:dyDescent="0.25"/>
    <row r="202440" s="12" customFormat="1" x14ac:dyDescent="0.25"/>
    <row r="202441" s="12" customFormat="1" x14ac:dyDescent="0.25"/>
    <row r="202442" s="12" customFormat="1" x14ac:dyDescent="0.25"/>
    <row r="202443" s="12" customFormat="1" x14ac:dyDescent="0.25"/>
    <row r="202444" s="12" customFormat="1" x14ac:dyDescent="0.25"/>
    <row r="202445" s="12" customFormat="1" x14ac:dyDescent="0.25"/>
    <row r="202446" s="12" customFormat="1" x14ac:dyDescent="0.25"/>
    <row r="202447" s="12" customFormat="1" x14ac:dyDescent="0.25"/>
    <row r="202448" s="12" customFormat="1" x14ac:dyDescent="0.25"/>
    <row r="202449" s="12" customFormat="1" x14ac:dyDescent="0.25"/>
    <row r="202450" s="12" customFormat="1" x14ac:dyDescent="0.25"/>
    <row r="202451" s="12" customFormat="1" x14ac:dyDescent="0.25"/>
    <row r="202452" s="12" customFormat="1" x14ac:dyDescent="0.25"/>
    <row r="202453" s="12" customFormat="1" x14ac:dyDescent="0.25"/>
    <row r="202454" s="12" customFormat="1" x14ac:dyDescent="0.25"/>
    <row r="202455" s="12" customFormat="1" x14ac:dyDescent="0.25"/>
    <row r="202456" s="12" customFormat="1" x14ac:dyDescent="0.25"/>
    <row r="202457" s="12" customFormat="1" x14ac:dyDescent="0.25"/>
    <row r="202458" s="12" customFormat="1" x14ac:dyDescent="0.25"/>
    <row r="202459" s="12" customFormat="1" x14ac:dyDescent="0.25"/>
    <row r="202460" s="12" customFormat="1" x14ac:dyDescent="0.25"/>
    <row r="202461" s="12" customFormat="1" x14ac:dyDescent="0.25"/>
    <row r="202462" s="12" customFormat="1" x14ac:dyDescent="0.25"/>
    <row r="202463" s="12" customFormat="1" x14ac:dyDescent="0.25"/>
    <row r="202464" s="12" customFormat="1" x14ac:dyDescent="0.25"/>
    <row r="202465" s="12" customFormat="1" x14ac:dyDescent="0.25"/>
    <row r="202466" s="12" customFormat="1" x14ac:dyDescent="0.25"/>
    <row r="202467" s="12" customFormat="1" x14ac:dyDescent="0.25"/>
    <row r="202468" s="12" customFormat="1" x14ac:dyDescent="0.25"/>
    <row r="202469" s="12" customFormat="1" x14ac:dyDescent="0.25"/>
    <row r="202470" s="12" customFormat="1" x14ac:dyDescent="0.25"/>
    <row r="202471" s="12" customFormat="1" x14ac:dyDescent="0.25"/>
    <row r="202472" s="12" customFormat="1" x14ac:dyDescent="0.25"/>
    <row r="202473" s="12" customFormat="1" x14ac:dyDescent="0.25"/>
    <row r="202474" s="12" customFormat="1" x14ac:dyDescent="0.25"/>
    <row r="202475" s="12" customFormat="1" x14ac:dyDescent="0.25"/>
    <row r="202476" s="12" customFormat="1" x14ac:dyDescent="0.25"/>
    <row r="202477" s="12" customFormat="1" x14ac:dyDescent="0.25"/>
    <row r="202478" s="12" customFormat="1" x14ac:dyDescent="0.25"/>
    <row r="202479" s="12" customFormat="1" x14ac:dyDescent="0.25"/>
    <row r="202480" s="12" customFormat="1" x14ac:dyDescent="0.25"/>
    <row r="202481" s="12" customFormat="1" x14ac:dyDescent="0.25"/>
    <row r="202482" s="12" customFormat="1" x14ac:dyDescent="0.25"/>
    <row r="202483" s="12" customFormat="1" x14ac:dyDescent="0.25"/>
    <row r="202484" s="12" customFormat="1" x14ac:dyDescent="0.25"/>
    <row r="202485" s="12" customFormat="1" x14ac:dyDescent="0.25"/>
    <row r="202486" s="12" customFormat="1" x14ac:dyDescent="0.25"/>
    <row r="202487" s="12" customFormat="1" x14ac:dyDescent="0.25"/>
    <row r="202488" s="12" customFormat="1" x14ac:dyDescent="0.25"/>
    <row r="202489" s="12" customFormat="1" x14ac:dyDescent="0.25"/>
    <row r="202490" s="12" customFormat="1" x14ac:dyDescent="0.25"/>
    <row r="202491" s="12" customFormat="1" x14ac:dyDescent="0.25"/>
    <row r="202492" s="12" customFormat="1" x14ac:dyDescent="0.25"/>
    <row r="202493" s="12" customFormat="1" x14ac:dyDescent="0.25"/>
    <row r="202494" s="12" customFormat="1" x14ac:dyDescent="0.25"/>
    <row r="202495" s="12" customFormat="1" x14ac:dyDescent="0.25"/>
    <row r="202496" s="12" customFormat="1" x14ac:dyDescent="0.25"/>
    <row r="202497" s="12" customFormat="1" x14ac:dyDescent="0.25"/>
    <row r="202498" s="12" customFormat="1" x14ac:dyDescent="0.25"/>
    <row r="202499" s="12" customFormat="1" x14ac:dyDescent="0.25"/>
    <row r="202500" s="12" customFormat="1" x14ac:dyDescent="0.25"/>
    <row r="202501" s="12" customFormat="1" x14ac:dyDescent="0.25"/>
    <row r="202502" s="12" customFormat="1" x14ac:dyDescent="0.25"/>
    <row r="202503" s="12" customFormat="1" x14ac:dyDescent="0.25"/>
    <row r="202504" s="12" customFormat="1" x14ac:dyDescent="0.25"/>
    <row r="202505" s="12" customFormat="1" x14ac:dyDescent="0.25"/>
    <row r="202506" s="12" customFormat="1" x14ac:dyDescent="0.25"/>
    <row r="202507" s="12" customFormat="1" x14ac:dyDescent="0.25"/>
    <row r="202508" s="12" customFormat="1" x14ac:dyDescent="0.25"/>
    <row r="202509" s="12" customFormat="1" x14ac:dyDescent="0.25"/>
    <row r="202510" s="12" customFormat="1" x14ac:dyDescent="0.25"/>
    <row r="202511" s="12" customFormat="1" x14ac:dyDescent="0.25"/>
    <row r="202512" s="12" customFormat="1" x14ac:dyDescent="0.25"/>
    <row r="202513" s="12" customFormat="1" x14ac:dyDescent="0.25"/>
    <row r="202514" s="12" customFormat="1" x14ac:dyDescent="0.25"/>
    <row r="202515" s="12" customFormat="1" x14ac:dyDescent="0.25"/>
    <row r="202516" s="12" customFormat="1" x14ac:dyDescent="0.25"/>
    <row r="202517" s="12" customFormat="1" x14ac:dyDescent="0.25"/>
    <row r="202518" s="12" customFormat="1" x14ac:dyDescent="0.25"/>
    <row r="202519" s="12" customFormat="1" x14ac:dyDescent="0.25"/>
    <row r="202520" s="12" customFormat="1" x14ac:dyDescent="0.25"/>
    <row r="202521" s="12" customFormat="1" x14ac:dyDescent="0.25"/>
    <row r="202522" s="12" customFormat="1" x14ac:dyDescent="0.25"/>
    <row r="202523" s="12" customFormat="1" x14ac:dyDescent="0.25"/>
    <row r="202524" s="12" customFormat="1" x14ac:dyDescent="0.25"/>
    <row r="202525" s="12" customFormat="1" x14ac:dyDescent="0.25"/>
    <row r="202526" s="12" customFormat="1" x14ac:dyDescent="0.25"/>
    <row r="202527" s="12" customFormat="1" x14ac:dyDescent="0.25"/>
    <row r="202528" s="12" customFormat="1" x14ac:dyDescent="0.25"/>
    <row r="202529" s="12" customFormat="1" x14ac:dyDescent="0.25"/>
    <row r="202530" s="12" customFormat="1" x14ac:dyDescent="0.25"/>
    <row r="202531" s="12" customFormat="1" x14ac:dyDescent="0.25"/>
    <row r="202532" s="12" customFormat="1" x14ac:dyDescent="0.25"/>
    <row r="202533" s="12" customFormat="1" x14ac:dyDescent="0.25"/>
    <row r="202534" s="12" customFormat="1" x14ac:dyDescent="0.25"/>
    <row r="202535" s="12" customFormat="1" x14ac:dyDescent="0.25"/>
    <row r="202536" s="12" customFormat="1" x14ac:dyDescent="0.25"/>
    <row r="202537" s="12" customFormat="1" x14ac:dyDescent="0.25"/>
    <row r="202538" s="12" customFormat="1" x14ac:dyDescent="0.25"/>
    <row r="202539" s="12" customFormat="1" x14ac:dyDescent="0.25"/>
    <row r="202540" s="12" customFormat="1" x14ac:dyDescent="0.25"/>
    <row r="202541" s="12" customFormat="1" x14ac:dyDescent="0.25"/>
    <row r="202542" s="12" customFormat="1" x14ac:dyDescent="0.25"/>
    <row r="202543" s="12" customFormat="1" x14ac:dyDescent="0.25"/>
    <row r="202544" s="12" customFormat="1" x14ac:dyDescent="0.25"/>
    <row r="202545" s="12" customFormat="1" x14ac:dyDescent="0.25"/>
    <row r="202546" s="12" customFormat="1" x14ac:dyDescent="0.25"/>
    <row r="202547" s="12" customFormat="1" x14ac:dyDescent="0.25"/>
    <row r="202548" s="12" customFormat="1" x14ac:dyDescent="0.25"/>
    <row r="202549" s="12" customFormat="1" x14ac:dyDescent="0.25"/>
    <row r="202550" s="12" customFormat="1" x14ac:dyDescent="0.25"/>
    <row r="202551" s="12" customFormat="1" x14ac:dyDescent="0.25"/>
    <row r="202552" s="12" customFormat="1" x14ac:dyDescent="0.25"/>
    <row r="202553" s="12" customFormat="1" x14ac:dyDescent="0.25"/>
    <row r="202554" s="12" customFormat="1" x14ac:dyDescent="0.25"/>
    <row r="202555" s="12" customFormat="1" x14ac:dyDescent="0.25"/>
    <row r="202556" s="12" customFormat="1" x14ac:dyDescent="0.25"/>
    <row r="202557" s="12" customFormat="1" x14ac:dyDescent="0.25"/>
    <row r="202558" s="12" customFormat="1" x14ac:dyDescent="0.25"/>
    <row r="202559" s="12" customFormat="1" x14ac:dyDescent="0.25"/>
    <row r="202560" s="12" customFormat="1" x14ac:dyDescent="0.25"/>
    <row r="202561" s="12" customFormat="1" x14ac:dyDescent="0.25"/>
    <row r="202562" s="12" customFormat="1" x14ac:dyDescent="0.25"/>
    <row r="202563" s="12" customFormat="1" x14ac:dyDescent="0.25"/>
    <row r="202564" s="12" customFormat="1" x14ac:dyDescent="0.25"/>
    <row r="202565" s="12" customFormat="1" x14ac:dyDescent="0.25"/>
    <row r="202566" s="12" customFormat="1" x14ac:dyDescent="0.25"/>
    <row r="202567" s="12" customFormat="1" x14ac:dyDescent="0.25"/>
    <row r="202568" s="12" customFormat="1" x14ac:dyDescent="0.25"/>
    <row r="202569" s="12" customFormat="1" x14ac:dyDescent="0.25"/>
    <row r="202570" s="12" customFormat="1" x14ac:dyDescent="0.25"/>
    <row r="202571" s="12" customFormat="1" x14ac:dyDescent="0.25"/>
    <row r="202572" s="12" customFormat="1" x14ac:dyDescent="0.25"/>
    <row r="202573" s="12" customFormat="1" x14ac:dyDescent="0.25"/>
    <row r="202574" s="12" customFormat="1" x14ac:dyDescent="0.25"/>
    <row r="202575" s="12" customFormat="1" x14ac:dyDescent="0.25"/>
    <row r="202576" s="12" customFormat="1" x14ac:dyDescent="0.25"/>
    <row r="202577" s="12" customFormat="1" x14ac:dyDescent="0.25"/>
    <row r="202578" s="12" customFormat="1" x14ac:dyDescent="0.25"/>
    <row r="202579" s="12" customFormat="1" x14ac:dyDescent="0.25"/>
    <row r="202580" s="12" customFormat="1" x14ac:dyDescent="0.25"/>
    <row r="202581" s="12" customFormat="1" x14ac:dyDescent="0.25"/>
    <row r="202582" s="12" customFormat="1" x14ac:dyDescent="0.25"/>
    <row r="202583" s="12" customFormat="1" x14ac:dyDescent="0.25"/>
    <row r="202584" s="12" customFormat="1" x14ac:dyDescent="0.25"/>
    <row r="202585" s="12" customFormat="1" x14ac:dyDescent="0.25"/>
    <row r="202586" s="12" customFormat="1" x14ac:dyDescent="0.25"/>
    <row r="202587" s="12" customFormat="1" x14ac:dyDescent="0.25"/>
    <row r="202588" s="12" customFormat="1" x14ac:dyDescent="0.25"/>
    <row r="202589" s="12" customFormat="1" x14ac:dyDescent="0.25"/>
    <row r="202590" s="12" customFormat="1" x14ac:dyDescent="0.25"/>
    <row r="202591" s="12" customFormat="1" x14ac:dyDescent="0.25"/>
    <row r="202592" s="12" customFormat="1" x14ac:dyDescent="0.25"/>
    <row r="202593" s="12" customFormat="1" x14ac:dyDescent="0.25"/>
    <row r="202594" s="12" customFormat="1" x14ac:dyDescent="0.25"/>
    <row r="202595" s="12" customFormat="1" x14ac:dyDescent="0.25"/>
    <row r="202596" s="12" customFormat="1" x14ac:dyDescent="0.25"/>
    <row r="202597" s="12" customFormat="1" x14ac:dyDescent="0.25"/>
    <row r="202598" s="12" customFormat="1" x14ac:dyDescent="0.25"/>
    <row r="202599" s="12" customFormat="1" x14ac:dyDescent="0.25"/>
    <row r="202600" s="12" customFormat="1" x14ac:dyDescent="0.25"/>
    <row r="202601" s="12" customFormat="1" x14ac:dyDescent="0.25"/>
    <row r="202602" s="12" customFormat="1" x14ac:dyDescent="0.25"/>
    <row r="202603" s="12" customFormat="1" x14ac:dyDescent="0.25"/>
    <row r="202604" s="12" customFormat="1" x14ac:dyDescent="0.25"/>
    <row r="202605" s="12" customFormat="1" x14ac:dyDescent="0.25"/>
    <row r="202606" s="12" customFormat="1" x14ac:dyDescent="0.25"/>
    <row r="202607" s="12" customFormat="1" x14ac:dyDescent="0.25"/>
    <row r="202608" s="12" customFormat="1" x14ac:dyDescent="0.25"/>
    <row r="202609" s="12" customFormat="1" x14ac:dyDescent="0.25"/>
    <row r="202610" s="12" customFormat="1" x14ac:dyDescent="0.25"/>
    <row r="202611" s="12" customFormat="1" x14ac:dyDescent="0.25"/>
    <row r="202612" s="12" customFormat="1" x14ac:dyDescent="0.25"/>
    <row r="202613" s="12" customFormat="1" x14ac:dyDescent="0.25"/>
    <row r="202614" s="12" customFormat="1" x14ac:dyDescent="0.25"/>
    <row r="202615" s="12" customFormat="1" x14ac:dyDescent="0.25"/>
    <row r="202616" s="12" customFormat="1" x14ac:dyDescent="0.25"/>
    <row r="202617" s="12" customFormat="1" x14ac:dyDescent="0.25"/>
    <row r="202618" s="12" customFormat="1" x14ac:dyDescent="0.25"/>
    <row r="202619" s="12" customFormat="1" x14ac:dyDescent="0.25"/>
    <row r="202620" s="12" customFormat="1" x14ac:dyDescent="0.25"/>
    <row r="202621" s="12" customFormat="1" x14ac:dyDescent="0.25"/>
    <row r="202622" s="12" customFormat="1" x14ac:dyDescent="0.25"/>
    <row r="202623" s="12" customFormat="1" x14ac:dyDescent="0.25"/>
    <row r="202624" s="12" customFormat="1" x14ac:dyDescent="0.25"/>
    <row r="202625" s="12" customFormat="1" x14ac:dyDescent="0.25"/>
    <row r="202626" s="12" customFormat="1" x14ac:dyDescent="0.25"/>
    <row r="202627" s="12" customFormat="1" x14ac:dyDescent="0.25"/>
    <row r="202628" s="12" customFormat="1" x14ac:dyDescent="0.25"/>
    <row r="202629" s="12" customFormat="1" x14ac:dyDescent="0.25"/>
    <row r="202630" s="12" customFormat="1" x14ac:dyDescent="0.25"/>
    <row r="202631" s="12" customFormat="1" x14ac:dyDescent="0.25"/>
    <row r="202632" s="12" customFormat="1" x14ac:dyDescent="0.25"/>
    <row r="202633" s="12" customFormat="1" x14ac:dyDescent="0.25"/>
    <row r="202634" s="12" customFormat="1" x14ac:dyDescent="0.25"/>
    <row r="202635" s="12" customFormat="1" x14ac:dyDescent="0.25"/>
    <row r="202636" s="12" customFormat="1" x14ac:dyDescent="0.25"/>
    <row r="202637" s="12" customFormat="1" x14ac:dyDescent="0.25"/>
    <row r="202638" s="12" customFormat="1" x14ac:dyDescent="0.25"/>
    <row r="202639" s="12" customFormat="1" x14ac:dyDescent="0.25"/>
    <row r="202640" s="12" customFormat="1" x14ac:dyDescent="0.25"/>
    <row r="202641" s="12" customFormat="1" x14ac:dyDescent="0.25"/>
    <row r="202642" s="12" customFormat="1" x14ac:dyDescent="0.25"/>
    <row r="202643" s="12" customFormat="1" x14ac:dyDescent="0.25"/>
    <row r="202644" s="12" customFormat="1" x14ac:dyDescent="0.25"/>
    <row r="202645" s="12" customFormat="1" x14ac:dyDescent="0.25"/>
    <row r="202646" s="12" customFormat="1" x14ac:dyDescent="0.25"/>
    <row r="202647" s="12" customFormat="1" x14ac:dyDescent="0.25"/>
    <row r="202648" s="12" customFormat="1" x14ac:dyDescent="0.25"/>
    <row r="202649" s="12" customFormat="1" x14ac:dyDescent="0.25"/>
    <row r="202650" s="12" customFormat="1" x14ac:dyDescent="0.25"/>
    <row r="202651" s="12" customFormat="1" x14ac:dyDescent="0.25"/>
    <row r="202652" s="12" customFormat="1" x14ac:dyDescent="0.25"/>
    <row r="202653" s="12" customFormat="1" x14ac:dyDescent="0.25"/>
    <row r="202654" s="12" customFormat="1" x14ac:dyDescent="0.25"/>
    <row r="202655" s="12" customFormat="1" x14ac:dyDescent="0.25"/>
    <row r="202656" s="12" customFormat="1" x14ac:dyDescent="0.25"/>
    <row r="202657" s="12" customFormat="1" x14ac:dyDescent="0.25"/>
    <row r="202658" s="12" customFormat="1" x14ac:dyDescent="0.25"/>
    <row r="202659" s="12" customFormat="1" x14ac:dyDescent="0.25"/>
    <row r="202660" s="12" customFormat="1" x14ac:dyDescent="0.25"/>
    <row r="202661" s="12" customFormat="1" x14ac:dyDescent="0.25"/>
    <row r="202662" s="12" customFormat="1" x14ac:dyDescent="0.25"/>
    <row r="202663" s="12" customFormat="1" x14ac:dyDescent="0.25"/>
    <row r="202664" s="12" customFormat="1" x14ac:dyDescent="0.25"/>
    <row r="202665" s="12" customFormat="1" x14ac:dyDescent="0.25"/>
    <row r="202666" s="12" customFormat="1" x14ac:dyDescent="0.25"/>
    <row r="202667" s="12" customFormat="1" x14ac:dyDescent="0.25"/>
    <row r="202668" s="12" customFormat="1" x14ac:dyDescent="0.25"/>
    <row r="202669" s="12" customFormat="1" x14ac:dyDescent="0.25"/>
    <row r="202670" s="12" customFormat="1" x14ac:dyDescent="0.25"/>
    <row r="202671" s="12" customFormat="1" x14ac:dyDescent="0.25"/>
    <row r="202672" s="12" customFormat="1" x14ac:dyDescent="0.25"/>
    <row r="202673" s="12" customFormat="1" x14ac:dyDescent="0.25"/>
    <row r="202674" s="12" customFormat="1" x14ac:dyDescent="0.25"/>
    <row r="202675" s="12" customFormat="1" x14ac:dyDescent="0.25"/>
    <row r="202676" s="12" customFormat="1" x14ac:dyDescent="0.25"/>
    <row r="202677" s="12" customFormat="1" x14ac:dyDescent="0.25"/>
    <row r="202678" s="12" customFormat="1" x14ac:dyDescent="0.25"/>
    <row r="202679" s="12" customFormat="1" x14ac:dyDescent="0.25"/>
    <row r="202680" s="12" customFormat="1" x14ac:dyDescent="0.25"/>
    <row r="202681" s="12" customFormat="1" x14ac:dyDescent="0.25"/>
    <row r="202682" s="12" customFormat="1" x14ac:dyDescent="0.25"/>
    <row r="202683" s="12" customFormat="1" x14ac:dyDescent="0.25"/>
    <row r="202684" s="12" customFormat="1" x14ac:dyDescent="0.25"/>
    <row r="202685" s="12" customFormat="1" x14ac:dyDescent="0.25"/>
    <row r="202686" s="12" customFormat="1" x14ac:dyDescent="0.25"/>
    <row r="202687" s="12" customFormat="1" x14ac:dyDescent="0.25"/>
    <row r="202688" s="12" customFormat="1" x14ac:dyDescent="0.25"/>
    <row r="202689" s="12" customFormat="1" x14ac:dyDescent="0.25"/>
    <row r="202690" s="12" customFormat="1" x14ac:dyDescent="0.25"/>
    <row r="202691" s="12" customFormat="1" x14ac:dyDescent="0.25"/>
    <row r="202692" s="12" customFormat="1" x14ac:dyDescent="0.25"/>
    <row r="202693" s="12" customFormat="1" x14ac:dyDescent="0.25"/>
    <row r="202694" s="12" customFormat="1" x14ac:dyDescent="0.25"/>
    <row r="202695" s="12" customFormat="1" x14ac:dyDescent="0.25"/>
    <row r="202696" s="12" customFormat="1" x14ac:dyDescent="0.25"/>
    <row r="202697" s="12" customFormat="1" x14ac:dyDescent="0.25"/>
    <row r="202698" s="12" customFormat="1" x14ac:dyDescent="0.25"/>
    <row r="202699" s="12" customFormat="1" x14ac:dyDescent="0.25"/>
    <row r="202700" s="12" customFormat="1" x14ac:dyDescent="0.25"/>
    <row r="202701" s="12" customFormat="1" x14ac:dyDescent="0.25"/>
    <row r="202702" s="12" customFormat="1" x14ac:dyDescent="0.25"/>
    <row r="202703" s="12" customFormat="1" x14ac:dyDescent="0.25"/>
    <row r="202704" s="12" customFormat="1" x14ac:dyDescent="0.25"/>
    <row r="202705" s="12" customFormat="1" x14ac:dyDescent="0.25"/>
    <row r="202706" s="12" customFormat="1" x14ac:dyDescent="0.25"/>
    <row r="202707" s="12" customFormat="1" x14ac:dyDescent="0.25"/>
    <row r="202708" s="12" customFormat="1" x14ac:dyDescent="0.25"/>
    <row r="202709" s="12" customFormat="1" x14ac:dyDescent="0.25"/>
    <row r="202710" s="12" customFormat="1" x14ac:dyDescent="0.25"/>
    <row r="202711" s="12" customFormat="1" x14ac:dyDescent="0.25"/>
    <row r="202712" s="12" customFormat="1" x14ac:dyDescent="0.25"/>
    <row r="202713" s="12" customFormat="1" x14ac:dyDescent="0.25"/>
    <row r="202714" s="12" customFormat="1" x14ac:dyDescent="0.25"/>
    <row r="202715" s="12" customFormat="1" x14ac:dyDescent="0.25"/>
    <row r="202716" s="12" customFormat="1" x14ac:dyDescent="0.25"/>
    <row r="202717" s="12" customFormat="1" x14ac:dyDescent="0.25"/>
    <row r="202718" s="12" customFormat="1" x14ac:dyDescent="0.25"/>
    <row r="202719" s="12" customFormat="1" x14ac:dyDescent="0.25"/>
    <row r="202720" s="12" customFormat="1" x14ac:dyDescent="0.25"/>
    <row r="202721" s="12" customFormat="1" x14ac:dyDescent="0.25"/>
    <row r="202722" s="12" customFormat="1" x14ac:dyDescent="0.25"/>
    <row r="202723" s="12" customFormat="1" x14ac:dyDescent="0.25"/>
    <row r="202724" s="12" customFormat="1" x14ac:dyDescent="0.25"/>
    <row r="202725" s="12" customFormat="1" x14ac:dyDescent="0.25"/>
    <row r="202726" s="12" customFormat="1" x14ac:dyDescent="0.25"/>
    <row r="202727" s="12" customFormat="1" x14ac:dyDescent="0.25"/>
    <row r="202728" s="12" customFormat="1" x14ac:dyDescent="0.25"/>
    <row r="202729" s="12" customFormat="1" x14ac:dyDescent="0.25"/>
    <row r="202730" s="12" customFormat="1" x14ac:dyDescent="0.25"/>
    <row r="202731" s="12" customFormat="1" x14ac:dyDescent="0.25"/>
    <row r="202732" s="12" customFormat="1" x14ac:dyDescent="0.25"/>
    <row r="202733" s="12" customFormat="1" x14ac:dyDescent="0.25"/>
    <row r="202734" s="12" customFormat="1" x14ac:dyDescent="0.25"/>
    <row r="202735" s="12" customFormat="1" x14ac:dyDescent="0.25"/>
    <row r="202736" s="12" customFormat="1" x14ac:dyDescent="0.25"/>
    <row r="202737" s="12" customFormat="1" x14ac:dyDescent="0.25"/>
    <row r="202738" s="12" customFormat="1" x14ac:dyDescent="0.25"/>
    <row r="202739" s="12" customFormat="1" x14ac:dyDescent="0.25"/>
    <row r="202740" s="12" customFormat="1" x14ac:dyDescent="0.25"/>
    <row r="202741" s="12" customFormat="1" x14ac:dyDescent="0.25"/>
    <row r="202742" s="12" customFormat="1" x14ac:dyDescent="0.25"/>
    <row r="202743" s="12" customFormat="1" x14ac:dyDescent="0.25"/>
    <row r="202744" s="12" customFormat="1" x14ac:dyDescent="0.25"/>
    <row r="202745" s="12" customFormat="1" x14ac:dyDescent="0.25"/>
    <row r="202746" s="12" customFormat="1" x14ac:dyDescent="0.25"/>
    <row r="202747" s="12" customFormat="1" x14ac:dyDescent="0.25"/>
    <row r="202748" s="12" customFormat="1" x14ac:dyDescent="0.25"/>
    <row r="202749" s="12" customFormat="1" x14ac:dyDescent="0.25"/>
    <row r="202750" s="12" customFormat="1" x14ac:dyDescent="0.25"/>
    <row r="202751" s="12" customFormat="1" x14ac:dyDescent="0.25"/>
    <row r="202752" s="12" customFormat="1" x14ac:dyDescent="0.25"/>
    <row r="202753" s="12" customFormat="1" x14ac:dyDescent="0.25"/>
    <row r="202754" s="12" customFormat="1" x14ac:dyDescent="0.25"/>
    <row r="202755" s="12" customFormat="1" x14ac:dyDescent="0.25"/>
    <row r="202756" s="12" customFormat="1" x14ac:dyDescent="0.25"/>
    <row r="202757" s="12" customFormat="1" x14ac:dyDescent="0.25"/>
    <row r="202758" s="12" customFormat="1" x14ac:dyDescent="0.25"/>
    <row r="202759" s="12" customFormat="1" x14ac:dyDescent="0.25"/>
    <row r="202760" s="12" customFormat="1" x14ac:dyDescent="0.25"/>
    <row r="202761" s="12" customFormat="1" x14ac:dyDescent="0.25"/>
    <row r="202762" s="12" customFormat="1" x14ac:dyDescent="0.25"/>
    <row r="202763" s="12" customFormat="1" x14ac:dyDescent="0.25"/>
    <row r="202764" s="12" customFormat="1" x14ac:dyDescent="0.25"/>
    <row r="202765" s="12" customFormat="1" x14ac:dyDescent="0.25"/>
    <row r="202766" s="12" customFormat="1" x14ac:dyDescent="0.25"/>
    <row r="202767" s="12" customFormat="1" x14ac:dyDescent="0.25"/>
    <row r="202768" s="12" customFormat="1" x14ac:dyDescent="0.25"/>
    <row r="202769" s="12" customFormat="1" x14ac:dyDescent="0.25"/>
    <row r="202770" s="12" customFormat="1" x14ac:dyDescent="0.25"/>
    <row r="202771" s="12" customFormat="1" x14ac:dyDescent="0.25"/>
    <row r="202772" s="12" customFormat="1" x14ac:dyDescent="0.25"/>
    <row r="202773" s="12" customFormat="1" x14ac:dyDescent="0.25"/>
    <row r="202774" s="12" customFormat="1" x14ac:dyDescent="0.25"/>
    <row r="202775" s="12" customFormat="1" x14ac:dyDescent="0.25"/>
    <row r="202776" s="12" customFormat="1" x14ac:dyDescent="0.25"/>
    <row r="202777" s="12" customFormat="1" x14ac:dyDescent="0.25"/>
    <row r="202778" s="12" customFormat="1" x14ac:dyDescent="0.25"/>
    <row r="202779" s="12" customFormat="1" x14ac:dyDescent="0.25"/>
    <row r="202780" s="12" customFormat="1" x14ac:dyDescent="0.25"/>
    <row r="202781" s="12" customFormat="1" x14ac:dyDescent="0.25"/>
    <row r="202782" s="12" customFormat="1" x14ac:dyDescent="0.25"/>
    <row r="202783" s="12" customFormat="1" x14ac:dyDescent="0.25"/>
    <row r="202784" s="12" customFormat="1" x14ac:dyDescent="0.25"/>
    <row r="202785" s="12" customFormat="1" x14ac:dyDescent="0.25"/>
    <row r="202786" s="12" customFormat="1" x14ac:dyDescent="0.25"/>
    <row r="202787" s="12" customFormat="1" x14ac:dyDescent="0.25"/>
    <row r="202788" s="12" customFormat="1" x14ac:dyDescent="0.25"/>
    <row r="202789" s="12" customFormat="1" x14ac:dyDescent="0.25"/>
    <row r="202790" s="12" customFormat="1" x14ac:dyDescent="0.25"/>
    <row r="202791" s="12" customFormat="1" x14ac:dyDescent="0.25"/>
    <row r="202792" s="12" customFormat="1" x14ac:dyDescent="0.25"/>
    <row r="202793" s="12" customFormat="1" x14ac:dyDescent="0.25"/>
    <row r="202794" s="12" customFormat="1" x14ac:dyDescent="0.25"/>
    <row r="202795" s="12" customFormat="1" x14ac:dyDescent="0.25"/>
    <row r="202796" s="12" customFormat="1" x14ac:dyDescent="0.25"/>
    <row r="202797" s="12" customFormat="1" x14ac:dyDescent="0.25"/>
    <row r="202798" s="12" customFormat="1" x14ac:dyDescent="0.25"/>
    <row r="202799" s="12" customFormat="1" x14ac:dyDescent="0.25"/>
    <row r="202800" s="12" customFormat="1" x14ac:dyDescent="0.25"/>
    <row r="202801" s="12" customFormat="1" x14ac:dyDescent="0.25"/>
    <row r="202802" s="12" customFormat="1" x14ac:dyDescent="0.25"/>
    <row r="202803" s="12" customFormat="1" x14ac:dyDescent="0.25"/>
    <row r="202804" s="12" customFormat="1" x14ac:dyDescent="0.25"/>
    <row r="202805" s="12" customFormat="1" x14ac:dyDescent="0.25"/>
    <row r="202806" s="12" customFormat="1" x14ac:dyDescent="0.25"/>
    <row r="202807" s="12" customFormat="1" x14ac:dyDescent="0.25"/>
    <row r="202808" s="12" customFormat="1" x14ac:dyDescent="0.25"/>
    <row r="202809" s="12" customFormat="1" x14ac:dyDescent="0.25"/>
    <row r="202810" s="12" customFormat="1" x14ac:dyDescent="0.25"/>
    <row r="202811" s="12" customFormat="1" x14ac:dyDescent="0.25"/>
    <row r="202812" s="12" customFormat="1" x14ac:dyDescent="0.25"/>
    <row r="202813" s="12" customFormat="1" x14ac:dyDescent="0.25"/>
    <row r="202814" s="12" customFormat="1" x14ac:dyDescent="0.25"/>
    <row r="202815" s="12" customFormat="1" x14ac:dyDescent="0.25"/>
    <row r="202816" s="12" customFormat="1" x14ac:dyDescent="0.25"/>
    <row r="202817" s="12" customFormat="1" x14ac:dyDescent="0.25"/>
    <row r="202818" s="12" customFormat="1" x14ac:dyDescent="0.25"/>
    <row r="202819" s="12" customFormat="1" x14ac:dyDescent="0.25"/>
    <row r="202820" s="12" customFormat="1" x14ac:dyDescent="0.25"/>
    <row r="202821" s="12" customFormat="1" x14ac:dyDescent="0.25"/>
    <row r="202822" s="12" customFormat="1" x14ac:dyDescent="0.25"/>
    <row r="202823" s="12" customFormat="1" x14ac:dyDescent="0.25"/>
    <row r="202824" s="12" customFormat="1" x14ac:dyDescent="0.25"/>
    <row r="202825" s="12" customFormat="1" x14ac:dyDescent="0.25"/>
    <row r="202826" s="12" customFormat="1" x14ac:dyDescent="0.25"/>
    <row r="202827" s="12" customFormat="1" x14ac:dyDescent="0.25"/>
    <row r="202828" s="12" customFormat="1" x14ac:dyDescent="0.25"/>
    <row r="202829" s="12" customFormat="1" x14ac:dyDescent="0.25"/>
    <row r="202830" s="12" customFormat="1" x14ac:dyDescent="0.25"/>
    <row r="202831" s="12" customFormat="1" x14ac:dyDescent="0.25"/>
    <row r="202832" s="12" customFormat="1" x14ac:dyDescent="0.25"/>
    <row r="202833" s="12" customFormat="1" x14ac:dyDescent="0.25"/>
    <row r="202834" s="12" customFormat="1" x14ac:dyDescent="0.25"/>
    <row r="202835" s="12" customFormat="1" x14ac:dyDescent="0.25"/>
    <row r="202836" s="12" customFormat="1" x14ac:dyDescent="0.25"/>
    <row r="202837" s="12" customFormat="1" x14ac:dyDescent="0.25"/>
    <row r="202838" s="12" customFormat="1" x14ac:dyDescent="0.25"/>
    <row r="202839" s="12" customFormat="1" x14ac:dyDescent="0.25"/>
    <row r="202840" s="12" customFormat="1" x14ac:dyDescent="0.25"/>
    <row r="202841" s="12" customFormat="1" x14ac:dyDescent="0.25"/>
    <row r="202842" s="12" customFormat="1" x14ac:dyDescent="0.25"/>
    <row r="202843" s="12" customFormat="1" x14ac:dyDescent="0.25"/>
    <row r="202844" s="12" customFormat="1" x14ac:dyDescent="0.25"/>
    <row r="202845" s="12" customFormat="1" x14ac:dyDescent="0.25"/>
    <row r="202846" s="12" customFormat="1" x14ac:dyDescent="0.25"/>
    <row r="202847" s="12" customFormat="1" x14ac:dyDescent="0.25"/>
    <row r="202848" s="12" customFormat="1" x14ac:dyDescent="0.25"/>
    <row r="202849" s="12" customFormat="1" x14ac:dyDescent="0.25"/>
    <row r="202850" s="12" customFormat="1" x14ac:dyDescent="0.25"/>
    <row r="202851" s="12" customFormat="1" x14ac:dyDescent="0.25"/>
    <row r="202852" s="12" customFormat="1" x14ac:dyDescent="0.25"/>
    <row r="202853" s="12" customFormat="1" x14ac:dyDescent="0.25"/>
    <row r="202854" s="12" customFormat="1" x14ac:dyDescent="0.25"/>
    <row r="202855" s="12" customFormat="1" x14ac:dyDescent="0.25"/>
    <row r="202856" s="12" customFormat="1" x14ac:dyDescent="0.25"/>
    <row r="202857" s="12" customFormat="1" x14ac:dyDescent="0.25"/>
    <row r="202858" s="12" customFormat="1" x14ac:dyDescent="0.25"/>
    <row r="202859" s="12" customFormat="1" x14ac:dyDescent="0.25"/>
    <row r="202860" s="12" customFormat="1" x14ac:dyDescent="0.25"/>
    <row r="202861" s="12" customFormat="1" x14ac:dyDescent="0.25"/>
    <row r="202862" s="12" customFormat="1" x14ac:dyDescent="0.25"/>
    <row r="202863" s="12" customFormat="1" x14ac:dyDescent="0.25"/>
    <row r="202864" s="12" customFormat="1" x14ac:dyDescent="0.25"/>
    <row r="202865" s="12" customFormat="1" x14ac:dyDescent="0.25"/>
    <row r="202866" s="12" customFormat="1" x14ac:dyDescent="0.25"/>
    <row r="202867" s="12" customFormat="1" x14ac:dyDescent="0.25"/>
    <row r="202868" s="12" customFormat="1" x14ac:dyDescent="0.25"/>
    <row r="202869" s="12" customFormat="1" x14ac:dyDescent="0.25"/>
    <row r="202870" s="12" customFormat="1" x14ac:dyDescent="0.25"/>
    <row r="202871" s="12" customFormat="1" x14ac:dyDescent="0.25"/>
    <row r="202872" s="12" customFormat="1" x14ac:dyDescent="0.25"/>
    <row r="202873" s="12" customFormat="1" x14ac:dyDescent="0.25"/>
    <row r="202874" s="12" customFormat="1" x14ac:dyDescent="0.25"/>
    <row r="202875" s="12" customFormat="1" x14ac:dyDescent="0.25"/>
    <row r="202876" s="12" customFormat="1" x14ac:dyDescent="0.25"/>
    <row r="202877" s="12" customFormat="1" x14ac:dyDescent="0.25"/>
    <row r="202878" s="12" customFormat="1" x14ac:dyDescent="0.25"/>
    <row r="202879" s="12" customFormat="1" x14ac:dyDescent="0.25"/>
    <row r="202880" s="12" customFormat="1" x14ac:dyDescent="0.25"/>
    <row r="202881" s="12" customFormat="1" x14ac:dyDescent="0.25"/>
    <row r="202882" s="12" customFormat="1" x14ac:dyDescent="0.25"/>
    <row r="202883" s="12" customFormat="1" x14ac:dyDescent="0.25"/>
    <row r="202884" s="12" customFormat="1" x14ac:dyDescent="0.25"/>
    <row r="202885" s="12" customFormat="1" x14ac:dyDescent="0.25"/>
    <row r="202886" s="12" customFormat="1" x14ac:dyDescent="0.25"/>
    <row r="202887" s="12" customFormat="1" x14ac:dyDescent="0.25"/>
    <row r="202888" s="12" customFormat="1" x14ac:dyDescent="0.25"/>
    <row r="202889" s="12" customFormat="1" x14ac:dyDescent="0.25"/>
    <row r="202890" s="12" customFormat="1" x14ac:dyDescent="0.25"/>
    <row r="202891" s="12" customFormat="1" x14ac:dyDescent="0.25"/>
    <row r="202892" s="12" customFormat="1" x14ac:dyDescent="0.25"/>
    <row r="202893" s="12" customFormat="1" x14ac:dyDescent="0.25"/>
    <row r="202894" s="12" customFormat="1" x14ac:dyDescent="0.25"/>
    <row r="202895" s="12" customFormat="1" x14ac:dyDescent="0.25"/>
    <row r="202896" s="12" customFormat="1" x14ac:dyDescent="0.25"/>
    <row r="202897" s="12" customFormat="1" x14ac:dyDescent="0.25"/>
    <row r="202898" s="12" customFormat="1" x14ac:dyDescent="0.25"/>
    <row r="202899" s="12" customFormat="1" x14ac:dyDescent="0.25"/>
    <row r="202900" s="12" customFormat="1" x14ac:dyDescent="0.25"/>
    <row r="202901" s="12" customFormat="1" x14ac:dyDescent="0.25"/>
    <row r="202902" s="12" customFormat="1" x14ac:dyDescent="0.25"/>
    <row r="202903" s="12" customFormat="1" x14ac:dyDescent="0.25"/>
    <row r="202904" s="12" customFormat="1" x14ac:dyDescent="0.25"/>
    <row r="202905" s="12" customFormat="1" x14ac:dyDescent="0.25"/>
    <row r="202906" s="12" customFormat="1" x14ac:dyDescent="0.25"/>
    <row r="202907" s="12" customFormat="1" x14ac:dyDescent="0.25"/>
    <row r="202908" s="12" customFormat="1" x14ac:dyDescent="0.25"/>
    <row r="202909" s="12" customFormat="1" x14ac:dyDescent="0.25"/>
    <row r="202910" s="12" customFormat="1" x14ac:dyDescent="0.25"/>
    <row r="202911" s="12" customFormat="1" x14ac:dyDescent="0.25"/>
    <row r="202912" s="12" customFormat="1" x14ac:dyDescent="0.25"/>
    <row r="202913" s="12" customFormat="1" x14ac:dyDescent="0.25"/>
    <row r="202914" s="12" customFormat="1" x14ac:dyDescent="0.25"/>
    <row r="202915" s="12" customFormat="1" x14ac:dyDescent="0.25"/>
    <row r="202916" s="12" customFormat="1" x14ac:dyDescent="0.25"/>
    <row r="202917" s="12" customFormat="1" x14ac:dyDescent="0.25"/>
    <row r="202918" s="12" customFormat="1" x14ac:dyDescent="0.25"/>
    <row r="202919" s="12" customFormat="1" x14ac:dyDescent="0.25"/>
    <row r="202920" s="12" customFormat="1" x14ac:dyDescent="0.25"/>
    <row r="202921" s="12" customFormat="1" x14ac:dyDescent="0.25"/>
    <row r="202922" s="12" customFormat="1" x14ac:dyDescent="0.25"/>
    <row r="202923" s="12" customFormat="1" x14ac:dyDescent="0.25"/>
    <row r="202924" s="12" customFormat="1" x14ac:dyDescent="0.25"/>
    <row r="202925" s="12" customFormat="1" x14ac:dyDescent="0.25"/>
    <row r="202926" s="12" customFormat="1" x14ac:dyDescent="0.25"/>
    <row r="202927" s="12" customFormat="1" x14ac:dyDescent="0.25"/>
    <row r="202928" s="12" customFormat="1" x14ac:dyDescent="0.25"/>
    <row r="202929" s="12" customFormat="1" x14ac:dyDescent="0.25"/>
    <row r="202930" s="12" customFormat="1" x14ac:dyDescent="0.25"/>
    <row r="202931" s="12" customFormat="1" x14ac:dyDescent="0.25"/>
    <row r="202932" s="12" customFormat="1" x14ac:dyDescent="0.25"/>
    <row r="202933" s="12" customFormat="1" x14ac:dyDescent="0.25"/>
    <row r="202934" s="12" customFormat="1" x14ac:dyDescent="0.25"/>
    <row r="202935" s="12" customFormat="1" x14ac:dyDescent="0.25"/>
    <row r="202936" s="12" customFormat="1" x14ac:dyDescent="0.25"/>
    <row r="202937" s="12" customFormat="1" x14ac:dyDescent="0.25"/>
    <row r="202938" s="12" customFormat="1" x14ac:dyDescent="0.25"/>
    <row r="202939" s="12" customFormat="1" x14ac:dyDescent="0.25"/>
    <row r="202940" s="12" customFormat="1" x14ac:dyDescent="0.25"/>
    <row r="202941" s="12" customFormat="1" x14ac:dyDescent="0.25"/>
    <row r="202942" s="12" customFormat="1" x14ac:dyDescent="0.25"/>
    <row r="202943" s="12" customFormat="1" x14ac:dyDescent="0.25"/>
    <row r="202944" s="12" customFormat="1" x14ac:dyDescent="0.25"/>
    <row r="202945" s="12" customFormat="1" x14ac:dyDescent="0.25"/>
    <row r="202946" s="12" customFormat="1" x14ac:dyDescent="0.25"/>
    <row r="202947" s="12" customFormat="1" x14ac:dyDescent="0.25"/>
    <row r="202948" s="12" customFormat="1" x14ac:dyDescent="0.25"/>
    <row r="202949" s="12" customFormat="1" x14ac:dyDescent="0.25"/>
    <row r="202950" s="12" customFormat="1" x14ac:dyDescent="0.25"/>
    <row r="202951" s="12" customFormat="1" x14ac:dyDescent="0.25"/>
    <row r="202952" s="12" customFormat="1" x14ac:dyDescent="0.25"/>
    <row r="202953" s="12" customFormat="1" x14ac:dyDescent="0.25"/>
    <row r="202954" s="12" customFormat="1" x14ac:dyDescent="0.25"/>
    <row r="202955" s="12" customFormat="1" x14ac:dyDescent="0.25"/>
    <row r="202956" s="12" customFormat="1" x14ac:dyDescent="0.25"/>
    <row r="202957" s="12" customFormat="1" x14ac:dyDescent="0.25"/>
    <row r="202958" s="12" customFormat="1" x14ac:dyDescent="0.25"/>
    <row r="202959" s="12" customFormat="1" x14ac:dyDescent="0.25"/>
    <row r="202960" s="12" customFormat="1" x14ac:dyDescent="0.25"/>
    <row r="202961" s="12" customFormat="1" x14ac:dyDescent="0.25"/>
    <row r="202962" s="12" customFormat="1" x14ac:dyDescent="0.25"/>
    <row r="202963" s="12" customFormat="1" x14ac:dyDescent="0.25"/>
    <row r="202964" s="12" customFormat="1" x14ac:dyDescent="0.25"/>
    <row r="202965" s="12" customFormat="1" x14ac:dyDescent="0.25"/>
    <row r="202966" s="12" customFormat="1" x14ac:dyDescent="0.25"/>
    <row r="202967" s="12" customFormat="1" x14ac:dyDescent="0.25"/>
    <row r="202968" s="12" customFormat="1" x14ac:dyDescent="0.25"/>
    <row r="202969" s="12" customFormat="1" x14ac:dyDescent="0.25"/>
    <row r="202970" s="12" customFormat="1" x14ac:dyDescent="0.25"/>
    <row r="202971" s="12" customFormat="1" x14ac:dyDescent="0.25"/>
    <row r="202972" s="12" customFormat="1" x14ac:dyDescent="0.25"/>
    <row r="202973" s="12" customFormat="1" x14ac:dyDescent="0.25"/>
    <row r="202974" s="12" customFormat="1" x14ac:dyDescent="0.25"/>
    <row r="202975" s="12" customFormat="1" x14ac:dyDescent="0.25"/>
    <row r="202976" s="12" customFormat="1" x14ac:dyDescent="0.25"/>
    <row r="202977" s="12" customFormat="1" x14ac:dyDescent="0.25"/>
    <row r="202978" s="12" customFormat="1" x14ac:dyDescent="0.25"/>
    <row r="202979" s="12" customFormat="1" x14ac:dyDescent="0.25"/>
    <row r="202980" s="12" customFormat="1" x14ac:dyDescent="0.25"/>
    <row r="202981" s="12" customFormat="1" x14ac:dyDescent="0.25"/>
    <row r="202982" s="12" customFormat="1" x14ac:dyDescent="0.25"/>
    <row r="202983" s="12" customFormat="1" x14ac:dyDescent="0.25"/>
    <row r="202984" s="12" customFormat="1" x14ac:dyDescent="0.25"/>
    <row r="202985" s="12" customFormat="1" x14ac:dyDescent="0.25"/>
    <row r="202986" s="12" customFormat="1" x14ac:dyDescent="0.25"/>
    <row r="202987" s="12" customFormat="1" x14ac:dyDescent="0.25"/>
    <row r="202988" s="12" customFormat="1" x14ac:dyDescent="0.25"/>
    <row r="202989" s="12" customFormat="1" x14ac:dyDescent="0.25"/>
    <row r="202990" s="12" customFormat="1" x14ac:dyDescent="0.25"/>
    <row r="202991" s="12" customFormat="1" x14ac:dyDescent="0.25"/>
    <row r="202992" s="12" customFormat="1" x14ac:dyDescent="0.25"/>
    <row r="202993" s="12" customFormat="1" x14ac:dyDescent="0.25"/>
    <row r="202994" s="12" customFormat="1" x14ac:dyDescent="0.25"/>
    <row r="202995" s="12" customFormat="1" x14ac:dyDescent="0.25"/>
    <row r="202996" s="12" customFormat="1" x14ac:dyDescent="0.25"/>
    <row r="202997" s="12" customFormat="1" x14ac:dyDescent="0.25"/>
    <row r="202998" s="12" customFormat="1" x14ac:dyDescent="0.25"/>
    <row r="202999" s="12" customFormat="1" x14ac:dyDescent="0.25"/>
    <row r="203000" s="12" customFormat="1" x14ac:dyDescent="0.25"/>
    <row r="203001" s="12" customFormat="1" x14ac:dyDescent="0.25"/>
    <row r="203002" s="12" customFormat="1" x14ac:dyDescent="0.25"/>
    <row r="203003" s="12" customFormat="1" x14ac:dyDescent="0.25"/>
    <row r="203004" s="12" customFormat="1" x14ac:dyDescent="0.25"/>
    <row r="203005" s="12" customFormat="1" x14ac:dyDescent="0.25"/>
    <row r="203006" s="12" customFormat="1" x14ac:dyDescent="0.25"/>
    <row r="203007" s="12" customFormat="1" x14ac:dyDescent="0.25"/>
    <row r="203008" s="12" customFormat="1" x14ac:dyDescent="0.25"/>
    <row r="203009" s="12" customFormat="1" x14ac:dyDescent="0.25"/>
    <row r="203010" s="12" customFormat="1" x14ac:dyDescent="0.25"/>
    <row r="203011" s="12" customFormat="1" x14ac:dyDescent="0.25"/>
    <row r="203012" s="12" customFormat="1" x14ac:dyDescent="0.25"/>
    <row r="203013" s="12" customFormat="1" x14ac:dyDescent="0.25"/>
    <row r="203014" s="12" customFormat="1" x14ac:dyDescent="0.25"/>
    <row r="203015" s="12" customFormat="1" x14ac:dyDescent="0.25"/>
    <row r="203016" s="12" customFormat="1" x14ac:dyDescent="0.25"/>
    <row r="203017" s="12" customFormat="1" x14ac:dyDescent="0.25"/>
    <row r="203018" s="12" customFormat="1" x14ac:dyDescent="0.25"/>
    <row r="203019" s="12" customFormat="1" x14ac:dyDescent="0.25"/>
    <row r="203020" s="12" customFormat="1" x14ac:dyDescent="0.25"/>
    <row r="203021" s="12" customFormat="1" x14ac:dyDescent="0.25"/>
    <row r="203022" s="12" customFormat="1" x14ac:dyDescent="0.25"/>
    <row r="203023" s="12" customFormat="1" x14ac:dyDescent="0.25"/>
    <row r="203024" s="12" customFormat="1" x14ac:dyDescent="0.25"/>
    <row r="203025" s="12" customFormat="1" x14ac:dyDescent="0.25"/>
    <row r="203026" s="12" customFormat="1" x14ac:dyDescent="0.25"/>
    <row r="203027" s="12" customFormat="1" x14ac:dyDescent="0.25"/>
    <row r="203028" s="12" customFormat="1" x14ac:dyDescent="0.25"/>
    <row r="203029" s="12" customFormat="1" x14ac:dyDescent="0.25"/>
    <row r="203030" s="12" customFormat="1" x14ac:dyDescent="0.25"/>
    <row r="203031" s="12" customFormat="1" x14ac:dyDescent="0.25"/>
    <row r="203032" s="12" customFormat="1" x14ac:dyDescent="0.25"/>
    <row r="203033" s="12" customFormat="1" x14ac:dyDescent="0.25"/>
    <row r="203034" s="12" customFormat="1" x14ac:dyDescent="0.25"/>
    <row r="203035" s="12" customFormat="1" x14ac:dyDescent="0.25"/>
    <row r="203036" s="12" customFormat="1" x14ac:dyDescent="0.25"/>
    <row r="203037" s="12" customFormat="1" x14ac:dyDescent="0.25"/>
    <row r="203038" s="12" customFormat="1" x14ac:dyDescent="0.25"/>
    <row r="203039" s="12" customFormat="1" x14ac:dyDescent="0.25"/>
    <row r="203040" s="12" customFormat="1" x14ac:dyDescent="0.25"/>
    <row r="203041" s="12" customFormat="1" x14ac:dyDescent="0.25"/>
    <row r="203042" s="12" customFormat="1" x14ac:dyDescent="0.25"/>
    <row r="203043" s="12" customFormat="1" x14ac:dyDescent="0.25"/>
    <row r="203044" s="12" customFormat="1" x14ac:dyDescent="0.25"/>
    <row r="203045" s="12" customFormat="1" x14ac:dyDescent="0.25"/>
    <row r="203046" s="12" customFormat="1" x14ac:dyDescent="0.25"/>
    <row r="203047" s="12" customFormat="1" x14ac:dyDescent="0.25"/>
    <row r="203048" s="12" customFormat="1" x14ac:dyDescent="0.25"/>
    <row r="203049" s="12" customFormat="1" x14ac:dyDescent="0.25"/>
    <row r="203050" s="12" customFormat="1" x14ac:dyDescent="0.25"/>
    <row r="203051" s="12" customFormat="1" x14ac:dyDescent="0.25"/>
    <row r="203052" s="12" customFormat="1" x14ac:dyDescent="0.25"/>
    <row r="203053" s="12" customFormat="1" x14ac:dyDescent="0.25"/>
    <row r="203054" s="12" customFormat="1" x14ac:dyDescent="0.25"/>
    <row r="203055" s="12" customFormat="1" x14ac:dyDescent="0.25"/>
    <row r="203056" s="12" customFormat="1" x14ac:dyDescent="0.25"/>
    <row r="203057" s="12" customFormat="1" x14ac:dyDescent="0.25"/>
    <row r="203058" s="12" customFormat="1" x14ac:dyDescent="0.25"/>
    <row r="203059" s="12" customFormat="1" x14ac:dyDescent="0.25"/>
    <row r="203060" s="12" customFormat="1" x14ac:dyDescent="0.25"/>
    <row r="203061" s="12" customFormat="1" x14ac:dyDescent="0.25"/>
    <row r="203062" s="12" customFormat="1" x14ac:dyDescent="0.25"/>
    <row r="203063" s="12" customFormat="1" x14ac:dyDescent="0.25"/>
    <row r="203064" s="12" customFormat="1" x14ac:dyDescent="0.25"/>
    <row r="203065" s="12" customFormat="1" x14ac:dyDescent="0.25"/>
    <row r="203066" s="12" customFormat="1" x14ac:dyDescent="0.25"/>
    <row r="203067" s="12" customFormat="1" x14ac:dyDescent="0.25"/>
    <row r="203068" s="12" customFormat="1" x14ac:dyDescent="0.25"/>
    <row r="203069" s="12" customFormat="1" x14ac:dyDescent="0.25"/>
    <row r="203070" s="12" customFormat="1" x14ac:dyDescent="0.25"/>
    <row r="203071" s="12" customFormat="1" x14ac:dyDescent="0.25"/>
    <row r="203072" s="12" customFormat="1" x14ac:dyDescent="0.25"/>
    <row r="203073" s="12" customFormat="1" x14ac:dyDescent="0.25"/>
    <row r="203074" s="12" customFormat="1" x14ac:dyDescent="0.25"/>
    <row r="203075" s="12" customFormat="1" x14ac:dyDescent="0.25"/>
    <row r="203076" s="12" customFormat="1" x14ac:dyDescent="0.25"/>
    <row r="203077" s="12" customFormat="1" x14ac:dyDescent="0.25"/>
    <row r="203078" s="12" customFormat="1" x14ac:dyDescent="0.25"/>
    <row r="203079" s="12" customFormat="1" x14ac:dyDescent="0.25"/>
    <row r="203080" s="12" customFormat="1" x14ac:dyDescent="0.25"/>
    <row r="203081" s="12" customFormat="1" x14ac:dyDescent="0.25"/>
    <row r="203082" s="12" customFormat="1" x14ac:dyDescent="0.25"/>
    <row r="203083" s="12" customFormat="1" x14ac:dyDescent="0.25"/>
    <row r="203084" s="12" customFormat="1" x14ac:dyDescent="0.25"/>
    <row r="203085" s="12" customFormat="1" x14ac:dyDescent="0.25"/>
    <row r="203086" s="12" customFormat="1" x14ac:dyDescent="0.25"/>
    <row r="203087" s="12" customFormat="1" x14ac:dyDescent="0.25"/>
    <row r="203088" s="12" customFormat="1" x14ac:dyDescent="0.25"/>
    <row r="203089" s="12" customFormat="1" x14ac:dyDescent="0.25"/>
    <row r="203090" s="12" customFormat="1" x14ac:dyDescent="0.25"/>
    <row r="203091" s="12" customFormat="1" x14ac:dyDescent="0.25"/>
    <row r="203092" s="12" customFormat="1" x14ac:dyDescent="0.25"/>
    <row r="203093" s="12" customFormat="1" x14ac:dyDescent="0.25"/>
    <row r="203094" s="12" customFormat="1" x14ac:dyDescent="0.25"/>
    <row r="203095" s="12" customFormat="1" x14ac:dyDescent="0.25"/>
    <row r="203096" s="12" customFormat="1" x14ac:dyDescent="0.25"/>
    <row r="203097" s="12" customFormat="1" x14ac:dyDescent="0.25"/>
    <row r="203098" s="12" customFormat="1" x14ac:dyDescent="0.25"/>
    <row r="203099" s="12" customFormat="1" x14ac:dyDescent="0.25"/>
    <row r="203100" s="12" customFormat="1" x14ac:dyDescent="0.25"/>
    <row r="203101" s="12" customFormat="1" x14ac:dyDescent="0.25"/>
    <row r="203102" s="12" customFormat="1" x14ac:dyDescent="0.25"/>
    <row r="203103" s="12" customFormat="1" x14ac:dyDescent="0.25"/>
    <row r="203104" s="12" customFormat="1" x14ac:dyDescent="0.25"/>
    <row r="203105" s="12" customFormat="1" x14ac:dyDescent="0.25"/>
    <row r="203106" s="12" customFormat="1" x14ac:dyDescent="0.25"/>
    <row r="203107" s="12" customFormat="1" x14ac:dyDescent="0.25"/>
    <row r="203108" s="12" customFormat="1" x14ac:dyDescent="0.25"/>
    <row r="203109" s="12" customFormat="1" x14ac:dyDescent="0.25"/>
    <row r="203110" s="12" customFormat="1" x14ac:dyDescent="0.25"/>
    <row r="203111" s="12" customFormat="1" x14ac:dyDescent="0.25"/>
    <row r="203112" s="12" customFormat="1" x14ac:dyDescent="0.25"/>
    <row r="203113" s="12" customFormat="1" x14ac:dyDescent="0.25"/>
    <row r="203114" s="12" customFormat="1" x14ac:dyDescent="0.25"/>
    <row r="203115" s="12" customFormat="1" x14ac:dyDescent="0.25"/>
    <row r="203116" s="12" customFormat="1" x14ac:dyDescent="0.25"/>
    <row r="203117" s="12" customFormat="1" x14ac:dyDescent="0.25"/>
    <row r="203118" s="12" customFormat="1" x14ac:dyDescent="0.25"/>
    <row r="203119" s="12" customFormat="1" x14ac:dyDescent="0.25"/>
    <row r="203120" s="12" customFormat="1" x14ac:dyDescent="0.25"/>
    <row r="203121" s="12" customFormat="1" x14ac:dyDescent="0.25"/>
    <row r="203122" s="12" customFormat="1" x14ac:dyDescent="0.25"/>
    <row r="203123" s="12" customFormat="1" x14ac:dyDescent="0.25"/>
    <row r="203124" s="12" customFormat="1" x14ac:dyDescent="0.25"/>
    <row r="203125" s="12" customFormat="1" x14ac:dyDescent="0.25"/>
    <row r="203126" s="12" customFormat="1" x14ac:dyDescent="0.25"/>
    <row r="203127" s="12" customFormat="1" x14ac:dyDescent="0.25"/>
    <row r="203128" s="12" customFormat="1" x14ac:dyDescent="0.25"/>
    <row r="203129" s="12" customFormat="1" x14ac:dyDescent="0.25"/>
    <row r="203130" s="12" customFormat="1" x14ac:dyDescent="0.25"/>
    <row r="203131" s="12" customFormat="1" x14ac:dyDescent="0.25"/>
    <row r="203132" s="12" customFormat="1" x14ac:dyDescent="0.25"/>
    <row r="203133" s="12" customFormat="1" x14ac:dyDescent="0.25"/>
    <row r="203134" s="12" customFormat="1" x14ac:dyDescent="0.25"/>
    <row r="203135" s="12" customFormat="1" x14ac:dyDescent="0.25"/>
    <row r="203136" s="12" customFormat="1" x14ac:dyDescent="0.25"/>
    <row r="203137" s="12" customFormat="1" x14ac:dyDescent="0.25"/>
    <row r="203138" s="12" customFormat="1" x14ac:dyDescent="0.25"/>
    <row r="203139" s="12" customFormat="1" x14ac:dyDescent="0.25"/>
    <row r="203140" s="12" customFormat="1" x14ac:dyDescent="0.25"/>
    <row r="203141" s="12" customFormat="1" x14ac:dyDescent="0.25"/>
    <row r="203142" s="12" customFormat="1" x14ac:dyDescent="0.25"/>
    <row r="203143" s="12" customFormat="1" x14ac:dyDescent="0.25"/>
    <row r="203144" s="12" customFormat="1" x14ac:dyDescent="0.25"/>
    <row r="203145" s="12" customFormat="1" x14ac:dyDescent="0.25"/>
    <row r="203146" s="12" customFormat="1" x14ac:dyDescent="0.25"/>
    <row r="203147" s="12" customFormat="1" x14ac:dyDescent="0.25"/>
    <row r="203148" s="12" customFormat="1" x14ac:dyDescent="0.25"/>
    <row r="203149" s="12" customFormat="1" x14ac:dyDescent="0.25"/>
    <row r="203150" s="12" customFormat="1" x14ac:dyDescent="0.25"/>
    <row r="203151" s="12" customFormat="1" x14ac:dyDescent="0.25"/>
    <row r="203152" s="12" customFormat="1" x14ac:dyDescent="0.25"/>
    <row r="203153" s="12" customFormat="1" x14ac:dyDescent="0.25"/>
    <row r="203154" s="12" customFormat="1" x14ac:dyDescent="0.25"/>
    <row r="203155" s="12" customFormat="1" x14ac:dyDescent="0.25"/>
    <row r="203156" s="12" customFormat="1" x14ac:dyDescent="0.25"/>
    <row r="203157" s="12" customFormat="1" x14ac:dyDescent="0.25"/>
    <row r="203158" s="12" customFormat="1" x14ac:dyDescent="0.25"/>
    <row r="203159" s="12" customFormat="1" x14ac:dyDescent="0.25"/>
    <row r="203160" s="12" customFormat="1" x14ac:dyDescent="0.25"/>
    <row r="203161" s="12" customFormat="1" x14ac:dyDescent="0.25"/>
    <row r="203162" s="12" customFormat="1" x14ac:dyDescent="0.25"/>
    <row r="203163" s="12" customFormat="1" x14ac:dyDescent="0.25"/>
    <row r="203164" s="12" customFormat="1" x14ac:dyDescent="0.25"/>
    <row r="203165" s="12" customFormat="1" x14ac:dyDescent="0.25"/>
    <row r="203166" s="12" customFormat="1" x14ac:dyDescent="0.25"/>
    <row r="203167" s="12" customFormat="1" x14ac:dyDescent="0.25"/>
    <row r="203168" s="12" customFormat="1" x14ac:dyDescent="0.25"/>
    <row r="203169" s="12" customFormat="1" x14ac:dyDescent="0.25"/>
    <row r="203170" s="12" customFormat="1" x14ac:dyDescent="0.25"/>
    <row r="203171" s="12" customFormat="1" x14ac:dyDescent="0.25"/>
    <row r="203172" s="12" customFormat="1" x14ac:dyDescent="0.25"/>
    <row r="203173" s="12" customFormat="1" x14ac:dyDescent="0.25"/>
    <row r="203174" s="12" customFormat="1" x14ac:dyDescent="0.25"/>
    <row r="203175" s="12" customFormat="1" x14ac:dyDescent="0.25"/>
    <row r="203176" s="12" customFormat="1" x14ac:dyDescent="0.25"/>
    <row r="203177" s="12" customFormat="1" x14ac:dyDescent="0.25"/>
    <row r="203178" s="12" customFormat="1" x14ac:dyDescent="0.25"/>
    <row r="203179" s="12" customFormat="1" x14ac:dyDescent="0.25"/>
    <row r="203180" s="12" customFormat="1" x14ac:dyDescent="0.25"/>
    <row r="203181" s="12" customFormat="1" x14ac:dyDescent="0.25"/>
    <row r="203182" s="12" customFormat="1" x14ac:dyDescent="0.25"/>
    <row r="203183" s="12" customFormat="1" x14ac:dyDescent="0.25"/>
    <row r="203184" s="12" customFormat="1" x14ac:dyDescent="0.25"/>
    <row r="203185" s="12" customFormat="1" x14ac:dyDescent="0.25"/>
    <row r="203186" s="12" customFormat="1" x14ac:dyDescent="0.25"/>
    <row r="203187" s="12" customFormat="1" x14ac:dyDescent="0.25"/>
    <row r="203188" s="12" customFormat="1" x14ac:dyDescent="0.25"/>
    <row r="203189" s="12" customFormat="1" x14ac:dyDescent="0.25"/>
    <row r="203190" s="12" customFormat="1" x14ac:dyDescent="0.25"/>
    <row r="203191" s="12" customFormat="1" x14ac:dyDescent="0.25"/>
    <row r="203192" s="12" customFormat="1" x14ac:dyDescent="0.25"/>
    <row r="203193" s="12" customFormat="1" x14ac:dyDescent="0.25"/>
    <row r="203194" s="12" customFormat="1" x14ac:dyDescent="0.25"/>
    <row r="203195" s="12" customFormat="1" x14ac:dyDescent="0.25"/>
    <row r="203196" s="12" customFormat="1" x14ac:dyDescent="0.25"/>
    <row r="203197" s="12" customFormat="1" x14ac:dyDescent="0.25"/>
    <row r="203198" s="12" customFormat="1" x14ac:dyDescent="0.25"/>
    <row r="203199" s="12" customFormat="1" x14ac:dyDescent="0.25"/>
    <row r="203200" s="12" customFormat="1" x14ac:dyDescent="0.25"/>
    <row r="203201" s="12" customFormat="1" x14ac:dyDescent="0.25"/>
    <row r="203202" s="12" customFormat="1" x14ac:dyDescent="0.25"/>
    <row r="203203" s="12" customFormat="1" x14ac:dyDescent="0.25"/>
    <row r="203204" s="12" customFormat="1" x14ac:dyDescent="0.25"/>
    <row r="203205" s="12" customFormat="1" x14ac:dyDescent="0.25"/>
    <row r="203206" s="12" customFormat="1" x14ac:dyDescent="0.25"/>
    <row r="203207" s="12" customFormat="1" x14ac:dyDescent="0.25"/>
    <row r="203208" s="12" customFormat="1" x14ac:dyDescent="0.25"/>
    <row r="203209" s="12" customFormat="1" x14ac:dyDescent="0.25"/>
    <row r="203210" s="12" customFormat="1" x14ac:dyDescent="0.25"/>
    <row r="203211" s="12" customFormat="1" x14ac:dyDescent="0.25"/>
    <row r="203212" s="12" customFormat="1" x14ac:dyDescent="0.25"/>
    <row r="203213" s="12" customFormat="1" x14ac:dyDescent="0.25"/>
    <row r="203214" s="12" customFormat="1" x14ac:dyDescent="0.25"/>
    <row r="203215" s="12" customFormat="1" x14ac:dyDescent="0.25"/>
    <row r="203216" s="12" customFormat="1" x14ac:dyDescent="0.25"/>
    <row r="203217" s="12" customFormat="1" x14ac:dyDescent="0.25"/>
    <row r="203218" s="12" customFormat="1" x14ac:dyDescent="0.25"/>
    <row r="203219" s="12" customFormat="1" x14ac:dyDescent="0.25"/>
    <row r="203220" s="12" customFormat="1" x14ac:dyDescent="0.25"/>
    <row r="203221" s="12" customFormat="1" x14ac:dyDescent="0.25"/>
    <row r="203222" s="12" customFormat="1" x14ac:dyDescent="0.25"/>
    <row r="203223" s="12" customFormat="1" x14ac:dyDescent="0.25"/>
    <row r="203224" s="12" customFormat="1" x14ac:dyDescent="0.25"/>
    <row r="203225" s="12" customFormat="1" x14ac:dyDescent="0.25"/>
    <row r="203226" s="12" customFormat="1" x14ac:dyDescent="0.25"/>
    <row r="203227" s="12" customFormat="1" x14ac:dyDescent="0.25"/>
    <row r="203228" s="12" customFormat="1" x14ac:dyDescent="0.25"/>
    <row r="203229" s="12" customFormat="1" x14ac:dyDescent="0.25"/>
    <row r="203230" s="12" customFormat="1" x14ac:dyDescent="0.25"/>
    <row r="203231" s="12" customFormat="1" x14ac:dyDescent="0.25"/>
    <row r="203232" s="12" customFormat="1" x14ac:dyDescent="0.25"/>
    <row r="203233" s="12" customFormat="1" x14ac:dyDescent="0.25"/>
    <row r="203234" s="12" customFormat="1" x14ac:dyDescent="0.25"/>
    <row r="203235" s="12" customFormat="1" x14ac:dyDescent="0.25"/>
    <row r="203236" s="12" customFormat="1" x14ac:dyDescent="0.25"/>
    <row r="203237" s="12" customFormat="1" x14ac:dyDescent="0.25"/>
    <row r="203238" s="12" customFormat="1" x14ac:dyDescent="0.25"/>
    <row r="203239" s="12" customFormat="1" x14ac:dyDescent="0.25"/>
    <row r="203240" s="12" customFormat="1" x14ac:dyDescent="0.25"/>
    <row r="203241" s="12" customFormat="1" x14ac:dyDescent="0.25"/>
    <row r="203242" s="12" customFormat="1" x14ac:dyDescent="0.25"/>
    <row r="203243" s="12" customFormat="1" x14ac:dyDescent="0.25"/>
    <row r="203244" s="12" customFormat="1" x14ac:dyDescent="0.25"/>
    <row r="203245" s="12" customFormat="1" x14ac:dyDescent="0.25"/>
    <row r="203246" s="12" customFormat="1" x14ac:dyDescent="0.25"/>
    <row r="203247" s="12" customFormat="1" x14ac:dyDescent="0.25"/>
    <row r="203248" s="12" customFormat="1" x14ac:dyDescent="0.25"/>
    <row r="203249" s="12" customFormat="1" x14ac:dyDescent="0.25"/>
    <row r="203250" s="12" customFormat="1" x14ac:dyDescent="0.25"/>
    <row r="203251" s="12" customFormat="1" x14ac:dyDescent="0.25"/>
    <row r="203252" s="12" customFormat="1" x14ac:dyDescent="0.25"/>
    <row r="203253" s="12" customFormat="1" x14ac:dyDescent="0.25"/>
    <row r="203254" s="12" customFormat="1" x14ac:dyDescent="0.25"/>
    <row r="203255" s="12" customFormat="1" x14ac:dyDescent="0.25"/>
    <row r="203256" s="12" customFormat="1" x14ac:dyDescent="0.25"/>
    <row r="203257" s="12" customFormat="1" x14ac:dyDescent="0.25"/>
    <row r="203258" s="12" customFormat="1" x14ac:dyDescent="0.25"/>
    <row r="203259" s="12" customFormat="1" x14ac:dyDescent="0.25"/>
    <row r="203260" s="12" customFormat="1" x14ac:dyDescent="0.25"/>
    <row r="203261" s="12" customFormat="1" x14ac:dyDescent="0.25"/>
    <row r="203262" s="12" customFormat="1" x14ac:dyDescent="0.25"/>
    <row r="203263" s="12" customFormat="1" x14ac:dyDescent="0.25"/>
    <row r="203264" s="12" customFormat="1" x14ac:dyDescent="0.25"/>
    <row r="203265" s="12" customFormat="1" x14ac:dyDescent="0.25"/>
    <row r="203266" s="12" customFormat="1" x14ac:dyDescent="0.25"/>
    <row r="203267" s="12" customFormat="1" x14ac:dyDescent="0.25"/>
    <row r="203268" s="12" customFormat="1" x14ac:dyDescent="0.25"/>
    <row r="203269" s="12" customFormat="1" x14ac:dyDescent="0.25"/>
    <row r="203270" s="12" customFormat="1" x14ac:dyDescent="0.25"/>
    <row r="203271" s="12" customFormat="1" x14ac:dyDescent="0.25"/>
    <row r="203272" s="12" customFormat="1" x14ac:dyDescent="0.25"/>
    <row r="203273" s="12" customFormat="1" x14ac:dyDescent="0.25"/>
    <row r="203274" s="12" customFormat="1" x14ac:dyDescent="0.25"/>
    <row r="203275" s="12" customFormat="1" x14ac:dyDescent="0.25"/>
    <row r="203276" s="12" customFormat="1" x14ac:dyDescent="0.25"/>
    <row r="203277" s="12" customFormat="1" x14ac:dyDescent="0.25"/>
    <row r="203278" s="12" customFormat="1" x14ac:dyDescent="0.25"/>
    <row r="203279" s="12" customFormat="1" x14ac:dyDescent="0.25"/>
    <row r="203280" s="12" customFormat="1" x14ac:dyDescent="0.25"/>
    <row r="203281" s="12" customFormat="1" x14ac:dyDescent="0.25"/>
    <row r="203282" s="12" customFormat="1" x14ac:dyDescent="0.25"/>
    <row r="203283" s="12" customFormat="1" x14ac:dyDescent="0.25"/>
    <row r="203284" s="12" customFormat="1" x14ac:dyDescent="0.25"/>
    <row r="203285" s="12" customFormat="1" x14ac:dyDescent="0.25"/>
    <row r="203286" s="12" customFormat="1" x14ac:dyDescent="0.25"/>
    <row r="203287" s="12" customFormat="1" x14ac:dyDescent="0.25"/>
    <row r="203288" s="12" customFormat="1" x14ac:dyDescent="0.25"/>
    <row r="203289" s="12" customFormat="1" x14ac:dyDescent="0.25"/>
    <row r="203290" s="12" customFormat="1" x14ac:dyDescent="0.25"/>
    <row r="203291" s="12" customFormat="1" x14ac:dyDescent="0.25"/>
    <row r="203292" s="12" customFormat="1" x14ac:dyDescent="0.25"/>
    <row r="203293" s="12" customFormat="1" x14ac:dyDescent="0.25"/>
    <row r="203294" s="12" customFormat="1" x14ac:dyDescent="0.25"/>
    <row r="203295" s="12" customFormat="1" x14ac:dyDescent="0.25"/>
    <row r="203296" s="12" customFormat="1" x14ac:dyDescent="0.25"/>
    <row r="203297" s="12" customFormat="1" x14ac:dyDescent="0.25"/>
    <row r="203298" s="12" customFormat="1" x14ac:dyDescent="0.25"/>
    <row r="203299" s="12" customFormat="1" x14ac:dyDescent="0.25"/>
    <row r="203300" s="12" customFormat="1" x14ac:dyDescent="0.25"/>
    <row r="203301" s="12" customFormat="1" x14ac:dyDescent="0.25"/>
    <row r="203302" s="12" customFormat="1" x14ac:dyDescent="0.25"/>
    <row r="203303" s="12" customFormat="1" x14ac:dyDescent="0.25"/>
    <row r="203304" s="12" customFormat="1" x14ac:dyDescent="0.25"/>
    <row r="203305" s="12" customFormat="1" x14ac:dyDescent="0.25"/>
    <row r="203306" s="12" customFormat="1" x14ac:dyDescent="0.25"/>
    <row r="203307" s="12" customFormat="1" x14ac:dyDescent="0.25"/>
    <row r="203308" s="12" customFormat="1" x14ac:dyDescent="0.25"/>
    <row r="203309" s="12" customFormat="1" x14ac:dyDescent="0.25"/>
    <row r="203310" s="12" customFormat="1" x14ac:dyDescent="0.25"/>
    <row r="203311" s="12" customFormat="1" x14ac:dyDescent="0.25"/>
    <row r="203312" s="12" customFormat="1" x14ac:dyDescent="0.25"/>
    <row r="203313" s="12" customFormat="1" x14ac:dyDescent="0.25"/>
    <row r="203314" s="12" customFormat="1" x14ac:dyDescent="0.25"/>
    <row r="203315" s="12" customFormat="1" x14ac:dyDescent="0.25"/>
    <row r="203316" s="12" customFormat="1" x14ac:dyDescent="0.25"/>
    <row r="203317" s="12" customFormat="1" x14ac:dyDescent="0.25"/>
    <row r="203318" s="12" customFormat="1" x14ac:dyDescent="0.25"/>
    <row r="203319" s="12" customFormat="1" x14ac:dyDescent="0.25"/>
    <row r="203320" s="12" customFormat="1" x14ac:dyDescent="0.25"/>
    <row r="203321" s="12" customFormat="1" x14ac:dyDescent="0.25"/>
    <row r="203322" s="12" customFormat="1" x14ac:dyDescent="0.25"/>
    <row r="203323" s="12" customFormat="1" x14ac:dyDescent="0.25"/>
    <row r="203324" s="12" customFormat="1" x14ac:dyDescent="0.25"/>
    <row r="203325" s="12" customFormat="1" x14ac:dyDescent="0.25"/>
    <row r="203326" s="12" customFormat="1" x14ac:dyDescent="0.25"/>
    <row r="203327" s="12" customFormat="1" x14ac:dyDescent="0.25"/>
    <row r="203328" s="12" customFormat="1" x14ac:dyDescent="0.25"/>
    <row r="203329" s="12" customFormat="1" x14ac:dyDescent="0.25"/>
    <row r="203330" s="12" customFormat="1" x14ac:dyDescent="0.25"/>
    <row r="203331" s="12" customFormat="1" x14ac:dyDescent="0.25"/>
    <row r="203332" s="12" customFormat="1" x14ac:dyDescent="0.25"/>
    <row r="203333" s="12" customFormat="1" x14ac:dyDescent="0.25"/>
    <row r="203334" s="12" customFormat="1" x14ac:dyDescent="0.25"/>
    <row r="203335" s="12" customFormat="1" x14ac:dyDescent="0.25"/>
    <row r="203336" s="12" customFormat="1" x14ac:dyDescent="0.25"/>
    <row r="203337" s="12" customFormat="1" x14ac:dyDescent="0.25"/>
    <row r="203338" s="12" customFormat="1" x14ac:dyDescent="0.25"/>
    <row r="203339" s="12" customFormat="1" x14ac:dyDescent="0.25"/>
    <row r="203340" s="12" customFormat="1" x14ac:dyDescent="0.25"/>
    <row r="203341" s="12" customFormat="1" x14ac:dyDescent="0.25"/>
    <row r="203342" s="12" customFormat="1" x14ac:dyDescent="0.25"/>
    <row r="203343" s="12" customFormat="1" x14ac:dyDescent="0.25"/>
    <row r="203344" s="12" customFormat="1" x14ac:dyDescent="0.25"/>
    <row r="203345" s="12" customFormat="1" x14ac:dyDescent="0.25"/>
    <row r="203346" s="12" customFormat="1" x14ac:dyDescent="0.25"/>
    <row r="203347" s="12" customFormat="1" x14ac:dyDescent="0.25"/>
    <row r="203348" s="12" customFormat="1" x14ac:dyDescent="0.25"/>
    <row r="203349" s="12" customFormat="1" x14ac:dyDescent="0.25"/>
    <row r="203350" s="12" customFormat="1" x14ac:dyDescent="0.25"/>
    <row r="203351" s="12" customFormat="1" x14ac:dyDescent="0.25"/>
    <row r="203352" s="12" customFormat="1" x14ac:dyDescent="0.25"/>
    <row r="203353" s="12" customFormat="1" x14ac:dyDescent="0.25"/>
    <row r="203354" s="12" customFormat="1" x14ac:dyDescent="0.25"/>
    <row r="203355" s="12" customFormat="1" x14ac:dyDescent="0.25"/>
    <row r="203356" s="12" customFormat="1" x14ac:dyDescent="0.25"/>
    <row r="203357" s="12" customFormat="1" x14ac:dyDescent="0.25"/>
    <row r="203358" s="12" customFormat="1" x14ac:dyDescent="0.25"/>
    <row r="203359" s="12" customFormat="1" x14ac:dyDescent="0.25"/>
    <row r="203360" s="12" customFormat="1" x14ac:dyDescent="0.25"/>
    <row r="203361" s="12" customFormat="1" x14ac:dyDescent="0.25"/>
    <row r="203362" s="12" customFormat="1" x14ac:dyDescent="0.25"/>
    <row r="203363" s="12" customFormat="1" x14ac:dyDescent="0.25"/>
    <row r="203364" s="12" customFormat="1" x14ac:dyDescent="0.25"/>
    <row r="203365" s="12" customFormat="1" x14ac:dyDescent="0.25"/>
    <row r="203366" s="12" customFormat="1" x14ac:dyDescent="0.25"/>
    <row r="203367" s="12" customFormat="1" x14ac:dyDescent="0.25"/>
    <row r="203368" s="12" customFormat="1" x14ac:dyDescent="0.25"/>
    <row r="203369" s="12" customFormat="1" x14ac:dyDescent="0.25"/>
    <row r="203370" s="12" customFormat="1" x14ac:dyDescent="0.25"/>
    <row r="203371" s="12" customFormat="1" x14ac:dyDescent="0.25"/>
    <row r="203372" s="12" customFormat="1" x14ac:dyDescent="0.25"/>
    <row r="203373" s="12" customFormat="1" x14ac:dyDescent="0.25"/>
    <row r="203374" s="12" customFormat="1" x14ac:dyDescent="0.25"/>
    <row r="203375" s="12" customFormat="1" x14ac:dyDescent="0.25"/>
    <row r="203376" s="12" customFormat="1" x14ac:dyDescent="0.25"/>
    <row r="203377" s="12" customFormat="1" x14ac:dyDescent="0.25"/>
    <row r="203378" s="12" customFormat="1" x14ac:dyDescent="0.25"/>
    <row r="203379" s="12" customFormat="1" x14ac:dyDescent="0.25"/>
    <row r="203380" s="12" customFormat="1" x14ac:dyDescent="0.25"/>
    <row r="203381" s="12" customFormat="1" x14ac:dyDescent="0.25"/>
    <row r="203382" s="12" customFormat="1" x14ac:dyDescent="0.25"/>
    <row r="203383" s="12" customFormat="1" x14ac:dyDescent="0.25"/>
    <row r="203384" s="12" customFormat="1" x14ac:dyDescent="0.25"/>
    <row r="203385" s="12" customFormat="1" x14ac:dyDescent="0.25"/>
    <row r="203386" s="12" customFormat="1" x14ac:dyDescent="0.25"/>
    <row r="203387" s="12" customFormat="1" x14ac:dyDescent="0.25"/>
    <row r="203388" s="12" customFormat="1" x14ac:dyDescent="0.25"/>
    <row r="203389" s="12" customFormat="1" x14ac:dyDescent="0.25"/>
    <row r="203390" s="12" customFormat="1" x14ac:dyDescent="0.25"/>
    <row r="203391" s="12" customFormat="1" x14ac:dyDescent="0.25"/>
    <row r="203392" s="12" customFormat="1" x14ac:dyDescent="0.25"/>
    <row r="203393" s="12" customFormat="1" x14ac:dyDescent="0.25"/>
    <row r="203394" s="12" customFormat="1" x14ac:dyDescent="0.25"/>
    <row r="203395" s="12" customFormat="1" x14ac:dyDescent="0.25"/>
    <row r="203396" s="12" customFormat="1" x14ac:dyDescent="0.25"/>
    <row r="203397" s="12" customFormat="1" x14ac:dyDescent="0.25"/>
    <row r="203398" s="12" customFormat="1" x14ac:dyDescent="0.25"/>
    <row r="203399" s="12" customFormat="1" x14ac:dyDescent="0.25"/>
    <row r="203400" s="12" customFormat="1" x14ac:dyDescent="0.25"/>
    <row r="203401" s="12" customFormat="1" x14ac:dyDescent="0.25"/>
    <row r="203402" s="12" customFormat="1" x14ac:dyDescent="0.25"/>
    <row r="203403" s="12" customFormat="1" x14ac:dyDescent="0.25"/>
    <row r="203404" s="12" customFormat="1" x14ac:dyDescent="0.25"/>
    <row r="203405" s="12" customFormat="1" x14ac:dyDescent="0.25"/>
    <row r="203406" s="12" customFormat="1" x14ac:dyDescent="0.25"/>
    <row r="203407" s="12" customFormat="1" x14ac:dyDescent="0.25"/>
    <row r="203408" s="12" customFormat="1" x14ac:dyDescent="0.25"/>
    <row r="203409" s="12" customFormat="1" x14ac:dyDescent="0.25"/>
    <row r="203410" s="12" customFormat="1" x14ac:dyDescent="0.25"/>
    <row r="203411" s="12" customFormat="1" x14ac:dyDescent="0.25"/>
    <row r="203412" s="12" customFormat="1" x14ac:dyDescent="0.25"/>
    <row r="203413" s="12" customFormat="1" x14ac:dyDescent="0.25"/>
    <row r="203414" s="12" customFormat="1" x14ac:dyDescent="0.25"/>
    <row r="203415" s="12" customFormat="1" x14ac:dyDescent="0.25"/>
    <row r="203416" s="12" customFormat="1" x14ac:dyDescent="0.25"/>
    <row r="203417" s="12" customFormat="1" x14ac:dyDescent="0.25"/>
    <row r="203418" s="12" customFormat="1" x14ac:dyDescent="0.25"/>
    <row r="203419" s="12" customFormat="1" x14ac:dyDescent="0.25"/>
    <row r="203420" s="12" customFormat="1" x14ac:dyDescent="0.25"/>
    <row r="203421" s="12" customFormat="1" x14ac:dyDescent="0.25"/>
    <row r="203422" s="12" customFormat="1" x14ac:dyDescent="0.25"/>
    <row r="203423" s="12" customFormat="1" x14ac:dyDescent="0.25"/>
    <row r="203424" s="12" customFormat="1" x14ac:dyDescent="0.25"/>
    <row r="203425" s="12" customFormat="1" x14ac:dyDescent="0.25"/>
    <row r="203426" s="12" customFormat="1" x14ac:dyDescent="0.25"/>
    <row r="203427" s="12" customFormat="1" x14ac:dyDescent="0.25"/>
    <row r="203428" s="12" customFormat="1" x14ac:dyDescent="0.25"/>
    <row r="203429" s="12" customFormat="1" x14ac:dyDescent="0.25"/>
    <row r="203430" s="12" customFormat="1" x14ac:dyDescent="0.25"/>
    <row r="203431" s="12" customFormat="1" x14ac:dyDescent="0.25"/>
    <row r="203432" s="12" customFormat="1" x14ac:dyDescent="0.25"/>
    <row r="203433" s="12" customFormat="1" x14ac:dyDescent="0.25"/>
    <row r="203434" s="12" customFormat="1" x14ac:dyDescent="0.25"/>
    <row r="203435" s="12" customFormat="1" x14ac:dyDescent="0.25"/>
    <row r="203436" s="12" customFormat="1" x14ac:dyDescent="0.25"/>
    <row r="203437" s="12" customFormat="1" x14ac:dyDescent="0.25"/>
    <row r="203438" s="12" customFormat="1" x14ac:dyDescent="0.25"/>
    <row r="203439" s="12" customFormat="1" x14ac:dyDescent="0.25"/>
    <row r="203440" s="12" customFormat="1" x14ac:dyDescent="0.25"/>
    <row r="203441" s="12" customFormat="1" x14ac:dyDescent="0.25"/>
    <row r="203442" s="12" customFormat="1" x14ac:dyDescent="0.25"/>
    <row r="203443" s="12" customFormat="1" x14ac:dyDescent="0.25"/>
    <row r="203444" s="12" customFormat="1" x14ac:dyDescent="0.25"/>
    <row r="203445" s="12" customFormat="1" x14ac:dyDescent="0.25"/>
    <row r="203446" s="12" customFormat="1" x14ac:dyDescent="0.25"/>
    <row r="203447" s="12" customFormat="1" x14ac:dyDescent="0.25"/>
    <row r="203448" s="12" customFormat="1" x14ac:dyDescent="0.25"/>
    <row r="203449" s="12" customFormat="1" x14ac:dyDescent="0.25"/>
    <row r="203450" s="12" customFormat="1" x14ac:dyDescent="0.25"/>
    <row r="203451" s="12" customFormat="1" x14ac:dyDescent="0.25"/>
    <row r="203452" s="12" customFormat="1" x14ac:dyDescent="0.25"/>
    <row r="203453" s="12" customFormat="1" x14ac:dyDescent="0.25"/>
    <row r="203454" s="12" customFormat="1" x14ac:dyDescent="0.25"/>
    <row r="203455" s="12" customFormat="1" x14ac:dyDescent="0.25"/>
    <row r="203456" s="12" customFormat="1" x14ac:dyDescent="0.25"/>
    <row r="203457" s="12" customFormat="1" x14ac:dyDescent="0.25"/>
    <row r="203458" s="12" customFormat="1" x14ac:dyDescent="0.25"/>
    <row r="203459" s="12" customFormat="1" x14ac:dyDescent="0.25"/>
    <row r="203460" s="12" customFormat="1" x14ac:dyDescent="0.25"/>
    <row r="203461" s="12" customFormat="1" x14ac:dyDescent="0.25"/>
    <row r="203462" s="12" customFormat="1" x14ac:dyDescent="0.25"/>
    <row r="203463" s="12" customFormat="1" x14ac:dyDescent="0.25"/>
    <row r="203464" s="12" customFormat="1" x14ac:dyDescent="0.25"/>
    <row r="203465" s="12" customFormat="1" x14ac:dyDescent="0.25"/>
    <row r="203466" s="12" customFormat="1" x14ac:dyDescent="0.25"/>
    <row r="203467" s="12" customFormat="1" x14ac:dyDescent="0.25"/>
    <row r="203468" s="12" customFormat="1" x14ac:dyDescent="0.25"/>
    <row r="203469" s="12" customFormat="1" x14ac:dyDescent="0.25"/>
    <row r="203470" s="12" customFormat="1" x14ac:dyDescent="0.25"/>
    <row r="203471" s="12" customFormat="1" x14ac:dyDescent="0.25"/>
    <row r="203472" s="12" customFormat="1" x14ac:dyDescent="0.25"/>
    <row r="203473" s="12" customFormat="1" x14ac:dyDescent="0.25"/>
    <row r="203474" s="12" customFormat="1" x14ac:dyDescent="0.25"/>
    <row r="203475" s="12" customFormat="1" x14ac:dyDescent="0.25"/>
    <row r="203476" s="12" customFormat="1" x14ac:dyDescent="0.25"/>
    <row r="203477" s="12" customFormat="1" x14ac:dyDescent="0.25"/>
    <row r="203478" s="12" customFormat="1" x14ac:dyDescent="0.25"/>
    <row r="203479" s="12" customFormat="1" x14ac:dyDescent="0.25"/>
    <row r="203480" s="12" customFormat="1" x14ac:dyDescent="0.25"/>
    <row r="203481" s="12" customFormat="1" x14ac:dyDescent="0.25"/>
    <row r="203482" s="12" customFormat="1" x14ac:dyDescent="0.25"/>
    <row r="203483" s="12" customFormat="1" x14ac:dyDescent="0.25"/>
    <row r="203484" s="12" customFormat="1" x14ac:dyDescent="0.25"/>
    <row r="203485" s="12" customFormat="1" x14ac:dyDescent="0.25"/>
    <row r="203486" s="12" customFormat="1" x14ac:dyDescent="0.25"/>
    <row r="203487" s="12" customFormat="1" x14ac:dyDescent="0.25"/>
    <row r="203488" s="12" customFormat="1" x14ac:dyDescent="0.25"/>
    <row r="203489" s="12" customFormat="1" x14ac:dyDescent="0.25"/>
    <row r="203490" s="12" customFormat="1" x14ac:dyDescent="0.25"/>
    <row r="203491" s="12" customFormat="1" x14ac:dyDescent="0.25"/>
    <row r="203492" s="12" customFormat="1" x14ac:dyDescent="0.25"/>
    <row r="203493" s="12" customFormat="1" x14ac:dyDescent="0.25"/>
    <row r="203494" s="12" customFormat="1" x14ac:dyDescent="0.25"/>
    <row r="203495" s="12" customFormat="1" x14ac:dyDescent="0.25"/>
    <row r="203496" s="12" customFormat="1" x14ac:dyDescent="0.25"/>
    <row r="203497" s="12" customFormat="1" x14ac:dyDescent="0.25"/>
    <row r="203498" s="12" customFormat="1" x14ac:dyDescent="0.25"/>
    <row r="203499" s="12" customFormat="1" x14ac:dyDescent="0.25"/>
    <row r="203500" s="12" customFormat="1" x14ac:dyDescent="0.25"/>
    <row r="203501" s="12" customFormat="1" x14ac:dyDescent="0.25"/>
    <row r="203502" s="12" customFormat="1" x14ac:dyDescent="0.25"/>
    <row r="203503" s="12" customFormat="1" x14ac:dyDescent="0.25"/>
    <row r="203504" s="12" customFormat="1" x14ac:dyDescent="0.25"/>
    <row r="203505" s="12" customFormat="1" x14ac:dyDescent="0.25"/>
    <row r="203506" s="12" customFormat="1" x14ac:dyDescent="0.25"/>
    <row r="203507" s="12" customFormat="1" x14ac:dyDescent="0.25"/>
    <row r="203508" s="12" customFormat="1" x14ac:dyDescent="0.25"/>
    <row r="203509" s="12" customFormat="1" x14ac:dyDescent="0.25"/>
    <row r="203510" s="12" customFormat="1" x14ac:dyDescent="0.25"/>
    <row r="203511" s="12" customFormat="1" x14ac:dyDescent="0.25"/>
    <row r="203512" s="12" customFormat="1" x14ac:dyDescent="0.25"/>
    <row r="203513" s="12" customFormat="1" x14ac:dyDescent="0.25"/>
    <row r="203514" s="12" customFormat="1" x14ac:dyDescent="0.25"/>
    <row r="203515" s="12" customFormat="1" x14ac:dyDescent="0.25"/>
    <row r="203516" s="12" customFormat="1" x14ac:dyDescent="0.25"/>
    <row r="203517" s="12" customFormat="1" x14ac:dyDescent="0.25"/>
    <row r="203518" s="12" customFormat="1" x14ac:dyDescent="0.25"/>
    <row r="203519" s="12" customFormat="1" x14ac:dyDescent="0.25"/>
    <row r="203520" s="12" customFormat="1" x14ac:dyDescent="0.25"/>
    <row r="203521" s="12" customFormat="1" x14ac:dyDescent="0.25"/>
    <row r="203522" s="12" customFormat="1" x14ac:dyDescent="0.25"/>
    <row r="203523" s="12" customFormat="1" x14ac:dyDescent="0.25"/>
    <row r="203524" s="12" customFormat="1" x14ac:dyDescent="0.25"/>
    <row r="203525" s="12" customFormat="1" x14ac:dyDescent="0.25"/>
    <row r="203526" s="12" customFormat="1" x14ac:dyDescent="0.25"/>
    <row r="203527" s="12" customFormat="1" x14ac:dyDescent="0.25"/>
    <row r="203528" s="12" customFormat="1" x14ac:dyDescent="0.25"/>
    <row r="203529" s="12" customFormat="1" x14ac:dyDescent="0.25"/>
    <row r="203530" s="12" customFormat="1" x14ac:dyDescent="0.25"/>
    <row r="203531" s="12" customFormat="1" x14ac:dyDescent="0.25"/>
    <row r="203532" s="12" customFormat="1" x14ac:dyDescent="0.25"/>
    <row r="203533" s="12" customFormat="1" x14ac:dyDescent="0.25"/>
    <row r="203534" s="12" customFormat="1" x14ac:dyDescent="0.25"/>
    <row r="203535" s="12" customFormat="1" x14ac:dyDescent="0.25"/>
    <row r="203536" s="12" customFormat="1" x14ac:dyDescent="0.25"/>
    <row r="203537" s="12" customFormat="1" x14ac:dyDescent="0.25"/>
    <row r="203538" s="12" customFormat="1" x14ac:dyDescent="0.25"/>
    <row r="203539" s="12" customFormat="1" x14ac:dyDescent="0.25"/>
    <row r="203540" s="12" customFormat="1" x14ac:dyDescent="0.25"/>
    <row r="203541" s="12" customFormat="1" x14ac:dyDescent="0.25"/>
    <row r="203542" s="12" customFormat="1" x14ac:dyDescent="0.25"/>
    <row r="203543" s="12" customFormat="1" x14ac:dyDescent="0.25"/>
    <row r="203544" s="12" customFormat="1" x14ac:dyDescent="0.25"/>
    <row r="203545" s="12" customFormat="1" x14ac:dyDescent="0.25"/>
    <row r="203546" s="12" customFormat="1" x14ac:dyDescent="0.25"/>
    <row r="203547" s="12" customFormat="1" x14ac:dyDescent="0.25"/>
    <row r="203548" s="12" customFormat="1" x14ac:dyDescent="0.25"/>
    <row r="203549" s="12" customFormat="1" x14ac:dyDescent="0.25"/>
    <row r="203550" s="12" customFormat="1" x14ac:dyDescent="0.25"/>
    <row r="203551" s="12" customFormat="1" x14ac:dyDescent="0.25"/>
    <row r="203552" s="12" customFormat="1" x14ac:dyDescent="0.25"/>
    <row r="203553" s="12" customFormat="1" x14ac:dyDescent="0.25"/>
    <row r="203554" s="12" customFormat="1" x14ac:dyDescent="0.25"/>
    <row r="203555" s="12" customFormat="1" x14ac:dyDescent="0.25"/>
    <row r="203556" s="12" customFormat="1" x14ac:dyDescent="0.25"/>
    <row r="203557" s="12" customFormat="1" x14ac:dyDescent="0.25"/>
    <row r="203558" s="12" customFormat="1" x14ac:dyDescent="0.25"/>
    <row r="203559" s="12" customFormat="1" x14ac:dyDescent="0.25"/>
    <row r="203560" s="12" customFormat="1" x14ac:dyDescent="0.25"/>
    <row r="203561" s="12" customFormat="1" x14ac:dyDescent="0.25"/>
    <row r="203562" s="12" customFormat="1" x14ac:dyDescent="0.25"/>
    <row r="203563" s="12" customFormat="1" x14ac:dyDescent="0.25"/>
    <row r="203564" s="12" customFormat="1" x14ac:dyDescent="0.25"/>
    <row r="203565" s="12" customFormat="1" x14ac:dyDescent="0.25"/>
    <row r="203566" s="12" customFormat="1" x14ac:dyDescent="0.25"/>
    <row r="203567" s="12" customFormat="1" x14ac:dyDescent="0.25"/>
    <row r="203568" s="12" customFormat="1" x14ac:dyDescent="0.25"/>
    <row r="203569" s="12" customFormat="1" x14ac:dyDescent="0.25"/>
    <row r="203570" s="12" customFormat="1" x14ac:dyDescent="0.25"/>
    <row r="203571" s="12" customFormat="1" x14ac:dyDescent="0.25"/>
    <row r="203572" s="12" customFormat="1" x14ac:dyDescent="0.25"/>
    <row r="203573" s="12" customFormat="1" x14ac:dyDescent="0.25"/>
    <row r="203574" s="12" customFormat="1" x14ac:dyDescent="0.25"/>
    <row r="203575" s="12" customFormat="1" x14ac:dyDescent="0.25"/>
    <row r="203576" s="12" customFormat="1" x14ac:dyDescent="0.25"/>
    <row r="203577" s="12" customFormat="1" x14ac:dyDescent="0.25"/>
    <row r="203578" s="12" customFormat="1" x14ac:dyDescent="0.25"/>
    <row r="203579" s="12" customFormat="1" x14ac:dyDescent="0.25"/>
    <row r="203580" s="12" customFormat="1" x14ac:dyDescent="0.25"/>
    <row r="203581" s="12" customFormat="1" x14ac:dyDescent="0.25"/>
    <row r="203582" s="12" customFormat="1" x14ac:dyDescent="0.25"/>
    <row r="203583" s="12" customFormat="1" x14ac:dyDescent="0.25"/>
    <row r="203584" s="12" customFormat="1" x14ac:dyDescent="0.25"/>
    <row r="203585" s="12" customFormat="1" x14ac:dyDescent="0.25"/>
    <row r="203586" s="12" customFormat="1" x14ac:dyDescent="0.25"/>
    <row r="203587" s="12" customFormat="1" x14ac:dyDescent="0.25"/>
    <row r="203588" s="12" customFormat="1" x14ac:dyDescent="0.25"/>
    <row r="203589" s="12" customFormat="1" x14ac:dyDescent="0.25"/>
    <row r="203590" s="12" customFormat="1" x14ac:dyDescent="0.25"/>
    <row r="203591" s="12" customFormat="1" x14ac:dyDescent="0.25"/>
    <row r="203592" s="12" customFormat="1" x14ac:dyDescent="0.25"/>
    <row r="203593" s="12" customFormat="1" x14ac:dyDescent="0.25"/>
    <row r="203594" s="12" customFormat="1" x14ac:dyDescent="0.25"/>
    <row r="203595" s="12" customFormat="1" x14ac:dyDescent="0.25"/>
    <row r="203596" s="12" customFormat="1" x14ac:dyDescent="0.25"/>
    <row r="203597" s="12" customFormat="1" x14ac:dyDescent="0.25"/>
    <row r="203598" s="12" customFormat="1" x14ac:dyDescent="0.25"/>
    <row r="203599" s="12" customFormat="1" x14ac:dyDescent="0.25"/>
    <row r="203600" s="12" customFormat="1" x14ac:dyDescent="0.25"/>
    <row r="203601" s="12" customFormat="1" x14ac:dyDescent="0.25"/>
    <row r="203602" s="12" customFormat="1" x14ac:dyDescent="0.25"/>
    <row r="203603" s="12" customFormat="1" x14ac:dyDescent="0.25"/>
    <row r="203604" s="12" customFormat="1" x14ac:dyDescent="0.25"/>
    <row r="203605" s="12" customFormat="1" x14ac:dyDescent="0.25"/>
    <row r="203606" s="12" customFormat="1" x14ac:dyDescent="0.25"/>
    <row r="203607" s="12" customFormat="1" x14ac:dyDescent="0.25"/>
    <row r="203608" s="12" customFormat="1" x14ac:dyDescent="0.25"/>
    <row r="203609" s="12" customFormat="1" x14ac:dyDescent="0.25"/>
    <row r="203610" s="12" customFormat="1" x14ac:dyDescent="0.25"/>
    <row r="203611" s="12" customFormat="1" x14ac:dyDescent="0.25"/>
    <row r="203612" s="12" customFormat="1" x14ac:dyDescent="0.25"/>
    <row r="203613" s="12" customFormat="1" x14ac:dyDescent="0.25"/>
    <row r="203614" s="12" customFormat="1" x14ac:dyDescent="0.25"/>
    <row r="203615" s="12" customFormat="1" x14ac:dyDescent="0.25"/>
    <row r="203616" s="12" customFormat="1" x14ac:dyDescent="0.25"/>
    <row r="203617" s="12" customFormat="1" x14ac:dyDescent="0.25"/>
    <row r="203618" s="12" customFormat="1" x14ac:dyDescent="0.25"/>
    <row r="203619" s="12" customFormat="1" x14ac:dyDescent="0.25"/>
    <row r="203620" s="12" customFormat="1" x14ac:dyDescent="0.25"/>
    <row r="203621" s="12" customFormat="1" x14ac:dyDescent="0.25"/>
    <row r="203622" s="12" customFormat="1" x14ac:dyDescent="0.25"/>
    <row r="203623" s="12" customFormat="1" x14ac:dyDescent="0.25"/>
    <row r="203624" s="12" customFormat="1" x14ac:dyDescent="0.25"/>
    <row r="203625" s="12" customFormat="1" x14ac:dyDescent="0.25"/>
    <row r="203626" s="12" customFormat="1" x14ac:dyDescent="0.25"/>
    <row r="203627" s="12" customFormat="1" x14ac:dyDescent="0.25"/>
    <row r="203628" s="12" customFormat="1" x14ac:dyDescent="0.25"/>
    <row r="203629" s="12" customFormat="1" x14ac:dyDescent="0.25"/>
    <row r="203630" s="12" customFormat="1" x14ac:dyDescent="0.25"/>
    <row r="203631" s="12" customFormat="1" x14ac:dyDescent="0.25"/>
    <row r="203632" s="12" customFormat="1" x14ac:dyDescent="0.25"/>
    <row r="203633" s="12" customFormat="1" x14ac:dyDescent="0.25"/>
    <row r="203634" s="12" customFormat="1" x14ac:dyDescent="0.25"/>
    <row r="203635" s="12" customFormat="1" x14ac:dyDescent="0.25"/>
    <row r="203636" s="12" customFormat="1" x14ac:dyDescent="0.25"/>
    <row r="203637" s="12" customFormat="1" x14ac:dyDescent="0.25"/>
    <row r="203638" s="12" customFormat="1" x14ac:dyDescent="0.25"/>
    <row r="203639" s="12" customFormat="1" x14ac:dyDescent="0.25"/>
    <row r="203640" s="12" customFormat="1" x14ac:dyDescent="0.25"/>
    <row r="203641" s="12" customFormat="1" x14ac:dyDescent="0.25"/>
    <row r="203642" s="12" customFormat="1" x14ac:dyDescent="0.25"/>
    <row r="203643" s="12" customFormat="1" x14ac:dyDescent="0.25"/>
    <row r="203644" s="12" customFormat="1" x14ac:dyDescent="0.25"/>
    <row r="203645" s="12" customFormat="1" x14ac:dyDescent="0.25"/>
    <row r="203646" s="12" customFormat="1" x14ac:dyDescent="0.25"/>
    <row r="203647" s="12" customFormat="1" x14ac:dyDescent="0.25"/>
    <row r="203648" s="12" customFormat="1" x14ac:dyDescent="0.25"/>
    <row r="203649" s="12" customFormat="1" x14ac:dyDescent="0.25"/>
    <row r="203650" s="12" customFormat="1" x14ac:dyDescent="0.25"/>
    <row r="203651" s="12" customFormat="1" x14ac:dyDescent="0.25"/>
    <row r="203652" s="12" customFormat="1" x14ac:dyDescent="0.25"/>
    <row r="203653" s="12" customFormat="1" x14ac:dyDescent="0.25"/>
    <row r="203654" s="12" customFormat="1" x14ac:dyDescent="0.25"/>
    <row r="203655" s="12" customFormat="1" x14ac:dyDescent="0.25"/>
    <row r="203656" s="12" customFormat="1" x14ac:dyDescent="0.25"/>
    <row r="203657" s="12" customFormat="1" x14ac:dyDescent="0.25"/>
    <row r="203658" s="12" customFormat="1" x14ac:dyDescent="0.25"/>
    <row r="203659" s="12" customFormat="1" x14ac:dyDescent="0.25"/>
    <row r="203660" s="12" customFormat="1" x14ac:dyDescent="0.25"/>
    <row r="203661" s="12" customFormat="1" x14ac:dyDescent="0.25"/>
    <row r="203662" s="12" customFormat="1" x14ac:dyDescent="0.25"/>
    <row r="203663" s="12" customFormat="1" x14ac:dyDescent="0.25"/>
    <row r="203664" s="12" customFormat="1" x14ac:dyDescent="0.25"/>
    <row r="203665" s="12" customFormat="1" x14ac:dyDescent="0.25"/>
    <row r="203666" s="12" customFormat="1" x14ac:dyDescent="0.25"/>
    <row r="203667" s="12" customFormat="1" x14ac:dyDescent="0.25"/>
    <row r="203668" s="12" customFormat="1" x14ac:dyDescent="0.25"/>
    <row r="203669" s="12" customFormat="1" x14ac:dyDescent="0.25"/>
    <row r="203670" s="12" customFormat="1" x14ac:dyDescent="0.25"/>
    <row r="203671" s="12" customFormat="1" x14ac:dyDescent="0.25"/>
    <row r="203672" s="12" customFormat="1" x14ac:dyDescent="0.25"/>
    <row r="203673" s="12" customFormat="1" x14ac:dyDescent="0.25"/>
    <row r="203674" s="12" customFormat="1" x14ac:dyDescent="0.25"/>
    <row r="203675" s="12" customFormat="1" x14ac:dyDescent="0.25"/>
    <row r="203676" s="12" customFormat="1" x14ac:dyDescent="0.25"/>
    <row r="203677" s="12" customFormat="1" x14ac:dyDescent="0.25"/>
    <row r="203678" s="12" customFormat="1" x14ac:dyDescent="0.25"/>
    <row r="203679" s="12" customFormat="1" x14ac:dyDescent="0.25"/>
    <row r="203680" s="12" customFormat="1" x14ac:dyDescent="0.25"/>
    <row r="203681" s="12" customFormat="1" x14ac:dyDescent="0.25"/>
    <row r="203682" s="12" customFormat="1" x14ac:dyDescent="0.25"/>
    <row r="203683" s="12" customFormat="1" x14ac:dyDescent="0.25"/>
    <row r="203684" s="12" customFormat="1" x14ac:dyDescent="0.25"/>
    <row r="203685" s="12" customFormat="1" x14ac:dyDescent="0.25"/>
    <row r="203686" s="12" customFormat="1" x14ac:dyDescent="0.25"/>
    <row r="203687" s="12" customFormat="1" x14ac:dyDescent="0.25"/>
    <row r="203688" s="12" customFormat="1" x14ac:dyDescent="0.25"/>
    <row r="203689" s="12" customFormat="1" x14ac:dyDescent="0.25"/>
    <row r="203690" s="12" customFormat="1" x14ac:dyDescent="0.25"/>
    <row r="203691" s="12" customFormat="1" x14ac:dyDescent="0.25"/>
    <row r="203692" s="12" customFormat="1" x14ac:dyDescent="0.25"/>
    <row r="203693" s="12" customFormat="1" x14ac:dyDescent="0.25"/>
    <row r="203694" s="12" customFormat="1" x14ac:dyDescent="0.25"/>
    <row r="203695" s="12" customFormat="1" x14ac:dyDescent="0.25"/>
    <row r="203696" s="12" customFormat="1" x14ac:dyDescent="0.25"/>
    <row r="203697" s="12" customFormat="1" x14ac:dyDescent="0.25"/>
    <row r="203698" s="12" customFormat="1" x14ac:dyDescent="0.25"/>
    <row r="203699" s="12" customFormat="1" x14ac:dyDescent="0.25"/>
    <row r="203700" s="12" customFormat="1" x14ac:dyDescent="0.25"/>
    <row r="203701" s="12" customFormat="1" x14ac:dyDescent="0.25"/>
    <row r="203702" s="12" customFormat="1" x14ac:dyDescent="0.25"/>
    <row r="203703" s="12" customFormat="1" x14ac:dyDescent="0.25"/>
    <row r="203704" s="12" customFormat="1" x14ac:dyDescent="0.25"/>
    <row r="203705" s="12" customFormat="1" x14ac:dyDescent="0.25"/>
    <row r="203706" s="12" customFormat="1" x14ac:dyDescent="0.25"/>
    <row r="203707" s="12" customFormat="1" x14ac:dyDescent="0.25"/>
    <row r="203708" s="12" customFormat="1" x14ac:dyDescent="0.25"/>
    <row r="203709" s="12" customFormat="1" x14ac:dyDescent="0.25"/>
    <row r="203710" s="12" customFormat="1" x14ac:dyDescent="0.25"/>
    <row r="203711" s="12" customFormat="1" x14ac:dyDescent="0.25"/>
    <row r="203712" s="12" customFormat="1" x14ac:dyDescent="0.25"/>
    <row r="203713" s="12" customFormat="1" x14ac:dyDescent="0.25"/>
    <row r="203714" s="12" customFormat="1" x14ac:dyDescent="0.25"/>
    <row r="203715" s="12" customFormat="1" x14ac:dyDescent="0.25"/>
    <row r="203716" s="12" customFormat="1" x14ac:dyDescent="0.25"/>
    <row r="203717" s="12" customFormat="1" x14ac:dyDescent="0.25"/>
    <row r="203718" s="12" customFormat="1" x14ac:dyDescent="0.25"/>
    <row r="203719" s="12" customFormat="1" x14ac:dyDescent="0.25"/>
    <row r="203720" s="12" customFormat="1" x14ac:dyDescent="0.25"/>
    <row r="203721" s="12" customFormat="1" x14ac:dyDescent="0.25"/>
    <row r="203722" s="12" customFormat="1" x14ac:dyDescent="0.25"/>
    <row r="203723" s="12" customFormat="1" x14ac:dyDescent="0.25"/>
    <row r="203724" s="12" customFormat="1" x14ac:dyDescent="0.25"/>
    <row r="203725" s="12" customFormat="1" x14ac:dyDescent="0.25"/>
    <row r="203726" s="12" customFormat="1" x14ac:dyDescent="0.25"/>
    <row r="203727" s="12" customFormat="1" x14ac:dyDescent="0.25"/>
    <row r="203728" s="12" customFormat="1" x14ac:dyDescent="0.25"/>
    <row r="203729" s="12" customFormat="1" x14ac:dyDescent="0.25"/>
    <row r="203730" s="12" customFormat="1" x14ac:dyDescent="0.25"/>
    <row r="203731" s="12" customFormat="1" x14ac:dyDescent="0.25"/>
    <row r="203732" s="12" customFormat="1" x14ac:dyDescent="0.25"/>
    <row r="203733" s="12" customFormat="1" x14ac:dyDescent="0.25"/>
    <row r="203734" s="12" customFormat="1" x14ac:dyDescent="0.25"/>
    <row r="203735" s="12" customFormat="1" x14ac:dyDescent="0.25"/>
    <row r="203736" s="12" customFormat="1" x14ac:dyDescent="0.25"/>
    <row r="203737" s="12" customFormat="1" x14ac:dyDescent="0.25"/>
    <row r="203738" s="12" customFormat="1" x14ac:dyDescent="0.25"/>
    <row r="203739" s="12" customFormat="1" x14ac:dyDescent="0.25"/>
    <row r="203740" s="12" customFormat="1" x14ac:dyDescent="0.25"/>
    <row r="203741" s="12" customFormat="1" x14ac:dyDescent="0.25"/>
    <row r="203742" s="12" customFormat="1" x14ac:dyDescent="0.25"/>
    <row r="203743" s="12" customFormat="1" x14ac:dyDescent="0.25"/>
    <row r="203744" s="12" customFormat="1" x14ac:dyDescent="0.25"/>
    <row r="203745" s="12" customFormat="1" x14ac:dyDescent="0.25"/>
    <row r="203746" s="12" customFormat="1" x14ac:dyDescent="0.25"/>
    <row r="203747" s="12" customFormat="1" x14ac:dyDescent="0.25"/>
    <row r="203748" s="12" customFormat="1" x14ac:dyDescent="0.25"/>
    <row r="203749" s="12" customFormat="1" x14ac:dyDescent="0.25"/>
    <row r="203750" s="12" customFormat="1" x14ac:dyDescent="0.25"/>
    <row r="203751" s="12" customFormat="1" x14ac:dyDescent="0.25"/>
    <row r="203752" s="12" customFormat="1" x14ac:dyDescent="0.25"/>
    <row r="203753" s="12" customFormat="1" x14ac:dyDescent="0.25"/>
    <row r="203754" s="12" customFormat="1" x14ac:dyDescent="0.25"/>
    <row r="203755" s="12" customFormat="1" x14ac:dyDescent="0.25"/>
    <row r="203756" s="12" customFormat="1" x14ac:dyDescent="0.25"/>
    <row r="203757" s="12" customFormat="1" x14ac:dyDescent="0.25"/>
    <row r="203758" s="12" customFormat="1" x14ac:dyDescent="0.25"/>
    <row r="203759" s="12" customFormat="1" x14ac:dyDescent="0.25"/>
    <row r="203760" s="12" customFormat="1" x14ac:dyDescent="0.25"/>
    <row r="203761" s="12" customFormat="1" x14ac:dyDescent="0.25"/>
    <row r="203762" s="12" customFormat="1" x14ac:dyDescent="0.25"/>
    <row r="203763" s="12" customFormat="1" x14ac:dyDescent="0.25"/>
    <row r="203764" s="12" customFormat="1" x14ac:dyDescent="0.25"/>
    <row r="203765" s="12" customFormat="1" x14ac:dyDescent="0.25"/>
    <row r="203766" s="12" customFormat="1" x14ac:dyDescent="0.25"/>
    <row r="203767" s="12" customFormat="1" x14ac:dyDescent="0.25"/>
    <row r="203768" s="12" customFormat="1" x14ac:dyDescent="0.25"/>
    <row r="203769" s="12" customFormat="1" x14ac:dyDescent="0.25"/>
    <row r="203770" s="12" customFormat="1" x14ac:dyDescent="0.25"/>
    <row r="203771" s="12" customFormat="1" x14ac:dyDescent="0.25"/>
    <row r="203772" s="12" customFormat="1" x14ac:dyDescent="0.25"/>
    <row r="203773" s="12" customFormat="1" x14ac:dyDescent="0.25"/>
    <row r="203774" s="12" customFormat="1" x14ac:dyDescent="0.25"/>
    <row r="203775" s="12" customFormat="1" x14ac:dyDescent="0.25"/>
    <row r="203776" s="12" customFormat="1" x14ac:dyDescent="0.25"/>
    <row r="203777" s="12" customFormat="1" x14ac:dyDescent="0.25"/>
    <row r="203778" s="12" customFormat="1" x14ac:dyDescent="0.25"/>
    <row r="203779" s="12" customFormat="1" x14ac:dyDescent="0.25"/>
    <row r="203780" s="12" customFormat="1" x14ac:dyDescent="0.25"/>
    <row r="203781" s="12" customFormat="1" x14ac:dyDescent="0.25"/>
    <row r="203782" s="12" customFormat="1" x14ac:dyDescent="0.25"/>
    <row r="203783" s="12" customFormat="1" x14ac:dyDescent="0.25"/>
    <row r="203784" s="12" customFormat="1" x14ac:dyDescent="0.25"/>
    <row r="203785" s="12" customFormat="1" x14ac:dyDescent="0.25"/>
    <row r="203786" s="12" customFormat="1" x14ac:dyDescent="0.25"/>
    <row r="203787" s="12" customFormat="1" x14ac:dyDescent="0.25"/>
    <row r="203788" s="12" customFormat="1" x14ac:dyDescent="0.25"/>
    <row r="203789" s="12" customFormat="1" x14ac:dyDescent="0.25"/>
    <row r="203790" s="12" customFormat="1" x14ac:dyDescent="0.25"/>
    <row r="203791" s="12" customFormat="1" x14ac:dyDescent="0.25"/>
    <row r="203792" s="12" customFormat="1" x14ac:dyDescent="0.25"/>
    <row r="203793" s="12" customFormat="1" x14ac:dyDescent="0.25"/>
    <row r="203794" s="12" customFormat="1" x14ac:dyDescent="0.25"/>
    <row r="203795" s="12" customFormat="1" x14ac:dyDescent="0.25"/>
    <row r="203796" s="12" customFormat="1" x14ac:dyDescent="0.25"/>
    <row r="203797" s="12" customFormat="1" x14ac:dyDescent="0.25"/>
    <row r="203798" s="12" customFormat="1" x14ac:dyDescent="0.25"/>
    <row r="203799" s="12" customFormat="1" x14ac:dyDescent="0.25"/>
    <row r="203800" s="12" customFormat="1" x14ac:dyDescent="0.25"/>
    <row r="203801" s="12" customFormat="1" x14ac:dyDescent="0.25"/>
    <row r="203802" s="12" customFormat="1" x14ac:dyDescent="0.25"/>
    <row r="203803" s="12" customFormat="1" x14ac:dyDescent="0.25"/>
    <row r="203804" s="12" customFormat="1" x14ac:dyDescent="0.25"/>
    <row r="203805" s="12" customFormat="1" x14ac:dyDescent="0.25"/>
    <row r="203806" s="12" customFormat="1" x14ac:dyDescent="0.25"/>
    <row r="203807" s="12" customFormat="1" x14ac:dyDescent="0.25"/>
    <row r="203808" s="12" customFormat="1" x14ac:dyDescent="0.25"/>
    <row r="203809" s="12" customFormat="1" x14ac:dyDescent="0.25"/>
    <row r="203810" s="12" customFormat="1" x14ac:dyDescent="0.25"/>
    <row r="203811" s="12" customFormat="1" x14ac:dyDescent="0.25"/>
    <row r="203812" s="12" customFormat="1" x14ac:dyDescent="0.25"/>
    <row r="203813" s="12" customFormat="1" x14ac:dyDescent="0.25"/>
    <row r="203814" s="12" customFormat="1" x14ac:dyDescent="0.25"/>
    <row r="203815" s="12" customFormat="1" x14ac:dyDescent="0.25"/>
    <row r="203816" s="12" customFormat="1" x14ac:dyDescent="0.25"/>
    <row r="203817" s="12" customFormat="1" x14ac:dyDescent="0.25"/>
    <row r="203818" s="12" customFormat="1" x14ac:dyDescent="0.25"/>
    <row r="203819" s="12" customFormat="1" x14ac:dyDescent="0.25"/>
    <row r="203820" s="12" customFormat="1" x14ac:dyDescent="0.25"/>
    <row r="203821" s="12" customFormat="1" x14ac:dyDescent="0.25"/>
    <row r="203822" s="12" customFormat="1" x14ac:dyDescent="0.25"/>
    <row r="203823" s="12" customFormat="1" x14ac:dyDescent="0.25"/>
    <row r="203824" s="12" customFormat="1" x14ac:dyDescent="0.25"/>
    <row r="203825" s="12" customFormat="1" x14ac:dyDescent="0.25"/>
    <row r="203826" s="12" customFormat="1" x14ac:dyDescent="0.25"/>
    <row r="203827" s="12" customFormat="1" x14ac:dyDescent="0.25"/>
    <row r="203828" s="12" customFormat="1" x14ac:dyDescent="0.25"/>
    <row r="203829" s="12" customFormat="1" x14ac:dyDescent="0.25"/>
    <row r="203830" s="12" customFormat="1" x14ac:dyDescent="0.25"/>
    <row r="203831" s="12" customFormat="1" x14ac:dyDescent="0.25"/>
    <row r="203832" s="12" customFormat="1" x14ac:dyDescent="0.25"/>
    <row r="203833" s="12" customFormat="1" x14ac:dyDescent="0.25"/>
    <row r="203834" s="12" customFormat="1" x14ac:dyDescent="0.25"/>
    <row r="203835" s="12" customFormat="1" x14ac:dyDescent="0.25"/>
    <row r="203836" s="12" customFormat="1" x14ac:dyDescent="0.25"/>
    <row r="203837" s="12" customFormat="1" x14ac:dyDescent="0.25"/>
    <row r="203838" s="12" customFormat="1" x14ac:dyDescent="0.25"/>
    <row r="203839" s="12" customFormat="1" x14ac:dyDescent="0.25"/>
    <row r="203840" s="12" customFormat="1" x14ac:dyDescent="0.25"/>
    <row r="203841" s="12" customFormat="1" x14ac:dyDescent="0.25"/>
    <row r="203842" s="12" customFormat="1" x14ac:dyDescent="0.25"/>
    <row r="203843" s="12" customFormat="1" x14ac:dyDescent="0.25"/>
    <row r="203844" s="12" customFormat="1" x14ac:dyDescent="0.25"/>
    <row r="203845" s="12" customFormat="1" x14ac:dyDescent="0.25"/>
    <row r="203846" s="12" customFormat="1" x14ac:dyDescent="0.25"/>
    <row r="203847" s="12" customFormat="1" x14ac:dyDescent="0.25"/>
    <row r="203848" s="12" customFormat="1" x14ac:dyDescent="0.25"/>
    <row r="203849" s="12" customFormat="1" x14ac:dyDescent="0.25"/>
    <row r="203850" s="12" customFormat="1" x14ac:dyDescent="0.25"/>
    <row r="203851" s="12" customFormat="1" x14ac:dyDescent="0.25"/>
    <row r="203852" s="12" customFormat="1" x14ac:dyDescent="0.25"/>
    <row r="203853" s="12" customFormat="1" x14ac:dyDescent="0.25"/>
    <row r="203854" s="12" customFormat="1" x14ac:dyDescent="0.25"/>
    <row r="203855" s="12" customFormat="1" x14ac:dyDescent="0.25"/>
    <row r="203856" s="12" customFormat="1" x14ac:dyDescent="0.25"/>
    <row r="203857" s="12" customFormat="1" x14ac:dyDescent="0.25"/>
    <row r="203858" s="12" customFormat="1" x14ac:dyDescent="0.25"/>
    <row r="203859" s="12" customFormat="1" x14ac:dyDescent="0.25"/>
    <row r="203860" s="12" customFormat="1" x14ac:dyDescent="0.25"/>
    <row r="203861" s="12" customFormat="1" x14ac:dyDescent="0.25"/>
    <row r="203862" s="12" customFormat="1" x14ac:dyDescent="0.25"/>
    <row r="203863" s="12" customFormat="1" x14ac:dyDescent="0.25"/>
    <row r="203864" s="12" customFormat="1" x14ac:dyDescent="0.25"/>
    <row r="203865" s="12" customFormat="1" x14ac:dyDescent="0.25"/>
    <row r="203866" s="12" customFormat="1" x14ac:dyDescent="0.25"/>
    <row r="203867" s="12" customFormat="1" x14ac:dyDescent="0.25"/>
    <row r="203868" s="12" customFormat="1" x14ac:dyDescent="0.25"/>
    <row r="203869" s="12" customFormat="1" x14ac:dyDescent="0.25"/>
    <row r="203870" s="12" customFormat="1" x14ac:dyDescent="0.25"/>
    <row r="203871" s="12" customFormat="1" x14ac:dyDescent="0.25"/>
    <row r="203872" s="12" customFormat="1" x14ac:dyDescent="0.25"/>
    <row r="203873" s="12" customFormat="1" x14ac:dyDescent="0.25"/>
    <row r="203874" s="12" customFormat="1" x14ac:dyDescent="0.25"/>
    <row r="203875" s="12" customFormat="1" x14ac:dyDescent="0.25"/>
    <row r="203876" s="12" customFormat="1" x14ac:dyDescent="0.25"/>
    <row r="203877" s="12" customFormat="1" x14ac:dyDescent="0.25"/>
    <row r="203878" s="12" customFormat="1" x14ac:dyDescent="0.25"/>
    <row r="203879" s="12" customFormat="1" x14ac:dyDescent="0.25"/>
    <row r="203880" s="12" customFormat="1" x14ac:dyDescent="0.25"/>
    <row r="203881" s="12" customFormat="1" x14ac:dyDescent="0.25"/>
    <row r="203882" s="12" customFormat="1" x14ac:dyDescent="0.25"/>
    <row r="203883" s="12" customFormat="1" x14ac:dyDescent="0.25"/>
    <row r="203884" s="12" customFormat="1" x14ac:dyDescent="0.25"/>
    <row r="203885" s="12" customFormat="1" x14ac:dyDescent="0.25"/>
    <row r="203886" s="12" customFormat="1" x14ac:dyDescent="0.25"/>
    <row r="203887" s="12" customFormat="1" x14ac:dyDescent="0.25"/>
    <row r="203888" s="12" customFormat="1" x14ac:dyDescent="0.25"/>
    <row r="203889" s="12" customFormat="1" x14ac:dyDescent="0.25"/>
    <row r="203890" s="12" customFormat="1" x14ac:dyDescent="0.25"/>
    <row r="203891" s="12" customFormat="1" x14ac:dyDescent="0.25"/>
    <row r="203892" s="12" customFormat="1" x14ac:dyDescent="0.25"/>
    <row r="203893" s="12" customFormat="1" x14ac:dyDescent="0.25"/>
    <row r="203894" s="12" customFormat="1" x14ac:dyDescent="0.25"/>
    <row r="203895" s="12" customFormat="1" x14ac:dyDescent="0.25"/>
    <row r="203896" s="12" customFormat="1" x14ac:dyDescent="0.25"/>
    <row r="203897" s="12" customFormat="1" x14ac:dyDescent="0.25"/>
    <row r="203898" s="12" customFormat="1" x14ac:dyDescent="0.25"/>
    <row r="203899" s="12" customFormat="1" x14ac:dyDescent="0.25"/>
    <row r="203900" s="12" customFormat="1" x14ac:dyDescent="0.25"/>
    <row r="203901" s="12" customFormat="1" x14ac:dyDescent="0.25"/>
    <row r="203902" s="12" customFormat="1" x14ac:dyDescent="0.25"/>
    <row r="203903" s="12" customFormat="1" x14ac:dyDescent="0.25"/>
    <row r="203904" s="12" customFormat="1" x14ac:dyDescent="0.25"/>
    <row r="203905" s="12" customFormat="1" x14ac:dyDescent="0.25"/>
    <row r="203906" s="12" customFormat="1" x14ac:dyDescent="0.25"/>
    <row r="203907" s="12" customFormat="1" x14ac:dyDescent="0.25"/>
    <row r="203908" s="12" customFormat="1" x14ac:dyDescent="0.25"/>
    <row r="203909" s="12" customFormat="1" x14ac:dyDescent="0.25"/>
    <row r="203910" s="12" customFormat="1" x14ac:dyDescent="0.25"/>
    <row r="203911" s="12" customFormat="1" x14ac:dyDescent="0.25"/>
    <row r="203912" s="12" customFormat="1" x14ac:dyDescent="0.25"/>
    <row r="203913" s="12" customFormat="1" x14ac:dyDescent="0.25"/>
    <row r="203914" s="12" customFormat="1" x14ac:dyDescent="0.25"/>
    <row r="203915" s="12" customFormat="1" x14ac:dyDescent="0.25"/>
    <row r="203916" s="12" customFormat="1" x14ac:dyDescent="0.25"/>
    <row r="203917" s="12" customFormat="1" x14ac:dyDescent="0.25"/>
    <row r="203918" s="12" customFormat="1" x14ac:dyDescent="0.25"/>
    <row r="203919" s="12" customFormat="1" x14ac:dyDescent="0.25"/>
    <row r="203920" s="12" customFormat="1" x14ac:dyDescent="0.25"/>
    <row r="203921" s="12" customFormat="1" x14ac:dyDescent="0.25"/>
    <row r="203922" s="12" customFormat="1" x14ac:dyDescent="0.25"/>
    <row r="203923" s="12" customFormat="1" x14ac:dyDescent="0.25"/>
    <row r="203924" s="12" customFormat="1" x14ac:dyDescent="0.25"/>
    <row r="203925" s="12" customFormat="1" x14ac:dyDescent="0.25"/>
    <row r="203926" s="12" customFormat="1" x14ac:dyDescent="0.25"/>
    <row r="203927" s="12" customFormat="1" x14ac:dyDescent="0.25"/>
    <row r="203928" s="12" customFormat="1" x14ac:dyDescent="0.25"/>
    <row r="203929" s="12" customFormat="1" x14ac:dyDescent="0.25"/>
    <row r="203930" s="12" customFormat="1" x14ac:dyDescent="0.25"/>
    <row r="203931" s="12" customFormat="1" x14ac:dyDescent="0.25"/>
    <row r="203932" s="12" customFormat="1" x14ac:dyDescent="0.25"/>
    <row r="203933" s="12" customFormat="1" x14ac:dyDescent="0.25"/>
    <row r="203934" s="12" customFormat="1" x14ac:dyDescent="0.25"/>
    <row r="203935" s="12" customFormat="1" x14ac:dyDescent="0.25"/>
    <row r="203936" s="12" customFormat="1" x14ac:dyDescent="0.25"/>
    <row r="203937" s="12" customFormat="1" x14ac:dyDescent="0.25"/>
    <row r="203938" s="12" customFormat="1" x14ac:dyDescent="0.25"/>
    <row r="203939" s="12" customFormat="1" x14ac:dyDescent="0.25"/>
    <row r="203940" s="12" customFormat="1" x14ac:dyDescent="0.25"/>
    <row r="203941" s="12" customFormat="1" x14ac:dyDescent="0.25"/>
    <row r="203942" s="12" customFormat="1" x14ac:dyDescent="0.25"/>
    <row r="203943" s="12" customFormat="1" x14ac:dyDescent="0.25"/>
    <row r="203944" s="12" customFormat="1" x14ac:dyDescent="0.25"/>
    <row r="203945" s="12" customFormat="1" x14ac:dyDescent="0.25"/>
    <row r="203946" s="12" customFormat="1" x14ac:dyDescent="0.25"/>
    <row r="203947" s="12" customFormat="1" x14ac:dyDescent="0.25"/>
    <row r="203948" s="12" customFormat="1" x14ac:dyDescent="0.25"/>
    <row r="203949" s="12" customFormat="1" x14ac:dyDescent="0.25"/>
    <row r="203950" s="12" customFormat="1" x14ac:dyDescent="0.25"/>
    <row r="203951" s="12" customFormat="1" x14ac:dyDescent="0.25"/>
    <row r="203952" s="12" customFormat="1" x14ac:dyDescent="0.25"/>
    <row r="203953" s="12" customFormat="1" x14ac:dyDescent="0.25"/>
    <row r="203954" s="12" customFormat="1" x14ac:dyDescent="0.25"/>
    <row r="203955" s="12" customFormat="1" x14ac:dyDescent="0.25"/>
    <row r="203956" s="12" customFormat="1" x14ac:dyDescent="0.25"/>
    <row r="203957" s="12" customFormat="1" x14ac:dyDescent="0.25"/>
    <row r="203958" s="12" customFormat="1" x14ac:dyDescent="0.25"/>
    <row r="203959" s="12" customFormat="1" x14ac:dyDescent="0.25"/>
    <row r="203960" s="12" customFormat="1" x14ac:dyDescent="0.25"/>
    <row r="203961" s="12" customFormat="1" x14ac:dyDescent="0.25"/>
    <row r="203962" s="12" customFormat="1" x14ac:dyDescent="0.25"/>
    <row r="203963" s="12" customFormat="1" x14ac:dyDescent="0.25"/>
    <row r="203964" s="12" customFormat="1" x14ac:dyDescent="0.25"/>
    <row r="203965" s="12" customFormat="1" x14ac:dyDescent="0.25"/>
    <row r="203966" s="12" customFormat="1" x14ac:dyDescent="0.25"/>
    <row r="203967" s="12" customFormat="1" x14ac:dyDescent="0.25"/>
    <row r="203968" s="12" customFormat="1" x14ac:dyDescent="0.25"/>
    <row r="203969" s="12" customFormat="1" x14ac:dyDescent="0.25"/>
    <row r="203970" s="12" customFormat="1" x14ac:dyDescent="0.25"/>
    <row r="203971" s="12" customFormat="1" x14ac:dyDescent="0.25"/>
    <row r="203972" s="12" customFormat="1" x14ac:dyDescent="0.25"/>
    <row r="203973" s="12" customFormat="1" x14ac:dyDescent="0.25"/>
    <row r="203974" s="12" customFormat="1" x14ac:dyDescent="0.25"/>
    <row r="203975" s="12" customFormat="1" x14ac:dyDescent="0.25"/>
    <row r="203976" s="12" customFormat="1" x14ac:dyDescent="0.25"/>
    <row r="203977" s="12" customFormat="1" x14ac:dyDescent="0.25"/>
    <row r="203978" s="12" customFormat="1" x14ac:dyDescent="0.25"/>
    <row r="203979" s="12" customFormat="1" x14ac:dyDescent="0.25"/>
    <row r="203980" s="12" customFormat="1" x14ac:dyDescent="0.25"/>
    <row r="203981" s="12" customFormat="1" x14ac:dyDescent="0.25"/>
    <row r="203982" s="12" customFormat="1" x14ac:dyDescent="0.25"/>
    <row r="203983" s="12" customFormat="1" x14ac:dyDescent="0.25"/>
    <row r="203984" s="12" customFormat="1" x14ac:dyDescent="0.25"/>
    <row r="203985" s="12" customFormat="1" x14ac:dyDescent="0.25"/>
    <row r="203986" s="12" customFormat="1" x14ac:dyDescent="0.25"/>
    <row r="203987" s="12" customFormat="1" x14ac:dyDescent="0.25"/>
    <row r="203988" s="12" customFormat="1" x14ac:dyDescent="0.25"/>
    <row r="203989" s="12" customFormat="1" x14ac:dyDescent="0.25"/>
    <row r="203990" s="12" customFormat="1" x14ac:dyDescent="0.25"/>
    <row r="203991" s="12" customFormat="1" x14ac:dyDescent="0.25"/>
    <row r="203992" s="12" customFormat="1" x14ac:dyDescent="0.25"/>
    <row r="203993" s="12" customFormat="1" x14ac:dyDescent="0.25"/>
    <row r="203994" s="12" customFormat="1" x14ac:dyDescent="0.25"/>
    <row r="203995" s="12" customFormat="1" x14ac:dyDescent="0.25"/>
    <row r="203996" s="12" customFormat="1" x14ac:dyDescent="0.25"/>
    <row r="203997" s="12" customFormat="1" x14ac:dyDescent="0.25"/>
    <row r="203998" s="12" customFormat="1" x14ac:dyDescent="0.25"/>
    <row r="203999" s="12" customFormat="1" x14ac:dyDescent="0.25"/>
    <row r="204000" s="12" customFormat="1" x14ac:dyDescent="0.25"/>
    <row r="204001" s="12" customFormat="1" x14ac:dyDescent="0.25"/>
    <row r="204002" s="12" customFormat="1" x14ac:dyDescent="0.25"/>
    <row r="204003" s="12" customFormat="1" x14ac:dyDescent="0.25"/>
    <row r="204004" s="12" customFormat="1" x14ac:dyDescent="0.25"/>
    <row r="204005" s="12" customFormat="1" x14ac:dyDescent="0.25"/>
    <row r="204006" s="12" customFormat="1" x14ac:dyDescent="0.25"/>
    <row r="204007" s="12" customFormat="1" x14ac:dyDescent="0.25"/>
    <row r="204008" s="12" customFormat="1" x14ac:dyDescent="0.25"/>
    <row r="204009" s="12" customFormat="1" x14ac:dyDescent="0.25"/>
    <row r="204010" s="12" customFormat="1" x14ac:dyDescent="0.25"/>
    <row r="204011" s="12" customFormat="1" x14ac:dyDescent="0.25"/>
    <row r="204012" s="12" customFormat="1" x14ac:dyDescent="0.25"/>
    <row r="204013" s="12" customFormat="1" x14ac:dyDescent="0.25"/>
    <row r="204014" s="12" customFormat="1" x14ac:dyDescent="0.25"/>
    <row r="204015" s="12" customFormat="1" x14ac:dyDescent="0.25"/>
    <row r="204016" s="12" customFormat="1" x14ac:dyDescent="0.25"/>
    <row r="204017" s="12" customFormat="1" x14ac:dyDescent="0.25"/>
    <row r="204018" s="12" customFormat="1" x14ac:dyDescent="0.25"/>
    <row r="204019" s="12" customFormat="1" x14ac:dyDescent="0.25"/>
    <row r="204020" s="12" customFormat="1" x14ac:dyDescent="0.25"/>
    <row r="204021" s="12" customFormat="1" x14ac:dyDescent="0.25"/>
    <row r="204022" s="12" customFormat="1" x14ac:dyDescent="0.25"/>
    <row r="204023" s="12" customFormat="1" x14ac:dyDescent="0.25"/>
    <row r="204024" s="12" customFormat="1" x14ac:dyDescent="0.25"/>
    <row r="204025" s="12" customFormat="1" x14ac:dyDescent="0.25"/>
    <row r="204026" s="12" customFormat="1" x14ac:dyDescent="0.25"/>
    <row r="204027" s="12" customFormat="1" x14ac:dyDescent="0.25"/>
    <row r="204028" s="12" customFormat="1" x14ac:dyDescent="0.25"/>
    <row r="204029" s="12" customFormat="1" x14ac:dyDescent="0.25"/>
    <row r="204030" s="12" customFormat="1" x14ac:dyDescent="0.25"/>
    <row r="204031" s="12" customFormat="1" x14ac:dyDescent="0.25"/>
    <row r="204032" s="12" customFormat="1" x14ac:dyDescent="0.25"/>
    <row r="204033" s="12" customFormat="1" x14ac:dyDescent="0.25"/>
    <row r="204034" s="12" customFormat="1" x14ac:dyDescent="0.25"/>
    <row r="204035" s="12" customFormat="1" x14ac:dyDescent="0.25"/>
    <row r="204036" s="12" customFormat="1" x14ac:dyDescent="0.25"/>
    <row r="204037" s="12" customFormat="1" x14ac:dyDescent="0.25"/>
    <row r="204038" s="12" customFormat="1" x14ac:dyDescent="0.25"/>
    <row r="204039" s="12" customFormat="1" x14ac:dyDescent="0.25"/>
    <row r="204040" s="12" customFormat="1" x14ac:dyDescent="0.25"/>
    <row r="204041" s="12" customFormat="1" x14ac:dyDescent="0.25"/>
    <row r="204042" s="12" customFormat="1" x14ac:dyDescent="0.25"/>
    <row r="204043" s="12" customFormat="1" x14ac:dyDescent="0.25"/>
    <row r="204044" s="12" customFormat="1" x14ac:dyDescent="0.25"/>
    <row r="204045" s="12" customFormat="1" x14ac:dyDescent="0.25"/>
    <row r="204046" s="12" customFormat="1" x14ac:dyDescent="0.25"/>
    <row r="204047" s="12" customFormat="1" x14ac:dyDescent="0.25"/>
    <row r="204048" s="12" customFormat="1" x14ac:dyDescent="0.25"/>
    <row r="204049" s="12" customFormat="1" x14ac:dyDescent="0.25"/>
    <row r="204050" s="12" customFormat="1" x14ac:dyDescent="0.25"/>
    <row r="204051" s="12" customFormat="1" x14ac:dyDescent="0.25"/>
    <row r="204052" s="12" customFormat="1" x14ac:dyDescent="0.25"/>
    <row r="204053" s="12" customFormat="1" x14ac:dyDescent="0.25"/>
    <row r="204054" s="12" customFormat="1" x14ac:dyDescent="0.25"/>
    <row r="204055" s="12" customFormat="1" x14ac:dyDescent="0.25"/>
    <row r="204056" s="12" customFormat="1" x14ac:dyDescent="0.25"/>
    <row r="204057" s="12" customFormat="1" x14ac:dyDescent="0.25"/>
    <row r="204058" s="12" customFormat="1" x14ac:dyDescent="0.25"/>
    <row r="204059" s="12" customFormat="1" x14ac:dyDescent="0.25"/>
    <row r="204060" s="12" customFormat="1" x14ac:dyDescent="0.25"/>
    <row r="204061" s="12" customFormat="1" x14ac:dyDescent="0.25"/>
    <row r="204062" s="12" customFormat="1" x14ac:dyDescent="0.25"/>
    <row r="204063" s="12" customFormat="1" x14ac:dyDescent="0.25"/>
    <row r="204064" s="12" customFormat="1" x14ac:dyDescent="0.25"/>
    <row r="204065" s="12" customFormat="1" x14ac:dyDescent="0.25"/>
    <row r="204066" s="12" customFormat="1" x14ac:dyDescent="0.25"/>
    <row r="204067" s="12" customFormat="1" x14ac:dyDescent="0.25"/>
    <row r="204068" s="12" customFormat="1" x14ac:dyDescent="0.25"/>
    <row r="204069" s="12" customFormat="1" x14ac:dyDescent="0.25"/>
    <row r="204070" s="12" customFormat="1" x14ac:dyDescent="0.25"/>
    <row r="204071" s="12" customFormat="1" x14ac:dyDescent="0.25"/>
    <row r="204072" s="12" customFormat="1" x14ac:dyDescent="0.25"/>
    <row r="204073" s="12" customFormat="1" x14ac:dyDescent="0.25"/>
    <row r="204074" s="12" customFormat="1" x14ac:dyDescent="0.25"/>
    <row r="204075" s="12" customFormat="1" x14ac:dyDescent="0.25"/>
    <row r="204076" s="12" customFormat="1" x14ac:dyDescent="0.25"/>
    <row r="204077" s="12" customFormat="1" x14ac:dyDescent="0.25"/>
    <row r="204078" s="12" customFormat="1" x14ac:dyDescent="0.25"/>
    <row r="204079" s="12" customFormat="1" x14ac:dyDescent="0.25"/>
    <row r="204080" s="12" customFormat="1" x14ac:dyDescent="0.25"/>
    <row r="204081" s="12" customFormat="1" x14ac:dyDescent="0.25"/>
    <row r="204082" s="12" customFormat="1" x14ac:dyDescent="0.25"/>
    <row r="204083" s="12" customFormat="1" x14ac:dyDescent="0.25"/>
    <row r="204084" s="12" customFormat="1" x14ac:dyDescent="0.25"/>
    <row r="204085" s="12" customFormat="1" x14ac:dyDescent="0.25"/>
    <row r="204086" s="12" customFormat="1" x14ac:dyDescent="0.25"/>
    <row r="204087" s="12" customFormat="1" x14ac:dyDescent="0.25"/>
    <row r="204088" s="12" customFormat="1" x14ac:dyDescent="0.25"/>
    <row r="204089" s="12" customFormat="1" x14ac:dyDescent="0.25"/>
    <row r="204090" s="12" customFormat="1" x14ac:dyDescent="0.25"/>
    <row r="204091" s="12" customFormat="1" x14ac:dyDescent="0.25"/>
    <row r="204092" s="12" customFormat="1" x14ac:dyDescent="0.25"/>
    <row r="204093" s="12" customFormat="1" x14ac:dyDescent="0.25"/>
    <row r="204094" s="12" customFormat="1" x14ac:dyDescent="0.25"/>
    <row r="204095" s="12" customFormat="1" x14ac:dyDescent="0.25"/>
    <row r="204096" s="12" customFormat="1" x14ac:dyDescent="0.25"/>
    <row r="204097" s="12" customFormat="1" x14ac:dyDescent="0.25"/>
    <row r="204098" s="12" customFormat="1" x14ac:dyDescent="0.25"/>
    <row r="204099" s="12" customFormat="1" x14ac:dyDescent="0.25"/>
    <row r="204100" s="12" customFormat="1" x14ac:dyDescent="0.25"/>
    <row r="204101" s="12" customFormat="1" x14ac:dyDescent="0.25"/>
    <row r="204102" s="12" customFormat="1" x14ac:dyDescent="0.25"/>
    <row r="204103" s="12" customFormat="1" x14ac:dyDescent="0.25"/>
    <row r="204104" s="12" customFormat="1" x14ac:dyDescent="0.25"/>
    <row r="204105" s="12" customFormat="1" x14ac:dyDescent="0.25"/>
    <row r="204106" s="12" customFormat="1" x14ac:dyDescent="0.25"/>
    <row r="204107" s="12" customFormat="1" x14ac:dyDescent="0.25"/>
    <row r="204108" s="12" customFormat="1" x14ac:dyDescent="0.25"/>
    <row r="204109" s="12" customFormat="1" x14ac:dyDescent="0.25"/>
    <row r="204110" s="12" customFormat="1" x14ac:dyDescent="0.25"/>
    <row r="204111" s="12" customFormat="1" x14ac:dyDescent="0.25"/>
    <row r="204112" s="12" customFormat="1" x14ac:dyDescent="0.25"/>
    <row r="204113" s="12" customFormat="1" x14ac:dyDescent="0.25"/>
    <row r="204114" s="12" customFormat="1" x14ac:dyDescent="0.25"/>
    <row r="204115" s="12" customFormat="1" x14ac:dyDescent="0.25"/>
    <row r="204116" s="12" customFormat="1" x14ac:dyDescent="0.25"/>
    <row r="204117" s="12" customFormat="1" x14ac:dyDescent="0.25"/>
    <row r="204118" s="12" customFormat="1" x14ac:dyDescent="0.25"/>
    <row r="204119" s="12" customFormat="1" x14ac:dyDescent="0.25"/>
    <row r="204120" s="12" customFormat="1" x14ac:dyDescent="0.25"/>
    <row r="204121" s="12" customFormat="1" x14ac:dyDescent="0.25"/>
    <row r="204122" s="12" customFormat="1" x14ac:dyDescent="0.25"/>
    <row r="204123" s="12" customFormat="1" x14ac:dyDescent="0.25"/>
    <row r="204124" s="12" customFormat="1" x14ac:dyDescent="0.25"/>
    <row r="204125" s="12" customFormat="1" x14ac:dyDescent="0.25"/>
    <row r="204126" s="12" customFormat="1" x14ac:dyDescent="0.25"/>
    <row r="204127" s="12" customFormat="1" x14ac:dyDescent="0.25"/>
    <row r="204128" s="12" customFormat="1" x14ac:dyDescent="0.25"/>
    <row r="204129" s="12" customFormat="1" x14ac:dyDescent="0.25"/>
    <row r="204130" s="12" customFormat="1" x14ac:dyDescent="0.25"/>
    <row r="204131" s="12" customFormat="1" x14ac:dyDescent="0.25"/>
    <row r="204132" s="12" customFormat="1" x14ac:dyDescent="0.25"/>
    <row r="204133" s="12" customFormat="1" x14ac:dyDescent="0.25"/>
    <row r="204134" s="12" customFormat="1" x14ac:dyDescent="0.25"/>
    <row r="204135" s="12" customFormat="1" x14ac:dyDescent="0.25"/>
    <row r="204136" s="12" customFormat="1" x14ac:dyDescent="0.25"/>
    <row r="204137" s="12" customFormat="1" x14ac:dyDescent="0.25"/>
    <row r="204138" s="12" customFormat="1" x14ac:dyDescent="0.25"/>
    <row r="204139" s="12" customFormat="1" x14ac:dyDescent="0.25"/>
    <row r="204140" s="12" customFormat="1" x14ac:dyDescent="0.25"/>
    <row r="204141" s="12" customFormat="1" x14ac:dyDescent="0.25"/>
    <row r="204142" s="12" customFormat="1" x14ac:dyDescent="0.25"/>
    <row r="204143" s="12" customFormat="1" x14ac:dyDescent="0.25"/>
    <row r="204144" s="12" customFormat="1" x14ac:dyDescent="0.25"/>
    <row r="204145" s="12" customFormat="1" x14ac:dyDescent="0.25"/>
    <row r="204146" s="12" customFormat="1" x14ac:dyDescent="0.25"/>
    <row r="204147" s="12" customFormat="1" x14ac:dyDescent="0.25"/>
    <row r="204148" s="12" customFormat="1" x14ac:dyDescent="0.25"/>
    <row r="204149" s="12" customFormat="1" x14ac:dyDescent="0.25"/>
    <row r="204150" s="12" customFormat="1" x14ac:dyDescent="0.25"/>
    <row r="204151" s="12" customFormat="1" x14ac:dyDescent="0.25"/>
    <row r="204152" s="12" customFormat="1" x14ac:dyDescent="0.25"/>
    <row r="204153" s="12" customFormat="1" x14ac:dyDescent="0.25"/>
    <row r="204154" s="12" customFormat="1" x14ac:dyDescent="0.25"/>
    <row r="204155" s="12" customFormat="1" x14ac:dyDescent="0.25"/>
    <row r="204156" s="12" customFormat="1" x14ac:dyDescent="0.25"/>
    <row r="204157" s="12" customFormat="1" x14ac:dyDescent="0.25"/>
    <row r="204158" s="12" customFormat="1" x14ac:dyDescent="0.25"/>
    <row r="204159" s="12" customFormat="1" x14ac:dyDescent="0.25"/>
    <row r="204160" s="12" customFormat="1" x14ac:dyDescent="0.25"/>
    <row r="204161" s="12" customFormat="1" x14ac:dyDescent="0.25"/>
    <row r="204162" s="12" customFormat="1" x14ac:dyDescent="0.25"/>
    <row r="204163" s="12" customFormat="1" x14ac:dyDescent="0.25"/>
    <row r="204164" s="12" customFormat="1" x14ac:dyDescent="0.25"/>
    <row r="204165" s="12" customFormat="1" x14ac:dyDescent="0.25"/>
    <row r="204166" s="12" customFormat="1" x14ac:dyDescent="0.25"/>
    <row r="204167" s="12" customFormat="1" x14ac:dyDescent="0.25"/>
    <row r="204168" s="12" customFormat="1" x14ac:dyDescent="0.25"/>
    <row r="204169" s="12" customFormat="1" x14ac:dyDescent="0.25"/>
    <row r="204170" s="12" customFormat="1" x14ac:dyDescent="0.25"/>
    <row r="204171" s="12" customFormat="1" x14ac:dyDescent="0.25"/>
    <row r="204172" s="12" customFormat="1" x14ac:dyDescent="0.25"/>
    <row r="204173" s="12" customFormat="1" x14ac:dyDescent="0.25"/>
    <row r="204174" s="12" customFormat="1" x14ac:dyDescent="0.25"/>
    <row r="204175" s="12" customFormat="1" x14ac:dyDescent="0.25"/>
    <row r="204176" s="12" customFormat="1" x14ac:dyDescent="0.25"/>
    <row r="204177" s="12" customFormat="1" x14ac:dyDescent="0.25"/>
    <row r="204178" s="12" customFormat="1" x14ac:dyDescent="0.25"/>
    <row r="204179" s="12" customFormat="1" x14ac:dyDescent="0.25"/>
    <row r="204180" s="12" customFormat="1" x14ac:dyDescent="0.25"/>
    <row r="204181" s="12" customFormat="1" x14ac:dyDescent="0.25"/>
    <row r="204182" s="12" customFormat="1" x14ac:dyDescent="0.25"/>
    <row r="204183" s="12" customFormat="1" x14ac:dyDescent="0.25"/>
    <row r="204184" s="12" customFormat="1" x14ac:dyDescent="0.25"/>
    <row r="204185" s="12" customFormat="1" x14ac:dyDescent="0.25"/>
    <row r="204186" s="12" customFormat="1" x14ac:dyDescent="0.25"/>
    <row r="204187" s="12" customFormat="1" x14ac:dyDescent="0.25"/>
    <row r="204188" s="12" customFormat="1" x14ac:dyDescent="0.25"/>
    <row r="204189" s="12" customFormat="1" x14ac:dyDescent="0.25"/>
    <row r="204190" s="12" customFormat="1" x14ac:dyDescent="0.25"/>
    <row r="204191" s="12" customFormat="1" x14ac:dyDescent="0.25"/>
    <row r="204192" s="12" customFormat="1" x14ac:dyDescent="0.25"/>
    <row r="204193" s="12" customFormat="1" x14ac:dyDescent="0.25"/>
    <row r="204194" s="12" customFormat="1" x14ac:dyDescent="0.25"/>
    <row r="204195" s="12" customFormat="1" x14ac:dyDescent="0.25"/>
    <row r="204196" s="12" customFormat="1" x14ac:dyDescent="0.25"/>
    <row r="204197" s="12" customFormat="1" x14ac:dyDescent="0.25"/>
    <row r="204198" s="12" customFormat="1" x14ac:dyDescent="0.25"/>
    <row r="204199" s="12" customFormat="1" x14ac:dyDescent="0.25"/>
    <row r="204200" s="12" customFormat="1" x14ac:dyDescent="0.25"/>
    <row r="204201" s="12" customFormat="1" x14ac:dyDescent="0.25"/>
    <row r="204202" s="12" customFormat="1" x14ac:dyDescent="0.25"/>
    <row r="204203" s="12" customFormat="1" x14ac:dyDescent="0.25"/>
    <row r="204204" s="12" customFormat="1" x14ac:dyDescent="0.25"/>
    <row r="204205" s="12" customFormat="1" x14ac:dyDescent="0.25"/>
    <row r="204206" s="12" customFormat="1" x14ac:dyDescent="0.25"/>
    <row r="204207" s="12" customFormat="1" x14ac:dyDescent="0.25"/>
    <row r="204208" s="12" customFormat="1" x14ac:dyDescent="0.25"/>
    <row r="204209" s="12" customFormat="1" x14ac:dyDescent="0.25"/>
    <row r="204210" s="12" customFormat="1" x14ac:dyDescent="0.25"/>
    <row r="204211" s="12" customFormat="1" x14ac:dyDescent="0.25"/>
    <row r="204212" s="12" customFormat="1" x14ac:dyDescent="0.25"/>
    <row r="204213" s="12" customFormat="1" x14ac:dyDescent="0.25"/>
    <row r="204214" s="12" customFormat="1" x14ac:dyDescent="0.25"/>
    <row r="204215" s="12" customFormat="1" x14ac:dyDescent="0.25"/>
    <row r="204216" s="12" customFormat="1" x14ac:dyDescent="0.25"/>
    <row r="204217" s="12" customFormat="1" x14ac:dyDescent="0.25"/>
    <row r="204218" s="12" customFormat="1" x14ac:dyDescent="0.25"/>
    <row r="204219" s="12" customFormat="1" x14ac:dyDescent="0.25"/>
    <row r="204220" s="12" customFormat="1" x14ac:dyDescent="0.25"/>
    <row r="204221" s="12" customFormat="1" x14ac:dyDescent="0.25"/>
    <row r="204222" s="12" customFormat="1" x14ac:dyDescent="0.25"/>
    <row r="204223" s="12" customFormat="1" x14ac:dyDescent="0.25"/>
    <row r="204224" s="12" customFormat="1" x14ac:dyDescent="0.25"/>
    <row r="204225" s="12" customFormat="1" x14ac:dyDescent="0.25"/>
    <row r="204226" s="12" customFormat="1" x14ac:dyDescent="0.25"/>
    <row r="204227" s="12" customFormat="1" x14ac:dyDescent="0.25"/>
    <row r="204228" s="12" customFormat="1" x14ac:dyDescent="0.25"/>
    <row r="204229" s="12" customFormat="1" x14ac:dyDescent="0.25"/>
    <row r="204230" s="12" customFormat="1" x14ac:dyDescent="0.25"/>
    <row r="204231" s="12" customFormat="1" x14ac:dyDescent="0.25"/>
    <row r="204232" s="12" customFormat="1" x14ac:dyDescent="0.25"/>
    <row r="204233" s="12" customFormat="1" x14ac:dyDescent="0.25"/>
    <row r="204234" s="12" customFormat="1" x14ac:dyDescent="0.25"/>
    <row r="204235" s="12" customFormat="1" x14ac:dyDescent="0.25"/>
    <row r="204236" s="12" customFormat="1" x14ac:dyDescent="0.25"/>
    <row r="204237" s="12" customFormat="1" x14ac:dyDescent="0.25"/>
    <row r="204238" s="12" customFormat="1" x14ac:dyDescent="0.25"/>
    <row r="204239" s="12" customFormat="1" x14ac:dyDescent="0.25"/>
    <row r="204240" s="12" customFormat="1" x14ac:dyDescent="0.25"/>
    <row r="204241" s="12" customFormat="1" x14ac:dyDescent="0.25"/>
    <row r="204242" s="12" customFormat="1" x14ac:dyDescent="0.25"/>
    <row r="204243" s="12" customFormat="1" x14ac:dyDescent="0.25"/>
    <row r="204244" s="12" customFormat="1" x14ac:dyDescent="0.25"/>
    <row r="204245" s="12" customFormat="1" x14ac:dyDescent="0.25"/>
    <row r="204246" s="12" customFormat="1" x14ac:dyDescent="0.25"/>
    <row r="204247" s="12" customFormat="1" x14ac:dyDescent="0.25"/>
    <row r="204248" s="12" customFormat="1" x14ac:dyDescent="0.25"/>
    <row r="204249" s="12" customFormat="1" x14ac:dyDescent="0.25"/>
    <row r="204250" s="12" customFormat="1" x14ac:dyDescent="0.25"/>
    <row r="204251" s="12" customFormat="1" x14ac:dyDescent="0.25"/>
    <row r="204252" s="12" customFormat="1" x14ac:dyDescent="0.25"/>
    <row r="204253" s="12" customFormat="1" x14ac:dyDescent="0.25"/>
    <row r="204254" s="12" customFormat="1" x14ac:dyDescent="0.25"/>
    <row r="204255" s="12" customFormat="1" x14ac:dyDescent="0.25"/>
    <row r="204256" s="12" customFormat="1" x14ac:dyDescent="0.25"/>
    <row r="204257" s="12" customFormat="1" x14ac:dyDescent="0.25"/>
    <row r="204258" s="12" customFormat="1" x14ac:dyDescent="0.25"/>
    <row r="204259" s="12" customFormat="1" x14ac:dyDescent="0.25"/>
    <row r="204260" s="12" customFormat="1" x14ac:dyDescent="0.25"/>
    <row r="204261" s="12" customFormat="1" x14ac:dyDescent="0.25"/>
    <row r="204262" s="12" customFormat="1" x14ac:dyDescent="0.25"/>
    <row r="204263" s="12" customFormat="1" x14ac:dyDescent="0.25"/>
    <row r="204264" s="12" customFormat="1" x14ac:dyDescent="0.25"/>
    <row r="204265" s="12" customFormat="1" x14ac:dyDescent="0.25"/>
    <row r="204266" s="12" customFormat="1" x14ac:dyDescent="0.25"/>
    <row r="204267" s="12" customFormat="1" x14ac:dyDescent="0.25"/>
    <row r="204268" s="12" customFormat="1" x14ac:dyDescent="0.25"/>
    <row r="204269" s="12" customFormat="1" x14ac:dyDescent="0.25"/>
    <row r="204270" s="12" customFormat="1" x14ac:dyDescent="0.25"/>
    <row r="204271" s="12" customFormat="1" x14ac:dyDescent="0.25"/>
    <row r="204272" s="12" customFormat="1" x14ac:dyDescent="0.25"/>
    <row r="204273" s="12" customFormat="1" x14ac:dyDescent="0.25"/>
    <row r="204274" s="12" customFormat="1" x14ac:dyDescent="0.25"/>
    <row r="204275" s="12" customFormat="1" x14ac:dyDescent="0.25"/>
    <row r="204276" s="12" customFormat="1" x14ac:dyDescent="0.25"/>
    <row r="204277" s="12" customFormat="1" x14ac:dyDescent="0.25"/>
    <row r="204278" s="12" customFormat="1" x14ac:dyDescent="0.25"/>
    <row r="204279" s="12" customFormat="1" x14ac:dyDescent="0.25"/>
    <row r="204280" s="12" customFormat="1" x14ac:dyDescent="0.25"/>
    <row r="204281" s="12" customFormat="1" x14ac:dyDescent="0.25"/>
    <row r="204282" s="12" customFormat="1" x14ac:dyDescent="0.25"/>
    <row r="204283" s="12" customFormat="1" x14ac:dyDescent="0.25"/>
    <row r="204284" s="12" customFormat="1" x14ac:dyDescent="0.25"/>
    <row r="204285" s="12" customFormat="1" x14ac:dyDescent="0.25"/>
    <row r="204286" s="12" customFormat="1" x14ac:dyDescent="0.25"/>
    <row r="204287" s="12" customFormat="1" x14ac:dyDescent="0.25"/>
    <row r="204288" s="12" customFormat="1" x14ac:dyDescent="0.25"/>
    <row r="204289" s="12" customFormat="1" x14ac:dyDescent="0.25"/>
    <row r="204290" s="12" customFormat="1" x14ac:dyDescent="0.25"/>
    <row r="204291" s="12" customFormat="1" x14ac:dyDescent="0.25"/>
    <row r="204292" s="12" customFormat="1" x14ac:dyDescent="0.25"/>
    <row r="204293" s="12" customFormat="1" x14ac:dyDescent="0.25"/>
    <row r="204294" s="12" customFormat="1" x14ac:dyDescent="0.25"/>
    <row r="204295" s="12" customFormat="1" x14ac:dyDescent="0.25"/>
    <row r="204296" s="12" customFormat="1" x14ac:dyDescent="0.25"/>
    <row r="204297" s="12" customFormat="1" x14ac:dyDescent="0.25"/>
    <row r="204298" s="12" customFormat="1" x14ac:dyDescent="0.25"/>
    <row r="204299" s="12" customFormat="1" x14ac:dyDescent="0.25"/>
    <row r="204300" s="12" customFormat="1" x14ac:dyDescent="0.25"/>
    <row r="204301" s="12" customFormat="1" x14ac:dyDescent="0.25"/>
    <row r="204302" s="12" customFormat="1" x14ac:dyDescent="0.25"/>
    <row r="204303" s="12" customFormat="1" x14ac:dyDescent="0.25"/>
    <row r="204304" s="12" customFormat="1" x14ac:dyDescent="0.25"/>
    <row r="204305" s="12" customFormat="1" x14ac:dyDescent="0.25"/>
    <row r="204306" s="12" customFormat="1" x14ac:dyDescent="0.25"/>
    <row r="204307" s="12" customFormat="1" x14ac:dyDescent="0.25"/>
    <row r="204308" s="12" customFormat="1" x14ac:dyDescent="0.25"/>
    <row r="204309" s="12" customFormat="1" x14ac:dyDescent="0.25"/>
    <row r="204310" s="12" customFormat="1" x14ac:dyDescent="0.25"/>
    <row r="204311" s="12" customFormat="1" x14ac:dyDescent="0.25"/>
    <row r="204312" s="12" customFormat="1" x14ac:dyDescent="0.25"/>
    <row r="204313" s="12" customFormat="1" x14ac:dyDescent="0.25"/>
    <row r="204314" s="12" customFormat="1" x14ac:dyDescent="0.25"/>
    <row r="204315" s="12" customFormat="1" x14ac:dyDescent="0.25"/>
    <row r="204316" s="12" customFormat="1" x14ac:dyDescent="0.25"/>
    <row r="204317" s="12" customFormat="1" x14ac:dyDescent="0.25"/>
    <row r="204318" s="12" customFormat="1" x14ac:dyDescent="0.25"/>
    <row r="204319" s="12" customFormat="1" x14ac:dyDescent="0.25"/>
    <row r="204320" s="12" customFormat="1" x14ac:dyDescent="0.25"/>
    <row r="204321" s="12" customFormat="1" x14ac:dyDescent="0.25"/>
    <row r="204322" s="12" customFormat="1" x14ac:dyDescent="0.25"/>
    <row r="204323" s="12" customFormat="1" x14ac:dyDescent="0.25"/>
    <row r="204324" s="12" customFormat="1" x14ac:dyDescent="0.25"/>
    <row r="204325" s="12" customFormat="1" x14ac:dyDescent="0.25"/>
    <row r="204326" s="12" customFormat="1" x14ac:dyDescent="0.25"/>
    <row r="204327" s="12" customFormat="1" x14ac:dyDescent="0.25"/>
    <row r="204328" s="12" customFormat="1" x14ac:dyDescent="0.25"/>
    <row r="204329" s="12" customFormat="1" x14ac:dyDescent="0.25"/>
    <row r="204330" s="12" customFormat="1" x14ac:dyDescent="0.25"/>
    <row r="204331" s="12" customFormat="1" x14ac:dyDescent="0.25"/>
    <row r="204332" s="12" customFormat="1" x14ac:dyDescent="0.25"/>
    <row r="204333" s="12" customFormat="1" x14ac:dyDescent="0.25"/>
    <row r="204334" s="12" customFormat="1" x14ac:dyDescent="0.25"/>
    <row r="204335" s="12" customFormat="1" x14ac:dyDescent="0.25"/>
    <row r="204336" s="12" customFormat="1" x14ac:dyDescent="0.25"/>
    <row r="204337" s="12" customFormat="1" x14ac:dyDescent="0.25"/>
    <row r="204338" s="12" customFormat="1" x14ac:dyDescent="0.25"/>
    <row r="204339" s="12" customFormat="1" x14ac:dyDescent="0.25"/>
    <row r="204340" s="12" customFormat="1" x14ac:dyDescent="0.25"/>
    <row r="204341" s="12" customFormat="1" x14ac:dyDescent="0.25"/>
    <row r="204342" s="12" customFormat="1" x14ac:dyDescent="0.25"/>
    <row r="204343" s="12" customFormat="1" x14ac:dyDescent="0.25"/>
    <row r="204344" s="12" customFormat="1" x14ac:dyDescent="0.25"/>
    <row r="204345" s="12" customFormat="1" x14ac:dyDescent="0.25"/>
    <row r="204346" s="12" customFormat="1" x14ac:dyDescent="0.25"/>
    <row r="204347" s="12" customFormat="1" x14ac:dyDescent="0.25"/>
    <row r="204348" s="12" customFormat="1" x14ac:dyDescent="0.25"/>
    <row r="204349" s="12" customFormat="1" x14ac:dyDescent="0.25"/>
    <row r="204350" s="12" customFormat="1" x14ac:dyDescent="0.25"/>
    <row r="204351" s="12" customFormat="1" x14ac:dyDescent="0.25"/>
    <row r="204352" s="12" customFormat="1" x14ac:dyDescent="0.25"/>
    <row r="204353" s="12" customFormat="1" x14ac:dyDescent="0.25"/>
    <row r="204354" s="12" customFormat="1" x14ac:dyDescent="0.25"/>
    <row r="204355" s="12" customFormat="1" x14ac:dyDescent="0.25"/>
    <row r="204356" s="12" customFormat="1" x14ac:dyDescent="0.25"/>
    <row r="204357" s="12" customFormat="1" x14ac:dyDescent="0.25"/>
    <row r="204358" s="12" customFormat="1" x14ac:dyDescent="0.25"/>
    <row r="204359" s="12" customFormat="1" x14ac:dyDescent="0.25"/>
    <row r="204360" s="12" customFormat="1" x14ac:dyDescent="0.25"/>
    <row r="204361" s="12" customFormat="1" x14ac:dyDescent="0.25"/>
    <row r="204362" s="12" customFormat="1" x14ac:dyDescent="0.25"/>
    <row r="204363" s="12" customFormat="1" x14ac:dyDescent="0.25"/>
    <row r="204364" s="12" customFormat="1" x14ac:dyDescent="0.25"/>
    <row r="204365" s="12" customFormat="1" x14ac:dyDescent="0.25"/>
    <row r="204366" s="12" customFormat="1" x14ac:dyDescent="0.25"/>
    <row r="204367" s="12" customFormat="1" x14ac:dyDescent="0.25"/>
    <row r="204368" s="12" customFormat="1" x14ac:dyDescent="0.25"/>
    <row r="204369" s="12" customFormat="1" x14ac:dyDescent="0.25"/>
    <row r="204370" s="12" customFormat="1" x14ac:dyDescent="0.25"/>
    <row r="204371" s="12" customFormat="1" x14ac:dyDescent="0.25"/>
    <row r="204372" s="12" customFormat="1" x14ac:dyDescent="0.25"/>
    <row r="204373" s="12" customFormat="1" x14ac:dyDescent="0.25"/>
    <row r="204374" s="12" customFormat="1" x14ac:dyDescent="0.25"/>
    <row r="204375" s="12" customFormat="1" x14ac:dyDescent="0.25"/>
    <row r="204376" s="12" customFormat="1" x14ac:dyDescent="0.25"/>
    <row r="204377" s="12" customFormat="1" x14ac:dyDescent="0.25"/>
    <row r="204378" s="12" customFormat="1" x14ac:dyDescent="0.25"/>
    <row r="204379" s="12" customFormat="1" x14ac:dyDescent="0.25"/>
    <row r="204380" s="12" customFormat="1" x14ac:dyDescent="0.25"/>
    <row r="204381" s="12" customFormat="1" x14ac:dyDescent="0.25"/>
    <row r="204382" s="12" customFormat="1" x14ac:dyDescent="0.25"/>
    <row r="204383" s="12" customFormat="1" x14ac:dyDescent="0.25"/>
    <row r="204384" s="12" customFormat="1" x14ac:dyDescent="0.25"/>
    <row r="204385" s="12" customFormat="1" x14ac:dyDescent="0.25"/>
    <row r="204386" s="12" customFormat="1" x14ac:dyDescent="0.25"/>
    <row r="204387" s="12" customFormat="1" x14ac:dyDescent="0.25"/>
    <row r="204388" s="12" customFormat="1" x14ac:dyDescent="0.25"/>
    <row r="204389" s="12" customFormat="1" x14ac:dyDescent="0.25"/>
    <row r="204390" s="12" customFormat="1" x14ac:dyDescent="0.25"/>
    <row r="204391" s="12" customFormat="1" x14ac:dyDescent="0.25"/>
    <row r="204392" s="12" customFormat="1" x14ac:dyDescent="0.25"/>
    <row r="204393" s="12" customFormat="1" x14ac:dyDescent="0.25"/>
    <row r="204394" s="12" customFormat="1" x14ac:dyDescent="0.25"/>
    <row r="204395" s="12" customFormat="1" x14ac:dyDescent="0.25"/>
    <row r="204396" s="12" customFormat="1" x14ac:dyDescent="0.25"/>
    <row r="204397" s="12" customFormat="1" x14ac:dyDescent="0.25"/>
    <row r="204398" s="12" customFormat="1" x14ac:dyDescent="0.25"/>
    <row r="204399" s="12" customFormat="1" x14ac:dyDescent="0.25"/>
    <row r="204400" s="12" customFormat="1" x14ac:dyDescent="0.25"/>
    <row r="204401" s="12" customFormat="1" x14ac:dyDescent="0.25"/>
    <row r="204402" s="12" customFormat="1" x14ac:dyDescent="0.25"/>
    <row r="204403" s="12" customFormat="1" x14ac:dyDescent="0.25"/>
    <row r="204404" s="12" customFormat="1" x14ac:dyDescent="0.25"/>
    <row r="204405" s="12" customFormat="1" x14ac:dyDescent="0.25"/>
    <row r="204406" s="12" customFormat="1" x14ac:dyDescent="0.25"/>
    <row r="204407" s="12" customFormat="1" x14ac:dyDescent="0.25"/>
    <row r="204408" s="12" customFormat="1" x14ac:dyDescent="0.25"/>
    <row r="204409" s="12" customFormat="1" x14ac:dyDescent="0.25"/>
    <row r="204410" s="12" customFormat="1" x14ac:dyDescent="0.25"/>
    <row r="204411" s="12" customFormat="1" x14ac:dyDescent="0.25"/>
    <row r="204412" s="12" customFormat="1" x14ac:dyDescent="0.25"/>
    <row r="204413" s="12" customFormat="1" x14ac:dyDescent="0.25"/>
    <row r="204414" s="12" customFormat="1" x14ac:dyDescent="0.25"/>
    <row r="204415" s="12" customFormat="1" x14ac:dyDescent="0.25"/>
    <row r="204416" s="12" customFormat="1" x14ac:dyDescent="0.25"/>
    <row r="204417" s="12" customFormat="1" x14ac:dyDescent="0.25"/>
    <row r="204418" s="12" customFormat="1" x14ac:dyDescent="0.25"/>
    <row r="204419" s="12" customFormat="1" x14ac:dyDescent="0.25"/>
    <row r="204420" s="12" customFormat="1" x14ac:dyDescent="0.25"/>
    <row r="204421" s="12" customFormat="1" x14ac:dyDescent="0.25"/>
    <row r="204422" s="12" customFormat="1" x14ac:dyDescent="0.25"/>
    <row r="204423" s="12" customFormat="1" x14ac:dyDescent="0.25"/>
    <row r="204424" s="12" customFormat="1" x14ac:dyDescent="0.25"/>
    <row r="204425" s="12" customFormat="1" x14ac:dyDescent="0.25"/>
    <row r="204426" s="12" customFormat="1" x14ac:dyDescent="0.25"/>
    <row r="204427" s="12" customFormat="1" x14ac:dyDescent="0.25"/>
    <row r="204428" s="12" customFormat="1" x14ac:dyDescent="0.25"/>
    <row r="204429" s="12" customFormat="1" x14ac:dyDescent="0.25"/>
    <row r="204430" s="12" customFormat="1" x14ac:dyDescent="0.25"/>
    <row r="204431" s="12" customFormat="1" x14ac:dyDescent="0.25"/>
    <row r="204432" s="12" customFormat="1" x14ac:dyDescent="0.25"/>
    <row r="204433" s="12" customFormat="1" x14ac:dyDescent="0.25"/>
    <row r="204434" s="12" customFormat="1" x14ac:dyDescent="0.25"/>
    <row r="204435" s="12" customFormat="1" x14ac:dyDescent="0.25"/>
    <row r="204436" s="12" customFormat="1" x14ac:dyDescent="0.25"/>
    <row r="204437" s="12" customFormat="1" x14ac:dyDescent="0.25"/>
    <row r="204438" s="12" customFormat="1" x14ac:dyDescent="0.25"/>
    <row r="204439" s="12" customFormat="1" x14ac:dyDescent="0.25"/>
    <row r="204440" s="12" customFormat="1" x14ac:dyDescent="0.25"/>
    <row r="204441" s="12" customFormat="1" x14ac:dyDescent="0.25"/>
    <row r="204442" s="12" customFormat="1" x14ac:dyDescent="0.25"/>
    <row r="204443" s="12" customFormat="1" x14ac:dyDescent="0.25"/>
    <row r="204444" s="12" customFormat="1" x14ac:dyDescent="0.25"/>
    <row r="204445" s="12" customFormat="1" x14ac:dyDescent="0.25"/>
    <row r="204446" s="12" customFormat="1" x14ac:dyDescent="0.25"/>
    <row r="204447" s="12" customFormat="1" x14ac:dyDescent="0.25"/>
    <row r="204448" s="12" customFormat="1" x14ac:dyDescent="0.25"/>
    <row r="204449" s="12" customFormat="1" x14ac:dyDescent="0.25"/>
    <row r="204450" s="12" customFormat="1" x14ac:dyDescent="0.25"/>
    <row r="204451" s="12" customFormat="1" x14ac:dyDescent="0.25"/>
    <row r="204452" s="12" customFormat="1" x14ac:dyDescent="0.25"/>
    <row r="204453" s="12" customFormat="1" x14ac:dyDescent="0.25"/>
    <row r="204454" s="12" customFormat="1" x14ac:dyDescent="0.25"/>
    <row r="204455" s="12" customFormat="1" x14ac:dyDescent="0.25"/>
    <row r="204456" s="12" customFormat="1" x14ac:dyDescent="0.25"/>
    <row r="204457" s="12" customFormat="1" x14ac:dyDescent="0.25"/>
    <row r="204458" s="12" customFormat="1" x14ac:dyDescent="0.25"/>
    <row r="204459" s="12" customFormat="1" x14ac:dyDescent="0.25"/>
    <row r="204460" s="12" customFormat="1" x14ac:dyDescent="0.25"/>
    <row r="204461" s="12" customFormat="1" x14ac:dyDescent="0.25"/>
    <row r="204462" s="12" customFormat="1" x14ac:dyDescent="0.25"/>
    <row r="204463" s="12" customFormat="1" x14ac:dyDescent="0.25"/>
    <row r="204464" s="12" customFormat="1" x14ac:dyDescent="0.25"/>
    <row r="204465" s="12" customFormat="1" x14ac:dyDescent="0.25"/>
    <row r="204466" s="12" customFormat="1" x14ac:dyDescent="0.25"/>
    <row r="204467" s="12" customFormat="1" x14ac:dyDescent="0.25"/>
    <row r="204468" s="12" customFormat="1" x14ac:dyDescent="0.25"/>
    <row r="204469" s="12" customFormat="1" x14ac:dyDescent="0.25"/>
    <row r="204470" s="12" customFormat="1" x14ac:dyDescent="0.25"/>
    <row r="204471" s="12" customFormat="1" x14ac:dyDescent="0.25"/>
    <row r="204472" s="12" customFormat="1" x14ac:dyDescent="0.25"/>
    <row r="204473" s="12" customFormat="1" x14ac:dyDescent="0.25"/>
    <row r="204474" s="12" customFormat="1" x14ac:dyDescent="0.25"/>
    <row r="204475" s="12" customFormat="1" x14ac:dyDescent="0.25"/>
    <row r="204476" s="12" customFormat="1" x14ac:dyDescent="0.25"/>
    <row r="204477" s="12" customFormat="1" x14ac:dyDescent="0.25"/>
    <row r="204478" s="12" customFormat="1" x14ac:dyDescent="0.25"/>
    <row r="204479" s="12" customFormat="1" x14ac:dyDescent="0.25"/>
    <row r="204480" s="12" customFormat="1" x14ac:dyDescent="0.25"/>
    <row r="204481" s="12" customFormat="1" x14ac:dyDescent="0.25"/>
    <row r="204482" s="12" customFormat="1" x14ac:dyDescent="0.25"/>
    <row r="204483" s="12" customFormat="1" x14ac:dyDescent="0.25"/>
    <row r="204484" s="12" customFormat="1" x14ac:dyDescent="0.25"/>
    <row r="204485" s="12" customFormat="1" x14ac:dyDescent="0.25"/>
    <row r="204486" s="12" customFormat="1" x14ac:dyDescent="0.25"/>
    <row r="204487" s="12" customFormat="1" x14ac:dyDescent="0.25"/>
    <row r="204488" s="12" customFormat="1" x14ac:dyDescent="0.25"/>
    <row r="204489" s="12" customFormat="1" x14ac:dyDescent="0.25"/>
    <row r="204490" s="12" customFormat="1" x14ac:dyDescent="0.25"/>
    <row r="204491" s="12" customFormat="1" x14ac:dyDescent="0.25"/>
    <row r="204492" s="12" customFormat="1" x14ac:dyDescent="0.25"/>
    <row r="204493" s="12" customFormat="1" x14ac:dyDescent="0.25"/>
    <row r="204494" s="12" customFormat="1" x14ac:dyDescent="0.25"/>
    <row r="204495" s="12" customFormat="1" x14ac:dyDescent="0.25"/>
    <row r="204496" s="12" customFormat="1" x14ac:dyDescent="0.25"/>
    <row r="204497" s="12" customFormat="1" x14ac:dyDescent="0.25"/>
    <row r="204498" s="12" customFormat="1" x14ac:dyDescent="0.25"/>
    <row r="204499" s="12" customFormat="1" x14ac:dyDescent="0.25"/>
    <row r="204500" s="12" customFormat="1" x14ac:dyDescent="0.25"/>
    <row r="204501" s="12" customFormat="1" x14ac:dyDescent="0.25"/>
    <row r="204502" s="12" customFormat="1" x14ac:dyDescent="0.25"/>
    <row r="204503" s="12" customFormat="1" x14ac:dyDescent="0.25"/>
    <row r="204504" s="12" customFormat="1" x14ac:dyDescent="0.25"/>
    <row r="204505" s="12" customFormat="1" x14ac:dyDescent="0.25"/>
    <row r="204506" s="12" customFormat="1" x14ac:dyDescent="0.25"/>
    <row r="204507" s="12" customFormat="1" x14ac:dyDescent="0.25"/>
    <row r="204508" s="12" customFormat="1" x14ac:dyDescent="0.25"/>
    <row r="204509" s="12" customFormat="1" x14ac:dyDescent="0.25"/>
    <row r="204510" s="12" customFormat="1" x14ac:dyDescent="0.25"/>
    <row r="204511" s="12" customFormat="1" x14ac:dyDescent="0.25"/>
    <row r="204512" s="12" customFormat="1" x14ac:dyDescent="0.25"/>
    <row r="204513" s="12" customFormat="1" x14ac:dyDescent="0.25"/>
    <row r="204514" s="12" customFormat="1" x14ac:dyDescent="0.25"/>
    <row r="204515" s="12" customFormat="1" x14ac:dyDescent="0.25"/>
    <row r="204516" s="12" customFormat="1" x14ac:dyDescent="0.25"/>
    <row r="204517" s="12" customFormat="1" x14ac:dyDescent="0.25"/>
    <row r="204518" s="12" customFormat="1" x14ac:dyDescent="0.25"/>
    <row r="204519" s="12" customFormat="1" x14ac:dyDescent="0.25"/>
    <row r="204520" s="12" customFormat="1" x14ac:dyDescent="0.25"/>
    <row r="204521" s="12" customFormat="1" x14ac:dyDescent="0.25"/>
    <row r="204522" s="12" customFormat="1" x14ac:dyDescent="0.25"/>
    <row r="204523" s="12" customFormat="1" x14ac:dyDescent="0.25"/>
    <row r="204524" s="12" customFormat="1" x14ac:dyDescent="0.25"/>
    <row r="204525" s="12" customFormat="1" x14ac:dyDescent="0.25"/>
    <row r="204526" s="12" customFormat="1" x14ac:dyDescent="0.25"/>
    <row r="204527" s="12" customFormat="1" x14ac:dyDescent="0.25"/>
    <row r="204528" s="12" customFormat="1" x14ac:dyDescent="0.25"/>
    <row r="204529" s="12" customFormat="1" x14ac:dyDescent="0.25"/>
    <row r="204530" s="12" customFormat="1" x14ac:dyDescent="0.25"/>
    <row r="204531" s="12" customFormat="1" x14ac:dyDescent="0.25"/>
    <row r="204532" s="12" customFormat="1" x14ac:dyDescent="0.25"/>
    <row r="204533" s="12" customFormat="1" x14ac:dyDescent="0.25"/>
    <row r="204534" s="12" customFormat="1" x14ac:dyDescent="0.25"/>
    <row r="204535" s="12" customFormat="1" x14ac:dyDescent="0.25"/>
    <row r="204536" s="12" customFormat="1" x14ac:dyDescent="0.25"/>
    <row r="204537" s="12" customFormat="1" x14ac:dyDescent="0.25"/>
    <row r="204538" s="12" customFormat="1" x14ac:dyDescent="0.25"/>
    <row r="204539" s="12" customFormat="1" x14ac:dyDescent="0.25"/>
    <row r="204540" s="12" customFormat="1" x14ac:dyDescent="0.25"/>
    <row r="204541" s="12" customFormat="1" x14ac:dyDescent="0.25"/>
    <row r="204542" s="12" customFormat="1" x14ac:dyDescent="0.25"/>
    <row r="204543" s="12" customFormat="1" x14ac:dyDescent="0.25"/>
    <row r="204544" s="12" customFormat="1" x14ac:dyDescent="0.25"/>
    <row r="204545" s="12" customFormat="1" x14ac:dyDescent="0.25"/>
    <row r="204546" s="12" customFormat="1" x14ac:dyDescent="0.25"/>
    <row r="204547" s="12" customFormat="1" x14ac:dyDescent="0.25"/>
    <row r="204548" s="12" customFormat="1" x14ac:dyDescent="0.25"/>
    <row r="204549" s="12" customFormat="1" x14ac:dyDescent="0.25"/>
    <row r="204550" s="12" customFormat="1" x14ac:dyDescent="0.25"/>
    <row r="204551" s="12" customFormat="1" x14ac:dyDescent="0.25"/>
    <row r="204552" s="12" customFormat="1" x14ac:dyDescent="0.25"/>
    <row r="204553" s="12" customFormat="1" x14ac:dyDescent="0.25"/>
    <row r="204554" s="12" customFormat="1" x14ac:dyDescent="0.25"/>
    <row r="204555" s="12" customFormat="1" x14ac:dyDescent="0.25"/>
    <row r="204556" s="12" customFormat="1" x14ac:dyDescent="0.25"/>
    <row r="204557" s="12" customFormat="1" x14ac:dyDescent="0.25"/>
    <row r="204558" s="12" customFormat="1" x14ac:dyDescent="0.25"/>
    <row r="204559" s="12" customFormat="1" x14ac:dyDescent="0.25"/>
    <row r="204560" s="12" customFormat="1" x14ac:dyDescent="0.25"/>
    <row r="204561" s="12" customFormat="1" x14ac:dyDescent="0.25"/>
    <row r="204562" s="12" customFormat="1" x14ac:dyDescent="0.25"/>
    <row r="204563" s="12" customFormat="1" x14ac:dyDescent="0.25"/>
    <row r="204564" s="12" customFormat="1" x14ac:dyDescent="0.25"/>
    <row r="204565" s="12" customFormat="1" x14ac:dyDescent="0.25"/>
    <row r="204566" s="12" customFormat="1" x14ac:dyDescent="0.25"/>
    <row r="204567" s="12" customFormat="1" x14ac:dyDescent="0.25"/>
    <row r="204568" s="12" customFormat="1" x14ac:dyDescent="0.25"/>
    <row r="204569" s="12" customFormat="1" x14ac:dyDescent="0.25"/>
    <row r="204570" s="12" customFormat="1" x14ac:dyDescent="0.25"/>
    <row r="204571" s="12" customFormat="1" x14ac:dyDescent="0.25"/>
    <row r="204572" s="12" customFormat="1" x14ac:dyDescent="0.25"/>
    <row r="204573" s="12" customFormat="1" x14ac:dyDescent="0.25"/>
    <row r="204574" s="12" customFormat="1" x14ac:dyDescent="0.25"/>
    <row r="204575" s="12" customFormat="1" x14ac:dyDescent="0.25"/>
    <row r="204576" s="12" customFormat="1" x14ac:dyDescent="0.25"/>
    <row r="204577" s="12" customFormat="1" x14ac:dyDescent="0.25"/>
    <row r="204578" s="12" customFormat="1" x14ac:dyDescent="0.25"/>
    <row r="204579" s="12" customFormat="1" x14ac:dyDescent="0.25"/>
    <row r="204580" s="12" customFormat="1" x14ac:dyDescent="0.25"/>
    <row r="204581" s="12" customFormat="1" x14ac:dyDescent="0.25"/>
    <row r="204582" s="12" customFormat="1" x14ac:dyDescent="0.25"/>
    <row r="204583" s="12" customFormat="1" x14ac:dyDescent="0.25"/>
    <row r="204584" s="12" customFormat="1" x14ac:dyDescent="0.25"/>
    <row r="204585" s="12" customFormat="1" x14ac:dyDescent="0.25"/>
    <row r="204586" s="12" customFormat="1" x14ac:dyDescent="0.25"/>
    <row r="204587" s="12" customFormat="1" x14ac:dyDescent="0.25"/>
    <row r="204588" s="12" customFormat="1" x14ac:dyDescent="0.25"/>
    <row r="204589" s="12" customFormat="1" x14ac:dyDescent="0.25"/>
    <row r="204590" s="12" customFormat="1" x14ac:dyDescent="0.25"/>
    <row r="204591" s="12" customFormat="1" x14ac:dyDescent="0.25"/>
    <row r="204592" s="12" customFormat="1" x14ac:dyDescent="0.25"/>
    <row r="204593" s="12" customFormat="1" x14ac:dyDescent="0.25"/>
    <row r="204594" s="12" customFormat="1" x14ac:dyDescent="0.25"/>
    <row r="204595" s="12" customFormat="1" x14ac:dyDescent="0.25"/>
    <row r="204596" s="12" customFormat="1" x14ac:dyDescent="0.25"/>
    <row r="204597" s="12" customFormat="1" x14ac:dyDescent="0.25"/>
    <row r="204598" s="12" customFormat="1" x14ac:dyDescent="0.25"/>
    <row r="204599" s="12" customFormat="1" x14ac:dyDescent="0.25"/>
    <row r="204600" s="12" customFormat="1" x14ac:dyDescent="0.25"/>
    <row r="204601" s="12" customFormat="1" x14ac:dyDescent="0.25"/>
    <row r="204602" s="12" customFormat="1" x14ac:dyDescent="0.25"/>
    <row r="204603" s="12" customFormat="1" x14ac:dyDescent="0.25"/>
    <row r="204604" s="12" customFormat="1" x14ac:dyDescent="0.25"/>
    <row r="204605" s="12" customFormat="1" x14ac:dyDescent="0.25"/>
    <row r="204606" s="12" customFormat="1" x14ac:dyDescent="0.25"/>
    <row r="204607" s="12" customFormat="1" x14ac:dyDescent="0.25"/>
    <row r="204608" s="12" customFormat="1" x14ac:dyDescent="0.25"/>
    <row r="204609" s="12" customFormat="1" x14ac:dyDescent="0.25"/>
    <row r="204610" s="12" customFormat="1" x14ac:dyDescent="0.25"/>
    <row r="204611" s="12" customFormat="1" x14ac:dyDescent="0.25"/>
    <row r="204612" s="12" customFormat="1" x14ac:dyDescent="0.25"/>
    <row r="204613" s="12" customFormat="1" x14ac:dyDescent="0.25"/>
    <row r="204614" s="12" customFormat="1" x14ac:dyDescent="0.25"/>
    <row r="204615" s="12" customFormat="1" x14ac:dyDescent="0.25"/>
    <row r="204616" s="12" customFormat="1" x14ac:dyDescent="0.25"/>
    <row r="204617" s="12" customFormat="1" x14ac:dyDescent="0.25"/>
    <row r="204618" s="12" customFormat="1" x14ac:dyDescent="0.25"/>
    <row r="204619" s="12" customFormat="1" x14ac:dyDescent="0.25"/>
    <row r="204620" s="12" customFormat="1" x14ac:dyDescent="0.25"/>
    <row r="204621" s="12" customFormat="1" x14ac:dyDescent="0.25"/>
    <row r="204622" s="12" customFormat="1" x14ac:dyDescent="0.25"/>
    <row r="204623" s="12" customFormat="1" x14ac:dyDescent="0.25"/>
    <row r="204624" s="12" customFormat="1" x14ac:dyDescent="0.25"/>
    <row r="204625" s="12" customFormat="1" x14ac:dyDescent="0.25"/>
    <row r="204626" s="12" customFormat="1" x14ac:dyDescent="0.25"/>
    <row r="204627" s="12" customFormat="1" x14ac:dyDescent="0.25"/>
    <row r="204628" s="12" customFormat="1" x14ac:dyDescent="0.25"/>
    <row r="204629" s="12" customFormat="1" x14ac:dyDescent="0.25"/>
    <row r="204630" s="12" customFormat="1" x14ac:dyDescent="0.25"/>
    <row r="204631" s="12" customFormat="1" x14ac:dyDescent="0.25"/>
    <row r="204632" s="12" customFormat="1" x14ac:dyDescent="0.25"/>
    <row r="204633" s="12" customFormat="1" x14ac:dyDescent="0.25"/>
    <row r="204634" s="12" customFormat="1" x14ac:dyDescent="0.25"/>
    <row r="204635" s="12" customFormat="1" x14ac:dyDescent="0.25"/>
    <row r="204636" s="12" customFormat="1" x14ac:dyDescent="0.25"/>
    <row r="204637" s="12" customFormat="1" x14ac:dyDescent="0.25"/>
    <row r="204638" s="12" customFormat="1" x14ac:dyDescent="0.25"/>
    <row r="204639" s="12" customFormat="1" x14ac:dyDescent="0.25"/>
    <row r="204640" s="12" customFormat="1" x14ac:dyDescent="0.25"/>
    <row r="204641" s="12" customFormat="1" x14ac:dyDescent="0.25"/>
    <row r="204642" s="12" customFormat="1" x14ac:dyDescent="0.25"/>
    <row r="204643" s="12" customFormat="1" x14ac:dyDescent="0.25"/>
    <row r="204644" s="12" customFormat="1" x14ac:dyDescent="0.25"/>
    <row r="204645" s="12" customFormat="1" x14ac:dyDescent="0.25"/>
    <row r="204646" s="12" customFormat="1" x14ac:dyDescent="0.25"/>
    <row r="204647" s="12" customFormat="1" x14ac:dyDescent="0.25"/>
    <row r="204648" s="12" customFormat="1" x14ac:dyDescent="0.25"/>
    <row r="204649" s="12" customFormat="1" x14ac:dyDescent="0.25"/>
    <row r="204650" s="12" customFormat="1" x14ac:dyDescent="0.25"/>
    <row r="204651" s="12" customFormat="1" x14ac:dyDescent="0.25"/>
    <row r="204652" s="12" customFormat="1" x14ac:dyDescent="0.25"/>
    <row r="204653" s="12" customFormat="1" x14ac:dyDescent="0.25"/>
    <row r="204654" s="12" customFormat="1" x14ac:dyDescent="0.25"/>
    <row r="204655" s="12" customFormat="1" x14ac:dyDescent="0.25"/>
    <row r="204656" s="12" customFormat="1" x14ac:dyDescent="0.25"/>
    <row r="204657" s="12" customFormat="1" x14ac:dyDescent="0.25"/>
    <row r="204658" s="12" customFormat="1" x14ac:dyDescent="0.25"/>
    <row r="204659" s="12" customFormat="1" x14ac:dyDescent="0.25"/>
    <row r="204660" s="12" customFormat="1" x14ac:dyDescent="0.25"/>
    <row r="204661" s="12" customFormat="1" x14ac:dyDescent="0.25"/>
    <row r="204662" s="12" customFormat="1" x14ac:dyDescent="0.25"/>
    <row r="204663" s="12" customFormat="1" x14ac:dyDescent="0.25"/>
    <row r="204664" s="12" customFormat="1" x14ac:dyDescent="0.25"/>
    <row r="204665" s="12" customFormat="1" x14ac:dyDescent="0.25"/>
    <row r="204666" s="12" customFormat="1" x14ac:dyDescent="0.25"/>
    <row r="204667" s="12" customFormat="1" x14ac:dyDescent="0.25"/>
    <row r="204668" s="12" customFormat="1" x14ac:dyDescent="0.25"/>
    <row r="204669" s="12" customFormat="1" x14ac:dyDescent="0.25"/>
    <row r="204670" s="12" customFormat="1" x14ac:dyDescent="0.25"/>
    <row r="204671" s="12" customFormat="1" x14ac:dyDescent="0.25"/>
    <row r="204672" s="12" customFormat="1" x14ac:dyDescent="0.25"/>
    <row r="204673" s="12" customFormat="1" x14ac:dyDescent="0.25"/>
    <row r="204674" s="12" customFormat="1" x14ac:dyDescent="0.25"/>
    <row r="204675" s="12" customFormat="1" x14ac:dyDescent="0.25"/>
    <row r="204676" s="12" customFormat="1" x14ac:dyDescent="0.25"/>
    <row r="204677" s="12" customFormat="1" x14ac:dyDescent="0.25"/>
    <row r="204678" s="12" customFormat="1" x14ac:dyDescent="0.25"/>
    <row r="204679" s="12" customFormat="1" x14ac:dyDescent="0.25"/>
    <row r="204680" s="12" customFormat="1" x14ac:dyDescent="0.25"/>
    <row r="204681" s="12" customFormat="1" x14ac:dyDescent="0.25"/>
    <row r="204682" s="12" customFormat="1" x14ac:dyDescent="0.25"/>
    <row r="204683" s="12" customFormat="1" x14ac:dyDescent="0.25"/>
    <row r="204684" s="12" customFormat="1" x14ac:dyDescent="0.25"/>
    <row r="204685" s="12" customFormat="1" x14ac:dyDescent="0.25"/>
    <row r="204686" s="12" customFormat="1" x14ac:dyDescent="0.25"/>
    <row r="204687" s="12" customFormat="1" x14ac:dyDescent="0.25"/>
    <row r="204688" s="12" customFormat="1" x14ac:dyDescent="0.25"/>
    <row r="204689" s="12" customFormat="1" x14ac:dyDescent="0.25"/>
    <row r="204690" s="12" customFormat="1" x14ac:dyDescent="0.25"/>
    <row r="204691" s="12" customFormat="1" x14ac:dyDescent="0.25"/>
    <row r="204692" s="12" customFormat="1" x14ac:dyDescent="0.25"/>
    <row r="204693" s="12" customFormat="1" x14ac:dyDescent="0.25"/>
    <row r="204694" s="12" customFormat="1" x14ac:dyDescent="0.25"/>
    <row r="204695" s="12" customFormat="1" x14ac:dyDescent="0.25"/>
    <row r="204696" s="12" customFormat="1" x14ac:dyDescent="0.25"/>
    <row r="204697" s="12" customFormat="1" x14ac:dyDescent="0.25"/>
    <row r="204698" s="12" customFormat="1" x14ac:dyDescent="0.25"/>
    <row r="204699" s="12" customFormat="1" x14ac:dyDescent="0.25"/>
    <row r="204700" s="12" customFormat="1" x14ac:dyDescent="0.25"/>
    <row r="204701" s="12" customFormat="1" x14ac:dyDescent="0.25"/>
    <row r="204702" s="12" customFormat="1" x14ac:dyDescent="0.25"/>
    <row r="204703" s="12" customFormat="1" x14ac:dyDescent="0.25"/>
    <row r="204704" s="12" customFormat="1" x14ac:dyDescent="0.25"/>
    <row r="204705" s="12" customFormat="1" x14ac:dyDescent="0.25"/>
    <row r="204706" s="12" customFormat="1" x14ac:dyDescent="0.25"/>
    <row r="204707" s="12" customFormat="1" x14ac:dyDescent="0.25"/>
    <row r="204708" s="12" customFormat="1" x14ac:dyDescent="0.25"/>
    <row r="204709" s="12" customFormat="1" x14ac:dyDescent="0.25"/>
    <row r="204710" s="12" customFormat="1" x14ac:dyDescent="0.25"/>
    <row r="204711" s="12" customFormat="1" x14ac:dyDescent="0.25"/>
    <row r="204712" s="12" customFormat="1" x14ac:dyDescent="0.25"/>
    <row r="204713" s="12" customFormat="1" x14ac:dyDescent="0.25"/>
    <row r="204714" s="12" customFormat="1" x14ac:dyDescent="0.25"/>
    <row r="204715" s="12" customFormat="1" x14ac:dyDescent="0.25"/>
    <row r="204716" s="12" customFormat="1" x14ac:dyDescent="0.25"/>
    <row r="204717" s="12" customFormat="1" x14ac:dyDescent="0.25"/>
    <row r="204718" s="12" customFormat="1" x14ac:dyDescent="0.25"/>
    <row r="204719" s="12" customFormat="1" x14ac:dyDescent="0.25"/>
    <row r="204720" s="12" customFormat="1" x14ac:dyDescent="0.25"/>
    <row r="204721" s="12" customFormat="1" x14ac:dyDescent="0.25"/>
    <row r="204722" s="12" customFormat="1" x14ac:dyDescent="0.25"/>
    <row r="204723" s="12" customFormat="1" x14ac:dyDescent="0.25"/>
    <row r="204724" s="12" customFormat="1" x14ac:dyDescent="0.25"/>
    <row r="204725" s="12" customFormat="1" x14ac:dyDescent="0.25"/>
    <row r="204726" s="12" customFormat="1" x14ac:dyDescent="0.25"/>
    <row r="204727" s="12" customFormat="1" x14ac:dyDescent="0.25"/>
    <row r="204728" s="12" customFormat="1" x14ac:dyDescent="0.25"/>
    <row r="204729" s="12" customFormat="1" x14ac:dyDescent="0.25"/>
    <row r="204730" s="12" customFormat="1" x14ac:dyDescent="0.25"/>
    <row r="204731" s="12" customFormat="1" x14ac:dyDescent="0.25"/>
    <row r="204732" s="12" customFormat="1" x14ac:dyDescent="0.25"/>
    <row r="204733" s="12" customFormat="1" x14ac:dyDescent="0.25"/>
    <row r="204734" s="12" customFormat="1" x14ac:dyDescent="0.25"/>
    <row r="204735" s="12" customFormat="1" x14ac:dyDescent="0.25"/>
    <row r="204736" s="12" customFormat="1" x14ac:dyDescent="0.25"/>
    <row r="204737" s="12" customFormat="1" x14ac:dyDescent="0.25"/>
    <row r="204738" s="12" customFormat="1" x14ac:dyDescent="0.25"/>
    <row r="204739" s="12" customFormat="1" x14ac:dyDescent="0.25"/>
    <row r="204740" s="12" customFormat="1" x14ac:dyDescent="0.25"/>
    <row r="204741" s="12" customFormat="1" x14ac:dyDescent="0.25"/>
    <row r="204742" s="12" customFormat="1" x14ac:dyDescent="0.25"/>
    <row r="204743" s="12" customFormat="1" x14ac:dyDescent="0.25"/>
    <row r="204744" s="12" customFormat="1" x14ac:dyDescent="0.25"/>
    <row r="204745" s="12" customFormat="1" x14ac:dyDescent="0.25"/>
    <row r="204746" s="12" customFormat="1" x14ac:dyDescent="0.25"/>
    <row r="204747" s="12" customFormat="1" x14ac:dyDescent="0.25"/>
    <row r="204748" s="12" customFormat="1" x14ac:dyDescent="0.25"/>
    <row r="204749" s="12" customFormat="1" x14ac:dyDescent="0.25"/>
    <row r="204750" s="12" customFormat="1" x14ac:dyDescent="0.25"/>
    <row r="204751" s="12" customFormat="1" x14ac:dyDescent="0.25"/>
    <row r="204752" s="12" customFormat="1" x14ac:dyDescent="0.25"/>
    <row r="204753" s="12" customFormat="1" x14ac:dyDescent="0.25"/>
    <row r="204754" s="12" customFormat="1" x14ac:dyDescent="0.25"/>
    <row r="204755" s="12" customFormat="1" x14ac:dyDescent="0.25"/>
    <row r="204756" s="12" customFormat="1" x14ac:dyDescent="0.25"/>
    <row r="204757" s="12" customFormat="1" x14ac:dyDescent="0.25"/>
    <row r="204758" s="12" customFormat="1" x14ac:dyDescent="0.25"/>
    <row r="204759" s="12" customFormat="1" x14ac:dyDescent="0.25"/>
    <row r="204760" s="12" customFormat="1" x14ac:dyDescent="0.25"/>
    <row r="204761" s="12" customFormat="1" x14ac:dyDescent="0.25"/>
    <row r="204762" s="12" customFormat="1" x14ac:dyDescent="0.25"/>
    <row r="204763" s="12" customFormat="1" x14ac:dyDescent="0.25"/>
    <row r="204764" s="12" customFormat="1" x14ac:dyDescent="0.25"/>
    <row r="204765" s="12" customFormat="1" x14ac:dyDescent="0.25"/>
    <row r="204766" s="12" customFormat="1" x14ac:dyDescent="0.25"/>
    <row r="204767" s="12" customFormat="1" x14ac:dyDescent="0.25"/>
    <row r="204768" s="12" customFormat="1" x14ac:dyDescent="0.25"/>
    <row r="204769" s="12" customFormat="1" x14ac:dyDescent="0.25"/>
    <row r="204770" s="12" customFormat="1" x14ac:dyDescent="0.25"/>
    <row r="204771" s="12" customFormat="1" x14ac:dyDescent="0.25"/>
    <row r="204772" s="12" customFormat="1" x14ac:dyDescent="0.25"/>
    <row r="204773" s="12" customFormat="1" x14ac:dyDescent="0.25"/>
    <row r="204774" s="12" customFormat="1" x14ac:dyDescent="0.25"/>
    <row r="204775" s="12" customFormat="1" x14ac:dyDescent="0.25"/>
    <row r="204776" s="12" customFormat="1" x14ac:dyDescent="0.25"/>
    <row r="204777" s="12" customFormat="1" x14ac:dyDescent="0.25"/>
    <row r="204778" s="12" customFormat="1" x14ac:dyDescent="0.25"/>
    <row r="204779" s="12" customFormat="1" x14ac:dyDescent="0.25"/>
    <row r="204780" s="12" customFormat="1" x14ac:dyDescent="0.25"/>
    <row r="204781" s="12" customFormat="1" x14ac:dyDescent="0.25"/>
    <row r="204782" s="12" customFormat="1" x14ac:dyDescent="0.25"/>
    <row r="204783" s="12" customFormat="1" x14ac:dyDescent="0.25"/>
    <row r="204784" s="12" customFormat="1" x14ac:dyDescent="0.25"/>
    <row r="204785" s="12" customFormat="1" x14ac:dyDescent="0.25"/>
    <row r="204786" s="12" customFormat="1" x14ac:dyDescent="0.25"/>
    <row r="204787" s="12" customFormat="1" x14ac:dyDescent="0.25"/>
    <row r="204788" s="12" customFormat="1" x14ac:dyDescent="0.25"/>
    <row r="204789" s="12" customFormat="1" x14ac:dyDescent="0.25"/>
    <row r="204790" s="12" customFormat="1" x14ac:dyDescent="0.25"/>
    <row r="204791" s="12" customFormat="1" x14ac:dyDescent="0.25"/>
    <row r="204792" s="12" customFormat="1" x14ac:dyDescent="0.25"/>
    <row r="204793" s="12" customFormat="1" x14ac:dyDescent="0.25"/>
    <row r="204794" s="12" customFormat="1" x14ac:dyDescent="0.25"/>
    <row r="204795" s="12" customFormat="1" x14ac:dyDescent="0.25"/>
    <row r="204796" s="12" customFormat="1" x14ac:dyDescent="0.25"/>
    <row r="204797" s="12" customFormat="1" x14ac:dyDescent="0.25"/>
    <row r="204798" s="12" customFormat="1" x14ac:dyDescent="0.25"/>
    <row r="204799" s="12" customFormat="1" x14ac:dyDescent="0.25"/>
    <row r="204800" s="12" customFormat="1" x14ac:dyDescent="0.25"/>
    <row r="204801" s="12" customFormat="1" x14ac:dyDescent="0.25"/>
    <row r="204802" s="12" customFormat="1" x14ac:dyDescent="0.25"/>
    <row r="204803" s="12" customFormat="1" x14ac:dyDescent="0.25"/>
    <row r="204804" s="12" customFormat="1" x14ac:dyDescent="0.25"/>
    <row r="204805" s="12" customFormat="1" x14ac:dyDescent="0.25"/>
    <row r="204806" s="12" customFormat="1" x14ac:dyDescent="0.25"/>
    <row r="204807" s="12" customFormat="1" x14ac:dyDescent="0.25"/>
    <row r="204808" s="12" customFormat="1" x14ac:dyDescent="0.25"/>
    <row r="204809" s="12" customFormat="1" x14ac:dyDescent="0.25"/>
    <row r="204810" s="12" customFormat="1" x14ac:dyDescent="0.25"/>
    <row r="204811" s="12" customFormat="1" x14ac:dyDescent="0.25"/>
    <row r="204812" s="12" customFormat="1" x14ac:dyDescent="0.25"/>
    <row r="204813" s="12" customFormat="1" x14ac:dyDescent="0.25"/>
    <row r="204814" s="12" customFormat="1" x14ac:dyDescent="0.25"/>
    <row r="204815" s="12" customFormat="1" x14ac:dyDescent="0.25"/>
    <row r="204816" s="12" customFormat="1" x14ac:dyDescent="0.25"/>
    <row r="204817" s="12" customFormat="1" x14ac:dyDescent="0.25"/>
    <row r="204818" s="12" customFormat="1" x14ac:dyDescent="0.25"/>
    <row r="204819" s="12" customFormat="1" x14ac:dyDescent="0.25"/>
    <row r="204820" s="12" customFormat="1" x14ac:dyDescent="0.25"/>
    <row r="204821" s="12" customFormat="1" x14ac:dyDescent="0.25"/>
    <row r="204822" s="12" customFormat="1" x14ac:dyDescent="0.25"/>
    <row r="204823" s="12" customFormat="1" x14ac:dyDescent="0.25"/>
    <row r="204824" s="12" customFormat="1" x14ac:dyDescent="0.25"/>
    <row r="204825" s="12" customFormat="1" x14ac:dyDescent="0.25"/>
    <row r="204826" s="12" customFormat="1" x14ac:dyDescent="0.25"/>
    <row r="204827" s="12" customFormat="1" x14ac:dyDescent="0.25"/>
    <row r="204828" s="12" customFormat="1" x14ac:dyDescent="0.25"/>
    <row r="204829" s="12" customFormat="1" x14ac:dyDescent="0.25"/>
    <row r="204830" s="12" customFormat="1" x14ac:dyDescent="0.25"/>
    <row r="204831" s="12" customFormat="1" x14ac:dyDescent="0.25"/>
    <row r="204832" s="12" customFormat="1" x14ac:dyDescent="0.25"/>
    <row r="204833" s="12" customFormat="1" x14ac:dyDescent="0.25"/>
    <row r="204834" s="12" customFormat="1" x14ac:dyDescent="0.25"/>
    <row r="204835" s="12" customFormat="1" x14ac:dyDescent="0.25"/>
    <row r="204836" s="12" customFormat="1" x14ac:dyDescent="0.25"/>
    <row r="204837" s="12" customFormat="1" x14ac:dyDescent="0.25"/>
    <row r="204838" s="12" customFormat="1" x14ac:dyDescent="0.25"/>
    <row r="204839" s="12" customFormat="1" x14ac:dyDescent="0.25"/>
    <row r="204840" s="12" customFormat="1" x14ac:dyDescent="0.25"/>
    <row r="204841" s="12" customFormat="1" x14ac:dyDescent="0.25"/>
    <row r="204842" s="12" customFormat="1" x14ac:dyDescent="0.25"/>
    <row r="204843" s="12" customFormat="1" x14ac:dyDescent="0.25"/>
    <row r="204844" s="12" customFormat="1" x14ac:dyDescent="0.25"/>
    <row r="204845" s="12" customFormat="1" x14ac:dyDescent="0.25"/>
    <row r="204846" s="12" customFormat="1" x14ac:dyDescent="0.25"/>
    <row r="204847" s="12" customFormat="1" x14ac:dyDescent="0.25"/>
    <row r="204848" s="12" customFormat="1" x14ac:dyDescent="0.25"/>
    <row r="204849" s="12" customFormat="1" x14ac:dyDescent="0.25"/>
    <row r="204850" s="12" customFormat="1" x14ac:dyDescent="0.25"/>
    <row r="204851" s="12" customFormat="1" x14ac:dyDescent="0.25"/>
    <row r="204852" s="12" customFormat="1" x14ac:dyDescent="0.25"/>
    <row r="204853" s="12" customFormat="1" x14ac:dyDescent="0.25"/>
    <row r="204854" s="12" customFormat="1" x14ac:dyDescent="0.25"/>
    <row r="204855" s="12" customFormat="1" x14ac:dyDescent="0.25"/>
    <row r="204856" s="12" customFormat="1" x14ac:dyDescent="0.25"/>
    <row r="204857" s="12" customFormat="1" x14ac:dyDescent="0.25"/>
    <row r="204858" s="12" customFormat="1" x14ac:dyDescent="0.25"/>
    <row r="204859" s="12" customFormat="1" x14ac:dyDescent="0.25"/>
    <row r="204860" s="12" customFormat="1" x14ac:dyDescent="0.25"/>
    <row r="204861" s="12" customFormat="1" x14ac:dyDescent="0.25"/>
    <row r="204862" s="12" customFormat="1" x14ac:dyDescent="0.25"/>
    <row r="204863" s="12" customFormat="1" x14ac:dyDescent="0.25"/>
    <row r="204864" s="12" customFormat="1" x14ac:dyDescent="0.25"/>
    <row r="204865" s="12" customFormat="1" x14ac:dyDescent="0.25"/>
    <row r="204866" s="12" customFormat="1" x14ac:dyDescent="0.25"/>
    <row r="204867" s="12" customFormat="1" x14ac:dyDescent="0.25"/>
    <row r="204868" s="12" customFormat="1" x14ac:dyDescent="0.25"/>
    <row r="204869" s="12" customFormat="1" x14ac:dyDescent="0.25"/>
    <row r="204870" s="12" customFormat="1" x14ac:dyDescent="0.25"/>
    <row r="204871" s="12" customFormat="1" x14ac:dyDescent="0.25"/>
    <row r="204872" s="12" customFormat="1" x14ac:dyDescent="0.25"/>
    <row r="204873" s="12" customFormat="1" x14ac:dyDescent="0.25"/>
    <row r="204874" s="12" customFormat="1" x14ac:dyDescent="0.25"/>
    <row r="204875" s="12" customFormat="1" x14ac:dyDescent="0.25"/>
    <row r="204876" s="12" customFormat="1" x14ac:dyDescent="0.25"/>
    <row r="204877" s="12" customFormat="1" x14ac:dyDescent="0.25"/>
    <row r="204878" s="12" customFormat="1" x14ac:dyDescent="0.25"/>
    <row r="204879" s="12" customFormat="1" x14ac:dyDescent="0.25"/>
    <row r="204880" s="12" customFormat="1" x14ac:dyDescent="0.25"/>
    <row r="204881" s="12" customFormat="1" x14ac:dyDescent="0.25"/>
    <row r="204882" s="12" customFormat="1" x14ac:dyDescent="0.25"/>
    <row r="204883" s="12" customFormat="1" x14ac:dyDescent="0.25"/>
    <row r="204884" s="12" customFormat="1" x14ac:dyDescent="0.25"/>
    <row r="204885" s="12" customFormat="1" x14ac:dyDescent="0.25"/>
    <row r="204886" s="12" customFormat="1" x14ac:dyDescent="0.25"/>
    <row r="204887" s="12" customFormat="1" x14ac:dyDescent="0.25"/>
    <row r="204888" s="12" customFormat="1" x14ac:dyDescent="0.25"/>
    <row r="204889" s="12" customFormat="1" x14ac:dyDescent="0.25"/>
    <row r="204890" s="12" customFormat="1" x14ac:dyDescent="0.25"/>
    <row r="204891" s="12" customFormat="1" x14ac:dyDescent="0.25"/>
    <row r="204892" s="12" customFormat="1" x14ac:dyDescent="0.25"/>
    <row r="204893" s="12" customFormat="1" x14ac:dyDescent="0.25"/>
    <row r="204894" s="12" customFormat="1" x14ac:dyDescent="0.25"/>
    <row r="204895" s="12" customFormat="1" x14ac:dyDescent="0.25"/>
    <row r="204896" s="12" customFormat="1" x14ac:dyDescent="0.25"/>
    <row r="204897" s="12" customFormat="1" x14ac:dyDescent="0.25"/>
    <row r="204898" s="12" customFormat="1" x14ac:dyDescent="0.25"/>
    <row r="204899" s="12" customFormat="1" x14ac:dyDescent="0.25"/>
    <row r="204900" s="12" customFormat="1" x14ac:dyDescent="0.25"/>
    <row r="204901" s="12" customFormat="1" x14ac:dyDescent="0.25"/>
    <row r="204902" s="12" customFormat="1" x14ac:dyDescent="0.25"/>
    <row r="204903" s="12" customFormat="1" x14ac:dyDescent="0.25"/>
    <row r="204904" s="12" customFormat="1" x14ac:dyDescent="0.25"/>
    <row r="204905" s="12" customFormat="1" x14ac:dyDescent="0.25"/>
    <row r="204906" s="12" customFormat="1" x14ac:dyDescent="0.25"/>
    <row r="204907" s="12" customFormat="1" x14ac:dyDescent="0.25"/>
    <row r="204908" s="12" customFormat="1" x14ac:dyDescent="0.25"/>
    <row r="204909" s="12" customFormat="1" x14ac:dyDescent="0.25"/>
    <row r="204910" s="12" customFormat="1" x14ac:dyDescent="0.25"/>
    <row r="204911" s="12" customFormat="1" x14ac:dyDescent="0.25"/>
    <row r="204912" s="12" customFormat="1" x14ac:dyDescent="0.25"/>
    <row r="204913" s="12" customFormat="1" x14ac:dyDescent="0.25"/>
    <row r="204914" s="12" customFormat="1" x14ac:dyDescent="0.25"/>
    <row r="204915" s="12" customFormat="1" x14ac:dyDescent="0.25"/>
    <row r="204916" s="12" customFormat="1" x14ac:dyDescent="0.25"/>
    <row r="204917" s="12" customFormat="1" x14ac:dyDescent="0.25"/>
    <row r="204918" s="12" customFormat="1" x14ac:dyDescent="0.25"/>
    <row r="204919" s="12" customFormat="1" x14ac:dyDescent="0.25"/>
    <row r="204920" s="12" customFormat="1" x14ac:dyDescent="0.25"/>
    <row r="204921" s="12" customFormat="1" x14ac:dyDescent="0.25"/>
    <row r="204922" s="12" customFormat="1" x14ac:dyDescent="0.25"/>
    <row r="204923" s="12" customFormat="1" x14ac:dyDescent="0.25"/>
    <row r="204924" s="12" customFormat="1" x14ac:dyDescent="0.25"/>
    <row r="204925" s="12" customFormat="1" x14ac:dyDescent="0.25"/>
    <row r="204926" s="12" customFormat="1" x14ac:dyDescent="0.25"/>
    <row r="204927" s="12" customFormat="1" x14ac:dyDescent="0.25"/>
    <row r="204928" s="12" customFormat="1" x14ac:dyDescent="0.25"/>
    <row r="204929" s="12" customFormat="1" x14ac:dyDescent="0.25"/>
    <row r="204930" s="12" customFormat="1" x14ac:dyDescent="0.25"/>
    <row r="204931" s="12" customFormat="1" x14ac:dyDescent="0.25"/>
    <row r="204932" s="12" customFormat="1" x14ac:dyDescent="0.25"/>
    <row r="204933" s="12" customFormat="1" x14ac:dyDescent="0.25"/>
    <row r="204934" s="12" customFormat="1" x14ac:dyDescent="0.25"/>
    <row r="204935" s="12" customFormat="1" x14ac:dyDescent="0.25"/>
    <row r="204936" s="12" customFormat="1" x14ac:dyDescent="0.25"/>
    <row r="204937" s="12" customFormat="1" x14ac:dyDescent="0.25"/>
    <row r="204938" s="12" customFormat="1" x14ac:dyDescent="0.25"/>
    <row r="204939" s="12" customFormat="1" x14ac:dyDescent="0.25"/>
    <row r="204940" s="12" customFormat="1" x14ac:dyDescent="0.25"/>
    <row r="204941" s="12" customFormat="1" x14ac:dyDescent="0.25"/>
    <row r="204942" s="12" customFormat="1" x14ac:dyDescent="0.25"/>
    <row r="204943" s="12" customFormat="1" x14ac:dyDescent="0.25"/>
    <row r="204944" s="12" customFormat="1" x14ac:dyDescent="0.25"/>
    <row r="204945" s="12" customFormat="1" x14ac:dyDescent="0.25"/>
    <row r="204946" s="12" customFormat="1" x14ac:dyDescent="0.25"/>
    <row r="204947" s="12" customFormat="1" x14ac:dyDescent="0.25"/>
    <row r="204948" s="12" customFormat="1" x14ac:dyDescent="0.25"/>
    <row r="204949" s="12" customFormat="1" x14ac:dyDescent="0.25"/>
    <row r="204950" s="12" customFormat="1" x14ac:dyDescent="0.25"/>
    <row r="204951" s="12" customFormat="1" x14ac:dyDescent="0.25"/>
    <row r="204952" s="12" customFormat="1" x14ac:dyDescent="0.25"/>
    <row r="204953" s="12" customFormat="1" x14ac:dyDescent="0.25"/>
    <row r="204954" s="12" customFormat="1" x14ac:dyDescent="0.25"/>
    <row r="204955" s="12" customFormat="1" x14ac:dyDescent="0.25"/>
    <row r="204956" s="12" customFormat="1" x14ac:dyDescent="0.25"/>
    <row r="204957" s="12" customFormat="1" x14ac:dyDescent="0.25"/>
    <row r="204958" s="12" customFormat="1" x14ac:dyDescent="0.25"/>
    <row r="204959" s="12" customFormat="1" x14ac:dyDescent="0.25"/>
    <row r="204960" s="12" customFormat="1" x14ac:dyDescent="0.25"/>
    <row r="204961" s="12" customFormat="1" x14ac:dyDescent="0.25"/>
    <row r="204962" s="12" customFormat="1" x14ac:dyDescent="0.25"/>
    <row r="204963" s="12" customFormat="1" x14ac:dyDescent="0.25"/>
    <row r="204964" s="12" customFormat="1" x14ac:dyDescent="0.25"/>
    <row r="204965" s="12" customFormat="1" x14ac:dyDescent="0.25"/>
    <row r="204966" s="12" customFormat="1" x14ac:dyDescent="0.25"/>
    <row r="204967" s="12" customFormat="1" x14ac:dyDescent="0.25"/>
    <row r="204968" s="12" customFormat="1" x14ac:dyDescent="0.25"/>
    <row r="204969" s="12" customFormat="1" x14ac:dyDescent="0.25"/>
    <row r="204970" s="12" customFormat="1" x14ac:dyDescent="0.25"/>
    <row r="204971" s="12" customFormat="1" x14ac:dyDescent="0.25"/>
    <row r="204972" s="12" customFormat="1" x14ac:dyDescent="0.25"/>
    <row r="204973" s="12" customFormat="1" x14ac:dyDescent="0.25"/>
    <row r="204974" s="12" customFormat="1" x14ac:dyDescent="0.25"/>
    <row r="204975" s="12" customFormat="1" x14ac:dyDescent="0.25"/>
    <row r="204976" s="12" customFormat="1" x14ac:dyDescent="0.25"/>
    <row r="204977" s="12" customFormat="1" x14ac:dyDescent="0.25"/>
    <row r="204978" s="12" customFormat="1" x14ac:dyDescent="0.25"/>
    <row r="204979" s="12" customFormat="1" x14ac:dyDescent="0.25"/>
    <row r="204980" s="12" customFormat="1" x14ac:dyDescent="0.25"/>
    <row r="204981" s="12" customFormat="1" x14ac:dyDescent="0.25"/>
    <row r="204982" s="12" customFormat="1" x14ac:dyDescent="0.25"/>
    <row r="204983" s="12" customFormat="1" x14ac:dyDescent="0.25"/>
    <row r="204984" s="12" customFormat="1" x14ac:dyDescent="0.25"/>
    <row r="204985" s="12" customFormat="1" x14ac:dyDescent="0.25"/>
    <row r="204986" s="12" customFormat="1" x14ac:dyDescent="0.25"/>
    <row r="204987" s="12" customFormat="1" x14ac:dyDescent="0.25"/>
    <row r="204988" s="12" customFormat="1" x14ac:dyDescent="0.25"/>
    <row r="204989" s="12" customFormat="1" x14ac:dyDescent="0.25"/>
    <row r="204990" s="12" customFormat="1" x14ac:dyDescent="0.25"/>
    <row r="204991" s="12" customFormat="1" x14ac:dyDescent="0.25"/>
    <row r="204992" s="12" customFormat="1" x14ac:dyDescent="0.25"/>
    <row r="204993" s="12" customFormat="1" x14ac:dyDescent="0.25"/>
    <row r="204994" s="12" customFormat="1" x14ac:dyDescent="0.25"/>
    <row r="204995" s="12" customFormat="1" x14ac:dyDescent="0.25"/>
    <row r="204996" s="12" customFormat="1" x14ac:dyDescent="0.25"/>
    <row r="204997" s="12" customFormat="1" x14ac:dyDescent="0.25"/>
    <row r="204998" s="12" customFormat="1" x14ac:dyDescent="0.25"/>
    <row r="204999" s="12" customFormat="1" x14ac:dyDescent="0.25"/>
    <row r="205000" s="12" customFormat="1" x14ac:dyDescent="0.25"/>
    <row r="205001" s="12" customFormat="1" x14ac:dyDescent="0.25"/>
    <row r="205002" s="12" customFormat="1" x14ac:dyDescent="0.25"/>
    <row r="205003" s="12" customFormat="1" x14ac:dyDescent="0.25"/>
    <row r="205004" s="12" customFormat="1" x14ac:dyDescent="0.25"/>
    <row r="205005" s="12" customFormat="1" x14ac:dyDescent="0.25"/>
    <row r="205006" s="12" customFormat="1" x14ac:dyDescent="0.25"/>
    <row r="205007" s="12" customFormat="1" x14ac:dyDescent="0.25"/>
    <row r="205008" s="12" customFormat="1" x14ac:dyDescent="0.25"/>
    <row r="205009" s="12" customFormat="1" x14ac:dyDescent="0.25"/>
    <row r="205010" s="12" customFormat="1" x14ac:dyDescent="0.25"/>
    <row r="205011" s="12" customFormat="1" x14ac:dyDescent="0.25"/>
    <row r="205012" s="12" customFormat="1" x14ac:dyDescent="0.25"/>
    <row r="205013" s="12" customFormat="1" x14ac:dyDescent="0.25"/>
    <row r="205014" s="12" customFormat="1" x14ac:dyDescent="0.25"/>
    <row r="205015" s="12" customFormat="1" x14ac:dyDescent="0.25"/>
    <row r="205016" s="12" customFormat="1" x14ac:dyDescent="0.25"/>
    <row r="205017" s="12" customFormat="1" x14ac:dyDescent="0.25"/>
    <row r="205018" s="12" customFormat="1" x14ac:dyDescent="0.25"/>
    <row r="205019" s="12" customFormat="1" x14ac:dyDescent="0.25"/>
    <row r="205020" s="12" customFormat="1" x14ac:dyDescent="0.25"/>
    <row r="205021" s="12" customFormat="1" x14ac:dyDescent="0.25"/>
    <row r="205022" s="12" customFormat="1" x14ac:dyDescent="0.25"/>
    <row r="205023" s="12" customFormat="1" x14ac:dyDescent="0.25"/>
    <row r="205024" s="12" customFormat="1" x14ac:dyDescent="0.25"/>
    <row r="205025" s="12" customFormat="1" x14ac:dyDescent="0.25"/>
    <row r="205026" s="12" customFormat="1" x14ac:dyDescent="0.25"/>
    <row r="205027" s="12" customFormat="1" x14ac:dyDescent="0.25"/>
    <row r="205028" s="12" customFormat="1" x14ac:dyDescent="0.25"/>
    <row r="205029" s="12" customFormat="1" x14ac:dyDescent="0.25"/>
    <row r="205030" s="12" customFormat="1" x14ac:dyDescent="0.25"/>
    <row r="205031" s="12" customFormat="1" x14ac:dyDescent="0.25"/>
    <row r="205032" s="12" customFormat="1" x14ac:dyDescent="0.25"/>
    <row r="205033" s="12" customFormat="1" x14ac:dyDescent="0.25"/>
    <row r="205034" s="12" customFormat="1" x14ac:dyDescent="0.25"/>
    <row r="205035" s="12" customFormat="1" x14ac:dyDescent="0.25"/>
    <row r="205036" s="12" customFormat="1" x14ac:dyDescent="0.25"/>
    <row r="205037" s="12" customFormat="1" x14ac:dyDescent="0.25"/>
    <row r="205038" s="12" customFormat="1" x14ac:dyDescent="0.25"/>
    <row r="205039" s="12" customFormat="1" x14ac:dyDescent="0.25"/>
    <row r="205040" s="12" customFormat="1" x14ac:dyDescent="0.25"/>
    <row r="205041" s="12" customFormat="1" x14ac:dyDescent="0.25"/>
    <row r="205042" s="12" customFormat="1" x14ac:dyDescent="0.25"/>
    <row r="205043" s="12" customFormat="1" x14ac:dyDescent="0.25"/>
    <row r="205044" s="12" customFormat="1" x14ac:dyDescent="0.25"/>
    <row r="205045" s="12" customFormat="1" x14ac:dyDescent="0.25"/>
    <row r="205046" s="12" customFormat="1" x14ac:dyDescent="0.25"/>
    <row r="205047" s="12" customFormat="1" x14ac:dyDescent="0.25"/>
    <row r="205048" s="12" customFormat="1" x14ac:dyDescent="0.25"/>
    <row r="205049" s="12" customFormat="1" x14ac:dyDescent="0.25"/>
    <row r="205050" s="12" customFormat="1" x14ac:dyDescent="0.25"/>
    <row r="205051" s="12" customFormat="1" x14ac:dyDescent="0.25"/>
    <row r="205052" s="12" customFormat="1" x14ac:dyDescent="0.25"/>
    <row r="205053" s="12" customFormat="1" x14ac:dyDescent="0.25"/>
    <row r="205054" s="12" customFormat="1" x14ac:dyDescent="0.25"/>
    <row r="205055" s="12" customFormat="1" x14ac:dyDescent="0.25"/>
    <row r="205056" s="12" customFormat="1" x14ac:dyDescent="0.25"/>
    <row r="205057" s="12" customFormat="1" x14ac:dyDescent="0.25"/>
    <row r="205058" s="12" customFormat="1" x14ac:dyDescent="0.25"/>
    <row r="205059" s="12" customFormat="1" x14ac:dyDescent="0.25"/>
    <row r="205060" s="12" customFormat="1" x14ac:dyDescent="0.25"/>
    <row r="205061" s="12" customFormat="1" x14ac:dyDescent="0.25"/>
    <row r="205062" s="12" customFormat="1" x14ac:dyDescent="0.25"/>
    <row r="205063" s="12" customFormat="1" x14ac:dyDescent="0.25"/>
    <row r="205064" s="12" customFormat="1" x14ac:dyDescent="0.25"/>
    <row r="205065" s="12" customFormat="1" x14ac:dyDescent="0.25"/>
    <row r="205066" s="12" customFormat="1" x14ac:dyDescent="0.25"/>
    <row r="205067" s="12" customFormat="1" x14ac:dyDescent="0.25"/>
    <row r="205068" s="12" customFormat="1" x14ac:dyDescent="0.25"/>
    <row r="205069" s="12" customFormat="1" x14ac:dyDescent="0.25"/>
    <row r="205070" s="12" customFormat="1" x14ac:dyDescent="0.25"/>
    <row r="205071" s="12" customFormat="1" x14ac:dyDescent="0.25"/>
    <row r="205072" s="12" customFormat="1" x14ac:dyDescent="0.25"/>
    <row r="205073" s="12" customFormat="1" x14ac:dyDescent="0.25"/>
    <row r="205074" s="12" customFormat="1" x14ac:dyDescent="0.25"/>
    <row r="205075" s="12" customFormat="1" x14ac:dyDescent="0.25"/>
    <row r="205076" s="12" customFormat="1" x14ac:dyDescent="0.25"/>
    <row r="205077" s="12" customFormat="1" x14ac:dyDescent="0.25"/>
    <row r="205078" s="12" customFormat="1" x14ac:dyDescent="0.25"/>
    <row r="205079" s="12" customFormat="1" x14ac:dyDescent="0.25"/>
    <row r="205080" s="12" customFormat="1" x14ac:dyDescent="0.25"/>
    <row r="205081" s="12" customFormat="1" x14ac:dyDescent="0.25"/>
    <row r="205082" s="12" customFormat="1" x14ac:dyDescent="0.25"/>
    <row r="205083" s="12" customFormat="1" x14ac:dyDescent="0.25"/>
    <row r="205084" s="12" customFormat="1" x14ac:dyDescent="0.25"/>
    <row r="205085" s="12" customFormat="1" x14ac:dyDescent="0.25"/>
    <row r="205086" s="12" customFormat="1" x14ac:dyDescent="0.25"/>
    <row r="205087" s="12" customFormat="1" x14ac:dyDescent="0.25"/>
    <row r="205088" s="12" customFormat="1" x14ac:dyDescent="0.25"/>
    <row r="205089" s="12" customFormat="1" x14ac:dyDescent="0.25"/>
    <row r="205090" s="12" customFormat="1" x14ac:dyDescent="0.25"/>
    <row r="205091" s="12" customFormat="1" x14ac:dyDescent="0.25"/>
    <row r="205092" s="12" customFormat="1" x14ac:dyDescent="0.25"/>
    <row r="205093" s="12" customFormat="1" x14ac:dyDescent="0.25"/>
    <row r="205094" s="12" customFormat="1" x14ac:dyDescent="0.25"/>
    <row r="205095" s="12" customFormat="1" x14ac:dyDescent="0.25"/>
    <row r="205096" s="12" customFormat="1" x14ac:dyDescent="0.25"/>
    <row r="205097" s="12" customFormat="1" x14ac:dyDescent="0.25"/>
    <row r="205098" s="12" customFormat="1" x14ac:dyDescent="0.25"/>
    <row r="205099" s="12" customFormat="1" x14ac:dyDescent="0.25"/>
    <row r="205100" s="12" customFormat="1" x14ac:dyDescent="0.25"/>
    <row r="205101" s="12" customFormat="1" x14ac:dyDescent="0.25"/>
    <row r="205102" s="12" customFormat="1" x14ac:dyDescent="0.25"/>
    <row r="205103" s="12" customFormat="1" x14ac:dyDescent="0.25"/>
    <row r="205104" s="12" customFormat="1" x14ac:dyDescent="0.25"/>
    <row r="205105" s="12" customFormat="1" x14ac:dyDescent="0.25"/>
    <row r="205106" s="12" customFormat="1" x14ac:dyDescent="0.25"/>
    <row r="205107" s="12" customFormat="1" x14ac:dyDescent="0.25"/>
    <row r="205108" s="12" customFormat="1" x14ac:dyDescent="0.25"/>
    <row r="205109" s="12" customFormat="1" x14ac:dyDescent="0.25"/>
    <row r="205110" s="12" customFormat="1" x14ac:dyDescent="0.25"/>
    <row r="205111" s="12" customFormat="1" x14ac:dyDescent="0.25"/>
    <row r="205112" s="12" customFormat="1" x14ac:dyDescent="0.25"/>
    <row r="205113" s="12" customFormat="1" x14ac:dyDescent="0.25"/>
    <row r="205114" s="12" customFormat="1" x14ac:dyDescent="0.25"/>
    <row r="205115" s="12" customFormat="1" x14ac:dyDescent="0.25"/>
    <row r="205116" s="12" customFormat="1" x14ac:dyDescent="0.25"/>
    <row r="205117" s="12" customFormat="1" x14ac:dyDescent="0.25"/>
    <row r="205118" s="12" customFormat="1" x14ac:dyDescent="0.25"/>
    <row r="205119" s="12" customFormat="1" x14ac:dyDescent="0.25"/>
    <row r="205120" s="12" customFormat="1" x14ac:dyDescent="0.25"/>
    <row r="205121" s="12" customFormat="1" x14ac:dyDescent="0.25"/>
    <row r="205122" s="12" customFormat="1" x14ac:dyDescent="0.25"/>
    <row r="205123" s="12" customFormat="1" x14ac:dyDescent="0.25"/>
    <row r="205124" s="12" customFormat="1" x14ac:dyDescent="0.25"/>
    <row r="205125" s="12" customFormat="1" x14ac:dyDescent="0.25"/>
    <row r="205126" s="12" customFormat="1" x14ac:dyDescent="0.25"/>
    <row r="205127" s="12" customFormat="1" x14ac:dyDescent="0.25"/>
    <row r="205128" s="12" customFormat="1" x14ac:dyDescent="0.25"/>
    <row r="205129" s="12" customFormat="1" x14ac:dyDescent="0.25"/>
    <row r="205130" s="12" customFormat="1" x14ac:dyDescent="0.25"/>
    <row r="205131" s="12" customFormat="1" x14ac:dyDescent="0.25"/>
    <row r="205132" s="12" customFormat="1" x14ac:dyDescent="0.25"/>
    <row r="205133" s="12" customFormat="1" x14ac:dyDescent="0.25"/>
    <row r="205134" s="12" customFormat="1" x14ac:dyDescent="0.25"/>
    <row r="205135" s="12" customFormat="1" x14ac:dyDescent="0.25"/>
    <row r="205136" s="12" customFormat="1" x14ac:dyDescent="0.25"/>
    <row r="205137" s="12" customFormat="1" x14ac:dyDescent="0.25"/>
    <row r="205138" s="12" customFormat="1" x14ac:dyDescent="0.25"/>
    <row r="205139" s="12" customFormat="1" x14ac:dyDescent="0.25"/>
    <row r="205140" s="12" customFormat="1" x14ac:dyDescent="0.25"/>
    <row r="205141" s="12" customFormat="1" x14ac:dyDescent="0.25"/>
    <row r="205142" s="12" customFormat="1" x14ac:dyDescent="0.25"/>
    <row r="205143" s="12" customFormat="1" x14ac:dyDescent="0.25"/>
    <row r="205144" s="12" customFormat="1" x14ac:dyDescent="0.25"/>
    <row r="205145" s="12" customFormat="1" x14ac:dyDescent="0.25"/>
    <row r="205146" s="12" customFormat="1" x14ac:dyDescent="0.25"/>
    <row r="205147" s="12" customFormat="1" x14ac:dyDescent="0.25"/>
    <row r="205148" s="12" customFormat="1" x14ac:dyDescent="0.25"/>
    <row r="205149" s="12" customFormat="1" x14ac:dyDescent="0.25"/>
    <row r="205150" s="12" customFormat="1" x14ac:dyDescent="0.25"/>
    <row r="205151" s="12" customFormat="1" x14ac:dyDescent="0.25"/>
    <row r="205152" s="12" customFormat="1" x14ac:dyDescent="0.25"/>
    <row r="205153" s="12" customFormat="1" x14ac:dyDescent="0.25"/>
    <row r="205154" s="12" customFormat="1" x14ac:dyDescent="0.25"/>
    <row r="205155" s="12" customFormat="1" x14ac:dyDescent="0.25"/>
    <row r="205156" s="12" customFormat="1" x14ac:dyDescent="0.25"/>
    <row r="205157" s="12" customFormat="1" x14ac:dyDescent="0.25"/>
    <row r="205158" s="12" customFormat="1" x14ac:dyDescent="0.25"/>
    <row r="205159" s="12" customFormat="1" x14ac:dyDescent="0.25"/>
    <row r="205160" s="12" customFormat="1" x14ac:dyDescent="0.25"/>
    <row r="205161" s="12" customFormat="1" x14ac:dyDescent="0.25"/>
    <row r="205162" s="12" customFormat="1" x14ac:dyDescent="0.25"/>
    <row r="205163" s="12" customFormat="1" x14ac:dyDescent="0.25"/>
    <row r="205164" s="12" customFormat="1" x14ac:dyDescent="0.25"/>
    <row r="205165" s="12" customFormat="1" x14ac:dyDescent="0.25"/>
    <row r="205166" s="12" customFormat="1" x14ac:dyDescent="0.25"/>
    <row r="205167" s="12" customFormat="1" x14ac:dyDescent="0.25"/>
    <row r="205168" s="12" customFormat="1" x14ac:dyDescent="0.25"/>
    <row r="205169" s="12" customFormat="1" x14ac:dyDescent="0.25"/>
    <row r="205170" s="12" customFormat="1" x14ac:dyDescent="0.25"/>
    <row r="205171" s="12" customFormat="1" x14ac:dyDescent="0.25"/>
    <row r="205172" s="12" customFormat="1" x14ac:dyDescent="0.25"/>
    <row r="205173" s="12" customFormat="1" x14ac:dyDescent="0.25"/>
    <row r="205174" s="12" customFormat="1" x14ac:dyDescent="0.25"/>
    <row r="205175" s="12" customFormat="1" x14ac:dyDescent="0.25"/>
    <row r="205176" s="12" customFormat="1" x14ac:dyDescent="0.25"/>
    <row r="205177" s="12" customFormat="1" x14ac:dyDescent="0.25"/>
    <row r="205178" s="12" customFormat="1" x14ac:dyDescent="0.25"/>
    <row r="205179" s="12" customFormat="1" x14ac:dyDescent="0.25"/>
    <row r="205180" s="12" customFormat="1" x14ac:dyDescent="0.25"/>
    <row r="205181" s="12" customFormat="1" x14ac:dyDescent="0.25"/>
    <row r="205182" s="12" customFormat="1" x14ac:dyDescent="0.25"/>
    <row r="205183" s="12" customFormat="1" x14ac:dyDescent="0.25"/>
    <row r="205184" s="12" customFormat="1" x14ac:dyDescent="0.25"/>
    <row r="205185" s="12" customFormat="1" x14ac:dyDescent="0.25"/>
    <row r="205186" s="12" customFormat="1" x14ac:dyDescent="0.25"/>
    <row r="205187" s="12" customFormat="1" x14ac:dyDescent="0.25"/>
    <row r="205188" s="12" customFormat="1" x14ac:dyDescent="0.25"/>
    <row r="205189" s="12" customFormat="1" x14ac:dyDescent="0.25"/>
    <row r="205190" s="12" customFormat="1" x14ac:dyDescent="0.25"/>
    <row r="205191" s="12" customFormat="1" x14ac:dyDescent="0.25"/>
    <row r="205192" s="12" customFormat="1" x14ac:dyDescent="0.25"/>
    <row r="205193" s="12" customFormat="1" x14ac:dyDescent="0.25"/>
    <row r="205194" s="12" customFormat="1" x14ac:dyDescent="0.25"/>
    <row r="205195" s="12" customFormat="1" x14ac:dyDescent="0.25"/>
    <row r="205196" s="12" customFormat="1" x14ac:dyDescent="0.25"/>
    <row r="205197" s="12" customFormat="1" x14ac:dyDescent="0.25"/>
    <row r="205198" s="12" customFormat="1" x14ac:dyDescent="0.25"/>
    <row r="205199" s="12" customFormat="1" x14ac:dyDescent="0.25"/>
    <row r="205200" s="12" customFormat="1" x14ac:dyDescent="0.25"/>
    <row r="205201" s="12" customFormat="1" x14ac:dyDescent="0.25"/>
    <row r="205202" s="12" customFormat="1" x14ac:dyDescent="0.25"/>
    <row r="205203" s="12" customFormat="1" x14ac:dyDescent="0.25"/>
    <row r="205204" s="12" customFormat="1" x14ac:dyDescent="0.25"/>
    <row r="205205" s="12" customFormat="1" x14ac:dyDescent="0.25"/>
    <row r="205206" s="12" customFormat="1" x14ac:dyDescent="0.25"/>
    <row r="205207" s="12" customFormat="1" x14ac:dyDescent="0.25"/>
    <row r="205208" s="12" customFormat="1" x14ac:dyDescent="0.25"/>
    <row r="205209" s="12" customFormat="1" x14ac:dyDescent="0.25"/>
    <row r="205210" s="12" customFormat="1" x14ac:dyDescent="0.25"/>
    <row r="205211" s="12" customFormat="1" x14ac:dyDescent="0.25"/>
    <row r="205212" s="12" customFormat="1" x14ac:dyDescent="0.25"/>
    <row r="205213" s="12" customFormat="1" x14ac:dyDescent="0.25"/>
    <row r="205214" s="12" customFormat="1" x14ac:dyDescent="0.25"/>
    <row r="205215" s="12" customFormat="1" x14ac:dyDescent="0.25"/>
    <row r="205216" s="12" customFormat="1" x14ac:dyDescent="0.25"/>
    <row r="205217" s="12" customFormat="1" x14ac:dyDescent="0.25"/>
    <row r="205218" s="12" customFormat="1" x14ac:dyDescent="0.25"/>
    <row r="205219" s="12" customFormat="1" x14ac:dyDescent="0.25"/>
    <row r="205220" s="12" customFormat="1" x14ac:dyDescent="0.25"/>
    <row r="205221" s="12" customFormat="1" x14ac:dyDescent="0.25"/>
    <row r="205222" s="12" customFormat="1" x14ac:dyDescent="0.25"/>
    <row r="205223" s="12" customFormat="1" x14ac:dyDescent="0.25"/>
    <row r="205224" s="12" customFormat="1" x14ac:dyDescent="0.25"/>
    <row r="205225" s="12" customFormat="1" x14ac:dyDescent="0.25"/>
    <row r="205226" s="12" customFormat="1" x14ac:dyDescent="0.25"/>
    <row r="205227" s="12" customFormat="1" x14ac:dyDescent="0.25"/>
    <row r="205228" s="12" customFormat="1" x14ac:dyDescent="0.25"/>
    <row r="205229" s="12" customFormat="1" x14ac:dyDescent="0.25"/>
    <row r="205230" s="12" customFormat="1" x14ac:dyDescent="0.25"/>
    <row r="205231" s="12" customFormat="1" x14ac:dyDescent="0.25"/>
    <row r="205232" s="12" customFormat="1" x14ac:dyDescent="0.25"/>
    <row r="205233" s="12" customFormat="1" x14ac:dyDescent="0.25"/>
    <row r="205234" s="12" customFormat="1" x14ac:dyDescent="0.25"/>
    <row r="205235" s="12" customFormat="1" x14ac:dyDescent="0.25"/>
    <row r="205236" s="12" customFormat="1" x14ac:dyDescent="0.25"/>
    <row r="205237" s="12" customFormat="1" x14ac:dyDescent="0.25"/>
    <row r="205238" s="12" customFormat="1" x14ac:dyDescent="0.25"/>
    <row r="205239" s="12" customFormat="1" x14ac:dyDescent="0.25"/>
    <row r="205240" s="12" customFormat="1" x14ac:dyDescent="0.25"/>
    <row r="205241" s="12" customFormat="1" x14ac:dyDescent="0.25"/>
    <row r="205242" s="12" customFormat="1" x14ac:dyDescent="0.25"/>
    <row r="205243" s="12" customFormat="1" x14ac:dyDescent="0.25"/>
    <row r="205244" s="12" customFormat="1" x14ac:dyDescent="0.25"/>
    <row r="205245" s="12" customFormat="1" x14ac:dyDescent="0.25"/>
    <row r="205246" s="12" customFormat="1" x14ac:dyDescent="0.25"/>
    <row r="205247" s="12" customFormat="1" x14ac:dyDescent="0.25"/>
    <row r="205248" s="12" customFormat="1" x14ac:dyDescent="0.25"/>
    <row r="205249" s="12" customFormat="1" x14ac:dyDescent="0.25"/>
    <row r="205250" s="12" customFormat="1" x14ac:dyDescent="0.25"/>
    <row r="205251" s="12" customFormat="1" x14ac:dyDescent="0.25"/>
    <row r="205252" s="12" customFormat="1" x14ac:dyDescent="0.25"/>
    <row r="205253" s="12" customFormat="1" x14ac:dyDescent="0.25"/>
    <row r="205254" s="12" customFormat="1" x14ac:dyDescent="0.25"/>
    <row r="205255" s="12" customFormat="1" x14ac:dyDescent="0.25"/>
    <row r="205256" s="12" customFormat="1" x14ac:dyDescent="0.25"/>
    <row r="205257" s="12" customFormat="1" x14ac:dyDescent="0.25"/>
    <row r="205258" s="12" customFormat="1" x14ac:dyDescent="0.25"/>
    <row r="205259" s="12" customFormat="1" x14ac:dyDescent="0.25"/>
    <row r="205260" s="12" customFormat="1" x14ac:dyDescent="0.25"/>
    <row r="205261" s="12" customFormat="1" x14ac:dyDescent="0.25"/>
    <row r="205262" s="12" customFormat="1" x14ac:dyDescent="0.25"/>
    <row r="205263" s="12" customFormat="1" x14ac:dyDescent="0.25"/>
    <row r="205264" s="12" customFormat="1" x14ac:dyDescent="0.25"/>
    <row r="205265" s="12" customFormat="1" x14ac:dyDescent="0.25"/>
    <row r="205266" s="12" customFormat="1" x14ac:dyDescent="0.25"/>
    <row r="205267" s="12" customFormat="1" x14ac:dyDescent="0.25"/>
    <row r="205268" s="12" customFormat="1" x14ac:dyDescent="0.25"/>
    <row r="205269" s="12" customFormat="1" x14ac:dyDescent="0.25"/>
    <row r="205270" s="12" customFormat="1" x14ac:dyDescent="0.25"/>
    <row r="205271" s="12" customFormat="1" x14ac:dyDescent="0.25"/>
    <row r="205272" s="12" customFormat="1" x14ac:dyDescent="0.25"/>
    <row r="205273" s="12" customFormat="1" x14ac:dyDescent="0.25"/>
    <row r="205274" s="12" customFormat="1" x14ac:dyDescent="0.25"/>
    <row r="205275" s="12" customFormat="1" x14ac:dyDescent="0.25"/>
    <row r="205276" s="12" customFormat="1" x14ac:dyDescent="0.25"/>
    <row r="205277" s="12" customFormat="1" x14ac:dyDescent="0.25"/>
    <row r="205278" s="12" customFormat="1" x14ac:dyDescent="0.25"/>
    <row r="205279" s="12" customFormat="1" x14ac:dyDescent="0.25"/>
    <row r="205280" s="12" customFormat="1" x14ac:dyDescent="0.25"/>
    <row r="205281" s="12" customFormat="1" x14ac:dyDescent="0.25"/>
    <row r="205282" s="12" customFormat="1" x14ac:dyDescent="0.25"/>
    <row r="205283" s="12" customFormat="1" x14ac:dyDescent="0.25"/>
    <row r="205284" s="12" customFormat="1" x14ac:dyDescent="0.25"/>
    <row r="205285" s="12" customFormat="1" x14ac:dyDescent="0.25"/>
    <row r="205286" s="12" customFormat="1" x14ac:dyDescent="0.25"/>
    <row r="205287" s="12" customFormat="1" x14ac:dyDescent="0.25"/>
    <row r="205288" s="12" customFormat="1" x14ac:dyDescent="0.25"/>
    <row r="205289" s="12" customFormat="1" x14ac:dyDescent="0.25"/>
    <row r="205290" s="12" customFormat="1" x14ac:dyDescent="0.25"/>
    <row r="205291" s="12" customFormat="1" x14ac:dyDescent="0.25"/>
    <row r="205292" s="12" customFormat="1" x14ac:dyDescent="0.25"/>
    <row r="205293" s="12" customFormat="1" x14ac:dyDescent="0.25"/>
    <row r="205294" s="12" customFormat="1" x14ac:dyDescent="0.25"/>
    <row r="205295" s="12" customFormat="1" x14ac:dyDescent="0.25"/>
    <row r="205296" s="12" customFormat="1" x14ac:dyDescent="0.25"/>
    <row r="205297" s="12" customFormat="1" x14ac:dyDescent="0.25"/>
    <row r="205298" s="12" customFormat="1" x14ac:dyDescent="0.25"/>
    <row r="205299" s="12" customFormat="1" x14ac:dyDescent="0.25"/>
    <row r="205300" s="12" customFormat="1" x14ac:dyDescent="0.25"/>
    <row r="205301" s="12" customFormat="1" x14ac:dyDescent="0.25"/>
    <row r="205302" s="12" customFormat="1" x14ac:dyDescent="0.25"/>
    <row r="205303" s="12" customFormat="1" x14ac:dyDescent="0.25"/>
    <row r="205304" s="12" customFormat="1" x14ac:dyDescent="0.25"/>
    <row r="205305" s="12" customFormat="1" x14ac:dyDescent="0.25"/>
    <row r="205306" s="12" customFormat="1" x14ac:dyDescent="0.25"/>
    <row r="205307" s="12" customFormat="1" x14ac:dyDescent="0.25"/>
    <row r="205308" s="12" customFormat="1" x14ac:dyDescent="0.25"/>
    <row r="205309" s="12" customFormat="1" x14ac:dyDescent="0.25"/>
    <row r="205310" s="12" customFormat="1" x14ac:dyDescent="0.25"/>
    <row r="205311" s="12" customFormat="1" x14ac:dyDescent="0.25"/>
    <row r="205312" s="12" customFormat="1" x14ac:dyDescent="0.25"/>
    <row r="205313" s="12" customFormat="1" x14ac:dyDescent="0.25"/>
    <row r="205314" s="12" customFormat="1" x14ac:dyDescent="0.25"/>
    <row r="205315" s="12" customFormat="1" x14ac:dyDescent="0.25"/>
    <row r="205316" s="12" customFormat="1" x14ac:dyDescent="0.25"/>
    <row r="205317" s="12" customFormat="1" x14ac:dyDescent="0.25"/>
    <row r="205318" s="12" customFormat="1" x14ac:dyDescent="0.25"/>
    <row r="205319" s="12" customFormat="1" x14ac:dyDescent="0.25"/>
    <row r="205320" s="12" customFormat="1" x14ac:dyDescent="0.25"/>
    <row r="205321" s="12" customFormat="1" x14ac:dyDescent="0.25"/>
    <row r="205322" s="12" customFormat="1" x14ac:dyDescent="0.25"/>
    <row r="205323" s="12" customFormat="1" x14ac:dyDescent="0.25"/>
    <row r="205324" s="12" customFormat="1" x14ac:dyDescent="0.25"/>
    <row r="205325" s="12" customFormat="1" x14ac:dyDescent="0.25"/>
    <row r="205326" s="12" customFormat="1" x14ac:dyDescent="0.25"/>
    <row r="205327" s="12" customFormat="1" x14ac:dyDescent="0.25"/>
    <row r="205328" s="12" customFormat="1" x14ac:dyDescent="0.25"/>
    <row r="205329" s="12" customFormat="1" x14ac:dyDescent="0.25"/>
    <row r="205330" s="12" customFormat="1" x14ac:dyDescent="0.25"/>
    <row r="205331" s="12" customFormat="1" x14ac:dyDescent="0.25"/>
    <row r="205332" s="12" customFormat="1" x14ac:dyDescent="0.25"/>
    <row r="205333" s="12" customFormat="1" x14ac:dyDescent="0.25"/>
    <row r="205334" s="12" customFormat="1" x14ac:dyDescent="0.25"/>
    <row r="205335" s="12" customFormat="1" x14ac:dyDescent="0.25"/>
    <row r="205336" s="12" customFormat="1" x14ac:dyDescent="0.25"/>
    <row r="205337" s="12" customFormat="1" x14ac:dyDescent="0.25"/>
    <row r="205338" s="12" customFormat="1" x14ac:dyDescent="0.25"/>
    <row r="205339" s="12" customFormat="1" x14ac:dyDescent="0.25"/>
    <row r="205340" s="12" customFormat="1" x14ac:dyDescent="0.25"/>
    <row r="205341" s="12" customFormat="1" x14ac:dyDescent="0.25"/>
    <row r="205342" s="12" customFormat="1" x14ac:dyDescent="0.25"/>
    <row r="205343" s="12" customFormat="1" x14ac:dyDescent="0.25"/>
    <row r="205344" s="12" customFormat="1" x14ac:dyDescent="0.25"/>
    <row r="205345" s="12" customFormat="1" x14ac:dyDescent="0.25"/>
    <row r="205346" s="12" customFormat="1" x14ac:dyDescent="0.25"/>
    <row r="205347" s="12" customFormat="1" x14ac:dyDescent="0.25"/>
    <row r="205348" s="12" customFormat="1" x14ac:dyDescent="0.25"/>
    <row r="205349" s="12" customFormat="1" x14ac:dyDescent="0.25"/>
    <row r="205350" s="12" customFormat="1" x14ac:dyDescent="0.25"/>
    <row r="205351" s="12" customFormat="1" x14ac:dyDescent="0.25"/>
    <row r="205352" s="12" customFormat="1" x14ac:dyDescent="0.25"/>
    <row r="205353" s="12" customFormat="1" x14ac:dyDescent="0.25"/>
    <row r="205354" s="12" customFormat="1" x14ac:dyDescent="0.25"/>
    <row r="205355" s="12" customFormat="1" x14ac:dyDescent="0.25"/>
    <row r="205356" s="12" customFormat="1" x14ac:dyDescent="0.25"/>
    <row r="205357" s="12" customFormat="1" x14ac:dyDescent="0.25"/>
    <row r="205358" s="12" customFormat="1" x14ac:dyDescent="0.25"/>
    <row r="205359" s="12" customFormat="1" x14ac:dyDescent="0.25"/>
    <row r="205360" s="12" customFormat="1" x14ac:dyDescent="0.25"/>
    <row r="205361" s="12" customFormat="1" x14ac:dyDescent="0.25"/>
    <row r="205362" s="12" customFormat="1" x14ac:dyDescent="0.25"/>
    <row r="205363" s="12" customFormat="1" x14ac:dyDescent="0.25"/>
    <row r="205364" s="12" customFormat="1" x14ac:dyDescent="0.25"/>
    <row r="205365" s="12" customFormat="1" x14ac:dyDescent="0.25"/>
    <row r="205366" s="12" customFormat="1" x14ac:dyDescent="0.25"/>
    <row r="205367" s="12" customFormat="1" x14ac:dyDescent="0.25"/>
    <row r="205368" s="12" customFormat="1" x14ac:dyDescent="0.25"/>
    <row r="205369" s="12" customFormat="1" x14ac:dyDescent="0.25"/>
    <row r="205370" s="12" customFormat="1" x14ac:dyDescent="0.25"/>
    <row r="205371" s="12" customFormat="1" x14ac:dyDescent="0.25"/>
    <row r="205372" s="12" customFormat="1" x14ac:dyDescent="0.25"/>
    <row r="205373" s="12" customFormat="1" x14ac:dyDescent="0.25"/>
    <row r="205374" s="12" customFormat="1" x14ac:dyDescent="0.25"/>
    <row r="205375" s="12" customFormat="1" x14ac:dyDescent="0.25"/>
    <row r="205376" s="12" customFormat="1" x14ac:dyDescent="0.25"/>
    <row r="205377" s="12" customFormat="1" x14ac:dyDescent="0.25"/>
    <row r="205378" s="12" customFormat="1" x14ac:dyDescent="0.25"/>
    <row r="205379" s="12" customFormat="1" x14ac:dyDescent="0.25"/>
    <row r="205380" s="12" customFormat="1" x14ac:dyDescent="0.25"/>
    <row r="205381" s="12" customFormat="1" x14ac:dyDescent="0.25"/>
    <row r="205382" s="12" customFormat="1" x14ac:dyDescent="0.25"/>
    <row r="205383" s="12" customFormat="1" x14ac:dyDescent="0.25"/>
    <row r="205384" s="12" customFormat="1" x14ac:dyDescent="0.25"/>
    <row r="205385" s="12" customFormat="1" x14ac:dyDescent="0.25"/>
    <row r="205386" s="12" customFormat="1" x14ac:dyDescent="0.25"/>
    <row r="205387" s="12" customFormat="1" x14ac:dyDescent="0.25"/>
    <row r="205388" s="12" customFormat="1" x14ac:dyDescent="0.25"/>
    <row r="205389" s="12" customFormat="1" x14ac:dyDescent="0.25"/>
    <row r="205390" s="12" customFormat="1" x14ac:dyDescent="0.25"/>
    <row r="205391" s="12" customFormat="1" x14ac:dyDescent="0.25"/>
    <row r="205392" s="12" customFormat="1" x14ac:dyDescent="0.25"/>
    <row r="205393" s="12" customFormat="1" x14ac:dyDescent="0.25"/>
    <row r="205394" s="12" customFormat="1" x14ac:dyDescent="0.25"/>
    <row r="205395" s="12" customFormat="1" x14ac:dyDescent="0.25"/>
    <row r="205396" s="12" customFormat="1" x14ac:dyDescent="0.25"/>
    <row r="205397" s="12" customFormat="1" x14ac:dyDescent="0.25"/>
    <row r="205398" s="12" customFormat="1" x14ac:dyDescent="0.25"/>
    <row r="205399" s="12" customFormat="1" x14ac:dyDescent="0.25"/>
    <row r="205400" s="12" customFormat="1" x14ac:dyDescent="0.25"/>
    <row r="205401" s="12" customFormat="1" x14ac:dyDescent="0.25"/>
    <row r="205402" s="12" customFormat="1" x14ac:dyDescent="0.25"/>
    <row r="205403" s="12" customFormat="1" x14ac:dyDescent="0.25"/>
    <row r="205404" s="12" customFormat="1" x14ac:dyDescent="0.25"/>
    <row r="205405" s="12" customFormat="1" x14ac:dyDescent="0.25"/>
    <row r="205406" s="12" customFormat="1" x14ac:dyDescent="0.25"/>
    <row r="205407" s="12" customFormat="1" x14ac:dyDescent="0.25"/>
    <row r="205408" s="12" customFormat="1" x14ac:dyDescent="0.25"/>
    <row r="205409" s="12" customFormat="1" x14ac:dyDescent="0.25"/>
    <row r="205410" s="12" customFormat="1" x14ac:dyDescent="0.25"/>
    <row r="205411" s="12" customFormat="1" x14ac:dyDescent="0.25"/>
    <row r="205412" s="12" customFormat="1" x14ac:dyDescent="0.25"/>
    <row r="205413" s="12" customFormat="1" x14ac:dyDescent="0.25"/>
    <row r="205414" s="12" customFormat="1" x14ac:dyDescent="0.25"/>
    <row r="205415" s="12" customFormat="1" x14ac:dyDescent="0.25"/>
    <row r="205416" s="12" customFormat="1" x14ac:dyDescent="0.25"/>
    <row r="205417" s="12" customFormat="1" x14ac:dyDescent="0.25"/>
    <row r="205418" s="12" customFormat="1" x14ac:dyDescent="0.25"/>
    <row r="205419" s="12" customFormat="1" x14ac:dyDescent="0.25"/>
    <row r="205420" s="12" customFormat="1" x14ac:dyDescent="0.25"/>
    <row r="205421" s="12" customFormat="1" x14ac:dyDescent="0.25"/>
    <row r="205422" s="12" customFormat="1" x14ac:dyDescent="0.25"/>
    <row r="205423" s="12" customFormat="1" x14ac:dyDescent="0.25"/>
    <row r="205424" s="12" customFormat="1" x14ac:dyDescent="0.25"/>
    <row r="205425" s="12" customFormat="1" x14ac:dyDescent="0.25"/>
    <row r="205426" s="12" customFormat="1" x14ac:dyDescent="0.25"/>
    <row r="205427" s="12" customFormat="1" x14ac:dyDescent="0.25"/>
    <row r="205428" s="12" customFormat="1" x14ac:dyDescent="0.25"/>
    <row r="205429" s="12" customFormat="1" x14ac:dyDescent="0.25"/>
    <row r="205430" s="12" customFormat="1" x14ac:dyDescent="0.25"/>
    <row r="205431" s="12" customFormat="1" x14ac:dyDescent="0.25"/>
    <row r="205432" s="12" customFormat="1" x14ac:dyDescent="0.25"/>
    <row r="205433" s="12" customFormat="1" x14ac:dyDescent="0.25"/>
    <row r="205434" s="12" customFormat="1" x14ac:dyDescent="0.25"/>
    <row r="205435" s="12" customFormat="1" x14ac:dyDescent="0.25"/>
    <row r="205436" s="12" customFormat="1" x14ac:dyDescent="0.25"/>
    <row r="205437" s="12" customFormat="1" x14ac:dyDescent="0.25"/>
    <row r="205438" s="12" customFormat="1" x14ac:dyDescent="0.25"/>
    <row r="205439" s="12" customFormat="1" x14ac:dyDescent="0.25"/>
    <row r="205440" s="12" customFormat="1" x14ac:dyDescent="0.25"/>
    <row r="205441" s="12" customFormat="1" x14ac:dyDescent="0.25"/>
    <row r="205442" s="12" customFormat="1" x14ac:dyDescent="0.25"/>
    <row r="205443" s="12" customFormat="1" x14ac:dyDescent="0.25"/>
    <row r="205444" s="12" customFormat="1" x14ac:dyDescent="0.25"/>
    <row r="205445" s="12" customFormat="1" x14ac:dyDescent="0.25"/>
    <row r="205446" s="12" customFormat="1" x14ac:dyDescent="0.25"/>
    <row r="205447" s="12" customFormat="1" x14ac:dyDescent="0.25"/>
    <row r="205448" s="12" customFormat="1" x14ac:dyDescent="0.25"/>
    <row r="205449" s="12" customFormat="1" x14ac:dyDescent="0.25"/>
    <row r="205450" s="12" customFormat="1" x14ac:dyDescent="0.25"/>
    <row r="205451" s="12" customFormat="1" x14ac:dyDescent="0.25"/>
    <row r="205452" s="12" customFormat="1" x14ac:dyDescent="0.25"/>
    <row r="205453" s="12" customFormat="1" x14ac:dyDescent="0.25"/>
    <row r="205454" s="12" customFormat="1" x14ac:dyDescent="0.25"/>
    <row r="205455" s="12" customFormat="1" x14ac:dyDescent="0.25"/>
    <row r="205456" s="12" customFormat="1" x14ac:dyDescent="0.25"/>
    <row r="205457" s="12" customFormat="1" x14ac:dyDescent="0.25"/>
    <row r="205458" s="12" customFormat="1" x14ac:dyDescent="0.25"/>
    <row r="205459" s="12" customFormat="1" x14ac:dyDescent="0.25"/>
    <row r="205460" s="12" customFormat="1" x14ac:dyDescent="0.25"/>
    <row r="205461" s="12" customFormat="1" x14ac:dyDescent="0.25"/>
    <row r="205462" s="12" customFormat="1" x14ac:dyDescent="0.25"/>
    <row r="205463" s="12" customFormat="1" x14ac:dyDescent="0.25"/>
    <row r="205464" s="12" customFormat="1" x14ac:dyDescent="0.25"/>
    <row r="205465" s="12" customFormat="1" x14ac:dyDescent="0.25"/>
    <row r="205466" s="12" customFormat="1" x14ac:dyDescent="0.25"/>
    <row r="205467" s="12" customFormat="1" x14ac:dyDescent="0.25"/>
    <row r="205468" s="12" customFormat="1" x14ac:dyDescent="0.25"/>
    <row r="205469" s="12" customFormat="1" x14ac:dyDescent="0.25"/>
    <row r="205470" s="12" customFormat="1" x14ac:dyDescent="0.25"/>
    <row r="205471" s="12" customFormat="1" x14ac:dyDescent="0.25"/>
    <row r="205472" s="12" customFormat="1" x14ac:dyDescent="0.25"/>
    <row r="205473" s="12" customFormat="1" x14ac:dyDescent="0.25"/>
    <row r="205474" s="12" customFormat="1" x14ac:dyDescent="0.25"/>
    <row r="205475" s="12" customFormat="1" x14ac:dyDescent="0.25"/>
    <row r="205476" s="12" customFormat="1" x14ac:dyDescent="0.25"/>
    <row r="205477" s="12" customFormat="1" x14ac:dyDescent="0.25"/>
    <row r="205478" s="12" customFormat="1" x14ac:dyDescent="0.25"/>
    <row r="205479" s="12" customFormat="1" x14ac:dyDescent="0.25"/>
    <row r="205480" s="12" customFormat="1" x14ac:dyDescent="0.25"/>
    <row r="205481" s="12" customFormat="1" x14ac:dyDescent="0.25"/>
    <row r="205482" s="12" customFormat="1" x14ac:dyDescent="0.25"/>
    <row r="205483" s="12" customFormat="1" x14ac:dyDescent="0.25"/>
    <row r="205484" s="12" customFormat="1" x14ac:dyDescent="0.25"/>
    <row r="205485" s="12" customFormat="1" x14ac:dyDescent="0.25"/>
    <row r="205486" s="12" customFormat="1" x14ac:dyDescent="0.25"/>
    <row r="205487" s="12" customFormat="1" x14ac:dyDescent="0.25"/>
    <row r="205488" s="12" customFormat="1" x14ac:dyDescent="0.25"/>
    <row r="205489" s="12" customFormat="1" x14ac:dyDescent="0.25"/>
    <row r="205490" s="12" customFormat="1" x14ac:dyDescent="0.25"/>
    <row r="205491" s="12" customFormat="1" x14ac:dyDescent="0.25"/>
    <row r="205492" s="12" customFormat="1" x14ac:dyDescent="0.25"/>
    <row r="205493" s="12" customFormat="1" x14ac:dyDescent="0.25"/>
    <row r="205494" s="12" customFormat="1" x14ac:dyDescent="0.25"/>
    <row r="205495" s="12" customFormat="1" x14ac:dyDescent="0.25"/>
    <row r="205496" s="12" customFormat="1" x14ac:dyDescent="0.25"/>
    <row r="205497" s="12" customFormat="1" x14ac:dyDescent="0.25"/>
    <row r="205498" s="12" customFormat="1" x14ac:dyDescent="0.25"/>
    <row r="205499" s="12" customFormat="1" x14ac:dyDescent="0.25"/>
    <row r="205500" s="12" customFormat="1" x14ac:dyDescent="0.25"/>
    <row r="205501" s="12" customFormat="1" x14ac:dyDescent="0.25"/>
    <row r="205502" s="12" customFormat="1" x14ac:dyDescent="0.25"/>
    <row r="205503" s="12" customFormat="1" x14ac:dyDescent="0.25"/>
    <row r="205504" s="12" customFormat="1" x14ac:dyDescent="0.25"/>
    <row r="205505" s="12" customFormat="1" x14ac:dyDescent="0.25"/>
    <row r="205506" s="12" customFormat="1" x14ac:dyDescent="0.25"/>
    <row r="205507" s="12" customFormat="1" x14ac:dyDescent="0.25"/>
    <row r="205508" s="12" customFormat="1" x14ac:dyDescent="0.25"/>
    <row r="205509" s="12" customFormat="1" x14ac:dyDescent="0.25"/>
    <row r="205510" s="12" customFormat="1" x14ac:dyDescent="0.25"/>
    <row r="205511" s="12" customFormat="1" x14ac:dyDescent="0.25"/>
    <row r="205512" s="12" customFormat="1" x14ac:dyDescent="0.25"/>
    <row r="205513" s="12" customFormat="1" x14ac:dyDescent="0.25"/>
    <row r="205514" s="12" customFormat="1" x14ac:dyDescent="0.25"/>
    <row r="205515" s="12" customFormat="1" x14ac:dyDescent="0.25"/>
    <row r="205516" s="12" customFormat="1" x14ac:dyDescent="0.25"/>
    <row r="205517" s="12" customFormat="1" x14ac:dyDescent="0.25"/>
    <row r="205518" s="12" customFormat="1" x14ac:dyDescent="0.25"/>
    <row r="205519" s="12" customFormat="1" x14ac:dyDescent="0.25"/>
    <row r="205520" s="12" customFormat="1" x14ac:dyDescent="0.25"/>
    <row r="205521" s="12" customFormat="1" x14ac:dyDescent="0.25"/>
    <row r="205522" s="12" customFormat="1" x14ac:dyDescent="0.25"/>
    <row r="205523" s="12" customFormat="1" x14ac:dyDescent="0.25"/>
    <row r="205524" s="12" customFormat="1" x14ac:dyDescent="0.25"/>
    <row r="205525" s="12" customFormat="1" x14ac:dyDescent="0.25"/>
    <row r="205526" s="12" customFormat="1" x14ac:dyDescent="0.25"/>
    <row r="205527" s="12" customFormat="1" x14ac:dyDescent="0.25"/>
    <row r="205528" s="12" customFormat="1" x14ac:dyDescent="0.25"/>
    <row r="205529" s="12" customFormat="1" x14ac:dyDescent="0.25"/>
    <row r="205530" s="12" customFormat="1" x14ac:dyDescent="0.25"/>
    <row r="205531" s="12" customFormat="1" x14ac:dyDescent="0.25"/>
    <row r="205532" s="12" customFormat="1" x14ac:dyDescent="0.25"/>
    <row r="205533" s="12" customFormat="1" x14ac:dyDescent="0.25"/>
    <row r="205534" s="12" customFormat="1" x14ac:dyDescent="0.25"/>
    <row r="205535" s="12" customFormat="1" x14ac:dyDescent="0.25"/>
    <row r="205536" s="12" customFormat="1" x14ac:dyDescent="0.25"/>
    <row r="205537" s="12" customFormat="1" x14ac:dyDescent="0.25"/>
    <row r="205538" s="12" customFormat="1" x14ac:dyDescent="0.25"/>
    <row r="205539" s="12" customFormat="1" x14ac:dyDescent="0.25"/>
    <row r="205540" s="12" customFormat="1" x14ac:dyDescent="0.25"/>
    <row r="205541" s="12" customFormat="1" x14ac:dyDescent="0.25"/>
    <row r="205542" s="12" customFormat="1" x14ac:dyDescent="0.25"/>
    <row r="205543" s="12" customFormat="1" x14ac:dyDescent="0.25"/>
    <row r="205544" s="12" customFormat="1" x14ac:dyDescent="0.25"/>
    <row r="205545" s="12" customFormat="1" x14ac:dyDescent="0.25"/>
    <row r="205546" s="12" customFormat="1" x14ac:dyDescent="0.25"/>
    <row r="205547" s="12" customFormat="1" x14ac:dyDescent="0.25"/>
    <row r="205548" s="12" customFormat="1" x14ac:dyDescent="0.25"/>
    <row r="205549" s="12" customFormat="1" x14ac:dyDescent="0.25"/>
    <row r="205550" s="12" customFormat="1" x14ac:dyDescent="0.25"/>
    <row r="205551" s="12" customFormat="1" x14ac:dyDescent="0.25"/>
    <row r="205552" s="12" customFormat="1" x14ac:dyDescent="0.25"/>
    <row r="205553" s="12" customFormat="1" x14ac:dyDescent="0.25"/>
    <row r="205554" s="12" customFormat="1" x14ac:dyDescent="0.25"/>
    <row r="205555" s="12" customFormat="1" x14ac:dyDescent="0.25"/>
    <row r="205556" s="12" customFormat="1" x14ac:dyDescent="0.25"/>
    <row r="205557" s="12" customFormat="1" x14ac:dyDescent="0.25"/>
    <row r="205558" s="12" customFormat="1" x14ac:dyDescent="0.25"/>
    <row r="205559" s="12" customFormat="1" x14ac:dyDescent="0.25"/>
    <row r="205560" s="12" customFormat="1" x14ac:dyDescent="0.25"/>
    <row r="205561" s="12" customFormat="1" x14ac:dyDescent="0.25"/>
    <row r="205562" s="12" customFormat="1" x14ac:dyDescent="0.25"/>
    <row r="205563" s="12" customFormat="1" x14ac:dyDescent="0.25"/>
    <row r="205564" s="12" customFormat="1" x14ac:dyDescent="0.25"/>
    <row r="205565" s="12" customFormat="1" x14ac:dyDescent="0.25"/>
    <row r="205566" s="12" customFormat="1" x14ac:dyDescent="0.25"/>
    <row r="205567" s="12" customFormat="1" x14ac:dyDescent="0.25"/>
    <row r="205568" s="12" customFormat="1" x14ac:dyDescent="0.25"/>
    <row r="205569" s="12" customFormat="1" x14ac:dyDescent="0.25"/>
    <row r="205570" s="12" customFormat="1" x14ac:dyDescent="0.25"/>
    <row r="205571" s="12" customFormat="1" x14ac:dyDescent="0.25"/>
    <row r="205572" s="12" customFormat="1" x14ac:dyDescent="0.25"/>
    <row r="205573" s="12" customFormat="1" x14ac:dyDescent="0.25"/>
    <row r="205574" s="12" customFormat="1" x14ac:dyDescent="0.25"/>
    <row r="205575" s="12" customFormat="1" x14ac:dyDescent="0.25"/>
    <row r="205576" s="12" customFormat="1" x14ac:dyDescent="0.25"/>
    <row r="205577" s="12" customFormat="1" x14ac:dyDescent="0.25"/>
    <row r="205578" s="12" customFormat="1" x14ac:dyDescent="0.25"/>
    <row r="205579" s="12" customFormat="1" x14ac:dyDescent="0.25"/>
    <row r="205580" s="12" customFormat="1" x14ac:dyDescent="0.25"/>
    <row r="205581" s="12" customFormat="1" x14ac:dyDescent="0.25"/>
    <row r="205582" s="12" customFormat="1" x14ac:dyDescent="0.25"/>
    <row r="205583" s="12" customFormat="1" x14ac:dyDescent="0.25"/>
    <row r="205584" s="12" customFormat="1" x14ac:dyDescent="0.25"/>
    <row r="205585" s="12" customFormat="1" x14ac:dyDescent="0.25"/>
    <row r="205586" s="12" customFormat="1" x14ac:dyDescent="0.25"/>
    <row r="205587" s="12" customFormat="1" x14ac:dyDescent="0.25"/>
    <row r="205588" s="12" customFormat="1" x14ac:dyDescent="0.25"/>
    <row r="205589" s="12" customFormat="1" x14ac:dyDescent="0.25"/>
    <row r="205590" s="12" customFormat="1" x14ac:dyDescent="0.25"/>
    <row r="205591" s="12" customFormat="1" x14ac:dyDescent="0.25"/>
    <row r="205592" s="12" customFormat="1" x14ac:dyDescent="0.25"/>
    <row r="205593" s="12" customFormat="1" x14ac:dyDescent="0.25"/>
    <row r="205594" s="12" customFormat="1" x14ac:dyDescent="0.25"/>
    <row r="205595" s="12" customFormat="1" x14ac:dyDescent="0.25"/>
    <row r="205596" s="12" customFormat="1" x14ac:dyDescent="0.25"/>
    <row r="205597" s="12" customFormat="1" x14ac:dyDescent="0.25"/>
    <row r="205598" s="12" customFormat="1" x14ac:dyDescent="0.25"/>
    <row r="205599" s="12" customFormat="1" x14ac:dyDescent="0.25"/>
    <row r="205600" s="12" customFormat="1" x14ac:dyDescent="0.25"/>
    <row r="205601" s="12" customFormat="1" x14ac:dyDescent="0.25"/>
    <row r="205602" s="12" customFormat="1" x14ac:dyDescent="0.25"/>
    <row r="205603" s="12" customFormat="1" x14ac:dyDescent="0.25"/>
    <row r="205604" s="12" customFormat="1" x14ac:dyDescent="0.25"/>
    <row r="205605" s="12" customFormat="1" x14ac:dyDescent="0.25"/>
    <row r="205606" s="12" customFormat="1" x14ac:dyDescent="0.25"/>
    <row r="205607" s="12" customFormat="1" x14ac:dyDescent="0.25"/>
    <row r="205608" s="12" customFormat="1" x14ac:dyDescent="0.25"/>
    <row r="205609" s="12" customFormat="1" x14ac:dyDescent="0.25"/>
    <row r="205610" s="12" customFormat="1" x14ac:dyDescent="0.25"/>
    <row r="205611" s="12" customFormat="1" x14ac:dyDescent="0.25"/>
    <row r="205612" s="12" customFormat="1" x14ac:dyDescent="0.25"/>
    <row r="205613" s="12" customFormat="1" x14ac:dyDescent="0.25"/>
    <row r="205614" s="12" customFormat="1" x14ac:dyDescent="0.25"/>
    <row r="205615" s="12" customFormat="1" x14ac:dyDescent="0.25"/>
    <row r="205616" s="12" customFormat="1" x14ac:dyDescent="0.25"/>
    <row r="205617" s="12" customFormat="1" x14ac:dyDescent="0.25"/>
    <row r="205618" s="12" customFormat="1" x14ac:dyDescent="0.25"/>
    <row r="205619" s="12" customFormat="1" x14ac:dyDescent="0.25"/>
    <row r="205620" s="12" customFormat="1" x14ac:dyDescent="0.25"/>
    <row r="205621" s="12" customFormat="1" x14ac:dyDescent="0.25"/>
    <row r="205622" s="12" customFormat="1" x14ac:dyDescent="0.25"/>
    <row r="205623" s="12" customFormat="1" x14ac:dyDescent="0.25"/>
    <row r="205624" s="12" customFormat="1" x14ac:dyDescent="0.25"/>
    <row r="205625" s="12" customFormat="1" x14ac:dyDescent="0.25"/>
    <row r="205626" s="12" customFormat="1" x14ac:dyDescent="0.25"/>
    <row r="205627" s="12" customFormat="1" x14ac:dyDescent="0.25"/>
    <row r="205628" s="12" customFormat="1" x14ac:dyDescent="0.25"/>
    <row r="205629" s="12" customFormat="1" x14ac:dyDescent="0.25"/>
    <row r="205630" s="12" customFormat="1" x14ac:dyDescent="0.25"/>
    <row r="205631" s="12" customFormat="1" x14ac:dyDescent="0.25"/>
    <row r="205632" s="12" customFormat="1" x14ac:dyDescent="0.25"/>
    <row r="205633" s="12" customFormat="1" x14ac:dyDescent="0.25"/>
    <row r="205634" s="12" customFormat="1" x14ac:dyDescent="0.25"/>
    <row r="205635" s="12" customFormat="1" x14ac:dyDescent="0.25"/>
    <row r="205636" s="12" customFormat="1" x14ac:dyDescent="0.25"/>
    <row r="205637" s="12" customFormat="1" x14ac:dyDescent="0.25"/>
    <row r="205638" s="12" customFormat="1" x14ac:dyDescent="0.25"/>
    <row r="205639" s="12" customFormat="1" x14ac:dyDescent="0.25"/>
    <row r="205640" s="12" customFormat="1" x14ac:dyDescent="0.25"/>
    <row r="205641" s="12" customFormat="1" x14ac:dyDescent="0.25"/>
    <row r="205642" s="12" customFormat="1" x14ac:dyDescent="0.25"/>
    <row r="205643" s="12" customFormat="1" x14ac:dyDescent="0.25"/>
    <row r="205644" s="12" customFormat="1" x14ac:dyDescent="0.25"/>
    <row r="205645" s="12" customFormat="1" x14ac:dyDescent="0.25"/>
    <row r="205646" s="12" customFormat="1" x14ac:dyDescent="0.25"/>
    <row r="205647" s="12" customFormat="1" x14ac:dyDescent="0.25"/>
    <row r="205648" s="12" customFormat="1" x14ac:dyDescent="0.25"/>
    <row r="205649" s="12" customFormat="1" x14ac:dyDescent="0.25"/>
    <row r="205650" s="12" customFormat="1" x14ac:dyDescent="0.25"/>
    <row r="205651" s="12" customFormat="1" x14ac:dyDescent="0.25"/>
    <row r="205652" s="12" customFormat="1" x14ac:dyDescent="0.25"/>
    <row r="205653" s="12" customFormat="1" x14ac:dyDescent="0.25"/>
    <row r="205654" s="12" customFormat="1" x14ac:dyDescent="0.25"/>
    <row r="205655" s="12" customFormat="1" x14ac:dyDescent="0.25"/>
    <row r="205656" s="12" customFormat="1" x14ac:dyDescent="0.25"/>
    <row r="205657" s="12" customFormat="1" x14ac:dyDescent="0.25"/>
    <row r="205658" s="12" customFormat="1" x14ac:dyDescent="0.25"/>
    <row r="205659" s="12" customFormat="1" x14ac:dyDescent="0.25"/>
    <row r="205660" s="12" customFormat="1" x14ac:dyDescent="0.25"/>
    <row r="205661" s="12" customFormat="1" x14ac:dyDescent="0.25"/>
    <row r="205662" s="12" customFormat="1" x14ac:dyDescent="0.25"/>
    <row r="205663" s="12" customFormat="1" x14ac:dyDescent="0.25"/>
    <row r="205664" s="12" customFormat="1" x14ac:dyDescent="0.25"/>
    <row r="205665" s="12" customFormat="1" x14ac:dyDescent="0.25"/>
    <row r="205666" s="12" customFormat="1" x14ac:dyDescent="0.25"/>
    <row r="205667" s="12" customFormat="1" x14ac:dyDescent="0.25"/>
    <row r="205668" s="12" customFormat="1" x14ac:dyDescent="0.25"/>
    <row r="205669" s="12" customFormat="1" x14ac:dyDescent="0.25"/>
    <row r="205670" s="12" customFormat="1" x14ac:dyDescent="0.25"/>
    <row r="205671" s="12" customFormat="1" x14ac:dyDescent="0.25"/>
    <row r="205672" s="12" customFormat="1" x14ac:dyDescent="0.25"/>
    <row r="205673" s="12" customFormat="1" x14ac:dyDescent="0.25"/>
    <row r="205674" s="12" customFormat="1" x14ac:dyDescent="0.25"/>
    <row r="205675" s="12" customFormat="1" x14ac:dyDescent="0.25"/>
    <row r="205676" s="12" customFormat="1" x14ac:dyDescent="0.25"/>
    <row r="205677" s="12" customFormat="1" x14ac:dyDescent="0.25"/>
    <row r="205678" s="12" customFormat="1" x14ac:dyDescent="0.25"/>
    <row r="205679" s="12" customFormat="1" x14ac:dyDescent="0.25"/>
    <row r="205680" s="12" customFormat="1" x14ac:dyDescent="0.25"/>
    <row r="205681" s="12" customFormat="1" x14ac:dyDescent="0.25"/>
    <row r="205682" s="12" customFormat="1" x14ac:dyDescent="0.25"/>
    <row r="205683" s="12" customFormat="1" x14ac:dyDescent="0.25"/>
    <row r="205684" s="12" customFormat="1" x14ac:dyDescent="0.25"/>
    <row r="205685" s="12" customFormat="1" x14ac:dyDescent="0.25"/>
    <row r="205686" s="12" customFormat="1" x14ac:dyDescent="0.25"/>
    <row r="205687" s="12" customFormat="1" x14ac:dyDescent="0.25"/>
    <row r="205688" s="12" customFormat="1" x14ac:dyDescent="0.25"/>
    <row r="205689" s="12" customFormat="1" x14ac:dyDescent="0.25"/>
    <row r="205690" s="12" customFormat="1" x14ac:dyDescent="0.25"/>
    <row r="205691" s="12" customFormat="1" x14ac:dyDescent="0.25"/>
    <row r="205692" s="12" customFormat="1" x14ac:dyDescent="0.25"/>
    <row r="205693" s="12" customFormat="1" x14ac:dyDescent="0.25"/>
    <row r="205694" s="12" customFormat="1" x14ac:dyDescent="0.25"/>
    <row r="205695" s="12" customFormat="1" x14ac:dyDescent="0.25"/>
    <row r="205696" s="12" customFormat="1" x14ac:dyDescent="0.25"/>
    <row r="205697" s="12" customFormat="1" x14ac:dyDescent="0.25"/>
    <row r="205698" s="12" customFormat="1" x14ac:dyDescent="0.25"/>
    <row r="205699" s="12" customFormat="1" x14ac:dyDescent="0.25"/>
    <row r="205700" s="12" customFormat="1" x14ac:dyDescent="0.25"/>
    <row r="205701" s="12" customFormat="1" x14ac:dyDescent="0.25"/>
    <row r="205702" s="12" customFormat="1" x14ac:dyDescent="0.25"/>
    <row r="205703" s="12" customFormat="1" x14ac:dyDescent="0.25"/>
    <row r="205704" s="12" customFormat="1" x14ac:dyDescent="0.25"/>
    <row r="205705" s="12" customFormat="1" x14ac:dyDescent="0.25"/>
    <row r="205706" s="12" customFormat="1" x14ac:dyDescent="0.25"/>
    <row r="205707" s="12" customFormat="1" x14ac:dyDescent="0.25"/>
    <row r="205708" s="12" customFormat="1" x14ac:dyDescent="0.25"/>
    <row r="205709" s="12" customFormat="1" x14ac:dyDescent="0.25"/>
    <row r="205710" s="12" customFormat="1" x14ac:dyDescent="0.25"/>
    <row r="205711" s="12" customFormat="1" x14ac:dyDescent="0.25"/>
    <row r="205712" s="12" customFormat="1" x14ac:dyDescent="0.25"/>
    <row r="205713" s="12" customFormat="1" x14ac:dyDescent="0.25"/>
    <row r="205714" s="12" customFormat="1" x14ac:dyDescent="0.25"/>
    <row r="205715" s="12" customFormat="1" x14ac:dyDescent="0.25"/>
    <row r="205716" s="12" customFormat="1" x14ac:dyDescent="0.25"/>
    <row r="205717" s="12" customFormat="1" x14ac:dyDescent="0.25"/>
    <row r="205718" s="12" customFormat="1" x14ac:dyDescent="0.25"/>
    <row r="205719" s="12" customFormat="1" x14ac:dyDescent="0.25"/>
    <row r="205720" s="12" customFormat="1" x14ac:dyDescent="0.25"/>
    <row r="205721" s="12" customFormat="1" x14ac:dyDescent="0.25"/>
    <row r="205722" s="12" customFormat="1" x14ac:dyDescent="0.25"/>
    <row r="205723" s="12" customFormat="1" x14ac:dyDescent="0.25"/>
    <row r="205724" s="12" customFormat="1" x14ac:dyDescent="0.25"/>
    <row r="205725" s="12" customFormat="1" x14ac:dyDescent="0.25"/>
    <row r="205726" s="12" customFormat="1" x14ac:dyDescent="0.25"/>
    <row r="205727" s="12" customFormat="1" x14ac:dyDescent="0.25"/>
    <row r="205728" s="12" customFormat="1" x14ac:dyDescent="0.25"/>
    <row r="205729" s="12" customFormat="1" x14ac:dyDescent="0.25"/>
    <row r="205730" s="12" customFormat="1" x14ac:dyDescent="0.25"/>
    <row r="205731" s="12" customFormat="1" x14ac:dyDescent="0.25"/>
    <row r="205732" s="12" customFormat="1" x14ac:dyDescent="0.25"/>
    <row r="205733" s="12" customFormat="1" x14ac:dyDescent="0.25"/>
    <row r="205734" s="12" customFormat="1" x14ac:dyDescent="0.25"/>
    <row r="205735" s="12" customFormat="1" x14ac:dyDescent="0.25"/>
    <row r="205736" s="12" customFormat="1" x14ac:dyDescent="0.25"/>
    <row r="205737" s="12" customFormat="1" x14ac:dyDescent="0.25"/>
    <row r="205738" s="12" customFormat="1" x14ac:dyDescent="0.25"/>
    <row r="205739" s="12" customFormat="1" x14ac:dyDescent="0.25"/>
    <row r="205740" s="12" customFormat="1" x14ac:dyDescent="0.25"/>
    <row r="205741" s="12" customFormat="1" x14ac:dyDescent="0.25"/>
    <row r="205742" s="12" customFormat="1" x14ac:dyDescent="0.25"/>
    <row r="205743" s="12" customFormat="1" x14ac:dyDescent="0.25"/>
    <row r="205744" s="12" customFormat="1" x14ac:dyDescent="0.25"/>
    <row r="205745" s="12" customFormat="1" x14ac:dyDescent="0.25"/>
    <row r="205746" s="12" customFormat="1" x14ac:dyDescent="0.25"/>
    <row r="205747" s="12" customFormat="1" x14ac:dyDescent="0.25"/>
    <row r="205748" s="12" customFormat="1" x14ac:dyDescent="0.25"/>
    <row r="205749" s="12" customFormat="1" x14ac:dyDescent="0.25"/>
    <row r="205750" s="12" customFormat="1" x14ac:dyDescent="0.25"/>
    <row r="205751" s="12" customFormat="1" x14ac:dyDescent="0.25"/>
    <row r="205752" s="12" customFormat="1" x14ac:dyDescent="0.25"/>
    <row r="205753" s="12" customFormat="1" x14ac:dyDescent="0.25"/>
    <row r="205754" s="12" customFormat="1" x14ac:dyDescent="0.25"/>
    <row r="205755" s="12" customFormat="1" x14ac:dyDescent="0.25"/>
    <row r="205756" s="12" customFormat="1" x14ac:dyDescent="0.25"/>
    <row r="205757" s="12" customFormat="1" x14ac:dyDescent="0.25"/>
    <row r="205758" s="12" customFormat="1" x14ac:dyDescent="0.25"/>
    <row r="205759" s="12" customFormat="1" x14ac:dyDescent="0.25"/>
    <row r="205760" s="12" customFormat="1" x14ac:dyDescent="0.25"/>
    <row r="205761" s="12" customFormat="1" x14ac:dyDescent="0.25"/>
    <row r="205762" s="12" customFormat="1" x14ac:dyDescent="0.25"/>
    <row r="205763" s="12" customFormat="1" x14ac:dyDescent="0.25"/>
    <row r="205764" s="12" customFormat="1" x14ac:dyDescent="0.25"/>
    <row r="205765" s="12" customFormat="1" x14ac:dyDescent="0.25"/>
    <row r="205766" s="12" customFormat="1" x14ac:dyDescent="0.25"/>
    <row r="205767" s="12" customFormat="1" x14ac:dyDescent="0.25"/>
    <row r="205768" s="12" customFormat="1" x14ac:dyDescent="0.25"/>
    <row r="205769" s="12" customFormat="1" x14ac:dyDescent="0.25"/>
    <row r="205770" s="12" customFormat="1" x14ac:dyDescent="0.25"/>
    <row r="205771" s="12" customFormat="1" x14ac:dyDescent="0.25"/>
    <row r="205772" s="12" customFormat="1" x14ac:dyDescent="0.25"/>
    <row r="205773" s="12" customFormat="1" x14ac:dyDescent="0.25"/>
    <row r="205774" s="12" customFormat="1" x14ac:dyDescent="0.25"/>
    <row r="205775" s="12" customFormat="1" x14ac:dyDescent="0.25"/>
    <row r="205776" s="12" customFormat="1" x14ac:dyDescent="0.25"/>
    <row r="205777" s="12" customFormat="1" x14ac:dyDescent="0.25"/>
    <row r="205778" s="12" customFormat="1" x14ac:dyDescent="0.25"/>
    <row r="205779" s="12" customFormat="1" x14ac:dyDescent="0.25"/>
    <row r="205780" s="12" customFormat="1" x14ac:dyDescent="0.25"/>
    <row r="205781" s="12" customFormat="1" x14ac:dyDescent="0.25"/>
    <row r="205782" s="12" customFormat="1" x14ac:dyDescent="0.25"/>
    <row r="205783" s="12" customFormat="1" x14ac:dyDescent="0.25"/>
    <row r="205784" s="12" customFormat="1" x14ac:dyDescent="0.25"/>
    <row r="205785" s="12" customFormat="1" x14ac:dyDescent="0.25"/>
    <row r="205786" s="12" customFormat="1" x14ac:dyDescent="0.25"/>
    <row r="205787" s="12" customFormat="1" x14ac:dyDescent="0.25"/>
    <row r="205788" s="12" customFormat="1" x14ac:dyDescent="0.25"/>
    <row r="205789" s="12" customFormat="1" x14ac:dyDescent="0.25"/>
    <row r="205790" s="12" customFormat="1" x14ac:dyDescent="0.25"/>
    <row r="205791" s="12" customFormat="1" x14ac:dyDescent="0.25"/>
    <row r="205792" s="12" customFormat="1" x14ac:dyDescent="0.25"/>
    <row r="205793" s="12" customFormat="1" x14ac:dyDescent="0.25"/>
    <row r="205794" s="12" customFormat="1" x14ac:dyDescent="0.25"/>
    <row r="205795" s="12" customFormat="1" x14ac:dyDescent="0.25"/>
    <row r="205796" s="12" customFormat="1" x14ac:dyDescent="0.25"/>
    <row r="205797" s="12" customFormat="1" x14ac:dyDescent="0.25"/>
    <row r="205798" s="12" customFormat="1" x14ac:dyDescent="0.25"/>
    <row r="205799" s="12" customFormat="1" x14ac:dyDescent="0.25"/>
    <row r="205800" s="12" customFormat="1" x14ac:dyDescent="0.25"/>
    <row r="205801" s="12" customFormat="1" x14ac:dyDescent="0.25"/>
    <row r="205802" s="12" customFormat="1" x14ac:dyDescent="0.25"/>
    <row r="205803" s="12" customFormat="1" x14ac:dyDescent="0.25"/>
    <row r="205804" s="12" customFormat="1" x14ac:dyDescent="0.25"/>
    <row r="205805" s="12" customFormat="1" x14ac:dyDescent="0.25"/>
    <row r="205806" s="12" customFormat="1" x14ac:dyDescent="0.25"/>
    <row r="205807" s="12" customFormat="1" x14ac:dyDescent="0.25"/>
    <row r="205808" s="12" customFormat="1" x14ac:dyDescent="0.25"/>
    <row r="205809" s="12" customFormat="1" x14ac:dyDescent="0.25"/>
    <row r="205810" s="12" customFormat="1" x14ac:dyDescent="0.25"/>
    <row r="205811" s="12" customFormat="1" x14ac:dyDescent="0.25"/>
    <row r="205812" s="12" customFormat="1" x14ac:dyDescent="0.25"/>
    <row r="205813" s="12" customFormat="1" x14ac:dyDescent="0.25"/>
    <row r="205814" s="12" customFormat="1" x14ac:dyDescent="0.25"/>
    <row r="205815" s="12" customFormat="1" x14ac:dyDescent="0.25"/>
    <row r="205816" s="12" customFormat="1" x14ac:dyDescent="0.25"/>
    <row r="205817" s="12" customFormat="1" x14ac:dyDescent="0.25"/>
    <row r="205818" s="12" customFormat="1" x14ac:dyDescent="0.25"/>
    <row r="205819" s="12" customFormat="1" x14ac:dyDescent="0.25"/>
    <row r="205820" s="12" customFormat="1" x14ac:dyDescent="0.25"/>
    <row r="205821" s="12" customFormat="1" x14ac:dyDescent="0.25"/>
    <row r="205822" s="12" customFormat="1" x14ac:dyDescent="0.25"/>
    <row r="205823" s="12" customFormat="1" x14ac:dyDescent="0.25"/>
    <row r="205824" s="12" customFormat="1" x14ac:dyDescent="0.25"/>
    <row r="205825" s="12" customFormat="1" x14ac:dyDescent="0.25"/>
    <row r="205826" s="12" customFormat="1" x14ac:dyDescent="0.25"/>
    <row r="205827" s="12" customFormat="1" x14ac:dyDescent="0.25"/>
    <row r="205828" s="12" customFormat="1" x14ac:dyDescent="0.25"/>
    <row r="205829" s="12" customFormat="1" x14ac:dyDescent="0.25"/>
    <row r="205830" s="12" customFormat="1" x14ac:dyDescent="0.25"/>
    <row r="205831" s="12" customFormat="1" x14ac:dyDescent="0.25"/>
    <row r="205832" s="12" customFormat="1" x14ac:dyDescent="0.25"/>
    <row r="205833" s="12" customFormat="1" x14ac:dyDescent="0.25"/>
    <row r="205834" s="12" customFormat="1" x14ac:dyDescent="0.25"/>
    <row r="205835" s="12" customFormat="1" x14ac:dyDescent="0.25"/>
    <row r="205836" s="12" customFormat="1" x14ac:dyDescent="0.25"/>
    <row r="205837" s="12" customFormat="1" x14ac:dyDescent="0.25"/>
    <row r="205838" s="12" customFormat="1" x14ac:dyDescent="0.25"/>
    <row r="205839" s="12" customFormat="1" x14ac:dyDescent="0.25"/>
    <row r="205840" s="12" customFormat="1" x14ac:dyDescent="0.25"/>
    <row r="205841" s="12" customFormat="1" x14ac:dyDescent="0.25"/>
    <row r="205842" s="12" customFormat="1" x14ac:dyDescent="0.25"/>
    <row r="205843" s="12" customFormat="1" x14ac:dyDescent="0.25"/>
    <row r="205844" s="12" customFormat="1" x14ac:dyDescent="0.25"/>
    <row r="205845" s="12" customFormat="1" x14ac:dyDescent="0.25"/>
    <row r="205846" s="12" customFormat="1" x14ac:dyDescent="0.25"/>
    <row r="205847" s="12" customFormat="1" x14ac:dyDescent="0.25"/>
    <row r="205848" s="12" customFormat="1" x14ac:dyDescent="0.25"/>
    <row r="205849" s="12" customFormat="1" x14ac:dyDescent="0.25"/>
    <row r="205850" s="12" customFormat="1" x14ac:dyDescent="0.25"/>
    <row r="205851" s="12" customFormat="1" x14ac:dyDescent="0.25"/>
    <row r="205852" s="12" customFormat="1" x14ac:dyDescent="0.25"/>
    <row r="205853" s="12" customFormat="1" x14ac:dyDescent="0.25"/>
    <row r="205854" s="12" customFormat="1" x14ac:dyDescent="0.25"/>
    <row r="205855" s="12" customFormat="1" x14ac:dyDescent="0.25"/>
    <row r="205856" s="12" customFormat="1" x14ac:dyDescent="0.25"/>
    <row r="205857" s="12" customFormat="1" x14ac:dyDescent="0.25"/>
    <row r="205858" s="12" customFormat="1" x14ac:dyDescent="0.25"/>
    <row r="205859" s="12" customFormat="1" x14ac:dyDescent="0.25"/>
    <row r="205860" s="12" customFormat="1" x14ac:dyDescent="0.25"/>
    <row r="205861" s="12" customFormat="1" x14ac:dyDescent="0.25"/>
    <row r="205862" s="12" customFormat="1" x14ac:dyDescent="0.25"/>
    <row r="205863" s="12" customFormat="1" x14ac:dyDescent="0.25"/>
    <row r="205864" s="12" customFormat="1" x14ac:dyDescent="0.25"/>
    <row r="205865" s="12" customFormat="1" x14ac:dyDescent="0.25"/>
    <row r="205866" s="12" customFormat="1" x14ac:dyDescent="0.25"/>
    <row r="205867" s="12" customFormat="1" x14ac:dyDescent="0.25"/>
    <row r="205868" s="12" customFormat="1" x14ac:dyDescent="0.25"/>
    <row r="205869" s="12" customFormat="1" x14ac:dyDescent="0.25"/>
    <row r="205870" s="12" customFormat="1" x14ac:dyDescent="0.25"/>
    <row r="205871" s="12" customFormat="1" x14ac:dyDescent="0.25"/>
    <row r="205872" s="12" customFormat="1" x14ac:dyDescent="0.25"/>
    <row r="205873" s="12" customFormat="1" x14ac:dyDescent="0.25"/>
    <row r="205874" s="12" customFormat="1" x14ac:dyDescent="0.25"/>
    <row r="205875" s="12" customFormat="1" x14ac:dyDescent="0.25"/>
    <row r="205876" s="12" customFormat="1" x14ac:dyDescent="0.25"/>
    <row r="205877" s="12" customFormat="1" x14ac:dyDescent="0.25"/>
    <row r="205878" s="12" customFormat="1" x14ac:dyDescent="0.25"/>
    <row r="205879" s="12" customFormat="1" x14ac:dyDescent="0.25"/>
    <row r="205880" s="12" customFormat="1" x14ac:dyDescent="0.25"/>
    <row r="205881" s="12" customFormat="1" x14ac:dyDescent="0.25"/>
    <row r="205882" s="12" customFormat="1" x14ac:dyDescent="0.25"/>
    <row r="205883" s="12" customFormat="1" x14ac:dyDescent="0.25"/>
    <row r="205884" s="12" customFormat="1" x14ac:dyDescent="0.25"/>
    <row r="205885" s="12" customFormat="1" x14ac:dyDescent="0.25"/>
    <row r="205886" s="12" customFormat="1" x14ac:dyDescent="0.25"/>
    <row r="205887" s="12" customFormat="1" x14ac:dyDescent="0.25"/>
    <row r="205888" s="12" customFormat="1" x14ac:dyDescent="0.25"/>
    <row r="205889" s="12" customFormat="1" x14ac:dyDescent="0.25"/>
    <row r="205890" s="12" customFormat="1" x14ac:dyDescent="0.25"/>
    <row r="205891" s="12" customFormat="1" x14ac:dyDescent="0.25"/>
    <row r="205892" s="12" customFormat="1" x14ac:dyDescent="0.25"/>
    <row r="205893" s="12" customFormat="1" x14ac:dyDescent="0.25"/>
    <row r="205894" s="12" customFormat="1" x14ac:dyDescent="0.25"/>
    <row r="205895" s="12" customFormat="1" x14ac:dyDescent="0.25"/>
    <row r="205896" s="12" customFormat="1" x14ac:dyDescent="0.25"/>
    <row r="205897" s="12" customFormat="1" x14ac:dyDescent="0.25"/>
    <row r="205898" s="12" customFormat="1" x14ac:dyDescent="0.25"/>
    <row r="205899" s="12" customFormat="1" x14ac:dyDescent="0.25"/>
    <row r="205900" s="12" customFormat="1" x14ac:dyDescent="0.25"/>
    <row r="205901" s="12" customFormat="1" x14ac:dyDescent="0.25"/>
    <row r="205902" s="12" customFormat="1" x14ac:dyDescent="0.25"/>
    <row r="205903" s="12" customFormat="1" x14ac:dyDescent="0.25"/>
    <row r="205904" s="12" customFormat="1" x14ac:dyDescent="0.25"/>
    <row r="205905" s="12" customFormat="1" x14ac:dyDescent="0.25"/>
    <row r="205906" s="12" customFormat="1" x14ac:dyDescent="0.25"/>
    <row r="205907" s="12" customFormat="1" x14ac:dyDescent="0.25"/>
    <row r="205908" s="12" customFormat="1" x14ac:dyDescent="0.25"/>
    <row r="205909" s="12" customFormat="1" x14ac:dyDescent="0.25"/>
    <row r="205910" s="12" customFormat="1" x14ac:dyDescent="0.25"/>
    <row r="205911" s="12" customFormat="1" x14ac:dyDescent="0.25"/>
    <row r="205912" s="12" customFormat="1" x14ac:dyDescent="0.25"/>
    <row r="205913" s="12" customFormat="1" x14ac:dyDescent="0.25"/>
    <row r="205914" s="12" customFormat="1" x14ac:dyDescent="0.25"/>
    <row r="205915" s="12" customFormat="1" x14ac:dyDescent="0.25"/>
    <row r="205916" s="12" customFormat="1" x14ac:dyDescent="0.25"/>
    <row r="205917" s="12" customFormat="1" x14ac:dyDescent="0.25"/>
    <row r="205918" s="12" customFormat="1" x14ac:dyDescent="0.25"/>
    <row r="205919" s="12" customFormat="1" x14ac:dyDescent="0.25"/>
    <row r="205920" s="12" customFormat="1" x14ac:dyDescent="0.25"/>
    <row r="205921" s="12" customFormat="1" x14ac:dyDescent="0.25"/>
    <row r="205922" s="12" customFormat="1" x14ac:dyDescent="0.25"/>
    <row r="205923" s="12" customFormat="1" x14ac:dyDescent="0.25"/>
    <row r="205924" s="12" customFormat="1" x14ac:dyDescent="0.25"/>
    <row r="205925" s="12" customFormat="1" x14ac:dyDescent="0.25"/>
    <row r="205926" s="12" customFormat="1" x14ac:dyDescent="0.25"/>
    <row r="205927" s="12" customFormat="1" x14ac:dyDescent="0.25"/>
    <row r="205928" s="12" customFormat="1" x14ac:dyDescent="0.25"/>
    <row r="205929" s="12" customFormat="1" x14ac:dyDescent="0.25"/>
    <row r="205930" s="12" customFormat="1" x14ac:dyDescent="0.25"/>
    <row r="205931" s="12" customFormat="1" x14ac:dyDescent="0.25"/>
    <row r="205932" s="12" customFormat="1" x14ac:dyDescent="0.25"/>
    <row r="205933" s="12" customFormat="1" x14ac:dyDescent="0.25"/>
    <row r="205934" s="12" customFormat="1" x14ac:dyDescent="0.25"/>
    <row r="205935" s="12" customFormat="1" x14ac:dyDescent="0.25"/>
    <row r="205936" s="12" customFormat="1" x14ac:dyDescent="0.25"/>
    <row r="205937" s="12" customFormat="1" x14ac:dyDescent="0.25"/>
    <row r="205938" s="12" customFormat="1" x14ac:dyDescent="0.25"/>
    <row r="205939" s="12" customFormat="1" x14ac:dyDescent="0.25"/>
    <row r="205940" s="12" customFormat="1" x14ac:dyDescent="0.25"/>
    <row r="205941" s="12" customFormat="1" x14ac:dyDescent="0.25"/>
    <row r="205942" s="12" customFormat="1" x14ac:dyDescent="0.25"/>
    <row r="205943" s="12" customFormat="1" x14ac:dyDescent="0.25"/>
    <row r="205944" s="12" customFormat="1" x14ac:dyDescent="0.25"/>
    <row r="205945" s="12" customFormat="1" x14ac:dyDescent="0.25"/>
    <row r="205946" s="12" customFormat="1" x14ac:dyDescent="0.25"/>
    <row r="205947" s="12" customFormat="1" x14ac:dyDescent="0.25"/>
    <row r="205948" s="12" customFormat="1" x14ac:dyDescent="0.25"/>
    <row r="205949" s="12" customFormat="1" x14ac:dyDescent="0.25"/>
    <row r="205950" s="12" customFormat="1" x14ac:dyDescent="0.25"/>
    <row r="205951" s="12" customFormat="1" x14ac:dyDescent="0.25"/>
    <row r="205952" s="12" customFormat="1" x14ac:dyDescent="0.25"/>
    <row r="205953" s="12" customFormat="1" x14ac:dyDescent="0.25"/>
    <row r="205954" s="12" customFormat="1" x14ac:dyDescent="0.25"/>
    <row r="205955" s="12" customFormat="1" x14ac:dyDescent="0.25"/>
    <row r="205956" s="12" customFormat="1" x14ac:dyDescent="0.25"/>
    <row r="205957" s="12" customFormat="1" x14ac:dyDescent="0.25"/>
    <row r="205958" s="12" customFormat="1" x14ac:dyDescent="0.25"/>
    <row r="205959" s="12" customFormat="1" x14ac:dyDescent="0.25"/>
    <row r="205960" s="12" customFormat="1" x14ac:dyDescent="0.25"/>
    <row r="205961" s="12" customFormat="1" x14ac:dyDescent="0.25"/>
    <row r="205962" s="12" customFormat="1" x14ac:dyDescent="0.25"/>
    <row r="205963" s="12" customFormat="1" x14ac:dyDescent="0.25"/>
    <row r="205964" s="12" customFormat="1" x14ac:dyDescent="0.25"/>
    <row r="205965" s="12" customFormat="1" x14ac:dyDescent="0.25"/>
    <row r="205966" s="12" customFormat="1" x14ac:dyDescent="0.25"/>
    <row r="205967" s="12" customFormat="1" x14ac:dyDescent="0.25"/>
    <row r="205968" s="12" customFormat="1" x14ac:dyDescent="0.25"/>
    <row r="205969" s="12" customFormat="1" x14ac:dyDescent="0.25"/>
    <row r="205970" s="12" customFormat="1" x14ac:dyDescent="0.25"/>
    <row r="205971" s="12" customFormat="1" x14ac:dyDescent="0.25"/>
    <row r="205972" s="12" customFormat="1" x14ac:dyDescent="0.25"/>
    <row r="205973" s="12" customFormat="1" x14ac:dyDescent="0.25"/>
    <row r="205974" s="12" customFormat="1" x14ac:dyDescent="0.25"/>
    <row r="205975" s="12" customFormat="1" x14ac:dyDescent="0.25"/>
    <row r="205976" s="12" customFormat="1" x14ac:dyDescent="0.25"/>
    <row r="205977" s="12" customFormat="1" x14ac:dyDescent="0.25"/>
    <row r="205978" s="12" customFormat="1" x14ac:dyDescent="0.25"/>
    <row r="205979" s="12" customFormat="1" x14ac:dyDescent="0.25"/>
    <row r="205980" s="12" customFormat="1" x14ac:dyDescent="0.25"/>
    <row r="205981" s="12" customFormat="1" x14ac:dyDescent="0.25"/>
    <row r="205982" s="12" customFormat="1" x14ac:dyDescent="0.25"/>
    <row r="205983" s="12" customFormat="1" x14ac:dyDescent="0.25"/>
    <row r="205984" s="12" customFormat="1" x14ac:dyDescent="0.25"/>
    <row r="205985" s="12" customFormat="1" x14ac:dyDescent="0.25"/>
    <row r="205986" s="12" customFormat="1" x14ac:dyDescent="0.25"/>
    <row r="205987" s="12" customFormat="1" x14ac:dyDescent="0.25"/>
    <row r="205988" s="12" customFormat="1" x14ac:dyDescent="0.25"/>
    <row r="205989" s="12" customFormat="1" x14ac:dyDescent="0.25"/>
    <row r="205990" s="12" customFormat="1" x14ac:dyDescent="0.25"/>
    <row r="205991" s="12" customFormat="1" x14ac:dyDescent="0.25"/>
    <row r="205992" s="12" customFormat="1" x14ac:dyDescent="0.25"/>
    <row r="205993" s="12" customFormat="1" x14ac:dyDescent="0.25"/>
    <row r="205994" s="12" customFormat="1" x14ac:dyDescent="0.25"/>
    <row r="205995" s="12" customFormat="1" x14ac:dyDescent="0.25"/>
    <row r="205996" s="12" customFormat="1" x14ac:dyDescent="0.25"/>
    <row r="205997" s="12" customFormat="1" x14ac:dyDescent="0.25"/>
    <row r="205998" s="12" customFormat="1" x14ac:dyDescent="0.25"/>
    <row r="205999" s="12" customFormat="1" x14ac:dyDescent="0.25"/>
    <row r="206000" s="12" customFormat="1" x14ac:dyDescent="0.25"/>
    <row r="206001" s="12" customFormat="1" x14ac:dyDescent="0.25"/>
    <row r="206002" s="12" customFormat="1" x14ac:dyDescent="0.25"/>
    <row r="206003" s="12" customFormat="1" x14ac:dyDescent="0.25"/>
    <row r="206004" s="12" customFormat="1" x14ac:dyDescent="0.25"/>
    <row r="206005" s="12" customFormat="1" x14ac:dyDescent="0.25"/>
    <row r="206006" s="12" customFormat="1" x14ac:dyDescent="0.25"/>
    <row r="206007" s="12" customFormat="1" x14ac:dyDescent="0.25"/>
    <row r="206008" s="12" customFormat="1" x14ac:dyDescent="0.25"/>
    <row r="206009" s="12" customFormat="1" x14ac:dyDescent="0.25"/>
    <row r="206010" s="12" customFormat="1" x14ac:dyDescent="0.25"/>
    <row r="206011" s="12" customFormat="1" x14ac:dyDescent="0.25"/>
    <row r="206012" s="12" customFormat="1" x14ac:dyDescent="0.25"/>
    <row r="206013" s="12" customFormat="1" x14ac:dyDescent="0.25"/>
    <row r="206014" s="12" customFormat="1" x14ac:dyDescent="0.25"/>
    <row r="206015" s="12" customFormat="1" x14ac:dyDescent="0.25"/>
    <row r="206016" s="12" customFormat="1" x14ac:dyDescent="0.25"/>
    <row r="206017" s="12" customFormat="1" x14ac:dyDescent="0.25"/>
    <row r="206018" s="12" customFormat="1" x14ac:dyDescent="0.25"/>
    <row r="206019" s="12" customFormat="1" x14ac:dyDescent="0.25"/>
    <row r="206020" s="12" customFormat="1" x14ac:dyDescent="0.25"/>
    <row r="206021" s="12" customFormat="1" x14ac:dyDescent="0.25"/>
    <row r="206022" s="12" customFormat="1" x14ac:dyDescent="0.25"/>
    <row r="206023" s="12" customFormat="1" x14ac:dyDescent="0.25"/>
    <row r="206024" s="12" customFormat="1" x14ac:dyDescent="0.25"/>
    <row r="206025" s="12" customFormat="1" x14ac:dyDescent="0.25"/>
    <row r="206026" s="12" customFormat="1" x14ac:dyDescent="0.25"/>
    <row r="206027" s="12" customFormat="1" x14ac:dyDescent="0.25"/>
    <row r="206028" s="12" customFormat="1" x14ac:dyDescent="0.25"/>
    <row r="206029" s="12" customFormat="1" x14ac:dyDescent="0.25"/>
    <row r="206030" s="12" customFormat="1" x14ac:dyDescent="0.25"/>
    <row r="206031" s="12" customFormat="1" x14ac:dyDescent="0.25"/>
    <row r="206032" s="12" customFormat="1" x14ac:dyDescent="0.25"/>
    <row r="206033" s="12" customFormat="1" x14ac:dyDescent="0.25"/>
    <row r="206034" s="12" customFormat="1" x14ac:dyDescent="0.25"/>
    <row r="206035" s="12" customFormat="1" x14ac:dyDescent="0.25"/>
    <row r="206036" s="12" customFormat="1" x14ac:dyDescent="0.25"/>
    <row r="206037" s="12" customFormat="1" x14ac:dyDescent="0.25"/>
    <row r="206038" s="12" customFormat="1" x14ac:dyDescent="0.25"/>
    <row r="206039" s="12" customFormat="1" x14ac:dyDescent="0.25"/>
    <row r="206040" s="12" customFormat="1" x14ac:dyDescent="0.25"/>
    <row r="206041" s="12" customFormat="1" x14ac:dyDescent="0.25"/>
    <row r="206042" s="12" customFormat="1" x14ac:dyDescent="0.25"/>
    <row r="206043" s="12" customFormat="1" x14ac:dyDescent="0.25"/>
    <row r="206044" s="12" customFormat="1" x14ac:dyDescent="0.25"/>
    <row r="206045" s="12" customFormat="1" x14ac:dyDescent="0.25"/>
    <row r="206046" s="12" customFormat="1" x14ac:dyDescent="0.25"/>
    <row r="206047" s="12" customFormat="1" x14ac:dyDescent="0.25"/>
    <row r="206048" s="12" customFormat="1" x14ac:dyDescent="0.25"/>
    <row r="206049" s="12" customFormat="1" x14ac:dyDescent="0.25"/>
    <row r="206050" s="12" customFormat="1" x14ac:dyDescent="0.25"/>
    <row r="206051" s="12" customFormat="1" x14ac:dyDescent="0.25"/>
    <row r="206052" s="12" customFormat="1" x14ac:dyDescent="0.25"/>
    <row r="206053" s="12" customFormat="1" x14ac:dyDescent="0.25"/>
    <row r="206054" s="12" customFormat="1" x14ac:dyDescent="0.25"/>
    <row r="206055" s="12" customFormat="1" x14ac:dyDescent="0.25"/>
    <row r="206056" s="12" customFormat="1" x14ac:dyDescent="0.25"/>
    <row r="206057" s="12" customFormat="1" x14ac:dyDescent="0.25"/>
    <row r="206058" s="12" customFormat="1" x14ac:dyDescent="0.25"/>
    <row r="206059" s="12" customFormat="1" x14ac:dyDescent="0.25"/>
    <row r="206060" s="12" customFormat="1" x14ac:dyDescent="0.25"/>
    <row r="206061" s="12" customFormat="1" x14ac:dyDescent="0.25"/>
    <row r="206062" s="12" customFormat="1" x14ac:dyDescent="0.25"/>
    <row r="206063" s="12" customFormat="1" x14ac:dyDescent="0.25"/>
    <row r="206064" s="12" customFormat="1" x14ac:dyDescent="0.25"/>
    <row r="206065" s="12" customFormat="1" x14ac:dyDescent="0.25"/>
    <row r="206066" s="12" customFormat="1" x14ac:dyDescent="0.25"/>
    <row r="206067" s="12" customFormat="1" x14ac:dyDescent="0.25"/>
    <row r="206068" s="12" customFormat="1" x14ac:dyDescent="0.25"/>
    <row r="206069" s="12" customFormat="1" x14ac:dyDescent="0.25"/>
    <row r="206070" s="12" customFormat="1" x14ac:dyDescent="0.25"/>
    <row r="206071" s="12" customFormat="1" x14ac:dyDescent="0.25"/>
    <row r="206072" s="12" customFormat="1" x14ac:dyDescent="0.25"/>
    <row r="206073" s="12" customFormat="1" x14ac:dyDescent="0.25"/>
    <row r="206074" s="12" customFormat="1" x14ac:dyDescent="0.25"/>
    <row r="206075" s="12" customFormat="1" x14ac:dyDescent="0.25"/>
    <row r="206076" s="12" customFormat="1" x14ac:dyDescent="0.25"/>
    <row r="206077" s="12" customFormat="1" x14ac:dyDescent="0.25"/>
    <row r="206078" s="12" customFormat="1" x14ac:dyDescent="0.25"/>
    <row r="206079" s="12" customFormat="1" x14ac:dyDescent="0.25"/>
    <row r="206080" s="12" customFormat="1" x14ac:dyDescent="0.25"/>
    <row r="206081" s="12" customFormat="1" x14ac:dyDescent="0.25"/>
    <row r="206082" s="12" customFormat="1" x14ac:dyDescent="0.25"/>
    <row r="206083" s="12" customFormat="1" x14ac:dyDescent="0.25"/>
    <row r="206084" s="12" customFormat="1" x14ac:dyDescent="0.25"/>
    <row r="206085" s="12" customFormat="1" x14ac:dyDescent="0.25"/>
    <row r="206086" s="12" customFormat="1" x14ac:dyDescent="0.25"/>
    <row r="206087" s="12" customFormat="1" x14ac:dyDescent="0.25"/>
    <row r="206088" s="12" customFormat="1" x14ac:dyDescent="0.25"/>
    <row r="206089" s="12" customFormat="1" x14ac:dyDescent="0.25"/>
    <row r="206090" s="12" customFormat="1" x14ac:dyDescent="0.25"/>
    <row r="206091" s="12" customFormat="1" x14ac:dyDescent="0.25"/>
    <row r="206092" s="12" customFormat="1" x14ac:dyDescent="0.25"/>
    <row r="206093" s="12" customFormat="1" x14ac:dyDescent="0.25"/>
    <row r="206094" s="12" customFormat="1" x14ac:dyDescent="0.25"/>
    <row r="206095" s="12" customFormat="1" x14ac:dyDescent="0.25"/>
    <row r="206096" s="12" customFormat="1" x14ac:dyDescent="0.25"/>
    <row r="206097" s="12" customFormat="1" x14ac:dyDescent="0.25"/>
    <row r="206098" s="12" customFormat="1" x14ac:dyDescent="0.25"/>
    <row r="206099" s="12" customFormat="1" x14ac:dyDescent="0.25"/>
    <row r="206100" s="12" customFormat="1" x14ac:dyDescent="0.25"/>
    <row r="206101" s="12" customFormat="1" x14ac:dyDescent="0.25"/>
    <row r="206102" s="12" customFormat="1" x14ac:dyDescent="0.25"/>
    <row r="206103" s="12" customFormat="1" x14ac:dyDescent="0.25"/>
    <row r="206104" s="12" customFormat="1" x14ac:dyDescent="0.25"/>
    <row r="206105" s="12" customFormat="1" x14ac:dyDescent="0.25"/>
    <row r="206106" s="12" customFormat="1" x14ac:dyDescent="0.25"/>
    <row r="206107" s="12" customFormat="1" x14ac:dyDescent="0.25"/>
    <row r="206108" s="12" customFormat="1" x14ac:dyDescent="0.25"/>
    <row r="206109" s="12" customFormat="1" x14ac:dyDescent="0.25"/>
    <row r="206110" s="12" customFormat="1" x14ac:dyDescent="0.25"/>
    <row r="206111" s="12" customFormat="1" x14ac:dyDescent="0.25"/>
    <row r="206112" s="12" customFormat="1" x14ac:dyDescent="0.25"/>
    <row r="206113" s="12" customFormat="1" x14ac:dyDescent="0.25"/>
    <row r="206114" s="12" customFormat="1" x14ac:dyDescent="0.25"/>
    <row r="206115" s="12" customFormat="1" x14ac:dyDescent="0.25"/>
    <row r="206116" s="12" customFormat="1" x14ac:dyDescent="0.25"/>
    <row r="206117" s="12" customFormat="1" x14ac:dyDescent="0.25"/>
    <row r="206118" s="12" customFormat="1" x14ac:dyDescent="0.25"/>
    <row r="206119" s="12" customFormat="1" x14ac:dyDescent="0.25"/>
    <row r="206120" s="12" customFormat="1" x14ac:dyDescent="0.25"/>
    <row r="206121" s="12" customFormat="1" x14ac:dyDescent="0.25"/>
    <row r="206122" s="12" customFormat="1" x14ac:dyDescent="0.25"/>
    <row r="206123" s="12" customFormat="1" x14ac:dyDescent="0.25"/>
    <row r="206124" s="12" customFormat="1" x14ac:dyDescent="0.25"/>
    <row r="206125" s="12" customFormat="1" x14ac:dyDescent="0.25"/>
    <row r="206126" s="12" customFormat="1" x14ac:dyDescent="0.25"/>
    <row r="206127" s="12" customFormat="1" x14ac:dyDescent="0.25"/>
    <row r="206128" s="12" customFormat="1" x14ac:dyDescent="0.25"/>
    <row r="206129" s="12" customFormat="1" x14ac:dyDescent="0.25"/>
    <row r="206130" s="12" customFormat="1" x14ac:dyDescent="0.25"/>
    <row r="206131" s="12" customFormat="1" x14ac:dyDescent="0.25"/>
    <row r="206132" s="12" customFormat="1" x14ac:dyDescent="0.25"/>
    <row r="206133" s="12" customFormat="1" x14ac:dyDescent="0.25"/>
    <row r="206134" s="12" customFormat="1" x14ac:dyDescent="0.25"/>
    <row r="206135" s="12" customFormat="1" x14ac:dyDescent="0.25"/>
    <row r="206136" s="12" customFormat="1" x14ac:dyDescent="0.25"/>
    <row r="206137" s="12" customFormat="1" x14ac:dyDescent="0.25"/>
    <row r="206138" s="12" customFormat="1" x14ac:dyDescent="0.25"/>
    <row r="206139" s="12" customFormat="1" x14ac:dyDescent="0.25"/>
    <row r="206140" s="12" customFormat="1" x14ac:dyDescent="0.25"/>
    <row r="206141" s="12" customFormat="1" x14ac:dyDescent="0.25"/>
    <row r="206142" s="12" customFormat="1" x14ac:dyDescent="0.25"/>
    <row r="206143" s="12" customFormat="1" x14ac:dyDescent="0.25"/>
    <row r="206144" s="12" customFormat="1" x14ac:dyDescent="0.25"/>
    <row r="206145" s="12" customFormat="1" x14ac:dyDescent="0.25"/>
    <row r="206146" s="12" customFormat="1" x14ac:dyDescent="0.25"/>
    <row r="206147" s="12" customFormat="1" x14ac:dyDescent="0.25"/>
    <row r="206148" s="12" customFormat="1" x14ac:dyDescent="0.25"/>
    <row r="206149" s="12" customFormat="1" x14ac:dyDescent="0.25"/>
    <row r="206150" s="12" customFormat="1" x14ac:dyDescent="0.25"/>
    <row r="206151" s="12" customFormat="1" x14ac:dyDescent="0.25"/>
    <row r="206152" s="12" customFormat="1" x14ac:dyDescent="0.25"/>
    <row r="206153" s="12" customFormat="1" x14ac:dyDescent="0.25"/>
    <row r="206154" s="12" customFormat="1" x14ac:dyDescent="0.25"/>
    <row r="206155" s="12" customFormat="1" x14ac:dyDescent="0.25"/>
    <row r="206156" s="12" customFormat="1" x14ac:dyDescent="0.25"/>
    <row r="206157" s="12" customFormat="1" x14ac:dyDescent="0.25"/>
    <row r="206158" s="12" customFormat="1" x14ac:dyDescent="0.25"/>
    <row r="206159" s="12" customFormat="1" x14ac:dyDescent="0.25"/>
    <row r="206160" s="12" customFormat="1" x14ac:dyDescent="0.25"/>
    <row r="206161" s="12" customFormat="1" x14ac:dyDescent="0.25"/>
    <row r="206162" s="12" customFormat="1" x14ac:dyDescent="0.25"/>
    <row r="206163" s="12" customFormat="1" x14ac:dyDescent="0.25"/>
    <row r="206164" s="12" customFormat="1" x14ac:dyDescent="0.25"/>
    <row r="206165" s="12" customFormat="1" x14ac:dyDescent="0.25"/>
    <row r="206166" s="12" customFormat="1" x14ac:dyDescent="0.25"/>
    <row r="206167" s="12" customFormat="1" x14ac:dyDescent="0.25"/>
    <row r="206168" s="12" customFormat="1" x14ac:dyDescent="0.25"/>
    <row r="206169" s="12" customFormat="1" x14ac:dyDescent="0.25"/>
    <row r="206170" s="12" customFormat="1" x14ac:dyDescent="0.25"/>
    <row r="206171" s="12" customFormat="1" x14ac:dyDescent="0.25"/>
    <row r="206172" s="12" customFormat="1" x14ac:dyDescent="0.25"/>
    <row r="206173" s="12" customFormat="1" x14ac:dyDescent="0.25"/>
    <row r="206174" s="12" customFormat="1" x14ac:dyDescent="0.25"/>
    <row r="206175" s="12" customFormat="1" x14ac:dyDescent="0.25"/>
    <row r="206176" s="12" customFormat="1" x14ac:dyDescent="0.25"/>
    <row r="206177" s="12" customFormat="1" x14ac:dyDescent="0.25"/>
    <row r="206178" s="12" customFormat="1" x14ac:dyDescent="0.25"/>
    <row r="206179" s="12" customFormat="1" x14ac:dyDescent="0.25"/>
    <row r="206180" s="12" customFormat="1" x14ac:dyDescent="0.25"/>
    <row r="206181" s="12" customFormat="1" x14ac:dyDescent="0.25"/>
    <row r="206182" s="12" customFormat="1" x14ac:dyDescent="0.25"/>
    <row r="206183" s="12" customFormat="1" x14ac:dyDescent="0.25"/>
    <row r="206184" s="12" customFormat="1" x14ac:dyDescent="0.25"/>
    <row r="206185" s="12" customFormat="1" x14ac:dyDescent="0.25"/>
    <row r="206186" s="12" customFormat="1" x14ac:dyDescent="0.25"/>
    <row r="206187" s="12" customFormat="1" x14ac:dyDescent="0.25"/>
    <row r="206188" s="12" customFormat="1" x14ac:dyDescent="0.25"/>
    <row r="206189" s="12" customFormat="1" x14ac:dyDescent="0.25"/>
    <row r="206190" s="12" customFormat="1" x14ac:dyDescent="0.25"/>
    <row r="206191" s="12" customFormat="1" x14ac:dyDescent="0.25"/>
    <row r="206192" s="12" customFormat="1" x14ac:dyDescent="0.25"/>
    <row r="206193" s="12" customFormat="1" x14ac:dyDescent="0.25"/>
    <row r="206194" s="12" customFormat="1" x14ac:dyDescent="0.25"/>
    <row r="206195" s="12" customFormat="1" x14ac:dyDescent="0.25"/>
    <row r="206196" s="12" customFormat="1" x14ac:dyDescent="0.25"/>
    <row r="206197" s="12" customFormat="1" x14ac:dyDescent="0.25"/>
    <row r="206198" s="12" customFormat="1" x14ac:dyDescent="0.25"/>
    <row r="206199" s="12" customFormat="1" x14ac:dyDescent="0.25"/>
    <row r="206200" s="12" customFormat="1" x14ac:dyDescent="0.25"/>
    <row r="206201" s="12" customFormat="1" x14ac:dyDescent="0.25"/>
    <row r="206202" s="12" customFormat="1" x14ac:dyDescent="0.25"/>
    <row r="206203" s="12" customFormat="1" x14ac:dyDescent="0.25"/>
    <row r="206204" s="12" customFormat="1" x14ac:dyDescent="0.25"/>
    <row r="206205" s="12" customFormat="1" x14ac:dyDescent="0.25"/>
    <row r="206206" s="12" customFormat="1" x14ac:dyDescent="0.25"/>
    <row r="206207" s="12" customFormat="1" x14ac:dyDescent="0.25"/>
    <row r="206208" s="12" customFormat="1" x14ac:dyDescent="0.25"/>
    <row r="206209" s="12" customFormat="1" x14ac:dyDescent="0.25"/>
    <row r="206210" s="12" customFormat="1" x14ac:dyDescent="0.25"/>
    <row r="206211" s="12" customFormat="1" x14ac:dyDescent="0.25"/>
    <row r="206212" s="12" customFormat="1" x14ac:dyDescent="0.25"/>
    <row r="206213" s="12" customFormat="1" x14ac:dyDescent="0.25"/>
    <row r="206214" s="12" customFormat="1" x14ac:dyDescent="0.25"/>
    <row r="206215" s="12" customFormat="1" x14ac:dyDescent="0.25"/>
    <row r="206216" s="12" customFormat="1" x14ac:dyDescent="0.25"/>
    <row r="206217" s="12" customFormat="1" x14ac:dyDescent="0.25"/>
    <row r="206218" s="12" customFormat="1" x14ac:dyDescent="0.25"/>
    <row r="206219" s="12" customFormat="1" x14ac:dyDescent="0.25"/>
    <row r="206220" s="12" customFormat="1" x14ac:dyDescent="0.25"/>
    <row r="206221" s="12" customFormat="1" x14ac:dyDescent="0.25"/>
    <row r="206222" s="12" customFormat="1" x14ac:dyDescent="0.25"/>
    <row r="206223" s="12" customFormat="1" x14ac:dyDescent="0.25"/>
    <row r="206224" s="12" customFormat="1" x14ac:dyDescent="0.25"/>
    <row r="206225" s="12" customFormat="1" x14ac:dyDescent="0.25"/>
    <row r="206226" s="12" customFormat="1" x14ac:dyDescent="0.25"/>
    <row r="206227" s="12" customFormat="1" x14ac:dyDescent="0.25"/>
    <row r="206228" s="12" customFormat="1" x14ac:dyDescent="0.25"/>
    <row r="206229" s="12" customFormat="1" x14ac:dyDescent="0.25"/>
    <row r="206230" s="12" customFormat="1" x14ac:dyDescent="0.25"/>
    <row r="206231" s="12" customFormat="1" x14ac:dyDescent="0.25"/>
    <row r="206232" s="12" customFormat="1" x14ac:dyDescent="0.25"/>
    <row r="206233" s="12" customFormat="1" x14ac:dyDescent="0.25"/>
    <row r="206234" s="12" customFormat="1" x14ac:dyDescent="0.25"/>
    <row r="206235" s="12" customFormat="1" x14ac:dyDescent="0.25"/>
    <row r="206236" s="12" customFormat="1" x14ac:dyDescent="0.25"/>
    <row r="206237" s="12" customFormat="1" x14ac:dyDescent="0.25"/>
    <row r="206238" s="12" customFormat="1" x14ac:dyDescent="0.25"/>
    <row r="206239" s="12" customFormat="1" x14ac:dyDescent="0.25"/>
    <row r="206240" s="12" customFormat="1" x14ac:dyDescent="0.25"/>
    <row r="206241" s="12" customFormat="1" x14ac:dyDescent="0.25"/>
    <row r="206242" s="12" customFormat="1" x14ac:dyDescent="0.25"/>
    <row r="206243" s="12" customFormat="1" x14ac:dyDescent="0.25"/>
    <row r="206244" s="12" customFormat="1" x14ac:dyDescent="0.25"/>
    <row r="206245" s="12" customFormat="1" x14ac:dyDescent="0.25"/>
    <row r="206246" s="12" customFormat="1" x14ac:dyDescent="0.25"/>
    <row r="206247" s="12" customFormat="1" x14ac:dyDescent="0.25"/>
    <row r="206248" s="12" customFormat="1" x14ac:dyDescent="0.25"/>
    <row r="206249" s="12" customFormat="1" x14ac:dyDescent="0.25"/>
    <row r="206250" s="12" customFormat="1" x14ac:dyDescent="0.25"/>
    <row r="206251" s="12" customFormat="1" x14ac:dyDescent="0.25"/>
    <row r="206252" s="12" customFormat="1" x14ac:dyDescent="0.25"/>
    <row r="206253" s="12" customFormat="1" x14ac:dyDescent="0.25"/>
    <row r="206254" s="12" customFormat="1" x14ac:dyDescent="0.25"/>
    <row r="206255" s="12" customFormat="1" x14ac:dyDescent="0.25"/>
    <row r="206256" s="12" customFormat="1" x14ac:dyDescent="0.25"/>
    <row r="206257" s="12" customFormat="1" x14ac:dyDescent="0.25"/>
    <row r="206258" s="12" customFormat="1" x14ac:dyDescent="0.25"/>
    <row r="206259" s="12" customFormat="1" x14ac:dyDescent="0.25"/>
    <row r="206260" s="12" customFormat="1" x14ac:dyDescent="0.25"/>
    <row r="206261" s="12" customFormat="1" x14ac:dyDescent="0.25"/>
    <row r="206262" s="12" customFormat="1" x14ac:dyDescent="0.25"/>
    <row r="206263" s="12" customFormat="1" x14ac:dyDescent="0.25"/>
    <row r="206264" s="12" customFormat="1" x14ac:dyDescent="0.25"/>
    <row r="206265" s="12" customFormat="1" x14ac:dyDescent="0.25"/>
    <row r="206266" s="12" customFormat="1" x14ac:dyDescent="0.25"/>
    <row r="206267" s="12" customFormat="1" x14ac:dyDescent="0.25"/>
    <row r="206268" s="12" customFormat="1" x14ac:dyDescent="0.25"/>
    <row r="206269" s="12" customFormat="1" x14ac:dyDescent="0.25"/>
    <row r="206270" s="12" customFormat="1" x14ac:dyDescent="0.25"/>
    <row r="206271" s="12" customFormat="1" x14ac:dyDescent="0.25"/>
    <row r="206272" s="12" customFormat="1" x14ac:dyDescent="0.25"/>
    <row r="206273" s="12" customFormat="1" x14ac:dyDescent="0.25"/>
    <row r="206274" s="12" customFormat="1" x14ac:dyDescent="0.25"/>
    <row r="206275" s="12" customFormat="1" x14ac:dyDescent="0.25"/>
    <row r="206276" s="12" customFormat="1" x14ac:dyDescent="0.25"/>
    <row r="206277" s="12" customFormat="1" x14ac:dyDescent="0.25"/>
    <row r="206278" s="12" customFormat="1" x14ac:dyDescent="0.25"/>
    <row r="206279" s="12" customFormat="1" x14ac:dyDescent="0.25"/>
    <row r="206280" s="12" customFormat="1" x14ac:dyDescent="0.25"/>
    <row r="206281" s="12" customFormat="1" x14ac:dyDescent="0.25"/>
    <row r="206282" s="12" customFormat="1" x14ac:dyDescent="0.25"/>
    <row r="206283" s="12" customFormat="1" x14ac:dyDescent="0.25"/>
    <row r="206284" s="12" customFormat="1" x14ac:dyDescent="0.25"/>
    <row r="206285" s="12" customFormat="1" x14ac:dyDescent="0.25"/>
    <row r="206286" s="12" customFormat="1" x14ac:dyDescent="0.25"/>
    <row r="206287" s="12" customFormat="1" x14ac:dyDescent="0.25"/>
    <row r="206288" s="12" customFormat="1" x14ac:dyDescent="0.25"/>
    <row r="206289" s="12" customFormat="1" x14ac:dyDescent="0.25"/>
    <row r="206290" s="12" customFormat="1" x14ac:dyDescent="0.25"/>
    <row r="206291" s="12" customFormat="1" x14ac:dyDescent="0.25"/>
    <row r="206292" s="12" customFormat="1" x14ac:dyDescent="0.25"/>
    <row r="206293" s="12" customFormat="1" x14ac:dyDescent="0.25"/>
    <row r="206294" s="12" customFormat="1" x14ac:dyDescent="0.25"/>
    <row r="206295" s="12" customFormat="1" x14ac:dyDescent="0.25"/>
    <row r="206296" s="12" customFormat="1" x14ac:dyDescent="0.25"/>
    <row r="206297" s="12" customFormat="1" x14ac:dyDescent="0.25"/>
    <row r="206298" s="12" customFormat="1" x14ac:dyDescent="0.25"/>
    <row r="206299" s="12" customFormat="1" x14ac:dyDescent="0.25"/>
    <row r="206300" s="12" customFormat="1" x14ac:dyDescent="0.25"/>
    <row r="206301" s="12" customFormat="1" x14ac:dyDescent="0.25"/>
    <row r="206302" s="12" customFormat="1" x14ac:dyDescent="0.25"/>
    <row r="206303" s="12" customFormat="1" x14ac:dyDescent="0.25"/>
    <row r="206304" s="12" customFormat="1" x14ac:dyDescent="0.25"/>
    <row r="206305" s="12" customFormat="1" x14ac:dyDescent="0.25"/>
    <row r="206306" s="12" customFormat="1" x14ac:dyDescent="0.25"/>
    <row r="206307" s="12" customFormat="1" x14ac:dyDescent="0.25"/>
    <row r="206308" s="12" customFormat="1" x14ac:dyDescent="0.25"/>
    <row r="206309" s="12" customFormat="1" x14ac:dyDescent="0.25"/>
    <row r="206310" s="12" customFormat="1" x14ac:dyDescent="0.25"/>
    <row r="206311" s="12" customFormat="1" x14ac:dyDescent="0.25"/>
    <row r="206312" s="12" customFormat="1" x14ac:dyDescent="0.25"/>
    <row r="206313" s="12" customFormat="1" x14ac:dyDescent="0.25"/>
    <row r="206314" s="12" customFormat="1" x14ac:dyDescent="0.25"/>
    <row r="206315" s="12" customFormat="1" x14ac:dyDescent="0.25"/>
    <row r="206316" s="12" customFormat="1" x14ac:dyDescent="0.25"/>
    <row r="206317" s="12" customFormat="1" x14ac:dyDescent="0.25"/>
    <row r="206318" s="12" customFormat="1" x14ac:dyDescent="0.25"/>
    <row r="206319" s="12" customFormat="1" x14ac:dyDescent="0.25"/>
    <row r="206320" s="12" customFormat="1" x14ac:dyDescent="0.25"/>
    <row r="206321" s="12" customFormat="1" x14ac:dyDescent="0.25"/>
    <row r="206322" s="12" customFormat="1" x14ac:dyDescent="0.25"/>
    <row r="206323" s="12" customFormat="1" x14ac:dyDescent="0.25"/>
    <row r="206324" s="12" customFormat="1" x14ac:dyDescent="0.25"/>
    <row r="206325" s="12" customFormat="1" x14ac:dyDescent="0.25"/>
    <row r="206326" s="12" customFormat="1" x14ac:dyDescent="0.25"/>
    <row r="206327" s="12" customFormat="1" x14ac:dyDescent="0.25"/>
    <row r="206328" s="12" customFormat="1" x14ac:dyDescent="0.25"/>
    <row r="206329" s="12" customFormat="1" x14ac:dyDescent="0.25"/>
    <row r="206330" s="12" customFormat="1" x14ac:dyDescent="0.25"/>
    <row r="206331" s="12" customFormat="1" x14ac:dyDescent="0.25"/>
    <row r="206332" s="12" customFormat="1" x14ac:dyDescent="0.25"/>
    <row r="206333" s="12" customFormat="1" x14ac:dyDescent="0.25"/>
    <row r="206334" s="12" customFormat="1" x14ac:dyDescent="0.25"/>
    <row r="206335" s="12" customFormat="1" x14ac:dyDescent="0.25"/>
    <row r="206336" s="12" customFormat="1" x14ac:dyDescent="0.25"/>
    <row r="206337" s="12" customFormat="1" x14ac:dyDescent="0.25"/>
    <row r="206338" s="12" customFormat="1" x14ac:dyDescent="0.25"/>
    <row r="206339" s="12" customFormat="1" x14ac:dyDescent="0.25"/>
    <row r="206340" s="12" customFormat="1" x14ac:dyDescent="0.25"/>
    <row r="206341" s="12" customFormat="1" x14ac:dyDescent="0.25"/>
    <row r="206342" s="12" customFormat="1" x14ac:dyDescent="0.25"/>
    <row r="206343" s="12" customFormat="1" x14ac:dyDescent="0.25"/>
    <row r="206344" s="12" customFormat="1" x14ac:dyDescent="0.25"/>
    <row r="206345" s="12" customFormat="1" x14ac:dyDescent="0.25"/>
    <row r="206346" s="12" customFormat="1" x14ac:dyDescent="0.25"/>
    <row r="206347" s="12" customFormat="1" x14ac:dyDescent="0.25"/>
    <row r="206348" s="12" customFormat="1" x14ac:dyDescent="0.25"/>
    <row r="206349" s="12" customFormat="1" x14ac:dyDescent="0.25"/>
    <row r="206350" s="12" customFormat="1" x14ac:dyDescent="0.25"/>
    <row r="206351" s="12" customFormat="1" x14ac:dyDescent="0.25"/>
    <row r="206352" s="12" customFormat="1" x14ac:dyDescent="0.25"/>
    <row r="206353" s="12" customFormat="1" x14ac:dyDescent="0.25"/>
    <row r="206354" s="12" customFormat="1" x14ac:dyDescent="0.25"/>
    <row r="206355" s="12" customFormat="1" x14ac:dyDescent="0.25"/>
    <row r="206356" s="12" customFormat="1" x14ac:dyDescent="0.25"/>
    <row r="206357" s="12" customFormat="1" x14ac:dyDescent="0.25"/>
    <row r="206358" s="12" customFormat="1" x14ac:dyDescent="0.25"/>
    <row r="206359" s="12" customFormat="1" x14ac:dyDescent="0.25"/>
    <row r="206360" s="12" customFormat="1" x14ac:dyDescent="0.25"/>
    <row r="206361" s="12" customFormat="1" x14ac:dyDescent="0.25"/>
    <row r="206362" s="12" customFormat="1" x14ac:dyDescent="0.25"/>
    <row r="206363" s="12" customFormat="1" x14ac:dyDescent="0.25"/>
    <row r="206364" s="12" customFormat="1" x14ac:dyDescent="0.25"/>
    <row r="206365" s="12" customFormat="1" x14ac:dyDescent="0.25"/>
    <row r="206366" s="12" customFormat="1" x14ac:dyDescent="0.25"/>
    <row r="206367" s="12" customFormat="1" x14ac:dyDescent="0.25"/>
    <row r="206368" s="12" customFormat="1" x14ac:dyDescent="0.25"/>
    <row r="206369" s="12" customFormat="1" x14ac:dyDescent="0.25"/>
    <row r="206370" s="12" customFormat="1" x14ac:dyDescent="0.25"/>
    <row r="206371" s="12" customFormat="1" x14ac:dyDescent="0.25"/>
    <row r="206372" s="12" customFormat="1" x14ac:dyDescent="0.25"/>
    <row r="206373" s="12" customFormat="1" x14ac:dyDescent="0.25"/>
    <row r="206374" s="12" customFormat="1" x14ac:dyDescent="0.25"/>
    <row r="206375" s="12" customFormat="1" x14ac:dyDescent="0.25"/>
    <row r="206376" s="12" customFormat="1" x14ac:dyDescent="0.25"/>
    <row r="206377" s="12" customFormat="1" x14ac:dyDescent="0.25"/>
    <row r="206378" s="12" customFormat="1" x14ac:dyDescent="0.25"/>
    <row r="206379" s="12" customFormat="1" x14ac:dyDescent="0.25"/>
    <row r="206380" s="12" customFormat="1" x14ac:dyDescent="0.25"/>
    <row r="206381" s="12" customFormat="1" x14ac:dyDescent="0.25"/>
    <row r="206382" s="12" customFormat="1" x14ac:dyDescent="0.25"/>
    <row r="206383" s="12" customFormat="1" x14ac:dyDescent="0.25"/>
    <row r="206384" s="12" customFormat="1" x14ac:dyDescent="0.25"/>
    <row r="206385" s="12" customFormat="1" x14ac:dyDescent="0.25"/>
    <row r="206386" s="12" customFormat="1" x14ac:dyDescent="0.25"/>
    <row r="206387" s="12" customFormat="1" x14ac:dyDescent="0.25"/>
    <row r="206388" s="12" customFormat="1" x14ac:dyDescent="0.25"/>
    <row r="206389" s="12" customFormat="1" x14ac:dyDescent="0.25"/>
    <row r="206390" s="12" customFormat="1" x14ac:dyDescent="0.25"/>
    <row r="206391" s="12" customFormat="1" x14ac:dyDescent="0.25"/>
    <row r="206392" s="12" customFormat="1" x14ac:dyDescent="0.25"/>
    <row r="206393" s="12" customFormat="1" x14ac:dyDescent="0.25"/>
    <row r="206394" s="12" customFormat="1" x14ac:dyDescent="0.25"/>
    <row r="206395" s="12" customFormat="1" x14ac:dyDescent="0.25"/>
    <row r="206396" s="12" customFormat="1" x14ac:dyDescent="0.25"/>
    <row r="206397" s="12" customFormat="1" x14ac:dyDescent="0.25"/>
    <row r="206398" s="12" customFormat="1" x14ac:dyDescent="0.25"/>
    <row r="206399" s="12" customFormat="1" x14ac:dyDescent="0.25"/>
    <row r="206400" s="12" customFormat="1" x14ac:dyDescent="0.25"/>
    <row r="206401" s="12" customFormat="1" x14ac:dyDescent="0.25"/>
    <row r="206402" s="12" customFormat="1" x14ac:dyDescent="0.25"/>
    <row r="206403" s="12" customFormat="1" x14ac:dyDescent="0.25"/>
    <row r="206404" s="12" customFormat="1" x14ac:dyDescent="0.25"/>
    <row r="206405" s="12" customFormat="1" x14ac:dyDescent="0.25"/>
    <row r="206406" s="12" customFormat="1" x14ac:dyDescent="0.25"/>
    <row r="206407" s="12" customFormat="1" x14ac:dyDescent="0.25"/>
    <row r="206408" s="12" customFormat="1" x14ac:dyDescent="0.25"/>
    <row r="206409" s="12" customFormat="1" x14ac:dyDescent="0.25"/>
    <row r="206410" s="12" customFormat="1" x14ac:dyDescent="0.25"/>
    <row r="206411" s="12" customFormat="1" x14ac:dyDescent="0.25"/>
    <row r="206412" s="12" customFormat="1" x14ac:dyDescent="0.25"/>
    <row r="206413" s="12" customFormat="1" x14ac:dyDescent="0.25"/>
    <row r="206414" s="12" customFormat="1" x14ac:dyDescent="0.25"/>
    <row r="206415" s="12" customFormat="1" x14ac:dyDescent="0.25"/>
    <row r="206416" s="12" customFormat="1" x14ac:dyDescent="0.25"/>
    <row r="206417" s="12" customFormat="1" x14ac:dyDescent="0.25"/>
    <row r="206418" s="12" customFormat="1" x14ac:dyDescent="0.25"/>
    <row r="206419" s="12" customFormat="1" x14ac:dyDescent="0.25"/>
    <row r="206420" s="12" customFormat="1" x14ac:dyDescent="0.25"/>
    <row r="206421" s="12" customFormat="1" x14ac:dyDescent="0.25"/>
    <row r="206422" s="12" customFormat="1" x14ac:dyDescent="0.25"/>
    <row r="206423" s="12" customFormat="1" x14ac:dyDescent="0.25"/>
    <row r="206424" s="12" customFormat="1" x14ac:dyDescent="0.25"/>
    <row r="206425" s="12" customFormat="1" x14ac:dyDescent="0.25"/>
    <row r="206426" s="12" customFormat="1" x14ac:dyDescent="0.25"/>
    <row r="206427" s="12" customFormat="1" x14ac:dyDescent="0.25"/>
    <row r="206428" s="12" customFormat="1" x14ac:dyDescent="0.25"/>
    <row r="206429" s="12" customFormat="1" x14ac:dyDescent="0.25"/>
    <row r="206430" s="12" customFormat="1" x14ac:dyDescent="0.25"/>
    <row r="206431" s="12" customFormat="1" x14ac:dyDescent="0.25"/>
    <row r="206432" s="12" customFormat="1" x14ac:dyDescent="0.25"/>
    <row r="206433" s="12" customFormat="1" x14ac:dyDescent="0.25"/>
    <row r="206434" s="12" customFormat="1" x14ac:dyDescent="0.25"/>
    <row r="206435" s="12" customFormat="1" x14ac:dyDescent="0.25"/>
    <row r="206436" s="12" customFormat="1" x14ac:dyDescent="0.25"/>
    <row r="206437" s="12" customFormat="1" x14ac:dyDescent="0.25"/>
    <row r="206438" s="12" customFormat="1" x14ac:dyDescent="0.25"/>
    <row r="206439" s="12" customFormat="1" x14ac:dyDescent="0.25"/>
    <row r="206440" s="12" customFormat="1" x14ac:dyDescent="0.25"/>
    <row r="206441" s="12" customFormat="1" x14ac:dyDescent="0.25"/>
    <row r="206442" s="12" customFormat="1" x14ac:dyDescent="0.25"/>
    <row r="206443" s="12" customFormat="1" x14ac:dyDescent="0.25"/>
    <row r="206444" s="12" customFormat="1" x14ac:dyDescent="0.25"/>
    <row r="206445" s="12" customFormat="1" x14ac:dyDescent="0.25"/>
    <row r="206446" s="12" customFormat="1" x14ac:dyDescent="0.25"/>
    <row r="206447" s="12" customFormat="1" x14ac:dyDescent="0.25"/>
    <row r="206448" s="12" customFormat="1" x14ac:dyDescent="0.25"/>
    <row r="206449" s="12" customFormat="1" x14ac:dyDescent="0.25"/>
    <row r="206450" s="12" customFormat="1" x14ac:dyDescent="0.25"/>
    <row r="206451" s="12" customFormat="1" x14ac:dyDescent="0.25"/>
    <row r="206452" s="12" customFormat="1" x14ac:dyDescent="0.25"/>
    <row r="206453" s="12" customFormat="1" x14ac:dyDescent="0.25"/>
    <row r="206454" s="12" customFormat="1" x14ac:dyDescent="0.25"/>
    <row r="206455" s="12" customFormat="1" x14ac:dyDescent="0.25"/>
    <row r="206456" s="12" customFormat="1" x14ac:dyDescent="0.25"/>
    <row r="206457" s="12" customFormat="1" x14ac:dyDescent="0.25"/>
    <row r="206458" s="12" customFormat="1" x14ac:dyDescent="0.25"/>
    <row r="206459" s="12" customFormat="1" x14ac:dyDescent="0.25"/>
    <row r="206460" s="12" customFormat="1" x14ac:dyDescent="0.25"/>
    <row r="206461" s="12" customFormat="1" x14ac:dyDescent="0.25"/>
    <row r="206462" s="12" customFormat="1" x14ac:dyDescent="0.25"/>
    <row r="206463" s="12" customFormat="1" x14ac:dyDescent="0.25"/>
    <row r="206464" s="12" customFormat="1" x14ac:dyDescent="0.25"/>
    <row r="206465" s="12" customFormat="1" x14ac:dyDescent="0.25"/>
    <row r="206466" s="12" customFormat="1" x14ac:dyDescent="0.25"/>
    <row r="206467" s="12" customFormat="1" x14ac:dyDescent="0.25"/>
    <row r="206468" s="12" customFormat="1" x14ac:dyDescent="0.25"/>
    <row r="206469" s="12" customFormat="1" x14ac:dyDescent="0.25"/>
    <row r="206470" s="12" customFormat="1" x14ac:dyDescent="0.25"/>
    <row r="206471" s="12" customFormat="1" x14ac:dyDescent="0.25"/>
    <row r="206472" s="12" customFormat="1" x14ac:dyDescent="0.25"/>
    <row r="206473" s="12" customFormat="1" x14ac:dyDescent="0.25"/>
    <row r="206474" s="12" customFormat="1" x14ac:dyDescent="0.25"/>
    <row r="206475" s="12" customFormat="1" x14ac:dyDescent="0.25"/>
    <row r="206476" s="12" customFormat="1" x14ac:dyDescent="0.25"/>
    <row r="206477" s="12" customFormat="1" x14ac:dyDescent="0.25"/>
    <row r="206478" s="12" customFormat="1" x14ac:dyDescent="0.25"/>
    <row r="206479" s="12" customFormat="1" x14ac:dyDescent="0.25"/>
    <row r="206480" s="12" customFormat="1" x14ac:dyDescent="0.25"/>
    <row r="206481" s="12" customFormat="1" x14ac:dyDescent="0.25"/>
    <row r="206482" s="12" customFormat="1" x14ac:dyDescent="0.25"/>
    <row r="206483" s="12" customFormat="1" x14ac:dyDescent="0.25"/>
    <row r="206484" s="12" customFormat="1" x14ac:dyDescent="0.25"/>
    <row r="206485" s="12" customFormat="1" x14ac:dyDescent="0.25"/>
    <row r="206486" s="12" customFormat="1" x14ac:dyDescent="0.25"/>
    <row r="206487" s="12" customFormat="1" x14ac:dyDescent="0.25"/>
    <row r="206488" s="12" customFormat="1" x14ac:dyDescent="0.25"/>
    <row r="206489" s="12" customFormat="1" x14ac:dyDescent="0.25"/>
    <row r="206490" s="12" customFormat="1" x14ac:dyDescent="0.25"/>
    <row r="206491" s="12" customFormat="1" x14ac:dyDescent="0.25"/>
    <row r="206492" s="12" customFormat="1" x14ac:dyDescent="0.25"/>
    <row r="206493" s="12" customFormat="1" x14ac:dyDescent="0.25"/>
    <row r="206494" s="12" customFormat="1" x14ac:dyDescent="0.25"/>
    <row r="206495" s="12" customFormat="1" x14ac:dyDescent="0.25"/>
    <row r="206496" s="12" customFormat="1" x14ac:dyDescent="0.25"/>
    <row r="206497" s="12" customFormat="1" x14ac:dyDescent="0.25"/>
    <row r="206498" s="12" customFormat="1" x14ac:dyDescent="0.25"/>
    <row r="206499" s="12" customFormat="1" x14ac:dyDescent="0.25"/>
    <row r="206500" s="12" customFormat="1" x14ac:dyDescent="0.25"/>
    <row r="206501" s="12" customFormat="1" x14ac:dyDescent="0.25"/>
    <row r="206502" s="12" customFormat="1" x14ac:dyDescent="0.25"/>
    <row r="206503" s="12" customFormat="1" x14ac:dyDescent="0.25"/>
    <row r="206504" s="12" customFormat="1" x14ac:dyDescent="0.25"/>
    <row r="206505" s="12" customFormat="1" x14ac:dyDescent="0.25"/>
    <row r="206506" s="12" customFormat="1" x14ac:dyDescent="0.25"/>
    <row r="206507" s="12" customFormat="1" x14ac:dyDescent="0.25"/>
    <row r="206508" s="12" customFormat="1" x14ac:dyDescent="0.25"/>
    <row r="206509" s="12" customFormat="1" x14ac:dyDescent="0.25"/>
    <row r="206510" s="12" customFormat="1" x14ac:dyDescent="0.25"/>
    <row r="206511" s="12" customFormat="1" x14ac:dyDescent="0.25"/>
    <row r="206512" s="12" customFormat="1" x14ac:dyDescent="0.25"/>
    <row r="206513" s="12" customFormat="1" x14ac:dyDescent="0.25"/>
    <row r="206514" s="12" customFormat="1" x14ac:dyDescent="0.25"/>
    <row r="206515" s="12" customFormat="1" x14ac:dyDescent="0.25"/>
    <row r="206516" s="12" customFormat="1" x14ac:dyDescent="0.25"/>
    <row r="206517" s="12" customFormat="1" x14ac:dyDescent="0.25"/>
    <row r="206518" s="12" customFormat="1" x14ac:dyDescent="0.25"/>
    <row r="206519" s="12" customFormat="1" x14ac:dyDescent="0.25"/>
    <row r="206520" s="12" customFormat="1" x14ac:dyDescent="0.25"/>
    <row r="206521" s="12" customFormat="1" x14ac:dyDescent="0.25"/>
    <row r="206522" s="12" customFormat="1" x14ac:dyDescent="0.25"/>
    <row r="206523" s="12" customFormat="1" x14ac:dyDescent="0.25"/>
    <row r="206524" s="12" customFormat="1" x14ac:dyDescent="0.25"/>
    <row r="206525" s="12" customFormat="1" x14ac:dyDescent="0.25"/>
    <row r="206526" s="12" customFormat="1" x14ac:dyDescent="0.25"/>
    <row r="206527" s="12" customFormat="1" x14ac:dyDescent="0.25"/>
    <row r="206528" s="12" customFormat="1" x14ac:dyDescent="0.25"/>
    <row r="206529" s="12" customFormat="1" x14ac:dyDescent="0.25"/>
    <row r="206530" s="12" customFormat="1" x14ac:dyDescent="0.25"/>
    <row r="206531" s="12" customFormat="1" x14ac:dyDescent="0.25"/>
    <row r="206532" s="12" customFormat="1" x14ac:dyDescent="0.25"/>
    <row r="206533" s="12" customFormat="1" x14ac:dyDescent="0.25"/>
    <row r="206534" s="12" customFormat="1" x14ac:dyDescent="0.25"/>
    <row r="206535" s="12" customFormat="1" x14ac:dyDescent="0.25"/>
    <row r="206536" s="12" customFormat="1" x14ac:dyDescent="0.25"/>
    <row r="206537" s="12" customFormat="1" x14ac:dyDescent="0.25"/>
    <row r="206538" s="12" customFormat="1" x14ac:dyDescent="0.25"/>
    <row r="206539" s="12" customFormat="1" x14ac:dyDescent="0.25"/>
    <row r="206540" s="12" customFormat="1" x14ac:dyDescent="0.25"/>
    <row r="206541" s="12" customFormat="1" x14ac:dyDescent="0.25"/>
    <row r="206542" s="12" customFormat="1" x14ac:dyDescent="0.25"/>
    <row r="206543" s="12" customFormat="1" x14ac:dyDescent="0.25"/>
    <row r="206544" s="12" customFormat="1" x14ac:dyDescent="0.25"/>
    <row r="206545" s="12" customFormat="1" x14ac:dyDescent="0.25"/>
    <row r="206546" s="12" customFormat="1" x14ac:dyDescent="0.25"/>
    <row r="206547" s="12" customFormat="1" x14ac:dyDescent="0.25"/>
    <row r="206548" s="12" customFormat="1" x14ac:dyDescent="0.25"/>
    <row r="206549" s="12" customFormat="1" x14ac:dyDescent="0.25"/>
    <row r="206550" s="12" customFormat="1" x14ac:dyDescent="0.25"/>
    <row r="206551" s="12" customFormat="1" x14ac:dyDescent="0.25"/>
    <row r="206552" s="12" customFormat="1" x14ac:dyDescent="0.25"/>
    <row r="206553" s="12" customFormat="1" x14ac:dyDescent="0.25"/>
    <row r="206554" s="12" customFormat="1" x14ac:dyDescent="0.25"/>
    <row r="206555" s="12" customFormat="1" x14ac:dyDescent="0.25"/>
    <row r="206556" s="12" customFormat="1" x14ac:dyDescent="0.25"/>
    <row r="206557" s="12" customFormat="1" x14ac:dyDescent="0.25"/>
    <row r="206558" s="12" customFormat="1" x14ac:dyDescent="0.25"/>
    <row r="206559" s="12" customFormat="1" x14ac:dyDescent="0.25"/>
    <row r="206560" s="12" customFormat="1" x14ac:dyDescent="0.25"/>
    <row r="206561" s="12" customFormat="1" x14ac:dyDescent="0.25"/>
    <row r="206562" s="12" customFormat="1" x14ac:dyDescent="0.25"/>
    <row r="206563" s="12" customFormat="1" x14ac:dyDescent="0.25"/>
    <row r="206564" s="12" customFormat="1" x14ac:dyDescent="0.25"/>
    <row r="206565" s="12" customFormat="1" x14ac:dyDescent="0.25"/>
    <row r="206566" s="12" customFormat="1" x14ac:dyDescent="0.25"/>
    <row r="206567" s="12" customFormat="1" x14ac:dyDescent="0.25"/>
    <row r="206568" s="12" customFormat="1" x14ac:dyDescent="0.25"/>
    <row r="206569" s="12" customFormat="1" x14ac:dyDescent="0.25"/>
    <row r="206570" s="12" customFormat="1" x14ac:dyDescent="0.25"/>
    <row r="206571" s="12" customFormat="1" x14ac:dyDescent="0.25"/>
    <row r="206572" s="12" customFormat="1" x14ac:dyDescent="0.25"/>
    <row r="206573" s="12" customFormat="1" x14ac:dyDescent="0.25"/>
    <row r="206574" s="12" customFormat="1" x14ac:dyDescent="0.25"/>
    <row r="206575" s="12" customFormat="1" x14ac:dyDescent="0.25"/>
    <row r="206576" s="12" customFormat="1" x14ac:dyDescent="0.25"/>
    <row r="206577" s="12" customFormat="1" x14ac:dyDescent="0.25"/>
    <row r="206578" s="12" customFormat="1" x14ac:dyDescent="0.25"/>
    <row r="206579" s="12" customFormat="1" x14ac:dyDescent="0.25"/>
    <row r="206580" s="12" customFormat="1" x14ac:dyDescent="0.25"/>
    <row r="206581" s="12" customFormat="1" x14ac:dyDescent="0.25"/>
    <row r="206582" s="12" customFormat="1" x14ac:dyDescent="0.25"/>
    <row r="206583" s="12" customFormat="1" x14ac:dyDescent="0.25"/>
    <row r="206584" s="12" customFormat="1" x14ac:dyDescent="0.25"/>
    <row r="206585" s="12" customFormat="1" x14ac:dyDescent="0.25"/>
    <row r="206586" s="12" customFormat="1" x14ac:dyDescent="0.25"/>
    <row r="206587" s="12" customFormat="1" x14ac:dyDescent="0.25"/>
    <row r="206588" s="12" customFormat="1" x14ac:dyDescent="0.25"/>
    <row r="206589" s="12" customFormat="1" x14ac:dyDescent="0.25"/>
    <row r="206590" s="12" customFormat="1" x14ac:dyDescent="0.25"/>
    <row r="206591" s="12" customFormat="1" x14ac:dyDescent="0.25"/>
    <row r="206592" s="12" customFormat="1" x14ac:dyDescent="0.25"/>
    <row r="206593" s="12" customFormat="1" x14ac:dyDescent="0.25"/>
    <row r="206594" s="12" customFormat="1" x14ac:dyDescent="0.25"/>
    <row r="206595" s="12" customFormat="1" x14ac:dyDescent="0.25"/>
    <row r="206596" s="12" customFormat="1" x14ac:dyDescent="0.25"/>
    <row r="206597" s="12" customFormat="1" x14ac:dyDescent="0.25"/>
    <row r="206598" s="12" customFormat="1" x14ac:dyDescent="0.25"/>
    <row r="206599" s="12" customFormat="1" x14ac:dyDescent="0.25"/>
    <row r="206600" s="12" customFormat="1" x14ac:dyDescent="0.25"/>
    <row r="206601" s="12" customFormat="1" x14ac:dyDescent="0.25"/>
    <row r="206602" s="12" customFormat="1" x14ac:dyDescent="0.25"/>
    <row r="206603" s="12" customFormat="1" x14ac:dyDescent="0.25"/>
    <row r="206604" s="12" customFormat="1" x14ac:dyDescent="0.25"/>
    <row r="206605" s="12" customFormat="1" x14ac:dyDescent="0.25"/>
    <row r="206606" s="12" customFormat="1" x14ac:dyDescent="0.25"/>
    <row r="206607" s="12" customFormat="1" x14ac:dyDescent="0.25"/>
    <row r="206608" s="12" customFormat="1" x14ac:dyDescent="0.25"/>
    <row r="206609" s="12" customFormat="1" x14ac:dyDescent="0.25"/>
    <row r="206610" s="12" customFormat="1" x14ac:dyDescent="0.25"/>
    <row r="206611" s="12" customFormat="1" x14ac:dyDescent="0.25"/>
    <row r="206612" s="12" customFormat="1" x14ac:dyDescent="0.25"/>
    <row r="206613" s="12" customFormat="1" x14ac:dyDescent="0.25"/>
    <row r="206614" s="12" customFormat="1" x14ac:dyDescent="0.25"/>
    <row r="206615" s="12" customFormat="1" x14ac:dyDescent="0.25"/>
    <row r="206616" s="12" customFormat="1" x14ac:dyDescent="0.25"/>
    <row r="206617" s="12" customFormat="1" x14ac:dyDescent="0.25"/>
    <row r="206618" s="12" customFormat="1" x14ac:dyDescent="0.25"/>
    <row r="206619" s="12" customFormat="1" x14ac:dyDescent="0.25"/>
    <row r="206620" s="12" customFormat="1" x14ac:dyDescent="0.25"/>
    <row r="206621" s="12" customFormat="1" x14ac:dyDescent="0.25"/>
    <row r="206622" s="12" customFormat="1" x14ac:dyDescent="0.25"/>
    <row r="206623" s="12" customFormat="1" x14ac:dyDescent="0.25"/>
    <row r="206624" s="12" customFormat="1" x14ac:dyDescent="0.25"/>
    <row r="206625" s="12" customFormat="1" x14ac:dyDescent="0.25"/>
    <row r="206626" s="12" customFormat="1" x14ac:dyDescent="0.25"/>
    <row r="206627" s="12" customFormat="1" x14ac:dyDescent="0.25"/>
    <row r="206628" s="12" customFormat="1" x14ac:dyDescent="0.25"/>
    <row r="206629" s="12" customFormat="1" x14ac:dyDescent="0.25"/>
    <row r="206630" s="12" customFormat="1" x14ac:dyDescent="0.25"/>
    <row r="206631" s="12" customFormat="1" x14ac:dyDescent="0.25"/>
    <row r="206632" s="12" customFormat="1" x14ac:dyDescent="0.25"/>
    <row r="206633" s="12" customFormat="1" x14ac:dyDescent="0.25"/>
    <row r="206634" s="12" customFormat="1" x14ac:dyDescent="0.25"/>
    <row r="206635" s="12" customFormat="1" x14ac:dyDescent="0.25"/>
    <row r="206636" s="12" customFormat="1" x14ac:dyDescent="0.25"/>
    <row r="206637" s="12" customFormat="1" x14ac:dyDescent="0.25"/>
    <row r="206638" s="12" customFormat="1" x14ac:dyDescent="0.25"/>
    <row r="206639" s="12" customFormat="1" x14ac:dyDescent="0.25"/>
    <row r="206640" s="12" customFormat="1" x14ac:dyDescent="0.25"/>
    <row r="206641" s="12" customFormat="1" x14ac:dyDescent="0.25"/>
    <row r="206642" s="12" customFormat="1" x14ac:dyDescent="0.25"/>
    <row r="206643" s="12" customFormat="1" x14ac:dyDescent="0.25"/>
    <row r="206644" s="12" customFormat="1" x14ac:dyDescent="0.25"/>
    <row r="206645" s="12" customFormat="1" x14ac:dyDescent="0.25"/>
    <row r="206646" s="12" customFormat="1" x14ac:dyDescent="0.25"/>
    <row r="206647" s="12" customFormat="1" x14ac:dyDescent="0.25"/>
    <row r="206648" s="12" customFormat="1" x14ac:dyDescent="0.25"/>
    <row r="206649" s="12" customFormat="1" x14ac:dyDescent="0.25"/>
    <row r="206650" s="12" customFormat="1" x14ac:dyDescent="0.25"/>
    <row r="206651" s="12" customFormat="1" x14ac:dyDescent="0.25"/>
    <row r="206652" s="12" customFormat="1" x14ac:dyDescent="0.25"/>
    <row r="206653" s="12" customFormat="1" x14ac:dyDescent="0.25"/>
    <row r="206654" s="12" customFormat="1" x14ac:dyDescent="0.25"/>
    <row r="206655" s="12" customFormat="1" x14ac:dyDescent="0.25"/>
    <row r="206656" s="12" customFormat="1" x14ac:dyDescent="0.25"/>
    <row r="206657" s="12" customFormat="1" x14ac:dyDescent="0.25"/>
    <row r="206658" s="12" customFormat="1" x14ac:dyDescent="0.25"/>
    <row r="206659" s="12" customFormat="1" x14ac:dyDescent="0.25"/>
    <row r="206660" s="12" customFormat="1" x14ac:dyDescent="0.25"/>
    <row r="206661" s="12" customFormat="1" x14ac:dyDescent="0.25"/>
    <row r="206662" s="12" customFormat="1" x14ac:dyDescent="0.25"/>
    <row r="206663" s="12" customFormat="1" x14ac:dyDescent="0.25"/>
    <row r="206664" s="12" customFormat="1" x14ac:dyDescent="0.25"/>
    <row r="206665" s="12" customFormat="1" x14ac:dyDescent="0.25"/>
    <row r="206666" s="12" customFormat="1" x14ac:dyDescent="0.25"/>
    <row r="206667" s="12" customFormat="1" x14ac:dyDescent="0.25"/>
    <row r="206668" s="12" customFormat="1" x14ac:dyDescent="0.25"/>
    <row r="206669" s="12" customFormat="1" x14ac:dyDescent="0.25"/>
    <row r="206670" s="12" customFormat="1" x14ac:dyDescent="0.25"/>
    <row r="206671" s="12" customFormat="1" x14ac:dyDescent="0.25"/>
    <row r="206672" s="12" customFormat="1" x14ac:dyDescent="0.25"/>
    <row r="206673" s="12" customFormat="1" x14ac:dyDescent="0.25"/>
    <row r="206674" s="12" customFormat="1" x14ac:dyDescent="0.25"/>
    <row r="206675" s="12" customFormat="1" x14ac:dyDescent="0.25"/>
    <row r="206676" s="12" customFormat="1" x14ac:dyDescent="0.25"/>
    <row r="206677" s="12" customFormat="1" x14ac:dyDescent="0.25"/>
    <row r="206678" s="12" customFormat="1" x14ac:dyDescent="0.25"/>
    <row r="206679" s="12" customFormat="1" x14ac:dyDescent="0.25"/>
    <row r="206680" s="12" customFormat="1" x14ac:dyDescent="0.25"/>
    <row r="206681" s="12" customFormat="1" x14ac:dyDescent="0.25"/>
    <row r="206682" s="12" customFormat="1" x14ac:dyDescent="0.25"/>
    <row r="206683" s="12" customFormat="1" x14ac:dyDescent="0.25"/>
    <row r="206684" s="12" customFormat="1" x14ac:dyDescent="0.25"/>
    <row r="206685" s="12" customFormat="1" x14ac:dyDescent="0.25"/>
    <row r="206686" s="12" customFormat="1" x14ac:dyDescent="0.25"/>
    <row r="206687" s="12" customFormat="1" x14ac:dyDescent="0.25"/>
    <row r="206688" s="12" customFormat="1" x14ac:dyDescent="0.25"/>
    <row r="206689" s="12" customFormat="1" x14ac:dyDescent="0.25"/>
    <row r="206690" s="12" customFormat="1" x14ac:dyDescent="0.25"/>
    <row r="206691" s="12" customFormat="1" x14ac:dyDescent="0.25"/>
    <row r="206692" s="12" customFormat="1" x14ac:dyDescent="0.25"/>
    <row r="206693" s="12" customFormat="1" x14ac:dyDescent="0.25"/>
    <row r="206694" s="12" customFormat="1" x14ac:dyDescent="0.25"/>
    <row r="206695" s="12" customFormat="1" x14ac:dyDescent="0.25"/>
    <row r="206696" s="12" customFormat="1" x14ac:dyDescent="0.25"/>
    <row r="206697" s="12" customFormat="1" x14ac:dyDescent="0.25"/>
    <row r="206698" s="12" customFormat="1" x14ac:dyDescent="0.25"/>
    <row r="206699" s="12" customFormat="1" x14ac:dyDescent="0.25"/>
    <row r="206700" s="12" customFormat="1" x14ac:dyDescent="0.25"/>
    <row r="206701" s="12" customFormat="1" x14ac:dyDescent="0.25"/>
    <row r="206702" s="12" customFormat="1" x14ac:dyDescent="0.25"/>
    <row r="206703" s="12" customFormat="1" x14ac:dyDescent="0.25"/>
    <row r="206704" s="12" customFormat="1" x14ac:dyDescent="0.25"/>
    <row r="206705" s="12" customFormat="1" x14ac:dyDescent="0.25"/>
    <row r="206706" s="12" customFormat="1" x14ac:dyDescent="0.25"/>
    <row r="206707" s="12" customFormat="1" x14ac:dyDescent="0.25"/>
    <row r="206708" s="12" customFormat="1" x14ac:dyDescent="0.25"/>
    <row r="206709" s="12" customFormat="1" x14ac:dyDescent="0.25"/>
    <row r="206710" s="12" customFormat="1" x14ac:dyDescent="0.25"/>
    <row r="206711" s="12" customFormat="1" x14ac:dyDescent="0.25"/>
    <row r="206712" s="12" customFormat="1" x14ac:dyDescent="0.25"/>
    <row r="206713" s="12" customFormat="1" x14ac:dyDescent="0.25"/>
    <row r="206714" s="12" customFormat="1" x14ac:dyDescent="0.25"/>
    <row r="206715" s="12" customFormat="1" x14ac:dyDescent="0.25"/>
    <row r="206716" s="12" customFormat="1" x14ac:dyDescent="0.25"/>
    <row r="206717" s="12" customFormat="1" x14ac:dyDescent="0.25"/>
    <row r="206718" s="12" customFormat="1" x14ac:dyDescent="0.25"/>
    <row r="206719" s="12" customFormat="1" x14ac:dyDescent="0.25"/>
    <row r="206720" s="12" customFormat="1" x14ac:dyDescent="0.25"/>
    <row r="206721" s="12" customFormat="1" x14ac:dyDescent="0.25"/>
    <row r="206722" s="12" customFormat="1" x14ac:dyDescent="0.25"/>
    <row r="206723" s="12" customFormat="1" x14ac:dyDescent="0.25"/>
    <row r="206724" s="12" customFormat="1" x14ac:dyDescent="0.25"/>
    <row r="206725" s="12" customFormat="1" x14ac:dyDescent="0.25"/>
    <row r="206726" s="12" customFormat="1" x14ac:dyDescent="0.25"/>
    <row r="206727" s="12" customFormat="1" x14ac:dyDescent="0.25"/>
    <row r="206728" s="12" customFormat="1" x14ac:dyDescent="0.25"/>
    <row r="206729" s="12" customFormat="1" x14ac:dyDescent="0.25"/>
    <row r="206730" s="12" customFormat="1" x14ac:dyDescent="0.25"/>
    <row r="206731" s="12" customFormat="1" x14ac:dyDescent="0.25"/>
    <row r="206732" s="12" customFormat="1" x14ac:dyDescent="0.25"/>
    <row r="206733" s="12" customFormat="1" x14ac:dyDescent="0.25"/>
    <row r="206734" s="12" customFormat="1" x14ac:dyDescent="0.25"/>
    <row r="206735" s="12" customFormat="1" x14ac:dyDescent="0.25"/>
    <row r="206736" s="12" customFormat="1" x14ac:dyDescent="0.25"/>
    <row r="206737" s="12" customFormat="1" x14ac:dyDescent="0.25"/>
    <row r="206738" s="12" customFormat="1" x14ac:dyDescent="0.25"/>
    <row r="206739" s="12" customFormat="1" x14ac:dyDescent="0.25"/>
    <row r="206740" s="12" customFormat="1" x14ac:dyDescent="0.25"/>
    <row r="206741" s="12" customFormat="1" x14ac:dyDescent="0.25"/>
    <row r="206742" s="12" customFormat="1" x14ac:dyDescent="0.25"/>
    <row r="206743" s="12" customFormat="1" x14ac:dyDescent="0.25"/>
    <row r="206744" s="12" customFormat="1" x14ac:dyDescent="0.25"/>
    <row r="206745" s="12" customFormat="1" x14ac:dyDescent="0.25"/>
    <row r="206746" s="12" customFormat="1" x14ac:dyDescent="0.25"/>
    <row r="206747" s="12" customFormat="1" x14ac:dyDescent="0.25"/>
    <row r="206748" s="12" customFormat="1" x14ac:dyDescent="0.25"/>
    <row r="206749" s="12" customFormat="1" x14ac:dyDescent="0.25"/>
    <row r="206750" s="12" customFormat="1" x14ac:dyDescent="0.25"/>
    <row r="206751" s="12" customFormat="1" x14ac:dyDescent="0.25"/>
    <row r="206752" s="12" customFormat="1" x14ac:dyDescent="0.25"/>
    <row r="206753" s="12" customFormat="1" x14ac:dyDescent="0.25"/>
    <row r="206754" s="12" customFormat="1" x14ac:dyDescent="0.25"/>
    <row r="206755" s="12" customFormat="1" x14ac:dyDescent="0.25"/>
    <row r="206756" s="12" customFormat="1" x14ac:dyDescent="0.25"/>
    <row r="206757" s="12" customFormat="1" x14ac:dyDescent="0.25"/>
    <row r="206758" s="12" customFormat="1" x14ac:dyDescent="0.25"/>
    <row r="206759" s="12" customFormat="1" x14ac:dyDescent="0.25"/>
    <row r="206760" s="12" customFormat="1" x14ac:dyDescent="0.25"/>
    <row r="206761" s="12" customFormat="1" x14ac:dyDescent="0.25"/>
    <row r="206762" s="12" customFormat="1" x14ac:dyDescent="0.25"/>
    <row r="206763" s="12" customFormat="1" x14ac:dyDescent="0.25"/>
    <row r="206764" s="12" customFormat="1" x14ac:dyDescent="0.25"/>
    <row r="206765" s="12" customFormat="1" x14ac:dyDescent="0.25"/>
    <row r="206766" s="12" customFormat="1" x14ac:dyDescent="0.25"/>
    <row r="206767" s="12" customFormat="1" x14ac:dyDescent="0.25"/>
    <row r="206768" s="12" customFormat="1" x14ac:dyDescent="0.25"/>
    <row r="206769" s="12" customFormat="1" x14ac:dyDescent="0.25"/>
    <row r="206770" s="12" customFormat="1" x14ac:dyDescent="0.25"/>
    <row r="206771" s="12" customFormat="1" x14ac:dyDescent="0.25"/>
    <row r="206772" s="12" customFormat="1" x14ac:dyDescent="0.25"/>
    <row r="206773" s="12" customFormat="1" x14ac:dyDescent="0.25"/>
    <row r="206774" s="12" customFormat="1" x14ac:dyDescent="0.25"/>
    <row r="206775" s="12" customFormat="1" x14ac:dyDescent="0.25"/>
    <row r="206776" s="12" customFormat="1" x14ac:dyDescent="0.25"/>
    <row r="206777" s="12" customFormat="1" x14ac:dyDescent="0.25"/>
    <row r="206778" s="12" customFormat="1" x14ac:dyDescent="0.25"/>
    <row r="206779" s="12" customFormat="1" x14ac:dyDescent="0.25"/>
    <row r="206780" s="12" customFormat="1" x14ac:dyDescent="0.25"/>
    <row r="206781" s="12" customFormat="1" x14ac:dyDescent="0.25"/>
    <row r="206782" s="12" customFormat="1" x14ac:dyDescent="0.25"/>
    <row r="206783" s="12" customFormat="1" x14ac:dyDescent="0.25"/>
    <row r="206784" s="12" customFormat="1" x14ac:dyDescent="0.25"/>
    <row r="206785" s="12" customFormat="1" x14ac:dyDescent="0.25"/>
    <row r="206786" s="12" customFormat="1" x14ac:dyDescent="0.25"/>
    <row r="206787" s="12" customFormat="1" x14ac:dyDescent="0.25"/>
    <row r="206788" s="12" customFormat="1" x14ac:dyDescent="0.25"/>
    <row r="206789" s="12" customFormat="1" x14ac:dyDescent="0.25"/>
    <row r="206790" s="12" customFormat="1" x14ac:dyDescent="0.25"/>
    <row r="206791" s="12" customFormat="1" x14ac:dyDescent="0.25"/>
    <row r="206792" s="12" customFormat="1" x14ac:dyDescent="0.25"/>
    <row r="206793" s="12" customFormat="1" x14ac:dyDescent="0.25"/>
    <row r="206794" s="12" customFormat="1" x14ac:dyDescent="0.25"/>
    <row r="206795" s="12" customFormat="1" x14ac:dyDescent="0.25"/>
    <row r="206796" s="12" customFormat="1" x14ac:dyDescent="0.25"/>
    <row r="206797" s="12" customFormat="1" x14ac:dyDescent="0.25"/>
    <row r="206798" s="12" customFormat="1" x14ac:dyDescent="0.25"/>
    <row r="206799" s="12" customFormat="1" x14ac:dyDescent="0.25"/>
    <row r="206800" s="12" customFormat="1" x14ac:dyDescent="0.25"/>
    <row r="206801" s="12" customFormat="1" x14ac:dyDescent="0.25"/>
    <row r="206802" s="12" customFormat="1" x14ac:dyDescent="0.25"/>
    <row r="206803" s="12" customFormat="1" x14ac:dyDescent="0.25"/>
    <row r="206804" s="12" customFormat="1" x14ac:dyDescent="0.25"/>
    <row r="206805" s="12" customFormat="1" x14ac:dyDescent="0.25"/>
    <row r="206806" s="12" customFormat="1" x14ac:dyDescent="0.25"/>
    <row r="206807" s="12" customFormat="1" x14ac:dyDescent="0.25"/>
    <row r="206808" s="12" customFormat="1" x14ac:dyDescent="0.25"/>
    <row r="206809" s="12" customFormat="1" x14ac:dyDescent="0.25"/>
    <row r="206810" s="12" customFormat="1" x14ac:dyDescent="0.25"/>
    <row r="206811" s="12" customFormat="1" x14ac:dyDescent="0.25"/>
    <row r="206812" s="12" customFormat="1" x14ac:dyDescent="0.25"/>
    <row r="206813" s="12" customFormat="1" x14ac:dyDescent="0.25"/>
    <row r="206814" s="12" customFormat="1" x14ac:dyDescent="0.25"/>
    <row r="206815" s="12" customFormat="1" x14ac:dyDescent="0.25"/>
    <row r="206816" s="12" customFormat="1" x14ac:dyDescent="0.25"/>
    <row r="206817" s="12" customFormat="1" x14ac:dyDescent="0.25"/>
    <row r="206818" s="12" customFormat="1" x14ac:dyDescent="0.25"/>
    <row r="206819" s="12" customFormat="1" x14ac:dyDescent="0.25"/>
    <row r="206820" s="12" customFormat="1" x14ac:dyDescent="0.25"/>
    <row r="206821" s="12" customFormat="1" x14ac:dyDescent="0.25"/>
    <row r="206822" s="12" customFormat="1" x14ac:dyDescent="0.25"/>
    <row r="206823" s="12" customFormat="1" x14ac:dyDescent="0.25"/>
    <row r="206824" s="12" customFormat="1" x14ac:dyDescent="0.25"/>
    <row r="206825" s="12" customFormat="1" x14ac:dyDescent="0.25"/>
    <row r="206826" s="12" customFormat="1" x14ac:dyDescent="0.25"/>
    <row r="206827" s="12" customFormat="1" x14ac:dyDescent="0.25"/>
    <row r="206828" s="12" customFormat="1" x14ac:dyDescent="0.25"/>
    <row r="206829" s="12" customFormat="1" x14ac:dyDescent="0.25"/>
    <row r="206830" s="12" customFormat="1" x14ac:dyDescent="0.25"/>
    <row r="206831" s="12" customFormat="1" x14ac:dyDescent="0.25"/>
    <row r="206832" s="12" customFormat="1" x14ac:dyDescent="0.25"/>
    <row r="206833" s="12" customFormat="1" x14ac:dyDescent="0.25"/>
    <row r="206834" s="12" customFormat="1" x14ac:dyDescent="0.25"/>
    <row r="206835" s="12" customFormat="1" x14ac:dyDescent="0.25"/>
    <row r="206836" s="12" customFormat="1" x14ac:dyDescent="0.25"/>
    <row r="206837" s="12" customFormat="1" x14ac:dyDescent="0.25"/>
    <row r="206838" s="12" customFormat="1" x14ac:dyDescent="0.25"/>
    <row r="206839" s="12" customFormat="1" x14ac:dyDescent="0.25"/>
    <row r="206840" s="12" customFormat="1" x14ac:dyDescent="0.25"/>
    <row r="206841" s="12" customFormat="1" x14ac:dyDescent="0.25"/>
    <row r="206842" s="12" customFormat="1" x14ac:dyDescent="0.25"/>
    <row r="206843" s="12" customFormat="1" x14ac:dyDescent="0.25"/>
    <row r="206844" s="12" customFormat="1" x14ac:dyDescent="0.25"/>
    <row r="206845" s="12" customFormat="1" x14ac:dyDescent="0.25"/>
    <row r="206846" s="12" customFormat="1" x14ac:dyDescent="0.25"/>
    <row r="206847" s="12" customFormat="1" x14ac:dyDescent="0.25"/>
    <row r="206848" s="12" customFormat="1" x14ac:dyDescent="0.25"/>
    <row r="206849" s="12" customFormat="1" x14ac:dyDescent="0.25"/>
    <row r="206850" s="12" customFormat="1" x14ac:dyDescent="0.25"/>
    <row r="206851" s="12" customFormat="1" x14ac:dyDescent="0.25"/>
    <row r="206852" s="12" customFormat="1" x14ac:dyDescent="0.25"/>
    <row r="206853" s="12" customFormat="1" x14ac:dyDescent="0.25"/>
    <row r="206854" s="12" customFormat="1" x14ac:dyDescent="0.25"/>
    <row r="206855" s="12" customFormat="1" x14ac:dyDescent="0.25"/>
    <row r="206856" s="12" customFormat="1" x14ac:dyDescent="0.25"/>
    <row r="206857" s="12" customFormat="1" x14ac:dyDescent="0.25"/>
    <row r="206858" s="12" customFormat="1" x14ac:dyDescent="0.25"/>
    <row r="206859" s="12" customFormat="1" x14ac:dyDescent="0.25"/>
    <row r="206860" s="12" customFormat="1" x14ac:dyDescent="0.25"/>
    <row r="206861" s="12" customFormat="1" x14ac:dyDescent="0.25"/>
    <row r="206862" s="12" customFormat="1" x14ac:dyDescent="0.25"/>
    <row r="206863" s="12" customFormat="1" x14ac:dyDescent="0.25"/>
    <row r="206864" s="12" customFormat="1" x14ac:dyDescent="0.25"/>
    <row r="206865" s="12" customFormat="1" x14ac:dyDescent="0.25"/>
    <row r="206866" s="12" customFormat="1" x14ac:dyDescent="0.25"/>
    <row r="206867" s="12" customFormat="1" x14ac:dyDescent="0.25"/>
    <row r="206868" s="12" customFormat="1" x14ac:dyDescent="0.25"/>
    <row r="206869" s="12" customFormat="1" x14ac:dyDescent="0.25"/>
    <row r="206870" s="12" customFormat="1" x14ac:dyDescent="0.25"/>
    <row r="206871" s="12" customFormat="1" x14ac:dyDescent="0.25"/>
    <row r="206872" s="12" customFormat="1" x14ac:dyDescent="0.25"/>
    <row r="206873" s="12" customFormat="1" x14ac:dyDescent="0.25"/>
    <row r="206874" s="12" customFormat="1" x14ac:dyDescent="0.25"/>
    <row r="206875" s="12" customFormat="1" x14ac:dyDescent="0.25"/>
    <row r="206876" s="12" customFormat="1" x14ac:dyDescent="0.25"/>
    <row r="206877" s="12" customFormat="1" x14ac:dyDescent="0.25"/>
    <row r="206878" s="12" customFormat="1" x14ac:dyDescent="0.25"/>
    <row r="206879" s="12" customFormat="1" x14ac:dyDescent="0.25"/>
    <row r="206880" s="12" customFormat="1" x14ac:dyDescent="0.25"/>
    <row r="206881" s="12" customFormat="1" x14ac:dyDescent="0.25"/>
    <row r="206882" s="12" customFormat="1" x14ac:dyDescent="0.25"/>
    <row r="206883" s="12" customFormat="1" x14ac:dyDescent="0.25"/>
    <row r="206884" s="12" customFormat="1" x14ac:dyDescent="0.25"/>
    <row r="206885" s="12" customFormat="1" x14ac:dyDescent="0.25"/>
    <row r="206886" s="12" customFormat="1" x14ac:dyDescent="0.25"/>
    <row r="206887" s="12" customFormat="1" x14ac:dyDescent="0.25"/>
    <row r="206888" s="12" customFormat="1" x14ac:dyDescent="0.25"/>
    <row r="206889" s="12" customFormat="1" x14ac:dyDescent="0.25"/>
    <row r="206890" s="12" customFormat="1" x14ac:dyDescent="0.25"/>
    <row r="206891" s="12" customFormat="1" x14ac:dyDescent="0.25"/>
    <row r="206892" s="12" customFormat="1" x14ac:dyDescent="0.25"/>
    <row r="206893" s="12" customFormat="1" x14ac:dyDescent="0.25"/>
    <row r="206894" s="12" customFormat="1" x14ac:dyDescent="0.25"/>
    <row r="206895" s="12" customFormat="1" x14ac:dyDescent="0.25"/>
    <row r="206896" s="12" customFormat="1" x14ac:dyDescent="0.25"/>
    <row r="206897" s="12" customFormat="1" x14ac:dyDescent="0.25"/>
    <row r="206898" s="12" customFormat="1" x14ac:dyDescent="0.25"/>
    <row r="206899" s="12" customFormat="1" x14ac:dyDescent="0.25"/>
    <row r="206900" s="12" customFormat="1" x14ac:dyDescent="0.25"/>
    <row r="206901" s="12" customFormat="1" x14ac:dyDescent="0.25"/>
    <row r="206902" s="12" customFormat="1" x14ac:dyDescent="0.25"/>
    <row r="206903" s="12" customFormat="1" x14ac:dyDescent="0.25"/>
    <row r="206904" s="12" customFormat="1" x14ac:dyDescent="0.25"/>
    <row r="206905" s="12" customFormat="1" x14ac:dyDescent="0.25"/>
    <row r="206906" s="12" customFormat="1" x14ac:dyDescent="0.25"/>
    <row r="206907" s="12" customFormat="1" x14ac:dyDescent="0.25"/>
    <row r="206908" s="12" customFormat="1" x14ac:dyDescent="0.25"/>
    <row r="206909" s="12" customFormat="1" x14ac:dyDescent="0.25"/>
    <row r="206910" s="12" customFormat="1" x14ac:dyDescent="0.25"/>
    <row r="206911" s="12" customFormat="1" x14ac:dyDescent="0.25"/>
    <row r="206912" s="12" customFormat="1" x14ac:dyDescent="0.25"/>
    <row r="206913" s="12" customFormat="1" x14ac:dyDescent="0.25"/>
    <row r="206914" s="12" customFormat="1" x14ac:dyDescent="0.25"/>
    <row r="206915" s="12" customFormat="1" x14ac:dyDescent="0.25"/>
    <row r="206916" s="12" customFormat="1" x14ac:dyDescent="0.25"/>
    <row r="206917" s="12" customFormat="1" x14ac:dyDescent="0.25"/>
    <row r="206918" s="12" customFormat="1" x14ac:dyDescent="0.25"/>
    <row r="206919" s="12" customFormat="1" x14ac:dyDescent="0.25"/>
    <row r="206920" s="12" customFormat="1" x14ac:dyDescent="0.25"/>
    <row r="206921" s="12" customFormat="1" x14ac:dyDescent="0.25"/>
    <row r="206922" s="12" customFormat="1" x14ac:dyDescent="0.25"/>
    <row r="206923" s="12" customFormat="1" x14ac:dyDescent="0.25"/>
    <row r="206924" s="12" customFormat="1" x14ac:dyDescent="0.25"/>
    <row r="206925" s="12" customFormat="1" x14ac:dyDescent="0.25"/>
    <row r="206926" s="12" customFormat="1" x14ac:dyDescent="0.25"/>
    <row r="206927" s="12" customFormat="1" x14ac:dyDescent="0.25"/>
    <row r="206928" s="12" customFormat="1" x14ac:dyDescent="0.25"/>
    <row r="206929" s="12" customFormat="1" x14ac:dyDescent="0.25"/>
    <row r="206930" s="12" customFormat="1" x14ac:dyDescent="0.25"/>
    <row r="206931" s="12" customFormat="1" x14ac:dyDescent="0.25"/>
    <row r="206932" s="12" customFormat="1" x14ac:dyDescent="0.25"/>
    <row r="206933" s="12" customFormat="1" x14ac:dyDescent="0.25"/>
    <row r="206934" s="12" customFormat="1" x14ac:dyDescent="0.25"/>
    <row r="206935" s="12" customFormat="1" x14ac:dyDescent="0.25"/>
    <row r="206936" s="12" customFormat="1" x14ac:dyDescent="0.25"/>
    <row r="206937" s="12" customFormat="1" x14ac:dyDescent="0.25"/>
    <row r="206938" s="12" customFormat="1" x14ac:dyDescent="0.25"/>
    <row r="206939" s="12" customFormat="1" x14ac:dyDescent="0.25"/>
    <row r="206940" s="12" customFormat="1" x14ac:dyDescent="0.25"/>
    <row r="206941" s="12" customFormat="1" x14ac:dyDescent="0.25"/>
    <row r="206942" s="12" customFormat="1" x14ac:dyDescent="0.25"/>
    <row r="206943" s="12" customFormat="1" x14ac:dyDescent="0.25"/>
    <row r="206944" s="12" customFormat="1" x14ac:dyDescent="0.25"/>
    <row r="206945" s="12" customFormat="1" x14ac:dyDescent="0.25"/>
    <row r="206946" s="12" customFormat="1" x14ac:dyDescent="0.25"/>
    <row r="206947" s="12" customFormat="1" x14ac:dyDescent="0.25"/>
    <row r="206948" s="12" customFormat="1" x14ac:dyDescent="0.25"/>
    <row r="206949" s="12" customFormat="1" x14ac:dyDescent="0.25"/>
    <row r="206950" s="12" customFormat="1" x14ac:dyDescent="0.25"/>
    <row r="206951" s="12" customFormat="1" x14ac:dyDescent="0.25"/>
    <row r="206952" s="12" customFormat="1" x14ac:dyDescent="0.25"/>
    <row r="206953" s="12" customFormat="1" x14ac:dyDescent="0.25"/>
    <row r="206954" s="12" customFormat="1" x14ac:dyDescent="0.25"/>
    <row r="206955" s="12" customFormat="1" x14ac:dyDescent="0.25"/>
    <row r="206956" s="12" customFormat="1" x14ac:dyDescent="0.25"/>
    <row r="206957" s="12" customFormat="1" x14ac:dyDescent="0.25"/>
    <row r="206958" s="12" customFormat="1" x14ac:dyDescent="0.25"/>
    <row r="206959" s="12" customFormat="1" x14ac:dyDescent="0.25"/>
    <row r="206960" s="12" customFormat="1" x14ac:dyDescent="0.25"/>
    <row r="206961" s="12" customFormat="1" x14ac:dyDescent="0.25"/>
    <row r="206962" s="12" customFormat="1" x14ac:dyDescent="0.25"/>
    <row r="206963" s="12" customFormat="1" x14ac:dyDescent="0.25"/>
    <row r="206964" s="12" customFormat="1" x14ac:dyDescent="0.25"/>
    <row r="206965" s="12" customFormat="1" x14ac:dyDescent="0.25"/>
    <row r="206966" s="12" customFormat="1" x14ac:dyDescent="0.25"/>
    <row r="206967" s="12" customFormat="1" x14ac:dyDescent="0.25"/>
    <row r="206968" s="12" customFormat="1" x14ac:dyDescent="0.25"/>
    <row r="206969" s="12" customFormat="1" x14ac:dyDescent="0.25"/>
    <row r="206970" s="12" customFormat="1" x14ac:dyDescent="0.25"/>
    <row r="206971" s="12" customFormat="1" x14ac:dyDescent="0.25"/>
    <row r="206972" s="12" customFormat="1" x14ac:dyDescent="0.25"/>
    <row r="206973" s="12" customFormat="1" x14ac:dyDescent="0.25"/>
    <row r="206974" s="12" customFormat="1" x14ac:dyDescent="0.25"/>
    <row r="206975" s="12" customFormat="1" x14ac:dyDescent="0.25"/>
    <row r="206976" s="12" customFormat="1" x14ac:dyDescent="0.25"/>
    <row r="206977" s="12" customFormat="1" x14ac:dyDescent="0.25"/>
    <row r="206978" s="12" customFormat="1" x14ac:dyDescent="0.25"/>
    <row r="206979" s="12" customFormat="1" x14ac:dyDescent="0.25"/>
    <row r="206980" s="12" customFormat="1" x14ac:dyDescent="0.25"/>
    <row r="206981" s="12" customFormat="1" x14ac:dyDescent="0.25"/>
    <row r="206982" s="12" customFormat="1" x14ac:dyDescent="0.25"/>
    <row r="206983" s="12" customFormat="1" x14ac:dyDescent="0.25"/>
    <row r="206984" s="12" customFormat="1" x14ac:dyDescent="0.25"/>
    <row r="206985" s="12" customFormat="1" x14ac:dyDescent="0.25"/>
    <row r="206986" s="12" customFormat="1" x14ac:dyDescent="0.25"/>
    <row r="206987" s="12" customFormat="1" x14ac:dyDescent="0.25"/>
    <row r="206988" s="12" customFormat="1" x14ac:dyDescent="0.25"/>
    <row r="206989" s="12" customFormat="1" x14ac:dyDescent="0.25"/>
    <row r="206990" s="12" customFormat="1" x14ac:dyDescent="0.25"/>
    <row r="206991" s="12" customFormat="1" x14ac:dyDescent="0.25"/>
    <row r="206992" s="12" customFormat="1" x14ac:dyDescent="0.25"/>
    <row r="206993" s="12" customFormat="1" x14ac:dyDescent="0.25"/>
    <row r="206994" s="12" customFormat="1" x14ac:dyDescent="0.25"/>
    <row r="206995" s="12" customFormat="1" x14ac:dyDescent="0.25"/>
    <row r="206996" s="12" customFormat="1" x14ac:dyDescent="0.25"/>
    <row r="206997" s="12" customFormat="1" x14ac:dyDescent="0.25"/>
    <row r="206998" s="12" customFormat="1" x14ac:dyDescent="0.25"/>
    <row r="206999" s="12" customFormat="1" x14ac:dyDescent="0.25"/>
    <row r="207000" s="12" customFormat="1" x14ac:dyDescent="0.25"/>
    <row r="207001" s="12" customFormat="1" x14ac:dyDescent="0.25"/>
    <row r="207002" s="12" customFormat="1" x14ac:dyDescent="0.25"/>
    <row r="207003" s="12" customFormat="1" x14ac:dyDescent="0.25"/>
    <row r="207004" s="12" customFormat="1" x14ac:dyDescent="0.25"/>
    <row r="207005" s="12" customFormat="1" x14ac:dyDescent="0.25"/>
    <row r="207006" s="12" customFormat="1" x14ac:dyDescent="0.25"/>
    <row r="207007" s="12" customFormat="1" x14ac:dyDescent="0.25"/>
    <row r="207008" s="12" customFormat="1" x14ac:dyDescent="0.25"/>
    <row r="207009" s="12" customFormat="1" x14ac:dyDescent="0.25"/>
    <row r="207010" s="12" customFormat="1" x14ac:dyDescent="0.25"/>
    <row r="207011" s="12" customFormat="1" x14ac:dyDescent="0.25"/>
    <row r="207012" s="12" customFormat="1" x14ac:dyDescent="0.25"/>
    <row r="207013" s="12" customFormat="1" x14ac:dyDescent="0.25"/>
    <row r="207014" s="12" customFormat="1" x14ac:dyDescent="0.25"/>
    <row r="207015" s="12" customFormat="1" x14ac:dyDescent="0.25"/>
    <row r="207016" s="12" customFormat="1" x14ac:dyDescent="0.25"/>
    <row r="207017" s="12" customFormat="1" x14ac:dyDescent="0.25"/>
    <row r="207018" s="12" customFormat="1" x14ac:dyDescent="0.25"/>
    <row r="207019" s="12" customFormat="1" x14ac:dyDescent="0.25"/>
    <row r="207020" s="12" customFormat="1" x14ac:dyDescent="0.25"/>
    <row r="207021" s="12" customFormat="1" x14ac:dyDescent="0.25"/>
    <row r="207022" s="12" customFormat="1" x14ac:dyDescent="0.25"/>
    <row r="207023" s="12" customFormat="1" x14ac:dyDescent="0.25"/>
    <row r="207024" s="12" customFormat="1" x14ac:dyDescent="0.25"/>
    <row r="207025" s="12" customFormat="1" x14ac:dyDescent="0.25"/>
    <row r="207026" s="12" customFormat="1" x14ac:dyDescent="0.25"/>
    <row r="207027" s="12" customFormat="1" x14ac:dyDescent="0.25"/>
    <row r="207028" s="12" customFormat="1" x14ac:dyDescent="0.25"/>
    <row r="207029" s="12" customFormat="1" x14ac:dyDescent="0.25"/>
    <row r="207030" s="12" customFormat="1" x14ac:dyDescent="0.25"/>
    <row r="207031" s="12" customFormat="1" x14ac:dyDescent="0.25"/>
    <row r="207032" s="12" customFormat="1" x14ac:dyDescent="0.25"/>
    <row r="207033" s="12" customFormat="1" x14ac:dyDescent="0.25"/>
    <row r="207034" s="12" customFormat="1" x14ac:dyDescent="0.25"/>
    <row r="207035" s="12" customFormat="1" x14ac:dyDescent="0.25"/>
    <row r="207036" s="12" customFormat="1" x14ac:dyDescent="0.25"/>
    <row r="207037" s="12" customFormat="1" x14ac:dyDescent="0.25"/>
    <row r="207038" s="12" customFormat="1" x14ac:dyDescent="0.25"/>
    <row r="207039" s="12" customFormat="1" x14ac:dyDescent="0.25"/>
    <row r="207040" s="12" customFormat="1" x14ac:dyDescent="0.25"/>
    <row r="207041" s="12" customFormat="1" x14ac:dyDescent="0.25"/>
    <row r="207042" s="12" customFormat="1" x14ac:dyDescent="0.25"/>
    <row r="207043" s="12" customFormat="1" x14ac:dyDescent="0.25"/>
    <row r="207044" s="12" customFormat="1" x14ac:dyDescent="0.25"/>
    <row r="207045" s="12" customFormat="1" x14ac:dyDescent="0.25"/>
    <row r="207046" s="12" customFormat="1" x14ac:dyDescent="0.25"/>
    <row r="207047" s="12" customFormat="1" x14ac:dyDescent="0.25"/>
    <row r="207048" s="12" customFormat="1" x14ac:dyDescent="0.25"/>
    <row r="207049" s="12" customFormat="1" x14ac:dyDescent="0.25"/>
    <row r="207050" s="12" customFormat="1" x14ac:dyDescent="0.25"/>
    <row r="207051" s="12" customFormat="1" x14ac:dyDescent="0.25"/>
    <row r="207052" s="12" customFormat="1" x14ac:dyDescent="0.25"/>
    <row r="207053" s="12" customFormat="1" x14ac:dyDescent="0.25"/>
    <row r="207054" s="12" customFormat="1" x14ac:dyDescent="0.25"/>
    <row r="207055" s="12" customFormat="1" x14ac:dyDescent="0.25"/>
    <row r="207056" s="12" customFormat="1" x14ac:dyDescent="0.25"/>
    <row r="207057" s="12" customFormat="1" x14ac:dyDescent="0.25"/>
    <row r="207058" s="12" customFormat="1" x14ac:dyDescent="0.25"/>
    <row r="207059" s="12" customFormat="1" x14ac:dyDescent="0.25"/>
    <row r="207060" s="12" customFormat="1" x14ac:dyDescent="0.25"/>
    <row r="207061" s="12" customFormat="1" x14ac:dyDescent="0.25"/>
    <row r="207062" s="12" customFormat="1" x14ac:dyDescent="0.25"/>
    <row r="207063" s="12" customFormat="1" x14ac:dyDescent="0.25"/>
    <row r="207064" s="12" customFormat="1" x14ac:dyDescent="0.25"/>
    <row r="207065" s="12" customFormat="1" x14ac:dyDescent="0.25"/>
    <row r="207066" s="12" customFormat="1" x14ac:dyDescent="0.25"/>
    <row r="207067" s="12" customFormat="1" x14ac:dyDescent="0.25"/>
    <row r="207068" s="12" customFormat="1" x14ac:dyDescent="0.25"/>
    <row r="207069" s="12" customFormat="1" x14ac:dyDescent="0.25"/>
    <row r="207070" s="12" customFormat="1" x14ac:dyDescent="0.25"/>
    <row r="207071" s="12" customFormat="1" x14ac:dyDescent="0.25"/>
    <row r="207072" s="12" customFormat="1" x14ac:dyDescent="0.25"/>
    <row r="207073" s="12" customFormat="1" x14ac:dyDescent="0.25"/>
    <row r="207074" s="12" customFormat="1" x14ac:dyDescent="0.25"/>
    <row r="207075" s="12" customFormat="1" x14ac:dyDescent="0.25"/>
    <row r="207076" s="12" customFormat="1" x14ac:dyDescent="0.25"/>
    <row r="207077" s="12" customFormat="1" x14ac:dyDescent="0.25"/>
    <row r="207078" s="12" customFormat="1" x14ac:dyDescent="0.25"/>
    <row r="207079" s="12" customFormat="1" x14ac:dyDescent="0.25"/>
    <row r="207080" s="12" customFormat="1" x14ac:dyDescent="0.25"/>
    <row r="207081" s="12" customFormat="1" x14ac:dyDescent="0.25"/>
    <row r="207082" s="12" customFormat="1" x14ac:dyDescent="0.25"/>
    <row r="207083" s="12" customFormat="1" x14ac:dyDescent="0.25"/>
    <row r="207084" s="12" customFormat="1" x14ac:dyDescent="0.25"/>
    <row r="207085" s="12" customFormat="1" x14ac:dyDescent="0.25"/>
    <row r="207086" s="12" customFormat="1" x14ac:dyDescent="0.25"/>
    <row r="207087" s="12" customFormat="1" x14ac:dyDescent="0.25"/>
    <row r="207088" s="12" customFormat="1" x14ac:dyDescent="0.25"/>
    <row r="207089" s="12" customFormat="1" x14ac:dyDescent="0.25"/>
    <row r="207090" s="12" customFormat="1" x14ac:dyDescent="0.25"/>
    <row r="207091" s="12" customFormat="1" x14ac:dyDescent="0.25"/>
    <row r="207092" s="12" customFormat="1" x14ac:dyDescent="0.25"/>
    <row r="207093" s="12" customFormat="1" x14ac:dyDescent="0.25"/>
    <row r="207094" s="12" customFormat="1" x14ac:dyDescent="0.25"/>
    <row r="207095" s="12" customFormat="1" x14ac:dyDescent="0.25"/>
    <row r="207096" s="12" customFormat="1" x14ac:dyDescent="0.25"/>
    <row r="207097" s="12" customFormat="1" x14ac:dyDescent="0.25"/>
    <row r="207098" s="12" customFormat="1" x14ac:dyDescent="0.25"/>
    <row r="207099" s="12" customFormat="1" x14ac:dyDescent="0.25"/>
    <row r="207100" s="12" customFormat="1" x14ac:dyDescent="0.25"/>
    <row r="207101" s="12" customFormat="1" x14ac:dyDescent="0.25"/>
    <row r="207102" s="12" customFormat="1" x14ac:dyDescent="0.25"/>
    <row r="207103" s="12" customFormat="1" x14ac:dyDescent="0.25"/>
    <row r="207104" s="12" customFormat="1" x14ac:dyDescent="0.25"/>
    <row r="207105" s="12" customFormat="1" x14ac:dyDescent="0.25"/>
    <row r="207106" s="12" customFormat="1" x14ac:dyDescent="0.25"/>
    <row r="207107" s="12" customFormat="1" x14ac:dyDescent="0.25"/>
    <row r="207108" s="12" customFormat="1" x14ac:dyDescent="0.25"/>
    <row r="207109" s="12" customFormat="1" x14ac:dyDescent="0.25"/>
    <row r="207110" s="12" customFormat="1" x14ac:dyDescent="0.25"/>
    <row r="207111" s="12" customFormat="1" x14ac:dyDescent="0.25"/>
    <row r="207112" s="12" customFormat="1" x14ac:dyDescent="0.25"/>
    <row r="207113" s="12" customFormat="1" x14ac:dyDescent="0.25"/>
    <row r="207114" s="12" customFormat="1" x14ac:dyDescent="0.25"/>
    <row r="207115" s="12" customFormat="1" x14ac:dyDescent="0.25"/>
    <row r="207116" s="12" customFormat="1" x14ac:dyDescent="0.25"/>
    <row r="207117" s="12" customFormat="1" x14ac:dyDescent="0.25"/>
    <row r="207118" s="12" customFormat="1" x14ac:dyDescent="0.25"/>
    <row r="207119" s="12" customFormat="1" x14ac:dyDescent="0.25"/>
    <row r="207120" s="12" customFormat="1" x14ac:dyDescent="0.25"/>
    <row r="207121" s="12" customFormat="1" x14ac:dyDescent="0.25"/>
    <row r="207122" s="12" customFormat="1" x14ac:dyDescent="0.25"/>
    <row r="207123" s="12" customFormat="1" x14ac:dyDescent="0.25"/>
    <row r="207124" s="12" customFormat="1" x14ac:dyDescent="0.25"/>
    <row r="207125" s="12" customFormat="1" x14ac:dyDescent="0.25"/>
    <row r="207126" s="12" customFormat="1" x14ac:dyDescent="0.25"/>
    <row r="207127" s="12" customFormat="1" x14ac:dyDescent="0.25"/>
    <row r="207128" s="12" customFormat="1" x14ac:dyDescent="0.25"/>
    <row r="207129" s="12" customFormat="1" x14ac:dyDescent="0.25"/>
    <row r="207130" s="12" customFormat="1" x14ac:dyDescent="0.25"/>
    <row r="207131" s="12" customFormat="1" x14ac:dyDescent="0.25"/>
    <row r="207132" s="12" customFormat="1" x14ac:dyDescent="0.25"/>
    <row r="207133" s="12" customFormat="1" x14ac:dyDescent="0.25"/>
    <row r="207134" s="12" customFormat="1" x14ac:dyDescent="0.25"/>
    <row r="207135" s="12" customFormat="1" x14ac:dyDescent="0.25"/>
    <row r="207136" s="12" customFormat="1" x14ac:dyDescent="0.25"/>
    <row r="207137" s="12" customFormat="1" x14ac:dyDescent="0.25"/>
    <row r="207138" s="12" customFormat="1" x14ac:dyDescent="0.25"/>
    <row r="207139" s="12" customFormat="1" x14ac:dyDescent="0.25"/>
    <row r="207140" s="12" customFormat="1" x14ac:dyDescent="0.25"/>
    <row r="207141" s="12" customFormat="1" x14ac:dyDescent="0.25"/>
    <row r="207142" s="12" customFormat="1" x14ac:dyDescent="0.25"/>
    <row r="207143" s="12" customFormat="1" x14ac:dyDescent="0.25"/>
    <row r="207144" s="12" customFormat="1" x14ac:dyDescent="0.25"/>
    <row r="207145" s="12" customFormat="1" x14ac:dyDescent="0.25"/>
    <row r="207146" s="12" customFormat="1" x14ac:dyDescent="0.25"/>
    <row r="207147" s="12" customFormat="1" x14ac:dyDescent="0.25"/>
    <row r="207148" s="12" customFormat="1" x14ac:dyDescent="0.25"/>
    <row r="207149" s="12" customFormat="1" x14ac:dyDescent="0.25"/>
    <row r="207150" s="12" customFormat="1" x14ac:dyDescent="0.25"/>
    <row r="207151" s="12" customFormat="1" x14ac:dyDescent="0.25"/>
    <row r="207152" s="12" customFormat="1" x14ac:dyDescent="0.25"/>
    <row r="207153" s="12" customFormat="1" x14ac:dyDescent="0.25"/>
    <row r="207154" s="12" customFormat="1" x14ac:dyDescent="0.25"/>
    <row r="207155" s="12" customFormat="1" x14ac:dyDescent="0.25"/>
    <row r="207156" s="12" customFormat="1" x14ac:dyDescent="0.25"/>
    <row r="207157" s="12" customFormat="1" x14ac:dyDescent="0.25"/>
    <row r="207158" s="12" customFormat="1" x14ac:dyDescent="0.25"/>
    <row r="207159" s="12" customFormat="1" x14ac:dyDescent="0.25"/>
    <row r="207160" s="12" customFormat="1" x14ac:dyDescent="0.25"/>
    <row r="207161" s="12" customFormat="1" x14ac:dyDescent="0.25"/>
    <row r="207162" s="12" customFormat="1" x14ac:dyDescent="0.25"/>
    <row r="207163" s="12" customFormat="1" x14ac:dyDescent="0.25"/>
    <row r="207164" s="12" customFormat="1" x14ac:dyDescent="0.25"/>
    <row r="207165" s="12" customFormat="1" x14ac:dyDescent="0.25"/>
    <row r="207166" s="12" customFormat="1" x14ac:dyDescent="0.25"/>
    <row r="207167" s="12" customFormat="1" x14ac:dyDescent="0.25"/>
    <row r="207168" s="12" customFormat="1" x14ac:dyDescent="0.25"/>
    <row r="207169" s="12" customFormat="1" x14ac:dyDescent="0.25"/>
    <row r="207170" s="12" customFormat="1" x14ac:dyDescent="0.25"/>
    <row r="207171" s="12" customFormat="1" x14ac:dyDescent="0.25"/>
    <row r="207172" s="12" customFormat="1" x14ac:dyDescent="0.25"/>
    <row r="207173" s="12" customFormat="1" x14ac:dyDescent="0.25"/>
    <row r="207174" s="12" customFormat="1" x14ac:dyDescent="0.25"/>
    <row r="207175" s="12" customFormat="1" x14ac:dyDescent="0.25"/>
    <row r="207176" s="12" customFormat="1" x14ac:dyDescent="0.25"/>
    <row r="207177" s="12" customFormat="1" x14ac:dyDescent="0.25"/>
    <row r="207178" s="12" customFormat="1" x14ac:dyDescent="0.25"/>
    <row r="207179" s="12" customFormat="1" x14ac:dyDescent="0.25"/>
    <row r="207180" s="12" customFormat="1" x14ac:dyDescent="0.25"/>
    <row r="207181" s="12" customFormat="1" x14ac:dyDescent="0.25"/>
    <row r="207182" s="12" customFormat="1" x14ac:dyDescent="0.25"/>
    <row r="207183" s="12" customFormat="1" x14ac:dyDescent="0.25"/>
    <row r="207184" s="12" customFormat="1" x14ac:dyDescent="0.25"/>
    <row r="207185" s="12" customFormat="1" x14ac:dyDescent="0.25"/>
    <row r="207186" s="12" customFormat="1" x14ac:dyDescent="0.25"/>
    <row r="207187" s="12" customFormat="1" x14ac:dyDescent="0.25"/>
    <row r="207188" s="12" customFormat="1" x14ac:dyDescent="0.25"/>
    <row r="207189" s="12" customFormat="1" x14ac:dyDescent="0.25"/>
    <row r="207190" s="12" customFormat="1" x14ac:dyDescent="0.25"/>
    <row r="207191" s="12" customFormat="1" x14ac:dyDescent="0.25"/>
    <row r="207192" s="12" customFormat="1" x14ac:dyDescent="0.25"/>
    <row r="207193" s="12" customFormat="1" x14ac:dyDescent="0.25"/>
    <row r="207194" s="12" customFormat="1" x14ac:dyDescent="0.25"/>
    <row r="207195" s="12" customFormat="1" x14ac:dyDescent="0.25"/>
    <row r="207196" s="12" customFormat="1" x14ac:dyDescent="0.25"/>
    <row r="207197" s="12" customFormat="1" x14ac:dyDescent="0.25"/>
    <row r="207198" s="12" customFormat="1" x14ac:dyDescent="0.25"/>
    <row r="207199" s="12" customFormat="1" x14ac:dyDescent="0.25"/>
    <row r="207200" s="12" customFormat="1" x14ac:dyDescent="0.25"/>
    <row r="207201" s="12" customFormat="1" x14ac:dyDescent="0.25"/>
    <row r="207202" s="12" customFormat="1" x14ac:dyDescent="0.25"/>
    <row r="207203" s="12" customFormat="1" x14ac:dyDescent="0.25"/>
    <row r="207204" s="12" customFormat="1" x14ac:dyDescent="0.25"/>
    <row r="207205" s="12" customFormat="1" x14ac:dyDescent="0.25"/>
    <row r="207206" s="12" customFormat="1" x14ac:dyDescent="0.25"/>
    <row r="207207" s="12" customFormat="1" x14ac:dyDescent="0.25"/>
    <row r="207208" s="12" customFormat="1" x14ac:dyDescent="0.25"/>
    <row r="207209" s="12" customFormat="1" x14ac:dyDescent="0.25"/>
    <row r="207210" s="12" customFormat="1" x14ac:dyDescent="0.25"/>
    <row r="207211" s="12" customFormat="1" x14ac:dyDescent="0.25"/>
    <row r="207212" s="12" customFormat="1" x14ac:dyDescent="0.25"/>
    <row r="207213" s="12" customFormat="1" x14ac:dyDescent="0.25"/>
    <row r="207214" s="12" customFormat="1" x14ac:dyDescent="0.25"/>
    <row r="207215" s="12" customFormat="1" x14ac:dyDescent="0.25"/>
    <row r="207216" s="12" customFormat="1" x14ac:dyDescent="0.25"/>
    <row r="207217" s="12" customFormat="1" x14ac:dyDescent="0.25"/>
    <row r="207218" s="12" customFormat="1" x14ac:dyDescent="0.25"/>
    <row r="207219" s="12" customFormat="1" x14ac:dyDescent="0.25"/>
    <row r="207220" s="12" customFormat="1" x14ac:dyDescent="0.25"/>
    <row r="207221" s="12" customFormat="1" x14ac:dyDescent="0.25"/>
    <row r="207222" s="12" customFormat="1" x14ac:dyDescent="0.25"/>
    <row r="207223" s="12" customFormat="1" x14ac:dyDescent="0.25"/>
    <row r="207224" s="12" customFormat="1" x14ac:dyDescent="0.25"/>
    <row r="207225" s="12" customFormat="1" x14ac:dyDescent="0.25"/>
    <row r="207226" s="12" customFormat="1" x14ac:dyDescent="0.25"/>
    <row r="207227" s="12" customFormat="1" x14ac:dyDescent="0.25"/>
    <row r="207228" s="12" customFormat="1" x14ac:dyDescent="0.25"/>
    <row r="207229" s="12" customFormat="1" x14ac:dyDescent="0.25"/>
    <row r="207230" s="12" customFormat="1" x14ac:dyDescent="0.25"/>
    <row r="207231" s="12" customFormat="1" x14ac:dyDescent="0.25"/>
    <row r="207232" s="12" customFormat="1" x14ac:dyDescent="0.25"/>
    <row r="207233" s="12" customFormat="1" x14ac:dyDescent="0.25"/>
    <row r="207234" s="12" customFormat="1" x14ac:dyDescent="0.25"/>
    <row r="207235" s="12" customFormat="1" x14ac:dyDescent="0.25"/>
    <row r="207236" s="12" customFormat="1" x14ac:dyDescent="0.25"/>
    <row r="207237" s="12" customFormat="1" x14ac:dyDescent="0.25"/>
    <row r="207238" s="12" customFormat="1" x14ac:dyDescent="0.25"/>
    <row r="207239" s="12" customFormat="1" x14ac:dyDescent="0.25"/>
    <row r="207240" s="12" customFormat="1" x14ac:dyDescent="0.25"/>
    <row r="207241" s="12" customFormat="1" x14ac:dyDescent="0.25"/>
    <row r="207242" s="12" customFormat="1" x14ac:dyDescent="0.25"/>
    <row r="207243" s="12" customFormat="1" x14ac:dyDescent="0.25"/>
    <row r="207244" s="12" customFormat="1" x14ac:dyDescent="0.25"/>
    <row r="207245" s="12" customFormat="1" x14ac:dyDescent="0.25"/>
    <row r="207246" s="12" customFormat="1" x14ac:dyDescent="0.25"/>
    <row r="207247" s="12" customFormat="1" x14ac:dyDescent="0.25"/>
    <row r="207248" s="12" customFormat="1" x14ac:dyDescent="0.25"/>
    <row r="207249" s="12" customFormat="1" x14ac:dyDescent="0.25"/>
    <row r="207250" s="12" customFormat="1" x14ac:dyDescent="0.25"/>
    <row r="207251" s="12" customFormat="1" x14ac:dyDescent="0.25"/>
    <row r="207252" s="12" customFormat="1" x14ac:dyDescent="0.25"/>
    <row r="207253" s="12" customFormat="1" x14ac:dyDescent="0.25"/>
    <row r="207254" s="12" customFormat="1" x14ac:dyDescent="0.25"/>
    <row r="207255" s="12" customFormat="1" x14ac:dyDescent="0.25"/>
    <row r="207256" s="12" customFormat="1" x14ac:dyDescent="0.25"/>
    <row r="207257" s="12" customFormat="1" x14ac:dyDescent="0.25"/>
    <row r="207258" s="12" customFormat="1" x14ac:dyDescent="0.25"/>
    <row r="207259" s="12" customFormat="1" x14ac:dyDescent="0.25"/>
    <row r="207260" s="12" customFormat="1" x14ac:dyDescent="0.25"/>
    <row r="207261" s="12" customFormat="1" x14ac:dyDescent="0.25"/>
    <row r="207262" s="12" customFormat="1" x14ac:dyDescent="0.25"/>
    <row r="207263" s="12" customFormat="1" x14ac:dyDescent="0.25"/>
    <row r="207264" s="12" customFormat="1" x14ac:dyDescent="0.25"/>
    <row r="207265" s="12" customFormat="1" x14ac:dyDescent="0.25"/>
    <row r="207266" s="12" customFormat="1" x14ac:dyDescent="0.25"/>
    <row r="207267" s="12" customFormat="1" x14ac:dyDescent="0.25"/>
    <row r="207268" s="12" customFormat="1" x14ac:dyDescent="0.25"/>
    <row r="207269" s="12" customFormat="1" x14ac:dyDescent="0.25"/>
    <row r="207270" s="12" customFormat="1" x14ac:dyDescent="0.25"/>
    <row r="207271" s="12" customFormat="1" x14ac:dyDescent="0.25"/>
    <row r="207272" s="12" customFormat="1" x14ac:dyDescent="0.25"/>
    <row r="207273" s="12" customFormat="1" x14ac:dyDescent="0.25"/>
    <row r="207274" s="12" customFormat="1" x14ac:dyDescent="0.25"/>
    <row r="207275" s="12" customFormat="1" x14ac:dyDescent="0.25"/>
    <row r="207276" s="12" customFormat="1" x14ac:dyDescent="0.25"/>
    <row r="207277" s="12" customFormat="1" x14ac:dyDescent="0.25"/>
    <row r="207278" s="12" customFormat="1" x14ac:dyDescent="0.25"/>
    <row r="207279" s="12" customFormat="1" x14ac:dyDescent="0.25"/>
    <row r="207280" s="12" customFormat="1" x14ac:dyDescent="0.25"/>
    <row r="207281" s="12" customFormat="1" x14ac:dyDescent="0.25"/>
    <row r="207282" s="12" customFormat="1" x14ac:dyDescent="0.25"/>
    <row r="207283" s="12" customFormat="1" x14ac:dyDescent="0.25"/>
    <row r="207284" s="12" customFormat="1" x14ac:dyDescent="0.25"/>
    <row r="207285" s="12" customFormat="1" x14ac:dyDescent="0.25"/>
    <row r="207286" s="12" customFormat="1" x14ac:dyDescent="0.25"/>
    <row r="207287" s="12" customFormat="1" x14ac:dyDescent="0.25"/>
    <row r="207288" s="12" customFormat="1" x14ac:dyDescent="0.25"/>
    <row r="207289" s="12" customFormat="1" x14ac:dyDescent="0.25"/>
    <row r="207290" s="12" customFormat="1" x14ac:dyDescent="0.25"/>
    <row r="207291" s="12" customFormat="1" x14ac:dyDescent="0.25"/>
    <row r="207292" s="12" customFormat="1" x14ac:dyDescent="0.25"/>
    <row r="207293" s="12" customFormat="1" x14ac:dyDescent="0.25"/>
    <row r="207294" s="12" customFormat="1" x14ac:dyDescent="0.25"/>
    <row r="207295" s="12" customFormat="1" x14ac:dyDescent="0.25"/>
    <row r="207296" s="12" customFormat="1" x14ac:dyDescent="0.25"/>
    <row r="207297" s="12" customFormat="1" x14ac:dyDescent="0.25"/>
    <row r="207298" s="12" customFormat="1" x14ac:dyDescent="0.25"/>
    <row r="207299" s="12" customFormat="1" x14ac:dyDescent="0.25"/>
    <row r="207300" s="12" customFormat="1" x14ac:dyDescent="0.25"/>
    <row r="207301" s="12" customFormat="1" x14ac:dyDescent="0.25"/>
    <row r="207302" s="12" customFormat="1" x14ac:dyDescent="0.25"/>
    <row r="207303" s="12" customFormat="1" x14ac:dyDescent="0.25"/>
    <row r="207304" s="12" customFormat="1" x14ac:dyDescent="0.25"/>
    <row r="207305" s="12" customFormat="1" x14ac:dyDescent="0.25"/>
    <row r="207306" s="12" customFormat="1" x14ac:dyDescent="0.25"/>
    <row r="207307" s="12" customFormat="1" x14ac:dyDescent="0.25"/>
    <row r="207308" s="12" customFormat="1" x14ac:dyDescent="0.25"/>
    <row r="207309" s="12" customFormat="1" x14ac:dyDescent="0.25"/>
    <row r="207310" s="12" customFormat="1" x14ac:dyDescent="0.25"/>
    <row r="207311" s="12" customFormat="1" x14ac:dyDescent="0.25"/>
    <row r="207312" s="12" customFormat="1" x14ac:dyDescent="0.25"/>
    <row r="207313" s="12" customFormat="1" x14ac:dyDescent="0.25"/>
    <row r="207314" s="12" customFormat="1" x14ac:dyDescent="0.25"/>
    <row r="207315" s="12" customFormat="1" x14ac:dyDescent="0.25"/>
    <row r="207316" s="12" customFormat="1" x14ac:dyDescent="0.25"/>
    <row r="207317" s="12" customFormat="1" x14ac:dyDescent="0.25"/>
    <row r="207318" s="12" customFormat="1" x14ac:dyDescent="0.25"/>
    <row r="207319" s="12" customFormat="1" x14ac:dyDescent="0.25"/>
    <row r="207320" s="12" customFormat="1" x14ac:dyDescent="0.25"/>
    <row r="207321" s="12" customFormat="1" x14ac:dyDescent="0.25"/>
    <row r="207322" s="12" customFormat="1" x14ac:dyDescent="0.25"/>
    <row r="207323" s="12" customFormat="1" x14ac:dyDescent="0.25"/>
    <row r="207324" s="12" customFormat="1" x14ac:dyDescent="0.25"/>
    <row r="207325" s="12" customFormat="1" x14ac:dyDescent="0.25"/>
    <row r="207326" s="12" customFormat="1" x14ac:dyDescent="0.25"/>
    <row r="207327" s="12" customFormat="1" x14ac:dyDescent="0.25"/>
    <row r="207328" s="12" customFormat="1" x14ac:dyDescent="0.25"/>
    <row r="207329" s="12" customFormat="1" x14ac:dyDescent="0.25"/>
    <row r="207330" s="12" customFormat="1" x14ac:dyDescent="0.25"/>
    <row r="207331" s="12" customFormat="1" x14ac:dyDescent="0.25"/>
    <row r="207332" s="12" customFormat="1" x14ac:dyDescent="0.25"/>
    <row r="207333" s="12" customFormat="1" x14ac:dyDescent="0.25"/>
    <row r="207334" s="12" customFormat="1" x14ac:dyDescent="0.25"/>
    <row r="207335" s="12" customFormat="1" x14ac:dyDescent="0.25"/>
    <row r="207336" s="12" customFormat="1" x14ac:dyDescent="0.25"/>
    <row r="207337" s="12" customFormat="1" x14ac:dyDescent="0.25"/>
    <row r="207338" s="12" customFormat="1" x14ac:dyDescent="0.25"/>
    <row r="207339" s="12" customFormat="1" x14ac:dyDescent="0.25"/>
    <row r="207340" s="12" customFormat="1" x14ac:dyDescent="0.25"/>
    <row r="207341" s="12" customFormat="1" x14ac:dyDescent="0.25"/>
    <row r="207342" s="12" customFormat="1" x14ac:dyDescent="0.25"/>
    <row r="207343" s="12" customFormat="1" x14ac:dyDescent="0.25"/>
    <row r="207344" s="12" customFormat="1" x14ac:dyDescent="0.25"/>
    <row r="207345" s="12" customFormat="1" x14ac:dyDescent="0.25"/>
    <row r="207346" s="12" customFormat="1" x14ac:dyDescent="0.25"/>
    <row r="207347" s="12" customFormat="1" x14ac:dyDescent="0.25"/>
    <row r="207348" s="12" customFormat="1" x14ac:dyDescent="0.25"/>
    <row r="207349" s="12" customFormat="1" x14ac:dyDescent="0.25"/>
    <row r="207350" s="12" customFormat="1" x14ac:dyDescent="0.25"/>
    <row r="207351" s="12" customFormat="1" x14ac:dyDescent="0.25"/>
    <row r="207352" s="12" customFormat="1" x14ac:dyDescent="0.25"/>
    <row r="207353" s="12" customFormat="1" x14ac:dyDescent="0.25"/>
    <row r="207354" s="12" customFormat="1" x14ac:dyDescent="0.25"/>
    <row r="207355" s="12" customFormat="1" x14ac:dyDescent="0.25"/>
    <row r="207356" s="12" customFormat="1" x14ac:dyDescent="0.25"/>
    <row r="207357" s="12" customFormat="1" x14ac:dyDescent="0.25"/>
    <row r="207358" s="12" customFormat="1" x14ac:dyDescent="0.25"/>
    <row r="207359" s="12" customFormat="1" x14ac:dyDescent="0.25"/>
    <row r="207360" s="12" customFormat="1" x14ac:dyDescent="0.25"/>
    <row r="207361" s="12" customFormat="1" x14ac:dyDescent="0.25"/>
    <row r="207362" s="12" customFormat="1" x14ac:dyDescent="0.25"/>
    <row r="207363" s="12" customFormat="1" x14ac:dyDescent="0.25"/>
    <row r="207364" s="12" customFormat="1" x14ac:dyDescent="0.25"/>
    <row r="207365" s="12" customFormat="1" x14ac:dyDescent="0.25"/>
    <row r="207366" s="12" customFormat="1" x14ac:dyDescent="0.25"/>
    <row r="207367" s="12" customFormat="1" x14ac:dyDescent="0.25"/>
    <row r="207368" s="12" customFormat="1" x14ac:dyDescent="0.25"/>
    <row r="207369" s="12" customFormat="1" x14ac:dyDescent="0.25"/>
    <row r="207370" s="12" customFormat="1" x14ac:dyDescent="0.25"/>
    <row r="207371" s="12" customFormat="1" x14ac:dyDescent="0.25"/>
    <row r="207372" s="12" customFormat="1" x14ac:dyDescent="0.25"/>
    <row r="207373" s="12" customFormat="1" x14ac:dyDescent="0.25"/>
    <row r="207374" s="12" customFormat="1" x14ac:dyDescent="0.25"/>
    <row r="207375" s="12" customFormat="1" x14ac:dyDescent="0.25"/>
    <row r="207376" s="12" customFormat="1" x14ac:dyDescent="0.25"/>
    <row r="207377" s="12" customFormat="1" x14ac:dyDescent="0.25"/>
    <row r="207378" s="12" customFormat="1" x14ac:dyDescent="0.25"/>
    <row r="207379" s="12" customFormat="1" x14ac:dyDescent="0.25"/>
    <row r="207380" s="12" customFormat="1" x14ac:dyDescent="0.25"/>
    <row r="207381" s="12" customFormat="1" x14ac:dyDescent="0.25"/>
    <row r="207382" s="12" customFormat="1" x14ac:dyDescent="0.25"/>
    <row r="207383" s="12" customFormat="1" x14ac:dyDescent="0.25"/>
    <row r="207384" s="12" customFormat="1" x14ac:dyDescent="0.25"/>
    <row r="207385" s="12" customFormat="1" x14ac:dyDescent="0.25"/>
    <row r="207386" s="12" customFormat="1" x14ac:dyDescent="0.25"/>
    <row r="207387" s="12" customFormat="1" x14ac:dyDescent="0.25"/>
    <row r="207388" s="12" customFormat="1" x14ac:dyDescent="0.25"/>
    <row r="207389" s="12" customFormat="1" x14ac:dyDescent="0.25"/>
    <row r="207390" s="12" customFormat="1" x14ac:dyDescent="0.25"/>
    <row r="207391" s="12" customFormat="1" x14ac:dyDescent="0.25"/>
    <row r="207392" s="12" customFormat="1" x14ac:dyDescent="0.25"/>
    <row r="207393" s="12" customFormat="1" x14ac:dyDescent="0.25"/>
    <row r="207394" s="12" customFormat="1" x14ac:dyDescent="0.25"/>
    <row r="207395" s="12" customFormat="1" x14ac:dyDescent="0.25"/>
    <row r="207396" s="12" customFormat="1" x14ac:dyDescent="0.25"/>
    <row r="207397" s="12" customFormat="1" x14ac:dyDescent="0.25"/>
    <row r="207398" s="12" customFormat="1" x14ac:dyDescent="0.25"/>
    <row r="207399" s="12" customFormat="1" x14ac:dyDescent="0.25"/>
    <row r="207400" s="12" customFormat="1" x14ac:dyDescent="0.25"/>
    <row r="207401" s="12" customFormat="1" x14ac:dyDescent="0.25"/>
    <row r="207402" s="12" customFormat="1" x14ac:dyDescent="0.25"/>
    <row r="207403" s="12" customFormat="1" x14ac:dyDescent="0.25"/>
    <row r="207404" s="12" customFormat="1" x14ac:dyDescent="0.25"/>
    <row r="207405" s="12" customFormat="1" x14ac:dyDescent="0.25"/>
    <row r="207406" s="12" customFormat="1" x14ac:dyDescent="0.25"/>
    <row r="207407" s="12" customFormat="1" x14ac:dyDescent="0.25"/>
    <row r="207408" s="12" customFormat="1" x14ac:dyDescent="0.25"/>
    <row r="207409" s="12" customFormat="1" x14ac:dyDescent="0.25"/>
    <row r="207410" s="12" customFormat="1" x14ac:dyDescent="0.25"/>
    <row r="207411" s="12" customFormat="1" x14ac:dyDescent="0.25"/>
    <row r="207412" s="12" customFormat="1" x14ac:dyDescent="0.25"/>
    <row r="207413" s="12" customFormat="1" x14ac:dyDescent="0.25"/>
    <row r="207414" s="12" customFormat="1" x14ac:dyDescent="0.25"/>
    <row r="207415" s="12" customFormat="1" x14ac:dyDescent="0.25"/>
    <row r="207416" s="12" customFormat="1" x14ac:dyDescent="0.25"/>
    <row r="207417" s="12" customFormat="1" x14ac:dyDescent="0.25"/>
    <row r="207418" s="12" customFormat="1" x14ac:dyDescent="0.25"/>
    <row r="207419" s="12" customFormat="1" x14ac:dyDescent="0.25"/>
    <row r="207420" s="12" customFormat="1" x14ac:dyDescent="0.25"/>
    <row r="207421" s="12" customFormat="1" x14ac:dyDescent="0.25"/>
    <row r="207422" s="12" customFormat="1" x14ac:dyDescent="0.25"/>
    <row r="207423" s="12" customFormat="1" x14ac:dyDescent="0.25"/>
    <row r="207424" s="12" customFormat="1" x14ac:dyDescent="0.25"/>
    <row r="207425" s="12" customFormat="1" x14ac:dyDescent="0.25"/>
    <row r="207426" s="12" customFormat="1" x14ac:dyDescent="0.25"/>
    <row r="207427" s="12" customFormat="1" x14ac:dyDescent="0.25"/>
    <row r="207428" s="12" customFormat="1" x14ac:dyDescent="0.25"/>
    <row r="207429" s="12" customFormat="1" x14ac:dyDescent="0.25"/>
    <row r="207430" s="12" customFormat="1" x14ac:dyDescent="0.25"/>
    <row r="207431" s="12" customFormat="1" x14ac:dyDescent="0.25"/>
    <row r="207432" s="12" customFormat="1" x14ac:dyDescent="0.25"/>
    <row r="207433" s="12" customFormat="1" x14ac:dyDescent="0.25"/>
    <row r="207434" s="12" customFormat="1" x14ac:dyDescent="0.25"/>
    <row r="207435" s="12" customFormat="1" x14ac:dyDescent="0.25"/>
    <row r="207436" s="12" customFormat="1" x14ac:dyDescent="0.25"/>
    <row r="207437" s="12" customFormat="1" x14ac:dyDescent="0.25"/>
    <row r="207438" s="12" customFormat="1" x14ac:dyDescent="0.25"/>
    <row r="207439" s="12" customFormat="1" x14ac:dyDescent="0.25"/>
    <row r="207440" s="12" customFormat="1" x14ac:dyDescent="0.25"/>
    <row r="207441" s="12" customFormat="1" x14ac:dyDescent="0.25"/>
    <row r="207442" s="12" customFormat="1" x14ac:dyDescent="0.25"/>
    <row r="207443" s="12" customFormat="1" x14ac:dyDescent="0.25"/>
    <row r="207444" s="12" customFormat="1" x14ac:dyDescent="0.25"/>
    <row r="207445" s="12" customFormat="1" x14ac:dyDescent="0.25"/>
    <row r="207446" s="12" customFormat="1" x14ac:dyDescent="0.25"/>
    <row r="207447" s="12" customFormat="1" x14ac:dyDescent="0.25"/>
    <row r="207448" s="12" customFormat="1" x14ac:dyDescent="0.25"/>
    <row r="207449" s="12" customFormat="1" x14ac:dyDescent="0.25"/>
    <row r="207450" s="12" customFormat="1" x14ac:dyDescent="0.25"/>
    <row r="207451" s="12" customFormat="1" x14ac:dyDescent="0.25"/>
    <row r="207452" s="12" customFormat="1" x14ac:dyDescent="0.25"/>
    <row r="207453" s="12" customFormat="1" x14ac:dyDescent="0.25"/>
    <row r="207454" s="12" customFormat="1" x14ac:dyDescent="0.25"/>
    <row r="207455" s="12" customFormat="1" x14ac:dyDescent="0.25"/>
    <row r="207456" s="12" customFormat="1" x14ac:dyDescent="0.25"/>
    <row r="207457" s="12" customFormat="1" x14ac:dyDescent="0.25"/>
    <row r="207458" s="12" customFormat="1" x14ac:dyDescent="0.25"/>
    <row r="207459" s="12" customFormat="1" x14ac:dyDescent="0.25"/>
    <row r="207460" s="12" customFormat="1" x14ac:dyDescent="0.25"/>
    <row r="207461" s="12" customFormat="1" x14ac:dyDescent="0.25"/>
    <row r="207462" s="12" customFormat="1" x14ac:dyDescent="0.25"/>
    <row r="207463" s="12" customFormat="1" x14ac:dyDescent="0.25"/>
    <row r="207464" s="12" customFormat="1" x14ac:dyDescent="0.25"/>
    <row r="207465" s="12" customFormat="1" x14ac:dyDescent="0.25"/>
    <row r="207466" s="12" customFormat="1" x14ac:dyDescent="0.25"/>
    <row r="207467" s="12" customFormat="1" x14ac:dyDescent="0.25"/>
    <row r="207468" s="12" customFormat="1" x14ac:dyDescent="0.25"/>
    <row r="207469" s="12" customFormat="1" x14ac:dyDescent="0.25"/>
    <row r="207470" s="12" customFormat="1" x14ac:dyDescent="0.25"/>
    <row r="207471" s="12" customFormat="1" x14ac:dyDescent="0.25"/>
    <row r="207472" s="12" customFormat="1" x14ac:dyDescent="0.25"/>
    <row r="207473" s="12" customFormat="1" x14ac:dyDescent="0.25"/>
    <row r="207474" s="12" customFormat="1" x14ac:dyDescent="0.25"/>
    <row r="207475" s="12" customFormat="1" x14ac:dyDescent="0.25"/>
    <row r="207476" s="12" customFormat="1" x14ac:dyDescent="0.25"/>
    <row r="207477" s="12" customFormat="1" x14ac:dyDescent="0.25"/>
    <row r="207478" s="12" customFormat="1" x14ac:dyDescent="0.25"/>
    <row r="207479" s="12" customFormat="1" x14ac:dyDescent="0.25"/>
    <row r="207480" s="12" customFormat="1" x14ac:dyDescent="0.25"/>
    <row r="207481" s="12" customFormat="1" x14ac:dyDescent="0.25"/>
    <row r="207482" s="12" customFormat="1" x14ac:dyDescent="0.25"/>
    <row r="207483" s="12" customFormat="1" x14ac:dyDescent="0.25"/>
    <row r="207484" s="12" customFormat="1" x14ac:dyDescent="0.25"/>
    <row r="207485" s="12" customFormat="1" x14ac:dyDescent="0.25"/>
    <row r="207486" s="12" customFormat="1" x14ac:dyDescent="0.25"/>
    <row r="207487" s="12" customFormat="1" x14ac:dyDescent="0.25"/>
    <row r="207488" s="12" customFormat="1" x14ac:dyDescent="0.25"/>
    <row r="207489" s="12" customFormat="1" x14ac:dyDescent="0.25"/>
    <row r="207490" s="12" customFormat="1" x14ac:dyDescent="0.25"/>
    <row r="207491" s="12" customFormat="1" x14ac:dyDescent="0.25"/>
    <row r="207492" s="12" customFormat="1" x14ac:dyDescent="0.25"/>
    <row r="207493" s="12" customFormat="1" x14ac:dyDescent="0.25"/>
    <row r="207494" s="12" customFormat="1" x14ac:dyDescent="0.25"/>
    <row r="207495" s="12" customFormat="1" x14ac:dyDescent="0.25"/>
    <row r="207496" s="12" customFormat="1" x14ac:dyDescent="0.25"/>
    <row r="207497" s="12" customFormat="1" x14ac:dyDescent="0.25"/>
    <row r="207498" s="12" customFormat="1" x14ac:dyDescent="0.25"/>
    <row r="207499" s="12" customFormat="1" x14ac:dyDescent="0.25"/>
    <row r="207500" s="12" customFormat="1" x14ac:dyDescent="0.25"/>
    <row r="207501" s="12" customFormat="1" x14ac:dyDescent="0.25"/>
    <row r="207502" s="12" customFormat="1" x14ac:dyDescent="0.25"/>
    <row r="207503" s="12" customFormat="1" x14ac:dyDescent="0.25"/>
    <row r="207504" s="12" customFormat="1" x14ac:dyDescent="0.25"/>
    <row r="207505" s="12" customFormat="1" x14ac:dyDescent="0.25"/>
    <row r="207506" s="12" customFormat="1" x14ac:dyDescent="0.25"/>
    <row r="207507" s="12" customFormat="1" x14ac:dyDescent="0.25"/>
    <row r="207508" s="12" customFormat="1" x14ac:dyDescent="0.25"/>
    <row r="207509" s="12" customFormat="1" x14ac:dyDescent="0.25"/>
    <row r="207510" s="12" customFormat="1" x14ac:dyDescent="0.25"/>
    <row r="207511" s="12" customFormat="1" x14ac:dyDescent="0.25"/>
    <row r="207512" s="12" customFormat="1" x14ac:dyDescent="0.25"/>
    <row r="207513" s="12" customFormat="1" x14ac:dyDescent="0.25"/>
    <row r="207514" s="12" customFormat="1" x14ac:dyDescent="0.25"/>
    <row r="207515" s="12" customFormat="1" x14ac:dyDescent="0.25"/>
    <row r="207516" s="12" customFormat="1" x14ac:dyDescent="0.25"/>
    <row r="207517" s="12" customFormat="1" x14ac:dyDescent="0.25"/>
    <row r="207518" s="12" customFormat="1" x14ac:dyDescent="0.25"/>
    <row r="207519" s="12" customFormat="1" x14ac:dyDescent="0.25"/>
    <row r="207520" s="12" customFormat="1" x14ac:dyDescent="0.25"/>
    <row r="207521" s="12" customFormat="1" x14ac:dyDescent="0.25"/>
    <row r="207522" s="12" customFormat="1" x14ac:dyDescent="0.25"/>
    <row r="207523" s="12" customFormat="1" x14ac:dyDescent="0.25"/>
    <row r="207524" s="12" customFormat="1" x14ac:dyDescent="0.25"/>
    <row r="207525" s="12" customFormat="1" x14ac:dyDescent="0.25"/>
    <row r="207526" s="12" customFormat="1" x14ac:dyDescent="0.25"/>
    <row r="207527" s="12" customFormat="1" x14ac:dyDescent="0.25"/>
    <row r="207528" s="12" customFormat="1" x14ac:dyDescent="0.25"/>
    <row r="207529" s="12" customFormat="1" x14ac:dyDescent="0.25"/>
    <row r="207530" s="12" customFormat="1" x14ac:dyDescent="0.25"/>
    <row r="207531" s="12" customFormat="1" x14ac:dyDescent="0.25"/>
    <row r="207532" s="12" customFormat="1" x14ac:dyDescent="0.25"/>
    <row r="207533" s="12" customFormat="1" x14ac:dyDescent="0.25"/>
    <row r="207534" s="12" customFormat="1" x14ac:dyDescent="0.25"/>
    <row r="207535" s="12" customFormat="1" x14ac:dyDescent="0.25"/>
    <row r="207536" s="12" customFormat="1" x14ac:dyDescent="0.25"/>
    <row r="207537" s="12" customFormat="1" x14ac:dyDescent="0.25"/>
    <row r="207538" s="12" customFormat="1" x14ac:dyDescent="0.25"/>
    <row r="207539" s="12" customFormat="1" x14ac:dyDescent="0.25"/>
    <row r="207540" s="12" customFormat="1" x14ac:dyDescent="0.25"/>
    <row r="207541" s="12" customFormat="1" x14ac:dyDescent="0.25"/>
    <row r="207542" s="12" customFormat="1" x14ac:dyDescent="0.25"/>
    <row r="207543" s="12" customFormat="1" x14ac:dyDescent="0.25"/>
    <row r="207544" s="12" customFormat="1" x14ac:dyDescent="0.25"/>
    <row r="207545" s="12" customFormat="1" x14ac:dyDescent="0.25"/>
    <row r="207546" s="12" customFormat="1" x14ac:dyDescent="0.25"/>
    <row r="207547" s="12" customFormat="1" x14ac:dyDescent="0.25"/>
    <row r="207548" s="12" customFormat="1" x14ac:dyDescent="0.25"/>
    <row r="207549" s="12" customFormat="1" x14ac:dyDescent="0.25"/>
    <row r="207550" s="12" customFormat="1" x14ac:dyDescent="0.25"/>
    <row r="207551" s="12" customFormat="1" x14ac:dyDescent="0.25"/>
    <row r="207552" s="12" customFormat="1" x14ac:dyDescent="0.25"/>
    <row r="207553" s="12" customFormat="1" x14ac:dyDescent="0.25"/>
    <row r="207554" s="12" customFormat="1" x14ac:dyDescent="0.25"/>
    <row r="207555" s="12" customFormat="1" x14ac:dyDescent="0.25"/>
    <row r="207556" s="12" customFormat="1" x14ac:dyDescent="0.25"/>
    <row r="207557" s="12" customFormat="1" x14ac:dyDescent="0.25"/>
    <row r="207558" s="12" customFormat="1" x14ac:dyDescent="0.25"/>
    <row r="207559" s="12" customFormat="1" x14ac:dyDescent="0.25"/>
    <row r="207560" s="12" customFormat="1" x14ac:dyDescent="0.25"/>
    <row r="207561" s="12" customFormat="1" x14ac:dyDescent="0.25"/>
    <row r="207562" s="12" customFormat="1" x14ac:dyDescent="0.25"/>
    <row r="207563" s="12" customFormat="1" x14ac:dyDescent="0.25"/>
    <row r="207564" s="12" customFormat="1" x14ac:dyDescent="0.25"/>
    <row r="207565" s="12" customFormat="1" x14ac:dyDescent="0.25"/>
    <row r="207566" s="12" customFormat="1" x14ac:dyDescent="0.25"/>
    <row r="207567" s="12" customFormat="1" x14ac:dyDescent="0.25"/>
    <row r="207568" s="12" customFormat="1" x14ac:dyDescent="0.25"/>
    <row r="207569" s="12" customFormat="1" x14ac:dyDescent="0.25"/>
    <row r="207570" s="12" customFormat="1" x14ac:dyDescent="0.25"/>
    <row r="207571" s="12" customFormat="1" x14ac:dyDescent="0.25"/>
    <row r="207572" s="12" customFormat="1" x14ac:dyDescent="0.25"/>
    <row r="207573" s="12" customFormat="1" x14ac:dyDescent="0.25"/>
    <row r="207574" s="12" customFormat="1" x14ac:dyDescent="0.25"/>
    <row r="207575" s="12" customFormat="1" x14ac:dyDescent="0.25"/>
    <row r="207576" s="12" customFormat="1" x14ac:dyDescent="0.25"/>
    <row r="207577" s="12" customFormat="1" x14ac:dyDescent="0.25"/>
    <row r="207578" s="12" customFormat="1" x14ac:dyDescent="0.25"/>
    <row r="207579" s="12" customFormat="1" x14ac:dyDescent="0.25"/>
    <row r="207580" s="12" customFormat="1" x14ac:dyDescent="0.25"/>
    <row r="207581" s="12" customFormat="1" x14ac:dyDescent="0.25"/>
    <row r="207582" s="12" customFormat="1" x14ac:dyDescent="0.25"/>
    <row r="207583" s="12" customFormat="1" x14ac:dyDescent="0.25"/>
    <row r="207584" s="12" customFormat="1" x14ac:dyDescent="0.25"/>
    <row r="207585" s="12" customFormat="1" x14ac:dyDescent="0.25"/>
    <row r="207586" s="12" customFormat="1" x14ac:dyDescent="0.25"/>
    <row r="207587" s="12" customFormat="1" x14ac:dyDescent="0.25"/>
    <row r="207588" s="12" customFormat="1" x14ac:dyDescent="0.25"/>
    <row r="207589" s="12" customFormat="1" x14ac:dyDescent="0.25"/>
    <row r="207590" s="12" customFormat="1" x14ac:dyDescent="0.25"/>
    <row r="207591" s="12" customFormat="1" x14ac:dyDescent="0.25"/>
    <row r="207592" s="12" customFormat="1" x14ac:dyDescent="0.25"/>
    <row r="207593" s="12" customFormat="1" x14ac:dyDescent="0.25"/>
    <row r="207594" s="12" customFormat="1" x14ac:dyDescent="0.25"/>
    <row r="207595" s="12" customFormat="1" x14ac:dyDescent="0.25"/>
    <row r="207596" s="12" customFormat="1" x14ac:dyDescent="0.25"/>
    <row r="207597" s="12" customFormat="1" x14ac:dyDescent="0.25"/>
    <row r="207598" s="12" customFormat="1" x14ac:dyDescent="0.25"/>
    <row r="207599" s="12" customFormat="1" x14ac:dyDescent="0.25"/>
    <row r="207600" s="12" customFormat="1" x14ac:dyDescent="0.25"/>
    <row r="207601" s="12" customFormat="1" x14ac:dyDescent="0.25"/>
    <row r="207602" s="12" customFormat="1" x14ac:dyDescent="0.25"/>
    <row r="207603" s="12" customFormat="1" x14ac:dyDescent="0.25"/>
    <row r="207604" s="12" customFormat="1" x14ac:dyDescent="0.25"/>
    <row r="207605" s="12" customFormat="1" x14ac:dyDescent="0.25"/>
    <row r="207606" s="12" customFormat="1" x14ac:dyDescent="0.25"/>
    <row r="207607" s="12" customFormat="1" x14ac:dyDescent="0.25"/>
    <row r="207608" s="12" customFormat="1" x14ac:dyDescent="0.25"/>
    <row r="207609" s="12" customFormat="1" x14ac:dyDescent="0.25"/>
    <row r="207610" s="12" customFormat="1" x14ac:dyDescent="0.25"/>
    <row r="207611" s="12" customFormat="1" x14ac:dyDescent="0.25"/>
    <row r="207612" s="12" customFormat="1" x14ac:dyDescent="0.25"/>
    <row r="207613" s="12" customFormat="1" x14ac:dyDescent="0.25"/>
    <row r="207614" s="12" customFormat="1" x14ac:dyDescent="0.25"/>
    <row r="207615" s="12" customFormat="1" x14ac:dyDescent="0.25"/>
    <row r="207616" s="12" customFormat="1" x14ac:dyDescent="0.25"/>
    <row r="207617" s="12" customFormat="1" x14ac:dyDescent="0.25"/>
    <row r="207618" s="12" customFormat="1" x14ac:dyDescent="0.25"/>
    <row r="207619" s="12" customFormat="1" x14ac:dyDescent="0.25"/>
    <row r="207620" s="12" customFormat="1" x14ac:dyDescent="0.25"/>
    <row r="207621" s="12" customFormat="1" x14ac:dyDescent="0.25"/>
    <row r="207622" s="12" customFormat="1" x14ac:dyDescent="0.25"/>
    <row r="207623" s="12" customFormat="1" x14ac:dyDescent="0.25"/>
    <row r="207624" s="12" customFormat="1" x14ac:dyDescent="0.25"/>
    <row r="207625" s="12" customFormat="1" x14ac:dyDescent="0.25"/>
    <row r="207626" s="12" customFormat="1" x14ac:dyDescent="0.25"/>
    <row r="207627" s="12" customFormat="1" x14ac:dyDescent="0.25"/>
    <row r="207628" s="12" customFormat="1" x14ac:dyDescent="0.25"/>
    <row r="207629" s="12" customFormat="1" x14ac:dyDescent="0.25"/>
    <row r="207630" s="12" customFormat="1" x14ac:dyDescent="0.25"/>
    <row r="207631" s="12" customFormat="1" x14ac:dyDescent="0.25"/>
    <row r="207632" s="12" customFormat="1" x14ac:dyDescent="0.25"/>
    <row r="207633" s="12" customFormat="1" x14ac:dyDescent="0.25"/>
    <row r="207634" s="12" customFormat="1" x14ac:dyDescent="0.25"/>
    <row r="207635" s="12" customFormat="1" x14ac:dyDescent="0.25"/>
    <row r="207636" s="12" customFormat="1" x14ac:dyDescent="0.25"/>
    <row r="207637" s="12" customFormat="1" x14ac:dyDescent="0.25"/>
    <row r="207638" s="12" customFormat="1" x14ac:dyDescent="0.25"/>
    <row r="207639" s="12" customFormat="1" x14ac:dyDescent="0.25"/>
    <row r="207640" s="12" customFormat="1" x14ac:dyDescent="0.25"/>
    <row r="207641" s="12" customFormat="1" x14ac:dyDescent="0.25"/>
    <row r="207642" s="12" customFormat="1" x14ac:dyDescent="0.25"/>
    <row r="207643" s="12" customFormat="1" x14ac:dyDescent="0.25"/>
    <row r="207644" s="12" customFormat="1" x14ac:dyDescent="0.25"/>
    <row r="207645" s="12" customFormat="1" x14ac:dyDescent="0.25"/>
    <row r="207646" s="12" customFormat="1" x14ac:dyDescent="0.25"/>
    <row r="207647" s="12" customFormat="1" x14ac:dyDescent="0.25"/>
    <row r="207648" s="12" customFormat="1" x14ac:dyDescent="0.25"/>
    <row r="207649" s="12" customFormat="1" x14ac:dyDescent="0.25"/>
    <row r="207650" s="12" customFormat="1" x14ac:dyDescent="0.25"/>
    <row r="207651" s="12" customFormat="1" x14ac:dyDescent="0.25"/>
    <row r="207652" s="12" customFormat="1" x14ac:dyDescent="0.25"/>
    <row r="207653" s="12" customFormat="1" x14ac:dyDescent="0.25"/>
    <row r="207654" s="12" customFormat="1" x14ac:dyDescent="0.25"/>
    <row r="207655" s="12" customFormat="1" x14ac:dyDescent="0.25"/>
    <row r="207656" s="12" customFormat="1" x14ac:dyDescent="0.25"/>
    <row r="207657" s="12" customFormat="1" x14ac:dyDescent="0.25"/>
    <row r="207658" s="12" customFormat="1" x14ac:dyDescent="0.25"/>
    <row r="207659" s="12" customFormat="1" x14ac:dyDescent="0.25"/>
    <row r="207660" s="12" customFormat="1" x14ac:dyDescent="0.25"/>
    <row r="207661" s="12" customFormat="1" x14ac:dyDescent="0.25"/>
    <row r="207662" s="12" customFormat="1" x14ac:dyDescent="0.25"/>
    <row r="207663" s="12" customFormat="1" x14ac:dyDescent="0.25"/>
    <row r="207664" s="12" customFormat="1" x14ac:dyDescent="0.25"/>
    <row r="207665" s="12" customFormat="1" x14ac:dyDescent="0.25"/>
    <row r="207666" s="12" customFormat="1" x14ac:dyDescent="0.25"/>
    <row r="207667" s="12" customFormat="1" x14ac:dyDescent="0.25"/>
    <row r="207668" s="12" customFormat="1" x14ac:dyDescent="0.25"/>
    <row r="207669" s="12" customFormat="1" x14ac:dyDescent="0.25"/>
    <row r="207670" s="12" customFormat="1" x14ac:dyDescent="0.25"/>
    <row r="207671" s="12" customFormat="1" x14ac:dyDescent="0.25"/>
    <row r="207672" s="12" customFormat="1" x14ac:dyDescent="0.25"/>
    <row r="207673" s="12" customFormat="1" x14ac:dyDescent="0.25"/>
    <row r="207674" s="12" customFormat="1" x14ac:dyDescent="0.25"/>
    <row r="207675" s="12" customFormat="1" x14ac:dyDescent="0.25"/>
    <row r="207676" s="12" customFormat="1" x14ac:dyDescent="0.25"/>
    <row r="207677" s="12" customFormat="1" x14ac:dyDescent="0.25"/>
    <row r="207678" s="12" customFormat="1" x14ac:dyDescent="0.25"/>
    <row r="207679" s="12" customFormat="1" x14ac:dyDescent="0.25"/>
    <row r="207680" s="12" customFormat="1" x14ac:dyDescent="0.25"/>
    <row r="207681" s="12" customFormat="1" x14ac:dyDescent="0.25"/>
    <row r="207682" s="12" customFormat="1" x14ac:dyDescent="0.25"/>
    <row r="207683" s="12" customFormat="1" x14ac:dyDescent="0.25"/>
    <row r="207684" s="12" customFormat="1" x14ac:dyDescent="0.25"/>
    <row r="207685" s="12" customFormat="1" x14ac:dyDescent="0.25"/>
    <row r="207686" s="12" customFormat="1" x14ac:dyDescent="0.25"/>
    <row r="207687" s="12" customFormat="1" x14ac:dyDescent="0.25"/>
    <row r="207688" s="12" customFormat="1" x14ac:dyDescent="0.25"/>
    <row r="207689" s="12" customFormat="1" x14ac:dyDescent="0.25"/>
    <row r="207690" s="12" customFormat="1" x14ac:dyDescent="0.25"/>
    <row r="207691" s="12" customFormat="1" x14ac:dyDescent="0.25"/>
    <row r="207692" s="12" customFormat="1" x14ac:dyDescent="0.25"/>
    <row r="207693" s="12" customFormat="1" x14ac:dyDescent="0.25"/>
    <row r="207694" s="12" customFormat="1" x14ac:dyDescent="0.25"/>
    <row r="207695" s="12" customFormat="1" x14ac:dyDescent="0.25"/>
    <row r="207696" s="12" customFormat="1" x14ac:dyDescent="0.25"/>
    <row r="207697" s="12" customFormat="1" x14ac:dyDescent="0.25"/>
    <row r="207698" s="12" customFormat="1" x14ac:dyDescent="0.25"/>
    <row r="207699" s="12" customFormat="1" x14ac:dyDescent="0.25"/>
    <row r="207700" s="12" customFormat="1" x14ac:dyDescent="0.25"/>
    <row r="207701" s="12" customFormat="1" x14ac:dyDescent="0.25"/>
    <row r="207702" s="12" customFormat="1" x14ac:dyDescent="0.25"/>
    <row r="207703" s="12" customFormat="1" x14ac:dyDescent="0.25"/>
    <row r="207704" s="12" customFormat="1" x14ac:dyDescent="0.25"/>
    <row r="207705" s="12" customFormat="1" x14ac:dyDescent="0.25"/>
    <row r="207706" s="12" customFormat="1" x14ac:dyDescent="0.25"/>
    <row r="207707" s="12" customFormat="1" x14ac:dyDescent="0.25"/>
    <row r="207708" s="12" customFormat="1" x14ac:dyDescent="0.25"/>
    <row r="207709" s="12" customFormat="1" x14ac:dyDescent="0.25"/>
    <row r="207710" s="12" customFormat="1" x14ac:dyDescent="0.25"/>
    <row r="207711" s="12" customFormat="1" x14ac:dyDescent="0.25"/>
    <row r="207712" s="12" customFormat="1" x14ac:dyDescent="0.25"/>
    <row r="207713" s="12" customFormat="1" x14ac:dyDescent="0.25"/>
    <row r="207714" s="12" customFormat="1" x14ac:dyDescent="0.25"/>
    <row r="207715" s="12" customFormat="1" x14ac:dyDescent="0.25"/>
    <row r="207716" s="12" customFormat="1" x14ac:dyDescent="0.25"/>
    <row r="207717" s="12" customFormat="1" x14ac:dyDescent="0.25"/>
    <row r="207718" s="12" customFormat="1" x14ac:dyDescent="0.25"/>
    <row r="207719" s="12" customFormat="1" x14ac:dyDescent="0.25"/>
    <row r="207720" s="12" customFormat="1" x14ac:dyDescent="0.25"/>
    <row r="207721" s="12" customFormat="1" x14ac:dyDescent="0.25"/>
    <row r="207722" s="12" customFormat="1" x14ac:dyDescent="0.25"/>
    <row r="207723" s="12" customFormat="1" x14ac:dyDescent="0.25"/>
    <row r="207724" s="12" customFormat="1" x14ac:dyDescent="0.25"/>
    <row r="207725" s="12" customFormat="1" x14ac:dyDescent="0.25"/>
    <row r="207726" s="12" customFormat="1" x14ac:dyDescent="0.25"/>
    <row r="207727" s="12" customFormat="1" x14ac:dyDescent="0.25"/>
    <row r="207728" s="12" customFormat="1" x14ac:dyDescent="0.25"/>
    <row r="207729" s="12" customFormat="1" x14ac:dyDescent="0.25"/>
    <row r="207730" s="12" customFormat="1" x14ac:dyDescent="0.25"/>
    <row r="207731" s="12" customFormat="1" x14ac:dyDescent="0.25"/>
    <row r="207732" s="12" customFormat="1" x14ac:dyDescent="0.25"/>
    <row r="207733" s="12" customFormat="1" x14ac:dyDescent="0.25"/>
    <row r="207734" s="12" customFormat="1" x14ac:dyDescent="0.25"/>
    <row r="207735" s="12" customFormat="1" x14ac:dyDescent="0.25"/>
    <row r="207736" s="12" customFormat="1" x14ac:dyDescent="0.25"/>
    <row r="207737" s="12" customFormat="1" x14ac:dyDescent="0.25"/>
    <row r="207738" s="12" customFormat="1" x14ac:dyDescent="0.25"/>
    <row r="207739" s="12" customFormat="1" x14ac:dyDescent="0.25"/>
    <row r="207740" s="12" customFormat="1" x14ac:dyDescent="0.25"/>
    <row r="207741" s="12" customFormat="1" x14ac:dyDescent="0.25"/>
    <row r="207742" s="12" customFormat="1" x14ac:dyDescent="0.25"/>
    <row r="207743" s="12" customFormat="1" x14ac:dyDescent="0.25"/>
    <row r="207744" s="12" customFormat="1" x14ac:dyDescent="0.25"/>
    <row r="207745" s="12" customFormat="1" x14ac:dyDescent="0.25"/>
    <row r="207746" s="12" customFormat="1" x14ac:dyDescent="0.25"/>
    <row r="207747" s="12" customFormat="1" x14ac:dyDescent="0.25"/>
    <row r="207748" s="12" customFormat="1" x14ac:dyDescent="0.25"/>
    <row r="207749" s="12" customFormat="1" x14ac:dyDescent="0.25"/>
    <row r="207750" s="12" customFormat="1" x14ac:dyDescent="0.25"/>
    <row r="207751" s="12" customFormat="1" x14ac:dyDescent="0.25"/>
    <row r="207752" s="12" customFormat="1" x14ac:dyDescent="0.25"/>
    <row r="207753" s="12" customFormat="1" x14ac:dyDescent="0.25"/>
    <row r="207754" s="12" customFormat="1" x14ac:dyDescent="0.25"/>
    <row r="207755" s="12" customFormat="1" x14ac:dyDescent="0.25"/>
    <row r="207756" s="12" customFormat="1" x14ac:dyDescent="0.25"/>
    <row r="207757" s="12" customFormat="1" x14ac:dyDescent="0.25"/>
    <row r="207758" s="12" customFormat="1" x14ac:dyDescent="0.25"/>
    <row r="207759" s="12" customFormat="1" x14ac:dyDescent="0.25"/>
    <row r="207760" s="12" customFormat="1" x14ac:dyDescent="0.25"/>
    <row r="207761" s="12" customFormat="1" x14ac:dyDescent="0.25"/>
    <row r="207762" s="12" customFormat="1" x14ac:dyDescent="0.25"/>
    <row r="207763" s="12" customFormat="1" x14ac:dyDescent="0.25"/>
    <row r="207764" s="12" customFormat="1" x14ac:dyDescent="0.25"/>
    <row r="207765" s="12" customFormat="1" x14ac:dyDescent="0.25"/>
    <row r="207766" s="12" customFormat="1" x14ac:dyDescent="0.25"/>
    <row r="207767" s="12" customFormat="1" x14ac:dyDescent="0.25"/>
    <row r="207768" s="12" customFormat="1" x14ac:dyDescent="0.25"/>
    <row r="207769" s="12" customFormat="1" x14ac:dyDescent="0.25"/>
    <row r="207770" s="12" customFormat="1" x14ac:dyDescent="0.25"/>
    <row r="207771" s="12" customFormat="1" x14ac:dyDescent="0.25"/>
    <row r="207772" s="12" customFormat="1" x14ac:dyDescent="0.25"/>
    <row r="207773" s="12" customFormat="1" x14ac:dyDescent="0.25"/>
    <row r="207774" s="12" customFormat="1" x14ac:dyDescent="0.25"/>
    <row r="207775" s="12" customFormat="1" x14ac:dyDescent="0.25"/>
    <row r="207776" s="12" customFormat="1" x14ac:dyDescent="0.25"/>
    <row r="207777" s="12" customFormat="1" x14ac:dyDescent="0.25"/>
    <row r="207778" s="12" customFormat="1" x14ac:dyDescent="0.25"/>
    <row r="207779" s="12" customFormat="1" x14ac:dyDescent="0.25"/>
    <row r="207780" s="12" customFormat="1" x14ac:dyDescent="0.25"/>
    <row r="207781" s="12" customFormat="1" x14ac:dyDescent="0.25"/>
    <row r="207782" s="12" customFormat="1" x14ac:dyDescent="0.25"/>
    <row r="207783" s="12" customFormat="1" x14ac:dyDescent="0.25"/>
    <row r="207784" s="12" customFormat="1" x14ac:dyDescent="0.25"/>
    <row r="207785" s="12" customFormat="1" x14ac:dyDescent="0.25"/>
    <row r="207786" s="12" customFormat="1" x14ac:dyDescent="0.25"/>
    <row r="207787" s="12" customFormat="1" x14ac:dyDescent="0.25"/>
    <row r="207788" s="12" customFormat="1" x14ac:dyDescent="0.25"/>
    <row r="207789" s="12" customFormat="1" x14ac:dyDescent="0.25"/>
    <row r="207790" s="12" customFormat="1" x14ac:dyDescent="0.25"/>
    <row r="207791" s="12" customFormat="1" x14ac:dyDescent="0.25"/>
    <row r="207792" s="12" customFormat="1" x14ac:dyDescent="0.25"/>
    <row r="207793" s="12" customFormat="1" x14ac:dyDescent="0.25"/>
    <row r="207794" s="12" customFormat="1" x14ac:dyDescent="0.25"/>
    <row r="207795" s="12" customFormat="1" x14ac:dyDescent="0.25"/>
    <row r="207796" s="12" customFormat="1" x14ac:dyDescent="0.25"/>
    <row r="207797" s="12" customFormat="1" x14ac:dyDescent="0.25"/>
    <row r="207798" s="12" customFormat="1" x14ac:dyDescent="0.25"/>
    <row r="207799" s="12" customFormat="1" x14ac:dyDescent="0.25"/>
    <row r="207800" s="12" customFormat="1" x14ac:dyDescent="0.25"/>
    <row r="207801" s="12" customFormat="1" x14ac:dyDescent="0.25"/>
    <row r="207802" s="12" customFormat="1" x14ac:dyDescent="0.25"/>
    <row r="207803" s="12" customFormat="1" x14ac:dyDescent="0.25"/>
    <row r="207804" s="12" customFormat="1" x14ac:dyDescent="0.25"/>
    <row r="207805" s="12" customFormat="1" x14ac:dyDescent="0.25"/>
    <row r="207806" s="12" customFormat="1" x14ac:dyDescent="0.25"/>
    <row r="207807" s="12" customFormat="1" x14ac:dyDescent="0.25"/>
    <row r="207808" s="12" customFormat="1" x14ac:dyDescent="0.25"/>
    <row r="207809" s="12" customFormat="1" x14ac:dyDescent="0.25"/>
    <row r="207810" s="12" customFormat="1" x14ac:dyDescent="0.25"/>
    <row r="207811" s="12" customFormat="1" x14ac:dyDescent="0.25"/>
    <row r="207812" s="12" customFormat="1" x14ac:dyDescent="0.25"/>
    <row r="207813" s="12" customFormat="1" x14ac:dyDescent="0.25"/>
    <row r="207814" s="12" customFormat="1" x14ac:dyDescent="0.25"/>
    <row r="207815" s="12" customFormat="1" x14ac:dyDescent="0.25"/>
    <row r="207816" s="12" customFormat="1" x14ac:dyDescent="0.25"/>
    <row r="207817" s="12" customFormat="1" x14ac:dyDescent="0.25"/>
    <row r="207818" s="12" customFormat="1" x14ac:dyDescent="0.25"/>
    <row r="207819" s="12" customFormat="1" x14ac:dyDescent="0.25"/>
    <row r="207820" s="12" customFormat="1" x14ac:dyDescent="0.25"/>
    <row r="207821" s="12" customFormat="1" x14ac:dyDescent="0.25"/>
    <row r="207822" s="12" customFormat="1" x14ac:dyDescent="0.25"/>
    <row r="207823" s="12" customFormat="1" x14ac:dyDescent="0.25"/>
    <row r="207824" s="12" customFormat="1" x14ac:dyDescent="0.25"/>
    <row r="207825" s="12" customFormat="1" x14ac:dyDescent="0.25"/>
    <row r="207826" s="12" customFormat="1" x14ac:dyDescent="0.25"/>
    <row r="207827" s="12" customFormat="1" x14ac:dyDescent="0.25"/>
    <row r="207828" s="12" customFormat="1" x14ac:dyDescent="0.25"/>
    <row r="207829" s="12" customFormat="1" x14ac:dyDescent="0.25"/>
    <row r="207830" s="12" customFormat="1" x14ac:dyDescent="0.25"/>
    <row r="207831" s="12" customFormat="1" x14ac:dyDescent="0.25"/>
    <row r="207832" s="12" customFormat="1" x14ac:dyDescent="0.25"/>
    <row r="207833" s="12" customFormat="1" x14ac:dyDescent="0.25"/>
    <row r="207834" s="12" customFormat="1" x14ac:dyDescent="0.25"/>
    <row r="207835" s="12" customFormat="1" x14ac:dyDescent="0.25"/>
    <row r="207836" s="12" customFormat="1" x14ac:dyDescent="0.25"/>
    <row r="207837" s="12" customFormat="1" x14ac:dyDescent="0.25"/>
    <row r="207838" s="12" customFormat="1" x14ac:dyDescent="0.25"/>
    <row r="207839" s="12" customFormat="1" x14ac:dyDescent="0.25"/>
    <row r="207840" s="12" customFormat="1" x14ac:dyDescent="0.25"/>
    <row r="207841" s="12" customFormat="1" x14ac:dyDescent="0.25"/>
    <row r="207842" s="12" customFormat="1" x14ac:dyDescent="0.25"/>
    <row r="207843" s="12" customFormat="1" x14ac:dyDescent="0.25"/>
    <row r="207844" s="12" customFormat="1" x14ac:dyDescent="0.25"/>
    <row r="207845" s="12" customFormat="1" x14ac:dyDescent="0.25"/>
    <row r="207846" s="12" customFormat="1" x14ac:dyDescent="0.25"/>
    <row r="207847" s="12" customFormat="1" x14ac:dyDescent="0.25"/>
    <row r="207848" s="12" customFormat="1" x14ac:dyDescent="0.25"/>
    <row r="207849" s="12" customFormat="1" x14ac:dyDescent="0.25"/>
    <row r="207850" s="12" customFormat="1" x14ac:dyDescent="0.25"/>
    <row r="207851" s="12" customFormat="1" x14ac:dyDescent="0.25"/>
    <row r="207852" s="12" customFormat="1" x14ac:dyDescent="0.25"/>
    <row r="207853" s="12" customFormat="1" x14ac:dyDescent="0.25"/>
    <row r="207854" s="12" customFormat="1" x14ac:dyDescent="0.25"/>
    <row r="207855" s="12" customFormat="1" x14ac:dyDescent="0.25"/>
    <row r="207856" s="12" customFormat="1" x14ac:dyDescent="0.25"/>
    <row r="207857" s="12" customFormat="1" x14ac:dyDescent="0.25"/>
    <row r="207858" s="12" customFormat="1" x14ac:dyDescent="0.25"/>
    <row r="207859" s="12" customFormat="1" x14ac:dyDescent="0.25"/>
    <row r="207860" s="12" customFormat="1" x14ac:dyDescent="0.25"/>
    <row r="207861" s="12" customFormat="1" x14ac:dyDescent="0.25"/>
    <row r="207862" s="12" customFormat="1" x14ac:dyDescent="0.25"/>
    <row r="207863" s="12" customFormat="1" x14ac:dyDescent="0.25"/>
    <row r="207864" s="12" customFormat="1" x14ac:dyDescent="0.25"/>
    <row r="207865" s="12" customFormat="1" x14ac:dyDescent="0.25"/>
    <row r="207866" s="12" customFormat="1" x14ac:dyDescent="0.25"/>
    <row r="207867" s="12" customFormat="1" x14ac:dyDescent="0.25"/>
    <row r="207868" s="12" customFormat="1" x14ac:dyDescent="0.25"/>
    <row r="207869" s="12" customFormat="1" x14ac:dyDescent="0.25"/>
    <row r="207870" s="12" customFormat="1" x14ac:dyDescent="0.25"/>
    <row r="207871" s="12" customFormat="1" x14ac:dyDescent="0.25"/>
    <row r="207872" s="12" customFormat="1" x14ac:dyDescent="0.25"/>
    <row r="207873" s="12" customFormat="1" x14ac:dyDescent="0.25"/>
    <row r="207874" s="12" customFormat="1" x14ac:dyDescent="0.25"/>
    <row r="207875" s="12" customFormat="1" x14ac:dyDescent="0.25"/>
    <row r="207876" s="12" customFormat="1" x14ac:dyDescent="0.25"/>
    <row r="207877" s="12" customFormat="1" x14ac:dyDescent="0.25"/>
    <row r="207878" s="12" customFormat="1" x14ac:dyDescent="0.25"/>
    <row r="207879" s="12" customFormat="1" x14ac:dyDescent="0.25"/>
    <row r="207880" s="12" customFormat="1" x14ac:dyDescent="0.25"/>
    <row r="207881" s="12" customFormat="1" x14ac:dyDescent="0.25"/>
    <row r="207882" s="12" customFormat="1" x14ac:dyDescent="0.25"/>
    <row r="207883" s="12" customFormat="1" x14ac:dyDescent="0.25"/>
    <row r="207884" s="12" customFormat="1" x14ac:dyDescent="0.25"/>
    <row r="207885" s="12" customFormat="1" x14ac:dyDescent="0.25"/>
    <row r="207886" s="12" customFormat="1" x14ac:dyDescent="0.25"/>
    <row r="207887" s="12" customFormat="1" x14ac:dyDescent="0.25"/>
    <row r="207888" s="12" customFormat="1" x14ac:dyDescent="0.25"/>
    <row r="207889" s="12" customFormat="1" x14ac:dyDescent="0.25"/>
    <row r="207890" s="12" customFormat="1" x14ac:dyDescent="0.25"/>
    <row r="207891" s="12" customFormat="1" x14ac:dyDescent="0.25"/>
    <row r="207892" s="12" customFormat="1" x14ac:dyDescent="0.25"/>
    <row r="207893" s="12" customFormat="1" x14ac:dyDescent="0.25"/>
    <row r="207894" s="12" customFormat="1" x14ac:dyDescent="0.25"/>
    <row r="207895" s="12" customFormat="1" x14ac:dyDescent="0.25"/>
    <row r="207896" s="12" customFormat="1" x14ac:dyDescent="0.25"/>
    <row r="207897" s="12" customFormat="1" x14ac:dyDescent="0.25"/>
    <row r="207898" s="12" customFormat="1" x14ac:dyDescent="0.25"/>
    <row r="207899" s="12" customFormat="1" x14ac:dyDescent="0.25"/>
    <row r="207900" s="12" customFormat="1" x14ac:dyDescent="0.25"/>
    <row r="207901" s="12" customFormat="1" x14ac:dyDescent="0.25"/>
    <row r="207902" s="12" customFormat="1" x14ac:dyDescent="0.25"/>
    <row r="207903" s="12" customFormat="1" x14ac:dyDescent="0.25"/>
    <row r="207904" s="12" customFormat="1" x14ac:dyDescent="0.25"/>
    <row r="207905" s="12" customFormat="1" x14ac:dyDescent="0.25"/>
    <row r="207906" s="12" customFormat="1" x14ac:dyDescent="0.25"/>
    <row r="207907" s="12" customFormat="1" x14ac:dyDescent="0.25"/>
    <row r="207908" s="12" customFormat="1" x14ac:dyDescent="0.25"/>
    <row r="207909" s="12" customFormat="1" x14ac:dyDescent="0.25"/>
    <row r="207910" s="12" customFormat="1" x14ac:dyDescent="0.25"/>
    <row r="207911" s="12" customFormat="1" x14ac:dyDescent="0.25"/>
    <row r="207912" s="12" customFormat="1" x14ac:dyDescent="0.25"/>
    <row r="207913" s="12" customFormat="1" x14ac:dyDescent="0.25"/>
    <row r="207914" s="12" customFormat="1" x14ac:dyDescent="0.25"/>
    <row r="207915" s="12" customFormat="1" x14ac:dyDescent="0.25"/>
    <row r="207916" s="12" customFormat="1" x14ac:dyDescent="0.25"/>
    <row r="207917" s="12" customFormat="1" x14ac:dyDescent="0.25"/>
    <row r="207918" s="12" customFormat="1" x14ac:dyDescent="0.25"/>
    <row r="207919" s="12" customFormat="1" x14ac:dyDescent="0.25"/>
    <row r="207920" s="12" customFormat="1" x14ac:dyDescent="0.25"/>
    <row r="207921" s="12" customFormat="1" x14ac:dyDescent="0.25"/>
    <row r="207922" s="12" customFormat="1" x14ac:dyDescent="0.25"/>
    <row r="207923" s="12" customFormat="1" x14ac:dyDescent="0.25"/>
    <row r="207924" s="12" customFormat="1" x14ac:dyDescent="0.25"/>
    <row r="207925" s="12" customFormat="1" x14ac:dyDescent="0.25"/>
    <row r="207926" s="12" customFormat="1" x14ac:dyDescent="0.25"/>
    <row r="207927" s="12" customFormat="1" x14ac:dyDescent="0.25"/>
    <row r="207928" s="12" customFormat="1" x14ac:dyDescent="0.25"/>
    <row r="207929" s="12" customFormat="1" x14ac:dyDescent="0.25"/>
    <row r="207930" s="12" customFormat="1" x14ac:dyDescent="0.25"/>
    <row r="207931" s="12" customFormat="1" x14ac:dyDescent="0.25"/>
    <row r="207932" s="12" customFormat="1" x14ac:dyDescent="0.25"/>
    <row r="207933" s="12" customFormat="1" x14ac:dyDescent="0.25"/>
    <row r="207934" s="12" customFormat="1" x14ac:dyDescent="0.25"/>
    <row r="207935" s="12" customFormat="1" x14ac:dyDescent="0.25"/>
    <row r="207936" s="12" customFormat="1" x14ac:dyDescent="0.25"/>
    <row r="207937" s="12" customFormat="1" x14ac:dyDescent="0.25"/>
    <row r="207938" s="12" customFormat="1" x14ac:dyDescent="0.25"/>
    <row r="207939" s="12" customFormat="1" x14ac:dyDescent="0.25"/>
    <row r="207940" s="12" customFormat="1" x14ac:dyDescent="0.25"/>
    <row r="207941" s="12" customFormat="1" x14ac:dyDescent="0.25"/>
    <row r="207942" s="12" customFormat="1" x14ac:dyDescent="0.25"/>
    <row r="207943" s="12" customFormat="1" x14ac:dyDescent="0.25"/>
    <row r="207944" s="12" customFormat="1" x14ac:dyDescent="0.25"/>
    <row r="207945" s="12" customFormat="1" x14ac:dyDescent="0.25"/>
    <row r="207946" s="12" customFormat="1" x14ac:dyDescent="0.25"/>
    <row r="207947" s="12" customFormat="1" x14ac:dyDescent="0.25"/>
    <row r="207948" s="12" customFormat="1" x14ac:dyDescent="0.25"/>
    <row r="207949" s="12" customFormat="1" x14ac:dyDescent="0.25"/>
    <row r="207950" s="12" customFormat="1" x14ac:dyDescent="0.25"/>
    <row r="207951" s="12" customFormat="1" x14ac:dyDescent="0.25"/>
    <row r="207952" s="12" customFormat="1" x14ac:dyDescent="0.25"/>
    <row r="207953" s="12" customFormat="1" x14ac:dyDescent="0.25"/>
    <row r="207954" s="12" customFormat="1" x14ac:dyDescent="0.25"/>
    <row r="207955" s="12" customFormat="1" x14ac:dyDescent="0.25"/>
    <row r="207956" s="12" customFormat="1" x14ac:dyDescent="0.25"/>
    <row r="207957" s="12" customFormat="1" x14ac:dyDescent="0.25"/>
    <row r="207958" s="12" customFormat="1" x14ac:dyDescent="0.25"/>
    <row r="207959" s="12" customFormat="1" x14ac:dyDescent="0.25"/>
    <row r="207960" s="12" customFormat="1" x14ac:dyDescent="0.25"/>
    <row r="207961" s="12" customFormat="1" x14ac:dyDescent="0.25"/>
    <row r="207962" s="12" customFormat="1" x14ac:dyDescent="0.25"/>
    <row r="207963" s="12" customFormat="1" x14ac:dyDescent="0.25"/>
    <row r="207964" s="12" customFormat="1" x14ac:dyDescent="0.25"/>
    <row r="207965" s="12" customFormat="1" x14ac:dyDescent="0.25"/>
    <row r="207966" s="12" customFormat="1" x14ac:dyDescent="0.25"/>
    <row r="207967" s="12" customFormat="1" x14ac:dyDescent="0.25"/>
    <row r="207968" s="12" customFormat="1" x14ac:dyDescent="0.25"/>
    <row r="207969" s="12" customFormat="1" x14ac:dyDescent="0.25"/>
    <row r="207970" s="12" customFormat="1" x14ac:dyDescent="0.25"/>
    <row r="207971" s="12" customFormat="1" x14ac:dyDescent="0.25"/>
    <row r="207972" s="12" customFormat="1" x14ac:dyDescent="0.25"/>
    <row r="207973" s="12" customFormat="1" x14ac:dyDescent="0.25"/>
    <row r="207974" s="12" customFormat="1" x14ac:dyDescent="0.25"/>
    <row r="207975" s="12" customFormat="1" x14ac:dyDescent="0.25"/>
    <row r="207976" s="12" customFormat="1" x14ac:dyDescent="0.25"/>
    <row r="207977" s="12" customFormat="1" x14ac:dyDescent="0.25"/>
    <row r="207978" s="12" customFormat="1" x14ac:dyDescent="0.25"/>
    <row r="207979" s="12" customFormat="1" x14ac:dyDescent="0.25"/>
    <row r="207980" s="12" customFormat="1" x14ac:dyDescent="0.25"/>
    <row r="207981" s="12" customFormat="1" x14ac:dyDescent="0.25"/>
    <row r="207982" s="12" customFormat="1" x14ac:dyDescent="0.25"/>
    <row r="207983" s="12" customFormat="1" x14ac:dyDescent="0.25"/>
    <row r="207984" s="12" customFormat="1" x14ac:dyDescent="0.25"/>
    <row r="207985" s="12" customFormat="1" x14ac:dyDescent="0.25"/>
    <row r="207986" s="12" customFormat="1" x14ac:dyDescent="0.25"/>
    <row r="207987" s="12" customFormat="1" x14ac:dyDescent="0.25"/>
    <row r="207988" s="12" customFormat="1" x14ac:dyDescent="0.25"/>
    <row r="207989" s="12" customFormat="1" x14ac:dyDescent="0.25"/>
    <row r="207990" s="12" customFormat="1" x14ac:dyDescent="0.25"/>
    <row r="207991" s="12" customFormat="1" x14ac:dyDescent="0.25"/>
    <row r="207992" s="12" customFormat="1" x14ac:dyDescent="0.25"/>
    <row r="207993" s="12" customFormat="1" x14ac:dyDescent="0.25"/>
    <row r="207994" s="12" customFormat="1" x14ac:dyDescent="0.25"/>
    <row r="207995" s="12" customFormat="1" x14ac:dyDescent="0.25"/>
    <row r="207996" s="12" customFormat="1" x14ac:dyDescent="0.25"/>
    <row r="207997" s="12" customFormat="1" x14ac:dyDescent="0.25"/>
    <row r="207998" s="12" customFormat="1" x14ac:dyDescent="0.25"/>
    <row r="207999" s="12" customFormat="1" x14ac:dyDescent="0.25"/>
    <row r="208000" s="12" customFormat="1" x14ac:dyDescent="0.25"/>
    <row r="208001" s="12" customFormat="1" x14ac:dyDescent="0.25"/>
    <row r="208002" s="12" customFormat="1" x14ac:dyDescent="0.25"/>
    <row r="208003" s="12" customFormat="1" x14ac:dyDescent="0.25"/>
    <row r="208004" s="12" customFormat="1" x14ac:dyDescent="0.25"/>
    <row r="208005" s="12" customFormat="1" x14ac:dyDescent="0.25"/>
    <row r="208006" s="12" customFormat="1" x14ac:dyDescent="0.25"/>
    <row r="208007" s="12" customFormat="1" x14ac:dyDescent="0.25"/>
    <row r="208008" s="12" customFormat="1" x14ac:dyDescent="0.25"/>
    <row r="208009" s="12" customFormat="1" x14ac:dyDescent="0.25"/>
    <row r="208010" s="12" customFormat="1" x14ac:dyDescent="0.25"/>
    <row r="208011" s="12" customFormat="1" x14ac:dyDescent="0.25"/>
    <row r="208012" s="12" customFormat="1" x14ac:dyDescent="0.25"/>
    <row r="208013" s="12" customFormat="1" x14ac:dyDescent="0.25"/>
    <row r="208014" s="12" customFormat="1" x14ac:dyDescent="0.25"/>
    <row r="208015" s="12" customFormat="1" x14ac:dyDescent="0.25"/>
    <row r="208016" s="12" customFormat="1" x14ac:dyDescent="0.25"/>
    <row r="208017" s="12" customFormat="1" x14ac:dyDescent="0.25"/>
    <row r="208018" s="12" customFormat="1" x14ac:dyDescent="0.25"/>
    <row r="208019" s="12" customFormat="1" x14ac:dyDescent="0.25"/>
    <row r="208020" s="12" customFormat="1" x14ac:dyDescent="0.25"/>
    <row r="208021" s="12" customFormat="1" x14ac:dyDescent="0.25"/>
    <row r="208022" s="12" customFormat="1" x14ac:dyDescent="0.25"/>
    <row r="208023" s="12" customFormat="1" x14ac:dyDescent="0.25"/>
    <row r="208024" s="12" customFormat="1" x14ac:dyDescent="0.25"/>
    <row r="208025" s="12" customFormat="1" x14ac:dyDescent="0.25"/>
    <row r="208026" s="12" customFormat="1" x14ac:dyDescent="0.25"/>
    <row r="208027" s="12" customFormat="1" x14ac:dyDescent="0.25"/>
    <row r="208028" s="12" customFormat="1" x14ac:dyDescent="0.25"/>
    <row r="208029" s="12" customFormat="1" x14ac:dyDescent="0.25"/>
    <row r="208030" s="12" customFormat="1" x14ac:dyDescent="0.25"/>
    <row r="208031" s="12" customFormat="1" x14ac:dyDescent="0.25"/>
    <row r="208032" s="12" customFormat="1" x14ac:dyDescent="0.25"/>
    <row r="208033" s="12" customFormat="1" x14ac:dyDescent="0.25"/>
    <row r="208034" s="12" customFormat="1" x14ac:dyDescent="0.25"/>
    <row r="208035" s="12" customFormat="1" x14ac:dyDescent="0.25"/>
    <row r="208036" s="12" customFormat="1" x14ac:dyDescent="0.25"/>
    <row r="208037" s="12" customFormat="1" x14ac:dyDescent="0.25"/>
    <row r="208038" s="12" customFormat="1" x14ac:dyDescent="0.25"/>
    <row r="208039" s="12" customFormat="1" x14ac:dyDescent="0.25"/>
    <row r="208040" s="12" customFormat="1" x14ac:dyDescent="0.25"/>
    <row r="208041" s="12" customFormat="1" x14ac:dyDescent="0.25"/>
    <row r="208042" s="12" customFormat="1" x14ac:dyDescent="0.25"/>
    <row r="208043" s="12" customFormat="1" x14ac:dyDescent="0.25"/>
    <row r="208044" s="12" customFormat="1" x14ac:dyDescent="0.25"/>
    <row r="208045" s="12" customFormat="1" x14ac:dyDescent="0.25"/>
    <row r="208046" s="12" customFormat="1" x14ac:dyDescent="0.25"/>
    <row r="208047" s="12" customFormat="1" x14ac:dyDescent="0.25"/>
    <row r="208048" s="12" customFormat="1" x14ac:dyDescent="0.25"/>
    <row r="208049" s="12" customFormat="1" x14ac:dyDescent="0.25"/>
    <row r="208050" s="12" customFormat="1" x14ac:dyDescent="0.25"/>
    <row r="208051" s="12" customFormat="1" x14ac:dyDescent="0.25"/>
    <row r="208052" s="12" customFormat="1" x14ac:dyDescent="0.25"/>
    <row r="208053" s="12" customFormat="1" x14ac:dyDescent="0.25"/>
    <row r="208054" s="12" customFormat="1" x14ac:dyDescent="0.25"/>
    <row r="208055" s="12" customFormat="1" x14ac:dyDescent="0.25"/>
    <row r="208056" s="12" customFormat="1" x14ac:dyDescent="0.25"/>
    <row r="208057" s="12" customFormat="1" x14ac:dyDescent="0.25"/>
    <row r="208058" s="12" customFormat="1" x14ac:dyDescent="0.25"/>
    <row r="208059" s="12" customFormat="1" x14ac:dyDescent="0.25"/>
    <row r="208060" s="12" customFormat="1" x14ac:dyDescent="0.25"/>
    <row r="208061" s="12" customFormat="1" x14ac:dyDescent="0.25"/>
    <row r="208062" s="12" customFormat="1" x14ac:dyDescent="0.25"/>
    <row r="208063" s="12" customFormat="1" x14ac:dyDescent="0.25"/>
    <row r="208064" s="12" customFormat="1" x14ac:dyDescent="0.25"/>
    <row r="208065" s="12" customFormat="1" x14ac:dyDescent="0.25"/>
    <row r="208066" s="12" customFormat="1" x14ac:dyDescent="0.25"/>
    <row r="208067" s="12" customFormat="1" x14ac:dyDescent="0.25"/>
    <row r="208068" s="12" customFormat="1" x14ac:dyDescent="0.25"/>
    <row r="208069" s="12" customFormat="1" x14ac:dyDescent="0.25"/>
    <row r="208070" s="12" customFormat="1" x14ac:dyDescent="0.25"/>
    <row r="208071" s="12" customFormat="1" x14ac:dyDescent="0.25"/>
    <row r="208072" s="12" customFormat="1" x14ac:dyDescent="0.25"/>
    <row r="208073" s="12" customFormat="1" x14ac:dyDescent="0.25"/>
    <row r="208074" s="12" customFormat="1" x14ac:dyDescent="0.25"/>
    <row r="208075" s="12" customFormat="1" x14ac:dyDescent="0.25"/>
    <row r="208076" s="12" customFormat="1" x14ac:dyDescent="0.25"/>
    <row r="208077" s="12" customFormat="1" x14ac:dyDescent="0.25"/>
    <row r="208078" s="12" customFormat="1" x14ac:dyDescent="0.25"/>
    <row r="208079" s="12" customFormat="1" x14ac:dyDescent="0.25"/>
    <row r="208080" s="12" customFormat="1" x14ac:dyDescent="0.25"/>
    <row r="208081" s="12" customFormat="1" x14ac:dyDescent="0.25"/>
    <row r="208082" s="12" customFormat="1" x14ac:dyDescent="0.25"/>
    <row r="208083" s="12" customFormat="1" x14ac:dyDescent="0.25"/>
    <row r="208084" s="12" customFormat="1" x14ac:dyDescent="0.25"/>
    <row r="208085" s="12" customFormat="1" x14ac:dyDescent="0.25"/>
    <row r="208086" s="12" customFormat="1" x14ac:dyDescent="0.25"/>
    <row r="208087" s="12" customFormat="1" x14ac:dyDescent="0.25"/>
    <row r="208088" s="12" customFormat="1" x14ac:dyDescent="0.25"/>
    <row r="208089" s="12" customFormat="1" x14ac:dyDescent="0.25"/>
    <row r="208090" s="12" customFormat="1" x14ac:dyDescent="0.25"/>
    <row r="208091" s="12" customFormat="1" x14ac:dyDescent="0.25"/>
    <row r="208092" s="12" customFormat="1" x14ac:dyDescent="0.25"/>
    <row r="208093" s="12" customFormat="1" x14ac:dyDescent="0.25"/>
    <row r="208094" s="12" customFormat="1" x14ac:dyDescent="0.25"/>
    <row r="208095" s="12" customFormat="1" x14ac:dyDescent="0.25"/>
    <row r="208096" s="12" customFormat="1" x14ac:dyDescent="0.25"/>
    <row r="208097" s="12" customFormat="1" x14ac:dyDescent="0.25"/>
    <row r="208098" s="12" customFormat="1" x14ac:dyDescent="0.25"/>
    <row r="208099" s="12" customFormat="1" x14ac:dyDescent="0.25"/>
    <row r="208100" s="12" customFormat="1" x14ac:dyDescent="0.25"/>
    <row r="208101" s="12" customFormat="1" x14ac:dyDescent="0.25"/>
    <row r="208102" s="12" customFormat="1" x14ac:dyDescent="0.25"/>
    <row r="208103" s="12" customFormat="1" x14ac:dyDescent="0.25"/>
    <row r="208104" s="12" customFormat="1" x14ac:dyDescent="0.25"/>
    <row r="208105" s="12" customFormat="1" x14ac:dyDescent="0.25"/>
    <row r="208106" s="12" customFormat="1" x14ac:dyDescent="0.25"/>
    <row r="208107" s="12" customFormat="1" x14ac:dyDescent="0.25"/>
    <row r="208108" s="12" customFormat="1" x14ac:dyDescent="0.25"/>
    <row r="208109" s="12" customFormat="1" x14ac:dyDescent="0.25"/>
    <row r="208110" s="12" customFormat="1" x14ac:dyDescent="0.25"/>
    <row r="208111" s="12" customFormat="1" x14ac:dyDescent="0.25"/>
    <row r="208112" s="12" customFormat="1" x14ac:dyDescent="0.25"/>
    <row r="208113" s="12" customFormat="1" x14ac:dyDescent="0.25"/>
    <row r="208114" s="12" customFormat="1" x14ac:dyDescent="0.25"/>
    <row r="208115" s="12" customFormat="1" x14ac:dyDescent="0.25"/>
    <row r="208116" s="12" customFormat="1" x14ac:dyDescent="0.25"/>
    <row r="208117" s="12" customFormat="1" x14ac:dyDescent="0.25"/>
    <row r="208118" s="12" customFormat="1" x14ac:dyDescent="0.25"/>
    <row r="208119" s="12" customFormat="1" x14ac:dyDescent="0.25"/>
    <row r="208120" s="12" customFormat="1" x14ac:dyDescent="0.25"/>
    <row r="208121" s="12" customFormat="1" x14ac:dyDescent="0.25"/>
    <row r="208122" s="12" customFormat="1" x14ac:dyDescent="0.25"/>
    <row r="208123" s="12" customFormat="1" x14ac:dyDescent="0.25"/>
    <row r="208124" s="12" customFormat="1" x14ac:dyDescent="0.25"/>
    <row r="208125" s="12" customFormat="1" x14ac:dyDescent="0.25"/>
    <row r="208126" s="12" customFormat="1" x14ac:dyDescent="0.25"/>
    <row r="208127" s="12" customFormat="1" x14ac:dyDescent="0.25"/>
    <row r="208128" s="12" customFormat="1" x14ac:dyDescent="0.25"/>
    <row r="208129" s="12" customFormat="1" x14ac:dyDescent="0.25"/>
    <row r="208130" s="12" customFormat="1" x14ac:dyDescent="0.25"/>
    <row r="208131" s="12" customFormat="1" x14ac:dyDescent="0.25"/>
    <row r="208132" s="12" customFormat="1" x14ac:dyDescent="0.25"/>
    <row r="208133" s="12" customFormat="1" x14ac:dyDescent="0.25"/>
    <row r="208134" s="12" customFormat="1" x14ac:dyDescent="0.25"/>
    <row r="208135" s="12" customFormat="1" x14ac:dyDescent="0.25"/>
    <row r="208136" s="12" customFormat="1" x14ac:dyDescent="0.25"/>
    <row r="208137" s="12" customFormat="1" x14ac:dyDescent="0.25"/>
    <row r="208138" s="12" customFormat="1" x14ac:dyDescent="0.25"/>
    <row r="208139" s="12" customFormat="1" x14ac:dyDescent="0.25"/>
    <row r="208140" s="12" customFormat="1" x14ac:dyDescent="0.25"/>
    <row r="208141" s="12" customFormat="1" x14ac:dyDescent="0.25"/>
    <row r="208142" s="12" customFormat="1" x14ac:dyDescent="0.25"/>
    <row r="208143" s="12" customFormat="1" x14ac:dyDescent="0.25"/>
    <row r="208144" s="12" customFormat="1" x14ac:dyDescent="0.25"/>
    <row r="208145" s="12" customFormat="1" x14ac:dyDescent="0.25"/>
    <row r="208146" s="12" customFormat="1" x14ac:dyDescent="0.25"/>
    <row r="208147" s="12" customFormat="1" x14ac:dyDescent="0.25"/>
    <row r="208148" s="12" customFormat="1" x14ac:dyDescent="0.25"/>
    <row r="208149" s="12" customFormat="1" x14ac:dyDescent="0.25"/>
    <row r="208150" s="12" customFormat="1" x14ac:dyDescent="0.25"/>
    <row r="208151" s="12" customFormat="1" x14ac:dyDescent="0.25"/>
    <row r="208152" s="12" customFormat="1" x14ac:dyDescent="0.25"/>
    <row r="208153" s="12" customFormat="1" x14ac:dyDescent="0.25"/>
    <row r="208154" s="12" customFormat="1" x14ac:dyDescent="0.25"/>
    <row r="208155" s="12" customFormat="1" x14ac:dyDescent="0.25"/>
    <row r="208156" s="12" customFormat="1" x14ac:dyDescent="0.25"/>
    <row r="208157" s="12" customFormat="1" x14ac:dyDescent="0.25"/>
    <row r="208158" s="12" customFormat="1" x14ac:dyDescent="0.25"/>
    <row r="208159" s="12" customFormat="1" x14ac:dyDescent="0.25"/>
    <row r="208160" s="12" customFormat="1" x14ac:dyDescent="0.25"/>
    <row r="208161" s="12" customFormat="1" x14ac:dyDescent="0.25"/>
    <row r="208162" s="12" customFormat="1" x14ac:dyDescent="0.25"/>
    <row r="208163" s="12" customFormat="1" x14ac:dyDescent="0.25"/>
    <row r="208164" s="12" customFormat="1" x14ac:dyDescent="0.25"/>
    <row r="208165" s="12" customFormat="1" x14ac:dyDescent="0.25"/>
    <row r="208166" s="12" customFormat="1" x14ac:dyDescent="0.25"/>
    <row r="208167" s="12" customFormat="1" x14ac:dyDescent="0.25"/>
    <row r="208168" s="12" customFormat="1" x14ac:dyDescent="0.25"/>
    <row r="208169" s="12" customFormat="1" x14ac:dyDescent="0.25"/>
    <row r="208170" s="12" customFormat="1" x14ac:dyDescent="0.25"/>
    <row r="208171" s="12" customFormat="1" x14ac:dyDescent="0.25"/>
    <row r="208172" s="12" customFormat="1" x14ac:dyDescent="0.25"/>
    <row r="208173" s="12" customFormat="1" x14ac:dyDescent="0.25"/>
    <row r="208174" s="12" customFormat="1" x14ac:dyDescent="0.25"/>
    <row r="208175" s="12" customFormat="1" x14ac:dyDescent="0.25"/>
    <row r="208176" s="12" customFormat="1" x14ac:dyDescent="0.25"/>
    <row r="208177" s="12" customFormat="1" x14ac:dyDescent="0.25"/>
    <row r="208178" s="12" customFormat="1" x14ac:dyDescent="0.25"/>
    <row r="208179" s="12" customFormat="1" x14ac:dyDescent="0.25"/>
    <row r="208180" s="12" customFormat="1" x14ac:dyDescent="0.25"/>
    <row r="208181" s="12" customFormat="1" x14ac:dyDescent="0.25"/>
    <row r="208182" s="12" customFormat="1" x14ac:dyDescent="0.25"/>
    <row r="208183" s="12" customFormat="1" x14ac:dyDescent="0.25"/>
    <row r="208184" s="12" customFormat="1" x14ac:dyDescent="0.25"/>
    <row r="208185" s="12" customFormat="1" x14ac:dyDescent="0.25"/>
    <row r="208186" s="12" customFormat="1" x14ac:dyDescent="0.25"/>
    <row r="208187" s="12" customFormat="1" x14ac:dyDescent="0.25"/>
    <row r="208188" s="12" customFormat="1" x14ac:dyDescent="0.25"/>
    <row r="208189" s="12" customFormat="1" x14ac:dyDescent="0.25"/>
    <row r="208190" s="12" customFormat="1" x14ac:dyDescent="0.25"/>
    <row r="208191" s="12" customFormat="1" x14ac:dyDescent="0.25"/>
    <row r="208192" s="12" customFormat="1" x14ac:dyDescent="0.25"/>
    <row r="208193" s="12" customFormat="1" x14ac:dyDescent="0.25"/>
    <row r="208194" s="12" customFormat="1" x14ac:dyDescent="0.25"/>
    <row r="208195" s="12" customFormat="1" x14ac:dyDescent="0.25"/>
    <row r="208196" s="12" customFormat="1" x14ac:dyDescent="0.25"/>
    <row r="208197" s="12" customFormat="1" x14ac:dyDescent="0.25"/>
    <row r="208198" s="12" customFormat="1" x14ac:dyDescent="0.25"/>
    <row r="208199" s="12" customFormat="1" x14ac:dyDescent="0.25"/>
    <row r="208200" s="12" customFormat="1" x14ac:dyDescent="0.25"/>
    <row r="208201" s="12" customFormat="1" x14ac:dyDescent="0.25"/>
    <row r="208202" s="12" customFormat="1" x14ac:dyDescent="0.25"/>
    <row r="208203" s="12" customFormat="1" x14ac:dyDescent="0.25"/>
    <row r="208204" s="12" customFormat="1" x14ac:dyDescent="0.25"/>
    <row r="208205" s="12" customFormat="1" x14ac:dyDescent="0.25"/>
    <row r="208206" s="12" customFormat="1" x14ac:dyDescent="0.25"/>
    <row r="208207" s="12" customFormat="1" x14ac:dyDescent="0.25"/>
    <row r="208208" s="12" customFormat="1" x14ac:dyDescent="0.25"/>
    <row r="208209" s="12" customFormat="1" x14ac:dyDescent="0.25"/>
    <row r="208210" s="12" customFormat="1" x14ac:dyDescent="0.25"/>
    <row r="208211" s="12" customFormat="1" x14ac:dyDescent="0.25"/>
    <row r="208212" s="12" customFormat="1" x14ac:dyDescent="0.25"/>
    <row r="208213" s="12" customFormat="1" x14ac:dyDescent="0.25"/>
    <row r="208214" s="12" customFormat="1" x14ac:dyDescent="0.25"/>
    <row r="208215" s="12" customFormat="1" x14ac:dyDescent="0.25"/>
    <row r="208216" s="12" customFormat="1" x14ac:dyDescent="0.25"/>
    <row r="208217" s="12" customFormat="1" x14ac:dyDescent="0.25"/>
    <row r="208218" s="12" customFormat="1" x14ac:dyDescent="0.25"/>
    <row r="208219" s="12" customFormat="1" x14ac:dyDescent="0.25"/>
    <row r="208220" s="12" customFormat="1" x14ac:dyDescent="0.25"/>
    <row r="208221" s="12" customFormat="1" x14ac:dyDescent="0.25"/>
    <row r="208222" s="12" customFormat="1" x14ac:dyDescent="0.25"/>
    <row r="208223" s="12" customFormat="1" x14ac:dyDescent="0.25"/>
    <row r="208224" s="12" customFormat="1" x14ac:dyDescent="0.25"/>
    <row r="208225" s="12" customFormat="1" x14ac:dyDescent="0.25"/>
    <row r="208226" s="12" customFormat="1" x14ac:dyDescent="0.25"/>
    <row r="208227" s="12" customFormat="1" x14ac:dyDescent="0.25"/>
    <row r="208228" s="12" customFormat="1" x14ac:dyDescent="0.25"/>
    <row r="208229" s="12" customFormat="1" x14ac:dyDescent="0.25"/>
    <row r="208230" s="12" customFormat="1" x14ac:dyDescent="0.25"/>
    <row r="208231" s="12" customFormat="1" x14ac:dyDescent="0.25"/>
    <row r="208232" s="12" customFormat="1" x14ac:dyDescent="0.25"/>
    <row r="208233" s="12" customFormat="1" x14ac:dyDescent="0.25"/>
    <row r="208234" s="12" customFormat="1" x14ac:dyDescent="0.25"/>
    <row r="208235" s="12" customFormat="1" x14ac:dyDescent="0.25"/>
    <row r="208236" s="12" customFormat="1" x14ac:dyDescent="0.25"/>
    <row r="208237" s="12" customFormat="1" x14ac:dyDescent="0.25"/>
    <row r="208238" s="12" customFormat="1" x14ac:dyDescent="0.25"/>
    <row r="208239" s="12" customFormat="1" x14ac:dyDescent="0.25"/>
    <row r="208240" s="12" customFormat="1" x14ac:dyDescent="0.25"/>
    <row r="208241" s="12" customFormat="1" x14ac:dyDescent="0.25"/>
    <row r="208242" s="12" customFormat="1" x14ac:dyDescent="0.25"/>
    <row r="208243" s="12" customFormat="1" x14ac:dyDescent="0.25"/>
    <row r="208244" s="12" customFormat="1" x14ac:dyDescent="0.25"/>
    <row r="208245" s="12" customFormat="1" x14ac:dyDescent="0.25"/>
    <row r="208246" s="12" customFormat="1" x14ac:dyDescent="0.25"/>
    <row r="208247" s="12" customFormat="1" x14ac:dyDescent="0.25"/>
    <row r="208248" s="12" customFormat="1" x14ac:dyDescent="0.25"/>
    <row r="208249" s="12" customFormat="1" x14ac:dyDescent="0.25"/>
    <row r="208250" s="12" customFormat="1" x14ac:dyDescent="0.25"/>
    <row r="208251" s="12" customFormat="1" x14ac:dyDescent="0.25"/>
    <row r="208252" s="12" customFormat="1" x14ac:dyDescent="0.25"/>
    <row r="208253" s="12" customFormat="1" x14ac:dyDescent="0.25"/>
    <row r="208254" s="12" customFormat="1" x14ac:dyDescent="0.25"/>
    <row r="208255" s="12" customFormat="1" x14ac:dyDescent="0.25"/>
    <row r="208256" s="12" customFormat="1" x14ac:dyDescent="0.25"/>
    <row r="208257" s="12" customFormat="1" x14ac:dyDescent="0.25"/>
    <row r="208258" s="12" customFormat="1" x14ac:dyDescent="0.25"/>
    <row r="208259" s="12" customFormat="1" x14ac:dyDescent="0.25"/>
    <row r="208260" s="12" customFormat="1" x14ac:dyDescent="0.25"/>
    <row r="208261" s="12" customFormat="1" x14ac:dyDescent="0.25"/>
    <row r="208262" s="12" customFormat="1" x14ac:dyDescent="0.25"/>
    <row r="208263" s="12" customFormat="1" x14ac:dyDescent="0.25"/>
    <row r="208264" s="12" customFormat="1" x14ac:dyDescent="0.25"/>
    <row r="208265" s="12" customFormat="1" x14ac:dyDescent="0.25"/>
    <row r="208266" s="12" customFormat="1" x14ac:dyDescent="0.25"/>
    <row r="208267" s="12" customFormat="1" x14ac:dyDescent="0.25"/>
    <row r="208268" s="12" customFormat="1" x14ac:dyDescent="0.25"/>
    <row r="208269" s="12" customFormat="1" x14ac:dyDescent="0.25"/>
    <row r="208270" s="12" customFormat="1" x14ac:dyDescent="0.25"/>
    <row r="208271" s="12" customFormat="1" x14ac:dyDescent="0.25"/>
    <row r="208272" s="12" customFormat="1" x14ac:dyDescent="0.25"/>
    <row r="208273" s="12" customFormat="1" x14ac:dyDescent="0.25"/>
    <row r="208274" s="12" customFormat="1" x14ac:dyDescent="0.25"/>
    <row r="208275" s="12" customFormat="1" x14ac:dyDescent="0.25"/>
    <row r="208276" s="12" customFormat="1" x14ac:dyDescent="0.25"/>
    <row r="208277" s="12" customFormat="1" x14ac:dyDescent="0.25"/>
    <row r="208278" s="12" customFormat="1" x14ac:dyDescent="0.25"/>
    <row r="208279" s="12" customFormat="1" x14ac:dyDescent="0.25"/>
    <row r="208280" s="12" customFormat="1" x14ac:dyDescent="0.25"/>
    <row r="208281" s="12" customFormat="1" x14ac:dyDescent="0.25"/>
    <row r="208282" s="12" customFormat="1" x14ac:dyDescent="0.25"/>
    <row r="208283" s="12" customFormat="1" x14ac:dyDescent="0.25"/>
    <row r="208284" s="12" customFormat="1" x14ac:dyDescent="0.25"/>
    <row r="208285" s="12" customFormat="1" x14ac:dyDescent="0.25"/>
    <row r="208286" s="12" customFormat="1" x14ac:dyDescent="0.25"/>
    <row r="208287" s="12" customFormat="1" x14ac:dyDescent="0.25"/>
    <row r="208288" s="12" customFormat="1" x14ac:dyDescent="0.25"/>
    <row r="208289" s="12" customFormat="1" x14ac:dyDescent="0.25"/>
    <row r="208290" s="12" customFormat="1" x14ac:dyDescent="0.25"/>
    <row r="208291" s="12" customFormat="1" x14ac:dyDescent="0.25"/>
    <row r="208292" s="12" customFormat="1" x14ac:dyDescent="0.25"/>
    <row r="208293" s="12" customFormat="1" x14ac:dyDescent="0.25"/>
    <row r="208294" s="12" customFormat="1" x14ac:dyDescent="0.25"/>
    <row r="208295" s="12" customFormat="1" x14ac:dyDescent="0.25"/>
    <row r="208296" s="12" customFormat="1" x14ac:dyDescent="0.25"/>
    <row r="208297" s="12" customFormat="1" x14ac:dyDescent="0.25"/>
    <row r="208298" s="12" customFormat="1" x14ac:dyDescent="0.25"/>
    <row r="208299" s="12" customFormat="1" x14ac:dyDescent="0.25"/>
    <row r="208300" s="12" customFormat="1" x14ac:dyDescent="0.25"/>
    <row r="208301" s="12" customFormat="1" x14ac:dyDescent="0.25"/>
    <row r="208302" s="12" customFormat="1" x14ac:dyDescent="0.25"/>
    <row r="208303" s="12" customFormat="1" x14ac:dyDescent="0.25"/>
    <row r="208304" s="12" customFormat="1" x14ac:dyDescent="0.25"/>
    <row r="208305" s="12" customFormat="1" x14ac:dyDescent="0.25"/>
    <row r="208306" s="12" customFormat="1" x14ac:dyDescent="0.25"/>
    <row r="208307" s="12" customFormat="1" x14ac:dyDescent="0.25"/>
    <row r="208308" s="12" customFormat="1" x14ac:dyDescent="0.25"/>
    <row r="208309" s="12" customFormat="1" x14ac:dyDescent="0.25"/>
    <row r="208310" s="12" customFormat="1" x14ac:dyDescent="0.25"/>
    <row r="208311" s="12" customFormat="1" x14ac:dyDescent="0.25"/>
    <row r="208312" s="12" customFormat="1" x14ac:dyDescent="0.25"/>
    <row r="208313" s="12" customFormat="1" x14ac:dyDescent="0.25"/>
    <row r="208314" s="12" customFormat="1" x14ac:dyDescent="0.25"/>
    <row r="208315" s="12" customFormat="1" x14ac:dyDescent="0.25"/>
    <row r="208316" s="12" customFormat="1" x14ac:dyDescent="0.25"/>
    <row r="208317" s="12" customFormat="1" x14ac:dyDescent="0.25"/>
    <row r="208318" s="12" customFormat="1" x14ac:dyDescent="0.25"/>
    <row r="208319" s="12" customFormat="1" x14ac:dyDescent="0.25"/>
    <row r="208320" s="12" customFormat="1" x14ac:dyDescent="0.25"/>
    <row r="208321" s="12" customFormat="1" x14ac:dyDescent="0.25"/>
    <row r="208322" s="12" customFormat="1" x14ac:dyDescent="0.25"/>
    <row r="208323" s="12" customFormat="1" x14ac:dyDescent="0.25"/>
    <row r="208324" s="12" customFormat="1" x14ac:dyDescent="0.25"/>
    <row r="208325" s="12" customFormat="1" x14ac:dyDescent="0.25"/>
    <row r="208326" s="12" customFormat="1" x14ac:dyDescent="0.25"/>
    <row r="208327" s="12" customFormat="1" x14ac:dyDescent="0.25"/>
    <row r="208328" s="12" customFormat="1" x14ac:dyDescent="0.25"/>
    <row r="208329" s="12" customFormat="1" x14ac:dyDescent="0.25"/>
    <row r="208330" s="12" customFormat="1" x14ac:dyDescent="0.25"/>
    <row r="208331" s="12" customFormat="1" x14ac:dyDescent="0.25"/>
    <row r="208332" s="12" customFormat="1" x14ac:dyDescent="0.25"/>
    <row r="208333" s="12" customFormat="1" x14ac:dyDescent="0.25"/>
    <row r="208334" s="12" customFormat="1" x14ac:dyDescent="0.25"/>
    <row r="208335" s="12" customFormat="1" x14ac:dyDescent="0.25"/>
    <row r="208336" s="12" customFormat="1" x14ac:dyDescent="0.25"/>
    <row r="208337" s="12" customFormat="1" x14ac:dyDescent="0.25"/>
    <row r="208338" s="12" customFormat="1" x14ac:dyDescent="0.25"/>
    <row r="208339" s="12" customFormat="1" x14ac:dyDescent="0.25"/>
    <row r="208340" s="12" customFormat="1" x14ac:dyDescent="0.25"/>
    <row r="208341" s="12" customFormat="1" x14ac:dyDescent="0.25"/>
    <row r="208342" s="12" customFormat="1" x14ac:dyDescent="0.25"/>
    <row r="208343" s="12" customFormat="1" x14ac:dyDescent="0.25"/>
    <row r="208344" s="12" customFormat="1" x14ac:dyDescent="0.25"/>
    <row r="208345" s="12" customFormat="1" x14ac:dyDescent="0.25"/>
    <row r="208346" s="12" customFormat="1" x14ac:dyDescent="0.25"/>
    <row r="208347" s="12" customFormat="1" x14ac:dyDescent="0.25"/>
    <row r="208348" s="12" customFormat="1" x14ac:dyDescent="0.25"/>
    <row r="208349" s="12" customFormat="1" x14ac:dyDescent="0.25"/>
    <row r="208350" s="12" customFormat="1" x14ac:dyDescent="0.25"/>
    <row r="208351" s="12" customFormat="1" x14ac:dyDescent="0.25"/>
    <row r="208352" s="12" customFormat="1" x14ac:dyDescent="0.25"/>
    <row r="208353" s="12" customFormat="1" x14ac:dyDescent="0.25"/>
    <row r="208354" s="12" customFormat="1" x14ac:dyDescent="0.25"/>
    <row r="208355" s="12" customFormat="1" x14ac:dyDescent="0.25"/>
    <row r="208356" s="12" customFormat="1" x14ac:dyDescent="0.25"/>
    <row r="208357" s="12" customFormat="1" x14ac:dyDescent="0.25"/>
    <row r="208358" s="12" customFormat="1" x14ac:dyDescent="0.25"/>
    <row r="208359" s="12" customFormat="1" x14ac:dyDescent="0.25"/>
    <row r="208360" s="12" customFormat="1" x14ac:dyDescent="0.25"/>
    <row r="208361" s="12" customFormat="1" x14ac:dyDescent="0.25"/>
    <row r="208362" s="12" customFormat="1" x14ac:dyDescent="0.25"/>
    <row r="208363" s="12" customFormat="1" x14ac:dyDescent="0.25"/>
    <row r="208364" s="12" customFormat="1" x14ac:dyDescent="0.25"/>
    <row r="208365" s="12" customFormat="1" x14ac:dyDescent="0.25"/>
    <row r="208366" s="12" customFormat="1" x14ac:dyDescent="0.25"/>
    <row r="208367" s="12" customFormat="1" x14ac:dyDescent="0.25"/>
    <row r="208368" s="12" customFormat="1" x14ac:dyDescent="0.25"/>
    <row r="208369" s="12" customFormat="1" x14ac:dyDescent="0.25"/>
    <row r="208370" s="12" customFormat="1" x14ac:dyDescent="0.25"/>
    <row r="208371" s="12" customFormat="1" x14ac:dyDescent="0.25"/>
    <row r="208372" s="12" customFormat="1" x14ac:dyDescent="0.25"/>
    <row r="208373" s="12" customFormat="1" x14ac:dyDescent="0.25"/>
    <row r="208374" s="12" customFormat="1" x14ac:dyDescent="0.25"/>
    <row r="208375" s="12" customFormat="1" x14ac:dyDescent="0.25"/>
    <row r="208376" s="12" customFormat="1" x14ac:dyDescent="0.25"/>
    <row r="208377" s="12" customFormat="1" x14ac:dyDescent="0.25"/>
    <row r="208378" s="12" customFormat="1" x14ac:dyDescent="0.25"/>
    <row r="208379" s="12" customFormat="1" x14ac:dyDescent="0.25"/>
    <row r="208380" s="12" customFormat="1" x14ac:dyDescent="0.25"/>
    <row r="208381" s="12" customFormat="1" x14ac:dyDescent="0.25"/>
    <row r="208382" s="12" customFormat="1" x14ac:dyDescent="0.25"/>
    <row r="208383" s="12" customFormat="1" x14ac:dyDescent="0.25"/>
    <row r="208384" s="12" customFormat="1" x14ac:dyDescent="0.25"/>
    <row r="208385" s="12" customFormat="1" x14ac:dyDescent="0.25"/>
    <row r="208386" s="12" customFormat="1" x14ac:dyDescent="0.25"/>
    <row r="208387" s="12" customFormat="1" x14ac:dyDescent="0.25"/>
    <row r="208388" s="12" customFormat="1" x14ac:dyDescent="0.25"/>
    <row r="208389" s="12" customFormat="1" x14ac:dyDescent="0.25"/>
    <row r="208390" s="12" customFormat="1" x14ac:dyDescent="0.25"/>
    <row r="208391" s="12" customFormat="1" x14ac:dyDescent="0.25"/>
    <row r="208392" s="12" customFormat="1" x14ac:dyDescent="0.25"/>
    <row r="208393" s="12" customFormat="1" x14ac:dyDescent="0.25"/>
    <row r="208394" s="12" customFormat="1" x14ac:dyDescent="0.25"/>
    <row r="208395" s="12" customFormat="1" x14ac:dyDescent="0.25"/>
    <row r="208396" s="12" customFormat="1" x14ac:dyDescent="0.25"/>
    <row r="208397" s="12" customFormat="1" x14ac:dyDescent="0.25"/>
    <row r="208398" s="12" customFormat="1" x14ac:dyDescent="0.25"/>
    <row r="208399" s="12" customFormat="1" x14ac:dyDescent="0.25"/>
    <row r="208400" s="12" customFormat="1" x14ac:dyDescent="0.25"/>
    <row r="208401" s="12" customFormat="1" x14ac:dyDescent="0.25"/>
    <row r="208402" s="12" customFormat="1" x14ac:dyDescent="0.25"/>
    <row r="208403" s="12" customFormat="1" x14ac:dyDescent="0.25"/>
    <row r="208404" s="12" customFormat="1" x14ac:dyDescent="0.25"/>
    <row r="208405" s="12" customFormat="1" x14ac:dyDescent="0.25"/>
    <row r="208406" s="12" customFormat="1" x14ac:dyDescent="0.25"/>
    <row r="208407" s="12" customFormat="1" x14ac:dyDescent="0.25"/>
    <row r="208408" s="12" customFormat="1" x14ac:dyDescent="0.25"/>
    <row r="208409" s="12" customFormat="1" x14ac:dyDescent="0.25"/>
    <row r="208410" s="12" customFormat="1" x14ac:dyDescent="0.25"/>
    <row r="208411" s="12" customFormat="1" x14ac:dyDescent="0.25"/>
    <row r="208412" s="12" customFormat="1" x14ac:dyDescent="0.25"/>
    <row r="208413" s="12" customFormat="1" x14ac:dyDescent="0.25"/>
    <row r="208414" s="12" customFormat="1" x14ac:dyDescent="0.25"/>
    <row r="208415" s="12" customFormat="1" x14ac:dyDescent="0.25"/>
    <row r="208416" s="12" customFormat="1" x14ac:dyDescent="0.25"/>
    <row r="208417" s="12" customFormat="1" x14ac:dyDescent="0.25"/>
    <row r="208418" s="12" customFormat="1" x14ac:dyDescent="0.25"/>
    <row r="208419" s="12" customFormat="1" x14ac:dyDescent="0.25"/>
    <row r="208420" s="12" customFormat="1" x14ac:dyDescent="0.25"/>
    <row r="208421" s="12" customFormat="1" x14ac:dyDescent="0.25"/>
    <row r="208422" s="12" customFormat="1" x14ac:dyDescent="0.25"/>
    <row r="208423" s="12" customFormat="1" x14ac:dyDescent="0.25"/>
    <row r="208424" s="12" customFormat="1" x14ac:dyDescent="0.25"/>
    <row r="208425" s="12" customFormat="1" x14ac:dyDescent="0.25"/>
    <row r="208426" s="12" customFormat="1" x14ac:dyDescent="0.25"/>
    <row r="208427" s="12" customFormat="1" x14ac:dyDescent="0.25"/>
    <row r="208428" s="12" customFormat="1" x14ac:dyDescent="0.25"/>
    <row r="208429" s="12" customFormat="1" x14ac:dyDescent="0.25"/>
    <row r="208430" s="12" customFormat="1" x14ac:dyDescent="0.25"/>
    <row r="208431" s="12" customFormat="1" x14ac:dyDescent="0.25"/>
    <row r="208432" s="12" customFormat="1" x14ac:dyDescent="0.25"/>
    <row r="208433" s="12" customFormat="1" x14ac:dyDescent="0.25"/>
    <row r="208434" s="12" customFormat="1" x14ac:dyDescent="0.25"/>
    <row r="208435" s="12" customFormat="1" x14ac:dyDescent="0.25"/>
    <row r="208436" s="12" customFormat="1" x14ac:dyDescent="0.25"/>
    <row r="208437" s="12" customFormat="1" x14ac:dyDescent="0.25"/>
    <row r="208438" s="12" customFormat="1" x14ac:dyDescent="0.25"/>
    <row r="208439" s="12" customFormat="1" x14ac:dyDescent="0.25"/>
    <row r="208440" s="12" customFormat="1" x14ac:dyDescent="0.25"/>
    <row r="208441" s="12" customFormat="1" x14ac:dyDescent="0.25"/>
    <row r="208442" s="12" customFormat="1" x14ac:dyDescent="0.25"/>
    <row r="208443" s="12" customFormat="1" x14ac:dyDescent="0.25"/>
    <row r="208444" s="12" customFormat="1" x14ac:dyDescent="0.25"/>
    <row r="208445" s="12" customFormat="1" x14ac:dyDescent="0.25"/>
    <row r="208446" s="12" customFormat="1" x14ac:dyDescent="0.25"/>
    <row r="208447" s="12" customFormat="1" x14ac:dyDescent="0.25"/>
    <row r="208448" s="12" customFormat="1" x14ac:dyDescent="0.25"/>
    <row r="208449" s="12" customFormat="1" x14ac:dyDescent="0.25"/>
    <row r="208450" s="12" customFormat="1" x14ac:dyDescent="0.25"/>
    <row r="208451" s="12" customFormat="1" x14ac:dyDescent="0.25"/>
    <row r="208452" s="12" customFormat="1" x14ac:dyDescent="0.25"/>
    <row r="208453" s="12" customFormat="1" x14ac:dyDescent="0.25"/>
    <row r="208454" s="12" customFormat="1" x14ac:dyDescent="0.25"/>
    <row r="208455" s="12" customFormat="1" x14ac:dyDescent="0.25"/>
    <row r="208456" s="12" customFormat="1" x14ac:dyDescent="0.25"/>
    <row r="208457" s="12" customFormat="1" x14ac:dyDescent="0.25"/>
    <row r="208458" s="12" customFormat="1" x14ac:dyDescent="0.25"/>
    <row r="208459" s="12" customFormat="1" x14ac:dyDescent="0.25"/>
    <row r="208460" s="12" customFormat="1" x14ac:dyDescent="0.25"/>
    <row r="208461" s="12" customFormat="1" x14ac:dyDescent="0.25"/>
    <row r="208462" s="12" customFormat="1" x14ac:dyDescent="0.25"/>
    <row r="208463" s="12" customFormat="1" x14ac:dyDescent="0.25"/>
    <row r="208464" s="12" customFormat="1" x14ac:dyDescent="0.25"/>
    <row r="208465" s="12" customFormat="1" x14ac:dyDescent="0.25"/>
    <row r="208466" s="12" customFormat="1" x14ac:dyDescent="0.25"/>
    <row r="208467" s="12" customFormat="1" x14ac:dyDescent="0.25"/>
    <row r="208468" s="12" customFormat="1" x14ac:dyDescent="0.25"/>
    <row r="208469" s="12" customFormat="1" x14ac:dyDescent="0.25"/>
    <row r="208470" s="12" customFormat="1" x14ac:dyDescent="0.25"/>
    <row r="208471" s="12" customFormat="1" x14ac:dyDescent="0.25"/>
    <row r="208472" s="12" customFormat="1" x14ac:dyDescent="0.25"/>
    <row r="208473" s="12" customFormat="1" x14ac:dyDescent="0.25"/>
    <row r="208474" s="12" customFormat="1" x14ac:dyDescent="0.25"/>
    <row r="208475" s="12" customFormat="1" x14ac:dyDescent="0.25"/>
    <row r="208476" s="12" customFormat="1" x14ac:dyDescent="0.25"/>
    <row r="208477" s="12" customFormat="1" x14ac:dyDescent="0.25"/>
    <row r="208478" s="12" customFormat="1" x14ac:dyDescent="0.25"/>
    <row r="208479" s="12" customFormat="1" x14ac:dyDescent="0.25"/>
    <row r="208480" s="12" customFormat="1" x14ac:dyDescent="0.25"/>
    <row r="208481" s="12" customFormat="1" x14ac:dyDescent="0.25"/>
    <row r="208482" s="12" customFormat="1" x14ac:dyDescent="0.25"/>
    <row r="208483" s="12" customFormat="1" x14ac:dyDescent="0.25"/>
    <row r="208484" s="12" customFormat="1" x14ac:dyDescent="0.25"/>
    <row r="208485" s="12" customFormat="1" x14ac:dyDescent="0.25"/>
    <row r="208486" s="12" customFormat="1" x14ac:dyDescent="0.25"/>
    <row r="208487" s="12" customFormat="1" x14ac:dyDescent="0.25"/>
    <row r="208488" s="12" customFormat="1" x14ac:dyDescent="0.25"/>
    <row r="208489" s="12" customFormat="1" x14ac:dyDescent="0.25"/>
    <row r="208490" s="12" customFormat="1" x14ac:dyDescent="0.25"/>
    <row r="208491" s="12" customFormat="1" x14ac:dyDescent="0.25"/>
    <row r="208492" s="12" customFormat="1" x14ac:dyDescent="0.25"/>
    <row r="208493" s="12" customFormat="1" x14ac:dyDescent="0.25"/>
    <row r="208494" s="12" customFormat="1" x14ac:dyDescent="0.25"/>
    <row r="208495" s="12" customFormat="1" x14ac:dyDescent="0.25"/>
    <row r="208496" s="12" customFormat="1" x14ac:dyDescent="0.25"/>
    <row r="208497" s="12" customFormat="1" x14ac:dyDescent="0.25"/>
    <row r="208498" s="12" customFormat="1" x14ac:dyDescent="0.25"/>
    <row r="208499" s="12" customFormat="1" x14ac:dyDescent="0.25"/>
    <row r="208500" s="12" customFormat="1" x14ac:dyDescent="0.25"/>
    <row r="208501" s="12" customFormat="1" x14ac:dyDescent="0.25"/>
    <row r="208502" s="12" customFormat="1" x14ac:dyDescent="0.25"/>
    <row r="208503" s="12" customFormat="1" x14ac:dyDescent="0.25"/>
    <row r="208504" s="12" customFormat="1" x14ac:dyDescent="0.25"/>
    <row r="208505" s="12" customFormat="1" x14ac:dyDescent="0.25"/>
    <row r="208506" s="12" customFormat="1" x14ac:dyDescent="0.25"/>
    <row r="208507" s="12" customFormat="1" x14ac:dyDescent="0.25"/>
    <row r="208508" s="12" customFormat="1" x14ac:dyDescent="0.25"/>
    <row r="208509" s="12" customFormat="1" x14ac:dyDescent="0.25"/>
    <row r="208510" s="12" customFormat="1" x14ac:dyDescent="0.25"/>
    <row r="208511" s="12" customFormat="1" x14ac:dyDescent="0.25"/>
    <row r="208512" s="12" customFormat="1" x14ac:dyDescent="0.25"/>
    <row r="208513" s="12" customFormat="1" x14ac:dyDescent="0.25"/>
    <row r="208514" s="12" customFormat="1" x14ac:dyDescent="0.25"/>
    <row r="208515" s="12" customFormat="1" x14ac:dyDescent="0.25"/>
    <row r="208516" s="12" customFormat="1" x14ac:dyDescent="0.25"/>
    <row r="208517" s="12" customFormat="1" x14ac:dyDescent="0.25"/>
    <row r="208518" s="12" customFormat="1" x14ac:dyDescent="0.25"/>
    <row r="208519" s="12" customFormat="1" x14ac:dyDescent="0.25"/>
    <row r="208520" s="12" customFormat="1" x14ac:dyDescent="0.25"/>
    <row r="208521" s="12" customFormat="1" x14ac:dyDescent="0.25"/>
    <row r="208522" s="12" customFormat="1" x14ac:dyDescent="0.25"/>
    <row r="208523" s="12" customFormat="1" x14ac:dyDescent="0.25"/>
    <row r="208524" s="12" customFormat="1" x14ac:dyDescent="0.25"/>
    <row r="208525" s="12" customFormat="1" x14ac:dyDescent="0.25"/>
    <row r="208526" s="12" customFormat="1" x14ac:dyDescent="0.25"/>
    <row r="208527" s="12" customFormat="1" x14ac:dyDescent="0.25"/>
    <row r="208528" s="12" customFormat="1" x14ac:dyDescent="0.25"/>
    <row r="208529" s="12" customFormat="1" x14ac:dyDescent="0.25"/>
    <row r="208530" s="12" customFormat="1" x14ac:dyDescent="0.25"/>
    <row r="208531" s="12" customFormat="1" x14ac:dyDescent="0.25"/>
    <row r="208532" s="12" customFormat="1" x14ac:dyDescent="0.25"/>
    <row r="208533" s="12" customFormat="1" x14ac:dyDescent="0.25"/>
    <row r="208534" s="12" customFormat="1" x14ac:dyDescent="0.25"/>
    <row r="208535" s="12" customFormat="1" x14ac:dyDescent="0.25"/>
    <row r="208536" s="12" customFormat="1" x14ac:dyDescent="0.25"/>
    <row r="208537" s="12" customFormat="1" x14ac:dyDescent="0.25"/>
    <row r="208538" s="12" customFormat="1" x14ac:dyDescent="0.25"/>
    <row r="208539" s="12" customFormat="1" x14ac:dyDescent="0.25"/>
    <row r="208540" s="12" customFormat="1" x14ac:dyDescent="0.25"/>
    <row r="208541" s="12" customFormat="1" x14ac:dyDescent="0.25"/>
    <row r="208542" s="12" customFormat="1" x14ac:dyDescent="0.25"/>
    <row r="208543" s="12" customFormat="1" x14ac:dyDescent="0.25"/>
    <row r="208544" s="12" customFormat="1" x14ac:dyDescent="0.25"/>
    <row r="208545" s="12" customFormat="1" x14ac:dyDescent="0.25"/>
    <row r="208546" s="12" customFormat="1" x14ac:dyDescent="0.25"/>
    <row r="208547" s="12" customFormat="1" x14ac:dyDescent="0.25"/>
    <row r="208548" s="12" customFormat="1" x14ac:dyDescent="0.25"/>
    <row r="208549" s="12" customFormat="1" x14ac:dyDescent="0.25"/>
    <row r="208550" s="12" customFormat="1" x14ac:dyDescent="0.25"/>
    <row r="208551" s="12" customFormat="1" x14ac:dyDescent="0.25"/>
    <row r="208552" s="12" customFormat="1" x14ac:dyDescent="0.25"/>
    <row r="208553" s="12" customFormat="1" x14ac:dyDescent="0.25"/>
    <row r="208554" s="12" customFormat="1" x14ac:dyDescent="0.25"/>
    <row r="208555" s="12" customFormat="1" x14ac:dyDescent="0.25"/>
    <row r="208556" s="12" customFormat="1" x14ac:dyDescent="0.25"/>
    <row r="208557" s="12" customFormat="1" x14ac:dyDescent="0.25"/>
    <row r="208558" s="12" customFormat="1" x14ac:dyDescent="0.25"/>
    <row r="208559" s="12" customFormat="1" x14ac:dyDescent="0.25"/>
    <row r="208560" s="12" customFormat="1" x14ac:dyDescent="0.25"/>
    <row r="208561" s="12" customFormat="1" x14ac:dyDescent="0.25"/>
    <row r="208562" s="12" customFormat="1" x14ac:dyDescent="0.25"/>
    <row r="208563" s="12" customFormat="1" x14ac:dyDescent="0.25"/>
    <row r="208564" s="12" customFormat="1" x14ac:dyDescent="0.25"/>
    <row r="208565" s="12" customFormat="1" x14ac:dyDescent="0.25"/>
    <row r="208566" s="12" customFormat="1" x14ac:dyDescent="0.25"/>
    <row r="208567" s="12" customFormat="1" x14ac:dyDescent="0.25"/>
    <row r="208568" s="12" customFormat="1" x14ac:dyDescent="0.25"/>
    <row r="208569" s="12" customFormat="1" x14ac:dyDescent="0.25"/>
    <row r="208570" s="12" customFormat="1" x14ac:dyDescent="0.25"/>
    <row r="208571" s="12" customFormat="1" x14ac:dyDescent="0.25"/>
    <row r="208572" s="12" customFormat="1" x14ac:dyDescent="0.25"/>
    <row r="208573" s="12" customFormat="1" x14ac:dyDescent="0.25"/>
    <row r="208574" s="12" customFormat="1" x14ac:dyDescent="0.25"/>
    <row r="208575" s="12" customFormat="1" x14ac:dyDescent="0.25"/>
    <row r="208576" s="12" customFormat="1" x14ac:dyDescent="0.25"/>
    <row r="208577" s="12" customFormat="1" x14ac:dyDescent="0.25"/>
    <row r="208578" s="12" customFormat="1" x14ac:dyDescent="0.25"/>
    <row r="208579" s="12" customFormat="1" x14ac:dyDescent="0.25"/>
    <row r="208580" s="12" customFormat="1" x14ac:dyDescent="0.25"/>
    <row r="208581" s="12" customFormat="1" x14ac:dyDescent="0.25"/>
    <row r="208582" s="12" customFormat="1" x14ac:dyDescent="0.25"/>
    <row r="208583" s="12" customFormat="1" x14ac:dyDescent="0.25"/>
    <row r="208584" s="12" customFormat="1" x14ac:dyDescent="0.25"/>
    <row r="208585" s="12" customFormat="1" x14ac:dyDescent="0.25"/>
    <row r="208586" s="12" customFormat="1" x14ac:dyDescent="0.25"/>
    <row r="208587" s="12" customFormat="1" x14ac:dyDescent="0.25"/>
    <row r="208588" s="12" customFormat="1" x14ac:dyDescent="0.25"/>
    <row r="208589" s="12" customFormat="1" x14ac:dyDescent="0.25"/>
    <row r="208590" s="12" customFormat="1" x14ac:dyDescent="0.25"/>
    <row r="208591" s="12" customFormat="1" x14ac:dyDescent="0.25"/>
    <row r="208592" s="12" customFormat="1" x14ac:dyDescent="0.25"/>
    <row r="208593" s="12" customFormat="1" x14ac:dyDescent="0.25"/>
    <row r="208594" s="12" customFormat="1" x14ac:dyDescent="0.25"/>
    <row r="208595" s="12" customFormat="1" x14ac:dyDescent="0.25"/>
    <row r="208596" s="12" customFormat="1" x14ac:dyDescent="0.25"/>
    <row r="208597" s="12" customFormat="1" x14ac:dyDescent="0.25"/>
    <row r="208598" s="12" customFormat="1" x14ac:dyDescent="0.25"/>
    <row r="208599" s="12" customFormat="1" x14ac:dyDescent="0.25"/>
    <row r="208600" s="12" customFormat="1" x14ac:dyDescent="0.25"/>
    <row r="208601" s="12" customFormat="1" x14ac:dyDescent="0.25"/>
    <row r="208602" s="12" customFormat="1" x14ac:dyDescent="0.25"/>
    <row r="208603" s="12" customFormat="1" x14ac:dyDescent="0.25"/>
    <row r="208604" s="12" customFormat="1" x14ac:dyDescent="0.25"/>
    <row r="208605" s="12" customFormat="1" x14ac:dyDescent="0.25"/>
    <row r="208606" s="12" customFormat="1" x14ac:dyDescent="0.25"/>
    <row r="208607" s="12" customFormat="1" x14ac:dyDescent="0.25"/>
    <row r="208608" s="12" customFormat="1" x14ac:dyDescent="0.25"/>
    <row r="208609" s="12" customFormat="1" x14ac:dyDescent="0.25"/>
    <row r="208610" s="12" customFormat="1" x14ac:dyDescent="0.25"/>
    <row r="208611" s="12" customFormat="1" x14ac:dyDescent="0.25"/>
    <row r="208612" s="12" customFormat="1" x14ac:dyDescent="0.25"/>
    <row r="208613" s="12" customFormat="1" x14ac:dyDescent="0.25"/>
    <row r="208614" s="12" customFormat="1" x14ac:dyDescent="0.25"/>
    <row r="208615" s="12" customFormat="1" x14ac:dyDescent="0.25"/>
    <row r="208616" s="12" customFormat="1" x14ac:dyDescent="0.25"/>
    <row r="208617" s="12" customFormat="1" x14ac:dyDescent="0.25"/>
    <row r="208618" s="12" customFormat="1" x14ac:dyDescent="0.25"/>
    <row r="208619" s="12" customFormat="1" x14ac:dyDescent="0.25"/>
    <row r="208620" s="12" customFormat="1" x14ac:dyDescent="0.25"/>
    <row r="208621" s="12" customFormat="1" x14ac:dyDescent="0.25"/>
    <row r="208622" s="12" customFormat="1" x14ac:dyDescent="0.25"/>
    <row r="208623" s="12" customFormat="1" x14ac:dyDescent="0.25"/>
    <row r="208624" s="12" customFormat="1" x14ac:dyDescent="0.25"/>
    <row r="208625" s="12" customFormat="1" x14ac:dyDescent="0.25"/>
    <row r="208626" s="12" customFormat="1" x14ac:dyDescent="0.25"/>
    <row r="208627" s="12" customFormat="1" x14ac:dyDescent="0.25"/>
    <row r="208628" s="12" customFormat="1" x14ac:dyDescent="0.25"/>
    <row r="208629" s="12" customFormat="1" x14ac:dyDescent="0.25"/>
    <row r="208630" s="12" customFormat="1" x14ac:dyDescent="0.25"/>
    <row r="208631" s="12" customFormat="1" x14ac:dyDescent="0.25"/>
    <row r="208632" s="12" customFormat="1" x14ac:dyDescent="0.25"/>
    <row r="208633" s="12" customFormat="1" x14ac:dyDescent="0.25"/>
    <row r="208634" s="12" customFormat="1" x14ac:dyDescent="0.25"/>
    <row r="208635" s="12" customFormat="1" x14ac:dyDescent="0.25"/>
    <row r="208636" s="12" customFormat="1" x14ac:dyDescent="0.25"/>
    <row r="208637" s="12" customFormat="1" x14ac:dyDescent="0.25"/>
    <row r="208638" s="12" customFormat="1" x14ac:dyDescent="0.25"/>
    <row r="208639" s="12" customFormat="1" x14ac:dyDescent="0.25"/>
    <row r="208640" s="12" customFormat="1" x14ac:dyDescent="0.25"/>
    <row r="208641" s="12" customFormat="1" x14ac:dyDescent="0.25"/>
    <row r="208642" s="12" customFormat="1" x14ac:dyDescent="0.25"/>
    <row r="208643" s="12" customFormat="1" x14ac:dyDescent="0.25"/>
    <row r="208644" s="12" customFormat="1" x14ac:dyDescent="0.25"/>
    <row r="208645" s="12" customFormat="1" x14ac:dyDescent="0.25"/>
    <row r="208646" s="12" customFormat="1" x14ac:dyDescent="0.25"/>
    <row r="208647" s="12" customFormat="1" x14ac:dyDescent="0.25"/>
    <row r="208648" s="12" customFormat="1" x14ac:dyDescent="0.25"/>
    <row r="208649" s="12" customFormat="1" x14ac:dyDescent="0.25"/>
    <row r="208650" s="12" customFormat="1" x14ac:dyDescent="0.25"/>
    <row r="208651" s="12" customFormat="1" x14ac:dyDescent="0.25"/>
    <row r="208652" s="12" customFormat="1" x14ac:dyDescent="0.25"/>
    <row r="208653" s="12" customFormat="1" x14ac:dyDescent="0.25"/>
    <row r="208654" s="12" customFormat="1" x14ac:dyDescent="0.25"/>
    <row r="208655" s="12" customFormat="1" x14ac:dyDescent="0.25"/>
    <row r="208656" s="12" customFormat="1" x14ac:dyDescent="0.25"/>
    <row r="208657" s="12" customFormat="1" x14ac:dyDescent="0.25"/>
    <row r="208658" s="12" customFormat="1" x14ac:dyDescent="0.25"/>
    <row r="208659" s="12" customFormat="1" x14ac:dyDescent="0.25"/>
    <row r="208660" s="12" customFormat="1" x14ac:dyDescent="0.25"/>
    <row r="208661" s="12" customFormat="1" x14ac:dyDescent="0.25"/>
    <row r="208662" s="12" customFormat="1" x14ac:dyDescent="0.25"/>
    <row r="208663" s="12" customFormat="1" x14ac:dyDescent="0.25"/>
    <row r="208664" s="12" customFormat="1" x14ac:dyDescent="0.25"/>
    <row r="208665" s="12" customFormat="1" x14ac:dyDescent="0.25"/>
    <row r="208666" s="12" customFormat="1" x14ac:dyDescent="0.25"/>
    <row r="208667" s="12" customFormat="1" x14ac:dyDescent="0.25"/>
    <row r="208668" s="12" customFormat="1" x14ac:dyDescent="0.25"/>
    <row r="208669" s="12" customFormat="1" x14ac:dyDescent="0.25"/>
    <row r="208670" s="12" customFormat="1" x14ac:dyDescent="0.25"/>
    <row r="208671" s="12" customFormat="1" x14ac:dyDescent="0.25"/>
    <row r="208672" s="12" customFormat="1" x14ac:dyDescent="0.25"/>
    <row r="208673" s="12" customFormat="1" x14ac:dyDescent="0.25"/>
    <row r="208674" s="12" customFormat="1" x14ac:dyDescent="0.25"/>
    <row r="208675" s="12" customFormat="1" x14ac:dyDescent="0.25"/>
    <row r="208676" s="12" customFormat="1" x14ac:dyDescent="0.25"/>
    <row r="208677" s="12" customFormat="1" x14ac:dyDescent="0.25"/>
    <row r="208678" s="12" customFormat="1" x14ac:dyDescent="0.25"/>
    <row r="208679" s="12" customFormat="1" x14ac:dyDescent="0.25"/>
    <row r="208680" s="12" customFormat="1" x14ac:dyDescent="0.25"/>
    <row r="208681" s="12" customFormat="1" x14ac:dyDescent="0.25"/>
    <row r="208682" s="12" customFormat="1" x14ac:dyDescent="0.25"/>
    <row r="208683" s="12" customFormat="1" x14ac:dyDescent="0.25"/>
    <row r="208684" s="12" customFormat="1" x14ac:dyDescent="0.25"/>
    <row r="208685" s="12" customFormat="1" x14ac:dyDescent="0.25"/>
    <row r="208686" s="12" customFormat="1" x14ac:dyDescent="0.25"/>
    <row r="208687" s="12" customFormat="1" x14ac:dyDescent="0.25"/>
    <row r="208688" s="12" customFormat="1" x14ac:dyDescent="0.25"/>
    <row r="208689" s="12" customFormat="1" x14ac:dyDescent="0.25"/>
    <row r="208690" s="12" customFormat="1" x14ac:dyDescent="0.25"/>
    <row r="208691" s="12" customFormat="1" x14ac:dyDescent="0.25"/>
    <row r="208692" s="12" customFormat="1" x14ac:dyDescent="0.25"/>
    <row r="208693" s="12" customFormat="1" x14ac:dyDescent="0.25"/>
    <row r="208694" s="12" customFormat="1" x14ac:dyDescent="0.25"/>
    <row r="208695" s="12" customFormat="1" x14ac:dyDescent="0.25"/>
    <row r="208696" s="12" customFormat="1" x14ac:dyDescent="0.25"/>
    <row r="208697" s="12" customFormat="1" x14ac:dyDescent="0.25"/>
    <row r="208698" s="12" customFormat="1" x14ac:dyDescent="0.25"/>
    <row r="208699" s="12" customFormat="1" x14ac:dyDescent="0.25"/>
    <row r="208700" s="12" customFormat="1" x14ac:dyDescent="0.25"/>
    <row r="208701" s="12" customFormat="1" x14ac:dyDescent="0.25"/>
    <row r="208702" s="12" customFormat="1" x14ac:dyDescent="0.25"/>
    <row r="208703" s="12" customFormat="1" x14ac:dyDescent="0.25"/>
    <row r="208704" s="12" customFormat="1" x14ac:dyDescent="0.25"/>
    <row r="208705" s="12" customFormat="1" x14ac:dyDescent="0.25"/>
    <row r="208706" s="12" customFormat="1" x14ac:dyDescent="0.25"/>
    <row r="208707" s="12" customFormat="1" x14ac:dyDescent="0.25"/>
    <row r="208708" s="12" customFormat="1" x14ac:dyDescent="0.25"/>
    <row r="208709" s="12" customFormat="1" x14ac:dyDescent="0.25"/>
    <row r="208710" s="12" customFormat="1" x14ac:dyDescent="0.25"/>
    <row r="208711" s="12" customFormat="1" x14ac:dyDescent="0.25"/>
    <row r="208712" s="12" customFormat="1" x14ac:dyDescent="0.25"/>
    <row r="208713" s="12" customFormat="1" x14ac:dyDescent="0.25"/>
    <row r="208714" s="12" customFormat="1" x14ac:dyDescent="0.25"/>
    <row r="208715" s="12" customFormat="1" x14ac:dyDescent="0.25"/>
    <row r="208716" s="12" customFormat="1" x14ac:dyDescent="0.25"/>
    <row r="208717" s="12" customFormat="1" x14ac:dyDescent="0.25"/>
    <row r="208718" s="12" customFormat="1" x14ac:dyDescent="0.25"/>
    <row r="208719" s="12" customFormat="1" x14ac:dyDescent="0.25"/>
    <row r="208720" s="12" customFormat="1" x14ac:dyDescent="0.25"/>
    <row r="208721" s="12" customFormat="1" x14ac:dyDescent="0.25"/>
    <row r="208722" s="12" customFormat="1" x14ac:dyDescent="0.25"/>
    <row r="208723" s="12" customFormat="1" x14ac:dyDescent="0.25"/>
    <row r="208724" s="12" customFormat="1" x14ac:dyDescent="0.25"/>
    <row r="208725" s="12" customFormat="1" x14ac:dyDescent="0.25"/>
    <row r="208726" s="12" customFormat="1" x14ac:dyDescent="0.25"/>
    <row r="208727" s="12" customFormat="1" x14ac:dyDescent="0.25"/>
    <row r="208728" s="12" customFormat="1" x14ac:dyDescent="0.25"/>
    <row r="208729" s="12" customFormat="1" x14ac:dyDescent="0.25"/>
    <row r="208730" s="12" customFormat="1" x14ac:dyDescent="0.25"/>
    <row r="208731" s="12" customFormat="1" x14ac:dyDescent="0.25"/>
    <row r="208732" s="12" customFormat="1" x14ac:dyDescent="0.25"/>
    <row r="208733" s="12" customFormat="1" x14ac:dyDescent="0.25"/>
    <row r="208734" s="12" customFormat="1" x14ac:dyDescent="0.25"/>
    <row r="208735" s="12" customFormat="1" x14ac:dyDescent="0.25"/>
    <row r="208736" s="12" customFormat="1" x14ac:dyDescent="0.25"/>
    <row r="208737" s="12" customFormat="1" x14ac:dyDescent="0.25"/>
    <row r="208738" s="12" customFormat="1" x14ac:dyDescent="0.25"/>
    <row r="208739" s="12" customFormat="1" x14ac:dyDescent="0.25"/>
    <row r="208740" s="12" customFormat="1" x14ac:dyDescent="0.25"/>
    <row r="208741" s="12" customFormat="1" x14ac:dyDescent="0.25"/>
    <row r="208742" s="12" customFormat="1" x14ac:dyDescent="0.25"/>
    <row r="208743" s="12" customFormat="1" x14ac:dyDescent="0.25"/>
    <row r="208744" s="12" customFormat="1" x14ac:dyDescent="0.25"/>
    <row r="208745" s="12" customFormat="1" x14ac:dyDescent="0.25"/>
    <row r="208746" s="12" customFormat="1" x14ac:dyDescent="0.25"/>
    <row r="208747" s="12" customFormat="1" x14ac:dyDescent="0.25"/>
    <row r="208748" s="12" customFormat="1" x14ac:dyDescent="0.25"/>
    <row r="208749" s="12" customFormat="1" x14ac:dyDescent="0.25"/>
    <row r="208750" s="12" customFormat="1" x14ac:dyDescent="0.25"/>
    <row r="208751" s="12" customFormat="1" x14ac:dyDescent="0.25"/>
    <row r="208752" s="12" customFormat="1" x14ac:dyDescent="0.25"/>
    <row r="208753" s="12" customFormat="1" x14ac:dyDescent="0.25"/>
    <row r="208754" s="12" customFormat="1" x14ac:dyDescent="0.25"/>
    <row r="208755" s="12" customFormat="1" x14ac:dyDescent="0.25"/>
    <row r="208756" s="12" customFormat="1" x14ac:dyDescent="0.25"/>
    <row r="208757" s="12" customFormat="1" x14ac:dyDescent="0.25"/>
    <row r="208758" s="12" customFormat="1" x14ac:dyDescent="0.25"/>
    <row r="208759" s="12" customFormat="1" x14ac:dyDescent="0.25"/>
    <row r="208760" s="12" customFormat="1" x14ac:dyDescent="0.25"/>
    <row r="208761" s="12" customFormat="1" x14ac:dyDescent="0.25"/>
    <row r="208762" s="12" customFormat="1" x14ac:dyDescent="0.25"/>
    <row r="208763" s="12" customFormat="1" x14ac:dyDescent="0.25"/>
    <row r="208764" s="12" customFormat="1" x14ac:dyDescent="0.25"/>
    <row r="208765" s="12" customFormat="1" x14ac:dyDescent="0.25"/>
    <row r="208766" s="12" customFormat="1" x14ac:dyDescent="0.25"/>
    <row r="208767" s="12" customFormat="1" x14ac:dyDescent="0.25"/>
    <row r="208768" s="12" customFormat="1" x14ac:dyDescent="0.25"/>
    <row r="208769" s="12" customFormat="1" x14ac:dyDescent="0.25"/>
    <row r="208770" s="12" customFormat="1" x14ac:dyDescent="0.25"/>
    <row r="208771" s="12" customFormat="1" x14ac:dyDescent="0.25"/>
    <row r="208772" s="12" customFormat="1" x14ac:dyDescent="0.25"/>
    <row r="208773" s="12" customFormat="1" x14ac:dyDescent="0.25"/>
    <row r="208774" s="12" customFormat="1" x14ac:dyDescent="0.25"/>
    <row r="208775" s="12" customFormat="1" x14ac:dyDescent="0.25"/>
    <row r="208776" s="12" customFormat="1" x14ac:dyDescent="0.25"/>
    <row r="208777" s="12" customFormat="1" x14ac:dyDescent="0.25"/>
    <row r="208778" s="12" customFormat="1" x14ac:dyDescent="0.25"/>
    <row r="208779" s="12" customFormat="1" x14ac:dyDescent="0.25"/>
    <row r="208780" s="12" customFormat="1" x14ac:dyDescent="0.25"/>
    <row r="208781" s="12" customFormat="1" x14ac:dyDescent="0.25"/>
    <row r="208782" s="12" customFormat="1" x14ac:dyDescent="0.25"/>
    <row r="208783" s="12" customFormat="1" x14ac:dyDescent="0.25"/>
    <row r="208784" s="12" customFormat="1" x14ac:dyDescent="0.25"/>
    <row r="208785" s="12" customFormat="1" x14ac:dyDescent="0.25"/>
    <row r="208786" s="12" customFormat="1" x14ac:dyDescent="0.25"/>
    <row r="208787" s="12" customFormat="1" x14ac:dyDescent="0.25"/>
    <row r="208788" s="12" customFormat="1" x14ac:dyDescent="0.25"/>
    <row r="208789" s="12" customFormat="1" x14ac:dyDescent="0.25"/>
    <row r="208790" s="12" customFormat="1" x14ac:dyDescent="0.25"/>
    <row r="208791" s="12" customFormat="1" x14ac:dyDescent="0.25"/>
    <row r="208792" s="12" customFormat="1" x14ac:dyDescent="0.25"/>
    <row r="208793" s="12" customFormat="1" x14ac:dyDescent="0.25"/>
    <row r="208794" s="12" customFormat="1" x14ac:dyDescent="0.25"/>
    <row r="208795" s="12" customFormat="1" x14ac:dyDescent="0.25"/>
    <row r="208796" s="12" customFormat="1" x14ac:dyDescent="0.25"/>
    <row r="208797" s="12" customFormat="1" x14ac:dyDescent="0.25"/>
    <row r="208798" s="12" customFormat="1" x14ac:dyDescent="0.25"/>
    <row r="208799" s="12" customFormat="1" x14ac:dyDescent="0.25"/>
    <row r="208800" s="12" customFormat="1" x14ac:dyDescent="0.25"/>
    <row r="208801" s="12" customFormat="1" x14ac:dyDescent="0.25"/>
    <row r="208802" s="12" customFormat="1" x14ac:dyDescent="0.25"/>
    <row r="208803" s="12" customFormat="1" x14ac:dyDescent="0.25"/>
    <row r="208804" s="12" customFormat="1" x14ac:dyDescent="0.25"/>
    <row r="208805" s="12" customFormat="1" x14ac:dyDescent="0.25"/>
    <row r="208806" s="12" customFormat="1" x14ac:dyDescent="0.25"/>
    <row r="208807" s="12" customFormat="1" x14ac:dyDescent="0.25"/>
    <row r="208808" s="12" customFormat="1" x14ac:dyDescent="0.25"/>
    <row r="208809" s="12" customFormat="1" x14ac:dyDescent="0.25"/>
    <row r="208810" s="12" customFormat="1" x14ac:dyDescent="0.25"/>
    <row r="208811" s="12" customFormat="1" x14ac:dyDescent="0.25"/>
    <row r="208812" s="12" customFormat="1" x14ac:dyDescent="0.25"/>
    <row r="208813" s="12" customFormat="1" x14ac:dyDescent="0.25"/>
    <row r="208814" s="12" customFormat="1" x14ac:dyDescent="0.25"/>
    <row r="208815" s="12" customFormat="1" x14ac:dyDescent="0.25"/>
    <row r="208816" s="12" customFormat="1" x14ac:dyDescent="0.25"/>
    <row r="208817" s="12" customFormat="1" x14ac:dyDescent="0.25"/>
    <row r="208818" s="12" customFormat="1" x14ac:dyDescent="0.25"/>
    <row r="208819" s="12" customFormat="1" x14ac:dyDescent="0.25"/>
    <row r="208820" s="12" customFormat="1" x14ac:dyDescent="0.25"/>
    <row r="208821" s="12" customFormat="1" x14ac:dyDescent="0.25"/>
    <row r="208822" s="12" customFormat="1" x14ac:dyDescent="0.25"/>
    <row r="208823" s="12" customFormat="1" x14ac:dyDescent="0.25"/>
    <row r="208824" s="12" customFormat="1" x14ac:dyDescent="0.25"/>
    <row r="208825" s="12" customFormat="1" x14ac:dyDescent="0.25"/>
    <row r="208826" s="12" customFormat="1" x14ac:dyDescent="0.25"/>
    <row r="208827" s="12" customFormat="1" x14ac:dyDescent="0.25"/>
    <row r="208828" s="12" customFormat="1" x14ac:dyDescent="0.25"/>
    <row r="208829" s="12" customFormat="1" x14ac:dyDescent="0.25"/>
    <row r="208830" s="12" customFormat="1" x14ac:dyDescent="0.25"/>
    <row r="208831" s="12" customFormat="1" x14ac:dyDescent="0.25"/>
    <row r="208832" s="12" customFormat="1" x14ac:dyDescent="0.25"/>
    <row r="208833" s="12" customFormat="1" x14ac:dyDescent="0.25"/>
    <row r="208834" s="12" customFormat="1" x14ac:dyDescent="0.25"/>
    <row r="208835" s="12" customFormat="1" x14ac:dyDescent="0.25"/>
    <row r="208836" s="12" customFormat="1" x14ac:dyDescent="0.25"/>
    <row r="208837" s="12" customFormat="1" x14ac:dyDescent="0.25"/>
    <row r="208838" s="12" customFormat="1" x14ac:dyDescent="0.25"/>
    <row r="208839" s="12" customFormat="1" x14ac:dyDescent="0.25"/>
    <row r="208840" s="12" customFormat="1" x14ac:dyDescent="0.25"/>
    <row r="208841" s="12" customFormat="1" x14ac:dyDescent="0.25"/>
    <row r="208842" s="12" customFormat="1" x14ac:dyDescent="0.25"/>
    <row r="208843" s="12" customFormat="1" x14ac:dyDescent="0.25"/>
    <row r="208844" s="12" customFormat="1" x14ac:dyDescent="0.25"/>
    <row r="208845" s="12" customFormat="1" x14ac:dyDescent="0.25"/>
    <row r="208846" s="12" customFormat="1" x14ac:dyDescent="0.25"/>
    <row r="208847" s="12" customFormat="1" x14ac:dyDescent="0.25"/>
    <row r="208848" s="12" customFormat="1" x14ac:dyDescent="0.25"/>
    <row r="208849" s="12" customFormat="1" x14ac:dyDescent="0.25"/>
    <row r="208850" s="12" customFormat="1" x14ac:dyDescent="0.25"/>
    <row r="208851" s="12" customFormat="1" x14ac:dyDescent="0.25"/>
    <row r="208852" s="12" customFormat="1" x14ac:dyDescent="0.25"/>
    <row r="208853" s="12" customFormat="1" x14ac:dyDescent="0.25"/>
    <row r="208854" s="12" customFormat="1" x14ac:dyDescent="0.25"/>
    <row r="208855" s="12" customFormat="1" x14ac:dyDescent="0.25"/>
    <row r="208856" s="12" customFormat="1" x14ac:dyDescent="0.25"/>
    <row r="208857" s="12" customFormat="1" x14ac:dyDescent="0.25"/>
    <row r="208858" s="12" customFormat="1" x14ac:dyDescent="0.25"/>
    <row r="208859" s="12" customFormat="1" x14ac:dyDescent="0.25"/>
    <row r="208860" s="12" customFormat="1" x14ac:dyDescent="0.25"/>
    <row r="208861" s="12" customFormat="1" x14ac:dyDescent="0.25"/>
    <row r="208862" s="12" customFormat="1" x14ac:dyDescent="0.25"/>
    <row r="208863" s="12" customFormat="1" x14ac:dyDescent="0.25"/>
    <row r="208864" s="12" customFormat="1" x14ac:dyDescent="0.25"/>
    <row r="208865" s="12" customFormat="1" x14ac:dyDescent="0.25"/>
    <row r="208866" s="12" customFormat="1" x14ac:dyDescent="0.25"/>
    <row r="208867" s="12" customFormat="1" x14ac:dyDescent="0.25"/>
    <row r="208868" s="12" customFormat="1" x14ac:dyDescent="0.25"/>
    <row r="208869" s="12" customFormat="1" x14ac:dyDescent="0.25"/>
    <row r="208870" s="12" customFormat="1" x14ac:dyDescent="0.25"/>
    <row r="208871" s="12" customFormat="1" x14ac:dyDescent="0.25"/>
    <row r="208872" s="12" customFormat="1" x14ac:dyDescent="0.25"/>
    <row r="208873" s="12" customFormat="1" x14ac:dyDescent="0.25"/>
    <row r="208874" s="12" customFormat="1" x14ac:dyDescent="0.25"/>
    <row r="208875" s="12" customFormat="1" x14ac:dyDescent="0.25"/>
    <row r="208876" s="12" customFormat="1" x14ac:dyDescent="0.25"/>
    <row r="208877" s="12" customFormat="1" x14ac:dyDescent="0.25"/>
    <row r="208878" s="12" customFormat="1" x14ac:dyDescent="0.25"/>
    <row r="208879" s="12" customFormat="1" x14ac:dyDescent="0.25"/>
    <row r="208880" s="12" customFormat="1" x14ac:dyDescent="0.25"/>
    <row r="208881" s="12" customFormat="1" x14ac:dyDescent="0.25"/>
    <row r="208882" s="12" customFormat="1" x14ac:dyDescent="0.25"/>
    <row r="208883" s="12" customFormat="1" x14ac:dyDescent="0.25"/>
    <row r="208884" s="12" customFormat="1" x14ac:dyDescent="0.25"/>
    <row r="208885" s="12" customFormat="1" x14ac:dyDescent="0.25"/>
    <row r="208886" s="12" customFormat="1" x14ac:dyDescent="0.25"/>
    <row r="208887" s="12" customFormat="1" x14ac:dyDescent="0.25"/>
    <row r="208888" s="12" customFormat="1" x14ac:dyDescent="0.25"/>
    <row r="208889" s="12" customFormat="1" x14ac:dyDescent="0.25"/>
    <row r="208890" s="12" customFormat="1" x14ac:dyDescent="0.25"/>
    <row r="208891" s="12" customFormat="1" x14ac:dyDescent="0.25"/>
    <row r="208892" s="12" customFormat="1" x14ac:dyDescent="0.25"/>
    <row r="208893" s="12" customFormat="1" x14ac:dyDescent="0.25"/>
    <row r="208894" s="12" customFormat="1" x14ac:dyDescent="0.25"/>
    <row r="208895" s="12" customFormat="1" x14ac:dyDescent="0.25"/>
    <row r="208896" s="12" customFormat="1" x14ac:dyDescent="0.25"/>
    <row r="208897" s="12" customFormat="1" x14ac:dyDescent="0.25"/>
    <row r="208898" s="12" customFormat="1" x14ac:dyDescent="0.25"/>
    <row r="208899" s="12" customFormat="1" x14ac:dyDescent="0.25"/>
    <row r="208900" s="12" customFormat="1" x14ac:dyDescent="0.25"/>
    <row r="208901" s="12" customFormat="1" x14ac:dyDescent="0.25"/>
    <row r="208902" s="12" customFormat="1" x14ac:dyDescent="0.25"/>
    <row r="208903" s="12" customFormat="1" x14ac:dyDescent="0.25"/>
    <row r="208904" s="12" customFormat="1" x14ac:dyDescent="0.25"/>
    <row r="208905" s="12" customFormat="1" x14ac:dyDescent="0.25"/>
    <row r="208906" s="12" customFormat="1" x14ac:dyDescent="0.25"/>
    <row r="208907" s="12" customFormat="1" x14ac:dyDescent="0.25"/>
    <row r="208908" s="12" customFormat="1" x14ac:dyDescent="0.25"/>
    <row r="208909" s="12" customFormat="1" x14ac:dyDescent="0.25"/>
    <row r="208910" s="12" customFormat="1" x14ac:dyDescent="0.25"/>
    <row r="208911" s="12" customFormat="1" x14ac:dyDescent="0.25"/>
    <row r="208912" s="12" customFormat="1" x14ac:dyDescent="0.25"/>
    <row r="208913" s="12" customFormat="1" x14ac:dyDescent="0.25"/>
    <row r="208914" s="12" customFormat="1" x14ac:dyDescent="0.25"/>
    <row r="208915" s="12" customFormat="1" x14ac:dyDescent="0.25"/>
    <row r="208916" s="12" customFormat="1" x14ac:dyDescent="0.25"/>
    <row r="208917" s="12" customFormat="1" x14ac:dyDescent="0.25"/>
    <row r="208918" s="12" customFormat="1" x14ac:dyDescent="0.25"/>
    <row r="208919" s="12" customFormat="1" x14ac:dyDescent="0.25"/>
    <row r="208920" s="12" customFormat="1" x14ac:dyDescent="0.25"/>
    <row r="208921" s="12" customFormat="1" x14ac:dyDescent="0.25"/>
    <row r="208922" s="12" customFormat="1" x14ac:dyDescent="0.25"/>
    <row r="208923" s="12" customFormat="1" x14ac:dyDescent="0.25"/>
    <row r="208924" s="12" customFormat="1" x14ac:dyDescent="0.25"/>
    <row r="208925" s="12" customFormat="1" x14ac:dyDescent="0.25"/>
    <row r="208926" s="12" customFormat="1" x14ac:dyDescent="0.25"/>
    <row r="208927" s="12" customFormat="1" x14ac:dyDescent="0.25"/>
    <row r="208928" s="12" customFormat="1" x14ac:dyDescent="0.25"/>
    <row r="208929" s="12" customFormat="1" x14ac:dyDescent="0.25"/>
    <row r="208930" s="12" customFormat="1" x14ac:dyDescent="0.25"/>
    <row r="208931" s="12" customFormat="1" x14ac:dyDescent="0.25"/>
    <row r="208932" s="12" customFormat="1" x14ac:dyDescent="0.25"/>
    <row r="208933" s="12" customFormat="1" x14ac:dyDescent="0.25"/>
    <row r="208934" s="12" customFormat="1" x14ac:dyDescent="0.25"/>
    <row r="208935" s="12" customFormat="1" x14ac:dyDescent="0.25"/>
    <row r="208936" s="12" customFormat="1" x14ac:dyDescent="0.25"/>
    <row r="208937" s="12" customFormat="1" x14ac:dyDescent="0.25"/>
    <row r="208938" s="12" customFormat="1" x14ac:dyDescent="0.25"/>
    <row r="208939" s="12" customFormat="1" x14ac:dyDescent="0.25"/>
    <row r="208940" s="12" customFormat="1" x14ac:dyDescent="0.25"/>
    <row r="208941" s="12" customFormat="1" x14ac:dyDescent="0.25"/>
    <row r="208942" s="12" customFormat="1" x14ac:dyDescent="0.25"/>
    <row r="208943" s="12" customFormat="1" x14ac:dyDescent="0.25"/>
    <row r="208944" s="12" customFormat="1" x14ac:dyDescent="0.25"/>
    <row r="208945" s="12" customFormat="1" x14ac:dyDescent="0.25"/>
    <row r="208946" s="12" customFormat="1" x14ac:dyDescent="0.25"/>
    <row r="208947" s="12" customFormat="1" x14ac:dyDescent="0.25"/>
    <row r="208948" s="12" customFormat="1" x14ac:dyDescent="0.25"/>
    <row r="208949" s="12" customFormat="1" x14ac:dyDescent="0.25"/>
    <row r="208950" s="12" customFormat="1" x14ac:dyDescent="0.25"/>
    <row r="208951" s="12" customFormat="1" x14ac:dyDescent="0.25"/>
    <row r="208952" s="12" customFormat="1" x14ac:dyDescent="0.25"/>
    <row r="208953" s="12" customFormat="1" x14ac:dyDescent="0.25"/>
    <row r="208954" s="12" customFormat="1" x14ac:dyDescent="0.25"/>
    <row r="208955" s="12" customFormat="1" x14ac:dyDescent="0.25"/>
    <row r="208956" s="12" customFormat="1" x14ac:dyDescent="0.25"/>
    <row r="208957" s="12" customFormat="1" x14ac:dyDescent="0.25"/>
    <row r="208958" s="12" customFormat="1" x14ac:dyDescent="0.25"/>
    <row r="208959" s="12" customFormat="1" x14ac:dyDescent="0.25"/>
    <row r="208960" s="12" customFormat="1" x14ac:dyDescent="0.25"/>
    <row r="208961" s="12" customFormat="1" x14ac:dyDescent="0.25"/>
    <row r="208962" s="12" customFormat="1" x14ac:dyDescent="0.25"/>
    <row r="208963" s="12" customFormat="1" x14ac:dyDescent="0.25"/>
    <row r="208964" s="12" customFormat="1" x14ac:dyDescent="0.25"/>
    <row r="208965" s="12" customFormat="1" x14ac:dyDescent="0.25"/>
    <row r="208966" s="12" customFormat="1" x14ac:dyDescent="0.25"/>
    <row r="208967" s="12" customFormat="1" x14ac:dyDescent="0.25"/>
    <row r="208968" s="12" customFormat="1" x14ac:dyDescent="0.25"/>
    <row r="208969" s="12" customFormat="1" x14ac:dyDescent="0.25"/>
    <row r="208970" s="12" customFormat="1" x14ac:dyDescent="0.25"/>
    <row r="208971" s="12" customFormat="1" x14ac:dyDescent="0.25"/>
    <row r="208972" s="12" customFormat="1" x14ac:dyDescent="0.25"/>
    <row r="208973" s="12" customFormat="1" x14ac:dyDescent="0.25"/>
    <row r="208974" s="12" customFormat="1" x14ac:dyDescent="0.25"/>
    <row r="208975" s="12" customFormat="1" x14ac:dyDescent="0.25"/>
    <row r="208976" s="12" customFormat="1" x14ac:dyDescent="0.25"/>
    <row r="208977" s="12" customFormat="1" x14ac:dyDescent="0.25"/>
    <row r="208978" s="12" customFormat="1" x14ac:dyDescent="0.25"/>
    <row r="208979" s="12" customFormat="1" x14ac:dyDescent="0.25"/>
    <row r="208980" s="12" customFormat="1" x14ac:dyDescent="0.25"/>
    <row r="208981" s="12" customFormat="1" x14ac:dyDescent="0.25"/>
    <row r="208982" s="12" customFormat="1" x14ac:dyDescent="0.25"/>
    <row r="208983" s="12" customFormat="1" x14ac:dyDescent="0.25"/>
    <row r="208984" s="12" customFormat="1" x14ac:dyDescent="0.25"/>
    <row r="208985" s="12" customFormat="1" x14ac:dyDescent="0.25"/>
    <row r="208986" s="12" customFormat="1" x14ac:dyDescent="0.25"/>
    <row r="208987" s="12" customFormat="1" x14ac:dyDescent="0.25"/>
    <row r="208988" s="12" customFormat="1" x14ac:dyDescent="0.25"/>
    <row r="208989" s="12" customFormat="1" x14ac:dyDescent="0.25"/>
    <row r="208990" s="12" customFormat="1" x14ac:dyDescent="0.25"/>
    <row r="208991" s="12" customFormat="1" x14ac:dyDescent="0.25"/>
    <row r="208992" s="12" customFormat="1" x14ac:dyDescent="0.25"/>
    <row r="208993" s="12" customFormat="1" x14ac:dyDescent="0.25"/>
    <row r="208994" s="12" customFormat="1" x14ac:dyDescent="0.25"/>
    <row r="208995" s="12" customFormat="1" x14ac:dyDescent="0.25"/>
    <row r="208996" s="12" customFormat="1" x14ac:dyDescent="0.25"/>
    <row r="208997" s="12" customFormat="1" x14ac:dyDescent="0.25"/>
    <row r="208998" s="12" customFormat="1" x14ac:dyDescent="0.25"/>
    <row r="208999" s="12" customFormat="1" x14ac:dyDescent="0.25"/>
    <row r="209000" s="12" customFormat="1" x14ac:dyDescent="0.25"/>
    <row r="209001" s="12" customFormat="1" x14ac:dyDescent="0.25"/>
    <row r="209002" s="12" customFormat="1" x14ac:dyDescent="0.25"/>
    <row r="209003" s="12" customFormat="1" x14ac:dyDescent="0.25"/>
    <row r="209004" s="12" customFormat="1" x14ac:dyDescent="0.25"/>
    <row r="209005" s="12" customFormat="1" x14ac:dyDescent="0.25"/>
    <row r="209006" s="12" customFormat="1" x14ac:dyDescent="0.25"/>
    <row r="209007" s="12" customFormat="1" x14ac:dyDescent="0.25"/>
    <row r="209008" s="12" customFormat="1" x14ac:dyDescent="0.25"/>
    <row r="209009" s="12" customFormat="1" x14ac:dyDescent="0.25"/>
    <row r="209010" s="12" customFormat="1" x14ac:dyDescent="0.25"/>
    <row r="209011" s="12" customFormat="1" x14ac:dyDescent="0.25"/>
    <row r="209012" s="12" customFormat="1" x14ac:dyDescent="0.25"/>
    <row r="209013" s="12" customFormat="1" x14ac:dyDescent="0.25"/>
    <row r="209014" s="12" customFormat="1" x14ac:dyDescent="0.25"/>
    <row r="209015" s="12" customFormat="1" x14ac:dyDescent="0.25"/>
    <row r="209016" s="12" customFormat="1" x14ac:dyDescent="0.25"/>
    <row r="209017" s="12" customFormat="1" x14ac:dyDescent="0.25"/>
    <row r="209018" s="12" customFormat="1" x14ac:dyDescent="0.25"/>
    <row r="209019" s="12" customFormat="1" x14ac:dyDescent="0.25"/>
    <row r="209020" s="12" customFormat="1" x14ac:dyDescent="0.25"/>
    <row r="209021" s="12" customFormat="1" x14ac:dyDescent="0.25"/>
    <row r="209022" s="12" customFormat="1" x14ac:dyDescent="0.25"/>
    <row r="209023" s="12" customFormat="1" x14ac:dyDescent="0.25"/>
    <row r="209024" s="12" customFormat="1" x14ac:dyDescent="0.25"/>
    <row r="209025" s="12" customFormat="1" x14ac:dyDescent="0.25"/>
    <row r="209026" s="12" customFormat="1" x14ac:dyDescent="0.25"/>
    <row r="209027" s="12" customFormat="1" x14ac:dyDescent="0.25"/>
    <row r="209028" s="12" customFormat="1" x14ac:dyDescent="0.25"/>
    <row r="209029" s="12" customFormat="1" x14ac:dyDescent="0.25"/>
    <row r="209030" s="12" customFormat="1" x14ac:dyDescent="0.25"/>
    <row r="209031" s="12" customFormat="1" x14ac:dyDescent="0.25"/>
    <row r="209032" s="12" customFormat="1" x14ac:dyDescent="0.25"/>
    <row r="209033" s="12" customFormat="1" x14ac:dyDescent="0.25"/>
    <row r="209034" s="12" customFormat="1" x14ac:dyDescent="0.25"/>
    <row r="209035" s="12" customFormat="1" x14ac:dyDescent="0.25"/>
    <row r="209036" s="12" customFormat="1" x14ac:dyDescent="0.25"/>
    <row r="209037" s="12" customFormat="1" x14ac:dyDescent="0.25"/>
    <row r="209038" s="12" customFormat="1" x14ac:dyDescent="0.25"/>
    <row r="209039" s="12" customFormat="1" x14ac:dyDescent="0.25"/>
    <row r="209040" s="12" customFormat="1" x14ac:dyDescent="0.25"/>
    <row r="209041" s="12" customFormat="1" x14ac:dyDescent="0.25"/>
    <row r="209042" s="12" customFormat="1" x14ac:dyDescent="0.25"/>
    <row r="209043" s="12" customFormat="1" x14ac:dyDescent="0.25"/>
    <row r="209044" s="12" customFormat="1" x14ac:dyDescent="0.25"/>
    <row r="209045" s="12" customFormat="1" x14ac:dyDescent="0.25"/>
    <row r="209046" s="12" customFormat="1" x14ac:dyDescent="0.25"/>
    <row r="209047" s="12" customFormat="1" x14ac:dyDescent="0.25"/>
    <row r="209048" s="12" customFormat="1" x14ac:dyDescent="0.25"/>
    <row r="209049" s="12" customFormat="1" x14ac:dyDescent="0.25"/>
    <row r="209050" s="12" customFormat="1" x14ac:dyDescent="0.25"/>
    <row r="209051" s="12" customFormat="1" x14ac:dyDescent="0.25"/>
    <row r="209052" s="12" customFormat="1" x14ac:dyDescent="0.25"/>
    <row r="209053" s="12" customFormat="1" x14ac:dyDescent="0.25"/>
    <row r="209054" s="12" customFormat="1" x14ac:dyDescent="0.25"/>
    <row r="209055" s="12" customFormat="1" x14ac:dyDescent="0.25"/>
    <row r="209056" s="12" customFormat="1" x14ac:dyDescent="0.25"/>
    <row r="209057" s="12" customFormat="1" x14ac:dyDescent="0.25"/>
    <row r="209058" s="12" customFormat="1" x14ac:dyDescent="0.25"/>
    <row r="209059" s="12" customFormat="1" x14ac:dyDescent="0.25"/>
    <row r="209060" s="12" customFormat="1" x14ac:dyDescent="0.25"/>
    <row r="209061" s="12" customFormat="1" x14ac:dyDescent="0.25"/>
    <row r="209062" s="12" customFormat="1" x14ac:dyDescent="0.25"/>
    <row r="209063" s="12" customFormat="1" x14ac:dyDescent="0.25"/>
    <row r="209064" s="12" customFormat="1" x14ac:dyDescent="0.25"/>
    <row r="209065" s="12" customFormat="1" x14ac:dyDescent="0.25"/>
    <row r="209066" s="12" customFormat="1" x14ac:dyDescent="0.25"/>
    <row r="209067" s="12" customFormat="1" x14ac:dyDescent="0.25"/>
    <row r="209068" s="12" customFormat="1" x14ac:dyDescent="0.25"/>
    <row r="209069" s="12" customFormat="1" x14ac:dyDescent="0.25"/>
    <row r="209070" s="12" customFormat="1" x14ac:dyDescent="0.25"/>
    <row r="209071" s="12" customFormat="1" x14ac:dyDescent="0.25"/>
    <row r="209072" s="12" customFormat="1" x14ac:dyDescent="0.25"/>
    <row r="209073" s="12" customFormat="1" x14ac:dyDescent="0.25"/>
    <row r="209074" s="12" customFormat="1" x14ac:dyDescent="0.25"/>
    <row r="209075" s="12" customFormat="1" x14ac:dyDescent="0.25"/>
    <row r="209076" s="12" customFormat="1" x14ac:dyDescent="0.25"/>
    <row r="209077" s="12" customFormat="1" x14ac:dyDescent="0.25"/>
    <row r="209078" s="12" customFormat="1" x14ac:dyDescent="0.25"/>
    <row r="209079" s="12" customFormat="1" x14ac:dyDescent="0.25"/>
    <row r="209080" s="12" customFormat="1" x14ac:dyDescent="0.25"/>
    <row r="209081" s="12" customFormat="1" x14ac:dyDescent="0.25"/>
    <row r="209082" s="12" customFormat="1" x14ac:dyDescent="0.25"/>
    <row r="209083" s="12" customFormat="1" x14ac:dyDescent="0.25"/>
    <row r="209084" s="12" customFormat="1" x14ac:dyDescent="0.25"/>
    <row r="209085" s="12" customFormat="1" x14ac:dyDescent="0.25"/>
    <row r="209086" s="12" customFormat="1" x14ac:dyDescent="0.25"/>
    <row r="209087" s="12" customFormat="1" x14ac:dyDescent="0.25"/>
    <row r="209088" s="12" customFormat="1" x14ac:dyDescent="0.25"/>
    <row r="209089" s="12" customFormat="1" x14ac:dyDescent="0.25"/>
    <row r="209090" s="12" customFormat="1" x14ac:dyDescent="0.25"/>
    <row r="209091" s="12" customFormat="1" x14ac:dyDescent="0.25"/>
    <row r="209092" s="12" customFormat="1" x14ac:dyDescent="0.25"/>
    <row r="209093" s="12" customFormat="1" x14ac:dyDescent="0.25"/>
    <row r="209094" s="12" customFormat="1" x14ac:dyDescent="0.25"/>
    <row r="209095" s="12" customFormat="1" x14ac:dyDescent="0.25"/>
    <row r="209096" s="12" customFormat="1" x14ac:dyDescent="0.25"/>
    <row r="209097" s="12" customFormat="1" x14ac:dyDescent="0.25"/>
    <row r="209098" s="12" customFormat="1" x14ac:dyDescent="0.25"/>
    <row r="209099" s="12" customFormat="1" x14ac:dyDescent="0.25"/>
    <row r="209100" s="12" customFormat="1" x14ac:dyDescent="0.25"/>
    <row r="209101" s="12" customFormat="1" x14ac:dyDescent="0.25"/>
    <row r="209102" s="12" customFormat="1" x14ac:dyDescent="0.25"/>
    <row r="209103" s="12" customFormat="1" x14ac:dyDescent="0.25"/>
    <row r="209104" s="12" customFormat="1" x14ac:dyDescent="0.25"/>
    <row r="209105" s="12" customFormat="1" x14ac:dyDescent="0.25"/>
    <row r="209106" s="12" customFormat="1" x14ac:dyDescent="0.25"/>
    <row r="209107" s="12" customFormat="1" x14ac:dyDescent="0.25"/>
    <row r="209108" s="12" customFormat="1" x14ac:dyDescent="0.25"/>
    <row r="209109" s="12" customFormat="1" x14ac:dyDescent="0.25"/>
    <row r="209110" s="12" customFormat="1" x14ac:dyDescent="0.25"/>
    <row r="209111" s="12" customFormat="1" x14ac:dyDescent="0.25"/>
    <row r="209112" s="12" customFormat="1" x14ac:dyDescent="0.25"/>
    <row r="209113" s="12" customFormat="1" x14ac:dyDescent="0.25"/>
    <row r="209114" s="12" customFormat="1" x14ac:dyDescent="0.25"/>
    <row r="209115" s="12" customFormat="1" x14ac:dyDescent="0.25"/>
    <row r="209116" s="12" customFormat="1" x14ac:dyDescent="0.25"/>
    <row r="209117" s="12" customFormat="1" x14ac:dyDescent="0.25"/>
    <row r="209118" s="12" customFormat="1" x14ac:dyDescent="0.25"/>
    <row r="209119" s="12" customFormat="1" x14ac:dyDescent="0.25"/>
    <row r="209120" s="12" customFormat="1" x14ac:dyDescent="0.25"/>
    <row r="209121" s="12" customFormat="1" x14ac:dyDescent="0.25"/>
    <row r="209122" s="12" customFormat="1" x14ac:dyDescent="0.25"/>
    <row r="209123" s="12" customFormat="1" x14ac:dyDescent="0.25"/>
    <row r="209124" s="12" customFormat="1" x14ac:dyDescent="0.25"/>
    <row r="209125" s="12" customFormat="1" x14ac:dyDescent="0.25"/>
    <row r="209126" s="12" customFormat="1" x14ac:dyDescent="0.25"/>
    <row r="209127" s="12" customFormat="1" x14ac:dyDescent="0.25"/>
    <row r="209128" s="12" customFormat="1" x14ac:dyDescent="0.25"/>
    <row r="209129" s="12" customFormat="1" x14ac:dyDescent="0.25"/>
    <row r="209130" s="12" customFormat="1" x14ac:dyDescent="0.25"/>
    <row r="209131" s="12" customFormat="1" x14ac:dyDescent="0.25"/>
    <row r="209132" s="12" customFormat="1" x14ac:dyDescent="0.25"/>
    <row r="209133" s="12" customFormat="1" x14ac:dyDescent="0.25"/>
    <row r="209134" s="12" customFormat="1" x14ac:dyDescent="0.25"/>
    <row r="209135" s="12" customFormat="1" x14ac:dyDescent="0.25"/>
    <row r="209136" s="12" customFormat="1" x14ac:dyDescent="0.25"/>
    <row r="209137" s="12" customFormat="1" x14ac:dyDescent="0.25"/>
    <row r="209138" s="12" customFormat="1" x14ac:dyDescent="0.25"/>
    <row r="209139" s="12" customFormat="1" x14ac:dyDescent="0.25"/>
    <row r="209140" s="12" customFormat="1" x14ac:dyDescent="0.25"/>
    <row r="209141" s="12" customFormat="1" x14ac:dyDescent="0.25"/>
    <row r="209142" s="12" customFormat="1" x14ac:dyDescent="0.25"/>
    <row r="209143" s="12" customFormat="1" x14ac:dyDescent="0.25"/>
    <row r="209144" s="12" customFormat="1" x14ac:dyDescent="0.25"/>
    <row r="209145" s="12" customFormat="1" x14ac:dyDescent="0.25"/>
    <row r="209146" s="12" customFormat="1" x14ac:dyDescent="0.25"/>
    <row r="209147" s="12" customFormat="1" x14ac:dyDescent="0.25"/>
    <row r="209148" s="12" customFormat="1" x14ac:dyDescent="0.25"/>
    <row r="209149" s="12" customFormat="1" x14ac:dyDescent="0.25"/>
    <row r="209150" s="12" customFormat="1" x14ac:dyDescent="0.25"/>
    <row r="209151" s="12" customFormat="1" x14ac:dyDescent="0.25"/>
    <row r="209152" s="12" customFormat="1" x14ac:dyDescent="0.25"/>
    <row r="209153" s="12" customFormat="1" x14ac:dyDescent="0.25"/>
    <row r="209154" s="12" customFormat="1" x14ac:dyDescent="0.25"/>
    <row r="209155" s="12" customFormat="1" x14ac:dyDescent="0.25"/>
    <row r="209156" s="12" customFormat="1" x14ac:dyDescent="0.25"/>
    <row r="209157" s="12" customFormat="1" x14ac:dyDescent="0.25"/>
    <row r="209158" s="12" customFormat="1" x14ac:dyDescent="0.25"/>
    <row r="209159" s="12" customFormat="1" x14ac:dyDescent="0.25"/>
    <row r="209160" s="12" customFormat="1" x14ac:dyDescent="0.25"/>
    <row r="209161" s="12" customFormat="1" x14ac:dyDescent="0.25"/>
    <row r="209162" s="12" customFormat="1" x14ac:dyDescent="0.25"/>
    <row r="209163" s="12" customFormat="1" x14ac:dyDescent="0.25"/>
    <row r="209164" s="12" customFormat="1" x14ac:dyDescent="0.25"/>
    <row r="209165" s="12" customFormat="1" x14ac:dyDescent="0.25"/>
    <row r="209166" s="12" customFormat="1" x14ac:dyDescent="0.25"/>
    <row r="209167" s="12" customFormat="1" x14ac:dyDescent="0.25"/>
    <row r="209168" s="12" customFormat="1" x14ac:dyDescent="0.25"/>
    <row r="209169" s="12" customFormat="1" x14ac:dyDescent="0.25"/>
    <row r="209170" s="12" customFormat="1" x14ac:dyDescent="0.25"/>
    <row r="209171" s="12" customFormat="1" x14ac:dyDescent="0.25"/>
    <row r="209172" s="12" customFormat="1" x14ac:dyDescent="0.25"/>
    <row r="209173" s="12" customFormat="1" x14ac:dyDescent="0.25"/>
    <row r="209174" s="12" customFormat="1" x14ac:dyDescent="0.25"/>
    <row r="209175" s="12" customFormat="1" x14ac:dyDescent="0.25"/>
    <row r="209176" s="12" customFormat="1" x14ac:dyDescent="0.25"/>
    <row r="209177" s="12" customFormat="1" x14ac:dyDescent="0.25"/>
    <row r="209178" s="12" customFormat="1" x14ac:dyDescent="0.25"/>
    <row r="209179" s="12" customFormat="1" x14ac:dyDescent="0.25"/>
    <row r="209180" s="12" customFormat="1" x14ac:dyDescent="0.25"/>
    <row r="209181" s="12" customFormat="1" x14ac:dyDescent="0.25"/>
    <row r="209182" s="12" customFormat="1" x14ac:dyDescent="0.25"/>
    <row r="209183" s="12" customFormat="1" x14ac:dyDescent="0.25"/>
    <row r="209184" s="12" customFormat="1" x14ac:dyDescent="0.25"/>
    <row r="209185" s="12" customFormat="1" x14ac:dyDescent="0.25"/>
    <row r="209186" s="12" customFormat="1" x14ac:dyDescent="0.25"/>
    <row r="209187" s="12" customFormat="1" x14ac:dyDescent="0.25"/>
    <row r="209188" s="12" customFormat="1" x14ac:dyDescent="0.25"/>
    <row r="209189" s="12" customFormat="1" x14ac:dyDescent="0.25"/>
    <row r="209190" s="12" customFormat="1" x14ac:dyDescent="0.25"/>
    <row r="209191" s="12" customFormat="1" x14ac:dyDescent="0.25"/>
    <row r="209192" s="12" customFormat="1" x14ac:dyDescent="0.25"/>
    <row r="209193" s="12" customFormat="1" x14ac:dyDescent="0.25"/>
    <row r="209194" s="12" customFormat="1" x14ac:dyDescent="0.25"/>
    <row r="209195" s="12" customFormat="1" x14ac:dyDescent="0.25"/>
    <row r="209196" s="12" customFormat="1" x14ac:dyDescent="0.25"/>
    <row r="209197" s="12" customFormat="1" x14ac:dyDescent="0.25"/>
    <row r="209198" s="12" customFormat="1" x14ac:dyDescent="0.25"/>
    <row r="209199" s="12" customFormat="1" x14ac:dyDescent="0.25"/>
    <row r="209200" s="12" customFormat="1" x14ac:dyDescent="0.25"/>
    <row r="209201" s="12" customFormat="1" x14ac:dyDescent="0.25"/>
    <row r="209202" s="12" customFormat="1" x14ac:dyDescent="0.25"/>
    <row r="209203" s="12" customFormat="1" x14ac:dyDescent="0.25"/>
    <row r="209204" s="12" customFormat="1" x14ac:dyDescent="0.25"/>
    <row r="209205" s="12" customFormat="1" x14ac:dyDescent="0.25"/>
    <row r="209206" s="12" customFormat="1" x14ac:dyDescent="0.25"/>
    <row r="209207" s="12" customFormat="1" x14ac:dyDescent="0.25"/>
    <row r="209208" s="12" customFormat="1" x14ac:dyDescent="0.25"/>
    <row r="209209" s="12" customFormat="1" x14ac:dyDescent="0.25"/>
    <row r="209210" s="12" customFormat="1" x14ac:dyDescent="0.25"/>
    <row r="209211" s="12" customFormat="1" x14ac:dyDescent="0.25"/>
    <row r="209212" s="12" customFormat="1" x14ac:dyDescent="0.25"/>
    <row r="209213" s="12" customFormat="1" x14ac:dyDescent="0.25"/>
    <row r="209214" s="12" customFormat="1" x14ac:dyDescent="0.25"/>
    <row r="209215" s="12" customFormat="1" x14ac:dyDescent="0.25"/>
    <row r="209216" s="12" customFormat="1" x14ac:dyDescent="0.25"/>
    <row r="209217" s="12" customFormat="1" x14ac:dyDescent="0.25"/>
    <row r="209218" s="12" customFormat="1" x14ac:dyDescent="0.25"/>
    <row r="209219" s="12" customFormat="1" x14ac:dyDescent="0.25"/>
    <row r="209220" s="12" customFormat="1" x14ac:dyDescent="0.25"/>
    <row r="209221" s="12" customFormat="1" x14ac:dyDescent="0.25"/>
    <row r="209222" s="12" customFormat="1" x14ac:dyDescent="0.25"/>
    <row r="209223" s="12" customFormat="1" x14ac:dyDescent="0.25"/>
    <row r="209224" s="12" customFormat="1" x14ac:dyDescent="0.25"/>
    <row r="209225" s="12" customFormat="1" x14ac:dyDescent="0.25"/>
    <row r="209226" s="12" customFormat="1" x14ac:dyDescent="0.25"/>
    <row r="209227" s="12" customFormat="1" x14ac:dyDescent="0.25"/>
    <row r="209228" s="12" customFormat="1" x14ac:dyDescent="0.25"/>
    <row r="209229" s="12" customFormat="1" x14ac:dyDescent="0.25"/>
    <row r="209230" s="12" customFormat="1" x14ac:dyDescent="0.25"/>
    <row r="209231" s="12" customFormat="1" x14ac:dyDescent="0.25"/>
    <row r="209232" s="12" customFormat="1" x14ac:dyDescent="0.25"/>
    <row r="209233" s="12" customFormat="1" x14ac:dyDescent="0.25"/>
    <row r="209234" s="12" customFormat="1" x14ac:dyDescent="0.25"/>
    <row r="209235" s="12" customFormat="1" x14ac:dyDescent="0.25"/>
    <row r="209236" s="12" customFormat="1" x14ac:dyDescent="0.25"/>
    <row r="209237" s="12" customFormat="1" x14ac:dyDescent="0.25"/>
    <row r="209238" s="12" customFormat="1" x14ac:dyDescent="0.25"/>
    <row r="209239" s="12" customFormat="1" x14ac:dyDescent="0.25"/>
    <row r="209240" s="12" customFormat="1" x14ac:dyDescent="0.25"/>
    <row r="209241" s="12" customFormat="1" x14ac:dyDescent="0.25"/>
    <row r="209242" s="12" customFormat="1" x14ac:dyDescent="0.25"/>
    <row r="209243" s="12" customFormat="1" x14ac:dyDescent="0.25"/>
    <row r="209244" s="12" customFormat="1" x14ac:dyDescent="0.25"/>
    <row r="209245" s="12" customFormat="1" x14ac:dyDescent="0.25"/>
    <row r="209246" s="12" customFormat="1" x14ac:dyDescent="0.25"/>
    <row r="209247" s="12" customFormat="1" x14ac:dyDescent="0.25"/>
    <row r="209248" s="12" customFormat="1" x14ac:dyDescent="0.25"/>
    <row r="209249" s="12" customFormat="1" x14ac:dyDescent="0.25"/>
    <row r="209250" s="12" customFormat="1" x14ac:dyDescent="0.25"/>
    <row r="209251" s="12" customFormat="1" x14ac:dyDescent="0.25"/>
    <row r="209252" s="12" customFormat="1" x14ac:dyDescent="0.25"/>
    <row r="209253" s="12" customFormat="1" x14ac:dyDescent="0.25"/>
    <row r="209254" s="12" customFormat="1" x14ac:dyDescent="0.25"/>
    <row r="209255" s="12" customFormat="1" x14ac:dyDescent="0.25"/>
    <row r="209256" s="12" customFormat="1" x14ac:dyDescent="0.25"/>
    <row r="209257" s="12" customFormat="1" x14ac:dyDescent="0.25"/>
    <row r="209258" s="12" customFormat="1" x14ac:dyDescent="0.25"/>
    <row r="209259" s="12" customFormat="1" x14ac:dyDescent="0.25"/>
    <row r="209260" s="12" customFormat="1" x14ac:dyDescent="0.25"/>
    <row r="209261" s="12" customFormat="1" x14ac:dyDescent="0.25"/>
    <row r="209262" s="12" customFormat="1" x14ac:dyDescent="0.25"/>
    <row r="209263" s="12" customFormat="1" x14ac:dyDescent="0.25"/>
    <row r="209264" s="12" customFormat="1" x14ac:dyDescent="0.25"/>
    <row r="209265" s="12" customFormat="1" x14ac:dyDescent="0.25"/>
    <row r="209266" s="12" customFormat="1" x14ac:dyDescent="0.25"/>
    <row r="209267" s="12" customFormat="1" x14ac:dyDescent="0.25"/>
    <row r="209268" s="12" customFormat="1" x14ac:dyDescent="0.25"/>
    <row r="209269" s="12" customFormat="1" x14ac:dyDescent="0.25"/>
    <row r="209270" s="12" customFormat="1" x14ac:dyDescent="0.25"/>
    <row r="209271" s="12" customFormat="1" x14ac:dyDescent="0.25"/>
    <row r="209272" s="12" customFormat="1" x14ac:dyDescent="0.25"/>
    <row r="209273" s="12" customFormat="1" x14ac:dyDescent="0.25"/>
    <row r="209274" s="12" customFormat="1" x14ac:dyDescent="0.25"/>
    <row r="209275" s="12" customFormat="1" x14ac:dyDescent="0.25"/>
    <row r="209276" s="12" customFormat="1" x14ac:dyDescent="0.25"/>
    <row r="209277" s="12" customFormat="1" x14ac:dyDescent="0.25"/>
    <row r="209278" s="12" customFormat="1" x14ac:dyDescent="0.25"/>
    <row r="209279" s="12" customFormat="1" x14ac:dyDescent="0.25"/>
    <row r="209280" s="12" customFormat="1" x14ac:dyDescent="0.25"/>
    <row r="209281" s="12" customFormat="1" x14ac:dyDescent="0.25"/>
    <row r="209282" s="12" customFormat="1" x14ac:dyDescent="0.25"/>
    <row r="209283" s="12" customFormat="1" x14ac:dyDescent="0.25"/>
    <row r="209284" s="12" customFormat="1" x14ac:dyDescent="0.25"/>
    <row r="209285" s="12" customFormat="1" x14ac:dyDescent="0.25"/>
    <row r="209286" s="12" customFormat="1" x14ac:dyDescent="0.25"/>
    <row r="209287" s="12" customFormat="1" x14ac:dyDescent="0.25"/>
    <row r="209288" s="12" customFormat="1" x14ac:dyDescent="0.25"/>
    <row r="209289" s="12" customFormat="1" x14ac:dyDescent="0.25"/>
    <row r="209290" s="12" customFormat="1" x14ac:dyDescent="0.25"/>
    <row r="209291" s="12" customFormat="1" x14ac:dyDescent="0.25"/>
    <row r="209292" s="12" customFormat="1" x14ac:dyDescent="0.25"/>
    <row r="209293" s="12" customFormat="1" x14ac:dyDescent="0.25"/>
    <row r="209294" s="12" customFormat="1" x14ac:dyDescent="0.25"/>
    <row r="209295" s="12" customFormat="1" x14ac:dyDescent="0.25"/>
    <row r="209296" s="12" customFormat="1" x14ac:dyDescent="0.25"/>
    <row r="209297" s="12" customFormat="1" x14ac:dyDescent="0.25"/>
    <row r="209298" s="12" customFormat="1" x14ac:dyDescent="0.25"/>
    <row r="209299" s="12" customFormat="1" x14ac:dyDescent="0.25"/>
    <row r="209300" s="12" customFormat="1" x14ac:dyDescent="0.25"/>
    <row r="209301" s="12" customFormat="1" x14ac:dyDescent="0.25"/>
    <row r="209302" s="12" customFormat="1" x14ac:dyDescent="0.25"/>
    <row r="209303" s="12" customFormat="1" x14ac:dyDescent="0.25"/>
    <row r="209304" s="12" customFormat="1" x14ac:dyDescent="0.25"/>
    <row r="209305" s="12" customFormat="1" x14ac:dyDescent="0.25"/>
    <row r="209306" s="12" customFormat="1" x14ac:dyDescent="0.25"/>
    <row r="209307" s="12" customFormat="1" x14ac:dyDescent="0.25"/>
    <row r="209308" s="12" customFormat="1" x14ac:dyDescent="0.25"/>
    <row r="209309" s="12" customFormat="1" x14ac:dyDescent="0.25"/>
    <row r="209310" s="12" customFormat="1" x14ac:dyDescent="0.25"/>
    <row r="209311" s="12" customFormat="1" x14ac:dyDescent="0.25"/>
    <row r="209312" s="12" customFormat="1" x14ac:dyDescent="0.25"/>
    <row r="209313" s="12" customFormat="1" x14ac:dyDescent="0.25"/>
    <row r="209314" s="12" customFormat="1" x14ac:dyDescent="0.25"/>
    <row r="209315" s="12" customFormat="1" x14ac:dyDescent="0.25"/>
    <row r="209316" s="12" customFormat="1" x14ac:dyDescent="0.25"/>
    <row r="209317" s="12" customFormat="1" x14ac:dyDescent="0.25"/>
    <row r="209318" s="12" customFormat="1" x14ac:dyDescent="0.25"/>
    <row r="209319" s="12" customFormat="1" x14ac:dyDescent="0.25"/>
    <row r="209320" s="12" customFormat="1" x14ac:dyDescent="0.25"/>
    <row r="209321" s="12" customFormat="1" x14ac:dyDescent="0.25"/>
    <row r="209322" s="12" customFormat="1" x14ac:dyDescent="0.25"/>
    <row r="209323" s="12" customFormat="1" x14ac:dyDescent="0.25"/>
    <row r="209324" s="12" customFormat="1" x14ac:dyDescent="0.25"/>
    <row r="209325" s="12" customFormat="1" x14ac:dyDescent="0.25"/>
    <row r="209326" s="12" customFormat="1" x14ac:dyDescent="0.25"/>
    <row r="209327" s="12" customFormat="1" x14ac:dyDescent="0.25"/>
    <row r="209328" s="12" customFormat="1" x14ac:dyDescent="0.25"/>
    <row r="209329" s="12" customFormat="1" x14ac:dyDescent="0.25"/>
    <row r="209330" s="12" customFormat="1" x14ac:dyDescent="0.25"/>
    <row r="209331" s="12" customFormat="1" x14ac:dyDescent="0.25"/>
    <row r="209332" s="12" customFormat="1" x14ac:dyDescent="0.25"/>
    <row r="209333" s="12" customFormat="1" x14ac:dyDescent="0.25"/>
    <row r="209334" s="12" customFormat="1" x14ac:dyDescent="0.25"/>
    <row r="209335" s="12" customFormat="1" x14ac:dyDescent="0.25"/>
    <row r="209336" s="12" customFormat="1" x14ac:dyDescent="0.25"/>
    <row r="209337" s="12" customFormat="1" x14ac:dyDescent="0.25"/>
    <row r="209338" s="12" customFormat="1" x14ac:dyDescent="0.25"/>
    <row r="209339" s="12" customFormat="1" x14ac:dyDescent="0.25"/>
    <row r="209340" s="12" customFormat="1" x14ac:dyDescent="0.25"/>
    <row r="209341" s="12" customFormat="1" x14ac:dyDescent="0.25"/>
    <row r="209342" s="12" customFormat="1" x14ac:dyDescent="0.25"/>
    <row r="209343" s="12" customFormat="1" x14ac:dyDescent="0.25"/>
    <row r="209344" s="12" customFormat="1" x14ac:dyDescent="0.25"/>
    <row r="209345" s="12" customFormat="1" x14ac:dyDescent="0.25"/>
    <row r="209346" s="12" customFormat="1" x14ac:dyDescent="0.25"/>
    <row r="209347" s="12" customFormat="1" x14ac:dyDescent="0.25"/>
    <row r="209348" s="12" customFormat="1" x14ac:dyDescent="0.25"/>
    <row r="209349" s="12" customFormat="1" x14ac:dyDescent="0.25"/>
    <row r="209350" s="12" customFormat="1" x14ac:dyDescent="0.25"/>
    <row r="209351" s="12" customFormat="1" x14ac:dyDescent="0.25"/>
    <row r="209352" s="12" customFormat="1" x14ac:dyDescent="0.25"/>
    <row r="209353" s="12" customFormat="1" x14ac:dyDescent="0.25"/>
    <row r="209354" s="12" customFormat="1" x14ac:dyDescent="0.25"/>
    <row r="209355" s="12" customFormat="1" x14ac:dyDescent="0.25"/>
    <row r="209356" s="12" customFormat="1" x14ac:dyDescent="0.25"/>
    <row r="209357" s="12" customFormat="1" x14ac:dyDescent="0.25"/>
    <row r="209358" s="12" customFormat="1" x14ac:dyDescent="0.25"/>
    <row r="209359" s="12" customFormat="1" x14ac:dyDescent="0.25"/>
    <row r="209360" s="12" customFormat="1" x14ac:dyDescent="0.25"/>
    <row r="209361" s="12" customFormat="1" x14ac:dyDescent="0.25"/>
    <row r="209362" s="12" customFormat="1" x14ac:dyDescent="0.25"/>
    <row r="209363" s="12" customFormat="1" x14ac:dyDescent="0.25"/>
    <row r="209364" s="12" customFormat="1" x14ac:dyDescent="0.25"/>
    <row r="209365" s="12" customFormat="1" x14ac:dyDescent="0.25"/>
    <row r="209366" s="12" customFormat="1" x14ac:dyDescent="0.25"/>
    <row r="209367" s="12" customFormat="1" x14ac:dyDescent="0.25"/>
    <row r="209368" s="12" customFormat="1" x14ac:dyDescent="0.25"/>
    <row r="209369" s="12" customFormat="1" x14ac:dyDescent="0.25"/>
    <row r="209370" s="12" customFormat="1" x14ac:dyDescent="0.25"/>
    <row r="209371" s="12" customFormat="1" x14ac:dyDescent="0.25"/>
    <row r="209372" s="12" customFormat="1" x14ac:dyDescent="0.25"/>
    <row r="209373" s="12" customFormat="1" x14ac:dyDescent="0.25"/>
    <row r="209374" s="12" customFormat="1" x14ac:dyDescent="0.25"/>
    <row r="209375" s="12" customFormat="1" x14ac:dyDescent="0.25"/>
    <row r="209376" s="12" customFormat="1" x14ac:dyDescent="0.25"/>
    <row r="209377" s="12" customFormat="1" x14ac:dyDescent="0.25"/>
    <row r="209378" s="12" customFormat="1" x14ac:dyDescent="0.25"/>
    <row r="209379" s="12" customFormat="1" x14ac:dyDescent="0.25"/>
    <row r="209380" s="12" customFormat="1" x14ac:dyDescent="0.25"/>
    <row r="209381" s="12" customFormat="1" x14ac:dyDescent="0.25"/>
    <row r="209382" s="12" customFormat="1" x14ac:dyDescent="0.25"/>
    <row r="209383" s="12" customFormat="1" x14ac:dyDescent="0.25"/>
    <row r="209384" s="12" customFormat="1" x14ac:dyDescent="0.25"/>
    <row r="209385" s="12" customFormat="1" x14ac:dyDescent="0.25"/>
    <row r="209386" s="12" customFormat="1" x14ac:dyDescent="0.25"/>
    <row r="209387" s="12" customFormat="1" x14ac:dyDescent="0.25"/>
    <row r="209388" s="12" customFormat="1" x14ac:dyDescent="0.25"/>
    <row r="209389" s="12" customFormat="1" x14ac:dyDescent="0.25"/>
    <row r="209390" s="12" customFormat="1" x14ac:dyDescent="0.25"/>
    <row r="209391" s="12" customFormat="1" x14ac:dyDescent="0.25"/>
    <row r="209392" s="12" customFormat="1" x14ac:dyDescent="0.25"/>
    <row r="209393" s="12" customFormat="1" x14ac:dyDescent="0.25"/>
    <row r="209394" s="12" customFormat="1" x14ac:dyDescent="0.25"/>
    <row r="209395" s="12" customFormat="1" x14ac:dyDescent="0.25"/>
    <row r="209396" s="12" customFormat="1" x14ac:dyDescent="0.25"/>
    <row r="209397" s="12" customFormat="1" x14ac:dyDescent="0.25"/>
    <row r="209398" s="12" customFormat="1" x14ac:dyDescent="0.25"/>
    <row r="209399" s="12" customFormat="1" x14ac:dyDescent="0.25"/>
    <row r="209400" s="12" customFormat="1" x14ac:dyDescent="0.25"/>
    <row r="209401" s="12" customFormat="1" x14ac:dyDescent="0.25"/>
    <row r="209402" s="12" customFormat="1" x14ac:dyDescent="0.25"/>
    <row r="209403" s="12" customFormat="1" x14ac:dyDescent="0.25"/>
    <row r="209404" s="12" customFormat="1" x14ac:dyDescent="0.25"/>
    <row r="209405" s="12" customFormat="1" x14ac:dyDescent="0.25"/>
    <row r="209406" s="12" customFormat="1" x14ac:dyDescent="0.25"/>
    <row r="209407" s="12" customFormat="1" x14ac:dyDescent="0.25"/>
    <row r="209408" s="12" customFormat="1" x14ac:dyDescent="0.25"/>
    <row r="209409" s="12" customFormat="1" x14ac:dyDescent="0.25"/>
    <row r="209410" s="12" customFormat="1" x14ac:dyDescent="0.25"/>
    <row r="209411" s="12" customFormat="1" x14ac:dyDescent="0.25"/>
    <row r="209412" s="12" customFormat="1" x14ac:dyDescent="0.25"/>
    <row r="209413" s="12" customFormat="1" x14ac:dyDescent="0.25"/>
    <row r="209414" s="12" customFormat="1" x14ac:dyDescent="0.25"/>
    <row r="209415" s="12" customFormat="1" x14ac:dyDescent="0.25"/>
    <row r="209416" s="12" customFormat="1" x14ac:dyDescent="0.25"/>
    <row r="209417" s="12" customFormat="1" x14ac:dyDescent="0.25"/>
    <row r="209418" s="12" customFormat="1" x14ac:dyDescent="0.25"/>
    <row r="209419" s="12" customFormat="1" x14ac:dyDescent="0.25"/>
    <row r="209420" s="12" customFormat="1" x14ac:dyDescent="0.25"/>
    <row r="209421" s="12" customFormat="1" x14ac:dyDescent="0.25"/>
    <row r="209422" s="12" customFormat="1" x14ac:dyDescent="0.25"/>
    <row r="209423" s="12" customFormat="1" x14ac:dyDescent="0.25"/>
    <row r="209424" s="12" customFormat="1" x14ac:dyDescent="0.25"/>
    <row r="209425" s="12" customFormat="1" x14ac:dyDescent="0.25"/>
    <row r="209426" s="12" customFormat="1" x14ac:dyDescent="0.25"/>
    <row r="209427" s="12" customFormat="1" x14ac:dyDescent="0.25"/>
    <row r="209428" s="12" customFormat="1" x14ac:dyDescent="0.25"/>
    <row r="209429" s="12" customFormat="1" x14ac:dyDescent="0.25"/>
    <row r="209430" s="12" customFormat="1" x14ac:dyDescent="0.25"/>
    <row r="209431" s="12" customFormat="1" x14ac:dyDescent="0.25"/>
    <row r="209432" s="12" customFormat="1" x14ac:dyDescent="0.25"/>
    <row r="209433" s="12" customFormat="1" x14ac:dyDescent="0.25"/>
    <row r="209434" s="12" customFormat="1" x14ac:dyDescent="0.25"/>
    <row r="209435" s="12" customFormat="1" x14ac:dyDescent="0.25"/>
    <row r="209436" s="12" customFormat="1" x14ac:dyDescent="0.25"/>
    <row r="209437" s="12" customFormat="1" x14ac:dyDescent="0.25"/>
    <row r="209438" s="12" customFormat="1" x14ac:dyDescent="0.25"/>
    <row r="209439" s="12" customFormat="1" x14ac:dyDescent="0.25"/>
    <row r="209440" s="12" customFormat="1" x14ac:dyDescent="0.25"/>
    <row r="209441" s="12" customFormat="1" x14ac:dyDescent="0.25"/>
    <row r="209442" s="12" customFormat="1" x14ac:dyDescent="0.25"/>
    <row r="209443" s="12" customFormat="1" x14ac:dyDescent="0.25"/>
    <row r="209444" s="12" customFormat="1" x14ac:dyDescent="0.25"/>
    <row r="209445" s="12" customFormat="1" x14ac:dyDescent="0.25"/>
    <row r="209446" s="12" customFormat="1" x14ac:dyDescent="0.25"/>
    <row r="209447" s="12" customFormat="1" x14ac:dyDescent="0.25"/>
    <row r="209448" s="12" customFormat="1" x14ac:dyDescent="0.25"/>
    <row r="209449" s="12" customFormat="1" x14ac:dyDescent="0.25"/>
    <row r="209450" s="12" customFormat="1" x14ac:dyDescent="0.25"/>
    <row r="209451" s="12" customFormat="1" x14ac:dyDescent="0.25"/>
    <row r="209452" s="12" customFormat="1" x14ac:dyDescent="0.25"/>
    <row r="209453" s="12" customFormat="1" x14ac:dyDescent="0.25"/>
    <row r="209454" s="12" customFormat="1" x14ac:dyDescent="0.25"/>
    <row r="209455" s="12" customFormat="1" x14ac:dyDescent="0.25"/>
    <row r="209456" s="12" customFormat="1" x14ac:dyDescent="0.25"/>
    <row r="209457" s="12" customFormat="1" x14ac:dyDescent="0.25"/>
    <row r="209458" s="12" customFormat="1" x14ac:dyDescent="0.25"/>
    <row r="209459" s="12" customFormat="1" x14ac:dyDescent="0.25"/>
    <row r="209460" s="12" customFormat="1" x14ac:dyDescent="0.25"/>
    <row r="209461" s="12" customFormat="1" x14ac:dyDescent="0.25"/>
    <row r="209462" s="12" customFormat="1" x14ac:dyDescent="0.25"/>
    <row r="209463" s="12" customFormat="1" x14ac:dyDescent="0.25"/>
    <row r="209464" s="12" customFormat="1" x14ac:dyDescent="0.25"/>
    <row r="209465" s="12" customFormat="1" x14ac:dyDescent="0.25"/>
    <row r="209466" s="12" customFormat="1" x14ac:dyDescent="0.25"/>
    <row r="209467" s="12" customFormat="1" x14ac:dyDescent="0.25"/>
    <row r="209468" s="12" customFormat="1" x14ac:dyDescent="0.25"/>
    <row r="209469" s="12" customFormat="1" x14ac:dyDescent="0.25"/>
    <row r="209470" s="12" customFormat="1" x14ac:dyDescent="0.25"/>
    <row r="209471" s="12" customFormat="1" x14ac:dyDescent="0.25"/>
    <row r="209472" s="12" customFormat="1" x14ac:dyDescent="0.25"/>
    <row r="209473" s="12" customFormat="1" x14ac:dyDescent="0.25"/>
    <row r="209474" s="12" customFormat="1" x14ac:dyDescent="0.25"/>
    <row r="209475" s="12" customFormat="1" x14ac:dyDescent="0.25"/>
    <row r="209476" s="12" customFormat="1" x14ac:dyDescent="0.25"/>
    <row r="209477" s="12" customFormat="1" x14ac:dyDescent="0.25"/>
    <row r="209478" s="12" customFormat="1" x14ac:dyDescent="0.25"/>
    <row r="209479" s="12" customFormat="1" x14ac:dyDescent="0.25"/>
    <row r="209480" s="12" customFormat="1" x14ac:dyDescent="0.25"/>
    <row r="209481" s="12" customFormat="1" x14ac:dyDescent="0.25"/>
    <row r="209482" s="12" customFormat="1" x14ac:dyDescent="0.25"/>
    <row r="209483" s="12" customFormat="1" x14ac:dyDescent="0.25"/>
    <row r="209484" s="12" customFormat="1" x14ac:dyDescent="0.25"/>
    <row r="209485" s="12" customFormat="1" x14ac:dyDescent="0.25"/>
    <row r="209486" s="12" customFormat="1" x14ac:dyDescent="0.25"/>
    <row r="209487" s="12" customFormat="1" x14ac:dyDescent="0.25"/>
    <row r="209488" s="12" customFormat="1" x14ac:dyDescent="0.25"/>
    <row r="209489" s="12" customFormat="1" x14ac:dyDescent="0.25"/>
    <row r="209490" s="12" customFormat="1" x14ac:dyDescent="0.25"/>
    <row r="209491" s="12" customFormat="1" x14ac:dyDescent="0.25"/>
    <row r="209492" s="12" customFormat="1" x14ac:dyDescent="0.25"/>
    <row r="209493" s="12" customFormat="1" x14ac:dyDescent="0.25"/>
    <row r="209494" s="12" customFormat="1" x14ac:dyDescent="0.25"/>
    <row r="209495" s="12" customFormat="1" x14ac:dyDescent="0.25"/>
    <row r="209496" s="12" customFormat="1" x14ac:dyDescent="0.25"/>
    <row r="209497" s="12" customFormat="1" x14ac:dyDescent="0.25"/>
    <row r="209498" s="12" customFormat="1" x14ac:dyDescent="0.25"/>
    <row r="209499" s="12" customFormat="1" x14ac:dyDescent="0.25"/>
    <row r="209500" s="12" customFormat="1" x14ac:dyDescent="0.25"/>
    <row r="209501" s="12" customFormat="1" x14ac:dyDescent="0.25"/>
    <row r="209502" s="12" customFormat="1" x14ac:dyDescent="0.25"/>
    <row r="209503" s="12" customFormat="1" x14ac:dyDescent="0.25"/>
    <row r="209504" s="12" customFormat="1" x14ac:dyDescent="0.25"/>
    <row r="209505" s="12" customFormat="1" x14ac:dyDescent="0.25"/>
    <row r="209506" s="12" customFormat="1" x14ac:dyDescent="0.25"/>
    <row r="209507" s="12" customFormat="1" x14ac:dyDescent="0.25"/>
    <row r="209508" s="12" customFormat="1" x14ac:dyDescent="0.25"/>
    <row r="209509" s="12" customFormat="1" x14ac:dyDescent="0.25"/>
    <row r="209510" s="12" customFormat="1" x14ac:dyDescent="0.25"/>
    <row r="209511" s="12" customFormat="1" x14ac:dyDescent="0.25"/>
    <row r="209512" s="12" customFormat="1" x14ac:dyDescent="0.25"/>
    <row r="209513" s="12" customFormat="1" x14ac:dyDescent="0.25"/>
    <row r="209514" s="12" customFormat="1" x14ac:dyDescent="0.25"/>
    <row r="209515" s="12" customFormat="1" x14ac:dyDescent="0.25"/>
    <row r="209516" s="12" customFormat="1" x14ac:dyDescent="0.25"/>
    <row r="209517" s="12" customFormat="1" x14ac:dyDescent="0.25"/>
    <row r="209518" s="12" customFormat="1" x14ac:dyDescent="0.25"/>
    <row r="209519" s="12" customFormat="1" x14ac:dyDescent="0.25"/>
    <row r="209520" s="12" customFormat="1" x14ac:dyDescent="0.25"/>
    <row r="209521" s="12" customFormat="1" x14ac:dyDescent="0.25"/>
    <row r="209522" s="12" customFormat="1" x14ac:dyDescent="0.25"/>
    <row r="209523" s="12" customFormat="1" x14ac:dyDescent="0.25"/>
    <row r="209524" s="12" customFormat="1" x14ac:dyDescent="0.25"/>
    <row r="209525" s="12" customFormat="1" x14ac:dyDescent="0.25"/>
    <row r="209526" s="12" customFormat="1" x14ac:dyDescent="0.25"/>
    <row r="209527" s="12" customFormat="1" x14ac:dyDescent="0.25"/>
    <row r="209528" s="12" customFormat="1" x14ac:dyDescent="0.25"/>
    <row r="209529" s="12" customFormat="1" x14ac:dyDescent="0.25"/>
    <row r="209530" s="12" customFormat="1" x14ac:dyDescent="0.25"/>
    <row r="209531" s="12" customFormat="1" x14ac:dyDescent="0.25"/>
    <row r="209532" s="12" customFormat="1" x14ac:dyDescent="0.25"/>
    <row r="209533" s="12" customFormat="1" x14ac:dyDescent="0.25"/>
    <row r="209534" s="12" customFormat="1" x14ac:dyDescent="0.25"/>
    <row r="209535" s="12" customFormat="1" x14ac:dyDescent="0.25"/>
    <row r="209536" s="12" customFormat="1" x14ac:dyDescent="0.25"/>
    <row r="209537" s="12" customFormat="1" x14ac:dyDescent="0.25"/>
    <row r="209538" s="12" customFormat="1" x14ac:dyDescent="0.25"/>
    <row r="209539" s="12" customFormat="1" x14ac:dyDescent="0.25"/>
    <row r="209540" s="12" customFormat="1" x14ac:dyDescent="0.25"/>
    <row r="209541" s="12" customFormat="1" x14ac:dyDescent="0.25"/>
    <row r="209542" s="12" customFormat="1" x14ac:dyDescent="0.25"/>
    <row r="209543" s="12" customFormat="1" x14ac:dyDescent="0.25"/>
    <row r="209544" s="12" customFormat="1" x14ac:dyDescent="0.25"/>
    <row r="209545" s="12" customFormat="1" x14ac:dyDescent="0.25"/>
    <row r="209546" s="12" customFormat="1" x14ac:dyDescent="0.25"/>
    <row r="209547" s="12" customFormat="1" x14ac:dyDescent="0.25"/>
    <row r="209548" s="12" customFormat="1" x14ac:dyDescent="0.25"/>
    <row r="209549" s="12" customFormat="1" x14ac:dyDescent="0.25"/>
    <row r="209550" s="12" customFormat="1" x14ac:dyDescent="0.25"/>
    <row r="209551" s="12" customFormat="1" x14ac:dyDescent="0.25"/>
    <row r="209552" s="12" customFormat="1" x14ac:dyDescent="0.25"/>
    <row r="209553" s="12" customFormat="1" x14ac:dyDescent="0.25"/>
    <row r="209554" s="12" customFormat="1" x14ac:dyDescent="0.25"/>
    <row r="209555" s="12" customFormat="1" x14ac:dyDescent="0.25"/>
    <row r="209556" s="12" customFormat="1" x14ac:dyDescent="0.25"/>
    <row r="209557" s="12" customFormat="1" x14ac:dyDescent="0.25"/>
    <row r="209558" s="12" customFormat="1" x14ac:dyDescent="0.25"/>
    <row r="209559" s="12" customFormat="1" x14ac:dyDescent="0.25"/>
    <row r="209560" s="12" customFormat="1" x14ac:dyDescent="0.25"/>
    <row r="209561" s="12" customFormat="1" x14ac:dyDescent="0.25"/>
    <row r="209562" s="12" customFormat="1" x14ac:dyDescent="0.25"/>
    <row r="209563" s="12" customFormat="1" x14ac:dyDescent="0.25"/>
    <row r="209564" s="12" customFormat="1" x14ac:dyDescent="0.25"/>
    <row r="209565" s="12" customFormat="1" x14ac:dyDescent="0.25"/>
    <row r="209566" s="12" customFormat="1" x14ac:dyDescent="0.25"/>
    <row r="209567" s="12" customFormat="1" x14ac:dyDescent="0.25"/>
    <row r="209568" s="12" customFormat="1" x14ac:dyDescent="0.25"/>
    <row r="209569" s="12" customFormat="1" x14ac:dyDescent="0.25"/>
    <row r="209570" s="12" customFormat="1" x14ac:dyDescent="0.25"/>
    <row r="209571" s="12" customFormat="1" x14ac:dyDescent="0.25"/>
    <row r="209572" s="12" customFormat="1" x14ac:dyDescent="0.25"/>
    <row r="209573" s="12" customFormat="1" x14ac:dyDescent="0.25"/>
    <row r="209574" s="12" customFormat="1" x14ac:dyDescent="0.25"/>
    <row r="209575" s="12" customFormat="1" x14ac:dyDescent="0.25"/>
    <row r="209576" s="12" customFormat="1" x14ac:dyDescent="0.25"/>
    <row r="209577" s="12" customFormat="1" x14ac:dyDescent="0.25"/>
    <row r="209578" s="12" customFormat="1" x14ac:dyDescent="0.25"/>
    <row r="209579" s="12" customFormat="1" x14ac:dyDescent="0.25"/>
    <row r="209580" s="12" customFormat="1" x14ac:dyDescent="0.25"/>
    <row r="209581" s="12" customFormat="1" x14ac:dyDescent="0.25"/>
    <row r="209582" s="12" customFormat="1" x14ac:dyDescent="0.25"/>
    <row r="209583" s="12" customFormat="1" x14ac:dyDescent="0.25"/>
    <row r="209584" s="12" customFormat="1" x14ac:dyDescent="0.25"/>
    <row r="209585" s="12" customFormat="1" x14ac:dyDescent="0.25"/>
    <row r="209586" s="12" customFormat="1" x14ac:dyDescent="0.25"/>
    <row r="209587" s="12" customFormat="1" x14ac:dyDescent="0.25"/>
    <row r="209588" s="12" customFormat="1" x14ac:dyDescent="0.25"/>
    <row r="209589" s="12" customFormat="1" x14ac:dyDescent="0.25"/>
    <row r="209590" s="12" customFormat="1" x14ac:dyDescent="0.25"/>
    <row r="209591" s="12" customFormat="1" x14ac:dyDescent="0.25"/>
    <row r="209592" s="12" customFormat="1" x14ac:dyDescent="0.25"/>
    <row r="209593" s="12" customFormat="1" x14ac:dyDescent="0.25"/>
    <row r="209594" s="12" customFormat="1" x14ac:dyDescent="0.25"/>
    <row r="209595" s="12" customFormat="1" x14ac:dyDescent="0.25"/>
    <row r="209596" s="12" customFormat="1" x14ac:dyDescent="0.25"/>
    <row r="209597" s="12" customFormat="1" x14ac:dyDescent="0.25"/>
    <row r="209598" s="12" customFormat="1" x14ac:dyDescent="0.25"/>
    <row r="209599" s="12" customFormat="1" x14ac:dyDescent="0.25"/>
    <row r="209600" s="12" customFormat="1" x14ac:dyDescent="0.25"/>
    <row r="209601" s="12" customFormat="1" x14ac:dyDescent="0.25"/>
    <row r="209602" s="12" customFormat="1" x14ac:dyDescent="0.25"/>
    <row r="209603" s="12" customFormat="1" x14ac:dyDescent="0.25"/>
    <row r="209604" s="12" customFormat="1" x14ac:dyDescent="0.25"/>
    <row r="209605" s="12" customFormat="1" x14ac:dyDescent="0.25"/>
    <row r="209606" s="12" customFormat="1" x14ac:dyDescent="0.25"/>
    <row r="209607" s="12" customFormat="1" x14ac:dyDescent="0.25"/>
    <row r="209608" s="12" customFormat="1" x14ac:dyDescent="0.25"/>
    <row r="209609" s="12" customFormat="1" x14ac:dyDescent="0.25"/>
    <row r="209610" s="12" customFormat="1" x14ac:dyDescent="0.25"/>
    <row r="209611" s="12" customFormat="1" x14ac:dyDescent="0.25"/>
    <row r="209612" s="12" customFormat="1" x14ac:dyDescent="0.25"/>
    <row r="209613" s="12" customFormat="1" x14ac:dyDescent="0.25"/>
    <row r="209614" s="12" customFormat="1" x14ac:dyDescent="0.25"/>
    <row r="209615" s="12" customFormat="1" x14ac:dyDescent="0.25"/>
    <row r="209616" s="12" customFormat="1" x14ac:dyDescent="0.25"/>
    <row r="209617" s="12" customFormat="1" x14ac:dyDescent="0.25"/>
    <row r="209618" s="12" customFormat="1" x14ac:dyDescent="0.25"/>
    <row r="209619" s="12" customFormat="1" x14ac:dyDescent="0.25"/>
    <row r="209620" s="12" customFormat="1" x14ac:dyDescent="0.25"/>
    <row r="209621" s="12" customFormat="1" x14ac:dyDescent="0.25"/>
    <row r="209622" s="12" customFormat="1" x14ac:dyDescent="0.25"/>
    <row r="209623" s="12" customFormat="1" x14ac:dyDescent="0.25"/>
    <row r="209624" s="12" customFormat="1" x14ac:dyDescent="0.25"/>
    <row r="209625" s="12" customFormat="1" x14ac:dyDescent="0.25"/>
    <row r="209626" s="12" customFormat="1" x14ac:dyDescent="0.25"/>
    <row r="209627" s="12" customFormat="1" x14ac:dyDescent="0.25"/>
    <row r="209628" s="12" customFormat="1" x14ac:dyDescent="0.25"/>
    <row r="209629" s="12" customFormat="1" x14ac:dyDescent="0.25"/>
    <row r="209630" s="12" customFormat="1" x14ac:dyDescent="0.25"/>
    <row r="209631" s="12" customFormat="1" x14ac:dyDescent="0.25"/>
    <row r="209632" s="12" customFormat="1" x14ac:dyDescent="0.25"/>
    <row r="209633" s="12" customFormat="1" x14ac:dyDescent="0.25"/>
    <row r="209634" s="12" customFormat="1" x14ac:dyDescent="0.25"/>
    <row r="209635" s="12" customFormat="1" x14ac:dyDescent="0.25"/>
    <row r="209636" s="12" customFormat="1" x14ac:dyDescent="0.25"/>
    <row r="209637" s="12" customFormat="1" x14ac:dyDescent="0.25"/>
    <row r="209638" s="12" customFormat="1" x14ac:dyDescent="0.25"/>
    <row r="209639" s="12" customFormat="1" x14ac:dyDescent="0.25"/>
    <row r="209640" s="12" customFormat="1" x14ac:dyDescent="0.25"/>
    <row r="209641" s="12" customFormat="1" x14ac:dyDescent="0.25"/>
    <row r="209642" s="12" customFormat="1" x14ac:dyDescent="0.25"/>
    <row r="209643" s="12" customFormat="1" x14ac:dyDescent="0.25"/>
    <row r="209644" s="12" customFormat="1" x14ac:dyDescent="0.25"/>
    <row r="209645" s="12" customFormat="1" x14ac:dyDescent="0.25"/>
    <row r="209646" s="12" customFormat="1" x14ac:dyDescent="0.25"/>
    <row r="209647" s="12" customFormat="1" x14ac:dyDescent="0.25"/>
    <row r="209648" s="12" customFormat="1" x14ac:dyDescent="0.25"/>
    <row r="209649" s="12" customFormat="1" x14ac:dyDescent="0.25"/>
    <row r="209650" s="12" customFormat="1" x14ac:dyDescent="0.25"/>
    <row r="209651" s="12" customFormat="1" x14ac:dyDescent="0.25"/>
    <row r="209652" s="12" customFormat="1" x14ac:dyDescent="0.25"/>
    <row r="209653" s="12" customFormat="1" x14ac:dyDescent="0.25"/>
    <row r="209654" s="12" customFormat="1" x14ac:dyDescent="0.25"/>
    <row r="209655" s="12" customFormat="1" x14ac:dyDescent="0.25"/>
    <row r="209656" s="12" customFormat="1" x14ac:dyDescent="0.25"/>
    <row r="209657" s="12" customFormat="1" x14ac:dyDescent="0.25"/>
    <row r="209658" s="12" customFormat="1" x14ac:dyDescent="0.25"/>
    <row r="209659" s="12" customFormat="1" x14ac:dyDescent="0.25"/>
    <row r="209660" s="12" customFormat="1" x14ac:dyDescent="0.25"/>
    <row r="209661" s="12" customFormat="1" x14ac:dyDescent="0.25"/>
    <row r="209662" s="12" customFormat="1" x14ac:dyDescent="0.25"/>
    <row r="209663" s="12" customFormat="1" x14ac:dyDescent="0.25"/>
    <row r="209664" s="12" customFormat="1" x14ac:dyDescent="0.25"/>
    <row r="209665" s="12" customFormat="1" x14ac:dyDescent="0.25"/>
    <row r="209666" s="12" customFormat="1" x14ac:dyDescent="0.25"/>
    <row r="209667" s="12" customFormat="1" x14ac:dyDescent="0.25"/>
    <row r="209668" s="12" customFormat="1" x14ac:dyDescent="0.25"/>
    <row r="209669" s="12" customFormat="1" x14ac:dyDescent="0.25"/>
    <row r="209670" s="12" customFormat="1" x14ac:dyDescent="0.25"/>
    <row r="209671" s="12" customFormat="1" x14ac:dyDescent="0.25"/>
    <row r="209672" s="12" customFormat="1" x14ac:dyDescent="0.25"/>
    <row r="209673" s="12" customFormat="1" x14ac:dyDescent="0.25"/>
    <row r="209674" s="12" customFormat="1" x14ac:dyDescent="0.25"/>
    <row r="209675" s="12" customFormat="1" x14ac:dyDescent="0.25"/>
    <row r="209676" s="12" customFormat="1" x14ac:dyDescent="0.25"/>
    <row r="209677" s="12" customFormat="1" x14ac:dyDescent="0.25"/>
    <row r="209678" s="12" customFormat="1" x14ac:dyDescent="0.25"/>
    <row r="209679" s="12" customFormat="1" x14ac:dyDescent="0.25"/>
    <row r="209680" s="12" customFormat="1" x14ac:dyDescent="0.25"/>
    <row r="209681" s="12" customFormat="1" x14ac:dyDescent="0.25"/>
    <row r="209682" s="12" customFormat="1" x14ac:dyDescent="0.25"/>
    <row r="209683" s="12" customFormat="1" x14ac:dyDescent="0.25"/>
    <row r="209684" s="12" customFormat="1" x14ac:dyDescent="0.25"/>
    <row r="209685" s="12" customFormat="1" x14ac:dyDescent="0.25"/>
    <row r="209686" s="12" customFormat="1" x14ac:dyDescent="0.25"/>
    <row r="209687" s="12" customFormat="1" x14ac:dyDescent="0.25"/>
    <row r="209688" s="12" customFormat="1" x14ac:dyDescent="0.25"/>
    <row r="209689" s="12" customFormat="1" x14ac:dyDescent="0.25"/>
    <row r="209690" s="12" customFormat="1" x14ac:dyDescent="0.25"/>
    <row r="209691" s="12" customFormat="1" x14ac:dyDescent="0.25"/>
    <row r="209692" s="12" customFormat="1" x14ac:dyDescent="0.25"/>
    <row r="209693" s="12" customFormat="1" x14ac:dyDescent="0.25"/>
    <row r="209694" s="12" customFormat="1" x14ac:dyDescent="0.25"/>
    <row r="209695" s="12" customFormat="1" x14ac:dyDescent="0.25"/>
    <row r="209696" s="12" customFormat="1" x14ac:dyDescent="0.25"/>
    <row r="209697" s="12" customFormat="1" x14ac:dyDescent="0.25"/>
    <row r="209698" s="12" customFormat="1" x14ac:dyDescent="0.25"/>
    <row r="209699" s="12" customFormat="1" x14ac:dyDescent="0.25"/>
    <row r="209700" s="12" customFormat="1" x14ac:dyDescent="0.25"/>
    <row r="209701" s="12" customFormat="1" x14ac:dyDescent="0.25"/>
    <row r="209702" s="12" customFormat="1" x14ac:dyDescent="0.25"/>
    <row r="209703" s="12" customFormat="1" x14ac:dyDescent="0.25"/>
    <row r="209704" s="12" customFormat="1" x14ac:dyDescent="0.25"/>
    <row r="209705" s="12" customFormat="1" x14ac:dyDescent="0.25"/>
    <row r="209706" s="12" customFormat="1" x14ac:dyDescent="0.25"/>
    <row r="209707" s="12" customFormat="1" x14ac:dyDescent="0.25"/>
    <row r="209708" s="12" customFormat="1" x14ac:dyDescent="0.25"/>
    <row r="209709" s="12" customFormat="1" x14ac:dyDescent="0.25"/>
    <row r="209710" s="12" customFormat="1" x14ac:dyDescent="0.25"/>
    <row r="209711" s="12" customFormat="1" x14ac:dyDescent="0.25"/>
    <row r="209712" s="12" customFormat="1" x14ac:dyDescent="0.25"/>
    <row r="209713" s="12" customFormat="1" x14ac:dyDescent="0.25"/>
    <row r="209714" s="12" customFormat="1" x14ac:dyDescent="0.25"/>
    <row r="209715" s="12" customFormat="1" x14ac:dyDescent="0.25"/>
    <row r="209716" s="12" customFormat="1" x14ac:dyDescent="0.25"/>
    <row r="209717" s="12" customFormat="1" x14ac:dyDescent="0.25"/>
    <row r="209718" s="12" customFormat="1" x14ac:dyDescent="0.25"/>
    <row r="209719" s="12" customFormat="1" x14ac:dyDescent="0.25"/>
    <row r="209720" s="12" customFormat="1" x14ac:dyDescent="0.25"/>
    <row r="209721" s="12" customFormat="1" x14ac:dyDescent="0.25"/>
    <row r="209722" s="12" customFormat="1" x14ac:dyDescent="0.25"/>
    <row r="209723" s="12" customFormat="1" x14ac:dyDescent="0.25"/>
    <row r="209724" s="12" customFormat="1" x14ac:dyDescent="0.25"/>
    <row r="209725" s="12" customFormat="1" x14ac:dyDescent="0.25"/>
    <row r="209726" s="12" customFormat="1" x14ac:dyDescent="0.25"/>
    <row r="209727" s="12" customFormat="1" x14ac:dyDescent="0.25"/>
    <row r="209728" s="12" customFormat="1" x14ac:dyDescent="0.25"/>
    <row r="209729" s="12" customFormat="1" x14ac:dyDescent="0.25"/>
    <row r="209730" s="12" customFormat="1" x14ac:dyDescent="0.25"/>
    <row r="209731" s="12" customFormat="1" x14ac:dyDescent="0.25"/>
    <row r="209732" s="12" customFormat="1" x14ac:dyDescent="0.25"/>
    <row r="209733" s="12" customFormat="1" x14ac:dyDescent="0.25"/>
    <row r="209734" s="12" customFormat="1" x14ac:dyDescent="0.25"/>
    <row r="209735" s="12" customFormat="1" x14ac:dyDescent="0.25"/>
    <row r="209736" s="12" customFormat="1" x14ac:dyDescent="0.25"/>
    <row r="209737" s="12" customFormat="1" x14ac:dyDescent="0.25"/>
    <row r="209738" s="12" customFormat="1" x14ac:dyDescent="0.25"/>
    <row r="209739" s="12" customFormat="1" x14ac:dyDescent="0.25"/>
    <row r="209740" s="12" customFormat="1" x14ac:dyDescent="0.25"/>
    <row r="209741" s="12" customFormat="1" x14ac:dyDescent="0.25"/>
    <row r="209742" s="12" customFormat="1" x14ac:dyDescent="0.25"/>
    <row r="209743" s="12" customFormat="1" x14ac:dyDescent="0.25"/>
    <row r="209744" s="12" customFormat="1" x14ac:dyDescent="0.25"/>
    <row r="209745" s="12" customFormat="1" x14ac:dyDescent="0.25"/>
    <row r="209746" s="12" customFormat="1" x14ac:dyDescent="0.25"/>
    <row r="209747" s="12" customFormat="1" x14ac:dyDescent="0.25"/>
    <row r="209748" s="12" customFormat="1" x14ac:dyDescent="0.25"/>
    <row r="209749" s="12" customFormat="1" x14ac:dyDescent="0.25"/>
    <row r="209750" s="12" customFormat="1" x14ac:dyDescent="0.25"/>
    <row r="209751" s="12" customFormat="1" x14ac:dyDescent="0.25"/>
    <row r="209752" s="12" customFormat="1" x14ac:dyDescent="0.25"/>
    <row r="209753" s="12" customFormat="1" x14ac:dyDescent="0.25"/>
    <row r="209754" s="12" customFormat="1" x14ac:dyDescent="0.25"/>
    <row r="209755" s="12" customFormat="1" x14ac:dyDescent="0.25"/>
    <row r="209756" s="12" customFormat="1" x14ac:dyDescent="0.25"/>
    <row r="209757" s="12" customFormat="1" x14ac:dyDescent="0.25"/>
    <row r="209758" s="12" customFormat="1" x14ac:dyDescent="0.25"/>
    <row r="209759" s="12" customFormat="1" x14ac:dyDescent="0.25"/>
    <row r="209760" s="12" customFormat="1" x14ac:dyDescent="0.25"/>
    <row r="209761" s="12" customFormat="1" x14ac:dyDescent="0.25"/>
    <row r="209762" s="12" customFormat="1" x14ac:dyDescent="0.25"/>
    <row r="209763" s="12" customFormat="1" x14ac:dyDescent="0.25"/>
    <row r="209764" s="12" customFormat="1" x14ac:dyDescent="0.25"/>
    <row r="209765" s="12" customFormat="1" x14ac:dyDescent="0.25"/>
    <row r="209766" s="12" customFormat="1" x14ac:dyDescent="0.25"/>
    <row r="209767" s="12" customFormat="1" x14ac:dyDescent="0.25"/>
    <row r="209768" s="12" customFormat="1" x14ac:dyDescent="0.25"/>
    <row r="209769" s="12" customFormat="1" x14ac:dyDescent="0.25"/>
    <row r="209770" s="12" customFormat="1" x14ac:dyDescent="0.25"/>
    <row r="209771" s="12" customFormat="1" x14ac:dyDescent="0.25"/>
    <row r="209772" s="12" customFormat="1" x14ac:dyDescent="0.25"/>
    <row r="209773" s="12" customFormat="1" x14ac:dyDescent="0.25"/>
    <row r="209774" s="12" customFormat="1" x14ac:dyDescent="0.25"/>
    <row r="209775" s="12" customFormat="1" x14ac:dyDescent="0.25"/>
    <row r="209776" s="12" customFormat="1" x14ac:dyDescent="0.25"/>
    <row r="209777" s="12" customFormat="1" x14ac:dyDescent="0.25"/>
    <row r="209778" s="12" customFormat="1" x14ac:dyDescent="0.25"/>
    <row r="209779" s="12" customFormat="1" x14ac:dyDescent="0.25"/>
    <row r="209780" s="12" customFormat="1" x14ac:dyDescent="0.25"/>
    <row r="209781" s="12" customFormat="1" x14ac:dyDescent="0.25"/>
    <row r="209782" s="12" customFormat="1" x14ac:dyDescent="0.25"/>
    <row r="209783" s="12" customFormat="1" x14ac:dyDescent="0.25"/>
    <row r="209784" s="12" customFormat="1" x14ac:dyDescent="0.25"/>
    <row r="209785" s="12" customFormat="1" x14ac:dyDescent="0.25"/>
    <row r="209786" s="12" customFormat="1" x14ac:dyDescent="0.25"/>
    <row r="209787" s="12" customFormat="1" x14ac:dyDescent="0.25"/>
    <row r="209788" s="12" customFormat="1" x14ac:dyDescent="0.25"/>
    <row r="209789" s="12" customFormat="1" x14ac:dyDescent="0.25"/>
    <row r="209790" s="12" customFormat="1" x14ac:dyDescent="0.25"/>
    <row r="209791" s="12" customFormat="1" x14ac:dyDescent="0.25"/>
    <row r="209792" s="12" customFormat="1" x14ac:dyDescent="0.25"/>
    <row r="209793" s="12" customFormat="1" x14ac:dyDescent="0.25"/>
    <row r="209794" s="12" customFormat="1" x14ac:dyDescent="0.25"/>
    <row r="209795" s="12" customFormat="1" x14ac:dyDescent="0.25"/>
    <row r="209796" s="12" customFormat="1" x14ac:dyDescent="0.25"/>
    <row r="209797" s="12" customFormat="1" x14ac:dyDescent="0.25"/>
    <row r="209798" s="12" customFormat="1" x14ac:dyDescent="0.25"/>
    <row r="209799" s="12" customFormat="1" x14ac:dyDescent="0.25"/>
    <row r="209800" s="12" customFormat="1" x14ac:dyDescent="0.25"/>
    <row r="209801" s="12" customFormat="1" x14ac:dyDescent="0.25"/>
    <row r="209802" s="12" customFormat="1" x14ac:dyDescent="0.25"/>
    <row r="209803" s="12" customFormat="1" x14ac:dyDescent="0.25"/>
    <row r="209804" s="12" customFormat="1" x14ac:dyDescent="0.25"/>
    <row r="209805" s="12" customFormat="1" x14ac:dyDescent="0.25"/>
    <row r="209806" s="12" customFormat="1" x14ac:dyDescent="0.25"/>
    <row r="209807" s="12" customFormat="1" x14ac:dyDescent="0.25"/>
    <row r="209808" s="12" customFormat="1" x14ac:dyDescent="0.25"/>
    <row r="209809" s="12" customFormat="1" x14ac:dyDescent="0.25"/>
    <row r="209810" s="12" customFormat="1" x14ac:dyDescent="0.25"/>
    <row r="209811" s="12" customFormat="1" x14ac:dyDescent="0.25"/>
    <row r="209812" s="12" customFormat="1" x14ac:dyDescent="0.25"/>
    <row r="209813" s="12" customFormat="1" x14ac:dyDescent="0.25"/>
    <row r="209814" s="12" customFormat="1" x14ac:dyDescent="0.25"/>
    <row r="209815" s="12" customFormat="1" x14ac:dyDescent="0.25"/>
    <row r="209816" s="12" customFormat="1" x14ac:dyDescent="0.25"/>
    <row r="209817" s="12" customFormat="1" x14ac:dyDescent="0.25"/>
    <row r="209818" s="12" customFormat="1" x14ac:dyDescent="0.25"/>
    <row r="209819" s="12" customFormat="1" x14ac:dyDescent="0.25"/>
    <row r="209820" s="12" customFormat="1" x14ac:dyDescent="0.25"/>
    <row r="209821" s="12" customFormat="1" x14ac:dyDescent="0.25"/>
    <row r="209822" s="12" customFormat="1" x14ac:dyDescent="0.25"/>
    <row r="209823" s="12" customFormat="1" x14ac:dyDescent="0.25"/>
    <row r="209824" s="12" customFormat="1" x14ac:dyDescent="0.25"/>
    <row r="209825" s="12" customFormat="1" x14ac:dyDescent="0.25"/>
    <row r="209826" s="12" customFormat="1" x14ac:dyDescent="0.25"/>
    <row r="209827" s="12" customFormat="1" x14ac:dyDescent="0.25"/>
    <row r="209828" s="12" customFormat="1" x14ac:dyDescent="0.25"/>
    <row r="209829" s="12" customFormat="1" x14ac:dyDescent="0.25"/>
    <row r="209830" s="12" customFormat="1" x14ac:dyDescent="0.25"/>
    <row r="209831" s="12" customFormat="1" x14ac:dyDescent="0.25"/>
    <row r="209832" s="12" customFormat="1" x14ac:dyDescent="0.25"/>
    <row r="209833" s="12" customFormat="1" x14ac:dyDescent="0.25"/>
    <row r="209834" s="12" customFormat="1" x14ac:dyDescent="0.25"/>
    <row r="209835" s="12" customFormat="1" x14ac:dyDescent="0.25"/>
    <row r="209836" s="12" customFormat="1" x14ac:dyDescent="0.25"/>
    <row r="209837" s="12" customFormat="1" x14ac:dyDescent="0.25"/>
    <row r="209838" s="12" customFormat="1" x14ac:dyDescent="0.25"/>
    <row r="209839" s="12" customFormat="1" x14ac:dyDescent="0.25"/>
    <row r="209840" s="12" customFormat="1" x14ac:dyDescent="0.25"/>
    <row r="209841" s="12" customFormat="1" x14ac:dyDescent="0.25"/>
    <row r="209842" s="12" customFormat="1" x14ac:dyDescent="0.25"/>
    <row r="209843" s="12" customFormat="1" x14ac:dyDescent="0.25"/>
    <row r="209844" s="12" customFormat="1" x14ac:dyDescent="0.25"/>
    <row r="209845" s="12" customFormat="1" x14ac:dyDescent="0.25"/>
    <row r="209846" s="12" customFormat="1" x14ac:dyDescent="0.25"/>
    <row r="209847" s="12" customFormat="1" x14ac:dyDescent="0.25"/>
    <row r="209848" s="12" customFormat="1" x14ac:dyDescent="0.25"/>
    <row r="209849" s="12" customFormat="1" x14ac:dyDescent="0.25"/>
    <row r="209850" s="12" customFormat="1" x14ac:dyDescent="0.25"/>
    <row r="209851" s="12" customFormat="1" x14ac:dyDescent="0.25"/>
    <row r="209852" s="12" customFormat="1" x14ac:dyDescent="0.25"/>
    <row r="209853" s="12" customFormat="1" x14ac:dyDescent="0.25"/>
    <row r="209854" s="12" customFormat="1" x14ac:dyDescent="0.25"/>
    <row r="209855" s="12" customFormat="1" x14ac:dyDescent="0.25"/>
    <row r="209856" s="12" customFormat="1" x14ac:dyDescent="0.25"/>
    <row r="209857" s="12" customFormat="1" x14ac:dyDescent="0.25"/>
    <row r="209858" s="12" customFormat="1" x14ac:dyDescent="0.25"/>
    <row r="209859" s="12" customFormat="1" x14ac:dyDescent="0.25"/>
    <row r="209860" s="12" customFormat="1" x14ac:dyDescent="0.25"/>
    <row r="209861" s="12" customFormat="1" x14ac:dyDescent="0.25"/>
    <row r="209862" s="12" customFormat="1" x14ac:dyDescent="0.25"/>
    <row r="209863" s="12" customFormat="1" x14ac:dyDescent="0.25"/>
    <row r="209864" s="12" customFormat="1" x14ac:dyDescent="0.25"/>
    <row r="209865" s="12" customFormat="1" x14ac:dyDescent="0.25"/>
    <row r="209866" s="12" customFormat="1" x14ac:dyDescent="0.25"/>
    <row r="209867" s="12" customFormat="1" x14ac:dyDescent="0.25"/>
    <row r="209868" s="12" customFormat="1" x14ac:dyDescent="0.25"/>
    <row r="209869" s="12" customFormat="1" x14ac:dyDescent="0.25"/>
    <row r="209870" s="12" customFormat="1" x14ac:dyDescent="0.25"/>
    <row r="209871" s="12" customFormat="1" x14ac:dyDescent="0.25"/>
    <row r="209872" s="12" customFormat="1" x14ac:dyDescent="0.25"/>
    <row r="209873" s="12" customFormat="1" x14ac:dyDescent="0.25"/>
    <row r="209874" s="12" customFormat="1" x14ac:dyDescent="0.25"/>
    <row r="209875" s="12" customFormat="1" x14ac:dyDescent="0.25"/>
    <row r="209876" s="12" customFormat="1" x14ac:dyDescent="0.25"/>
    <row r="209877" s="12" customFormat="1" x14ac:dyDescent="0.25"/>
    <row r="209878" s="12" customFormat="1" x14ac:dyDescent="0.25"/>
    <row r="209879" s="12" customFormat="1" x14ac:dyDescent="0.25"/>
    <row r="209880" s="12" customFormat="1" x14ac:dyDescent="0.25"/>
    <row r="209881" s="12" customFormat="1" x14ac:dyDescent="0.25"/>
    <row r="209882" s="12" customFormat="1" x14ac:dyDescent="0.25"/>
    <row r="209883" s="12" customFormat="1" x14ac:dyDescent="0.25"/>
    <row r="209884" s="12" customFormat="1" x14ac:dyDescent="0.25"/>
    <row r="209885" s="12" customFormat="1" x14ac:dyDescent="0.25"/>
    <row r="209886" s="12" customFormat="1" x14ac:dyDescent="0.25"/>
    <row r="209887" s="12" customFormat="1" x14ac:dyDescent="0.25"/>
    <row r="209888" s="12" customFormat="1" x14ac:dyDescent="0.25"/>
    <row r="209889" s="12" customFormat="1" x14ac:dyDescent="0.25"/>
    <row r="209890" s="12" customFormat="1" x14ac:dyDescent="0.25"/>
    <row r="209891" s="12" customFormat="1" x14ac:dyDescent="0.25"/>
    <row r="209892" s="12" customFormat="1" x14ac:dyDescent="0.25"/>
    <row r="209893" s="12" customFormat="1" x14ac:dyDescent="0.25"/>
    <row r="209894" s="12" customFormat="1" x14ac:dyDescent="0.25"/>
    <row r="209895" s="12" customFormat="1" x14ac:dyDescent="0.25"/>
    <row r="209896" s="12" customFormat="1" x14ac:dyDescent="0.25"/>
    <row r="209897" s="12" customFormat="1" x14ac:dyDescent="0.25"/>
    <row r="209898" s="12" customFormat="1" x14ac:dyDescent="0.25"/>
    <row r="209899" s="12" customFormat="1" x14ac:dyDescent="0.25"/>
    <row r="209900" s="12" customFormat="1" x14ac:dyDescent="0.25"/>
    <row r="209901" s="12" customFormat="1" x14ac:dyDescent="0.25"/>
    <row r="209902" s="12" customFormat="1" x14ac:dyDescent="0.25"/>
    <row r="209903" s="12" customFormat="1" x14ac:dyDescent="0.25"/>
    <row r="209904" s="12" customFormat="1" x14ac:dyDescent="0.25"/>
    <row r="209905" s="12" customFormat="1" x14ac:dyDescent="0.25"/>
    <row r="209906" s="12" customFormat="1" x14ac:dyDescent="0.25"/>
    <row r="209907" s="12" customFormat="1" x14ac:dyDescent="0.25"/>
    <row r="209908" s="12" customFormat="1" x14ac:dyDescent="0.25"/>
    <row r="209909" s="12" customFormat="1" x14ac:dyDescent="0.25"/>
    <row r="209910" s="12" customFormat="1" x14ac:dyDescent="0.25"/>
    <row r="209911" s="12" customFormat="1" x14ac:dyDescent="0.25"/>
    <row r="209912" s="12" customFormat="1" x14ac:dyDescent="0.25"/>
    <row r="209913" s="12" customFormat="1" x14ac:dyDescent="0.25"/>
    <row r="209914" s="12" customFormat="1" x14ac:dyDescent="0.25"/>
    <row r="209915" s="12" customFormat="1" x14ac:dyDescent="0.25"/>
    <row r="209916" s="12" customFormat="1" x14ac:dyDescent="0.25"/>
    <row r="209917" s="12" customFormat="1" x14ac:dyDescent="0.25"/>
    <row r="209918" s="12" customFormat="1" x14ac:dyDescent="0.25"/>
    <row r="209919" s="12" customFormat="1" x14ac:dyDescent="0.25"/>
    <row r="209920" s="12" customFormat="1" x14ac:dyDescent="0.25"/>
    <row r="209921" s="12" customFormat="1" x14ac:dyDescent="0.25"/>
    <row r="209922" s="12" customFormat="1" x14ac:dyDescent="0.25"/>
    <row r="209923" s="12" customFormat="1" x14ac:dyDescent="0.25"/>
    <row r="209924" s="12" customFormat="1" x14ac:dyDescent="0.25"/>
    <row r="209925" s="12" customFormat="1" x14ac:dyDescent="0.25"/>
    <row r="209926" s="12" customFormat="1" x14ac:dyDescent="0.25"/>
    <row r="209927" s="12" customFormat="1" x14ac:dyDescent="0.25"/>
    <row r="209928" s="12" customFormat="1" x14ac:dyDescent="0.25"/>
    <row r="209929" s="12" customFormat="1" x14ac:dyDescent="0.25"/>
    <row r="209930" s="12" customFormat="1" x14ac:dyDescent="0.25"/>
    <row r="209931" s="12" customFormat="1" x14ac:dyDescent="0.25"/>
    <row r="209932" s="12" customFormat="1" x14ac:dyDescent="0.25"/>
    <row r="209933" s="12" customFormat="1" x14ac:dyDescent="0.25"/>
    <row r="209934" s="12" customFormat="1" x14ac:dyDescent="0.25"/>
    <row r="209935" s="12" customFormat="1" x14ac:dyDescent="0.25"/>
    <row r="209936" s="12" customFormat="1" x14ac:dyDescent="0.25"/>
    <row r="209937" s="12" customFormat="1" x14ac:dyDescent="0.25"/>
    <row r="209938" s="12" customFormat="1" x14ac:dyDescent="0.25"/>
    <row r="209939" s="12" customFormat="1" x14ac:dyDescent="0.25"/>
    <row r="209940" s="12" customFormat="1" x14ac:dyDescent="0.25"/>
    <row r="209941" s="12" customFormat="1" x14ac:dyDescent="0.25"/>
    <row r="209942" s="12" customFormat="1" x14ac:dyDescent="0.25"/>
    <row r="209943" s="12" customFormat="1" x14ac:dyDescent="0.25"/>
    <row r="209944" s="12" customFormat="1" x14ac:dyDescent="0.25"/>
    <row r="209945" s="12" customFormat="1" x14ac:dyDescent="0.25"/>
    <row r="209946" s="12" customFormat="1" x14ac:dyDescent="0.25"/>
    <row r="209947" s="12" customFormat="1" x14ac:dyDescent="0.25"/>
    <row r="209948" s="12" customFormat="1" x14ac:dyDescent="0.25"/>
    <row r="209949" s="12" customFormat="1" x14ac:dyDescent="0.25"/>
    <row r="209950" s="12" customFormat="1" x14ac:dyDescent="0.25"/>
    <row r="209951" s="12" customFormat="1" x14ac:dyDescent="0.25"/>
    <row r="209952" s="12" customFormat="1" x14ac:dyDescent="0.25"/>
    <row r="209953" s="12" customFormat="1" x14ac:dyDescent="0.25"/>
    <row r="209954" s="12" customFormat="1" x14ac:dyDescent="0.25"/>
    <row r="209955" s="12" customFormat="1" x14ac:dyDescent="0.25"/>
    <row r="209956" s="12" customFormat="1" x14ac:dyDescent="0.25"/>
    <row r="209957" s="12" customFormat="1" x14ac:dyDescent="0.25"/>
    <row r="209958" s="12" customFormat="1" x14ac:dyDescent="0.25"/>
    <row r="209959" s="12" customFormat="1" x14ac:dyDescent="0.25"/>
    <row r="209960" s="12" customFormat="1" x14ac:dyDescent="0.25"/>
    <row r="209961" s="12" customFormat="1" x14ac:dyDescent="0.25"/>
    <row r="209962" s="12" customFormat="1" x14ac:dyDescent="0.25"/>
    <row r="209963" s="12" customFormat="1" x14ac:dyDescent="0.25"/>
    <row r="209964" s="12" customFormat="1" x14ac:dyDescent="0.25"/>
    <row r="209965" s="12" customFormat="1" x14ac:dyDescent="0.25"/>
    <row r="209966" s="12" customFormat="1" x14ac:dyDescent="0.25"/>
    <row r="209967" s="12" customFormat="1" x14ac:dyDescent="0.25"/>
    <row r="209968" s="12" customFormat="1" x14ac:dyDescent="0.25"/>
    <row r="209969" s="12" customFormat="1" x14ac:dyDescent="0.25"/>
    <row r="209970" s="12" customFormat="1" x14ac:dyDescent="0.25"/>
    <row r="209971" s="12" customFormat="1" x14ac:dyDescent="0.25"/>
    <row r="209972" s="12" customFormat="1" x14ac:dyDescent="0.25"/>
    <row r="209973" s="12" customFormat="1" x14ac:dyDescent="0.25"/>
    <row r="209974" s="12" customFormat="1" x14ac:dyDescent="0.25"/>
    <row r="209975" s="12" customFormat="1" x14ac:dyDescent="0.25"/>
    <row r="209976" s="12" customFormat="1" x14ac:dyDescent="0.25"/>
    <row r="209977" s="12" customFormat="1" x14ac:dyDescent="0.25"/>
    <row r="209978" s="12" customFormat="1" x14ac:dyDescent="0.25"/>
    <row r="209979" s="12" customFormat="1" x14ac:dyDescent="0.25"/>
    <row r="209980" s="12" customFormat="1" x14ac:dyDescent="0.25"/>
    <row r="209981" s="12" customFormat="1" x14ac:dyDescent="0.25"/>
    <row r="209982" s="12" customFormat="1" x14ac:dyDescent="0.25"/>
    <row r="209983" s="12" customFormat="1" x14ac:dyDescent="0.25"/>
    <row r="209984" s="12" customFormat="1" x14ac:dyDescent="0.25"/>
    <row r="209985" s="12" customFormat="1" x14ac:dyDescent="0.25"/>
    <row r="209986" s="12" customFormat="1" x14ac:dyDescent="0.25"/>
    <row r="209987" s="12" customFormat="1" x14ac:dyDescent="0.25"/>
    <row r="209988" s="12" customFormat="1" x14ac:dyDescent="0.25"/>
    <row r="209989" s="12" customFormat="1" x14ac:dyDescent="0.25"/>
    <row r="209990" s="12" customFormat="1" x14ac:dyDescent="0.25"/>
    <row r="209991" s="12" customFormat="1" x14ac:dyDescent="0.25"/>
    <row r="209992" s="12" customFormat="1" x14ac:dyDescent="0.25"/>
    <row r="209993" s="12" customFormat="1" x14ac:dyDescent="0.25"/>
    <row r="209994" s="12" customFormat="1" x14ac:dyDescent="0.25"/>
    <row r="209995" s="12" customFormat="1" x14ac:dyDescent="0.25"/>
    <row r="209996" s="12" customFormat="1" x14ac:dyDescent="0.25"/>
    <row r="209997" s="12" customFormat="1" x14ac:dyDescent="0.25"/>
    <row r="209998" s="12" customFormat="1" x14ac:dyDescent="0.25"/>
    <row r="209999" s="12" customFormat="1" x14ac:dyDescent="0.25"/>
    <row r="210000" s="12" customFormat="1" x14ac:dyDescent="0.25"/>
    <row r="210001" s="12" customFormat="1" x14ac:dyDescent="0.25"/>
    <row r="210002" s="12" customFormat="1" x14ac:dyDescent="0.25"/>
    <row r="210003" s="12" customFormat="1" x14ac:dyDescent="0.25"/>
    <row r="210004" s="12" customFormat="1" x14ac:dyDescent="0.25"/>
    <row r="210005" s="12" customFormat="1" x14ac:dyDescent="0.25"/>
    <row r="210006" s="12" customFormat="1" x14ac:dyDescent="0.25"/>
    <row r="210007" s="12" customFormat="1" x14ac:dyDescent="0.25"/>
    <row r="210008" s="12" customFormat="1" x14ac:dyDescent="0.25"/>
    <row r="210009" s="12" customFormat="1" x14ac:dyDescent="0.25"/>
    <row r="210010" s="12" customFormat="1" x14ac:dyDescent="0.25"/>
    <row r="210011" s="12" customFormat="1" x14ac:dyDescent="0.25"/>
    <row r="210012" s="12" customFormat="1" x14ac:dyDescent="0.25"/>
    <row r="210013" s="12" customFormat="1" x14ac:dyDescent="0.25"/>
    <row r="210014" s="12" customFormat="1" x14ac:dyDescent="0.25"/>
    <row r="210015" s="12" customFormat="1" x14ac:dyDescent="0.25"/>
    <row r="210016" s="12" customFormat="1" x14ac:dyDescent="0.25"/>
    <row r="210017" s="12" customFormat="1" x14ac:dyDescent="0.25"/>
    <row r="210018" s="12" customFormat="1" x14ac:dyDescent="0.25"/>
    <row r="210019" s="12" customFormat="1" x14ac:dyDescent="0.25"/>
    <row r="210020" s="12" customFormat="1" x14ac:dyDescent="0.25"/>
    <row r="210021" s="12" customFormat="1" x14ac:dyDescent="0.25"/>
    <row r="210022" s="12" customFormat="1" x14ac:dyDescent="0.25"/>
    <row r="210023" s="12" customFormat="1" x14ac:dyDescent="0.25"/>
    <row r="210024" s="12" customFormat="1" x14ac:dyDescent="0.25"/>
    <row r="210025" s="12" customFormat="1" x14ac:dyDescent="0.25"/>
    <row r="210026" s="12" customFormat="1" x14ac:dyDescent="0.25"/>
    <row r="210027" s="12" customFormat="1" x14ac:dyDescent="0.25"/>
    <row r="210028" s="12" customFormat="1" x14ac:dyDescent="0.25"/>
    <row r="210029" s="12" customFormat="1" x14ac:dyDescent="0.25"/>
    <row r="210030" s="12" customFormat="1" x14ac:dyDescent="0.25"/>
    <row r="210031" s="12" customFormat="1" x14ac:dyDescent="0.25"/>
    <row r="210032" s="12" customFormat="1" x14ac:dyDescent="0.25"/>
    <row r="210033" s="12" customFormat="1" x14ac:dyDescent="0.25"/>
    <row r="210034" s="12" customFormat="1" x14ac:dyDescent="0.25"/>
    <row r="210035" s="12" customFormat="1" x14ac:dyDescent="0.25"/>
    <row r="210036" s="12" customFormat="1" x14ac:dyDescent="0.25"/>
    <row r="210037" s="12" customFormat="1" x14ac:dyDescent="0.25"/>
    <row r="210038" s="12" customFormat="1" x14ac:dyDescent="0.25"/>
    <row r="210039" s="12" customFormat="1" x14ac:dyDescent="0.25"/>
    <row r="210040" s="12" customFormat="1" x14ac:dyDescent="0.25"/>
    <row r="210041" s="12" customFormat="1" x14ac:dyDescent="0.25"/>
    <row r="210042" s="12" customFormat="1" x14ac:dyDescent="0.25"/>
    <row r="210043" s="12" customFormat="1" x14ac:dyDescent="0.25"/>
    <row r="210044" s="12" customFormat="1" x14ac:dyDescent="0.25"/>
    <row r="210045" s="12" customFormat="1" x14ac:dyDescent="0.25"/>
    <row r="210046" s="12" customFormat="1" x14ac:dyDescent="0.25"/>
    <row r="210047" s="12" customFormat="1" x14ac:dyDescent="0.25"/>
    <row r="210048" s="12" customFormat="1" x14ac:dyDescent="0.25"/>
    <row r="210049" s="12" customFormat="1" x14ac:dyDescent="0.25"/>
    <row r="210050" s="12" customFormat="1" x14ac:dyDescent="0.25"/>
    <row r="210051" s="12" customFormat="1" x14ac:dyDescent="0.25"/>
    <row r="210052" s="12" customFormat="1" x14ac:dyDescent="0.25"/>
    <row r="210053" s="12" customFormat="1" x14ac:dyDescent="0.25"/>
    <row r="210054" s="12" customFormat="1" x14ac:dyDescent="0.25"/>
    <row r="210055" s="12" customFormat="1" x14ac:dyDescent="0.25"/>
    <row r="210056" s="12" customFormat="1" x14ac:dyDescent="0.25"/>
    <row r="210057" s="12" customFormat="1" x14ac:dyDescent="0.25"/>
    <row r="210058" s="12" customFormat="1" x14ac:dyDescent="0.25"/>
    <row r="210059" s="12" customFormat="1" x14ac:dyDescent="0.25"/>
    <row r="210060" s="12" customFormat="1" x14ac:dyDescent="0.25"/>
    <row r="210061" s="12" customFormat="1" x14ac:dyDescent="0.25"/>
    <row r="210062" s="12" customFormat="1" x14ac:dyDescent="0.25"/>
    <row r="210063" s="12" customFormat="1" x14ac:dyDescent="0.25"/>
    <row r="210064" s="12" customFormat="1" x14ac:dyDescent="0.25"/>
    <row r="210065" s="12" customFormat="1" x14ac:dyDescent="0.25"/>
    <row r="210066" s="12" customFormat="1" x14ac:dyDescent="0.25"/>
    <row r="210067" s="12" customFormat="1" x14ac:dyDescent="0.25"/>
    <row r="210068" s="12" customFormat="1" x14ac:dyDescent="0.25"/>
    <row r="210069" s="12" customFormat="1" x14ac:dyDescent="0.25"/>
    <row r="210070" s="12" customFormat="1" x14ac:dyDescent="0.25"/>
    <row r="210071" s="12" customFormat="1" x14ac:dyDescent="0.25"/>
    <row r="210072" s="12" customFormat="1" x14ac:dyDescent="0.25"/>
    <row r="210073" s="12" customFormat="1" x14ac:dyDescent="0.25"/>
    <row r="210074" s="12" customFormat="1" x14ac:dyDescent="0.25"/>
    <row r="210075" s="12" customFormat="1" x14ac:dyDescent="0.25"/>
    <row r="210076" s="12" customFormat="1" x14ac:dyDescent="0.25"/>
    <row r="210077" s="12" customFormat="1" x14ac:dyDescent="0.25"/>
    <row r="210078" s="12" customFormat="1" x14ac:dyDescent="0.25"/>
    <row r="210079" s="12" customFormat="1" x14ac:dyDescent="0.25"/>
    <row r="210080" s="12" customFormat="1" x14ac:dyDescent="0.25"/>
    <row r="210081" s="12" customFormat="1" x14ac:dyDescent="0.25"/>
    <row r="210082" s="12" customFormat="1" x14ac:dyDescent="0.25"/>
    <row r="210083" s="12" customFormat="1" x14ac:dyDescent="0.25"/>
    <row r="210084" s="12" customFormat="1" x14ac:dyDescent="0.25"/>
    <row r="210085" s="12" customFormat="1" x14ac:dyDescent="0.25"/>
    <row r="210086" s="12" customFormat="1" x14ac:dyDescent="0.25"/>
    <row r="210087" s="12" customFormat="1" x14ac:dyDescent="0.25"/>
    <row r="210088" s="12" customFormat="1" x14ac:dyDescent="0.25"/>
    <row r="210089" s="12" customFormat="1" x14ac:dyDescent="0.25"/>
    <row r="210090" s="12" customFormat="1" x14ac:dyDescent="0.25"/>
    <row r="210091" s="12" customFormat="1" x14ac:dyDescent="0.25"/>
    <row r="210092" s="12" customFormat="1" x14ac:dyDescent="0.25"/>
    <row r="210093" s="12" customFormat="1" x14ac:dyDescent="0.25"/>
    <row r="210094" s="12" customFormat="1" x14ac:dyDescent="0.25"/>
    <row r="210095" s="12" customFormat="1" x14ac:dyDescent="0.25"/>
    <row r="210096" s="12" customFormat="1" x14ac:dyDescent="0.25"/>
    <row r="210097" s="12" customFormat="1" x14ac:dyDescent="0.25"/>
    <row r="210098" s="12" customFormat="1" x14ac:dyDescent="0.25"/>
    <row r="210099" s="12" customFormat="1" x14ac:dyDescent="0.25"/>
    <row r="210100" s="12" customFormat="1" x14ac:dyDescent="0.25"/>
    <row r="210101" s="12" customFormat="1" x14ac:dyDescent="0.25"/>
    <row r="210102" s="12" customFormat="1" x14ac:dyDescent="0.25"/>
    <row r="210103" s="12" customFormat="1" x14ac:dyDescent="0.25"/>
    <row r="210104" s="12" customFormat="1" x14ac:dyDescent="0.25"/>
    <row r="210105" s="12" customFormat="1" x14ac:dyDescent="0.25"/>
    <row r="210106" s="12" customFormat="1" x14ac:dyDescent="0.25"/>
    <row r="210107" s="12" customFormat="1" x14ac:dyDescent="0.25"/>
    <row r="210108" s="12" customFormat="1" x14ac:dyDescent="0.25"/>
    <row r="210109" s="12" customFormat="1" x14ac:dyDescent="0.25"/>
    <row r="210110" s="12" customFormat="1" x14ac:dyDescent="0.25"/>
    <row r="210111" s="12" customFormat="1" x14ac:dyDescent="0.25"/>
    <row r="210112" s="12" customFormat="1" x14ac:dyDescent="0.25"/>
    <row r="210113" s="12" customFormat="1" x14ac:dyDescent="0.25"/>
    <row r="210114" s="12" customFormat="1" x14ac:dyDescent="0.25"/>
    <row r="210115" s="12" customFormat="1" x14ac:dyDescent="0.25"/>
    <row r="210116" s="12" customFormat="1" x14ac:dyDescent="0.25"/>
    <row r="210117" s="12" customFormat="1" x14ac:dyDescent="0.25"/>
    <row r="210118" s="12" customFormat="1" x14ac:dyDescent="0.25"/>
    <row r="210119" s="12" customFormat="1" x14ac:dyDescent="0.25"/>
    <row r="210120" s="12" customFormat="1" x14ac:dyDescent="0.25"/>
    <row r="210121" s="12" customFormat="1" x14ac:dyDescent="0.25"/>
    <row r="210122" s="12" customFormat="1" x14ac:dyDescent="0.25"/>
    <row r="210123" s="12" customFormat="1" x14ac:dyDescent="0.25"/>
    <row r="210124" s="12" customFormat="1" x14ac:dyDescent="0.25"/>
    <row r="210125" s="12" customFormat="1" x14ac:dyDescent="0.25"/>
    <row r="210126" s="12" customFormat="1" x14ac:dyDescent="0.25"/>
    <row r="210127" s="12" customFormat="1" x14ac:dyDescent="0.25"/>
    <row r="210128" s="12" customFormat="1" x14ac:dyDescent="0.25"/>
    <row r="210129" s="12" customFormat="1" x14ac:dyDescent="0.25"/>
    <row r="210130" s="12" customFormat="1" x14ac:dyDescent="0.25"/>
    <row r="210131" s="12" customFormat="1" x14ac:dyDescent="0.25"/>
    <row r="210132" s="12" customFormat="1" x14ac:dyDescent="0.25"/>
    <row r="210133" s="12" customFormat="1" x14ac:dyDescent="0.25"/>
    <row r="210134" s="12" customFormat="1" x14ac:dyDescent="0.25"/>
    <row r="210135" s="12" customFormat="1" x14ac:dyDescent="0.25"/>
    <row r="210136" s="12" customFormat="1" x14ac:dyDescent="0.25"/>
    <row r="210137" s="12" customFormat="1" x14ac:dyDescent="0.25"/>
    <row r="210138" s="12" customFormat="1" x14ac:dyDescent="0.25"/>
    <row r="210139" s="12" customFormat="1" x14ac:dyDescent="0.25"/>
    <row r="210140" s="12" customFormat="1" x14ac:dyDescent="0.25"/>
    <row r="210141" s="12" customFormat="1" x14ac:dyDescent="0.25"/>
    <row r="210142" s="12" customFormat="1" x14ac:dyDescent="0.25"/>
    <row r="210143" s="12" customFormat="1" x14ac:dyDescent="0.25"/>
    <row r="210144" s="12" customFormat="1" x14ac:dyDescent="0.25"/>
    <row r="210145" s="12" customFormat="1" x14ac:dyDescent="0.25"/>
    <row r="210146" s="12" customFormat="1" x14ac:dyDescent="0.25"/>
    <row r="210147" s="12" customFormat="1" x14ac:dyDescent="0.25"/>
    <row r="210148" s="12" customFormat="1" x14ac:dyDescent="0.25"/>
    <row r="210149" s="12" customFormat="1" x14ac:dyDescent="0.25"/>
    <row r="210150" s="12" customFormat="1" x14ac:dyDescent="0.25"/>
    <row r="210151" s="12" customFormat="1" x14ac:dyDescent="0.25"/>
    <row r="210152" s="12" customFormat="1" x14ac:dyDescent="0.25"/>
    <row r="210153" s="12" customFormat="1" x14ac:dyDescent="0.25"/>
    <row r="210154" s="12" customFormat="1" x14ac:dyDescent="0.25"/>
    <row r="210155" s="12" customFormat="1" x14ac:dyDescent="0.25"/>
    <row r="210156" s="12" customFormat="1" x14ac:dyDescent="0.25"/>
    <row r="210157" s="12" customFormat="1" x14ac:dyDescent="0.25"/>
    <row r="210158" s="12" customFormat="1" x14ac:dyDescent="0.25"/>
    <row r="210159" s="12" customFormat="1" x14ac:dyDescent="0.25"/>
    <row r="210160" s="12" customFormat="1" x14ac:dyDescent="0.25"/>
    <row r="210161" s="12" customFormat="1" x14ac:dyDescent="0.25"/>
    <row r="210162" s="12" customFormat="1" x14ac:dyDescent="0.25"/>
    <row r="210163" s="12" customFormat="1" x14ac:dyDescent="0.25"/>
    <row r="210164" s="12" customFormat="1" x14ac:dyDescent="0.25"/>
    <row r="210165" s="12" customFormat="1" x14ac:dyDescent="0.25"/>
    <row r="210166" s="12" customFormat="1" x14ac:dyDescent="0.25"/>
    <row r="210167" s="12" customFormat="1" x14ac:dyDescent="0.25"/>
    <row r="210168" s="12" customFormat="1" x14ac:dyDescent="0.25"/>
    <row r="210169" s="12" customFormat="1" x14ac:dyDescent="0.25"/>
    <row r="210170" s="12" customFormat="1" x14ac:dyDescent="0.25"/>
    <row r="210171" s="12" customFormat="1" x14ac:dyDescent="0.25"/>
    <row r="210172" s="12" customFormat="1" x14ac:dyDescent="0.25"/>
    <row r="210173" s="12" customFormat="1" x14ac:dyDescent="0.25"/>
    <row r="210174" s="12" customFormat="1" x14ac:dyDescent="0.25"/>
    <row r="210175" s="12" customFormat="1" x14ac:dyDescent="0.25"/>
    <row r="210176" s="12" customFormat="1" x14ac:dyDescent="0.25"/>
    <row r="210177" s="12" customFormat="1" x14ac:dyDescent="0.25"/>
    <row r="210178" s="12" customFormat="1" x14ac:dyDescent="0.25"/>
    <row r="210179" s="12" customFormat="1" x14ac:dyDescent="0.25"/>
    <row r="210180" s="12" customFormat="1" x14ac:dyDescent="0.25"/>
    <row r="210181" s="12" customFormat="1" x14ac:dyDescent="0.25"/>
    <row r="210182" s="12" customFormat="1" x14ac:dyDescent="0.25"/>
    <row r="210183" s="12" customFormat="1" x14ac:dyDescent="0.25"/>
    <row r="210184" s="12" customFormat="1" x14ac:dyDescent="0.25"/>
    <row r="210185" s="12" customFormat="1" x14ac:dyDescent="0.25"/>
    <row r="210186" s="12" customFormat="1" x14ac:dyDescent="0.25"/>
    <row r="210187" s="12" customFormat="1" x14ac:dyDescent="0.25"/>
    <row r="210188" s="12" customFormat="1" x14ac:dyDescent="0.25"/>
    <row r="210189" s="12" customFormat="1" x14ac:dyDescent="0.25"/>
    <row r="210190" s="12" customFormat="1" x14ac:dyDescent="0.25"/>
    <row r="210191" s="12" customFormat="1" x14ac:dyDescent="0.25"/>
    <row r="210192" s="12" customFormat="1" x14ac:dyDescent="0.25"/>
    <row r="210193" s="12" customFormat="1" x14ac:dyDescent="0.25"/>
    <row r="210194" s="12" customFormat="1" x14ac:dyDescent="0.25"/>
    <row r="210195" s="12" customFormat="1" x14ac:dyDescent="0.25"/>
    <row r="210196" s="12" customFormat="1" x14ac:dyDescent="0.25"/>
    <row r="210197" s="12" customFormat="1" x14ac:dyDescent="0.25"/>
    <row r="210198" s="12" customFormat="1" x14ac:dyDescent="0.25"/>
    <row r="210199" s="12" customFormat="1" x14ac:dyDescent="0.25"/>
    <row r="210200" s="12" customFormat="1" x14ac:dyDescent="0.25"/>
    <row r="210201" s="12" customFormat="1" x14ac:dyDescent="0.25"/>
    <row r="210202" s="12" customFormat="1" x14ac:dyDescent="0.25"/>
    <row r="210203" s="12" customFormat="1" x14ac:dyDescent="0.25"/>
    <row r="210204" s="12" customFormat="1" x14ac:dyDescent="0.25"/>
    <row r="210205" s="12" customFormat="1" x14ac:dyDescent="0.25"/>
    <row r="210206" s="12" customFormat="1" x14ac:dyDescent="0.25"/>
    <row r="210207" s="12" customFormat="1" x14ac:dyDescent="0.25"/>
    <row r="210208" s="12" customFormat="1" x14ac:dyDescent="0.25"/>
    <row r="210209" s="12" customFormat="1" x14ac:dyDescent="0.25"/>
    <row r="210210" s="12" customFormat="1" x14ac:dyDescent="0.25"/>
    <row r="210211" s="12" customFormat="1" x14ac:dyDescent="0.25"/>
    <row r="210212" s="12" customFormat="1" x14ac:dyDescent="0.25"/>
    <row r="210213" s="12" customFormat="1" x14ac:dyDescent="0.25"/>
    <row r="210214" s="12" customFormat="1" x14ac:dyDescent="0.25"/>
    <row r="210215" s="12" customFormat="1" x14ac:dyDescent="0.25"/>
    <row r="210216" s="12" customFormat="1" x14ac:dyDescent="0.25"/>
    <row r="210217" s="12" customFormat="1" x14ac:dyDescent="0.25"/>
    <row r="210218" s="12" customFormat="1" x14ac:dyDescent="0.25"/>
    <row r="210219" s="12" customFormat="1" x14ac:dyDescent="0.25"/>
    <row r="210220" s="12" customFormat="1" x14ac:dyDescent="0.25"/>
    <row r="210221" s="12" customFormat="1" x14ac:dyDescent="0.25"/>
    <row r="210222" s="12" customFormat="1" x14ac:dyDescent="0.25"/>
    <row r="210223" s="12" customFormat="1" x14ac:dyDescent="0.25"/>
    <row r="210224" s="12" customFormat="1" x14ac:dyDescent="0.25"/>
    <row r="210225" s="12" customFormat="1" x14ac:dyDescent="0.25"/>
    <row r="210226" s="12" customFormat="1" x14ac:dyDescent="0.25"/>
    <row r="210227" s="12" customFormat="1" x14ac:dyDescent="0.25"/>
    <row r="210228" s="12" customFormat="1" x14ac:dyDescent="0.25"/>
    <row r="210229" s="12" customFormat="1" x14ac:dyDescent="0.25"/>
    <row r="210230" s="12" customFormat="1" x14ac:dyDescent="0.25"/>
    <row r="210231" s="12" customFormat="1" x14ac:dyDescent="0.25"/>
    <row r="210232" s="12" customFormat="1" x14ac:dyDescent="0.25"/>
    <row r="210233" s="12" customFormat="1" x14ac:dyDescent="0.25"/>
    <row r="210234" s="12" customFormat="1" x14ac:dyDescent="0.25"/>
    <row r="210235" s="12" customFormat="1" x14ac:dyDescent="0.25"/>
    <row r="210236" s="12" customFormat="1" x14ac:dyDescent="0.25"/>
    <row r="210237" s="12" customFormat="1" x14ac:dyDescent="0.25"/>
    <row r="210238" s="12" customFormat="1" x14ac:dyDescent="0.25"/>
    <row r="210239" s="12" customFormat="1" x14ac:dyDescent="0.25"/>
    <row r="210240" s="12" customFormat="1" x14ac:dyDescent="0.25"/>
    <row r="210241" s="12" customFormat="1" x14ac:dyDescent="0.25"/>
    <row r="210242" s="12" customFormat="1" x14ac:dyDescent="0.25"/>
    <row r="210243" s="12" customFormat="1" x14ac:dyDescent="0.25"/>
    <row r="210244" s="12" customFormat="1" x14ac:dyDescent="0.25"/>
    <row r="210245" s="12" customFormat="1" x14ac:dyDescent="0.25"/>
    <row r="210246" s="12" customFormat="1" x14ac:dyDescent="0.25"/>
    <row r="210247" s="12" customFormat="1" x14ac:dyDescent="0.25"/>
    <row r="210248" s="12" customFormat="1" x14ac:dyDescent="0.25"/>
    <row r="210249" s="12" customFormat="1" x14ac:dyDescent="0.25"/>
    <row r="210250" s="12" customFormat="1" x14ac:dyDescent="0.25"/>
    <row r="210251" s="12" customFormat="1" x14ac:dyDescent="0.25"/>
    <row r="210252" s="12" customFormat="1" x14ac:dyDescent="0.25"/>
    <row r="210253" s="12" customFormat="1" x14ac:dyDescent="0.25"/>
    <row r="210254" s="12" customFormat="1" x14ac:dyDescent="0.25"/>
    <row r="210255" s="12" customFormat="1" x14ac:dyDescent="0.25"/>
    <row r="210256" s="12" customFormat="1" x14ac:dyDescent="0.25"/>
    <row r="210257" s="12" customFormat="1" x14ac:dyDescent="0.25"/>
    <row r="210258" s="12" customFormat="1" x14ac:dyDescent="0.25"/>
    <row r="210259" s="12" customFormat="1" x14ac:dyDescent="0.25"/>
    <row r="210260" s="12" customFormat="1" x14ac:dyDescent="0.25"/>
    <row r="210261" s="12" customFormat="1" x14ac:dyDescent="0.25"/>
    <row r="210262" s="12" customFormat="1" x14ac:dyDescent="0.25"/>
    <row r="210263" s="12" customFormat="1" x14ac:dyDescent="0.25"/>
    <row r="210264" s="12" customFormat="1" x14ac:dyDescent="0.25"/>
    <row r="210265" s="12" customFormat="1" x14ac:dyDescent="0.25"/>
    <row r="210266" s="12" customFormat="1" x14ac:dyDescent="0.25"/>
    <row r="210267" s="12" customFormat="1" x14ac:dyDescent="0.25"/>
    <row r="210268" s="12" customFormat="1" x14ac:dyDescent="0.25"/>
    <row r="210269" s="12" customFormat="1" x14ac:dyDescent="0.25"/>
    <row r="210270" s="12" customFormat="1" x14ac:dyDescent="0.25"/>
    <row r="210271" s="12" customFormat="1" x14ac:dyDescent="0.25"/>
    <row r="210272" s="12" customFormat="1" x14ac:dyDescent="0.25"/>
    <row r="210273" s="12" customFormat="1" x14ac:dyDescent="0.25"/>
    <row r="210274" s="12" customFormat="1" x14ac:dyDescent="0.25"/>
    <row r="210275" s="12" customFormat="1" x14ac:dyDescent="0.25"/>
    <row r="210276" s="12" customFormat="1" x14ac:dyDescent="0.25"/>
    <row r="210277" s="12" customFormat="1" x14ac:dyDescent="0.25"/>
    <row r="210278" s="12" customFormat="1" x14ac:dyDescent="0.25"/>
    <row r="210279" s="12" customFormat="1" x14ac:dyDescent="0.25"/>
    <row r="210280" s="12" customFormat="1" x14ac:dyDescent="0.25"/>
    <row r="210281" s="12" customFormat="1" x14ac:dyDescent="0.25"/>
    <row r="210282" s="12" customFormat="1" x14ac:dyDescent="0.25"/>
    <row r="210283" s="12" customFormat="1" x14ac:dyDescent="0.25"/>
    <row r="210284" s="12" customFormat="1" x14ac:dyDescent="0.25"/>
    <row r="210285" s="12" customFormat="1" x14ac:dyDescent="0.25"/>
    <row r="210286" s="12" customFormat="1" x14ac:dyDescent="0.25"/>
    <row r="210287" s="12" customFormat="1" x14ac:dyDescent="0.25"/>
    <row r="210288" s="12" customFormat="1" x14ac:dyDescent="0.25"/>
    <row r="210289" s="12" customFormat="1" x14ac:dyDescent="0.25"/>
    <row r="210290" s="12" customFormat="1" x14ac:dyDescent="0.25"/>
    <row r="210291" s="12" customFormat="1" x14ac:dyDescent="0.25"/>
    <row r="210292" s="12" customFormat="1" x14ac:dyDescent="0.25"/>
    <row r="210293" s="12" customFormat="1" x14ac:dyDescent="0.25"/>
    <row r="210294" s="12" customFormat="1" x14ac:dyDescent="0.25"/>
    <row r="210295" s="12" customFormat="1" x14ac:dyDescent="0.25"/>
    <row r="210296" s="12" customFormat="1" x14ac:dyDescent="0.25"/>
    <row r="210297" s="12" customFormat="1" x14ac:dyDescent="0.25"/>
    <row r="210298" s="12" customFormat="1" x14ac:dyDescent="0.25"/>
    <row r="210299" s="12" customFormat="1" x14ac:dyDescent="0.25"/>
    <row r="210300" s="12" customFormat="1" x14ac:dyDescent="0.25"/>
    <row r="210301" s="12" customFormat="1" x14ac:dyDescent="0.25"/>
    <row r="210302" s="12" customFormat="1" x14ac:dyDescent="0.25"/>
    <row r="210303" s="12" customFormat="1" x14ac:dyDescent="0.25"/>
    <row r="210304" s="12" customFormat="1" x14ac:dyDescent="0.25"/>
    <row r="210305" s="12" customFormat="1" x14ac:dyDescent="0.25"/>
    <row r="210306" s="12" customFormat="1" x14ac:dyDescent="0.25"/>
    <row r="210307" s="12" customFormat="1" x14ac:dyDescent="0.25"/>
    <row r="210308" s="12" customFormat="1" x14ac:dyDescent="0.25"/>
    <row r="210309" s="12" customFormat="1" x14ac:dyDescent="0.25"/>
    <row r="210310" s="12" customFormat="1" x14ac:dyDescent="0.25"/>
    <row r="210311" s="12" customFormat="1" x14ac:dyDescent="0.25"/>
    <row r="210312" s="12" customFormat="1" x14ac:dyDescent="0.25"/>
    <row r="210313" s="12" customFormat="1" x14ac:dyDescent="0.25"/>
    <row r="210314" s="12" customFormat="1" x14ac:dyDescent="0.25"/>
    <row r="210315" s="12" customFormat="1" x14ac:dyDescent="0.25"/>
    <row r="210316" s="12" customFormat="1" x14ac:dyDescent="0.25"/>
    <row r="210317" s="12" customFormat="1" x14ac:dyDescent="0.25"/>
    <row r="210318" s="12" customFormat="1" x14ac:dyDescent="0.25"/>
    <row r="210319" s="12" customFormat="1" x14ac:dyDescent="0.25"/>
    <row r="210320" s="12" customFormat="1" x14ac:dyDescent="0.25"/>
    <row r="210321" s="12" customFormat="1" x14ac:dyDescent="0.25"/>
    <row r="210322" s="12" customFormat="1" x14ac:dyDescent="0.25"/>
    <row r="210323" s="12" customFormat="1" x14ac:dyDescent="0.25"/>
    <row r="210324" s="12" customFormat="1" x14ac:dyDescent="0.25"/>
    <row r="210325" s="12" customFormat="1" x14ac:dyDescent="0.25"/>
    <row r="210326" s="12" customFormat="1" x14ac:dyDescent="0.25"/>
    <row r="210327" s="12" customFormat="1" x14ac:dyDescent="0.25"/>
    <row r="210328" s="12" customFormat="1" x14ac:dyDescent="0.25"/>
    <row r="210329" s="12" customFormat="1" x14ac:dyDescent="0.25"/>
    <row r="210330" s="12" customFormat="1" x14ac:dyDescent="0.25"/>
    <row r="210331" s="12" customFormat="1" x14ac:dyDescent="0.25"/>
    <row r="210332" s="12" customFormat="1" x14ac:dyDescent="0.25"/>
    <row r="210333" s="12" customFormat="1" x14ac:dyDescent="0.25"/>
    <row r="210334" s="12" customFormat="1" x14ac:dyDescent="0.25"/>
    <row r="210335" s="12" customFormat="1" x14ac:dyDescent="0.25"/>
    <row r="210336" s="12" customFormat="1" x14ac:dyDescent="0.25"/>
    <row r="210337" s="12" customFormat="1" x14ac:dyDescent="0.25"/>
    <row r="210338" s="12" customFormat="1" x14ac:dyDescent="0.25"/>
    <row r="210339" s="12" customFormat="1" x14ac:dyDescent="0.25"/>
    <row r="210340" s="12" customFormat="1" x14ac:dyDescent="0.25"/>
    <row r="210341" s="12" customFormat="1" x14ac:dyDescent="0.25"/>
    <row r="210342" s="12" customFormat="1" x14ac:dyDescent="0.25"/>
    <row r="210343" s="12" customFormat="1" x14ac:dyDescent="0.25"/>
    <row r="210344" s="12" customFormat="1" x14ac:dyDescent="0.25"/>
    <row r="210345" s="12" customFormat="1" x14ac:dyDescent="0.25"/>
    <row r="210346" s="12" customFormat="1" x14ac:dyDescent="0.25"/>
    <row r="210347" s="12" customFormat="1" x14ac:dyDescent="0.25"/>
    <row r="210348" s="12" customFormat="1" x14ac:dyDescent="0.25"/>
    <row r="210349" s="12" customFormat="1" x14ac:dyDescent="0.25"/>
    <row r="210350" s="12" customFormat="1" x14ac:dyDescent="0.25"/>
    <row r="210351" s="12" customFormat="1" x14ac:dyDescent="0.25"/>
    <row r="210352" s="12" customFormat="1" x14ac:dyDescent="0.25"/>
    <row r="210353" s="12" customFormat="1" x14ac:dyDescent="0.25"/>
    <row r="210354" s="12" customFormat="1" x14ac:dyDescent="0.25"/>
    <row r="210355" s="12" customFormat="1" x14ac:dyDescent="0.25"/>
    <row r="210356" s="12" customFormat="1" x14ac:dyDescent="0.25"/>
    <row r="210357" s="12" customFormat="1" x14ac:dyDescent="0.25"/>
    <row r="210358" s="12" customFormat="1" x14ac:dyDescent="0.25"/>
    <row r="210359" s="12" customFormat="1" x14ac:dyDescent="0.25"/>
    <row r="210360" s="12" customFormat="1" x14ac:dyDescent="0.25"/>
    <row r="210361" s="12" customFormat="1" x14ac:dyDescent="0.25"/>
    <row r="210362" s="12" customFormat="1" x14ac:dyDescent="0.25"/>
    <row r="210363" s="12" customFormat="1" x14ac:dyDescent="0.25"/>
    <row r="210364" s="12" customFormat="1" x14ac:dyDescent="0.25"/>
    <row r="210365" s="12" customFormat="1" x14ac:dyDescent="0.25"/>
    <row r="210366" s="12" customFormat="1" x14ac:dyDescent="0.25"/>
    <row r="210367" s="12" customFormat="1" x14ac:dyDescent="0.25"/>
    <row r="210368" s="12" customFormat="1" x14ac:dyDescent="0.25"/>
    <row r="210369" s="12" customFormat="1" x14ac:dyDescent="0.25"/>
    <row r="210370" s="12" customFormat="1" x14ac:dyDescent="0.25"/>
    <row r="210371" s="12" customFormat="1" x14ac:dyDescent="0.25"/>
    <row r="210372" s="12" customFormat="1" x14ac:dyDescent="0.25"/>
    <row r="210373" s="12" customFormat="1" x14ac:dyDescent="0.25"/>
    <row r="210374" s="12" customFormat="1" x14ac:dyDescent="0.25"/>
    <row r="210375" s="12" customFormat="1" x14ac:dyDescent="0.25"/>
    <row r="210376" s="12" customFormat="1" x14ac:dyDescent="0.25"/>
    <row r="210377" s="12" customFormat="1" x14ac:dyDescent="0.25"/>
    <row r="210378" s="12" customFormat="1" x14ac:dyDescent="0.25"/>
    <row r="210379" s="12" customFormat="1" x14ac:dyDescent="0.25"/>
    <row r="210380" s="12" customFormat="1" x14ac:dyDescent="0.25"/>
    <row r="210381" s="12" customFormat="1" x14ac:dyDescent="0.25"/>
    <row r="210382" s="12" customFormat="1" x14ac:dyDescent="0.25"/>
    <row r="210383" s="12" customFormat="1" x14ac:dyDescent="0.25"/>
    <row r="210384" s="12" customFormat="1" x14ac:dyDescent="0.25"/>
    <row r="210385" s="12" customFormat="1" x14ac:dyDescent="0.25"/>
    <row r="210386" s="12" customFormat="1" x14ac:dyDescent="0.25"/>
    <row r="210387" s="12" customFormat="1" x14ac:dyDescent="0.25"/>
    <row r="210388" s="12" customFormat="1" x14ac:dyDescent="0.25"/>
    <row r="210389" s="12" customFormat="1" x14ac:dyDescent="0.25"/>
    <row r="210390" s="12" customFormat="1" x14ac:dyDescent="0.25"/>
    <row r="210391" s="12" customFormat="1" x14ac:dyDescent="0.25"/>
    <row r="210392" s="12" customFormat="1" x14ac:dyDescent="0.25"/>
    <row r="210393" s="12" customFormat="1" x14ac:dyDescent="0.25"/>
    <row r="210394" s="12" customFormat="1" x14ac:dyDescent="0.25"/>
    <row r="210395" s="12" customFormat="1" x14ac:dyDescent="0.25"/>
    <row r="210396" s="12" customFormat="1" x14ac:dyDescent="0.25"/>
    <row r="210397" s="12" customFormat="1" x14ac:dyDescent="0.25"/>
    <row r="210398" s="12" customFormat="1" x14ac:dyDescent="0.25"/>
    <row r="210399" s="12" customFormat="1" x14ac:dyDescent="0.25"/>
    <row r="210400" s="12" customFormat="1" x14ac:dyDescent="0.25"/>
    <row r="210401" s="12" customFormat="1" x14ac:dyDescent="0.25"/>
    <row r="210402" s="12" customFormat="1" x14ac:dyDescent="0.25"/>
    <row r="210403" s="12" customFormat="1" x14ac:dyDescent="0.25"/>
    <row r="210404" s="12" customFormat="1" x14ac:dyDescent="0.25"/>
    <row r="210405" s="12" customFormat="1" x14ac:dyDescent="0.25"/>
    <row r="210406" s="12" customFormat="1" x14ac:dyDescent="0.25"/>
    <row r="210407" s="12" customFormat="1" x14ac:dyDescent="0.25"/>
    <row r="210408" s="12" customFormat="1" x14ac:dyDescent="0.25"/>
    <row r="210409" s="12" customFormat="1" x14ac:dyDescent="0.25"/>
    <row r="210410" s="12" customFormat="1" x14ac:dyDescent="0.25"/>
    <row r="210411" s="12" customFormat="1" x14ac:dyDescent="0.25"/>
    <row r="210412" s="12" customFormat="1" x14ac:dyDescent="0.25"/>
    <row r="210413" s="12" customFormat="1" x14ac:dyDescent="0.25"/>
    <row r="210414" s="12" customFormat="1" x14ac:dyDescent="0.25"/>
    <row r="210415" s="12" customFormat="1" x14ac:dyDescent="0.25"/>
    <row r="210416" s="12" customFormat="1" x14ac:dyDescent="0.25"/>
    <row r="210417" s="12" customFormat="1" x14ac:dyDescent="0.25"/>
    <row r="210418" s="12" customFormat="1" x14ac:dyDescent="0.25"/>
    <row r="210419" s="12" customFormat="1" x14ac:dyDescent="0.25"/>
    <row r="210420" s="12" customFormat="1" x14ac:dyDescent="0.25"/>
    <row r="210421" s="12" customFormat="1" x14ac:dyDescent="0.25"/>
    <row r="210422" s="12" customFormat="1" x14ac:dyDescent="0.25"/>
    <row r="210423" s="12" customFormat="1" x14ac:dyDescent="0.25"/>
    <row r="210424" s="12" customFormat="1" x14ac:dyDescent="0.25"/>
    <row r="210425" s="12" customFormat="1" x14ac:dyDescent="0.25"/>
    <row r="210426" s="12" customFormat="1" x14ac:dyDescent="0.25"/>
    <row r="210427" s="12" customFormat="1" x14ac:dyDescent="0.25"/>
    <row r="210428" s="12" customFormat="1" x14ac:dyDescent="0.25"/>
    <row r="210429" s="12" customFormat="1" x14ac:dyDescent="0.25"/>
    <row r="210430" s="12" customFormat="1" x14ac:dyDescent="0.25"/>
    <row r="210431" s="12" customFormat="1" x14ac:dyDescent="0.25"/>
    <row r="210432" s="12" customFormat="1" x14ac:dyDescent="0.25"/>
    <row r="210433" s="12" customFormat="1" x14ac:dyDescent="0.25"/>
    <row r="210434" s="12" customFormat="1" x14ac:dyDescent="0.25"/>
    <row r="210435" s="12" customFormat="1" x14ac:dyDescent="0.25"/>
    <row r="210436" s="12" customFormat="1" x14ac:dyDescent="0.25"/>
    <row r="210437" s="12" customFormat="1" x14ac:dyDescent="0.25"/>
    <row r="210438" s="12" customFormat="1" x14ac:dyDescent="0.25"/>
    <row r="210439" s="12" customFormat="1" x14ac:dyDescent="0.25"/>
    <row r="210440" s="12" customFormat="1" x14ac:dyDescent="0.25"/>
    <row r="210441" s="12" customFormat="1" x14ac:dyDescent="0.25"/>
    <row r="210442" s="12" customFormat="1" x14ac:dyDescent="0.25"/>
    <row r="210443" s="12" customFormat="1" x14ac:dyDescent="0.25"/>
    <row r="210444" s="12" customFormat="1" x14ac:dyDescent="0.25"/>
    <row r="210445" s="12" customFormat="1" x14ac:dyDescent="0.25"/>
    <row r="210446" s="12" customFormat="1" x14ac:dyDescent="0.25"/>
    <row r="210447" s="12" customFormat="1" x14ac:dyDescent="0.25"/>
    <row r="210448" s="12" customFormat="1" x14ac:dyDescent="0.25"/>
    <row r="210449" s="12" customFormat="1" x14ac:dyDescent="0.25"/>
    <row r="210450" s="12" customFormat="1" x14ac:dyDescent="0.25"/>
    <row r="210451" s="12" customFormat="1" x14ac:dyDescent="0.25"/>
    <row r="210452" s="12" customFormat="1" x14ac:dyDescent="0.25"/>
    <row r="210453" s="12" customFormat="1" x14ac:dyDescent="0.25"/>
    <row r="210454" s="12" customFormat="1" x14ac:dyDescent="0.25"/>
    <row r="210455" s="12" customFormat="1" x14ac:dyDescent="0.25"/>
    <row r="210456" s="12" customFormat="1" x14ac:dyDescent="0.25"/>
    <row r="210457" s="12" customFormat="1" x14ac:dyDescent="0.25"/>
    <row r="210458" s="12" customFormat="1" x14ac:dyDescent="0.25"/>
    <row r="210459" s="12" customFormat="1" x14ac:dyDescent="0.25"/>
    <row r="210460" s="12" customFormat="1" x14ac:dyDescent="0.25"/>
    <row r="210461" s="12" customFormat="1" x14ac:dyDescent="0.25"/>
    <row r="210462" s="12" customFormat="1" x14ac:dyDescent="0.25"/>
    <row r="210463" s="12" customFormat="1" x14ac:dyDescent="0.25"/>
    <row r="210464" s="12" customFormat="1" x14ac:dyDescent="0.25"/>
    <row r="210465" s="12" customFormat="1" x14ac:dyDescent="0.25"/>
    <row r="210466" s="12" customFormat="1" x14ac:dyDescent="0.25"/>
    <row r="210467" s="12" customFormat="1" x14ac:dyDescent="0.25"/>
    <row r="210468" s="12" customFormat="1" x14ac:dyDescent="0.25"/>
    <row r="210469" s="12" customFormat="1" x14ac:dyDescent="0.25"/>
    <row r="210470" s="12" customFormat="1" x14ac:dyDescent="0.25"/>
    <row r="210471" s="12" customFormat="1" x14ac:dyDescent="0.25"/>
    <row r="210472" s="12" customFormat="1" x14ac:dyDescent="0.25"/>
    <row r="210473" s="12" customFormat="1" x14ac:dyDescent="0.25"/>
    <row r="210474" s="12" customFormat="1" x14ac:dyDescent="0.25"/>
    <row r="210475" s="12" customFormat="1" x14ac:dyDescent="0.25"/>
    <row r="210476" s="12" customFormat="1" x14ac:dyDescent="0.25"/>
    <row r="210477" s="12" customFormat="1" x14ac:dyDescent="0.25"/>
    <row r="210478" s="12" customFormat="1" x14ac:dyDescent="0.25"/>
    <row r="210479" s="12" customFormat="1" x14ac:dyDescent="0.25"/>
    <row r="210480" s="12" customFormat="1" x14ac:dyDescent="0.25"/>
    <row r="210481" s="12" customFormat="1" x14ac:dyDescent="0.25"/>
    <row r="210482" s="12" customFormat="1" x14ac:dyDescent="0.25"/>
    <row r="210483" s="12" customFormat="1" x14ac:dyDescent="0.25"/>
    <row r="210484" s="12" customFormat="1" x14ac:dyDescent="0.25"/>
    <row r="210485" s="12" customFormat="1" x14ac:dyDescent="0.25"/>
    <row r="210486" s="12" customFormat="1" x14ac:dyDescent="0.25"/>
    <row r="210487" s="12" customFormat="1" x14ac:dyDescent="0.25"/>
    <row r="210488" s="12" customFormat="1" x14ac:dyDescent="0.25"/>
    <row r="210489" s="12" customFormat="1" x14ac:dyDescent="0.25"/>
    <row r="210490" s="12" customFormat="1" x14ac:dyDescent="0.25"/>
    <row r="210491" s="12" customFormat="1" x14ac:dyDescent="0.25"/>
    <row r="210492" s="12" customFormat="1" x14ac:dyDescent="0.25"/>
    <row r="210493" s="12" customFormat="1" x14ac:dyDescent="0.25"/>
    <row r="210494" s="12" customFormat="1" x14ac:dyDescent="0.25"/>
    <row r="210495" s="12" customFormat="1" x14ac:dyDescent="0.25"/>
    <row r="210496" s="12" customFormat="1" x14ac:dyDescent="0.25"/>
    <row r="210497" s="12" customFormat="1" x14ac:dyDescent="0.25"/>
    <row r="210498" s="12" customFormat="1" x14ac:dyDescent="0.25"/>
    <row r="210499" s="12" customFormat="1" x14ac:dyDescent="0.25"/>
    <row r="210500" s="12" customFormat="1" x14ac:dyDescent="0.25"/>
    <row r="210501" s="12" customFormat="1" x14ac:dyDescent="0.25"/>
    <row r="210502" s="12" customFormat="1" x14ac:dyDescent="0.25"/>
    <row r="210503" s="12" customFormat="1" x14ac:dyDescent="0.25"/>
    <row r="210504" s="12" customFormat="1" x14ac:dyDescent="0.25"/>
    <row r="210505" s="12" customFormat="1" x14ac:dyDescent="0.25"/>
    <row r="210506" s="12" customFormat="1" x14ac:dyDescent="0.25"/>
    <row r="210507" s="12" customFormat="1" x14ac:dyDescent="0.25"/>
    <row r="210508" s="12" customFormat="1" x14ac:dyDescent="0.25"/>
    <row r="210509" s="12" customFormat="1" x14ac:dyDescent="0.25"/>
    <row r="210510" s="12" customFormat="1" x14ac:dyDescent="0.25"/>
    <row r="210511" s="12" customFormat="1" x14ac:dyDescent="0.25"/>
    <row r="210512" s="12" customFormat="1" x14ac:dyDescent="0.25"/>
    <row r="210513" s="12" customFormat="1" x14ac:dyDescent="0.25"/>
    <row r="210514" s="12" customFormat="1" x14ac:dyDescent="0.25"/>
    <row r="210515" s="12" customFormat="1" x14ac:dyDescent="0.25"/>
    <row r="210516" s="12" customFormat="1" x14ac:dyDescent="0.25"/>
    <row r="210517" s="12" customFormat="1" x14ac:dyDescent="0.25"/>
    <row r="210518" s="12" customFormat="1" x14ac:dyDescent="0.25"/>
    <row r="210519" s="12" customFormat="1" x14ac:dyDescent="0.25"/>
    <row r="210520" s="12" customFormat="1" x14ac:dyDescent="0.25"/>
    <row r="210521" s="12" customFormat="1" x14ac:dyDescent="0.25"/>
    <row r="210522" s="12" customFormat="1" x14ac:dyDescent="0.25"/>
    <row r="210523" s="12" customFormat="1" x14ac:dyDescent="0.25"/>
    <row r="210524" s="12" customFormat="1" x14ac:dyDescent="0.25"/>
    <row r="210525" s="12" customFormat="1" x14ac:dyDescent="0.25"/>
    <row r="210526" s="12" customFormat="1" x14ac:dyDescent="0.25"/>
    <row r="210527" s="12" customFormat="1" x14ac:dyDescent="0.25"/>
    <row r="210528" s="12" customFormat="1" x14ac:dyDescent="0.25"/>
    <row r="210529" s="12" customFormat="1" x14ac:dyDescent="0.25"/>
    <row r="210530" s="12" customFormat="1" x14ac:dyDescent="0.25"/>
    <row r="210531" s="12" customFormat="1" x14ac:dyDescent="0.25"/>
    <row r="210532" s="12" customFormat="1" x14ac:dyDescent="0.25"/>
    <row r="210533" s="12" customFormat="1" x14ac:dyDescent="0.25"/>
    <row r="210534" s="12" customFormat="1" x14ac:dyDescent="0.25"/>
    <row r="210535" s="12" customFormat="1" x14ac:dyDescent="0.25"/>
    <row r="210536" s="12" customFormat="1" x14ac:dyDescent="0.25"/>
    <row r="210537" s="12" customFormat="1" x14ac:dyDescent="0.25"/>
    <row r="210538" s="12" customFormat="1" x14ac:dyDescent="0.25"/>
    <row r="210539" s="12" customFormat="1" x14ac:dyDescent="0.25"/>
    <row r="210540" s="12" customFormat="1" x14ac:dyDescent="0.25"/>
    <row r="210541" s="12" customFormat="1" x14ac:dyDescent="0.25"/>
    <row r="210542" s="12" customFormat="1" x14ac:dyDescent="0.25"/>
    <row r="210543" s="12" customFormat="1" x14ac:dyDescent="0.25"/>
    <row r="210544" s="12" customFormat="1" x14ac:dyDescent="0.25"/>
    <row r="210545" s="12" customFormat="1" x14ac:dyDescent="0.25"/>
    <row r="210546" s="12" customFormat="1" x14ac:dyDescent="0.25"/>
    <row r="210547" s="12" customFormat="1" x14ac:dyDescent="0.25"/>
    <row r="210548" s="12" customFormat="1" x14ac:dyDescent="0.25"/>
    <row r="210549" s="12" customFormat="1" x14ac:dyDescent="0.25"/>
    <row r="210550" s="12" customFormat="1" x14ac:dyDescent="0.25"/>
    <row r="210551" s="12" customFormat="1" x14ac:dyDescent="0.25"/>
    <row r="210552" s="12" customFormat="1" x14ac:dyDescent="0.25"/>
    <row r="210553" s="12" customFormat="1" x14ac:dyDescent="0.25"/>
    <row r="210554" s="12" customFormat="1" x14ac:dyDescent="0.25"/>
    <row r="210555" s="12" customFormat="1" x14ac:dyDescent="0.25"/>
    <row r="210556" s="12" customFormat="1" x14ac:dyDescent="0.25"/>
    <row r="210557" s="12" customFormat="1" x14ac:dyDescent="0.25"/>
    <row r="210558" s="12" customFormat="1" x14ac:dyDescent="0.25"/>
    <row r="210559" s="12" customFormat="1" x14ac:dyDescent="0.25"/>
    <row r="210560" s="12" customFormat="1" x14ac:dyDescent="0.25"/>
    <row r="210561" s="12" customFormat="1" x14ac:dyDescent="0.25"/>
    <row r="210562" s="12" customFormat="1" x14ac:dyDescent="0.25"/>
    <row r="210563" s="12" customFormat="1" x14ac:dyDescent="0.25"/>
    <row r="210564" s="12" customFormat="1" x14ac:dyDescent="0.25"/>
    <row r="210565" s="12" customFormat="1" x14ac:dyDescent="0.25"/>
    <row r="210566" s="12" customFormat="1" x14ac:dyDescent="0.25"/>
    <row r="210567" s="12" customFormat="1" x14ac:dyDescent="0.25"/>
    <row r="210568" s="12" customFormat="1" x14ac:dyDescent="0.25"/>
    <row r="210569" s="12" customFormat="1" x14ac:dyDescent="0.25"/>
    <row r="210570" s="12" customFormat="1" x14ac:dyDescent="0.25"/>
    <row r="210571" s="12" customFormat="1" x14ac:dyDescent="0.25"/>
    <row r="210572" s="12" customFormat="1" x14ac:dyDescent="0.25"/>
    <row r="210573" s="12" customFormat="1" x14ac:dyDescent="0.25"/>
    <row r="210574" s="12" customFormat="1" x14ac:dyDescent="0.25"/>
    <row r="210575" s="12" customFormat="1" x14ac:dyDescent="0.25"/>
    <row r="210576" s="12" customFormat="1" x14ac:dyDescent="0.25"/>
    <row r="210577" s="12" customFormat="1" x14ac:dyDescent="0.25"/>
    <row r="210578" s="12" customFormat="1" x14ac:dyDescent="0.25"/>
    <row r="210579" s="12" customFormat="1" x14ac:dyDescent="0.25"/>
    <row r="210580" s="12" customFormat="1" x14ac:dyDescent="0.25"/>
    <row r="210581" s="12" customFormat="1" x14ac:dyDescent="0.25"/>
    <row r="210582" s="12" customFormat="1" x14ac:dyDescent="0.25"/>
    <row r="210583" s="12" customFormat="1" x14ac:dyDescent="0.25"/>
    <row r="210584" s="12" customFormat="1" x14ac:dyDescent="0.25"/>
    <row r="210585" s="12" customFormat="1" x14ac:dyDescent="0.25"/>
    <row r="210586" s="12" customFormat="1" x14ac:dyDescent="0.25"/>
    <row r="210587" s="12" customFormat="1" x14ac:dyDescent="0.25"/>
    <row r="210588" s="12" customFormat="1" x14ac:dyDescent="0.25"/>
    <row r="210589" s="12" customFormat="1" x14ac:dyDescent="0.25"/>
    <row r="210590" s="12" customFormat="1" x14ac:dyDescent="0.25"/>
    <row r="210591" s="12" customFormat="1" x14ac:dyDescent="0.25"/>
    <row r="210592" s="12" customFormat="1" x14ac:dyDescent="0.25"/>
    <row r="210593" s="12" customFormat="1" x14ac:dyDescent="0.25"/>
    <row r="210594" s="12" customFormat="1" x14ac:dyDescent="0.25"/>
    <row r="210595" s="12" customFormat="1" x14ac:dyDescent="0.25"/>
    <row r="210596" s="12" customFormat="1" x14ac:dyDescent="0.25"/>
    <row r="210597" s="12" customFormat="1" x14ac:dyDescent="0.25"/>
    <row r="210598" s="12" customFormat="1" x14ac:dyDescent="0.25"/>
    <row r="210599" s="12" customFormat="1" x14ac:dyDescent="0.25"/>
    <row r="210600" s="12" customFormat="1" x14ac:dyDescent="0.25"/>
    <row r="210601" s="12" customFormat="1" x14ac:dyDescent="0.25"/>
    <row r="210602" s="12" customFormat="1" x14ac:dyDescent="0.25"/>
    <row r="210603" s="12" customFormat="1" x14ac:dyDescent="0.25"/>
    <row r="210604" s="12" customFormat="1" x14ac:dyDescent="0.25"/>
    <row r="210605" s="12" customFormat="1" x14ac:dyDescent="0.25"/>
    <row r="210606" s="12" customFormat="1" x14ac:dyDescent="0.25"/>
    <row r="210607" s="12" customFormat="1" x14ac:dyDescent="0.25"/>
    <row r="210608" s="12" customFormat="1" x14ac:dyDescent="0.25"/>
    <row r="210609" s="12" customFormat="1" x14ac:dyDescent="0.25"/>
    <row r="210610" s="12" customFormat="1" x14ac:dyDescent="0.25"/>
    <row r="210611" s="12" customFormat="1" x14ac:dyDescent="0.25"/>
    <row r="210612" s="12" customFormat="1" x14ac:dyDescent="0.25"/>
    <row r="210613" s="12" customFormat="1" x14ac:dyDescent="0.25"/>
    <row r="210614" s="12" customFormat="1" x14ac:dyDescent="0.25"/>
    <row r="210615" s="12" customFormat="1" x14ac:dyDescent="0.25"/>
    <row r="210616" s="12" customFormat="1" x14ac:dyDescent="0.25"/>
    <row r="210617" s="12" customFormat="1" x14ac:dyDescent="0.25"/>
    <row r="210618" s="12" customFormat="1" x14ac:dyDescent="0.25"/>
    <row r="210619" s="12" customFormat="1" x14ac:dyDescent="0.25"/>
    <row r="210620" s="12" customFormat="1" x14ac:dyDescent="0.25"/>
    <row r="210621" s="12" customFormat="1" x14ac:dyDescent="0.25"/>
    <row r="210622" s="12" customFormat="1" x14ac:dyDescent="0.25"/>
    <row r="210623" s="12" customFormat="1" x14ac:dyDescent="0.25"/>
    <row r="210624" s="12" customFormat="1" x14ac:dyDescent="0.25"/>
    <row r="210625" s="12" customFormat="1" x14ac:dyDescent="0.25"/>
    <row r="210626" s="12" customFormat="1" x14ac:dyDescent="0.25"/>
    <row r="210627" s="12" customFormat="1" x14ac:dyDescent="0.25"/>
    <row r="210628" s="12" customFormat="1" x14ac:dyDescent="0.25"/>
    <row r="210629" s="12" customFormat="1" x14ac:dyDescent="0.25"/>
    <row r="210630" s="12" customFormat="1" x14ac:dyDescent="0.25"/>
    <row r="210631" s="12" customFormat="1" x14ac:dyDescent="0.25"/>
    <row r="210632" s="12" customFormat="1" x14ac:dyDescent="0.25"/>
    <row r="210633" s="12" customFormat="1" x14ac:dyDescent="0.25"/>
    <row r="210634" s="12" customFormat="1" x14ac:dyDescent="0.25"/>
    <row r="210635" s="12" customFormat="1" x14ac:dyDescent="0.25"/>
    <row r="210636" s="12" customFormat="1" x14ac:dyDescent="0.25"/>
    <row r="210637" s="12" customFormat="1" x14ac:dyDescent="0.25"/>
    <row r="210638" s="12" customFormat="1" x14ac:dyDescent="0.25"/>
    <row r="210639" s="12" customFormat="1" x14ac:dyDescent="0.25"/>
    <row r="210640" s="12" customFormat="1" x14ac:dyDescent="0.25"/>
    <row r="210641" s="12" customFormat="1" x14ac:dyDescent="0.25"/>
    <row r="210642" s="12" customFormat="1" x14ac:dyDescent="0.25"/>
    <row r="210643" s="12" customFormat="1" x14ac:dyDescent="0.25"/>
    <row r="210644" s="12" customFormat="1" x14ac:dyDescent="0.25"/>
    <row r="210645" s="12" customFormat="1" x14ac:dyDescent="0.25"/>
    <row r="210646" s="12" customFormat="1" x14ac:dyDescent="0.25"/>
    <row r="210647" s="12" customFormat="1" x14ac:dyDescent="0.25"/>
    <row r="210648" s="12" customFormat="1" x14ac:dyDescent="0.25"/>
    <row r="210649" s="12" customFormat="1" x14ac:dyDescent="0.25"/>
    <row r="210650" s="12" customFormat="1" x14ac:dyDescent="0.25"/>
    <row r="210651" s="12" customFormat="1" x14ac:dyDescent="0.25"/>
    <row r="210652" s="12" customFormat="1" x14ac:dyDescent="0.25"/>
    <row r="210653" s="12" customFormat="1" x14ac:dyDescent="0.25"/>
    <row r="210654" s="12" customFormat="1" x14ac:dyDescent="0.25"/>
    <row r="210655" s="12" customFormat="1" x14ac:dyDescent="0.25"/>
    <row r="210656" s="12" customFormat="1" x14ac:dyDescent="0.25"/>
    <row r="210657" s="12" customFormat="1" x14ac:dyDescent="0.25"/>
    <row r="210658" s="12" customFormat="1" x14ac:dyDescent="0.25"/>
    <row r="210659" s="12" customFormat="1" x14ac:dyDescent="0.25"/>
    <row r="210660" s="12" customFormat="1" x14ac:dyDescent="0.25"/>
    <row r="210661" s="12" customFormat="1" x14ac:dyDescent="0.25"/>
    <row r="210662" s="12" customFormat="1" x14ac:dyDescent="0.25"/>
    <row r="210663" s="12" customFormat="1" x14ac:dyDescent="0.25"/>
    <row r="210664" s="12" customFormat="1" x14ac:dyDescent="0.25"/>
    <row r="210665" s="12" customFormat="1" x14ac:dyDescent="0.25"/>
    <row r="210666" s="12" customFormat="1" x14ac:dyDescent="0.25"/>
    <row r="210667" s="12" customFormat="1" x14ac:dyDescent="0.25"/>
    <row r="210668" s="12" customFormat="1" x14ac:dyDescent="0.25"/>
    <row r="210669" s="12" customFormat="1" x14ac:dyDescent="0.25"/>
    <row r="210670" s="12" customFormat="1" x14ac:dyDescent="0.25"/>
    <row r="210671" s="12" customFormat="1" x14ac:dyDescent="0.25"/>
    <row r="210672" s="12" customFormat="1" x14ac:dyDescent="0.25"/>
    <row r="210673" s="12" customFormat="1" x14ac:dyDescent="0.25"/>
    <row r="210674" s="12" customFormat="1" x14ac:dyDescent="0.25"/>
    <row r="210675" s="12" customFormat="1" x14ac:dyDescent="0.25"/>
    <row r="210676" s="12" customFormat="1" x14ac:dyDescent="0.25"/>
    <row r="210677" s="12" customFormat="1" x14ac:dyDescent="0.25"/>
    <row r="210678" s="12" customFormat="1" x14ac:dyDescent="0.25"/>
    <row r="210679" s="12" customFormat="1" x14ac:dyDescent="0.25"/>
    <row r="210680" s="12" customFormat="1" x14ac:dyDescent="0.25"/>
    <row r="210681" s="12" customFormat="1" x14ac:dyDescent="0.25"/>
    <row r="210682" s="12" customFormat="1" x14ac:dyDescent="0.25"/>
    <row r="210683" s="12" customFormat="1" x14ac:dyDescent="0.25"/>
    <row r="210684" s="12" customFormat="1" x14ac:dyDescent="0.25"/>
    <row r="210685" s="12" customFormat="1" x14ac:dyDescent="0.25"/>
    <row r="210686" s="12" customFormat="1" x14ac:dyDescent="0.25"/>
    <row r="210687" s="12" customFormat="1" x14ac:dyDescent="0.25"/>
    <row r="210688" s="12" customFormat="1" x14ac:dyDescent="0.25"/>
    <row r="210689" s="12" customFormat="1" x14ac:dyDescent="0.25"/>
    <row r="210690" s="12" customFormat="1" x14ac:dyDescent="0.25"/>
    <row r="210691" s="12" customFormat="1" x14ac:dyDescent="0.25"/>
    <row r="210692" s="12" customFormat="1" x14ac:dyDescent="0.25"/>
    <row r="210693" s="12" customFormat="1" x14ac:dyDescent="0.25"/>
    <row r="210694" s="12" customFormat="1" x14ac:dyDescent="0.25"/>
    <row r="210695" s="12" customFormat="1" x14ac:dyDescent="0.25"/>
    <row r="210696" s="12" customFormat="1" x14ac:dyDescent="0.25"/>
    <row r="210697" s="12" customFormat="1" x14ac:dyDescent="0.25"/>
    <row r="210698" s="12" customFormat="1" x14ac:dyDescent="0.25"/>
    <row r="210699" s="12" customFormat="1" x14ac:dyDescent="0.25"/>
    <row r="210700" s="12" customFormat="1" x14ac:dyDescent="0.25"/>
    <row r="210701" s="12" customFormat="1" x14ac:dyDescent="0.25"/>
    <row r="210702" s="12" customFormat="1" x14ac:dyDescent="0.25"/>
    <row r="210703" s="12" customFormat="1" x14ac:dyDescent="0.25"/>
    <row r="210704" s="12" customFormat="1" x14ac:dyDescent="0.25"/>
    <row r="210705" s="12" customFormat="1" x14ac:dyDescent="0.25"/>
    <row r="210706" s="12" customFormat="1" x14ac:dyDescent="0.25"/>
    <row r="210707" s="12" customFormat="1" x14ac:dyDescent="0.25"/>
    <row r="210708" s="12" customFormat="1" x14ac:dyDescent="0.25"/>
    <row r="210709" s="12" customFormat="1" x14ac:dyDescent="0.25"/>
    <row r="210710" s="12" customFormat="1" x14ac:dyDescent="0.25"/>
    <row r="210711" s="12" customFormat="1" x14ac:dyDescent="0.25"/>
    <row r="210712" s="12" customFormat="1" x14ac:dyDescent="0.25"/>
    <row r="210713" s="12" customFormat="1" x14ac:dyDescent="0.25"/>
    <row r="210714" s="12" customFormat="1" x14ac:dyDescent="0.25"/>
    <row r="210715" s="12" customFormat="1" x14ac:dyDescent="0.25"/>
    <row r="210716" s="12" customFormat="1" x14ac:dyDescent="0.25"/>
    <row r="210717" s="12" customFormat="1" x14ac:dyDescent="0.25"/>
    <row r="210718" s="12" customFormat="1" x14ac:dyDescent="0.25"/>
    <row r="210719" s="12" customFormat="1" x14ac:dyDescent="0.25"/>
    <row r="210720" s="12" customFormat="1" x14ac:dyDescent="0.25"/>
    <row r="210721" s="12" customFormat="1" x14ac:dyDescent="0.25"/>
    <row r="210722" s="12" customFormat="1" x14ac:dyDescent="0.25"/>
    <row r="210723" s="12" customFormat="1" x14ac:dyDescent="0.25"/>
    <row r="210724" s="12" customFormat="1" x14ac:dyDescent="0.25"/>
    <row r="210725" s="12" customFormat="1" x14ac:dyDescent="0.25"/>
    <row r="210726" s="12" customFormat="1" x14ac:dyDescent="0.25"/>
    <row r="210727" s="12" customFormat="1" x14ac:dyDescent="0.25"/>
    <row r="210728" s="12" customFormat="1" x14ac:dyDescent="0.25"/>
    <row r="210729" s="12" customFormat="1" x14ac:dyDescent="0.25"/>
    <row r="210730" s="12" customFormat="1" x14ac:dyDescent="0.25"/>
    <row r="210731" s="12" customFormat="1" x14ac:dyDescent="0.25"/>
    <row r="210732" s="12" customFormat="1" x14ac:dyDescent="0.25"/>
    <row r="210733" s="12" customFormat="1" x14ac:dyDescent="0.25"/>
    <row r="210734" s="12" customFormat="1" x14ac:dyDescent="0.25"/>
    <row r="210735" s="12" customFormat="1" x14ac:dyDescent="0.25"/>
    <row r="210736" s="12" customFormat="1" x14ac:dyDescent="0.25"/>
    <row r="210737" s="12" customFormat="1" x14ac:dyDescent="0.25"/>
    <row r="210738" s="12" customFormat="1" x14ac:dyDescent="0.25"/>
    <row r="210739" s="12" customFormat="1" x14ac:dyDescent="0.25"/>
    <row r="210740" s="12" customFormat="1" x14ac:dyDescent="0.25"/>
    <row r="210741" s="12" customFormat="1" x14ac:dyDescent="0.25"/>
    <row r="210742" s="12" customFormat="1" x14ac:dyDescent="0.25"/>
    <row r="210743" s="12" customFormat="1" x14ac:dyDescent="0.25"/>
    <row r="210744" s="12" customFormat="1" x14ac:dyDescent="0.25"/>
    <row r="210745" s="12" customFormat="1" x14ac:dyDescent="0.25"/>
    <row r="210746" s="12" customFormat="1" x14ac:dyDescent="0.25"/>
    <row r="210747" s="12" customFormat="1" x14ac:dyDescent="0.25"/>
    <row r="210748" s="12" customFormat="1" x14ac:dyDescent="0.25"/>
    <row r="210749" s="12" customFormat="1" x14ac:dyDescent="0.25"/>
    <row r="210750" s="12" customFormat="1" x14ac:dyDescent="0.25"/>
    <row r="210751" s="12" customFormat="1" x14ac:dyDescent="0.25"/>
    <row r="210752" s="12" customFormat="1" x14ac:dyDescent="0.25"/>
    <row r="210753" s="12" customFormat="1" x14ac:dyDescent="0.25"/>
    <row r="210754" s="12" customFormat="1" x14ac:dyDescent="0.25"/>
    <row r="210755" s="12" customFormat="1" x14ac:dyDescent="0.25"/>
    <row r="210756" s="12" customFormat="1" x14ac:dyDescent="0.25"/>
    <row r="210757" s="12" customFormat="1" x14ac:dyDescent="0.25"/>
    <row r="210758" s="12" customFormat="1" x14ac:dyDescent="0.25"/>
    <row r="210759" s="12" customFormat="1" x14ac:dyDescent="0.25"/>
    <row r="210760" s="12" customFormat="1" x14ac:dyDescent="0.25"/>
    <row r="210761" s="12" customFormat="1" x14ac:dyDescent="0.25"/>
    <row r="210762" s="12" customFormat="1" x14ac:dyDescent="0.25"/>
    <row r="210763" s="12" customFormat="1" x14ac:dyDescent="0.25"/>
    <row r="210764" s="12" customFormat="1" x14ac:dyDescent="0.25"/>
    <row r="210765" s="12" customFormat="1" x14ac:dyDescent="0.25"/>
    <row r="210766" s="12" customFormat="1" x14ac:dyDescent="0.25"/>
    <row r="210767" s="12" customFormat="1" x14ac:dyDescent="0.25"/>
    <row r="210768" s="12" customFormat="1" x14ac:dyDescent="0.25"/>
    <row r="210769" s="12" customFormat="1" x14ac:dyDescent="0.25"/>
    <row r="210770" s="12" customFormat="1" x14ac:dyDescent="0.25"/>
    <row r="210771" s="12" customFormat="1" x14ac:dyDescent="0.25"/>
    <row r="210772" s="12" customFormat="1" x14ac:dyDescent="0.25"/>
    <row r="210773" s="12" customFormat="1" x14ac:dyDescent="0.25"/>
    <row r="210774" s="12" customFormat="1" x14ac:dyDescent="0.25"/>
    <row r="210775" s="12" customFormat="1" x14ac:dyDescent="0.25"/>
    <row r="210776" s="12" customFormat="1" x14ac:dyDescent="0.25"/>
    <row r="210777" s="12" customFormat="1" x14ac:dyDescent="0.25"/>
    <row r="210778" s="12" customFormat="1" x14ac:dyDescent="0.25"/>
    <row r="210779" s="12" customFormat="1" x14ac:dyDescent="0.25"/>
    <row r="210780" s="12" customFormat="1" x14ac:dyDescent="0.25"/>
    <row r="210781" s="12" customFormat="1" x14ac:dyDescent="0.25"/>
    <row r="210782" s="12" customFormat="1" x14ac:dyDescent="0.25"/>
    <row r="210783" s="12" customFormat="1" x14ac:dyDescent="0.25"/>
    <row r="210784" s="12" customFormat="1" x14ac:dyDescent="0.25"/>
    <row r="210785" s="12" customFormat="1" x14ac:dyDescent="0.25"/>
    <row r="210786" s="12" customFormat="1" x14ac:dyDescent="0.25"/>
    <row r="210787" s="12" customFormat="1" x14ac:dyDescent="0.25"/>
    <row r="210788" s="12" customFormat="1" x14ac:dyDescent="0.25"/>
    <row r="210789" s="12" customFormat="1" x14ac:dyDescent="0.25"/>
    <row r="210790" s="12" customFormat="1" x14ac:dyDescent="0.25"/>
    <row r="210791" s="12" customFormat="1" x14ac:dyDescent="0.25"/>
    <row r="210792" s="12" customFormat="1" x14ac:dyDescent="0.25"/>
    <row r="210793" s="12" customFormat="1" x14ac:dyDescent="0.25"/>
    <row r="210794" s="12" customFormat="1" x14ac:dyDescent="0.25"/>
    <row r="210795" s="12" customFormat="1" x14ac:dyDescent="0.25"/>
    <row r="210796" s="12" customFormat="1" x14ac:dyDescent="0.25"/>
    <row r="210797" s="12" customFormat="1" x14ac:dyDescent="0.25"/>
    <row r="210798" s="12" customFormat="1" x14ac:dyDescent="0.25"/>
    <row r="210799" s="12" customFormat="1" x14ac:dyDescent="0.25"/>
    <row r="210800" s="12" customFormat="1" x14ac:dyDescent="0.25"/>
    <row r="210801" s="12" customFormat="1" x14ac:dyDescent="0.25"/>
    <row r="210802" s="12" customFormat="1" x14ac:dyDescent="0.25"/>
    <row r="210803" s="12" customFormat="1" x14ac:dyDescent="0.25"/>
    <row r="210804" s="12" customFormat="1" x14ac:dyDescent="0.25"/>
    <row r="210805" s="12" customFormat="1" x14ac:dyDescent="0.25"/>
    <row r="210806" s="12" customFormat="1" x14ac:dyDescent="0.25"/>
    <row r="210807" s="12" customFormat="1" x14ac:dyDescent="0.25"/>
    <row r="210808" s="12" customFormat="1" x14ac:dyDescent="0.25"/>
    <row r="210809" s="12" customFormat="1" x14ac:dyDescent="0.25"/>
    <row r="210810" s="12" customFormat="1" x14ac:dyDescent="0.25"/>
    <row r="210811" s="12" customFormat="1" x14ac:dyDescent="0.25"/>
    <row r="210812" s="12" customFormat="1" x14ac:dyDescent="0.25"/>
    <row r="210813" s="12" customFormat="1" x14ac:dyDescent="0.25"/>
    <row r="210814" s="12" customFormat="1" x14ac:dyDescent="0.25"/>
    <row r="210815" s="12" customFormat="1" x14ac:dyDescent="0.25"/>
    <row r="210816" s="12" customFormat="1" x14ac:dyDescent="0.25"/>
    <row r="210817" s="12" customFormat="1" x14ac:dyDescent="0.25"/>
    <row r="210818" s="12" customFormat="1" x14ac:dyDescent="0.25"/>
    <row r="210819" s="12" customFormat="1" x14ac:dyDescent="0.25"/>
    <row r="210820" s="12" customFormat="1" x14ac:dyDescent="0.25"/>
    <row r="210821" s="12" customFormat="1" x14ac:dyDescent="0.25"/>
    <row r="210822" s="12" customFormat="1" x14ac:dyDescent="0.25"/>
    <row r="210823" s="12" customFormat="1" x14ac:dyDescent="0.25"/>
    <row r="210824" s="12" customFormat="1" x14ac:dyDescent="0.25"/>
    <row r="210825" s="12" customFormat="1" x14ac:dyDescent="0.25"/>
    <row r="210826" s="12" customFormat="1" x14ac:dyDescent="0.25"/>
    <row r="210827" s="12" customFormat="1" x14ac:dyDescent="0.25"/>
    <row r="210828" s="12" customFormat="1" x14ac:dyDescent="0.25"/>
    <row r="210829" s="12" customFormat="1" x14ac:dyDescent="0.25"/>
    <row r="210830" s="12" customFormat="1" x14ac:dyDescent="0.25"/>
    <row r="210831" s="12" customFormat="1" x14ac:dyDescent="0.25"/>
    <row r="210832" s="12" customFormat="1" x14ac:dyDescent="0.25"/>
    <row r="210833" s="12" customFormat="1" x14ac:dyDescent="0.25"/>
    <row r="210834" s="12" customFormat="1" x14ac:dyDescent="0.25"/>
    <row r="210835" s="12" customFormat="1" x14ac:dyDescent="0.25"/>
    <row r="210836" s="12" customFormat="1" x14ac:dyDescent="0.25"/>
    <row r="210837" s="12" customFormat="1" x14ac:dyDescent="0.25"/>
    <row r="210838" s="12" customFormat="1" x14ac:dyDescent="0.25"/>
    <row r="210839" s="12" customFormat="1" x14ac:dyDescent="0.25"/>
    <row r="210840" s="12" customFormat="1" x14ac:dyDescent="0.25"/>
    <row r="210841" s="12" customFormat="1" x14ac:dyDescent="0.25"/>
    <row r="210842" s="12" customFormat="1" x14ac:dyDescent="0.25"/>
    <row r="210843" s="12" customFormat="1" x14ac:dyDescent="0.25"/>
    <row r="210844" s="12" customFormat="1" x14ac:dyDescent="0.25"/>
    <row r="210845" s="12" customFormat="1" x14ac:dyDescent="0.25"/>
    <row r="210846" s="12" customFormat="1" x14ac:dyDescent="0.25"/>
    <row r="210847" s="12" customFormat="1" x14ac:dyDescent="0.25"/>
    <row r="210848" s="12" customFormat="1" x14ac:dyDescent="0.25"/>
    <row r="210849" s="12" customFormat="1" x14ac:dyDescent="0.25"/>
    <row r="210850" s="12" customFormat="1" x14ac:dyDescent="0.25"/>
    <row r="210851" s="12" customFormat="1" x14ac:dyDescent="0.25"/>
    <row r="210852" s="12" customFormat="1" x14ac:dyDescent="0.25"/>
    <row r="210853" s="12" customFormat="1" x14ac:dyDescent="0.25"/>
    <row r="210854" s="12" customFormat="1" x14ac:dyDescent="0.25"/>
    <row r="210855" s="12" customFormat="1" x14ac:dyDescent="0.25"/>
    <row r="210856" s="12" customFormat="1" x14ac:dyDescent="0.25"/>
    <row r="210857" s="12" customFormat="1" x14ac:dyDescent="0.25"/>
    <row r="210858" s="12" customFormat="1" x14ac:dyDescent="0.25"/>
    <row r="210859" s="12" customFormat="1" x14ac:dyDescent="0.25"/>
    <row r="210860" s="12" customFormat="1" x14ac:dyDescent="0.25"/>
    <row r="210861" s="12" customFormat="1" x14ac:dyDescent="0.25"/>
    <row r="210862" s="12" customFormat="1" x14ac:dyDescent="0.25"/>
    <row r="210863" s="12" customFormat="1" x14ac:dyDescent="0.25"/>
    <row r="210864" s="12" customFormat="1" x14ac:dyDescent="0.25"/>
    <row r="210865" s="12" customFormat="1" x14ac:dyDescent="0.25"/>
    <row r="210866" s="12" customFormat="1" x14ac:dyDescent="0.25"/>
    <row r="210867" s="12" customFormat="1" x14ac:dyDescent="0.25"/>
    <row r="210868" s="12" customFormat="1" x14ac:dyDescent="0.25"/>
    <row r="210869" s="12" customFormat="1" x14ac:dyDescent="0.25"/>
    <row r="210870" s="12" customFormat="1" x14ac:dyDescent="0.25"/>
    <row r="210871" s="12" customFormat="1" x14ac:dyDescent="0.25"/>
    <row r="210872" s="12" customFormat="1" x14ac:dyDescent="0.25"/>
    <row r="210873" s="12" customFormat="1" x14ac:dyDescent="0.25"/>
    <row r="210874" s="12" customFormat="1" x14ac:dyDescent="0.25"/>
    <row r="210875" s="12" customFormat="1" x14ac:dyDescent="0.25"/>
    <row r="210876" s="12" customFormat="1" x14ac:dyDescent="0.25"/>
    <row r="210877" s="12" customFormat="1" x14ac:dyDescent="0.25"/>
    <row r="210878" s="12" customFormat="1" x14ac:dyDescent="0.25"/>
    <row r="210879" s="12" customFormat="1" x14ac:dyDescent="0.25"/>
    <row r="210880" s="12" customFormat="1" x14ac:dyDescent="0.25"/>
    <row r="210881" s="12" customFormat="1" x14ac:dyDescent="0.25"/>
    <row r="210882" s="12" customFormat="1" x14ac:dyDescent="0.25"/>
    <row r="210883" s="12" customFormat="1" x14ac:dyDescent="0.25"/>
    <row r="210884" s="12" customFormat="1" x14ac:dyDescent="0.25"/>
    <row r="210885" s="12" customFormat="1" x14ac:dyDescent="0.25"/>
    <row r="210886" s="12" customFormat="1" x14ac:dyDescent="0.25"/>
    <row r="210887" s="12" customFormat="1" x14ac:dyDescent="0.25"/>
    <row r="210888" s="12" customFormat="1" x14ac:dyDescent="0.25"/>
    <row r="210889" s="12" customFormat="1" x14ac:dyDescent="0.25"/>
    <row r="210890" s="12" customFormat="1" x14ac:dyDescent="0.25"/>
    <row r="210891" s="12" customFormat="1" x14ac:dyDescent="0.25"/>
    <row r="210892" s="12" customFormat="1" x14ac:dyDescent="0.25"/>
    <row r="210893" s="12" customFormat="1" x14ac:dyDescent="0.25"/>
    <row r="210894" s="12" customFormat="1" x14ac:dyDescent="0.25"/>
    <row r="210895" s="12" customFormat="1" x14ac:dyDescent="0.25"/>
    <row r="210896" s="12" customFormat="1" x14ac:dyDescent="0.25"/>
    <row r="210897" s="12" customFormat="1" x14ac:dyDescent="0.25"/>
    <row r="210898" s="12" customFormat="1" x14ac:dyDescent="0.25"/>
    <row r="210899" s="12" customFormat="1" x14ac:dyDescent="0.25"/>
    <row r="210900" s="12" customFormat="1" x14ac:dyDescent="0.25"/>
    <row r="210901" s="12" customFormat="1" x14ac:dyDescent="0.25"/>
    <row r="210902" s="12" customFormat="1" x14ac:dyDescent="0.25"/>
    <row r="210903" s="12" customFormat="1" x14ac:dyDescent="0.25"/>
    <row r="210904" s="12" customFormat="1" x14ac:dyDescent="0.25"/>
    <row r="210905" s="12" customFormat="1" x14ac:dyDescent="0.25"/>
    <row r="210906" s="12" customFormat="1" x14ac:dyDescent="0.25"/>
    <row r="210907" s="12" customFormat="1" x14ac:dyDescent="0.25"/>
    <row r="210908" s="12" customFormat="1" x14ac:dyDescent="0.25"/>
    <row r="210909" s="12" customFormat="1" x14ac:dyDescent="0.25"/>
    <row r="210910" s="12" customFormat="1" x14ac:dyDescent="0.25"/>
    <row r="210911" s="12" customFormat="1" x14ac:dyDescent="0.25"/>
    <row r="210912" s="12" customFormat="1" x14ac:dyDescent="0.25"/>
    <row r="210913" s="12" customFormat="1" x14ac:dyDescent="0.25"/>
    <row r="210914" s="12" customFormat="1" x14ac:dyDescent="0.25"/>
    <row r="210915" s="12" customFormat="1" x14ac:dyDescent="0.25"/>
    <row r="210916" s="12" customFormat="1" x14ac:dyDescent="0.25"/>
    <row r="210917" s="12" customFormat="1" x14ac:dyDescent="0.25"/>
    <row r="210918" s="12" customFormat="1" x14ac:dyDescent="0.25"/>
    <row r="210919" s="12" customFormat="1" x14ac:dyDescent="0.25"/>
    <row r="210920" s="12" customFormat="1" x14ac:dyDescent="0.25"/>
    <row r="210921" s="12" customFormat="1" x14ac:dyDescent="0.25"/>
    <row r="210922" s="12" customFormat="1" x14ac:dyDescent="0.25"/>
    <row r="210923" s="12" customFormat="1" x14ac:dyDescent="0.25"/>
    <row r="210924" s="12" customFormat="1" x14ac:dyDescent="0.25"/>
    <row r="210925" s="12" customFormat="1" x14ac:dyDescent="0.25"/>
    <row r="210926" s="12" customFormat="1" x14ac:dyDescent="0.25"/>
    <row r="210927" s="12" customFormat="1" x14ac:dyDescent="0.25"/>
    <row r="210928" s="12" customFormat="1" x14ac:dyDescent="0.25"/>
    <row r="210929" s="12" customFormat="1" x14ac:dyDescent="0.25"/>
    <row r="210930" s="12" customFormat="1" x14ac:dyDescent="0.25"/>
    <row r="210931" s="12" customFormat="1" x14ac:dyDescent="0.25"/>
    <row r="210932" s="12" customFormat="1" x14ac:dyDescent="0.25"/>
    <row r="210933" s="12" customFormat="1" x14ac:dyDescent="0.25"/>
    <row r="210934" s="12" customFormat="1" x14ac:dyDescent="0.25"/>
    <row r="210935" s="12" customFormat="1" x14ac:dyDescent="0.25"/>
    <row r="210936" s="12" customFormat="1" x14ac:dyDescent="0.25"/>
    <row r="210937" s="12" customFormat="1" x14ac:dyDescent="0.25"/>
    <row r="210938" s="12" customFormat="1" x14ac:dyDescent="0.25"/>
    <row r="210939" s="12" customFormat="1" x14ac:dyDescent="0.25"/>
    <row r="210940" s="12" customFormat="1" x14ac:dyDescent="0.25"/>
    <row r="210941" s="12" customFormat="1" x14ac:dyDescent="0.25"/>
    <row r="210942" s="12" customFormat="1" x14ac:dyDescent="0.25"/>
    <row r="210943" s="12" customFormat="1" x14ac:dyDescent="0.25"/>
    <row r="210944" s="12" customFormat="1" x14ac:dyDescent="0.25"/>
    <row r="210945" s="12" customFormat="1" x14ac:dyDescent="0.25"/>
    <row r="210946" s="12" customFormat="1" x14ac:dyDescent="0.25"/>
    <row r="210947" s="12" customFormat="1" x14ac:dyDescent="0.25"/>
    <row r="210948" s="12" customFormat="1" x14ac:dyDescent="0.25"/>
    <row r="210949" s="12" customFormat="1" x14ac:dyDescent="0.25"/>
    <row r="210950" s="12" customFormat="1" x14ac:dyDescent="0.25"/>
    <row r="210951" s="12" customFormat="1" x14ac:dyDescent="0.25"/>
    <row r="210952" s="12" customFormat="1" x14ac:dyDescent="0.25"/>
    <row r="210953" s="12" customFormat="1" x14ac:dyDescent="0.25"/>
    <row r="210954" s="12" customFormat="1" x14ac:dyDescent="0.25"/>
    <row r="210955" s="12" customFormat="1" x14ac:dyDescent="0.25"/>
    <row r="210956" s="12" customFormat="1" x14ac:dyDescent="0.25"/>
    <row r="210957" s="12" customFormat="1" x14ac:dyDescent="0.25"/>
    <row r="210958" s="12" customFormat="1" x14ac:dyDescent="0.25"/>
    <row r="210959" s="12" customFormat="1" x14ac:dyDescent="0.25"/>
    <row r="210960" s="12" customFormat="1" x14ac:dyDescent="0.25"/>
    <row r="210961" s="12" customFormat="1" x14ac:dyDescent="0.25"/>
    <row r="210962" s="12" customFormat="1" x14ac:dyDescent="0.25"/>
    <row r="210963" s="12" customFormat="1" x14ac:dyDescent="0.25"/>
    <row r="210964" s="12" customFormat="1" x14ac:dyDescent="0.25"/>
    <row r="210965" s="12" customFormat="1" x14ac:dyDescent="0.25"/>
    <row r="210966" s="12" customFormat="1" x14ac:dyDescent="0.25"/>
    <row r="210967" s="12" customFormat="1" x14ac:dyDescent="0.25"/>
    <row r="210968" s="12" customFormat="1" x14ac:dyDescent="0.25"/>
    <row r="210969" s="12" customFormat="1" x14ac:dyDescent="0.25"/>
    <row r="210970" s="12" customFormat="1" x14ac:dyDescent="0.25"/>
    <row r="210971" s="12" customFormat="1" x14ac:dyDescent="0.25"/>
    <row r="210972" s="12" customFormat="1" x14ac:dyDescent="0.25"/>
    <row r="210973" s="12" customFormat="1" x14ac:dyDescent="0.25"/>
    <row r="210974" s="12" customFormat="1" x14ac:dyDescent="0.25"/>
    <row r="210975" s="12" customFormat="1" x14ac:dyDescent="0.25"/>
    <row r="210976" s="12" customFormat="1" x14ac:dyDescent="0.25"/>
    <row r="210977" s="12" customFormat="1" x14ac:dyDescent="0.25"/>
    <row r="210978" s="12" customFormat="1" x14ac:dyDescent="0.25"/>
    <row r="210979" s="12" customFormat="1" x14ac:dyDescent="0.25"/>
    <row r="210980" s="12" customFormat="1" x14ac:dyDescent="0.25"/>
    <row r="210981" s="12" customFormat="1" x14ac:dyDescent="0.25"/>
    <row r="210982" s="12" customFormat="1" x14ac:dyDescent="0.25"/>
    <row r="210983" s="12" customFormat="1" x14ac:dyDescent="0.25"/>
    <row r="210984" s="12" customFormat="1" x14ac:dyDescent="0.25"/>
    <row r="210985" s="12" customFormat="1" x14ac:dyDescent="0.25"/>
    <row r="210986" s="12" customFormat="1" x14ac:dyDescent="0.25"/>
    <row r="210987" s="12" customFormat="1" x14ac:dyDescent="0.25"/>
    <row r="210988" s="12" customFormat="1" x14ac:dyDescent="0.25"/>
    <row r="210989" s="12" customFormat="1" x14ac:dyDescent="0.25"/>
    <row r="210990" s="12" customFormat="1" x14ac:dyDescent="0.25"/>
    <row r="210991" s="12" customFormat="1" x14ac:dyDescent="0.25"/>
    <row r="210992" s="12" customFormat="1" x14ac:dyDescent="0.25"/>
    <row r="210993" s="12" customFormat="1" x14ac:dyDescent="0.25"/>
    <row r="210994" s="12" customFormat="1" x14ac:dyDescent="0.25"/>
    <row r="210995" s="12" customFormat="1" x14ac:dyDescent="0.25"/>
    <row r="210996" s="12" customFormat="1" x14ac:dyDescent="0.25"/>
    <row r="210997" s="12" customFormat="1" x14ac:dyDescent="0.25"/>
    <row r="210998" s="12" customFormat="1" x14ac:dyDescent="0.25"/>
    <row r="210999" s="12" customFormat="1" x14ac:dyDescent="0.25"/>
    <row r="211000" s="12" customFormat="1" x14ac:dyDescent="0.25"/>
    <row r="211001" s="12" customFormat="1" x14ac:dyDescent="0.25"/>
    <row r="211002" s="12" customFormat="1" x14ac:dyDescent="0.25"/>
    <row r="211003" s="12" customFormat="1" x14ac:dyDescent="0.25"/>
    <row r="211004" s="12" customFormat="1" x14ac:dyDescent="0.25"/>
    <row r="211005" s="12" customFormat="1" x14ac:dyDescent="0.25"/>
    <row r="211006" s="12" customFormat="1" x14ac:dyDescent="0.25"/>
    <row r="211007" s="12" customFormat="1" x14ac:dyDescent="0.25"/>
    <row r="211008" s="12" customFormat="1" x14ac:dyDescent="0.25"/>
    <row r="211009" s="12" customFormat="1" x14ac:dyDescent="0.25"/>
    <row r="211010" s="12" customFormat="1" x14ac:dyDescent="0.25"/>
    <row r="211011" s="12" customFormat="1" x14ac:dyDescent="0.25"/>
    <row r="211012" s="12" customFormat="1" x14ac:dyDescent="0.25"/>
    <row r="211013" s="12" customFormat="1" x14ac:dyDescent="0.25"/>
    <row r="211014" s="12" customFormat="1" x14ac:dyDescent="0.25"/>
    <row r="211015" s="12" customFormat="1" x14ac:dyDescent="0.25"/>
    <row r="211016" s="12" customFormat="1" x14ac:dyDescent="0.25"/>
    <row r="211017" s="12" customFormat="1" x14ac:dyDescent="0.25"/>
    <row r="211018" s="12" customFormat="1" x14ac:dyDescent="0.25"/>
    <row r="211019" s="12" customFormat="1" x14ac:dyDescent="0.25"/>
    <row r="211020" s="12" customFormat="1" x14ac:dyDescent="0.25"/>
    <row r="211021" s="12" customFormat="1" x14ac:dyDescent="0.25"/>
    <row r="211022" s="12" customFormat="1" x14ac:dyDescent="0.25"/>
    <row r="211023" s="12" customFormat="1" x14ac:dyDescent="0.25"/>
    <row r="211024" s="12" customFormat="1" x14ac:dyDescent="0.25"/>
    <row r="211025" s="12" customFormat="1" x14ac:dyDescent="0.25"/>
    <row r="211026" s="12" customFormat="1" x14ac:dyDescent="0.25"/>
    <row r="211027" s="12" customFormat="1" x14ac:dyDescent="0.25"/>
    <row r="211028" s="12" customFormat="1" x14ac:dyDescent="0.25"/>
    <row r="211029" s="12" customFormat="1" x14ac:dyDescent="0.25"/>
    <row r="211030" s="12" customFormat="1" x14ac:dyDescent="0.25"/>
    <row r="211031" s="12" customFormat="1" x14ac:dyDescent="0.25"/>
    <row r="211032" s="12" customFormat="1" x14ac:dyDescent="0.25"/>
    <row r="211033" s="12" customFormat="1" x14ac:dyDescent="0.25"/>
    <row r="211034" s="12" customFormat="1" x14ac:dyDescent="0.25"/>
    <row r="211035" s="12" customFormat="1" x14ac:dyDescent="0.25"/>
    <row r="211036" s="12" customFormat="1" x14ac:dyDescent="0.25"/>
    <row r="211037" s="12" customFormat="1" x14ac:dyDescent="0.25"/>
    <row r="211038" s="12" customFormat="1" x14ac:dyDescent="0.25"/>
    <row r="211039" s="12" customFormat="1" x14ac:dyDescent="0.25"/>
    <row r="211040" s="12" customFormat="1" x14ac:dyDescent="0.25"/>
    <row r="211041" s="12" customFormat="1" x14ac:dyDescent="0.25"/>
    <row r="211042" s="12" customFormat="1" x14ac:dyDescent="0.25"/>
    <row r="211043" s="12" customFormat="1" x14ac:dyDescent="0.25"/>
    <row r="211044" s="12" customFormat="1" x14ac:dyDescent="0.25"/>
    <row r="211045" s="12" customFormat="1" x14ac:dyDescent="0.25"/>
    <row r="211046" s="12" customFormat="1" x14ac:dyDescent="0.25"/>
    <row r="211047" s="12" customFormat="1" x14ac:dyDescent="0.25"/>
    <row r="211048" s="12" customFormat="1" x14ac:dyDescent="0.25"/>
    <row r="211049" s="12" customFormat="1" x14ac:dyDescent="0.25"/>
    <row r="211050" s="12" customFormat="1" x14ac:dyDescent="0.25"/>
    <row r="211051" s="12" customFormat="1" x14ac:dyDescent="0.25"/>
    <row r="211052" s="12" customFormat="1" x14ac:dyDescent="0.25"/>
    <row r="211053" s="12" customFormat="1" x14ac:dyDescent="0.25"/>
    <row r="211054" s="12" customFormat="1" x14ac:dyDescent="0.25"/>
    <row r="211055" s="12" customFormat="1" x14ac:dyDescent="0.25"/>
    <row r="211056" s="12" customFormat="1" x14ac:dyDescent="0.25"/>
    <row r="211057" s="12" customFormat="1" x14ac:dyDescent="0.25"/>
    <row r="211058" s="12" customFormat="1" x14ac:dyDescent="0.25"/>
    <row r="211059" s="12" customFormat="1" x14ac:dyDescent="0.25"/>
    <row r="211060" s="12" customFormat="1" x14ac:dyDescent="0.25"/>
    <row r="211061" s="12" customFormat="1" x14ac:dyDescent="0.25"/>
    <row r="211062" s="12" customFormat="1" x14ac:dyDescent="0.25"/>
    <row r="211063" s="12" customFormat="1" x14ac:dyDescent="0.25"/>
    <row r="211064" s="12" customFormat="1" x14ac:dyDescent="0.25"/>
    <row r="211065" s="12" customFormat="1" x14ac:dyDescent="0.25"/>
    <row r="211066" s="12" customFormat="1" x14ac:dyDescent="0.25"/>
    <row r="211067" s="12" customFormat="1" x14ac:dyDescent="0.25"/>
    <row r="211068" s="12" customFormat="1" x14ac:dyDescent="0.25"/>
    <row r="211069" s="12" customFormat="1" x14ac:dyDescent="0.25"/>
    <row r="211070" s="12" customFormat="1" x14ac:dyDescent="0.25"/>
    <row r="211071" s="12" customFormat="1" x14ac:dyDescent="0.25"/>
    <row r="211072" s="12" customFormat="1" x14ac:dyDescent="0.25"/>
    <row r="211073" s="12" customFormat="1" x14ac:dyDescent="0.25"/>
    <row r="211074" s="12" customFormat="1" x14ac:dyDescent="0.25"/>
    <row r="211075" s="12" customFormat="1" x14ac:dyDescent="0.25"/>
    <row r="211076" s="12" customFormat="1" x14ac:dyDescent="0.25"/>
    <row r="211077" s="12" customFormat="1" x14ac:dyDescent="0.25"/>
    <row r="211078" s="12" customFormat="1" x14ac:dyDescent="0.25"/>
    <row r="211079" s="12" customFormat="1" x14ac:dyDescent="0.25"/>
    <row r="211080" s="12" customFormat="1" x14ac:dyDescent="0.25"/>
    <row r="211081" s="12" customFormat="1" x14ac:dyDescent="0.25"/>
    <row r="211082" s="12" customFormat="1" x14ac:dyDescent="0.25"/>
    <row r="211083" s="12" customFormat="1" x14ac:dyDescent="0.25"/>
    <row r="211084" s="12" customFormat="1" x14ac:dyDescent="0.25"/>
    <row r="211085" s="12" customFormat="1" x14ac:dyDescent="0.25"/>
    <row r="211086" s="12" customFormat="1" x14ac:dyDescent="0.25"/>
    <row r="211087" s="12" customFormat="1" x14ac:dyDescent="0.25"/>
    <row r="211088" s="12" customFormat="1" x14ac:dyDescent="0.25"/>
    <row r="211089" s="12" customFormat="1" x14ac:dyDescent="0.25"/>
    <row r="211090" s="12" customFormat="1" x14ac:dyDescent="0.25"/>
    <row r="211091" s="12" customFormat="1" x14ac:dyDescent="0.25"/>
    <row r="211092" s="12" customFormat="1" x14ac:dyDescent="0.25"/>
    <row r="211093" s="12" customFormat="1" x14ac:dyDescent="0.25"/>
    <row r="211094" s="12" customFormat="1" x14ac:dyDescent="0.25"/>
    <row r="211095" s="12" customFormat="1" x14ac:dyDescent="0.25"/>
    <row r="211096" s="12" customFormat="1" x14ac:dyDescent="0.25"/>
    <row r="211097" s="12" customFormat="1" x14ac:dyDescent="0.25"/>
    <row r="211098" s="12" customFormat="1" x14ac:dyDescent="0.25"/>
    <row r="211099" s="12" customFormat="1" x14ac:dyDescent="0.25"/>
    <row r="211100" s="12" customFormat="1" x14ac:dyDescent="0.25"/>
    <row r="211101" s="12" customFormat="1" x14ac:dyDescent="0.25"/>
    <row r="211102" s="12" customFormat="1" x14ac:dyDescent="0.25"/>
    <row r="211103" s="12" customFormat="1" x14ac:dyDescent="0.25"/>
    <row r="211104" s="12" customFormat="1" x14ac:dyDescent="0.25"/>
    <row r="211105" s="12" customFormat="1" x14ac:dyDescent="0.25"/>
    <row r="211106" s="12" customFormat="1" x14ac:dyDescent="0.25"/>
    <row r="211107" s="12" customFormat="1" x14ac:dyDescent="0.25"/>
    <row r="211108" s="12" customFormat="1" x14ac:dyDescent="0.25"/>
    <row r="211109" s="12" customFormat="1" x14ac:dyDescent="0.25"/>
    <row r="211110" s="12" customFormat="1" x14ac:dyDescent="0.25"/>
    <row r="211111" s="12" customFormat="1" x14ac:dyDescent="0.25"/>
    <row r="211112" s="12" customFormat="1" x14ac:dyDescent="0.25"/>
    <row r="211113" s="12" customFormat="1" x14ac:dyDescent="0.25"/>
    <row r="211114" s="12" customFormat="1" x14ac:dyDescent="0.25"/>
    <row r="211115" s="12" customFormat="1" x14ac:dyDescent="0.25"/>
    <row r="211116" s="12" customFormat="1" x14ac:dyDescent="0.25"/>
    <row r="211117" s="12" customFormat="1" x14ac:dyDescent="0.25"/>
    <row r="211118" s="12" customFormat="1" x14ac:dyDescent="0.25"/>
    <row r="211119" s="12" customFormat="1" x14ac:dyDescent="0.25"/>
    <row r="211120" s="12" customFormat="1" x14ac:dyDescent="0.25"/>
    <row r="211121" s="12" customFormat="1" x14ac:dyDescent="0.25"/>
    <row r="211122" s="12" customFormat="1" x14ac:dyDescent="0.25"/>
    <row r="211123" s="12" customFormat="1" x14ac:dyDescent="0.25"/>
    <row r="211124" s="12" customFormat="1" x14ac:dyDescent="0.25"/>
    <row r="211125" s="12" customFormat="1" x14ac:dyDescent="0.25"/>
    <row r="211126" s="12" customFormat="1" x14ac:dyDescent="0.25"/>
    <row r="211127" s="12" customFormat="1" x14ac:dyDescent="0.25"/>
    <row r="211128" s="12" customFormat="1" x14ac:dyDescent="0.25"/>
    <row r="211129" s="12" customFormat="1" x14ac:dyDescent="0.25"/>
    <row r="211130" s="12" customFormat="1" x14ac:dyDescent="0.25"/>
    <row r="211131" s="12" customFormat="1" x14ac:dyDescent="0.25"/>
    <row r="211132" s="12" customFormat="1" x14ac:dyDescent="0.25"/>
    <row r="211133" s="12" customFormat="1" x14ac:dyDescent="0.25"/>
    <row r="211134" s="12" customFormat="1" x14ac:dyDescent="0.25"/>
    <row r="211135" s="12" customFormat="1" x14ac:dyDescent="0.25"/>
    <row r="211136" s="12" customFormat="1" x14ac:dyDescent="0.25"/>
    <row r="211137" s="12" customFormat="1" x14ac:dyDescent="0.25"/>
    <row r="211138" s="12" customFormat="1" x14ac:dyDescent="0.25"/>
    <row r="211139" s="12" customFormat="1" x14ac:dyDescent="0.25"/>
    <row r="211140" s="12" customFormat="1" x14ac:dyDescent="0.25"/>
    <row r="211141" s="12" customFormat="1" x14ac:dyDescent="0.25"/>
    <row r="211142" s="12" customFormat="1" x14ac:dyDescent="0.25"/>
    <row r="211143" s="12" customFormat="1" x14ac:dyDescent="0.25"/>
    <row r="211144" s="12" customFormat="1" x14ac:dyDescent="0.25"/>
    <row r="211145" s="12" customFormat="1" x14ac:dyDescent="0.25"/>
    <row r="211146" s="12" customFormat="1" x14ac:dyDescent="0.25"/>
    <row r="211147" s="12" customFormat="1" x14ac:dyDescent="0.25"/>
    <row r="211148" s="12" customFormat="1" x14ac:dyDescent="0.25"/>
    <row r="211149" s="12" customFormat="1" x14ac:dyDescent="0.25"/>
    <row r="211150" s="12" customFormat="1" x14ac:dyDescent="0.25"/>
    <row r="211151" s="12" customFormat="1" x14ac:dyDescent="0.25"/>
    <row r="211152" s="12" customFormat="1" x14ac:dyDescent="0.25"/>
    <row r="211153" s="12" customFormat="1" x14ac:dyDescent="0.25"/>
    <row r="211154" s="12" customFormat="1" x14ac:dyDescent="0.25"/>
    <row r="211155" s="12" customFormat="1" x14ac:dyDescent="0.25"/>
    <row r="211156" s="12" customFormat="1" x14ac:dyDescent="0.25"/>
    <row r="211157" s="12" customFormat="1" x14ac:dyDescent="0.25"/>
    <row r="211158" s="12" customFormat="1" x14ac:dyDescent="0.25"/>
    <row r="211159" s="12" customFormat="1" x14ac:dyDescent="0.25"/>
    <row r="211160" s="12" customFormat="1" x14ac:dyDescent="0.25"/>
    <row r="211161" s="12" customFormat="1" x14ac:dyDescent="0.25"/>
    <row r="211162" s="12" customFormat="1" x14ac:dyDescent="0.25"/>
    <row r="211163" s="12" customFormat="1" x14ac:dyDescent="0.25"/>
    <row r="211164" s="12" customFormat="1" x14ac:dyDescent="0.25"/>
    <row r="211165" s="12" customFormat="1" x14ac:dyDescent="0.25"/>
    <row r="211166" s="12" customFormat="1" x14ac:dyDescent="0.25"/>
    <row r="211167" s="12" customFormat="1" x14ac:dyDescent="0.25"/>
    <row r="211168" s="12" customFormat="1" x14ac:dyDescent="0.25"/>
    <row r="211169" s="12" customFormat="1" x14ac:dyDescent="0.25"/>
    <row r="211170" s="12" customFormat="1" x14ac:dyDescent="0.25"/>
    <row r="211171" s="12" customFormat="1" x14ac:dyDescent="0.25"/>
    <row r="211172" s="12" customFormat="1" x14ac:dyDescent="0.25"/>
    <row r="211173" s="12" customFormat="1" x14ac:dyDescent="0.25"/>
    <row r="211174" s="12" customFormat="1" x14ac:dyDescent="0.25"/>
    <row r="211175" s="12" customFormat="1" x14ac:dyDescent="0.25"/>
    <row r="211176" s="12" customFormat="1" x14ac:dyDescent="0.25"/>
    <row r="211177" s="12" customFormat="1" x14ac:dyDescent="0.25"/>
    <row r="211178" s="12" customFormat="1" x14ac:dyDescent="0.25"/>
    <row r="211179" s="12" customFormat="1" x14ac:dyDescent="0.25"/>
    <row r="211180" s="12" customFormat="1" x14ac:dyDescent="0.25"/>
    <row r="211181" s="12" customFormat="1" x14ac:dyDescent="0.25"/>
    <row r="211182" s="12" customFormat="1" x14ac:dyDescent="0.25"/>
    <row r="211183" s="12" customFormat="1" x14ac:dyDescent="0.25"/>
    <row r="211184" s="12" customFormat="1" x14ac:dyDescent="0.25"/>
    <row r="211185" s="12" customFormat="1" x14ac:dyDescent="0.25"/>
    <row r="211186" s="12" customFormat="1" x14ac:dyDescent="0.25"/>
    <row r="211187" s="12" customFormat="1" x14ac:dyDescent="0.25"/>
    <row r="211188" s="12" customFormat="1" x14ac:dyDescent="0.25"/>
    <row r="211189" s="12" customFormat="1" x14ac:dyDescent="0.25"/>
    <row r="211190" s="12" customFormat="1" x14ac:dyDescent="0.25"/>
    <row r="211191" s="12" customFormat="1" x14ac:dyDescent="0.25"/>
    <row r="211192" s="12" customFormat="1" x14ac:dyDescent="0.25"/>
    <row r="211193" s="12" customFormat="1" x14ac:dyDescent="0.25"/>
    <row r="211194" s="12" customFormat="1" x14ac:dyDescent="0.25"/>
    <row r="211195" s="12" customFormat="1" x14ac:dyDescent="0.25"/>
    <row r="211196" s="12" customFormat="1" x14ac:dyDescent="0.25"/>
    <row r="211197" s="12" customFormat="1" x14ac:dyDescent="0.25"/>
    <row r="211198" s="12" customFormat="1" x14ac:dyDescent="0.25"/>
    <row r="211199" s="12" customFormat="1" x14ac:dyDescent="0.25"/>
    <row r="211200" s="12" customFormat="1" x14ac:dyDescent="0.25"/>
    <row r="211201" s="12" customFormat="1" x14ac:dyDescent="0.25"/>
    <row r="211202" s="12" customFormat="1" x14ac:dyDescent="0.25"/>
    <row r="211203" s="12" customFormat="1" x14ac:dyDescent="0.25"/>
    <row r="211204" s="12" customFormat="1" x14ac:dyDescent="0.25"/>
    <row r="211205" s="12" customFormat="1" x14ac:dyDescent="0.25"/>
    <row r="211206" s="12" customFormat="1" x14ac:dyDescent="0.25"/>
    <row r="211207" s="12" customFormat="1" x14ac:dyDescent="0.25"/>
    <row r="211208" s="12" customFormat="1" x14ac:dyDescent="0.25"/>
    <row r="211209" s="12" customFormat="1" x14ac:dyDescent="0.25"/>
    <row r="211210" s="12" customFormat="1" x14ac:dyDescent="0.25"/>
    <row r="211211" s="12" customFormat="1" x14ac:dyDescent="0.25"/>
    <row r="211212" s="12" customFormat="1" x14ac:dyDescent="0.25"/>
    <row r="211213" s="12" customFormat="1" x14ac:dyDescent="0.25"/>
    <row r="211214" s="12" customFormat="1" x14ac:dyDescent="0.25"/>
    <row r="211215" s="12" customFormat="1" x14ac:dyDescent="0.25"/>
    <row r="211216" s="12" customFormat="1" x14ac:dyDescent="0.25"/>
    <row r="211217" s="12" customFormat="1" x14ac:dyDescent="0.25"/>
    <row r="211218" s="12" customFormat="1" x14ac:dyDescent="0.25"/>
    <row r="211219" s="12" customFormat="1" x14ac:dyDescent="0.25"/>
    <row r="211220" s="12" customFormat="1" x14ac:dyDescent="0.25"/>
    <row r="211221" s="12" customFormat="1" x14ac:dyDescent="0.25"/>
    <row r="211222" s="12" customFormat="1" x14ac:dyDescent="0.25"/>
    <row r="211223" s="12" customFormat="1" x14ac:dyDescent="0.25"/>
    <row r="211224" s="12" customFormat="1" x14ac:dyDescent="0.25"/>
    <row r="211225" s="12" customFormat="1" x14ac:dyDescent="0.25"/>
    <row r="211226" s="12" customFormat="1" x14ac:dyDescent="0.25"/>
    <row r="211227" s="12" customFormat="1" x14ac:dyDescent="0.25"/>
    <row r="211228" s="12" customFormat="1" x14ac:dyDescent="0.25"/>
    <row r="211229" s="12" customFormat="1" x14ac:dyDescent="0.25"/>
    <row r="211230" s="12" customFormat="1" x14ac:dyDescent="0.25"/>
    <row r="211231" s="12" customFormat="1" x14ac:dyDescent="0.25"/>
    <row r="211232" s="12" customFormat="1" x14ac:dyDescent="0.25"/>
    <row r="211233" s="12" customFormat="1" x14ac:dyDescent="0.25"/>
    <row r="211234" s="12" customFormat="1" x14ac:dyDescent="0.25"/>
    <row r="211235" s="12" customFormat="1" x14ac:dyDescent="0.25"/>
    <row r="211236" s="12" customFormat="1" x14ac:dyDescent="0.25"/>
    <row r="211237" s="12" customFormat="1" x14ac:dyDescent="0.25"/>
    <row r="211238" s="12" customFormat="1" x14ac:dyDescent="0.25"/>
    <row r="211239" s="12" customFormat="1" x14ac:dyDescent="0.25"/>
    <row r="211240" s="12" customFormat="1" x14ac:dyDescent="0.25"/>
    <row r="211241" s="12" customFormat="1" x14ac:dyDescent="0.25"/>
    <row r="211242" s="12" customFormat="1" x14ac:dyDescent="0.25"/>
    <row r="211243" s="12" customFormat="1" x14ac:dyDescent="0.25"/>
    <row r="211244" s="12" customFormat="1" x14ac:dyDescent="0.25"/>
    <row r="211245" s="12" customFormat="1" x14ac:dyDescent="0.25"/>
    <row r="211246" s="12" customFormat="1" x14ac:dyDescent="0.25"/>
    <row r="211247" s="12" customFormat="1" x14ac:dyDescent="0.25"/>
    <row r="211248" s="12" customFormat="1" x14ac:dyDescent="0.25"/>
    <row r="211249" s="12" customFormat="1" x14ac:dyDescent="0.25"/>
    <row r="211250" s="12" customFormat="1" x14ac:dyDescent="0.25"/>
    <row r="211251" s="12" customFormat="1" x14ac:dyDescent="0.25"/>
    <row r="211252" s="12" customFormat="1" x14ac:dyDescent="0.25"/>
    <row r="211253" s="12" customFormat="1" x14ac:dyDescent="0.25"/>
    <row r="211254" s="12" customFormat="1" x14ac:dyDescent="0.25"/>
    <row r="211255" s="12" customFormat="1" x14ac:dyDescent="0.25"/>
    <row r="211256" s="12" customFormat="1" x14ac:dyDescent="0.25"/>
    <row r="211257" s="12" customFormat="1" x14ac:dyDescent="0.25"/>
    <row r="211258" s="12" customFormat="1" x14ac:dyDescent="0.25"/>
    <row r="211259" s="12" customFormat="1" x14ac:dyDescent="0.25"/>
    <row r="211260" s="12" customFormat="1" x14ac:dyDescent="0.25"/>
    <row r="211261" s="12" customFormat="1" x14ac:dyDescent="0.25"/>
    <row r="211262" s="12" customFormat="1" x14ac:dyDescent="0.25"/>
    <row r="211263" s="12" customFormat="1" x14ac:dyDescent="0.25"/>
    <row r="211264" s="12" customFormat="1" x14ac:dyDescent="0.25"/>
    <row r="211265" s="12" customFormat="1" x14ac:dyDescent="0.25"/>
    <row r="211266" s="12" customFormat="1" x14ac:dyDescent="0.25"/>
    <row r="211267" s="12" customFormat="1" x14ac:dyDescent="0.25"/>
    <row r="211268" s="12" customFormat="1" x14ac:dyDescent="0.25"/>
    <row r="211269" s="12" customFormat="1" x14ac:dyDescent="0.25"/>
    <row r="211270" s="12" customFormat="1" x14ac:dyDescent="0.25"/>
    <row r="211271" s="12" customFormat="1" x14ac:dyDescent="0.25"/>
    <row r="211272" s="12" customFormat="1" x14ac:dyDescent="0.25"/>
    <row r="211273" s="12" customFormat="1" x14ac:dyDescent="0.25"/>
    <row r="211274" s="12" customFormat="1" x14ac:dyDescent="0.25"/>
    <row r="211275" s="12" customFormat="1" x14ac:dyDescent="0.25"/>
    <row r="211276" s="12" customFormat="1" x14ac:dyDescent="0.25"/>
    <row r="211277" s="12" customFormat="1" x14ac:dyDescent="0.25"/>
    <row r="211278" s="12" customFormat="1" x14ac:dyDescent="0.25"/>
    <row r="211279" s="12" customFormat="1" x14ac:dyDescent="0.25"/>
    <row r="211280" s="12" customFormat="1" x14ac:dyDescent="0.25"/>
    <row r="211281" s="12" customFormat="1" x14ac:dyDescent="0.25"/>
    <row r="211282" s="12" customFormat="1" x14ac:dyDescent="0.25"/>
    <row r="211283" s="12" customFormat="1" x14ac:dyDescent="0.25"/>
    <row r="211284" s="12" customFormat="1" x14ac:dyDescent="0.25"/>
    <row r="211285" s="12" customFormat="1" x14ac:dyDescent="0.25"/>
    <row r="211286" s="12" customFormat="1" x14ac:dyDescent="0.25"/>
    <row r="211287" s="12" customFormat="1" x14ac:dyDescent="0.25"/>
    <row r="211288" s="12" customFormat="1" x14ac:dyDescent="0.25"/>
    <row r="211289" s="12" customFormat="1" x14ac:dyDescent="0.25"/>
    <row r="211290" s="12" customFormat="1" x14ac:dyDescent="0.25"/>
    <row r="211291" s="12" customFormat="1" x14ac:dyDescent="0.25"/>
    <row r="211292" s="12" customFormat="1" x14ac:dyDescent="0.25"/>
    <row r="211293" s="12" customFormat="1" x14ac:dyDescent="0.25"/>
    <row r="211294" s="12" customFormat="1" x14ac:dyDescent="0.25"/>
    <row r="211295" s="12" customFormat="1" x14ac:dyDescent="0.25"/>
    <row r="211296" s="12" customFormat="1" x14ac:dyDescent="0.25"/>
    <row r="211297" s="12" customFormat="1" x14ac:dyDescent="0.25"/>
    <row r="211298" s="12" customFormat="1" x14ac:dyDescent="0.25"/>
    <row r="211299" s="12" customFormat="1" x14ac:dyDescent="0.25"/>
    <row r="211300" s="12" customFormat="1" x14ac:dyDescent="0.25"/>
    <row r="211301" s="12" customFormat="1" x14ac:dyDescent="0.25"/>
    <row r="211302" s="12" customFormat="1" x14ac:dyDescent="0.25"/>
    <row r="211303" s="12" customFormat="1" x14ac:dyDescent="0.25"/>
    <row r="211304" s="12" customFormat="1" x14ac:dyDescent="0.25"/>
    <row r="211305" s="12" customFormat="1" x14ac:dyDescent="0.25"/>
    <row r="211306" s="12" customFormat="1" x14ac:dyDescent="0.25"/>
    <row r="211307" s="12" customFormat="1" x14ac:dyDescent="0.25"/>
    <row r="211308" s="12" customFormat="1" x14ac:dyDescent="0.25"/>
    <row r="211309" s="12" customFormat="1" x14ac:dyDescent="0.25"/>
    <row r="211310" s="12" customFormat="1" x14ac:dyDescent="0.25"/>
    <row r="211311" s="12" customFormat="1" x14ac:dyDescent="0.25"/>
    <row r="211312" s="12" customFormat="1" x14ac:dyDescent="0.25"/>
    <row r="211313" s="12" customFormat="1" x14ac:dyDescent="0.25"/>
    <row r="211314" s="12" customFormat="1" x14ac:dyDescent="0.25"/>
    <row r="211315" s="12" customFormat="1" x14ac:dyDescent="0.25"/>
    <row r="211316" s="12" customFormat="1" x14ac:dyDescent="0.25"/>
    <row r="211317" s="12" customFormat="1" x14ac:dyDescent="0.25"/>
    <row r="211318" s="12" customFormat="1" x14ac:dyDescent="0.25"/>
    <row r="211319" s="12" customFormat="1" x14ac:dyDescent="0.25"/>
    <row r="211320" s="12" customFormat="1" x14ac:dyDescent="0.25"/>
    <row r="211321" s="12" customFormat="1" x14ac:dyDescent="0.25"/>
    <row r="211322" s="12" customFormat="1" x14ac:dyDescent="0.25"/>
    <row r="211323" s="12" customFormat="1" x14ac:dyDescent="0.25"/>
    <row r="211324" s="12" customFormat="1" x14ac:dyDescent="0.25"/>
    <row r="211325" s="12" customFormat="1" x14ac:dyDescent="0.25"/>
    <row r="211326" s="12" customFormat="1" x14ac:dyDescent="0.25"/>
    <row r="211327" s="12" customFormat="1" x14ac:dyDescent="0.25"/>
    <row r="211328" s="12" customFormat="1" x14ac:dyDescent="0.25"/>
    <row r="211329" s="12" customFormat="1" x14ac:dyDescent="0.25"/>
    <row r="211330" s="12" customFormat="1" x14ac:dyDescent="0.25"/>
    <row r="211331" s="12" customFormat="1" x14ac:dyDescent="0.25"/>
    <row r="211332" s="12" customFormat="1" x14ac:dyDescent="0.25"/>
    <row r="211333" s="12" customFormat="1" x14ac:dyDescent="0.25"/>
    <row r="211334" s="12" customFormat="1" x14ac:dyDescent="0.25"/>
    <row r="211335" s="12" customFormat="1" x14ac:dyDescent="0.25"/>
    <row r="211336" s="12" customFormat="1" x14ac:dyDescent="0.25"/>
    <row r="211337" s="12" customFormat="1" x14ac:dyDescent="0.25"/>
    <row r="211338" s="12" customFormat="1" x14ac:dyDescent="0.25"/>
    <row r="211339" s="12" customFormat="1" x14ac:dyDescent="0.25"/>
    <row r="211340" s="12" customFormat="1" x14ac:dyDescent="0.25"/>
    <row r="211341" s="12" customFormat="1" x14ac:dyDescent="0.25"/>
    <row r="211342" s="12" customFormat="1" x14ac:dyDescent="0.25"/>
    <row r="211343" s="12" customFormat="1" x14ac:dyDescent="0.25"/>
    <row r="211344" s="12" customFormat="1" x14ac:dyDescent="0.25"/>
    <row r="211345" s="12" customFormat="1" x14ac:dyDescent="0.25"/>
    <row r="211346" s="12" customFormat="1" x14ac:dyDescent="0.25"/>
    <row r="211347" s="12" customFormat="1" x14ac:dyDescent="0.25"/>
    <row r="211348" s="12" customFormat="1" x14ac:dyDescent="0.25"/>
    <row r="211349" s="12" customFormat="1" x14ac:dyDescent="0.25"/>
    <row r="211350" s="12" customFormat="1" x14ac:dyDescent="0.25"/>
    <row r="211351" s="12" customFormat="1" x14ac:dyDescent="0.25"/>
    <row r="211352" s="12" customFormat="1" x14ac:dyDescent="0.25"/>
    <row r="211353" s="12" customFormat="1" x14ac:dyDescent="0.25"/>
    <row r="211354" s="12" customFormat="1" x14ac:dyDescent="0.25"/>
    <row r="211355" s="12" customFormat="1" x14ac:dyDescent="0.25"/>
    <row r="211356" s="12" customFormat="1" x14ac:dyDescent="0.25"/>
    <row r="211357" s="12" customFormat="1" x14ac:dyDescent="0.25"/>
    <row r="211358" s="12" customFormat="1" x14ac:dyDescent="0.25"/>
    <row r="211359" s="12" customFormat="1" x14ac:dyDescent="0.25"/>
    <row r="211360" s="12" customFormat="1" x14ac:dyDescent="0.25"/>
    <row r="211361" s="12" customFormat="1" x14ac:dyDescent="0.25"/>
    <row r="211362" s="12" customFormat="1" x14ac:dyDescent="0.25"/>
    <row r="211363" s="12" customFormat="1" x14ac:dyDescent="0.25"/>
    <row r="211364" s="12" customFormat="1" x14ac:dyDescent="0.25"/>
    <row r="211365" s="12" customFormat="1" x14ac:dyDescent="0.25"/>
    <row r="211366" s="12" customFormat="1" x14ac:dyDescent="0.25"/>
    <row r="211367" s="12" customFormat="1" x14ac:dyDescent="0.25"/>
    <row r="211368" s="12" customFormat="1" x14ac:dyDescent="0.25"/>
    <row r="211369" s="12" customFormat="1" x14ac:dyDescent="0.25"/>
    <row r="211370" s="12" customFormat="1" x14ac:dyDescent="0.25"/>
    <row r="211371" s="12" customFormat="1" x14ac:dyDescent="0.25"/>
    <row r="211372" s="12" customFormat="1" x14ac:dyDescent="0.25"/>
    <row r="211373" s="12" customFormat="1" x14ac:dyDescent="0.25"/>
    <row r="211374" s="12" customFormat="1" x14ac:dyDescent="0.25"/>
    <row r="211375" s="12" customFormat="1" x14ac:dyDescent="0.25"/>
    <row r="211376" s="12" customFormat="1" x14ac:dyDescent="0.25"/>
    <row r="211377" s="12" customFormat="1" x14ac:dyDescent="0.25"/>
    <row r="211378" s="12" customFormat="1" x14ac:dyDescent="0.25"/>
    <row r="211379" s="12" customFormat="1" x14ac:dyDescent="0.25"/>
    <row r="211380" s="12" customFormat="1" x14ac:dyDescent="0.25"/>
    <row r="211381" s="12" customFormat="1" x14ac:dyDescent="0.25"/>
    <row r="211382" s="12" customFormat="1" x14ac:dyDescent="0.25"/>
    <row r="211383" s="12" customFormat="1" x14ac:dyDescent="0.25"/>
    <row r="211384" s="12" customFormat="1" x14ac:dyDescent="0.25"/>
    <row r="211385" s="12" customFormat="1" x14ac:dyDescent="0.25"/>
    <row r="211386" s="12" customFormat="1" x14ac:dyDescent="0.25"/>
    <row r="211387" s="12" customFormat="1" x14ac:dyDescent="0.25"/>
    <row r="211388" s="12" customFormat="1" x14ac:dyDescent="0.25"/>
    <row r="211389" s="12" customFormat="1" x14ac:dyDescent="0.25"/>
    <row r="211390" s="12" customFormat="1" x14ac:dyDescent="0.25"/>
    <row r="211391" s="12" customFormat="1" x14ac:dyDescent="0.25"/>
    <row r="211392" s="12" customFormat="1" x14ac:dyDescent="0.25"/>
    <row r="211393" s="12" customFormat="1" x14ac:dyDescent="0.25"/>
    <row r="211394" s="12" customFormat="1" x14ac:dyDescent="0.25"/>
    <row r="211395" s="12" customFormat="1" x14ac:dyDescent="0.25"/>
    <row r="211396" s="12" customFormat="1" x14ac:dyDescent="0.25"/>
    <row r="211397" s="12" customFormat="1" x14ac:dyDescent="0.25"/>
    <row r="211398" s="12" customFormat="1" x14ac:dyDescent="0.25"/>
    <row r="211399" s="12" customFormat="1" x14ac:dyDescent="0.25"/>
    <row r="211400" s="12" customFormat="1" x14ac:dyDescent="0.25"/>
    <row r="211401" s="12" customFormat="1" x14ac:dyDescent="0.25"/>
    <row r="211402" s="12" customFormat="1" x14ac:dyDescent="0.25"/>
    <row r="211403" s="12" customFormat="1" x14ac:dyDescent="0.25"/>
    <row r="211404" s="12" customFormat="1" x14ac:dyDescent="0.25"/>
    <row r="211405" s="12" customFormat="1" x14ac:dyDescent="0.25"/>
    <row r="211406" s="12" customFormat="1" x14ac:dyDescent="0.25"/>
    <row r="211407" s="12" customFormat="1" x14ac:dyDescent="0.25"/>
    <row r="211408" s="12" customFormat="1" x14ac:dyDescent="0.25"/>
    <row r="211409" s="12" customFormat="1" x14ac:dyDescent="0.25"/>
    <row r="211410" s="12" customFormat="1" x14ac:dyDescent="0.25"/>
    <row r="211411" s="12" customFormat="1" x14ac:dyDescent="0.25"/>
    <row r="211412" s="12" customFormat="1" x14ac:dyDescent="0.25"/>
    <row r="211413" s="12" customFormat="1" x14ac:dyDescent="0.25"/>
    <row r="211414" s="12" customFormat="1" x14ac:dyDescent="0.25"/>
    <row r="211415" s="12" customFormat="1" x14ac:dyDescent="0.25"/>
    <row r="211416" s="12" customFormat="1" x14ac:dyDescent="0.25"/>
    <row r="211417" s="12" customFormat="1" x14ac:dyDescent="0.25"/>
    <row r="211418" s="12" customFormat="1" x14ac:dyDescent="0.25"/>
    <row r="211419" s="12" customFormat="1" x14ac:dyDescent="0.25"/>
    <row r="211420" s="12" customFormat="1" x14ac:dyDescent="0.25"/>
    <row r="211421" s="12" customFormat="1" x14ac:dyDescent="0.25"/>
    <row r="211422" s="12" customFormat="1" x14ac:dyDescent="0.25"/>
    <row r="211423" s="12" customFormat="1" x14ac:dyDescent="0.25"/>
    <row r="211424" s="12" customFormat="1" x14ac:dyDescent="0.25"/>
    <row r="211425" s="12" customFormat="1" x14ac:dyDescent="0.25"/>
    <row r="211426" s="12" customFormat="1" x14ac:dyDescent="0.25"/>
    <row r="211427" s="12" customFormat="1" x14ac:dyDescent="0.25"/>
    <row r="211428" s="12" customFormat="1" x14ac:dyDescent="0.25"/>
    <row r="211429" s="12" customFormat="1" x14ac:dyDescent="0.25"/>
    <row r="211430" s="12" customFormat="1" x14ac:dyDescent="0.25"/>
    <row r="211431" s="12" customFormat="1" x14ac:dyDescent="0.25"/>
    <row r="211432" s="12" customFormat="1" x14ac:dyDescent="0.25"/>
    <row r="211433" s="12" customFormat="1" x14ac:dyDescent="0.25"/>
    <row r="211434" s="12" customFormat="1" x14ac:dyDescent="0.25"/>
    <row r="211435" s="12" customFormat="1" x14ac:dyDescent="0.25"/>
    <row r="211436" s="12" customFormat="1" x14ac:dyDescent="0.25"/>
    <row r="211437" s="12" customFormat="1" x14ac:dyDescent="0.25"/>
    <row r="211438" s="12" customFormat="1" x14ac:dyDescent="0.25"/>
    <row r="211439" s="12" customFormat="1" x14ac:dyDescent="0.25"/>
    <row r="211440" s="12" customFormat="1" x14ac:dyDescent="0.25"/>
    <row r="211441" s="12" customFormat="1" x14ac:dyDescent="0.25"/>
    <row r="211442" s="12" customFormat="1" x14ac:dyDescent="0.25"/>
    <row r="211443" s="12" customFormat="1" x14ac:dyDescent="0.25"/>
    <row r="211444" s="12" customFormat="1" x14ac:dyDescent="0.25"/>
    <row r="211445" s="12" customFormat="1" x14ac:dyDescent="0.25"/>
    <row r="211446" s="12" customFormat="1" x14ac:dyDescent="0.25"/>
    <row r="211447" s="12" customFormat="1" x14ac:dyDescent="0.25"/>
    <row r="211448" s="12" customFormat="1" x14ac:dyDescent="0.25"/>
    <row r="211449" s="12" customFormat="1" x14ac:dyDescent="0.25"/>
    <row r="211450" s="12" customFormat="1" x14ac:dyDescent="0.25"/>
    <row r="211451" s="12" customFormat="1" x14ac:dyDescent="0.25"/>
    <row r="211452" s="12" customFormat="1" x14ac:dyDescent="0.25"/>
    <row r="211453" s="12" customFormat="1" x14ac:dyDescent="0.25"/>
    <row r="211454" s="12" customFormat="1" x14ac:dyDescent="0.25"/>
    <row r="211455" s="12" customFormat="1" x14ac:dyDescent="0.25"/>
    <row r="211456" s="12" customFormat="1" x14ac:dyDescent="0.25"/>
    <row r="211457" s="12" customFormat="1" x14ac:dyDescent="0.25"/>
    <row r="211458" s="12" customFormat="1" x14ac:dyDescent="0.25"/>
    <row r="211459" s="12" customFormat="1" x14ac:dyDescent="0.25"/>
    <row r="211460" s="12" customFormat="1" x14ac:dyDescent="0.25"/>
    <row r="211461" s="12" customFormat="1" x14ac:dyDescent="0.25"/>
    <row r="211462" s="12" customFormat="1" x14ac:dyDescent="0.25"/>
    <row r="211463" s="12" customFormat="1" x14ac:dyDescent="0.25"/>
    <row r="211464" s="12" customFormat="1" x14ac:dyDescent="0.25"/>
    <row r="211465" s="12" customFormat="1" x14ac:dyDescent="0.25"/>
    <row r="211466" s="12" customFormat="1" x14ac:dyDescent="0.25"/>
    <row r="211467" s="12" customFormat="1" x14ac:dyDescent="0.25"/>
    <row r="211468" s="12" customFormat="1" x14ac:dyDescent="0.25"/>
    <row r="211469" s="12" customFormat="1" x14ac:dyDescent="0.25"/>
    <row r="211470" s="12" customFormat="1" x14ac:dyDescent="0.25"/>
    <row r="211471" s="12" customFormat="1" x14ac:dyDescent="0.25"/>
    <row r="211472" s="12" customFormat="1" x14ac:dyDescent="0.25"/>
    <row r="211473" s="12" customFormat="1" x14ac:dyDescent="0.25"/>
    <row r="211474" s="12" customFormat="1" x14ac:dyDescent="0.25"/>
    <row r="211475" s="12" customFormat="1" x14ac:dyDescent="0.25"/>
    <row r="211476" s="12" customFormat="1" x14ac:dyDescent="0.25"/>
    <row r="211477" s="12" customFormat="1" x14ac:dyDescent="0.25"/>
    <row r="211478" s="12" customFormat="1" x14ac:dyDescent="0.25"/>
    <row r="211479" s="12" customFormat="1" x14ac:dyDescent="0.25"/>
    <row r="211480" s="12" customFormat="1" x14ac:dyDescent="0.25"/>
    <row r="211481" s="12" customFormat="1" x14ac:dyDescent="0.25"/>
    <row r="211482" s="12" customFormat="1" x14ac:dyDescent="0.25"/>
    <row r="211483" s="12" customFormat="1" x14ac:dyDescent="0.25"/>
    <row r="211484" s="12" customFormat="1" x14ac:dyDescent="0.25"/>
    <row r="211485" s="12" customFormat="1" x14ac:dyDescent="0.25"/>
    <row r="211486" s="12" customFormat="1" x14ac:dyDescent="0.25"/>
    <row r="211487" s="12" customFormat="1" x14ac:dyDescent="0.25"/>
    <row r="211488" s="12" customFormat="1" x14ac:dyDescent="0.25"/>
    <row r="211489" s="12" customFormat="1" x14ac:dyDescent="0.25"/>
    <row r="211490" s="12" customFormat="1" x14ac:dyDescent="0.25"/>
    <row r="211491" s="12" customFormat="1" x14ac:dyDescent="0.25"/>
    <row r="211492" s="12" customFormat="1" x14ac:dyDescent="0.25"/>
    <row r="211493" s="12" customFormat="1" x14ac:dyDescent="0.25"/>
    <row r="211494" s="12" customFormat="1" x14ac:dyDescent="0.25"/>
    <row r="211495" s="12" customFormat="1" x14ac:dyDescent="0.25"/>
    <row r="211496" s="12" customFormat="1" x14ac:dyDescent="0.25"/>
    <row r="211497" s="12" customFormat="1" x14ac:dyDescent="0.25"/>
    <row r="211498" s="12" customFormat="1" x14ac:dyDescent="0.25"/>
    <row r="211499" s="12" customFormat="1" x14ac:dyDescent="0.25"/>
    <row r="211500" s="12" customFormat="1" x14ac:dyDescent="0.25"/>
    <row r="211501" s="12" customFormat="1" x14ac:dyDescent="0.25"/>
    <row r="211502" s="12" customFormat="1" x14ac:dyDescent="0.25"/>
    <row r="211503" s="12" customFormat="1" x14ac:dyDescent="0.25"/>
    <row r="211504" s="12" customFormat="1" x14ac:dyDescent="0.25"/>
    <row r="211505" s="12" customFormat="1" x14ac:dyDescent="0.25"/>
    <row r="211506" s="12" customFormat="1" x14ac:dyDescent="0.25"/>
    <row r="211507" s="12" customFormat="1" x14ac:dyDescent="0.25"/>
    <row r="211508" s="12" customFormat="1" x14ac:dyDescent="0.25"/>
    <row r="211509" s="12" customFormat="1" x14ac:dyDescent="0.25"/>
    <row r="211510" s="12" customFormat="1" x14ac:dyDescent="0.25"/>
    <row r="211511" s="12" customFormat="1" x14ac:dyDescent="0.25"/>
    <row r="211512" s="12" customFormat="1" x14ac:dyDescent="0.25"/>
    <row r="211513" s="12" customFormat="1" x14ac:dyDescent="0.25"/>
    <row r="211514" s="12" customFormat="1" x14ac:dyDescent="0.25"/>
    <row r="211515" s="12" customFormat="1" x14ac:dyDescent="0.25"/>
    <row r="211516" s="12" customFormat="1" x14ac:dyDescent="0.25"/>
    <row r="211517" s="12" customFormat="1" x14ac:dyDescent="0.25"/>
    <row r="211518" s="12" customFormat="1" x14ac:dyDescent="0.25"/>
    <row r="211519" s="12" customFormat="1" x14ac:dyDescent="0.25"/>
    <row r="211520" s="12" customFormat="1" x14ac:dyDescent="0.25"/>
    <row r="211521" s="12" customFormat="1" x14ac:dyDescent="0.25"/>
    <row r="211522" s="12" customFormat="1" x14ac:dyDescent="0.25"/>
    <row r="211523" s="12" customFormat="1" x14ac:dyDescent="0.25"/>
    <row r="211524" s="12" customFormat="1" x14ac:dyDescent="0.25"/>
    <row r="211525" s="12" customFormat="1" x14ac:dyDescent="0.25"/>
    <row r="211526" s="12" customFormat="1" x14ac:dyDescent="0.25"/>
    <row r="211527" s="12" customFormat="1" x14ac:dyDescent="0.25"/>
    <row r="211528" s="12" customFormat="1" x14ac:dyDescent="0.25"/>
    <row r="211529" s="12" customFormat="1" x14ac:dyDescent="0.25"/>
    <row r="211530" s="12" customFormat="1" x14ac:dyDescent="0.25"/>
    <row r="211531" s="12" customFormat="1" x14ac:dyDescent="0.25"/>
    <row r="211532" s="12" customFormat="1" x14ac:dyDescent="0.25"/>
    <row r="211533" s="12" customFormat="1" x14ac:dyDescent="0.25"/>
    <row r="211534" s="12" customFormat="1" x14ac:dyDescent="0.25"/>
    <row r="211535" s="12" customFormat="1" x14ac:dyDescent="0.25"/>
    <row r="211536" s="12" customFormat="1" x14ac:dyDescent="0.25"/>
    <row r="211537" s="12" customFormat="1" x14ac:dyDescent="0.25"/>
    <row r="211538" s="12" customFormat="1" x14ac:dyDescent="0.25"/>
    <row r="211539" s="12" customFormat="1" x14ac:dyDescent="0.25"/>
    <row r="211540" s="12" customFormat="1" x14ac:dyDescent="0.25"/>
    <row r="211541" s="12" customFormat="1" x14ac:dyDescent="0.25"/>
    <row r="211542" s="12" customFormat="1" x14ac:dyDescent="0.25"/>
    <row r="211543" s="12" customFormat="1" x14ac:dyDescent="0.25"/>
    <row r="211544" s="12" customFormat="1" x14ac:dyDescent="0.25"/>
    <row r="211545" s="12" customFormat="1" x14ac:dyDescent="0.25"/>
    <row r="211546" s="12" customFormat="1" x14ac:dyDescent="0.25"/>
    <row r="211547" s="12" customFormat="1" x14ac:dyDescent="0.25"/>
    <row r="211548" s="12" customFormat="1" x14ac:dyDescent="0.25"/>
    <row r="211549" s="12" customFormat="1" x14ac:dyDescent="0.25"/>
    <row r="211550" s="12" customFormat="1" x14ac:dyDescent="0.25"/>
    <row r="211551" s="12" customFormat="1" x14ac:dyDescent="0.25"/>
    <row r="211552" s="12" customFormat="1" x14ac:dyDescent="0.25"/>
    <row r="211553" s="12" customFormat="1" x14ac:dyDescent="0.25"/>
    <row r="211554" s="12" customFormat="1" x14ac:dyDescent="0.25"/>
    <row r="211555" s="12" customFormat="1" x14ac:dyDescent="0.25"/>
    <row r="211556" s="12" customFormat="1" x14ac:dyDescent="0.25"/>
    <row r="211557" s="12" customFormat="1" x14ac:dyDescent="0.25"/>
    <row r="211558" s="12" customFormat="1" x14ac:dyDescent="0.25"/>
    <row r="211559" s="12" customFormat="1" x14ac:dyDescent="0.25"/>
    <row r="211560" s="12" customFormat="1" x14ac:dyDescent="0.25"/>
    <row r="211561" s="12" customFormat="1" x14ac:dyDescent="0.25"/>
    <row r="211562" s="12" customFormat="1" x14ac:dyDescent="0.25"/>
    <row r="211563" s="12" customFormat="1" x14ac:dyDescent="0.25"/>
    <row r="211564" s="12" customFormat="1" x14ac:dyDescent="0.25"/>
    <row r="211565" s="12" customFormat="1" x14ac:dyDescent="0.25"/>
    <row r="211566" s="12" customFormat="1" x14ac:dyDescent="0.25"/>
    <row r="211567" s="12" customFormat="1" x14ac:dyDescent="0.25"/>
    <row r="211568" s="12" customFormat="1" x14ac:dyDescent="0.25"/>
    <row r="211569" s="12" customFormat="1" x14ac:dyDescent="0.25"/>
    <row r="211570" s="12" customFormat="1" x14ac:dyDescent="0.25"/>
    <row r="211571" s="12" customFormat="1" x14ac:dyDescent="0.25"/>
    <row r="211572" s="12" customFormat="1" x14ac:dyDescent="0.25"/>
    <row r="211573" s="12" customFormat="1" x14ac:dyDescent="0.25"/>
    <row r="211574" s="12" customFormat="1" x14ac:dyDescent="0.25"/>
    <row r="211575" s="12" customFormat="1" x14ac:dyDescent="0.25"/>
    <row r="211576" s="12" customFormat="1" x14ac:dyDescent="0.25"/>
    <row r="211577" s="12" customFormat="1" x14ac:dyDescent="0.25"/>
    <row r="211578" s="12" customFormat="1" x14ac:dyDescent="0.25"/>
    <row r="211579" s="12" customFormat="1" x14ac:dyDescent="0.25"/>
    <row r="211580" s="12" customFormat="1" x14ac:dyDescent="0.25"/>
    <row r="211581" s="12" customFormat="1" x14ac:dyDescent="0.25"/>
    <row r="211582" s="12" customFormat="1" x14ac:dyDescent="0.25"/>
    <row r="211583" s="12" customFormat="1" x14ac:dyDescent="0.25"/>
    <row r="211584" s="12" customFormat="1" x14ac:dyDescent="0.25"/>
    <row r="211585" s="12" customFormat="1" x14ac:dyDescent="0.25"/>
    <row r="211586" s="12" customFormat="1" x14ac:dyDescent="0.25"/>
    <row r="211587" s="12" customFormat="1" x14ac:dyDescent="0.25"/>
    <row r="211588" s="12" customFormat="1" x14ac:dyDescent="0.25"/>
    <row r="211589" s="12" customFormat="1" x14ac:dyDescent="0.25"/>
    <row r="211590" s="12" customFormat="1" x14ac:dyDescent="0.25"/>
    <row r="211591" s="12" customFormat="1" x14ac:dyDescent="0.25"/>
    <row r="211592" s="12" customFormat="1" x14ac:dyDescent="0.25"/>
    <row r="211593" s="12" customFormat="1" x14ac:dyDescent="0.25"/>
    <row r="211594" s="12" customFormat="1" x14ac:dyDescent="0.25"/>
    <row r="211595" s="12" customFormat="1" x14ac:dyDescent="0.25"/>
    <row r="211596" s="12" customFormat="1" x14ac:dyDescent="0.25"/>
    <row r="211597" s="12" customFormat="1" x14ac:dyDescent="0.25"/>
    <row r="211598" s="12" customFormat="1" x14ac:dyDescent="0.25"/>
    <row r="211599" s="12" customFormat="1" x14ac:dyDescent="0.25"/>
    <row r="211600" s="12" customFormat="1" x14ac:dyDescent="0.25"/>
    <row r="211601" s="12" customFormat="1" x14ac:dyDescent="0.25"/>
    <row r="211602" s="12" customFormat="1" x14ac:dyDescent="0.25"/>
    <row r="211603" s="12" customFormat="1" x14ac:dyDescent="0.25"/>
    <row r="211604" s="12" customFormat="1" x14ac:dyDescent="0.25"/>
    <row r="211605" s="12" customFormat="1" x14ac:dyDescent="0.25"/>
    <row r="211606" s="12" customFormat="1" x14ac:dyDescent="0.25"/>
    <row r="211607" s="12" customFormat="1" x14ac:dyDescent="0.25"/>
    <row r="211608" s="12" customFormat="1" x14ac:dyDescent="0.25"/>
    <row r="211609" s="12" customFormat="1" x14ac:dyDescent="0.25"/>
    <row r="211610" s="12" customFormat="1" x14ac:dyDescent="0.25"/>
    <row r="211611" s="12" customFormat="1" x14ac:dyDescent="0.25"/>
    <row r="211612" s="12" customFormat="1" x14ac:dyDescent="0.25"/>
    <row r="211613" s="12" customFormat="1" x14ac:dyDescent="0.25"/>
    <row r="211614" s="12" customFormat="1" x14ac:dyDescent="0.25"/>
    <row r="211615" s="12" customFormat="1" x14ac:dyDescent="0.25"/>
    <row r="211616" s="12" customFormat="1" x14ac:dyDescent="0.25"/>
    <row r="211617" s="12" customFormat="1" x14ac:dyDescent="0.25"/>
    <row r="211618" s="12" customFormat="1" x14ac:dyDescent="0.25"/>
    <row r="211619" s="12" customFormat="1" x14ac:dyDescent="0.25"/>
    <row r="211620" s="12" customFormat="1" x14ac:dyDescent="0.25"/>
    <row r="211621" s="12" customFormat="1" x14ac:dyDescent="0.25"/>
    <row r="211622" s="12" customFormat="1" x14ac:dyDescent="0.25"/>
    <row r="211623" s="12" customFormat="1" x14ac:dyDescent="0.25"/>
    <row r="211624" s="12" customFormat="1" x14ac:dyDescent="0.25"/>
    <row r="211625" s="12" customFormat="1" x14ac:dyDescent="0.25"/>
    <row r="211626" s="12" customFormat="1" x14ac:dyDescent="0.25"/>
    <row r="211627" s="12" customFormat="1" x14ac:dyDescent="0.25"/>
    <row r="211628" s="12" customFormat="1" x14ac:dyDescent="0.25"/>
    <row r="211629" s="12" customFormat="1" x14ac:dyDescent="0.25"/>
    <row r="211630" s="12" customFormat="1" x14ac:dyDescent="0.25"/>
    <row r="211631" s="12" customFormat="1" x14ac:dyDescent="0.25"/>
    <row r="211632" s="12" customFormat="1" x14ac:dyDescent="0.25"/>
    <row r="211633" s="12" customFormat="1" x14ac:dyDescent="0.25"/>
    <row r="211634" s="12" customFormat="1" x14ac:dyDescent="0.25"/>
    <row r="211635" s="12" customFormat="1" x14ac:dyDescent="0.25"/>
    <row r="211636" s="12" customFormat="1" x14ac:dyDescent="0.25"/>
    <row r="211637" s="12" customFormat="1" x14ac:dyDescent="0.25"/>
    <row r="211638" s="12" customFormat="1" x14ac:dyDescent="0.25"/>
    <row r="211639" s="12" customFormat="1" x14ac:dyDescent="0.25"/>
    <row r="211640" s="12" customFormat="1" x14ac:dyDescent="0.25"/>
    <row r="211641" s="12" customFormat="1" x14ac:dyDescent="0.25"/>
    <row r="211642" s="12" customFormat="1" x14ac:dyDescent="0.25"/>
    <row r="211643" s="12" customFormat="1" x14ac:dyDescent="0.25"/>
    <row r="211644" s="12" customFormat="1" x14ac:dyDescent="0.25"/>
    <row r="211645" s="12" customFormat="1" x14ac:dyDescent="0.25"/>
    <row r="211646" s="12" customFormat="1" x14ac:dyDescent="0.25"/>
    <row r="211647" s="12" customFormat="1" x14ac:dyDescent="0.25"/>
    <row r="211648" s="12" customFormat="1" x14ac:dyDescent="0.25"/>
    <row r="211649" s="12" customFormat="1" x14ac:dyDescent="0.25"/>
    <row r="211650" s="12" customFormat="1" x14ac:dyDescent="0.25"/>
    <row r="211651" s="12" customFormat="1" x14ac:dyDescent="0.25"/>
    <row r="211652" s="12" customFormat="1" x14ac:dyDescent="0.25"/>
    <row r="211653" s="12" customFormat="1" x14ac:dyDescent="0.25"/>
    <row r="211654" s="12" customFormat="1" x14ac:dyDescent="0.25"/>
    <row r="211655" s="12" customFormat="1" x14ac:dyDescent="0.25"/>
    <row r="211656" s="12" customFormat="1" x14ac:dyDescent="0.25"/>
    <row r="211657" s="12" customFormat="1" x14ac:dyDescent="0.25"/>
    <row r="211658" s="12" customFormat="1" x14ac:dyDescent="0.25"/>
    <row r="211659" s="12" customFormat="1" x14ac:dyDescent="0.25"/>
    <row r="211660" s="12" customFormat="1" x14ac:dyDescent="0.25"/>
    <row r="211661" s="12" customFormat="1" x14ac:dyDescent="0.25"/>
    <row r="211662" s="12" customFormat="1" x14ac:dyDescent="0.25"/>
    <row r="211663" s="12" customFormat="1" x14ac:dyDescent="0.25"/>
    <row r="211664" s="12" customFormat="1" x14ac:dyDescent="0.25"/>
    <row r="211665" s="12" customFormat="1" x14ac:dyDescent="0.25"/>
    <row r="211666" s="12" customFormat="1" x14ac:dyDescent="0.25"/>
    <row r="211667" s="12" customFormat="1" x14ac:dyDescent="0.25"/>
    <row r="211668" s="12" customFormat="1" x14ac:dyDescent="0.25"/>
    <row r="211669" s="12" customFormat="1" x14ac:dyDescent="0.25"/>
    <row r="211670" s="12" customFormat="1" x14ac:dyDescent="0.25"/>
    <row r="211671" s="12" customFormat="1" x14ac:dyDescent="0.25"/>
    <row r="211672" s="12" customFormat="1" x14ac:dyDescent="0.25"/>
    <row r="211673" s="12" customFormat="1" x14ac:dyDescent="0.25"/>
    <row r="211674" s="12" customFormat="1" x14ac:dyDescent="0.25"/>
    <row r="211675" s="12" customFormat="1" x14ac:dyDescent="0.25"/>
    <row r="211676" s="12" customFormat="1" x14ac:dyDescent="0.25"/>
    <row r="211677" s="12" customFormat="1" x14ac:dyDescent="0.25"/>
    <row r="211678" s="12" customFormat="1" x14ac:dyDescent="0.25"/>
    <row r="211679" s="12" customFormat="1" x14ac:dyDescent="0.25"/>
    <row r="211680" s="12" customFormat="1" x14ac:dyDescent="0.25"/>
    <row r="211681" s="12" customFormat="1" x14ac:dyDescent="0.25"/>
    <row r="211682" s="12" customFormat="1" x14ac:dyDescent="0.25"/>
    <row r="211683" s="12" customFormat="1" x14ac:dyDescent="0.25"/>
    <row r="211684" s="12" customFormat="1" x14ac:dyDescent="0.25"/>
    <row r="211685" s="12" customFormat="1" x14ac:dyDescent="0.25"/>
    <row r="211686" s="12" customFormat="1" x14ac:dyDescent="0.25"/>
    <row r="211687" s="12" customFormat="1" x14ac:dyDescent="0.25"/>
    <row r="211688" s="12" customFormat="1" x14ac:dyDescent="0.25"/>
    <row r="211689" s="12" customFormat="1" x14ac:dyDescent="0.25"/>
    <row r="211690" s="12" customFormat="1" x14ac:dyDescent="0.25"/>
    <row r="211691" s="12" customFormat="1" x14ac:dyDescent="0.25"/>
    <row r="211692" s="12" customFormat="1" x14ac:dyDescent="0.25"/>
    <row r="211693" s="12" customFormat="1" x14ac:dyDescent="0.25"/>
    <row r="211694" s="12" customFormat="1" x14ac:dyDescent="0.25"/>
    <row r="211695" s="12" customFormat="1" x14ac:dyDescent="0.25"/>
    <row r="211696" s="12" customFormat="1" x14ac:dyDescent="0.25"/>
    <row r="211697" s="12" customFormat="1" x14ac:dyDescent="0.25"/>
    <row r="211698" s="12" customFormat="1" x14ac:dyDescent="0.25"/>
    <row r="211699" s="12" customFormat="1" x14ac:dyDescent="0.25"/>
    <row r="211700" s="12" customFormat="1" x14ac:dyDescent="0.25"/>
    <row r="211701" s="12" customFormat="1" x14ac:dyDescent="0.25"/>
    <row r="211702" s="12" customFormat="1" x14ac:dyDescent="0.25"/>
    <row r="211703" s="12" customFormat="1" x14ac:dyDescent="0.25"/>
    <row r="211704" s="12" customFormat="1" x14ac:dyDescent="0.25"/>
    <row r="211705" s="12" customFormat="1" x14ac:dyDescent="0.25"/>
    <row r="211706" s="12" customFormat="1" x14ac:dyDescent="0.25"/>
    <row r="211707" s="12" customFormat="1" x14ac:dyDescent="0.25"/>
    <row r="211708" s="12" customFormat="1" x14ac:dyDescent="0.25"/>
    <row r="211709" s="12" customFormat="1" x14ac:dyDescent="0.25"/>
    <row r="211710" s="12" customFormat="1" x14ac:dyDescent="0.25"/>
    <row r="211711" s="12" customFormat="1" x14ac:dyDescent="0.25"/>
    <row r="211712" s="12" customFormat="1" x14ac:dyDescent="0.25"/>
    <row r="211713" s="12" customFormat="1" x14ac:dyDescent="0.25"/>
    <row r="211714" s="12" customFormat="1" x14ac:dyDescent="0.25"/>
    <row r="211715" s="12" customFormat="1" x14ac:dyDescent="0.25"/>
    <row r="211716" s="12" customFormat="1" x14ac:dyDescent="0.25"/>
    <row r="211717" s="12" customFormat="1" x14ac:dyDescent="0.25"/>
    <row r="211718" s="12" customFormat="1" x14ac:dyDescent="0.25"/>
    <row r="211719" s="12" customFormat="1" x14ac:dyDescent="0.25"/>
    <row r="211720" s="12" customFormat="1" x14ac:dyDescent="0.25"/>
    <row r="211721" s="12" customFormat="1" x14ac:dyDescent="0.25"/>
    <row r="211722" s="12" customFormat="1" x14ac:dyDescent="0.25"/>
    <row r="211723" s="12" customFormat="1" x14ac:dyDescent="0.25"/>
    <row r="211724" s="12" customFormat="1" x14ac:dyDescent="0.25"/>
    <row r="211725" s="12" customFormat="1" x14ac:dyDescent="0.25"/>
    <row r="211726" s="12" customFormat="1" x14ac:dyDescent="0.25"/>
    <row r="211727" s="12" customFormat="1" x14ac:dyDescent="0.25"/>
    <row r="211728" s="12" customFormat="1" x14ac:dyDescent="0.25"/>
    <row r="211729" s="12" customFormat="1" x14ac:dyDescent="0.25"/>
    <row r="211730" s="12" customFormat="1" x14ac:dyDescent="0.25"/>
    <row r="211731" s="12" customFormat="1" x14ac:dyDescent="0.25"/>
    <row r="211732" s="12" customFormat="1" x14ac:dyDescent="0.25"/>
    <row r="211733" s="12" customFormat="1" x14ac:dyDescent="0.25"/>
    <row r="211734" s="12" customFormat="1" x14ac:dyDescent="0.25"/>
    <row r="211735" s="12" customFormat="1" x14ac:dyDescent="0.25"/>
    <row r="211736" s="12" customFormat="1" x14ac:dyDescent="0.25"/>
    <row r="211737" s="12" customFormat="1" x14ac:dyDescent="0.25"/>
    <row r="211738" s="12" customFormat="1" x14ac:dyDescent="0.25"/>
    <row r="211739" s="12" customFormat="1" x14ac:dyDescent="0.25"/>
    <row r="211740" s="12" customFormat="1" x14ac:dyDescent="0.25"/>
    <row r="211741" s="12" customFormat="1" x14ac:dyDescent="0.25"/>
    <row r="211742" s="12" customFormat="1" x14ac:dyDescent="0.25"/>
    <row r="211743" s="12" customFormat="1" x14ac:dyDescent="0.25"/>
    <row r="211744" s="12" customFormat="1" x14ac:dyDescent="0.25"/>
    <row r="211745" s="12" customFormat="1" x14ac:dyDescent="0.25"/>
    <row r="211746" s="12" customFormat="1" x14ac:dyDescent="0.25"/>
    <row r="211747" s="12" customFormat="1" x14ac:dyDescent="0.25"/>
    <row r="211748" s="12" customFormat="1" x14ac:dyDescent="0.25"/>
    <row r="211749" s="12" customFormat="1" x14ac:dyDescent="0.25"/>
    <row r="211750" s="12" customFormat="1" x14ac:dyDescent="0.25"/>
    <row r="211751" s="12" customFormat="1" x14ac:dyDescent="0.25"/>
    <row r="211752" s="12" customFormat="1" x14ac:dyDescent="0.25"/>
    <row r="211753" s="12" customFormat="1" x14ac:dyDescent="0.25"/>
    <row r="211754" s="12" customFormat="1" x14ac:dyDescent="0.25"/>
    <row r="211755" s="12" customFormat="1" x14ac:dyDescent="0.25"/>
    <row r="211756" s="12" customFormat="1" x14ac:dyDescent="0.25"/>
    <row r="211757" s="12" customFormat="1" x14ac:dyDescent="0.25"/>
    <row r="211758" s="12" customFormat="1" x14ac:dyDescent="0.25"/>
    <row r="211759" s="12" customFormat="1" x14ac:dyDescent="0.25"/>
    <row r="211760" s="12" customFormat="1" x14ac:dyDescent="0.25"/>
    <row r="211761" s="12" customFormat="1" x14ac:dyDescent="0.25"/>
    <row r="211762" s="12" customFormat="1" x14ac:dyDescent="0.25"/>
    <row r="211763" s="12" customFormat="1" x14ac:dyDescent="0.25"/>
    <row r="211764" s="12" customFormat="1" x14ac:dyDescent="0.25"/>
    <row r="211765" s="12" customFormat="1" x14ac:dyDescent="0.25"/>
    <row r="211766" s="12" customFormat="1" x14ac:dyDescent="0.25"/>
    <row r="211767" s="12" customFormat="1" x14ac:dyDescent="0.25"/>
    <row r="211768" s="12" customFormat="1" x14ac:dyDescent="0.25"/>
    <row r="211769" s="12" customFormat="1" x14ac:dyDescent="0.25"/>
    <row r="211770" s="12" customFormat="1" x14ac:dyDescent="0.25"/>
    <row r="211771" s="12" customFormat="1" x14ac:dyDescent="0.25"/>
    <row r="211772" s="12" customFormat="1" x14ac:dyDescent="0.25"/>
    <row r="211773" s="12" customFormat="1" x14ac:dyDescent="0.25"/>
    <row r="211774" s="12" customFormat="1" x14ac:dyDescent="0.25"/>
    <row r="211775" s="12" customFormat="1" x14ac:dyDescent="0.25"/>
    <row r="211776" s="12" customFormat="1" x14ac:dyDescent="0.25"/>
    <row r="211777" s="12" customFormat="1" x14ac:dyDescent="0.25"/>
    <row r="211778" s="12" customFormat="1" x14ac:dyDescent="0.25"/>
    <row r="211779" s="12" customFormat="1" x14ac:dyDescent="0.25"/>
    <row r="211780" s="12" customFormat="1" x14ac:dyDescent="0.25"/>
    <row r="211781" s="12" customFormat="1" x14ac:dyDescent="0.25"/>
    <row r="211782" s="12" customFormat="1" x14ac:dyDescent="0.25"/>
    <row r="211783" s="12" customFormat="1" x14ac:dyDescent="0.25"/>
    <row r="211784" s="12" customFormat="1" x14ac:dyDescent="0.25"/>
    <row r="211785" s="12" customFormat="1" x14ac:dyDescent="0.25"/>
    <row r="211786" s="12" customFormat="1" x14ac:dyDescent="0.25"/>
    <row r="211787" s="12" customFormat="1" x14ac:dyDescent="0.25"/>
    <row r="211788" s="12" customFormat="1" x14ac:dyDescent="0.25"/>
    <row r="211789" s="12" customFormat="1" x14ac:dyDescent="0.25"/>
    <row r="211790" s="12" customFormat="1" x14ac:dyDescent="0.25"/>
    <row r="211791" s="12" customFormat="1" x14ac:dyDescent="0.25"/>
    <row r="211792" s="12" customFormat="1" x14ac:dyDescent="0.25"/>
    <row r="211793" s="12" customFormat="1" x14ac:dyDescent="0.25"/>
    <row r="211794" s="12" customFormat="1" x14ac:dyDescent="0.25"/>
    <row r="211795" s="12" customFormat="1" x14ac:dyDescent="0.25"/>
    <row r="211796" s="12" customFormat="1" x14ac:dyDescent="0.25"/>
    <row r="211797" s="12" customFormat="1" x14ac:dyDescent="0.25"/>
    <row r="211798" s="12" customFormat="1" x14ac:dyDescent="0.25"/>
    <row r="211799" s="12" customFormat="1" x14ac:dyDescent="0.25"/>
    <row r="211800" s="12" customFormat="1" x14ac:dyDescent="0.25"/>
    <row r="211801" s="12" customFormat="1" x14ac:dyDescent="0.25"/>
    <row r="211802" s="12" customFormat="1" x14ac:dyDescent="0.25"/>
    <row r="211803" s="12" customFormat="1" x14ac:dyDescent="0.25"/>
    <row r="211804" s="12" customFormat="1" x14ac:dyDescent="0.25"/>
    <row r="211805" s="12" customFormat="1" x14ac:dyDescent="0.25"/>
    <row r="211806" s="12" customFormat="1" x14ac:dyDescent="0.25"/>
    <row r="211807" s="12" customFormat="1" x14ac:dyDescent="0.25"/>
    <row r="211808" s="12" customFormat="1" x14ac:dyDescent="0.25"/>
    <row r="211809" s="12" customFormat="1" x14ac:dyDescent="0.25"/>
    <row r="211810" s="12" customFormat="1" x14ac:dyDescent="0.25"/>
    <row r="211811" s="12" customFormat="1" x14ac:dyDescent="0.25"/>
    <row r="211812" s="12" customFormat="1" x14ac:dyDescent="0.25"/>
    <row r="211813" s="12" customFormat="1" x14ac:dyDescent="0.25"/>
    <row r="211814" s="12" customFormat="1" x14ac:dyDescent="0.25"/>
    <row r="211815" s="12" customFormat="1" x14ac:dyDescent="0.25"/>
    <row r="211816" s="12" customFormat="1" x14ac:dyDescent="0.25"/>
    <row r="211817" s="12" customFormat="1" x14ac:dyDescent="0.25"/>
    <row r="211818" s="12" customFormat="1" x14ac:dyDescent="0.25"/>
    <row r="211819" s="12" customFormat="1" x14ac:dyDescent="0.25"/>
    <row r="211820" s="12" customFormat="1" x14ac:dyDescent="0.25"/>
    <row r="211821" s="12" customFormat="1" x14ac:dyDescent="0.25"/>
    <row r="211822" s="12" customFormat="1" x14ac:dyDescent="0.25"/>
    <row r="211823" s="12" customFormat="1" x14ac:dyDescent="0.25"/>
    <row r="211824" s="12" customFormat="1" x14ac:dyDescent="0.25"/>
    <row r="211825" s="12" customFormat="1" x14ac:dyDescent="0.25"/>
    <row r="211826" s="12" customFormat="1" x14ac:dyDescent="0.25"/>
    <row r="211827" s="12" customFormat="1" x14ac:dyDescent="0.25"/>
    <row r="211828" s="12" customFormat="1" x14ac:dyDescent="0.25"/>
    <row r="211829" s="12" customFormat="1" x14ac:dyDescent="0.25"/>
    <row r="211830" s="12" customFormat="1" x14ac:dyDescent="0.25"/>
    <row r="211831" s="12" customFormat="1" x14ac:dyDescent="0.25"/>
    <row r="211832" s="12" customFormat="1" x14ac:dyDescent="0.25"/>
    <row r="211833" s="12" customFormat="1" x14ac:dyDescent="0.25"/>
    <row r="211834" s="12" customFormat="1" x14ac:dyDescent="0.25"/>
    <row r="211835" s="12" customFormat="1" x14ac:dyDescent="0.25"/>
    <row r="211836" s="12" customFormat="1" x14ac:dyDescent="0.25"/>
    <row r="211837" s="12" customFormat="1" x14ac:dyDescent="0.25"/>
    <row r="211838" s="12" customFormat="1" x14ac:dyDescent="0.25"/>
    <row r="211839" s="12" customFormat="1" x14ac:dyDescent="0.25"/>
    <row r="211840" s="12" customFormat="1" x14ac:dyDescent="0.25"/>
    <row r="211841" s="12" customFormat="1" x14ac:dyDescent="0.25"/>
    <row r="211842" s="12" customFormat="1" x14ac:dyDescent="0.25"/>
    <row r="211843" s="12" customFormat="1" x14ac:dyDescent="0.25"/>
    <row r="211844" s="12" customFormat="1" x14ac:dyDescent="0.25"/>
    <row r="211845" s="12" customFormat="1" x14ac:dyDescent="0.25"/>
    <row r="211846" s="12" customFormat="1" x14ac:dyDescent="0.25"/>
    <row r="211847" s="12" customFormat="1" x14ac:dyDescent="0.25"/>
    <row r="211848" s="12" customFormat="1" x14ac:dyDescent="0.25"/>
    <row r="211849" s="12" customFormat="1" x14ac:dyDescent="0.25"/>
    <row r="211850" s="12" customFormat="1" x14ac:dyDescent="0.25"/>
    <row r="211851" s="12" customFormat="1" x14ac:dyDescent="0.25"/>
    <row r="211852" s="12" customFormat="1" x14ac:dyDescent="0.25"/>
    <row r="211853" s="12" customFormat="1" x14ac:dyDescent="0.25"/>
    <row r="211854" s="12" customFormat="1" x14ac:dyDescent="0.25"/>
    <row r="211855" s="12" customFormat="1" x14ac:dyDescent="0.25"/>
    <row r="211856" s="12" customFormat="1" x14ac:dyDescent="0.25"/>
    <row r="211857" s="12" customFormat="1" x14ac:dyDescent="0.25"/>
    <row r="211858" s="12" customFormat="1" x14ac:dyDescent="0.25"/>
    <row r="211859" s="12" customFormat="1" x14ac:dyDescent="0.25"/>
    <row r="211860" s="12" customFormat="1" x14ac:dyDescent="0.25"/>
    <row r="211861" s="12" customFormat="1" x14ac:dyDescent="0.25"/>
    <row r="211862" s="12" customFormat="1" x14ac:dyDescent="0.25"/>
    <row r="211863" s="12" customFormat="1" x14ac:dyDescent="0.25"/>
    <row r="211864" s="12" customFormat="1" x14ac:dyDescent="0.25"/>
    <row r="211865" s="12" customFormat="1" x14ac:dyDescent="0.25"/>
    <row r="211866" s="12" customFormat="1" x14ac:dyDescent="0.25"/>
    <row r="211867" s="12" customFormat="1" x14ac:dyDescent="0.25"/>
    <row r="211868" s="12" customFormat="1" x14ac:dyDescent="0.25"/>
    <row r="211869" s="12" customFormat="1" x14ac:dyDescent="0.25"/>
    <row r="211870" s="12" customFormat="1" x14ac:dyDescent="0.25"/>
    <row r="211871" s="12" customFormat="1" x14ac:dyDescent="0.25"/>
    <row r="211872" s="12" customFormat="1" x14ac:dyDescent="0.25"/>
    <row r="211873" s="12" customFormat="1" x14ac:dyDescent="0.25"/>
    <row r="211874" s="12" customFormat="1" x14ac:dyDescent="0.25"/>
    <row r="211875" s="12" customFormat="1" x14ac:dyDescent="0.25"/>
    <row r="211876" s="12" customFormat="1" x14ac:dyDescent="0.25"/>
    <row r="211877" s="12" customFormat="1" x14ac:dyDescent="0.25"/>
    <row r="211878" s="12" customFormat="1" x14ac:dyDescent="0.25"/>
    <row r="211879" s="12" customFormat="1" x14ac:dyDescent="0.25"/>
    <row r="211880" s="12" customFormat="1" x14ac:dyDescent="0.25"/>
    <row r="211881" s="12" customFormat="1" x14ac:dyDescent="0.25"/>
    <row r="211882" s="12" customFormat="1" x14ac:dyDescent="0.25"/>
    <row r="211883" s="12" customFormat="1" x14ac:dyDescent="0.25"/>
    <row r="211884" s="12" customFormat="1" x14ac:dyDescent="0.25"/>
    <row r="211885" s="12" customFormat="1" x14ac:dyDescent="0.25"/>
    <row r="211886" s="12" customFormat="1" x14ac:dyDescent="0.25"/>
    <row r="211887" s="12" customFormat="1" x14ac:dyDescent="0.25"/>
    <row r="211888" s="12" customFormat="1" x14ac:dyDescent="0.25"/>
    <row r="211889" s="12" customFormat="1" x14ac:dyDescent="0.25"/>
    <row r="211890" s="12" customFormat="1" x14ac:dyDescent="0.25"/>
    <row r="211891" s="12" customFormat="1" x14ac:dyDescent="0.25"/>
    <row r="211892" s="12" customFormat="1" x14ac:dyDescent="0.25"/>
    <row r="211893" s="12" customFormat="1" x14ac:dyDescent="0.25"/>
    <row r="211894" s="12" customFormat="1" x14ac:dyDescent="0.25"/>
    <row r="211895" s="12" customFormat="1" x14ac:dyDescent="0.25"/>
    <row r="211896" s="12" customFormat="1" x14ac:dyDescent="0.25"/>
    <row r="211897" s="12" customFormat="1" x14ac:dyDescent="0.25"/>
    <row r="211898" s="12" customFormat="1" x14ac:dyDescent="0.25"/>
    <row r="211899" s="12" customFormat="1" x14ac:dyDescent="0.25"/>
    <row r="211900" s="12" customFormat="1" x14ac:dyDescent="0.25"/>
    <row r="211901" s="12" customFormat="1" x14ac:dyDescent="0.25"/>
    <row r="211902" s="12" customFormat="1" x14ac:dyDescent="0.25"/>
    <row r="211903" s="12" customFormat="1" x14ac:dyDescent="0.25"/>
    <row r="211904" s="12" customFormat="1" x14ac:dyDescent="0.25"/>
    <row r="211905" s="12" customFormat="1" x14ac:dyDescent="0.25"/>
    <row r="211906" s="12" customFormat="1" x14ac:dyDescent="0.25"/>
    <row r="211907" s="12" customFormat="1" x14ac:dyDescent="0.25"/>
    <row r="211908" s="12" customFormat="1" x14ac:dyDescent="0.25"/>
    <row r="211909" s="12" customFormat="1" x14ac:dyDescent="0.25"/>
    <row r="211910" s="12" customFormat="1" x14ac:dyDescent="0.25"/>
    <row r="211911" s="12" customFormat="1" x14ac:dyDescent="0.25"/>
    <row r="211912" s="12" customFormat="1" x14ac:dyDescent="0.25"/>
    <row r="211913" s="12" customFormat="1" x14ac:dyDescent="0.25"/>
    <row r="211914" s="12" customFormat="1" x14ac:dyDescent="0.25"/>
    <row r="211915" s="12" customFormat="1" x14ac:dyDescent="0.25"/>
    <row r="211916" s="12" customFormat="1" x14ac:dyDescent="0.25"/>
    <row r="211917" s="12" customFormat="1" x14ac:dyDescent="0.25"/>
    <row r="211918" s="12" customFormat="1" x14ac:dyDescent="0.25"/>
    <row r="211919" s="12" customFormat="1" x14ac:dyDescent="0.25"/>
    <row r="211920" s="12" customFormat="1" x14ac:dyDescent="0.25"/>
    <row r="211921" s="12" customFormat="1" x14ac:dyDescent="0.25"/>
    <row r="211922" s="12" customFormat="1" x14ac:dyDescent="0.25"/>
    <row r="211923" s="12" customFormat="1" x14ac:dyDescent="0.25"/>
    <row r="211924" s="12" customFormat="1" x14ac:dyDescent="0.25"/>
    <row r="211925" s="12" customFormat="1" x14ac:dyDescent="0.25"/>
    <row r="211926" s="12" customFormat="1" x14ac:dyDescent="0.25"/>
    <row r="211927" s="12" customFormat="1" x14ac:dyDescent="0.25"/>
    <row r="211928" s="12" customFormat="1" x14ac:dyDescent="0.25"/>
    <row r="211929" s="12" customFormat="1" x14ac:dyDescent="0.25"/>
    <row r="211930" s="12" customFormat="1" x14ac:dyDescent="0.25"/>
    <row r="211931" s="12" customFormat="1" x14ac:dyDescent="0.25"/>
    <row r="211932" s="12" customFormat="1" x14ac:dyDescent="0.25"/>
    <row r="211933" s="12" customFormat="1" x14ac:dyDescent="0.25"/>
    <row r="211934" s="12" customFormat="1" x14ac:dyDescent="0.25"/>
    <row r="211935" s="12" customFormat="1" x14ac:dyDescent="0.25"/>
    <row r="211936" s="12" customFormat="1" x14ac:dyDescent="0.25"/>
    <row r="211937" s="12" customFormat="1" x14ac:dyDescent="0.25"/>
    <row r="211938" s="12" customFormat="1" x14ac:dyDescent="0.25"/>
    <row r="211939" s="12" customFormat="1" x14ac:dyDescent="0.25"/>
    <row r="211940" s="12" customFormat="1" x14ac:dyDescent="0.25"/>
    <row r="211941" s="12" customFormat="1" x14ac:dyDescent="0.25"/>
    <row r="211942" s="12" customFormat="1" x14ac:dyDescent="0.25"/>
    <row r="211943" s="12" customFormat="1" x14ac:dyDescent="0.25"/>
    <row r="211944" s="12" customFormat="1" x14ac:dyDescent="0.25"/>
    <row r="211945" s="12" customFormat="1" x14ac:dyDescent="0.25"/>
    <row r="211946" s="12" customFormat="1" x14ac:dyDescent="0.25"/>
    <row r="211947" s="12" customFormat="1" x14ac:dyDescent="0.25"/>
    <row r="211948" s="12" customFormat="1" x14ac:dyDescent="0.25"/>
    <row r="211949" s="12" customFormat="1" x14ac:dyDescent="0.25"/>
    <row r="211950" s="12" customFormat="1" x14ac:dyDescent="0.25"/>
    <row r="211951" s="12" customFormat="1" x14ac:dyDescent="0.25"/>
    <row r="211952" s="12" customFormat="1" x14ac:dyDescent="0.25"/>
    <row r="211953" s="12" customFormat="1" x14ac:dyDescent="0.25"/>
    <row r="211954" s="12" customFormat="1" x14ac:dyDescent="0.25"/>
    <row r="211955" s="12" customFormat="1" x14ac:dyDescent="0.25"/>
    <row r="211956" s="12" customFormat="1" x14ac:dyDescent="0.25"/>
    <row r="211957" s="12" customFormat="1" x14ac:dyDescent="0.25"/>
    <row r="211958" s="12" customFormat="1" x14ac:dyDescent="0.25"/>
    <row r="211959" s="12" customFormat="1" x14ac:dyDescent="0.25"/>
    <row r="211960" s="12" customFormat="1" x14ac:dyDescent="0.25"/>
    <row r="211961" s="12" customFormat="1" x14ac:dyDescent="0.25"/>
    <row r="211962" s="12" customFormat="1" x14ac:dyDescent="0.25"/>
    <row r="211963" s="12" customFormat="1" x14ac:dyDescent="0.25"/>
    <row r="211964" s="12" customFormat="1" x14ac:dyDescent="0.25"/>
    <row r="211965" s="12" customFormat="1" x14ac:dyDescent="0.25"/>
    <row r="211966" s="12" customFormat="1" x14ac:dyDescent="0.25"/>
    <row r="211967" s="12" customFormat="1" x14ac:dyDescent="0.25"/>
    <row r="211968" s="12" customFormat="1" x14ac:dyDescent="0.25"/>
    <row r="211969" s="12" customFormat="1" x14ac:dyDescent="0.25"/>
    <row r="211970" s="12" customFormat="1" x14ac:dyDescent="0.25"/>
    <row r="211971" s="12" customFormat="1" x14ac:dyDescent="0.25"/>
    <row r="211972" s="12" customFormat="1" x14ac:dyDescent="0.25"/>
    <row r="211973" s="12" customFormat="1" x14ac:dyDescent="0.25"/>
    <row r="211974" s="12" customFormat="1" x14ac:dyDescent="0.25"/>
    <row r="211975" s="12" customFormat="1" x14ac:dyDescent="0.25"/>
    <row r="211976" s="12" customFormat="1" x14ac:dyDescent="0.25"/>
    <row r="211977" s="12" customFormat="1" x14ac:dyDescent="0.25"/>
    <row r="211978" s="12" customFormat="1" x14ac:dyDescent="0.25"/>
    <row r="211979" s="12" customFormat="1" x14ac:dyDescent="0.25"/>
    <row r="211980" s="12" customFormat="1" x14ac:dyDescent="0.25"/>
    <row r="211981" s="12" customFormat="1" x14ac:dyDescent="0.25"/>
    <row r="211982" s="12" customFormat="1" x14ac:dyDescent="0.25"/>
    <row r="211983" s="12" customFormat="1" x14ac:dyDescent="0.25"/>
    <row r="211984" s="12" customFormat="1" x14ac:dyDescent="0.25"/>
    <row r="211985" s="12" customFormat="1" x14ac:dyDescent="0.25"/>
    <row r="211986" s="12" customFormat="1" x14ac:dyDescent="0.25"/>
    <row r="211987" s="12" customFormat="1" x14ac:dyDescent="0.25"/>
    <row r="211988" s="12" customFormat="1" x14ac:dyDescent="0.25"/>
    <row r="211989" s="12" customFormat="1" x14ac:dyDescent="0.25"/>
    <row r="211990" s="12" customFormat="1" x14ac:dyDescent="0.25"/>
    <row r="211991" s="12" customFormat="1" x14ac:dyDescent="0.25"/>
    <row r="211992" s="12" customFormat="1" x14ac:dyDescent="0.25"/>
    <row r="211993" s="12" customFormat="1" x14ac:dyDescent="0.25"/>
    <row r="211994" s="12" customFormat="1" x14ac:dyDescent="0.25"/>
    <row r="211995" s="12" customFormat="1" x14ac:dyDescent="0.25"/>
    <row r="211996" s="12" customFormat="1" x14ac:dyDescent="0.25"/>
    <row r="211997" s="12" customFormat="1" x14ac:dyDescent="0.25"/>
    <row r="211998" s="12" customFormat="1" x14ac:dyDescent="0.25"/>
    <row r="211999" s="12" customFormat="1" x14ac:dyDescent="0.25"/>
    <row r="212000" s="12" customFormat="1" x14ac:dyDescent="0.25"/>
    <row r="212001" s="12" customFormat="1" x14ac:dyDescent="0.25"/>
    <row r="212002" s="12" customFormat="1" x14ac:dyDescent="0.25"/>
    <row r="212003" s="12" customFormat="1" x14ac:dyDescent="0.25"/>
    <row r="212004" s="12" customFormat="1" x14ac:dyDescent="0.25"/>
    <row r="212005" s="12" customFormat="1" x14ac:dyDescent="0.25"/>
    <row r="212006" s="12" customFormat="1" x14ac:dyDescent="0.25"/>
    <row r="212007" s="12" customFormat="1" x14ac:dyDescent="0.25"/>
    <row r="212008" s="12" customFormat="1" x14ac:dyDescent="0.25"/>
    <row r="212009" s="12" customFormat="1" x14ac:dyDescent="0.25"/>
    <row r="212010" s="12" customFormat="1" x14ac:dyDescent="0.25"/>
    <row r="212011" s="12" customFormat="1" x14ac:dyDescent="0.25"/>
    <row r="212012" s="12" customFormat="1" x14ac:dyDescent="0.25"/>
    <row r="212013" s="12" customFormat="1" x14ac:dyDescent="0.25"/>
    <row r="212014" s="12" customFormat="1" x14ac:dyDescent="0.25"/>
    <row r="212015" s="12" customFormat="1" x14ac:dyDescent="0.25"/>
    <row r="212016" s="12" customFormat="1" x14ac:dyDescent="0.25"/>
    <row r="212017" s="12" customFormat="1" x14ac:dyDescent="0.25"/>
    <row r="212018" s="12" customFormat="1" x14ac:dyDescent="0.25"/>
    <row r="212019" s="12" customFormat="1" x14ac:dyDescent="0.25"/>
    <row r="212020" s="12" customFormat="1" x14ac:dyDescent="0.25"/>
    <row r="212021" s="12" customFormat="1" x14ac:dyDescent="0.25"/>
    <row r="212022" s="12" customFormat="1" x14ac:dyDescent="0.25"/>
    <row r="212023" s="12" customFormat="1" x14ac:dyDescent="0.25"/>
    <row r="212024" s="12" customFormat="1" x14ac:dyDescent="0.25"/>
    <row r="212025" s="12" customFormat="1" x14ac:dyDescent="0.25"/>
    <row r="212026" s="12" customFormat="1" x14ac:dyDescent="0.25"/>
    <row r="212027" s="12" customFormat="1" x14ac:dyDescent="0.25"/>
    <row r="212028" s="12" customFormat="1" x14ac:dyDescent="0.25"/>
    <row r="212029" s="12" customFormat="1" x14ac:dyDescent="0.25"/>
    <row r="212030" s="12" customFormat="1" x14ac:dyDescent="0.25"/>
    <row r="212031" s="12" customFormat="1" x14ac:dyDescent="0.25"/>
    <row r="212032" s="12" customFormat="1" x14ac:dyDescent="0.25"/>
    <row r="212033" s="12" customFormat="1" x14ac:dyDescent="0.25"/>
    <row r="212034" s="12" customFormat="1" x14ac:dyDescent="0.25"/>
    <row r="212035" s="12" customFormat="1" x14ac:dyDescent="0.25"/>
    <row r="212036" s="12" customFormat="1" x14ac:dyDescent="0.25"/>
    <row r="212037" s="12" customFormat="1" x14ac:dyDescent="0.25"/>
    <row r="212038" s="12" customFormat="1" x14ac:dyDescent="0.25"/>
    <row r="212039" s="12" customFormat="1" x14ac:dyDescent="0.25"/>
    <row r="212040" s="12" customFormat="1" x14ac:dyDescent="0.25"/>
    <row r="212041" s="12" customFormat="1" x14ac:dyDescent="0.25"/>
    <row r="212042" s="12" customFormat="1" x14ac:dyDescent="0.25"/>
    <row r="212043" s="12" customFormat="1" x14ac:dyDescent="0.25"/>
    <row r="212044" s="12" customFormat="1" x14ac:dyDescent="0.25"/>
    <row r="212045" s="12" customFormat="1" x14ac:dyDescent="0.25"/>
    <row r="212046" s="12" customFormat="1" x14ac:dyDescent="0.25"/>
    <row r="212047" s="12" customFormat="1" x14ac:dyDescent="0.25"/>
    <row r="212048" s="12" customFormat="1" x14ac:dyDescent="0.25"/>
    <row r="212049" s="12" customFormat="1" x14ac:dyDescent="0.25"/>
    <row r="212050" s="12" customFormat="1" x14ac:dyDescent="0.25"/>
    <row r="212051" s="12" customFormat="1" x14ac:dyDescent="0.25"/>
    <row r="212052" s="12" customFormat="1" x14ac:dyDescent="0.25"/>
    <row r="212053" s="12" customFormat="1" x14ac:dyDescent="0.25"/>
    <row r="212054" s="12" customFormat="1" x14ac:dyDescent="0.25"/>
    <row r="212055" s="12" customFormat="1" x14ac:dyDescent="0.25"/>
    <row r="212056" s="12" customFormat="1" x14ac:dyDescent="0.25"/>
    <row r="212057" s="12" customFormat="1" x14ac:dyDescent="0.25"/>
    <row r="212058" s="12" customFormat="1" x14ac:dyDescent="0.25"/>
    <row r="212059" s="12" customFormat="1" x14ac:dyDescent="0.25"/>
    <row r="212060" s="12" customFormat="1" x14ac:dyDescent="0.25"/>
    <row r="212061" s="12" customFormat="1" x14ac:dyDescent="0.25"/>
    <row r="212062" s="12" customFormat="1" x14ac:dyDescent="0.25"/>
    <row r="212063" s="12" customFormat="1" x14ac:dyDescent="0.25"/>
    <row r="212064" s="12" customFormat="1" x14ac:dyDescent="0.25"/>
    <row r="212065" s="12" customFormat="1" x14ac:dyDescent="0.25"/>
    <row r="212066" s="12" customFormat="1" x14ac:dyDescent="0.25"/>
    <row r="212067" s="12" customFormat="1" x14ac:dyDescent="0.25"/>
    <row r="212068" s="12" customFormat="1" x14ac:dyDescent="0.25"/>
    <row r="212069" s="12" customFormat="1" x14ac:dyDescent="0.25"/>
    <row r="212070" s="12" customFormat="1" x14ac:dyDescent="0.25"/>
    <row r="212071" s="12" customFormat="1" x14ac:dyDescent="0.25"/>
    <row r="212072" s="12" customFormat="1" x14ac:dyDescent="0.25"/>
    <row r="212073" s="12" customFormat="1" x14ac:dyDescent="0.25"/>
    <row r="212074" s="12" customFormat="1" x14ac:dyDescent="0.25"/>
    <row r="212075" s="12" customFormat="1" x14ac:dyDescent="0.25"/>
    <row r="212076" s="12" customFormat="1" x14ac:dyDescent="0.25"/>
    <row r="212077" s="12" customFormat="1" x14ac:dyDescent="0.25"/>
    <row r="212078" s="12" customFormat="1" x14ac:dyDescent="0.25"/>
    <row r="212079" s="12" customFormat="1" x14ac:dyDescent="0.25"/>
    <row r="212080" s="12" customFormat="1" x14ac:dyDescent="0.25"/>
    <row r="212081" s="12" customFormat="1" x14ac:dyDescent="0.25"/>
    <row r="212082" s="12" customFormat="1" x14ac:dyDescent="0.25"/>
    <row r="212083" s="12" customFormat="1" x14ac:dyDescent="0.25"/>
    <row r="212084" s="12" customFormat="1" x14ac:dyDescent="0.25"/>
    <row r="212085" s="12" customFormat="1" x14ac:dyDescent="0.25"/>
    <row r="212086" s="12" customFormat="1" x14ac:dyDescent="0.25"/>
    <row r="212087" s="12" customFormat="1" x14ac:dyDescent="0.25"/>
    <row r="212088" s="12" customFormat="1" x14ac:dyDescent="0.25"/>
    <row r="212089" s="12" customFormat="1" x14ac:dyDescent="0.25"/>
    <row r="212090" s="12" customFormat="1" x14ac:dyDescent="0.25"/>
    <row r="212091" s="12" customFormat="1" x14ac:dyDescent="0.25"/>
    <row r="212092" s="12" customFormat="1" x14ac:dyDescent="0.25"/>
    <row r="212093" s="12" customFormat="1" x14ac:dyDescent="0.25"/>
    <row r="212094" s="12" customFormat="1" x14ac:dyDescent="0.25"/>
    <row r="212095" s="12" customFormat="1" x14ac:dyDescent="0.25"/>
    <row r="212096" s="12" customFormat="1" x14ac:dyDescent="0.25"/>
    <row r="212097" s="12" customFormat="1" x14ac:dyDescent="0.25"/>
    <row r="212098" s="12" customFormat="1" x14ac:dyDescent="0.25"/>
    <row r="212099" s="12" customFormat="1" x14ac:dyDescent="0.25"/>
    <row r="212100" s="12" customFormat="1" x14ac:dyDescent="0.25"/>
    <row r="212101" s="12" customFormat="1" x14ac:dyDescent="0.25"/>
    <row r="212102" s="12" customFormat="1" x14ac:dyDescent="0.25"/>
    <row r="212103" s="12" customFormat="1" x14ac:dyDescent="0.25"/>
    <row r="212104" s="12" customFormat="1" x14ac:dyDescent="0.25"/>
    <row r="212105" s="12" customFormat="1" x14ac:dyDescent="0.25"/>
    <row r="212106" s="12" customFormat="1" x14ac:dyDescent="0.25"/>
    <row r="212107" s="12" customFormat="1" x14ac:dyDescent="0.25"/>
    <row r="212108" s="12" customFormat="1" x14ac:dyDescent="0.25"/>
    <row r="212109" s="12" customFormat="1" x14ac:dyDescent="0.25"/>
    <row r="212110" s="12" customFormat="1" x14ac:dyDescent="0.25"/>
    <row r="212111" s="12" customFormat="1" x14ac:dyDescent="0.25"/>
    <row r="212112" s="12" customFormat="1" x14ac:dyDescent="0.25"/>
    <row r="212113" s="12" customFormat="1" x14ac:dyDescent="0.25"/>
    <row r="212114" s="12" customFormat="1" x14ac:dyDescent="0.25"/>
    <row r="212115" s="12" customFormat="1" x14ac:dyDescent="0.25"/>
    <row r="212116" s="12" customFormat="1" x14ac:dyDescent="0.25"/>
    <row r="212117" s="12" customFormat="1" x14ac:dyDescent="0.25"/>
    <row r="212118" s="12" customFormat="1" x14ac:dyDescent="0.25"/>
    <row r="212119" s="12" customFormat="1" x14ac:dyDescent="0.25"/>
    <row r="212120" s="12" customFormat="1" x14ac:dyDescent="0.25"/>
    <row r="212121" s="12" customFormat="1" x14ac:dyDescent="0.25"/>
    <row r="212122" s="12" customFormat="1" x14ac:dyDescent="0.25"/>
    <row r="212123" s="12" customFormat="1" x14ac:dyDescent="0.25"/>
    <row r="212124" s="12" customFormat="1" x14ac:dyDescent="0.25"/>
    <row r="212125" s="12" customFormat="1" x14ac:dyDescent="0.25"/>
    <row r="212126" s="12" customFormat="1" x14ac:dyDescent="0.25"/>
    <row r="212127" s="12" customFormat="1" x14ac:dyDescent="0.25"/>
    <row r="212128" s="12" customFormat="1" x14ac:dyDescent="0.25"/>
    <row r="212129" s="12" customFormat="1" x14ac:dyDescent="0.25"/>
    <row r="212130" s="12" customFormat="1" x14ac:dyDescent="0.25"/>
    <row r="212131" s="12" customFormat="1" x14ac:dyDescent="0.25"/>
    <row r="212132" s="12" customFormat="1" x14ac:dyDescent="0.25"/>
    <row r="212133" s="12" customFormat="1" x14ac:dyDescent="0.25"/>
    <row r="212134" s="12" customFormat="1" x14ac:dyDescent="0.25"/>
    <row r="212135" s="12" customFormat="1" x14ac:dyDescent="0.25"/>
    <row r="212136" s="12" customFormat="1" x14ac:dyDescent="0.25"/>
    <row r="212137" s="12" customFormat="1" x14ac:dyDescent="0.25"/>
    <row r="212138" s="12" customFormat="1" x14ac:dyDescent="0.25"/>
    <row r="212139" s="12" customFormat="1" x14ac:dyDescent="0.25"/>
    <row r="212140" s="12" customFormat="1" x14ac:dyDescent="0.25"/>
    <row r="212141" s="12" customFormat="1" x14ac:dyDescent="0.25"/>
    <row r="212142" s="12" customFormat="1" x14ac:dyDescent="0.25"/>
    <row r="212143" s="12" customFormat="1" x14ac:dyDescent="0.25"/>
    <row r="212144" s="12" customFormat="1" x14ac:dyDescent="0.25"/>
    <row r="212145" s="12" customFormat="1" x14ac:dyDescent="0.25"/>
    <row r="212146" s="12" customFormat="1" x14ac:dyDescent="0.25"/>
    <row r="212147" s="12" customFormat="1" x14ac:dyDescent="0.25"/>
    <row r="212148" s="12" customFormat="1" x14ac:dyDescent="0.25"/>
    <row r="212149" s="12" customFormat="1" x14ac:dyDescent="0.25"/>
    <row r="212150" s="12" customFormat="1" x14ac:dyDescent="0.25"/>
    <row r="212151" s="12" customFormat="1" x14ac:dyDescent="0.25"/>
    <row r="212152" s="12" customFormat="1" x14ac:dyDescent="0.25"/>
    <row r="212153" s="12" customFormat="1" x14ac:dyDescent="0.25"/>
    <row r="212154" s="12" customFormat="1" x14ac:dyDescent="0.25"/>
    <row r="212155" s="12" customFormat="1" x14ac:dyDescent="0.25"/>
    <row r="212156" s="12" customFormat="1" x14ac:dyDescent="0.25"/>
    <row r="212157" s="12" customFormat="1" x14ac:dyDescent="0.25"/>
    <row r="212158" s="12" customFormat="1" x14ac:dyDescent="0.25"/>
    <row r="212159" s="12" customFormat="1" x14ac:dyDescent="0.25"/>
    <row r="212160" s="12" customFormat="1" x14ac:dyDescent="0.25"/>
    <row r="212161" s="12" customFormat="1" x14ac:dyDescent="0.25"/>
    <row r="212162" s="12" customFormat="1" x14ac:dyDescent="0.25"/>
    <row r="212163" s="12" customFormat="1" x14ac:dyDescent="0.25"/>
    <row r="212164" s="12" customFormat="1" x14ac:dyDescent="0.25"/>
    <row r="212165" s="12" customFormat="1" x14ac:dyDescent="0.25"/>
    <row r="212166" s="12" customFormat="1" x14ac:dyDescent="0.25"/>
    <row r="212167" s="12" customFormat="1" x14ac:dyDescent="0.25"/>
    <row r="212168" s="12" customFormat="1" x14ac:dyDescent="0.25"/>
    <row r="212169" s="12" customFormat="1" x14ac:dyDescent="0.25"/>
    <row r="212170" s="12" customFormat="1" x14ac:dyDescent="0.25"/>
    <row r="212171" s="12" customFormat="1" x14ac:dyDescent="0.25"/>
    <row r="212172" s="12" customFormat="1" x14ac:dyDescent="0.25"/>
    <row r="212173" s="12" customFormat="1" x14ac:dyDescent="0.25"/>
    <row r="212174" s="12" customFormat="1" x14ac:dyDescent="0.25"/>
    <row r="212175" s="12" customFormat="1" x14ac:dyDescent="0.25"/>
    <row r="212176" s="12" customFormat="1" x14ac:dyDescent="0.25"/>
    <row r="212177" s="12" customFormat="1" x14ac:dyDescent="0.25"/>
    <row r="212178" s="12" customFormat="1" x14ac:dyDescent="0.25"/>
    <row r="212179" s="12" customFormat="1" x14ac:dyDescent="0.25"/>
    <row r="212180" s="12" customFormat="1" x14ac:dyDescent="0.25"/>
    <row r="212181" s="12" customFormat="1" x14ac:dyDescent="0.25"/>
    <row r="212182" s="12" customFormat="1" x14ac:dyDescent="0.25"/>
    <row r="212183" s="12" customFormat="1" x14ac:dyDescent="0.25"/>
    <row r="212184" s="12" customFormat="1" x14ac:dyDescent="0.25"/>
    <row r="212185" s="12" customFormat="1" x14ac:dyDescent="0.25"/>
    <row r="212186" s="12" customFormat="1" x14ac:dyDescent="0.25"/>
    <row r="212187" s="12" customFormat="1" x14ac:dyDescent="0.25"/>
    <row r="212188" s="12" customFormat="1" x14ac:dyDescent="0.25"/>
    <row r="212189" s="12" customFormat="1" x14ac:dyDescent="0.25"/>
    <row r="212190" s="12" customFormat="1" x14ac:dyDescent="0.25"/>
    <row r="212191" s="12" customFormat="1" x14ac:dyDescent="0.25"/>
    <row r="212192" s="12" customFormat="1" x14ac:dyDescent="0.25"/>
    <row r="212193" s="12" customFormat="1" x14ac:dyDescent="0.25"/>
    <row r="212194" s="12" customFormat="1" x14ac:dyDescent="0.25"/>
    <row r="212195" s="12" customFormat="1" x14ac:dyDescent="0.25"/>
    <row r="212196" s="12" customFormat="1" x14ac:dyDescent="0.25"/>
    <row r="212197" s="12" customFormat="1" x14ac:dyDescent="0.25"/>
    <row r="212198" s="12" customFormat="1" x14ac:dyDescent="0.25"/>
    <row r="212199" s="12" customFormat="1" x14ac:dyDescent="0.25"/>
    <row r="212200" s="12" customFormat="1" x14ac:dyDescent="0.25"/>
    <row r="212201" s="12" customFormat="1" x14ac:dyDescent="0.25"/>
    <row r="212202" s="12" customFormat="1" x14ac:dyDescent="0.25"/>
    <row r="212203" s="12" customFormat="1" x14ac:dyDescent="0.25"/>
    <row r="212204" s="12" customFormat="1" x14ac:dyDescent="0.25"/>
    <row r="212205" s="12" customFormat="1" x14ac:dyDescent="0.25"/>
    <row r="212206" s="12" customFormat="1" x14ac:dyDescent="0.25"/>
    <row r="212207" s="12" customFormat="1" x14ac:dyDescent="0.25"/>
    <row r="212208" s="12" customFormat="1" x14ac:dyDescent="0.25"/>
    <row r="212209" s="12" customFormat="1" x14ac:dyDescent="0.25"/>
    <row r="212210" s="12" customFormat="1" x14ac:dyDescent="0.25"/>
    <row r="212211" s="12" customFormat="1" x14ac:dyDescent="0.25"/>
    <row r="212212" s="12" customFormat="1" x14ac:dyDescent="0.25"/>
    <row r="212213" s="12" customFormat="1" x14ac:dyDescent="0.25"/>
    <row r="212214" s="12" customFormat="1" x14ac:dyDescent="0.25"/>
    <row r="212215" s="12" customFormat="1" x14ac:dyDescent="0.25"/>
    <row r="212216" s="12" customFormat="1" x14ac:dyDescent="0.25"/>
    <row r="212217" s="12" customFormat="1" x14ac:dyDescent="0.25"/>
    <row r="212218" s="12" customFormat="1" x14ac:dyDescent="0.25"/>
    <row r="212219" s="12" customFormat="1" x14ac:dyDescent="0.25"/>
    <row r="212220" s="12" customFormat="1" x14ac:dyDescent="0.25"/>
    <row r="212221" s="12" customFormat="1" x14ac:dyDescent="0.25"/>
    <row r="212222" s="12" customFormat="1" x14ac:dyDescent="0.25"/>
    <row r="212223" s="12" customFormat="1" x14ac:dyDescent="0.25"/>
    <row r="212224" s="12" customFormat="1" x14ac:dyDescent="0.25"/>
    <row r="212225" s="12" customFormat="1" x14ac:dyDescent="0.25"/>
    <row r="212226" s="12" customFormat="1" x14ac:dyDescent="0.25"/>
    <row r="212227" s="12" customFormat="1" x14ac:dyDescent="0.25"/>
    <row r="212228" s="12" customFormat="1" x14ac:dyDescent="0.25"/>
    <row r="212229" s="12" customFormat="1" x14ac:dyDescent="0.25"/>
    <row r="212230" s="12" customFormat="1" x14ac:dyDescent="0.25"/>
    <row r="212231" s="12" customFormat="1" x14ac:dyDescent="0.25"/>
    <row r="212232" s="12" customFormat="1" x14ac:dyDescent="0.25"/>
    <row r="212233" s="12" customFormat="1" x14ac:dyDescent="0.25"/>
    <row r="212234" s="12" customFormat="1" x14ac:dyDescent="0.25"/>
    <row r="212235" s="12" customFormat="1" x14ac:dyDescent="0.25"/>
    <row r="212236" s="12" customFormat="1" x14ac:dyDescent="0.25"/>
    <row r="212237" s="12" customFormat="1" x14ac:dyDescent="0.25"/>
    <row r="212238" s="12" customFormat="1" x14ac:dyDescent="0.25"/>
    <row r="212239" s="12" customFormat="1" x14ac:dyDescent="0.25"/>
    <row r="212240" s="12" customFormat="1" x14ac:dyDescent="0.25"/>
    <row r="212241" s="12" customFormat="1" x14ac:dyDescent="0.25"/>
    <row r="212242" s="12" customFormat="1" x14ac:dyDescent="0.25"/>
    <row r="212243" s="12" customFormat="1" x14ac:dyDescent="0.25"/>
    <row r="212244" s="12" customFormat="1" x14ac:dyDescent="0.25"/>
    <row r="212245" s="12" customFormat="1" x14ac:dyDescent="0.25"/>
    <row r="212246" s="12" customFormat="1" x14ac:dyDescent="0.25"/>
    <row r="212247" s="12" customFormat="1" x14ac:dyDescent="0.25"/>
    <row r="212248" s="12" customFormat="1" x14ac:dyDescent="0.25"/>
    <row r="212249" s="12" customFormat="1" x14ac:dyDescent="0.25"/>
    <row r="212250" s="12" customFormat="1" x14ac:dyDescent="0.25"/>
    <row r="212251" s="12" customFormat="1" x14ac:dyDescent="0.25"/>
    <row r="212252" s="12" customFormat="1" x14ac:dyDescent="0.25"/>
    <row r="212253" s="12" customFormat="1" x14ac:dyDescent="0.25"/>
    <row r="212254" s="12" customFormat="1" x14ac:dyDescent="0.25"/>
    <row r="212255" s="12" customFormat="1" x14ac:dyDescent="0.25"/>
    <row r="212256" s="12" customFormat="1" x14ac:dyDescent="0.25"/>
    <row r="212257" s="12" customFormat="1" x14ac:dyDescent="0.25"/>
    <row r="212258" s="12" customFormat="1" x14ac:dyDescent="0.25"/>
    <row r="212259" s="12" customFormat="1" x14ac:dyDescent="0.25"/>
    <row r="212260" s="12" customFormat="1" x14ac:dyDescent="0.25"/>
    <row r="212261" s="12" customFormat="1" x14ac:dyDescent="0.25"/>
    <row r="212262" s="12" customFormat="1" x14ac:dyDescent="0.25"/>
    <row r="212263" s="12" customFormat="1" x14ac:dyDescent="0.25"/>
    <row r="212264" s="12" customFormat="1" x14ac:dyDescent="0.25"/>
    <row r="212265" s="12" customFormat="1" x14ac:dyDescent="0.25"/>
    <row r="212266" s="12" customFormat="1" x14ac:dyDescent="0.25"/>
    <row r="212267" s="12" customFormat="1" x14ac:dyDescent="0.25"/>
    <row r="212268" s="12" customFormat="1" x14ac:dyDescent="0.25"/>
    <row r="212269" s="12" customFormat="1" x14ac:dyDescent="0.25"/>
    <row r="212270" s="12" customFormat="1" x14ac:dyDescent="0.25"/>
    <row r="212271" s="12" customFormat="1" x14ac:dyDescent="0.25"/>
    <row r="212272" s="12" customFormat="1" x14ac:dyDescent="0.25"/>
    <row r="212273" s="12" customFormat="1" x14ac:dyDescent="0.25"/>
    <row r="212274" s="12" customFormat="1" x14ac:dyDescent="0.25"/>
    <row r="212275" s="12" customFormat="1" x14ac:dyDescent="0.25"/>
    <row r="212276" s="12" customFormat="1" x14ac:dyDescent="0.25"/>
    <row r="212277" s="12" customFormat="1" x14ac:dyDescent="0.25"/>
    <row r="212278" s="12" customFormat="1" x14ac:dyDescent="0.25"/>
    <row r="212279" s="12" customFormat="1" x14ac:dyDescent="0.25"/>
    <row r="212280" s="12" customFormat="1" x14ac:dyDescent="0.25"/>
    <row r="212281" s="12" customFormat="1" x14ac:dyDescent="0.25"/>
    <row r="212282" s="12" customFormat="1" x14ac:dyDescent="0.25"/>
    <row r="212283" s="12" customFormat="1" x14ac:dyDescent="0.25"/>
    <row r="212284" s="12" customFormat="1" x14ac:dyDescent="0.25"/>
    <row r="212285" s="12" customFormat="1" x14ac:dyDescent="0.25"/>
    <row r="212286" s="12" customFormat="1" x14ac:dyDescent="0.25"/>
    <row r="212287" s="12" customFormat="1" x14ac:dyDescent="0.25"/>
    <row r="212288" s="12" customFormat="1" x14ac:dyDescent="0.25"/>
    <row r="212289" s="12" customFormat="1" x14ac:dyDescent="0.25"/>
    <row r="212290" s="12" customFormat="1" x14ac:dyDescent="0.25"/>
    <row r="212291" s="12" customFormat="1" x14ac:dyDescent="0.25"/>
    <row r="212292" s="12" customFormat="1" x14ac:dyDescent="0.25"/>
    <row r="212293" s="12" customFormat="1" x14ac:dyDescent="0.25"/>
    <row r="212294" s="12" customFormat="1" x14ac:dyDescent="0.25"/>
    <row r="212295" s="12" customFormat="1" x14ac:dyDescent="0.25"/>
    <row r="212296" s="12" customFormat="1" x14ac:dyDescent="0.25"/>
    <row r="212297" s="12" customFormat="1" x14ac:dyDescent="0.25"/>
    <row r="212298" s="12" customFormat="1" x14ac:dyDescent="0.25"/>
    <row r="212299" s="12" customFormat="1" x14ac:dyDescent="0.25"/>
    <row r="212300" s="12" customFormat="1" x14ac:dyDescent="0.25"/>
    <row r="212301" s="12" customFormat="1" x14ac:dyDescent="0.25"/>
    <row r="212302" s="12" customFormat="1" x14ac:dyDescent="0.25"/>
    <row r="212303" s="12" customFormat="1" x14ac:dyDescent="0.25"/>
    <row r="212304" s="12" customFormat="1" x14ac:dyDescent="0.25"/>
    <row r="212305" s="12" customFormat="1" x14ac:dyDescent="0.25"/>
    <row r="212306" s="12" customFormat="1" x14ac:dyDescent="0.25"/>
    <row r="212307" s="12" customFormat="1" x14ac:dyDescent="0.25"/>
    <row r="212308" s="12" customFormat="1" x14ac:dyDescent="0.25"/>
    <row r="212309" s="12" customFormat="1" x14ac:dyDescent="0.25"/>
    <row r="212310" s="12" customFormat="1" x14ac:dyDescent="0.25"/>
    <row r="212311" s="12" customFormat="1" x14ac:dyDescent="0.25"/>
    <row r="212312" s="12" customFormat="1" x14ac:dyDescent="0.25"/>
    <row r="212313" s="12" customFormat="1" x14ac:dyDescent="0.25"/>
    <row r="212314" s="12" customFormat="1" x14ac:dyDescent="0.25"/>
    <row r="212315" s="12" customFormat="1" x14ac:dyDescent="0.25"/>
    <row r="212316" s="12" customFormat="1" x14ac:dyDescent="0.25"/>
    <row r="212317" s="12" customFormat="1" x14ac:dyDescent="0.25"/>
    <row r="212318" s="12" customFormat="1" x14ac:dyDescent="0.25"/>
    <row r="212319" s="12" customFormat="1" x14ac:dyDescent="0.25"/>
    <row r="212320" s="12" customFormat="1" x14ac:dyDescent="0.25"/>
    <row r="212321" s="12" customFormat="1" x14ac:dyDescent="0.25"/>
    <row r="212322" s="12" customFormat="1" x14ac:dyDescent="0.25"/>
    <row r="212323" s="12" customFormat="1" x14ac:dyDescent="0.25"/>
    <row r="212324" s="12" customFormat="1" x14ac:dyDescent="0.25"/>
    <row r="212325" s="12" customFormat="1" x14ac:dyDescent="0.25"/>
    <row r="212326" s="12" customFormat="1" x14ac:dyDescent="0.25"/>
    <row r="212327" s="12" customFormat="1" x14ac:dyDescent="0.25"/>
    <row r="212328" s="12" customFormat="1" x14ac:dyDescent="0.25"/>
    <row r="212329" s="12" customFormat="1" x14ac:dyDescent="0.25"/>
    <row r="212330" s="12" customFormat="1" x14ac:dyDescent="0.25"/>
    <row r="212331" s="12" customFormat="1" x14ac:dyDescent="0.25"/>
    <row r="212332" s="12" customFormat="1" x14ac:dyDescent="0.25"/>
    <row r="212333" s="12" customFormat="1" x14ac:dyDescent="0.25"/>
    <row r="212334" s="12" customFormat="1" x14ac:dyDescent="0.25"/>
    <row r="212335" s="12" customFormat="1" x14ac:dyDescent="0.25"/>
    <row r="212336" s="12" customFormat="1" x14ac:dyDescent="0.25"/>
    <row r="212337" s="12" customFormat="1" x14ac:dyDescent="0.25"/>
    <row r="212338" s="12" customFormat="1" x14ac:dyDescent="0.25"/>
    <row r="212339" s="12" customFormat="1" x14ac:dyDescent="0.25"/>
    <row r="212340" s="12" customFormat="1" x14ac:dyDescent="0.25"/>
    <row r="212341" s="12" customFormat="1" x14ac:dyDescent="0.25"/>
    <row r="212342" s="12" customFormat="1" x14ac:dyDescent="0.25"/>
    <row r="212343" s="12" customFormat="1" x14ac:dyDescent="0.25"/>
    <row r="212344" s="12" customFormat="1" x14ac:dyDescent="0.25"/>
    <row r="212345" s="12" customFormat="1" x14ac:dyDescent="0.25"/>
    <row r="212346" s="12" customFormat="1" x14ac:dyDescent="0.25"/>
    <row r="212347" s="12" customFormat="1" x14ac:dyDescent="0.25"/>
    <row r="212348" s="12" customFormat="1" x14ac:dyDescent="0.25"/>
    <row r="212349" s="12" customFormat="1" x14ac:dyDescent="0.25"/>
    <row r="212350" s="12" customFormat="1" x14ac:dyDescent="0.25"/>
    <row r="212351" s="12" customFormat="1" x14ac:dyDescent="0.25"/>
    <row r="212352" s="12" customFormat="1" x14ac:dyDescent="0.25"/>
    <row r="212353" s="12" customFormat="1" x14ac:dyDescent="0.25"/>
    <row r="212354" s="12" customFormat="1" x14ac:dyDescent="0.25"/>
    <row r="212355" s="12" customFormat="1" x14ac:dyDescent="0.25"/>
    <row r="212356" s="12" customFormat="1" x14ac:dyDescent="0.25"/>
    <row r="212357" s="12" customFormat="1" x14ac:dyDescent="0.25"/>
    <row r="212358" s="12" customFormat="1" x14ac:dyDescent="0.25"/>
    <row r="212359" s="12" customFormat="1" x14ac:dyDescent="0.25"/>
    <row r="212360" s="12" customFormat="1" x14ac:dyDescent="0.25"/>
    <row r="212361" s="12" customFormat="1" x14ac:dyDescent="0.25"/>
    <row r="212362" s="12" customFormat="1" x14ac:dyDescent="0.25"/>
    <row r="212363" s="12" customFormat="1" x14ac:dyDescent="0.25"/>
    <row r="212364" s="12" customFormat="1" x14ac:dyDescent="0.25"/>
    <row r="212365" s="12" customFormat="1" x14ac:dyDescent="0.25"/>
    <row r="212366" s="12" customFormat="1" x14ac:dyDescent="0.25"/>
    <row r="212367" s="12" customFormat="1" x14ac:dyDescent="0.25"/>
    <row r="212368" s="12" customFormat="1" x14ac:dyDescent="0.25"/>
    <row r="212369" s="12" customFormat="1" x14ac:dyDescent="0.25"/>
    <row r="212370" s="12" customFormat="1" x14ac:dyDescent="0.25"/>
    <row r="212371" s="12" customFormat="1" x14ac:dyDescent="0.25"/>
    <row r="212372" s="12" customFormat="1" x14ac:dyDescent="0.25"/>
    <row r="212373" s="12" customFormat="1" x14ac:dyDescent="0.25"/>
    <row r="212374" s="12" customFormat="1" x14ac:dyDescent="0.25"/>
    <row r="212375" s="12" customFormat="1" x14ac:dyDescent="0.25"/>
    <row r="212376" s="12" customFormat="1" x14ac:dyDescent="0.25"/>
    <row r="212377" s="12" customFormat="1" x14ac:dyDescent="0.25"/>
    <row r="212378" s="12" customFormat="1" x14ac:dyDescent="0.25"/>
    <row r="212379" s="12" customFormat="1" x14ac:dyDescent="0.25"/>
    <row r="212380" s="12" customFormat="1" x14ac:dyDescent="0.25"/>
    <row r="212381" s="12" customFormat="1" x14ac:dyDescent="0.25"/>
    <row r="212382" s="12" customFormat="1" x14ac:dyDescent="0.25"/>
    <row r="212383" s="12" customFormat="1" x14ac:dyDescent="0.25"/>
    <row r="212384" s="12" customFormat="1" x14ac:dyDescent="0.25"/>
    <row r="212385" s="12" customFormat="1" x14ac:dyDescent="0.25"/>
    <row r="212386" s="12" customFormat="1" x14ac:dyDescent="0.25"/>
    <row r="212387" s="12" customFormat="1" x14ac:dyDescent="0.25"/>
    <row r="212388" s="12" customFormat="1" x14ac:dyDescent="0.25"/>
    <row r="212389" s="12" customFormat="1" x14ac:dyDescent="0.25"/>
    <row r="212390" s="12" customFormat="1" x14ac:dyDescent="0.25"/>
    <row r="212391" s="12" customFormat="1" x14ac:dyDescent="0.25"/>
    <row r="212392" s="12" customFormat="1" x14ac:dyDescent="0.25"/>
    <row r="212393" s="12" customFormat="1" x14ac:dyDescent="0.25"/>
    <row r="212394" s="12" customFormat="1" x14ac:dyDescent="0.25"/>
    <row r="212395" s="12" customFormat="1" x14ac:dyDescent="0.25"/>
    <row r="212396" s="12" customFormat="1" x14ac:dyDescent="0.25"/>
    <row r="212397" s="12" customFormat="1" x14ac:dyDescent="0.25"/>
    <row r="212398" s="12" customFormat="1" x14ac:dyDescent="0.25"/>
    <row r="212399" s="12" customFormat="1" x14ac:dyDescent="0.25"/>
    <row r="212400" s="12" customFormat="1" x14ac:dyDescent="0.25"/>
    <row r="212401" s="12" customFormat="1" x14ac:dyDescent="0.25"/>
    <row r="212402" s="12" customFormat="1" x14ac:dyDescent="0.25"/>
    <row r="212403" s="12" customFormat="1" x14ac:dyDescent="0.25"/>
    <row r="212404" s="12" customFormat="1" x14ac:dyDescent="0.25"/>
    <row r="212405" s="12" customFormat="1" x14ac:dyDescent="0.25"/>
    <row r="212406" s="12" customFormat="1" x14ac:dyDescent="0.25"/>
    <row r="212407" s="12" customFormat="1" x14ac:dyDescent="0.25"/>
    <row r="212408" s="12" customFormat="1" x14ac:dyDescent="0.25"/>
    <row r="212409" s="12" customFormat="1" x14ac:dyDescent="0.25"/>
    <row r="212410" s="12" customFormat="1" x14ac:dyDescent="0.25"/>
    <row r="212411" s="12" customFormat="1" x14ac:dyDescent="0.25"/>
    <row r="212412" s="12" customFormat="1" x14ac:dyDescent="0.25"/>
    <row r="212413" s="12" customFormat="1" x14ac:dyDescent="0.25"/>
    <row r="212414" s="12" customFormat="1" x14ac:dyDescent="0.25"/>
    <row r="212415" s="12" customFormat="1" x14ac:dyDescent="0.25"/>
    <row r="212416" s="12" customFormat="1" x14ac:dyDescent="0.25"/>
    <row r="212417" s="12" customFormat="1" x14ac:dyDescent="0.25"/>
    <row r="212418" s="12" customFormat="1" x14ac:dyDescent="0.25"/>
    <row r="212419" s="12" customFormat="1" x14ac:dyDescent="0.25"/>
    <row r="212420" s="12" customFormat="1" x14ac:dyDescent="0.25"/>
    <row r="212421" s="12" customFormat="1" x14ac:dyDescent="0.25"/>
    <row r="212422" s="12" customFormat="1" x14ac:dyDescent="0.25"/>
    <row r="212423" s="12" customFormat="1" x14ac:dyDescent="0.25"/>
    <row r="212424" s="12" customFormat="1" x14ac:dyDescent="0.25"/>
    <row r="212425" s="12" customFormat="1" x14ac:dyDescent="0.25"/>
    <row r="212426" s="12" customFormat="1" x14ac:dyDescent="0.25"/>
    <row r="212427" s="12" customFormat="1" x14ac:dyDescent="0.25"/>
    <row r="212428" s="12" customFormat="1" x14ac:dyDescent="0.25"/>
    <row r="212429" s="12" customFormat="1" x14ac:dyDescent="0.25"/>
    <row r="212430" s="12" customFormat="1" x14ac:dyDescent="0.25"/>
    <row r="212431" s="12" customFormat="1" x14ac:dyDescent="0.25"/>
    <row r="212432" s="12" customFormat="1" x14ac:dyDescent="0.25"/>
    <row r="212433" s="12" customFormat="1" x14ac:dyDescent="0.25"/>
    <row r="212434" s="12" customFormat="1" x14ac:dyDescent="0.25"/>
    <row r="212435" s="12" customFormat="1" x14ac:dyDescent="0.25"/>
    <row r="212436" s="12" customFormat="1" x14ac:dyDescent="0.25"/>
    <row r="212437" s="12" customFormat="1" x14ac:dyDescent="0.25"/>
    <row r="212438" s="12" customFormat="1" x14ac:dyDescent="0.25"/>
    <row r="212439" s="12" customFormat="1" x14ac:dyDescent="0.25"/>
    <row r="212440" s="12" customFormat="1" x14ac:dyDescent="0.25"/>
    <row r="212441" s="12" customFormat="1" x14ac:dyDescent="0.25"/>
    <row r="212442" s="12" customFormat="1" x14ac:dyDescent="0.25"/>
    <row r="212443" s="12" customFormat="1" x14ac:dyDescent="0.25"/>
    <row r="212444" s="12" customFormat="1" x14ac:dyDescent="0.25"/>
    <row r="212445" s="12" customFormat="1" x14ac:dyDescent="0.25"/>
    <row r="212446" s="12" customFormat="1" x14ac:dyDescent="0.25"/>
    <row r="212447" s="12" customFormat="1" x14ac:dyDescent="0.25"/>
    <row r="212448" s="12" customFormat="1" x14ac:dyDescent="0.25"/>
    <row r="212449" s="12" customFormat="1" x14ac:dyDescent="0.25"/>
    <row r="212450" s="12" customFormat="1" x14ac:dyDescent="0.25"/>
    <row r="212451" s="12" customFormat="1" x14ac:dyDescent="0.25"/>
    <row r="212452" s="12" customFormat="1" x14ac:dyDescent="0.25"/>
    <row r="212453" s="12" customFormat="1" x14ac:dyDescent="0.25"/>
    <row r="212454" s="12" customFormat="1" x14ac:dyDescent="0.25"/>
    <row r="212455" s="12" customFormat="1" x14ac:dyDescent="0.25"/>
    <row r="212456" s="12" customFormat="1" x14ac:dyDescent="0.25"/>
    <row r="212457" s="12" customFormat="1" x14ac:dyDescent="0.25"/>
    <row r="212458" s="12" customFormat="1" x14ac:dyDescent="0.25"/>
    <row r="212459" s="12" customFormat="1" x14ac:dyDescent="0.25"/>
    <row r="212460" s="12" customFormat="1" x14ac:dyDescent="0.25"/>
    <row r="212461" s="12" customFormat="1" x14ac:dyDescent="0.25"/>
    <row r="212462" s="12" customFormat="1" x14ac:dyDescent="0.25"/>
    <row r="212463" s="12" customFormat="1" x14ac:dyDescent="0.25"/>
    <row r="212464" s="12" customFormat="1" x14ac:dyDescent="0.25"/>
    <row r="212465" s="12" customFormat="1" x14ac:dyDescent="0.25"/>
    <row r="212466" s="12" customFormat="1" x14ac:dyDescent="0.25"/>
    <row r="212467" s="12" customFormat="1" x14ac:dyDescent="0.25"/>
    <row r="212468" s="12" customFormat="1" x14ac:dyDescent="0.25"/>
    <row r="212469" s="12" customFormat="1" x14ac:dyDescent="0.25"/>
    <row r="212470" s="12" customFormat="1" x14ac:dyDescent="0.25"/>
    <row r="212471" s="12" customFormat="1" x14ac:dyDescent="0.25"/>
    <row r="212472" s="12" customFormat="1" x14ac:dyDescent="0.25"/>
    <row r="212473" s="12" customFormat="1" x14ac:dyDescent="0.25"/>
    <row r="212474" s="12" customFormat="1" x14ac:dyDescent="0.25"/>
    <row r="212475" s="12" customFormat="1" x14ac:dyDescent="0.25"/>
    <row r="212476" s="12" customFormat="1" x14ac:dyDescent="0.25"/>
    <row r="212477" s="12" customFormat="1" x14ac:dyDescent="0.25"/>
    <row r="212478" s="12" customFormat="1" x14ac:dyDescent="0.25"/>
    <row r="212479" s="12" customFormat="1" x14ac:dyDescent="0.25"/>
    <row r="212480" s="12" customFormat="1" x14ac:dyDescent="0.25"/>
    <row r="212481" s="12" customFormat="1" x14ac:dyDescent="0.25"/>
    <row r="212482" s="12" customFormat="1" x14ac:dyDescent="0.25"/>
    <row r="212483" s="12" customFormat="1" x14ac:dyDescent="0.25"/>
    <row r="212484" s="12" customFormat="1" x14ac:dyDescent="0.25"/>
    <row r="212485" s="12" customFormat="1" x14ac:dyDescent="0.25"/>
    <row r="212486" s="12" customFormat="1" x14ac:dyDescent="0.25"/>
    <row r="212487" s="12" customFormat="1" x14ac:dyDescent="0.25"/>
    <row r="212488" s="12" customFormat="1" x14ac:dyDescent="0.25"/>
    <row r="212489" s="12" customFormat="1" x14ac:dyDescent="0.25"/>
    <row r="212490" s="12" customFormat="1" x14ac:dyDescent="0.25"/>
    <row r="212491" s="12" customFormat="1" x14ac:dyDescent="0.25"/>
    <row r="212492" s="12" customFormat="1" x14ac:dyDescent="0.25"/>
    <row r="212493" s="12" customFormat="1" x14ac:dyDescent="0.25"/>
    <row r="212494" s="12" customFormat="1" x14ac:dyDescent="0.25"/>
    <row r="212495" s="12" customFormat="1" x14ac:dyDescent="0.25"/>
    <row r="212496" s="12" customFormat="1" x14ac:dyDescent="0.25"/>
    <row r="212497" s="12" customFormat="1" x14ac:dyDescent="0.25"/>
    <row r="212498" s="12" customFormat="1" x14ac:dyDescent="0.25"/>
    <row r="212499" s="12" customFormat="1" x14ac:dyDescent="0.25"/>
    <row r="212500" s="12" customFormat="1" x14ac:dyDescent="0.25"/>
    <row r="212501" s="12" customFormat="1" x14ac:dyDescent="0.25"/>
    <row r="212502" s="12" customFormat="1" x14ac:dyDescent="0.25"/>
    <row r="212503" s="12" customFormat="1" x14ac:dyDescent="0.25"/>
    <row r="212504" s="12" customFormat="1" x14ac:dyDescent="0.25"/>
    <row r="212505" s="12" customFormat="1" x14ac:dyDescent="0.25"/>
    <row r="212506" s="12" customFormat="1" x14ac:dyDescent="0.25"/>
    <row r="212507" s="12" customFormat="1" x14ac:dyDescent="0.25"/>
    <row r="212508" s="12" customFormat="1" x14ac:dyDescent="0.25"/>
    <row r="212509" s="12" customFormat="1" x14ac:dyDescent="0.25"/>
    <row r="212510" s="12" customFormat="1" x14ac:dyDescent="0.25"/>
    <row r="212511" s="12" customFormat="1" x14ac:dyDescent="0.25"/>
    <row r="212512" s="12" customFormat="1" x14ac:dyDescent="0.25"/>
    <row r="212513" s="12" customFormat="1" x14ac:dyDescent="0.25"/>
    <row r="212514" s="12" customFormat="1" x14ac:dyDescent="0.25"/>
    <row r="212515" s="12" customFormat="1" x14ac:dyDescent="0.25"/>
    <row r="212516" s="12" customFormat="1" x14ac:dyDescent="0.25"/>
    <row r="212517" s="12" customFormat="1" x14ac:dyDescent="0.25"/>
    <row r="212518" s="12" customFormat="1" x14ac:dyDescent="0.25"/>
    <row r="212519" s="12" customFormat="1" x14ac:dyDescent="0.25"/>
    <row r="212520" s="12" customFormat="1" x14ac:dyDescent="0.25"/>
    <row r="212521" s="12" customFormat="1" x14ac:dyDescent="0.25"/>
    <row r="212522" s="12" customFormat="1" x14ac:dyDescent="0.25"/>
    <row r="212523" s="12" customFormat="1" x14ac:dyDescent="0.25"/>
    <row r="212524" s="12" customFormat="1" x14ac:dyDescent="0.25"/>
    <row r="212525" s="12" customFormat="1" x14ac:dyDescent="0.25"/>
    <row r="212526" s="12" customFormat="1" x14ac:dyDescent="0.25"/>
    <row r="212527" s="12" customFormat="1" x14ac:dyDescent="0.25"/>
    <row r="212528" s="12" customFormat="1" x14ac:dyDescent="0.25"/>
    <row r="212529" s="12" customFormat="1" x14ac:dyDescent="0.25"/>
    <row r="212530" s="12" customFormat="1" x14ac:dyDescent="0.25"/>
    <row r="212531" s="12" customFormat="1" x14ac:dyDescent="0.25"/>
    <row r="212532" s="12" customFormat="1" x14ac:dyDescent="0.25"/>
    <row r="212533" s="12" customFormat="1" x14ac:dyDescent="0.25"/>
    <row r="212534" s="12" customFormat="1" x14ac:dyDescent="0.25"/>
    <row r="212535" s="12" customFormat="1" x14ac:dyDescent="0.25"/>
    <row r="212536" s="12" customFormat="1" x14ac:dyDescent="0.25"/>
    <row r="212537" s="12" customFormat="1" x14ac:dyDescent="0.25"/>
    <row r="212538" s="12" customFormat="1" x14ac:dyDescent="0.25"/>
    <row r="212539" s="12" customFormat="1" x14ac:dyDescent="0.25"/>
    <row r="212540" s="12" customFormat="1" x14ac:dyDescent="0.25"/>
    <row r="212541" s="12" customFormat="1" x14ac:dyDescent="0.25"/>
    <row r="212542" s="12" customFormat="1" x14ac:dyDescent="0.25"/>
    <row r="212543" s="12" customFormat="1" x14ac:dyDescent="0.25"/>
    <row r="212544" s="12" customFormat="1" x14ac:dyDescent="0.25"/>
    <row r="212545" s="12" customFormat="1" x14ac:dyDescent="0.25"/>
    <row r="212546" s="12" customFormat="1" x14ac:dyDescent="0.25"/>
    <row r="212547" s="12" customFormat="1" x14ac:dyDescent="0.25"/>
    <row r="212548" s="12" customFormat="1" x14ac:dyDescent="0.25"/>
    <row r="212549" s="12" customFormat="1" x14ac:dyDescent="0.25"/>
    <row r="212550" s="12" customFormat="1" x14ac:dyDescent="0.25"/>
    <row r="212551" s="12" customFormat="1" x14ac:dyDescent="0.25"/>
    <row r="212552" s="12" customFormat="1" x14ac:dyDescent="0.25"/>
    <row r="212553" s="12" customFormat="1" x14ac:dyDescent="0.25"/>
    <row r="212554" s="12" customFormat="1" x14ac:dyDescent="0.25"/>
    <row r="212555" s="12" customFormat="1" x14ac:dyDescent="0.25"/>
    <row r="212556" s="12" customFormat="1" x14ac:dyDescent="0.25"/>
    <row r="212557" s="12" customFormat="1" x14ac:dyDescent="0.25"/>
    <row r="212558" s="12" customFormat="1" x14ac:dyDescent="0.25"/>
    <row r="212559" s="12" customFormat="1" x14ac:dyDescent="0.25"/>
    <row r="212560" s="12" customFormat="1" x14ac:dyDescent="0.25"/>
    <row r="212561" s="12" customFormat="1" x14ac:dyDescent="0.25"/>
    <row r="212562" s="12" customFormat="1" x14ac:dyDescent="0.25"/>
    <row r="212563" s="12" customFormat="1" x14ac:dyDescent="0.25"/>
    <row r="212564" s="12" customFormat="1" x14ac:dyDescent="0.25"/>
    <row r="212565" s="12" customFormat="1" x14ac:dyDescent="0.25"/>
    <row r="212566" s="12" customFormat="1" x14ac:dyDescent="0.25"/>
    <row r="212567" s="12" customFormat="1" x14ac:dyDescent="0.25"/>
    <row r="212568" s="12" customFormat="1" x14ac:dyDescent="0.25"/>
    <row r="212569" s="12" customFormat="1" x14ac:dyDescent="0.25"/>
    <row r="212570" s="12" customFormat="1" x14ac:dyDescent="0.25"/>
    <row r="212571" s="12" customFormat="1" x14ac:dyDescent="0.25"/>
    <row r="212572" s="12" customFormat="1" x14ac:dyDescent="0.25"/>
    <row r="212573" s="12" customFormat="1" x14ac:dyDescent="0.25"/>
    <row r="212574" s="12" customFormat="1" x14ac:dyDescent="0.25"/>
    <row r="212575" s="12" customFormat="1" x14ac:dyDescent="0.25"/>
    <row r="212576" s="12" customFormat="1" x14ac:dyDescent="0.25"/>
    <row r="212577" s="12" customFormat="1" x14ac:dyDescent="0.25"/>
    <row r="212578" s="12" customFormat="1" x14ac:dyDescent="0.25"/>
    <row r="212579" s="12" customFormat="1" x14ac:dyDescent="0.25"/>
    <row r="212580" s="12" customFormat="1" x14ac:dyDescent="0.25"/>
    <row r="212581" s="12" customFormat="1" x14ac:dyDescent="0.25"/>
    <row r="212582" s="12" customFormat="1" x14ac:dyDescent="0.25"/>
    <row r="212583" s="12" customFormat="1" x14ac:dyDescent="0.25"/>
    <row r="212584" s="12" customFormat="1" x14ac:dyDescent="0.25"/>
    <row r="212585" s="12" customFormat="1" x14ac:dyDescent="0.25"/>
    <row r="212586" s="12" customFormat="1" x14ac:dyDescent="0.25"/>
    <row r="212587" s="12" customFormat="1" x14ac:dyDescent="0.25"/>
    <row r="212588" s="12" customFormat="1" x14ac:dyDescent="0.25"/>
    <row r="212589" s="12" customFormat="1" x14ac:dyDescent="0.25"/>
    <row r="212590" s="12" customFormat="1" x14ac:dyDescent="0.25"/>
    <row r="212591" s="12" customFormat="1" x14ac:dyDescent="0.25"/>
    <row r="212592" s="12" customFormat="1" x14ac:dyDescent="0.25"/>
    <row r="212593" s="12" customFormat="1" x14ac:dyDescent="0.25"/>
    <row r="212594" s="12" customFormat="1" x14ac:dyDescent="0.25"/>
    <row r="212595" s="12" customFormat="1" x14ac:dyDescent="0.25"/>
    <row r="212596" s="12" customFormat="1" x14ac:dyDescent="0.25"/>
    <row r="212597" s="12" customFormat="1" x14ac:dyDescent="0.25"/>
    <row r="212598" s="12" customFormat="1" x14ac:dyDescent="0.25"/>
    <row r="212599" s="12" customFormat="1" x14ac:dyDescent="0.25"/>
    <row r="212600" s="12" customFormat="1" x14ac:dyDescent="0.25"/>
    <row r="212601" s="12" customFormat="1" x14ac:dyDescent="0.25"/>
    <row r="212602" s="12" customFormat="1" x14ac:dyDescent="0.25"/>
    <row r="212603" s="12" customFormat="1" x14ac:dyDescent="0.25"/>
    <row r="212604" s="12" customFormat="1" x14ac:dyDescent="0.25"/>
    <row r="212605" s="12" customFormat="1" x14ac:dyDescent="0.25"/>
    <row r="212606" s="12" customFormat="1" x14ac:dyDescent="0.25"/>
    <row r="212607" s="12" customFormat="1" x14ac:dyDescent="0.25"/>
    <row r="212608" s="12" customFormat="1" x14ac:dyDescent="0.25"/>
    <row r="212609" s="12" customFormat="1" x14ac:dyDescent="0.25"/>
    <row r="212610" s="12" customFormat="1" x14ac:dyDescent="0.25"/>
    <row r="212611" s="12" customFormat="1" x14ac:dyDescent="0.25"/>
    <row r="212612" s="12" customFormat="1" x14ac:dyDescent="0.25"/>
    <row r="212613" s="12" customFormat="1" x14ac:dyDescent="0.25"/>
    <row r="212614" s="12" customFormat="1" x14ac:dyDescent="0.25"/>
    <row r="212615" s="12" customFormat="1" x14ac:dyDescent="0.25"/>
    <row r="212616" s="12" customFormat="1" x14ac:dyDescent="0.25"/>
    <row r="212617" s="12" customFormat="1" x14ac:dyDescent="0.25"/>
    <row r="212618" s="12" customFormat="1" x14ac:dyDescent="0.25"/>
    <row r="212619" s="12" customFormat="1" x14ac:dyDescent="0.25"/>
    <row r="212620" s="12" customFormat="1" x14ac:dyDescent="0.25"/>
    <row r="212621" s="12" customFormat="1" x14ac:dyDescent="0.25"/>
    <row r="212622" s="12" customFormat="1" x14ac:dyDescent="0.25"/>
    <row r="212623" s="12" customFormat="1" x14ac:dyDescent="0.25"/>
    <row r="212624" s="12" customFormat="1" x14ac:dyDescent="0.25"/>
    <row r="212625" s="12" customFormat="1" x14ac:dyDescent="0.25"/>
    <row r="212626" s="12" customFormat="1" x14ac:dyDescent="0.25"/>
    <row r="212627" s="12" customFormat="1" x14ac:dyDescent="0.25"/>
    <row r="212628" s="12" customFormat="1" x14ac:dyDescent="0.25"/>
    <row r="212629" s="12" customFormat="1" x14ac:dyDescent="0.25"/>
    <row r="212630" s="12" customFormat="1" x14ac:dyDescent="0.25"/>
    <row r="212631" s="12" customFormat="1" x14ac:dyDescent="0.25"/>
    <row r="212632" s="12" customFormat="1" x14ac:dyDescent="0.25"/>
    <row r="212633" s="12" customFormat="1" x14ac:dyDescent="0.25"/>
    <row r="212634" s="12" customFormat="1" x14ac:dyDescent="0.25"/>
    <row r="212635" s="12" customFormat="1" x14ac:dyDescent="0.25"/>
    <row r="212636" s="12" customFormat="1" x14ac:dyDescent="0.25"/>
    <row r="212637" s="12" customFormat="1" x14ac:dyDescent="0.25"/>
    <row r="212638" s="12" customFormat="1" x14ac:dyDescent="0.25"/>
    <row r="212639" s="12" customFormat="1" x14ac:dyDescent="0.25"/>
    <row r="212640" s="12" customFormat="1" x14ac:dyDescent="0.25"/>
    <row r="212641" s="12" customFormat="1" x14ac:dyDescent="0.25"/>
    <row r="212642" s="12" customFormat="1" x14ac:dyDescent="0.25"/>
    <row r="212643" s="12" customFormat="1" x14ac:dyDescent="0.25"/>
    <row r="212644" s="12" customFormat="1" x14ac:dyDescent="0.25"/>
    <row r="212645" s="12" customFormat="1" x14ac:dyDescent="0.25"/>
    <row r="212646" s="12" customFormat="1" x14ac:dyDescent="0.25"/>
    <row r="212647" s="12" customFormat="1" x14ac:dyDescent="0.25"/>
    <row r="212648" s="12" customFormat="1" x14ac:dyDescent="0.25"/>
    <row r="212649" s="12" customFormat="1" x14ac:dyDescent="0.25"/>
    <row r="212650" s="12" customFormat="1" x14ac:dyDescent="0.25"/>
    <row r="212651" s="12" customFormat="1" x14ac:dyDescent="0.25"/>
    <row r="212652" s="12" customFormat="1" x14ac:dyDescent="0.25"/>
    <row r="212653" s="12" customFormat="1" x14ac:dyDescent="0.25"/>
    <row r="212654" s="12" customFormat="1" x14ac:dyDescent="0.25"/>
    <row r="212655" s="12" customFormat="1" x14ac:dyDescent="0.25"/>
    <row r="212656" s="12" customFormat="1" x14ac:dyDescent="0.25"/>
    <row r="212657" s="12" customFormat="1" x14ac:dyDescent="0.25"/>
    <row r="212658" s="12" customFormat="1" x14ac:dyDescent="0.25"/>
    <row r="212659" s="12" customFormat="1" x14ac:dyDescent="0.25"/>
    <row r="212660" s="12" customFormat="1" x14ac:dyDescent="0.25"/>
    <row r="212661" s="12" customFormat="1" x14ac:dyDescent="0.25"/>
    <row r="212662" s="12" customFormat="1" x14ac:dyDescent="0.25"/>
    <row r="212663" s="12" customFormat="1" x14ac:dyDescent="0.25"/>
    <row r="212664" s="12" customFormat="1" x14ac:dyDescent="0.25"/>
    <row r="212665" s="12" customFormat="1" x14ac:dyDescent="0.25"/>
    <row r="212666" s="12" customFormat="1" x14ac:dyDescent="0.25"/>
    <row r="212667" s="12" customFormat="1" x14ac:dyDescent="0.25"/>
    <row r="212668" s="12" customFormat="1" x14ac:dyDescent="0.25"/>
    <row r="212669" s="12" customFormat="1" x14ac:dyDescent="0.25"/>
    <row r="212670" s="12" customFormat="1" x14ac:dyDescent="0.25"/>
    <row r="212671" s="12" customFormat="1" x14ac:dyDescent="0.25"/>
    <row r="212672" s="12" customFormat="1" x14ac:dyDescent="0.25"/>
    <row r="212673" s="12" customFormat="1" x14ac:dyDescent="0.25"/>
    <row r="212674" s="12" customFormat="1" x14ac:dyDescent="0.25"/>
    <row r="212675" s="12" customFormat="1" x14ac:dyDescent="0.25"/>
    <row r="212676" s="12" customFormat="1" x14ac:dyDescent="0.25"/>
    <row r="212677" s="12" customFormat="1" x14ac:dyDescent="0.25"/>
    <row r="212678" s="12" customFormat="1" x14ac:dyDescent="0.25"/>
    <row r="212679" s="12" customFormat="1" x14ac:dyDescent="0.25"/>
    <row r="212680" s="12" customFormat="1" x14ac:dyDescent="0.25"/>
    <row r="212681" s="12" customFormat="1" x14ac:dyDescent="0.25"/>
    <row r="212682" s="12" customFormat="1" x14ac:dyDescent="0.25"/>
    <row r="212683" s="12" customFormat="1" x14ac:dyDescent="0.25"/>
    <row r="212684" s="12" customFormat="1" x14ac:dyDescent="0.25"/>
    <row r="212685" s="12" customFormat="1" x14ac:dyDescent="0.25"/>
    <row r="212686" s="12" customFormat="1" x14ac:dyDescent="0.25"/>
    <row r="212687" s="12" customFormat="1" x14ac:dyDescent="0.25"/>
    <row r="212688" s="12" customFormat="1" x14ac:dyDescent="0.25"/>
    <row r="212689" s="12" customFormat="1" x14ac:dyDescent="0.25"/>
    <row r="212690" s="12" customFormat="1" x14ac:dyDescent="0.25"/>
    <row r="212691" s="12" customFormat="1" x14ac:dyDescent="0.25"/>
    <row r="212692" s="12" customFormat="1" x14ac:dyDescent="0.25"/>
    <row r="212693" s="12" customFormat="1" x14ac:dyDescent="0.25"/>
    <row r="212694" s="12" customFormat="1" x14ac:dyDescent="0.25"/>
    <row r="212695" s="12" customFormat="1" x14ac:dyDescent="0.25"/>
    <row r="212696" s="12" customFormat="1" x14ac:dyDescent="0.25"/>
    <row r="212697" s="12" customFormat="1" x14ac:dyDescent="0.25"/>
    <row r="212698" s="12" customFormat="1" x14ac:dyDescent="0.25"/>
    <row r="212699" s="12" customFormat="1" x14ac:dyDescent="0.25"/>
    <row r="212700" s="12" customFormat="1" x14ac:dyDescent="0.25"/>
    <row r="212701" s="12" customFormat="1" x14ac:dyDescent="0.25"/>
    <row r="212702" s="12" customFormat="1" x14ac:dyDescent="0.25"/>
    <row r="212703" s="12" customFormat="1" x14ac:dyDescent="0.25"/>
    <row r="212704" s="12" customFormat="1" x14ac:dyDescent="0.25"/>
    <row r="212705" s="12" customFormat="1" x14ac:dyDescent="0.25"/>
    <row r="212706" s="12" customFormat="1" x14ac:dyDescent="0.25"/>
    <row r="212707" s="12" customFormat="1" x14ac:dyDescent="0.25"/>
    <row r="212708" s="12" customFormat="1" x14ac:dyDescent="0.25"/>
    <row r="212709" s="12" customFormat="1" x14ac:dyDescent="0.25"/>
    <row r="212710" s="12" customFormat="1" x14ac:dyDescent="0.25"/>
    <row r="212711" s="12" customFormat="1" x14ac:dyDescent="0.25"/>
    <row r="212712" s="12" customFormat="1" x14ac:dyDescent="0.25"/>
    <row r="212713" s="12" customFormat="1" x14ac:dyDescent="0.25"/>
    <row r="212714" s="12" customFormat="1" x14ac:dyDescent="0.25"/>
    <row r="212715" s="12" customFormat="1" x14ac:dyDescent="0.25"/>
    <row r="212716" s="12" customFormat="1" x14ac:dyDescent="0.25"/>
    <row r="212717" s="12" customFormat="1" x14ac:dyDescent="0.25"/>
    <row r="212718" s="12" customFormat="1" x14ac:dyDescent="0.25"/>
    <row r="212719" s="12" customFormat="1" x14ac:dyDescent="0.25"/>
    <row r="212720" s="12" customFormat="1" x14ac:dyDescent="0.25"/>
    <row r="212721" s="12" customFormat="1" x14ac:dyDescent="0.25"/>
    <row r="212722" s="12" customFormat="1" x14ac:dyDescent="0.25"/>
    <row r="212723" s="12" customFormat="1" x14ac:dyDescent="0.25"/>
    <row r="212724" s="12" customFormat="1" x14ac:dyDescent="0.25"/>
    <row r="212725" s="12" customFormat="1" x14ac:dyDescent="0.25"/>
    <row r="212726" s="12" customFormat="1" x14ac:dyDescent="0.25"/>
    <row r="212727" s="12" customFormat="1" x14ac:dyDescent="0.25"/>
    <row r="212728" s="12" customFormat="1" x14ac:dyDescent="0.25"/>
    <row r="212729" s="12" customFormat="1" x14ac:dyDescent="0.25"/>
    <row r="212730" s="12" customFormat="1" x14ac:dyDescent="0.25"/>
    <row r="212731" s="12" customFormat="1" x14ac:dyDescent="0.25"/>
    <row r="212732" s="12" customFormat="1" x14ac:dyDescent="0.25"/>
    <row r="212733" s="12" customFormat="1" x14ac:dyDescent="0.25"/>
    <row r="212734" s="12" customFormat="1" x14ac:dyDescent="0.25"/>
    <row r="212735" s="12" customFormat="1" x14ac:dyDescent="0.25"/>
    <row r="212736" s="12" customFormat="1" x14ac:dyDescent="0.25"/>
    <row r="212737" s="12" customFormat="1" x14ac:dyDescent="0.25"/>
    <row r="212738" s="12" customFormat="1" x14ac:dyDescent="0.25"/>
    <row r="212739" s="12" customFormat="1" x14ac:dyDescent="0.25"/>
    <row r="212740" s="12" customFormat="1" x14ac:dyDescent="0.25"/>
    <row r="212741" s="12" customFormat="1" x14ac:dyDescent="0.25"/>
    <row r="212742" s="12" customFormat="1" x14ac:dyDescent="0.25"/>
    <row r="212743" s="12" customFormat="1" x14ac:dyDescent="0.25"/>
    <row r="212744" s="12" customFormat="1" x14ac:dyDescent="0.25"/>
    <row r="212745" s="12" customFormat="1" x14ac:dyDescent="0.25"/>
    <row r="212746" s="12" customFormat="1" x14ac:dyDescent="0.25"/>
    <row r="212747" s="12" customFormat="1" x14ac:dyDescent="0.25"/>
    <row r="212748" s="12" customFormat="1" x14ac:dyDescent="0.25"/>
    <row r="212749" s="12" customFormat="1" x14ac:dyDescent="0.25"/>
    <row r="212750" s="12" customFormat="1" x14ac:dyDescent="0.25"/>
    <row r="212751" s="12" customFormat="1" x14ac:dyDescent="0.25"/>
    <row r="212752" s="12" customFormat="1" x14ac:dyDescent="0.25"/>
    <row r="212753" s="12" customFormat="1" x14ac:dyDescent="0.25"/>
    <row r="212754" s="12" customFormat="1" x14ac:dyDescent="0.25"/>
    <row r="212755" s="12" customFormat="1" x14ac:dyDescent="0.25"/>
    <row r="212756" s="12" customFormat="1" x14ac:dyDescent="0.25"/>
    <row r="212757" s="12" customFormat="1" x14ac:dyDescent="0.25"/>
    <row r="212758" s="12" customFormat="1" x14ac:dyDescent="0.25"/>
    <row r="212759" s="12" customFormat="1" x14ac:dyDescent="0.25"/>
    <row r="212760" s="12" customFormat="1" x14ac:dyDescent="0.25"/>
    <row r="212761" s="12" customFormat="1" x14ac:dyDescent="0.25"/>
    <row r="212762" s="12" customFormat="1" x14ac:dyDescent="0.25"/>
    <row r="212763" s="12" customFormat="1" x14ac:dyDescent="0.25"/>
    <row r="212764" s="12" customFormat="1" x14ac:dyDescent="0.25"/>
    <row r="212765" s="12" customFormat="1" x14ac:dyDescent="0.25"/>
    <row r="212766" s="12" customFormat="1" x14ac:dyDescent="0.25"/>
    <row r="212767" s="12" customFormat="1" x14ac:dyDescent="0.25"/>
    <row r="212768" s="12" customFormat="1" x14ac:dyDescent="0.25"/>
    <row r="212769" s="12" customFormat="1" x14ac:dyDescent="0.25"/>
    <row r="212770" s="12" customFormat="1" x14ac:dyDescent="0.25"/>
    <row r="212771" s="12" customFormat="1" x14ac:dyDescent="0.25"/>
    <row r="212772" s="12" customFormat="1" x14ac:dyDescent="0.25"/>
    <row r="212773" s="12" customFormat="1" x14ac:dyDescent="0.25"/>
    <row r="212774" s="12" customFormat="1" x14ac:dyDescent="0.25"/>
    <row r="212775" s="12" customFormat="1" x14ac:dyDescent="0.25"/>
    <row r="212776" s="12" customFormat="1" x14ac:dyDescent="0.25"/>
    <row r="212777" s="12" customFormat="1" x14ac:dyDescent="0.25"/>
    <row r="212778" s="12" customFormat="1" x14ac:dyDescent="0.25"/>
    <row r="212779" s="12" customFormat="1" x14ac:dyDescent="0.25"/>
    <row r="212780" s="12" customFormat="1" x14ac:dyDescent="0.25"/>
    <row r="212781" s="12" customFormat="1" x14ac:dyDescent="0.25"/>
    <row r="212782" s="12" customFormat="1" x14ac:dyDescent="0.25"/>
    <row r="212783" s="12" customFormat="1" x14ac:dyDescent="0.25"/>
    <row r="212784" s="12" customFormat="1" x14ac:dyDescent="0.25"/>
    <row r="212785" s="12" customFormat="1" x14ac:dyDescent="0.25"/>
    <row r="212786" s="12" customFormat="1" x14ac:dyDescent="0.25"/>
    <row r="212787" s="12" customFormat="1" x14ac:dyDescent="0.25"/>
    <row r="212788" s="12" customFormat="1" x14ac:dyDescent="0.25"/>
    <row r="212789" s="12" customFormat="1" x14ac:dyDescent="0.25"/>
    <row r="212790" s="12" customFormat="1" x14ac:dyDescent="0.25"/>
    <row r="212791" s="12" customFormat="1" x14ac:dyDescent="0.25"/>
    <row r="212792" s="12" customFormat="1" x14ac:dyDescent="0.25"/>
    <row r="212793" s="12" customFormat="1" x14ac:dyDescent="0.25"/>
    <row r="212794" s="12" customFormat="1" x14ac:dyDescent="0.25"/>
    <row r="212795" s="12" customFormat="1" x14ac:dyDescent="0.25"/>
    <row r="212796" s="12" customFormat="1" x14ac:dyDescent="0.25"/>
    <row r="212797" s="12" customFormat="1" x14ac:dyDescent="0.25"/>
    <row r="212798" s="12" customFormat="1" x14ac:dyDescent="0.25"/>
    <row r="212799" s="12" customFormat="1" x14ac:dyDescent="0.25"/>
    <row r="212800" s="12" customFormat="1" x14ac:dyDescent="0.25"/>
    <row r="212801" s="12" customFormat="1" x14ac:dyDescent="0.25"/>
    <row r="212802" s="12" customFormat="1" x14ac:dyDescent="0.25"/>
    <row r="212803" s="12" customFormat="1" x14ac:dyDescent="0.25"/>
    <row r="212804" s="12" customFormat="1" x14ac:dyDescent="0.25"/>
    <row r="212805" s="12" customFormat="1" x14ac:dyDescent="0.25"/>
    <row r="212806" s="12" customFormat="1" x14ac:dyDescent="0.25"/>
    <row r="212807" s="12" customFormat="1" x14ac:dyDescent="0.25"/>
    <row r="212808" s="12" customFormat="1" x14ac:dyDescent="0.25"/>
    <row r="212809" s="12" customFormat="1" x14ac:dyDescent="0.25"/>
    <row r="212810" s="12" customFormat="1" x14ac:dyDescent="0.25"/>
    <row r="212811" s="12" customFormat="1" x14ac:dyDescent="0.25"/>
    <row r="212812" s="12" customFormat="1" x14ac:dyDescent="0.25"/>
    <row r="212813" s="12" customFormat="1" x14ac:dyDescent="0.25"/>
    <row r="212814" s="12" customFormat="1" x14ac:dyDescent="0.25"/>
    <row r="212815" s="12" customFormat="1" x14ac:dyDescent="0.25"/>
    <row r="212816" s="12" customFormat="1" x14ac:dyDescent="0.25"/>
    <row r="212817" s="12" customFormat="1" x14ac:dyDescent="0.25"/>
    <row r="212818" s="12" customFormat="1" x14ac:dyDescent="0.25"/>
    <row r="212819" s="12" customFormat="1" x14ac:dyDescent="0.25"/>
    <row r="212820" s="12" customFormat="1" x14ac:dyDescent="0.25"/>
    <row r="212821" s="12" customFormat="1" x14ac:dyDescent="0.25"/>
    <row r="212822" s="12" customFormat="1" x14ac:dyDescent="0.25"/>
    <row r="212823" s="12" customFormat="1" x14ac:dyDescent="0.25"/>
    <row r="212824" s="12" customFormat="1" x14ac:dyDescent="0.25"/>
    <row r="212825" s="12" customFormat="1" x14ac:dyDescent="0.25"/>
    <row r="212826" s="12" customFormat="1" x14ac:dyDescent="0.25"/>
    <row r="212827" s="12" customFormat="1" x14ac:dyDescent="0.25"/>
    <row r="212828" s="12" customFormat="1" x14ac:dyDescent="0.25"/>
    <row r="212829" s="12" customFormat="1" x14ac:dyDescent="0.25"/>
    <row r="212830" s="12" customFormat="1" x14ac:dyDescent="0.25"/>
    <row r="212831" s="12" customFormat="1" x14ac:dyDescent="0.25"/>
    <row r="212832" s="12" customFormat="1" x14ac:dyDescent="0.25"/>
    <row r="212833" s="12" customFormat="1" x14ac:dyDescent="0.25"/>
    <row r="212834" s="12" customFormat="1" x14ac:dyDescent="0.25"/>
    <row r="212835" s="12" customFormat="1" x14ac:dyDescent="0.25"/>
    <row r="212836" s="12" customFormat="1" x14ac:dyDescent="0.25"/>
    <row r="212837" s="12" customFormat="1" x14ac:dyDescent="0.25"/>
    <row r="212838" s="12" customFormat="1" x14ac:dyDescent="0.25"/>
    <row r="212839" s="12" customFormat="1" x14ac:dyDescent="0.25"/>
    <row r="212840" s="12" customFormat="1" x14ac:dyDescent="0.25"/>
    <row r="212841" s="12" customFormat="1" x14ac:dyDescent="0.25"/>
    <row r="212842" s="12" customFormat="1" x14ac:dyDescent="0.25"/>
    <row r="212843" s="12" customFormat="1" x14ac:dyDescent="0.25"/>
    <row r="212844" s="12" customFormat="1" x14ac:dyDescent="0.25"/>
    <row r="212845" s="12" customFormat="1" x14ac:dyDescent="0.25"/>
    <row r="212846" s="12" customFormat="1" x14ac:dyDescent="0.25"/>
    <row r="212847" s="12" customFormat="1" x14ac:dyDescent="0.25"/>
    <row r="212848" s="12" customFormat="1" x14ac:dyDescent="0.25"/>
    <row r="212849" s="12" customFormat="1" x14ac:dyDescent="0.25"/>
    <row r="212850" s="12" customFormat="1" x14ac:dyDescent="0.25"/>
    <row r="212851" s="12" customFormat="1" x14ac:dyDescent="0.25"/>
    <row r="212852" s="12" customFormat="1" x14ac:dyDescent="0.25"/>
    <row r="212853" s="12" customFormat="1" x14ac:dyDescent="0.25"/>
    <row r="212854" s="12" customFormat="1" x14ac:dyDescent="0.25"/>
    <row r="212855" s="12" customFormat="1" x14ac:dyDescent="0.25"/>
    <row r="212856" s="12" customFormat="1" x14ac:dyDescent="0.25"/>
    <row r="212857" s="12" customFormat="1" x14ac:dyDescent="0.25"/>
    <row r="212858" s="12" customFormat="1" x14ac:dyDescent="0.25"/>
    <row r="212859" s="12" customFormat="1" x14ac:dyDescent="0.25"/>
    <row r="212860" s="12" customFormat="1" x14ac:dyDescent="0.25"/>
    <row r="212861" s="12" customFormat="1" x14ac:dyDescent="0.25"/>
    <row r="212862" s="12" customFormat="1" x14ac:dyDescent="0.25"/>
    <row r="212863" s="12" customFormat="1" x14ac:dyDescent="0.25"/>
    <row r="212864" s="12" customFormat="1" x14ac:dyDescent="0.25"/>
    <row r="212865" s="12" customFormat="1" x14ac:dyDescent="0.25"/>
    <row r="212866" s="12" customFormat="1" x14ac:dyDescent="0.25"/>
    <row r="212867" s="12" customFormat="1" x14ac:dyDescent="0.25"/>
    <row r="212868" s="12" customFormat="1" x14ac:dyDescent="0.25"/>
    <row r="212869" s="12" customFormat="1" x14ac:dyDescent="0.25"/>
    <row r="212870" s="12" customFormat="1" x14ac:dyDescent="0.25"/>
    <row r="212871" s="12" customFormat="1" x14ac:dyDescent="0.25"/>
    <row r="212872" s="12" customFormat="1" x14ac:dyDescent="0.25"/>
    <row r="212873" s="12" customFormat="1" x14ac:dyDescent="0.25"/>
    <row r="212874" s="12" customFormat="1" x14ac:dyDescent="0.25"/>
    <row r="212875" s="12" customFormat="1" x14ac:dyDescent="0.25"/>
    <row r="212876" s="12" customFormat="1" x14ac:dyDescent="0.25"/>
    <row r="212877" s="12" customFormat="1" x14ac:dyDescent="0.25"/>
    <row r="212878" s="12" customFormat="1" x14ac:dyDescent="0.25"/>
    <row r="212879" s="12" customFormat="1" x14ac:dyDescent="0.25"/>
    <row r="212880" s="12" customFormat="1" x14ac:dyDescent="0.25"/>
    <row r="212881" s="12" customFormat="1" x14ac:dyDescent="0.25"/>
    <row r="212882" s="12" customFormat="1" x14ac:dyDescent="0.25"/>
    <row r="212883" s="12" customFormat="1" x14ac:dyDescent="0.25"/>
    <row r="212884" s="12" customFormat="1" x14ac:dyDescent="0.25"/>
    <row r="212885" s="12" customFormat="1" x14ac:dyDescent="0.25"/>
    <row r="212886" s="12" customFormat="1" x14ac:dyDescent="0.25"/>
    <row r="212887" s="12" customFormat="1" x14ac:dyDescent="0.25"/>
    <row r="212888" s="12" customFormat="1" x14ac:dyDescent="0.25"/>
    <row r="212889" s="12" customFormat="1" x14ac:dyDescent="0.25"/>
    <row r="212890" s="12" customFormat="1" x14ac:dyDescent="0.25"/>
    <row r="212891" s="12" customFormat="1" x14ac:dyDescent="0.25"/>
    <row r="212892" s="12" customFormat="1" x14ac:dyDescent="0.25"/>
    <row r="212893" s="12" customFormat="1" x14ac:dyDescent="0.25"/>
    <row r="212894" s="12" customFormat="1" x14ac:dyDescent="0.25"/>
    <row r="212895" s="12" customFormat="1" x14ac:dyDescent="0.25"/>
    <row r="212896" s="12" customFormat="1" x14ac:dyDescent="0.25"/>
    <row r="212897" s="12" customFormat="1" x14ac:dyDescent="0.25"/>
    <row r="212898" s="12" customFormat="1" x14ac:dyDescent="0.25"/>
    <row r="212899" s="12" customFormat="1" x14ac:dyDescent="0.25"/>
    <row r="212900" s="12" customFormat="1" x14ac:dyDescent="0.25"/>
    <row r="212901" s="12" customFormat="1" x14ac:dyDescent="0.25"/>
    <row r="212902" s="12" customFormat="1" x14ac:dyDescent="0.25"/>
    <row r="212903" s="12" customFormat="1" x14ac:dyDescent="0.25"/>
    <row r="212904" s="12" customFormat="1" x14ac:dyDescent="0.25"/>
    <row r="212905" s="12" customFormat="1" x14ac:dyDescent="0.25"/>
    <row r="212906" s="12" customFormat="1" x14ac:dyDescent="0.25"/>
    <row r="212907" s="12" customFormat="1" x14ac:dyDescent="0.25"/>
    <row r="212908" s="12" customFormat="1" x14ac:dyDescent="0.25"/>
    <row r="212909" s="12" customFormat="1" x14ac:dyDescent="0.25"/>
    <row r="212910" s="12" customFormat="1" x14ac:dyDescent="0.25"/>
    <row r="212911" s="12" customFormat="1" x14ac:dyDescent="0.25"/>
    <row r="212912" s="12" customFormat="1" x14ac:dyDescent="0.25"/>
    <row r="212913" s="12" customFormat="1" x14ac:dyDescent="0.25"/>
    <row r="212914" s="12" customFormat="1" x14ac:dyDescent="0.25"/>
    <row r="212915" s="12" customFormat="1" x14ac:dyDescent="0.25"/>
    <row r="212916" s="12" customFormat="1" x14ac:dyDescent="0.25"/>
    <row r="212917" s="12" customFormat="1" x14ac:dyDescent="0.25"/>
    <row r="212918" s="12" customFormat="1" x14ac:dyDescent="0.25"/>
    <row r="212919" s="12" customFormat="1" x14ac:dyDescent="0.25"/>
    <row r="212920" s="12" customFormat="1" x14ac:dyDescent="0.25"/>
    <row r="212921" s="12" customFormat="1" x14ac:dyDescent="0.25"/>
    <row r="212922" s="12" customFormat="1" x14ac:dyDescent="0.25"/>
    <row r="212923" s="12" customFormat="1" x14ac:dyDescent="0.25"/>
    <row r="212924" s="12" customFormat="1" x14ac:dyDescent="0.25"/>
    <row r="212925" s="12" customFormat="1" x14ac:dyDescent="0.25"/>
    <row r="212926" s="12" customFormat="1" x14ac:dyDescent="0.25"/>
    <row r="212927" s="12" customFormat="1" x14ac:dyDescent="0.25"/>
    <row r="212928" s="12" customFormat="1" x14ac:dyDescent="0.25"/>
    <row r="212929" s="12" customFormat="1" x14ac:dyDescent="0.25"/>
    <row r="212930" s="12" customFormat="1" x14ac:dyDescent="0.25"/>
    <row r="212931" s="12" customFormat="1" x14ac:dyDescent="0.25"/>
    <row r="212932" s="12" customFormat="1" x14ac:dyDescent="0.25"/>
    <row r="212933" s="12" customFormat="1" x14ac:dyDescent="0.25"/>
    <row r="212934" s="12" customFormat="1" x14ac:dyDescent="0.25"/>
    <row r="212935" s="12" customFormat="1" x14ac:dyDescent="0.25"/>
    <row r="212936" s="12" customFormat="1" x14ac:dyDescent="0.25"/>
    <row r="212937" s="12" customFormat="1" x14ac:dyDescent="0.25"/>
    <row r="212938" s="12" customFormat="1" x14ac:dyDescent="0.25"/>
    <row r="212939" s="12" customFormat="1" x14ac:dyDescent="0.25"/>
    <row r="212940" s="12" customFormat="1" x14ac:dyDescent="0.25"/>
    <row r="212941" s="12" customFormat="1" x14ac:dyDescent="0.25"/>
    <row r="212942" s="12" customFormat="1" x14ac:dyDescent="0.25"/>
    <row r="212943" s="12" customFormat="1" x14ac:dyDescent="0.25"/>
    <row r="212944" s="12" customFormat="1" x14ac:dyDescent="0.25"/>
    <row r="212945" s="12" customFormat="1" x14ac:dyDescent="0.25"/>
    <row r="212946" s="12" customFormat="1" x14ac:dyDescent="0.25"/>
    <row r="212947" s="12" customFormat="1" x14ac:dyDescent="0.25"/>
    <row r="212948" s="12" customFormat="1" x14ac:dyDescent="0.25"/>
    <row r="212949" s="12" customFormat="1" x14ac:dyDescent="0.25"/>
    <row r="212950" s="12" customFormat="1" x14ac:dyDescent="0.25"/>
    <row r="212951" s="12" customFormat="1" x14ac:dyDescent="0.25"/>
    <row r="212952" s="12" customFormat="1" x14ac:dyDescent="0.25"/>
    <row r="212953" s="12" customFormat="1" x14ac:dyDescent="0.25"/>
    <row r="212954" s="12" customFormat="1" x14ac:dyDescent="0.25"/>
    <row r="212955" s="12" customFormat="1" x14ac:dyDescent="0.25"/>
    <row r="212956" s="12" customFormat="1" x14ac:dyDescent="0.25"/>
    <row r="212957" s="12" customFormat="1" x14ac:dyDescent="0.25"/>
    <row r="212958" s="12" customFormat="1" x14ac:dyDescent="0.25"/>
    <row r="212959" s="12" customFormat="1" x14ac:dyDescent="0.25"/>
    <row r="212960" s="12" customFormat="1" x14ac:dyDescent="0.25"/>
    <row r="212961" s="12" customFormat="1" x14ac:dyDescent="0.25"/>
    <row r="212962" s="12" customFormat="1" x14ac:dyDescent="0.25"/>
    <row r="212963" s="12" customFormat="1" x14ac:dyDescent="0.25"/>
    <row r="212964" s="12" customFormat="1" x14ac:dyDescent="0.25"/>
    <row r="212965" s="12" customFormat="1" x14ac:dyDescent="0.25"/>
    <row r="212966" s="12" customFormat="1" x14ac:dyDescent="0.25"/>
    <row r="212967" s="12" customFormat="1" x14ac:dyDescent="0.25"/>
    <row r="212968" s="12" customFormat="1" x14ac:dyDescent="0.25"/>
    <row r="212969" s="12" customFormat="1" x14ac:dyDescent="0.25"/>
    <row r="212970" s="12" customFormat="1" x14ac:dyDescent="0.25"/>
    <row r="212971" s="12" customFormat="1" x14ac:dyDescent="0.25"/>
    <row r="212972" s="12" customFormat="1" x14ac:dyDescent="0.25"/>
    <row r="212973" s="12" customFormat="1" x14ac:dyDescent="0.25"/>
    <row r="212974" s="12" customFormat="1" x14ac:dyDescent="0.25"/>
    <row r="212975" s="12" customFormat="1" x14ac:dyDescent="0.25"/>
    <row r="212976" s="12" customFormat="1" x14ac:dyDescent="0.25"/>
    <row r="212977" s="12" customFormat="1" x14ac:dyDescent="0.25"/>
    <row r="212978" s="12" customFormat="1" x14ac:dyDescent="0.25"/>
    <row r="212979" s="12" customFormat="1" x14ac:dyDescent="0.25"/>
    <row r="212980" s="12" customFormat="1" x14ac:dyDescent="0.25"/>
    <row r="212981" s="12" customFormat="1" x14ac:dyDescent="0.25"/>
    <row r="212982" s="12" customFormat="1" x14ac:dyDescent="0.25"/>
    <row r="212983" s="12" customFormat="1" x14ac:dyDescent="0.25"/>
    <row r="212984" s="12" customFormat="1" x14ac:dyDescent="0.25"/>
    <row r="212985" s="12" customFormat="1" x14ac:dyDescent="0.25"/>
    <row r="212986" s="12" customFormat="1" x14ac:dyDescent="0.25"/>
    <row r="212987" s="12" customFormat="1" x14ac:dyDescent="0.25"/>
    <row r="212988" s="12" customFormat="1" x14ac:dyDescent="0.25"/>
    <row r="212989" s="12" customFormat="1" x14ac:dyDescent="0.25"/>
    <row r="212990" s="12" customFormat="1" x14ac:dyDescent="0.25"/>
    <row r="212991" s="12" customFormat="1" x14ac:dyDescent="0.25"/>
    <row r="212992" s="12" customFormat="1" x14ac:dyDescent="0.25"/>
    <row r="212993" s="12" customFormat="1" x14ac:dyDescent="0.25"/>
    <row r="212994" s="12" customFormat="1" x14ac:dyDescent="0.25"/>
    <row r="212995" s="12" customFormat="1" x14ac:dyDescent="0.25"/>
    <row r="212996" s="12" customFormat="1" x14ac:dyDescent="0.25"/>
    <row r="212997" s="12" customFormat="1" x14ac:dyDescent="0.25"/>
    <row r="212998" s="12" customFormat="1" x14ac:dyDescent="0.25"/>
    <row r="212999" s="12" customFormat="1" x14ac:dyDescent="0.25"/>
    <row r="213000" s="12" customFormat="1" x14ac:dyDescent="0.25"/>
    <row r="213001" s="12" customFormat="1" x14ac:dyDescent="0.25"/>
    <row r="213002" s="12" customFormat="1" x14ac:dyDescent="0.25"/>
    <row r="213003" s="12" customFormat="1" x14ac:dyDescent="0.25"/>
    <row r="213004" s="12" customFormat="1" x14ac:dyDescent="0.25"/>
    <row r="213005" s="12" customFormat="1" x14ac:dyDescent="0.25"/>
    <row r="213006" s="12" customFormat="1" x14ac:dyDescent="0.25"/>
    <row r="213007" s="12" customFormat="1" x14ac:dyDescent="0.25"/>
    <row r="213008" s="12" customFormat="1" x14ac:dyDescent="0.25"/>
    <row r="213009" s="12" customFormat="1" x14ac:dyDescent="0.25"/>
    <row r="213010" s="12" customFormat="1" x14ac:dyDescent="0.25"/>
    <row r="213011" s="12" customFormat="1" x14ac:dyDescent="0.25"/>
    <row r="213012" s="12" customFormat="1" x14ac:dyDescent="0.25"/>
    <row r="213013" s="12" customFormat="1" x14ac:dyDescent="0.25"/>
    <row r="213014" s="12" customFormat="1" x14ac:dyDescent="0.25"/>
    <row r="213015" s="12" customFormat="1" x14ac:dyDescent="0.25"/>
    <row r="213016" s="12" customFormat="1" x14ac:dyDescent="0.25"/>
    <row r="213017" s="12" customFormat="1" x14ac:dyDescent="0.25"/>
    <row r="213018" s="12" customFormat="1" x14ac:dyDescent="0.25"/>
    <row r="213019" s="12" customFormat="1" x14ac:dyDescent="0.25"/>
    <row r="213020" s="12" customFormat="1" x14ac:dyDescent="0.25"/>
    <row r="213021" s="12" customFormat="1" x14ac:dyDescent="0.25"/>
    <row r="213022" s="12" customFormat="1" x14ac:dyDescent="0.25"/>
    <row r="213023" s="12" customFormat="1" x14ac:dyDescent="0.25"/>
    <row r="213024" s="12" customFormat="1" x14ac:dyDescent="0.25"/>
    <row r="213025" s="12" customFormat="1" x14ac:dyDescent="0.25"/>
    <row r="213026" s="12" customFormat="1" x14ac:dyDescent="0.25"/>
    <row r="213027" s="12" customFormat="1" x14ac:dyDescent="0.25"/>
    <row r="213028" s="12" customFormat="1" x14ac:dyDescent="0.25"/>
    <row r="213029" s="12" customFormat="1" x14ac:dyDescent="0.25"/>
    <row r="213030" s="12" customFormat="1" x14ac:dyDescent="0.25"/>
    <row r="213031" s="12" customFormat="1" x14ac:dyDescent="0.25"/>
    <row r="213032" s="12" customFormat="1" x14ac:dyDescent="0.25"/>
    <row r="213033" s="12" customFormat="1" x14ac:dyDescent="0.25"/>
    <row r="213034" s="12" customFormat="1" x14ac:dyDescent="0.25"/>
    <row r="213035" s="12" customFormat="1" x14ac:dyDescent="0.25"/>
    <row r="213036" s="12" customFormat="1" x14ac:dyDescent="0.25"/>
    <row r="213037" s="12" customFormat="1" x14ac:dyDescent="0.25"/>
    <row r="213038" s="12" customFormat="1" x14ac:dyDescent="0.25"/>
    <row r="213039" s="12" customFormat="1" x14ac:dyDescent="0.25"/>
    <row r="213040" s="12" customFormat="1" x14ac:dyDescent="0.25"/>
    <row r="213041" s="12" customFormat="1" x14ac:dyDescent="0.25"/>
    <row r="213042" s="12" customFormat="1" x14ac:dyDescent="0.25"/>
    <row r="213043" s="12" customFormat="1" x14ac:dyDescent="0.25"/>
    <row r="213044" s="12" customFormat="1" x14ac:dyDescent="0.25"/>
    <row r="213045" s="12" customFormat="1" x14ac:dyDescent="0.25"/>
    <row r="213046" s="12" customFormat="1" x14ac:dyDescent="0.25"/>
    <row r="213047" s="12" customFormat="1" x14ac:dyDescent="0.25"/>
    <row r="213048" s="12" customFormat="1" x14ac:dyDescent="0.25"/>
    <row r="213049" s="12" customFormat="1" x14ac:dyDescent="0.25"/>
    <row r="213050" s="12" customFormat="1" x14ac:dyDescent="0.25"/>
    <row r="213051" s="12" customFormat="1" x14ac:dyDescent="0.25"/>
    <row r="213052" s="12" customFormat="1" x14ac:dyDescent="0.25"/>
    <row r="213053" s="12" customFormat="1" x14ac:dyDescent="0.25"/>
    <row r="213054" s="12" customFormat="1" x14ac:dyDescent="0.25"/>
    <row r="213055" s="12" customFormat="1" x14ac:dyDescent="0.25"/>
    <row r="213056" s="12" customFormat="1" x14ac:dyDescent="0.25"/>
    <row r="213057" s="12" customFormat="1" x14ac:dyDescent="0.25"/>
    <row r="213058" s="12" customFormat="1" x14ac:dyDescent="0.25"/>
    <row r="213059" s="12" customFormat="1" x14ac:dyDescent="0.25"/>
    <row r="213060" s="12" customFormat="1" x14ac:dyDescent="0.25"/>
    <row r="213061" s="12" customFormat="1" x14ac:dyDescent="0.25"/>
    <row r="213062" s="12" customFormat="1" x14ac:dyDescent="0.25"/>
    <row r="213063" s="12" customFormat="1" x14ac:dyDescent="0.25"/>
    <row r="213064" s="12" customFormat="1" x14ac:dyDescent="0.25"/>
    <row r="213065" s="12" customFormat="1" x14ac:dyDescent="0.25"/>
    <row r="213066" s="12" customFormat="1" x14ac:dyDescent="0.25"/>
    <row r="213067" s="12" customFormat="1" x14ac:dyDescent="0.25"/>
    <row r="213068" s="12" customFormat="1" x14ac:dyDescent="0.25"/>
    <row r="213069" s="12" customFormat="1" x14ac:dyDescent="0.25"/>
    <row r="213070" s="12" customFormat="1" x14ac:dyDescent="0.25"/>
    <row r="213071" s="12" customFormat="1" x14ac:dyDescent="0.25"/>
    <row r="213072" s="12" customFormat="1" x14ac:dyDescent="0.25"/>
    <row r="213073" s="12" customFormat="1" x14ac:dyDescent="0.25"/>
    <row r="213074" s="12" customFormat="1" x14ac:dyDescent="0.25"/>
    <row r="213075" s="12" customFormat="1" x14ac:dyDescent="0.25"/>
    <row r="213076" s="12" customFormat="1" x14ac:dyDescent="0.25"/>
    <row r="213077" s="12" customFormat="1" x14ac:dyDescent="0.25"/>
    <row r="213078" s="12" customFormat="1" x14ac:dyDescent="0.25"/>
    <row r="213079" s="12" customFormat="1" x14ac:dyDescent="0.25"/>
    <row r="213080" s="12" customFormat="1" x14ac:dyDescent="0.25"/>
    <row r="213081" s="12" customFormat="1" x14ac:dyDescent="0.25"/>
    <row r="213082" s="12" customFormat="1" x14ac:dyDescent="0.25"/>
    <row r="213083" s="12" customFormat="1" x14ac:dyDescent="0.25"/>
    <row r="213084" s="12" customFormat="1" x14ac:dyDescent="0.25"/>
    <row r="213085" s="12" customFormat="1" x14ac:dyDescent="0.25"/>
    <row r="213086" s="12" customFormat="1" x14ac:dyDescent="0.25"/>
    <row r="213087" s="12" customFormat="1" x14ac:dyDescent="0.25"/>
    <row r="213088" s="12" customFormat="1" x14ac:dyDescent="0.25"/>
    <row r="213089" s="12" customFormat="1" x14ac:dyDescent="0.25"/>
    <row r="213090" s="12" customFormat="1" x14ac:dyDescent="0.25"/>
    <row r="213091" s="12" customFormat="1" x14ac:dyDescent="0.25"/>
    <row r="213092" s="12" customFormat="1" x14ac:dyDescent="0.25"/>
    <row r="213093" s="12" customFormat="1" x14ac:dyDescent="0.25"/>
    <row r="213094" s="12" customFormat="1" x14ac:dyDescent="0.25"/>
    <row r="213095" s="12" customFormat="1" x14ac:dyDescent="0.25"/>
    <row r="213096" s="12" customFormat="1" x14ac:dyDescent="0.25"/>
    <row r="213097" s="12" customFormat="1" x14ac:dyDescent="0.25"/>
    <row r="213098" s="12" customFormat="1" x14ac:dyDescent="0.25"/>
    <row r="213099" s="12" customFormat="1" x14ac:dyDescent="0.25"/>
    <row r="213100" s="12" customFormat="1" x14ac:dyDescent="0.25"/>
    <row r="213101" s="12" customFormat="1" x14ac:dyDescent="0.25"/>
    <row r="213102" s="12" customFormat="1" x14ac:dyDescent="0.25"/>
    <row r="213103" s="12" customFormat="1" x14ac:dyDescent="0.25"/>
    <row r="213104" s="12" customFormat="1" x14ac:dyDescent="0.25"/>
    <row r="213105" s="12" customFormat="1" x14ac:dyDescent="0.25"/>
    <row r="213106" s="12" customFormat="1" x14ac:dyDescent="0.25"/>
    <row r="213107" s="12" customFormat="1" x14ac:dyDescent="0.25"/>
    <row r="213108" s="12" customFormat="1" x14ac:dyDescent="0.25"/>
    <row r="213109" s="12" customFormat="1" x14ac:dyDescent="0.25"/>
    <row r="213110" s="12" customFormat="1" x14ac:dyDescent="0.25"/>
    <row r="213111" s="12" customFormat="1" x14ac:dyDescent="0.25"/>
    <row r="213112" s="12" customFormat="1" x14ac:dyDescent="0.25"/>
    <row r="213113" s="12" customFormat="1" x14ac:dyDescent="0.25"/>
    <row r="213114" s="12" customFormat="1" x14ac:dyDescent="0.25"/>
    <row r="213115" s="12" customFormat="1" x14ac:dyDescent="0.25"/>
    <row r="213116" s="12" customFormat="1" x14ac:dyDescent="0.25"/>
    <row r="213117" s="12" customFormat="1" x14ac:dyDescent="0.25"/>
    <row r="213118" s="12" customFormat="1" x14ac:dyDescent="0.25"/>
    <row r="213119" s="12" customFormat="1" x14ac:dyDescent="0.25"/>
    <row r="213120" s="12" customFormat="1" x14ac:dyDescent="0.25"/>
    <row r="213121" s="12" customFormat="1" x14ac:dyDescent="0.25"/>
    <row r="213122" s="12" customFormat="1" x14ac:dyDescent="0.25"/>
    <row r="213123" s="12" customFormat="1" x14ac:dyDescent="0.25"/>
    <row r="213124" s="12" customFormat="1" x14ac:dyDescent="0.25"/>
    <row r="213125" s="12" customFormat="1" x14ac:dyDescent="0.25"/>
    <row r="213126" s="12" customFormat="1" x14ac:dyDescent="0.25"/>
    <row r="213127" s="12" customFormat="1" x14ac:dyDescent="0.25"/>
    <row r="213128" s="12" customFormat="1" x14ac:dyDescent="0.25"/>
    <row r="213129" s="12" customFormat="1" x14ac:dyDescent="0.25"/>
    <row r="213130" s="12" customFormat="1" x14ac:dyDescent="0.25"/>
    <row r="213131" s="12" customFormat="1" x14ac:dyDescent="0.25"/>
    <row r="213132" s="12" customFormat="1" x14ac:dyDescent="0.25"/>
    <row r="213133" s="12" customFormat="1" x14ac:dyDescent="0.25"/>
    <row r="213134" s="12" customFormat="1" x14ac:dyDescent="0.25"/>
    <row r="213135" s="12" customFormat="1" x14ac:dyDescent="0.25"/>
    <row r="213136" s="12" customFormat="1" x14ac:dyDescent="0.25"/>
    <row r="213137" s="12" customFormat="1" x14ac:dyDescent="0.25"/>
    <row r="213138" s="12" customFormat="1" x14ac:dyDescent="0.25"/>
    <row r="213139" s="12" customFormat="1" x14ac:dyDescent="0.25"/>
    <row r="213140" s="12" customFormat="1" x14ac:dyDescent="0.25"/>
    <row r="213141" s="12" customFormat="1" x14ac:dyDescent="0.25"/>
    <row r="213142" s="12" customFormat="1" x14ac:dyDescent="0.25"/>
    <row r="213143" s="12" customFormat="1" x14ac:dyDescent="0.25"/>
    <row r="213144" s="12" customFormat="1" x14ac:dyDescent="0.25"/>
    <row r="213145" s="12" customFormat="1" x14ac:dyDescent="0.25"/>
    <row r="213146" s="12" customFormat="1" x14ac:dyDescent="0.25"/>
    <row r="213147" s="12" customFormat="1" x14ac:dyDescent="0.25"/>
    <row r="213148" s="12" customFormat="1" x14ac:dyDescent="0.25"/>
    <row r="213149" s="12" customFormat="1" x14ac:dyDescent="0.25"/>
    <row r="213150" s="12" customFormat="1" x14ac:dyDescent="0.25"/>
    <row r="213151" s="12" customFormat="1" x14ac:dyDescent="0.25"/>
    <row r="213152" s="12" customFormat="1" x14ac:dyDescent="0.25"/>
    <row r="213153" s="12" customFormat="1" x14ac:dyDescent="0.25"/>
    <row r="213154" s="12" customFormat="1" x14ac:dyDescent="0.25"/>
    <row r="213155" s="12" customFormat="1" x14ac:dyDescent="0.25"/>
    <row r="213156" s="12" customFormat="1" x14ac:dyDescent="0.25"/>
    <row r="213157" s="12" customFormat="1" x14ac:dyDescent="0.25"/>
    <row r="213158" s="12" customFormat="1" x14ac:dyDescent="0.25"/>
    <row r="213159" s="12" customFormat="1" x14ac:dyDescent="0.25"/>
    <row r="213160" s="12" customFormat="1" x14ac:dyDescent="0.25"/>
    <row r="213161" s="12" customFormat="1" x14ac:dyDescent="0.25"/>
    <row r="213162" s="12" customFormat="1" x14ac:dyDescent="0.25"/>
    <row r="213163" s="12" customFormat="1" x14ac:dyDescent="0.25"/>
    <row r="213164" s="12" customFormat="1" x14ac:dyDescent="0.25"/>
    <row r="213165" s="12" customFormat="1" x14ac:dyDescent="0.25"/>
    <row r="213166" s="12" customFormat="1" x14ac:dyDescent="0.25"/>
    <row r="213167" s="12" customFormat="1" x14ac:dyDescent="0.25"/>
    <row r="213168" s="12" customFormat="1" x14ac:dyDescent="0.25"/>
    <row r="213169" s="12" customFormat="1" x14ac:dyDescent="0.25"/>
    <row r="213170" s="12" customFormat="1" x14ac:dyDescent="0.25"/>
    <row r="213171" s="12" customFormat="1" x14ac:dyDescent="0.25"/>
    <row r="213172" s="12" customFormat="1" x14ac:dyDescent="0.25"/>
    <row r="213173" s="12" customFormat="1" x14ac:dyDescent="0.25"/>
    <row r="213174" s="12" customFormat="1" x14ac:dyDescent="0.25"/>
    <row r="213175" s="12" customFormat="1" x14ac:dyDescent="0.25"/>
    <row r="213176" s="12" customFormat="1" x14ac:dyDescent="0.25"/>
    <row r="213177" s="12" customFormat="1" x14ac:dyDescent="0.25"/>
    <row r="213178" s="12" customFormat="1" x14ac:dyDescent="0.25"/>
    <row r="213179" s="12" customFormat="1" x14ac:dyDescent="0.25"/>
    <row r="213180" s="12" customFormat="1" x14ac:dyDescent="0.25"/>
    <row r="213181" s="12" customFormat="1" x14ac:dyDescent="0.25"/>
    <row r="213182" s="12" customFormat="1" x14ac:dyDescent="0.25"/>
    <row r="213183" s="12" customFormat="1" x14ac:dyDescent="0.25"/>
    <row r="213184" s="12" customFormat="1" x14ac:dyDescent="0.25"/>
    <row r="213185" s="12" customFormat="1" x14ac:dyDescent="0.25"/>
    <row r="213186" s="12" customFormat="1" x14ac:dyDescent="0.25"/>
    <row r="213187" s="12" customFormat="1" x14ac:dyDescent="0.25"/>
    <row r="213188" s="12" customFormat="1" x14ac:dyDescent="0.25"/>
    <row r="213189" s="12" customFormat="1" x14ac:dyDescent="0.25"/>
    <row r="213190" s="12" customFormat="1" x14ac:dyDescent="0.25"/>
    <row r="213191" s="12" customFormat="1" x14ac:dyDescent="0.25"/>
    <row r="213192" s="12" customFormat="1" x14ac:dyDescent="0.25"/>
    <row r="213193" s="12" customFormat="1" x14ac:dyDescent="0.25"/>
    <row r="213194" s="12" customFormat="1" x14ac:dyDescent="0.25"/>
    <row r="213195" s="12" customFormat="1" x14ac:dyDescent="0.25"/>
    <row r="213196" s="12" customFormat="1" x14ac:dyDescent="0.25"/>
    <row r="213197" s="12" customFormat="1" x14ac:dyDescent="0.25"/>
    <row r="213198" s="12" customFormat="1" x14ac:dyDescent="0.25"/>
    <row r="213199" s="12" customFormat="1" x14ac:dyDescent="0.25"/>
    <row r="213200" s="12" customFormat="1" x14ac:dyDescent="0.25"/>
    <row r="213201" s="12" customFormat="1" x14ac:dyDescent="0.25"/>
    <row r="213202" s="12" customFormat="1" x14ac:dyDescent="0.25"/>
    <row r="213203" s="12" customFormat="1" x14ac:dyDescent="0.25"/>
    <row r="213204" s="12" customFormat="1" x14ac:dyDescent="0.25"/>
    <row r="213205" s="12" customFormat="1" x14ac:dyDescent="0.25"/>
    <row r="213206" s="12" customFormat="1" x14ac:dyDescent="0.25"/>
    <row r="213207" s="12" customFormat="1" x14ac:dyDescent="0.25"/>
    <row r="213208" s="12" customFormat="1" x14ac:dyDescent="0.25"/>
    <row r="213209" s="12" customFormat="1" x14ac:dyDescent="0.25"/>
    <row r="213210" s="12" customFormat="1" x14ac:dyDescent="0.25"/>
    <row r="213211" s="12" customFormat="1" x14ac:dyDescent="0.25"/>
    <row r="213212" s="12" customFormat="1" x14ac:dyDescent="0.25"/>
    <row r="213213" s="12" customFormat="1" x14ac:dyDescent="0.25"/>
    <row r="213214" s="12" customFormat="1" x14ac:dyDescent="0.25"/>
    <row r="213215" s="12" customFormat="1" x14ac:dyDescent="0.25"/>
    <row r="213216" s="12" customFormat="1" x14ac:dyDescent="0.25"/>
    <row r="213217" s="12" customFormat="1" x14ac:dyDescent="0.25"/>
    <row r="213218" s="12" customFormat="1" x14ac:dyDescent="0.25"/>
    <row r="213219" s="12" customFormat="1" x14ac:dyDescent="0.25"/>
    <row r="213220" s="12" customFormat="1" x14ac:dyDescent="0.25"/>
    <row r="213221" s="12" customFormat="1" x14ac:dyDescent="0.25"/>
    <row r="213222" s="12" customFormat="1" x14ac:dyDescent="0.25"/>
    <row r="213223" s="12" customFormat="1" x14ac:dyDescent="0.25"/>
    <row r="213224" s="12" customFormat="1" x14ac:dyDescent="0.25"/>
    <row r="213225" s="12" customFormat="1" x14ac:dyDescent="0.25"/>
    <row r="213226" s="12" customFormat="1" x14ac:dyDescent="0.25"/>
    <row r="213227" s="12" customFormat="1" x14ac:dyDescent="0.25"/>
    <row r="213228" s="12" customFormat="1" x14ac:dyDescent="0.25"/>
    <row r="213229" s="12" customFormat="1" x14ac:dyDescent="0.25"/>
    <row r="213230" s="12" customFormat="1" x14ac:dyDescent="0.25"/>
    <row r="213231" s="12" customFormat="1" x14ac:dyDescent="0.25"/>
    <row r="213232" s="12" customFormat="1" x14ac:dyDescent="0.25"/>
    <row r="213233" s="12" customFormat="1" x14ac:dyDescent="0.25"/>
    <row r="213234" s="12" customFormat="1" x14ac:dyDescent="0.25"/>
    <row r="213235" s="12" customFormat="1" x14ac:dyDescent="0.25"/>
    <row r="213236" s="12" customFormat="1" x14ac:dyDescent="0.25"/>
    <row r="213237" s="12" customFormat="1" x14ac:dyDescent="0.25"/>
    <row r="213238" s="12" customFormat="1" x14ac:dyDescent="0.25"/>
    <row r="213239" s="12" customFormat="1" x14ac:dyDescent="0.25"/>
    <row r="213240" s="12" customFormat="1" x14ac:dyDescent="0.25"/>
    <row r="213241" s="12" customFormat="1" x14ac:dyDescent="0.25"/>
    <row r="213242" s="12" customFormat="1" x14ac:dyDescent="0.25"/>
    <row r="213243" s="12" customFormat="1" x14ac:dyDescent="0.25"/>
    <row r="213244" s="12" customFormat="1" x14ac:dyDescent="0.25"/>
    <row r="213245" s="12" customFormat="1" x14ac:dyDescent="0.25"/>
    <row r="213246" s="12" customFormat="1" x14ac:dyDescent="0.25"/>
    <row r="213247" s="12" customFormat="1" x14ac:dyDescent="0.25"/>
    <row r="213248" s="12" customFormat="1" x14ac:dyDescent="0.25"/>
    <row r="213249" s="12" customFormat="1" x14ac:dyDescent="0.25"/>
    <row r="213250" s="12" customFormat="1" x14ac:dyDescent="0.25"/>
    <row r="213251" s="12" customFormat="1" x14ac:dyDescent="0.25"/>
    <row r="213252" s="12" customFormat="1" x14ac:dyDescent="0.25"/>
    <row r="213253" s="12" customFormat="1" x14ac:dyDescent="0.25"/>
    <row r="213254" s="12" customFormat="1" x14ac:dyDescent="0.25"/>
    <row r="213255" s="12" customFormat="1" x14ac:dyDescent="0.25"/>
    <row r="213256" s="12" customFormat="1" x14ac:dyDescent="0.25"/>
    <row r="213257" s="12" customFormat="1" x14ac:dyDescent="0.25"/>
    <row r="213258" s="12" customFormat="1" x14ac:dyDescent="0.25"/>
    <row r="213259" s="12" customFormat="1" x14ac:dyDescent="0.25"/>
    <row r="213260" s="12" customFormat="1" x14ac:dyDescent="0.25"/>
    <row r="213261" s="12" customFormat="1" x14ac:dyDescent="0.25"/>
    <row r="213262" s="12" customFormat="1" x14ac:dyDescent="0.25"/>
    <row r="213263" s="12" customFormat="1" x14ac:dyDescent="0.25"/>
    <row r="213264" s="12" customFormat="1" x14ac:dyDescent="0.25"/>
    <row r="213265" s="12" customFormat="1" x14ac:dyDescent="0.25"/>
    <row r="213266" s="12" customFormat="1" x14ac:dyDescent="0.25"/>
    <row r="213267" s="12" customFormat="1" x14ac:dyDescent="0.25"/>
    <row r="213268" s="12" customFormat="1" x14ac:dyDescent="0.25"/>
    <row r="213269" s="12" customFormat="1" x14ac:dyDescent="0.25"/>
    <row r="213270" s="12" customFormat="1" x14ac:dyDescent="0.25"/>
    <row r="213271" s="12" customFormat="1" x14ac:dyDescent="0.25"/>
    <row r="213272" s="12" customFormat="1" x14ac:dyDescent="0.25"/>
    <row r="213273" s="12" customFormat="1" x14ac:dyDescent="0.25"/>
    <row r="213274" s="12" customFormat="1" x14ac:dyDescent="0.25"/>
    <row r="213275" s="12" customFormat="1" x14ac:dyDescent="0.25"/>
    <row r="213276" s="12" customFormat="1" x14ac:dyDescent="0.25"/>
    <row r="213277" s="12" customFormat="1" x14ac:dyDescent="0.25"/>
    <row r="213278" s="12" customFormat="1" x14ac:dyDescent="0.25"/>
    <row r="213279" s="12" customFormat="1" x14ac:dyDescent="0.25"/>
    <row r="213280" s="12" customFormat="1" x14ac:dyDescent="0.25"/>
    <row r="213281" s="12" customFormat="1" x14ac:dyDescent="0.25"/>
    <row r="213282" s="12" customFormat="1" x14ac:dyDescent="0.25"/>
    <row r="213283" s="12" customFormat="1" x14ac:dyDescent="0.25"/>
    <row r="213284" s="12" customFormat="1" x14ac:dyDescent="0.25"/>
    <row r="213285" s="12" customFormat="1" x14ac:dyDescent="0.25"/>
    <row r="213286" s="12" customFormat="1" x14ac:dyDescent="0.25"/>
    <row r="213287" s="12" customFormat="1" x14ac:dyDescent="0.25"/>
    <row r="213288" s="12" customFormat="1" x14ac:dyDescent="0.25"/>
    <row r="213289" s="12" customFormat="1" x14ac:dyDescent="0.25"/>
    <row r="213290" s="12" customFormat="1" x14ac:dyDescent="0.25"/>
    <row r="213291" s="12" customFormat="1" x14ac:dyDescent="0.25"/>
    <row r="213292" s="12" customFormat="1" x14ac:dyDescent="0.25"/>
    <row r="213293" s="12" customFormat="1" x14ac:dyDescent="0.25"/>
    <row r="213294" s="12" customFormat="1" x14ac:dyDescent="0.25"/>
    <row r="213295" s="12" customFormat="1" x14ac:dyDescent="0.25"/>
    <row r="213296" s="12" customFormat="1" x14ac:dyDescent="0.25"/>
    <row r="213297" s="12" customFormat="1" x14ac:dyDescent="0.25"/>
    <row r="213298" s="12" customFormat="1" x14ac:dyDescent="0.25"/>
    <row r="213299" s="12" customFormat="1" x14ac:dyDescent="0.25"/>
    <row r="213300" s="12" customFormat="1" x14ac:dyDescent="0.25"/>
    <row r="213301" s="12" customFormat="1" x14ac:dyDescent="0.25"/>
    <row r="213302" s="12" customFormat="1" x14ac:dyDescent="0.25"/>
    <row r="213303" s="12" customFormat="1" x14ac:dyDescent="0.25"/>
    <row r="213304" s="12" customFormat="1" x14ac:dyDescent="0.25"/>
    <row r="213305" s="12" customFormat="1" x14ac:dyDescent="0.25"/>
    <row r="213306" s="12" customFormat="1" x14ac:dyDescent="0.25"/>
    <row r="213307" s="12" customFormat="1" x14ac:dyDescent="0.25"/>
    <row r="213308" s="12" customFormat="1" x14ac:dyDescent="0.25"/>
    <row r="213309" s="12" customFormat="1" x14ac:dyDescent="0.25"/>
    <row r="213310" s="12" customFormat="1" x14ac:dyDescent="0.25"/>
    <row r="213311" s="12" customFormat="1" x14ac:dyDescent="0.25"/>
    <row r="213312" s="12" customFormat="1" x14ac:dyDescent="0.25"/>
    <row r="213313" s="12" customFormat="1" x14ac:dyDescent="0.25"/>
    <row r="213314" s="12" customFormat="1" x14ac:dyDescent="0.25"/>
    <row r="213315" s="12" customFormat="1" x14ac:dyDescent="0.25"/>
    <row r="213316" s="12" customFormat="1" x14ac:dyDescent="0.25"/>
    <row r="213317" s="12" customFormat="1" x14ac:dyDescent="0.25"/>
    <row r="213318" s="12" customFormat="1" x14ac:dyDescent="0.25"/>
    <row r="213319" s="12" customFormat="1" x14ac:dyDescent="0.25"/>
    <row r="213320" s="12" customFormat="1" x14ac:dyDescent="0.25"/>
    <row r="213321" s="12" customFormat="1" x14ac:dyDescent="0.25"/>
    <row r="213322" s="12" customFormat="1" x14ac:dyDescent="0.25"/>
    <row r="213323" s="12" customFormat="1" x14ac:dyDescent="0.25"/>
    <row r="213324" s="12" customFormat="1" x14ac:dyDescent="0.25"/>
    <row r="213325" s="12" customFormat="1" x14ac:dyDescent="0.25"/>
    <row r="213326" s="12" customFormat="1" x14ac:dyDescent="0.25"/>
    <row r="213327" s="12" customFormat="1" x14ac:dyDescent="0.25"/>
    <row r="213328" s="12" customFormat="1" x14ac:dyDescent="0.25"/>
    <row r="213329" s="12" customFormat="1" x14ac:dyDescent="0.25"/>
    <row r="213330" s="12" customFormat="1" x14ac:dyDescent="0.25"/>
    <row r="213331" s="12" customFormat="1" x14ac:dyDescent="0.25"/>
    <row r="213332" s="12" customFormat="1" x14ac:dyDescent="0.25"/>
    <row r="213333" s="12" customFormat="1" x14ac:dyDescent="0.25"/>
    <row r="213334" s="12" customFormat="1" x14ac:dyDescent="0.25"/>
    <row r="213335" s="12" customFormat="1" x14ac:dyDescent="0.25"/>
    <row r="213336" s="12" customFormat="1" x14ac:dyDescent="0.25"/>
    <row r="213337" s="12" customFormat="1" x14ac:dyDescent="0.25"/>
    <row r="213338" s="12" customFormat="1" x14ac:dyDescent="0.25"/>
    <row r="213339" s="12" customFormat="1" x14ac:dyDescent="0.25"/>
    <row r="213340" s="12" customFormat="1" x14ac:dyDescent="0.25"/>
    <row r="213341" s="12" customFormat="1" x14ac:dyDescent="0.25"/>
    <row r="213342" s="12" customFormat="1" x14ac:dyDescent="0.25"/>
    <row r="213343" s="12" customFormat="1" x14ac:dyDescent="0.25"/>
    <row r="213344" s="12" customFormat="1" x14ac:dyDescent="0.25"/>
    <row r="213345" s="12" customFormat="1" x14ac:dyDescent="0.25"/>
    <row r="213346" s="12" customFormat="1" x14ac:dyDescent="0.25"/>
    <row r="213347" s="12" customFormat="1" x14ac:dyDescent="0.25"/>
    <row r="213348" s="12" customFormat="1" x14ac:dyDescent="0.25"/>
    <row r="213349" s="12" customFormat="1" x14ac:dyDescent="0.25"/>
    <row r="213350" s="12" customFormat="1" x14ac:dyDescent="0.25"/>
    <row r="213351" s="12" customFormat="1" x14ac:dyDescent="0.25"/>
    <row r="213352" s="12" customFormat="1" x14ac:dyDescent="0.25"/>
    <row r="213353" s="12" customFormat="1" x14ac:dyDescent="0.25"/>
    <row r="213354" s="12" customFormat="1" x14ac:dyDescent="0.25"/>
    <row r="213355" s="12" customFormat="1" x14ac:dyDescent="0.25"/>
    <row r="213356" s="12" customFormat="1" x14ac:dyDescent="0.25"/>
    <row r="213357" s="12" customFormat="1" x14ac:dyDescent="0.25"/>
    <row r="213358" s="12" customFormat="1" x14ac:dyDescent="0.25"/>
    <row r="213359" s="12" customFormat="1" x14ac:dyDescent="0.25"/>
    <row r="213360" s="12" customFormat="1" x14ac:dyDescent="0.25"/>
    <row r="213361" s="12" customFormat="1" x14ac:dyDescent="0.25"/>
    <row r="213362" s="12" customFormat="1" x14ac:dyDescent="0.25"/>
    <row r="213363" s="12" customFormat="1" x14ac:dyDescent="0.25"/>
    <row r="213364" s="12" customFormat="1" x14ac:dyDescent="0.25"/>
    <row r="213365" s="12" customFormat="1" x14ac:dyDescent="0.25"/>
    <row r="213366" s="12" customFormat="1" x14ac:dyDescent="0.25"/>
    <row r="213367" s="12" customFormat="1" x14ac:dyDescent="0.25"/>
    <row r="213368" s="12" customFormat="1" x14ac:dyDescent="0.25"/>
    <row r="213369" s="12" customFormat="1" x14ac:dyDescent="0.25"/>
    <row r="213370" s="12" customFormat="1" x14ac:dyDescent="0.25"/>
    <row r="213371" s="12" customFormat="1" x14ac:dyDescent="0.25"/>
    <row r="213372" s="12" customFormat="1" x14ac:dyDescent="0.25"/>
    <row r="213373" s="12" customFormat="1" x14ac:dyDescent="0.25"/>
    <row r="213374" s="12" customFormat="1" x14ac:dyDescent="0.25"/>
    <row r="213375" s="12" customFormat="1" x14ac:dyDescent="0.25"/>
    <row r="213376" s="12" customFormat="1" x14ac:dyDescent="0.25"/>
    <row r="213377" s="12" customFormat="1" x14ac:dyDescent="0.25"/>
    <row r="213378" s="12" customFormat="1" x14ac:dyDescent="0.25"/>
    <row r="213379" s="12" customFormat="1" x14ac:dyDescent="0.25"/>
    <row r="213380" s="12" customFormat="1" x14ac:dyDescent="0.25"/>
    <row r="213381" s="12" customFormat="1" x14ac:dyDescent="0.25"/>
    <row r="213382" s="12" customFormat="1" x14ac:dyDescent="0.25"/>
    <row r="213383" s="12" customFormat="1" x14ac:dyDescent="0.25"/>
    <row r="213384" s="12" customFormat="1" x14ac:dyDescent="0.25"/>
    <row r="213385" s="12" customFormat="1" x14ac:dyDescent="0.25"/>
    <row r="213386" s="12" customFormat="1" x14ac:dyDescent="0.25"/>
    <row r="213387" s="12" customFormat="1" x14ac:dyDescent="0.25"/>
    <row r="213388" s="12" customFormat="1" x14ac:dyDescent="0.25"/>
    <row r="213389" s="12" customFormat="1" x14ac:dyDescent="0.25"/>
    <row r="213390" s="12" customFormat="1" x14ac:dyDescent="0.25"/>
    <row r="213391" s="12" customFormat="1" x14ac:dyDescent="0.25"/>
    <row r="213392" s="12" customFormat="1" x14ac:dyDescent="0.25"/>
    <row r="213393" s="12" customFormat="1" x14ac:dyDescent="0.25"/>
    <row r="213394" s="12" customFormat="1" x14ac:dyDescent="0.25"/>
    <row r="213395" s="12" customFormat="1" x14ac:dyDescent="0.25"/>
    <row r="213396" s="12" customFormat="1" x14ac:dyDescent="0.25"/>
    <row r="213397" s="12" customFormat="1" x14ac:dyDescent="0.25"/>
    <row r="213398" s="12" customFormat="1" x14ac:dyDescent="0.25"/>
    <row r="213399" s="12" customFormat="1" x14ac:dyDescent="0.25"/>
    <row r="213400" s="12" customFormat="1" x14ac:dyDescent="0.25"/>
    <row r="213401" s="12" customFormat="1" x14ac:dyDescent="0.25"/>
    <row r="213402" s="12" customFormat="1" x14ac:dyDescent="0.25"/>
    <row r="213403" s="12" customFormat="1" x14ac:dyDescent="0.25"/>
    <row r="213404" s="12" customFormat="1" x14ac:dyDescent="0.25"/>
    <row r="213405" s="12" customFormat="1" x14ac:dyDescent="0.25"/>
    <row r="213406" s="12" customFormat="1" x14ac:dyDescent="0.25"/>
    <row r="213407" s="12" customFormat="1" x14ac:dyDescent="0.25"/>
    <row r="213408" s="12" customFormat="1" x14ac:dyDescent="0.25"/>
    <row r="213409" s="12" customFormat="1" x14ac:dyDescent="0.25"/>
    <row r="213410" s="12" customFormat="1" x14ac:dyDescent="0.25"/>
    <row r="213411" s="12" customFormat="1" x14ac:dyDescent="0.25"/>
    <row r="213412" s="12" customFormat="1" x14ac:dyDescent="0.25"/>
    <row r="213413" s="12" customFormat="1" x14ac:dyDescent="0.25"/>
    <row r="213414" s="12" customFormat="1" x14ac:dyDescent="0.25"/>
    <row r="213415" s="12" customFormat="1" x14ac:dyDescent="0.25"/>
    <row r="213416" s="12" customFormat="1" x14ac:dyDescent="0.25"/>
    <row r="213417" s="12" customFormat="1" x14ac:dyDescent="0.25"/>
    <row r="213418" s="12" customFormat="1" x14ac:dyDescent="0.25"/>
    <row r="213419" s="12" customFormat="1" x14ac:dyDescent="0.25"/>
    <row r="213420" s="12" customFormat="1" x14ac:dyDescent="0.25"/>
    <row r="213421" s="12" customFormat="1" x14ac:dyDescent="0.25"/>
    <row r="213422" s="12" customFormat="1" x14ac:dyDescent="0.25"/>
    <row r="213423" s="12" customFormat="1" x14ac:dyDescent="0.25"/>
    <row r="213424" s="12" customFormat="1" x14ac:dyDescent="0.25"/>
    <row r="213425" s="12" customFormat="1" x14ac:dyDescent="0.25"/>
    <row r="213426" s="12" customFormat="1" x14ac:dyDescent="0.25"/>
    <row r="213427" s="12" customFormat="1" x14ac:dyDescent="0.25"/>
    <row r="213428" s="12" customFormat="1" x14ac:dyDescent="0.25"/>
    <row r="213429" s="12" customFormat="1" x14ac:dyDescent="0.25"/>
    <row r="213430" s="12" customFormat="1" x14ac:dyDescent="0.25"/>
    <row r="213431" s="12" customFormat="1" x14ac:dyDescent="0.25"/>
    <row r="213432" s="12" customFormat="1" x14ac:dyDescent="0.25"/>
    <row r="213433" s="12" customFormat="1" x14ac:dyDescent="0.25"/>
    <row r="213434" s="12" customFormat="1" x14ac:dyDescent="0.25"/>
    <row r="213435" s="12" customFormat="1" x14ac:dyDescent="0.25"/>
    <row r="213436" s="12" customFormat="1" x14ac:dyDescent="0.25"/>
    <row r="213437" s="12" customFormat="1" x14ac:dyDescent="0.25"/>
    <row r="213438" s="12" customFormat="1" x14ac:dyDescent="0.25"/>
    <row r="213439" s="12" customFormat="1" x14ac:dyDescent="0.25"/>
    <row r="213440" s="12" customFormat="1" x14ac:dyDescent="0.25"/>
    <row r="213441" s="12" customFormat="1" x14ac:dyDescent="0.25"/>
    <row r="213442" s="12" customFormat="1" x14ac:dyDescent="0.25"/>
    <row r="213443" s="12" customFormat="1" x14ac:dyDescent="0.25"/>
    <row r="213444" s="12" customFormat="1" x14ac:dyDescent="0.25"/>
    <row r="213445" s="12" customFormat="1" x14ac:dyDescent="0.25"/>
    <row r="213446" s="12" customFormat="1" x14ac:dyDescent="0.25"/>
    <row r="213447" s="12" customFormat="1" x14ac:dyDescent="0.25"/>
    <row r="213448" s="12" customFormat="1" x14ac:dyDescent="0.25"/>
    <row r="213449" s="12" customFormat="1" x14ac:dyDescent="0.25"/>
    <row r="213450" s="12" customFormat="1" x14ac:dyDescent="0.25"/>
    <row r="213451" s="12" customFormat="1" x14ac:dyDescent="0.25"/>
    <row r="213452" s="12" customFormat="1" x14ac:dyDescent="0.25"/>
    <row r="213453" s="12" customFormat="1" x14ac:dyDescent="0.25"/>
    <row r="213454" s="12" customFormat="1" x14ac:dyDescent="0.25"/>
    <row r="213455" s="12" customFormat="1" x14ac:dyDescent="0.25"/>
    <row r="213456" s="12" customFormat="1" x14ac:dyDescent="0.25"/>
    <row r="213457" s="12" customFormat="1" x14ac:dyDescent="0.25"/>
    <row r="213458" s="12" customFormat="1" x14ac:dyDescent="0.25"/>
    <row r="213459" s="12" customFormat="1" x14ac:dyDescent="0.25"/>
    <row r="213460" s="12" customFormat="1" x14ac:dyDescent="0.25"/>
    <row r="213461" s="12" customFormat="1" x14ac:dyDescent="0.25"/>
    <row r="213462" s="12" customFormat="1" x14ac:dyDescent="0.25"/>
    <row r="213463" s="12" customFormat="1" x14ac:dyDescent="0.25"/>
    <row r="213464" s="12" customFormat="1" x14ac:dyDescent="0.25"/>
    <row r="213465" s="12" customFormat="1" x14ac:dyDescent="0.25"/>
    <row r="213466" s="12" customFormat="1" x14ac:dyDescent="0.25"/>
    <row r="213467" s="12" customFormat="1" x14ac:dyDescent="0.25"/>
    <row r="213468" s="12" customFormat="1" x14ac:dyDescent="0.25"/>
    <row r="213469" s="12" customFormat="1" x14ac:dyDescent="0.25"/>
    <row r="213470" s="12" customFormat="1" x14ac:dyDescent="0.25"/>
    <row r="213471" s="12" customFormat="1" x14ac:dyDescent="0.25"/>
    <row r="213472" s="12" customFormat="1" x14ac:dyDescent="0.25"/>
    <row r="213473" s="12" customFormat="1" x14ac:dyDescent="0.25"/>
    <row r="213474" s="12" customFormat="1" x14ac:dyDescent="0.25"/>
    <row r="213475" s="12" customFormat="1" x14ac:dyDescent="0.25"/>
    <row r="213476" s="12" customFormat="1" x14ac:dyDescent="0.25"/>
    <row r="213477" s="12" customFormat="1" x14ac:dyDescent="0.25"/>
    <row r="213478" s="12" customFormat="1" x14ac:dyDescent="0.25"/>
    <row r="213479" s="12" customFormat="1" x14ac:dyDescent="0.25"/>
    <row r="213480" s="12" customFormat="1" x14ac:dyDescent="0.25"/>
    <row r="213481" s="12" customFormat="1" x14ac:dyDescent="0.25"/>
    <row r="213482" s="12" customFormat="1" x14ac:dyDescent="0.25"/>
    <row r="213483" s="12" customFormat="1" x14ac:dyDescent="0.25"/>
    <row r="213484" s="12" customFormat="1" x14ac:dyDescent="0.25"/>
    <row r="213485" s="12" customFormat="1" x14ac:dyDescent="0.25"/>
    <row r="213486" s="12" customFormat="1" x14ac:dyDescent="0.25"/>
    <row r="213487" s="12" customFormat="1" x14ac:dyDescent="0.25"/>
    <row r="213488" s="12" customFormat="1" x14ac:dyDescent="0.25"/>
    <row r="213489" s="12" customFormat="1" x14ac:dyDescent="0.25"/>
    <row r="213490" s="12" customFormat="1" x14ac:dyDescent="0.25"/>
    <row r="213491" s="12" customFormat="1" x14ac:dyDescent="0.25"/>
    <row r="213492" s="12" customFormat="1" x14ac:dyDescent="0.25"/>
    <row r="213493" s="12" customFormat="1" x14ac:dyDescent="0.25"/>
    <row r="213494" s="12" customFormat="1" x14ac:dyDescent="0.25"/>
    <row r="213495" s="12" customFormat="1" x14ac:dyDescent="0.25"/>
    <row r="213496" s="12" customFormat="1" x14ac:dyDescent="0.25"/>
    <row r="213497" s="12" customFormat="1" x14ac:dyDescent="0.25"/>
    <row r="213498" s="12" customFormat="1" x14ac:dyDescent="0.25"/>
    <row r="213499" s="12" customFormat="1" x14ac:dyDescent="0.25"/>
    <row r="213500" s="12" customFormat="1" x14ac:dyDescent="0.25"/>
    <row r="213501" s="12" customFormat="1" x14ac:dyDescent="0.25"/>
    <row r="213502" s="12" customFormat="1" x14ac:dyDescent="0.25"/>
    <row r="213503" s="12" customFormat="1" x14ac:dyDescent="0.25"/>
    <row r="213504" s="12" customFormat="1" x14ac:dyDescent="0.25"/>
    <row r="213505" s="12" customFormat="1" x14ac:dyDescent="0.25"/>
    <row r="213506" s="12" customFormat="1" x14ac:dyDescent="0.25"/>
    <row r="213507" s="12" customFormat="1" x14ac:dyDescent="0.25"/>
    <row r="213508" s="12" customFormat="1" x14ac:dyDescent="0.25"/>
    <row r="213509" s="12" customFormat="1" x14ac:dyDescent="0.25"/>
    <row r="213510" s="12" customFormat="1" x14ac:dyDescent="0.25"/>
    <row r="213511" s="12" customFormat="1" x14ac:dyDescent="0.25"/>
    <row r="213512" s="12" customFormat="1" x14ac:dyDescent="0.25"/>
    <row r="213513" s="12" customFormat="1" x14ac:dyDescent="0.25"/>
    <row r="213514" s="12" customFormat="1" x14ac:dyDescent="0.25"/>
    <row r="213515" s="12" customFormat="1" x14ac:dyDescent="0.25"/>
    <row r="213516" s="12" customFormat="1" x14ac:dyDescent="0.25"/>
    <row r="213517" s="12" customFormat="1" x14ac:dyDescent="0.25"/>
    <row r="213518" s="12" customFormat="1" x14ac:dyDescent="0.25"/>
    <row r="213519" s="12" customFormat="1" x14ac:dyDescent="0.25"/>
    <row r="213520" s="12" customFormat="1" x14ac:dyDescent="0.25"/>
    <row r="213521" s="12" customFormat="1" x14ac:dyDescent="0.25"/>
    <row r="213522" s="12" customFormat="1" x14ac:dyDescent="0.25"/>
    <row r="213523" s="12" customFormat="1" x14ac:dyDescent="0.25"/>
    <row r="213524" s="12" customFormat="1" x14ac:dyDescent="0.25"/>
    <row r="213525" s="12" customFormat="1" x14ac:dyDescent="0.25"/>
    <row r="213526" s="12" customFormat="1" x14ac:dyDescent="0.25"/>
    <row r="213527" s="12" customFormat="1" x14ac:dyDescent="0.25"/>
    <row r="213528" s="12" customFormat="1" x14ac:dyDescent="0.25"/>
    <row r="213529" s="12" customFormat="1" x14ac:dyDescent="0.25"/>
    <row r="213530" s="12" customFormat="1" x14ac:dyDescent="0.25"/>
    <row r="213531" s="12" customFormat="1" x14ac:dyDescent="0.25"/>
    <row r="213532" s="12" customFormat="1" x14ac:dyDescent="0.25"/>
    <row r="213533" s="12" customFormat="1" x14ac:dyDescent="0.25"/>
    <row r="213534" s="12" customFormat="1" x14ac:dyDescent="0.25"/>
    <row r="213535" s="12" customFormat="1" x14ac:dyDescent="0.25"/>
    <row r="213536" s="12" customFormat="1" x14ac:dyDescent="0.25"/>
    <row r="213537" s="12" customFormat="1" x14ac:dyDescent="0.25"/>
    <row r="213538" s="12" customFormat="1" x14ac:dyDescent="0.25"/>
    <row r="213539" s="12" customFormat="1" x14ac:dyDescent="0.25"/>
    <row r="213540" s="12" customFormat="1" x14ac:dyDescent="0.25"/>
    <row r="213541" s="12" customFormat="1" x14ac:dyDescent="0.25"/>
    <row r="213542" s="12" customFormat="1" x14ac:dyDescent="0.25"/>
    <row r="213543" s="12" customFormat="1" x14ac:dyDescent="0.25"/>
    <row r="213544" s="12" customFormat="1" x14ac:dyDescent="0.25"/>
    <row r="213545" s="12" customFormat="1" x14ac:dyDescent="0.25"/>
    <row r="213546" s="12" customFormat="1" x14ac:dyDescent="0.25"/>
    <row r="213547" s="12" customFormat="1" x14ac:dyDescent="0.25"/>
    <row r="213548" s="12" customFormat="1" x14ac:dyDescent="0.25"/>
    <row r="213549" s="12" customFormat="1" x14ac:dyDescent="0.25"/>
    <row r="213550" s="12" customFormat="1" x14ac:dyDescent="0.25"/>
    <row r="213551" s="12" customFormat="1" x14ac:dyDescent="0.25"/>
    <row r="213552" s="12" customFormat="1" x14ac:dyDescent="0.25"/>
    <row r="213553" s="12" customFormat="1" x14ac:dyDescent="0.25"/>
    <row r="213554" s="12" customFormat="1" x14ac:dyDescent="0.25"/>
    <row r="213555" s="12" customFormat="1" x14ac:dyDescent="0.25"/>
    <row r="213556" s="12" customFormat="1" x14ac:dyDescent="0.25"/>
    <row r="213557" s="12" customFormat="1" x14ac:dyDescent="0.25"/>
    <row r="213558" s="12" customFormat="1" x14ac:dyDescent="0.25"/>
    <row r="213559" s="12" customFormat="1" x14ac:dyDescent="0.25"/>
    <row r="213560" s="12" customFormat="1" x14ac:dyDescent="0.25"/>
    <row r="213561" s="12" customFormat="1" x14ac:dyDescent="0.25"/>
    <row r="213562" s="12" customFormat="1" x14ac:dyDescent="0.25"/>
    <row r="213563" s="12" customFormat="1" x14ac:dyDescent="0.25"/>
    <row r="213564" s="12" customFormat="1" x14ac:dyDescent="0.25"/>
    <row r="213565" s="12" customFormat="1" x14ac:dyDescent="0.25"/>
    <row r="213566" s="12" customFormat="1" x14ac:dyDescent="0.25"/>
    <row r="213567" s="12" customFormat="1" x14ac:dyDescent="0.25"/>
    <row r="213568" s="12" customFormat="1" x14ac:dyDescent="0.25"/>
    <row r="213569" s="12" customFormat="1" x14ac:dyDescent="0.25"/>
    <row r="213570" s="12" customFormat="1" x14ac:dyDescent="0.25"/>
    <row r="213571" s="12" customFormat="1" x14ac:dyDescent="0.25"/>
    <row r="213572" s="12" customFormat="1" x14ac:dyDescent="0.25"/>
    <row r="213573" s="12" customFormat="1" x14ac:dyDescent="0.25"/>
    <row r="213574" s="12" customFormat="1" x14ac:dyDescent="0.25"/>
    <row r="213575" s="12" customFormat="1" x14ac:dyDescent="0.25"/>
    <row r="213576" s="12" customFormat="1" x14ac:dyDescent="0.25"/>
    <row r="213577" s="12" customFormat="1" x14ac:dyDescent="0.25"/>
    <row r="213578" s="12" customFormat="1" x14ac:dyDescent="0.25"/>
    <row r="213579" s="12" customFormat="1" x14ac:dyDescent="0.25"/>
    <row r="213580" s="12" customFormat="1" x14ac:dyDescent="0.25"/>
    <row r="213581" s="12" customFormat="1" x14ac:dyDescent="0.25"/>
    <row r="213582" s="12" customFormat="1" x14ac:dyDescent="0.25"/>
    <row r="213583" s="12" customFormat="1" x14ac:dyDescent="0.25"/>
    <row r="213584" s="12" customFormat="1" x14ac:dyDescent="0.25"/>
    <row r="213585" s="12" customFormat="1" x14ac:dyDescent="0.25"/>
    <row r="213586" s="12" customFormat="1" x14ac:dyDescent="0.25"/>
    <row r="213587" s="12" customFormat="1" x14ac:dyDescent="0.25"/>
    <row r="213588" s="12" customFormat="1" x14ac:dyDescent="0.25"/>
    <row r="213589" s="12" customFormat="1" x14ac:dyDescent="0.25"/>
    <row r="213590" s="12" customFormat="1" x14ac:dyDescent="0.25"/>
    <row r="213591" s="12" customFormat="1" x14ac:dyDescent="0.25"/>
    <row r="213592" s="12" customFormat="1" x14ac:dyDescent="0.25"/>
    <row r="213593" s="12" customFormat="1" x14ac:dyDescent="0.25"/>
    <row r="213594" s="12" customFormat="1" x14ac:dyDescent="0.25"/>
    <row r="213595" s="12" customFormat="1" x14ac:dyDescent="0.25"/>
    <row r="213596" s="12" customFormat="1" x14ac:dyDescent="0.25"/>
    <row r="213597" s="12" customFormat="1" x14ac:dyDescent="0.25"/>
    <row r="213598" s="12" customFormat="1" x14ac:dyDescent="0.25"/>
    <row r="213599" s="12" customFormat="1" x14ac:dyDescent="0.25"/>
    <row r="213600" s="12" customFormat="1" x14ac:dyDescent="0.25"/>
    <row r="213601" s="12" customFormat="1" x14ac:dyDescent="0.25"/>
    <row r="213602" s="12" customFormat="1" x14ac:dyDescent="0.25"/>
    <row r="213603" s="12" customFormat="1" x14ac:dyDescent="0.25"/>
    <row r="213604" s="12" customFormat="1" x14ac:dyDescent="0.25"/>
    <row r="213605" s="12" customFormat="1" x14ac:dyDescent="0.25"/>
    <row r="213606" s="12" customFormat="1" x14ac:dyDescent="0.25"/>
    <row r="213607" s="12" customFormat="1" x14ac:dyDescent="0.25"/>
    <row r="213608" s="12" customFormat="1" x14ac:dyDescent="0.25"/>
    <row r="213609" s="12" customFormat="1" x14ac:dyDescent="0.25"/>
    <row r="213610" s="12" customFormat="1" x14ac:dyDescent="0.25"/>
    <row r="213611" s="12" customFormat="1" x14ac:dyDescent="0.25"/>
    <row r="213612" s="12" customFormat="1" x14ac:dyDescent="0.25"/>
    <row r="213613" s="12" customFormat="1" x14ac:dyDescent="0.25"/>
    <row r="213614" s="12" customFormat="1" x14ac:dyDescent="0.25"/>
    <row r="213615" s="12" customFormat="1" x14ac:dyDescent="0.25"/>
    <row r="213616" s="12" customFormat="1" x14ac:dyDescent="0.25"/>
    <row r="213617" s="12" customFormat="1" x14ac:dyDescent="0.25"/>
    <row r="213618" s="12" customFormat="1" x14ac:dyDescent="0.25"/>
    <row r="213619" s="12" customFormat="1" x14ac:dyDescent="0.25"/>
    <row r="213620" s="12" customFormat="1" x14ac:dyDescent="0.25"/>
    <row r="213621" s="12" customFormat="1" x14ac:dyDescent="0.25"/>
    <row r="213622" s="12" customFormat="1" x14ac:dyDescent="0.25"/>
    <row r="213623" s="12" customFormat="1" x14ac:dyDescent="0.25"/>
    <row r="213624" s="12" customFormat="1" x14ac:dyDescent="0.25"/>
    <row r="213625" s="12" customFormat="1" x14ac:dyDescent="0.25"/>
    <row r="213626" s="12" customFormat="1" x14ac:dyDescent="0.25"/>
    <row r="213627" s="12" customFormat="1" x14ac:dyDescent="0.25"/>
    <row r="213628" s="12" customFormat="1" x14ac:dyDescent="0.25"/>
    <row r="213629" s="12" customFormat="1" x14ac:dyDescent="0.25"/>
    <row r="213630" s="12" customFormat="1" x14ac:dyDescent="0.25"/>
    <row r="213631" s="12" customFormat="1" x14ac:dyDescent="0.25"/>
    <row r="213632" s="12" customFormat="1" x14ac:dyDescent="0.25"/>
    <row r="213633" s="12" customFormat="1" x14ac:dyDescent="0.25"/>
    <row r="213634" s="12" customFormat="1" x14ac:dyDescent="0.25"/>
    <row r="213635" s="12" customFormat="1" x14ac:dyDescent="0.25"/>
    <row r="213636" s="12" customFormat="1" x14ac:dyDescent="0.25"/>
    <row r="213637" s="12" customFormat="1" x14ac:dyDescent="0.25"/>
    <row r="213638" s="12" customFormat="1" x14ac:dyDescent="0.25"/>
    <row r="213639" s="12" customFormat="1" x14ac:dyDescent="0.25"/>
    <row r="213640" s="12" customFormat="1" x14ac:dyDescent="0.25"/>
    <row r="213641" s="12" customFormat="1" x14ac:dyDescent="0.25"/>
    <row r="213642" s="12" customFormat="1" x14ac:dyDescent="0.25"/>
    <row r="213643" s="12" customFormat="1" x14ac:dyDescent="0.25"/>
    <row r="213644" s="12" customFormat="1" x14ac:dyDescent="0.25"/>
    <row r="213645" s="12" customFormat="1" x14ac:dyDescent="0.25"/>
    <row r="213646" s="12" customFormat="1" x14ac:dyDescent="0.25"/>
    <row r="213647" s="12" customFormat="1" x14ac:dyDescent="0.25"/>
    <row r="213648" s="12" customFormat="1" x14ac:dyDescent="0.25"/>
    <row r="213649" s="12" customFormat="1" x14ac:dyDescent="0.25"/>
    <row r="213650" s="12" customFormat="1" x14ac:dyDescent="0.25"/>
    <row r="213651" s="12" customFormat="1" x14ac:dyDescent="0.25"/>
    <row r="213652" s="12" customFormat="1" x14ac:dyDescent="0.25"/>
    <row r="213653" s="12" customFormat="1" x14ac:dyDescent="0.25"/>
    <row r="213654" s="12" customFormat="1" x14ac:dyDescent="0.25"/>
    <row r="213655" s="12" customFormat="1" x14ac:dyDescent="0.25"/>
    <row r="213656" s="12" customFormat="1" x14ac:dyDescent="0.25"/>
    <row r="213657" s="12" customFormat="1" x14ac:dyDescent="0.25"/>
    <row r="213658" s="12" customFormat="1" x14ac:dyDescent="0.25"/>
    <row r="213659" s="12" customFormat="1" x14ac:dyDescent="0.25"/>
    <row r="213660" s="12" customFormat="1" x14ac:dyDescent="0.25"/>
    <row r="213661" s="12" customFormat="1" x14ac:dyDescent="0.25"/>
    <row r="213662" s="12" customFormat="1" x14ac:dyDescent="0.25"/>
    <row r="213663" s="12" customFormat="1" x14ac:dyDescent="0.25"/>
    <row r="213664" s="12" customFormat="1" x14ac:dyDescent="0.25"/>
    <row r="213665" s="12" customFormat="1" x14ac:dyDescent="0.25"/>
    <row r="213666" s="12" customFormat="1" x14ac:dyDescent="0.25"/>
    <row r="213667" s="12" customFormat="1" x14ac:dyDescent="0.25"/>
    <row r="213668" s="12" customFormat="1" x14ac:dyDescent="0.25"/>
    <row r="213669" s="12" customFormat="1" x14ac:dyDescent="0.25"/>
    <row r="213670" s="12" customFormat="1" x14ac:dyDescent="0.25"/>
    <row r="213671" s="12" customFormat="1" x14ac:dyDescent="0.25"/>
    <row r="213672" s="12" customFormat="1" x14ac:dyDescent="0.25"/>
    <row r="213673" s="12" customFormat="1" x14ac:dyDescent="0.25"/>
    <row r="213674" s="12" customFormat="1" x14ac:dyDescent="0.25"/>
    <row r="213675" s="12" customFormat="1" x14ac:dyDescent="0.25"/>
    <row r="213676" s="12" customFormat="1" x14ac:dyDescent="0.25"/>
    <row r="213677" s="12" customFormat="1" x14ac:dyDescent="0.25"/>
    <row r="213678" s="12" customFormat="1" x14ac:dyDescent="0.25"/>
    <row r="213679" s="12" customFormat="1" x14ac:dyDescent="0.25"/>
    <row r="213680" s="12" customFormat="1" x14ac:dyDescent="0.25"/>
    <row r="213681" s="12" customFormat="1" x14ac:dyDescent="0.25"/>
    <row r="213682" s="12" customFormat="1" x14ac:dyDescent="0.25"/>
    <row r="213683" s="12" customFormat="1" x14ac:dyDescent="0.25"/>
    <row r="213684" s="12" customFormat="1" x14ac:dyDescent="0.25"/>
    <row r="213685" s="12" customFormat="1" x14ac:dyDescent="0.25"/>
    <row r="213686" s="12" customFormat="1" x14ac:dyDescent="0.25"/>
    <row r="213687" s="12" customFormat="1" x14ac:dyDescent="0.25"/>
    <row r="213688" s="12" customFormat="1" x14ac:dyDescent="0.25"/>
    <row r="213689" s="12" customFormat="1" x14ac:dyDescent="0.25"/>
    <row r="213690" s="12" customFormat="1" x14ac:dyDescent="0.25"/>
    <row r="213691" s="12" customFormat="1" x14ac:dyDescent="0.25"/>
    <row r="213692" s="12" customFormat="1" x14ac:dyDescent="0.25"/>
    <row r="213693" s="12" customFormat="1" x14ac:dyDescent="0.25"/>
    <row r="213694" s="12" customFormat="1" x14ac:dyDescent="0.25"/>
    <row r="213695" s="12" customFormat="1" x14ac:dyDescent="0.25"/>
    <row r="213696" s="12" customFormat="1" x14ac:dyDescent="0.25"/>
    <row r="213697" s="12" customFormat="1" x14ac:dyDescent="0.25"/>
    <row r="213698" s="12" customFormat="1" x14ac:dyDescent="0.25"/>
    <row r="213699" s="12" customFormat="1" x14ac:dyDescent="0.25"/>
    <row r="213700" s="12" customFormat="1" x14ac:dyDescent="0.25"/>
    <row r="213701" s="12" customFormat="1" x14ac:dyDescent="0.25"/>
    <row r="213702" s="12" customFormat="1" x14ac:dyDescent="0.25"/>
    <row r="213703" s="12" customFormat="1" x14ac:dyDescent="0.25"/>
    <row r="213704" s="12" customFormat="1" x14ac:dyDescent="0.25"/>
    <row r="213705" s="12" customFormat="1" x14ac:dyDescent="0.25"/>
    <row r="213706" s="12" customFormat="1" x14ac:dyDescent="0.25"/>
    <row r="213707" s="12" customFormat="1" x14ac:dyDescent="0.25"/>
    <row r="213708" s="12" customFormat="1" x14ac:dyDescent="0.25"/>
    <row r="213709" s="12" customFormat="1" x14ac:dyDescent="0.25"/>
    <row r="213710" s="12" customFormat="1" x14ac:dyDescent="0.25"/>
    <row r="213711" s="12" customFormat="1" x14ac:dyDescent="0.25"/>
    <row r="213712" s="12" customFormat="1" x14ac:dyDescent="0.25"/>
    <row r="213713" s="12" customFormat="1" x14ac:dyDescent="0.25"/>
    <row r="213714" s="12" customFormat="1" x14ac:dyDescent="0.25"/>
    <row r="213715" s="12" customFormat="1" x14ac:dyDescent="0.25"/>
    <row r="213716" s="12" customFormat="1" x14ac:dyDescent="0.25"/>
    <row r="213717" s="12" customFormat="1" x14ac:dyDescent="0.25"/>
    <row r="213718" s="12" customFormat="1" x14ac:dyDescent="0.25"/>
    <row r="213719" s="12" customFormat="1" x14ac:dyDescent="0.25"/>
    <row r="213720" s="12" customFormat="1" x14ac:dyDescent="0.25"/>
    <row r="213721" s="12" customFormat="1" x14ac:dyDescent="0.25"/>
    <row r="213722" s="12" customFormat="1" x14ac:dyDescent="0.25"/>
    <row r="213723" s="12" customFormat="1" x14ac:dyDescent="0.25"/>
    <row r="213724" s="12" customFormat="1" x14ac:dyDescent="0.25"/>
    <row r="213725" s="12" customFormat="1" x14ac:dyDescent="0.25"/>
    <row r="213726" s="12" customFormat="1" x14ac:dyDescent="0.25"/>
    <row r="213727" s="12" customFormat="1" x14ac:dyDescent="0.25"/>
    <row r="213728" s="12" customFormat="1" x14ac:dyDescent="0.25"/>
    <row r="213729" s="12" customFormat="1" x14ac:dyDescent="0.25"/>
    <row r="213730" s="12" customFormat="1" x14ac:dyDescent="0.25"/>
    <row r="213731" s="12" customFormat="1" x14ac:dyDescent="0.25"/>
    <row r="213732" s="12" customFormat="1" x14ac:dyDescent="0.25"/>
    <row r="213733" s="12" customFormat="1" x14ac:dyDescent="0.25"/>
    <row r="213734" s="12" customFormat="1" x14ac:dyDescent="0.25"/>
    <row r="213735" s="12" customFormat="1" x14ac:dyDescent="0.25"/>
    <row r="213736" s="12" customFormat="1" x14ac:dyDescent="0.25"/>
    <row r="213737" s="12" customFormat="1" x14ac:dyDescent="0.25"/>
    <row r="213738" s="12" customFormat="1" x14ac:dyDescent="0.25"/>
    <row r="213739" s="12" customFormat="1" x14ac:dyDescent="0.25"/>
    <row r="213740" s="12" customFormat="1" x14ac:dyDescent="0.25"/>
    <row r="213741" s="12" customFormat="1" x14ac:dyDescent="0.25"/>
    <row r="213742" s="12" customFormat="1" x14ac:dyDescent="0.25"/>
    <row r="213743" s="12" customFormat="1" x14ac:dyDescent="0.25"/>
    <row r="213744" s="12" customFormat="1" x14ac:dyDescent="0.25"/>
    <row r="213745" s="12" customFormat="1" x14ac:dyDescent="0.25"/>
    <row r="213746" s="12" customFormat="1" x14ac:dyDescent="0.25"/>
    <row r="213747" s="12" customFormat="1" x14ac:dyDescent="0.25"/>
    <row r="213748" s="12" customFormat="1" x14ac:dyDescent="0.25"/>
    <row r="213749" s="12" customFormat="1" x14ac:dyDescent="0.25"/>
    <row r="213750" s="12" customFormat="1" x14ac:dyDescent="0.25"/>
    <row r="213751" s="12" customFormat="1" x14ac:dyDescent="0.25"/>
    <row r="213752" s="12" customFormat="1" x14ac:dyDescent="0.25"/>
    <row r="213753" s="12" customFormat="1" x14ac:dyDescent="0.25"/>
    <row r="213754" s="12" customFormat="1" x14ac:dyDescent="0.25"/>
    <row r="213755" s="12" customFormat="1" x14ac:dyDescent="0.25"/>
    <row r="213756" s="12" customFormat="1" x14ac:dyDescent="0.25"/>
    <row r="213757" s="12" customFormat="1" x14ac:dyDescent="0.25"/>
    <row r="213758" s="12" customFormat="1" x14ac:dyDescent="0.25"/>
    <row r="213759" s="12" customFormat="1" x14ac:dyDescent="0.25"/>
    <row r="213760" s="12" customFormat="1" x14ac:dyDescent="0.25"/>
    <row r="213761" s="12" customFormat="1" x14ac:dyDescent="0.25"/>
    <row r="213762" s="12" customFormat="1" x14ac:dyDescent="0.25"/>
    <row r="213763" s="12" customFormat="1" x14ac:dyDescent="0.25"/>
    <row r="213764" s="12" customFormat="1" x14ac:dyDescent="0.25"/>
    <row r="213765" s="12" customFormat="1" x14ac:dyDescent="0.25"/>
    <row r="213766" s="12" customFormat="1" x14ac:dyDescent="0.25"/>
    <row r="213767" s="12" customFormat="1" x14ac:dyDescent="0.25"/>
    <row r="213768" s="12" customFormat="1" x14ac:dyDescent="0.25"/>
    <row r="213769" s="12" customFormat="1" x14ac:dyDescent="0.25"/>
    <row r="213770" s="12" customFormat="1" x14ac:dyDescent="0.25"/>
    <row r="213771" s="12" customFormat="1" x14ac:dyDescent="0.25"/>
    <row r="213772" s="12" customFormat="1" x14ac:dyDescent="0.25"/>
    <row r="213773" s="12" customFormat="1" x14ac:dyDescent="0.25"/>
    <row r="213774" s="12" customFormat="1" x14ac:dyDescent="0.25"/>
    <row r="213775" s="12" customFormat="1" x14ac:dyDescent="0.25"/>
    <row r="213776" s="12" customFormat="1" x14ac:dyDescent="0.25"/>
    <row r="213777" s="12" customFormat="1" x14ac:dyDescent="0.25"/>
    <row r="213778" s="12" customFormat="1" x14ac:dyDescent="0.25"/>
    <row r="213779" s="12" customFormat="1" x14ac:dyDescent="0.25"/>
    <row r="213780" s="12" customFormat="1" x14ac:dyDescent="0.25"/>
    <row r="213781" s="12" customFormat="1" x14ac:dyDescent="0.25"/>
    <row r="213782" s="12" customFormat="1" x14ac:dyDescent="0.25"/>
    <row r="213783" s="12" customFormat="1" x14ac:dyDescent="0.25"/>
    <row r="213784" s="12" customFormat="1" x14ac:dyDescent="0.25"/>
    <row r="213785" s="12" customFormat="1" x14ac:dyDescent="0.25"/>
    <row r="213786" s="12" customFormat="1" x14ac:dyDescent="0.25"/>
    <row r="213787" s="12" customFormat="1" x14ac:dyDescent="0.25"/>
    <row r="213788" s="12" customFormat="1" x14ac:dyDescent="0.25"/>
    <row r="213789" s="12" customFormat="1" x14ac:dyDescent="0.25"/>
    <row r="213790" s="12" customFormat="1" x14ac:dyDescent="0.25"/>
    <row r="213791" s="12" customFormat="1" x14ac:dyDescent="0.25"/>
    <row r="213792" s="12" customFormat="1" x14ac:dyDescent="0.25"/>
    <row r="213793" s="12" customFormat="1" x14ac:dyDescent="0.25"/>
    <row r="213794" s="12" customFormat="1" x14ac:dyDescent="0.25"/>
    <row r="213795" s="12" customFormat="1" x14ac:dyDescent="0.25"/>
    <row r="213796" s="12" customFormat="1" x14ac:dyDescent="0.25"/>
    <row r="213797" s="12" customFormat="1" x14ac:dyDescent="0.25"/>
    <row r="213798" s="12" customFormat="1" x14ac:dyDescent="0.25"/>
    <row r="213799" s="12" customFormat="1" x14ac:dyDescent="0.25"/>
    <row r="213800" s="12" customFormat="1" x14ac:dyDescent="0.25"/>
    <row r="213801" s="12" customFormat="1" x14ac:dyDescent="0.25"/>
    <row r="213802" s="12" customFormat="1" x14ac:dyDescent="0.25"/>
    <row r="213803" s="12" customFormat="1" x14ac:dyDescent="0.25"/>
    <row r="213804" s="12" customFormat="1" x14ac:dyDescent="0.25"/>
    <row r="213805" s="12" customFormat="1" x14ac:dyDescent="0.25"/>
    <row r="213806" s="12" customFormat="1" x14ac:dyDescent="0.25"/>
    <row r="213807" s="12" customFormat="1" x14ac:dyDescent="0.25"/>
    <row r="213808" s="12" customFormat="1" x14ac:dyDescent="0.25"/>
    <row r="213809" s="12" customFormat="1" x14ac:dyDescent="0.25"/>
    <row r="213810" s="12" customFormat="1" x14ac:dyDescent="0.25"/>
    <row r="213811" s="12" customFormat="1" x14ac:dyDescent="0.25"/>
    <row r="213812" s="12" customFormat="1" x14ac:dyDescent="0.25"/>
    <row r="213813" s="12" customFormat="1" x14ac:dyDescent="0.25"/>
    <row r="213814" s="12" customFormat="1" x14ac:dyDescent="0.25"/>
    <row r="213815" s="12" customFormat="1" x14ac:dyDescent="0.25"/>
    <row r="213816" s="12" customFormat="1" x14ac:dyDescent="0.25"/>
    <row r="213817" s="12" customFormat="1" x14ac:dyDescent="0.25"/>
    <row r="213818" s="12" customFormat="1" x14ac:dyDescent="0.25"/>
    <row r="213819" s="12" customFormat="1" x14ac:dyDescent="0.25"/>
    <row r="213820" s="12" customFormat="1" x14ac:dyDescent="0.25"/>
    <row r="213821" s="12" customFormat="1" x14ac:dyDescent="0.25"/>
    <row r="213822" s="12" customFormat="1" x14ac:dyDescent="0.25"/>
    <row r="213823" s="12" customFormat="1" x14ac:dyDescent="0.25"/>
    <row r="213824" s="12" customFormat="1" x14ac:dyDescent="0.25"/>
    <row r="213825" s="12" customFormat="1" x14ac:dyDescent="0.25"/>
    <row r="213826" s="12" customFormat="1" x14ac:dyDescent="0.25"/>
    <row r="213827" s="12" customFormat="1" x14ac:dyDescent="0.25"/>
    <row r="213828" s="12" customFormat="1" x14ac:dyDescent="0.25"/>
    <row r="213829" s="12" customFormat="1" x14ac:dyDescent="0.25"/>
    <row r="213830" s="12" customFormat="1" x14ac:dyDescent="0.25"/>
    <row r="213831" s="12" customFormat="1" x14ac:dyDescent="0.25"/>
    <row r="213832" s="12" customFormat="1" x14ac:dyDescent="0.25"/>
    <row r="213833" s="12" customFormat="1" x14ac:dyDescent="0.25"/>
    <row r="213834" s="12" customFormat="1" x14ac:dyDescent="0.25"/>
    <row r="213835" s="12" customFormat="1" x14ac:dyDescent="0.25"/>
    <row r="213836" s="12" customFormat="1" x14ac:dyDescent="0.25"/>
    <row r="213837" s="12" customFormat="1" x14ac:dyDescent="0.25"/>
    <row r="213838" s="12" customFormat="1" x14ac:dyDescent="0.25"/>
    <row r="213839" s="12" customFormat="1" x14ac:dyDescent="0.25"/>
    <row r="213840" s="12" customFormat="1" x14ac:dyDescent="0.25"/>
    <row r="213841" s="12" customFormat="1" x14ac:dyDescent="0.25"/>
    <row r="213842" s="12" customFormat="1" x14ac:dyDescent="0.25"/>
    <row r="213843" s="12" customFormat="1" x14ac:dyDescent="0.25"/>
    <row r="213844" s="12" customFormat="1" x14ac:dyDescent="0.25"/>
    <row r="213845" s="12" customFormat="1" x14ac:dyDescent="0.25"/>
    <row r="213846" s="12" customFormat="1" x14ac:dyDescent="0.25"/>
    <row r="213847" s="12" customFormat="1" x14ac:dyDescent="0.25"/>
    <row r="213848" s="12" customFormat="1" x14ac:dyDescent="0.25"/>
    <row r="213849" s="12" customFormat="1" x14ac:dyDescent="0.25"/>
    <row r="213850" s="12" customFormat="1" x14ac:dyDescent="0.25"/>
    <row r="213851" s="12" customFormat="1" x14ac:dyDescent="0.25"/>
    <row r="213852" s="12" customFormat="1" x14ac:dyDescent="0.25"/>
    <row r="213853" s="12" customFormat="1" x14ac:dyDescent="0.25"/>
    <row r="213854" s="12" customFormat="1" x14ac:dyDescent="0.25"/>
    <row r="213855" s="12" customFormat="1" x14ac:dyDescent="0.25"/>
    <row r="213856" s="12" customFormat="1" x14ac:dyDescent="0.25"/>
    <row r="213857" s="12" customFormat="1" x14ac:dyDescent="0.25"/>
    <row r="213858" s="12" customFormat="1" x14ac:dyDescent="0.25"/>
    <row r="213859" s="12" customFormat="1" x14ac:dyDescent="0.25"/>
    <row r="213860" s="12" customFormat="1" x14ac:dyDescent="0.25"/>
    <row r="213861" s="12" customFormat="1" x14ac:dyDescent="0.25"/>
    <row r="213862" s="12" customFormat="1" x14ac:dyDescent="0.25"/>
    <row r="213863" s="12" customFormat="1" x14ac:dyDescent="0.25"/>
    <row r="213864" s="12" customFormat="1" x14ac:dyDescent="0.25"/>
    <row r="213865" s="12" customFormat="1" x14ac:dyDescent="0.25"/>
    <row r="213866" s="12" customFormat="1" x14ac:dyDescent="0.25"/>
    <row r="213867" s="12" customFormat="1" x14ac:dyDescent="0.25"/>
    <row r="213868" s="12" customFormat="1" x14ac:dyDescent="0.25"/>
    <row r="213869" s="12" customFormat="1" x14ac:dyDescent="0.25"/>
    <row r="213870" s="12" customFormat="1" x14ac:dyDescent="0.25"/>
    <row r="213871" s="12" customFormat="1" x14ac:dyDescent="0.25"/>
    <row r="213872" s="12" customFormat="1" x14ac:dyDescent="0.25"/>
    <row r="213873" s="12" customFormat="1" x14ac:dyDescent="0.25"/>
    <row r="213874" s="12" customFormat="1" x14ac:dyDescent="0.25"/>
    <row r="213875" s="12" customFormat="1" x14ac:dyDescent="0.25"/>
    <row r="213876" s="12" customFormat="1" x14ac:dyDescent="0.25"/>
    <row r="213877" s="12" customFormat="1" x14ac:dyDescent="0.25"/>
    <row r="213878" s="12" customFormat="1" x14ac:dyDescent="0.25"/>
    <row r="213879" s="12" customFormat="1" x14ac:dyDescent="0.25"/>
    <row r="213880" s="12" customFormat="1" x14ac:dyDescent="0.25"/>
    <row r="213881" s="12" customFormat="1" x14ac:dyDescent="0.25"/>
    <row r="213882" s="12" customFormat="1" x14ac:dyDescent="0.25"/>
    <row r="213883" s="12" customFormat="1" x14ac:dyDescent="0.25"/>
    <row r="213884" s="12" customFormat="1" x14ac:dyDescent="0.25"/>
    <row r="213885" s="12" customFormat="1" x14ac:dyDescent="0.25"/>
    <row r="213886" s="12" customFormat="1" x14ac:dyDescent="0.25"/>
    <row r="213887" s="12" customFormat="1" x14ac:dyDescent="0.25"/>
    <row r="213888" s="12" customFormat="1" x14ac:dyDescent="0.25"/>
    <row r="213889" s="12" customFormat="1" x14ac:dyDescent="0.25"/>
    <row r="213890" s="12" customFormat="1" x14ac:dyDescent="0.25"/>
    <row r="213891" s="12" customFormat="1" x14ac:dyDescent="0.25"/>
    <row r="213892" s="12" customFormat="1" x14ac:dyDescent="0.25"/>
    <row r="213893" s="12" customFormat="1" x14ac:dyDescent="0.25"/>
    <row r="213894" s="12" customFormat="1" x14ac:dyDescent="0.25"/>
    <row r="213895" s="12" customFormat="1" x14ac:dyDescent="0.25"/>
    <row r="213896" s="12" customFormat="1" x14ac:dyDescent="0.25"/>
    <row r="213897" s="12" customFormat="1" x14ac:dyDescent="0.25"/>
    <row r="213898" s="12" customFormat="1" x14ac:dyDescent="0.25"/>
    <row r="213899" s="12" customFormat="1" x14ac:dyDescent="0.25"/>
    <row r="213900" s="12" customFormat="1" x14ac:dyDescent="0.25"/>
    <row r="213901" s="12" customFormat="1" x14ac:dyDescent="0.25"/>
    <row r="213902" s="12" customFormat="1" x14ac:dyDescent="0.25"/>
    <row r="213903" s="12" customFormat="1" x14ac:dyDescent="0.25"/>
    <row r="213904" s="12" customFormat="1" x14ac:dyDescent="0.25"/>
    <row r="213905" s="12" customFormat="1" x14ac:dyDescent="0.25"/>
    <row r="213906" s="12" customFormat="1" x14ac:dyDescent="0.25"/>
    <row r="213907" s="12" customFormat="1" x14ac:dyDescent="0.25"/>
    <row r="213908" s="12" customFormat="1" x14ac:dyDescent="0.25"/>
    <row r="213909" s="12" customFormat="1" x14ac:dyDescent="0.25"/>
    <row r="213910" s="12" customFormat="1" x14ac:dyDescent="0.25"/>
    <row r="213911" s="12" customFormat="1" x14ac:dyDescent="0.25"/>
    <row r="213912" s="12" customFormat="1" x14ac:dyDescent="0.25"/>
    <row r="213913" s="12" customFormat="1" x14ac:dyDescent="0.25"/>
    <row r="213914" s="12" customFormat="1" x14ac:dyDescent="0.25"/>
    <row r="213915" s="12" customFormat="1" x14ac:dyDescent="0.25"/>
    <row r="213916" s="12" customFormat="1" x14ac:dyDescent="0.25"/>
    <row r="213917" s="12" customFormat="1" x14ac:dyDescent="0.25"/>
    <row r="213918" s="12" customFormat="1" x14ac:dyDescent="0.25"/>
    <row r="213919" s="12" customFormat="1" x14ac:dyDescent="0.25"/>
    <row r="213920" s="12" customFormat="1" x14ac:dyDescent="0.25"/>
    <row r="213921" s="12" customFormat="1" x14ac:dyDescent="0.25"/>
    <row r="213922" s="12" customFormat="1" x14ac:dyDescent="0.25"/>
    <row r="213923" s="12" customFormat="1" x14ac:dyDescent="0.25"/>
    <row r="213924" s="12" customFormat="1" x14ac:dyDescent="0.25"/>
    <row r="213925" s="12" customFormat="1" x14ac:dyDescent="0.25"/>
    <row r="213926" s="12" customFormat="1" x14ac:dyDescent="0.25"/>
    <row r="213927" s="12" customFormat="1" x14ac:dyDescent="0.25"/>
    <row r="213928" s="12" customFormat="1" x14ac:dyDescent="0.25"/>
    <row r="213929" s="12" customFormat="1" x14ac:dyDescent="0.25"/>
    <row r="213930" s="12" customFormat="1" x14ac:dyDescent="0.25"/>
    <row r="213931" s="12" customFormat="1" x14ac:dyDescent="0.25"/>
    <row r="213932" s="12" customFormat="1" x14ac:dyDescent="0.25"/>
    <row r="213933" s="12" customFormat="1" x14ac:dyDescent="0.25"/>
    <row r="213934" s="12" customFormat="1" x14ac:dyDescent="0.25"/>
    <row r="213935" s="12" customFormat="1" x14ac:dyDescent="0.25"/>
    <row r="213936" s="12" customFormat="1" x14ac:dyDescent="0.25"/>
    <row r="213937" s="12" customFormat="1" x14ac:dyDescent="0.25"/>
    <row r="213938" s="12" customFormat="1" x14ac:dyDescent="0.25"/>
    <row r="213939" s="12" customFormat="1" x14ac:dyDescent="0.25"/>
    <row r="213940" s="12" customFormat="1" x14ac:dyDescent="0.25"/>
    <row r="213941" s="12" customFormat="1" x14ac:dyDescent="0.25"/>
    <row r="213942" s="12" customFormat="1" x14ac:dyDescent="0.25"/>
    <row r="213943" s="12" customFormat="1" x14ac:dyDescent="0.25"/>
    <row r="213944" s="12" customFormat="1" x14ac:dyDescent="0.25"/>
    <row r="213945" s="12" customFormat="1" x14ac:dyDescent="0.25"/>
    <row r="213946" s="12" customFormat="1" x14ac:dyDescent="0.25"/>
    <row r="213947" s="12" customFormat="1" x14ac:dyDescent="0.25"/>
    <row r="213948" s="12" customFormat="1" x14ac:dyDescent="0.25"/>
    <row r="213949" s="12" customFormat="1" x14ac:dyDescent="0.25"/>
    <row r="213950" s="12" customFormat="1" x14ac:dyDescent="0.25"/>
    <row r="213951" s="12" customFormat="1" x14ac:dyDescent="0.25"/>
    <row r="213952" s="12" customFormat="1" x14ac:dyDescent="0.25"/>
    <row r="213953" s="12" customFormat="1" x14ac:dyDescent="0.25"/>
    <row r="213954" s="12" customFormat="1" x14ac:dyDescent="0.25"/>
    <row r="213955" s="12" customFormat="1" x14ac:dyDescent="0.25"/>
    <row r="213956" s="12" customFormat="1" x14ac:dyDescent="0.25"/>
    <row r="213957" s="12" customFormat="1" x14ac:dyDescent="0.25"/>
    <row r="213958" s="12" customFormat="1" x14ac:dyDescent="0.25"/>
    <row r="213959" s="12" customFormat="1" x14ac:dyDescent="0.25"/>
    <row r="213960" s="12" customFormat="1" x14ac:dyDescent="0.25"/>
    <row r="213961" s="12" customFormat="1" x14ac:dyDescent="0.25"/>
    <row r="213962" s="12" customFormat="1" x14ac:dyDescent="0.25"/>
    <row r="213963" s="12" customFormat="1" x14ac:dyDescent="0.25"/>
    <row r="213964" s="12" customFormat="1" x14ac:dyDescent="0.25"/>
    <row r="213965" s="12" customFormat="1" x14ac:dyDescent="0.25"/>
    <row r="213966" s="12" customFormat="1" x14ac:dyDescent="0.25"/>
    <row r="213967" s="12" customFormat="1" x14ac:dyDescent="0.25"/>
    <row r="213968" s="12" customFormat="1" x14ac:dyDescent="0.25"/>
    <row r="213969" s="12" customFormat="1" x14ac:dyDescent="0.25"/>
    <row r="213970" s="12" customFormat="1" x14ac:dyDescent="0.25"/>
    <row r="213971" s="12" customFormat="1" x14ac:dyDescent="0.25"/>
    <row r="213972" s="12" customFormat="1" x14ac:dyDescent="0.25"/>
    <row r="213973" s="12" customFormat="1" x14ac:dyDescent="0.25"/>
    <row r="213974" s="12" customFormat="1" x14ac:dyDescent="0.25"/>
    <row r="213975" s="12" customFormat="1" x14ac:dyDescent="0.25"/>
    <row r="213976" s="12" customFormat="1" x14ac:dyDescent="0.25"/>
    <row r="213977" s="12" customFormat="1" x14ac:dyDescent="0.25"/>
    <row r="213978" s="12" customFormat="1" x14ac:dyDescent="0.25"/>
    <row r="213979" s="12" customFormat="1" x14ac:dyDescent="0.25"/>
    <row r="213980" s="12" customFormat="1" x14ac:dyDescent="0.25"/>
    <row r="213981" s="12" customFormat="1" x14ac:dyDescent="0.25"/>
    <row r="213982" s="12" customFormat="1" x14ac:dyDescent="0.25"/>
    <row r="213983" s="12" customFormat="1" x14ac:dyDescent="0.25"/>
    <row r="213984" s="12" customFormat="1" x14ac:dyDescent="0.25"/>
    <row r="213985" s="12" customFormat="1" x14ac:dyDescent="0.25"/>
    <row r="213986" s="12" customFormat="1" x14ac:dyDescent="0.25"/>
    <row r="213987" s="12" customFormat="1" x14ac:dyDescent="0.25"/>
    <row r="213988" s="12" customFormat="1" x14ac:dyDescent="0.25"/>
    <row r="213989" s="12" customFormat="1" x14ac:dyDescent="0.25"/>
    <row r="213990" s="12" customFormat="1" x14ac:dyDescent="0.25"/>
    <row r="213991" s="12" customFormat="1" x14ac:dyDescent="0.25"/>
    <row r="213992" s="12" customFormat="1" x14ac:dyDescent="0.25"/>
    <row r="213993" s="12" customFormat="1" x14ac:dyDescent="0.25"/>
    <row r="213994" s="12" customFormat="1" x14ac:dyDescent="0.25"/>
    <row r="213995" s="12" customFormat="1" x14ac:dyDescent="0.25"/>
    <row r="213996" s="12" customFormat="1" x14ac:dyDescent="0.25"/>
    <row r="213997" s="12" customFormat="1" x14ac:dyDescent="0.25"/>
    <row r="213998" s="12" customFormat="1" x14ac:dyDescent="0.25"/>
    <row r="213999" s="12" customFormat="1" x14ac:dyDescent="0.25"/>
    <row r="214000" s="12" customFormat="1" x14ac:dyDescent="0.25"/>
    <row r="214001" s="12" customFormat="1" x14ac:dyDescent="0.25"/>
    <row r="214002" s="12" customFormat="1" x14ac:dyDescent="0.25"/>
    <row r="214003" s="12" customFormat="1" x14ac:dyDescent="0.25"/>
    <row r="214004" s="12" customFormat="1" x14ac:dyDescent="0.25"/>
    <row r="214005" s="12" customFormat="1" x14ac:dyDescent="0.25"/>
    <row r="214006" s="12" customFormat="1" x14ac:dyDescent="0.25"/>
    <row r="214007" s="12" customFormat="1" x14ac:dyDescent="0.25"/>
    <row r="214008" s="12" customFormat="1" x14ac:dyDescent="0.25"/>
    <row r="214009" s="12" customFormat="1" x14ac:dyDescent="0.25"/>
    <row r="214010" s="12" customFormat="1" x14ac:dyDescent="0.25"/>
    <row r="214011" s="12" customFormat="1" x14ac:dyDescent="0.25"/>
    <row r="214012" s="12" customFormat="1" x14ac:dyDescent="0.25"/>
    <row r="214013" s="12" customFormat="1" x14ac:dyDescent="0.25"/>
    <row r="214014" s="12" customFormat="1" x14ac:dyDescent="0.25"/>
    <row r="214015" s="12" customFormat="1" x14ac:dyDescent="0.25"/>
    <row r="214016" s="12" customFormat="1" x14ac:dyDescent="0.25"/>
    <row r="214017" s="12" customFormat="1" x14ac:dyDescent="0.25"/>
    <row r="214018" s="12" customFormat="1" x14ac:dyDescent="0.25"/>
    <row r="214019" s="12" customFormat="1" x14ac:dyDescent="0.25"/>
    <row r="214020" s="12" customFormat="1" x14ac:dyDescent="0.25"/>
    <row r="214021" s="12" customFormat="1" x14ac:dyDescent="0.25"/>
    <row r="214022" s="12" customFormat="1" x14ac:dyDescent="0.25"/>
    <row r="214023" s="12" customFormat="1" x14ac:dyDescent="0.25"/>
    <row r="214024" s="12" customFormat="1" x14ac:dyDescent="0.25"/>
    <row r="214025" s="12" customFormat="1" x14ac:dyDescent="0.25"/>
    <row r="214026" s="12" customFormat="1" x14ac:dyDescent="0.25"/>
    <row r="214027" s="12" customFormat="1" x14ac:dyDescent="0.25"/>
    <row r="214028" s="12" customFormat="1" x14ac:dyDescent="0.25"/>
    <row r="214029" s="12" customFormat="1" x14ac:dyDescent="0.25"/>
    <row r="214030" s="12" customFormat="1" x14ac:dyDescent="0.25"/>
    <row r="214031" s="12" customFormat="1" x14ac:dyDescent="0.25"/>
    <row r="214032" s="12" customFormat="1" x14ac:dyDescent="0.25"/>
    <row r="214033" s="12" customFormat="1" x14ac:dyDescent="0.25"/>
    <row r="214034" s="12" customFormat="1" x14ac:dyDescent="0.25"/>
    <row r="214035" s="12" customFormat="1" x14ac:dyDescent="0.25"/>
    <row r="214036" s="12" customFormat="1" x14ac:dyDescent="0.25"/>
    <row r="214037" s="12" customFormat="1" x14ac:dyDescent="0.25"/>
    <row r="214038" s="12" customFormat="1" x14ac:dyDescent="0.25"/>
    <row r="214039" s="12" customFormat="1" x14ac:dyDescent="0.25"/>
    <row r="214040" s="12" customFormat="1" x14ac:dyDescent="0.25"/>
    <row r="214041" s="12" customFormat="1" x14ac:dyDescent="0.25"/>
    <row r="214042" s="12" customFormat="1" x14ac:dyDescent="0.25"/>
    <row r="214043" s="12" customFormat="1" x14ac:dyDescent="0.25"/>
    <row r="214044" s="12" customFormat="1" x14ac:dyDescent="0.25"/>
    <row r="214045" s="12" customFormat="1" x14ac:dyDescent="0.25"/>
    <row r="214046" s="12" customFormat="1" x14ac:dyDescent="0.25"/>
    <row r="214047" s="12" customFormat="1" x14ac:dyDescent="0.25"/>
    <row r="214048" s="12" customFormat="1" x14ac:dyDescent="0.25"/>
    <row r="214049" s="12" customFormat="1" x14ac:dyDescent="0.25"/>
    <row r="214050" s="12" customFormat="1" x14ac:dyDescent="0.25"/>
    <row r="214051" s="12" customFormat="1" x14ac:dyDescent="0.25"/>
    <row r="214052" s="12" customFormat="1" x14ac:dyDescent="0.25"/>
    <row r="214053" s="12" customFormat="1" x14ac:dyDescent="0.25"/>
    <row r="214054" s="12" customFormat="1" x14ac:dyDescent="0.25"/>
    <row r="214055" s="12" customFormat="1" x14ac:dyDescent="0.25"/>
    <row r="214056" s="12" customFormat="1" x14ac:dyDescent="0.25"/>
    <row r="214057" s="12" customFormat="1" x14ac:dyDescent="0.25"/>
    <row r="214058" s="12" customFormat="1" x14ac:dyDescent="0.25"/>
    <row r="214059" s="12" customFormat="1" x14ac:dyDescent="0.25"/>
    <row r="214060" s="12" customFormat="1" x14ac:dyDescent="0.25"/>
    <row r="214061" s="12" customFormat="1" x14ac:dyDescent="0.25"/>
    <row r="214062" s="12" customFormat="1" x14ac:dyDescent="0.25"/>
    <row r="214063" s="12" customFormat="1" x14ac:dyDescent="0.25"/>
    <row r="214064" s="12" customFormat="1" x14ac:dyDescent="0.25"/>
    <row r="214065" s="12" customFormat="1" x14ac:dyDescent="0.25"/>
    <row r="214066" s="12" customFormat="1" x14ac:dyDescent="0.25"/>
    <row r="214067" s="12" customFormat="1" x14ac:dyDescent="0.25"/>
    <row r="214068" s="12" customFormat="1" x14ac:dyDescent="0.25"/>
    <row r="214069" s="12" customFormat="1" x14ac:dyDescent="0.25"/>
    <row r="214070" s="12" customFormat="1" x14ac:dyDescent="0.25"/>
    <row r="214071" s="12" customFormat="1" x14ac:dyDescent="0.25"/>
    <row r="214072" s="12" customFormat="1" x14ac:dyDescent="0.25"/>
    <row r="214073" s="12" customFormat="1" x14ac:dyDescent="0.25"/>
    <row r="214074" s="12" customFormat="1" x14ac:dyDescent="0.25"/>
    <row r="214075" s="12" customFormat="1" x14ac:dyDescent="0.25"/>
    <row r="214076" s="12" customFormat="1" x14ac:dyDescent="0.25"/>
    <row r="214077" s="12" customFormat="1" x14ac:dyDescent="0.25"/>
    <row r="214078" s="12" customFormat="1" x14ac:dyDescent="0.25"/>
    <row r="214079" s="12" customFormat="1" x14ac:dyDescent="0.25"/>
    <row r="214080" s="12" customFormat="1" x14ac:dyDescent="0.25"/>
    <row r="214081" s="12" customFormat="1" x14ac:dyDescent="0.25"/>
    <row r="214082" s="12" customFormat="1" x14ac:dyDescent="0.25"/>
    <row r="214083" s="12" customFormat="1" x14ac:dyDescent="0.25"/>
    <row r="214084" s="12" customFormat="1" x14ac:dyDescent="0.25"/>
    <row r="214085" s="12" customFormat="1" x14ac:dyDescent="0.25"/>
    <row r="214086" s="12" customFormat="1" x14ac:dyDescent="0.25"/>
    <row r="214087" s="12" customFormat="1" x14ac:dyDescent="0.25"/>
    <row r="214088" s="12" customFormat="1" x14ac:dyDescent="0.25"/>
    <row r="214089" s="12" customFormat="1" x14ac:dyDescent="0.25"/>
    <row r="214090" s="12" customFormat="1" x14ac:dyDescent="0.25"/>
    <row r="214091" s="12" customFormat="1" x14ac:dyDescent="0.25"/>
    <row r="214092" s="12" customFormat="1" x14ac:dyDescent="0.25"/>
    <row r="214093" s="12" customFormat="1" x14ac:dyDescent="0.25"/>
    <row r="214094" s="12" customFormat="1" x14ac:dyDescent="0.25"/>
    <row r="214095" s="12" customFormat="1" x14ac:dyDescent="0.25"/>
    <row r="214096" s="12" customFormat="1" x14ac:dyDescent="0.25"/>
    <row r="214097" s="12" customFormat="1" x14ac:dyDescent="0.25"/>
    <row r="214098" s="12" customFormat="1" x14ac:dyDescent="0.25"/>
    <row r="214099" s="12" customFormat="1" x14ac:dyDescent="0.25"/>
    <row r="214100" s="12" customFormat="1" x14ac:dyDescent="0.25"/>
    <row r="214101" s="12" customFormat="1" x14ac:dyDescent="0.25"/>
    <row r="214102" s="12" customFormat="1" x14ac:dyDescent="0.25"/>
    <row r="214103" s="12" customFormat="1" x14ac:dyDescent="0.25"/>
    <row r="214104" s="12" customFormat="1" x14ac:dyDescent="0.25"/>
    <row r="214105" s="12" customFormat="1" x14ac:dyDescent="0.25"/>
    <row r="214106" s="12" customFormat="1" x14ac:dyDescent="0.25"/>
    <row r="214107" s="12" customFormat="1" x14ac:dyDescent="0.25"/>
    <row r="214108" s="12" customFormat="1" x14ac:dyDescent="0.25"/>
    <row r="214109" s="12" customFormat="1" x14ac:dyDescent="0.25"/>
    <row r="214110" s="12" customFormat="1" x14ac:dyDescent="0.25"/>
    <row r="214111" s="12" customFormat="1" x14ac:dyDescent="0.25"/>
    <row r="214112" s="12" customFormat="1" x14ac:dyDescent="0.25"/>
    <row r="214113" s="12" customFormat="1" x14ac:dyDescent="0.25"/>
    <row r="214114" s="12" customFormat="1" x14ac:dyDescent="0.25"/>
    <row r="214115" s="12" customFormat="1" x14ac:dyDescent="0.25"/>
    <row r="214116" s="12" customFormat="1" x14ac:dyDescent="0.25"/>
    <row r="214117" s="12" customFormat="1" x14ac:dyDescent="0.25"/>
    <row r="214118" s="12" customFormat="1" x14ac:dyDescent="0.25"/>
    <row r="214119" s="12" customFormat="1" x14ac:dyDescent="0.25"/>
    <row r="214120" s="12" customFormat="1" x14ac:dyDescent="0.25"/>
    <row r="214121" s="12" customFormat="1" x14ac:dyDescent="0.25"/>
    <row r="214122" s="12" customFormat="1" x14ac:dyDescent="0.25"/>
    <row r="214123" s="12" customFormat="1" x14ac:dyDescent="0.25"/>
    <row r="214124" s="12" customFormat="1" x14ac:dyDescent="0.25"/>
    <row r="214125" s="12" customFormat="1" x14ac:dyDescent="0.25"/>
    <row r="214126" s="12" customFormat="1" x14ac:dyDescent="0.25"/>
    <row r="214127" s="12" customFormat="1" x14ac:dyDescent="0.25"/>
    <row r="214128" s="12" customFormat="1" x14ac:dyDescent="0.25"/>
    <row r="214129" s="12" customFormat="1" x14ac:dyDescent="0.25"/>
    <row r="214130" s="12" customFormat="1" x14ac:dyDescent="0.25"/>
    <row r="214131" s="12" customFormat="1" x14ac:dyDescent="0.25"/>
    <row r="214132" s="12" customFormat="1" x14ac:dyDescent="0.25"/>
    <row r="214133" s="12" customFormat="1" x14ac:dyDescent="0.25"/>
    <row r="214134" s="12" customFormat="1" x14ac:dyDescent="0.25"/>
    <row r="214135" s="12" customFormat="1" x14ac:dyDescent="0.25"/>
    <row r="214136" s="12" customFormat="1" x14ac:dyDescent="0.25"/>
    <row r="214137" s="12" customFormat="1" x14ac:dyDescent="0.25"/>
    <row r="214138" s="12" customFormat="1" x14ac:dyDescent="0.25"/>
    <row r="214139" s="12" customFormat="1" x14ac:dyDescent="0.25"/>
    <row r="214140" s="12" customFormat="1" x14ac:dyDescent="0.25"/>
    <row r="214141" s="12" customFormat="1" x14ac:dyDescent="0.25"/>
    <row r="214142" s="12" customFormat="1" x14ac:dyDescent="0.25"/>
    <row r="214143" s="12" customFormat="1" x14ac:dyDescent="0.25"/>
    <row r="214144" s="12" customFormat="1" x14ac:dyDescent="0.25"/>
    <row r="214145" s="12" customFormat="1" x14ac:dyDescent="0.25"/>
    <row r="214146" s="12" customFormat="1" x14ac:dyDescent="0.25"/>
    <row r="214147" s="12" customFormat="1" x14ac:dyDescent="0.25"/>
    <row r="214148" s="12" customFormat="1" x14ac:dyDescent="0.25"/>
    <row r="214149" s="12" customFormat="1" x14ac:dyDescent="0.25"/>
    <row r="214150" s="12" customFormat="1" x14ac:dyDescent="0.25"/>
    <row r="214151" s="12" customFormat="1" x14ac:dyDescent="0.25"/>
    <row r="214152" s="12" customFormat="1" x14ac:dyDescent="0.25"/>
    <row r="214153" s="12" customFormat="1" x14ac:dyDescent="0.25"/>
    <row r="214154" s="12" customFormat="1" x14ac:dyDescent="0.25"/>
    <row r="214155" s="12" customFormat="1" x14ac:dyDescent="0.25"/>
    <row r="214156" s="12" customFormat="1" x14ac:dyDescent="0.25"/>
    <row r="214157" s="12" customFormat="1" x14ac:dyDescent="0.25"/>
    <row r="214158" s="12" customFormat="1" x14ac:dyDescent="0.25"/>
    <row r="214159" s="12" customFormat="1" x14ac:dyDescent="0.25"/>
    <row r="214160" s="12" customFormat="1" x14ac:dyDescent="0.25"/>
    <row r="214161" s="12" customFormat="1" x14ac:dyDescent="0.25"/>
    <row r="214162" s="12" customFormat="1" x14ac:dyDescent="0.25"/>
    <row r="214163" s="12" customFormat="1" x14ac:dyDescent="0.25"/>
    <row r="214164" s="12" customFormat="1" x14ac:dyDescent="0.25"/>
    <row r="214165" s="12" customFormat="1" x14ac:dyDescent="0.25"/>
    <row r="214166" s="12" customFormat="1" x14ac:dyDescent="0.25"/>
    <row r="214167" s="12" customFormat="1" x14ac:dyDescent="0.25"/>
    <row r="214168" s="12" customFormat="1" x14ac:dyDescent="0.25"/>
    <row r="214169" s="12" customFormat="1" x14ac:dyDescent="0.25"/>
    <row r="214170" s="12" customFormat="1" x14ac:dyDescent="0.25"/>
    <row r="214171" s="12" customFormat="1" x14ac:dyDescent="0.25"/>
    <row r="214172" s="12" customFormat="1" x14ac:dyDescent="0.25"/>
    <row r="214173" s="12" customFormat="1" x14ac:dyDescent="0.25"/>
    <row r="214174" s="12" customFormat="1" x14ac:dyDescent="0.25"/>
    <row r="214175" s="12" customFormat="1" x14ac:dyDescent="0.25"/>
    <row r="214176" s="12" customFormat="1" x14ac:dyDescent="0.25"/>
    <row r="214177" s="12" customFormat="1" x14ac:dyDescent="0.25"/>
    <row r="214178" s="12" customFormat="1" x14ac:dyDescent="0.25"/>
    <row r="214179" s="12" customFormat="1" x14ac:dyDescent="0.25"/>
    <row r="214180" s="12" customFormat="1" x14ac:dyDescent="0.25"/>
    <row r="214181" s="12" customFormat="1" x14ac:dyDescent="0.25"/>
    <row r="214182" s="12" customFormat="1" x14ac:dyDescent="0.25"/>
    <row r="214183" s="12" customFormat="1" x14ac:dyDescent="0.25"/>
    <row r="214184" s="12" customFormat="1" x14ac:dyDescent="0.25"/>
    <row r="214185" s="12" customFormat="1" x14ac:dyDescent="0.25"/>
    <row r="214186" s="12" customFormat="1" x14ac:dyDescent="0.25"/>
    <row r="214187" s="12" customFormat="1" x14ac:dyDescent="0.25"/>
    <row r="214188" s="12" customFormat="1" x14ac:dyDescent="0.25"/>
    <row r="214189" s="12" customFormat="1" x14ac:dyDescent="0.25"/>
    <row r="214190" s="12" customFormat="1" x14ac:dyDescent="0.25"/>
    <row r="214191" s="12" customFormat="1" x14ac:dyDescent="0.25"/>
    <row r="214192" s="12" customFormat="1" x14ac:dyDescent="0.25"/>
    <row r="214193" s="12" customFormat="1" x14ac:dyDescent="0.25"/>
    <row r="214194" s="12" customFormat="1" x14ac:dyDescent="0.25"/>
    <row r="214195" s="12" customFormat="1" x14ac:dyDescent="0.25"/>
    <row r="214196" s="12" customFormat="1" x14ac:dyDescent="0.25"/>
    <row r="214197" s="12" customFormat="1" x14ac:dyDescent="0.25"/>
    <row r="214198" s="12" customFormat="1" x14ac:dyDescent="0.25"/>
    <row r="214199" s="12" customFormat="1" x14ac:dyDescent="0.25"/>
    <row r="214200" s="12" customFormat="1" x14ac:dyDescent="0.25"/>
    <row r="214201" s="12" customFormat="1" x14ac:dyDescent="0.25"/>
    <row r="214202" s="12" customFormat="1" x14ac:dyDescent="0.25"/>
    <row r="214203" s="12" customFormat="1" x14ac:dyDescent="0.25"/>
    <row r="214204" s="12" customFormat="1" x14ac:dyDescent="0.25"/>
    <row r="214205" s="12" customFormat="1" x14ac:dyDescent="0.25"/>
    <row r="214206" s="12" customFormat="1" x14ac:dyDescent="0.25"/>
    <row r="214207" s="12" customFormat="1" x14ac:dyDescent="0.25"/>
    <row r="214208" s="12" customFormat="1" x14ac:dyDescent="0.25"/>
    <row r="214209" s="12" customFormat="1" x14ac:dyDescent="0.25"/>
    <row r="214210" s="12" customFormat="1" x14ac:dyDescent="0.25"/>
    <row r="214211" s="12" customFormat="1" x14ac:dyDescent="0.25"/>
    <row r="214212" s="12" customFormat="1" x14ac:dyDescent="0.25"/>
    <row r="214213" s="12" customFormat="1" x14ac:dyDescent="0.25"/>
    <row r="214214" s="12" customFormat="1" x14ac:dyDescent="0.25"/>
    <row r="214215" s="12" customFormat="1" x14ac:dyDescent="0.25"/>
    <row r="214216" s="12" customFormat="1" x14ac:dyDescent="0.25"/>
    <row r="214217" s="12" customFormat="1" x14ac:dyDescent="0.25"/>
    <row r="214218" s="12" customFormat="1" x14ac:dyDescent="0.25"/>
    <row r="214219" s="12" customFormat="1" x14ac:dyDescent="0.25"/>
    <row r="214220" s="12" customFormat="1" x14ac:dyDescent="0.25"/>
    <row r="214221" s="12" customFormat="1" x14ac:dyDescent="0.25"/>
    <row r="214222" s="12" customFormat="1" x14ac:dyDescent="0.25"/>
    <row r="214223" s="12" customFormat="1" x14ac:dyDescent="0.25"/>
    <row r="214224" s="12" customFormat="1" x14ac:dyDescent="0.25"/>
    <row r="214225" s="12" customFormat="1" x14ac:dyDescent="0.25"/>
    <row r="214226" s="12" customFormat="1" x14ac:dyDescent="0.25"/>
    <row r="214227" s="12" customFormat="1" x14ac:dyDescent="0.25"/>
    <row r="214228" s="12" customFormat="1" x14ac:dyDescent="0.25"/>
    <row r="214229" s="12" customFormat="1" x14ac:dyDescent="0.25"/>
    <row r="214230" s="12" customFormat="1" x14ac:dyDescent="0.25"/>
    <row r="214231" s="12" customFormat="1" x14ac:dyDescent="0.25"/>
    <row r="214232" s="12" customFormat="1" x14ac:dyDescent="0.25"/>
    <row r="214233" s="12" customFormat="1" x14ac:dyDescent="0.25"/>
    <row r="214234" s="12" customFormat="1" x14ac:dyDescent="0.25"/>
    <row r="214235" s="12" customFormat="1" x14ac:dyDescent="0.25"/>
    <row r="214236" s="12" customFormat="1" x14ac:dyDescent="0.25"/>
    <row r="214237" s="12" customFormat="1" x14ac:dyDescent="0.25"/>
    <row r="214238" s="12" customFormat="1" x14ac:dyDescent="0.25"/>
    <row r="214239" s="12" customFormat="1" x14ac:dyDescent="0.25"/>
    <row r="214240" s="12" customFormat="1" x14ac:dyDescent="0.25"/>
    <row r="214241" s="12" customFormat="1" x14ac:dyDescent="0.25"/>
    <row r="214242" s="12" customFormat="1" x14ac:dyDescent="0.25"/>
    <row r="214243" s="12" customFormat="1" x14ac:dyDescent="0.25"/>
    <row r="214244" s="12" customFormat="1" x14ac:dyDescent="0.25"/>
    <row r="214245" s="12" customFormat="1" x14ac:dyDescent="0.25"/>
    <row r="214246" s="12" customFormat="1" x14ac:dyDescent="0.25"/>
    <row r="214247" s="12" customFormat="1" x14ac:dyDescent="0.25"/>
    <row r="214248" s="12" customFormat="1" x14ac:dyDescent="0.25"/>
    <row r="214249" s="12" customFormat="1" x14ac:dyDescent="0.25"/>
    <row r="214250" s="12" customFormat="1" x14ac:dyDescent="0.25"/>
    <row r="214251" s="12" customFormat="1" x14ac:dyDescent="0.25"/>
    <row r="214252" s="12" customFormat="1" x14ac:dyDescent="0.25"/>
    <row r="214253" s="12" customFormat="1" x14ac:dyDescent="0.25"/>
    <row r="214254" s="12" customFormat="1" x14ac:dyDescent="0.25"/>
    <row r="214255" s="12" customFormat="1" x14ac:dyDescent="0.25"/>
    <row r="214256" s="12" customFormat="1" x14ac:dyDescent="0.25"/>
    <row r="214257" s="12" customFormat="1" x14ac:dyDescent="0.25"/>
    <row r="214258" s="12" customFormat="1" x14ac:dyDescent="0.25"/>
    <row r="214259" s="12" customFormat="1" x14ac:dyDescent="0.25"/>
    <row r="214260" s="12" customFormat="1" x14ac:dyDescent="0.25"/>
    <row r="214261" s="12" customFormat="1" x14ac:dyDescent="0.25"/>
    <row r="214262" s="12" customFormat="1" x14ac:dyDescent="0.25"/>
    <row r="214263" s="12" customFormat="1" x14ac:dyDescent="0.25"/>
    <row r="214264" s="12" customFormat="1" x14ac:dyDescent="0.25"/>
    <row r="214265" s="12" customFormat="1" x14ac:dyDescent="0.25"/>
    <row r="214266" s="12" customFormat="1" x14ac:dyDescent="0.25"/>
    <row r="214267" s="12" customFormat="1" x14ac:dyDescent="0.25"/>
    <row r="214268" s="12" customFormat="1" x14ac:dyDescent="0.25"/>
    <row r="214269" s="12" customFormat="1" x14ac:dyDescent="0.25"/>
    <row r="214270" s="12" customFormat="1" x14ac:dyDescent="0.25"/>
    <row r="214271" s="12" customFormat="1" x14ac:dyDescent="0.25"/>
    <row r="214272" s="12" customFormat="1" x14ac:dyDescent="0.25"/>
    <row r="214273" s="12" customFormat="1" x14ac:dyDescent="0.25"/>
    <row r="214274" s="12" customFormat="1" x14ac:dyDescent="0.25"/>
    <row r="214275" s="12" customFormat="1" x14ac:dyDescent="0.25"/>
    <row r="214276" s="12" customFormat="1" x14ac:dyDescent="0.25"/>
    <row r="214277" s="12" customFormat="1" x14ac:dyDescent="0.25"/>
    <row r="214278" s="12" customFormat="1" x14ac:dyDescent="0.25"/>
    <row r="214279" s="12" customFormat="1" x14ac:dyDescent="0.25"/>
    <row r="214280" s="12" customFormat="1" x14ac:dyDescent="0.25"/>
    <row r="214281" s="12" customFormat="1" x14ac:dyDescent="0.25"/>
    <row r="214282" s="12" customFormat="1" x14ac:dyDescent="0.25"/>
    <row r="214283" s="12" customFormat="1" x14ac:dyDescent="0.25"/>
    <row r="214284" s="12" customFormat="1" x14ac:dyDescent="0.25"/>
    <row r="214285" s="12" customFormat="1" x14ac:dyDescent="0.25"/>
    <row r="214286" s="12" customFormat="1" x14ac:dyDescent="0.25"/>
    <row r="214287" s="12" customFormat="1" x14ac:dyDescent="0.25"/>
    <row r="214288" s="12" customFormat="1" x14ac:dyDescent="0.25"/>
    <row r="214289" s="12" customFormat="1" x14ac:dyDescent="0.25"/>
    <row r="214290" s="12" customFormat="1" x14ac:dyDescent="0.25"/>
    <row r="214291" s="12" customFormat="1" x14ac:dyDescent="0.25"/>
    <row r="214292" s="12" customFormat="1" x14ac:dyDescent="0.25"/>
    <row r="214293" s="12" customFormat="1" x14ac:dyDescent="0.25"/>
    <row r="214294" s="12" customFormat="1" x14ac:dyDescent="0.25"/>
    <row r="214295" s="12" customFormat="1" x14ac:dyDescent="0.25"/>
    <row r="214296" s="12" customFormat="1" x14ac:dyDescent="0.25"/>
    <row r="214297" s="12" customFormat="1" x14ac:dyDescent="0.25"/>
    <row r="214298" s="12" customFormat="1" x14ac:dyDescent="0.25"/>
    <row r="214299" s="12" customFormat="1" x14ac:dyDescent="0.25"/>
    <row r="214300" s="12" customFormat="1" x14ac:dyDescent="0.25"/>
    <row r="214301" s="12" customFormat="1" x14ac:dyDescent="0.25"/>
    <row r="214302" s="12" customFormat="1" x14ac:dyDescent="0.25"/>
    <row r="214303" s="12" customFormat="1" x14ac:dyDescent="0.25"/>
    <row r="214304" s="12" customFormat="1" x14ac:dyDescent="0.25"/>
    <row r="214305" s="12" customFormat="1" x14ac:dyDescent="0.25"/>
    <row r="214306" s="12" customFormat="1" x14ac:dyDescent="0.25"/>
    <row r="214307" s="12" customFormat="1" x14ac:dyDescent="0.25"/>
    <row r="214308" s="12" customFormat="1" x14ac:dyDescent="0.25"/>
    <row r="214309" s="12" customFormat="1" x14ac:dyDescent="0.25"/>
    <row r="214310" s="12" customFormat="1" x14ac:dyDescent="0.25"/>
    <row r="214311" s="12" customFormat="1" x14ac:dyDescent="0.25"/>
    <row r="214312" s="12" customFormat="1" x14ac:dyDescent="0.25"/>
    <row r="214313" s="12" customFormat="1" x14ac:dyDescent="0.25"/>
    <row r="214314" s="12" customFormat="1" x14ac:dyDescent="0.25"/>
    <row r="214315" s="12" customFormat="1" x14ac:dyDescent="0.25"/>
    <row r="214316" s="12" customFormat="1" x14ac:dyDescent="0.25"/>
    <row r="214317" s="12" customFormat="1" x14ac:dyDescent="0.25"/>
    <row r="214318" s="12" customFormat="1" x14ac:dyDescent="0.25"/>
    <row r="214319" s="12" customFormat="1" x14ac:dyDescent="0.25"/>
    <row r="214320" s="12" customFormat="1" x14ac:dyDescent="0.25"/>
    <row r="214321" s="12" customFormat="1" x14ac:dyDescent="0.25"/>
    <row r="214322" s="12" customFormat="1" x14ac:dyDescent="0.25"/>
    <row r="214323" s="12" customFormat="1" x14ac:dyDescent="0.25"/>
    <row r="214324" s="12" customFormat="1" x14ac:dyDescent="0.25"/>
    <row r="214325" s="12" customFormat="1" x14ac:dyDescent="0.25"/>
    <row r="214326" s="12" customFormat="1" x14ac:dyDescent="0.25"/>
    <row r="214327" s="12" customFormat="1" x14ac:dyDescent="0.25"/>
    <row r="214328" s="12" customFormat="1" x14ac:dyDescent="0.25"/>
    <row r="214329" s="12" customFormat="1" x14ac:dyDescent="0.25"/>
    <row r="214330" s="12" customFormat="1" x14ac:dyDescent="0.25"/>
    <row r="214331" s="12" customFormat="1" x14ac:dyDescent="0.25"/>
    <row r="214332" s="12" customFormat="1" x14ac:dyDescent="0.25"/>
    <row r="214333" s="12" customFormat="1" x14ac:dyDescent="0.25"/>
    <row r="214334" s="12" customFormat="1" x14ac:dyDescent="0.25"/>
    <row r="214335" s="12" customFormat="1" x14ac:dyDescent="0.25"/>
    <row r="214336" s="12" customFormat="1" x14ac:dyDescent="0.25"/>
    <row r="214337" s="12" customFormat="1" x14ac:dyDescent="0.25"/>
    <row r="214338" s="12" customFormat="1" x14ac:dyDescent="0.25"/>
    <row r="214339" s="12" customFormat="1" x14ac:dyDescent="0.25"/>
    <row r="214340" s="12" customFormat="1" x14ac:dyDescent="0.25"/>
    <row r="214341" s="12" customFormat="1" x14ac:dyDescent="0.25"/>
    <row r="214342" s="12" customFormat="1" x14ac:dyDescent="0.25"/>
    <row r="214343" s="12" customFormat="1" x14ac:dyDescent="0.25"/>
    <row r="214344" s="12" customFormat="1" x14ac:dyDescent="0.25"/>
    <row r="214345" s="12" customFormat="1" x14ac:dyDescent="0.25"/>
    <row r="214346" s="12" customFormat="1" x14ac:dyDescent="0.25"/>
    <row r="214347" s="12" customFormat="1" x14ac:dyDescent="0.25"/>
    <row r="214348" s="12" customFormat="1" x14ac:dyDescent="0.25"/>
    <row r="214349" s="12" customFormat="1" x14ac:dyDescent="0.25"/>
    <row r="214350" s="12" customFormat="1" x14ac:dyDescent="0.25"/>
    <row r="214351" s="12" customFormat="1" x14ac:dyDescent="0.25"/>
    <row r="214352" s="12" customFormat="1" x14ac:dyDescent="0.25"/>
    <row r="214353" s="12" customFormat="1" x14ac:dyDescent="0.25"/>
    <row r="214354" s="12" customFormat="1" x14ac:dyDescent="0.25"/>
    <row r="214355" s="12" customFormat="1" x14ac:dyDescent="0.25"/>
    <row r="214356" s="12" customFormat="1" x14ac:dyDescent="0.25"/>
    <row r="214357" s="12" customFormat="1" x14ac:dyDescent="0.25"/>
    <row r="214358" s="12" customFormat="1" x14ac:dyDescent="0.25"/>
    <row r="214359" s="12" customFormat="1" x14ac:dyDescent="0.25"/>
    <row r="214360" s="12" customFormat="1" x14ac:dyDescent="0.25"/>
    <row r="214361" s="12" customFormat="1" x14ac:dyDescent="0.25"/>
    <row r="214362" s="12" customFormat="1" x14ac:dyDescent="0.25"/>
    <row r="214363" s="12" customFormat="1" x14ac:dyDescent="0.25"/>
    <row r="214364" s="12" customFormat="1" x14ac:dyDescent="0.25"/>
    <row r="214365" s="12" customFormat="1" x14ac:dyDescent="0.25"/>
    <row r="214366" s="12" customFormat="1" x14ac:dyDescent="0.25"/>
    <row r="214367" s="12" customFormat="1" x14ac:dyDescent="0.25"/>
    <row r="214368" s="12" customFormat="1" x14ac:dyDescent="0.25"/>
    <row r="214369" s="12" customFormat="1" x14ac:dyDescent="0.25"/>
    <row r="214370" s="12" customFormat="1" x14ac:dyDescent="0.25"/>
    <row r="214371" s="12" customFormat="1" x14ac:dyDescent="0.25"/>
    <row r="214372" s="12" customFormat="1" x14ac:dyDescent="0.25"/>
    <row r="214373" s="12" customFormat="1" x14ac:dyDescent="0.25"/>
    <row r="214374" s="12" customFormat="1" x14ac:dyDescent="0.25"/>
    <row r="214375" s="12" customFormat="1" x14ac:dyDescent="0.25"/>
    <row r="214376" s="12" customFormat="1" x14ac:dyDescent="0.25"/>
    <row r="214377" s="12" customFormat="1" x14ac:dyDescent="0.25"/>
    <row r="214378" s="12" customFormat="1" x14ac:dyDescent="0.25"/>
    <row r="214379" s="12" customFormat="1" x14ac:dyDescent="0.25"/>
    <row r="214380" s="12" customFormat="1" x14ac:dyDescent="0.25"/>
    <row r="214381" s="12" customFormat="1" x14ac:dyDescent="0.25"/>
    <row r="214382" s="12" customFormat="1" x14ac:dyDescent="0.25"/>
    <row r="214383" s="12" customFormat="1" x14ac:dyDescent="0.25"/>
    <row r="214384" s="12" customFormat="1" x14ac:dyDescent="0.25"/>
    <row r="214385" s="12" customFormat="1" x14ac:dyDescent="0.25"/>
    <row r="214386" s="12" customFormat="1" x14ac:dyDescent="0.25"/>
    <row r="214387" s="12" customFormat="1" x14ac:dyDescent="0.25"/>
    <row r="214388" s="12" customFormat="1" x14ac:dyDescent="0.25"/>
    <row r="214389" s="12" customFormat="1" x14ac:dyDescent="0.25"/>
    <row r="214390" s="12" customFormat="1" x14ac:dyDescent="0.25"/>
    <row r="214391" s="12" customFormat="1" x14ac:dyDescent="0.25"/>
    <row r="214392" s="12" customFormat="1" x14ac:dyDescent="0.25"/>
    <row r="214393" s="12" customFormat="1" x14ac:dyDescent="0.25"/>
    <row r="214394" s="12" customFormat="1" x14ac:dyDescent="0.25"/>
    <row r="214395" s="12" customFormat="1" x14ac:dyDescent="0.25"/>
    <row r="214396" s="12" customFormat="1" x14ac:dyDescent="0.25"/>
    <row r="214397" s="12" customFormat="1" x14ac:dyDescent="0.25"/>
    <row r="214398" s="12" customFormat="1" x14ac:dyDescent="0.25"/>
    <row r="214399" s="12" customFormat="1" x14ac:dyDescent="0.25"/>
    <row r="214400" s="12" customFormat="1" x14ac:dyDescent="0.25"/>
    <row r="214401" s="12" customFormat="1" x14ac:dyDescent="0.25"/>
    <row r="214402" s="12" customFormat="1" x14ac:dyDescent="0.25"/>
    <row r="214403" s="12" customFormat="1" x14ac:dyDescent="0.25"/>
    <row r="214404" s="12" customFormat="1" x14ac:dyDescent="0.25"/>
    <row r="214405" s="12" customFormat="1" x14ac:dyDescent="0.25"/>
    <row r="214406" s="12" customFormat="1" x14ac:dyDescent="0.25"/>
    <row r="214407" s="12" customFormat="1" x14ac:dyDescent="0.25"/>
    <row r="214408" s="12" customFormat="1" x14ac:dyDescent="0.25"/>
    <row r="214409" s="12" customFormat="1" x14ac:dyDescent="0.25"/>
    <row r="214410" s="12" customFormat="1" x14ac:dyDescent="0.25"/>
    <row r="214411" s="12" customFormat="1" x14ac:dyDescent="0.25"/>
    <row r="214412" s="12" customFormat="1" x14ac:dyDescent="0.25"/>
    <row r="214413" s="12" customFormat="1" x14ac:dyDescent="0.25"/>
    <row r="214414" s="12" customFormat="1" x14ac:dyDescent="0.25"/>
    <row r="214415" s="12" customFormat="1" x14ac:dyDescent="0.25"/>
    <row r="214416" s="12" customFormat="1" x14ac:dyDescent="0.25"/>
    <row r="214417" s="12" customFormat="1" x14ac:dyDescent="0.25"/>
    <row r="214418" s="12" customFormat="1" x14ac:dyDescent="0.25"/>
    <row r="214419" s="12" customFormat="1" x14ac:dyDescent="0.25"/>
    <row r="214420" s="12" customFormat="1" x14ac:dyDescent="0.25"/>
    <row r="214421" s="12" customFormat="1" x14ac:dyDescent="0.25"/>
    <row r="214422" s="12" customFormat="1" x14ac:dyDescent="0.25"/>
    <row r="214423" s="12" customFormat="1" x14ac:dyDescent="0.25"/>
    <row r="214424" s="12" customFormat="1" x14ac:dyDescent="0.25"/>
    <row r="214425" s="12" customFormat="1" x14ac:dyDescent="0.25"/>
    <row r="214426" s="12" customFormat="1" x14ac:dyDescent="0.25"/>
    <row r="214427" s="12" customFormat="1" x14ac:dyDescent="0.25"/>
    <row r="214428" s="12" customFormat="1" x14ac:dyDescent="0.25"/>
    <row r="214429" s="12" customFormat="1" x14ac:dyDescent="0.25"/>
    <row r="214430" s="12" customFormat="1" x14ac:dyDescent="0.25"/>
    <row r="214431" s="12" customFormat="1" x14ac:dyDescent="0.25"/>
    <row r="214432" s="12" customFormat="1" x14ac:dyDescent="0.25"/>
    <row r="214433" s="12" customFormat="1" x14ac:dyDescent="0.25"/>
    <row r="214434" s="12" customFormat="1" x14ac:dyDescent="0.25"/>
    <row r="214435" s="12" customFormat="1" x14ac:dyDescent="0.25"/>
    <row r="214436" s="12" customFormat="1" x14ac:dyDescent="0.25"/>
    <row r="214437" s="12" customFormat="1" x14ac:dyDescent="0.25"/>
    <row r="214438" s="12" customFormat="1" x14ac:dyDescent="0.25"/>
    <row r="214439" s="12" customFormat="1" x14ac:dyDescent="0.25"/>
    <row r="214440" s="12" customFormat="1" x14ac:dyDescent="0.25"/>
    <row r="214441" s="12" customFormat="1" x14ac:dyDescent="0.25"/>
    <row r="214442" s="12" customFormat="1" x14ac:dyDescent="0.25"/>
    <row r="214443" s="12" customFormat="1" x14ac:dyDescent="0.25"/>
    <row r="214444" s="12" customFormat="1" x14ac:dyDescent="0.25"/>
    <row r="214445" s="12" customFormat="1" x14ac:dyDescent="0.25"/>
    <row r="214446" s="12" customFormat="1" x14ac:dyDescent="0.25"/>
    <row r="214447" s="12" customFormat="1" x14ac:dyDescent="0.25"/>
    <row r="214448" s="12" customFormat="1" x14ac:dyDescent="0.25"/>
    <row r="214449" s="12" customFormat="1" x14ac:dyDescent="0.25"/>
    <row r="214450" s="12" customFormat="1" x14ac:dyDescent="0.25"/>
    <row r="214451" s="12" customFormat="1" x14ac:dyDescent="0.25"/>
    <row r="214452" s="12" customFormat="1" x14ac:dyDescent="0.25"/>
    <row r="214453" s="12" customFormat="1" x14ac:dyDescent="0.25"/>
    <row r="214454" s="12" customFormat="1" x14ac:dyDescent="0.25"/>
    <row r="214455" s="12" customFormat="1" x14ac:dyDescent="0.25"/>
    <row r="214456" s="12" customFormat="1" x14ac:dyDescent="0.25"/>
    <row r="214457" s="12" customFormat="1" x14ac:dyDescent="0.25"/>
    <row r="214458" s="12" customFormat="1" x14ac:dyDescent="0.25"/>
    <row r="214459" s="12" customFormat="1" x14ac:dyDescent="0.25"/>
    <row r="214460" s="12" customFormat="1" x14ac:dyDescent="0.25"/>
    <row r="214461" s="12" customFormat="1" x14ac:dyDescent="0.25"/>
    <row r="214462" s="12" customFormat="1" x14ac:dyDescent="0.25"/>
    <row r="214463" s="12" customFormat="1" x14ac:dyDescent="0.25"/>
    <row r="214464" s="12" customFormat="1" x14ac:dyDescent="0.25"/>
    <row r="214465" s="12" customFormat="1" x14ac:dyDescent="0.25"/>
    <row r="214466" s="12" customFormat="1" x14ac:dyDescent="0.25"/>
    <row r="214467" s="12" customFormat="1" x14ac:dyDescent="0.25"/>
    <row r="214468" s="12" customFormat="1" x14ac:dyDescent="0.25"/>
    <row r="214469" s="12" customFormat="1" x14ac:dyDescent="0.25"/>
    <row r="214470" s="12" customFormat="1" x14ac:dyDescent="0.25"/>
    <row r="214471" s="12" customFormat="1" x14ac:dyDescent="0.25"/>
    <row r="214472" s="12" customFormat="1" x14ac:dyDescent="0.25"/>
    <row r="214473" s="12" customFormat="1" x14ac:dyDescent="0.25"/>
    <row r="214474" s="12" customFormat="1" x14ac:dyDescent="0.25"/>
    <row r="214475" s="12" customFormat="1" x14ac:dyDescent="0.25"/>
    <row r="214476" s="12" customFormat="1" x14ac:dyDescent="0.25"/>
    <row r="214477" s="12" customFormat="1" x14ac:dyDescent="0.25"/>
    <row r="214478" s="12" customFormat="1" x14ac:dyDescent="0.25"/>
    <row r="214479" s="12" customFormat="1" x14ac:dyDescent="0.25"/>
    <row r="214480" s="12" customFormat="1" x14ac:dyDescent="0.25"/>
    <row r="214481" s="12" customFormat="1" x14ac:dyDescent="0.25"/>
    <row r="214482" s="12" customFormat="1" x14ac:dyDescent="0.25"/>
    <row r="214483" s="12" customFormat="1" x14ac:dyDescent="0.25"/>
    <row r="214484" s="12" customFormat="1" x14ac:dyDescent="0.25"/>
    <row r="214485" s="12" customFormat="1" x14ac:dyDescent="0.25"/>
    <row r="214486" s="12" customFormat="1" x14ac:dyDescent="0.25"/>
    <row r="214487" s="12" customFormat="1" x14ac:dyDescent="0.25"/>
    <row r="214488" s="12" customFormat="1" x14ac:dyDescent="0.25"/>
    <row r="214489" s="12" customFormat="1" x14ac:dyDescent="0.25"/>
    <row r="214490" s="12" customFormat="1" x14ac:dyDescent="0.25"/>
    <row r="214491" s="12" customFormat="1" x14ac:dyDescent="0.25"/>
    <row r="214492" s="12" customFormat="1" x14ac:dyDescent="0.25"/>
    <row r="214493" s="12" customFormat="1" x14ac:dyDescent="0.25"/>
    <row r="214494" s="12" customFormat="1" x14ac:dyDescent="0.25"/>
    <row r="214495" s="12" customFormat="1" x14ac:dyDescent="0.25"/>
    <row r="214496" s="12" customFormat="1" x14ac:dyDescent="0.25"/>
    <row r="214497" s="12" customFormat="1" x14ac:dyDescent="0.25"/>
    <row r="214498" s="12" customFormat="1" x14ac:dyDescent="0.25"/>
    <row r="214499" s="12" customFormat="1" x14ac:dyDescent="0.25"/>
    <row r="214500" s="12" customFormat="1" x14ac:dyDescent="0.25"/>
    <row r="214501" s="12" customFormat="1" x14ac:dyDescent="0.25"/>
    <row r="214502" s="12" customFormat="1" x14ac:dyDescent="0.25"/>
    <row r="214503" s="12" customFormat="1" x14ac:dyDescent="0.25"/>
    <row r="214504" s="12" customFormat="1" x14ac:dyDescent="0.25"/>
    <row r="214505" s="12" customFormat="1" x14ac:dyDescent="0.25"/>
    <row r="214506" s="12" customFormat="1" x14ac:dyDescent="0.25"/>
    <row r="214507" s="12" customFormat="1" x14ac:dyDescent="0.25"/>
    <row r="214508" s="12" customFormat="1" x14ac:dyDescent="0.25"/>
    <row r="214509" s="12" customFormat="1" x14ac:dyDescent="0.25"/>
    <row r="214510" s="12" customFormat="1" x14ac:dyDescent="0.25"/>
    <row r="214511" s="12" customFormat="1" x14ac:dyDescent="0.25"/>
    <row r="214512" s="12" customFormat="1" x14ac:dyDescent="0.25"/>
    <row r="214513" s="12" customFormat="1" x14ac:dyDescent="0.25"/>
    <row r="214514" s="12" customFormat="1" x14ac:dyDescent="0.25"/>
    <row r="214515" s="12" customFormat="1" x14ac:dyDescent="0.25"/>
    <row r="214516" s="12" customFormat="1" x14ac:dyDescent="0.25"/>
    <row r="214517" s="12" customFormat="1" x14ac:dyDescent="0.25"/>
    <row r="214518" s="12" customFormat="1" x14ac:dyDescent="0.25"/>
    <row r="214519" s="12" customFormat="1" x14ac:dyDescent="0.25"/>
    <row r="214520" s="12" customFormat="1" x14ac:dyDescent="0.25"/>
    <row r="214521" s="12" customFormat="1" x14ac:dyDescent="0.25"/>
    <row r="214522" s="12" customFormat="1" x14ac:dyDescent="0.25"/>
    <row r="214523" s="12" customFormat="1" x14ac:dyDescent="0.25"/>
    <row r="214524" s="12" customFormat="1" x14ac:dyDescent="0.25"/>
    <row r="214525" s="12" customFormat="1" x14ac:dyDescent="0.25"/>
    <row r="214526" s="12" customFormat="1" x14ac:dyDescent="0.25"/>
    <row r="214527" s="12" customFormat="1" x14ac:dyDescent="0.25"/>
    <row r="214528" s="12" customFormat="1" x14ac:dyDescent="0.25"/>
    <row r="214529" s="12" customFormat="1" x14ac:dyDescent="0.25"/>
    <row r="214530" s="12" customFormat="1" x14ac:dyDescent="0.25"/>
    <row r="214531" s="12" customFormat="1" x14ac:dyDescent="0.25"/>
    <row r="214532" s="12" customFormat="1" x14ac:dyDescent="0.25"/>
    <row r="214533" s="12" customFormat="1" x14ac:dyDescent="0.25"/>
    <row r="214534" s="12" customFormat="1" x14ac:dyDescent="0.25"/>
    <row r="214535" s="12" customFormat="1" x14ac:dyDescent="0.25"/>
    <row r="214536" s="12" customFormat="1" x14ac:dyDescent="0.25"/>
    <row r="214537" s="12" customFormat="1" x14ac:dyDescent="0.25"/>
    <row r="214538" s="12" customFormat="1" x14ac:dyDescent="0.25"/>
    <row r="214539" s="12" customFormat="1" x14ac:dyDescent="0.25"/>
    <row r="214540" s="12" customFormat="1" x14ac:dyDescent="0.25"/>
    <row r="214541" s="12" customFormat="1" x14ac:dyDescent="0.25"/>
    <row r="214542" s="12" customFormat="1" x14ac:dyDescent="0.25"/>
    <row r="214543" s="12" customFormat="1" x14ac:dyDescent="0.25"/>
    <row r="214544" s="12" customFormat="1" x14ac:dyDescent="0.25"/>
    <row r="214545" s="12" customFormat="1" x14ac:dyDescent="0.25"/>
    <row r="214546" s="12" customFormat="1" x14ac:dyDescent="0.25"/>
    <row r="214547" s="12" customFormat="1" x14ac:dyDescent="0.25"/>
    <row r="214548" s="12" customFormat="1" x14ac:dyDescent="0.25"/>
    <row r="214549" s="12" customFormat="1" x14ac:dyDescent="0.25"/>
    <row r="214550" s="12" customFormat="1" x14ac:dyDescent="0.25"/>
    <row r="214551" s="12" customFormat="1" x14ac:dyDescent="0.25"/>
    <row r="214552" s="12" customFormat="1" x14ac:dyDescent="0.25"/>
    <row r="214553" s="12" customFormat="1" x14ac:dyDescent="0.25"/>
    <row r="214554" s="12" customFormat="1" x14ac:dyDescent="0.25"/>
    <row r="214555" s="12" customFormat="1" x14ac:dyDescent="0.25"/>
    <row r="214556" s="12" customFormat="1" x14ac:dyDescent="0.25"/>
    <row r="214557" s="12" customFormat="1" x14ac:dyDescent="0.25"/>
    <row r="214558" s="12" customFormat="1" x14ac:dyDescent="0.25"/>
    <row r="214559" s="12" customFormat="1" x14ac:dyDescent="0.25"/>
    <row r="214560" s="12" customFormat="1" x14ac:dyDescent="0.25"/>
    <row r="214561" s="12" customFormat="1" x14ac:dyDescent="0.25"/>
    <row r="214562" s="12" customFormat="1" x14ac:dyDescent="0.25"/>
    <row r="214563" s="12" customFormat="1" x14ac:dyDescent="0.25"/>
    <row r="214564" s="12" customFormat="1" x14ac:dyDescent="0.25"/>
    <row r="214565" s="12" customFormat="1" x14ac:dyDescent="0.25"/>
    <row r="214566" s="12" customFormat="1" x14ac:dyDescent="0.25"/>
    <row r="214567" s="12" customFormat="1" x14ac:dyDescent="0.25"/>
    <row r="214568" s="12" customFormat="1" x14ac:dyDescent="0.25"/>
    <row r="214569" s="12" customFormat="1" x14ac:dyDescent="0.25"/>
    <row r="214570" s="12" customFormat="1" x14ac:dyDescent="0.25"/>
    <row r="214571" s="12" customFormat="1" x14ac:dyDescent="0.25"/>
    <row r="214572" s="12" customFormat="1" x14ac:dyDescent="0.25"/>
    <row r="214573" s="12" customFormat="1" x14ac:dyDescent="0.25"/>
    <row r="214574" s="12" customFormat="1" x14ac:dyDescent="0.25"/>
    <row r="214575" s="12" customFormat="1" x14ac:dyDescent="0.25"/>
    <row r="214576" s="12" customFormat="1" x14ac:dyDescent="0.25"/>
    <row r="214577" s="12" customFormat="1" x14ac:dyDescent="0.25"/>
    <row r="214578" s="12" customFormat="1" x14ac:dyDescent="0.25"/>
    <row r="214579" s="12" customFormat="1" x14ac:dyDescent="0.25"/>
    <row r="214580" s="12" customFormat="1" x14ac:dyDescent="0.25"/>
    <row r="214581" s="12" customFormat="1" x14ac:dyDescent="0.25"/>
    <row r="214582" s="12" customFormat="1" x14ac:dyDescent="0.25"/>
    <row r="214583" s="12" customFormat="1" x14ac:dyDescent="0.25"/>
    <row r="214584" s="12" customFormat="1" x14ac:dyDescent="0.25"/>
    <row r="214585" s="12" customFormat="1" x14ac:dyDescent="0.25"/>
    <row r="214586" s="12" customFormat="1" x14ac:dyDescent="0.25"/>
    <row r="214587" s="12" customFormat="1" x14ac:dyDescent="0.25"/>
    <row r="214588" s="12" customFormat="1" x14ac:dyDescent="0.25"/>
    <row r="214589" s="12" customFormat="1" x14ac:dyDescent="0.25"/>
    <row r="214590" s="12" customFormat="1" x14ac:dyDescent="0.25"/>
    <row r="214591" s="12" customFormat="1" x14ac:dyDescent="0.25"/>
    <row r="214592" s="12" customFormat="1" x14ac:dyDescent="0.25"/>
    <row r="214593" s="12" customFormat="1" x14ac:dyDescent="0.25"/>
    <row r="214594" s="12" customFormat="1" x14ac:dyDescent="0.25"/>
    <row r="214595" s="12" customFormat="1" x14ac:dyDescent="0.25"/>
    <row r="214596" s="12" customFormat="1" x14ac:dyDescent="0.25"/>
    <row r="214597" s="12" customFormat="1" x14ac:dyDescent="0.25"/>
    <row r="214598" s="12" customFormat="1" x14ac:dyDescent="0.25"/>
    <row r="214599" s="12" customFormat="1" x14ac:dyDescent="0.25"/>
    <row r="214600" s="12" customFormat="1" x14ac:dyDescent="0.25"/>
    <row r="214601" s="12" customFormat="1" x14ac:dyDescent="0.25"/>
    <row r="214602" s="12" customFormat="1" x14ac:dyDescent="0.25"/>
    <row r="214603" s="12" customFormat="1" x14ac:dyDescent="0.25"/>
    <row r="214604" s="12" customFormat="1" x14ac:dyDescent="0.25"/>
    <row r="214605" s="12" customFormat="1" x14ac:dyDescent="0.25"/>
    <row r="214606" s="12" customFormat="1" x14ac:dyDescent="0.25"/>
    <row r="214607" s="12" customFormat="1" x14ac:dyDescent="0.25"/>
    <row r="214608" s="12" customFormat="1" x14ac:dyDescent="0.25"/>
    <row r="214609" s="12" customFormat="1" x14ac:dyDescent="0.25"/>
    <row r="214610" s="12" customFormat="1" x14ac:dyDescent="0.25"/>
    <row r="214611" s="12" customFormat="1" x14ac:dyDescent="0.25"/>
    <row r="214612" s="12" customFormat="1" x14ac:dyDescent="0.25"/>
    <row r="214613" s="12" customFormat="1" x14ac:dyDescent="0.25"/>
    <row r="214614" s="12" customFormat="1" x14ac:dyDescent="0.25"/>
    <row r="214615" s="12" customFormat="1" x14ac:dyDescent="0.25"/>
    <row r="214616" s="12" customFormat="1" x14ac:dyDescent="0.25"/>
    <row r="214617" s="12" customFormat="1" x14ac:dyDescent="0.25"/>
    <row r="214618" s="12" customFormat="1" x14ac:dyDescent="0.25"/>
    <row r="214619" s="12" customFormat="1" x14ac:dyDescent="0.25"/>
    <row r="214620" s="12" customFormat="1" x14ac:dyDescent="0.25"/>
    <row r="214621" s="12" customFormat="1" x14ac:dyDescent="0.25"/>
    <row r="214622" s="12" customFormat="1" x14ac:dyDescent="0.25"/>
    <row r="214623" s="12" customFormat="1" x14ac:dyDescent="0.25"/>
    <row r="214624" s="12" customFormat="1" x14ac:dyDescent="0.25"/>
    <row r="214625" s="12" customFormat="1" x14ac:dyDescent="0.25"/>
    <row r="214626" s="12" customFormat="1" x14ac:dyDescent="0.25"/>
    <row r="214627" s="12" customFormat="1" x14ac:dyDescent="0.25"/>
    <row r="214628" s="12" customFormat="1" x14ac:dyDescent="0.25"/>
    <row r="214629" s="12" customFormat="1" x14ac:dyDescent="0.25"/>
    <row r="214630" s="12" customFormat="1" x14ac:dyDescent="0.25"/>
    <row r="214631" s="12" customFormat="1" x14ac:dyDescent="0.25"/>
    <row r="214632" s="12" customFormat="1" x14ac:dyDescent="0.25"/>
    <row r="214633" s="12" customFormat="1" x14ac:dyDescent="0.25"/>
    <row r="214634" s="12" customFormat="1" x14ac:dyDescent="0.25"/>
    <row r="214635" s="12" customFormat="1" x14ac:dyDescent="0.25"/>
    <row r="214636" s="12" customFormat="1" x14ac:dyDescent="0.25"/>
    <row r="214637" s="12" customFormat="1" x14ac:dyDescent="0.25"/>
    <row r="214638" s="12" customFormat="1" x14ac:dyDescent="0.25"/>
    <row r="214639" s="12" customFormat="1" x14ac:dyDescent="0.25"/>
    <row r="214640" s="12" customFormat="1" x14ac:dyDescent="0.25"/>
    <row r="214641" s="12" customFormat="1" x14ac:dyDescent="0.25"/>
    <row r="214642" s="12" customFormat="1" x14ac:dyDescent="0.25"/>
    <row r="214643" s="12" customFormat="1" x14ac:dyDescent="0.25"/>
    <row r="214644" s="12" customFormat="1" x14ac:dyDescent="0.25"/>
    <row r="214645" s="12" customFormat="1" x14ac:dyDescent="0.25"/>
    <row r="214646" s="12" customFormat="1" x14ac:dyDescent="0.25"/>
    <row r="214647" s="12" customFormat="1" x14ac:dyDescent="0.25"/>
    <row r="214648" s="12" customFormat="1" x14ac:dyDescent="0.25"/>
    <row r="214649" s="12" customFormat="1" x14ac:dyDescent="0.25"/>
    <row r="214650" s="12" customFormat="1" x14ac:dyDescent="0.25"/>
    <row r="214651" s="12" customFormat="1" x14ac:dyDescent="0.25"/>
    <row r="214652" s="12" customFormat="1" x14ac:dyDescent="0.25"/>
    <row r="214653" s="12" customFormat="1" x14ac:dyDescent="0.25"/>
    <row r="214654" s="12" customFormat="1" x14ac:dyDescent="0.25"/>
    <row r="214655" s="12" customFormat="1" x14ac:dyDescent="0.25"/>
    <row r="214656" s="12" customFormat="1" x14ac:dyDescent="0.25"/>
    <row r="214657" s="12" customFormat="1" x14ac:dyDescent="0.25"/>
    <row r="214658" s="12" customFormat="1" x14ac:dyDescent="0.25"/>
    <row r="214659" s="12" customFormat="1" x14ac:dyDescent="0.25"/>
    <row r="214660" s="12" customFormat="1" x14ac:dyDescent="0.25"/>
    <row r="214661" s="12" customFormat="1" x14ac:dyDescent="0.25"/>
    <row r="214662" s="12" customFormat="1" x14ac:dyDescent="0.25"/>
    <row r="214663" s="12" customFormat="1" x14ac:dyDescent="0.25"/>
    <row r="214664" s="12" customFormat="1" x14ac:dyDescent="0.25"/>
    <row r="214665" s="12" customFormat="1" x14ac:dyDescent="0.25"/>
    <row r="214666" s="12" customFormat="1" x14ac:dyDescent="0.25"/>
    <row r="214667" s="12" customFormat="1" x14ac:dyDescent="0.25"/>
    <row r="214668" s="12" customFormat="1" x14ac:dyDescent="0.25"/>
    <row r="214669" s="12" customFormat="1" x14ac:dyDescent="0.25"/>
    <row r="214670" s="12" customFormat="1" x14ac:dyDescent="0.25"/>
    <row r="214671" s="12" customFormat="1" x14ac:dyDescent="0.25"/>
    <row r="214672" s="12" customFormat="1" x14ac:dyDescent="0.25"/>
    <row r="214673" s="12" customFormat="1" x14ac:dyDescent="0.25"/>
    <row r="214674" s="12" customFormat="1" x14ac:dyDescent="0.25"/>
    <row r="214675" s="12" customFormat="1" x14ac:dyDescent="0.25"/>
    <row r="214676" s="12" customFormat="1" x14ac:dyDescent="0.25"/>
    <row r="214677" s="12" customFormat="1" x14ac:dyDescent="0.25"/>
    <row r="214678" s="12" customFormat="1" x14ac:dyDescent="0.25"/>
    <row r="214679" s="12" customFormat="1" x14ac:dyDescent="0.25"/>
    <row r="214680" s="12" customFormat="1" x14ac:dyDescent="0.25"/>
    <row r="214681" s="12" customFormat="1" x14ac:dyDescent="0.25"/>
    <row r="214682" s="12" customFormat="1" x14ac:dyDescent="0.25"/>
    <row r="214683" s="12" customFormat="1" x14ac:dyDescent="0.25"/>
    <row r="214684" s="12" customFormat="1" x14ac:dyDescent="0.25"/>
    <row r="214685" s="12" customFormat="1" x14ac:dyDescent="0.25"/>
    <row r="214686" s="12" customFormat="1" x14ac:dyDescent="0.25"/>
    <row r="214687" s="12" customFormat="1" x14ac:dyDescent="0.25"/>
    <row r="214688" s="12" customFormat="1" x14ac:dyDescent="0.25"/>
    <row r="214689" s="12" customFormat="1" x14ac:dyDescent="0.25"/>
    <row r="214690" s="12" customFormat="1" x14ac:dyDescent="0.25"/>
    <row r="214691" s="12" customFormat="1" x14ac:dyDescent="0.25"/>
    <row r="214692" s="12" customFormat="1" x14ac:dyDescent="0.25"/>
    <row r="214693" s="12" customFormat="1" x14ac:dyDescent="0.25"/>
    <row r="214694" s="12" customFormat="1" x14ac:dyDescent="0.25"/>
    <row r="214695" s="12" customFormat="1" x14ac:dyDescent="0.25"/>
    <row r="214696" s="12" customFormat="1" x14ac:dyDescent="0.25"/>
    <row r="214697" s="12" customFormat="1" x14ac:dyDescent="0.25"/>
    <row r="214698" s="12" customFormat="1" x14ac:dyDescent="0.25"/>
    <row r="214699" s="12" customFormat="1" x14ac:dyDescent="0.25"/>
    <row r="214700" s="12" customFormat="1" x14ac:dyDescent="0.25"/>
    <row r="214701" s="12" customFormat="1" x14ac:dyDescent="0.25"/>
    <row r="214702" s="12" customFormat="1" x14ac:dyDescent="0.25"/>
    <row r="214703" s="12" customFormat="1" x14ac:dyDescent="0.25"/>
    <row r="214704" s="12" customFormat="1" x14ac:dyDescent="0.25"/>
    <row r="214705" s="12" customFormat="1" x14ac:dyDescent="0.25"/>
    <row r="214706" s="12" customFormat="1" x14ac:dyDescent="0.25"/>
    <row r="214707" s="12" customFormat="1" x14ac:dyDescent="0.25"/>
    <row r="214708" s="12" customFormat="1" x14ac:dyDescent="0.25"/>
    <row r="214709" s="12" customFormat="1" x14ac:dyDescent="0.25"/>
    <row r="214710" s="12" customFormat="1" x14ac:dyDescent="0.25"/>
    <row r="214711" s="12" customFormat="1" x14ac:dyDescent="0.25"/>
    <row r="214712" s="12" customFormat="1" x14ac:dyDescent="0.25"/>
    <row r="214713" s="12" customFormat="1" x14ac:dyDescent="0.25"/>
    <row r="214714" s="12" customFormat="1" x14ac:dyDescent="0.25"/>
    <row r="214715" s="12" customFormat="1" x14ac:dyDescent="0.25"/>
    <row r="214716" s="12" customFormat="1" x14ac:dyDescent="0.25"/>
    <row r="214717" s="12" customFormat="1" x14ac:dyDescent="0.25"/>
    <row r="214718" s="12" customFormat="1" x14ac:dyDescent="0.25"/>
    <row r="214719" s="12" customFormat="1" x14ac:dyDescent="0.25"/>
    <row r="214720" s="12" customFormat="1" x14ac:dyDescent="0.25"/>
    <row r="214721" s="12" customFormat="1" x14ac:dyDescent="0.25"/>
    <row r="214722" s="12" customFormat="1" x14ac:dyDescent="0.25"/>
    <row r="214723" s="12" customFormat="1" x14ac:dyDescent="0.25"/>
    <row r="214724" s="12" customFormat="1" x14ac:dyDescent="0.25"/>
    <row r="214725" s="12" customFormat="1" x14ac:dyDescent="0.25"/>
    <row r="214726" s="12" customFormat="1" x14ac:dyDescent="0.25"/>
    <row r="214727" s="12" customFormat="1" x14ac:dyDescent="0.25"/>
    <row r="214728" s="12" customFormat="1" x14ac:dyDescent="0.25"/>
    <row r="214729" s="12" customFormat="1" x14ac:dyDescent="0.25"/>
    <row r="214730" s="12" customFormat="1" x14ac:dyDescent="0.25"/>
    <row r="214731" s="12" customFormat="1" x14ac:dyDescent="0.25"/>
    <row r="214732" s="12" customFormat="1" x14ac:dyDescent="0.25"/>
    <row r="214733" s="12" customFormat="1" x14ac:dyDescent="0.25"/>
    <row r="214734" s="12" customFormat="1" x14ac:dyDescent="0.25"/>
    <row r="214735" s="12" customFormat="1" x14ac:dyDescent="0.25"/>
    <row r="214736" s="12" customFormat="1" x14ac:dyDescent="0.25"/>
    <row r="214737" s="12" customFormat="1" x14ac:dyDescent="0.25"/>
    <row r="214738" s="12" customFormat="1" x14ac:dyDescent="0.25"/>
    <row r="214739" s="12" customFormat="1" x14ac:dyDescent="0.25"/>
    <row r="214740" s="12" customFormat="1" x14ac:dyDescent="0.25"/>
    <row r="214741" s="12" customFormat="1" x14ac:dyDescent="0.25"/>
    <row r="214742" s="12" customFormat="1" x14ac:dyDescent="0.25"/>
    <row r="214743" s="12" customFormat="1" x14ac:dyDescent="0.25"/>
    <row r="214744" s="12" customFormat="1" x14ac:dyDescent="0.25"/>
    <row r="214745" s="12" customFormat="1" x14ac:dyDescent="0.25"/>
    <row r="214746" s="12" customFormat="1" x14ac:dyDescent="0.25"/>
    <row r="214747" s="12" customFormat="1" x14ac:dyDescent="0.25"/>
    <row r="214748" s="12" customFormat="1" x14ac:dyDescent="0.25"/>
    <row r="214749" s="12" customFormat="1" x14ac:dyDescent="0.25"/>
    <row r="214750" s="12" customFormat="1" x14ac:dyDescent="0.25"/>
    <row r="214751" s="12" customFormat="1" x14ac:dyDescent="0.25"/>
    <row r="214752" s="12" customFormat="1" x14ac:dyDescent="0.25"/>
    <row r="214753" s="12" customFormat="1" x14ac:dyDescent="0.25"/>
    <row r="214754" s="12" customFormat="1" x14ac:dyDescent="0.25"/>
    <row r="214755" s="12" customFormat="1" x14ac:dyDescent="0.25"/>
    <row r="214756" s="12" customFormat="1" x14ac:dyDescent="0.25"/>
    <row r="214757" s="12" customFormat="1" x14ac:dyDescent="0.25"/>
    <row r="214758" s="12" customFormat="1" x14ac:dyDescent="0.25"/>
    <row r="214759" s="12" customFormat="1" x14ac:dyDescent="0.25"/>
    <row r="214760" s="12" customFormat="1" x14ac:dyDescent="0.25"/>
    <row r="214761" s="12" customFormat="1" x14ac:dyDescent="0.25"/>
    <row r="214762" s="12" customFormat="1" x14ac:dyDescent="0.25"/>
    <row r="214763" s="12" customFormat="1" x14ac:dyDescent="0.25"/>
    <row r="214764" s="12" customFormat="1" x14ac:dyDescent="0.25"/>
    <row r="214765" s="12" customFormat="1" x14ac:dyDescent="0.25"/>
    <row r="214766" s="12" customFormat="1" x14ac:dyDescent="0.25"/>
    <row r="214767" s="12" customFormat="1" x14ac:dyDescent="0.25"/>
    <row r="214768" s="12" customFormat="1" x14ac:dyDescent="0.25"/>
    <row r="214769" s="12" customFormat="1" x14ac:dyDescent="0.25"/>
    <row r="214770" s="12" customFormat="1" x14ac:dyDescent="0.25"/>
    <row r="214771" s="12" customFormat="1" x14ac:dyDescent="0.25"/>
    <row r="214772" s="12" customFormat="1" x14ac:dyDescent="0.25"/>
    <row r="214773" s="12" customFormat="1" x14ac:dyDescent="0.25"/>
    <row r="214774" s="12" customFormat="1" x14ac:dyDescent="0.25"/>
    <row r="214775" s="12" customFormat="1" x14ac:dyDescent="0.25"/>
    <row r="214776" s="12" customFormat="1" x14ac:dyDescent="0.25"/>
    <row r="214777" s="12" customFormat="1" x14ac:dyDescent="0.25"/>
    <row r="214778" s="12" customFormat="1" x14ac:dyDescent="0.25"/>
    <row r="214779" s="12" customFormat="1" x14ac:dyDescent="0.25"/>
    <row r="214780" s="12" customFormat="1" x14ac:dyDescent="0.25"/>
    <row r="214781" s="12" customFormat="1" x14ac:dyDescent="0.25"/>
    <row r="214782" s="12" customFormat="1" x14ac:dyDescent="0.25"/>
    <row r="214783" s="12" customFormat="1" x14ac:dyDescent="0.25"/>
    <row r="214784" s="12" customFormat="1" x14ac:dyDescent="0.25"/>
    <row r="214785" s="12" customFormat="1" x14ac:dyDescent="0.25"/>
    <row r="214786" s="12" customFormat="1" x14ac:dyDescent="0.25"/>
    <row r="214787" s="12" customFormat="1" x14ac:dyDescent="0.25"/>
    <row r="214788" s="12" customFormat="1" x14ac:dyDescent="0.25"/>
    <row r="214789" s="12" customFormat="1" x14ac:dyDescent="0.25"/>
    <row r="214790" s="12" customFormat="1" x14ac:dyDescent="0.25"/>
    <row r="214791" s="12" customFormat="1" x14ac:dyDescent="0.25"/>
    <row r="214792" s="12" customFormat="1" x14ac:dyDescent="0.25"/>
    <row r="214793" s="12" customFormat="1" x14ac:dyDescent="0.25"/>
    <row r="214794" s="12" customFormat="1" x14ac:dyDescent="0.25"/>
    <row r="214795" s="12" customFormat="1" x14ac:dyDescent="0.25"/>
    <row r="214796" s="12" customFormat="1" x14ac:dyDescent="0.25"/>
    <row r="214797" s="12" customFormat="1" x14ac:dyDescent="0.25"/>
    <row r="214798" s="12" customFormat="1" x14ac:dyDescent="0.25"/>
    <row r="214799" s="12" customFormat="1" x14ac:dyDescent="0.25"/>
    <row r="214800" s="12" customFormat="1" x14ac:dyDescent="0.25"/>
    <row r="214801" s="12" customFormat="1" x14ac:dyDescent="0.25"/>
    <row r="214802" s="12" customFormat="1" x14ac:dyDescent="0.25"/>
    <row r="214803" s="12" customFormat="1" x14ac:dyDescent="0.25"/>
    <row r="214804" s="12" customFormat="1" x14ac:dyDescent="0.25"/>
    <row r="214805" s="12" customFormat="1" x14ac:dyDescent="0.25"/>
    <row r="214806" s="12" customFormat="1" x14ac:dyDescent="0.25"/>
    <row r="214807" s="12" customFormat="1" x14ac:dyDescent="0.25"/>
    <row r="214808" s="12" customFormat="1" x14ac:dyDescent="0.25"/>
    <row r="214809" s="12" customFormat="1" x14ac:dyDescent="0.25"/>
    <row r="214810" s="12" customFormat="1" x14ac:dyDescent="0.25"/>
    <row r="214811" s="12" customFormat="1" x14ac:dyDescent="0.25"/>
    <row r="214812" s="12" customFormat="1" x14ac:dyDescent="0.25"/>
    <row r="214813" s="12" customFormat="1" x14ac:dyDescent="0.25"/>
    <row r="214814" s="12" customFormat="1" x14ac:dyDescent="0.25"/>
    <row r="214815" s="12" customFormat="1" x14ac:dyDescent="0.25"/>
    <row r="214816" s="12" customFormat="1" x14ac:dyDescent="0.25"/>
    <row r="214817" s="12" customFormat="1" x14ac:dyDescent="0.25"/>
    <row r="214818" s="12" customFormat="1" x14ac:dyDescent="0.25"/>
    <row r="214819" s="12" customFormat="1" x14ac:dyDescent="0.25"/>
    <row r="214820" s="12" customFormat="1" x14ac:dyDescent="0.25"/>
    <row r="214821" s="12" customFormat="1" x14ac:dyDescent="0.25"/>
    <row r="214822" s="12" customFormat="1" x14ac:dyDescent="0.25"/>
    <row r="214823" s="12" customFormat="1" x14ac:dyDescent="0.25"/>
    <row r="214824" s="12" customFormat="1" x14ac:dyDescent="0.25"/>
    <row r="214825" s="12" customFormat="1" x14ac:dyDescent="0.25"/>
    <row r="214826" s="12" customFormat="1" x14ac:dyDescent="0.25"/>
    <row r="214827" s="12" customFormat="1" x14ac:dyDescent="0.25"/>
    <row r="214828" s="12" customFormat="1" x14ac:dyDescent="0.25"/>
    <row r="214829" s="12" customFormat="1" x14ac:dyDescent="0.25"/>
    <row r="214830" s="12" customFormat="1" x14ac:dyDescent="0.25"/>
    <row r="214831" s="12" customFormat="1" x14ac:dyDescent="0.25"/>
    <row r="214832" s="12" customFormat="1" x14ac:dyDescent="0.25"/>
    <row r="214833" s="12" customFormat="1" x14ac:dyDescent="0.25"/>
    <row r="214834" s="12" customFormat="1" x14ac:dyDescent="0.25"/>
    <row r="214835" s="12" customFormat="1" x14ac:dyDescent="0.25"/>
    <row r="214836" s="12" customFormat="1" x14ac:dyDescent="0.25"/>
    <row r="214837" s="12" customFormat="1" x14ac:dyDescent="0.25"/>
    <row r="214838" s="12" customFormat="1" x14ac:dyDescent="0.25"/>
    <row r="214839" s="12" customFormat="1" x14ac:dyDescent="0.25"/>
    <row r="214840" s="12" customFormat="1" x14ac:dyDescent="0.25"/>
    <row r="214841" s="12" customFormat="1" x14ac:dyDescent="0.25"/>
    <row r="214842" s="12" customFormat="1" x14ac:dyDescent="0.25"/>
    <row r="214843" s="12" customFormat="1" x14ac:dyDescent="0.25"/>
    <row r="214844" s="12" customFormat="1" x14ac:dyDescent="0.25"/>
    <row r="214845" s="12" customFormat="1" x14ac:dyDescent="0.25"/>
    <row r="214846" s="12" customFormat="1" x14ac:dyDescent="0.25"/>
    <row r="214847" s="12" customFormat="1" x14ac:dyDescent="0.25"/>
    <row r="214848" s="12" customFormat="1" x14ac:dyDescent="0.25"/>
    <row r="214849" s="12" customFormat="1" x14ac:dyDescent="0.25"/>
    <row r="214850" s="12" customFormat="1" x14ac:dyDescent="0.25"/>
    <row r="214851" s="12" customFormat="1" x14ac:dyDescent="0.25"/>
    <row r="214852" s="12" customFormat="1" x14ac:dyDescent="0.25"/>
    <row r="214853" s="12" customFormat="1" x14ac:dyDescent="0.25"/>
    <row r="214854" s="12" customFormat="1" x14ac:dyDescent="0.25"/>
    <row r="214855" s="12" customFormat="1" x14ac:dyDescent="0.25"/>
    <row r="214856" s="12" customFormat="1" x14ac:dyDescent="0.25"/>
    <row r="214857" s="12" customFormat="1" x14ac:dyDescent="0.25"/>
    <row r="214858" s="12" customFormat="1" x14ac:dyDescent="0.25"/>
    <row r="214859" s="12" customFormat="1" x14ac:dyDescent="0.25"/>
    <row r="214860" s="12" customFormat="1" x14ac:dyDescent="0.25"/>
    <row r="214861" s="12" customFormat="1" x14ac:dyDescent="0.25"/>
    <row r="214862" s="12" customFormat="1" x14ac:dyDescent="0.25"/>
    <row r="214863" s="12" customFormat="1" x14ac:dyDescent="0.25"/>
    <row r="214864" s="12" customFormat="1" x14ac:dyDescent="0.25"/>
    <row r="214865" s="12" customFormat="1" x14ac:dyDescent="0.25"/>
    <row r="214866" s="12" customFormat="1" x14ac:dyDescent="0.25"/>
    <row r="214867" s="12" customFormat="1" x14ac:dyDescent="0.25"/>
    <row r="214868" s="12" customFormat="1" x14ac:dyDescent="0.25"/>
    <row r="214869" s="12" customFormat="1" x14ac:dyDescent="0.25"/>
    <row r="214870" s="12" customFormat="1" x14ac:dyDescent="0.25"/>
    <row r="214871" s="12" customFormat="1" x14ac:dyDescent="0.25"/>
    <row r="214872" s="12" customFormat="1" x14ac:dyDescent="0.25"/>
    <row r="214873" s="12" customFormat="1" x14ac:dyDescent="0.25"/>
    <row r="214874" s="12" customFormat="1" x14ac:dyDescent="0.25"/>
    <row r="214875" s="12" customFormat="1" x14ac:dyDescent="0.25"/>
    <row r="214876" s="12" customFormat="1" x14ac:dyDescent="0.25"/>
    <row r="214877" s="12" customFormat="1" x14ac:dyDescent="0.25"/>
    <row r="214878" s="12" customFormat="1" x14ac:dyDescent="0.25"/>
    <row r="214879" s="12" customFormat="1" x14ac:dyDescent="0.25"/>
    <row r="214880" s="12" customFormat="1" x14ac:dyDescent="0.25"/>
    <row r="214881" s="12" customFormat="1" x14ac:dyDescent="0.25"/>
    <row r="214882" s="12" customFormat="1" x14ac:dyDescent="0.25"/>
    <row r="214883" s="12" customFormat="1" x14ac:dyDescent="0.25"/>
    <row r="214884" s="12" customFormat="1" x14ac:dyDescent="0.25"/>
    <row r="214885" s="12" customFormat="1" x14ac:dyDescent="0.25"/>
    <row r="214886" s="12" customFormat="1" x14ac:dyDescent="0.25"/>
    <row r="214887" s="12" customFormat="1" x14ac:dyDescent="0.25"/>
    <row r="214888" s="12" customFormat="1" x14ac:dyDescent="0.25"/>
    <row r="214889" s="12" customFormat="1" x14ac:dyDescent="0.25"/>
    <row r="214890" s="12" customFormat="1" x14ac:dyDescent="0.25"/>
    <row r="214891" s="12" customFormat="1" x14ac:dyDescent="0.25"/>
    <row r="214892" s="12" customFormat="1" x14ac:dyDescent="0.25"/>
    <row r="214893" s="12" customFormat="1" x14ac:dyDescent="0.25"/>
    <row r="214894" s="12" customFormat="1" x14ac:dyDescent="0.25"/>
    <row r="214895" s="12" customFormat="1" x14ac:dyDescent="0.25"/>
    <row r="214896" s="12" customFormat="1" x14ac:dyDescent="0.25"/>
    <row r="214897" s="12" customFormat="1" x14ac:dyDescent="0.25"/>
    <row r="214898" s="12" customFormat="1" x14ac:dyDescent="0.25"/>
    <row r="214899" s="12" customFormat="1" x14ac:dyDescent="0.25"/>
    <row r="214900" s="12" customFormat="1" x14ac:dyDescent="0.25"/>
    <row r="214901" s="12" customFormat="1" x14ac:dyDescent="0.25"/>
    <row r="214902" s="12" customFormat="1" x14ac:dyDescent="0.25"/>
    <row r="214903" s="12" customFormat="1" x14ac:dyDescent="0.25"/>
    <row r="214904" s="12" customFormat="1" x14ac:dyDescent="0.25"/>
    <row r="214905" s="12" customFormat="1" x14ac:dyDescent="0.25"/>
    <row r="214906" s="12" customFormat="1" x14ac:dyDescent="0.25"/>
    <row r="214907" s="12" customFormat="1" x14ac:dyDescent="0.25"/>
    <row r="214908" s="12" customFormat="1" x14ac:dyDescent="0.25"/>
    <row r="214909" s="12" customFormat="1" x14ac:dyDescent="0.25"/>
    <row r="214910" s="12" customFormat="1" x14ac:dyDescent="0.25"/>
    <row r="214911" s="12" customFormat="1" x14ac:dyDescent="0.25"/>
    <row r="214912" s="12" customFormat="1" x14ac:dyDescent="0.25"/>
    <row r="214913" s="12" customFormat="1" x14ac:dyDescent="0.25"/>
    <row r="214914" s="12" customFormat="1" x14ac:dyDescent="0.25"/>
    <row r="214915" s="12" customFormat="1" x14ac:dyDescent="0.25"/>
    <row r="214916" s="12" customFormat="1" x14ac:dyDescent="0.25"/>
    <row r="214917" s="12" customFormat="1" x14ac:dyDescent="0.25"/>
    <row r="214918" s="12" customFormat="1" x14ac:dyDescent="0.25"/>
    <row r="214919" s="12" customFormat="1" x14ac:dyDescent="0.25"/>
    <row r="214920" s="12" customFormat="1" x14ac:dyDescent="0.25"/>
    <row r="214921" s="12" customFormat="1" x14ac:dyDescent="0.25"/>
    <row r="214922" s="12" customFormat="1" x14ac:dyDescent="0.25"/>
    <row r="214923" s="12" customFormat="1" x14ac:dyDescent="0.25"/>
    <row r="214924" s="12" customFormat="1" x14ac:dyDescent="0.25"/>
    <row r="214925" s="12" customFormat="1" x14ac:dyDescent="0.25"/>
    <row r="214926" s="12" customFormat="1" x14ac:dyDescent="0.25"/>
    <row r="214927" s="12" customFormat="1" x14ac:dyDescent="0.25"/>
    <row r="214928" s="12" customFormat="1" x14ac:dyDescent="0.25"/>
    <row r="214929" s="12" customFormat="1" x14ac:dyDescent="0.25"/>
    <row r="214930" s="12" customFormat="1" x14ac:dyDescent="0.25"/>
    <row r="214931" s="12" customFormat="1" x14ac:dyDescent="0.25"/>
    <row r="214932" s="12" customFormat="1" x14ac:dyDescent="0.25"/>
    <row r="214933" s="12" customFormat="1" x14ac:dyDescent="0.25"/>
    <row r="214934" s="12" customFormat="1" x14ac:dyDescent="0.25"/>
    <row r="214935" s="12" customFormat="1" x14ac:dyDescent="0.25"/>
    <row r="214936" s="12" customFormat="1" x14ac:dyDescent="0.25"/>
    <row r="214937" s="12" customFormat="1" x14ac:dyDescent="0.25"/>
    <row r="214938" s="12" customFormat="1" x14ac:dyDescent="0.25"/>
    <row r="214939" s="12" customFormat="1" x14ac:dyDescent="0.25"/>
    <row r="214940" s="12" customFormat="1" x14ac:dyDescent="0.25"/>
    <row r="214941" s="12" customFormat="1" x14ac:dyDescent="0.25"/>
    <row r="214942" s="12" customFormat="1" x14ac:dyDescent="0.25"/>
    <row r="214943" s="12" customFormat="1" x14ac:dyDescent="0.25"/>
    <row r="214944" s="12" customFormat="1" x14ac:dyDescent="0.25"/>
    <row r="214945" s="12" customFormat="1" x14ac:dyDescent="0.25"/>
    <row r="214946" s="12" customFormat="1" x14ac:dyDescent="0.25"/>
    <row r="214947" s="12" customFormat="1" x14ac:dyDescent="0.25"/>
    <row r="214948" s="12" customFormat="1" x14ac:dyDescent="0.25"/>
    <row r="214949" s="12" customFormat="1" x14ac:dyDescent="0.25"/>
    <row r="214950" s="12" customFormat="1" x14ac:dyDescent="0.25"/>
    <row r="214951" s="12" customFormat="1" x14ac:dyDescent="0.25"/>
    <row r="214952" s="12" customFormat="1" x14ac:dyDescent="0.25"/>
    <row r="214953" s="12" customFormat="1" x14ac:dyDescent="0.25"/>
    <row r="214954" s="12" customFormat="1" x14ac:dyDescent="0.25"/>
    <row r="214955" s="12" customFormat="1" x14ac:dyDescent="0.25"/>
    <row r="214956" s="12" customFormat="1" x14ac:dyDescent="0.25"/>
    <row r="214957" s="12" customFormat="1" x14ac:dyDescent="0.25"/>
    <row r="214958" s="12" customFormat="1" x14ac:dyDescent="0.25"/>
    <row r="214959" s="12" customFormat="1" x14ac:dyDescent="0.25"/>
    <row r="214960" s="12" customFormat="1" x14ac:dyDescent="0.25"/>
    <row r="214961" s="12" customFormat="1" x14ac:dyDescent="0.25"/>
    <row r="214962" s="12" customFormat="1" x14ac:dyDescent="0.25"/>
    <row r="214963" s="12" customFormat="1" x14ac:dyDescent="0.25"/>
    <row r="214964" s="12" customFormat="1" x14ac:dyDescent="0.25"/>
    <row r="214965" s="12" customFormat="1" x14ac:dyDescent="0.25"/>
    <row r="214966" s="12" customFormat="1" x14ac:dyDescent="0.25"/>
    <row r="214967" s="12" customFormat="1" x14ac:dyDescent="0.25"/>
    <row r="214968" s="12" customFormat="1" x14ac:dyDescent="0.25"/>
    <row r="214969" s="12" customFormat="1" x14ac:dyDescent="0.25"/>
    <row r="214970" s="12" customFormat="1" x14ac:dyDescent="0.25"/>
    <row r="214971" s="12" customFormat="1" x14ac:dyDescent="0.25"/>
    <row r="214972" s="12" customFormat="1" x14ac:dyDescent="0.25"/>
    <row r="214973" s="12" customFormat="1" x14ac:dyDescent="0.25"/>
    <row r="214974" s="12" customFormat="1" x14ac:dyDescent="0.25"/>
    <row r="214975" s="12" customFormat="1" x14ac:dyDescent="0.25"/>
    <row r="214976" s="12" customFormat="1" x14ac:dyDescent="0.25"/>
    <row r="214977" s="12" customFormat="1" x14ac:dyDescent="0.25"/>
    <row r="214978" s="12" customFormat="1" x14ac:dyDescent="0.25"/>
    <row r="214979" s="12" customFormat="1" x14ac:dyDescent="0.25"/>
    <row r="214980" s="12" customFormat="1" x14ac:dyDescent="0.25"/>
    <row r="214981" s="12" customFormat="1" x14ac:dyDescent="0.25"/>
    <row r="214982" s="12" customFormat="1" x14ac:dyDescent="0.25"/>
    <row r="214983" s="12" customFormat="1" x14ac:dyDescent="0.25"/>
    <row r="214984" s="12" customFormat="1" x14ac:dyDescent="0.25"/>
    <row r="214985" s="12" customFormat="1" x14ac:dyDescent="0.25"/>
    <row r="214986" s="12" customFormat="1" x14ac:dyDescent="0.25"/>
    <row r="214987" s="12" customFormat="1" x14ac:dyDescent="0.25"/>
    <row r="214988" s="12" customFormat="1" x14ac:dyDescent="0.25"/>
    <row r="214989" s="12" customFormat="1" x14ac:dyDescent="0.25"/>
    <row r="214990" s="12" customFormat="1" x14ac:dyDescent="0.25"/>
    <row r="214991" s="12" customFormat="1" x14ac:dyDescent="0.25"/>
    <row r="214992" s="12" customFormat="1" x14ac:dyDescent="0.25"/>
    <row r="214993" s="12" customFormat="1" x14ac:dyDescent="0.25"/>
    <row r="214994" s="12" customFormat="1" x14ac:dyDescent="0.25"/>
    <row r="214995" s="12" customFormat="1" x14ac:dyDescent="0.25"/>
    <row r="214996" s="12" customFormat="1" x14ac:dyDescent="0.25"/>
    <row r="214997" s="12" customFormat="1" x14ac:dyDescent="0.25"/>
    <row r="214998" s="12" customFormat="1" x14ac:dyDescent="0.25"/>
    <row r="214999" s="12" customFormat="1" x14ac:dyDescent="0.25"/>
    <row r="215000" s="12" customFormat="1" x14ac:dyDescent="0.25"/>
    <row r="215001" s="12" customFormat="1" x14ac:dyDescent="0.25"/>
    <row r="215002" s="12" customFormat="1" x14ac:dyDescent="0.25"/>
    <row r="215003" s="12" customFormat="1" x14ac:dyDescent="0.25"/>
    <row r="215004" s="12" customFormat="1" x14ac:dyDescent="0.25"/>
    <row r="215005" s="12" customFormat="1" x14ac:dyDescent="0.25"/>
    <row r="215006" s="12" customFormat="1" x14ac:dyDescent="0.25"/>
    <row r="215007" s="12" customFormat="1" x14ac:dyDescent="0.25"/>
    <row r="215008" s="12" customFormat="1" x14ac:dyDescent="0.25"/>
    <row r="215009" s="12" customFormat="1" x14ac:dyDescent="0.25"/>
    <row r="215010" s="12" customFormat="1" x14ac:dyDescent="0.25"/>
    <row r="215011" s="12" customFormat="1" x14ac:dyDescent="0.25"/>
    <row r="215012" s="12" customFormat="1" x14ac:dyDescent="0.25"/>
    <row r="215013" s="12" customFormat="1" x14ac:dyDescent="0.25"/>
    <row r="215014" s="12" customFormat="1" x14ac:dyDescent="0.25"/>
    <row r="215015" s="12" customFormat="1" x14ac:dyDescent="0.25"/>
    <row r="215016" s="12" customFormat="1" x14ac:dyDescent="0.25"/>
    <row r="215017" s="12" customFormat="1" x14ac:dyDescent="0.25"/>
    <row r="215018" s="12" customFormat="1" x14ac:dyDescent="0.25"/>
    <row r="215019" s="12" customFormat="1" x14ac:dyDescent="0.25"/>
    <row r="215020" s="12" customFormat="1" x14ac:dyDescent="0.25"/>
    <row r="215021" s="12" customFormat="1" x14ac:dyDescent="0.25"/>
    <row r="215022" s="12" customFormat="1" x14ac:dyDescent="0.25"/>
    <row r="215023" s="12" customFormat="1" x14ac:dyDescent="0.25"/>
    <row r="215024" s="12" customFormat="1" x14ac:dyDescent="0.25"/>
    <row r="215025" s="12" customFormat="1" x14ac:dyDescent="0.25"/>
    <row r="215026" s="12" customFormat="1" x14ac:dyDescent="0.25"/>
    <row r="215027" s="12" customFormat="1" x14ac:dyDescent="0.25"/>
    <row r="215028" s="12" customFormat="1" x14ac:dyDescent="0.25"/>
    <row r="215029" s="12" customFormat="1" x14ac:dyDescent="0.25"/>
    <row r="215030" s="12" customFormat="1" x14ac:dyDescent="0.25"/>
    <row r="215031" s="12" customFormat="1" x14ac:dyDescent="0.25"/>
    <row r="215032" s="12" customFormat="1" x14ac:dyDescent="0.25"/>
    <row r="215033" s="12" customFormat="1" x14ac:dyDescent="0.25"/>
    <row r="215034" s="12" customFormat="1" x14ac:dyDescent="0.25"/>
    <row r="215035" s="12" customFormat="1" x14ac:dyDescent="0.25"/>
    <row r="215036" s="12" customFormat="1" x14ac:dyDescent="0.25"/>
    <row r="215037" s="12" customFormat="1" x14ac:dyDescent="0.25"/>
    <row r="215038" s="12" customFormat="1" x14ac:dyDescent="0.25"/>
    <row r="215039" s="12" customFormat="1" x14ac:dyDescent="0.25"/>
    <row r="215040" s="12" customFormat="1" x14ac:dyDescent="0.25"/>
    <row r="215041" s="12" customFormat="1" x14ac:dyDescent="0.25"/>
    <row r="215042" s="12" customFormat="1" x14ac:dyDescent="0.25"/>
    <row r="215043" s="12" customFormat="1" x14ac:dyDescent="0.25"/>
    <row r="215044" s="12" customFormat="1" x14ac:dyDescent="0.25"/>
    <row r="215045" s="12" customFormat="1" x14ac:dyDescent="0.25"/>
    <row r="215046" s="12" customFormat="1" x14ac:dyDescent="0.25"/>
    <row r="215047" s="12" customFormat="1" x14ac:dyDescent="0.25"/>
    <row r="215048" s="12" customFormat="1" x14ac:dyDescent="0.25"/>
    <row r="215049" s="12" customFormat="1" x14ac:dyDescent="0.25"/>
    <row r="215050" s="12" customFormat="1" x14ac:dyDescent="0.25"/>
    <row r="215051" s="12" customFormat="1" x14ac:dyDescent="0.25"/>
    <row r="215052" s="12" customFormat="1" x14ac:dyDescent="0.25"/>
    <row r="215053" s="12" customFormat="1" x14ac:dyDescent="0.25"/>
    <row r="215054" s="12" customFormat="1" x14ac:dyDescent="0.25"/>
    <row r="215055" s="12" customFormat="1" x14ac:dyDescent="0.25"/>
    <row r="215056" s="12" customFormat="1" x14ac:dyDescent="0.25"/>
    <row r="215057" s="12" customFormat="1" x14ac:dyDescent="0.25"/>
    <row r="215058" s="12" customFormat="1" x14ac:dyDescent="0.25"/>
    <row r="215059" s="12" customFormat="1" x14ac:dyDescent="0.25"/>
    <row r="215060" s="12" customFormat="1" x14ac:dyDescent="0.25"/>
    <row r="215061" s="12" customFormat="1" x14ac:dyDescent="0.25"/>
    <row r="215062" s="12" customFormat="1" x14ac:dyDescent="0.25"/>
    <row r="215063" s="12" customFormat="1" x14ac:dyDescent="0.25"/>
    <row r="215064" s="12" customFormat="1" x14ac:dyDescent="0.25"/>
    <row r="215065" s="12" customFormat="1" x14ac:dyDescent="0.25"/>
    <row r="215066" s="12" customFormat="1" x14ac:dyDescent="0.25"/>
    <row r="215067" s="12" customFormat="1" x14ac:dyDescent="0.25"/>
    <row r="215068" s="12" customFormat="1" x14ac:dyDescent="0.25"/>
    <row r="215069" s="12" customFormat="1" x14ac:dyDescent="0.25"/>
    <row r="215070" s="12" customFormat="1" x14ac:dyDescent="0.25"/>
    <row r="215071" s="12" customFormat="1" x14ac:dyDescent="0.25"/>
    <row r="215072" s="12" customFormat="1" x14ac:dyDescent="0.25"/>
    <row r="215073" s="12" customFormat="1" x14ac:dyDescent="0.25"/>
    <row r="215074" s="12" customFormat="1" x14ac:dyDescent="0.25"/>
    <row r="215075" s="12" customFormat="1" x14ac:dyDescent="0.25"/>
    <row r="215076" s="12" customFormat="1" x14ac:dyDescent="0.25"/>
    <row r="215077" s="12" customFormat="1" x14ac:dyDescent="0.25"/>
    <row r="215078" s="12" customFormat="1" x14ac:dyDescent="0.25"/>
    <row r="215079" s="12" customFormat="1" x14ac:dyDescent="0.25"/>
    <row r="215080" s="12" customFormat="1" x14ac:dyDescent="0.25"/>
    <row r="215081" s="12" customFormat="1" x14ac:dyDescent="0.25"/>
    <row r="215082" s="12" customFormat="1" x14ac:dyDescent="0.25"/>
    <row r="215083" s="12" customFormat="1" x14ac:dyDescent="0.25"/>
    <row r="215084" s="12" customFormat="1" x14ac:dyDescent="0.25"/>
    <row r="215085" s="12" customFormat="1" x14ac:dyDescent="0.25"/>
    <row r="215086" s="12" customFormat="1" x14ac:dyDescent="0.25"/>
    <row r="215087" s="12" customFormat="1" x14ac:dyDescent="0.25"/>
    <row r="215088" s="12" customFormat="1" x14ac:dyDescent="0.25"/>
    <row r="215089" s="12" customFormat="1" x14ac:dyDescent="0.25"/>
    <row r="215090" s="12" customFormat="1" x14ac:dyDescent="0.25"/>
    <row r="215091" s="12" customFormat="1" x14ac:dyDescent="0.25"/>
    <row r="215092" s="12" customFormat="1" x14ac:dyDescent="0.25"/>
    <row r="215093" s="12" customFormat="1" x14ac:dyDescent="0.25"/>
    <row r="215094" s="12" customFormat="1" x14ac:dyDescent="0.25"/>
    <row r="215095" s="12" customFormat="1" x14ac:dyDescent="0.25"/>
    <row r="215096" s="12" customFormat="1" x14ac:dyDescent="0.25"/>
    <row r="215097" s="12" customFormat="1" x14ac:dyDescent="0.25"/>
    <row r="215098" s="12" customFormat="1" x14ac:dyDescent="0.25"/>
    <row r="215099" s="12" customFormat="1" x14ac:dyDescent="0.25"/>
    <row r="215100" s="12" customFormat="1" x14ac:dyDescent="0.25"/>
    <row r="215101" s="12" customFormat="1" x14ac:dyDescent="0.25"/>
    <row r="215102" s="12" customFormat="1" x14ac:dyDescent="0.25"/>
    <row r="215103" s="12" customFormat="1" x14ac:dyDescent="0.25"/>
    <row r="215104" s="12" customFormat="1" x14ac:dyDescent="0.25"/>
    <row r="215105" s="12" customFormat="1" x14ac:dyDescent="0.25"/>
    <row r="215106" s="12" customFormat="1" x14ac:dyDescent="0.25"/>
    <row r="215107" s="12" customFormat="1" x14ac:dyDescent="0.25"/>
    <row r="215108" s="12" customFormat="1" x14ac:dyDescent="0.25"/>
    <row r="215109" s="12" customFormat="1" x14ac:dyDescent="0.25"/>
    <row r="215110" s="12" customFormat="1" x14ac:dyDescent="0.25"/>
    <row r="215111" s="12" customFormat="1" x14ac:dyDescent="0.25"/>
    <row r="215112" s="12" customFormat="1" x14ac:dyDescent="0.25"/>
    <row r="215113" s="12" customFormat="1" x14ac:dyDescent="0.25"/>
    <row r="215114" s="12" customFormat="1" x14ac:dyDescent="0.25"/>
    <row r="215115" s="12" customFormat="1" x14ac:dyDescent="0.25"/>
    <row r="215116" s="12" customFormat="1" x14ac:dyDescent="0.25"/>
    <row r="215117" s="12" customFormat="1" x14ac:dyDescent="0.25"/>
    <row r="215118" s="12" customFormat="1" x14ac:dyDescent="0.25"/>
    <row r="215119" s="12" customFormat="1" x14ac:dyDescent="0.25"/>
    <row r="215120" s="12" customFormat="1" x14ac:dyDescent="0.25"/>
    <row r="215121" s="12" customFormat="1" x14ac:dyDescent="0.25"/>
    <row r="215122" s="12" customFormat="1" x14ac:dyDescent="0.25"/>
    <row r="215123" s="12" customFormat="1" x14ac:dyDescent="0.25"/>
    <row r="215124" s="12" customFormat="1" x14ac:dyDescent="0.25"/>
    <row r="215125" s="12" customFormat="1" x14ac:dyDescent="0.25"/>
    <row r="215126" s="12" customFormat="1" x14ac:dyDescent="0.25"/>
    <row r="215127" s="12" customFormat="1" x14ac:dyDescent="0.25"/>
    <row r="215128" s="12" customFormat="1" x14ac:dyDescent="0.25"/>
    <row r="215129" s="12" customFormat="1" x14ac:dyDescent="0.25"/>
    <row r="215130" s="12" customFormat="1" x14ac:dyDescent="0.25"/>
    <row r="215131" s="12" customFormat="1" x14ac:dyDescent="0.25"/>
    <row r="215132" s="12" customFormat="1" x14ac:dyDescent="0.25"/>
    <row r="215133" s="12" customFormat="1" x14ac:dyDescent="0.25"/>
    <row r="215134" s="12" customFormat="1" x14ac:dyDescent="0.25"/>
    <row r="215135" s="12" customFormat="1" x14ac:dyDescent="0.25"/>
    <row r="215136" s="12" customFormat="1" x14ac:dyDescent="0.25"/>
    <row r="215137" s="12" customFormat="1" x14ac:dyDescent="0.25"/>
    <row r="215138" s="12" customFormat="1" x14ac:dyDescent="0.25"/>
    <row r="215139" s="12" customFormat="1" x14ac:dyDescent="0.25"/>
    <row r="215140" s="12" customFormat="1" x14ac:dyDescent="0.25"/>
    <row r="215141" s="12" customFormat="1" x14ac:dyDescent="0.25"/>
    <row r="215142" s="12" customFormat="1" x14ac:dyDescent="0.25"/>
    <row r="215143" s="12" customFormat="1" x14ac:dyDescent="0.25"/>
    <row r="215144" s="12" customFormat="1" x14ac:dyDescent="0.25"/>
    <row r="215145" s="12" customFormat="1" x14ac:dyDescent="0.25"/>
    <row r="215146" s="12" customFormat="1" x14ac:dyDescent="0.25"/>
    <row r="215147" s="12" customFormat="1" x14ac:dyDescent="0.25"/>
    <row r="215148" s="12" customFormat="1" x14ac:dyDescent="0.25"/>
    <row r="215149" s="12" customFormat="1" x14ac:dyDescent="0.25"/>
    <row r="215150" s="12" customFormat="1" x14ac:dyDescent="0.25"/>
    <row r="215151" s="12" customFormat="1" x14ac:dyDescent="0.25"/>
    <row r="215152" s="12" customFormat="1" x14ac:dyDescent="0.25"/>
    <row r="215153" s="12" customFormat="1" x14ac:dyDescent="0.25"/>
    <row r="215154" s="12" customFormat="1" x14ac:dyDescent="0.25"/>
    <row r="215155" s="12" customFormat="1" x14ac:dyDescent="0.25"/>
    <row r="215156" s="12" customFormat="1" x14ac:dyDescent="0.25"/>
    <row r="215157" s="12" customFormat="1" x14ac:dyDescent="0.25"/>
    <row r="215158" s="12" customFormat="1" x14ac:dyDescent="0.25"/>
    <row r="215159" s="12" customFormat="1" x14ac:dyDescent="0.25"/>
    <row r="215160" s="12" customFormat="1" x14ac:dyDescent="0.25"/>
    <row r="215161" s="12" customFormat="1" x14ac:dyDescent="0.25"/>
    <row r="215162" s="12" customFormat="1" x14ac:dyDescent="0.25"/>
    <row r="215163" s="12" customFormat="1" x14ac:dyDescent="0.25"/>
    <row r="215164" s="12" customFormat="1" x14ac:dyDescent="0.25"/>
    <row r="215165" s="12" customFormat="1" x14ac:dyDescent="0.25"/>
    <row r="215166" s="12" customFormat="1" x14ac:dyDescent="0.25"/>
    <row r="215167" s="12" customFormat="1" x14ac:dyDescent="0.25"/>
    <row r="215168" s="12" customFormat="1" x14ac:dyDescent="0.25"/>
    <row r="215169" s="12" customFormat="1" x14ac:dyDescent="0.25"/>
    <row r="215170" s="12" customFormat="1" x14ac:dyDescent="0.25"/>
    <row r="215171" s="12" customFormat="1" x14ac:dyDescent="0.25"/>
    <row r="215172" s="12" customFormat="1" x14ac:dyDescent="0.25"/>
    <row r="215173" s="12" customFormat="1" x14ac:dyDescent="0.25"/>
    <row r="215174" s="12" customFormat="1" x14ac:dyDescent="0.25"/>
    <row r="215175" s="12" customFormat="1" x14ac:dyDescent="0.25"/>
    <row r="215176" s="12" customFormat="1" x14ac:dyDescent="0.25"/>
    <row r="215177" s="12" customFormat="1" x14ac:dyDescent="0.25"/>
    <row r="215178" s="12" customFormat="1" x14ac:dyDescent="0.25"/>
    <row r="215179" s="12" customFormat="1" x14ac:dyDescent="0.25"/>
    <row r="215180" s="12" customFormat="1" x14ac:dyDescent="0.25"/>
    <row r="215181" s="12" customFormat="1" x14ac:dyDescent="0.25"/>
    <row r="215182" s="12" customFormat="1" x14ac:dyDescent="0.25"/>
    <row r="215183" s="12" customFormat="1" x14ac:dyDescent="0.25"/>
    <row r="215184" s="12" customFormat="1" x14ac:dyDescent="0.25"/>
    <row r="215185" s="12" customFormat="1" x14ac:dyDescent="0.25"/>
    <row r="215186" s="12" customFormat="1" x14ac:dyDescent="0.25"/>
    <row r="215187" s="12" customFormat="1" x14ac:dyDescent="0.25"/>
    <row r="215188" s="12" customFormat="1" x14ac:dyDescent="0.25"/>
    <row r="215189" s="12" customFormat="1" x14ac:dyDescent="0.25"/>
    <row r="215190" s="12" customFormat="1" x14ac:dyDescent="0.25"/>
    <row r="215191" s="12" customFormat="1" x14ac:dyDescent="0.25"/>
    <row r="215192" s="12" customFormat="1" x14ac:dyDescent="0.25"/>
    <row r="215193" s="12" customFormat="1" x14ac:dyDescent="0.25"/>
    <row r="215194" s="12" customFormat="1" x14ac:dyDescent="0.25"/>
    <row r="215195" s="12" customFormat="1" x14ac:dyDescent="0.25"/>
    <row r="215196" s="12" customFormat="1" x14ac:dyDescent="0.25"/>
    <row r="215197" s="12" customFormat="1" x14ac:dyDescent="0.25"/>
    <row r="215198" s="12" customFormat="1" x14ac:dyDescent="0.25"/>
    <row r="215199" s="12" customFormat="1" x14ac:dyDescent="0.25"/>
    <row r="215200" s="12" customFormat="1" x14ac:dyDescent="0.25"/>
    <row r="215201" s="12" customFormat="1" x14ac:dyDescent="0.25"/>
    <row r="215202" s="12" customFormat="1" x14ac:dyDescent="0.25"/>
    <row r="215203" s="12" customFormat="1" x14ac:dyDescent="0.25"/>
    <row r="215204" s="12" customFormat="1" x14ac:dyDescent="0.25"/>
    <row r="215205" s="12" customFormat="1" x14ac:dyDescent="0.25"/>
    <row r="215206" s="12" customFormat="1" x14ac:dyDescent="0.25"/>
    <row r="215207" s="12" customFormat="1" x14ac:dyDescent="0.25"/>
    <row r="215208" s="12" customFormat="1" x14ac:dyDescent="0.25"/>
    <row r="215209" s="12" customFormat="1" x14ac:dyDescent="0.25"/>
    <row r="215210" s="12" customFormat="1" x14ac:dyDescent="0.25"/>
    <row r="215211" s="12" customFormat="1" x14ac:dyDescent="0.25"/>
    <row r="215212" s="12" customFormat="1" x14ac:dyDescent="0.25"/>
    <row r="215213" s="12" customFormat="1" x14ac:dyDescent="0.25"/>
    <row r="215214" s="12" customFormat="1" x14ac:dyDescent="0.25"/>
    <row r="215215" s="12" customFormat="1" x14ac:dyDescent="0.25"/>
    <row r="215216" s="12" customFormat="1" x14ac:dyDescent="0.25"/>
    <row r="215217" s="12" customFormat="1" x14ac:dyDescent="0.25"/>
    <row r="215218" s="12" customFormat="1" x14ac:dyDescent="0.25"/>
    <row r="215219" s="12" customFormat="1" x14ac:dyDescent="0.25"/>
    <row r="215220" s="12" customFormat="1" x14ac:dyDescent="0.25"/>
    <row r="215221" s="12" customFormat="1" x14ac:dyDescent="0.25"/>
    <row r="215222" s="12" customFormat="1" x14ac:dyDescent="0.25"/>
    <row r="215223" s="12" customFormat="1" x14ac:dyDescent="0.25"/>
    <row r="215224" s="12" customFormat="1" x14ac:dyDescent="0.25"/>
    <row r="215225" s="12" customFormat="1" x14ac:dyDescent="0.25"/>
    <row r="215226" s="12" customFormat="1" x14ac:dyDescent="0.25"/>
    <row r="215227" s="12" customFormat="1" x14ac:dyDescent="0.25"/>
    <row r="215228" s="12" customFormat="1" x14ac:dyDescent="0.25"/>
    <row r="215229" s="12" customFormat="1" x14ac:dyDescent="0.25"/>
    <row r="215230" s="12" customFormat="1" x14ac:dyDescent="0.25"/>
    <row r="215231" s="12" customFormat="1" x14ac:dyDescent="0.25"/>
    <row r="215232" s="12" customFormat="1" x14ac:dyDescent="0.25"/>
    <row r="215233" s="12" customFormat="1" x14ac:dyDescent="0.25"/>
    <row r="215234" s="12" customFormat="1" x14ac:dyDescent="0.25"/>
    <row r="215235" s="12" customFormat="1" x14ac:dyDescent="0.25"/>
    <row r="215236" s="12" customFormat="1" x14ac:dyDescent="0.25"/>
    <row r="215237" s="12" customFormat="1" x14ac:dyDescent="0.25"/>
    <row r="215238" s="12" customFormat="1" x14ac:dyDescent="0.25"/>
    <row r="215239" s="12" customFormat="1" x14ac:dyDescent="0.25"/>
    <row r="215240" s="12" customFormat="1" x14ac:dyDescent="0.25"/>
    <row r="215241" s="12" customFormat="1" x14ac:dyDescent="0.25"/>
    <row r="215242" s="12" customFormat="1" x14ac:dyDescent="0.25"/>
    <row r="215243" s="12" customFormat="1" x14ac:dyDescent="0.25"/>
    <row r="215244" s="12" customFormat="1" x14ac:dyDescent="0.25"/>
    <row r="215245" s="12" customFormat="1" x14ac:dyDescent="0.25"/>
    <row r="215246" s="12" customFormat="1" x14ac:dyDescent="0.25"/>
    <row r="215247" s="12" customFormat="1" x14ac:dyDescent="0.25"/>
    <row r="215248" s="12" customFormat="1" x14ac:dyDescent="0.25"/>
    <row r="215249" s="12" customFormat="1" x14ac:dyDescent="0.25"/>
    <row r="215250" s="12" customFormat="1" x14ac:dyDescent="0.25"/>
    <row r="215251" s="12" customFormat="1" x14ac:dyDescent="0.25"/>
    <row r="215252" s="12" customFormat="1" x14ac:dyDescent="0.25"/>
    <row r="215253" s="12" customFormat="1" x14ac:dyDescent="0.25"/>
    <row r="215254" s="12" customFormat="1" x14ac:dyDescent="0.25"/>
    <row r="215255" s="12" customFormat="1" x14ac:dyDescent="0.25"/>
    <row r="215256" s="12" customFormat="1" x14ac:dyDescent="0.25"/>
    <row r="215257" s="12" customFormat="1" x14ac:dyDescent="0.25"/>
    <row r="215258" s="12" customFormat="1" x14ac:dyDescent="0.25"/>
    <row r="215259" s="12" customFormat="1" x14ac:dyDescent="0.25"/>
    <row r="215260" s="12" customFormat="1" x14ac:dyDescent="0.25"/>
    <row r="215261" s="12" customFormat="1" x14ac:dyDescent="0.25"/>
    <row r="215262" s="12" customFormat="1" x14ac:dyDescent="0.25"/>
    <row r="215263" s="12" customFormat="1" x14ac:dyDescent="0.25"/>
    <row r="215264" s="12" customFormat="1" x14ac:dyDescent="0.25"/>
    <row r="215265" s="12" customFormat="1" x14ac:dyDescent="0.25"/>
    <row r="215266" s="12" customFormat="1" x14ac:dyDescent="0.25"/>
    <row r="215267" s="12" customFormat="1" x14ac:dyDescent="0.25"/>
    <row r="215268" s="12" customFormat="1" x14ac:dyDescent="0.25"/>
    <row r="215269" s="12" customFormat="1" x14ac:dyDescent="0.25"/>
    <row r="215270" s="12" customFormat="1" x14ac:dyDescent="0.25"/>
    <row r="215271" s="12" customFormat="1" x14ac:dyDescent="0.25"/>
    <row r="215272" s="12" customFormat="1" x14ac:dyDescent="0.25"/>
    <row r="215273" s="12" customFormat="1" x14ac:dyDescent="0.25"/>
    <row r="215274" s="12" customFormat="1" x14ac:dyDescent="0.25"/>
    <row r="215275" s="12" customFormat="1" x14ac:dyDescent="0.25"/>
    <row r="215276" s="12" customFormat="1" x14ac:dyDescent="0.25"/>
    <row r="215277" s="12" customFormat="1" x14ac:dyDescent="0.25"/>
    <row r="215278" s="12" customFormat="1" x14ac:dyDescent="0.25"/>
    <row r="215279" s="12" customFormat="1" x14ac:dyDescent="0.25"/>
    <row r="215280" s="12" customFormat="1" x14ac:dyDescent="0.25"/>
    <row r="215281" s="12" customFormat="1" x14ac:dyDescent="0.25"/>
    <row r="215282" s="12" customFormat="1" x14ac:dyDescent="0.25"/>
    <row r="215283" s="12" customFormat="1" x14ac:dyDescent="0.25"/>
    <row r="215284" s="12" customFormat="1" x14ac:dyDescent="0.25"/>
    <row r="215285" s="12" customFormat="1" x14ac:dyDescent="0.25"/>
    <row r="215286" s="12" customFormat="1" x14ac:dyDescent="0.25"/>
    <row r="215287" s="12" customFormat="1" x14ac:dyDescent="0.25"/>
    <row r="215288" s="12" customFormat="1" x14ac:dyDescent="0.25"/>
    <row r="215289" s="12" customFormat="1" x14ac:dyDescent="0.25"/>
    <row r="215290" s="12" customFormat="1" x14ac:dyDescent="0.25"/>
    <row r="215291" s="12" customFormat="1" x14ac:dyDescent="0.25"/>
    <row r="215292" s="12" customFormat="1" x14ac:dyDescent="0.25"/>
    <row r="215293" s="12" customFormat="1" x14ac:dyDescent="0.25"/>
    <row r="215294" s="12" customFormat="1" x14ac:dyDescent="0.25"/>
    <row r="215295" s="12" customFormat="1" x14ac:dyDescent="0.25"/>
    <row r="215296" s="12" customFormat="1" x14ac:dyDescent="0.25"/>
    <row r="215297" s="12" customFormat="1" x14ac:dyDescent="0.25"/>
    <row r="215298" s="12" customFormat="1" x14ac:dyDescent="0.25"/>
    <row r="215299" s="12" customFormat="1" x14ac:dyDescent="0.25"/>
    <row r="215300" s="12" customFormat="1" x14ac:dyDescent="0.25"/>
    <row r="215301" s="12" customFormat="1" x14ac:dyDescent="0.25"/>
    <row r="215302" s="12" customFormat="1" x14ac:dyDescent="0.25"/>
    <row r="215303" s="12" customFormat="1" x14ac:dyDescent="0.25"/>
    <row r="215304" s="12" customFormat="1" x14ac:dyDescent="0.25"/>
    <row r="215305" s="12" customFormat="1" x14ac:dyDescent="0.25"/>
    <row r="215306" s="12" customFormat="1" x14ac:dyDescent="0.25"/>
    <row r="215307" s="12" customFormat="1" x14ac:dyDescent="0.25"/>
    <row r="215308" s="12" customFormat="1" x14ac:dyDescent="0.25"/>
    <row r="215309" s="12" customFormat="1" x14ac:dyDescent="0.25"/>
    <row r="215310" s="12" customFormat="1" x14ac:dyDescent="0.25"/>
    <row r="215311" s="12" customFormat="1" x14ac:dyDescent="0.25"/>
    <row r="215312" s="12" customFormat="1" x14ac:dyDescent="0.25"/>
    <row r="215313" s="12" customFormat="1" x14ac:dyDescent="0.25"/>
    <row r="215314" s="12" customFormat="1" x14ac:dyDescent="0.25"/>
    <row r="215315" s="12" customFormat="1" x14ac:dyDescent="0.25"/>
    <row r="215316" s="12" customFormat="1" x14ac:dyDescent="0.25"/>
    <row r="215317" s="12" customFormat="1" x14ac:dyDescent="0.25"/>
    <row r="215318" s="12" customFormat="1" x14ac:dyDescent="0.25"/>
    <row r="215319" s="12" customFormat="1" x14ac:dyDescent="0.25"/>
    <row r="215320" s="12" customFormat="1" x14ac:dyDescent="0.25"/>
    <row r="215321" s="12" customFormat="1" x14ac:dyDescent="0.25"/>
    <row r="215322" s="12" customFormat="1" x14ac:dyDescent="0.25"/>
    <row r="215323" s="12" customFormat="1" x14ac:dyDescent="0.25"/>
    <row r="215324" s="12" customFormat="1" x14ac:dyDescent="0.25"/>
    <row r="215325" s="12" customFormat="1" x14ac:dyDescent="0.25"/>
    <row r="215326" s="12" customFormat="1" x14ac:dyDescent="0.25"/>
    <row r="215327" s="12" customFormat="1" x14ac:dyDescent="0.25"/>
    <row r="215328" s="12" customFormat="1" x14ac:dyDescent="0.25"/>
    <row r="215329" s="12" customFormat="1" x14ac:dyDescent="0.25"/>
    <row r="215330" s="12" customFormat="1" x14ac:dyDescent="0.25"/>
    <row r="215331" s="12" customFormat="1" x14ac:dyDescent="0.25"/>
    <row r="215332" s="12" customFormat="1" x14ac:dyDescent="0.25"/>
    <row r="215333" s="12" customFormat="1" x14ac:dyDescent="0.25"/>
    <row r="215334" s="12" customFormat="1" x14ac:dyDescent="0.25"/>
    <row r="215335" s="12" customFormat="1" x14ac:dyDescent="0.25"/>
    <row r="215336" s="12" customFormat="1" x14ac:dyDescent="0.25"/>
    <row r="215337" s="12" customFormat="1" x14ac:dyDescent="0.25"/>
    <row r="215338" s="12" customFormat="1" x14ac:dyDescent="0.25"/>
    <row r="215339" s="12" customFormat="1" x14ac:dyDescent="0.25"/>
    <row r="215340" s="12" customFormat="1" x14ac:dyDescent="0.25"/>
    <row r="215341" s="12" customFormat="1" x14ac:dyDescent="0.25"/>
    <row r="215342" s="12" customFormat="1" x14ac:dyDescent="0.25"/>
    <row r="215343" s="12" customFormat="1" x14ac:dyDescent="0.25"/>
    <row r="215344" s="12" customFormat="1" x14ac:dyDescent="0.25"/>
    <row r="215345" s="12" customFormat="1" x14ac:dyDescent="0.25"/>
    <row r="215346" s="12" customFormat="1" x14ac:dyDescent="0.25"/>
    <row r="215347" s="12" customFormat="1" x14ac:dyDescent="0.25"/>
    <row r="215348" s="12" customFormat="1" x14ac:dyDescent="0.25"/>
    <row r="215349" s="12" customFormat="1" x14ac:dyDescent="0.25"/>
    <row r="215350" s="12" customFormat="1" x14ac:dyDescent="0.25"/>
    <row r="215351" s="12" customFormat="1" x14ac:dyDescent="0.25"/>
    <row r="215352" s="12" customFormat="1" x14ac:dyDescent="0.25"/>
    <row r="215353" s="12" customFormat="1" x14ac:dyDescent="0.25"/>
    <row r="215354" s="12" customFormat="1" x14ac:dyDescent="0.25"/>
    <row r="215355" s="12" customFormat="1" x14ac:dyDescent="0.25"/>
    <row r="215356" s="12" customFormat="1" x14ac:dyDescent="0.25"/>
    <row r="215357" s="12" customFormat="1" x14ac:dyDescent="0.25"/>
    <row r="215358" s="12" customFormat="1" x14ac:dyDescent="0.25"/>
    <row r="215359" s="12" customFormat="1" x14ac:dyDescent="0.25"/>
    <row r="215360" s="12" customFormat="1" x14ac:dyDescent="0.25"/>
    <row r="215361" s="12" customFormat="1" x14ac:dyDescent="0.25"/>
    <row r="215362" s="12" customFormat="1" x14ac:dyDescent="0.25"/>
    <row r="215363" s="12" customFormat="1" x14ac:dyDescent="0.25"/>
    <row r="215364" s="12" customFormat="1" x14ac:dyDescent="0.25"/>
    <row r="215365" s="12" customFormat="1" x14ac:dyDescent="0.25"/>
    <row r="215366" s="12" customFormat="1" x14ac:dyDescent="0.25"/>
    <row r="215367" s="12" customFormat="1" x14ac:dyDescent="0.25"/>
    <row r="215368" s="12" customFormat="1" x14ac:dyDescent="0.25"/>
    <row r="215369" s="12" customFormat="1" x14ac:dyDescent="0.25"/>
    <row r="215370" s="12" customFormat="1" x14ac:dyDescent="0.25"/>
    <row r="215371" s="12" customFormat="1" x14ac:dyDescent="0.25"/>
    <row r="215372" s="12" customFormat="1" x14ac:dyDescent="0.25"/>
    <row r="215373" s="12" customFormat="1" x14ac:dyDescent="0.25"/>
    <row r="215374" s="12" customFormat="1" x14ac:dyDescent="0.25"/>
    <row r="215375" s="12" customFormat="1" x14ac:dyDescent="0.25"/>
    <row r="215376" s="12" customFormat="1" x14ac:dyDescent="0.25"/>
    <row r="215377" s="12" customFormat="1" x14ac:dyDescent="0.25"/>
    <row r="215378" s="12" customFormat="1" x14ac:dyDescent="0.25"/>
    <row r="215379" s="12" customFormat="1" x14ac:dyDescent="0.25"/>
    <row r="215380" s="12" customFormat="1" x14ac:dyDescent="0.25"/>
    <row r="215381" s="12" customFormat="1" x14ac:dyDescent="0.25"/>
    <row r="215382" s="12" customFormat="1" x14ac:dyDescent="0.25"/>
    <row r="215383" s="12" customFormat="1" x14ac:dyDescent="0.25"/>
    <row r="215384" s="12" customFormat="1" x14ac:dyDescent="0.25"/>
    <row r="215385" s="12" customFormat="1" x14ac:dyDescent="0.25"/>
    <row r="215386" s="12" customFormat="1" x14ac:dyDescent="0.25"/>
    <row r="215387" s="12" customFormat="1" x14ac:dyDescent="0.25"/>
    <row r="215388" s="12" customFormat="1" x14ac:dyDescent="0.25"/>
    <row r="215389" s="12" customFormat="1" x14ac:dyDescent="0.25"/>
    <row r="215390" s="12" customFormat="1" x14ac:dyDescent="0.25"/>
    <row r="215391" s="12" customFormat="1" x14ac:dyDescent="0.25"/>
    <row r="215392" s="12" customFormat="1" x14ac:dyDescent="0.25"/>
    <row r="215393" s="12" customFormat="1" x14ac:dyDescent="0.25"/>
    <row r="215394" s="12" customFormat="1" x14ac:dyDescent="0.25"/>
    <row r="215395" s="12" customFormat="1" x14ac:dyDescent="0.25"/>
    <row r="215396" s="12" customFormat="1" x14ac:dyDescent="0.25"/>
    <row r="215397" s="12" customFormat="1" x14ac:dyDescent="0.25"/>
    <row r="215398" s="12" customFormat="1" x14ac:dyDescent="0.25"/>
    <row r="215399" s="12" customFormat="1" x14ac:dyDescent="0.25"/>
    <row r="215400" s="12" customFormat="1" x14ac:dyDescent="0.25"/>
    <row r="215401" s="12" customFormat="1" x14ac:dyDescent="0.25"/>
    <row r="215402" s="12" customFormat="1" x14ac:dyDescent="0.25"/>
    <row r="215403" s="12" customFormat="1" x14ac:dyDescent="0.25"/>
    <row r="215404" s="12" customFormat="1" x14ac:dyDescent="0.25"/>
    <row r="215405" s="12" customFormat="1" x14ac:dyDescent="0.25"/>
    <row r="215406" s="12" customFormat="1" x14ac:dyDescent="0.25"/>
    <row r="215407" s="12" customFormat="1" x14ac:dyDescent="0.25"/>
    <row r="215408" s="12" customFormat="1" x14ac:dyDescent="0.25"/>
    <row r="215409" s="12" customFormat="1" x14ac:dyDescent="0.25"/>
    <row r="215410" s="12" customFormat="1" x14ac:dyDescent="0.25"/>
    <row r="215411" s="12" customFormat="1" x14ac:dyDescent="0.25"/>
    <row r="215412" s="12" customFormat="1" x14ac:dyDescent="0.25"/>
    <row r="215413" s="12" customFormat="1" x14ac:dyDescent="0.25"/>
    <row r="215414" s="12" customFormat="1" x14ac:dyDescent="0.25"/>
    <row r="215415" s="12" customFormat="1" x14ac:dyDescent="0.25"/>
    <row r="215416" s="12" customFormat="1" x14ac:dyDescent="0.25"/>
    <row r="215417" s="12" customFormat="1" x14ac:dyDescent="0.25"/>
    <row r="215418" s="12" customFormat="1" x14ac:dyDescent="0.25"/>
    <row r="215419" s="12" customFormat="1" x14ac:dyDescent="0.25"/>
    <row r="215420" s="12" customFormat="1" x14ac:dyDescent="0.25"/>
    <row r="215421" s="12" customFormat="1" x14ac:dyDescent="0.25"/>
    <row r="215422" s="12" customFormat="1" x14ac:dyDescent="0.25"/>
    <row r="215423" s="12" customFormat="1" x14ac:dyDescent="0.25"/>
    <row r="215424" s="12" customFormat="1" x14ac:dyDescent="0.25"/>
    <row r="215425" s="12" customFormat="1" x14ac:dyDescent="0.25"/>
    <row r="215426" s="12" customFormat="1" x14ac:dyDescent="0.25"/>
    <row r="215427" s="12" customFormat="1" x14ac:dyDescent="0.25"/>
    <row r="215428" s="12" customFormat="1" x14ac:dyDescent="0.25"/>
    <row r="215429" s="12" customFormat="1" x14ac:dyDescent="0.25"/>
    <row r="215430" s="12" customFormat="1" x14ac:dyDescent="0.25"/>
    <row r="215431" s="12" customFormat="1" x14ac:dyDescent="0.25"/>
    <row r="215432" s="12" customFormat="1" x14ac:dyDescent="0.25"/>
    <row r="215433" s="12" customFormat="1" x14ac:dyDescent="0.25"/>
    <row r="215434" s="12" customFormat="1" x14ac:dyDescent="0.25"/>
    <row r="215435" s="12" customFormat="1" x14ac:dyDescent="0.25"/>
    <row r="215436" s="12" customFormat="1" x14ac:dyDescent="0.25"/>
    <row r="215437" s="12" customFormat="1" x14ac:dyDescent="0.25"/>
    <row r="215438" s="12" customFormat="1" x14ac:dyDescent="0.25"/>
    <row r="215439" s="12" customFormat="1" x14ac:dyDescent="0.25"/>
    <row r="215440" s="12" customFormat="1" x14ac:dyDescent="0.25"/>
    <row r="215441" s="12" customFormat="1" x14ac:dyDescent="0.25"/>
    <row r="215442" s="12" customFormat="1" x14ac:dyDescent="0.25"/>
    <row r="215443" s="12" customFormat="1" x14ac:dyDescent="0.25"/>
    <row r="215444" s="12" customFormat="1" x14ac:dyDescent="0.25"/>
    <row r="215445" s="12" customFormat="1" x14ac:dyDescent="0.25"/>
    <row r="215446" s="12" customFormat="1" x14ac:dyDescent="0.25"/>
    <row r="215447" s="12" customFormat="1" x14ac:dyDescent="0.25"/>
    <row r="215448" s="12" customFormat="1" x14ac:dyDescent="0.25"/>
    <row r="215449" s="12" customFormat="1" x14ac:dyDescent="0.25"/>
    <row r="215450" s="12" customFormat="1" x14ac:dyDescent="0.25"/>
    <row r="215451" s="12" customFormat="1" x14ac:dyDescent="0.25"/>
    <row r="215452" s="12" customFormat="1" x14ac:dyDescent="0.25"/>
    <row r="215453" s="12" customFormat="1" x14ac:dyDescent="0.25"/>
    <row r="215454" s="12" customFormat="1" x14ac:dyDescent="0.25"/>
    <row r="215455" s="12" customFormat="1" x14ac:dyDescent="0.25"/>
    <row r="215456" s="12" customFormat="1" x14ac:dyDescent="0.25"/>
    <row r="215457" s="12" customFormat="1" x14ac:dyDescent="0.25"/>
    <row r="215458" s="12" customFormat="1" x14ac:dyDescent="0.25"/>
    <row r="215459" s="12" customFormat="1" x14ac:dyDescent="0.25"/>
    <row r="215460" s="12" customFormat="1" x14ac:dyDescent="0.25"/>
    <row r="215461" s="12" customFormat="1" x14ac:dyDescent="0.25"/>
    <row r="215462" s="12" customFormat="1" x14ac:dyDescent="0.25"/>
    <row r="215463" s="12" customFormat="1" x14ac:dyDescent="0.25"/>
    <row r="215464" s="12" customFormat="1" x14ac:dyDescent="0.25"/>
    <row r="215465" s="12" customFormat="1" x14ac:dyDescent="0.25"/>
    <row r="215466" s="12" customFormat="1" x14ac:dyDescent="0.25"/>
    <row r="215467" s="12" customFormat="1" x14ac:dyDescent="0.25"/>
    <row r="215468" s="12" customFormat="1" x14ac:dyDescent="0.25"/>
    <row r="215469" s="12" customFormat="1" x14ac:dyDescent="0.25"/>
    <row r="215470" s="12" customFormat="1" x14ac:dyDescent="0.25"/>
    <row r="215471" s="12" customFormat="1" x14ac:dyDescent="0.25"/>
    <row r="215472" s="12" customFormat="1" x14ac:dyDescent="0.25"/>
    <row r="215473" s="12" customFormat="1" x14ac:dyDescent="0.25"/>
    <row r="215474" s="12" customFormat="1" x14ac:dyDescent="0.25"/>
    <row r="215475" s="12" customFormat="1" x14ac:dyDescent="0.25"/>
    <row r="215476" s="12" customFormat="1" x14ac:dyDescent="0.25"/>
    <row r="215477" s="12" customFormat="1" x14ac:dyDescent="0.25"/>
    <row r="215478" s="12" customFormat="1" x14ac:dyDescent="0.25"/>
    <row r="215479" s="12" customFormat="1" x14ac:dyDescent="0.25"/>
    <row r="215480" s="12" customFormat="1" x14ac:dyDescent="0.25"/>
    <row r="215481" s="12" customFormat="1" x14ac:dyDescent="0.25"/>
    <row r="215482" s="12" customFormat="1" x14ac:dyDescent="0.25"/>
    <row r="215483" s="12" customFormat="1" x14ac:dyDescent="0.25"/>
    <row r="215484" s="12" customFormat="1" x14ac:dyDescent="0.25"/>
    <row r="215485" s="12" customFormat="1" x14ac:dyDescent="0.25"/>
    <row r="215486" s="12" customFormat="1" x14ac:dyDescent="0.25"/>
    <row r="215487" s="12" customFormat="1" x14ac:dyDescent="0.25"/>
    <row r="215488" s="12" customFormat="1" x14ac:dyDescent="0.25"/>
    <row r="215489" s="12" customFormat="1" x14ac:dyDescent="0.25"/>
    <row r="215490" s="12" customFormat="1" x14ac:dyDescent="0.25"/>
    <row r="215491" s="12" customFormat="1" x14ac:dyDescent="0.25"/>
    <row r="215492" s="12" customFormat="1" x14ac:dyDescent="0.25"/>
    <row r="215493" s="12" customFormat="1" x14ac:dyDescent="0.25"/>
    <row r="215494" s="12" customFormat="1" x14ac:dyDescent="0.25"/>
    <row r="215495" s="12" customFormat="1" x14ac:dyDescent="0.25"/>
    <row r="215496" s="12" customFormat="1" x14ac:dyDescent="0.25"/>
    <row r="215497" s="12" customFormat="1" x14ac:dyDescent="0.25"/>
    <row r="215498" s="12" customFormat="1" x14ac:dyDescent="0.25"/>
    <row r="215499" s="12" customFormat="1" x14ac:dyDescent="0.25"/>
    <row r="215500" s="12" customFormat="1" x14ac:dyDescent="0.25"/>
    <row r="215501" s="12" customFormat="1" x14ac:dyDescent="0.25"/>
    <row r="215502" s="12" customFormat="1" x14ac:dyDescent="0.25"/>
    <row r="215503" s="12" customFormat="1" x14ac:dyDescent="0.25"/>
    <row r="215504" s="12" customFormat="1" x14ac:dyDescent="0.25"/>
    <row r="215505" s="12" customFormat="1" x14ac:dyDescent="0.25"/>
    <row r="215506" s="12" customFormat="1" x14ac:dyDescent="0.25"/>
    <row r="215507" s="12" customFormat="1" x14ac:dyDescent="0.25"/>
    <row r="215508" s="12" customFormat="1" x14ac:dyDescent="0.25"/>
    <row r="215509" s="12" customFormat="1" x14ac:dyDescent="0.25"/>
    <row r="215510" s="12" customFormat="1" x14ac:dyDescent="0.25"/>
    <row r="215511" s="12" customFormat="1" x14ac:dyDescent="0.25"/>
    <row r="215512" s="12" customFormat="1" x14ac:dyDescent="0.25"/>
    <row r="215513" s="12" customFormat="1" x14ac:dyDescent="0.25"/>
    <row r="215514" s="12" customFormat="1" x14ac:dyDescent="0.25"/>
    <row r="215515" s="12" customFormat="1" x14ac:dyDescent="0.25"/>
    <row r="215516" s="12" customFormat="1" x14ac:dyDescent="0.25"/>
    <row r="215517" s="12" customFormat="1" x14ac:dyDescent="0.25"/>
    <row r="215518" s="12" customFormat="1" x14ac:dyDescent="0.25"/>
    <row r="215519" s="12" customFormat="1" x14ac:dyDescent="0.25"/>
    <row r="215520" s="12" customFormat="1" x14ac:dyDescent="0.25"/>
    <row r="215521" s="12" customFormat="1" x14ac:dyDescent="0.25"/>
    <row r="215522" s="12" customFormat="1" x14ac:dyDescent="0.25"/>
    <row r="215523" s="12" customFormat="1" x14ac:dyDescent="0.25"/>
    <row r="215524" s="12" customFormat="1" x14ac:dyDescent="0.25"/>
    <row r="215525" s="12" customFormat="1" x14ac:dyDescent="0.25"/>
    <row r="215526" s="12" customFormat="1" x14ac:dyDescent="0.25"/>
    <row r="215527" s="12" customFormat="1" x14ac:dyDescent="0.25"/>
    <row r="215528" s="12" customFormat="1" x14ac:dyDescent="0.25"/>
    <row r="215529" s="12" customFormat="1" x14ac:dyDescent="0.25"/>
    <row r="215530" s="12" customFormat="1" x14ac:dyDescent="0.25"/>
    <row r="215531" s="12" customFormat="1" x14ac:dyDescent="0.25"/>
    <row r="215532" s="12" customFormat="1" x14ac:dyDescent="0.25"/>
    <row r="215533" s="12" customFormat="1" x14ac:dyDescent="0.25"/>
    <row r="215534" s="12" customFormat="1" x14ac:dyDescent="0.25"/>
    <row r="215535" s="12" customFormat="1" x14ac:dyDescent="0.25"/>
    <row r="215536" s="12" customFormat="1" x14ac:dyDescent="0.25"/>
    <row r="215537" s="12" customFormat="1" x14ac:dyDescent="0.25"/>
    <row r="215538" s="12" customFormat="1" x14ac:dyDescent="0.25"/>
    <row r="215539" s="12" customFormat="1" x14ac:dyDescent="0.25"/>
    <row r="215540" s="12" customFormat="1" x14ac:dyDescent="0.25"/>
    <row r="215541" s="12" customFormat="1" x14ac:dyDescent="0.25"/>
    <row r="215542" s="12" customFormat="1" x14ac:dyDescent="0.25"/>
    <row r="215543" s="12" customFormat="1" x14ac:dyDescent="0.25"/>
    <row r="215544" s="12" customFormat="1" x14ac:dyDescent="0.25"/>
    <row r="215545" s="12" customFormat="1" x14ac:dyDescent="0.25"/>
    <row r="215546" s="12" customFormat="1" x14ac:dyDescent="0.25"/>
    <row r="215547" s="12" customFormat="1" x14ac:dyDescent="0.25"/>
    <row r="215548" s="12" customFormat="1" x14ac:dyDescent="0.25"/>
    <row r="215549" s="12" customFormat="1" x14ac:dyDescent="0.25"/>
    <row r="215550" s="12" customFormat="1" x14ac:dyDescent="0.25"/>
    <row r="215551" s="12" customFormat="1" x14ac:dyDescent="0.25"/>
    <row r="215552" s="12" customFormat="1" x14ac:dyDescent="0.25"/>
    <row r="215553" s="12" customFormat="1" x14ac:dyDescent="0.25"/>
    <row r="215554" s="12" customFormat="1" x14ac:dyDescent="0.25"/>
    <row r="215555" s="12" customFormat="1" x14ac:dyDescent="0.25"/>
    <row r="215556" s="12" customFormat="1" x14ac:dyDescent="0.25"/>
    <row r="215557" s="12" customFormat="1" x14ac:dyDescent="0.25"/>
    <row r="215558" s="12" customFormat="1" x14ac:dyDescent="0.25"/>
    <row r="215559" s="12" customFormat="1" x14ac:dyDescent="0.25"/>
    <row r="215560" s="12" customFormat="1" x14ac:dyDescent="0.25"/>
    <row r="215561" s="12" customFormat="1" x14ac:dyDescent="0.25"/>
    <row r="215562" s="12" customFormat="1" x14ac:dyDescent="0.25"/>
    <row r="215563" s="12" customFormat="1" x14ac:dyDescent="0.25"/>
    <row r="215564" s="12" customFormat="1" x14ac:dyDescent="0.25"/>
    <row r="215565" s="12" customFormat="1" x14ac:dyDescent="0.25"/>
    <row r="215566" s="12" customFormat="1" x14ac:dyDescent="0.25"/>
    <row r="215567" s="12" customFormat="1" x14ac:dyDescent="0.25"/>
    <row r="215568" s="12" customFormat="1" x14ac:dyDescent="0.25"/>
    <row r="215569" s="12" customFormat="1" x14ac:dyDescent="0.25"/>
    <row r="215570" s="12" customFormat="1" x14ac:dyDescent="0.25"/>
    <row r="215571" s="12" customFormat="1" x14ac:dyDescent="0.25"/>
    <row r="215572" s="12" customFormat="1" x14ac:dyDescent="0.25"/>
    <row r="215573" s="12" customFormat="1" x14ac:dyDescent="0.25"/>
    <row r="215574" s="12" customFormat="1" x14ac:dyDescent="0.25"/>
    <row r="215575" s="12" customFormat="1" x14ac:dyDescent="0.25"/>
    <row r="215576" s="12" customFormat="1" x14ac:dyDescent="0.25"/>
    <row r="215577" s="12" customFormat="1" x14ac:dyDescent="0.25"/>
    <row r="215578" s="12" customFormat="1" x14ac:dyDescent="0.25"/>
    <row r="215579" s="12" customFormat="1" x14ac:dyDescent="0.25"/>
    <row r="215580" s="12" customFormat="1" x14ac:dyDescent="0.25"/>
    <row r="215581" s="12" customFormat="1" x14ac:dyDescent="0.25"/>
    <row r="215582" s="12" customFormat="1" x14ac:dyDescent="0.25"/>
    <row r="215583" s="12" customFormat="1" x14ac:dyDescent="0.25"/>
    <row r="215584" s="12" customFormat="1" x14ac:dyDescent="0.25"/>
    <row r="215585" s="12" customFormat="1" x14ac:dyDescent="0.25"/>
    <row r="215586" s="12" customFormat="1" x14ac:dyDescent="0.25"/>
    <row r="215587" s="12" customFormat="1" x14ac:dyDescent="0.25"/>
    <row r="215588" s="12" customFormat="1" x14ac:dyDescent="0.25"/>
    <row r="215589" s="12" customFormat="1" x14ac:dyDescent="0.25"/>
    <row r="215590" s="12" customFormat="1" x14ac:dyDescent="0.25"/>
    <row r="215591" s="12" customFormat="1" x14ac:dyDescent="0.25"/>
    <row r="215592" s="12" customFormat="1" x14ac:dyDescent="0.25"/>
    <row r="215593" s="12" customFormat="1" x14ac:dyDescent="0.25"/>
    <row r="215594" s="12" customFormat="1" x14ac:dyDescent="0.25"/>
    <row r="215595" s="12" customFormat="1" x14ac:dyDescent="0.25"/>
    <row r="215596" s="12" customFormat="1" x14ac:dyDescent="0.25"/>
    <row r="215597" s="12" customFormat="1" x14ac:dyDescent="0.25"/>
    <row r="215598" s="12" customFormat="1" x14ac:dyDescent="0.25"/>
    <row r="215599" s="12" customFormat="1" x14ac:dyDescent="0.25"/>
    <row r="215600" s="12" customFormat="1" x14ac:dyDescent="0.25"/>
    <row r="215601" s="12" customFormat="1" x14ac:dyDescent="0.25"/>
    <row r="215602" s="12" customFormat="1" x14ac:dyDescent="0.25"/>
    <row r="215603" s="12" customFormat="1" x14ac:dyDescent="0.25"/>
    <row r="215604" s="12" customFormat="1" x14ac:dyDescent="0.25"/>
    <row r="215605" s="12" customFormat="1" x14ac:dyDescent="0.25"/>
    <row r="215606" s="12" customFormat="1" x14ac:dyDescent="0.25"/>
    <row r="215607" s="12" customFormat="1" x14ac:dyDescent="0.25"/>
    <row r="215608" s="12" customFormat="1" x14ac:dyDescent="0.25"/>
    <row r="215609" s="12" customFormat="1" x14ac:dyDescent="0.25"/>
    <row r="215610" s="12" customFormat="1" x14ac:dyDescent="0.25"/>
    <row r="215611" s="12" customFormat="1" x14ac:dyDescent="0.25"/>
    <row r="215612" s="12" customFormat="1" x14ac:dyDescent="0.25"/>
    <row r="215613" s="12" customFormat="1" x14ac:dyDescent="0.25"/>
    <row r="215614" s="12" customFormat="1" x14ac:dyDescent="0.25"/>
    <row r="215615" s="12" customFormat="1" x14ac:dyDescent="0.25"/>
    <row r="215616" s="12" customFormat="1" x14ac:dyDescent="0.25"/>
    <row r="215617" s="12" customFormat="1" x14ac:dyDescent="0.25"/>
    <row r="215618" s="12" customFormat="1" x14ac:dyDescent="0.25"/>
    <row r="215619" s="12" customFormat="1" x14ac:dyDescent="0.25"/>
    <row r="215620" s="12" customFormat="1" x14ac:dyDescent="0.25"/>
    <row r="215621" s="12" customFormat="1" x14ac:dyDescent="0.25"/>
    <row r="215622" s="12" customFormat="1" x14ac:dyDescent="0.25"/>
    <row r="215623" s="12" customFormat="1" x14ac:dyDescent="0.25"/>
    <row r="215624" s="12" customFormat="1" x14ac:dyDescent="0.25"/>
    <row r="215625" s="12" customFormat="1" x14ac:dyDescent="0.25"/>
    <row r="215626" s="12" customFormat="1" x14ac:dyDescent="0.25"/>
    <row r="215627" s="12" customFormat="1" x14ac:dyDescent="0.25"/>
    <row r="215628" s="12" customFormat="1" x14ac:dyDescent="0.25"/>
    <row r="215629" s="12" customFormat="1" x14ac:dyDescent="0.25"/>
    <row r="215630" s="12" customFormat="1" x14ac:dyDescent="0.25"/>
    <row r="215631" s="12" customFormat="1" x14ac:dyDescent="0.25"/>
    <row r="215632" s="12" customFormat="1" x14ac:dyDescent="0.25"/>
    <row r="215633" s="12" customFormat="1" x14ac:dyDescent="0.25"/>
    <row r="215634" s="12" customFormat="1" x14ac:dyDescent="0.25"/>
    <row r="215635" s="12" customFormat="1" x14ac:dyDescent="0.25"/>
    <row r="215636" s="12" customFormat="1" x14ac:dyDescent="0.25"/>
    <row r="215637" s="12" customFormat="1" x14ac:dyDescent="0.25"/>
    <row r="215638" s="12" customFormat="1" x14ac:dyDescent="0.25"/>
    <row r="215639" s="12" customFormat="1" x14ac:dyDescent="0.25"/>
    <row r="215640" s="12" customFormat="1" x14ac:dyDescent="0.25"/>
    <row r="215641" s="12" customFormat="1" x14ac:dyDescent="0.25"/>
    <row r="215642" s="12" customFormat="1" x14ac:dyDescent="0.25"/>
    <row r="215643" s="12" customFormat="1" x14ac:dyDescent="0.25"/>
    <row r="215644" s="12" customFormat="1" x14ac:dyDescent="0.25"/>
    <row r="215645" s="12" customFormat="1" x14ac:dyDescent="0.25"/>
    <row r="215646" s="12" customFormat="1" x14ac:dyDescent="0.25"/>
    <row r="215647" s="12" customFormat="1" x14ac:dyDescent="0.25"/>
    <row r="215648" s="12" customFormat="1" x14ac:dyDescent="0.25"/>
    <row r="215649" s="12" customFormat="1" x14ac:dyDescent="0.25"/>
    <row r="215650" s="12" customFormat="1" x14ac:dyDescent="0.25"/>
    <row r="215651" s="12" customFormat="1" x14ac:dyDescent="0.25"/>
    <row r="215652" s="12" customFormat="1" x14ac:dyDescent="0.25"/>
    <row r="215653" s="12" customFormat="1" x14ac:dyDescent="0.25"/>
    <row r="215654" s="12" customFormat="1" x14ac:dyDescent="0.25"/>
    <row r="215655" s="12" customFormat="1" x14ac:dyDescent="0.25"/>
    <row r="215656" s="12" customFormat="1" x14ac:dyDescent="0.25"/>
    <row r="215657" s="12" customFormat="1" x14ac:dyDescent="0.25"/>
    <row r="215658" s="12" customFormat="1" x14ac:dyDescent="0.25"/>
    <row r="215659" s="12" customFormat="1" x14ac:dyDescent="0.25"/>
    <row r="215660" s="12" customFormat="1" x14ac:dyDescent="0.25"/>
    <row r="215661" s="12" customFormat="1" x14ac:dyDescent="0.25"/>
    <row r="215662" s="12" customFormat="1" x14ac:dyDescent="0.25"/>
    <row r="215663" s="12" customFormat="1" x14ac:dyDescent="0.25"/>
    <row r="215664" s="12" customFormat="1" x14ac:dyDescent="0.25"/>
    <row r="215665" s="12" customFormat="1" x14ac:dyDescent="0.25"/>
    <row r="215666" s="12" customFormat="1" x14ac:dyDescent="0.25"/>
    <row r="215667" s="12" customFormat="1" x14ac:dyDescent="0.25"/>
    <row r="215668" s="12" customFormat="1" x14ac:dyDescent="0.25"/>
    <row r="215669" s="12" customFormat="1" x14ac:dyDescent="0.25"/>
    <row r="215670" s="12" customFormat="1" x14ac:dyDescent="0.25"/>
    <row r="215671" s="12" customFormat="1" x14ac:dyDescent="0.25"/>
    <row r="215672" s="12" customFormat="1" x14ac:dyDescent="0.25"/>
    <row r="215673" s="12" customFormat="1" x14ac:dyDescent="0.25"/>
    <row r="215674" s="12" customFormat="1" x14ac:dyDescent="0.25"/>
    <row r="215675" s="12" customFormat="1" x14ac:dyDescent="0.25"/>
    <row r="215676" s="12" customFormat="1" x14ac:dyDescent="0.25"/>
    <row r="215677" s="12" customFormat="1" x14ac:dyDescent="0.25"/>
    <row r="215678" s="12" customFormat="1" x14ac:dyDescent="0.25"/>
    <row r="215679" s="12" customFormat="1" x14ac:dyDescent="0.25"/>
    <row r="215680" s="12" customFormat="1" x14ac:dyDescent="0.25"/>
    <row r="215681" s="12" customFormat="1" x14ac:dyDescent="0.25"/>
    <row r="215682" s="12" customFormat="1" x14ac:dyDescent="0.25"/>
    <row r="215683" s="12" customFormat="1" x14ac:dyDescent="0.25"/>
    <row r="215684" s="12" customFormat="1" x14ac:dyDescent="0.25"/>
    <row r="215685" s="12" customFormat="1" x14ac:dyDescent="0.25"/>
    <row r="215686" s="12" customFormat="1" x14ac:dyDescent="0.25"/>
    <row r="215687" s="12" customFormat="1" x14ac:dyDescent="0.25"/>
    <row r="215688" s="12" customFormat="1" x14ac:dyDescent="0.25"/>
    <row r="215689" s="12" customFormat="1" x14ac:dyDescent="0.25"/>
    <row r="215690" s="12" customFormat="1" x14ac:dyDescent="0.25"/>
    <row r="215691" s="12" customFormat="1" x14ac:dyDescent="0.25"/>
    <row r="215692" s="12" customFormat="1" x14ac:dyDescent="0.25"/>
    <row r="215693" s="12" customFormat="1" x14ac:dyDescent="0.25"/>
    <row r="215694" s="12" customFormat="1" x14ac:dyDescent="0.25"/>
    <row r="215695" s="12" customFormat="1" x14ac:dyDescent="0.25"/>
    <row r="215696" s="12" customFormat="1" x14ac:dyDescent="0.25"/>
    <row r="215697" s="12" customFormat="1" x14ac:dyDescent="0.25"/>
    <row r="215698" s="12" customFormat="1" x14ac:dyDescent="0.25"/>
    <row r="215699" s="12" customFormat="1" x14ac:dyDescent="0.25"/>
    <row r="215700" s="12" customFormat="1" x14ac:dyDescent="0.25"/>
    <row r="215701" s="12" customFormat="1" x14ac:dyDescent="0.25"/>
    <row r="215702" s="12" customFormat="1" x14ac:dyDescent="0.25"/>
    <row r="215703" s="12" customFormat="1" x14ac:dyDescent="0.25"/>
    <row r="215704" s="12" customFormat="1" x14ac:dyDescent="0.25"/>
    <row r="215705" s="12" customFormat="1" x14ac:dyDescent="0.25"/>
    <row r="215706" s="12" customFormat="1" x14ac:dyDescent="0.25"/>
    <row r="215707" s="12" customFormat="1" x14ac:dyDescent="0.25"/>
    <row r="215708" s="12" customFormat="1" x14ac:dyDescent="0.25"/>
    <row r="215709" s="12" customFormat="1" x14ac:dyDescent="0.25"/>
    <row r="215710" s="12" customFormat="1" x14ac:dyDescent="0.25"/>
    <row r="215711" s="12" customFormat="1" x14ac:dyDescent="0.25"/>
    <row r="215712" s="12" customFormat="1" x14ac:dyDescent="0.25"/>
    <row r="215713" s="12" customFormat="1" x14ac:dyDescent="0.25"/>
    <row r="215714" s="12" customFormat="1" x14ac:dyDescent="0.25"/>
    <row r="215715" s="12" customFormat="1" x14ac:dyDescent="0.25"/>
    <row r="215716" s="12" customFormat="1" x14ac:dyDescent="0.25"/>
    <row r="215717" s="12" customFormat="1" x14ac:dyDescent="0.25"/>
    <row r="215718" s="12" customFormat="1" x14ac:dyDescent="0.25"/>
    <row r="215719" s="12" customFormat="1" x14ac:dyDescent="0.25"/>
    <row r="215720" s="12" customFormat="1" x14ac:dyDescent="0.25"/>
    <row r="215721" s="12" customFormat="1" x14ac:dyDescent="0.25"/>
    <row r="215722" s="12" customFormat="1" x14ac:dyDescent="0.25"/>
    <row r="215723" s="12" customFormat="1" x14ac:dyDescent="0.25"/>
    <row r="215724" s="12" customFormat="1" x14ac:dyDescent="0.25"/>
    <row r="215725" s="12" customFormat="1" x14ac:dyDescent="0.25"/>
    <row r="215726" s="12" customFormat="1" x14ac:dyDescent="0.25"/>
    <row r="215727" s="12" customFormat="1" x14ac:dyDescent="0.25"/>
    <row r="215728" s="12" customFormat="1" x14ac:dyDescent="0.25"/>
    <row r="215729" s="12" customFormat="1" x14ac:dyDescent="0.25"/>
    <row r="215730" s="12" customFormat="1" x14ac:dyDescent="0.25"/>
    <row r="215731" s="12" customFormat="1" x14ac:dyDescent="0.25"/>
    <row r="215732" s="12" customFormat="1" x14ac:dyDescent="0.25"/>
    <row r="215733" s="12" customFormat="1" x14ac:dyDescent="0.25"/>
    <row r="215734" s="12" customFormat="1" x14ac:dyDescent="0.25"/>
    <row r="215735" s="12" customFormat="1" x14ac:dyDescent="0.25"/>
    <row r="215736" s="12" customFormat="1" x14ac:dyDescent="0.25"/>
    <row r="215737" s="12" customFormat="1" x14ac:dyDescent="0.25"/>
    <row r="215738" s="12" customFormat="1" x14ac:dyDescent="0.25"/>
    <row r="215739" s="12" customFormat="1" x14ac:dyDescent="0.25"/>
    <row r="215740" s="12" customFormat="1" x14ac:dyDescent="0.25"/>
    <row r="215741" s="12" customFormat="1" x14ac:dyDescent="0.25"/>
    <row r="215742" s="12" customFormat="1" x14ac:dyDescent="0.25"/>
    <row r="215743" s="12" customFormat="1" x14ac:dyDescent="0.25"/>
    <row r="215744" s="12" customFormat="1" x14ac:dyDescent="0.25"/>
    <row r="215745" s="12" customFormat="1" x14ac:dyDescent="0.25"/>
    <row r="215746" s="12" customFormat="1" x14ac:dyDescent="0.25"/>
    <row r="215747" s="12" customFormat="1" x14ac:dyDescent="0.25"/>
    <row r="215748" s="12" customFormat="1" x14ac:dyDescent="0.25"/>
    <row r="215749" s="12" customFormat="1" x14ac:dyDescent="0.25"/>
    <row r="215750" s="12" customFormat="1" x14ac:dyDescent="0.25"/>
    <row r="215751" s="12" customFormat="1" x14ac:dyDescent="0.25"/>
    <row r="215752" s="12" customFormat="1" x14ac:dyDescent="0.25"/>
    <row r="215753" s="12" customFormat="1" x14ac:dyDescent="0.25"/>
    <row r="215754" s="12" customFormat="1" x14ac:dyDescent="0.25"/>
    <row r="215755" s="12" customFormat="1" x14ac:dyDescent="0.25"/>
    <row r="215756" s="12" customFormat="1" x14ac:dyDescent="0.25"/>
    <row r="215757" s="12" customFormat="1" x14ac:dyDescent="0.25"/>
    <row r="215758" s="12" customFormat="1" x14ac:dyDescent="0.25"/>
    <row r="215759" s="12" customFormat="1" x14ac:dyDescent="0.25"/>
    <row r="215760" s="12" customFormat="1" x14ac:dyDescent="0.25"/>
    <row r="215761" s="12" customFormat="1" x14ac:dyDescent="0.25"/>
    <row r="215762" s="12" customFormat="1" x14ac:dyDescent="0.25"/>
    <row r="215763" s="12" customFormat="1" x14ac:dyDescent="0.25"/>
    <row r="215764" s="12" customFormat="1" x14ac:dyDescent="0.25"/>
    <row r="215765" s="12" customFormat="1" x14ac:dyDescent="0.25"/>
    <row r="215766" s="12" customFormat="1" x14ac:dyDescent="0.25"/>
    <row r="215767" s="12" customFormat="1" x14ac:dyDescent="0.25"/>
    <row r="215768" s="12" customFormat="1" x14ac:dyDescent="0.25"/>
    <row r="215769" s="12" customFormat="1" x14ac:dyDescent="0.25"/>
    <row r="215770" s="12" customFormat="1" x14ac:dyDescent="0.25"/>
    <row r="215771" s="12" customFormat="1" x14ac:dyDescent="0.25"/>
    <row r="215772" s="12" customFormat="1" x14ac:dyDescent="0.25"/>
    <row r="215773" s="12" customFormat="1" x14ac:dyDescent="0.25"/>
    <row r="215774" s="12" customFormat="1" x14ac:dyDescent="0.25"/>
    <row r="215775" s="12" customFormat="1" x14ac:dyDescent="0.25"/>
    <row r="215776" s="12" customFormat="1" x14ac:dyDescent="0.25"/>
    <row r="215777" s="12" customFormat="1" x14ac:dyDescent="0.25"/>
    <row r="215778" s="12" customFormat="1" x14ac:dyDescent="0.25"/>
    <row r="215779" s="12" customFormat="1" x14ac:dyDescent="0.25"/>
    <row r="215780" s="12" customFormat="1" x14ac:dyDescent="0.25"/>
    <row r="215781" s="12" customFormat="1" x14ac:dyDescent="0.25"/>
    <row r="215782" s="12" customFormat="1" x14ac:dyDescent="0.25"/>
    <row r="215783" s="12" customFormat="1" x14ac:dyDescent="0.25"/>
    <row r="215784" s="12" customFormat="1" x14ac:dyDescent="0.25"/>
    <row r="215785" s="12" customFormat="1" x14ac:dyDescent="0.25"/>
    <row r="215786" s="12" customFormat="1" x14ac:dyDescent="0.25"/>
    <row r="215787" s="12" customFormat="1" x14ac:dyDescent="0.25"/>
    <row r="215788" s="12" customFormat="1" x14ac:dyDescent="0.25"/>
    <row r="215789" s="12" customFormat="1" x14ac:dyDescent="0.25"/>
    <row r="215790" s="12" customFormat="1" x14ac:dyDescent="0.25"/>
    <row r="215791" s="12" customFormat="1" x14ac:dyDescent="0.25"/>
    <row r="215792" s="12" customFormat="1" x14ac:dyDescent="0.25"/>
    <row r="215793" s="12" customFormat="1" x14ac:dyDescent="0.25"/>
    <row r="215794" s="12" customFormat="1" x14ac:dyDescent="0.25"/>
    <row r="215795" s="12" customFormat="1" x14ac:dyDescent="0.25"/>
    <row r="215796" s="12" customFormat="1" x14ac:dyDescent="0.25"/>
    <row r="215797" s="12" customFormat="1" x14ac:dyDescent="0.25"/>
    <row r="215798" s="12" customFormat="1" x14ac:dyDescent="0.25"/>
    <row r="215799" s="12" customFormat="1" x14ac:dyDescent="0.25"/>
    <row r="215800" s="12" customFormat="1" x14ac:dyDescent="0.25"/>
    <row r="215801" s="12" customFormat="1" x14ac:dyDescent="0.25"/>
    <row r="215802" s="12" customFormat="1" x14ac:dyDescent="0.25"/>
    <row r="215803" s="12" customFormat="1" x14ac:dyDescent="0.25"/>
    <row r="215804" s="12" customFormat="1" x14ac:dyDescent="0.25"/>
    <row r="215805" s="12" customFormat="1" x14ac:dyDescent="0.25"/>
    <row r="215806" s="12" customFormat="1" x14ac:dyDescent="0.25"/>
    <row r="215807" s="12" customFormat="1" x14ac:dyDescent="0.25"/>
    <row r="215808" s="12" customFormat="1" x14ac:dyDescent="0.25"/>
    <row r="215809" s="12" customFormat="1" x14ac:dyDescent="0.25"/>
    <row r="215810" s="12" customFormat="1" x14ac:dyDescent="0.25"/>
    <row r="215811" s="12" customFormat="1" x14ac:dyDescent="0.25"/>
    <row r="215812" s="12" customFormat="1" x14ac:dyDescent="0.25"/>
    <row r="215813" s="12" customFormat="1" x14ac:dyDescent="0.25"/>
    <row r="215814" s="12" customFormat="1" x14ac:dyDescent="0.25"/>
    <row r="215815" s="12" customFormat="1" x14ac:dyDescent="0.25"/>
    <row r="215816" s="12" customFormat="1" x14ac:dyDescent="0.25"/>
    <row r="215817" s="12" customFormat="1" x14ac:dyDescent="0.25"/>
    <row r="215818" s="12" customFormat="1" x14ac:dyDescent="0.25"/>
    <row r="215819" s="12" customFormat="1" x14ac:dyDescent="0.25"/>
    <row r="215820" s="12" customFormat="1" x14ac:dyDescent="0.25"/>
    <row r="215821" s="12" customFormat="1" x14ac:dyDescent="0.25"/>
    <row r="215822" s="12" customFormat="1" x14ac:dyDescent="0.25"/>
    <row r="215823" s="12" customFormat="1" x14ac:dyDescent="0.25"/>
    <row r="215824" s="12" customFormat="1" x14ac:dyDescent="0.25"/>
    <row r="215825" s="12" customFormat="1" x14ac:dyDescent="0.25"/>
    <row r="215826" s="12" customFormat="1" x14ac:dyDescent="0.25"/>
    <row r="215827" s="12" customFormat="1" x14ac:dyDescent="0.25"/>
    <row r="215828" s="12" customFormat="1" x14ac:dyDescent="0.25"/>
    <row r="215829" s="12" customFormat="1" x14ac:dyDescent="0.25"/>
    <row r="215830" s="12" customFormat="1" x14ac:dyDescent="0.25"/>
    <row r="215831" s="12" customFormat="1" x14ac:dyDescent="0.25"/>
    <row r="215832" s="12" customFormat="1" x14ac:dyDescent="0.25"/>
    <row r="215833" s="12" customFormat="1" x14ac:dyDescent="0.25"/>
    <row r="215834" s="12" customFormat="1" x14ac:dyDescent="0.25"/>
    <row r="215835" s="12" customFormat="1" x14ac:dyDescent="0.25"/>
    <row r="215836" s="12" customFormat="1" x14ac:dyDescent="0.25"/>
    <row r="215837" s="12" customFormat="1" x14ac:dyDescent="0.25"/>
    <row r="215838" s="12" customFormat="1" x14ac:dyDescent="0.25"/>
    <row r="215839" s="12" customFormat="1" x14ac:dyDescent="0.25"/>
    <row r="215840" s="12" customFormat="1" x14ac:dyDescent="0.25"/>
    <row r="215841" s="12" customFormat="1" x14ac:dyDescent="0.25"/>
    <row r="215842" s="12" customFormat="1" x14ac:dyDescent="0.25"/>
    <row r="215843" s="12" customFormat="1" x14ac:dyDescent="0.25"/>
    <row r="215844" s="12" customFormat="1" x14ac:dyDescent="0.25"/>
    <row r="215845" s="12" customFormat="1" x14ac:dyDescent="0.25"/>
    <row r="215846" s="12" customFormat="1" x14ac:dyDescent="0.25"/>
    <row r="215847" s="12" customFormat="1" x14ac:dyDescent="0.25"/>
    <row r="215848" s="12" customFormat="1" x14ac:dyDescent="0.25"/>
    <row r="215849" s="12" customFormat="1" x14ac:dyDescent="0.25"/>
    <row r="215850" s="12" customFormat="1" x14ac:dyDescent="0.25"/>
    <row r="215851" s="12" customFormat="1" x14ac:dyDescent="0.25"/>
    <row r="215852" s="12" customFormat="1" x14ac:dyDescent="0.25"/>
    <row r="215853" s="12" customFormat="1" x14ac:dyDescent="0.25"/>
    <row r="215854" s="12" customFormat="1" x14ac:dyDescent="0.25"/>
    <row r="215855" s="12" customFormat="1" x14ac:dyDescent="0.25"/>
    <row r="215856" s="12" customFormat="1" x14ac:dyDescent="0.25"/>
    <row r="215857" s="12" customFormat="1" x14ac:dyDescent="0.25"/>
    <row r="215858" s="12" customFormat="1" x14ac:dyDescent="0.25"/>
    <row r="215859" s="12" customFormat="1" x14ac:dyDescent="0.25"/>
    <row r="215860" s="12" customFormat="1" x14ac:dyDescent="0.25"/>
    <row r="215861" s="12" customFormat="1" x14ac:dyDescent="0.25"/>
    <row r="215862" s="12" customFormat="1" x14ac:dyDescent="0.25"/>
    <row r="215863" s="12" customFormat="1" x14ac:dyDescent="0.25"/>
    <row r="215864" s="12" customFormat="1" x14ac:dyDescent="0.25"/>
    <row r="215865" s="12" customFormat="1" x14ac:dyDescent="0.25"/>
    <row r="215866" s="12" customFormat="1" x14ac:dyDescent="0.25"/>
    <row r="215867" s="12" customFormat="1" x14ac:dyDescent="0.25"/>
    <row r="215868" s="12" customFormat="1" x14ac:dyDescent="0.25"/>
    <row r="215869" s="12" customFormat="1" x14ac:dyDescent="0.25"/>
    <row r="215870" s="12" customFormat="1" x14ac:dyDescent="0.25"/>
    <row r="215871" s="12" customFormat="1" x14ac:dyDescent="0.25"/>
    <row r="215872" s="12" customFormat="1" x14ac:dyDescent="0.25"/>
    <row r="215873" s="12" customFormat="1" x14ac:dyDescent="0.25"/>
    <row r="215874" s="12" customFormat="1" x14ac:dyDescent="0.25"/>
    <row r="215875" s="12" customFormat="1" x14ac:dyDescent="0.25"/>
    <row r="215876" s="12" customFormat="1" x14ac:dyDescent="0.25"/>
    <row r="215877" s="12" customFormat="1" x14ac:dyDescent="0.25"/>
    <row r="215878" s="12" customFormat="1" x14ac:dyDescent="0.25"/>
    <row r="215879" s="12" customFormat="1" x14ac:dyDescent="0.25"/>
    <row r="215880" s="12" customFormat="1" x14ac:dyDescent="0.25"/>
    <row r="215881" s="12" customFormat="1" x14ac:dyDescent="0.25"/>
    <row r="215882" s="12" customFormat="1" x14ac:dyDescent="0.25"/>
    <row r="215883" s="12" customFormat="1" x14ac:dyDescent="0.25"/>
    <row r="215884" s="12" customFormat="1" x14ac:dyDescent="0.25"/>
    <row r="215885" s="12" customFormat="1" x14ac:dyDescent="0.25"/>
    <row r="215886" s="12" customFormat="1" x14ac:dyDescent="0.25"/>
    <row r="215887" s="12" customFormat="1" x14ac:dyDescent="0.25"/>
    <row r="215888" s="12" customFormat="1" x14ac:dyDescent="0.25"/>
    <row r="215889" s="12" customFormat="1" x14ac:dyDescent="0.25"/>
    <row r="215890" s="12" customFormat="1" x14ac:dyDescent="0.25"/>
    <row r="215891" s="12" customFormat="1" x14ac:dyDescent="0.25"/>
    <row r="215892" s="12" customFormat="1" x14ac:dyDescent="0.25"/>
    <row r="215893" s="12" customFormat="1" x14ac:dyDescent="0.25"/>
    <row r="215894" s="12" customFormat="1" x14ac:dyDescent="0.25"/>
    <row r="215895" s="12" customFormat="1" x14ac:dyDescent="0.25"/>
    <row r="215896" s="12" customFormat="1" x14ac:dyDescent="0.25"/>
    <row r="215897" s="12" customFormat="1" x14ac:dyDescent="0.25"/>
    <row r="215898" s="12" customFormat="1" x14ac:dyDescent="0.25"/>
    <row r="215899" s="12" customFormat="1" x14ac:dyDescent="0.25"/>
    <row r="215900" s="12" customFormat="1" x14ac:dyDescent="0.25"/>
    <row r="215901" s="12" customFormat="1" x14ac:dyDescent="0.25"/>
    <row r="215902" s="12" customFormat="1" x14ac:dyDescent="0.25"/>
    <row r="215903" s="12" customFormat="1" x14ac:dyDescent="0.25"/>
    <row r="215904" s="12" customFormat="1" x14ac:dyDescent="0.25"/>
    <row r="215905" s="12" customFormat="1" x14ac:dyDescent="0.25"/>
    <row r="215906" s="12" customFormat="1" x14ac:dyDescent="0.25"/>
    <row r="215907" s="12" customFormat="1" x14ac:dyDescent="0.25"/>
    <row r="215908" s="12" customFormat="1" x14ac:dyDescent="0.25"/>
    <row r="215909" s="12" customFormat="1" x14ac:dyDescent="0.25"/>
    <row r="215910" s="12" customFormat="1" x14ac:dyDescent="0.25"/>
    <row r="215911" s="12" customFormat="1" x14ac:dyDescent="0.25"/>
    <row r="215912" s="12" customFormat="1" x14ac:dyDescent="0.25"/>
    <row r="215913" s="12" customFormat="1" x14ac:dyDescent="0.25"/>
    <row r="215914" s="12" customFormat="1" x14ac:dyDescent="0.25"/>
    <row r="215915" s="12" customFormat="1" x14ac:dyDescent="0.25"/>
    <row r="215916" s="12" customFormat="1" x14ac:dyDescent="0.25"/>
    <row r="215917" s="12" customFormat="1" x14ac:dyDescent="0.25"/>
    <row r="215918" s="12" customFormat="1" x14ac:dyDescent="0.25"/>
    <row r="215919" s="12" customFormat="1" x14ac:dyDescent="0.25"/>
    <row r="215920" s="12" customFormat="1" x14ac:dyDescent="0.25"/>
    <row r="215921" s="12" customFormat="1" x14ac:dyDescent="0.25"/>
    <row r="215922" s="12" customFormat="1" x14ac:dyDescent="0.25"/>
    <row r="215923" s="12" customFormat="1" x14ac:dyDescent="0.25"/>
    <row r="215924" s="12" customFormat="1" x14ac:dyDescent="0.25"/>
    <row r="215925" s="12" customFormat="1" x14ac:dyDescent="0.25"/>
    <row r="215926" s="12" customFormat="1" x14ac:dyDescent="0.25"/>
    <row r="215927" s="12" customFormat="1" x14ac:dyDescent="0.25"/>
    <row r="215928" s="12" customFormat="1" x14ac:dyDescent="0.25"/>
    <row r="215929" s="12" customFormat="1" x14ac:dyDescent="0.25"/>
    <row r="215930" s="12" customFormat="1" x14ac:dyDescent="0.25"/>
    <row r="215931" s="12" customFormat="1" x14ac:dyDescent="0.25"/>
    <row r="215932" s="12" customFormat="1" x14ac:dyDescent="0.25"/>
    <row r="215933" s="12" customFormat="1" x14ac:dyDescent="0.25"/>
    <row r="215934" s="12" customFormat="1" x14ac:dyDescent="0.25"/>
    <row r="215935" s="12" customFormat="1" x14ac:dyDescent="0.25"/>
    <row r="215936" s="12" customFormat="1" x14ac:dyDescent="0.25"/>
    <row r="215937" s="12" customFormat="1" x14ac:dyDescent="0.25"/>
    <row r="215938" s="12" customFormat="1" x14ac:dyDescent="0.25"/>
    <row r="215939" s="12" customFormat="1" x14ac:dyDescent="0.25"/>
    <row r="215940" s="12" customFormat="1" x14ac:dyDescent="0.25"/>
    <row r="215941" s="12" customFormat="1" x14ac:dyDescent="0.25"/>
    <row r="215942" s="12" customFormat="1" x14ac:dyDescent="0.25"/>
    <row r="215943" s="12" customFormat="1" x14ac:dyDescent="0.25"/>
    <row r="215944" s="12" customFormat="1" x14ac:dyDescent="0.25"/>
    <row r="215945" s="12" customFormat="1" x14ac:dyDescent="0.25"/>
    <row r="215946" s="12" customFormat="1" x14ac:dyDescent="0.25"/>
    <row r="215947" s="12" customFormat="1" x14ac:dyDescent="0.25"/>
    <row r="215948" s="12" customFormat="1" x14ac:dyDescent="0.25"/>
    <row r="215949" s="12" customFormat="1" x14ac:dyDescent="0.25"/>
    <row r="215950" s="12" customFormat="1" x14ac:dyDescent="0.25"/>
    <row r="215951" s="12" customFormat="1" x14ac:dyDescent="0.25"/>
    <row r="215952" s="12" customFormat="1" x14ac:dyDescent="0.25"/>
    <row r="215953" s="12" customFormat="1" x14ac:dyDescent="0.25"/>
    <row r="215954" s="12" customFormat="1" x14ac:dyDescent="0.25"/>
    <row r="215955" s="12" customFormat="1" x14ac:dyDescent="0.25"/>
    <row r="215956" s="12" customFormat="1" x14ac:dyDescent="0.25"/>
    <row r="215957" s="12" customFormat="1" x14ac:dyDescent="0.25"/>
    <row r="215958" s="12" customFormat="1" x14ac:dyDescent="0.25"/>
    <row r="215959" s="12" customFormat="1" x14ac:dyDescent="0.25"/>
    <row r="215960" s="12" customFormat="1" x14ac:dyDescent="0.25"/>
    <row r="215961" s="12" customFormat="1" x14ac:dyDescent="0.25"/>
    <row r="215962" s="12" customFormat="1" x14ac:dyDescent="0.25"/>
    <row r="215963" s="12" customFormat="1" x14ac:dyDescent="0.25"/>
    <row r="215964" s="12" customFormat="1" x14ac:dyDescent="0.25"/>
    <row r="215965" s="12" customFormat="1" x14ac:dyDescent="0.25"/>
    <row r="215966" s="12" customFormat="1" x14ac:dyDescent="0.25"/>
    <row r="215967" s="12" customFormat="1" x14ac:dyDescent="0.25"/>
    <row r="215968" s="12" customFormat="1" x14ac:dyDescent="0.25"/>
    <row r="215969" s="12" customFormat="1" x14ac:dyDescent="0.25"/>
    <row r="215970" s="12" customFormat="1" x14ac:dyDescent="0.25"/>
    <row r="215971" s="12" customFormat="1" x14ac:dyDescent="0.25"/>
    <row r="215972" s="12" customFormat="1" x14ac:dyDescent="0.25"/>
    <row r="215973" s="12" customFormat="1" x14ac:dyDescent="0.25"/>
    <row r="215974" s="12" customFormat="1" x14ac:dyDescent="0.25"/>
    <row r="215975" s="12" customFormat="1" x14ac:dyDescent="0.25"/>
    <row r="215976" s="12" customFormat="1" x14ac:dyDescent="0.25"/>
    <row r="215977" s="12" customFormat="1" x14ac:dyDescent="0.25"/>
    <row r="215978" s="12" customFormat="1" x14ac:dyDescent="0.25"/>
    <row r="215979" s="12" customFormat="1" x14ac:dyDescent="0.25"/>
    <row r="215980" s="12" customFormat="1" x14ac:dyDescent="0.25"/>
    <row r="215981" s="12" customFormat="1" x14ac:dyDescent="0.25"/>
    <row r="215982" s="12" customFormat="1" x14ac:dyDescent="0.25"/>
    <row r="215983" s="12" customFormat="1" x14ac:dyDescent="0.25"/>
    <row r="215984" s="12" customFormat="1" x14ac:dyDescent="0.25"/>
    <row r="215985" s="12" customFormat="1" x14ac:dyDescent="0.25"/>
    <row r="215986" s="12" customFormat="1" x14ac:dyDescent="0.25"/>
    <row r="215987" s="12" customFormat="1" x14ac:dyDescent="0.25"/>
    <row r="215988" s="12" customFormat="1" x14ac:dyDescent="0.25"/>
    <row r="215989" s="12" customFormat="1" x14ac:dyDescent="0.25"/>
    <row r="215990" s="12" customFormat="1" x14ac:dyDescent="0.25"/>
    <row r="215991" s="12" customFormat="1" x14ac:dyDescent="0.25"/>
    <row r="215992" s="12" customFormat="1" x14ac:dyDescent="0.25"/>
    <row r="215993" s="12" customFormat="1" x14ac:dyDescent="0.25"/>
    <row r="215994" s="12" customFormat="1" x14ac:dyDescent="0.25"/>
    <row r="215995" s="12" customFormat="1" x14ac:dyDescent="0.25"/>
    <row r="215996" s="12" customFormat="1" x14ac:dyDescent="0.25"/>
    <row r="215997" s="12" customFormat="1" x14ac:dyDescent="0.25"/>
    <row r="215998" s="12" customFormat="1" x14ac:dyDescent="0.25"/>
    <row r="215999" s="12" customFormat="1" x14ac:dyDescent="0.25"/>
    <row r="216000" s="12" customFormat="1" x14ac:dyDescent="0.25"/>
    <row r="216001" s="12" customFormat="1" x14ac:dyDescent="0.25"/>
    <row r="216002" s="12" customFormat="1" x14ac:dyDescent="0.25"/>
    <row r="216003" s="12" customFormat="1" x14ac:dyDescent="0.25"/>
    <row r="216004" s="12" customFormat="1" x14ac:dyDescent="0.25"/>
    <row r="216005" s="12" customFormat="1" x14ac:dyDescent="0.25"/>
    <row r="216006" s="12" customFormat="1" x14ac:dyDescent="0.25"/>
    <row r="216007" s="12" customFormat="1" x14ac:dyDescent="0.25"/>
    <row r="216008" s="12" customFormat="1" x14ac:dyDescent="0.25"/>
    <row r="216009" s="12" customFormat="1" x14ac:dyDescent="0.25"/>
    <row r="216010" s="12" customFormat="1" x14ac:dyDescent="0.25"/>
    <row r="216011" s="12" customFormat="1" x14ac:dyDescent="0.25"/>
    <row r="216012" s="12" customFormat="1" x14ac:dyDescent="0.25"/>
    <row r="216013" s="12" customFormat="1" x14ac:dyDescent="0.25"/>
    <row r="216014" s="12" customFormat="1" x14ac:dyDescent="0.25"/>
    <row r="216015" s="12" customFormat="1" x14ac:dyDescent="0.25"/>
    <row r="216016" s="12" customFormat="1" x14ac:dyDescent="0.25"/>
    <row r="216017" s="12" customFormat="1" x14ac:dyDescent="0.25"/>
    <row r="216018" s="12" customFormat="1" x14ac:dyDescent="0.25"/>
    <row r="216019" s="12" customFormat="1" x14ac:dyDescent="0.25"/>
    <row r="216020" s="12" customFormat="1" x14ac:dyDescent="0.25"/>
    <row r="216021" s="12" customFormat="1" x14ac:dyDescent="0.25"/>
    <row r="216022" s="12" customFormat="1" x14ac:dyDescent="0.25"/>
    <row r="216023" s="12" customFormat="1" x14ac:dyDescent="0.25"/>
    <row r="216024" s="12" customFormat="1" x14ac:dyDescent="0.25"/>
    <row r="216025" s="12" customFormat="1" x14ac:dyDescent="0.25"/>
    <row r="216026" s="12" customFormat="1" x14ac:dyDescent="0.25"/>
    <row r="216027" s="12" customFormat="1" x14ac:dyDescent="0.25"/>
    <row r="216028" s="12" customFormat="1" x14ac:dyDescent="0.25"/>
    <row r="216029" s="12" customFormat="1" x14ac:dyDescent="0.25"/>
    <row r="216030" s="12" customFormat="1" x14ac:dyDescent="0.25"/>
    <row r="216031" s="12" customFormat="1" x14ac:dyDescent="0.25"/>
    <row r="216032" s="12" customFormat="1" x14ac:dyDescent="0.25"/>
    <row r="216033" s="12" customFormat="1" x14ac:dyDescent="0.25"/>
    <row r="216034" s="12" customFormat="1" x14ac:dyDescent="0.25"/>
    <row r="216035" s="12" customFormat="1" x14ac:dyDescent="0.25"/>
    <row r="216036" s="12" customFormat="1" x14ac:dyDescent="0.25"/>
    <row r="216037" s="12" customFormat="1" x14ac:dyDescent="0.25"/>
    <row r="216038" s="12" customFormat="1" x14ac:dyDescent="0.25"/>
    <row r="216039" s="12" customFormat="1" x14ac:dyDescent="0.25"/>
    <row r="216040" s="12" customFormat="1" x14ac:dyDescent="0.25"/>
    <row r="216041" s="12" customFormat="1" x14ac:dyDescent="0.25"/>
    <row r="216042" s="12" customFormat="1" x14ac:dyDescent="0.25"/>
    <row r="216043" s="12" customFormat="1" x14ac:dyDescent="0.25"/>
    <row r="216044" s="12" customFormat="1" x14ac:dyDescent="0.25"/>
    <row r="216045" s="12" customFormat="1" x14ac:dyDescent="0.25"/>
    <row r="216046" s="12" customFormat="1" x14ac:dyDescent="0.25"/>
    <row r="216047" s="12" customFormat="1" x14ac:dyDescent="0.25"/>
    <row r="216048" s="12" customFormat="1" x14ac:dyDescent="0.25"/>
    <row r="216049" s="12" customFormat="1" x14ac:dyDescent="0.25"/>
    <row r="216050" s="12" customFormat="1" x14ac:dyDescent="0.25"/>
    <row r="216051" s="12" customFormat="1" x14ac:dyDescent="0.25"/>
    <row r="216052" s="12" customFormat="1" x14ac:dyDescent="0.25"/>
    <row r="216053" s="12" customFormat="1" x14ac:dyDescent="0.25"/>
    <row r="216054" s="12" customFormat="1" x14ac:dyDescent="0.25"/>
    <row r="216055" s="12" customFormat="1" x14ac:dyDescent="0.25"/>
    <row r="216056" s="12" customFormat="1" x14ac:dyDescent="0.25"/>
    <row r="216057" s="12" customFormat="1" x14ac:dyDescent="0.25"/>
    <row r="216058" s="12" customFormat="1" x14ac:dyDescent="0.25"/>
    <row r="216059" s="12" customFormat="1" x14ac:dyDescent="0.25"/>
    <row r="216060" s="12" customFormat="1" x14ac:dyDescent="0.25"/>
    <row r="216061" s="12" customFormat="1" x14ac:dyDescent="0.25"/>
    <row r="216062" s="12" customFormat="1" x14ac:dyDescent="0.25"/>
    <row r="216063" s="12" customFormat="1" x14ac:dyDescent="0.25"/>
    <row r="216064" s="12" customFormat="1" x14ac:dyDescent="0.25"/>
    <row r="216065" s="12" customFormat="1" x14ac:dyDescent="0.25"/>
    <row r="216066" s="12" customFormat="1" x14ac:dyDescent="0.25"/>
    <row r="216067" s="12" customFormat="1" x14ac:dyDescent="0.25"/>
    <row r="216068" s="12" customFormat="1" x14ac:dyDescent="0.25"/>
    <row r="216069" s="12" customFormat="1" x14ac:dyDescent="0.25"/>
    <row r="216070" s="12" customFormat="1" x14ac:dyDescent="0.25"/>
    <row r="216071" s="12" customFormat="1" x14ac:dyDescent="0.25"/>
    <row r="216072" s="12" customFormat="1" x14ac:dyDescent="0.25"/>
    <row r="216073" s="12" customFormat="1" x14ac:dyDescent="0.25"/>
    <row r="216074" s="12" customFormat="1" x14ac:dyDescent="0.25"/>
    <row r="216075" s="12" customFormat="1" x14ac:dyDescent="0.25"/>
    <row r="216076" s="12" customFormat="1" x14ac:dyDescent="0.25"/>
    <row r="216077" s="12" customFormat="1" x14ac:dyDescent="0.25"/>
    <row r="216078" s="12" customFormat="1" x14ac:dyDescent="0.25"/>
    <row r="216079" s="12" customFormat="1" x14ac:dyDescent="0.25"/>
    <row r="216080" s="12" customFormat="1" x14ac:dyDescent="0.25"/>
    <row r="216081" s="12" customFormat="1" x14ac:dyDescent="0.25"/>
    <row r="216082" s="12" customFormat="1" x14ac:dyDescent="0.25"/>
    <row r="216083" s="12" customFormat="1" x14ac:dyDescent="0.25"/>
    <row r="216084" s="12" customFormat="1" x14ac:dyDescent="0.25"/>
    <row r="216085" s="12" customFormat="1" x14ac:dyDescent="0.25"/>
    <row r="216086" s="12" customFormat="1" x14ac:dyDescent="0.25"/>
    <row r="216087" s="12" customFormat="1" x14ac:dyDescent="0.25"/>
    <row r="216088" s="12" customFormat="1" x14ac:dyDescent="0.25"/>
    <row r="216089" s="12" customFormat="1" x14ac:dyDescent="0.25"/>
    <row r="216090" s="12" customFormat="1" x14ac:dyDescent="0.25"/>
    <row r="216091" s="12" customFormat="1" x14ac:dyDescent="0.25"/>
    <row r="216092" s="12" customFormat="1" x14ac:dyDescent="0.25"/>
    <row r="216093" s="12" customFormat="1" x14ac:dyDescent="0.25"/>
    <row r="216094" s="12" customFormat="1" x14ac:dyDescent="0.25"/>
    <row r="216095" s="12" customFormat="1" x14ac:dyDescent="0.25"/>
    <row r="216096" s="12" customFormat="1" x14ac:dyDescent="0.25"/>
    <row r="216097" s="12" customFormat="1" x14ac:dyDescent="0.25"/>
    <row r="216098" s="12" customFormat="1" x14ac:dyDescent="0.25"/>
    <row r="216099" s="12" customFormat="1" x14ac:dyDescent="0.25"/>
    <row r="216100" s="12" customFormat="1" x14ac:dyDescent="0.25"/>
    <row r="216101" s="12" customFormat="1" x14ac:dyDescent="0.25"/>
    <row r="216102" s="12" customFormat="1" x14ac:dyDescent="0.25"/>
    <row r="216103" s="12" customFormat="1" x14ac:dyDescent="0.25"/>
    <row r="216104" s="12" customFormat="1" x14ac:dyDescent="0.25"/>
    <row r="216105" s="12" customFormat="1" x14ac:dyDescent="0.25"/>
    <row r="216106" s="12" customFormat="1" x14ac:dyDescent="0.25"/>
    <row r="216107" s="12" customFormat="1" x14ac:dyDescent="0.25"/>
    <row r="216108" s="12" customFormat="1" x14ac:dyDescent="0.25"/>
    <row r="216109" s="12" customFormat="1" x14ac:dyDescent="0.25"/>
    <row r="216110" s="12" customFormat="1" x14ac:dyDescent="0.25"/>
    <row r="216111" s="12" customFormat="1" x14ac:dyDescent="0.25"/>
    <row r="216112" s="12" customFormat="1" x14ac:dyDescent="0.25"/>
    <row r="216113" s="12" customFormat="1" x14ac:dyDescent="0.25"/>
    <row r="216114" s="12" customFormat="1" x14ac:dyDescent="0.25"/>
    <row r="216115" s="12" customFormat="1" x14ac:dyDescent="0.25"/>
    <row r="216116" s="12" customFormat="1" x14ac:dyDescent="0.25"/>
    <row r="216117" s="12" customFormat="1" x14ac:dyDescent="0.25"/>
    <row r="216118" s="12" customFormat="1" x14ac:dyDescent="0.25"/>
    <row r="216119" s="12" customFormat="1" x14ac:dyDescent="0.25"/>
    <row r="216120" s="12" customFormat="1" x14ac:dyDescent="0.25"/>
    <row r="216121" s="12" customFormat="1" x14ac:dyDescent="0.25"/>
    <row r="216122" s="12" customFormat="1" x14ac:dyDescent="0.25"/>
    <row r="216123" s="12" customFormat="1" x14ac:dyDescent="0.25"/>
    <row r="216124" s="12" customFormat="1" x14ac:dyDescent="0.25"/>
    <row r="216125" s="12" customFormat="1" x14ac:dyDescent="0.25"/>
    <row r="216126" s="12" customFormat="1" x14ac:dyDescent="0.25"/>
    <row r="216127" s="12" customFormat="1" x14ac:dyDescent="0.25"/>
    <row r="216128" s="12" customFormat="1" x14ac:dyDescent="0.25"/>
    <row r="216129" s="12" customFormat="1" x14ac:dyDescent="0.25"/>
    <row r="216130" s="12" customFormat="1" x14ac:dyDescent="0.25"/>
    <row r="216131" s="12" customFormat="1" x14ac:dyDescent="0.25"/>
    <row r="216132" s="12" customFormat="1" x14ac:dyDescent="0.25"/>
    <row r="216133" s="12" customFormat="1" x14ac:dyDescent="0.25"/>
    <row r="216134" s="12" customFormat="1" x14ac:dyDescent="0.25"/>
    <row r="216135" s="12" customFormat="1" x14ac:dyDescent="0.25"/>
    <row r="216136" s="12" customFormat="1" x14ac:dyDescent="0.25"/>
    <row r="216137" s="12" customFormat="1" x14ac:dyDescent="0.25"/>
    <row r="216138" s="12" customFormat="1" x14ac:dyDescent="0.25"/>
    <row r="216139" s="12" customFormat="1" x14ac:dyDescent="0.25"/>
    <row r="216140" s="12" customFormat="1" x14ac:dyDescent="0.25"/>
    <row r="216141" s="12" customFormat="1" x14ac:dyDescent="0.25"/>
    <row r="216142" s="12" customFormat="1" x14ac:dyDescent="0.25"/>
    <row r="216143" s="12" customFormat="1" x14ac:dyDescent="0.25"/>
    <row r="216144" s="12" customFormat="1" x14ac:dyDescent="0.25"/>
    <row r="216145" s="12" customFormat="1" x14ac:dyDescent="0.25"/>
    <row r="216146" s="12" customFormat="1" x14ac:dyDescent="0.25"/>
    <row r="216147" s="12" customFormat="1" x14ac:dyDescent="0.25"/>
    <row r="216148" s="12" customFormat="1" x14ac:dyDescent="0.25"/>
    <row r="216149" s="12" customFormat="1" x14ac:dyDescent="0.25"/>
    <row r="216150" s="12" customFormat="1" x14ac:dyDescent="0.25"/>
    <row r="216151" s="12" customFormat="1" x14ac:dyDescent="0.25"/>
    <row r="216152" s="12" customFormat="1" x14ac:dyDescent="0.25"/>
    <row r="216153" s="12" customFormat="1" x14ac:dyDescent="0.25"/>
    <row r="216154" s="12" customFormat="1" x14ac:dyDescent="0.25"/>
    <row r="216155" s="12" customFormat="1" x14ac:dyDescent="0.25"/>
    <row r="216156" s="12" customFormat="1" x14ac:dyDescent="0.25"/>
    <row r="216157" s="12" customFormat="1" x14ac:dyDescent="0.25"/>
    <row r="216158" s="12" customFormat="1" x14ac:dyDescent="0.25"/>
    <row r="216159" s="12" customFormat="1" x14ac:dyDescent="0.25"/>
    <row r="216160" s="12" customFormat="1" x14ac:dyDescent="0.25"/>
    <row r="216161" s="12" customFormat="1" x14ac:dyDescent="0.25"/>
    <row r="216162" s="12" customFormat="1" x14ac:dyDescent="0.25"/>
    <row r="216163" s="12" customFormat="1" x14ac:dyDescent="0.25"/>
    <row r="216164" s="12" customFormat="1" x14ac:dyDescent="0.25"/>
    <row r="216165" s="12" customFormat="1" x14ac:dyDescent="0.25"/>
    <row r="216166" s="12" customFormat="1" x14ac:dyDescent="0.25"/>
    <row r="216167" s="12" customFormat="1" x14ac:dyDescent="0.25"/>
    <row r="216168" s="12" customFormat="1" x14ac:dyDescent="0.25"/>
    <row r="216169" s="12" customFormat="1" x14ac:dyDescent="0.25"/>
    <row r="216170" s="12" customFormat="1" x14ac:dyDescent="0.25"/>
    <row r="216171" s="12" customFormat="1" x14ac:dyDescent="0.25"/>
    <row r="216172" s="12" customFormat="1" x14ac:dyDescent="0.25"/>
    <row r="216173" s="12" customFormat="1" x14ac:dyDescent="0.25"/>
    <row r="216174" s="12" customFormat="1" x14ac:dyDescent="0.25"/>
    <row r="216175" s="12" customFormat="1" x14ac:dyDescent="0.25"/>
    <row r="216176" s="12" customFormat="1" x14ac:dyDescent="0.25"/>
    <row r="216177" s="12" customFormat="1" x14ac:dyDescent="0.25"/>
    <row r="216178" s="12" customFormat="1" x14ac:dyDescent="0.25"/>
    <row r="216179" s="12" customFormat="1" x14ac:dyDescent="0.25"/>
    <row r="216180" s="12" customFormat="1" x14ac:dyDescent="0.25"/>
    <row r="216181" s="12" customFormat="1" x14ac:dyDescent="0.25"/>
    <row r="216182" s="12" customFormat="1" x14ac:dyDescent="0.25"/>
    <row r="216183" s="12" customFormat="1" x14ac:dyDescent="0.25"/>
    <row r="216184" s="12" customFormat="1" x14ac:dyDescent="0.25"/>
    <row r="216185" s="12" customFormat="1" x14ac:dyDescent="0.25"/>
    <row r="216186" s="12" customFormat="1" x14ac:dyDescent="0.25"/>
    <row r="216187" s="12" customFormat="1" x14ac:dyDescent="0.25"/>
    <row r="216188" s="12" customFormat="1" x14ac:dyDescent="0.25"/>
    <row r="216189" s="12" customFormat="1" x14ac:dyDescent="0.25"/>
    <row r="216190" s="12" customFormat="1" x14ac:dyDescent="0.25"/>
    <row r="216191" s="12" customFormat="1" x14ac:dyDescent="0.25"/>
    <row r="216192" s="12" customFormat="1" x14ac:dyDescent="0.25"/>
    <row r="216193" s="12" customFormat="1" x14ac:dyDescent="0.25"/>
    <row r="216194" s="12" customFormat="1" x14ac:dyDescent="0.25"/>
    <row r="216195" s="12" customFormat="1" x14ac:dyDescent="0.25"/>
    <row r="216196" s="12" customFormat="1" x14ac:dyDescent="0.25"/>
    <row r="216197" s="12" customFormat="1" x14ac:dyDescent="0.25"/>
    <row r="216198" s="12" customFormat="1" x14ac:dyDescent="0.25"/>
    <row r="216199" s="12" customFormat="1" x14ac:dyDescent="0.25"/>
    <row r="216200" s="12" customFormat="1" x14ac:dyDescent="0.25"/>
    <row r="216201" s="12" customFormat="1" x14ac:dyDescent="0.25"/>
    <row r="216202" s="12" customFormat="1" x14ac:dyDescent="0.25"/>
    <row r="216203" s="12" customFormat="1" x14ac:dyDescent="0.25"/>
    <row r="216204" s="12" customFormat="1" x14ac:dyDescent="0.25"/>
    <row r="216205" s="12" customFormat="1" x14ac:dyDescent="0.25"/>
    <row r="216206" s="12" customFormat="1" x14ac:dyDescent="0.25"/>
    <row r="216207" s="12" customFormat="1" x14ac:dyDescent="0.25"/>
    <row r="216208" s="12" customFormat="1" x14ac:dyDescent="0.25"/>
    <row r="216209" s="12" customFormat="1" x14ac:dyDescent="0.25"/>
    <row r="216210" s="12" customFormat="1" x14ac:dyDescent="0.25"/>
    <row r="216211" s="12" customFormat="1" x14ac:dyDescent="0.25"/>
    <row r="216212" s="12" customFormat="1" x14ac:dyDescent="0.25"/>
    <row r="216213" s="12" customFormat="1" x14ac:dyDescent="0.25"/>
    <row r="216214" s="12" customFormat="1" x14ac:dyDescent="0.25"/>
    <row r="216215" s="12" customFormat="1" x14ac:dyDescent="0.25"/>
    <row r="216216" s="12" customFormat="1" x14ac:dyDescent="0.25"/>
    <row r="216217" s="12" customFormat="1" x14ac:dyDescent="0.25"/>
    <row r="216218" s="12" customFormat="1" x14ac:dyDescent="0.25"/>
    <row r="216219" s="12" customFormat="1" x14ac:dyDescent="0.25"/>
    <row r="216220" s="12" customFormat="1" x14ac:dyDescent="0.25"/>
    <row r="216221" s="12" customFormat="1" x14ac:dyDescent="0.25"/>
    <row r="216222" s="12" customFormat="1" x14ac:dyDescent="0.25"/>
    <row r="216223" s="12" customFormat="1" x14ac:dyDescent="0.25"/>
    <row r="216224" s="12" customFormat="1" x14ac:dyDescent="0.25"/>
    <row r="216225" s="12" customFormat="1" x14ac:dyDescent="0.25"/>
    <row r="216226" s="12" customFormat="1" x14ac:dyDescent="0.25"/>
    <row r="216227" s="12" customFormat="1" x14ac:dyDescent="0.25"/>
    <row r="216228" s="12" customFormat="1" x14ac:dyDescent="0.25"/>
    <row r="216229" s="12" customFormat="1" x14ac:dyDescent="0.25"/>
    <row r="216230" s="12" customFormat="1" x14ac:dyDescent="0.25"/>
    <row r="216231" s="12" customFormat="1" x14ac:dyDescent="0.25"/>
    <row r="216232" s="12" customFormat="1" x14ac:dyDescent="0.25"/>
    <row r="216233" s="12" customFormat="1" x14ac:dyDescent="0.25"/>
    <row r="216234" s="12" customFormat="1" x14ac:dyDescent="0.25"/>
    <row r="216235" s="12" customFormat="1" x14ac:dyDescent="0.25"/>
    <row r="216236" s="12" customFormat="1" x14ac:dyDescent="0.25"/>
    <row r="216237" s="12" customFormat="1" x14ac:dyDescent="0.25"/>
    <row r="216238" s="12" customFormat="1" x14ac:dyDescent="0.25"/>
    <row r="216239" s="12" customFormat="1" x14ac:dyDescent="0.25"/>
    <row r="216240" s="12" customFormat="1" x14ac:dyDescent="0.25"/>
    <row r="216241" s="12" customFormat="1" x14ac:dyDescent="0.25"/>
    <row r="216242" s="12" customFormat="1" x14ac:dyDescent="0.25"/>
    <row r="216243" s="12" customFormat="1" x14ac:dyDescent="0.25"/>
    <row r="216244" s="12" customFormat="1" x14ac:dyDescent="0.25"/>
    <row r="216245" s="12" customFormat="1" x14ac:dyDescent="0.25"/>
    <row r="216246" s="12" customFormat="1" x14ac:dyDescent="0.25"/>
    <row r="216247" s="12" customFormat="1" x14ac:dyDescent="0.25"/>
    <row r="216248" s="12" customFormat="1" x14ac:dyDescent="0.25"/>
    <row r="216249" s="12" customFormat="1" x14ac:dyDescent="0.25"/>
    <row r="216250" s="12" customFormat="1" x14ac:dyDescent="0.25"/>
    <row r="216251" s="12" customFormat="1" x14ac:dyDescent="0.25"/>
    <row r="216252" s="12" customFormat="1" x14ac:dyDescent="0.25"/>
    <row r="216253" s="12" customFormat="1" x14ac:dyDescent="0.25"/>
    <row r="216254" s="12" customFormat="1" x14ac:dyDescent="0.25"/>
    <row r="216255" s="12" customFormat="1" x14ac:dyDescent="0.25"/>
    <row r="216256" s="12" customFormat="1" x14ac:dyDescent="0.25"/>
    <row r="216257" s="12" customFormat="1" x14ac:dyDescent="0.25"/>
    <row r="216258" s="12" customFormat="1" x14ac:dyDescent="0.25"/>
    <row r="216259" s="12" customFormat="1" x14ac:dyDescent="0.25"/>
    <row r="216260" s="12" customFormat="1" x14ac:dyDescent="0.25"/>
    <row r="216261" s="12" customFormat="1" x14ac:dyDescent="0.25"/>
    <row r="216262" s="12" customFormat="1" x14ac:dyDescent="0.25"/>
    <row r="216263" s="12" customFormat="1" x14ac:dyDescent="0.25"/>
    <row r="216264" s="12" customFormat="1" x14ac:dyDescent="0.25"/>
    <row r="216265" s="12" customFormat="1" x14ac:dyDescent="0.25"/>
    <row r="216266" s="12" customFormat="1" x14ac:dyDescent="0.25"/>
    <row r="216267" s="12" customFormat="1" x14ac:dyDescent="0.25"/>
    <row r="216268" s="12" customFormat="1" x14ac:dyDescent="0.25"/>
    <row r="216269" s="12" customFormat="1" x14ac:dyDescent="0.25"/>
    <row r="216270" s="12" customFormat="1" x14ac:dyDescent="0.25"/>
    <row r="216271" s="12" customFormat="1" x14ac:dyDescent="0.25"/>
    <row r="216272" s="12" customFormat="1" x14ac:dyDescent="0.25"/>
    <row r="216273" s="12" customFormat="1" x14ac:dyDescent="0.25"/>
    <row r="216274" s="12" customFormat="1" x14ac:dyDescent="0.25"/>
    <row r="216275" s="12" customFormat="1" x14ac:dyDescent="0.25"/>
    <row r="216276" s="12" customFormat="1" x14ac:dyDescent="0.25"/>
    <row r="216277" s="12" customFormat="1" x14ac:dyDescent="0.25"/>
    <row r="216278" s="12" customFormat="1" x14ac:dyDescent="0.25"/>
    <row r="216279" s="12" customFormat="1" x14ac:dyDescent="0.25"/>
    <row r="216280" s="12" customFormat="1" x14ac:dyDescent="0.25"/>
    <row r="216281" s="12" customFormat="1" x14ac:dyDescent="0.25"/>
    <row r="216282" s="12" customFormat="1" x14ac:dyDescent="0.25"/>
    <row r="216283" s="12" customFormat="1" x14ac:dyDescent="0.25"/>
    <row r="216284" s="12" customFormat="1" x14ac:dyDescent="0.25"/>
    <row r="216285" s="12" customFormat="1" x14ac:dyDescent="0.25"/>
    <row r="216286" s="12" customFormat="1" x14ac:dyDescent="0.25"/>
    <row r="216287" s="12" customFormat="1" x14ac:dyDescent="0.25"/>
    <row r="216288" s="12" customFormat="1" x14ac:dyDescent="0.25"/>
    <row r="216289" s="12" customFormat="1" x14ac:dyDescent="0.25"/>
    <row r="216290" s="12" customFormat="1" x14ac:dyDescent="0.25"/>
    <row r="216291" s="12" customFormat="1" x14ac:dyDescent="0.25"/>
    <row r="216292" s="12" customFormat="1" x14ac:dyDescent="0.25"/>
    <row r="216293" s="12" customFormat="1" x14ac:dyDescent="0.25"/>
    <row r="216294" s="12" customFormat="1" x14ac:dyDescent="0.25"/>
    <row r="216295" s="12" customFormat="1" x14ac:dyDescent="0.25"/>
    <row r="216296" s="12" customFormat="1" x14ac:dyDescent="0.25"/>
    <row r="216297" s="12" customFormat="1" x14ac:dyDescent="0.25"/>
    <row r="216298" s="12" customFormat="1" x14ac:dyDescent="0.25"/>
    <row r="216299" s="12" customFormat="1" x14ac:dyDescent="0.25"/>
    <row r="216300" s="12" customFormat="1" x14ac:dyDescent="0.25"/>
    <row r="216301" s="12" customFormat="1" x14ac:dyDescent="0.25"/>
    <row r="216302" s="12" customFormat="1" x14ac:dyDescent="0.25"/>
    <row r="216303" s="12" customFormat="1" x14ac:dyDescent="0.25"/>
    <row r="216304" s="12" customFormat="1" x14ac:dyDescent="0.25"/>
    <row r="216305" s="12" customFormat="1" x14ac:dyDescent="0.25"/>
    <row r="216306" s="12" customFormat="1" x14ac:dyDescent="0.25"/>
    <row r="216307" s="12" customFormat="1" x14ac:dyDescent="0.25"/>
    <row r="216308" s="12" customFormat="1" x14ac:dyDescent="0.25"/>
    <row r="216309" s="12" customFormat="1" x14ac:dyDescent="0.25"/>
    <row r="216310" s="12" customFormat="1" x14ac:dyDescent="0.25"/>
    <row r="216311" s="12" customFormat="1" x14ac:dyDescent="0.25"/>
    <row r="216312" s="12" customFormat="1" x14ac:dyDescent="0.25"/>
    <row r="216313" s="12" customFormat="1" x14ac:dyDescent="0.25"/>
    <row r="216314" s="12" customFormat="1" x14ac:dyDescent="0.25"/>
    <row r="216315" s="12" customFormat="1" x14ac:dyDescent="0.25"/>
    <row r="216316" s="12" customFormat="1" x14ac:dyDescent="0.25"/>
    <row r="216317" s="12" customFormat="1" x14ac:dyDescent="0.25"/>
    <row r="216318" s="12" customFormat="1" x14ac:dyDescent="0.25"/>
    <row r="216319" s="12" customFormat="1" x14ac:dyDescent="0.25"/>
    <row r="216320" s="12" customFormat="1" x14ac:dyDescent="0.25"/>
    <row r="216321" s="12" customFormat="1" x14ac:dyDescent="0.25"/>
    <row r="216322" s="12" customFormat="1" x14ac:dyDescent="0.25"/>
    <row r="216323" s="12" customFormat="1" x14ac:dyDescent="0.25"/>
    <row r="216324" s="12" customFormat="1" x14ac:dyDescent="0.25"/>
    <row r="216325" s="12" customFormat="1" x14ac:dyDescent="0.25"/>
    <row r="216326" s="12" customFormat="1" x14ac:dyDescent="0.25"/>
    <row r="216327" s="12" customFormat="1" x14ac:dyDescent="0.25"/>
    <row r="216328" s="12" customFormat="1" x14ac:dyDescent="0.25"/>
    <row r="216329" s="12" customFormat="1" x14ac:dyDescent="0.25"/>
    <row r="216330" s="12" customFormat="1" x14ac:dyDescent="0.25"/>
    <row r="216331" s="12" customFormat="1" x14ac:dyDescent="0.25"/>
    <row r="216332" s="12" customFormat="1" x14ac:dyDescent="0.25"/>
    <row r="216333" s="12" customFormat="1" x14ac:dyDescent="0.25"/>
    <row r="216334" s="12" customFormat="1" x14ac:dyDescent="0.25"/>
    <row r="216335" s="12" customFormat="1" x14ac:dyDescent="0.25"/>
    <row r="216336" s="12" customFormat="1" x14ac:dyDescent="0.25"/>
    <row r="216337" s="12" customFormat="1" x14ac:dyDescent="0.25"/>
    <row r="216338" s="12" customFormat="1" x14ac:dyDescent="0.25"/>
    <row r="216339" s="12" customFormat="1" x14ac:dyDescent="0.25"/>
    <row r="216340" s="12" customFormat="1" x14ac:dyDescent="0.25"/>
    <row r="216341" s="12" customFormat="1" x14ac:dyDescent="0.25"/>
    <row r="216342" s="12" customFormat="1" x14ac:dyDescent="0.25"/>
    <row r="216343" s="12" customFormat="1" x14ac:dyDescent="0.25"/>
    <row r="216344" s="12" customFormat="1" x14ac:dyDescent="0.25"/>
    <row r="216345" s="12" customFormat="1" x14ac:dyDescent="0.25"/>
    <row r="216346" s="12" customFormat="1" x14ac:dyDescent="0.25"/>
    <row r="216347" s="12" customFormat="1" x14ac:dyDescent="0.25"/>
    <row r="216348" s="12" customFormat="1" x14ac:dyDescent="0.25"/>
    <row r="216349" s="12" customFormat="1" x14ac:dyDescent="0.25"/>
    <row r="216350" s="12" customFormat="1" x14ac:dyDescent="0.25"/>
    <row r="216351" s="12" customFormat="1" x14ac:dyDescent="0.25"/>
    <row r="216352" s="12" customFormat="1" x14ac:dyDescent="0.25"/>
    <row r="216353" s="12" customFormat="1" x14ac:dyDescent="0.25"/>
    <row r="216354" s="12" customFormat="1" x14ac:dyDescent="0.25"/>
    <row r="216355" s="12" customFormat="1" x14ac:dyDescent="0.25"/>
    <row r="216356" s="12" customFormat="1" x14ac:dyDescent="0.25"/>
    <row r="216357" s="12" customFormat="1" x14ac:dyDescent="0.25"/>
    <row r="216358" s="12" customFormat="1" x14ac:dyDescent="0.25"/>
    <row r="216359" s="12" customFormat="1" x14ac:dyDescent="0.25"/>
    <row r="216360" s="12" customFormat="1" x14ac:dyDescent="0.25"/>
    <row r="216361" s="12" customFormat="1" x14ac:dyDescent="0.25"/>
    <row r="216362" s="12" customFormat="1" x14ac:dyDescent="0.25"/>
    <row r="216363" s="12" customFormat="1" x14ac:dyDescent="0.25"/>
    <row r="216364" s="12" customFormat="1" x14ac:dyDescent="0.25"/>
    <row r="216365" s="12" customFormat="1" x14ac:dyDescent="0.25"/>
    <row r="216366" s="12" customFormat="1" x14ac:dyDescent="0.25"/>
    <row r="216367" s="12" customFormat="1" x14ac:dyDescent="0.25"/>
    <row r="216368" s="12" customFormat="1" x14ac:dyDescent="0.25"/>
    <row r="216369" s="12" customFormat="1" x14ac:dyDescent="0.25"/>
    <row r="216370" s="12" customFormat="1" x14ac:dyDescent="0.25"/>
    <row r="216371" s="12" customFormat="1" x14ac:dyDescent="0.25"/>
    <row r="216372" s="12" customFormat="1" x14ac:dyDescent="0.25"/>
    <row r="216373" s="12" customFormat="1" x14ac:dyDescent="0.25"/>
    <row r="216374" s="12" customFormat="1" x14ac:dyDescent="0.25"/>
    <row r="216375" s="12" customFormat="1" x14ac:dyDescent="0.25"/>
    <row r="216376" s="12" customFormat="1" x14ac:dyDescent="0.25"/>
    <row r="216377" s="12" customFormat="1" x14ac:dyDescent="0.25"/>
    <row r="216378" s="12" customFormat="1" x14ac:dyDescent="0.25"/>
    <row r="216379" s="12" customFormat="1" x14ac:dyDescent="0.25"/>
    <row r="216380" s="12" customFormat="1" x14ac:dyDescent="0.25"/>
    <row r="216381" s="12" customFormat="1" x14ac:dyDescent="0.25"/>
    <row r="216382" s="12" customFormat="1" x14ac:dyDescent="0.25"/>
    <row r="216383" s="12" customFormat="1" x14ac:dyDescent="0.25"/>
    <row r="216384" s="12" customFormat="1" x14ac:dyDescent="0.25"/>
    <row r="216385" s="12" customFormat="1" x14ac:dyDescent="0.25"/>
    <row r="216386" s="12" customFormat="1" x14ac:dyDescent="0.25"/>
    <row r="216387" s="12" customFormat="1" x14ac:dyDescent="0.25"/>
    <row r="216388" s="12" customFormat="1" x14ac:dyDescent="0.25"/>
    <row r="216389" s="12" customFormat="1" x14ac:dyDescent="0.25"/>
    <row r="216390" s="12" customFormat="1" x14ac:dyDescent="0.25"/>
    <row r="216391" s="12" customFormat="1" x14ac:dyDescent="0.25"/>
    <row r="216392" s="12" customFormat="1" x14ac:dyDescent="0.25"/>
    <row r="216393" s="12" customFormat="1" x14ac:dyDescent="0.25"/>
    <row r="216394" s="12" customFormat="1" x14ac:dyDescent="0.25"/>
    <row r="216395" s="12" customFormat="1" x14ac:dyDescent="0.25"/>
    <row r="216396" s="12" customFormat="1" x14ac:dyDescent="0.25"/>
    <row r="216397" s="12" customFormat="1" x14ac:dyDescent="0.25"/>
    <row r="216398" s="12" customFormat="1" x14ac:dyDescent="0.25"/>
    <row r="216399" s="12" customFormat="1" x14ac:dyDescent="0.25"/>
    <row r="216400" s="12" customFormat="1" x14ac:dyDescent="0.25"/>
    <row r="216401" s="12" customFormat="1" x14ac:dyDescent="0.25"/>
    <row r="216402" s="12" customFormat="1" x14ac:dyDescent="0.25"/>
    <row r="216403" s="12" customFormat="1" x14ac:dyDescent="0.25"/>
    <row r="216404" s="12" customFormat="1" x14ac:dyDescent="0.25"/>
    <row r="216405" s="12" customFormat="1" x14ac:dyDescent="0.25"/>
    <row r="216406" s="12" customFormat="1" x14ac:dyDescent="0.25"/>
    <row r="216407" s="12" customFormat="1" x14ac:dyDescent="0.25"/>
    <row r="216408" s="12" customFormat="1" x14ac:dyDescent="0.25"/>
    <row r="216409" s="12" customFormat="1" x14ac:dyDescent="0.25"/>
    <row r="216410" s="12" customFormat="1" x14ac:dyDescent="0.25"/>
    <row r="216411" s="12" customFormat="1" x14ac:dyDescent="0.25"/>
    <row r="216412" s="12" customFormat="1" x14ac:dyDescent="0.25"/>
    <row r="216413" s="12" customFormat="1" x14ac:dyDescent="0.25"/>
    <row r="216414" s="12" customFormat="1" x14ac:dyDescent="0.25"/>
    <row r="216415" s="12" customFormat="1" x14ac:dyDescent="0.25"/>
    <row r="216416" s="12" customFormat="1" x14ac:dyDescent="0.25"/>
    <row r="216417" s="12" customFormat="1" x14ac:dyDescent="0.25"/>
    <row r="216418" s="12" customFormat="1" x14ac:dyDescent="0.25"/>
    <row r="216419" s="12" customFormat="1" x14ac:dyDescent="0.25"/>
    <row r="216420" s="12" customFormat="1" x14ac:dyDescent="0.25"/>
    <row r="216421" s="12" customFormat="1" x14ac:dyDescent="0.25"/>
    <row r="216422" s="12" customFormat="1" x14ac:dyDescent="0.25"/>
    <row r="216423" s="12" customFormat="1" x14ac:dyDescent="0.25"/>
    <row r="216424" s="12" customFormat="1" x14ac:dyDescent="0.25"/>
    <row r="216425" s="12" customFormat="1" x14ac:dyDescent="0.25"/>
    <row r="216426" s="12" customFormat="1" x14ac:dyDescent="0.25"/>
    <row r="216427" s="12" customFormat="1" x14ac:dyDescent="0.25"/>
    <row r="216428" s="12" customFormat="1" x14ac:dyDescent="0.25"/>
    <row r="216429" s="12" customFormat="1" x14ac:dyDescent="0.25"/>
    <row r="216430" s="12" customFormat="1" x14ac:dyDescent="0.25"/>
    <row r="216431" s="12" customFormat="1" x14ac:dyDescent="0.25"/>
    <row r="216432" s="12" customFormat="1" x14ac:dyDescent="0.25"/>
    <row r="216433" s="12" customFormat="1" x14ac:dyDescent="0.25"/>
    <row r="216434" s="12" customFormat="1" x14ac:dyDescent="0.25"/>
    <row r="216435" s="12" customFormat="1" x14ac:dyDescent="0.25"/>
    <row r="216436" s="12" customFormat="1" x14ac:dyDescent="0.25"/>
    <row r="216437" s="12" customFormat="1" x14ac:dyDescent="0.25"/>
    <row r="216438" s="12" customFormat="1" x14ac:dyDescent="0.25"/>
    <row r="216439" s="12" customFormat="1" x14ac:dyDescent="0.25"/>
    <row r="216440" s="12" customFormat="1" x14ac:dyDescent="0.25"/>
    <row r="216441" s="12" customFormat="1" x14ac:dyDescent="0.25"/>
    <row r="216442" s="12" customFormat="1" x14ac:dyDescent="0.25"/>
    <row r="216443" s="12" customFormat="1" x14ac:dyDescent="0.25"/>
    <row r="216444" s="12" customFormat="1" x14ac:dyDescent="0.25"/>
    <row r="216445" s="12" customFormat="1" x14ac:dyDescent="0.25"/>
    <row r="216446" s="12" customFormat="1" x14ac:dyDescent="0.25"/>
    <row r="216447" s="12" customFormat="1" x14ac:dyDescent="0.25"/>
    <row r="216448" s="12" customFormat="1" x14ac:dyDescent="0.25"/>
    <row r="216449" s="12" customFormat="1" x14ac:dyDescent="0.25"/>
    <row r="216450" s="12" customFormat="1" x14ac:dyDescent="0.25"/>
    <row r="216451" s="12" customFormat="1" x14ac:dyDescent="0.25"/>
    <row r="216452" s="12" customFormat="1" x14ac:dyDescent="0.25"/>
    <row r="216453" s="12" customFormat="1" x14ac:dyDescent="0.25"/>
    <row r="216454" s="12" customFormat="1" x14ac:dyDescent="0.25"/>
    <row r="216455" s="12" customFormat="1" x14ac:dyDescent="0.25"/>
    <row r="216456" s="12" customFormat="1" x14ac:dyDescent="0.25"/>
    <row r="216457" s="12" customFormat="1" x14ac:dyDescent="0.25"/>
    <row r="216458" s="12" customFormat="1" x14ac:dyDescent="0.25"/>
    <row r="216459" s="12" customFormat="1" x14ac:dyDescent="0.25"/>
    <row r="216460" s="12" customFormat="1" x14ac:dyDescent="0.25"/>
    <row r="216461" s="12" customFormat="1" x14ac:dyDescent="0.25"/>
    <row r="216462" s="12" customFormat="1" x14ac:dyDescent="0.25"/>
    <row r="216463" s="12" customFormat="1" x14ac:dyDescent="0.25"/>
    <row r="216464" s="12" customFormat="1" x14ac:dyDescent="0.25"/>
    <row r="216465" s="12" customFormat="1" x14ac:dyDescent="0.25"/>
    <row r="216466" s="12" customFormat="1" x14ac:dyDescent="0.25"/>
    <row r="216467" s="12" customFormat="1" x14ac:dyDescent="0.25"/>
    <row r="216468" s="12" customFormat="1" x14ac:dyDescent="0.25"/>
    <row r="216469" s="12" customFormat="1" x14ac:dyDescent="0.25"/>
    <row r="216470" s="12" customFormat="1" x14ac:dyDescent="0.25"/>
    <row r="216471" s="12" customFormat="1" x14ac:dyDescent="0.25"/>
    <row r="216472" s="12" customFormat="1" x14ac:dyDescent="0.25"/>
    <row r="216473" s="12" customFormat="1" x14ac:dyDescent="0.25"/>
    <row r="216474" s="12" customFormat="1" x14ac:dyDescent="0.25"/>
    <row r="216475" s="12" customFormat="1" x14ac:dyDescent="0.25"/>
    <row r="216476" s="12" customFormat="1" x14ac:dyDescent="0.25"/>
    <row r="216477" s="12" customFormat="1" x14ac:dyDescent="0.25"/>
    <row r="216478" s="12" customFormat="1" x14ac:dyDescent="0.25"/>
    <row r="216479" s="12" customFormat="1" x14ac:dyDescent="0.25"/>
    <row r="216480" s="12" customFormat="1" x14ac:dyDescent="0.25"/>
    <row r="216481" s="12" customFormat="1" x14ac:dyDescent="0.25"/>
    <row r="216482" s="12" customFormat="1" x14ac:dyDescent="0.25"/>
    <row r="216483" s="12" customFormat="1" x14ac:dyDescent="0.25"/>
    <row r="216484" s="12" customFormat="1" x14ac:dyDescent="0.25"/>
    <row r="216485" s="12" customFormat="1" x14ac:dyDescent="0.25"/>
    <row r="216486" s="12" customFormat="1" x14ac:dyDescent="0.25"/>
    <row r="216487" s="12" customFormat="1" x14ac:dyDescent="0.25"/>
    <row r="216488" s="12" customFormat="1" x14ac:dyDescent="0.25"/>
    <row r="216489" s="12" customFormat="1" x14ac:dyDescent="0.25"/>
    <row r="216490" s="12" customFormat="1" x14ac:dyDescent="0.25"/>
    <row r="216491" s="12" customFormat="1" x14ac:dyDescent="0.25"/>
    <row r="216492" s="12" customFormat="1" x14ac:dyDescent="0.25"/>
    <row r="216493" s="12" customFormat="1" x14ac:dyDescent="0.25"/>
    <row r="216494" s="12" customFormat="1" x14ac:dyDescent="0.25"/>
    <row r="216495" s="12" customFormat="1" x14ac:dyDescent="0.25"/>
    <row r="216496" s="12" customFormat="1" x14ac:dyDescent="0.25"/>
    <row r="216497" s="12" customFormat="1" x14ac:dyDescent="0.25"/>
    <row r="216498" s="12" customFormat="1" x14ac:dyDescent="0.25"/>
    <row r="216499" s="12" customFormat="1" x14ac:dyDescent="0.25"/>
    <row r="216500" s="12" customFormat="1" x14ac:dyDescent="0.25"/>
    <row r="216501" s="12" customFormat="1" x14ac:dyDescent="0.25"/>
    <row r="216502" s="12" customFormat="1" x14ac:dyDescent="0.25"/>
    <row r="216503" s="12" customFormat="1" x14ac:dyDescent="0.25"/>
    <row r="216504" s="12" customFormat="1" x14ac:dyDescent="0.25"/>
    <row r="216505" s="12" customFormat="1" x14ac:dyDescent="0.25"/>
    <row r="216506" s="12" customFormat="1" x14ac:dyDescent="0.25"/>
    <row r="216507" s="12" customFormat="1" x14ac:dyDescent="0.25"/>
    <row r="216508" s="12" customFormat="1" x14ac:dyDescent="0.25"/>
    <row r="216509" s="12" customFormat="1" x14ac:dyDescent="0.25"/>
    <row r="216510" s="12" customFormat="1" x14ac:dyDescent="0.25"/>
    <row r="216511" s="12" customFormat="1" x14ac:dyDescent="0.25"/>
    <row r="216512" s="12" customFormat="1" x14ac:dyDescent="0.25"/>
    <row r="216513" s="12" customFormat="1" x14ac:dyDescent="0.25"/>
    <row r="216514" s="12" customFormat="1" x14ac:dyDescent="0.25"/>
    <row r="216515" s="12" customFormat="1" x14ac:dyDescent="0.25"/>
    <row r="216516" s="12" customFormat="1" x14ac:dyDescent="0.25"/>
    <row r="216517" s="12" customFormat="1" x14ac:dyDescent="0.25"/>
    <row r="216518" s="12" customFormat="1" x14ac:dyDescent="0.25"/>
    <row r="216519" s="12" customFormat="1" x14ac:dyDescent="0.25"/>
    <row r="216520" s="12" customFormat="1" x14ac:dyDescent="0.25"/>
    <row r="216521" s="12" customFormat="1" x14ac:dyDescent="0.25"/>
    <row r="216522" s="12" customFormat="1" x14ac:dyDescent="0.25"/>
    <row r="216523" s="12" customFormat="1" x14ac:dyDescent="0.25"/>
    <row r="216524" s="12" customFormat="1" x14ac:dyDescent="0.25"/>
    <row r="216525" s="12" customFormat="1" x14ac:dyDescent="0.25"/>
    <row r="216526" s="12" customFormat="1" x14ac:dyDescent="0.25"/>
    <row r="216527" s="12" customFormat="1" x14ac:dyDescent="0.25"/>
    <row r="216528" s="12" customFormat="1" x14ac:dyDescent="0.25"/>
    <row r="216529" s="12" customFormat="1" x14ac:dyDescent="0.25"/>
    <row r="216530" s="12" customFormat="1" x14ac:dyDescent="0.25"/>
    <row r="216531" s="12" customFormat="1" x14ac:dyDescent="0.25"/>
    <row r="216532" s="12" customFormat="1" x14ac:dyDescent="0.25"/>
    <row r="216533" s="12" customFormat="1" x14ac:dyDescent="0.25"/>
    <row r="216534" s="12" customFormat="1" x14ac:dyDescent="0.25"/>
    <row r="216535" s="12" customFormat="1" x14ac:dyDescent="0.25"/>
    <row r="216536" s="12" customFormat="1" x14ac:dyDescent="0.25"/>
    <row r="216537" s="12" customFormat="1" x14ac:dyDescent="0.25"/>
    <row r="216538" s="12" customFormat="1" x14ac:dyDescent="0.25"/>
    <row r="216539" s="12" customFormat="1" x14ac:dyDescent="0.25"/>
    <row r="216540" s="12" customFormat="1" x14ac:dyDescent="0.25"/>
    <row r="216541" s="12" customFormat="1" x14ac:dyDescent="0.25"/>
    <row r="216542" s="12" customFormat="1" x14ac:dyDescent="0.25"/>
    <row r="216543" s="12" customFormat="1" x14ac:dyDescent="0.25"/>
    <row r="216544" s="12" customFormat="1" x14ac:dyDescent="0.25"/>
    <row r="216545" s="12" customFormat="1" x14ac:dyDescent="0.25"/>
    <row r="216546" s="12" customFormat="1" x14ac:dyDescent="0.25"/>
    <row r="216547" s="12" customFormat="1" x14ac:dyDescent="0.25"/>
    <row r="216548" s="12" customFormat="1" x14ac:dyDescent="0.25"/>
    <row r="216549" s="12" customFormat="1" x14ac:dyDescent="0.25"/>
    <row r="216550" s="12" customFormat="1" x14ac:dyDescent="0.25"/>
    <row r="216551" s="12" customFormat="1" x14ac:dyDescent="0.25"/>
    <row r="216552" s="12" customFormat="1" x14ac:dyDescent="0.25"/>
    <row r="216553" s="12" customFormat="1" x14ac:dyDescent="0.25"/>
    <row r="216554" s="12" customFormat="1" x14ac:dyDescent="0.25"/>
    <row r="216555" s="12" customFormat="1" x14ac:dyDescent="0.25"/>
    <row r="216556" s="12" customFormat="1" x14ac:dyDescent="0.25"/>
    <row r="216557" s="12" customFormat="1" x14ac:dyDescent="0.25"/>
    <row r="216558" s="12" customFormat="1" x14ac:dyDescent="0.25"/>
    <row r="216559" s="12" customFormat="1" x14ac:dyDescent="0.25"/>
    <row r="216560" s="12" customFormat="1" x14ac:dyDescent="0.25"/>
    <row r="216561" s="12" customFormat="1" x14ac:dyDescent="0.25"/>
    <row r="216562" s="12" customFormat="1" x14ac:dyDescent="0.25"/>
    <row r="216563" s="12" customFormat="1" x14ac:dyDescent="0.25"/>
    <row r="216564" s="12" customFormat="1" x14ac:dyDescent="0.25"/>
    <row r="216565" s="12" customFormat="1" x14ac:dyDescent="0.25"/>
    <row r="216566" s="12" customFormat="1" x14ac:dyDescent="0.25"/>
    <row r="216567" s="12" customFormat="1" x14ac:dyDescent="0.25"/>
    <row r="216568" s="12" customFormat="1" x14ac:dyDescent="0.25"/>
    <row r="216569" s="12" customFormat="1" x14ac:dyDescent="0.25"/>
    <row r="216570" s="12" customFormat="1" x14ac:dyDescent="0.25"/>
    <row r="216571" s="12" customFormat="1" x14ac:dyDescent="0.25"/>
    <row r="216572" s="12" customFormat="1" x14ac:dyDescent="0.25"/>
    <row r="216573" s="12" customFormat="1" x14ac:dyDescent="0.25"/>
    <row r="216574" s="12" customFormat="1" x14ac:dyDescent="0.25"/>
    <row r="216575" s="12" customFormat="1" x14ac:dyDescent="0.25"/>
    <row r="216576" s="12" customFormat="1" x14ac:dyDescent="0.25"/>
    <row r="216577" s="12" customFormat="1" x14ac:dyDescent="0.25"/>
    <row r="216578" s="12" customFormat="1" x14ac:dyDescent="0.25"/>
    <row r="216579" s="12" customFormat="1" x14ac:dyDescent="0.25"/>
    <row r="216580" s="12" customFormat="1" x14ac:dyDescent="0.25"/>
    <row r="216581" s="12" customFormat="1" x14ac:dyDescent="0.25"/>
    <row r="216582" s="12" customFormat="1" x14ac:dyDescent="0.25"/>
    <row r="216583" s="12" customFormat="1" x14ac:dyDescent="0.25"/>
    <row r="216584" s="12" customFormat="1" x14ac:dyDescent="0.25"/>
    <row r="216585" s="12" customFormat="1" x14ac:dyDescent="0.25"/>
    <row r="216586" s="12" customFormat="1" x14ac:dyDescent="0.25"/>
    <row r="216587" s="12" customFormat="1" x14ac:dyDescent="0.25"/>
    <row r="216588" s="12" customFormat="1" x14ac:dyDescent="0.25"/>
    <row r="216589" s="12" customFormat="1" x14ac:dyDescent="0.25"/>
    <row r="216590" s="12" customFormat="1" x14ac:dyDescent="0.25"/>
    <row r="216591" s="12" customFormat="1" x14ac:dyDescent="0.25"/>
    <row r="216592" s="12" customFormat="1" x14ac:dyDescent="0.25"/>
    <row r="216593" s="12" customFormat="1" x14ac:dyDescent="0.25"/>
    <row r="216594" s="12" customFormat="1" x14ac:dyDescent="0.25"/>
    <row r="216595" s="12" customFormat="1" x14ac:dyDescent="0.25"/>
    <row r="216596" s="12" customFormat="1" x14ac:dyDescent="0.25"/>
    <row r="216597" s="12" customFormat="1" x14ac:dyDescent="0.25"/>
    <row r="216598" s="12" customFormat="1" x14ac:dyDescent="0.25"/>
    <row r="216599" s="12" customFormat="1" x14ac:dyDescent="0.25"/>
    <row r="216600" s="12" customFormat="1" x14ac:dyDescent="0.25"/>
    <row r="216601" s="12" customFormat="1" x14ac:dyDescent="0.25"/>
    <row r="216602" s="12" customFormat="1" x14ac:dyDescent="0.25"/>
    <row r="216603" s="12" customFormat="1" x14ac:dyDescent="0.25"/>
    <row r="216604" s="12" customFormat="1" x14ac:dyDescent="0.25"/>
    <row r="216605" s="12" customFormat="1" x14ac:dyDescent="0.25"/>
    <row r="216606" s="12" customFormat="1" x14ac:dyDescent="0.25"/>
    <row r="216607" s="12" customFormat="1" x14ac:dyDescent="0.25"/>
    <row r="216608" s="12" customFormat="1" x14ac:dyDescent="0.25"/>
    <row r="216609" s="12" customFormat="1" x14ac:dyDescent="0.25"/>
    <row r="216610" s="12" customFormat="1" x14ac:dyDescent="0.25"/>
    <row r="216611" s="12" customFormat="1" x14ac:dyDescent="0.25"/>
    <row r="216612" s="12" customFormat="1" x14ac:dyDescent="0.25"/>
    <row r="216613" s="12" customFormat="1" x14ac:dyDescent="0.25"/>
    <row r="216614" s="12" customFormat="1" x14ac:dyDescent="0.25"/>
    <row r="216615" s="12" customFormat="1" x14ac:dyDescent="0.25"/>
    <row r="216616" s="12" customFormat="1" x14ac:dyDescent="0.25"/>
    <row r="216617" s="12" customFormat="1" x14ac:dyDescent="0.25"/>
    <row r="216618" s="12" customFormat="1" x14ac:dyDescent="0.25"/>
    <row r="216619" s="12" customFormat="1" x14ac:dyDescent="0.25"/>
    <row r="216620" s="12" customFormat="1" x14ac:dyDescent="0.25"/>
    <row r="216621" s="12" customFormat="1" x14ac:dyDescent="0.25"/>
    <row r="216622" s="12" customFormat="1" x14ac:dyDescent="0.25"/>
    <row r="216623" s="12" customFormat="1" x14ac:dyDescent="0.25"/>
    <row r="216624" s="12" customFormat="1" x14ac:dyDescent="0.25"/>
    <row r="216625" s="12" customFormat="1" x14ac:dyDescent="0.25"/>
    <row r="216626" s="12" customFormat="1" x14ac:dyDescent="0.25"/>
    <row r="216627" s="12" customFormat="1" x14ac:dyDescent="0.25"/>
    <row r="216628" s="12" customFormat="1" x14ac:dyDescent="0.25"/>
    <row r="216629" s="12" customFormat="1" x14ac:dyDescent="0.25"/>
    <row r="216630" s="12" customFormat="1" x14ac:dyDescent="0.25"/>
    <row r="216631" s="12" customFormat="1" x14ac:dyDescent="0.25"/>
    <row r="216632" s="12" customFormat="1" x14ac:dyDescent="0.25"/>
    <row r="216633" s="12" customFormat="1" x14ac:dyDescent="0.25"/>
    <row r="216634" s="12" customFormat="1" x14ac:dyDescent="0.25"/>
    <row r="216635" s="12" customFormat="1" x14ac:dyDescent="0.25"/>
    <row r="216636" s="12" customFormat="1" x14ac:dyDescent="0.25"/>
    <row r="216637" s="12" customFormat="1" x14ac:dyDescent="0.25"/>
    <row r="216638" s="12" customFormat="1" x14ac:dyDescent="0.25"/>
    <row r="216639" s="12" customFormat="1" x14ac:dyDescent="0.25"/>
    <row r="216640" s="12" customFormat="1" x14ac:dyDescent="0.25"/>
    <row r="216641" s="12" customFormat="1" x14ac:dyDescent="0.25"/>
    <row r="216642" s="12" customFormat="1" x14ac:dyDescent="0.25"/>
    <row r="216643" s="12" customFormat="1" x14ac:dyDescent="0.25"/>
    <row r="216644" s="12" customFormat="1" x14ac:dyDescent="0.25"/>
    <row r="216645" s="12" customFormat="1" x14ac:dyDescent="0.25"/>
    <row r="216646" s="12" customFormat="1" x14ac:dyDescent="0.25"/>
    <row r="216647" s="12" customFormat="1" x14ac:dyDescent="0.25"/>
    <row r="216648" s="12" customFormat="1" x14ac:dyDescent="0.25"/>
    <row r="216649" s="12" customFormat="1" x14ac:dyDescent="0.25"/>
    <row r="216650" s="12" customFormat="1" x14ac:dyDescent="0.25"/>
    <row r="216651" s="12" customFormat="1" x14ac:dyDescent="0.25"/>
    <row r="216652" s="12" customFormat="1" x14ac:dyDescent="0.25"/>
    <row r="216653" s="12" customFormat="1" x14ac:dyDescent="0.25"/>
    <row r="216654" s="12" customFormat="1" x14ac:dyDescent="0.25"/>
    <row r="216655" s="12" customFormat="1" x14ac:dyDescent="0.25"/>
    <row r="216656" s="12" customFormat="1" x14ac:dyDescent="0.25"/>
    <row r="216657" s="12" customFormat="1" x14ac:dyDescent="0.25"/>
    <row r="216658" s="12" customFormat="1" x14ac:dyDescent="0.25"/>
    <row r="216659" s="12" customFormat="1" x14ac:dyDescent="0.25"/>
    <row r="216660" s="12" customFormat="1" x14ac:dyDescent="0.25"/>
    <row r="216661" s="12" customFormat="1" x14ac:dyDescent="0.25"/>
    <row r="216662" s="12" customFormat="1" x14ac:dyDescent="0.25"/>
    <row r="216663" s="12" customFormat="1" x14ac:dyDescent="0.25"/>
    <row r="216664" s="12" customFormat="1" x14ac:dyDescent="0.25"/>
    <row r="216665" s="12" customFormat="1" x14ac:dyDescent="0.25"/>
    <row r="216666" s="12" customFormat="1" x14ac:dyDescent="0.25"/>
    <row r="216667" s="12" customFormat="1" x14ac:dyDescent="0.25"/>
    <row r="216668" s="12" customFormat="1" x14ac:dyDescent="0.25"/>
    <row r="216669" s="12" customFormat="1" x14ac:dyDescent="0.25"/>
    <row r="216670" s="12" customFormat="1" x14ac:dyDescent="0.25"/>
    <row r="216671" s="12" customFormat="1" x14ac:dyDescent="0.25"/>
    <row r="216672" s="12" customFormat="1" x14ac:dyDescent="0.25"/>
    <row r="216673" s="12" customFormat="1" x14ac:dyDescent="0.25"/>
    <row r="216674" s="12" customFormat="1" x14ac:dyDescent="0.25"/>
    <row r="216675" s="12" customFormat="1" x14ac:dyDescent="0.25"/>
    <row r="216676" s="12" customFormat="1" x14ac:dyDescent="0.25"/>
    <row r="216677" s="12" customFormat="1" x14ac:dyDescent="0.25"/>
    <row r="216678" s="12" customFormat="1" x14ac:dyDescent="0.25"/>
    <row r="216679" s="12" customFormat="1" x14ac:dyDescent="0.25"/>
    <row r="216680" s="12" customFormat="1" x14ac:dyDescent="0.25"/>
    <row r="216681" s="12" customFormat="1" x14ac:dyDescent="0.25"/>
    <row r="216682" s="12" customFormat="1" x14ac:dyDescent="0.25"/>
    <row r="216683" s="12" customFormat="1" x14ac:dyDescent="0.25"/>
    <row r="216684" s="12" customFormat="1" x14ac:dyDescent="0.25"/>
    <row r="216685" s="12" customFormat="1" x14ac:dyDescent="0.25"/>
    <row r="216686" s="12" customFormat="1" x14ac:dyDescent="0.25"/>
    <row r="216687" s="12" customFormat="1" x14ac:dyDescent="0.25"/>
    <row r="216688" s="12" customFormat="1" x14ac:dyDescent="0.25"/>
    <row r="216689" s="12" customFormat="1" x14ac:dyDescent="0.25"/>
    <row r="216690" s="12" customFormat="1" x14ac:dyDescent="0.25"/>
    <row r="216691" s="12" customFormat="1" x14ac:dyDescent="0.25"/>
    <row r="216692" s="12" customFormat="1" x14ac:dyDescent="0.25"/>
    <row r="216693" s="12" customFormat="1" x14ac:dyDescent="0.25"/>
    <row r="216694" s="12" customFormat="1" x14ac:dyDescent="0.25"/>
    <row r="216695" s="12" customFormat="1" x14ac:dyDescent="0.25"/>
    <row r="216696" s="12" customFormat="1" x14ac:dyDescent="0.25"/>
    <row r="216697" s="12" customFormat="1" x14ac:dyDescent="0.25"/>
    <row r="216698" s="12" customFormat="1" x14ac:dyDescent="0.25"/>
    <row r="216699" s="12" customFormat="1" x14ac:dyDescent="0.25"/>
    <row r="216700" s="12" customFormat="1" x14ac:dyDescent="0.25"/>
    <row r="216701" s="12" customFormat="1" x14ac:dyDescent="0.25"/>
    <row r="216702" s="12" customFormat="1" x14ac:dyDescent="0.25"/>
    <row r="216703" s="12" customFormat="1" x14ac:dyDescent="0.25"/>
    <row r="216704" s="12" customFormat="1" x14ac:dyDescent="0.25"/>
    <row r="216705" s="12" customFormat="1" x14ac:dyDescent="0.25"/>
    <row r="216706" s="12" customFormat="1" x14ac:dyDescent="0.25"/>
    <row r="216707" s="12" customFormat="1" x14ac:dyDescent="0.25"/>
    <row r="216708" s="12" customFormat="1" x14ac:dyDescent="0.25"/>
    <row r="216709" s="12" customFormat="1" x14ac:dyDescent="0.25"/>
    <row r="216710" s="12" customFormat="1" x14ac:dyDescent="0.25"/>
    <row r="216711" s="12" customFormat="1" x14ac:dyDescent="0.25"/>
    <row r="216712" s="12" customFormat="1" x14ac:dyDescent="0.25"/>
    <row r="216713" s="12" customFormat="1" x14ac:dyDescent="0.25"/>
    <row r="216714" s="12" customFormat="1" x14ac:dyDescent="0.25"/>
    <row r="216715" s="12" customFormat="1" x14ac:dyDescent="0.25"/>
    <row r="216716" s="12" customFormat="1" x14ac:dyDescent="0.25"/>
    <row r="216717" s="12" customFormat="1" x14ac:dyDescent="0.25"/>
    <row r="216718" s="12" customFormat="1" x14ac:dyDescent="0.25"/>
    <row r="216719" s="12" customFormat="1" x14ac:dyDescent="0.25"/>
    <row r="216720" s="12" customFormat="1" x14ac:dyDescent="0.25"/>
    <row r="216721" s="12" customFormat="1" x14ac:dyDescent="0.25"/>
    <row r="216722" s="12" customFormat="1" x14ac:dyDescent="0.25"/>
    <row r="216723" s="12" customFormat="1" x14ac:dyDescent="0.25"/>
    <row r="216724" s="12" customFormat="1" x14ac:dyDescent="0.25"/>
    <row r="216725" s="12" customFormat="1" x14ac:dyDescent="0.25"/>
    <row r="216726" s="12" customFormat="1" x14ac:dyDescent="0.25"/>
    <row r="216727" s="12" customFormat="1" x14ac:dyDescent="0.25"/>
    <row r="216728" s="12" customFormat="1" x14ac:dyDescent="0.25"/>
    <row r="216729" s="12" customFormat="1" x14ac:dyDescent="0.25"/>
    <row r="216730" s="12" customFormat="1" x14ac:dyDescent="0.25"/>
    <row r="216731" s="12" customFormat="1" x14ac:dyDescent="0.25"/>
    <row r="216732" s="12" customFormat="1" x14ac:dyDescent="0.25"/>
    <row r="216733" s="12" customFormat="1" x14ac:dyDescent="0.25"/>
    <row r="216734" s="12" customFormat="1" x14ac:dyDescent="0.25"/>
    <row r="216735" s="12" customFormat="1" x14ac:dyDescent="0.25"/>
    <row r="216736" s="12" customFormat="1" x14ac:dyDescent="0.25"/>
    <row r="216737" s="12" customFormat="1" x14ac:dyDescent="0.25"/>
    <row r="216738" s="12" customFormat="1" x14ac:dyDescent="0.25"/>
    <row r="216739" s="12" customFormat="1" x14ac:dyDescent="0.25"/>
    <row r="216740" s="12" customFormat="1" x14ac:dyDescent="0.25"/>
    <row r="216741" s="12" customFormat="1" x14ac:dyDescent="0.25"/>
    <row r="216742" s="12" customFormat="1" x14ac:dyDescent="0.25"/>
    <row r="216743" s="12" customFormat="1" x14ac:dyDescent="0.25"/>
    <row r="216744" s="12" customFormat="1" x14ac:dyDescent="0.25"/>
    <row r="216745" s="12" customFormat="1" x14ac:dyDescent="0.25"/>
    <row r="216746" s="12" customFormat="1" x14ac:dyDescent="0.25"/>
    <row r="216747" s="12" customFormat="1" x14ac:dyDescent="0.25"/>
    <row r="216748" s="12" customFormat="1" x14ac:dyDescent="0.25"/>
    <row r="216749" s="12" customFormat="1" x14ac:dyDescent="0.25"/>
    <row r="216750" s="12" customFormat="1" x14ac:dyDescent="0.25"/>
    <row r="216751" s="12" customFormat="1" x14ac:dyDescent="0.25"/>
    <row r="216752" s="12" customFormat="1" x14ac:dyDescent="0.25"/>
    <row r="216753" s="12" customFormat="1" x14ac:dyDescent="0.25"/>
    <row r="216754" s="12" customFormat="1" x14ac:dyDescent="0.25"/>
    <row r="216755" s="12" customFormat="1" x14ac:dyDescent="0.25"/>
    <row r="216756" s="12" customFormat="1" x14ac:dyDescent="0.25"/>
    <row r="216757" s="12" customFormat="1" x14ac:dyDescent="0.25"/>
    <row r="216758" s="12" customFormat="1" x14ac:dyDescent="0.25"/>
    <row r="216759" s="12" customFormat="1" x14ac:dyDescent="0.25"/>
    <row r="216760" s="12" customFormat="1" x14ac:dyDescent="0.25"/>
    <row r="216761" s="12" customFormat="1" x14ac:dyDescent="0.25"/>
    <row r="216762" s="12" customFormat="1" x14ac:dyDescent="0.25"/>
    <row r="216763" s="12" customFormat="1" x14ac:dyDescent="0.25"/>
    <row r="216764" s="12" customFormat="1" x14ac:dyDescent="0.25"/>
    <row r="216765" s="12" customFormat="1" x14ac:dyDescent="0.25"/>
    <row r="216766" s="12" customFormat="1" x14ac:dyDescent="0.25"/>
    <row r="216767" s="12" customFormat="1" x14ac:dyDescent="0.25"/>
    <row r="216768" s="12" customFormat="1" x14ac:dyDescent="0.25"/>
    <row r="216769" s="12" customFormat="1" x14ac:dyDescent="0.25"/>
    <row r="216770" s="12" customFormat="1" x14ac:dyDescent="0.25"/>
    <row r="216771" s="12" customFormat="1" x14ac:dyDescent="0.25"/>
    <row r="216772" s="12" customFormat="1" x14ac:dyDescent="0.25"/>
    <row r="216773" s="12" customFormat="1" x14ac:dyDescent="0.25"/>
    <row r="216774" s="12" customFormat="1" x14ac:dyDescent="0.25"/>
    <row r="216775" s="12" customFormat="1" x14ac:dyDescent="0.25"/>
    <row r="216776" s="12" customFormat="1" x14ac:dyDescent="0.25"/>
    <row r="216777" s="12" customFormat="1" x14ac:dyDescent="0.25"/>
    <row r="216778" s="12" customFormat="1" x14ac:dyDescent="0.25"/>
    <row r="216779" s="12" customFormat="1" x14ac:dyDescent="0.25"/>
    <row r="216780" s="12" customFormat="1" x14ac:dyDescent="0.25"/>
    <row r="216781" s="12" customFormat="1" x14ac:dyDescent="0.25"/>
    <row r="216782" s="12" customFormat="1" x14ac:dyDescent="0.25"/>
    <row r="216783" s="12" customFormat="1" x14ac:dyDescent="0.25"/>
    <row r="216784" s="12" customFormat="1" x14ac:dyDescent="0.25"/>
    <row r="216785" s="12" customFormat="1" x14ac:dyDescent="0.25"/>
    <row r="216786" s="12" customFormat="1" x14ac:dyDescent="0.25"/>
    <row r="216787" s="12" customFormat="1" x14ac:dyDescent="0.25"/>
    <row r="216788" s="12" customFormat="1" x14ac:dyDescent="0.25"/>
    <row r="216789" s="12" customFormat="1" x14ac:dyDescent="0.25"/>
    <row r="216790" s="12" customFormat="1" x14ac:dyDescent="0.25"/>
    <row r="216791" s="12" customFormat="1" x14ac:dyDescent="0.25"/>
    <row r="216792" s="12" customFormat="1" x14ac:dyDescent="0.25"/>
    <row r="216793" s="12" customFormat="1" x14ac:dyDescent="0.25"/>
    <row r="216794" s="12" customFormat="1" x14ac:dyDescent="0.25"/>
    <row r="216795" s="12" customFormat="1" x14ac:dyDescent="0.25"/>
    <row r="216796" s="12" customFormat="1" x14ac:dyDescent="0.25"/>
    <row r="216797" s="12" customFormat="1" x14ac:dyDescent="0.25"/>
    <row r="216798" s="12" customFormat="1" x14ac:dyDescent="0.25"/>
    <row r="216799" s="12" customFormat="1" x14ac:dyDescent="0.25"/>
    <row r="216800" s="12" customFormat="1" x14ac:dyDescent="0.25"/>
    <row r="216801" s="12" customFormat="1" x14ac:dyDescent="0.25"/>
    <row r="216802" s="12" customFormat="1" x14ac:dyDescent="0.25"/>
    <row r="216803" s="12" customFormat="1" x14ac:dyDescent="0.25"/>
    <row r="216804" s="12" customFormat="1" x14ac:dyDescent="0.25"/>
    <row r="216805" s="12" customFormat="1" x14ac:dyDescent="0.25"/>
    <row r="216806" s="12" customFormat="1" x14ac:dyDescent="0.25"/>
    <row r="216807" s="12" customFormat="1" x14ac:dyDescent="0.25"/>
    <row r="216808" s="12" customFormat="1" x14ac:dyDescent="0.25"/>
    <row r="216809" s="12" customFormat="1" x14ac:dyDescent="0.25"/>
    <row r="216810" s="12" customFormat="1" x14ac:dyDescent="0.25"/>
    <row r="216811" s="12" customFormat="1" x14ac:dyDescent="0.25"/>
    <row r="216812" s="12" customFormat="1" x14ac:dyDescent="0.25"/>
    <row r="216813" s="12" customFormat="1" x14ac:dyDescent="0.25"/>
    <row r="216814" s="12" customFormat="1" x14ac:dyDescent="0.25"/>
    <row r="216815" s="12" customFormat="1" x14ac:dyDescent="0.25"/>
    <row r="216816" s="12" customFormat="1" x14ac:dyDescent="0.25"/>
    <row r="216817" s="12" customFormat="1" x14ac:dyDescent="0.25"/>
    <row r="216818" s="12" customFormat="1" x14ac:dyDescent="0.25"/>
    <row r="216819" s="12" customFormat="1" x14ac:dyDescent="0.25"/>
    <row r="216820" s="12" customFormat="1" x14ac:dyDescent="0.25"/>
    <row r="216821" s="12" customFormat="1" x14ac:dyDescent="0.25"/>
    <row r="216822" s="12" customFormat="1" x14ac:dyDescent="0.25"/>
    <row r="216823" s="12" customFormat="1" x14ac:dyDescent="0.25"/>
    <row r="216824" s="12" customFormat="1" x14ac:dyDescent="0.25"/>
    <row r="216825" s="12" customFormat="1" x14ac:dyDescent="0.25"/>
    <row r="216826" s="12" customFormat="1" x14ac:dyDescent="0.25"/>
    <row r="216827" s="12" customFormat="1" x14ac:dyDescent="0.25"/>
    <row r="216828" s="12" customFormat="1" x14ac:dyDescent="0.25"/>
    <row r="216829" s="12" customFormat="1" x14ac:dyDescent="0.25"/>
    <row r="216830" s="12" customFormat="1" x14ac:dyDescent="0.25"/>
    <row r="216831" s="12" customFormat="1" x14ac:dyDescent="0.25"/>
    <row r="216832" s="12" customFormat="1" x14ac:dyDescent="0.25"/>
    <row r="216833" s="12" customFormat="1" x14ac:dyDescent="0.25"/>
    <row r="216834" s="12" customFormat="1" x14ac:dyDescent="0.25"/>
    <row r="216835" s="12" customFormat="1" x14ac:dyDescent="0.25"/>
    <row r="216836" s="12" customFormat="1" x14ac:dyDescent="0.25"/>
    <row r="216837" s="12" customFormat="1" x14ac:dyDescent="0.25"/>
    <row r="216838" s="12" customFormat="1" x14ac:dyDescent="0.25"/>
    <row r="216839" s="12" customFormat="1" x14ac:dyDescent="0.25"/>
    <row r="216840" s="12" customFormat="1" x14ac:dyDescent="0.25"/>
    <row r="216841" s="12" customFormat="1" x14ac:dyDescent="0.25"/>
    <row r="216842" s="12" customFormat="1" x14ac:dyDescent="0.25"/>
    <row r="216843" s="12" customFormat="1" x14ac:dyDescent="0.25"/>
    <row r="216844" s="12" customFormat="1" x14ac:dyDescent="0.25"/>
    <row r="216845" s="12" customFormat="1" x14ac:dyDescent="0.25"/>
    <row r="216846" s="12" customFormat="1" x14ac:dyDescent="0.25"/>
    <row r="216847" s="12" customFormat="1" x14ac:dyDescent="0.25"/>
    <row r="216848" s="12" customFormat="1" x14ac:dyDescent="0.25"/>
    <row r="216849" s="12" customFormat="1" x14ac:dyDescent="0.25"/>
    <row r="216850" s="12" customFormat="1" x14ac:dyDescent="0.25"/>
    <row r="216851" s="12" customFormat="1" x14ac:dyDescent="0.25"/>
    <row r="216852" s="12" customFormat="1" x14ac:dyDescent="0.25"/>
    <row r="216853" s="12" customFormat="1" x14ac:dyDescent="0.25"/>
    <row r="216854" s="12" customFormat="1" x14ac:dyDescent="0.25"/>
    <row r="216855" s="12" customFormat="1" x14ac:dyDescent="0.25"/>
    <row r="216856" s="12" customFormat="1" x14ac:dyDescent="0.25"/>
    <row r="216857" s="12" customFormat="1" x14ac:dyDescent="0.25"/>
    <row r="216858" s="12" customFormat="1" x14ac:dyDescent="0.25"/>
    <row r="216859" s="12" customFormat="1" x14ac:dyDescent="0.25"/>
    <row r="216860" s="12" customFormat="1" x14ac:dyDescent="0.25"/>
    <row r="216861" s="12" customFormat="1" x14ac:dyDescent="0.25"/>
    <row r="216862" s="12" customFormat="1" x14ac:dyDescent="0.25"/>
    <row r="216863" s="12" customFormat="1" x14ac:dyDescent="0.25"/>
    <row r="216864" s="12" customFormat="1" x14ac:dyDescent="0.25"/>
    <row r="216865" s="12" customFormat="1" x14ac:dyDescent="0.25"/>
    <row r="216866" s="12" customFormat="1" x14ac:dyDescent="0.25"/>
    <row r="216867" s="12" customFormat="1" x14ac:dyDescent="0.25"/>
    <row r="216868" s="12" customFormat="1" x14ac:dyDescent="0.25"/>
    <row r="216869" s="12" customFormat="1" x14ac:dyDescent="0.25"/>
    <row r="216870" s="12" customFormat="1" x14ac:dyDescent="0.25"/>
    <row r="216871" s="12" customFormat="1" x14ac:dyDescent="0.25"/>
    <row r="216872" s="12" customFormat="1" x14ac:dyDescent="0.25"/>
    <row r="216873" s="12" customFormat="1" x14ac:dyDescent="0.25"/>
    <row r="216874" s="12" customFormat="1" x14ac:dyDescent="0.25"/>
    <row r="216875" s="12" customFormat="1" x14ac:dyDescent="0.25"/>
    <row r="216876" s="12" customFormat="1" x14ac:dyDescent="0.25"/>
    <row r="216877" s="12" customFormat="1" x14ac:dyDescent="0.25"/>
    <row r="216878" s="12" customFormat="1" x14ac:dyDescent="0.25"/>
    <row r="216879" s="12" customFormat="1" x14ac:dyDescent="0.25"/>
    <row r="216880" s="12" customFormat="1" x14ac:dyDescent="0.25"/>
    <row r="216881" s="12" customFormat="1" x14ac:dyDescent="0.25"/>
    <row r="216882" s="12" customFormat="1" x14ac:dyDescent="0.25"/>
    <row r="216883" s="12" customFormat="1" x14ac:dyDescent="0.25"/>
    <row r="216884" s="12" customFormat="1" x14ac:dyDescent="0.25"/>
    <row r="216885" s="12" customFormat="1" x14ac:dyDescent="0.25"/>
    <row r="216886" s="12" customFormat="1" x14ac:dyDescent="0.25"/>
    <row r="216887" s="12" customFormat="1" x14ac:dyDescent="0.25"/>
    <row r="216888" s="12" customFormat="1" x14ac:dyDescent="0.25"/>
    <row r="216889" s="12" customFormat="1" x14ac:dyDescent="0.25"/>
    <row r="216890" s="12" customFormat="1" x14ac:dyDescent="0.25"/>
    <row r="216891" s="12" customFormat="1" x14ac:dyDescent="0.25"/>
    <row r="216892" s="12" customFormat="1" x14ac:dyDescent="0.25"/>
    <row r="216893" s="12" customFormat="1" x14ac:dyDescent="0.25"/>
    <row r="216894" s="12" customFormat="1" x14ac:dyDescent="0.25"/>
    <row r="216895" s="12" customFormat="1" x14ac:dyDescent="0.25"/>
    <row r="216896" s="12" customFormat="1" x14ac:dyDescent="0.25"/>
    <row r="216897" s="12" customFormat="1" x14ac:dyDescent="0.25"/>
    <row r="216898" s="12" customFormat="1" x14ac:dyDescent="0.25"/>
    <row r="216899" s="12" customFormat="1" x14ac:dyDescent="0.25"/>
    <row r="216900" s="12" customFormat="1" x14ac:dyDescent="0.25"/>
    <row r="216901" s="12" customFormat="1" x14ac:dyDescent="0.25"/>
    <row r="216902" s="12" customFormat="1" x14ac:dyDescent="0.25"/>
    <row r="216903" s="12" customFormat="1" x14ac:dyDescent="0.25"/>
    <row r="216904" s="12" customFormat="1" x14ac:dyDescent="0.25"/>
    <row r="216905" s="12" customFormat="1" x14ac:dyDescent="0.25"/>
    <row r="216906" s="12" customFormat="1" x14ac:dyDescent="0.25"/>
    <row r="216907" s="12" customFormat="1" x14ac:dyDescent="0.25"/>
    <row r="216908" s="12" customFormat="1" x14ac:dyDescent="0.25"/>
    <row r="216909" s="12" customFormat="1" x14ac:dyDescent="0.25"/>
    <row r="216910" s="12" customFormat="1" x14ac:dyDescent="0.25"/>
    <row r="216911" s="12" customFormat="1" x14ac:dyDescent="0.25"/>
    <row r="216912" s="12" customFormat="1" x14ac:dyDescent="0.25"/>
    <row r="216913" s="12" customFormat="1" x14ac:dyDescent="0.25"/>
    <row r="216914" s="12" customFormat="1" x14ac:dyDescent="0.25"/>
    <row r="216915" s="12" customFormat="1" x14ac:dyDescent="0.25"/>
    <row r="216916" s="12" customFormat="1" x14ac:dyDescent="0.25"/>
    <row r="216917" s="12" customFormat="1" x14ac:dyDescent="0.25"/>
    <row r="216918" s="12" customFormat="1" x14ac:dyDescent="0.25"/>
    <row r="216919" s="12" customFormat="1" x14ac:dyDescent="0.25"/>
    <row r="216920" s="12" customFormat="1" x14ac:dyDescent="0.25"/>
    <row r="216921" s="12" customFormat="1" x14ac:dyDescent="0.25"/>
    <row r="216922" s="12" customFormat="1" x14ac:dyDescent="0.25"/>
    <row r="216923" s="12" customFormat="1" x14ac:dyDescent="0.25"/>
    <row r="216924" s="12" customFormat="1" x14ac:dyDescent="0.25"/>
    <row r="216925" s="12" customFormat="1" x14ac:dyDescent="0.25"/>
    <row r="216926" s="12" customFormat="1" x14ac:dyDescent="0.25"/>
    <row r="216927" s="12" customFormat="1" x14ac:dyDescent="0.25"/>
    <row r="216928" s="12" customFormat="1" x14ac:dyDescent="0.25"/>
    <row r="216929" s="12" customFormat="1" x14ac:dyDescent="0.25"/>
    <row r="216930" s="12" customFormat="1" x14ac:dyDescent="0.25"/>
    <row r="216931" s="12" customFormat="1" x14ac:dyDescent="0.25"/>
    <row r="216932" s="12" customFormat="1" x14ac:dyDescent="0.25"/>
    <row r="216933" s="12" customFormat="1" x14ac:dyDescent="0.25"/>
    <row r="216934" s="12" customFormat="1" x14ac:dyDescent="0.25"/>
    <row r="216935" s="12" customFormat="1" x14ac:dyDescent="0.25"/>
    <row r="216936" s="12" customFormat="1" x14ac:dyDescent="0.25"/>
    <row r="216937" s="12" customFormat="1" x14ac:dyDescent="0.25"/>
    <row r="216938" s="12" customFormat="1" x14ac:dyDescent="0.25"/>
    <row r="216939" s="12" customFormat="1" x14ac:dyDescent="0.25"/>
    <row r="216940" s="12" customFormat="1" x14ac:dyDescent="0.25"/>
    <row r="216941" s="12" customFormat="1" x14ac:dyDescent="0.25"/>
    <row r="216942" s="12" customFormat="1" x14ac:dyDescent="0.25"/>
    <row r="216943" s="12" customFormat="1" x14ac:dyDescent="0.25"/>
    <row r="216944" s="12" customFormat="1" x14ac:dyDescent="0.25"/>
    <row r="216945" s="12" customFormat="1" x14ac:dyDescent="0.25"/>
    <row r="216946" s="12" customFormat="1" x14ac:dyDescent="0.25"/>
    <row r="216947" s="12" customFormat="1" x14ac:dyDescent="0.25"/>
    <row r="216948" s="12" customFormat="1" x14ac:dyDescent="0.25"/>
    <row r="216949" s="12" customFormat="1" x14ac:dyDescent="0.25"/>
    <row r="216950" s="12" customFormat="1" x14ac:dyDescent="0.25"/>
    <row r="216951" s="12" customFormat="1" x14ac:dyDescent="0.25"/>
    <row r="216952" s="12" customFormat="1" x14ac:dyDescent="0.25"/>
    <row r="216953" s="12" customFormat="1" x14ac:dyDescent="0.25"/>
    <row r="216954" s="12" customFormat="1" x14ac:dyDescent="0.25"/>
    <row r="216955" s="12" customFormat="1" x14ac:dyDescent="0.25"/>
    <row r="216956" s="12" customFormat="1" x14ac:dyDescent="0.25"/>
    <row r="216957" s="12" customFormat="1" x14ac:dyDescent="0.25"/>
    <row r="216958" s="12" customFormat="1" x14ac:dyDescent="0.25"/>
    <row r="216959" s="12" customFormat="1" x14ac:dyDescent="0.25"/>
    <row r="216960" s="12" customFormat="1" x14ac:dyDescent="0.25"/>
    <row r="216961" s="12" customFormat="1" x14ac:dyDescent="0.25"/>
    <row r="216962" s="12" customFormat="1" x14ac:dyDescent="0.25"/>
    <row r="216963" s="12" customFormat="1" x14ac:dyDescent="0.25"/>
    <row r="216964" s="12" customFormat="1" x14ac:dyDescent="0.25"/>
    <row r="216965" s="12" customFormat="1" x14ac:dyDescent="0.25"/>
    <row r="216966" s="12" customFormat="1" x14ac:dyDescent="0.25"/>
    <row r="216967" s="12" customFormat="1" x14ac:dyDescent="0.25"/>
    <row r="216968" s="12" customFormat="1" x14ac:dyDescent="0.25"/>
    <row r="216969" s="12" customFormat="1" x14ac:dyDescent="0.25"/>
    <row r="216970" s="12" customFormat="1" x14ac:dyDescent="0.25"/>
    <row r="216971" s="12" customFormat="1" x14ac:dyDescent="0.25"/>
    <row r="216972" s="12" customFormat="1" x14ac:dyDescent="0.25"/>
    <row r="216973" s="12" customFormat="1" x14ac:dyDescent="0.25"/>
    <row r="216974" s="12" customFormat="1" x14ac:dyDescent="0.25"/>
    <row r="216975" s="12" customFormat="1" x14ac:dyDescent="0.25"/>
    <row r="216976" s="12" customFormat="1" x14ac:dyDescent="0.25"/>
    <row r="216977" s="12" customFormat="1" x14ac:dyDescent="0.25"/>
    <row r="216978" s="12" customFormat="1" x14ac:dyDescent="0.25"/>
    <row r="216979" s="12" customFormat="1" x14ac:dyDescent="0.25"/>
    <row r="216980" s="12" customFormat="1" x14ac:dyDescent="0.25"/>
    <row r="216981" s="12" customFormat="1" x14ac:dyDescent="0.25"/>
    <row r="216982" s="12" customFormat="1" x14ac:dyDescent="0.25"/>
    <row r="216983" s="12" customFormat="1" x14ac:dyDescent="0.25"/>
    <row r="216984" s="12" customFormat="1" x14ac:dyDescent="0.25"/>
    <row r="216985" s="12" customFormat="1" x14ac:dyDescent="0.25"/>
    <row r="216986" s="12" customFormat="1" x14ac:dyDescent="0.25"/>
    <row r="216987" s="12" customFormat="1" x14ac:dyDescent="0.25"/>
    <row r="216988" s="12" customFormat="1" x14ac:dyDescent="0.25"/>
    <row r="216989" s="12" customFormat="1" x14ac:dyDescent="0.25"/>
    <row r="216990" s="12" customFormat="1" x14ac:dyDescent="0.25"/>
    <row r="216991" s="12" customFormat="1" x14ac:dyDescent="0.25"/>
    <row r="216992" s="12" customFormat="1" x14ac:dyDescent="0.25"/>
    <row r="216993" s="12" customFormat="1" x14ac:dyDescent="0.25"/>
    <row r="216994" s="12" customFormat="1" x14ac:dyDescent="0.25"/>
    <row r="216995" s="12" customFormat="1" x14ac:dyDescent="0.25"/>
    <row r="216996" s="12" customFormat="1" x14ac:dyDescent="0.25"/>
    <row r="216997" s="12" customFormat="1" x14ac:dyDescent="0.25"/>
    <row r="216998" s="12" customFormat="1" x14ac:dyDescent="0.25"/>
    <row r="216999" s="12" customFormat="1" x14ac:dyDescent="0.25"/>
    <row r="217000" s="12" customFormat="1" x14ac:dyDescent="0.25"/>
    <row r="217001" s="12" customFormat="1" x14ac:dyDescent="0.25"/>
    <row r="217002" s="12" customFormat="1" x14ac:dyDescent="0.25"/>
    <row r="217003" s="12" customFormat="1" x14ac:dyDescent="0.25"/>
    <row r="217004" s="12" customFormat="1" x14ac:dyDescent="0.25"/>
    <row r="217005" s="12" customFormat="1" x14ac:dyDescent="0.25"/>
    <row r="217006" s="12" customFormat="1" x14ac:dyDescent="0.25"/>
    <row r="217007" s="12" customFormat="1" x14ac:dyDescent="0.25"/>
    <row r="217008" s="12" customFormat="1" x14ac:dyDescent="0.25"/>
    <row r="217009" s="12" customFormat="1" x14ac:dyDescent="0.25"/>
    <row r="217010" s="12" customFormat="1" x14ac:dyDescent="0.25"/>
    <row r="217011" s="12" customFormat="1" x14ac:dyDescent="0.25"/>
    <row r="217012" s="12" customFormat="1" x14ac:dyDescent="0.25"/>
    <row r="217013" s="12" customFormat="1" x14ac:dyDescent="0.25"/>
    <row r="217014" s="12" customFormat="1" x14ac:dyDescent="0.25"/>
    <row r="217015" s="12" customFormat="1" x14ac:dyDescent="0.25"/>
    <row r="217016" s="12" customFormat="1" x14ac:dyDescent="0.25"/>
    <row r="217017" s="12" customFormat="1" x14ac:dyDescent="0.25"/>
    <row r="217018" s="12" customFormat="1" x14ac:dyDescent="0.25"/>
    <row r="217019" s="12" customFormat="1" x14ac:dyDescent="0.25"/>
    <row r="217020" s="12" customFormat="1" x14ac:dyDescent="0.25"/>
    <row r="217021" s="12" customFormat="1" x14ac:dyDescent="0.25"/>
    <row r="217022" s="12" customFormat="1" x14ac:dyDescent="0.25"/>
    <row r="217023" s="12" customFormat="1" x14ac:dyDescent="0.25"/>
    <row r="217024" s="12" customFormat="1" x14ac:dyDescent="0.25"/>
    <row r="217025" s="12" customFormat="1" x14ac:dyDescent="0.25"/>
    <row r="217026" s="12" customFormat="1" x14ac:dyDescent="0.25"/>
    <row r="217027" s="12" customFormat="1" x14ac:dyDescent="0.25"/>
    <row r="217028" s="12" customFormat="1" x14ac:dyDescent="0.25"/>
    <row r="217029" s="12" customFormat="1" x14ac:dyDescent="0.25"/>
    <row r="217030" s="12" customFormat="1" x14ac:dyDescent="0.25"/>
    <row r="217031" s="12" customFormat="1" x14ac:dyDescent="0.25"/>
    <row r="217032" s="12" customFormat="1" x14ac:dyDescent="0.25"/>
    <row r="217033" s="12" customFormat="1" x14ac:dyDescent="0.25"/>
    <row r="217034" s="12" customFormat="1" x14ac:dyDescent="0.25"/>
    <row r="217035" s="12" customFormat="1" x14ac:dyDescent="0.25"/>
    <row r="217036" s="12" customFormat="1" x14ac:dyDescent="0.25"/>
    <row r="217037" s="12" customFormat="1" x14ac:dyDescent="0.25"/>
    <row r="217038" s="12" customFormat="1" x14ac:dyDescent="0.25"/>
    <row r="217039" s="12" customFormat="1" x14ac:dyDescent="0.25"/>
    <row r="217040" s="12" customFormat="1" x14ac:dyDescent="0.25"/>
    <row r="217041" s="12" customFormat="1" x14ac:dyDescent="0.25"/>
    <row r="217042" s="12" customFormat="1" x14ac:dyDescent="0.25"/>
    <row r="217043" s="12" customFormat="1" x14ac:dyDescent="0.25"/>
    <row r="217044" s="12" customFormat="1" x14ac:dyDescent="0.25"/>
    <row r="217045" s="12" customFormat="1" x14ac:dyDescent="0.25"/>
    <row r="217046" s="12" customFormat="1" x14ac:dyDescent="0.25"/>
    <row r="217047" s="12" customFormat="1" x14ac:dyDescent="0.25"/>
    <row r="217048" s="12" customFormat="1" x14ac:dyDescent="0.25"/>
    <row r="217049" s="12" customFormat="1" x14ac:dyDescent="0.25"/>
    <row r="217050" s="12" customFormat="1" x14ac:dyDescent="0.25"/>
    <row r="217051" s="12" customFormat="1" x14ac:dyDescent="0.25"/>
    <row r="217052" s="12" customFormat="1" x14ac:dyDescent="0.25"/>
    <row r="217053" s="12" customFormat="1" x14ac:dyDescent="0.25"/>
    <row r="217054" s="12" customFormat="1" x14ac:dyDescent="0.25"/>
    <row r="217055" s="12" customFormat="1" x14ac:dyDescent="0.25"/>
    <row r="217056" s="12" customFormat="1" x14ac:dyDescent="0.25"/>
    <row r="217057" s="12" customFormat="1" x14ac:dyDescent="0.25"/>
    <row r="217058" s="12" customFormat="1" x14ac:dyDescent="0.25"/>
    <row r="217059" s="12" customFormat="1" x14ac:dyDescent="0.25"/>
    <row r="217060" s="12" customFormat="1" x14ac:dyDescent="0.25"/>
    <row r="217061" s="12" customFormat="1" x14ac:dyDescent="0.25"/>
    <row r="217062" s="12" customFormat="1" x14ac:dyDescent="0.25"/>
    <row r="217063" s="12" customFormat="1" x14ac:dyDescent="0.25"/>
    <row r="217064" s="12" customFormat="1" x14ac:dyDescent="0.25"/>
    <row r="217065" s="12" customFormat="1" x14ac:dyDescent="0.25"/>
    <row r="217066" s="12" customFormat="1" x14ac:dyDescent="0.25"/>
    <row r="217067" s="12" customFormat="1" x14ac:dyDescent="0.25"/>
    <row r="217068" s="12" customFormat="1" x14ac:dyDescent="0.25"/>
    <row r="217069" s="12" customFormat="1" x14ac:dyDescent="0.25"/>
    <row r="217070" s="12" customFormat="1" x14ac:dyDescent="0.25"/>
    <row r="217071" s="12" customFormat="1" x14ac:dyDescent="0.25"/>
    <row r="217072" s="12" customFormat="1" x14ac:dyDescent="0.25"/>
    <row r="217073" s="12" customFormat="1" x14ac:dyDescent="0.25"/>
    <row r="217074" s="12" customFormat="1" x14ac:dyDescent="0.25"/>
    <row r="217075" s="12" customFormat="1" x14ac:dyDescent="0.25"/>
    <row r="217076" s="12" customFormat="1" x14ac:dyDescent="0.25"/>
    <row r="217077" s="12" customFormat="1" x14ac:dyDescent="0.25"/>
    <row r="217078" s="12" customFormat="1" x14ac:dyDescent="0.25"/>
    <row r="217079" s="12" customFormat="1" x14ac:dyDescent="0.25"/>
    <row r="217080" s="12" customFormat="1" x14ac:dyDescent="0.25"/>
    <row r="217081" s="12" customFormat="1" x14ac:dyDescent="0.25"/>
    <row r="217082" s="12" customFormat="1" x14ac:dyDescent="0.25"/>
    <row r="217083" s="12" customFormat="1" x14ac:dyDescent="0.25"/>
    <row r="217084" s="12" customFormat="1" x14ac:dyDescent="0.25"/>
    <row r="217085" s="12" customFormat="1" x14ac:dyDescent="0.25"/>
    <row r="217086" s="12" customFormat="1" x14ac:dyDescent="0.25"/>
    <row r="217087" s="12" customFormat="1" x14ac:dyDescent="0.25"/>
    <row r="217088" s="12" customFormat="1" x14ac:dyDescent="0.25"/>
    <row r="217089" s="12" customFormat="1" x14ac:dyDescent="0.25"/>
    <row r="217090" s="12" customFormat="1" x14ac:dyDescent="0.25"/>
    <row r="217091" s="12" customFormat="1" x14ac:dyDescent="0.25"/>
    <row r="217092" s="12" customFormat="1" x14ac:dyDescent="0.25"/>
    <row r="217093" s="12" customFormat="1" x14ac:dyDescent="0.25"/>
    <row r="217094" s="12" customFormat="1" x14ac:dyDescent="0.25"/>
    <row r="217095" s="12" customFormat="1" x14ac:dyDescent="0.25"/>
    <row r="217096" s="12" customFormat="1" x14ac:dyDescent="0.25"/>
    <row r="217097" s="12" customFormat="1" x14ac:dyDescent="0.25"/>
    <row r="217098" s="12" customFormat="1" x14ac:dyDescent="0.25"/>
    <row r="217099" s="12" customFormat="1" x14ac:dyDescent="0.25"/>
    <row r="217100" s="12" customFormat="1" x14ac:dyDescent="0.25"/>
    <row r="217101" s="12" customFormat="1" x14ac:dyDescent="0.25"/>
    <row r="217102" s="12" customFormat="1" x14ac:dyDescent="0.25"/>
    <row r="217103" s="12" customFormat="1" x14ac:dyDescent="0.25"/>
    <row r="217104" s="12" customFormat="1" x14ac:dyDescent="0.25"/>
    <row r="217105" s="12" customFormat="1" x14ac:dyDescent="0.25"/>
    <row r="217106" s="12" customFormat="1" x14ac:dyDescent="0.25"/>
    <row r="217107" s="12" customFormat="1" x14ac:dyDescent="0.25"/>
    <row r="217108" s="12" customFormat="1" x14ac:dyDescent="0.25"/>
    <row r="217109" s="12" customFormat="1" x14ac:dyDescent="0.25"/>
    <row r="217110" s="12" customFormat="1" x14ac:dyDescent="0.25"/>
    <row r="217111" s="12" customFormat="1" x14ac:dyDescent="0.25"/>
    <row r="217112" s="12" customFormat="1" x14ac:dyDescent="0.25"/>
    <row r="217113" s="12" customFormat="1" x14ac:dyDescent="0.25"/>
    <row r="217114" s="12" customFormat="1" x14ac:dyDescent="0.25"/>
    <row r="217115" s="12" customFormat="1" x14ac:dyDescent="0.25"/>
    <row r="217116" s="12" customFormat="1" x14ac:dyDescent="0.25"/>
    <row r="217117" s="12" customFormat="1" x14ac:dyDescent="0.25"/>
    <row r="217118" s="12" customFormat="1" x14ac:dyDescent="0.25"/>
    <row r="217119" s="12" customFormat="1" x14ac:dyDescent="0.25"/>
    <row r="217120" s="12" customFormat="1" x14ac:dyDescent="0.25"/>
    <row r="217121" s="12" customFormat="1" x14ac:dyDescent="0.25"/>
    <row r="217122" s="12" customFormat="1" x14ac:dyDescent="0.25"/>
    <row r="217123" s="12" customFormat="1" x14ac:dyDescent="0.25"/>
    <row r="217124" s="12" customFormat="1" x14ac:dyDescent="0.25"/>
    <row r="217125" s="12" customFormat="1" x14ac:dyDescent="0.25"/>
    <row r="217126" s="12" customFormat="1" x14ac:dyDescent="0.25"/>
    <row r="217127" s="12" customFormat="1" x14ac:dyDescent="0.25"/>
    <row r="217128" s="12" customFormat="1" x14ac:dyDescent="0.25"/>
    <row r="217129" s="12" customFormat="1" x14ac:dyDescent="0.25"/>
    <row r="217130" s="12" customFormat="1" x14ac:dyDescent="0.25"/>
    <row r="217131" s="12" customFormat="1" x14ac:dyDescent="0.25"/>
    <row r="217132" s="12" customFormat="1" x14ac:dyDescent="0.25"/>
    <row r="217133" s="12" customFormat="1" x14ac:dyDescent="0.25"/>
    <row r="217134" s="12" customFormat="1" x14ac:dyDescent="0.25"/>
    <row r="217135" s="12" customFormat="1" x14ac:dyDescent="0.25"/>
    <row r="217136" s="12" customFormat="1" x14ac:dyDescent="0.25"/>
    <row r="217137" s="12" customFormat="1" x14ac:dyDescent="0.25"/>
    <row r="217138" s="12" customFormat="1" x14ac:dyDescent="0.25"/>
    <row r="217139" s="12" customFormat="1" x14ac:dyDescent="0.25"/>
    <row r="217140" s="12" customFormat="1" x14ac:dyDescent="0.25"/>
    <row r="217141" s="12" customFormat="1" x14ac:dyDescent="0.25"/>
    <row r="217142" s="12" customFormat="1" x14ac:dyDescent="0.25"/>
    <row r="217143" s="12" customFormat="1" x14ac:dyDescent="0.25"/>
    <row r="217144" s="12" customFormat="1" x14ac:dyDescent="0.25"/>
    <row r="217145" s="12" customFormat="1" x14ac:dyDescent="0.25"/>
    <row r="217146" s="12" customFormat="1" x14ac:dyDescent="0.25"/>
    <row r="217147" s="12" customFormat="1" x14ac:dyDescent="0.25"/>
    <row r="217148" s="12" customFormat="1" x14ac:dyDescent="0.25"/>
    <row r="217149" s="12" customFormat="1" x14ac:dyDescent="0.25"/>
    <row r="217150" s="12" customFormat="1" x14ac:dyDescent="0.25"/>
    <row r="217151" s="12" customFormat="1" x14ac:dyDescent="0.25"/>
    <row r="217152" s="12" customFormat="1" x14ac:dyDescent="0.25"/>
    <row r="217153" s="12" customFormat="1" x14ac:dyDescent="0.25"/>
    <row r="217154" s="12" customFormat="1" x14ac:dyDescent="0.25"/>
    <row r="217155" s="12" customFormat="1" x14ac:dyDescent="0.25"/>
    <row r="217156" s="12" customFormat="1" x14ac:dyDescent="0.25"/>
    <row r="217157" s="12" customFormat="1" x14ac:dyDescent="0.25"/>
    <row r="217158" s="12" customFormat="1" x14ac:dyDescent="0.25"/>
    <row r="217159" s="12" customFormat="1" x14ac:dyDescent="0.25"/>
    <row r="217160" s="12" customFormat="1" x14ac:dyDescent="0.25"/>
    <row r="217161" s="12" customFormat="1" x14ac:dyDescent="0.25"/>
    <row r="217162" s="12" customFormat="1" x14ac:dyDescent="0.25"/>
    <row r="217163" s="12" customFormat="1" x14ac:dyDescent="0.25"/>
    <row r="217164" s="12" customFormat="1" x14ac:dyDescent="0.25"/>
    <row r="217165" s="12" customFormat="1" x14ac:dyDescent="0.25"/>
    <row r="217166" s="12" customFormat="1" x14ac:dyDescent="0.25"/>
    <row r="217167" s="12" customFormat="1" x14ac:dyDescent="0.25"/>
    <row r="217168" s="12" customFormat="1" x14ac:dyDescent="0.25"/>
    <row r="217169" s="12" customFormat="1" x14ac:dyDescent="0.25"/>
    <row r="217170" s="12" customFormat="1" x14ac:dyDescent="0.25"/>
    <row r="217171" s="12" customFormat="1" x14ac:dyDescent="0.25"/>
    <row r="217172" s="12" customFormat="1" x14ac:dyDescent="0.25"/>
    <row r="217173" s="12" customFormat="1" x14ac:dyDescent="0.25"/>
    <row r="217174" s="12" customFormat="1" x14ac:dyDescent="0.25"/>
    <row r="217175" s="12" customFormat="1" x14ac:dyDescent="0.25"/>
    <row r="217176" s="12" customFormat="1" x14ac:dyDescent="0.25"/>
    <row r="217177" s="12" customFormat="1" x14ac:dyDescent="0.25"/>
    <row r="217178" s="12" customFormat="1" x14ac:dyDescent="0.25"/>
    <row r="217179" s="12" customFormat="1" x14ac:dyDescent="0.25"/>
    <row r="217180" s="12" customFormat="1" x14ac:dyDescent="0.25"/>
    <row r="217181" s="12" customFormat="1" x14ac:dyDescent="0.25"/>
    <row r="217182" s="12" customFormat="1" x14ac:dyDescent="0.25"/>
    <row r="217183" s="12" customFormat="1" x14ac:dyDescent="0.25"/>
    <row r="217184" s="12" customFormat="1" x14ac:dyDescent="0.25"/>
    <row r="217185" s="12" customFormat="1" x14ac:dyDescent="0.25"/>
    <row r="217186" s="12" customFormat="1" x14ac:dyDescent="0.25"/>
    <row r="217187" s="12" customFormat="1" x14ac:dyDescent="0.25"/>
    <row r="217188" s="12" customFormat="1" x14ac:dyDescent="0.25"/>
    <row r="217189" s="12" customFormat="1" x14ac:dyDescent="0.25"/>
    <row r="217190" s="12" customFormat="1" x14ac:dyDescent="0.25"/>
    <row r="217191" s="12" customFormat="1" x14ac:dyDescent="0.25"/>
    <row r="217192" s="12" customFormat="1" x14ac:dyDescent="0.25"/>
    <row r="217193" s="12" customFormat="1" x14ac:dyDescent="0.25"/>
    <row r="217194" s="12" customFormat="1" x14ac:dyDescent="0.25"/>
    <row r="217195" s="12" customFormat="1" x14ac:dyDescent="0.25"/>
    <row r="217196" s="12" customFormat="1" x14ac:dyDescent="0.25"/>
    <row r="217197" s="12" customFormat="1" x14ac:dyDescent="0.25"/>
    <row r="217198" s="12" customFormat="1" x14ac:dyDescent="0.25"/>
    <row r="217199" s="12" customFormat="1" x14ac:dyDescent="0.25"/>
    <row r="217200" s="12" customFormat="1" x14ac:dyDescent="0.25"/>
    <row r="217201" s="12" customFormat="1" x14ac:dyDescent="0.25"/>
    <row r="217202" s="12" customFormat="1" x14ac:dyDescent="0.25"/>
    <row r="217203" s="12" customFormat="1" x14ac:dyDescent="0.25"/>
    <row r="217204" s="12" customFormat="1" x14ac:dyDescent="0.25"/>
    <row r="217205" s="12" customFormat="1" x14ac:dyDescent="0.25"/>
    <row r="217206" s="12" customFormat="1" x14ac:dyDescent="0.25"/>
    <row r="217207" s="12" customFormat="1" x14ac:dyDescent="0.25"/>
    <row r="217208" s="12" customFormat="1" x14ac:dyDescent="0.25"/>
    <row r="217209" s="12" customFormat="1" x14ac:dyDescent="0.25"/>
    <row r="217210" s="12" customFormat="1" x14ac:dyDescent="0.25"/>
    <row r="217211" s="12" customFormat="1" x14ac:dyDescent="0.25"/>
    <row r="217212" s="12" customFormat="1" x14ac:dyDescent="0.25"/>
    <row r="217213" s="12" customFormat="1" x14ac:dyDescent="0.25"/>
    <row r="217214" s="12" customFormat="1" x14ac:dyDescent="0.25"/>
    <row r="217215" s="12" customFormat="1" x14ac:dyDescent="0.25"/>
    <row r="217216" s="12" customFormat="1" x14ac:dyDescent="0.25"/>
    <row r="217217" s="12" customFormat="1" x14ac:dyDescent="0.25"/>
    <row r="217218" s="12" customFormat="1" x14ac:dyDescent="0.25"/>
    <row r="217219" s="12" customFormat="1" x14ac:dyDescent="0.25"/>
    <row r="217220" s="12" customFormat="1" x14ac:dyDescent="0.25"/>
    <row r="217221" s="12" customFormat="1" x14ac:dyDescent="0.25"/>
    <row r="217222" s="12" customFormat="1" x14ac:dyDescent="0.25"/>
    <row r="217223" s="12" customFormat="1" x14ac:dyDescent="0.25"/>
    <row r="217224" s="12" customFormat="1" x14ac:dyDescent="0.25"/>
    <row r="217225" s="12" customFormat="1" x14ac:dyDescent="0.25"/>
    <row r="217226" s="12" customFormat="1" x14ac:dyDescent="0.25"/>
    <row r="217227" s="12" customFormat="1" x14ac:dyDescent="0.25"/>
    <row r="217228" s="12" customFormat="1" x14ac:dyDescent="0.25"/>
    <row r="217229" s="12" customFormat="1" x14ac:dyDescent="0.25"/>
    <row r="217230" s="12" customFormat="1" x14ac:dyDescent="0.25"/>
    <row r="217231" s="12" customFormat="1" x14ac:dyDescent="0.25"/>
    <row r="217232" s="12" customFormat="1" x14ac:dyDescent="0.25"/>
    <row r="217233" s="12" customFormat="1" x14ac:dyDescent="0.25"/>
    <row r="217234" s="12" customFormat="1" x14ac:dyDescent="0.25"/>
    <row r="217235" s="12" customFormat="1" x14ac:dyDescent="0.25"/>
    <row r="217236" s="12" customFormat="1" x14ac:dyDescent="0.25"/>
    <row r="217237" s="12" customFormat="1" x14ac:dyDescent="0.25"/>
    <row r="217238" s="12" customFormat="1" x14ac:dyDescent="0.25"/>
    <row r="217239" s="12" customFormat="1" x14ac:dyDescent="0.25"/>
    <row r="217240" s="12" customFormat="1" x14ac:dyDescent="0.25"/>
    <row r="217241" s="12" customFormat="1" x14ac:dyDescent="0.25"/>
    <row r="217242" s="12" customFormat="1" x14ac:dyDescent="0.25"/>
    <row r="217243" s="12" customFormat="1" x14ac:dyDescent="0.25"/>
    <row r="217244" s="12" customFormat="1" x14ac:dyDescent="0.25"/>
    <row r="217245" s="12" customFormat="1" x14ac:dyDescent="0.25"/>
    <row r="217246" s="12" customFormat="1" x14ac:dyDescent="0.25"/>
    <row r="217247" s="12" customFormat="1" x14ac:dyDescent="0.25"/>
    <row r="217248" s="12" customFormat="1" x14ac:dyDescent="0.25"/>
    <row r="217249" s="12" customFormat="1" x14ac:dyDescent="0.25"/>
    <row r="217250" s="12" customFormat="1" x14ac:dyDescent="0.25"/>
    <row r="217251" s="12" customFormat="1" x14ac:dyDescent="0.25"/>
    <row r="217252" s="12" customFormat="1" x14ac:dyDescent="0.25"/>
    <row r="217253" s="12" customFormat="1" x14ac:dyDescent="0.25"/>
    <row r="217254" s="12" customFormat="1" x14ac:dyDescent="0.25"/>
    <row r="217255" s="12" customFormat="1" x14ac:dyDescent="0.25"/>
    <row r="217256" s="12" customFormat="1" x14ac:dyDescent="0.25"/>
    <row r="217257" s="12" customFormat="1" x14ac:dyDescent="0.25"/>
    <row r="217258" s="12" customFormat="1" x14ac:dyDescent="0.25"/>
    <row r="217259" s="12" customFormat="1" x14ac:dyDescent="0.25"/>
    <row r="217260" s="12" customFormat="1" x14ac:dyDescent="0.25"/>
    <row r="217261" s="12" customFormat="1" x14ac:dyDescent="0.25"/>
    <row r="217262" s="12" customFormat="1" x14ac:dyDescent="0.25"/>
    <row r="217263" s="12" customFormat="1" x14ac:dyDescent="0.25"/>
    <row r="217264" s="12" customFormat="1" x14ac:dyDescent="0.25"/>
    <row r="217265" s="12" customFormat="1" x14ac:dyDescent="0.25"/>
    <row r="217266" s="12" customFormat="1" x14ac:dyDescent="0.25"/>
    <row r="217267" s="12" customFormat="1" x14ac:dyDescent="0.25"/>
    <row r="217268" s="12" customFormat="1" x14ac:dyDescent="0.25"/>
    <row r="217269" s="12" customFormat="1" x14ac:dyDescent="0.25"/>
    <row r="217270" s="12" customFormat="1" x14ac:dyDescent="0.25"/>
    <row r="217271" s="12" customFormat="1" x14ac:dyDescent="0.25"/>
    <row r="217272" s="12" customFormat="1" x14ac:dyDescent="0.25"/>
    <row r="217273" s="12" customFormat="1" x14ac:dyDescent="0.25"/>
    <row r="217274" s="12" customFormat="1" x14ac:dyDescent="0.25"/>
    <row r="217275" s="12" customFormat="1" x14ac:dyDescent="0.25"/>
    <row r="217276" s="12" customFormat="1" x14ac:dyDescent="0.25"/>
    <row r="217277" s="12" customFormat="1" x14ac:dyDescent="0.25"/>
    <row r="217278" s="12" customFormat="1" x14ac:dyDescent="0.25"/>
    <row r="217279" s="12" customFormat="1" x14ac:dyDescent="0.25"/>
    <row r="217280" s="12" customFormat="1" x14ac:dyDescent="0.25"/>
    <row r="217281" s="12" customFormat="1" x14ac:dyDescent="0.25"/>
    <row r="217282" s="12" customFormat="1" x14ac:dyDescent="0.25"/>
    <row r="217283" s="12" customFormat="1" x14ac:dyDescent="0.25"/>
    <row r="217284" s="12" customFormat="1" x14ac:dyDescent="0.25"/>
    <row r="217285" s="12" customFormat="1" x14ac:dyDescent="0.25"/>
    <row r="217286" s="12" customFormat="1" x14ac:dyDescent="0.25"/>
    <row r="217287" s="12" customFormat="1" x14ac:dyDescent="0.25"/>
    <row r="217288" s="12" customFormat="1" x14ac:dyDescent="0.25"/>
    <row r="217289" s="12" customFormat="1" x14ac:dyDescent="0.25"/>
    <row r="217290" s="12" customFormat="1" x14ac:dyDescent="0.25"/>
    <row r="217291" s="12" customFormat="1" x14ac:dyDescent="0.25"/>
    <row r="217292" s="12" customFormat="1" x14ac:dyDescent="0.25"/>
    <row r="217293" s="12" customFormat="1" x14ac:dyDescent="0.25"/>
    <row r="217294" s="12" customFormat="1" x14ac:dyDescent="0.25"/>
    <row r="217295" s="12" customFormat="1" x14ac:dyDescent="0.25"/>
    <row r="217296" s="12" customFormat="1" x14ac:dyDescent="0.25"/>
    <row r="217297" s="12" customFormat="1" x14ac:dyDescent="0.25"/>
    <row r="217298" s="12" customFormat="1" x14ac:dyDescent="0.25"/>
    <row r="217299" s="12" customFormat="1" x14ac:dyDescent="0.25"/>
    <row r="217300" s="12" customFormat="1" x14ac:dyDescent="0.25"/>
    <row r="217301" s="12" customFormat="1" x14ac:dyDescent="0.25"/>
    <row r="217302" s="12" customFormat="1" x14ac:dyDescent="0.25"/>
    <row r="217303" s="12" customFormat="1" x14ac:dyDescent="0.25"/>
    <row r="217304" s="12" customFormat="1" x14ac:dyDescent="0.25"/>
    <row r="217305" s="12" customFormat="1" x14ac:dyDescent="0.25"/>
    <row r="217306" s="12" customFormat="1" x14ac:dyDescent="0.25"/>
    <row r="217307" s="12" customFormat="1" x14ac:dyDescent="0.25"/>
    <row r="217308" s="12" customFormat="1" x14ac:dyDescent="0.25"/>
    <row r="217309" s="12" customFormat="1" x14ac:dyDescent="0.25"/>
    <row r="217310" s="12" customFormat="1" x14ac:dyDescent="0.25"/>
    <row r="217311" s="12" customFormat="1" x14ac:dyDescent="0.25"/>
    <row r="217312" s="12" customFormat="1" x14ac:dyDescent="0.25"/>
    <row r="217313" s="12" customFormat="1" x14ac:dyDescent="0.25"/>
    <row r="217314" s="12" customFormat="1" x14ac:dyDescent="0.25"/>
    <row r="217315" s="12" customFormat="1" x14ac:dyDescent="0.25"/>
    <row r="217316" s="12" customFormat="1" x14ac:dyDescent="0.25"/>
    <row r="217317" s="12" customFormat="1" x14ac:dyDescent="0.25"/>
    <row r="217318" s="12" customFormat="1" x14ac:dyDescent="0.25"/>
    <row r="217319" s="12" customFormat="1" x14ac:dyDescent="0.25"/>
    <row r="217320" s="12" customFormat="1" x14ac:dyDescent="0.25"/>
    <row r="217321" s="12" customFormat="1" x14ac:dyDescent="0.25"/>
    <row r="217322" s="12" customFormat="1" x14ac:dyDescent="0.25"/>
    <row r="217323" s="12" customFormat="1" x14ac:dyDescent="0.25"/>
    <row r="217324" s="12" customFormat="1" x14ac:dyDescent="0.25"/>
    <row r="217325" s="12" customFormat="1" x14ac:dyDescent="0.25"/>
    <row r="217326" s="12" customFormat="1" x14ac:dyDescent="0.25"/>
    <row r="217327" s="12" customFormat="1" x14ac:dyDescent="0.25"/>
    <row r="217328" s="12" customFormat="1" x14ac:dyDescent="0.25"/>
    <row r="217329" s="12" customFormat="1" x14ac:dyDescent="0.25"/>
    <row r="217330" s="12" customFormat="1" x14ac:dyDescent="0.25"/>
    <row r="217331" s="12" customFormat="1" x14ac:dyDescent="0.25"/>
    <row r="217332" s="12" customFormat="1" x14ac:dyDescent="0.25"/>
    <row r="217333" s="12" customFormat="1" x14ac:dyDescent="0.25"/>
    <row r="217334" s="12" customFormat="1" x14ac:dyDescent="0.25"/>
    <row r="217335" s="12" customFormat="1" x14ac:dyDescent="0.25"/>
    <row r="217336" s="12" customFormat="1" x14ac:dyDescent="0.25"/>
    <row r="217337" s="12" customFormat="1" x14ac:dyDescent="0.25"/>
    <row r="217338" s="12" customFormat="1" x14ac:dyDescent="0.25"/>
    <row r="217339" s="12" customFormat="1" x14ac:dyDescent="0.25"/>
    <row r="217340" s="12" customFormat="1" x14ac:dyDescent="0.25"/>
    <row r="217341" s="12" customFormat="1" x14ac:dyDescent="0.25"/>
    <row r="217342" s="12" customFormat="1" x14ac:dyDescent="0.25"/>
    <row r="217343" s="12" customFormat="1" x14ac:dyDescent="0.25"/>
    <row r="217344" s="12" customFormat="1" x14ac:dyDescent="0.25"/>
    <row r="217345" s="12" customFormat="1" x14ac:dyDescent="0.25"/>
    <row r="217346" s="12" customFormat="1" x14ac:dyDescent="0.25"/>
    <row r="217347" s="12" customFormat="1" x14ac:dyDescent="0.25"/>
    <row r="217348" s="12" customFormat="1" x14ac:dyDescent="0.25"/>
    <row r="217349" s="12" customFormat="1" x14ac:dyDescent="0.25"/>
    <row r="217350" s="12" customFormat="1" x14ac:dyDescent="0.25"/>
    <row r="217351" s="12" customFormat="1" x14ac:dyDescent="0.25"/>
    <row r="217352" s="12" customFormat="1" x14ac:dyDescent="0.25"/>
    <row r="217353" s="12" customFormat="1" x14ac:dyDescent="0.25"/>
    <row r="217354" s="12" customFormat="1" x14ac:dyDescent="0.25"/>
    <row r="217355" s="12" customFormat="1" x14ac:dyDescent="0.25"/>
    <row r="217356" s="12" customFormat="1" x14ac:dyDescent="0.25"/>
    <row r="217357" s="12" customFormat="1" x14ac:dyDescent="0.25"/>
    <row r="217358" s="12" customFormat="1" x14ac:dyDescent="0.25"/>
    <row r="217359" s="12" customFormat="1" x14ac:dyDescent="0.25"/>
    <row r="217360" s="12" customFormat="1" x14ac:dyDescent="0.25"/>
    <row r="217361" s="12" customFormat="1" x14ac:dyDescent="0.25"/>
    <row r="217362" s="12" customFormat="1" x14ac:dyDescent="0.25"/>
    <row r="217363" s="12" customFormat="1" x14ac:dyDescent="0.25"/>
    <row r="217364" s="12" customFormat="1" x14ac:dyDescent="0.25"/>
    <row r="217365" s="12" customFormat="1" x14ac:dyDescent="0.25"/>
    <row r="217366" s="12" customFormat="1" x14ac:dyDescent="0.25"/>
    <row r="217367" s="12" customFormat="1" x14ac:dyDescent="0.25"/>
    <row r="217368" s="12" customFormat="1" x14ac:dyDescent="0.25"/>
    <row r="217369" s="12" customFormat="1" x14ac:dyDescent="0.25"/>
    <row r="217370" s="12" customFormat="1" x14ac:dyDescent="0.25"/>
    <row r="217371" s="12" customFormat="1" x14ac:dyDescent="0.25"/>
    <row r="217372" s="12" customFormat="1" x14ac:dyDescent="0.25"/>
    <row r="217373" s="12" customFormat="1" x14ac:dyDescent="0.25"/>
    <row r="217374" s="12" customFormat="1" x14ac:dyDescent="0.25"/>
    <row r="217375" s="12" customFormat="1" x14ac:dyDescent="0.25"/>
    <row r="217376" s="12" customFormat="1" x14ac:dyDescent="0.25"/>
    <row r="217377" s="12" customFormat="1" x14ac:dyDescent="0.25"/>
    <row r="217378" s="12" customFormat="1" x14ac:dyDescent="0.25"/>
    <row r="217379" s="12" customFormat="1" x14ac:dyDescent="0.25"/>
    <row r="217380" s="12" customFormat="1" x14ac:dyDescent="0.25"/>
    <row r="217381" s="12" customFormat="1" x14ac:dyDescent="0.25"/>
    <row r="217382" s="12" customFormat="1" x14ac:dyDescent="0.25"/>
    <row r="217383" s="12" customFormat="1" x14ac:dyDescent="0.25"/>
    <row r="217384" s="12" customFormat="1" x14ac:dyDescent="0.25"/>
    <row r="217385" s="12" customFormat="1" x14ac:dyDescent="0.25"/>
    <row r="217386" s="12" customFormat="1" x14ac:dyDescent="0.25"/>
    <row r="217387" s="12" customFormat="1" x14ac:dyDescent="0.25"/>
    <row r="217388" s="12" customFormat="1" x14ac:dyDescent="0.25"/>
    <row r="217389" s="12" customFormat="1" x14ac:dyDescent="0.25"/>
    <row r="217390" s="12" customFormat="1" x14ac:dyDescent="0.25"/>
    <row r="217391" s="12" customFormat="1" x14ac:dyDescent="0.25"/>
    <row r="217392" s="12" customFormat="1" x14ac:dyDescent="0.25"/>
    <row r="217393" s="12" customFormat="1" x14ac:dyDescent="0.25"/>
    <row r="217394" s="12" customFormat="1" x14ac:dyDescent="0.25"/>
    <row r="217395" s="12" customFormat="1" x14ac:dyDescent="0.25"/>
    <row r="217396" s="12" customFormat="1" x14ac:dyDescent="0.25"/>
    <row r="217397" s="12" customFormat="1" x14ac:dyDescent="0.25"/>
    <row r="217398" s="12" customFormat="1" x14ac:dyDescent="0.25"/>
    <row r="217399" s="12" customFormat="1" x14ac:dyDescent="0.25"/>
    <row r="217400" s="12" customFormat="1" x14ac:dyDescent="0.25"/>
    <row r="217401" s="12" customFormat="1" x14ac:dyDescent="0.25"/>
    <row r="217402" s="12" customFormat="1" x14ac:dyDescent="0.25"/>
    <row r="217403" s="12" customFormat="1" x14ac:dyDescent="0.25"/>
    <row r="217404" s="12" customFormat="1" x14ac:dyDescent="0.25"/>
    <row r="217405" s="12" customFormat="1" x14ac:dyDescent="0.25"/>
    <row r="217406" s="12" customFormat="1" x14ac:dyDescent="0.25"/>
    <row r="217407" s="12" customFormat="1" x14ac:dyDescent="0.25"/>
    <row r="217408" s="12" customFormat="1" x14ac:dyDescent="0.25"/>
    <row r="217409" s="12" customFormat="1" x14ac:dyDescent="0.25"/>
    <row r="217410" s="12" customFormat="1" x14ac:dyDescent="0.25"/>
    <row r="217411" s="12" customFormat="1" x14ac:dyDescent="0.25"/>
    <row r="217412" s="12" customFormat="1" x14ac:dyDescent="0.25"/>
    <row r="217413" s="12" customFormat="1" x14ac:dyDescent="0.25"/>
    <row r="217414" s="12" customFormat="1" x14ac:dyDescent="0.25"/>
    <row r="217415" s="12" customFormat="1" x14ac:dyDescent="0.25"/>
    <row r="217416" s="12" customFormat="1" x14ac:dyDescent="0.25"/>
    <row r="217417" s="12" customFormat="1" x14ac:dyDescent="0.25"/>
    <row r="217418" s="12" customFormat="1" x14ac:dyDescent="0.25"/>
    <row r="217419" s="12" customFormat="1" x14ac:dyDescent="0.25"/>
    <row r="217420" s="12" customFormat="1" x14ac:dyDescent="0.25"/>
    <row r="217421" s="12" customFormat="1" x14ac:dyDescent="0.25"/>
    <row r="217422" s="12" customFormat="1" x14ac:dyDescent="0.25"/>
    <row r="217423" s="12" customFormat="1" x14ac:dyDescent="0.25"/>
    <row r="217424" s="12" customFormat="1" x14ac:dyDescent="0.25"/>
    <row r="217425" s="12" customFormat="1" x14ac:dyDescent="0.25"/>
    <row r="217426" s="12" customFormat="1" x14ac:dyDescent="0.25"/>
    <row r="217427" s="12" customFormat="1" x14ac:dyDescent="0.25"/>
    <row r="217428" s="12" customFormat="1" x14ac:dyDescent="0.25"/>
    <row r="217429" s="12" customFormat="1" x14ac:dyDescent="0.25"/>
    <row r="217430" s="12" customFormat="1" x14ac:dyDescent="0.25"/>
    <row r="217431" s="12" customFormat="1" x14ac:dyDescent="0.25"/>
    <row r="217432" s="12" customFormat="1" x14ac:dyDescent="0.25"/>
    <row r="217433" s="12" customFormat="1" x14ac:dyDescent="0.25"/>
    <row r="217434" s="12" customFormat="1" x14ac:dyDescent="0.25"/>
    <row r="217435" s="12" customFormat="1" x14ac:dyDescent="0.25"/>
    <row r="217436" s="12" customFormat="1" x14ac:dyDescent="0.25"/>
    <row r="217437" s="12" customFormat="1" x14ac:dyDescent="0.25"/>
    <row r="217438" s="12" customFormat="1" x14ac:dyDescent="0.25"/>
    <row r="217439" s="12" customFormat="1" x14ac:dyDescent="0.25"/>
    <row r="217440" s="12" customFormat="1" x14ac:dyDescent="0.25"/>
    <row r="217441" s="12" customFormat="1" x14ac:dyDescent="0.25"/>
    <row r="217442" s="12" customFormat="1" x14ac:dyDescent="0.25"/>
    <row r="217443" s="12" customFormat="1" x14ac:dyDescent="0.25"/>
    <row r="217444" s="12" customFormat="1" x14ac:dyDescent="0.25"/>
    <row r="217445" s="12" customFormat="1" x14ac:dyDescent="0.25"/>
    <row r="217446" s="12" customFormat="1" x14ac:dyDescent="0.25"/>
    <row r="217447" s="12" customFormat="1" x14ac:dyDescent="0.25"/>
    <row r="217448" s="12" customFormat="1" x14ac:dyDescent="0.25"/>
    <row r="217449" s="12" customFormat="1" x14ac:dyDescent="0.25"/>
    <row r="217450" s="12" customFormat="1" x14ac:dyDescent="0.25"/>
    <row r="217451" s="12" customFormat="1" x14ac:dyDescent="0.25"/>
    <row r="217452" s="12" customFormat="1" x14ac:dyDescent="0.25"/>
    <row r="217453" s="12" customFormat="1" x14ac:dyDescent="0.25"/>
    <row r="217454" s="12" customFormat="1" x14ac:dyDescent="0.25"/>
    <row r="217455" s="12" customFormat="1" x14ac:dyDescent="0.25"/>
    <row r="217456" s="12" customFormat="1" x14ac:dyDescent="0.25"/>
    <row r="217457" s="12" customFormat="1" x14ac:dyDescent="0.25"/>
    <row r="217458" s="12" customFormat="1" x14ac:dyDescent="0.25"/>
    <row r="217459" s="12" customFormat="1" x14ac:dyDescent="0.25"/>
    <row r="217460" s="12" customFormat="1" x14ac:dyDescent="0.25"/>
    <row r="217461" s="12" customFormat="1" x14ac:dyDescent="0.25"/>
    <row r="217462" s="12" customFormat="1" x14ac:dyDescent="0.25"/>
    <row r="217463" s="12" customFormat="1" x14ac:dyDescent="0.25"/>
    <row r="217464" s="12" customFormat="1" x14ac:dyDescent="0.25"/>
    <row r="217465" s="12" customFormat="1" x14ac:dyDescent="0.25"/>
    <row r="217466" s="12" customFormat="1" x14ac:dyDescent="0.25"/>
    <row r="217467" s="12" customFormat="1" x14ac:dyDescent="0.25"/>
    <row r="217468" s="12" customFormat="1" x14ac:dyDescent="0.25"/>
    <row r="217469" s="12" customFormat="1" x14ac:dyDescent="0.25"/>
    <row r="217470" s="12" customFormat="1" x14ac:dyDescent="0.25"/>
    <row r="217471" s="12" customFormat="1" x14ac:dyDescent="0.25"/>
    <row r="217472" s="12" customFormat="1" x14ac:dyDescent="0.25"/>
    <row r="217473" s="12" customFormat="1" x14ac:dyDescent="0.25"/>
    <row r="217474" s="12" customFormat="1" x14ac:dyDescent="0.25"/>
    <row r="217475" s="12" customFormat="1" x14ac:dyDescent="0.25"/>
    <row r="217476" s="12" customFormat="1" x14ac:dyDescent="0.25"/>
    <row r="217477" s="12" customFormat="1" x14ac:dyDescent="0.25"/>
    <row r="217478" s="12" customFormat="1" x14ac:dyDescent="0.25"/>
    <row r="217479" s="12" customFormat="1" x14ac:dyDescent="0.25"/>
    <row r="217480" s="12" customFormat="1" x14ac:dyDescent="0.25"/>
    <row r="217481" s="12" customFormat="1" x14ac:dyDescent="0.25"/>
    <row r="217482" s="12" customFormat="1" x14ac:dyDescent="0.25"/>
    <row r="217483" s="12" customFormat="1" x14ac:dyDescent="0.25"/>
    <row r="217484" s="12" customFormat="1" x14ac:dyDescent="0.25"/>
    <row r="217485" s="12" customFormat="1" x14ac:dyDescent="0.25"/>
    <row r="217486" s="12" customFormat="1" x14ac:dyDescent="0.25"/>
    <row r="217487" s="12" customFormat="1" x14ac:dyDescent="0.25"/>
    <row r="217488" s="12" customFormat="1" x14ac:dyDescent="0.25"/>
    <row r="217489" s="12" customFormat="1" x14ac:dyDescent="0.25"/>
    <row r="217490" s="12" customFormat="1" x14ac:dyDescent="0.25"/>
    <row r="217491" s="12" customFormat="1" x14ac:dyDescent="0.25"/>
    <row r="217492" s="12" customFormat="1" x14ac:dyDescent="0.25"/>
    <row r="217493" s="12" customFormat="1" x14ac:dyDescent="0.25"/>
    <row r="217494" s="12" customFormat="1" x14ac:dyDescent="0.25"/>
    <row r="217495" s="12" customFormat="1" x14ac:dyDescent="0.25"/>
    <row r="217496" s="12" customFormat="1" x14ac:dyDescent="0.25"/>
    <row r="217497" s="12" customFormat="1" x14ac:dyDescent="0.25"/>
    <row r="217498" s="12" customFormat="1" x14ac:dyDescent="0.25"/>
    <row r="217499" s="12" customFormat="1" x14ac:dyDescent="0.25"/>
    <row r="217500" s="12" customFormat="1" x14ac:dyDescent="0.25"/>
    <row r="217501" s="12" customFormat="1" x14ac:dyDescent="0.25"/>
    <row r="217502" s="12" customFormat="1" x14ac:dyDescent="0.25"/>
    <row r="217503" s="12" customFormat="1" x14ac:dyDescent="0.25"/>
    <row r="217504" s="12" customFormat="1" x14ac:dyDescent="0.25"/>
    <row r="217505" s="12" customFormat="1" x14ac:dyDescent="0.25"/>
    <row r="217506" s="12" customFormat="1" x14ac:dyDescent="0.25"/>
    <row r="217507" s="12" customFormat="1" x14ac:dyDescent="0.25"/>
    <row r="217508" s="12" customFormat="1" x14ac:dyDescent="0.25"/>
    <row r="217509" s="12" customFormat="1" x14ac:dyDescent="0.25"/>
    <row r="217510" s="12" customFormat="1" x14ac:dyDescent="0.25"/>
    <row r="217511" s="12" customFormat="1" x14ac:dyDescent="0.25"/>
    <row r="217512" s="12" customFormat="1" x14ac:dyDescent="0.25"/>
    <row r="217513" s="12" customFormat="1" x14ac:dyDescent="0.25"/>
    <row r="217514" s="12" customFormat="1" x14ac:dyDescent="0.25"/>
    <row r="217515" s="12" customFormat="1" x14ac:dyDescent="0.25"/>
    <row r="217516" s="12" customFormat="1" x14ac:dyDescent="0.25"/>
    <row r="217517" s="12" customFormat="1" x14ac:dyDescent="0.25"/>
    <row r="217518" s="12" customFormat="1" x14ac:dyDescent="0.25"/>
    <row r="217519" s="12" customFormat="1" x14ac:dyDescent="0.25"/>
    <row r="217520" s="12" customFormat="1" x14ac:dyDescent="0.25"/>
    <row r="217521" s="12" customFormat="1" x14ac:dyDescent="0.25"/>
    <row r="217522" s="12" customFormat="1" x14ac:dyDescent="0.25"/>
    <row r="217523" s="12" customFormat="1" x14ac:dyDescent="0.25"/>
    <row r="217524" s="12" customFormat="1" x14ac:dyDescent="0.25"/>
    <row r="217525" s="12" customFormat="1" x14ac:dyDescent="0.25"/>
    <row r="217526" s="12" customFormat="1" x14ac:dyDescent="0.25"/>
    <row r="217527" s="12" customFormat="1" x14ac:dyDescent="0.25"/>
    <row r="217528" s="12" customFormat="1" x14ac:dyDescent="0.25"/>
    <row r="217529" s="12" customFormat="1" x14ac:dyDescent="0.25"/>
    <row r="217530" s="12" customFormat="1" x14ac:dyDescent="0.25"/>
    <row r="217531" s="12" customFormat="1" x14ac:dyDescent="0.25"/>
    <row r="217532" s="12" customFormat="1" x14ac:dyDescent="0.25"/>
    <row r="217533" s="12" customFormat="1" x14ac:dyDescent="0.25"/>
    <row r="217534" s="12" customFormat="1" x14ac:dyDescent="0.25"/>
    <row r="217535" s="12" customFormat="1" x14ac:dyDescent="0.25"/>
    <row r="217536" s="12" customFormat="1" x14ac:dyDescent="0.25"/>
    <row r="217537" s="12" customFormat="1" x14ac:dyDescent="0.25"/>
    <row r="217538" s="12" customFormat="1" x14ac:dyDescent="0.25"/>
    <row r="217539" s="12" customFormat="1" x14ac:dyDescent="0.25"/>
    <row r="217540" s="12" customFormat="1" x14ac:dyDescent="0.25"/>
    <row r="217541" s="12" customFormat="1" x14ac:dyDescent="0.25"/>
    <row r="217542" s="12" customFormat="1" x14ac:dyDescent="0.25"/>
    <row r="217543" s="12" customFormat="1" x14ac:dyDescent="0.25"/>
    <row r="217544" s="12" customFormat="1" x14ac:dyDescent="0.25"/>
    <row r="217545" s="12" customFormat="1" x14ac:dyDescent="0.25"/>
    <row r="217546" s="12" customFormat="1" x14ac:dyDescent="0.25"/>
    <row r="217547" s="12" customFormat="1" x14ac:dyDescent="0.25"/>
    <row r="217548" s="12" customFormat="1" x14ac:dyDescent="0.25"/>
    <row r="217549" s="12" customFormat="1" x14ac:dyDescent="0.25"/>
    <row r="217550" s="12" customFormat="1" x14ac:dyDescent="0.25"/>
    <row r="217551" s="12" customFormat="1" x14ac:dyDescent="0.25"/>
    <row r="217552" s="12" customFormat="1" x14ac:dyDescent="0.25"/>
    <row r="217553" s="12" customFormat="1" x14ac:dyDescent="0.25"/>
    <row r="217554" s="12" customFormat="1" x14ac:dyDescent="0.25"/>
    <row r="217555" s="12" customFormat="1" x14ac:dyDescent="0.25"/>
    <row r="217556" s="12" customFormat="1" x14ac:dyDescent="0.25"/>
    <row r="217557" s="12" customFormat="1" x14ac:dyDescent="0.25"/>
    <row r="217558" s="12" customFormat="1" x14ac:dyDescent="0.25"/>
    <row r="217559" s="12" customFormat="1" x14ac:dyDescent="0.25"/>
    <row r="217560" s="12" customFormat="1" x14ac:dyDescent="0.25"/>
    <row r="217561" s="12" customFormat="1" x14ac:dyDescent="0.25"/>
    <row r="217562" s="12" customFormat="1" x14ac:dyDescent="0.25"/>
    <row r="217563" s="12" customFormat="1" x14ac:dyDescent="0.25"/>
    <row r="217564" s="12" customFormat="1" x14ac:dyDescent="0.25"/>
    <row r="217565" s="12" customFormat="1" x14ac:dyDescent="0.25"/>
    <row r="217566" s="12" customFormat="1" x14ac:dyDescent="0.25"/>
    <row r="217567" s="12" customFormat="1" x14ac:dyDescent="0.25"/>
    <row r="217568" s="12" customFormat="1" x14ac:dyDescent="0.25"/>
    <row r="217569" s="12" customFormat="1" x14ac:dyDescent="0.25"/>
    <row r="217570" s="12" customFormat="1" x14ac:dyDescent="0.25"/>
    <row r="217571" s="12" customFormat="1" x14ac:dyDescent="0.25"/>
    <row r="217572" s="12" customFormat="1" x14ac:dyDescent="0.25"/>
    <row r="217573" s="12" customFormat="1" x14ac:dyDescent="0.25"/>
    <row r="217574" s="12" customFormat="1" x14ac:dyDescent="0.25"/>
    <row r="217575" s="12" customFormat="1" x14ac:dyDescent="0.25"/>
    <row r="217576" s="12" customFormat="1" x14ac:dyDescent="0.25"/>
    <row r="217577" s="12" customFormat="1" x14ac:dyDescent="0.25"/>
    <row r="217578" s="12" customFormat="1" x14ac:dyDescent="0.25"/>
    <row r="217579" s="12" customFormat="1" x14ac:dyDescent="0.25"/>
    <row r="217580" s="12" customFormat="1" x14ac:dyDescent="0.25"/>
    <row r="217581" s="12" customFormat="1" x14ac:dyDescent="0.25"/>
    <row r="217582" s="12" customFormat="1" x14ac:dyDescent="0.25"/>
    <row r="217583" s="12" customFormat="1" x14ac:dyDescent="0.25"/>
    <row r="217584" s="12" customFormat="1" x14ac:dyDescent="0.25"/>
    <row r="217585" s="12" customFormat="1" x14ac:dyDescent="0.25"/>
    <row r="217586" s="12" customFormat="1" x14ac:dyDescent="0.25"/>
    <row r="217587" s="12" customFormat="1" x14ac:dyDescent="0.25"/>
    <row r="217588" s="12" customFormat="1" x14ac:dyDescent="0.25"/>
    <row r="217589" s="12" customFormat="1" x14ac:dyDescent="0.25"/>
    <row r="217590" s="12" customFormat="1" x14ac:dyDescent="0.25"/>
    <row r="217591" s="12" customFormat="1" x14ac:dyDescent="0.25"/>
    <row r="217592" s="12" customFormat="1" x14ac:dyDescent="0.25"/>
    <row r="217593" s="12" customFormat="1" x14ac:dyDescent="0.25"/>
    <row r="217594" s="12" customFormat="1" x14ac:dyDescent="0.25"/>
    <row r="217595" s="12" customFormat="1" x14ac:dyDescent="0.25"/>
    <row r="217596" s="12" customFormat="1" x14ac:dyDescent="0.25"/>
    <row r="217597" s="12" customFormat="1" x14ac:dyDescent="0.25"/>
    <row r="217598" s="12" customFormat="1" x14ac:dyDescent="0.25"/>
    <row r="217599" s="12" customFormat="1" x14ac:dyDescent="0.25"/>
    <row r="217600" s="12" customFormat="1" x14ac:dyDescent="0.25"/>
    <row r="217601" s="12" customFormat="1" x14ac:dyDescent="0.25"/>
    <row r="217602" s="12" customFormat="1" x14ac:dyDescent="0.25"/>
    <row r="217603" s="12" customFormat="1" x14ac:dyDescent="0.25"/>
    <row r="217604" s="12" customFormat="1" x14ac:dyDescent="0.25"/>
    <row r="217605" s="12" customFormat="1" x14ac:dyDescent="0.25"/>
    <row r="217606" s="12" customFormat="1" x14ac:dyDescent="0.25"/>
    <row r="217607" s="12" customFormat="1" x14ac:dyDescent="0.25"/>
    <row r="217608" s="12" customFormat="1" x14ac:dyDescent="0.25"/>
    <row r="217609" s="12" customFormat="1" x14ac:dyDescent="0.25"/>
    <row r="217610" s="12" customFormat="1" x14ac:dyDescent="0.25"/>
    <row r="217611" s="12" customFormat="1" x14ac:dyDescent="0.25"/>
    <row r="217612" s="12" customFormat="1" x14ac:dyDescent="0.25"/>
    <row r="217613" s="12" customFormat="1" x14ac:dyDescent="0.25"/>
    <row r="217614" s="12" customFormat="1" x14ac:dyDescent="0.25"/>
    <row r="217615" s="12" customFormat="1" x14ac:dyDescent="0.25"/>
    <row r="217616" s="12" customFormat="1" x14ac:dyDescent="0.25"/>
    <row r="217617" s="12" customFormat="1" x14ac:dyDescent="0.25"/>
    <row r="217618" s="12" customFormat="1" x14ac:dyDescent="0.25"/>
    <row r="217619" s="12" customFormat="1" x14ac:dyDescent="0.25"/>
    <row r="217620" s="12" customFormat="1" x14ac:dyDescent="0.25"/>
    <row r="217621" s="12" customFormat="1" x14ac:dyDescent="0.25"/>
    <row r="217622" s="12" customFormat="1" x14ac:dyDescent="0.25"/>
    <row r="217623" s="12" customFormat="1" x14ac:dyDescent="0.25"/>
    <row r="217624" s="12" customFormat="1" x14ac:dyDescent="0.25"/>
    <row r="217625" s="12" customFormat="1" x14ac:dyDescent="0.25"/>
    <row r="217626" s="12" customFormat="1" x14ac:dyDescent="0.25"/>
    <row r="217627" s="12" customFormat="1" x14ac:dyDescent="0.25"/>
    <row r="217628" s="12" customFormat="1" x14ac:dyDescent="0.25"/>
    <row r="217629" s="12" customFormat="1" x14ac:dyDescent="0.25"/>
    <row r="217630" s="12" customFormat="1" x14ac:dyDescent="0.25"/>
    <row r="217631" s="12" customFormat="1" x14ac:dyDescent="0.25"/>
    <row r="217632" s="12" customFormat="1" x14ac:dyDescent="0.25"/>
    <row r="217633" s="12" customFormat="1" x14ac:dyDescent="0.25"/>
    <row r="217634" s="12" customFormat="1" x14ac:dyDescent="0.25"/>
    <row r="217635" s="12" customFormat="1" x14ac:dyDescent="0.25"/>
    <row r="217636" s="12" customFormat="1" x14ac:dyDescent="0.25"/>
    <row r="217637" s="12" customFormat="1" x14ac:dyDescent="0.25"/>
    <row r="217638" s="12" customFormat="1" x14ac:dyDescent="0.25"/>
    <row r="217639" s="12" customFormat="1" x14ac:dyDescent="0.25"/>
    <row r="217640" s="12" customFormat="1" x14ac:dyDescent="0.25"/>
    <row r="217641" s="12" customFormat="1" x14ac:dyDescent="0.25"/>
    <row r="217642" s="12" customFormat="1" x14ac:dyDescent="0.25"/>
    <row r="217643" s="12" customFormat="1" x14ac:dyDescent="0.25"/>
    <row r="217644" s="12" customFormat="1" x14ac:dyDescent="0.25"/>
    <row r="217645" s="12" customFormat="1" x14ac:dyDescent="0.25"/>
    <row r="217646" s="12" customFormat="1" x14ac:dyDescent="0.25"/>
    <row r="217647" s="12" customFormat="1" x14ac:dyDescent="0.25"/>
    <row r="217648" s="12" customFormat="1" x14ac:dyDescent="0.25"/>
    <row r="217649" s="12" customFormat="1" x14ac:dyDescent="0.25"/>
    <row r="217650" s="12" customFormat="1" x14ac:dyDescent="0.25"/>
    <row r="217651" s="12" customFormat="1" x14ac:dyDescent="0.25"/>
    <row r="217652" s="12" customFormat="1" x14ac:dyDescent="0.25"/>
    <row r="217653" s="12" customFormat="1" x14ac:dyDescent="0.25"/>
    <row r="217654" s="12" customFormat="1" x14ac:dyDescent="0.25"/>
    <row r="217655" s="12" customFormat="1" x14ac:dyDescent="0.25"/>
    <row r="217656" s="12" customFormat="1" x14ac:dyDescent="0.25"/>
    <row r="217657" s="12" customFormat="1" x14ac:dyDescent="0.25"/>
    <row r="217658" s="12" customFormat="1" x14ac:dyDescent="0.25"/>
    <row r="217659" s="12" customFormat="1" x14ac:dyDescent="0.25"/>
    <row r="217660" s="12" customFormat="1" x14ac:dyDescent="0.25"/>
    <row r="217661" s="12" customFormat="1" x14ac:dyDescent="0.25"/>
    <row r="217662" s="12" customFormat="1" x14ac:dyDescent="0.25"/>
    <row r="217663" s="12" customFormat="1" x14ac:dyDescent="0.25"/>
    <row r="217664" s="12" customFormat="1" x14ac:dyDescent="0.25"/>
    <row r="217665" s="12" customFormat="1" x14ac:dyDescent="0.25"/>
    <row r="217666" s="12" customFormat="1" x14ac:dyDescent="0.25"/>
    <row r="217667" s="12" customFormat="1" x14ac:dyDescent="0.25"/>
    <row r="217668" s="12" customFormat="1" x14ac:dyDescent="0.25"/>
    <row r="217669" s="12" customFormat="1" x14ac:dyDescent="0.25"/>
    <row r="217670" s="12" customFormat="1" x14ac:dyDescent="0.25"/>
    <row r="217671" s="12" customFormat="1" x14ac:dyDescent="0.25"/>
    <row r="217672" s="12" customFormat="1" x14ac:dyDescent="0.25"/>
    <row r="217673" s="12" customFormat="1" x14ac:dyDescent="0.25"/>
    <row r="217674" s="12" customFormat="1" x14ac:dyDescent="0.25"/>
    <row r="217675" s="12" customFormat="1" x14ac:dyDescent="0.25"/>
    <row r="217676" s="12" customFormat="1" x14ac:dyDescent="0.25"/>
    <row r="217677" s="12" customFormat="1" x14ac:dyDescent="0.25"/>
    <row r="217678" s="12" customFormat="1" x14ac:dyDescent="0.25"/>
    <row r="217679" s="12" customFormat="1" x14ac:dyDescent="0.25"/>
    <row r="217680" s="12" customFormat="1" x14ac:dyDescent="0.25"/>
    <row r="217681" s="12" customFormat="1" x14ac:dyDescent="0.25"/>
    <row r="217682" s="12" customFormat="1" x14ac:dyDescent="0.25"/>
    <row r="217683" s="12" customFormat="1" x14ac:dyDescent="0.25"/>
    <row r="217684" s="12" customFormat="1" x14ac:dyDescent="0.25"/>
    <row r="217685" s="12" customFormat="1" x14ac:dyDescent="0.25"/>
    <row r="217686" s="12" customFormat="1" x14ac:dyDescent="0.25"/>
    <row r="217687" s="12" customFormat="1" x14ac:dyDescent="0.25"/>
    <row r="217688" s="12" customFormat="1" x14ac:dyDescent="0.25"/>
    <row r="217689" s="12" customFormat="1" x14ac:dyDescent="0.25"/>
    <row r="217690" s="12" customFormat="1" x14ac:dyDescent="0.25"/>
    <row r="217691" s="12" customFormat="1" x14ac:dyDescent="0.25"/>
    <row r="217692" s="12" customFormat="1" x14ac:dyDescent="0.25"/>
    <row r="217693" s="12" customFormat="1" x14ac:dyDescent="0.25"/>
    <row r="217694" s="12" customFormat="1" x14ac:dyDescent="0.25"/>
    <row r="217695" s="12" customFormat="1" x14ac:dyDescent="0.25"/>
    <row r="217696" s="12" customFormat="1" x14ac:dyDescent="0.25"/>
    <row r="217697" s="12" customFormat="1" x14ac:dyDescent="0.25"/>
    <row r="217698" s="12" customFormat="1" x14ac:dyDescent="0.25"/>
    <row r="217699" s="12" customFormat="1" x14ac:dyDescent="0.25"/>
    <row r="217700" s="12" customFormat="1" x14ac:dyDescent="0.25"/>
    <row r="217701" s="12" customFormat="1" x14ac:dyDescent="0.25"/>
    <row r="217702" s="12" customFormat="1" x14ac:dyDescent="0.25"/>
    <row r="217703" s="12" customFormat="1" x14ac:dyDescent="0.25"/>
    <row r="217704" s="12" customFormat="1" x14ac:dyDescent="0.25"/>
    <row r="217705" s="12" customFormat="1" x14ac:dyDescent="0.25"/>
    <row r="217706" s="12" customFormat="1" x14ac:dyDescent="0.25"/>
    <row r="217707" s="12" customFormat="1" x14ac:dyDescent="0.25"/>
    <row r="217708" s="12" customFormat="1" x14ac:dyDescent="0.25"/>
    <row r="217709" s="12" customFormat="1" x14ac:dyDescent="0.25"/>
    <row r="217710" s="12" customFormat="1" x14ac:dyDescent="0.25"/>
    <row r="217711" s="12" customFormat="1" x14ac:dyDescent="0.25"/>
    <row r="217712" s="12" customFormat="1" x14ac:dyDescent="0.25"/>
    <row r="217713" s="12" customFormat="1" x14ac:dyDescent="0.25"/>
    <row r="217714" s="12" customFormat="1" x14ac:dyDescent="0.25"/>
    <row r="217715" s="12" customFormat="1" x14ac:dyDescent="0.25"/>
    <row r="217716" s="12" customFormat="1" x14ac:dyDescent="0.25"/>
    <row r="217717" s="12" customFormat="1" x14ac:dyDescent="0.25"/>
    <row r="217718" s="12" customFormat="1" x14ac:dyDescent="0.25"/>
    <row r="217719" s="12" customFormat="1" x14ac:dyDescent="0.25"/>
    <row r="217720" s="12" customFormat="1" x14ac:dyDescent="0.25"/>
    <row r="217721" s="12" customFormat="1" x14ac:dyDescent="0.25"/>
    <row r="217722" s="12" customFormat="1" x14ac:dyDescent="0.25"/>
    <row r="217723" s="12" customFormat="1" x14ac:dyDescent="0.25"/>
    <row r="217724" s="12" customFormat="1" x14ac:dyDescent="0.25"/>
    <row r="217725" s="12" customFormat="1" x14ac:dyDescent="0.25"/>
    <row r="217726" s="12" customFormat="1" x14ac:dyDescent="0.25"/>
    <row r="217727" s="12" customFormat="1" x14ac:dyDescent="0.25"/>
    <row r="217728" s="12" customFormat="1" x14ac:dyDescent="0.25"/>
    <row r="217729" s="12" customFormat="1" x14ac:dyDescent="0.25"/>
    <row r="217730" s="12" customFormat="1" x14ac:dyDescent="0.25"/>
    <row r="217731" s="12" customFormat="1" x14ac:dyDescent="0.25"/>
    <row r="217732" s="12" customFormat="1" x14ac:dyDescent="0.25"/>
    <row r="217733" s="12" customFormat="1" x14ac:dyDescent="0.25"/>
    <row r="217734" s="12" customFormat="1" x14ac:dyDescent="0.25"/>
    <row r="217735" s="12" customFormat="1" x14ac:dyDescent="0.25"/>
    <row r="217736" s="12" customFormat="1" x14ac:dyDescent="0.25"/>
    <row r="217737" s="12" customFormat="1" x14ac:dyDescent="0.25"/>
    <row r="217738" s="12" customFormat="1" x14ac:dyDescent="0.25"/>
    <row r="217739" s="12" customFormat="1" x14ac:dyDescent="0.25"/>
    <row r="217740" s="12" customFormat="1" x14ac:dyDescent="0.25"/>
    <row r="217741" s="12" customFormat="1" x14ac:dyDescent="0.25"/>
    <row r="217742" s="12" customFormat="1" x14ac:dyDescent="0.25"/>
    <row r="217743" s="12" customFormat="1" x14ac:dyDescent="0.25"/>
    <row r="217744" s="12" customFormat="1" x14ac:dyDescent="0.25"/>
    <row r="217745" s="12" customFormat="1" x14ac:dyDescent="0.25"/>
    <row r="217746" s="12" customFormat="1" x14ac:dyDescent="0.25"/>
    <row r="217747" s="12" customFormat="1" x14ac:dyDescent="0.25"/>
    <row r="217748" s="12" customFormat="1" x14ac:dyDescent="0.25"/>
    <row r="217749" s="12" customFormat="1" x14ac:dyDescent="0.25"/>
    <row r="217750" s="12" customFormat="1" x14ac:dyDescent="0.25"/>
    <row r="217751" s="12" customFormat="1" x14ac:dyDescent="0.25"/>
    <row r="217752" s="12" customFormat="1" x14ac:dyDescent="0.25"/>
    <row r="217753" s="12" customFormat="1" x14ac:dyDescent="0.25"/>
    <row r="217754" s="12" customFormat="1" x14ac:dyDescent="0.25"/>
    <row r="217755" s="12" customFormat="1" x14ac:dyDescent="0.25"/>
    <row r="217756" s="12" customFormat="1" x14ac:dyDescent="0.25"/>
    <row r="217757" s="12" customFormat="1" x14ac:dyDescent="0.25"/>
    <row r="217758" s="12" customFormat="1" x14ac:dyDescent="0.25"/>
    <row r="217759" s="12" customFormat="1" x14ac:dyDescent="0.25"/>
    <row r="217760" s="12" customFormat="1" x14ac:dyDescent="0.25"/>
    <row r="217761" s="12" customFormat="1" x14ac:dyDescent="0.25"/>
    <row r="217762" s="12" customFormat="1" x14ac:dyDescent="0.25"/>
    <row r="217763" s="12" customFormat="1" x14ac:dyDescent="0.25"/>
    <row r="217764" s="12" customFormat="1" x14ac:dyDescent="0.25"/>
    <row r="217765" s="12" customFormat="1" x14ac:dyDescent="0.25"/>
    <row r="217766" s="12" customFormat="1" x14ac:dyDescent="0.25"/>
    <row r="217767" s="12" customFormat="1" x14ac:dyDescent="0.25"/>
    <row r="217768" s="12" customFormat="1" x14ac:dyDescent="0.25"/>
    <row r="217769" s="12" customFormat="1" x14ac:dyDescent="0.25"/>
    <row r="217770" s="12" customFormat="1" x14ac:dyDescent="0.25"/>
    <row r="217771" s="12" customFormat="1" x14ac:dyDescent="0.25"/>
    <row r="217772" s="12" customFormat="1" x14ac:dyDescent="0.25"/>
    <row r="217773" s="12" customFormat="1" x14ac:dyDescent="0.25"/>
    <row r="217774" s="12" customFormat="1" x14ac:dyDescent="0.25"/>
    <row r="217775" s="12" customFormat="1" x14ac:dyDescent="0.25"/>
    <row r="217776" s="12" customFormat="1" x14ac:dyDescent="0.25"/>
    <row r="217777" s="12" customFormat="1" x14ac:dyDescent="0.25"/>
    <row r="217778" s="12" customFormat="1" x14ac:dyDescent="0.25"/>
    <row r="217779" s="12" customFormat="1" x14ac:dyDescent="0.25"/>
    <row r="217780" s="12" customFormat="1" x14ac:dyDescent="0.25"/>
    <row r="217781" s="12" customFormat="1" x14ac:dyDescent="0.25"/>
    <row r="217782" s="12" customFormat="1" x14ac:dyDescent="0.25"/>
    <row r="217783" s="12" customFormat="1" x14ac:dyDescent="0.25"/>
    <row r="217784" s="12" customFormat="1" x14ac:dyDescent="0.25"/>
    <row r="217785" s="12" customFormat="1" x14ac:dyDescent="0.25"/>
    <row r="217786" s="12" customFormat="1" x14ac:dyDescent="0.25"/>
    <row r="217787" s="12" customFormat="1" x14ac:dyDescent="0.25"/>
    <row r="217788" s="12" customFormat="1" x14ac:dyDescent="0.25"/>
    <row r="217789" s="12" customFormat="1" x14ac:dyDescent="0.25"/>
    <row r="217790" s="12" customFormat="1" x14ac:dyDescent="0.25"/>
    <row r="217791" s="12" customFormat="1" x14ac:dyDescent="0.25"/>
    <row r="217792" s="12" customFormat="1" x14ac:dyDescent="0.25"/>
    <row r="217793" s="12" customFormat="1" x14ac:dyDescent="0.25"/>
    <row r="217794" s="12" customFormat="1" x14ac:dyDescent="0.25"/>
    <row r="217795" s="12" customFormat="1" x14ac:dyDescent="0.25"/>
    <row r="217796" s="12" customFormat="1" x14ac:dyDescent="0.25"/>
    <row r="217797" s="12" customFormat="1" x14ac:dyDescent="0.25"/>
    <row r="217798" s="12" customFormat="1" x14ac:dyDescent="0.25"/>
    <row r="217799" s="12" customFormat="1" x14ac:dyDescent="0.25"/>
    <row r="217800" s="12" customFormat="1" x14ac:dyDescent="0.25"/>
    <row r="217801" s="12" customFormat="1" x14ac:dyDescent="0.25"/>
    <row r="217802" s="12" customFormat="1" x14ac:dyDescent="0.25"/>
    <row r="217803" s="12" customFormat="1" x14ac:dyDescent="0.25"/>
    <row r="217804" s="12" customFormat="1" x14ac:dyDescent="0.25"/>
    <row r="217805" s="12" customFormat="1" x14ac:dyDescent="0.25"/>
    <row r="217806" s="12" customFormat="1" x14ac:dyDescent="0.25"/>
    <row r="217807" s="12" customFormat="1" x14ac:dyDescent="0.25"/>
    <row r="217808" s="12" customFormat="1" x14ac:dyDescent="0.25"/>
    <row r="217809" s="12" customFormat="1" x14ac:dyDescent="0.25"/>
    <row r="217810" s="12" customFormat="1" x14ac:dyDescent="0.25"/>
    <row r="217811" s="12" customFormat="1" x14ac:dyDescent="0.25"/>
    <row r="217812" s="12" customFormat="1" x14ac:dyDescent="0.25"/>
    <row r="217813" s="12" customFormat="1" x14ac:dyDescent="0.25"/>
    <row r="217814" s="12" customFormat="1" x14ac:dyDescent="0.25"/>
    <row r="217815" s="12" customFormat="1" x14ac:dyDescent="0.25"/>
    <row r="217816" s="12" customFormat="1" x14ac:dyDescent="0.25"/>
    <row r="217817" s="12" customFormat="1" x14ac:dyDescent="0.25"/>
    <row r="217818" s="12" customFormat="1" x14ac:dyDescent="0.25"/>
    <row r="217819" s="12" customFormat="1" x14ac:dyDescent="0.25"/>
    <row r="217820" s="12" customFormat="1" x14ac:dyDescent="0.25"/>
    <row r="217821" s="12" customFormat="1" x14ac:dyDescent="0.25"/>
    <row r="217822" s="12" customFormat="1" x14ac:dyDescent="0.25"/>
    <row r="217823" s="12" customFormat="1" x14ac:dyDescent="0.25"/>
    <row r="217824" s="12" customFormat="1" x14ac:dyDescent="0.25"/>
    <row r="217825" s="12" customFormat="1" x14ac:dyDescent="0.25"/>
    <row r="217826" s="12" customFormat="1" x14ac:dyDescent="0.25"/>
    <row r="217827" s="12" customFormat="1" x14ac:dyDescent="0.25"/>
    <row r="217828" s="12" customFormat="1" x14ac:dyDescent="0.25"/>
    <row r="217829" s="12" customFormat="1" x14ac:dyDescent="0.25"/>
    <row r="217830" s="12" customFormat="1" x14ac:dyDescent="0.25"/>
    <row r="217831" s="12" customFormat="1" x14ac:dyDescent="0.25"/>
    <row r="217832" s="12" customFormat="1" x14ac:dyDescent="0.25"/>
    <row r="217833" s="12" customFormat="1" x14ac:dyDescent="0.25"/>
    <row r="217834" s="12" customFormat="1" x14ac:dyDescent="0.25"/>
    <row r="217835" s="12" customFormat="1" x14ac:dyDescent="0.25"/>
    <row r="217836" s="12" customFormat="1" x14ac:dyDescent="0.25"/>
    <row r="217837" s="12" customFormat="1" x14ac:dyDescent="0.25"/>
    <row r="217838" s="12" customFormat="1" x14ac:dyDescent="0.25"/>
    <row r="217839" s="12" customFormat="1" x14ac:dyDescent="0.25"/>
    <row r="217840" s="12" customFormat="1" x14ac:dyDescent="0.25"/>
    <row r="217841" s="12" customFormat="1" x14ac:dyDescent="0.25"/>
    <row r="217842" s="12" customFormat="1" x14ac:dyDescent="0.25"/>
    <row r="217843" s="12" customFormat="1" x14ac:dyDescent="0.25"/>
    <row r="217844" s="12" customFormat="1" x14ac:dyDescent="0.25"/>
    <row r="217845" s="12" customFormat="1" x14ac:dyDescent="0.25"/>
    <row r="217846" s="12" customFormat="1" x14ac:dyDescent="0.25"/>
    <row r="217847" s="12" customFormat="1" x14ac:dyDescent="0.25"/>
    <row r="217848" s="12" customFormat="1" x14ac:dyDescent="0.25"/>
    <row r="217849" s="12" customFormat="1" x14ac:dyDescent="0.25"/>
    <row r="217850" s="12" customFormat="1" x14ac:dyDescent="0.25"/>
    <row r="217851" s="12" customFormat="1" x14ac:dyDescent="0.25"/>
    <row r="217852" s="12" customFormat="1" x14ac:dyDescent="0.25"/>
    <row r="217853" s="12" customFormat="1" x14ac:dyDescent="0.25"/>
    <row r="217854" s="12" customFormat="1" x14ac:dyDescent="0.25"/>
    <row r="217855" s="12" customFormat="1" x14ac:dyDescent="0.25"/>
    <row r="217856" s="12" customFormat="1" x14ac:dyDescent="0.25"/>
    <row r="217857" s="12" customFormat="1" x14ac:dyDescent="0.25"/>
    <row r="217858" s="12" customFormat="1" x14ac:dyDescent="0.25"/>
    <row r="217859" s="12" customFormat="1" x14ac:dyDescent="0.25"/>
    <row r="217860" s="12" customFormat="1" x14ac:dyDescent="0.25"/>
    <row r="217861" s="12" customFormat="1" x14ac:dyDescent="0.25"/>
    <row r="217862" s="12" customFormat="1" x14ac:dyDescent="0.25"/>
    <row r="217863" s="12" customFormat="1" x14ac:dyDescent="0.25"/>
    <row r="217864" s="12" customFormat="1" x14ac:dyDescent="0.25"/>
    <row r="217865" s="12" customFormat="1" x14ac:dyDescent="0.25"/>
    <row r="217866" s="12" customFormat="1" x14ac:dyDescent="0.25"/>
    <row r="217867" s="12" customFormat="1" x14ac:dyDescent="0.25"/>
    <row r="217868" s="12" customFormat="1" x14ac:dyDescent="0.25"/>
    <row r="217869" s="12" customFormat="1" x14ac:dyDescent="0.25"/>
    <row r="217870" s="12" customFormat="1" x14ac:dyDescent="0.25"/>
    <row r="217871" s="12" customFormat="1" x14ac:dyDescent="0.25"/>
    <row r="217872" s="12" customFormat="1" x14ac:dyDescent="0.25"/>
    <row r="217873" s="12" customFormat="1" x14ac:dyDescent="0.25"/>
    <row r="217874" s="12" customFormat="1" x14ac:dyDescent="0.25"/>
    <row r="217875" s="12" customFormat="1" x14ac:dyDescent="0.25"/>
    <row r="217876" s="12" customFormat="1" x14ac:dyDescent="0.25"/>
    <row r="217877" s="12" customFormat="1" x14ac:dyDescent="0.25"/>
    <row r="217878" s="12" customFormat="1" x14ac:dyDescent="0.25"/>
    <row r="217879" s="12" customFormat="1" x14ac:dyDescent="0.25"/>
    <row r="217880" s="12" customFormat="1" x14ac:dyDescent="0.25"/>
    <row r="217881" s="12" customFormat="1" x14ac:dyDescent="0.25"/>
    <row r="217882" s="12" customFormat="1" x14ac:dyDescent="0.25"/>
    <row r="217883" s="12" customFormat="1" x14ac:dyDescent="0.25"/>
    <row r="217884" s="12" customFormat="1" x14ac:dyDescent="0.25"/>
    <row r="217885" s="12" customFormat="1" x14ac:dyDescent="0.25"/>
    <row r="217886" s="12" customFormat="1" x14ac:dyDescent="0.25"/>
    <row r="217887" s="12" customFormat="1" x14ac:dyDescent="0.25"/>
    <row r="217888" s="12" customFormat="1" x14ac:dyDescent="0.25"/>
    <row r="217889" s="12" customFormat="1" x14ac:dyDescent="0.25"/>
    <row r="217890" s="12" customFormat="1" x14ac:dyDescent="0.25"/>
    <row r="217891" s="12" customFormat="1" x14ac:dyDescent="0.25"/>
    <row r="217892" s="12" customFormat="1" x14ac:dyDescent="0.25"/>
    <row r="217893" s="12" customFormat="1" x14ac:dyDescent="0.25"/>
    <row r="217894" s="12" customFormat="1" x14ac:dyDescent="0.25"/>
    <row r="217895" s="12" customFormat="1" x14ac:dyDescent="0.25"/>
    <row r="217896" s="12" customFormat="1" x14ac:dyDescent="0.25"/>
    <row r="217897" s="12" customFormat="1" x14ac:dyDescent="0.25"/>
    <row r="217898" s="12" customFormat="1" x14ac:dyDescent="0.25"/>
    <row r="217899" s="12" customFormat="1" x14ac:dyDescent="0.25"/>
    <row r="217900" s="12" customFormat="1" x14ac:dyDescent="0.25"/>
    <row r="217901" s="12" customFormat="1" x14ac:dyDescent="0.25"/>
    <row r="217902" s="12" customFormat="1" x14ac:dyDescent="0.25"/>
    <row r="217903" s="12" customFormat="1" x14ac:dyDescent="0.25"/>
    <row r="217904" s="12" customFormat="1" x14ac:dyDescent="0.25"/>
    <row r="217905" s="12" customFormat="1" x14ac:dyDescent="0.25"/>
    <row r="217906" s="12" customFormat="1" x14ac:dyDescent="0.25"/>
    <row r="217907" s="12" customFormat="1" x14ac:dyDescent="0.25"/>
    <row r="217908" s="12" customFormat="1" x14ac:dyDescent="0.25"/>
    <row r="217909" s="12" customFormat="1" x14ac:dyDescent="0.25"/>
    <row r="217910" s="12" customFormat="1" x14ac:dyDescent="0.25"/>
    <row r="217911" s="12" customFormat="1" x14ac:dyDescent="0.25"/>
    <row r="217912" s="12" customFormat="1" x14ac:dyDescent="0.25"/>
    <row r="217913" s="12" customFormat="1" x14ac:dyDescent="0.25"/>
    <row r="217914" s="12" customFormat="1" x14ac:dyDescent="0.25"/>
    <row r="217915" s="12" customFormat="1" x14ac:dyDescent="0.25"/>
    <row r="217916" s="12" customFormat="1" x14ac:dyDescent="0.25"/>
    <row r="217917" s="12" customFormat="1" x14ac:dyDescent="0.25"/>
    <row r="217918" s="12" customFormat="1" x14ac:dyDescent="0.25"/>
    <row r="217919" s="12" customFormat="1" x14ac:dyDescent="0.25"/>
    <row r="217920" s="12" customFormat="1" x14ac:dyDescent="0.25"/>
    <row r="217921" s="12" customFormat="1" x14ac:dyDescent="0.25"/>
    <row r="217922" s="12" customFormat="1" x14ac:dyDescent="0.25"/>
    <row r="217923" s="12" customFormat="1" x14ac:dyDescent="0.25"/>
    <row r="217924" s="12" customFormat="1" x14ac:dyDescent="0.25"/>
    <row r="217925" s="12" customFormat="1" x14ac:dyDescent="0.25"/>
    <row r="217926" s="12" customFormat="1" x14ac:dyDescent="0.25"/>
    <row r="217927" s="12" customFormat="1" x14ac:dyDescent="0.25"/>
    <row r="217928" s="12" customFormat="1" x14ac:dyDescent="0.25"/>
    <row r="217929" s="12" customFormat="1" x14ac:dyDescent="0.25"/>
    <row r="217930" s="12" customFormat="1" x14ac:dyDescent="0.25"/>
    <row r="217931" s="12" customFormat="1" x14ac:dyDescent="0.25"/>
    <row r="217932" s="12" customFormat="1" x14ac:dyDescent="0.25"/>
    <row r="217933" s="12" customFormat="1" x14ac:dyDescent="0.25"/>
    <row r="217934" s="12" customFormat="1" x14ac:dyDescent="0.25"/>
    <row r="217935" s="12" customFormat="1" x14ac:dyDescent="0.25"/>
    <row r="217936" s="12" customFormat="1" x14ac:dyDescent="0.25"/>
    <row r="217937" s="12" customFormat="1" x14ac:dyDescent="0.25"/>
    <row r="217938" s="12" customFormat="1" x14ac:dyDescent="0.25"/>
    <row r="217939" s="12" customFormat="1" x14ac:dyDescent="0.25"/>
    <row r="217940" s="12" customFormat="1" x14ac:dyDescent="0.25"/>
    <row r="217941" s="12" customFormat="1" x14ac:dyDescent="0.25"/>
    <row r="217942" s="12" customFormat="1" x14ac:dyDescent="0.25"/>
    <row r="217943" s="12" customFormat="1" x14ac:dyDescent="0.25"/>
    <row r="217944" s="12" customFormat="1" x14ac:dyDescent="0.25"/>
    <row r="217945" s="12" customFormat="1" x14ac:dyDescent="0.25"/>
    <row r="217946" s="12" customFormat="1" x14ac:dyDescent="0.25"/>
    <row r="217947" s="12" customFormat="1" x14ac:dyDescent="0.25"/>
    <row r="217948" s="12" customFormat="1" x14ac:dyDescent="0.25"/>
    <row r="217949" s="12" customFormat="1" x14ac:dyDescent="0.25"/>
    <row r="217950" s="12" customFormat="1" x14ac:dyDescent="0.25"/>
    <row r="217951" s="12" customFormat="1" x14ac:dyDescent="0.25"/>
    <row r="217952" s="12" customFormat="1" x14ac:dyDescent="0.25"/>
    <row r="217953" s="12" customFormat="1" x14ac:dyDescent="0.25"/>
    <row r="217954" s="12" customFormat="1" x14ac:dyDescent="0.25"/>
    <row r="217955" s="12" customFormat="1" x14ac:dyDescent="0.25"/>
    <row r="217956" s="12" customFormat="1" x14ac:dyDescent="0.25"/>
    <row r="217957" s="12" customFormat="1" x14ac:dyDescent="0.25"/>
    <row r="217958" s="12" customFormat="1" x14ac:dyDescent="0.25"/>
    <row r="217959" s="12" customFormat="1" x14ac:dyDescent="0.25"/>
    <row r="217960" s="12" customFormat="1" x14ac:dyDescent="0.25"/>
    <row r="217961" s="12" customFormat="1" x14ac:dyDescent="0.25"/>
    <row r="217962" s="12" customFormat="1" x14ac:dyDescent="0.25"/>
    <row r="217963" s="12" customFormat="1" x14ac:dyDescent="0.25"/>
    <row r="217964" s="12" customFormat="1" x14ac:dyDescent="0.25"/>
    <row r="217965" s="12" customFormat="1" x14ac:dyDescent="0.25"/>
    <row r="217966" s="12" customFormat="1" x14ac:dyDescent="0.25"/>
    <row r="217967" s="12" customFormat="1" x14ac:dyDescent="0.25"/>
    <row r="217968" s="12" customFormat="1" x14ac:dyDescent="0.25"/>
    <row r="217969" s="12" customFormat="1" x14ac:dyDescent="0.25"/>
    <row r="217970" s="12" customFormat="1" x14ac:dyDescent="0.25"/>
    <row r="217971" s="12" customFormat="1" x14ac:dyDescent="0.25"/>
    <row r="217972" s="12" customFormat="1" x14ac:dyDescent="0.25"/>
    <row r="217973" s="12" customFormat="1" x14ac:dyDescent="0.25"/>
    <row r="217974" s="12" customFormat="1" x14ac:dyDescent="0.25"/>
    <row r="217975" s="12" customFormat="1" x14ac:dyDescent="0.25"/>
    <row r="217976" s="12" customFormat="1" x14ac:dyDescent="0.25"/>
    <row r="217977" s="12" customFormat="1" x14ac:dyDescent="0.25"/>
    <row r="217978" s="12" customFormat="1" x14ac:dyDescent="0.25"/>
    <row r="217979" s="12" customFormat="1" x14ac:dyDescent="0.25"/>
    <row r="217980" s="12" customFormat="1" x14ac:dyDescent="0.25"/>
    <row r="217981" s="12" customFormat="1" x14ac:dyDescent="0.25"/>
    <row r="217982" s="12" customFormat="1" x14ac:dyDescent="0.25"/>
    <row r="217983" s="12" customFormat="1" x14ac:dyDescent="0.25"/>
    <row r="217984" s="12" customFormat="1" x14ac:dyDescent="0.25"/>
    <row r="217985" s="12" customFormat="1" x14ac:dyDescent="0.25"/>
    <row r="217986" s="12" customFormat="1" x14ac:dyDescent="0.25"/>
    <row r="217987" s="12" customFormat="1" x14ac:dyDescent="0.25"/>
    <row r="217988" s="12" customFormat="1" x14ac:dyDescent="0.25"/>
    <row r="217989" s="12" customFormat="1" x14ac:dyDescent="0.25"/>
    <row r="217990" s="12" customFormat="1" x14ac:dyDescent="0.25"/>
    <row r="217991" s="12" customFormat="1" x14ac:dyDescent="0.25"/>
    <row r="217992" s="12" customFormat="1" x14ac:dyDescent="0.25"/>
    <row r="217993" s="12" customFormat="1" x14ac:dyDescent="0.25"/>
    <row r="217994" s="12" customFormat="1" x14ac:dyDescent="0.25"/>
    <row r="217995" s="12" customFormat="1" x14ac:dyDescent="0.25"/>
    <row r="217996" s="12" customFormat="1" x14ac:dyDescent="0.25"/>
    <row r="217997" s="12" customFormat="1" x14ac:dyDescent="0.25"/>
    <row r="217998" s="12" customFormat="1" x14ac:dyDescent="0.25"/>
    <row r="217999" s="12" customFormat="1" x14ac:dyDescent="0.25"/>
    <row r="218000" s="12" customFormat="1" x14ac:dyDescent="0.25"/>
    <row r="218001" s="12" customFormat="1" x14ac:dyDescent="0.25"/>
    <row r="218002" s="12" customFormat="1" x14ac:dyDescent="0.25"/>
    <row r="218003" s="12" customFormat="1" x14ac:dyDescent="0.25"/>
    <row r="218004" s="12" customFormat="1" x14ac:dyDescent="0.25"/>
    <row r="218005" s="12" customFormat="1" x14ac:dyDescent="0.25"/>
    <row r="218006" s="12" customFormat="1" x14ac:dyDescent="0.25"/>
    <row r="218007" s="12" customFormat="1" x14ac:dyDescent="0.25"/>
    <row r="218008" s="12" customFormat="1" x14ac:dyDescent="0.25"/>
    <row r="218009" s="12" customFormat="1" x14ac:dyDescent="0.25"/>
    <row r="218010" s="12" customFormat="1" x14ac:dyDescent="0.25"/>
    <row r="218011" s="12" customFormat="1" x14ac:dyDescent="0.25"/>
    <row r="218012" s="12" customFormat="1" x14ac:dyDescent="0.25"/>
    <row r="218013" s="12" customFormat="1" x14ac:dyDescent="0.25"/>
    <row r="218014" s="12" customFormat="1" x14ac:dyDescent="0.25"/>
    <row r="218015" s="12" customFormat="1" x14ac:dyDescent="0.25"/>
    <row r="218016" s="12" customFormat="1" x14ac:dyDescent="0.25"/>
    <row r="218017" s="12" customFormat="1" x14ac:dyDescent="0.25"/>
    <row r="218018" s="12" customFormat="1" x14ac:dyDescent="0.25"/>
    <row r="218019" s="12" customFormat="1" x14ac:dyDescent="0.25"/>
    <row r="218020" s="12" customFormat="1" x14ac:dyDescent="0.25"/>
    <row r="218021" s="12" customFormat="1" x14ac:dyDescent="0.25"/>
    <row r="218022" s="12" customFormat="1" x14ac:dyDescent="0.25"/>
    <row r="218023" s="12" customFormat="1" x14ac:dyDescent="0.25"/>
    <row r="218024" s="12" customFormat="1" x14ac:dyDescent="0.25"/>
    <row r="218025" s="12" customFormat="1" x14ac:dyDescent="0.25"/>
    <row r="218026" s="12" customFormat="1" x14ac:dyDescent="0.25"/>
    <row r="218027" s="12" customFormat="1" x14ac:dyDescent="0.25"/>
    <row r="218028" s="12" customFormat="1" x14ac:dyDescent="0.25"/>
    <row r="218029" s="12" customFormat="1" x14ac:dyDescent="0.25"/>
    <row r="218030" s="12" customFormat="1" x14ac:dyDescent="0.25"/>
    <row r="218031" s="12" customFormat="1" x14ac:dyDescent="0.25"/>
    <row r="218032" s="12" customFormat="1" x14ac:dyDescent="0.25"/>
    <row r="218033" s="12" customFormat="1" x14ac:dyDescent="0.25"/>
    <row r="218034" s="12" customFormat="1" x14ac:dyDescent="0.25"/>
    <row r="218035" s="12" customFormat="1" x14ac:dyDescent="0.25"/>
    <row r="218036" s="12" customFormat="1" x14ac:dyDescent="0.25"/>
    <row r="218037" s="12" customFormat="1" x14ac:dyDescent="0.25"/>
    <row r="218038" s="12" customFormat="1" x14ac:dyDescent="0.25"/>
    <row r="218039" s="12" customFormat="1" x14ac:dyDescent="0.25"/>
    <row r="218040" s="12" customFormat="1" x14ac:dyDescent="0.25"/>
    <row r="218041" s="12" customFormat="1" x14ac:dyDescent="0.25"/>
    <row r="218042" s="12" customFormat="1" x14ac:dyDescent="0.25"/>
    <row r="218043" s="12" customFormat="1" x14ac:dyDescent="0.25"/>
    <row r="218044" s="12" customFormat="1" x14ac:dyDescent="0.25"/>
    <row r="218045" s="12" customFormat="1" x14ac:dyDescent="0.25"/>
    <row r="218046" s="12" customFormat="1" x14ac:dyDescent="0.25"/>
    <row r="218047" s="12" customFormat="1" x14ac:dyDescent="0.25"/>
    <row r="218048" s="12" customFormat="1" x14ac:dyDescent="0.25"/>
    <row r="218049" s="12" customFormat="1" x14ac:dyDescent="0.25"/>
    <row r="218050" s="12" customFormat="1" x14ac:dyDescent="0.25"/>
    <row r="218051" s="12" customFormat="1" x14ac:dyDescent="0.25"/>
    <row r="218052" s="12" customFormat="1" x14ac:dyDescent="0.25"/>
    <row r="218053" s="12" customFormat="1" x14ac:dyDescent="0.25"/>
    <row r="218054" s="12" customFormat="1" x14ac:dyDescent="0.25"/>
    <row r="218055" s="12" customFormat="1" x14ac:dyDescent="0.25"/>
    <row r="218056" s="12" customFormat="1" x14ac:dyDescent="0.25"/>
    <row r="218057" s="12" customFormat="1" x14ac:dyDescent="0.25"/>
    <row r="218058" s="12" customFormat="1" x14ac:dyDescent="0.25"/>
    <row r="218059" s="12" customFormat="1" x14ac:dyDescent="0.25"/>
    <row r="218060" s="12" customFormat="1" x14ac:dyDescent="0.25"/>
    <row r="218061" s="12" customFormat="1" x14ac:dyDescent="0.25"/>
    <row r="218062" s="12" customFormat="1" x14ac:dyDescent="0.25"/>
    <row r="218063" s="12" customFormat="1" x14ac:dyDescent="0.25"/>
    <row r="218064" s="12" customFormat="1" x14ac:dyDescent="0.25"/>
    <row r="218065" s="12" customFormat="1" x14ac:dyDescent="0.25"/>
    <row r="218066" s="12" customFormat="1" x14ac:dyDescent="0.25"/>
    <row r="218067" s="12" customFormat="1" x14ac:dyDescent="0.25"/>
    <row r="218068" s="12" customFormat="1" x14ac:dyDescent="0.25"/>
    <row r="218069" s="12" customFormat="1" x14ac:dyDescent="0.25"/>
    <row r="218070" s="12" customFormat="1" x14ac:dyDescent="0.25"/>
    <row r="218071" s="12" customFormat="1" x14ac:dyDescent="0.25"/>
    <row r="218072" s="12" customFormat="1" x14ac:dyDescent="0.25"/>
    <row r="218073" s="12" customFormat="1" x14ac:dyDescent="0.25"/>
    <row r="218074" s="12" customFormat="1" x14ac:dyDescent="0.25"/>
    <row r="218075" s="12" customFormat="1" x14ac:dyDescent="0.25"/>
    <row r="218076" s="12" customFormat="1" x14ac:dyDescent="0.25"/>
    <row r="218077" s="12" customFormat="1" x14ac:dyDescent="0.25"/>
    <row r="218078" s="12" customFormat="1" x14ac:dyDescent="0.25"/>
    <row r="218079" s="12" customFormat="1" x14ac:dyDescent="0.25"/>
    <row r="218080" s="12" customFormat="1" x14ac:dyDescent="0.25"/>
    <row r="218081" s="12" customFormat="1" x14ac:dyDescent="0.25"/>
    <row r="218082" s="12" customFormat="1" x14ac:dyDescent="0.25"/>
    <row r="218083" s="12" customFormat="1" x14ac:dyDescent="0.25"/>
    <row r="218084" s="12" customFormat="1" x14ac:dyDescent="0.25"/>
    <row r="218085" s="12" customFormat="1" x14ac:dyDescent="0.25"/>
    <row r="218086" s="12" customFormat="1" x14ac:dyDescent="0.25"/>
    <row r="218087" s="12" customFormat="1" x14ac:dyDescent="0.25"/>
    <row r="218088" s="12" customFormat="1" x14ac:dyDescent="0.25"/>
    <row r="218089" s="12" customFormat="1" x14ac:dyDescent="0.25"/>
    <row r="218090" s="12" customFormat="1" x14ac:dyDescent="0.25"/>
    <row r="218091" s="12" customFormat="1" x14ac:dyDescent="0.25"/>
    <row r="218092" s="12" customFormat="1" x14ac:dyDescent="0.25"/>
    <row r="218093" s="12" customFormat="1" x14ac:dyDescent="0.25"/>
    <row r="218094" s="12" customFormat="1" x14ac:dyDescent="0.25"/>
    <row r="218095" s="12" customFormat="1" x14ac:dyDescent="0.25"/>
    <row r="218096" s="12" customFormat="1" x14ac:dyDescent="0.25"/>
    <row r="218097" s="12" customFormat="1" x14ac:dyDescent="0.25"/>
    <row r="218098" s="12" customFormat="1" x14ac:dyDescent="0.25"/>
    <row r="218099" s="12" customFormat="1" x14ac:dyDescent="0.25"/>
    <row r="218100" s="12" customFormat="1" x14ac:dyDescent="0.25"/>
    <row r="218101" s="12" customFormat="1" x14ac:dyDescent="0.25"/>
    <row r="218102" s="12" customFormat="1" x14ac:dyDescent="0.25"/>
    <row r="218103" s="12" customFormat="1" x14ac:dyDescent="0.25"/>
    <row r="218104" s="12" customFormat="1" x14ac:dyDescent="0.25"/>
    <row r="218105" s="12" customFormat="1" x14ac:dyDescent="0.25"/>
    <row r="218106" s="12" customFormat="1" x14ac:dyDescent="0.25"/>
    <row r="218107" s="12" customFormat="1" x14ac:dyDescent="0.25"/>
    <row r="218108" s="12" customFormat="1" x14ac:dyDescent="0.25"/>
    <row r="218109" s="12" customFormat="1" x14ac:dyDescent="0.25"/>
    <row r="218110" s="12" customFormat="1" x14ac:dyDescent="0.25"/>
    <row r="218111" s="12" customFormat="1" x14ac:dyDescent="0.25"/>
    <row r="218112" s="12" customFormat="1" x14ac:dyDescent="0.25"/>
    <row r="218113" s="12" customFormat="1" x14ac:dyDescent="0.25"/>
    <row r="218114" s="12" customFormat="1" x14ac:dyDescent="0.25"/>
    <row r="218115" s="12" customFormat="1" x14ac:dyDescent="0.25"/>
    <row r="218116" s="12" customFormat="1" x14ac:dyDescent="0.25"/>
    <row r="218117" s="12" customFormat="1" x14ac:dyDescent="0.25"/>
    <row r="218118" s="12" customFormat="1" x14ac:dyDescent="0.25"/>
    <row r="218119" s="12" customFormat="1" x14ac:dyDescent="0.25"/>
    <row r="218120" s="12" customFormat="1" x14ac:dyDescent="0.25"/>
    <row r="218121" s="12" customFormat="1" x14ac:dyDescent="0.25"/>
    <row r="218122" s="12" customFormat="1" x14ac:dyDescent="0.25"/>
    <row r="218123" s="12" customFormat="1" x14ac:dyDescent="0.25"/>
    <row r="218124" s="12" customFormat="1" x14ac:dyDescent="0.25"/>
    <row r="218125" s="12" customFormat="1" x14ac:dyDescent="0.25"/>
    <row r="218126" s="12" customFormat="1" x14ac:dyDescent="0.25"/>
    <row r="218127" s="12" customFormat="1" x14ac:dyDescent="0.25"/>
    <row r="218128" s="12" customFormat="1" x14ac:dyDescent="0.25"/>
    <row r="218129" s="12" customFormat="1" x14ac:dyDescent="0.25"/>
    <row r="218130" s="12" customFormat="1" x14ac:dyDescent="0.25"/>
    <row r="218131" s="12" customFormat="1" x14ac:dyDescent="0.25"/>
    <row r="218132" s="12" customFormat="1" x14ac:dyDescent="0.25"/>
    <row r="218133" s="12" customFormat="1" x14ac:dyDescent="0.25"/>
    <row r="218134" s="12" customFormat="1" x14ac:dyDescent="0.25"/>
    <row r="218135" s="12" customFormat="1" x14ac:dyDescent="0.25"/>
    <row r="218136" s="12" customFormat="1" x14ac:dyDescent="0.25"/>
    <row r="218137" s="12" customFormat="1" x14ac:dyDescent="0.25"/>
    <row r="218138" s="12" customFormat="1" x14ac:dyDescent="0.25"/>
    <row r="218139" s="12" customFormat="1" x14ac:dyDescent="0.25"/>
    <row r="218140" s="12" customFormat="1" x14ac:dyDescent="0.25"/>
    <row r="218141" s="12" customFormat="1" x14ac:dyDescent="0.25"/>
    <row r="218142" s="12" customFormat="1" x14ac:dyDescent="0.25"/>
    <row r="218143" s="12" customFormat="1" x14ac:dyDescent="0.25"/>
    <row r="218144" s="12" customFormat="1" x14ac:dyDescent="0.25"/>
    <row r="218145" s="12" customFormat="1" x14ac:dyDescent="0.25"/>
    <row r="218146" s="12" customFormat="1" x14ac:dyDescent="0.25"/>
    <row r="218147" s="12" customFormat="1" x14ac:dyDescent="0.25"/>
    <row r="218148" s="12" customFormat="1" x14ac:dyDescent="0.25"/>
    <row r="218149" s="12" customFormat="1" x14ac:dyDescent="0.25"/>
    <row r="218150" s="12" customFormat="1" x14ac:dyDescent="0.25"/>
    <row r="218151" s="12" customFormat="1" x14ac:dyDescent="0.25"/>
    <row r="218152" s="12" customFormat="1" x14ac:dyDescent="0.25"/>
    <row r="218153" s="12" customFormat="1" x14ac:dyDescent="0.25"/>
    <row r="218154" s="12" customFormat="1" x14ac:dyDescent="0.25"/>
    <row r="218155" s="12" customFormat="1" x14ac:dyDescent="0.25"/>
    <row r="218156" s="12" customFormat="1" x14ac:dyDescent="0.25"/>
    <row r="218157" s="12" customFormat="1" x14ac:dyDescent="0.25"/>
    <row r="218158" s="12" customFormat="1" x14ac:dyDescent="0.25"/>
    <row r="218159" s="12" customFormat="1" x14ac:dyDescent="0.25"/>
    <row r="218160" s="12" customFormat="1" x14ac:dyDescent="0.25"/>
    <row r="218161" s="12" customFormat="1" x14ac:dyDescent="0.25"/>
    <row r="218162" s="12" customFormat="1" x14ac:dyDescent="0.25"/>
    <row r="218163" s="12" customFormat="1" x14ac:dyDescent="0.25"/>
    <row r="218164" s="12" customFormat="1" x14ac:dyDescent="0.25"/>
    <row r="218165" s="12" customFormat="1" x14ac:dyDescent="0.25"/>
    <row r="218166" s="12" customFormat="1" x14ac:dyDescent="0.25"/>
    <row r="218167" s="12" customFormat="1" x14ac:dyDescent="0.25"/>
    <row r="218168" s="12" customFormat="1" x14ac:dyDescent="0.25"/>
    <row r="218169" s="12" customFormat="1" x14ac:dyDescent="0.25"/>
    <row r="218170" s="12" customFormat="1" x14ac:dyDescent="0.25"/>
    <row r="218171" s="12" customFormat="1" x14ac:dyDescent="0.25"/>
    <row r="218172" s="12" customFormat="1" x14ac:dyDescent="0.25"/>
    <row r="218173" s="12" customFormat="1" x14ac:dyDescent="0.25"/>
    <row r="218174" s="12" customFormat="1" x14ac:dyDescent="0.25"/>
    <row r="218175" s="12" customFormat="1" x14ac:dyDescent="0.25"/>
    <row r="218176" s="12" customFormat="1" x14ac:dyDescent="0.25"/>
    <row r="218177" s="12" customFormat="1" x14ac:dyDescent="0.25"/>
    <row r="218178" s="12" customFormat="1" x14ac:dyDescent="0.25"/>
    <row r="218179" s="12" customFormat="1" x14ac:dyDescent="0.25"/>
    <row r="218180" s="12" customFormat="1" x14ac:dyDescent="0.25"/>
    <row r="218181" s="12" customFormat="1" x14ac:dyDescent="0.25"/>
    <row r="218182" s="12" customFormat="1" x14ac:dyDescent="0.25"/>
    <row r="218183" s="12" customFormat="1" x14ac:dyDescent="0.25"/>
    <row r="218184" s="12" customFormat="1" x14ac:dyDescent="0.25"/>
    <row r="218185" s="12" customFormat="1" x14ac:dyDescent="0.25"/>
    <row r="218186" s="12" customFormat="1" x14ac:dyDescent="0.25"/>
    <row r="218187" s="12" customFormat="1" x14ac:dyDescent="0.25"/>
    <row r="218188" s="12" customFormat="1" x14ac:dyDescent="0.25"/>
    <row r="218189" s="12" customFormat="1" x14ac:dyDescent="0.25"/>
    <row r="218190" s="12" customFormat="1" x14ac:dyDescent="0.25"/>
    <row r="218191" s="12" customFormat="1" x14ac:dyDescent="0.25"/>
    <row r="218192" s="12" customFormat="1" x14ac:dyDescent="0.25"/>
    <row r="218193" s="12" customFormat="1" x14ac:dyDescent="0.25"/>
    <row r="218194" s="12" customFormat="1" x14ac:dyDescent="0.25"/>
    <row r="218195" s="12" customFormat="1" x14ac:dyDescent="0.25"/>
    <row r="218196" s="12" customFormat="1" x14ac:dyDescent="0.25"/>
    <row r="218197" s="12" customFormat="1" x14ac:dyDescent="0.25"/>
    <row r="218198" s="12" customFormat="1" x14ac:dyDescent="0.25"/>
    <row r="218199" s="12" customFormat="1" x14ac:dyDescent="0.25"/>
    <row r="218200" s="12" customFormat="1" x14ac:dyDescent="0.25"/>
    <row r="218201" s="12" customFormat="1" x14ac:dyDescent="0.25"/>
    <row r="218202" s="12" customFormat="1" x14ac:dyDescent="0.25"/>
    <row r="218203" s="12" customFormat="1" x14ac:dyDescent="0.25"/>
    <row r="218204" s="12" customFormat="1" x14ac:dyDescent="0.25"/>
    <row r="218205" s="12" customFormat="1" x14ac:dyDescent="0.25"/>
    <row r="218206" s="12" customFormat="1" x14ac:dyDescent="0.25"/>
    <row r="218207" s="12" customFormat="1" x14ac:dyDescent="0.25"/>
    <row r="218208" s="12" customFormat="1" x14ac:dyDescent="0.25"/>
    <row r="218209" s="12" customFormat="1" x14ac:dyDescent="0.25"/>
    <row r="218210" s="12" customFormat="1" x14ac:dyDescent="0.25"/>
    <row r="218211" s="12" customFormat="1" x14ac:dyDescent="0.25"/>
    <row r="218212" s="12" customFormat="1" x14ac:dyDescent="0.25"/>
    <row r="218213" s="12" customFormat="1" x14ac:dyDescent="0.25"/>
    <row r="218214" s="12" customFormat="1" x14ac:dyDescent="0.25"/>
    <row r="218215" s="12" customFormat="1" x14ac:dyDescent="0.25"/>
    <row r="218216" s="12" customFormat="1" x14ac:dyDescent="0.25"/>
    <row r="218217" s="12" customFormat="1" x14ac:dyDescent="0.25"/>
    <row r="218218" s="12" customFormat="1" x14ac:dyDescent="0.25"/>
    <row r="218219" s="12" customFormat="1" x14ac:dyDescent="0.25"/>
    <row r="218220" s="12" customFormat="1" x14ac:dyDescent="0.25"/>
    <row r="218221" s="12" customFormat="1" x14ac:dyDescent="0.25"/>
    <row r="218222" s="12" customFormat="1" x14ac:dyDescent="0.25"/>
    <row r="218223" s="12" customFormat="1" x14ac:dyDescent="0.25"/>
    <row r="218224" s="12" customFormat="1" x14ac:dyDescent="0.25"/>
    <row r="218225" s="12" customFormat="1" x14ac:dyDescent="0.25"/>
    <row r="218226" s="12" customFormat="1" x14ac:dyDescent="0.25"/>
    <row r="218227" s="12" customFormat="1" x14ac:dyDescent="0.25"/>
    <row r="218228" s="12" customFormat="1" x14ac:dyDescent="0.25"/>
    <row r="218229" s="12" customFormat="1" x14ac:dyDescent="0.25"/>
    <row r="218230" s="12" customFormat="1" x14ac:dyDescent="0.25"/>
    <row r="218231" s="12" customFormat="1" x14ac:dyDescent="0.25"/>
    <row r="218232" s="12" customFormat="1" x14ac:dyDescent="0.25"/>
    <row r="218233" s="12" customFormat="1" x14ac:dyDescent="0.25"/>
    <row r="218234" s="12" customFormat="1" x14ac:dyDescent="0.25"/>
    <row r="218235" s="12" customFormat="1" x14ac:dyDescent="0.25"/>
    <row r="218236" s="12" customFormat="1" x14ac:dyDescent="0.25"/>
    <row r="218237" s="12" customFormat="1" x14ac:dyDescent="0.25"/>
    <row r="218238" s="12" customFormat="1" x14ac:dyDescent="0.25"/>
    <row r="218239" s="12" customFormat="1" x14ac:dyDescent="0.25"/>
    <row r="218240" s="12" customFormat="1" x14ac:dyDescent="0.25"/>
    <row r="218241" s="12" customFormat="1" x14ac:dyDescent="0.25"/>
    <row r="218242" s="12" customFormat="1" x14ac:dyDescent="0.25"/>
    <row r="218243" s="12" customFormat="1" x14ac:dyDescent="0.25"/>
    <row r="218244" s="12" customFormat="1" x14ac:dyDescent="0.25"/>
    <row r="218245" s="12" customFormat="1" x14ac:dyDescent="0.25"/>
    <row r="218246" s="12" customFormat="1" x14ac:dyDescent="0.25"/>
    <row r="218247" s="12" customFormat="1" x14ac:dyDescent="0.25"/>
    <row r="218248" s="12" customFormat="1" x14ac:dyDescent="0.25"/>
    <row r="218249" s="12" customFormat="1" x14ac:dyDescent="0.25"/>
    <row r="218250" s="12" customFormat="1" x14ac:dyDescent="0.25"/>
    <row r="218251" s="12" customFormat="1" x14ac:dyDescent="0.25"/>
    <row r="218252" s="12" customFormat="1" x14ac:dyDescent="0.25"/>
    <row r="218253" s="12" customFormat="1" x14ac:dyDescent="0.25"/>
    <row r="218254" s="12" customFormat="1" x14ac:dyDescent="0.25"/>
    <row r="218255" s="12" customFormat="1" x14ac:dyDescent="0.25"/>
    <row r="218256" s="12" customFormat="1" x14ac:dyDescent="0.25"/>
    <row r="218257" s="12" customFormat="1" x14ac:dyDescent="0.25"/>
    <row r="218258" s="12" customFormat="1" x14ac:dyDescent="0.25"/>
    <row r="218259" s="12" customFormat="1" x14ac:dyDescent="0.25"/>
    <row r="218260" s="12" customFormat="1" x14ac:dyDescent="0.25"/>
    <row r="218261" s="12" customFormat="1" x14ac:dyDescent="0.25"/>
    <row r="218262" s="12" customFormat="1" x14ac:dyDescent="0.25"/>
    <row r="218263" s="12" customFormat="1" x14ac:dyDescent="0.25"/>
    <row r="218264" s="12" customFormat="1" x14ac:dyDescent="0.25"/>
    <row r="218265" s="12" customFormat="1" x14ac:dyDescent="0.25"/>
    <row r="218266" s="12" customFormat="1" x14ac:dyDescent="0.25"/>
    <row r="218267" s="12" customFormat="1" x14ac:dyDescent="0.25"/>
    <row r="218268" s="12" customFormat="1" x14ac:dyDescent="0.25"/>
    <row r="218269" s="12" customFormat="1" x14ac:dyDescent="0.25"/>
    <row r="218270" s="12" customFormat="1" x14ac:dyDescent="0.25"/>
    <row r="218271" s="12" customFormat="1" x14ac:dyDescent="0.25"/>
    <row r="218272" s="12" customFormat="1" x14ac:dyDescent="0.25"/>
    <row r="218273" s="12" customFormat="1" x14ac:dyDescent="0.25"/>
    <row r="218274" s="12" customFormat="1" x14ac:dyDescent="0.25"/>
    <row r="218275" s="12" customFormat="1" x14ac:dyDescent="0.25"/>
    <row r="218276" s="12" customFormat="1" x14ac:dyDescent="0.25"/>
    <row r="218277" s="12" customFormat="1" x14ac:dyDescent="0.25"/>
    <row r="218278" s="12" customFormat="1" x14ac:dyDescent="0.25"/>
    <row r="218279" s="12" customFormat="1" x14ac:dyDescent="0.25"/>
    <row r="218280" s="12" customFormat="1" x14ac:dyDescent="0.25"/>
    <row r="218281" s="12" customFormat="1" x14ac:dyDescent="0.25"/>
    <row r="218282" s="12" customFormat="1" x14ac:dyDescent="0.25"/>
    <row r="218283" s="12" customFormat="1" x14ac:dyDescent="0.25"/>
    <row r="218284" s="12" customFormat="1" x14ac:dyDescent="0.25"/>
    <row r="218285" s="12" customFormat="1" x14ac:dyDescent="0.25"/>
    <row r="218286" s="12" customFormat="1" x14ac:dyDescent="0.25"/>
    <row r="218287" s="12" customFormat="1" x14ac:dyDescent="0.25"/>
    <row r="218288" s="12" customFormat="1" x14ac:dyDescent="0.25"/>
    <row r="218289" s="12" customFormat="1" x14ac:dyDescent="0.25"/>
    <row r="218290" s="12" customFormat="1" x14ac:dyDescent="0.25"/>
    <row r="218291" s="12" customFormat="1" x14ac:dyDescent="0.25"/>
    <row r="218292" s="12" customFormat="1" x14ac:dyDescent="0.25"/>
    <row r="218293" s="12" customFormat="1" x14ac:dyDescent="0.25"/>
    <row r="218294" s="12" customFormat="1" x14ac:dyDescent="0.25"/>
    <row r="218295" s="12" customFormat="1" x14ac:dyDescent="0.25"/>
    <row r="218296" s="12" customFormat="1" x14ac:dyDescent="0.25"/>
    <row r="218297" s="12" customFormat="1" x14ac:dyDescent="0.25"/>
    <row r="218298" s="12" customFormat="1" x14ac:dyDescent="0.25"/>
    <row r="218299" s="12" customFormat="1" x14ac:dyDescent="0.25"/>
    <row r="218300" s="12" customFormat="1" x14ac:dyDescent="0.25"/>
    <row r="218301" s="12" customFormat="1" x14ac:dyDescent="0.25"/>
    <row r="218302" s="12" customFormat="1" x14ac:dyDescent="0.25"/>
    <row r="218303" s="12" customFormat="1" x14ac:dyDescent="0.25"/>
    <row r="218304" s="12" customFormat="1" x14ac:dyDescent="0.25"/>
    <row r="218305" s="12" customFormat="1" x14ac:dyDescent="0.25"/>
    <row r="218306" s="12" customFormat="1" x14ac:dyDescent="0.25"/>
    <row r="218307" s="12" customFormat="1" x14ac:dyDescent="0.25"/>
    <row r="218308" s="12" customFormat="1" x14ac:dyDescent="0.25"/>
    <row r="218309" s="12" customFormat="1" x14ac:dyDescent="0.25"/>
    <row r="218310" s="12" customFormat="1" x14ac:dyDescent="0.25"/>
    <row r="218311" s="12" customFormat="1" x14ac:dyDescent="0.25"/>
    <row r="218312" s="12" customFormat="1" x14ac:dyDescent="0.25"/>
    <row r="218313" s="12" customFormat="1" x14ac:dyDescent="0.25"/>
    <row r="218314" s="12" customFormat="1" x14ac:dyDescent="0.25"/>
    <row r="218315" s="12" customFormat="1" x14ac:dyDescent="0.25"/>
    <row r="218316" s="12" customFormat="1" x14ac:dyDescent="0.25"/>
    <row r="218317" s="12" customFormat="1" x14ac:dyDescent="0.25"/>
    <row r="218318" s="12" customFormat="1" x14ac:dyDescent="0.25"/>
    <row r="218319" s="12" customFormat="1" x14ac:dyDescent="0.25"/>
    <row r="218320" s="12" customFormat="1" x14ac:dyDescent="0.25"/>
    <row r="218321" s="12" customFormat="1" x14ac:dyDescent="0.25"/>
    <row r="218322" s="12" customFormat="1" x14ac:dyDescent="0.25"/>
    <row r="218323" s="12" customFormat="1" x14ac:dyDescent="0.25"/>
    <row r="218324" s="12" customFormat="1" x14ac:dyDescent="0.25"/>
    <row r="218325" s="12" customFormat="1" x14ac:dyDescent="0.25"/>
    <row r="218326" s="12" customFormat="1" x14ac:dyDescent="0.25"/>
    <row r="218327" s="12" customFormat="1" x14ac:dyDescent="0.25"/>
    <row r="218328" s="12" customFormat="1" x14ac:dyDescent="0.25"/>
    <row r="218329" s="12" customFormat="1" x14ac:dyDescent="0.25"/>
    <row r="218330" s="12" customFormat="1" x14ac:dyDescent="0.25"/>
    <row r="218331" s="12" customFormat="1" x14ac:dyDescent="0.25"/>
    <row r="218332" s="12" customFormat="1" x14ac:dyDescent="0.25"/>
    <row r="218333" s="12" customFormat="1" x14ac:dyDescent="0.25"/>
    <row r="218334" s="12" customFormat="1" x14ac:dyDescent="0.25"/>
    <row r="218335" s="12" customFormat="1" x14ac:dyDescent="0.25"/>
    <row r="218336" s="12" customFormat="1" x14ac:dyDescent="0.25"/>
    <row r="218337" s="12" customFormat="1" x14ac:dyDescent="0.25"/>
    <row r="218338" s="12" customFormat="1" x14ac:dyDescent="0.25"/>
    <row r="218339" s="12" customFormat="1" x14ac:dyDescent="0.25"/>
    <row r="218340" s="12" customFormat="1" x14ac:dyDescent="0.25"/>
    <row r="218341" s="12" customFormat="1" x14ac:dyDescent="0.25"/>
    <row r="218342" s="12" customFormat="1" x14ac:dyDescent="0.25"/>
    <row r="218343" s="12" customFormat="1" x14ac:dyDescent="0.25"/>
    <row r="218344" s="12" customFormat="1" x14ac:dyDescent="0.25"/>
    <row r="218345" s="12" customFormat="1" x14ac:dyDescent="0.25"/>
    <row r="218346" s="12" customFormat="1" x14ac:dyDescent="0.25"/>
    <row r="218347" s="12" customFormat="1" x14ac:dyDescent="0.25"/>
    <row r="218348" s="12" customFormat="1" x14ac:dyDescent="0.25"/>
    <row r="218349" s="12" customFormat="1" x14ac:dyDescent="0.25"/>
    <row r="218350" s="12" customFormat="1" x14ac:dyDescent="0.25"/>
    <row r="218351" s="12" customFormat="1" x14ac:dyDescent="0.25"/>
    <row r="218352" s="12" customFormat="1" x14ac:dyDescent="0.25"/>
    <row r="218353" s="12" customFormat="1" x14ac:dyDescent="0.25"/>
    <row r="218354" s="12" customFormat="1" x14ac:dyDescent="0.25"/>
    <row r="218355" s="12" customFormat="1" x14ac:dyDescent="0.25"/>
    <row r="218356" s="12" customFormat="1" x14ac:dyDescent="0.25"/>
    <row r="218357" s="12" customFormat="1" x14ac:dyDescent="0.25"/>
    <row r="218358" s="12" customFormat="1" x14ac:dyDescent="0.25"/>
    <row r="218359" s="12" customFormat="1" x14ac:dyDescent="0.25"/>
    <row r="218360" s="12" customFormat="1" x14ac:dyDescent="0.25"/>
    <row r="218361" s="12" customFormat="1" x14ac:dyDescent="0.25"/>
    <row r="218362" s="12" customFormat="1" x14ac:dyDescent="0.25"/>
    <row r="218363" s="12" customFormat="1" x14ac:dyDescent="0.25"/>
    <row r="218364" s="12" customFormat="1" x14ac:dyDescent="0.25"/>
    <row r="218365" s="12" customFormat="1" x14ac:dyDescent="0.25"/>
    <row r="218366" s="12" customFormat="1" x14ac:dyDescent="0.25"/>
    <row r="218367" s="12" customFormat="1" x14ac:dyDescent="0.25"/>
    <row r="218368" s="12" customFormat="1" x14ac:dyDescent="0.25"/>
    <row r="218369" s="12" customFormat="1" x14ac:dyDescent="0.25"/>
    <row r="218370" s="12" customFormat="1" x14ac:dyDescent="0.25"/>
    <row r="218371" s="12" customFormat="1" x14ac:dyDescent="0.25"/>
    <row r="218372" s="12" customFormat="1" x14ac:dyDescent="0.25"/>
    <row r="218373" s="12" customFormat="1" x14ac:dyDescent="0.25"/>
    <row r="218374" s="12" customFormat="1" x14ac:dyDescent="0.25"/>
    <row r="218375" s="12" customFormat="1" x14ac:dyDescent="0.25"/>
    <row r="218376" s="12" customFormat="1" x14ac:dyDescent="0.25"/>
    <row r="218377" s="12" customFormat="1" x14ac:dyDescent="0.25"/>
    <row r="218378" s="12" customFormat="1" x14ac:dyDescent="0.25"/>
    <row r="218379" s="12" customFormat="1" x14ac:dyDescent="0.25"/>
    <row r="218380" s="12" customFormat="1" x14ac:dyDescent="0.25"/>
    <row r="218381" s="12" customFormat="1" x14ac:dyDescent="0.25"/>
    <row r="218382" s="12" customFormat="1" x14ac:dyDescent="0.25"/>
    <row r="218383" s="12" customFormat="1" x14ac:dyDescent="0.25"/>
    <row r="218384" s="12" customFormat="1" x14ac:dyDescent="0.25"/>
    <row r="218385" s="12" customFormat="1" x14ac:dyDescent="0.25"/>
    <row r="218386" s="12" customFormat="1" x14ac:dyDescent="0.25"/>
    <row r="218387" s="12" customFormat="1" x14ac:dyDescent="0.25"/>
    <row r="218388" s="12" customFormat="1" x14ac:dyDescent="0.25"/>
    <row r="218389" s="12" customFormat="1" x14ac:dyDescent="0.25"/>
    <row r="218390" s="12" customFormat="1" x14ac:dyDescent="0.25"/>
    <row r="218391" s="12" customFormat="1" x14ac:dyDescent="0.25"/>
    <row r="218392" s="12" customFormat="1" x14ac:dyDescent="0.25"/>
    <row r="218393" s="12" customFormat="1" x14ac:dyDescent="0.25"/>
    <row r="218394" s="12" customFormat="1" x14ac:dyDescent="0.25"/>
    <row r="218395" s="12" customFormat="1" x14ac:dyDescent="0.25"/>
    <row r="218396" s="12" customFormat="1" x14ac:dyDescent="0.25"/>
    <row r="218397" s="12" customFormat="1" x14ac:dyDescent="0.25"/>
    <row r="218398" s="12" customFormat="1" x14ac:dyDescent="0.25"/>
    <row r="218399" s="12" customFormat="1" x14ac:dyDescent="0.25"/>
    <row r="218400" s="12" customFormat="1" x14ac:dyDescent="0.25"/>
    <row r="218401" s="12" customFormat="1" x14ac:dyDescent="0.25"/>
    <row r="218402" s="12" customFormat="1" x14ac:dyDescent="0.25"/>
    <row r="218403" s="12" customFormat="1" x14ac:dyDescent="0.25"/>
    <row r="218404" s="12" customFormat="1" x14ac:dyDescent="0.25"/>
    <row r="218405" s="12" customFormat="1" x14ac:dyDescent="0.25"/>
    <row r="218406" s="12" customFormat="1" x14ac:dyDescent="0.25"/>
    <row r="218407" s="12" customFormat="1" x14ac:dyDescent="0.25"/>
    <row r="218408" s="12" customFormat="1" x14ac:dyDescent="0.25"/>
    <row r="218409" s="12" customFormat="1" x14ac:dyDescent="0.25"/>
    <row r="218410" s="12" customFormat="1" x14ac:dyDescent="0.25"/>
    <row r="218411" s="12" customFormat="1" x14ac:dyDescent="0.25"/>
    <row r="218412" s="12" customFormat="1" x14ac:dyDescent="0.25"/>
    <row r="218413" s="12" customFormat="1" x14ac:dyDescent="0.25"/>
    <row r="218414" s="12" customFormat="1" x14ac:dyDescent="0.25"/>
    <row r="218415" s="12" customFormat="1" x14ac:dyDescent="0.25"/>
    <row r="218416" s="12" customFormat="1" x14ac:dyDescent="0.25"/>
    <row r="218417" s="12" customFormat="1" x14ac:dyDescent="0.25"/>
    <row r="218418" s="12" customFormat="1" x14ac:dyDescent="0.25"/>
    <row r="218419" s="12" customFormat="1" x14ac:dyDescent="0.25"/>
    <row r="218420" s="12" customFormat="1" x14ac:dyDescent="0.25"/>
    <row r="218421" s="12" customFormat="1" x14ac:dyDescent="0.25"/>
    <row r="218422" s="12" customFormat="1" x14ac:dyDescent="0.25"/>
    <row r="218423" s="12" customFormat="1" x14ac:dyDescent="0.25"/>
    <row r="218424" s="12" customFormat="1" x14ac:dyDescent="0.25"/>
    <row r="218425" s="12" customFormat="1" x14ac:dyDescent="0.25"/>
    <row r="218426" s="12" customFormat="1" x14ac:dyDescent="0.25"/>
    <row r="218427" s="12" customFormat="1" x14ac:dyDescent="0.25"/>
    <row r="218428" s="12" customFormat="1" x14ac:dyDescent="0.25"/>
    <row r="218429" s="12" customFormat="1" x14ac:dyDescent="0.25"/>
    <row r="218430" s="12" customFormat="1" x14ac:dyDescent="0.25"/>
    <row r="218431" s="12" customFormat="1" x14ac:dyDescent="0.25"/>
    <row r="218432" s="12" customFormat="1" x14ac:dyDescent="0.25"/>
    <row r="218433" s="12" customFormat="1" x14ac:dyDescent="0.25"/>
    <row r="218434" s="12" customFormat="1" x14ac:dyDescent="0.25"/>
    <row r="218435" s="12" customFormat="1" x14ac:dyDescent="0.25"/>
    <row r="218436" s="12" customFormat="1" x14ac:dyDescent="0.25"/>
    <row r="218437" s="12" customFormat="1" x14ac:dyDescent="0.25"/>
    <row r="218438" s="12" customFormat="1" x14ac:dyDescent="0.25"/>
    <row r="218439" s="12" customFormat="1" x14ac:dyDescent="0.25"/>
    <row r="218440" s="12" customFormat="1" x14ac:dyDescent="0.25"/>
    <row r="218441" s="12" customFormat="1" x14ac:dyDescent="0.25"/>
    <row r="218442" s="12" customFormat="1" x14ac:dyDescent="0.25"/>
    <row r="218443" s="12" customFormat="1" x14ac:dyDescent="0.25"/>
    <row r="218444" s="12" customFormat="1" x14ac:dyDescent="0.25"/>
    <row r="218445" s="12" customFormat="1" x14ac:dyDescent="0.25"/>
    <row r="218446" s="12" customFormat="1" x14ac:dyDescent="0.25"/>
    <row r="218447" s="12" customFormat="1" x14ac:dyDescent="0.25"/>
    <row r="218448" s="12" customFormat="1" x14ac:dyDescent="0.25"/>
    <row r="218449" s="12" customFormat="1" x14ac:dyDescent="0.25"/>
    <row r="218450" s="12" customFormat="1" x14ac:dyDescent="0.25"/>
    <row r="218451" s="12" customFormat="1" x14ac:dyDescent="0.25"/>
    <row r="218452" s="12" customFormat="1" x14ac:dyDescent="0.25"/>
    <row r="218453" s="12" customFormat="1" x14ac:dyDescent="0.25"/>
    <row r="218454" s="12" customFormat="1" x14ac:dyDescent="0.25"/>
    <row r="218455" s="12" customFormat="1" x14ac:dyDescent="0.25"/>
    <row r="218456" s="12" customFormat="1" x14ac:dyDescent="0.25"/>
    <row r="218457" s="12" customFormat="1" x14ac:dyDescent="0.25"/>
    <row r="218458" s="12" customFormat="1" x14ac:dyDescent="0.25"/>
    <row r="218459" s="12" customFormat="1" x14ac:dyDescent="0.25"/>
    <row r="218460" s="12" customFormat="1" x14ac:dyDescent="0.25"/>
    <row r="218461" s="12" customFormat="1" x14ac:dyDescent="0.25"/>
    <row r="218462" s="12" customFormat="1" x14ac:dyDescent="0.25"/>
    <row r="218463" s="12" customFormat="1" x14ac:dyDescent="0.25"/>
    <row r="218464" s="12" customFormat="1" x14ac:dyDescent="0.25"/>
    <row r="218465" s="12" customFormat="1" x14ac:dyDescent="0.25"/>
    <row r="218466" s="12" customFormat="1" x14ac:dyDescent="0.25"/>
    <row r="218467" s="12" customFormat="1" x14ac:dyDescent="0.25"/>
    <row r="218468" s="12" customFormat="1" x14ac:dyDescent="0.25"/>
    <row r="218469" s="12" customFormat="1" x14ac:dyDescent="0.25"/>
    <row r="218470" s="12" customFormat="1" x14ac:dyDescent="0.25"/>
    <row r="218471" s="12" customFormat="1" x14ac:dyDescent="0.25"/>
    <row r="218472" s="12" customFormat="1" x14ac:dyDescent="0.25"/>
    <row r="218473" s="12" customFormat="1" x14ac:dyDescent="0.25"/>
    <row r="218474" s="12" customFormat="1" x14ac:dyDescent="0.25"/>
    <row r="218475" s="12" customFormat="1" x14ac:dyDescent="0.25"/>
    <row r="218476" s="12" customFormat="1" x14ac:dyDescent="0.25"/>
    <row r="218477" s="12" customFormat="1" x14ac:dyDescent="0.25"/>
    <row r="218478" s="12" customFormat="1" x14ac:dyDescent="0.25"/>
    <row r="218479" s="12" customFormat="1" x14ac:dyDescent="0.25"/>
    <row r="218480" s="12" customFormat="1" x14ac:dyDescent="0.25"/>
    <row r="218481" s="12" customFormat="1" x14ac:dyDescent="0.25"/>
    <row r="218482" s="12" customFormat="1" x14ac:dyDescent="0.25"/>
    <row r="218483" s="12" customFormat="1" x14ac:dyDescent="0.25"/>
    <row r="218484" s="12" customFormat="1" x14ac:dyDescent="0.25"/>
    <row r="218485" s="12" customFormat="1" x14ac:dyDescent="0.25"/>
    <row r="218486" s="12" customFormat="1" x14ac:dyDescent="0.25"/>
    <row r="218487" s="12" customFormat="1" x14ac:dyDescent="0.25"/>
    <row r="218488" s="12" customFormat="1" x14ac:dyDescent="0.25"/>
    <row r="218489" s="12" customFormat="1" x14ac:dyDescent="0.25"/>
    <row r="218490" s="12" customFormat="1" x14ac:dyDescent="0.25"/>
    <row r="218491" s="12" customFormat="1" x14ac:dyDescent="0.25"/>
    <row r="218492" s="12" customFormat="1" x14ac:dyDescent="0.25"/>
    <row r="218493" s="12" customFormat="1" x14ac:dyDescent="0.25"/>
    <row r="218494" s="12" customFormat="1" x14ac:dyDescent="0.25"/>
    <row r="218495" s="12" customFormat="1" x14ac:dyDescent="0.25"/>
    <row r="218496" s="12" customFormat="1" x14ac:dyDescent="0.25"/>
    <row r="218497" s="12" customFormat="1" x14ac:dyDescent="0.25"/>
    <row r="218498" s="12" customFormat="1" x14ac:dyDescent="0.25"/>
    <row r="218499" s="12" customFormat="1" x14ac:dyDescent="0.25"/>
    <row r="218500" s="12" customFormat="1" x14ac:dyDescent="0.25"/>
    <row r="218501" s="12" customFormat="1" x14ac:dyDescent="0.25"/>
    <row r="218502" s="12" customFormat="1" x14ac:dyDescent="0.25"/>
    <row r="218503" s="12" customFormat="1" x14ac:dyDescent="0.25"/>
    <row r="218504" s="12" customFormat="1" x14ac:dyDescent="0.25"/>
    <row r="218505" s="12" customFormat="1" x14ac:dyDescent="0.25"/>
    <row r="218506" s="12" customFormat="1" x14ac:dyDescent="0.25"/>
    <row r="218507" s="12" customFormat="1" x14ac:dyDescent="0.25"/>
    <row r="218508" s="12" customFormat="1" x14ac:dyDescent="0.25"/>
    <row r="218509" s="12" customFormat="1" x14ac:dyDescent="0.25"/>
    <row r="218510" s="12" customFormat="1" x14ac:dyDescent="0.25"/>
    <row r="218511" s="12" customFormat="1" x14ac:dyDescent="0.25"/>
    <row r="218512" s="12" customFormat="1" x14ac:dyDescent="0.25"/>
    <row r="218513" s="12" customFormat="1" x14ac:dyDescent="0.25"/>
    <row r="218514" s="12" customFormat="1" x14ac:dyDescent="0.25"/>
    <row r="218515" s="12" customFormat="1" x14ac:dyDescent="0.25"/>
    <row r="218516" s="12" customFormat="1" x14ac:dyDescent="0.25"/>
    <row r="218517" s="12" customFormat="1" x14ac:dyDescent="0.25"/>
    <row r="218518" s="12" customFormat="1" x14ac:dyDescent="0.25"/>
    <row r="218519" s="12" customFormat="1" x14ac:dyDescent="0.25"/>
    <row r="218520" s="12" customFormat="1" x14ac:dyDescent="0.25"/>
    <row r="218521" s="12" customFormat="1" x14ac:dyDescent="0.25"/>
    <row r="218522" s="12" customFormat="1" x14ac:dyDescent="0.25"/>
    <row r="218523" s="12" customFormat="1" x14ac:dyDescent="0.25"/>
    <row r="218524" s="12" customFormat="1" x14ac:dyDescent="0.25"/>
    <row r="218525" s="12" customFormat="1" x14ac:dyDescent="0.25"/>
    <row r="218526" s="12" customFormat="1" x14ac:dyDescent="0.25"/>
    <row r="218527" s="12" customFormat="1" x14ac:dyDescent="0.25"/>
    <row r="218528" s="12" customFormat="1" x14ac:dyDescent="0.25"/>
    <row r="218529" s="12" customFormat="1" x14ac:dyDescent="0.25"/>
    <row r="218530" s="12" customFormat="1" x14ac:dyDescent="0.25"/>
    <row r="218531" s="12" customFormat="1" x14ac:dyDescent="0.25"/>
    <row r="218532" s="12" customFormat="1" x14ac:dyDescent="0.25"/>
    <row r="218533" s="12" customFormat="1" x14ac:dyDescent="0.25"/>
    <row r="218534" s="12" customFormat="1" x14ac:dyDescent="0.25"/>
    <row r="218535" s="12" customFormat="1" x14ac:dyDescent="0.25"/>
    <row r="218536" s="12" customFormat="1" x14ac:dyDescent="0.25"/>
    <row r="218537" s="12" customFormat="1" x14ac:dyDescent="0.25"/>
    <row r="218538" s="12" customFormat="1" x14ac:dyDescent="0.25"/>
    <row r="218539" s="12" customFormat="1" x14ac:dyDescent="0.25"/>
    <row r="218540" s="12" customFormat="1" x14ac:dyDescent="0.25"/>
    <row r="218541" s="12" customFormat="1" x14ac:dyDescent="0.25"/>
    <row r="218542" s="12" customFormat="1" x14ac:dyDescent="0.25"/>
    <row r="218543" s="12" customFormat="1" x14ac:dyDescent="0.25"/>
    <row r="218544" s="12" customFormat="1" x14ac:dyDescent="0.25"/>
    <row r="218545" s="12" customFormat="1" x14ac:dyDescent="0.25"/>
    <row r="218546" s="12" customFormat="1" x14ac:dyDescent="0.25"/>
    <row r="218547" s="12" customFormat="1" x14ac:dyDescent="0.25"/>
    <row r="218548" s="12" customFormat="1" x14ac:dyDescent="0.25"/>
    <row r="218549" s="12" customFormat="1" x14ac:dyDescent="0.25"/>
    <row r="218550" s="12" customFormat="1" x14ac:dyDescent="0.25"/>
    <row r="218551" s="12" customFormat="1" x14ac:dyDescent="0.25"/>
    <row r="218552" s="12" customFormat="1" x14ac:dyDescent="0.25"/>
    <row r="218553" s="12" customFormat="1" x14ac:dyDescent="0.25"/>
    <row r="218554" s="12" customFormat="1" x14ac:dyDescent="0.25"/>
    <row r="218555" s="12" customFormat="1" x14ac:dyDescent="0.25"/>
    <row r="218556" s="12" customFormat="1" x14ac:dyDescent="0.25"/>
    <row r="218557" s="12" customFormat="1" x14ac:dyDescent="0.25"/>
    <row r="218558" s="12" customFormat="1" x14ac:dyDescent="0.25"/>
    <row r="218559" s="12" customFormat="1" x14ac:dyDescent="0.25"/>
    <row r="218560" s="12" customFormat="1" x14ac:dyDescent="0.25"/>
    <row r="218561" s="12" customFormat="1" x14ac:dyDescent="0.25"/>
    <row r="218562" s="12" customFormat="1" x14ac:dyDescent="0.25"/>
    <row r="218563" s="12" customFormat="1" x14ac:dyDescent="0.25"/>
    <row r="218564" s="12" customFormat="1" x14ac:dyDescent="0.25"/>
    <row r="218565" s="12" customFormat="1" x14ac:dyDescent="0.25"/>
    <row r="218566" s="12" customFormat="1" x14ac:dyDescent="0.25"/>
    <row r="218567" s="12" customFormat="1" x14ac:dyDescent="0.25"/>
    <row r="218568" s="12" customFormat="1" x14ac:dyDescent="0.25"/>
    <row r="218569" s="12" customFormat="1" x14ac:dyDescent="0.25"/>
    <row r="218570" s="12" customFormat="1" x14ac:dyDescent="0.25"/>
    <row r="218571" s="12" customFormat="1" x14ac:dyDescent="0.25"/>
    <row r="218572" s="12" customFormat="1" x14ac:dyDescent="0.25"/>
    <row r="218573" s="12" customFormat="1" x14ac:dyDescent="0.25"/>
    <row r="218574" s="12" customFormat="1" x14ac:dyDescent="0.25"/>
    <row r="218575" s="12" customFormat="1" x14ac:dyDescent="0.25"/>
    <row r="218576" s="12" customFormat="1" x14ac:dyDescent="0.25"/>
    <row r="218577" s="12" customFormat="1" x14ac:dyDescent="0.25"/>
    <row r="218578" s="12" customFormat="1" x14ac:dyDescent="0.25"/>
    <row r="218579" s="12" customFormat="1" x14ac:dyDescent="0.25"/>
    <row r="218580" s="12" customFormat="1" x14ac:dyDescent="0.25"/>
    <row r="218581" s="12" customFormat="1" x14ac:dyDescent="0.25"/>
    <row r="218582" s="12" customFormat="1" x14ac:dyDescent="0.25"/>
    <row r="218583" s="12" customFormat="1" x14ac:dyDescent="0.25"/>
    <row r="218584" s="12" customFormat="1" x14ac:dyDescent="0.25"/>
    <row r="218585" s="12" customFormat="1" x14ac:dyDescent="0.25"/>
    <row r="218586" s="12" customFormat="1" x14ac:dyDescent="0.25"/>
    <row r="218587" s="12" customFormat="1" x14ac:dyDescent="0.25"/>
    <row r="218588" s="12" customFormat="1" x14ac:dyDescent="0.25"/>
    <row r="218589" s="12" customFormat="1" x14ac:dyDescent="0.25"/>
    <row r="218590" s="12" customFormat="1" x14ac:dyDescent="0.25"/>
    <row r="218591" s="12" customFormat="1" x14ac:dyDescent="0.25"/>
    <row r="218592" s="12" customFormat="1" x14ac:dyDescent="0.25"/>
    <row r="218593" s="12" customFormat="1" x14ac:dyDescent="0.25"/>
    <row r="218594" s="12" customFormat="1" x14ac:dyDescent="0.25"/>
    <row r="218595" s="12" customFormat="1" x14ac:dyDescent="0.25"/>
    <row r="218596" s="12" customFormat="1" x14ac:dyDescent="0.25"/>
    <row r="218597" s="12" customFormat="1" x14ac:dyDescent="0.25"/>
    <row r="218598" s="12" customFormat="1" x14ac:dyDescent="0.25"/>
    <row r="218599" s="12" customFormat="1" x14ac:dyDescent="0.25"/>
    <row r="218600" s="12" customFormat="1" x14ac:dyDescent="0.25"/>
    <row r="218601" s="12" customFormat="1" x14ac:dyDescent="0.25"/>
    <row r="218602" s="12" customFormat="1" x14ac:dyDescent="0.25"/>
    <row r="218603" s="12" customFormat="1" x14ac:dyDescent="0.25"/>
    <row r="218604" s="12" customFormat="1" x14ac:dyDescent="0.25"/>
    <row r="218605" s="12" customFormat="1" x14ac:dyDescent="0.25"/>
    <row r="218606" s="12" customFormat="1" x14ac:dyDescent="0.25"/>
    <row r="218607" s="12" customFormat="1" x14ac:dyDescent="0.25"/>
    <row r="218608" s="12" customFormat="1" x14ac:dyDescent="0.25"/>
    <row r="218609" s="12" customFormat="1" x14ac:dyDescent="0.25"/>
    <row r="218610" s="12" customFormat="1" x14ac:dyDescent="0.25"/>
    <row r="218611" s="12" customFormat="1" x14ac:dyDescent="0.25"/>
    <row r="218612" s="12" customFormat="1" x14ac:dyDescent="0.25"/>
    <row r="218613" s="12" customFormat="1" x14ac:dyDescent="0.25"/>
    <row r="218614" s="12" customFormat="1" x14ac:dyDescent="0.25"/>
    <row r="218615" s="12" customFormat="1" x14ac:dyDescent="0.25"/>
    <row r="218616" s="12" customFormat="1" x14ac:dyDescent="0.25"/>
    <row r="218617" s="12" customFormat="1" x14ac:dyDescent="0.25"/>
    <row r="218618" s="12" customFormat="1" x14ac:dyDescent="0.25"/>
    <row r="218619" s="12" customFormat="1" x14ac:dyDescent="0.25"/>
    <row r="218620" s="12" customFormat="1" x14ac:dyDescent="0.25"/>
    <row r="218621" s="12" customFormat="1" x14ac:dyDescent="0.25"/>
    <row r="218622" s="12" customFormat="1" x14ac:dyDescent="0.25"/>
    <row r="218623" s="12" customFormat="1" x14ac:dyDescent="0.25"/>
    <row r="218624" s="12" customFormat="1" x14ac:dyDescent="0.25"/>
    <row r="218625" s="12" customFormat="1" x14ac:dyDescent="0.25"/>
    <row r="218626" s="12" customFormat="1" x14ac:dyDescent="0.25"/>
    <row r="218627" s="12" customFormat="1" x14ac:dyDescent="0.25"/>
    <row r="218628" s="12" customFormat="1" x14ac:dyDescent="0.25"/>
    <row r="218629" s="12" customFormat="1" x14ac:dyDescent="0.25"/>
    <row r="218630" s="12" customFormat="1" x14ac:dyDescent="0.25"/>
    <row r="218631" s="12" customFormat="1" x14ac:dyDescent="0.25"/>
    <row r="218632" s="12" customFormat="1" x14ac:dyDescent="0.25"/>
    <row r="218633" s="12" customFormat="1" x14ac:dyDescent="0.25"/>
    <row r="218634" s="12" customFormat="1" x14ac:dyDescent="0.25"/>
    <row r="218635" s="12" customFormat="1" x14ac:dyDescent="0.25"/>
    <row r="218636" s="12" customFormat="1" x14ac:dyDescent="0.25"/>
    <row r="218637" s="12" customFormat="1" x14ac:dyDescent="0.25"/>
    <row r="218638" s="12" customFormat="1" x14ac:dyDescent="0.25"/>
    <row r="218639" s="12" customFormat="1" x14ac:dyDescent="0.25"/>
    <row r="218640" s="12" customFormat="1" x14ac:dyDescent="0.25"/>
    <row r="218641" s="12" customFormat="1" x14ac:dyDescent="0.25"/>
    <row r="218642" s="12" customFormat="1" x14ac:dyDescent="0.25"/>
    <row r="218643" s="12" customFormat="1" x14ac:dyDescent="0.25"/>
    <row r="218644" s="12" customFormat="1" x14ac:dyDescent="0.25"/>
    <row r="218645" s="12" customFormat="1" x14ac:dyDescent="0.25"/>
    <row r="218646" s="12" customFormat="1" x14ac:dyDescent="0.25"/>
    <row r="218647" s="12" customFormat="1" x14ac:dyDescent="0.25"/>
    <row r="218648" s="12" customFormat="1" x14ac:dyDescent="0.25"/>
    <row r="218649" s="12" customFormat="1" x14ac:dyDescent="0.25"/>
    <row r="218650" s="12" customFormat="1" x14ac:dyDescent="0.25"/>
    <row r="218651" s="12" customFormat="1" x14ac:dyDescent="0.25"/>
    <row r="218652" s="12" customFormat="1" x14ac:dyDescent="0.25"/>
    <row r="218653" s="12" customFormat="1" x14ac:dyDescent="0.25"/>
    <row r="218654" s="12" customFormat="1" x14ac:dyDescent="0.25"/>
    <row r="218655" s="12" customFormat="1" x14ac:dyDescent="0.25"/>
    <row r="218656" s="12" customFormat="1" x14ac:dyDescent="0.25"/>
    <row r="218657" s="12" customFormat="1" x14ac:dyDescent="0.25"/>
    <row r="218658" s="12" customFormat="1" x14ac:dyDescent="0.25"/>
    <row r="218659" s="12" customFormat="1" x14ac:dyDescent="0.25"/>
    <row r="218660" s="12" customFormat="1" x14ac:dyDescent="0.25"/>
    <row r="218661" s="12" customFormat="1" x14ac:dyDescent="0.25"/>
    <row r="218662" s="12" customFormat="1" x14ac:dyDescent="0.25"/>
    <row r="218663" s="12" customFormat="1" x14ac:dyDescent="0.25"/>
    <row r="218664" s="12" customFormat="1" x14ac:dyDescent="0.25"/>
    <row r="218665" s="12" customFormat="1" x14ac:dyDescent="0.25"/>
    <row r="218666" s="12" customFormat="1" x14ac:dyDescent="0.25"/>
    <row r="218667" s="12" customFormat="1" x14ac:dyDescent="0.25"/>
    <row r="218668" s="12" customFormat="1" x14ac:dyDescent="0.25"/>
    <row r="218669" s="12" customFormat="1" x14ac:dyDescent="0.25"/>
    <row r="218670" s="12" customFormat="1" x14ac:dyDescent="0.25"/>
    <row r="218671" s="12" customFormat="1" x14ac:dyDescent="0.25"/>
    <row r="218672" s="12" customFormat="1" x14ac:dyDescent="0.25"/>
    <row r="218673" s="12" customFormat="1" x14ac:dyDescent="0.25"/>
    <row r="218674" s="12" customFormat="1" x14ac:dyDescent="0.25"/>
    <row r="218675" s="12" customFormat="1" x14ac:dyDescent="0.25"/>
    <row r="218676" s="12" customFormat="1" x14ac:dyDescent="0.25"/>
    <row r="218677" s="12" customFormat="1" x14ac:dyDescent="0.25"/>
    <row r="218678" s="12" customFormat="1" x14ac:dyDescent="0.25"/>
    <row r="218679" s="12" customFormat="1" x14ac:dyDescent="0.25"/>
    <row r="218680" s="12" customFormat="1" x14ac:dyDescent="0.25"/>
    <row r="218681" s="12" customFormat="1" x14ac:dyDescent="0.25"/>
    <row r="218682" s="12" customFormat="1" x14ac:dyDescent="0.25"/>
    <row r="218683" s="12" customFormat="1" x14ac:dyDescent="0.25"/>
    <row r="218684" s="12" customFormat="1" x14ac:dyDescent="0.25"/>
    <row r="218685" s="12" customFormat="1" x14ac:dyDescent="0.25"/>
    <row r="218686" s="12" customFormat="1" x14ac:dyDescent="0.25"/>
    <row r="218687" s="12" customFormat="1" x14ac:dyDescent="0.25"/>
    <row r="218688" s="12" customFormat="1" x14ac:dyDescent="0.25"/>
    <row r="218689" s="12" customFormat="1" x14ac:dyDescent="0.25"/>
    <row r="218690" s="12" customFormat="1" x14ac:dyDescent="0.25"/>
    <row r="218691" s="12" customFormat="1" x14ac:dyDescent="0.25"/>
    <row r="218692" s="12" customFormat="1" x14ac:dyDescent="0.25"/>
    <row r="218693" s="12" customFormat="1" x14ac:dyDescent="0.25"/>
    <row r="218694" s="12" customFormat="1" x14ac:dyDescent="0.25"/>
    <row r="218695" s="12" customFormat="1" x14ac:dyDescent="0.25"/>
    <row r="218696" s="12" customFormat="1" x14ac:dyDescent="0.25"/>
    <row r="218697" s="12" customFormat="1" x14ac:dyDescent="0.25"/>
    <row r="218698" s="12" customFormat="1" x14ac:dyDescent="0.25"/>
    <row r="218699" s="12" customFormat="1" x14ac:dyDescent="0.25"/>
    <row r="218700" s="12" customFormat="1" x14ac:dyDescent="0.25"/>
    <row r="218701" s="12" customFormat="1" x14ac:dyDescent="0.25"/>
    <row r="218702" s="12" customFormat="1" x14ac:dyDescent="0.25"/>
    <row r="218703" s="12" customFormat="1" x14ac:dyDescent="0.25"/>
    <row r="218704" s="12" customFormat="1" x14ac:dyDescent="0.25"/>
    <row r="218705" s="12" customFormat="1" x14ac:dyDescent="0.25"/>
    <row r="218706" s="12" customFormat="1" x14ac:dyDescent="0.25"/>
    <row r="218707" s="12" customFormat="1" x14ac:dyDescent="0.25"/>
    <row r="218708" s="12" customFormat="1" x14ac:dyDescent="0.25"/>
    <row r="218709" s="12" customFormat="1" x14ac:dyDescent="0.25"/>
    <row r="218710" s="12" customFormat="1" x14ac:dyDescent="0.25"/>
    <row r="218711" s="12" customFormat="1" x14ac:dyDescent="0.25"/>
    <row r="218712" s="12" customFormat="1" x14ac:dyDescent="0.25"/>
    <row r="218713" s="12" customFormat="1" x14ac:dyDescent="0.25"/>
    <row r="218714" s="12" customFormat="1" x14ac:dyDescent="0.25"/>
    <row r="218715" s="12" customFormat="1" x14ac:dyDescent="0.25"/>
    <row r="218716" s="12" customFormat="1" x14ac:dyDescent="0.25"/>
    <row r="218717" s="12" customFormat="1" x14ac:dyDescent="0.25"/>
    <row r="218718" s="12" customFormat="1" x14ac:dyDescent="0.25"/>
    <row r="218719" s="12" customFormat="1" x14ac:dyDescent="0.25"/>
    <row r="218720" s="12" customFormat="1" x14ac:dyDescent="0.25"/>
    <row r="218721" s="12" customFormat="1" x14ac:dyDescent="0.25"/>
    <row r="218722" s="12" customFormat="1" x14ac:dyDescent="0.25"/>
    <row r="218723" s="12" customFormat="1" x14ac:dyDescent="0.25"/>
    <row r="218724" s="12" customFormat="1" x14ac:dyDescent="0.25"/>
    <row r="218725" s="12" customFormat="1" x14ac:dyDescent="0.25"/>
    <row r="218726" s="12" customFormat="1" x14ac:dyDescent="0.25"/>
    <row r="218727" s="12" customFormat="1" x14ac:dyDescent="0.25"/>
    <row r="218728" s="12" customFormat="1" x14ac:dyDescent="0.25"/>
    <row r="218729" s="12" customFormat="1" x14ac:dyDescent="0.25"/>
    <row r="218730" s="12" customFormat="1" x14ac:dyDescent="0.25"/>
    <row r="218731" s="12" customFormat="1" x14ac:dyDescent="0.25"/>
    <row r="218732" s="12" customFormat="1" x14ac:dyDescent="0.25"/>
    <row r="218733" s="12" customFormat="1" x14ac:dyDescent="0.25"/>
    <row r="218734" s="12" customFormat="1" x14ac:dyDescent="0.25"/>
    <row r="218735" s="12" customFormat="1" x14ac:dyDescent="0.25"/>
    <row r="218736" s="12" customFormat="1" x14ac:dyDescent="0.25"/>
    <row r="218737" s="12" customFormat="1" x14ac:dyDescent="0.25"/>
    <row r="218738" s="12" customFormat="1" x14ac:dyDescent="0.25"/>
    <row r="218739" s="12" customFormat="1" x14ac:dyDescent="0.25"/>
    <row r="218740" s="12" customFormat="1" x14ac:dyDescent="0.25"/>
    <row r="218741" s="12" customFormat="1" x14ac:dyDescent="0.25"/>
    <row r="218742" s="12" customFormat="1" x14ac:dyDescent="0.25"/>
    <row r="218743" s="12" customFormat="1" x14ac:dyDescent="0.25"/>
    <row r="218744" s="12" customFormat="1" x14ac:dyDescent="0.25"/>
    <row r="218745" s="12" customFormat="1" x14ac:dyDescent="0.25"/>
    <row r="218746" s="12" customFormat="1" x14ac:dyDescent="0.25"/>
    <row r="218747" s="12" customFormat="1" x14ac:dyDescent="0.25"/>
    <row r="218748" s="12" customFormat="1" x14ac:dyDescent="0.25"/>
    <row r="218749" s="12" customFormat="1" x14ac:dyDescent="0.25"/>
    <row r="218750" s="12" customFormat="1" x14ac:dyDescent="0.25"/>
    <row r="218751" s="12" customFormat="1" x14ac:dyDescent="0.25"/>
    <row r="218752" s="12" customFormat="1" x14ac:dyDescent="0.25"/>
    <row r="218753" s="12" customFormat="1" x14ac:dyDescent="0.25"/>
    <row r="218754" s="12" customFormat="1" x14ac:dyDescent="0.25"/>
    <row r="218755" s="12" customFormat="1" x14ac:dyDescent="0.25"/>
    <row r="218756" s="12" customFormat="1" x14ac:dyDescent="0.25"/>
    <row r="218757" s="12" customFormat="1" x14ac:dyDescent="0.25"/>
    <row r="218758" s="12" customFormat="1" x14ac:dyDescent="0.25"/>
    <row r="218759" s="12" customFormat="1" x14ac:dyDescent="0.25"/>
    <row r="218760" s="12" customFormat="1" x14ac:dyDescent="0.25"/>
    <row r="218761" s="12" customFormat="1" x14ac:dyDescent="0.25"/>
    <row r="218762" s="12" customFormat="1" x14ac:dyDescent="0.25"/>
    <row r="218763" s="12" customFormat="1" x14ac:dyDescent="0.25"/>
    <row r="218764" s="12" customFormat="1" x14ac:dyDescent="0.25"/>
    <row r="218765" s="12" customFormat="1" x14ac:dyDescent="0.25"/>
    <row r="218766" s="12" customFormat="1" x14ac:dyDescent="0.25"/>
    <row r="218767" s="12" customFormat="1" x14ac:dyDescent="0.25"/>
    <row r="218768" s="12" customFormat="1" x14ac:dyDescent="0.25"/>
    <row r="218769" s="12" customFormat="1" x14ac:dyDescent="0.25"/>
    <row r="218770" s="12" customFormat="1" x14ac:dyDescent="0.25"/>
    <row r="218771" s="12" customFormat="1" x14ac:dyDescent="0.25"/>
    <row r="218772" s="12" customFormat="1" x14ac:dyDescent="0.25"/>
    <row r="218773" s="12" customFormat="1" x14ac:dyDescent="0.25"/>
    <row r="218774" s="12" customFormat="1" x14ac:dyDescent="0.25"/>
    <row r="218775" s="12" customFormat="1" x14ac:dyDescent="0.25"/>
    <row r="218776" s="12" customFormat="1" x14ac:dyDescent="0.25"/>
    <row r="218777" s="12" customFormat="1" x14ac:dyDescent="0.25"/>
    <row r="218778" s="12" customFormat="1" x14ac:dyDescent="0.25"/>
    <row r="218779" s="12" customFormat="1" x14ac:dyDescent="0.25"/>
    <row r="218780" s="12" customFormat="1" x14ac:dyDescent="0.25"/>
    <row r="218781" s="12" customFormat="1" x14ac:dyDescent="0.25"/>
    <row r="218782" s="12" customFormat="1" x14ac:dyDescent="0.25"/>
    <row r="218783" s="12" customFormat="1" x14ac:dyDescent="0.25"/>
    <row r="218784" s="12" customFormat="1" x14ac:dyDescent="0.25"/>
    <row r="218785" s="12" customFormat="1" x14ac:dyDescent="0.25"/>
    <row r="218786" s="12" customFormat="1" x14ac:dyDescent="0.25"/>
    <row r="218787" s="12" customFormat="1" x14ac:dyDescent="0.25"/>
    <row r="218788" s="12" customFormat="1" x14ac:dyDescent="0.25"/>
    <row r="218789" s="12" customFormat="1" x14ac:dyDescent="0.25"/>
    <row r="218790" s="12" customFormat="1" x14ac:dyDescent="0.25"/>
    <row r="218791" s="12" customFormat="1" x14ac:dyDescent="0.25"/>
    <row r="218792" s="12" customFormat="1" x14ac:dyDescent="0.25"/>
    <row r="218793" s="12" customFormat="1" x14ac:dyDescent="0.25"/>
    <row r="218794" s="12" customFormat="1" x14ac:dyDescent="0.25"/>
    <row r="218795" s="12" customFormat="1" x14ac:dyDescent="0.25"/>
    <row r="218796" s="12" customFormat="1" x14ac:dyDescent="0.25"/>
    <row r="218797" s="12" customFormat="1" x14ac:dyDescent="0.25"/>
    <row r="218798" s="12" customFormat="1" x14ac:dyDescent="0.25"/>
    <row r="218799" s="12" customFormat="1" x14ac:dyDescent="0.25"/>
    <row r="218800" s="12" customFormat="1" x14ac:dyDescent="0.25"/>
    <row r="218801" s="12" customFormat="1" x14ac:dyDescent="0.25"/>
    <row r="218802" s="12" customFormat="1" x14ac:dyDescent="0.25"/>
    <row r="218803" s="12" customFormat="1" x14ac:dyDescent="0.25"/>
    <row r="218804" s="12" customFormat="1" x14ac:dyDescent="0.25"/>
    <row r="218805" s="12" customFormat="1" x14ac:dyDescent="0.25"/>
    <row r="218806" s="12" customFormat="1" x14ac:dyDescent="0.25"/>
    <row r="218807" s="12" customFormat="1" x14ac:dyDescent="0.25"/>
    <row r="218808" s="12" customFormat="1" x14ac:dyDescent="0.25"/>
    <row r="218809" s="12" customFormat="1" x14ac:dyDescent="0.25"/>
    <row r="218810" s="12" customFormat="1" x14ac:dyDescent="0.25"/>
    <row r="218811" s="12" customFormat="1" x14ac:dyDescent="0.25"/>
    <row r="218812" s="12" customFormat="1" x14ac:dyDescent="0.25"/>
    <row r="218813" s="12" customFormat="1" x14ac:dyDescent="0.25"/>
    <row r="218814" s="12" customFormat="1" x14ac:dyDescent="0.25"/>
    <row r="218815" s="12" customFormat="1" x14ac:dyDescent="0.25"/>
    <row r="218816" s="12" customFormat="1" x14ac:dyDescent="0.25"/>
    <row r="218817" s="12" customFormat="1" x14ac:dyDescent="0.25"/>
    <row r="218818" s="12" customFormat="1" x14ac:dyDescent="0.25"/>
    <row r="218819" s="12" customFormat="1" x14ac:dyDescent="0.25"/>
    <row r="218820" s="12" customFormat="1" x14ac:dyDescent="0.25"/>
    <row r="218821" s="12" customFormat="1" x14ac:dyDescent="0.25"/>
    <row r="218822" s="12" customFormat="1" x14ac:dyDescent="0.25"/>
    <row r="218823" s="12" customFormat="1" x14ac:dyDescent="0.25"/>
    <row r="218824" s="12" customFormat="1" x14ac:dyDescent="0.25"/>
    <row r="218825" s="12" customFormat="1" x14ac:dyDescent="0.25"/>
    <row r="218826" s="12" customFormat="1" x14ac:dyDescent="0.25"/>
    <row r="218827" s="12" customFormat="1" x14ac:dyDescent="0.25"/>
    <row r="218828" s="12" customFormat="1" x14ac:dyDescent="0.25"/>
    <row r="218829" s="12" customFormat="1" x14ac:dyDescent="0.25"/>
    <row r="218830" s="12" customFormat="1" x14ac:dyDescent="0.25"/>
    <row r="218831" s="12" customFormat="1" x14ac:dyDescent="0.25"/>
    <row r="218832" s="12" customFormat="1" x14ac:dyDescent="0.25"/>
    <row r="218833" s="12" customFormat="1" x14ac:dyDescent="0.25"/>
    <row r="218834" s="12" customFormat="1" x14ac:dyDescent="0.25"/>
    <row r="218835" s="12" customFormat="1" x14ac:dyDescent="0.25"/>
    <row r="218836" s="12" customFormat="1" x14ac:dyDescent="0.25"/>
    <row r="218837" s="12" customFormat="1" x14ac:dyDescent="0.25"/>
    <row r="218838" s="12" customFormat="1" x14ac:dyDescent="0.25"/>
    <row r="218839" s="12" customFormat="1" x14ac:dyDescent="0.25"/>
    <row r="218840" s="12" customFormat="1" x14ac:dyDescent="0.25"/>
    <row r="218841" s="12" customFormat="1" x14ac:dyDescent="0.25"/>
    <row r="218842" s="12" customFormat="1" x14ac:dyDescent="0.25"/>
    <row r="218843" s="12" customFormat="1" x14ac:dyDescent="0.25"/>
    <row r="218844" s="12" customFormat="1" x14ac:dyDescent="0.25"/>
    <row r="218845" s="12" customFormat="1" x14ac:dyDescent="0.25"/>
    <row r="218846" s="12" customFormat="1" x14ac:dyDescent="0.25"/>
    <row r="218847" s="12" customFormat="1" x14ac:dyDescent="0.25"/>
    <row r="218848" s="12" customFormat="1" x14ac:dyDescent="0.25"/>
    <row r="218849" s="12" customFormat="1" x14ac:dyDescent="0.25"/>
    <row r="218850" s="12" customFormat="1" x14ac:dyDescent="0.25"/>
    <row r="218851" s="12" customFormat="1" x14ac:dyDescent="0.25"/>
    <row r="218852" s="12" customFormat="1" x14ac:dyDescent="0.25"/>
    <row r="218853" s="12" customFormat="1" x14ac:dyDescent="0.25"/>
    <row r="218854" s="12" customFormat="1" x14ac:dyDescent="0.25"/>
    <row r="218855" s="12" customFormat="1" x14ac:dyDescent="0.25"/>
    <row r="218856" s="12" customFormat="1" x14ac:dyDescent="0.25"/>
    <row r="218857" s="12" customFormat="1" x14ac:dyDescent="0.25"/>
    <row r="218858" s="12" customFormat="1" x14ac:dyDescent="0.25"/>
    <row r="218859" s="12" customFormat="1" x14ac:dyDescent="0.25"/>
    <row r="218860" s="12" customFormat="1" x14ac:dyDescent="0.25"/>
    <row r="218861" s="12" customFormat="1" x14ac:dyDescent="0.25"/>
    <row r="218862" s="12" customFormat="1" x14ac:dyDescent="0.25"/>
    <row r="218863" s="12" customFormat="1" x14ac:dyDescent="0.25"/>
    <row r="218864" s="12" customFormat="1" x14ac:dyDescent="0.25"/>
    <row r="218865" s="12" customFormat="1" x14ac:dyDescent="0.25"/>
    <row r="218866" s="12" customFormat="1" x14ac:dyDescent="0.25"/>
    <row r="218867" s="12" customFormat="1" x14ac:dyDescent="0.25"/>
    <row r="218868" s="12" customFormat="1" x14ac:dyDescent="0.25"/>
    <row r="218869" s="12" customFormat="1" x14ac:dyDescent="0.25"/>
    <row r="218870" s="12" customFormat="1" x14ac:dyDescent="0.25"/>
    <row r="218871" s="12" customFormat="1" x14ac:dyDescent="0.25"/>
    <row r="218872" s="12" customFormat="1" x14ac:dyDescent="0.25"/>
    <row r="218873" s="12" customFormat="1" x14ac:dyDescent="0.25"/>
    <row r="218874" s="12" customFormat="1" x14ac:dyDescent="0.25"/>
    <row r="218875" s="12" customFormat="1" x14ac:dyDescent="0.25"/>
    <row r="218876" s="12" customFormat="1" x14ac:dyDescent="0.25"/>
    <row r="218877" s="12" customFormat="1" x14ac:dyDescent="0.25"/>
    <row r="218878" s="12" customFormat="1" x14ac:dyDescent="0.25"/>
    <row r="218879" s="12" customFormat="1" x14ac:dyDescent="0.25"/>
    <row r="218880" s="12" customFormat="1" x14ac:dyDescent="0.25"/>
    <row r="218881" s="12" customFormat="1" x14ac:dyDescent="0.25"/>
    <row r="218882" s="12" customFormat="1" x14ac:dyDescent="0.25"/>
    <row r="218883" s="12" customFormat="1" x14ac:dyDescent="0.25"/>
    <row r="218884" s="12" customFormat="1" x14ac:dyDescent="0.25"/>
    <row r="218885" s="12" customFormat="1" x14ac:dyDescent="0.25"/>
    <row r="218886" s="12" customFormat="1" x14ac:dyDescent="0.25"/>
    <row r="218887" s="12" customFormat="1" x14ac:dyDescent="0.25"/>
    <row r="218888" s="12" customFormat="1" x14ac:dyDescent="0.25"/>
    <row r="218889" s="12" customFormat="1" x14ac:dyDescent="0.25"/>
    <row r="218890" s="12" customFormat="1" x14ac:dyDescent="0.25"/>
    <row r="218891" s="12" customFormat="1" x14ac:dyDescent="0.25"/>
    <row r="218892" s="12" customFormat="1" x14ac:dyDescent="0.25"/>
    <row r="218893" s="12" customFormat="1" x14ac:dyDescent="0.25"/>
    <row r="218894" s="12" customFormat="1" x14ac:dyDescent="0.25"/>
    <row r="218895" s="12" customFormat="1" x14ac:dyDescent="0.25"/>
    <row r="218896" s="12" customFormat="1" x14ac:dyDescent="0.25"/>
    <row r="218897" s="12" customFormat="1" x14ac:dyDescent="0.25"/>
    <row r="218898" s="12" customFormat="1" x14ac:dyDescent="0.25"/>
    <row r="218899" s="12" customFormat="1" x14ac:dyDescent="0.25"/>
    <row r="218900" s="12" customFormat="1" x14ac:dyDescent="0.25"/>
    <row r="218901" s="12" customFormat="1" x14ac:dyDescent="0.25"/>
    <row r="218902" s="12" customFormat="1" x14ac:dyDescent="0.25"/>
    <row r="218903" s="12" customFormat="1" x14ac:dyDescent="0.25"/>
    <row r="218904" s="12" customFormat="1" x14ac:dyDescent="0.25"/>
    <row r="218905" s="12" customFormat="1" x14ac:dyDescent="0.25"/>
    <row r="218906" s="12" customFormat="1" x14ac:dyDescent="0.25"/>
    <row r="218907" s="12" customFormat="1" x14ac:dyDescent="0.25"/>
    <row r="218908" s="12" customFormat="1" x14ac:dyDescent="0.25"/>
    <row r="218909" s="12" customFormat="1" x14ac:dyDescent="0.25"/>
    <row r="218910" s="12" customFormat="1" x14ac:dyDescent="0.25"/>
    <row r="218911" s="12" customFormat="1" x14ac:dyDescent="0.25"/>
    <row r="218912" s="12" customFormat="1" x14ac:dyDescent="0.25"/>
    <row r="218913" s="12" customFormat="1" x14ac:dyDescent="0.25"/>
    <row r="218914" s="12" customFormat="1" x14ac:dyDescent="0.25"/>
    <row r="218915" s="12" customFormat="1" x14ac:dyDescent="0.25"/>
    <row r="218916" s="12" customFormat="1" x14ac:dyDescent="0.25"/>
    <row r="218917" s="12" customFormat="1" x14ac:dyDescent="0.25"/>
    <row r="218918" s="12" customFormat="1" x14ac:dyDescent="0.25"/>
    <row r="218919" s="12" customFormat="1" x14ac:dyDescent="0.25"/>
    <row r="218920" s="12" customFormat="1" x14ac:dyDescent="0.25"/>
    <row r="218921" s="12" customFormat="1" x14ac:dyDescent="0.25"/>
    <row r="218922" s="12" customFormat="1" x14ac:dyDescent="0.25"/>
    <row r="218923" s="12" customFormat="1" x14ac:dyDescent="0.25"/>
    <row r="218924" s="12" customFormat="1" x14ac:dyDescent="0.25"/>
    <row r="218925" s="12" customFormat="1" x14ac:dyDescent="0.25"/>
    <row r="218926" s="12" customFormat="1" x14ac:dyDescent="0.25"/>
    <row r="218927" s="12" customFormat="1" x14ac:dyDescent="0.25"/>
    <row r="218928" s="12" customFormat="1" x14ac:dyDescent="0.25"/>
    <row r="218929" s="12" customFormat="1" x14ac:dyDescent="0.25"/>
    <row r="218930" s="12" customFormat="1" x14ac:dyDescent="0.25"/>
    <row r="218931" s="12" customFormat="1" x14ac:dyDescent="0.25"/>
    <row r="218932" s="12" customFormat="1" x14ac:dyDescent="0.25"/>
    <row r="218933" s="12" customFormat="1" x14ac:dyDescent="0.25"/>
    <row r="218934" s="12" customFormat="1" x14ac:dyDescent="0.25"/>
    <row r="218935" s="12" customFormat="1" x14ac:dyDescent="0.25"/>
    <row r="218936" s="12" customFormat="1" x14ac:dyDescent="0.25"/>
    <row r="218937" s="12" customFormat="1" x14ac:dyDescent="0.25"/>
    <row r="218938" s="12" customFormat="1" x14ac:dyDescent="0.25"/>
    <row r="218939" s="12" customFormat="1" x14ac:dyDescent="0.25"/>
    <row r="218940" s="12" customFormat="1" x14ac:dyDescent="0.25"/>
    <row r="218941" s="12" customFormat="1" x14ac:dyDescent="0.25"/>
    <row r="218942" s="12" customFormat="1" x14ac:dyDescent="0.25"/>
    <row r="218943" s="12" customFormat="1" x14ac:dyDescent="0.25"/>
    <row r="218944" s="12" customFormat="1" x14ac:dyDescent="0.25"/>
    <row r="218945" s="12" customFormat="1" x14ac:dyDescent="0.25"/>
    <row r="218946" s="12" customFormat="1" x14ac:dyDescent="0.25"/>
    <row r="218947" s="12" customFormat="1" x14ac:dyDescent="0.25"/>
    <row r="218948" s="12" customFormat="1" x14ac:dyDescent="0.25"/>
    <row r="218949" s="12" customFormat="1" x14ac:dyDescent="0.25"/>
    <row r="218950" s="12" customFormat="1" x14ac:dyDescent="0.25"/>
    <row r="218951" s="12" customFormat="1" x14ac:dyDescent="0.25"/>
    <row r="218952" s="12" customFormat="1" x14ac:dyDescent="0.25"/>
    <row r="218953" s="12" customFormat="1" x14ac:dyDescent="0.25"/>
    <row r="218954" s="12" customFormat="1" x14ac:dyDescent="0.25"/>
    <row r="218955" s="12" customFormat="1" x14ac:dyDescent="0.25"/>
    <row r="218956" s="12" customFormat="1" x14ac:dyDescent="0.25"/>
    <row r="218957" s="12" customFormat="1" x14ac:dyDescent="0.25"/>
    <row r="218958" s="12" customFormat="1" x14ac:dyDescent="0.25"/>
    <row r="218959" s="12" customFormat="1" x14ac:dyDescent="0.25"/>
    <row r="218960" s="12" customFormat="1" x14ac:dyDescent="0.25"/>
    <row r="218961" s="12" customFormat="1" x14ac:dyDescent="0.25"/>
    <row r="218962" s="12" customFormat="1" x14ac:dyDescent="0.25"/>
    <row r="218963" s="12" customFormat="1" x14ac:dyDescent="0.25"/>
    <row r="218964" s="12" customFormat="1" x14ac:dyDescent="0.25"/>
    <row r="218965" s="12" customFormat="1" x14ac:dyDescent="0.25"/>
    <row r="218966" s="12" customFormat="1" x14ac:dyDescent="0.25"/>
    <row r="218967" s="12" customFormat="1" x14ac:dyDescent="0.25"/>
    <row r="218968" s="12" customFormat="1" x14ac:dyDescent="0.25"/>
    <row r="218969" s="12" customFormat="1" x14ac:dyDescent="0.25"/>
    <row r="218970" s="12" customFormat="1" x14ac:dyDescent="0.25"/>
    <row r="218971" s="12" customFormat="1" x14ac:dyDescent="0.25"/>
    <row r="218972" s="12" customFormat="1" x14ac:dyDescent="0.25"/>
    <row r="218973" s="12" customFormat="1" x14ac:dyDescent="0.25"/>
    <row r="218974" s="12" customFormat="1" x14ac:dyDescent="0.25"/>
    <row r="218975" s="12" customFormat="1" x14ac:dyDescent="0.25"/>
    <row r="218976" s="12" customFormat="1" x14ac:dyDescent="0.25"/>
    <row r="218977" s="12" customFormat="1" x14ac:dyDescent="0.25"/>
    <row r="218978" s="12" customFormat="1" x14ac:dyDescent="0.25"/>
    <row r="218979" s="12" customFormat="1" x14ac:dyDescent="0.25"/>
    <row r="218980" s="12" customFormat="1" x14ac:dyDescent="0.25"/>
    <row r="218981" s="12" customFormat="1" x14ac:dyDescent="0.25"/>
    <row r="218982" s="12" customFormat="1" x14ac:dyDescent="0.25"/>
    <row r="218983" s="12" customFormat="1" x14ac:dyDescent="0.25"/>
    <row r="218984" s="12" customFormat="1" x14ac:dyDescent="0.25"/>
    <row r="218985" s="12" customFormat="1" x14ac:dyDescent="0.25"/>
    <row r="218986" s="12" customFormat="1" x14ac:dyDescent="0.25"/>
    <row r="218987" s="12" customFormat="1" x14ac:dyDescent="0.25"/>
    <row r="218988" s="12" customFormat="1" x14ac:dyDescent="0.25"/>
    <row r="218989" s="12" customFormat="1" x14ac:dyDescent="0.25"/>
    <row r="218990" s="12" customFormat="1" x14ac:dyDescent="0.25"/>
    <row r="218991" s="12" customFormat="1" x14ac:dyDescent="0.25"/>
    <row r="218992" s="12" customFormat="1" x14ac:dyDescent="0.25"/>
    <row r="218993" s="12" customFormat="1" x14ac:dyDescent="0.25"/>
    <row r="218994" s="12" customFormat="1" x14ac:dyDescent="0.25"/>
    <row r="218995" s="12" customFormat="1" x14ac:dyDescent="0.25"/>
    <row r="218996" s="12" customFormat="1" x14ac:dyDescent="0.25"/>
    <row r="218997" s="12" customFormat="1" x14ac:dyDescent="0.25"/>
    <row r="218998" s="12" customFormat="1" x14ac:dyDescent="0.25"/>
    <row r="218999" s="12" customFormat="1" x14ac:dyDescent="0.25"/>
    <row r="219000" s="12" customFormat="1" x14ac:dyDescent="0.25"/>
    <row r="219001" s="12" customFormat="1" x14ac:dyDescent="0.25"/>
    <row r="219002" s="12" customFormat="1" x14ac:dyDescent="0.25"/>
    <row r="219003" s="12" customFormat="1" x14ac:dyDescent="0.25"/>
    <row r="219004" s="12" customFormat="1" x14ac:dyDescent="0.25"/>
    <row r="219005" s="12" customFormat="1" x14ac:dyDescent="0.25"/>
    <row r="219006" s="12" customFormat="1" x14ac:dyDescent="0.25"/>
    <row r="219007" s="12" customFormat="1" x14ac:dyDescent="0.25"/>
    <row r="219008" s="12" customFormat="1" x14ac:dyDescent="0.25"/>
    <row r="219009" s="12" customFormat="1" x14ac:dyDescent="0.25"/>
    <row r="219010" s="12" customFormat="1" x14ac:dyDescent="0.25"/>
    <row r="219011" s="12" customFormat="1" x14ac:dyDescent="0.25"/>
    <row r="219012" s="12" customFormat="1" x14ac:dyDescent="0.25"/>
    <row r="219013" s="12" customFormat="1" x14ac:dyDescent="0.25"/>
    <row r="219014" s="12" customFormat="1" x14ac:dyDescent="0.25"/>
    <row r="219015" s="12" customFormat="1" x14ac:dyDescent="0.25"/>
    <row r="219016" s="12" customFormat="1" x14ac:dyDescent="0.25"/>
    <row r="219017" s="12" customFormat="1" x14ac:dyDescent="0.25"/>
    <row r="219018" s="12" customFormat="1" x14ac:dyDescent="0.25"/>
    <row r="219019" s="12" customFormat="1" x14ac:dyDescent="0.25"/>
    <row r="219020" s="12" customFormat="1" x14ac:dyDescent="0.25"/>
    <row r="219021" s="12" customFormat="1" x14ac:dyDescent="0.25"/>
    <row r="219022" s="12" customFormat="1" x14ac:dyDescent="0.25"/>
    <row r="219023" s="12" customFormat="1" x14ac:dyDescent="0.25"/>
    <row r="219024" s="12" customFormat="1" x14ac:dyDescent="0.25"/>
    <row r="219025" s="12" customFormat="1" x14ac:dyDescent="0.25"/>
    <row r="219026" s="12" customFormat="1" x14ac:dyDescent="0.25"/>
    <row r="219027" s="12" customFormat="1" x14ac:dyDescent="0.25"/>
    <row r="219028" s="12" customFormat="1" x14ac:dyDescent="0.25"/>
    <row r="219029" s="12" customFormat="1" x14ac:dyDescent="0.25"/>
    <row r="219030" s="12" customFormat="1" x14ac:dyDescent="0.25"/>
    <row r="219031" s="12" customFormat="1" x14ac:dyDescent="0.25"/>
    <row r="219032" s="12" customFormat="1" x14ac:dyDescent="0.25"/>
    <row r="219033" s="12" customFormat="1" x14ac:dyDescent="0.25"/>
    <row r="219034" s="12" customFormat="1" x14ac:dyDescent="0.25"/>
    <row r="219035" s="12" customFormat="1" x14ac:dyDescent="0.25"/>
    <row r="219036" s="12" customFormat="1" x14ac:dyDescent="0.25"/>
    <row r="219037" s="12" customFormat="1" x14ac:dyDescent="0.25"/>
    <row r="219038" s="12" customFormat="1" x14ac:dyDescent="0.25"/>
    <row r="219039" s="12" customFormat="1" x14ac:dyDescent="0.25"/>
    <row r="219040" s="12" customFormat="1" x14ac:dyDescent="0.25"/>
    <row r="219041" s="12" customFormat="1" x14ac:dyDescent="0.25"/>
    <row r="219042" s="12" customFormat="1" x14ac:dyDescent="0.25"/>
    <row r="219043" s="12" customFormat="1" x14ac:dyDescent="0.25"/>
    <row r="219044" s="12" customFormat="1" x14ac:dyDescent="0.25"/>
    <row r="219045" s="12" customFormat="1" x14ac:dyDescent="0.25"/>
    <row r="219046" s="12" customFormat="1" x14ac:dyDescent="0.25"/>
    <row r="219047" s="12" customFormat="1" x14ac:dyDescent="0.25"/>
    <row r="219048" s="12" customFormat="1" x14ac:dyDescent="0.25"/>
    <row r="219049" s="12" customFormat="1" x14ac:dyDescent="0.25"/>
    <row r="219050" s="12" customFormat="1" x14ac:dyDescent="0.25"/>
    <row r="219051" s="12" customFormat="1" x14ac:dyDescent="0.25"/>
    <row r="219052" s="12" customFormat="1" x14ac:dyDescent="0.25"/>
    <row r="219053" s="12" customFormat="1" x14ac:dyDescent="0.25"/>
    <row r="219054" s="12" customFormat="1" x14ac:dyDescent="0.25"/>
    <row r="219055" s="12" customFormat="1" x14ac:dyDescent="0.25"/>
    <row r="219056" s="12" customFormat="1" x14ac:dyDescent="0.25"/>
    <row r="219057" s="12" customFormat="1" x14ac:dyDescent="0.25"/>
    <row r="219058" s="12" customFormat="1" x14ac:dyDescent="0.25"/>
    <row r="219059" s="12" customFormat="1" x14ac:dyDescent="0.25"/>
    <row r="219060" s="12" customFormat="1" x14ac:dyDescent="0.25"/>
    <row r="219061" s="12" customFormat="1" x14ac:dyDescent="0.25"/>
    <row r="219062" s="12" customFormat="1" x14ac:dyDescent="0.25"/>
    <row r="219063" s="12" customFormat="1" x14ac:dyDescent="0.25"/>
    <row r="219064" s="12" customFormat="1" x14ac:dyDescent="0.25"/>
    <row r="219065" s="12" customFormat="1" x14ac:dyDescent="0.25"/>
    <row r="219066" s="12" customFormat="1" x14ac:dyDescent="0.25"/>
    <row r="219067" s="12" customFormat="1" x14ac:dyDescent="0.25"/>
    <row r="219068" s="12" customFormat="1" x14ac:dyDescent="0.25"/>
    <row r="219069" s="12" customFormat="1" x14ac:dyDescent="0.25"/>
    <row r="219070" s="12" customFormat="1" x14ac:dyDescent="0.25"/>
    <row r="219071" s="12" customFormat="1" x14ac:dyDescent="0.25"/>
    <row r="219072" s="12" customFormat="1" x14ac:dyDescent="0.25"/>
    <row r="219073" s="12" customFormat="1" x14ac:dyDescent="0.25"/>
    <row r="219074" s="12" customFormat="1" x14ac:dyDescent="0.25"/>
    <row r="219075" s="12" customFormat="1" x14ac:dyDescent="0.25"/>
    <row r="219076" s="12" customFormat="1" x14ac:dyDescent="0.25"/>
    <row r="219077" s="12" customFormat="1" x14ac:dyDescent="0.25"/>
    <row r="219078" s="12" customFormat="1" x14ac:dyDescent="0.25"/>
    <row r="219079" s="12" customFormat="1" x14ac:dyDescent="0.25"/>
    <row r="219080" s="12" customFormat="1" x14ac:dyDescent="0.25"/>
    <row r="219081" s="12" customFormat="1" x14ac:dyDescent="0.25"/>
    <row r="219082" s="12" customFormat="1" x14ac:dyDescent="0.25"/>
    <row r="219083" s="12" customFormat="1" x14ac:dyDescent="0.25"/>
    <row r="219084" s="12" customFormat="1" x14ac:dyDescent="0.25"/>
    <row r="219085" s="12" customFormat="1" x14ac:dyDescent="0.25"/>
    <row r="219086" s="12" customFormat="1" x14ac:dyDescent="0.25"/>
    <row r="219087" s="12" customFormat="1" x14ac:dyDescent="0.25"/>
    <row r="219088" s="12" customFormat="1" x14ac:dyDescent="0.25"/>
    <row r="219089" s="12" customFormat="1" x14ac:dyDescent="0.25"/>
    <row r="219090" s="12" customFormat="1" x14ac:dyDescent="0.25"/>
    <row r="219091" s="12" customFormat="1" x14ac:dyDescent="0.25"/>
    <row r="219092" s="12" customFormat="1" x14ac:dyDescent="0.25"/>
    <row r="219093" s="12" customFormat="1" x14ac:dyDescent="0.25"/>
    <row r="219094" s="12" customFormat="1" x14ac:dyDescent="0.25"/>
    <row r="219095" s="12" customFormat="1" x14ac:dyDescent="0.25"/>
    <row r="219096" s="12" customFormat="1" x14ac:dyDescent="0.25"/>
    <row r="219097" s="12" customFormat="1" x14ac:dyDescent="0.25"/>
    <row r="219098" s="12" customFormat="1" x14ac:dyDescent="0.25"/>
    <row r="219099" s="12" customFormat="1" x14ac:dyDescent="0.25"/>
    <row r="219100" s="12" customFormat="1" x14ac:dyDescent="0.25"/>
    <row r="219101" s="12" customFormat="1" x14ac:dyDescent="0.25"/>
    <row r="219102" s="12" customFormat="1" x14ac:dyDescent="0.25"/>
    <row r="219103" s="12" customFormat="1" x14ac:dyDescent="0.25"/>
    <row r="219104" s="12" customFormat="1" x14ac:dyDescent="0.25"/>
    <row r="219105" s="12" customFormat="1" x14ac:dyDescent="0.25"/>
    <row r="219106" s="12" customFormat="1" x14ac:dyDescent="0.25"/>
    <row r="219107" s="12" customFormat="1" x14ac:dyDescent="0.25"/>
    <row r="219108" s="12" customFormat="1" x14ac:dyDescent="0.25"/>
    <row r="219109" s="12" customFormat="1" x14ac:dyDescent="0.25"/>
    <row r="219110" s="12" customFormat="1" x14ac:dyDescent="0.25"/>
    <row r="219111" s="12" customFormat="1" x14ac:dyDescent="0.25"/>
    <row r="219112" s="12" customFormat="1" x14ac:dyDescent="0.25"/>
    <row r="219113" s="12" customFormat="1" x14ac:dyDescent="0.25"/>
    <row r="219114" s="12" customFormat="1" x14ac:dyDescent="0.25"/>
    <row r="219115" s="12" customFormat="1" x14ac:dyDescent="0.25"/>
    <row r="219116" s="12" customFormat="1" x14ac:dyDescent="0.25"/>
    <row r="219117" s="12" customFormat="1" x14ac:dyDescent="0.25"/>
    <row r="219118" s="12" customFormat="1" x14ac:dyDescent="0.25"/>
    <row r="219119" s="12" customFormat="1" x14ac:dyDescent="0.25"/>
    <row r="219120" s="12" customFormat="1" x14ac:dyDescent="0.25"/>
    <row r="219121" s="12" customFormat="1" x14ac:dyDescent="0.25"/>
    <row r="219122" s="12" customFormat="1" x14ac:dyDescent="0.25"/>
    <row r="219123" s="12" customFormat="1" x14ac:dyDescent="0.25"/>
    <row r="219124" s="12" customFormat="1" x14ac:dyDescent="0.25"/>
    <row r="219125" s="12" customFormat="1" x14ac:dyDescent="0.25"/>
    <row r="219126" s="12" customFormat="1" x14ac:dyDescent="0.25"/>
    <row r="219127" s="12" customFormat="1" x14ac:dyDescent="0.25"/>
    <row r="219128" s="12" customFormat="1" x14ac:dyDescent="0.25"/>
    <row r="219129" s="12" customFormat="1" x14ac:dyDescent="0.25"/>
    <row r="219130" s="12" customFormat="1" x14ac:dyDescent="0.25"/>
    <row r="219131" s="12" customFormat="1" x14ac:dyDescent="0.25"/>
    <row r="219132" s="12" customFormat="1" x14ac:dyDescent="0.25"/>
    <row r="219133" s="12" customFormat="1" x14ac:dyDescent="0.25"/>
    <row r="219134" s="12" customFormat="1" x14ac:dyDescent="0.25"/>
    <row r="219135" s="12" customFormat="1" x14ac:dyDescent="0.25"/>
    <row r="219136" s="12" customFormat="1" x14ac:dyDescent="0.25"/>
    <row r="219137" s="12" customFormat="1" x14ac:dyDescent="0.25"/>
    <row r="219138" s="12" customFormat="1" x14ac:dyDescent="0.25"/>
    <row r="219139" s="12" customFormat="1" x14ac:dyDescent="0.25"/>
    <row r="219140" s="12" customFormat="1" x14ac:dyDescent="0.25"/>
    <row r="219141" s="12" customFormat="1" x14ac:dyDescent="0.25"/>
    <row r="219142" s="12" customFormat="1" x14ac:dyDescent="0.25"/>
    <row r="219143" s="12" customFormat="1" x14ac:dyDescent="0.25"/>
    <row r="219144" s="12" customFormat="1" x14ac:dyDescent="0.25"/>
    <row r="219145" s="12" customFormat="1" x14ac:dyDescent="0.25"/>
    <row r="219146" s="12" customFormat="1" x14ac:dyDescent="0.25"/>
    <row r="219147" s="12" customFormat="1" x14ac:dyDescent="0.25"/>
    <row r="219148" s="12" customFormat="1" x14ac:dyDescent="0.25"/>
    <row r="219149" s="12" customFormat="1" x14ac:dyDescent="0.25"/>
    <row r="219150" s="12" customFormat="1" x14ac:dyDescent="0.25"/>
    <row r="219151" s="12" customFormat="1" x14ac:dyDescent="0.25"/>
    <row r="219152" s="12" customFormat="1" x14ac:dyDescent="0.25"/>
    <row r="219153" s="12" customFormat="1" x14ac:dyDescent="0.25"/>
    <row r="219154" s="12" customFormat="1" x14ac:dyDescent="0.25"/>
    <row r="219155" s="12" customFormat="1" x14ac:dyDescent="0.25"/>
    <row r="219156" s="12" customFormat="1" x14ac:dyDescent="0.25"/>
    <row r="219157" s="12" customFormat="1" x14ac:dyDescent="0.25"/>
    <row r="219158" s="12" customFormat="1" x14ac:dyDescent="0.25"/>
    <row r="219159" s="12" customFormat="1" x14ac:dyDescent="0.25"/>
    <row r="219160" s="12" customFormat="1" x14ac:dyDescent="0.25"/>
    <row r="219161" s="12" customFormat="1" x14ac:dyDescent="0.25"/>
    <row r="219162" s="12" customFormat="1" x14ac:dyDescent="0.25"/>
    <row r="219163" s="12" customFormat="1" x14ac:dyDescent="0.25"/>
    <row r="219164" s="12" customFormat="1" x14ac:dyDescent="0.25"/>
    <row r="219165" s="12" customFormat="1" x14ac:dyDescent="0.25"/>
    <row r="219166" s="12" customFormat="1" x14ac:dyDescent="0.25"/>
    <row r="219167" s="12" customFormat="1" x14ac:dyDescent="0.25"/>
    <row r="219168" s="12" customFormat="1" x14ac:dyDescent="0.25"/>
    <row r="219169" s="12" customFormat="1" x14ac:dyDescent="0.25"/>
    <row r="219170" s="12" customFormat="1" x14ac:dyDescent="0.25"/>
    <row r="219171" s="12" customFormat="1" x14ac:dyDescent="0.25"/>
    <row r="219172" s="12" customFormat="1" x14ac:dyDescent="0.25"/>
    <row r="219173" s="12" customFormat="1" x14ac:dyDescent="0.25"/>
    <row r="219174" s="12" customFormat="1" x14ac:dyDescent="0.25"/>
    <row r="219175" s="12" customFormat="1" x14ac:dyDescent="0.25"/>
    <row r="219176" s="12" customFormat="1" x14ac:dyDescent="0.25"/>
    <row r="219177" s="12" customFormat="1" x14ac:dyDescent="0.25"/>
    <row r="219178" s="12" customFormat="1" x14ac:dyDescent="0.25"/>
    <row r="219179" s="12" customFormat="1" x14ac:dyDescent="0.25"/>
    <row r="219180" s="12" customFormat="1" x14ac:dyDescent="0.25"/>
    <row r="219181" s="12" customFormat="1" x14ac:dyDescent="0.25"/>
    <row r="219182" s="12" customFormat="1" x14ac:dyDescent="0.25"/>
    <row r="219183" s="12" customFormat="1" x14ac:dyDescent="0.25"/>
    <row r="219184" s="12" customFormat="1" x14ac:dyDescent="0.25"/>
    <row r="219185" s="12" customFormat="1" x14ac:dyDescent="0.25"/>
    <row r="219186" s="12" customFormat="1" x14ac:dyDescent="0.25"/>
    <row r="219187" s="12" customFormat="1" x14ac:dyDescent="0.25"/>
    <row r="219188" s="12" customFormat="1" x14ac:dyDescent="0.25"/>
    <row r="219189" s="12" customFormat="1" x14ac:dyDescent="0.25"/>
    <row r="219190" s="12" customFormat="1" x14ac:dyDescent="0.25"/>
    <row r="219191" s="12" customFormat="1" x14ac:dyDescent="0.25"/>
    <row r="219192" s="12" customFormat="1" x14ac:dyDescent="0.25"/>
    <row r="219193" s="12" customFormat="1" x14ac:dyDescent="0.25"/>
    <row r="219194" s="12" customFormat="1" x14ac:dyDescent="0.25"/>
    <row r="219195" s="12" customFormat="1" x14ac:dyDescent="0.25"/>
    <row r="219196" s="12" customFormat="1" x14ac:dyDescent="0.25"/>
    <row r="219197" s="12" customFormat="1" x14ac:dyDescent="0.25"/>
    <row r="219198" s="12" customFormat="1" x14ac:dyDescent="0.25"/>
    <row r="219199" s="12" customFormat="1" x14ac:dyDescent="0.25"/>
    <row r="219200" s="12" customFormat="1" x14ac:dyDescent="0.25"/>
    <row r="219201" s="12" customFormat="1" x14ac:dyDescent="0.25"/>
    <row r="219202" s="12" customFormat="1" x14ac:dyDescent="0.25"/>
    <row r="219203" s="12" customFormat="1" x14ac:dyDescent="0.25"/>
    <row r="219204" s="12" customFormat="1" x14ac:dyDescent="0.25"/>
    <row r="219205" s="12" customFormat="1" x14ac:dyDescent="0.25"/>
    <row r="219206" s="12" customFormat="1" x14ac:dyDescent="0.25"/>
    <row r="219207" s="12" customFormat="1" x14ac:dyDescent="0.25"/>
    <row r="219208" s="12" customFormat="1" x14ac:dyDescent="0.25"/>
    <row r="219209" s="12" customFormat="1" x14ac:dyDescent="0.25"/>
    <row r="219210" s="12" customFormat="1" x14ac:dyDescent="0.25"/>
    <row r="219211" s="12" customFormat="1" x14ac:dyDescent="0.25"/>
    <row r="219212" s="12" customFormat="1" x14ac:dyDescent="0.25"/>
    <row r="219213" s="12" customFormat="1" x14ac:dyDescent="0.25"/>
    <row r="219214" s="12" customFormat="1" x14ac:dyDescent="0.25"/>
    <row r="219215" s="12" customFormat="1" x14ac:dyDescent="0.25"/>
    <row r="219216" s="12" customFormat="1" x14ac:dyDescent="0.25"/>
    <row r="219217" s="12" customFormat="1" x14ac:dyDescent="0.25"/>
    <row r="219218" s="12" customFormat="1" x14ac:dyDescent="0.25"/>
    <row r="219219" s="12" customFormat="1" x14ac:dyDescent="0.25"/>
    <row r="219220" s="12" customFormat="1" x14ac:dyDescent="0.25"/>
    <row r="219221" s="12" customFormat="1" x14ac:dyDescent="0.25"/>
    <row r="219222" s="12" customFormat="1" x14ac:dyDescent="0.25"/>
    <row r="219223" s="12" customFormat="1" x14ac:dyDescent="0.25"/>
    <row r="219224" s="12" customFormat="1" x14ac:dyDescent="0.25"/>
    <row r="219225" s="12" customFormat="1" x14ac:dyDescent="0.25"/>
    <row r="219226" s="12" customFormat="1" x14ac:dyDescent="0.25"/>
    <row r="219227" s="12" customFormat="1" x14ac:dyDescent="0.25"/>
    <row r="219228" s="12" customFormat="1" x14ac:dyDescent="0.25"/>
    <row r="219229" s="12" customFormat="1" x14ac:dyDescent="0.25"/>
    <row r="219230" s="12" customFormat="1" x14ac:dyDescent="0.25"/>
    <row r="219231" s="12" customFormat="1" x14ac:dyDescent="0.25"/>
    <row r="219232" s="12" customFormat="1" x14ac:dyDescent="0.25"/>
    <row r="219233" s="12" customFormat="1" x14ac:dyDescent="0.25"/>
    <row r="219234" s="12" customFormat="1" x14ac:dyDescent="0.25"/>
    <row r="219235" s="12" customFormat="1" x14ac:dyDescent="0.25"/>
    <row r="219236" s="12" customFormat="1" x14ac:dyDescent="0.25"/>
    <row r="219237" s="12" customFormat="1" x14ac:dyDescent="0.25"/>
    <row r="219238" s="12" customFormat="1" x14ac:dyDescent="0.25"/>
    <row r="219239" s="12" customFormat="1" x14ac:dyDescent="0.25"/>
    <row r="219240" s="12" customFormat="1" x14ac:dyDescent="0.25"/>
    <row r="219241" s="12" customFormat="1" x14ac:dyDescent="0.25"/>
    <row r="219242" s="12" customFormat="1" x14ac:dyDescent="0.25"/>
    <row r="219243" s="12" customFormat="1" x14ac:dyDescent="0.25"/>
    <row r="219244" s="12" customFormat="1" x14ac:dyDescent="0.25"/>
    <row r="219245" s="12" customFormat="1" x14ac:dyDescent="0.25"/>
    <row r="219246" s="12" customFormat="1" x14ac:dyDescent="0.25"/>
    <row r="219247" s="12" customFormat="1" x14ac:dyDescent="0.25"/>
    <row r="219248" s="12" customFormat="1" x14ac:dyDescent="0.25"/>
    <row r="219249" s="12" customFormat="1" x14ac:dyDescent="0.25"/>
    <row r="219250" s="12" customFormat="1" x14ac:dyDescent="0.25"/>
    <row r="219251" s="12" customFormat="1" x14ac:dyDescent="0.25"/>
    <row r="219252" s="12" customFormat="1" x14ac:dyDescent="0.25"/>
    <row r="219253" s="12" customFormat="1" x14ac:dyDescent="0.25"/>
    <row r="219254" s="12" customFormat="1" x14ac:dyDescent="0.25"/>
    <row r="219255" s="12" customFormat="1" x14ac:dyDescent="0.25"/>
    <row r="219256" s="12" customFormat="1" x14ac:dyDescent="0.25"/>
    <row r="219257" s="12" customFormat="1" x14ac:dyDescent="0.25"/>
    <row r="219258" s="12" customFormat="1" x14ac:dyDescent="0.25"/>
    <row r="219259" s="12" customFormat="1" x14ac:dyDescent="0.25"/>
    <row r="219260" s="12" customFormat="1" x14ac:dyDescent="0.25"/>
    <row r="219261" s="12" customFormat="1" x14ac:dyDescent="0.25"/>
    <row r="219262" s="12" customFormat="1" x14ac:dyDescent="0.25"/>
    <row r="219263" s="12" customFormat="1" x14ac:dyDescent="0.25"/>
    <row r="219264" s="12" customFormat="1" x14ac:dyDescent="0.25"/>
    <row r="219265" s="12" customFormat="1" x14ac:dyDescent="0.25"/>
    <row r="219266" s="12" customFormat="1" x14ac:dyDescent="0.25"/>
    <row r="219267" s="12" customFormat="1" x14ac:dyDescent="0.25"/>
    <row r="219268" s="12" customFormat="1" x14ac:dyDescent="0.25"/>
    <row r="219269" s="12" customFormat="1" x14ac:dyDescent="0.25"/>
    <row r="219270" s="12" customFormat="1" x14ac:dyDescent="0.25"/>
    <row r="219271" s="12" customFormat="1" x14ac:dyDescent="0.25"/>
    <row r="219272" s="12" customFormat="1" x14ac:dyDescent="0.25"/>
    <row r="219273" s="12" customFormat="1" x14ac:dyDescent="0.25"/>
    <row r="219274" s="12" customFormat="1" x14ac:dyDescent="0.25"/>
    <row r="219275" s="12" customFormat="1" x14ac:dyDescent="0.25"/>
    <row r="219276" s="12" customFormat="1" x14ac:dyDescent="0.25"/>
    <row r="219277" s="12" customFormat="1" x14ac:dyDescent="0.25"/>
    <row r="219278" s="12" customFormat="1" x14ac:dyDescent="0.25"/>
    <row r="219279" s="12" customFormat="1" x14ac:dyDescent="0.25"/>
    <row r="219280" s="12" customFormat="1" x14ac:dyDescent="0.25"/>
    <row r="219281" s="12" customFormat="1" x14ac:dyDescent="0.25"/>
    <row r="219282" s="12" customFormat="1" x14ac:dyDescent="0.25"/>
    <row r="219283" s="12" customFormat="1" x14ac:dyDescent="0.25"/>
    <row r="219284" s="12" customFormat="1" x14ac:dyDescent="0.25"/>
    <row r="219285" s="12" customFormat="1" x14ac:dyDescent="0.25"/>
    <row r="219286" s="12" customFormat="1" x14ac:dyDescent="0.25"/>
    <row r="219287" s="12" customFormat="1" x14ac:dyDescent="0.25"/>
    <row r="219288" s="12" customFormat="1" x14ac:dyDescent="0.25"/>
    <row r="219289" s="12" customFormat="1" x14ac:dyDescent="0.25"/>
    <row r="219290" s="12" customFormat="1" x14ac:dyDescent="0.25"/>
    <row r="219291" s="12" customFormat="1" x14ac:dyDescent="0.25"/>
    <row r="219292" s="12" customFormat="1" x14ac:dyDescent="0.25"/>
    <row r="219293" s="12" customFormat="1" x14ac:dyDescent="0.25"/>
    <row r="219294" s="12" customFormat="1" x14ac:dyDescent="0.25"/>
    <row r="219295" s="12" customFormat="1" x14ac:dyDescent="0.25"/>
    <row r="219296" s="12" customFormat="1" x14ac:dyDescent="0.25"/>
    <row r="219297" s="12" customFormat="1" x14ac:dyDescent="0.25"/>
    <row r="219298" s="12" customFormat="1" x14ac:dyDescent="0.25"/>
    <row r="219299" s="12" customFormat="1" x14ac:dyDescent="0.25"/>
    <row r="219300" s="12" customFormat="1" x14ac:dyDescent="0.25"/>
    <row r="219301" s="12" customFormat="1" x14ac:dyDescent="0.25"/>
    <row r="219302" s="12" customFormat="1" x14ac:dyDescent="0.25"/>
    <row r="219303" s="12" customFormat="1" x14ac:dyDescent="0.25"/>
    <row r="219304" s="12" customFormat="1" x14ac:dyDescent="0.25"/>
    <row r="219305" s="12" customFormat="1" x14ac:dyDescent="0.25"/>
    <row r="219306" s="12" customFormat="1" x14ac:dyDescent="0.25"/>
    <row r="219307" s="12" customFormat="1" x14ac:dyDescent="0.25"/>
    <row r="219308" s="12" customFormat="1" x14ac:dyDescent="0.25"/>
    <row r="219309" s="12" customFormat="1" x14ac:dyDescent="0.25"/>
    <row r="219310" s="12" customFormat="1" x14ac:dyDescent="0.25"/>
    <row r="219311" s="12" customFormat="1" x14ac:dyDescent="0.25"/>
    <row r="219312" s="12" customFormat="1" x14ac:dyDescent="0.25"/>
    <row r="219313" s="12" customFormat="1" x14ac:dyDescent="0.25"/>
    <row r="219314" s="12" customFormat="1" x14ac:dyDescent="0.25"/>
    <row r="219315" s="12" customFormat="1" x14ac:dyDescent="0.25"/>
    <row r="219316" s="12" customFormat="1" x14ac:dyDescent="0.25"/>
    <row r="219317" s="12" customFormat="1" x14ac:dyDescent="0.25"/>
    <row r="219318" s="12" customFormat="1" x14ac:dyDescent="0.25"/>
    <row r="219319" s="12" customFormat="1" x14ac:dyDescent="0.25"/>
    <row r="219320" s="12" customFormat="1" x14ac:dyDescent="0.25"/>
    <row r="219321" s="12" customFormat="1" x14ac:dyDescent="0.25"/>
    <row r="219322" s="12" customFormat="1" x14ac:dyDescent="0.25"/>
    <row r="219323" s="12" customFormat="1" x14ac:dyDescent="0.25"/>
    <row r="219324" s="12" customFormat="1" x14ac:dyDescent="0.25"/>
    <row r="219325" s="12" customFormat="1" x14ac:dyDescent="0.25"/>
    <row r="219326" s="12" customFormat="1" x14ac:dyDescent="0.25"/>
    <row r="219327" s="12" customFormat="1" x14ac:dyDescent="0.25"/>
    <row r="219328" s="12" customFormat="1" x14ac:dyDescent="0.25"/>
    <row r="219329" s="12" customFormat="1" x14ac:dyDescent="0.25"/>
    <row r="219330" s="12" customFormat="1" x14ac:dyDescent="0.25"/>
    <row r="219331" s="12" customFormat="1" x14ac:dyDescent="0.25"/>
    <row r="219332" s="12" customFormat="1" x14ac:dyDescent="0.25"/>
    <row r="219333" s="12" customFormat="1" x14ac:dyDescent="0.25"/>
    <row r="219334" s="12" customFormat="1" x14ac:dyDescent="0.25"/>
    <row r="219335" s="12" customFormat="1" x14ac:dyDescent="0.25"/>
    <row r="219336" s="12" customFormat="1" x14ac:dyDescent="0.25"/>
    <row r="219337" s="12" customFormat="1" x14ac:dyDescent="0.25"/>
    <row r="219338" s="12" customFormat="1" x14ac:dyDescent="0.25"/>
    <row r="219339" s="12" customFormat="1" x14ac:dyDescent="0.25"/>
    <row r="219340" s="12" customFormat="1" x14ac:dyDescent="0.25"/>
    <row r="219341" s="12" customFormat="1" x14ac:dyDescent="0.25"/>
    <row r="219342" s="12" customFormat="1" x14ac:dyDescent="0.25"/>
    <row r="219343" s="12" customFormat="1" x14ac:dyDescent="0.25"/>
    <row r="219344" s="12" customFormat="1" x14ac:dyDescent="0.25"/>
    <row r="219345" s="12" customFormat="1" x14ac:dyDescent="0.25"/>
    <row r="219346" s="12" customFormat="1" x14ac:dyDescent="0.25"/>
    <row r="219347" s="12" customFormat="1" x14ac:dyDescent="0.25"/>
    <row r="219348" s="12" customFormat="1" x14ac:dyDescent="0.25"/>
    <row r="219349" s="12" customFormat="1" x14ac:dyDescent="0.25"/>
    <row r="219350" s="12" customFormat="1" x14ac:dyDescent="0.25"/>
    <row r="219351" s="12" customFormat="1" x14ac:dyDescent="0.25"/>
    <row r="219352" s="12" customFormat="1" x14ac:dyDescent="0.25"/>
    <row r="219353" s="12" customFormat="1" x14ac:dyDescent="0.25"/>
    <row r="219354" s="12" customFormat="1" x14ac:dyDescent="0.25"/>
    <row r="219355" s="12" customFormat="1" x14ac:dyDescent="0.25"/>
    <row r="219356" s="12" customFormat="1" x14ac:dyDescent="0.25"/>
    <row r="219357" s="12" customFormat="1" x14ac:dyDescent="0.25"/>
    <row r="219358" s="12" customFormat="1" x14ac:dyDescent="0.25"/>
    <row r="219359" s="12" customFormat="1" x14ac:dyDescent="0.25"/>
    <row r="219360" s="12" customFormat="1" x14ac:dyDescent="0.25"/>
    <row r="219361" s="12" customFormat="1" x14ac:dyDescent="0.25"/>
    <row r="219362" s="12" customFormat="1" x14ac:dyDescent="0.25"/>
    <row r="219363" s="12" customFormat="1" x14ac:dyDescent="0.25"/>
    <row r="219364" s="12" customFormat="1" x14ac:dyDescent="0.25"/>
    <row r="219365" s="12" customFormat="1" x14ac:dyDescent="0.25"/>
    <row r="219366" s="12" customFormat="1" x14ac:dyDescent="0.25"/>
    <row r="219367" s="12" customFormat="1" x14ac:dyDescent="0.25"/>
    <row r="219368" s="12" customFormat="1" x14ac:dyDescent="0.25"/>
    <row r="219369" s="12" customFormat="1" x14ac:dyDescent="0.25"/>
    <row r="219370" s="12" customFormat="1" x14ac:dyDescent="0.25"/>
    <row r="219371" s="12" customFormat="1" x14ac:dyDescent="0.25"/>
    <row r="219372" s="12" customFormat="1" x14ac:dyDescent="0.25"/>
    <row r="219373" s="12" customFormat="1" x14ac:dyDescent="0.25"/>
    <row r="219374" s="12" customFormat="1" x14ac:dyDescent="0.25"/>
    <row r="219375" s="12" customFormat="1" x14ac:dyDescent="0.25"/>
    <row r="219376" s="12" customFormat="1" x14ac:dyDescent="0.25"/>
    <row r="219377" s="12" customFormat="1" x14ac:dyDescent="0.25"/>
    <row r="219378" s="12" customFormat="1" x14ac:dyDescent="0.25"/>
    <row r="219379" s="12" customFormat="1" x14ac:dyDescent="0.25"/>
    <row r="219380" s="12" customFormat="1" x14ac:dyDescent="0.25"/>
    <row r="219381" s="12" customFormat="1" x14ac:dyDescent="0.25"/>
    <row r="219382" s="12" customFormat="1" x14ac:dyDescent="0.25"/>
    <row r="219383" s="12" customFormat="1" x14ac:dyDescent="0.25"/>
    <row r="219384" s="12" customFormat="1" x14ac:dyDescent="0.25"/>
    <row r="219385" s="12" customFormat="1" x14ac:dyDescent="0.25"/>
    <row r="219386" s="12" customFormat="1" x14ac:dyDescent="0.25"/>
    <row r="219387" s="12" customFormat="1" x14ac:dyDescent="0.25"/>
    <row r="219388" s="12" customFormat="1" x14ac:dyDescent="0.25"/>
    <row r="219389" s="12" customFormat="1" x14ac:dyDescent="0.25"/>
    <row r="219390" s="12" customFormat="1" x14ac:dyDescent="0.25"/>
    <row r="219391" s="12" customFormat="1" x14ac:dyDescent="0.25"/>
    <row r="219392" s="12" customFormat="1" x14ac:dyDescent="0.25"/>
    <row r="219393" s="12" customFormat="1" x14ac:dyDescent="0.25"/>
    <row r="219394" s="12" customFormat="1" x14ac:dyDescent="0.25"/>
    <row r="219395" s="12" customFormat="1" x14ac:dyDescent="0.25"/>
    <row r="219396" s="12" customFormat="1" x14ac:dyDescent="0.25"/>
    <row r="219397" s="12" customFormat="1" x14ac:dyDescent="0.25"/>
    <row r="219398" s="12" customFormat="1" x14ac:dyDescent="0.25"/>
    <row r="219399" s="12" customFormat="1" x14ac:dyDescent="0.25"/>
    <row r="219400" s="12" customFormat="1" x14ac:dyDescent="0.25"/>
    <row r="219401" s="12" customFormat="1" x14ac:dyDescent="0.25"/>
    <row r="219402" s="12" customFormat="1" x14ac:dyDescent="0.25"/>
    <row r="219403" s="12" customFormat="1" x14ac:dyDescent="0.25"/>
    <row r="219404" s="12" customFormat="1" x14ac:dyDescent="0.25"/>
    <row r="219405" s="12" customFormat="1" x14ac:dyDescent="0.25"/>
    <row r="219406" s="12" customFormat="1" x14ac:dyDescent="0.25"/>
    <row r="219407" s="12" customFormat="1" x14ac:dyDescent="0.25"/>
    <row r="219408" s="12" customFormat="1" x14ac:dyDescent="0.25"/>
    <row r="219409" s="12" customFormat="1" x14ac:dyDescent="0.25"/>
    <row r="219410" s="12" customFormat="1" x14ac:dyDescent="0.25"/>
    <row r="219411" s="12" customFormat="1" x14ac:dyDescent="0.25"/>
    <row r="219412" s="12" customFormat="1" x14ac:dyDescent="0.25"/>
    <row r="219413" s="12" customFormat="1" x14ac:dyDescent="0.25"/>
    <row r="219414" s="12" customFormat="1" x14ac:dyDescent="0.25"/>
    <row r="219415" s="12" customFormat="1" x14ac:dyDescent="0.25"/>
    <row r="219416" s="12" customFormat="1" x14ac:dyDescent="0.25"/>
    <row r="219417" s="12" customFormat="1" x14ac:dyDescent="0.25"/>
    <row r="219418" s="12" customFormat="1" x14ac:dyDescent="0.25"/>
    <row r="219419" s="12" customFormat="1" x14ac:dyDescent="0.25"/>
    <row r="219420" s="12" customFormat="1" x14ac:dyDescent="0.25"/>
    <row r="219421" s="12" customFormat="1" x14ac:dyDescent="0.25"/>
    <row r="219422" s="12" customFormat="1" x14ac:dyDescent="0.25"/>
    <row r="219423" s="12" customFormat="1" x14ac:dyDescent="0.25"/>
    <row r="219424" s="12" customFormat="1" x14ac:dyDescent="0.25"/>
    <row r="219425" s="12" customFormat="1" x14ac:dyDescent="0.25"/>
    <row r="219426" s="12" customFormat="1" x14ac:dyDescent="0.25"/>
    <row r="219427" s="12" customFormat="1" x14ac:dyDescent="0.25"/>
    <row r="219428" s="12" customFormat="1" x14ac:dyDescent="0.25"/>
    <row r="219429" s="12" customFormat="1" x14ac:dyDescent="0.25"/>
    <row r="219430" s="12" customFormat="1" x14ac:dyDescent="0.25"/>
    <row r="219431" s="12" customFormat="1" x14ac:dyDescent="0.25"/>
    <row r="219432" s="12" customFormat="1" x14ac:dyDescent="0.25"/>
    <row r="219433" s="12" customFormat="1" x14ac:dyDescent="0.25"/>
    <row r="219434" s="12" customFormat="1" x14ac:dyDescent="0.25"/>
    <row r="219435" s="12" customFormat="1" x14ac:dyDescent="0.25"/>
    <row r="219436" s="12" customFormat="1" x14ac:dyDescent="0.25"/>
    <row r="219437" s="12" customFormat="1" x14ac:dyDescent="0.25"/>
    <row r="219438" s="12" customFormat="1" x14ac:dyDescent="0.25"/>
    <row r="219439" s="12" customFormat="1" x14ac:dyDescent="0.25"/>
    <row r="219440" s="12" customFormat="1" x14ac:dyDescent="0.25"/>
    <row r="219441" s="12" customFormat="1" x14ac:dyDescent="0.25"/>
    <row r="219442" s="12" customFormat="1" x14ac:dyDescent="0.25"/>
    <row r="219443" s="12" customFormat="1" x14ac:dyDescent="0.25"/>
    <row r="219444" s="12" customFormat="1" x14ac:dyDescent="0.25"/>
    <row r="219445" s="12" customFormat="1" x14ac:dyDescent="0.25"/>
    <row r="219446" s="12" customFormat="1" x14ac:dyDescent="0.25"/>
    <row r="219447" s="12" customFormat="1" x14ac:dyDescent="0.25"/>
    <row r="219448" s="12" customFormat="1" x14ac:dyDescent="0.25"/>
    <row r="219449" s="12" customFormat="1" x14ac:dyDescent="0.25"/>
    <row r="219450" s="12" customFormat="1" x14ac:dyDescent="0.25"/>
    <row r="219451" s="12" customFormat="1" x14ac:dyDescent="0.25"/>
    <row r="219452" s="12" customFormat="1" x14ac:dyDescent="0.25"/>
    <row r="219453" s="12" customFormat="1" x14ac:dyDescent="0.25"/>
    <row r="219454" s="12" customFormat="1" x14ac:dyDescent="0.25"/>
    <row r="219455" s="12" customFormat="1" x14ac:dyDescent="0.25"/>
    <row r="219456" s="12" customFormat="1" x14ac:dyDescent="0.25"/>
    <row r="219457" s="12" customFormat="1" x14ac:dyDescent="0.25"/>
    <row r="219458" s="12" customFormat="1" x14ac:dyDescent="0.25"/>
    <row r="219459" s="12" customFormat="1" x14ac:dyDescent="0.25"/>
    <row r="219460" s="12" customFormat="1" x14ac:dyDescent="0.25"/>
    <row r="219461" s="12" customFormat="1" x14ac:dyDescent="0.25"/>
    <row r="219462" s="12" customFormat="1" x14ac:dyDescent="0.25"/>
    <row r="219463" s="12" customFormat="1" x14ac:dyDescent="0.25"/>
    <row r="219464" s="12" customFormat="1" x14ac:dyDescent="0.25"/>
    <row r="219465" s="12" customFormat="1" x14ac:dyDescent="0.25"/>
    <row r="219466" s="12" customFormat="1" x14ac:dyDescent="0.25"/>
    <row r="219467" s="12" customFormat="1" x14ac:dyDescent="0.25"/>
    <row r="219468" s="12" customFormat="1" x14ac:dyDescent="0.25"/>
    <row r="219469" s="12" customFormat="1" x14ac:dyDescent="0.25"/>
    <row r="219470" s="12" customFormat="1" x14ac:dyDescent="0.25"/>
    <row r="219471" s="12" customFormat="1" x14ac:dyDescent="0.25"/>
    <row r="219472" s="12" customFormat="1" x14ac:dyDescent="0.25"/>
    <row r="219473" s="12" customFormat="1" x14ac:dyDescent="0.25"/>
    <row r="219474" s="12" customFormat="1" x14ac:dyDescent="0.25"/>
    <row r="219475" s="12" customFormat="1" x14ac:dyDescent="0.25"/>
    <row r="219476" s="12" customFormat="1" x14ac:dyDescent="0.25"/>
    <row r="219477" s="12" customFormat="1" x14ac:dyDescent="0.25"/>
    <row r="219478" s="12" customFormat="1" x14ac:dyDescent="0.25"/>
    <row r="219479" s="12" customFormat="1" x14ac:dyDescent="0.25"/>
    <row r="219480" s="12" customFormat="1" x14ac:dyDescent="0.25"/>
    <row r="219481" s="12" customFormat="1" x14ac:dyDescent="0.25"/>
    <row r="219482" s="12" customFormat="1" x14ac:dyDescent="0.25"/>
    <row r="219483" s="12" customFormat="1" x14ac:dyDescent="0.25"/>
    <row r="219484" s="12" customFormat="1" x14ac:dyDescent="0.25"/>
    <row r="219485" s="12" customFormat="1" x14ac:dyDescent="0.25"/>
    <row r="219486" s="12" customFormat="1" x14ac:dyDescent="0.25"/>
    <row r="219487" s="12" customFormat="1" x14ac:dyDescent="0.25"/>
    <row r="219488" s="12" customFormat="1" x14ac:dyDescent="0.25"/>
    <row r="219489" s="12" customFormat="1" x14ac:dyDescent="0.25"/>
    <row r="219490" s="12" customFormat="1" x14ac:dyDescent="0.25"/>
    <row r="219491" s="12" customFormat="1" x14ac:dyDescent="0.25"/>
    <row r="219492" s="12" customFormat="1" x14ac:dyDescent="0.25"/>
    <row r="219493" s="12" customFormat="1" x14ac:dyDescent="0.25"/>
    <row r="219494" s="12" customFormat="1" x14ac:dyDescent="0.25"/>
    <row r="219495" s="12" customFormat="1" x14ac:dyDescent="0.25"/>
    <row r="219496" s="12" customFormat="1" x14ac:dyDescent="0.25"/>
    <row r="219497" s="12" customFormat="1" x14ac:dyDescent="0.25"/>
    <row r="219498" s="12" customFormat="1" x14ac:dyDescent="0.25"/>
    <row r="219499" s="12" customFormat="1" x14ac:dyDescent="0.25"/>
    <row r="219500" s="12" customFormat="1" x14ac:dyDescent="0.25"/>
    <row r="219501" s="12" customFormat="1" x14ac:dyDescent="0.25"/>
    <row r="219502" s="12" customFormat="1" x14ac:dyDescent="0.25"/>
    <row r="219503" s="12" customFormat="1" x14ac:dyDescent="0.25"/>
    <row r="219504" s="12" customFormat="1" x14ac:dyDescent="0.25"/>
    <row r="219505" s="12" customFormat="1" x14ac:dyDescent="0.25"/>
    <row r="219506" s="12" customFormat="1" x14ac:dyDescent="0.25"/>
    <row r="219507" s="12" customFormat="1" x14ac:dyDescent="0.25"/>
    <row r="219508" s="12" customFormat="1" x14ac:dyDescent="0.25"/>
    <row r="219509" s="12" customFormat="1" x14ac:dyDescent="0.25"/>
    <row r="219510" s="12" customFormat="1" x14ac:dyDescent="0.25"/>
    <row r="219511" s="12" customFormat="1" x14ac:dyDescent="0.25"/>
    <row r="219512" s="12" customFormat="1" x14ac:dyDescent="0.25"/>
    <row r="219513" s="12" customFormat="1" x14ac:dyDescent="0.25"/>
    <row r="219514" s="12" customFormat="1" x14ac:dyDescent="0.25"/>
    <row r="219515" s="12" customFormat="1" x14ac:dyDescent="0.25"/>
    <row r="219516" s="12" customFormat="1" x14ac:dyDescent="0.25"/>
    <row r="219517" s="12" customFormat="1" x14ac:dyDescent="0.25"/>
    <row r="219518" s="12" customFormat="1" x14ac:dyDescent="0.25"/>
    <row r="219519" s="12" customFormat="1" x14ac:dyDescent="0.25"/>
    <row r="219520" s="12" customFormat="1" x14ac:dyDescent="0.25"/>
    <row r="219521" s="12" customFormat="1" x14ac:dyDescent="0.25"/>
    <row r="219522" s="12" customFormat="1" x14ac:dyDescent="0.25"/>
    <row r="219523" s="12" customFormat="1" x14ac:dyDescent="0.25"/>
    <row r="219524" s="12" customFormat="1" x14ac:dyDescent="0.25"/>
    <row r="219525" s="12" customFormat="1" x14ac:dyDescent="0.25"/>
    <row r="219526" s="12" customFormat="1" x14ac:dyDescent="0.25"/>
    <row r="219527" s="12" customFormat="1" x14ac:dyDescent="0.25"/>
    <row r="219528" s="12" customFormat="1" x14ac:dyDescent="0.25"/>
    <row r="219529" s="12" customFormat="1" x14ac:dyDescent="0.25"/>
    <row r="219530" s="12" customFormat="1" x14ac:dyDescent="0.25"/>
    <row r="219531" s="12" customFormat="1" x14ac:dyDescent="0.25"/>
    <row r="219532" s="12" customFormat="1" x14ac:dyDescent="0.25"/>
    <row r="219533" s="12" customFormat="1" x14ac:dyDescent="0.25"/>
    <row r="219534" s="12" customFormat="1" x14ac:dyDescent="0.25"/>
    <row r="219535" s="12" customFormat="1" x14ac:dyDescent="0.25"/>
    <row r="219536" s="12" customFormat="1" x14ac:dyDescent="0.25"/>
    <row r="219537" s="12" customFormat="1" x14ac:dyDescent="0.25"/>
    <row r="219538" s="12" customFormat="1" x14ac:dyDescent="0.25"/>
    <row r="219539" s="12" customFormat="1" x14ac:dyDescent="0.25"/>
    <row r="219540" s="12" customFormat="1" x14ac:dyDescent="0.25"/>
    <row r="219541" s="12" customFormat="1" x14ac:dyDescent="0.25"/>
    <row r="219542" s="12" customFormat="1" x14ac:dyDescent="0.25"/>
    <row r="219543" s="12" customFormat="1" x14ac:dyDescent="0.25"/>
    <row r="219544" s="12" customFormat="1" x14ac:dyDescent="0.25"/>
    <row r="219545" s="12" customFormat="1" x14ac:dyDescent="0.25"/>
    <row r="219546" s="12" customFormat="1" x14ac:dyDescent="0.25"/>
    <row r="219547" s="12" customFormat="1" x14ac:dyDescent="0.25"/>
    <row r="219548" s="12" customFormat="1" x14ac:dyDescent="0.25"/>
    <row r="219549" s="12" customFormat="1" x14ac:dyDescent="0.25"/>
    <row r="219550" s="12" customFormat="1" x14ac:dyDescent="0.25"/>
    <row r="219551" s="12" customFormat="1" x14ac:dyDescent="0.25"/>
    <row r="219552" s="12" customFormat="1" x14ac:dyDescent="0.25"/>
    <row r="219553" s="12" customFormat="1" x14ac:dyDescent="0.25"/>
    <row r="219554" s="12" customFormat="1" x14ac:dyDescent="0.25"/>
    <row r="219555" s="12" customFormat="1" x14ac:dyDescent="0.25"/>
    <row r="219556" s="12" customFormat="1" x14ac:dyDescent="0.25"/>
    <row r="219557" s="12" customFormat="1" x14ac:dyDescent="0.25"/>
    <row r="219558" s="12" customFormat="1" x14ac:dyDescent="0.25"/>
    <row r="219559" s="12" customFormat="1" x14ac:dyDescent="0.25"/>
    <row r="219560" s="12" customFormat="1" x14ac:dyDescent="0.25"/>
    <row r="219561" s="12" customFormat="1" x14ac:dyDescent="0.25"/>
    <row r="219562" s="12" customFormat="1" x14ac:dyDescent="0.25"/>
    <row r="219563" s="12" customFormat="1" x14ac:dyDescent="0.25"/>
    <row r="219564" s="12" customFormat="1" x14ac:dyDescent="0.25"/>
    <row r="219565" s="12" customFormat="1" x14ac:dyDescent="0.25"/>
    <row r="219566" s="12" customFormat="1" x14ac:dyDescent="0.25"/>
    <row r="219567" s="12" customFormat="1" x14ac:dyDescent="0.25"/>
    <row r="219568" s="12" customFormat="1" x14ac:dyDescent="0.25"/>
    <row r="219569" s="12" customFormat="1" x14ac:dyDescent="0.25"/>
    <row r="219570" s="12" customFormat="1" x14ac:dyDescent="0.25"/>
    <row r="219571" s="12" customFormat="1" x14ac:dyDescent="0.25"/>
    <row r="219572" s="12" customFormat="1" x14ac:dyDescent="0.25"/>
    <row r="219573" s="12" customFormat="1" x14ac:dyDescent="0.25"/>
    <row r="219574" s="12" customFormat="1" x14ac:dyDescent="0.25"/>
    <row r="219575" s="12" customFormat="1" x14ac:dyDescent="0.25"/>
    <row r="219576" s="12" customFormat="1" x14ac:dyDescent="0.25"/>
    <row r="219577" s="12" customFormat="1" x14ac:dyDescent="0.25"/>
    <row r="219578" s="12" customFormat="1" x14ac:dyDescent="0.25"/>
    <row r="219579" s="12" customFormat="1" x14ac:dyDescent="0.25"/>
    <row r="219580" s="12" customFormat="1" x14ac:dyDescent="0.25"/>
    <row r="219581" s="12" customFormat="1" x14ac:dyDescent="0.25"/>
    <row r="219582" s="12" customFormat="1" x14ac:dyDescent="0.25"/>
    <row r="219583" s="12" customFormat="1" x14ac:dyDescent="0.25"/>
    <row r="219584" s="12" customFormat="1" x14ac:dyDescent="0.25"/>
    <row r="219585" s="12" customFormat="1" x14ac:dyDescent="0.25"/>
    <row r="219586" s="12" customFormat="1" x14ac:dyDescent="0.25"/>
    <row r="219587" s="12" customFormat="1" x14ac:dyDescent="0.25"/>
    <row r="219588" s="12" customFormat="1" x14ac:dyDescent="0.25"/>
    <row r="219589" s="12" customFormat="1" x14ac:dyDescent="0.25"/>
    <row r="219590" s="12" customFormat="1" x14ac:dyDescent="0.25"/>
    <row r="219591" s="12" customFormat="1" x14ac:dyDescent="0.25"/>
    <row r="219592" s="12" customFormat="1" x14ac:dyDescent="0.25"/>
    <row r="219593" s="12" customFormat="1" x14ac:dyDescent="0.25"/>
    <row r="219594" s="12" customFormat="1" x14ac:dyDescent="0.25"/>
    <row r="219595" s="12" customFormat="1" x14ac:dyDescent="0.25"/>
    <row r="219596" s="12" customFormat="1" x14ac:dyDescent="0.25"/>
    <row r="219597" s="12" customFormat="1" x14ac:dyDescent="0.25"/>
    <row r="219598" s="12" customFormat="1" x14ac:dyDescent="0.25"/>
    <row r="219599" s="12" customFormat="1" x14ac:dyDescent="0.25"/>
    <row r="219600" s="12" customFormat="1" x14ac:dyDescent="0.25"/>
    <row r="219601" s="12" customFormat="1" x14ac:dyDescent="0.25"/>
    <row r="219602" s="12" customFormat="1" x14ac:dyDescent="0.25"/>
    <row r="219603" s="12" customFormat="1" x14ac:dyDescent="0.25"/>
    <row r="219604" s="12" customFormat="1" x14ac:dyDescent="0.25"/>
    <row r="219605" s="12" customFormat="1" x14ac:dyDescent="0.25"/>
    <row r="219606" s="12" customFormat="1" x14ac:dyDescent="0.25"/>
    <row r="219607" s="12" customFormat="1" x14ac:dyDescent="0.25"/>
    <row r="219608" s="12" customFormat="1" x14ac:dyDescent="0.25"/>
    <row r="219609" s="12" customFormat="1" x14ac:dyDescent="0.25"/>
    <row r="219610" s="12" customFormat="1" x14ac:dyDescent="0.25"/>
    <row r="219611" s="12" customFormat="1" x14ac:dyDescent="0.25"/>
    <row r="219612" s="12" customFormat="1" x14ac:dyDescent="0.25"/>
    <row r="219613" s="12" customFormat="1" x14ac:dyDescent="0.25"/>
    <row r="219614" s="12" customFormat="1" x14ac:dyDescent="0.25"/>
    <row r="219615" s="12" customFormat="1" x14ac:dyDescent="0.25"/>
    <row r="219616" s="12" customFormat="1" x14ac:dyDescent="0.25"/>
    <row r="219617" s="12" customFormat="1" x14ac:dyDescent="0.25"/>
    <row r="219618" s="12" customFormat="1" x14ac:dyDescent="0.25"/>
    <row r="219619" s="12" customFormat="1" x14ac:dyDescent="0.25"/>
    <row r="219620" s="12" customFormat="1" x14ac:dyDescent="0.25"/>
    <row r="219621" s="12" customFormat="1" x14ac:dyDescent="0.25"/>
    <row r="219622" s="12" customFormat="1" x14ac:dyDescent="0.25"/>
    <row r="219623" s="12" customFormat="1" x14ac:dyDescent="0.25"/>
    <row r="219624" s="12" customFormat="1" x14ac:dyDescent="0.25"/>
    <row r="219625" s="12" customFormat="1" x14ac:dyDescent="0.25"/>
    <row r="219626" s="12" customFormat="1" x14ac:dyDescent="0.25"/>
    <row r="219627" s="12" customFormat="1" x14ac:dyDescent="0.25"/>
    <row r="219628" s="12" customFormat="1" x14ac:dyDescent="0.25"/>
    <row r="219629" s="12" customFormat="1" x14ac:dyDescent="0.25"/>
    <row r="219630" s="12" customFormat="1" x14ac:dyDescent="0.25"/>
    <row r="219631" s="12" customFormat="1" x14ac:dyDescent="0.25"/>
    <row r="219632" s="12" customFormat="1" x14ac:dyDescent="0.25"/>
    <row r="219633" s="12" customFormat="1" x14ac:dyDescent="0.25"/>
    <row r="219634" s="12" customFormat="1" x14ac:dyDescent="0.25"/>
    <row r="219635" s="12" customFormat="1" x14ac:dyDescent="0.25"/>
    <row r="219636" s="12" customFormat="1" x14ac:dyDescent="0.25"/>
    <row r="219637" s="12" customFormat="1" x14ac:dyDescent="0.25"/>
    <row r="219638" s="12" customFormat="1" x14ac:dyDescent="0.25"/>
    <row r="219639" s="12" customFormat="1" x14ac:dyDescent="0.25"/>
    <row r="219640" s="12" customFormat="1" x14ac:dyDescent="0.25"/>
    <row r="219641" s="12" customFormat="1" x14ac:dyDescent="0.25"/>
    <row r="219642" s="12" customFormat="1" x14ac:dyDescent="0.25"/>
    <row r="219643" s="12" customFormat="1" x14ac:dyDescent="0.25"/>
    <row r="219644" s="12" customFormat="1" x14ac:dyDescent="0.25"/>
    <row r="219645" s="12" customFormat="1" x14ac:dyDescent="0.25"/>
    <row r="219646" s="12" customFormat="1" x14ac:dyDescent="0.25"/>
    <row r="219647" s="12" customFormat="1" x14ac:dyDescent="0.25"/>
    <row r="219648" s="12" customFormat="1" x14ac:dyDescent="0.25"/>
    <row r="219649" s="12" customFormat="1" x14ac:dyDescent="0.25"/>
    <row r="219650" s="12" customFormat="1" x14ac:dyDescent="0.25"/>
    <row r="219651" s="12" customFormat="1" x14ac:dyDescent="0.25"/>
    <row r="219652" s="12" customFormat="1" x14ac:dyDescent="0.25"/>
    <row r="219653" s="12" customFormat="1" x14ac:dyDescent="0.25"/>
    <row r="219654" s="12" customFormat="1" x14ac:dyDescent="0.25"/>
    <row r="219655" s="12" customFormat="1" x14ac:dyDescent="0.25"/>
    <row r="219656" s="12" customFormat="1" x14ac:dyDescent="0.25"/>
    <row r="219657" s="12" customFormat="1" x14ac:dyDescent="0.25"/>
    <row r="219658" s="12" customFormat="1" x14ac:dyDescent="0.25"/>
    <row r="219659" s="12" customFormat="1" x14ac:dyDescent="0.25"/>
    <row r="219660" s="12" customFormat="1" x14ac:dyDescent="0.25"/>
    <row r="219661" s="12" customFormat="1" x14ac:dyDescent="0.25"/>
    <row r="219662" s="12" customFormat="1" x14ac:dyDescent="0.25"/>
    <row r="219663" s="12" customFormat="1" x14ac:dyDescent="0.25"/>
    <row r="219664" s="12" customFormat="1" x14ac:dyDescent="0.25"/>
    <row r="219665" s="12" customFormat="1" x14ac:dyDescent="0.25"/>
    <row r="219666" s="12" customFormat="1" x14ac:dyDescent="0.25"/>
    <row r="219667" s="12" customFormat="1" x14ac:dyDescent="0.25"/>
    <row r="219668" s="12" customFormat="1" x14ac:dyDescent="0.25"/>
    <row r="219669" s="12" customFormat="1" x14ac:dyDescent="0.25"/>
    <row r="219670" s="12" customFormat="1" x14ac:dyDescent="0.25"/>
    <row r="219671" s="12" customFormat="1" x14ac:dyDescent="0.25"/>
    <row r="219672" s="12" customFormat="1" x14ac:dyDescent="0.25"/>
    <row r="219673" s="12" customFormat="1" x14ac:dyDescent="0.25"/>
    <row r="219674" s="12" customFormat="1" x14ac:dyDescent="0.25"/>
    <row r="219675" s="12" customFormat="1" x14ac:dyDescent="0.25"/>
    <row r="219676" s="12" customFormat="1" x14ac:dyDescent="0.25"/>
    <row r="219677" s="12" customFormat="1" x14ac:dyDescent="0.25"/>
    <row r="219678" s="12" customFormat="1" x14ac:dyDescent="0.25"/>
    <row r="219679" s="12" customFormat="1" x14ac:dyDescent="0.25"/>
    <row r="219680" s="12" customFormat="1" x14ac:dyDescent="0.25"/>
    <row r="219681" s="12" customFormat="1" x14ac:dyDescent="0.25"/>
    <row r="219682" s="12" customFormat="1" x14ac:dyDescent="0.25"/>
    <row r="219683" s="12" customFormat="1" x14ac:dyDescent="0.25"/>
    <row r="219684" s="12" customFormat="1" x14ac:dyDescent="0.25"/>
    <row r="219685" s="12" customFormat="1" x14ac:dyDescent="0.25"/>
    <row r="219686" s="12" customFormat="1" x14ac:dyDescent="0.25"/>
    <row r="219687" s="12" customFormat="1" x14ac:dyDescent="0.25"/>
    <row r="219688" s="12" customFormat="1" x14ac:dyDescent="0.25"/>
    <row r="219689" s="12" customFormat="1" x14ac:dyDescent="0.25"/>
    <row r="219690" s="12" customFormat="1" x14ac:dyDescent="0.25"/>
    <row r="219691" s="12" customFormat="1" x14ac:dyDescent="0.25"/>
    <row r="219692" s="12" customFormat="1" x14ac:dyDescent="0.25"/>
    <row r="219693" s="12" customFormat="1" x14ac:dyDescent="0.25"/>
    <row r="219694" s="12" customFormat="1" x14ac:dyDescent="0.25"/>
    <row r="219695" s="12" customFormat="1" x14ac:dyDescent="0.25"/>
    <row r="219696" s="12" customFormat="1" x14ac:dyDescent="0.25"/>
    <row r="219697" s="12" customFormat="1" x14ac:dyDescent="0.25"/>
    <row r="219698" s="12" customFormat="1" x14ac:dyDescent="0.25"/>
    <row r="219699" s="12" customFormat="1" x14ac:dyDescent="0.25"/>
    <row r="219700" s="12" customFormat="1" x14ac:dyDescent="0.25"/>
    <row r="219701" s="12" customFormat="1" x14ac:dyDescent="0.25"/>
    <row r="219702" s="12" customFormat="1" x14ac:dyDescent="0.25"/>
    <row r="219703" s="12" customFormat="1" x14ac:dyDescent="0.25"/>
    <row r="219704" s="12" customFormat="1" x14ac:dyDescent="0.25"/>
    <row r="219705" s="12" customFormat="1" x14ac:dyDescent="0.25"/>
    <row r="219706" s="12" customFormat="1" x14ac:dyDescent="0.25"/>
    <row r="219707" s="12" customFormat="1" x14ac:dyDescent="0.25"/>
    <row r="219708" s="12" customFormat="1" x14ac:dyDescent="0.25"/>
    <row r="219709" s="12" customFormat="1" x14ac:dyDescent="0.25"/>
    <row r="219710" s="12" customFormat="1" x14ac:dyDescent="0.25"/>
    <row r="219711" s="12" customFormat="1" x14ac:dyDescent="0.25"/>
    <row r="219712" s="12" customFormat="1" x14ac:dyDescent="0.25"/>
    <row r="219713" s="12" customFormat="1" x14ac:dyDescent="0.25"/>
    <row r="219714" s="12" customFormat="1" x14ac:dyDescent="0.25"/>
    <row r="219715" s="12" customFormat="1" x14ac:dyDescent="0.25"/>
    <row r="219716" s="12" customFormat="1" x14ac:dyDescent="0.25"/>
    <row r="219717" s="12" customFormat="1" x14ac:dyDescent="0.25"/>
    <row r="219718" s="12" customFormat="1" x14ac:dyDescent="0.25"/>
    <row r="219719" s="12" customFormat="1" x14ac:dyDescent="0.25"/>
    <row r="219720" s="12" customFormat="1" x14ac:dyDescent="0.25"/>
    <row r="219721" s="12" customFormat="1" x14ac:dyDescent="0.25"/>
    <row r="219722" s="12" customFormat="1" x14ac:dyDescent="0.25"/>
    <row r="219723" s="12" customFormat="1" x14ac:dyDescent="0.25"/>
    <row r="219724" s="12" customFormat="1" x14ac:dyDescent="0.25"/>
    <row r="219725" s="12" customFormat="1" x14ac:dyDescent="0.25"/>
    <row r="219726" s="12" customFormat="1" x14ac:dyDescent="0.25"/>
    <row r="219727" s="12" customFormat="1" x14ac:dyDescent="0.25"/>
    <row r="219728" s="12" customFormat="1" x14ac:dyDescent="0.25"/>
    <row r="219729" s="12" customFormat="1" x14ac:dyDescent="0.25"/>
    <row r="219730" s="12" customFormat="1" x14ac:dyDescent="0.25"/>
    <row r="219731" s="12" customFormat="1" x14ac:dyDescent="0.25"/>
    <row r="219732" s="12" customFormat="1" x14ac:dyDescent="0.25"/>
    <row r="219733" s="12" customFormat="1" x14ac:dyDescent="0.25"/>
    <row r="219734" s="12" customFormat="1" x14ac:dyDescent="0.25"/>
    <row r="219735" s="12" customFormat="1" x14ac:dyDescent="0.25"/>
    <row r="219736" s="12" customFormat="1" x14ac:dyDescent="0.25"/>
    <row r="219737" s="12" customFormat="1" x14ac:dyDescent="0.25"/>
    <row r="219738" s="12" customFormat="1" x14ac:dyDescent="0.25"/>
    <row r="219739" s="12" customFormat="1" x14ac:dyDescent="0.25"/>
    <row r="219740" s="12" customFormat="1" x14ac:dyDescent="0.25"/>
    <row r="219741" s="12" customFormat="1" x14ac:dyDescent="0.25"/>
    <row r="219742" s="12" customFormat="1" x14ac:dyDescent="0.25"/>
    <row r="219743" s="12" customFormat="1" x14ac:dyDescent="0.25"/>
    <row r="219744" s="12" customFormat="1" x14ac:dyDescent="0.25"/>
    <row r="219745" s="12" customFormat="1" x14ac:dyDescent="0.25"/>
    <row r="219746" s="12" customFormat="1" x14ac:dyDescent="0.25"/>
    <row r="219747" s="12" customFormat="1" x14ac:dyDescent="0.25"/>
    <row r="219748" s="12" customFormat="1" x14ac:dyDescent="0.25"/>
    <row r="219749" s="12" customFormat="1" x14ac:dyDescent="0.25"/>
    <row r="219750" s="12" customFormat="1" x14ac:dyDescent="0.25"/>
    <row r="219751" s="12" customFormat="1" x14ac:dyDescent="0.25"/>
    <row r="219752" s="12" customFormat="1" x14ac:dyDescent="0.25"/>
    <row r="219753" s="12" customFormat="1" x14ac:dyDescent="0.25"/>
    <row r="219754" s="12" customFormat="1" x14ac:dyDescent="0.25"/>
    <row r="219755" s="12" customFormat="1" x14ac:dyDescent="0.25"/>
    <row r="219756" s="12" customFormat="1" x14ac:dyDescent="0.25"/>
    <row r="219757" s="12" customFormat="1" x14ac:dyDescent="0.25"/>
    <row r="219758" s="12" customFormat="1" x14ac:dyDescent="0.25"/>
    <row r="219759" s="12" customFormat="1" x14ac:dyDescent="0.25"/>
    <row r="219760" s="12" customFormat="1" x14ac:dyDescent="0.25"/>
    <row r="219761" s="12" customFormat="1" x14ac:dyDescent="0.25"/>
    <row r="219762" s="12" customFormat="1" x14ac:dyDescent="0.25"/>
    <row r="219763" s="12" customFormat="1" x14ac:dyDescent="0.25"/>
    <row r="219764" s="12" customFormat="1" x14ac:dyDescent="0.25"/>
    <row r="219765" s="12" customFormat="1" x14ac:dyDescent="0.25"/>
    <row r="219766" s="12" customFormat="1" x14ac:dyDescent="0.25"/>
    <row r="219767" s="12" customFormat="1" x14ac:dyDescent="0.25"/>
    <row r="219768" s="12" customFormat="1" x14ac:dyDescent="0.25"/>
    <row r="219769" s="12" customFormat="1" x14ac:dyDescent="0.25"/>
    <row r="219770" s="12" customFormat="1" x14ac:dyDescent="0.25"/>
    <row r="219771" s="12" customFormat="1" x14ac:dyDescent="0.25"/>
    <row r="219772" s="12" customFormat="1" x14ac:dyDescent="0.25"/>
    <row r="219773" s="12" customFormat="1" x14ac:dyDescent="0.25"/>
    <row r="219774" s="12" customFormat="1" x14ac:dyDescent="0.25"/>
    <row r="219775" s="12" customFormat="1" x14ac:dyDescent="0.25"/>
    <row r="219776" s="12" customFormat="1" x14ac:dyDescent="0.25"/>
    <row r="219777" s="12" customFormat="1" x14ac:dyDescent="0.25"/>
    <row r="219778" s="12" customFormat="1" x14ac:dyDescent="0.25"/>
    <row r="219779" s="12" customFormat="1" x14ac:dyDescent="0.25"/>
    <row r="219780" s="12" customFormat="1" x14ac:dyDescent="0.25"/>
    <row r="219781" s="12" customFormat="1" x14ac:dyDescent="0.25"/>
    <row r="219782" s="12" customFormat="1" x14ac:dyDescent="0.25"/>
    <row r="219783" s="12" customFormat="1" x14ac:dyDescent="0.25"/>
    <row r="219784" s="12" customFormat="1" x14ac:dyDescent="0.25"/>
    <row r="219785" s="12" customFormat="1" x14ac:dyDescent="0.25"/>
    <row r="219786" s="12" customFormat="1" x14ac:dyDescent="0.25"/>
    <row r="219787" s="12" customFormat="1" x14ac:dyDescent="0.25"/>
    <row r="219788" s="12" customFormat="1" x14ac:dyDescent="0.25"/>
    <row r="219789" s="12" customFormat="1" x14ac:dyDescent="0.25"/>
    <row r="219790" s="12" customFormat="1" x14ac:dyDescent="0.25"/>
    <row r="219791" s="12" customFormat="1" x14ac:dyDescent="0.25"/>
    <row r="219792" s="12" customFormat="1" x14ac:dyDescent="0.25"/>
    <row r="219793" s="12" customFormat="1" x14ac:dyDescent="0.25"/>
    <row r="219794" s="12" customFormat="1" x14ac:dyDescent="0.25"/>
    <row r="219795" s="12" customFormat="1" x14ac:dyDescent="0.25"/>
    <row r="219796" s="12" customFormat="1" x14ac:dyDescent="0.25"/>
    <row r="219797" s="12" customFormat="1" x14ac:dyDescent="0.25"/>
    <row r="219798" s="12" customFormat="1" x14ac:dyDescent="0.25"/>
    <row r="219799" s="12" customFormat="1" x14ac:dyDescent="0.25"/>
    <row r="219800" s="12" customFormat="1" x14ac:dyDescent="0.25"/>
    <row r="219801" s="12" customFormat="1" x14ac:dyDescent="0.25"/>
    <row r="219802" s="12" customFormat="1" x14ac:dyDescent="0.25"/>
    <row r="219803" s="12" customFormat="1" x14ac:dyDescent="0.25"/>
    <row r="219804" s="12" customFormat="1" x14ac:dyDescent="0.25"/>
    <row r="219805" s="12" customFormat="1" x14ac:dyDescent="0.25"/>
    <row r="219806" s="12" customFormat="1" x14ac:dyDescent="0.25"/>
    <row r="219807" s="12" customFormat="1" x14ac:dyDescent="0.25"/>
    <row r="219808" s="12" customFormat="1" x14ac:dyDescent="0.25"/>
    <row r="219809" s="12" customFormat="1" x14ac:dyDescent="0.25"/>
    <row r="219810" s="12" customFormat="1" x14ac:dyDescent="0.25"/>
    <row r="219811" s="12" customFormat="1" x14ac:dyDescent="0.25"/>
    <row r="219812" s="12" customFormat="1" x14ac:dyDescent="0.25"/>
    <row r="219813" s="12" customFormat="1" x14ac:dyDescent="0.25"/>
    <row r="219814" s="12" customFormat="1" x14ac:dyDescent="0.25"/>
    <row r="219815" s="12" customFormat="1" x14ac:dyDescent="0.25"/>
    <row r="219816" s="12" customFormat="1" x14ac:dyDescent="0.25"/>
    <row r="219817" s="12" customFormat="1" x14ac:dyDescent="0.25"/>
    <row r="219818" s="12" customFormat="1" x14ac:dyDescent="0.25"/>
    <row r="219819" s="12" customFormat="1" x14ac:dyDescent="0.25"/>
    <row r="219820" s="12" customFormat="1" x14ac:dyDescent="0.25"/>
    <row r="219821" s="12" customFormat="1" x14ac:dyDescent="0.25"/>
    <row r="219822" s="12" customFormat="1" x14ac:dyDescent="0.25"/>
    <row r="219823" s="12" customFormat="1" x14ac:dyDescent="0.25"/>
    <row r="219824" s="12" customFormat="1" x14ac:dyDescent="0.25"/>
    <row r="219825" s="12" customFormat="1" x14ac:dyDescent="0.25"/>
    <row r="219826" s="12" customFormat="1" x14ac:dyDescent="0.25"/>
    <row r="219827" s="12" customFormat="1" x14ac:dyDescent="0.25"/>
    <row r="219828" s="12" customFormat="1" x14ac:dyDescent="0.25"/>
    <row r="219829" s="12" customFormat="1" x14ac:dyDescent="0.25"/>
    <row r="219830" s="12" customFormat="1" x14ac:dyDescent="0.25"/>
    <row r="219831" s="12" customFormat="1" x14ac:dyDescent="0.25"/>
    <row r="219832" s="12" customFormat="1" x14ac:dyDescent="0.25"/>
    <row r="219833" s="12" customFormat="1" x14ac:dyDescent="0.25"/>
    <row r="219834" s="12" customFormat="1" x14ac:dyDescent="0.25"/>
    <row r="219835" s="12" customFormat="1" x14ac:dyDescent="0.25"/>
    <row r="219836" s="12" customFormat="1" x14ac:dyDescent="0.25"/>
    <row r="219837" s="12" customFormat="1" x14ac:dyDescent="0.25"/>
    <row r="219838" s="12" customFormat="1" x14ac:dyDescent="0.25"/>
    <row r="219839" s="12" customFormat="1" x14ac:dyDescent="0.25"/>
    <row r="219840" s="12" customFormat="1" x14ac:dyDescent="0.25"/>
    <row r="219841" s="12" customFormat="1" x14ac:dyDescent="0.25"/>
    <row r="219842" s="12" customFormat="1" x14ac:dyDescent="0.25"/>
    <row r="219843" s="12" customFormat="1" x14ac:dyDescent="0.25"/>
    <row r="219844" s="12" customFormat="1" x14ac:dyDescent="0.25"/>
    <row r="219845" s="12" customFormat="1" x14ac:dyDescent="0.25"/>
    <row r="219846" s="12" customFormat="1" x14ac:dyDescent="0.25"/>
    <row r="219847" s="12" customFormat="1" x14ac:dyDescent="0.25"/>
    <row r="219848" s="12" customFormat="1" x14ac:dyDescent="0.25"/>
    <row r="219849" s="12" customFormat="1" x14ac:dyDescent="0.25"/>
    <row r="219850" s="12" customFormat="1" x14ac:dyDescent="0.25"/>
    <row r="219851" s="12" customFormat="1" x14ac:dyDescent="0.25"/>
    <row r="219852" s="12" customFormat="1" x14ac:dyDescent="0.25"/>
    <row r="219853" s="12" customFormat="1" x14ac:dyDescent="0.25"/>
    <row r="219854" s="12" customFormat="1" x14ac:dyDescent="0.25"/>
    <row r="219855" s="12" customFormat="1" x14ac:dyDescent="0.25"/>
    <row r="219856" s="12" customFormat="1" x14ac:dyDescent="0.25"/>
    <row r="219857" s="12" customFormat="1" x14ac:dyDescent="0.25"/>
    <row r="219858" s="12" customFormat="1" x14ac:dyDescent="0.25"/>
    <row r="219859" s="12" customFormat="1" x14ac:dyDescent="0.25"/>
    <row r="219860" s="12" customFormat="1" x14ac:dyDescent="0.25"/>
    <row r="219861" s="12" customFormat="1" x14ac:dyDescent="0.25"/>
    <row r="219862" s="12" customFormat="1" x14ac:dyDescent="0.25"/>
    <row r="219863" s="12" customFormat="1" x14ac:dyDescent="0.25"/>
    <row r="219864" s="12" customFormat="1" x14ac:dyDescent="0.25"/>
    <row r="219865" s="12" customFormat="1" x14ac:dyDescent="0.25"/>
    <row r="219866" s="12" customFormat="1" x14ac:dyDescent="0.25"/>
    <row r="219867" s="12" customFormat="1" x14ac:dyDescent="0.25"/>
    <row r="219868" s="12" customFormat="1" x14ac:dyDescent="0.25"/>
    <row r="219869" s="12" customFormat="1" x14ac:dyDescent="0.25"/>
    <row r="219870" s="12" customFormat="1" x14ac:dyDescent="0.25"/>
    <row r="219871" s="12" customFormat="1" x14ac:dyDescent="0.25"/>
    <row r="219872" s="12" customFormat="1" x14ac:dyDescent="0.25"/>
    <row r="219873" s="12" customFormat="1" x14ac:dyDescent="0.25"/>
    <row r="219874" s="12" customFormat="1" x14ac:dyDescent="0.25"/>
    <row r="219875" s="12" customFormat="1" x14ac:dyDescent="0.25"/>
    <row r="219876" s="12" customFormat="1" x14ac:dyDescent="0.25"/>
    <row r="219877" s="12" customFormat="1" x14ac:dyDescent="0.25"/>
    <row r="219878" s="12" customFormat="1" x14ac:dyDescent="0.25"/>
    <row r="219879" s="12" customFormat="1" x14ac:dyDescent="0.25"/>
    <row r="219880" s="12" customFormat="1" x14ac:dyDescent="0.25"/>
    <row r="219881" s="12" customFormat="1" x14ac:dyDescent="0.25"/>
    <row r="219882" s="12" customFormat="1" x14ac:dyDescent="0.25"/>
    <row r="219883" s="12" customFormat="1" x14ac:dyDescent="0.25"/>
    <row r="219884" s="12" customFormat="1" x14ac:dyDescent="0.25"/>
    <row r="219885" s="12" customFormat="1" x14ac:dyDescent="0.25"/>
    <row r="219886" s="12" customFormat="1" x14ac:dyDescent="0.25"/>
    <row r="219887" s="12" customFormat="1" x14ac:dyDescent="0.25"/>
    <row r="219888" s="12" customFormat="1" x14ac:dyDescent="0.25"/>
    <row r="219889" s="12" customFormat="1" x14ac:dyDescent="0.25"/>
    <row r="219890" s="12" customFormat="1" x14ac:dyDescent="0.25"/>
    <row r="219891" s="12" customFormat="1" x14ac:dyDescent="0.25"/>
    <row r="219892" s="12" customFormat="1" x14ac:dyDescent="0.25"/>
    <row r="219893" s="12" customFormat="1" x14ac:dyDescent="0.25"/>
    <row r="219894" s="12" customFormat="1" x14ac:dyDescent="0.25"/>
    <row r="219895" s="12" customFormat="1" x14ac:dyDescent="0.25"/>
    <row r="219896" s="12" customFormat="1" x14ac:dyDescent="0.25"/>
    <row r="219897" s="12" customFormat="1" x14ac:dyDescent="0.25"/>
    <row r="219898" s="12" customFormat="1" x14ac:dyDescent="0.25"/>
    <row r="219899" s="12" customFormat="1" x14ac:dyDescent="0.25"/>
    <row r="219900" s="12" customFormat="1" x14ac:dyDescent="0.25"/>
    <row r="219901" s="12" customFormat="1" x14ac:dyDescent="0.25"/>
    <row r="219902" s="12" customFormat="1" x14ac:dyDescent="0.25"/>
    <row r="219903" s="12" customFormat="1" x14ac:dyDescent="0.25"/>
    <row r="219904" s="12" customFormat="1" x14ac:dyDescent="0.25"/>
    <row r="219905" s="12" customFormat="1" x14ac:dyDescent="0.25"/>
    <row r="219906" s="12" customFormat="1" x14ac:dyDescent="0.25"/>
    <row r="219907" s="12" customFormat="1" x14ac:dyDescent="0.25"/>
    <row r="219908" s="12" customFormat="1" x14ac:dyDescent="0.25"/>
    <row r="219909" s="12" customFormat="1" x14ac:dyDescent="0.25"/>
    <row r="219910" s="12" customFormat="1" x14ac:dyDescent="0.25"/>
    <row r="219911" s="12" customFormat="1" x14ac:dyDescent="0.25"/>
    <row r="219912" s="12" customFormat="1" x14ac:dyDescent="0.25"/>
    <row r="219913" s="12" customFormat="1" x14ac:dyDescent="0.25"/>
    <row r="219914" s="12" customFormat="1" x14ac:dyDescent="0.25"/>
    <row r="219915" s="12" customFormat="1" x14ac:dyDescent="0.25"/>
    <row r="219916" s="12" customFormat="1" x14ac:dyDescent="0.25"/>
    <row r="219917" s="12" customFormat="1" x14ac:dyDescent="0.25"/>
    <row r="219918" s="12" customFormat="1" x14ac:dyDescent="0.25"/>
    <row r="219919" s="12" customFormat="1" x14ac:dyDescent="0.25"/>
    <row r="219920" s="12" customFormat="1" x14ac:dyDescent="0.25"/>
    <row r="219921" s="12" customFormat="1" x14ac:dyDescent="0.25"/>
    <row r="219922" s="12" customFormat="1" x14ac:dyDescent="0.25"/>
    <row r="219923" s="12" customFormat="1" x14ac:dyDescent="0.25"/>
    <row r="219924" s="12" customFormat="1" x14ac:dyDescent="0.25"/>
    <row r="219925" s="12" customFormat="1" x14ac:dyDescent="0.25"/>
    <row r="219926" s="12" customFormat="1" x14ac:dyDescent="0.25"/>
    <row r="219927" s="12" customFormat="1" x14ac:dyDescent="0.25"/>
    <row r="219928" s="12" customFormat="1" x14ac:dyDescent="0.25"/>
    <row r="219929" s="12" customFormat="1" x14ac:dyDescent="0.25"/>
    <row r="219930" s="12" customFormat="1" x14ac:dyDescent="0.25"/>
    <row r="219931" s="12" customFormat="1" x14ac:dyDescent="0.25"/>
    <row r="219932" s="12" customFormat="1" x14ac:dyDescent="0.25"/>
    <row r="219933" s="12" customFormat="1" x14ac:dyDescent="0.25"/>
    <row r="219934" s="12" customFormat="1" x14ac:dyDescent="0.25"/>
    <row r="219935" s="12" customFormat="1" x14ac:dyDescent="0.25"/>
    <row r="219936" s="12" customFormat="1" x14ac:dyDescent="0.25"/>
    <row r="219937" s="12" customFormat="1" x14ac:dyDescent="0.25"/>
    <row r="219938" s="12" customFormat="1" x14ac:dyDescent="0.25"/>
    <row r="219939" s="12" customFormat="1" x14ac:dyDescent="0.25"/>
    <row r="219940" s="12" customFormat="1" x14ac:dyDescent="0.25"/>
    <row r="219941" s="12" customFormat="1" x14ac:dyDescent="0.25"/>
    <row r="219942" s="12" customFormat="1" x14ac:dyDescent="0.25"/>
    <row r="219943" s="12" customFormat="1" x14ac:dyDescent="0.25"/>
    <row r="219944" s="12" customFormat="1" x14ac:dyDescent="0.25"/>
    <row r="219945" s="12" customFormat="1" x14ac:dyDescent="0.25"/>
    <row r="219946" s="12" customFormat="1" x14ac:dyDescent="0.25"/>
    <row r="219947" s="12" customFormat="1" x14ac:dyDescent="0.25"/>
    <row r="219948" s="12" customFormat="1" x14ac:dyDescent="0.25"/>
    <row r="219949" s="12" customFormat="1" x14ac:dyDescent="0.25"/>
    <row r="219950" s="12" customFormat="1" x14ac:dyDescent="0.25"/>
    <row r="219951" s="12" customFormat="1" x14ac:dyDescent="0.25"/>
    <row r="219952" s="12" customFormat="1" x14ac:dyDescent="0.25"/>
    <row r="219953" s="12" customFormat="1" x14ac:dyDescent="0.25"/>
    <row r="219954" s="12" customFormat="1" x14ac:dyDescent="0.25"/>
    <row r="219955" s="12" customFormat="1" x14ac:dyDescent="0.25"/>
    <row r="219956" s="12" customFormat="1" x14ac:dyDescent="0.25"/>
    <row r="219957" s="12" customFormat="1" x14ac:dyDescent="0.25"/>
    <row r="219958" s="12" customFormat="1" x14ac:dyDescent="0.25"/>
    <row r="219959" s="12" customFormat="1" x14ac:dyDescent="0.25"/>
    <row r="219960" s="12" customFormat="1" x14ac:dyDescent="0.25"/>
    <row r="219961" s="12" customFormat="1" x14ac:dyDescent="0.25"/>
    <row r="219962" s="12" customFormat="1" x14ac:dyDescent="0.25"/>
    <row r="219963" s="12" customFormat="1" x14ac:dyDescent="0.25"/>
    <row r="219964" s="12" customFormat="1" x14ac:dyDescent="0.25"/>
    <row r="219965" s="12" customFormat="1" x14ac:dyDescent="0.25"/>
    <row r="219966" s="12" customFormat="1" x14ac:dyDescent="0.25"/>
    <row r="219967" s="12" customFormat="1" x14ac:dyDescent="0.25"/>
    <row r="219968" s="12" customFormat="1" x14ac:dyDescent="0.25"/>
    <row r="219969" s="12" customFormat="1" x14ac:dyDescent="0.25"/>
    <row r="219970" s="12" customFormat="1" x14ac:dyDescent="0.25"/>
    <row r="219971" s="12" customFormat="1" x14ac:dyDescent="0.25"/>
    <row r="219972" s="12" customFormat="1" x14ac:dyDescent="0.25"/>
    <row r="219973" s="12" customFormat="1" x14ac:dyDescent="0.25"/>
    <row r="219974" s="12" customFormat="1" x14ac:dyDescent="0.25"/>
    <row r="219975" s="12" customFormat="1" x14ac:dyDescent="0.25"/>
    <row r="219976" s="12" customFormat="1" x14ac:dyDescent="0.25"/>
    <row r="219977" s="12" customFormat="1" x14ac:dyDescent="0.25"/>
    <row r="219978" s="12" customFormat="1" x14ac:dyDescent="0.25"/>
    <row r="219979" s="12" customFormat="1" x14ac:dyDescent="0.25"/>
    <row r="219980" s="12" customFormat="1" x14ac:dyDescent="0.25"/>
    <row r="219981" s="12" customFormat="1" x14ac:dyDescent="0.25"/>
    <row r="219982" s="12" customFormat="1" x14ac:dyDescent="0.25"/>
    <row r="219983" s="12" customFormat="1" x14ac:dyDescent="0.25"/>
    <row r="219984" s="12" customFormat="1" x14ac:dyDescent="0.25"/>
    <row r="219985" s="12" customFormat="1" x14ac:dyDescent="0.25"/>
    <row r="219986" s="12" customFormat="1" x14ac:dyDescent="0.25"/>
    <row r="219987" s="12" customFormat="1" x14ac:dyDescent="0.25"/>
    <row r="219988" s="12" customFormat="1" x14ac:dyDescent="0.25"/>
    <row r="219989" s="12" customFormat="1" x14ac:dyDescent="0.25"/>
    <row r="219990" s="12" customFormat="1" x14ac:dyDescent="0.25"/>
    <row r="219991" s="12" customFormat="1" x14ac:dyDescent="0.25"/>
    <row r="219992" s="12" customFormat="1" x14ac:dyDescent="0.25"/>
    <row r="219993" s="12" customFormat="1" x14ac:dyDescent="0.25"/>
    <row r="219994" s="12" customFormat="1" x14ac:dyDescent="0.25"/>
    <row r="219995" s="12" customFormat="1" x14ac:dyDescent="0.25"/>
    <row r="219996" s="12" customFormat="1" x14ac:dyDescent="0.25"/>
    <row r="219997" s="12" customFormat="1" x14ac:dyDescent="0.25"/>
    <row r="219998" s="12" customFormat="1" x14ac:dyDescent="0.25"/>
    <row r="219999" s="12" customFormat="1" x14ac:dyDescent="0.25"/>
    <row r="220000" s="12" customFormat="1" x14ac:dyDescent="0.25"/>
    <row r="220001" s="12" customFormat="1" x14ac:dyDescent="0.25"/>
    <row r="220002" s="12" customFormat="1" x14ac:dyDescent="0.25"/>
    <row r="220003" s="12" customFormat="1" x14ac:dyDescent="0.25"/>
    <row r="220004" s="12" customFormat="1" x14ac:dyDescent="0.25"/>
    <row r="220005" s="12" customFormat="1" x14ac:dyDescent="0.25"/>
    <row r="220006" s="12" customFormat="1" x14ac:dyDescent="0.25"/>
    <row r="220007" s="12" customFormat="1" x14ac:dyDescent="0.25"/>
    <row r="220008" s="12" customFormat="1" x14ac:dyDescent="0.25"/>
    <row r="220009" s="12" customFormat="1" x14ac:dyDescent="0.25"/>
    <row r="220010" s="12" customFormat="1" x14ac:dyDescent="0.25"/>
    <row r="220011" s="12" customFormat="1" x14ac:dyDescent="0.25"/>
    <row r="220012" s="12" customFormat="1" x14ac:dyDescent="0.25"/>
    <row r="220013" s="12" customFormat="1" x14ac:dyDescent="0.25"/>
    <row r="220014" s="12" customFormat="1" x14ac:dyDescent="0.25"/>
    <row r="220015" s="12" customFormat="1" x14ac:dyDescent="0.25"/>
    <row r="220016" s="12" customFormat="1" x14ac:dyDescent="0.25"/>
    <row r="220017" s="12" customFormat="1" x14ac:dyDescent="0.25"/>
    <row r="220018" s="12" customFormat="1" x14ac:dyDescent="0.25"/>
    <row r="220019" s="12" customFormat="1" x14ac:dyDescent="0.25"/>
    <row r="220020" s="12" customFormat="1" x14ac:dyDescent="0.25"/>
    <row r="220021" s="12" customFormat="1" x14ac:dyDescent="0.25"/>
    <row r="220022" s="12" customFormat="1" x14ac:dyDescent="0.25"/>
    <row r="220023" s="12" customFormat="1" x14ac:dyDescent="0.25"/>
    <row r="220024" s="12" customFormat="1" x14ac:dyDescent="0.25"/>
    <row r="220025" s="12" customFormat="1" x14ac:dyDescent="0.25"/>
    <row r="220026" s="12" customFormat="1" x14ac:dyDescent="0.25"/>
    <row r="220027" s="12" customFormat="1" x14ac:dyDescent="0.25"/>
    <row r="220028" s="12" customFormat="1" x14ac:dyDescent="0.25"/>
    <row r="220029" s="12" customFormat="1" x14ac:dyDescent="0.25"/>
    <row r="220030" s="12" customFormat="1" x14ac:dyDescent="0.25"/>
    <row r="220031" s="12" customFormat="1" x14ac:dyDescent="0.25"/>
    <row r="220032" s="12" customFormat="1" x14ac:dyDescent="0.25"/>
    <row r="220033" s="12" customFormat="1" x14ac:dyDescent="0.25"/>
    <row r="220034" s="12" customFormat="1" x14ac:dyDescent="0.25"/>
    <row r="220035" s="12" customFormat="1" x14ac:dyDescent="0.25"/>
    <row r="220036" s="12" customFormat="1" x14ac:dyDescent="0.25"/>
    <row r="220037" s="12" customFormat="1" x14ac:dyDescent="0.25"/>
    <row r="220038" s="12" customFormat="1" x14ac:dyDescent="0.25"/>
    <row r="220039" s="12" customFormat="1" x14ac:dyDescent="0.25"/>
    <row r="220040" s="12" customFormat="1" x14ac:dyDescent="0.25"/>
    <row r="220041" s="12" customFormat="1" x14ac:dyDescent="0.25"/>
    <row r="220042" s="12" customFormat="1" x14ac:dyDescent="0.25"/>
    <row r="220043" s="12" customFormat="1" x14ac:dyDescent="0.25"/>
    <row r="220044" s="12" customFormat="1" x14ac:dyDescent="0.25"/>
    <row r="220045" s="12" customFormat="1" x14ac:dyDescent="0.25"/>
    <row r="220046" s="12" customFormat="1" x14ac:dyDescent="0.25"/>
    <row r="220047" s="12" customFormat="1" x14ac:dyDescent="0.25"/>
    <row r="220048" s="12" customFormat="1" x14ac:dyDescent="0.25"/>
    <row r="220049" s="12" customFormat="1" x14ac:dyDescent="0.25"/>
    <row r="220050" s="12" customFormat="1" x14ac:dyDescent="0.25"/>
    <row r="220051" s="12" customFormat="1" x14ac:dyDescent="0.25"/>
    <row r="220052" s="12" customFormat="1" x14ac:dyDescent="0.25"/>
    <row r="220053" s="12" customFormat="1" x14ac:dyDescent="0.25"/>
    <row r="220054" s="12" customFormat="1" x14ac:dyDescent="0.25"/>
    <row r="220055" s="12" customFormat="1" x14ac:dyDescent="0.25"/>
    <row r="220056" s="12" customFormat="1" x14ac:dyDescent="0.25"/>
    <row r="220057" s="12" customFormat="1" x14ac:dyDescent="0.25"/>
    <row r="220058" s="12" customFormat="1" x14ac:dyDescent="0.25"/>
    <row r="220059" s="12" customFormat="1" x14ac:dyDescent="0.25"/>
    <row r="220060" s="12" customFormat="1" x14ac:dyDescent="0.25"/>
    <row r="220061" s="12" customFormat="1" x14ac:dyDescent="0.25"/>
    <row r="220062" s="12" customFormat="1" x14ac:dyDescent="0.25"/>
    <row r="220063" s="12" customFormat="1" x14ac:dyDescent="0.25"/>
    <row r="220064" s="12" customFormat="1" x14ac:dyDescent="0.25"/>
    <row r="220065" s="12" customFormat="1" x14ac:dyDescent="0.25"/>
    <row r="220066" s="12" customFormat="1" x14ac:dyDescent="0.25"/>
    <row r="220067" s="12" customFormat="1" x14ac:dyDescent="0.25"/>
    <row r="220068" s="12" customFormat="1" x14ac:dyDescent="0.25"/>
    <row r="220069" s="12" customFormat="1" x14ac:dyDescent="0.25"/>
    <row r="220070" s="12" customFormat="1" x14ac:dyDescent="0.25"/>
    <row r="220071" s="12" customFormat="1" x14ac:dyDescent="0.25"/>
    <row r="220072" s="12" customFormat="1" x14ac:dyDescent="0.25"/>
    <row r="220073" s="12" customFormat="1" x14ac:dyDescent="0.25"/>
    <row r="220074" s="12" customFormat="1" x14ac:dyDescent="0.25"/>
    <row r="220075" s="12" customFormat="1" x14ac:dyDescent="0.25"/>
    <row r="220076" s="12" customFormat="1" x14ac:dyDescent="0.25"/>
    <row r="220077" s="12" customFormat="1" x14ac:dyDescent="0.25"/>
    <row r="220078" s="12" customFormat="1" x14ac:dyDescent="0.25"/>
    <row r="220079" s="12" customFormat="1" x14ac:dyDescent="0.25"/>
    <row r="220080" s="12" customFormat="1" x14ac:dyDescent="0.25"/>
    <row r="220081" s="12" customFormat="1" x14ac:dyDescent="0.25"/>
    <row r="220082" s="12" customFormat="1" x14ac:dyDescent="0.25"/>
    <row r="220083" s="12" customFormat="1" x14ac:dyDescent="0.25"/>
    <row r="220084" s="12" customFormat="1" x14ac:dyDescent="0.25"/>
    <row r="220085" s="12" customFormat="1" x14ac:dyDescent="0.25"/>
    <row r="220086" s="12" customFormat="1" x14ac:dyDescent="0.25"/>
    <row r="220087" s="12" customFormat="1" x14ac:dyDescent="0.25"/>
    <row r="220088" s="12" customFormat="1" x14ac:dyDescent="0.25"/>
    <row r="220089" s="12" customFormat="1" x14ac:dyDescent="0.25"/>
    <row r="220090" s="12" customFormat="1" x14ac:dyDescent="0.25"/>
    <row r="220091" s="12" customFormat="1" x14ac:dyDescent="0.25"/>
    <row r="220092" s="12" customFormat="1" x14ac:dyDescent="0.25"/>
    <row r="220093" s="12" customFormat="1" x14ac:dyDescent="0.25"/>
    <row r="220094" s="12" customFormat="1" x14ac:dyDescent="0.25"/>
    <row r="220095" s="12" customFormat="1" x14ac:dyDescent="0.25"/>
    <row r="220096" s="12" customFormat="1" x14ac:dyDescent="0.25"/>
    <row r="220097" s="12" customFormat="1" x14ac:dyDescent="0.25"/>
    <row r="220098" s="12" customFormat="1" x14ac:dyDescent="0.25"/>
    <row r="220099" s="12" customFormat="1" x14ac:dyDescent="0.25"/>
    <row r="220100" s="12" customFormat="1" x14ac:dyDescent="0.25"/>
    <row r="220101" s="12" customFormat="1" x14ac:dyDescent="0.25"/>
    <row r="220102" s="12" customFormat="1" x14ac:dyDescent="0.25"/>
    <row r="220103" s="12" customFormat="1" x14ac:dyDescent="0.25"/>
    <row r="220104" s="12" customFormat="1" x14ac:dyDescent="0.25"/>
    <row r="220105" s="12" customFormat="1" x14ac:dyDescent="0.25"/>
    <row r="220106" s="12" customFormat="1" x14ac:dyDescent="0.25"/>
    <row r="220107" s="12" customFormat="1" x14ac:dyDescent="0.25"/>
    <row r="220108" s="12" customFormat="1" x14ac:dyDescent="0.25"/>
    <row r="220109" s="12" customFormat="1" x14ac:dyDescent="0.25"/>
    <row r="220110" s="12" customFormat="1" x14ac:dyDescent="0.25"/>
    <row r="220111" s="12" customFormat="1" x14ac:dyDescent="0.25"/>
    <row r="220112" s="12" customFormat="1" x14ac:dyDescent="0.25"/>
    <row r="220113" s="12" customFormat="1" x14ac:dyDescent="0.25"/>
    <row r="220114" s="12" customFormat="1" x14ac:dyDescent="0.25"/>
    <row r="220115" s="12" customFormat="1" x14ac:dyDescent="0.25"/>
    <row r="220116" s="12" customFormat="1" x14ac:dyDescent="0.25"/>
    <row r="220117" s="12" customFormat="1" x14ac:dyDescent="0.25"/>
    <row r="220118" s="12" customFormat="1" x14ac:dyDescent="0.25"/>
    <row r="220119" s="12" customFormat="1" x14ac:dyDescent="0.25"/>
    <row r="220120" s="12" customFormat="1" x14ac:dyDescent="0.25"/>
    <row r="220121" s="12" customFormat="1" x14ac:dyDescent="0.25"/>
    <row r="220122" s="12" customFormat="1" x14ac:dyDescent="0.25"/>
    <row r="220123" s="12" customFormat="1" x14ac:dyDescent="0.25"/>
    <row r="220124" s="12" customFormat="1" x14ac:dyDescent="0.25"/>
    <row r="220125" s="12" customFormat="1" x14ac:dyDescent="0.25"/>
    <row r="220126" s="12" customFormat="1" x14ac:dyDescent="0.25"/>
    <row r="220127" s="12" customFormat="1" x14ac:dyDescent="0.25"/>
    <row r="220128" s="12" customFormat="1" x14ac:dyDescent="0.25"/>
    <row r="220129" s="12" customFormat="1" x14ac:dyDescent="0.25"/>
    <row r="220130" s="12" customFormat="1" x14ac:dyDescent="0.25"/>
    <row r="220131" s="12" customFormat="1" x14ac:dyDescent="0.25"/>
    <row r="220132" s="12" customFormat="1" x14ac:dyDescent="0.25"/>
    <row r="220133" s="12" customFormat="1" x14ac:dyDescent="0.25"/>
    <row r="220134" s="12" customFormat="1" x14ac:dyDescent="0.25"/>
    <row r="220135" s="12" customFormat="1" x14ac:dyDescent="0.25"/>
    <row r="220136" s="12" customFormat="1" x14ac:dyDescent="0.25"/>
    <row r="220137" s="12" customFormat="1" x14ac:dyDescent="0.25"/>
    <row r="220138" s="12" customFormat="1" x14ac:dyDescent="0.25"/>
    <row r="220139" s="12" customFormat="1" x14ac:dyDescent="0.25"/>
    <row r="220140" s="12" customFormat="1" x14ac:dyDescent="0.25"/>
    <row r="220141" s="12" customFormat="1" x14ac:dyDescent="0.25"/>
    <row r="220142" s="12" customFormat="1" x14ac:dyDescent="0.25"/>
    <row r="220143" s="12" customFormat="1" x14ac:dyDescent="0.25"/>
    <row r="220144" s="12" customFormat="1" x14ac:dyDescent="0.25"/>
    <row r="220145" s="12" customFormat="1" x14ac:dyDescent="0.25"/>
    <row r="220146" s="12" customFormat="1" x14ac:dyDescent="0.25"/>
    <row r="220147" s="12" customFormat="1" x14ac:dyDescent="0.25"/>
    <row r="220148" s="12" customFormat="1" x14ac:dyDescent="0.25"/>
    <row r="220149" s="12" customFormat="1" x14ac:dyDescent="0.25"/>
    <row r="220150" s="12" customFormat="1" x14ac:dyDescent="0.25"/>
    <row r="220151" s="12" customFormat="1" x14ac:dyDescent="0.25"/>
    <row r="220152" s="12" customFormat="1" x14ac:dyDescent="0.25"/>
    <row r="220153" s="12" customFormat="1" x14ac:dyDescent="0.25"/>
    <row r="220154" s="12" customFormat="1" x14ac:dyDescent="0.25"/>
    <row r="220155" s="12" customFormat="1" x14ac:dyDescent="0.25"/>
    <row r="220156" s="12" customFormat="1" x14ac:dyDescent="0.25"/>
    <row r="220157" s="12" customFormat="1" x14ac:dyDescent="0.25"/>
    <row r="220158" s="12" customFormat="1" x14ac:dyDescent="0.25"/>
    <row r="220159" s="12" customFormat="1" x14ac:dyDescent="0.25"/>
    <row r="220160" s="12" customFormat="1" x14ac:dyDescent="0.25"/>
    <row r="220161" s="12" customFormat="1" x14ac:dyDescent="0.25"/>
    <row r="220162" s="12" customFormat="1" x14ac:dyDescent="0.25"/>
    <row r="220163" s="12" customFormat="1" x14ac:dyDescent="0.25"/>
    <row r="220164" s="12" customFormat="1" x14ac:dyDescent="0.25"/>
    <row r="220165" s="12" customFormat="1" x14ac:dyDescent="0.25"/>
    <row r="220166" s="12" customFormat="1" x14ac:dyDescent="0.25"/>
    <row r="220167" s="12" customFormat="1" x14ac:dyDescent="0.25"/>
    <row r="220168" s="12" customFormat="1" x14ac:dyDescent="0.25"/>
    <row r="220169" s="12" customFormat="1" x14ac:dyDescent="0.25"/>
    <row r="220170" s="12" customFormat="1" x14ac:dyDescent="0.25"/>
    <row r="220171" s="12" customFormat="1" x14ac:dyDescent="0.25"/>
    <row r="220172" s="12" customFormat="1" x14ac:dyDescent="0.25"/>
    <row r="220173" s="12" customFormat="1" x14ac:dyDescent="0.25"/>
    <row r="220174" s="12" customFormat="1" x14ac:dyDescent="0.25"/>
    <row r="220175" s="12" customFormat="1" x14ac:dyDescent="0.25"/>
    <row r="220176" s="12" customFormat="1" x14ac:dyDescent="0.25"/>
    <row r="220177" s="12" customFormat="1" x14ac:dyDescent="0.25"/>
    <row r="220178" s="12" customFormat="1" x14ac:dyDescent="0.25"/>
    <row r="220179" s="12" customFormat="1" x14ac:dyDescent="0.25"/>
    <row r="220180" s="12" customFormat="1" x14ac:dyDescent="0.25"/>
    <row r="220181" s="12" customFormat="1" x14ac:dyDescent="0.25"/>
    <row r="220182" s="12" customFormat="1" x14ac:dyDescent="0.25"/>
    <row r="220183" s="12" customFormat="1" x14ac:dyDescent="0.25"/>
    <row r="220184" s="12" customFormat="1" x14ac:dyDescent="0.25"/>
    <row r="220185" s="12" customFormat="1" x14ac:dyDescent="0.25"/>
    <row r="220186" s="12" customFormat="1" x14ac:dyDescent="0.25"/>
    <row r="220187" s="12" customFormat="1" x14ac:dyDescent="0.25"/>
    <row r="220188" s="12" customFormat="1" x14ac:dyDescent="0.25"/>
    <row r="220189" s="12" customFormat="1" x14ac:dyDescent="0.25"/>
    <row r="220190" s="12" customFormat="1" x14ac:dyDescent="0.25"/>
    <row r="220191" s="12" customFormat="1" x14ac:dyDescent="0.25"/>
    <row r="220192" s="12" customFormat="1" x14ac:dyDescent="0.25"/>
    <row r="220193" s="12" customFormat="1" x14ac:dyDescent="0.25"/>
    <row r="220194" s="12" customFormat="1" x14ac:dyDescent="0.25"/>
    <row r="220195" s="12" customFormat="1" x14ac:dyDescent="0.25"/>
    <row r="220196" s="12" customFormat="1" x14ac:dyDescent="0.25"/>
    <row r="220197" s="12" customFormat="1" x14ac:dyDescent="0.25"/>
    <row r="220198" s="12" customFormat="1" x14ac:dyDescent="0.25"/>
    <row r="220199" s="12" customFormat="1" x14ac:dyDescent="0.25"/>
    <row r="220200" s="12" customFormat="1" x14ac:dyDescent="0.25"/>
    <row r="220201" s="12" customFormat="1" x14ac:dyDescent="0.25"/>
    <row r="220202" s="12" customFormat="1" x14ac:dyDescent="0.25"/>
    <row r="220203" s="12" customFormat="1" x14ac:dyDescent="0.25"/>
    <row r="220204" s="12" customFormat="1" x14ac:dyDescent="0.25"/>
    <row r="220205" s="12" customFormat="1" x14ac:dyDescent="0.25"/>
    <row r="220206" s="12" customFormat="1" x14ac:dyDescent="0.25"/>
    <row r="220207" s="12" customFormat="1" x14ac:dyDescent="0.25"/>
    <row r="220208" s="12" customFormat="1" x14ac:dyDescent="0.25"/>
    <row r="220209" s="12" customFormat="1" x14ac:dyDescent="0.25"/>
    <row r="220210" s="12" customFormat="1" x14ac:dyDescent="0.25"/>
    <row r="220211" s="12" customFormat="1" x14ac:dyDescent="0.25"/>
    <row r="220212" s="12" customFormat="1" x14ac:dyDescent="0.25"/>
    <row r="220213" s="12" customFormat="1" x14ac:dyDescent="0.25"/>
    <row r="220214" s="12" customFormat="1" x14ac:dyDescent="0.25"/>
    <row r="220215" s="12" customFormat="1" x14ac:dyDescent="0.25"/>
    <row r="220216" s="12" customFormat="1" x14ac:dyDescent="0.25"/>
    <row r="220217" s="12" customFormat="1" x14ac:dyDescent="0.25"/>
    <row r="220218" s="12" customFormat="1" x14ac:dyDescent="0.25"/>
    <row r="220219" s="12" customFormat="1" x14ac:dyDescent="0.25"/>
    <row r="220220" s="12" customFormat="1" x14ac:dyDescent="0.25"/>
    <row r="220221" s="12" customFormat="1" x14ac:dyDescent="0.25"/>
    <row r="220222" s="12" customFormat="1" x14ac:dyDescent="0.25"/>
    <row r="220223" s="12" customFormat="1" x14ac:dyDescent="0.25"/>
    <row r="220224" s="12" customFormat="1" x14ac:dyDescent="0.25"/>
    <row r="220225" s="12" customFormat="1" x14ac:dyDescent="0.25"/>
    <row r="220226" s="12" customFormat="1" x14ac:dyDescent="0.25"/>
    <row r="220227" s="12" customFormat="1" x14ac:dyDescent="0.25"/>
    <row r="220228" s="12" customFormat="1" x14ac:dyDescent="0.25"/>
    <row r="220229" s="12" customFormat="1" x14ac:dyDescent="0.25"/>
    <row r="220230" s="12" customFormat="1" x14ac:dyDescent="0.25"/>
    <row r="220231" s="12" customFormat="1" x14ac:dyDescent="0.25"/>
    <row r="220232" s="12" customFormat="1" x14ac:dyDescent="0.25"/>
    <row r="220233" s="12" customFormat="1" x14ac:dyDescent="0.25"/>
    <row r="220234" s="12" customFormat="1" x14ac:dyDescent="0.25"/>
    <row r="220235" s="12" customFormat="1" x14ac:dyDescent="0.25"/>
    <row r="220236" s="12" customFormat="1" x14ac:dyDescent="0.25"/>
    <row r="220237" s="12" customFormat="1" x14ac:dyDescent="0.25"/>
    <row r="220238" s="12" customFormat="1" x14ac:dyDescent="0.25"/>
    <row r="220239" s="12" customFormat="1" x14ac:dyDescent="0.25"/>
    <row r="220240" s="12" customFormat="1" x14ac:dyDescent="0.25"/>
    <row r="220241" s="12" customFormat="1" x14ac:dyDescent="0.25"/>
    <row r="220242" s="12" customFormat="1" x14ac:dyDescent="0.25"/>
    <row r="220243" s="12" customFormat="1" x14ac:dyDescent="0.25"/>
    <row r="220244" s="12" customFormat="1" x14ac:dyDescent="0.25"/>
    <row r="220245" s="12" customFormat="1" x14ac:dyDescent="0.25"/>
    <row r="220246" s="12" customFormat="1" x14ac:dyDescent="0.25"/>
    <row r="220247" s="12" customFormat="1" x14ac:dyDescent="0.25"/>
    <row r="220248" s="12" customFormat="1" x14ac:dyDescent="0.25"/>
    <row r="220249" s="12" customFormat="1" x14ac:dyDescent="0.25"/>
    <row r="220250" s="12" customFormat="1" x14ac:dyDescent="0.25"/>
    <row r="220251" s="12" customFormat="1" x14ac:dyDescent="0.25"/>
    <row r="220252" s="12" customFormat="1" x14ac:dyDescent="0.25"/>
    <row r="220253" s="12" customFormat="1" x14ac:dyDescent="0.25"/>
    <row r="220254" s="12" customFormat="1" x14ac:dyDescent="0.25"/>
    <row r="220255" s="12" customFormat="1" x14ac:dyDescent="0.25"/>
    <row r="220256" s="12" customFormat="1" x14ac:dyDescent="0.25"/>
    <row r="220257" s="12" customFormat="1" x14ac:dyDescent="0.25"/>
    <row r="220258" s="12" customFormat="1" x14ac:dyDescent="0.25"/>
    <row r="220259" s="12" customFormat="1" x14ac:dyDescent="0.25"/>
    <row r="220260" s="12" customFormat="1" x14ac:dyDescent="0.25"/>
    <row r="220261" s="12" customFormat="1" x14ac:dyDescent="0.25"/>
    <row r="220262" s="12" customFormat="1" x14ac:dyDescent="0.25"/>
    <row r="220263" s="12" customFormat="1" x14ac:dyDescent="0.25"/>
    <row r="220264" s="12" customFormat="1" x14ac:dyDescent="0.25"/>
    <row r="220265" s="12" customFormat="1" x14ac:dyDescent="0.25"/>
    <row r="220266" s="12" customFormat="1" x14ac:dyDescent="0.25"/>
    <row r="220267" s="12" customFormat="1" x14ac:dyDescent="0.25"/>
    <row r="220268" s="12" customFormat="1" x14ac:dyDescent="0.25"/>
    <row r="220269" s="12" customFormat="1" x14ac:dyDescent="0.25"/>
    <row r="220270" s="12" customFormat="1" x14ac:dyDescent="0.25"/>
    <row r="220271" s="12" customFormat="1" x14ac:dyDescent="0.25"/>
    <row r="220272" s="12" customFormat="1" x14ac:dyDescent="0.25"/>
    <row r="220273" s="12" customFormat="1" x14ac:dyDescent="0.25"/>
    <row r="220274" s="12" customFormat="1" x14ac:dyDescent="0.25"/>
    <row r="220275" s="12" customFormat="1" x14ac:dyDescent="0.25"/>
    <row r="220276" s="12" customFormat="1" x14ac:dyDescent="0.25"/>
    <row r="220277" s="12" customFormat="1" x14ac:dyDescent="0.25"/>
    <row r="220278" s="12" customFormat="1" x14ac:dyDescent="0.25"/>
    <row r="220279" s="12" customFormat="1" x14ac:dyDescent="0.25"/>
    <row r="220280" s="12" customFormat="1" x14ac:dyDescent="0.25"/>
    <row r="220281" s="12" customFormat="1" x14ac:dyDescent="0.25"/>
    <row r="220282" s="12" customFormat="1" x14ac:dyDescent="0.25"/>
    <row r="220283" s="12" customFormat="1" x14ac:dyDescent="0.25"/>
    <row r="220284" s="12" customFormat="1" x14ac:dyDescent="0.25"/>
    <row r="220285" s="12" customFormat="1" x14ac:dyDescent="0.25"/>
    <row r="220286" s="12" customFormat="1" x14ac:dyDescent="0.25"/>
    <row r="220287" s="12" customFormat="1" x14ac:dyDescent="0.25"/>
    <row r="220288" s="12" customFormat="1" x14ac:dyDescent="0.25"/>
    <row r="220289" s="12" customFormat="1" x14ac:dyDescent="0.25"/>
    <row r="220290" s="12" customFormat="1" x14ac:dyDescent="0.25"/>
    <row r="220291" s="12" customFormat="1" x14ac:dyDescent="0.25"/>
    <row r="220292" s="12" customFormat="1" x14ac:dyDescent="0.25"/>
    <row r="220293" s="12" customFormat="1" x14ac:dyDescent="0.25"/>
    <row r="220294" s="12" customFormat="1" x14ac:dyDescent="0.25"/>
    <row r="220295" s="12" customFormat="1" x14ac:dyDescent="0.25"/>
    <row r="220296" s="12" customFormat="1" x14ac:dyDescent="0.25"/>
    <row r="220297" s="12" customFormat="1" x14ac:dyDescent="0.25"/>
    <row r="220298" s="12" customFormat="1" x14ac:dyDescent="0.25"/>
    <row r="220299" s="12" customFormat="1" x14ac:dyDescent="0.25"/>
    <row r="220300" s="12" customFormat="1" x14ac:dyDescent="0.25"/>
    <row r="220301" s="12" customFormat="1" x14ac:dyDescent="0.25"/>
    <row r="220302" s="12" customFormat="1" x14ac:dyDescent="0.25"/>
    <row r="220303" s="12" customFormat="1" x14ac:dyDescent="0.25"/>
    <row r="220304" s="12" customFormat="1" x14ac:dyDescent="0.25"/>
    <row r="220305" s="12" customFormat="1" x14ac:dyDescent="0.25"/>
    <row r="220306" s="12" customFormat="1" x14ac:dyDescent="0.25"/>
    <row r="220307" s="12" customFormat="1" x14ac:dyDescent="0.25"/>
    <row r="220308" s="12" customFormat="1" x14ac:dyDescent="0.25"/>
    <row r="220309" s="12" customFormat="1" x14ac:dyDescent="0.25"/>
    <row r="220310" s="12" customFormat="1" x14ac:dyDescent="0.25"/>
    <row r="220311" s="12" customFormat="1" x14ac:dyDescent="0.25"/>
    <row r="220312" s="12" customFormat="1" x14ac:dyDescent="0.25"/>
    <row r="220313" s="12" customFormat="1" x14ac:dyDescent="0.25"/>
    <row r="220314" s="12" customFormat="1" x14ac:dyDescent="0.25"/>
    <row r="220315" s="12" customFormat="1" x14ac:dyDescent="0.25"/>
    <row r="220316" s="12" customFormat="1" x14ac:dyDescent="0.25"/>
    <row r="220317" s="12" customFormat="1" x14ac:dyDescent="0.25"/>
    <row r="220318" s="12" customFormat="1" x14ac:dyDescent="0.25"/>
    <row r="220319" s="12" customFormat="1" x14ac:dyDescent="0.25"/>
    <row r="220320" s="12" customFormat="1" x14ac:dyDescent="0.25"/>
    <row r="220321" s="12" customFormat="1" x14ac:dyDescent="0.25"/>
    <row r="220322" s="12" customFormat="1" x14ac:dyDescent="0.25"/>
    <row r="220323" s="12" customFormat="1" x14ac:dyDescent="0.25"/>
    <row r="220324" s="12" customFormat="1" x14ac:dyDescent="0.25"/>
    <row r="220325" s="12" customFormat="1" x14ac:dyDescent="0.25"/>
    <row r="220326" s="12" customFormat="1" x14ac:dyDescent="0.25"/>
    <row r="220327" s="12" customFormat="1" x14ac:dyDescent="0.25"/>
    <row r="220328" s="12" customFormat="1" x14ac:dyDescent="0.25"/>
    <row r="220329" s="12" customFormat="1" x14ac:dyDescent="0.25"/>
    <row r="220330" s="12" customFormat="1" x14ac:dyDescent="0.25"/>
    <row r="220331" s="12" customFormat="1" x14ac:dyDescent="0.25"/>
    <row r="220332" s="12" customFormat="1" x14ac:dyDescent="0.25"/>
    <row r="220333" s="12" customFormat="1" x14ac:dyDescent="0.25"/>
    <row r="220334" s="12" customFormat="1" x14ac:dyDescent="0.25"/>
    <row r="220335" s="12" customFormat="1" x14ac:dyDescent="0.25"/>
    <row r="220336" s="12" customFormat="1" x14ac:dyDescent="0.25"/>
    <row r="220337" s="12" customFormat="1" x14ac:dyDescent="0.25"/>
    <row r="220338" s="12" customFormat="1" x14ac:dyDescent="0.25"/>
    <row r="220339" s="12" customFormat="1" x14ac:dyDescent="0.25"/>
    <row r="220340" s="12" customFormat="1" x14ac:dyDescent="0.25"/>
    <row r="220341" s="12" customFormat="1" x14ac:dyDescent="0.25"/>
    <row r="220342" s="12" customFormat="1" x14ac:dyDescent="0.25"/>
    <row r="220343" s="12" customFormat="1" x14ac:dyDescent="0.25"/>
    <row r="220344" s="12" customFormat="1" x14ac:dyDescent="0.25"/>
    <row r="220345" s="12" customFormat="1" x14ac:dyDescent="0.25"/>
    <row r="220346" s="12" customFormat="1" x14ac:dyDescent="0.25"/>
    <row r="220347" s="12" customFormat="1" x14ac:dyDescent="0.25"/>
    <row r="220348" s="12" customFormat="1" x14ac:dyDescent="0.25"/>
    <row r="220349" s="12" customFormat="1" x14ac:dyDescent="0.25"/>
    <row r="220350" s="12" customFormat="1" x14ac:dyDescent="0.25"/>
    <row r="220351" s="12" customFormat="1" x14ac:dyDescent="0.25"/>
    <row r="220352" s="12" customFormat="1" x14ac:dyDescent="0.25"/>
    <row r="220353" s="12" customFormat="1" x14ac:dyDescent="0.25"/>
    <row r="220354" s="12" customFormat="1" x14ac:dyDescent="0.25"/>
    <row r="220355" s="12" customFormat="1" x14ac:dyDescent="0.25"/>
    <row r="220356" s="12" customFormat="1" x14ac:dyDescent="0.25"/>
    <row r="220357" s="12" customFormat="1" x14ac:dyDescent="0.25"/>
    <row r="220358" s="12" customFormat="1" x14ac:dyDescent="0.25"/>
    <row r="220359" s="12" customFormat="1" x14ac:dyDescent="0.25"/>
    <row r="220360" s="12" customFormat="1" x14ac:dyDescent="0.25"/>
    <row r="220361" s="12" customFormat="1" x14ac:dyDescent="0.25"/>
    <row r="220362" s="12" customFormat="1" x14ac:dyDescent="0.25"/>
    <row r="220363" s="12" customFormat="1" x14ac:dyDescent="0.25"/>
    <row r="220364" s="12" customFormat="1" x14ac:dyDescent="0.25"/>
    <row r="220365" s="12" customFormat="1" x14ac:dyDescent="0.25"/>
    <row r="220366" s="12" customFormat="1" x14ac:dyDescent="0.25"/>
    <row r="220367" s="12" customFormat="1" x14ac:dyDescent="0.25"/>
    <row r="220368" s="12" customFormat="1" x14ac:dyDescent="0.25"/>
    <row r="220369" s="12" customFormat="1" x14ac:dyDescent="0.25"/>
    <row r="220370" s="12" customFormat="1" x14ac:dyDescent="0.25"/>
    <row r="220371" s="12" customFormat="1" x14ac:dyDescent="0.25"/>
    <row r="220372" s="12" customFormat="1" x14ac:dyDescent="0.25"/>
    <row r="220373" s="12" customFormat="1" x14ac:dyDescent="0.25"/>
    <row r="220374" s="12" customFormat="1" x14ac:dyDescent="0.25"/>
    <row r="220375" s="12" customFormat="1" x14ac:dyDescent="0.25"/>
    <row r="220376" s="12" customFormat="1" x14ac:dyDescent="0.25"/>
    <row r="220377" s="12" customFormat="1" x14ac:dyDescent="0.25"/>
    <row r="220378" s="12" customFormat="1" x14ac:dyDescent="0.25"/>
    <row r="220379" s="12" customFormat="1" x14ac:dyDescent="0.25"/>
    <row r="220380" s="12" customFormat="1" x14ac:dyDescent="0.25"/>
    <row r="220381" s="12" customFormat="1" x14ac:dyDescent="0.25"/>
    <row r="220382" s="12" customFormat="1" x14ac:dyDescent="0.25"/>
    <row r="220383" s="12" customFormat="1" x14ac:dyDescent="0.25"/>
    <row r="220384" s="12" customFormat="1" x14ac:dyDescent="0.25"/>
    <row r="220385" s="12" customFormat="1" x14ac:dyDescent="0.25"/>
    <row r="220386" s="12" customFormat="1" x14ac:dyDescent="0.25"/>
    <row r="220387" s="12" customFormat="1" x14ac:dyDescent="0.25"/>
    <row r="220388" s="12" customFormat="1" x14ac:dyDescent="0.25"/>
    <row r="220389" s="12" customFormat="1" x14ac:dyDescent="0.25"/>
    <row r="220390" s="12" customFormat="1" x14ac:dyDescent="0.25"/>
    <row r="220391" s="12" customFormat="1" x14ac:dyDescent="0.25"/>
    <row r="220392" s="12" customFormat="1" x14ac:dyDescent="0.25"/>
    <row r="220393" s="12" customFormat="1" x14ac:dyDescent="0.25"/>
    <row r="220394" s="12" customFormat="1" x14ac:dyDescent="0.25"/>
    <row r="220395" s="12" customFormat="1" x14ac:dyDescent="0.25"/>
    <row r="220396" s="12" customFormat="1" x14ac:dyDescent="0.25"/>
    <row r="220397" s="12" customFormat="1" x14ac:dyDescent="0.25"/>
    <row r="220398" s="12" customFormat="1" x14ac:dyDescent="0.25"/>
    <row r="220399" s="12" customFormat="1" x14ac:dyDescent="0.25"/>
    <row r="220400" s="12" customFormat="1" x14ac:dyDescent="0.25"/>
    <row r="220401" s="12" customFormat="1" x14ac:dyDescent="0.25"/>
    <row r="220402" s="12" customFormat="1" x14ac:dyDescent="0.25"/>
    <row r="220403" s="12" customFormat="1" x14ac:dyDescent="0.25"/>
    <row r="220404" s="12" customFormat="1" x14ac:dyDescent="0.25"/>
    <row r="220405" s="12" customFormat="1" x14ac:dyDescent="0.25"/>
    <row r="220406" s="12" customFormat="1" x14ac:dyDescent="0.25"/>
    <row r="220407" s="12" customFormat="1" x14ac:dyDescent="0.25"/>
    <row r="220408" s="12" customFormat="1" x14ac:dyDescent="0.25"/>
    <row r="220409" s="12" customFormat="1" x14ac:dyDescent="0.25"/>
    <row r="220410" s="12" customFormat="1" x14ac:dyDescent="0.25"/>
    <row r="220411" s="12" customFormat="1" x14ac:dyDescent="0.25"/>
    <row r="220412" s="12" customFormat="1" x14ac:dyDescent="0.25"/>
    <row r="220413" s="12" customFormat="1" x14ac:dyDescent="0.25"/>
    <row r="220414" s="12" customFormat="1" x14ac:dyDescent="0.25"/>
    <row r="220415" s="12" customFormat="1" x14ac:dyDescent="0.25"/>
    <row r="220416" s="12" customFormat="1" x14ac:dyDescent="0.25"/>
    <row r="220417" s="12" customFormat="1" x14ac:dyDescent="0.25"/>
    <row r="220418" s="12" customFormat="1" x14ac:dyDescent="0.25"/>
    <row r="220419" s="12" customFormat="1" x14ac:dyDescent="0.25"/>
    <row r="220420" s="12" customFormat="1" x14ac:dyDescent="0.25"/>
    <row r="220421" s="12" customFormat="1" x14ac:dyDescent="0.25"/>
    <row r="220422" s="12" customFormat="1" x14ac:dyDescent="0.25"/>
    <row r="220423" s="12" customFormat="1" x14ac:dyDescent="0.25"/>
    <row r="220424" s="12" customFormat="1" x14ac:dyDescent="0.25"/>
    <row r="220425" s="12" customFormat="1" x14ac:dyDescent="0.25"/>
    <row r="220426" s="12" customFormat="1" x14ac:dyDescent="0.25"/>
    <row r="220427" s="12" customFormat="1" x14ac:dyDescent="0.25"/>
    <row r="220428" s="12" customFormat="1" x14ac:dyDescent="0.25"/>
    <row r="220429" s="12" customFormat="1" x14ac:dyDescent="0.25"/>
    <row r="220430" s="12" customFormat="1" x14ac:dyDescent="0.25"/>
    <row r="220431" s="12" customFormat="1" x14ac:dyDescent="0.25"/>
    <row r="220432" s="12" customFormat="1" x14ac:dyDescent="0.25"/>
    <row r="220433" s="12" customFormat="1" x14ac:dyDescent="0.25"/>
    <row r="220434" s="12" customFormat="1" x14ac:dyDescent="0.25"/>
    <row r="220435" s="12" customFormat="1" x14ac:dyDescent="0.25"/>
    <row r="220436" s="12" customFormat="1" x14ac:dyDescent="0.25"/>
    <row r="220437" s="12" customFormat="1" x14ac:dyDescent="0.25"/>
    <row r="220438" s="12" customFormat="1" x14ac:dyDescent="0.25"/>
    <row r="220439" s="12" customFormat="1" x14ac:dyDescent="0.25"/>
    <row r="220440" s="12" customFormat="1" x14ac:dyDescent="0.25"/>
    <row r="220441" s="12" customFormat="1" x14ac:dyDescent="0.25"/>
    <row r="220442" s="12" customFormat="1" x14ac:dyDescent="0.25"/>
    <row r="220443" s="12" customFormat="1" x14ac:dyDescent="0.25"/>
    <row r="220444" s="12" customFormat="1" x14ac:dyDescent="0.25"/>
    <row r="220445" s="12" customFormat="1" x14ac:dyDescent="0.25"/>
    <row r="220446" s="12" customFormat="1" x14ac:dyDescent="0.25"/>
    <row r="220447" s="12" customFormat="1" x14ac:dyDescent="0.25"/>
    <row r="220448" s="12" customFormat="1" x14ac:dyDescent="0.25"/>
    <row r="220449" s="12" customFormat="1" x14ac:dyDescent="0.25"/>
    <row r="220450" s="12" customFormat="1" x14ac:dyDescent="0.25"/>
    <row r="220451" s="12" customFormat="1" x14ac:dyDescent="0.25"/>
    <row r="220452" s="12" customFormat="1" x14ac:dyDescent="0.25"/>
    <row r="220453" s="12" customFormat="1" x14ac:dyDescent="0.25"/>
    <row r="220454" s="12" customFormat="1" x14ac:dyDescent="0.25"/>
    <row r="220455" s="12" customFormat="1" x14ac:dyDescent="0.25"/>
    <row r="220456" s="12" customFormat="1" x14ac:dyDescent="0.25"/>
    <row r="220457" s="12" customFormat="1" x14ac:dyDescent="0.25"/>
    <row r="220458" s="12" customFormat="1" x14ac:dyDescent="0.25"/>
    <row r="220459" s="12" customFormat="1" x14ac:dyDescent="0.25"/>
    <row r="220460" s="12" customFormat="1" x14ac:dyDescent="0.25"/>
    <row r="220461" s="12" customFormat="1" x14ac:dyDescent="0.25"/>
    <row r="220462" s="12" customFormat="1" x14ac:dyDescent="0.25"/>
    <row r="220463" s="12" customFormat="1" x14ac:dyDescent="0.25"/>
    <row r="220464" s="12" customFormat="1" x14ac:dyDescent="0.25"/>
    <row r="220465" s="12" customFormat="1" x14ac:dyDescent="0.25"/>
    <row r="220466" s="12" customFormat="1" x14ac:dyDescent="0.25"/>
    <row r="220467" s="12" customFormat="1" x14ac:dyDescent="0.25"/>
    <row r="220468" s="12" customFormat="1" x14ac:dyDescent="0.25"/>
    <row r="220469" s="12" customFormat="1" x14ac:dyDescent="0.25"/>
    <row r="220470" s="12" customFormat="1" x14ac:dyDescent="0.25"/>
    <row r="220471" s="12" customFormat="1" x14ac:dyDescent="0.25"/>
    <row r="220472" s="12" customFormat="1" x14ac:dyDescent="0.25"/>
    <row r="220473" s="12" customFormat="1" x14ac:dyDescent="0.25"/>
    <row r="220474" s="12" customFormat="1" x14ac:dyDescent="0.25"/>
    <row r="220475" s="12" customFormat="1" x14ac:dyDescent="0.25"/>
    <row r="220476" s="12" customFormat="1" x14ac:dyDescent="0.25"/>
    <row r="220477" s="12" customFormat="1" x14ac:dyDescent="0.25"/>
    <row r="220478" s="12" customFormat="1" x14ac:dyDescent="0.25"/>
    <row r="220479" s="12" customFormat="1" x14ac:dyDescent="0.25"/>
    <row r="220480" s="12" customFormat="1" x14ac:dyDescent="0.25"/>
    <row r="220481" s="12" customFormat="1" x14ac:dyDescent="0.25"/>
    <row r="220482" s="12" customFormat="1" x14ac:dyDescent="0.25"/>
    <row r="220483" s="12" customFormat="1" x14ac:dyDescent="0.25"/>
    <row r="220484" s="12" customFormat="1" x14ac:dyDescent="0.25"/>
    <row r="220485" s="12" customFormat="1" x14ac:dyDescent="0.25"/>
    <row r="220486" s="12" customFormat="1" x14ac:dyDescent="0.25"/>
    <row r="220487" s="12" customFormat="1" x14ac:dyDescent="0.25"/>
    <row r="220488" s="12" customFormat="1" x14ac:dyDescent="0.25"/>
    <row r="220489" s="12" customFormat="1" x14ac:dyDescent="0.25"/>
    <row r="220490" s="12" customFormat="1" x14ac:dyDescent="0.25"/>
    <row r="220491" s="12" customFormat="1" x14ac:dyDescent="0.25"/>
    <row r="220492" s="12" customFormat="1" x14ac:dyDescent="0.25"/>
    <row r="220493" s="12" customFormat="1" x14ac:dyDescent="0.25"/>
    <row r="220494" s="12" customFormat="1" x14ac:dyDescent="0.25"/>
    <row r="220495" s="12" customFormat="1" x14ac:dyDescent="0.25"/>
    <row r="220496" s="12" customFormat="1" x14ac:dyDescent="0.25"/>
    <row r="220497" s="12" customFormat="1" x14ac:dyDescent="0.25"/>
    <row r="220498" s="12" customFormat="1" x14ac:dyDescent="0.25"/>
    <row r="220499" s="12" customFormat="1" x14ac:dyDescent="0.25"/>
    <row r="220500" s="12" customFormat="1" x14ac:dyDescent="0.25"/>
    <row r="220501" s="12" customFormat="1" x14ac:dyDescent="0.25"/>
    <row r="220502" s="12" customFormat="1" x14ac:dyDescent="0.25"/>
    <row r="220503" s="12" customFormat="1" x14ac:dyDescent="0.25"/>
    <row r="220504" s="12" customFormat="1" x14ac:dyDescent="0.25"/>
    <row r="220505" s="12" customFormat="1" x14ac:dyDescent="0.25"/>
    <row r="220506" s="12" customFormat="1" x14ac:dyDescent="0.25"/>
    <row r="220507" s="12" customFormat="1" x14ac:dyDescent="0.25"/>
    <row r="220508" s="12" customFormat="1" x14ac:dyDescent="0.25"/>
    <row r="220509" s="12" customFormat="1" x14ac:dyDescent="0.25"/>
    <row r="220510" s="12" customFormat="1" x14ac:dyDescent="0.25"/>
    <row r="220511" s="12" customFormat="1" x14ac:dyDescent="0.25"/>
    <row r="220512" s="12" customFormat="1" x14ac:dyDescent="0.25"/>
    <row r="220513" s="12" customFormat="1" x14ac:dyDescent="0.25"/>
    <row r="220514" s="12" customFormat="1" x14ac:dyDescent="0.25"/>
    <row r="220515" s="12" customFormat="1" x14ac:dyDescent="0.25"/>
    <row r="220516" s="12" customFormat="1" x14ac:dyDescent="0.25"/>
    <row r="220517" s="12" customFormat="1" x14ac:dyDescent="0.25"/>
    <row r="220518" s="12" customFormat="1" x14ac:dyDescent="0.25"/>
    <row r="220519" s="12" customFormat="1" x14ac:dyDescent="0.25"/>
    <row r="220520" s="12" customFormat="1" x14ac:dyDescent="0.25"/>
    <row r="220521" s="12" customFormat="1" x14ac:dyDescent="0.25"/>
    <row r="220522" s="12" customFormat="1" x14ac:dyDescent="0.25"/>
    <row r="220523" s="12" customFormat="1" x14ac:dyDescent="0.25"/>
    <row r="220524" s="12" customFormat="1" x14ac:dyDescent="0.25"/>
    <row r="220525" s="12" customFormat="1" x14ac:dyDescent="0.25"/>
    <row r="220526" s="12" customFormat="1" x14ac:dyDescent="0.25"/>
    <row r="220527" s="12" customFormat="1" x14ac:dyDescent="0.25"/>
    <row r="220528" s="12" customFormat="1" x14ac:dyDescent="0.25"/>
    <row r="220529" s="12" customFormat="1" x14ac:dyDescent="0.25"/>
    <row r="220530" s="12" customFormat="1" x14ac:dyDescent="0.25"/>
    <row r="220531" s="12" customFormat="1" x14ac:dyDescent="0.25"/>
    <row r="220532" s="12" customFormat="1" x14ac:dyDescent="0.25"/>
    <row r="220533" s="12" customFormat="1" x14ac:dyDescent="0.25"/>
    <row r="220534" s="12" customFormat="1" x14ac:dyDescent="0.25"/>
    <row r="220535" s="12" customFormat="1" x14ac:dyDescent="0.25"/>
    <row r="220536" s="12" customFormat="1" x14ac:dyDescent="0.25"/>
    <row r="220537" s="12" customFormat="1" x14ac:dyDescent="0.25"/>
    <row r="220538" s="12" customFormat="1" x14ac:dyDescent="0.25"/>
    <row r="220539" s="12" customFormat="1" x14ac:dyDescent="0.25"/>
    <row r="220540" s="12" customFormat="1" x14ac:dyDescent="0.25"/>
    <row r="220541" s="12" customFormat="1" x14ac:dyDescent="0.25"/>
    <row r="220542" s="12" customFormat="1" x14ac:dyDescent="0.25"/>
    <row r="220543" s="12" customFormat="1" x14ac:dyDescent="0.25"/>
    <row r="220544" s="12" customFormat="1" x14ac:dyDescent="0.25"/>
    <row r="220545" s="12" customFormat="1" x14ac:dyDescent="0.25"/>
    <row r="220546" s="12" customFormat="1" x14ac:dyDescent="0.25"/>
    <row r="220547" s="12" customFormat="1" x14ac:dyDescent="0.25"/>
    <row r="220548" s="12" customFormat="1" x14ac:dyDescent="0.25"/>
    <row r="220549" s="12" customFormat="1" x14ac:dyDescent="0.25"/>
    <row r="220550" s="12" customFormat="1" x14ac:dyDescent="0.25"/>
    <row r="220551" s="12" customFormat="1" x14ac:dyDescent="0.25"/>
    <row r="220552" s="12" customFormat="1" x14ac:dyDescent="0.25"/>
    <row r="220553" s="12" customFormat="1" x14ac:dyDescent="0.25"/>
    <row r="220554" s="12" customFormat="1" x14ac:dyDescent="0.25"/>
    <row r="220555" s="12" customFormat="1" x14ac:dyDescent="0.25"/>
    <row r="220556" s="12" customFormat="1" x14ac:dyDescent="0.25"/>
    <row r="220557" s="12" customFormat="1" x14ac:dyDescent="0.25"/>
    <row r="220558" s="12" customFormat="1" x14ac:dyDescent="0.25"/>
    <row r="220559" s="12" customFormat="1" x14ac:dyDescent="0.25"/>
    <row r="220560" s="12" customFormat="1" x14ac:dyDescent="0.25"/>
    <row r="220561" s="12" customFormat="1" x14ac:dyDescent="0.25"/>
    <row r="220562" s="12" customFormat="1" x14ac:dyDescent="0.25"/>
    <row r="220563" s="12" customFormat="1" x14ac:dyDescent="0.25"/>
    <row r="220564" s="12" customFormat="1" x14ac:dyDescent="0.25"/>
    <row r="220565" s="12" customFormat="1" x14ac:dyDescent="0.25"/>
    <row r="220566" s="12" customFormat="1" x14ac:dyDescent="0.25"/>
    <row r="220567" s="12" customFormat="1" x14ac:dyDescent="0.25"/>
    <row r="220568" s="12" customFormat="1" x14ac:dyDescent="0.25"/>
    <row r="220569" s="12" customFormat="1" x14ac:dyDescent="0.25"/>
    <row r="220570" s="12" customFormat="1" x14ac:dyDescent="0.25"/>
    <row r="220571" s="12" customFormat="1" x14ac:dyDescent="0.25"/>
    <row r="220572" s="12" customFormat="1" x14ac:dyDescent="0.25"/>
    <row r="220573" s="12" customFormat="1" x14ac:dyDescent="0.25"/>
    <row r="220574" s="12" customFormat="1" x14ac:dyDescent="0.25"/>
    <row r="220575" s="12" customFormat="1" x14ac:dyDescent="0.25"/>
    <row r="220576" s="12" customFormat="1" x14ac:dyDescent="0.25"/>
    <row r="220577" s="12" customFormat="1" x14ac:dyDescent="0.25"/>
    <row r="220578" s="12" customFormat="1" x14ac:dyDescent="0.25"/>
    <row r="220579" s="12" customFormat="1" x14ac:dyDescent="0.25"/>
    <row r="220580" s="12" customFormat="1" x14ac:dyDescent="0.25"/>
    <row r="220581" s="12" customFormat="1" x14ac:dyDescent="0.25"/>
    <row r="220582" s="12" customFormat="1" x14ac:dyDescent="0.25"/>
    <row r="220583" s="12" customFormat="1" x14ac:dyDescent="0.25"/>
    <row r="220584" s="12" customFormat="1" x14ac:dyDescent="0.25"/>
    <row r="220585" s="12" customFormat="1" x14ac:dyDescent="0.25"/>
    <row r="220586" s="12" customFormat="1" x14ac:dyDescent="0.25"/>
    <row r="220587" s="12" customFormat="1" x14ac:dyDescent="0.25"/>
    <row r="220588" s="12" customFormat="1" x14ac:dyDescent="0.25"/>
    <row r="220589" s="12" customFormat="1" x14ac:dyDescent="0.25"/>
    <row r="220590" s="12" customFormat="1" x14ac:dyDescent="0.25"/>
    <row r="220591" s="12" customFormat="1" x14ac:dyDescent="0.25"/>
    <row r="220592" s="12" customFormat="1" x14ac:dyDescent="0.25"/>
    <row r="220593" s="12" customFormat="1" x14ac:dyDescent="0.25"/>
    <row r="220594" s="12" customFormat="1" x14ac:dyDescent="0.25"/>
    <row r="220595" s="12" customFormat="1" x14ac:dyDescent="0.25"/>
    <row r="220596" s="12" customFormat="1" x14ac:dyDescent="0.25"/>
    <row r="220597" s="12" customFormat="1" x14ac:dyDescent="0.25"/>
    <row r="220598" s="12" customFormat="1" x14ac:dyDescent="0.25"/>
    <row r="220599" s="12" customFormat="1" x14ac:dyDescent="0.25"/>
    <row r="220600" s="12" customFormat="1" x14ac:dyDescent="0.25"/>
    <row r="220601" s="12" customFormat="1" x14ac:dyDescent="0.25"/>
    <row r="220602" s="12" customFormat="1" x14ac:dyDescent="0.25"/>
    <row r="220603" s="12" customFormat="1" x14ac:dyDescent="0.25"/>
    <row r="220604" s="12" customFormat="1" x14ac:dyDescent="0.25"/>
    <row r="220605" s="12" customFormat="1" x14ac:dyDescent="0.25"/>
    <row r="220606" s="12" customFormat="1" x14ac:dyDescent="0.25"/>
    <row r="220607" s="12" customFormat="1" x14ac:dyDescent="0.25"/>
    <row r="220608" s="12" customFormat="1" x14ac:dyDescent="0.25"/>
    <row r="220609" s="12" customFormat="1" x14ac:dyDescent="0.25"/>
    <row r="220610" s="12" customFormat="1" x14ac:dyDescent="0.25"/>
    <row r="220611" s="12" customFormat="1" x14ac:dyDescent="0.25"/>
    <row r="220612" s="12" customFormat="1" x14ac:dyDescent="0.25"/>
    <row r="220613" s="12" customFormat="1" x14ac:dyDescent="0.25"/>
    <row r="220614" s="12" customFormat="1" x14ac:dyDescent="0.25"/>
    <row r="220615" s="12" customFormat="1" x14ac:dyDescent="0.25"/>
    <row r="220616" s="12" customFormat="1" x14ac:dyDescent="0.25"/>
    <row r="220617" s="12" customFormat="1" x14ac:dyDescent="0.25"/>
    <row r="220618" s="12" customFormat="1" x14ac:dyDescent="0.25"/>
    <row r="220619" s="12" customFormat="1" x14ac:dyDescent="0.25"/>
    <row r="220620" s="12" customFormat="1" x14ac:dyDescent="0.25"/>
    <row r="220621" s="12" customFormat="1" x14ac:dyDescent="0.25"/>
    <row r="220622" s="12" customFormat="1" x14ac:dyDescent="0.25"/>
    <row r="220623" s="12" customFormat="1" x14ac:dyDescent="0.25"/>
    <row r="220624" s="12" customFormat="1" x14ac:dyDescent="0.25"/>
    <row r="220625" s="12" customFormat="1" x14ac:dyDescent="0.25"/>
    <row r="220626" s="12" customFormat="1" x14ac:dyDescent="0.25"/>
    <row r="220627" s="12" customFormat="1" x14ac:dyDescent="0.25"/>
    <row r="220628" s="12" customFormat="1" x14ac:dyDescent="0.25"/>
    <row r="220629" s="12" customFormat="1" x14ac:dyDescent="0.25"/>
    <row r="220630" s="12" customFormat="1" x14ac:dyDescent="0.25"/>
    <row r="220631" s="12" customFormat="1" x14ac:dyDescent="0.25"/>
    <row r="220632" s="12" customFormat="1" x14ac:dyDescent="0.25"/>
    <row r="220633" s="12" customFormat="1" x14ac:dyDescent="0.25"/>
    <row r="220634" s="12" customFormat="1" x14ac:dyDescent="0.25"/>
    <row r="220635" s="12" customFormat="1" x14ac:dyDescent="0.25"/>
    <row r="220636" s="12" customFormat="1" x14ac:dyDescent="0.25"/>
    <row r="220637" s="12" customFormat="1" x14ac:dyDescent="0.25"/>
    <row r="220638" s="12" customFormat="1" x14ac:dyDescent="0.25"/>
    <row r="220639" s="12" customFormat="1" x14ac:dyDescent="0.25"/>
    <row r="220640" s="12" customFormat="1" x14ac:dyDescent="0.25"/>
    <row r="220641" s="12" customFormat="1" x14ac:dyDescent="0.25"/>
    <row r="220642" s="12" customFormat="1" x14ac:dyDescent="0.25"/>
    <row r="220643" s="12" customFormat="1" x14ac:dyDescent="0.25"/>
    <row r="220644" s="12" customFormat="1" x14ac:dyDescent="0.25"/>
    <row r="220645" s="12" customFormat="1" x14ac:dyDescent="0.25"/>
    <row r="220646" s="12" customFormat="1" x14ac:dyDescent="0.25"/>
    <row r="220647" s="12" customFormat="1" x14ac:dyDescent="0.25"/>
    <row r="220648" s="12" customFormat="1" x14ac:dyDescent="0.25"/>
    <row r="220649" s="12" customFormat="1" x14ac:dyDescent="0.25"/>
    <row r="220650" s="12" customFormat="1" x14ac:dyDescent="0.25"/>
    <row r="220651" s="12" customFormat="1" x14ac:dyDescent="0.25"/>
    <row r="220652" s="12" customFormat="1" x14ac:dyDescent="0.25"/>
    <row r="220653" s="12" customFormat="1" x14ac:dyDescent="0.25"/>
    <row r="220654" s="12" customFormat="1" x14ac:dyDescent="0.25"/>
    <row r="220655" s="12" customFormat="1" x14ac:dyDescent="0.25"/>
    <row r="220656" s="12" customFormat="1" x14ac:dyDescent="0.25"/>
    <row r="220657" s="12" customFormat="1" x14ac:dyDescent="0.25"/>
    <row r="220658" s="12" customFormat="1" x14ac:dyDescent="0.25"/>
    <row r="220659" s="12" customFormat="1" x14ac:dyDescent="0.25"/>
    <row r="220660" s="12" customFormat="1" x14ac:dyDescent="0.25"/>
    <row r="220661" s="12" customFormat="1" x14ac:dyDescent="0.25"/>
    <row r="220662" s="12" customFormat="1" x14ac:dyDescent="0.25"/>
    <row r="220663" s="12" customFormat="1" x14ac:dyDescent="0.25"/>
    <row r="220664" s="12" customFormat="1" x14ac:dyDescent="0.25"/>
    <row r="220665" s="12" customFormat="1" x14ac:dyDescent="0.25"/>
    <row r="220666" s="12" customFormat="1" x14ac:dyDescent="0.25"/>
    <row r="220667" s="12" customFormat="1" x14ac:dyDescent="0.25"/>
    <row r="220668" s="12" customFormat="1" x14ac:dyDescent="0.25"/>
    <row r="220669" s="12" customFormat="1" x14ac:dyDescent="0.25"/>
    <row r="220670" s="12" customFormat="1" x14ac:dyDescent="0.25"/>
    <row r="220671" s="12" customFormat="1" x14ac:dyDescent="0.25"/>
    <row r="220672" s="12" customFormat="1" x14ac:dyDescent="0.25"/>
    <row r="220673" s="12" customFormat="1" x14ac:dyDescent="0.25"/>
    <row r="220674" s="12" customFormat="1" x14ac:dyDescent="0.25"/>
    <row r="220675" s="12" customFormat="1" x14ac:dyDescent="0.25"/>
    <row r="220676" s="12" customFormat="1" x14ac:dyDescent="0.25"/>
    <row r="220677" s="12" customFormat="1" x14ac:dyDescent="0.25"/>
    <row r="220678" s="12" customFormat="1" x14ac:dyDescent="0.25"/>
    <row r="220679" s="12" customFormat="1" x14ac:dyDescent="0.25"/>
    <row r="220680" s="12" customFormat="1" x14ac:dyDescent="0.25"/>
    <row r="220681" s="12" customFormat="1" x14ac:dyDescent="0.25"/>
    <row r="220682" s="12" customFormat="1" x14ac:dyDescent="0.25"/>
    <row r="220683" s="12" customFormat="1" x14ac:dyDescent="0.25"/>
    <row r="220684" s="12" customFormat="1" x14ac:dyDescent="0.25"/>
    <row r="220685" s="12" customFormat="1" x14ac:dyDescent="0.25"/>
    <row r="220686" s="12" customFormat="1" x14ac:dyDescent="0.25"/>
    <row r="220687" s="12" customFormat="1" x14ac:dyDescent="0.25"/>
    <row r="220688" s="12" customFormat="1" x14ac:dyDescent="0.25"/>
    <row r="220689" s="12" customFormat="1" x14ac:dyDescent="0.25"/>
    <row r="220690" s="12" customFormat="1" x14ac:dyDescent="0.25"/>
    <row r="220691" s="12" customFormat="1" x14ac:dyDescent="0.25"/>
    <row r="220692" s="12" customFormat="1" x14ac:dyDescent="0.25"/>
    <row r="220693" s="12" customFormat="1" x14ac:dyDescent="0.25"/>
    <row r="220694" s="12" customFormat="1" x14ac:dyDescent="0.25"/>
    <row r="220695" s="12" customFormat="1" x14ac:dyDescent="0.25"/>
    <row r="220696" s="12" customFormat="1" x14ac:dyDescent="0.25"/>
    <row r="220697" s="12" customFormat="1" x14ac:dyDescent="0.25"/>
    <row r="220698" s="12" customFormat="1" x14ac:dyDescent="0.25"/>
    <row r="220699" s="12" customFormat="1" x14ac:dyDescent="0.25"/>
    <row r="220700" s="12" customFormat="1" x14ac:dyDescent="0.25"/>
    <row r="220701" s="12" customFormat="1" x14ac:dyDescent="0.25"/>
    <row r="220702" s="12" customFormat="1" x14ac:dyDescent="0.25"/>
    <row r="220703" s="12" customFormat="1" x14ac:dyDescent="0.25"/>
    <row r="220704" s="12" customFormat="1" x14ac:dyDescent="0.25"/>
    <row r="220705" s="12" customFormat="1" x14ac:dyDescent="0.25"/>
    <row r="220706" s="12" customFormat="1" x14ac:dyDescent="0.25"/>
    <row r="220707" s="12" customFormat="1" x14ac:dyDescent="0.25"/>
    <row r="220708" s="12" customFormat="1" x14ac:dyDescent="0.25"/>
    <row r="220709" s="12" customFormat="1" x14ac:dyDescent="0.25"/>
    <row r="220710" s="12" customFormat="1" x14ac:dyDescent="0.25"/>
    <row r="220711" s="12" customFormat="1" x14ac:dyDescent="0.25"/>
    <row r="220712" s="12" customFormat="1" x14ac:dyDescent="0.25"/>
    <row r="220713" s="12" customFormat="1" x14ac:dyDescent="0.25"/>
    <row r="220714" s="12" customFormat="1" x14ac:dyDescent="0.25"/>
    <row r="220715" s="12" customFormat="1" x14ac:dyDescent="0.25"/>
    <row r="220716" s="12" customFormat="1" x14ac:dyDescent="0.25"/>
    <row r="220717" s="12" customFormat="1" x14ac:dyDescent="0.25"/>
    <row r="220718" s="12" customFormat="1" x14ac:dyDescent="0.25"/>
    <row r="220719" s="12" customFormat="1" x14ac:dyDescent="0.25"/>
    <row r="220720" s="12" customFormat="1" x14ac:dyDescent="0.25"/>
    <row r="220721" s="12" customFormat="1" x14ac:dyDescent="0.25"/>
    <row r="220722" s="12" customFormat="1" x14ac:dyDescent="0.25"/>
    <row r="220723" s="12" customFormat="1" x14ac:dyDescent="0.25"/>
    <row r="220724" s="12" customFormat="1" x14ac:dyDescent="0.25"/>
    <row r="220725" s="12" customFormat="1" x14ac:dyDescent="0.25"/>
    <row r="220726" s="12" customFormat="1" x14ac:dyDescent="0.25"/>
    <row r="220727" s="12" customFormat="1" x14ac:dyDescent="0.25"/>
    <row r="220728" s="12" customFormat="1" x14ac:dyDescent="0.25"/>
    <row r="220729" s="12" customFormat="1" x14ac:dyDescent="0.25"/>
    <row r="220730" s="12" customFormat="1" x14ac:dyDescent="0.25"/>
    <row r="220731" s="12" customFormat="1" x14ac:dyDescent="0.25"/>
    <row r="220732" s="12" customFormat="1" x14ac:dyDescent="0.25"/>
    <row r="220733" s="12" customFormat="1" x14ac:dyDescent="0.25"/>
    <row r="220734" s="12" customFormat="1" x14ac:dyDescent="0.25"/>
    <row r="220735" s="12" customFormat="1" x14ac:dyDescent="0.25"/>
    <row r="220736" s="12" customFormat="1" x14ac:dyDescent="0.25"/>
    <row r="220737" s="12" customFormat="1" x14ac:dyDescent="0.25"/>
    <row r="220738" s="12" customFormat="1" x14ac:dyDescent="0.25"/>
    <row r="220739" s="12" customFormat="1" x14ac:dyDescent="0.25"/>
    <row r="220740" s="12" customFormat="1" x14ac:dyDescent="0.25"/>
    <row r="220741" s="12" customFormat="1" x14ac:dyDescent="0.25"/>
    <row r="220742" s="12" customFormat="1" x14ac:dyDescent="0.25"/>
    <row r="220743" s="12" customFormat="1" x14ac:dyDescent="0.25"/>
    <row r="220744" s="12" customFormat="1" x14ac:dyDescent="0.25"/>
    <row r="220745" s="12" customFormat="1" x14ac:dyDescent="0.25"/>
    <row r="220746" s="12" customFormat="1" x14ac:dyDescent="0.25"/>
    <row r="220747" s="12" customFormat="1" x14ac:dyDescent="0.25"/>
    <row r="220748" s="12" customFormat="1" x14ac:dyDescent="0.25"/>
    <row r="220749" s="12" customFormat="1" x14ac:dyDescent="0.25"/>
    <row r="220750" s="12" customFormat="1" x14ac:dyDescent="0.25"/>
    <row r="220751" s="12" customFormat="1" x14ac:dyDescent="0.25"/>
    <row r="220752" s="12" customFormat="1" x14ac:dyDescent="0.25"/>
    <row r="220753" s="12" customFormat="1" x14ac:dyDescent="0.25"/>
    <row r="220754" s="12" customFormat="1" x14ac:dyDescent="0.25"/>
    <row r="220755" s="12" customFormat="1" x14ac:dyDescent="0.25"/>
    <row r="220756" s="12" customFormat="1" x14ac:dyDescent="0.25"/>
    <row r="220757" s="12" customFormat="1" x14ac:dyDescent="0.25"/>
    <row r="220758" s="12" customFormat="1" x14ac:dyDescent="0.25"/>
    <row r="220759" s="12" customFormat="1" x14ac:dyDescent="0.25"/>
    <row r="220760" s="12" customFormat="1" x14ac:dyDescent="0.25"/>
    <row r="220761" s="12" customFormat="1" x14ac:dyDescent="0.25"/>
    <row r="220762" s="12" customFormat="1" x14ac:dyDescent="0.25"/>
    <row r="220763" s="12" customFormat="1" x14ac:dyDescent="0.25"/>
    <row r="220764" s="12" customFormat="1" x14ac:dyDescent="0.25"/>
    <row r="220765" s="12" customFormat="1" x14ac:dyDescent="0.25"/>
    <row r="220766" s="12" customFormat="1" x14ac:dyDescent="0.25"/>
    <row r="220767" s="12" customFormat="1" x14ac:dyDescent="0.25"/>
    <row r="220768" s="12" customFormat="1" x14ac:dyDescent="0.25"/>
    <row r="220769" s="12" customFormat="1" x14ac:dyDescent="0.25"/>
    <row r="220770" s="12" customFormat="1" x14ac:dyDescent="0.25"/>
    <row r="220771" s="12" customFormat="1" x14ac:dyDescent="0.25"/>
    <row r="220772" s="12" customFormat="1" x14ac:dyDescent="0.25"/>
    <row r="220773" s="12" customFormat="1" x14ac:dyDescent="0.25"/>
    <row r="220774" s="12" customFormat="1" x14ac:dyDescent="0.25"/>
    <row r="220775" s="12" customFormat="1" x14ac:dyDescent="0.25"/>
    <row r="220776" s="12" customFormat="1" x14ac:dyDescent="0.25"/>
    <row r="220777" s="12" customFormat="1" x14ac:dyDescent="0.25"/>
    <row r="220778" s="12" customFormat="1" x14ac:dyDescent="0.25"/>
    <row r="220779" s="12" customFormat="1" x14ac:dyDescent="0.25"/>
    <row r="220780" s="12" customFormat="1" x14ac:dyDescent="0.25"/>
    <row r="220781" s="12" customFormat="1" x14ac:dyDescent="0.25"/>
    <row r="220782" s="12" customFormat="1" x14ac:dyDescent="0.25"/>
    <row r="220783" s="12" customFormat="1" x14ac:dyDescent="0.25"/>
    <row r="220784" s="12" customFormat="1" x14ac:dyDescent="0.25"/>
    <row r="220785" s="12" customFormat="1" x14ac:dyDescent="0.25"/>
    <row r="220786" s="12" customFormat="1" x14ac:dyDescent="0.25"/>
    <row r="220787" s="12" customFormat="1" x14ac:dyDescent="0.25"/>
    <row r="220788" s="12" customFormat="1" x14ac:dyDescent="0.25"/>
    <row r="220789" s="12" customFormat="1" x14ac:dyDescent="0.25"/>
    <row r="220790" s="12" customFormat="1" x14ac:dyDescent="0.25"/>
    <row r="220791" s="12" customFormat="1" x14ac:dyDescent="0.25"/>
    <row r="220792" s="12" customFormat="1" x14ac:dyDescent="0.25"/>
    <row r="220793" s="12" customFormat="1" x14ac:dyDescent="0.25"/>
    <row r="220794" s="12" customFormat="1" x14ac:dyDescent="0.25"/>
    <row r="220795" s="12" customFormat="1" x14ac:dyDescent="0.25"/>
    <row r="220796" s="12" customFormat="1" x14ac:dyDescent="0.25"/>
    <row r="220797" s="12" customFormat="1" x14ac:dyDescent="0.25"/>
    <row r="220798" s="12" customFormat="1" x14ac:dyDescent="0.25"/>
    <row r="220799" s="12" customFormat="1" x14ac:dyDescent="0.25"/>
    <row r="220800" s="12" customFormat="1" x14ac:dyDescent="0.25"/>
    <row r="220801" s="12" customFormat="1" x14ac:dyDescent="0.25"/>
    <row r="220802" s="12" customFormat="1" x14ac:dyDescent="0.25"/>
    <row r="220803" s="12" customFormat="1" x14ac:dyDescent="0.25"/>
    <row r="220804" s="12" customFormat="1" x14ac:dyDescent="0.25"/>
    <row r="220805" s="12" customFormat="1" x14ac:dyDescent="0.25"/>
    <row r="220806" s="12" customFormat="1" x14ac:dyDescent="0.25"/>
    <row r="220807" s="12" customFormat="1" x14ac:dyDescent="0.25"/>
    <row r="220808" s="12" customFormat="1" x14ac:dyDescent="0.25"/>
    <row r="220809" s="12" customFormat="1" x14ac:dyDescent="0.25"/>
    <row r="220810" s="12" customFormat="1" x14ac:dyDescent="0.25"/>
    <row r="220811" s="12" customFormat="1" x14ac:dyDescent="0.25"/>
    <row r="220812" s="12" customFormat="1" x14ac:dyDescent="0.25"/>
    <row r="220813" s="12" customFormat="1" x14ac:dyDescent="0.25"/>
    <row r="220814" s="12" customFormat="1" x14ac:dyDescent="0.25"/>
    <row r="220815" s="12" customFormat="1" x14ac:dyDescent="0.25"/>
    <row r="220816" s="12" customFormat="1" x14ac:dyDescent="0.25"/>
    <row r="220817" s="12" customFormat="1" x14ac:dyDescent="0.25"/>
    <row r="220818" s="12" customFormat="1" x14ac:dyDescent="0.25"/>
    <row r="220819" s="12" customFormat="1" x14ac:dyDescent="0.25"/>
    <row r="220820" s="12" customFormat="1" x14ac:dyDescent="0.25"/>
    <row r="220821" s="12" customFormat="1" x14ac:dyDescent="0.25"/>
    <row r="220822" s="12" customFormat="1" x14ac:dyDescent="0.25"/>
    <row r="220823" s="12" customFormat="1" x14ac:dyDescent="0.25"/>
    <row r="220824" s="12" customFormat="1" x14ac:dyDescent="0.25"/>
    <row r="220825" s="12" customFormat="1" x14ac:dyDescent="0.25"/>
    <row r="220826" s="12" customFormat="1" x14ac:dyDescent="0.25"/>
    <row r="220827" s="12" customFormat="1" x14ac:dyDescent="0.25"/>
    <row r="220828" s="12" customFormat="1" x14ac:dyDescent="0.25"/>
    <row r="220829" s="12" customFormat="1" x14ac:dyDescent="0.25"/>
    <row r="220830" s="12" customFormat="1" x14ac:dyDescent="0.25"/>
    <row r="220831" s="12" customFormat="1" x14ac:dyDescent="0.25"/>
    <row r="220832" s="12" customFormat="1" x14ac:dyDescent="0.25"/>
    <row r="220833" s="12" customFormat="1" x14ac:dyDescent="0.25"/>
    <row r="220834" s="12" customFormat="1" x14ac:dyDescent="0.25"/>
    <row r="220835" s="12" customFormat="1" x14ac:dyDescent="0.25"/>
    <row r="220836" s="12" customFormat="1" x14ac:dyDescent="0.25"/>
    <row r="220837" s="12" customFormat="1" x14ac:dyDescent="0.25"/>
    <row r="220838" s="12" customFormat="1" x14ac:dyDescent="0.25"/>
    <row r="220839" s="12" customFormat="1" x14ac:dyDescent="0.25"/>
    <row r="220840" s="12" customFormat="1" x14ac:dyDescent="0.25"/>
    <row r="220841" s="12" customFormat="1" x14ac:dyDescent="0.25"/>
    <row r="220842" s="12" customFormat="1" x14ac:dyDescent="0.25"/>
    <row r="220843" s="12" customFormat="1" x14ac:dyDescent="0.25"/>
    <row r="220844" s="12" customFormat="1" x14ac:dyDescent="0.25"/>
    <row r="220845" s="12" customFormat="1" x14ac:dyDescent="0.25"/>
    <row r="220846" s="12" customFormat="1" x14ac:dyDescent="0.25"/>
    <row r="220847" s="12" customFormat="1" x14ac:dyDescent="0.25"/>
    <row r="220848" s="12" customFormat="1" x14ac:dyDescent="0.25"/>
    <row r="220849" s="12" customFormat="1" x14ac:dyDescent="0.25"/>
    <row r="220850" s="12" customFormat="1" x14ac:dyDescent="0.25"/>
    <row r="220851" s="12" customFormat="1" x14ac:dyDescent="0.25"/>
    <row r="220852" s="12" customFormat="1" x14ac:dyDescent="0.25"/>
    <row r="220853" s="12" customFormat="1" x14ac:dyDescent="0.25"/>
    <row r="220854" s="12" customFormat="1" x14ac:dyDescent="0.25"/>
    <row r="220855" s="12" customFormat="1" x14ac:dyDescent="0.25"/>
    <row r="220856" s="12" customFormat="1" x14ac:dyDescent="0.25"/>
    <row r="220857" s="12" customFormat="1" x14ac:dyDescent="0.25"/>
    <row r="220858" s="12" customFormat="1" x14ac:dyDescent="0.25"/>
    <row r="220859" s="12" customFormat="1" x14ac:dyDescent="0.25"/>
    <row r="220860" s="12" customFormat="1" x14ac:dyDescent="0.25"/>
    <row r="220861" s="12" customFormat="1" x14ac:dyDescent="0.25"/>
    <row r="220862" s="12" customFormat="1" x14ac:dyDescent="0.25"/>
    <row r="220863" s="12" customFormat="1" x14ac:dyDescent="0.25"/>
    <row r="220864" s="12" customFormat="1" x14ac:dyDescent="0.25"/>
    <row r="220865" s="12" customFormat="1" x14ac:dyDescent="0.25"/>
    <row r="220866" s="12" customFormat="1" x14ac:dyDescent="0.25"/>
    <row r="220867" s="12" customFormat="1" x14ac:dyDescent="0.25"/>
    <row r="220868" s="12" customFormat="1" x14ac:dyDescent="0.25"/>
    <row r="220869" s="12" customFormat="1" x14ac:dyDescent="0.25"/>
    <row r="220870" s="12" customFormat="1" x14ac:dyDescent="0.25"/>
    <row r="220871" s="12" customFormat="1" x14ac:dyDescent="0.25"/>
    <row r="220872" s="12" customFormat="1" x14ac:dyDescent="0.25"/>
    <row r="220873" s="12" customFormat="1" x14ac:dyDescent="0.25"/>
    <row r="220874" s="12" customFormat="1" x14ac:dyDescent="0.25"/>
    <row r="220875" s="12" customFormat="1" x14ac:dyDescent="0.25"/>
    <row r="220876" s="12" customFormat="1" x14ac:dyDescent="0.25"/>
    <row r="220877" s="12" customFormat="1" x14ac:dyDescent="0.25"/>
    <row r="220878" s="12" customFormat="1" x14ac:dyDescent="0.25"/>
    <row r="220879" s="12" customFormat="1" x14ac:dyDescent="0.25"/>
    <row r="220880" s="12" customFormat="1" x14ac:dyDescent="0.25"/>
    <row r="220881" s="12" customFormat="1" x14ac:dyDescent="0.25"/>
    <row r="220882" s="12" customFormat="1" x14ac:dyDescent="0.25"/>
    <row r="220883" s="12" customFormat="1" x14ac:dyDescent="0.25"/>
    <row r="220884" s="12" customFormat="1" x14ac:dyDescent="0.25"/>
    <row r="220885" s="12" customFormat="1" x14ac:dyDescent="0.25"/>
    <row r="220886" s="12" customFormat="1" x14ac:dyDescent="0.25"/>
    <row r="220887" s="12" customFormat="1" x14ac:dyDescent="0.25"/>
    <row r="220888" s="12" customFormat="1" x14ac:dyDescent="0.25"/>
    <row r="220889" s="12" customFormat="1" x14ac:dyDescent="0.25"/>
    <row r="220890" s="12" customFormat="1" x14ac:dyDescent="0.25"/>
    <row r="220891" s="12" customFormat="1" x14ac:dyDescent="0.25"/>
    <row r="220892" s="12" customFormat="1" x14ac:dyDescent="0.25"/>
    <row r="220893" s="12" customFormat="1" x14ac:dyDescent="0.25"/>
    <row r="220894" s="12" customFormat="1" x14ac:dyDescent="0.25"/>
    <row r="220895" s="12" customFormat="1" x14ac:dyDescent="0.25"/>
    <row r="220896" s="12" customFormat="1" x14ac:dyDescent="0.25"/>
    <row r="220897" s="12" customFormat="1" x14ac:dyDescent="0.25"/>
    <row r="220898" s="12" customFormat="1" x14ac:dyDescent="0.25"/>
    <row r="220899" s="12" customFormat="1" x14ac:dyDescent="0.25"/>
    <row r="220900" s="12" customFormat="1" x14ac:dyDescent="0.25"/>
    <row r="220901" s="12" customFormat="1" x14ac:dyDescent="0.25"/>
    <row r="220902" s="12" customFormat="1" x14ac:dyDescent="0.25"/>
    <row r="220903" s="12" customFormat="1" x14ac:dyDescent="0.25"/>
    <row r="220904" s="12" customFormat="1" x14ac:dyDescent="0.25"/>
    <row r="220905" s="12" customFormat="1" x14ac:dyDescent="0.25"/>
    <row r="220906" s="12" customFormat="1" x14ac:dyDescent="0.25"/>
    <row r="220907" s="12" customFormat="1" x14ac:dyDescent="0.25"/>
    <row r="220908" s="12" customFormat="1" x14ac:dyDescent="0.25"/>
    <row r="220909" s="12" customFormat="1" x14ac:dyDescent="0.25"/>
    <row r="220910" s="12" customFormat="1" x14ac:dyDescent="0.25"/>
    <row r="220911" s="12" customFormat="1" x14ac:dyDescent="0.25"/>
    <row r="220912" s="12" customFormat="1" x14ac:dyDescent="0.25"/>
    <row r="220913" s="12" customFormat="1" x14ac:dyDescent="0.25"/>
    <row r="220914" s="12" customFormat="1" x14ac:dyDescent="0.25"/>
    <row r="220915" s="12" customFormat="1" x14ac:dyDescent="0.25"/>
    <row r="220916" s="12" customFormat="1" x14ac:dyDescent="0.25"/>
    <row r="220917" s="12" customFormat="1" x14ac:dyDescent="0.25"/>
    <row r="220918" s="12" customFormat="1" x14ac:dyDescent="0.25"/>
    <row r="220919" s="12" customFormat="1" x14ac:dyDescent="0.25"/>
    <row r="220920" s="12" customFormat="1" x14ac:dyDescent="0.25"/>
    <row r="220921" s="12" customFormat="1" x14ac:dyDescent="0.25"/>
    <row r="220922" s="12" customFormat="1" x14ac:dyDescent="0.25"/>
    <row r="220923" s="12" customFormat="1" x14ac:dyDescent="0.25"/>
    <row r="220924" s="12" customFormat="1" x14ac:dyDescent="0.25"/>
    <row r="220925" s="12" customFormat="1" x14ac:dyDescent="0.25"/>
    <row r="220926" s="12" customFormat="1" x14ac:dyDescent="0.25"/>
    <row r="220927" s="12" customFormat="1" x14ac:dyDescent="0.25"/>
    <row r="220928" s="12" customFormat="1" x14ac:dyDescent="0.25"/>
    <row r="220929" s="12" customFormat="1" x14ac:dyDescent="0.25"/>
    <row r="220930" s="12" customFormat="1" x14ac:dyDescent="0.25"/>
    <row r="220931" s="12" customFormat="1" x14ac:dyDescent="0.25"/>
    <row r="220932" s="12" customFormat="1" x14ac:dyDescent="0.25"/>
    <row r="220933" s="12" customFormat="1" x14ac:dyDescent="0.25"/>
    <row r="220934" s="12" customFormat="1" x14ac:dyDescent="0.25"/>
    <row r="220935" s="12" customFormat="1" x14ac:dyDescent="0.25"/>
    <row r="220936" s="12" customFormat="1" x14ac:dyDescent="0.25"/>
    <row r="220937" s="12" customFormat="1" x14ac:dyDescent="0.25"/>
    <row r="220938" s="12" customFormat="1" x14ac:dyDescent="0.25"/>
    <row r="220939" s="12" customFormat="1" x14ac:dyDescent="0.25"/>
    <row r="220940" s="12" customFormat="1" x14ac:dyDescent="0.25"/>
    <row r="220941" s="12" customFormat="1" x14ac:dyDescent="0.25"/>
    <row r="220942" s="12" customFormat="1" x14ac:dyDescent="0.25"/>
    <row r="220943" s="12" customFormat="1" x14ac:dyDescent="0.25"/>
    <row r="220944" s="12" customFormat="1" x14ac:dyDescent="0.25"/>
    <row r="220945" s="12" customFormat="1" x14ac:dyDescent="0.25"/>
    <row r="220946" s="12" customFormat="1" x14ac:dyDescent="0.25"/>
    <row r="220947" s="12" customFormat="1" x14ac:dyDescent="0.25"/>
    <row r="220948" s="12" customFormat="1" x14ac:dyDescent="0.25"/>
    <row r="220949" s="12" customFormat="1" x14ac:dyDescent="0.25"/>
    <row r="220950" s="12" customFormat="1" x14ac:dyDescent="0.25"/>
    <row r="220951" s="12" customFormat="1" x14ac:dyDescent="0.25"/>
    <row r="220952" s="12" customFormat="1" x14ac:dyDescent="0.25"/>
    <row r="220953" s="12" customFormat="1" x14ac:dyDescent="0.25"/>
    <row r="220954" s="12" customFormat="1" x14ac:dyDescent="0.25"/>
    <row r="220955" s="12" customFormat="1" x14ac:dyDescent="0.25"/>
    <row r="220956" s="12" customFormat="1" x14ac:dyDescent="0.25"/>
    <row r="220957" s="12" customFormat="1" x14ac:dyDescent="0.25"/>
    <row r="220958" s="12" customFormat="1" x14ac:dyDescent="0.25"/>
    <row r="220959" s="12" customFormat="1" x14ac:dyDescent="0.25"/>
    <row r="220960" s="12" customFormat="1" x14ac:dyDescent="0.25"/>
    <row r="220961" s="12" customFormat="1" x14ac:dyDescent="0.25"/>
    <row r="220962" s="12" customFormat="1" x14ac:dyDescent="0.25"/>
    <row r="220963" s="12" customFormat="1" x14ac:dyDescent="0.25"/>
    <row r="220964" s="12" customFormat="1" x14ac:dyDescent="0.25"/>
    <row r="220965" s="12" customFormat="1" x14ac:dyDescent="0.25"/>
    <row r="220966" s="12" customFormat="1" x14ac:dyDescent="0.25"/>
    <row r="220967" s="12" customFormat="1" x14ac:dyDescent="0.25"/>
    <row r="220968" s="12" customFormat="1" x14ac:dyDescent="0.25"/>
    <row r="220969" s="12" customFormat="1" x14ac:dyDescent="0.25"/>
    <row r="220970" s="12" customFormat="1" x14ac:dyDescent="0.25"/>
    <row r="220971" s="12" customFormat="1" x14ac:dyDescent="0.25"/>
    <row r="220972" s="12" customFormat="1" x14ac:dyDescent="0.25"/>
    <row r="220973" s="12" customFormat="1" x14ac:dyDescent="0.25"/>
    <row r="220974" s="12" customFormat="1" x14ac:dyDescent="0.25"/>
    <row r="220975" s="12" customFormat="1" x14ac:dyDescent="0.25"/>
    <row r="220976" s="12" customFormat="1" x14ac:dyDescent="0.25"/>
    <row r="220977" s="12" customFormat="1" x14ac:dyDescent="0.25"/>
    <row r="220978" s="12" customFormat="1" x14ac:dyDescent="0.25"/>
    <row r="220979" s="12" customFormat="1" x14ac:dyDescent="0.25"/>
    <row r="220980" s="12" customFormat="1" x14ac:dyDescent="0.25"/>
    <row r="220981" s="12" customFormat="1" x14ac:dyDescent="0.25"/>
    <row r="220982" s="12" customFormat="1" x14ac:dyDescent="0.25"/>
    <row r="220983" s="12" customFormat="1" x14ac:dyDescent="0.25"/>
    <row r="220984" s="12" customFormat="1" x14ac:dyDescent="0.25"/>
    <row r="220985" s="12" customFormat="1" x14ac:dyDescent="0.25"/>
    <row r="220986" s="12" customFormat="1" x14ac:dyDescent="0.25"/>
    <row r="220987" s="12" customFormat="1" x14ac:dyDescent="0.25"/>
    <row r="220988" s="12" customFormat="1" x14ac:dyDescent="0.25"/>
    <row r="220989" s="12" customFormat="1" x14ac:dyDescent="0.25"/>
    <row r="220990" s="12" customFormat="1" x14ac:dyDescent="0.25"/>
    <row r="220991" s="12" customFormat="1" x14ac:dyDescent="0.25"/>
    <row r="220992" s="12" customFormat="1" x14ac:dyDescent="0.25"/>
    <row r="220993" s="12" customFormat="1" x14ac:dyDescent="0.25"/>
    <row r="220994" s="12" customFormat="1" x14ac:dyDescent="0.25"/>
    <row r="220995" s="12" customFormat="1" x14ac:dyDescent="0.25"/>
    <row r="220996" s="12" customFormat="1" x14ac:dyDescent="0.25"/>
    <row r="220997" s="12" customFormat="1" x14ac:dyDescent="0.25"/>
    <row r="220998" s="12" customFormat="1" x14ac:dyDescent="0.25"/>
    <row r="220999" s="12" customFormat="1" x14ac:dyDescent="0.25"/>
    <row r="221000" s="12" customFormat="1" x14ac:dyDescent="0.25"/>
    <row r="221001" s="12" customFormat="1" x14ac:dyDescent="0.25"/>
    <row r="221002" s="12" customFormat="1" x14ac:dyDescent="0.25"/>
    <row r="221003" s="12" customFormat="1" x14ac:dyDescent="0.25"/>
    <row r="221004" s="12" customFormat="1" x14ac:dyDescent="0.25"/>
    <row r="221005" s="12" customFormat="1" x14ac:dyDescent="0.25"/>
    <row r="221006" s="12" customFormat="1" x14ac:dyDescent="0.25"/>
    <row r="221007" s="12" customFormat="1" x14ac:dyDescent="0.25"/>
    <row r="221008" s="12" customFormat="1" x14ac:dyDescent="0.25"/>
    <row r="221009" s="12" customFormat="1" x14ac:dyDescent="0.25"/>
    <row r="221010" s="12" customFormat="1" x14ac:dyDescent="0.25"/>
    <row r="221011" s="12" customFormat="1" x14ac:dyDescent="0.25"/>
    <row r="221012" s="12" customFormat="1" x14ac:dyDescent="0.25"/>
    <row r="221013" s="12" customFormat="1" x14ac:dyDescent="0.25"/>
    <row r="221014" s="12" customFormat="1" x14ac:dyDescent="0.25"/>
    <row r="221015" s="12" customFormat="1" x14ac:dyDescent="0.25"/>
    <row r="221016" s="12" customFormat="1" x14ac:dyDescent="0.25"/>
    <row r="221017" s="12" customFormat="1" x14ac:dyDescent="0.25"/>
    <row r="221018" s="12" customFormat="1" x14ac:dyDescent="0.25"/>
    <row r="221019" s="12" customFormat="1" x14ac:dyDescent="0.25"/>
    <row r="221020" s="12" customFormat="1" x14ac:dyDescent="0.25"/>
    <row r="221021" s="12" customFormat="1" x14ac:dyDescent="0.25"/>
    <row r="221022" s="12" customFormat="1" x14ac:dyDescent="0.25"/>
    <row r="221023" s="12" customFormat="1" x14ac:dyDescent="0.25"/>
    <row r="221024" s="12" customFormat="1" x14ac:dyDescent="0.25"/>
    <row r="221025" s="12" customFormat="1" x14ac:dyDescent="0.25"/>
    <row r="221026" s="12" customFormat="1" x14ac:dyDescent="0.25"/>
    <row r="221027" s="12" customFormat="1" x14ac:dyDescent="0.25"/>
    <row r="221028" s="12" customFormat="1" x14ac:dyDescent="0.25"/>
    <row r="221029" s="12" customFormat="1" x14ac:dyDescent="0.25"/>
    <row r="221030" s="12" customFormat="1" x14ac:dyDescent="0.25"/>
    <row r="221031" s="12" customFormat="1" x14ac:dyDescent="0.25"/>
    <row r="221032" s="12" customFormat="1" x14ac:dyDescent="0.25"/>
    <row r="221033" s="12" customFormat="1" x14ac:dyDescent="0.25"/>
    <row r="221034" s="12" customFormat="1" x14ac:dyDescent="0.25"/>
    <row r="221035" s="12" customFormat="1" x14ac:dyDescent="0.25"/>
    <row r="221036" s="12" customFormat="1" x14ac:dyDescent="0.25"/>
    <row r="221037" s="12" customFormat="1" x14ac:dyDescent="0.25"/>
    <row r="221038" s="12" customFormat="1" x14ac:dyDescent="0.25"/>
    <row r="221039" s="12" customFormat="1" x14ac:dyDescent="0.25"/>
    <row r="221040" s="12" customFormat="1" x14ac:dyDescent="0.25"/>
    <row r="221041" s="12" customFormat="1" x14ac:dyDescent="0.25"/>
    <row r="221042" s="12" customFormat="1" x14ac:dyDescent="0.25"/>
    <row r="221043" s="12" customFormat="1" x14ac:dyDescent="0.25"/>
    <row r="221044" s="12" customFormat="1" x14ac:dyDescent="0.25"/>
    <row r="221045" s="12" customFormat="1" x14ac:dyDescent="0.25"/>
    <row r="221046" s="12" customFormat="1" x14ac:dyDescent="0.25"/>
    <row r="221047" s="12" customFormat="1" x14ac:dyDescent="0.25"/>
    <row r="221048" s="12" customFormat="1" x14ac:dyDescent="0.25"/>
    <row r="221049" s="12" customFormat="1" x14ac:dyDescent="0.25"/>
    <row r="221050" s="12" customFormat="1" x14ac:dyDescent="0.25"/>
    <row r="221051" s="12" customFormat="1" x14ac:dyDescent="0.25"/>
    <row r="221052" s="12" customFormat="1" x14ac:dyDescent="0.25"/>
    <row r="221053" s="12" customFormat="1" x14ac:dyDescent="0.25"/>
    <row r="221054" s="12" customFormat="1" x14ac:dyDescent="0.25"/>
    <row r="221055" s="12" customFormat="1" x14ac:dyDescent="0.25"/>
    <row r="221056" s="12" customFormat="1" x14ac:dyDescent="0.25"/>
    <row r="221057" s="12" customFormat="1" x14ac:dyDescent="0.25"/>
    <row r="221058" s="12" customFormat="1" x14ac:dyDescent="0.25"/>
    <row r="221059" s="12" customFormat="1" x14ac:dyDescent="0.25"/>
    <row r="221060" s="12" customFormat="1" x14ac:dyDescent="0.25"/>
    <row r="221061" s="12" customFormat="1" x14ac:dyDescent="0.25"/>
    <row r="221062" s="12" customFormat="1" x14ac:dyDescent="0.25"/>
    <row r="221063" s="12" customFormat="1" x14ac:dyDescent="0.25"/>
    <row r="221064" s="12" customFormat="1" x14ac:dyDescent="0.25"/>
    <row r="221065" s="12" customFormat="1" x14ac:dyDescent="0.25"/>
    <row r="221066" s="12" customFormat="1" x14ac:dyDescent="0.25"/>
    <row r="221067" s="12" customFormat="1" x14ac:dyDescent="0.25"/>
    <row r="221068" s="12" customFormat="1" x14ac:dyDescent="0.25"/>
    <row r="221069" s="12" customFormat="1" x14ac:dyDescent="0.25"/>
    <row r="221070" s="12" customFormat="1" x14ac:dyDescent="0.25"/>
    <row r="221071" s="12" customFormat="1" x14ac:dyDescent="0.25"/>
    <row r="221072" s="12" customFormat="1" x14ac:dyDescent="0.25"/>
    <row r="221073" s="12" customFormat="1" x14ac:dyDescent="0.25"/>
    <row r="221074" s="12" customFormat="1" x14ac:dyDescent="0.25"/>
    <row r="221075" s="12" customFormat="1" x14ac:dyDescent="0.25"/>
    <row r="221076" s="12" customFormat="1" x14ac:dyDescent="0.25"/>
    <row r="221077" s="12" customFormat="1" x14ac:dyDescent="0.25"/>
    <row r="221078" s="12" customFormat="1" x14ac:dyDescent="0.25"/>
    <row r="221079" s="12" customFormat="1" x14ac:dyDescent="0.25"/>
    <row r="221080" s="12" customFormat="1" x14ac:dyDescent="0.25"/>
    <row r="221081" s="12" customFormat="1" x14ac:dyDescent="0.25"/>
    <row r="221082" s="12" customFormat="1" x14ac:dyDescent="0.25"/>
    <row r="221083" s="12" customFormat="1" x14ac:dyDescent="0.25"/>
    <row r="221084" s="12" customFormat="1" x14ac:dyDescent="0.25"/>
    <row r="221085" s="12" customFormat="1" x14ac:dyDescent="0.25"/>
    <row r="221086" s="12" customFormat="1" x14ac:dyDescent="0.25"/>
    <row r="221087" s="12" customFormat="1" x14ac:dyDescent="0.25"/>
    <row r="221088" s="12" customFormat="1" x14ac:dyDescent="0.25"/>
    <row r="221089" s="12" customFormat="1" x14ac:dyDescent="0.25"/>
    <row r="221090" s="12" customFormat="1" x14ac:dyDescent="0.25"/>
    <row r="221091" s="12" customFormat="1" x14ac:dyDescent="0.25"/>
    <row r="221092" s="12" customFormat="1" x14ac:dyDescent="0.25"/>
    <row r="221093" s="12" customFormat="1" x14ac:dyDescent="0.25"/>
    <row r="221094" s="12" customFormat="1" x14ac:dyDescent="0.25"/>
    <row r="221095" s="12" customFormat="1" x14ac:dyDescent="0.25"/>
    <row r="221096" s="12" customFormat="1" x14ac:dyDescent="0.25"/>
    <row r="221097" s="12" customFormat="1" x14ac:dyDescent="0.25"/>
    <row r="221098" s="12" customFormat="1" x14ac:dyDescent="0.25"/>
    <row r="221099" s="12" customFormat="1" x14ac:dyDescent="0.25"/>
    <row r="221100" s="12" customFormat="1" x14ac:dyDescent="0.25"/>
    <row r="221101" s="12" customFormat="1" x14ac:dyDescent="0.25"/>
    <row r="221102" s="12" customFormat="1" x14ac:dyDescent="0.25"/>
    <row r="221103" s="12" customFormat="1" x14ac:dyDescent="0.25"/>
    <row r="221104" s="12" customFormat="1" x14ac:dyDescent="0.25"/>
    <row r="221105" s="12" customFormat="1" x14ac:dyDescent="0.25"/>
    <row r="221106" s="12" customFormat="1" x14ac:dyDescent="0.25"/>
    <row r="221107" s="12" customFormat="1" x14ac:dyDescent="0.25"/>
    <row r="221108" s="12" customFormat="1" x14ac:dyDescent="0.25"/>
    <row r="221109" s="12" customFormat="1" x14ac:dyDescent="0.25"/>
    <row r="221110" s="12" customFormat="1" x14ac:dyDescent="0.25"/>
    <row r="221111" s="12" customFormat="1" x14ac:dyDescent="0.25"/>
    <row r="221112" s="12" customFormat="1" x14ac:dyDescent="0.25"/>
    <row r="221113" s="12" customFormat="1" x14ac:dyDescent="0.25"/>
    <row r="221114" s="12" customFormat="1" x14ac:dyDescent="0.25"/>
    <row r="221115" s="12" customFormat="1" x14ac:dyDescent="0.25"/>
    <row r="221116" s="12" customFormat="1" x14ac:dyDescent="0.25"/>
    <row r="221117" s="12" customFormat="1" x14ac:dyDescent="0.25"/>
    <row r="221118" s="12" customFormat="1" x14ac:dyDescent="0.25"/>
    <row r="221119" s="12" customFormat="1" x14ac:dyDescent="0.25"/>
    <row r="221120" s="12" customFormat="1" x14ac:dyDescent="0.25"/>
    <row r="221121" s="12" customFormat="1" x14ac:dyDescent="0.25"/>
    <row r="221122" s="12" customFormat="1" x14ac:dyDescent="0.25"/>
    <row r="221123" s="12" customFormat="1" x14ac:dyDescent="0.25"/>
    <row r="221124" s="12" customFormat="1" x14ac:dyDescent="0.25"/>
    <row r="221125" s="12" customFormat="1" x14ac:dyDescent="0.25"/>
    <row r="221126" s="12" customFormat="1" x14ac:dyDescent="0.25"/>
    <row r="221127" s="12" customFormat="1" x14ac:dyDescent="0.25"/>
    <row r="221128" s="12" customFormat="1" x14ac:dyDescent="0.25"/>
    <row r="221129" s="12" customFormat="1" x14ac:dyDescent="0.25"/>
    <row r="221130" s="12" customFormat="1" x14ac:dyDescent="0.25"/>
    <row r="221131" s="12" customFormat="1" x14ac:dyDescent="0.25"/>
    <row r="221132" s="12" customFormat="1" x14ac:dyDescent="0.25"/>
    <row r="221133" s="12" customFormat="1" x14ac:dyDescent="0.25"/>
    <row r="221134" s="12" customFormat="1" x14ac:dyDescent="0.25"/>
    <row r="221135" s="12" customFormat="1" x14ac:dyDescent="0.25"/>
    <row r="221136" s="12" customFormat="1" x14ac:dyDescent="0.25"/>
    <row r="221137" s="12" customFormat="1" x14ac:dyDescent="0.25"/>
    <row r="221138" s="12" customFormat="1" x14ac:dyDescent="0.25"/>
    <row r="221139" s="12" customFormat="1" x14ac:dyDescent="0.25"/>
    <row r="221140" s="12" customFormat="1" x14ac:dyDescent="0.25"/>
    <row r="221141" s="12" customFormat="1" x14ac:dyDescent="0.25"/>
    <row r="221142" s="12" customFormat="1" x14ac:dyDescent="0.25"/>
    <row r="221143" s="12" customFormat="1" x14ac:dyDescent="0.25"/>
    <row r="221144" s="12" customFormat="1" x14ac:dyDescent="0.25"/>
    <row r="221145" s="12" customFormat="1" x14ac:dyDescent="0.25"/>
    <row r="221146" s="12" customFormat="1" x14ac:dyDescent="0.25"/>
    <row r="221147" s="12" customFormat="1" x14ac:dyDescent="0.25"/>
    <row r="221148" s="12" customFormat="1" x14ac:dyDescent="0.25"/>
    <row r="221149" s="12" customFormat="1" x14ac:dyDescent="0.25"/>
    <row r="221150" s="12" customFormat="1" x14ac:dyDescent="0.25"/>
    <row r="221151" s="12" customFormat="1" x14ac:dyDescent="0.25"/>
    <row r="221152" s="12" customFormat="1" x14ac:dyDescent="0.25"/>
    <row r="221153" s="12" customFormat="1" x14ac:dyDescent="0.25"/>
    <row r="221154" s="12" customFormat="1" x14ac:dyDescent="0.25"/>
    <row r="221155" s="12" customFormat="1" x14ac:dyDescent="0.25"/>
    <row r="221156" s="12" customFormat="1" x14ac:dyDescent="0.25"/>
    <row r="221157" s="12" customFormat="1" x14ac:dyDescent="0.25"/>
    <row r="221158" s="12" customFormat="1" x14ac:dyDescent="0.25"/>
    <row r="221159" s="12" customFormat="1" x14ac:dyDescent="0.25"/>
    <row r="221160" s="12" customFormat="1" x14ac:dyDescent="0.25"/>
    <row r="221161" s="12" customFormat="1" x14ac:dyDescent="0.25"/>
    <row r="221162" s="12" customFormat="1" x14ac:dyDescent="0.25"/>
    <row r="221163" s="12" customFormat="1" x14ac:dyDescent="0.25"/>
    <row r="221164" s="12" customFormat="1" x14ac:dyDescent="0.25"/>
    <row r="221165" s="12" customFormat="1" x14ac:dyDescent="0.25"/>
    <row r="221166" s="12" customFormat="1" x14ac:dyDescent="0.25"/>
    <row r="221167" s="12" customFormat="1" x14ac:dyDescent="0.25"/>
    <row r="221168" s="12" customFormat="1" x14ac:dyDescent="0.25"/>
    <row r="221169" s="12" customFormat="1" x14ac:dyDescent="0.25"/>
    <row r="221170" s="12" customFormat="1" x14ac:dyDescent="0.25"/>
    <row r="221171" s="12" customFormat="1" x14ac:dyDescent="0.25"/>
    <row r="221172" s="12" customFormat="1" x14ac:dyDescent="0.25"/>
    <row r="221173" s="12" customFormat="1" x14ac:dyDescent="0.25"/>
    <row r="221174" s="12" customFormat="1" x14ac:dyDescent="0.25"/>
    <row r="221175" s="12" customFormat="1" x14ac:dyDescent="0.25"/>
    <row r="221176" s="12" customFormat="1" x14ac:dyDescent="0.25"/>
    <row r="221177" s="12" customFormat="1" x14ac:dyDescent="0.25"/>
    <row r="221178" s="12" customFormat="1" x14ac:dyDescent="0.25"/>
    <row r="221179" s="12" customFormat="1" x14ac:dyDescent="0.25"/>
    <row r="221180" s="12" customFormat="1" x14ac:dyDescent="0.25"/>
    <row r="221181" s="12" customFormat="1" x14ac:dyDescent="0.25"/>
    <row r="221182" s="12" customFormat="1" x14ac:dyDescent="0.25"/>
    <row r="221183" s="12" customFormat="1" x14ac:dyDescent="0.25"/>
    <row r="221184" s="12" customFormat="1" x14ac:dyDescent="0.25"/>
    <row r="221185" s="12" customFormat="1" x14ac:dyDescent="0.25"/>
    <row r="221186" s="12" customFormat="1" x14ac:dyDescent="0.25"/>
    <row r="221187" s="12" customFormat="1" x14ac:dyDescent="0.25"/>
    <row r="221188" s="12" customFormat="1" x14ac:dyDescent="0.25"/>
    <row r="221189" s="12" customFormat="1" x14ac:dyDescent="0.25"/>
    <row r="221190" s="12" customFormat="1" x14ac:dyDescent="0.25"/>
    <row r="221191" s="12" customFormat="1" x14ac:dyDescent="0.25"/>
    <row r="221192" s="12" customFormat="1" x14ac:dyDescent="0.25"/>
    <row r="221193" s="12" customFormat="1" x14ac:dyDescent="0.25"/>
    <row r="221194" s="12" customFormat="1" x14ac:dyDescent="0.25"/>
    <row r="221195" s="12" customFormat="1" x14ac:dyDescent="0.25"/>
    <row r="221196" s="12" customFormat="1" x14ac:dyDescent="0.25"/>
    <row r="221197" s="12" customFormat="1" x14ac:dyDescent="0.25"/>
    <row r="221198" s="12" customFormat="1" x14ac:dyDescent="0.25"/>
    <row r="221199" s="12" customFormat="1" x14ac:dyDescent="0.25"/>
    <row r="221200" s="12" customFormat="1" x14ac:dyDescent="0.25"/>
    <row r="221201" s="12" customFormat="1" x14ac:dyDescent="0.25"/>
    <row r="221202" s="12" customFormat="1" x14ac:dyDescent="0.25"/>
    <row r="221203" s="12" customFormat="1" x14ac:dyDescent="0.25"/>
    <row r="221204" s="12" customFormat="1" x14ac:dyDescent="0.25"/>
    <row r="221205" s="12" customFormat="1" x14ac:dyDescent="0.25"/>
    <row r="221206" s="12" customFormat="1" x14ac:dyDescent="0.25"/>
    <row r="221207" s="12" customFormat="1" x14ac:dyDescent="0.25"/>
    <row r="221208" s="12" customFormat="1" x14ac:dyDescent="0.25"/>
    <row r="221209" s="12" customFormat="1" x14ac:dyDescent="0.25"/>
    <row r="221210" s="12" customFormat="1" x14ac:dyDescent="0.25"/>
    <row r="221211" s="12" customFormat="1" x14ac:dyDescent="0.25"/>
    <row r="221212" s="12" customFormat="1" x14ac:dyDescent="0.25"/>
    <row r="221213" s="12" customFormat="1" x14ac:dyDescent="0.25"/>
    <row r="221214" s="12" customFormat="1" x14ac:dyDescent="0.25"/>
    <row r="221215" s="12" customFormat="1" x14ac:dyDescent="0.25"/>
    <row r="221216" s="12" customFormat="1" x14ac:dyDescent="0.25"/>
    <row r="221217" s="12" customFormat="1" x14ac:dyDescent="0.25"/>
    <row r="221218" s="12" customFormat="1" x14ac:dyDescent="0.25"/>
    <row r="221219" s="12" customFormat="1" x14ac:dyDescent="0.25"/>
    <row r="221220" s="12" customFormat="1" x14ac:dyDescent="0.25"/>
    <row r="221221" s="12" customFormat="1" x14ac:dyDescent="0.25"/>
    <row r="221222" s="12" customFormat="1" x14ac:dyDescent="0.25"/>
    <row r="221223" s="12" customFormat="1" x14ac:dyDescent="0.25"/>
    <row r="221224" s="12" customFormat="1" x14ac:dyDescent="0.25"/>
    <row r="221225" s="12" customFormat="1" x14ac:dyDescent="0.25"/>
    <row r="221226" s="12" customFormat="1" x14ac:dyDescent="0.25"/>
    <row r="221227" s="12" customFormat="1" x14ac:dyDescent="0.25"/>
    <row r="221228" s="12" customFormat="1" x14ac:dyDescent="0.25"/>
    <row r="221229" s="12" customFormat="1" x14ac:dyDescent="0.25"/>
    <row r="221230" s="12" customFormat="1" x14ac:dyDescent="0.25"/>
    <row r="221231" s="12" customFormat="1" x14ac:dyDescent="0.25"/>
    <row r="221232" s="12" customFormat="1" x14ac:dyDescent="0.25"/>
    <row r="221233" s="12" customFormat="1" x14ac:dyDescent="0.25"/>
    <row r="221234" s="12" customFormat="1" x14ac:dyDescent="0.25"/>
    <row r="221235" s="12" customFormat="1" x14ac:dyDescent="0.25"/>
    <row r="221236" s="12" customFormat="1" x14ac:dyDescent="0.25"/>
    <row r="221237" s="12" customFormat="1" x14ac:dyDescent="0.25"/>
    <row r="221238" s="12" customFormat="1" x14ac:dyDescent="0.25"/>
    <row r="221239" s="12" customFormat="1" x14ac:dyDescent="0.25"/>
    <row r="221240" s="12" customFormat="1" x14ac:dyDescent="0.25"/>
    <row r="221241" s="12" customFormat="1" x14ac:dyDescent="0.25"/>
    <row r="221242" s="12" customFormat="1" x14ac:dyDescent="0.25"/>
    <row r="221243" s="12" customFormat="1" x14ac:dyDescent="0.25"/>
    <row r="221244" s="12" customFormat="1" x14ac:dyDescent="0.25"/>
    <row r="221245" s="12" customFormat="1" x14ac:dyDescent="0.25"/>
    <row r="221246" s="12" customFormat="1" x14ac:dyDescent="0.25"/>
    <row r="221247" s="12" customFormat="1" x14ac:dyDescent="0.25"/>
    <row r="221248" s="12" customFormat="1" x14ac:dyDescent="0.25"/>
    <row r="221249" s="12" customFormat="1" x14ac:dyDescent="0.25"/>
    <row r="221250" s="12" customFormat="1" x14ac:dyDescent="0.25"/>
    <row r="221251" s="12" customFormat="1" x14ac:dyDescent="0.25"/>
    <row r="221252" s="12" customFormat="1" x14ac:dyDescent="0.25"/>
    <row r="221253" s="12" customFormat="1" x14ac:dyDescent="0.25"/>
    <row r="221254" s="12" customFormat="1" x14ac:dyDescent="0.25"/>
    <row r="221255" s="12" customFormat="1" x14ac:dyDescent="0.25"/>
    <row r="221256" s="12" customFormat="1" x14ac:dyDescent="0.25"/>
    <row r="221257" s="12" customFormat="1" x14ac:dyDescent="0.25"/>
    <row r="221258" s="12" customFormat="1" x14ac:dyDescent="0.25"/>
    <row r="221259" s="12" customFormat="1" x14ac:dyDescent="0.25"/>
    <row r="221260" s="12" customFormat="1" x14ac:dyDescent="0.25"/>
    <row r="221261" s="12" customFormat="1" x14ac:dyDescent="0.25"/>
    <row r="221262" s="12" customFormat="1" x14ac:dyDescent="0.25"/>
    <row r="221263" s="12" customFormat="1" x14ac:dyDescent="0.25"/>
    <row r="221264" s="12" customFormat="1" x14ac:dyDescent="0.25"/>
    <row r="221265" s="12" customFormat="1" x14ac:dyDescent="0.25"/>
    <row r="221266" s="12" customFormat="1" x14ac:dyDescent="0.25"/>
    <row r="221267" s="12" customFormat="1" x14ac:dyDescent="0.25"/>
    <row r="221268" s="12" customFormat="1" x14ac:dyDescent="0.25"/>
    <row r="221269" s="12" customFormat="1" x14ac:dyDescent="0.25"/>
    <row r="221270" s="12" customFormat="1" x14ac:dyDescent="0.25"/>
    <row r="221271" s="12" customFormat="1" x14ac:dyDescent="0.25"/>
    <row r="221272" s="12" customFormat="1" x14ac:dyDescent="0.25"/>
    <row r="221273" s="12" customFormat="1" x14ac:dyDescent="0.25"/>
    <row r="221274" s="12" customFormat="1" x14ac:dyDescent="0.25"/>
    <row r="221275" s="12" customFormat="1" x14ac:dyDescent="0.25"/>
    <row r="221276" s="12" customFormat="1" x14ac:dyDescent="0.25"/>
    <row r="221277" s="12" customFormat="1" x14ac:dyDescent="0.25"/>
    <row r="221278" s="12" customFormat="1" x14ac:dyDescent="0.25"/>
    <row r="221279" s="12" customFormat="1" x14ac:dyDescent="0.25"/>
    <row r="221280" s="12" customFormat="1" x14ac:dyDescent="0.25"/>
    <row r="221281" s="12" customFormat="1" x14ac:dyDescent="0.25"/>
    <row r="221282" s="12" customFormat="1" x14ac:dyDescent="0.25"/>
    <row r="221283" s="12" customFormat="1" x14ac:dyDescent="0.25"/>
    <row r="221284" s="12" customFormat="1" x14ac:dyDescent="0.25"/>
    <row r="221285" s="12" customFormat="1" x14ac:dyDescent="0.25"/>
    <row r="221286" s="12" customFormat="1" x14ac:dyDescent="0.25"/>
    <row r="221287" s="12" customFormat="1" x14ac:dyDescent="0.25"/>
    <row r="221288" s="12" customFormat="1" x14ac:dyDescent="0.25"/>
    <row r="221289" s="12" customFormat="1" x14ac:dyDescent="0.25"/>
    <row r="221290" s="12" customFormat="1" x14ac:dyDescent="0.25"/>
    <row r="221291" s="12" customFormat="1" x14ac:dyDescent="0.25"/>
    <row r="221292" s="12" customFormat="1" x14ac:dyDescent="0.25"/>
    <row r="221293" s="12" customFormat="1" x14ac:dyDescent="0.25"/>
    <row r="221294" s="12" customFormat="1" x14ac:dyDescent="0.25"/>
    <row r="221295" s="12" customFormat="1" x14ac:dyDescent="0.25"/>
    <row r="221296" s="12" customFormat="1" x14ac:dyDescent="0.25"/>
    <row r="221297" s="12" customFormat="1" x14ac:dyDescent="0.25"/>
    <row r="221298" s="12" customFormat="1" x14ac:dyDescent="0.25"/>
    <row r="221299" s="12" customFormat="1" x14ac:dyDescent="0.25"/>
    <row r="221300" s="12" customFormat="1" x14ac:dyDescent="0.25"/>
    <row r="221301" s="12" customFormat="1" x14ac:dyDescent="0.25"/>
    <row r="221302" s="12" customFormat="1" x14ac:dyDescent="0.25"/>
    <row r="221303" s="12" customFormat="1" x14ac:dyDescent="0.25"/>
    <row r="221304" s="12" customFormat="1" x14ac:dyDescent="0.25"/>
    <row r="221305" s="12" customFormat="1" x14ac:dyDescent="0.25"/>
    <row r="221306" s="12" customFormat="1" x14ac:dyDescent="0.25"/>
    <row r="221307" s="12" customFormat="1" x14ac:dyDescent="0.25"/>
    <row r="221308" s="12" customFormat="1" x14ac:dyDescent="0.25"/>
    <row r="221309" s="12" customFormat="1" x14ac:dyDescent="0.25"/>
    <row r="221310" s="12" customFormat="1" x14ac:dyDescent="0.25"/>
    <row r="221311" s="12" customFormat="1" x14ac:dyDescent="0.25"/>
    <row r="221312" s="12" customFormat="1" x14ac:dyDescent="0.25"/>
    <row r="221313" s="12" customFormat="1" x14ac:dyDescent="0.25"/>
    <row r="221314" s="12" customFormat="1" x14ac:dyDescent="0.25"/>
    <row r="221315" s="12" customFormat="1" x14ac:dyDescent="0.25"/>
    <row r="221316" s="12" customFormat="1" x14ac:dyDescent="0.25"/>
    <row r="221317" s="12" customFormat="1" x14ac:dyDescent="0.25"/>
    <row r="221318" s="12" customFormat="1" x14ac:dyDescent="0.25"/>
    <row r="221319" s="12" customFormat="1" x14ac:dyDescent="0.25"/>
    <row r="221320" s="12" customFormat="1" x14ac:dyDescent="0.25"/>
    <row r="221321" s="12" customFormat="1" x14ac:dyDescent="0.25"/>
    <row r="221322" s="12" customFormat="1" x14ac:dyDescent="0.25"/>
    <row r="221323" s="12" customFormat="1" x14ac:dyDescent="0.25"/>
    <row r="221324" s="12" customFormat="1" x14ac:dyDescent="0.25"/>
    <row r="221325" s="12" customFormat="1" x14ac:dyDescent="0.25"/>
    <row r="221326" s="12" customFormat="1" x14ac:dyDescent="0.25"/>
    <row r="221327" s="12" customFormat="1" x14ac:dyDescent="0.25"/>
    <row r="221328" s="12" customFormat="1" x14ac:dyDescent="0.25"/>
    <row r="221329" s="12" customFormat="1" x14ac:dyDescent="0.25"/>
    <row r="221330" s="12" customFormat="1" x14ac:dyDescent="0.25"/>
    <row r="221331" s="12" customFormat="1" x14ac:dyDescent="0.25"/>
    <row r="221332" s="12" customFormat="1" x14ac:dyDescent="0.25"/>
    <row r="221333" s="12" customFormat="1" x14ac:dyDescent="0.25"/>
    <row r="221334" s="12" customFormat="1" x14ac:dyDescent="0.25"/>
    <row r="221335" s="12" customFormat="1" x14ac:dyDescent="0.25"/>
    <row r="221336" s="12" customFormat="1" x14ac:dyDescent="0.25"/>
    <row r="221337" s="12" customFormat="1" x14ac:dyDescent="0.25"/>
    <row r="221338" s="12" customFormat="1" x14ac:dyDescent="0.25"/>
    <row r="221339" s="12" customFormat="1" x14ac:dyDescent="0.25"/>
    <row r="221340" s="12" customFormat="1" x14ac:dyDescent="0.25"/>
    <row r="221341" s="12" customFormat="1" x14ac:dyDescent="0.25"/>
    <row r="221342" s="12" customFormat="1" x14ac:dyDescent="0.25"/>
    <row r="221343" s="12" customFormat="1" x14ac:dyDescent="0.25"/>
    <row r="221344" s="12" customFormat="1" x14ac:dyDescent="0.25"/>
    <row r="221345" s="12" customFormat="1" x14ac:dyDescent="0.25"/>
    <row r="221346" s="12" customFormat="1" x14ac:dyDescent="0.25"/>
    <row r="221347" s="12" customFormat="1" x14ac:dyDescent="0.25"/>
    <row r="221348" s="12" customFormat="1" x14ac:dyDescent="0.25"/>
    <row r="221349" s="12" customFormat="1" x14ac:dyDescent="0.25"/>
    <row r="221350" s="12" customFormat="1" x14ac:dyDescent="0.25"/>
    <row r="221351" s="12" customFormat="1" x14ac:dyDescent="0.25"/>
    <row r="221352" s="12" customFormat="1" x14ac:dyDescent="0.25"/>
    <row r="221353" s="12" customFormat="1" x14ac:dyDescent="0.25"/>
    <row r="221354" s="12" customFormat="1" x14ac:dyDescent="0.25"/>
    <row r="221355" s="12" customFormat="1" x14ac:dyDescent="0.25"/>
    <row r="221356" s="12" customFormat="1" x14ac:dyDescent="0.25"/>
    <row r="221357" s="12" customFormat="1" x14ac:dyDescent="0.25"/>
    <row r="221358" s="12" customFormat="1" x14ac:dyDescent="0.25"/>
    <row r="221359" s="12" customFormat="1" x14ac:dyDescent="0.25"/>
    <row r="221360" s="12" customFormat="1" x14ac:dyDescent="0.25"/>
    <row r="221361" s="12" customFormat="1" x14ac:dyDescent="0.25"/>
    <row r="221362" s="12" customFormat="1" x14ac:dyDescent="0.25"/>
    <row r="221363" s="12" customFormat="1" x14ac:dyDescent="0.25"/>
    <row r="221364" s="12" customFormat="1" x14ac:dyDescent="0.25"/>
    <row r="221365" s="12" customFormat="1" x14ac:dyDescent="0.25"/>
    <row r="221366" s="12" customFormat="1" x14ac:dyDescent="0.25"/>
    <row r="221367" s="12" customFormat="1" x14ac:dyDescent="0.25"/>
    <row r="221368" s="12" customFormat="1" x14ac:dyDescent="0.25"/>
    <row r="221369" s="12" customFormat="1" x14ac:dyDescent="0.25"/>
    <row r="221370" s="12" customFormat="1" x14ac:dyDescent="0.25"/>
    <row r="221371" s="12" customFormat="1" x14ac:dyDescent="0.25"/>
    <row r="221372" s="12" customFormat="1" x14ac:dyDescent="0.25"/>
    <row r="221373" s="12" customFormat="1" x14ac:dyDescent="0.25"/>
    <row r="221374" s="12" customFormat="1" x14ac:dyDescent="0.25"/>
    <row r="221375" s="12" customFormat="1" x14ac:dyDescent="0.25"/>
    <row r="221376" s="12" customFormat="1" x14ac:dyDescent="0.25"/>
    <row r="221377" s="12" customFormat="1" x14ac:dyDescent="0.25"/>
    <row r="221378" s="12" customFormat="1" x14ac:dyDescent="0.25"/>
    <row r="221379" s="12" customFormat="1" x14ac:dyDescent="0.25"/>
    <row r="221380" s="12" customFormat="1" x14ac:dyDescent="0.25"/>
    <row r="221381" s="12" customFormat="1" x14ac:dyDescent="0.25"/>
    <row r="221382" s="12" customFormat="1" x14ac:dyDescent="0.25"/>
    <row r="221383" s="12" customFormat="1" x14ac:dyDescent="0.25"/>
    <row r="221384" s="12" customFormat="1" x14ac:dyDescent="0.25"/>
    <row r="221385" s="12" customFormat="1" x14ac:dyDescent="0.25"/>
    <row r="221386" s="12" customFormat="1" x14ac:dyDescent="0.25"/>
    <row r="221387" s="12" customFormat="1" x14ac:dyDescent="0.25"/>
    <row r="221388" s="12" customFormat="1" x14ac:dyDescent="0.25"/>
    <row r="221389" s="12" customFormat="1" x14ac:dyDescent="0.25"/>
    <row r="221390" s="12" customFormat="1" x14ac:dyDescent="0.25"/>
    <row r="221391" s="12" customFormat="1" x14ac:dyDescent="0.25"/>
    <row r="221392" s="12" customFormat="1" x14ac:dyDescent="0.25"/>
    <row r="221393" s="12" customFormat="1" x14ac:dyDescent="0.25"/>
    <row r="221394" s="12" customFormat="1" x14ac:dyDescent="0.25"/>
    <row r="221395" s="12" customFormat="1" x14ac:dyDescent="0.25"/>
    <row r="221396" s="12" customFormat="1" x14ac:dyDescent="0.25"/>
    <row r="221397" s="12" customFormat="1" x14ac:dyDescent="0.25"/>
    <row r="221398" s="12" customFormat="1" x14ac:dyDescent="0.25"/>
    <row r="221399" s="12" customFormat="1" x14ac:dyDescent="0.25"/>
    <row r="221400" s="12" customFormat="1" x14ac:dyDescent="0.25"/>
    <row r="221401" s="12" customFormat="1" x14ac:dyDescent="0.25"/>
    <row r="221402" s="12" customFormat="1" x14ac:dyDescent="0.25"/>
    <row r="221403" s="12" customFormat="1" x14ac:dyDescent="0.25"/>
    <row r="221404" s="12" customFormat="1" x14ac:dyDescent="0.25"/>
    <row r="221405" s="12" customFormat="1" x14ac:dyDescent="0.25"/>
    <row r="221406" s="12" customFormat="1" x14ac:dyDescent="0.25"/>
    <row r="221407" s="12" customFormat="1" x14ac:dyDescent="0.25"/>
    <row r="221408" s="12" customFormat="1" x14ac:dyDescent="0.25"/>
    <row r="221409" s="12" customFormat="1" x14ac:dyDescent="0.25"/>
    <row r="221410" s="12" customFormat="1" x14ac:dyDescent="0.25"/>
    <row r="221411" s="12" customFormat="1" x14ac:dyDescent="0.25"/>
    <row r="221412" s="12" customFormat="1" x14ac:dyDescent="0.25"/>
    <row r="221413" s="12" customFormat="1" x14ac:dyDescent="0.25"/>
    <row r="221414" s="12" customFormat="1" x14ac:dyDescent="0.25"/>
    <row r="221415" s="12" customFormat="1" x14ac:dyDescent="0.25"/>
    <row r="221416" s="12" customFormat="1" x14ac:dyDescent="0.25"/>
    <row r="221417" s="12" customFormat="1" x14ac:dyDescent="0.25"/>
    <row r="221418" s="12" customFormat="1" x14ac:dyDescent="0.25"/>
    <row r="221419" s="12" customFormat="1" x14ac:dyDescent="0.25"/>
    <row r="221420" s="12" customFormat="1" x14ac:dyDescent="0.25"/>
    <row r="221421" s="12" customFormat="1" x14ac:dyDescent="0.25"/>
    <row r="221422" s="12" customFormat="1" x14ac:dyDescent="0.25"/>
    <row r="221423" s="12" customFormat="1" x14ac:dyDescent="0.25"/>
    <row r="221424" s="12" customFormat="1" x14ac:dyDescent="0.25"/>
    <row r="221425" s="12" customFormat="1" x14ac:dyDescent="0.25"/>
    <row r="221426" s="12" customFormat="1" x14ac:dyDescent="0.25"/>
    <row r="221427" s="12" customFormat="1" x14ac:dyDescent="0.25"/>
    <row r="221428" s="12" customFormat="1" x14ac:dyDescent="0.25"/>
    <row r="221429" s="12" customFormat="1" x14ac:dyDescent="0.25"/>
    <row r="221430" s="12" customFormat="1" x14ac:dyDescent="0.25"/>
    <row r="221431" s="12" customFormat="1" x14ac:dyDescent="0.25"/>
    <row r="221432" s="12" customFormat="1" x14ac:dyDescent="0.25"/>
    <row r="221433" s="12" customFormat="1" x14ac:dyDescent="0.25"/>
    <row r="221434" s="12" customFormat="1" x14ac:dyDescent="0.25"/>
    <row r="221435" s="12" customFormat="1" x14ac:dyDescent="0.25"/>
    <row r="221436" s="12" customFormat="1" x14ac:dyDescent="0.25"/>
    <row r="221437" s="12" customFormat="1" x14ac:dyDescent="0.25"/>
    <row r="221438" s="12" customFormat="1" x14ac:dyDescent="0.25"/>
    <row r="221439" s="12" customFormat="1" x14ac:dyDescent="0.25"/>
    <row r="221440" s="12" customFormat="1" x14ac:dyDescent="0.25"/>
    <row r="221441" s="12" customFormat="1" x14ac:dyDescent="0.25"/>
    <row r="221442" s="12" customFormat="1" x14ac:dyDescent="0.25"/>
    <row r="221443" s="12" customFormat="1" x14ac:dyDescent="0.25"/>
    <row r="221444" s="12" customFormat="1" x14ac:dyDescent="0.25"/>
    <row r="221445" s="12" customFormat="1" x14ac:dyDescent="0.25"/>
    <row r="221446" s="12" customFormat="1" x14ac:dyDescent="0.25"/>
    <row r="221447" s="12" customFormat="1" x14ac:dyDescent="0.25"/>
    <row r="221448" s="12" customFormat="1" x14ac:dyDescent="0.25"/>
    <row r="221449" s="12" customFormat="1" x14ac:dyDescent="0.25"/>
    <row r="221450" s="12" customFormat="1" x14ac:dyDescent="0.25"/>
    <row r="221451" s="12" customFormat="1" x14ac:dyDescent="0.25"/>
    <row r="221452" s="12" customFormat="1" x14ac:dyDescent="0.25"/>
    <row r="221453" s="12" customFormat="1" x14ac:dyDescent="0.25"/>
    <row r="221454" s="12" customFormat="1" x14ac:dyDescent="0.25"/>
    <row r="221455" s="12" customFormat="1" x14ac:dyDescent="0.25"/>
    <row r="221456" s="12" customFormat="1" x14ac:dyDescent="0.25"/>
    <row r="221457" s="12" customFormat="1" x14ac:dyDescent="0.25"/>
    <row r="221458" s="12" customFormat="1" x14ac:dyDescent="0.25"/>
    <row r="221459" s="12" customFormat="1" x14ac:dyDescent="0.25"/>
    <row r="221460" s="12" customFormat="1" x14ac:dyDescent="0.25"/>
    <row r="221461" s="12" customFormat="1" x14ac:dyDescent="0.25"/>
    <row r="221462" s="12" customFormat="1" x14ac:dyDescent="0.25"/>
    <row r="221463" s="12" customFormat="1" x14ac:dyDescent="0.25"/>
    <row r="221464" s="12" customFormat="1" x14ac:dyDescent="0.25"/>
    <row r="221465" s="12" customFormat="1" x14ac:dyDescent="0.25"/>
    <row r="221466" s="12" customFormat="1" x14ac:dyDescent="0.25"/>
    <row r="221467" s="12" customFormat="1" x14ac:dyDescent="0.25"/>
    <row r="221468" s="12" customFormat="1" x14ac:dyDescent="0.25"/>
    <row r="221469" s="12" customFormat="1" x14ac:dyDescent="0.25"/>
    <row r="221470" s="12" customFormat="1" x14ac:dyDescent="0.25"/>
    <row r="221471" s="12" customFormat="1" x14ac:dyDescent="0.25"/>
    <row r="221472" s="12" customFormat="1" x14ac:dyDescent="0.25"/>
    <row r="221473" s="12" customFormat="1" x14ac:dyDescent="0.25"/>
    <row r="221474" s="12" customFormat="1" x14ac:dyDescent="0.25"/>
    <row r="221475" s="12" customFormat="1" x14ac:dyDescent="0.25"/>
    <row r="221476" s="12" customFormat="1" x14ac:dyDescent="0.25"/>
    <row r="221477" s="12" customFormat="1" x14ac:dyDescent="0.25"/>
    <row r="221478" s="12" customFormat="1" x14ac:dyDescent="0.25"/>
    <row r="221479" s="12" customFormat="1" x14ac:dyDescent="0.25"/>
    <row r="221480" s="12" customFormat="1" x14ac:dyDescent="0.25"/>
    <row r="221481" s="12" customFormat="1" x14ac:dyDescent="0.25"/>
    <row r="221482" s="12" customFormat="1" x14ac:dyDescent="0.25"/>
    <row r="221483" s="12" customFormat="1" x14ac:dyDescent="0.25"/>
    <row r="221484" s="12" customFormat="1" x14ac:dyDescent="0.25"/>
    <row r="221485" s="12" customFormat="1" x14ac:dyDescent="0.25"/>
    <row r="221486" s="12" customFormat="1" x14ac:dyDescent="0.25"/>
    <row r="221487" s="12" customFormat="1" x14ac:dyDescent="0.25"/>
    <row r="221488" s="12" customFormat="1" x14ac:dyDescent="0.25"/>
    <row r="221489" s="12" customFormat="1" x14ac:dyDescent="0.25"/>
    <row r="221490" s="12" customFormat="1" x14ac:dyDescent="0.25"/>
    <row r="221491" s="12" customFormat="1" x14ac:dyDescent="0.25"/>
    <row r="221492" s="12" customFormat="1" x14ac:dyDescent="0.25"/>
    <row r="221493" s="12" customFormat="1" x14ac:dyDescent="0.25"/>
    <row r="221494" s="12" customFormat="1" x14ac:dyDescent="0.25"/>
    <row r="221495" s="12" customFormat="1" x14ac:dyDescent="0.25"/>
    <row r="221496" s="12" customFormat="1" x14ac:dyDescent="0.25"/>
    <row r="221497" s="12" customFormat="1" x14ac:dyDescent="0.25"/>
    <row r="221498" s="12" customFormat="1" x14ac:dyDescent="0.25"/>
    <row r="221499" s="12" customFormat="1" x14ac:dyDescent="0.25"/>
    <row r="221500" s="12" customFormat="1" x14ac:dyDescent="0.25"/>
    <row r="221501" s="12" customFormat="1" x14ac:dyDescent="0.25"/>
    <row r="221502" s="12" customFormat="1" x14ac:dyDescent="0.25"/>
    <row r="221503" s="12" customFormat="1" x14ac:dyDescent="0.25"/>
    <row r="221504" s="12" customFormat="1" x14ac:dyDescent="0.25"/>
    <row r="221505" s="12" customFormat="1" x14ac:dyDescent="0.25"/>
    <row r="221506" s="12" customFormat="1" x14ac:dyDescent="0.25"/>
    <row r="221507" s="12" customFormat="1" x14ac:dyDescent="0.25"/>
    <row r="221508" s="12" customFormat="1" x14ac:dyDescent="0.25"/>
    <row r="221509" s="12" customFormat="1" x14ac:dyDescent="0.25"/>
    <row r="221510" s="12" customFormat="1" x14ac:dyDescent="0.25"/>
    <row r="221511" s="12" customFormat="1" x14ac:dyDescent="0.25"/>
    <row r="221512" s="12" customFormat="1" x14ac:dyDescent="0.25"/>
    <row r="221513" s="12" customFormat="1" x14ac:dyDescent="0.25"/>
    <row r="221514" s="12" customFormat="1" x14ac:dyDescent="0.25"/>
    <row r="221515" s="12" customFormat="1" x14ac:dyDescent="0.25"/>
    <row r="221516" s="12" customFormat="1" x14ac:dyDescent="0.25"/>
    <row r="221517" s="12" customFormat="1" x14ac:dyDescent="0.25"/>
    <row r="221518" s="12" customFormat="1" x14ac:dyDescent="0.25"/>
    <row r="221519" s="12" customFormat="1" x14ac:dyDescent="0.25"/>
    <row r="221520" s="12" customFormat="1" x14ac:dyDescent="0.25"/>
    <row r="221521" s="12" customFormat="1" x14ac:dyDescent="0.25"/>
    <row r="221522" s="12" customFormat="1" x14ac:dyDescent="0.25"/>
    <row r="221523" s="12" customFormat="1" x14ac:dyDescent="0.25"/>
    <row r="221524" s="12" customFormat="1" x14ac:dyDescent="0.25"/>
    <row r="221525" s="12" customFormat="1" x14ac:dyDescent="0.25"/>
    <row r="221526" s="12" customFormat="1" x14ac:dyDescent="0.25"/>
    <row r="221527" s="12" customFormat="1" x14ac:dyDescent="0.25"/>
    <row r="221528" s="12" customFormat="1" x14ac:dyDescent="0.25"/>
    <row r="221529" s="12" customFormat="1" x14ac:dyDescent="0.25"/>
    <row r="221530" s="12" customFormat="1" x14ac:dyDescent="0.25"/>
    <row r="221531" s="12" customFormat="1" x14ac:dyDescent="0.25"/>
    <row r="221532" s="12" customFormat="1" x14ac:dyDescent="0.25"/>
    <row r="221533" s="12" customFormat="1" x14ac:dyDescent="0.25"/>
    <row r="221534" s="12" customFormat="1" x14ac:dyDescent="0.25"/>
    <row r="221535" s="12" customFormat="1" x14ac:dyDescent="0.25"/>
    <row r="221536" s="12" customFormat="1" x14ac:dyDescent="0.25"/>
    <row r="221537" s="12" customFormat="1" x14ac:dyDescent="0.25"/>
    <row r="221538" s="12" customFormat="1" x14ac:dyDescent="0.25"/>
    <row r="221539" s="12" customFormat="1" x14ac:dyDescent="0.25"/>
    <row r="221540" s="12" customFormat="1" x14ac:dyDescent="0.25"/>
    <row r="221541" s="12" customFormat="1" x14ac:dyDescent="0.25"/>
    <row r="221542" s="12" customFormat="1" x14ac:dyDescent="0.25"/>
    <row r="221543" s="12" customFormat="1" x14ac:dyDescent="0.25"/>
    <row r="221544" s="12" customFormat="1" x14ac:dyDescent="0.25"/>
    <row r="221545" s="12" customFormat="1" x14ac:dyDescent="0.25"/>
    <row r="221546" s="12" customFormat="1" x14ac:dyDescent="0.25"/>
    <row r="221547" s="12" customFormat="1" x14ac:dyDescent="0.25"/>
    <row r="221548" s="12" customFormat="1" x14ac:dyDescent="0.25"/>
    <row r="221549" s="12" customFormat="1" x14ac:dyDescent="0.25"/>
    <row r="221550" s="12" customFormat="1" x14ac:dyDescent="0.25"/>
    <row r="221551" s="12" customFormat="1" x14ac:dyDescent="0.25"/>
    <row r="221552" s="12" customFormat="1" x14ac:dyDescent="0.25"/>
    <row r="221553" s="12" customFormat="1" x14ac:dyDescent="0.25"/>
    <row r="221554" s="12" customFormat="1" x14ac:dyDescent="0.25"/>
    <row r="221555" s="12" customFormat="1" x14ac:dyDescent="0.25"/>
    <row r="221556" s="12" customFormat="1" x14ac:dyDescent="0.25"/>
    <row r="221557" s="12" customFormat="1" x14ac:dyDescent="0.25"/>
    <row r="221558" s="12" customFormat="1" x14ac:dyDescent="0.25"/>
    <row r="221559" s="12" customFormat="1" x14ac:dyDescent="0.25"/>
    <row r="221560" s="12" customFormat="1" x14ac:dyDescent="0.25"/>
    <row r="221561" s="12" customFormat="1" x14ac:dyDescent="0.25"/>
    <row r="221562" s="12" customFormat="1" x14ac:dyDescent="0.25"/>
    <row r="221563" s="12" customFormat="1" x14ac:dyDescent="0.25"/>
    <row r="221564" s="12" customFormat="1" x14ac:dyDescent="0.25"/>
    <row r="221565" s="12" customFormat="1" x14ac:dyDescent="0.25"/>
    <row r="221566" s="12" customFormat="1" x14ac:dyDescent="0.25"/>
    <row r="221567" s="12" customFormat="1" x14ac:dyDescent="0.25"/>
    <row r="221568" s="12" customFormat="1" x14ac:dyDescent="0.25"/>
    <row r="221569" s="12" customFormat="1" x14ac:dyDescent="0.25"/>
    <row r="221570" s="12" customFormat="1" x14ac:dyDescent="0.25"/>
    <row r="221571" s="12" customFormat="1" x14ac:dyDescent="0.25"/>
    <row r="221572" s="12" customFormat="1" x14ac:dyDescent="0.25"/>
    <row r="221573" s="12" customFormat="1" x14ac:dyDescent="0.25"/>
    <row r="221574" s="12" customFormat="1" x14ac:dyDescent="0.25"/>
    <row r="221575" s="12" customFormat="1" x14ac:dyDescent="0.25"/>
    <row r="221576" s="12" customFormat="1" x14ac:dyDescent="0.25"/>
    <row r="221577" s="12" customFormat="1" x14ac:dyDescent="0.25"/>
    <row r="221578" s="12" customFormat="1" x14ac:dyDescent="0.25"/>
    <row r="221579" s="12" customFormat="1" x14ac:dyDescent="0.25"/>
    <row r="221580" s="12" customFormat="1" x14ac:dyDescent="0.25"/>
    <row r="221581" s="12" customFormat="1" x14ac:dyDescent="0.25"/>
    <row r="221582" s="12" customFormat="1" x14ac:dyDescent="0.25"/>
    <row r="221583" s="12" customFormat="1" x14ac:dyDescent="0.25"/>
    <row r="221584" s="12" customFormat="1" x14ac:dyDescent="0.25"/>
    <row r="221585" s="12" customFormat="1" x14ac:dyDescent="0.25"/>
    <row r="221586" s="12" customFormat="1" x14ac:dyDescent="0.25"/>
    <row r="221587" s="12" customFormat="1" x14ac:dyDescent="0.25"/>
    <row r="221588" s="12" customFormat="1" x14ac:dyDescent="0.25"/>
    <row r="221589" s="12" customFormat="1" x14ac:dyDescent="0.25"/>
    <row r="221590" s="12" customFormat="1" x14ac:dyDescent="0.25"/>
    <row r="221591" s="12" customFormat="1" x14ac:dyDescent="0.25"/>
    <row r="221592" s="12" customFormat="1" x14ac:dyDescent="0.25"/>
    <row r="221593" s="12" customFormat="1" x14ac:dyDescent="0.25"/>
    <row r="221594" s="12" customFormat="1" x14ac:dyDescent="0.25"/>
    <row r="221595" s="12" customFormat="1" x14ac:dyDescent="0.25"/>
    <row r="221596" s="12" customFormat="1" x14ac:dyDescent="0.25"/>
    <row r="221597" s="12" customFormat="1" x14ac:dyDescent="0.25"/>
    <row r="221598" s="12" customFormat="1" x14ac:dyDescent="0.25"/>
    <row r="221599" s="12" customFormat="1" x14ac:dyDescent="0.25"/>
    <row r="221600" s="12" customFormat="1" x14ac:dyDescent="0.25"/>
    <row r="221601" s="12" customFormat="1" x14ac:dyDescent="0.25"/>
    <row r="221602" s="12" customFormat="1" x14ac:dyDescent="0.25"/>
    <row r="221603" s="12" customFormat="1" x14ac:dyDescent="0.25"/>
    <row r="221604" s="12" customFormat="1" x14ac:dyDescent="0.25"/>
    <row r="221605" s="12" customFormat="1" x14ac:dyDescent="0.25"/>
    <row r="221606" s="12" customFormat="1" x14ac:dyDescent="0.25"/>
    <row r="221607" s="12" customFormat="1" x14ac:dyDescent="0.25"/>
    <row r="221608" s="12" customFormat="1" x14ac:dyDescent="0.25"/>
    <row r="221609" s="12" customFormat="1" x14ac:dyDescent="0.25"/>
    <row r="221610" s="12" customFormat="1" x14ac:dyDescent="0.25"/>
    <row r="221611" s="12" customFormat="1" x14ac:dyDescent="0.25"/>
    <row r="221612" s="12" customFormat="1" x14ac:dyDescent="0.25"/>
    <row r="221613" s="12" customFormat="1" x14ac:dyDescent="0.25"/>
    <row r="221614" s="12" customFormat="1" x14ac:dyDescent="0.25"/>
    <row r="221615" s="12" customFormat="1" x14ac:dyDescent="0.25"/>
    <row r="221616" s="12" customFormat="1" x14ac:dyDescent="0.25"/>
    <row r="221617" s="12" customFormat="1" x14ac:dyDescent="0.25"/>
    <row r="221618" s="12" customFormat="1" x14ac:dyDescent="0.25"/>
    <row r="221619" s="12" customFormat="1" x14ac:dyDescent="0.25"/>
    <row r="221620" s="12" customFormat="1" x14ac:dyDescent="0.25"/>
    <row r="221621" s="12" customFormat="1" x14ac:dyDescent="0.25"/>
    <row r="221622" s="12" customFormat="1" x14ac:dyDescent="0.25"/>
    <row r="221623" s="12" customFormat="1" x14ac:dyDescent="0.25"/>
    <row r="221624" s="12" customFormat="1" x14ac:dyDescent="0.25"/>
    <row r="221625" s="12" customFormat="1" x14ac:dyDescent="0.25"/>
    <row r="221626" s="12" customFormat="1" x14ac:dyDescent="0.25"/>
    <row r="221627" s="12" customFormat="1" x14ac:dyDescent="0.25"/>
    <row r="221628" s="12" customFormat="1" x14ac:dyDescent="0.25"/>
    <row r="221629" s="12" customFormat="1" x14ac:dyDescent="0.25"/>
    <row r="221630" s="12" customFormat="1" x14ac:dyDescent="0.25"/>
    <row r="221631" s="12" customFormat="1" x14ac:dyDescent="0.25"/>
    <row r="221632" s="12" customFormat="1" x14ac:dyDescent="0.25"/>
    <row r="221633" s="12" customFormat="1" x14ac:dyDescent="0.25"/>
    <row r="221634" s="12" customFormat="1" x14ac:dyDescent="0.25"/>
    <row r="221635" s="12" customFormat="1" x14ac:dyDescent="0.25"/>
    <row r="221636" s="12" customFormat="1" x14ac:dyDescent="0.25"/>
    <row r="221637" s="12" customFormat="1" x14ac:dyDescent="0.25"/>
    <row r="221638" s="12" customFormat="1" x14ac:dyDescent="0.25"/>
    <row r="221639" s="12" customFormat="1" x14ac:dyDescent="0.25"/>
    <row r="221640" s="12" customFormat="1" x14ac:dyDescent="0.25"/>
    <row r="221641" s="12" customFormat="1" x14ac:dyDescent="0.25"/>
    <row r="221642" s="12" customFormat="1" x14ac:dyDescent="0.25"/>
    <row r="221643" s="12" customFormat="1" x14ac:dyDescent="0.25"/>
    <row r="221644" s="12" customFormat="1" x14ac:dyDescent="0.25"/>
    <row r="221645" s="12" customFormat="1" x14ac:dyDescent="0.25"/>
    <row r="221646" s="12" customFormat="1" x14ac:dyDescent="0.25"/>
    <row r="221647" s="12" customFormat="1" x14ac:dyDescent="0.25"/>
    <row r="221648" s="12" customFormat="1" x14ac:dyDescent="0.25"/>
    <row r="221649" s="12" customFormat="1" x14ac:dyDescent="0.25"/>
    <row r="221650" s="12" customFormat="1" x14ac:dyDescent="0.25"/>
    <row r="221651" s="12" customFormat="1" x14ac:dyDescent="0.25"/>
    <row r="221652" s="12" customFormat="1" x14ac:dyDescent="0.25"/>
    <row r="221653" s="12" customFormat="1" x14ac:dyDescent="0.25"/>
    <row r="221654" s="12" customFormat="1" x14ac:dyDescent="0.25"/>
    <row r="221655" s="12" customFormat="1" x14ac:dyDescent="0.25"/>
    <row r="221656" s="12" customFormat="1" x14ac:dyDescent="0.25"/>
    <row r="221657" s="12" customFormat="1" x14ac:dyDescent="0.25"/>
    <row r="221658" s="12" customFormat="1" x14ac:dyDescent="0.25"/>
    <row r="221659" s="12" customFormat="1" x14ac:dyDescent="0.25"/>
    <row r="221660" s="12" customFormat="1" x14ac:dyDescent="0.25"/>
    <row r="221661" s="12" customFormat="1" x14ac:dyDescent="0.25"/>
    <row r="221662" s="12" customFormat="1" x14ac:dyDescent="0.25"/>
    <row r="221663" s="12" customFormat="1" x14ac:dyDescent="0.25"/>
    <row r="221664" s="12" customFormat="1" x14ac:dyDescent="0.25"/>
    <row r="221665" s="12" customFormat="1" x14ac:dyDescent="0.25"/>
    <row r="221666" s="12" customFormat="1" x14ac:dyDescent="0.25"/>
    <row r="221667" s="12" customFormat="1" x14ac:dyDescent="0.25"/>
    <row r="221668" s="12" customFormat="1" x14ac:dyDescent="0.25"/>
    <row r="221669" s="12" customFormat="1" x14ac:dyDescent="0.25"/>
    <row r="221670" s="12" customFormat="1" x14ac:dyDescent="0.25"/>
    <row r="221671" s="12" customFormat="1" x14ac:dyDescent="0.25"/>
    <row r="221672" s="12" customFormat="1" x14ac:dyDescent="0.25"/>
    <row r="221673" s="12" customFormat="1" x14ac:dyDescent="0.25"/>
    <row r="221674" s="12" customFormat="1" x14ac:dyDescent="0.25"/>
    <row r="221675" s="12" customFormat="1" x14ac:dyDescent="0.25"/>
    <row r="221676" s="12" customFormat="1" x14ac:dyDescent="0.25"/>
    <row r="221677" s="12" customFormat="1" x14ac:dyDescent="0.25"/>
    <row r="221678" s="12" customFormat="1" x14ac:dyDescent="0.25"/>
    <row r="221679" s="12" customFormat="1" x14ac:dyDescent="0.25"/>
    <row r="221680" s="12" customFormat="1" x14ac:dyDescent="0.25"/>
    <row r="221681" s="12" customFormat="1" x14ac:dyDescent="0.25"/>
    <row r="221682" s="12" customFormat="1" x14ac:dyDescent="0.25"/>
    <row r="221683" s="12" customFormat="1" x14ac:dyDescent="0.25"/>
    <row r="221684" s="12" customFormat="1" x14ac:dyDescent="0.25"/>
    <row r="221685" s="12" customFormat="1" x14ac:dyDescent="0.25"/>
    <row r="221686" s="12" customFormat="1" x14ac:dyDescent="0.25"/>
    <row r="221687" s="12" customFormat="1" x14ac:dyDescent="0.25"/>
    <row r="221688" s="12" customFormat="1" x14ac:dyDescent="0.25"/>
    <row r="221689" s="12" customFormat="1" x14ac:dyDescent="0.25"/>
    <row r="221690" s="12" customFormat="1" x14ac:dyDescent="0.25"/>
    <row r="221691" s="12" customFormat="1" x14ac:dyDescent="0.25"/>
    <row r="221692" s="12" customFormat="1" x14ac:dyDescent="0.25"/>
    <row r="221693" s="12" customFormat="1" x14ac:dyDescent="0.25"/>
    <row r="221694" s="12" customFormat="1" x14ac:dyDescent="0.25"/>
    <row r="221695" s="12" customFormat="1" x14ac:dyDescent="0.25"/>
    <row r="221696" s="12" customFormat="1" x14ac:dyDescent="0.25"/>
    <row r="221697" s="12" customFormat="1" x14ac:dyDescent="0.25"/>
    <row r="221698" s="12" customFormat="1" x14ac:dyDescent="0.25"/>
    <row r="221699" s="12" customFormat="1" x14ac:dyDescent="0.25"/>
    <row r="221700" s="12" customFormat="1" x14ac:dyDescent="0.25"/>
    <row r="221701" s="12" customFormat="1" x14ac:dyDescent="0.25"/>
    <row r="221702" s="12" customFormat="1" x14ac:dyDescent="0.25"/>
    <row r="221703" s="12" customFormat="1" x14ac:dyDescent="0.25"/>
    <row r="221704" s="12" customFormat="1" x14ac:dyDescent="0.25"/>
    <row r="221705" s="12" customFormat="1" x14ac:dyDescent="0.25"/>
    <row r="221706" s="12" customFormat="1" x14ac:dyDescent="0.25"/>
    <row r="221707" s="12" customFormat="1" x14ac:dyDescent="0.25"/>
    <row r="221708" s="12" customFormat="1" x14ac:dyDescent="0.25"/>
    <row r="221709" s="12" customFormat="1" x14ac:dyDescent="0.25"/>
    <row r="221710" s="12" customFormat="1" x14ac:dyDescent="0.25"/>
    <row r="221711" s="12" customFormat="1" x14ac:dyDescent="0.25"/>
    <row r="221712" s="12" customFormat="1" x14ac:dyDescent="0.25"/>
    <row r="221713" s="12" customFormat="1" x14ac:dyDescent="0.25"/>
    <row r="221714" s="12" customFormat="1" x14ac:dyDescent="0.25"/>
    <row r="221715" s="12" customFormat="1" x14ac:dyDescent="0.25"/>
    <row r="221716" s="12" customFormat="1" x14ac:dyDescent="0.25"/>
    <row r="221717" s="12" customFormat="1" x14ac:dyDescent="0.25"/>
    <row r="221718" s="12" customFormat="1" x14ac:dyDescent="0.25"/>
    <row r="221719" s="12" customFormat="1" x14ac:dyDescent="0.25"/>
    <row r="221720" s="12" customFormat="1" x14ac:dyDescent="0.25"/>
    <row r="221721" s="12" customFormat="1" x14ac:dyDescent="0.25"/>
    <row r="221722" s="12" customFormat="1" x14ac:dyDescent="0.25"/>
    <row r="221723" s="12" customFormat="1" x14ac:dyDescent="0.25"/>
    <row r="221724" s="12" customFormat="1" x14ac:dyDescent="0.25"/>
    <row r="221725" s="12" customFormat="1" x14ac:dyDescent="0.25"/>
    <row r="221726" s="12" customFormat="1" x14ac:dyDescent="0.25"/>
    <row r="221727" s="12" customFormat="1" x14ac:dyDescent="0.25"/>
    <row r="221728" s="12" customFormat="1" x14ac:dyDescent="0.25"/>
    <row r="221729" s="12" customFormat="1" x14ac:dyDescent="0.25"/>
    <row r="221730" s="12" customFormat="1" x14ac:dyDescent="0.25"/>
    <row r="221731" s="12" customFormat="1" x14ac:dyDescent="0.25"/>
    <row r="221732" s="12" customFormat="1" x14ac:dyDescent="0.25"/>
    <row r="221733" s="12" customFormat="1" x14ac:dyDescent="0.25"/>
    <row r="221734" s="12" customFormat="1" x14ac:dyDescent="0.25"/>
    <row r="221735" s="12" customFormat="1" x14ac:dyDescent="0.25"/>
    <row r="221736" s="12" customFormat="1" x14ac:dyDescent="0.25"/>
    <row r="221737" s="12" customFormat="1" x14ac:dyDescent="0.25"/>
    <row r="221738" s="12" customFormat="1" x14ac:dyDescent="0.25"/>
    <row r="221739" s="12" customFormat="1" x14ac:dyDescent="0.25"/>
    <row r="221740" s="12" customFormat="1" x14ac:dyDescent="0.25"/>
    <row r="221741" s="12" customFormat="1" x14ac:dyDescent="0.25"/>
    <row r="221742" s="12" customFormat="1" x14ac:dyDescent="0.25"/>
    <row r="221743" s="12" customFormat="1" x14ac:dyDescent="0.25"/>
    <row r="221744" s="12" customFormat="1" x14ac:dyDescent="0.25"/>
    <row r="221745" s="12" customFormat="1" x14ac:dyDescent="0.25"/>
    <row r="221746" s="12" customFormat="1" x14ac:dyDescent="0.25"/>
    <row r="221747" s="12" customFormat="1" x14ac:dyDescent="0.25"/>
    <row r="221748" s="12" customFormat="1" x14ac:dyDescent="0.25"/>
    <row r="221749" s="12" customFormat="1" x14ac:dyDescent="0.25"/>
    <row r="221750" s="12" customFormat="1" x14ac:dyDescent="0.25"/>
    <row r="221751" s="12" customFormat="1" x14ac:dyDescent="0.25"/>
    <row r="221752" s="12" customFormat="1" x14ac:dyDescent="0.25"/>
    <row r="221753" s="12" customFormat="1" x14ac:dyDescent="0.25"/>
    <row r="221754" s="12" customFormat="1" x14ac:dyDescent="0.25"/>
    <row r="221755" s="12" customFormat="1" x14ac:dyDescent="0.25"/>
    <row r="221756" s="12" customFormat="1" x14ac:dyDescent="0.25"/>
    <row r="221757" s="12" customFormat="1" x14ac:dyDescent="0.25"/>
    <row r="221758" s="12" customFormat="1" x14ac:dyDescent="0.25"/>
    <row r="221759" s="12" customFormat="1" x14ac:dyDescent="0.25"/>
    <row r="221760" s="12" customFormat="1" x14ac:dyDescent="0.25"/>
    <row r="221761" s="12" customFormat="1" x14ac:dyDescent="0.25"/>
    <row r="221762" s="12" customFormat="1" x14ac:dyDescent="0.25"/>
    <row r="221763" s="12" customFormat="1" x14ac:dyDescent="0.25"/>
    <row r="221764" s="12" customFormat="1" x14ac:dyDescent="0.25"/>
    <row r="221765" s="12" customFormat="1" x14ac:dyDescent="0.25"/>
    <row r="221766" s="12" customFormat="1" x14ac:dyDescent="0.25"/>
    <row r="221767" s="12" customFormat="1" x14ac:dyDescent="0.25"/>
    <row r="221768" s="12" customFormat="1" x14ac:dyDescent="0.25"/>
    <row r="221769" s="12" customFormat="1" x14ac:dyDescent="0.25"/>
    <row r="221770" s="12" customFormat="1" x14ac:dyDescent="0.25"/>
    <row r="221771" s="12" customFormat="1" x14ac:dyDescent="0.25"/>
    <row r="221772" s="12" customFormat="1" x14ac:dyDescent="0.25"/>
    <row r="221773" s="12" customFormat="1" x14ac:dyDescent="0.25"/>
    <row r="221774" s="12" customFormat="1" x14ac:dyDescent="0.25"/>
    <row r="221775" s="12" customFormat="1" x14ac:dyDescent="0.25"/>
    <row r="221776" s="12" customFormat="1" x14ac:dyDescent="0.25"/>
    <row r="221777" s="12" customFormat="1" x14ac:dyDescent="0.25"/>
    <row r="221778" s="12" customFormat="1" x14ac:dyDescent="0.25"/>
    <row r="221779" s="12" customFormat="1" x14ac:dyDescent="0.25"/>
    <row r="221780" s="12" customFormat="1" x14ac:dyDescent="0.25"/>
    <row r="221781" s="12" customFormat="1" x14ac:dyDescent="0.25"/>
    <row r="221782" s="12" customFormat="1" x14ac:dyDescent="0.25"/>
    <row r="221783" s="12" customFormat="1" x14ac:dyDescent="0.25"/>
    <row r="221784" s="12" customFormat="1" x14ac:dyDescent="0.25"/>
    <row r="221785" s="12" customFormat="1" x14ac:dyDescent="0.25"/>
    <row r="221786" s="12" customFormat="1" x14ac:dyDescent="0.25"/>
    <row r="221787" s="12" customFormat="1" x14ac:dyDescent="0.25"/>
    <row r="221788" s="12" customFormat="1" x14ac:dyDescent="0.25"/>
    <row r="221789" s="12" customFormat="1" x14ac:dyDescent="0.25"/>
    <row r="221790" s="12" customFormat="1" x14ac:dyDescent="0.25"/>
    <row r="221791" s="12" customFormat="1" x14ac:dyDescent="0.25"/>
    <row r="221792" s="12" customFormat="1" x14ac:dyDescent="0.25"/>
    <row r="221793" s="12" customFormat="1" x14ac:dyDescent="0.25"/>
    <row r="221794" s="12" customFormat="1" x14ac:dyDescent="0.25"/>
    <row r="221795" s="12" customFormat="1" x14ac:dyDescent="0.25"/>
    <row r="221796" s="12" customFormat="1" x14ac:dyDescent="0.25"/>
    <row r="221797" s="12" customFormat="1" x14ac:dyDescent="0.25"/>
    <row r="221798" s="12" customFormat="1" x14ac:dyDescent="0.25"/>
    <row r="221799" s="12" customFormat="1" x14ac:dyDescent="0.25"/>
    <row r="221800" s="12" customFormat="1" x14ac:dyDescent="0.25"/>
    <row r="221801" s="12" customFormat="1" x14ac:dyDescent="0.25"/>
    <row r="221802" s="12" customFormat="1" x14ac:dyDescent="0.25"/>
    <row r="221803" s="12" customFormat="1" x14ac:dyDescent="0.25"/>
    <row r="221804" s="12" customFormat="1" x14ac:dyDescent="0.25"/>
    <row r="221805" s="12" customFormat="1" x14ac:dyDescent="0.25"/>
    <row r="221806" s="12" customFormat="1" x14ac:dyDescent="0.25"/>
    <row r="221807" s="12" customFormat="1" x14ac:dyDescent="0.25"/>
    <row r="221808" s="12" customFormat="1" x14ac:dyDescent="0.25"/>
    <row r="221809" s="12" customFormat="1" x14ac:dyDescent="0.25"/>
    <row r="221810" s="12" customFormat="1" x14ac:dyDescent="0.25"/>
    <row r="221811" s="12" customFormat="1" x14ac:dyDescent="0.25"/>
    <row r="221812" s="12" customFormat="1" x14ac:dyDescent="0.25"/>
    <row r="221813" s="12" customFormat="1" x14ac:dyDescent="0.25"/>
    <row r="221814" s="12" customFormat="1" x14ac:dyDescent="0.25"/>
    <row r="221815" s="12" customFormat="1" x14ac:dyDescent="0.25"/>
    <row r="221816" s="12" customFormat="1" x14ac:dyDescent="0.25"/>
    <row r="221817" s="12" customFormat="1" x14ac:dyDescent="0.25"/>
    <row r="221818" s="12" customFormat="1" x14ac:dyDescent="0.25"/>
    <row r="221819" s="12" customFormat="1" x14ac:dyDescent="0.25"/>
    <row r="221820" s="12" customFormat="1" x14ac:dyDescent="0.25"/>
    <row r="221821" s="12" customFormat="1" x14ac:dyDescent="0.25"/>
    <row r="221822" s="12" customFormat="1" x14ac:dyDescent="0.25"/>
    <row r="221823" s="12" customFormat="1" x14ac:dyDescent="0.25"/>
    <row r="221824" s="12" customFormat="1" x14ac:dyDescent="0.25"/>
    <row r="221825" s="12" customFormat="1" x14ac:dyDescent="0.25"/>
    <row r="221826" s="12" customFormat="1" x14ac:dyDescent="0.25"/>
    <row r="221827" s="12" customFormat="1" x14ac:dyDescent="0.25"/>
    <row r="221828" s="12" customFormat="1" x14ac:dyDescent="0.25"/>
    <row r="221829" s="12" customFormat="1" x14ac:dyDescent="0.25"/>
    <row r="221830" s="12" customFormat="1" x14ac:dyDescent="0.25"/>
    <row r="221831" s="12" customFormat="1" x14ac:dyDescent="0.25"/>
    <row r="221832" s="12" customFormat="1" x14ac:dyDescent="0.25"/>
    <row r="221833" s="12" customFormat="1" x14ac:dyDescent="0.25"/>
    <row r="221834" s="12" customFormat="1" x14ac:dyDescent="0.25"/>
    <row r="221835" s="12" customFormat="1" x14ac:dyDescent="0.25"/>
    <row r="221836" s="12" customFormat="1" x14ac:dyDescent="0.25"/>
    <row r="221837" s="12" customFormat="1" x14ac:dyDescent="0.25"/>
    <row r="221838" s="12" customFormat="1" x14ac:dyDescent="0.25"/>
    <row r="221839" s="12" customFormat="1" x14ac:dyDescent="0.25"/>
    <row r="221840" s="12" customFormat="1" x14ac:dyDescent="0.25"/>
    <row r="221841" s="12" customFormat="1" x14ac:dyDescent="0.25"/>
    <row r="221842" s="12" customFormat="1" x14ac:dyDescent="0.25"/>
    <row r="221843" s="12" customFormat="1" x14ac:dyDescent="0.25"/>
    <row r="221844" s="12" customFormat="1" x14ac:dyDescent="0.25"/>
    <row r="221845" s="12" customFormat="1" x14ac:dyDescent="0.25"/>
    <row r="221846" s="12" customFormat="1" x14ac:dyDescent="0.25"/>
    <row r="221847" s="12" customFormat="1" x14ac:dyDescent="0.25"/>
    <row r="221848" s="12" customFormat="1" x14ac:dyDescent="0.25"/>
    <row r="221849" s="12" customFormat="1" x14ac:dyDescent="0.25"/>
    <row r="221850" s="12" customFormat="1" x14ac:dyDescent="0.25"/>
    <row r="221851" s="12" customFormat="1" x14ac:dyDescent="0.25"/>
    <row r="221852" s="12" customFormat="1" x14ac:dyDescent="0.25"/>
    <row r="221853" s="12" customFormat="1" x14ac:dyDescent="0.25"/>
    <row r="221854" s="12" customFormat="1" x14ac:dyDescent="0.25"/>
    <row r="221855" s="12" customFormat="1" x14ac:dyDescent="0.25"/>
    <row r="221856" s="12" customFormat="1" x14ac:dyDescent="0.25"/>
    <row r="221857" s="12" customFormat="1" x14ac:dyDescent="0.25"/>
    <row r="221858" s="12" customFormat="1" x14ac:dyDescent="0.25"/>
    <row r="221859" s="12" customFormat="1" x14ac:dyDescent="0.25"/>
    <row r="221860" s="12" customFormat="1" x14ac:dyDescent="0.25"/>
    <row r="221861" s="12" customFormat="1" x14ac:dyDescent="0.25"/>
    <row r="221862" s="12" customFormat="1" x14ac:dyDescent="0.25"/>
    <row r="221863" s="12" customFormat="1" x14ac:dyDescent="0.25"/>
    <row r="221864" s="12" customFormat="1" x14ac:dyDescent="0.25"/>
    <row r="221865" s="12" customFormat="1" x14ac:dyDescent="0.25"/>
    <row r="221866" s="12" customFormat="1" x14ac:dyDescent="0.25"/>
    <row r="221867" s="12" customFormat="1" x14ac:dyDescent="0.25"/>
    <row r="221868" s="12" customFormat="1" x14ac:dyDescent="0.25"/>
    <row r="221869" s="12" customFormat="1" x14ac:dyDescent="0.25"/>
    <row r="221870" s="12" customFormat="1" x14ac:dyDescent="0.25"/>
    <row r="221871" s="12" customFormat="1" x14ac:dyDescent="0.25"/>
    <row r="221872" s="12" customFormat="1" x14ac:dyDescent="0.25"/>
    <row r="221873" s="12" customFormat="1" x14ac:dyDescent="0.25"/>
    <row r="221874" s="12" customFormat="1" x14ac:dyDescent="0.25"/>
    <row r="221875" s="12" customFormat="1" x14ac:dyDescent="0.25"/>
    <row r="221876" s="12" customFormat="1" x14ac:dyDescent="0.25"/>
    <row r="221877" s="12" customFormat="1" x14ac:dyDescent="0.25"/>
    <row r="221878" s="12" customFormat="1" x14ac:dyDescent="0.25"/>
    <row r="221879" s="12" customFormat="1" x14ac:dyDescent="0.25"/>
    <row r="221880" s="12" customFormat="1" x14ac:dyDescent="0.25"/>
    <row r="221881" s="12" customFormat="1" x14ac:dyDescent="0.25"/>
    <row r="221882" s="12" customFormat="1" x14ac:dyDescent="0.25"/>
    <row r="221883" s="12" customFormat="1" x14ac:dyDescent="0.25"/>
    <row r="221884" s="12" customFormat="1" x14ac:dyDescent="0.25"/>
    <row r="221885" s="12" customFormat="1" x14ac:dyDescent="0.25"/>
    <row r="221886" s="12" customFormat="1" x14ac:dyDescent="0.25"/>
    <row r="221887" s="12" customFormat="1" x14ac:dyDescent="0.25"/>
    <row r="221888" s="12" customFormat="1" x14ac:dyDescent="0.25"/>
    <row r="221889" s="12" customFormat="1" x14ac:dyDescent="0.25"/>
    <row r="221890" s="12" customFormat="1" x14ac:dyDescent="0.25"/>
    <row r="221891" s="12" customFormat="1" x14ac:dyDescent="0.25"/>
    <row r="221892" s="12" customFormat="1" x14ac:dyDescent="0.25"/>
    <row r="221893" s="12" customFormat="1" x14ac:dyDescent="0.25"/>
    <row r="221894" s="12" customFormat="1" x14ac:dyDescent="0.25"/>
    <row r="221895" s="12" customFormat="1" x14ac:dyDescent="0.25"/>
    <row r="221896" s="12" customFormat="1" x14ac:dyDescent="0.25"/>
    <row r="221897" s="12" customFormat="1" x14ac:dyDescent="0.25"/>
    <row r="221898" s="12" customFormat="1" x14ac:dyDescent="0.25"/>
    <row r="221899" s="12" customFormat="1" x14ac:dyDescent="0.25"/>
    <row r="221900" s="12" customFormat="1" x14ac:dyDescent="0.25"/>
    <row r="221901" s="12" customFormat="1" x14ac:dyDescent="0.25"/>
    <row r="221902" s="12" customFormat="1" x14ac:dyDescent="0.25"/>
    <row r="221903" s="12" customFormat="1" x14ac:dyDescent="0.25"/>
    <row r="221904" s="12" customFormat="1" x14ac:dyDescent="0.25"/>
    <row r="221905" s="12" customFormat="1" x14ac:dyDescent="0.25"/>
    <row r="221906" s="12" customFormat="1" x14ac:dyDescent="0.25"/>
    <row r="221907" s="12" customFormat="1" x14ac:dyDescent="0.25"/>
    <row r="221908" s="12" customFormat="1" x14ac:dyDescent="0.25"/>
    <row r="221909" s="12" customFormat="1" x14ac:dyDescent="0.25"/>
    <row r="221910" s="12" customFormat="1" x14ac:dyDescent="0.25"/>
    <row r="221911" s="12" customFormat="1" x14ac:dyDescent="0.25"/>
    <row r="221912" s="12" customFormat="1" x14ac:dyDescent="0.25"/>
    <row r="221913" s="12" customFormat="1" x14ac:dyDescent="0.25"/>
    <row r="221914" s="12" customFormat="1" x14ac:dyDescent="0.25"/>
    <row r="221915" s="12" customFormat="1" x14ac:dyDescent="0.25"/>
    <row r="221916" s="12" customFormat="1" x14ac:dyDescent="0.25"/>
    <row r="221917" s="12" customFormat="1" x14ac:dyDescent="0.25"/>
    <row r="221918" s="12" customFormat="1" x14ac:dyDescent="0.25"/>
    <row r="221919" s="12" customFormat="1" x14ac:dyDescent="0.25"/>
    <row r="221920" s="12" customFormat="1" x14ac:dyDescent="0.25"/>
    <row r="221921" s="12" customFormat="1" x14ac:dyDescent="0.25"/>
    <row r="221922" s="12" customFormat="1" x14ac:dyDescent="0.25"/>
    <row r="221923" s="12" customFormat="1" x14ac:dyDescent="0.25"/>
    <row r="221924" s="12" customFormat="1" x14ac:dyDescent="0.25"/>
    <row r="221925" s="12" customFormat="1" x14ac:dyDescent="0.25"/>
    <row r="221926" s="12" customFormat="1" x14ac:dyDescent="0.25"/>
    <row r="221927" s="12" customFormat="1" x14ac:dyDescent="0.25"/>
    <row r="221928" s="12" customFormat="1" x14ac:dyDescent="0.25"/>
    <row r="221929" s="12" customFormat="1" x14ac:dyDescent="0.25"/>
    <row r="221930" s="12" customFormat="1" x14ac:dyDescent="0.25"/>
    <row r="221931" s="12" customFormat="1" x14ac:dyDescent="0.25"/>
    <row r="221932" s="12" customFormat="1" x14ac:dyDescent="0.25"/>
    <row r="221933" s="12" customFormat="1" x14ac:dyDescent="0.25"/>
    <row r="221934" s="12" customFormat="1" x14ac:dyDescent="0.25"/>
    <row r="221935" s="12" customFormat="1" x14ac:dyDescent="0.25"/>
    <row r="221936" s="12" customFormat="1" x14ac:dyDescent="0.25"/>
    <row r="221937" s="12" customFormat="1" x14ac:dyDescent="0.25"/>
    <row r="221938" s="12" customFormat="1" x14ac:dyDescent="0.25"/>
    <row r="221939" s="12" customFormat="1" x14ac:dyDescent="0.25"/>
    <row r="221940" s="12" customFormat="1" x14ac:dyDescent="0.25"/>
    <row r="221941" s="12" customFormat="1" x14ac:dyDescent="0.25"/>
    <row r="221942" s="12" customFormat="1" x14ac:dyDescent="0.25"/>
    <row r="221943" s="12" customFormat="1" x14ac:dyDescent="0.25"/>
    <row r="221944" s="12" customFormat="1" x14ac:dyDescent="0.25"/>
    <row r="221945" s="12" customFormat="1" x14ac:dyDescent="0.25"/>
    <row r="221946" s="12" customFormat="1" x14ac:dyDescent="0.25"/>
    <row r="221947" s="12" customFormat="1" x14ac:dyDescent="0.25"/>
    <row r="221948" s="12" customFormat="1" x14ac:dyDescent="0.25"/>
    <row r="221949" s="12" customFormat="1" x14ac:dyDescent="0.25"/>
    <row r="221950" s="12" customFormat="1" x14ac:dyDescent="0.25"/>
    <row r="221951" s="12" customFormat="1" x14ac:dyDescent="0.25"/>
    <row r="221952" s="12" customFormat="1" x14ac:dyDescent="0.25"/>
    <row r="221953" s="12" customFormat="1" x14ac:dyDescent="0.25"/>
    <row r="221954" s="12" customFormat="1" x14ac:dyDescent="0.25"/>
    <row r="221955" s="12" customFormat="1" x14ac:dyDescent="0.25"/>
    <row r="221956" s="12" customFormat="1" x14ac:dyDescent="0.25"/>
    <row r="221957" s="12" customFormat="1" x14ac:dyDescent="0.25"/>
    <row r="221958" s="12" customFormat="1" x14ac:dyDescent="0.25"/>
    <row r="221959" s="12" customFormat="1" x14ac:dyDescent="0.25"/>
    <row r="221960" s="12" customFormat="1" x14ac:dyDescent="0.25"/>
    <row r="221961" s="12" customFormat="1" x14ac:dyDescent="0.25"/>
    <row r="221962" s="12" customFormat="1" x14ac:dyDescent="0.25"/>
    <row r="221963" s="12" customFormat="1" x14ac:dyDescent="0.25"/>
    <row r="221964" s="12" customFormat="1" x14ac:dyDescent="0.25"/>
    <row r="221965" s="12" customFormat="1" x14ac:dyDescent="0.25"/>
    <row r="221966" s="12" customFormat="1" x14ac:dyDescent="0.25"/>
    <row r="221967" s="12" customFormat="1" x14ac:dyDescent="0.25"/>
    <row r="221968" s="12" customFormat="1" x14ac:dyDescent="0.25"/>
    <row r="221969" s="12" customFormat="1" x14ac:dyDescent="0.25"/>
    <row r="221970" s="12" customFormat="1" x14ac:dyDescent="0.25"/>
    <row r="221971" s="12" customFormat="1" x14ac:dyDescent="0.25"/>
    <row r="221972" s="12" customFormat="1" x14ac:dyDescent="0.25"/>
    <row r="221973" s="12" customFormat="1" x14ac:dyDescent="0.25"/>
    <row r="221974" s="12" customFormat="1" x14ac:dyDescent="0.25"/>
    <row r="221975" s="12" customFormat="1" x14ac:dyDescent="0.25"/>
    <row r="221976" s="12" customFormat="1" x14ac:dyDescent="0.25"/>
    <row r="221977" s="12" customFormat="1" x14ac:dyDescent="0.25"/>
    <row r="221978" s="12" customFormat="1" x14ac:dyDescent="0.25"/>
    <row r="221979" s="12" customFormat="1" x14ac:dyDescent="0.25"/>
    <row r="221980" s="12" customFormat="1" x14ac:dyDescent="0.25"/>
    <row r="221981" s="12" customFormat="1" x14ac:dyDescent="0.25"/>
    <row r="221982" s="12" customFormat="1" x14ac:dyDescent="0.25"/>
    <row r="221983" s="12" customFormat="1" x14ac:dyDescent="0.25"/>
    <row r="221984" s="12" customFormat="1" x14ac:dyDescent="0.25"/>
    <row r="221985" s="12" customFormat="1" x14ac:dyDescent="0.25"/>
    <row r="221986" s="12" customFormat="1" x14ac:dyDescent="0.25"/>
    <row r="221987" s="12" customFormat="1" x14ac:dyDescent="0.25"/>
    <row r="221988" s="12" customFormat="1" x14ac:dyDescent="0.25"/>
    <row r="221989" s="12" customFormat="1" x14ac:dyDescent="0.25"/>
    <row r="221990" s="12" customFormat="1" x14ac:dyDescent="0.25"/>
    <row r="221991" s="12" customFormat="1" x14ac:dyDescent="0.25"/>
    <row r="221992" s="12" customFormat="1" x14ac:dyDescent="0.25"/>
    <row r="221993" s="12" customFormat="1" x14ac:dyDescent="0.25"/>
    <row r="221994" s="12" customFormat="1" x14ac:dyDescent="0.25"/>
    <row r="221995" s="12" customFormat="1" x14ac:dyDescent="0.25"/>
    <row r="221996" s="12" customFormat="1" x14ac:dyDescent="0.25"/>
    <row r="221997" s="12" customFormat="1" x14ac:dyDescent="0.25"/>
    <row r="221998" s="12" customFormat="1" x14ac:dyDescent="0.25"/>
    <row r="221999" s="12" customFormat="1" x14ac:dyDescent="0.25"/>
    <row r="222000" s="12" customFormat="1" x14ac:dyDescent="0.25"/>
    <row r="222001" s="12" customFormat="1" x14ac:dyDescent="0.25"/>
    <row r="222002" s="12" customFormat="1" x14ac:dyDescent="0.25"/>
    <row r="222003" s="12" customFormat="1" x14ac:dyDescent="0.25"/>
    <row r="222004" s="12" customFormat="1" x14ac:dyDescent="0.25"/>
    <row r="222005" s="12" customFormat="1" x14ac:dyDescent="0.25"/>
    <row r="222006" s="12" customFormat="1" x14ac:dyDescent="0.25"/>
    <row r="222007" s="12" customFormat="1" x14ac:dyDescent="0.25"/>
    <row r="222008" s="12" customFormat="1" x14ac:dyDescent="0.25"/>
    <row r="222009" s="12" customFormat="1" x14ac:dyDescent="0.25"/>
    <row r="222010" s="12" customFormat="1" x14ac:dyDescent="0.25"/>
    <row r="222011" s="12" customFormat="1" x14ac:dyDescent="0.25"/>
    <row r="222012" s="12" customFormat="1" x14ac:dyDescent="0.25"/>
    <row r="222013" s="12" customFormat="1" x14ac:dyDescent="0.25"/>
    <row r="222014" s="12" customFormat="1" x14ac:dyDescent="0.25"/>
    <row r="222015" s="12" customFormat="1" x14ac:dyDescent="0.25"/>
    <row r="222016" s="12" customFormat="1" x14ac:dyDescent="0.25"/>
    <row r="222017" s="12" customFormat="1" x14ac:dyDescent="0.25"/>
    <row r="222018" s="12" customFormat="1" x14ac:dyDescent="0.25"/>
    <row r="222019" s="12" customFormat="1" x14ac:dyDescent="0.25"/>
    <row r="222020" s="12" customFormat="1" x14ac:dyDescent="0.25"/>
    <row r="222021" s="12" customFormat="1" x14ac:dyDescent="0.25"/>
    <row r="222022" s="12" customFormat="1" x14ac:dyDescent="0.25"/>
    <row r="222023" s="12" customFormat="1" x14ac:dyDescent="0.25"/>
    <row r="222024" s="12" customFormat="1" x14ac:dyDescent="0.25"/>
    <row r="222025" s="12" customFormat="1" x14ac:dyDescent="0.25"/>
    <row r="222026" s="12" customFormat="1" x14ac:dyDescent="0.25"/>
    <row r="222027" s="12" customFormat="1" x14ac:dyDescent="0.25"/>
    <row r="222028" s="12" customFormat="1" x14ac:dyDescent="0.25"/>
    <row r="222029" s="12" customFormat="1" x14ac:dyDescent="0.25"/>
    <row r="222030" s="12" customFormat="1" x14ac:dyDescent="0.25"/>
    <row r="222031" s="12" customFormat="1" x14ac:dyDescent="0.25"/>
    <row r="222032" s="12" customFormat="1" x14ac:dyDescent="0.25"/>
    <row r="222033" s="12" customFormat="1" x14ac:dyDescent="0.25"/>
    <row r="222034" s="12" customFormat="1" x14ac:dyDescent="0.25"/>
    <row r="222035" s="12" customFormat="1" x14ac:dyDescent="0.25"/>
    <row r="222036" s="12" customFormat="1" x14ac:dyDescent="0.25"/>
    <row r="222037" s="12" customFormat="1" x14ac:dyDescent="0.25"/>
    <row r="222038" s="12" customFormat="1" x14ac:dyDescent="0.25"/>
    <row r="222039" s="12" customFormat="1" x14ac:dyDescent="0.25"/>
    <row r="222040" s="12" customFormat="1" x14ac:dyDescent="0.25"/>
    <row r="222041" s="12" customFormat="1" x14ac:dyDescent="0.25"/>
    <row r="222042" s="12" customFormat="1" x14ac:dyDescent="0.25"/>
    <row r="222043" s="12" customFormat="1" x14ac:dyDescent="0.25"/>
    <row r="222044" s="12" customFormat="1" x14ac:dyDescent="0.25"/>
    <row r="222045" s="12" customFormat="1" x14ac:dyDescent="0.25"/>
    <row r="222046" s="12" customFormat="1" x14ac:dyDescent="0.25"/>
    <row r="222047" s="12" customFormat="1" x14ac:dyDescent="0.25"/>
    <row r="222048" s="12" customFormat="1" x14ac:dyDescent="0.25"/>
    <row r="222049" s="12" customFormat="1" x14ac:dyDescent="0.25"/>
    <row r="222050" s="12" customFormat="1" x14ac:dyDescent="0.25"/>
    <row r="222051" s="12" customFormat="1" x14ac:dyDescent="0.25"/>
    <row r="222052" s="12" customFormat="1" x14ac:dyDescent="0.25"/>
    <row r="222053" s="12" customFormat="1" x14ac:dyDescent="0.25"/>
    <row r="222054" s="12" customFormat="1" x14ac:dyDescent="0.25"/>
    <row r="222055" s="12" customFormat="1" x14ac:dyDescent="0.25"/>
    <row r="222056" s="12" customFormat="1" x14ac:dyDescent="0.25"/>
    <row r="222057" s="12" customFormat="1" x14ac:dyDescent="0.25"/>
    <row r="222058" s="12" customFormat="1" x14ac:dyDescent="0.25"/>
    <row r="222059" s="12" customFormat="1" x14ac:dyDescent="0.25"/>
    <row r="222060" s="12" customFormat="1" x14ac:dyDescent="0.25"/>
    <row r="222061" s="12" customFormat="1" x14ac:dyDescent="0.25"/>
    <row r="222062" s="12" customFormat="1" x14ac:dyDescent="0.25"/>
    <row r="222063" s="12" customFormat="1" x14ac:dyDescent="0.25"/>
    <row r="222064" s="12" customFormat="1" x14ac:dyDescent="0.25"/>
    <row r="222065" s="12" customFormat="1" x14ac:dyDescent="0.25"/>
    <row r="222066" s="12" customFormat="1" x14ac:dyDescent="0.25"/>
    <row r="222067" s="12" customFormat="1" x14ac:dyDescent="0.25"/>
    <row r="222068" s="12" customFormat="1" x14ac:dyDescent="0.25"/>
    <row r="222069" s="12" customFormat="1" x14ac:dyDescent="0.25"/>
    <row r="222070" s="12" customFormat="1" x14ac:dyDescent="0.25"/>
    <row r="222071" s="12" customFormat="1" x14ac:dyDescent="0.25"/>
    <row r="222072" s="12" customFormat="1" x14ac:dyDescent="0.25"/>
    <row r="222073" s="12" customFormat="1" x14ac:dyDescent="0.25"/>
    <row r="222074" s="12" customFormat="1" x14ac:dyDescent="0.25"/>
    <row r="222075" s="12" customFormat="1" x14ac:dyDescent="0.25"/>
    <row r="222076" s="12" customFormat="1" x14ac:dyDescent="0.25"/>
    <row r="222077" s="12" customFormat="1" x14ac:dyDescent="0.25"/>
    <row r="222078" s="12" customFormat="1" x14ac:dyDescent="0.25"/>
    <row r="222079" s="12" customFormat="1" x14ac:dyDescent="0.25"/>
    <row r="222080" s="12" customFormat="1" x14ac:dyDescent="0.25"/>
    <row r="222081" s="12" customFormat="1" x14ac:dyDescent="0.25"/>
    <row r="222082" s="12" customFormat="1" x14ac:dyDescent="0.25"/>
    <row r="222083" s="12" customFormat="1" x14ac:dyDescent="0.25"/>
    <row r="222084" s="12" customFormat="1" x14ac:dyDescent="0.25"/>
    <row r="222085" s="12" customFormat="1" x14ac:dyDescent="0.25"/>
    <row r="222086" s="12" customFormat="1" x14ac:dyDescent="0.25"/>
    <row r="222087" s="12" customFormat="1" x14ac:dyDescent="0.25"/>
    <row r="222088" s="12" customFormat="1" x14ac:dyDescent="0.25"/>
    <row r="222089" s="12" customFormat="1" x14ac:dyDescent="0.25"/>
    <row r="222090" s="12" customFormat="1" x14ac:dyDescent="0.25"/>
    <row r="222091" s="12" customFormat="1" x14ac:dyDescent="0.25"/>
    <row r="222092" s="12" customFormat="1" x14ac:dyDescent="0.25"/>
    <row r="222093" s="12" customFormat="1" x14ac:dyDescent="0.25"/>
    <row r="222094" s="12" customFormat="1" x14ac:dyDescent="0.25"/>
    <row r="222095" s="12" customFormat="1" x14ac:dyDescent="0.25"/>
    <row r="222096" s="12" customFormat="1" x14ac:dyDescent="0.25"/>
    <row r="222097" s="12" customFormat="1" x14ac:dyDescent="0.25"/>
    <row r="222098" s="12" customFormat="1" x14ac:dyDescent="0.25"/>
    <row r="222099" s="12" customFormat="1" x14ac:dyDescent="0.25"/>
    <row r="222100" s="12" customFormat="1" x14ac:dyDescent="0.25"/>
    <row r="222101" s="12" customFormat="1" x14ac:dyDescent="0.25"/>
    <row r="222102" s="12" customFormat="1" x14ac:dyDescent="0.25"/>
    <row r="222103" s="12" customFormat="1" x14ac:dyDescent="0.25"/>
    <row r="222104" s="12" customFormat="1" x14ac:dyDescent="0.25"/>
    <row r="222105" s="12" customFormat="1" x14ac:dyDescent="0.25"/>
    <row r="222106" s="12" customFormat="1" x14ac:dyDescent="0.25"/>
    <row r="222107" s="12" customFormat="1" x14ac:dyDescent="0.25"/>
    <row r="222108" s="12" customFormat="1" x14ac:dyDescent="0.25"/>
    <row r="222109" s="12" customFormat="1" x14ac:dyDescent="0.25"/>
    <row r="222110" s="12" customFormat="1" x14ac:dyDescent="0.25"/>
    <row r="222111" s="12" customFormat="1" x14ac:dyDescent="0.25"/>
    <row r="222112" s="12" customFormat="1" x14ac:dyDescent="0.25"/>
    <row r="222113" s="12" customFormat="1" x14ac:dyDescent="0.25"/>
    <row r="222114" s="12" customFormat="1" x14ac:dyDescent="0.25"/>
    <row r="222115" s="12" customFormat="1" x14ac:dyDescent="0.25"/>
    <row r="222116" s="12" customFormat="1" x14ac:dyDescent="0.25"/>
    <row r="222117" s="12" customFormat="1" x14ac:dyDescent="0.25"/>
    <row r="222118" s="12" customFormat="1" x14ac:dyDescent="0.25"/>
    <row r="222119" s="12" customFormat="1" x14ac:dyDescent="0.25"/>
    <row r="222120" s="12" customFormat="1" x14ac:dyDescent="0.25"/>
    <row r="222121" s="12" customFormat="1" x14ac:dyDescent="0.25"/>
    <row r="222122" s="12" customFormat="1" x14ac:dyDescent="0.25"/>
    <row r="222123" s="12" customFormat="1" x14ac:dyDescent="0.25"/>
    <row r="222124" s="12" customFormat="1" x14ac:dyDescent="0.25"/>
    <row r="222125" s="12" customFormat="1" x14ac:dyDescent="0.25"/>
    <row r="222126" s="12" customFormat="1" x14ac:dyDescent="0.25"/>
    <row r="222127" s="12" customFormat="1" x14ac:dyDescent="0.25"/>
    <row r="222128" s="12" customFormat="1" x14ac:dyDescent="0.25"/>
    <row r="222129" s="12" customFormat="1" x14ac:dyDescent="0.25"/>
    <row r="222130" s="12" customFormat="1" x14ac:dyDescent="0.25"/>
    <row r="222131" s="12" customFormat="1" x14ac:dyDescent="0.25"/>
    <row r="222132" s="12" customFormat="1" x14ac:dyDescent="0.25"/>
    <row r="222133" s="12" customFormat="1" x14ac:dyDescent="0.25"/>
    <row r="222134" s="12" customFormat="1" x14ac:dyDescent="0.25"/>
    <row r="222135" s="12" customFormat="1" x14ac:dyDescent="0.25"/>
    <row r="222136" s="12" customFormat="1" x14ac:dyDescent="0.25"/>
    <row r="222137" s="12" customFormat="1" x14ac:dyDescent="0.25"/>
    <row r="222138" s="12" customFormat="1" x14ac:dyDescent="0.25"/>
    <row r="222139" s="12" customFormat="1" x14ac:dyDescent="0.25"/>
    <row r="222140" s="12" customFormat="1" x14ac:dyDescent="0.25"/>
    <row r="222141" s="12" customFormat="1" x14ac:dyDescent="0.25"/>
    <row r="222142" s="12" customFormat="1" x14ac:dyDescent="0.25"/>
    <row r="222143" s="12" customFormat="1" x14ac:dyDescent="0.25"/>
    <row r="222144" s="12" customFormat="1" x14ac:dyDescent="0.25"/>
    <row r="222145" s="12" customFormat="1" x14ac:dyDescent="0.25"/>
    <row r="222146" s="12" customFormat="1" x14ac:dyDescent="0.25"/>
    <row r="222147" s="12" customFormat="1" x14ac:dyDescent="0.25"/>
    <row r="222148" s="12" customFormat="1" x14ac:dyDescent="0.25"/>
    <row r="222149" s="12" customFormat="1" x14ac:dyDescent="0.25"/>
    <row r="222150" s="12" customFormat="1" x14ac:dyDescent="0.25"/>
    <row r="222151" s="12" customFormat="1" x14ac:dyDescent="0.25"/>
    <row r="222152" s="12" customFormat="1" x14ac:dyDescent="0.25"/>
    <row r="222153" s="12" customFormat="1" x14ac:dyDescent="0.25"/>
    <row r="222154" s="12" customFormat="1" x14ac:dyDescent="0.25"/>
    <row r="222155" s="12" customFormat="1" x14ac:dyDescent="0.25"/>
    <row r="222156" s="12" customFormat="1" x14ac:dyDescent="0.25"/>
    <row r="222157" s="12" customFormat="1" x14ac:dyDescent="0.25"/>
    <row r="222158" s="12" customFormat="1" x14ac:dyDescent="0.25"/>
    <row r="222159" s="12" customFormat="1" x14ac:dyDescent="0.25"/>
    <row r="222160" s="12" customFormat="1" x14ac:dyDescent="0.25"/>
    <row r="222161" s="12" customFormat="1" x14ac:dyDescent="0.25"/>
    <row r="222162" s="12" customFormat="1" x14ac:dyDescent="0.25"/>
    <row r="222163" s="12" customFormat="1" x14ac:dyDescent="0.25"/>
    <row r="222164" s="12" customFormat="1" x14ac:dyDescent="0.25"/>
    <row r="222165" s="12" customFormat="1" x14ac:dyDescent="0.25"/>
    <row r="222166" s="12" customFormat="1" x14ac:dyDescent="0.25"/>
    <row r="222167" s="12" customFormat="1" x14ac:dyDescent="0.25"/>
    <row r="222168" s="12" customFormat="1" x14ac:dyDescent="0.25"/>
    <row r="222169" s="12" customFormat="1" x14ac:dyDescent="0.25"/>
    <row r="222170" s="12" customFormat="1" x14ac:dyDescent="0.25"/>
    <row r="222171" s="12" customFormat="1" x14ac:dyDescent="0.25"/>
    <row r="222172" s="12" customFormat="1" x14ac:dyDescent="0.25"/>
    <row r="222173" s="12" customFormat="1" x14ac:dyDescent="0.25"/>
    <row r="222174" s="12" customFormat="1" x14ac:dyDescent="0.25"/>
    <row r="222175" s="12" customFormat="1" x14ac:dyDescent="0.25"/>
    <row r="222176" s="12" customFormat="1" x14ac:dyDescent="0.25"/>
    <row r="222177" s="12" customFormat="1" x14ac:dyDescent="0.25"/>
    <row r="222178" s="12" customFormat="1" x14ac:dyDescent="0.25"/>
    <row r="222179" s="12" customFormat="1" x14ac:dyDescent="0.25"/>
    <row r="222180" s="12" customFormat="1" x14ac:dyDescent="0.25"/>
    <row r="222181" s="12" customFormat="1" x14ac:dyDescent="0.25"/>
    <row r="222182" s="12" customFormat="1" x14ac:dyDescent="0.25"/>
    <row r="222183" s="12" customFormat="1" x14ac:dyDescent="0.25"/>
    <row r="222184" s="12" customFormat="1" x14ac:dyDescent="0.25"/>
    <row r="222185" s="12" customFormat="1" x14ac:dyDescent="0.25"/>
    <row r="222186" s="12" customFormat="1" x14ac:dyDescent="0.25"/>
    <row r="222187" s="12" customFormat="1" x14ac:dyDescent="0.25"/>
    <row r="222188" s="12" customFormat="1" x14ac:dyDescent="0.25"/>
    <row r="222189" s="12" customFormat="1" x14ac:dyDescent="0.25"/>
    <row r="222190" s="12" customFormat="1" x14ac:dyDescent="0.25"/>
    <row r="222191" s="12" customFormat="1" x14ac:dyDescent="0.25"/>
    <row r="222192" s="12" customFormat="1" x14ac:dyDescent="0.25"/>
    <row r="222193" s="12" customFormat="1" x14ac:dyDescent="0.25"/>
    <row r="222194" s="12" customFormat="1" x14ac:dyDescent="0.25"/>
    <row r="222195" s="12" customFormat="1" x14ac:dyDescent="0.25"/>
    <row r="222196" s="12" customFormat="1" x14ac:dyDescent="0.25"/>
    <row r="222197" s="12" customFormat="1" x14ac:dyDescent="0.25"/>
    <row r="222198" s="12" customFormat="1" x14ac:dyDescent="0.25"/>
    <row r="222199" s="12" customFormat="1" x14ac:dyDescent="0.25"/>
    <row r="222200" s="12" customFormat="1" x14ac:dyDescent="0.25"/>
    <row r="222201" s="12" customFormat="1" x14ac:dyDescent="0.25"/>
    <row r="222202" s="12" customFormat="1" x14ac:dyDescent="0.25"/>
    <row r="222203" s="12" customFormat="1" x14ac:dyDescent="0.25"/>
    <row r="222204" s="12" customFormat="1" x14ac:dyDescent="0.25"/>
    <row r="222205" s="12" customFormat="1" x14ac:dyDescent="0.25"/>
    <row r="222206" s="12" customFormat="1" x14ac:dyDescent="0.25"/>
    <row r="222207" s="12" customFormat="1" x14ac:dyDescent="0.25"/>
    <row r="222208" s="12" customFormat="1" x14ac:dyDescent="0.25"/>
    <row r="222209" s="12" customFormat="1" x14ac:dyDescent="0.25"/>
    <row r="222210" s="12" customFormat="1" x14ac:dyDescent="0.25"/>
    <row r="222211" s="12" customFormat="1" x14ac:dyDescent="0.25"/>
    <row r="222212" s="12" customFormat="1" x14ac:dyDescent="0.25"/>
    <row r="222213" s="12" customFormat="1" x14ac:dyDescent="0.25"/>
    <row r="222214" s="12" customFormat="1" x14ac:dyDescent="0.25"/>
    <row r="222215" s="12" customFormat="1" x14ac:dyDescent="0.25"/>
    <row r="222216" s="12" customFormat="1" x14ac:dyDescent="0.25"/>
    <row r="222217" s="12" customFormat="1" x14ac:dyDescent="0.25"/>
    <row r="222218" s="12" customFormat="1" x14ac:dyDescent="0.25"/>
    <row r="222219" s="12" customFormat="1" x14ac:dyDescent="0.25"/>
    <row r="222220" s="12" customFormat="1" x14ac:dyDescent="0.25"/>
    <row r="222221" s="12" customFormat="1" x14ac:dyDescent="0.25"/>
    <row r="222222" s="12" customFormat="1" x14ac:dyDescent="0.25"/>
    <row r="222223" s="12" customFormat="1" x14ac:dyDescent="0.25"/>
    <row r="222224" s="12" customFormat="1" x14ac:dyDescent="0.25"/>
    <row r="222225" s="12" customFormat="1" x14ac:dyDescent="0.25"/>
    <row r="222226" s="12" customFormat="1" x14ac:dyDescent="0.25"/>
    <row r="222227" s="12" customFormat="1" x14ac:dyDescent="0.25"/>
    <row r="222228" s="12" customFormat="1" x14ac:dyDescent="0.25"/>
    <row r="222229" s="12" customFormat="1" x14ac:dyDescent="0.25"/>
    <row r="222230" s="12" customFormat="1" x14ac:dyDescent="0.25"/>
    <row r="222231" s="12" customFormat="1" x14ac:dyDescent="0.25"/>
    <row r="222232" s="12" customFormat="1" x14ac:dyDescent="0.25"/>
    <row r="222233" s="12" customFormat="1" x14ac:dyDescent="0.25"/>
    <row r="222234" s="12" customFormat="1" x14ac:dyDescent="0.25"/>
    <row r="222235" s="12" customFormat="1" x14ac:dyDescent="0.25"/>
    <row r="222236" s="12" customFormat="1" x14ac:dyDescent="0.25"/>
    <row r="222237" s="12" customFormat="1" x14ac:dyDescent="0.25"/>
    <row r="222238" s="12" customFormat="1" x14ac:dyDescent="0.25"/>
    <row r="222239" s="12" customFormat="1" x14ac:dyDescent="0.25"/>
    <row r="222240" s="12" customFormat="1" x14ac:dyDescent="0.25"/>
    <row r="222241" s="12" customFormat="1" x14ac:dyDescent="0.25"/>
    <row r="222242" s="12" customFormat="1" x14ac:dyDescent="0.25"/>
    <row r="222243" s="12" customFormat="1" x14ac:dyDescent="0.25"/>
    <row r="222244" s="12" customFormat="1" x14ac:dyDescent="0.25"/>
    <row r="222245" s="12" customFormat="1" x14ac:dyDescent="0.25"/>
    <row r="222246" s="12" customFormat="1" x14ac:dyDescent="0.25"/>
    <row r="222247" s="12" customFormat="1" x14ac:dyDescent="0.25"/>
    <row r="222248" s="12" customFormat="1" x14ac:dyDescent="0.25"/>
    <row r="222249" s="12" customFormat="1" x14ac:dyDescent="0.25"/>
    <row r="222250" s="12" customFormat="1" x14ac:dyDescent="0.25"/>
    <row r="222251" s="12" customFormat="1" x14ac:dyDescent="0.25"/>
    <row r="222252" s="12" customFormat="1" x14ac:dyDescent="0.25"/>
    <row r="222253" s="12" customFormat="1" x14ac:dyDescent="0.25"/>
    <row r="222254" s="12" customFormat="1" x14ac:dyDescent="0.25"/>
    <row r="222255" s="12" customFormat="1" x14ac:dyDescent="0.25"/>
    <row r="222256" s="12" customFormat="1" x14ac:dyDescent="0.25"/>
    <row r="222257" s="12" customFormat="1" x14ac:dyDescent="0.25"/>
    <row r="222258" s="12" customFormat="1" x14ac:dyDescent="0.25"/>
    <row r="222259" s="12" customFormat="1" x14ac:dyDescent="0.25"/>
    <row r="222260" s="12" customFormat="1" x14ac:dyDescent="0.25"/>
    <row r="222261" s="12" customFormat="1" x14ac:dyDescent="0.25"/>
    <row r="222262" s="12" customFormat="1" x14ac:dyDescent="0.25"/>
    <row r="222263" s="12" customFormat="1" x14ac:dyDescent="0.25"/>
    <row r="222264" s="12" customFormat="1" x14ac:dyDescent="0.25"/>
    <row r="222265" s="12" customFormat="1" x14ac:dyDescent="0.25"/>
    <row r="222266" s="12" customFormat="1" x14ac:dyDescent="0.25"/>
    <row r="222267" s="12" customFormat="1" x14ac:dyDescent="0.25"/>
    <row r="222268" s="12" customFormat="1" x14ac:dyDescent="0.25"/>
    <row r="222269" s="12" customFormat="1" x14ac:dyDescent="0.25"/>
    <row r="222270" s="12" customFormat="1" x14ac:dyDescent="0.25"/>
    <row r="222271" s="12" customFormat="1" x14ac:dyDescent="0.25"/>
    <row r="222272" s="12" customFormat="1" x14ac:dyDescent="0.25"/>
    <row r="222273" s="12" customFormat="1" x14ac:dyDescent="0.25"/>
    <row r="222274" s="12" customFormat="1" x14ac:dyDescent="0.25"/>
    <row r="222275" s="12" customFormat="1" x14ac:dyDescent="0.25"/>
    <row r="222276" s="12" customFormat="1" x14ac:dyDescent="0.25"/>
    <row r="222277" s="12" customFormat="1" x14ac:dyDescent="0.25"/>
    <row r="222278" s="12" customFormat="1" x14ac:dyDescent="0.25"/>
    <row r="222279" s="12" customFormat="1" x14ac:dyDescent="0.25"/>
    <row r="222280" s="12" customFormat="1" x14ac:dyDescent="0.25"/>
    <row r="222281" s="12" customFormat="1" x14ac:dyDescent="0.25"/>
    <row r="222282" s="12" customFormat="1" x14ac:dyDescent="0.25"/>
    <row r="222283" s="12" customFormat="1" x14ac:dyDescent="0.25"/>
    <row r="222284" s="12" customFormat="1" x14ac:dyDescent="0.25"/>
    <row r="222285" s="12" customFormat="1" x14ac:dyDescent="0.25"/>
    <row r="222286" s="12" customFormat="1" x14ac:dyDescent="0.25"/>
    <row r="222287" s="12" customFormat="1" x14ac:dyDescent="0.25"/>
    <row r="222288" s="12" customFormat="1" x14ac:dyDescent="0.25"/>
    <row r="222289" s="12" customFormat="1" x14ac:dyDescent="0.25"/>
    <row r="222290" s="12" customFormat="1" x14ac:dyDescent="0.25"/>
    <row r="222291" s="12" customFormat="1" x14ac:dyDescent="0.25"/>
    <row r="222292" s="12" customFormat="1" x14ac:dyDescent="0.25"/>
    <row r="222293" s="12" customFormat="1" x14ac:dyDescent="0.25"/>
    <row r="222294" s="12" customFormat="1" x14ac:dyDescent="0.25"/>
    <row r="222295" s="12" customFormat="1" x14ac:dyDescent="0.25"/>
    <row r="222296" s="12" customFormat="1" x14ac:dyDescent="0.25"/>
    <row r="222297" s="12" customFormat="1" x14ac:dyDescent="0.25"/>
    <row r="222298" s="12" customFormat="1" x14ac:dyDescent="0.25"/>
    <row r="222299" s="12" customFormat="1" x14ac:dyDescent="0.25"/>
    <row r="222300" s="12" customFormat="1" x14ac:dyDescent="0.25"/>
    <row r="222301" s="12" customFormat="1" x14ac:dyDescent="0.25"/>
    <row r="222302" s="12" customFormat="1" x14ac:dyDescent="0.25"/>
    <row r="222303" s="12" customFormat="1" x14ac:dyDescent="0.25"/>
    <row r="222304" s="12" customFormat="1" x14ac:dyDescent="0.25"/>
    <row r="222305" s="12" customFormat="1" x14ac:dyDescent="0.25"/>
    <row r="222306" s="12" customFormat="1" x14ac:dyDescent="0.25"/>
    <row r="222307" s="12" customFormat="1" x14ac:dyDescent="0.25"/>
    <row r="222308" s="12" customFormat="1" x14ac:dyDescent="0.25"/>
    <row r="222309" s="12" customFormat="1" x14ac:dyDescent="0.25"/>
    <row r="222310" s="12" customFormat="1" x14ac:dyDescent="0.25"/>
    <row r="222311" s="12" customFormat="1" x14ac:dyDescent="0.25"/>
    <row r="222312" s="12" customFormat="1" x14ac:dyDescent="0.25"/>
    <row r="222313" s="12" customFormat="1" x14ac:dyDescent="0.25"/>
    <row r="222314" s="12" customFormat="1" x14ac:dyDescent="0.25"/>
    <row r="222315" s="12" customFormat="1" x14ac:dyDescent="0.25"/>
    <row r="222316" s="12" customFormat="1" x14ac:dyDescent="0.25"/>
    <row r="222317" s="12" customFormat="1" x14ac:dyDescent="0.25"/>
    <row r="222318" s="12" customFormat="1" x14ac:dyDescent="0.25"/>
    <row r="222319" s="12" customFormat="1" x14ac:dyDescent="0.25"/>
    <row r="222320" s="12" customFormat="1" x14ac:dyDescent="0.25"/>
    <row r="222321" s="12" customFormat="1" x14ac:dyDescent="0.25"/>
    <row r="222322" s="12" customFormat="1" x14ac:dyDescent="0.25"/>
    <row r="222323" s="12" customFormat="1" x14ac:dyDescent="0.25"/>
    <row r="222324" s="12" customFormat="1" x14ac:dyDescent="0.25"/>
    <row r="222325" s="12" customFormat="1" x14ac:dyDescent="0.25"/>
    <row r="222326" s="12" customFormat="1" x14ac:dyDescent="0.25"/>
    <row r="222327" s="12" customFormat="1" x14ac:dyDescent="0.25"/>
    <row r="222328" s="12" customFormat="1" x14ac:dyDescent="0.25"/>
    <row r="222329" s="12" customFormat="1" x14ac:dyDescent="0.25"/>
    <row r="222330" s="12" customFormat="1" x14ac:dyDescent="0.25"/>
    <row r="222331" s="12" customFormat="1" x14ac:dyDescent="0.25"/>
    <row r="222332" s="12" customFormat="1" x14ac:dyDescent="0.25"/>
    <row r="222333" s="12" customFormat="1" x14ac:dyDescent="0.25"/>
    <row r="222334" s="12" customFormat="1" x14ac:dyDescent="0.25"/>
    <row r="222335" s="12" customFormat="1" x14ac:dyDescent="0.25"/>
    <row r="222336" s="12" customFormat="1" x14ac:dyDescent="0.25"/>
    <row r="222337" s="12" customFormat="1" x14ac:dyDescent="0.25"/>
    <row r="222338" s="12" customFormat="1" x14ac:dyDescent="0.25"/>
    <row r="222339" s="12" customFormat="1" x14ac:dyDescent="0.25"/>
    <row r="222340" s="12" customFormat="1" x14ac:dyDescent="0.25"/>
    <row r="222341" s="12" customFormat="1" x14ac:dyDescent="0.25"/>
    <row r="222342" s="12" customFormat="1" x14ac:dyDescent="0.25"/>
    <row r="222343" s="12" customFormat="1" x14ac:dyDescent="0.25"/>
    <row r="222344" s="12" customFormat="1" x14ac:dyDescent="0.25"/>
    <row r="222345" s="12" customFormat="1" x14ac:dyDescent="0.25"/>
    <row r="222346" s="12" customFormat="1" x14ac:dyDescent="0.25"/>
    <row r="222347" s="12" customFormat="1" x14ac:dyDescent="0.25"/>
    <row r="222348" s="12" customFormat="1" x14ac:dyDescent="0.25"/>
    <row r="222349" s="12" customFormat="1" x14ac:dyDescent="0.25"/>
    <row r="222350" s="12" customFormat="1" x14ac:dyDescent="0.25"/>
    <row r="222351" s="12" customFormat="1" x14ac:dyDescent="0.25"/>
    <row r="222352" s="12" customFormat="1" x14ac:dyDescent="0.25"/>
    <row r="222353" s="12" customFormat="1" x14ac:dyDescent="0.25"/>
    <row r="222354" s="12" customFormat="1" x14ac:dyDescent="0.25"/>
    <row r="222355" s="12" customFormat="1" x14ac:dyDescent="0.25"/>
    <row r="222356" s="12" customFormat="1" x14ac:dyDescent="0.25"/>
    <row r="222357" s="12" customFormat="1" x14ac:dyDescent="0.25"/>
    <row r="222358" s="12" customFormat="1" x14ac:dyDescent="0.25"/>
    <row r="222359" s="12" customFormat="1" x14ac:dyDescent="0.25"/>
    <row r="222360" s="12" customFormat="1" x14ac:dyDescent="0.25"/>
    <row r="222361" s="12" customFormat="1" x14ac:dyDescent="0.25"/>
    <row r="222362" s="12" customFormat="1" x14ac:dyDescent="0.25"/>
    <row r="222363" s="12" customFormat="1" x14ac:dyDescent="0.25"/>
    <row r="222364" s="12" customFormat="1" x14ac:dyDescent="0.25"/>
    <row r="222365" s="12" customFormat="1" x14ac:dyDescent="0.25"/>
    <row r="222366" s="12" customFormat="1" x14ac:dyDescent="0.25"/>
    <row r="222367" s="12" customFormat="1" x14ac:dyDescent="0.25"/>
    <row r="222368" s="12" customFormat="1" x14ac:dyDescent="0.25"/>
    <row r="222369" s="12" customFormat="1" x14ac:dyDescent="0.25"/>
    <row r="222370" s="12" customFormat="1" x14ac:dyDescent="0.25"/>
    <row r="222371" s="12" customFormat="1" x14ac:dyDescent="0.25"/>
    <row r="222372" s="12" customFormat="1" x14ac:dyDescent="0.25"/>
    <row r="222373" s="12" customFormat="1" x14ac:dyDescent="0.25"/>
    <row r="222374" s="12" customFormat="1" x14ac:dyDescent="0.25"/>
    <row r="222375" s="12" customFormat="1" x14ac:dyDescent="0.25"/>
    <row r="222376" s="12" customFormat="1" x14ac:dyDescent="0.25"/>
    <row r="222377" s="12" customFormat="1" x14ac:dyDescent="0.25"/>
    <row r="222378" s="12" customFormat="1" x14ac:dyDescent="0.25"/>
    <row r="222379" s="12" customFormat="1" x14ac:dyDescent="0.25"/>
    <row r="222380" s="12" customFormat="1" x14ac:dyDescent="0.25"/>
    <row r="222381" s="12" customFormat="1" x14ac:dyDescent="0.25"/>
    <row r="222382" s="12" customFormat="1" x14ac:dyDescent="0.25"/>
    <row r="222383" s="12" customFormat="1" x14ac:dyDescent="0.25"/>
    <row r="222384" s="12" customFormat="1" x14ac:dyDescent="0.25"/>
    <row r="222385" s="12" customFormat="1" x14ac:dyDescent="0.25"/>
    <row r="222386" s="12" customFormat="1" x14ac:dyDescent="0.25"/>
    <row r="222387" s="12" customFormat="1" x14ac:dyDescent="0.25"/>
    <row r="222388" s="12" customFormat="1" x14ac:dyDescent="0.25"/>
    <row r="222389" s="12" customFormat="1" x14ac:dyDescent="0.25"/>
    <row r="222390" s="12" customFormat="1" x14ac:dyDescent="0.25"/>
    <row r="222391" s="12" customFormat="1" x14ac:dyDescent="0.25"/>
    <row r="222392" s="12" customFormat="1" x14ac:dyDescent="0.25"/>
    <row r="222393" s="12" customFormat="1" x14ac:dyDescent="0.25"/>
    <row r="222394" s="12" customFormat="1" x14ac:dyDescent="0.25"/>
    <row r="222395" s="12" customFormat="1" x14ac:dyDescent="0.25"/>
    <row r="222396" s="12" customFormat="1" x14ac:dyDescent="0.25"/>
    <row r="222397" s="12" customFormat="1" x14ac:dyDescent="0.25"/>
    <row r="222398" s="12" customFormat="1" x14ac:dyDescent="0.25"/>
    <row r="222399" s="12" customFormat="1" x14ac:dyDescent="0.25"/>
    <row r="222400" s="12" customFormat="1" x14ac:dyDescent="0.25"/>
    <row r="222401" s="12" customFormat="1" x14ac:dyDescent="0.25"/>
    <row r="222402" s="12" customFormat="1" x14ac:dyDescent="0.25"/>
    <row r="222403" s="12" customFormat="1" x14ac:dyDescent="0.25"/>
    <row r="222404" s="12" customFormat="1" x14ac:dyDescent="0.25"/>
    <row r="222405" s="12" customFormat="1" x14ac:dyDescent="0.25"/>
    <row r="222406" s="12" customFormat="1" x14ac:dyDescent="0.25"/>
    <row r="222407" s="12" customFormat="1" x14ac:dyDescent="0.25"/>
    <row r="222408" s="12" customFormat="1" x14ac:dyDescent="0.25"/>
    <row r="222409" s="12" customFormat="1" x14ac:dyDescent="0.25"/>
    <row r="222410" s="12" customFormat="1" x14ac:dyDescent="0.25"/>
    <row r="222411" s="12" customFormat="1" x14ac:dyDescent="0.25"/>
    <row r="222412" s="12" customFormat="1" x14ac:dyDescent="0.25"/>
    <row r="222413" s="12" customFormat="1" x14ac:dyDescent="0.25"/>
    <row r="222414" s="12" customFormat="1" x14ac:dyDescent="0.25"/>
    <row r="222415" s="12" customFormat="1" x14ac:dyDescent="0.25"/>
    <row r="222416" s="12" customFormat="1" x14ac:dyDescent="0.25"/>
    <row r="222417" s="12" customFormat="1" x14ac:dyDescent="0.25"/>
    <row r="222418" s="12" customFormat="1" x14ac:dyDescent="0.25"/>
    <row r="222419" s="12" customFormat="1" x14ac:dyDescent="0.25"/>
    <row r="222420" s="12" customFormat="1" x14ac:dyDescent="0.25"/>
    <row r="222421" s="12" customFormat="1" x14ac:dyDescent="0.25"/>
    <row r="222422" s="12" customFormat="1" x14ac:dyDescent="0.25"/>
    <row r="222423" s="12" customFormat="1" x14ac:dyDescent="0.25"/>
    <row r="222424" s="12" customFormat="1" x14ac:dyDescent="0.25"/>
    <row r="222425" s="12" customFormat="1" x14ac:dyDescent="0.25"/>
    <row r="222426" s="12" customFormat="1" x14ac:dyDescent="0.25"/>
    <row r="222427" s="12" customFormat="1" x14ac:dyDescent="0.25"/>
    <row r="222428" s="12" customFormat="1" x14ac:dyDescent="0.25"/>
    <row r="222429" s="12" customFormat="1" x14ac:dyDescent="0.25"/>
    <row r="222430" s="12" customFormat="1" x14ac:dyDescent="0.25"/>
    <row r="222431" s="12" customFormat="1" x14ac:dyDescent="0.25"/>
    <row r="222432" s="12" customFormat="1" x14ac:dyDescent="0.25"/>
    <row r="222433" s="12" customFormat="1" x14ac:dyDescent="0.25"/>
    <row r="222434" s="12" customFormat="1" x14ac:dyDescent="0.25"/>
    <row r="222435" s="12" customFormat="1" x14ac:dyDescent="0.25"/>
    <row r="222436" s="12" customFormat="1" x14ac:dyDescent="0.25"/>
    <row r="222437" s="12" customFormat="1" x14ac:dyDescent="0.25"/>
    <row r="222438" s="12" customFormat="1" x14ac:dyDescent="0.25"/>
    <row r="222439" s="12" customFormat="1" x14ac:dyDescent="0.25"/>
    <row r="222440" s="12" customFormat="1" x14ac:dyDescent="0.25"/>
    <row r="222441" s="12" customFormat="1" x14ac:dyDescent="0.25"/>
    <row r="222442" s="12" customFormat="1" x14ac:dyDescent="0.25"/>
    <row r="222443" s="12" customFormat="1" x14ac:dyDescent="0.25"/>
    <row r="222444" s="12" customFormat="1" x14ac:dyDescent="0.25"/>
    <row r="222445" s="12" customFormat="1" x14ac:dyDescent="0.25"/>
    <row r="222446" s="12" customFormat="1" x14ac:dyDescent="0.25"/>
    <row r="222447" s="12" customFormat="1" x14ac:dyDescent="0.25"/>
    <row r="222448" s="12" customFormat="1" x14ac:dyDescent="0.25"/>
    <row r="222449" s="12" customFormat="1" x14ac:dyDescent="0.25"/>
    <row r="222450" s="12" customFormat="1" x14ac:dyDescent="0.25"/>
    <row r="222451" s="12" customFormat="1" x14ac:dyDescent="0.25"/>
    <row r="222452" s="12" customFormat="1" x14ac:dyDescent="0.25"/>
    <row r="222453" s="12" customFormat="1" x14ac:dyDescent="0.25"/>
    <row r="222454" s="12" customFormat="1" x14ac:dyDescent="0.25"/>
    <row r="222455" s="12" customFormat="1" x14ac:dyDescent="0.25"/>
    <row r="222456" s="12" customFormat="1" x14ac:dyDescent="0.25"/>
    <row r="222457" s="12" customFormat="1" x14ac:dyDescent="0.25"/>
    <row r="222458" s="12" customFormat="1" x14ac:dyDescent="0.25"/>
    <row r="222459" s="12" customFormat="1" x14ac:dyDescent="0.25"/>
    <row r="222460" s="12" customFormat="1" x14ac:dyDescent="0.25"/>
    <row r="222461" s="12" customFormat="1" x14ac:dyDescent="0.25"/>
    <row r="222462" s="12" customFormat="1" x14ac:dyDescent="0.25"/>
    <row r="222463" s="12" customFormat="1" x14ac:dyDescent="0.25"/>
    <row r="222464" s="12" customFormat="1" x14ac:dyDescent="0.25"/>
    <row r="222465" s="12" customFormat="1" x14ac:dyDescent="0.25"/>
    <row r="222466" s="12" customFormat="1" x14ac:dyDescent="0.25"/>
    <row r="222467" s="12" customFormat="1" x14ac:dyDescent="0.25"/>
    <row r="222468" s="12" customFormat="1" x14ac:dyDescent="0.25"/>
    <row r="222469" s="12" customFormat="1" x14ac:dyDescent="0.25"/>
    <row r="222470" s="12" customFormat="1" x14ac:dyDescent="0.25"/>
    <row r="222471" s="12" customFormat="1" x14ac:dyDescent="0.25"/>
    <row r="222472" s="12" customFormat="1" x14ac:dyDescent="0.25"/>
    <row r="222473" s="12" customFormat="1" x14ac:dyDescent="0.25"/>
    <row r="222474" s="12" customFormat="1" x14ac:dyDescent="0.25"/>
    <row r="222475" s="12" customFormat="1" x14ac:dyDescent="0.25"/>
    <row r="222476" s="12" customFormat="1" x14ac:dyDescent="0.25"/>
    <row r="222477" s="12" customFormat="1" x14ac:dyDescent="0.25"/>
    <row r="222478" s="12" customFormat="1" x14ac:dyDescent="0.25"/>
    <row r="222479" s="12" customFormat="1" x14ac:dyDescent="0.25"/>
    <row r="222480" s="12" customFormat="1" x14ac:dyDescent="0.25"/>
    <row r="222481" s="12" customFormat="1" x14ac:dyDescent="0.25"/>
    <row r="222482" s="12" customFormat="1" x14ac:dyDescent="0.25"/>
    <row r="222483" s="12" customFormat="1" x14ac:dyDescent="0.25"/>
    <row r="222484" s="12" customFormat="1" x14ac:dyDescent="0.25"/>
    <row r="222485" s="12" customFormat="1" x14ac:dyDescent="0.25"/>
    <row r="222486" s="12" customFormat="1" x14ac:dyDescent="0.25"/>
    <row r="222487" s="12" customFormat="1" x14ac:dyDescent="0.25"/>
    <row r="222488" s="12" customFormat="1" x14ac:dyDescent="0.25"/>
    <row r="222489" s="12" customFormat="1" x14ac:dyDescent="0.25"/>
    <row r="222490" s="12" customFormat="1" x14ac:dyDescent="0.25"/>
    <row r="222491" s="12" customFormat="1" x14ac:dyDescent="0.25"/>
    <row r="222492" s="12" customFormat="1" x14ac:dyDescent="0.25"/>
    <row r="222493" s="12" customFormat="1" x14ac:dyDescent="0.25"/>
    <row r="222494" s="12" customFormat="1" x14ac:dyDescent="0.25"/>
    <row r="222495" s="12" customFormat="1" x14ac:dyDescent="0.25"/>
    <row r="222496" s="12" customFormat="1" x14ac:dyDescent="0.25"/>
    <row r="222497" s="12" customFormat="1" x14ac:dyDescent="0.25"/>
    <row r="222498" s="12" customFormat="1" x14ac:dyDescent="0.25"/>
    <row r="222499" s="12" customFormat="1" x14ac:dyDescent="0.25"/>
    <row r="222500" s="12" customFormat="1" x14ac:dyDescent="0.25"/>
    <row r="222501" s="12" customFormat="1" x14ac:dyDescent="0.25"/>
    <row r="222502" s="12" customFormat="1" x14ac:dyDescent="0.25"/>
    <row r="222503" s="12" customFormat="1" x14ac:dyDescent="0.25"/>
    <row r="222504" s="12" customFormat="1" x14ac:dyDescent="0.25"/>
    <row r="222505" s="12" customFormat="1" x14ac:dyDescent="0.25"/>
    <row r="222506" s="12" customFormat="1" x14ac:dyDescent="0.25"/>
    <row r="222507" s="12" customFormat="1" x14ac:dyDescent="0.25"/>
    <row r="222508" s="12" customFormat="1" x14ac:dyDescent="0.25"/>
    <row r="222509" s="12" customFormat="1" x14ac:dyDescent="0.25"/>
    <row r="222510" s="12" customFormat="1" x14ac:dyDescent="0.25"/>
    <row r="222511" s="12" customFormat="1" x14ac:dyDescent="0.25"/>
    <row r="222512" s="12" customFormat="1" x14ac:dyDescent="0.25"/>
    <row r="222513" s="12" customFormat="1" x14ac:dyDescent="0.25"/>
    <row r="222514" s="12" customFormat="1" x14ac:dyDescent="0.25"/>
    <row r="222515" s="12" customFormat="1" x14ac:dyDescent="0.25"/>
    <row r="222516" s="12" customFormat="1" x14ac:dyDescent="0.25"/>
    <row r="222517" s="12" customFormat="1" x14ac:dyDescent="0.25"/>
    <row r="222518" s="12" customFormat="1" x14ac:dyDescent="0.25"/>
    <row r="222519" s="12" customFormat="1" x14ac:dyDescent="0.25"/>
    <row r="222520" s="12" customFormat="1" x14ac:dyDescent="0.25"/>
    <row r="222521" s="12" customFormat="1" x14ac:dyDescent="0.25"/>
    <row r="222522" s="12" customFormat="1" x14ac:dyDescent="0.25"/>
    <row r="222523" s="12" customFormat="1" x14ac:dyDescent="0.25"/>
    <row r="222524" s="12" customFormat="1" x14ac:dyDescent="0.25"/>
    <row r="222525" s="12" customFormat="1" x14ac:dyDescent="0.25"/>
    <row r="222526" s="12" customFormat="1" x14ac:dyDescent="0.25"/>
    <row r="222527" s="12" customFormat="1" x14ac:dyDescent="0.25"/>
    <row r="222528" s="12" customFormat="1" x14ac:dyDescent="0.25"/>
    <row r="222529" s="12" customFormat="1" x14ac:dyDescent="0.25"/>
    <row r="222530" s="12" customFormat="1" x14ac:dyDescent="0.25"/>
    <row r="222531" s="12" customFormat="1" x14ac:dyDescent="0.25"/>
    <row r="222532" s="12" customFormat="1" x14ac:dyDescent="0.25"/>
    <row r="222533" s="12" customFormat="1" x14ac:dyDescent="0.25"/>
    <row r="222534" s="12" customFormat="1" x14ac:dyDescent="0.25"/>
    <row r="222535" s="12" customFormat="1" x14ac:dyDescent="0.25"/>
    <row r="222536" s="12" customFormat="1" x14ac:dyDescent="0.25"/>
    <row r="222537" s="12" customFormat="1" x14ac:dyDescent="0.25"/>
    <row r="222538" s="12" customFormat="1" x14ac:dyDescent="0.25"/>
    <row r="222539" s="12" customFormat="1" x14ac:dyDescent="0.25"/>
    <row r="222540" s="12" customFormat="1" x14ac:dyDescent="0.25"/>
    <row r="222541" s="12" customFormat="1" x14ac:dyDescent="0.25"/>
    <row r="222542" s="12" customFormat="1" x14ac:dyDescent="0.25"/>
    <row r="222543" s="12" customFormat="1" x14ac:dyDescent="0.25"/>
    <row r="222544" s="12" customFormat="1" x14ac:dyDescent="0.25"/>
    <row r="222545" s="12" customFormat="1" x14ac:dyDescent="0.25"/>
    <row r="222546" s="12" customFormat="1" x14ac:dyDescent="0.25"/>
    <row r="222547" s="12" customFormat="1" x14ac:dyDescent="0.25"/>
    <row r="222548" s="12" customFormat="1" x14ac:dyDescent="0.25"/>
    <row r="222549" s="12" customFormat="1" x14ac:dyDescent="0.25"/>
    <row r="222550" s="12" customFormat="1" x14ac:dyDescent="0.25"/>
    <row r="222551" s="12" customFormat="1" x14ac:dyDescent="0.25"/>
    <row r="222552" s="12" customFormat="1" x14ac:dyDescent="0.25"/>
    <row r="222553" s="12" customFormat="1" x14ac:dyDescent="0.25"/>
    <row r="222554" s="12" customFormat="1" x14ac:dyDescent="0.25"/>
    <row r="222555" s="12" customFormat="1" x14ac:dyDescent="0.25"/>
    <row r="222556" s="12" customFormat="1" x14ac:dyDescent="0.25"/>
    <row r="222557" s="12" customFormat="1" x14ac:dyDescent="0.25"/>
    <row r="222558" s="12" customFormat="1" x14ac:dyDescent="0.25"/>
    <row r="222559" s="12" customFormat="1" x14ac:dyDescent="0.25"/>
    <row r="222560" s="12" customFormat="1" x14ac:dyDescent="0.25"/>
    <row r="222561" s="12" customFormat="1" x14ac:dyDescent="0.25"/>
    <row r="222562" s="12" customFormat="1" x14ac:dyDescent="0.25"/>
    <row r="222563" s="12" customFormat="1" x14ac:dyDescent="0.25"/>
    <row r="222564" s="12" customFormat="1" x14ac:dyDescent="0.25"/>
    <row r="222565" s="12" customFormat="1" x14ac:dyDescent="0.25"/>
    <row r="222566" s="12" customFormat="1" x14ac:dyDescent="0.25"/>
    <row r="222567" s="12" customFormat="1" x14ac:dyDescent="0.25"/>
    <row r="222568" s="12" customFormat="1" x14ac:dyDescent="0.25"/>
    <row r="222569" s="12" customFormat="1" x14ac:dyDescent="0.25"/>
    <row r="222570" s="12" customFormat="1" x14ac:dyDescent="0.25"/>
    <row r="222571" s="12" customFormat="1" x14ac:dyDescent="0.25"/>
    <row r="222572" s="12" customFormat="1" x14ac:dyDescent="0.25"/>
    <row r="222573" s="12" customFormat="1" x14ac:dyDescent="0.25"/>
    <row r="222574" s="12" customFormat="1" x14ac:dyDescent="0.25"/>
    <row r="222575" s="12" customFormat="1" x14ac:dyDescent="0.25"/>
    <row r="222576" s="12" customFormat="1" x14ac:dyDescent="0.25"/>
    <row r="222577" s="12" customFormat="1" x14ac:dyDescent="0.25"/>
    <row r="222578" s="12" customFormat="1" x14ac:dyDescent="0.25"/>
    <row r="222579" s="12" customFormat="1" x14ac:dyDescent="0.25"/>
    <row r="222580" s="12" customFormat="1" x14ac:dyDescent="0.25"/>
    <row r="222581" s="12" customFormat="1" x14ac:dyDescent="0.25"/>
    <row r="222582" s="12" customFormat="1" x14ac:dyDescent="0.25"/>
    <row r="222583" s="12" customFormat="1" x14ac:dyDescent="0.25"/>
    <row r="222584" s="12" customFormat="1" x14ac:dyDescent="0.25"/>
    <row r="222585" s="12" customFormat="1" x14ac:dyDescent="0.25"/>
    <row r="222586" s="12" customFormat="1" x14ac:dyDescent="0.25"/>
    <row r="222587" s="12" customFormat="1" x14ac:dyDescent="0.25"/>
    <row r="222588" s="12" customFormat="1" x14ac:dyDescent="0.25"/>
    <row r="222589" s="12" customFormat="1" x14ac:dyDescent="0.25"/>
    <row r="222590" s="12" customFormat="1" x14ac:dyDescent="0.25"/>
    <row r="222591" s="12" customFormat="1" x14ac:dyDescent="0.25"/>
    <row r="222592" s="12" customFormat="1" x14ac:dyDescent="0.25"/>
    <row r="222593" s="12" customFormat="1" x14ac:dyDescent="0.25"/>
    <row r="222594" s="12" customFormat="1" x14ac:dyDescent="0.25"/>
    <row r="222595" s="12" customFormat="1" x14ac:dyDescent="0.25"/>
    <row r="222596" s="12" customFormat="1" x14ac:dyDescent="0.25"/>
    <row r="222597" s="12" customFormat="1" x14ac:dyDescent="0.25"/>
    <row r="222598" s="12" customFormat="1" x14ac:dyDescent="0.25"/>
    <row r="222599" s="12" customFormat="1" x14ac:dyDescent="0.25"/>
    <row r="222600" s="12" customFormat="1" x14ac:dyDescent="0.25"/>
    <row r="222601" s="12" customFormat="1" x14ac:dyDescent="0.25"/>
    <row r="222602" s="12" customFormat="1" x14ac:dyDescent="0.25"/>
    <row r="222603" s="12" customFormat="1" x14ac:dyDescent="0.25"/>
    <row r="222604" s="12" customFormat="1" x14ac:dyDescent="0.25"/>
    <row r="222605" s="12" customFormat="1" x14ac:dyDescent="0.25"/>
    <row r="222606" s="12" customFormat="1" x14ac:dyDescent="0.25"/>
    <row r="222607" s="12" customFormat="1" x14ac:dyDescent="0.25"/>
    <row r="222608" s="12" customFormat="1" x14ac:dyDescent="0.25"/>
    <row r="222609" s="12" customFormat="1" x14ac:dyDescent="0.25"/>
    <row r="222610" s="12" customFormat="1" x14ac:dyDescent="0.25"/>
    <row r="222611" s="12" customFormat="1" x14ac:dyDescent="0.25"/>
    <row r="222612" s="12" customFormat="1" x14ac:dyDescent="0.25"/>
    <row r="222613" s="12" customFormat="1" x14ac:dyDescent="0.25"/>
    <row r="222614" s="12" customFormat="1" x14ac:dyDescent="0.25"/>
    <row r="222615" s="12" customFormat="1" x14ac:dyDescent="0.25"/>
    <row r="222616" s="12" customFormat="1" x14ac:dyDescent="0.25"/>
    <row r="222617" s="12" customFormat="1" x14ac:dyDescent="0.25"/>
    <row r="222618" s="12" customFormat="1" x14ac:dyDescent="0.25"/>
    <row r="222619" s="12" customFormat="1" x14ac:dyDescent="0.25"/>
    <row r="222620" s="12" customFormat="1" x14ac:dyDescent="0.25"/>
    <row r="222621" s="12" customFormat="1" x14ac:dyDescent="0.25"/>
    <row r="222622" s="12" customFormat="1" x14ac:dyDescent="0.25"/>
    <row r="222623" s="12" customFormat="1" x14ac:dyDescent="0.25"/>
    <row r="222624" s="12" customFormat="1" x14ac:dyDescent="0.25"/>
    <row r="222625" s="12" customFormat="1" x14ac:dyDescent="0.25"/>
    <row r="222626" s="12" customFormat="1" x14ac:dyDescent="0.25"/>
    <row r="222627" s="12" customFormat="1" x14ac:dyDescent="0.25"/>
    <row r="222628" s="12" customFormat="1" x14ac:dyDescent="0.25"/>
    <row r="222629" s="12" customFormat="1" x14ac:dyDescent="0.25"/>
    <row r="222630" s="12" customFormat="1" x14ac:dyDescent="0.25"/>
    <row r="222631" s="12" customFormat="1" x14ac:dyDescent="0.25"/>
    <row r="222632" s="12" customFormat="1" x14ac:dyDescent="0.25"/>
    <row r="222633" s="12" customFormat="1" x14ac:dyDescent="0.25"/>
    <row r="222634" s="12" customFormat="1" x14ac:dyDescent="0.25"/>
    <row r="222635" s="12" customFormat="1" x14ac:dyDescent="0.25"/>
    <row r="222636" s="12" customFormat="1" x14ac:dyDescent="0.25"/>
    <row r="222637" s="12" customFormat="1" x14ac:dyDescent="0.25"/>
    <row r="222638" s="12" customFormat="1" x14ac:dyDescent="0.25"/>
    <row r="222639" s="12" customFormat="1" x14ac:dyDescent="0.25"/>
    <row r="222640" s="12" customFormat="1" x14ac:dyDescent="0.25"/>
    <row r="222641" s="12" customFormat="1" x14ac:dyDescent="0.25"/>
    <row r="222642" s="12" customFormat="1" x14ac:dyDescent="0.25"/>
    <row r="222643" s="12" customFormat="1" x14ac:dyDescent="0.25"/>
    <row r="222644" s="12" customFormat="1" x14ac:dyDescent="0.25"/>
    <row r="222645" s="12" customFormat="1" x14ac:dyDescent="0.25"/>
    <row r="222646" s="12" customFormat="1" x14ac:dyDescent="0.25"/>
    <row r="222647" s="12" customFormat="1" x14ac:dyDescent="0.25"/>
    <row r="222648" s="12" customFormat="1" x14ac:dyDescent="0.25"/>
    <row r="222649" s="12" customFormat="1" x14ac:dyDescent="0.25"/>
    <row r="222650" s="12" customFormat="1" x14ac:dyDescent="0.25"/>
    <row r="222651" s="12" customFormat="1" x14ac:dyDescent="0.25"/>
    <row r="222652" s="12" customFormat="1" x14ac:dyDescent="0.25"/>
    <row r="222653" s="12" customFormat="1" x14ac:dyDescent="0.25"/>
    <row r="222654" s="12" customFormat="1" x14ac:dyDescent="0.25"/>
    <row r="222655" s="12" customFormat="1" x14ac:dyDescent="0.25"/>
    <row r="222656" s="12" customFormat="1" x14ac:dyDescent="0.25"/>
    <row r="222657" s="12" customFormat="1" x14ac:dyDescent="0.25"/>
    <row r="222658" s="12" customFormat="1" x14ac:dyDescent="0.25"/>
    <row r="222659" s="12" customFormat="1" x14ac:dyDescent="0.25"/>
    <row r="222660" s="12" customFormat="1" x14ac:dyDescent="0.25"/>
    <row r="222661" s="12" customFormat="1" x14ac:dyDescent="0.25"/>
    <row r="222662" s="12" customFormat="1" x14ac:dyDescent="0.25"/>
    <row r="222663" s="12" customFormat="1" x14ac:dyDescent="0.25"/>
    <row r="222664" s="12" customFormat="1" x14ac:dyDescent="0.25"/>
    <row r="222665" s="12" customFormat="1" x14ac:dyDescent="0.25"/>
    <row r="222666" s="12" customFormat="1" x14ac:dyDescent="0.25"/>
    <row r="222667" s="12" customFormat="1" x14ac:dyDescent="0.25"/>
    <row r="222668" s="12" customFormat="1" x14ac:dyDescent="0.25"/>
    <row r="222669" s="12" customFormat="1" x14ac:dyDescent="0.25"/>
    <row r="222670" s="12" customFormat="1" x14ac:dyDescent="0.25"/>
    <row r="222671" s="12" customFormat="1" x14ac:dyDescent="0.25"/>
    <row r="222672" s="12" customFormat="1" x14ac:dyDescent="0.25"/>
    <row r="222673" s="12" customFormat="1" x14ac:dyDescent="0.25"/>
    <row r="222674" s="12" customFormat="1" x14ac:dyDescent="0.25"/>
    <row r="222675" s="12" customFormat="1" x14ac:dyDescent="0.25"/>
    <row r="222676" s="12" customFormat="1" x14ac:dyDescent="0.25"/>
    <row r="222677" s="12" customFormat="1" x14ac:dyDescent="0.25"/>
    <row r="222678" s="12" customFormat="1" x14ac:dyDescent="0.25"/>
    <row r="222679" s="12" customFormat="1" x14ac:dyDescent="0.25"/>
    <row r="222680" s="12" customFormat="1" x14ac:dyDescent="0.25"/>
    <row r="222681" s="12" customFormat="1" x14ac:dyDescent="0.25"/>
    <row r="222682" s="12" customFormat="1" x14ac:dyDescent="0.25"/>
    <row r="222683" s="12" customFormat="1" x14ac:dyDescent="0.25"/>
    <row r="222684" s="12" customFormat="1" x14ac:dyDescent="0.25"/>
    <row r="222685" s="12" customFormat="1" x14ac:dyDescent="0.25"/>
    <row r="222686" s="12" customFormat="1" x14ac:dyDescent="0.25"/>
    <row r="222687" s="12" customFormat="1" x14ac:dyDescent="0.25"/>
    <row r="222688" s="12" customFormat="1" x14ac:dyDescent="0.25"/>
    <row r="222689" s="12" customFormat="1" x14ac:dyDescent="0.25"/>
    <row r="222690" s="12" customFormat="1" x14ac:dyDescent="0.25"/>
    <row r="222691" s="12" customFormat="1" x14ac:dyDescent="0.25"/>
    <row r="222692" s="12" customFormat="1" x14ac:dyDescent="0.25"/>
    <row r="222693" s="12" customFormat="1" x14ac:dyDescent="0.25"/>
    <row r="222694" s="12" customFormat="1" x14ac:dyDescent="0.25"/>
    <row r="222695" s="12" customFormat="1" x14ac:dyDescent="0.25"/>
    <row r="222696" s="12" customFormat="1" x14ac:dyDescent="0.25"/>
    <row r="222697" s="12" customFormat="1" x14ac:dyDescent="0.25"/>
    <row r="222698" s="12" customFormat="1" x14ac:dyDescent="0.25"/>
    <row r="222699" s="12" customFormat="1" x14ac:dyDescent="0.25"/>
    <row r="222700" s="12" customFormat="1" x14ac:dyDescent="0.25"/>
    <row r="222701" s="12" customFormat="1" x14ac:dyDescent="0.25"/>
    <row r="222702" s="12" customFormat="1" x14ac:dyDescent="0.25"/>
    <row r="222703" s="12" customFormat="1" x14ac:dyDescent="0.25"/>
    <row r="222704" s="12" customFormat="1" x14ac:dyDescent="0.25"/>
    <row r="222705" s="12" customFormat="1" x14ac:dyDescent="0.25"/>
    <row r="222706" s="12" customFormat="1" x14ac:dyDescent="0.25"/>
    <row r="222707" s="12" customFormat="1" x14ac:dyDescent="0.25"/>
    <row r="222708" s="12" customFormat="1" x14ac:dyDescent="0.25"/>
    <row r="222709" s="12" customFormat="1" x14ac:dyDescent="0.25"/>
    <row r="222710" s="12" customFormat="1" x14ac:dyDescent="0.25"/>
    <row r="222711" s="12" customFormat="1" x14ac:dyDescent="0.25"/>
    <row r="222712" s="12" customFormat="1" x14ac:dyDescent="0.25"/>
    <row r="222713" s="12" customFormat="1" x14ac:dyDescent="0.25"/>
    <row r="222714" s="12" customFormat="1" x14ac:dyDescent="0.25"/>
    <row r="222715" s="12" customFormat="1" x14ac:dyDescent="0.25"/>
    <row r="222716" s="12" customFormat="1" x14ac:dyDescent="0.25"/>
    <row r="222717" s="12" customFormat="1" x14ac:dyDescent="0.25"/>
    <row r="222718" s="12" customFormat="1" x14ac:dyDescent="0.25"/>
    <row r="222719" s="12" customFormat="1" x14ac:dyDescent="0.25"/>
    <row r="222720" s="12" customFormat="1" x14ac:dyDescent="0.25"/>
    <row r="222721" s="12" customFormat="1" x14ac:dyDescent="0.25"/>
    <row r="222722" s="12" customFormat="1" x14ac:dyDescent="0.25"/>
    <row r="222723" s="12" customFormat="1" x14ac:dyDescent="0.25"/>
    <row r="222724" s="12" customFormat="1" x14ac:dyDescent="0.25"/>
    <row r="222725" s="12" customFormat="1" x14ac:dyDescent="0.25"/>
    <row r="222726" s="12" customFormat="1" x14ac:dyDescent="0.25"/>
    <row r="222727" s="12" customFormat="1" x14ac:dyDescent="0.25"/>
    <row r="222728" s="12" customFormat="1" x14ac:dyDescent="0.25"/>
    <row r="222729" s="12" customFormat="1" x14ac:dyDescent="0.25"/>
    <row r="222730" s="12" customFormat="1" x14ac:dyDescent="0.25"/>
    <row r="222731" s="12" customFormat="1" x14ac:dyDescent="0.25"/>
    <row r="222732" s="12" customFormat="1" x14ac:dyDescent="0.25"/>
    <row r="222733" s="12" customFormat="1" x14ac:dyDescent="0.25"/>
    <row r="222734" s="12" customFormat="1" x14ac:dyDescent="0.25"/>
    <row r="222735" s="12" customFormat="1" x14ac:dyDescent="0.25"/>
    <row r="222736" s="12" customFormat="1" x14ac:dyDescent="0.25"/>
    <row r="222737" s="12" customFormat="1" x14ac:dyDescent="0.25"/>
    <row r="222738" s="12" customFormat="1" x14ac:dyDescent="0.25"/>
    <row r="222739" s="12" customFormat="1" x14ac:dyDescent="0.25"/>
    <row r="222740" s="12" customFormat="1" x14ac:dyDescent="0.25"/>
    <row r="222741" s="12" customFormat="1" x14ac:dyDescent="0.25"/>
    <row r="222742" s="12" customFormat="1" x14ac:dyDescent="0.25"/>
    <row r="222743" s="12" customFormat="1" x14ac:dyDescent="0.25"/>
    <row r="222744" s="12" customFormat="1" x14ac:dyDescent="0.25"/>
    <row r="222745" s="12" customFormat="1" x14ac:dyDescent="0.25"/>
    <row r="222746" s="12" customFormat="1" x14ac:dyDescent="0.25"/>
    <row r="222747" s="12" customFormat="1" x14ac:dyDescent="0.25"/>
    <row r="222748" s="12" customFormat="1" x14ac:dyDescent="0.25"/>
    <row r="222749" s="12" customFormat="1" x14ac:dyDescent="0.25"/>
    <row r="222750" s="12" customFormat="1" x14ac:dyDescent="0.25"/>
    <row r="222751" s="12" customFormat="1" x14ac:dyDescent="0.25"/>
    <row r="222752" s="12" customFormat="1" x14ac:dyDescent="0.25"/>
    <row r="222753" s="12" customFormat="1" x14ac:dyDescent="0.25"/>
    <row r="222754" s="12" customFormat="1" x14ac:dyDescent="0.25"/>
    <row r="222755" s="12" customFormat="1" x14ac:dyDescent="0.25"/>
    <row r="222756" s="12" customFormat="1" x14ac:dyDescent="0.25"/>
    <row r="222757" s="12" customFormat="1" x14ac:dyDescent="0.25"/>
    <row r="222758" s="12" customFormat="1" x14ac:dyDescent="0.25"/>
    <row r="222759" s="12" customFormat="1" x14ac:dyDescent="0.25"/>
    <row r="222760" s="12" customFormat="1" x14ac:dyDescent="0.25"/>
    <row r="222761" s="12" customFormat="1" x14ac:dyDescent="0.25"/>
    <row r="222762" s="12" customFormat="1" x14ac:dyDescent="0.25"/>
    <row r="222763" s="12" customFormat="1" x14ac:dyDescent="0.25"/>
    <row r="222764" s="12" customFormat="1" x14ac:dyDescent="0.25"/>
    <row r="222765" s="12" customFormat="1" x14ac:dyDescent="0.25"/>
    <row r="222766" s="12" customFormat="1" x14ac:dyDescent="0.25"/>
    <row r="222767" s="12" customFormat="1" x14ac:dyDescent="0.25"/>
    <row r="222768" s="12" customFormat="1" x14ac:dyDescent="0.25"/>
    <row r="222769" s="12" customFormat="1" x14ac:dyDescent="0.25"/>
    <row r="222770" s="12" customFormat="1" x14ac:dyDescent="0.25"/>
    <row r="222771" s="12" customFormat="1" x14ac:dyDescent="0.25"/>
    <row r="222772" s="12" customFormat="1" x14ac:dyDescent="0.25"/>
    <row r="222773" s="12" customFormat="1" x14ac:dyDescent="0.25"/>
    <row r="222774" s="12" customFormat="1" x14ac:dyDescent="0.25"/>
    <row r="222775" s="12" customFormat="1" x14ac:dyDescent="0.25"/>
    <row r="222776" s="12" customFormat="1" x14ac:dyDescent="0.25"/>
    <row r="222777" s="12" customFormat="1" x14ac:dyDescent="0.25"/>
    <row r="222778" s="12" customFormat="1" x14ac:dyDescent="0.25"/>
    <row r="222779" s="12" customFormat="1" x14ac:dyDescent="0.25"/>
    <row r="222780" s="12" customFormat="1" x14ac:dyDescent="0.25"/>
    <row r="222781" s="12" customFormat="1" x14ac:dyDescent="0.25"/>
    <row r="222782" s="12" customFormat="1" x14ac:dyDescent="0.25"/>
    <row r="222783" s="12" customFormat="1" x14ac:dyDescent="0.25"/>
    <row r="222784" s="12" customFormat="1" x14ac:dyDescent="0.25"/>
    <row r="222785" s="12" customFormat="1" x14ac:dyDescent="0.25"/>
    <row r="222786" s="12" customFormat="1" x14ac:dyDescent="0.25"/>
    <row r="222787" s="12" customFormat="1" x14ac:dyDescent="0.25"/>
    <row r="222788" s="12" customFormat="1" x14ac:dyDescent="0.25"/>
    <row r="222789" s="12" customFormat="1" x14ac:dyDescent="0.25"/>
    <row r="222790" s="12" customFormat="1" x14ac:dyDescent="0.25"/>
    <row r="222791" s="12" customFormat="1" x14ac:dyDescent="0.25"/>
    <row r="222792" s="12" customFormat="1" x14ac:dyDescent="0.25"/>
    <row r="222793" s="12" customFormat="1" x14ac:dyDescent="0.25"/>
    <row r="222794" s="12" customFormat="1" x14ac:dyDescent="0.25"/>
    <row r="222795" s="12" customFormat="1" x14ac:dyDescent="0.25"/>
    <row r="222796" s="12" customFormat="1" x14ac:dyDescent="0.25"/>
    <row r="222797" s="12" customFormat="1" x14ac:dyDescent="0.25"/>
    <row r="222798" s="12" customFormat="1" x14ac:dyDescent="0.25"/>
    <row r="222799" s="12" customFormat="1" x14ac:dyDescent="0.25"/>
    <row r="222800" s="12" customFormat="1" x14ac:dyDescent="0.25"/>
    <row r="222801" s="12" customFormat="1" x14ac:dyDescent="0.25"/>
    <row r="222802" s="12" customFormat="1" x14ac:dyDescent="0.25"/>
    <row r="222803" s="12" customFormat="1" x14ac:dyDescent="0.25"/>
    <row r="222804" s="12" customFormat="1" x14ac:dyDescent="0.25"/>
    <row r="222805" s="12" customFormat="1" x14ac:dyDescent="0.25"/>
    <row r="222806" s="12" customFormat="1" x14ac:dyDescent="0.25"/>
    <row r="222807" s="12" customFormat="1" x14ac:dyDescent="0.25"/>
    <row r="222808" s="12" customFormat="1" x14ac:dyDescent="0.25"/>
    <row r="222809" s="12" customFormat="1" x14ac:dyDescent="0.25"/>
    <row r="222810" s="12" customFormat="1" x14ac:dyDescent="0.25"/>
    <row r="222811" s="12" customFormat="1" x14ac:dyDescent="0.25"/>
    <row r="222812" s="12" customFormat="1" x14ac:dyDescent="0.25"/>
    <row r="222813" s="12" customFormat="1" x14ac:dyDescent="0.25"/>
    <row r="222814" s="12" customFormat="1" x14ac:dyDescent="0.25"/>
    <row r="222815" s="12" customFormat="1" x14ac:dyDescent="0.25"/>
    <row r="222816" s="12" customFormat="1" x14ac:dyDescent="0.25"/>
    <row r="222817" s="12" customFormat="1" x14ac:dyDescent="0.25"/>
    <row r="222818" s="12" customFormat="1" x14ac:dyDescent="0.25"/>
    <row r="222819" s="12" customFormat="1" x14ac:dyDescent="0.25"/>
    <row r="222820" s="12" customFormat="1" x14ac:dyDescent="0.25"/>
    <row r="222821" s="12" customFormat="1" x14ac:dyDescent="0.25"/>
    <row r="222822" s="12" customFormat="1" x14ac:dyDescent="0.25"/>
    <row r="222823" s="12" customFormat="1" x14ac:dyDescent="0.25"/>
    <row r="222824" s="12" customFormat="1" x14ac:dyDescent="0.25"/>
    <row r="222825" s="12" customFormat="1" x14ac:dyDescent="0.25"/>
    <row r="222826" s="12" customFormat="1" x14ac:dyDescent="0.25"/>
    <row r="222827" s="12" customFormat="1" x14ac:dyDescent="0.25"/>
    <row r="222828" s="12" customFormat="1" x14ac:dyDescent="0.25"/>
    <row r="222829" s="12" customFormat="1" x14ac:dyDescent="0.25"/>
    <row r="222830" s="12" customFormat="1" x14ac:dyDescent="0.25"/>
    <row r="222831" s="12" customFormat="1" x14ac:dyDescent="0.25"/>
    <row r="222832" s="12" customFormat="1" x14ac:dyDescent="0.25"/>
    <row r="222833" s="12" customFormat="1" x14ac:dyDescent="0.25"/>
    <row r="222834" s="12" customFormat="1" x14ac:dyDescent="0.25"/>
    <row r="222835" s="12" customFormat="1" x14ac:dyDescent="0.25"/>
    <row r="222836" s="12" customFormat="1" x14ac:dyDescent="0.25"/>
    <row r="222837" s="12" customFormat="1" x14ac:dyDescent="0.25"/>
    <row r="222838" s="12" customFormat="1" x14ac:dyDescent="0.25"/>
    <row r="222839" s="12" customFormat="1" x14ac:dyDescent="0.25"/>
    <row r="222840" s="12" customFormat="1" x14ac:dyDescent="0.25"/>
    <row r="222841" s="12" customFormat="1" x14ac:dyDescent="0.25"/>
    <row r="222842" s="12" customFormat="1" x14ac:dyDescent="0.25"/>
    <row r="222843" s="12" customFormat="1" x14ac:dyDescent="0.25"/>
    <row r="222844" s="12" customFormat="1" x14ac:dyDescent="0.25"/>
    <row r="222845" s="12" customFormat="1" x14ac:dyDescent="0.25"/>
    <row r="222846" s="12" customFormat="1" x14ac:dyDescent="0.25"/>
    <row r="222847" s="12" customFormat="1" x14ac:dyDescent="0.25"/>
    <row r="222848" s="12" customFormat="1" x14ac:dyDescent="0.25"/>
    <row r="222849" s="12" customFormat="1" x14ac:dyDescent="0.25"/>
    <row r="222850" s="12" customFormat="1" x14ac:dyDescent="0.25"/>
    <row r="222851" s="12" customFormat="1" x14ac:dyDescent="0.25"/>
    <row r="222852" s="12" customFormat="1" x14ac:dyDescent="0.25"/>
    <row r="222853" s="12" customFormat="1" x14ac:dyDescent="0.25"/>
    <row r="222854" s="12" customFormat="1" x14ac:dyDescent="0.25"/>
    <row r="222855" s="12" customFormat="1" x14ac:dyDescent="0.25"/>
    <row r="222856" s="12" customFormat="1" x14ac:dyDescent="0.25"/>
    <row r="222857" s="12" customFormat="1" x14ac:dyDescent="0.25"/>
    <row r="222858" s="12" customFormat="1" x14ac:dyDescent="0.25"/>
    <row r="222859" s="12" customFormat="1" x14ac:dyDescent="0.25"/>
    <row r="222860" s="12" customFormat="1" x14ac:dyDescent="0.25"/>
    <row r="222861" s="12" customFormat="1" x14ac:dyDescent="0.25"/>
    <row r="222862" s="12" customFormat="1" x14ac:dyDescent="0.25"/>
    <row r="222863" s="12" customFormat="1" x14ac:dyDescent="0.25"/>
    <row r="222864" s="12" customFormat="1" x14ac:dyDescent="0.25"/>
    <row r="222865" s="12" customFormat="1" x14ac:dyDescent="0.25"/>
    <row r="222866" s="12" customFormat="1" x14ac:dyDescent="0.25"/>
    <row r="222867" s="12" customFormat="1" x14ac:dyDescent="0.25"/>
    <row r="222868" s="12" customFormat="1" x14ac:dyDescent="0.25"/>
    <row r="222869" s="12" customFormat="1" x14ac:dyDescent="0.25"/>
    <row r="222870" s="12" customFormat="1" x14ac:dyDescent="0.25"/>
    <row r="222871" s="12" customFormat="1" x14ac:dyDescent="0.25"/>
    <row r="222872" s="12" customFormat="1" x14ac:dyDescent="0.25"/>
    <row r="222873" s="12" customFormat="1" x14ac:dyDescent="0.25"/>
    <row r="222874" s="12" customFormat="1" x14ac:dyDescent="0.25"/>
    <row r="222875" s="12" customFormat="1" x14ac:dyDescent="0.25"/>
    <row r="222876" s="12" customFormat="1" x14ac:dyDescent="0.25"/>
    <row r="222877" s="12" customFormat="1" x14ac:dyDescent="0.25"/>
    <row r="222878" s="12" customFormat="1" x14ac:dyDescent="0.25"/>
    <row r="222879" s="12" customFormat="1" x14ac:dyDescent="0.25"/>
    <row r="222880" s="12" customFormat="1" x14ac:dyDescent="0.25"/>
    <row r="222881" s="12" customFormat="1" x14ac:dyDescent="0.25"/>
    <row r="222882" s="12" customFormat="1" x14ac:dyDescent="0.25"/>
    <row r="222883" s="12" customFormat="1" x14ac:dyDescent="0.25"/>
    <row r="222884" s="12" customFormat="1" x14ac:dyDescent="0.25"/>
    <row r="222885" s="12" customFormat="1" x14ac:dyDescent="0.25"/>
    <row r="222886" s="12" customFormat="1" x14ac:dyDescent="0.25"/>
    <row r="222887" s="12" customFormat="1" x14ac:dyDescent="0.25"/>
    <row r="222888" s="12" customFormat="1" x14ac:dyDescent="0.25"/>
    <row r="222889" s="12" customFormat="1" x14ac:dyDescent="0.25"/>
    <row r="222890" s="12" customFormat="1" x14ac:dyDescent="0.25"/>
    <row r="222891" s="12" customFormat="1" x14ac:dyDescent="0.25"/>
    <row r="222892" s="12" customFormat="1" x14ac:dyDescent="0.25"/>
    <row r="222893" s="12" customFormat="1" x14ac:dyDescent="0.25"/>
    <row r="222894" s="12" customFormat="1" x14ac:dyDescent="0.25"/>
    <row r="222895" s="12" customFormat="1" x14ac:dyDescent="0.25"/>
    <row r="222896" s="12" customFormat="1" x14ac:dyDescent="0.25"/>
    <row r="222897" s="12" customFormat="1" x14ac:dyDescent="0.25"/>
    <row r="222898" s="12" customFormat="1" x14ac:dyDescent="0.25"/>
    <row r="222899" s="12" customFormat="1" x14ac:dyDescent="0.25"/>
    <row r="222900" s="12" customFormat="1" x14ac:dyDescent="0.25"/>
    <row r="222901" s="12" customFormat="1" x14ac:dyDescent="0.25"/>
    <row r="222902" s="12" customFormat="1" x14ac:dyDescent="0.25"/>
    <row r="222903" s="12" customFormat="1" x14ac:dyDescent="0.25"/>
    <row r="222904" s="12" customFormat="1" x14ac:dyDescent="0.25"/>
    <row r="222905" s="12" customFormat="1" x14ac:dyDescent="0.25"/>
    <row r="222906" s="12" customFormat="1" x14ac:dyDescent="0.25"/>
    <row r="222907" s="12" customFormat="1" x14ac:dyDescent="0.25"/>
    <row r="222908" s="12" customFormat="1" x14ac:dyDescent="0.25"/>
    <row r="222909" s="12" customFormat="1" x14ac:dyDescent="0.25"/>
    <row r="222910" s="12" customFormat="1" x14ac:dyDescent="0.25"/>
    <row r="222911" s="12" customFormat="1" x14ac:dyDescent="0.25"/>
    <row r="222912" s="12" customFormat="1" x14ac:dyDescent="0.25"/>
    <row r="222913" s="12" customFormat="1" x14ac:dyDescent="0.25"/>
    <row r="222914" s="12" customFormat="1" x14ac:dyDescent="0.25"/>
    <row r="222915" s="12" customFormat="1" x14ac:dyDescent="0.25"/>
    <row r="222916" s="12" customFormat="1" x14ac:dyDescent="0.25"/>
    <row r="222917" s="12" customFormat="1" x14ac:dyDescent="0.25"/>
    <row r="222918" s="12" customFormat="1" x14ac:dyDescent="0.25"/>
    <row r="222919" s="12" customFormat="1" x14ac:dyDescent="0.25"/>
    <row r="222920" s="12" customFormat="1" x14ac:dyDescent="0.25"/>
    <row r="222921" s="12" customFormat="1" x14ac:dyDescent="0.25"/>
    <row r="222922" s="12" customFormat="1" x14ac:dyDescent="0.25"/>
    <row r="222923" s="12" customFormat="1" x14ac:dyDescent="0.25"/>
    <row r="222924" s="12" customFormat="1" x14ac:dyDescent="0.25"/>
    <row r="222925" s="12" customFormat="1" x14ac:dyDescent="0.25"/>
    <row r="222926" s="12" customFormat="1" x14ac:dyDescent="0.25"/>
    <row r="222927" s="12" customFormat="1" x14ac:dyDescent="0.25"/>
    <row r="222928" s="12" customFormat="1" x14ac:dyDescent="0.25"/>
    <row r="222929" s="12" customFormat="1" x14ac:dyDescent="0.25"/>
    <row r="222930" s="12" customFormat="1" x14ac:dyDescent="0.25"/>
    <row r="222931" s="12" customFormat="1" x14ac:dyDescent="0.25"/>
    <row r="222932" s="12" customFormat="1" x14ac:dyDescent="0.25"/>
    <row r="222933" s="12" customFormat="1" x14ac:dyDescent="0.25"/>
    <row r="222934" s="12" customFormat="1" x14ac:dyDescent="0.25"/>
    <row r="222935" s="12" customFormat="1" x14ac:dyDescent="0.25"/>
    <row r="222936" s="12" customFormat="1" x14ac:dyDescent="0.25"/>
    <row r="222937" s="12" customFormat="1" x14ac:dyDescent="0.25"/>
    <row r="222938" s="12" customFormat="1" x14ac:dyDescent="0.25"/>
    <row r="222939" s="12" customFormat="1" x14ac:dyDescent="0.25"/>
    <row r="222940" s="12" customFormat="1" x14ac:dyDescent="0.25"/>
    <row r="222941" s="12" customFormat="1" x14ac:dyDescent="0.25"/>
    <row r="222942" s="12" customFormat="1" x14ac:dyDescent="0.25"/>
    <row r="222943" s="12" customFormat="1" x14ac:dyDescent="0.25"/>
    <row r="222944" s="12" customFormat="1" x14ac:dyDescent="0.25"/>
    <row r="222945" s="12" customFormat="1" x14ac:dyDescent="0.25"/>
    <row r="222946" s="12" customFormat="1" x14ac:dyDescent="0.25"/>
    <row r="222947" s="12" customFormat="1" x14ac:dyDescent="0.25"/>
    <row r="222948" s="12" customFormat="1" x14ac:dyDescent="0.25"/>
    <row r="222949" s="12" customFormat="1" x14ac:dyDescent="0.25"/>
    <row r="222950" s="12" customFormat="1" x14ac:dyDescent="0.25"/>
    <row r="222951" s="12" customFormat="1" x14ac:dyDescent="0.25"/>
    <row r="222952" s="12" customFormat="1" x14ac:dyDescent="0.25"/>
    <row r="222953" s="12" customFormat="1" x14ac:dyDescent="0.25"/>
    <row r="222954" s="12" customFormat="1" x14ac:dyDescent="0.25"/>
    <row r="222955" s="12" customFormat="1" x14ac:dyDescent="0.25"/>
    <row r="222956" s="12" customFormat="1" x14ac:dyDescent="0.25"/>
    <row r="222957" s="12" customFormat="1" x14ac:dyDescent="0.25"/>
    <row r="222958" s="12" customFormat="1" x14ac:dyDescent="0.25"/>
    <row r="222959" s="12" customFormat="1" x14ac:dyDescent="0.25"/>
    <row r="222960" s="12" customFormat="1" x14ac:dyDescent="0.25"/>
    <row r="222961" s="12" customFormat="1" x14ac:dyDescent="0.25"/>
    <row r="222962" s="12" customFormat="1" x14ac:dyDescent="0.25"/>
    <row r="222963" s="12" customFormat="1" x14ac:dyDescent="0.25"/>
    <row r="222964" s="12" customFormat="1" x14ac:dyDescent="0.25"/>
    <row r="222965" s="12" customFormat="1" x14ac:dyDescent="0.25"/>
    <row r="222966" s="12" customFormat="1" x14ac:dyDescent="0.25"/>
    <row r="222967" s="12" customFormat="1" x14ac:dyDescent="0.25"/>
    <row r="222968" s="12" customFormat="1" x14ac:dyDescent="0.25"/>
    <row r="222969" s="12" customFormat="1" x14ac:dyDescent="0.25"/>
    <row r="222970" s="12" customFormat="1" x14ac:dyDescent="0.25"/>
    <row r="222971" s="12" customFormat="1" x14ac:dyDescent="0.25"/>
    <row r="222972" s="12" customFormat="1" x14ac:dyDescent="0.25"/>
    <row r="222973" s="12" customFormat="1" x14ac:dyDescent="0.25"/>
    <row r="222974" s="12" customFormat="1" x14ac:dyDescent="0.25"/>
    <row r="222975" s="12" customFormat="1" x14ac:dyDescent="0.25"/>
    <row r="222976" s="12" customFormat="1" x14ac:dyDescent="0.25"/>
    <row r="222977" s="12" customFormat="1" x14ac:dyDescent="0.25"/>
    <row r="222978" s="12" customFormat="1" x14ac:dyDescent="0.25"/>
    <row r="222979" s="12" customFormat="1" x14ac:dyDescent="0.25"/>
    <row r="222980" s="12" customFormat="1" x14ac:dyDescent="0.25"/>
    <row r="222981" s="12" customFormat="1" x14ac:dyDescent="0.25"/>
    <row r="222982" s="12" customFormat="1" x14ac:dyDescent="0.25"/>
    <row r="222983" s="12" customFormat="1" x14ac:dyDescent="0.25"/>
    <row r="222984" s="12" customFormat="1" x14ac:dyDescent="0.25"/>
    <row r="222985" s="12" customFormat="1" x14ac:dyDescent="0.25"/>
    <row r="222986" s="12" customFormat="1" x14ac:dyDescent="0.25"/>
    <row r="222987" s="12" customFormat="1" x14ac:dyDescent="0.25"/>
    <row r="222988" s="12" customFormat="1" x14ac:dyDescent="0.25"/>
    <row r="222989" s="12" customFormat="1" x14ac:dyDescent="0.25"/>
    <row r="222990" s="12" customFormat="1" x14ac:dyDescent="0.25"/>
    <row r="222991" s="12" customFormat="1" x14ac:dyDescent="0.25"/>
    <row r="222992" s="12" customFormat="1" x14ac:dyDescent="0.25"/>
    <row r="222993" s="12" customFormat="1" x14ac:dyDescent="0.25"/>
    <row r="222994" s="12" customFormat="1" x14ac:dyDescent="0.25"/>
    <row r="222995" s="12" customFormat="1" x14ac:dyDescent="0.25"/>
    <row r="222996" s="12" customFormat="1" x14ac:dyDescent="0.25"/>
    <row r="222997" s="12" customFormat="1" x14ac:dyDescent="0.25"/>
    <row r="222998" s="12" customFormat="1" x14ac:dyDescent="0.25"/>
    <row r="222999" s="12" customFormat="1" x14ac:dyDescent="0.25"/>
    <row r="223000" s="12" customFormat="1" x14ac:dyDescent="0.25"/>
    <row r="223001" s="12" customFormat="1" x14ac:dyDescent="0.25"/>
    <row r="223002" s="12" customFormat="1" x14ac:dyDescent="0.25"/>
    <row r="223003" s="12" customFormat="1" x14ac:dyDescent="0.25"/>
    <row r="223004" s="12" customFormat="1" x14ac:dyDescent="0.25"/>
    <row r="223005" s="12" customFormat="1" x14ac:dyDescent="0.25"/>
    <row r="223006" s="12" customFormat="1" x14ac:dyDescent="0.25"/>
    <row r="223007" s="12" customFormat="1" x14ac:dyDescent="0.25"/>
    <row r="223008" s="12" customFormat="1" x14ac:dyDescent="0.25"/>
    <row r="223009" s="12" customFormat="1" x14ac:dyDescent="0.25"/>
    <row r="223010" s="12" customFormat="1" x14ac:dyDescent="0.25"/>
    <row r="223011" s="12" customFormat="1" x14ac:dyDescent="0.25"/>
    <row r="223012" s="12" customFormat="1" x14ac:dyDescent="0.25"/>
    <row r="223013" s="12" customFormat="1" x14ac:dyDescent="0.25"/>
    <row r="223014" s="12" customFormat="1" x14ac:dyDescent="0.25"/>
    <row r="223015" s="12" customFormat="1" x14ac:dyDescent="0.25"/>
    <row r="223016" s="12" customFormat="1" x14ac:dyDescent="0.25"/>
    <row r="223017" s="12" customFormat="1" x14ac:dyDescent="0.25"/>
    <row r="223018" s="12" customFormat="1" x14ac:dyDescent="0.25"/>
    <row r="223019" s="12" customFormat="1" x14ac:dyDescent="0.25"/>
    <row r="223020" s="12" customFormat="1" x14ac:dyDescent="0.25"/>
    <row r="223021" s="12" customFormat="1" x14ac:dyDescent="0.25"/>
    <row r="223022" s="12" customFormat="1" x14ac:dyDescent="0.25"/>
    <row r="223023" s="12" customFormat="1" x14ac:dyDescent="0.25"/>
    <row r="223024" s="12" customFormat="1" x14ac:dyDescent="0.25"/>
    <row r="223025" s="12" customFormat="1" x14ac:dyDescent="0.25"/>
    <row r="223026" s="12" customFormat="1" x14ac:dyDescent="0.25"/>
    <row r="223027" s="12" customFormat="1" x14ac:dyDescent="0.25"/>
    <row r="223028" s="12" customFormat="1" x14ac:dyDescent="0.25"/>
    <row r="223029" s="12" customFormat="1" x14ac:dyDescent="0.25"/>
    <row r="223030" s="12" customFormat="1" x14ac:dyDescent="0.25"/>
    <row r="223031" s="12" customFormat="1" x14ac:dyDescent="0.25"/>
    <row r="223032" s="12" customFormat="1" x14ac:dyDescent="0.25"/>
    <row r="223033" s="12" customFormat="1" x14ac:dyDescent="0.25"/>
    <row r="223034" s="12" customFormat="1" x14ac:dyDescent="0.25"/>
    <row r="223035" s="12" customFormat="1" x14ac:dyDescent="0.25"/>
    <row r="223036" s="12" customFormat="1" x14ac:dyDescent="0.25"/>
    <row r="223037" s="12" customFormat="1" x14ac:dyDescent="0.25"/>
    <row r="223038" s="12" customFormat="1" x14ac:dyDescent="0.25"/>
    <row r="223039" s="12" customFormat="1" x14ac:dyDescent="0.25"/>
    <row r="223040" s="12" customFormat="1" x14ac:dyDescent="0.25"/>
    <row r="223041" s="12" customFormat="1" x14ac:dyDescent="0.25"/>
    <row r="223042" s="12" customFormat="1" x14ac:dyDescent="0.25"/>
    <row r="223043" s="12" customFormat="1" x14ac:dyDescent="0.25"/>
    <row r="223044" s="12" customFormat="1" x14ac:dyDescent="0.25"/>
    <row r="223045" s="12" customFormat="1" x14ac:dyDescent="0.25"/>
    <row r="223046" s="12" customFormat="1" x14ac:dyDescent="0.25"/>
    <row r="223047" s="12" customFormat="1" x14ac:dyDescent="0.25"/>
    <row r="223048" s="12" customFormat="1" x14ac:dyDescent="0.25"/>
    <row r="223049" s="12" customFormat="1" x14ac:dyDescent="0.25"/>
    <row r="223050" s="12" customFormat="1" x14ac:dyDescent="0.25"/>
    <row r="223051" s="12" customFormat="1" x14ac:dyDescent="0.25"/>
    <row r="223052" s="12" customFormat="1" x14ac:dyDescent="0.25"/>
    <row r="223053" s="12" customFormat="1" x14ac:dyDescent="0.25"/>
    <row r="223054" s="12" customFormat="1" x14ac:dyDescent="0.25"/>
    <row r="223055" s="12" customFormat="1" x14ac:dyDescent="0.25"/>
    <row r="223056" s="12" customFormat="1" x14ac:dyDescent="0.25"/>
    <row r="223057" s="12" customFormat="1" x14ac:dyDescent="0.25"/>
    <row r="223058" s="12" customFormat="1" x14ac:dyDescent="0.25"/>
    <row r="223059" s="12" customFormat="1" x14ac:dyDescent="0.25"/>
    <row r="223060" s="12" customFormat="1" x14ac:dyDescent="0.25"/>
    <row r="223061" s="12" customFormat="1" x14ac:dyDescent="0.25"/>
    <row r="223062" s="12" customFormat="1" x14ac:dyDescent="0.25"/>
    <row r="223063" s="12" customFormat="1" x14ac:dyDescent="0.25"/>
    <row r="223064" s="12" customFormat="1" x14ac:dyDescent="0.25"/>
    <row r="223065" s="12" customFormat="1" x14ac:dyDescent="0.25"/>
    <row r="223066" s="12" customFormat="1" x14ac:dyDescent="0.25"/>
    <row r="223067" s="12" customFormat="1" x14ac:dyDescent="0.25"/>
    <row r="223068" s="12" customFormat="1" x14ac:dyDescent="0.25"/>
    <row r="223069" s="12" customFormat="1" x14ac:dyDescent="0.25"/>
    <row r="223070" s="12" customFormat="1" x14ac:dyDescent="0.25"/>
    <row r="223071" s="12" customFormat="1" x14ac:dyDescent="0.25"/>
    <row r="223072" s="12" customFormat="1" x14ac:dyDescent="0.25"/>
    <row r="223073" s="12" customFormat="1" x14ac:dyDescent="0.25"/>
    <row r="223074" s="12" customFormat="1" x14ac:dyDescent="0.25"/>
    <row r="223075" s="12" customFormat="1" x14ac:dyDescent="0.25"/>
    <row r="223076" s="12" customFormat="1" x14ac:dyDescent="0.25"/>
    <row r="223077" s="12" customFormat="1" x14ac:dyDescent="0.25"/>
    <row r="223078" s="12" customFormat="1" x14ac:dyDescent="0.25"/>
    <row r="223079" s="12" customFormat="1" x14ac:dyDescent="0.25"/>
    <row r="223080" s="12" customFormat="1" x14ac:dyDescent="0.25"/>
    <row r="223081" s="12" customFormat="1" x14ac:dyDescent="0.25"/>
    <row r="223082" s="12" customFormat="1" x14ac:dyDescent="0.25"/>
    <row r="223083" s="12" customFormat="1" x14ac:dyDescent="0.25"/>
    <row r="223084" s="12" customFormat="1" x14ac:dyDescent="0.25"/>
    <row r="223085" s="12" customFormat="1" x14ac:dyDescent="0.25"/>
    <row r="223086" s="12" customFormat="1" x14ac:dyDescent="0.25"/>
    <row r="223087" s="12" customFormat="1" x14ac:dyDescent="0.25"/>
    <row r="223088" s="12" customFormat="1" x14ac:dyDescent="0.25"/>
    <row r="223089" s="12" customFormat="1" x14ac:dyDescent="0.25"/>
    <row r="223090" s="12" customFormat="1" x14ac:dyDescent="0.25"/>
    <row r="223091" s="12" customFormat="1" x14ac:dyDescent="0.25"/>
    <row r="223092" s="12" customFormat="1" x14ac:dyDescent="0.25"/>
    <row r="223093" s="12" customFormat="1" x14ac:dyDescent="0.25"/>
    <row r="223094" s="12" customFormat="1" x14ac:dyDescent="0.25"/>
    <row r="223095" s="12" customFormat="1" x14ac:dyDescent="0.25"/>
    <row r="223096" s="12" customFormat="1" x14ac:dyDescent="0.25"/>
    <row r="223097" s="12" customFormat="1" x14ac:dyDescent="0.25"/>
    <row r="223098" s="12" customFormat="1" x14ac:dyDescent="0.25"/>
    <row r="223099" s="12" customFormat="1" x14ac:dyDescent="0.25"/>
    <row r="223100" s="12" customFormat="1" x14ac:dyDescent="0.25"/>
    <row r="223101" s="12" customFormat="1" x14ac:dyDescent="0.25"/>
    <row r="223102" s="12" customFormat="1" x14ac:dyDescent="0.25"/>
    <row r="223103" s="12" customFormat="1" x14ac:dyDescent="0.25"/>
    <row r="223104" s="12" customFormat="1" x14ac:dyDescent="0.25"/>
    <row r="223105" s="12" customFormat="1" x14ac:dyDescent="0.25"/>
    <row r="223106" s="12" customFormat="1" x14ac:dyDescent="0.25"/>
    <row r="223107" s="12" customFormat="1" x14ac:dyDescent="0.25"/>
    <row r="223108" s="12" customFormat="1" x14ac:dyDescent="0.25"/>
    <row r="223109" s="12" customFormat="1" x14ac:dyDescent="0.25"/>
    <row r="223110" s="12" customFormat="1" x14ac:dyDescent="0.25"/>
    <row r="223111" s="12" customFormat="1" x14ac:dyDescent="0.25"/>
    <row r="223112" s="12" customFormat="1" x14ac:dyDescent="0.25"/>
    <row r="223113" s="12" customFormat="1" x14ac:dyDescent="0.25"/>
    <row r="223114" s="12" customFormat="1" x14ac:dyDescent="0.25"/>
    <row r="223115" s="12" customFormat="1" x14ac:dyDescent="0.25"/>
    <row r="223116" s="12" customFormat="1" x14ac:dyDescent="0.25"/>
    <row r="223117" s="12" customFormat="1" x14ac:dyDescent="0.25"/>
    <row r="223118" s="12" customFormat="1" x14ac:dyDescent="0.25"/>
    <row r="223119" s="12" customFormat="1" x14ac:dyDescent="0.25"/>
    <row r="223120" s="12" customFormat="1" x14ac:dyDescent="0.25"/>
    <row r="223121" s="12" customFormat="1" x14ac:dyDescent="0.25"/>
    <row r="223122" s="12" customFormat="1" x14ac:dyDescent="0.25"/>
    <row r="223123" s="12" customFormat="1" x14ac:dyDescent="0.25"/>
    <row r="223124" s="12" customFormat="1" x14ac:dyDescent="0.25"/>
    <row r="223125" s="12" customFormat="1" x14ac:dyDescent="0.25"/>
    <row r="223126" s="12" customFormat="1" x14ac:dyDescent="0.25"/>
    <row r="223127" s="12" customFormat="1" x14ac:dyDescent="0.25"/>
    <row r="223128" s="12" customFormat="1" x14ac:dyDescent="0.25"/>
    <row r="223129" s="12" customFormat="1" x14ac:dyDescent="0.25"/>
    <row r="223130" s="12" customFormat="1" x14ac:dyDescent="0.25"/>
    <row r="223131" s="12" customFormat="1" x14ac:dyDescent="0.25"/>
    <row r="223132" s="12" customFormat="1" x14ac:dyDescent="0.25"/>
    <row r="223133" s="12" customFormat="1" x14ac:dyDescent="0.25"/>
    <row r="223134" s="12" customFormat="1" x14ac:dyDescent="0.25"/>
    <row r="223135" s="12" customFormat="1" x14ac:dyDescent="0.25"/>
    <row r="223136" s="12" customFormat="1" x14ac:dyDescent="0.25"/>
    <row r="223137" s="12" customFormat="1" x14ac:dyDescent="0.25"/>
    <row r="223138" s="12" customFormat="1" x14ac:dyDescent="0.25"/>
    <row r="223139" s="12" customFormat="1" x14ac:dyDescent="0.25"/>
    <row r="223140" s="12" customFormat="1" x14ac:dyDescent="0.25"/>
    <row r="223141" s="12" customFormat="1" x14ac:dyDescent="0.25"/>
    <row r="223142" s="12" customFormat="1" x14ac:dyDescent="0.25"/>
    <row r="223143" s="12" customFormat="1" x14ac:dyDescent="0.25"/>
    <row r="223144" s="12" customFormat="1" x14ac:dyDescent="0.25"/>
    <row r="223145" s="12" customFormat="1" x14ac:dyDescent="0.25"/>
    <row r="223146" s="12" customFormat="1" x14ac:dyDescent="0.25"/>
    <row r="223147" s="12" customFormat="1" x14ac:dyDescent="0.25"/>
    <row r="223148" s="12" customFormat="1" x14ac:dyDescent="0.25"/>
    <row r="223149" s="12" customFormat="1" x14ac:dyDescent="0.25"/>
    <row r="223150" s="12" customFormat="1" x14ac:dyDescent="0.25"/>
    <row r="223151" s="12" customFormat="1" x14ac:dyDescent="0.25"/>
    <row r="223152" s="12" customFormat="1" x14ac:dyDescent="0.25"/>
    <row r="223153" s="12" customFormat="1" x14ac:dyDescent="0.25"/>
    <row r="223154" s="12" customFormat="1" x14ac:dyDescent="0.25"/>
    <row r="223155" s="12" customFormat="1" x14ac:dyDescent="0.25"/>
    <row r="223156" s="12" customFormat="1" x14ac:dyDescent="0.25"/>
    <row r="223157" s="12" customFormat="1" x14ac:dyDescent="0.25"/>
    <row r="223158" s="12" customFormat="1" x14ac:dyDescent="0.25"/>
    <row r="223159" s="12" customFormat="1" x14ac:dyDescent="0.25"/>
    <row r="223160" s="12" customFormat="1" x14ac:dyDescent="0.25"/>
    <row r="223161" s="12" customFormat="1" x14ac:dyDescent="0.25"/>
    <row r="223162" s="12" customFormat="1" x14ac:dyDescent="0.25"/>
    <row r="223163" s="12" customFormat="1" x14ac:dyDescent="0.25"/>
    <row r="223164" s="12" customFormat="1" x14ac:dyDescent="0.25"/>
    <row r="223165" s="12" customFormat="1" x14ac:dyDescent="0.25"/>
    <row r="223166" s="12" customFormat="1" x14ac:dyDescent="0.25"/>
    <row r="223167" s="12" customFormat="1" x14ac:dyDescent="0.25"/>
    <row r="223168" s="12" customFormat="1" x14ac:dyDescent="0.25"/>
    <row r="223169" s="12" customFormat="1" x14ac:dyDescent="0.25"/>
    <row r="223170" s="12" customFormat="1" x14ac:dyDescent="0.25"/>
    <row r="223171" s="12" customFormat="1" x14ac:dyDescent="0.25"/>
    <row r="223172" s="12" customFormat="1" x14ac:dyDescent="0.25"/>
    <row r="223173" s="12" customFormat="1" x14ac:dyDescent="0.25"/>
    <row r="223174" s="12" customFormat="1" x14ac:dyDescent="0.25"/>
    <row r="223175" s="12" customFormat="1" x14ac:dyDescent="0.25"/>
    <row r="223176" s="12" customFormat="1" x14ac:dyDescent="0.25"/>
    <row r="223177" s="12" customFormat="1" x14ac:dyDescent="0.25"/>
    <row r="223178" s="12" customFormat="1" x14ac:dyDescent="0.25"/>
    <row r="223179" s="12" customFormat="1" x14ac:dyDescent="0.25"/>
    <row r="223180" s="12" customFormat="1" x14ac:dyDescent="0.25"/>
    <row r="223181" s="12" customFormat="1" x14ac:dyDescent="0.25"/>
    <row r="223182" s="12" customFormat="1" x14ac:dyDescent="0.25"/>
    <row r="223183" s="12" customFormat="1" x14ac:dyDescent="0.25"/>
    <row r="223184" s="12" customFormat="1" x14ac:dyDescent="0.25"/>
    <row r="223185" s="12" customFormat="1" x14ac:dyDescent="0.25"/>
    <row r="223186" s="12" customFormat="1" x14ac:dyDescent="0.25"/>
    <row r="223187" s="12" customFormat="1" x14ac:dyDescent="0.25"/>
    <row r="223188" s="12" customFormat="1" x14ac:dyDescent="0.25"/>
    <row r="223189" s="12" customFormat="1" x14ac:dyDescent="0.25"/>
    <row r="223190" s="12" customFormat="1" x14ac:dyDescent="0.25"/>
    <row r="223191" s="12" customFormat="1" x14ac:dyDescent="0.25"/>
    <row r="223192" s="12" customFormat="1" x14ac:dyDescent="0.25"/>
    <row r="223193" s="12" customFormat="1" x14ac:dyDescent="0.25"/>
    <row r="223194" s="12" customFormat="1" x14ac:dyDescent="0.25"/>
    <row r="223195" s="12" customFormat="1" x14ac:dyDescent="0.25"/>
    <row r="223196" s="12" customFormat="1" x14ac:dyDescent="0.25"/>
    <row r="223197" s="12" customFormat="1" x14ac:dyDescent="0.25"/>
    <row r="223198" s="12" customFormat="1" x14ac:dyDescent="0.25"/>
    <row r="223199" s="12" customFormat="1" x14ac:dyDescent="0.25"/>
    <row r="223200" s="12" customFormat="1" x14ac:dyDescent="0.25"/>
    <row r="223201" s="12" customFormat="1" x14ac:dyDescent="0.25"/>
    <row r="223202" s="12" customFormat="1" x14ac:dyDescent="0.25"/>
    <row r="223203" s="12" customFormat="1" x14ac:dyDescent="0.25"/>
    <row r="223204" s="12" customFormat="1" x14ac:dyDescent="0.25"/>
    <row r="223205" s="12" customFormat="1" x14ac:dyDescent="0.25"/>
    <row r="223206" s="12" customFormat="1" x14ac:dyDescent="0.25"/>
    <row r="223207" s="12" customFormat="1" x14ac:dyDescent="0.25"/>
    <row r="223208" s="12" customFormat="1" x14ac:dyDescent="0.25"/>
    <row r="223209" s="12" customFormat="1" x14ac:dyDescent="0.25"/>
    <row r="223210" s="12" customFormat="1" x14ac:dyDescent="0.25"/>
    <row r="223211" s="12" customFormat="1" x14ac:dyDescent="0.25"/>
    <row r="223212" s="12" customFormat="1" x14ac:dyDescent="0.25"/>
    <row r="223213" s="12" customFormat="1" x14ac:dyDescent="0.25"/>
    <row r="223214" s="12" customFormat="1" x14ac:dyDescent="0.25"/>
    <row r="223215" s="12" customFormat="1" x14ac:dyDescent="0.25"/>
    <row r="223216" s="12" customFormat="1" x14ac:dyDescent="0.25"/>
    <row r="223217" s="12" customFormat="1" x14ac:dyDescent="0.25"/>
    <row r="223218" s="12" customFormat="1" x14ac:dyDescent="0.25"/>
    <row r="223219" s="12" customFormat="1" x14ac:dyDescent="0.25"/>
    <row r="223220" s="12" customFormat="1" x14ac:dyDescent="0.25"/>
    <row r="223221" s="12" customFormat="1" x14ac:dyDescent="0.25"/>
    <row r="223222" s="12" customFormat="1" x14ac:dyDescent="0.25"/>
    <row r="223223" s="12" customFormat="1" x14ac:dyDescent="0.25"/>
    <row r="223224" s="12" customFormat="1" x14ac:dyDescent="0.25"/>
    <row r="223225" s="12" customFormat="1" x14ac:dyDescent="0.25"/>
    <row r="223226" s="12" customFormat="1" x14ac:dyDescent="0.25"/>
    <row r="223227" s="12" customFormat="1" x14ac:dyDescent="0.25"/>
    <row r="223228" s="12" customFormat="1" x14ac:dyDescent="0.25"/>
    <row r="223229" s="12" customFormat="1" x14ac:dyDescent="0.25"/>
    <row r="223230" s="12" customFormat="1" x14ac:dyDescent="0.25"/>
    <row r="223231" s="12" customFormat="1" x14ac:dyDescent="0.25"/>
    <row r="223232" s="12" customFormat="1" x14ac:dyDescent="0.25"/>
    <row r="223233" s="12" customFormat="1" x14ac:dyDescent="0.25"/>
    <row r="223234" s="12" customFormat="1" x14ac:dyDescent="0.25"/>
    <row r="223235" s="12" customFormat="1" x14ac:dyDescent="0.25"/>
    <row r="223236" s="12" customFormat="1" x14ac:dyDescent="0.25"/>
    <row r="223237" s="12" customFormat="1" x14ac:dyDescent="0.25"/>
    <row r="223238" s="12" customFormat="1" x14ac:dyDescent="0.25"/>
    <row r="223239" s="12" customFormat="1" x14ac:dyDescent="0.25"/>
    <row r="223240" s="12" customFormat="1" x14ac:dyDescent="0.25"/>
    <row r="223241" s="12" customFormat="1" x14ac:dyDescent="0.25"/>
    <row r="223242" s="12" customFormat="1" x14ac:dyDescent="0.25"/>
    <row r="223243" s="12" customFormat="1" x14ac:dyDescent="0.25"/>
    <row r="223244" s="12" customFormat="1" x14ac:dyDescent="0.25"/>
    <row r="223245" s="12" customFormat="1" x14ac:dyDescent="0.25"/>
    <row r="223246" s="12" customFormat="1" x14ac:dyDescent="0.25"/>
    <row r="223247" s="12" customFormat="1" x14ac:dyDescent="0.25"/>
    <row r="223248" s="12" customFormat="1" x14ac:dyDescent="0.25"/>
    <row r="223249" s="12" customFormat="1" x14ac:dyDescent="0.25"/>
    <row r="223250" s="12" customFormat="1" x14ac:dyDescent="0.25"/>
    <row r="223251" s="12" customFormat="1" x14ac:dyDescent="0.25"/>
    <row r="223252" s="12" customFormat="1" x14ac:dyDescent="0.25"/>
    <row r="223253" s="12" customFormat="1" x14ac:dyDescent="0.25"/>
    <row r="223254" s="12" customFormat="1" x14ac:dyDescent="0.25"/>
    <row r="223255" s="12" customFormat="1" x14ac:dyDescent="0.25"/>
    <row r="223256" s="12" customFormat="1" x14ac:dyDescent="0.25"/>
    <row r="223257" s="12" customFormat="1" x14ac:dyDescent="0.25"/>
    <row r="223258" s="12" customFormat="1" x14ac:dyDescent="0.25"/>
    <row r="223259" s="12" customFormat="1" x14ac:dyDescent="0.25"/>
    <row r="223260" s="12" customFormat="1" x14ac:dyDescent="0.25"/>
    <row r="223261" s="12" customFormat="1" x14ac:dyDescent="0.25"/>
    <row r="223262" s="12" customFormat="1" x14ac:dyDescent="0.25"/>
    <row r="223263" s="12" customFormat="1" x14ac:dyDescent="0.25"/>
    <row r="223264" s="12" customFormat="1" x14ac:dyDescent="0.25"/>
    <row r="223265" s="12" customFormat="1" x14ac:dyDescent="0.25"/>
    <row r="223266" s="12" customFormat="1" x14ac:dyDescent="0.25"/>
    <row r="223267" s="12" customFormat="1" x14ac:dyDescent="0.25"/>
    <row r="223268" s="12" customFormat="1" x14ac:dyDescent="0.25"/>
    <row r="223269" s="12" customFormat="1" x14ac:dyDescent="0.25"/>
    <row r="223270" s="12" customFormat="1" x14ac:dyDescent="0.25"/>
    <row r="223271" s="12" customFormat="1" x14ac:dyDescent="0.25"/>
    <row r="223272" s="12" customFormat="1" x14ac:dyDescent="0.25"/>
    <row r="223273" s="12" customFormat="1" x14ac:dyDescent="0.25"/>
    <row r="223274" s="12" customFormat="1" x14ac:dyDescent="0.25"/>
    <row r="223275" s="12" customFormat="1" x14ac:dyDescent="0.25"/>
    <row r="223276" s="12" customFormat="1" x14ac:dyDescent="0.25"/>
    <row r="223277" s="12" customFormat="1" x14ac:dyDescent="0.25"/>
    <row r="223278" s="12" customFormat="1" x14ac:dyDescent="0.25"/>
    <row r="223279" s="12" customFormat="1" x14ac:dyDescent="0.25"/>
    <row r="223280" s="12" customFormat="1" x14ac:dyDescent="0.25"/>
    <row r="223281" s="12" customFormat="1" x14ac:dyDescent="0.25"/>
    <row r="223282" s="12" customFormat="1" x14ac:dyDescent="0.25"/>
    <row r="223283" s="12" customFormat="1" x14ac:dyDescent="0.25"/>
    <row r="223284" s="12" customFormat="1" x14ac:dyDescent="0.25"/>
    <row r="223285" s="12" customFormat="1" x14ac:dyDescent="0.25"/>
    <row r="223286" s="12" customFormat="1" x14ac:dyDescent="0.25"/>
    <row r="223287" s="12" customFormat="1" x14ac:dyDescent="0.25"/>
    <row r="223288" s="12" customFormat="1" x14ac:dyDescent="0.25"/>
    <row r="223289" s="12" customFormat="1" x14ac:dyDescent="0.25"/>
    <row r="223290" s="12" customFormat="1" x14ac:dyDescent="0.25"/>
    <row r="223291" s="12" customFormat="1" x14ac:dyDescent="0.25"/>
    <row r="223292" s="12" customFormat="1" x14ac:dyDescent="0.25"/>
    <row r="223293" s="12" customFormat="1" x14ac:dyDescent="0.25"/>
    <row r="223294" s="12" customFormat="1" x14ac:dyDescent="0.25"/>
    <row r="223295" s="12" customFormat="1" x14ac:dyDescent="0.25"/>
    <row r="223296" s="12" customFormat="1" x14ac:dyDescent="0.25"/>
    <row r="223297" s="12" customFormat="1" x14ac:dyDescent="0.25"/>
    <row r="223298" s="12" customFormat="1" x14ac:dyDescent="0.25"/>
    <row r="223299" s="12" customFormat="1" x14ac:dyDescent="0.25"/>
    <row r="223300" s="12" customFormat="1" x14ac:dyDescent="0.25"/>
    <row r="223301" s="12" customFormat="1" x14ac:dyDescent="0.25"/>
    <row r="223302" s="12" customFormat="1" x14ac:dyDescent="0.25"/>
    <row r="223303" s="12" customFormat="1" x14ac:dyDescent="0.25"/>
    <row r="223304" s="12" customFormat="1" x14ac:dyDescent="0.25"/>
    <row r="223305" s="12" customFormat="1" x14ac:dyDescent="0.25"/>
    <row r="223306" s="12" customFormat="1" x14ac:dyDescent="0.25"/>
    <row r="223307" s="12" customFormat="1" x14ac:dyDescent="0.25"/>
    <row r="223308" s="12" customFormat="1" x14ac:dyDescent="0.25"/>
    <row r="223309" s="12" customFormat="1" x14ac:dyDescent="0.25"/>
    <row r="223310" s="12" customFormat="1" x14ac:dyDescent="0.25"/>
    <row r="223311" s="12" customFormat="1" x14ac:dyDescent="0.25"/>
    <row r="223312" s="12" customFormat="1" x14ac:dyDescent="0.25"/>
    <row r="223313" s="12" customFormat="1" x14ac:dyDescent="0.25"/>
    <row r="223314" s="12" customFormat="1" x14ac:dyDescent="0.25"/>
    <row r="223315" s="12" customFormat="1" x14ac:dyDescent="0.25"/>
    <row r="223316" s="12" customFormat="1" x14ac:dyDescent="0.25"/>
    <row r="223317" s="12" customFormat="1" x14ac:dyDescent="0.25"/>
    <row r="223318" s="12" customFormat="1" x14ac:dyDescent="0.25"/>
    <row r="223319" s="12" customFormat="1" x14ac:dyDescent="0.25"/>
    <row r="223320" s="12" customFormat="1" x14ac:dyDescent="0.25"/>
    <row r="223321" s="12" customFormat="1" x14ac:dyDescent="0.25"/>
    <row r="223322" s="12" customFormat="1" x14ac:dyDescent="0.25"/>
    <row r="223323" s="12" customFormat="1" x14ac:dyDescent="0.25"/>
    <row r="223324" s="12" customFormat="1" x14ac:dyDescent="0.25"/>
    <row r="223325" s="12" customFormat="1" x14ac:dyDescent="0.25"/>
    <row r="223326" s="12" customFormat="1" x14ac:dyDescent="0.25"/>
    <row r="223327" s="12" customFormat="1" x14ac:dyDescent="0.25"/>
    <row r="223328" s="12" customFormat="1" x14ac:dyDescent="0.25"/>
    <row r="223329" s="12" customFormat="1" x14ac:dyDescent="0.25"/>
    <row r="223330" s="12" customFormat="1" x14ac:dyDescent="0.25"/>
    <row r="223331" s="12" customFormat="1" x14ac:dyDescent="0.25"/>
    <row r="223332" s="12" customFormat="1" x14ac:dyDescent="0.25"/>
    <row r="223333" s="12" customFormat="1" x14ac:dyDescent="0.25"/>
    <row r="223334" s="12" customFormat="1" x14ac:dyDescent="0.25"/>
    <row r="223335" s="12" customFormat="1" x14ac:dyDescent="0.25"/>
    <row r="223336" s="12" customFormat="1" x14ac:dyDescent="0.25"/>
    <row r="223337" s="12" customFormat="1" x14ac:dyDescent="0.25"/>
    <row r="223338" s="12" customFormat="1" x14ac:dyDescent="0.25"/>
    <row r="223339" s="12" customFormat="1" x14ac:dyDescent="0.25"/>
    <row r="223340" s="12" customFormat="1" x14ac:dyDescent="0.25"/>
    <row r="223341" s="12" customFormat="1" x14ac:dyDescent="0.25"/>
    <row r="223342" s="12" customFormat="1" x14ac:dyDescent="0.25"/>
    <row r="223343" s="12" customFormat="1" x14ac:dyDescent="0.25"/>
    <row r="223344" s="12" customFormat="1" x14ac:dyDescent="0.25"/>
    <row r="223345" s="12" customFormat="1" x14ac:dyDescent="0.25"/>
    <row r="223346" s="12" customFormat="1" x14ac:dyDescent="0.25"/>
    <row r="223347" s="12" customFormat="1" x14ac:dyDescent="0.25"/>
    <row r="223348" s="12" customFormat="1" x14ac:dyDescent="0.25"/>
    <row r="223349" s="12" customFormat="1" x14ac:dyDescent="0.25"/>
    <row r="223350" s="12" customFormat="1" x14ac:dyDescent="0.25"/>
    <row r="223351" s="12" customFormat="1" x14ac:dyDescent="0.25"/>
    <row r="223352" s="12" customFormat="1" x14ac:dyDescent="0.25"/>
    <row r="223353" s="12" customFormat="1" x14ac:dyDescent="0.25"/>
    <row r="223354" s="12" customFormat="1" x14ac:dyDescent="0.25"/>
    <row r="223355" s="12" customFormat="1" x14ac:dyDescent="0.25"/>
    <row r="223356" s="12" customFormat="1" x14ac:dyDescent="0.25"/>
    <row r="223357" s="12" customFormat="1" x14ac:dyDescent="0.25"/>
    <row r="223358" s="12" customFormat="1" x14ac:dyDescent="0.25"/>
    <row r="223359" s="12" customFormat="1" x14ac:dyDescent="0.25"/>
    <row r="223360" s="12" customFormat="1" x14ac:dyDescent="0.25"/>
    <row r="223361" s="12" customFormat="1" x14ac:dyDescent="0.25"/>
    <row r="223362" s="12" customFormat="1" x14ac:dyDescent="0.25"/>
    <row r="223363" s="12" customFormat="1" x14ac:dyDescent="0.25"/>
    <row r="223364" s="12" customFormat="1" x14ac:dyDescent="0.25"/>
    <row r="223365" s="12" customFormat="1" x14ac:dyDescent="0.25"/>
    <row r="223366" s="12" customFormat="1" x14ac:dyDescent="0.25"/>
    <row r="223367" s="12" customFormat="1" x14ac:dyDescent="0.25"/>
    <row r="223368" s="12" customFormat="1" x14ac:dyDescent="0.25"/>
    <row r="223369" s="12" customFormat="1" x14ac:dyDescent="0.25"/>
    <row r="223370" s="12" customFormat="1" x14ac:dyDescent="0.25"/>
    <row r="223371" s="12" customFormat="1" x14ac:dyDescent="0.25"/>
    <row r="223372" s="12" customFormat="1" x14ac:dyDescent="0.25"/>
    <row r="223373" s="12" customFormat="1" x14ac:dyDescent="0.25"/>
    <row r="223374" s="12" customFormat="1" x14ac:dyDescent="0.25"/>
    <row r="223375" s="12" customFormat="1" x14ac:dyDescent="0.25"/>
    <row r="223376" s="12" customFormat="1" x14ac:dyDescent="0.25"/>
    <row r="223377" s="12" customFormat="1" x14ac:dyDescent="0.25"/>
    <row r="223378" s="12" customFormat="1" x14ac:dyDescent="0.25"/>
    <row r="223379" s="12" customFormat="1" x14ac:dyDescent="0.25"/>
    <row r="223380" s="12" customFormat="1" x14ac:dyDescent="0.25"/>
    <row r="223381" s="12" customFormat="1" x14ac:dyDescent="0.25"/>
    <row r="223382" s="12" customFormat="1" x14ac:dyDescent="0.25"/>
    <row r="223383" s="12" customFormat="1" x14ac:dyDescent="0.25"/>
    <row r="223384" s="12" customFormat="1" x14ac:dyDescent="0.25"/>
    <row r="223385" s="12" customFormat="1" x14ac:dyDescent="0.25"/>
    <row r="223386" s="12" customFormat="1" x14ac:dyDescent="0.25"/>
    <row r="223387" s="12" customFormat="1" x14ac:dyDescent="0.25"/>
    <row r="223388" s="12" customFormat="1" x14ac:dyDescent="0.25"/>
    <row r="223389" s="12" customFormat="1" x14ac:dyDescent="0.25"/>
    <row r="223390" s="12" customFormat="1" x14ac:dyDescent="0.25"/>
    <row r="223391" s="12" customFormat="1" x14ac:dyDescent="0.25"/>
    <row r="223392" s="12" customFormat="1" x14ac:dyDescent="0.25"/>
    <row r="223393" s="12" customFormat="1" x14ac:dyDescent="0.25"/>
    <row r="223394" s="12" customFormat="1" x14ac:dyDescent="0.25"/>
    <row r="223395" s="12" customFormat="1" x14ac:dyDescent="0.25"/>
    <row r="223396" s="12" customFormat="1" x14ac:dyDescent="0.25"/>
    <row r="223397" s="12" customFormat="1" x14ac:dyDescent="0.25"/>
    <row r="223398" s="12" customFormat="1" x14ac:dyDescent="0.25"/>
    <row r="223399" s="12" customFormat="1" x14ac:dyDescent="0.25"/>
    <row r="223400" s="12" customFormat="1" x14ac:dyDescent="0.25"/>
    <row r="223401" s="12" customFormat="1" x14ac:dyDescent="0.25"/>
    <row r="223402" s="12" customFormat="1" x14ac:dyDescent="0.25"/>
    <row r="223403" s="12" customFormat="1" x14ac:dyDescent="0.25"/>
    <row r="223404" s="12" customFormat="1" x14ac:dyDescent="0.25"/>
    <row r="223405" s="12" customFormat="1" x14ac:dyDescent="0.25"/>
    <row r="223406" s="12" customFormat="1" x14ac:dyDescent="0.25"/>
    <row r="223407" s="12" customFormat="1" x14ac:dyDescent="0.25"/>
    <row r="223408" s="12" customFormat="1" x14ac:dyDescent="0.25"/>
    <row r="223409" s="12" customFormat="1" x14ac:dyDescent="0.25"/>
    <row r="223410" s="12" customFormat="1" x14ac:dyDescent="0.25"/>
    <row r="223411" s="12" customFormat="1" x14ac:dyDescent="0.25"/>
    <row r="223412" s="12" customFormat="1" x14ac:dyDescent="0.25"/>
    <row r="223413" s="12" customFormat="1" x14ac:dyDescent="0.25"/>
    <row r="223414" s="12" customFormat="1" x14ac:dyDescent="0.25"/>
    <row r="223415" s="12" customFormat="1" x14ac:dyDescent="0.25"/>
    <row r="223416" s="12" customFormat="1" x14ac:dyDescent="0.25"/>
    <row r="223417" s="12" customFormat="1" x14ac:dyDescent="0.25"/>
    <row r="223418" s="12" customFormat="1" x14ac:dyDescent="0.25"/>
    <row r="223419" s="12" customFormat="1" x14ac:dyDescent="0.25"/>
    <row r="223420" s="12" customFormat="1" x14ac:dyDescent="0.25"/>
    <row r="223421" s="12" customFormat="1" x14ac:dyDescent="0.25"/>
    <row r="223422" s="12" customFormat="1" x14ac:dyDescent="0.25"/>
    <row r="223423" s="12" customFormat="1" x14ac:dyDescent="0.25"/>
    <row r="223424" s="12" customFormat="1" x14ac:dyDescent="0.25"/>
    <row r="223425" s="12" customFormat="1" x14ac:dyDescent="0.25"/>
    <row r="223426" s="12" customFormat="1" x14ac:dyDescent="0.25"/>
    <row r="223427" s="12" customFormat="1" x14ac:dyDescent="0.25"/>
    <row r="223428" s="12" customFormat="1" x14ac:dyDescent="0.25"/>
    <row r="223429" s="12" customFormat="1" x14ac:dyDescent="0.25"/>
    <row r="223430" s="12" customFormat="1" x14ac:dyDescent="0.25"/>
    <row r="223431" s="12" customFormat="1" x14ac:dyDescent="0.25"/>
    <row r="223432" s="12" customFormat="1" x14ac:dyDescent="0.25"/>
    <row r="223433" s="12" customFormat="1" x14ac:dyDescent="0.25"/>
    <row r="223434" s="12" customFormat="1" x14ac:dyDescent="0.25"/>
    <row r="223435" s="12" customFormat="1" x14ac:dyDescent="0.25"/>
    <row r="223436" s="12" customFormat="1" x14ac:dyDescent="0.25"/>
    <row r="223437" s="12" customFormat="1" x14ac:dyDescent="0.25"/>
    <row r="223438" s="12" customFormat="1" x14ac:dyDescent="0.25"/>
    <row r="223439" s="12" customFormat="1" x14ac:dyDescent="0.25"/>
    <row r="223440" s="12" customFormat="1" x14ac:dyDescent="0.25"/>
    <row r="223441" s="12" customFormat="1" x14ac:dyDescent="0.25"/>
    <row r="223442" s="12" customFormat="1" x14ac:dyDescent="0.25"/>
    <row r="223443" s="12" customFormat="1" x14ac:dyDescent="0.25"/>
    <row r="223444" s="12" customFormat="1" x14ac:dyDescent="0.25"/>
    <row r="223445" s="12" customFormat="1" x14ac:dyDescent="0.25"/>
    <row r="223446" s="12" customFormat="1" x14ac:dyDescent="0.25"/>
    <row r="223447" s="12" customFormat="1" x14ac:dyDescent="0.25"/>
    <row r="223448" s="12" customFormat="1" x14ac:dyDescent="0.25"/>
    <row r="223449" s="12" customFormat="1" x14ac:dyDescent="0.25"/>
    <row r="223450" s="12" customFormat="1" x14ac:dyDescent="0.25"/>
    <row r="223451" s="12" customFormat="1" x14ac:dyDescent="0.25"/>
    <row r="223452" s="12" customFormat="1" x14ac:dyDescent="0.25"/>
    <row r="223453" s="12" customFormat="1" x14ac:dyDescent="0.25"/>
    <row r="223454" s="12" customFormat="1" x14ac:dyDescent="0.25"/>
    <row r="223455" s="12" customFormat="1" x14ac:dyDescent="0.25"/>
    <row r="223456" s="12" customFormat="1" x14ac:dyDescent="0.25"/>
    <row r="223457" s="12" customFormat="1" x14ac:dyDescent="0.25"/>
    <row r="223458" s="12" customFormat="1" x14ac:dyDescent="0.25"/>
    <row r="223459" s="12" customFormat="1" x14ac:dyDescent="0.25"/>
    <row r="223460" s="12" customFormat="1" x14ac:dyDescent="0.25"/>
    <row r="223461" s="12" customFormat="1" x14ac:dyDescent="0.25"/>
    <row r="223462" s="12" customFormat="1" x14ac:dyDescent="0.25"/>
    <row r="223463" s="12" customFormat="1" x14ac:dyDescent="0.25"/>
    <row r="223464" s="12" customFormat="1" x14ac:dyDescent="0.25"/>
    <row r="223465" s="12" customFormat="1" x14ac:dyDescent="0.25"/>
    <row r="223466" s="12" customFormat="1" x14ac:dyDescent="0.25"/>
    <row r="223467" s="12" customFormat="1" x14ac:dyDescent="0.25"/>
    <row r="223468" s="12" customFormat="1" x14ac:dyDescent="0.25"/>
    <row r="223469" s="12" customFormat="1" x14ac:dyDescent="0.25"/>
    <row r="223470" s="12" customFormat="1" x14ac:dyDescent="0.25"/>
    <row r="223471" s="12" customFormat="1" x14ac:dyDescent="0.25"/>
    <row r="223472" s="12" customFormat="1" x14ac:dyDescent="0.25"/>
    <row r="223473" s="12" customFormat="1" x14ac:dyDescent="0.25"/>
    <row r="223474" s="12" customFormat="1" x14ac:dyDescent="0.25"/>
    <row r="223475" s="12" customFormat="1" x14ac:dyDescent="0.25"/>
    <row r="223476" s="12" customFormat="1" x14ac:dyDescent="0.25"/>
    <row r="223477" s="12" customFormat="1" x14ac:dyDescent="0.25"/>
    <row r="223478" s="12" customFormat="1" x14ac:dyDescent="0.25"/>
    <row r="223479" s="12" customFormat="1" x14ac:dyDescent="0.25"/>
    <row r="223480" s="12" customFormat="1" x14ac:dyDescent="0.25"/>
    <row r="223481" s="12" customFormat="1" x14ac:dyDescent="0.25"/>
    <row r="223482" s="12" customFormat="1" x14ac:dyDescent="0.25"/>
    <row r="223483" s="12" customFormat="1" x14ac:dyDescent="0.25"/>
    <row r="223484" s="12" customFormat="1" x14ac:dyDescent="0.25"/>
    <row r="223485" s="12" customFormat="1" x14ac:dyDescent="0.25"/>
    <row r="223486" s="12" customFormat="1" x14ac:dyDescent="0.25"/>
    <row r="223487" s="12" customFormat="1" x14ac:dyDescent="0.25"/>
    <row r="223488" s="12" customFormat="1" x14ac:dyDescent="0.25"/>
    <row r="223489" s="12" customFormat="1" x14ac:dyDescent="0.25"/>
    <row r="223490" s="12" customFormat="1" x14ac:dyDescent="0.25"/>
    <row r="223491" s="12" customFormat="1" x14ac:dyDescent="0.25"/>
    <row r="223492" s="12" customFormat="1" x14ac:dyDescent="0.25"/>
    <row r="223493" s="12" customFormat="1" x14ac:dyDescent="0.25"/>
    <row r="223494" s="12" customFormat="1" x14ac:dyDescent="0.25"/>
    <row r="223495" s="12" customFormat="1" x14ac:dyDescent="0.25"/>
    <row r="223496" s="12" customFormat="1" x14ac:dyDescent="0.25"/>
    <row r="223497" s="12" customFormat="1" x14ac:dyDescent="0.25"/>
    <row r="223498" s="12" customFormat="1" x14ac:dyDescent="0.25"/>
    <row r="223499" s="12" customFormat="1" x14ac:dyDescent="0.25"/>
    <row r="223500" s="12" customFormat="1" x14ac:dyDescent="0.25"/>
    <row r="223501" s="12" customFormat="1" x14ac:dyDescent="0.25"/>
    <row r="223502" s="12" customFormat="1" x14ac:dyDescent="0.25"/>
    <row r="223503" s="12" customFormat="1" x14ac:dyDescent="0.25"/>
    <row r="223504" s="12" customFormat="1" x14ac:dyDescent="0.25"/>
    <row r="223505" s="12" customFormat="1" x14ac:dyDescent="0.25"/>
    <row r="223506" s="12" customFormat="1" x14ac:dyDescent="0.25"/>
    <row r="223507" s="12" customFormat="1" x14ac:dyDescent="0.25"/>
    <row r="223508" s="12" customFormat="1" x14ac:dyDescent="0.25"/>
    <row r="223509" s="12" customFormat="1" x14ac:dyDescent="0.25"/>
    <row r="223510" s="12" customFormat="1" x14ac:dyDescent="0.25"/>
    <row r="223511" s="12" customFormat="1" x14ac:dyDescent="0.25"/>
    <row r="223512" s="12" customFormat="1" x14ac:dyDescent="0.25"/>
    <row r="223513" s="12" customFormat="1" x14ac:dyDescent="0.25"/>
    <row r="223514" s="12" customFormat="1" x14ac:dyDescent="0.25"/>
    <row r="223515" s="12" customFormat="1" x14ac:dyDescent="0.25"/>
    <row r="223516" s="12" customFormat="1" x14ac:dyDescent="0.25"/>
    <row r="223517" s="12" customFormat="1" x14ac:dyDescent="0.25"/>
    <row r="223518" s="12" customFormat="1" x14ac:dyDescent="0.25"/>
    <row r="223519" s="12" customFormat="1" x14ac:dyDescent="0.25"/>
    <row r="223520" s="12" customFormat="1" x14ac:dyDescent="0.25"/>
    <row r="223521" s="12" customFormat="1" x14ac:dyDescent="0.25"/>
    <row r="223522" s="12" customFormat="1" x14ac:dyDescent="0.25"/>
    <row r="223523" s="12" customFormat="1" x14ac:dyDescent="0.25"/>
    <row r="223524" s="12" customFormat="1" x14ac:dyDescent="0.25"/>
    <row r="223525" s="12" customFormat="1" x14ac:dyDescent="0.25"/>
    <row r="223526" s="12" customFormat="1" x14ac:dyDescent="0.25"/>
    <row r="223527" s="12" customFormat="1" x14ac:dyDescent="0.25"/>
    <row r="223528" s="12" customFormat="1" x14ac:dyDescent="0.25"/>
    <row r="223529" s="12" customFormat="1" x14ac:dyDescent="0.25"/>
    <row r="223530" s="12" customFormat="1" x14ac:dyDescent="0.25"/>
    <row r="223531" s="12" customFormat="1" x14ac:dyDescent="0.25"/>
    <row r="223532" s="12" customFormat="1" x14ac:dyDescent="0.25"/>
    <row r="223533" s="12" customFormat="1" x14ac:dyDescent="0.25"/>
    <row r="223534" s="12" customFormat="1" x14ac:dyDescent="0.25"/>
    <row r="223535" s="12" customFormat="1" x14ac:dyDescent="0.25"/>
    <row r="223536" s="12" customFormat="1" x14ac:dyDescent="0.25"/>
    <row r="223537" s="12" customFormat="1" x14ac:dyDescent="0.25"/>
    <row r="223538" s="12" customFormat="1" x14ac:dyDescent="0.25"/>
    <row r="223539" s="12" customFormat="1" x14ac:dyDescent="0.25"/>
    <row r="223540" s="12" customFormat="1" x14ac:dyDescent="0.25"/>
    <row r="223541" s="12" customFormat="1" x14ac:dyDescent="0.25"/>
    <row r="223542" s="12" customFormat="1" x14ac:dyDescent="0.25"/>
    <row r="223543" s="12" customFormat="1" x14ac:dyDescent="0.25"/>
    <row r="223544" s="12" customFormat="1" x14ac:dyDescent="0.25"/>
    <row r="223545" s="12" customFormat="1" x14ac:dyDescent="0.25"/>
    <row r="223546" s="12" customFormat="1" x14ac:dyDescent="0.25"/>
    <row r="223547" s="12" customFormat="1" x14ac:dyDescent="0.25"/>
    <row r="223548" s="12" customFormat="1" x14ac:dyDescent="0.25"/>
    <row r="223549" s="12" customFormat="1" x14ac:dyDescent="0.25"/>
    <row r="223550" s="12" customFormat="1" x14ac:dyDescent="0.25"/>
    <row r="223551" s="12" customFormat="1" x14ac:dyDescent="0.25"/>
    <row r="223552" s="12" customFormat="1" x14ac:dyDescent="0.25"/>
    <row r="223553" s="12" customFormat="1" x14ac:dyDescent="0.25"/>
    <row r="223554" s="12" customFormat="1" x14ac:dyDescent="0.25"/>
    <row r="223555" s="12" customFormat="1" x14ac:dyDescent="0.25"/>
    <row r="223556" s="12" customFormat="1" x14ac:dyDescent="0.25"/>
    <row r="223557" s="12" customFormat="1" x14ac:dyDescent="0.25"/>
    <row r="223558" s="12" customFormat="1" x14ac:dyDescent="0.25"/>
    <row r="223559" s="12" customFormat="1" x14ac:dyDescent="0.25"/>
    <row r="223560" s="12" customFormat="1" x14ac:dyDescent="0.25"/>
    <row r="223561" s="12" customFormat="1" x14ac:dyDescent="0.25"/>
    <row r="223562" s="12" customFormat="1" x14ac:dyDescent="0.25"/>
    <row r="223563" s="12" customFormat="1" x14ac:dyDescent="0.25"/>
    <row r="223564" s="12" customFormat="1" x14ac:dyDescent="0.25"/>
    <row r="223565" s="12" customFormat="1" x14ac:dyDescent="0.25"/>
    <row r="223566" s="12" customFormat="1" x14ac:dyDescent="0.25"/>
    <row r="223567" s="12" customFormat="1" x14ac:dyDescent="0.25"/>
    <row r="223568" s="12" customFormat="1" x14ac:dyDescent="0.25"/>
    <row r="223569" s="12" customFormat="1" x14ac:dyDescent="0.25"/>
    <row r="223570" s="12" customFormat="1" x14ac:dyDescent="0.25"/>
    <row r="223571" s="12" customFormat="1" x14ac:dyDescent="0.25"/>
    <row r="223572" s="12" customFormat="1" x14ac:dyDescent="0.25"/>
    <row r="223573" s="12" customFormat="1" x14ac:dyDescent="0.25"/>
    <row r="223574" s="12" customFormat="1" x14ac:dyDescent="0.25"/>
    <row r="223575" s="12" customFormat="1" x14ac:dyDescent="0.25"/>
    <row r="223576" s="12" customFormat="1" x14ac:dyDescent="0.25"/>
    <row r="223577" s="12" customFormat="1" x14ac:dyDescent="0.25"/>
    <row r="223578" s="12" customFormat="1" x14ac:dyDescent="0.25"/>
    <row r="223579" s="12" customFormat="1" x14ac:dyDescent="0.25"/>
    <row r="223580" s="12" customFormat="1" x14ac:dyDescent="0.25"/>
    <row r="223581" s="12" customFormat="1" x14ac:dyDescent="0.25"/>
    <row r="223582" s="12" customFormat="1" x14ac:dyDescent="0.25"/>
    <row r="223583" s="12" customFormat="1" x14ac:dyDescent="0.25"/>
    <row r="223584" s="12" customFormat="1" x14ac:dyDescent="0.25"/>
    <row r="223585" s="12" customFormat="1" x14ac:dyDescent="0.25"/>
    <row r="223586" s="12" customFormat="1" x14ac:dyDescent="0.25"/>
    <row r="223587" s="12" customFormat="1" x14ac:dyDescent="0.25"/>
    <row r="223588" s="12" customFormat="1" x14ac:dyDescent="0.25"/>
    <row r="223589" s="12" customFormat="1" x14ac:dyDescent="0.25"/>
    <row r="223590" s="12" customFormat="1" x14ac:dyDescent="0.25"/>
    <row r="223591" s="12" customFormat="1" x14ac:dyDescent="0.25"/>
    <row r="223592" s="12" customFormat="1" x14ac:dyDescent="0.25"/>
    <row r="223593" s="12" customFormat="1" x14ac:dyDescent="0.25"/>
    <row r="223594" s="12" customFormat="1" x14ac:dyDescent="0.25"/>
    <row r="223595" s="12" customFormat="1" x14ac:dyDescent="0.25"/>
    <row r="223596" s="12" customFormat="1" x14ac:dyDescent="0.25"/>
    <row r="223597" s="12" customFormat="1" x14ac:dyDescent="0.25"/>
    <row r="223598" s="12" customFormat="1" x14ac:dyDescent="0.25"/>
    <row r="223599" s="12" customFormat="1" x14ac:dyDescent="0.25"/>
    <row r="223600" s="12" customFormat="1" x14ac:dyDescent="0.25"/>
    <row r="223601" s="12" customFormat="1" x14ac:dyDescent="0.25"/>
    <row r="223602" s="12" customFormat="1" x14ac:dyDescent="0.25"/>
    <row r="223603" s="12" customFormat="1" x14ac:dyDescent="0.25"/>
    <row r="223604" s="12" customFormat="1" x14ac:dyDescent="0.25"/>
    <row r="223605" s="12" customFormat="1" x14ac:dyDescent="0.25"/>
    <row r="223606" s="12" customFormat="1" x14ac:dyDescent="0.25"/>
    <row r="223607" s="12" customFormat="1" x14ac:dyDescent="0.25"/>
    <row r="223608" s="12" customFormat="1" x14ac:dyDescent="0.25"/>
    <row r="223609" s="12" customFormat="1" x14ac:dyDescent="0.25"/>
    <row r="223610" s="12" customFormat="1" x14ac:dyDescent="0.25"/>
    <row r="223611" s="12" customFormat="1" x14ac:dyDescent="0.25"/>
    <row r="223612" s="12" customFormat="1" x14ac:dyDescent="0.25"/>
    <row r="223613" s="12" customFormat="1" x14ac:dyDescent="0.25"/>
    <row r="223614" s="12" customFormat="1" x14ac:dyDescent="0.25"/>
    <row r="223615" s="12" customFormat="1" x14ac:dyDescent="0.25"/>
    <row r="223616" s="12" customFormat="1" x14ac:dyDescent="0.25"/>
    <row r="223617" s="12" customFormat="1" x14ac:dyDescent="0.25"/>
    <row r="223618" s="12" customFormat="1" x14ac:dyDescent="0.25"/>
    <row r="223619" s="12" customFormat="1" x14ac:dyDescent="0.25"/>
    <row r="223620" s="12" customFormat="1" x14ac:dyDescent="0.25"/>
    <row r="223621" s="12" customFormat="1" x14ac:dyDescent="0.25"/>
    <row r="223622" s="12" customFormat="1" x14ac:dyDescent="0.25"/>
    <row r="223623" s="12" customFormat="1" x14ac:dyDescent="0.25"/>
    <row r="223624" s="12" customFormat="1" x14ac:dyDescent="0.25"/>
    <row r="223625" s="12" customFormat="1" x14ac:dyDescent="0.25"/>
    <row r="223626" s="12" customFormat="1" x14ac:dyDescent="0.25"/>
    <row r="223627" s="12" customFormat="1" x14ac:dyDescent="0.25"/>
    <row r="223628" s="12" customFormat="1" x14ac:dyDescent="0.25"/>
    <row r="223629" s="12" customFormat="1" x14ac:dyDescent="0.25"/>
    <row r="223630" s="12" customFormat="1" x14ac:dyDescent="0.25"/>
    <row r="223631" s="12" customFormat="1" x14ac:dyDescent="0.25"/>
    <row r="223632" s="12" customFormat="1" x14ac:dyDescent="0.25"/>
    <row r="223633" s="12" customFormat="1" x14ac:dyDescent="0.25"/>
    <row r="223634" s="12" customFormat="1" x14ac:dyDescent="0.25"/>
    <row r="223635" s="12" customFormat="1" x14ac:dyDescent="0.25"/>
    <row r="223636" s="12" customFormat="1" x14ac:dyDescent="0.25"/>
    <row r="223637" s="12" customFormat="1" x14ac:dyDescent="0.25"/>
    <row r="223638" s="12" customFormat="1" x14ac:dyDescent="0.25"/>
    <row r="223639" s="12" customFormat="1" x14ac:dyDescent="0.25"/>
    <row r="223640" s="12" customFormat="1" x14ac:dyDescent="0.25"/>
    <row r="223641" s="12" customFormat="1" x14ac:dyDescent="0.25"/>
    <row r="223642" s="12" customFormat="1" x14ac:dyDescent="0.25"/>
    <row r="223643" s="12" customFormat="1" x14ac:dyDescent="0.25"/>
    <row r="223644" s="12" customFormat="1" x14ac:dyDescent="0.25"/>
    <row r="223645" s="12" customFormat="1" x14ac:dyDescent="0.25"/>
    <row r="223646" s="12" customFormat="1" x14ac:dyDescent="0.25"/>
    <row r="223647" s="12" customFormat="1" x14ac:dyDescent="0.25"/>
    <row r="223648" s="12" customFormat="1" x14ac:dyDescent="0.25"/>
    <row r="223649" s="12" customFormat="1" x14ac:dyDescent="0.25"/>
    <row r="223650" s="12" customFormat="1" x14ac:dyDescent="0.25"/>
    <row r="223651" s="12" customFormat="1" x14ac:dyDescent="0.25"/>
    <row r="223652" s="12" customFormat="1" x14ac:dyDescent="0.25"/>
    <row r="223653" s="12" customFormat="1" x14ac:dyDescent="0.25"/>
    <row r="223654" s="12" customFormat="1" x14ac:dyDescent="0.25"/>
    <row r="223655" s="12" customFormat="1" x14ac:dyDescent="0.25"/>
    <row r="223656" s="12" customFormat="1" x14ac:dyDescent="0.25"/>
    <row r="223657" s="12" customFormat="1" x14ac:dyDescent="0.25"/>
    <row r="223658" s="12" customFormat="1" x14ac:dyDescent="0.25"/>
    <row r="223659" s="12" customFormat="1" x14ac:dyDescent="0.25"/>
    <row r="223660" s="12" customFormat="1" x14ac:dyDescent="0.25"/>
    <row r="223661" s="12" customFormat="1" x14ac:dyDescent="0.25"/>
    <row r="223662" s="12" customFormat="1" x14ac:dyDescent="0.25"/>
    <row r="223663" s="12" customFormat="1" x14ac:dyDescent="0.25"/>
    <row r="223664" s="12" customFormat="1" x14ac:dyDescent="0.25"/>
    <row r="223665" s="12" customFormat="1" x14ac:dyDescent="0.25"/>
    <row r="223666" s="12" customFormat="1" x14ac:dyDescent="0.25"/>
    <row r="223667" s="12" customFormat="1" x14ac:dyDescent="0.25"/>
    <row r="223668" s="12" customFormat="1" x14ac:dyDescent="0.25"/>
    <row r="223669" s="12" customFormat="1" x14ac:dyDescent="0.25"/>
    <row r="223670" s="12" customFormat="1" x14ac:dyDescent="0.25"/>
    <row r="223671" s="12" customFormat="1" x14ac:dyDescent="0.25"/>
    <row r="223672" s="12" customFormat="1" x14ac:dyDescent="0.25"/>
    <row r="223673" s="12" customFormat="1" x14ac:dyDescent="0.25"/>
    <row r="223674" s="12" customFormat="1" x14ac:dyDescent="0.25"/>
    <row r="223675" s="12" customFormat="1" x14ac:dyDescent="0.25"/>
    <row r="223676" s="12" customFormat="1" x14ac:dyDescent="0.25"/>
    <row r="223677" s="12" customFormat="1" x14ac:dyDescent="0.25"/>
    <row r="223678" s="12" customFormat="1" x14ac:dyDescent="0.25"/>
    <row r="223679" s="12" customFormat="1" x14ac:dyDescent="0.25"/>
    <row r="223680" s="12" customFormat="1" x14ac:dyDescent="0.25"/>
    <row r="223681" s="12" customFormat="1" x14ac:dyDescent="0.25"/>
    <row r="223682" s="12" customFormat="1" x14ac:dyDescent="0.25"/>
    <row r="223683" s="12" customFormat="1" x14ac:dyDescent="0.25"/>
    <row r="223684" s="12" customFormat="1" x14ac:dyDescent="0.25"/>
    <row r="223685" s="12" customFormat="1" x14ac:dyDescent="0.25"/>
    <row r="223686" s="12" customFormat="1" x14ac:dyDescent="0.25"/>
    <row r="223687" s="12" customFormat="1" x14ac:dyDescent="0.25"/>
    <row r="223688" s="12" customFormat="1" x14ac:dyDescent="0.25"/>
    <row r="223689" s="12" customFormat="1" x14ac:dyDescent="0.25"/>
    <row r="223690" s="12" customFormat="1" x14ac:dyDescent="0.25"/>
    <row r="223691" s="12" customFormat="1" x14ac:dyDescent="0.25"/>
    <row r="223692" s="12" customFormat="1" x14ac:dyDescent="0.25"/>
    <row r="223693" s="12" customFormat="1" x14ac:dyDescent="0.25"/>
    <row r="223694" s="12" customFormat="1" x14ac:dyDescent="0.25"/>
    <row r="223695" s="12" customFormat="1" x14ac:dyDescent="0.25"/>
    <row r="223696" s="12" customFormat="1" x14ac:dyDescent="0.25"/>
    <row r="223697" s="12" customFormat="1" x14ac:dyDescent="0.25"/>
    <row r="223698" s="12" customFormat="1" x14ac:dyDescent="0.25"/>
    <row r="223699" s="12" customFormat="1" x14ac:dyDescent="0.25"/>
    <row r="223700" s="12" customFormat="1" x14ac:dyDescent="0.25"/>
    <row r="223701" s="12" customFormat="1" x14ac:dyDescent="0.25"/>
    <row r="223702" s="12" customFormat="1" x14ac:dyDescent="0.25"/>
    <row r="223703" s="12" customFormat="1" x14ac:dyDescent="0.25"/>
    <row r="223704" s="12" customFormat="1" x14ac:dyDescent="0.25"/>
    <row r="223705" s="12" customFormat="1" x14ac:dyDescent="0.25"/>
    <row r="223706" s="12" customFormat="1" x14ac:dyDescent="0.25"/>
    <row r="223707" s="12" customFormat="1" x14ac:dyDescent="0.25"/>
    <row r="223708" s="12" customFormat="1" x14ac:dyDescent="0.25"/>
    <row r="223709" s="12" customFormat="1" x14ac:dyDescent="0.25"/>
    <row r="223710" s="12" customFormat="1" x14ac:dyDescent="0.25"/>
    <row r="223711" s="12" customFormat="1" x14ac:dyDescent="0.25"/>
    <row r="223712" s="12" customFormat="1" x14ac:dyDescent="0.25"/>
    <row r="223713" s="12" customFormat="1" x14ac:dyDescent="0.25"/>
    <row r="223714" s="12" customFormat="1" x14ac:dyDescent="0.25"/>
    <row r="223715" s="12" customFormat="1" x14ac:dyDescent="0.25"/>
    <row r="223716" s="12" customFormat="1" x14ac:dyDescent="0.25"/>
    <row r="223717" s="12" customFormat="1" x14ac:dyDescent="0.25"/>
    <row r="223718" s="12" customFormat="1" x14ac:dyDescent="0.25"/>
    <row r="223719" s="12" customFormat="1" x14ac:dyDescent="0.25"/>
    <row r="223720" s="12" customFormat="1" x14ac:dyDescent="0.25"/>
    <row r="223721" s="12" customFormat="1" x14ac:dyDescent="0.25"/>
    <row r="223722" s="12" customFormat="1" x14ac:dyDescent="0.25"/>
    <row r="223723" s="12" customFormat="1" x14ac:dyDescent="0.25"/>
    <row r="223724" s="12" customFormat="1" x14ac:dyDescent="0.25"/>
    <row r="223725" s="12" customFormat="1" x14ac:dyDescent="0.25"/>
    <row r="223726" s="12" customFormat="1" x14ac:dyDescent="0.25"/>
    <row r="223727" s="12" customFormat="1" x14ac:dyDescent="0.25"/>
    <row r="223728" s="12" customFormat="1" x14ac:dyDescent="0.25"/>
    <row r="223729" s="12" customFormat="1" x14ac:dyDescent="0.25"/>
    <row r="223730" s="12" customFormat="1" x14ac:dyDescent="0.25"/>
    <row r="223731" s="12" customFormat="1" x14ac:dyDescent="0.25"/>
    <row r="223732" s="12" customFormat="1" x14ac:dyDescent="0.25"/>
    <row r="223733" s="12" customFormat="1" x14ac:dyDescent="0.25"/>
    <row r="223734" s="12" customFormat="1" x14ac:dyDescent="0.25"/>
    <row r="223735" s="12" customFormat="1" x14ac:dyDescent="0.25"/>
    <row r="223736" s="12" customFormat="1" x14ac:dyDescent="0.25"/>
    <row r="223737" s="12" customFormat="1" x14ac:dyDescent="0.25"/>
    <row r="223738" s="12" customFormat="1" x14ac:dyDescent="0.25"/>
    <row r="223739" s="12" customFormat="1" x14ac:dyDescent="0.25"/>
    <row r="223740" s="12" customFormat="1" x14ac:dyDescent="0.25"/>
    <row r="223741" s="12" customFormat="1" x14ac:dyDescent="0.25"/>
    <row r="223742" s="12" customFormat="1" x14ac:dyDescent="0.25"/>
    <row r="223743" s="12" customFormat="1" x14ac:dyDescent="0.25"/>
    <row r="223744" s="12" customFormat="1" x14ac:dyDescent="0.25"/>
    <row r="223745" s="12" customFormat="1" x14ac:dyDescent="0.25"/>
    <row r="223746" s="12" customFormat="1" x14ac:dyDescent="0.25"/>
    <row r="223747" s="12" customFormat="1" x14ac:dyDescent="0.25"/>
    <row r="223748" s="12" customFormat="1" x14ac:dyDescent="0.25"/>
    <row r="223749" s="12" customFormat="1" x14ac:dyDescent="0.25"/>
    <row r="223750" s="12" customFormat="1" x14ac:dyDescent="0.25"/>
    <row r="223751" s="12" customFormat="1" x14ac:dyDescent="0.25"/>
    <row r="223752" s="12" customFormat="1" x14ac:dyDescent="0.25"/>
    <row r="223753" s="12" customFormat="1" x14ac:dyDescent="0.25"/>
    <row r="223754" s="12" customFormat="1" x14ac:dyDescent="0.25"/>
    <row r="223755" s="12" customFormat="1" x14ac:dyDescent="0.25"/>
    <row r="223756" s="12" customFormat="1" x14ac:dyDescent="0.25"/>
    <row r="223757" s="12" customFormat="1" x14ac:dyDescent="0.25"/>
    <row r="223758" s="12" customFormat="1" x14ac:dyDescent="0.25"/>
    <row r="223759" s="12" customFormat="1" x14ac:dyDescent="0.25"/>
    <row r="223760" s="12" customFormat="1" x14ac:dyDescent="0.25"/>
    <row r="223761" s="12" customFormat="1" x14ac:dyDescent="0.25"/>
    <row r="223762" s="12" customFormat="1" x14ac:dyDescent="0.25"/>
    <row r="223763" s="12" customFormat="1" x14ac:dyDescent="0.25"/>
    <row r="223764" s="12" customFormat="1" x14ac:dyDescent="0.25"/>
    <row r="223765" s="12" customFormat="1" x14ac:dyDescent="0.25"/>
    <row r="223766" s="12" customFormat="1" x14ac:dyDescent="0.25"/>
    <row r="223767" s="12" customFormat="1" x14ac:dyDescent="0.25"/>
    <row r="223768" s="12" customFormat="1" x14ac:dyDescent="0.25"/>
    <row r="223769" s="12" customFormat="1" x14ac:dyDescent="0.25"/>
    <row r="223770" s="12" customFormat="1" x14ac:dyDescent="0.25"/>
    <row r="223771" s="12" customFormat="1" x14ac:dyDescent="0.25"/>
    <row r="223772" s="12" customFormat="1" x14ac:dyDescent="0.25"/>
    <row r="223773" s="12" customFormat="1" x14ac:dyDescent="0.25"/>
    <row r="223774" s="12" customFormat="1" x14ac:dyDescent="0.25"/>
    <row r="223775" s="12" customFormat="1" x14ac:dyDescent="0.25"/>
    <row r="223776" s="12" customFormat="1" x14ac:dyDescent="0.25"/>
    <row r="223777" s="12" customFormat="1" x14ac:dyDescent="0.25"/>
    <row r="223778" s="12" customFormat="1" x14ac:dyDescent="0.25"/>
    <row r="223779" s="12" customFormat="1" x14ac:dyDescent="0.25"/>
    <row r="223780" s="12" customFormat="1" x14ac:dyDescent="0.25"/>
    <row r="223781" s="12" customFormat="1" x14ac:dyDescent="0.25"/>
    <row r="223782" s="12" customFormat="1" x14ac:dyDescent="0.25"/>
    <row r="223783" s="12" customFormat="1" x14ac:dyDescent="0.25"/>
    <row r="223784" s="12" customFormat="1" x14ac:dyDescent="0.25"/>
    <row r="223785" s="12" customFormat="1" x14ac:dyDescent="0.25"/>
    <row r="223786" s="12" customFormat="1" x14ac:dyDescent="0.25"/>
    <row r="223787" s="12" customFormat="1" x14ac:dyDescent="0.25"/>
    <row r="223788" s="12" customFormat="1" x14ac:dyDescent="0.25"/>
    <row r="223789" s="12" customFormat="1" x14ac:dyDescent="0.25"/>
    <row r="223790" s="12" customFormat="1" x14ac:dyDescent="0.25"/>
    <row r="223791" s="12" customFormat="1" x14ac:dyDescent="0.25"/>
    <row r="223792" s="12" customFormat="1" x14ac:dyDescent="0.25"/>
    <row r="223793" s="12" customFormat="1" x14ac:dyDescent="0.25"/>
    <row r="223794" s="12" customFormat="1" x14ac:dyDescent="0.25"/>
    <row r="223795" s="12" customFormat="1" x14ac:dyDescent="0.25"/>
    <row r="223796" s="12" customFormat="1" x14ac:dyDescent="0.25"/>
    <row r="223797" s="12" customFormat="1" x14ac:dyDescent="0.25"/>
    <row r="223798" s="12" customFormat="1" x14ac:dyDescent="0.25"/>
    <row r="223799" s="12" customFormat="1" x14ac:dyDescent="0.25"/>
    <row r="223800" s="12" customFormat="1" x14ac:dyDescent="0.25"/>
    <row r="223801" s="12" customFormat="1" x14ac:dyDescent="0.25"/>
    <row r="223802" s="12" customFormat="1" x14ac:dyDescent="0.25"/>
    <row r="223803" s="12" customFormat="1" x14ac:dyDescent="0.25"/>
    <row r="223804" s="12" customFormat="1" x14ac:dyDescent="0.25"/>
    <row r="223805" s="12" customFormat="1" x14ac:dyDescent="0.25"/>
    <row r="223806" s="12" customFormat="1" x14ac:dyDescent="0.25"/>
    <row r="223807" s="12" customFormat="1" x14ac:dyDescent="0.25"/>
    <row r="223808" s="12" customFormat="1" x14ac:dyDescent="0.25"/>
    <row r="223809" s="12" customFormat="1" x14ac:dyDescent="0.25"/>
    <row r="223810" s="12" customFormat="1" x14ac:dyDescent="0.25"/>
    <row r="223811" s="12" customFormat="1" x14ac:dyDescent="0.25"/>
    <row r="223812" s="12" customFormat="1" x14ac:dyDescent="0.25"/>
    <row r="223813" s="12" customFormat="1" x14ac:dyDescent="0.25"/>
    <row r="223814" s="12" customFormat="1" x14ac:dyDescent="0.25"/>
    <row r="223815" s="12" customFormat="1" x14ac:dyDescent="0.25"/>
    <row r="223816" s="12" customFormat="1" x14ac:dyDescent="0.25"/>
    <row r="223817" s="12" customFormat="1" x14ac:dyDescent="0.25"/>
    <row r="223818" s="12" customFormat="1" x14ac:dyDescent="0.25"/>
    <row r="223819" s="12" customFormat="1" x14ac:dyDescent="0.25"/>
    <row r="223820" s="12" customFormat="1" x14ac:dyDescent="0.25"/>
    <row r="223821" s="12" customFormat="1" x14ac:dyDescent="0.25"/>
    <row r="223822" s="12" customFormat="1" x14ac:dyDescent="0.25"/>
    <row r="223823" s="12" customFormat="1" x14ac:dyDescent="0.25"/>
    <row r="223824" s="12" customFormat="1" x14ac:dyDescent="0.25"/>
    <row r="223825" s="12" customFormat="1" x14ac:dyDescent="0.25"/>
    <row r="223826" s="12" customFormat="1" x14ac:dyDescent="0.25"/>
    <row r="223827" s="12" customFormat="1" x14ac:dyDescent="0.25"/>
    <row r="223828" s="12" customFormat="1" x14ac:dyDescent="0.25"/>
    <row r="223829" s="12" customFormat="1" x14ac:dyDescent="0.25"/>
    <row r="223830" s="12" customFormat="1" x14ac:dyDescent="0.25"/>
    <row r="223831" s="12" customFormat="1" x14ac:dyDescent="0.25"/>
    <row r="223832" s="12" customFormat="1" x14ac:dyDescent="0.25"/>
    <row r="223833" s="12" customFormat="1" x14ac:dyDescent="0.25"/>
    <row r="223834" s="12" customFormat="1" x14ac:dyDescent="0.25"/>
    <row r="223835" s="12" customFormat="1" x14ac:dyDescent="0.25"/>
    <row r="223836" s="12" customFormat="1" x14ac:dyDescent="0.25"/>
    <row r="223837" s="12" customFormat="1" x14ac:dyDescent="0.25"/>
    <row r="223838" s="12" customFormat="1" x14ac:dyDescent="0.25"/>
    <row r="223839" s="12" customFormat="1" x14ac:dyDescent="0.25"/>
    <row r="223840" s="12" customFormat="1" x14ac:dyDescent="0.25"/>
    <row r="223841" s="12" customFormat="1" x14ac:dyDescent="0.25"/>
    <row r="223842" s="12" customFormat="1" x14ac:dyDescent="0.25"/>
    <row r="223843" s="12" customFormat="1" x14ac:dyDescent="0.25"/>
    <row r="223844" s="12" customFormat="1" x14ac:dyDescent="0.25"/>
    <row r="223845" s="12" customFormat="1" x14ac:dyDescent="0.25"/>
    <row r="223846" s="12" customFormat="1" x14ac:dyDescent="0.25"/>
    <row r="223847" s="12" customFormat="1" x14ac:dyDescent="0.25"/>
    <row r="223848" s="12" customFormat="1" x14ac:dyDescent="0.25"/>
    <row r="223849" s="12" customFormat="1" x14ac:dyDescent="0.25"/>
    <row r="223850" s="12" customFormat="1" x14ac:dyDescent="0.25"/>
    <row r="223851" s="12" customFormat="1" x14ac:dyDescent="0.25"/>
    <row r="223852" s="12" customFormat="1" x14ac:dyDescent="0.25"/>
    <row r="223853" s="12" customFormat="1" x14ac:dyDescent="0.25"/>
    <row r="223854" s="12" customFormat="1" x14ac:dyDescent="0.25"/>
    <row r="223855" s="12" customFormat="1" x14ac:dyDescent="0.25"/>
    <row r="223856" s="12" customFormat="1" x14ac:dyDescent="0.25"/>
    <row r="223857" s="12" customFormat="1" x14ac:dyDescent="0.25"/>
    <row r="223858" s="12" customFormat="1" x14ac:dyDescent="0.25"/>
    <row r="223859" s="12" customFormat="1" x14ac:dyDescent="0.25"/>
    <row r="223860" s="12" customFormat="1" x14ac:dyDescent="0.25"/>
    <row r="223861" s="12" customFormat="1" x14ac:dyDescent="0.25"/>
    <row r="223862" s="12" customFormat="1" x14ac:dyDescent="0.25"/>
    <row r="223863" s="12" customFormat="1" x14ac:dyDescent="0.25"/>
    <row r="223864" s="12" customFormat="1" x14ac:dyDescent="0.25"/>
    <row r="223865" s="12" customFormat="1" x14ac:dyDescent="0.25"/>
    <row r="223866" s="12" customFormat="1" x14ac:dyDescent="0.25"/>
    <row r="223867" s="12" customFormat="1" x14ac:dyDescent="0.25"/>
    <row r="223868" s="12" customFormat="1" x14ac:dyDescent="0.25"/>
    <row r="223869" s="12" customFormat="1" x14ac:dyDescent="0.25"/>
    <row r="223870" s="12" customFormat="1" x14ac:dyDescent="0.25"/>
    <row r="223871" s="12" customFormat="1" x14ac:dyDescent="0.25"/>
    <row r="223872" s="12" customFormat="1" x14ac:dyDescent="0.25"/>
    <row r="223873" s="12" customFormat="1" x14ac:dyDescent="0.25"/>
    <row r="223874" s="12" customFormat="1" x14ac:dyDescent="0.25"/>
    <row r="223875" s="12" customFormat="1" x14ac:dyDescent="0.25"/>
    <row r="223876" s="12" customFormat="1" x14ac:dyDescent="0.25"/>
    <row r="223877" s="12" customFormat="1" x14ac:dyDescent="0.25"/>
    <row r="223878" s="12" customFormat="1" x14ac:dyDescent="0.25"/>
    <row r="223879" s="12" customFormat="1" x14ac:dyDescent="0.25"/>
    <row r="223880" s="12" customFormat="1" x14ac:dyDescent="0.25"/>
    <row r="223881" s="12" customFormat="1" x14ac:dyDescent="0.25"/>
    <row r="223882" s="12" customFormat="1" x14ac:dyDescent="0.25"/>
    <row r="223883" s="12" customFormat="1" x14ac:dyDescent="0.25"/>
    <row r="223884" s="12" customFormat="1" x14ac:dyDescent="0.25"/>
    <row r="223885" s="12" customFormat="1" x14ac:dyDescent="0.25"/>
    <row r="223886" s="12" customFormat="1" x14ac:dyDescent="0.25"/>
    <row r="223887" s="12" customFormat="1" x14ac:dyDescent="0.25"/>
    <row r="223888" s="12" customFormat="1" x14ac:dyDescent="0.25"/>
    <row r="223889" s="12" customFormat="1" x14ac:dyDescent="0.25"/>
    <row r="223890" s="12" customFormat="1" x14ac:dyDescent="0.25"/>
    <row r="223891" s="12" customFormat="1" x14ac:dyDescent="0.25"/>
    <row r="223892" s="12" customFormat="1" x14ac:dyDescent="0.25"/>
    <row r="223893" s="12" customFormat="1" x14ac:dyDescent="0.25"/>
    <row r="223894" s="12" customFormat="1" x14ac:dyDescent="0.25"/>
    <row r="223895" s="12" customFormat="1" x14ac:dyDescent="0.25"/>
    <row r="223896" s="12" customFormat="1" x14ac:dyDescent="0.25"/>
    <row r="223897" s="12" customFormat="1" x14ac:dyDescent="0.25"/>
    <row r="223898" s="12" customFormat="1" x14ac:dyDescent="0.25"/>
    <row r="223899" s="12" customFormat="1" x14ac:dyDescent="0.25"/>
    <row r="223900" s="12" customFormat="1" x14ac:dyDescent="0.25"/>
    <row r="223901" s="12" customFormat="1" x14ac:dyDescent="0.25"/>
    <row r="223902" s="12" customFormat="1" x14ac:dyDescent="0.25"/>
    <row r="223903" s="12" customFormat="1" x14ac:dyDescent="0.25"/>
    <row r="223904" s="12" customFormat="1" x14ac:dyDescent="0.25"/>
    <row r="223905" s="12" customFormat="1" x14ac:dyDescent="0.25"/>
    <row r="223906" s="12" customFormat="1" x14ac:dyDescent="0.25"/>
    <row r="223907" s="12" customFormat="1" x14ac:dyDescent="0.25"/>
    <row r="223908" s="12" customFormat="1" x14ac:dyDescent="0.25"/>
    <row r="223909" s="12" customFormat="1" x14ac:dyDescent="0.25"/>
    <row r="223910" s="12" customFormat="1" x14ac:dyDescent="0.25"/>
    <row r="223911" s="12" customFormat="1" x14ac:dyDescent="0.25"/>
    <row r="223912" s="12" customFormat="1" x14ac:dyDescent="0.25"/>
    <row r="223913" s="12" customFormat="1" x14ac:dyDescent="0.25"/>
    <row r="223914" s="12" customFormat="1" x14ac:dyDescent="0.25"/>
    <row r="223915" s="12" customFormat="1" x14ac:dyDescent="0.25"/>
    <row r="223916" s="12" customFormat="1" x14ac:dyDescent="0.25"/>
    <row r="223917" s="12" customFormat="1" x14ac:dyDescent="0.25"/>
    <row r="223918" s="12" customFormat="1" x14ac:dyDescent="0.25"/>
    <row r="223919" s="12" customFormat="1" x14ac:dyDescent="0.25"/>
    <row r="223920" s="12" customFormat="1" x14ac:dyDescent="0.25"/>
    <row r="223921" s="12" customFormat="1" x14ac:dyDescent="0.25"/>
    <row r="223922" s="12" customFormat="1" x14ac:dyDescent="0.25"/>
    <row r="223923" s="12" customFormat="1" x14ac:dyDescent="0.25"/>
    <row r="223924" s="12" customFormat="1" x14ac:dyDescent="0.25"/>
    <row r="223925" s="12" customFormat="1" x14ac:dyDescent="0.25"/>
    <row r="223926" s="12" customFormat="1" x14ac:dyDescent="0.25"/>
    <row r="223927" s="12" customFormat="1" x14ac:dyDescent="0.25"/>
    <row r="223928" s="12" customFormat="1" x14ac:dyDescent="0.25"/>
    <row r="223929" s="12" customFormat="1" x14ac:dyDescent="0.25"/>
    <row r="223930" s="12" customFormat="1" x14ac:dyDescent="0.25"/>
    <row r="223931" s="12" customFormat="1" x14ac:dyDescent="0.25"/>
    <row r="223932" s="12" customFormat="1" x14ac:dyDescent="0.25"/>
    <row r="223933" s="12" customFormat="1" x14ac:dyDescent="0.25"/>
    <row r="223934" s="12" customFormat="1" x14ac:dyDescent="0.25"/>
    <row r="223935" s="12" customFormat="1" x14ac:dyDescent="0.25"/>
    <row r="223936" s="12" customFormat="1" x14ac:dyDescent="0.25"/>
    <row r="223937" s="12" customFormat="1" x14ac:dyDescent="0.25"/>
    <row r="223938" s="12" customFormat="1" x14ac:dyDescent="0.25"/>
    <row r="223939" s="12" customFormat="1" x14ac:dyDescent="0.25"/>
    <row r="223940" s="12" customFormat="1" x14ac:dyDescent="0.25"/>
    <row r="223941" s="12" customFormat="1" x14ac:dyDescent="0.25"/>
    <row r="223942" s="12" customFormat="1" x14ac:dyDescent="0.25"/>
    <row r="223943" s="12" customFormat="1" x14ac:dyDescent="0.25"/>
    <row r="223944" s="12" customFormat="1" x14ac:dyDescent="0.25"/>
    <row r="223945" s="12" customFormat="1" x14ac:dyDescent="0.25"/>
    <row r="223946" s="12" customFormat="1" x14ac:dyDescent="0.25"/>
    <row r="223947" s="12" customFormat="1" x14ac:dyDescent="0.25"/>
    <row r="223948" s="12" customFormat="1" x14ac:dyDescent="0.25"/>
    <row r="223949" s="12" customFormat="1" x14ac:dyDescent="0.25"/>
    <row r="223950" s="12" customFormat="1" x14ac:dyDescent="0.25"/>
    <row r="223951" s="12" customFormat="1" x14ac:dyDescent="0.25"/>
    <row r="223952" s="12" customFormat="1" x14ac:dyDescent="0.25"/>
    <row r="223953" s="12" customFormat="1" x14ac:dyDescent="0.25"/>
    <row r="223954" s="12" customFormat="1" x14ac:dyDescent="0.25"/>
    <row r="223955" s="12" customFormat="1" x14ac:dyDescent="0.25"/>
    <row r="223956" s="12" customFormat="1" x14ac:dyDescent="0.25"/>
    <row r="223957" s="12" customFormat="1" x14ac:dyDescent="0.25"/>
    <row r="223958" s="12" customFormat="1" x14ac:dyDescent="0.25"/>
    <row r="223959" s="12" customFormat="1" x14ac:dyDescent="0.25"/>
    <row r="223960" s="12" customFormat="1" x14ac:dyDescent="0.25"/>
    <row r="223961" s="12" customFormat="1" x14ac:dyDescent="0.25"/>
    <row r="223962" s="12" customFormat="1" x14ac:dyDescent="0.25"/>
    <row r="223963" s="12" customFormat="1" x14ac:dyDescent="0.25"/>
    <row r="223964" s="12" customFormat="1" x14ac:dyDescent="0.25"/>
    <row r="223965" s="12" customFormat="1" x14ac:dyDescent="0.25"/>
    <row r="223966" s="12" customFormat="1" x14ac:dyDescent="0.25"/>
    <row r="223967" s="12" customFormat="1" x14ac:dyDescent="0.25"/>
    <row r="223968" s="12" customFormat="1" x14ac:dyDescent="0.25"/>
    <row r="223969" s="12" customFormat="1" x14ac:dyDescent="0.25"/>
    <row r="223970" s="12" customFormat="1" x14ac:dyDescent="0.25"/>
    <row r="223971" s="12" customFormat="1" x14ac:dyDescent="0.25"/>
    <row r="223972" s="12" customFormat="1" x14ac:dyDescent="0.25"/>
    <row r="223973" s="12" customFormat="1" x14ac:dyDescent="0.25"/>
    <row r="223974" s="12" customFormat="1" x14ac:dyDescent="0.25"/>
    <row r="223975" s="12" customFormat="1" x14ac:dyDescent="0.25"/>
    <row r="223976" s="12" customFormat="1" x14ac:dyDescent="0.25"/>
    <row r="223977" s="12" customFormat="1" x14ac:dyDescent="0.25"/>
    <row r="223978" s="12" customFormat="1" x14ac:dyDescent="0.25"/>
    <row r="223979" s="12" customFormat="1" x14ac:dyDescent="0.25"/>
    <row r="223980" s="12" customFormat="1" x14ac:dyDescent="0.25"/>
    <row r="223981" s="12" customFormat="1" x14ac:dyDescent="0.25"/>
    <row r="223982" s="12" customFormat="1" x14ac:dyDescent="0.25"/>
    <row r="223983" s="12" customFormat="1" x14ac:dyDescent="0.25"/>
    <row r="223984" s="12" customFormat="1" x14ac:dyDescent="0.25"/>
    <row r="223985" s="12" customFormat="1" x14ac:dyDescent="0.25"/>
    <row r="223986" s="12" customFormat="1" x14ac:dyDescent="0.25"/>
    <row r="223987" s="12" customFormat="1" x14ac:dyDescent="0.25"/>
    <row r="223988" s="12" customFormat="1" x14ac:dyDescent="0.25"/>
    <row r="223989" s="12" customFormat="1" x14ac:dyDescent="0.25"/>
    <row r="223990" s="12" customFormat="1" x14ac:dyDescent="0.25"/>
    <row r="223991" s="12" customFormat="1" x14ac:dyDescent="0.25"/>
    <row r="223992" s="12" customFormat="1" x14ac:dyDescent="0.25"/>
    <row r="223993" s="12" customFormat="1" x14ac:dyDescent="0.25"/>
    <row r="223994" s="12" customFormat="1" x14ac:dyDescent="0.25"/>
    <row r="223995" s="12" customFormat="1" x14ac:dyDescent="0.25"/>
    <row r="223996" s="12" customFormat="1" x14ac:dyDescent="0.25"/>
    <row r="223997" s="12" customFormat="1" x14ac:dyDescent="0.25"/>
    <row r="223998" s="12" customFormat="1" x14ac:dyDescent="0.25"/>
    <row r="223999" s="12" customFormat="1" x14ac:dyDescent="0.25"/>
    <row r="224000" s="12" customFormat="1" x14ac:dyDescent="0.25"/>
    <row r="224001" s="12" customFormat="1" x14ac:dyDescent="0.25"/>
    <row r="224002" s="12" customFormat="1" x14ac:dyDescent="0.25"/>
    <row r="224003" s="12" customFormat="1" x14ac:dyDescent="0.25"/>
    <row r="224004" s="12" customFormat="1" x14ac:dyDescent="0.25"/>
    <row r="224005" s="12" customFormat="1" x14ac:dyDescent="0.25"/>
    <row r="224006" s="12" customFormat="1" x14ac:dyDescent="0.25"/>
    <row r="224007" s="12" customFormat="1" x14ac:dyDescent="0.25"/>
    <row r="224008" s="12" customFormat="1" x14ac:dyDescent="0.25"/>
    <row r="224009" s="12" customFormat="1" x14ac:dyDescent="0.25"/>
    <row r="224010" s="12" customFormat="1" x14ac:dyDescent="0.25"/>
    <row r="224011" s="12" customFormat="1" x14ac:dyDescent="0.25"/>
    <row r="224012" s="12" customFormat="1" x14ac:dyDescent="0.25"/>
    <row r="224013" s="12" customFormat="1" x14ac:dyDescent="0.25"/>
    <row r="224014" s="12" customFormat="1" x14ac:dyDescent="0.25"/>
    <row r="224015" s="12" customFormat="1" x14ac:dyDescent="0.25"/>
    <row r="224016" s="12" customFormat="1" x14ac:dyDescent="0.25"/>
    <row r="224017" s="12" customFormat="1" x14ac:dyDescent="0.25"/>
    <row r="224018" s="12" customFormat="1" x14ac:dyDescent="0.25"/>
    <row r="224019" s="12" customFormat="1" x14ac:dyDescent="0.25"/>
    <row r="224020" s="12" customFormat="1" x14ac:dyDescent="0.25"/>
    <row r="224021" s="12" customFormat="1" x14ac:dyDescent="0.25"/>
    <row r="224022" s="12" customFormat="1" x14ac:dyDescent="0.25"/>
    <row r="224023" s="12" customFormat="1" x14ac:dyDescent="0.25"/>
    <row r="224024" s="12" customFormat="1" x14ac:dyDescent="0.25"/>
    <row r="224025" s="12" customFormat="1" x14ac:dyDescent="0.25"/>
    <row r="224026" s="12" customFormat="1" x14ac:dyDescent="0.25"/>
    <row r="224027" s="12" customFormat="1" x14ac:dyDescent="0.25"/>
    <row r="224028" s="12" customFormat="1" x14ac:dyDescent="0.25"/>
    <row r="224029" s="12" customFormat="1" x14ac:dyDescent="0.25"/>
    <row r="224030" s="12" customFormat="1" x14ac:dyDescent="0.25"/>
    <row r="224031" s="12" customFormat="1" x14ac:dyDescent="0.25"/>
    <row r="224032" s="12" customFormat="1" x14ac:dyDescent="0.25"/>
    <row r="224033" s="12" customFormat="1" x14ac:dyDescent="0.25"/>
    <row r="224034" s="12" customFormat="1" x14ac:dyDescent="0.25"/>
    <row r="224035" s="12" customFormat="1" x14ac:dyDescent="0.25"/>
    <row r="224036" s="12" customFormat="1" x14ac:dyDescent="0.25"/>
    <row r="224037" s="12" customFormat="1" x14ac:dyDescent="0.25"/>
    <row r="224038" s="12" customFormat="1" x14ac:dyDescent="0.25"/>
    <row r="224039" s="12" customFormat="1" x14ac:dyDescent="0.25"/>
    <row r="224040" s="12" customFormat="1" x14ac:dyDescent="0.25"/>
    <row r="224041" s="12" customFormat="1" x14ac:dyDescent="0.25"/>
    <row r="224042" s="12" customFormat="1" x14ac:dyDescent="0.25"/>
    <row r="224043" s="12" customFormat="1" x14ac:dyDescent="0.25"/>
    <row r="224044" s="12" customFormat="1" x14ac:dyDescent="0.25"/>
    <row r="224045" s="12" customFormat="1" x14ac:dyDescent="0.25"/>
    <row r="224046" s="12" customFormat="1" x14ac:dyDescent="0.25"/>
    <row r="224047" s="12" customFormat="1" x14ac:dyDescent="0.25"/>
    <row r="224048" s="12" customFormat="1" x14ac:dyDescent="0.25"/>
    <row r="224049" s="12" customFormat="1" x14ac:dyDescent="0.25"/>
    <row r="224050" s="12" customFormat="1" x14ac:dyDescent="0.25"/>
    <row r="224051" s="12" customFormat="1" x14ac:dyDescent="0.25"/>
    <row r="224052" s="12" customFormat="1" x14ac:dyDescent="0.25"/>
    <row r="224053" s="12" customFormat="1" x14ac:dyDescent="0.25"/>
    <row r="224054" s="12" customFormat="1" x14ac:dyDescent="0.25"/>
    <row r="224055" s="12" customFormat="1" x14ac:dyDescent="0.25"/>
    <row r="224056" s="12" customFormat="1" x14ac:dyDescent="0.25"/>
    <row r="224057" s="12" customFormat="1" x14ac:dyDescent="0.25"/>
    <row r="224058" s="12" customFormat="1" x14ac:dyDescent="0.25"/>
    <row r="224059" s="12" customFormat="1" x14ac:dyDescent="0.25"/>
    <row r="224060" s="12" customFormat="1" x14ac:dyDescent="0.25"/>
    <row r="224061" s="12" customFormat="1" x14ac:dyDescent="0.25"/>
    <row r="224062" s="12" customFormat="1" x14ac:dyDescent="0.25"/>
    <row r="224063" s="12" customFormat="1" x14ac:dyDescent="0.25"/>
    <row r="224064" s="12" customFormat="1" x14ac:dyDescent="0.25"/>
    <row r="224065" s="12" customFormat="1" x14ac:dyDescent="0.25"/>
    <row r="224066" s="12" customFormat="1" x14ac:dyDescent="0.25"/>
    <row r="224067" s="12" customFormat="1" x14ac:dyDescent="0.25"/>
    <row r="224068" s="12" customFormat="1" x14ac:dyDescent="0.25"/>
    <row r="224069" s="12" customFormat="1" x14ac:dyDescent="0.25"/>
    <row r="224070" s="12" customFormat="1" x14ac:dyDescent="0.25"/>
    <row r="224071" s="12" customFormat="1" x14ac:dyDescent="0.25"/>
    <row r="224072" s="12" customFormat="1" x14ac:dyDescent="0.25"/>
    <row r="224073" s="12" customFormat="1" x14ac:dyDescent="0.25"/>
    <row r="224074" s="12" customFormat="1" x14ac:dyDescent="0.25"/>
    <row r="224075" s="12" customFormat="1" x14ac:dyDescent="0.25"/>
    <row r="224076" s="12" customFormat="1" x14ac:dyDescent="0.25"/>
    <row r="224077" s="12" customFormat="1" x14ac:dyDescent="0.25"/>
    <row r="224078" s="12" customFormat="1" x14ac:dyDescent="0.25"/>
    <row r="224079" s="12" customFormat="1" x14ac:dyDescent="0.25"/>
    <row r="224080" s="12" customFormat="1" x14ac:dyDescent="0.25"/>
    <row r="224081" s="12" customFormat="1" x14ac:dyDescent="0.25"/>
    <row r="224082" s="12" customFormat="1" x14ac:dyDescent="0.25"/>
    <row r="224083" s="12" customFormat="1" x14ac:dyDescent="0.25"/>
    <row r="224084" s="12" customFormat="1" x14ac:dyDescent="0.25"/>
    <row r="224085" s="12" customFormat="1" x14ac:dyDescent="0.25"/>
    <row r="224086" s="12" customFormat="1" x14ac:dyDescent="0.25"/>
    <row r="224087" s="12" customFormat="1" x14ac:dyDescent="0.25"/>
    <row r="224088" s="12" customFormat="1" x14ac:dyDescent="0.25"/>
    <row r="224089" s="12" customFormat="1" x14ac:dyDescent="0.25"/>
    <row r="224090" s="12" customFormat="1" x14ac:dyDescent="0.25"/>
    <row r="224091" s="12" customFormat="1" x14ac:dyDescent="0.25"/>
    <row r="224092" s="12" customFormat="1" x14ac:dyDescent="0.25"/>
    <row r="224093" s="12" customFormat="1" x14ac:dyDescent="0.25"/>
    <row r="224094" s="12" customFormat="1" x14ac:dyDescent="0.25"/>
    <row r="224095" s="12" customFormat="1" x14ac:dyDescent="0.25"/>
    <row r="224096" s="12" customFormat="1" x14ac:dyDescent="0.25"/>
    <row r="224097" s="12" customFormat="1" x14ac:dyDescent="0.25"/>
    <row r="224098" s="12" customFormat="1" x14ac:dyDescent="0.25"/>
    <row r="224099" s="12" customFormat="1" x14ac:dyDescent="0.25"/>
    <row r="224100" s="12" customFormat="1" x14ac:dyDescent="0.25"/>
    <row r="224101" s="12" customFormat="1" x14ac:dyDescent="0.25"/>
    <row r="224102" s="12" customFormat="1" x14ac:dyDescent="0.25"/>
    <row r="224103" s="12" customFormat="1" x14ac:dyDescent="0.25"/>
    <row r="224104" s="12" customFormat="1" x14ac:dyDescent="0.25"/>
    <row r="224105" s="12" customFormat="1" x14ac:dyDescent="0.25"/>
    <row r="224106" s="12" customFormat="1" x14ac:dyDescent="0.25"/>
    <row r="224107" s="12" customFormat="1" x14ac:dyDescent="0.25"/>
    <row r="224108" s="12" customFormat="1" x14ac:dyDescent="0.25"/>
    <row r="224109" s="12" customFormat="1" x14ac:dyDescent="0.25"/>
    <row r="224110" s="12" customFormat="1" x14ac:dyDescent="0.25"/>
    <row r="224111" s="12" customFormat="1" x14ac:dyDescent="0.25"/>
    <row r="224112" s="12" customFormat="1" x14ac:dyDescent="0.25"/>
    <row r="224113" s="12" customFormat="1" x14ac:dyDescent="0.25"/>
    <row r="224114" s="12" customFormat="1" x14ac:dyDescent="0.25"/>
    <row r="224115" s="12" customFormat="1" x14ac:dyDescent="0.25"/>
    <row r="224116" s="12" customFormat="1" x14ac:dyDescent="0.25"/>
    <row r="224117" s="12" customFormat="1" x14ac:dyDescent="0.25"/>
    <row r="224118" s="12" customFormat="1" x14ac:dyDescent="0.25"/>
    <row r="224119" s="12" customFormat="1" x14ac:dyDescent="0.25"/>
    <row r="224120" s="12" customFormat="1" x14ac:dyDescent="0.25"/>
    <row r="224121" s="12" customFormat="1" x14ac:dyDescent="0.25"/>
    <row r="224122" s="12" customFormat="1" x14ac:dyDescent="0.25"/>
    <row r="224123" s="12" customFormat="1" x14ac:dyDescent="0.25"/>
    <row r="224124" s="12" customFormat="1" x14ac:dyDescent="0.25"/>
    <row r="224125" s="12" customFormat="1" x14ac:dyDescent="0.25"/>
    <row r="224126" s="12" customFormat="1" x14ac:dyDescent="0.25"/>
    <row r="224127" s="12" customFormat="1" x14ac:dyDescent="0.25"/>
    <row r="224128" s="12" customFormat="1" x14ac:dyDescent="0.25"/>
    <row r="224129" s="12" customFormat="1" x14ac:dyDescent="0.25"/>
    <row r="224130" s="12" customFormat="1" x14ac:dyDescent="0.25"/>
    <row r="224131" s="12" customFormat="1" x14ac:dyDescent="0.25"/>
    <row r="224132" s="12" customFormat="1" x14ac:dyDescent="0.25"/>
    <row r="224133" s="12" customFormat="1" x14ac:dyDescent="0.25"/>
    <row r="224134" s="12" customFormat="1" x14ac:dyDescent="0.25"/>
    <row r="224135" s="12" customFormat="1" x14ac:dyDescent="0.25"/>
    <row r="224136" s="12" customFormat="1" x14ac:dyDescent="0.25"/>
    <row r="224137" s="12" customFormat="1" x14ac:dyDescent="0.25"/>
    <row r="224138" s="12" customFormat="1" x14ac:dyDescent="0.25"/>
    <row r="224139" s="12" customFormat="1" x14ac:dyDescent="0.25"/>
    <row r="224140" s="12" customFormat="1" x14ac:dyDescent="0.25"/>
    <row r="224141" s="12" customFormat="1" x14ac:dyDescent="0.25"/>
    <row r="224142" s="12" customFormat="1" x14ac:dyDescent="0.25"/>
    <row r="224143" s="12" customFormat="1" x14ac:dyDescent="0.25"/>
    <row r="224144" s="12" customFormat="1" x14ac:dyDescent="0.25"/>
    <row r="224145" s="12" customFormat="1" x14ac:dyDescent="0.25"/>
    <row r="224146" s="12" customFormat="1" x14ac:dyDescent="0.25"/>
    <row r="224147" s="12" customFormat="1" x14ac:dyDescent="0.25"/>
    <row r="224148" s="12" customFormat="1" x14ac:dyDescent="0.25"/>
    <row r="224149" s="12" customFormat="1" x14ac:dyDescent="0.25"/>
    <row r="224150" s="12" customFormat="1" x14ac:dyDescent="0.25"/>
    <row r="224151" s="12" customFormat="1" x14ac:dyDescent="0.25"/>
    <row r="224152" s="12" customFormat="1" x14ac:dyDescent="0.25"/>
    <row r="224153" s="12" customFormat="1" x14ac:dyDescent="0.25"/>
    <row r="224154" s="12" customFormat="1" x14ac:dyDescent="0.25"/>
    <row r="224155" s="12" customFormat="1" x14ac:dyDescent="0.25"/>
    <row r="224156" s="12" customFormat="1" x14ac:dyDescent="0.25"/>
    <row r="224157" s="12" customFormat="1" x14ac:dyDescent="0.25"/>
    <row r="224158" s="12" customFormat="1" x14ac:dyDescent="0.25"/>
    <row r="224159" s="12" customFormat="1" x14ac:dyDescent="0.25"/>
    <row r="224160" s="12" customFormat="1" x14ac:dyDescent="0.25"/>
    <row r="224161" s="12" customFormat="1" x14ac:dyDescent="0.25"/>
    <row r="224162" s="12" customFormat="1" x14ac:dyDescent="0.25"/>
    <row r="224163" s="12" customFormat="1" x14ac:dyDescent="0.25"/>
    <row r="224164" s="12" customFormat="1" x14ac:dyDescent="0.25"/>
    <row r="224165" s="12" customFormat="1" x14ac:dyDescent="0.25"/>
    <row r="224166" s="12" customFormat="1" x14ac:dyDescent="0.25"/>
    <row r="224167" s="12" customFormat="1" x14ac:dyDescent="0.25"/>
    <row r="224168" s="12" customFormat="1" x14ac:dyDescent="0.25"/>
    <row r="224169" s="12" customFormat="1" x14ac:dyDescent="0.25"/>
    <row r="224170" s="12" customFormat="1" x14ac:dyDescent="0.25"/>
    <row r="224171" s="12" customFormat="1" x14ac:dyDescent="0.25"/>
    <row r="224172" s="12" customFormat="1" x14ac:dyDescent="0.25"/>
    <row r="224173" s="12" customFormat="1" x14ac:dyDescent="0.25"/>
    <row r="224174" s="12" customFormat="1" x14ac:dyDescent="0.25"/>
    <row r="224175" s="12" customFormat="1" x14ac:dyDescent="0.25"/>
    <row r="224176" s="12" customFormat="1" x14ac:dyDescent="0.25"/>
    <row r="224177" s="12" customFormat="1" x14ac:dyDescent="0.25"/>
    <row r="224178" s="12" customFormat="1" x14ac:dyDescent="0.25"/>
    <row r="224179" s="12" customFormat="1" x14ac:dyDescent="0.25"/>
    <row r="224180" s="12" customFormat="1" x14ac:dyDescent="0.25"/>
    <row r="224181" s="12" customFormat="1" x14ac:dyDescent="0.25"/>
    <row r="224182" s="12" customFormat="1" x14ac:dyDescent="0.25"/>
    <row r="224183" s="12" customFormat="1" x14ac:dyDescent="0.25"/>
    <row r="224184" s="12" customFormat="1" x14ac:dyDescent="0.25"/>
    <row r="224185" s="12" customFormat="1" x14ac:dyDescent="0.25"/>
    <row r="224186" s="12" customFormat="1" x14ac:dyDescent="0.25"/>
    <row r="224187" s="12" customFormat="1" x14ac:dyDescent="0.25"/>
    <row r="224188" s="12" customFormat="1" x14ac:dyDescent="0.25"/>
    <row r="224189" s="12" customFormat="1" x14ac:dyDescent="0.25"/>
    <row r="224190" s="12" customFormat="1" x14ac:dyDescent="0.25"/>
    <row r="224191" s="12" customFormat="1" x14ac:dyDescent="0.25"/>
    <row r="224192" s="12" customFormat="1" x14ac:dyDescent="0.25"/>
    <row r="224193" s="12" customFormat="1" x14ac:dyDescent="0.25"/>
    <row r="224194" s="12" customFormat="1" x14ac:dyDescent="0.25"/>
    <row r="224195" s="12" customFormat="1" x14ac:dyDescent="0.25"/>
    <row r="224196" s="12" customFormat="1" x14ac:dyDescent="0.25"/>
    <row r="224197" s="12" customFormat="1" x14ac:dyDescent="0.25"/>
    <row r="224198" s="12" customFormat="1" x14ac:dyDescent="0.25"/>
    <row r="224199" s="12" customFormat="1" x14ac:dyDescent="0.25"/>
    <row r="224200" s="12" customFormat="1" x14ac:dyDescent="0.25"/>
    <row r="224201" s="12" customFormat="1" x14ac:dyDescent="0.25"/>
    <row r="224202" s="12" customFormat="1" x14ac:dyDescent="0.25"/>
    <row r="224203" s="12" customFormat="1" x14ac:dyDescent="0.25"/>
    <row r="224204" s="12" customFormat="1" x14ac:dyDescent="0.25"/>
    <row r="224205" s="12" customFormat="1" x14ac:dyDescent="0.25"/>
    <row r="224206" s="12" customFormat="1" x14ac:dyDescent="0.25"/>
    <row r="224207" s="12" customFormat="1" x14ac:dyDescent="0.25"/>
    <row r="224208" s="12" customFormat="1" x14ac:dyDescent="0.25"/>
    <row r="224209" s="12" customFormat="1" x14ac:dyDescent="0.25"/>
    <row r="224210" s="12" customFormat="1" x14ac:dyDescent="0.25"/>
    <row r="224211" s="12" customFormat="1" x14ac:dyDescent="0.25"/>
    <row r="224212" s="12" customFormat="1" x14ac:dyDescent="0.25"/>
    <row r="224213" s="12" customFormat="1" x14ac:dyDescent="0.25"/>
    <row r="224214" s="12" customFormat="1" x14ac:dyDescent="0.25"/>
    <row r="224215" s="12" customFormat="1" x14ac:dyDescent="0.25"/>
    <row r="224216" s="12" customFormat="1" x14ac:dyDescent="0.25"/>
    <row r="224217" s="12" customFormat="1" x14ac:dyDescent="0.25"/>
    <row r="224218" s="12" customFormat="1" x14ac:dyDescent="0.25"/>
    <row r="224219" s="12" customFormat="1" x14ac:dyDescent="0.25"/>
    <row r="224220" s="12" customFormat="1" x14ac:dyDescent="0.25"/>
    <row r="224221" s="12" customFormat="1" x14ac:dyDescent="0.25"/>
    <row r="224222" s="12" customFormat="1" x14ac:dyDescent="0.25"/>
    <row r="224223" s="12" customFormat="1" x14ac:dyDescent="0.25"/>
    <row r="224224" s="12" customFormat="1" x14ac:dyDescent="0.25"/>
    <row r="224225" s="12" customFormat="1" x14ac:dyDescent="0.25"/>
    <row r="224226" s="12" customFormat="1" x14ac:dyDescent="0.25"/>
    <row r="224227" s="12" customFormat="1" x14ac:dyDescent="0.25"/>
    <row r="224228" s="12" customFormat="1" x14ac:dyDescent="0.25"/>
    <row r="224229" s="12" customFormat="1" x14ac:dyDescent="0.25"/>
    <row r="224230" s="12" customFormat="1" x14ac:dyDescent="0.25"/>
    <row r="224231" s="12" customFormat="1" x14ac:dyDescent="0.25"/>
    <row r="224232" s="12" customFormat="1" x14ac:dyDescent="0.25"/>
    <row r="224233" s="12" customFormat="1" x14ac:dyDescent="0.25"/>
    <row r="224234" s="12" customFormat="1" x14ac:dyDescent="0.25"/>
    <row r="224235" s="12" customFormat="1" x14ac:dyDescent="0.25"/>
    <row r="224236" s="12" customFormat="1" x14ac:dyDescent="0.25"/>
    <row r="224237" s="12" customFormat="1" x14ac:dyDescent="0.25"/>
    <row r="224238" s="12" customFormat="1" x14ac:dyDescent="0.25"/>
    <row r="224239" s="12" customFormat="1" x14ac:dyDescent="0.25"/>
    <row r="224240" s="12" customFormat="1" x14ac:dyDescent="0.25"/>
    <row r="224241" s="12" customFormat="1" x14ac:dyDescent="0.25"/>
    <row r="224242" s="12" customFormat="1" x14ac:dyDescent="0.25"/>
    <row r="224243" s="12" customFormat="1" x14ac:dyDescent="0.25"/>
    <row r="224244" s="12" customFormat="1" x14ac:dyDescent="0.25"/>
    <row r="224245" s="12" customFormat="1" x14ac:dyDescent="0.25"/>
    <row r="224246" s="12" customFormat="1" x14ac:dyDescent="0.25"/>
    <row r="224247" s="12" customFormat="1" x14ac:dyDescent="0.25"/>
    <row r="224248" s="12" customFormat="1" x14ac:dyDescent="0.25"/>
    <row r="224249" s="12" customFormat="1" x14ac:dyDescent="0.25"/>
    <row r="224250" s="12" customFormat="1" x14ac:dyDescent="0.25"/>
    <row r="224251" s="12" customFormat="1" x14ac:dyDescent="0.25"/>
    <row r="224252" s="12" customFormat="1" x14ac:dyDescent="0.25"/>
    <row r="224253" s="12" customFormat="1" x14ac:dyDescent="0.25"/>
    <row r="224254" s="12" customFormat="1" x14ac:dyDescent="0.25"/>
    <row r="224255" s="12" customFormat="1" x14ac:dyDescent="0.25"/>
    <row r="224256" s="12" customFormat="1" x14ac:dyDescent="0.25"/>
    <row r="224257" s="12" customFormat="1" x14ac:dyDescent="0.25"/>
    <row r="224258" s="12" customFormat="1" x14ac:dyDescent="0.25"/>
    <row r="224259" s="12" customFormat="1" x14ac:dyDescent="0.25"/>
    <row r="224260" s="12" customFormat="1" x14ac:dyDescent="0.25"/>
    <row r="224261" s="12" customFormat="1" x14ac:dyDescent="0.25"/>
    <row r="224262" s="12" customFormat="1" x14ac:dyDescent="0.25"/>
    <row r="224263" s="12" customFormat="1" x14ac:dyDescent="0.25"/>
    <row r="224264" s="12" customFormat="1" x14ac:dyDescent="0.25"/>
    <row r="224265" s="12" customFormat="1" x14ac:dyDescent="0.25"/>
    <row r="224266" s="12" customFormat="1" x14ac:dyDescent="0.25"/>
    <row r="224267" s="12" customFormat="1" x14ac:dyDescent="0.25"/>
    <row r="224268" s="12" customFormat="1" x14ac:dyDescent="0.25"/>
    <row r="224269" s="12" customFormat="1" x14ac:dyDescent="0.25"/>
    <row r="224270" s="12" customFormat="1" x14ac:dyDescent="0.25"/>
    <row r="224271" s="12" customFormat="1" x14ac:dyDescent="0.25"/>
    <row r="224272" s="12" customFormat="1" x14ac:dyDescent="0.25"/>
    <row r="224273" s="12" customFormat="1" x14ac:dyDescent="0.25"/>
    <row r="224274" s="12" customFormat="1" x14ac:dyDescent="0.25"/>
    <row r="224275" s="12" customFormat="1" x14ac:dyDescent="0.25"/>
    <row r="224276" s="12" customFormat="1" x14ac:dyDescent="0.25"/>
    <row r="224277" s="12" customFormat="1" x14ac:dyDescent="0.25"/>
    <row r="224278" s="12" customFormat="1" x14ac:dyDescent="0.25"/>
    <row r="224279" s="12" customFormat="1" x14ac:dyDescent="0.25"/>
    <row r="224280" s="12" customFormat="1" x14ac:dyDescent="0.25"/>
    <row r="224281" s="12" customFormat="1" x14ac:dyDescent="0.25"/>
    <row r="224282" s="12" customFormat="1" x14ac:dyDescent="0.25"/>
    <row r="224283" s="12" customFormat="1" x14ac:dyDescent="0.25"/>
    <row r="224284" s="12" customFormat="1" x14ac:dyDescent="0.25"/>
    <row r="224285" s="12" customFormat="1" x14ac:dyDescent="0.25"/>
    <row r="224286" s="12" customFormat="1" x14ac:dyDescent="0.25"/>
    <row r="224287" s="12" customFormat="1" x14ac:dyDescent="0.25"/>
    <row r="224288" s="12" customFormat="1" x14ac:dyDescent="0.25"/>
    <row r="224289" s="12" customFormat="1" x14ac:dyDescent="0.25"/>
    <row r="224290" s="12" customFormat="1" x14ac:dyDescent="0.25"/>
    <row r="224291" s="12" customFormat="1" x14ac:dyDescent="0.25"/>
    <row r="224292" s="12" customFormat="1" x14ac:dyDescent="0.25"/>
    <row r="224293" s="12" customFormat="1" x14ac:dyDescent="0.25"/>
    <row r="224294" s="12" customFormat="1" x14ac:dyDescent="0.25"/>
    <row r="224295" s="12" customFormat="1" x14ac:dyDescent="0.25"/>
    <row r="224296" s="12" customFormat="1" x14ac:dyDescent="0.25"/>
    <row r="224297" s="12" customFormat="1" x14ac:dyDescent="0.25"/>
    <row r="224298" s="12" customFormat="1" x14ac:dyDescent="0.25"/>
    <row r="224299" s="12" customFormat="1" x14ac:dyDescent="0.25"/>
    <row r="224300" s="12" customFormat="1" x14ac:dyDescent="0.25"/>
    <row r="224301" s="12" customFormat="1" x14ac:dyDescent="0.25"/>
    <row r="224302" s="12" customFormat="1" x14ac:dyDescent="0.25"/>
    <row r="224303" s="12" customFormat="1" x14ac:dyDescent="0.25"/>
    <row r="224304" s="12" customFormat="1" x14ac:dyDescent="0.25"/>
    <row r="224305" s="12" customFormat="1" x14ac:dyDescent="0.25"/>
    <row r="224306" s="12" customFormat="1" x14ac:dyDescent="0.25"/>
    <row r="224307" s="12" customFormat="1" x14ac:dyDescent="0.25"/>
    <row r="224308" s="12" customFormat="1" x14ac:dyDescent="0.25"/>
    <row r="224309" s="12" customFormat="1" x14ac:dyDescent="0.25"/>
    <row r="224310" s="12" customFormat="1" x14ac:dyDescent="0.25"/>
    <row r="224311" s="12" customFormat="1" x14ac:dyDescent="0.25"/>
    <row r="224312" s="12" customFormat="1" x14ac:dyDescent="0.25"/>
    <row r="224313" s="12" customFormat="1" x14ac:dyDescent="0.25"/>
    <row r="224314" s="12" customFormat="1" x14ac:dyDescent="0.25"/>
    <row r="224315" s="12" customFormat="1" x14ac:dyDescent="0.25"/>
    <row r="224316" s="12" customFormat="1" x14ac:dyDescent="0.25"/>
    <row r="224317" s="12" customFormat="1" x14ac:dyDescent="0.25"/>
    <row r="224318" s="12" customFormat="1" x14ac:dyDescent="0.25"/>
    <row r="224319" s="12" customFormat="1" x14ac:dyDescent="0.25"/>
    <row r="224320" s="12" customFormat="1" x14ac:dyDescent="0.25"/>
    <row r="224321" s="12" customFormat="1" x14ac:dyDescent="0.25"/>
    <row r="224322" s="12" customFormat="1" x14ac:dyDescent="0.25"/>
    <row r="224323" s="12" customFormat="1" x14ac:dyDescent="0.25"/>
    <row r="224324" s="12" customFormat="1" x14ac:dyDescent="0.25"/>
    <row r="224325" s="12" customFormat="1" x14ac:dyDescent="0.25"/>
    <row r="224326" s="12" customFormat="1" x14ac:dyDescent="0.25"/>
    <row r="224327" s="12" customFormat="1" x14ac:dyDescent="0.25"/>
    <row r="224328" s="12" customFormat="1" x14ac:dyDescent="0.25"/>
    <row r="224329" s="12" customFormat="1" x14ac:dyDescent="0.25"/>
    <row r="224330" s="12" customFormat="1" x14ac:dyDescent="0.25"/>
    <row r="224331" s="12" customFormat="1" x14ac:dyDescent="0.25"/>
    <row r="224332" s="12" customFormat="1" x14ac:dyDescent="0.25"/>
    <row r="224333" s="12" customFormat="1" x14ac:dyDescent="0.25"/>
    <row r="224334" s="12" customFormat="1" x14ac:dyDescent="0.25"/>
    <row r="224335" s="12" customFormat="1" x14ac:dyDescent="0.25"/>
    <row r="224336" s="12" customFormat="1" x14ac:dyDescent="0.25"/>
    <row r="224337" s="12" customFormat="1" x14ac:dyDescent="0.25"/>
    <row r="224338" s="12" customFormat="1" x14ac:dyDescent="0.25"/>
    <row r="224339" s="12" customFormat="1" x14ac:dyDescent="0.25"/>
    <row r="224340" s="12" customFormat="1" x14ac:dyDescent="0.25"/>
    <row r="224341" s="12" customFormat="1" x14ac:dyDescent="0.25"/>
    <row r="224342" s="12" customFormat="1" x14ac:dyDescent="0.25"/>
    <row r="224343" s="12" customFormat="1" x14ac:dyDescent="0.25"/>
    <row r="224344" s="12" customFormat="1" x14ac:dyDescent="0.25"/>
    <row r="224345" s="12" customFormat="1" x14ac:dyDescent="0.25"/>
    <row r="224346" s="12" customFormat="1" x14ac:dyDescent="0.25"/>
    <row r="224347" s="12" customFormat="1" x14ac:dyDescent="0.25"/>
    <row r="224348" s="12" customFormat="1" x14ac:dyDescent="0.25"/>
    <row r="224349" s="12" customFormat="1" x14ac:dyDescent="0.25"/>
    <row r="224350" s="12" customFormat="1" x14ac:dyDescent="0.25"/>
    <row r="224351" s="12" customFormat="1" x14ac:dyDescent="0.25"/>
    <row r="224352" s="12" customFormat="1" x14ac:dyDescent="0.25"/>
    <row r="224353" s="12" customFormat="1" x14ac:dyDescent="0.25"/>
    <row r="224354" s="12" customFormat="1" x14ac:dyDescent="0.25"/>
    <row r="224355" s="12" customFormat="1" x14ac:dyDescent="0.25"/>
    <row r="224356" s="12" customFormat="1" x14ac:dyDescent="0.25"/>
    <row r="224357" s="12" customFormat="1" x14ac:dyDescent="0.25"/>
    <row r="224358" s="12" customFormat="1" x14ac:dyDescent="0.25"/>
    <row r="224359" s="12" customFormat="1" x14ac:dyDescent="0.25"/>
    <row r="224360" s="12" customFormat="1" x14ac:dyDescent="0.25"/>
    <row r="224361" s="12" customFormat="1" x14ac:dyDescent="0.25"/>
    <row r="224362" s="12" customFormat="1" x14ac:dyDescent="0.25"/>
    <row r="224363" s="12" customFormat="1" x14ac:dyDescent="0.25"/>
    <row r="224364" s="12" customFormat="1" x14ac:dyDescent="0.25"/>
    <row r="224365" s="12" customFormat="1" x14ac:dyDescent="0.25"/>
    <row r="224366" s="12" customFormat="1" x14ac:dyDescent="0.25"/>
    <row r="224367" s="12" customFormat="1" x14ac:dyDescent="0.25"/>
    <row r="224368" s="12" customFormat="1" x14ac:dyDescent="0.25"/>
    <row r="224369" s="12" customFormat="1" x14ac:dyDescent="0.25"/>
    <row r="224370" s="12" customFormat="1" x14ac:dyDescent="0.25"/>
    <row r="224371" s="12" customFormat="1" x14ac:dyDescent="0.25"/>
    <row r="224372" s="12" customFormat="1" x14ac:dyDescent="0.25"/>
    <row r="224373" s="12" customFormat="1" x14ac:dyDescent="0.25"/>
    <row r="224374" s="12" customFormat="1" x14ac:dyDescent="0.25"/>
    <row r="224375" s="12" customFormat="1" x14ac:dyDescent="0.25"/>
    <row r="224376" s="12" customFormat="1" x14ac:dyDescent="0.25"/>
    <row r="224377" s="12" customFormat="1" x14ac:dyDescent="0.25"/>
    <row r="224378" s="12" customFormat="1" x14ac:dyDescent="0.25"/>
    <row r="224379" s="12" customFormat="1" x14ac:dyDescent="0.25"/>
    <row r="224380" s="12" customFormat="1" x14ac:dyDescent="0.25"/>
    <row r="224381" s="12" customFormat="1" x14ac:dyDescent="0.25"/>
    <row r="224382" s="12" customFormat="1" x14ac:dyDescent="0.25"/>
    <row r="224383" s="12" customFormat="1" x14ac:dyDescent="0.25"/>
    <row r="224384" s="12" customFormat="1" x14ac:dyDescent="0.25"/>
    <row r="224385" s="12" customFormat="1" x14ac:dyDescent="0.25"/>
    <row r="224386" s="12" customFormat="1" x14ac:dyDescent="0.25"/>
    <row r="224387" s="12" customFormat="1" x14ac:dyDescent="0.25"/>
    <row r="224388" s="12" customFormat="1" x14ac:dyDescent="0.25"/>
    <row r="224389" s="12" customFormat="1" x14ac:dyDescent="0.25"/>
    <row r="224390" s="12" customFormat="1" x14ac:dyDescent="0.25"/>
    <row r="224391" s="12" customFormat="1" x14ac:dyDescent="0.25"/>
    <row r="224392" s="12" customFormat="1" x14ac:dyDescent="0.25"/>
    <row r="224393" s="12" customFormat="1" x14ac:dyDescent="0.25"/>
    <row r="224394" s="12" customFormat="1" x14ac:dyDescent="0.25"/>
    <row r="224395" s="12" customFormat="1" x14ac:dyDescent="0.25"/>
    <row r="224396" s="12" customFormat="1" x14ac:dyDescent="0.25"/>
    <row r="224397" s="12" customFormat="1" x14ac:dyDescent="0.25"/>
    <row r="224398" s="12" customFormat="1" x14ac:dyDescent="0.25"/>
    <row r="224399" s="12" customFormat="1" x14ac:dyDescent="0.25"/>
    <row r="224400" s="12" customFormat="1" x14ac:dyDescent="0.25"/>
    <row r="224401" s="12" customFormat="1" x14ac:dyDescent="0.25"/>
    <row r="224402" s="12" customFormat="1" x14ac:dyDescent="0.25"/>
    <row r="224403" s="12" customFormat="1" x14ac:dyDescent="0.25"/>
    <row r="224404" s="12" customFormat="1" x14ac:dyDescent="0.25"/>
    <row r="224405" s="12" customFormat="1" x14ac:dyDescent="0.25"/>
    <row r="224406" s="12" customFormat="1" x14ac:dyDescent="0.25"/>
    <row r="224407" s="12" customFormat="1" x14ac:dyDescent="0.25"/>
    <row r="224408" s="12" customFormat="1" x14ac:dyDescent="0.25"/>
    <row r="224409" s="12" customFormat="1" x14ac:dyDescent="0.25"/>
    <row r="224410" s="12" customFormat="1" x14ac:dyDescent="0.25"/>
    <row r="224411" s="12" customFormat="1" x14ac:dyDescent="0.25"/>
    <row r="224412" s="12" customFormat="1" x14ac:dyDescent="0.25"/>
    <row r="224413" s="12" customFormat="1" x14ac:dyDescent="0.25"/>
    <row r="224414" s="12" customFormat="1" x14ac:dyDescent="0.25"/>
    <row r="224415" s="12" customFormat="1" x14ac:dyDescent="0.25"/>
    <row r="224416" s="12" customFormat="1" x14ac:dyDescent="0.25"/>
    <row r="224417" s="12" customFormat="1" x14ac:dyDescent="0.25"/>
    <row r="224418" s="12" customFormat="1" x14ac:dyDescent="0.25"/>
    <row r="224419" s="12" customFormat="1" x14ac:dyDescent="0.25"/>
    <row r="224420" s="12" customFormat="1" x14ac:dyDescent="0.25"/>
    <row r="224421" s="12" customFormat="1" x14ac:dyDescent="0.25"/>
    <row r="224422" s="12" customFormat="1" x14ac:dyDescent="0.25"/>
    <row r="224423" s="12" customFormat="1" x14ac:dyDescent="0.25"/>
    <row r="224424" s="12" customFormat="1" x14ac:dyDescent="0.25"/>
    <row r="224425" s="12" customFormat="1" x14ac:dyDescent="0.25"/>
    <row r="224426" s="12" customFormat="1" x14ac:dyDescent="0.25"/>
    <row r="224427" s="12" customFormat="1" x14ac:dyDescent="0.25"/>
    <row r="224428" s="12" customFormat="1" x14ac:dyDescent="0.25"/>
    <row r="224429" s="12" customFormat="1" x14ac:dyDescent="0.25"/>
    <row r="224430" s="12" customFormat="1" x14ac:dyDescent="0.25"/>
    <row r="224431" s="12" customFormat="1" x14ac:dyDescent="0.25"/>
    <row r="224432" s="12" customFormat="1" x14ac:dyDescent="0.25"/>
    <row r="224433" s="12" customFormat="1" x14ac:dyDescent="0.25"/>
    <row r="224434" s="12" customFormat="1" x14ac:dyDescent="0.25"/>
    <row r="224435" s="12" customFormat="1" x14ac:dyDescent="0.25"/>
    <row r="224436" s="12" customFormat="1" x14ac:dyDescent="0.25"/>
    <row r="224437" s="12" customFormat="1" x14ac:dyDescent="0.25"/>
    <row r="224438" s="12" customFormat="1" x14ac:dyDescent="0.25"/>
    <row r="224439" s="12" customFormat="1" x14ac:dyDescent="0.25"/>
    <row r="224440" s="12" customFormat="1" x14ac:dyDescent="0.25"/>
    <row r="224441" s="12" customFormat="1" x14ac:dyDescent="0.25"/>
    <row r="224442" s="12" customFormat="1" x14ac:dyDescent="0.25"/>
    <row r="224443" s="12" customFormat="1" x14ac:dyDescent="0.25"/>
    <row r="224444" s="12" customFormat="1" x14ac:dyDescent="0.25"/>
    <row r="224445" s="12" customFormat="1" x14ac:dyDescent="0.25"/>
    <row r="224446" s="12" customFormat="1" x14ac:dyDescent="0.25"/>
    <row r="224447" s="12" customFormat="1" x14ac:dyDescent="0.25"/>
    <row r="224448" s="12" customFormat="1" x14ac:dyDescent="0.25"/>
    <row r="224449" s="12" customFormat="1" x14ac:dyDescent="0.25"/>
    <row r="224450" s="12" customFormat="1" x14ac:dyDescent="0.25"/>
    <row r="224451" s="12" customFormat="1" x14ac:dyDescent="0.25"/>
    <row r="224452" s="12" customFormat="1" x14ac:dyDescent="0.25"/>
    <row r="224453" s="12" customFormat="1" x14ac:dyDescent="0.25"/>
    <row r="224454" s="12" customFormat="1" x14ac:dyDescent="0.25"/>
    <row r="224455" s="12" customFormat="1" x14ac:dyDescent="0.25"/>
    <row r="224456" s="12" customFormat="1" x14ac:dyDescent="0.25"/>
    <row r="224457" s="12" customFormat="1" x14ac:dyDescent="0.25"/>
    <row r="224458" s="12" customFormat="1" x14ac:dyDescent="0.25"/>
    <row r="224459" s="12" customFormat="1" x14ac:dyDescent="0.25"/>
    <row r="224460" s="12" customFormat="1" x14ac:dyDescent="0.25"/>
    <row r="224461" s="12" customFormat="1" x14ac:dyDescent="0.25"/>
    <row r="224462" s="12" customFormat="1" x14ac:dyDescent="0.25"/>
    <row r="224463" s="12" customFormat="1" x14ac:dyDescent="0.25"/>
    <row r="224464" s="12" customFormat="1" x14ac:dyDescent="0.25"/>
    <row r="224465" s="12" customFormat="1" x14ac:dyDescent="0.25"/>
    <row r="224466" s="12" customFormat="1" x14ac:dyDescent="0.25"/>
    <row r="224467" s="12" customFormat="1" x14ac:dyDescent="0.25"/>
    <row r="224468" s="12" customFormat="1" x14ac:dyDescent="0.25"/>
    <row r="224469" s="12" customFormat="1" x14ac:dyDescent="0.25"/>
    <row r="224470" s="12" customFormat="1" x14ac:dyDescent="0.25"/>
    <row r="224471" s="12" customFormat="1" x14ac:dyDescent="0.25"/>
    <row r="224472" s="12" customFormat="1" x14ac:dyDescent="0.25"/>
    <row r="224473" s="12" customFormat="1" x14ac:dyDescent="0.25"/>
    <row r="224474" s="12" customFormat="1" x14ac:dyDescent="0.25"/>
    <row r="224475" s="12" customFormat="1" x14ac:dyDescent="0.25"/>
    <row r="224476" s="12" customFormat="1" x14ac:dyDescent="0.25"/>
    <row r="224477" s="12" customFormat="1" x14ac:dyDescent="0.25"/>
    <row r="224478" s="12" customFormat="1" x14ac:dyDescent="0.25"/>
    <row r="224479" s="12" customFormat="1" x14ac:dyDescent="0.25"/>
    <row r="224480" s="12" customFormat="1" x14ac:dyDescent="0.25"/>
    <row r="224481" s="12" customFormat="1" x14ac:dyDescent="0.25"/>
    <row r="224482" s="12" customFormat="1" x14ac:dyDescent="0.25"/>
    <row r="224483" s="12" customFormat="1" x14ac:dyDescent="0.25"/>
    <row r="224484" s="12" customFormat="1" x14ac:dyDescent="0.25"/>
    <row r="224485" s="12" customFormat="1" x14ac:dyDescent="0.25"/>
    <row r="224486" s="12" customFormat="1" x14ac:dyDescent="0.25"/>
    <row r="224487" s="12" customFormat="1" x14ac:dyDescent="0.25"/>
    <row r="224488" s="12" customFormat="1" x14ac:dyDescent="0.25"/>
    <row r="224489" s="12" customFormat="1" x14ac:dyDescent="0.25"/>
    <row r="224490" s="12" customFormat="1" x14ac:dyDescent="0.25"/>
    <row r="224491" s="12" customFormat="1" x14ac:dyDescent="0.25"/>
    <row r="224492" s="12" customFormat="1" x14ac:dyDescent="0.25"/>
    <row r="224493" s="12" customFormat="1" x14ac:dyDescent="0.25"/>
    <row r="224494" s="12" customFormat="1" x14ac:dyDescent="0.25"/>
    <row r="224495" s="12" customFormat="1" x14ac:dyDescent="0.25"/>
    <row r="224496" s="12" customFormat="1" x14ac:dyDescent="0.25"/>
    <row r="224497" s="12" customFormat="1" x14ac:dyDescent="0.25"/>
    <row r="224498" s="12" customFormat="1" x14ac:dyDescent="0.25"/>
    <row r="224499" s="12" customFormat="1" x14ac:dyDescent="0.25"/>
    <row r="224500" s="12" customFormat="1" x14ac:dyDescent="0.25"/>
    <row r="224501" s="12" customFormat="1" x14ac:dyDescent="0.25"/>
    <row r="224502" s="12" customFormat="1" x14ac:dyDescent="0.25"/>
    <row r="224503" s="12" customFormat="1" x14ac:dyDescent="0.25"/>
    <row r="224504" s="12" customFormat="1" x14ac:dyDescent="0.25"/>
    <row r="224505" s="12" customFormat="1" x14ac:dyDescent="0.25"/>
    <row r="224506" s="12" customFormat="1" x14ac:dyDescent="0.25"/>
    <row r="224507" s="12" customFormat="1" x14ac:dyDescent="0.25"/>
    <row r="224508" s="12" customFormat="1" x14ac:dyDescent="0.25"/>
    <row r="224509" s="12" customFormat="1" x14ac:dyDescent="0.25"/>
    <row r="224510" s="12" customFormat="1" x14ac:dyDescent="0.25"/>
    <row r="224511" s="12" customFormat="1" x14ac:dyDescent="0.25"/>
    <row r="224512" s="12" customFormat="1" x14ac:dyDescent="0.25"/>
    <row r="224513" s="12" customFormat="1" x14ac:dyDescent="0.25"/>
    <row r="224514" s="12" customFormat="1" x14ac:dyDescent="0.25"/>
    <row r="224515" s="12" customFormat="1" x14ac:dyDescent="0.25"/>
    <row r="224516" s="12" customFormat="1" x14ac:dyDescent="0.25"/>
    <row r="224517" s="12" customFormat="1" x14ac:dyDescent="0.25"/>
    <row r="224518" s="12" customFormat="1" x14ac:dyDescent="0.25"/>
    <row r="224519" s="12" customFormat="1" x14ac:dyDescent="0.25"/>
    <row r="224520" s="12" customFormat="1" x14ac:dyDescent="0.25"/>
    <row r="224521" s="12" customFormat="1" x14ac:dyDescent="0.25"/>
    <row r="224522" s="12" customFormat="1" x14ac:dyDescent="0.25"/>
    <row r="224523" s="12" customFormat="1" x14ac:dyDescent="0.25"/>
    <row r="224524" s="12" customFormat="1" x14ac:dyDescent="0.25"/>
    <row r="224525" s="12" customFormat="1" x14ac:dyDescent="0.25"/>
    <row r="224526" s="12" customFormat="1" x14ac:dyDescent="0.25"/>
    <row r="224527" s="12" customFormat="1" x14ac:dyDescent="0.25"/>
    <row r="224528" s="12" customFormat="1" x14ac:dyDescent="0.25"/>
    <row r="224529" s="12" customFormat="1" x14ac:dyDescent="0.25"/>
    <row r="224530" s="12" customFormat="1" x14ac:dyDescent="0.25"/>
    <row r="224531" s="12" customFormat="1" x14ac:dyDescent="0.25"/>
    <row r="224532" s="12" customFormat="1" x14ac:dyDescent="0.25"/>
    <row r="224533" s="12" customFormat="1" x14ac:dyDescent="0.25"/>
    <row r="224534" s="12" customFormat="1" x14ac:dyDescent="0.25"/>
    <row r="224535" s="12" customFormat="1" x14ac:dyDescent="0.25"/>
    <row r="224536" s="12" customFormat="1" x14ac:dyDescent="0.25"/>
    <row r="224537" s="12" customFormat="1" x14ac:dyDescent="0.25"/>
    <row r="224538" s="12" customFormat="1" x14ac:dyDescent="0.25"/>
    <row r="224539" s="12" customFormat="1" x14ac:dyDescent="0.25"/>
    <row r="224540" s="12" customFormat="1" x14ac:dyDescent="0.25"/>
    <row r="224541" s="12" customFormat="1" x14ac:dyDescent="0.25"/>
    <row r="224542" s="12" customFormat="1" x14ac:dyDescent="0.25"/>
    <row r="224543" s="12" customFormat="1" x14ac:dyDescent="0.25"/>
    <row r="224544" s="12" customFormat="1" x14ac:dyDescent="0.25"/>
    <row r="224545" s="12" customFormat="1" x14ac:dyDescent="0.25"/>
    <row r="224546" s="12" customFormat="1" x14ac:dyDescent="0.25"/>
    <row r="224547" s="12" customFormat="1" x14ac:dyDescent="0.25"/>
    <row r="224548" s="12" customFormat="1" x14ac:dyDescent="0.25"/>
    <row r="224549" s="12" customFormat="1" x14ac:dyDescent="0.25"/>
    <row r="224550" s="12" customFormat="1" x14ac:dyDescent="0.25"/>
    <row r="224551" s="12" customFormat="1" x14ac:dyDescent="0.25"/>
    <row r="224552" s="12" customFormat="1" x14ac:dyDescent="0.25"/>
    <row r="224553" s="12" customFormat="1" x14ac:dyDescent="0.25"/>
    <row r="224554" s="12" customFormat="1" x14ac:dyDescent="0.25"/>
    <row r="224555" s="12" customFormat="1" x14ac:dyDescent="0.25"/>
    <row r="224556" s="12" customFormat="1" x14ac:dyDescent="0.25"/>
    <row r="224557" s="12" customFormat="1" x14ac:dyDescent="0.25"/>
    <row r="224558" s="12" customFormat="1" x14ac:dyDescent="0.25"/>
    <row r="224559" s="12" customFormat="1" x14ac:dyDescent="0.25"/>
    <row r="224560" s="12" customFormat="1" x14ac:dyDescent="0.25"/>
    <row r="224561" s="12" customFormat="1" x14ac:dyDescent="0.25"/>
    <row r="224562" s="12" customFormat="1" x14ac:dyDescent="0.25"/>
    <row r="224563" s="12" customFormat="1" x14ac:dyDescent="0.25"/>
    <row r="224564" s="12" customFormat="1" x14ac:dyDescent="0.25"/>
    <row r="224565" s="12" customFormat="1" x14ac:dyDescent="0.25"/>
    <row r="224566" s="12" customFormat="1" x14ac:dyDescent="0.25"/>
    <row r="224567" s="12" customFormat="1" x14ac:dyDescent="0.25"/>
    <row r="224568" s="12" customFormat="1" x14ac:dyDescent="0.25"/>
    <row r="224569" s="12" customFormat="1" x14ac:dyDescent="0.25"/>
    <row r="224570" s="12" customFormat="1" x14ac:dyDescent="0.25"/>
    <row r="224571" s="12" customFormat="1" x14ac:dyDescent="0.25"/>
    <row r="224572" s="12" customFormat="1" x14ac:dyDescent="0.25"/>
    <row r="224573" s="12" customFormat="1" x14ac:dyDescent="0.25"/>
    <row r="224574" s="12" customFormat="1" x14ac:dyDescent="0.25"/>
    <row r="224575" s="12" customFormat="1" x14ac:dyDescent="0.25"/>
    <row r="224576" s="12" customFormat="1" x14ac:dyDescent="0.25"/>
    <row r="224577" s="12" customFormat="1" x14ac:dyDescent="0.25"/>
    <row r="224578" s="12" customFormat="1" x14ac:dyDescent="0.25"/>
    <row r="224579" s="12" customFormat="1" x14ac:dyDescent="0.25"/>
    <row r="224580" s="12" customFormat="1" x14ac:dyDescent="0.25"/>
    <row r="224581" s="12" customFormat="1" x14ac:dyDescent="0.25"/>
    <row r="224582" s="12" customFormat="1" x14ac:dyDescent="0.25"/>
    <row r="224583" s="12" customFormat="1" x14ac:dyDescent="0.25"/>
    <row r="224584" s="12" customFormat="1" x14ac:dyDescent="0.25"/>
    <row r="224585" s="12" customFormat="1" x14ac:dyDescent="0.25"/>
    <row r="224586" s="12" customFormat="1" x14ac:dyDescent="0.25"/>
    <row r="224587" s="12" customFormat="1" x14ac:dyDescent="0.25"/>
    <row r="224588" s="12" customFormat="1" x14ac:dyDescent="0.25"/>
    <row r="224589" s="12" customFormat="1" x14ac:dyDescent="0.25"/>
    <row r="224590" s="12" customFormat="1" x14ac:dyDescent="0.25"/>
    <row r="224591" s="12" customFormat="1" x14ac:dyDescent="0.25"/>
    <row r="224592" s="12" customFormat="1" x14ac:dyDescent="0.25"/>
    <row r="224593" s="12" customFormat="1" x14ac:dyDescent="0.25"/>
    <row r="224594" s="12" customFormat="1" x14ac:dyDescent="0.25"/>
    <row r="224595" s="12" customFormat="1" x14ac:dyDescent="0.25"/>
    <row r="224596" s="12" customFormat="1" x14ac:dyDescent="0.25"/>
    <row r="224597" s="12" customFormat="1" x14ac:dyDescent="0.25"/>
    <row r="224598" s="12" customFormat="1" x14ac:dyDescent="0.25"/>
    <row r="224599" s="12" customFormat="1" x14ac:dyDescent="0.25"/>
    <row r="224600" s="12" customFormat="1" x14ac:dyDescent="0.25"/>
    <row r="224601" s="12" customFormat="1" x14ac:dyDescent="0.25"/>
    <row r="224602" s="12" customFormat="1" x14ac:dyDescent="0.25"/>
    <row r="224603" s="12" customFormat="1" x14ac:dyDescent="0.25"/>
    <row r="224604" s="12" customFormat="1" x14ac:dyDescent="0.25"/>
    <row r="224605" s="12" customFormat="1" x14ac:dyDescent="0.25"/>
    <row r="224606" s="12" customFormat="1" x14ac:dyDescent="0.25"/>
    <row r="224607" s="12" customFormat="1" x14ac:dyDescent="0.25"/>
    <row r="224608" s="12" customFormat="1" x14ac:dyDescent="0.25"/>
    <row r="224609" s="12" customFormat="1" x14ac:dyDescent="0.25"/>
    <row r="224610" s="12" customFormat="1" x14ac:dyDescent="0.25"/>
    <row r="224611" s="12" customFormat="1" x14ac:dyDescent="0.25"/>
    <row r="224612" s="12" customFormat="1" x14ac:dyDescent="0.25"/>
    <row r="224613" s="12" customFormat="1" x14ac:dyDescent="0.25"/>
    <row r="224614" s="12" customFormat="1" x14ac:dyDescent="0.25"/>
    <row r="224615" s="12" customFormat="1" x14ac:dyDescent="0.25"/>
    <row r="224616" s="12" customFormat="1" x14ac:dyDescent="0.25"/>
    <row r="224617" s="12" customFormat="1" x14ac:dyDescent="0.25"/>
    <row r="224618" s="12" customFormat="1" x14ac:dyDescent="0.25"/>
    <row r="224619" s="12" customFormat="1" x14ac:dyDescent="0.25"/>
    <row r="224620" s="12" customFormat="1" x14ac:dyDescent="0.25"/>
    <row r="224621" s="12" customFormat="1" x14ac:dyDescent="0.25"/>
    <row r="224622" s="12" customFormat="1" x14ac:dyDescent="0.25"/>
    <row r="224623" s="12" customFormat="1" x14ac:dyDescent="0.25"/>
    <row r="224624" s="12" customFormat="1" x14ac:dyDescent="0.25"/>
    <row r="224625" s="12" customFormat="1" x14ac:dyDescent="0.25"/>
    <row r="224626" s="12" customFormat="1" x14ac:dyDescent="0.25"/>
    <row r="224627" s="12" customFormat="1" x14ac:dyDescent="0.25"/>
    <row r="224628" s="12" customFormat="1" x14ac:dyDescent="0.25"/>
    <row r="224629" s="12" customFormat="1" x14ac:dyDescent="0.25"/>
    <row r="224630" s="12" customFormat="1" x14ac:dyDescent="0.25"/>
    <row r="224631" s="12" customFormat="1" x14ac:dyDescent="0.25"/>
    <row r="224632" s="12" customFormat="1" x14ac:dyDescent="0.25"/>
    <row r="224633" s="12" customFormat="1" x14ac:dyDescent="0.25"/>
    <row r="224634" s="12" customFormat="1" x14ac:dyDescent="0.25"/>
    <row r="224635" s="12" customFormat="1" x14ac:dyDescent="0.25"/>
    <row r="224636" s="12" customFormat="1" x14ac:dyDescent="0.25"/>
    <row r="224637" s="12" customFormat="1" x14ac:dyDescent="0.25"/>
    <row r="224638" s="12" customFormat="1" x14ac:dyDescent="0.25"/>
    <row r="224639" s="12" customFormat="1" x14ac:dyDescent="0.25"/>
    <row r="224640" s="12" customFormat="1" x14ac:dyDescent="0.25"/>
    <row r="224641" s="12" customFormat="1" x14ac:dyDescent="0.25"/>
    <row r="224642" s="12" customFormat="1" x14ac:dyDescent="0.25"/>
    <row r="224643" s="12" customFormat="1" x14ac:dyDescent="0.25"/>
    <row r="224644" s="12" customFormat="1" x14ac:dyDescent="0.25"/>
    <row r="224645" s="12" customFormat="1" x14ac:dyDescent="0.25"/>
    <row r="224646" s="12" customFormat="1" x14ac:dyDescent="0.25"/>
    <row r="224647" s="12" customFormat="1" x14ac:dyDescent="0.25"/>
    <row r="224648" s="12" customFormat="1" x14ac:dyDescent="0.25"/>
    <row r="224649" s="12" customFormat="1" x14ac:dyDescent="0.25"/>
    <row r="224650" s="12" customFormat="1" x14ac:dyDescent="0.25"/>
    <row r="224651" s="12" customFormat="1" x14ac:dyDescent="0.25"/>
    <row r="224652" s="12" customFormat="1" x14ac:dyDescent="0.25"/>
    <row r="224653" s="12" customFormat="1" x14ac:dyDescent="0.25"/>
    <row r="224654" s="12" customFormat="1" x14ac:dyDescent="0.25"/>
    <row r="224655" s="12" customFormat="1" x14ac:dyDescent="0.25"/>
    <row r="224656" s="12" customFormat="1" x14ac:dyDescent="0.25"/>
    <row r="224657" s="12" customFormat="1" x14ac:dyDescent="0.25"/>
    <row r="224658" s="12" customFormat="1" x14ac:dyDescent="0.25"/>
    <row r="224659" s="12" customFormat="1" x14ac:dyDescent="0.25"/>
    <row r="224660" s="12" customFormat="1" x14ac:dyDescent="0.25"/>
    <row r="224661" s="12" customFormat="1" x14ac:dyDescent="0.25"/>
    <row r="224662" s="12" customFormat="1" x14ac:dyDescent="0.25"/>
    <row r="224663" s="12" customFormat="1" x14ac:dyDescent="0.25"/>
    <row r="224664" s="12" customFormat="1" x14ac:dyDescent="0.25"/>
    <row r="224665" s="12" customFormat="1" x14ac:dyDescent="0.25"/>
    <row r="224666" s="12" customFormat="1" x14ac:dyDescent="0.25"/>
    <row r="224667" s="12" customFormat="1" x14ac:dyDescent="0.25"/>
    <row r="224668" s="12" customFormat="1" x14ac:dyDescent="0.25"/>
    <row r="224669" s="12" customFormat="1" x14ac:dyDescent="0.25"/>
    <row r="224670" s="12" customFormat="1" x14ac:dyDescent="0.25"/>
    <row r="224671" s="12" customFormat="1" x14ac:dyDescent="0.25"/>
    <row r="224672" s="12" customFormat="1" x14ac:dyDescent="0.25"/>
    <row r="224673" s="12" customFormat="1" x14ac:dyDescent="0.25"/>
    <row r="224674" s="12" customFormat="1" x14ac:dyDescent="0.25"/>
    <row r="224675" s="12" customFormat="1" x14ac:dyDescent="0.25"/>
    <row r="224676" s="12" customFormat="1" x14ac:dyDescent="0.25"/>
    <row r="224677" s="12" customFormat="1" x14ac:dyDescent="0.25"/>
    <row r="224678" s="12" customFormat="1" x14ac:dyDescent="0.25"/>
    <row r="224679" s="12" customFormat="1" x14ac:dyDescent="0.25"/>
    <row r="224680" s="12" customFormat="1" x14ac:dyDescent="0.25"/>
    <row r="224681" s="12" customFormat="1" x14ac:dyDescent="0.25"/>
    <row r="224682" s="12" customFormat="1" x14ac:dyDescent="0.25"/>
    <row r="224683" s="12" customFormat="1" x14ac:dyDescent="0.25"/>
    <row r="224684" s="12" customFormat="1" x14ac:dyDescent="0.25"/>
    <row r="224685" s="12" customFormat="1" x14ac:dyDescent="0.25"/>
    <row r="224686" s="12" customFormat="1" x14ac:dyDescent="0.25"/>
    <row r="224687" s="12" customFormat="1" x14ac:dyDescent="0.25"/>
    <row r="224688" s="12" customFormat="1" x14ac:dyDescent="0.25"/>
    <row r="224689" s="12" customFormat="1" x14ac:dyDescent="0.25"/>
    <row r="224690" s="12" customFormat="1" x14ac:dyDescent="0.25"/>
    <row r="224691" s="12" customFormat="1" x14ac:dyDescent="0.25"/>
    <row r="224692" s="12" customFormat="1" x14ac:dyDescent="0.25"/>
    <row r="224693" s="12" customFormat="1" x14ac:dyDescent="0.25"/>
    <row r="224694" s="12" customFormat="1" x14ac:dyDescent="0.25"/>
    <row r="224695" s="12" customFormat="1" x14ac:dyDescent="0.25"/>
    <row r="224696" s="12" customFormat="1" x14ac:dyDescent="0.25"/>
    <row r="224697" s="12" customFormat="1" x14ac:dyDescent="0.25"/>
    <row r="224698" s="12" customFormat="1" x14ac:dyDescent="0.25"/>
    <row r="224699" s="12" customFormat="1" x14ac:dyDescent="0.25"/>
    <row r="224700" s="12" customFormat="1" x14ac:dyDescent="0.25"/>
    <row r="224701" s="12" customFormat="1" x14ac:dyDescent="0.25"/>
    <row r="224702" s="12" customFormat="1" x14ac:dyDescent="0.25"/>
    <row r="224703" s="12" customFormat="1" x14ac:dyDescent="0.25"/>
    <row r="224704" s="12" customFormat="1" x14ac:dyDescent="0.25"/>
    <row r="224705" s="12" customFormat="1" x14ac:dyDescent="0.25"/>
    <row r="224706" s="12" customFormat="1" x14ac:dyDescent="0.25"/>
    <row r="224707" s="12" customFormat="1" x14ac:dyDescent="0.25"/>
    <row r="224708" s="12" customFormat="1" x14ac:dyDescent="0.25"/>
    <row r="224709" s="12" customFormat="1" x14ac:dyDescent="0.25"/>
    <row r="224710" s="12" customFormat="1" x14ac:dyDescent="0.25"/>
    <row r="224711" s="12" customFormat="1" x14ac:dyDescent="0.25"/>
    <row r="224712" s="12" customFormat="1" x14ac:dyDescent="0.25"/>
    <row r="224713" s="12" customFormat="1" x14ac:dyDescent="0.25"/>
    <row r="224714" s="12" customFormat="1" x14ac:dyDescent="0.25"/>
    <row r="224715" s="12" customFormat="1" x14ac:dyDescent="0.25"/>
    <row r="224716" s="12" customFormat="1" x14ac:dyDescent="0.25"/>
    <row r="224717" s="12" customFormat="1" x14ac:dyDescent="0.25"/>
    <row r="224718" s="12" customFormat="1" x14ac:dyDescent="0.25"/>
    <row r="224719" s="12" customFormat="1" x14ac:dyDescent="0.25"/>
    <row r="224720" s="12" customFormat="1" x14ac:dyDescent="0.25"/>
    <row r="224721" s="12" customFormat="1" x14ac:dyDescent="0.25"/>
    <row r="224722" s="12" customFormat="1" x14ac:dyDescent="0.25"/>
    <row r="224723" s="12" customFormat="1" x14ac:dyDescent="0.25"/>
    <row r="224724" s="12" customFormat="1" x14ac:dyDescent="0.25"/>
    <row r="224725" s="12" customFormat="1" x14ac:dyDescent="0.25"/>
    <row r="224726" s="12" customFormat="1" x14ac:dyDescent="0.25"/>
    <row r="224727" s="12" customFormat="1" x14ac:dyDescent="0.25"/>
    <row r="224728" s="12" customFormat="1" x14ac:dyDescent="0.25"/>
    <row r="224729" s="12" customFormat="1" x14ac:dyDescent="0.25"/>
    <row r="224730" s="12" customFormat="1" x14ac:dyDescent="0.25"/>
    <row r="224731" s="12" customFormat="1" x14ac:dyDescent="0.25"/>
    <row r="224732" s="12" customFormat="1" x14ac:dyDescent="0.25"/>
    <row r="224733" s="12" customFormat="1" x14ac:dyDescent="0.25"/>
    <row r="224734" s="12" customFormat="1" x14ac:dyDescent="0.25"/>
    <row r="224735" s="12" customFormat="1" x14ac:dyDescent="0.25"/>
    <row r="224736" s="12" customFormat="1" x14ac:dyDescent="0.25"/>
    <row r="224737" s="12" customFormat="1" x14ac:dyDescent="0.25"/>
    <row r="224738" s="12" customFormat="1" x14ac:dyDescent="0.25"/>
    <row r="224739" s="12" customFormat="1" x14ac:dyDescent="0.25"/>
    <row r="224740" s="12" customFormat="1" x14ac:dyDescent="0.25"/>
    <row r="224741" s="12" customFormat="1" x14ac:dyDescent="0.25"/>
    <row r="224742" s="12" customFormat="1" x14ac:dyDescent="0.25"/>
    <row r="224743" s="12" customFormat="1" x14ac:dyDescent="0.25"/>
    <row r="224744" s="12" customFormat="1" x14ac:dyDescent="0.25"/>
    <row r="224745" s="12" customFormat="1" x14ac:dyDescent="0.25"/>
    <row r="224746" s="12" customFormat="1" x14ac:dyDescent="0.25"/>
    <row r="224747" s="12" customFormat="1" x14ac:dyDescent="0.25"/>
    <row r="224748" s="12" customFormat="1" x14ac:dyDescent="0.25"/>
    <row r="224749" s="12" customFormat="1" x14ac:dyDescent="0.25"/>
    <row r="224750" s="12" customFormat="1" x14ac:dyDescent="0.25"/>
    <row r="224751" s="12" customFormat="1" x14ac:dyDescent="0.25"/>
    <row r="224752" s="12" customFormat="1" x14ac:dyDescent="0.25"/>
    <row r="224753" s="12" customFormat="1" x14ac:dyDescent="0.25"/>
    <row r="224754" s="12" customFormat="1" x14ac:dyDescent="0.25"/>
    <row r="224755" s="12" customFormat="1" x14ac:dyDescent="0.25"/>
    <row r="224756" s="12" customFormat="1" x14ac:dyDescent="0.25"/>
    <row r="224757" s="12" customFormat="1" x14ac:dyDescent="0.25"/>
    <row r="224758" s="12" customFormat="1" x14ac:dyDescent="0.25"/>
    <row r="224759" s="12" customFormat="1" x14ac:dyDescent="0.25"/>
    <row r="224760" s="12" customFormat="1" x14ac:dyDescent="0.25"/>
    <row r="224761" s="12" customFormat="1" x14ac:dyDescent="0.25"/>
    <row r="224762" s="12" customFormat="1" x14ac:dyDescent="0.25"/>
    <row r="224763" s="12" customFormat="1" x14ac:dyDescent="0.25"/>
    <row r="224764" s="12" customFormat="1" x14ac:dyDescent="0.25"/>
    <row r="224765" s="12" customFormat="1" x14ac:dyDescent="0.25"/>
    <row r="224766" s="12" customFormat="1" x14ac:dyDescent="0.25"/>
    <row r="224767" s="12" customFormat="1" x14ac:dyDescent="0.25"/>
    <row r="224768" s="12" customFormat="1" x14ac:dyDescent="0.25"/>
    <row r="224769" s="12" customFormat="1" x14ac:dyDescent="0.25"/>
    <row r="224770" s="12" customFormat="1" x14ac:dyDescent="0.25"/>
    <row r="224771" s="12" customFormat="1" x14ac:dyDescent="0.25"/>
    <row r="224772" s="12" customFormat="1" x14ac:dyDescent="0.25"/>
    <row r="224773" s="12" customFormat="1" x14ac:dyDescent="0.25"/>
    <row r="224774" s="12" customFormat="1" x14ac:dyDescent="0.25"/>
    <row r="224775" s="12" customFormat="1" x14ac:dyDescent="0.25"/>
    <row r="224776" s="12" customFormat="1" x14ac:dyDescent="0.25"/>
    <row r="224777" s="12" customFormat="1" x14ac:dyDescent="0.25"/>
    <row r="224778" s="12" customFormat="1" x14ac:dyDescent="0.25"/>
    <row r="224779" s="12" customFormat="1" x14ac:dyDescent="0.25"/>
    <row r="224780" s="12" customFormat="1" x14ac:dyDescent="0.25"/>
    <row r="224781" s="12" customFormat="1" x14ac:dyDescent="0.25"/>
    <row r="224782" s="12" customFormat="1" x14ac:dyDescent="0.25"/>
    <row r="224783" s="12" customFormat="1" x14ac:dyDescent="0.25"/>
    <row r="224784" s="12" customFormat="1" x14ac:dyDescent="0.25"/>
    <row r="224785" s="12" customFormat="1" x14ac:dyDescent="0.25"/>
    <row r="224786" s="12" customFormat="1" x14ac:dyDescent="0.25"/>
    <row r="224787" s="12" customFormat="1" x14ac:dyDescent="0.25"/>
    <row r="224788" s="12" customFormat="1" x14ac:dyDescent="0.25"/>
    <row r="224789" s="12" customFormat="1" x14ac:dyDescent="0.25"/>
    <row r="224790" s="12" customFormat="1" x14ac:dyDescent="0.25"/>
    <row r="224791" s="12" customFormat="1" x14ac:dyDescent="0.25"/>
    <row r="224792" s="12" customFormat="1" x14ac:dyDescent="0.25"/>
    <row r="224793" s="12" customFormat="1" x14ac:dyDescent="0.25"/>
    <row r="224794" s="12" customFormat="1" x14ac:dyDescent="0.25"/>
    <row r="224795" s="12" customFormat="1" x14ac:dyDescent="0.25"/>
    <row r="224796" s="12" customFormat="1" x14ac:dyDescent="0.25"/>
    <row r="224797" s="12" customFormat="1" x14ac:dyDescent="0.25"/>
    <row r="224798" s="12" customFormat="1" x14ac:dyDescent="0.25"/>
    <row r="224799" s="12" customFormat="1" x14ac:dyDescent="0.25"/>
    <row r="224800" s="12" customFormat="1" x14ac:dyDescent="0.25"/>
    <row r="224801" s="12" customFormat="1" x14ac:dyDescent="0.25"/>
    <row r="224802" s="12" customFormat="1" x14ac:dyDescent="0.25"/>
    <row r="224803" s="12" customFormat="1" x14ac:dyDescent="0.25"/>
    <row r="224804" s="12" customFormat="1" x14ac:dyDescent="0.25"/>
    <row r="224805" s="12" customFormat="1" x14ac:dyDescent="0.25"/>
    <row r="224806" s="12" customFormat="1" x14ac:dyDescent="0.25"/>
    <row r="224807" s="12" customFormat="1" x14ac:dyDescent="0.25"/>
    <row r="224808" s="12" customFormat="1" x14ac:dyDescent="0.25"/>
    <row r="224809" s="12" customFormat="1" x14ac:dyDescent="0.25"/>
    <row r="224810" s="12" customFormat="1" x14ac:dyDescent="0.25"/>
    <row r="224811" s="12" customFormat="1" x14ac:dyDescent="0.25"/>
    <row r="224812" s="12" customFormat="1" x14ac:dyDescent="0.25"/>
    <row r="224813" s="12" customFormat="1" x14ac:dyDescent="0.25"/>
    <row r="224814" s="12" customFormat="1" x14ac:dyDescent="0.25"/>
    <row r="224815" s="12" customFormat="1" x14ac:dyDescent="0.25"/>
    <row r="224816" s="12" customFormat="1" x14ac:dyDescent="0.25"/>
    <row r="224817" s="12" customFormat="1" x14ac:dyDescent="0.25"/>
    <row r="224818" s="12" customFormat="1" x14ac:dyDescent="0.25"/>
    <row r="224819" s="12" customFormat="1" x14ac:dyDescent="0.25"/>
    <row r="224820" s="12" customFormat="1" x14ac:dyDescent="0.25"/>
    <row r="224821" s="12" customFormat="1" x14ac:dyDescent="0.25"/>
    <row r="224822" s="12" customFormat="1" x14ac:dyDescent="0.25"/>
    <row r="224823" s="12" customFormat="1" x14ac:dyDescent="0.25"/>
    <row r="224824" s="12" customFormat="1" x14ac:dyDescent="0.25"/>
    <row r="224825" s="12" customFormat="1" x14ac:dyDescent="0.25"/>
    <row r="224826" s="12" customFormat="1" x14ac:dyDescent="0.25"/>
    <row r="224827" s="12" customFormat="1" x14ac:dyDescent="0.25"/>
    <row r="224828" s="12" customFormat="1" x14ac:dyDescent="0.25"/>
    <row r="224829" s="12" customFormat="1" x14ac:dyDescent="0.25"/>
    <row r="224830" s="12" customFormat="1" x14ac:dyDescent="0.25"/>
    <row r="224831" s="12" customFormat="1" x14ac:dyDescent="0.25"/>
    <row r="224832" s="12" customFormat="1" x14ac:dyDescent="0.25"/>
    <row r="224833" s="12" customFormat="1" x14ac:dyDescent="0.25"/>
    <row r="224834" s="12" customFormat="1" x14ac:dyDescent="0.25"/>
    <row r="224835" s="12" customFormat="1" x14ac:dyDescent="0.25"/>
    <row r="224836" s="12" customFormat="1" x14ac:dyDescent="0.25"/>
    <row r="224837" s="12" customFormat="1" x14ac:dyDescent="0.25"/>
    <row r="224838" s="12" customFormat="1" x14ac:dyDescent="0.25"/>
    <row r="224839" s="12" customFormat="1" x14ac:dyDescent="0.25"/>
    <row r="224840" s="12" customFormat="1" x14ac:dyDescent="0.25"/>
    <row r="224841" s="12" customFormat="1" x14ac:dyDescent="0.25"/>
    <row r="224842" s="12" customFormat="1" x14ac:dyDescent="0.25"/>
    <row r="224843" s="12" customFormat="1" x14ac:dyDescent="0.25"/>
    <row r="224844" s="12" customFormat="1" x14ac:dyDescent="0.25"/>
    <row r="224845" s="12" customFormat="1" x14ac:dyDescent="0.25"/>
    <row r="224846" s="12" customFormat="1" x14ac:dyDescent="0.25"/>
    <row r="224847" s="12" customFormat="1" x14ac:dyDescent="0.25"/>
    <row r="224848" s="12" customFormat="1" x14ac:dyDescent="0.25"/>
    <row r="224849" s="12" customFormat="1" x14ac:dyDescent="0.25"/>
    <row r="224850" s="12" customFormat="1" x14ac:dyDescent="0.25"/>
    <row r="224851" s="12" customFormat="1" x14ac:dyDescent="0.25"/>
    <row r="224852" s="12" customFormat="1" x14ac:dyDescent="0.25"/>
    <row r="224853" s="12" customFormat="1" x14ac:dyDescent="0.25"/>
    <row r="224854" s="12" customFormat="1" x14ac:dyDescent="0.25"/>
    <row r="224855" s="12" customFormat="1" x14ac:dyDescent="0.25"/>
    <row r="224856" s="12" customFormat="1" x14ac:dyDescent="0.25"/>
    <row r="224857" s="12" customFormat="1" x14ac:dyDescent="0.25"/>
    <row r="224858" s="12" customFormat="1" x14ac:dyDescent="0.25"/>
    <row r="224859" s="12" customFormat="1" x14ac:dyDescent="0.25"/>
    <row r="224860" s="12" customFormat="1" x14ac:dyDescent="0.25"/>
    <row r="224861" s="12" customFormat="1" x14ac:dyDescent="0.25"/>
    <row r="224862" s="12" customFormat="1" x14ac:dyDescent="0.25"/>
    <row r="224863" s="12" customFormat="1" x14ac:dyDescent="0.25"/>
    <row r="224864" s="12" customFormat="1" x14ac:dyDescent="0.25"/>
    <row r="224865" s="12" customFormat="1" x14ac:dyDescent="0.25"/>
    <row r="224866" s="12" customFormat="1" x14ac:dyDescent="0.25"/>
    <row r="224867" s="12" customFormat="1" x14ac:dyDescent="0.25"/>
    <row r="224868" s="12" customFormat="1" x14ac:dyDescent="0.25"/>
    <row r="224869" s="12" customFormat="1" x14ac:dyDescent="0.25"/>
    <row r="224870" s="12" customFormat="1" x14ac:dyDescent="0.25"/>
    <row r="224871" s="12" customFormat="1" x14ac:dyDescent="0.25"/>
    <row r="224872" s="12" customFormat="1" x14ac:dyDescent="0.25"/>
    <row r="224873" s="12" customFormat="1" x14ac:dyDescent="0.25"/>
    <row r="224874" s="12" customFormat="1" x14ac:dyDescent="0.25"/>
    <row r="224875" s="12" customFormat="1" x14ac:dyDescent="0.25"/>
    <row r="224876" s="12" customFormat="1" x14ac:dyDescent="0.25"/>
    <row r="224877" s="12" customFormat="1" x14ac:dyDescent="0.25"/>
    <row r="224878" s="12" customFormat="1" x14ac:dyDescent="0.25"/>
    <row r="224879" s="12" customFormat="1" x14ac:dyDescent="0.25"/>
    <row r="224880" s="12" customFormat="1" x14ac:dyDescent="0.25"/>
    <row r="224881" s="12" customFormat="1" x14ac:dyDescent="0.25"/>
    <row r="224882" s="12" customFormat="1" x14ac:dyDescent="0.25"/>
    <row r="224883" s="12" customFormat="1" x14ac:dyDescent="0.25"/>
    <row r="224884" s="12" customFormat="1" x14ac:dyDescent="0.25"/>
    <row r="224885" s="12" customFormat="1" x14ac:dyDescent="0.25"/>
    <row r="224886" s="12" customFormat="1" x14ac:dyDescent="0.25"/>
    <row r="224887" s="12" customFormat="1" x14ac:dyDescent="0.25"/>
    <row r="224888" s="12" customFormat="1" x14ac:dyDescent="0.25"/>
    <row r="224889" s="12" customFormat="1" x14ac:dyDescent="0.25"/>
    <row r="224890" s="12" customFormat="1" x14ac:dyDescent="0.25"/>
    <row r="224891" s="12" customFormat="1" x14ac:dyDescent="0.25"/>
    <row r="224892" s="12" customFormat="1" x14ac:dyDescent="0.25"/>
    <row r="224893" s="12" customFormat="1" x14ac:dyDescent="0.25"/>
    <row r="224894" s="12" customFormat="1" x14ac:dyDescent="0.25"/>
    <row r="224895" s="12" customFormat="1" x14ac:dyDescent="0.25"/>
    <row r="224896" s="12" customFormat="1" x14ac:dyDescent="0.25"/>
    <row r="224897" s="12" customFormat="1" x14ac:dyDescent="0.25"/>
    <row r="224898" s="12" customFormat="1" x14ac:dyDescent="0.25"/>
    <row r="224899" s="12" customFormat="1" x14ac:dyDescent="0.25"/>
    <row r="224900" s="12" customFormat="1" x14ac:dyDescent="0.25"/>
    <row r="224901" s="12" customFormat="1" x14ac:dyDescent="0.25"/>
    <row r="224902" s="12" customFormat="1" x14ac:dyDescent="0.25"/>
    <row r="224903" s="12" customFormat="1" x14ac:dyDescent="0.25"/>
    <row r="224904" s="12" customFormat="1" x14ac:dyDescent="0.25"/>
    <row r="224905" s="12" customFormat="1" x14ac:dyDescent="0.25"/>
    <row r="224906" s="12" customFormat="1" x14ac:dyDescent="0.25"/>
    <row r="224907" s="12" customFormat="1" x14ac:dyDescent="0.25"/>
    <row r="224908" s="12" customFormat="1" x14ac:dyDescent="0.25"/>
    <row r="224909" s="12" customFormat="1" x14ac:dyDescent="0.25"/>
    <row r="224910" s="12" customFormat="1" x14ac:dyDescent="0.25"/>
    <row r="224911" s="12" customFormat="1" x14ac:dyDescent="0.25"/>
    <row r="224912" s="12" customFormat="1" x14ac:dyDescent="0.25"/>
    <row r="224913" s="12" customFormat="1" x14ac:dyDescent="0.25"/>
    <row r="224914" s="12" customFormat="1" x14ac:dyDescent="0.25"/>
    <row r="224915" s="12" customFormat="1" x14ac:dyDescent="0.25"/>
    <row r="224916" s="12" customFormat="1" x14ac:dyDescent="0.25"/>
    <row r="224917" s="12" customFormat="1" x14ac:dyDescent="0.25"/>
    <row r="224918" s="12" customFormat="1" x14ac:dyDescent="0.25"/>
    <row r="224919" s="12" customFormat="1" x14ac:dyDescent="0.25"/>
    <row r="224920" s="12" customFormat="1" x14ac:dyDescent="0.25"/>
    <row r="224921" s="12" customFormat="1" x14ac:dyDescent="0.25"/>
    <row r="224922" s="12" customFormat="1" x14ac:dyDescent="0.25"/>
    <row r="224923" s="12" customFormat="1" x14ac:dyDescent="0.25"/>
    <row r="224924" s="12" customFormat="1" x14ac:dyDescent="0.25"/>
    <row r="224925" s="12" customFormat="1" x14ac:dyDescent="0.25"/>
    <row r="224926" s="12" customFormat="1" x14ac:dyDescent="0.25"/>
    <row r="224927" s="12" customFormat="1" x14ac:dyDescent="0.25"/>
    <row r="224928" s="12" customFormat="1" x14ac:dyDescent="0.25"/>
    <row r="224929" s="12" customFormat="1" x14ac:dyDescent="0.25"/>
    <row r="224930" s="12" customFormat="1" x14ac:dyDescent="0.25"/>
    <row r="224931" s="12" customFormat="1" x14ac:dyDescent="0.25"/>
    <row r="224932" s="12" customFormat="1" x14ac:dyDescent="0.25"/>
    <row r="224933" s="12" customFormat="1" x14ac:dyDescent="0.25"/>
    <row r="224934" s="12" customFormat="1" x14ac:dyDescent="0.25"/>
    <row r="224935" s="12" customFormat="1" x14ac:dyDescent="0.25"/>
    <row r="224936" s="12" customFormat="1" x14ac:dyDescent="0.25"/>
    <row r="224937" s="12" customFormat="1" x14ac:dyDescent="0.25"/>
    <row r="224938" s="12" customFormat="1" x14ac:dyDescent="0.25"/>
    <row r="224939" s="12" customFormat="1" x14ac:dyDescent="0.25"/>
    <row r="224940" s="12" customFormat="1" x14ac:dyDescent="0.25"/>
    <row r="224941" s="12" customFormat="1" x14ac:dyDescent="0.25"/>
    <row r="224942" s="12" customFormat="1" x14ac:dyDescent="0.25"/>
    <row r="224943" s="12" customFormat="1" x14ac:dyDescent="0.25"/>
    <row r="224944" s="12" customFormat="1" x14ac:dyDescent="0.25"/>
    <row r="224945" s="12" customFormat="1" x14ac:dyDescent="0.25"/>
    <row r="224946" s="12" customFormat="1" x14ac:dyDescent="0.25"/>
    <row r="224947" s="12" customFormat="1" x14ac:dyDescent="0.25"/>
    <row r="224948" s="12" customFormat="1" x14ac:dyDescent="0.25"/>
    <row r="224949" s="12" customFormat="1" x14ac:dyDescent="0.25"/>
    <row r="224950" s="12" customFormat="1" x14ac:dyDescent="0.25"/>
    <row r="224951" s="12" customFormat="1" x14ac:dyDescent="0.25"/>
    <row r="224952" s="12" customFormat="1" x14ac:dyDescent="0.25"/>
    <row r="224953" s="12" customFormat="1" x14ac:dyDescent="0.25"/>
    <row r="224954" s="12" customFormat="1" x14ac:dyDescent="0.25"/>
    <row r="224955" s="12" customFormat="1" x14ac:dyDescent="0.25"/>
    <row r="224956" s="12" customFormat="1" x14ac:dyDescent="0.25"/>
    <row r="224957" s="12" customFormat="1" x14ac:dyDescent="0.25"/>
    <row r="224958" s="12" customFormat="1" x14ac:dyDescent="0.25"/>
    <row r="224959" s="12" customFormat="1" x14ac:dyDescent="0.25"/>
    <row r="224960" s="12" customFormat="1" x14ac:dyDescent="0.25"/>
    <row r="224961" s="12" customFormat="1" x14ac:dyDescent="0.25"/>
    <row r="224962" s="12" customFormat="1" x14ac:dyDescent="0.25"/>
    <row r="224963" s="12" customFormat="1" x14ac:dyDescent="0.25"/>
    <row r="224964" s="12" customFormat="1" x14ac:dyDescent="0.25"/>
    <row r="224965" s="12" customFormat="1" x14ac:dyDescent="0.25"/>
    <row r="224966" s="12" customFormat="1" x14ac:dyDescent="0.25"/>
    <row r="224967" s="12" customFormat="1" x14ac:dyDescent="0.25"/>
    <row r="224968" s="12" customFormat="1" x14ac:dyDescent="0.25"/>
    <row r="224969" s="12" customFormat="1" x14ac:dyDescent="0.25"/>
    <row r="224970" s="12" customFormat="1" x14ac:dyDescent="0.25"/>
    <row r="224971" s="12" customFormat="1" x14ac:dyDescent="0.25"/>
    <row r="224972" s="12" customFormat="1" x14ac:dyDescent="0.25"/>
    <row r="224973" s="12" customFormat="1" x14ac:dyDescent="0.25"/>
    <row r="224974" s="12" customFormat="1" x14ac:dyDescent="0.25"/>
    <row r="224975" s="12" customFormat="1" x14ac:dyDescent="0.25"/>
    <row r="224976" s="12" customFormat="1" x14ac:dyDescent="0.25"/>
    <row r="224977" s="12" customFormat="1" x14ac:dyDescent="0.25"/>
    <row r="224978" s="12" customFormat="1" x14ac:dyDescent="0.25"/>
    <row r="224979" s="12" customFormat="1" x14ac:dyDescent="0.25"/>
    <row r="224980" s="12" customFormat="1" x14ac:dyDescent="0.25"/>
    <row r="224981" s="12" customFormat="1" x14ac:dyDescent="0.25"/>
    <row r="224982" s="12" customFormat="1" x14ac:dyDescent="0.25"/>
    <row r="224983" s="12" customFormat="1" x14ac:dyDescent="0.25"/>
    <row r="224984" s="12" customFormat="1" x14ac:dyDescent="0.25"/>
    <row r="224985" s="12" customFormat="1" x14ac:dyDescent="0.25"/>
    <row r="224986" s="12" customFormat="1" x14ac:dyDescent="0.25"/>
    <row r="224987" s="12" customFormat="1" x14ac:dyDescent="0.25"/>
    <row r="224988" s="12" customFormat="1" x14ac:dyDescent="0.25"/>
    <row r="224989" s="12" customFormat="1" x14ac:dyDescent="0.25"/>
    <row r="224990" s="12" customFormat="1" x14ac:dyDescent="0.25"/>
    <row r="224991" s="12" customFormat="1" x14ac:dyDescent="0.25"/>
    <row r="224992" s="12" customFormat="1" x14ac:dyDescent="0.25"/>
    <row r="224993" s="12" customFormat="1" x14ac:dyDescent="0.25"/>
    <row r="224994" s="12" customFormat="1" x14ac:dyDescent="0.25"/>
    <row r="224995" s="12" customFormat="1" x14ac:dyDescent="0.25"/>
    <row r="224996" s="12" customFormat="1" x14ac:dyDescent="0.25"/>
    <row r="224997" s="12" customFormat="1" x14ac:dyDescent="0.25"/>
    <row r="224998" s="12" customFormat="1" x14ac:dyDescent="0.25"/>
    <row r="224999" s="12" customFormat="1" x14ac:dyDescent="0.25"/>
    <row r="225000" s="12" customFormat="1" x14ac:dyDescent="0.25"/>
    <row r="225001" s="12" customFormat="1" x14ac:dyDescent="0.25"/>
    <row r="225002" s="12" customFormat="1" x14ac:dyDescent="0.25"/>
    <row r="225003" s="12" customFormat="1" x14ac:dyDescent="0.25"/>
    <row r="225004" s="12" customFormat="1" x14ac:dyDescent="0.25"/>
    <row r="225005" s="12" customFormat="1" x14ac:dyDescent="0.25"/>
    <row r="225006" s="12" customFormat="1" x14ac:dyDescent="0.25"/>
    <row r="225007" s="12" customFormat="1" x14ac:dyDescent="0.25"/>
    <row r="225008" s="12" customFormat="1" x14ac:dyDescent="0.25"/>
    <row r="225009" s="12" customFormat="1" x14ac:dyDescent="0.25"/>
    <row r="225010" s="12" customFormat="1" x14ac:dyDescent="0.25"/>
    <row r="225011" s="12" customFormat="1" x14ac:dyDescent="0.25"/>
    <row r="225012" s="12" customFormat="1" x14ac:dyDescent="0.25"/>
    <row r="225013" s="12" customFormat="1" x14ac:dyDescent="0.25"/>
    <row r="225014" s="12" customFormat="1" x14ac:dyDescent="0.25"/>
    <row r="225015" s="12" customFormat="1" x14ac:dyDescent="0.25"/>
    <row r="225016" s="12" customFormat="1" x14ac:dyDescent="0.25"/>
    <row r="225017" s="12" customFormat="1" x14ac:dyDescent="0.25"/>
    <row r="225018" s="12" customFormat="1" x14ac:dyDescent="0.25"/>
    <row r="225019" s="12" customFormat="1" x14ac:dyDescent="0.25"/>
    <row r="225020" s="12" customFormat="1" x14ac:dyDescent="0.25"/>
    <row r="225021" s="12" customFormat="1" x14ac:dyDescent="0.25"/>
    <row r="225022" s="12" customFormat="1" x14ac:dyDescent="0.25"/>
    <row r="225023" s="12" customFormat="1" x14ac:dyDescent="0.25"/>
    <row r="225024" s="12" customFormat="1" x14ac:dyDescent="0.25"/>
    <row r="225025" s="12" customFormat="1" x14ac:dyDescent="0.25"/>
    <row r="225026" s="12" customFormat="1" x14ac:dyDescent="0.25"/>
    <row r="225027" s="12" customFormat="1" x14ac:dyDescent="0.25"/>
    <row r="225028" s="12" customFormat="1" x14ac:dyDescent="0.25"/>
    <row r="225029" s="12" customFormat="1" x14ac:dyDescent="0.25"/>
    <row r="225030" s="12" customFormat="1" x14ac:dyDescent="0.25"/>
    <row r="225031" s="12" customFormat="1" x14ac:dyDescent="0.25"/>
    <row r="225032" s="12" customFormat="1" x14ac:dyDescent="0.25"/>
    <row r="225033" s="12" customFormat="1" x14ac:dyDescent="0.25"/>
    <row r="225034" s="12" customFormat="1" x14ac:dyDescent="0.25"/>
    <row r="225035" s="12" customFormat="1" x14ac:dyDescent="0.25"/>
    <row r="225036" s="12" customFormat="1" x14ac:dyDescent="0.25"/>
    <row r="225037" s="12" customFormat="1" x14ac:dyDescent="0.25"/>
    <row r="225038" s="12" customFormat="1" x14ac:dyDescent="0.25"/>
    <row r="225039" s="12" customFormat="1" x14ac:dyDescent="0.25"/>
    <row r="225040" s="12" customFormat="1" x14ac:dyDescent="0.25"/>
    <row r="225041" s="12" customFormat="1" x14ac:dyDescent="0.25"/>
    <row r="225042" s="12" customFormat="1" x14ac:dyDescent="0.25"/>
    <row r="225043" s="12" customFormat="1" x14ac:dyDescent="0.25"/>
    <row r="225044" s="12" customFormat="1" x14ac:dyDescent="0.25"/>
    <row r="225045" s="12" customFormat="1" x14ac:dyDescent="0.25"/>
    <row r="225046" s="12" customFormat="1" x14ac:dyDescent="0.25"/>
    <row r="225047" s="12" customFormat="1" x14ac:dyDescent="0.25"/>
    <row r="225048" s="12" customFormat="1" x14ac:dyDescent="0.25"/>
    <row r="225049" s="12" customFormat="1" x14ac:dyDescent="0.25"/>
    <row r="225050" s="12" customFormat="1" x14ac:dyDescent="0.25"/>
    <row r="225051" s="12" customFormat="1" x14ac:dyDescent="0.25"/>
    <row r="225052" s="12" customFormat="1" x14ac:dyDescent="0.25"/>
    <row r="225053" s="12" customFormat="1" x14ac:dyDescent="0.25"/>
    <row r="225054" s="12" customFormat="1" x14ac:dyDescent="0.25"/>
    <row r="225055" s="12" customFormat="1" x14ac:dyDescent="0.25"/>
    <row r="225056" s="12" customFormat="1" x14ac:dyDescent="0.25"/>
    <row r="225057" s="12" customFormat="1" x14ac:dyDescent="0.25"/>
    <row r="225058" s="12" customFormat="1" x14ac:dyDescent="0.25"/>
    <row r="225059" s="12" customFormat="1" x14ac:dyDescent="0.25"/>
    <row r="225060" s="12" customFormat="1" x14ac:dyDescent="0.25"/>
    <row r="225061" s="12" customFormat="1" x14ac:dyDescent="0.25"/>
    <row r="225062" s="12" customFormat="1" x14ac:dyDescent="0.25"/>
    <row r="225063" s="12" customFormat="1" x14ac:dyDescent="0.25"/>
    <row r="225064" s="12" customFormat="1" x14ac:dyDescent="0.25"/>
    <row r="225065" s="12" customFormat="1" x14ac:dyDescent="0.25"/>
    <row r="225066" s="12" customFormat="1" x14ac:dyDescent="0.25"/>
    <row r="225067" s="12" customFormat="1" x14ac:dyDescent="0.25"/>
    <row r="225068" s="12" customFormat="1" x14ac:dyDescent="0.25"/>
    <row r="225069" s="12" customFormat="1" x14ac:dyDescent="0.25"/>
    <row r="225070" s="12" customFormat="1" x14ac:dyDescent="0.25"/>
    <row r="225071" s="12" customFormat="1" x14ac:dyDescent="0.25"/>
    <row r="225072" s="12" customFormat="1" x14ac:dyDescent="0.25"/>
    <row r="225073" s="12" customFormat="1" x14ac:dyDescent="0.25"/>
    <row r="225074" s="12" customFormat="1" x14ac:dyDescent="0.25"/>
    <row r="225075" s="12" customFormat="1" x14ac:dyDescent="0.25"/>
    <row r="225076" s="12" customFormat="1" x14ac:dyDescent="0.25"/>
    <row r="225077" s="12" customFormat="1" x14ac:dyDescent="0.25"/>
    <row r="225078" s="12" customFormat="1" x14ac:dyDescent="0.25"/>
    <row r="225079" s="12" customFormat="1" x14ac:dyDescent="0.25"/>
    <row r="225080" s="12" customFormat="1" x14ac:dyDescent="0.25"/>
    <row r="225081" s="12" customFormat="1" x14ac:dyDescent="0.25"/>
    <row r="225082" s="12" customFormat="1" x14ac:dyDescent="0.25"/>
    <row r="225083" s="12" customFormat="1" x14ac:dyDescent="0.25"/>
    <row r="225084" s="12" customFormat="1" x14ac:dyDescent="0.25"/>
    <row r="225085" s="12" customFormat="1" x14ac:dyDescent="0.25"/>
    <row r="225086" s="12" customFormat="1" x14ac:dyDescent="0.25"/>
    <row r="225087" s="12" customFormat="1" x14ac:dyDescent="0.25"/>
    <row r="225088" s="12" customFormat="1" x14ac:dyDescent="0.25"/>
    <row r="225089" s="12" customFormat="1" x14ac:dyDescent="0.25"/>
    <row r="225090" s="12" customFormat="1" x14ac:dyDescent="0.25"/>
    <row r="225091" s="12" customFormat="1" x14ac:dyDescent="0.25"/>
    <row r="225092" s="12" customFormat="1" x14ac:dyDescent="0.25"/>
    <row r="225093" s="12" customFormat="1" x14ac:dyDescent="0.25"/>
    <row r="225094" s="12" customFormat="1" x14ac:dyDescent="0.25"/>
    <row r="225095" s="12" customFormat="1" x14ac:dyDescent="0.25"/>
    <row r="225096" s="12" customFormat="1" x14ac:dyDescent="0.25"/>
    <row r="225097" s="12" customFormat="1" x14ac:dyDescent="0.25"/>
    <row r="225098" s="12" customFormat="1" x14ac:dyDescent="0.25"/>
    <row r="225099" s="12" customFormat="1" x14ac:dyDescent="0.25"/>
    <row r="225100" s="12" customFormat="1" x14ac:dyDescent="0.25"/>
    <row r="225101" s="12" customFormat="1" x14ac:dyDescent="0.25"/>
    <row r="225102" s="12" customFormat="1" x14ac:dyDescent="0.25"/>
    <row r="225103" s="12" customFormat="1" x14ac:dyDescent="0.25"/>
    <row r="225104" s="12" customFormat="1" x14ac:dyDescent="0.25"/>
    <row r="225105" s="12" customFormat="1" x14ac:dyDescent="0.25"/>
    <row r="225106" s="12" customFormat="1" x14ac:dyDescent="0.25"/>
    <row r="225107" s="12" customFormat="1" x14ac:dyDescent="0.25"/>
    <row r="225108" s="12" customFormat="1" x14ac:dyDescent="0.25"/>
    <row r="225109" s="12" customFormat="1" x14ac:dyDescent="0.25"/>
    <row r="225110" s="12" customFormat="1" x14ac:dyDescent="0.25"/>
    <row r="225111" s="12" customFormat="1" x14ac:dyDescent="0.25"/>
    <row r="225112" s="12" customFormat="1" x14ac:dyDescent="0.25"/>
    <row r="225113" s="12" customFormat="1" x14ac:dyDescent="0.25"/>
    <row r="225114" s="12" customFormat="1" x14ac:dyDescent="0.25"/>
    <row r="225115" s="12" customFormat="1" x14ac:dyDescent="0.25"/>
    <row r="225116" s="12" customFormat="1" x14ac:dyDescent="0.25"/>
    <row r="225117" s="12" customFormat="1" x14ac:dyDescent="0.25"/>
    <row r="225118" s="12" customFormat="1" x14ac:dyDescent="0.25"/>
    <row r="225119" s="12" customFormat="1" x14ac:dyDescent="0.25"/>
    <row r="225120" s="12" customFormat="1" x14ac:dyDescent="0.25"/>
    <row r="225121" s="12" customFormat="1" x14ac:dyDescent="0.25"/>
    <row r="225122" s="12" customFormat="1" x14ac:dyDescent="0.25"/>
    <row r="225123" s="12" customFormat="1" x14ac:dyDescent="0.25"/>
    <row r="225124" s="12" customFormat="1" x14ac:dyDescent="0.25"/>
    <row r="225125" s="12" customFormat="1" x14ac:dyDescent="0.25"/>
    <row r="225126" s="12" customFormat="1" x14ac:dyDescent="0.25"/>
    <row r="225127" s="12" customFormat="1" x14ac:dyDescent="0.25"/>
    <row r="225128" s="12" customFormat="1" x14ac:dyDescent="0.25"/>
    <row r="225129" s="12" customFormat="1" x14ac:dyDescent="0.25"/>
    <row r="225130" s="12" customFormat="1" x14ac:dyDescent="0.25"/>
    <row r="225131" s="12" customFormat="1" x14ac:dyDescent="0.25"/>
    <row r="225132" s="12" customFormat="1" x14ac:dyDescent="0.25"/>
    <row r="225133" s="12" customFormat="1" x14ac:dyDescent="0.25"/>
    <row r="225134" s="12" customFormat="1" x14ac:dyDescent="0.25"/>
    <row r="225135" s="12" customFormat="1" x14ac:dyDescent="0.25"/>
    <row r="225136" s="12" customFormat="1" x14ac:dyDescent="0.25"/>
    <row r="225137" s="12" customFormat="1" x14ac:dyDescent="0.25"/>
    <row r="225138" s="12" customFormat="1" x14ac:dyDescent="0.25"/>
    <row r="225139" s="12" customFormat="1" x14ac:dyDescent="0.25"/>
    <row r="225140" s="12" customFormat="1" x14ac:dyDescent="0.25"/>
    <row r="225141" s="12" customFormat="1" x14ac:dyDescent="0.25"/>
    <row r="225142" s="12" customFormat="1" x14ac:dyDescent="0.25"/>
    <row r="225143" s="12" customFormat="1" x14ac:dyDescent="0.25"/>
    <row r="225144" s="12" customFormat="1" x14ac:dyDescent="0.25"/>
    <row r="225145" s="12" customFormat="1" x14ac:dyDescent="0.25"/>
    <row r="225146" s="12" customFormat="1" x14ac:dyDescent="0.25"/>
    <row r="225147" s="12" customFormat="1" x14ac:dyDescent="0.25"/>
    <row r="225148" s="12" customFormat="1" x14ac:dyDescent="0.25"/>
    <row r="225149" s="12" customFormat="1" x14ac:dyDescent="0.25"/>
    <row r="225150" s="12" customFormat="1" x14ac:dyDescent="0.25"/>
    <row r="225151" s="12" customFormat="1" x14ac:dyDescent="0.25"/>
    <row r="225152" s="12" customFormat="1" x14ac:dyDescent="0.25"/>
    <row r="225153" s="12" customFormat="1" x14ac:dyDescent="0.25"/>
    <row r="225154" s="12" customFormat="1" x14ac:dyDescent="0.25"/>
    <row r="225155" s="12" customFormat="1" x14ac:dyDescent="0.25"/>
    <row r="225156" s="12" customFormat="1" x14ac:dyDescent="0.25"/>
    <row r="225157" s="12" customFormat="1" x14ac:dyDescent="0.25"/>
    <row r="225158" s="12" customFormat="1" x14ac:dyDescent="0.25"/>
    <row r="225159" s="12" customFormat="1" x14ac:dyDescent="0.25"/>
    <row r="225160" s="12" customFormat="1" x14ac:dyDescent="0.25"/>
    <row r="225161" s="12" customFormat="1" x14ac:dyDescent="0.25"/>
    <row r="225162" s="12" customFormat="1" x14ac:dyDescent="0.25"/>
    <row r="225163" s="12" customFormat="1" x14ac:dyDescent="0.25"/>
    <row r="225164" s="12" customFormat="1" x14ac:dyDescent="0.25"/>
    <row r="225165" s="12" customFormat="1" x14ac:dyDescent="0.25"/>
    <row r="225166" s="12" customFormat="1" x14ac:dyDescent="0.25"/>
    <row r="225167" s="12" customFormat="1" x14ac:dyDescent="0.25"/>
    <row r="225168" s="12" customFormat="1" x14ac:dyDescent="0.25"/>
    <row r="225169" s="12" customFormat="1" x14ac:dyDescent="0.25"/>
    <row r="225170" s="12" customFormat="1" x14ac:dyDescent="0.25"/>
    <row r="225171" s="12" customFormat="1" x14ac:dyDescent="0.25"/>
    <row r="225172" s="12" customFormat="1" x14ac:dyDescent="0.25"/>
    <row r="225173" s="12" customFormat="1" x14ac:dyDescent="0.25"/>
    <row r="225174" s="12" customFormat="1" x14ac:dyDescent="0.25"/>
    <row r="225175" s="12" customFormat="1" x14ac:dyDescent="0.25"/>
    <row r="225176" s="12" customFormat="1" x14ac:dyDescent="0.25"/>
    <row r="225177" s="12" customFormat="1" x14ac:dyDescent="0.25"/>
    <row r="225178" s="12" customFormat="1" x14ac:dyDescent="0.25"/>
    <row r="225179" s="12" customFormat="1" x14ac:dyDescent="0.25"/>
    <row r="225180" s="12" customFormat="1" x14ac:dyDescent="0.25"/>
    <row r="225181" s="12" customFormat="1" x14ac:dyDescent="0.25"/>
    <row r="225182" s="12" customFormat="1" x14ac:dyDescent="0.25"/>
    <row r="225183" s="12" customFormat="1" x14ac:dyDescent="0.25"/>
    <row r="225184" s="12" customFormat="1" x14ac:dyDescent="0.25"/>
    <row r="225185" s="12" customFormat="1" x14ac:dyDescent="0.25"/>
    <row r="225186" s="12" customFormat="1" x14ac:dyDescent="0.25"/>
    <row r="225187" s="12" customFormat="1" x14ac:dyDescent="0.25"/>
    <row r="225188" s="12" customFormat="1" x14ac:dyDescent="0.25"/>
    <row r="225189" s="12" customFormat="1" x14ac:dyDescent="0.25"/>
    <row r="225190" s="12" customFormat="1" x14ac:dyDescent="0.25"/>
    <row r="225191" s="12" customFormat="1" x14ac:dyDescent="0.25"/>
    <row r="225192" s="12" customFormat="1" x14ac:dyDescent="0.25"/>
    <row r="225193" s="12" customFormat="1" x14ac:dyDescent="0.25"/>
    <row r="225194" s="12" customFormat="1" x14ac:dyDescent="0.25"/>
    <row r="225195" s="12" customFormat="1" x14ac:dyDescent="0.25"/>
    <row r="225196" s="12" customFormat="1" x14ac:dyDescent="0.25"/>
    <row r="225197" s="12" customFormat="1" x14ac:dyDescent="0.25"/>
    <row r="225198" s="12" customFormat="1" x14ac:dyDescent="0.25"/>
    <row r="225199" s="12" customFormat="1" x14ac:dyDescent="0.25"/>
    <row r="225200" s="12" customFormat="1" x14ac:dyDescent="0.25"/>
    <row r="225201" s="12" customFormat="1" x14ac:dyDescent="0.25"/>
    <row r="225202" s="12" customFormat="1" x14ac:dyDescent="0.25"/>
    <row r="225203" s="12" customFormat="1" x14ac:dyDescent="0.25"/>
    <row r="225204" s="12" customFormat="1" x14ac:dyDescent="0.25"/>
    <row r="225205" s="12" customFormat="1" x14ac:dyDescent="0.25"/>
    <row r="225206" s="12" customFormat="1" x14ac:dyDescent="0.25"/>
    <row r="225207" s="12" customFormat="1" x14ac:dyDescent="0.25"/>
    <row r="225208" s="12" customFormat="1" x14ac:dyDescent="0.25"/>
    <row r="225209" s="12" customFormat="1" x14ac:dyDescent="0.25"/>
    <row r="225210" s="12" customFormat="1" x14ac:dyDescent="0.25"/>
    <row r="225211" s="12" customFormat="1" x14ac:dyDescent="0.25"/>
    <row r="225212" s="12" customFormat="1" x14ac:dyDescent="0.25"/>
    <row r="225213" s="12" customFormat="1" x14ac:dyDescent="0.25"/>
    <row r="225214" s="12" customFormat="1" x14ac:dyDescent="0.25"/>
    <row r="225215" s="12" customFormat="1" x14ac:dyDescent="0.25"/>
    <row r="225216" s="12" customFormat="1" x14ac:dyDescent="0.25"/>
    <row r="225217" s="12" customFormat="1" x14ac:dyDescent="0.25"/>
    <row r="225218" s="12" customFormat="1" x14ac:dyDescent="0.25"/>
    <row r="225219" s="12" customFormat="1" x14ac:dyDescent="0.25"/>
    <row r="225220" s="12" customFormat="1" x14ac:dyDescent="0.25"/>
    <row r="225221" s="12" customFormat="1" x14ac:dyDescent="0.25"/>
    <row r="225222" s="12" customFormat="1" x14ac:dyDescent="0.25"/>
    <row r="225223" s="12" customFormat="1" x14ac:dyDescent="0.25"/>
    <row r="225224" s="12" customFormat="1" x14ac:dyDescent="0.25"/>
    <row r="225225" s="12" customFormat="1" x14ac:dyDescent="0.25"/>
    <row r="225226" s="12" customFormat="1" x14ac:dyDescent="0.25"/>
    <row r="225227" s="12" customFormat="1" x14ac:dyDescent="0.25"/>
    <row r="225228" s="12" customFormat="1" x14ac:dyDescent="0.25"/>
    <row r="225229" s="12" customFormat="1" x14ac:dyDescent="0.25"/>
    <row r="225230" s="12" customFormat="1" x14ac:dyDescent="0.25"/>
    <row r="225231" s="12" customFormat="1" x14ac:dyDescent="0.25"/>
    <row r="225232" s="12" customFormat="1" x14ac:dyDescent="0.25"/>
    <row r="225233" s="12" customFormat="1" x14ac:dyDescent="0.25"/>
    <row r="225234" s="12" customFormat="1" x14ac:dyDescent="0.25"/>
    <row r="225235" s="12" customFormat="1" x14ac:dyDescent="0.25"/>
    <row r="225236" s="12" customFormat="1" x14ac:dyDescent="0.25"/>
    <row r="225237" s="12" customFormat="1" x14ac:dyDescent="0.25"/>
    <row r="225238" s="12" customFormat="1" x14ac:dyDescent="0.25"/>
    <row r="225239" s="12" customFormat="1" x14ac:dyDescent="0.25"/>
    <row r="225240" s="12" customFormat="1" x14ac:dyDescent="0.25"/>
    <row r="225241" s="12" customFormat="1" x14ac:dyDescent="0.25"/>
    <row r="225242" s="12" customFormat="1" x14ac:dyDescent="0.25"/>
    <row r="225243" s="12" customFormat="1" x14ac:dyDescent="0.25"/>
    <row r="225244" s="12" customFormat="1" x14ac:dyDescent="0.25"/>
    <row r="225245" s="12" customFormat="1" x14ac:dyDescent="0.25"/>
    <row r="225246" s="12" customFormat="1" x14ac:dyDescent="0.25"/>
    <row r="225247" s="12" customFormat="1" x14ac:dyDescent="0.25"/>
    <row r="225248" s="12" customFormat="1" x14ac:dyDescent="0.25"/>
    <row r="225249" s="12" customFormat="1" x14ac:dyDescent="0.25"/>
    <row r="225250" s="12" customFormat="1" x14ac:dyDescent="0.25"/>
    <row r="225251" s="12" customFormat="1" x14ac:dyDescent="0.25"/>
    <row r="225252" s="12" customFormat="1" x14ac:dyDescent="0.25"/>
    <row r="225253" s="12" customFormat="1" x14ac:dyDescent="0.25"/>
    <row r="225254" s="12" customFormat="1" x14ac:dyDescent="0.25"/>
    <row r="225255" s="12" customFormat="1" x14ac:dyDescent="0.25"/>
    <row r="225256" s="12" customFormat="1" x14ac:dyDescent="0.25"/>
    <row r="225257" s="12" customFormat="1" x14ac:dyDescent="0.25"/>
    <row r="225258" s="12" customFormat="1" x14ac:dyDescent="0.25"/>
    <row r="225259" s="12" customFormat="1" x14ac:dyDescent="0.25"/>
    <row r="225260" s="12" customFormat="1" x14ac:dyDescent="0.25"/>
    <row r="225261" s="12" customFormat="1" x14ac:dyDescent="0.25"/>
    <row r="225262" s="12" customFormat="1" x14ac:dyDescent="0.25"/>
    <row r="225263" s="12" customFormat="1" x14ac:dyDescent="0.25"/>
    <row r="225264" s="12" customFormat="1" x14ac:dyDescent="0.25"/>
    <row r="225265" s="12" customFormat="1" x14ac:dyDescent="0.25"/>
    <row r="225266" s="12" customFormat="1" x14ac:dyDescent="0.25"/>
    <row r="225267" s="12" customFormat="1" x14ac:dyDescent="0.25"/>
    <row r="225268" s="12" customFormat="1" x14ac:dyDescent="0.25"/>
    <row r="225269" s="12" customFormat="1" x14ac:dyDescent="0.25"/>
    <row r="225270" s="12" customFormat="1" x14ac:dyDescent="0.25"/>
    <row r="225271" s="12" customFormat="1" x14ac:dyDescent="0.25"/>
    <row r="225272" s="12" customFormat="1" x14ac:dyDescent="0.25"/>
    <row r="225273" s="12" customFormat="1" x14ac:dyDescent="0.25"/>
    <row r="225274" s="12" customFormat="1" x14ac:dyDescent="0.25"/>
    <row r="225275" s="12" customFormat="1" x14ac:dyDescent="0.25"/>
    <row r="225276" s="12" customFormat="1" x14ac:dyDescent="0.25"/>
    <row r="225277" s="12" customFormat="1" x14ac:dyDescent="0.25"/>
    <row r="225278" s="12" customFormat="1" x14ac:dyDescent="0.25"/>
    <row r="225279" s="12" customFormat="1" x14ac:dyDescent="0.25"/>
    <row r="225280" s="12" customFormat="1" x14ac:dyDescent="0.25"/>
    <row r="225281" s="12" customFormat="1" x14ac:dyDescent="0.25"/>
    <row r="225282" s="12" customFormat="1" x14ac:dyDescent="0.25"/>
    <row r="225283" s="12" customFormat="1" x14ac:dyDescent="0.25"/>
    <row r="225284" s="12" customFormat="1" x14ac:dyDescent="0.25"/>
    <row r="225285" s="12" customFormat="1" x14ac:dyDescent="0.25"/>
    <row r="225286" s="12" customFormat="1" x14ac:dyDescent="0.25"/>
    <row r="225287" s="12" customFormat="1" x14ac:dyDescent="0.25"/>
    <row r="225288" s="12" customFormat="1" x14ac:dyDescent="0.25"/>
    <row r="225289" s="12" customFormat="1" x14ac:dyDescent="0.25"/>
    <row r="225290" s="12" customFormat="1" x14ac:dyDescent="0.25"/>
    <row r="225291" s="12" customFormat="1" x14ac:dyDescent="0.25"/>
    <row r="225292" s="12" customFormat="1" x14ac:dyDescent="0.25"/>
    <row r="225293" s="12" customFormat="1" x14ac:dyDescent="0.25"/>
    <row r="225294" s="12" customFormat="1" x14ac:dyDescent="0.25"/>
    <row r="225295" s="12" customFormat="1" x14ac:dyDescent="0.25"/>
    <row r="225296" s="12" customFormat="1" x14ac:dyDescent="0.25"/>
    <row r="225297" s="12" customFormat="1" x14ac:dyDescent="0.25"/>
    <row r="225298" s="12" customFormat="1" x14ac:dyDescent="0.25"/>
    <row r="225299" s="12" customFormat="1" x14ac:dyDescent="0.25"/>
    <row r="225300" s="12" customFormat="1" x14ac:dyDescent="0.25"/>
    <row r="225301" s="12" customFormat="1" x14ac:dyDescent="0.25"/>
    <row r="225302" s="12" customFormat="1" x14ac:dyDescent="0.25"/>
    <row r="225303" s="12" customFormat="1" x14ac:dyDescent="0.25"/>
    <row r="225304" s="12" customFormat="1" x14ac:dyDescent="0.25"/>
    <row r="225305" s="12" customFormat="1" x14ac:dyDescent="0.25"/>
    <row r="225306" s="12" customFormat="1" x14ac:dyDescent="0.25"/>
    <row r="225307" s="12" customFormat="1" x14ac:dyDescent="0.25"/>
    <row r="225308" s="12" customFormat="1" x14ac:dyDescent="0.25"/>
    <row r="225309" s="12" customFormat="1" x14ac:dyDescent="0.25"/>
    <row r="225310" s="12" customFormat="1" x14ac:dyDescent="0.25"/>
    <row r="225311" s="12" customFormat="1" x14ac:dyDescent="0.25"/>
    <row r="225312" s="12" customFormat="1" x14ac:dyDescent="0.25"/>
    <row r="225313" s="12" customFormat="1" x14ac:dyDescent="0.25"/>
    <row r="225314" s="12" customFormat="1" x14ac:dyDescent="0.25"/>
    <row r="225315" s="12" customFormat="1" x14ac:dyDescent="0.25"/>
    <row r="225316" s="12" customFormat="1" x14ac:dyDescent="0.25"/>
    <row r="225317" s="12" customFormat="1" x14ac:dyDescent="0.25"/>
    <row r="225318" s="12" customFormat="1" x14ac:dyDescent="0.25"/>
    <row r="225319" s="12" customFormat="1" x14ac:dyDescent="0.25"/>
    <row r="225320" s="12" customFormat="1" x14ac:dyDescent="0.25"/>
    <row r="225321" s="12" customFormat="1" x14ac:dyDescent="0.25"/>
    <row r="225322" s="12" customFormat="1" x14ac:dyDescent="0.25"/>
    <row r="225323" s="12" customFormat="1" x14ac:dyDescent="0.25"/>
    <row r="225324" s="12" customFormat="1" x14ac:dyDescent="0.25"/>
    <row r="225325" s="12" customFormat="1" x14ac:dyDescent="0.25"/>
    <row r="225326" s="12" customFormat="1" x14ac:dyDescent="0.25"/>
    <row r="225327" s="12" customFormat="1" x14ac:dyDescent="0.25"/>
    <row r="225328" s="12" customFormat="1" x14ac:dyDescent="0.25"/>
    <row r="225329" s="12" customFormat="1" x14ac:dyDescent="0.25"/>
    <row r="225330" s="12" customFormat="1" x14ac:dyDescent="0.25"/>
    <row r="225331" s="12" customFormat="1" x14ac:dyDescent="0.25"/>
    <row r="225332" s="12" customFormat="1" x14ac:dyDescent="0.25"/>
    <row r="225333" s="12" customFormat="1" x14ac:dyDescent="0.25"/>
    <row r="225334" s="12" customFormat="1" x14ac:dyDescent="0.25"/>
    <row r="225335" s="12" customFormat="1" x14ac:dyDescent="0.25"/>
    <row r="225336" s="12" customFormat="1" x14ac:dyDescent="0.25"/>
    <row r="225337" s="12" customFormat="1" x14ac:dyDescent="0.25"/>
    <row r="225338" s="12" customFormat="1" x14ac:dyDescent="0.25"/>
    <row r="225339" s="12" customFormat="1" x14ac:dyDescent="0.25"/>
    <row r="225340" s="12" customFormat="1" x14ac:dyDescent="0.25"/>
    <row r="225341" s="12" customFormat="1" x14ac:dyDescent="0.25"/>
    <row r="225342" s="12" customFormat="1" x14ac:dyDescent="0.25"/>
    <row r="225343" s="12" customFormat="1" x14ac:dyDescent="0.25"/>
    <row r="225344" s="12" customFormat="1" x14ac:dyDescent="0.25"/>
    <row r="225345" s="12" customFormat="1" x14ac:dyDescent="0.25"/>
    <row r="225346" s="12" customFormat="1" x14ac:dyDescent="0.25"/>
    <row r="225347" s="12" customFormat="1" x14ac:dyDescent="0.25"/>
    <row r="225348" s="12" customFormat="1" x14ac:dyDescent="0.25"/>
    <row r="225349" s="12" customFormat="1" x14ac:dyDescent="0.25"/>
    <row r="225350" s="12" customFormat="1" x14ac:dyDescent="0.25"/>
    <row r="225351" s="12" customFormat="1" x14ac:dyDescent="0.25"/>
    <row r="225352" s="12" customFormat="1" x14ac:dyDescent="0.25"/>
    <row r="225353" s="12" customFormat="1" x14ac:dyDescent="0.25"/>
    <row r="225354" s="12" customFormat="1" x14ac:dyDescent="0.25"/>
    <row r="225355" s="12" customFormat="1" x14ac:dyDescent="0.25"/>
    <row r="225356" s="12" customFormat="1" x14ac:dyDescent="0.25"/>
    <row r="225357" s="12" customFormat="1" x14ac:dyDescent="0.25"/>
    <row r="225358" s="12" customFormat="1" x14ac:dyDescent="0.25"/>
    <row r="225359" s="12" customFormat="1" x14ac:dyDescent="0.25"/>
    <row r="225360" s="12" customFormat="1" x14ac:dyDescent="0.25"/>
    <row r="225361" s="12" customFormat="1" x14ac:dyDescent="0.25"/>
    <row r="225362" s="12" customFormat="1" x14ac:dyDescent="0.25"/>
    <row r="225363" s="12" customFormat="1" x14ac:dyDescent="0.25"/>
    <row r="225364" s="12" customFormat="1" x14ac:dyDescent="0.25"/>
    <row r="225365" s="12" customFormat="1" x14ac:dyDescent="0.25"/>
    <row r="225366" s="12" customFormat="1" x14ac:dyDescent="0.25"/>
    <row r="225367" s="12" customFormat="1" x14ac:dyDescent="0.25"/>
    <row r="225368" s="12" customFormat="1" x14ac:dyDescent="0.25"/>
    <row r="225369" s="12" customFormat="1" x14ac:dyDescent="0.25"/>
    <row r="225370" s="12" customFormat="1" x14ac:dyDescent="0.25"/>
    <row r="225371" s="12" customFormat="1" x14ac:dyDescent="0.25"/>
    <row r="225372" s="12" customFormat="1" x14ac:dyDescent="0.25"/>
    <row r="225373" s="12" customFormat="1" x14ac:dyDescent="0.25"/>
    <row r="225374" s="12" customFormat="1" x14ac:dyDescent="0.25"/>
    <row r="225375" s="12" customFormat="1" x14ac:dyDescent="0.25"/>
    <row r="225376" s="12" customFormat="1" x14ac:dyDescent="0.25"/>
    <row r="225377" s="12" customFormat="1" x14ac:dyDescent="0.25"/>
    <row r="225378" s="12" customFormat="1" x14ac:dyDescent="0.25"/>
    <row r="225379" s="12" customFormat="1" x14ac:dyDescent="0.25"/>
    <row r="225380" s="12" customFormat="1" x14ac:dyDescent="0.25"/>
    <row r="225381" s="12" customFormat="1" x14ac:dyDescent="0.25"/>
    <row r="225382" s="12" customFormat="1" x14ac:dyDescent="0.25"/>
    <row r="225383" s="12" customFormat="1" x14ac:dyDescent="0.25"/>
    <row r="225384" s="12" customFormat="1" x14ac:dyDescent="0.25"/>
    <row r="225385" s="12" customFormat="1" x14ac:dyDescent="0.25"/>
    <row r="225386" s="12" customFormat="1" x14ac:dyDescent="0.25"/>
    <row r="225387" s="12" customFormat="1" x14ac:dyDescent="0.25"/>
    <row r="225388" s="12" customFormat="1" x14ac:dyDescent="0.25"/>
    <row r="225389" s="12" customFormat="1" x14ac:dyDescent="0.25"/>
    <row r="225390" s="12" customFormat="1" x14ac:dyDescent="0.25"/>
    <row r="225391" s="12" customFormat="1" x14ac:dyDescent="0.25"/>
    <row r="225392" s="12" customFormat="1" x14ac:dyDescent="0.25"/>
    <row r="225393" s="12" customFormat="1" x14ac:dyDescent="0.25"/>
    <row r="225394" s="12" customFormat="1" x14ac:dyDescent="0.25"/>
    <row r="225395" s="12" customFormat="1" x14ac:dyDescent="0.25"/>
    <row r="225396" s="12" customFormat="1" x14ac:dyDescent="0.25"/>
    <row r="225397" s="12" customFormat="1" x14ac:dyDescent="0.25"/>
    <row r="225398" s="12" customFormat="1" x14ac:dyDescent="0.25"/>
    <row r="225399" s="12" customFormat="1" x14ac:dyDescent="0.25"/>
    <row r="225400" s="12" customFormat="1" x14ac:dyDescent="0.25"/>
    <row r="225401" s="12" customFormat="1" x14ac:dyDescent="0.25"/>
    <row r="225402" s="12" customFormat="1" x14ac:dyDescent="0.25"/>
    <row r="225403" s="12" customFormat="1" x14ac:dyDescent="0.25"/>
    <row r="225404" s="12" customFormat="1" x14ac:dyDescent="0.25"/>
    <row r="225405" s="12" customFormat="1" x14ac:dyDescent="0.25"/>
    <row r="225406" s="12" customFormat="1" x14ac:dyDescent="0.25"/>
    <row r="225407" s="12" customFormat="1" x14ac:dyDescent="0.25"/>
    <row r="225408" s="12" customFormat="1" x14ac:dyDescent="0.25"/>
    <row r="225409" s="12" customFormat="1" x14ac:dyDescent="0.25"/>
    <row r="225410" s="12" customFormat="1" x14ac:dyDescent="0.25"/>
    <row r="225411" s="12" customFormat="1" x14ac:dyDescent="0.25"/>
    <row r="225412" s="12" customFormat="1" x14ac:dyDescent="0.25"/>
    <row r="225413" s="12" customFormat="1" x14ac:dyDescent="0.25"/>
    <row r="225414" s="12" customFormat="1" x14ac:dyDescent="0.25"/>
    <row r="225415" s="12" customFormat="1" x14ac:dyDescent="0.25"/>
    <row r="225416" s="12" customFormat="1" x14ac:dyDescent="0.25"/>
    <row r="225417" s="12" customFormat="1" x14ac:dyDescent="0.25"/>
    <row r="225418" s="12" customFormat="1" x14ac:dyDescent="0.25"/>
    <row r="225419" s="12" customFormat="1" x14ac:dyDescent="0.25"/>
    <row r="225420" s="12" customFormat="1" x14ac:dyDescent="0.25"/>
    <row r="225421" s="12" customFormat="1" x14ac:dyDescent="0.25"/>
    <row r="225422" s="12" customFormat="1" x14ac:dyDescent="0.25"/>
    <row r="225423" s="12" customFormat="1" x14ac:dyDescent="0.25"/>
    <row r="225424" s="12" customFormat="1" x14ac:dyDescent="0.25"/>
    <row r="225425" s="12" customFormat="1" x14ac:dyDescent="0.25"/>
    <row r="225426" s="12" customFormat="1" x14ac:dyDescent="0.25"/>
    <row r="225427" s="12" customFormat="1" x14ac:dyDescent="0.25"/>
    <row r="225428" s="12" customFormat="1" x14ac:dyDescent="0.25"/>
    <row r="225429" s="12" customFormat="1" x14ac:dyDescent="0.25"/>
    <row r="225430" s="12" customFormat="1" x14ac:dyDescent="0.25"/>
    <row r="225431" s="12" customFormat="1" x14ac:dyDescent="0.25"/>
    <row r="225432" s="12" customFormat="1" x14ac:dyDescent="0.25"/>
    <row r="225433" s="12" customFormat="1" x14ac:dyDescent="0.25"/>
    <row r="225434" s="12" customFormat="1" x14ac:dyDescent="0.25"/>
    <row r="225435" s="12" customFormat="1" x14ac:dyDescent="0.25"/>
    <row r="225436" s="12" customFormat="1" x14ac:dyDescent="0.25"/>
    <row r="225437" s="12" customFormat="1" x14ac:dyDescent="0.25"/>
    <row r="225438" s="12" customFormat="1" x14ac:dyDescent="0.25"/>
    <row r="225439" s="12" customFormat="1" x14ac:dyDescent="0.25"/>
    <row r="225440" s="12" customFormat="1" x14ac:dyDescent="0.25"/>
    <row r="225441" s="12" customFormat="1" x14ac:dyDescent="0.25"/>
    <row r="225442" s="12" customFormat="1" x14ac:dyDescent="0.25"/>
    <row r="225443" s="12" customFormat="1" x14ac:dyDescent="0.25"/>
    <row r="225444" s="12" customFormat="1" x14ac:dyDescent="0.25"/>
    <row r="225445" s="12" customFormat="1" x14ac:dyDescent="0.25"/>
    <row r="225446" s="12" customFormat="1" x14ac:dyDescent="0.25"/>
    <row r="225447" s="12" customFormat="1" x14ac:dyDescent="0.25"/>
    <row r="225448" s="12" customFormat="1" x14ac:dyDescent="0.25"/>
    <row r="225449" s="12" customFormat="1" x14ac:dyDescent="0.25"/>
    <row r="225450" s="12" customFormat="1" x14ac:dyDescent="0.25"/>
    <row r="225451" s="12" customFormat="1" x14ac:dyDescent="0.25"/>
    <row r="225452" s="12" customFormat="1" x14ac:dyDescent="0.25"/>
    <row r="225453" s="12" customFormat="1" x14ac:dyDescent="0.25"/>
    <row r="225454" s="12" customFormat="1" x14ac:dyDescent="0.25"/>
    <row r="225455" s="12" customFormat="1" x14ac:dyDescent="0.25"/>
    <row r="225456" s="12" customFormat="1" x14ac:dyDescent="0.25"/>
    <row r="225457" s="12" customFormat="1" x14ac:dyDescent="0.25"/>
    <row r="225458" s="12" customFormat="1" x14ac:dyDescent="0.25"/>
    <row r="225459" s="12" customFormat="1" x14ac:dyDescent="0.25"/>
    <row r="225460" s="12" customFormat="1" x14ac:dyDescent="0.25"/>
    <row r="225461" s="12" customFormat="1" x14ac:dyDescent="0.25"/>
    <row r="225462" s="12" customFormat="1" x14ac:dyDescent="0.25"/>
    <row r="225463" s="12" customFormat="1" x14ac:dyDescent="0.25"/>
    <row r="225464" s="12" customFormat="1" x14ac:dyDescent="0.25"/>
    <row r="225465" s="12" customFormat="1" x14ac:dyDescent="0.25"/>
    <row r="225466" s="12" customFormat="1" x14ac:dyDescent="0.25"/>
    <row r="225467" s="12" customFormat="1" x14ac:dyDescent="0.25"/>
    <row r="225468" s="12" customFormat="1" x14ac:dyDescent="0.25"/>
    <row r="225469" s="12" customFormat="1" x14ac:dyDescent="0.25"/>
    <row r="225470" s="12" customFormat="1" x14ac:dyDescent="0.25"/>
    <row r="225471" s="12" customFormat="1" x14ac:dyDescent="0.25"/>
    <row r="225472" s="12" customFormat="1" x14ac:dyDescent="0.25"/>
    <row r="225473" s="12" customFormat="1" x14ac:dyDescent="0.25"/>
    <row r="225474" s="12" customFormat="1" x14ac:dyDescent="0.25"/>
    <row r="225475" s="12" customFormat="1" x14ac:dyDescent="0.25"/>
    <row r="225476" s="12" customFormat="1" x14ac:dyDescent="0.25"/>
    <row r="225477" s="12" customFormat="1" x14ac:dyDescent="0.25"/>
    <row r="225478" s="12" customFormat="1" x14ac:dyDescent="0.25"/>
    <row r="225479" s="12" customFormat="1" x14ac:dyDescent="0.25"/>
    <row r="225480" s="12" customFormat="1" x14ac:dyDescent="0.25"/>
    <row r="225481" s="12" customFormat="1" x14ac:dyDescent="0.25"/>
    <row r="225482" s="12" customFormat="1" x14ac:dyDescent="0.25"/>
    <row r="225483" s="12" customFormat="1" x14ac:dyDescent="0.25"/>
    <row r="225484" s="12" customFormat="1" x14ac:dyDescent="0.25"/>
    <row r="225485" s="12" customFormat="1" x14ac:dyDescent="0.25"/>
    <row r="225486" s="12" customFormat="1" x14ac:dyDescent="0.25"/>
    <row r="225487" s="12" customFormat="1" x14ac:dyDescent="0.25"/>
    <row r="225488" s="12" customFormat="1" x14ac:dyDescent="0.25"/>
    <row r="225489" s="12" customFormat="1" x14ac:dyDescent="0.25"/>
    <row r="225490" s="12" customFormat="1" x14ac:dyDescent="0.25"/>
    <row r="225491" s="12" customFormat="1" x14ac:dyDescent="0.25"/>
    <row r="225492" s="12" customFormat="1" x14ac:dyDescent="0.25"/>
    <row r="225493" s="12" customFormat="1" x14ac:dyDescent="0.25"/>
    <row r="225494" s="12" customFormat="1" x14ac:dyDescent="0.25"/>
    <row r="225495" s="12" customFormat="1" x14ac:dyDescent="0.25"/>
    <row r="225496" s="12" customFormat="1" x14ac:dyDescent="0.25"/>
    <row r="225497" s="12" customFormat="1" x14ac:dyDescent="0.25"/>
    <row r="225498" s="12" customFormat="1" x14ac:dyDescent="0.25"/>
    <row r="225499" s="12" customFormat="1" x14ac:dyDescent="0.25"/>
    <row r="225500" s="12" customFormat="1" x14ac:dyDescent="0.25"/>
    <row r="225501" s="12" customFormat="1" x14ac:dyDescent="0.25"/>
    <row r="225502" s="12" customFormat="1" x14ac:dyDescent="0.25"/>
    <row r="225503" s="12" customFormat="1" x14ac:dyDescent="0.25"/>
    <row r="225504" s="12" customFormat="1" x14ac:dyDescent="0.25"/>
    <row r="225505" s="12" customFormat="1" x14ac:dyDescent="0.25"/>
    <row r="225506" s="12" customFormat="1" x14ac:dyDescent="0.25"/>
    <row r="225507" s="12" customFormat="1" x14ac:dyDescent="0.25"/>
    <row r="225508" s="12" customFormat="1" x14ac:dyDescent="0.25"/>
    <row r="225509" s="12" customFormat="1" x14ac:dyDescent="0.25"/>
    <row r="225510" s="12" customFormat="1" x14ac:dyDescent="0.25"/>
    <row r="225511" s="12" customFormat="1" x14ac:dyDescent="0.25"/>
    <row r="225512" s="12" customFormat="1" x14ac:dyDescent="0.25"/>
    <row r="225513" s="12" customFormat="1" x14ac:dyDescent="0.25"/>
    <row r="225514" s="12" customFormat="1" x14ac:dyDescent="0.25"/>
    <row r="225515" s="12" customFormat="1" x14ac:dyDescent="0.25"/>
    <row r="225516" s="12" customFormat="1" x14ac:dyDescent="0.25"/>
    <row r="225517" s="12" customFormat="1" x14ac:dyDescent="0.25"/>
    <row r="225518" s="12" customFormat="1" x14ac:dyDescent="0.25"/>
    <row r="225519" s="12" customFormat="1" x14ac:dyDescent="0.25"/>
    <row r="225520" s="12" customFormat="1" x14ac:dyDescent="0.25"/>
    <row r="225521" s="12" customFormat="1" x14ac:dyDescent="0.25"/>
    <row r="225522" s="12" customFormat="1" x14ac:dyDescent="0.25"/>
    <row r="225523" s="12" customFormat="1" x14ac:dyDescent="0.25"/>
    <row r="225524" s="12" customFormat="1" x14ac:dyDescent="0.25"/>
    <row r="225525" s="12" customFormat="1" x14ac:dyDescent="0.25"/>
    <row r="225526" s="12" customFormat="1" x14ac:dyDescent="0.25"/>
    <row r="225527" s="12" customFormat="1" x14ac:dyDescent="0.25"/>
    <row r="225528" s="12" customFormat="1" x14ac:dyDescent="0.25"/>
    <row r="225529" s="12" customFormat="1" x14ac:dyDescent="0.25"/>
    <row r="225530" s="12" customFormat="1" x14ac:dyDescent="0.25"/>
    <row r="225531" s="12" customFormat="1" x14ac:dyDescent="0.25"/>
    <row r="225532" s="12" customFormat="1" x14ac:dyDescent="0.25"/>
    <row r="225533" s="12" customFormat="1" x14ac:dyDescent="0.25"/>
    <row r="225534" s="12" customFormat="1" x14ac:dyDescent="0.25"/>
    <row r="225535" s="12" customFormat="1" x14ac:dyDescent="0.25"/>
    <row r="225536" s="12" customFormat="1" x14ac:dyDescent="0.25"/>
    <row r="225537" s="12" customFormat="1" x14ac:dyDescent="0.25"/>
    <row r="225538" s="12" customFormat="1" x14ac:dyDescent="0.25"/>
    <row r="225539" s="12" customFormat="1" x14ac:dyDescent="0.25"/>
    <row r="225540" s="12" customFormat="1" x14ac:dyDescent="0.25"/>
    <row r="225541" s="12" customFormat="1" x14ac:dyDescent="0.25"/>
    <row r="225542" s="12" customFormat="1" x14ac:dyDescent="0.25"/>
    <row r="225543" s="12" customFormat="1" x14ac:dyDescent="0.25"/>
    <row r="225544" s="12" customFormat="1" x14ac:dyDescent="0.25"/>
    <row r="225545" s="12" customFormat="1" x14ac:dyDescent="0.25"/>
    <row r="225546" s="12" customFormat="1" x14ac:dyDescent="0.25"/>
    <row r="225547" s="12" customFormat="1" x14ac:dyDescent="0.25"/>
    <row r="225548" s="12" customFormat="1" x14ac:dyDescent="0.25"/>
    <row r="225549" s="12" customFormat="1" x14ac:dyDescent="0.25"/>
    <row r="225550" s="12" customFormat="1" x14ac:dyDescent="0.25"/>
    <row r="225551" s="12" customFormat="1" x14ac:dyDescent="0.25"/>
    <row r="225552" s="12" customFormat="1" x14ac:dyDescent="0.25"/>
    <row r="225553" s="12" customFormat="1" x14ac:dyDescent="0.25"/>
    <row r="225554" s="12" customFormat="1" x14ac:dyDescent="0.25"/>
    <row r="225555" s="12" customFormat="1" x14ac:dyDescent="0.25"/>
    <row r="225556" s="12" customFormat="1" x14ac:dyDescent="0.25"/>
    <row r="225557" s="12" customFormat="1" x14ac:dyDescent="0.25"/>
    <row r="225558" s="12" customFormat="1" x14ac:dyDescent="0.25"/>
    <row r="225559" s="12" customFormat="1" x14ac:dyDescent="0.25"/>
    <row r="225560" s="12" customFormat="1" x14ac:dyDescent="0.25"/>
    <row r="225561" s="12" customFormat="1" x14ac:dyDescent="0.25"/>
    <row r="225562" s="12" customFormat="1" x14ac:dyDescent="0.25"/>
    <row r="225563" s="12" customFormat="1" x14ac:dyDescent="0.25"/>
    <row r="225564" s="12" customFormat="1" x14ac:dyDescent="0.25"/>
    <row r="225565" s="12" customFormat="1" x14ac:dyDescent="0.25"/>
    <row r="225566" s="12" customFormat="1" x14ac:dyDescent="0.25"/>
    <row r="225567" s="12" customFormat="1" x14ac:dyDescent="0.25"/>
    <row r="225568" s="12" customFormat="1" x14ac:dyDescent="0.25"/>
    <row r="225569" s="12" customFormat="1" x14ac:dyDescent="0.25"/>
    <row r="225570" s="12" customFormat="1" x14ac:dyDescent="0.25"/>
    <row r="225571" s="12" customFormat="1" x14ac:dyDescent="0.25"/>
    <row r="225572" s="12" customFormat="1" x14ac:dyDescent="0.25"/>
    <row r="225573" s="12" customFormat="1" x14ac:dyDescent="0.25"/>
    <row r="225574" s="12" customFormat="1" x14ac:dyDescent="0.25"/>
    <row r="225575" s="12" customFormat="1" x14ac:dyDescent="0.25"/>
    <row r="225576" s="12" customFormat="1" x14ac:dyDescent="0.25"/>
    <row r="225577" s="12" customFormat="1" x14ac:dyDescent="0.25"/>
    <row r="225578" s="12" customFormat="1" x14ac:dyDescent="0.25"/>
    <row r="225579" s="12" customFormat="1" x14ac:dyDescent="0.25"/>
    <row r="225580" s="12" customFormat="1" x14ac:dyDescent="0.25"/>
    <row r="225581" s="12" customFormat="1" x14ac:dyDescent="0.25"/>
    <row r="225582" s="12" customFormat="1" x14ac:dyDescent="0.25"/>
    <row r="225583" s="12" customFormat="1" x14ac:dyDescent="0.25"/>
    <row r="225584" s="12" customFormat="1" x14ac:dyDescent="0.25"/>
    <row r="225585" s="12" customFormat="1" x14ac:dyDescent="0.25"/>
    <row r="225586" s="12" customFormat="1" x14ac:dyDescent="0.25"/>
    <row r="225587" s="12" customFormat="1" x14ac:dyDescent="0.25"/>
    <row r="225588" s="12" customFormat="1" x14ac:dyDescent="0.25"/>
    <row r="225589" s="12" customFormat="1" x14ac:dyDescent="0.25"/>
    <row r="225590" s="12" customFormat="1" x14ac:dyDescent="0.25"/>
    <row r="225591" s="12" customFormat="1" x14ac:dyDescent="0.25"/>
    <row r="225592" s="12" customFormat="1" x14ac:dyDescent="0.25"/>
    <row r="225593" s="12" customFormat="1" x14ac:dyDescent="0.25"/>
    <row r="225594" s="12" customFormat="1" x14ac:dyDescent="0.25"/>
    <row r="225595" s="12" customFormat="1" x14ac:dyDescent="0.25"/>
    <row r="225596" s="12" customFormat="1" x14ac:dyDescent="0.25"/>
    <row r="225597" s="12" customFormat="1" x14ac:dyDescent="0.25"/>
    <row r="225598" s="12" customFormat="1" x14ac:dyDescent="0.25"/>
    <row r="225599" s="12" customFormat="1" x14ac:dyDescent="0.25"/>
    <row r="225600" s="12" customFormat="1" x14ac:dyDescent="0.25"/>
    <row r="225601" s="12" customFormat="1" x14ac:dyDescent="0.25"/>
    <row r="225602" s="12" customFormat="1" x14ac:dyDescent="0.25"/>
    <row r="225603" s="12" customFormat="1" x14ac:dyDescent="0.25"/>
    <row r="225604" s="12" customFormat="1" x14ac:dyDescent="0.25"/>
    <row r="225605" s="12" customFormat="1" x14ac:dyDescent="0.25"/>
    <row r="225606" s="12" customFormat="1" x14ac:dyDescent="0.25"/>
    <row r="225607" s="12" customFormat="1" x14ac:dyDescent="0.25"/>
    <row r="225608" s="12" customFormat="1" x14ac:dyDescent="0.25"/>
    <row r="225609" s="12" customFormat="1" x14ac:dyDescent="0.25"/>
    <row r="225610" s="12" customFormat="1" x14ac:dyDescent="0.25"/>
    <row r="225611" s="12" customFormat="1" x14ac:dyDescent="0.25"/>
    <row r="225612" s="12" customFormat="1" x14ac:dyDescent="0.25"/>
    <row r="225613" s="12" customFormat="1" x14ac:dyDescent="0.25"/>
    <row r="225614" s="12" customFormat="1" x14ac:dyDescent="0.25"/>
    <row r="225615" s="12" customFormat="1" x14ac:dyDescent="0.25"/>
    <row r="225616" s="12" customFormat="1" x14ac:dyDescent="0.25"/>
    <row r="225617" s="12" customFormat="1" x14ac:dyDescent="0.25"/>
    <row r="225618" s="12" customFormat="1" x14ac:dyDescent="0.25"/>
    <row r="225619" s="12" customFormat="1" x14ac:dyDescent="0.25"/>
    <row r="225620" s="12" customFormat="1" x14ac:dyDescent="0.25"/>
    <row r="225621" s="12" customFormat="1" x14ac:dyDescent="0.25"/>
    <row r="225622" s="12" customFormat="1" x14ac:dyDescent="0.25"/>
    <row r="225623" s="12" customFormat="1" x14ac:dyDescent="0.25"/>
    <row r="225624" s="12" customFormat="1" x14ac:dyDescent="0.25"/>
    <row r="225625" s="12" customFormat="1" x14ac:dyDescent="0.25"/>
    <row r="225626" s="12" customFormat="1" x14ac:dyDescent="0.25"/>
    <row r="225627" s="12" customFormat="1" x14ac:dyDescent="0.25"/>
    <row r="225628" s="12" customFormat="1" x14ac:dyDescent="0.25"/>
    <row r="225629" s="12" customFormat="1" x14ac:dyDescent="0.25"/>
    <row r="225630" s="12" customFormat="1" x14ac:dyDescent="0.25"/>
    <row r="225631" s="12" customFormat="1" x14ac:dyDescent="0.25"/>
    <row r="225632" s="12" customFormat="1" x14ac:dyDescent="0.25"/>
    <row r="225633" s="12" customFormat="1" x14ac:dyDescent="0.25"/>
    <row r="225634" s="12" customFormat="1" x14ac:dyDescent="0.25"/>
    <row r="225635" s="12" customFormat="1" x14ac:dyDescent="0.25"/>
    <row r="225636" s="12" customFormat="1" x14ac:dyDescent="0.25"/>
    <row r="225637" s="12" customFormat="1" x14ac:dyDescent="0.25"/>
    <row r="225638" s="12" customFormat="1" x14ac:dyDescent="0.25"/>
    <row r="225639" s="12" customFormat="1" x14ac:dyDescent="0.25"/>
    <row r="225640" s="12" customFormat="1" x14ac:dyDescent="0.25"/>
    <row r="225641" s="12" customFormat="1" x14ac:dyDescent="0.25"/>
    <row r="225642" s="12" customFormat="1" x14ac:dyDescent="0.25"/>
    <row r="225643" s="12" customFormat="1" x14ac:dyDescent="0.25"/>
    <row r="225644" s="12" customFormat="1" x14ac:dyDescent="0.25"/>
    <row r="225645" s="12" customFormat="1" x14ac:dyDescent="0.25"/>
    <row r="225646" s="12" customFormat="1" x14ac:dyDescent="0.25"/>
    <row r="225647" s="12" customFormat="1" x14ac:dyDescent="0.25"/>
    <row r="225648" s="12" customFormat="1" x14ac:dyDescent="0.25"/>
    <row r="225649" s="12" customFormat="1" x14ac:dyDescent="0.25"/>
    <row r="225650" s="12" customFormat="1" x14ac:dyDescent="0.25"/>
    <row r="225651" s="12" customFormat="1" x14ac:dyDescent="0.25"/>
    <row r="225652" s="12" customFormat="1" x14ac:dyDescent="0.25"/>
    <row r="225653" s="12" customFormat="1" x14ac:dyDescent="0.25"/>
    <row r="225654" s="12" customFormat="1" x14ac:dyDescent="0.25"/>
    <row r="225655" s="12" customFormat="1" x14ac:dyDescent="0.25"/>
    <row r="225656" s="12" customFormat="1" x14ac:dyDescent="0.25"/>
    <row r="225657" s="12" customFormat="1" x14ac:dyDescent="0.25"/>
    <row r="225658" s="12" customFormat="1" x14ac:dyDescent="0.25"/>
    <row r="225659" s="12" customFormat="1" x14ac:dyDescent="0.25"/>
    <row r="225660" s="12" customFormat="1" x14ac:dyDescent="0.25"/>
    <row r="225661" s="12" customFormat="1" x14ac:dyDescent="0.25"/>
    <row r="225662" s="12" customFormat="1" x14ac:dyDescent="0.25"/>
    <row r="225663" s="12" customFormat="1" x14ac:dyDescent="0.25"/>
    <row r="225664" s="12" customFormat="1" x14ac:dyDescent="0.25"/>
    <row r="225665" s="12" customFormat="1" x14ac:dyDescent="0.25"/>
    <row r="225666" s="12" customFormat="1" x14ac:dyDescent="0.25"/>
    <row r="225667" s="12" customFormat="1" x14ac:dyDescent="0.25"/>
    <row r="225668" s="12" customFormat="1" x14ac:dyDescent="0.25"/>
    <row r="225669" s="12" customFormat="1" x14ac:dyDescent="0.25"/>
    <row r="225670" s="12" customFormat="1" x14ac:dyDescent="0.25"/>
    <row r="225671" s="12" customFormat="1" x14ac:dyDescent="0.25"/>
    <row r="225672" s="12" customFormat="1" x14ac:dyDescent="0.25"/>
    <row r="225673" s="12" customFormat="1" x14ac:dyDescent="0.25"/>
    <row r="225674" s="12" customFormat="1" x14ac:dyDescent="0.25"/>
    <row r="225675" s="12" customFormat="1" x14ac:dyDescent="0.25"/>
    <row r="225676" s="12" customFormat="1" x14ac:dyDescent="0.25"/>
    <row r="225677" s="12" customFormat="1" x14ac:dyDescent="0.25"/>
    <row r="225678" s="12" customFormat="1" x14ac:dyDescent="0.25"/>
    <row r="225679" s="12" customFormat="1" x14ac:dyDescent="0.25"/>
    <row r="225680" s="12" customFormat="1" x14ac:dyDescent="0.25"/>
    <row r="225681" s="12" customFormat="1" x14ac:dyDescent="0.25"/>
    <row r="225682" s="12" customFormat="1" x14ac:dyDescent="0.25"/>
    <row r="225683" s="12" customFormat="1" x14ac:dyDescent="0.25"/>
    <row r="225684" s="12" customFormat="1" x14ac:dyDescent="0.25"/>
    <row r="225685" s="12" customFormat="1" x14ac:dyDescent="0.25"/>
    <row r="225686" s="12" customFormat="1" x14ac:dyDescent="0.25"/>
    <row r="225687" s="12" customFormat="1" x14ac:dyDescent="0.25"/>
    <row r="225688" s="12" customFormat="1" x14ac:dyDescent="0.25"/>
    <row r="225689" s="12" customFormat="1" x14ac:dyDescent="0.25"/>
    <row r="225690" s="12" customFormat="1" x14ac:dyDescent="0.25"/>
    <row r="225691" s="12" customFormat="1" x14ac:dyDescent="0.25"/>
    <row r="225692" s="12" customFormat="1" x14ac:dyDescent="0.25"/>
    <row r="225693" s="12" customFormat="1" x14ac:dyDescent="0.25"/>
    <row r="225694" s="12" customFormat="1" x14ac:dyDescent="0.25"/>
    <row r="225695" s="12" customFormat="1" x14ac:dyDescent="0.25"/>
    <row r="225696" s="12" customFormat="1" x14ac:dyDescent="0.25"/>
    <row r="225697" s="12" customFormat="1" x14ac:dyDescent="0.25"/>
    <row r="225698" s="12" customFormat="1" x14ac:dyDescent="0.25"/>
    <row r="225699" s="12" customFormat="1" x14ac:dyDescent="0.25"/>
    <row r="225700" s="12" customFormat="1" x14ac:dyDescent="0.25"/>
    <row r="225701" s="12" customFormat="1" x14ac:dyDescent="0.25"/>
    <row r="225702" s="12" customFormat="1" x14ac:dyDescent="0.25"/>
    <row r="225703" s="12" customFormat="1" x14ac:dyDescent="0.25"/>
    <row r="225704" s="12" customFormat="1" x14ac:dyDescent="0.25"/>
    <row r="225705" s="12" customFormat="1" x14ac:dyDescent="0.25"/>
    <row r="225706" s="12" customFormat="1" x14ac:dyDescent="0.25"/>
    <row r="225707" s="12" customFormat="1" x14ac:dyDescent="0.25"/>
    <row r="225708" s="12" customFormat="1" x14ac:dyDescent="0.25"/>
    <row r="225709" s="12" customFormat="1" x14ac:dyDescent="0.25"/>
    <row r="225710" s="12" customFormat="1" x14ac:dyDescent="0.25"/>
    <row r="225711" s="12" customFormat="1" x14ac:dyDescent="0.25"/>
    <row r="225712" s="12" customFormat="1" x14ac:dyDescent="0.25"/>
    <row r="225713" s="12" customFormat="1" x14ac:dyDescent="0.25"/>
    <row r="225714" s="12" customFormat="1" x14ac:dyDescent="0.25"/>
    <row r="225715" s="12" customFormat="1" x14ac:dyDescent="0.25"/>
    <row r="225716" s="12" customFormat="1" x14ac:dyDescent="0.25"/>
    <row r="225717" s="12" customFormat="1" x14ac:dyDescent="0.25"/>
    <row r="225718" s="12" customFormat="1" x14ac:dyDescent="0.25"/>
    <row r="225719" s="12" customFormat="1" x14ac:dyDescent="0.25"/>
    <row r="225720" s="12" customFormat="1" x14ac:dyDescent="0.25"/>
    <row r="225721" s="12" customFormat="1" x14ac:dyDescent="0.25"/>
    <row r="225722" s="12" customFormat="1" x14ac:dyDescent="0.25"/>
    <row r="225723" s="12" customFormat="1" x14ac:dyDescent="0.25"/>
    <row r="225724" s="12" customFormat="1" x14ac:dyDescent="0.25"/>
    <row r="225725" s="12" customFormat="1" x14ac:dyDescent="0.25"/>
    <row r="225726" s="12" customFormat="1" x14ac:dyDescent="0.25"/>
    <row r="225727" s="12" customFormat="1" x14ac:dyDescent="0.25"/>
    <row r="225728" s="12" customFormat="1" x14ac:dyDescent="0.25"/>
    <row r="225729" s="12" customFormat="1" x14ac:dyDescent="0.25"/>
    <row r="225730" s="12" customFormat="1" x14ac:dyDescent="0.25"/>
    <row r="225731" s="12" customFormat="1" x14ac:dyDescent="0.25"/>
    <row r="225732" s="12" customFormat="1" x14ac:dyDescent="0.25"/>
    <row r="225733" s="12" customFormat="1" x14ac:dyDescent="0.25"/>
    <row r="225734" s="12" customFormat="1" x14ac:dyDescent="0.25"/>
    <row r="225735" s="12" customFormat="1" x14ac:dyDescent="0.25"/>
    <row r="225736" s="12" customFormat="1" x14ac:dyDescent="0.25"/>
    <row r="225737" s="12" customFormat="1" x14ac:dyDescent="0.25"/>
    <row r="225738" s="12" customFormat="1" x14ac:dyDescent="0.25"/>
    <row r="225739" s="12" customFormat="1" x14ac:dyDescent="0.25"/>
    <row r="225740" s="12" customFormat="1" x14ac:dyDescent="0.25"/>
    <row r="225741" s="12" customFormat="1" x14ac:dyDescent="0.25"/>
    <row r="225742" s="12" customFormat="1" x14ac:dyDescent="0.25"/>
    <row r="225743" s="12" customFormat="1" x14ac:dyDescent="0.25"/>
    <row r="225744" s="12" customFormat="1" x14ac:dyDescent="0.25"/>
    <row r="225745" s="12" customFormat="1" x14ac:dyDescent="0.25"/>
    <row r="225746" s="12" customFormat="1" x14ac:dyDescent="0.25"/>
    <row r="225747" s="12" customFormat="1" x14ac:dyDescent="0.25"/>
    <row r="225748" s="12" customFormat="1" x14ac:dyDescent="0.25"/>
    <row r="225749" s="12" customFormat="1" x14ac:dyDescent="0.25"/>
    <row r="225750" s="12" customFormat="1" x14ac:dyDescent="0.25"/>
    <row r="225751" s="12" customFormat="1" x14ac:dyDescent="0.25"/>
    <row r="225752" s="12" customFormat="1" x14ac:dyDescent="0.25"/>
    <row r="225753" s="12" customFormat="1" x14ac:dyDescent="0.25"/>
    <row r="225754" s="12" customFormat="1" x14ac:dyDescent="0.25"/>
    <row r="225755" s="12" customFormat="1" x14ac:dyDescent="0.25"/>
    <row r="225756" s="12" customFormat="1" x14ac:dyDescent="0.25"/>
    <row r="225757" s="12" customFormat="1" x14ac:dyDescent="0.25"/>
    <row r="225758" s="12" customFormat="1" x14ac:dyDescent="0.25"/>
    <row r="225759" s="12" customFormat="1" x14ac:dyDescent="0.25"/>
    <row r="225760" s="12" customFormat="1" x14ac:dyDescent="0.25"/>
    <row r="225761" s="12" customFormat="1" x14ac:dyDescent="0.25"/>
    <row r="225762" s="12" customFormat="1" x14ac:dyDescent="0.25"/>
    <row r="225763" s="12" customFormat="1" x14ac:dyDescent="0.25"/>
    <row r="225764" s="12" customFormat="1" x14ac:dyDescent="0.25"/>
    <row r="225765" s="12" customFormat="1" x14ac:dyDescent="0.25"/>
    <row r="225766" s="12" customFormat="1" x14ac:dyDescent="0.25"/>
    <row r="225767" s="12" customFormat="1" x14ac:dyDescent="0.25"/>
    <row r="225768" s="12" customFormat="1" x14ac:dyDescent="0.25"/>
    <row r="225769" s="12" customFormat="1" x14ac:dyDescent="0.25"/>
    <row r="225770" s="12" customFormat="1" x14ac:dyDescent="0.25"/>
    <row r="225771" s="12" customFormat="1" x14ac:dyDescent="0.25"/>
    <row r="225772" s="12" customFormat="1" x14ac:dyDescent="0.25"/>
    <row r="225773" s="12" customFormat="1" x14ac:dyDescent="0.25"/>
    <row r="225774" s="12" customFormat="1" x14ac:dyDescent="0.25"/>
    <row r="225775" s="12" customFormat="1" x14ac:dyDescent="0.25"/>
    <row r="225776" s="12" customFormat="1" x14ac:dyDescent="0.25"/>
    <row r="225777" s="12" customFormat="1" x14ac:dyDescent="0.25"/>
    <row r="225778" s="12" customFormat="1" x14ac:dyDescent="0.25"/>
    <row r="225779" s="12" customFormat="1" x14ac:dyDescent="0.25"/>
    <row r="225780" s="12" customFormat="1" x14ac:dyDescent="0.25"/>
    <row r="225781" s="12" customFormat="1" x14ac:dyDescent="0.25"/>
    <row r="225782" s="12" customFormat="1" x14ac:dyDescent="0.25"/>
    <row r="225783" s="12" customFormat="1" x14ac:dyDescent="0.25"/>
    <row r="225784" s="12" customFormat="1" x14ac:dyDescent="0.25"/>
    <row r="225785" s="12" customFormat="1" x14ac:dyDescent="0.25"/>
    <row r="225786" s="12" customFormat="1" x14ac:dyDescent="0.25"/>
    <row r="225787" s="12" customFormat="1" x14ac:dyDescent="0.25"/>
    <row r="225788" s="12" customFormat="1" x14ac:dyDescent="0.25"/>
    <row r="225789" s="12" customFormat="1" x14ac:dyDescent="0.25"/>
    <row r="225790" s="12" customFormat="1" x14ac:dyDescent="0.25"/>
    <row r="225791" s="12" customFormat="1" x14ac:dyDescent="0.25"/>
    <row r="225792" s="12" customFormat="1" x14ac:dyDescent="0.25"/>
    <row r="225793" s="12" customFormat="1" x14ac:dyDescent="0.25"/>
    <row r="225794" s="12" customFormat="1" x14ac:dyDescent="0.25"/>
    <row r="225795" s="12" customFormat="1" x14ac:dyDescent="0.25"/>
    <row r="225796" s="12" customFormat="1" x14ac:dyDescent="0.25"/>
    <row r="225797" s="12" customFormat="1" x14ac:dyDescent="0.25"/>
    <row r="225798" s="12" customFormat="1" x14ac:dyDescent="0.25"/>
    <row r="225799" s="12" customFormat="1" x14ac:dyDescent="0.25"/>
    <row r="225800" s="12" customFormat="1" x14ac:dyDescent="0.25"/>
    <row r="225801" s="12" customFormat="1" x14ac:dyDescent="0.25"/>
    <row r="225802" s="12" customFormat="1" x14ac:dyDescent="0.25"/>
    <row r="225803" s="12" customFormat="1" x14ac:dyDescent="0.25"/>
    <row r="225804" s="12" customFormat="1" x14ac:dyDescent="0.25"/>
    <row r="225805" s="12" customFormat="1" x14ac:dyDescent="0.25"/>
    <row r="225806" s="12" customFormat="1" x14ac:dyDescent="0.25"/>
    <row r="225807" s="12" customFormat="1" x14ac:dyDescent="0.25"/>
    <row r="225808" s="12" customFormat="1" x14ac:dyDescent="0.25"/>
    <row r="225809" s="12" customFormat="1" x14ac:dyDescent="0.25"/>
    <row r="225810" s="12" customFormat="1" x14ac:dyDescent="0.25"/>
    <row r="225811" s="12" customFormat="1" x14ac:dyDescent="0.25"/>
    <row r="225812" s="12" customFormat="1" x14ac:dyDescent="0.25"/>
    <row r="225813" s="12" customFormat="1" x14ac:dyDescent="0.25"/>
    <row r="225814" s="12" customFormat="1" x14ac:dyDescent="0.25"/>
    <row r="225815" s="12" customFormat="1" x14ac:dyDescent="0.25"/>
    <row r="225816" s="12" customFormat="1" x14ac:dyDescent="0.25"/>
    <row r="225817" s="12" customFormat="1" x14ac:dyDescent="0.25"/>
    <row r="225818" s="12" customFormat="1" x14ac:dyDescent="0.25"/>
    <row r="225819" s="12" customFormat="1" x14ac:dyDescent="0.25"/>
    <row r="225820" s="12" customFormat="1" x14ac:dyDescent="0.25"/>
    <row r="225821" s="12" customFormat="1" x14ac:dyDescent="0.25"/>
    <row r="225822" s="12" customFormat="1" x14ac:dyDescent="0.25"/>
    <row r="225823" s="12" customFormat="1" x14ac:dyDescent="0.25"/>
    <row r="225824" s="12" customFormat="1" x14ac:dyDescent="0.25"/>
    <row r="225825" s="12" customFormat="1" x14ac:dyDescent="0.25"/>
    <row r="225826" s="12" customFormat="1" x14ac:dyDescent="0.25"/>
    <row r="225827" s="12" customFormat="1" x14ac:dyDescent="0.25"/>
    <row r="225828" s="12" customFormat="1" x14ac:dyDescent="0.25"/>
    <row r="225829" s="12" customFormat="1" x14ac:dyDescent="0.25"/>
    <row r="225830" s="12" customFormat="1" x14ac:dyDescent="0.25"/>
    <row r="225831" s="12" customFormat="1" x14ac:dyDescent="0.25"/>
    <row r="225832" s="12" customFormat="1" x14ac:dyDescent="0.25"/>
    <row r="225833" s="12" customFormat="1" x14ac:dyDescent="0.25"/>
    <row r="225834" s="12" customFormat="1" x14ac:dyDescent="0.25"/>
    <row r="225835" s="12" customFormat="1" x14ac:dyDescent="0.25"/>
    <row r="225836" s="12" customFormat="1" x14ac:dyDescent="0.25"/>
    <row r="225837" s="12" customFormat="1" x14ac:dyDescent="0.25"/>
    <row r="225838" s="12" customFormat="1" x14ac:dyDescent="0.25"/>
    <row r="225839" s="12" customFormat="1" x14ac:dyDescent="0.25"/>
    <row r="225840" s="12" customFormat="1" x14ac:dyDescent="0.25"/>
    <row r="225841" s="12" customFormat="1" x14ac:dyDescent="0.25"/>
    <row r="225842" s="12" customFormat="1" x14ac:dyDescent="0.25"/>
    <row r="225843" s="12" customFormat="1" x14ac:dyDescent="0.25"/>
    <row r="225844" s="12" customFormat="1" x14ac:dyDescent="0.25"/>
    <row r="225845" s="12" customFormat="1" x14ac:dyDescent="0.25"/>
    <row r="225846" s="12" customFormat="1" x14ac:dyDescent="0.25"/>
    <row r="225847" s="12" customFormat="1" x14ac:dyDescent="0.25"/>
    <row r="225848" s="12" customFormat="1" x14ac:dyDescent="0.25"/>
    <row r="225849" s="12" customFormat="1" x14ac:dyDescent="0.25"/>
    <row r="225850" s="12" customFormat="1" x14ac:dyDescent="0.25"/>
    <row r="225851" s="12" customFormat="1" x14ac:dyDescent="0.25"/>
    <row r="225852" s="12" customFormat="1" x14ac:dyDescent="0.25"/>
    <row r="225853" s="12" customFormat="1" x14ac:dyDescent="0.25"/>
    <row r="225854" s="12" customFormat="1" x14ac:dyDescent="0.25"/>
    <row r="225855" s="12" customFormat="1" x14ac:dyDescent="0.25"/>
    <row r="225856" s="12" customFormat="1" x14ac:dyDescent="0.25"/>
    <row r="225857" s="12" customFormat="1" x14ac:dyDescent="0.25"/>
    <row r="225858" s="12" customFormat="1" x14ac:dyDescent="0.25"/>
    <row r="225859" s="12" customFormat="1" x14ac:dyDescent="0.25"/>
    <row r="225860" s="12" customFormat="1" x14ac:dyDescent="0.25"/>
    <row r="225861" s="12" customFormat="1" x14ac:dyDescent="0.25"/>
    <row r="225862" s="12" customFormat="1" x14ac:dyDescent="0.25"/>
    <row r="225863" s="12" customFormat="1" x14ac:dyDescent="0.25"/>
    <row r="225864" s="12" customFormat="1" x14ac:dyDescent="0.25"/>
    <row r="225865" s="12" customFormat="1" x14ac:dyDescent="0.25"/>
    <row r="225866" s="12" customFormat="1" x14ac:dyDescent="0.25"/>
    <row r="225867" s="12" customFormat="1" x14ac:dyDescent="0.25"/>
    <row r="225868" s="12" customFormat="1" x14ac:dyDescent="0.25"/>
    <row r="225869" s="12" customFormat="1" x14ac:dyDescent="0.25"/>
    <row r="225870" s="12" customFormat="1" x14ac:dyDescent="0.25"/>
    <row r="225871" s="12" customFormat="1" x14ac:dyDescent="0.25"/>
    <row r="225872" s="12" customFormat="1" x14ac:dyDescent="0.25"/>
    <row r="225873" s="12" customFormat="1" x14ac:dyDescent="0.25"/>
    <row r="225874" s="12" customFormat="1" x14ac:dyDescent="0.25"/>
    <row r="225875" s="12" customFormat="1" x14ac:dyDescent="0.25"/>
    <row r="225876" s="12" customFormat="1" x14ac:dyDescent="0.25"/>
    <row r="225877" s="12" customFormat="1" x14ac:dyDescent="0.25"/>
    <row r="225878" s="12" customFormat="1" x14ac:dyDescent="0.25"/>
    <row r="225879" s="12" customFormat="1" x14ac:dyDescent="0.25"/>
    <row r="225880" s="12" customFormat="1" x14ac:dyDescent="0.25"/>
    <row r="225881" s="12" customFormat="1" x14ac:dyDescent="0.25"/>
    <row r="225882" s="12" customFormat="1" x14ac:dyDescent="0.25"/>
    <row r="225883" s="12" customFormat="1" x14ac:dyDescent="0.25"/>
    <row r="225884" s="12" customFormat="1" x14ac:dyDescent="0.25"/>
    <row r="225885" s="12" customFormat="1" x14ac:dyDescent="0.25"/>
    <row r="225886" s="12" customFormat="1" x14ac:dyDescent="0.25"/>
    <row r="225887" s="12" customFormat="1" x14ac:dyDescent="0.25"/>
    <row r="225888" s="12" customFormat="1" x14ac:dyDescent="0.25"/>
    <row r="225889" s="12" customFormat="1" x14ac:dyDescent="0.25"/>
    <row r="225890" s="12" customFormat="1" x14ac:dyDescent="0.25"/>
    <row r="225891" s="12" customFormat="1" x14ac:dyDescent="0.25"/>
    <row r="225892" s="12" customFormat="1" x14ac:dyDescent="0.25"/>
    <row r="225893" s="12" customFormat="1" x14ac:dyDescent="0.25"/>
    <row r="225894" s="12" customFormat="1" x14ac:dyDescent="0.25"/>
    <row r="225895" s="12" customFormat="1" x14ac:dyDescent="0.25"/>
    <row r="225896" s="12" customFormat="1" x14ac:dyDescent="0.25"/>
    <row r="225897" s="12" customFormat="1" x14ac:dyDescent="0.25"/>
    <row r="225898" s="12" customFormat="1" x14ac:dyDescent="0.25"/>
    <row r="225899" s="12" customFormat="1" x14ac:dyDescent="0.25"/>
    <row r="225900" s="12" customFormat="1" x14ac:dyDescent="0.25"/>
    <row r="225901" s="12" customFormat="1" x14ac:dyDescent="0.25"/>
    <row r="225902" s="12" customFormat="1" x14ac:dyDescent="0.25"/>
    <row r="225903" s="12" customFormat="1" x14ac:dyDescent="0.25"/>
    <row r="225904" s="12" customFormat="1" x14ac:dyDescent="0.25"/>
    <row r="225905" s="12" customFormat="1" x14ac:dyDescent="0.25"/>
    <row r="225906" s="12" customFormat="1" x14ac:dyDescent="0.25"/>
    <row r="225907" s="12" customFormat="1" x14ac:dyDescent="0.25"/>
    <row r="225908" s="12" customFormat="1" x14ac:dyDescent="0.25"/>
    <row r="225909" s="12" customFormat="1" x14ac:dyDescent="0.25"/>
    <row r="225910" s="12" customFormat="1" x14ac:dyDescent="0.25"/>
    <row r="225911" s="12" customFormat="1" x14ac:dyDescent="0.25"/>
    <row r="225912" s="12" customFormat="1" x14ac:dyDescent="0.25"/>
    <row r="225913" s="12" customFormat="1" x14ac:dyDescent="0.25"/>
    <row r="225914" s="12" customFormat="1" x14ac:dyDescent="0.25"/>
    <row r="225915" s="12" customFormat="1" x14ac:dyDescent="0.25"/>
    <row r="225916" s="12" customFormat="1" x14ac:dyDescent="0.25"/>
    <row r="225917" s="12" customFormat="1" x14ac:dyDescent="0.25"/>
    <row r="225918" s="12" customFormat="1" x14ac:dyDescent="0.25"/>
    <row r="225919" s="12" customFormat="1" x14ac:dyDescent="0.25"/>
    <row r="225920" s="12" customFormat="1" x14ac:dyDescent="0.25"/>
    <row r="225921" s="12" customFormat="1" x14ac:dyDescent="0.25"/>
    <row r="225922" s="12" customFormat="1" x14ac:dyDescent="0.25"/>
    <row r="225923" s="12" customFormat="1" x14ac:dyDescent="0.25"/>
    <row r="225924" s="12" customFormat="1" x14ac:dyDescent="0.25"/>
    <row r="225925" s="12" customFormat="1" x14ac:dyDescent="0.25"/>
    <row r="225926" s="12" customFormat="1" x14ac:dyDescent="0.25"/>
    <row r="225927" s="12" customFormat="1" x14ac:dyDescent="0.25"/>
    <row r="225928" s="12" customFormat="1" x14ac:dyDescent="0.25"/>
    <row r="225929" s="12" customFormat="1" x14ac:dyDescent="0.25"/>
    <row r="225930" s="12" customFormat="1" x14ac:dyDescent="0.25"/>
    <row r="225931" s="12" customFormat="1" x14ac:dyDescent="0.25"/>
    <row r="225932" s="12" customFormat="1" x14ac:dyDescent="0.25"/>
    <row r="225933" s="12" customFormat="1" x14ac:dyDescent="0.25"/>
    <row r="225934" s="12" customFormat="1" x14ac:dyDescent="0.25"/>
    <row r="225935" s="12" customFormat="1" x14ac:dyDescent="0.25"/>
    <row r="225936" s="12" customFormat="1" x14ac:dyDescent="0.25"/>
    <row r="225937" s="12" customFormat="1" x14ac:dyDescent="0.25"/>
    <row r="225938" s="12" customFormat="1" x14ac:dyDescent="0.25"/>
    <row r="225939" s="12" customFormat="1" x14ac:dyDescent="0.25"/>
    <row r="225940" s="12" customFormat="1" x14ac:dyDescent="0.25"/>
    <row r="225941" s="12" customFormat="1" x14ac:dyDescent="0.25"/>
    <row r="225942" s="12" customFormat="1" x14ac:dyDescent="0.25"/>
    <row r="225943" s="12" customFormat="1" x14ac:dyDescent="0.25"/>
    <row r="225944" s="12" customFormat="1" x14ac:dyDescent="0.25"/>
    <row r="225945" s="12" customFormat="1" x14ac:dyDescent="0.25"/>
    <row r="225946" s="12" customFormat="1" x14ac:dyDescent="0.25"/>
    <row r="225947" s="12" customFormat="1" x14ac:dyDescent="0.25"/>
    <row r="225948" s="12" customFormat="1" x14ac:dyDescent="0.25"/>
    <row r="225949" s="12" customFormat="1" x14ac:dyDescent="0.25"/>
    <row r="225950" s="12" customFormat="1" x14ac:dyDescent="0.25"/>
    <row r="225951" s="12" customFormat="1" x14ac:dyDescent="0.25"/>
    <row r="225952" s="12" customFormat="1" x14ac:dyDescent="0.25"/>
    <row r="225953" s="12" customFormat="1" x14ac:dyDescent="0.25"/>
    <row r="225954" s="12" customFormat="1" x14ac:dyDescent="0.25"/>
    <row r="225955" s="12" customFormat="1" x14ac:dyDescent="0.25"/>
    <row r="225956" s="12" customFormat="1" x14ac:dyDescent="0.25"/>
    <row r="225957" s="12" customFormat="1" x14ac:dyDescent="0.25"/>
    <row r="225958" s="12" customFormat="1" x14ac:dyDescent="0.25"/>
    <row r="225959" s="12" customFormat="1" x14ac:dyDescent="0.25"/>
    <row r="225960" s="12" customFormat="1" x14ac:dyDescent="0.25"/>
    <row r="225961" s="12" customFormat="1" x14ac:dyDescent="0.25"/>
    <row r="225962" s="12" customFormat="1" x14ac:dyDescent="0.25"/>
    <row r="225963" s="12" customFormat="1" x14ac:dyDescent="0.25"/>
    <row r="225964" s="12" customFormat="1" x14ac:dyDescent="0.25"/>
    <row r="225965" s="12" customFormat="1" x14ac:dyDescent="0.25"/>
    <row r="225966" s="12" customFormat="1" x14ac:dyDescent="0.25"/>
    <row r="225967" s="12" customFormat="1" x14ac:dyDescent="0.25"/>
    <row r="225968" s="12" customFormat="1" x14ac:dyDescent="0.25"/>
    <row r="225969" s="12" customFormat="1" x14ac:dyDescent="0.25"/>
    <row r="225970" s="12" customFormat="1" x14ac:dyDescent="0.25"/>
    <row r="225971" s="12" customFormat="1" x14ac:dyDescent="0.25"/>
    <row r="225972" s="12" customFormat="1" x14ac:dyDescent="0.25"/>
    <row r="225973" s="12" customFormat="1" x14ac:dyDescent="0.25"/>
    <row r="225974" s="12" customFormat="1" x14ac:dyDescent="0.25"/>
    <row r="225975" s="12" customFormat="1" x14ac:dyDescent="0.25"/>
    <row r="225976" s="12" customFormat="1" x14ac:dyDescent="0.25"/>
    <row r="225977" s="12" customFormat="1" x14ac:dyDescent="0.25"/>
    <row r="225978" s="12" customFormat="1" x14ac:dyDescent="0.25"/>
    <row r="225979" s="12" customFormat="1" x14ac:dyDescent="0.25"/>
    <row r="225980" s="12" customFormat="1" x14ac:dyDescent="0.25"/>
    <row r="225981" s="12" customFormat="1" x14ac:dyDescent="0.25"/>
    <row r="225982" s="12" customFormat="1" x14ac:dyDescent="0.25"/>
    <row r="225983" s="12" customFormat="1" x14ac:dyDescent="0.25"/>
    <row r="225984" s="12" customFormat="1" x14ac:dyDescent="0.25"/>
    <row r="225985" s="12" customFormat="1" x14ac:dyDescent="0.25"/>
    <row r="225986" s="12" customFormat="1" x14ac:dyDescent="0.25"/>
    <row r="225987" s="12" customFormat="1" x14ac:dyDescent="0.25"/>
    <row r="225988" s="12" customFormat="1" x14ac:dyDescent="0.25"/>
    <row r="225989" s="12" customFormat="1" x14ac:dyDescent="0.25"/>
    <row r="225990" s="12" customFormat="1" x14ac:dyDescent="0.25"/>
    <row r="225991" s="12" customFormat="1" x14ac:dyDescent="0.25"/>
    <row r="225992" s="12" customFormat="1" x14ac:dyDescent="0.25"/>
    <row r="225993" s="12" customFormat="1" x14ac:dyDescent="0.25"/>
    <row r="225994" s="12" customFormat="1" x14ac:dyDescent="0.25"/>
    <row r="225995" s="12" customFormat="1" x14ac:dyDescent="0.25"/>
    <row r="225996" s="12" customFormat="1" x14ac:dyDescent="0.25"/>
    <row r="225997" s="12" customFormat="1" x14ac:dyDescent="0.25"/>
    <row r="225998" s="12" customFormat="1" x14ac:dyDescent="0.25"/>
    <row r="225999" s="12" customFormat="1" x14ac:dyDescent="0.25"/>
    <row r="226000" s="12" customFormat="1" x14ac:dyDescent="0.25"/>
    <row r="226001" s="12" customFormat="1" x14ac:dyDescent="0.25"/>
    <row r="226002" s="12" customFormat="1" x14ac:dyDescent="0.25"/>
    <row r="226003" s="12" customFormat="1" x14ac:dyDescent="0.25"/>
    <row r="226004" s="12" customFormat="1" x14ac:dyDescent="0.25"/>
    <row r="226005" s="12" customFormat="1" x14ac:dyDescent="0.25"/>
    <row r="226006" s="12" customFormat="1" x14ac:dyDescent="0.25"/>
    <row r="226007" s="12" customFormat="1" x14ac:dyDescent="0.25"/>
    <row r="226008" s="12" customFormat="1" x14ac:dyDescent="0.25"/>
    <row r="226009" s="12" customFormat="1" x14ac:dyDescent="0.25"/>
    <row r="226010" s="12" customFormat="1" x14ac:dyDescent="0.25"/>
    <row r="226011" s="12" customFormat="1" x14ac:dyDescent="0.25"/>
    <row r="226012" s="12" customFormat="1" x14ac:dyDescent="0.25"/>
    <row r="226013" s="12" customFormat="1" x14ac:dyDescent="0.25"/>
    <row r="226014" s="12" customFormat="1" x14ac:dyDescent="0.25"/>
    <row r="226015" s="12" customFormat="1" x14ac:dyDescent="0.25"/>
    <row r="226016" s="12" customFormat="1" x14ac:dyDescent="0.25"/>
    <row r="226017" s="12" customFormat="1" x14ac:dyDescent="0.25"/>
    <row r="226018" s="12" customFormat="1" x14ac:dyDescent="0.25"/>
    <row r="226019" s="12" customFormat="1" x14ac:dyDescent="0.25"/>
    <row r="226020" s="12" customFormat="1" x14ac:dyDescent="0.25"/>
    <row r="226021" s="12" customFormat="1" x14ac:dyDescent="0.25"/>
    <row r="226022" s="12" customFormat="1" x14ac:dyDescent="0.25"/>
    <row r="226023" s="12" customFormat="1" x14ac:dyDescent="0.25"/>
    <row r="226024" s="12" customFormat="1" x14ac:dyDescent="0.25"/>
    <row r="226025" s="12" customFormat="1" x14ac:dyDescent="0.25"/>
    <row r="226026" s="12" customFormat="1" x14ac:dyDescent="0.25"/>
    <row r="226027" s="12" customFormat="1" x14ac:dyDescent="0.25"/>
    <row r="226028" s="12" customFormat="1" x14ac:dyDescent="0.25"/>
    <row r="226029" s="12" customFormat="1" x14ac:dyDescent="0.25"/>
    <row r="226030" s="12" customFormat="1" x14ac:dyDescent="0.25"/>
    <row r="226031" s="12" customFormat="1" x14ac:dyDescent="0.25"/>
    <row r="226032" s="12" customFormat="1" x14ac:dyDescent="0.25"/>
    <row r="226033" s="12" customFormat="1" x14ac:dyDescent="0.25"/>
    <row r="226034" s="12" customFormat="1" x14ac:dyDescent="0.25"/>
    <row r="226035" s="12" customFormat="1" x14ac:dyDescent="0.25"/>
    <row r="226036" s="12" customFormat="1" x14ac:dyDescent="0.25"/>
    <row r="226037" s="12" customFormat="1" x14ac:dyDescent="0.25"/>
    <row r="226038" s="12" customFormat="1" x14ac:dyDescent="0.25"/>
    <row r="226039" s="12" customFormat="1" x14ac:dyDescent="0.25"/>
    <row r="226040" s="12" customFormat="1" x14ac:dyDescent="0.25"/>
    <row r="226041" s="12" customFormat="1" x14ac:dyDescent="0.25"/>
    <row r="226042" s="12" customFormat="1" x14ac:dyDescent="0.25"/>
    <row r="226043" s="12" customFormat="1" x14ac:dyDescent="0.25"/>
    <row r="226044" s="12" customFormat="1" x14ac:dyDescent="0.25"/>
    <row r="226045" s="12" customFormat="1" x14ac:dyDescent="0.25"/>
    <row r="226046" s="12" customFormat="1" x14ac:dyDescent="0.25"/>
    <row r="226047" s="12" customFormat="1" x14ac:dyDescent="0.25"/>
    <row r="226048" s="12" customFormat="1" x14ac:dyDescent="0.25"/>
    <row r="226049" s="12" customFormat="1" x14ac:dyDescent="0.25"/>
    <row r="226050" s="12" customFormat="1" x14ac:dyDescent="0.25"/>
    <row r="226051" s="12" customFormat="1" x14ac:dyDescent="0.25"/>
    <row r="226052" s="12" customFormat="1" x14ac:dyDescent="0.25"/>
    <row r="226053" s="12" customFormat="1" x14ac:dyDescent="0.25"/>
    <row r="226054" s="12" customFormat="1" x14ac:dyDescent="0.25"/>
    <row r="226055" s="12" customFormat="1" x14ac:dyDescent="0.25"/>
    <row r="226056" s="12" customFormat="1" x14ac:dyDescent="0.25"/>
    <row r="226057" s="12" customFormat="1" x14ac:dyDescent="0.25"/>
    <row r="226058" s="12" customFormat="1" x14ac:dyDescent="0.25"/>
    <row r="226059" s="12" customFormat="1" x14ac:dyDescent="0.25"/>
    <row r="226060" s="12" customFormat="1" x14ac:dyDescent="0.25"/>
    <row r="226061" s="12" customFormat="1" x14ac:dyDescent="0.25"/>
    <row r="226062" s="12" customFormat="1" x14ac:dyDescent="0.25"/>
    <row r="226063" s="12" customFormat="1" x14ac:dyDescent="0.25"/>
    <row r="226064" s="12" customFormat="1" x14ac:dyDescent="0.25"/>
    <row r="226065" s="12" customFormat="1" x14ac:dyDescent="0.25"/>
    <row r="226066" s="12" customFormat="1" x14ac:dyDescent="0.25"/>
    <row r="226067" s="12" customFormat="1" x14ac:dyDescent="0.25"/>
    <row r="226068" s="12" customFormat="1" x14ac:dyDescent="0.25"/>
    <row r="226069" s="12" customFormat="1" x14ac:dyDescent="0.25"/>
    <row r="226070" s="12" customFormat="1" x14ac:dyDescent="0.25"/>
    <row r="226071" s="12" customFormat="1" x14ac:dyDescent="0.25"/>
    <row r="226072" s="12" customFormat="1" x14ac:dyDescent="0.25"/>
    <row r="226073" s="12" customFormat="1" x14ac:dyDescent="0.25"/>
    <row r="226074" s="12" customFormat="1" x14ac:dyDescent="0.25"/>
    <row r="226075" s="12" customFormat="1" x14ac:dyDescent="0.25"/>
    <row r="226076" s="12" customFormat="1" x14ac:dyDescent="0.25"/>
    <row r="226077" s="12" customFormat="1" x14ac:dyDescent="0.25"/>
    <row r="226078" s="12" customFormat="1" x14ac:dyDescent="0.25"/>
    <row r="226079" s="12" customFormat="1" x14ac:dyDescent="0.25"/>
    <row r="226080" s="12" customFormat="1" x14ac:dyDescent="0.25"/>
    <row r="226081" s="12" customFormat="1" x14ac:dyDescent="0.25"/>
    <row r="226082" s="12" customFormat="1" x14ac:dyDescent="0.25"/>
    <row r="226083" s="12" customFormat="1" x14ac:dyDescent="0.25"/>
    <row r="226084" s="12" customFormat="1" x14ac:dyDescent="0.25"/>
    <row r="226085" s="12" customFormat="1" x14ac:dyDescent="0.25"/>
    <row r="226086" s="12" customFormat="1" x14ac:dyDescent="0.25"/>
    <row r="226087" s="12" customFormat="1" x14ac:dyDescent="0.25"/>
    <row r="226088" s="12" customFormat="1" x14ac:dyDescent="0.25"/>
    <row r="226089" s="12" customFormat="1" x14ac:dyDescent="0.25"/>
    <row r="226090" s="12" customFormat="1" x14ac:dyDescent="0.25"/>
    <row r="226091" s="12" customFormat="1" x14ac:dyDescent="0.25"/>
    <row r="226092" s="12" customFormat="1" x14ac:dyDescent="0.25"/>
    <row r="226093" s="12" customFormat="1" x14ac:dyDescent="0.25"/>
    <row r="226094" s="12" customFormat="1" x14ac:dyDescent="0.25"/>
    <row r="226095" s="12" customFormat="1" x14ac:dyDescent="0.25"/>
    <row r="226096" s="12" customFormat="1" x14ac:dyDescent="0.25"/>
    <row r="226097" s="12" customFormat="1" x14ac:dyDescent="0.25"/>
    <row r="226098" s="12" customFormat="1" x14ac:dyDescent="0.25"/>
    <row r="226099" s="12" customFormat="1" x14ac:dyDescent="0.25"/>
    <row r="226100" s="12" customFormat="1" x14ac:dyDescent="0.25"/>
    <row r="226101" s="12" customFormat="1" x14ac:dyDescent="0.25"/>
    <row r="226102" s="12" customFormat="1" x14ac:dyDescent="0.25"/>
    <row r="226103" s="12" customFormat="1" x14ac:dyDescent="0.25"/>
    <row r="226104" s="12" customFormat="1" x14ac:dyDescent="0.25"/>
    <row r="226105" s="12" customFormat="1" x14ac:dyDescent="0.25"/>
    <row r="226106" s="12" customFormat="1" x14ac:dyDescent="0.25"/>
    <row r="226107" s="12" customFormat="1" x14ac:dyDescent="0.25"/>
    <row r="226108" s="12" customFormat="1" x14ac:dyDescent="0.25"/>
    <row r="226109" s="12" customFormat="1" x14ac:dyDescent="0.25"/>
    <row r="226110" s="12" customFormat="1" x14ac:dyDescent="0.25"/>
    <row r="226111" s="12" customFormat="1" x14ac:dyDescent="0.25"/>
    <row r="226112" s="12" customFormat="1" x14ac:dyDescent="0.25"/>
    <row r="226113" s="12" customFormat="1" x14ac:dyDescent="0.25"/>
    <row r="226114" s="12" customFormat="1" x14ac:dyDescent="0.25"/>
    <row r="226115" s="12" customFormat="1" x14ac:dyDescent="0.25"/>
    <row r="226116" s="12" customFormat="1" x14ac:dyDescent="0.25"/>
    <row r="226117" s="12" customFormat="1" x14ac:dyDescent="0.25"/>
    <row r="226118" s="12" customFormat="1" x14ac:dyDescent="0.25"/>
    <row r="226119" s="12" customFormat="1" x14ac:dyDescent="0.25"/>
    <row r="226120" s="12" customFormat="1" x14ac:dyDescent="0.25"/>
    <row r="226121" s="12" customFormat="1" x14ac:dyDescent="0.25"/>
    <row r="226122" s="12" customFormat="1" x14ac:dyDescent="0.25"/>
    <row r="226123" s="12" customFormat="1" x14ac:dyDescent="0.25"/>
    <row r="226124" s="12" customFormat="1" x14ac:dyDescent="0.25"/>
    <row r="226125" s="12" customFormat="1" x14ac:dyDescent="0.25"/>
    <row r="226126" s="12" customFormat="1" x14ac:dyDescent="0.25"/>
    <row r="226127" s="12" customFormat="1" x14ac:dyDescent="0.25"/>
    <row r="226128" s="12" customFormat="1" x14ac:dyDescent="0.25"/>
    <row r="226129" s="12" customFormat="1" x14ac:dyDescent="0.25"/>
    <row r="226130" s="12" customFormat="1" x14ac:dyDescent="0.25"/>
    <row r="226131" s="12" customFormat="1" x14ac:dyDescent="0.25"/>
    <row r="226132" s="12" customFormat="1" x14ac:dyDescent="0.25"/>
    <row r="226133" s="12" customFormat="1" x14ac:dyDescent="0.25"/>
    <row r="226134" s="12" customFormat="1" x14ac:dyDescent="0.25"/>
    <row r="226135" s="12" customFormat="1" x14ac:dyDescent="0.25"/>
    <row r="226136" s="12" customFormat="1" x14ac:dyDescent="0.25"/>
    <row r="226137" s="12" customFormat="1" x14ac:dyDescent="0.25"/>
    <row r="226138" s="12" customFormat="1" x14ac:dyDescent="0.25"/>
    <row r="226139" s="12" customFormat="1" x14ac:dyDescent="0.25"/>
    <row r="226140" s="12" customFormat="1" x14ac:dyDescent="0.25"/>
    <row r="226141" s="12" customFormat="1" x14ac:dyDescent="0.25"/>
    <row r="226142" s="12" customFormat="1" x14ac:dyDescent="0.25"/>
    <row r="226143" s="12" customFormat="1" x14ac:dyDescent="0.25"/>
    <row r="226144" s="12" customFormat="1" x14ac:dyDescent="0.25"/>
    <row r="226145" s="12" customFormat="1" x14ac:dyDescent="0.25"/>
    <row r="226146" s="12" customFormat="1" x14ac:dyDescent="0.25"/>
    <row r="226147" s="12" customFormat="1" x14ac:dyDescent="0.25"/>
    <row r="226148" s="12" customFormat="1" x14ac:dyDescent="0.25"/>
    <row r="226149" s="12" customFormat="1" x14ac:dyDescent="0.25"/>
    <row r="226150" s="12" customFormat="1" x14ac:dyDescent="0.25"/>
    <row r="226151" s="12" customFormat="1" x14ac:dyDescent="0.25"/>
    <row r="226152" s="12" customFormat="1" x14ac:dyDescent="0.25"/>
    <row r="226153" s="12" customFormat="1" x14ac:dyDescent="0.25"/>
    <row r="226154" s="12" customFormat="1" x14ac:dyDescent="0.25"/>
    <row r="226155" s="12" customFormat="1" x14ac:dyDescent="0.25"/>
    <row r="226156" s="12" customFormat="1" x14ac:dyDescent="0.25"/>
    <row r="226157" s="12" customFormat="1" x14ac:dyDescent="0.25"/>
    <row r="226158" s="12" customFormat="1" x14ac:dyDescent="0.25"/>
    <row r="226159" s="12" customFormat="1" x14ac:dyDescent="0.25"/>
    <row r="226160" s="12" customFormat="1" x14ac:dyDescent="0.25"/>
    <row r="226161" s="12" customFormat="1" x14ac:dyDescent="0.25"/>
    <row r="226162" s="12" customFormat="1" x14ac:dyDescent="0.25"/>
    <row r="226163" s="12" customFormat="1" x14ac:dyDescent="0.25"/>
    <row r="226164" s="12" customFormat="1" x14ac:dyDescent="0.25"/>
    <row r="226165" s="12" customFormat="1" x14ac:dyDescent="0.25"/>
    <row r="226166" s="12" customFormat="1" x14ac:dyDescent="0.25"/>
    <row r="226167" s="12" customFormat="1" x14ac:dyDescent="0.25"/>
    <row r="226168" s="12" customFormat="1" x14ac:dyDescent="0.25"/>
    <row r="226169" s="12" customFormat="1" x14ac:dyDescent="0.25"/>
    <row r="226170" s="12" customFormat="1" x14ac:dyDescent="0.25"/>
    <row r="226171" s="12" customFormat="1" x14ac:dyDescent="0.25"/>
    <row r="226172" s="12" customFormat="1" x14ac:dyDescent="0.25"/>
    <row r="226173" s="12" customFormat="1" x14ac:dyDescent="0.25"/>
    <row r="226174" s="12" customFormat="1" x14ac:dyDescent="0.25"/>
    <row r="226175" s="12" customFormat="1" x14ac:dyDescent="0.25"/>
    <row r="226176" s="12" customFormat="1" x14ac:dyDescent="0.25"/>
    <row r="226177" s="12" customFormat="1" x14ac:dyDescent="0.25"/>
    <row r="226178" s="12" customFormat="1" x14ac:dyDescent="0.25"/>
    <row r="226179" s="12" customFormat="1" x14ac:dyDescent="0.25"/>
    <row r="226180" s="12" customFormat="1" x14ac:dyDescent="0.25"/>
    <row r="226181" s="12" customFormat="1" x14ac:dyDescent="0.25"/>
    <row r="226182" s="12" customFormat="1" x14ac:dyDescent="0.25"/>
    <row r="226183" s="12" customFormat="1" x14ac:dyDescent="0.25"/>
    <row r="226184" s="12" customFormat="1" x14ac:dyDescent="0.25"/>
    <row r="226185" s="12" customFormat="1" x14ac:dyDescent="0.25"/>
    <row r="226186" s="12" customFormat="1" x14ac:dyDescent="0.25"/>
    <row r="226187" s="12" customFormat="1" x14ac:dyDescent="0.25"/>
    <row r="226188" s="12" customFormat="1" x14ac:dyDescent="0.25"/>
    <row r="226189" s="12" customFormat="1" x14ac:dyDescent="0.25"/>
    <row r="226190" s="12" customFormat="1" x14ac:dyDescent="0.25"/>
    <row r="226191" s="12" customFormat="1" x14ac:dyDescent="0.25"/>
    <row r="226192" s="12" customFormat="1" x14ac:dyDescent="0.25"/>
    <row r="226193" s="12" customFormat="1" x14ac:dyDescent="0.25"/>
    <row r="226194" s="12" customFormat="1" x14ac:dyDescent="0.25"/>
    <row r="226195" s="12" customFormat="1" x14ac:dyDescent="0.25"/>
    <row r="226196" s="12" customFormat="1" x14ac:dyDescent="0.25"/>
    <row r="226197" s="12" customFormat="1" x14ac:dyDescent="0.25"/>
    <row r="226198" s="12" customFormat="1" x14ac:dyDescent="0.25"/>
    <row r="226199" s="12" customFormat="1" x14ac:dyDescent="0.25"/>
    <row r="226200" s="12" customFormat="1" x14ac:dyDescent="0.25"/>
    <row r="226201" s="12" customFormat="1" x14ac:dyDescent="0.25"/>
    <row r="226202" s="12" customFormat="1" x14ac:dyDescent="0.25"/>
    <row r="226203" s="12" customFormat="1" x14ac:dyDescent="0.25"/>
    <row r="226204" s="12" customFormat="1" x14ac:dyDescent="0.25"/>
    <row r="226205" s="12" customFormat="1" x14ac:dyDescent="0.25"/>
    <row r="226206" s="12" customFormat="1" x14ac:dyDescent="0.25"/>
    <row r="226207" s="12" customFormat="1" x14ac:dyDescent="0.25"/>
    <row r="226208" s="12" customFormat="1" x14ac:dyDescent="0.25"/>
    <row r="226209" s="12" customFormat="1" x14ac:dyDescent="0.25"/>
    <row r="226210" s="12" customFormat="1" x14ac:dyDescent="0.25"/>
    <row r="226211" s="12" customFormat="1" x14ac:dyDescent="0.25"/>
    <row r="226212" s="12" customFormat="1" x14ac:dyDescent="0.25"/>
    <row r="226213" s="12" customFormat="1" x14ac:dyDescent="0.25"/>
    <row r="226214" s="12" customFormat="1" x14ac:dyDescent="0.25"/>
    <row r="226215" s="12" customFormat="1" x14ac:dyDescent="0.25"/>
    <row r="226216" s="12" customFormat="1" x14ac:dyDescent="0.25"/>
    <row r="226217" s="12" customFormat="1" x14ac:dyDescent="0.25"/>
    <row r="226218" s="12" customFormat="1" x14ac:dyDescent="0.25"/>
    <row r="226219" s="12" customFormat="1" x14ac:dyDescent="0.25"/>
    <row r="226220" s="12" customFormat="1" x14ac:dyDescent="0.25"/>
    <row r="226221" s="12" customFormat="1" x14ac:dyDescent="0.25"/>
    <row r="226222" s="12" customFormat="1" x14ac:dyDescent="0.25"/>
    <row r="226223" s="12" customFormat="1" x14ac:dyDescent="0.25"/>
    <row r="226224" s="12" customFormat="1" x14ac:dyDescent="0.25"/>
    <row r="226225" s="12" customFormat="1" x14ac:dyDescent="0.25"/>
    <row r="226226" s="12" customFormat="1" x14ac:dyDescent="0.25"/>
    <row r="226227" s="12" customFormat="1" x14ac:dyDescent="0.25"/>
    <row r="226228" s="12" customFormat="1" x14ac:dyDescent="0.25"/>
    <row r="226229" s="12" customFormat="1" x14ac:dyDescent="0.25"/>
    <row r="226230" s="12" customFormat="1" x14ac:dyDescent="0.25"/>
    <row r="226231" s="12" customFormat="1" x14ac:dyDescent="0.25"/>
    <row r="226232" s="12" customFormat="1" x14ac:dyDescent="0.25"/>
    <row r="226233" s="12" customFormat="1" x14ac:dyDescent="0.25"/>
    <row r="226234" s="12" customFormat="1" x14ac:dyDescent="0.25"/>
    <row r="226235" s="12" customFormat="1" x14ac:dyDescent="0.25"/>
    <row r="226236" s="12" customFormat="1" x14ac:dyDescent="0.25"/>
    <row r="226237" s="12" customFormat="1" x14ac:dyDescent="0.25"/>
    <row r="226238" s="12" customFormat="1" x14ac:dyDescent="0.25"/>
    <row r="226239" s="12" customFormat="1" x14ac:dyDescent="0.25"/>
    <row r="226240" s="12" customFormat="1" x14ac:dyDescent="0.25"/>
    <row r="226241" s="12" customFormat="1" x14ac:dyDescent="0.25"/>
    <row r="226242" s="12" customFormat="1" x14ac:dyDescent="0.25"/>
    <row r="226243" s="12" customFormat="1" x14ac:dyDescent="0.25"/>
    <row r="226244" s="12" customFormat="1" x14ac:dyDescent="0.25"/>
    <row r="226245" s="12" customFormat="1" x14ac:dyDescent="0.25"/>
    <row r="226246" s="12" customFormat="1" x14ac:dyDescent="0.25"/>
    <row r="226247" s="12" customFormat="1" x14ac:dyDescent="0.25"/>
    <row r="226248" s="12" customFormat="1" x14ac:dyDescent="0.25"/>
    <row r="226249" s="12" customFormat="1" x14ac:dyDescent="0.25"/>
    <row r="226250" s="12" customFormat="1" x14ac:dyDescent="0.25"/>
    <row r="226251" s="12" customFormat="1" x14ac:dyDescent="0.25"/>
    <row r="226252" s="12" customFormat="1" x14ac:dyDescent="0.25"/>
    <row r="226253" s="12" customFormat="1" x14ac:dyDescent="0.25"/>
    <row r="226254" s="12" customFormat="1" x14ac:dyDescent="0.25"/>
    <row r="226255" s="12" customFormat="1" x14ac:dyDescent="0.25"/>
    <row r="226256" s="12" customFormat="1" x14ac:dyDescent="0.25"/>
    <row r="226257" s="12" customFormat="1" x14ac:dyDescent="0.25"/>
    <row r="226258" s="12" customFormat="1" x14ac:dyDescent="0.25"/>
    <row r="226259" s="12" customFormat="1" x14ac:dyDescent="0.25"/>
    <row r="226260" s="12" customFormat="1" x14ac:dyDescent="0.25"/>
    <row r="226261" s="12" customFormat="1" x14ac:dyDescent="0.25"/>
    <row r="226262" s="12" customFormat="1" x14ac:dyDescent="0.25"/>
    <row r="226263" s="12" customFormat="1" x14ac:dyDescent="0.25"/>
    <row r="226264" s="12" customFormat="1" x14ac:dyDescent="0.25"/>
    <row r="226265" s="12" customFormat="1" x14ac:dyDescent="0.25"/>
    <row r="226266" s="12" customFormat="1" x14ac:dyDescent="0.25"/>
    <row r="226267" s="12" customFormat="1" x14ac:dyDescent="0.25"/>
    <row r="226268" s="12" customFormat="1" x14ac:dyDescent="0.25"/>
    <row r="226269" s="12" customFormat="1" x14ac:dyDescent="0.25"/>
    <row r="226270" s="12" customFormat="1" x14ac:dyDescent="0.25"/>
    <row r="226271" s="12" customFormat="1" x14ac:dyDescent="0.25"/>
    <row r="226272" s="12" customFormat="1" x14ac:dyDescent="0.25"/>
    <row r="226273" s="12" customFormat="1" x14ac:dyDescent="0.25"/>
    <row r="226274" s="12" customFormat="1" x14ac:dyDescent="0.25"/>
    <row r="226275" s="12" customFormat="1" x14ac:dyDescent="0.25"/>
    <row r="226276" s="12" customFormat="1" x14ac:dyDescent="0.25"/>
    <row r="226277" s="12" customFormat="1" x14ac:dyDescent="0.25"/>
    <row r="226278" s="12" customFormat="1" x14ac:dyDescent="0.25"/>
    <row r="226279" s="12" customFormat="1" x14ac:dyDescent="0.25"/>
    <row r="226280" s="12" customFormat="1" x14ac:dyDescent="0.25"/>
    <row r="226281" s="12" customFormat="1" x14ac:dyDescent="0.25"/>
    <row r="226282" s="12" customFormat="1" x14ac:dyDescent="0.25"/>
    <row r="226283" s="12" customFormat="1" x14ac:dyDescent="0.25"/>
    <row r="226284" s="12" customFormat="1" x14ac:dyDescent="0.25"/>
    <row r="226285" s="12" customFormat="1" x14ac:dyDescent="0.25"/>
    <row r="226286" s="12" customFormat="1" x14ac:dyDescent="0.25"/>
    <row r="226287" s="12" customFormat="1" x14ac:dyDescent="0.25"/>
    <row r="226288" s="12" customFormat="1" x14ac:dyDescent="0.25"/>
    <row r="226289" s="12" customFormat="1" x14ac:dyDescent="0.25"/>
    <row r="226290" s="12" customFormat="1" x14ac:dyDescent="0.25"/>
    <row r="226291" s="12" customFormat="1" x14ac:dyDescent="0.25"/>
    <row r="226292" s="12" customFormat="1" x14ac:dyDescent="0.25"/>
    <row r="226293" s="12" customFormat="1" x14ac:dyDescent="0.25"/>
    <row r="226294" s="12" customFormat="1" x14ac:dyDescent="0.25"/>
    <row r="226295" s="12" customFormat="1" x14ac:dyDescent="0.25"/>
    <row r="226296" s="12" customFormat="1" x14ac:dyDescent="0.25"/>
    <row r="226297" s="12" customFormat="1" x14ac:dyDescent="0.25"/>
    <row r="226298" s="12" customFormat="1" x14ac:dyDescent="0.25"/>
    <row r="226299" s="12" customFormat="1" x14ac:dyDescent="0.25"/>
    <row r="226300" s="12" customFormat="1" x14ac:dyDescent="0.25"/>
    <row r="226301" s="12" customFormat="1" x14ac:dyDescent="0.25"/>
    <row r="226302" s="12" customFormat="1" x14ac:dyDescent="0.25"/>
    <row r="226303" s="12" customFormat="1" x14ac:dyDescent="0.25"/>
    <row r="226304" s="12" customFormat="1" x14ac:dyDescent="0.25"/>
    <row r="226305" s="12" customFormat="1" x14ac:dyDescent="0.25"/>
    <row r="226306" s="12" customFormat="1" x14ac:dyDescent="0.25"/>
    <row r="226307" s="12" customFormat="1" x14ac:dyDescent="0.25"/>
    <row r="226308" s="12" customFormat="1" x14ac:dyDescent="0.25"/>
    <row r="226309" s="12" customFormat="1" x14ac:dyDescent="0.25"/>
    <row r="226310" s="12" customFormat="1" x14ac:dyDescent="0.25"/>
    <row r="226311" s="12" customFormat="1" x14ac:dyDescent="0.25"/>
    <row r="226312" s="12" customFormat="1" x14ac:dyDescent="0.25"/>
    <row r="226313" s="12" customFormat="1" x14ac:dyDescent="0.25"/>
    <row r="226314" s="12" customFormat="1" x14ac:dyDescent="0.25"/>
    <row r="226315" s="12" customFormat="1" x14ac:dyDescent="0.25"/>
    <row r="226316" s="12" customFormat="1" x14ac:dyDescent="0.25"/>
    <row r="226317" s="12" customFormat="1" x14ac:dyDescent="0.25"/>
    <row r="226318" s="12" customFormat="1" x14ac:dyDescent="0.25"/>
    <row r="226319" s="12" customFormat="1" x14ac:dyDescent="0.25"/>
    <row r="226320" s="12" customFormat="1" x14ac:dyDescent="0.25"/>
    <row r="226321" s="12" customFormat="1" x14ac:dyDescent="0.25"/>
    <row r="226322" s="12" customFormat="1" x14ac:dyDescent="0.25"/>
    <row r="226323" s="12" customFormat="1" x14ac:dyDescent="0.25"/>
    <row r="226324" s="12" customFormat="1" x14ac:dyDescent="0.25"/>
    <row r="226325" s="12" customFormat="1" x14ac:dyDescent="0.25"/>
    <row r="226326" s="12" customFormat="1" x14ac:dyDescent="0.25"/>
    <row r="226327" s="12" customFormat="1" x14ac:dyDescent="0.25"/>
    <row r="226328" s="12" customFormat="1" x14ac:dyDescent="0.25"/>
    <row r="226329" s="12" customFormat="1" x14ac:dyDescent="0.25"/>
    <row r="226330" s="12" customFormat="1" x14ac:dyDescent="0.25"/>
    <row r="226331" s="12" customFormat="1" x14ac:dyDescent="0.25"/>
    <row r="226332" s="12" customFormat="1" x14ac:dyDescent="0.25"/>
    <row r="226333" s="12" customFormat="1" x14ac:dyDescent="0.25"/>
    <row r="226334" s="12" customFormat="1" x14ac:dyDescent="0.25"/>
    <row r="226335" s="12" customFormat="1" x14ac:dyDescent="0.25"/>
    <row r="226336" s="12" customFormat="1" x14ac:dyDescent="0.25"/>
    <row r="226337" s="12" customFormat="1" x14ac:dyDescent="0.25"/>
    <row r="226338" s="12" customFormat="1" x14ac:dyDescent="0.25"/>
    <row r="226339" s="12" customFormat="1" x14ac:dyDescent="0.25"/>
    <row r="226340" s="12" customFormat="1" x14ac:dyDescent="0.25"/>
    <row r="226341" s="12" customFormat="1" x14ac:dyDescent="0.25"/>
    <row r="226342" s="12" customFormat="1" x14ac:dyDescent="0.25"/>
    <row r="226343" s="12" customFormat="1" x14ac:dyDescent="0.25"/>
    <row r="226344" s="12" customFormat="1" x14ac:dyDescent="0.25"/>
    <row r="226345" s="12" customFormat="1" x14ac:dyDescent="0.25"/>
    <row r="226346" s="12" customFormat="1" x14ac:dyDescent="0.25"/>
    <row r="226347" s="12" customFormat="1" x14ac:dyDescent="0.25"/>
    <row r="226348" s="12" customFormat="1" x14ac:dyDescent="0.25"/>
    <row r="226349" s="12" customFormat="1" x14ac:dyDescent="0.25"/>
    <row r="226350" s="12" customFormat="1" x14ac:dyDescent="0.25"/>
    <row r="226351" s="12" customFormat="1" x14ac:dyDescent="0.25"/>
    <row r="226352" s="12" customFormat="1" x14ac:dyDescent="0.25"/>
    <row r="226353" s="12" customFormat="1" x14ac:dyDescent="0.25"/>
    <row r="226354" s="12" customFormat="1" x14ac:dyDescent="0.25"/>
    <row r="226355" s="12" customFormat="1" x14ac:dyDescent="0.25"/>
    <row r="226356" s="12" customFormat="1" x14ac:dyDescent="0.25"/>
    <row r="226357" s="12" customFormat="1" x14ac:dyDescent="0.25"/>
    <row r="226358" s="12" customFormat="1" x14ac:dyDescent="0.25"/>
    <row r="226359" s="12" customFormat="1" x14ac:dyDescent="0.25"/>
    <row r="226360" s="12" customFormat="1" x14ac:dyDescent="0.25"/>
    <row r="226361" s="12" customFormat="1" x14ac:dyDescent="0.25"/>
    <row r="226362" s="12" customFormat="1" x14ac:dyDescent="0.25"/>
    <row r="226363" s="12" customFormat="1" x14ac:dyDescent="0.25"/>
    <row r="226364" s="12" customFormat="1" x14ac:dyDescent="0.25"/>
    <row r="226365" s="12" customFormat="1" x14ac:dyDescent="0.25"/>
    <row r="226366" s="12" customFormat="1" x14ac:dyDescent="0.25"/>
    <row r="226367" s="12" customFormat="1" x14ac:dyDescent="0.25"/>
    <row r="226368" s="12" customFormat="1" x14ac:dyDescent="0.25"/>
    <row r="226369" s="12" customFormat="1" x14ac:dyDescent="0.25"/>
    <row r="226370" s="12" customFormat="1" x14ac:dyDescent="0.25"/>
    <row r="226371" s="12" customFormat="1" x14ac:dyDescent="0.25"/>
    <row r="226372" s="12" customFormat="1" x14ac:dyDescent="0.25"/>
    <row r="226373" s="12" customFormat="1" x14ac:dyDescent="0.25"/>
    <row r="226374" s="12" customFormat="1" x14ac:dyDescent="0.25"/>
    <row r="226375" s="12" customFormat="1" x14ac:dyDescent="0.25"/>
    <row r="226376" s="12" customFormat="1" x14ac:dyDescent="0.25"/>
    <row r="226377" s="12" customFormat="1" x14ac:dyDescent="0.25"/>
    <row r="226378" s="12" customFormat="1" x14ac:dyDescent="0.25"/>
    <row r="226379" s="12" customFormat="1" x14ac:dyDescent="0.25"/>
    <row r="226380" s="12" customFormat="1" x14ac:dyDescent="0.25"/>
    <row r="226381" s="12" customFormat="1" x14ac:dyDescent="0.25"/>
    <row r="226382" s="12" customFormat="1" x14ac:dyDescent="0.25"/>
    <row r="226383" s="12" customFormat="1" x14ac:dyDescent="0.25"/>
    <row r="226384" s="12" customFormat="1" x14ac:dyDescent="0.25"/>
    <row r="226385" s="12" customFormat="1" x14ac:dyDescent="0.25"/>
    <row r="226386" s="12" customFormat="1" x14ac:dyDescent="0.25"/>
    <row r="226387" s="12" customFormat="1" x14ac:dyDescent="0.25"/>
    <row r="226388" s="12" customFormat="1" x14ac:dyDescent="0.25"/>
    <row r="226389" s="12" customFormat="1" x14ac:dyDescent="0.25"/>
    <row r="226390" s="12" customFormat="1" x14ac:dyDescent="0.25"/>
    <row r="226391" s="12" customFormat="1" x14ac:dyDescent="0.25"/>
    <row r="226392" s="12" customFormat="1" x14ac:dyDescent="0.25"/>
    <row r="226393" s="12" customFormat="1" x14ac:dyDescent="0.25"/>
    <row r="226394" s="12" customFormat="1" x14ac:dyDescent="0.25"/>
    <row r="226395" s="12" customFormat="1" x14ac:dyDescent="0.25"/>
    <row r="226396" s="12" customFormat="1" x14ac:dyDescent="0.25"/>
    <row r="226397" s="12" customFormat="1" x14ac:dyDescent="0.25"/>
    <row r="226398" s="12" customFormat="1" x14ac:dyDescent="0.25"/>
    <row r="226399" s="12" customFormat="1" x14ac:dyDescent="0.25"/>
    <row r="226400" s="12" customFormat="1" x14ac:dyDescent="0.25"/>
    <row r="226401" s="12" customFormat="1" x14ac:dyDescent="0.25"/>
    <row r="226402" s="12" customFormat="1" x14ac:dyDescent="0.25"/>
    <row r="226403" s="12" customFormat="1" x14ac:dyDescent="0.25"/>
    <row r="226404" s="12" customFormat="1" x14ac:dyDescent="0.25"/>
    <row r="226405" s="12" customFormat="1" x14ac:dyDescent="0.25"/>
    <row r="226406" s="12" customFormat="1" x14ac:dyDescent="0.25"/>
    <row r="226407" s="12" customFormat="1" x14ac:dyDescent="0.25"/>
    <row r="226408" s="12" customFormat="1" x14ac:dyDescent="0.25"/>
    <row r="226409" s="12" customFormat="1" x14ac:dyDescent="0.25"/>
    <row r="226410" s="12" customFormat="1" x14ac:dyDescent="0.25"/>
    <row r="226411" s="12" customFormat="1" x14ac:dyDescent="0.25"/>
    <row r="226412" s="12" customFormat="1" x14ac:dyDescent="0.25"/>
    <row r="226413" s="12" customFormat="1" x14ac:dyDescent="0.25"/>
    <row r="226414" s="12" customFormat="1" x14ac:dyDescent="0.25"/>
    <row r="226415" s="12" customFormat="1" x14ac:dyDescent="0.25"/>
    <row r="226416" s="12" customFormat="1" x14ac:dyDescent="0.25"/>
    <row r="226417" s="12" customFormat="1" x14ac:dyDescent="0.25"/>
    <row r="226418" s="12" customFormat="1" x14ac:dyDescent="0.25"/>
    <row r="226419" s="12" customFormat="1" x14ac:dyDescent="0.25"/>
    <row r="226420" s="12" customFormat="1" x14ac:dyDescent="0.25"/>
    <row r="226421" s="12" customFormat="1" x14ac:dyDescent="0.25"/>
    <row r="226422" s="12" customFormat="1" x14ac:dyDescent="0.25"/>
    <row r="226423" s="12" customFormat="1" x14ac:dyDescent="0.25"/>
    <row r="226424" s="12" customFormat="1" x14ac:dyDescent="0.25"/>
    <row r="226425" s="12" customFormat="1" x14ac:dyDescent="0.25"/>
    <row r="226426" s="12" customFormat="1" x14ac:dyDescent="0.25"/>
    <row r="226427" s="12" customFormat="1" x14ac:dyDescent="0.25"/>
    <row r="226428" s="12" customFormat="1" x14ac:dyDescent="0.25"/>
    <row r="226429" s="12" customFormat="1" x14ac:dyDescent="0.25"/>
    <row r="226430" s="12" customFormat="1" x14ac:dyDescent="0.25"/>
    <row r="226431" s="12" customFormat="1" x14ac:dyDescent="0.25"/>
    <row r="226432" s="12" customFormat="1" x14ac:dyDescent="0.25"/>
    <row r="226433" s="12" customFormat="1" x14ac:dyDescent="0.25"/>
    <row r="226434" s="12" customFormat="1" x14ac:dyDescent="0.25"/>
    <row r="226435" s="12" customFormat="1" x14ac:dyDescent="0.25"/>
    <row r="226436" s="12" customFormat="1" x14ac:dyDescent="0.25"/>
    <row r="226437" s="12" customFormat="1" x14ac:dyDescent="0.25"/>
    <row r="226438" s="12" customFormat="1" x14ac:dyDescent="0.25"/>
    <row r="226439" s="12" customFormat="1" x14ac:dyDescent="0.25"/>
    <row r="226440" s="12" customFormat="1" x14ac:dyDescent="0.25"/>
    <row r="226441" s="12" customFormat="1" x14ac:dyDescent="0.25"/>
    <row r="226442" s="12" customFormat="1" x14ac:dyDescent="0.25"/>
    <row r="226443" s="12" customFormat="1" x14ac:dyDescent="0.25"/>
    <row r="226444" s="12" customFormat="1" x14ac:dyDescent="0.25"/>
    <row r="226445" s="12" customFormat="1" x14ac:dyDescent="0.25"/>
    <row r="226446" s="12" customFormat="1" x14ac:dyDescent="0.25"/>
    <row r="226447" s="12" customFormat="1" x14ac:dyDescent="0.25"/>
    <row r="226448" s="12" customFormat="1" x14ac:dyDescent="0.25"/>
    <row r="226449" s="12" customFormat="1" x14ac:dyDescent="0.25"/>
    <row r="226450" s="12" customFormat="1" x14ac:dyDescent="0.25"/>
    <row r="226451" s="12" customFormat="1" x14ac:dyDescent="0.25"/>
    <row r="226452" s="12" customFormat="1" x14ac:dyDescent="0.25"/>
    <row r="226453" s="12" customFormat="1" x14ac:dyDescent="0.25"/>
    <row r="226454" s="12" customFormat="1" x14ac:dyDescent="0.25"/>
    <row r="226455" s="12" customFormat="1" x14ac:dyDescent="0.25"/>
    <row r="226456" s="12" customFormat="1" x14ac:dyDescent="0.25"/>
    <row r="226457" s="12" customFormat="1" x14ac:dyDescent="0.25"/>
    <row r="226458" s="12" customFormat="1" x14ac:dyDescent="0.25"/>
    <row r="226459" s="12" customFormat="1" x14ac:dyDescent="0.25"/>
    <row r="226460" s="12" customFormat="1" x14ac:dyDescent="0.25"/>
    <row r="226461" s="12" customFormat="1" x14ac:dyDescent="0.25"/>
    <row r="226462" s="12" customFormat="1" x14ac:dyDescent="0.25"/>
    <row r="226463" s="12" customFormat="1" x14ac:dyDescent="0.25"/>
    <row r="226464" s="12" customFormat="1" x14ac:dyDescent="0.25"/>
    <row r="226465" s="12" customFormat="1" x14ac:dyDescent="0.25"/>
    <row r="226466" s="12" customFormat="1" x14ac:dyDescent="0.25"/>
    <row r="226467" s="12" customFormat="1" x14ac:dyDescent="0.25"/>
    <row r="226468" s="12" customFormat="1" x14ac:dyDescent="0.25"/>
    <row r="226469" s="12" customFormat="1" x14ac:dyDescent="0.25"/>
    <row r="226470" s="12" customFormat="1" x14ac:dyDescent="0.25"/>
    <row r="226471" s="12" customFormat="1" x14ac:dyDescent="0.25"/>
    <row r="226472" s="12" customFormat="1" x14ac:dyDescent="0.25"/>
    <row r="226473" s="12" customFormat="1" x14ac:dyDescent="0.25"/>
    <row r="226474" s="12" customFormat="1" x14ac:dyDescent="0.25"/>
    <row r="226475" s="12" customFormat="1" x14ac:dyDescent="0.25"/>
    <row r="226476" s="12" customFormat="1" x14ac:dyDescent="0.25"/>
    <row r="226477" s="12" customFormat="1" x14ac:dyDescent="0.25"/>
    <row r="226478" s="12" customFormat="1" x14ac:dyDescent="0.25"/>
    <row r="226479" s="12" customFormat="1" x14ac:dyDescent="0.25"/>
    <row r="226480" s="12" customFormat="1" x14ac:dyDescent="0.25"/>
    <row r="226481" s="12" customFormat="1" x14ac:dyDescent="0.25"/>
    <row r="226482" s="12" customFormat="1" x14ac:dyDescent="0.25"/>
    <row r="226483" s="12" customFormat="1" x14ac:dyDescent="0.25"/>
    <row r="226484" s="12" customFormat="1" x14ac:dyDescent="0.25"/>
    <row r="226485" s="12" customFormat="1" x14ac:dyDescent="0.25"/>
    <row r="226486" s="12" customFormat="1" x14ac:dyDescent="0.25"/>
    <row r="226487" s="12" customFormat="1" x14ac:dyDescent="0.25"/>
    <row r="226488" s="12" customFormat="1" x14ac:dyDescent="0.25"/>
    <row r="226489" s="12" customFormat="1" x14ac:dyDescent="0.25"/>
    <row r="226490" s="12" customFormat="1" x14ac:dyDescent="0.25"/>
    <row r="226491" s="12" customFormat="1" x14ac:dyDescent="0.25"/>
    <row r="226492" s="12" customFormat="1" x14ac:dyDescent="0.25"/>
    <row r="226493" s="12" customFormat="1" x14ac:dyDescent="0.25"/>
    <row r="226494" s="12" customFormat="1" x14ac:dyDescent="0.25"/>
    <row r="226495" s="12" customFormat="1" x14ac:dyDescent="0.25"/>
    <row r="226496" s="12" customFormat="1" x14ac:dyDescent="0.25"/>
    <row r="226497" s="12" customFormat="1" x14ac:dyDescent="0.25"/>
    <row r="226498" s="12" customFormat="1" x14ac:dyDescent="0.25"/>
    <row r="226499" s="12" customFormat="1" x14ac:dyDescent="0.25"/>
    <row r="226500" s="12" customFormat="1" x14ac:dyDescent="0.25"/>
    <row r="226501" s="12" customFormat="1" x14ac:dyDescent="0.25"/>
    <row r="226502" s="12" customFormat="1" x14ac:dyDescent="0.25"/>
    <row r="226503" s="12" customFormat="1" x14ac:dyDescent="0.25"/>
    <row r="226504" s="12" customFormat="1" x14ac:dyDescent="0.25"/>
    <row r="226505" s="12" customFormat="1" x14ac:dyDescent="0.25"/>
    <row r="226506" s="12" customFormat="1" x14ac:dyDescent="0.25"/>
    <row r="226507" s="12" customFormat="1" x14ac:dyDescent="0.25"/>
    <row r="226508" s="12" customFormat="1" x14ac:dyDescent="0.25"/>
    <row r="226509" s="12" customFormat="1" x14ac:dyDescent="0.25"/>
    <row r="226510" s="12" customFormat="1" x14ac:dyDescent="0.25"/>
    <row r="226511" s="12" customFormat="1" x14ac:dyDescent="0.25"/>
    <row r="226512" s="12" customFormat="1" x14ac:dyDescent="0.25"/>
    <row r="226513" s="12" customFormat="1" x14ac:dyDescent="0.25"/>
    <row r="226514" s="12" customFormat="1" x14ac:dyDescent="0.25"/>
    <row r="226515" s="12" customFormat="1" x14ac:dyDescent="0.25"/>
    <row r="226516" s="12" customFormat="1" x14ac:dyDescent="0.25"/>
    <row r="226517" s="12" customFormat="1" x14ac:dyDescent="0.25"/>
    <row r="226518" s="12" customFormat="1" x14ac:dyDescent="0.25"/>
    <row r="226519" s="12" customFormat="1" x14ac:dyDescent="0.25"/>
    <row r="226520" s="12" customFormat="1" x14ac:dyDescent="0.25"/>
    <row r="226521" s="12" customFormat="1" x14ac:dyDescent="0.25"/>
    <row r="226522" s="12" customFormat="1" x14ac:dyDescent="0.25"/>
    <row r="226523" s="12" customFormat="1" x14ac:dyDescent="0.25"/>
    <row r="226524" s="12" customFormat="1" x14ac:dyDescent="0.25"/>
    <row r="226525" s="12" customFormat="1" x14ac:dyDescent="0.25"/>
    <row r="226526" s="12" customFormat="1" x14ac:dyDescent="0.25"/>
    <row r="226527" s="12" customFormat="1" x14ac:dyDescent="0.25"/>
    <row r="226528" s="12" customFormat="1" x14ac:dyDescent="0.25"/>
    <row r="226529" s="12" customFormat="1" x14ac:dyDescent="0.25"/>
    <row r="226530" s="12" customFormat="1" x14ac:dyDescent="0.25"/>
    <row r="226531" s="12" customFormat="1" x14ac:dyDescent="0.25"/>
    <row r="226532" s="12" customFormat="1" x14ac:dyDescent="0.25"/>
    <row r="226533" s="12" customFormat="1" x14ac:dyDescent="0.25"/>
    <row r="226534" s="12" customFormat="1" x14ac:dyDescent="0.25"/>
    <row r="226535" s="12" customFormat="1" x14ac:dyDescent="0.25"/>
    <row r="226536" s="12" customFormat="1" x14ac:dyDescent="0.25"/>
    <row r="226537" s="12" customFormat="1" x14ac:dyDescent="0.25"/>
    <row r="226538" s="12" customFormat="1" x14ac:dyDescent="0.25"/>
    <row r="226539" s="12" customFormat="1" x14ac:dyDescent="0.25"/>
    <row r="226540" s="12" customFormat="1" x14ac:dyDescent="0.25"/>
    <row r="226541" s="12" customFormat="1" x14ac:dyDescent="0.25"/>
    <row r="226542" s="12" customFormat="1" x14ac:dyDescent="0.25"/>
    <row r="226543" s="12" customFormat="1" x14ac:dyDescent="0.25"/>
    <row r="226544" s="12" customFormat="1" x14ac:dyDescent="0.25"/>
    <row r="226545" s="12" customFormat="1" x14ac:dyDescent="0.25"/>
    <row r="226546" s="12" customFormat="1" x14ac:dyDescent="0.25"/>
    <row r="226547" s="12" customFormat="1" x14ac:dyDescent="0.25"/>
    <row r="226548" s="12" customFormat="1" x14ac:dyDescent="0.25"/>
    <row r="226549" s="12" customFormat="1" x14ac:dyDescent="0.25"/>
    <row r="226550" s="12" customFormat="1" x14ac:dyDescent="0.25"/>
    <row r="226551" s="12" customFormat="1" x14ac:dyDescent="0.25"/>
    <row r="226552" s="12" customFormat="1" x14ac:dyDescent="0.25"/>
    <row r="226553" s="12" customFormat="1" x14ac:dyDescent="0.25"/>
    <row r="226554" s="12" customFormat="1" x14ac:dyDescent="0.25"/>
    <row r="226555" s="12" customFormat="1" x14ac:dyDescent="0.25"/>
    <row r="226556" s="12" customFormat="1" x14ac:dyDescent="0.25"/>
    <row r="226557" s="12" customFormat="1" x14ac:dyDescent="0.25"/>
    <row r="226558" s="12" customFormat="1" x14ac:dyDescent="0.25"/>
    <row r="226559" s="12" customFormat="1" x14ac:dyDescent="0.25"/>
    <row r="226560" s="12" customFormat="1" x14ac:dyDescent="0.25"/>
    <row r="226561" s="12" customFormat="1" x14ac:dyDescent="0.25"/>
    <row r="226562" s="12" customFormat="1" x14ac:dyDescent="0.25"/>
    <row r="226563" s="12" customFormat="1" x14ac:dyDescent="0.25"/>
    <row r="226564" s="12" customFormat="1" x14ac:dyDescent="0.25"/>
    <row r="226565" s="12" customFormat="1" x14ac:dyDescent="0.25"/>
    <row r="226566" s="12" customFormat="1" x14ac:dyDescent="0.25"/>
    <row r="226567" s="12" customFormat="1" x14ac:dyDescent="0.25"/>
    <row r="226568" s="12" customFormat="1" x14ac:dyDescent="0.25"/>
    <row r="226569" s="12" customFormat="1" x14ac:dyDescent="0.25"/>
    <row r="226570" s="12" customFormat="1" x14ac:dyDescent="0.25"/>
    <row r="226571" s="12" customFormat="1" x14ac:dyDescent="0.25"/>
    <row r="226572" s="12" customFormat="1" x14ac:dyDescent="0.25"/>
    <row r="226573" s="12" customFormat="1" x14ac:dyDescent="0.25"/>
    <row r="226574" s="12" customFormat="1" x14ac:dyDescent="0.25"/>
    <row r="226575" s="12" customFormat="1" x14ac:dyDescent="0.25"/>
    <row r="226576" s="12" customFormat="1" x14ac:dyDescent="0.25"/>
    <row r="226577" s="12" customFormat="1" x14ac:dyDescent="0.25"/>
    <row r="226578" s="12" customFormat="1" x14ac:dyDescent="0.25"/>
    <row r="226579" s="12" customFormat="1" x14ac:dyDescent="0.25"/>
    <row r="226580" s="12" customFormat="1" x14ac:dyDescent="0.25"/>
    <row r="226581" s="12" customFormat="1" x14ac:dyDescent="0.25"/>
    <row r="226582" s="12" customFormat="1" x14ac:dyDescent="0.25"/>
    <row r="226583" s="12" customFormat="1" x14ac:dyDescent="0.25"/>
    <row r="226584" s="12" customFormat="1" x14ac:dyDescent="0.25"/>
    <row r="226585" s="12" customFormat="1" x14ac:dyDescent="0.25"/>
    <row r="226586" s="12" customFormat="1" x14ac:dyDescent="0.25"/>
    <row r="226587" s="12" customFormat="1" x14ac:dyDescent="0.25"/>
    <row r="226588" s="12" customFormat="1" x14ac:dyDescent="0.25"/>
    <row r="226589" s="12" customFormat="1" x14ac:dyDescent="0.25"/>
    <row r="226590" s="12" customFormat="1" x14ac:dyDescent="0.25"/>
    <row r="226591" s="12" customFormat="1" x14ac:dyDescent="0.25"/>
    <row r="226592" s="12" customFormat="1" x14ac:dyDescent="0.25"/>
    <row r="226593" s="12" customFormat="1" x14ac:dyDescent="0.25"/>
    <row r="226594" s="12" customFormat="1" x14ac:dyDescent="0.25"/>
    <row r="226595" s="12" customFormat="1" x14ac:dyDescent="0.25"/>
    <row r="226596" s="12" customFormat="1" x14ac:dyDescent="0.25"/>
    <row r="226597" s="12" customFormat="1" x14ac:dyDescent="0.25"/>
    <row r="226598" s="12" customFormat="1" x14ac:dyDescent="0.25"/>
    <row r="226599" s="12" customFormat="1" x14ac:dyDescent="0.25"/>
    <row r="226600" s="12" customFormat="1" x14ac:dyDescent="0.25"/>
    <row r="226601" s="12" customFormat="1" x14ac:dyDescent="0.25"/>
    <row r="226602" s="12" customFormat="1" x14ac:dyDescent="0.25"/>
    <row r="226603" s="12" customFormat="1" x14ac:dyDescent="0.25"/>
    <row r="226604" s="12" customFormat="1" x14ac:dyDescent="0.25"/>
    <row r="226605" s="12" customFormat="1" x14ac:dyDescent="0.25"/>
    <row r="226606" s="12" customFormat="1" x14ac:dyDescent="0.25"/>
    <row r="226607" s="12" customFormat="1" x14ac:dyDescent="0.25"/>
    <row r="226608" s="12" customFormat="1" x14ac:dyDescent="0.25"/>
    <row r="226609" s="12" customFormat="1" x14ac:dyDescent="0.25"/>
    <row r="226610" s="12" customFormat="1" x14ac:dyDescent="0.25"/>
    <row r="226611" s="12" customFormat="1" x14ac:dyDescent="0.25"/>
    <row r="226612" s="12" customFormat="1" x14ac:dyDescent="0.25"/>
    <row r="226613" s="12" customFormat="1" x14ac:dyDescent="0.25"/>
    <row r="226614" s="12" customFormat="1" x14ac:dyDescent="0.25"/>
    <row r="226615" s="12" customFormat="1" x14ac:dyDescent="0.25"/>
    <row r="226616" s="12" customFormat="1" x14ac:dyDescent="0.25"/>
    <row r="226617" s="12" customFormat="1" x14ac:dyDescent="0.25"/>
    <row r="226618" s="12" customFormat="1" x14ac:dyDescent="0.25"/>
    <row r="226619" s="12" customFormat="1" x14ac:dyDescent="0.25"/>
    <row r="226620" s="12" customFormat="1" x14ac:dyDescent="0.25"/>
    <row r="226621" s="12" customFormat="1" x14ac:dyDescent="0.25"/>
    <row r="226622" s="12" customFormat="1" x14ac:dyDescent="0.25"/>
    <row r="226623" s="12" customFormat="1" x14ac:dyDescent="0.25"/>
    <row r="226624" s="12" customFormat="1" x14ac:dyDescent="0.25"/>
    <row r="226625" s="12" customFormat="1" x14ac:dyDescent="0.25"/>
    <row r="226626" s="12" customFormat="1" x14ac:dyDescent="0.25"/>
    <row r="226627" s="12" customFormat="1" x14ac:dyDescent="0.25"/>
    <row r="226628" s="12" customFormat="1" x14ac:dyDescent="0.25"/>
    <row r="226629" s="12" customFormat="1" x14ac:dyDescent="0.25"/>
    <row r="226630" s="12" customFormat="1" x14ac:dyDescent="0.25"/>
    <row r="226631" s="12" customFormat="1" x14ac:dyDescent="0.25"/>
    <row r="226632" s="12" customFormat="1" x14ac:dyDescent="0.25"/>
    <row r="226633" s="12" customFormat="1" x14ac:dyDescent="0.25"/>
    <row r="226634" s="12" customFormat="1" x14ac:dyDescent="0.25"/>
    <row r="226635" s="12" customFormat="1" x14ac:dyDescent="0.25"/>
    <row r="226636" s="12" customFormat="1" x14ac:dyDescent="0.25"/>
    <row r="226637" s="12" customFormat="1" x14ac:dyDescent="0.25"/>
    <row r="226638" s="12" customFormat="1" x14ac:dyDescent="0.25"/>
    <row r="226639" s="12" customFormat="1" x14ac:dyDescent="0.25"/>
    <row r="226640" s="12" customFormat="1" x14ac:dyDescent="0.25"/>
    <row r="226641" s="12" customFormat="1" x14ac:dyDescent="0.25"/>
    <row r="226642" s="12" customFormat="1" x14ac:dyDescent="0.25"/>
    <row r="226643" s="12" customFormat="1" x14ac:dyDescent="0.25"/>
    <row r="226644" s="12" customFormat="1" x14ac:dyDescent="0.25"/>
    <row r="226645" s="12" customFormat="1" x14ac:dyDescent="0.25"/>
    <row r="226646" s="12" customFormat="1" x14ac:dyDescent="0.25"/>
    <row r="226647" s="12" customFormat="1" x14ac:dyDescent="0.25"/>
    <row r="226648" s="12" customFormat="1" x14ac:dyDescent="0.25"/>
    <row r="226649" s="12" customFormat="1" x14ac:dyDescent="0.25"/>
    <row r="226650" s="12" customFormat="1" x14ac:dyDescent="0.25"/>
    <row r="226651" s="12" customFormat="1" x14ac:dyDescent="0.25"/>
    <row r="226652" s="12" customFormat="1" x14ac:dyDescent="0.25"/>
    <row r="226653" s="12" customFormat="1" x14ac:dyDescent="0.25"/>
    <row r="226654" s="12" customFormat="1" x14ac:dyDescent="0.25"/>
    <row r="226655" s="12" customFormat="1" x14ac:dyDescent="0.25"/>
    <row r="226656" s="12" customFormat="1" x14ac:dyDescent="0.25"/>
    <row r="226657" s="12" customFormat="1" x14ac:dyDescent="0.25"/>
    <row r="226658" s="12" customFormat="1" x14ac:dyDescent="0.25"/>
    <row r="226659" s="12" customFormat="1" x14ac:dyDescent="0.25"/>
    <row r="226660" s="12" customFormat="1" x14ac:dyDescent="0.25"/>
    <row r="226661" s="12" customFormat="1" x14ac:dyDescent="0.25"/>
    <row r="226662" s="12" customFormat="1" x14ac:dyDescent="0.25"/>
    <row r="226663" s="12" customFormat="1" x14ac:dyDescent="0.25"/>
    <row r="226664" s="12" customFormat="1" x14ac:dyDescent="0.25"/>
    <row r="226665" s="12" customFormat="1" x14ac:dyDescent="0.25"/>
    <row r="226666" s="12" customFormat="1" x14ac:dyDescent="0.25"/>
    <row r="226667" s="12" customFormat="1" x14ac:dyDescent="0.25"/>
    <row r="226668" s="12" customFormat="1" x14ac:dyDescent="0.25"/>
    <row r="226669" s="12" customFormat="1" x14ac:dyDescent="0.25"/>
    <row r="226670" s="12" customFormat="1" x14ac:dyDescent="0.25"/>
    <row r="226671" s="12" customFormat="1" x14ac:dyDescent="0.25"/>
    <row r="226672" s="12" customFormat="1" x14ac:dyDescent="0.25"/>
    <row r="226673" s="12" customFormat="1" x14ac:dyDescent="0.25"/>
    <row r="226674" s="12" customFormat="1" x14ac:dyDescent="0.25"/>
    <row r="226675" s="12" customFormat="1" x14ac:dyDescent="0.25"/>
    <row r="226676" s="12" customFormat="1" x14ac:dyDescent="0.25"/>
    <row r="226677" s="12" customFormat="1" x14ac:dyDescent="0.25"/>
    <row r="226678" s="12" customFormat="1" x14ac:dyDescent="0.25"/>
    <row r="226679" s="12" customFormat="1" x14ac:dyDescent="0.25"/>
    <row r="226680" s="12" customFormat="1" x14ac:dyDescent="0.25"/>
    <row r="226681" s="12" customFormat="1" x14ac:dyDescent="0.25"/>
    <row r="226682" s="12" customFormat="1" x14ac:dyDescent="0.25"/>
    <row r="226683" s="12" customFormat="1" x14ac:dyDescent="0.25"/>
    <row r="226684" s="12" customFormat="1" x14ac:dyDescent="0.25"/>
    <row r="226685" s="12" customFormat="1" x14ac:dyDescent="0.25"/>
    <row r="226686" s="12" customFormat="1" x14ac:dyDescent="0.25"/>
    <row r="226687" s="12" customFormat="1" x14ac:dyDescent="0.25"/>
    <row r="226688" s="12" customFormat="1" x14ac:dyDescent="0.25"/>
    <row r="226689" s="12" customFormat="1" x14ac:dyDescent="0.25"/>
    <row r="226690" s="12" customFormat="1" x14ac:dyDescent="0.25"/>
    <row r="226691" s="12" customFormat="1" x14ac:dyDescent="0.25"/>
    <row r="226692" s="12" customFormat="1" x14ac:dyDescent="0.25"/>
    <row r="226693" s="12" customFormat="1" x14ac:dyDescent="0.25"/>
    <row r="226694" s="12" customFormat="1" x14ac:dyDescent="0.25"/>
    <row r="226695" s="12" customFormat="1" x14ac:dyDescent="0.25"/>
    <row r="226696" s="12" customFormat="1" x14ac:dyDescent="0.25"/>
    <row r="226697" s="12" customFormat="1" x14ac:dyDescent="0.25"/>
    <row r="226698" s="12" customFormat="1" x14ac:dyDescent="0.25"/>
    <row r="226699" s="12" customFormat="1" x14ac:dyDescent="0.25"/>
    <row r="226700" s="12" customFormat="1" x14ac:dyDescent="0.25"/>
    <row r="226701" s="12" customFormat="1" x14ac:dyDescent="0.25"/>
    <row r="226702" s="12" customFormat="1" x14ac:dyDescent="0.25"/>
    <row r="226703" s="12" customFormat="1" x14ac:dyDescent="0.25"/>
    <row r="226704" s="12" customFormat="1" x14ac:dyDescent="0.25"/>
    <row r="226705" s="12" customFormat="1" x14ac:dyDescent="0.25"/>
    <row r="226706" s="12" customFormat="1" x14ac:dyDescent="0.25"/>
    <row r="226707" s="12" customFormat="1" x14ac:dyDescent="0.25"/>
    <row r="226708" s="12" customFormat="1" x14ac:dyDescent="0.25"/>
    <row r="226709" s="12" customFormat="1" x14ac:dyDescent="0.25"/>
    <row r="226710" s="12" customFormat="1" x14ac:dyDescent="0.25"/>
    <row r="226711" s="12" customFormat="1" x14ac:dyDescent="0.25"/>
    <row r="226712" s="12" customFormat="1" x14ac:dyDescent="0.25"/>
    <row r="226713" s="12" customFormat="1" x14ac:dyDescent="0.25"/>
    <row r="226714" s="12" customFormat="1" x14ac:dyDescent="0.25"/>
    <row r="226715" s="12" customFormat="1" x14ac:dyDescent="0.25"/>
    <row r="226716" s="12" customFormat="1" x14ac:dyDescent="0.25"/>
    <row r="226717" s="12" customFormat="1" x14ac:dyDescent="0.25"/>
    <row r="226718" s="12" customFormat="1" x14ac:dyDescent="0.25"/>
    <row r="226719" s="12" customFormat="1" x14ac:dyDescent="0.25"/>
    <row r="226720" s="12" customFormat="1" x14ac:dyDescent="0.25"/>
    <row r="226721" s="12" customFormat="1" x14ac:dyDescent="0.25"/>
    <row r="226722" s="12" customFormat="1" x14ac:dyDescent="0.25"/>
    <row r="226723" s="12" customFormat="1" x14ac:dyDescent="0.25"/>
    <row r="226724" s="12" customFormat="1" x14ac:dyDescent="0.25"/>
    <row r="226725" s="12" customFormat="1" x14ac:dyDescent="0.25"/>
    <row r="226726" s="12" customFormat="1" x14ac:dyDescent="0.25"/>
    <row r="226727" s="12" customFormat="1" x14ac:dyDescent="0.25"/>
    <row r="226728" s="12" customFormat="1" x14ac:dyDescent="0.25"/>
    <row r="226729" s="12" customFormat="1" x14ac:dyDescent="0.25"/>
    <row r="226730" s="12" customFormat="1" x14ac:dyDescent="0.25"/>
    <row r="226731" s="12" customFormat="1" x14ac:dyDescent="0.25"/>
    <row r="226732" s="12" customFormat="1" x14ac:dyDescent="0.25"/>
    <row r="226733" s="12" customFormat="1" x14ac:dyDescent="0.25"/>
    <row r="226734" s="12" customFormat="1" x14ac:dyDescent="0.25"/>
    <row r="226735" s="12" customFormat="1" x14ac:dyDescent="0.25"/>
    <row r="226736" s="12" customFormat="1" x14ac:dyDescent="0.25"/>
    <row r="226737" s="12" customFormat="1" x14ac:dyDescent="0.25"/>
    <row r="226738" s="12" customFormat="1" x14ac:dyDescent="0.25"/>
    <row r="226739" s="12" customFormat="1" x14ac:dyDescent="0.25"/>
    <row r="226740" s="12" customFormat="1" x14ac:dyDescent="0.25"/>
    <row r="226741" s="12" customFormat="1" x14ac:dyDescent="0.25"/>
    <row r="226742" s="12" customFormat="1" x14ac:dyDescent="0.25"/>
    <row r="226743" s="12" customFormat="1" x14ac:dyDescent="0.25"/>
    <row r="226744" s="12" customFormat="1" x14ac:dyDescent="0.25"/>
    <row r="226745" s="12" customFormat="1" x14ac:dyDescent="0.25"/>
    <row r="226746" s="12" customFormat="1" x14ac:dyDescent="0.25"/>
    <row r="226747" s="12" customFormat="1" x14ac:dyDescent="0.25"/>
    <row r="226748" s="12" customFormat="1" x14ac:dyDescent="0.25"/>
    <row r="226749" s="12" customFormat="1" x14ac:dyDescent="0.25"/>
    <row r="226750" s="12" customFormat="1" x14ac:dyDescent="0.25"/>
    <row r="226751" s="12" customFormat="1" x14ac:dyDescent="0.25"/>
    <row r="226752" s="12" customFormat="1" x14ac:dyDescent="0.25"/>
    <row r="226753" s="12" customFormat="1" x14ac:dyDescent="0.25"/>
    <row r="226754" s="12" customFormat="1" x14ac:dyDescent="0.25"/>
    <row r="226755" s="12" customFormat="1" x14ac:dyDescent="0.25"/>
    <row r="226756" s="12" customFormat="1" x14ac:dyDescent="0.25"/>
    <row r="226757" s="12" customFormat="1" x14ac:dyDescent="0.25"/>
    <row r="226758" s="12" customFormat="1" x14ac:dyDescent="0.25"/>
    <row r="226759" s="12" customFormat="1" x14ac:dyDescent="0.25"/>
    <row r="226760" s="12" customFormat="1" x14ac:dyDescent="0.25"/>
    <row r="226761" s="12" customFormat="1" x14ac:dyDescent="0.25"/>
    <row r="226762" s="12" customFormat="1" x14ac:dyDescent="0.25"/>
    <row r="226763" s="12" customFormat="1" x14ac:dyDescent="0.25"/>
    <row r="226764" s="12" customFormat="1" x14ac:dyDescent="0.25"/>
    <row r="226765" s="12" customFormat="1" x14ac:dyDescent="0.25"/>
    <row r="226766" s="12" customFormat="1" x14ac:dyDescent="0.25"/>
    <row r="226767" s="12" customFormat="1" x14ac:dyDescent="0.25"/>
    <row r="226768" s="12" customFormat="1" x14ac:dyDescent="0.25"/>
    <row r="226769" s="12" customFormat="1" x14ac:dyDescent="0.25"/>
    <row r="226770" s="12" customFormat="1" x14ac:dyDescent="0.25"/>
    <row r="226771" s="12" customFormat="1" x14ac:dyDescent="0.25"/>
    <row r="226772" s="12" customFormat="1" x14ac:dyDescent="0.25"/>
    <row r="226773" s="12" customFormat="1" x14ac:dyDescent="0.25"/>
    <row r="226774" s="12" customFormat="1" x14ac:dyDescent="0.25"/>
    <row r="226775" s="12" customFormat="1" x14ac:dyDescent="0.25"/>
    <row r="226776" s="12" customFormat="1" x14ac:dyDescent="0.25"/>
    <row r="226777" s="12" customFormat="1" x14ac:dyDescent="0.25"/>
    <row r="226778" s="12" customFormat="1" x14ac:dyDescent="0.25"/>
    <row r="226779" s="12" customFormat="1" x14ac:dyDescent="0.25"/>
    <row r="226780" s="12" customFormat="1" x14ac:dyDescent="0.25"/>
    <row r="226781" s="12" customFormat="1" x14ac:dyDescent="0.25"/>
    <row r="226782" s="12" customFormat="1" x14ac:dyDescent="0.25"/>
    <row r="226783" s="12" customFormat="1" x14ac:dyDescent="0.25"/>
    <row r="226784" s="12" customFormat="1" x14ac:dyDescent="0.25"/>
    <row r="226785" s="12" customFormat="1" x14ac:dyDescent="0.25"/>
    <row r="226786" s="12" customFormat="1" x14ac:dyDescent="0.25"/>
    <row r="226787" s="12" customFormat="1" x14ac:dyDescent="0.25"/>
    <row r="226788" s="12" customFormat="1" x14ac:dyDescent="0.25"/>
    <row r="226789" s="12" customFormat="1" x14ac:dyDescent="0.25"/>
    <row r="226790" s="12" customFormat="1" x14ac:dyDescent="0.25"/>
    <row r="226791" s="12" customFormat="1" x14ac:dyDescent="0.25"/>
    <row r="226792" s="12" customFormat="1" x14ac:dyDescent="0.25"/>
    <row r="226793" s="12" customFormat="1" x14ac:dyDescent="0.25"/>
    <row r="226794" s="12" customFormat="1" x14ac:dyDescent="0.25"/>
    <row r="226795" s="12" customFormat="1" x14ac:dyDescent="0.25"/>
    <row r="226796" s="12" customFormat="1" x14ac:dyDescent="0.25"/>
    <row r="226797" s="12" customFormat="1" x14ac:dyDescent="0.25"/>
    <row r="226798" s="12" customFormat="1" x14ac:dyDescent="0.25"/>
    <row r="226799" s="12" customFormat="1" x14ac:dyDescent="0.25"/>
    <row r="226800" s="12" customFormat="1" x14ac:dyDescent="0.25"/>
    <row r="226801" s="12" customFormat="1" x14ac:dyDescent="0.25"/>
    <row r="226802" s="12" customFormat="1" x14ac:dyDescent="0.25"/>
    <row r="226803" s="12" customFormat="1" x14ac:dyDescent="0.25"/>
    <row r="226804" s="12" customFormat="1" x14ac:dyDescent="0.25"/>
    <row r="226805" s="12" customFormat="1" x14ac:dyDescent="0.25"/>
    <row r="226806" s="12" customFormat="1" x14ac:dyDescent="0.25"/>
    <row r="226807" s="12" customFormat="1" x14ac:dyDescent="0.25"/>
    <row r="226808" s="12" customFormat="1" x14ac:dyDescent="0.25"/>
    <row r="226809" s="12" customFormat="1" x14ac:dyDescent="0.25"/>
    <row r="226810" s="12" customFormat="1" x14ac:dyDescent="0.25"/>
    <row r="226811" s="12" customFormat="1" x14ac:dyDescent="0.25"/>
    <row r="226812" s="12" customFormat="1" x14ac:dyDescent="0.25"/>
    <row r="226813" s="12" customFormat="1" x14ac:dyDescent="0.25"/>
    <row r="226814" s="12" customFormat="1" x14ac:dyDescent="0.25"/>
    <row r="226815" s="12" customFormat="1" x14ac:dyDescent="0.25"/>
    <row r="226816" s="12" customFormat="1" x14ac:dyDescent="0.25"/>
    <row r="226817" s="12" customFormat="1" x14ac:dyDescent="0.25"/>
    <row r="226818" s="12" customFormat="1" x14ac:dyDescent="0.25"/>
    <row r="226819" s="12" customFormat="1" x14ac:dyDescent="0.25"/>
    <row r="226820" s="12" customFormat="1" x14ac:dyDescent="0.25"/>
    <row r="226821" s="12" customFormat="1" x14ac:dyDescent="0.25"/>
    <row r="226822" s="12" customFormat="1" x14ac:dyDescent="0.25"/>
    <row r="226823" s="12" customFormat="1" x14ac:dyDescent="0.25"/>
    <row r="226824" s="12" customFormat="1" x14ac:dyDescent="0.25"/>
    <row r="226825" s="12" customFormat="1" x14ac:dyDescent="0.25"/>
    <row r="226826" s="12" customFormat="1" x14ac:dyDescent="0.25"/>
    <row r="226827" s="12" customFormat="1" x14ac:dyDescent="0.25"/>
    <row r="226828" s="12" customFormat="1" x14ac:dyDescent="0.25"/>
    <row r="226829" s="12" customFormat="1" x14ac:dyDescent="0.25"/>
    <row r="226830" s="12" customFormat="1" x14ac:dyDescent="0.25"/>
    <row r="226831" s="12" customFormat="1" x14ac:dyDescent="0.25"/>
    <row r="226832" s="12" customFormat="1" x14ac:dyDescent="0.25"/>
    <row r="226833" s="12" customFormat="1" x14ac:dyDescent="0.25"/>
    <row r="226834" s="12" customFormat="1" x14ac:dyDescent="0.25"/>
    <row r="226835" s="12" customFormat="1" x14ac:dyDescent="0.25"/>
    <row r="226836" s="12" customFormat="1" x14ac:dyDescent="0.25"/>
    <row r="226837" s="12" customFormat="1" x14ac:dyDescent="0.25"/>
    <row r="226838" s="12" customFormat="1" x14ac:dyDescent="0.25"/>
    <row r="226839" s="12" customFormat="1" x14ac:dyDescent="0.25"/>
    <row r="226840" s="12" customFormat="1" x14ac:dyDescent="0.25"/>
    <row r="226841" s="12" customFormat="1" x14ac:dyDescent="0.25"/>
    <row r="226842" s="12" customFormat="1" x14ac:dyDescent="0.25"/>
    <row r="226843" s="12" customFormat="1" x14ac:dyDescent="0.25"/>
    <row r="226844" s="12" customFormat="1" x14ac:dyDescent="0.25"/>
    <row r="226845" s="12" customFormat="1" x14ac:dyDescent="0.25"/>
    <row r="226846" s="12" customFormat="1" x14ac:dyDescent="0.25"/>
    <row r="226847" s="12" customFormat="1" x14ac:dyDescent="0.25"/>
    <row r="226848" s="12" customFormat="1" x14ac:dyDescent="0.25"/>
    <row r="226849" s="12" customFormat="1" x14ac:dyDescent="0.25"/>
    <row r="226850" s="12" customFormat="1" x14ac:dyDescent="0.25"/>
    <row r="226851" s="12" customFormat="1" x14ac:dyDescent="0.25"/>
    <row r="226852" s="12" customFormat="1" x14ac:dyDescent="0.25"/>
    <row r="226853" s="12" customFormat="1" x14ac:dyDescent="0.25"/>
    <row r="226854" s="12" customFormat="1" x14ac:dyDescent="0.25"/>
    <row r="226855" s="12" customFormat="1" x14ac:dyDescent="0.25"/>
    <row r="226856" s="12" customFormat="1" x14ac:dyDescent="0.25"/>
    <row r="226857" s="12" customFormat="1" x14ac:dyDescent="0.25"/>
    <row r="226858" s="12" customFormat="1" x14ac:dyDescent="0.25"/>
    <row r="226859" s="12" customFormat="1" x14ac:dyDescent="0.25"/>
    <row r="226860" s="12" customFormat="1" x14ac:dyDescent="0.25"/>
    <row r="226861" s="12" customFormat="1" x14ac:dyDescent="0.25"/>
    <row r="226862" s="12" customFormat="1" x14ac:dyDescent="0.25"/>
    <row r="226863" s="12" customFormat="1" x14ac:dyDescent="0.25"/>
    <row r="226864" s="12" customFormat="1" x14ac:dyDescent="0.25"/>
    <row r="226865" s="12" customFormat="1" x14ac:dyDescent="0.25"/>
    <row r="226866" s="12" customFormat="1" x14ac:dyDescent="0.25"/>
    <row r="226867" s="12" customFormat="1" x14ac:dyDescent="0.25"/>
    <row r="226868" s="12" customFormat="1" x14ac:dyDescent="0.25"/>
    <row r="226869" s="12" customFormat="1" x14ac:dyDescent="0.25"/>
    <row r="226870" s="12" customFormat="1" x14ac:dyDescent="0.25"/>
    <row r="226871" s="12" customFormat="1" x14ac:dyDescent="0.25"/>
    <row r="226872" s="12" customFormat="1" x14ac:dyDescent="0.25"/>
    <row r="226873" s="12" customFormat="1" x14ac:dyDescent="0.25"/>
    <row r="226874" s="12" customFormat="1" x14ac:dyDescent="0.25"/>
    <row r="226875" s="12" customFormat="1" x14ac:dyDescent="0.25"/>
    <row r="226876" s="12" customFormat="1" x14ac:dyDescent="0.25"/>
    <row r="226877" s="12" customFormat="1" x14ac:dyDescent="0.25"/>
    <row r="226878" s="12" customFormat="1" x14ac:dyDescent="0.25"/>
    <row r="226879" s="12" customFormat="1" x14ac:dyDescent="0.25"/>
    <row r="226880" s="12" customFormat="1" x14ac:dyDescent="0.25"/>
    <row r="226881" s="12" customFormat="1" x14ac:dyDescent="0.25"/>
    <row r="226882" s="12" customFormat="1" x14ac:dyDescent="0.25"/>
    <row r="226883" s="12" customFormat="1" x14ac:dyDescent="0.25"/>
    <row r="226884" s="12" customFormat="1" x14ac:dyDescent="0.25"/>
    <row r="226885" s="12" customFormat="1" x14ac:dyDescent="0.25"/>
    <row r="226886" s="12" customFormat="1" x14ac:dyDescent="0.25"/>
    <row r="226887" s="12" customFormat="1" x14ac:dyDescent="0.25"/>
    <row r="226888" s="12" customFormat="1" x14ac:dyDescent="0.25"/>
    <row r="226889" s="12" customFormat="1" x14ac:dyDescent="0.25"/>
    <row r="226890" s="12" customFormat="1" x14ac:dyDescent="0.25"/>
    <row r="226891" s="12" customFormat="1" x14ac:dyDescent="0.25"/>
    <row r="226892" s="12" customFormat="1" x14ac:dyDescent="0.25"/>
    <row r="226893" s="12" customFormat="1" x14ac:dyDescent="0.25"/>
    <row r="226894" s="12" customFormat="1" x14ac:dyDescent="0.25"/>
    <row r="226895" s="12" customFormat="1" x14ac:dyDescent="0.25"/>
    <row r="226896" s="12" customFormat="1" x14ac:dyDescent="0.25"/>
    <row r="226897" s="12" customFormat="1" x14ac:dyDescent="0.25"/>
    <row r="226898" s="12" customFormat="1" x14ac:dyDescent="0.25"/>
    <row r="226899" s="12" customFormat="1" x14ac:dyDescent="0.25"/>
    <row r="226900" s="12" customFormat="1" x14ac:dyDescent="0.25"/>
    <row r="226901" s="12" customFormat="1" x14ac:dyDescent="0.25"/>
    <row r="226902" s="12" customFormat="1" x14ac:dyDescent="0.25"/>
    <row r="226903" s="12" customFormat="1" x14ac:dyDescent="0.25"/>
    <row r="226904" s="12" customFormat="1" x14ac:dyDescent="0.25"/>
    <row r="226905" s="12" customFormat="1" x14ac:dyDescent="0.25"/>
    <row r="226906" s="12" customFormat="1" x14ac:dyDescent="0.25"/>
    <row r="226907" s="12" customFormat="1" x14ac:dyDescent="0.25"/>
    <row r="226908" s="12" customFormat="1" x14ac:dyDescent="0.25"/>
    <row r="226909" s="12" customFormat="1" x14ac:dyDescent="0.25"/>
    <row r="226910" s="12" customFormat="1" x14ac:dyDescent="0.25"/>
    <row r="226911" s="12" customFormat="1" x14ac:dyDescent="0.25"/>
    <row r="226912" s="12" customFormat="1" x14ac:dyDescent="0.25"/>
    <row r="226913" s="12" customFormat="1" x14ac:dyDescent="0.25"/>
    <row r="226914" s="12" customFormat="1" x14ac:dyDescent="0.25"/>
    <row r="226915" s="12" customFormat="1" x14ac:dyDescent="0.25"/>
    <row r="226916" s="12" customFormat="1" x14ac:dyDescent="0.25"/>
    <row r="226917" s="12" customFormat="1" x14ac:dyDescent="0.25"/>
    <row r="226918" s="12" customFormat="1" x14ac:dyDescent="0.25"/>
    <row r="226919" s="12" customFormat="1" x14ac:dyDescent="0.25"/>
    <row r="226920" s="12" customFormat="1" x14ac:dyDescent="0.25"/>
    <row r="226921" s="12" customFormat="1" x14ac:dyDescent="0.25"/>
    <row r="226922" s="12" customFormat="1" x14ac:dyDescent="0.25"/>
    <row r="226923" s="12" customFormat="1" x14ac:dyDescent="0.25"/>
    <row r="226924" s="12" customFormat="1" x14ac:dyDescent="0.25"/>
    <row r="226925" s="12" customFormat="1" x14ac:dyDescent="0.25"/>
    <row r="226926" s="12" customFormat="1" x14ac:dyDescent="0.25"/>
    <row r="226927" s="12" customFormat="1" x14ac:dyDescent="0.25"/>
    <row r="226928" s="12" customFormat="1" x14ac:dyDescent="0.25"/>
    <row r="226929" s="12" customFormat="1" x14ac:dyDescent="0.25"/>
    <row r="226930" s="12" customFormat="1" x14ac:dyDescent="0.25"/>
    <row r="226931" s="12" customFormat="1" x14ac:dyDescent="0.25"/>
    <row r="226932" s="12" customFormat="1" x14ac:dyDescent="0.25"/>
    <row r="226933" s="12" customFormat="1" x14ac:dyDescent="0.25"/>
    <row r="226934" s="12" customFormat="1" x14ac:dyDescent="0.25"/>
    <row r="226935" s="12" customFormat="1" x14ac:dyDescent="0.25"/>
    <row r="226936" s="12" customFormat="1" x14ac:dyDescent="0.25"/>
    <row r="226937" s="12" customFormat="1" x14ac:dyDescent="0.25"/>
    <row r="226938" s="12" customFormat="1" x14ac:dyDescent="0.25"/>
    <row r="226939" s="12" customFormat="1" x14ac:dyDescent="0.25"/>
    <row r="226940" s="12" customFormat="1" x14ac:dyDescent="0.25"/>
    <row r="226941" s="12" customFormat="1" x14ac:dyDescent="0.25"/>
    <row r="226942" s="12" customFormat="1" x14ac:dyDescent="0.25"/>
    <row r="226943" s="12" customFormat="1" x14ac:dyDescent="0.25"/>
    <row r="226944" s="12" customFormat="1" x14ac:dyDescent="0.25"/>
    <row r="226945" s="12" customFormat="1" x14ac:dyDescent="0.25"/>
    <row r="226946" s="12" customFormat="1" x14ac:dyDescent="0.25"/>
    <row r="226947" s="12" customFormat="1" x14ac:dyDescent="0.25"/>
    <row r="226948" s="12" customFormat="1" x14ac:dyDescent="0.25"/>
    <row r="226949" s="12" customFormat="1" x14ac:dyDescent="0.25"/>
    <row r="226950" s="12" customFormat="1" x14ac:dyDescent="0.25"/>
    <row r="226951" s="12" customFormat="1" x14ac:dyDescent="0.25"/>
    <row r="226952" s="12" customFormat="1" x14ac:dyDescent="0.25"/>
    <row r="226953" s="12" customFormat="1" x14ac:dyDescent="0.25"/>
    <row r="226954" s="12" customFormat="1" x14ac:dyDescent="0.25"/>
    <row r="226955" s="12" customFormat="1" x14ac:dyDescent="0.25"/>
    <row r="226956" s="12" customFormat="1" x14ac:dyDescent="0.25"/>
    <row r="226957" s="12" customFormat="1" x14ac:dyDescent="0.25"/>
    <row r="226958" s="12" customFormat="1" x14ac:dyDescent="0.25"/>
    <row r="226959" s="12" customFormat="1" x14ac:dyDescent="0.25"/>
    <row r="226960" s="12" customFormat="1" x14ac:dyDescent="0.25"/>
    <row r="226961" s="12" customFormat="1" x14ac:dyDescent="0.25"/>
    <row r="226962" s="12" customFormat="1" x14ac:dyDescent="0.25"/>
    <row r="226963" s="12" customFormat="1" x14ac:dyDescent="0.25"/>
    <row r="226964" s="12" customFormat="1" x14ac:dyDescent="0.25"/>
    <row r="226965" s="12" customFormat="1" x14ac:dyDescent="0.25"/>
    <row r="226966" s="12" customFormat="1" x14ac:dyDescent="0.25"/>
    <row r="226967" s="12" customFormat="1" x14ac:dyDescent="0.25"/>
    <row r="226968" s="12" customFormat="1" x14ac:dyDescent="0.25"/>
    <row r="226969" s="12" customFormat="1" x14ac:dyDescent="0.25"/>
    <row r="226970" s="12" customFormat="1" x14ac:dyDescent="0.25"/>
    <row r="226971" s="12" customFormat="1" x14ac:dyDescent="0.25"/>
    <row r="226972" s="12" customFormat="1" x14ac:dyDescent="0.25"/>
    <row r="226973" s="12" customFormat="1" x14ac:dyDescent="0.25"/>
    <row r="226974" s="12" customFormat="1" x14ac:dyDescent="0.25"/>
    <row r="226975" s="12" customFormat="1" x14ac:dyDescent="0.25"/>
    <row r="226976" s="12" customFormat="1" x14ac:dyDescent="0.25"/>
    <row r="226977" s="12" customFormat="1" x14ac:dyDescent="0.25"/>
    <row r="226978" s="12" customFormat="1" x14ac:dyDescent="0.25"/>
    <row r="226979" s="12" customFormat="1" x14ac:dyDescent="0.25"/>
    <row r="226980" s="12" customFormat="1" x14ac:dyDescent="0.25"/>
    <row r="226981" s="12" customFormat="1" x14ac:dyDescent="0.25"/>
    <row r="226982" s="12" customFormat="1" x14ac:dyDescent="0.25"/>
    <row r="226983" s="12" customFormat="1" x14ac:dyDescent="0.25"/>
    <row r="226984" s="12" customFormat="1" x14ac:dyDescent="0.25"/>
    <row r="226985" s="12" customFormat="1" x14ac:dyDescent="0.25"/>
    <row r="226986" s="12" customFormat="1" x14ac:dyDescent="0.25"/>
    <row r="226987" s="12" customFormat="1" x14ac:dyDescent="0.25"/>
    <row r="226988" s="12" customFormat="1" x14ac:dyDescent="0.25"/>
    <row r="226989" s="12" customFormat="1" x14ac:dyDescent="0.25"/>
    <row r="226990" s="12" customFormat="1" x14ac:dyDescent="0.25"/>
    <row r="226991" s="12" customFormat="1" x14ac:dyDescent="0.25"/>
    <row r="226992" s="12" customFormat="1" x14ac:dyDescent="0.25"/>
    <row r="226993" s="12" customFormat="1" x14ac:dyDescent="0.25"/>
    <row r="226994" s="12" customFormat="1" x14ac:dyDescent="0.25"/>
    <row r="226995" s="12" customFormat="1" x14ac:dyDescent="0.25"/>
    <row r="226996" s="12" customFormat="1" x14ac:dyDescent="0.25"/>
    <row r="226997" s="12" customFormat="1" x14ac:dyDescent="0.25"/>
    <row r="226998" s="12" customFormat="1" x14ac:dyDescent="0.25"/>
    <row r="226999" s="12" customFormat="1" x14ac:dyDescent="0.25"/>
    <row r="227000" s="12" customFormat="1" x14ac:dyDescent="0.25"/>
    <row r="227001" s="12" customFormat="1" x14ac:dyDescent="0.25"/>
    <row r="227002" s="12" customFormat="1" x14ac:dyDescent="0.25"/>
    <row r="227003" s="12" customFormat="1" x14ac:dyDescent="0.25"/>
    <row r="227004" s="12" customFormat="1" x14ac:dyDescent="0.25"/>
    <row r="227005" s="12" customFormat="1" x14ac:dyDescent="0.25"/>
    <row r="227006" s="12" customFormat="1" x14ac:dyDescent="0.25"/>
    <row r="227007" s="12" customFormat="1" x14ac:dyDescent="0.25"/>
    <row r="227008" s="12" customFormat="1" x14ac:dyDescent="0.25"/>
    <row r="227009" s="12" customFormat="1" x14ac:dyDescent="0.25"/>
    <row r="227010" s="12" customFormat="1" x14ac:dyDescent="0.25"/>
    <row r="227011" s="12" customFormat="1" x14ac:dyDescent="0.25"/>
    <row r="227012" s="12" customFormat="1" x14ac:dyDescent="0.25"/>
    <row r="227013" s="12" customFormat="1" x14ac:dyDescent="0.25"/>
    <row r="227014" s="12" customFormat="1" x14ac:dyDescent="0.25"/>
    <row r="227015" s="12" customFormat="1" x14ac:dyDescent="0.25"/>
    <row r="227016" s="12" customFormat="1" x14ac:dyDescent="0.25"/>
    <row r="227017" s="12" customFormat="1" x14ac:dyDescent="0.25"/>
    <row r="227018" s="12" customFormat="1" x14ac:dyDescent="0.25"/>
    <row r="227019" s="12" customFormat="1" x14ac:dyDescent="0.25"/>
    <row r="227020" s="12" customFormat="1" x14ac:dyDescent="0.25"/>
    <row r="227021" s="12" customFormat="1" x14ac:dyDescent="0.25"/>
    <row r="227022" s="12" customFormat="1" x14ac:dyDescent="0.25"/>
    <row r="227023" s="12" customFormat="1" x14ac:dyDescent="0.25"/>
    <row r="227024" s="12" customFormat="1" x14ac:dyDescent="0.25"/>
    <row r="227025" s="12" customFormat="1" x14ac:dyDescent="0.25"/>
    <row r="227026" s="12" customFormat="1" x14ac:dyDescent="0.25"/>
    <row r="227027" s="12" customFormat="1" x14ac:dyDescent="0.25"/>
    <row r="227028" s="12" customFormat="1" x14ac:dyDescent="0.25"/>
    <row r="227029" s="12" customFormat="1" x14ac:dyDescent="0.25"/>
    <row r="227030" s="12" customFormat="1" x14ac:dyDescent="0.25"/>
    <row r="227031" s="12" customFormat="1" x14ac:dyDescent="0.25"/>
    <row r="227032" s="12" customFormat="1" x14ac:dyDescent="0.25"/>
    <row r="227033" s="12" customFormat="1" x14ac:dyDescent="0.25"/>
    <row r="227034" s="12" customFormat="1" x14ac:dyDescent="0.25"/>
    <row r="227035" s="12" customFormat="1" x14ac:dyDescent="0.25"/>
    <row r="227036" s="12" customFormat="1" x14ac:dyDescent="0.25"/>
    <row r="227037" s="12" customFormat="1" x14ac:dyDescent="0.25"/>
    <row r="227038" s="12" customFormat="1" x14ac:dyDescent="0.25"/>
    <row r="227039" s="12" customFormat="1" x14ac:dyDescent="0.25"/>
    <row r="227040" s="12" customFormat="1" x14ac:dyDescent="0.25"/>
    <row r="227041" s="12" customFormat="1" x14ac:dyDescent="0.25"/>
    <row r="227042" s="12" customFormat="1" x14ac:dyDescent="0.25"/>
    <row r="227043" s="12" customFormat="1" x14ac:dyDescent="0.25"/>
    <row r="227044" s="12" customFormat="1" x14ac:dyDescent="0.25"/>
    <row r="227045" s="12" customFormat="1" x14ac:dyDescent="0.25"/>
    <row r="227046" s="12" customFormat="1" x14ac:dyDescent="0.25"/>
    <row r="227047" s="12" customFormat="1" x14ac:dyDescent="0.25"/>
    <row r="227048" s="12" customFormat="1" x14ac:dyDescent="0.25"/>
    <row r="227049" s="12" customFormat="1" x14ac:dyDescent="0.25"/>
    <row r="227050" s="12" customFormat="1" x14ac:dyDescent="0.25"/>
    <row r="227051" s="12" customFormat="1" x14ac:dyDescent="0.25"/>
    <row r="227052" s="12" customFormat="1" x14ac:dyDescent="0.25"/>
    <row r="227053" s="12" customFormat="1" x14ac:dyDescent="0.25"/>
    <row r="227054" s="12" customFormat="1" x14ac:dyDescent="0.25"/>
    <row r="227055" s="12" customFormat="1" x14ac:dyDescent="0.25"/>
    <row r="227056" s="12" customFormat="1" x14ac:dyDescent="0.25"/>
    <row r="227057" s="12" customFormat="1" x14ac:dyDescent="0.25"/>
    <row r="227058" s="12" customFormat="1" x14ac:dyDescent="0.25"/>
    <row r="227059" s="12" customFormat="1" x14ac:dyDescent="0.25"/>
    <row r="227060" s="12" customFormat="1" x14ac:dyDescent="0.25"/>
    <row r="227061" s="12" customFormat="1" x14ac:dyDescent="0.25"/>
    <row r="227062" s="12" customFormat="1" x14ac:dyDescent="0.25"/>
    <row r="227063" s="12" customFormat="1" x14ac:dyDescent="0.25"/>
    <row r="227064" s="12" customFormat="1" x14ac:dyDescent="0.25"/>
    <row r="227065" s="12" customFormat="1" x14ac:dyDescent="0.25"/>
    <row r="227066" s="12" customFormat="1" x14ac:dyDescent="0.25"/>
    <row r="227067" s="12" customFormat="1" x14ac:dyDescent="0.25"/>
    <row r="227068" s="12" customFormat="1" x14ac:dyDescent="0.25"/>
    <row r="227069" s="12" customFormat="1" x14ac:dyDescent="0.25"/>
    <row r="227070" s="12" customFormat="1" x14ac:dyDescent="0.25"/>
    <row r="227071" s="12" customFormat="1" x14ac:dyDescent="0.25"/>
    <row r="227072" s="12" customFormat="1" x14ac:dyDescent="0.25"/>
    <row r="227073" s="12" customFormat="1" x14ac:dyDescent="0.25"/>
    <row r="227074" s="12" customFormat="1" x14ac:dyDescent="0.25"/>
    <row r="227075" s="12" customFormat="1" x14ac:dyDescent="0.25"/>
    <row r="227076" s="12" customFormat="1" x14ac:dyDescent="0.25"/>
    <row r="227077" s="12" customFormat="1" x14ac:dyDescent="0.25"/>
    <row r="227078" s="12" customFormat="1" x14ac:dyDescent="0.25"/>
    <row r="227079" s="12" customFormat="1" x14ac:dyDescent="0.25"/>
    <row r="227080" s="12" customFormat="1" x14ac:dyDescent="0.25"/>
    <row r="227081" s="12" customFormat="1" x14ac:dyDescent="0.25"/>
    <row r="227082" s="12" customFormat="1" x14ac:dyDescent="0.25"/>
    <row r="227083" s="12" customFormat="1" x14ac:dyDescent="0.25"/>
    <row r="227084" s="12" customFormat="1" x14ac:dyDescent="0.25"/>
    <row r="227085" s="12" customFormat="1" x14ac:dyDescent="0.25"/>
    <row r="227086" s="12" customFormat="1" x14ac:dyDescent="0.25"/>
    <row r="227087" s="12" customFormat="1" x14ac:dyDescent="0.25"/>
    <row r="227088" s="12" customFormat="1" x14ac:dyDescent="0.25"/>
    <row r="227089" s="12" customFormat="1" x14ac:dyDescent="0.25"/>
    <row r="227090" s="12" customFormat="1" x14ac:dyDescent="0.25"/>
    <row r="227091" s="12" customFormat="1" x14ac:dyDescent="0.25"/>
    <row r="227092" s="12" customFormat="1" x14ac:dyDescent="0.25"/>
    <row r="227093" s="12" customFormat="1" x14ac:dyDescent="0.25"/>
    <row r="227094" s="12" customFormat="1" x14ac:dyDescent="0.25"/>
    <row r="227095" s="12" customFormat="1" x14ac:dyDescent="0.25"/>
    <row r="227096" s="12" customFormat="1" x14ac:dyDescent="0.25"/>
    <row r="227097" s="12" customFormat="1" x14ac:dyDescent="0.25"/>
    <row r="227098" s="12" customFormat="1" x14ac:dyDescent="0.25"/>
    <row r="227099" s="12" customFormat="1" x14ac:dyDescent="0.25"/>
    <row r="227100" s="12" customFormat="1" x14ac:dyDescent="0.25"/>
    <row r="227101" s="12" customFormat="1" x14ac:dyDescent="0.25"/>
    <row r="227102" s="12" customFormat="1" x14ac:dyDescent="0.25"/>
    <row r="227103" s="12" customFormat="1" x14ac:dyDescent="0.25"/>
    <row r="227104" s="12" customFormat="1" x14ac:dyDescent="0.25"/>
    <row r="227105" s="12" customFormat="1" x14ac:dyDescent="0.25"/>
    <row r="227106" s="12" customFormat="1" x14ac:dyDescent="0.25"/>
    <row r="227107" s="12" customFormat="1" x14ac:dyDescent="0.25"/>
    <row r="227108" s="12" customFormat="1" x14ac:dyDescent="0.25"/>
    <row r="227109" s="12" customFormat="1" x14ac:dyDescent="0.25"/>
    <row r="227110" s="12" customFormat="1" x14ac:dyDescent="0.25"/>
    <row r="227111" s="12" customFormat="1" x14ac:dyDescent="0.25"/>
    <row r="227112" s="12" customFormat="1" x14ac:dyDescent="0.25"/>
    <row r="227113" s="12" customFormat="1" x14ac:dyDescent="0.25"/>
    <row r="227114" s="12" customFormat="1" x14ac:dyDescent="0.25"/>
    <row r="227115" s="12" customFormat="1" x14ac:dyDescent="0.25"/>
    <row r="227116" s="12" customFormat="1" x14ac:dyDescent="0.25"/>
    <row r="227117" s="12" customFormat="1" x14ac:dyDescent="0.25"/>
    <row r="227118" s="12" customFormat="1" x14ac:dyDescent="0.25"/>
    <row r="227119" s="12" customFormat="1" x14ac:dyDescent="0.25"/>
    <row r="227120" s="12" customFormat="1" x14ac:dyDescent="0.25"/>
    <row r="227121" s="12" customFormat="1" x14ac:dyDescent="0.25"/>
    <row r="227122" s="12" customFormat="1" x14ac:dyDescent="0.25"/>
    <row r="227123" s="12" customFormat="1" x14ac:dyDescent="0.25"/>
    <row r="227124" s="12" customFormat="1" x14ac:dyDescent="0.25"/>
    <row r="227125" s="12" customFormat="1" x14ac:dyDescent="0.25"/>
    <row r="227126" s="12" customFormat="1" x14ac:dyDescent="0.25"/>
    <row r="227127" s="12" customFormat="1" x14ac:dyDescent="0.25"/>
    <row r="227128" s="12" customFormat="1" x14ac:dyDescent="0.25"/>
    <row r="227129" s="12" customFormat="1" x14ac:dyDescent="0.25"/>
    <row r="227130" s="12" customFormat="1" x14ac:dyDescent="0.25"/>
    <row r="227131" s="12" customFormat="1" x14ac:dyDescent="0.25"/>
    <row r="227132" s="12" customFormat="1" x14ac:dyDescent="0.25"/>
    <row r="227133" s="12" customFormat="1" x14ac:dyDescent="0.25"/>
    <row r="227134" s="12" customFormat="1" x14ac:dyDescent="0.25"/>
    <row r="227135" s="12" customFormat="1" x14ac:dyDescent="0.25"/>
    <row r="227136" s="12" customFormat="1" x14ac:dyDescent="0.25"/>
    <row r="227137" s="12" customFormat="1" x14ac:dyDescent="0.25"/>
    <row r="227138" s="12" customFormat="1" x14ac:dyDescent="0.25"/>
    <row r="227139" s="12" customFormat="1" x14ac:dyDescent="0.25"/>
    <row r="227140" s="12" customFormat="1" x14ac:dyDescent="0.25"/>
    <row r="227141" s="12" customFormat="1" x14ac:dyDescent="0.25"/>
    <row r="227142" s="12" customFormat="1" x14ac:dyDescent="0.25"/>
    <row r="227143" s="12" customFormat="1" x14ac:dyDescent="0.25"/>
    <row r="227144" s="12" customFormat="1" x14ac:dyDescent="0.25"/>
    <row r="227145" s="12" customFormat="1" x14ac:dyDescent="0.25"/>
    <row r="227146" s="12" customFormat="1" x14ac:dyDescent="0.25"/>
    <row r="227147" s="12" customFormat="1" x14ac:dyDescent="0.25"/>
    <row r="227148" s="12" customFormat="1" x14ac:dyDescent="0.25"/>
    <row r="227149" s="12" customFormat="1" x14ac:dyDescent="0.25"/>
    <row r="227150" s="12" customFormat="1" x14ac:dyDescent="0.25"/>
    <row r="227151" s="12" customFormat="1" x14ac:dyDescent="0.25"/>
    <row r="227152" s="12" customFormat="1" x14ac:dyDescent="0.25"/>
    <row r="227153" s="12" customFormat="1" x14ac:dyDescent="0.25"/>
    <row r="227154" s="12" customFormat="1" x14ac:dyDescent="0.25"/>
    <row r="227155" s="12" customFormat="1" x14ac:dyDescent="0.25"/>
    <row r="227156" s="12" customFormat="1" x14ac:dyDescent="0.25"/>
    <row r="227157" s="12" customFormat="1" x14ac:dyDescent="0.25"/>
    <row r="227158" s="12" customFormat="1" x14ac:dyDescent="0.25"/>
    <row r="227159" s="12" customFormat="1" x14ac:dyDescent="0.25"/>
    <row r="227160" s="12" customFormat="1" x14ac:dyDescent="0.25"/>
    <row r="227161" s="12" customFormat="1" x14ac:dyDescent="0.25"/>
    <row r="227162" s="12" customFormat="1" x14ac:dyDescent="0.25"/>
    <row r="227163" s="12" customFormat="1" x14ac:dyDescent="0.25"/>
    <row r="227164" s="12" customFormat="1" x14ac:dyDescent="0.25"/>
    <row r="227165" s="12" customFormat="1" x14ac:dyDescent="0.25"/>
    <row r="227166" s="12" customFormat="1" x14ac:dyDescent="0.25"/>
    <row r="227167" s="12" customFormat="1" x14ac:dyDescent="0.25"/>
    <row r="227168" s="12" customFormat="1" x14ac:dyDescent="0.25"/>
    <row r="227169" s="12" customFormat="1" x14ac:dyDescent="0.25"/>
    <row r="227170" s="12" customFormat="1" x14ac:dyDescent="0.25"/>
    <row r="227171" s="12" customFormat="1" x14ac:dyDescent="0.25"/>
    <row r="227172" s="12" customFormat="1" x14ac:dyDescent="0.25"/>
    <row r="227173" s="12" customFormat="1" x14ac:dyDescent="0.25"/>
    <row r="227174" s="12" customFormat="1" x14ac:dyDescent="0.25"/>
    <row r="227175" s="12" customFormat="1" x14ac:dyDescent="0.25"/>
    <row r="227176" s="12" customFormat="1" x14ac:dyDescent="0.25"/>
    <row r="227177" s="12" customFormat="1" x14ac:dyDescent="0.25"/>
    <row r="227178" s="12" customFormat="1" x14ac:dyDescent="0.25"/>
    <row r="227179" s="12" customFormat="1" x14ac:dyDescent="0.25"/>
    <row r="227180" s="12" customFormat="1" x14ac:dyDescent="0.25"/>
    <row r="227181" s="12" customFormat="1" x14ac:dyDescent="0.25"/>
    <row r="227182" s="12" customFormat="1" x14ac:dyDescent="0.25"/>
    <row r="227183" s="12" customFormat="1" x14ac:dyDescent="0.25"/>
    <row r="227184" s="12" customFormat="1" x14ac:dyDescent="0.25"/>
    <row r="227185" s="12" customFormat="1" x14ac:dyDescent="0.25"/>
    <row r="227186" s="12" customFormat="1" x14ac:dyDescent="0.25"/>
    <row r="227187" s="12" customFormat="1" x14ac:dyDescent="0.25"/>
    <row r="227188" s="12" customFormat="1" x14ac:dyDescent="0.25"/>
    <row r="227189" s="12" customFormat="1" x14ac:dyDescent="0.25"/>
    <row r="227190" s="12" customFormat="1" x14ac:dyDescent="0.25"/>
    <row r="227191" s="12" customFormat="1" x14ac:dyDescent="0.25"/>
    <row r="227192" s="12" customFormat="1" x14ac:dyDescent="0.25"/>
    <row r="227193" s="12" customFormat="1" x14ac:dyDescent="0.25"/>
    <row r="227194" s="12" customFormat="1" x14ac:dyDescent="0.25"/>
    <row r="227195" s="12" customFormat="1" x14ac:dyDescent="0.25"/>
    <row r="227196" s="12" customFormat="1" x14ac:dyDescent="0.25"/>
    <row r="227197" s="12" customFormat="1" x14ac:dyDescent="0.25"/>
    <row r="227198" s="12" customFormat="1" x14ac:dyDescent="0.25"/>
    <row r="227199" s="12" customFormat="1" x14ac:dyDescent="0.25"/>
    <row r="227200" s="12" customFormat="1" x14ac:dyDescent="0.25"/>
    <row r="227201" s="12" customFormat="1" x14ac:dyDescent="0.25"/>
    <row r="227202" s="12" customFormat="1" x14ac:dyDescent="0.25"/>
    <row r="227203" s="12" customFormat="1" x14ac:dyDescent="0.25"/>
    <row r="227204" s="12" customFormat="1" x14ac:dyDescent="0.25"/>
    <row r="227205" s="12" customFormat="1" x14ac:dyDescent="0.25"/>
    <row r="227206" s="12" customFormat="1" x14ac:dyDescent="0.25"/>
    <row r="227207" s="12" customFormat="1" x14ac:dyDescent="0.25"/>
    <row r="227208" s="12" customFormat="1" x14ac:dyDescent="0.25"/>
    <row r="227209" s="12" customFormat="1" x14ac:dyDescent="0.25"/>
    <row r="227210" s="12" customFormat="1" x14ac:dyDescent="0.25"/>
    <row r="227211" s="12" customFormat="1" x14ac:dyDescent="0.25"/>
    <row r="227212" s="12" customFormat="1" x14ac:dyDescent="0.25"/>
    <row r="227213" s="12" customFormat="1" x14ac:dyDescent="0.25"/>
    <row r="227214" s="12" customFormat="1" x14ac:dyDescent="0.25"/>
    <row r="227215" s="12" customFormat="1" x14ac:dyDescent="0.25"/>
    <row r="227216" s="12" customFormat="1" x14ac:dyDescent="0.25"/>
    <row r="227217" s="12" customFormat="1" x14ac:dyDescent="0.25"/>
    <row r="227218" s="12" customFormat="1" x14ac:dyDescent="0.25"/>
    <row r="227219" s="12" customFormat="1" x14ac:dyDescent="0.25"/>
    <row r="227220" s="12" customFormat="1" x14ac:dyDescent="0.25"/>
    <row r="227221" s="12" customFormat="1" x14ac:dyDescent="0.25"/>
    <row r="227222" s="12" customFormat="1" x14ac:dyDescent="0.25"/>
    <row r="227223" s="12" customFormat="1" x14ac:dyDescent="0.25"/>
    <row r="227224" s="12" customFormat="1" x14ac:dyDescent="0.25"/>
    <row r="227225" s="12" customFormat="1" x14ac:dyDescent="0.25"/>
    <row r="227226" s="12" customFormat="1" x14ac:dyDescent="0.25"/>
    <row r="227227" s="12" customFormat="1" x14ac:dyDescent="0.25"/>
    <row r="227228" s="12" customFormat="1" x14ac:dyDescent="0.25"/>
    <row r="227229" s="12" customFormat="1" x14ac:dyDescent="0.25"/>
    <row r="227230" s="12" customFormat="1" x14ac:dyDescent="0.25"/>
    <row r="227231" s="12" customFormat="1" x14ac:dyDescent="0.25"/>
    <row r="227232" s="12" customFormat="1" x14ac:dyDescent="0.25"/>
    <row r="227233" s="12" customFormat="1" x14ac:dyDescent="0.25"/>
    <row r="227234" s="12" customFormat="1" x14ac:dyDescent="0.25"/>
    <row r="227235" s="12" customFormat="1" x14ac:dyDescent="0.25"/>
    <row r="227236" s="12" customFormat="1" x14ac:dyDescent="0.25"/>
    <row r="227237" s="12" customFormat="1" x14ac:dyDescent="0.25"/>
    <row r="227238" s="12" customFormat="1" x14ac:dyDescent="0.25"/>
    <row r="227239" s="12" customFormat="1" x14ac:dyDescent="0.25"/>
    <row r="227240" s="12" customFormat="1" x14ac:dyDescent="0.25"/>
    <row r="227241" s="12" customFormat="1" x14ac:dyDescent="0.25"/>
    <row r="227242" s="12" customFormat="1" x14ac:dyDescent="0.25"/>
    <row r="227243" s="12" customFormat="1" x14ac:dyDescent="0.25"/>
    <row r="227244" s="12" customFormat="1" x14ac:dyDescent="0.25"/>
    <row r="227245" s="12" customFormat="1" x14ac:dyDescent="0.25"/>
    <row r="227246" s="12" customFormat="1" x14ac:dyDescent="0.25"/>
    <row r="227247" s="12" customFormat="1" x14ac:dyDescent="0.25"/>
    <row r="227248" s="12" customFormat="1" x14ac:dyDescent="0.25"/>
    <row r="227249" s="12" customFormat="1" x14ac:dyDescent="0.25"/>
    <row r="227250" s="12" customFormat="1" x14ac:dyDescent="0.25"/>
    <row r="227251" s="12" customFormat="1" x14ac:dyDescent="0.25"/>
    <row r="227252" s="12" customFormat="1" x14ac:dyDescent="0.25"/>
    <row r="227253" s="12" customFormat="1" x14ac:dyDescent="0.25"/>
    <row r="227254" s="12" customFormat="1" x14ac:dyDescent="0.25"/>
    <row r="227255" s="12" customFormat="1" x14ac:dyDescent="0.25"/>
    <row r="227256" s="12" customFormat="1" x14ac:dyDescent="0.25"/>
    <row r="227257" s="12" customFormat="1" x14ac:dyDescent="0.25"/>
    <row r="227258" s="12" customFormat="1" x14ac:dyDescent="0.25"/>
    <row r="227259" s="12" customFormat="1" x14ac:dyDescent="0.25"/>
    <row r="227260" s="12" customFormat="1" x14ac:dyDescent="0.25"/>
    <row r="227261" s="12" customFormat="1" x14ac:dyDescent="0.25"/>
    <row r="227262" s="12" customFormat="1" x14ac:dyDescent="0.25"/>
    <row r="227263" s="12" customFormat="1" x14ac:dyDescent="0.25"/>
    <row r="227264" s="12" customFormat="1" x14ac:dyDescent="0.25"/>
    <row r="227265" s="12" customFormat="1" x14ac:dyDescent="0.25"/>
    <row r="227266" s="12" customFormat="1" x14ac:dyDescent="0.25"/>
    <row r="227267" s="12" customFormat="1" x14ac:dyDescent="0.25"/>
    <row r="227268" s="12" customFormat="1" x14ac:dyDescent="0.25"/>
    <row r="227269" s="12" customFormat="1" x14ac:dyDescent="0.25"/>
    <row r="227270" s="12" customFormat="1" x14ac:dyDescent="0.25"/>
    <row r="227271" s="12" customFormat="1" x14ac:dyDescent="0.25"/>
    <row r="227272" s="12" customFormat="1" x14ac:dyDescent="0.25"/>
    <row r="227273" s="12" customFormat="1" x14ac:dyDescent="0.25"/>
    <row r="227274" s="12" customFormat="1" x14ac:dyDescent="0.25"/>
    <row r="227275" s="12" customFormat="1" x14ac:dyDescent="0.25"/>
    <row r="227276" s="12" customFormat="1" x14ac:dyDescent="0.25"/>
    <row r="227277" s="12" customFormat="1" x14ac:dyDescent="0.25"/>
    <row r="227278" s="12" customFormat="1" x14ac:dyDescent="0.25"/>
    <row r="227279" s="12" customFormat="1" x14ac:dyDescent="0.25"/>
    <row r="227280" s="12" customFormat="1" x14ac:dyDescent="0.25"/>
    <row r="227281" s="12" customFormat="1" x14ac:dyDescent="0.25"/>
    <row r="227282" s="12" customFormat="1" x14ac:dyDescent="0.25"/>
    <row r="227283" s="12" customFormat="1" x14ac:dyDescent="0.25"/>
    <row r="227284" s="12" customFormat="1" x14ac:dyDescent="0.25"/>
    <row r="227285" s="12" customFormat="1" x14ac:dyDescent="0.25"/>
    <row r="227286" s="12" customFormat="1" x14ac:dyDescent="0.25"/>
    <row r="227287" s="12" customFormat="1" x14ac:dyDescent="0.25"/>
    <row r="227288" s="12" customFormat="1" x14ac:dyDescent="0.25"/>
    <row r="227289" s="12" customFormat="1" x14ac:dyDescent="0.25"/>
    <row r="227290" s="12" customFormat="1" x14ac:dyDescent="0.25"/>
    <row r="227291" s="12" customFormat="1" x14ac:dyDescent="0.25"/>
    <row r="227292" s="12" customFormat="1" x14ac:dyDescent="0.25"/>
    <row r="227293" s="12" customFormat="1" x14ac:dyDescent="0.25"/>
    <row r="227294" s="12" customFormat="1" x14ac:dyDescent="0.25"/>
    <row r="227295" s="12" customFormat="1" x14ac:dyDescent="0.25"/>
    <row r="227296" s="12" customFormat="1" x14ac:dyDescent="0.25"/>
    <row r="227297" s="12" customFormat="1" x14ac:dyDescent="0.25"/>
    <row r="227298" s="12" customFormat="1" x14ac:dyDescent="0.25"/>
    <row r="227299" s="12" customFormat="1" x14ac:dyDescent="0.25"/>
    <row r="227300" s="12" customFormat="1" x14ac:dyDescent="0.25"/>
    <row r="227301" s="12" customFormat="1" x14ac:dyDescent="0.25"/>
    <row r="227302" s="12" customFormat="1" x14ac:dyDescent="0.25"/>
    <row r="227303" s="12" customFormat="1" x14ac:dyDescent="0.25"/>
    <row r="227304" s="12" customFormat="1" x14ac:dyDescent="0.25"/>
    <row r="227305" s="12" customFormat="1" x14ac:dyDescent="0.25"/>
    <row r="227306" s="12" customFormat="1" x14ac:dyDescent="0.25"/>
    <row r="227307" s="12" customFormat="1" x14ac:dyDescent="0.25"/>
    <row r="227308" s="12" customFormat="1" x14ac:dyDescent="0.25"/>
    <row r="227309" s="12" customFormat="1" x14ac:dyDescent="0.25"/>
    <row r="227310" s="12" customFormat="1" x14ac:dyDescent="0.25"/>
    <row r="227311" s="12" customFormat="1" x14ac:dyDescent="0.25"/>
    <row r="227312" s="12" customFormat="1" x14ac:dyDescent="0.25"/>
    <row r="227313" s="12" customFormat="1" x14ac:dyDescent="0.25"/>
    <row r="227314" s="12" customFormat="1" x14ac:dyDescent="0.25"/>
    <row r="227315" s="12" customFormat="1" x14ac:dyDescent="0.25"/>
    <row r="227316" s="12" customFormat="1" x14ac:dyDescent="0.25"/>
    <row r="227317" s="12" customFormat="1" x14ac:dyDescent="0.25"/>
    <row r="227318" s="12" customFormat="1" x14ac:dyDescent="0.25"/>
    <row r="227319" s="12" customFormat="1" x14ac:dyDescent="0.25"/>
    <row r="227320" s="12" customFormat="1" x14ac:dyDescent="0.25"/>
    <row r="227321" s="12" customFormat="1" x14ac:dyDescent="0.25"/>
    <row r="227322" s="12" customFormat="1" x14ac:dyDescent="0.25"/>
    <row r="227323" s="12" customFormat="1" x14ac:dyDescent="0.25"/>
    <row r="227324" s="12" customFormat="1" x14ac:dyDescent="0.25"/>
    <row r="227325" s="12" customFormat="1" x14ac:dyDescent="0.25"/>
    <row r="227326" s="12" customFormat="1" x14ac:dyDescent="0.25"/>
    <row r="227327" s="12" customFormat="1" x14ac:dyDescent="0.25"/>
    <row r="227328" s="12" customFormat="1" x14ac:dyDescent="0.25"/>
    <row r="227329" s="12" customFormat="1" x14ac:dyDescent="0.25"/>
    <row r="227330" s="12" customFormat="1" x14ac:dyDescent="0.25"/>
    <row r="227331" s="12" customFormat="1" x14ac:dyDescent="0.25"/>
    <row r="227332" s="12" customFormat="1" x14ac:dyDescent="0.25"/>
    <row r="227333" s="12" customFormat="1" x14ac:dyDescent="0.25"/>
    <row r="227334" s="12" customFormat="1" x14ac:dyDescent="0.25"/>
    <row r="227335" s="12" customFormat="1" x14ac:dyDescent="0.25"/>
    <row r="227336" s="12" customFormat="1" x14ac:dyDescent="0.25"/>
    <row r="227337" s="12" customFormat="1" x14ac:dyDescent="0.25"/>
    <row r="227338" s="12" customFormat="1" x14ac:dyDescent="0.25"/>
    <row r="227339" s="12" customFormat="1" x14ac:dyDescent="0.25"/>
    <row r="227340" s="12" customFormat="1" x14ac:dyDescent="0.25"/>
    <row r="227341" s="12" customFormat="1" x14ac:dyDescent="0.25"/>
    <row r="227342" s="12" customFormat="1" x14ac:dyDescent="0.25"/>
    <row r="227343" s="12" customFormat="1" x14ac:dyDescent="0.25"/>
    <row r="227344" s="12" customFormat="1" x14ac:dyDescent="0.25"/>
    <row r="227345" s="12" customFormat="1" x14ac:dyDescent="0.25"/>
    <row r="227346" s="12" customFormat="1" x14ac:dyDescent="0.25"/>
    <row r="227347" s="12" customFormat="1" x14ac:dyDescent="0.25"/>
    <row r="227348" s="12" customFormat="1" x14ac:dyDescent="0.25"/>
    <row r="227349" s="12" customFormat="1" x14ac:dyDescent="0.25"/>
    <row r="227350" s="12" customFormat="1" x14ac:dyDescent="0.25"/>
    <row r="227351" s="12" customFormat="1" x14ac:dyDescent="0.25"/>
    <row r="227352" s="12" customFormat="1" x14ac:dyDescent="0.25"/>
    <row r="227353" s="12" customFormat="1" x14ac:dyDescent="0.25"/>
    <row r="227354" s="12" customFormat="1" x14ac:dyDescent="0.25"/>
    <row r="227355" s="12" customFormat="1" x14ac:dyDescent="0.25"/>
    <row r="227356" s="12" customFormat="1" x14ac:dyDescent="0.25"/>
    <row r="227357" s="12" customFormat="1" x14ac:dyDescent="0.25"/>
    <row r="227358" s="12" customFormat="1" x14ac:dyDescent="0.25"/>
    <row r="227359" s="12" customFormat="1" x14ac:dyDescent="0.25"/>
    <row r="227360" s="12" customFormat="1" x14ac:dyDescent="0.25"/>
    <row r="227361" s="12" customFormat="1" x14ac:dyDescent="0.25"/>
    <row r="227362" s="12" customFormat="1" x14ac:dyDescent="0.25"/>
    <row r="227363" s="12" customFormat="1" x14ac:dyDescent="0.25"/>
    <row r="227364" s="12" customFormat="1" x14ac:dyDescent="0.25"/>
    <row r="227365" s="12" customFormat="1" x14ac:dyDescent="0.25"/>
    <row r="227366" s="12" customFormat="1" x14ac:dyDescent="0.25"/>
    <row r="227367" s="12" customFormat="1" x14ac:dyDescent="0.25"/>
    <row r="227368" s="12" customFormat="1" x14ac:dyDescent="0.25"/>
    <row r="227369" s="12" customFormat="1" x14ac:dyDescent="0.25"/>
    <row r="227370" s="12" customFormat="1" x14ac:dyDescent="0.25"/>
    <row r="227371" s="12" customFormat="1" x14ac:dyDescent="0.25"/>
    <row r="227372" s="12" customFormat="1" x14ac:dyDescent="0.25"/>
    <row r="227373" s="12" customFormat="1" x14ac:dyDescent="0.25"/>
    <row r="227374" s="12" customFormat="1" x14ac:dyDescent="0.25"/>
    <row r="227375" s="12" customFormat="1" x14ac:dyDescent="0.25"/>
    <row r="227376" s="12" customFormat="1" x14ac:dyDescent="0.25"/>
    <row r="227377" s="12" customFormat="1" x14ac:dyDescent="0.25"/>
    <row r="227378" s="12" customFormat="1" x14ac:dyDescent="0.25"/>
    <row r="227379" s="12" customFormat="1" x14ac:dyDescent="0.25"/>
    <row r="227380" s="12" customFormat="1" x14ac:dyDescent="0.25"/>
    <row r="227381" s="12" customFormat="1" x14ac:dyDescent="0.25"/>
    <row r="227382" s="12" customFormat="1" x14ac:dyDescent="0.25"/>
    <row r="227383" s="12" customFormat="1" x14ac:dyDescent="0.25"/>
    <row r="227384" s="12" customFormat="1" x14ac:dyDescent="0.25"/>
    <row r="227385" s="12" customFormat="1" x14ac:dyDescent="0.25"/>
    <row r="227386" s="12" customFormat="1" x14ac:dyDescent="0.25"/>
    <row r="227387" s="12" customFormat="1" x14ac:dyDescent="0.25"/>
    <row r="227388" s="12" customFormat="1" x14ac:dyDescent="0.25"/>
    <row r="227389" s="12" customFormat="1" x14ac:dyDescent="0.25"/>
    <row r="227390" s="12" customFormat="1" x14ac:dyDescent="0.25"/>
    <row r="227391" s="12" customFormat="1" x14ac:dyDescent="0.25"/>
    <row r="227392" s="12" customFormat="1" x14ac:dyDescent="0.25"/>
    <row r="227393" s="12" customFormat="1" x14ac:dyDescent="0.25"/>
    <row r="227394" s="12" customFormat="1" x14ac:dyDescent="0.25"/>
    <row r="227395" s="12" customFormat="1" x14ac:dyDescent="0.25"/>
    <row r="227396" s="12" customFormat="1" x14ac:dyDescent="0.25"/>
    <row r="227397" s="12" customFormat="1" x14ac:dyDescent="0.25"/>
    <row r="227398" s="12" customFormat="1" x14ac:dyDescent="0.25"/>
    <row r="227399" s="12" customFormat="1" x14ac:dyDescent="0.25"/>
    <row r="227400" s="12" customFormat="1" x14ac:dyDescent="0.25"/>
    <row r="227401" s="12" customFormat="1" x14ac:dyDescent="0.25"/>
    <row r="227402" s="12" customFormat="1" x14ac:dyDescent="0.25"/>
    <row r="227403" s="12" customFormat="1" x14ac:dyDescent="0.25"/>
    <row r="227404" s="12" customFormat="1" x14ac:dyDescent="0.25"/>
    <row r="227405" s="12" customFormat="1" x14ac:dyDescent="0.25"/>
    <row r="227406" s="12" customFormat="1" x14ac:dyDescent="0.25"/>
    <row r="227407" s="12" customFormat="1" x14ac:dyDescent="0.25"/>
    <row r="227408" s="12" customFormat="1" x14ac:dyDescent="0.25"/>
    <row r="227409" s="12" customFormat="1" x14ac:dyDescent="0.25"/>
    <row r="227410" s="12" customFormat="1" x14ac:dyDescent="0.25"/>
    <row r="227411" s="12" customFormat="1" x14ac:dyDescent="0.25"/>
    <row r="227412" s="12" customFormat="1" x14ac:dyDescent="0.25"/>
    <row r="227413" s="12" customFormat="1" x14ac:dyDescent="0.25"/>
    <row r="227414" s="12" customFormat="1" x14ac:dyDescent="0.25"/>
    <row r="227415" s="12" customFormat="1" x14ac:dyDescent="0.25"/>
    <row r="227416" s="12" customFormat="1" x14ac:dyDescent="0.25"/>
    <row r="227417" s="12" customFormat="1" x14ac:dyDescent="0.25"/>
    <row r="227418" s="12" customFormat="1" x14ac:dyDescent="0.25"/>
    <row r="227419" s="12" customFormat="1" x14ac:dyDescent="0.25"/>
    <row r="227420" s="12" customFormat="1" x14ac:dyDescent="0.25"/>
    <row r="227421" s="12" customFormat="1" x14ac:dyDescent="0.25"/>
    <row r="227422" s="12" customFormat="1" x14ac:dyDescent="0.25"/>
    <row r="227423" s="12" customFormat="1" x14ac:dyDescent="0.25"/>
    <row r="227424" s="12" customFormat="1" x14ac:dyDescent="0.25"/>
    <row r="227425" s="12" customFormat="1" x14ac:dyDescent="0.25"/>
    <row r="227426" s="12" customFormat="1" x14ac:dyDescent="0.25"/>
    <row r="227427" s="12" customFormat="1" x14ac:dyDescent="0.25"/>
    <row r="227428" s="12" customFormat="1" x14ac:dyDescent="0.25"/>
    <row r="227429" s="12" customFormat="1" x14ac:dyDescent="0.25"/>
    <row r="227430" s="12" customFormat="1" x14ac:dyDescent="0.25"/>
    <row r="227431" s="12" customFormat="1" x14ac:dyDescent="0.25"/>
    <row r="227432" s="12" customFormat="1" x14ac:dyDescent="0.25"/>
    <row r="227433" s="12" customFormat="1" x14ac:dyDescent="0.25"/>
    <row r="227434" s="12" customFormat="1" x14ac:dyDescent="0.25"/>
    <row r="227435" s="12" customFormat="1" x14ac:dyDescent="0.25"/>
    <row r="227436" s="12" customFormat="1" x14ac:dyDescent="0.25"/>
    <row r="227437" s="12" customFormat="1" x14ac:dyDescent="0.25"/>
    <row r="227438" s="12" customFormat="1" x14ac:dyDescent="0.25"/>
    <row r="227439" s="12" customFormat="1" x14ac:dyDescent="0.25"/>
    <row r="227440" s="12" customFormat="1" x14ac:dyDescent="0.25"/>
    <row r="227441" s="12" customFormat="1" x14ac:dyDescent="0.25"/>
    <row r="227442" s="12" customFormat="1" x14ac:dyDescent="0.25"/>
    <row r="227443" s="12" customFormat="1" x14ac:dyDescent="0.25"/>
    <row r="227444" s="12" customFormat="1" x14ac:dyDescent="0.25"/>
    <row r="227445" s="12" customFormat="1" x14ac:dyDescent="0.25"/>
    <row r="227446" s="12" customFormat="1" x14ac:dyDescent="0.25"/>
    <row r="227447" s="12" customFormat="1" x14ac:dyDescent="0.25"/>
    <row r="227448" s="12" customFormat="1" x14ac:dyDescent="0.25"/>
    <row r="227449" s="12" customFormat="1" x14ac:dyDescent="0.25"/>
    <row r="227450" s="12" customFormat="1" x14ac:dyDescent="0.25"/>
    <row r="227451" s="12" customFormat="1" x14ac:dyDescent="0.25"/>
    <row r="227452" s="12" customFormat="1" x14ac:dyDescent="0.25"/>
    <row r="227453" s="12" customFormat="1" x14ac:dyDescent="0.25"/>
    <row r="227454" s="12" customFormat="1" x14ac:dyDescent="0.25"/>
    <row r="227455" s="12" customFormat="1" x14ac:dyDescent="0.25"/>
    <row r="227456" s="12" customFormat="1" x14ac:dyDescent="0.25"/>
    <row r="227457" s="12" customFormat="1" x14ac:dyDescent="0.25"/>
    <row r="227458" s="12" customFormat="1" x14ac:dyDescent="0.25"/>
    <row r="227459" s="12" customFormat="1" x14ac:dyDescent="0.25"/>
    <row r="227460" s="12" customFormat="1" x14ac:dyDescent="0.25"/>
    <row r="227461" s="12" customFormat="1" x14ac:dyDescent="0.25"/>
    <row r="227462" s="12" customFormat="1" x14ac:dyDescent="0.25"/>
    <row r="227463" s="12" customFormat="1" x14ac:dyDescent="0.25"/>
    <row r="227464" s="12" customFormat="1" x14ac:dyDescent="0.25"/>
    <row r="227465" s="12" customFormat="1" x14ac:dyDescent="0.25"/>
    <row r="227466" s="12" customFormat="1" x14ac:dyDescent="0.25"/>
    <row r="227467" s="12" customFormat="1" x14ac:dyDescent="0.25"/>
    <row r="227468" s="12" customFormat="1" x14ac:dyDescent="0.25"/>
    <row r="227469" s="12" customFormat="1" x14ac:dyDescent="0.25"/>
    <row r="227470" s="12" customFormat="1" x14ac:dyDescent="0.25"/>
    <row r="227471" s="12" customFormat="1" x14ac:dyDescent="0.25"/>
    <row r="227472" s="12" customFormat="1" x14ac:dyDescent="0.25"/>
    <row r="227473" s="12" customFormat="1" x14ac:dyDescent="0.25"/>
    <row r="227474" s="12" customFormat="1" x14ac:dyDescent="0.25"/>
    <row r="227475" s="12" customFormat="1" x14ac:dyDescent="0.25"/>
    <row r="227476" s="12" customFormat="1" x14ac:dyDescent="0.25"/>
    <row r="227477" s="12" customFormat="1" x14ac:dyDescent="0.25"/>
    <row r="227478" s="12" customFormat="1" x14ac:dyDescent="0.25"/>
    <row r="227479" s="12" customFormat="1" x14ac:dyDescent="0.25"/>
    <row r="227480" s="12" customFormat="1" x14ac:dyDescent="0.25"/>
    <row r="227481" s="12" customFormat="1" x14ac:dyDescent="0.25"/>
    <row r="227482" s="12" customFormat="1" x14ac:dyDescent="0.25"/>
    <row r="227483" s="12" customFormat="1" x14ac:dyDescent="0.25"/>
    <row r="227484" s="12" customFormat="1" x14ac:dyDescent="0.25"/>
    <row r="227485" s="12" customFormat="1" x14ac:dyDescent="0.25"/>
    <row r="227486" s="12" customFormat="1" x14ac:dyDescent="0.25"/>
    <row r="227487" s="12" customFormat="1" x14ac:dyDescent="0.25"/>
    <row r="227488" s="12" customFormat="1" x14ac:dyDescent="0.25"/>
    <row r="227489" s="12" customFormat="1" x14ac:dyDescent="0.25"/>
    <row r="227490" s="12" customFormat="1" x14ac:dyDescent="0.25"/>
    <row r="227491" s="12" customFormat="1" x14ac:dyDescent="0.25"/>
    <row r="227492" s="12" customFormat="1" x14ac:dyDescent="0.25"/>
    <row r="227493" s="12" customFormat="1" x14ac:dyDescent="0.25"/>
    <row r="227494" s="12" customFormat="1" x14ac:dyDescent="0.25"/>
    <row r="227495" s="12" customFormat="1" x14ac:dyDescent="0.25"/>
    <row r="227496" s="12" customFormat="1" x14ac:dyDescent="0.25"/>
    <row r="227497" s="12" customFormat="1" x14ac:dyDescent="0.25"/>
    <row r="227498" s="12" customFormat="1" x14ac:dyDescent="0.25"/>
    <row r="227499" s="12" customFormat="1" x14ac:dyDescent="0.25"/>
    <row r="227500" s="12" customFormat="1" x14ac:dyDescent="0.25"/>
    <row r="227501" s="12" customFormat="1" x14ac:dyDescent="0.25"/>
    <row r="227502" s="12" customFormat="1" x14ac:dyDescent="0.25"/>
    <row r="227503" s="12" customFormat="1" x14ac:dyDescent="0.25"/>
    <row r="227504" s="12" customFormat="1" x14ac:dyDescent="0.25"/>
    <row r="227505" s="12" customFormat="1" x14ac:dyDescent="0.25"/>
    <row r="227506" s="12" customFormat="1" x14ac:dyDescent="0.25"/>
    <row r="227507" s="12" customFormat="1" x14ac:dyDescent="0.25"/>
    <row r="227508" s="12" customFormat="1" x14ac:dyDescent="0.25"/>
    <row r="227509" s="12" customFormat="1" x14ac:dyDescent="0.25"/>
    <row r="227510" s="12" customFormat="1" x14ac:dyDescent="0.25"/>
    <row r="227511" s="12" customFormat="1" x14ac:dyDescent="0.25"/>
    <row r="227512" s="12" customFormat="1" x14ac:dyDescent="0.25"/>
    <row r="227513" s="12" customFormat="1" x14ac:dyDescent="0.25"/>
    <row r="227514" s="12" customFormat="1" x14ac:dyDescent="0.25"/>
    <row r="227515" s="12" customFormat="1" x14ac:dyDescent="0.25"/>
    <row r="227516" s="12" customFormat="1" x14ac:dyDescent="0.25"/>
    <row r="227517" s="12" customFormat="1" x14ac:dyDescent="0.25"/>
    <row r="227518" s="12" customFormat="1" x14ac:dyDescent="0.25"/>
    <row r="227519" s="12" customFormat="1" x14ac:dyDescent="0.25"/>
    <row r="227520" s="12" customFormat="1" x14ac:dyDescent="0.25"/>
    <row r="227521" s="12" customFormat="1" x14ac:dyDescent="0.25"/>
    <row r="227522" s="12" customFormat="1" x14ac:dyDescent="0.25"/>
    <row r="227523" s="12" customFormat="1" x14ac:dyDescent="0.25"/>
    <row r="227524" s="12" customFormat="1" x14ac:dyDescent="0.25"/>
    <row r="227525" s="12" customFormat="1" x14ac:dyDescent="0.25"/>
    <row r="227526" s="12" customFormat="1" x14ac:dyDescent="0.25"/>
    <row r="227527" s="12" customFormat="1" x14ac:dyDescent="0.25"/>
    <row r="227528" s="12" customFormat="1" x14ac:dyDescent="0.25"/>
    <row r="227529" s="12" customFormat="1" x14ac:dyDescent="0.25"/>
    <row r="227530" s="12" customFormat="1" x14ac:dyDescent="0.25"/>
    <row r="227531" s="12" customFormat="1" x14ac:dyDescent="0.25"/>
    <row r="227532" s="12" customFormat="1" x14ac:dyDescent="0.25"/>
    <row r="227533" s="12" customFormat="1" x14ac:dyDescent="0.25"/>
    <row r="227534" s="12" customFormat="1" x14ac:dyDescent="0.25"/>
    <row r="227535" s="12" customFormat="1" x14ac:dyDescent="0.25"/>
    <row r="227536" s="12" customFormat="1" x14ac:dyDescent="0.25"/>
    <row r="227537" s="12" customFormat="1" x14ac:dyDescent="0.25"/>
    <row r="227538" s="12" customFormat="1" x14ac:dyDescent="0.25"/>
    <row r="227539" s="12" customFormat="1" x14ac:dyDescent="0.25"/>
    <row r="227540" s="12" customFormat="1" x14ac:dyDescent="0.25"/>
    <row r="227541" s="12" customFormat="1" x14ac:dyDescent="0.25"/>
    <row r="227542" s="12" customFormat="1" x14ac:dyDescent="0.25"/>
    <row r="227543" s="12" customFormat="1" x14ac:dyDescent="0.25"/>
    <row r="227544" s="12" customFormat="1" x14ac:dyDescent="0.25"/>
    <row r="227545" s="12" customFormat="1" x14ac:dyDescent="0.25"/>
    <row r="227546" s="12" customFormat="1" x14ac:dyDescent="0.25"/>
    <row r="227547" s="12" customFormat="1" x14ac:dyDescent="0.25"/>
    <row r="227548" s="12" customFormat="1" x14ac:dyDescent="0.25"/>
    <row r="227549" s="12" customFormat="1" x14ac:dyDescent="0.25"/>
    <row r="227550" s="12" customFormat="1" x14ac:dyDescent="0.25"/>
    <row r="227551" s="12" customFormat="1" x14ac:dyDescent="0.25"/>
    <row r="227552" s="12" customFormat="1" x14ac:dyDescent="0.25"/>
    <row r="227553" s="12" customFormat="1" x14ac:dyDescent="0.25"/>
    <row r="227554" s="12" customFormat="1" x14ac:dyDescent="0.25"/>
    <row r="227555" s="12" customFormat="1" x14ac:dyDescent="0.25"/>
    <row r="227556" s="12" customFormat="1" x14ac:dyDescent="0.25"/>
    <row r="227557" s="12" customFormat="1" x14ac:dyDescent="0.25"/>
    <row r="227558" s="12" customFormat="1" x14ac:dyDescent="0.25"/>
    <row r="227559" s="12" customFormat="1" x14ac:dyDescent="0.25"/>
    <row r="227560" s="12" customFormat="1" x14ac:dyDescent="0.25"/>
    <row r="227561" s="12" customFormat="1" x14ac:dyDescent="0.25"/>
    <row r="227562" s="12" customFormat="1" x14ac:dyDescent="0.25"/>
    <row r="227563" s="12" customFormat="1" x14ac:dyDescent="0.25"/>
    <row r="227564" s="12" customFormat="1" x14ac:dyDescent="0.25"/>
    <row r="227565" s="12" customFormat="1" x14ac:dyDescent="0.25"/>
    <row r="227566" s="12" customFormat="1" x14ac:dyDescent="0.25"/>
    <row r="227567" s="12" customFormat="1" x14ac:dyDescent="0.25"/>
    <row r="227568" s="12" customFormat="1" x14ac:dyDescent="0.25"/>
    <row r="227569" s="12" customFormat="1" x14ac:dyDescent="0.25"/>
    <row r="227570" s="12" customFormat="1" x14ac:dyDescent="0.25"/>
    <row r="227571" s="12" customFormat="1" x14ac:dyDescent="0.25"/>
    <row r="227572" s="12" customFormat="1" x14ac:dyDescent="0.25"/>
    <row r="227573" s="12" customFormat="1" x14ac:dyDescent="0.25"/>
    <row r="227574" s="12" customFormat="1" x14ac:dyDescent="0.25"/>
    <row r="227575" s="12" customFormat="1" x14ac:dyDescent="0.25"/>
    <row r="227576" s="12" customFormat="1" x14ac:dyDescent="0.25"/>
    <row r="227577" s="12" customFormat="1" x14ac:dyDescent="0.25"/>
    <row r="227578" s="12" customFormat="1" x14ac:dyDescent="0.25"/>
    <row r="227579" s="12" customFormat="1" x14ac:dyDescent="0.25"/>
    <row r="227580" s="12" customFormat="1" x14ac:dyDescent="0.25"/>
    <row r="227581" s="12" customFormat="1" x14ac:dyDescent="0.25"/>
    <row r="227582" s="12" customFormat="1" x14ac:dyDescent="0.25"/>
    <row r="227583" s="12" customFormat="1" x14ac:dyDescent="0.25"/>
    <row r="227584" s="12" customFormat="1" x14ac:dyDescent="0.25"/>
    <row r="227585" s="12" customFormat="1" x14ac:dyDescent="0.25"/>
    <row r="227586" s="12" customFormat="1" x14ac:dyDescent="0.25"/>
    <row r="227587" s="12" customFormat="1" x14ac:dyDescent="0.25"/>
    <row r="227588" s="12" customFormat="1" x14ac:dyDescent="0.25"/>
    <row r="227589" s="12" customFormat="1" x14ac:dyDescent="0.25"/>
    <row r="227590" s="12" customFormat="1" x14ac:dyDescent="0.25"/>
    <row r="227591" s="12" customFormat="1" x14ac:dyDescent="0.25"/>
    <row r="227592" s="12" customFormat="1" x14ac:dyDescent="0.25"/>
    <row r="227593" s="12" customFormat="1" x14ac:dyDescent="0.25"/>
    <row r="227594" s="12" customFormat="1" x14ac:dyDescent="0.25"/>
    <row r="227595" s="12" customFormat="1" x14ac:dyDescent="0.25"/>
    <row r="227596" s="12" customFormat="1" x14ac:dyDescent="0.25"/>
    <row r="227597" s="12" customFormat="1" x14ac:dyDescent="0.25"/>
    <row r="227598" s="12" customFormat="1" x14ac:dyDescent="0.25"/>
    <row r="227599" s="12" customFormat="1" x14ac:dyDescent="0.25"/>
    <row r="227600" s="12" customFormat="1" x14ac:dyDescent="0.25"/>
    <row r="227601" s="12" customFormat="1" x14ac:dyDescent="0.25"/>
    <row r="227602" s="12" customFormat="1" x14ac:dyDescent="0.25"/>
    <row r="227603" s="12" customFormat="1" x14ac:dyDescent="0.25"/>
    <row r="227604" s="12" customFormat="1" x14ac:dyDescent="0.25"/>
    <row r="227605" s="12" customFormat="1" x14ac:dyDescent="0.25"/>
    <row r="227606" s="12" customFormat="1" x14ac:dyDescent="0.25"/>
    <row r="227607" s="12" customFormat="1" x14ac:dyDescent="0.25"/>
    <row r="227608" s="12" customFormat="1" x14ac:dyDescent="0.25"/>
    <row r="227609" s="12" customFormat="1" x14ac:dyDescent="0.25"/>
    <row r="227610" s="12" customFormat="1" x14ac:dyDescent="0.25"/>
    <row r="227611" s="12" customFormat="1" x14ac:dyDescent="0.25"/>
    <row r="227612" s="12" customFormat="1" x14ac:dyDescent="0.25"/>
    <row r="227613" s="12" customFormat="1" x14ac:dyDescent="0.25"/>
    <row r="227614" s="12" customFormat="1" x14ac:dyDescent="0.25"/>
    <row r="227615" s="12" customFormat="1" x14ac:dyDescent="0.25"/>
    <row r="227616" s="12" customFormat="1" x14ac:dyDescent="0.25"/>
    <row r="227617" s="12" customFormat="1" x14ac:dyDescent="0.25"/>
    <row r="227618" s="12" customFormat="1" x14ac:dyDescent="0.25"/>
    <row r="227619" s="12" customFormat="1" x14ac:dyDescent="0.25"/>
    <row r="227620" s="12" customFormat="1" x14ac:dyDescent="0.25"/>
    <row r="227621" s="12" customFormat="1" x14ac:dyDescent="0.25"/>
    <row r="227622" s="12" customFormat="1" x14ac:dyDescent="0.25"/>
    <row r="227623" s="12" customFormat="1" x14ac:dyDescent="0.25"/>
    <row r="227624" s="12" customFormat="1" x14ac:dyDescent="0.25"/>
    <row r="227625" s="12" customFormat="1" x14ac:dyDescent="0.25"/>
    <row r="227626" s="12" customFormat="1" x14ac:dyDescent="0.25"/>
    <row r="227627" s="12" customFormat="1" x14ac:dyDescent="0.25"/>
    <row r="227628" s="12" customFormat="1" x14ac:dyDescent="0.25"/>
    <row r="227629" s="12" customFormat="1" x14ac:dyDescent="0.25"/>
    <row r="227630" s="12" customFormat="1" x14ac:dyDescent="0.25"/>
    <row r="227631" s="12" customFormat="1" x14ac:dyDescent="0.25"/>
    <row r="227632" s="12" customFormat="1" x14ac:dyDescent="0.25"/>
    <row r="227633" s="12" customFormat="1" x14ac:dyDescent="0.25"/>
    <row r="227634" s="12" customFormat="1" x14ac:dyDescent="0.25"/>
    <row r="227635" s="12" customFormat="1" x14ac:dyDescent="0.25"/>
    <row r="227636" s="12" customFormat="1" x14ac:dyDescent="0.25"/>
    <row r="227637" s="12" customFormat="1" x14ac:dyDescent="0.25"/>
    <row r="227638" s="12" customFormat="1" x14ac:dyDescent="0.25"/>
    <row r="227639" s="12" customFormat="1" x14ac:dyDescent="0.25"/>
    <row r="227640" s="12" customFormat="1" x14ac:dyDescent="0.25"/>
    <row r="227641" s="12" customFormat="1" x14ac:dyDescent="0.25"/>
    <row r="227642" s="12" customFormat="1" x14ac:dyDescent="0.25"/>
    <row r="227643" s="12" customFormat="1" x14ac:dyDescent="0.25"/>
    <row r="227644" s="12" customFormat="1" x14ac:dyDescent="0.25"/>
    <row r="227645" s="12" customFormat="1" x14ac:dyDescent="0.25"/>
    <row r="227646" s="12" customFormat="1" x14ac:dyDescent="0.25"/>
    <row r="227647" s="12" customFormat="1" x14ac:dyDescent="0.25"/>
    <row r="227648" s="12" customFormat="1" x14ac:dyDescent="0.25"/>
    <row r="227649" s="12" customFormat="1" x14ac:dyDescent="0.25"/>
    <row r="227650" s="12" customFormat="1" x14ac:dyDescent="0.25"/>
    <row r="227651" s="12" customFormat="1" x14ac:dyDescent="0.25"/>
    <row r="227652" s="12" customFormat="1" x14ac:dyDescent="0.25"/>
    <row r="227653" s="12" customFormat="1" x14ac:dyDescent="0.25"/>
    <row r="227654" s="12" customFormat="1" x14ac:dyDescent="0.25"/>
    <row r="227655" s="12" customFormat="1" x14ac:dyDescent="0.25"/>
    <row r="227656" s="12" customFormat="1" x14ac:dyDescent="0.25"/>
    <row r="227657" s="12" customFormat="1" x14ac:dyDescent="0.25"/>
    <row r="227658" s="12" customFormat="1" x14ac:dyDescent="0.25"/>
    <row r="227659" s="12" customFormat="1" x14ac:dyDescent="0.25"/>
    <row r="227660" s="12" customFormat="1" x14ac:dyDescent="0.25"/>
    <row r="227661" s="12" customFormat="1" x14ac:dyDescent="0.25"/>
    <row r="227662" s="12" customFormat="1" x14ac:dyDescent="0.25"/>
    <row r="227663" s="12" customFormat="1" x14ac:dyDescent="0.25"/>
    <row r="227664" s="12" customFormat="1" x14ac:dyDescent="0.25"/>
    <row r="227665" s="12" customFormat="1" x14ac:dyDescent="0.25"/>
    <row r="227666" s="12" customFormat="1" x14ac:dyDescent="0.25"/>
    <row r="227667" s="12" customFormat="1" x14ac:dyDescent="0.25"/>
    <row r="227668" s="12" customFormat="1" x14ac:dyDescent="0.25"/>
    <row r="227669" s="12" customFormat="1" x14ac:dyDescent="0.25"/>
    <row r="227670" s="12" customFormat="1" x14ac:dyDescent="0.25"/>
    <row r="227671" s="12" customFormat="1" x14ac:dyDescent="0.25"/>
    <row r="227672" s="12" customFormat="1" x14ac:dyDescent="0.25"/>
    <row r="227673" s="12" customFormat="1" x14ac:dyDescent="0.25"/>
    <row r="227674" s="12" customFormat="1" x14ac:dyDescent="0.25"/>
    <row r="227675" s="12" customFormat="1" x14ac:dyDescent="0.25"/>
    <row r="227676" s="12" customFormat="1" x14ac:dyDescent="0.25"/>
    <row r="227677" s="12" customFormat="1" x14ac:dyDescent="0.25"/>
    <row r="227678" s="12" customFormat="1" x14ac:dyDescent="0.25"/>
    <row r="227679" s="12" customFormat="1" x14ac:dyDescent="0.25"/>
    <row r="227680" s="12" customFormat="1" x14ac:dyDescent="0.25"/>
    <row r="227681" s="12" customFormat="1" x14ac:dyDescent="0.25"/>
    <row r="227682" s="12" customFormat="1" x14ac:dyDescent="0.25"/>
    <row r="227683" s="12" customFormat="1" x14ac:dyDescent="0.25"/>
    <row r="227684" s="12" customFormat="1" x14ac:dyDescent="0.25"/>
    <row r="227685" s="12" customFormat="1" x14ac:dyDescent="0.25"/>
    <row r="227686" s="12" customFormat="1" x14ac:dyDescent="0.25"/>
    <row r="227687" s="12" customFormat="1" x14ac:dyDescent="0.25"/>
    <row r="227688" s="12" customFormat="1" x14ac:dyDescent="0.25"/>
    <row r="227689" s="12" customFormat="1" x14ac:dyDescent="0.25"/>
    <row r="227690" s="12" customFormat="1" x14ac:dyDescent="0.25"/>
    <row r="227691" s="12" customFormat="1" x14ac:dyDescent="0.25"/>
    <row r="227692" s="12" customFormat="1" x14ac:dyDescent="0.25"/>
    <row r="227693" s="12" customFormat="1" x14ac:dyDescent="0.25"/>
    <row r="227694" s="12" customFormat="1" x14ac:dyDescent="0.25"/>
    <row r="227695" s="12" customFormat="1" x14ac:dyDescent="0.25"/>
    <row r="227696" s="12" customFormat="1" x14ac:dyDescent="0.25"/>
    <row r="227697" s="12" customFormat="1" x14ac:dyDescent="0.25"/>
    <row r="227698" s="12" customFormat="1" x14ac:dyDescent="0.25"/>
    <row r="227699" s="12" customFormat="1" x14ac:dyDescent="0.25"/>
    <row r="227700" s="12" customFormat="1" x14ac:dyDescent="0.25"/>
    <row r="227701" s="12" customFormat="1" x14ac:dyDescent="0.25"/>
    <row r="227702" s="12" customFormat="1" x14ac:dyDescent="0.25"/>
    <row r="227703" s="12" customFormat="1" x14ac:dyDescent="0.25"/>
    <row r="227704" s="12" customFormat="1" x14ac:dyDescent="0.25"/>
    <row r="227705" s="12" customFormat="1" x14ac:dyDescent="0.25"/>
    <row r="227706" s="12" customFormat="1" x14ac:dyDescent="0.25"/>
    <row r="227707" s="12" customFormat="1" x14ac:dyDescent="0.25"/>
    <row r="227708" s="12" customFormat="1" x14ac:dyDescent="0.25"/>
    <row r="227709" s="12" customFormat="1" x14ac:dyDescent="0.25"/>
    <row r="227710" s="12" customFormat="1" x14ac:dyDescent="0.25"/>
    <row r="227711" s="12" customFormat="1" x14ac:dyDescent="0.25"/>
    <row r="227712" s="12" customFormat="1" x14ac:dyDescent="0.25"/>
    <row r="227713" s="12" customFormat="1" x14ac:dyDescent="0.25"/>
    <row r="227714" s="12" customFormat="1" x14ac:dyDescent="0.25"/>
    <row r="227715" s="12" customFormat="1" x14ac:dyDescent="0.25"/>
    <row r="227716" s="12" customFormat="1" x14ac:dyDescent="0.25"/>
    <row r="227717" s="12" customFormat="1" x14ac:dyDescent="0.25"/>
    <row r="227718" s="12" customFormat="1" x14ac:dyDescent="0.25"/>
    <row r="227719" s="12" customFormat="1" x14ac:dyDescent="0.25"/>
    <row r="227720" s="12" customFormat="1" x14ac:dyDescent="0.25"/>
    <row r="227721" s="12" customFormat="1" x14ac:dyDescent="0.25"/>
    <row r="227722" s="12" customFormat="1" x14ac:dyDescent="0.25"/>
    <row r="227723" s="12" customFormat="1" x14ac:dyDescent="0.25"/>
    <row r="227724" s="12" customFormat="1" x14ac:dyDescent="0.25"/>
    <row r="227725" s="12" customFormat="1" x14ac:dyDescent="0.25"/>
    <row r="227726" s="12" customFormat="1" x14ac:dyDescent="0.25"/>
    <row r="227727" s="12" customFormat="1" x14ac:dyDescent="0.25"/>
    <row r="227728" s="12" customFormat="1" x14ac:dyDescent="0.25"/>
    <row r="227729" s="12" customFormat="1" x14ac:dyDescent="0.25"/>
    <row r="227730" s="12" customFormat="1" x14ac:dyDescent="0.25"/>
    <row r="227731" s="12" customFormat="1" x14ac:dyDescent="0.25"/>
    <row r="227732" s="12" customFormat="1" x14ac:dyDescent="0.25"/>
    <row r="227733" s="12" customFormat="1" x14ac:dyDescent="0.25"/>
    <row r="227734" s="12" customFormat="1" x14ac:dyDescent="0.25"/>
    <row r="227735" s="12" customFormat="1" x14ac:dyDescent="0.25"/>
    <row r="227736" s="12" customFormat="1" x14ac:dyDescent="0.25"/>
    <row r="227737" s="12" customFormat="1" x14ac:dyDescent="0.25"/>
    <row r="227738" s="12" customFormat="1" x14ac:dyDescent="0.25"/>
    <row r="227739" s="12" customFormat="1" x14ac:dyDescent="0.25"/>
    <row r="227740" s="12" customFormat="1" x14ac:dyDescent="0.25"/>
    <row r="227741" s="12" customFormat="1" x14ac:dyDescent="0.25"/>
    <row r="227742" s="12" customFormat="1" x14ac:dyDescent="0.25"/>
    <row r="227743" s="12" customFormat="1" x14ac:dyDescent="0.25"/>
    <row r="227744" s="12" customFormat="1" x14ac:dyDescent="0.25"/>
    <row r="227745" s="12" customFormat="1" x14ac:dyDescent="0.25"/>
    <row r="227746" s="12" customFormat="1" x14ac:dyDescent="0.25"/>
    <row r="227747" s="12" customFormat="1" x14ac:dyDescent="0.25"/>
    <row r="227748" s="12" customFormat="1" x14ac:dyDescent="0.25"/>
    <row r="227749" s="12" customFormat="1" x14ac:dyDescent="0.25"/>
    <row r="227750" s="12" customFormat="1" x14ac:dyDescent="0.25"/>
    <row r="227751" s="12" customFormat="1" x14ac:dyDescent="0.25"/>
    <row r="227752" s="12" customFormat="1" x14ac:dyDescent="0.25"/>
    <row r="227753" s="12" customFormat="1" x14ac:dyDescent="0.25"/>
    <row r="227754" s="12" customFormat="1" x14ac:dyDescent="0.25"/>
    <row r="227755" s="12" customFormat="1" x14ac:dyDescent="0.25"/>
    <row r="227756" s="12" customFormat="1" x14ac:dyDescent="0.25"/>
    <row r="227757" s="12" customFormat="1" x14ac:dyDescent="0.25"/>
    <row r="227758" s="12" customFormat="1" x14ac:dyDescent="0.25"/>
    <row r="227759" s="12" customFormat="1" x14ac:dyDescent="0.25"/>
    <row r="227760" s="12" customFormat="1" x14ac:dyDescent="0.25"/>
    <row r="227761" s="12" customFormat="1" x14ac:dyDescent="0.25"/>
    <row r="227762" s="12" customFormat="1" x14ac:dyDescent="0.25"/>
    <row r="227763" s="12" customFormat="1" x14ac:dyDescent="0.25"/>
    <row r="227764" s="12" customFormat="1" x14ac:dyDescent="0.25"/>
    <row r="227765" s="12" customFormat="1" x14ac:dyDescent="0.25"/>
    <row r="227766" s="12" customFormat="1" x14ac:dyDescent="0.25"/>
    <row r="227767" s="12" customFormat="1" x14ac:dyDescent="0.25"/>
    <row r="227768" s="12" customFormat="1" x14ac:dyDescent="0.25"/>
    <row r="227769" s="12" customFormat="1" x14ac:dyDescent="0.25"/>
    <row r="227770" s="12" customFormat="1" x14ac:dyDescent="0.25"/>
    <row r="227771" s="12" customFormat="1" x14ac:dyDescent="0.25"/>
    <row r="227772" s="12" customFormat="1" x14ac:dyDescent="0.25"/>
    <row r="227773" s="12" customFormat="1" x14ac:dyDescent="0.25"/>
    <row r="227774" s="12" customFormat="1" x14ac:dyDescent="0.25"/>
    <row r="227775" s="12" customFormat="1" x14ac:dyDescent="0.25"/>
    <row r="227776" s="12" customFormat="1" x14ac:dyDescent="0.25"/>
    <row r="227777" s="12" customFormat="1" x14ac:dyDescent="0.25"/>
    <row r="227778" s="12" customFormat="1" x14ac:dyDescent="0.25"/>
    <row r="227779" s="12" customFormat="1" x14ac:dyDescent="0.25"/>
    <row r="227780" s="12" customFormat="1" x14ac:dyDescent="0.25"/>
    <row r="227781" s="12" customFormat="1" x14ac:dyDescent="0.25"/>
    <row r="227782" s="12" customFormat="1" x14ac:dyDescent="0.25"/>
    <row r="227783" s="12" customFormat="1" x14ac:dyDescent="0.25"/>
    <row r="227784" s="12" customFormat="1" x14ac:dyDescent="0.25"/>
    <row r="227785" s="12" customFormat="1" x14ac:dyDescent="0.25"/>
    <row r="227786" s="12" customFormat="1" x14ac:dyDescent="0.25"/>
    <row r="227787" s="12" customFormat="1" x14ac:dyDescent="0.25"/>
    <row r="227788" s="12" customFormat="1" x14ac:dyDescent="0.25"/>
    <row r="227789" s="12" customFormat="1" x14ac:dyDescent="0.25"/>
    <row r="227790" s="12" customFormat="1" x14ac:dyDescent="0.25"/>
    <row r="227791" s="12" customFormat="1" x14ac:dyDescent="0.25"/>
    <row r="227792" s="12" customFormat="1" x14ac:dyDescent="0.25"/>
    <row r="227793" s="12" customFormat="1" x14ac:dyDescent="0.25"/>
    <row r="227794" s="12" customFormat="1" x14ac:dyDescent="0.25"/>
    <row r="227795" s="12" customFormat="1" x14ac:dyDescent="0.25"/>
    <row r="227796" s="12" customFormat="1" x14ac:dyDescent="0.25"/>
    <row r="227797" s="12" customFormat="1" x14ac:dyDescent="0.25"/>
    <row r="227798" s="12" customFormat="1" x14ac:dyDescent="0.25"/>
    <row r="227799" s="12" customFormat="1" x14ac:dyDescent="0.25"/>
    <row r="227800" s="12" customFormat="1" x14ac:dyDescent="0.25"/>
    <row r="227801" s="12" customFormat="1" x14ac:dyDescent="0.25"/>
    <row r="227802" s="12" customFormat="1" x14ac:dyDescent="0.25"/>
    <row r="227803" s="12" customFormat="1" x14ac:dyDescent="0.25"/>
    <row r="227804" s="12" customFormat="1" x14ac:dyDescent="0.25"/>
    <row r="227805" s="12" customFormat="1" x14ac:dyDescent="0.25"/>
    <row r="227806" s="12" customFormat="1" x14ac:dyDescent="0.25"/>
    <row r="227807" s="12" customFormat="1" x14ac:dyDescent="0.25"/>
    <row r="227808" s="12" customFormat="1" x14ac:dyDescent="0.25"/>
    <row r="227809" s="12" customFormat="1" x14ac:dyDescent="0.25"/>
    <row r="227810" s="12" customFormat="1" x14ac:dyDescent="0.25"/>
    <row r="227811" s="12" customFormat="1" x14ac:dyDescent="0.25"/>
    <row r="227812" s="12" customFormat="1" x14ac:dyDescent="0.25"/>
    <row r="227813" s="12" customFormat="1" x14ac:dyDescent="0.25"/>
    <row r="227814" s="12" customFormat="1" x14ac:dyDescent="0.25"/>
    <row r="227815" s="12" customFormat="1" x14ac:dyDescent="0.25"/>
    <row r="227816" s="12" customFormat="1" x14ac:dyDescent="0.25"/>
    <row r="227817" s="12" customFormat="1" x14ac:dyDescent="0.25"/>
    <row r="227818" s="12" customFormat="1" x14ac:dyDescent="0.25"/>
    <row r="227819" s="12" customFormat="1" x14ac:dyDescent="0.25"/>
    <row r="227820" s="12" customFormat="1" x14ac:dyDescent="0.25"/>
    <row r="227821" s="12" customFormat="1" x14ac:dyDescent="0.25"/>
    <row r="227822" s="12" customFormat="1" x14ac:dyDescent="0.25"/>
    <row r="227823" s="12" customFormat="1" x14ac:dyDescent="0.25"/>
    <row r="227824" s="12" customFormat="1" x14ac:dyDescent="0.25"/>
    <row r="227825" s="12" customFormat="1" x14ac:dyDescent="0.25"/>
    <row r="227826" s="12" customFormat="1" x14ac:dyDescent="0.25"/>
    <row r="227827" s="12" customFormat="1" x14ac:dyDescent="0.25"/>
    <row r="227828" s="12" customFormat="1" x14ac:dyDescent="0.25"/>
    <row r="227829" s="12" customFormat="1" x14ac:dyDescent="0.25"/>
    <row r="227830" s="12" customFormat="1" x14ac:dyDescent="0.25"/>
    <row r="227831" s="12" customFormat="1" x14ac:dyDescent="0.25"/>
    <row r="227832" s="12" customFormat="1" x14ac:dyDescent="0.25"/>
    <row r="227833" s="12" customFormat="1" x14ac:dyDescent="0.25"/>
    <row r="227834" s="12" customFormat="1" x14ac:dyDescent="0.25"/>
    <row r="227835" s="12" customFormat="1" x14ac:dyDescent="0.25"/>
    <row r="227836" s="12" customFormat="1" x14ac:dyDescent="0.25"/>
    <row r="227837" s="12" customFormat="1" x14ac:dyDescent="0.25"/>
    <row r="227838" s="12" customFormat="1" x14ac:dyDescent="0.25"/>
    <row r="227839" s="12" customFormat="1" x14ac:dyDescent="0.25"/>
    <row r="227840" s="12" customFormat="1" x14ac:dyDescent="0.25"/>
    <row r="227841" s="12" customFormat="1" x14ac:dyDescent="0.25"/>
    <row r="227842" s="12" customFormat="1" x14ac:dyDescent="0.25"/>
    <row r="227843" s="12" customFormat="1" x14ac:dyDescent="0.25"/>
    <row r="227844" s="12" customFormat="1" x14ac:dyDescent="0.25"/>
    <row r="227845" s="12" customFormat="1" x14ac:dyDescent="0.25"/>
    <row r="227846" s="12" customFormat="1" x14ac:dyDescent="0.25"/>
    <row r="227847" s="12" customFormat="1" x14ac:dyDescent="0.25"/>
    <row r="227848" s="12" customFormat="1" x14ac:dyDescent="0.25"/>
    <row r="227849" s="12" customFormat="1" x14ac:dyDescent="0.25"/>
    <row r="227850" s="12" customFormat="1" x14ac:dyDescent="0.25"/>
    <row r="227851" s="12" customFormat="1" x14ac:dyDescent="0.25"/>
    <row r="227852" s="12" customFormat="1" x14ac:dyDescent="0.25"/>
    <row r="227853" s="12" customFormat="1" x14ac:dyDescent="0.25"/>
    <row r="227854" s="12" customFormat="1" x14ac:dyDescent="0.25"/>
    <row r="227855" s="12" customFormat="1" x14ac:dyDescent="0.25"/>
    <row r="227856" s="12" customFormat="1" x14ac:dyDescent="0.25"/>
    <row r="227857" s="12" customFormat="1" x14ac:dyDescent="0.25"/>
    <row r="227858" s="12" customFormat="1" x14ac:dyDescent="0.25"/>
    <row r="227859" s="12" customFormat="1" x14ac:dyDescent="0.25"/>
    <row r="227860" s="12" customFormat="1" x14ac:dyDescent="0.25"/>
    <row r="227861" s="12" customFormat="1" x14ac:dyDescent="0.25"/>
    <row r="227862" s="12" customFormat="1" x14ac:dyDescent="0.25"/>
    <row r="227863" s="12" customFormat="1" x14ac:dyDescent="0.25"/>
    <row r="227864" s="12" customFormat="1" x14ac:dyDescent="0.25"/>
    <row r="227865" s="12" customFormat="1" x14ac:dyDescent="0.25"/>
    <row r="227866" s="12" customFormat="1" x14ac:dyDescent="0.25"/>
    <row r="227867" s="12" customFormat="1" x14ac:dyDescent="0.25"/>
    <row r="227868" s="12" customFormat="1" x14ac:dyDescent="0.25"/>
    <row r="227869" s="12" customFormat="1" x14ac:dyDescent="0.25"/>
    <row r="227870" s="12" customFormat="1" x14ac:dyDescent="0.25"/>
    <row r="227871" s="12" customFormat="1" x14ac:dyDescent="0.25"/>
    <row r="227872" s="12" customFormat="1" x14ac:dyDescent="0.25"/>
    <row r="227873" s="12" customFormat="1" x14ac:dyDescent="0.25"/>
    <row r="227874" s="12" customFormat="1" x14ac:dyDescent="0.25"/>
    <row r="227875" s="12" customFormat="1" x14ac:dyDescent="0.25"/>
    <row r="227876" s="12" customFormat="1" x14ac:dyDescent="0.25"/>
    <row r="227877" s="12" customFormat="1" x14ac:dyDescent="0.25"/>
    <row r="227878" s="12" customFormat="1" x14ac:dyDescent="0.25"/>
    <row r="227879" s="12" customFormat="1" x14ac:dyDescent="0.25"/>
    <row r="227880" s="12" customFormat="1" x14ac:dyDescent="0.25"/>
    <row r="227881" s="12" customFormat="1" x14ac:dyDescent="0.25"/>
    <row r="227882" s="12" customFormat="1" x14ac:dyDescent="0.25"/>
    <row r="227883" s="12" customFormat="1" x14ac:dyDescent="0.25"/>
    <row r="227884" s="12" customFormat="1" x14ac:dyDescent="0.25"/>
    <row r="227885" s="12" customFormat="1" x14ac:dyDescent="0.25"/>
    <row r="227886" s="12" customFormat="1" x14ac:dyDescent="0.25"/>
    <row r="227887" s="12" customFormat="1" x14ac:dyDescent="0.25"/>
    <row r="227888" s="12" customFormat="1" x14ac:dyDescent="0.25"/>
    <row r="227889" s="12" customFormat="1" x14ac:dyDescent="0.25"/>
    <row r="227890" s="12" customFormat="1" x14ac:dyDescent="0.25"/>
    <row r="227891" s="12" customFormat="1" x14ac:dyDescent="0.25"/>
    <row r="227892" s="12" customFormat="1" x14ac:dyDescent="0.25"/>
    <row r="227893" s="12" customFormat="1" x14ac:dyDescent="0.25"/>
    <row r="227894" s="12" customFormat="1" x14ac:dyDescent="0.25"/>
    <row r="227895" s="12" customFormat="1" x14ac:dyDescent="0.25"/>
    <row r="227896" s="12" customFormat="1" x14ac:dyDescent="0.25"/>
    <row r="227897" s="12" customFormat="1" x14ac:dyDescent="0.25"/>
    <row r="227898" s="12" customFormat="1" x14ac:dyDescent="0.25"/>
    <row r="227899" s="12" customFormat="1" x14ac:dyDescent="0.25"/>
    <row r="227900" s="12" customFormat="1" x14ac:dyDescent="0.25"/>
    <row r="227901" s="12" customFormat="1" x14ac:dyDescent="0.25"/>
    <row r="227902" s="12" customFormat="1" x14ac:dyDescent="0.25"/>
    <row r="227903" s="12" customFormat="1" x14ac:dyDescent="0.25"/>
    <row r="227904" s="12" customFormat="1" x14ac:dyDescent="0.25"/>
    <row r="227905" s="12" customFormat="1" x14ac:dyDescent="0.25"/>
    <row r="227906" s="12" customFormat="1" x14ac:dyDescent="0.25"/>
    <row r="227907" s="12" customFormat="1" x14ac:dyDescent="0.25"/>
    <row r="227908" s="12" customFormat="1" x14ac:dyDescent="0.25"/>
    <row r="227909" s="12" customFormat="1" x14ac:dyDescent="0.25"/>
    <row r="227910" s="12" customFormat="1" x14ac:dyDescent="0.25"/>
    <row r="227911" s="12" customFormat="1" x14ac:dyDescent="0.25"/>
    <row r="227912" s="12" customFormat="1" x14ac:dyDescent="0.25"/>
    <row r="227913" s="12" customFormat="1" x14ac:dyDescent="0.25"/>
    <row r="227914" s="12" customFormat="1" x14ac:dyDescent="0.25"/>
    <row r="227915" s="12" customFormat="1" x14ac:dyDescent="0.25"/>
    <row r="227916" s="12" customFormat="1" x14ac:dyDescent="0.25"/>
    <row r="227917" s="12" customFormat="1" x14ac:dyDescent="0.25"/>
    <row r="227918" s="12" customFormat="1" x14ac:dyDescent="0.25"/>
    <row r="227919" s="12" customFormat="1" x14ac:dyDescent="0.25"/>
    <row r="227920" s="12" customFormat="1" x14ac:dyDescent="0.25"/>
    <row r="227921" s="12" customFormat="1" x14ac:dyDescent="0.25"/>
    <row r="227922" s="12" customFormat="1" x14ac:dyDescent="0.25"/>
    <row r="227923" s="12" customFormat="1" x14ac:dyDescent="0.25"/>
    <row r="227924" s="12" customFormat="1" x14ac:dyDescent="0.25"/>
    <row r="227925" s="12" customFormat="1" x14ac:dyDescent="0.25"/>
    <row r="227926" s="12" customFormat="1" x14ac:dyDescent="0.25"/>
    <row r="227927" s="12" customFormat="1" x14ac:dyDescent="0.25"/>
    <row r="227928" s="12" customFormat="1" x14ac:dyDescent="0.25"/>
    <row r="227929" s="12" customFormat="1" x14ac:dyDescent="0.25"/>
    <row r="227930" s="12" customFormat="1" x14ac:dyDescent="0.25"/>
    <row r="227931" s="12" customFormat="1" x14ac:dyDescent="0.25"/>
    <row r="227932" s="12" customFormat="1" x14ac:dyDescent="0.25"/>
    <row r="227933" s="12" customFormat="1" x14ac:dyDescent="0.25"/>
    <row r="227934" s="12" customFormat="1" x14ac:dyDescent="0.25"/>
    <row r="227935" s="12" customFormat="1" x14ac:dyDescent="0.25"/>
    <row r="227936" s="12" customFormat="1" x14ac:dyDescent="0.25"/>
    <row r="227937" s="12" customFormat="1" x14ac:dyDescent="0.25"/>
    <row r="227938" s="12" customFormat="1" x14ac:dyDescent="0.25"/>
    <row r="227939" s="12" customFormat="1" x14ac:dyDescent="0.25"/>
    <row r="227940" s="12" customFormat="1" x14ac:dyDescent="0.25"/>
    <row r="227941" s="12" customFormat="1" x14ac:dyDescent="0.25"/>
    <row r="227942" s="12" customFormat="1" x14ac:dyDescent="0.25"/>
    <row r="227943" s="12" customFormat="1" x14ac:dyDescent="0.25"/>
    <row r="227944" s="12" customFormat="1" x14ac:dyDescent="0.25"/>
    <row r="227945" s="12" customFormat="1" x14ac:dyDescent="0.25"/>
    <row r="227946" s="12" customFormat="1" x14ac:dyDescent="0.25"/>
    <row r="227947" s="12" customFormat="1" x14ac:dyDescent="0.25"/>
    <row r="227948" s="12" customFormat="1" x14ac:dyDescent="0.25"/>
    <row r="227949" s="12" customFormat="1" x14ac:dyDescent="0.25"/>
    <row r="227950" s="12" customFormat="1" x14ac:dyDescent="0.25"/>
    <row r="227951" s="12" customFormat="1" x14ac:dyDescent="0.25"/>
    <row r="227952" s="12" customFormat="1" x14ac:dyDescent="0.25"/>
    <row r="227953" s="12" customFormat="1" x14ac:dyDescent="0.25"/>
    <row r="227954" s="12" customFormat="1" x14ac:dyDescent="0.25"/>
    <row r="227955" s="12" customFormat="1" x14ac:dyDescent="0.25"/>
    <row r="227956" s="12" customFormat="1" x14ac:dyDescent="0.25"/>
    <row r="227957" s="12" customFormat="1" x14ac:dyDescent="0.25"/>
    <row r="227958" s="12" customFormat="1" x14ac:dyDescent="0.25"/>
    <row r="227959" s="12" customFormat="1" x14ac:dyDescent="0.25"/>
    <row r="227960" s="12" customFormat="1" x14ac:dyDescent="0.25"/>
    <row r="227961" s="12" customFormat="1" x14ac:dyDescent="0.25"/>
    <row r="227962" s="12" customFormat="1" x14ac:dyDescent="0.25"/>
    <row r="227963" s="12" customFormat="1" x14ac:dyDescent="0.25"/>
    <row r="227964" s="12" customFormat="1" x14ac:dyDescent="0.25"/>
    <row r="227965" s="12" customFormat="1" x14ac:dyDescent="0.25"/>
    <row r="227966" s="12" customFormat="1" x14ac:dyDescent="0.25"/>
    <row r="227967" s="12" customFormat="1" x14ac:dyDescent="0.25"/>
    <row r="227968" s="12" customFormat="1" x14ac:dyDescent="0.25"/>
    <row r="227969" s="12" customFormat="1" x14ac:dyDescent="0.25"/>
    <row r="227970" s="12" customFormat="1" x14ac:dyDescent="0.25"/>
    <row r="227971" s="12" customFormat="1" x14ac:dyDescent="0.25"/>
    <row r="227972" s="12" customFormat="1" x14ac:dyDescent="0.25"/>
    <row r="227973" s="12" customFormat="1" x14ac:dyDescent="0.25"/>
    <row r="227974" s="12" customFormat="1" x14ac:dyDescent="0.25"/>
    <row r="227975" s="12" customFormat="1" x14ac:dyDescent="0.25"/>
    <row r="227976" s="12" customFormat="1" x14ac:dyDescent="0.25"/>
    <row r="227977" s="12" customFormat="1" x14ac:dyDescent="0.25"/>
    <row r="227978" s="12" customFormat="1" x14ac:dyDescent="0.25"/>
    <row r="227979" s="12" customFormat="1" x14ac:dyDescent="0.25"/>
    <row r="227980" s="12" customFormat="1" x14ac:dyDescent="0.25"/>
    <row r="227981" s="12" customFormat="1" x14ac:dyDescent="0.25"/>
    <row r="227982" s="12" customFormat="1" x14ac:dyDescent="0.25"/>
    <row r="227983" s="12" customFormat="1" x14ac:dyDescent="0.25"/>
    <row r="227984" s="12" customFormat="1" x14ac:dyDescent="0.25"/>
    <row r="227985" s="12" customFormat="1" x14ac:dyDescent="0.25"/>
    <row r="227986" s="12" customFormat="1" x14ac:dyDescent="0.25"/>
    <row r="227987" s="12" customFormat="1" x14ac:dyDescent="0.25"/>
    <row r="227988" s="12" customFormat="1" x14ac:dyDescent="0.25"/>
    <row r="227989" s="12" customFormat="1" x14ac:dyDescent="0.25"/>
    <row r="227990" s="12" customFormat="1" x14ac:dyDescent="0.25"/>
    <row r="227991" s="12" customFormat="1" x14ac:dyDescent="0.25"/>
    <row r="227992" s="12" customFormat="1" x14ac:dyDescent="0.25"/>
    <row r="227993" s="12" customFormat="1" x14ac:dyDescent="0.25"/>
    <row r="227994" s="12" customFormat="1" x14ac:dyDescent="0.25"/>
    <row r="227995" s="12" customFormat="1" x14ac:dyDescent="0.25"/>
    <row r="227996" s="12" customFormat="1" x14ac:dyDescent="0.25"/>
    <row r="227997" s="12" customFormat="1" x14ac:dyDescent="0.25"/>
    <row r="227998" s="12" customFormat="1" x14ac:dyDescent="0.25"/>
    <row r="227999" s="12" customFormat="1" x14ac:dyDescent="0.25"/>
    <row r="228000" s="12" customFormat="1" x14ac:dyDescent="0.25"/>
    <row r="228001" s="12" customFormat="1" x14ac:dyDescent="0.25"/>
    <row r="228002" s="12" customFormat="1" x14ac:dyDescent="0.25"/>
    <row r="228003" s="12" customFormat="1" x14ac:dyDescent="0.25"/>
    <row r="228004" s="12" customFormat="1" x14ac:dyDescent="0.25"/>
    <row r="228005" s="12" customFormat="1" x14ac:dyDescent="0.25"/>
    <row r="228006" s="12" customFormat="1" x14ac:dyDescent="0.25"/>
    <row r="228007" s="12" customFormat="1" x14ac:dyDescent="0.25"/>
    <row r="228008" s="12" customFormat="1" x14ac:dyDescent="0.25"/>
    <row r="228009" s="12" customFormat="1" x14ac:dyDescent="0.25"/>
    <row r="228010" s="12" customFormat="1" x14ac:dyDescent="0.25"/>
    <row r="228011" s="12" customFormat="1" x14ac:dyDescent="0.25"/>
    <row r="228012" s="12" customFormat="1" x14ac:dyDescent="0.25"/>
    <row r="228013" s="12" customFormat="1" x14ac:dyDescent="0.25"/>
    <row r="228014" s="12" customFormat="1" x14ac:dyDescent="0.25"/>
    <row r="228015" s="12" customFormat="1" x14ac:dyDescent="0.25"/>
    <row r="228016" s="12" customFormat="1" x14ac:dyDescent="0.25"/>
    <row r="228017" s="12" customFormat="1" x14ac:dyDescent="0.25"/>
    <row r="228018" s="12" customFormat="1" x14ac:dyDescent="0.25"/>
    <row r="228019" s="12" customFormat="1" x14ac:dyDescent="0.25"/>
    <row r="228020" s="12" customFormat="1" x14ac:dyDescent="0.25"/>
    <row r="228021" s="12" customFormat="1" x14ac:dyDescent="0.25"/>
    <row r="228022" s="12" customFormat="1" x14ac:dyDescent="0.25"/>
    <row r="228023" s="12" customFormat="1" x14ac:dyDescent="0.25"/>
    <row r="228024" s="12" customFormat="1" x14ac:dyDescent="0.25"/>
    <row r="228025" s="12" customFormat="1" x14ac:dyDescent="0.25"/>
    <row r="228026" s="12" customFormat="1" x14ac:dyDescent="0.25"/>
    <row r="228027" s="12" customFormat="1" x14ac:dyDescent="0.25"/>
    <row r="228028" s="12" customFormat="1" x14ac:dyDescent="0.25"/>
    <row r="228029" s="12" customFormat="1" x14ac:dyDescent="0.25"/>
    <row r="228030" s="12" customFormat="1" x14ac:dyDescent="0.25"/>
    <row r="228031" s="12" customFormat="1" x14ac:dyDescent="0.25"/>
    <row r="228032" s="12" customFormat="1" x14ac:dyDescent="0.25"/>
    <row r="228033" s="12" customFormat="1" x14ac:dyDescent="0.25"/>
    <row r="228034" s="12" customFormat="1" x14ac:dyDescent="0.25"/>
    <row r="228035" s="12" customFormat="1" x14ac:dyDescent="0.25"/>
    <row r="228036" s="12" customFormat="1" x14ac:dyDescent="0.25"/>
    <row r="228037" s="12" customFormat="1" x14ac:dyDescent="0.25"/>
    <row r="228038" s="12" customFormat="1" x14ac:dyDescent="0.25"/>
    <row r="228039" s="12" customFormat="1" x14ac:dyDescent="0.25"/>
    <row r="228040" s="12" customFormat="1" x14ac:dyDescent="0.25"/>
    <row r="228041" s="12" customFormat="1" x14ac:dyDescent="0.25"/>
    <row r="228042" s="12" customFormat="1" x14ac:dyDescent="0.25"/>
    <row r="228043" s="12" customFormat="1" x14ac:dyDescent="0.25"/>
    <row r="228044" s="12" customFormat="1" x14ac:dyDescent="0.25"/>
    <row r="228045" s="12" customFormat="1" x14ac:dyDescent="0.25"/>
    <row r="228046" s="12" customFormat="1" x14ac:dyDescent="0.25"/>
    <row r="228047" s="12" customFormat="1" x14ac:dyDescent="0.25"/>
    <row r="228048" s="12" customFormat="1" x14ac:dyDescent="0.25"/>
    <row r="228049" s="12" customFormat="1" x14ac:dyDescent="0.25"/>
    <row r="228050" s="12" customFormat="1" x14ac:dyDescent="0.25"/>
    <row r="228051" s="12" customFormat="1" x14ac:dyDescent="0.25"/>
    <row r="228052" s="12" customFormat="1" x14ac:dyDescent="0.25"/>
    <row r="228053" s="12" customFormat="1" x14ac:dyDescent="0.25"/>
    <row r="228054" s="12" customFormat="1" x14ac:dyDescent="0.25"/>
    <row r="228055" s="12" customFormat="1" x14ac:dyDescent="0.25"/>
    <row r="228056" s="12" customFormat="1" x14ac:dyDescent="0.25"/>
    <row r="228057" s="12" customFormat="1" x14ac:dyDescent="0.25"/>
    <row r="228058" s="12" customFormat="1" x14ac:dyDescent="0.25"/>
    <row r="228059" s="12" customFormat="1" x14ac:dyDescent="0.25"/>
    <row r="228060" s="12" customFormat="1" x14ac:dyDescent="0.25"/>
    <row r="228061" s="12" customFormat="1" x14ac:dyDescent="0.25"/>
    <row r="228062" s="12" customFormat="1" x14ac:dyDescent="0.25"/>
    <row r="228063" s="12" customFormat="1" x14ac:dyDescent="0.25"/>
    <row r="228064" s="12" customFormat="1" x14ac:dyDescent="0.25"/>
    <row r="228065" s="12" customFormat="1" x14ac:dyDescent="0.25"/>
    <row r="228066" s="12" customFormat="1" x14ac:dyDescent="0.25"/>
    <row r="228067" s="12" customFormat="1" x14ac:dyDescent="0.25"/>
    <row r="228068" s="12" customFormat="1" x14ac:dyDescent="0.25"/>
    <row r="228069" s="12" customFormat="1" x14ac:dyDescent="0.25"/>
    <row r="228070" s="12" customFormat="1" x14ac:dyDescent="0.25"/>
    <row r="228071" s="12" customFormat="1" x14ac:dyDescent="0.25"/>
    <row r="228072" s="12" customFormat="1" x14ac:dyDescent="0.25"/>
    <row r="228073" s="12" customFormat="1" x14ac:dyDescent="0.25"/>
    <row r="228074" s="12" customFormat="1" x14ac:dyDescent="0.25"/>
    <row r="228075" s="12" customFormat="1" x14ac:dyDescent="0.25"/>
    <row r="228076" s="12" customFormat="1" x14ac:dyDescent="0.25"/>
    <row r="228077" s="12" customFormat="1" x14ac:dyDescent="0.25"/>
    <row r="228078" s="12" customFormat="1" x14ac:dyDescent="0.25"/>
    <row r="228079" s="12" customFormat="1" x14ac:dyDescent="0.25"/>
    <row r="228080" s="12" customFormat="1" x14ac:dyDescent="0.25"/>
    <row r="228081" s="12" customFormat="1" x14ac:dyDescent="0.25"/>
    <row r="228082" s="12" customFormat="1" x14ac:dyDescent="0.25"/>
    <row r="228083" s="12" customFormat="1" x14ac:dyDescent="0.25"/>
    <row r="228084" s="12" customFormat="1" x14ac:dyDescent="0.25"/>
    <row r="228085" s="12" customFormat="1" x14ac:dyDescent="0.25"/>
    <row r="228086" s="12" customFormat="1" x14ac:dyDescent="0.25"/>
    <row r="228087" s="12" customFormat="1" x14ac:dyDescent="0.25"/>
    <row r="228088" s="12" customFormat="1" x14ac:dyDescent="0.25"/>
    <row r="228089" s="12" customFormat="1" x14ac:dyDescent="0.25"/>
    <row r="228090" s="12" customFormat="1" x14ac:dyDescent="0.25"/>
    <row r="228091" s="12" customFormat="1" x14ac:dyDescent="0.25"/>
    <row r="228092" s="12" customFormat="1" x14ac:dyDescent="0.25"/>
    <row r="228093" s="12" customFormat="1" x14ac:dyDescent="0.25"/>
    <row r="228094" s="12" customFormat="1" x14ac:dyDescent="0.25"/>
    <row r="228095" s="12" customFormat="1" x14ac:dyDescent="0.25"/>
    <row r="228096" s="12" customFormat="1" x14ac:dyDescent="0.25"/>
    <row r="228097" s="12" customFormat="1" x14ac:dyDescent="0.25"/>
    <row r="228098" s="12" customFormat="1" x14ac:dyDescent="0.25"/>
    <row r="228099" s="12" customFormat="1" x14ac:dyDescent="0.25"/>
    <row r="228100" s="12" customFormat="1" x14ac:dyDescent="0.25"/>
    <row r="228101" s="12" customFormat="1" x14ac:dyDescent="0.25"/>
    <row r="228102" s="12" customFormat="1" x14ac:dyDescent="0.25"/>
    <row r="228103" s="12" customFormat="1" x14ac:dyDescent="0.25"/>
    <row r="228104" s="12" customFormat="1" x14ac:dyDescent="0.25"/>
    <row r="228105" s="12" customFormat="1" x14ac:dyDescent="0.25"/>
    <row r="228106" s="12" customFormat="1" x14ac:dyDescent="0.25"/>
    <row r="228107" s="12" customFormat="1" x14ac:dyDescent="0.25"/>
    <row r="228108" s="12" customFormat="1" x14ac:dyDescent="0.25"/>
    <row r="228109" s="12" customFormat="1" x14ac:dyDescent="0.25"/>
    <row r="228110" s="12" customFormat="1" x14ac:dyDescent="0.25"/>
    <row r="228111" s="12" customFormat="1" x14ac:dyDescent="0.25"/>
    <row r="228112" s="12" customFormat="1" x14ac:dyDescent="0.25"/>
    <row r="228113" s="12" customFormat="1" x14ac:dyDescent="0.25"/>
    <row r="228114" s="12" customFormat="1" x14ac:dyDescent="0.25"/>
    <row r="228115" s="12" customFormat="1" x14ac:dyDescent="0.25"/>
    <row r="228116" s="12" customFormat="1" x14ac:dyDescent="0.25"/>
    <row r="228117" s="12" customFormat="1" x14ac:dyDescent="0.25"/>
    <row r="228118" s="12" customFormat="1" x14ac:dyDescent="0.25"/>
    <row r="228119" s="12" customFormat="1" x14ac:dyDescent="0.25"/>
    <row r="228120" s="12" customFormat="1" x14ac:dyDescent="0.25"/>
    <row r="228121" s="12" customFormat="1" x14ac:dyDescent="0.25"/>
    <row r="228122" s="12" customFormat="1" x14ac:dyDescent="0.25"/>
    <row r="228123" s="12" customFormat="1" x14ac:dyDescent="0.25"/>
    <row r="228124" s="12" customFormat="1" x14ac:dyDescent="0.25"/>
    <row r="228125" s="12" customFormat="1" x14ac:dyDescent="0.25"/>
    <row r="228126" s="12" customFormat="1" x14ac:dyDescent="0.25"/>
    <row r="228127" s="12" customFormat="1" x14ac:dyDescent="0.25"/>
    <row r="228128" s="12" customFormat="1" x14ac:dyDescent="0.25"/>
    <row r="228129" s="12" customFormat="1" x14ac:dyDescent="0.25"/>
    <row r="228130" s="12" customFormat="1" x14ac:dyDescent="0.25"/>
    <row r="228131" s="12" customFormat="1" x14ac:dyDescent="0.25"/>
    <row r="228132" s="12" customFormat="1" x14ac:dyDescent="0.25"/>
    <row r="228133" s="12" customFormat="1" x14ac:dyDescent="0.25"/>
    <row r="228134" s="12" customFormat="1" x14ac:dyDescent="0.25"/>
    <row r="228135" s="12" customFormat="1" x14ac:dyDescent="0.25"/>
    <row r="228136" s="12" customFormat="1" x14ac:dyDescent="0.25"/>
    <row r="228137" s="12" customFormat="1" x14ac:dyDescent="0.25"/>
    <row r="228138" s="12" customFormat="1" x14ac:dyDescent="0.25"/>
    <row r="228139" s="12" customFormat="1" x14ac:dyDescent="0.25"/>
    <row r="228140" s="12" customFormat="1" x14ac:dyDescent="0.25"/>
    <row r="228141" s="12" customFormat="1" x14ac:dyDescent="0.25"/>
    <row r="228142" s="12" customFormat="1" x14ac:dyDescent="0.25"/>
    <row r="228143" s="12" customFormat="1" x14ac:dyDescent="0.25"/>
    <row r="228144" s="12" customFormat="1" x14ac:dyDescent="0.25"/>
    <row r="228145" s="12" customFormat="1" x14ac:dyDescent="0.25"/>
    <row r="228146" s="12" customFormat="1" x14ac:dyDescent="0.25"/>
    <row r="228147" s="12" customFormat="1" x14ac:dyDescent="0.25"/>
    <row r="228148" s="12" customFormat="1" x14ac:dyDescent="0.25"/>
    <row r="228149" s="12" customFormat="1" x14ac:dyDescent="0.25"/>
    <row r="228150" s="12" customFormat="1" x14ac:dyDescent="0.25"/>
    <row r="228151" s="12" customFormat="1" x14ac:dyDescent="0.25"/>
    <row r="228152" s="12" customFormat="1" x14ac:dyDescent="0.25"/>
    <row r="228153" s="12" customFormat="1" x14ac:dyDescent="0.25"/>
    <row r="228154" s="12" customFormat="1" x14ac:dyDescent="0.25"/>
    <row r="228155" s="12" customFormat="1" x14ac:dyDescent="0.25"/>
    <row r="228156" s="12" customFormat="1" x14ac:dyDescent="0.25"/>
    <row r="228157" s="12" customFormat="1" x14ac:dyDescent="0.25"/>
    <row r="228158" s="12" customFormat="1" x14ac:dyDescent="0.25"/>
    <row r="228159" s="12" customFormat="1" x14ac:dyDescent="0.25"/>
    <row r="228160" s="12" customFormat="1" x14ac:dyDescent="0.25"/>
    <row r="228161" s="12" customFormat="1" x14ac:dyDescent="0.25"/>
    <row r="228162" s="12" customFormat="1" x14ac:dyDescent="0.25"/>
    <row r="228163" s="12" customFormat="1" x14ac:dyDescent="0.25"/>
    <row r="228164" s="12" customFormat="1" x14ac:dyDescent="0.25"/>
    <row r="228165" s="12" customFormat="1" x14ac:dyDescent="0.25"/>
    <row r="228166" s="12" customFormat="1" x14ac:dyDescent="0.25"/>
    <row r="228167" s="12" customFormat="1" x14ac:dyDescent="0.25"/>
    <row r="228168" s="12" customFormat="1" x14ac:dyDescent="0.25"/>
    <row r="228169" s="12" customFormat="1" x14ac:dyDescent="0.25"/>
    <row r="228170" s="12" customFormat="1" x14ac:dyDescent="0.25"/>
    <row r="228171" s="12" customFormat="1" x14ac:dyDescent="0.25"/>
    <row r="228172" s="12" customFormat="1" x14ac:dyDescent="0.25"/>
    <row r="228173" s="12" customFormat="1" x14ac:dyDescent="0.25"/>
    <row r="228174" s="12" customFormat="1" x14ac:dyDescent="0.25"/>
    <row r="228175" s="12" customFormat="1" x14ac:dyDescent="0.25"/>
    <row r="228176" s="12" customFormat="1" x14ac:dyDescent="0.25"/>
    <row r="228177" s="12" customFormat="1" x14ac:dyDescent="0.25"/>
    <row r="228178" s="12" customFormat="1" x14ac:dyDescent="0.25"/>
    <row r="228179" s="12" customFormat="1" x14ac:dyDescent="0.25"/>
    <row r="228180" s="12" customFormat="1" x14ac:dyDescent="0.25"/>
    <row r="228181" s="12" customFormat="1" x14ac:dyDescent="0.25"/>
    <row r="228182" s="12" customFormat="1" x14ac:dyDescent="0.25"/>
    <row r="228183" s="12" customFormat="1" x14ac:dyDescent="0.25"/>
    <row r="228184" s="12" customFormat="1" x14ac:dyDescent="0.25"/>
    <row r="228185" s="12" customFormat="1" x14ac:dyDescent="0.25"/>
    <row r="228186" s="12" customFormat="1" x14ac:dyDescent="0.25"/>
    <row r="228187" s="12" customFormat="1" x14ac:dyDescent="0.25"/>
    <row r="228188" s="12" customFormat="1" x14ac:dyDescent="0.25"/>
    <row r="228189" s="12" customFormat="1" x14ac:dyDescent="0.25"/>
    <row r="228190" s="12" customFormat="1" x14ac:dyDescent="0.25"/>
    <row r="228191" s="12" customFormat="1" x14ac:dyDescent="0.25"/>
    <row r="228192" s="12" customFormat="1" x14ac:dyDescent="0.25"/>
    <row r="228193" s="12" customFormat="1" x14ac:dyDescent="0.25"/>
    <row r="228194" s="12" customFormat="1" x14ac:dyDescent="0.25"/>
    <row r="228195" s="12" customFormat="1" x14ac:dyDescent="0.25"/>
    <row r="228196" s="12" customFormat="1" x14ac:dyDescent="0.25"/>
    <row r="228197" s="12" customFormat="1" x14ac:dyDescent="0.25"/>
    <row r="228198" s="12" customFormat="1" x14ac:dyDescent="0.25"/>
    <row r="228199" s="12" customFormat="1" x14ac:dyDescent="0.25"/>
    <row r="228200" s="12" customFormat="1" x14ac:dyDescent="0.25"/>
    <row r="228201" s="12" customFormat="1" x14ac:dyDescent="0.25"/>
    <row r="228202" s="12" customFormat="1" x14ac:dyDescent="0.25"/>
    <row r="228203" s="12" customFormat="1" x14ac:dyDescent="0.25"/>
    <row r="228204" s="12" customFormat="1" x14ac:dyDescent="0.25"/>
    <row r="228205" s="12" customFormat="1" x14ac:dyDescent="0.25"/>
    <row r="228206" s="12" customFormat="1" x14ac:dyDescent="0.25"/>
    <row r="228207" s="12" customFormat="1" x14ac:dyDescent="0.25"/>
    <row r="228208" s="12" customFormat="1" x14ac:dyDescent="0.25"/>
    <row r="228209" s="12" customFormat="1" x14ac:dyDescent="0.25"/>
    <row r="228210" s="12" customFormat="1" x14ac:dyDescent="0.25"/>
    <row r="228211" s="12" customFormat="1" x14ac:dyDescent="0.25"/>
    <row r="228212" s="12" customFormat="1" x14ac:dyDescent="0.25"/>
    <row r="228213" s="12" customFormat="1" x14ac:dyDescent="0.25"/>
    <row r="228214" s="12" customFormat="1" x14ac:dyDescent="0.25"/>
    <row r="228215" s="12" customFormat="1" x14ac:dyDescent="0.25"/>
    <row r="228216" s="12" customFormat="1" x14ac:dyDescent="0.25"/>
    <row r="228217" s="12" customFormat="1" x14ac:dyDescent="0.25"/>
    <row r="228218" s="12" customFormat="1" x14ac:dyDescent="0.25"/>
    <row r="228219" s="12" customFormat="1" x14ac:dyDescent="0.25"/>
    <row r="228220" s="12" customFormat="1" x14ac:dyDescent="0.25"/>
    <row r="228221" s="12" customFormat="1" x14ac:dyDescent="0.25"/>
    <row r="228222" s="12" customFormat="1" x14ac:dyDescent="0.25"/>
    <row r="228223" s="12" customFormat="1" x14ac:dyDescent="0.25"/>
    <row r="228224" s="12" customFormat="1" x14ac:dyDescent="0.25"/>
    <row r="228225" s="12" customFormat="1" x14ac:dyDescent="0.25"/>
    <row r="228226" s="12" customFormat="1" x14ac:dyDescent="0.25"/>
    <row r="228227" s="12" customFormat="1" x14ac:dyDescent="0.25"/>
    <row r="228228" s="12" customFormat="1" x14ac:dyDescent="0.25"/>
    <row r="228229" s="12" customFormat="1" x14ac:dyDescent="0.25"/>
    <row r="228230" s="12" customFormat="1" x14ac:dyDescent="0.25"/>
    <row r="228231" s="12" customFormat="1" x14ac:dyDescent="0.25"/>
    <row r="228232" s="12" customFormat="1" x14ac:dyDescent="0.25"/>
    <row r="228233" s="12" customFormat="1" x14ac:dyDescent="0.25"/>
    <row r="228234" s="12" customFormat="1" x14ac:dyDescent="0.25"/>
    <row r="228235" s="12" customFormat="1" x14ac:dyDescent="0.25"/>
    <row r="228236" s="12" customFormat="1" x14ac:dyDescent="0.25"/>
    <row r="228237" s="12" customFormat="1" x14ac:dyDescent="0.25"/>
    <row r="228238" s="12" customFormat="1" x14ac:dyDescent="0.25"/>
    <row r="228239" s="12" customFormat="1" x14ac:dyDescent="0.25"/>
    <row r="228240" s="12" customFormat="1" x14ac:dyDescent="0.25"/>
    <row r="228241" s="12" customFormat="1" x14ac:dyDescent="0.25"/>
    <row r="228242" s="12" customFormat="1" x14ac:dyDescent="0.25"/>
    <row r="228243" s="12" customFormat="1" x14ac:dyDescent="0.25"/>
    <row r="228244" s="12" customFormat="1" x14ac:dyDescent="0.25"/>
    <row r="228245" s="12" customFormat="1" x14ac:dyDescent="0.25"/>
    <row r="228246" s="12" customFormat="1" x14ac:dyDescent="0.25"/>
    <row r="228247" s="12" customFormat="1" x14ac:dyDescent="0.25"/>
    <row r="228248" s="12" customFormat="1" x14ac:dyDescent="0.25"/>
    <row r="228249" s="12" customFormat="1" x14ac:dyDescent="0.25"/>
    <row r="228250" s="12" customFormat="1" x14ac:dyDescent="0.25"/>
    <row r="228251" s="12" customFormat="1" x14ac:dyDescent="0.25"/>
    <row r="228252" s="12" customFormat="1" x14ac:dyDescent="0.25"/>
    <row r="228253" s="12" customFormat="1" x14ac:dyDescent="0.25"/>
    <row r="228254" s="12" customFormat="1" x14ac:dyDescent="0.25"/>
    <row r="228255" s="12" customFormat="1" x14ac:dyDescent="0.25"/>
    <row r="228256" s="12" customFormat="1" x14ac:dyDescent="0.25"/>
    <row r="228257" s="12" customFormat="1" x14ac:dyDescent="0.25"/>
    <row r="228258" s="12" customFormat="1" x14ac:dyDescent="0.25"/>
    <row r="228259" s="12" customFormat="1" x14ac:dyDescent="0.25"/>
    <row r="228260" s="12" customFormat="1" x14ac:dyDescent="0.25"/>
    <row r="228261" s="12" customFormat="1" x14ac:dyDescent="0.25"/>
    <row r="228262" s="12" customFormat="1" x14ac:dyDescent="0.25"/>
    <row r="228263" s="12" customFormat="1" x14ac:dyDescent="0.25"/>
    <row r="228264" s="12" customFormat="1" x14ac:dyDescent="0.25"/>
    <row r="228265" s="12" customFormat="1" x14ac:dyDescent="0.25"/>
    <row r="228266" s="12" customFormat="1" x14ac:dyDescent="0.25"/>
    <row r="228267" s="12" customFormat="1" x14ac:dyDescent="0.25"/>
    <row r="228268" s="12" customFormat="1" x14ac:dyDescent="0.25"/>
    <row r="228269" s="12" customFormat="1" x14ac:dyDescent="0.25"/>
    <row r="228270" s="12" customFormat="1" x14ac:dyDescent="0.25"/>
    <row r="228271" s="12" customFormat="1" x14ac:dyDescent="0.25"/>
    <row r="228272" s="12" customFormat="1" x14ac:dyDescent="0.25"/>
    <row r="228273" s="12" customFormat="1" x14ac:dyDescent="0.25"/>
    <row r="228274" s="12" customFormat="1" x14ac:dyDescent="0.25"/>
    <row r="228275" s="12" customFormat="1" x14ac:dyDescent="0.25"/>
    <row r="228276" s="12" customFormat="1" x14ac:dyDescent="0.25"/>
    <row r="228277" s="12" customFormat="1" x14ac:dyDescent="0.25"/>
    <row r="228278" s="12" customFormat="1" x14ac:dyDescent="0.25"/>
    <row r="228279" s="12" customFormat="1" x14ac:dyDescent="0.25"/>
    <row r="228280" s="12" customFormat="1" x14ac:dyDescent="0.25"/>
    <row r="228281" s="12" customFormat="1" x14ac:dyDescent="0.25"/>
    <row r="228282" s="12" customFormat="1" x14ac:dyDescent="0.25"/>
    <row r="228283" s="12" customFormat="1" x14ac:dyDescent="0.25"/>
    <row r="228284" s="12" customFormat="1" x14ac:dyDescent="0.25"/>
    <row r="228285" s="12" customFormat="1" x14ac:dyDescent="0.25"/>
    <row r="228286" s="12" customFormat="1" x14ac:dyDescent="0.25"/>
    <row r="228287" s="12" customFormat="1" x14ac:dyDescent="0.25"/>
    <row r="228288" s="12" customFormat="1" x14ac:dyDescent="0.25"/>
    <row r="228289" s="12" customFormat="1" x14ac:dyDescent="0.25"/>
    <row r="228290" s="12" customFormat="1" x14ac:dyDescent="0.25"/>
    <row r="228291" s="12" customFormat="1" x14ac:dyDescent="0.25"/>
    <row r="228292" s="12" customFormat="1" x14ac:dyDescent="0.25"/>
    <row r="228293" s="12" customFormat="1" x14ac:dyDescent="0.25"/>
    <row r="228294" s="12" customFormat="1" x14ac:dyDescent="0.25"/>
    <row r="228295" s="12" customFormat="1" x14ac:dyDescent="0.25"/>
    <row r="228296" s="12" customFormat="1" x14ac:dyDescent="0.25"/>
    <row r="228297" s="12" customFormat="1" x14ac:dyDescent="0.25"/>
    <row r="228298" s="12" customFormat="1" x14ac:dyDescent="0.25"/>
    <row r="228299" s="12" customFormat="1" x14ac:dyDescent="0.25"/>
    <row r="228300" s="12" customFormat="1" x14ac:dyDescent="0.25"/>
    <row r="228301" s="12" customFormat="1" x14ac:dyDescent="0.25"/>
    <row r="228302" s="12" customFormat="1" x14ac:dyDescent="0.25"/>
    <row r="228303" s="12" customFormat="1" x14ac:dyDescent="0.25"/>
    <row r="228304" s="12" customFormat="1" x14ac:dyDescent="0.25"/>
    <row r="228305" s="12" customFormat="1" x14ac:dyDescent="0.25"/>
    <row r="228306" s="12" customFormat="1" x14ac:dyDescent="0.25"/>
    <row r="228307" s="12" customFormat="1" x14ac:dyDescent="0.25"/>
    <row r="228308" s="12" customFormat="1" x14ac:dyDescent="0.25"/>
    <row r="228309" s="12" customFormat="1" x14ac:dyDescent="0.25"/>
    <row r="228310" s="12" customFormat="1" x14ac:dyDescent="0.25"/>
    <row r="228311" s="12" customFormat="1" x14ac:dyDescent="0.25"/>
    <row r="228312" s="12" customFormat="1" x14ac:dyDescent="0.25"/>
    <row r="228313" s="12" customFormat="1" x14ac:dyDescent="0.25"/>
    <row r="228314" s="12" customFormat="1" x14ac:dyDescent="0.25"/>
    <row r="228315" s="12" customFormat="1" x14ac:dyDescent="0.25"/>
    <row r="228316" s="12" customFormat="1" x14ac:dyDescent="0.25"/>
    <row r="228317" s="12" customFormat="1" x14ac:dyDescent="0.25"/>
    <row r="228318" s="12" customFormat="1" x14ac:dyDescent="0.25"/>
    <row r="228319" s="12" customFormat="1" x14ac:dyDescent="0.25"/>
    <row r="228320" s="12" customFormat="1" x14ac:dyDescent="0.25"/>
    <row r="228321" s="12" customFormat="1" x14ac:dyDescent="0.25"/>
    <row r="228322" s="12" customFormat="1" x14ac:dyDescent="0.25"/>
    <row r="228323" s="12" customFormat="1" x14ac:dyDescent="0.25"/>
    <row r="228324" s="12" customFormat="1" x14ac:dyDescent="0.25"/>
    <row r="228325" s="12" customFormat="1" x14ac:dyDescent="0.25"/>
    <row r="228326" s="12" customFormat="1" x14ac:dyDescent="0.25"/>
    <row r="228327" s="12" customFormat="1" x14ac:dyDescent="0.25"/>
    <row r="228328" s="12" customFormat="1" x14ac:dyDescent="0.25"/>
    <row r="228329" s="12" customFormat="1" x14ac:dyDescent="0.25"/>
    <row r="228330" s="12" customFormat="1" x14ac:dyDescent="0.25"/>
    <row r="228331" s="12" customFormat="1" x14ac:dyDescent="0.25"/>
    <row r="228332" s="12" customFormat="1" x14ac:dyDescent="0.25"/>
    <row r="228333" s="12" customFormat="1" x14ac:dyDescent="0.25"/>
    <row r="228334" s="12" customFormat="1" x14ac:dyDescent="0.25"/>
    <row r="228335" s="12" customFormat="1" x14ac:dyDescent="0.25"/>
    <row r="228336" s="12" customFormat="1" x14ac:dyDescent="0.25"/>
    <row r="228337" s="12" customFormat="1" x14ac:dyDescent="0.25"/>
    <row r="228338" s="12" customFormat="1" x14ac:dyDescent="0.25"/>
    <row r="228339" s="12" customFormat="1" x14ac:dyDescent="0.25"/>
    <row r="228340" s="12" customFormat="1" x14ac:dyDescent="0.25"/>
    <row r="228341" s="12" customFormat="1" x14ac:dyDescent="0.25"/>
    <row r="228342" s="12" customFormat="1" x14ac:dyDescent="0.25"/>
    <row r="228343" s="12" customFormat="1" x14ac:dyDescent="0.25"/>
    <row r="228344" s="12" customFormat="1" x14ac:dyDescent="0.25"/>
    <row r="228345" s="12" customFormat="1" x14ac:dyDescent="0.25"/>
    <row r="228346" s="12" customFormat="1" x14ac:dyDescent="0.25"/>
    <row r="228347" s="12" customFormat="1" x14ac:dyDescent="0.25"/>
    <row r="228348" s="12" customFormat="1" x14ac:dyDescent="0.25"/>
    <row r="228349" s="12" customFormat="1" x14ac:dyDescent="0.25"/>
    <row r="228350" s="12" customFormat="1" x14ac:dyDescent="0.25"/>
    <row r="228351" s="12" customFormat="1" x14ac:dyDescent="0.25"/>
    <row r="228352" s="12" customFormat="1" x14ac:dyDescent="0.25"/>
    <row r="228353" s="12" customFormat="1" x14ac:dyDescent="0.25"/>
    <row r="228354" s="12" customFormat="1" x14ac:dyDescent="0.25"/>
    <row r="228355" s="12" customFormat="1" x14ac:dyDescent="0.25"/>
    <row r="228356" s="12" customFormat="1" x14ac:dyDescent="0.25"/>
    <row r="228357" s="12" customFormat="1" x14ac:dyDescent="0.25"/>
    <row r="228358" s="12" customFormat="1" x14ac:dyDescent="0.25"/>
    <row r="228359" s="12" customFormat="1" x14ac:dyDescent="0.25"/>
    <row r="228360" s="12" customFormat="1" x14ac:dyDescent="0.25"/>
    <row r="228361" s="12" customFormat="1" x14ac:dyDescent="0.25"/>
    <row r="228362" s="12" customFormat="1" x14ac:dyDescent="0.25"/>
    <row r="228363" s="12" customFormat="1" x14ac:dyDescent="0.25"/>
    <row r="228364" s="12" customFormat="1" x14ac:dyDescent="0.25"/>
    <row r="228365" s="12" customFormat="1" x14ac:dyDescent="0.25"/>
    <row r="228366" s="12" customFormat="1" x14ac:dyDescent="0.25"/>
    <row r="228367" s="12" customFormat="1" x14ac:dyDescent="0.25"/>
    <row r="228368" s="12" customFormat="1" x14ac:dyDescent="0.25"/>
    <row r="228369" s="12" customFormat="1" x14ac:dyDescent="0.25"/>
    <row r="228370" s="12" customFormat="1" x14ac:dyDescent="0.25"/>
    <row r="228371" s="12" customFormat="1" x14ac:dyDescent="0.25"/>
    <row r="228372" s="12" customFormat="1" x14ac:dyDescent="0.25"/>
    <row r="228373" s="12" customFormat="1" x14ac:dyDescent="0.25"/>
    <row r="228374" s="12" customFormat="1" x14ac:dyDescent="0.25"/>
    <row r="228375" s="12" customFormat="1" x14ac:dyDescent="0.25"/>
    <row r="228376" s="12" customFormat="1" x14ac:dyDescent="0.25"/>
    <row r="228377" s="12" customFormat="1" x14ac:dyDescent="0.25"/>
    <row r="228378" s="12" customFormat="1" x14ac:dyDescent="0.25"/>
    <row r="228379" s="12" customFormat="1" x14ac:dyDescent="0.25"/>
    <row r="228380" s="12" customFormat="1" x14ac:dyDescent="0.25"/>
    <row r="228381" s="12" customFormat="1" x14ac:dyDescent="0.25"/>
    <row r="228382" s="12" customFormat="1" x14ac:dyDescent="0.25"/>
    <row r="228383" s="12" customFormat="1" x14ac:dyDescent="0.25"/>
    <row r="228384" s="12" customFormat="1" x14ac:dyDescent="0.25"/>
    <row r="228385" s="12" customFormat="1" x14ac:dyDescent="0.25"/>
    <row r="228386" s="12" customFormat="1" x14ac:dyDescent="0.25"/>
    <row r="228387" s="12" customFormat="1" x14ac:dyDescent="0.25"/>
    <row r="228388" s="12" customFormat="1" x14ac:dyDescent="0.25"/>
    <row r="228389" s="12" customFormat="1" x14ac:dyDescent="0.25"/>
    <row r="228390" s="12" customFormat="1" x14ac:dyDescent="0.25"/>
    <row r="228391" s="12" customFormat="1" x14ac:dyDescent="0.25"/>
    <row r="228392" s="12" customFormat="1" x14ac:dyDescent="0.25"/>
    <row r="228393" s="12" customFormat="1" x14ac:dyDescent="0.25"/>
    <row r="228394" s="12" customFormat="1" x14ac:dyDescent="0.25"/>
    <row r="228395" s="12" customFormat="1" x14ac:dyDescent="0.25"/>
    <row r="228396" s="12" customFormat="1" x14ac:dyDescent="0.25"/>
    <row r="228397" s="12" customFormat="1" x14ac:dyDescent="0.25"/>
    <row r="228398" s="12" customFormat="1" x14ac:dyDescent="0.25"/>
    <row r="228399" s="12" customFormat="1" x14ac:dyDescent="0.25"/>
    <row r="228400" s="12" customFormat="1" x14ac:dyDescent="0.25"/>
    <row r="228401" s="12" customFormat="1" x14ac:dyDescent="0.25"/>
    <row r="228402" s="12" customFormat="1" x14ac:dyDescent="0.25"/>
    <row r="228403" s="12" customFormat="1" x14ac:dyDescent="0.25"/>
    <row r="228404" s="12" customFormat="1" x14ac:dyDescent="0.25"/>
    <row r="228405" s="12" customFormat="1" x14ac:dyDescent="0.25"/>
    <row r="228406" s="12" customFormat="1" x14ac:dyDescent="0.25"/>
    <row r="228407" s="12" customFormat="1" x14ac:dyDescent="0.25"/>
    <row r="228408" s="12" customFormat="1" x14ac:dyDescent="0.25"/>
    <row r="228409" s="12" customFormat="1" x14ac:dyDescent="0.25"/>
    <row r="228410" s="12" customFormat="1" x14ac:dyDescent="0.25"/>
    <row r="228411" s="12" customFormat="1" x14ac:dyDescent="0.25"/>
    <row r="228412" s="12" customFormat="1" x14ac:dyDescent="0.25"/>
    <row r="228413" s="12" customFormat="1" x14ac:dyDescent="0.25"/>
    <row r="228414" s="12" customFormat="1" x14ac:dyDescent="0.25"/>
    <row r="228415" s="12" customFormat="1" x14ac:dyDescent="0.25"/>
    <row r="228416" s="12" customFormat="1" x14ac:dyDescent="0.25"/>
    <row r="228417" s="12" customFormat="1" x14ac:dyDescent="0.25"/>
    <row r="228418" s="12" customFormat="1" x14ac:dyDescent="0.25"/>
    <row r="228419" s="12" customFormat="1" x14ac:dyDescent="0.25"/>
    <row r="228420" s="12" customFormat="1" x14ac:dyDescent="0.25"/>
    <row r="228421" s="12" customFormat="1" x14ac:dyDescent="0.25"/>
    <row r="228422" s="12" customFormat="1" x14ac:dyDescent="0.25"/>
    <row r="228423" s="12" customFormat="1" x14ac:dyDescent="0.25"/>
    <row r="228424" s="12" customFormat="1" x14ac:dyDescent="0.25"/>
    <row r="228425" s="12" customFormat="1" x14ac:dyDescent="0.25"/>
    <row r="228426" s="12" customFormat="1" x14ac:dyDescent="0.25"/>
    <row r="228427" s="12" customFormat="1" x14ac:dyDescent="0.25"/>
    <row r="228428" s="12" customFormat="1" x14ac:dyDescent="0.25"/>
    <row r="228429" s="12" customFormat="1" x14ac:dyDescent="0.25"/>
    <row r="228430" s="12" customFormat="1" x14ac:dyDescent="0.25"/>
    <row r="228431" s="12" customFormat="1" x14ac:dyDescent="0.25"/>
    <row r="228432" s="12" customFormat="1" x14ac:dyDescent="0.25"/>
    <row r="228433" s="12" customFormat="1" x14ac:dyDescent="0.25"/>
    <row r="228434" s="12" customFormat="1" x14ac:dyDescent="0.25"/>
    <row r="228435" s="12" customFormat="1" x14ac:dyDescent="0.25"/>
    <row r="228436" s="12" customFormat="1" x14ac:dyDescent="0.25"/>
    <row r="228437" s="12" customFormat="1" x14ac:dyDescent="0.25"/>
    <row r="228438" s="12" customFormat="1" x14ac:dyDescent="0.25"/>
    <row r="228439" s="12" customFormat="1" x14ac:dyDescent="0.25"/>
    <row r="228440" s="12" customFormat="1" x14ac:dyDescent="0.25"/>
    <row r="228441" s="12" customFormat="1" x14ac:dyDescent="0.25"/>
    <row r="228442" s="12" customFormat="1" x14ac:dyDescent="0.25"/>
    <row r="228443" s="12" customFormat="1" x14ac:dyDescent="0.25"/>
    <row r="228444" s="12" customFormat="1" x14ac:dyDescent="0.25"/>
    <row r="228445" s="12" customFormat="1" x14ac:dyDescent="0.25"/>
    <row r="228446" s="12" customFormat="1" x14ac:dyDescent="0.25"/>
    <row r="228447" s="12" customFormat="1" x14ac:dyDescent="0.25"/>
    <row r="228448" s="12" customFormat="1" x14ac:dyDescent="0.25"/>
    <row r="228449" s="12" customFormat="1" x14ac:dyDescent="0.25"/>
    <row r="228450" s="12" customFormat="1" x14ac:dyDescent="0.25"/>
    <row r="228451" s="12" customFormat="1" x14ac:dyDescent="0.25"/>
    <row r="228452" s="12" customFormat="1" x14ac:dyDescent="0.25"/>
    <row r="228453" s="12" customFormat="1" x14ac:dyDescent="0.25"/>
    <row r="228454" s="12" customFormat="1" x14ac:dyDescent="0.25"/>
    <row r="228455" s="12" customFormat="1" x14ac:dyDescent="0.25"/>
    <row r="228456" s="12" customFormat="1" x14ac:dyDescent="0.25"/>
    <row r="228457" s="12" customFormat="1" x14ac:dyDescent="0.25"/>
    <row r="228458" s="12" customFormat="1" x14ac:dyDescent="0.25"/>
    <row r="228459" s="12" customFormat="1" x14ac:dyDescent="0.25"/>
    <row r="228460" s="12" customFormat="1" x14ac:dyDescent="0.25"/>
    <row r="228461" s="12" customFormat="1" x14ac:dyDescent="0.25"/>
    <row r="228462" s="12" customFormat="1" x14ac:dyDescent="0.25"/>
    <row r="228463" s="12" customFormat="1" x14ac:dyDescent="0.25"/>
    <row r="228464" s="12" customFormat="1" x14ac:dyDescent="0.25"/>
    <row r="228465" s="12" customFormat="1" x14ac:dyDescent="0.25"/>
    <row r="228466" s="12" customFormat="1" x14ac:dyDescent="0.25"/>
    <row r="228467" s="12" customFormat="1" x14ac:dyDescent="0.25"/>
    <row r="228468" s="12" customFormat="1" x14ac:dyDescent="0.25"/>
    <row r="228469" s="12" customFormat="1" x14ac:dyDescent="0.25"/>
    <row r="228470" s="12" customFormat="1" x14ac:dyDescent="0.25"/>
    <row r="228471" s="12" customFormat="1" x14ac:dyDescent="0.25"/>
    <row r="228472" s="12" customFormat="1" x14ac:dyDescent="0.25"/>
    <row r="228473" s="12" customFormat="1" x14ac:dyDescent="0.25"/>
    <row r="228474" s="12" customFormat="1" x14ac:dyDescent="0.25"/>
    <row r="228475" s="12" customFormat="1" x14ac:dyDescent="0.25"/>
    <row r="228476" s="12" customFormat="1" x14ac:dyDescent="0.25"/>
    <row r="228477" s="12" customFormat="1" x14ac:dyDescent="0.25"/>
    <row r="228478" s="12" customFormat="1" x14ac:dyDescent="0.25"/>
    <row r="228479" s="12" customFormat="1" x14ac:dyDescent="0.25"/>
    <row r="228480" s="12" customFormat="1" x14ac:dyDescent="0.25"/>
    <row r="228481" s="12" customFormat="1" x14ac:dyDescent="0.25"/>
    <row r="228482" s="12" customFormat="1" x14ac:dyDescent="0.25"/>
    <row r="228483" s="12" customFormat="1" x14ac:dyDescent="0.25"/>
    <row r="228484" s="12" customFormat="1" x14ac:dyDescent="0.25"/>
    <row r="228485" s="12" customFormat="1" x14ac:dyDescent="0.25"/>
    <row r="228486" s="12" customFormat="1" x14ac:dyDescent="0.25"/>
    <row r="228487" s="12" customFormat="1" x14ac:dyDescent="0.25"/>
    <row r="228488" s="12" customFormat="1" x14ac:dyDescent="0.25"/>
    <row r="228489" s="12" customFormat="1" x14ac:dyDescent="0.25"/>
    <row r="228490" s="12" customFormat="1" x14ac:dyDescent="0.25"/>
    <row r="228491" s="12" customFormat="1" x14ac:dyDescent="0.25"/>
    <row r="228492" s="12" customFormat="1" x14ac:dyDescent="0.25"/>
    <row r="228493" s="12" customFormat="1" x14ac:dyDescent="0.25"/>
    <row r="228494" s="12" customFormat="1" x14ac:dyDescent="0.25"/>
    <row r="228495" s="12" customFormat="1" x14ac:dyDescent="0.25"/>
    <row r="228496" s="12" customFormat="1" x14ac:dyDescent="0.25"/>
    <row r="228497" s="12" customFormat="1" x14ac:dyDescent="0.25"/>
    <row r="228498" s="12" customFormat="1" x14ac:dyDescent="0.25"/>
    <row r="228499" s="12" customFormat="1" x14ac:dyDescent="0.25"/>
    <row r="228500" s="12" customFormat="1" x14ac:dyDescent="0.25"/>
    <row r="228501" s="12" customFormat="1" x14ac:dyDescent="0.25"/>
    <row r="228502" s="12" customFormat="1" x14ac:dyDescent="0.25"/>
    <row r="228503" s="12" customFormat="1" x14ac:dyDescent="0.25"/>
    <row r="228504" s="12" customFormat="1" x14ac:dyDescent="0.25"/>
    <row r="228505" s="12" customFormat="1" x14ac:dyDescent="0.25"/>
    <row r="228506" s="12" customFormat="1" x14ac:dyDescent="0.25"/>
    <row r="228507" s="12" customFormat="1" x14ac:dyDescent="0.25"/>
    <row r="228508" s="12" customFormat="1" x14ac:dyDescent="0.25"/>
    <row r="228509" s="12" customFormat="1" x14ac:dyDescent="0.25"/>
    <row r="228510" s="12" customFormat="1" x14ac:dyDescent="0.25"/>
    <row r="228511" s="12" customFormat="1" x14ac:dyDescent="0.25"/>
    <row r="228512" s="12" customFormat="1" x14ac:dyDescent="0.25"/>
    <row r="228513" s="12" customFormat="1" x14ac:dyDescent="0.25"/>
    <row r="228514" s="12" customFormat="1" x14ac:dyDescent="0.25"/>
    <row r="228515" s="12" customFormat="1" x14ac:dyDescent="0.25"/>
    <row r="228516" s="12" customFormat="1" x14ac:dyDescent="0.25"/>
    <row r="228517" s="12" customFormat="1" x14ac:dyDescent="0.25"/>
    <row r="228518" s="12" customFormat="1" x14ac:dyDescent="0.25"/>
    <row r="228519" s="12" customFormat="1" x14ac:dyDescent="0.25"/>
    <row r="228520" s="12" customFormat="1" x14ac:dyDescent="0.25"/>
    <row r="228521" s="12" customFormat="1" x14ac:dyDescent="0.25"/>
    <row r="228522" s="12" customFormat="1" x14ac:dyDescent="0.25"/>
    <row r="228523" s="12" customFormat="1" x14ac:dyDescent="0.25"/>
    <row r="228524" s="12" customFormat="1" x14ac:dyDescent="0.25"/>
    <row r="228525" s="12" customFormat="1" x14ac:dyDescent="0.25"/>
    <row r="228526" s="12" customFormat="1" x14ac:dyDescent="0.25"/>
    <row r="228527" s="12" customFormat="1" x14ac:dyDescent="0.25"/>
    <row r="228528" s="12" customFormat="1" x14ac:dyDescent="0.25"/>
    <row r="228529" s="12" customFormat="1" x14ac:dyDescent="0.25"/>
    <row r="228530" s="12" customFormat="1" x14ac:dyDescent="0.25"/>
    <row r="228531" s="12" customFormat="1" x14ac:dyDescent="0.25"/>
    <row r="228532" s="12" customFormat="1" x14ac:dyDescent="0.25"/>
    <row r="228533" s="12" customFormat="1" x14ac:dyDescent="0.25"/>
    <row r="228534" s="12" customFormat="1" x14ac:dyDescent="0.25"/>
    <row r="228535" s="12" customFormat="1" x14ac:dyDescent="0.25"/>
    <row r="228536" s="12" customFormat="1" x14ac:dyDescent="0.25"/>
    <row r="228537" s="12" customFormat="1" x14ac:dyDescent="0.25"/>
    <row r="228538" s="12" customFormat="1" x14ac:dyDescent="0.25"/>
    <row r="228539" s="12" customFormat="1" x14ac:dyDescent="0.25"/>
    <row r="228540" s="12" customFormat="1" x14ac:dyDescent="0.25"/>
    <row r="228541" s="12" customFormat="1" x14ac:dyDescent="0.25"/>
    <row r="228542" s="12" customFormat="1" x14ac:dyDescent="0.25"/>
    <row r="228543" s="12" customFormat="1" x14ac:dyDescent="0.25"/>
    <row r="228544" s="12" customFormat="1" x14ac:dyDescent="0.25"/>
    <row r="228545" s="12" customFormat="1" x14ac:dyDescent="0.25"/>
    <row r="228546" s="12" customFormat="1" x14ac:dyDescent="0.25"/>
    <row r="228547" s="12" customFormat="1" x14ac:dyDescent="0.25"/>
    <row r="228548" s="12" customFormat="1" x14ac:dyDescent="0.25"/>
    <row r="228549" s="12" customFormat="1" x14ac:dyDescent="0.25"/>
    <row r="228550" s="12" customFormat="1" x14ac:dyDescent="0.25"/>
    <row r="228551" s="12" customFormat="1" x14ac:dyDescent="0.25"/>
    <row r="228552" s="12" customFormat="1" x14ac:dyDescent="0.25"/>
    <row r="228553" s="12" customFormat="1" x14ac:dyDescent="0.25"/>
    <row r="228554" s="12" customFormat="1" x14ac:dyDescent="0.25"/>
    <row r="228555" s="12" customFormat="1" x14ac:dyDescent="0.25"/>
    <row r="228556" s="12" customFormat="1" x14ac:dyDescent="0.25"/>
    <row r="228557" s="12" customFormat="1" x14ac:dyDescent="0.25"/>
    <row r="228558" s="12" customFormat="1" x14ac:dyDescent="0.25"/>
    <row r="228559" s="12" customFormat="1" x14ac:dyDescent="0.25"/>
    <row r="228560" s="12" customFormat="1" x14ac:dyDescent="0.25"/>
    <row r="228561" s="12" customFormat="1" x14ac:dyDescent="0.25"/>
    <row r="228562" s="12" customFormat="1" x14ac:dyDescent="0.25"/>
    <row r="228563" s="12" customFormat="1" x14ac:dyDescent="0.25"/>
    <row r="228564" s="12" customFormat="1" x14ac:dyDescent="0.25"/>
    <row r="228565" s="12" customFormat="1" x14ac:dyDescent="0.25"/>
    <row r="228566" s="12" customFormat="1" x14ac:dyDescent="0.25"/>
    <row r="228567" s="12" customFormat="1" x14ac:dyDescent="0.25"/>
    <row r="228568" s="12" customFormat="1" x14ac:dyDescent="0.25"/>
    <row r="228569" s="12" customFormat="1" x14ac:dyDescent="0.25"/>
    <row r="228570" s="12" customFormat="1" x14ac:dyDescent="0.25"/>
    <row r="228571" s="12" customFormat="1" x14ac:dyDescent="0.25"/>
    <row r="228572" s="12" customFormat="1" x14ac:dyDescent="0.25"/>
    <row r="228573" s="12" customFormat="1" x14ac:dyDescent="0.25"/>
    <row r="228574" s="12" customFormat="1" x14ac:dyDescent="0.25"/>
    <row r="228575" s="12" customFormat="1" x14ac:dyDescent="0.25"/>
    <row r="228576" s="12" customFormat="1" x14ac:dyDescent="0.25"/>
    <row r="228577" s="12" customFormat="1" x14ac:dyDescent="0.25"/>
    <row r="228578" s="12" customFormat="1" x14ac:dyDescent="0.25"/>
    <row r="228579" s="12" customFormat="1" x14ac:dyDescent="0.25"/>
    <row r="228580" s="12" customFormat="1" x14ac:dyDescent="0.25"/>
    <row r="228581" s="12" customFormat="1" x14ac:dyDescent="0.25"/>
    <row r="228582" s="12" customFormat="1" x14ac:dyDescent="0.25"/>
    <row r="228583" s="12" customFormat="1" x14ac:dyDescent="0.25"/>
    <row r="228584" s="12" customFormat="1" x14ac:dyDescent="0.25"/>
    <row r="228585" s="12" customFormat="1" x14ac:dyDescent="0.25"/>
    <row r="228586" s="12" customFormat="1" x14ac:dyDescent="0.25"/>
    <row r="228587" s="12" customFormat="1" x14ac:dyDescent="0.25"/>
    <row r="228588" s="12" customFormat="1" x14ac:dyDescent="0.25"/>
    <row r="228589" s="12" customFormat="1" x14ac:dyDescent="0.25"/>
    <row r="228590" s="12" customFormat="1" x14ac:dyDescent="0.25"/>
    <row r="228591" s="12" customFormat="1" x14ac:dyDescent="0.25"/>
    <row r="228592" s="12" customFormat="1" x14ac:dyDescent="0.25"/>
    <row r="228593" s="12" customFormat="1" x14ac:dyDescent="0.25"/>
    <row r="228594" s="12" customFormat="1" x14ac:dyDescent="0.25"/>
    <row r="228595" s="12" customFormat="1" x14ac:dyDescent="0.25"/>
    <row r="228596" s="12" customFormat="1" x14ac:dyDescent="0.25"/>
    <row r="228597" s="12" customFormat="1" x14ac:dyDescent="0.25"/>
    <row r="228598" s="12" customFormat="1" x14ac:dyDescent="0.25"/>
    <row r="228599" s="12" customFormat="1" x14ac:dyDescent="0.25"/>
    <row r="228600" s="12" customFormat="1" x14ac:dyDescent="0.25"/>
    <row r="228601" s="12" customFormat="1" x14ac:dyDescent="0.25"/>
    <row r="228602" s="12" customFormat="1" x14ac:dyDescent="0.25"/>
    <row r="228603" s="12" customFormat="1" x14ac:dyDescent="0.25"/>
    <row r="228604" s="12" customFormat="1" x14ac:dyDescent="0.25"/>
    <row r="228605" s="12" customFormat="1" x14ac:dyDescent="0.25"/>
    <row r="228606" s="12" customFormat="1" x14ac:dyDescent="0.25"/>
    <row r="228607" s="12" customFormat="1" x14ac:dyDescent="0.25"/>
    <row r="228608" s="12" customFormat="1" x14ac:dyDescent="0.25"/>
    <row r="228609" s="12" customFormat="1" x14ac:dyDescent="0.25"/>
    <row r="228610" s="12" customFormat="1" x14ac:dyDescent="0.25"/>
    <row r="228611" s="12" customFormat="1" x14ac:dyDescent="0.25"/>
    <row r="228612" s="12" customFormat="1" x14ac:dyDescent="0.25"/>
    <row r="228613" s="12" customFormat="1" x14ac:dyDescent="0.25"/>
    <row r="228614" s="12" customFormat="1" x14ac:dyDescent="0.25"/>
    <row r="228615" s="12" customFormat="1" x14ac:dyDescent="0.25"/>
    <row r="228616" s="12" customFormat="1" x14ac:dyDescent="0.25"/>
    <row r="228617" s="12" customFormat="1" x14ac:dyDescent="0.25"/>
    <row r="228618" s="12" customFormat="1" x14ac:dyDescent="0.25"/>
    <row r="228619" s="12" customFormat="1" x14ac:dyDescent="0.25"/>
    <row r="228620" s="12" customFormat="1" x14ac:dyDescent="0.25"/>
    <row r="228621" s="12" customFormat="1" x14ac:dyDescent="0.25"/>
    <row r="228622" s="12" customFormat="1" x14ac:dyDescent="0.25"/>
    <row r="228623" s="12" customFormat="1" x14ac:dyDescent="0.25"/>
    <row r="228624" s="12" customFormat="1" x14ac:dyDescent="0.25"/>
    <row r="228625" s="12" customFormat="1" x14ac:dyDescent="0.25"/>
    <row r="228626" s="12" customFormat="1" x14ac:dyDescent="0.25"/>
    <row r="228627" s="12" customFormat="1" x14ac:dyDescent="0.25"/>
    <row r="228628" s="12" customFormat="1" x14ac:dyDescent="0.25"/>
    <row r="228629" s="12" customFormat="1" x14ac:dyDescent="0.25"/>
    <row r="228630" s="12" customFormat="1" x14ac:dyDescent="0.25"/>
    <row r="228631" s="12" customFormat="1" x14ac:dyDescent="0.25"/>
    <row r="228632" s="12" customFormat="1" x14ac:dyDescent="0.25"/>
    <row r="228633" s="12" customFormat="1" x14ac:dyDescent="0.25"/>
    <row r="228634" s="12" customFormat="1" x14ac:dyDescent="0.25"/>
    <row r="228635" s="12" customFormat="1" x14ac:dyDescent="0.25"/>
    <row r="228636" s="12" customFormat="1" x14ac:dyDescent="0.25"/>
    <row r="228637" s="12" customFormat="1" x14ac:dyDescent="0.25"/>
    <row r="228638" s="12" customFormat="1" x14ac:dyDescent="0.25"/>
    <row r="228639" s="12" customFormat="1" x14ac:dyDescent="0.25"/>
    <row r="228640" s="12" customFormat="1" x14ac:dyDescent="0.25"/>
    <row r="228641" s="12" customFormat="1" x14ac:dyDescent="0.25"/>
    <row r="228642" s="12" customFormat="1" x14ac:dyDescent="0.25"/>
    <row r="228643" s="12" customFormat="1" x14ac:dyDescent="0.25"/>
    <row r="228644" s="12" customFormat="1" x14ac:dyDescent="0.25"/>
    <row r="228645" s="12" customFormat="1" x14ac:dyDescent="0.25"/>
    <row r="228646" s="12" customFormat="1" x14ac:dyDescent="0.25"/>
    <row r="228647" s="12" customFormat="1" x14ac:dyDescent="0.25"/>
    <row r="228648" s="12" customFormat="1" x14ac:dyDescent="0.25"/>
    <row r="228649" s="12" customFormat="1" x14ac:dyDescent="0.25"/>
    <row r="228650" s="12" customFormat="1" x14ac:dyDescent="0.25"/>
    <row r="228651" s="12" customFormat="1" x14ac:dyDescent="0.25"/>
    <row r="228652" s="12" customFormat="1" x14ac:dyDescent="0.25"/>
    <row r="228653" s="12" customFormat="1" x14ac:dyDescent="0.25"/>
    <row r="228654" s="12" customFormat="1" x14ac:dyDescent="0.25"/>
    <row r="228655" s="12" customFormat="1" x14ac:dyDescent="0.25"/>
    <row r="228656" s="12" customFormat="1" x14ac:dyDescent="0.25"/>
    <row r="228657" s="12" customFormat="1" x14ac:dyDescent="0.25"/>
    <row r="228658" s="12" customFormat="1" x14ac:dyDescent="0.25"/>
    <row r="228659" s="12" customFormat="1" x14ac:dyDescent="0.25"/>
    <row r="228660" s="12" customFormat="1" x14ac:dyDescent="0.25"/>
    <row r="228661" s="12" customFormat="1" x14ac:dyDescent="0.25"/>
    <row r="228662" s="12" customFormat="1" x14ac:dyDescent="0.25"/>
    <row r="228663" s="12" customFormat="1" x14ac:dyDescent="0.25"/>
    <row r="228664" s="12" customFormat="1" x14ac:dyDescent="0.25"/>
    <row r="228665" s="12" customFormat="1" x14ac:dyDescent="0.25"/>
    <row r="228666" s="12" customFormat="1" x14ac:dyDescent="0.25"/>
    <row r="228667" s="12" customFormat="1" x14ac:dyDescent="0.25"/>
    <row r="228668" s="12" customFormat="1" x14ac:dyDescent="0.25"/>
    <row r="228669" s="12" customFormat="1" x14ac:dyDescent="0.25"/>
    <row r="228670" s="12" customFormat="1" x14ac:dyDescent="0.25"/>
    <row r="228671" s="12" customFormat="1" x14ac:dyDescent="0.25"/>
    <row r="228672" s="12" customFormat="1" x14ac:dyDescent="0.25"/>
    <row r="228673" s="12" customFormat="1" x14ac:dyDescent="0.25"/>
    <row r="228674" s="12" customFormat="1" x14ac:dyDescent="0.25"/>
    <row r="228675" s="12" customFormat="1" x14ac:dyDescent="0.25"/>
    <row r="228676" s="12" customFormat="1" x14ac:dyDescent="0.25"/>
    <row r="228677" s="12" customFormat="1" x14ac:dyDescent="0.25"/>
    <row r="228678" s="12" customFormat="1" x14ac:dyDescent="0.25"/>
    <row r="228679" s="12" customFormat="1" x14ac:dyDescent="0.25"/>
    <row r="228680" s="12" customFormat="1" x14ac:dyDescent="0.25"/>
    <row r="228681" s="12" customFormat="1" x14ac:dyDescent="0.25"/>
    <row r="228682" s="12" customFormat="1" x14ac:dyDescent="0.25"/>
    <row r="228683" s="12" customFormat="1" x14ac:dyDescent="0.25"/>
    <row r="228684" s="12" customFormat="1" x14ac:dyDescent="0.25"/>
    <row r="228685" s="12" customFormat="1" x14ac:dyDescent="0.25"/>
    <row r="228686" s="12" customFormat="1" x14ac:dyDescent="0.25"/>
    <row r="228687" s="12" customFormat="1" x14ac:dyDescent="0.25"/>
    <row r="228688" s="12" customFormat="1" x14ac:dyDescent="0.25"/>
    <row r="228689" s="12" customFormat="1" x14ac:dyDescent="0.25"/>
    <row r="228690" s="12" customFormat="1" x14ac:dyDescent="0.25"/>
    <row r="228691" s="12" customFormat="1" x14ac:dyDescent="0.25"/>
    <row r="228692" s="12" customFormat="1" x14ac:dyDescent="0.25"/>
    <row r="228693" s="12" customFormat="1" x14ac:dyDescent="0.25"/>
    <row r="228694" s="12" customFormat="1" x14ac:dyDescent="0.25"/>
    <row r="228695" s="12" customFormat="1" x14ac:dyDescent="0.25"/>
    <row r="228696" s="12" customFormat="1" x14ac:dyDescent="0.25"/>
    <row r="228697" s="12" customFormat="1" x14ac:dyDescent="0.25"/>
    <row r="228698" s="12" customFormat="1" x14ac:dyDescent="0.25"/>
    <row r="228699" s="12" customFormat="1" x14ac:dyDescent="0.25"/>
    <row r="228700" s="12" customFormat="1" x14ac:dyDescent="0.25"/>
    <row r="228701" s="12" customFormat="1" x14ac:dyDescent="0.25"/>
    <row r="228702" s="12" customFormat="1" x14ac:dyDescent="0.25"/>
    <row r="228703" s="12" customFormat="1" x14ac:dyDescent="0.25"/>
    <row r="228704" s="12" customFormat="1" x14ac:dyDescent="0.25"/>
    <row r="228705" s="12" customFormat="1" x14ac:dyDescent="0.25"/>
    <row r="228706" s="12" customFormat="1" x14ac:dyDescent="0.25"/>
    <row r="228707" s="12" customFormat="1" x14ac:dyDescent="0.25"/>
    <row r="228708" s="12" customFormat="1" x14ac:dyDescent="0.25"/>
    <row r="228709" s="12" customFormat="1" x14ac:dyDescent="0.25"/>
    <row r="228710" s="12" customFormat="1" x14ac:dyDescent="0.25"/>
    <row r="228711" s="12" customFormat="1" x14ac:dyDescent="0.25"/>
    <row r="228712" s="12" customFormat="1" x14ac:dyDescent="0.25"/>
    <row r="228713" s="12" customFormat="1" x14ac:dyDescent="0.25"/>
    <row r="228714" s="12" customFormat="1" x14ac:dyDescent="0.25"/>
    <row r="228715" s="12" customFormat="1" x14ac:dyDescent="0.25"/>
    <row r="228716" s="12" customFormat="1" x14ac:dyDescent="0.25"/>
    <row r="228717" s="12" customFormat="1" x14ac:dyDescent="0.25"/>
    <row r="228718" s="12" customFormat="1" x14ac:dyDescent="0.25"/>
    <row r="228719" s="12" customFormat="1" x14ac:dyDescent="0.25"/>
    <row r="228720" s="12" customFormat="1" x14ac:dyDescent="0.25"/>
    <row r="228721" s="12" customFormat="1" x14ac:dyDescent="0.25"/>
    <row r="228722" s="12" customFormat="1" x14ac:dyDescent="0.25"/>
    <row r="228723" s="12" customFormat="1" x14ac:dyDescent="0.25"/>
    <row r="228724" s="12" customFormat="1" x14ac:dyDescent="0.25"/>
    <row r="228725" s="12" customFormat="1" x14ac:dyDescent="0.25"/>
    <row r="228726" s="12" customFormat="1" x14ac:dyDescent="0.25"/>
    <row r="228727" s="12" customFormat="1" x14ac:dyDescent="0.25"/>
    <row r="228728" s="12" customFormat="1" x14ac:dyDescent="0.25"/>
    <row r="228729" s="12" customFormat="1" x14ac:dyDescent="0.25"/>
    <row r="228730" s="12" customFormat="1" x14ac:dyDescent="0.25"/>
    <row r="228731" s="12" customFormat="1" x14ac:dyDescent="0.25"/>
    <row r="228732" s="12" customFormat="1" x14ac:dyDescent="0.25"/>
    <row r="228733" s="12" customFormat="1" x14ac:dyDescent="0.25"/>
    <row r="228734" s="12" customFormat="1" x14ac:dyDescent="0.25"/>
    <row r="228735" s="12" customFormat="1" x14ac:dyDescent="0.25"/>
    <row r="228736" s="12" customFormat="1" x14ac:dyDescent="0.25"/>
    <row r="228737" s="12" customFormat="1" x14ac:dyDescent="0.25"/>
    <row r="228738" s="12" customFormat="1" x14ac:dyDescent="0.25"/>
    <row r="228739" s="12" customFormat="1" x14ac:dyDescent="0.25"/>
    <row r="228740" s="12" customFormat="1" x14ac:dyDescent="0.25"/>
    <row r="228741" s="12" customFormat="1" x14ac:dyDescent="0.25"/>
    <row r="228742" s="12" customFormat="1" x14ac:dyDescent="0.25"/>
    <row r="228743" s="12" customFormat="1" x14ac:dyDescent="0.25"/>
    <row r="228744" s="12" customFormat="1" x14ac:dyDescent="0.25"/>
    <row r="228745" s="12" customFormat="1" x14ac:dyDescent="0.25"/>
    <row r="228746" s="12" customFormat="1" x14ac:dyDescent="0.25"/>
    <row r="228747" s="12" customFormat="1" x14ac:dyDescent="0.25"/>
    <row r="228748" s="12" customFormat="1" x14ac:dyDescent="0.25"/>
    <row r="228749" s="12" customFormat="1" x14ac:dyDescent="0.25"/>
    <row r="228750" s="12" customFormat="1" x14ac:dyDescent="0.25"/>
    <row r="228751" s="12" customFormat="1" x14ac:dyDescent="0.25"/>
    <row r="228752" s="12" customFormat="1" x14ac:dyDescent="0.25"/>
    <row r="228753" s="12" customFormat="1" x14ac:dyDescent="0.25"/>
    <row r="228754" s="12" customFormat="1" x14ac:dyDescent="0.25"/>
    <row r="228755" s="12" customFormat="1" x14ac:dyDescent="0.25"/>
    <row r="228756" s="12" customFormat="1" x14ac:dyDescent="0.25"/>
    <row r="228757" s="12" customFormat="1" x14ac:dyDescent="0.25"/>
    <row r="228758" s="12" customFormat="1" x14ac:dyDescent="0.25"/>
    <row r="228759" s="12" customFormat="1" x14ac:dyDescent="0.25"/>
    <row r="228760" s="12" customFormat="1" x14ac:dyDescent="0.25"/>
    <row r="228761" s="12" customFormat="1" x14ac:dyDescent="0.25"/>
    <row r="228762" s="12" customFormat="1" x14ac:dyDescent="0.25"/>
    <row r="228763" s="12" customFormat="1" x14ac:dyDescent="0.25"/>
    <row r="228764" s="12" customFormat="1" x14ac:dyDescent="0.25"/>
    <row r="228765" s="12" customFormat="1" x14ac:dyDescent="0.25"/>
    <row r="228766" s="12" customFormat="1" x14ac:dyDescent="0.25"/>
    <row r="228767" s="12" customFormat="1" x14ac:dyDescent="0.25"/>
    <row r="228768" s="12" customFormat="1" x14ac:dyDescent="0.25"/>
    <row r="228769" s="12" customFormat="1" x14ac:dyDescent="0.25"/>
    <row r="228770" s="12" customFormat="1" x14ac:dyDescent="0.25"/>
    <row r="228771" s="12" customFormat="1" x14ac:dyDescent="0.25"/>
    <row r="228772" s="12" customFormat="1" x14ac:dyDescent="0.25"/>
    <row r="228773" s="12" customFormat="1" x14ac:dyDescent="0.25"/>
    <row r="228774" s="12" customFormat="1" x14ac:dyDescent="0.25"/>
    <row r="228775" s="12" customFormat="1" x14ac:dyDescent="0.25"/>
    <row r="228776" s="12" customFormat="1" x14ac:dyDescent="0.25"/>
    <row r="228777" s="12" customFormat="1" x14ac:dyDescent="0.25"/>
    <row r="228778" s="12" customFormat="1" x14ac:dyDescent="0.25"/>
    <row r="228779" s="12" customFormat="1" x14ac:dyDescent="0.25"/>
    <row r="228780" s="12" customFormat="1" x14ac:dyDescent="0.25"/>
    <row r="228781" s="12" customFormat="1" x14ac:dyDescent="0.25"/>
    <row r="228782" s="12" customFormat="1" x14ac:dyDescent="0.25"/>
    <row r="228783" s="12" customFormat="1" x14ac:dyDescent="0.25"/>
    <row r="228784" s="12" customFormat="1" x14ac:dyDescent="0.25"/>
    <row r="228785" s="12" customFormat="1" x14ac:dyDescent="0.25"/>
    <row r="228786" s="12" customFormat="1" x14ac:dyDescent="0.25"/>
    <row r="228787" s="12" customFormat="1" x14ac:dyDescent="0.25"/>
    <row r="228788" s="12" customFormat="1" x14ac:dyDescent="0.25"/>
    <row r="228789" s="12" customFormat="1" x14ac:dyDescent="0.25"/>
    <row r="228790" s="12" customFormat="1" x14ac:dyDescent="0.25"/>
    <row r="228791" s="12" customFormat="1" x14ac:dyDescent="0.25"/>
    <row r="228792" s="12" customFormat="1" x14ac:dyDescent="0.25"/>
    <row r="228793" s="12" customFormat="1" x14ac:dyDescent="0.25"/>
    <row r="228794" s="12" customFormat="1" x14ac:dyDescent="0.25"/>
    <row r="228795" s="12" customFormat="1" x14ac:dyDescent="0.25"/>
    <row r="228796" s="12" customFormat="1" x14ac:dyDescent="0.25"/>
    <row r="228797" s="12" customFormat="1" x14ac:dyDescent="0.25"/>
    <row r="228798" s="12" customFormat="1" x14ac:dyDescent="0.25"/>
    <row r="228799" s="12" customFormat="1" x14ac:dyDescent="0.25"/>
    <row r="228800" s="12" customFormat="1" x14ac:dyDescent="0.25"/>
    <row r="228801" s="12" customFormat="1" x14ac:dyDescent="0.25"/>
    <row r="228802" s="12" customFormat="1" x14ac:dyDescent="0.25"/>
    <row r="228803" s="12" customFormat="1" x14ac:dyDescent="0.25"/>
    <row r="228804" s="12" customFormat="1" x14ac:dyDescent="0.25"/>
    <row r="228805" s="12" customFormat="1" x14ac:dyDescent="0.25"/>
    <row r="228806" s="12" customFormat="1" x14ac:dyDescent="0.25"/>
    <row r="228807" s="12" customFormat="1" x14ac:dyDescent="0.25"/>
    <row r="228808" s="12" customFormat="1" x14ac:dyDescent="0.25"/>
    <row r="228809" s="12" customFormat="1" x14ac:dyDescent="0.25"/>
    <row r="228810" s="12" customFormat="1" x14ac:dyDescent="0.25"/>
    <row r="228811" s="12" customFormat="1" x14ac:dyDescent="0.25"/>
    <row r="228812" s="12" customFormat="1" x14ac:dyDescent="0.25"/>
    <row r="228813" s="12" customFormat="1" x14ac:dyDescent="0.25"/>
    <row r="228814" s="12" customFormat="1" x14ac:dyDescent="0.25"/>
    <row r="228815" s="12" customFormat="1" x14ac:dyDescent="0.25"/>
    <row r="228816" s="12" customFormat="1" x14ac:dyDescent="0.25"/>
    <row r="228817" s="12" customFormat="1" x14ac:dyDescent="0.25"/>
    <row r="228818" s="12" customFormat="1" x14ac:dyDescent="0.25"/>
    <row r="228819" s="12" customFormat="1" x14ac:dyDescent="0.25"/>
    <row r="228820" s="12" customFormat="1" x14ac:dyDescent="0.25"/>
    <row r="228821" s="12" customFormat="1" x14ac:dyDescent="0.25"/>
    <row r="228822" s="12" customFormat="1" x14ac:dyDescent="0.25"/>
    <row r="228823" s="12" customFormat="1" x14ac:dyDescent="0.25"/>
    <row r="228824" s="12" customFormat="1" x14ac:dyDescent="0.25"/>
    <row r="228825" s="12" customFormat="1" x14ac:dyDescent="0.25"/>
    <row r="228826" s="12" customFormat="1" x14ac:dyDescent="0.25"/>
    <row r="228827" s="12" customFormat="1" x14ac:dyDescent="0.25"/>
    <row r="228828" s="12" customFormat="1" x14ac:dyDescent="0.25"/>
    <row r="228829" s="12" customFormat="1" x14ac:dyDescent="0.25"/>
    <row r="228830" s="12" customFormat="1" x14ac:dyDescent="0.25"/>
    <row r="228831" s="12" customFormat="1" x14ac:dyDescent="0.25"/>
    <row r="228832" s="12" customFormat="1" x14ac:dyDescent="0.25"/>
    <row r="228833" s="12" customFormat="1" x14ac:dyDescent="0.25"/>
    <row r="228834" s="12" customFormat="1" x14ac:dyDescent="0.25"/>
    <row r="228835" s="12" customFormat="1" x14ac:dyDescent="0.25"/>
    <row r="228836" s="12" customFormat="1" x14ac:dyDescent="0.25"/>
    <row r="228837" s="12" customFormat="1" x14ac:dyDescent="0.25"/>
    <row r="228838" s="12" customFormat="1" x14ac:dyDescent="0.25"/>
    <row r="228839" s="12" customFormat="1" x14ac:dyDescent="0.25"/>
    <row r="228840" s="12" customFormat="1" x14ac:dyDescent="0.25"/>
    <row r="228841" s="12" customFormat="1" x14ac:dyDescent="0.25"/>
    <row r="228842" s="12" customFormat="1" x14ac:dyDescent="0.25"/>
    <row r="228843" s="12" customFormat="1" x14ac:dyDescent="0.25"/>
    <row r="228844" s="12" customFormat="1" x14ac:dyDescent="0.25"/>
    <row r="228845" s="12" customFormat="1" x14ac:dyDescent="0.25"/>
    <row r="228846" s="12" customFormat="1" x14ac:dyDescent="0.25"/>
    <row r="228847" s="12" customFormat="1" x14ac:dyDescent="0.25"/>
    <row r="228848" s="12" customFormat="1" x14ac:dyDescent="0.25"/>
    <row r="228849" s="12" customFormat="1" x14ac:dyDescent="0.25"/>
    <row r="228850" s="12" customFormat="1" x14ac:dyDescent="0.25"/>
    <row r="228851" s="12" customFormat="1" x14ac:dyDescent="0.25"/>
    <row r="228852" s="12" customFormat="1" x14ac:dyDescent="0.25"/>
    <row r="228853" s="12" customFormat="1" x14ac:dyDescent="0.25"/>
    <row r="228854" s="12" customFormat="1" x14ac:dyDescent="0.25"/>
    <row r="228855" s="12" customFormat="1" x14ac:dyDescent="0.25"/>
    <row r="228856" s="12" customFormat="1" x14ac:dyDescent="0.25"/>
    <row r="228857" s="12" customFormat="1" x14ac:dyDescent="0.25"/>
    <row r="228858" s="12" customFormat="1" x14ac:dyDescent="0.25"/>
    <row r="228859" s="12" customFormat="1" x14ac:dyDescent="0.25"/>
    <row r="228860" s="12" customFormat="1" x14ac:dyDescent="0.25"/>
    <row r="228861" s="12" customFormat="1" x14ac:dyDescent="0.25"/>
    <row r="228862" s="12" customFormat="1" x14ac:dyDescent="0.25"/>
    <row r="228863" s="12" customFormat="1" x14ac:dyDescent="0.25"/>
    <row r="228864" s="12" customFormat="1" x14ac:dyDescent="0.25"/>
    <row r="228865" s="12" customFormat="1" x14ac:dyDescent="0.25"/>
    <row r="228866" s="12" customFormat="1" x14ac:dyDescent="0.25"/>
    <row r="228867" s="12" customFormat="1" x14ac:dyDescent="0.25"/>
    <row r="228868" s="12" customFormat="1" x14ac:dyDescent="0.25"/>
    <row r="228869" s="12" customFormat="1" x14ac:dyDescent="0.25"/>
    <row r="228870" s="12" customFormat="1" x14ac:dyDescent="0.25"/>
    <row r="228871" s="12" customFormat="1" x14ac:dyDescent="0.25"/>
    <row r="228872" s="12" customFormat="1" x14ac:dyDescent="0.25"/>
    <row r="228873" s="12" customFormat="1" x14ac:dyDescent="0.25"/>
    <row r="228874" s="12" customFormat="1" x14ac:dyDescent="0.25"/>
    <row r="228875" s="12" customFormat="1" x14ac:dyDescent="0.25"/>
    <row r="228876" s="12" customFormat="1" x14ac:dyDescent="0.25"/>
    <row r="228877" s="12" customFormat="1" x14ac:dyDescent="0.25"/>
    <row r="228878" s="12" customFormat="1" x14ac:dyDescent="0.25"/>
    <row r="228879" s="12" customFormat="1" x14ac:dyDescent="0.25"/>
    <row r="228880" s="12" customFormat="1" x14ac:dyDescent="0.25"/>
    <row r="228881" s="12" customFormat="1" x14ac:dyDescent="0.25"/>
    <row r="228882" s="12" customFormat="1" x14ac:dyDescent="0.25"/>
    <row r="228883" s="12" customFormat="1" x14ac:dyDescent="0.25"/>
    <row r="228884" s="12" customFormat="1" x14ac:dyDescent="0.25"/>
    <row r="228885" s="12" customFormat="1" x14ac:dyDescent="0.25"/>
    <row r="228886" s="12" customFormat="1" x14ac:dyDescent="0.25"/>
    <row r="228887" s="12" customFormat="1" x14ac:dyDescent="0.25"/>
    <row r="228888" s="12" customFormat="1" x14ac:dyDescent="0.25"/>
    <row r="228889" s="12" customFormat="1" x14ac:dyDescent="0.25"/>
    <row r="228890" s="12" customFormat="1" x14ac:dyDescent="0.25"/>
    <row r="228891" s="12" customFormat="1" x14ac:dyDescent="0.25"/>
    <row r="228892" s="12" customFormat="1" x14ac:dyDescent="0.25"/>
    <row r="228893" s="12" customFormat="1" x14ac:dyDescent="0.25"/>
    <row r="228894" s="12" customFormat="1" x14ac:dyDescent="0.25"/>
    <row r="228895" s="12" customFormat="1" x14ac:dyDescent="0.25"/>
    <row r="228896" s="12" customFormat="1" x14ac:dyDescent="0.25"/>
    <row r="228897" s="12" customFormat="1" x14ac:dyDescent="0.25"/>
    <row r="228898" s="12" customFormat="1" x14ac:dyDescent="0.25"/>
    <row r="228899" s="12" customFormat="1" x14ac:dyDescent="0.25"/>
    <row r="228900" s="12" customFormat="1" x14ac:dyDescent="0.25"/>
    <row r="228901" s="12" customFormat="1" x14ac:dyDescent="0.25"/>
    <row r="228902" s="12" customFormat="1" x14ac:dyDescent="0.25"/>
    <row r="228903" s="12" customFormat="1" x14ac:dyDescent="0.25"/>
    <row r="228904" s="12" customFormat="1" x14ac:dyDescent="0.25"/>
    <row r="228905" s="12" customFormat="1" x14ac:dyDescent="0.25"/>
    <row r="228906" s="12" customFormat="1" x14ac:dyDescent="0.25"/>
    <row r="228907" s="12" customFormat="1" x14ac:dyDescent="0.25"/>
    <row r="228908" s="12" customFormat="1" x14ac:dyDescent="0.25"/>
    <row r="228909" s="12" customFormat="1" x14ac:dyDescent="0.25"/>
    <row r="228910" s="12" customFormat="1" x14ac:dyDescent="0.25"/>
    <row r="228911" s="12" customFormat="1" x14ac:dyDescent="0.25"/>
    <row r="228912" s="12" customFormat="1" x14ac:dyDescent="0.25"/>
    <row r="228913" s="12" customFormat="1" x14ac:dyDescent="0.25"/>
    <row r="228914" s="12" customFormat="1" x14ac:dyDescent="0.25"/>
    <row r="228915" s="12" customFormat="1" x14ac:dyDescent="0.25"/>
    <row r="228916" s="12" customFormat="1" x14ac:dyDescent="0.25"/>
    <row r="228917" s="12" customFormat="1" x14ac:dyDescent="0.25"/>
    <row r="228918" s="12" customFormat="1" x14ac:dyDescent="0.25"/>
    <row r="228919" s="12" customFormat="1" x14ac:dyDescent="0.25"/>
    <row r="228920" s="12" customFormat="1" x14ac:dyDescent="0.25"/>
    <row r="228921" s="12" customFormat="1" x14ac:dyDescent="0.25"/>
    <row r="228922" s="12" customFormat="1" x14ac:dyDescent="0.25"/>
    <row r="228923" s="12" customFormat="1" x14ac:dyDescent="0.25"/>
    <row r="228924" s="12" customFormat="1" x14ac:dyDescent="0.25"/>
    <row r="228925" s="12" customFormat="1" x14ac:dyDescent="0.25"/>
    <row r="228926" s="12" customFormat="1" x14ac:dyDescent="0.25"/>
    <row r="228927" s="12" customFormat="1" x14ac:dyDescent="0.25"/>
    <row r="228928" s="12" customFormat="1" x14ac:dyDescent="0.25"/>
    <row r="228929" s="12" customFormat="1" x14ac:dyDescent="0.25"/>
    <row r="228930" s="12" customFormat="1" x14ac:dyDescent="0.25"/>
    <row r="228931" s="12" customFormat="1" x14ac:dyDescent="0.25"/>
    <row r="228932" s="12" customFormat="1" x14ac:dyDescent="0.25"/>
    <row r="228933" s="12" customFormat="1" x14ac:dyDescent="0.25"/>
    <row r="228934" s="12" customFormat="1" x14ac:dyDescent="0.25"/>
    <row r="228935" s="12" customFormat="1" x14ac:dyDescent="0.25"/>
    <row r="228936" s="12" customFormat="1" x14ac:dyDescent="0.25"/>
    <row r="228937" s="12" customFormat="1" x14ac:dyDescent="0.25"/>
    <row r="228938" s="12" customFormat="1" x14ac:dyDescent="0.25"/>
    <row r="228939" s="12" customFormat="1" x14ac:dyDescent="0.25"/>
    <row r="228940" s="12" customFormat="1" x14ac:dyDescent="0.25"/>
    <row r="228941" s="12" customFormat="1" x14ac:dyDescent="0.25"/>
    <row r="228942" s="12" customFormat="1" x14ac:dyDescent="0.25"/>
    <row r="228943" s="12" customFormat="1" x14ac:dyDescent="0.25"/>
    <row r="228944" s="12" customFormat="1" x14ac:dyDescent="0.25"/>
    <row r="228945" s="12" customFormat="1" x14ac:dyDescent="0.25"/>
    <row r="228946" s="12" customFormat="1" x14ac:dyDescent="0.25"/>
    <row r="228947" s="12" customFormat="1" x14ac:dyDescent="0.25"/>
    <row r="228948" s="12" customFormat="1" x14ac:dyDescent="0.25"/>
    <row r="228949" s="12" customFormat="1" x14ac:dyDescent="0.25"/>
    <row r="228950" s="12" customFormat="1" x14ac:dyDescent="0.25"/>
    <row r="228951" s="12" customFormat="1" x14ac:dyDescent="0.25"/>
    <row r="228952" s="12" customFormat="1" x14ac:dyDescent="0.25"/>
    <row r="228953" s="12" customFormat="1" x14ac:dyDescent="0.25"/>
    <row r="228954" s="12" customFormat="1" x14ac:dyDescent="0.25"/>
    <row r="228955" s="12" customFormat="1" x14ac:dyDescent="0.25"/>
    <row r="228956" s="12" customFormat="1" x14ac:dyDescent="0.25"/>
    <row r="228957" s="12" customFormat="1" x14ac:dyDescent="0.25"/>
    <row r="228958" s="12" customFormat="1" x14ac:dyDescent="0.25"/>
    <row r="228959" s="12" customFormat="1" x14ac:dyDescent="0.25"/>
    <row r="228960" s="12" customFormat="1" x14ac:dyDescent="0.25"/>
    <row r="228961" s="12" customFormat="1" x14ac:dyDescent="0.25"/>
    <row r="228962" s="12" customFormat="1" x14ac:dyDescent="0.25"/>
    <row r="228963" s="12" customFormat="1" x14ac:dyDescent="0.25"/>
    <row r="228964" s="12" customFormat="1" x14ac:dyDescent="0.25"/>
    <row r="228965" s="12" customFormat="1" x14ac:dyDescent="0.25"/>
    <row r="228966" s="12" customFormat="1" x14ac:dyDescent="0.25"/>
    <row r="228967" s="12" customFormat="1" x14ac:dyDescent="0.25"/>
    <row r="228968" s="12" customFormat="1" x14ac:dyDescent="0.25"/>
    <row r="228969" s="12" customFormat="1" x14ac:dyDescent="0.25"/>
    <row r="228970" s="12" customFormat="1" x14ac:dyDescent="0.25"/>
    <row r="228971" s="12" customFormat="1" x14ac:dyDescent="0.25"/>
    <row r="228972" s="12" customFormat="1" x14ac:dyDescent="0.25"/>
    <row r="228973" s="12" customFormat="1" x14ac:dyDescent="0.25"/>
    <row r="228974" s="12" customFormat="1" x14ac:dyDescent="0.25"/>
    <row r="228975" s="12" customFormat="1" x14ac:dyDescent="0.25"/>
    <row r="228976" s="12" customFormat="1" x14ac:dyDescent="0.25"/>
    <row r="228977" s="12" customFormat="1" x14ac:dyDescent="0.25"/>
    <row r="228978" s="12" customFormat="1" x14ac:dyDescent="0.25"/>
    <row r="228979" s="12" customFormat="1" x14ac:dyDescent="0.25"/>
    <row r="228980" s="12" customFormat="1" x14ac:dyDescent="0.25"/>
    <row r="228981" s="12" customFormat="1" x14ac:dyDescent="0.25"/>
    <row r="228982" s="12" customFormat="1" x14ac:dyDescent="0.25"/>
    <row r="228983" s="12" customFormat="1" x14ac:dyDescent="0.25"/>
    <row r="228984" s="12" customFormat="1" x14ac:dyDescent="0.25"/>
    <row r="228985" s="12" customFormat="1" x14ac:dyDescent="0.25"/>
    <row r="228986" s="12" customFormat="1" x14ac:dyDescent="0.25"/>
    <row r="228987" s="12" customFormat="1" x14ac:dyDescent="0.25"/>
    <row r="228988" s="12" customFormat="1" x14ac:dyDescent="0.25"/>
    <row r="228989" s="12" customFormat="1" x14ac:dyDescent="0.25"/>
    <row r="228990" s="12" customFormat="1" x14ac:dyDescent="0.25"/>
    <row r="228991" s="12" customFormat="1" x14ac:dyDescent="0.25"/>
    <row r="228992" s="12" customFormat="1" x14ac:dyDescent="0.25"/>
    <row r="228993" s="12" customFormat="1" x14ac:dyDescent="0.25"/>
    <row r="228994" s="12" customFormat="1" x14ac:dyDescent="0.25"/>
    <row r="228995" s="12" customFormat="1" x14ac:dyDescent="0.25"/>
    <row r="228996" s="12" customFormat="1" x14ac:dyDescent="0.25"/>
    <row r="228997" s="12" customFormat="1" x14ac:dyDescent="0.25"/>
    <row r="228998" s="12" customFormat="1" x14ac:dyDescent="0.25"/>
    <row r="228999" s="12" customFormat="1" x14ac:dyDescent="0.25"/>
    <row r="229000" s="12" customFormat="1" x14ac:dyDescent="0.25"/>
    <row r="229001" s="12" customFormat="1" x14ac:dyDescent="0.25"/>
    <row r="229002" s="12" customFormat="1" x14ac:dyDescent="0.25"/>
    <row r="229003" s="12" customFormat="1" x14ac:dyDescent="0.25"/>
    <row r="229004" s="12" customFormat="1" x14ac:dyDescent="0.25"/>
    <row r="229005" s="12" customFormat="1" x14ac:dyDescent="0.25"/>
    <row r="229006" s="12" customFormat="1" x14ac:dyDescent="0.25"/>
    <row r="229007" s="12" customFormat="1" x14ac:dyDescent="0.25"/>
    <row r="229008" s="12" customFormat="1" x14ac:dyDescent="0.25"/>
    <row r="229009" s="12" customFormat="1" x14ac:dyDescent="0.25"/>
    <row r="229010" s="12" customFormat="1" x14ac:dyDescent="0.25"/>
    <row r="229011" s="12" customFormat="1" x14ac:dyDescent="0.25"/>
    <row r="229012" s="12" customFormat="1" x14ac:dyDescent="0.25"/>
    <row r="229013" s="12" customFormat="1" x14ac:dyDescent="0.25"/>
    <row r="229014" s="12" customFormat="1" x14ac:dyDescent="0.25"/>
    <row r="229015" s="12" customFormat="1" x14ac:dyDescent="0.25"/>
    <row r="229016" s="12" customFormat="1" x14ac:dyDescent="0.25"/>
    <row r="229017" s="12" customFormat="1" x14ac:dyDescent="0.25"/>
    <row r="229018" s="12" customFormat="1" x14ac:dyDescent="0.25"/>
    <row r="229019" s="12" customFormat="1" x14ac:dyDescent="0.25"/>
    <row r="229020" s="12" customFormat="1" x14ac:dyDescent="0.25"/>
    <row r="229021" s="12" customFormat="1" x14ac:dyDescent="0.25"/>
    <row r="229022" s="12" customFormat="1" x14ac:dyDescent="0.25"/>
    <row r="229023" s="12" customFormat="1" x14ac:dyDescent="0.25"/>
    <row r="229024" s="12" customFormat="1" x14ac:dyDescent="0.25"/>
    <row r="229025" s="12" customFormat="1" x14ac:dyDescent="0.25"/>
    <row r="229026" s="12" customFormat="1" x14ac:dyDescent="0.25"/>
    <row r="229027" s="12" customFormat="1" x14ac:dyDescent="0.25"/>
    <row r="229028" s="12" customFormat="1" x14ac:dyDescent="0.25"/>
    <row r="229029" s="12" customFormat="1" x14ac:dyDescent="0.25"/>
    <row r="229030" s="12" customFormat="1" x14ac:dyDescent="0.25"/>
    <row r="229031" s="12" customFormat="1" x14ac:dyDescent="0.25"/>
    <row r="229032" s="12" customFormat="1" x14ac:dyDescent="0.25"/>
    <row r="229033" s="12" customFormat="1" x14ac:dyDescent="0.25"/>
    <row r="229034" s="12" customFormat="1" x14ac:dyDescent="0.25"/>
    <row r="229035" s="12" customFormat="1" x14ac:dyDescent="0.25"/>
    <row r="229036" s="12" customFormat="1" x14ac:dyDescent="0.25"/>
    <row r="229037" s="12" customFormat="1" x14ac:dyDescent="0.25"/>
    <row r="229038" s="12" customFormat="1" x14ac:dyDescent="0.25"/>
    <row r="229039" s="12" customFormat="1" x14ac:dyDescent="0.25"/>
    <row r="229040" s="12" customFormat="1" x14ac:dyDescent="0.25"/>
    <row r="229041" s="12" customFormat="1" x14ac:dyDescent="0.25"/>
    <row r="229042" s="12" customFormat="1" x14ac:dyDescent="0.25"/>
    <row r="229043" s="12" customFormat="1" x14ac:dyDescent="0.25"/>
    <row r="229044" s="12" customFormat="1" x14ac:dyDescent="0.25"/>
    <row r="229045" s="12" customFormat="1" x14ac:dyDescent="0.25"/>
    <row r="229046" s="12" customFormat="1" x14ac:dyDescent="0.25"/>
    <row r="229047" s="12" customFormat="1" x14ac:dyDescent="0.25"/>
    <row r="229048" s="12" customFormat="1" x14ac:dyDescent="0.25"/>
    <row r="229049" s="12" customFormat="1" x14ac:dyDescent="0.25"/>
    <row r="229050" s="12" customFormat="1" x14ac:dyDescent="0.25"/>
    <row r="229051" s="12" customFormat="1" x14ac:dyDescent="0.25"/>
    <row r="229052" s="12" customFormat="1" x14ac:dyDescent="0.25"/>
    <row r="229053" s="12" customFormat="1" x14ac:dyDescent="0.25"/>
    <row r="229054" s="12" customFormat="1" x14ac:dyDescent="0.25"/>
    <row r="229055" s="12" customFormat="1" x14ac:dyDescent="0.25"/>
    <row r="229056" s="12" customFormat="1" x14ac:dyDescent="0.25"/>
    <row r="229057" s="12" customFormat="1" x14ac:dyDescent="0.25"/>
    <row r="229058" s="12" customFormat="1" x14ac:dyDescent="0.25"/>
    <row r="229059" s="12" customFormat="1" x14ac:dyDescent="0.25"/>
    <row r="229060" s="12" customFormat="1" x14ac:dyDescent="0.25"/>
    <row r="229061" s="12" customFormat="1" x14ac:dyDescent="0.25"/>
    <row r="229062" s="12" customFormat="1" x14ac:dyDescent="0.25"/>
    <row r="229063" s="12" customFormat="1" x14ac:dyDescent="0.25"/>
    <row r="229064" s="12" customFormat="1" x14ac:dyDescent="0.25"/>
    <row r="229065" s="12" customFormat="1" x14ac:dyDescent="0.25"/>
    <row r="229066" s="12" customFormat="1" x14ac:dyDescent="0.25"/>
    <row r="229067" s="12" customFormat="1" x14ac:dyDescent="0.25"/>
    <row r="229068" s="12" customFormat="1" x14ac:dyDescent="0.25"/>
    <row r="229069" s="12" customFormat="1" x14ac:dyDescent="0.25"/>
    <row r="229070" s="12" customFormat="1" x14ac:dyDescent="0.25"/>
    <row r="229071" s="12" customFormat="1" x14ac:dyDescent="0.25"/>
    <row r="229072" s="12" customFormat="1" x14ac:dyDescent="0.25"/>
    <row r="229073" s="12" customFormat="1" x14ac:dyDescent="0.25"/>
    <row r="229074" s="12" customFormat="1" x14ac:dyDescent="0.25"/>
    <row r="229075" s="12" customFormat="1" x14ac:dyDescent="0.25"/>
    <row r="229076" s="12" customFormat="1" x14ac:dyDescent="0.25"/>
    <row r="229077" s="12" customFormat="1" x14ac:dyDescent="0.25"/>
    <row r="229078" s="12" customFormat="1" x14ac:dyDescent="0.25"/>
    <row r="229079" s="12" customFormat="1" x14ac:dyDescent="0.25"/>
    <row r="229080" s="12" customFormat="1" x14ac:dyDescent="0.25"/>
    <row r="229081" s="12" customFormat="1" x14ac:dyDescent="0.25"/>
    <row r="229082" s="12" customFormat="1" x14ac:dyDescent="0.25"/>
    <row r="229083" s="12" customFormat="1" x14ac:dyDescent="0.25"/>
    <row r="229084" s="12" customFormat="1" x14ac:dyDescent="0.25"/>
    <row r="229085" s="12" customFormat="1" x14ac:dyDescent="0.25"/>
    <row r="229086" s="12" customFormat="1" x14ac:dyDescent="0.25"/>
    <row r="229087" s="12" customFormat="1" x14ac:dyDescent="0.25"/>
    <row r="229088" s="12" customFormat="1" x14ac:dyDescent="0.25"/>
    <row r="229089" s="12" customFormat="1" x14ac:dyDescent="0.25"/>
    <row r="229090" s="12" customFormat="1" x14ac:dyDescent="0.25"/>
    <row r="229091" s="12" customFormat="1" x14ac:dyDescent="0.25"/>
    <row r="229092" s="12" customFormat="1" x14ac:dyDescent="0.25"/>
    <row r="229093" s="12" customFormat="1" x14ac:dyDescent="0.25"/>
    <row r="229094" s="12" customFormat="1" x14ac:dyDescent="0.25"/>
    <row r="229095" s="12" customFormat="1" x14ac:dyDescent="0.25"/>
    <row r="229096" s="12" customFormat="1" x14ac:dyDescent="0.25"/>
    <row r="229097" s="12" customFormat="1" x14ac:dyDescent="0.25"/>
    <row r="229098" s="12" customFormat="1" x14ac:dyDescent="0.25"/>
    <row r="229099" s="12" customFormat="1" x14ac:dyDescent="0.25"/>
    <row r="229100" s="12" customFormat="1" x14ac:dyDescent="0.25"/>
    <row r="229101" s="12" customFormat="1" x14ac:dyDescent="0.25"/>
    <row r="229102" s="12" customFormat="1" x14ac:dyDescent="0.25"/>
    <row r="229103" s="12" customFormat="1" x14ac:dyDescent="0.25"/>
    <row r="229104" s="12" customFormat="1" x14ac:dyDescent="0.25"/>
    <row r="229105" s="12" customFormat="1" x14ac:dyDescent="0.25"/>
    <row r="229106" s="12" customFormat="1" x14ac:dyDescent="0.25"/>
    <row r="229107" s="12" customFormat="1" x14ac:dyDescent="0.25"/>
    <row r="229108" s="12" customFormat="1" x14ac:dyDescent="0.25"/>
    <row r="229109" s="12" customFormat="1" x14ac:dyDescent="0.25"/>
    <row r="229110" s="12" customFormat="1" x14ac:dyDescent="0.25"/>
    <row r="229111" s="12" customFormat="1" x14ac:dyDescent="0.25"/>
    <row r="229112" s="12" customFormat="1" x14ac:dyDescent="0.25"/>
    <row r="229113" s="12" customFormat="1" x14ac:dyDescent="0.25"/>
    <row r="229114" s="12" customFormat="1" x14ac:dyDescent="0.25"/>
    <row r="229115" s="12" customFormat="1" x14ac:dyDescent="0.25"/>
    <row r="229116" s="12" customFormat="1" x14ac:dyDescent="0.25"/>
    <row r="229117" s="12" customFormat="1" x14ac:dyDescent="0.25"/>
    <row r="229118" s="12" customFormat="1" x14ac:dyDescent="0.25"/>
    <row r="229119" s="12" customFormat="1" x14ac:dyDescent="0.25"/>
    <row r="229120" s="12" customFormat="1" x14ac:dyDescent="0.25"/>
    <row r="229121" s="12" customFormat="1" x14ac:dyDescent="0.25"/>
    <row r="229122" s="12" customFormat="1" x14ac:dyDescent="0.25"/>
    <row r="229123" s="12" customFormat="1" x14ac:dyDescent="0.25"/>
    <row r="229124" s="12" customFormat="1" x14ac:dyDescent="0.25"/>
    <row r="229125" s="12" customFormat="1" x14ac:dyDescent="0.25"/>
    <row r="229126" s="12" customFormat="1" x14ac:dyDescent="0.25"/>
    <row r="229127" s="12" customFormat="1" x14ac:dyDescent="0.25"/>
    <row r="229128" s="12" customFormat="1" x14ac:dyDescent="0.25"/>
    <row r="229129" s="12" customFormat="1" x14ac:dyDescent="0.25"/>
    <row r="229130" s="12" customFormat="1" x14ac:dyDescent="0.25"/>
    <row r="229131" s="12" customFormat="1" x14ac:dyDescent="0.25"/>
    <row r="229132" s="12" customFormat="1" x14ac:dyDescent="0.25"/>
    <row r="229133" s="12" customFormat="1" x14ac:dyDescent="0.25"/>
    <row r="229134" s="12" customFormat="1" x14ac:dyDescent="0.25"/>
    <row r="229135" s="12" customFormat="1" x14ac:dyDescent="0.25"/>
    <row r="229136" s="12" customFormat="1" x14ac:dyDescent="0.25"/>
    <row r="229137" s="12" customFormat="1" x14ac:dyDescent="0.25"/>
    <row r="229138" s="12" customFormat="1" x14ac:dyDescent="0.25"/>
    <row r="229139" s="12" customFormat="1" x14ac:dyDescent="0.25"/>
    <row r="229140" s="12" customFormat="1" x14ac:dyDescent="0.25"/>
    <row r="229141" s="12" customFormat="1" x14ac:dyDescent="0.25"/>
    <row r="229142" s="12" customFormat="1" x14ac:dyDescent="0.25"/>
    <row r="229143" s="12" customFormat="1" x14ac:dyDescent="0.25"/>
    <row r="229144" s="12" customFormat="1" x14ac:dyDescent="0.25"/>
    <row r="229145" s="12" customFormat="1" x14ac:dyDescent="0.25"/>
    <row r="229146" s="12" customFormat="1" x14ac:dyDescent="0.25"/>
    <row r="229147" s="12" customFormat="1" x14ac:dyDescent="0.25"/>
    <row r="229148" s="12" customFormat="1" x14ac:dyDescent="0.25"/>
    <row r="229149" s="12" customFormat="1" x14ac:dyDescent="0.25"/>
    <row r="229150" s="12" customFormat="1" x14ac:dyDescent="0.25"/>
    <row r="229151" s="12" customFormat="1" x14ac:dyDescent="0.25"/>
    <row r="229152" s="12" customFormat="1" x14ac:dyDescent="0.25"/>
    <row r="229153" s="12" customFormat="1" x14ac:dyDescent="0.25"/>
    <row r="229154" s="12" customFormat="1" x14ac:dyDescent="0.25"/>
    <row r="229155" s="12" customFormat="1" x14ac:dyDescent="0.25"/>
    <row r="229156" s="12" customFormat="1" x14ac:dyDescent="0.25"/>
    <row r="229157" s="12" customFormat="1" x14ac:dyDescent="0.25"/>
    <row r="229158" s="12" customFormat="1" x14ac:dyDescent="0.25"/>
    <row r="229159" s="12" customFormat="1" x14ac:dyDescent="0.25"/>
    <row r="229160" s="12" customFormat="1" x14ac:dyDescent="0.25"/>
    <row r="229161" s="12" customFormat="1" x14ac:dyDescent="0.25"/>
    <row r="229162" s="12" customFormat="1" x14ac:dyDescent="0.25"/>
    <row r="229163" s="12" customFormat="1" x14ac:dyDescent="0.25"/>
    <row r="229164" s="12" customFormat="1" x14ac:dyDescent="0.25"/>
    <row r="229165" s="12" customFormat="1" x14ac:dyDescent="0.25"/>
    <row r="229166" s="12" customFormat="1" x14ac:dyDescent="0.25"/>
    <row r="229167" s="12" customFormat="1" x14ac:dyDescent="0.25"/>
    <row r="229168" s="12" customFormat="1" x14ac:dyDescent="0.25"/>
    <row r="229169" s="12" customFormat="1" x14ac:dyDescent="0.25"/>
    <row r="229170" s="12" customFormat="1" x14ac:dyDescent="0.25"/>
    <row r="229171" s="12" customFormat="1" x14ac:dyDescent="0.25"/>
    <row r="229172" s="12" customFormat="1" x14ac:dyDescent="0.25"/>
    <row r="229173" s="12" customFormat="1" x14ac:dyDescent="0.25"/>
    <row r="229174" s="12" customFormat="1" x14ac:dyDescent="0.25"/>
    <row r="229175" s="12" customFormat="1" x14ac:dyDescent="0.25"/>
    <row r="229176" s="12" customFormat="1" x14ac:dyDescent="0.25"/>
    <row r="229177" s="12" customFormat="1" x14ac:dyDescent="0.25"/>
    <row r="229178" s="12" customFormat="1" x14ac:dyDescent="0.25"/>
    <row r="229179" s="12" customFormat="1" x14ac:dyDescent="0.25"/>
    <row r="229180" s="12" customFormat="1" x14ac:dyDescent="0.25"/>
    <row r="229181" s="12" customFormat="1" x14ac:dyDescent="0.25"/>
    <row r="229182" s="12" customFormat="1" x14ac:dyDescent="0.25"/>
    <row r="229183" s="12" customFormat="1" x14ac:dyDescent="0.25"/>
    <row r="229184" s="12" customFormat="1" x14ac:dyDescent="0.25"/>
    <row r="229185" s="12" customFormat="1" x14ac:dyDescent="0.25"/>
    <row r="229186" s="12" customFormat="1" x14ac:dyDescent="0.25"/>
    <row r="229187" s="12" customFormat="1" x14ac:dyDescent="0.25"/>
    <row r="229188" s="12" customFormat="1" x14ac:dyDescent="0.25"/>
    <row r="229189" s="12" customFormat="1" x14ac:dyDescent="0.25"/>
    <row r="229190" s="12" customFormat="1" x14ac:dyDescent="0.25"/>
    <row r="229191" s="12" customFormat="1" x14ac:dyDescent="0.25"/>
    <row r="229192" s="12" customFormat="1" x14ac:dyDescent="0.25"/>
    <row r="229193" s="12" customFormat="1" x14ac:dyDescent="0.25"/>
    <row r="229194" s="12" customFormat="1" x14ac:dyDescent="0.25"/>
    <row r="229195" s="12" customFormat="1" x14ac:dyDescent="0.25"/>
    <row r="229196" s="12" customFormat="1" x14ac:dyDescent="0.25"/>
    <row r="229197" s="12" customFormat="1" x14ac:dyDescent="0.25"/>
    <row r="229198" s="12" customFormat="1" x14ac:dyDescent="0.25"/>
    <row r="229199" s="12" customFormat="1" x14ac:dyDescent="0.25"/>
    <row r="229200" s="12" customFormat="1" x14ac:dyDescent="0.25"/>
    <row r="229201" s="12" customFormat="1" x14ac:dyDescent="0.25"/>
    <row r="229202" s="12" customFormat="1" x14ac:dyDescent="0.25"/>
    <row r="229203" s="12" customFormat="1" x14ac:dyDescent="0.25"/>
    <row r="229204" s="12" customFormat="1" x14ac:dyDescent="0.25"/>
    <row r="229205" s="12" customFormat="1" x14ac:dyDescent="0.25"/>
    <row r="229206" s="12" customFormat="1" x14ac:dyDescent="0.25"/>
    <row r="229207" s="12" customFormat="1" x14ac:dyDescent="0.25"/>
    <row r="229208" s="12" customFormat="1" x14ac:dyDescent="0.25"/>
    <row r="229209" s="12" customFormat="1" x14ac:dyDescent="0.25"/>
    <row r="229210" s="12" customFormat="1" x14ac:dyDescent="0.25"/>
    <row r="229211" s="12" customFormat="1" x14ac:dyDescent="0.25"/>
    <row r="229212" s="12" customFormat="1" x14ac:dyDescent="0.25"/>
    <row r="229213" s="12" customFormat="1" x14ac:dyDescent="0.25"/>
    <row r="229214" s="12" customFormat="1" x14ac:dyDescent="0.25"/>
    <row r="229215" s="12" customFormat="1" x14ac:dyDescent="0.25"/>
    <row r="229216" s="12" customFormat="1" x14ac:dyDescent="0.25"/>
    <row r="229217" s="12" customFormat="1" x14ac:dyDescent="0.25"/>
    <row r="229218" s="12" customFormat="1" x14ac:dyDescent="0.25"/>
    <row r="229219" s="12" customFormat="1" x14ac:dyDescent="0.25"/>
    <row r="229220" s="12" customFormat="1" x14ac:dyDescent="0.25"/>
    <row r="229221" s="12" customFormat="1" x14ac:dyDescent="0.25"/>
    <row r="229222" s="12" customFormat="1" x14ac:dyDescent="0.25"/>
    <row r="229223" s="12" customFormat="1" x14ac:dyDescent="0.25"/>
    <row r="229224" s="12" customFormat="1" x14ac:dyDescent="0.25"/>
    <row r="229225" s="12" customFormat="1" x14ac:dyDescent="0.25"/>
    <row r="229226" s="12" customFormat="1" x14ac:dyDescent="0.25"/>
    <row r="229227" s="12" customFormat="1" x14ac:dyDescent="0.25"/>
    <row r="229228" s="12" customFormat="1" x14ac:dyDescent="0.25"/>
    <row r="229229" s="12" customFormat="1" x14ac:dyDescent="0.25"/>
    <row r="229230" s="12" customFormat="1" x14ac:dyDescent="0.25"/>
    <row r="229231" s="12" customFormat="1" x14ac:dyDescent="0.25"/>
    <row r="229232" s="12" customFormat="1" x14ac:dyDescent="0.25"/>
    <row r="229233" s="12" customFormat="1" x14ac:dyDescent="0.25"/>
    <row r="229234" s="12" customFormat="1" x14ac:dyDescent="0.25"/>
    <row r="229235" s="12" customFormat="1" x14ac:dyDescent="0.25"/>
    <row r="229236" s="12" customFormat="1" x14ac:dyDescent="0.25"/>
    <row r="229237" s="12" customFormat="1" x14ac:dyDescent="0.25"/>
    <row r="229238" s="12" customFormat="1" x14ac:dyDescent="0.25"/>
    <row r="229239" s="12" customFormat="1" x14ac:dyDescent="0.25"/>
    <row r="229240" s="12" customFormat="1" x14ac:dyDescent="0.25"/>
    <row r="229241" s="12" customFormat="1" x14ac:dyDescent="0.25"/>
    <row r="229242" s="12" customFormat="1" x14ac:dyDescent="0.25"/>
    <row r="229243" s="12" customFormat="1" x14ac:dyDescent="0.25"/>
    <row r="229244" s="12" customFormat="1" x14ac:dyDescent="0.25"/>
    <row r="229245" s="12" customFormat="1" x14ac:dyDescent="0.25"/>
    <row r="229246" s="12" customFormat="1" x14ac:dyDescent="0.25"/>
    <row r="229247" s="12" customFormat="1" x14ac:dyDescent="0.25"/>
    <row r="229248" s="12" customFormat="1" x14ac:dyDescent="0.25"/>
    <row r="229249" s="12" customFormat="1" x14ac:dyDescent="0.25"/>
    <row r="229250" s="12" customFormat="1" x14ac:dyDescent="0.25"/>
    <row r="229251" s="12" customFormat="1" x14ac:dyDescent="0.25"/>
    <row r="229252" s="12" customFormat="1" x14ac:dyDescent="0.25"/>
    <row r="229253" s="12" customFormat="1" x14ac:dyDescent="0.25"/>
    <row r="229254" s="12" customFormat="1" x14ac:dyDescent="0.25"/>
    <row r="229255" s="12" customFormat="1" x14ac:dyDescent="0.25"/>
    <row r="229256" s="12" customFormat="1" x14ac:dyDescent="0.25"/>
    <row r="229257" s="12" customFormat="1" x14ac:dyDescent="0.25"/>
    <row r="229258" s="12" customFormat="1" x14ac:dyDescent="0.25"/>
    <row r="229259" s="12" customFormat="1" x14ac:dyDescent="0.25"/>
    <row r="229260" s="12" customFormat="1" x14ac:dyDescent="0.25"/>
    <row r="229261" s="12" customFormat="1" x14ac:dyDescent="0.25"/>
    <row r="229262" s="12" customFormat="1" x14ac:dyDescent="0.25"/>
    <row r="229263" s="12" customFormat="1" x14ac:dyDescent="0.25"/>
    <row r="229264" s="12" customFormat="1" x14ac:dyDescent="0.25"/>
    <row r="229265" s="12" customFormat="1" x14ac:dyDescent="0.25"/>
    <row r="229266" s="12" customFormat="1" x14ac:dyDescent="0.25"/>
    <row r="229267" s="12" customFormat="1" x14ac:dyDescent="0.25"/>
    <row r="229268" s="12" customFormat="1" x14ac:dyDescent="0.25"/>
    <row r="229269" s="12" customFormat="1" x14ac:dyDescent="0.25"/>
    <row r="229270" s="12" customFormat="1" x14ac:dyDescent="0.25"/>
    <row r="229271" s="12" customFormat="1" x14ac:dyDescent="0.25"/>
    <row r="229272" s="12" customFormat="1" x14ac:dyDescent="0.25"/>
    <row r="229273" s="12" customFormat="1" x14ac:dyDescent="0.25"/>
    <row r="229274" s="12" customFormat="1" x14ac:dyDescent="0.25"/>
    <row r="229275" s="12" customFormat="1" x14ac:dyDescent="0.25"/>
    <row r="229276" s="12" customFormat="1" x14ac:dyDescent="0.25"/>
    <row r="229277" s="12" customFormat="1" x14ac:dyDescent="0.25"/>
    <row r="229278" s="12" customFormat="1" x14ac:dyDescent="0.25"/>
    <row r="229279" s="12" customFormat="1" x14ac:dyDescent="0.25"/>
    <row r="229280" s="12" customFormat="1" x14ac:dyDescent="0.25"/>
    <row r="229281" s="12" customFormat="1" x14ac:dyDescent="0.25"/>
    <row r="229282" s="12" customFormat="1" x14ac:dyDescent="0.25"/>
    <row r="229283" s="12" customFormat="1" x14ac:dyDescent="0.25"/>
    <row r="229284" s="12" customFormat="1" x14ac:dyDescent="0.25"/>
    <row r="229285" s="12" customFormat="1" x14ac:dyDescent="0.25"/>
    <row r="229286" s="12" customFormat="1" x14ac:dyDescent="0.25"/>
    <row r="229287" s="12" customFormat="1" x14ac:dyDescent="0.25"/>
    <row r="229288" s="12" customFormat="1" x14ac:dyDescent="0.25"/>
    <row r="229289" s="12" customFormat="1" x14ac:dyDescent="0.25"/>
    <row r="229290" s="12" customFormat="1" x14ac:dyDescent="0.25"/>
    <row r="229291" s="12" customFormat="1" x14ac:dyDescent="0.25"/>
    <row r="229292" s="12" customFormat="1" x14ac:dyDescent="0.25"/>
    <row r="229293" s="12" customFormat="1" x14ac:dyDescent="0.25"/>
    <row r="229294" s="12" customFormat="1" x14ac:dyDescent="0.25"/>
    <row r="229295" s="12" customFormat="1" x14ac:dyDescent="0.25"/>
    <row r="229296" s="12" customFormat="1" x14ac:dyDescent="0.25"/>
    <row r="229297" s="12" customFormat="1" x14ac:dyDescent="0.25"/>
    <row r="229298" s="12" customFormat="1" x14ac:dyDescent="0.25"/>
    <row r="229299" s="12" customFormat="1" x14ac:dyDescent="0.25"/>
    <row r="229300" s="12" customFormat="1" x14ac:dyDescent="0.25"/>
    <row r="229301" s="12" customFormat="1" x14ac:dyDescent="0.25"/>
    <row r="229302" s="12" customFormat="1" x14ac:dyDescent="0.25"/>
    <row r="229303" s="12" customFormat="1" x14ac:dyDescent="0.25"/>
    <row r="229304" s="12" customFormat="1" x14ac:dyDescent="0.25"/>
    <row r="229305" s="12" customFormat="1" x14ac:dyDescent="0.25"/>
    <row r="229306" s="12" customFormat="1" x14ac:dyDescent="0.25"/>
    <row r="229307" s="12" customFormat="1" x14ac:dyDescent="0.25"/>
    <row r="229308" s="12" customFormat="1" x14ac:dyDescent="0.25"/>
    <row r="229309" s="12" customFormat="1" x14ac:dyDescent="0.25"/>
    <row r="229310" s="12" customFormat="1" x14ac:dyDescent="0.25"/>
    <row r="229311" s="12" customFormat="1" x14ac:dyDescent="0.25"/>
    <row r="229312" s="12" customFormat="1" x14ac:dyDescent="0.25"/>
    <row r="229313" s="12" customFormat="1" x14ac:dyDescent="0.25"/>
    <row r="229314" s="12" customFormat="1" x14ac:dyDescent="0.25"/>
    <row r="229315" s="12" customFormat="1" x14ac:dyDescent="0.25"/>
    <row r="229316" s="12" customFormat="1" x14ac:dyDescent="0.25"/>
    <row r="229317" s="12" customFormat="1" x14ac:dyDescent="0.25"/>
    <row r="229318" s="12" customFormat="1" x14ac:dyDescent="0.25"/>
    <row r="229319" s="12" customFormat="1" x14ac:dyDescent="0.25"/>
    <row r="229320" s="12" customFormat="1" x14ac:dyDescent="0.25"/>
    <row r="229321" s="12" customFormat="1" x14ac:dyDescent="0.25"/>
    <row r="229322" s="12" customFormat="1" x14ac:dyDescent="0.25"/>
    <row r="229323" s="12" customFormat="1" x14ac:dyDescent="0.25"/>
    <row r="229324" s="12" customFormat="1" x14ac:dyDescent="0.25"/>
    <row r="229325" s="12" customFormat="1" x14ac:dyDescent="0.25"/>
    <row r="229326" s="12" customFormat="1" x14ac:dyDescent="0.25"/>
    <row r="229327" s="12" customFormat="1" x14ac:dyDescent="0.25"/>
    <row r="229328" s="12" customFormat="1" x14ac:dyDescent="0.25"/>
    <row r="229329" s="12" customFormat="1" x14ac:dyDescent="0.25"/>
    <row r="229330" s="12" customFormat="1" x14ac:dyDescent="0.25"/>
    <row r="229331" s="12" customFormat="1" x14ac:dyDescent="0.25"/>
    <row r="229332" s="12" customFormat="1" x14ac:dyDescent="0.25"/>
    <row r="229333" s="12" customFormat="1" x14ac:dyDescent="0.25"/>
    <row r="229334" s="12" customFormat="1" x14ac:dyDescent="0.25"/>
    <row r="229335" s="12" customFormat="1" x14ac:dyDescent="0.25"/>
    <row r="229336" s="12" customFormat="1" x14ac:dyDescent="0.25"/>
    <row r="229337" s="12" customFormat="1" x14ac:dyDescent="0.25"/>
    <row r="229338" s="12" customFormat="1" x14ac:dyDescent="0.25"/>
    <row r="229339" s="12" customFormat="1" x14ac:dyDescent="0.25"/>
    <row r="229340" s="12" customFormat="1" x14ac:dyDescent="0.25"/>
    <row r="229341" s="12" customFormat="1" x14ac:dyDescent="0.25"/>
    <row r="229342" s="12" customFormat="1" x14ac:dyDescent="0.25"/>
    <row r="229343" s="12" customFormat="1" x14ac:dyDescent="0.25"/>
    <row r="229344" s="12" customFormat="1" x14ac:dyDescent="0.25"/>
    <row r="229345" s="12" customFormat="1" x14ac:dyDescent="0.25"/>
    <row r="229346" s="12" customFormat="1" x14ac:dyDescent="0.25"/>
    <row r="229347" s="12" customFormat="1" x14ac:dyDescent="0.25"/>
    <row r="229348" s="12" customFormat="1" x14ac:dyDescent="0.25"/>
    <row r="229349" s="12" customFormat="1" x14ac:dyDescent="0.25"/>
    <row r="229350" s="12" customFormat="1" x14ac:dyDescent="0.25"/>
    <row r="229351" s="12" customFormat="1" x14ac:dyDescent="0.25"/>
    <row r="229352" s="12" customFormat="1" x14ac:dyDescent="0.25"/>
    <row r="229353" s="12" customFormat="1" x14ac:dyDescent="0.25"/>
    <row r="229354" s="12" customFormat="1" x14ac:dyDescent="0.25"/>
    <row r="229355" s="12" customFormat="1" x14ac:dyDescent="0.25"/>
    <row r="229356" s="12" customFormat="1" x14ac:dyDescent="0.25"/>
    <row r="229357" s="12" customFormat="1" x14ac:dyDescent="0.25"/>
    <row r="229358" s="12" customFormat="1" x14ac:dyDescent="0.25"/>
    <row r="229359" s="12" customFormat="1" x14ac:dyDescent="0.25"/>
    <row r="229360" s="12" customFormat="1" x14ac:dyDescent="0.25"/>
    <row r="229361" s="12" customFormat="1" x14ac:dyDescent="0.25"/>
    <row r="229362" s="12" customFormat="1" x14ac:dyDescent="0.25"/>
    <row r="229363" s="12" customFormat="1" x14ac:dyDescent="0.25"/>
    <row r="229364" s="12" customFormat="1" x14ac:dyDescent="0.25"/>
    <row r="229365" s="12" customFormat="1" x14ac:dyDescent="0.25"/>
    <row r="229366" s="12" customFormat="1" x14ac:dyDescent="0.25"/>
    <row r="229367" s="12" customFormat="1" x14ac:dyDescent="0.25"/>
    <row r="229368" s="12" customFormat="1" x14ac:dyDescent="0.25"/>
    <row r="229369" s="12" customFormat="1" x14ac:dyDescent="0.25"/>
    <row r="229370" s="12" customFormat="1" x14ac:dyDescent="0.25"/>
    <row r="229371" s="12" customFormat="1" x14ac:dyDescent="0.25"/>
    <row r="229372" s="12" customFormat="1" x14ac:dyDescent="0.25"/>
    <row r="229373" s="12" customFormat="1" x14ac:dyDescent="0.25"/>
    <row r="229374" s="12" customFormat="1" x14ac:dyDescent="0.25"/>
    <row r="229375" s="12" customFormat="1" x14ac:dyDescent="0.25"/>
    <row r="229376" s="12" customFormat="1" x14ac:dyDescent="0.25"/>
    <row r="229377" s="12" customFormat="1" x14ac:dyDescent="0.25"/>
    <row r="229378" s="12" customFormat="1" x14ac:dyDescent="0.25"/>
    <row r="229379" s="12" customFormat="1" x14ac:dyDescent="0.25"/>
    <row r="229380" s="12" customFormat="1" x14ac:dyDescent="0.25"/>
    <row r="229381" s="12" customFormat="1" x14ac:dyDescent="0.25"/>
    <row r="229382" s="12" customFormat="1" x14ac:dyDescent="0.25"/>
    <row r="229383" s="12" customFormat="1" x14ac:dyDescent="0.25"/>
    <row r="229384" s="12" customFormat="1" x14ac:dyDescent="0.25"/>
    <row r="229385" s="12" customFormat="1" x14ac:dyDescent="0.25"/>
    <row r="229386" s="12" customFormat="1" x14ac:dyDescent="0.25"/>
    <row r="229387" s="12" customFormat="1" x14ac:dyDescent="0.25"/>
    <row r="229388" s="12" customFormat="1" x14ac:dyDescent="0.25"/>
    <row r="229389" s="12" customFormat="1" x14ac:dyDescent="0.25"/>
    <row r="229390" s="12" customFormat="1" x14ac:dyDescent="0.25"/>
    <row r="229391" s="12" customFormat="1" x14ac:dyDescent="0.25"/>
    <row r="229392" s="12" customFormat="1" x14ac:dyDescent="0.25"/>
    <row r="229393" s="12" customFormat="1" x14ac:dyDescent="0.25"/>
    <row r="229394" s="12" customFormat="1" x14ac:dyDescent="0.25"/>
    <row r="229395" s="12" customFormat="1" x14ac:dyDescent="0.25"/>
    <row r="229396" s="12" customFormat="1" x14ac:dyDescent="0.25"/>
    <row r="229397" s="12" customFormat="1" x14ac:dyDescent="0.25"/>
    <row r="229398" s="12" customFormat="1" x14ac:dyDescent="0.25"/>
    <row r="229399" s="12" customFormat="1" x14ac:dyDescent="0.25"/>
    <row r="229400" s="12" customFormat="1" x14ac:dyDescent="0.25"/>
    <row r="229401" s="12" customFormat="1" x14ac:dyDescent="0.25"/>
    <row r="229402" s="12" customFormat="1" x14ac:dyDescent="0.25"/>
    <row r="229403" s="12" customFormat="1" x14ac:dyDescent="0.25"/>
    <row r="229404" s="12" customFormat="1" x14ac:dyDescent="0.25"/>
    <row r="229405" s="12" customFormat="1" x14ac:dyDescent="0.25"/>
    <row r="229406" s="12" customFormat="1" x14ac:dyDescent="0.25"/>
    <row r="229407" s="12" customFormat="1" x14ac:dyDescent="0.25"/>
    <row r="229408" s="12" customFormat="1" x14ac:dyDescent="0.25"/>
    <row r="229409" s="12" customFormat="1" x14ac:dyDescent="0.25"/>
    <row r="229410" s="12" customFormat="1" x14ac:dyDescent="0.25"/>
    <row r="229411" s="12" customFormat="1" x14ac:dyDescent="0.25"/>
    <row r="229412" s="12" customFormat="1" x14ac:dyDescent="0.25"/>
    <row r="229413" s="12" customFormat="1" x14ac:dyDescent="0.25"/>
    <row r="229414" s="12" customFormat="1" x14ac:dyDescent="0.25"/>
    <row r="229415" s="12" customFormat="1" x14ac:dyDescent="0.25"/>
    <row r="229416" s="12" customFormat="1" x14ac:dyDescent="0.25"/>
    <row r="229417" s="12" customFormat="1" x14ac:dyDescent="0.25"/>
    <row r="229418" s="12" customFormat="1" x14ac:dyDescent="0.25"/>
    <row r="229419" s="12" customFormat="1" x14ac:dyDescent="0.25"/>
    <row r="229420" s="12" customFormat="1" x14ac:dyDescent="0.25"/>
    <row r="229421" s="12" customFormat="1" x14ac:dyDescent="0.25"/>
    <row r="229422" s="12" customFormat="1" x14ac:dyDescent="0.25"/>
    <row r="229423" s="12" customFormat="1" x14ac:dyDescent="0.25"/>
    <row r="229424" s="12" customFormat="1" x14ac:dyDescent="0.25"/>
    <row r="229425" s="12" customFormat="1" x14ac:dyDescent="0.25"/>
    <row r="229426" s="12" customFormat="1" x14ac:dyDescent="0.25"/>
    <row r="229427" s="12" customFormat="1" x14ac:dyDescent="0.25"/>
    <row r="229428" s="12" customFormat="1" x14ac:dyDescent="0.25"/>
    <row r="229429" s="12" customFormat="1" x14ac:dyDescent="0.25"/>
    <row r="229430" s="12" customFormat="1" x14ac:dyDescent="0.25"/>
    <row r="229431" s="12" customFormat="1" x14ac:dyDescent="0.25"/>
    <row r="229432" s="12" customFormat="1" x14ac:dyDescent="0.25"/>
    <row r="229433" s="12" customFormat="1" x14ac:dyDescent="0.25"/>
    <row r="229434" s="12" customFormat="1" x14ac:dyDescent="0.25"/>
    <row r="229435" s="12" customFormat="1" x14ac:dyDescent="0.25"/>
    <row r="229436" s="12" customFormat="1" x14ac:dyDescent="0.25"/>
    <row r="229437" s="12" customFormat="1" x14ac:dyDescent="0.25"/>
    <row r="229438" s="12" customFormat="1" x14ac:dyDescent="0.25"/>
    <row r="229439" s="12" customFormat="1" x14ac:dyDescent="0.25"/>
    <row r="229440" s="12" customFormat="1" x14ac:dyDescent="0.25"/>
    <row r="229441" s="12" customFormat="1" x14ac:dyDescent="0.25"/>
    <row r="229442" s="12" customFormat="1" x14ac:dyDescent="0.25"/>
    <row r="229443" s="12" customFormat="1" x14ac:dyDescent="0.25"/>
    <row r="229444" s="12" customFormat="1" x14ac:dyDescent="0.25"/>
    <row r="229445" s="12" customFormat="1" x14ac:dyDescent="0.25"/>
    <row r="229446" s="12" customFormat="1" x14ac:dyDescent="0.25"/>
    <row r="229447" s="12" customFormat="1" x14ac:dyDescent="0.25"/>
    <row r="229448" s="12" customFormat="1" x14ac:dyDescent="0.25"/>
    <row r="229449" s="12" customFormat="1" x14ac:dyDescent="0.25"/>
    <row r="229450" s="12" customFormat="1" x14ac:dyDescent="0.25"/>
    <row r="229451" s="12" customFormat="1" x14ac:dyDescent="0.25"/>
    <row r="229452" s="12" customFormat="1" x14ac:dyDescent="0.25"/>
    <row r="229453" s="12" customFormat="1" x14ac:dyDescent="0.25"/>
    <row r="229454" s="12" customFormat="1" x14ac:dyDescent="0.25"/>
    <row r="229455" s="12" customFormat="1" x14ac:dyDescent="0.25"/>
    <row r="229456" s="12" customFormat="1" x14ac:dyDescent="0.25"/>
    <row r="229457" s="12" customFormat="1" x14ac:dyDescent="0.25"/>
    <row r="229458" s="12" customFormat="1" x14ac:dyDescent="0.25"/>
    <row r="229459" s="12" customFormat="1" x14ac:dyDescent="0.25"/>
    <row r="229460" s="12" customFormat="1" x14ac:dyDescent="0.25"/>
    <row r="229461" s="12" customFormat="1" x14ac:dyDescent="0.25"/>
    <row r="229462" s="12" customFormat="1" x14ac:dyDescent="0.25"/>
    <row r="229463" s="12" customFormat="1" x14ac:dyDescent="0.25"/>
    <row r="229464" s="12" customFormat="1" x14ac:dyDescent="0.25"/>
    <row r="229465" s="12" customFormat="1" x14ac:dyDescent="0.25"/>
    <row r="229466" s="12" customFormat="1" x14ac:dyDescent="0.25"/>
    <row r="229467" s="12" customFormat="1" x14ac:dyDescent="0.25"/>
    <row r="229468" s="12" customFormat="1" x14ac:dyDescent="0.25"/>
    <row r="229469" s="12" customFormat="1" x14ac:dyDescent="0.25"/>
    <row r="229470" s="12" customFormat="1" x14ac:dyDescent="0.25"/>
    <row r="229471" s="12" customFormat="1" x14ac:dyDescent="0.25"/>
    <row r="229472" s="12" customFormat="1" x14ac:dyDescent="0.25"/>
    <row r="229473" s="12" customFormat="1" x14ac:dyDescent="0.25"/>
    <row r="229474" s="12" customFormat="1" x14ac:dyDescent="0.25"/>
    <row r="229475" s="12" customFormat="1" x14ac:dyDescent="0.25"/>
    <row r="229476" s="12" customFormat="1" x14ac:dyDescent="0.25"/>
    <row r="229477" s="12" customFormat="1" x14ac:dyDescent="0.25"/>
    <row r="229478" s="12" customFormat="1" x14ac:dyDescent="0.25"/>
    <row r="229479" s="12" customFormat="1" x14ac:dyDescent="0.25"/>
    <row r="229480" s="12" customFormat="1" x14ac:dyDescent="0.25"/>
    <row r="229481" s="12" customFormat="1" x14ac:dyDescent="0.25"/>
    <row r="229482" s="12" customFormat="1" x14ac:dyDescent="0.25"/>
    <row r="229483" s="12" customFormat="1" x14ac:dyDescent="0.25"/>
    <row r="229484" s="12" customFormat="1" x14ac:dyDescent="0.25"/>
    <row r="229485" s="12" customFormat="1" x14ac:dyDescent="0.25"/>
    <row r="229486" s="12" customFormat="1" x14ac:dyDescent="0.25"/>
    <row r="229487" s="12" customFormat="1" x14ac:dyDescent="0.25"/>
    <row r="229488" s="12" customFormat="1" x14ac:dyDescent="0.25"/>
    <row r="229489" s="12" customFormat="1" x14ac:dyDescent="0.25"/>
    <row r="229490" s="12" customFormat="1" x14ac:dyDescent="0.25"/>
    <row r="229491" s="12" customFormat="1" x14ac:dyDescent="0.25"/>
    <row r="229492" s="12" customFormat="1" x14ac:dyDescent="0.25"/>
    <row r="229493" s="12" customFormat="1" x14ac:dyDescent="0.25"/>
    <row r="229494" s="12" customFormat="1" x14ac:dyDescent="0.25"/>
    <row r="229495" s="12" customFormat="1" x14ac:dyDescent="0.25"/>
    <row r="229496" s="12" customFormat="1" x14ac:dyDescent="0.25"/>
    <row r="229497" s="12" customFormat="1" x14ac:dyDescent="0.25"/>
    <row r="229498" s="12" customFormat="1" x14ac:dyDescent="0.25"/>
    <row r="229499" s="12" customFormat="1" x14ac:dyDescent="0.25"/>
    <row r="229500" s="12" customFormat="1" x14ac:dyDescent="0.25"/>
    <row r="229501" s="12" customFormat="1" x14ac:dyDescent="0.25"/>
    <row r="229502" s="12" customFormat="1" x14ac:dyDescent="0.25"/>
    <row r="229503" s="12" customFormat="1" x14ac:dyDescent="0.25"/>
    <row r="229504" s="12" customFormat="1" x14ac:dyDescent="0.25"/>
    <row r="229505" s="12" customFormat="1" x14ac:dyDescent="0.25"/>
    <row r="229506" s="12" customFormat="1" x14ac:dyDescent="0.25"/>
    <row r="229507" s="12" customFormat="1" x14ac:dyDescent="0.25"/>
    <row r="229508" s="12" customFormat="1" x14ac:dyDescent="0.25"/>
    <row r="229509" s="12" customFormat="1" x14ac:dyDescent="0.25"/>
    <row r="229510" s="12" customFormat="1" x14ac:dyDescent="0.25"/>
    <row r="229511" s="12" customFormat="1" x14ac:dyDescent="0.25"/>
    <row r="229512" s="12" customFormat="1" x14ac:dyDescent="0.25"/>
    <row r="229513" s="12" customFormat="1" x14ac:dyDescent="0.25"/>
    <row r="229514" s="12" customFormat="1" x14ac:dyDescent="0.25"/>
    <row r="229515" s="12" customFormat="1" x14ac:dyDescent="0.25"/>
    <row r="229516" s="12" customFormat="1" x14ac:dyDescent="0.25"/>
    <row r="229517" s="12" customFormat="1" x14ac:dyDescent="0.25"/>
    <row r="229518" s="12" customFormat="1" x14ac:dyDescent="0.25"/>
    <row r="229519" s="12" customFormat="1" x14ac:dyDescent="0.25"/>
    <row r="229520" s="12" customFormat="1" x14ac:dyDescent="0.25"/>
    <row r="229521" s="12" customFormat="1" x14ac:dyDescent="0.25"/>
    <row r="229522" s="12" customFormat="1" x14ac:dyDescent="0.25"/>
    <row r="229523" s="12" customFormat="1" x14ac:dyDescent="0.25"/>
    <row r="229524" s="12" customFormat="1" x14ac:dyDescent="0.25"/>
    <row r="229525" s="12" customFormat="1" x14ac:dyDescent="0.25"/>
    <row r="229526" s="12" customFormat="1" x14ac:dyDescent="0.25"/>
    <row r="229527" s="12" customFormat="1" x14ac:dyDescent="0.25"/>
    <row r="229528" s="12" customFormat="1" x14ac:dyDescent="0.25"/>
    <row r="229529" s="12" customFormat="1" x14ac:dyDescent="0.25"/>
    <row r="229530" s="12" customFormat="1" x14ac:dyDescent="0.25"/>
    <row r="229531" s="12" customFormat="1" x14ac:dyDescent="0.25"/>
    <row r="229532" s="12" customFormat="1" x14ac:dyDescent="0.25"/>
    <row r="229533" s="12" customFormat="1" x14ac:dyDescent="0.25"/>
    <row r="229534" s="12" customFormat="1" x14ac:dyDescent="0.25"/>
    <row r="229535" s="12" customFormat="1" x14ac:dyDescent="0.25"/>
    <row r="229536" s="12" customFormat="1" x14ac:dyDescent="0.25"/>
    <row r="229537" s="12" customFormat="1" x14ac:dyDescent="0.25"/>
    <row r="229538" s="12" customFormat="1" x14ac:dyDescent="0.25"/>
    <row r="229539" s="12" customFormat="1" x14ac:dyDescent="0.25"/>
    <row r="229540" s="12" customFormat="1" x14ac:dyDescent="0.25"/>
    <row r="229541" s="12" customFormat="1" x14ac:dyDescent="0.25"/>
    <row r="229542" s="12" customFormat="1" x14ac:dyDescent="0.25"/>
    <row r="229543" s="12" customFormat="1" x14ac:dyDescent="0.25"/>
    <row r="229544" s="12" customFormat="1" x14ac:dyDescent="0.25"/>
    <row r="229545" s="12" customFormat="1" x14ac:dyDescent="0.25"/>
    <row r="229546" s="12" customFormat="1" x14ac:dyDescent="0.25"/>
    <row r="229547" s="12" customFormat="1" x14ac:dyDescent="0.25"/>
    <row r="229548" s="12" customFormat="1" x14ac:dyDescent="0.25"/>
    <row r="229549" s="12" customFormat="1" x14ac:dyDescent="0.25"/>
    <row r="229550" s="12" customFormat="1" x14ac:dyDescent="0.25"/>
    <row r="229551" s="12" customFormat="1" x14ac:dyDescent="0.25"/>
    <row r="229552" s="12" customFormat="1" x14ac:dyDescent="0.25"/>
    <row r="229553" s="12" customFormat="1" x14ac:dyDescent="0.25"/>
    <row r="229554" s="12" customFormat="1" x14ac:dyDescent="0.25"/>
    <row r="229555" s="12" customFormat="1" x14ac:dyDescent="0.25"/>
    <row r="229556" s="12" customFormat="1" x14ac:dyDescent="0.25"/>
    <row r="229557" s="12" customFormat="1" x14ac:dyDescent="0.25"/>
    <row r="229558" s="12" customFormat="1" x14ac:dyDescent="0.25"/>
    <row r="229559" s="12" customFormat="1" x14ac:dyDescent="0.25"/>
    <row r="229560" s="12" customFormat="1" x14ac:dyDescent="0.25"/>
    <row r="229561" s="12" customFormat="1" x14ac:dyDescent="0.25"/>
    <row r="229562" s="12" customFormat="1" x14ac:dyDescent="0.25"/>
    <row r="229563" s="12" customFormat="1" x14ac:dyDescent="0.25"/>
    <row r="229564" s="12" customFormat="1" x14ac:dyDescent="0.25"/>
    <row r="229565" s="12" customFormat="1" x14ac:dyDescent="0.25"/>
    <row r="229566" s="12" customFormat="1" x14ac:dyDescent="0.25"/>
    <row r="229567" s="12" customFormat="1" x14ac:dyDescent="0.25"/>
    <row r="229568" s="12" customFormat="1" x14ac:dyDescent="0.25"/>
    <row r="229569" s="12" customFormat="1" x14ac:dyDescent="0.25"/>
    <row r="229570" s="12" customFormat="1" x14ac:dyDescent="0.25"/>
    <row r="229571" s="12" customFormat="1" x14ac:dyDescent="0.25"/>
    <row r="229572" s="12" customFormat="1" x14ac:dyDescent="0.25"/>
    <row r="229573" s="12" customFormat="1" x14ac:dyDescent="0.25"/>
    <row r="229574" s="12" customFormat="1" x14ac:dyDescent="0.25"/>
    <row r="229575" s="12" customFormat="1" x14ac:dyDescent="0.25"/>
    <row r="229576" s="12" customFormat="1" x14ac:dyDescent="0.25"/>
    <row r="229577" s="12" customFormat="1" x14ac:dyDescent="0.25"/>
    <row r="229578" s="12" customFormat="1" x14ac:dyDescent="0.25"/>
    <row r="229579" s="12" customFormat="1" x14ac:dyDescent="0.25"/>
    <row r="229580" s="12" customFormat="1" x14ac:dyDescent="0.25"/>
    <row r="229581" s="12" customFormat="1" x14ac:dyDescent="0.25"/>
    <row r="229582" s="12" customFormat="1" x14ac:dyDescent="0.25"/>
    <row r="229583" s="12" customFormat="1" x14ac:dyDescent="0.25"/>
    <row r="229584" s="12" customFormat="1" x14ac:dyDescent="0.25"/>
    <row r="229585" s="12" customFormat="1" x14ac:dyDescent="0.25"/>
    <row r="229586" s="12" customFormat="1" x14ac:dyDescent="0.25"/>
    <row r="229587" s="12" customFormat="1" x14ac:dyDescent="0.25"/>
    <row r="229588" s="12" customFormat="1" x14ac:dyDescent="0.25"/>
    <row r="229589" s="12" customFormat="1" x14ac:dyDescent="0.25"/>
    <row r="229590" s="12" customFormat="1" x14ac:dyDescent="0.25"/>
    <row r="229591" s="12" customFormat="1" x14ac:dyDescent="0.25"/>
    <row r="229592" s="12" customFormat="1" x14ac:dyDescent="0.25"/>
    <row r="229593" s="12" customFormat="1" x14ac:dyDescent="0.25"/>
    <row r="229594" s="12" customFormat="1" x14ac:dyDescent="0.25"/>
    <row r="229595" s="12" customFormat="1" x14ac:dyDescent="0.25"/>
    <row r="229596" s="12" customFormat="1" x14ac:dyDescent="0.25"/>
    <row r="229597" s="12" customFormat="1" x14ac:dyDescent="0.25"/>
    <row r="229598" s="12" customFormat="1" x14ac:dyDescent="0.25"/>
    <row r="229599" s="12" customFormat="1" x14ac:dyDescent="0.25"/>
    <row r="229600" s="12" customFormat="1" x14ac:dyDescent="0.25"/>
    <row r="229601" s="12" customFormat="1" x14ac:dyDescent="0.25"/>
    <row r="229602" s="12" customFormat="1" x14ac:dyDescent="0.25"/>
    <row r="229603" s="12" customFormat="1" x14ac:dyDescent="0.25"/>
    <row r="229604" s="12" customFormat="1" x14ac:dyDescent="0.25"/>
    <row r="229605" s="12" customFormat="1" x14ac:dyDescent="0.25"/>
    <row r="229606" s="12" customFormat="1" x14ac:dyDescent="0.25"/>
    <row r="229607" s="12" customFormat="1" x14ac:dyDescent="0.25"/>
    <row r="229608" s="12" customFormat="1" x14ac:dyDescent="0.25"/>
    <row r="229609" s="12" customFormat="1" x14ac:dyDescent="0.25"/>
    <row r="229610" s="12" customFormat="1" x14ac:dyDescent="0.25"/>
    <row r="229611" s="12" customFormat="1" x14ac:dyDescent="0.25"/>
    <row r="229612" s="12" customFormat="1" x14ac:dyDescent="0.25"/>
    <row r="229613" s="12" customFormat="1" x14ac:dyDescent="0.25"/>
    <row r="229614" s="12" customFormat="1" x14ac:dyDescent="0.25"/>
    <row r="229615" s="12" customFormat="1" x14ac:dyDescent="0.25"/>
    <row r="229616" s="12" customFormat="1" x14ac:dyDescent="0.25"/>
    <row r="229617" s="12" customFormat="1" x14ac:dyDescent="0.25"/>
    <row r="229618" s="12" customFormat="1" x14ac:dyDescent="0.25"/>
    <row r="229619" s="12" customFormat="1" x14ac:dyDescent="0.25"/>
    <row r="229620" s="12" customFormat="1" x14ac:dyDescent="0.25"/>
    <row r="229621" s="12" customFormat="1" x14ac:dyDescent="0.25"/>
    <row r="229622" s="12" customFormat="1" x14ac:dyDescent="0.25"/>
    <row r="229623" s="12" customFormat="1" x14ac:dyDescent="0.25"/>
    <row r="229624" s="12" customFormat="1" x14ac:dyDescent="0.25"/>
    <row r="229625" s="12" customFormat="1" x14ac:dyDescent="0.25"/>
    <row r="229626" s="12" customFormat="1" x14ac:dyDescent="0.25"/>
    <row r="229627" s="12" customFormat="1" x14ac:dyDescent="0.25"/>
    <row r="229628" s="12" customFormat="1" x14ac:dyDescent="0.25"/>
    <row r="229629" s="12" customFormat="1" x14ac:dyDescent="0.25"/>
    <row r="229630" s="12" customFormat="1" x14ac:dyDescent="0.25"/>
    <row r="229631" s="12" customFormat="1" x14ac:dyDescent="0.25"/>
    <row r="229632" s="12" customFormat="1" x14ac:dyDescent="0.25"/>
    <row r="229633" s="12" customFormat="1" x14ac:dyDescent="0.25"/>
    <row r="229634" s="12" customFormat="1" x14ac:dyDescent="0.25"/>
    <row r="229635" s="12" customFormat="1" x14ac:dyDescent="0.25"/>
    <row r="229636" s="12" customFormat="1" x14ac:dyDescent="0.25"/>
    <row r="229637" s="12" customFormat="1" x14ac:dyDescent="0.25"/>
    <row r="229638" s="12" customFormat="1" x14ac:dyDescent="0.25"/>
    <row r="229639" s="12" customFormat="1" x14ac:dyDescent="0.25"/>
    <row r="229640" s="12" customFormat="1" x14ac:dyDescent="0.25"/>
    <row r="229641" s="12" customFormat="1" x14ac:dyDescent="0.25"/>
    <row r="229642" s="12" customFormat="1" x14ac:dyDescent="0.25"/>
    <row r="229643" s="12" customFormat="1" x14ac:dyDescent="0.25"/>
    <row r="229644" s="12" customFormat="1" x14ac:dyDescent="0.25"/>
    <row r="229645" s="12" customFormat="1" x14ac:dyDescent="0.25"/>
    <row r="229646" s="12" customFormat="1" x14ac:dyDescent="0.25"/>
    <row r="229647" s="12" customFormat="1" x14ac:dyDescent="0.25"/>
    <row r="229648" s="12" customFormat="1" x14ac:dyDescent="0.25"/>
    <row r="229649" s="12" customFormat="1" x14ac:dyDescent="0.25"/>
    <row r="229650" s="12" customFormat="1" x14ac:dyDescent="0.25"/>
    <row r="229651" s="12" customFormat="1" x14ac:dyDescent="0.25"/>
    <row r="229652" s="12" customFormat="1" x14ac:dyDescent="0.25"/>
    <row r="229653" s="12" customFormat="1" x14ac:dyDescent="0.25"/>
    <row r="229654" s="12" customFormat="1" x14ac:dyDescent="0.25"/>
    <row r="229655" s="12" customFormat="1" x14ac:dyDescent="0.25"/>
    <row r="229656" s="12" customFormat="1" x14ac:dyDescent="0.25"/>
    <row r="229657" s="12" customFormat="1" x14ac:dyDescent="0.25"/>
    <row r="229658" s="12" customFormat="1" x14ac:dyDescent="0.25"/>
    <row r="229659" s="12" customFormat="1" x14ac:dyDescent="0.25"/>
    <row r="229660" s="12" customFormat="1" x14ac:dyDescent="0.25"/>
    <row r="229661" s="12" customFormat="1" x14ac:dyDescent="0.25"/>
    <row r="229662" s="12" customFormat="1" x14ac:dyDescent="0.25"/>
    <row r="229663" s="12" customFormat="1" x14ac:dyDescent="0.25"/>
    <row r="229664" s="12" customFormat="1" x14ac:dyDescent="0.25"/>
    <row r="229665" s="12" customFormat="1" x14ac:dyDescent="0.25"/>
    <row r="229666" s="12" customFormat="1" x14ac:dyDescent="0.25"/>
    <row r="229667" s="12" customFormat="1" x14ac:dyDescent="0.25"/>
    <row r="229668" s="12" customFormat="1" x14ac:dyDescent="0.25"/>
    <row r="229669" s="12" customFormat="1" x14ac:dyDescent="0.25"/>
    <row r="229670" s="12" customFormat="1" x14ac:dyDescent="0.25"/>
    <row r="229671" s="12" customFormat="1" x14ac:dyDescent="0.25"/>
    <row r="229672" s="12" customFormat="1" x14ac:dyDescent="0.25"/>
    <row r="229673" s="12" customFormat="1" x14ac:dyDescent="0.25"/>
    <row r="229674" s="12" customFormat="1" x14ac:dyDescent="0.25"/>
    <row r="229675" s="12" customFormat="1" x14ac:dyDescent="0.25"/>
    <row r="229676" s="12" customFormat="1" x14ac:dyDescent="0.25"/>
    <row r="229677" s="12" customFormat="1" x14ac:dyDescent="0.25"/>
    <row r="229678" s="12" customFormat="1" x14ac:dyDescent="0.25"/>
    <row r="229679" s="12" customFormat="1" x14ac:dyDescent="0.25"/>
    <row r="229680" s="12" customFormat="1" x14ac:dyDescent="0.25"/>
    <row r="229681" s="12" customFormat="1" x14ac:dyDescent="0.25"/>
    <row r="229682" s="12" customFormat="1" x14ac:dyDescent="0.25"/>
    <row r="229683" s="12" customFormat="1" x14ac:dyDescent="0.25"/>
    <row r="229684" s="12" customFormat="1" x14ac:dyDescent="0.25"/>
    <row r="229685" s="12" customFormat="1" x14ac:dyDescent="0.25"/>
    <row r="229686" s="12" customFormat="1" x14ac:dyDescent="0.25"/>
    <row r="229687" s="12" customFormat="1" x14ac:dyDescent="0.25"/>
    <row r="229688" s="12" customFormat="1" x14ac:dyDescent="0.25"/>
    <row r="229689" s="12" customFormat="1" x14ac:dyDescent="0.25"/>
    <row r="229690" s="12" customFormat="1" x14ac:dyDescent="0.25"/>
    <row r="229691" s="12" customFormat="1" x14ac:dyDescent="0.25"/>
    <row r="229692" s="12" customFormat="1" x14ac:dyDescent="0.25"/>
    <row r="229693" s="12" customFormat="1" x14ac:dyDescent="0.25"/>
    <row r="229694" s="12" customFormat="1" x14ac:dyDescent="0.25"/>
    <row r="229695" s="12" customFormat="1" x14ac:dyDescent="0.25"/>
    <row r="229696" s="12" customFormat="1" x14ac:dyDescent="0.25"/>
    <row r="229697" s="12" customFormat="1" x14ac:dyDescent="0.25"/>
    <row r="229698" s="12" customFormat="1" x14ac:dyDescent="0.25"/>
    <row r="229699" s="12" customFormat="1" x14ac:dyDescent="0.25"/>
    <row r="229700" s="12" customFormat="1" x14ac:dyDescent="0.25"/>
    <row r="229701" s="12" customFormat="1" x14ac:dyDescent="0.25"/>
    <row r="229702" s="12" customFormat="1" x14ac:dyDescent="0.25"/>
    <row r="229703" s="12" customFormat="1" x14ac:dyDescent="0.25"/>
    <row r="229704" s="12" customFormat="1" x14ac:dyDescent="0.25"/>
    <row r="229705" s="12" customFormat="1" x14ac:dyDescent="0.25"/>
    <row r="229706" s="12" customFormat="1" x14ac:dyDescent="0.25"/>
    <row r="229707" s="12" customFormat="1" x14ac:dyDescent="0.25"/>
    <row r="229708" s="12" customFormat="1" x14ac:dyDescent="0.25"/>
    <row r="229709" s="12" customFormat="1" x14ac:dyDescent="0.25"/>
    <row r="229710" s="12" customFormat="1" x14ac:dyDescent="0.25"/>
    <row r="229711" s="12" customFormat="1" x14ac:dyDescent="0.25"/>
    <row r="229712" s="12" customFormat="1" x14ac:dyDescent="0.25"/>
    <row r="229713" s="12" customFormat="1" x14ac:dyDescent="0.25"/>
    <row r="229714" s="12" customFormat="1" x14ac:dyDescent="0.25"/>
    <row r="229715" s="12" customFormat="1" x14ac:dyDescent="0.25"/>
    <row r="229716" s="12" customFormat="1" x14ac:dyDescent="0.25"/>
    <row r="229717" s="12" customFormat="1" x14ac:dyDescent="0.25"/>
    <row r="229718" s="12" customFormat="1" x14ac:dyDescent="0.25"/>
    <row r="229719" s="12" customFormat="1" x14ac:dyDescent="0.25"/>
    <row r="229720" s="12" customFormat="1" x14ac:dyDescent="0.25"/>
    <row r="229721" s="12" customFormat="1" x14ac:dyDescent="0.25"/>
    <row r="229722" s="12" customFormat="1" x14ac:dyDescent="0.25"/>
    <row r="229723" s="12" customFormat="1" x14ac:dyDescent="0.25"/>
    <row r="229724" s="12" customFormat="1" x14ac:dyDescent="0.25"/>
    <row r="229725" s="12" customFormat="1" x14ac:dyDescent="0.25"/>
    <row r="229726" s="12" customFormat="1" x14ac:dyDescent="0.25"/>
    <row r="229727" s="12" customFormat="1" x14ac:dyDescent="0.25"/>
    <row r="229728" s="12" customFormat="1" x14ac:dyDescent="0.25"/>
    <row r="229729" s="12" customFormat="1" x14ac:dyDescent="0.25"/>
    <row r="229730" s="12" customFormat="1" x14ac:dyDescent="0.25"/>
    <row r="229731" s="12" customFormat="1" x14ac:dyDescent="0.25"/>
    <row r="229732" s="12" customFormat="1" x14ac:dyDescent="0.25"/>
    <row r="229733" s="12" customFormat="1" x14ac:dyDescent="0.25"/>
    <row r="229734" s="12" customFormat="1" x14ac:dyDescent="0.25"/>
    <row r="229735" s="12" customFormat="1" x14ac:dyDescent="0.25"/>
    <row r="229736" s="12" customFormat="1" x14ac:dyDescent="0.25"/>
    <row r="229737" s="12" customFormat="1" x14ac:dyDescent="0.25"/>
    <row r="229738" s="12" customFormat="1" x14ac:dyDescent="0.25"/>
    <row r="229739" s="12" customFormat="1" x14ac:dyDescent="0.25"/>
    <row r="229740" s="12" customFormat="1" x14ac:dyDescent="0.25"/>
    <row r="229741" s="12" customFormat="1" x14ac:dyDescent="0.25"/>
    <row r="229742" s="12" customFormat="1" x14ac:dyDescent="0.25"/>
    <row r="229743" s="12" customFormat="1" x14ac:dyDescent="0.25"/>
    <row r="229744" s="12" customFormat="1" x14ac:dyDescent="0.25"/>
    <row r="229745" s="12" customFormat="1" x14ac:dyDescent="0.25"/>
    <row r="229746" s="12" customFormat="1" x14ac:dyDescent="0.25"/>
    <row r="229747" s="12" customFormat="1" x14ac:dyDescent="0.25"/>
    <row r="229748" s="12" customFormat="1" x14ac:dyDescent="0.25"/>
    <row r="229749" s="12" customFormat="1" x14ac:dyDescent="0.25"/>
    <row r="229750" s="12" customFormat="1" x14ac:dyDescent="0.25"/>
    <row r="229751" s="12" customFormat="1" x14ac:dyDescent="0.25"/>
    <row r="229752" s="12" customFormat="1" x14ac:dyDescent="0.25"/>
    <row r="229753" s="12" customFormat="1" x14ac:dyDescent="0.25"/>
    <row r="229754" s="12" customFormat="1" x14ac:dyDescent="0.25"/>
    <row r="229755" s="12" customFormat="1" x14ac:dyDescent="0.25"/>
    <row r="229756" s="12" customFormat="1" x14ac:dyDescent="0.25"/>
    <row r="229757" s="12" customFormat="1" x14ac:dyDescent="0.25"/>
    <row r="229758" s="12" customFormat="1" x14ac:dyDescent="0.25"/>
    <row r="229759" s="12" customFormat="1" x14ac:dyDescent="0.25"/>
    <row r="229760" s="12" customFormat="1" x14ac:dyDescent="0.25"/>
    <row r="229761" s="12" customFormat="1" x14ac:dyDescent="0.25"/>
    <row r="229762" s="12" customFormat="1" x14ac:dyDescent="0.25"/>
    <row r="229763" s="12" customFormat="1" x14ac:dyDescent="0.25"/>
    <row r="229764" s="12" customFormat="1" x14ac:dyDescent="0.25"/>
    <row r="229765" s="12" customFormat="1" x14ac:dyDescent="0.25"/>
    <row r="229766" s="12" customFormat="1" x14ac:dyDescent="0.25"/>
    <row r="229767" s="12" customFormat="1" x14ac:dyDescent="0.25"/>
    <row r="229768" s="12" customFormat="1" x14ac:dyDescent="0.25"/>
    <row r="229769" s="12" customFormat="1" x14ac:dyDescent="0.25"/>
    <row r="229770" s="12" customFormat="1" x14ac:dyDescent="0.25"/>
    <row r="229771" s="12" customFormat="1" x14ac:dyDescent="0.25"/>
    <row r="229772" s="12" customFormat="1" x14ac:dyDescent="0.25"/>
    <row r="229773" s="12" customFormat="1" x14ac:dyDescent="0.25"/>
    <row r="229774" s="12" customFormat="1" x14ac:dyDescent="0.25"/>
    <row r="229775" s="12" customFormat="1" x14ac:dyDescent="0.25"/>
    <row r="229776" s="12" customFormat="1" x14ac:dyDescent="0.25"/>
    <row r="229777" s="12" customFormat="1" x14ac:dyDescent="0.25"/>
    <row r="229778" s="12" customFormat="1" x14ac:dyDescent="0.25"/>
    <row r="229779" s="12" customFormat="1" x14ac:dyDescent="0.25"/>
    <row r="229780" s="12" customFormat="1" x14ac:dyDescent="0.25"/>
    <row r="229781" s="12" customFormat="1" x14ac:dyDescent="0.25"/>
    <row r="229782" s="12" customFormat="1" x14ac:dyDescent="0.25"/>
    <row r="229783" s="12" customFormat="1" x14ac:dyDescent="0.25"/>
    <row r="229784" s="12" customFormat="1" x14ac:dyDescent="0.25"/>
    <row r="229785" s="12" customFormat="1" x14ac:dyDescent="0.25"/>
    <row r="229786" s="12" customFormat="1" x14ac:dyDescent="0.25"/>
    <row r="229787" s="12" customFormat="1" x14ac:dyDescent="0.25"/>
    <row r="229788" s="12" customFormat="1" x14ac:dyDescent="0.25"/>
    <row r="229789" s="12" customFormat="1" x14ac:dyDescent="0.25"/>
    <row r="229790" s="12" customFormat="1" x14ac:dyDescent="0.25"/>
    <row r="229791" s="12" customFormat="1" x14ac:dyDescent="0.25"/>
    <row r="229792" s="12" customFormat="1" x14ac:dyDescent="0.25"/>
    <row r="229793" s="12" customFormat="1" x14ac:dyDescent="0.25"/>
    <row r="229794" s="12" customFormat="1" x14ac:dyDescent="0.25"/>
    <row r="229795" s="12" customFormat="1" x14ac:dyDescent="0.25"/>
    <row r="229796" s="12" customFormat="1" x14ac:dyDescent="0.25"/>
    <row r="229797" s="12" customFormat="1" x14ac:dyDescent="0.25"/>
    <row r="229798" s="12" customFormat="1" x14ac:dyDescent="0.25"/>
    <row r="229799" s="12" customFormat="1" x14ac:dyDescent="0.25"/>
    <row r="229800" s="12" customFormat="1" x14ac:dyDescent="0.25"/>
    <row r="229801" s="12" customFormat="1" x14ac:dyDescent="0.25"/>
    <row r="229802" s="12" customFormat="1" x14ac:dyDescent="0.25"/>
    <row r="229803" s="12" customFormat="1" x14ac:dyDescent="0.25"/>
    <row r="229804" s="12" customFormat="1" x14ac:dyDescent="0.25"/>
    <row r="229805" s="12" customFormat="1" x14ac:dyDescent="0.25"/>
    <row r="229806" s="12" customFormat="1" x14ac:dyDescent="0.25"/>
    <row r="229807" s="12" customFormat="1" x14ac:dyDescent="0.25"/>
    <row r="229808" s="12" customFormat="1" x14ac:dyDescent="0.25"/>
    <row r="229809" s="12" customFormat="1" x14ac:dyDescent="0.25"/>
    <row r="229810" s="12" customFormat="1" x14ac:dyDescent="0.25"/>
    <row r="229811" s="12" customFormat="1" x14ac:dyDescent="0.25"/>
    <row r="229812" s="12" customFormat="1" x14ac:dyDescent="0.25"/>
    <row r="229813" s="12" customFormat="1" x14ac:dyDescent="0.25"/>
    <row r="229814" s="12" customFormat="1" x14ac:dyDescent="0.25"/>
    <row r="229815" s="12" customFormat="1" x14ac:dyDescent="0.25"/>
    <row r="229816" s="12" customFormat="1" x14ac:dyDescent="0.25"/>
    <row r="229817" s="12" customFormat="1" x14ac:dyDescent="0.25"/>
    <row r="229818" s="12" customFormat="1" x14ac:dyDescent="0.25"/>
    <row r="229819" s="12" customFormat="1" x14ac:dyDescent="0.25"/>
    <row r="229820" s="12" customFormat="1" x14ac:dyDescent="0.25"/>
    <row r="229821" s="12" customFormat="1" x14ac:dyDescent="0.25"/>
    <row r="229822" s="12" customFormat="1" x14ac:dyDescent="0.25"/>
    <row r="229823" s="12" customFormat="1" x14ac:dyDescent="0.25"/>
    <row r="229824" s="12" customFormat="1" x14ac:dyDescent="0.25"/>
    <row r="229825" s="12" customFormat="1" x14ac:dyDescent="0.25"/>
    <row r="229826" s="12" customFormat="1" x14ac:dyDescent="0.25"/>
    <row r="229827" s="12" customFormat="1" x14ac:dyDescent="0.25"/>
    <row r="229828" s="12" customFormat="1" x14ac:dyDescent="0.25"/>
    <row r="229829" s="12" customFormat="1" x14ac:dyDescent="0.25"/>
    <row r="229830" s="12" customFormat="1" x14ac:dyDescent="0.25"/>
    <row r="229831" s="12" customFormat="1" x14ac:dyDescent="0.25"/>
    <row r="229832" s="12" customFormat="1" x14ac:dyDescent="0.25"/>
    <row r="229833" s="12" customFormat="1" x14ac:dyDescent="0.25"/>
    <row r="229834" s="12" customFormat="1" x14ac:dyDescent="0.25"/>
    <row r="229835" s="12" customFormat="1" x14ac:dyDescent="0.25"/>
    <row r="229836" s="12" customFormat="1" x14ac:dyDescent="0.25"/>
    <row r="229837" s="12" customFormat="1" x14ac:dyDescent="0.25"/>
    <row r="229838" s="12" customFormat="1" x14ac:dyDescent="0.25"/>
    <row r="229839" s="12" customFormat="1" x14ac:dyDescent="0.25"/>
    <row r="229840" s="12" customFormat="1" x14ac:dyDescent="0.25"/>
    <row r="229841" s="12" customFormat="1" x14ac:dyDescent="0.25"/>
    <row r="229842" s="12" customFormat="1" x14ac:dyDescent="0.25"/>
    <row r="229843" s="12" customFormat="1" x14ac:dyDescent="0.25"/>
    <row r="229844" s="12" customFormat="1" x14ac:dyDescent="0.25"/>
    <row r="229845" s="12" customFormat="1" x14ac:dyDescent="0.25"/>
    <row r="229846" s="12" customFormat="1" x14ac:dyDescent="0.25"/>
    <row r="229847" s="12" customFormat="1" x14ac:dyDescent="0.25"/>
    <row r="229848" s="12" customFormat="1" x14ac:dyDescent="0.25"/>
    <row r="229849" s="12" customFormat="1" x14ac:dyDescent="0.25"/>
    <row r="229850" s="12" customFormat="1" x14ac:dyDescent="0.25"/>
    <row r="229851" s="12" customFormat="1" x14ac:dyDescent="0.25"/>
    <row r="229852" s="12" customFormat="1" x14ac:dyDescent="0.25"/>
    <row r="229853" s="12" customFormat="1" x14ac:dyDescent="0.25"/>
    <row r="229854" s="12" customFormat="1" x14ac:dyDescent="0.25"/>
    <row r="229855" s="12" customFormat="1" x14ac:dyDescent="0.25"/>
    <row r="229856" s="12" customFormat="1" x14ac:dyDescent="0.25"/>
    <row r="229857" s="12" customFormat="1" x14ac:dyDescent="0.25"/>
    <row r="229858" s="12" customFormat="1" x14ac:dyDescent="0.25"/>
    <row r="229859" s="12" customFormat="1" x14ac:dyDescent="0.25"/>
    <row r="229860" s="12" customFormat="1" x14ac:dyDescent="0.25"/>
    <row r="229861" s="12" customFormat="1" x14ac:dyDescent="0.25"/>
    <row r="229862" s="12" customFormat="1" x14ac:dyDescent="0.25"/>
    <row r="229863" s="12" customFormat="1" x14ac:dyDescent="0.25"/>
    <row r="229864" s="12" customFormat="1" x14ac:dyDescent="0.25"/>
    <row r="229865" s="12" customFormat="1" x14ac:dyDescent="0.25"/>
    <row r="229866" s="12" customFormat="1" x14ac:dyDescent="0.25"/>
    <row r="229867" s="12" customFormat="1" x14ac:dyDescent="0.25"/>
    <row r="229868" s="12" customFormat="1" x14ac:dyDescent="0.25"/>
    <row r="229869" s="12" customFormat="1" x14ac:dyDescent="0.25"/>
    <row r="229870" s="12" customFormat="1" x14ac:dyDescent="0.25"/>
    <row r="229871" s="12" customFormat="1" x14ac:dyDescent="0.25"/>
    <row r="229872" s="12" customFormat="1" x14ac:dyDescent="0.25"/>
    <row r="229873" s="12" customFormat="1" x14ac:dyDescent="0.25"/>
    <row r="229874" s="12" customFormat="1" x14ac:dyDescent="0.25"/>
    <row r="229875" s="12" customFormat="1" x14ac:dyDescent="0.25"/>
    <row r="229876" s="12" customFormat="1" x14ac:dyDescent="0.25"/>
    <row r="229877" s="12" customFormat="1" x14ac:dyDescent="0.25"/>
    <row r="229878" s="12" customFormat="1" x14ac:dyDescent="0.25"/>
    <row r="229879" s="12" customFormat="1" x14ac:dyDescent="0.25"/>
    <row r="229880" s="12" customFormat="1" x14ac:dyDescent="0.25"/>
    <row r="229881" s="12" customFormat="1" x14ac:dyDescent="0.25"/>
    <row r="229882" s="12" customFormat="1" x14ac:dyDescent="0.25"/>
    <row r="229883" s="12" customFormat="1" x14ac:dyDescent="0.25"/>
    <row r="229884" s="12" customFormat="1" x14ac:dyDescent="0.25"/>
    <row r="229885" s="12" customFormat="1" x14ac:dyDescent="0.25"/>
    <row r="229886" s="12" customFormat="1" x14ac:dyDescent="0.25"/>
    <row r="229887" s="12" customFormat="1" x14ac:dyDescent="0.25"/>
    <row r="229888" s="12" customFormat="1" x14ac:dyDescent="0.25"/>
    <row r="229889" s="12" customFormat="1" x14ac:dyDescent="0.25"/>
    <row r="229890" s="12" customFormat="1" x14ac:dyDescent="0.25"/>
    <row r="229891" s="12" customFormat="1" x14ac:dyDescent="0.25"/>
    <row r="229892" s="12" customFormat="1" x14ac:dyDescent="0.25"/>
    <row r="229893" s="12" customFormat="1" x14ac:dyDescent="0.25"/>
    <row r="229894" s="12" customFormat="1" x14ac:dyDescent="0.25"/>
    <row r="229895" s="12" customFormat="1" x14ac:dyDescent="0.25"/>
    <row r="229896" s="12" customFormat="1" x14ac:dyDescent="0.25"/>
    <row r="229897" s="12" customFormat="1" x14ac:dyDescent="0.25"/>
    <row r="229898" s="12" customFormat="1" x14ac:dyDescent="0.25"/>
    <row r="229899" s="12" customFormat="1" x14ac:dyDescent="0.25"/>
    <row r="229900" s="12" customFormat="1" x14ac:dyDescent="0.25"/>
    <row r="229901" s="12" customFormat="1" x14ac:dyDescent="0.25"/>
    <row r="229902" s="12" customFormat="1" x14ac:dyDescent="0.25"/>
    <row r="229903" s="12" customFormat="1" x14ac:dyDescent="0.25"/>
    <row r="229904" s="12" customFormat="1" x14ac:dyDescent="0.25"/>
    <row r="229905" s="12" customFormat="1" x14ac:dyDescent="0.25"/>
    <row r="229906" s="12" customFormat="1" x14ac:dyDescent="0.25"/>
    <row r="229907" s="12" customFormat="1" x14ac:dyDescent="0.25"/>
    <row r="229908" s="12" customFormat="1" x14ac:dyDescent="0.25"/>
    <row r="229909" s="12" customFormat="1" x14ac:dyDescent="0.25"/>
    <row r="229910" s="12" customFormat="1" x14ac:dyDescent="0.25"/>
    <row r="229911" s="12" customFormat="1" x14ac:dyDescent="0.25"/>
    <row r="229912" s="12" customFormat="1" x14ac:dyDescent="0.25"/>
    <row r="229913" s="12" customFormat="1" x14ac:dyDescent="0.25"/>
    <row r="229914" s="12" customFormat="1" x14ac:dyDescent="0.25"/>
    <row r="229915" s="12" customFormat="1" x14ac:dyDescent="0.25"/>
    <row r="229916" s="12" customFormat="1" x14ac:dyDescent="0.25"/>
    <row r="229917" s="12" customFormat="1" x14ac:dyDescent="0.25"/>
    <row r="229918" s="12" customFormat="1" x14ac:dyDescent="0.25"/>
    <row r="229919" s="12" customFormat="1" x14ac:dyDescent="0.25"/>
    <row r="229920" s="12" customFormat="1" x14ac:dyDescent="0.25"/>
    <row r="229921" s="12" customFormat="1" x14ac:dyDescent="0.25"/>
    <row r="229922" s="12" customFormat="1" x14ac:dyDescent="0.25"/>
    <row r="229923" s="12" customFormat="1" x14ac:dyDescent="0.25"/>
    <row r="229924" s="12" customFormat="1" x14ac:dyDescent="0.25"/>
    <row r="229925" s="12" customFormat="1" x14ac:dyDescent="0.25"/>
    <row r="229926" s="12" customFormat="1" x14ac:dyDescent="0.25"/>
    <row r="229927" s="12" customFormat="1" x14ac:dyDescent="0.25"/>
    <row r="229928" s="12" customFormat="1" x14ac:dyDescent="0.25"/>
    <row r="229929" s="12" customFormat="1" x14ac:dyDescent="0.25"/>
    <row r="229930" s="12" customFormat="1" x14ac:dyDescent="0.25"/>
    <row r="229931" s="12" customFormat="1" x14ac:dyDescent="0.25"/>
    <row r="229932" s="12" customFormat="1" x14ac:dyDescent="0.25"/>
    <row r="229933" s="12" customFormat="1" x14ac:dyDescent="0.25"/>
    <row r="229934" s="12" customFormat="1" x14ac:dyDescent="0.25"/>
    <row r="229935" s="12" customFormat="1" x14ac:dyDescent="0.25"/>
    <row r="229936" s="12" customFormat="1" x14ac:dyDescent="0.25"/>
    <row r="229937" s="12" customFormat="1" x14ac:dyDescent="0.25"/>
    <row r="229938" s="12" customFormat="1" x14ac:dyDescent="0.25"/>
    <row r="229939" s="12" customFormat="1" x14ac:dyDescent="0.25"/>
    <row r="229940" s="12" customFormat="1" x14ac:dyDescent="0.25"/>
    <row r="229941" s="12" customFormat="1" x14ac:dyDescent="0.25"/>
    <row r="229942" s="12" customFormat="1" x14ac:dyDescent="0.25"/>
    <row r="229943" s="12" customFormat="1" x14ac:dyDescent="0.25"/>
    <row r="229944" s="12" customFormat="1" x14ac:dyDescent="0.25"/>
    <row r="229945" s="12" customFormat="1" x14ac:dyDescent="0.25"/>
    <row r="229946" s="12" customFormat="1" x14ac:dyDescent="0.25"/>
    <row r="229947" s="12" customFormat="1" x14ac:dyDescent="0.25"/>
    <row r="229948" s="12" customFormat="1" x14ac:dyDescent="0.25"/>
    <row r="229949" s="12" customFormat="1" x14ac:dyDescent="0.25"/>
    <row r="229950" s="12" customFormat="1" x14ac:dyDescent="0.25"/>
    <row r="229951" s="12" customFormat="1" x14ac:dyDescent="0.25"/>
    <row r="229952" s="12" customFormat="1" x14ac:dyDescent="0.25"/>
    <row r="229953" s="12" customFormat="1" x14ac:dyDescent="0.25"/>
    <row r="229954" s="12" customFormat="1" x14ac:dyDescent="0.25"/>
    <row r="229955" s="12" customFormat="1" x14ac:dyDescent="0.25"/>
    <row r="229956" s="12" customFormat="1" x14ac:dyDescent="0.25"/>
    <row r="229957" s="12" customFormat="1" x14ac:dyDescent="0.25"/>
    <row r="229958" s="12" customFormat="1" x14ac:dyDescent="0.25"/>
    <row r="229959" s="12" customFormat="1" x14ac:dyDescent="0.25"/>
    <row r="229960" s="12" customFormat="1" x14ac:dyDescent="0.25"/>
    <row r="229961" s="12" customFormat="1" x14ac:dyDescent="0.25"/>
    <row r="229962" s="12" customFormat="1" x14ac:dyDescent="0.25"/>
    <row r="229963" s="12" customFormat="1" x14ac:dyDescent="0.25"/>
    <row r="229964" s="12" customFormat="1" x14ac:dyDescent="0.25"/>
    <row r="229965" s="12" customFormat="1" x14ac:dyDescent="0.25"/>
    <row r="229966" s="12" customFormat="1" x14ac:dyDescent="0.25"/>
    <row r="229967" s="12" customFormat="1" x14ac:dyDescent="0.25"/>
    <row r="229968" s="12" customFormat="1" x14ac:dyDescent="0.25"/>
    <row r="229969" s="12" customFormat="1" x14ac:dyDescent="0.25"/>
    <row r="229970" s="12" customFormat="1" x14ac:dyDescent="0.25"/>
    <row r="229971" s="12" customFormat="1" x14ac:dyDescent="0.25"/>
    <row r="229972" s="12" customFormat="1" x14ac:dyDescent="0.25"/>
    <row r="229973" s="12" customFormat="1" x14ac:dyDescent="0.25"/>
    <row r="229974" s="12" customFormat="1" x14ac:dyDescent="0.25"/>
    <row r="229975" s="12" customFormat="1" x14ac:dyDescent="0.25"/>
    <row r="229976" s="12" customFormat="1" x14ac:dyDescent="0.25"/>
    <row r="229977" s="12" customFormat="1" x14ac:dyDescent="0.25"/>
    <row r="229978" s="12" customFormat="1" x14ac:dyDescent="0.25"/>
    <row r="229979" s="12" customFormat="1" x14ac:dyDescent="0.25"/>
    <row r="229980" s="12" customFormat="1" x14ac:dyDescent="0.25"/>
    <row r="229981" s="12" customFormat="1" x14ac:dyDescent="0.25"/>
    <row r="229982" s="12" customFormat="1" x14ac:dyDescent="0.25"/>
    <row r="229983" s="12" customFormat="1" x14ac:dyDescent="0.25"/>
    <row r="229984" s="12" customFormat="1" x14ac:dyDescent="0.25"/>
    <row r="229985" s="12" customFormat="1" x14ac:dyDescent="0.25"/>
    <row r="229986" s="12" customFormat="1" x14ac:dyDescent="0.25"/>
    <row r="229987" s="12" customFormat="1" x14ac:dyDescent="0.25"/>
    <row r="229988" s="12" customFormat="1" x14ac:dyDescent="0.25"/>
    <row r="229989" s="12" customFormat="1" x14ac:dyDescent="0.25"/>
    <row r="229990" s="12" customFormat="1" x14ac:dyDescent="0.25"/>
    <row r="229991" s="12" customFormat="1" x14ac:dyDescent="0.25"/>
    <row r="229992" s="12" customFormat="1" x14ac:dyDescent="0.25"/>
    <row r="229993" s="12" customFormat="1" x14ac:dyDescent="0.25"/>
    <row r="229994" s="12" customFormat="1" x14ac:dyDescent="0.25"/>
    <row r="229995" s="12" customFormat="1" x14ac:dyDescent="0.25"/>
    <row r="229996" s="12" customFormat="1" x14ac:dyDescent="0.25"/>
    <row r="229997" s="12" customFormat="1" x14ac:dyDescent="0.25"/>
    <row r="229998" s="12" customFormat="1" x14ac:dyDescent="0.25"/>
    <row r="229999" s="12" customFormat="1" x14ac:dyDescent="0.25"/>
    <row r="230000" s="12" customFormat="1" x14ac:dyDescent="0.25"/>
    <row r="230001" s="12" customFormat="1" x14ac:dyDescent="0.25"/>
    <row r="230002" s="12" customFormat="1" x14ac:dyDescent="0.25"/>
    <row r="230003" s="12" customFormat="1" x14ac:dyDescent="0.25"/>
    <row r="230004" s="12" customFormat="1" x14ac:dyDescent="0.25"/>
    <row r="230005" s="12" customFormat="1" x14ac:dyDescent="0.25"/>
    <row r="230006" s="12" customFormat="1" x14ac:dyDescent="0.25"/>
    <row r="230007" s="12" customFormat="1" x14ac:dyDescent="0.25"/>
    <row r="230008" s="12" customFormat="1" x14ac:dyDescent="0.25"/>
    <row r="230009" s="12" customFormat="1" x14ac:dyDescent="0.25"/>
    <row r="230010" s="12" customFormat="1" x14ac:dyDescent="0.25"/>
    <row r="230011" s="12" customFormat="1" x14ac:dyDescent="0.25"/>
    <row r="230012" s="12" customFormat="1" x14ac:dyDescent="0.25"/>
    <row r="230013" s="12" customFormat="1" x14ac:dyDescent="0.25"/>
    <row r="230014" s="12" customFormat="1" x14ac:dyDescent="0.25"/>
    <row r="230015" s="12" customFormat="1" x14ac:dyDescent="0.25"/>
    <row r="230016" s="12" customFormat="1" x14ac:dyDescent="0.25"/>
    <row r="230017" s="12" customFormat="1" x14ac:dyDescent="0.25"/>
    <row r="230018" s="12" customFormat="1" x14ac:dyDescent="0.25"/>
    <row r="230019" s="12" customFormat="1" x14ac:dyDescent="0.25"/>
    <row r="230020" s="12" customFormat="1" x14ac:dyDescent="0.25"/>
    <row r="230021" s="12" customFormat="1" x14ac:dyDescent="0.25"/>
    <row r="230022" s="12" customFormat="1" x14ac:dyDescent="0.25"/>
    <row r="230023" s="12" customFormat="1" x14ac:dyDescent="0.25"/>
    <row r="230024" s="12" customFormat="1" x14ac:dyDescent="0.25"/>
    <row r="230025" s="12" customFormat="1" x14ac:dyDescent="0.25"/>
    <row r="230026" s="12" customFormat="1" x14ac:dyDescent="0.25"/>
    <row r="230027" s="12" customFormat="1" x14ac:dyDescent="0.25"/>
    <row r="230028" s="12" customFormat="1" x14ac:dyDescent="0.25"/>
    <row r="230029" s="12" customFormat="1" x14ac:dyDescent="0.25"/>
    <row r="230030" s="12" customFormat="1" x14ac:dyDescent="0.25"/>
    <row r="230031" s="12" customFormat="1" x14ac:dyDescent="0.25"/>
    <row r="230032" s="12" customFormat="1" x14ac:dyDescent="0.25"/>
    <row r="230033" s="12" customFormat="1" x14ac:dyDescent="0.25"/>
    <row r="230034" s="12" customFormat="1" x14ac:dyDescent="0.25"/>
    <row r="230035" s="12" customFormat="1" x14ac:dyDescent="0.25"/>
    <row r="230036" s="12" customFormat="1" x14ac:dyDescent="0.25"/>
    <row r="230037" s="12" customFormat="1" x14ac:dyDescent="0.25"/>
    <row r="230038" s="12" customFormat="1" x14ac:dyDescent="0.25"/>
    <row r="230039" s="12" customFormat="1" x14ac:dyDescent="0.25"/>
    <row r="230040" s="12" customFormat="1" x14ac:dyDescent="0.25"/>
    <row r="230041" s="12" customFormat="1" x14ac:dyDescent="0.25"/>
    <row r="230042" s="12" customFormat="1" x14ac:dyDescent="0.25"/>
    <row r="230043" s="12" customFormat="1" x14ac:dyDescent="0.25"/>
    <row r="230044" s="12" customFormat="1" x14ac:dyDescent="0.25"/>
    <row r="230045" s="12" customFormat="1" x14ac:dyDescent="0.25"/>
    <row r="230046" s="12" customFormat="1" x14ac:dyDescent="0.25"/>
    <row r="230047" s="12" customFormat="1" x14ac:dyDescent="0.25"/>
    <row r="230048" s="12" customFormat="1" x14ac:dyDescent="0.25"/>
    <row r="230049" s="12" customFormat="1" x14ac:dyDescent="0.25"/>
    <row r="230050" s="12" customFormat="1" x14ac:dyDescent="0.25"/>
    <row r="230051" s="12" customFormat="1" x14ac:dyDescent="0.25"/>
    <row r="230052" s="12" customFormat="1" x14ac:dyDescent="0.25"/>
    <row r="230053" s="12" customFormat="1" x14ac:dyDescent="0.25"/>
    <row r="230054" s="12" customFormat="1" x14ac:dyDescent="0.25"/>
    <row r="230055" s="12" customFormat="1" x14ac:dyDescent="0.25"/>
    <row r="230056" s="12" customFormat="1" x14ac:dyDescent="0.25"/>
    <row r="230057" s="12" customFormat="1" x14ac:dyDescent="0.25"/>
    <row r="230058" s="12" customFormat="1" x14ac:dyDescent="0.25"/>
    <row r="230059" s="12" customFormat="1" x14ac:dyDescent="0.25"/>
    <row r="230060" s="12" customFormat="1" x14ac:dyDescent="0.25"/>
    <row r="230061" s="12" customFormat="1" x14ac:dyDescent="0.25"/>
    <row r="230062" s="12" customFormat="1" x14ac:dyDescent="0.25"/>
    <row r="230063" s="12" customFormat="1" x14ac:dyDescent="0.25"/>
    <row r="230064" s="12" customFormat="1" x14ac:dyDescent="0.25"/>
    <row r="230065" s="12" customFormat="1" x14ac:dyDescent="0.25"/>
    <row r="230066" s="12" customFormat="1" x14ac:dyDescent="0.25"/>
    <row r="230067" s="12" customFormat="1" x14ac:dyDescent="0.25"/>
    <row r="230068" s="12" customFormat="1" x14ac:dyDescent="0.25"/>
    <row r="230069" s="12" customFormat="1" x14ac:dyDescent="0.25"/>
    <row r="230070" s="12" customFormat="1" x14ac:dyDescent="0.25"/>
    <row r="230071" s="12" customFormat="1" x14ac:dyDescent="0.25"/>
    <row r="230072" s="12" customFormat="1" x14ac:dyDescent="0.25"/>
    <row r="230073" s="12" customFormat="1" x14ac:dyDescent="0.25"/>
    <row r="230074" s="12" customFormat="1" x14ac:dyDescent="0.25"/>
    <row r="230075" s="12" customFormat="1" x14ac:dyDescent="0.25"/>
    <row r="230076" s="12" customFormat="1" x14ac:dyDescent="0.25"/>
    <row r="230077" s="12" customFormat="1" x14ac:dyDescent="0.25"/>
    <row r="230078" s="12" customFormat="1" x14ac:dyDescent="0.25"/>
    <row r="230079" s="12" customFormat="1" x14ac:dyDescent="0.25"/>
    <row r="230080" s="12" customFormat="1" x14ac:dyDescent="0.25"/>
    <row r="230081" s="12" customFormat="1" x14ac:dyDescent="0.25"/>
    <row r="230082" s="12" customFormat="1" x14ac:dyDescent="0.25"/>
    <row r="230083" s="12" customFormat="1" x14ac:dyDescent="0.25"/>
    <row r="230084" s="12" customFormat="1" x14ac:dyDescent="0.25"/>
    <row r="230085" s="12" customFormat="1" x14ac:dyDescent="0.25"/>
    <row r="230086" s="12" customFormat="1" x14ac:dyDescent="0.25"/>
    <row r="230087" s="12" customFormat="1" x14ac:dyDescent="0.25"/>
    <row r="230088" s="12" customFormat="1" x14ac:dyDescent="0.25"/>
    <row r="230089" s="12" customFormat="1" x14ac:dyDescent="0.25"/>
    <row r="230090" s="12" customFormat="1" x14ac:dyDescent="0.25"/>
    <row r="230091" s="12" customFormat="1" x14ac:dyDescent="0.25"/>
    <row r="230092" s="12" customFormat="1" x14ac:dyDescent="0.25"/>
    <row r="230093" s="12" customFormat="1" x14ac:dyDescent="0.25"/>
    <row r="230094" s="12" customFormat="1" x14ac:dyDescent="0.25"/>
    <row r="230095" s="12" customFormat="1" x14ac:dyDescent="0.25"/>
    <row r="230096" s="12" customFormat="1" x14ac:dyDescent="0.25"/>
    <row r="230097" s="12" customFormat="1" x14ac:dyDescent="0.25"/>
    <row r="230098" s="12" customFormat="1" x14ac:dyDescent="0.25"/>
    <row r="230099" s="12" customFormat="1" x14ac:dyDescent="0.25"/>
    <row r="230100" s="12" customFormat="1" x14ac:dyDescent="0.25"/>
    <row r="230101" s="12" customFormat="1" x14ac:dyDescent="0.25"/>
    <row r="230102" s="12" customFormat="1" x14ac:dyDescent="0.25"/>
    <row r="230103" s="12" customFormat="1" x14ac:dyDescent="0.25"/>
    <row r="230104" s="12" customFormat="1" x14ac:dyDescent="0.25"/>
    <row r="230105" s="12" customFormat="1" x14ac:dyDescent="0.25"/>
    <row r="230106" s="12" customFormat="1" x14ac:dyDescent="0.25"/>
    <row r="230107" s="12" customFormat="1" x14ac:dyDescent="0.25"/>
    <row r="230108" s="12" customFormat="1" x14ac:dyDescent="0.25"/>
    <row r="230109" s="12" customFormat="1" x14ac:dyDescent="0.25"/>
    <row r="230110" s="12" customFormat="1" x14ac:dyDescent="0.25"/>
    <row r="230111" s="12" customFormat="1" x14ac:dyDescent="0.25"/>
    <row r="230112" s="12" customFormat="1" x14ac:dyDescent="0.25"/>
    <row r="230113" s="12" customFormat="1" x14ac:dyDescent="0.25"/>
    <row r="230114" s="12" customFormat="1" x14ac:dyDescent="0.25"/>
    <row r="230115" s="12" customFormat="1" x14ac:dyDescent="0.25"/>
    <row r="230116" s="12" customFormat="1" x14ac:dyDescent="0.25"/>
    <row r="230117" s="12" customFormat="1" x14ac:dyDescent="0.25"/>
    <row r="230118" s="12" customFormat="1" x14ac:dyDescent="0.25"/>
    <row r="230119" s="12" customFormat="1" x14ac:dyDescent="0.25"/>
    <row r="230120" s="12" customFormat="1" x14ac:dyDescent="0.25"/>
    <row r="230121" s="12" customFormat="1" x14ac:dyDescent="0.25"/>
    <row r="230122" s="12" customFormat="1" x14ac:dyDescent="0.25"/>
    <row r="230123" s="12" customFormat="1" x14ac:dyDescent="0.25"/>
    <row r="230124" s="12" customFormat="1" x14ac:dyDescent="0.25"/>
    <row r="230125" s="12" customFormat="1" x14ac:dyDescent="0.25"/>
    <row r="230126" s="12" customFormat="1" x14ac:dyDescent="0.25"/>
    <row r="230127" s="12" customFormat="1" x14ac:dyDescent="0.25"/>
    <row r="230128" s="12" customFormat="1" x14ac:dyDescent="0.25"/>
    <row r="230129" s="12" customFormat="1" x14ac:dyDescent="0.25"/>
    <row r="230130" s="12" customFormat="1" x14ac:dyDescent="0.25"/>
    <row r="230131" s="12" customFormat="1" x14ac:dyDescent="0.25"/>
    <row r="230132" s="12" customFormat="1" x14ac:dyDescent="0.25"/>
    <row r="230133" s="12" customFormat="1" x14ac:dyDescent="0.25"/>
    <row r="230134" s="12" customFormat="1" x14ac:dyDescent="0.25"/>
    <row r="230135" s="12" customFormat="1" x14ac:dyDescent="0.25"/>
    <row r="230136" s="12" customFormat="1" x14ac:dyDescent="0.25"/>
    <row r="230137" s="12" customFormat="1" x14ac:dyDescent="0.25"/>
    <row r="230138" s="12" customFormat="1" x14ac:dyDescent="0.25"/>
    <row r="230139" s="12" customFormat="1" x14ac:dyDescent="0.25"/>
    <row r="230140" s="12" customFormat="1" x14ac:dyDescent="0.25"/>
    <row r="230141" s="12" customFormat="1" x14ac:dyDescent="0.25"/>
    <row r="230142" s="12" customFormat="1" x14ac:dyDescent="0.25"/>
    <row r="230143" s="12" customFormat="1" x14ac:dyDescent="0.25"/>
    <row r="230144" s="12" customFormat="1" x14ac:dyDescent="0.25"/>
    <row r="230145" s="12" customFormat="1" x14ac:dyDescent="0.25"/>
    <row r="230146" s="12" customFormat="1" x14ac:dyDescent="0.25"/>
    <row r="230147" s="12" customFormat="1" x14ac:dyDescent="0.25"/>
    <row r="230148" s="12" customFormat="1" x14ac:dyDescent="0.25"/>
    <row r="230149" s="12" customFormat="1" x14ac:dyDescent="0.25"/>
    <row r="230150" s="12" customFormat="1" x14ac:dyDescent="0.25"/>
    <row r="230151" s="12" customFormat="1" x14ac:dyDescent="0.25"/>
    <row r="230152" s="12" customFormat="1" x14ac:dyDescent="0.25"/>
    <row r="230153" s="12" customFormat="1" x14ac:dyDescent="0.25"/>
    <row r="230154" s="12" customFormat="1" x14ac:dyDescent="0.25"/>
    <row r="230155" s="12" customFormat="1" x14ac:dyDescent="0.25"/>
    <row r="230156" s="12" customFormat="1" x14ac:dyDescent="0.25"/>
    <row r="230157" s="12" customFormat="1" x14ac:dyDescent="0.25"/>
    <row r="230158" s="12" customFormat="1" x14ac:dyDescent="0.25"/>
    <row r="230159" s="12" customFormat="1" x14ac:dyDescent="0.25"/>
    <row r="230160" s="12" customFormat="1" x14ac:dyDescent="0.25"/>
    <row r="230161" s="12" customFormat="1" x14ac:dyDescent="0.25"/>
    <row r="230162" s="12" customFormat="1" x14ac:dyDescent="0.25"/>
    <row r="230163" s="12" customFormat="1" x14ac:dyDescent="0.25"/>
    <row r="230164" s="12" customFormat="1" x14ac:dyDescent="0.25"/>
    <row r="230165" s="12" customFormat="1" x14ac:dyDescent="0.25"/>
    <row r="230166" s="12" customFormat="1" x14ac:dyDescent="0.25"/>
    <row r="230167" s="12" customFormat="1" x14ac:dyDescent="0.25"/>
    <row r="230168" s="12" customFormat="1" x14ac:dyDescent="0.25"/>
    <row r="230169" s="12" customFormat="1" x14ac:dyDescent="0.25"/>
    <row r="230170" s="12" customFormat="1" x14ac:dyDescent="0.25"/>
    <row r="230171" s="12" customFormat="1" x14ac:dyDescent="0.25"/>
    <row r="230172" s="12" customFormat="1" x14ac:dyDescent="0.25"/>
    <row r="230173" s="12" customFormat="1" x14ac:dyDescent="0.25"/>
    <row r="230174" s="12" customFormat="1" x14ac:dyDescent="0.25"/>
    <row r="230175" s="12" customFormat="1" x14ac:dyDescent="0.25"/>
    <row r="230176" s="12" customFormat="1" x14ac:dyDescent="0.25"/>
    <row r="230177" s="12" customFormat="1" x14ac:dyDescent="0.25"/>
    <row r="230178" s="12" customFormat="1" x14ac:dyDescent="0.25"/>
    <row r="230179" s="12" customFormat="1" x14ac:dyDescent="0.25"/>
    <row r="230180" s="12" customFormat="1" x14ac:dyDescent="0.25"/>
    <row r="230181" s="12" customFormat="1" x14ac:dyDescent="0.25"/>
    <row r="230182" s="12" customFormat="1" x14ac:dyDescent="0.25"/>
    <row r="230183" s="12" customFormat="1" x14ac:dyDescent="0.25"/>
    <row r="230184" s="12" customFormat="1" x14ac:dyDescent="0.25"/>
    <row r="230185" s="12" customFormat="1" x14ac:dyDescent="0.25"/>
    <row r="230186" s="12" customFormat="1" x14ac:dyDescent="0.25"/>
    <row r="230187" s="12" customFormat="1" x14ac:dyDescent="0.25"/>
    <row r="230188" s="12" customFormat="1" x14ac:dyDescent="0.25"/>
    <row r="230189" s="12" customFormat="1" x14ac:dyDescent="0.25"/>
    <row r="230190" s="12" customFormat="1" x14ac:dyDescent="0.25"/>
    <row r="230191" s="12" customFormat="1" x14ac:dyDescent="0.25"/>
    <row r="230192" s="12" customFormat="1" x14ac:dyDescent="0.25"/>
    <row r="230193" s="12" customFormat="1" x14ac:dyDescent="0.25"/>
    <row r="230194" s="12" customFormat="1" x14ac:dyDescent="0.25"/>
    <row r="230195" s="12" customFormat="1" x14ac:dyDescent="0.25"/>
    <row r="230196" s="12" customFormat="1" x14ac:dyDescent="0.25"/>
    <row r="230197" s="12" customFormat="1" x14ac:dyDescent="0.25"/>
    <row r="230198" s="12" customFormat="1" x14ac:dyDescent="0.25"/>
    <row r="230199" s="12" customFormat="1" x14ac:dyDescent="0.25"/>
    <row r="230200" s="12" customFormat="1" x14ac:dyDescent="0.25"/>
    <row r="230201" s="12" customFormat="1" x14ac:dyDescent="0.25"/>
    <row r="230202" s="12" customFormat="1" x14ac:dyDescent="0.25"/>
    <row r="230203" s="12" customFormat="1" x14ac:dyDescent="0.25"/>
    <row r="230204" s="12" customFormat="1" x14ac:dyDescent="0.25"/>
    <row r="230205" s="12" customFormat="1" x14ac:dyDescent="0.25"/>
    <row r="230206" s="12" customFormat="1" x14ac:dyDescent="0.25"/>
    <row r="230207" s="12" customFormat="1" x14ac:dyDescent="0.25"/>
    <row r="230208" s="12" customFormat="1" x14ac:dyDescent="0.25"/>
    <row r="230209" s="12" customFormat="1" x14ac:dyDescent="0.25"/>
    <row r="230210" s="12" customFormat="1" x14ac:dyDescent="0.25"/>
    <row r="230211" s="12" customFormat="1" x14ac:dyDescent="0.25"/>
    <row r="230212" s="12" customFormat="1" x14ac:dyDescent="0.25"/>
    <row r="230213" s="12" customFormat="1" x14ac:dyDescent="0.25"/>
    <row r="230214" s="12" customFormat="1" x14ac:dyDescent="0.25"/>
    <row r="230215" s="12" customFormat="1" x14ac:dyDescent="0.25"/>
    <row r="230216" s="12" customFormat="1" x14ac:dyDescent="0.25"/>
    <row r="230217" s="12" customFormat="1" x14ac:dyDescent="0.25"/>
    <row r="230218" s="12" customFormat="1" x14ac:dyDescent="0.25"/>
    <row r="230219" s="12" customFormat="1" x14ac:dyDescent="0.25"/>
    <row r="230220" s="12" customFormat="1" x14ac:dyDescent="0.25"/>
    <row r="230221" s="12" customFormat="1" x14ac:dyDescent="0.25"/>
    <row r="230222" s="12" customFormat="1" x14ac:dyDescent="0.25"/>
    <row r="230223" s="12" customFormat="1" x14ac:dyDescent="0.25"/>
    <row r="230224" s="12" customFormat="1" x14ac:dyDescent="0.25"/>
    <row r="230225" s="12" customFormat="1" x14ac:dyDescent="0.25"/>
    <row r="230226" s="12" customFormat="1" x14ac:dyDescent="0.25"/>
    <row r="230227" s="12" customFormat="1" x14ac:dyDescent="0.25"/>
    <row r="230228" s="12" customFormat="1" x14ac:dyDescent="0.25"/>
    <row r="230229" s="12" customFormat="1" x14ac:dyDescent="0.25"/>
    <row r="230230" s="12" customFormat="1" x14ac:dyDescent="0.25"/>
    <row r="230231" s="12" customFormat="1" x14ac:dyDescent="0.25"/>
    <row r="230232" s="12" customFormat="1" x14ac:dyDescent="0.25"/>
    <row r="230233" s="12" customFormat="1" x14ac:dyDescent="0.25"/>
    <row r="230234" s="12" customFormat="1" x14ac:dyDescent="0.25"/>
    <row r="230235" s="12" customFormat="1" x14ac:dyDescent="0.25"/>
    <row r="230236" s="12" customFormat="1" x14ac:dyDescent="0.25"/>
    <row r="230237" s="12" customFormat="1" x14ac:dyDescent="0.25"/>
    <row r="230238" s="12" customFormat="1" x14ac:dyDescent="0.25"/>
    <row r="230239" s="12" customFormat="1" x14ac:dyDescent="0.25"/>
    <row r="230240" s="12" customFormat="1" x14ac:dyDescent="0.25"/>
    <row r="230241" s="12" customFormat="1" x14ac:dyDescent="0.25"/>
    <row r="230242" s="12" customFormat="1" x14ac:dyDescent="0.25"/>
    <row r="230243" s="12" customFormat="1" x14ac:dyDescent="0.25"/>
    <row r="230244" s="12" customFormat="1" x14ac:dyDescent="0.25"/>
    <row r="230245" s="12" customFormat="1" x14ac:dyDescent="0.25"/>
    <row r="230246" s="12" customFormat="1" x14ac:dyDescent="0.25"/>
    <row r="230247" s="12" customFormat="1" x14ac:dyDescent="0.25"/>
    <row r="230248" s="12" customFormat="1" x14ac:dyDescent="0.25"/>
    <row r="230249" s="12" customFormat="1" x14ac:dyDescent="0.25"/>
    <row r="230250" s="12" customFormat="1" x14ac:dyDescent="0.25"/>
    <row r="230251" s="12" customFormat="1" x14ac:dyDescent="0.25"/>
    <row r="230252" s="12" customFormat="1" x14ac:dyDescent="0.25"/>
    <row r="230253" s="12" customFormat="1" x14ac:dyDescent="0.25"/>
    <row r="230254" s="12" customFormat="1" x14ac:dyDescent="0.25"/>
    <row r="230255" s="12" customFormat="1" x14ac:dyDescent="0.25"/>
    <row r="230256" s="12" customFormat="1" x14ac:dyDescent="0.25"/>
    <row r="230257" s="12" customFormat="1" x14ac:dyDescent="0.25"/>
    <row r="230258" s="12" customFormat="1" x14ac:dyDescent="0.25"/>
    <row r="230259" s="12" customFormat="1" x14ac:dyDescent="0.25"/>
    <row r="230260" s="12" customFormat="1" x14ac:dyDescent="0.25"/>
    <row r="230261" s="12" customFormat="1" x14ac:dyDescent="0.25"/>
    <row r="230262" s="12" customFormat="1" x14ac:dyDescent="0.25"/>
    <row r="230263" s="12" customFormat="1" x14ac:dyDescent="0.25"/>
    <row r="230264" s="12" customFormat="1" x14ac:dyDescent="0.25"/>
    <row r="230265" s="12" customFormat="1" x14ac:dyDescent="0.25"/>
    <row r="230266" s="12" customFormat="1" x14ac:dyDescent="0.25"/>
    <row r="230267" s="12" customFormat="1" x14ac:dyDescent="0.25"/>
    <row r="230268" s="12" customFormat="1" x14ac:dyDescent="0.25"/>
    <row r="230269" s="12" customFormat="1" x14ac:dyDescent="0.25"/>
    <row r="230270" s="12" customFormat="1" x14ac:dyDescent="0.25"/>
    <row r="230271" s="12" customFormat="1" x14ac:dyDescent="0.25"/>
    <row r="230272" s="12" customFormat="1" x14ac:dyDescent="0.25"/>
    <row r="230273" s="12" customFormat="1" x14ac:dyDescent="0.25"/>
    <row r="230274" s="12" customFormat="1" x14ac:dyDescent="0.25"/>
    <row r="230275" s="12" customFormat="1" x14ac:dyDescent="0.25"/>
    <row r="230276" s="12" customFormat="1" x14ac:dyDescent="0.25"/>
    <row r="230277" s="12" customFormat="1" x14ac:dyDescent="0.25"/>
    <row r="230278" s="12" customFormat="1" x14ac:dyDescent="0.25"/>
    <row r="230279" s="12" customFormat="1" x14ac:dyDescent="0.25"/>
    <row r="230280" s="12" customFormat="1" x14ac:dyDescent="0.25"/>
    <row r="230281" s="12" customFormat="1" x14ac:dyDescent="0.25"/>
    <row r="230282" s="12" customFormat="1" x14ac:dyDescent="0.25"/>
    <row r="230283" s="12" customFormat="1" x14ac:dyDescent="0.25"/>
    <row r="230284" s="12" customFormat="1" x14ac:dyDescent="0.25"/>
    <row r="230285" s="12" customFormat="1" x14ac:dyDescent="0.25"/>
    <row r="230286" s="12" customFormat="1" x14ac:dyDescent="0.25"/>
    <row r="230287" s="12" customFormat="1" x14ac:dyDescent="0.25"/>
    <row r="230288" s="12" customFormat="1" x14ac:dyDescent="0.25"/>
    <row r="230289" s="12" customFormat="1" x14ac:dyDescent="0.25"/>
    <row r="230290" s="12" customFormat="1" x14ac:dyDescent="0.25"/>
    <row r="230291" s="12" customFormat="1" x14ac:dyDescent="0.25"/>
    <row r="230292" s="12" customFormat="1" x14ac:dyDescent="0.25"/>
    <row r="230293" s="12" customFormat="1" x14ac:dyDescent="0.25"/>
    <row r="230294" s="12" customFormat="1" x14ac:dyDescent="0.25"/>
    <row r="230295" s="12" customFormat="1" x14ac:dyDescent="0.25"/>
    <row r="230296" s="12" customFormat="1" x14ac:dyDescent="0.25"/>
    <row r="230297" s="12" customFormat="1" x14ac:dyDescent="0.25"/>
    <row r="230298" s="12" customFormat="1" x14ac:dyDescent="0.25"/>
    <row r="230299" s="12" customFormat="1" x14ac:dyDescent="0.25"/>
    <row r="230300" s="12" customFormat="1" x14ac:dyDescent="0.25"/>
    <row r="230301" s="12" customFormat="1" x14ac:dyDescent="0.25"/>
    <row r="230302" s="12" customFormat="1" x14ac:dyDescent="0.25"/>
    <row r="230303" s="12" customFormat="1" x14ac:dyDescent="0.25"/>
    <row r="230304" s="12" customFormat="1" x14ac:dyDescent="0.25"/>
    <row r="230305" s="12" customFormat="1" x14ac:dyDescent="0.25"/>
    <row r="230306" s="12" customFormat="1" x14ac:dyDescent="0.25"/>
    <row r="230307" s="12" customFormat="1" x14ac:dyDescent="0.25"/>
    <row r="230308" s="12" customFormat="1" x14ac:dyDescent="0.25"/>
    <row r="230309" s="12" customFormat="1" x14ac:dyDescent="0.25"/>
    <row r="230310" s="12" customFormat="1" x14ac:dyDescent="0.25"/>
    <row r="230311" s="12" customFormat="1" x14ac:dyDescent="0.25"/>
    <row r="230312" s="12" customFormat="1" x14ac:dyDescent="0.25"/>
    <row r="230313" s="12" customFormat="1" x14ac:dyDescent="0.25"/>
    <row r="230314" s="12" customFormat="1" x14ac:dyDescent="0.25"/>
    <row r="230315" s="12" customFormat="1" x14ac:dyDescent="0.25"/>
    <row r="230316" s="12" customFormat="1" x14ac:dyDescent="0.25"/>
    <row r="230317" s="12" customFormat="1" x14ac:dyDescent="0.25"/>
    <row r="230318" s="12" customFormat="1" x14ac:dyDescent="0.25"/>
    <row r="230319" s="12" customFormat="1" x14ac:dyDescent="0.25"/>
    <row r="230320" s="12" customFormat="1" x14ac:dyDescent="0.25"/>
    <row r="230321" s="12" customFormat="1" x14ac:dyDescent="0.25"/>
    <row r="230322" s="12" customFormat="1" x14ac:dyDescent="0.25"/>
    <row r="230323" s="12" customFormat="1" x14ac:dyDescent="0.25"/>
    <row r="230324" s="12" customFormat="1" x14ac:dyDescent="0.25"/>
    <row r="230325" s="12" customFormat="1" x14ac:dyDescent="0.25"/>
    <row r="230326" s="12" customFormat="1" x14ac:dyDescent="0.25"/>
    <row r="230327" s="12" customFormat="1" x14ac:dyDescent="0.25"/>
    <row r="230328" s="12" customFormat="1" x14ac:dyDescent="0.25"/>
    <row r="230329" s="12" customFormat="1" x14ac:dyDescent="0.25"/>
    <row r="230330" s="12" customFormat="1" x14ac:dyDescent="0.25"/>
    <row r="230331" s="12" customFormat="1" x14ac:dyDescent="0.25"/>
    <row r="230332" s="12" customFormat="1" x14ac:dyDescent="0.25"/>
    <row r="230333" s="12" customFormat="1" x14ac:dyDescent="0.25"/>
    <row r="230334" s="12" customFormat="1" x14ac:dyDescent="0.25"/>
    <row r="230335" s="12" customFormat="1" x14ac:dyDescent="0.25"/>
    <row r="230336" s="12" customFormat="1" x14ac:dyDescent="0.25"/>
    <row r="230337" s="12" customFormat="1" x14ac:dyDescent="0.25"/>
    <row r="230338" s="12" customFormat="1" x14ac:dyDescent="0.25"/>
    <row r="230339" s="12" customFormat="1" x14ac:dyDescent="0.25"/>
    <row r="230340" s="12" customFormat="1" x14ac:dyDescent="0.25"/>
    <row r="230341" s="12" customFormat="1" x14ac:dyDescent="0.25"/>
    <row r="230342" s="12" customFormat="1" x14ac:dyDescent="0.25"/>
    <row r="230343" s="12" customFormat="1" x14ac:dyDescent="0.25"/>
    <row r="230344" s="12" customFormat="1" x14ac:dyDescent="0.25"/>
    <row r="230345" s="12" customFormat="1" x14ac:dyDescent="0.25"/>
    <row r="230346" s="12" customFormat="1" x14ac:dyDescent="0.25"/>
    <row r="230347" s="12" customFormat="1" x14ac:dyDescent="0.25"/>
    <row r="230348" s="12" customFormat="1" x14ac:dyDescent="0.25"/>
    <row r="230349" s="12" customFormat="1" x14ac:dyDescent="0.25"/>
    <row r="230350" s="12" customFormat="1" x14ac:dyDescent="0.25"/>
    <row r="230351" s="12" customFormat="1" x14ac:dyDescent="0.25"/>
    <row r="230352" s="12" customFormat="1" x14ac:dyDescent="0.25"/>
    <row r="230353" s="12" customFormat="1" x14ac:dyDescent="0.25"/>
    <row r="230354" s="12" customFormat="1" x14ac:dyDescent="0.25"/>
    <row r="230355" s="12" customFormat="1" x14ac:dyDescent="0.25"/>
    <row r="230356" s="12" customFormat="1" x14ac:dyDescent="0.25"/>
    <row r="230357" s="12" customFormat="1" x14ac:dyDescent="0.25"/>
    <row r="230358" s="12" customFormat="1" x14ac:dyDescent="0.25"/>
    <row r="230359" s="12" customFormat="1" x14ac:dyDescent="0.25"/>
    <row r="230360" s="12" customFormat="1" x14ac:dyDescent="0.25"/>
    <row r="230361" s="12" customFormat="1" x14ac:dyDescent="0.25"/>
    <row r="230362" s="12" customFormat="1" x14ac:dyDescent="0.25"/>
    <row r="230363" s="12" customFormat="1" x14ac:dyDescent="0.25"/>
    <row r="230364" s="12" customFormat="1" x14ac:dyDescent="0.25"/>
    <row r="230365" s="12" customFormat="1" x14ac:dyDescent="0.25"/>
    <row r="230366" s="12" customFormat="1" x14ac:dyDescent="0.25"/>
    <row r="230367" s="12" customFormat="1" x14ac:dyDescent="0.25"/>
    <row r="230368" s="12" customFormat="1" x14ac:dyDescent="0.25"/>
    <row r="230369" s="12" customFormat="1" x14ac:dyDescent="0.25"/>
    <row r="230370" s="12" customFormat="1" x14ac:dyDescent="0.25"/>
    <row r="230371" s="12" customFormat="1" x14ac:dyDescent="0.25"/>
    <row r="230372" s="12" customFormat="1" x14ac:dyDescent="0.25"/>
    <row r="230373" s="12" customFormat="1" x14ac:dyDescent="0.25"/>
    <row r="230374" s="12" customFormat="1" x14ac:dyDescent="0.25"/>
    <row r="230375" s="12" customFormat="1" x14ac:dyDescent="0.25"/>
    <row r="230376" s="12" customFormat="1" x14ac:dyDescent="0.25"/>
    <row r="230377" s="12" customFormat="1" x14ac:dyDescent="0.25"/>
    <row r="230378" s="12" customFormat="1" x14ac:dyDescent="0.25"/>
    <row r="230379" s="12" customFormat="1" x14ac:dyDescent="0.25"/>
    <row r="230380" s="12" customFormat="1" x14ac:dyDescent="0.25"/>
    <row r="230381" s="12" customFormat="1" x14ac:dyDescent="0.25"/>
    <row r="230382" s="12" customFormat="1" x14ac:dyDescent="0.25"/>
    <row r="230383" s="12" customFormat="1" x14ac:dyDescent="0.25"/>
    <row r="230384" s="12" customFormat="1" x14ac:dyDescent="0.25"/>
    <row r="230385" s="12" customFormat="1" x14ac:dyDescent="0.25"/>
    <row r="230386" s="12" customFormat="1" x14ac:dyDescent="0.25"/>
    <row r="230387" s="12" customFormat="1" x14ac:dyDescent="0.25"/>
    <row r="230388" s="12" customFormat="1" x14ac:dyDescent="0.25"/>
    <row r="230389" s="12" customFormat="1" x14ac:dyDescent="0.25"/>
    <row r="230390" s="12" customFormat="1" x14ac:dyDescent="0.25"/>
    <row r="230391" s="12" customFormat="1" x14ac:dyDescent="0.25"/>
    <row r="230392" s="12" customFormat="1" x14ac:dyDescent="0.25"/>
    <row r="230393" s="12" customFormat="1" x14ac:dyDescent="0.25"/>
    <row r="230394" s="12" customFormat="1" x14ac:dyDescent="0.25"/>
    <row r="230395" s="12" customFormat="1" x14ac:dyDescent="0.25"/>
    <row r="230396" s="12" customFormat="1" x14ac:dyDescent="0.25"/>
    <row r="230397" s="12" customFormat="1" x14ac:dyDescent="0.25"/>
    <row r="230398" s="12" customFormat="1" x14ac:dyDescent="0.25"/>
    <row r="230399" s="12" customFormat="1" x14ac:dyDescent="0.25"/>
    <row r="230400" s="12" customFormat="1" x14ac:dyDescent="0.25"/>
    <row r="230401" s="12" customFormat="1" x14ac:dyDescent="0.25"/>
    <row r="230402" s="12" customFormat="1" x14ac:dyDescent="0.25"/>
    <row r="230403" s="12" customFormat="1" x14ac:dyDescent="0.25"/>
    <row r="230404" s="12" customFormat="1" x14ac:dyDescent="0.25"/>
    <row r="230405" s="12" customFormat="1" x14ac:dyDescent="0.25"/>
    <row r="230406" s="12" customFormat="1" x14ac:dyDescent="0.25"/>
    <row r="230407" s="12" customFormat="1" x14ac:dyDescent="0.25"/>
    <row r="230408" s="12" customFormat="1" x14ac:dyDescent="0.25"/>
    <row r="230409" s="12" customFormat="1" x14ac:dyDescent="0.25"/>
    <row r="230410" s="12" customFormat="1" x14ac:dyDescent="0.25"/>
    <row r="230411" s="12" customFormat="1" x14ac:dyDescent="0.25"/>
    <row r="230412" s="12" customFormat="1" x14ac:dyDescent="0.25"/>
    <row r="230413" s="12" customFormat="1" x14ac:dyDescent="0.25"/>
    <row r="230414" s="12" customFormat="1" x14ac:dyDescent="0.25"/>
    <row r="230415" s="12" customFormat="1" x14ac:dyDescent="0.25"/>
    <row r="230416" s="12" customFormat="1" x14ac:dyDescent="0.25"/>
    <row r="230417" s="12" customFormat="1" x14ac:dyDescent="0.25"/>
    <row r="230418" s="12" customFormat="1" x14ac:dyDescent="0.25"/>
    <row r="230419" s="12" customFormat="1" x14ac:dyDescent="0.25"/>
    <row r="230420" s="12" customFormat="1" x14ac:dyDescent="0.25"/>
    <row r="230421" s="12" customFormat="1" x14ac:dyDescent="0.25"/>
    <row r="230422" s="12" customFormat="1" x14ac:dyDescent="0.25"/>
    <row r="230423" s="12" customFormat="1" x14ac:dyDescent="0.25"/>
    <row r="230424" s="12" customFormat="1" x14ac:dyDescent="0.25"/>
    <row r="230425" s="12" customFormat="1" x14ac:dyDescent="0.25"/>
    <row r="230426" s="12" customFormat="1" x14ac:dyDescent="0.25"/>
    <row r="230427" s="12" customFormat="1" x14ac:dyDescent="0.25"/>
    <row r="230428" s="12" customFormat="1" x14ac:dyDescent="0.25"/>
    <row r="230429" s="12" customFormat="1" x14ac:dyDescent="0.25"/>
    <row r="230430" s="12" customFormat="1" x14ac:dyDescent="0.25"/>
    <row r="230431" s="12" customFormat="1" x14ac:dyDescent="0.25"/>
    <row r="230432" s="12" customFormat="1" x14ac:dyDescent="0.25"/>
    <row r="230433" s="12" customFormat="1" x14ac:dyDescent="0.25"/>
    <row r="230434" s="12" customFormat="1" x14ac:dyDescent="0.25"/>
    <row r="230435" s="12" customFormat="1" x14ac:dyDescent="0.25"/>
    <row r="230436" s="12" customFormat="1" x14ac:dyDescent="0.25"/>
    <row r="230437" s="12" customFormat="1" x14ac:dyDescent="0.25"/>
    <row r="230438" s="12" customFormat="1" x14ac:dyDescent="0.25"/>
    <row r="230439" s="12" customFormat="1" x14ac:dyDescent="0.25"/>
    <row r="230440" s="12" customFormat="1" x14ac:dyDescent="0.25"/>
    <row r="230441" s="12" customFormat="1" x14ac:dyDescent="0.25"/>
    <row r="230442" s="12" customFormat="1" x14ac:dyDescent="0.25"/>
    <row r="230443" s="12" customFormat="1" x14ac:dyDescent="0.25"/>
    <row r="230444" s="12" customFormat="1" x14ac:dyDescent="0.25"/>
    <row r="230445" s="12" customFormat="1" x14ac:dyDescent="0.25"/>
    <row r="230446" s="12" customFormat="1" x14ac:dyDescent="0.25"/>
    <row r="230447" s="12" customFormat="1" x14ac:dyDescent="0.25"/>
    <row r="230448" s="12" customFormat="1" x14ac:dyDescent="0.25"/>
    <row r="230449" s="12" customFormat="1" x14ac:dyDescent="0.25"/>
    <row r="230450" s="12" customFormat="1" x14ac:dyDescent="0.25"/>
    <row r="230451" s="12" customFormat="1" x14ac:dyDescent="0.25"/>
    <row r="230452" s="12" customFormat="1" x14ac:dyDescent="0.25"/>
    <row r="230453" s="12" customFormat="1" x14ac:dyDescent="0.25"/>
    <row r="230454" s="12" customFormat="1" x14ac:dyDescent="0.25"/>
    <row r="230455" s="12" customFormat="1" x14ac:dyDescent="0.25"/>
    <row r="230456" s="12" customFormat="1" x14ac:dyDescent="0.25"/>
    <row r="230457" s="12" customFormat="1" x14ac:dyDescent="0.25"/>
    <row r="230458" s="12" customFormat="1" x14ac:dyDescent="0.25"/>
    <row r="230459" s="12" customFormat="1" x14ac:dyDescent="0.25"/>
    <row r="230460" s="12" customFormat="1" x14ac:dyDescent="0.25"/>
    <row r="230461" s="12" customFormat="1" x14ac:dyDescent="0.25"/>
    <row r="230462" s="12" customFormat="1" x14ac:dyDescent="0.25"/>
    <row r="230463" s="12" customFormat="1" x14ac:dyDescent="0.25"/>
    <row r="230464" s="12" customFormat="1" x14ac:dyDescent="0.25"/>
    <row r="230465" s="12" customFormat="1" x14ac:dyDescent="0.25"/>
    <row r="230466" s="12" customFormat="1" x14ac:dyDescent="0.25"/>
    <row r="230467" s="12" customFormat="1" x14ac:dyDescent="0.25"/>
    <row r="230468" s="12" customFormat="1" x14ac:dyDescent="0.25"/>
    <row r="230469" s="12" customFormat="1" x14ac:dyDescent="0.25"/>
    <row r="230470" s="12" customFormat="1" x14ac:dyDescent="0.25"/>
    <row r="230471" s="12" customFormat="1" x14ac:dyDescent="0.25"/>
    <row r="230472" s="12" customFormat="1" x14ac:dyDescent="0.25"/>
    <row r="230473" s="12" customFormat="1" x14ac:dyDescent="0.25"/>
    <row r="230474" s="12" customFormat="1" x14ac:dyDescent="0.25"/>
    <row r="230475" s="12" customFormat="1" x14ac:dyDescent="0.25"/>
    <row r="230476" s="12" customFormat="1" x14ac:dyDescent="0.25"/>
    <row r="230477" s="12" customFormat="1" x14ac:dyDescent="0.25"/>
    <row r="230478" s="12" customFormat="1" x14ac:dyDescent="0.25"/>
    <row r="230479" s="12" customFormat="1" x14ac:dyDescent="0.25"/>
    <row r="230480" s="12" customFormat="1" x14ac:dyDescent="0.25"/>
    <row r="230481" s="12" customFormat="1" x14ac:dyDescent="0.25"/>
    <row r="230482" s="12" customFormat="1" x14ac:dyDescent="0.25"/>
    <row r="230483" s="12" customFormat="1" x14ac:dyDescent="0.25"/>
    <row r="230484" s="12" customFormat="1" x14ac:dyDescent="0.25"/>
    <row r="230485" s="12" customFormat="1" x14ac:dyDescent="0.25"/>
    <row r="230486" s="12" customFormat="1" x14ac:dyDescent="0.25"/>
    <row r="230487" s="12" customFormat="1" x14ac:dyDescent="0.25"/>
    <row r="230488" s="12" customFormat="1" x14ac:dyDescent="0.25"/>
    <row r="230489" s="12" customFormat="1" x14ac:dyDescent="0.25"/>
    <row r="230490" s="12" customFormat="1" x14ac:dyDescent="0.25"/>
    <row r="230491" s="12" customFormat="1" x14ac:dyDescent="0.25"/>
    <row r="230492" s="12" customFormat="1" x14ac:dyDescent="0.25"/>
    <row r="230493" s="12" customFormat="1" x14ac:dyDescent="0.25"/>
    <row r="230494" s="12" customFormat="1" x14ac:dyDescent="0.25"/>
    <row r="230495" s="12" customFormat="1" x14ac:dyDescent="0.25"/>
    <row r="230496" s="12" customFormat="1" x14ac:dyDescent="0.25"/>
    <row r="230497" s="12" customFormat="1" x14ac:dyDescent="0.25"/>
    <row r="230498" s="12" customFormat="1" x14ac:dyDescent="0.25"/>
    <row r="230499" s="12" customFormat="1" x14ac:dyDescent="0.25"/>
    <row r="230500" s="12" customFormat="1" x14ac:dyDescent="0.25"/>
    <row r="230501" s="12" customFormat="1" x14ac:dyDescent="0.25"/>
    <row r="230502" s="12" customFormat="1" x14ac:dyDescent="0.25"/>
    <row r="230503" s="12" customFormat="1" x14ac:dyDescent="0.25"/>
    <row r="230504" s="12" customFormat="1" x14ac:dyDescent="0.25"/>
    <row r="230505" s="12" customFormat="1" x14ac:dyDescent="0.25"/>
    <row r="230506" s="12" customFormat="1" x14ac:dyDescent="0.25"/>
    <row r="230507" s="12" customFormat="1" x14ac:dyDescent="0.25"/>
    <row r="230508" s="12" customFormat="1" x14ac:dyDescent="0.25"/>
    <row r="230509" s="12" customFormat="1" x14ac:dyDescent="0.25"/>
    <row r="230510" s="12" customFormat="1" x14ac:dyDescent="0.25"/>
    <row r="230511" s="12" customFormat="1" x14ac:dyDescent="0.25"/>
    <row r="230512" s="12" customFormat="1" x14ac:dyDescent="0.25"/>
    <row r="230513" s="12" customFormat="1" x14ac:dyDescent="0.25"/>
    <row r="230514" s="12" customFormat="1" x14ac:dyDescent="0.25"/>
    <row r="230515" s="12" customFormat="1" x14ac:dyDescent="0.25"/>
    <row r="230516" s="12" customFormat="1" x14ac:dyDescent="0.25"/>
    <row r="230517" s="12" customFormat="1" x14ac:dyDescent="0.25"/>
    <row r="230518" s="12" customFormat="1" x14ac:dyDescent="0.25"/>
    <row r="230519" s="12" customFormat="1" x14ac:dyDescent="0.25"/>
    <row r="230520" s="12" customFormat="1" x14ac:dyDescent="0.25"/>
    <row r="230521" s="12" customFormat="1" x14ac:dyDescent="0.25"/>
    <row r="230522" s="12" customFormat="1" x14ac:dyDescent="0.25"/>
    <row r="230523" s="12" customFormat="1" x14ac:dyDescent="0.25"/>
    <row r="230524" s="12" customFormat="1" x14ac:dyDescent="0.25"/>
    <row r="230525" s="12" customFormat="1" x14ac:dyDescent="0.25"/>
    <row r="230526" s="12" customFormat="1" x14ac:dyDescent="0.25"/>
    <row r="230527" s="12" customFormat="1" x14ac:dyDescent="0.25"/>
    <row r="230528" s="12" customFormat="1" x14ac:dyDescent="0.25"/>
    <row r="230529" s="12" customFormat="1" x14ac:dyDescent="0.25"/>
    <row r="230530" s="12" customFormat="1" x14ac:dyDescent="0.25"/>
    <row r="230531" s="12" customFormat="1" x14ac:dyDescent="0.25"/>
    <row r="230532" s="12" customFormat="1" x14ac:dyDescent="0.25"/>
    <row r="230533" s="12" customFormat="1" x14ac:dyDescent="0.25"/>
    <row r="230534" s="12" customFormat="1" x14ac:dyDescent="0.25"/>
    <row r="230535" s="12" customFormat="1" x14ac:dyDescent="0.25"/>
    <row r="230536" s="12" customFormat="1" x14ac:dyDescent="0.25"/>
    <row r="230537" s="12" customFormat="1" x14ac:dyDescent="0.25"/>
    <row r="230538" s="12" customFormat="1" x14ac:dyDescent="0.25"/>
    <row r="230539" s="12" customFormat="1" x14ac:dyDescent="0.25"/>
    <row r="230540" s="12" customFormat="1" x14ac:dyDescent="0.25"/>
    <row r="230541" s="12" customFormat="1" x14ac:dyDescent="0.25"/>
    <row r="230542" s="12" customFormat="1" x14ac:dyDescent="0.25"/>
    <row r="230543" s="12" customFormat="1" x14ac:dyDescent="0.25"/>
    <row r="230544" s="12" customFormat="1" x14ac:dyDescent="0.25"/>
    <row r="230545" s="12" customFormat="1" x14ac:dyDescent="0.25"/>
    <row r="230546" s="12" customFormat="1" x14ac:dyDescent="0.25"/>
    <row r="230547" s="12" customFormat="1" x14ac:dyDescent="0.25"/>
    <row r="230548" s="12" customFormat="1" x14ac:dyDescent="0.25"/>
    <row r="230549" s="12" customFormat="1" x14ac:dyDescent="0.25"/>
    <row r="230550" s="12" customFormat="1" x14ac:dyDescent="0.25"/>
    <row r="230551" s="12" customFormat="1" x14ac:dyDescent="0.25"/>
    <row r="230552" s="12" customFormat="1" x14ac:dyDescent="0.25"/>
    <row r="230553" s="12" customFormat="1" x14ac:dyDescent="0.25"/>
    <row r="230554" s="12" customFormat="1" x14ac:dyDescent="0.25"/>
    <row r="230555" s="12" customFormat="1" x14ac:dyDescent="0.25"/>
    <row r="230556" s="12" customFormat="1" x14ac:dyDescent="0.25"/>
    <row r="230557" s="12" customFormat="1" x14ac:dyDescent="0.25"/>
    <row r="230558" s="12" customFormat="1" x14ac:dyDescent="0.25"/>
    <row r="230559" s="12" customFormat="1" x14ac:dyDescent="0.25"/>
    <row r="230560" s="12" customFormat="1" x14ac:dyDescent="0.25"/>
    <row r="230561" s="12" customFormat="1" x14ac:dyDescent="0.25"/>
    <row r="230562" s="12" customFormat="1" x14ac:dyDescent="0.25"/>
    <row r="230563" s="12" customFormat="1" x14ac:dyDescent="0.25"/>
    <row r="230564" s="12" customFormat="1" x14ac:dyDescent="0.25"/>
    <row r="230565" s="12" customFormat="1" x14ac:dyDescent="0.25"/>
    <row r="230566" s="12" customFormat="1" x14ac:dyDescent="0.25"/>
    <row r="230567" s="12" customFormat="1" x14ac:dyDescent="0.25"/>
    <row r="230568" s="12" customFormat="1" x14ac:dyDescent="0.25"/>
    <row r="230569" s="12" customFormat="1" x14ac:dyDescent="0.25"/>
    <row r="230570" s="12" customFormat="1" x14ac:dyDescent="0.25"/>
    <row r="230571" s="12" customFormat="1" x14ac:dyDescent="0.25"/>
    <row r="230572" s="12" customFormat="1" x14ac:dyDescent="0.25"/>
    <row r="230573" s="12" customFormat="1" x14ac:dyDescent="0.25"/>
    <row r="230574" s="12" customFormat="1" x14ac:dyDescent="0.25"/>
    <row r="230575" s="12" customFormat="1" x14ac:dyDescent="0.25"/>
    <row r="230576" s="12" customFormat="1" x14ac:dyDescent="0.25"/>
    <row r="230577" s="12" customFormat="1" x14ac:dyDescent="0.25"/>
    <row r="230578" s="12" customFormat="1" x14ac:dyDescent="0.25"/>
    <row r="230579" s="12" customFormat="1" x14ac:dyDescent="0.25"/>
    <row r="230580" s="12" customFormat="1" x14ac:dyDescent="0.25"/>
    <row r="230581" s="12" customFormat="1" x14ac:dyDescent="0.25"/>
    <row r="230582" s="12" customFormat="1" x14ac:dyDescent="0.25"/>
    <row r="230583" s="12" customFormat="1" x14ac:dyDescent="0.25"/>
    <row r="230584" s="12" customFormat="1" x14ac:dyDescent="0.25"/>
    <row r="230585" s="12" customFormat="1" x14ac:dyDescent="0.25"/>
    <row r="230586" s="12" customFormat="1" x14ac:dyDescent="0.25"/>
    <row r="230587" s="12" customFormat="1" x14ac:dyDescent="0.25"/>
    <row r="230588" s="12" customFormat="1" x14ac:dyDescent="0.25"/>
    <row r="230589" s="12" customFormat="1" x14ac:dyDescent="0.25"/>
    <row r="230590" s="12" customFormat="1" x14ac:dyDescent="0.25"/>
    <row r="230591" s="12" customFormat="1" x14ac:dyDescent="0.25"/>
    <row r="230592" s="12" customFormat="1" x14ac:dyDescent="0.25"/>
    <row r="230593" s="12" customFormat="1" x14ac:dyDescent="0.25"/>
    <row r="230594" s="12" customFormat="1" x14ac:dyDescent="0.25"/>
    <row r="230595" s="12" customFormat="1" x14ac:dyDescent="0.25"/>
    <row r="230596" s="12" customFormat="1" x14ac:dyDescent="0.25"/>
    <row r="230597" s="12" customFormat="1" x14ac:dyDescent="0.25"/>
    <row r="230598" s="12" customFormat="1" x14ac:dyDescent="0.25"/>
    <row r="230599" s="12" customFormat="1" x14ac:dyDescent="0.25"/>
    <row r="230600" s="12" customFormat="1" x14ac:dyDescent="0.25"/>
    <row r="230601" s="12" customFormat="1" x14ac:dyDescent="0.25"/>
    <row r="230602" s="12" customFormat="1" x14ac:dyDescent="0.25"/>
    <row r="230603" s="12" customFormat="1" x14ac:dyDescent="0.25"/>
    <row r="230604" s="12" customFormat="1" x14ac:dyDescent="0.25"/>
    <row r="230605" s="12" customFormat="1" x14ac:dyDescent="0.25"/>
    <row r="230606" s="12" customFormat="1" x14ac:dyDescent="0.25"/>
    <row r="230607" s="12" customFormat="1" x14ac:dyDescent="0.25"/>
    <row r="230608" s="12" customFormat="1" x14ac:dyDescent="0.25"/>
    <row r="230609" s="12" customFormat="1" x14ac:dyDescent="0.25"/>
    <row r="230610" s="12" customFormat="1" x14ac:dyDescent="0.25"/>
    <row r="230611" s="12" customFormat="1" x14ac:dyDescent="0.25"/>
    <row r="230612" s="12" customFormat="1" x14ac:dyDescent="0.25"/>
    <row r="230613" s="12" customFormat="1" x14ac:dyDescent="0.25"/>
    <row r="230614" s="12" customFormat="1" x14ac:dyDescent="0.25"/>
    <row r="230615" s="12" customFormat="1" x14ac:dyDescent="0.25"/>
    <row r="230616" s="12" customFormat="1" x14ac:dyDescent="0.25"/>
    <row r="230617" s="12" customFormat="1" x14ac:dyDescent="0.25"/>
    <row r="230618" s="12" customFormat="1" x14ac:dyDescent="0.25"/>
    <row r="230619" s="12" customFormat="1" x14ac:dyDescent="0.25"/>
    <row r="230620" s="12" customFormat="1" x14ac:dyDescent="0.25"/>
    <row r="230621" s="12" customFormat="1" x14ac:dyDescent="0.25"/>
    <row r="230622" s="12" customFormat="1" x14ac:dyDescent="0.25"/>
    <row r="230623" s="12" customFormat="1" x14ac:dyDescent="0.25"/>
    <row r="230624" s="12" customFormat="1" x14ac:dyDescent="0.25"/>
    <row r="230625" s="12" customFormat="1" x14ac:dyDescent="0.25"/>
    <row r="230626" s="12" customFormat="1" x14ac:dyDescent="0.25"/>
    <row r="230627" s="12" customFormat="1" x14ac:dyDescent="0.25"/>
    <row r="230628" s="12" customFormat="1" x14ac:dyDescent="0.25"/>
    <row r="230629" s="12" customFormat="1" x14ac:dyDescent="0.25"/>
    <row r="230630" s="12" customFormat="1" x14ac:dyDescent="0.25"/>
    <row r="230631" s="12" customFormat="1" x14ac:dyDescent="0.25"/>
    <row r="230632" s="12" customFormat="1" x14ac:dyDescent="0.25"/>
    <row r="230633" s="12" customFormat="1" x14ac:dyDescent="0.25"/>
    <row r="230634" s="12" customFormat="1" x14ac:dyDescent="0.25"/>
    <row r="230635" s="12" customFormat="1" x14ac:dyDescent="0.25"/>
    <row r="230636" s="12" customFormat="1" x14ac:dyDescent="0.25"/>
    <row r="230637" s="12" customFormat="1" x14ac:dyDescent="0.25"/>
    <row r="230638" s="12" customFormat="1" x14ac:dyDescent="0.25"/>
    <row r="230639" s="12" customFormat="1" x14ac:dyDescent="0.25"/>
    <row r="230640" s="12" customFormat="1" x14ac:dyDescent="0.25"/>
    <row r="230641" s="12" customFormat="1" x14ac:dyDescent="0.25"/>
    <row r="230642" s="12" customFormat="1" x14ac:dyDescent="0.25"/>
    <row r="230643" s="12" customFormat="1" x14ac:dyDescent="0.25"/>
    <row r="230644" s="12" customFormat="1" x14ac:dyDescent="0.25"/>
    <row r="230645" s="12" customFormat="1" x14ac:dyDescent="0.25"/>
    <row r="230646" s="12" customFormat="1" x14ac:dyDescent="0.25"/>
    <row r="230647" s="12" customFormat="1" x14ac:dyDescent="0.25"/>
    <row r="230648" s="12" customFormat="1" x14ac:dyDescent="0.25"/>
    <row r="230649" s="12" customFormat="1" x14ac:dyDescent="0.25"/>
    <row r="230650" s="12" customFormat="1" x14ac:dyDescent="0.25"/>
    <row r="230651" s="12" customFormat="1" x14ac:dyDescent="0.25"/>
    <row r="230652" s="12" customFormat="1" x14ac:dyDescent="0.25"/>
    <row r="230653" s="12" customFormat="1" x14ac:dyDescent="0.25"/>
    <row r="230654" s="12" customFormat="1" x14ac:dyDescent="0.25"/>
    <row r="230655" s="12" customFormat="1" x14ac:dyDescent="0.25"/>
    <row r="230656" s="12" customFormat="1" x14ac:dyDescent="0.25"/>
    <row r="230657" s="12" customFormat="1" x14ac:dyDescent="0.25"/>
    <row r="230658" s="12" customFormat="1" x14ac:dyDescent="0.25"/>
    <row r="230659" s="12" customFormat="1" x14ac:dyDescent="0.25"/>
    <row r="230660" s="12" customFormat="1" x14ac:dyDescent="0.25"/>
    <row r="230661" s="12" customFormat="1" x14ac:dyDescent="0.25"/>
    <row r="230662" s="12" customFormat="1" x14ac:dyDescent="0.25"/>
    <row r="230663" s="12" customFormat="1" x14ac:dyDescent="0.25"/>
    <row r="230664" s="12" customFormat="1" x14ac:dyDescent="0.25"/>
    <row r="230665" s="12" customFormat="1" x14ac:dyDescent="0.25"/>
    <row r="230666" s="12" customFormat="1" x14ac:dyDescent="0.25"/>
    <row r="230667" s="12" customFormat="1" x14ac:dyDescent="0.25"/>
    <row r="230668" s="12" customFormat="1" x14ac:dyDescent="0.25"/>
    <row r="230669" s="12" customFormat="1" x14ac:dyDescent="0.25"/>
    <row r="230670" s="12" customFormat="1" x14ac:dyDescent="0.25"/>
    <row r="230671" s="12" customFormat="1" x14ac:dyDescent="0.25"/>
    <row r="230672" s="12" customFormat="1" x14ac:dyDescent="0.25"/>
    <row r="230673" s="12" customFormat="1" x14ac:dyDescent="0.25"/>
    <row r="230674" s="12" customFormat="1" x14ac:dyDescent="0.25"/>
    <row r="230675" s="12" customFormat="1" x14ac:dyDescent="0.25"/>
    <row r="230676" s="12" customFormat="1" x14ac:dyDescent="0.25"/>
    <row r="230677" s="12" customFormat="1" x14ac:dyDescent="0.25"/>
    <row r="230678" s="12" customFormat="1" x14ac:dyDescent="0.25"/>
    <row r="230679" s="12" customFormat="1" x14ac:dyDescent="0.25"/>
    <row r="230680" s="12" customFormat="1" x14ac:dyDescent="0.25"/>
    <row r="230681" s="12" customFormat="1" x14ac:dyDescent="0.25"/>
    <row r="230682" s="12" customFormat="1" x14ac:dyDescent="0.25"/>
    <row r="230683" s="12" customFormat="1" x14ac:dyDescent="0.25"/>
    <row r="230684" s="12" customFormat="1" x14ac:dyDescent="0.25"/>
    <row r="230685" s="12" customFormat="1" x14ac:dyDescent="0.25"/>
    <row r="230686" s="12" customFormat="1" x14ac:dyDescent="0.25"/>
    <row r="230687" s="12" customFormat="1" x14ac:dyDescent="0.25"/>
    <row r="230688" s="12" customFormat="1" x14ac:dyDescent="0.25"/>
    <row r="230689" s="12" customFormat="1" x14ac:dyDescent="0.25"/>
    <row r="230690" s="12" customFormat="1" x14ac:dyDescent="0.25"/>
    <row r="230691" s="12" customFormat="1" x14ac:dyDescent="0.25"/>
    <row r="230692" s="12" customFormat="1" x14ac:dyDescent="0.25"/>
    <row r="230693" s="12" customFormat="1" x14ac:dyDescent="0.25"/>
    <row r="230694" s="12" customFormat="1" x14ac:dyDescent="0.25"/>
    <row r="230695" s="12" customFormat="1" x14ac:dyDescent="0.25"/>
    <row r="230696" s="12" customFormat="1" x14ac:dyDescent="0.25"/>
    <row r="230697" s="12" customFormat="1" x14ac:dyDescent="0.25"/>
    <row r="230698" s="12" customFormat="1" x14ac:dyDescent="0.25"/>
    <row r="230699" s="12" customFormat="1" x14ac:dyDescent="0.25"/>
    <row r="230700" s="12" customFormat="1" x14ac:dyDescent="0.25"/>
    <row r="230701" s="12" customFormat="1" x14ac:dyDescent="0.25"/>
    <row r="230702" s="12" customFormat="1" x14ac:dyDescent="0.25"/>
    <row r="230703" s="12" customFormat="1" x14ac:dyDescent="0.25"/>
    <row r="230704" s="12" customFormat="1" x14ac:dyDescent="0.25"/>
    <row r="230705" s="12" customFormat="1" x14ac:dyDescent="0.25"/>
    <row r="230706" s="12" customFormat="1" x14ac:dyDescent="0.25"/>
    <row r="230707" s="12" customFormat="1" x14ac:dyDescent="0.25"/>
    <row r="230708" s="12" customFormat="1" x14ac:dyDescent="0.25"/>
    <row r="230709" s="12" customFormat="1" x14ac:dyDescent="0.25"/>
    <row r="230710" s="12" customFormat="1" x14ac:dyDescent="0.25"/>
    <row r="230711" s="12" customFormat="1" x14ac:dyDescent="0.25"/>
    <row r="230712" s="12" customFormat="1" x14ac:dyDescent="0.25"/>
    <row r="230713" s="12" customFormat="1" x14ac:dyDescent="0.25"/>
    <row r="230714" s="12" customFormat="1" x14ac:dyDescent="0.25"/>
    <row r="230715" s="12" customFormat="1" x14ac:dyDescent="0.25"/>
    <row r="230716" s="12" customFormat="1" x14ac:dyDescent="0.25"/>
    <row r="230717" s="12" customFormat="1" x14ac:dyDescent="0.25"/>
    <row r="230718" s="12" customFormat="1" x14ac:dyDescent="0.25"/>
    <row r="230719" s="12" customFormat="1" x14ac:dyDescent="0.25"/>
    <row r="230720" s="12" customFormat="1" x14ac:dyDescent="0.25"/>
    <row r="230721" s="12" customFormat="1" x14ac:dyDescent="0.25"/>
    <row r="230722" s="12" customFormat="1" x14ac:dyDescent="0.25"/>
    <row r="230723" s="12" customFormat="1" x14ac:dyDescent="0.25"/>
    <row r="230724" s="12" customFormat="1" x14ac:dyDescent="0.25"/>
    <row r="230725" s="12" customFormat="1" x14ac:dyDescent="0.25"/>
    <row r="230726" s="12" customFormat="1" x14ac:dyDescent="0.25"/>
    <row r="230727" s="12" customFormat="1" x14ac:dyDescent="0.25"/>
    <row r="230728" s="12" customFormat="1" x14ac:dyDescent="0.25"/>
    <row r="230729" s="12" customFormat="1" x14ac:dyDescent="0.25"/>
    <row r="230730" s="12" customFormat="1" x14ac:dyDescent="0.25"/>
    <row r="230731" s="12" customFormat="1" x14ac:dyDescent="0.25"/>
    <row r="230732" s="12" customFormat="1" x14ac:dyDescent="0.25"/>
    <row r="230733" s="12" customFormat="1" x14ac:dyDescent="0.25"/>
    <row r="230734" s="12" customFormat="1" x14ac:dyDescent="0.25"/>
    <row r="230735" s="12" customFormat="1" x14ac:dyDescent="0.25"/>
    <row r="230736" s="12" customFormat="1" x14ac:dyDescent="0.25"/>
    <row r="230737" s="12" customFormat="1" x14ac:dyDescent="0.25"/>
    <row r="230738" s="12" customFormat="1" x14ac:dyDescent="0.25"/>
    <row r="230739" s="12" customFormat="1" x14ac:dyDescent="0.25"/>
    <row r="230740" s="12" customFormat="1" x14ac:dyDescent="0.25"/>
    <row r="230741" s="12" customFormat="1" x14ac:dyDescent="0.25"/>
    <row r="230742" s="12" customFormat="1" x14ac:dyDescent="0.25"/>
    <row r="230743" s="12" customFormat="1" x14ac:dyDescent="0.25"/>
    <row r="230744" s="12" customFormat="1" x14ac:dyDescent="0.25"/>
    <row r="230745" s="12" customFormat="1" x14ac:dyDescent="0.25"/>
    <row r="230746" s="12" customFormat="1" x14ac:dyDescent="0.25"/>
    <row r="230747" s="12" customFormat="1" x14ac:dyDescent="0.25"/>
    <row r="230748" s="12" customFormat="1" x14ac:dyDescent="0.25"/>
    <row r="230749" s="12" customFormat="1" x14ac:dyDescent="0.25"/>
    <row r="230750" s="12" customFormat="1" x14ac:dyDescent="0.25"/>
    <row r="230751" s="12" customFormat="1" x14ac:dyDescent="0.25"/>
    <row r="230752" s="12" customFormat="1" x14ac:dyDescent="0.25"/>
    <row r="230753" s="12" customFormat="1" x14ac:dyDescent="0.25"/>
    <row r="230754" s="12" customFormat="1" x14ac:dyDescent="0.25"/>
    <row r="230755" s="12" customFormat="1" x14ac:dyDescent="0.25"/>
    <row r="230756" s="12" customFormat="1" x14ac:dyDescent="0.25"/>
    <row r="230757" s="12" customFormat="1" x14ac:dyDescent="0.25"/>
    <row r="230758" s="12" customFormat="1" x14ac:dyDescent="0.25"/>
    <row r="230759" s="12" customFormat="1" x14ac:dyDescent="0.25"/>
    <row r="230760" s="12" customFormat="1" x14ac:dyDescent="0.25"/>
    <row r="230761" s="12" customFormat="1" x14ac:dyDescent="0.25"/>
    <row r="230762" s="12" customFormat="1" x14ac:dyDescent="0.25"/>
    <row r="230763" s="12" customFormat="1" x14ac:dyDescent="0.25"/>
    <row r="230764" s="12" customFormat="1" x14ac:dyDescent="0.25"/>
    <row r="230765" s="12" customFormat="1" x14ac:dyDescent="0.25"/>
    <row r="230766" s="12" customFormat="1" x14ac:dyDescent="0.25"/>
    <row r="230767" s="12" customFormat="1" x14ac:dyDescent="0.25"/>
    <row r="230768" s="12" customFormat="1" x14ac:dyDescent="0.25"/>
    <row r="230769" s="12" customFormat="1" x14ac:dyDescent="0.25"/>
    <row r="230770" s="12" customFormat="1" x14ac:dyDescent="0.25"/>
    <row r="230771" s="12" customFormat="1" x14ac:dyDescent="0.25"/>
    <row r="230772" s="12" customFormat="1" x14ac:dyDescent="0.25"/>
    <row r="230773" s="12" customFormat="1" x14ac:dyDescent="0.25"/>
    <row r="230774" s="12" customFormat="1" x14ac:dyDescent="0.25"/>
    <row r="230775" s="12" customFormat="1" x14ac:dyDescent="0.25"/>
    <row r="230776" s="12" customFormat="1" x14ac:dyDescent="0.25"/>
    <row r="230777" s="12" customFormat="1" x14ac:dyDescent="0.25"/>
    <row r="230778" s="12" customFormat="1" x14ac:dyDescent="0.25"/>
    <row r="230779" s="12" customFormat="1" x14ac:dyDescent="0.25"/>
    <row r="230780" s="12" customFormat="1" x14ac:dyDescent="0.25"/>
    <row r="230781" s="12" customFormat="1" x14ac:dyDescent="0.25"/>
    <row r="230782" s="12" customFormat="1" x14ac:dyDescent="0.25"/>
    <row r="230783" s="12" customFormat="1" x14ac:dyDescent="0.25"/>
    <row r="230784" s="12" customFormat="1" x14ac:dyDescent="0.25"/>
    <row r="230785" s="12" customFormat="1" x14ac:dyDescent="0.25"/>
    <row r="230786" s="12" customFormat="1" x14ac:dyDescent="0.25"/>
    <row r="230787" s="12" customFormat="1" x14ac:dyDescent="0.25"/>
    <row r="230788" s="12" customFormat="1" x14ac:dyDescent="0.25"/>
    <row r="230789" s="12" customFormat="1" x14ac:dyDescent="0.25"/>
    <row r="230790" s="12" customFormat="1" x14ac:dyDescent="0.25"/>
    <row r="230791" s="12" customFormat="1" x14ac:dyDescent="0.25"/>
    <row r="230792" s="12" customFormat="1" x14ac:dyDescent="0.25"/>
    <row r="230793" s="12" customFormat="1" x14ac:dyDescent="0.25"/>
    <row r="230794" s="12" customFormat="1" x14ac:dyDescent="0.25"/>
    <row r="230795" s="12" customFormat="1" x14ac:dyDescent="0.25"/>
    <row r="230796" s="12" customFormat="1" x14ac:dyDescent="0.25"/>
    <row r="230797" s="12" customFormat="1" x14ac:dyDescent="0.25"/>
    <row r="230798" s="12" customFormat="1" x14ac:dyDescent="0.25"/>
    <row r="230799" s="12" customFormat="1" x14ac:dyDescent="0.25"/>
    <row r="230800" s="12" customFormat="1" x14ac:dyDescent="0.25"/>
    <row r="230801" s="12" customFormat="1" x14ac:dyDescent="0.25"/>
    <row r="230802" s="12" customFormat="1" x14ac:dyDescent="0.25"/>
    <row r="230803" s="12" customFormat="1" x14ac:dyDescent="0.25"/>
    <row r="230804" s="12" customFormat="1" x14ac:dyDescent="0.25"/>
    <row r="230805" s="12" customFormat="1" x14ac:dyDescent="0.25"/>
    <row r="230806" s="12" customFormat="1" x14ac:dyDescent="0.25"/>
    <row r="230807" s="12" customFormat="1" x14ac:dyDescent="0.25"/>
    <row r="230808" s="12" customFormat="1" x14ac:dyDescent="0.25"/>
    <row r="230809" s="12" customFormat="1" x14ac:dyDescent="0.25"/>
    <row r="230810" s="12" customFormat="1" x14ac:dyDescent="0.25"/>
    <row r="230811" s="12" customFormat="1" x14ac:dyDescent="0.25"/>
    <row r="230812" s="12" customFormat="1" x14ac:dyDescent="0.25"/>
    <row r="230813" s="12" customFormat="1" x14ac:dyDescent="0.25"/>
    <row r="230814" s="12" customFormat="1" x14ac:dyDescent="0.25"/>
    <row r="230815" s="12" customFormat="1" x14ac:dyDescent="0.25"/>
    <row r="230816" s="12" customFormat="1" x14ac:dyDescent="0.25"/>
    <row r="230817" s="12" customFormat="1" x14ac:dyDescent="0.25"/>
    <row r="230818" s="12" customFormat="1" x14ac:dyDescent="0.25"/>
    <row r="230819" s="12" customFormat="1" x14ac:dyDescent="0.25"/>
    <row r="230820" s="12" customFormat="1" x14ac:dyDescent="0.25"/>
    <row r="230821" s="12" customFormat="1" x14ac:dyDescent="0.25"/>
    <row r="230822" s="12" customFormat="1" x14ac:dyDescent="0.25"/>
    <row r="230823" s="12" customFormat="1" x14ac:dyDescent="0.25"/>
    <row r="230824" s="12" customFormat="1" x14ac:dyDescent="0.25"/>
    <row r="230825" s="12" customFormat="1" x14ac:dyDescent="0.25"/>
    <row r="230826" s="12" customFormat="1" x14ac:dyDescent="0.25"/>
    <row r="230827" s="12" customFormat="1" x14ac:dyDescent="0.25"/>
    <row r="230828" s="12" customFormat="1" x14ac:dyDescent="0.25"/>
    <row r="230829" s="12" customFormat="1" x14ac:dyDescent="0.25"/>
    <row r="230830" s="12" customFormat="1" x14ac:dyDescent="0.25"/>
    <row r="230831" s="12" customFormat="1" x14ac:dyDescent="0.25"/>
    <row r="230832" s="12" customFormat="1" x14ac:dyDescent="0.25"/>
    <row r="230833" s="12" customFormat="1" x14ac:dyDescent="0.25"/>
    <row r="230834" s="12" customFormat="1" x14ac:dyDescent="0.25"/>
    <row r="230835" s="12" customFormat="1" x14ac:dyDescent="0.25"/>
    <row r="230836" s="12" customFormat="1" x14ac:dyDescent="0.25"/>
    <row r="230837" s="12" customFormat="1" x14ac:dyDescent="0.25"/>
    <row r="230838" s="12" customFormat="1" x14ac:dyDescent="0.25"/>
    <row r="230839" s="12" customFormat="1" x14ac:dyDescent="0.25"/>
    <row r="230840" s="12" customFormat="1" x14ac:dyDescent="0.25"/>
    <row r="230841" s="12" customFormat="1" x14ac:dyDescent="0.25"/>
    <row r="230842" s="12" customFormat="1" x14ac:dyDescent="0.25"/>
    <row r="230843" s="12" customFormat="1" x14ac:dyDescent="0.25"/>
    <row r="230844" s="12" customFormat="1" x14ac:dyDescent="0.25"/>
    <row r="230845" s="12" customFormat="1" x14ac:dyDescent="0.25"/>
    <row r="230846" s="12" customFormat="1" x14ac:dyDescent="0.25"/>
    <row r="230847" s="12" customFormat="1" x14ac:dyDescent="0.25"/>
    <row r="230848" s="12" customFormat="1" x14ac:dyDescent="0.25"/>
    <row r="230849" s="12" customFormat="1" x14ac:dyDescent="0.25"/>
    <row r="230850" s="12" customFormat="1" x14ac:dyDescent="0.25"/>
    <row r="230851" s="12" customFormat="1" x14ac:dyDescent="0.25"/>
    <row r="230852" s="12" customFormat="1" x14ac:dyDescent="0.25"/>
    <row r="230853" s="12" customFormat="1" x14ac:dyDescent="0.25"/>
    <row r="230854" s="12" customFormat="1" x14ac:dyDescent="0.25"/>
    <row r="230855" s="12" customFormat="1" x14ac:dyDescent="0.25"/>
    <row r="230856" s="12" customFormat="1" x14ac:dyDescent="0.25"/>
    <row r="230857" s="12" customFormat="1" x14ac:dyDescent="0.25"/>
    <row r="230858" s="12" customFormat="1" x14ac:dyDescent="0.25"/>
    <row r="230859" s="12" customFormat="1" x14ac:dyDescent="0.25"/>
    <row r="230860" s="12" customFormat="1" x14ac:dyDescent="0.25"/>
    <row r="230861" s="12" customFormat="1" x14ac:dyDescent="0.25"/>
    <row r="230862" s="12" customFormat="1" x14ac:dyDescent="0.25"/>
    <row r="230863" s="12" customFormat="1" x14ac:dyDescent="0.25"/>
    <row r="230864" s="12" customFormat="1" x14ac:dyDescent="0.25"/>
    <row r="230865" s="12" customFormat="1" x14ac:dyDescent="0.25"/>
    <row r="230866" s="12" customFormat="1" x14ac:dyDescent="0.25"/>
    <row r="230867" s="12" customFormat="1" x14ac:dyDescent="0.25"/>
    <row r="230868" s="12" customFormat="1" x14ac:dyDescent="0.25"/>
    <row r="230869" s="12" customFormat="1" x14ac:dyDescent="0.25"/>
    <row r="230870" s="12" customFormat="1" x14ac:dyDescent="0.25"/>
    <row r="230871" s="12" customFormat="1" x14ac:dyDescent="0.25"/>
    <row r="230872" s="12" customFormat="1" x14ac:dyDescent="0.25"/>
    <row r="230873" s="12" customFormat="1" x14ac:dyDescent="0.25"/>
    <row r="230874" s="12" customFormat="1" x14ac:dyDescent="0.25"/>
    <row r="230875" s="12" customFormat="1" x14ac:dyDescent="0.25"/>
    <row r="230876" s="12" customFormat="1" x14ac:dyDescent="0.25"/>
    <row r="230877" s="12" customFormat="1" x14ac:dyDescent="0.25"/>
    <row r="230878" s="12" customFormat="1" x14ac:dyDescent="0.25"/>
    <row r="230879" s="12" customFormat="1" x14ac:dyDescent="0.25"/>
    <row r="230880" s="12" customFormat="1" x14ac:dyDescent="0.25"/>
    <row r="230881" s="12" customFormat="1" x14ac:dyDescent="0.25"/>
    <row r="230882" s="12" customFormat="1" x14ac:dyDescent="0.25"/>
    <row r="230883" s="12" customFormat="1" x14ac:dyDescent="0.25"/>
    <row r="230884" s="12" customFormat="1" x14ac:dyDescent="0.25"/>
    <row r="230885" s="12" customFormat="1" x14ac:dyDescent="0.25"/>
    <row r="230886" s="12" customFormat="1" x14ac:dyDescent="0.25"/>
    <row r="230887" s="12" customFormat="1" x14ac:dyDescent="0.25"/>
    <row r="230888" s="12" customFormat="1" x14ac:dyDescent="0.25"/>
    <row r="230889" s="12" customFormat="1" x14ac:dyDescent="0.25"/>
    <row r="230890" s="12" customFormat="1" x14ac:dyDescent="0.25"/>
    <row r="230891" s="12" customFormat="1" x14ac:dyDescent="0.25"/>
    <row r="230892" s="12" customFormat="1" x14ac:dyDescent="0.25"/>
    <row r="230893" s="12" customFormat="1" x14ac:dyDescent="0.25"/>
    <row r="230894" s="12" customFormat="1" x14ac:dyDescent="0.25"/>
    <row r="230895" s="12" customFormat="1" x14ac:dyDescent="0.25"/>
    <row r="230896" s="12" customFormat="1" x14ac:dyDescent="0.25"/>
    <row r="230897" s="12" customFormat="1" x14ac:dyDescent="0.25"/>
    <row r="230898" s="12" customFormat="1" x14ac:dyDescent="0.25"/>
    <row r="230899" s="12" customFormat="1" x14ac:dyDescent="0.25"/>
    <row r="230900" s="12" customFormat="1" x14ac:dyDescent="0.25"/>
    <row r="230901" s="12" customFormat="1" x14ac:dyDescent="0.25"/>
    <row r="230902" s="12" customFormat="1" x14ac:dyDescent="0.25"/>
    <row r="230903" s="12" customFormat="1" x14ac:dyDescent="0.25"/>
    <row r="230904" s="12" customFormat="1" x14ac:dyDescent="0.25"/>
    <row r="230905" s="12" customFormat="1" x14ac:dyDescent="0.25"/>
    <row r="230906" s="12" customFormat="1" x14ac:dyDescent="0.25"/>
    <row r="230907" s="12" customFormat="1" x14ac:dyDescent="0.25"/>
    <row r="230908" s="12" customFormat="1" x14ac:dyDescent="0.25"/>
    <row r="230909" s="12" customFormat="1" x14ac:dyDescent="0.25"/>
    <row r="230910" s="12" customFormat="1" x14ac:dyDescent="0.25"/>
    <row r="230911" s="12" customFormat="1" x14ac:dyDescent="0.25"/>
    <row r="230912" s="12" customFormat="1" x14ac:dyDescent="0.25"/>
    <row r="230913" s="12" customFormat="1" x14ac:dyDescent="0.25"/>
    <row r="230914" s="12" customFormat="1" x14ac:dyDescent="0.25"/>
    <row r="230915" s="12" customFormat="1" x14ac:dyDescent="0.25"/>
    <row r="230916" s="12" customFormat="1" x14ac:dyDescent="0.25"/>
    <row r="230917" s="12" customFormat="1" x14ac:dyDescent="0.25"/>
    <row r="230918" s="12" customFormat="1" x14ac:dyDescent="0.25"/>
    <row r="230919" s="12" customFormat="1" x14ac:dyDescent="0.25"/>
    <row r="230920" s="12" customFormat="1" x14ac:dyDescent="0.25"/>
    <row r="230921" s="12" customFormat="1" x14ac:dyDescent="0.25"/>
    <row r="230922" s="12" customFormat="1" x14ac:dyDescent="0.25"/>
    <row r="230923" s="12" customFormat="1" x14ac:dyDescent="0.25"/>
    <row r="230924" s="12" customFormat="1" x14ac:dyDescent="0.25"/>
    <row r="230925" s="12" customFormat="1" x14ac:dyDescent="0.25"/>
    <row r="230926" s="12" customFormat="1" x14ac:dyDescent="0.25"/>
    <row r="230927" s="12" customFormat="1" x14ac:dyDescent="0.25"/>
    <row r="230928" s="12" customFormat="1" x14ac:dyDescent="0.25"/>
    <row r="230929" s="12" customFormat="1" x14ac:dyDescent="0.25"/>
    <row r="230930" s="12" customFormat="1" x14ac:dyDescent="0.25"/>
    <row r="230931" s="12" customFormat="1" x14ac:dyDescent="0.25"/>
    <row r="230932" s="12" customFormat="1" x14ac:dyDescent="0.25"/>
    <row r="230933" s="12" customFormat="1" x14ac:dyDescent="0.25"/>
    <row r="230934" s="12" customFormat="1" x14ac:dyDescent="0.25"/>
    <row r="230935" s="12" customFormat="1" x14ac:dyDescent="0.25"/>
    <row r="230936" s="12" customFormat="1" x14ac:dyDescent="0.25"/>
    <row r="230937" s="12" customFormat="1" x14ac:dyDescent="0.25"/>
    <row r="230938" s="12" customFormat="1" x14ac:dyDescent="0.25"/>
    <row r="230939" s="12" customFormat="1" x14ac:dyDescent="0.25"/>
    <row r="230940" s="12" customFormat="1" x14ac:dyDescent="0.25"/>
    <row r="230941" s="12" customFormat="1" x14ac:dyDescent="0.25"/>
    <row r="230942" s="12" customFormat="1" x14ac:dyDescent="0.25"/>
    <row r="230943" s="12" customFormat="1" x14ac:dyDescent="0.25"/>
    <row r="230944" s="12" customFormat="1" x14ac:dyDescent="0.25"/>
    <row r="230945" s="12" customFormat="1" x14ac:dyDescent="0.25"/>
    <row r="230946" s="12" customFormat="1" x14ac:dyDescent="0.25"/>
    <row r="230947" s="12" customFormat="1" x14ac:dyDescent="0.25"/>
    <row r="230948" s="12" customFormat="1" x14ac:dyDescent="0.25"/>
    <row r="230949" s="12" customFormat="1" x14ac:dyDescent="0.25"/>
    <row r="230950" s="12" customFormat="1" x14ac:dyDescent="0.25"/>
    <row r="230951" s="12" customFormat="1" x14ac:dyDescent="0.25"/>
    <row r="230952" s="12" customFormat="1" x14ac:dyDescent="0.25"/>
    <row r="230953" s="12" customFormat="1" x14ac:dyDescent="0.25"/>
    <row r="230954" s="12" customFormat="1" x14ac:dyDescent="0.25"/>
    <row r="230955" s="12" customFormat="1" x14ac:dyDescent="0.25"/>
    <row r="230956" s="12" customFormat="1" x14ac:dyDescent="0.25"/>
    <row r="230957" s="12" customFormat="1" x14ac:dyDescent="0.25"/>
    <row r="230958" s="12" customFormat="1" x14ac:dyDescent="0.25"/>
    <row r="230959" s="12" customFormat="1" x14ac:dyDescent="0.25"/>
    <row r="230960" s="12" customFormat="1" x14ac:dyDescent="0.25"/>
    <row r="230961" s="12" customFormat="1" x14ac:dyDescent="0.25"/>
    <row r="230962" s="12" customFormat="1" x14ac:dyDescent="0.25"/>
    <row r="230963" s="12" customFormat="1" x14ac:dyDescent="0.25"/>
    <row r="230964" s="12" customFormat="1" x14ac:dyDescent="0.25"/>
    <row r="230965" s="12" customFormat="1" x14ac:dyDescent="0.25"/>
    <row r="230966" s="12" customFormat="1" x14ac:dyDescent="0.25"/>
    <row r="230967" s="12" customFormat="1" x14ac:dyDescent="0.25"/>
    <row r="230968" s="12" customFormat="1" x14ac:dyDescent="0.25"/>
    <row r="230969" s="12" customFormat="1" x14ac:dyDescent="0.25"/>
    <row r="230970" s="12" customFormat="1" x14ac:dyDescent="0.25"/>
    <row r="230971" s="12" customFormat="1" x14ac:dyDescent="0.25"/>
    <row r="230972" s="12" customFormat="1" x14ac:dyDescent="0.25"/>
    <row r="230973" s="12" customFormat="1" x14ac:dyDescent="0.25"/>
    <row r="230974" s="12" customFormat="1" x14ac:dyDescent="0.25"/>
    <row r="230975" s="12" customFormat="1" x14ac:dyDescent="0.25"/>
    <row r="230976" s="12" customFormat="1" x14ac:dyDescent="0.25"/>
    <row r="230977" s="12" customFormat="1" x14ac:dyDescent="0.25"/>
    <row r="230978" s="12" customFormat="1" x14ac:dyDescent="0.25"/>
    <row r="230979" s="12" customFormat="1" x14ac:dyDescent="0.25"/>
    <row r="230980" s="12" customFormat="1" x14ac:dyDescent="0.25"/>
    <row r="230981" s="12" customFormat="1" x14ac:dyDescent="0.25"/>
    <row r="230982" s="12" customFormat="1" x14ac:dyDescent="0.25"/>
    <row r="230983" s="12" customFormat="1" x14ac:dyDescent="0.25"/>
    <row r="230984" s="12" customFormat="1" x14ac:dyDescent="0.25"/>
    <row r="230985" s="12" customFormat="1" x14ac:dyDescent="0.25"/>
    <row r="230986" s="12" customFormat="1" x14ac:dyDescent="0.25"/>
    <row r="230987" s="12" customFormat="1" x14ac:dyDescent="0.25"/>
    <row r="230988" s="12" customFormat="1" x14ac:dyDescent="0.25"/>
    <row r="230989" s="12" customFormat="1" x14ac:dyDescent="0.25"/>
    <row r="230990" s="12" customFormat="1" x14ac:dyDescent="0.25"/>
    <row r="230991" s="12" customFormat="1" x14ac:dyDescent="0.25"/>
    <row r="230992" s="12" customFormat="1" x14ac:dyDescent="0.25"/>
    <row r="230993" s="12" customFormat="1" x14ac:dyDescent="0.25"/>
    <row r="230994" s="12" customFormat="1" x14ac:dyDescent="0.25"/>
    <row r="230995" s="12" customFormat="1" x14ac:dyDescent="0.25"/>
    <row r="230996" s="12" customFormat="1" x14ac:dyDescent="0.25"/>
    <row r="230997" s="12" customFormat="1" x14ac:dyDescent="0.25"/>
    <row r="230998" s="12" customFormat="1" x14ac:dyDescent="0.25"/>
    <row r="230999" s="12" customFormat="1" x14ac:dyDescent="0.25"/>
    <row r="231000" s="12" customFormat="1" x14ac:dyDescent="0.25"/>
    <row r="231001" s="12" customFormat="1" x14ac:dyDescent="0.25"/>
    <row r="231002" s="12" customFormat="1" x14ac:dyDescent="0.25"/>
    <row r="231003" s="12" customFormat="1" x14ac:dyDescent="0.25"/>
    <row r="231004" s="12" customFormat="1" x14ac:dyDescent="0.25"/>
    <row r="231005" s="12" customFormat="1" x14ac:dyDescent="0.25"/>
    <row r="231006" s="12" customFormat="1" x14ac:dyDescent="0.25"/>
    <row r="231007" s="12" customFormat="1" x14ac:dyDescent="0.25"/>
    <row r="231008" s="12" customFormat="1" x14ac:dyDescent="0.25"/>
    <row r="231009" s="12" customFormat="1" x14ac:dyDescent="0.25"/>
    <row r="231010" s="12" customFormat="1" x14ac:dyDescent="0.25"/>
    <row r="231011" s="12" customFormat="1" x14ac:dyDescent="0.25"/>
    <row r="231012" s="12" customFormat="1" x14ac:dyDescent="0.25"/>
    <row r="231013" s="12" customFormat="1" x14ac:dyDescent="0.25"/>
    <row r="231014" s="12" customFormat="1" x14ac:dyDescent="0.25"/>
    <row r="231015" s="12" customFormat="1" x14ac:dyDescent="0.25"/>
    <row r="231016" s="12" customFormat="1" x14ac:dyDescent="0.25"/>
    <row r="231017" s="12" customFormat="1" x14ac:dyDescent="0.25"/>
    <row r="231018" s="12" customFormat="1" x14ac:dyDescent="0.25"/>
    <row r="231019" s="12" customFormat="1" x14ac:dyDescent="0.25"/>
    <row r="231020" s="12" customFormat="1" x14ac:dyDescent="0.25"/>
    <row r="231021" s="12" customFormat="1" x14ac:dyDescent="0.25"/>
    <row r="231022" s="12" customFormat="1" x14ac:dyDescent="0.25"/>
    <row r="231023" s="12" customFormat="1" x14ac:dyDescent="0.25"/>
    <row r="231024" s="12" customFormat="1" x14ac:dyDescent="0.25"/>
    <row r="231025" s="12" customFormat="1" x14ac:dyDescent="0.25"/>
    <row r="231026" s="12" customFormat="1" x14ac:dyDescent="0.25"/>
    <row r="231027" s="12" customFormat="1" x14ac:dyDescent="0.25"/>
    <row r="231028" s="12" customFormat="1" x14ac:dyDescent="0.25"/>
    <row r="231029" s="12" customFormat="1" x14ac:dyDescent="0.25"/>
    <row r="231030" s="12" customFormat="1" x14ac:dyDescent="0.25"/>
    <row r="231031" s="12" customFormat="1" x14ac:dyDescent="0.25"/>
    <row r="231032" s="12" customFormat="1" x14ac:dyDescent="0.25"/>
    <row r="231033" s="12" customFormat="1" x14ac:dyDescent="0.25"/>
    <row r="231034" s="12" customFormat="1" x14ac:dyDescent="0.25"/>
    <row r="231035" s="12" customFormat="1" x14ac:dyDescent="0.25"/>
    <row r="231036" s="12" customFormat="1" x14ac:dyDescent="0.25"/>
    <row r="231037" s="12" customFormat="1" x14ac:dyDescent="0.25"/>
    <row r="231038" s="12" customFormat="1" x14ac:dyDescent="0.25"/>
    <row r="231039" s="12" customFormat="1" x14ac:dyDescent="0.25"/>
    <row r="231040" s="12" customFormat="1" x14ac:dyDescent="0.25"/>
    <row r="231041" s="12" customFormat="1" x14ac:dyDescent="0.25"/>
    <row r="231042" s="12" customFormat="1" x14ac:dyDescent="0.25"/>
    <row r="231043" s="12" customFormat="1" x14ac:dyDescent="0.25"/>
    <row r="231044" s="12" customFormat="1" x14ac:dyDescent="0.25"/>
    <row r="231045" s="12" customFormat="1" x14ac:dyDescent="0.25"/>
    <row r="231046" s="12" customFormat="1" x14ac:dyDescent="0.25"/>
    <row r="231047" s="12" customFormat="1" x14ac:dyDescent="0.25"/>
    <row r="231048" s="12" customFormat="1" x14ac:dyDescent="0.25"/>
    <row r="231049" s="12" customFormat="1" x14ac:dyDescent="0.25"/>
    <row r="231050" s="12" customFormat="1" x14ac:dyDescent="0.25"/>
    <row r="231051" s="12" customFormat="1" x14ac:dyDescent="0.25"/>
    <row r="231052" s="12" customFormat="1" x14ac:dyDescent="0.25"/>
    <row r="231053" s="12" customFormat="1" x14ac:dyDescent="0.25"/>
    <row r="231054" s="12" customFormat="1" x14ac:dyDescent="0.25"/>
    <row r="231055" s="12" customFormat="1" x14ac:dyDescent="0.25"/>
    <row r="231056" s="12" customFormat="1" x14ac:dyDescent="0.25"/>
    <row r="231057" s="12" customFormat="1" x14ac:dyDescent="0.25"/>
    <row r="231058" s="12" customFormat="1" x14ac:dyDescent="0.25"/>
    <row r="231059" s="12" customFormat="1" x14ac:dyDescent="0.25"/>
    <row r="231060" s="12" customFormat="1" x14ac:dyDescent="0.25"/>
    <row r="231061" s="12" customFormat="1" x14ac:dyDescent="0.25"/>
    <row r="231062" s="12" customFormat="1" x14ac:dyDescent="0.25"/>
    <row r="231063" s="12" customFormat="1" x14ac:dyDescent="0.25"/>
    <row r="231064" s="12" customFormat="1" x14ac:dyDescent="0.25"/>
    <row r="231065" s="12" customFormat="1" x14ac:dyDescent="0.25"/>
    <row r="231066" s="12" customFormat="1" x14ac:dyDescent="0.25"/>
    <row r="231067" s="12" customFormat="1" x14ac:dyDescent="0.25"/>
    <row r="231068" s="12" customFormat="1" x14ac:dyDescent="0.25"/>
    <row r="231069" s="12" customFormat="1" x14ac:dyDescent="0.25"/>
    <row r="231070" s="12" customFormat="1" x14ac:dyDescent="0.25"/>
    <row r="231071" s="12" customFormat="1" x14ac:dyDescent="0.25"/>
    <row r="231072" s="12" customFormat="1" x14ac:dyDescent="0.25"/>
    <row r="231073" s="12" customFormat="1" x14ac:dyDescent="0.25"/>
    <row r="231074" s="12" customFormat="1" x14ac:dyDescent="0.25"/>
    <row r="231075" s="12" customFormat="1" x14ac:dyDescent="0.25"/>
    <row r="231076" s="12" customFormat="1" x14ac:dyDescent="0.25"/>
    <row r="231077" s="12" customFormat="1" x14ac:dyDescent="0.25"/>
    <row r="231078" s="12" customFormat="1" x14ac:dyDescent="0.25"/>
    <row r="231079" s="12" customFormat="1" x14ac:dyDescent="0.25"/>
    <row r="231080" s="12" customFormat="1" x14ac:dyDescent="0.25"/>
    <row r="231081" s="12" customFormat="1" x14ac:dyDescent="0.25"/>
    <row r="231082" s="12" customFormat="1" x14ac:dyDescent="0.25"/>
    <row r="231083" s="12" customFormat="1" x14ac:dyDescent="0.25"/>
    <row r="231084" s="12" customFormat="1" x14ac:dyDescent="0.25"/>
    <row r="231085" s="12" customFormat="1" x14ac:dyDescent="0.25"/>
    <row r="231086" s="12" customFormat="1" x14ac:dyDescent="0.25"/>
    <row r="231087" s="12" customFormat="1" x14ac:dyDescent="0.25"/>
    <row r="231088" s="12" customFormat="1" x14ac:dyDescent="0.25"/>
    <row r="231089" s="12" customFormat="1" x14ac:dyDescent="0.25"/>
    <row r="231090" s="12" customFormat="1" x14ac:dyDescent="0.25"/>
    <row r="231091" s="12" customFormat="1" x14ac:dyDescent="0.25"/>
    <row r="231092" s="12" customFormat="1" x14ac:dyDescent="0.25"/>
    <row r="231093" s="12" customFormat="1" x14ac:dyDescent="0.25"/>
    <row r="231094" s="12" customFormat="1" x14ac:dyDescent="0.25"/>
    <row r="231095" s="12" customFormat="1" x14ac:dyDescent="0.25"/>
    <row r="231096" s="12" customFormat="1" x14ac:dyDescent="0.25"/>
    <row r="231097" s="12" customFormat="1" x14ac:dyDescent="0.25"/>
    <row r="231098" s="12" customFormat="1" x14ac:dyDescent="0.25"/>
    <row r="231099" s="12" customFormat="1" x14ac:dyDescent="0.25"/>
    <row r="231100" s="12" customFormat="1" x14ac:dyDescent="0.25"/>
    <row r="231101" s="12" customFormat="1" x14ac:dyDescent="0.25"/>
    <row r="231102" s="12" customFormat="1" x14ac:dyDescent="0.25"/>
    <row r="231103" s="12" customFormat="1" x14ac:dyDescent="0.25"/>
    <row r="231104" s="12" customFormat="1" x14ac:dyDescent="0.25"/>
    <row r="231105" s="12" customFormat="1" x14ac:dyDescent="0.25"/>
    <row r="231106" s="12" customFormat="1" x14ac:dyDescent="0.25"/>
    <row r="231107" s="12" customFormat="1" x14ac:dyDescent="0.25"/>
    <row r="231108" s="12" customFormat="1" x14ac:dyDescent="0.25"/>
    <row r="231109" s="12" customFormat="1" x14ac:dyDescent="0.25"/>
    <row r="231110" s="12" customFormat="1" x14ac:dyDescent="0.25"/>
    <row r="231111" s="12" customFormat="1" x14ac:dyDescent="0.25"/>
    <row r="231112" s="12" customFormat="1" x14ac:dyDescent="0.25"/>
    <row r="231113" s="12" customFormat="1" x14ac:dyDescent="0.25"/>
    <row r="231114" s="12" customFormat="1" x14ac:dyDescent="0.25"/>
    <row r="231115" s="12" customFormat="1" x14ac:dyDescent="0.25"/>
    <row r="231116" s="12" customFormat="1" x14ac:dyDescent="0.25"/>
    <row r="231117" s="12" customFormat="1" x14ac:dyDescent="0.25"/>
    <row r="231118" s="12" customFormat="1" x14ac:dyDescent="0.25"/>
    <row r="231119" s="12" customFormat="1" x14ac:dyDescent="0.25"/>
    <row r="231120" s="12" customFormat="1" x14ac:dyDescent="0.25"/>
    <row r="231121" s="12" customFormat="1" x14ac:dyDescent="0.25"/>
    <row r="231122" s="12" customFormat="1" x14ac:dyDescent="0.25"/>
    <row r="231123" s="12" customFormat="1" x14ac:dyDescent="0.25"/>
    <row r="231124" s="12" customFormat="1" x14ac:dyDescent="0.25"/>
    <row r="231125" s="12" customFormat="1" x14ac:dyDescent="0.25"/>
    <row r="231126" s="12" customFormat="1" x14ac:dyDescent="0.25"/>
    <row r="231127" s="12" customFormat="1" x14ac:dyDescent="0.25"/>
    <row r="231128" s="12" customFormat="1" x14ac:dyDescent="0.25"/>
    <row r="231129" s="12" customFormat="1" x14ac:dyDescent="0.25"/>
    <row r="231130" s="12" customFormat="1" x14ac:dyDescent="0.25"/>
    <row r="231131" s="12" customFormat="1" x14ac:dyDescent="0.25"/>
    <row r="231132" s="12" customFormat="1" x14ac:dyDescent="0.25"/>
    <row r="231133" s="12" customFormat="1" x14ac:dyDescent="0.25"/>
    <row r="231134" s="12" customFormat="1" x14ac:dyDescent="0.25"/>
    <row r="231135" s="12" customFormat="1" x14ac:dyDescent="0.25"/>
    <row r="231136" s="12" customFormat="1" x14ac:dyDescent="0.25"/>
    <row r="231137" s="12" customFormat="1" x14ac:dyDescent="0.25"/>
    <row r="231138" s="12" customFormat="1" x14ac:dyDescent="0.25"/>
    <row r="231139" s="12" customFormat="1" x14ac:dyDescent="0.25"/>
    <row r="231140" s="12" customFormat="1" x14ac:dyDescent="0.25"/>
    <row r="231141" s="12" customFormat="1" x14ac:dyDescent="0.25"/>
    <row r="231142" s="12" customFormat="1" x14ac:dyDescent="0.25"/>
    <row r="231143" s="12" customFormat="1" x14ac:dyDescent="0.25"/>
    <row r="231144" s="12" customFormat="1" x14ac:dyDescent="0.25"/>
    <row r="231145" s="12" customFormat="1" x14ac:dyDescent="0.25"/>
    <row r="231146" s="12" customFormat="1" x14ac:dyDescent="0.25"/>
    <row r="231147" s="12" customFormat="1" x14ac:dyDescent="0.25"/>
    <row r="231148" s="12" customFormat="1" x14ac:dyDescent="0.25"/>
    <row r="231149" s="12" customFormat="1" x14ac:dyDescent="0.25"/>
    <row r="231150" s="12" customFormat="1" x14ac:dyDescent="0.25"/>
    <row r="231151" s="12" customFormat="1" x14ac:dyDescent="0.25"/>
    <row r="231152" s="12" customFormat="1" x14ac:dyDescent="0.25"/>
    <row r="231153" s="12" customFormat="1" x14ac:dyDescent="0.25"/>
    <row r="231154" s="12" customFormat="1" x14ac:dyDescent="0.25"/>
    <row r="231155" s="12" customFormat="1" x14ac:dyDescent="0.25"/>
    <row r="231156" s="12" customFormat="1" x14ac:dyDescent="0.25"/>
    <row r="231157" s="12" customFormat="1" x14ac:dyDescent="0.25"/>
    <row r="231158" s="12" customFormat="1" x14ac:dyDescent="0.25"/>
    <row r="231159" s="12" customFormat="1" x14ac:dyDescent="0.25"/>
    <row r="231160" s="12" customFormat="1" x14ac:dyDescent="0.25"/>
    <row r="231161" s="12" customFormat="1" x14ac:dyDescent="0.25"/>
    <row r="231162" s="12" customFormat="1" x14ac:dyDescent="0.25"/>
    <row r="231163" s="12" customFormat="1" x14ac:dyDescent="0.25"/>
    <row r="231164" s="12" customFormat="1" x14ac:dyDescent="0.25"/>
    <row r="231165" s="12" customFormat="1" x14ac:dyDescent="0.25"/>
    <row r="231166" s="12" customFormat="1" x14ac:dyDescent="0.25"/>
    <row r="231167" s="12" customFormat="1" x14ac:dyDescent="0.25"/>
    <row r="231168" s="12" customFormat="1" x14ac:dyDescent="0.25"/>
    <row r="231169" s="12" customFormat="1" x14ac:dyDescent="0.25"/>
    <row r="231170" s="12" customFormat="1" x14ac:dyDescent="0.25"/>
    <row r="231171" s="12" customFormat="1" x14ac:dyDescent="0.25"/>
    <row r="231172" s="12" customFormat="1" x14ac:dyDescent="0.25"/>
    <row r="231173" s="12" customFormat="1" x14ac:dyDescent="0.25"/>
    <row r="231174" s="12" customFormat="1" x14ac:dyDescent="0.25"/>
    <row r="231175" s="12" customFormat="1" x14ac:dyDescent="0.25"/>
    <row r="231176" s="12" customFormat="1" x14ac:dyDescent="0.25"/>
    <row r="231177" s="12" customFormat="1" x14ac:dyDescent="0.25"/>
    <row r="231178" s="12" customFormat="1" x14ac:dyDescent="0.25"/>
    <row r="231179" s="12" customFormat="1" x14ac:dyDescent="0.25"/>
    <row r="231180" s="12" customFormat="1" x14ac:dyDescent="0.25"/>
    <row r="231181" s="12" customFormat="1" x14ac:dyDescent="0.25"/>
    <row r="231182" s="12" customFormat="1" x14ac:dyDescent="0.25"/>
    <row r="231183" s="12" customFormat="1" x14ac:dyDescent="0.25"/>
    <row r="231184" s="12" customFormat="1" x14ac:dyDescent="0.25"/>
    <row r="231185" s="12" customFormat="1" x14ac:dyDescent="0.25"/>
    <row r="231186" s="12" customFormat="1" x14ac:dyDescent="0.25"/>
    <row r="231187" s="12" customFormat="1" x14ac:dyDescent="0.25"/>
    <row r="231188" s="12" customFormat="1" x14ac:dyDescent="0.25"/>
    <row r="231189" s="12" customFormat="1" x14ac:dyDescent="0.25"/>
    <row r="231190" s="12" customFormat="1" x14ac:dyDescent="0.25"/>
    <row r="231191" s="12" customFormat="1" x14ac:dyDescent="0.25"/>
    <row r="231192" s="12" customFormat="1" x14ac:dyDescent="0.25"/>
    <row r="231193" s="12" customFormat="1" x14ac:dyDescent="0.25"/>
    <row r="231194" s="12" customFormat="1" x14ac:dyDescent="0.25"/>
    <row r="231195" s="12" customFormat="1" x14ac:dyDescent="0.25"/>
    <row r="231196" s="12" customFormat="1" x14ac:dyDescent="0.25"/>
    <row r="231197" s="12" customFormat="1" x14ac:dyDescent="0.25"/>
    <row r="231198" s="12" customFormat="1" x14ac:dyDescent="0.25"/>
    <row r="231199" s="12" customFormat="1" x14ac:dyDescent="0.25"/>
    <row r="231200" s="12" customFormat="1" x14ac:dyDescent="0.25"/>
    <row r="231201" s="12" customFormat="1" x14ac:dyDescent="0.25"/>
    <row r="231202" s="12" customFormat="1" x14ac:dyDescent="0.25"/>
    <row r="231203" s="12" customFormat="1" x14ac:dyDescent="0.25"/>
    <row r="231204" s="12" customFormat="1" x14ac:dyDescent="0.25"/>
    <row r="231205" s="12" customFormat="1" x14ac:dyDescent="0.25"/>
    <row r="231206" s="12" customFormat="1" x14ac:dyDescent="0.25"/>
    <row r="231207" s="12" customFormat="1" x14ac:dyDescent="0.25"/>
    <row r="231208" s="12" customFormat="1" x14ac:dyDescent="0.25"/>
    <row r="231209" s="12" customFormat="1" x14ac:dyDescent="0.25"/>
    <row r="231210" s="12" customFormat="1" x14ac:dyDescent="0.25"/>
    <row r="231211" s="12" customFormat="1" x14ac:dyDescent="0.25"/>
    <row r="231212" s="12" customFormat="1" x14ac:dyDescent="0.25"/>
    <row r="231213" s="12" customFormat="1" x14ac:dyDescent="0.25"/>
    <row r="231214" s="12" customFormat="1" x14ac:dyDescent="0.25"/>
    <row r="231215" s="12" customFormat="1" x14ac:dyDescent="0.25"/>
    <row r="231216" s="12" customFormat="1" x14ac:dyDescent="0.25"/>
    <row r="231217" s="12" customFormat="1" x14ac:dyDescent="0.25"/>
    <row r="231218" s="12" customFormat="1" x14ac:dyDescent="0.25"/>
    <row r="231219" s="12" customFormat="1" x14ac:dyDescent="0.25"/>
    <row r="231220" s="12" customFormat="1" x14ac:dyDescent="0.25"/>
    <row r="231221" s="12" customFormat="1" x14ac:dyDescent="0.25"/>
    <row r="231222" s="12" customFormat="1" x14ac:dyDescent="0.25"/>
    <row r="231223" s="12" customFormat="1" x14ac:dyDescent="0.25"/>
    <row r="231224" s="12" customFormat="1" x14ac:dyDescent="0.25"/>
    <row r="231225" s="12" customFormat="1" x14ac:dyDescent="0.25"/>
    <row r="231226" s="12" customFormat="1" x14ac:dyDescent="0.25"/>
    <row r="231227" s="12" customFormat="1" x14ac:dyDescent="0.25"/>
    <row r="231228" s="12" customFormat="1" x14ac:dyDescent="0.25"/>
    <row r="231229" s="12" customFormat="1" x14ac:dyDescent="0.25"/>
    <row r="231230" s="12" customFormat="1" x14ac:dyDescent="0.25"/>
    <row r="231231" s="12" customFormat="1" x14ac:dyDescent="0.25"/>
    <row r="231232" s="12" customFormat="1" x14ac:dyDescent="0.25"/>
    <row r="231233" s="12" customFormat="1" x14ac:dyDescent="0.25"/>
    <row r="231234" s="12" customFormat="1" x14ac:dyDescent="0.25"/>
    <row r="231235" s="12" customFormat="1" x14ac:dyDescent="0.25"/>
    <row r="231236" s="12" customFormat="1" x14ac:dyDescent="0.25"/>
    <row r="231237" s="12" customFormat="1" x14ac:dyDescent="0.25"/>
    <row r="231238" s="12" customFormat="1" x14ac:dyDescent="0.25"/>
    <row r="231239" s="12" customFormat="1" x14ac:dyDescent="0.25"/>
    <row r="231240" s="12" customFormat="1" x14ac:dyDescent="0.25"/>
    <row r="231241" s="12" customFormat="1" x14ac:dyDescent="0.25"/>
    <row r="231242" s="12" customFormat="1" x14ac:dyDescent="0.25"/>
    <row r="231243" s="12" customFormat="1" x14ac:dyDescent="0.25"/>
    <row r="231244" s="12" customFormat="1" x14ac:dyDescent="0.25"/>
    <row r="231245" s="12" customFormat="1" x14ac:dyDescent="0.25"/>
    <row r="231246" s="12" customFormat="1" x14ac:dyDescent="0.25"/>
    <row r="231247" s="12" customFormat="1" x14ac:dyDescent="0.25"/>
    <row r="231248" s="12" customFormat="1" x14ac:dyDescent="0.25"/>
    <row r="231249" s="12" customFormat="1" x14ac:dyDescent="0.25"/>
    <row r="231250" s="12" customFormat="1" x14ac:dyDescent="0.25"/>
    <row r="231251" s="12" customFormat="1" x14ac:dyDescent="0.25"/>
    <row r="231252" s="12" customFormat="1" x14ac:dyDescent="0.25"/>
    <row r="231253" s="12" customFormat="1" x14ac:dyDescent="0.25"/>
    <row r="231254" s="12" customFormat="1" x14ac:dyDescent="0.25"/>
    <row r="231255" s="12" customFormat="1" x14ac:dyDescent="0.25"/>
    <row r="231256" s="12" customFormat="1" x14ac:dyDescent="0.25"/>
    <row r="231257" s="12" customFormat="1" x14ac:dyDescent="0.25"/>
    <row r="231258" s="12" customFormat="1" x14ac:dyDescent="0.25"/>
    <row r="231259" s="12" customFormat="1" x14ac:dyDescent="0.25"/>
    <row r="231260" s="12" customFormat="1" x14ac:dyDescent="0.25"/>
    <row r="231261" s="12" customFormat="1" x14ac:dyDescent="0.25"/>
    <row r="231262" s="12" customFormat="1" x14ac:dyDescent="0.25"/>
    <row r="231263" s="12" customFormat="1" x14ac:dyDescent="0.25"/>
    <row r="231264" s="12" customFormat="1" x14ac:dyDescent="0.25"/>
    <row r="231265" s="12" customFormat="1" x14ac:dyDescent="0.25"/>
    <row r="231266" s="12" customFormat="1" x14ac:dyDescent="0.25"/>
    <row r="231267" s="12" customFormat="1" x14ac:dyDescent="0.25"/>
    <row r="231268" s="12" customFormat="1" x14ac:dyDescent="0.25"/>
    <row r="231269" s="12" customFormat="1" x14ac:dyDescent="0.25"/>
    <row r="231270" s="12" customFormat="1" x14ac:dyDescent="0.25"/>
    <row r="231271" s="12" customFormat="1" x14ac:dyDescent="0.25"/>
    <row r="231272" s="12" customFormat="1" x14ac:dyDescent="0.25"/>
    <row r="231273" s="12" customFormat="1" x14ac:dyDescent="0.25"/>
    <row r="231274" s="12" customFormat="1" x14ac:dyDescent="0.25"/>
    <row r="231275" s="12" customFormat="1" x14ac:dyDescent="0.25"/>
    <row r="231276" s="12" customFormat="1" x14ac:dyDescent="0.25"/>
    <row r="231277" s="12" customFormat="1" x14ac:dyDescent="0.25"/>
    <row r="231278" s="12" customFormat="1" x14ac:dyDescent="0.25"/>
    <row r="231279" s="12" customFormat="1" x14ac:dyDescent="0.25"/>
    <row r="231280" s="12" customFormat="1" x14ac:dyDescent="0.25"/>
    <row r="231281" s="12" customFormat="1" x14ac:dyDescent="0.25"/>
    <row r="231282" s="12" customFormat="1" x14ac:dyDescent="0.25"/>
    <row r="231283" s="12" customFormat="1" x14ac:dyDescent="0.25"/>
    <row r="231284" s="12" customFormat="1" x14ac:dyDescent="0.25"/>
    <row r="231285" s="12" customFormat="1" x14ac:dyDescent="0.25"/>
    <row r="231286" s="12" customFormat="1" x14ac:dyDescent="0.25"/>
    <row r="231287" s="12" customFormat="1" x14ac:dyDescent="0.25"/>
    <row r="231288" s="12" customFormat="1" x14ac:dyDescent="0.25"/>
    <row r="231289" s="12" customFormat="1" x14ac:dyDescent="0.25"/>
    <row r="231290" s="12" customFormat="1" x14ac:dyDescent="0.25"/>
    <row r="231291" s="12" customFormat="1" x14ac:dyDescent="0.25"/>
    <row r="231292" s="12" customFormat="1" x14ac:dyDescent="0.25"/>
    <row r="231293" s="12" customFormat="1" x14ac:dyDescent="0.25"/>
    <row r="231294" s="12" customFormat="1" x14ac:dyDescent="0.25"/>
    <row r="231295" s="12" customFormat="1" x14ac:dyDescent="0.25"/>
    <row r="231296" s="12" customFormat="1" x14ac:dyDescent="0.25"/>
    <row r="231297" s="12" customFormat="1" x14ac:dyDescent="0.25"/>
    <row r="231298" s="12" customFormat="1" x14ac:dyDescent="0.25"/>
    <row r="231299" s="12" customFormat="1" x14ac:dyDescent="0.25"/>
    <row r="231300" s="12" customFormat="1" x14ac:dyDescent="0.25"/>
    <row r="231301" s="12" customFormat="1" x14ac:dyDescent="0.25"/>
    <row r="231302" s="12" customFormat="1" x14ac:dyDescent="0.25"/>
    <row r="231303" s="12" customFormat="1" x14ac:dyDescent="0.25"/>
    <row r="231304" s="12" customFormat="1" x14ac:dyDescent="0.25"/>
    <row r="231305" s="12" customFormat="1" x14ac:dyDescent="0.25"/>
    <row r="231306" s="12" customFormat="1" x14ac:dyDescent="0.25"/>
    <row r="231307" s="12" customFormat="1" x14ac:dyDescent="0.25"/>
    <row r="231308" s="12" customFormat="1" x14ac:dyDescent="0.25"/>
    <row r="231309" s="12" customFormat="1" x14ac:dyDescent="0.25"/>
    <row r="231310" s="12" customFormat="1" x14ac:dyDescent="0.25"/>
    <row r="231311" s="12" customFormat="1" x14ac:dyDescent="0.25"/>
    <row r="231312" s="12" customFormat="1" x14ac:dyDescent="0.25"/>
    <row r="231313" s="12" customFormat="1" x14ac:dyDescent="0.25"/>
    <row r="231314" s="12" customFormat="1" x14ac:dyDescent="0.25"/>
    <row r="231315" s="12" customFormat="1" x14ac:dyDescent="0.25"/>
    <row r="231316" s="12" customFormat="1" x14ac:dyDescent="0.25"/>
    <row r="231317" s="12" customFormat="1" x14ac:dyDescent="0.25"/>
    <row r="231318" s="12" customFormat="1" x14ac:dyDescent="0.25"/>
    <row r="231319" s="12" customFormat="1" x14ac:dyDescent="0.25"/>
    <row r="231320" s="12" customFormat="1" x14ac:dyDescent="0.25"/>
    <row r="231321" s="12" customFormat="1" x14ac:dyDescent="0.25"/>
    <row r="231322" s="12" customFormat="1" x14ac:dyDescent="0.25"/>
    <row r="231323" s="12" customFormat="1" x14ac:dyDescent="0.25"/>
    <row r="231324" s="12" customFormat="1" x14ac:dyDescent="0.25"/>
    <row r="231325" s="12" customFormat="1" x14ac:dyDescent="0.25"/>
    <row r="231326" s="12" customFormat="1" x14ac:dyDescent="0.25"/>
    <row r="231327" s="12" customFormat="1" x14ac:dyDescent="0.25"/>
    <row r="231328" s="12" customFormat="1" x14ac:dyDescent="0.25"/>
    <row r="231329" s="12" customFormat="1" x14ac:dyDescent="0.25"/>
    <row r="231330" s="12" customFormat="1" x14ac:dyDescent="0.25"/>
    <row r="231331" s="12" customFormat="1" x14ac:dyDescent="0.25"/>
    <row r="231332" s="12" customFormat="1" x14ac:dyDescent="0.25"/>
    <row r="231333" s="12" customFormat="1" x14ac:dyDescent="0.25"/>
    <row r="231334" s="12" customFormat="1" x14ac:dyDescent="0.25"/>
    <row r="231335" s="12" customFormat="1" x14ac:dyDescent="0.25"/>
    <row r="231336" s="12" customFormat="1" x14ac:dyDescent="0.25"/>
    <row r="231337" s="12" customFormat="1" x14ac:dyDescent="0.25"/>
    <row r="231338" s="12" customFormat="1" x14ac:dyDescent="0.25"/>
    <row r="231339" s="12" customFormat="1" x14ac:dyDescent="0.25"/>
    <row r="231340" s="12" customFormat="1" x14ac:dyDescent="0.25"/>
    <row r="231341" s="12" customFormat="1" x14ac:dyDescent="0.25"/>
    <row r="231342" s="12" customFormat="1" x14ac:dyDescent="0.25"/>
    <row r="231343" s="12" customFormat="1" x14ac:dyDescent="0.25"/>
    <row r="231344" s="12" customFormat="1" x14ac:dyDescent="0.25"/>
    <row r="231345" s="12" customFormat="1" x14ac:dyDescent="0.25"/>
    <row r="231346" s="12" customFormat="1" x14ac:dyDescent="0.25"/>
    <row r="231347" s="12" customFormat="1" x14ac:dyDescent="0.25"/>
    <row r="231348" s="12" customFormat="1" x14ac:dyDescent="0.25"/>
    <row r="231349" s="12" customFormat="1" x14ac:dyDescent="0.25"/>
    <row r="231350" s="12" customFormat="1" x14ac:dyDescent="0.25"/>
    <row r="231351" s="12" customFormat="1" x14ac:dyDescent="0.25"/>
    <row r="231352" s="12" customFormat="1" x14ac:dyDescent="0.25"/>
    <row r="231353" s="12" customFormat="1" x14ac:dyDescent="0.25"/>
    <row r="231354" s="12" customFormat="1" x14ac:dyDescent="0.25"/>
    <row r="231355" s="12" customFormat="1" x14ac:dyDescent="0.25"/>
    <row r="231356" s="12" customFormat="1" x14ac:dyDescent="0.25"/>
    <row r="231357" s="12" customFormat="1" x14ac:dyDescent="0.25"/>
    <row r="231358" s="12" customFormat="1" x14ac:dyDescent="0.25"/>
    <row r="231359" s="12" customFormat="1" x14ac:dyDescent="0.25"/>
    <row r="231360" s="12" customFormat="1" x14ac:dyDescent="0.25"/>
    <row r="231361" s="12" customFormat="1" x14ac:dyDescent="0.25"/>
    <row r="231362" s="12" customFormat="1" x14ac:dyDescent="0.25"/>
    <row r="231363" s="12" customFormat="1" x14ac:dyDescent="0.25"/>
    <row r="231364" s="12" customFormat="1" x14ac:dyDescent="0.25"/>
    <row r="231365" s="12" customFormat="1" x14ac:dyDescent="0.25"/>
    <row r="231366" s="12" customFormat="1" x14ac:dyDescent="0.25"/>
    <row r="231367" s="12" customFormat="1" x14ac:dyDescent="0.25"/>
    <row r="231368" s="12" customFormat="1" x14ac:dyDescent="0.25"/>
    <row r="231369" s="12" customFormat="1" x14ac:dyDescent="0.25"/>
    <row r="231370" s="12" customFormat="1" x14ac:dyDescent="0.25"/>
    <row r="231371" s="12" customFormat="1" x14ac:dyDescent="0.25"/>
    <row r="231372" s="12" customFormat="1" x14ac:dyDescent="0.25"/>
    <row r="231373" s="12" customFormat="1" x14ac:dyDescent="0.25"/>
    <row r="231374" s="12" customFormat="1" x14ac:dyDescent="0.25"/>
    <row r="231375" s="12" customFormat="1" x14ac:dyDescent="0.25"/>
    <row r="231376" s="12" customFormat="1" x14ac:dyDescent="0.25"/>
    <row r="231377" s="12" customFormat="1" x14ac:dyDescent="0.25"/>
    <row r="231378" s="12" customFormat="1" x14ac:dyDescent="0.25"/>
    <row r="231379" s="12" customFormat="1" x14ac:dyDescent="0.25"/>
    <row r="231380" s="12" customFormat="1" x14ac:dyDescent="0.25"/>
    <row r="231381" s="12" customFormat="1" x14ac:dyDescent="0.25"/>
    <row r="231382" s="12" customFormat="1" x14ac:dyDescent="0.25"/>
    <row r="231383" s="12" customFormat="1" x14ac:dyDescent="0.25"/>
    <row r="231384" s="12" customFormat="1" x14ac:dyDescent="0.25"/>
    <row r="231385" s="12" customFormat="1" x14ac:dyDescent="0.25"/>
    <row r="231386" s="12" customFormat="1" x14ac:dyDescent="0.25"/>
    <row r="231387" s="12" customFormat="1" x14ac:dyDescent="0.25"/>
    <row r="231388" s="12" customFormat="1" x14ac:dyDescent="0.25"/>
    <row r="231389" s="12" customFormat="1" x14ac:dyDescent="0.25"/>
    <row r="231390" s="12" customFormat="1" x14ac:dyDescent="0.25"/>
    <row r="231391" s="12" customFormat="1" x14ac:dyDescent="0.25"/>
    <row r="231392" s="12" customFormat="1" x14ac:dyDescent="0.25"/>
    <row r="231393" s="12" customFormat="1" x14ac:dyDescent="0.25"/>
    <row r="231394" s="12" customFormat="1" x14ac:dyDescent="0.25"/>
    <row r="231395" s="12" customFormat="1" x14ac:dyDescent="0.25"/>
    <row r="231396" s="12" customFormat="1" x14ac:dyDescent="0.25"/>
    <row r="231397" s="12" customFormat="1" x14ac:dyDescent="0.25"/>
    <row r="231398" s="12" customFormat="1" x14ac:dyDescent="0.25"/>
    <row r="231399" s="12" customFormat="1" x14ac:dyDescent="0.25"/>
    <row r="231400" s="12" customFormat="1" x14ac:dyDescent="0.25"/>
    <row r="231401" s="12" customFormat="1" x14ac:dyDescent="0.25"/>
    <row r="231402" s="12" customFormat="1" x14ac:dyDescent="0.25"/>
    <row r="231403" s="12" customFormat="1" x14ac:dyDescent="0.25"/>
    <row r="231404" s="12" customFormat="1" x14ac:dyDescent="0.25"/>
    <row r="231405" s="12" customFormat="1" x14ac:dyDescent="0.25"/>
    <row r="231406" s="12" customFormat="1" x14ac:dyDescent="0.25"/>
    <row r="231407" s="12" customFormat="1" x14ac:dyDescent="0.25"/>
    <row r="231408" s="12" customFormat="1" x14ac:dyDescent="0.25"/>
    <row r="231409" s="12" customFormat="1" x14ac:dyDescent="0.25"/>
    <row r="231410" s="12" customFormat="1" x14ac:dyDescent="0.25"/>
    <row r="231411" s="12" customFormat="1" x14ac:dyDescent="0.25"/>
    <row r="231412" s="12" customFormat="1" x14ac:dyDescent="0.25"/>
    <row r="231413" s="12" customFormat="1" x14ac:dyDescent="0.25"/>
    <row r="231414" s="12" customFormat="1" x14ac:dyDescent="0.25"/>
    <row r="231415" s="12" customFormat="1" x14ac:dyDescent="0.25"/>
    <row r="231416" s="12" customFormat="1" x14ac:dyDescent="0.25"/>
    <row r="231417" s="12" customFormat="1" x14ac:dyDescent="0.25"/>
    <row r="231418" s="12" customFormat="1" x14ac:dyDescent="0.25"/>
    <row r="231419" s="12" customFormat="1" x14ac:dyDescent="0.25"/>
    <row r="231420" s="12" customFormat="1" x14ac:dyDescent="0.25"/>
    <row r="231421" s="12" customFormat="1" x14ac:dyDescent="0.25"/>
    <row r="231422" s="12" customFormat="1" x14ac:dyDescent="0.25"/>
    <row r="231423" s="12" customFormat="1" x14ac:dyDescent="0.25"/>
    <row r="231424" s="12" customFormat="1" x14ac:dyDescent="0.25"/>
    <row r="231425" s="12" customFormat="1" x14ac:dyDescent="0.25"/>
    <row r="231426" s="12" customFormat="1" x14ac:dyDescent="0.25"/>
    <row r="231427" s="12" customFormat="1" x14ac:dyDescent="0.25"/>
    <row r="231428" s="12" customFormat="1" x14ac:dyDescent="0.25"/>
    <row r="231429" s="12" customFormat="1" x14ac:dyDescent="0.25"/>
    <row r="231430" s="12" customFormat="1" x14ac:dyDescent="0.25"/>
    <row r="231431" s="12" customFormat="1" x14ac:dyDescent="0.25"/>
    <row r="231432" s="12" customFormat="1" x14ac:dyDescent="0.25"/>
    <row r="231433" s="12" customFormat="1" x14ac:dyDescent="0.25"/>
    <row r="231434" s="12" customFormat="1" x14ac:dyDescent="0.25"/>
    <row r="231435" s="12" customFormat="1" x14ac:dyDescent="0.25"/>
    <row r="231436" s="12" customFormat="1" x14ac:dyDescent="0.25"/>
    <row r="231437" s="12" customFormat="1" x14ac:dyDescent="0.25"/>
    <row r="231438" s="12" customFormat="1" x14ac:dyDescent="0.25"/>
    <row r="231439" s="12" customFormat="1" x14ac:dyDescent="0.25"/>
    <row r="231440" s="12" customFormat="1" x14ac:dyDescent="0.25"/>
    <row r="231441" s="12" customFormat="1" x14ac:dyDescent="0.25"/>
    <row r="231442" s="12" customFormat="1" x14ac:dyDescent="0.25"/>
    <row r="231443" s="12" customFormat="1" x14ac:dyDescent="0.25"/>
    <row r="231444" s="12" customFormat="1" x14ac:dyDescent="0.25"/>
    <row r="231445" s="12" customFormat="1" x14ac:dyDescent="0.25"/>
    <row r="231446" s="12" customFormat="1" x14ac:dyDescent="0.25"/>
    <row r="231447" s="12" customFormat="1" x14ac:dyDescent="0.25"/>
    <row r="231448" s="12" customFormat="1" x14ac:dyDescent="0.25"/>
    <row r="231449" s="12" customFormat="1" x14ac:dyDescent="0.25"/>
    <row r="231450" s="12" customFormat="1" x14ac:dyDescent="0.25"/>
    <row r="231451" s="12" customFormat="1" x14ac:dyDescent="0.25"/>
    <row r="231452" s="12" customFormat="1" x14ac:dyDescent="0.25"/>
    <row r="231453" s="12" customFormat="1" x14ac:dyDescent="0.25"/>
    <row r="231454" s="12" customFormat="1" x14ac:dyDescent="0.25"/>
    <row r="231455" s="12" customFormat="1" x14ac:dyDescent="0.25"/>
    <row r="231456" s="12" customFormat="1" x14ac:dyDescent="0.25"/>
    <row r="231457" s="12" customFormat="1" x14ac:dyDescent="0.25"/>
    <row r="231458" s="12" customFormat="1" x14ac:dyDescent="0.25"/>
    <row r="231459" s="12" customFormat="1" x14ac:dyDescent="0.25"/>
    <row r="231460" s="12" customFormat="1" x14ac:dyDescent="0.25"/>
    <row r="231461" s="12" customFormat="1" x14ac:dyDescent="0.25"/>
    <row r="231462" s="12" customFormat="1" x14ac:dyDescent="0.25"/>
    <row r="231463" s="12" customFormat="1" x14ac:dyDescent="0.25"/>
    <row r="231464" s="12" customFormat="1" x14ac:dyDescent="0.25"/>
    <row r="231465" s="12" customFormat="1" x14ac:dyDescent="0.25"/>
    <row r="231466" s="12" customFormat="1" x14ac:dyDescent="0.25"/>
    <row r="231467" s="12" customFormat="1" x14ac:dyDescent="0.25"/>
    <row r="231468" s="12" customFormat="1" x14ac:dyDescent="0.25"/>
    <row r="231469" s="12" customFormat="1" x14ac:dyDescent="0.25"/>
    <row r="231470" s="12" customFormat="1" x14ac:dyDescent="0.25"/>
    <row r="231471" s="12" customFormat="1" x14ac:dyDescent="0.25"/>
    <row r="231472" s="12" customFormat="1" x14ac:dyDescent="0.25"/>
    <row r="231473" s="12" customFormat="1" x14ac:dyDescent="0.25"/>
    <row r="231474" s="12" customFormat="1" x14ac:dyDescent="0.25"/>
    <row r="231475" s="12" customFormat="1" x14ac:dyDescent="0.25"/>
    <row r="231476" s="12" customFormat="1" x14ac:dyDescent="0.25"/>
    <row r="231477" s="12" customFormat="1" x14ac:dyDescent="0.25"/>
    <row r="231478" s="12" customFormat="1" x14ac:dyDescent="0.25"/>
    <row r="231479" s="12" customFormat="1" x14ac:dyDescent="0.25"/>
    <row r="231480" s="12" customFormat="1" x14ac:dyDescent="0.25"/>
    <row r="231481" s="12" customFormat="1" x14ac:dyDescent="0.25"/>
    <row r="231482" s="12" customFormat="1" x14ac:dyDescent="0.25"/>
    <row r="231483" s="12" customFormat="1" x14ac:dyDescent="0.25"/>
    <row r="231484" s="12" customFormat="1" x14ac:dyDescent="0.25"/>
    <row r="231485" s="12" customFormat="1" x14ac:dyDescent="0.25"/>
    <row r="231486" s="12" customFormat="1" x14ac:dyDescent="0.25"/>
    <row r="231487" s="12" customFormat="1" x14ac:dyDescent="0.25"/>
    <row r="231488" s="12" customFormat="1" x14ac:dyDescent="0.25"/>
    <row r="231489" s="12" customFormat="1" x14ac:dyDescent="0.25"/>
    <row r="231490" s="12" customFormat="1" x14ac:dyDescent="0.25"/>
    <row r="231491" s="12" customFormat="1" x14ac:dyDescent="0.25"/>
    <row r="231492" s="12" customFormat="1" x14ac:dyDescent="0.25"/>
    <row r="231493" s="12" customFormat="1" x14ac:dyDescent="0.25"/>
    <row r="231494" s="12" customFormat="1" x14ac:dyDescent="0.25"/>
    <row r="231495" s="12" customFormat="1" x14ac:dyDescent="0.25"/>
    <row r="231496" s="12" customFormat="1" x14ac:dyDescent="0.25"/>
    <row r="231497" s="12" customFormat="1" x14ac:dyDescent="0.25"/>
    <row r="231498" s="12" customFormat="1" x14ac:dyDescent="0.25"/>
    <row r="231499" s="12" customFormat="1" x14ac:dyDescent="0.25"/>
    <row r="231500" s="12" customFormat="1" x14ac:dyDescent="0.25"/>
    <row r="231501" s="12" customFormat="1" x14ac:dyDescent="0.25"/>
    <row r="231502" s="12" customFormat="1" x14ac:dyDescent="0.25"/>
    <row r="231503" s="12" customFormat="1" x14ac:dyDescent="0.25"/>
    <row r="231504" s="12" customFormat="1" x14ac:dyDescent="0.25"/>
    <row r="231505" s="12" customFormat="1" x14ac:dyDescent="0.25"/>
    <row r="231506" s="12" customFormat="1" x14ac:dyDescent="0.25"/>
    <row r="231507" s="12" customFormat="1" x14ac:dyDescent="0.25"/>
    <row r="231508" s="12" customFormat="1" x14ac:dyDescent="0.25"/>
    <row r="231509" s="12" customFormat="1" x14ac:dyDescent="0.25"/>
    <row r="231510" s="12" customFormat="1" x14ac:dyDescent="0.25"/>
    <row r="231511" s="12" customFormat="1" x14ac:dyDescent="0.25"/>
    <row r="231512" s="12" customFormat="1" x14ac:dyDescent="0.25"/>
    <row r="231513" s="12" customFormat="1" x14ac:dyDescent="0.25"/>
    <row r="231514" s="12" customFormat="1" x14ac:dyDescent="0.25"/>
    <row r="231515" s="12" customFormat="1" x14ac:dyDescent="0.25"/>
    <row r="231516" s="12" customFormat="1" x14ac:dyDescent="0.25"/>
    <row r="231517" s="12" customFormat="1" x14ac:dyDescent="0.25"/>
    <row r="231518" s="12" customFormat="1" x14ac:dyDescent="0.25"/>
    <row r="231519" s="12" customFormat="1" x14ac:dyDescent="0.25"/>
    <row r="231520" s="12" customFormat="1" x14ac:dyDescent="0.25"/>
    <row r="231521" s="12" customFormat="1" x14ac:dyDescent="0.25"/>
    <row r="231522" s="12" customFormat="1" x14ac:dyDescent="0.25"/>
    <row r="231523" s="12" customFormat="1" x14ac:dyDescent="0.25"/>
    <row r="231524" s="12" customFormat="1" x14ac:dyDescent="0.25"/>
    <row r="231525" s="12" customFormat="1" x14ac:dyDescent="0.25"/>
    <row r="231526" s="12" customFormat="1" x14ac:dyDescent="0.25"/>
    <row r="231527" s="12" customFormat="1" x14ac:dyDescent="0.25"/>
    <row r="231528" s="12" customFormat="1" x14ac:dyDescent="0.25"/>
    <row r="231529" s="12" customFormat="1" x14ac:dyDescent="0.25"/>
    <row r="231530" s="12" customFormat="1" x14ac:dyDescent="0.25"/>
    <row r="231531" s="12" customFormat="1" x14ac:dyDescent="0.25"/>
    <row r="231532" s="12" customFormat="1" x14ac:dyDescent="0.25"/>
    <row r="231533" s="12" customFormat="1" x14ac:dyDescent="0.25"/>
    <row r="231534" s="12" customFormat="1" x14ac:dyDescent="0.25"/>
    <row r="231535" s="12" customFormat="1" x14ac:dyDescent="0.25"/>
    <row r="231536" s="12" customFormat="1" x14ac:dyDescent="0.25"/>
    <row r="231537" s="12" customFormat="1" x14ac:dyDescent="0.25"/>
    <row r="231538" s="12" customFormat="1" x14ac:dyDescent="0.25"/>
    <row r="231539" s="12" customFormat="1" x14ac:dyDescent="0.25"/>
    <row r="231540" s="12" customFormat="1" x14ac:dyDescent="0.25"/>
    <row r="231541" s="12" customFormat="1" x14ac:dyDescent="0.25"/>
    <row r="231542" s="12" customFormat="1" x14ac:dyDescent="0.25"/>
    <row r="231543" s="12" customFormat="1" x14ac:dyDescent="0.25"/>
    <row r="231544" s="12" customFormat="1" x14ac:dyDescent="0.25"/>
    <row r="231545" s="12" customFormat="1" x14ac:dyDescent="0.25"/>
    <row r="231546" s="12" customFormat="1" x14ac:dyDescent="0.25"/>
    <row r="231547" s="12" customFormat="1" x14ac:dyDescent="0.25"/>
    <row r="231548" s="12" customFormat="1" x14ac:dyDescent="0.25"/>
    <row r="231549" s="12" customFormat="1" x14ac:dyDescent="0.25"/>
    <row r="231550" s="12" customFormat="1" x14ac:dyDescent="0.25"/>
    <row r="231551" s="12" customFormat="1" x14ac:dyDescent="0.25"/>
    <row r="231552" s="12" customFormat="1" x14ac:dyDescent="0.25"/>
    <row r="231553" s="12" customFormat="1" x14ac:dyDescent="0.25"/>
    <row r="231554" s="12" customFormat="1" x14ac:dyDescent="0.25"/>
    <row r="231555" s="12" customFormat="1" x14ac:dyDescent="0.25"/>
    <row r="231556" s="12" customFormat="1" x14ac:dyDescent="0.25"/>
    <row r="231557" s="12" customFormat="1" x14ac:dyDescent="0.25"/>
    <row r="231558" s="12" customFormat="1" x14ac:dyDescent="0.25"/>
    <row r="231559" s="12" customFormat="1" x14ac:dyDescent="0.25"/>
    <row r="231560" s="12" customFormat="1" x14ac:dyDescent="0.25"/>
    <row r="231561" s="12" customFormat="1" x14ac:dyDescent="0.25"/>
    <row r="231562" s="12" customFormat="1" x14ac:dyDescent="0.25"/>
    <row r="231563" s="12" customFormat="1" x14ac:dyDescent="0.25"/>
    <row r="231564" s="12" customFormat="1" x14ac:dyDescent="0.25"/>
    <row r="231565" s="12" customFormat="1" x14ac:dyDescent="0.25"/>
    <row r="231566" s="12" customFormat="1" x14ac:dyDescent="0.25"/>
    <row r="231567" s="12" customFormat="1" x14ac:dyDescent="0.25"/>
    <row r="231568" s="12" customFormat="1" x14ac:dyDescent="0.25"/>
    <row r="231569" s="12" customFormat="1" x14ac:dyDescent="0.25"/>
    <row r="231570" s="12" customFormat="1" x14ac:dyDescent="0.25"/>
    <row r="231571" s="12" customFormat="1" x14ac:dyDescent="0.25"/>
    <row r="231572" s="12" customFormat="1" x14ac:dyDescent="0.25"/>
    <row r="231573" s="12" customFormat="1" x14ac:dyDescent="0.25"/>
    <row r="231574" s="12" customFormat="1" x14ac:dyDescent="0.25"/>
    <row r="231575" s="12" customFormat="1" x14ac:dyDescent="0.25"/>
    <row r="231576" s="12" customFormat="1" x14ac:dyDescent="0.25"/>
    <row r="231577" s="12" customFormat="1" x14ac:dyDescent="0.25"/>
    <row r="231578" s="12" customFormat="1" x14ac:dyDescent="0.25"/>
    <row r="231579" s="12" customFormat="1" x14ac:dyDescent="0.25"/>
    <row r="231580" s="12" customFormat="1" x14ac:dyDescent="0.25"/>
    <row r="231581" s="12" customFormat="1" x14ac:dyDescent="0.25"/>
    <row r="231582" s="12" customFormat="1" x14ac:dyDescent="0.25"/>
    <row r="231583" s="12" customFormat="1" x14ac:dyDescent="0.25"/>
    <row r="231584" s="12" customFormat="1" x14ac:dyDescent="0.25"/>
    <row r="231585" s="12" customFormat="1" x14ac:dyDescent="0.25"/>
    <row r="231586" s="12" customFormat="1" x14ac:dyDescent="0.25"/>
    <row r="231587" s="12" customFormat="1" x14ac:dyDescent="0.25"/>
    <row r="231588" s="12" customFormat="1" x14ac:dyDescent="0.25"/>
    <row r="231589" s="12" customFormat="1" x14ac:dyDescent="0.25"/>
    <row r="231590" s="12" customFormat="1" x14ac:dyDescent="0.25"/>
    <row r="231591" s="12" customFormat="1" x14ac:dyDescent="0.25"/>
    <row r="231592" s="12" customFormat="1" x14ac:dyDescent="0.25"/>
    <row r="231593" s="12" customFormat="1" x14ac:dyDescent="0.25"/>
    <row r="231594" s="12" customFormat="1" x14ac:dyDescent="0.25"/>
    <row r="231595" s="12" customFormat="1" x14ac:dyDescent="0.25"/>
    <row r="231596" s="12" customFormat="1" x14ac:dyDescent="0.25"/>
    <row r="231597" s="12" customFormat="1" x14ac:dyDescent="0.25"/>
    <row r="231598" s="12" customFormat="1" x14ac:dyDescent="0.25"/>
    <row r="231599" s="12" customFormat="1" x14ac:dyDescent="0.25"/>
    <row r="231600" s="12" customFormat="1" x14ac:dyDescent="0.25"/>
    <row r="231601" s="12" customFormat="1" x14ac:dyDescent="0.25"/>
    <row r="231602" s="12" customFormat="1" x14ac:dyDescent="0.25"/>
    <row r="231603" s="12" customFormat="1" x14ac:dyDescent="0.25"/>
    <row r="231604" s="12" customFormat="1" x14ac:dyDescent="0.25"/>
    <row r="231605" s="12" customFormat="1" x14ac:dyDescent="0.25"/>
    <row r="231606" s="12" customFormat="1" x14ac:dyDescent="0.25"/>
    <row r="231607" s="12" customFormat="1" x14ac:dyDescent="0.25"/>
    <row r="231608" s="12" customFormat="1" x14ac:dyDescent="0.25"/>
    <row r="231609" s="12" customFormat="1" x14ac:dyDescent="0.25"/>
    <row r="231610" s="12" customFormat="1" x14ac:dyDescent="0.25"/>
    <row r="231611" s="12" customFormat="1" x14ac:dyDescent="0.25"/>
    <row r="231612" s="12" customFormat="1" x14ac:dyDescent="0.25"/>
    <row r="231613" s="12" customFormat="1" x14ac:dyDescent="0.25"/>
    <row r="231614" s="12" customFormat="1" x14ac:dyDescent="0.25"/>
    <row r="231615" s="12" customFormat="1" x14ac:dyDescent="0.25"/>
    <row r="231616" s="12" customFormat="1" x14ac:dyDescent="0.25"/>
    <row r="231617" s="12" customFormat="1" x14ac:dyDescent="0.25"/>
    <row r="231618" s="12" customFormat="1" x14ac:dyDescent="0.25"/>
    <row r="231619" s="12" customFormat="1" x14ac:dyDescent="0.25"/>
    <row r="231620" s="12" customFormat="1" x14ac:dyDescent="0.25"/>
    <row r="231621" s="12" customFormat="1" x14ac:dyDescent="0.25"/>
    <row r="231622" s="12" customFormat="1" x14ac:dyDescent="0.25"/>
    <row r="231623" s="12" customFormat="1" x14ac:dyDescent="0.25"/>
    <row r="231624" s="12" customFormat="1" x14ac:dyDescent="0.25"/>
    <row r="231625" s="12" customFormat="1" x14ac:dyDescent="0.25"/>
    <row r="231626" s="12" customFormat="1" x14ac:dyDescent="0.25"/>
    <row r="231627" s="12" customFormat="1" x14ac:dyDescent="0.25"/>
    <row r="231628" s="12" customFormat="1" x14ac:dyDescent="0.25"/>
    <row r="231629" s="12" customFormat="1" x14ac:dyDescent="0.25"/>
    <row r="231630" s="12" customFormat="1" x14ac:dyDescent="0.25"/>
    <row r="231631" s="12" customFormat="1" x14ac:dyDescent="0.25"/>
    <row r="231632" s="12" customFormat="1" x14ac:dyDescent="0.25"/>
    <row r="231633" s="12" customFormat="1" x14ac:dyDescent="0.25"/>
    <row r="231634" s="12" customFormat="1" x14ac:dyDescent="0.25"/>
    <row r="231635" s="12" customFormat="1" x14ac:dyDescent="0.25"/>
    <row r="231636" s="12" customFormat="1" x14ac:dyDescent="0.25"/>
    <row r="231637" s="12" customFormat="1" x14ac:dyDescent="0.25"/>
    <row r="231638" s="12" customFormat="1" x14ac:dyDescent="0.25"/>
    <row r="231639" s="12" customFormat="1" x14ac:dyDescent="0.25"/>
    <row r="231640" s="12" customFormat="1" x14ac:dyDescent="0.25"/>
    <row r="231641" s="12" customFormat="1" x14ac:dyDescent="0.25"/>
    <row r="231642" s="12" customFormat="1" x14ac:dyDescent="0.25"/>
    <row r="231643" s="12" customFormat="1" x14ac:dyDescent="0.25"/>
    <row r="231644" s="12" customFormat="1" x14ac:dyDescent="0.25"/>
    <row r="231645" s="12" customFormat="1" x14ac:dyDescent="0.25"/>
    <row r="231646" s="12" customFormat="1" x14ac:dyDescent="0.25"/>
    <row r="231647" s="12" customFormat="1" x14ac:dyDescent="0.25"/>
    <row r="231648" s="12" customFormat="1" x14ac:dyDescent="0.25"/>
    <row r="231649" s="12" customFormat="1" x14ac:dyDescent="0.25"/>
    <row r="231650" s="12" customFormat="1" x14ac:dyDescent="0.25"/>
    <row r="231651" s="12" customFormat="1" x14ac:dyDescent="0.25"/>
    <row r="231652" s="12" customFormat="1" x14ac:dyDescent="0.25"/>
    <row r="231653" s="12" customFormat="1" x14ac:dyDescent="0.25"/>
    <row r="231654" s="12" customFormat="1" x14ac:dyDescent="0.25"/>
    <row r="231655" s="12" customFormat="1" x14ac:dyDescent="0.25"/>
    <row r="231656" s="12" customFormat="1" x14ac:dyDescent="0.25"/>
    <row r="231657" s="12" customFormat="1" x14ac:dyDescent="0.25"/>
    <row r="231658" s="12" customFormat="1" x14ac:dyDescent="0.25"/>
    <row r="231659" s="12" customFormat="1" x14ac:dyDescent="0.25"/>
    <row r="231660" s="12" customFormat="1" x14ac:dyDescent="0.25"/>
    <row r="231661" s="12" customFormat="1" x14ac:dyDescent="0.25"/>
    <row r="231662" s="12" customFormat="1" x14ac:dyDescent="0.25"/>
    <row r="231663" s="12" customFormat="1" x14ac:dyDescent="0.25"/>
    <row r="231664" s="12" customFormat="1" x14ac:dyDescent="0.25"/>
    <row r="231665" s="12" customFormat="1" x14ac:dyDescent="0.25"/>
    <row r="231666" s="12" customFormat="1" x14ac:dyDescent="0.25"/>
    <row r="231667" s="12" customFormat="1" x14ac:dyDescent="0.25"/>
    <row r="231668" s="12" customFormat="1" x14ac:dyDescent="0.25"/>
    <row r="231669" s="12" customFormat="1" x14ac:dyDescent="0.25"/>
    <row r="231670" s="12" customFormat="1" x14ac:dyDescent="0.25"/>
    <row r="231671" s="12" customFormat="1" x14ac:dyDescent="0.25"/>
    <row r="231672" s="12" customFormat="1" x14ac:dyDescent="0.25"/>
    <row r="231673" s="12" customFormat="1" x14ac:dyDescent="0.25"/>
    <row r="231674" s="12" customFormat="1" x14ac:dyDescent="0.25"/>
    <row r="231675" s="12" customFormat="1" x14ac:dyDescent="0.25"/>
    <row r="231676" s="12" customFormat="1" x14ac:dyDescent="0.25"/>
    <row r="231677" s="12" customFormat="1" x14ac:dyDescent="0.25"/>
    <row r="231678" s="12" customFormat="1" x14ac:dyDescent="0.25"/>
    <row r="231679" s="12" customFormat="1" x14ac:dyDescent="0.25"/>
    <row r="231680" s="12" customFormat="1" x14ac:dyDescent="0.25"/>
    <row r="231681" s="12" customFormat="1" x14ac:dyDescent="0.25"/>
    <row r="231682" s="12" customFormat="1" x14ac:dyDescent="0.25"/>
    <row r="231683" s="12" customFormat="1" x14ac:dyDescent="0.25"/>
    <row r="231684" s="12" customFormat="1" x14ac:dyDescent="0.25"/>
    <row r="231685" s="12" customFormat="1" x14ac:dyDescent="0.25"/>
    <row r="231686" s="12" customFormat="1" x14ac:dyDescent="0.25"/>
    <row r="231687" s="12" customFormat="1" x14ac:dyDescent="0.25"/>
    <row r="231688" s="12" customFormat="1" x14ac:dyDescent="0.25"/>
    <row r="231689" s="12" customFormat="1" x14ac:dyDescent="0.25"/>
    <row r="231690" s="12" customFormat="1" x14ac:dyDescent="0.25"/>
    <row r="231691" s="12" customFormat="1" x14ac:dyDescent="0.25"/>
    <row r="231692" s="12" customFormat="1" x14ac:dyDescent="0.25"/>
    <row r="231693" s="12" customFormat="1" x14ac:dyDescent="0.25"/>
    <row r="231694" s="12" customFormat="1" x14ac:dyDescent="0.25"/>
    <row r="231695" s="12" customFormat="1" x14ac:dyDescent="0.25"/>
    <row r="231696" s="12" customFormat="1" x14ac:dyDescent="0.25"/>
    <row r="231697" s="12" customFormat="1" x14ac:dyDescent="0.25"/>
    <row r="231698" s="12" customFormat="1" x14ac:dyDescent="0.25"/>
    <row r="231699" s="12" customFormat="1" x14ac:dyDescent="0.25"/>
    <row r="231700" s="12" customFormat="1" x14ac:dyDescent="0.25"/>
    <row r="231701" s="12" customFormat="1" x14ac:dyDescent="0.25"/>
    <row r="231702" s="12" customFormat="1" x14ac:dyDescent="0.25"/>
    <row r="231703" s="12" customFormat="1" x14ac:dyDescent="0.25"/>
    <row r="231704" s="12" customFormat="1" x14ac:dyDescent="0.25"/>
    <row r="231705" s="12" customFormat="1" x14ac:dyDescent="0.25"/>
    <row r="231706" s="12" customFormat="1" x14ac:dyDescent="0.25"/>
    <row r="231707" s="12" customFormat="1" x14ac:dyDescent="0.25"/>
    <row r="231708" s="12" customFormat="1" x14ac:dyDescent="0.25"/>
    <row r="231709" s="12" customFormat="1" x14ac:dyDescent="0.25"/>
    <row r="231710" s="12" customFormat="1" x14ac:dyDescent="0.25"/>
    <row r="231711" s="12" customFormat="1" x14ac:dyDescent="0.25"/>
    <row r="231712" s="12" customFormat="1" x14ac:dyDescent="0.25"/>
    <row r="231713" s="12" customFormat="1" x14ac:dyDescent="0.25"/>
    <row r="231714" s="12" customFormat="1" x14ac:dyDescent="0.25"/>
    <row r="231715" s="12" customFormat="1" x14ac:dyDescent="0.25"/>
    <row r="231716" s="12" customFormat="1" x14ac:dyDescent="0.25"/>
    <row r="231717" s="12" customFormat="1" x14ac:dyDescent="0.25"/>
    <row r="231718" s="12" customFormat="1" x14ac:dyDescent="0.25"/>
    <row r="231719" s="12" customFormat="1" x14ac:dyDescent="0.25"/>
    <row r="231720" s="12" customFormat="1" x14ac:dyDescent="0.25"/>
    <row r="231721" s="12" customFormat="1" x14ac:dyDescent="0.25"/>
    <row r="231722" s="12" customFormat="1" x14ac:dyDescent="0.25"/>
    <row r="231723" s="12" customFormat="1" x14ac:dyDescent="0.25"/>
    <row r="231724" s="12" customFormat="1" x14ac:dyDescent="0.25"/>
    <row r="231725" s="12" customFormat="1" x14ac:dyDescent="0.25"/>
    <row r="231726" s="12" customFormat="1" x14ac:dyDescent="0.25"/>
    <row r="231727" s="12" customFormat="1" x14ac:dyDescent="0.25"/>
    <row r="231728" s="12" customFormat="1" x14ac:dyDescent="0.25"/>
    <row r="231729" s="12" customFormat="1" x14ac:dyDescent="0.25"/>
    <row r="231730" s="12" customFormat="1" x14ac:dyDescent="0.25"/>
    <row r="231731" s="12" customFormat="1" x14ac:dyDescent="0.25"/>
    <row r="231732" s="12" customFormat="1" x14ac:dyDescent="0.25"/>
    <row r="231733" s="12" customFormat="1" x14ac:dyDescent="0.25"/>
    <row r="231734" s="12" customFormat="1" x14ac:dyDescent="0.25"/>
    <row r="231735" s="12" customFormat="1" x14ac:dyDescent="0.25"/>
    <row r="231736" s="12" customFormat="1" x14ac:dyDescent="0.25"/>
    <row r="231737" s="12" customFormat="1" x14ac:dyDescent="0.25"/>
    <row r="231738" s="12" customFormat="1" x14ac:dyDescent="0.25"/>
    <row r="231739" s="12" customFormat="1" x14ac:dyDescent="0.25"/>
    <row r="231740" s="12" customFormat="1" x14ac:dyDescent="0.25"/>
    <row r="231741" s="12" customFormat="1" x14ac:dyDescent="0.25"/>
    <row r="231742" s="12" customFormat="1" x14ac:dyDescent="0.25"/>
    <row r="231743" s="12" customFormat="1" x14ac:dyDescent="0.25"/>
    <row r="231744" s="12" customFormat="1" x14ac:dyDescent="0.25"/>
    <row r="231745" s="12" customFormat="1" x14ac:dyDescent="0.25"/>
    <row r="231746" s="12" customFormat="1" x14ac:dyDescent="0.25"/>
    <row r="231747" s="12" customFormat="1" x14ac:dyDescent="0.25"/>
    <row r="231748" s="12" customFormat="1" x14ac:dyDescent="0.25"/>
    <row r="231749" s="12" customFormat="1" x14ac:dyDescent="0.25"/>
    <row r="231750" s="12" customFormat="1" x14ac:dyDescent="0.25"/>
    <row r="231751" s="12" customFormat="1" x14ac:dyDescent="0.25"/>
    <row r="231752" s="12" customFormat="1" x14ac:dyDescent="0.25"/>
    <row r="231753" s="12" customFormat="1" x14ac:dyDescent="0.25"/>
    <row r="231754" s="12" customFormat="1" x14ac:dyDescent="0.25"/>
    <row r="231755" s="12" customFormat="1" x14ac:dyDescent="0.25"/>
    <row r="231756" s="12" customFormat="1" x14ac:dyDescent="0.25"/>
    <row r="231757" s="12" customFormat="1" x14ac:dyDescent="0.25"/>
    <row r="231758" s="12" customFormat="1" x14ac:dyDescent="0.25"/>
    <row r="231759" s="12" customFormat="1" x14ac:dyDescent="0.25"/>
    <row r="231760" s="12" customFormat="1" x14ac:dyDescent="0.25"/>
    <row r="231761" s="12" customFormat="1" x14ac:dyDescent="0.25"/>
    <row r="231762" s="12" customFormat="1" x14ac:dyDescent="0.25"/>
    <row r="231763" s="12" customFormat="1" x14ac:dyDescent="0.25"/>
    <row r="231764" s="12" customFormat="1" x14ac:dyDescent="0.25"/>
    <row r="231765" s="12" customFormat="1" x14ac:dyDescent="0.25"/>
    <row r="231766" s="12" customFormat="1" x14ac:dyDescent="0.25"/>
    <row r="231767" s="12" customFormat="1" x14ac:dyDescent="0.25"/>
    <row r="231768" s="12" customFormat="1" x14ac:dyDescent="0.25"/>
    <row r="231769" s="12" customFormat="1" x14ac:dyDescent="0.25"/>
    <row r="231770" s="12" customFormat="1" x14ac:dyDescent="0.25"/>
    <row r="231771" s="12" customFormat="1" x14ac:dyDescent="0.25"/>
    <row r="231772" s="12" customFormat="1" x14ac:dyDescent="0.25"/>
    <row r="231773" s="12" customFormat="1" x14ac:dyDescent="0.25"/>
    <row r="231774" s="12" customFormat="1" x14ac:dyDescent="0.25"/>
    <row r="231775" s="12" customFormat="1" x14ac:dyDescent="0.25"/>
    <row r="231776" s="12" customFormat="1" x14ac:dyDescent="0.25"/>
    <row r="231777" s="12" customFormat="1" x14ac:dyDescent="0.25"/>
    <row r="231778" s="12" customFormat="1" x14ac:dyDescent="0.25"/>
    <row r="231779" s="12" customFormat="1" x14ac:dyDescent="0.25"/>
    <row r="231780" s="12" customFormat="1" x14ac:dyDescent="0.25"/>
    <row r="231781" s="12" customFormat="1" x14ac:dyDescent="0.25"/>
    <row r="231782" s="12" customFormat="1" x14ac:dyDescent="0.25"/>
    <row r="231783" s="12" customFormat="1" x14ac:dyDescent="0.25"/>
    <row r="231784" s="12" customFormat="1" x14ac:dyDescent="0.25"/>
    <row r="231785" s="12" customFormat="1" x14ac:dyDescent="0.25"/>
    <row r="231786" s="12" customFormat="1" x14ac:dyDescent="0.25"/>
    <row r="231787" s="12" customFormat="1" x14ac:dyDescent="0.25"/>
    <row r="231788" s="12" customFormat="1" x14ac:dyDescent="0.25"/>
    <row r="231789" s="12" customFormat="1" x14ac:dyDescent="0.25"/>
    <row r="231790" s="12" customFormat="1" x14ac:dyDescent="0.25"/>
    <row r="231791" s="12" customFormat="1" x14ac:dyDescent="0.25"/>
    <row r="231792" s="12" customFormat="1" x14ac:dyDescent="0.25"/>
    <row r="231793" s="12" customFormat="1" x14ac:dyDescent="0.25"/>
    <row r="231794" s="12" customFormat="1" x14ac:dyDescent="0.25"/>
    <row r="231795" s="12" customFormat="1" x14ac:dyDescent="0.25"/>
    <row r="231796" s="12" customFormat="1" x14ac:dyDescent="0.25"/>
    <row r="231797" s="12" customFormat="1" x14ac:dyDescent="0.25"/>
    <row r="231798" s="12" customFormat="1" x14ac:dyDescent="0.25"/>
    <row r="231799" s="12" customFormat="1" x14ac:dyDescent="0.25"/>
    <row r="231800" s="12" customFormat="1" x14ac:dyDescent="0.25"/>
    <row r="231801" s="12" customFormat="1" x14ac:dyDescent="0.25"/>
    <row r="231802" s="12" customFormat="1" x14ac:dyDescent="0.25"/>
    <row r="231803" s="12" customFormat="1" x14ac:dyDescent="0.25"/>
    <row r="231804" s="12" customFormat="1" x14ac:dyDescent="0.25"/>
    <row r="231805" s="12" customFormat="1" x14ac:dyDescent="0.25"/>
    <row r="231806" s="12" customFormat="1" x14ac:dyDescent="0.25"/>
    <row r="231807" s="12" customFormat="1" x14ac:dyDescent="0.25"/>
    <row r="231808" s="12" customFormat="1" x14ac:dyDescent="0.25"/>
    <row r="231809" s="12" customFormat="1" x14ac:dyDescent="0.25"/>
    <row r="231810" s="12" customFormat="1" x14ac:dyDescent="0.25"/>
    <row r="231811" s="12" customFormat="1" x14ac:dyDescent="0.25"/>
    <row r="231812" s="12" customFormat="1" x14ac:dyDescent="0.25"/>
    <row r="231813" s="12" customFormat="1" x14ac:dyDescent="0.25"/>
    <row r="231814" s="12" customFormat="1" x14ac:dyDescent="0.25"/>
    <row r="231815" s="12" customFormat="1" x14ac:dyDescent="0.25"/>
    <row r="231816" s="12" customFormat="1" x14ac:dyDescent="0.25"/>
    <row r="231817" s="12" customFormat="1" x14ac:dyDescent="0.25"/>
    <row r="231818" s="12" customFormat="1" x14ac:dyDescent="0.25"/>
    <row r="231819" s="12" customFormat="1" x14ac:dyDescent="0.25"/>
    <row r="231820" s="12" customFormat="1" x14ac:dyDescent="0.25"/>
    <row r="231821" s="12" customFormat="1" x14ac:dyDescent="0.25"/>
    <row r="231822" s="12" customFormat="1" x14ac:dyDescent="0.25"/>
    <row r="231823" s="12" customFormat="1" x14ac:dyDescent="0.25"/>
    <row r="231824" s="12" customFormat="1" x14ac:dyDescent="0.25"/>
    <row r="231825" s="12" customFormat="1" x14ac:dyDescent="0.25"/>
    <row r="231826" s="12" customFormat="1" x14ac:dyDescent="0.25"/>
    <row r="231827" s="12" customFormat="1" x14ac:dyDescent="0.25"/>
    <row r="231828" s="12" customFormat="1" x14ac:dyDescent="0.25"/>
    <row r="231829" s="12" customFormat="1" x14ac:dyDescent="0.25"/>
    <row r="231830" s="12" customFormat="1" x14ac:dyDescent="0.25"/>
    <row r="231831" s="12" customFormat="1" x14ac:dyDescent="0.25"/>
    <row r="231832" s="12" customFormat="1" x14ac:dyDescent="0.25"/>
    <row r="231833" s="12" customFormat="1" x14ac:dyDescent="0.25"/>
    <row r="231834" s="12" customFormat="1" x14ac:dyDescent="0.25"/>
    <row r="231835" s="12" customFormat="1" x14ac:dyDescent="0.25"/>
    <row r="231836" s="12" customFormat="1" x14ac:dyDescent="0.25"/>
    <row r="231837" s="12" customFormat="1" x14ac:dyDescent="0.25"/>
    <row r="231838" s="12" customFormat="1" x14ac:dyDescent="0.25"/>
    <row r="231839" s="12" customFormat="1" x14ac:dyDescent="0.25"/>
    <row r="231840" s="12" customFormat="1" x14ac:dyDescent="0.25"/>
    <row r="231841" s="12" customFormat="1" x14ac:dyDescent="0.25"/>
    <row r="231842" s="12" customFormat="1" x14ac:dyDescent="0.25"/>
    <row r="231843" s="12" customFormat="1" x14ac:dyDescent="0.25"/>
    <row r="231844" s="12" customFormat="1" x14ac:dyDescent="0.25"/>
    <row r="231845" s="12" customFormat="1" x14ac:dyDescent="0.25"/>
    <row r="231846" s="12" customFormat="1" x14ac:dyDescent="0.25"/>
    <row r="231847" s="12" customFormat="1" x14ac:dyDescent="0.25"/>
    <row r="231848" s="12" customFormat="1" x14ac:dyDescent="0.25"/>
    <row r="231849" s="12" customFormat="1" x14ac:dyDescent="0.25"/>
    <row r="231850" s="12" customFormat="1" x14ac:dyDescent="0.25"/>
    <row r="231851" s="12" customFormat="1" x14ac:dyDescent="0.25"/>
    <row r="231852" s="12" customFormat="1" x14ac:dyDescent="0.25"/>
    <row r="231853" s="12" customFormat="1" x14ac:dyDescent="0.25"/>
    <row r="231854" s="12" customFormat="1" x14ac:dyDescent="0.25"/>
    <row r="231855" s="12" customFormat="1" x14ac:dyDescent="0.25"/>
    <row r="231856" s="12" customFormat="1" x14ac:dyDescent="0.25"/>
    <row r="231857" s="12" customFormat="1" x14ac:dyDescent="0.25"/>
    <row r="231858" s="12" customFormat="1" x14ac:dyDescent="0.25"/>
    <row r="231859" s="12" customFormat="1" x14ac:dyDescent="0.25"/>
    <row r="231860" s="12" customFormat="1" x14ac:dyDescent="0.25"/>
    <row r="231861" s="12" customFormat="1" x14ac:dyDescent="0.25"/>
    <row r="231862" s="12" customFormat="1" x14ac:dyDescent="0.25"/>
    <row r="231863" s="12" customFormat="1" x14ac:dyDescent="0.25"/>
    <row r="231864" s="12" customFormat="1" x14ac:dyDescent="0.25"/>
    <row r="231865" s="12" customFormat="1" x14ac:dyDescent="0.25"/>
    <row r="231866" s="12" customFormat="1" x14ac:dyDescent="0.25"/>
    <row r="231867" s="12" customFormat="1" x14ac:dyDescent="0.25"/>
    <row r="231868" s="12" customFormat="1" x14ac:dyDescent="0.25"/>
    <row r="231869" s="12" customFormat="1" x14ac:dyDescent="0.25"/>
    <row r="231870" s="12" customFormat="1" x14ac:dyDescent="0.25"/>
    <row r="231871" s="12" customFormat="1" x14ac:dyDescent="0.25"/>
    <row r="231872" s="12" customFormat="1" x14ac:dyDescent="0.25"/>
    <row r="231873" s="12" customFormat="1" x14ac:dyDescent="0.25"/>
    <row r="231874" s="12" customFormat="1" x14ac:dyDescent="0.25"/>
    <row r="231875" s="12" customFormat="1" x14ac:dyDescent="0.25"/>
    <row r="231876" s="12" customFormat="1" x14ac:dyDescent="0.25"/>
    <row r="231877" s="12" customFormat="1" x14ac:dyDescent="0.25"/>
    <row r="231878" s="12" customFormat="1" x14ac:dyDescent="0.25"/>
    <row r="231879" s="12" customFormat="1" x14ac:dyDescent="0.25"/>
    <row r="231880" s="12" customFormat="1" x14ac:dyDescent="0.25"/>
    <row r="231881" s="12" customFormat="1" x14ac:dyDescent="0.25"/>
    <row r="231882" s="12" customFormat="1" x14ac:dyDescent="0.25"/>
    <row r="231883" s="12" customFormat="1" x14ac:dyDescent="0.25"/>
    <row r="231884" s="12" customFormat="1" x14ac:dyDescent="0.25"/>
    <row r="231885" s="12" customFormat="1" x14ac:dyDescent="0.25"/>
    <row r="231886" s="12" customFormat="1" x14ac:dyDescent="0.25"/>
    <row r="231887" s="12" customFormat="1" x14ac:dyDescent="0.25"/>
    <row r="231888" s="12" customFormat="1" x14ac:dyDescent="0.25"/>
    <row r="231889" s="12" customFormat="1" x14ac:dyDescent="0.25"/>
    <row r="231890" s="12" customFormat="1" x14ac:dyDescent="0.25"/>
    <row r="231891" s="12" customFormat="1" x14ac:dyDescent="0.25"/>
    <row r="231892" s="12" customFormat="1" x14ac:dyDescent="0.25"/>
    <row r="231893" s="12" customFormat="1" x14ac:dyDescent="0.25"/>
    <row r="231894" s="12" customFormat="1" x14ac:dyDescent="0.25"/>
    <row r="231895" s="12" customFormat="1" x14ac:dyDescent="0.25"/>
    <row r="231896" s="12" customFormat="1" x14ac:dyDescent="0.25"/>
    <row r="231897" s="12" customFormat="1" x14ac:dyDescent="0.25"/>
    <row r="231898" s="12" customFormat="1" x14ac:dyDescent="0.25"/>
    <row r="231899" s="12" customFormat="1" x14ac:dyDescent="0.25"/>
    <row r="231900" s="12" customFormat="1" x14ac:dyDescent="0.25"/>
    <row r="231901" s="12" customFormat="1" x14ac:dyDescent="0.25"/>
    <row r="231902" s="12" customFormat="1" x14ac:dyDescent="0.25"/>
    <row r="231903" s="12" customFormat="1" x14ac:dyDescent="0.25"/>
    <row r="231904" s="12" customFormat="1" x14ac:dyDescent="0.25"/>
    <row r="231905" s="12" customFormat="1" x14ac:dyDescent="0.25"/>
    <row r="231906" s="12" customFormat="1" x14ac:dyDescent="0.25"/>
    <row r="231907" s="12" customFormat="1" x14ac:dyDescent="0.25"/>
    <row r="231908" s="12" customFormat="1" x14ac:dyDescent="0.25"/>
    <row r="231909" s="12" customFormat="1" x14ac:dyDescent="0.25"/>
    <row r="231910" s="12" customFormat="1" x14ac:dyDescent="0.25"/>
    <row r="231911" s="12" customFormat="1" x14ac:dyDescent="0.25"/>
    <row r="231912" s="12" customFormat="1" x14ac:dyDescent="0.25"/>
    <row r="231913" s="12" customFormat="1" x14ac:dyDescent="0.25"/>
    <row r="231914" s="12" customFormat="1" x14ac:dyDescent="0.25"/>
    <row r="231915" s="12" customFormat="1" x14ac:dyDescent="0.25"/>
    <row r="231916" s="12" customFormat="1" x14ac:dyDescent="0.25"/>
    <row r="231917" s="12" customFormat="1" x14ac:dyDescent="0.25"/>
    <row r="231918" s="12" customFormat="1" x14ac:dyDescent="0.25"/>
    <row r="231919" s="12" customFormat="1" x14ac:dyDescent="0.25"/>
    <row r="231920" s="12" customFormat="1" x14ac:dyDescent="0.25"/>
    <row r="231921" s="12" customFormat="1" x14ac:dyDescent="0.25"/>
    <row r="231922" s="12" customFormat="1" x14ac:dyDescent="0.25"/>
    <row r="231923" s="12" customFormat="1" x14ac:dyDescent="0.25"/>
    <row r="231924" s="12" customFormat="1" x14ac:dyDescent="0.25"/>
    <row r="231925" s="12" customFormat="1" x14ac:dyDescent="0.25"/>
    <row r="231926" s="12" customFormat="1" x14ac:dyDescent="0.25"/>
    <row r="231927" s="12" customFormat="1" x14ac:dyDescent="0.25"/>
    <row r="231928" s="12" customFormat="1" x14ac:dyDescent="0.25"/>
    <row r="231929" s="12" customFormat="1" x14ac:dyDescent="0.25"/>
    <row r="231930" s="12" customFormat="1" x14ac:dyDescent="0.25"/>
    <row r="231931" s="12" customFormat="1" x14ac:dyDescent="0.25"/>
    <row r="231932" s="12" customFormat="1" x14ac:dyDescent="0.25"/>
    <row r="231933" s="12" customFormat="1" x14ac:dyDescent="0.25"/>
    <row r="231934" s="12" customFormat="1" x14ac:dyDescent="0.25"/>
    <row r="231935" s="12" customFormat="1" x14ac:dyDescent="0.25"/>
    <row r="231936" s="12" customFormat="1" x14ac:dyDescent="0.25"/>
    <row r="231937" s="12" customFormat="1" x14ac:dyDescent="0.25"/>
    <row r="231938" s="12" customFormat="1" x14ac:dyDescent="0.25"/>
    <row r="231939" s="12" customFormat="1" x14ac:dyDescent="0.25"/>
    <row r="231940" s="12" customFormat="1" x14ac:dyDescent="0.25"/>
    <row r="231941" s="12" customFormat="1" x14ac:dyDescent="0.25"/>
    <row r="231942" s="12" customFormat="1" x14ac:dyDescent="0.25"/>
    <row r="231943" s="12" customFormat="1" x14ac:dyDescent="0.25"/>
    <row r="231944" s="12" customFormat="1" x14ac:dyDescent="0.25"/>
    <row r="231945" s="12" customFormat="1" x14ac:dyDescent="0.25"/>
    <row r="231946" s="12" customFormat="1" x14ac:dyDescent="0.25"/>
    <row r="231947" s="12" customFormat="1" x14ac:dyDescent="0.25"/>
    <row r="231948" s="12" customFormat="1" x14ac:dyDescent="0.25"/>
    <row r="231949" s="12" customFormat="1" x14ac:dyDescent="0.25"/>
    <row r="231950" s="12" customFormat="1" x14ac:dyDescent="0.25"/>
    <row r="231951" s="12" customFormat="1" x14ac:dyDescent="0.25"/>
    <row r="231952" s="12" customFormat="1" x14ac:dyDescent="0.25"/>
    <row r="231953" s="12" customFormat="1" x14ac:dyDescent="0.25"/>
    <row r="231954" s="12" customFormat="1" x14ac:dyDescent="0.25"/>
    <row r="231955" s="12" customFormat="1" x14ac:dyDescent="0.25"/>
    <row r="231956" s="12" customFormat="1" x14ac:dyDescent="0.25"/>
    <row r="231957" s="12" customFormat="1" x14ac:dyDescent="0.25"/>
    <row r="231958" s="12" customFormat="1" x14ac:dyDescent="0.25"/>
    <row r="231959" s="12" customFormat="1" x14ac:dyDescent="0.25"/>
    <row r="231960" s="12" customFormat="1" x14ac:dyDescent="0.25"/>
    <row r="231961" s="12" customFormat="1" x14ac:dyDescent="0.25"/>
    <row r="231962" s="12" customFormat="1" x14ac:dyDescent="0.25"/>
    <row r="231963" s="12" customFormat="1" x14ac:dyDescent="0.25"/>
    <row r="231964" s="12" customFormat="1" x14ac:dyDescent="0.25"/>
    <row r="231965" s="12" customFormat="1" x14ac:dyDescent="0.25"/>
    <row r="231966" s="12" customFormat="1" x14ac:dyDescent="0.25"/>
    <row r="231967" s="12" customFormat="1" x14ac:dyDescent="0.25"/>
    <row r="231968" s="12" customFormat="1" x14ac:dyDescent="0.25"/>
    <row r="231969" s="12" customFormat="1" x14ac:dyDescent="0.25"/>
    <row r="231970" s="12" customFormat="1" x14ac:dyDescent="0.25"/>
    <row r="231971" s="12" customFormat="1" x14ac:dyDescent="0.25"/>
    <row r="231972" s="12" customFormat="1" x14ac:dyDescent="0.25"/>
    <row r="231973" s="12" customFormat="1" x14ac:dyDescent="0.25"/>
    <row r="231974" s="12" customFormat="1" x14ac:dyDescent="0.25"/>
    <row r="231975" s="12" customFormat="1" x14ac:dyDescent="0.25"/>
    <row r="231976" s="12" customFormat="1" x14ac:dyDescent="0.25"/>
    <row r="231977" s="12" customFormat="1" x14ac:dyDescent="0.25"/>
    <row r="231978" s="12" customFormat="1" x14ac:dyDescent="0.25"/>
    <row r="231979" s="12" customFormat="1" x14ac:dyDescent="0.25"/>
    <row r="231980" s="12" customFormat="1" x14ac:dyDescent="0.25"/>
    <row r="231981" s="12" customFormat="1" x14ac:dyDescent="0.25"/>
    <row r="231982" s="12" customFormat="1" x14ac:dyDescent="0.25"/>
    <row r="231983" s="12" customFormat="1" x14ac:dyDescent="0.25"/>
    <row r="231984" s="12" customFormat="1" x14ac:dyDescent="0.25"/>
    <row r="231985" s="12" customFormat="1" x14ac:dyDescent="0.25"/>
    <row r="231986" s="12" customFormat="1" x14ac:dyDescent="0.25"/>
    <row r="231987" s="12" customFormat="1" x14ac:dyDescent="0.25"/>
    <row r="231988" s="12" customFormat="1" x14ac:dyDescent="0.25"/>
    <row r="231989" s="12" customFormat="1" x14ac:dyDescent="0.25"/>
    <row r="231990" s="12" customFormat="1" x14ac:dyDescent="0.25"/>
    <row r="231991" s="12" customFormat="1" x14ac:dyDescent="0.25"/>
    <row r="231992" s="12" customFormat="1" x14ac:dyDescent="0.25"/>
    <row r="231993" s="12" customFormat="1" x14ac:dyDescent="0.25"/>
    <row r="231994" s="12" customFormat="1" x14ac:dyDescent="0.25"/>
    <row r="231995" s="12" customFormat="1" x14ac:dyDescent="0.25"/>
    <row r="231996" s="12" customFormat="1" x14ac:dyDescent="0.25"/>
    <row r="231997" s="12" customFormat="1" x14ac:dyDescent="0.25"/>
    <row r="231998" s="12" customFormat="1" x14ac:dyDescent="0.25"/>
    <row r="231999" s="12" customFormat="1" x14ac:dyDescent="0.25"/>
    <row r="232000" s="12" customFormat="1" x14ac:dyDescent="0.25"/>
    <row r="232001" s="12" customFormat="1" x14ac:dyDescent="0.25"/>
    <row r="232002" s="12" customFormat="1" x14ac:dyDescent="0.25"/>
    <row r="232003" s="12" customFormat="1" x14ac:dyDescent="0.25"/>
    <row r="232004" s="12" customFormat="1" x14ac:dyDescent="0.25"/>
    <row r="232005" s="12" customFormat="1" x14ac:dyDescent="0.25"/>
    <row r="232006" s="12" customFormat="1" x14ac:dyDescent="0.25"/>
    <row r="232007" s="12" customFormat="1" x14ac:dyDescent="0.25"/>
    <row r="232008" s="12" customFormat="1" x14ac:dyDescent="0.25"/>
    <row r="232009" s="12" customFormat="1" x14ac:dyDescent="0.25"/>
    <row r="232010" s="12" customFormat="1" x14ac:dyDescent="0.25"/>
    <row r="232011" s="12" customFormat="1" x14ac:dyDescent="0.25"/>
    <row r="232012" s="12" customFormat="1" x14ac:dyDescent="0.25"/>
    <row r="232013" s="12" customFormat="1" x14ac:dyDescent="0.25"/>
    <row r="232014" s="12" customFormat="1" x14ac:dyDescent="0.25"/>
    <row r="232015" s="12" customFormat="1" x14ac:dyDescent="0.25"/>
    <row r="232016" s="12" customFormat="1" x14ac:dyDescent="0.25"/>
    <row r="232017" s="12" customFormat="1" x14ac:dyDescent="0.25"/>
    <row r="232018" s="12" customFormat="1" x14ac:dyDescent="0.25"/>
    <row r="232019" s="12" customFormat="1" x14ac:dyDescent="0.25"/>
    <row r="232020" s="12" customFormat="1" x14ac:dyDescent="0.25"/>
    <row r="232021" s="12" customFormat="1" x14ac:dyDescent="0.25"/>
    <row r="232022" s="12" customFormat="1" x14ac:dyDescent="0.25"/>
    <row r="232023" s="12" customFormat="1" x14ac:dyDescent="0.25"/>
    <row r="232024" s="12" customFormat="1" x14ac:dyDescent="0.25"/>
    <row r="232025" s="12" customFormat="1" x14ac:dyDescent="0.25"/>
    <row r="232026" s="12" customFormat="1" x14ac:dyDescent="0.25"/>
    <row r="232027" s="12" customFormat="1" x14ac:dyDescent="0.25"/>
    <row r="232028" s="12" customFormat="1" x14ac:dyDescent="0.25"/>
    <row r="232029" s="12" customFormat="1" x14ac:dyDescent="0.25"/>
    <row r="232030" s="12" customFormat="1" x14ac:dyDescent="0.25"/>
    <row r="232031" s="12" customFormat="1" x14ac:dyDescent="0.25"/>
    <row r="232032" s="12" customFormat="1" x14ac:dyDescent="0.25"/>
    <row r="232033" s="12" customFormat="1" x14ac:dyDescent="0.25"/>
    <row r="232034" s="12" customFormat="1" x14ac:dyDescent="0.25"/>
    <row r="232035" s="12" customFormat="1" x14ac:dyDescent="0.25"/>
    <row r="232036" s="12" customFormat="1" x14ac:dyDescent="0.25"/>
    <row r="232037" s="12" customFormat="1" x14ac:dyDescent="0.25"/>
    <row r="232038" s="12" customFormat="1" x14ac:dyDescent="0.25"/>
    <row r="232039" s="12" customFormat="1" x14ac:dyDescent="0.25"/>
    <row r="232040" s="12" customFormat="1" x14ac:dyDescent="0.25"/>
    <row r="232041" s="12" customFormat="1" x14ac:dyDescent="0.25"/>
    <row r="232042" s="12" customFormat="1" x14ac:dyDescent="0.25"/>
    <row r="232043" s="12" customFormat="1" x14ac:dyDescent="0.25"/>
    <row r="232044" s="12" customFormat="1" x14ac:dyDescent="0.25"/>
    <row r="232045" s="12" customFormat="1" x14ac:dyDescent="0.25"/>
    <row r="232046" s="12" customFormat="1" x14ac:dyDescent="0.25"/>
    <row r="232047" s="12" customFormat="1" x14ac:dyDescent="0.25"/>
    <row r="232048" s="12" customFormat="1" x14ac:dyDescent="0.25"/>
    <row r="232049" s="12" customFormat="1" x14ac:dyDescent="0.25"/>
    <row r="232050" s="12" customFormat="1" x14ac:dyDescent="0.25"/>
    <row r="232051" s="12" customFormat="1" x14ac:dyDescent="0.25"/>
    <row r="232052" s="12" customFormat="1" x14ac:dyDescent="0.25"/>
    <row r="232053" s="12" customFormat="1" x14ac:dyDescent="0.25"/>
    <row r="232054" s="12" customFormat="1" x14ac:dyDescent="0.25"/>
    <row r="232055" s="12" customFormat="1" x14ac:dyDescent="0.25"/>
    <row r="232056" s="12" customFormat="1" x14ac:dyDescent="0.25"/>
    <row r="232057" s="12" customFormat="1" x14ac:dyDescent="0.25"/>
    <row r="232058" s="12" customFormat="1" x14ac:dyDescent="0.25"/>
    <row r="232059" s="12" customFormat="1" x14ac:dyDescent="0.25"/>
    <row r="232060" s="12" customFormat="1" x14ac:dyDescent="0.25"/>
    <row r="232061" s="12" customFormat="1" x14ac:dyDescent="0.25"/>
    <row r="232062" s="12" customFormat="1" x14ac:dyDescent="0.25"/>
    <row r="232063" s="12" customFormat="1" x14ac:dyDescent="0.25"/>
    <row r="232064" s="12" customFormat="1" x14ac:dyDescent="0.25"/>
    <row r="232065" s="12" customFormat="1" x14ac:dyDescent="0.25"/>
    <row r="232066" s="12" customFormat="1" x14ac:dyDescent="0.25"/>
    <row r="232067" s="12" customFormat="1" x14ac:dyDescent="0.25"/>
    <row r="232068" s="12" customFormat="1" x14ac:dyDescent="0.25"/>
    <row r="232069" s="12" customFormat="1" x14ac:dyDescent="0.25"/>
    <row r="232070" s="12" customFormat="1" x14ac:dyDescent="0.25"/>
    <row r="232071" s="12" customFormat="1" x14ac:dyDescent="0.25"/>
    <row r="232072" s="12" customFormat="1" x14ac:dyDescent="0.25"/>
    <row r="232073" s="12" customFormat="1" x14ac:dyDescent="0.25"/>
    <row r="232074" s="12" customFormat="1" x14ac:dyDescent="0.25"/>
    <row r="232075" s="12" customFormat="1" x14ac:dyDescent="0.25"/>
    <row r="232076" s="12" customFormat="1" x14ac:dyDescent="0.25"/>
    <row r="232077" s="12" customFormat="1" x14ac:dyDescent="0.25"/>
    <row r="232078" s="12" customFormat="1" x14ac:dyDescent="0.25"/>
    <row r="232079" s="12" customFormat="1" x14ac:dyDescent="0.25"/>
    <row r="232080" s="12" customFormat="1" x14ac:dyDescent="0.25"/>
    <row r="232081" s="12" customFormat="1" x14ac:dyDescent="0.25"/>
    <row r="232082" s="12" customFormat="1" x14ac:dyDescent="0.25"/>
    <row r="232083" s="12" customFormat="1" x14ac:dyDescent="0.25"/>
    <row r="232084" s="12" customFormat="1" x14ac:dyDescent="0.25"/>
    <row r="232085" s="12" customFormat="1" x14ac:dyDescent="0.25"/>
    <row r="232086" s="12" customFormat="1" x14ac:dyDescent="0.25"/>
    <row r="232087" s="12" customFormat="1" x14ac:dyDescent="0.25"/>
    <row r="232088" s="12" customFormat="1" x14ac:dyDescent="0.25"/>
    <row r="232089" s="12" customFormat="1" x14ac:dyDescent="0.25"/>
    <row r="232090" s="12" customFormat="1" x14ac:dyDescent="0.25"/>
    <row r="232091" s="12" customFormat="1" x14ac:dyDescent="0.25"/>
    <row r="232092" s="12" customFormat="1" x14ac:dyDescent="0.25"/>
    <row r="232093" s="12" customFormat="1" x14ac:dyDescent="0.25"/>
    <row r="232094" s="12" customFormat="1" x14ac:dyDescent="0.25"/>
    <row r="232095" s="12" customFormat="1" x14ac:dyDescent="0.25"/>
    <row r="232096" s="12" customFormat="1" x14ac:dyDescent="0.25"/>
    <row r="232097" s="12" customFormat="1" x14ac:dyDescent="0.25"/>
    <row r="232098" s="12" customFormat="1" x14ac:dyDescent="0.25"/>
    <row r="232099" s="12" customFormat="1" x14ac:dyDescent="0.25"/>
    <row r="232100" s="12" customFormat="1" x14ac:dyDescent="0.25"/>
    <row r="232101" s="12" customFormat="1" x14ac:dyDescent="0.25"/>
    <row r="232102" s="12" customFormat="1" x14ac:dyDescent="0.25"/>
    <row r="232103" s="12" customFormat="1" x14ac:dyDescent="0.25"/>
    <row r="232104" s="12" customFormat="1" x14ac:dyDescent="0.25"/>
    <row r="232105" s="12" customFormat="1" x14ac:dyDescent="0.25"/>
    <row r="232106" s="12" customFormat="1" x14ac:dyDescent="0.25"/>
    <row r="232107" s="12" customFormat="1" x14ac:dyDescent="0.25"/>
    <row r="232108" s="12" customFormat="1" x14ac:dyDescent="0.25"/>
    <row r="232109" s="12" customFormat="1" x14ac:dyDescent="0.25"/>
    <row r="232110" s="12" customFormat="1" x14ac:dyDescent="0.25"/>
    <row r="232111" s="12" customFormat="1" x14ac:dyDescent="0.25"/>
    <row r="232112" s="12" customFormat="1" x14ac:dyDescent="0.25"/>
    <row r="232113" s="12" customFormat="1" x14ac:dyDescent="0.25"/>
    <row r="232114" s="12" customFormat="1" x14ac:dyDescent="0.25"/>
    <row r="232115" s="12" customFormat="1" x14ac:dyDescent="0.25"/>
    <row r="232116" s="12" customFormat="1" x14ac:dyDescent="0.25"/>
    <row r="232117" s="12" customFormat="1" x14ac:dyDescent="0.25"/>
    <row r="232118" s="12" customFormat="1" x14ac:dyDescent="0.25"/>
    <row r="232119" s="12" customFormat="1" x14ac:dyDescent="0.25"/>
    <row r="232120" s="12" customFormat="1" x14ac:dyDescent="0.25"/>
    <row r="232121" s="12" customFormat="1" x14ac:dyDescent="0.25"/>
    <row r="232122" s="12" customFormat="1" x14ac:dyDescent="0.25"/>
    <row r="232123" s="12" customFormat="1" x14ac:dyDescent="0.25"/>
    <row r="232124" s="12" customFormat="1" x14ac:dyDescent="0.25"/>
    <row r="232125" s="12" customFormat="1" x14ac:dyDescent="0.25"/>
    <row r="232126" s="12" customFormat="1" x14ac:dyDescent="0.25"/>
    <row r="232127" s="12" customFormat="1" x14ac:dyDescent="0.25"/>
    <row r="232128" s="12" customFormat="1" x14ac:dyDescent="0.25"/>
    <row r="232129" s="12" customFormat="1" x14ac:dyDescent="0.25"/>
    <row r="232130" s="12" customFormat="1" x14ac:dyDescent="0.25"/>
    <row r="232131" s="12" customFormat="1" x14ac:dyDescent="0.25"/>
    <row r="232132" s="12" customFormat="1" x14ac:dyDescent="0.25"/>
    <row r="232133" s="12" customFormat="1" x14ac:dyDescent="0.25"/>
    <row r="232134" s="12" customFormat="1" x14ac:dyDescent="0.25"/>
    <row r="232135" s="12" customFormat="1" x14ac:dyDescent="0.25"/>
    <row r="232136" s="12" customFormat="1" x14ac:dyDescent="0.25"/>
    <row r="232137" s="12" customFormat="1" x14ac:dyDescent="0.25"/>
    <row r="232138" s="12" customFormat="1" x14ac:dyDescent="0.25"/>
    <row r="232139" s="12" customFormat="1" x14ac:dyDescent="0.25"/>
    <row r="232140" s="12" customFormat="1" x14ac:dyDescent="0.25"/>
    <row r="232141" s="12" customFormat="1" x14ac:dyDescent="0.25"/>
    <row r="232142" s="12" customFormat="1" x14ac:dyDescent="0.25"/>
    <row r="232143" s="12" customFormat="1" x14ac:dyDescent="0.25"/>
    <row r="232144" s="12" customFormat="1" x14ac:dyDescent="0.25"/>
    <row r="232145" s="12" customFormat="1" x14ac:dyDescent="0.25"/>
    <row r="232146" s="12" customFormat="1" x14ac:dyDescent="0.25"/>
    <row r="232147" s="12" customFormat="1" x14ac:dyDescent="0.25"/>
    <row r="232148" s="12" customFormat="1" x14ac:dyDescent="0.25"/>
    <row r="232149" s="12" customFormat="1" x14ac:dyDescent="0.25"/>
    <row r="232150" s="12" customFormat="1" x14ac:dyDescent="0.25"/>
    <row r="232151" s="12" customFormat="1" x14ac:dyDescent="0.25"/>
    <row r="232152" s="12" customFormat="1" x14ac:dyDescent="0.25"/>
    <row r="232153" s="12" customFormat="1" x14ac:dyDescent="0.25"/>
    <row r="232154" s="12" customFormat="1" x14ac:dyDescent="0.25"/>
    <row r="232155" s="12" customFormat="1" x14ac:dyDescent="0.25"/>
    <row r="232156" s="12" customFormat="1" x14ac:dyDescent="0.25"/>
    <row r="232157" s="12" customFormat="1" x14ac:dyDescent="0.25"/>
    <row r="232158" s="12" customFormat="1" x14ac:dyDescent="0.25"/>
    <row r="232159" s="12" customFormat="1" x14ac:dyDescent="0.25"/>
    <row r="232160" s="12" customFormat="1" x14ac:dyDescent="0.25"/>
    <row r="232161" s="12" customFormat="1" x14ac:dyDescent="0.25"/>
    <row r="232162" s="12" customFormat="1" x14ac:dyDescent="0.25"/>
    <row r="232163" s="12" customFormat="1" x14ac:dyDescent="0.25"/>
    <row r="232164" s="12" customFormat="1" x14ac:dyDescent="0.25"/>
    <row r="232165" s="12" customFormat="1" x14ac:dyDescent="0.25"/>
    <row r="232166" s="12" customFormat="1" x14ac:dyDescent="0.25"/>
    <row r="232167" s="12" customFormat="1" x14ac:dyDescent="0.25"/>
    <row r="232168" s="12" customFormat="1" x14ac:dyDescent="0.25"/>
    <row r="232169" s="12" customFormat="1" x14ac:dyDescent="0.25"/>
    <row r="232170" s="12" customFormat="1" x14ac:dyDescent="0.25"/>
    <row r="232171" s="12" customFormat="1" x14ac:dyDescent="0.25"/>
    <row r="232172" s="12" customFormat="1" x14ac:dyDescent="0.25"/>
    <row r="232173" s="12" customFormat="1" x14ac:dyDescent="0.25"/>
    <row r="232174" s="12" customFormat="1" x14ac:dyDescent="0.25"/>
    <row r="232175" s="12" customFormat="1" x14ac:dyDescent="0.25"/>
    <row r="232176" s="12" customFormat="1" x14ac:dyDescent="0.25"/>
    <row r="232177" s="12" customFormat="1" x14ac:dyDescent="0.25"/>
    <row r="232178" s="12" customFormat="1" x14ac:dyDescent="0.25"/>
    <row r="232179" s="12" customFormat="1" x14ac:dyDescent="0.25"/>
    <row r="232180" s="12" customFormat="1" x14ac:dyDescent="0.25"/>
    <row r="232181" s="12" customFormat="1" x14ac:dyDescent="0.25"/>
    <row r="232182" s="12" customFormat="1" x14ac:dyDescent="0.25"/>
    <row r="232183" s="12" customFormat="1" x14ac:dyDescent="0.25"/>
    <row r="232184" s="12" customFormat="1" x14ac:dyDescent="0.25"/>
    <row r="232185" s="12" customFormat="1" x14ac:dyDescent="0.25"/>
    <row r="232186" s="12" customFormat="1" x14ac:dyDescent="0.25"/>
    <row r="232187" s="12" customFormat="1" x14ac:dyDescent="0.25"/>
    <row r="232188" s="12" customFormat="1" x14ac:dyDescent="0.25"/>
    <row r="232189" s="12" customFormat="1" x14ac:dyDescent="0.25"/>
    <row r="232190" s="12" customFormat="1" x14ac:dyDescent="0.25"/>
    <row r="232191" s="12" customFormat="1" x14ac:dyDescent="0.25"/>
    <row r="232192" s="12" customFormat="1" x14ac:dyDescent="0.25"/>
    <row r="232193" s="12" customFormat="1" x14ac:dyDescent="0.25"/>
    <row r="232194" s="12" customFormat="1" x14ac:dyDescent="0.25"/>
    <row r="232195" s="12" customFormat="1" x14ac:dyDescent="0.25"/>
    <row r="232196" s="12" customFormat="1" x14ac:dyDescent="0.25"/>
    <row r="232197" s="12" customFormat="1" x14ac:dyDescent="0.25"/>
    <row r="232198" s="12" customFormat="1" x14ac:dyDescent="0.25"/>
    <row r="232199" s="12" customFormat="1" x14ac:dyDescent="0.25"/>
    <row r="232200" s="12" customFormat="1" x14ac:dyDescent="0.25"/>
    <row r="232201" s="12" customFormat="1" x14ac:dyDescent="0.25"/>
    <row r="232202" s="12" customFormat="1" x14ac:dyDescent="0.25"/>
    <row r="232203" s="12" customFormat="1" x14ac:dyDescent="0.25"/>
    <row r="232204" s="12" customFormat="1" x14ac:dyDescent="0.25"/>
    <row r="232205" s="12" customFormat="1" x14ac:dyDescent="0.25"/>
    <row r="232206" s="12" customFormat="1" x14ac:dyDescent="0.25"/>
    <row r="232207" s="12" customFormat="1" x14ac:dyDescent="0.25"/>
    <row r="232208" s="12" customFormat="1" x14ac:dyDescent="0.25"/>
    <row r="232209" s="12" customFormat="1" x14ac:dyDescent="0.25"/>
    <row r="232210" s="12" customFormat="1" x14ac:dyDescent="0.25"/>
    <row r="232211" s="12" customFormat="1" x14ac:dyDescent="0.25"/>
    <row r="232212" s="12" customFormat="1" x14ac:dyDescent="0.25"/>
    <row r="232213" s="12" customFormat="1" x14ac:dyDescent="0.25"/>
    <row r="232214" s="12" customFormat="1" x14ac:dyDescent="0.25"/>
    <row r="232215" s="12" customFormat="1" x14ac:dyDescent="0.25"/>
    <row r="232216" s="12" customFormat="1" x14ac:dyDescent="0.25"/>
    <row r="232217" s="12" customFormat="1" x14ac:dyDescent="0.25"/>
    <row r="232218" s="12" customFormat="1" x14ac:dyDescent="0.25"/>
    <row r="232219" s="12" customFormat="1" x14ac:dyDescent="0.25"/>
    <row r="232220" s="12" customFormat="1" x14ac:dyDescent="0.25"/>
    <row r="232221" s="12" customFormat="1" x14ac:dyDescent="0.25"/>
    <row r="232222" s="12" customFormat="1" x14ac:dyDescent="0.25"/>
    <row r="232223" s="12" customFormat="1" x14ac:dyDescent="0.25"/>
    <row r="232224" s="12" customFormat="1" x14ac:dyDescent="0.25"/>
    <row r="232225" s="12" customFormat="1" x14ac:dyDescent="0.25"/>
    <row r="232226" s="12" customFormat="1" x14ac:dyDescent="0.25"/>
    <row r="232227" s="12" customFormat="1" x14ac:dyDescent="0.25"/>
    <row r="232228" s="12" customFormat="1" x14ac:dyDescent="0.25"/>
    <row r="232229" s="12" customFormat="1" x14ac:dyDescent="0.25"/>
    <row r="232230" s="12" customFormat="1" x14ac:dyDescent="0.25"/>
    <row r="232231" s="12" customFormat="1" x14ac:dyDescent="0.25"/>
    <row r="232232" s="12" customFormat="1" x14ac:dyDescent="0.25"/>
    <row r="232233" s="12" customFormat="1" x14ac:dyDescent="0.25"/>
    <row r="232234" s="12" customFormat="1" x14ac:dyDescent="0.25"/>
    <row r="232235" s="12" customFormat="1" x14ac:dyDescent="0.25"/>
    <row r="232236" s="12" customFormat="1" x14ac:dyDescent="0.25"/>
    <row r="232237" s="12" customFormat="1" x14ac:dyDescent="0.25"/>
    <row r="232238" s="12" customFormat="1" x14ac:dyDescent="0.25"/>
    <row r="232239" s="12" customFormat="1" x14ac:dyDescent="0.25"/>
    <row r="232240" s="12" customFormat="1" x14ac:dyDescent="0.25"/>
    <row r="232241" s="12" customFormat="1" x14ac:dyDescent="0.25"/>
    <row r="232242" s="12" customFormat="1" x14ac:dyDescent="0.25"/>
    <row r="232243" s="12" customFormat="1" x14ac:dyDescent="0.25"/>
    <row r="232244" s="12" customFormat="1" x14ac:dyDescent="0.25"/>
    <row r="232245" s="12" customFormat="1" x14ac:dyDescent="0.25"/>
    <row r="232246" s="12" customFormat="1" x14ac:dyDescent="0.25"/>
    <row r="232247" s="12" customFormat="1" x14ac:dyDescent="0.25"/>
    <row r="232248" s="12" customFormat="1" x14ac:dyDescent="0.25"/>
    <row r="232249" s="12" customFormat="1" x14ac:dyDescent="0.25"/>
    <row r="232250" s="12" customFormat="1" x14ac:dyDescent="0.25"/>
    <row r="232251" s="12" customFormat="1" x14ac:dyDescent="0.25"/>
    <row r="232252" s="12" customFormat="1" x14ac:dyDescent="0.25"/>
    <row r="232253" s="12" customFormat="1" x14ac:dyDescent="0.25"/>
    <row r="232254" s="12" customFormat="1" x14ac:dyDescent="0.25"/>
    <row r="232255" s="12" customFormat="1" x14ac:dyDescent="0.25"/>
    <row r="232256" s="12" customFormat="1" x14ac:dyDescent="0.25"/>
    <row r="232257" s="12" customFormat="1" x14ac:dyDescent="0.25"/>
    <row r="232258" s="12" customFormat="1" x14ac:dyDescent="0.25"/>
    <row r="232259" s="12" customFormat="1" x14ac:dyDescent="0.25"/>
    <row r="232260" s="12" customFormat="1" x14ac:dyDescent="0.25"/>
    <row r="232261" s="12" customFormat="1" x14ac:dyDescent="0.25"/>
    <row r="232262" s="12" customFormat="1" x14ac:dyDescent="0.25"/>
    <row r="232263" s="12" customFormat="1" x14ac:dyDescent="0.25"/>
    <row r="232264" s="12" customFormat="1" x14ac:dyDescent="0.25"/>
    <row r="232265" s="12" customFormat="1" x14ac:dyDescent="0.25"/>
    <row r="232266" s="12" customFormat="1" x14ac:dyDescent="0.25"/>
    <row r="232267" s="12" customFormat="1" x14ac:dyDescent="0.25"/>
    <row r="232268" s="12" customFormat="1" x14ac:dyDescent="0.25"/>
    <row r="232269" s="12" customFormat="1" x14ac:dyDescent="0.25"/>
    <row r="232270" s="12" customFormat="1" x14ac:dyDescent="0.25"/>
    <row r="232271" s="12" customFormat="1" x14ac:dyDescent="0.25"/>
    <row r="232272" s="12" customFormat="1" x14ac:dyDescent="0.25"/>
    <row r="232273" s="12" customFormat="1" x14ac:dyDescent="0.25"/>
    <row r="232274" s="12" customFormat="1" x14ac:dyDescent="0.25"/>
    <row r="232275" s="12" customFormat="1" x14ac:dyDescent="0.25"/>
    <row r="232276" s="12" customFormat="1" x14ac:dyDescent="0.25"/>
    <row r="232277" s="12" customFormat="1" x14ac:dyDescent="0.25"/>
    <row r="232278" s="12" customFormat="1" x14ac:dyDescent="0.25"/>
    <row r="232279" s="12" customFormat="1" x14ac:dyDescent="0.25"/>
    <row r="232280" s="12" customFormat="1" x14ac:dyDescent="0.25"/>
    <row r="232281" s="12" customFormat="1" x14ac:dyDescent="0.25"/>
    <row r="232282" s="12" customFormat="1" x14ac:dyDescent="0.25"/>
    <row r="232283" s="12" customFormat="1" x14ac:dyDescent="0.25"/>
    <row r="232284" s="12" customFormat="1" x14ac:dyDescent="0.25"/>
    <row r="232285" s="12" customFormat="1" x14ac:dyDescent="0.25"/>
    <row r="232286" s="12" customFormat="1" x14ac:dyDescent="0.25"/>
    <row r="232287" s="12" customFormat="1" x14ac:dyDescent="0.25"/>
    <row r="232288" s="12" customFormat="1" x14ac:dyDescent="0.25"/>
    <row r="232289" s="12" customFormat="1" x14ac:dyDescent="0.25"/>
    <row r="232290" s="12" customFormat="1" x14ac:dyDescent="0.25"/>
    <row r="232291" s="12" customFormat="1" x14ac:dyDescent="0.25"/>
    <row r="232292" s="12" customFormat="1" x14ac:dyDescent="0.25"/>
    <row r="232293" s="12" customFormat="1" x14ac:dyDescent="0.25"/>
    <row r="232294" s="12" customFormat="1" x14ac:dyDescent="0.25"/>
    <row r="232295" s="12" customFormat="1" x14ac:dyDescent="0.25"/>
    <row r="232296" s="12" customFormat="1" x14ac:dyDescent="0.25"/>
    <row r="232297" s="12" customFormat="1" x14ac:dyDescent="0.25"/>
    <row r="232298" s="12" customFormat="1" x14ac:dyDescent="0.25"/>
    <row r="232299" s="12" customFormat="1" x14ac:dyDescent="0.25"/>
    <row r="232300" s="12" customFormat="1" x14ac:dyDescent="0.25"/>
    <row r="232301" s="12" customFormat="1" x14ac:dyDescent="0.25"/>
    <row r="232302" s="12" customFormat="1" x14ac:dyDescent="0.25"/>
    <row r="232303" s="12" customFormat="1" x14ac:dyDescent="0.25"/>
    <row r="232304" s="12" customFormat="1" x14ac:dyDescent="0.25"/>
    <row r="232305" s="12" customFormat="1" x14ac:dyDescent="0.25"/>
    <row r="232306" s="12" customFormat="1" x14ac:dyDescent="0.25"/>
    <row r="232307" s="12" customFormat="1" x14ac:dyDescent="0.25"/>
    <row r="232308" s="12" customFormat="1" x14ac:dyDescent="0.25"/>
    <row r="232309" s="12" customFormat="1" x14ac:dyDescent="0.25"/>
    <row r="232310" s="12" customFormat="1" x14ac:dyDescent="0.25"/>
    <row r="232311" s="12" customFormat="1" x14ac:dyDescent="0.25"/>
    <row r="232312" s="12" customFormat="1" x14ac:dyDescent="0.25"/>
    <row r="232313" s="12" customFormat="1" x14ac:dyDescent="0.25"/>
    <row r="232314" s="12" customFormat="1" x14ac:dyDescent="0.25"/>
    <row r="232315" s="12" customFormat="1" x14ac:dyDescent="0.25"/>
    <row r="232316" s="12" customFormat="1" x14ac:dyDescent="0.25"/>
    <row r="232317" s="12" customFormat="1" x14ac:dyDescent="0.25"/>
    <row r="232318" s="12" customFormat="1" x14ac:dyDescent="0.25"/>
    <row r="232319" s="12" customFormat="1" x14ac:dyDescent="0.25"/>
    <row r="232320" s="12" customFormat="1" x14ac:dyDescent="0.25"/>
    <row r="232321" s="12" customFormat="1" x14ac:dyDescent="0.25"/>
    <row r="232322" s="12" customFormat="1" x14ac:dyDescent="0.25"/>
    <row r="232323" s="12" customFormat="1" x14ac:dyDescent="0.25"/>
    <row r="232324" s="12" customFormat="1" x14ac:dyDescent="0.25"/>
    <row r="232325" s="12" customFormat="1" x14ac:dyDescent="0.25"/>
    <row r="232326" s="12" customFormat="1" x14ac:dyDescent="0.25"/>
    <row r="232327" s="12" customFormat="1" x14ac:dyDescent="0.25"/>
    <row r="232328" s="12" customFormat="1" x14ac:dyDescent="0.25"/>
    <row r="232329" s="12" customFormat="1" x14ac:dyDescent="0.25"/>
    <row r="232330" s="12" customFormat="1" x14ac:dyDescent="0.25"/>
    <row r="232331" s="12" customFormat="1" x14ac:dyDescent="0.25"/>
    <row r="232332" s="12" customFormat="1" x14ac:dyDescent="0.25"/>
    <row r="232333" s="12" customFormat="1" x14ac:dyDescent="0.25"/>
    <row r="232334" s="12" customFormat="1" x14ac:dyDescent="0.25"/>
    <row r="232335" s="12" customFormat="1" x14ac:dyDescent="0.25"/>
    <row r="232336" s="12" customFormat="1" x14ac:dyDescent="0.25"/>
    <row r="232337" s="12" customFormat="1" x14ac:dyDescent="0.25"/>
    <row r="232338" s="12" customFormat="1" x14ac:dyDescent="0.25"/>
    <row r="232339" s="12" customFormat="1" x14ac:dyDescent="0.25"/>
    <row r="232340" s="12" customFormat="1" x14ac:dyDescent="0.25"/>
    <row r="232341" s="12" customFormat="1" x14ac:dyDescent="0.25"/>
    <row r="232342" s="12" customFormat="1" x14ac:dyDescent="0.25"/>
    <row r="232343" s="12" customFormat="1" x14ac:dyDescent="0.25"/>
    <row r="232344" s="12" customFormat="1" x14ac:dyDescent="0.25"/>
    <row r="232345" s="12" customFormat="1" x14ac:dyDescent="0.25"/>
    <row r="232346" s="12" customFormat="1" x14ac:dyDescent="0.25"/>
    <row r="232347" s="12" customFormat="1" x14ac:dyDescent="0.25"/>
    <row r="232348" s="12" customFormat="1" x14ac:dyDescent="0.25"/>
    <row r="232349" s="12" customFormat="1" x14ac:dyDescent="0.25"/>
    <row r="232350" s="12" customFormat="1" x14ac:dyDescent="0.25"/>
    <row r="232351" s="12" customFormat="1" x14ac:dyDescent="0.25"/>
    <row r="232352" s="12" customFormat="1" x14ac:dyDescent="0.25"/>
    <row r="232353" s="12" customFormat="1" x14ac:dyDescent="0.25"/>
    <row r="232354" s="12" customFormat="1" x14ac:dyDescent="0.25"/>
    <row r="232355" s="12" customFormat="1" x14ac:dyDescent="0.25"/>
    <row r="232356" s="12" customFormat="1" x14ac:dyDescent="0.25"/>
    <row r="232357" s="12" customFormat="1" x14ac:dyDescent="0.25"/>
    <row r="232358" s="12" customFormat="1" x14ac:dyDescent="0.25"/>
    <row r="232359" s="12" customFormat="1" x14ac:dyDescent="0.25"/>
    <row r="232360" s="12" customFormat="1" x14ac:dyDescent="0.25"/>
    <row r="232361" s="12" customFormat="1" x14ac:dyDescent="0.25"/>
    <row r="232362" s="12" customFormat="1" x14ac:dyDescent="0.25"/>
    <row r="232363" s="12" customFormat="1" x14ac:dyDescent="0.25"/>
    <row r="232364" s="12" customFormat="1" x14ac:dyDescent="0.25"/>
    <row r="232365" s="12" customFormat="1" x14ac:dyDescent="0.25"/>
    <row r="232366" s="12" customFormat="1" x14ac:dyDescent="0.25"/>
    <row r="232367" s="12" customFormat="1" x14ac:dyDescent="0.25"/>
    <row r="232368" s="12" customFormat="1" x14ac:dyDescent="0.25"/>
    <row r="232369" s="12" customFormat="1" x14ac:dyDescent="0.25"/>
    <row r="232370" s="12" customFormat="1" x14ac:dyDescent="0.25"/>
    <row r="232371" s="12" customFormat="1" x14ac:dyDescent="0.25"/>
    <row r="232372" s="12" customFormat="1" x14ac:dyDescent="0.25"/>
    <row r="232373" s="12" customFormat="1" x14ac:dyDescent="0.25"/>
    <row r="232374" s="12" customFormat="1" x14ac:dyDescent="0.25"/>
    <row r="232375" s="12" customFormat="1" x14ac:dyDescent="0.25"/>
    <row r="232376" s="12" customFormat="1" x14ac:dyDescent="0.25"/>
    <row r="232377" s="12" customFormat="1" x14ac:dyDescent="0.25"/>
    <row r="232378" s="12" customFormat="1" x14ac:dyDescent="0.25"/>
    <row r="232379" s="12" customFormat="1" x14ac:dyDescent="0.25"/>
    <row r="232380" s="12" customFormat="1" x14ac:dyDescent="0.25"/>
    <row r="232381" s="12" customFormat="1" x14ac:dyDescent="0.25"/>
    <row r="232382" s="12" customFormat="1" x14ac:dyDescent="0.25"/>
    <row r="232383" s="12" customFormat="1" x14ac:dyDescent="0.25"/>
    <row r="232384" s="12" customFormat="1" x14ac:dyDescent="0.25"/>
    <row r="232385" s="12" customFormat="1" x14ac:dyDescent="0.25"/>
    <row r="232386" s="12" customFormat="1" x14ac:dyDescent="0.25"/>
    <row r="232387" s="12" customFormat="1" x14ac:dyDescent="0.25"/>
    <row r="232388" s="12" customFormat="1" x14ac:dyDescent="0.25"/>
    <row r="232389" s="12" customFormat="1" x14ac:dyDescent="0.25"/>
    <row r="232390" s="12" customFormat="1" x14ac:dyDescent="0.25"/>
    <row r="232391" s="12" customFormat="1" x14ac:dyDescent="0.25"/>
    <row r="232392" s="12" customFormat="1" x14ac:dyDescent="0.25"/>
    <row r="232393" s="12" customFormat="1" x14ac:dyDescent="0.25"/>
    <row r="232394" s="12" customFormat="1" x14ac:dyDescent="0.25"/>
    <row r="232395" s="12" customFormat="1" x14ac:dyDescent="0.25"/>
    <row r="232396" s="12" customFormat="1" x14ac:dyDescent="0.25"/>
    <row r="232397" s="12" customFormat="1" x14ac:dyDescent="0.25"/>
    <row r="232398" s="12" customFormat="1" x14ac:dyDescent="0.25"/>
    <row r="232399" s="12" customFormat="1" x14ac:dyDescent="0.25"/>
    <row r="232400" s="12" customFormat="1" x14ac:dyDescent="0.25"/>
    <row r="232401" s="12" customFormat="1" x14ac:dyDescent="0.25"/>
    <row r="232402" s="12" customFormat="1" x14ac:dyDescent="0.25"/>
    <row r="232403" s="12" customFormat="1" x14ac:dyDescent="0.25"/>
    <row r="232404" s="12" customFormat="1" x14ac:dyDescent="0.25"/>
    <row r="232405" s="12" customFormat="1" x14ac:dyDescent="0.25"/>
    <row r="232406" s="12" customFormat="1" x14ac:dyDescent="0.25"/>
    <row r="232407" s="12" customFormat="1" x14ac:dyDescent="0.25"/>
    <row r="232408" s="12" customFormat="1" x14ac:dyDescent="0.25"/>
    <row r="232409" s="12" customFormat="1" x14ac:dyDescent="0.25"/>
    <row r="232410" s="12" customFormat="1" x14ac:dyDescent="0.25"/>
    <row r="232411" s="12" customFormat="1" x14ac:dyDescent="0.25"/>
    <row r="232412" s="12" customFormat="1" x14ac:dyDescent="0.25"/>
    <row r="232413" s="12" customFormat="1" x14ac:dyDescent="0.25"/>
    <row r="232414" s="12" customFormat="1" x14ac:dyDescent="0.25"/>
    <row r="232415" s="12" customFormat="1" x14ac:dyDescent="0.25"/>
    <row r="232416" s="12" customFormat="1" x14ac:dyDescent="0.25"/>
    <row r="232417" s="12" customFormat="1" x14ac:dyDescent="0.25"/>
    <row r="232418" s="12" customFormat="1" x14ac:dyDescent="0.25"/>
    <row r="232419" s="12" customFormat="1" x14ac:dyDescent="0.25"/>
    <row r="232420" s="12" customFormat="1" x14ac:dyDescent="0.25"/>
    <row r="232421" s="12" customFormat="1" x14ac:dyDescent="0.25"/>
    <row r="232422" s="12" customFormat="1" x14ac:dyDescent="0.25"/>
    <row r="232423" s="12" customFormat="1" x14ac:dyDescent="0.25"/>
    <row r="232424" s="12" customFormat="1" x14ac:dyDescent="0.25"/>
    <row r="232425" s="12" customFormat="1" x14ac:dyDescent="0.25"/>
    <row r="232426" s="12" customFormat="1" x14ac:dyDescent="0.25"/>
    <row r="232427" s="12" customFormat="1" x14ac:dyDescent="0.25"/>
    <row r="232428" s="12" customFormat="1" x14ac:dyDescent="0.25"/>
    <row r="232429" s="12" customFormat="1" x14ac:dyDescent="0.25"/>
    <row r="232430" s="12" customFormat="1" x14ac:dyDescent="0.25"/>
    <row r="232431" s="12" customFormat="1" x14ac:dyDescent="0.25"/>
    <row r="232432" s="12" customFormat="1" x14ac:dyDescent="0.25"/>
    <row r="232433" s="12" customFormat="1" x14ac:dyDescent="0.25"/>
    <row r="232434" s="12" customFormat="1" x14ac:dyDescent="0.25"/>
    <row r="232435" s="12" customFormat="1" x14ac:dyDescent="0.25"/>
    <row r="232436" s="12" customFormat="1" x14ac:dyDescent="0.25"/>
    <row r="232437" s="12" customFormat="1" x14ac:dyDescent="0.25"/>
    <row r="232438" s="12" customFormat="1" x14ac:dyDescent="0.25"/>
    <row r="232439" s="12" customFormat="1" x14ac:dyDescent="0.25"/>
    <row r="232440" s="12" customFormat="1" x14ac:dyDescent="0.25"/>
    <row r="232441" s="12" customFormat="1" x14ac:dyDescent="0.25"/>
    <row r="232442" s="12" customFormat="1" x14ac:dyDescent="0.25"/>
    <row r="232443" s="12" customFormat="1" x14ac:dyDescent="0.25"/>
    <row r="232444" s="12" customFormat="1" x14ac:dyDescent="0.25"/>
    <row r="232445" s="12" customFormat="1" x14ac:dyDescent="0.25"/>
    <row r="232446" s="12" customFormat="1" x14ac:dyDescent="0.25"/>
    <row r="232447" s="12" customFormat="1" x14ac:dyDescent="0.25"/>
    <row r="232448" s="12" customFormat="1" x14ac:dyDescent="0.25"/>
    <row r="232449" s="12" customFormat="1" x14ac:dyDescent="0.25"/>
    <row r="232450" s="12" customFormat="1" x14ac:dyDescent="0.25"/>
    <row r="232451" s="12" customFormat="1" x14ac:dyDescent="0.25"/>
    <row r="232452" s="12" customFormat="1" x14ac:dyDescent="0.25"/>
    <row r="232453" s="12" customFormat="1" x14ac:dyDescent="0.25"/>
    <row r="232454" s="12" customFormat="1" x14ac:dyDescent="0.25"/>
    <row r="232455" s="12" customFormat="1" x14ac:dyDescent="0.25"/>
    <row r="232456" s="12" customFormat="1" x14ac:dyDescent="0.25"/>
    <row r="232457" s="12" customFormat="1" x14ac:dyDescent="0.25"/>
    <row r="232458" s="12" customFormat="1" x14ac:dyDescent="0.25"/>
    <row r="232459" s="12" customFormat="1" x14ac:dyDescent="0.25"/>
    <row r="232460" s="12" customFormat="1" x14ac:dyDescent="0.25"/>
    <row r="232461" s="12" customFormat="1" x14ac:dyDescent="0.25"/>
    <row r="232462" s="12" customFormat="1" x14ac:dyDescent="0.25"/>
    <row r="232463" s="12" customFormat="1" x14ac:dyDescent="0.25"/>
    <row r="232464" s="12" customFormat="1" x14ac:dyDescent="0.25"/>
    <row r="232465" s="12" customFormat="1" x14ac:dyDescent="0.25"/>
    <row r="232466" s="12" customFormat="1" x14ac:dyDescent="0.25"/>
    <row r="232467" s="12" customFormat="1" x14ac:dyDescent="0.25"/>
    <row r="232468" s="12" customFormat="1" x14ac:dyDescent="0.25"/>
    <row r="232469" s="12" customFormat="1" x14ac:dyDescent="0.25"/>
    <row r="232470" s="12" customFormat="1" x14ac:dyDescent="0.25"/>
    <row r="232471" s="12" customFormat="1" x14ac:dyDescent="0.25"/>
    <row r="232472" s="12" customFormat="1" x14ac:dyDescent="0.25"/>
    <row r="232473" s="12" customFormat="1" x14ac:dyDescent="0.25"/>
    <row r="232474" s="12" customFormat="1" x14ac:dyDescent="0.25"/>
    <row r="232475" s="12" customFormat="1" x14ac:dyDescent="0.25"/>
    <row r="232476" s="12" customFormat="1" x14ac:dyDescent="0.25"/>
    <row r="232477" s="12" customFormat="1" x14ac:dyDescent="0.25"/>
    <row r="232478" s="12" customFormat="1" x14ac:dyDescent="0.25"/>
    <row r="232479" s="12" customFormat="1" x14ac:dyDescent="0.25"/>
    <row r="232480" s="12" customFormat="1" x14ac:dyDescent="0.25"/>
    <row r="232481" s="12" customFormat="1" x14ac:dyDescent="0.25"/>
    <row r="232482" s="12" customFormat="1" x14ac:dyDescent="0.25"/>
    <row r="232483" s="12" customFormat="1" x14ac:dyDescent="0.25"/>
    <row r="232484" s="12" customFormat="1" x14ac:dyDescent="0.25"/>
    <row r="232485" s="12" customFormat="1" x14ac:dyDescent="0.25"/>
    <row r="232486" s="12" customFormat="1" x14ac:dyDescent="0.25"/>
    <row r="232487" s="12" customFormat="1" x14ac:dyDescent="0.25"/>
    <row r="232488" s="12" customFormat="1" x14ac:dyDescent="0.25"/>
    <row r="232489" s="12" customFormat="1" x14ac:dyDescent="0.25"/>
    <row r="232490" s="12" customFormat="1" x14ac:dyDescent="0.25"/>
    <row r="232491" s="12" customFormat="1" x14ac:dyDescent="0.25"/>
    <row r="232492" s="12" customFormat="1" x14ac:dyDescent="0.25"/>
    <row r="232493" s="12" customFormat="1" x14ac:dyDescent="0.25"/>
    <row r="232494" s="12" customFormat="1" x14ac:dyDescent="0.25"/>
    <row r="232495" s="12" customFormat="1" x14ac:dyDescent="0.25"/>
    <row r="232496" s="12" customFormat="1" x14ac:dyDescent="0.25"/>
    <row r="232497" s="12" customFormat="1" x14ac:dyDescent="0.25"/>
    <row r="232498" s="12" customFormat="1" x14ac:dyDescent="0.25"/>
    <row r="232499" s="12" customFormat="1" x14ac:dyDescent="0.25"/>
    <row r="232500" s="12" customFormat="1" x14ac:dyDescent="0.25"/>
    <row r="232501" s="12" customFormat="1" x14ac:dyDescent="0.25"/>
    <row r="232502" s="12" customFormat="1" x14ac:dyDescent="0.25"/>
    <row r="232503" s="12" customFormat="1" x14ac:dyDescent="0.25"/>
    <row r="232504" s="12" customFormat="1" x14ac:dyDescent="0.25"/>
    <row r="232505" s="12" customFormat="1" x14ac:dyDescent="0.25"/>
    <row r="232506" s="12" customFormat="1" x14ac:dyDescent="0.25"/>
    <row r="232507" s="12" customFormat="1" x14ac:dyDescent="0.25"/>
    <row r="232508" s="12" customFormat="1" x14ac:dyDescent="0.25"/>
    <row r="232509" s="12" customFormat="1" x14ac:dyDescent="0.25"/>
    <row r="232510" s="12" customFormat="1" x14ac:dyDescent="0.25"/>
    <row r="232511" s="12" customFormat="1" x14ac:dyDescent="0.25"/>
    <row r="232512" s="12" customFormat="1" x14ac:dyDescent="0.25"/>
    <row r="232513" s="12" customFormat="1" x14ac:dyDescent="0.25"/>
    <row r="232514" s="12" customFormat="1" x14ac:dyDescent="0.25"/>
    <row r="232515" s="12" customFormat="1" x14ac:dyDescent="0.25"/>
    <row r="232516" s="12" customFormat="1" x14ac:dyDescent="0.25"/>
    <row r="232517" s="12" customFormat="1" x14ac:dyDescent="0.25"/>
    <row r="232518" s="12" customFormat="1" x14ac:dyDescent="0.25"/>
    <row r="232519" s="12" customFormat="1" x14ac:dyDescent="0.25"/>
    <row r="232520" s="12" customFormat="1" x14ac:dyDescent="0.25"/>
    <row r="232521" s="12" customFormat="1" x14ac:dyDescent="0.25"/>
    <row r="232522" s="12" customFormat="1" x14ac:dyDescent="0.25"/>
    <row r="232523" s="12" customFormat="1" x14ac:dyDescent="0.25"/>
    <row r="232524" s="12" customFormat="1" x14ac:dyDescent="0.25"/>
    <row r="232525" s="12" customFormat="1" x14ac:dyDescent="0.25"/>
    <row r="232526" s="12" customFormat="1" x14ac:dyDescent="0.25"/>
    <row r="232527" s="12" customFormat="1" x14ac:dyDescent="0.25"/>
    <row r="232528" s="12" customFormat="1" x14ac:dyDescent="0.25"/>
    <row r="232529" s="12" customFormat="1" x14ac:dyDescent="0.25"/>
    <row r="232530" s="12" customFormat="1" x14ac:dyDescent="0.25"/>
    <row r="232531" s="12" customFormat="1" x14ac:dyDescent="0.25"/>
    <row r="232532" s="12" customFormat="1" x14ac:dyDescent="0.25"/>
    <row r="232533" s="12" customFormat="1" x14ac:dyDescent="0.25"/>
    <row r="232534" s="12" customFormat="1" x14ac:dyDescent="0.25"/>
    <row r="232535" s="12" customFormat="1" x14ac:dyDescent="0.25"/>
    <row r="232536" s="12" customFormat="1" x14ac:dyDescent="0.25"/>
    <row r="232537" s="12" customFormat="1" x14ac:dyDescent="0.25"/>
    <row r="232538" s="12" customFormat="1" x14ac:dyDescent="0.25"/>
    <row r="232539" s="12" customFormat="1" x14ac:dyDescent="0.25"/>
    <row r="232540" s="12" customFormat="1" x14ac:dyDescent="0.25"/>
    <row r="232541" s="12" customFormat="1" x14ac:dyDescent="0.25"/>
    <row r="232542" s="12" customFormat="1" x14ac:dyDescent="0.25"/>
    <row r="232543" s="12" customFormat="1" x14ac:dyDescent="0.25"/>
    <row r="232544" s="12" customFormat="1" x14ac:dyDescent="0.25"/>
    <row r="232545" s="12" customFormat="1" x14ac:dyDescent="0.25"/>
    <row r="232546" s="12" customFormat="1" x14ac:dyDescent="0.25"/>
    <row r="232547" s="12" customFormat="1" x14ac:dyDescent="0.25"/>
    <row r="232548" s="12" customFormat="1" x14ac:dyDescent="0.25"/>
    <row r="232549" s="12" customFormat="1" x14ac:dyDescent="0.25"/>
    <row r="232550" s="12" customFormat="1" x14ac:dyDescent="0.25"/>
    <row r="232551" s="12" customFormat="1" x14ac:dyDescent="0.25"/>
    <row r="232552" s="12" customFormat="1" x14ac:dyDescent="0.25"/>
    <row r="232553" s="12" customFormat="1" x14ac:dyDescent="0.25"/>
    <row r="232554" s="12" customFormat="1" x14ac:dyDescent="0.25"/>
    <row r="232555" s="12" customFormat="1" x14ac:dyDescent="0.25"/>
    <row r="232556" s="12" customFormat="1" x14ac:dyDescent="0.25"/>
    <row r="232557" s="12" customFormat="1" x14ac:dyDescent="0.25"/>
    <row r="232558" s="12" customFormat="1" x14ac:dyDescent="0.25"/>
    <row r="232559" s="12" customFormat="1" x14ac:dyDescent="0.25"/>
    <row r="232560" s="12" customFormat="1" x14ac:dyDescent="0.25"/>
    <row r="232561" s="12" customFormat="1" x14ac:dyDescent="0.25"/>
    <row r="232562" s="12" customFormat="1" x14ac:dyDescent="0.25"/>
    <row r="232563" s="12" customFormat="1" x14ac:dyDescent="0.25"/>
    <row r="232564" s="12" customFormat="1" x14ac:dyDescent="0.25"/>
    <row r="232565" s="12" customFormat="1" x14ac:dyDescent="0.25"/>
    <row r="232566" s="12" customFormat="1" x14ac:dyDescent="0.25"/>
    <row r="232567" s="12" customFormat="1" x14ac:dyDescent="0.25"/>
    <row r="232568" s="12" customFormat="1" x14ac:dyDescent="0.25"/>
    <row r="232569" s="12" customFormat="1" x14ac:dyDescent="0.25"/>
    <row r="232570" s="12" customFormat="1" x14ac:dyDescent="0.25"/>
    <row r="232571" s="12" customFormat="1" x14ac:dyDescent="0.25"/>
    <row r="232572" s="12" customFormat="1" x14ac:dyDescent="0.25"/>
    <row r="232573" s="12" customFormat="1" x14ac:dyDescent="0.25"/>
    <row r="232574" s="12" customFormat="1" x14ac:dyDescent="0.25"/>
    <row r="232575" s="12" customFormat="1" x14ac:dyDescent="0.25"/>
    <row r="232576" s="12" customFormat="1" x14ac:dyDescent="0.25"/>
    <row r="232577" s="12" customFormat="1" x14ac:dyDescent="0.25"/>
    <row r="232578" s="12" customFormat="1" x14ac:dyDescent="0.25"/>
    <row r="232579" s="12" customFormat="1" x14ac:dyDescent="0.25"/>
    <row r="232580" s="12" customFormat="1" x14ac:dyDescent="0.25"/>
    <row r="232581" s="12" customFormat="1" x14ac:dyDescent="0.25"/>
    <row r="232582" s="12" customFormat="1" x14ac:dyDescent="0.25"/>
    <row r="232583" s="12" customFormat="1" x14ac:dyDescent="0.25"/>
    <row r="232584" s="12" customFormat="1" x14ac:dyDescent="0.25"/>
    <row r="232585" s="12" customFormat="1" x14ac:dyDescent="0.25"/>
    <row r="232586" s="12" customFormat="1" x14ac:dyDescent="0.25"/>
    <row r="232587" s="12" customFormat="1" x14ac:dyDescent="0.25"/>
    <row r="232588" s="12" customFormat="1" x14ac:dyDescent="0.25"/>
    <row r="232589" s="12" customFormat="1" x14ac:dyDescent="0.25"/>
    <row r="232590" s="12" customFormat="1" x14ac:dyDescent="0.25"/>
    <row r="232591" s="12" customFormat="1" x14ac:dyDescent="0.25"/>
    <row r="232592" s="12" customFormat="1" x14ac:dyDescent="0.25"/>
    <row r="232593" s="12" customFormat="1" x14ac:dyDescent="0.25"/>
    <row r="232594" s="12" customFormat="1" x14ac:dyDescent="0.25"/>
    <row r="232595" s="12" customFormat="1" x14ac:dyDescent="0.25"/>
    <row r="232596" s="12" customFormat="1" x14ac:dyDescent="0.25"/>
    <row r="232597" s="12" customFormat="1" x14ac:dyDescent="0.25"/>
    <row r="232598" s="12" customFormat="1" x14ac:dyDescent="0.25"/>
    <row r="232599" s="12" customFormat="1" x14ac:dyDescent="0.25"/>
    <row r="232600" s="12" customFormat="1" x14ac:dyDescent="0.25"/>
    <row r="232601" s="12" customFormat="1" x14ac:dyDescent="0.25"/>
    <row r="232602" s="12" customFormat="1" x14ac:dyDescent="0.25"/>
    <row r="232603" s="12" customFormat="1" x14ac:dyDescent="0.25"/>
    <row r="232604" s="12" customFormat="1" x14ac:dyDescent="0.25"/>
    <row r="232605" s="12" customFormat="1" x14ac:dyDescent="0.25"/>
    <row r="232606" s="12" customFormat="1" x14ac:dyDescent="0.25"/>
    <row r="232607" s="12" customFormat="1" x14ac:dyDescent="0.25"/>
    <row r="232608" s="12" customFormat="1" x14ac:dyDescent="0.25"/>
    <row r="232609" s="12" customFormat="1" x14ac:dyDescent="0.25"/>
    <row r="232610" s="12" customFormat="1" x14ac:dyDescent="0.25"/>
    <row r="232611" s="12" customFormat="1" x14ac:dyDescent="0.25"/>
    <row r="232612" s="12" customFormat="1" x14ac:dyDescent="0.25"/>
    <row r="232613" s="12" customFormat="1" x14ac:dyDescent="0.25"/>
    <row r="232614" s="12" customFormat="1" x14ac:dyDescent="0.25"/>
    <row r="232615" s="12" customFormat="1" x14ac:dyDescent="0.25"/>
    <row r="232616" s="12" customFormat="1" x14ac:dyDescent="0.25"/>
    <row r="232617" s="12" customFormat="1" x14ac:dyDescent="0.25"/>
    <row r="232618" s="12" customFormat="1" x14ac:dyDescent="0.25"/>
    <row r="232619" s="12" customFormat="1" x14ac:dyDescent="0.25"/>
    <row r="232620" s="12" customFormat="1" x14ac:dyDescent="0.25"/>
    <row r="232621" s="12" customFormat="1" x14ac:dyDescent="0.25"/>
    <row r="232622" s="12" customFormat="1" x14ac:dyDescent="0.25"/>
    <row r="232623" s="12" customFormat="1" x14ac:dyDescent="0.25"/>
    <row r="232624" s="12" customFormat="1" x14ac:dyDescent="0.25"/>
    <row r="232625" s="12" customFormat="1" x14ac:dyDescent="0.25"/>
    <row r="232626" s="12" customFormat="1" x14ac:dyDescent="0.25"/>
    <row r="232627" s="12" customFormat="1" x14ac:dyDescent="0.25"/>
    <row r="232628" s="12" customFormat="1" x14ac:dyDescent="0.25"/>
    <row r="232629" s="12" customFormat="1" x14ac:dyDescent="0.25"/>
    <row r="232630" s="12" customFormat="1" x14ac:dyDescent="0.25"/>
    <row r="232631" s="12" customFormat="1" x14ac:dyDescent="0.25"/>
    <row r="232632" s="12" customFormat="1" x14ac:dyDescent="0.25"/>
    <row r="232633" s="12" customFormat="1" x14ac:dyDescent="0.25"/>
    <row r="232634" s="12" customFormat="1" x14ac:dyDescent="0.25"/>
    <row r="232635" s="12" customFormat="1" x14ac:dyDescent="0.25"/>
    <row r="232636" s="12" customFormat="1" x14ac:dyDescent="0.25"/>
    <row r="232637" s="12" customFormat="1" x14ac:dyDescent="0.25"/>
    <row r="232638" s="12" customFormat="1" x14ac:dyDescent="0.25"/>
    <row r="232639" s="12" customFormat="1" x14ac:dyDescent="0.25"/>
    <row r="232640" s="12" customFormat="1" x14ac:dyDescent="0.25"/>
    <row r="232641" s="12" customFormat="1" x14ac:dyDescent="0.25"/>
    <row r="232642" s="12" customFormat="1" x14ac:dyDescent="0.25"/>
    <row r="232643" s="12" customFormat="1" x14ac:dyDescent="0.25"/>
    <row r="232644" s="12" customFormat="1" x14ac:dyDescent="0.25"/>
    <row r="232645" s="12" customFormat="1" x14ac:dyDescent="0.25"/>
    <row r="232646" s="12" customFormat="1" x14ac:dyDescent="0.25"/>
    <row r="232647" s="12" customFormat="1" x14ac:dyDescent="0.25"/>
    <row r="232648" s="12" customFormat="1" x14ac:dyDescent="0.25"/>
    <row r="232649" s="12" customFormat="1" x14ac:dyDescent="0.25"/>
    <row r="232650" s="12" customFormat="1" x14ac:dyDescent="0.25"/>
    <row r="232651" s="12" customFormat="1" x14ac:dyDescent="0.25"/>
    <row r="232652" s="12" customFormat="1" x14ac:dyDescent="0.25"/>
    <row r="232653" s="12" customFormat="1" x14ac:dyDescent="0.25"/>
    <row r="232654" s="12" customFormat="1" x14ac:dyDescent="0.25"/>
    <row r="232655" s="12" customFormat="1" x14ac:dyDescent="0.25"/>
    <row r="232656" s="12" customFormat="1" x14ac:dyDescent="0.25"/>
    <row r="232657" s="12" customFormat="1" x14ac:dyDescent="0.25"/>
    <row r="232658" s="12" customFormat="1" x14ac:dyDescent="0.25"/>
    <row r="232659" s="12" customFormat="1" x14ac:dyDescent="0.25"/>
    <row r="232660" s="12" customFormat="1" x14ac:dyDescent="0.25"/>
    <row r="232661" s="12" customFormat="1" x14ac:dyDescent="0.25"/>
    <row r="232662" s="12" customFormat="1" x14ac:dyDescent="0.25"/>
    <row r="232663" s="12" customFormat="1" x14ac:dyDescent="0.25"/>
    <row r="232664" s="12" customFormat="1" x14ac:dyDescent="0.25"/>
    <row r="232665" s="12" customFormat="1" x14ac:dyDescent="0.25"/>
    <row r="232666" s="12" customFormat="1" x14ac:dyDescent="0.25"/>
    <row r="232667" s="12" customFormat="1" x14ac:dyDescent="0.25"/>
    <row r="232668" s="12" customFormat="1" x14ac:dyDescent="0.25"/>
    <row r="232669" s="12" customFormat="1" x14ac:dyDescent="0.25"/>
    <row r="232670" s="12" customFormat="1" x14ac:dyDescent="0.25"/>
    <row r="232671" s="12" customFormat="1" x14ac:dyDescent="0.25"/>
    <row r="232672" s="12" customFormat="1" x14ac:dyDescent="0.25"/>
    <row r="232673" s="12" customFormat="1" x14ac:dyDescent="0.25"/>
    <row r="232674" s="12" customFormat="1" x14ac:dyDescent="0.25"/>
    <row r="232675" s="12" customFormat="1" x14ac:dyDescent="0.25"/>
    <row r="232676" s="12" customFormat="1" x14ac:dyDescent="0.25"/>
    <row r="232677" s="12" customFormat="1" x14ac:dyDescent="0.25"/>
    <row r="232678" s="12" customFormat="1" x14ac:dyDescent="0.25"/>
    <row r="232679" s="12" customFormat="1" x14ac:dyDescent="0.25"/>
    <row r="232680" s="12" customFormat="1" x14ac:dyDescent="0.25"/>
    <row r="232681" s="12" customFormat="1" x14ac:dyDescent="0.25"/>
    <row r="232682" s="12" customFormat="1" x14ac:dyDescent="0.25"/>
    <row r="232683" s="12" customFormat="1" x14ac:dyDescent="0.25"/>
    <row r="232684" s="12" customFormat="1" x14ac:dyDescent="0.25"/>
    <row r="232685" s="12" customFormat="1" x14ac:dyDescent="0.25"/>
    <row r="232686" s="12" customFormat="1" x14ac:dyDescent="0.25"/>
    <row r="232687" s="12" customFormat="1" x14ac:dyDescent="0.25"/>
    <row r="232688" s="12" customFormat="1" x14ac:dyDescent="0.25"/>
    <row r="232689" s="12" customFormat="1" x14ac:dyDescent="0.25"/>
    <row r="232690" s="12" customFormat="1" x14ac:dyDescent="0.25"/>
    <row r="232691" s="12" customFormat="1" x14ac:dyDescent="0.25"/>
    <row r="232692" s="12" customFormat="1" x14ac:dyDescent="0.25"/>
    <row r="232693" s="12" customFormat="1" x14ac:dyDescent="0.25"/>
    <row r="232694" s="12" customFormat="1" x14ac:dyDescent="0.25"/>
    <row r="232695" s="12" customFormat="1" x14ac:dyDescent="0.25"/>
    <row r="232696" s="12" customFormat="1" x14ac:dyDescent="0.25"/>
    <row r="232697" s="12" customFormat="1" x14ac:dyDescent="0.25"/>
    <row r="232698" s="12" customFormat="1" x14ac:dyDescent="0.25"/>
    <row r="232699" s="12" customFormat="1" x14ac:dyDescent="0.25"/>
    <row r="232700" s="12" customFormat="1" x14ac:dyDescent="0.25"/>
    <row r="232701" s="12" customFormat="1" x14ac:dyDescent="0.25"/>
    <row r="232702" s="12" customFormat="1" x14ac:dyDescent="0.25"/>
    <row r="232703" s="12" customFormat="1" x14ac:dyDescent="0.25"/>
    <row r="232704" s="12" customFormat="1" x14ac:dyDescent="0.25"/>
    <row r="232705" s="12" customFormat="1" x14ac:dyDescent="0.25"/>
    <row r="232706" s="12" customFormat="1" x14ac:dyDescent="0.25"/>
    <row r="232707" s="12" customFormat="1" x14ac:dyDescent="0.25"/>
    <row r="232708" s="12" customFormat="1" x14ac:dyDescent="0.25"/>
    <row r="232709" s="12" customFormat="1" x14ac:dyDescent="0.25"/>
    <row r="232710" s="12" customFormat="1" x14ac:dyDescent="0.25"/>
    <row r="232711" s="12" customFormat="1" x14ac:dyDescent="0.25"/>
    <row r="232712" s="12" customFormat="1" x14ac:dyDescent="0.25"/>
    <row r="232713" s="12" customFormat="1" x14ac:dyDescent="0.25"/>
    <row r="232714" s="12" customFormat="1" x14ac:dyDescent="0.25"/>
    <row r="232715" s="12" customFormat="1" x14ac:dyDescent="0.25"/>
    <row r="232716" s="12" customFormat="1" x14ac:dyDescent="0.25"/>
    <row r="232717" s="12" customFormat="1" x14ac:dyDescent="0.25"/>
    <row r="232718" s="12" customFormat="1" x14ac:dyDescent="0.25"/>
    <row r="232719" s="12" customFormat="1" x14ac:dyDescent="0.25"/>
    <row r="232720" s="12" customFormat="1" x14ac:dyDescent="0.25"/>
    <row r="232721" s="12" customFormat="1" x14ac:dyDescent="0.25"/>
    <row r="232722" s="12" customFormat="1" x14ac:dyDescent="0.25"/>
    <row r="232723" s="12" customFormat="1" x14ac:dyDescent="0.25"/>
    <row r="232724" s="12" customFormat="1" x14ac:dyDescent="0.25"/>
    <row r="232725" s="12" customFormat="1" x14ac:dyDescent="0.25"/>
    <row r="232726" s="12" customFormat="1" x14ac:dyDescent="0.25"/>
    <row r="232727" s="12" customFormat="1" x14ac:dyDescent="0.25"/>
    <row r="232728" s="12" customFormat="1" x14ac:dyDescent="0.25"/>
    <row r="232729" s="12" customFormat="1" x14ac:dyDescent="0.25"/>
    <row r="232730" s="12" customFormat="1" x14ac:dyDescent="0.25"/>
    <row r="232731" s="12" customFormat="1" x14ac:dyDescent="0.25"/>
    <row r="232732" s="12" customFormat="1" x14ac:dyDescent="0.25"/>
    <row r="232733" s="12" customFormat="1" x14ac:dyDescent="0.25"/>
    <row r="232734" s="12" customFormat="1" x14ac:dyDescent="0.25"/>
    <row r="232735" s="12" customFormat="1" x14ac:dyDescent="0.25"/>
    <row r="232736" s="12" customFormat="1" x14ac:dyDescent="0.25"/>
    <row r="232737" s="12" customFormat="1" x14ac:dyDescent="0.25"/>
    <row r="232738" s="12" customFormat="1" x14ac:dyDescent="0.25"/>
    <row r="232739" s="12" customFormat="1" x14ac:dyDescent="0.25"/>
    <row r="232740" s="12" customFormat="1" x14ac:dyDescent="0.25"/>
    <row r="232741" s="12" customFormat="1" x14ac:dyDescent="0.25"/>
    <row r="232742" s="12" customFormat="1" x14ac:dyDescent="0.25"/>
    <row r="232743" s="12" customFormat="1" x14ac:dyDescent="0.25"/>
    <row r="232744" s="12" customFormat="1" x14ac:dyDescent="0.25"/>
    <row r="232745" s="12" customFormat="1" x14ac:dyDescent="0.25"/>
    <row r="232746" s="12" customFormat="1" x14ac:dyDescent="0.25"/>
    <row r="232747" s="12" customFormat="1" x14ac:dyDescent="0.25"/>
    <row r="232748" s="12" customFormat="1" x14ac:dyDescent="0.25"/>
    <row r="232749" s="12" customFormat="1" x14ac:dyDescent="0.25"/>
    <row r="232750" s="12" customFormat="1" x14ac:dyDescent="0.25"/>
    <row r="232751" s="12" customFormat="1" x14ac:dyDescent="0.25"/>
    <row r="232752" s="12" customFormat="1" x14ac:dyDescent="0.25"/>
    <row r="232753" s="12" customFormat="1" x14ac:dyDescent="0.25"/>
    <row r="232754" s="12" customFormat="1" x14ac:dyDescent="0.25"/>
    <row r="232755" s="12" customFormat="1" x14ac:dyDescent="0.25"/>
    <row r="232756" s="12" customFormat="1" x14ac:dyDescent="0.25"/>
    <row r="232757" s="12" customFormat="1" x14ac:dyDescent="0.25"/>
    <row r="232758" s="12" customFormat="1" x14ac:dyDescent="0.25"/>
    <row r="232759" s="12" customFormat="1" x14ac:dyDescent="0.25"/>
    <row r="232760" s="12" customFormat="1" x14ac:dyDescent="0.25"/>
    <row r="232761" s="12" customFormat="1" x14ac:dyDescent="0.25"/>
    <row r="232762" s="12" customFormat="1" x14ac:dyDescent="0.25"/>
    <row r="232763" s="12" customFormat="1" x14ac:dyDescent="0.25"/>
    <row r="232764" s="12" customFormat="1" x14ac:dyDescent="0.25"/>
    <row r="232765" s="12" customFormat="1" x14ac:dyDescent="0.25"/>
    <row r="232766" s="12" customFormat="1" x14ac:dyDescent="0.25"/>
    <row r="232767" s="12" customFormat="1" x14ac:dyDescent="0.25"/>
    <row r="232768" s="12" customFormat="1" x14ac:dyDescent="0.25"/>
    <row r="232769" s="12" customFormat="1" x14ac:dyDescent="0.25"/>
    <row r="232770" s="12" customFormat="1" x14ac:dyDescent="0.25"/>
    <row r="232771" s="12" customFormat="1" x14ac:dyDescent="0.25"/>
    <row r="232772" s="12" customFormat="1" x14ac:dyDescent="0.25"/>
    <row r="232773" s="12" customFormat="1" x14ac:dyDescent="0.25"/>
    <row r="232774" s="12" customFormat="1" x14ac:dyDescent="0.25"/>
    <row r="232775" s="12" customFormat="1" x14ac:dyDescent="0.25"/>
    <row r="232776" s="12" customFormat="1" x14ac:dyDescent="0.25"/>
    <row r="232777" s="12" customFormat="1" x14ac:dyDescent="0.25"/>
    <row r="232778" s="12" customFormat="1" x14ac:dyDescent="0.25"/>
    <row r="232779" s="12" customFormat="1" x14ac:dyDescent="0.25"/>
    <row r="232780" s="12" customFormat="1" x14ac:dyDescent="0.25"/>
    <row r="232781" s="12" customFormat="1" x14ac:dyDescent="0.25"/>
    <row r="232782" s="12" customFormat="1" x14ac:dyDescent="0.25"/>
    <row r="232783" s="12" customFormat="1" x14ac:dyDescent="0.25"/>
    <row r="232784" s="12" customFormat="1" x14ac:dyDescent="0.25"/>
    <row r="232785" s="12" customFormat="1" x14ac:dyDescent="0.25"/>
    <row r="232786" s="12" customFormat="1" x14ac:dyDescent="0.25"/>
    <row r="232787" s="12" customFormat="1" x14ac:dyDescent="0.25"/>
    <row r="232788" s="12" customFormat="1" x14ac:dyDescent="0.25"/>
    <row r="232789" s="12" customFormat="1" x14ac:dyDescent="0.25"/>
    <row r="232790" s="12" customFormat="1" x14ac:dyDescent="0.25"/>
    <row r="232791" s="12" customFormat="1" x14ac:dyDescent="0.25"/>
    <row r="232792" s="12" customFormat="1" x14ac:dyDescent="0.25"/>
    <row r="232793" s="12" customFormat="1" x14ac:dyDescent="0.25"/>
    <row r="232794" s="12" customFormat="1" x14ac:dyDescent="0.25"/>
    <row r="232795" s="12" customFormat="1" x14ac:dyDescent="0.25"/>
    <row r="232796" s="12" customFormat="1" x14ac:dyDescent="0.25"/>
    <row r="232797" s="12" customFormat="1" x14ac:dyDescent="0.25"/>
    <row r="232798" s="12" customFormat="1" x14ac:dyDescent="0.25"/>
    <row r="232799" s="12" customFormat="1" x14ac:dyDescent="0.25"/>
    <row r="232800" s="12" customFormat="1" x14ac:dyDescent="0.25"/>
    <row r="232801" s="12" customFormat="1" x14ac:dyDescent="0.25"/>
    <row r="232802" s="12" customFormat="1" x14ac:dyDescent="0.25"/>
    <row r="232803" s="12" customFormat="1" x14ac:dyDescent="0.25"/>
    <row r="232804" s="12" customFormat="1" x14ac:dyDescent="0.25"/>
    <row r="232805" s="12" customFormat="1" x14ac:dyDescent="0.25"/>
    <row r="232806" s="12" customFormat="1" x14ac:dyDescent="0.25"/>
    <row r="232807" s="12" customFormat="1" x14ac:dyDescent="0.25"/>
    <row r="232808" s="12" customFormat="1" x14ac:dyDescent="0.25"/>
    <row r="232809" s="12" customFormat="1" x14ac:dyDescent="0.25"/>
    <row r="232810" s="12" customFormat="1" x14ac:dyDescent="0.25"/>
    <row r="232811" s="12" customFormat="1" x14ac:dyDescent="0.25"/>
    <row r="232812" s="12" customFormat="1" x14ac:dyDescent="0.25"/>
    <row r="232813" s="12" customFormat="1" x14ac:dyDescent="0.25"/>
    <row r="232814" s="12" customFormat="1" x14ac:dyDescent="0.25"/>
    <row r="232815" s="12" customFormat="1" x14ac:dyDescent="0.25"/>
    <row r="232816" s="12" customFormat="1" x14ac:dyDescent="0.25"/>
    <row r="232817" s="12" customFormat="1" x14ac:dyDescent="0.25"/>
    <row r="232818" s="12" customFormat="1" x14ac:dyDescent="0.25"/>
    <row r="232819" s="12" customFormat="1" x14ac:dyDescent="0.25"/>
    <row r="232820" s="12" customFormat="1" x14ac:dyDescent="0.25"/>
    <row r="232821" s="12" customFormat="1" x14ac:dyDescent="0.25"/>
    <row r="232822" s="12" customFormat="1" x14ac:dyDescent="0.25"/>
    <row r="232823" s="12" customFormat="1" x14ac:dyDescent="0.25"/>
    <row r="232824" s="12" customFormat="1" x14ac:dyDescent="0.25"/>
    <row r="232825" s="12" customFormat="1" x14ac:dyDescent="0.25"/>
    <row r="232826" s="12" customFormat="1" x14ac:dyDescent="0.25"/>
    <row r="232827" s="12" customFormat="1" x14ac:dyDescent="0.25"/>
    <row r="232828" s="12" customFormat="1" x14ac:dyDescent="0.25"/>
    <row r="232829" s="12" customFormat="1" x14ac:dyDescent="0.25"/>
    <row r="232830" s="12" customFormat="1" x14ac:dyDescent="0.25"/>
    <row r="232831" s="12" customFormat="1" x14ac:dyDescent="0.25"/>
    <row r="232832" s="12" customFormat="1" x14ac:dyDescent="0.25"/>
    <row r="232833" s="12" customFormat="1" x14ac:dyDescent="0.25"/>
    <row r="232834" s="12" customFormat="1" x14ac:dyDescent="0.25"/>
    <row r="232835" s="12" customFormat="1" x14ac:dyDescent="0.25"/>
    <row r="232836" s="12" customFormat="1" x14ac:dyDescent="0.25"/>
    <row r="232837" s="12" customFormat="1" x14ac:dyDescent="0.25"/>
    <row r="232838" s="12" customFormat="1" x14ac:dyDescent="0.25"/>
    <row r="232839" s="12" customFormat="1" x14ac:dyDescent="0.25"/>
    <row r="232840" s="12" customFormat="1" x14ac:dyDescent="0.25"/>
    <row r="232841" s="12" customFormat="1" x14ac:dyDescent="0.25"/>
    <row r="232842" s="12" customFormat="1" x14ac:dyDescent="0.25"/>
    <row r="232843" s="12" customFormat="1" x14ac:dyDescent="0.25"/>
    <row r="232844" s="12" customFormat="1" x14ac:dyDescent="0.25"/>
    <row r="232845" s="12" customFormat="1" x14ac:dyDescent="0.25"/>
    <row r="232846" s="12" customFormat="1" x14ac:dyDescent="0.25"/>
    <row r="232847" s="12" customFormat="1" x14ac:dyDescent="0.25"/>
    <row r="232848" s="12" customFormat="1" x14ac:dyDescent="0.25"/>
    <row r="232849" s="12" customFormat="1" x14ac:dyDescent="0.25"/>
    <row r="232850" s="12" customFormat="1" x14ac:dyDescent="0.25"/>
    <row r="232851" s="12" customFormat="1" x14ac:dyDescent="0.25"/>
    <row r="232852" s="12" customFormat="1" x14ac:dyDescent="0.25"/>
    <row r="232853" s="12" customFormat="1" x14ac:dyDescent="0.25"/>
    <row r="232854" s="12" customFormat="1" x14ac:dyDescent="0.25"/>
    <row r="232855" s="12" customFormat="1" x14ac:dyDescent="0.25"/>
    <row r="232856" s="12" customFormat="1" x14ac:dyDescent="0.25"/>
    <row r="232857" s="12" customFormat="1" x14ac:dyDescent="0.25"/>
    <row r="232858" s="12" customFormat="1" x14ac:dyDescent="0.25"/>
    <row r="232859" s="12" customFormat="1" x14ac:dyDescent="0.25"/>
    <row r="232860" s="12" customFormat="1" x14ac:dyDescent="0.25"/>
    <row r="232861" s="12" customFormat="1" x14ac:dyDescent="0.25"/>
    <row r="232862" s="12" customFormat="1" x14ac:dyDescent="0.25"/>
    <row r="232863" s="12" customFormat="1" x14ac:dyDescent="0.25"/>
    <row r="232864" s="12" customFormat="1" x14ac:dyDescent="0.25"/>
    <row r="232865" s="12" customFormat="1" x14ac:dyDescent="0.25"/>
    <row r="232866" s="12" customFormat="1" x14ac:dyDescent="0.25"/>
    <row r="232867" s="12" customFormat="1" x14ac:dyDescent="0.25"/>
    <row r="232868" s="12" customFormat="1" x14ac:dyDescent="0.25"/>
    <row r="232869" s="12" customFormat="1" x14ac:dyDescent="0.25"/>
    <row r="232870" s="12" customFormat="1" x14ac:dyDescent="0.25"/>
    <row r="232871" s="12" customFormat="1" x14ac:dyDescent="0.25"/>
    <row r="232872" s="12" customFormat="1" x14ac:dyDescent="0.25"/>
    <row r="232873" s="12" customFormat="1" x14ac:dyDescent="0.25"/>
    <row r="232874" s="12" customFormat="1" x14ac:dyDescent="0.25"/>
    <row r="232875" s="12" customFormat="1" x14ac:dyDescent="0.25"/>
    <row r="232876" s="12" customFormat="1" x14ac:dyDescent="0.25"/>
    <row r="232877" s="12" customFormat="1" x14ac:dyDescent="0.25"/>
    <row r="232878" s="12" customFormat="1" x14ac:dyDescent="0.25"/>
    <row r="232879" s="12" customFormat="1" x14ac:dyDescent="0.25"/>
    <row r="232880" s="12" customFormat="1" x14ac:dyDescent="0.25"/>
    <row r="232881" s="12" customFormat="1" x14ac:dyDescent="0.25"/>
    <row r="232882" s="12" customFormat="1" x14ac:dyDescent="0.25"/>
    <row r="232883" s="12" customFormat="1" x14ac:dyDescent="0.25"/>
    <row r="232884" s="12" customFormat="1" x14ac:dyDescent="0.25"/>
    <row r="232885" s="12" customFormat="1" x14ac:dyDescent="0.25"/>
    <row r="232886" s="12" customFormat="1" x14ac:dyDescent="0.25"/>
    <row r="232887" s="12" customFormat="1" x14ac:dyDescent="0.25"/>
    <row r="232888" s="12" customFormat="1" x14ac:dyDescent="0.25"/>
    <row r="232889" s="12" customFormat="1" x14ac:dyDescent="0.25"/>
    <row r="232890" s="12" customFormat="1" x14ac:dyDescent="0.25"/>
    <row r="232891" s="12" customFormat="1" x14ac:dyDescent="0.25"/>
    <row r="232892" s="12" customFormat="1" x14ac:dyDescent="0.25"/>
    <row r="232893" s="12" customFormat="1" x14ac:dyDescent="0.25"/>
    <row r="232894" s="12" customFormat="1" x14ac:dyDescent="0.25"/>
    <row r="232895" s="12" customFormat="1" x14ac:dyDescent="0.25"/>
    <row r="232896" s="12" customFormat="1" x14ac:dyDescent="0.25"/>
    <row r="232897" s="12" customFormat="1" x14ac:dyDescent="0.25"/>
    <row r="232898" s="12" customFormat="1" x14ac:dyDescent="0.25"/>
    <row r="232899" s="12" customFormat="1" x14ac:dyDescent="0.25"/>
    <row r="232900" s="12" customFormat="1" x14ac:dyDescent="0.25"/>
    <row r="232901" s="12" customFormat="1" x14ac:dyDescent="0.25"/>
    <row r="232902" s="12" customFormat="1" x14ac:dyDescent="0.25"/>
    <row r="232903" s="12" customFormat="1" x14ac:dyDescent="0.25"/>
    <row r="232904" s="12" customFormat="1" x14ac:dyDescent="0.25"/>
    <row r="232905" s="12" customFormat="1" x14ac:dyDescent="0.25"/>
    <row r="232906" s="12" customFormat="1" x14ac:dyDescent="0.25"/>
    <row r="232907" s="12" customFormat="1" x14ac:dyDescent="0.25"/>
    <row r="232908" s="12" customFormat="1" x14ac:dyDescent="0.25"/>
    <row r="232909" s="12" customFormat="1" x14ac:dyDescent="0.25"/>
    <row r="232910" s="12" customFormat="1" x14ac:dyDescent="0.25"/>
    <row r="232911" s="12" customFormat="1" x14ac:dyDescent="0.25"/>
    <row r="232912" s="12" customFormat="1" x14ac:dyDescent="0.25"/>
    <row r="232913" s="12" customFormat="1" x14ac:dyDescent="0.25"/>
    <row r="232914" s="12" customFormat="1" x14ac:dyDescent="0.25"/>
    <row r="232915" s="12" customFormat="1" x14ac:dyDescent="0.25"/>
    <row r="232916" s="12" customFormat="1" x14ac:dyDescent="0.25"/>
    <row r="232917" s="12" customFormat="1" x14ac:dyDescent="0.25"/>
    <row r="232918" s="12" customFormat="1" x14ac:dyDescent="0.25"/>
    <row r="232919" s="12" customFormat="1" x14ac:dyDescent="0.25"/>
    <row r="232920" s="12" customFormat="1" x14ac:dyDescent="0.25"/>
    <row r="232921" s="12" customFormat="1" x14ac:dyDescent="0.25"/>
    <row r="232922" s="12" customFormat="1" x14ac:dyDescent="0.25"/>
    <row r="232923" s="12" customFormat="1" x14ac:dyDescent="0.25"/>
    <row r="232924" s="12" customFormat="1" x14ac:dyDescent="0.25"/>
    <row r="232925" s="12" customFormat="1" x14ac:dyDescent="0.25"/>
    <row r="232926" s="12" customFormat="1" x14ac:dyDescent="0.25"/>
    <row r="232927" s="12" customFormat="1" x14ac:dyDescent="0.25"/>
    <row r="232928" s="12" customFormat="1" x14ac:dyDescent="0.25"/>
    <row r="232929" s="12" customFormat="1" x14ac:dyDescent="0.25"/>
    <row r="232930" s="12" customFormat="1" x14ac:dyDescent="0.25"/>
    <row r="232931" s="12" customFormat="1" x14ac:dyDescent="0.25"/>
    <row r="232932" s="12" customFormat="1" x14ac:dyDescent="0.25"/>
    <row r="232933" s="12" customFormat="1" x14ac:dyDescent="0.25"/>
    <row r="232934" s="12" customFormat="1" x14ac:dyDescent="0.25"/>
    <row r="232935" s="12" customFormat="1" x14ac:dyDescent="0.25"/>
    <row r="232936" s="12" customFormat="1" x14ac:dyDescent="0.25"/>
    <row r="232937" s="12" customFormat="1" x14ac:dyDescent="0.25"/>
    <row r="232938" s="12" customFormat="1" x14ac:dyDescent="0.25"/>
    <row r="232939" s="12" customFormat="1" x14ac:dyDescent="0.25"/>
    <row r="232940" s="12" customFormat="1" x14ac:dyDescent="0.25"/>
    <row r="232941" s="12" customFormat="1" x14ac:dyDescent="0.25"/>
    <row r="232942" s="12" customFormat="1" x14ac:dyDescent="0.25"/>
    <row r="232943" s="12" customFormat="1" x14ac:dyDescent="0.25"/>
    <row r="232944" s="12" customFormat="1" x14ac:dyDescent="0.25"/>
    <row r="232945" s="12" customFormat="1" x14ac:dyDescent="0.25"/>
    <row r="232946" s="12" customFormat="1" x14ac:dyDescent="0.25"/>
    <row r="232947" s="12" customFormat="1" x14ac:dyDescent="0.25"/>
    <row r="232948" s="12" customFormat="1" x14ac:dyDescent="0.25"/>
    <row r="232949" s="12" customFormat="1" x14ac:dyDescent="0.25"/>
    <row r="232950" s="12" customFormat="1" x14ac:dyDescent="0.25"/>
    <row r="232951" s="12" customFormat="1" x14ac:dyDescent="0.25"/>
    <row r="232952" s="12" customFormat="1" x14ac:dyDescent="0.25"/>
    <row r="232953" s="12" customFormat="1" x14ac:dyDescent="0.25"/>
    <row r="232954" s="12" customFormat="1" x14ac:dyDescent="0.25"/>
    <row r="232955" s="12" customFormat="1" x14ac:dyDescent="0.25"/>
    <row r="232956" s="12" customFormat="1" x14ac:dyDescent="0.25"/>
    <row r="232957" s="12" customFormat="1" x14ac:dyDescent="0.25"/>
    <row r="232958" s="12" customFormat="1" x14ac:dyDescent="0.25"/>
    <row r="232959" s="12" customFormat="1" x14ac:dyDescent="0.25"/>
    <row r="232960" s="12" customFormat="1" x14ac:dyDescent="0.25"/>
    <row r="232961" s="12" customFormat="1" x14ac:dyDescent="0.25"/>
    <row r="232962" s="12" customFormat="1" x14ac:dyDescent="0.25"/>
    <row r="232963" s="12" customFormat="1" x14ac:dyDescent="0.25"/>
    <row r="232964" s="12" customFormat="1" x14ac:dyDescent="0.25"/>
    <row r="232965" s="12" customFormat="1" x14ac:dyDescent="0.25"/>
    <row r="232966" s="12" customFormat="1" x14ac:dyDescent="0.25"/>
    <row r="232967" s="12" customFormat="1" x14ac:dyDescent="0.25"/>
    <row r="232968" s="12" customFormat="1" x14ac:dyDescent="0.25"/>
    <row r="232969" s="12" customFormat="1" x14ac:dyDescent="0.25"/>
    <row r="232970" s="12" customFormat="1" x14ac:dyDescent="0.25"/>
    <row r="232971" s="12" customFormat="1" x14ac:dyDescent="0.25"/>
    <row r="232972" s="12" customFormat="1" x14ac:dyDescent="0.25"/>
    <row r="232973" s="12" customFormat="1" x14ac:dyDescent="0.25"/>
    <row r="232974" s="12" customFormat="1" x14ac:dyDescent="0.25"/>
    <row r="232975" s="12" customFormat="1" x14ac:dyDescent="0.25"/>
    <row r="232976" s="12" customFormat="1" x14ac:dyDescent="0.25"/>
    <row r="232977" s="12" customFormat="1" x14ac:dyDescent="0.25"/>
    <row r="232978" s="12" customFormat="1" x14ac:dyDescent="0.25"/>
    <row r="232979" s="12" customFormat="1" x14ac:dyDescent="0.25"/>
    <row r="232980" s="12" customFormat="1" x14ac:dyDescent="0.25"/>
    <row r="232981" s="12" customFormat="1" x14ac:dyDescent="0.25"/>
    <row r="232982" s="12" customFormat="1" x14ac:dyDescent="0.25"/>
    <row r="232983" s="12" customFormat="1" x14ac:dyDescent="0.25"/>
    <row r="232984" s="12" customFormat="1" x14ac:dyDescent="0.25"/>
    <row r="232985" s="12" customFormat="1" x14ac:dyDescent="0.25"/>
    <row r="232986" s="12" customFormat="1" x14ac:dyDescent="0.25"/>
    <row r="232987" s="12" customFormat="1" x14ac:dyDescent="0.25"/>
    <row r="232988" s="12" customFormat="1" x14ac:dyDescent="0.25"/>
    <row r="232989" s="12" customFormat="1" x14ac:dyDescent="0.25"/>
    <row r="232990" s="12" customFormat="1" x14ac:dyDescent="0.25"/>
    <row r="232991" s="12" customFormat="1" x14ac:dyDescent="0.25"/>
    <row r="232992" s="12" customFormat="1" x14ac:dyDescent="0.25"/>
    <row r="232993" s="12" customFormat="1" x14ac:dyDescent="0.25"/>
    <row r="232994" s="12" customFormat="1" x14ac:dyDescent="0.25"/>
    <row r="232995" s="12" customFormat="1" x14ac:dyDescent="0.25"/>
    <row r="232996" s="12" customFormat="1" x14ac:dyDescent="0.25"/>
    <row r="232997" s="12" customFormat="1" x14ac:dyDescent="0.25"/>
    <row r="232998" s="12" customFormat="1" x14ac:dyDescent="0.25"/>
    <row r="232999" s="12" customFormat="1" x14ac:dyDescent="0.25"/>
    <row r="233000" s="12" customFormat="1" x14ac:dyDescent="0.25"/>
    <row r="233001" s="12" customFormat="1" x14ac:dyDescent="0.25"/>
    <row r="233002" s="12" customFormat="1" x14ac:dyDescent="0.25"/>
    <row r="233003" s="12" customFormat="1" x14ac:dyDescent="0.25"/>
    <row r="233004" s="12" customFormat="1" x14ac:dyDescent="0.25"/>
    <row r="233005" s="12" customFormat="1" x14ac:dyDescent="0.25"/>
    <row r="233006" s="12" customFormat="1" x14ac:dyDescent="0.25"/>
    <row r="233007" s="12" customFormat="1" x14ac:dyDescent="0.25"/>
    <row r="233008" s="12" customFormat="1" x14ac:dyDescent="0.25"/>
    <row r="233009" s="12" customFormat="1" x14ac:dyDescent="0.25"/>
    <row r="233010" s="12" customFormat="1" x14ac:dyDescent="0.25"/>
    <row r="233011" s="12" customFormat="1" x14ac:dyDescent="0.25"/>
    <row r="233012" s="12" customFormat="1" x14ac:dyDescent="0.25"/>
    <row r="233013" s="12" customFormat="1" x14ac:dyDescent="0.25"/>
    <row r="233014" s="12" customFormat="1" x14ac:dyDescent="0.25"/>
    <row r="233015" s="12" customFormat="1" x14ac:dyDescent="0.25"/>
    <row r="233016" s="12" customFormat="1" x14ac:dyDescent="0.25"/>
    <row r="233017" s="12" customFormat="1" x14ac:dyDescent="0.25"/>
    <row r="233018" s="12" customFormat="1" x14ac:dyDescent="0.25"/>
    <row r="233019" s="12" customFormat="1" x14ac:dyDescent="0.25"/>
    <row r="233020" s="12" customFormat="1" x14ac:dyDescent="0.25"/>
    <row r="233021" s="12" customFormat="1" x14ac:dyDescent="0.25"/>
    <row r="233022" s="12" customFormat="1" x14ac:dyDescent="0.25"/>
    <row r="233023" s="12" customFormat="1" x14ac:dyDescent="0.25"/>
    <row r="233024" s="12" customFormat="1" x14ac:dyDescent="0.25"/>
    <row r="233025" s="12" customFormat="1" x14ac:dyDescent="0.25"/>
    <row r="233026" s="12" customFormat="1" x14ac:dyDescent="0.25"/>
    <row r="233027" s="12" customFormat="1" x14ac:dyDescent="0.25"/>
    <row r="233028" s="12" customFormat="1" x14ac:dyDescent="0.25"/>
    <row r="233029" s="12" customFormat="1" x14ac:dyDescent="0.25"/>
    <row r="233030" s="12" customFormat="1" x14ac:dyDescent="0.25"/>
    <row r="233031" s="12" customFormat="1" x14ac:dyDescent="0.25"/>
    <row r="233032" s="12" customFormat="1" x14ac:dyDescent="0.25"/>
    <row r="233033" s="12" customFormat="1" x14ac:dyDescent="0.25"/>
    <row r="233034" s="12" customFormat="1" x14ac:dyDescent="0.25"/>
    <row r="233035" s="12" customFormat="1" x14ac:dyDescent="0.25"/>
    <row r="233036" s="12" customFormat="1" x14ac:dyDescent="0.25"/>
    <row r="233037" s="12" customFormat="1" x14ac:dyDescent="0.25"/>
    <row r="233038" s="12" customFormat="1" x14ac:dyDescent="0.25"/>
    <row r="233039" s="12" customFormat="1" x14ac:dyDescent="0.25"/>
    <row r="233040" s="12" customFormat="1" x14ac:dyDescent="0.25"/>
    <row r="233041" s="12" customFormat="1" x14ac:dyDescent="0.25"/>
    <row r="233042" s="12" customFormat="1" x14ac:dyDescent="0.25"/>
    <row r="233043" s="12" customFormat="1" x14ac:dyDescent="0.25"/>
    <row r="233044" s="12" customFormat="1" x14ac:dyDescent="0.25"/>
    <row r="233045" s="12" customFormat="1" x14ac:dyDescent="0.25"/>
    <row r="233046" s="12" customFormat="1" x14ac:dyDescent="0.25"/>
    <row r="233047" s="12" customFormat="1" x14ac:dyDescent="0.25"/>
    <row r="233048" s="12" customFormat="1" x14ac:dyDescent="0.25"/>
    <row r="233049" s="12" customFormat="1" x14ac:dyDescent="0.25"/>
    <row r="233050" s="12" customFormat="1" x14ac:dyDescent="0.25"/>
    <row r="233051" s="12" customFormat="1" x14ac:dyDescent="0.25"/>
    <row r="233052" s="12" customFormat="1" x14ac:dyDescent="0.25"/>
    <row r="233053" s="12" customFormat="1" x14ac:dyDescent="0.25"/>
    <row r="233054" s="12" customFormat="1" x14ac:dyDescent="0.25"/>
    <row r="233055" s="12" customFormat="1" x14ac:dyDescent="0.25"/>
    <row r="233056" s="12" customFormat="1" x14ac:dyDescent="0.25"/>
    <row r="233057" s="12" customFormat="1" x14ac:dyDescent="0.25"/>
    <row r="233058" s="12" customFormat="1" x14ac:dyDescent="0.25"/>
    <row r="233059" s="12" customFormat="1" x14ac:dyDescent="0.25"/>
    <row r="233060" s="12" customFormat="1" x14ac:dyDescent="0.25"/>
    <row r="233061" s="12" customFormat="1" x14ac:dyDescent="0.25"/>
    <row r="233062" s="12" customFormat="1" x14ac:dyDescent="0.25"/>
    <row r="233063" s="12" customFormat="1" x14ac:dyDescent="0.25"/>
    <row r="233064" s="12" customFormat="1" x14ac:dyDescent="0.25"/>
    <row r="233065" s="12" customFormat="1" x14ac:dyDescent="0.25"/>
    <row r="233066" s="12" customFormat="1" x14ac:dyDescent="0.25"/>
    <row r="233067" s="12" customFormat="1" x14ac:dyDescent="0.25"/>
    <row r="233068" s="12" customFormat="1" x14ac:dyDescent="0.25"/>
    <row r="233069" s="12" customFormat="1" x14ac:dyDescent="0.25"/>
    <row r="233070" s="12" customFormat="1" x14ac:dyDescent="0.25"/>
    <row r="233071" s="12" customFormat="1" x14ac:dyDescent="0.25"/>
    <row r="233072" s="12" customFormat="1" x14ac:dyDescent="0.25"/>
    <row r="233073" s="12" customFormat="1" x14ac:dyDescent="0.25"/>
    <row r="233074" s="12" customFormat="1" x14ac:dyDescent="0.25"/>
    <row r="233075" s="12" customFormat="1" x14ac:dyDescent="0.25"/>
    <row r="233076" s="12" customFormat="1" x14ac:dyDescent="0.25"/>
    <row r="233077" s="12" customFormat="1" x14ac:dyDescent="0.25"/>
    <row r="233078" s="12" customFormat="1" x14ac:dyDescent="0.25"/>
    <row r="233079" s="12" customFormat="1" x14ac:dyDescent="0.25"/>
    <row r="233080" s="12" customFormat="1" x14ac:dyDescent="0.25"/>
    <row r="233081" s="12" customFormat="1" x14ac:dyDescent="0.25"/>
    <row r="233082" s="12" customFormat="1" x14ac:dyDescent="0.25"/>
    <row r="233083" s="12" customFormat="1" x14ac:dyDescent="0.25"/>
    <row r="233084" s="12" customFormat="1" x14ac:dyDescent="0.25"/>
    <row r="233085" s="12" customFormat="1" x14ac:dyDescent="0.25"/>
    <row r="233086" s="12" customFormat="1" x14ac:dyDescent="0.25"/>
    <row r="233087" s="12" customFormat="1" x14ac:dyDescent="0.25"/>
    <row r="233088" s="12" customFormat="1" x14ac:dyDescent="0.25"/>
    <row r="233089" s="12" customFormat="1" x14ac:dyDescent="0.25"/>
    <row r="233090" s="12" customFormat="1" x14ac:dyDescent="0.25"/>
    <row r="233091" s="12" customFormat="1" x14ac:dyDescent="0.25"/>
    <row r="233092" s="12" customFormat="1" x14ac:dyDescent="0.25"/>
    <row r="233093" s="12" customFormat="1" x14ac:dyDescent="0.25"/>
    <row r="233094" s="12" customFormat="1" x14ac:dyDescent="0.25"/>
    <row r="233095" s="12" customFormat="1" x14ac:dyDescent="0.25"/>
    <row r="233096" s="12" customFormat="1" x14ac:dyDescent="0.25"/>
    <row r="233097" s="12" customFormat="1" x14ac:dyDescent="0.25"/>
    <row r="233098" s="12" customFormat="1" x14ac:dyDescent="0.25"/>
    <row r="233099" s="12" customFormat="1" x14ac:dyDescent="0.25"/>
    <row r="233100" s="12" customFormat="1" x14ac:dyDescent="0.25"/>
    <row r="233101" s="12" customFormat="1" x14ac:dyDescent="0.25"/>
    <row r="233102" s="12" customFormat="1" x14ac:dyDescent="0.25"/>
    <row r="233103" s="12" customFormat="1" x14ac:dyDescent="0.25"/>
    <row r="233104" s="12" customFormat="1" x14ac:dyDescent="0.25"/>
    <row r="233105" s="12" customFormat="1" x14ac:dyDescent="0.25"/>
    <row r="233106" s="12" customFormat="1" x14ac:dyDescent="0.25"/>
    <row r="233107" s="12" customFormat="1" x14ac:dyDescent="0.25"/>
    <row r="233108" s="12" customFormat="1" x14ac:dyDescent="0.25"/>
    <row r="233109" s="12" customFormat="1" x14ac:dyDescent="0.25"/>
    <row r="233110" s="12" customFormat="1" x14ac:dyDescent="0.25"/>
    <row r="233111" s="12" customFormat="1" x14ac:dyDescent="0.25"/>
    <row r="233112" s="12" customFormat="1" x14ac:dyDescent="0.25"/>
    <row r="233113" s="12" customFormat="1" x14ac:dyDescent="0.25"/>
    <row r="233114" s="12" customFormat="1" x14ac:dyDescent="0.25"/>
    <row r="233115" s="12" customFormat="1" x14ac:dyDescent="0.25"/>
    <row r="233116" s="12" customFormat="1" x14ac:dyDescent="0.25"/>
    <row r="233117" s="12" customFormat="1" x14ac:dyDescent="0.25"/>
    <row r="233118" s="12" customFormat="1" x14ac:dyDescent="0.25"/>
    <row r="233119" s="12" customFormat="1" x14ac:dyDescent="0.25"/>
    <row r="233120" s="12" customFormat="1" x14ac:dyDescent="0.25"/>
    <row r="233121" s="12" customFormat="1" x14ac:dyDescent="0.25"/>
    <row r="233122" s="12" customFormat="1" x14ac:dyDescent="0.25"/>
    <row r="233123" s="12" customFormat="1" x14ac:dyDescent="0.25"/>
    <row r="233124" s="12" customFormat="1" x14ac:dyDescent="0.25"/>
    <row r="233125" s="12" customFormat="1" x14ac:dyDescent="0.25"/>
    <row r="233126" s="12" customFormat="1" x14ac:dyDescent="0.25"/>
    <row r="233127" s="12" customFormat="1" x14ac:dyDescent="0.25"/>
    <row r="233128" s="12" customFormat="1" x14ac:dyDescent="0.25"/>
    <row r="233129" s="12" customFormat="1" x14ac:dyDescent="0.25"/>
    <row r="233130" s="12" customFormat="1" x14ac:dyDescent="0.25"/>
    <row r="233131" s="12" customFormat="1" x14ac:dyDescent="0.25"/>
    <row r="233132" s="12" customFormat="1" x14ac:dyDescent="0.25"/>
    <row r="233133" s="12" customFormat="1" x14ac:dyDescent="0.25"/>
    <row r="233134" s="12" customFormat="1" x14ac:dyDescent="0.25"/>
    <row r="233135" s="12" customFormat="1" x14ac:dyDescent="0.25"/>
    <row r="233136" s="12" customFormat="1" x14ac:dyDescent="0.25"/>
    <row r="233137" s="12" customFormat="1" x14ac:dyDescent="0.25"/>
    <row r="233138" s="12" customFormat="1" x14ac:dyDescent="0.25"/>
    <row r="233139" s="12" customFormat="1" x14ac:dyDescent="0.25"/>
    <row r="233140" s="12" customFormat="1" x14ac:dyDescent="0.25"/>
    <row r="233141" s="12" customFormat="1" x14ac:dyDescent="0.25"/>
    <row r="233142" s="12" customFormat="1" x14ac:dyDescent="0.25"/>
    <row r="233143" s="12" customFormat="1" x14ac:dyDescent="0.25"/>
    <row r="233144" s="12" customFormat="1" x14ac:dyDescent="0.25"/>
    <row r="233145" s="12" customFormat="1" x14ac:dyDescent="0.25"/>
    <row r="233146" s="12" customFormat="1" x14ac:dyDescent="0.25"/>
    <row r="233147" s="12" customFormat="1" x14ac:dyDescent="0.25"/>
    <row r="233148" s="12" customFormat="1" x14ac:dyDescent="0.25"/>
    <row r="233149" s="12" customFormat="1" x14ac:dyDescent="0.25"/>
    <row r="233150" s="12" customFormat="1" x14ac:dyDescent="0.25"/>
    <row r="233151" s="12" customFormat="1" x14ac:dyDescent="0.25"/>
    <row r="233152" s="12" customFormat="1" x14ac:dyDescent="0.25"/>
    <row r="233153" s="12" customFormat="1" x14ac:dyDescent="0.25"/>
    <row r="233154" s="12" customFormat="1" x14ac:dyDescent="0.25"/>
    <row r="233155" s="12" customFormat="1" x14ac:dyDescent="0.25"/>
    <row r="233156" s="12" customFormat="1" x14ac:dyDescent="0.25"/>
    <row r="233157" s="12" customFormat="1" x14ac:dyDescent="0.25"/>
    <row r="233158" s="12" customFormat="1" x14ac:dyDescent="0.25"/>
    <row r="233159" s="12" customFormat="1" x14ac:dyDescent="0.25"/>
    <row r="233160" s="12" customFormat="1" x14ac:dyDescent="0.25"/>
    <row r="233161" s="12" customFormat="1" x14ac:dyDescent="0.25"/>
    <row r="233162" s="12" customFormat="1" x14ac:dyDescent="0.25"/>
    <row r="233163" s="12" customFormat="1" x14ac:dyDescent="0.25"/>
    <row r="233164" s="12" customFormat="1" x14ac:dyDescent="0.25"/>
    <row r="233165" s="12" customFormat="1" x14ac:dyDescent="0.25"/>
    <row r="233166" s="12" customFormat="1" x14ac:dyDescent="0.25"/>
    <row r="233167" s="12" customFormat="1" x14ac:dyDescent="0.25"/>
    <row r="233168" s="12" customFormat="1" x14ac:dyDescent="0.25"/>
    <row r="233169" s="12" customFormat="1" x14ac:dyDescent="0.25"/>
    <row r="233170" s="12" customFormat="1" x14ac:dyDescent="0.25"/>
    <row r="233171" s="12" customFormat="1" x14ac:dyDescent="0.25"/>
    <row r="233172" s="12" customFormat="1" x14ac:dyDescent="0.25"/>
    <row r="233173" s="12" customFormat="1" x14ac:dyDescent="0.25"/>
    <row r="233174" s="12" customFormat="1" x14ac:dyDescent="0.25"/>
    <row r="233175" s="12" customFormat="1" x14ac:dyDescent="0.25"/>
    <row r="233176" s="12" customFormat="1" x14ac:dyDescent="0.25"/>
    <row r="233177" s="12" customFormat="1" x14ac:dyDescent="0.25"/>
    <row r="233178" s="12" customFormat="1" x14ac:dyDescent="0.25"/>
    <row r="233179" s="12" customFormat="1" x14ac:dyDescent="0.25"/>
    <row r="233180" s="12" customFormat="1" x14ac:dyDescent="0.25"/>
    <row r="233181" s="12" customFormat="1" x14ac:dyDescent="0.25"/>
    <row r="233182" s="12" customFormat="1" x14ac:dyDescent="0.25"/>
    <row r="233183" s="12" customFormat="1" x14ac:dyDescent="0.25"/>
    <row r="233184" s="12" customFormat="1" x14ac:dyDescent="0.25"/>
    <row r="233185" s="12" customFormat="1" x14ac:dyDescent="0.25"/>
    <row r="233186" s="12" customFormat="1" x14ac:dyDescent="0.25"/>
    <row r="233187" s="12" customFormat="1" x14ac:dyDescent="0.25"/>
    <row r="233188" s="12" customFormat="1" x14ac:dyDescent="0.25"/>
    <row r="233189" s="12" customFormat="1" x14ac:dyDescent="0.25"/>
    <row r="233190" s="12" customFormat="1" x14ac:dyDescent="0.25"/>
    <row r="233191" s="12" customFormat="1" x14ac:dyDescent="0.25"/>
    <row r="233192" s="12" customFormat="1" x14ac:dyDescent="0.25"/>
    <row r="233193" s="12" customFormat="1" x14ac:dyDescent="0.25"/>
    <row r="233194" s="12" customFormat="1" x14ac:dyDescent="0.25"/>
    <row r="233195" s="12" customFormat="1" x14ac:dyDescent="0.25"/>
    <row r="233196" s="12" customFormat="1" x14ac:dyDescent="0.25"/>
    <row r="233197" s="12" customFormat="1" x14ac:dyDescent="0.25"/>
    <row r="233198" s="12" customFormat="1" x14ac:dyDescent="0.25"/>
    <row r="233199" s="12" customFormat="1" x14ac:dyDescent="0.25"/>
    <row r="233200" s="12" customFormat="1" x14ac:dyDescent="0.25"/>
    <row r="233201" s="12" customFormat="1" x14ac:dyDescent="0.25"/>
    <row r="233202" s="12" customFormat="1" x14ac:dyDescent="0.25"/>
    <row r="233203" s="12" customFormat="1" x14ac:dyDescent="0.25"/>
    <row r="233204" s="12" customFormat="1" x14ac:dyDescent="0.25"/>
    <row r="233205" s="12" customFormat="1" x14ac:dyDescent="0.25"/>
    <row r="233206" s="12" customFormat="1" x14ac:dyDescent="0.25"/>
    <row r="233207" s="12" customFormat="1" x14ac:dyDescent="0.25"/>
    <row r="233208" s="12" customFormat="1" x14ac:dyDescent="0.25"/>
    <row r="233209" s="12" customFormat="1" x14ac:dyDescent="0.25"/>
    <row r="233210" s="12" customFormat="1" x14ac:dyDescent="0.25"/>
    <row r="233211" s="12" customFormat="1" x14ac:dyDescent="0.25"/>
    <row r="233212" s="12" customFormat="1" x14ac:dyDescent="0.25"/>
    <row r="233213" s="12" customFormat="1" x14ac:dyDescent="0.25"/>
    <row r="233214" s="12" customFormat="1" x14ac:dyDescent="0.25"/>
    <row r="233215" s="12" customFormat="1" x14ac:dyDescent="0.25"/>
    <row r="233216" s="12" customFormat="1" x14ac:dyDescent="0.25"/>
    <row r="233217" s="12" customFormat="1" x14ac:dyDescent="0.25"/>
    <row r="233218" s="12" customFormat="1" x14ac:dyDescent="0.25"/>
    <row r="233219" s="12" customFormat="1" x14ac:dyDescent="0.25"/>
    <row r="233220" s="12" customFormat="1" x14ac:dyDescent="0.25"/>
    <row r="233221" s="12" customFormat="1" x14ac:dyDescent="0.25"/>
    <row r="233222" s="12" customFormat="1" x14ac:dyDescent="0.25"/>
    <row r="233223" s="12" customFormat="1" x14ac:dyDescent="0.25"/>
    <row r="233224" s="12" customFormat="1" x14ac:dyDescent="0.25"/>
    <row r="233225" s="12" customFormat="1" x14ac:dyDescent="0.25"/>
    <row r="233226" s="12" customFormat="1" x14ac:dyDescent="0.25"/>
    <row r="233227" s="12" customFormat="1" x14ac:dyDescent="0.25"/>
    <row r="233228" s="12" customFormat="1" x14ac:dyDescent="0.25"/>
    <row r="233229" s="12" customFormat="1" x14ac:dyDescent="0.25"/>
    <row r="233230" s="12" customFormat="1" x14ac:dyDescent="0.25"/>
    <row r="233231" s="12" customFormat="1" x14ac:dyDescent="0.25"/>
    <row r="233232" s="12" customFormat="1" x14ac:dyDescent="0.25"/>
    <row r="233233" s="12" customFormat="1" x14ac:dyDescent="0.25"/>
    <row r="233234" s="12" customFormat="1" x14ac:dyDescent="0.25"/>
    <row r="233235" s="12" customFormat="1" x14ac:dyDescent="0.25"/>
    <row r="233236" s="12" customFormat="1" x14ac:dyDescent="0.25"/>
    <row r="233237" s="12" customFormat="1" x14ac:dyDescent="0.25"/>
    <row r="233238" s="12" customFormat="1" x14ac:dyDescent="0.25"/>
    <row r="233239" s="12" customFormat="1" x14ac:dyDescent="0.25"/>
    <row r="233240" s="12" customFormat="1" x14ac:dyDescent="0.25"/>
    <row r="233241" s="12" customFormat="1" x14ac:dyDescent="0.25"/>
    <row r="233242" s="12" customFormat="1" x14ac:dyDescent="0.25"/>
    <row r="233243" s="12" customFormat="1" x14ac:dyDescent="0.25"/>
    <row r="233244" s="12" customFormat="1" x14ac:dyDescent="0.25"/>
    <row r="233245" s="12" customFormat="1" x14ac:dyDescent="0.25"/>
    <row r="233246" s="12" customFormat="1" x14ac:dyDescent="0.25"/>
    <row r="233247" s="12" customFormat="1" x14ac:dyDescent="0.25"/>
    <row r="233248" s="12" customFormat="1" x14ac:dyDescent="0.25"/>
    <row r="233249" s="12" customFormat="1" x14ac:dyDescent="0.25"/>
    <row r="233250" s="12" customFormat="1" x14ac:dyDescent="0.25"/>
    <row r="233251" s="12" customFormat="1" x14ac:dyDescent="0.25"/>
    <row r="233252" s="12" customFormat="1" x14ac:dyDescent="0.25"/>
    <row r="233253" s="12" customFormat="1" x14ac:dyDescent="0.25"/>
    <row r="233254" s="12" customFormat="1" x14ac:dyDescent="0.25"/>
    <row r="233255" s="12" customFormat="1" x14ac:dyDescent="0.25"/>
    <row r="233256" s="12" customFormat="1" x14ac:dyDescent="0.25"/>
    <row r="233257" s="12" customFormat="1" x14ac:dyDescent="0.25"/>
    <row r="233258" s="12" customFormat="1" x14ac:dyDescent="0.25"/>
    <row r="233259" s="12" customFormat="1" x14ac:dyDescent="0.25"/>
    <row r="233260" s="12" customFormat="1" x14ac:dyDescent="0.25"/>
    <row r="233261" s="12" customFormat="1" x14ac:dyDescent="0.25"/>
    <row r="233262" s="12" customFormat="1" x14ac:dyDescent="0.25"/>
    <row r="233263" s="12" customFormat="1" x14ac:dyDescent="0.25"/>
    <row r="233264" s="12" customFormat="1" x14ac:dyDescent="0.25"/>
    <row r="233265" s="12" customFormat="1" x14ac:dyDescent="0.25"/>
    <row r="233266" s="12" customFormat="1" x14ac:dyDescent="0.25"/>
    <row r="233267" s="12" customFormat="1" x14ac:dyDescent="0.25"/>
    <row r="233268" s="12" customFormat="1" x14ac:dyDescent="0.25"/>
    <row r="233269" s="12" customFormat="1" x14ac:dyDescent="0.25"/>
    <row r="233270" s="12" customFormat="1" x14ac:dyDescent="0.25"/>
    <row r="233271" s="12" customFormat="1" x14ac:dyDescent="0.25"/>
    <row r="233272" s="12" customFormat="1" x14ac:dyDescent="0.25"/>
    <row r="233273" s="12" customFormat="1" x14ac:dyDescent="0.25"/>
    <row r="233274" s="12" customFormat="1" x14ac:dyDescent="0.25"/>
    <row r="233275" s="12" customFormat="1" x14ac:dyDescent="0.25"/>
    <row r="233276" s="12" customFormat="1" x14ac:dyDescent="0.25"/>
    <row r="233277" s="12" customFormat="1" x14ac:dyDescent="0.25"/>
    <row r="233278" s="12" customFormat="1" x14ac:dyDescent="0.25"/>
    <row r="233279" s="12" customFormat="1" x14ac:dyDescent="0.25"/>
    <row r="233280" s="12" customFormat="1" x14ac:dyDescent="0.25"/>
    <row r="233281" s="12" customFormat="1" x14ac:dyDescent="0.25"/>
    <row r="233282" s="12" customFormat="1" x14ac:dyDescent="0.25"/>
    <row r="233283" s="12" customFormat="1" x14ac:dyDescent="0.25"/>
    <row r="233284" s="12" customFormat="1" x14ac:dyDescent="0.25"/>
    <row r="233285" s="12" customFormat="1" x14ac:dyDescent="0.25"/>
    <row r="233286" s="12" customFormat="1" x14ac:dyDescent="0.25"/>
    <row r="233287" s="12" customFormat="1" x14ac:dyDescent="0.25"/>
    <row r="233288" s="12" customFormat="1" x14ac:dyDescent="0.25"/>
    <row r="233289" s="12" customFormat="1" x14ac:dyDescent="0.25"/>
    <row r="233290" s="12" customFormat="1" x14ac:dyDescent="0.25"/>
    <row r="233291" s="12" customFormat="1" x14ac:dyDescent="0.25"/>
    <row r="233292" s="12" customFormat="1" x14ac:dyDescent="0.25"/>
    <row r="233293" s="12" customFormat="1" x14ac:dyDescent="0.25"/>
    <row r="233294" s="12" customFormat="1" x14ac:dyDescent="0.25"/>
    <row r="233295" s="12" customFormat="1" x14ac:dyDescent="0.25"/>
    <row r="233296" s="12" customFormat="1" x14ac:dyDescent="0.25"/>
    <row r="233297" s="12" customFormat="1" x14ac:dyDescent="0.25"/>
    <row r="233298" s="12" customFormat="1" x14ac:dyDescent="0.25"/>
    <row r="233299" s="12" customFormat="1" x14ac:dyDescent="0.25"/>
    <row r="233300" s="12" customFormat="1" x14ac:dyDescent="0.25"/>
    <row r="233301" s="12" customFormat="1" x14ac:dyDescent="0.25"/>
    <row r="233302" s="12" customFormat="1" x14ac:dyDescent="0.25"/>
    <row r="233303" s="12" customFormat="1" x14ac:dyDescent="0.25"/>
    <row r="233304" s="12" customFormat="1" x14ac:dyDescent="0.25"/>
    <row r="233305" s="12" customFormat="1" x14ac:dyDescent="0.25"/>
    <row r="233306" s="12" customFormat="1" x14ac:dyDescent="0.25"/>
    <row r="233307" s="12" customFormat="1" x14ac:dyDescent="0.25"/>
    <row r="233308" s="12" customFormat="1" x14ac:dyDescent="0.25"/>
    <row r="233309" s="12" customFormat="1" x14ac:dyDescent="0.25"/>
    <row r="233310" s="12" customFormat="1" x14ac:dyDescent="0.25"/>
    <row r="233311" s="12" customFormat="1" x14ac:dyDescent="0.25"/>
    <row r="233312" s="12" customFormat="1" x14ac:dyDescent="0.25"/>
    <row r="233313" s="12" customFormat="1" x14ac:dyDescent="0.25"/>
    <row r="233314" s="12" customFormat="1" x14ac:dyDescent="0.25"/>
    <row r="233315" s="12" customFormat="1" x14ac:dyDescent="0.25"/>
    <row r="233316" s="12" customFormat="1" x14ac:dyDescent="0.25"/>
    <row r="233317" s="12" customFormat="1" x14ac:dyDescent="0.25"/>
    <row r="233318" s="12" customFormat="1" x14ac:dyDescent="0.25"/>
    <row r="233319" s="12" customFormat="1" x14ac:dyDescent="0.25"/>
    <row r="233320" s="12" customFormat="1" x14ac:dyDescent="0.25"/>
    <row r="233321" s="12" customFormat="1" x14ac:dyDescent="0.25"/>
    <row r="233322" s="12" customFormat="1" x14ac:dyDescent="0.25"/>
    <row r="233323" s="12" customFormat="1" x14ac:dyDescent="0.25"/>
    <row r="233324" s="12" customFormat="1" x14ac:dyDescent="0.25"/>
    <row r="233325" s="12" customFormat="1" x14ac:dyDescent="0.25"/>
    <row r="233326" s="12" customFormat="1" x14ac:dyDescent="0.25"/>
    <row r="233327" s="12" customFormat="1" x14ac:dyDescent="0.25"/>
    <row r="233328" s="12" customFormat="1" x14ac:dyDescent="0.25"/>
    <row r="233329" s="12" customFormat="1" x14ac:dyDescent="0.25"/>
    <row r="233330" s="12" customFormat="1" x14ac:dyDescent="0.25"/>
    <row r="233331" s="12" customFormat="1" x14ac:dyDescent="0.25"/>
    <row r="233332" s="12" customFormat="1" x14ac:dyDescent="0.25"/>
    <row r="233333" s="12" customFormat="1" x14ac:dyDescent="0.25"/>
    <row r="233334" s="12" customFormat="1" x14ac:dyDescent="0.25"/>
    <row r="233335" s="12" customFormat="1" x14ac:dyDescent="0.25"/>
    <row r="233336" s="12" customFormat="1" x14ac:dyDescent="0.25"/>
    <row r="233337" s="12" customFormat="1" x14ac:dyDescent="0.25"/>
    <row r="233338" s="12" customFormat="1" x14ac:dyDescent="0.25"/>
    <row r="233339" s="12" customFormat="1" x14ac:dyDescent="0.25"/>
    <row r="233340" s="12" customFormat="1" x14ac:dyDescent="0.25"/>
    <row r="233341" s="12" customFormat="1" x14ac:dyDescent="0.25"/>
    <row r="233342" s="12" customFormat="1" x14ac:dyDescent="0.25"/>
    <row r="233343" s="12" customFormat="1" x14ac:dyDescent="0.25"/>
    <row r="233344" s="12" customFormat="1" x14ac:dyDescent="0.25"/>
    <row r="233345" s="12" customFormat="1" x14ac:dyDescent="0.25"/>
    <row r="233346" s="12" customFormat="1" x14ac:dyDescent="0.25"/>
    <row r="233347" s="12" customFormat="1" x14ac:dyDescent="0.25"/>
    <row r="233348" s="12" customFormat="1" x14ac:dyDescent="0.25"/>
    <row r="233349" s="12" customFormat="1" x14ac:dyDescent="0.25"/>
    <row r="233350" s="12" customFormat="1" x14ac:dyDescent="0.25"/>
    <row r="233351" s="12" customFormat="1" x14ac:dyDescent="0.25"/>
    <row r="233352" s="12" customFormat="1" x14ac:dyDescent="0.25"/>
    <row r="233353" s="12" customFormat="1" x14ac:dyDescent="0.25"/>
    <row r="233354" s="12" customFormat="1" x14ac:dyDescent="0.25"/>
    <row r="233355" s="12" customFormat="1" x14ac:dyDescent="0.25"/>
    <row r="233356" s="12" customFormat="1" x14ac:dyDescent="0.25"/>
    <row r="233357" s="12" customFormat="1" x14ac:dyDescent="0.25"/>
    <row r="233358" s="12" customFormat="1" x14ac:dyDescent="0.25"/>
    <row r="233359" s="12" customFormat="1" x14ac:dyDescent="0.25"/>
    <row r="233360" s="12" customFormat="1" x14ac:dyDescent="0.25"/>
    <row r="233361" s="12" customFormat="1" x14ac:dyDescent="0.25"/>
    <row r="233362" s="12" customFormat="1" x14ac:dyDescent="0.25"/>
    <row r="233363" s="12" customFormat="1" x14ac:dyDescent="0.25"/>
    <row r="233364" s="12" customFormat="1" x14ac:dyDescent="0.25"/>
    <row r="233365" s="12" customFormat="1" x14ac:dyDescent="0.25"/>
    <row r="233366" s="12" customFormat="1" x14ac:dyDescent="0.25"/>
    <row r="233367" s="12" customFormat="1" x14ac:dyDescent="0.25"/>
    <row r="233368" s="12" customFormat="1" x14ac:dyDescent="0.25"/>
    <row r="233369" s="12" customFormat="1" x14ac:dyDescent="0.25"/>
    <row r="233370" s="12" customFormat="1" x14ac:dyDescent="0.25"/>
    <row r="233371" s="12" customFormat="1" x14ac:dyDescent="0.25"/>
    <row r="233372" s="12" customFormat="1" x14ac:dyDescent="0.25"/>
    <row r="233373" s="12" customFormat="1" x14ac:dyDescent="0.25"/>
    <row r="233374" s="12" customFormat="1" x14ac:dyDescent="0.25"/>
    <row r="233375" s="12" customFormat="1" x14ac:dyDescent="0.25"/>
    <row r="233376" s="12" customFormat="1" x14ac:dyDescent="0.25"/>
    <row r="233377" s="12" customFormat="1" x14ac:dyDescent="0.25"/>
    <row r="233378" s="12" customFormat="1" x14ac:dyDescent="0.25"/>
    <row r="233379" s="12" customFormat="1" x14ac:dyDescent="0.25"/>
    <row r="233380" s="12" customFormat="1" x14ac:dyDescent="0.25"/>
    <row r="233381" s="12" customFormat="1" x14ac:dyDescent="0.25"/>
    <row r="233382" s="12" customFormat="1" x14ac:dyDescent="0.25"/>
    <row r="233383" s="12" customFormat="1" x14ac:dyDescent="0.25"/>
    <row r="233384" s="12" customFormat="1" x14ac:dyDescent="0.25"/>
    <row r="233385" s="12" customFormat="1" x14ac:dyDescent="0.25"/>
    <row r="233386" s="12" customFormat="1" x14ac:dyDescent="0.25"/>
    <row r="233387" s="12" customFormat="1" x14ac:dyDescent="0.25"/>
    <row r="233388" s="12" customFormat="1" x14ac:dyDescent="0.25"/>
    <row r="233389" s="12" customFormat="1" x14ac:dyDescent="0.25"/>
    <row r="233390" s="12" customFormat="1" x14ac:dyDescent="0.25"/>
    <row r="233391" s="12" customFormat="1" x14ac:dyDescent="0.25"/>
    <row r="233392" s="12" customFormat="1" x14ac:dyDescent="0.25"/>
    <row r="233393" s="12" customFormat="1" x14ac:dyDescent="0.25"/>
    <row r="233394" s="12" customFormat="1" x14ac:dyDescent="0.25"/>
    <row r="233395" s="12" customFormat="1" x14ac:dyDescent="0.25"/>
    <row r="233396" s="12" customFormat="1" x14ac:dyDescent="0.25"/>
    <row r="233397" s="12" customFormat="1" x14ac:dyDescent="0.25"/>
    <row r="233398" s="12" customFormat="1" x14ac:dyDescent="0.25"/>
    <row r="233399" s="12" customFormat="1" x14ac:dyDescent="0.25"/>
    <row r="233400" s="12" customFormat="1" x14ac:dyDescent="0.25"/>
    <row r="233401" s="12" customFormat="1" x14ac:dyDescent="0.25"/>
    <row r="233402" s="12" customFormat="1" x14ac:dyDescent="0.25"/>
    <row r="233403" s="12" customFormat="1" x14ac:dyDescent="0.25"/>
    <row r="233404" s="12" customFormat="1" x14ac:dyDescent="0.25"/>
    <row r="233405" s="12" customFormat="1" x14ac:dyDescent="0.25"/>
    <row r="233406" s="12" customFormat="1" x14ac:dyDescent="0.25"/>
    <row r="233407" s="12" customFormat="1" x14ac:dyDescent="0.25"/>
    <row r="233408" s="12" customFormat="1" x14ac:dyDescent="0.25"/>
    <row r="233409" s="12" customFormat="1" x14ac:dyDescent="0.25"/>
    <row r="233410" s="12" customFormat="1" x14ac:dyDescent="0.25"/>
    <row r="233411" s="12" customFormat="1" x14ac:dyDescent="0.25"/>
    <row r="233412" s="12" customFormat="1" x14ac:dyDescent="0.25"/>
    <row r="233413" s="12" customFormat="1" x14ac:dyDescent="0.25"/>
    <row r="233414" s="12" customFormat="1" x14ac:dyDescent="0.25"/>
    <row r="233415" s="12" customFormat="1" x14ac:dyDescent="0.25"/>
    <row r="233416" s="12" customFormat="1" x14ac:dyDescent="0.25"/>
    <row r="233417" s="12" customFormat="1" x14ac:dyDescent="0.25"/>
    <row r="233418" s="12" customFormat="1" x14ac:dyDescent="0.25"/>
    <row r="233419" s="12" customFormat="1" x14ac:dyDescent="0.25"/>
    <row r="233420" s="12" customFormat="1" x14ac:dyDescent="0.25"/>
    <row r="233421" s="12" customFormat="1" x14ac:dyDescent="0.25"/>
    <row r="233422" s="12" customFormat="1" x14ac:dyDescent="0.25"/>
    <row r="233423" s="12" customFormat="1" x14ac:dyDescent="0.25"/>
    <row r="233424" s="12" customFormat="1" x14ac:dyDescent="0.25"/>
    <row r="233425" s="12" customFormat="1" x14ac:dyDescent="0.25"/>
    <row r="233426" s="12" customFormat="1" x14ac:dyDescent="0.25"/>
    <row r="233427" s="12" customFormat="1" x14ac:dyDescent="0.25"/>
    <row r="233428" s="12" customFormat="1" x14ac:dyDescent="0.25"/>
    <row r="233429" s="12" customFormat="1" x14ac:dyDescent="0.25"/>
    <row r="233430" s="12" customFormat="1" x14ac:dyDescent="0.25"/>
    <row r="233431" s="12" customFormat="1" x14ac:dyDescent="0.25"/>
    <row r="233432" s="12" customFormat="1" x14ac:dyDescent="0.25"/>
    <row r="233433" s="12" customFormat="1" x14ac:dyDescent="0.25"/>
    <row r="233434" s="12" customFormat="1" x14ac:dyDescent="0.25"/>
    <row r="233435" s="12" customFormat="1" x14ac:dyDescent="0.25"/>
    <row r="233436" s="12" customFormat="1" x14ac:dyDescent="0.25"/>
    <row r="233437" s="12" customFormat="1" x14ac:dyDescent="0.25"/>
    <row r="233438" s="12" customFormat="1" x14ac:dyDescent="0.25"/>
    <row r="233439" s="12" customFormat="1" x14ac:dyDescent="0.25"/>
    <row r="233440" s="12" customFormat="1" x14ac:dyDescent="0.25"/>
    <row r="233441" s="12" customFormat="1" x14ac:dyDescent="0.25"/>
    <row r="233442" s="12" customFormat="1" x14ac:dyDescent="0.25"/>
    <row r="233443" s="12" customFormat="1" x14ac:dyDescent="0.25"/>
    <row r="233444" s="12" customFormat="1" x14ac:dyDescent="0.25"/>
    <row r="233445" s="12" customFormat="1" x14ac:dyDescent="0.25"/>
    <row r="233446" s="12" customFormat="1" x14ac:dyDescent="0.25"/>
    <row r="233447" s="12" customFormat="1" x14ac:dyDescent="0.25"/>
    <row r="233448" s="12" customFormat="1" x14ac:dyDescent="0.25"/>
    <row r="233449" s="12" customFormat="1" x14ac:dyDescent="0.25"/>
    <row r="233450" s="12" customFormat="1" x14ac:dyDescent="0.25"/>
    <row r="233451" s="12" customFormat="1" x14ac:dyDescent="0.25"/>
    <row r="233452" s="12" customFormat="1" x14ac:dyDescent="0.25"/>
    <row r="233453" s="12" customFormat="1" x14ac:dyDescent="0.25"/>
    <row r="233454" s="12" customFormat="1" x14ac:dyDescent="0.25"/>
    <row r="233455" s="12" customFormat="1" x14ac:dyDescent="0.25"/>
    <row r="233456" s="12" customFormat="1" x14ac:dyDescent="0.25"/>
    <row r="233457" s="12" customFormat="1" x14ac:dyDescent="0.25"/>
    <row r="233458" s="12" customFormat="1" x14ac:dyDescent="0.25"/>
    <row r="233459" s="12" customFormat="1" x14ac:dyDescent="0.25"/>
    <row r="233460" s="12" customFormat="1" x14ac:dyDescent="0.25"/>
    <row r="233461" s="12" customFormat="1" x14ac:dyDescent="0.25"/>
    <row r="233462" s="12" customFormat="1" x14ac:dyDescent="0.25"/>
    <row r="233463" s="12" customFormat="1" x14ac:dyDescent="0.25"/>
    <row r="233464" s="12" customFormat="1" x14ac:dyDescent="0.25"/>
    <row r="233465" s="12" customFormat="1" x14ac:dyDescent="0.25"/>
    <row r="233466" s="12" customFormat="1" x14ac:dyDescent="0.25"/>
    <row r="233467" s="12" customFormat="1" x14ac:dyDescent="0.25"/>
    <row r="233468" s="12" customFormat="1" x14ac:dyDescent="0.25"/>
    <row r="233469" s="12" customFormat="1" x14ac:dyDescent="0.25"/>
    <row r="233470" s="12" customFormat="1" x14ac:dyDescent="0.25"/>
    <row r="233471" s="12" customFormat="1" x14ac:dyDescent="0.25"/>
    <row r="233472" s="12" customFormat="1" x14ac:dyDescent="0.25"/>
    <row r="233473" s="12" customFormat="1" x14ac:dyDescent="0.25"/>
    <row r="233474" s="12" customFormat="1" x14ac:dyDescent="0.25"/>
    <row r="233475" s="12" customFormat="1" x14ac:dyDescent="0.25"/>
    <row r="233476" s="12" customFormat="1" x14ac:dyDescent="0.25"/>
    <row r="233477" s="12" customFormat="1" x14ac:dyDescent="0.25"/>
    <row r="233478" s="12" customFormat="1" x14ac:dyDescent="0.25"/>
    <row r="233479" s="12" customFormat="1" x14ac:dyDescent="0.25"/>
    <row r="233480" s="12" customFormat="1" x14ac:dyDescent="0.25"/>
    <row r="233481" s="12" customFormat="1" x14ac:dyDescent="0.25"/>
    <row r="233482" s="12" customFormat="1" x14ac:dyDescent="0.25"/>
    <row r="233483" s="12" customFormat="1" x14ac:dyDescent="0.25"/>
    <row r="233484" s="12" customFormat="1" x14ac:dyDescent="0.25"/>
    <row r="233485" s="12" customFormat="1" x14ac:dyDescent="0.25"/>
    <row r="233486" s="12" customFormat="1" x14ac:dyDescent="0.25"/>
    <row r="233487" s="12" customFormat="1" x14ac:dyDescent="0.25"/>
    <row r="233488" s="12" customFormat="1" x14ac:dyDescent="0.25"/>
    <row r="233489" s="12" customFormat="1" x14ac:dyDescent="0.25"/>
    <row r="233490" s="12" customFormat="1" x14ac:dyDescent="0.25"/>
    <row r="233491" s="12" customFormat="1" x14ac:dyDescent="0.25"/>
    <row r="233492" s="12" customFormat="1" x14ac:dyDescent="0.25"/>
    <row r="233493" s="12" customFormat="1" x14ac:dyDescent="0.25"/>
    <row r="233494" s="12" customFormat="1" x14ac:dyDescent="0.25"/>
    <row r="233495" s="12" customFormat="1" x14ac:dyDescent="0.25"/>
    <row r="233496" s="12" customFormat="1" x14ac:dyDescent="0.25"/>
    <row r="233497" s="12" customFormat="1" x14ac:dyDescent="0.25"/>
    <row r="233498" s="12" customFormat="1" x14ac:dyDescent="0.25"/>
    <row r="233499" s="12" customFormat="1" x14ac:dyDescent="0.25"/>
    <row r="233500" s="12" customFormat="1" x14ac:dyDescent="0.25"/>
    <row r="233501" s="12" customFormat="1" x14ac:dyDescent="0.25"/>
    <row r="233502" s="12" customFormat="1" x14ac:dyDescent="0.25"/>
    <row r="233503" s="12" customFormat="1" x14ac:dyDescent="0.25"/>
    <row r="233504" s="12" customFormat="1" x14ac:dyDescent="0.25"/>
    <row r="233505" s="12" customFormat="1" x14ac:dyDescent="0.25"/>
    <row r="233506" s="12" customFormat="1" x14ac:dyDescent="0.25"/>
    <row r="233507" s="12" customFormat="1" x14ac:dyDescent="0.25"/>
    <row r="233508" s="12" customFormat="1" x14ac:dyDescent="0.25"/>
    <row r="233509" s="12" customFormat="1" x14ac:dyDescent="0.25"/>
    <row r="233510" s="12" customFormat="1" x14ac:dyDescent="0.25"/>
    <row r="233511" s="12" customFormat="1" x14ac:dyDescent="0.25"/>
    <row r="233512" s="12" customFormat="1" x14ac:dyDescent="0.25"/>
    <row r="233513" s="12" customFormat="1" x14ac:dyDescent="0.25"/>
    <row r="233514" s="12" customFormat="1" x14ac:dyDescent="0.25"/>
    <row r="233515" s="12" customFormat="1" x14ac:dyDescent="0.25"/>
    <row r="233516" s="12" customFormat="1" x14ac:dyDescent="0.25"/>
    <row r="233517" s="12" customFormat="1" x14ac:dyDescent="0.25"/>
    <row r="233518" s="12" customFormat="1" x14ac:dyDescent="0.25"/>
    <row r="233519" s="12" customFormat="1" x14ac:dyDescent="0.25"/>
    <row r="233520" s="12" customFormat="1" x14ac:dyDescent="0.25"/>
    <row r="233521" s="12" customFormat="1" x14ac:dyDescent="0.25"/>
    <row r="233522" s="12" customFormat="1" x14ac:dyDescent="0.25"/>
    <row r="233523" s="12" customFormat="1" x14ac:dyDescent="0.25"/>
    <row r="233524" s="12" customFormat="1" x14ac:dyDescent="0.25"/>
    <row r="233525" s="12" customFormat="1" x14ac:dyDescent="0.25"/>
    <row r="233526" s="12" customFormat="1" x14ac:dyDescent="0.25"/>
    <row r="233527" s="12" customFormat="1" x14ac:dyDescent="0.25"/>
    <row r="233528" s="12" customFormat="1" x14ac:dyDescent="0.25"/>
    <row r="233529" s="12" customFormat="1" x14ac:dyDescent="0.25"/>
    <row r="233530" s="12" customFormat="1" x14ac:dyDescent="0.25"/>
    <row r="233531" s="12" customFormat="1" x14ac:dyDescent="0.25"/>
    <row r="233532" s="12" customFormat="1" x14ac:dyDescent="0.25"/>
    <row r="233533" s="12" customFormat="1" x14ac:dyDescent="0.25"/>
    <row r="233534" s="12" customFormat="1" x14ac:dyDescent="0.25"/>
    <row r="233535" s="12" customFormat="1" x14ac:dyDescent="0.25"/>
    <row r="233536" s="12" customFormat="1" x14ac:dyDescent="0.25"/>
    <row r="233537" s="12" customFormat="1" x14ac:dyDescent="0.25"/>
    <row r="233538" s="12" customFormat="1" x14ac:dyDescent="0.25"/>
    <row r="233539" s="12" customFormat="1" x14ac:dyDescent="0.25"/>
    <row r="233540" s="12" customFormat="1" x14ac:dyDescent="0.25"/>
    <row r="233541" s="12" customFormat="1" x14ac:dyDescent="0.25"/>
    <row r="233542" s="12" customFormat="1" x14ac:dyDescent="0.25"/>
    <row r="233543" s="12" customFormat="1" x14ac:dyDescent="0.25"/>
    <row r="233544" s="12" customFormat="1" x14ac:dyDescent="0.25"/>
    <row r="233545" s="12" customFormat="1" x14ac:dyDescent="0.25"/>
    <row r="233546" s="12" customFormat="1" x14ac:dyDescent="0.25"/>
    <row r="233547" s="12" customFormat="1" x14ac:dyDescent="0.25"/>
    <row r="233548" s="12" customFormat="1" x14ac:dyDescent="0.25"/>
    <row r="233549" s="12" customFormat="1" x14ac:dyDescent="0.25"/>
    <row r="233550" s="12" customFormat="1" x14ac:dyDescent="0.25"/>
    <row r="233551" s="12" customFormat="1" x14ac:dyDescent="0.25"/>
    <row r="233552" s="12" customFormat="1" x14ac:dyDescent="0.25"/>
    <row r="233553" s="12" customFormat="1" x14ac:dyDescent="0.25"/>
    <row r="233554" s="12" customFormat="1" x14ac:dyDescent="0.25"/>
    <row r="233555" s="12" customFormat="1" x14ac:dyDescent="0.25"/>
    <row r="233556" s="12" customFormat="1" x14ac:dyDescent="0.25"/>
    <row r="233557" s="12" customFormat="1" x14ac:dyDescent="0.25"/>
    <row r="233558" s="12" customFormat="1" x14ac:dyDescent="0.25"/>
    <row r="233559" s="12" customFormat="1" x14ac:dyDescent="0.25"/>
    <row r="233560" s="12" customFormat="1" x14ac:dyDescent="0.25"/>
    <row r="233561" s="12" customFormat="1" x14ac:dyDescent="0.25"/>
    <row r="233562" s="12" customFormat="1" x14ac:dyDescent="0.25"/>
    <row r="233563" s="12" customFormat="1" x14ac:dyDescent="0.25"/>
    <row r="233564" s="12" customFormat="1" x14ac:dyDescent="0.25"/>
    <row r="233565" s="12" customFormat="1" x14ac:dyDescent="0.25"/>
    <row r="233566" s="12" customFormat="1" x14ac:dyDescent="0.25"/>
    <row r="233567" s="12" customFormat="1" x14ac:dyDescent="0.25"/>
    <row r="233568" s="12" customFormat="1" x14ac:dyDescent="0.25"/>
    <row r="233569" s="12" customFormat="1" x14ac:dyDescent="0.25"/>
    <row r="233570" s="12" customFormat="1" x14ac:dyDescent="0.25"/>
    <row r="233571" s="12" customFormat="1" x14ac:dyDescent="0.25"/>
    <row r="233572" s="12" customFormat="1" x14ac:dyDescent="0.25"/>
    <row r="233573" s="12" customFormat="1" x14ac:dyDescent="0.25"/>
    <row r="233574" s="12" customFormat="1" x14ac:dyDescent="0.25"/>
    <row r="233575" s="12" customFormat="1" x14ac:dyDescent="0.25"/>
    <row r="233576" s="12" customFormat="1" x14ac:dyDescent="0.25"/>
    <row r="233577" s="12" customFormat="1" x14ac:dyDescent="0.25"/>
    <row r="233578" s="12" customFormat="1" x14ac:dyDescent="0.25"/>
    <row r="233579" s="12" customFormat="1" x14ac:dyDescent="0.25"/>
    <row r="233580" s="12" customFormat="1" x14ac:dyDescent="0.25"/>
    <row r="233581" s="12" customFormat="1" x14ac:dyDescent="0.25"/>
    <row r="233582" s="12" customFormat="1" x14ac:dyDescent="0.25"/>
    <row r="233583" s="12" customFormat="1" x14ac:dyDescent="0.25"/>
    <row r="233584" s="12" customFormat="1" x14ac:dyDescent="0.25"/>
    <row r="233585" s="12" customFormat="1" x14ac:dyDescent="0.25"/>
    <row r="233586" s="12" customFormat="1" x14ac:dyDescent="0.25"/>
    <row r="233587" s="12" customFormat="1" x14ac:dyDescent="0.25"/>
    <row r="233588" s="12" customFormat="1" x14ac:dyDescent="0.25"/>
    <row r="233589" s="12" customFormat="1" x14ac:dyDescent="0.25"/>
    <row r="233590" s="12" customFormat="1" x14ac:dyDescent="0.25"/>
    <row r="233591" s="12" customFormat="1" x14ac:dyDescent="0.25"/>
    <row r="233592" s="12" customFormat="1" x14ac:dyDescent="0.25"/>
    <row r="233593" s="12" customFormat="1" x14ac:dyDescent="0.25"/>
    <row r="233594" s="12" customFormat="1" x14ac:dyDescent="0.25"/>
    <row r="233595" s="12" customFormat="1" x14ac:dyDescent="0.25"/>
    <row r="233596" s="12" customFormat="1" x14ac:dyDescent="0.25"/>
    <row r="233597" s="12" customFormat="1" x14ac:dyDescent="0.25"/>
    <row r="233598" s="12" customFormat="1" x14ac:dyDescent="0.25"/>
    <row r="233599" s="12" customFormat="1" x14ac:dyDescent="0.25"/>
    <row r="233600" s="12" customFormat="1" x14ac:dyDescent="0.25"/>
    <row r="233601" s="12" customFormat="1" x14ac:dyDescent="0.25"/>
    <row r="233602" s="12" customFormat="1" x14ac:dyDescent="0.25"/>
    <row r="233603" s="12" customFormat="1" x14ac:dyDescent="0.25"/>
    <row r="233604" s="12" customFormat="1" x14ac:dyDescent="0.25"/>
    <row r="233605" s="12" customFormat="1" x14ac:dyDescent="0.25"/>
    <row r="233606" s="12" customFormat="1" x14ac:dyDescent="0.25"/>
    <row r="233607" s="12" customFormat="1" x14ac:dyDescent="0.25"/>
    <row r="233608" s="12" customFormat="1" x14ac:dyDescent="0.25"/>
    <row r="233609" s="12" customFormat="1" x14ac:dyDescent="0.25"/>
    <row r="233610" s="12" customFormat="1" x14ac:dyDescent="0.25"/>
    <row r="233611" s="12" customFormat="1" x14ac:dyDescent="0.25"/>
    <row r="233612" s="12" customFormat="1" x14ac:dyDescent="0.25"/>
    <row r="233613" s="12" customFormat="1" x14ac:dyDescent="0.25"/>
    <row r="233614" s="12" customFormat="1" x14ac:dyDescent="0.25"/>
    <row r="233615" s="12" customFormat="1" x14ac:dyDescent="0.25"/>
    <row r="233616" s="12" customFormat="1" x14ac:dyDescent="0.25"/>
    <row r="233617" s="12" customFormat="1" x14ac:dyDescent="0.25"/>
    <row r="233618" s="12" customFormat="1" x14ac:dyDescent="0.25"/>
    <row r="233619" s="12" customFormat="1" x14ac:dyDescent="0.25"/>
    <row r="233620" s="12" customFormat="1" x14ac:dyDescent="0.25"/>
    <row r="233621" s="12" customFormat="1" x14ac:dyDescent="0.25"/>
    <row r="233622" s="12" customFormat="1" x14ac:dyDescent="0.25"/>
    <row r="233623" s="12" customFormat="1" x14ac:dyDescent="0.25"/>
    <row r="233624" s="12" customFormat="1" x14ac:dyDescent="0.25"/>
    <row r="233625" s="12" customFormat="1" x14ac:dyDescent="0.25"/>
    <row r="233626" s="12" customFormat="1" x14ac:dyDescent="0.25"/>
    <row r="233627" s="12" customFormat="1" x14ac:dyDescent="0.25"/>
    <row r="233628" s="12" customFormat="1" x14ac:dyDescent="0.25"/>
    <row r="233629" s="12" customFormat="1" x14ac:dyDescent="0.25"/>
    <row r="233630" s="12" customFormat="1" x14ac:dyDescent="0.25"/>
    <row r="233631" s="12" customFormat="1" x14ac:dyDescent="0.25"/>
    <row r="233632" s="12" customFormat="1" x14ac:dyDescent="0.25"/>
    <row r="233633" s="12" customFormat="1" x14ac:dyDescent="0.25"/>
    <row r="233634" s="12" customFormat="1" x14ac:dyDescent="0.25"/>
    <row r="233635" s="12" customFormat="1" x14ac:dyDescent="0.25"/>
    <row r="233636" s="12" customFormat="1" x14ac:dyDescent="0.25"/>
    <row r="233637" s="12" customFormat="1" x14ac:dyDescent="0.25"/>
    <row r="233638" s="12" customFormat="1" x14ac:dyDescent="0.25"/>
    <row r="233639" s="12" customFormat="1" x14ac:dyDescent="0.25"/>
    <row r="233640" s="12" customFormat="1" x14ac:dyDescent="0.25"/>
    <row r="233641" s="12" customFormat="1" x14ac:dyDescent="0.25"/>
    <row r="233642" s="12" customFormat="1" x14ac:dyDescent="0.25"/>
    <row r="233643" s="12" customFormat="1" x14ac:dyDescent="0.25"/>
    <row r="233644" s="12" customFormat="1" x14ac:dyDescent="0.25"/>
    <row r="233645" s="12" customFormat="1" x14ac:dyDescent="0.25"/>
    <row r="233646" s="12" customFormat="1" x14ac:dyDescent="0.25"/>
    <row r="233647" s="12" customFormat="1" x14ac:dyDescent="0.25"/>
    <row r="233648" s="12" customFormat="1" x14ac:dyDescent="0.25"/>
    <row r="233649" s="12" customFormat="1" x14ac:dyDescent="0.25"/>
    <row r="233650" s="12" customFormat="1" x14ac:dyDescent="0.25"/>
    <row r="233651" s="12" customFormat="1" x14ac:dyDescent="0.25"/>
    <row r="233652" s="12" customFormat="1" x14ac:dyDescent="0.25"/>
    <row r="233653" s="12" customFormat="1" x14ac:dyDescent="0.25"/>
    <row r="233654" s="12" customFormat="1" x14ac:dyDescent="0.25"/>
    <row r="233655" s="12" customFormat="1" x14ac:dyDescent="0.25"/>
    <row r="233656" s="12" customFormat="1" x14ac:dyDescent="0.25"/>
    <row r="233657" s="12" customFormat="1" x14ac:dyDescent="0.25"/>
    <row r="233658" s="12" customFormat="1" x14ac:dyDescent="0.25"/>
    <row r="233659" s="12" customFormat="1" x14ac:dyDescent="0.25"/>
    <row r="233660" s="12" customFormat="1" x14ac:dyDescent="0.25"/>
    <row r="233661" s="12" customFormat="1" x14ac:dyDescent="0.25"/>
    <row r="233662" s="12" customFormat="1" x14ac:dyDescent="0.25"/>
    <row r="233663" s="12" customFormat="1" x14ac:dyDescent="0.25"/>
    <row r="233664" s="12" customFormat="1" x14ac:dyDescent="0.25"/>
    <row r="233665" s="12" customFormat="1" x14ac:dyDescent="0.25"/>
    <row r="233666" s="12" customFormat="1" x14ac:dyDescent="0.25"/>
    <row r="233667" s="12" customFormat="1" x14ac:dyDescent="0.25"/>
    <row r="233668" s="12" customFormat="1" x14ac:dyDescent="0.25"/>
    <row r="233669" s="12" customFormat="1" x14ac:dyDescent="0.25"/>
    <row r="233670" s="12" customFormat="1" x14ac:dyDescent="0.25"/>
    <row r="233671" s="12" customFormat="1" x14ac:dyDescent="0.25"/>
    <row r="233672" s="12" customFormat="1" x14ac:dyDescent="0.25"/>
    <row r="233673" s="12" customFormat="1" x14ac:dyDescent="0.25"/>
    <row r="233674" s="12" customFormat="1" x14ac:dyDescent="0.25"/>
    <row r="233675" s="12" customFormat="1" x14ac:dyDescent="0.25"/>
    <row r="233676" s="12" customFormat="1" x14ac:dyDescent="0.25"/>
    <row r="233677" s="12" customFormat="1" x14ac:dyDescent="0.25"/>
    <row r="233678" s="12" customFormat="1" x14ac:dyDescent="0.25"/>
    <row r="233679" s="12" customFormat="1" x14ac:dyDescent="0.25"/>
    <row r="233680" s="12" customFormat="1" x14ac:dyDescent="0.25"/>
    <row r="233681" s="12" customFormat="1" x14ac:dyDescent="0.25"/>
    <row r="233682" s="12" customFormat="1" x14ac:dyDescent="0.25"/>
    <row r="233683" s="12" customFormat="1" x14ac:dyDescent="0.25"/>
    <row r="233684" s="12" customFormat="1" x14ac:dyDescent="0.25"/>
    <row r="233685" s="12" customFormat="1" x14ac:dyDescent="0.25"/>
    <row r="233686" s="12" customFormat="1" x14ac:dyDescent="0.25"/>
    <row r="233687" s="12" customFormat="1" x14ac:dyDescent="0.25"/>
    <row r="233688" s="12" customFormat="1" x14ac:dyDescent="0.25"/>
    <row r="233689" s="12" customFormat="1" x14ac:dyDescent="0.25"/>
    <row r="233690" s="12" customFormat="1" x14ac:dyDescent="0.25"/>
    <row r="233691" s="12" customFormat="1" x14ac:dyDescent="0.25"/>
    <row r="233692" s="12" customFormat="1" x14ac:dyDescent="0.25"/>
    <row r="233693" s="12" customFormat="1" x14ac:dyDescent="0.25"/>
    <row r="233694" s="12" customFormat="1" x14ac:dyDescent="0.25"/>
    <row r="233695" s="12" customFormat="1" x14ac:dyDescent="0.25"/>
    <row r="233696" s="12" customFormat="1" x14ac:dyDescent="0.25"/>
    <row r="233697" s="12" customFormat="1" x14ac:dyDescent="0.25"/>
    <row r="233698" s="12" customFormat="1" x14ac:dyDescent="0.25"/>
    <row r="233699" s="12" customFormat="1" x14ac:dyDescent="0.25"/>
    <row r="233700" s="12" customFormat="1" x14ac:dyDescent="0.25"/>
    <row r="233701" s="12" customFormat="1" x14ac:dyDescent="0.25"/>
    <row r="233702" s="12" customFormat="1" x14ac:dyDescent="0.25"/>
    <row r="233703" s="12" customFormat="1" x14ac:dyDescent="0.25"/>
    <row r="233704" s="12" customFormat="1" x14ac:dyDescent="0.25"/>
    <row r="233705" s="12" customFormat="1" x14ac:dyDescent="0.25"/>
    <row r="233706" s="12" customFormat="1" x14ac:dyDescent="0.25"/>
    <row r="233707" s="12" customFormat="1" x14ac:dyDescent="0.25"/>
    <row r="233708" s="12" customFormat="1" x14ac:dyDescent="0.25"/>
    <row r="233709" s="12" customFormat="1" x14ac:dyDescent="0.25"/>
    <row r="233710" s="12" customFormat="1" x14ac:dyDescent="0.25"/>
    <row r="233711" s="12" customFormat="1" x14ac:dyDescent="0.25"/>
    <row r="233712" s="12" customFormat="1" x14ac:dyDescent="0.25"/>
    <row r="233713" s="12" customFormat="1" x14ac:dyDescent="0.25"/>
    <row r="233714" s="12" customFormat="1" x14ac:dyDescent="0.25"/>
    <row r="233715" s="12" customFormat="1" x14ac:dyDescent="0.25"/>
    <row r="233716" s="12" customFormat="1" x14ac:dyDescent="0.25"/>
    <row r="233717" s="12" customFormat="1" x14ac:dyDescent="0.25"/>
    <row r="233718" s="12" customFormat="1" x14ac:dyDescent="0.25"/>
    <row r="233719" s="12" customFormat="1" x14ac:dyDescent="0.25"/>
    <row r="233720" s="12" customFormat="1" x14ac:dyDescent="0.25"/>
    <row r="233721" s="12" customFormat="1" x14ac:dyDescent="0.25"/>
    <row r="233722" s="12" customFormat="1" x14ac:dyDescent="0.25"/>
    <row r="233723" s="12" customFormat="1" x14ac:dyDescent="0.25"/>
    <row r="233724" s="12" customFormat="1" x14ac:dyDescent="0.25"/>
    <row r="233725" s="12" customFormat="1" x14ac:dyDescent="0.25"/>
    <row r="233726" s="12" customFormat="1" x14ac:dyDescent="0.25"/>
    <row r="233727" s="12" customFormat="1" x14ac:dyDescent="0.25"/>
    <row r="233728" s="12" customFormat="1" x14ac:dyDescent="0.25"/>
    <row r="233729" s="12" customFormat="1" x14ac:dyDescent="0.25"/>
    <row r="233730" s="12" customFormat="1" x14ac:dyDescent="0.25"/>
    <row r="233731" s="12" customFormat="1" x14ac:dyDescent="0.25"/>
    <row r="233732" s="12" customFormat="1" x14ac:dyDescent="0.25"/>
    <row r="233733" s="12" customFormat="1" x14ac:dyDescent="0.25"/>
    <row r="233734" s="12" customFormat="1" x14ac:dyDescent="0.25"/>
    <row r="233735" s="12" customFormat="1" x14ac:dyDescent="0.25"/>
    <row r="233736" s="12" customFormat="1" x14ac:dyDescent="0.25"/>
    <row r="233737" s="12" customFormat="1" x14ac:dyDescent="0.25"/>
    <row r="233738" s="12" customFormat="1" x14ac:dyDescent="0.25"/>
    <row r="233739" s="12" customFormat="1" x14ac:dyDescent="0.25"/>
    <row r="233740" s="12" customFormat="1" x14ac:dyDescent="0.25"/>
    <row r="233741" s="12" customFormat="1" x14ac:dyDescent="0.25"/>
    <row r="233742" s="12" customFormat="1" x14ac:dyDescent="0.25"/>
    <row r="233743" s="12" customFormat="1" x14ac:dyDescent="0.25"/>
    <row r="233744" s="12" customFormat="1" x14ac:dyDescent="0.25"/>
    <row r="233745" s="12" customFormat="1" x14ac:dyDescent="0.25"/>
    <row r="233746" s="12" customFormat="1" x14ac:dyDescent="0.25"/>
    <row r="233747" s="12" customFormat="1" x14ac:dyDescent="0.25"/>
    <row r="233748" s="12" customFormat="1" x14ac:dyDescent="0.25"/>
    <row r="233749" s="12" customFormat="1" x14ac:dyDescent="0.25"/>
    <row r="233750" s="12" customFormat="1" x14ac:dyDescent="0.25"/>
    <row r="233751" s="12" customFormat="1" x14ac:dyDescent="0.25"/>
    <row r="233752" s="12" customFormat="1" x14ac:dyDescent="0.25"/>
    <row r="233753" s="12" customFormat="1" x14ac:dyDescent="0.25"/>
    <row r="233754" s="12" customFormat="1" x14ac:dyDescent="0.25"/>
    <row r="233755" s="12" customFormat="1" x14ac:dyDescent="0.25"/>
    <row r="233756" s="12" customFormat="1" x14ac:dyDescent="0.25"/>
    <row r="233757" s="12" customFormat="1" x14ac:dyDescent="0.25"/>
    <row r="233758" s="12" customFormat="1" x14ac:dyDescent="0.25"/>
    <row r="233759" s="12" customFormat="1" x14ac:dyDescent="0.25"/>
    <row r="233760" s="12" customFormat="1" x14ac:dyDescent="0.25"/>
    <row r="233761" s="12" customFormat="1" x14ac:dyDescent="0.25"/>
    <row r="233762" s="12" customFormat="1" x14ac:dyDescent="0.25"/>
    <row r="233763" s="12" customFormat="1" x14ac:dyDescent="0.25"/>
    <row r="233764" s="12" customFormat="1" x14ac:dyDescent="0.25"/>
    <row r="233765" s="12" customFormat="1" x14ac:dyDescent="0.25"/>
    <row r="233766" s="12" customFormat="1" x14ac:dyDescent="0.25"/>
    <row r="233767" s="12" customFormat="1" x14ac:dyDescent="0.25"/>
    <row r="233768" s="12" customFormat="1" x14ac:dyDescent="0.25"/>
    <row r="233769" s="12" customFormat="1" x14ac:dyDescent="0.25"/>
    <row r="233770" s="12" customFormat="1" x14ac:dyDescent="0.25"/>
    <row r="233771" s="12" customFormat="1" x14ac:dyDescent="0.25"/>
    <row r="233772" s="12" customFormat="1" x14ac:dyDescent="0.25"/>
    <row r="233773" s="12" customFormat="1" x14ac:dyDescent="0.25"/>
    <row r="233774" s="12" customFormat="1" x14ac:dyDescent="0.25"/>
    <row r="233775" s="12" customFormat="1" x14ac:dyDescent="0.25"/>
    <row r="233776" s="12" customFormat="1" x14ac:dyDescent="0.25"/>
    <row r="233777" s="12" customFormat="1" x14ac:dyDescent="0.25"/>
    <row r="233778" s="12" customFormat="1" x14ac:dyDescent="0.25"/>
    <row r="233779" s="12" customFormat="1" x14ac:dyDescent="0.25"/>
    <row r="233780" s="12" customFormat="1" x14ac:dyDescent="0.25"/>
    <row r="233781" s="12" customFormat="1" x14ac:dyDescent="0.25"/>
    <row r="233782" s="12" customFormat="1" x14ac:dyDescent="0.25"/>
    <row r="233783" s="12" customFormat="1" x14ac:dyDescent="0.25"/>
    <row r="233784" s="12" customFormat="1" x14ac:dyDescent="0.25"/>
    <row r="233785" s="12" customFormat="1" x14ac:dyDescent="0.25"/>
    <row r="233786" s="12" customFormat="1" x14ac:dyDescent="0.25"/>
    <row r="233787" s="12" customFormat="1" x14ac:dyDescent="0.25"/>
    <row r="233788" s="12" customFormat="1" x14ac:dyDescent="0.25"/>
    <row r="233789" s="12" customFormat="1" x14ac:dyDescent="0.25"/>
    <row r="233790" s="12" customFormat="1" x14ac:dyDescent="0.25"/>
    <row r="233791" s="12" customFormat="1" x14ac:dyDescent="0.25"/>
    <row r="233792" s="12" customFormat="1" x14ac:dyDescent="0.25"/>
    <row r="233793" s="12" customFormat="1" x14ac:dyDescent="0.25"/>
    <row r="233794" s="12" customFormat="1" x14ac:dyDescent="0.25"/>
    <row r="233795" s="12" customFormat="1" x14ac:dyDescent="0.25"/>
    <row r="233796" s="12" customFormat="1" x14ac:dyDescent="0.25"/>
    <row r="233797" s="12" customFormat="1" x14ac:dyDescent="0.25"/>
    <row r="233798" s="12" customFormat="1" x14ac:dyDescent="0.25"/>
    <row r="233799" s="12" customFormat="1" x14ac:dyDescent="0.25"/>
    <row r="233800" s="12" customFormat="1" x14ac:dyDescent="0.25"/>
    <row r="233801" s="12" customFormat="1" x14ac:dyDescent="0.25"/>
    <row r="233802" s="12" customFormat="1" x14ac:dyDescent="0.25"/>
    <row r="233803" s="12" customFormat="1" x14ac:dyDescent="0.25"/>
    <row r="233804" s="12" customFormat="1" x14ac:dyDescent="0.25"/>
    <row r="233805" s="12" customFormat="1" x14ac:dyDescent="0.25"/>
    <row r="233806" s="12" customFormat="1" x14ac:dyDescent="0.25"/>
    <row r="233807" s="12" customFormat="1" x14ac:dyDescent="0.25"/>
    <row r="233808" s="12" customFormat="1" x14ac:dyDescent="0.25"/>
    <row r="233809" s="12" customFormat="1" x14ac:dyDescent="0.25"/>
    <row r="233810" s="12" customFormat="1" x14ac:dyDescent="0.25"/>
    <row r="233811" s="12" customFormat="1" x14ac:dyDescent="0.25"/>
    <row r="233812" s="12" customFormat="1" x14ac:dyDescent="0.25"/>
    <row r="233813" s="12" customFormat="1" x14ac:dyDescent="0.25"/>
    <row r="233814" s="12" customFormat="1" x14ac:dyDescent="0.25"/>
    <row r="233815" s="12" customFormat="1" x14ac:dyDescent="0.25"/>
    <row r="233816" s="12" customFormat="1" x14ac:dyDescent="0.25"/>
    <row r="233817" s="12" customFormat="1" x14ac:dyDescent="0.25"/>
    <row r="233818" s="12" customFormat="1" x14ac:dyDescent="0.25"/>
    <row r="233819" s="12" customFormat="1" x14ac:dyDescent="0.25"/>
    <row r="233820" s="12" customFormat="1" x14ac:dyDescent="0.25"/>
    <row r="233821" s="12" customFormat="1" x14ac:dyDescent="0.25"/>
    <row r="233822" s="12" customFormat="1" x14ac:dyDescent="0.25"/>
    <row r="233823" s="12" customFormat="1" x14ac:dyDescent="0.25"/>
    <row r="233824" s="12" customFormat="1" x14ac:dyDescent="0.25"/>
    <row r="233825" s="12" customFormat="1" x14ac:dyDescent="0.25"/>
    <row r="233826" s="12" customFormat="1" x14ac:dyDescent="0.25"/>
    <row r="233827" s="12" customFormat="1" x14ac:dyDescent="0.25"/>
    <row r="233828" s="12" customFormat="1" x14ac:dyDescent="0.25"/>
    <row r="233829" s="12" customFormat="1" x14ac:dyDescent="0.25"/>
    <row r="233830" s="12" customFormat="1" x14ac:dyDescent="0.25"/>
    <row r="233831" s="12" customFormat="1" x14ac:dyDescent="0.25"/>
    <row r="233832" s="12" customFormat="1" x14ac:dyDescent="0.25"/>
    <row r="233833" s="12" customFormat="1" x14ac:dyDescent="0.25"/>
    <row r="233834" s="12" customFormat="1" x14ac:dyDescent="0.25"/>
    <row r="233835" s="12" customFormat="1" x14ac:dyDescent="0.25"/>
    <row r="233836" s="12" customFormat="1" x14ac:dyDescent="0.25"/>
    <row r="233837" s="12" customFormat="1" x14ac:dyDescent="0.25"/>
    <row r="233838" s="12" customFormat="1" x14ac:dyDescent="0.25"/>
    <row r="233839" s="12" customFormat="1" x14ac:dyDescent="0.25"/>
    <row r="233840" s="12" customFormat="1" x14ac:dyDescent="0.25"/>
    <row r="233841" s="12" customFormat="1" x14ac:dyDescent="0.25"/>
    <row r="233842" s="12" customFormat="1" x14ac:dyDescent="0.25"/>
    <row r="233843" s="12" customFormat="1" x14ac:dyDescent="0.25"/>
    <row r="233844" s="12" customFormat="1" x14ac:dyDescent="0.25"/>
    <row r="233845" s="12" customFormat="1" x14ac:dyDescent="0.25"/>
    <row r="233846" s="12" customFormat="1" x14ac:dyDescent="0.25"/>
    <row r="233847" s="12" customFormat="1" x14ac:dyDescent="0.25"/>
    <row r="233848" s="12" customFormat="1" x14ac:dyDescent="0.25"/>
    <row r="233849" s="12" customFormat="1" x14ac:dyDescent="0.25"/>
    <row r="233850" s="12" customFormat="1" x14ac:dyDescent="0.25"/>
    <row r="233851" s="12" customFormat="1" x14ac:dyDescent="0.25"/>
    <row r="233852" s="12" customFormat="1" x14ac:dyDescent="0.25"/>
    <row r="233853" s="12" customFormat="1" x14ac:dyDescent="0.25"/>
    <row r="233854" s="12" customFormat="1" x14ac:dyDescent="0.25"/>
    <row r="233855" s="12" customFormat="1" x14ac:dyDescent="0.25"/>
    <row r="233856" s="12" customFormat="1" x14ac:dyDescent="0.25"/>
    <row r="233857" s="12" customFormat="1" x14ac:dyDescent="0.25"/>
    <row r="233858" s="12" customFormat="1" x14ac:dyDescent="0.25"/>
    <row r="233859" s="12" customFormat="1" x14ac:dyDescent="0.25"/>
    <row r="233860" s="12" customFormat="1" x14ac:dyDescent="0.25"/>
    <row r="233861" s="12" customFormat="1" x14ac:dyDescent="0.25"/>
    <row r="233862" s="12" customFormat="1" x14ac:dyDescent="0.25"/>
    <row r="233863" s="12" customFormat="1" x14ac:dyDescent="0.25"/>
    <row r="233864" s="12" customFormat="1" x14ac:dyDescent="0.25"/>
    <row r="233865" s="12" customFormat="1" x14ac:dyDescent="0.25"/>
    <row r="233866" s="12" customFormat="1" x14ac:dyDescent="0.25"/>
    <row r="233867" s="12" customFormat="1" x14ac:dyDescent="0.25"/>
    <row r="233868" s="12" customFormat="1" x14ac:dyDescent="0.25"/>
    <row r="233869" s="12" customFormat="1" x14ac:dyDescent="0.25"/>
    <row r="233870" s="12" customFormat="1" x14ac:dyDescent="0.25"/>
    <row r="233871" s="12" customFormat="1" x14ac:dyDescent="0.25"/>
    <row r="233872" s="12" customFormat="1" x14ac:dyDescent="0.25"/>
    <row r="233873" s="12" customFormat="1" x14ac:dyDescent="0.25"/>
    <row r="233874" s="12" customFormat="1" x14ac:dyDescent="0.25"/>
    <row r="233875" s="12" customFormat="1" x14ac:dyDescent="0.25"/>
    <row r="233876" s="12" customFormat="1" x14ac:dyDescent="0.25"/>
    <row r="233877" s="12" customFormat="1" x14ac:dyDescent="0.25"/>
    <row r="233878" s="12" customFormat="1" x14ac:dyDescent="0.25"/>
    <row r="233879" s="12" customFormat="1" x14ac:dyDescent="0.25"/>
    <row r="233880" s="12" customFormat="1" x14ac:dyDescent="0.25"/>
    <row r="233881" s="12" customFormat="1" x14ac:dyDescent="0.25"/>
    <row r="233882" s="12" customFormat="1" x14ac:dyDescent="0.25"/>
    <row r="233883" s="12" customFormat="1" x14ac:dyDescent="0.25"/>
    <row r="233884" s="12" customFormat="1" x14ac:dyDescent="0.25"/>
    <row r="233885" s="12" customFormat="1" x14ac:dyDescent="0.25"/>
    <row r="233886" s="12" customFormat="1" x14ac:dyDescent="0.25"/>
    <row r="233887" s="12" customFormat="1" x14ac:dyDescent="0.25"/>
    <row r="233888" s="12" customFormat="1" x14ac:dyDescent="0.25"/>
    <row r="233889" s="12" customFormat="1" x14ac:dyDescent="0.25"/>
    <row r="233890" s="12" customFormat="1" x14ac:dyDescent="0.25"/>
    <row r="233891" s="12" customFormat="1" x14ac:dyDescent="0.25"/>
    <row r="233892" s="12" customFormat="1" x14ac:dyDescent="0.25"/>
    <row r="233893" s="12" customFormat="1" x14ac:dyDescent="0.25"/>
    <row r="233894" s="12" customFormat="1" x14ac:dyDescent="0.25"/>
    <row r="233895" s="12" customFormat="1" x14ac:dyDescent="0.25"/>
    <row r="233896" s="12" customFormat="1" x14ac:dyDescent="0.25"/>
    <row r="233897" s="12" customFormat="1" x14ac:dyDescent="0.25"/>
    <row r="233898" s="12" customFormat="1" x14ac:dyDescent="0.25"/>
    <row r="233899" s="12" customFormat="1" x14ac:dyDescent="0.25"/>
    <row r="233900" s="12" customFormat="1" x14ac:dyDescent="0.25"/>
    <row r="233901" s="12" customFormat="1" x14ac:dyDescent="0.25"/>
    <row r="233902" s="12" customFormat="1" x14ac:dyDescent="0.25"/>
    <row r="233903" s="12" customFormat="1" x14ac:dyDescent="0.25"/>
    <row r="233904" s="12" customFormat="1" x14ac:dyDescent="0.25"/>
    <row r="233905" s="12" customFormat="1" x14ac:dyDescent="0.25"/>
    <row r="233906" s="12" customFormat="1" x14ac:dyDescent="0.25"/>
    <row r="233907" s="12" customFormat="1" x14ac:dyDescent="0.25"/>
    <row r="233908" s="12" customFormat="1" x14ac:dyDescent="0.25"/>
    <row r="233909" s="12" customFormat="1" x14ac:dyDescent="0.25"/>
    <row r="233910" s="12" customFormat="1" x14ac:dyDescent="0.25"/>
    <row r="233911" s="12" customFormat="1" x14ac:dyDescent="0.25"/>
    <row r="233912" s="12" customFormat="1" x14ac:dyDescent="0.25"/>
    <row r="233913" s="12" customFormat="1" x14ac:dyDescent="0.25"/>
    <row r="233914" s="12" customFormat="1" x14ac:dyDescent="0.25"/>
    <row r="233915" s="12" customFormat="1" x14ac:dyDescent="0.25"/>
    <row r="233916" s="12" customFormat="1" x14ac:dyDescent="0.25"/>
    <row r="233917" s="12" customFormat="1" x14ac:dyDescent="0.25"/>
    <row r="233918" s="12" customFormat="1" x14ac:dyDescent="0.25"/>
    <row r="233919" s="12" customFormat="1" x14ac:dyDescent="0.25"/>
    <row r="233920" s="12" customFormat="1" x14ac:dyDescent="0.25"/>
    <row r="233921" s="12" customFormat="1" x14ac:dyDescent="0.25"/>
    <row r="233922" s="12" customFormat="1" x14ac:dyDescent="0.25"/>
    <row r="233923" s="12" customFormat="1" x14ac:dyDescent="0.25"/>
    <row r="233924" s="12" customFormat="1" x14ac:dyDescent="0.25"/>
    <row r="233925" s="12" customFormat="1" x14ac:dyDescent="0.25"/>
    <row r="233926" s="12" customFormat="1" x14ac:dyDescent="0.25"/>
    <row r="233927" s="12" customFormat="1" x14ac:dyDescent="0.25"/>
    <row r="233928" s="12" customFormat="1" x14ac:dyDescent="0.25"/>
    <row r="233929" s="12" customFormat="1" x14ac:dyDescent="0.25"/>
    <row r="233930" s="12" customFormat="1" x14ac:dyDescent="0.25"/>
    <row r="233931" s="12" customFormat="1" x14ac:dyDescent="0.25"/>
    <row r="233932" s="12" customFormat="1" x14ac:dyDescent="0.25"/>
    <row r="233933" s="12" customFormat="1" x14ac:dyDescent="0.25"/>
    <row r="233934" s="12" customFormat="1" x14ac:dyDescent="0.25"/>
    <row r="233935" s="12" customFormat="1" x14ac:dyDescent="0.25"/>
    <row r="233936" s="12" customFormat="1" x14ac:dyDescent="0.25"/>
    <row r="233937" s="12" customFormat="1" x14ac:dyDescent="0.25"/>
    <row r="233938" s="12" customFormat="1" x14ac:dyDescent="0.25"/>
    <row r="233939" s="12" customFormat="1" x14ac:dyDescent="0.25"/>
    <row r="233940" s="12" customFormat="1" x14ac:dyDescent="0.25"/>
    <row r="233941" s="12" customFormat="1" x14ac:dyDescent="0.25"/>
    <row r="233942" s="12" customFormat="1" x14ac:dyDescent="0.25"/>
    <row r="233943" s="12" customFormat="1" x14ac:dyDescent="0.25"/>
    <row r="233944" s="12" customFormat="1" x14ac:dyDescent="0.25"/>
    <row r="233945" s="12" customFormat="1" x14ac:dyDescent="0.25"/>
    <row r="233946" s="12" customFormat="1" x14ac:dyDescent="0.25"/>
    <row r="233947" s="12" customFormat="1" x14ac:dyDescent="0.25"/>
    <row r="233948" s="12" customFormat="1" x14ac:dyDescent="0.25"/>
    <row r="233949" s="12" customFormat="1" x14ac:dyDescent="0.25"/>
    <row r="233950" s="12" customFormat="1" x14ac:dyDescent="0.25"/>
    <row r="233951" s="12" customFormat="1" x14ac:dyDescent="0.25"/>
    <row r="233952" s="12" customFormat="1" x14ac:dyDescent="0.25"/>
    <row r="233953" s="12" customFormat="1" x14ac:dyDescent="0.25"/>
    <row r="233954" s="12" customFormat="1" x14ac:dyDescent="0.25"/>
    <row r="233955" s="12" customFormat="1" x14ac:dyDescent="0.25"/>
    <row r="233956" s="12" customFormat="1" x14ac:dyDescent="0.25"/>
    <row r="233957" s="12" customFormat="1" x14ac:dyDescent="0.25"/>
    <row r="233958" s="12" customFormat="1" x14ac:dyDescent="0.25"/>
    <row r="233959" s="12" customFormat="1" x14ac:dyDescent="0.25"/>
    <row r="233960" s="12" customFormat="1" x14ac:dyDescent="0.25"/>
    <row r="233961" s="12" customFormat="1" x14ac:dyDescent="0.25"/>
    <row r="233962" s="12" customFormat="1" x14ac:dyDescent="0.25"/>
    <row r="233963" s="12" customFormat="1" x14ac:dyDescent="0.25"/>
    <row r="233964" s="12" customFormat="1" x14ac:dyDescent="0.25"/>
    <row r="233965" s="12" customFormat="1" x14ac:dyDescent="0.25"/>
    <row r="233966" s="12" customFormat="1" x14ac:dyDescent="0.25"/>
    <row r="233967" s="12" customFormat="1" x14ac:dyDescent="0.25"/>
    <row r="233968" s="12" customFormat="1" x14ac:dyDescent="0.25"/>
    <row r="233969" s="12" customFormat="1" x14ac:dyDescent="0.25"/>
    <row r="233970" s="12" customFormat="1" x14ac:dyDescent="0.25"/>
    <row r="233971" s="12" customFormat="1" x14ac:dyDescent="0.25"/>
    <row r="233972" s="12" customFormat="1" x14ac:dyDescent="0.25"/>
    <row r="233973" s="12" customFormat="1" x14ac:dyDescent="0.25"/>
    <row r="233974" s="12" customFormat="1" x14ac:dyDescent="0.25"/>
    <row r="233975" s="12" customFormat="1" x14ac:dyDescent="0.25"/>
    <row r="233976" s="12" customFormat="1" x14ac:dyDescent="0.25"/>
    <row r="233977" s="12" customFormat="1" x14ac:dyDescent="0.25"/>
    <row r="233978" s="12" customFormat="1" x14ac:dyDescent="0.25"/>
    <row r="233979" s="12" customFormat="1" x14ac:dyDescent="0.25"/>
    <row r="233980" s="12" customFormat="1" x14ac:dyDescent="0.25"/>
    <row r="233981" s="12" customFormat="1" x14ac:dyDescent="0.25"/>
    <row r="233982" s="12" customFormat="1" x14ac:dyDescent="0.25"/>
    <row r="233983" s="12" customFormat="1" x14ac:dyDescent="0.25"/>
    <row r="233984" s="12" customFormat="1" x14ac:dyDescent="0.25"/>
    <row r="233985" s="12" customFormat="1" x14ac:dyDescent="0.25"/>
    <row r="233986" s="12" customFormat="1" x14ac:dyDescent="0.25"/>
    <row r="233987" s="12" customFormat="1" x14ac:dyDescent="0.25"/>
    <row r="233988" s="12" customFormat="1" x14ac:dyDescent="0.25"/>
    <row r="233989" s="12" customFormat="1" x14ac:dyDescent="0.25"/>
    <row r="233990" s="12" customFormat="1" x14ac:dyDescent="0.25"/>
    <row r="233991" s="12" customFormat="1" x14ac:dyDescent="0.25"/>
    <row r="233992" s="12" customFormat="1" x14ac:dyDescent="0.25"/>
    <row r="233993" s="12" customFormat="1" x14ac:dyDescent="0.25"/>
    <row r="233994" s="12" customFormat="1" x14ac:dyDescent="0.25"/>
    <row r="233995" s="12" customFormat="1" x14ac:dyDescent="0.25"/>
    <row r="233996" s="12" customFormat="1" x14ac:dyDescent="0.25"/>
    <row r="233997" s="12" customFormat="1" x14ac:dyDescent="0.25"/>
    <row r="233998" s="12" customFormat="1" x14ac:dyDescent="0.25"/>
    <row r="233999" s="12" customFormat="1" x14ac:dyDescent="0.25"/>
    <row r="234000" s="12" customFormat="1" x14ac:dyDescent="0.25"/>
    <row r="234001" s="12" customFormat="1" x14ac:dyDescent="0.25"/>
    <row r="234002" s="12" customFormat="1" x14ac:dyDescent="0.25"/>
    <row r="234003" s="12" customFormat="1" x14ac:dyDescent="0.25"/>
    <row r="234004" s="12" customFormat="1" x14ac:dyDescent="0.25"/>
    <row r="234005" s="12" customFormat="1" x14ac:dyDescent="0.25"/>
    <row r="234006" s="12" customFormat="1" x14ac:dyDescent="0.25"/>
    <row r="234007" s="12" customFormat="1" x14ac:dyDescent="0.25"/>
    <row r="234008" s="12" customFormat="1" x14ac:dyDescent="0.25"/>
    <row r="234009" s="12" customFormat="1" x14ac:dyDescent="0.25"/>
    <row r="234010" s="12" customFormat="1" x14ac:dyDescent="0.25"/>
    <row r="234011" s="12" customFormat="1" x14ac:dyDescent="0.25"/>
    <row r="234012" s="12" customFormat="1" x14ac:dyDescent="0.25"/>
    <row r="234013" s="12" customFormat="1" x14ac:dyDescent="0.25"/>
    <row r="234014" s="12" customFormat="1" x14ac:dyDescent="0.25"/>
    <row r="234015" s="12" customFormat="1" x14ac:dyDescent="0.25"/>
    <row r="234016" s="12" customFormat="1" x14ac:dyDescent="0.25"/>
    <row r="234017" s="12" customFormat="1" x14ac:dyDescent="0.25"/>
    <row r="234018" s="12" customFormat="1" x14ac:dyDescent="0.25"/>
    <row r="234019" s="12" customFormat="1" x14ac:dyDescent="0.25"/>
    <row r="234020" s="12" customFormat="1" x14ac:dyDescent="0.25"/>
    <row r="234021" s="12" customFormat="1" x14ac:dyDescent="0.25"/>
    <row r="234022" s="12" customFormat="1" x14ac:dyDescent="0.25"/>
    <row r="234023" s="12" customFormat="1" x14ac:dyDescent="0.25"/>
    <row r="234024" s="12" customFormat="1" x14ac:dyDescent="0.25"/>
    <row r="234025" s="12" customFormat="1" x14ac:dyDescent="0.25"/>
    <row r="234026" s="12" customFormat="1" x14ac:dyDescent="0.25"/>
    <row r="234027" s="12" customFormat="1" x14ac:dyDescent="0.25"/>
    <row r="234028" s="12" customFormat="1" x14ac:dyDescent="0.25"/>
    <row r="234029" s="12" customFormat="1" x14ac:dyDescent="0.25"/>
    <row r="234030" s="12" customFormat="1" x14ac:dyDescent="0.25"/>
    <row r="234031" s="12" customFormat="1" x14ac:dyDescent="0.25"/>
    <row r="234032" s="12" customFormat="1" x14ac:dyDescent="0.25"/>
    <row r="234033" s="12" customFormat="1" x14ac:dyDescent="0.25"/>
    <row r="234034" s="12" customFormat="1" x14ac:dyDescent="0.25"/>
    <row r="234035" s="12" customFormat="1" x14ac:dyDescent="0.25"/>
    <row r="234036" s="12" customFormat="1" x14ac:dyDescent="0.25"/>
    <row r="234037" s="12" customFormat="1" x14ac:dyDescent="0.25"/>
    <row r="234038" s="12" customFormat="1" x14ac:dyDescent="0.25"/>
    <row r="234039" s="12" customFormat="1" x14ac:dyDescent="0.25"/>
    <row r="234040" s="12" customFormat="1" x14ac:dyDescent="0.25"/>
    <row r="234041" s="12" customFormat="1" x14ac:dyDescent="0.25"/>
    <row r="234042" s="12" customFormat="1" x14ac:dyDescent="0.25"/>
    <row r="234043" s="12" customFormat="1" x14ac:dyDescent="0.25"/>
    <row r="234044" s="12" customFormat="1" x14ac:dyDescent="0.25"/>
    <row r="234045" s="12" customFormat="1" x14ac:dyDescent="0.25"/>
    <row r="234046" s="12" customFormat="1" x14ac:dyDescent="0.25"/>
    <row r="234047" s="12" customFormat="1" x14ac:dyDescent="0.25"/>
    <row r="234048" s="12" customFormat="1" x14ac:dyDescent="0.25"/>
    <row r="234049" s="12" customFormat="1" x14ac:dyDescent="0.25"/>
    <row r="234050" s="12" customFormat="1" x14ac:dyDescent="0.25"/>
    <row r="234051" s="12" customFormat="1" x14ac:dyDescent="0.25"/>
    <row r="234052" s="12" customFormat="1" x14ac:dyDescent="0.25"/>
    <row r="234053" s="12" customFormat="1" x14ac:dyDescent="0.25"/>
    <row r="234054" s="12" customFormat="1" x14ac:dyDescent="0.25"/>
    <row r="234055" s="12" customFormat="1" x14ac:dyDescent="0.25"/>
    <row r="234056" s="12" customFormat="1" x14ac:dyDescent="0.25"/>
    <row r="234057" s="12" customFormat="1" x14ac:dyDescent="0.25"/>
    <row r="234058" s="12" customFormat="1" x14ac:dyDescent="0.25"/>
    <row r="234059" s="12" customFormat="1" x14ac:dyDescent="0.25"/>
    <row r="234060" s="12" customFormat="1" x14ac:dyDescent="0.25"/>
    <row r="234061" s="12" customFormat="1" x14ac:dyDescent="0.25"/>
    <row r="234062" s="12" customFormat="1" x14ac:dyDescent="0.25"/>
    <row r="234063" s="12" customFormat="1" x14ac:dyDescent="0.25"/>
    <row r="234064" s="12" customFormat="1" x14ac:dyDescent="0.25"/>
    <row r="234065" s="12" customFormat="1" x14ac:dyDescent="0.25"/>
    <row r="234066" s="12" customFormat="1" x14ac:dyDescent="0.25"/>
    <row r="234067" s="12" customFormat="1" x14ac:dyDescent="0.25"/>
    <row r="234068" s="12" customFormat="1" x14ac:dyDescent="0.25"/>
    <row r="234069" s="12" customFormat="1" x14ac:dyDescent="0.25"/>
    <row r="234070" s="12" customFormat="1" x14ac:dyDescent="0.25"/>
    <row r="234071" s="12" customFormat="1" x14ac:dyDescent="0.25"/>
    <row r="234072" s="12" customFormat="1" x14ac:dyDescent="0.25"/>
    <row r="234073" s="12" customFormat="1" x14ac:dyDescent="0.25"/>
    <row r="234074" s="12" customFormat="1" x14ac:dyDescent="0.25"/>
    <row r="234075" s="12" customFormat="1" x14ac:dyDescent="0.25"/>
    <row r="234076" s="12" customFormat="1" x14ac:dyDescent="0.25"/>
    <row r="234077" s="12" customFormat="1" x14ac:dyDescent="0.25"/>
    <row r="234078" s="12" customFormat="1" x14ac:dyDescent="0.25"/>
    <row r="234079" s="12" customFormat="1" x14ac:dyDescent="0.25"/>
    <row r="234080" s="12" customFormat="1" x14ac:dyDescent="0.25"/>
    <row r="234081" s="12" customFormat="1" x14ac:dyDescent="0.25"/>
    <row r="234082" s="12" customFormat="1" x14ac:dyDescent="0.25"/>
    <row r="234083" s="12" customFormat="1" x14ac:dyDescent="0.25"/>
    <row r="234084" s="12" customFormat="1" x14ac:dyDescent="0.25"/>
    <row r="234085" s="12" customFormat="1" x14ac:dyDescent="0.25"/>
    <row r="234086" s="12" customFormat="1" x14ac:dyDescent="0.25"/>
    <row r="234087" s="12" customFormat="1" x14ac:dyDescent="0.25"/>
    <row r="234088" s="12" customFormat="1" x14ac:dyDescent="0.25"/>
    <row r="234089" s="12" customFormat="1" x14ac:dyDescent="0.25"/>
    <row r="234090" s="12" customFormat="1" x14ac:dyDescent="0.25"/>
    <row r="234091" s="12" customFormat="1" x14ac:dyDescent="0.25"/>
    <row r="234092" s="12" customFormat="1" x14ac:dyDescent="0.25"/>
    <row r="234093" s="12" customFormat="1" x14ac:dyDescent="0.25"/>
    <row r="234094" s="12" customFormat="1" x14ac:dyDescent="0.25"/>
    <row r="234095" s="12" customFormat="1" x14ac:dyDescent="0.25"/>
    <row r="234096" s="12" customFormat="1" x14ac:dyDescent="0.25"/>
    <row r="234097" s="12" customFormat="1" x14ac:dyDescent="0.25"/>
    <row r="234098" s="12" customFormat="1" x14ac:dyDescent="0.25"/>
    <row r="234099" s="12" customFormat="1" x14ac:dyDescent="0.25"/>
    <row r="234100" s="12" customFormat="1" x14ac:dyDescent="0.25"/>
    <row r="234101" s="12" customFormat="1" x14ac:dyDescent="0.25"/>
    <row r="234102" s="12" customFormat="1" x14ac:dyDescent="0.25"/>
    <row r="234103" s="12" customFormat="1" x14ac:dyDescent="0.25"/>
    <row r="234104" s="12" customFormat="1" x14ac:dyDescent="0.25"/>
    <row r="234105" s="12" customFormat="1" x14ac:dyDescent="0.25"/>
    <row r="234106" s="12" customFormat="1" x14ac:dyDescent="0.25"/>
    <row r="234107" s="12" customFormat="1" x14ac:dyDescent="0.25"/>
    <row r="234108" s="12" customFormat="1" x14ac:dyDescent="0.25"/>
    <row r="234109" s="12" customFormat="1" x14ac:dyDescent="0.25"/>
    <row r="234110" s="12" customFormat="1" x14ac:dyDescent="0.25"/>
    <row r="234111" s="12" customFormat="1" x14ac:dyDescent="0.25"/>
    <row r="234112" s="12" customFormat="1" x14ac:dyDescent="0.25"/>
    <row r="234113" s="12" customFormat="1" x14ac:dyDescent="0.25"/>
    <row r="234114" s="12" customFormat="1" x14ac:dyDescent="0.25"/>
    <row r="234115" s="12" customFormat="1" x14ac:dyDescent="0.25"/>
    <row r="234116" s="12" customFormat="1" x14ac:dyDescent="0.25"/>
    <row r="234117" s="12" customFormat="1" x14ac:dyDescent="0.25"/>
    <row r="234118" s="12" customFormat="1" x14ac:dyDescent="0.25"/>
    <row r="234119" s="12" customFormat="1" x14ac:dyDescent="0.25"/>
    <row r="234120" s="12" customFormat="1" x14ac:dyDescent="0.25"/>
    <row r="234121" s="12" customFormat="1" x14ac:dyDescent="0.25"/>
    <row r="234122" s="12" customFormat="1" x14ac:dyDescent="0.25"/>
    <row r="234123" s="12" customFormat="1" x14ac:dyDescent="0.25"/>
    <row r="234124" s="12" customFormat="1" x14ac:dyDescent="0.25"/>
    <row r="234125" s="12" customFormat="1" x14ac:dyDescent="0.25"/>
    <row r="234126" s="12" customFormat="1" x14ac:dyDescent="0.25"/>
    <row r="234127" s="12" customFormat="1" x14ac:dyDescent="0.25"/>
    <row r="234128" s="12" customFormat="1" x14ac:dyDescent="0.25"/>
    <row r="234129" s="12" customFormat="1" x14ac:dyDescent="0.25"/>
    <row r="234130" s="12" customFormat="1" x14ac:dyDescent="0.25"/>
    <row r="234131" s="12" customFormat="1" x14ac:dyDescent="0.25"/>
    <row r="234132" s="12" customFormat="1" x14ac:dyDescent="0.25"/>
    <row r="234133" s="12" customFormat="1" x14ac:dyDescent="0.25"/>
    <row r="234134" s="12" customFormat="1" x14ac:dyDescent="0.25"/>
    <row r="234135" s="12" customFormat="1" x14ac:dyDescent="0.25"/>
    <row r="234136" s="12" customFormat="1" x14ac:dyDescent="0.25"/>
    <row r="234137" s="12" customFormat="1" x14ac:dyDescent="0.25"/>
    <row r="234138" s="12" customFormat="1" x14ac:dyDescent="0.25"/>
    <row r="234139" s="12" customFormat="1" x14ac:dyDescent="0.25"/>
    <row r="234140" s="12" customFormat="1" x14ac:dyDescent="0.25"/>
    <row r="234141" s="12" customFormat="1" x14ac:dyDescent="0.25"/>
    <row r="234142" s="12" customFormat="1" x14ac:dyDescent="0.25"/>
    <row r="234143" s="12" customFormat="1" x14ac:dyDescent="0.25"/>
    <row r="234144" s="12" customFormat="1" x14ac:dyDescent="0.25"/>
    <row r="234145" s="12" customFormat="1" x14ac:dyDescent="0.25"/>
    <row r="234146" s="12" customFormat="1" x14ac:dyDescent="0.25"/>
    <row r="234147" s="12" customFormat="1" x14ac:dyDescent="0.25"/>
    <row r="234148" s="12" customFormat="1" x14ac:dyDescent="0.25"/>
    <row r="234149" s="12" customFormat="1" x14ac:dyDescent="0.25"/>
    <row r="234150" s="12" customFormat="1" x14ac:dyDescent="0.25"/>
    <row r="234151" s="12" customFormat="1" x14ac:dyDescent="0.25"/>
    <row r="234152" s="12" customFormat="1" x14ac:dyDescent="0.25"/>
    <row r="234153" s="12" customFormat="1" x14ac:dyDescent="0.25"/>
    <row r="234154" s="12" customFormat="1" x14ac:dyDescent="0.25"/>
    <row r="234155" s="12" customFormat="1" x14ac:dyDescent="0.25"/>
    <row r="234156" s="12" customFormat="1" x14ac:dyDescent="0.25"/>
    <row r="234157" s="12" customFormat="1" x14ac:dyDescent="0.25"/>
    <row r="234158" s="12" customFormat="1" x14ac:dyDescent="0.25"/>
    <row r="234159" s="12" customFormat="1" x14ac:dyDescent="0.25"/>
    <row r="234160" s="12" customFormat="1" x14ac:dyDescent="0.25"/>
    <row r="234161" s="12" customFormat="1" x14ac:dyDescent="0.25"/>
    <row r="234162" s="12" customFormat="1" x14ac:dyDescent="0.25"/>
    <row r="234163" s="12" customFormat="1" x14ac:dyDescent="0.25"/>
    <row r="234164" s="12" customFormat="1" x14ac:dyDescent="0.25"/>
    <row r="234165" s="12" customFormat="1" x14ac:dyDescent="0.25"/>
    <row r="234166" s="12" customFormat="1" x14ac:dyDescent="0.25"/>
    <row r="234167" s="12" customFormat="1" x14ac:dyDescent="0.25"/>
    <row r="234168" s="12" customFormat="1" x14ac:dyDescent="0.25"/>
    <row r="234169" s="12" customFormat="1" x14ac:dyDescent="0.25"/>
    <row r="234170" s="12" customFormat="1" x14ac:dyDescent="0.25"/>
    <row r="234171" s="12" customFormat="1" x14ac:dyDescent="0.25"/>
    <row r="234172" s="12" customFormat="1" x14ac:dyDescent="0.25"/>
    <row r="234173" s="12" customFormat="1" x14ac:dyDescent="0.25"/>
    <row r="234174" s="12" customFormat="1" x14ac:dyDescent="0.25"/>
    <row r="234175" s="12" customFormat="1" x14ac:dyDescent="0.25"/>
    <row r="234176" s="12" customFormat="1" x14ac:dyDescent="0.25"/>
    <row r="234177" s="12" customFormat="1" x14ac:dyDescent="0.25"/>
    <row r="234178" s="12" customFormat="1" x14ac:dyDescent="0.25"/>
    <row r="234179" s="12" customFormat="1" x14ac:dyDescent="0.25"/>
    <row r="234180" s="12" customFormat="1" x14ac:dyDescent="0.25"/>
    <row r="234181" s="12" customFormat="1" x14ac:dyDescent="0.25"/>
    <row r="234182" s="12" customFormat="1" x14ac:dyDescent="0.25"/>
    <row r="234183" s="12" customFormat="1" x14ac:dyDescent="0.25"/>
    <row r="234184" s="12" customFormat="1" x14ac:dyDescent="0.25"/>
    <row r="234185" s="12" customFormat="1" x14ac:dyDescent="0.25"/>
    <row r="234186" s="12" customFormat="1" x14ac:dyDescent="0.25"/>
    <row r="234187" s="12" customFormat="1" x14ac:dyDescent="0.25"/>
    <row r="234188" s="12" customFormat="1" x14ac:dyDescent="0.25"/>
    <row r="234189" s="12" customFormat="1" x14ac:dyDescent="0.25"/>
    <row r="234190" s="12" customFormat="1" x14ac:dyDescent="0.25"/>
    <row r="234191" s="12" customFormat="1" x14ac:dyDescent="0.25"/>
    <row r="234192" s="12" customFormat="1" x14ac:dyDescent="0.25"/>
    <row r="234193" s="12" customFormat="1" x14ac:dyDescent="0.25"/>
    <row r="234194" s="12" customFormat="1" x14ac:dyDescent="0.25"/>
    <row r="234195" s="12" customFormat="1" x14ac:dyDescent="0.25"/>
    <row r="234196" s="12" customFormat="1" x14ac:dyDescent="0.25"/>
    <row r="234197" s="12" customFormat="1" x14ac:dyDescent="0.25"/>
    <row r="234198" s="12" customFormat="1" x14ac:dyDescent="0.25"/>
    <row r="234199" s="12" customFormat="1" x14ac:dyDescent="0.25"/>
    <row r="234200" s="12" customFormat="1" x14ac:dyDescent="0.25"/>
    <row r="234201" s="12" customFormat="1" x14ac:dyDescent="0.25"/>
    <row r="234202" s="12" customFormat="1" x14ac:dyDescent="0.25"/>
    <row r="234203" s="12" customFormat="1" x14ac:dyDescent="0.25"/>
    <row r="234204" s="12" customFormat="1" x14ac:dyDescent="0.25"/>
    <row r="234205" s="12" customFormat="1" x14ac:dyDescent="0.25"/>
    <row r="234206" s="12" customFormat="1" x14ac:dyDescent="0.25"/>
    <row r="234207" s="12" customFormat="1" x14ac:dyDescent="0.25"/>
    <row r="234208" s="12" customFormat="1" x14ac:dyDescent="0.25"/>
    <row r="234209" s="12" customFormat="1" x14ac:dyDescent="0.25"/>
    <row r="234210" s="12" customFormat="1" x14ac:dyDescent="0.25"/>
    <row r="234211" s="12" customFormat="1" x14ac:dyDescent="0.25"/>
    <row r="234212" s="12" customFormat="1" x14ac:dyDescent="0.25"/>
    <row r="234213" s="12" customFormat="1" x14ac:dyDescent="0.25"/>
    <row r="234214" s="12" customFormat="1" x14ac:dyDescent="0.25"/>
    <row r="234215" s="12" customFormat="1" x14ac:dyDescent="0.25"/>
    <row r="234216" s="12" customFormat="1" x14ac:dyDescent="0.25"/>
    <row r="234217" s="12" customFormat="1" x14ac:dyDescent="0.25"/>
    <row r="234218" s="12" customFormat="1" x14ac:dyDescent="0.25"/>
    <row r="234219" s="12" customFormat="1" x14ac:dyDescent="0.25"/>
    <row r="234220" s="12" customFormat="1" x14ac:dyDescent="0.25"/>
    <row r="234221" s="12" customFormat="1" x14ac:dyDescent="0.25"/>
    <row r="234222" s="12" customFormat="1" x14ac:dyDescent="0.25"/>
    <row r="234223" s="12" customFormat="1" x14ac:dyDescent="0.25"/>
    <row r="234224" s="12" customFormat="1" x14ac:dyDescent="0.25"/>
    <row r="234225" s="12" customFormat="1" x14ac:dyDescent="0.25"/>
    <row r="234226" s="12" customFormat="1" x14ac:dyDescent="0.25"/>
    <row r="234227" s="12" customFormat="1" x14ac:dyDescent="0.25"/>
    <row r="234228" s="12" customFormat="1" x14ac:dyDescent="0.25"/>
    <row r="234229" s="12" customFormat="1" x14ac:dyDescent="0.25"/>
    <row r="234230" s="12" customFormat="1" x14ac:dyDescent="0.25"/>
    <row r="234231" s="12" customFormat="1" x14ac:dyDescent="0.25"/>
    <row r="234232" s="12" customFormat="1" x14ac:dyDescent="0.25"/>
    <row r="234233" s="12" customFormat="1" x14ac:dyDescent="0.25"/>
    <row r="234234" s="12" customFormat="1" x14ac:dyDescent="0.25"/>
    <row r="234235" s="12" customFormat="1" x14ac:dyDescent="0.25"/>
    <row r="234236" s="12" customFormat="1" x14ac:dyDescent="0.25"/>
    <row r="234237" s="12" customFormat="1" x14ac:dyDescent="0.25"/>
    <row r="234238" s="12" customFormat="1" x14ac:dyDescent="0.25"/>
    <row r="234239" s="12" customFormat="1" x14ac:dyDescent="0.25"/>
    <row r="234240" s="12" customFormat="1" x14ac:dyDescent="0.25"/>
    <row r="234241" s="12" customFormat="1" x14ac:dyDescent="0.25"/>
    <row r="234242" s="12" customFormat="1" x14ac:dyDescent="0.25"/>
    <row r="234243" s="12" customFormat="1" x14ac:dyDescent="0.25"/>
    <row r="234244" s="12" customFormat="1" x14ac:dyDescent="0.25"/>
    <row r="234245" s="12" customFormat="1" x14ac:dyDescent="0.25"/>
    <row r="234246" s="12" customFormat="1" x14ac:dyDescent="0.25"/>
    <row r="234247" s="12" customFormat="1" x14ac:dyDescent="0.25"/>
    <row r="234248" s="12" customFormat="1" x14ac:dyDescent="0.25"/>
    <row r="234249" s="12" customFormat="1" x14ac:dyDescent="0.25"/>
    <row r="234250" s="12" customFormat="1" x14ac:dyDescent="0.25"/>
    <row r="234251" s="12" customFormat="1" x14ac:dyDescent="0.25"/>
    <row r="234252" s="12" customFormat="1" x14ac:dyDescent="0.25"/>
    <row r="234253" s="12" customFormat="1" x14ac:dyDescent="0.25"/>
    <row r="234254" s="12" customFormat="1" x14ac:dyDescent="0.25"/>
    <row r="234255" s="12" customFormat="1" x14ac:dyDescent="0.25"/>
    <row r="234256" s="12" customFormat="1" x14ac:dyDescent="0.25"/>
    <row r="234257" s="12" customFormat="1" x14ac:dyDescent="0.25"/>
    <row r="234258" s="12" customFormat="1" x14ac:dyDescent="0.25"/>
    <row r="234259" s="12" customFormat="1" x14ac:dyDescent="0.25"/>
    <row r="234260" s="12" customFormat="1" x14ac:dyDescent="0.25"/>
    <row r="234261" s="12" customFormat="1" x14ac:dyDescent="0.25"/>
    <row r="234262" s="12" customFormat="1" x14ac:dyDescent="0.25"/>
    <row r="234263" s="12" customFormat="1" x14ac:dyDescent="0.25"/>
    <row r="234264" s="12" customFormat="1" x14ac:dyDescent="0.25"/>
    <row r="234265" s="12" customFormat="1" x14ac:dyDescent="0.25"/>
    <row r="234266" s="12" customFormat="1" x14ac:dyDescent="0.25"/>
    <row r="234267" s="12" customFormat="1" x14ac:dyDescent="0.25"/>
    <row r="234268" s="12" customFormat="1" x14ac:dyDescent="0.25"/>
    <row r="234269" s="12" customFormat="1" x14ac:dyDescent="0.25"/>
    <row r="234270" s="12" customFormat="1" x14ac:dyDescent="0.25"/>
    <row r="234271" s="12" customFormat="1" x14ac:dyDescent="0.25"/>
    <row r="234272" s="12" customFormat="1" x14ac:dyDescent="0.25"/>
    <row r="234273" s="12" customFormat="1" x14ac:dyDescent="0.25"/>
    <row r="234274" s="12" customFormat="1" x14ac:dyDescent="0.25"/>
    <row r="234275" s="12" customFormat="1" x14ac:dyDescent="0.25"/>
    <row r="234276" s="12" customFormat="1" x14ac:dyDescent="0.25"/>
    <row r="234277" s="12" customFormat="1" x14ac:dyDescent="0.25"/>
    <row r="234278" s="12" customFormat="1" x14ac:dyDescent="0.25"/>
    <row r="234279" s="12" customFormat="1" x14ac:dyDescent="0.25"/>
    <row r="234280" s="12" customFormat="1" x14ac:dyDescent="0.25"/>
    <row r="234281" s="12" customFormat="1" x14ac:dyDescent="0.25"/>
    <row r="234282" s="12" customFormat="1" x14ac:dyDescent="0.25"/>
    <row r="234283" s="12" customFormat="1" x14ac:dyDescent="0.25"/>
    <row r="234284" s="12" customFormat="1" x14ac:dyDescent="0.25"/>
    <row r="234285" s="12" customFormat="1" x14ac:dyDescent="0.25"/>
    <row r="234286" s="12" customFormat="1" x14ac:dyDescent="0.25"/>
    <row r="234287" s="12" customFormat="1" x14ac:dyDescent="0.25"/>
    <row r="234288" s="12" customFormat="1" x14ac:dyDescent="0.25"/>
    <row r="234289" s="12" customFormat="1" x14ac:dyDescent="0.25"/>
    <row r="234290" s="12" customFormat="1" x14ac:dyDescent="0.25"/>
    <row r="234291" s="12" customFormat="1" x14ac:dyDescent="0.25"/>
    <row r="234292" s="12" customFormat="1" x14ac:dyDescent="0.25"/>
    <row r="234293" s="12" customFormat="1" x14ac:dyDescent="0.25"/>
    <row r="234294" s="12" customFormat="1" x14ac:dyDescent="0.25"/>
    <row r="234295" s="12" customFormat="1" x14ac:dyDescent="0.25"/>
    <row r="234296" s="12" customFormat="1" x14ac:dyDescent="0.25"/>
    <row r="234297" s="12" customFormat="1" x14ac:dyDescent="0.25"/>
    <row r="234298" s="12" customFormat="1" x14ac:dyDescent="0.25"/>
    <row r="234299" s="12" customFormat="1" x14ac:dyDescent="0.25"/>
    <row r="234300" s="12" customFormat="1" x14ac:dyDescent="0.25"/>
    <row r="234301" s="12" customFormat="1" x14ac:dyDescent="0.25"/>
    <row r="234302" s="12" customFormat="1" x14ac:dyDescent="0.25"/>
    <row r="234303" s="12" customFormat="1" x14ac:dyDescent="0.25"/>
    <row r="234304" s="12" customFormat="1" x14ac:dyDescent="0.25"/>
    <row r="234305" s="12" customFormat="1" x14ac:dyDescent="0.25"/>
    <row r="234306" s="12" customFormat="1" x14ac:dyDescent="0.25"/>
    <row r="234307" s="12" customFormat="1" x14ac:dyDescent="0.25"/>
    <row r="234308" s="12" customFormat="1" x14ac:dyDescent="0.25"/>
    <row r="234309" s="12" customFormat="1" x14ac:dyDescent="0.25"/>
    <row r="234310" s="12" customFormat="1" x14ac:dyDescent="0.25"/>
    <row r="234311" s="12" customFormat="1" x14ac:dyDescent="0.25"/>
    <row r="234312" s="12" customFormat="1" x14ac:dyDescent="0.25"/>
    <row r="234313" s="12" customFormat="1" x14ac:dyDescent="0.25"/>
    <row r="234314" s="12" customFormat="1" x14ac:dyDescent="0.25"/>
    <row r="234315" s="12" customFormat="1" x14ac:dyDescent="0.25"/>
    <row r="234316" s="12" customFormat="1" x14ac:dyDescent="0.25"/>
    <row r="234317" s="12" customFormat="1" x14ac:dyDescent="0.25"/>
    <row r="234318" s="12" customFormat="1" x14ac:dyDescent="0.25"/>
    <row r="234319" s="12" customFormat="1" x14ac:dyDescent="0.25"/>
    <row r="234320" s="12" customFormat="1" x14ac:dyDescent="0.25"/>
    <row r="234321" s="12" customFormat="1" x14ac:dyDescent="0.25"/>
    <row r="234322" s="12" customFormat="1" x14ac:dyDescent="0.25"/>
    <row r="234323" s="12" customFormat="1" x14ac:dyDescent="0.25"/>
    <row r="234324" s="12" customFormat="1" x14ac:dyDescent="0.25"/>
    <row r="234325" s="12" customFormat="1" x14ac:dyDescent="0.25"/>
    <row r="234326" s="12" customFormat="1" x14ac:dyDescent="0.25"/>
    <row r="234327" s="12" customFormat="1" x14ac:dyDescent="0.25"/>
    <row r="234328" s="12" customFormat="1" x14ac:dyDescent="0.25"/>
    <row r="234329" s="12" customFormat="1" x14ac:dyDescent="0.25"/>
    <row r="234330" s="12" customFormat="1" x14ac:dyDescent="0.25"/>
    <row r="234331" s="12" customFormat="1" x14ac:dyDescent="0.25"/>
    <row r="234332" s="12" customFormat="1" x14ac:dyDescent="0.25"/>
    <row r="234333" s="12" customFormat="1" x14ac:dyDescent="0.25"/>
    <row r="234334" s="12" customFormat="1" x14ac:dyDescent="0.25"/>
    <row r="234335" s="12" customFormat="1" x14ac:dyDescent="0.25"/>
    <row r="234336" s="12" customFormat="1" x14ac:dyDescent="0.25"/>
    <row r="234337" s="12" customFormat="1" x14ac:dyDescent="0.25"/>
    <row r="234338" s="12" customFormat="1" x14ac:dyDescent="0.25"/>
    <row r="234339" s="12" customFormat="1" x14ac:dyDescent="0.25"/>
    <row r="234340" s="12" customFormat="1" x14ac:dyDescent="0.25"/>
    <row r="234341" s="12" customFormat="1" x14ac:dyDescent="0.25"/>
    <row r="234342" s="12" customFormat="1" x14ac:dyDescent="0.25"/>
    <row r="234343" s="12" customFormat="1" x14ac:dyDescent="0.25"/>
    <row r="234344" s="12" customFormat="1" x14ac:dyDescent="0.25"/>
    <row r="234345" s="12" customFormat="1" x14ac:dyDescent="0.25"/>
    <row r="234346" s="12" customFormat="1" x14ac:dyDescent="0.25"/>
    <row r="234347" s="12" customFormat="1" x14ac:dyDescent="0.25"/>
    <row r="234348" s="12" customFormat="1" x14ac:dyDescent="0.25"/>
    <row r="234349" s="12" customFormat="1" x14ac:dyDescent="0.25"/>
    <row r="234350" s="12" customFormat="1" x14ac:dyDescent="0.25"/>
    <row r="234351" s="12" customFormat="1" x14ac:dyDescent="0.25"/>
    <row r="234352" s="12" customFormat="1" x14ac:dyDescent="0.25"/>
    <row r="234353" s="12" customFormat="1" x14ac:dyDescent="0.25"/>
    <row r="234354" s="12" customFormat="1" x14ac:dyDescent="0.25"/>
    <row r="234355" s="12" customFormat="1" x14ac:dyDescent="0.25"/>
    <row r="234356" s="12" customFormat="1" x14ac:dyDescent="0.25"/>
    <row r="234357" s="12" customFormat="1" x14ac:dyDescent="0.25"/>
    <row r="234358" s="12" customFormat="1" x14ac:dyDescent="0.25"/>
    <row r="234359" s="12" customFormat="1" x14ac:dyDescent="0.25"/>
    <row r="234360" s="12" customFormat="1" x14ac:dyDescent="0.25"/>
    <row r="234361" s="12" customFormat="1" x14ac:dyDescent="0.25"/>
    <row r="234362" s="12" customFormat="1" x14ac:dyDescent="0.25"/>
    <row r="234363" s="12" customFormat="1" x14ac:dyDescent="0.25"/>
    <row r="234364" s="12" customFormat="1" x14ac:dyDescent="0.25"/>
    <row r="234365" s="12" customFormat="1" x14ac:dyDescent="0.25"/>
    <row r="234366" s="12" customFormat="1" x14ac:dyDescent="0.25"/>
    <row r="234367" s="12" customFormat="1" x14ac:dyDescent="0.25"/>
    <row r="234368" s="12" customFormat="1" x14ac:dyDescent="0.25"/>
    <row r="234369" s="12" customFormat="1" x14ac:dyDescent="0.25"/>
    <row r="234370" s="12" customFormat="1" x14ac:dyDescent="0.25"/>
    <row r="234371" s="12" customFormat="1" x14ac:dyDescent="0.25"/>
    <row r="234372" s="12" customFormat="1" x14ac:dyDescent="0.25"/>
    <row r="234373" s="12" customFormat="1" x14ac:dyDescent="0.25"/>
    <row r="234374" s="12" customFormat="1" x14ac:dyDescent="0.25"/>
    <row r="234375" s="12" customFormat="1" x14ac:dyDescent="0.25"/>
    <row r="234376" s="12" customFormat="1" x14ac:dyDescent="0.25"/>
    <row r="234377" s="12" customFormat="1" x14ac:dyDescent="0.25"/>
    <row r="234378" s="12" customFormat="1" x14ac:dyDescent="0.25"/>
    <row r="234379" s="12" customFormat="1" x14ac:dyDescent="0.25"/>
    <row r="234380" s="12" customFormat="1" x14ac:dyDescent="0.25"/>
    <row r="234381" s="12" customFormat="1" x14ac:dyDescent="0.25"/>
    <row r="234382" s="12" customFormat="1" x14ac:dyDescent="0.25"/>
    <row r="234383" s="12" customFormat="1" x14ac:dyDescent="0.25"/>
    <row r="234384" s="12" customFormat="1" x14ac:dyDescent="0.25"/>
    <row r="234385" s="12" customFormat="1" x14ac:dyDescent="0.25"/>
    <row r="234386" s="12" customFormat="1" x14ac:dyDescent="0.25"/>
    <row r="234387" s="12" customFormat="1" x14ac:dyDescent="0.25"/>
    <row r="234388" s="12" customFormat="1" x14ac:dyDescent="0.25"/>
    <row r="234389" s="12" customFormat="1" x14ac:dyDescent="0.25"/>
    <row r="234390" s="12" customFormat="1" x14ac:dyDescent="0.25"/>
    <row r="234391" s="12" customFormat="1" x14ac:dyDescent="0.25"/>
    <row r="234392" s="12" customFormat="1" x14ac:dyDescent="0.25"/>
    <row r="234393" s="12" customFormat="1" x14ac:dyDescent="0.25"/>
    <row r="234394" s="12" customFormat="1" x14ac:dyDescent="0.25"/>
    <row r="234395" s="12" customFormat="1" x14ac:dyDescent="0.25"/>
    <row r="234396" s="12" customFormat="1" x14ac:dyDescent="0.25"/>
    <row r="234397" s="12" customFormat="1" x14ac:dyDescent="0.25"/>
    <row r="234398" s="12" customFormat="1" x14ac:dyDescent="0.25"/>
    <row r="234399" s="12" customFormat="1" x14ac:dyDescent="0.25"/>
    <row r="234400" s="12" customFormat="1" x14ac:dyDescent="0.25"/>
    <row r="234401" s="12" customFormat="1" x14ac:dyDescent="0.25"/>
    <row r="234402" s="12" customFormat="1" x14ac:dyDescent="0.25"/>
    <row r="234403" s="12" customFormat="1" x14ac:dyDescent="0.25"/>
    <row r="234404" s="12" customFormat="1" x14ac:dyDescent="0.25"/>
    <row r="234405" s="12" customFormat="1" x14ac:dyDescent="0.25"/>
    <row r="234406" s="12" customFormat="1" x14ac:dyDescent="0.25"/>
    <row r="234407" s="12" customFormat="1" x14ac:dyDescent="0.25"/>
    <row r="234408" s="12" customFormat="1" x14ac:dyDescent="0.25"/>
    <row r="234409" s="12" customFormat="1" x14ac:dyDescent="0.25"/>
    <row r="234410" s="12" customFormat="1" x14ac:dyDescent="0.25"/>
    <row r="234411" s="12" customFormat="1" x14ac:dyDescent="0.25"/>
    <row r="234412" s="12" customFormat="1" x14ac:dyDescent="0.25"/>
    <row r="234413" s="12" customFormat="1" x14ac:dyDescent="0.25"/>
    <row r="234414" s="12" customFormat="1" x14ac:dyDescent="0.25"/>
    <row r="234415" s="12" customFormat="1" x14ac:dyDescent="0.25"/>
    <row r="234416" s="12" customFormat="1" x14ac:dyDescent="0.25"/>
    <row r="234417" s="12" customFormat="1" x14ac:dyDescent="0.25"/>
    <row r="234418" s="12" customFormat="1" x14ac:dyDescent="0.25"/>
    <row r="234419" s="12" customFormat="1" x14ac:dyDescent="0.25"/>
    <row r="234420" s="12" customFormat="1" x14ac:dyDescent="0.25"/>
    <row r="234421" s="12" customFormat="1" x14ac:dyDescent="0.25"/>
    <row r="234422" s="12" customFormat="1" x14ac:dyDescent="0.25"/>
    <row r="234423" s="12" customFormat="1" x14ac:dyDescent="0.25"/>
    <row r="234424" s="12" customFormat="1" x14ac:dyDescent="0.25"/>
    <row r="234425" s="12" customFormat="1" x14ac:dyDescent="0.25"/>
    <row r="234426" s="12" customFormat="1" x14ac:dyDescent="0.25"/>
    <row r="234427" s="12" customFormat="1" x14ac:dyDescent="0.25"/>
    <row r="234428" s="12" customFormat="1" x14ac:dyDescent="0.25"/>
    <row r="234429" s="12" customFormat="1" x14ac:dyDescent="0.25"/>
    <row r="234430" s="12" customFormat="1" x14ac:dyDescent="0.25"/>
    <row r="234431" s="12" customFormat="1" x14ac:dyDescent="0.25"/>
    <row r="234432" s="12" customFormat="1" x14ac:dyDescent="0.25"/>
    <row r="234433" s="12" customFormat="1" x14ac:dyDescent="0.25"/>
    <row r="234434" s="12" customFormat="1" x14ac:dyDescent="0.25"/>
    <row r="234435" s="12" customFormat="1" x14ac:dyDescent="0.25"/>
    <row r="234436" s="12" customFormat="1" x14ac:dyDescent="0.25"/>
    <row r="234437" s="12" customFormat="1" x14ac:dyDescent="0.25"/>
    <row r="234438" s="12" customFormat="1" x14ac:dyDescent="0.25"/>
    <row r="234439" s="12" customFormat="1" x14ac:dyDescent="0.25"/>
    <row r="234440" s="12" customFormat="1" x14ac:dyDescent="0.25"/>
    <row r="234441" s="12" customFormat="1" x14ac:dyDescent="0.25"/>
    <row r="234442" s="12" customFormat="1" x14ac:dyDescent="0.25"/>
    <row r="234443" s="12" customFormat="1" x14ac:dyDescent="0.25"/>
    <row r="234444" s="12" customFormat="1" x14ac:dyDescent="0.25"/>
    <row r="234445" s="12" customFormat="1" x14ac:dyDescent="0.25"/>
    <row r="234446" s="12" customFormat="1" x14ac:dyDescent="0.25"/>
    <row r="234447" s="12" customFormat="1" x14ac:dyDescent="0.25"/>
    <row r="234448" s="12" customFormat="1" x14ac:dyDescent="0.25"/>
    <row r="234449" s="12" customFormat="1" x14ac:dyDescent="0.25"/>
    <row r="234450" s="12" customFormat="1" x14ac:dyDescent="0.25"/>
    <row r="234451" s="12" customFormat="1" x14ac:dyDescent="0.25"/>
    <row r="234452" s="12" customFormat="1" x14ac:dyDescent="0.25"/>
    <row r="234453" s="12" customFormat="1" x14ac:dyDescent="0.25"/>
    <row r="234454" s="12" customFormat="1" x14ac:dyDescent="0.25"/>
    <row r="234455" s="12" customFormat="1" x14ac:dyDescent="0.25"/>
    <row r="234456" s="12" customFormat="1" x14ac:dyDescent="0.25"/>
    <row r="234457" s="12" customFormat="1" x14ac:dyDescent="0.25"/>
    <row r="234458" s="12" customFormat="1" x14ac:dyDescent="0.25"/>
    <row r="234459" s="12" customFormat="1" x14ac:dyDescent="0.25"/>
    <row r="234460" s="12" customFormat="1" x14ac:dyDescent="0.25"/>
    <row r="234461" s="12" customFormat="1" x14ac:dyDescent="0.25"/>
    <row r="234462" s="12" customFormat="1" x14ac:dyDescent="0.25"/>
    <row r="234463" s="12" customFormat="1" x14ac:dyDescent="0.25"/>
    <row r="234464" s="12" customFormat="1" x14ac:dyDescent="0.25"/>
    <row r="234465" s="12" customFormat="1" x14ac:dyDescent="0.25"/>
    <row r="234466" s="12" customFormat="1" x14ac:dyDescent="0.25"/>
    <row r="234467" s="12" customFormat="1" x14ac:dyDescent="0.25"/>
    <row r="234468" s="12" customFormat="1" x14ac:dyDescent="0.25"/>
    <row r="234469" s="12" customFormat="1" x14ac:dyDescent="0.25"/>
    <row r="234470" s="12" customFormat="1" x14ac:dyDescent="0.25"/>
    <row r="234471" s="12" customFormat="1" x14ac:dyDescent="0.25"/>
    <row r="234472" s="12" customFormat="1" x14ac:dyDescent="0.25"/>
    <row r="234473" s="12" customFormat="1" x14ac:dyDescent="0.25"/>
    <row r="234474" s="12" customFormat="1" x14ac:dyDescent="0.25"/>
    <row r="234475" s="12" customFormat="1" x14ac:dyDescent="0.25"/>
    <row r="234476" s="12" customFormat="1" x14ac:dyDescent="0.25"/>
    <row r="234477" s="12" customFormat="1" x14ac:dyDescent="0.25"/>
    <row r="234478" s="12" customFormat="1" x14ac:dyDescent="0.25"/>
    <row r="234479" s="12" customFormat="1" x14ac:dyDescent="0.25"/>
    <row r="234480" s="12" customFormat="1" x14ac:dyDescent="0.25"/>
    <row r="234481" s="12" customFormat="1" x14ac:dyDescent="0.25"/>
    <row r="234482" s="12" customFormat="1" x14ac:dyDescent="0.25"/>
    <row r="234483" s="12" customFormat="1" x14ac:dyDescent="0.25"/>
    <row r="234484" s="12" customFormat="1" x14ac:dyDescent="0.25"/>
    <row r="234485" s="12" customFormat="1" x14ac:dyDescent="0.25"/>
    <row r="234486" s="12" customFormat="1" x14ac:dyDescent="0.25"/>
    <row r="234487" s="12" customFormat="1" x14ac:dyDescent="0.25"/>
    <row r="234488" s="12" customFormat="1" x14ac:dyDescent="0.25"/>
    <row r="234489" s="12" customFormat="1" x14ac:dyDescent="0.25"/>
    <row r="234490" s="12" customFormat="1" x14ac:dyDescent="0.25"/>
    <row r="234491" s="12" customFormat="1" x14ac:dyDescent="0.25"/>
    <row r="234492" s="12" customFormat="1" x14ac:dyDescent="0.25"/>
    <row r="234493" s="12" customFormat="1" x14ac:dyDescent="0.25"/>
    <row r="234494" s="12" customFormat="1" x14ac:dyDescent="0.25"/>
    <row r="234495" s="12" customFormat="1" x14ac:dyDescent="0.25"/>
    <row r="234496" s="12" customFormat="1" x14ac:dyDescent="0.25"/>
    <row r="234497" s="12" customFormat="1" x14ac:dyDescent="0.25"/>
    <row r="234498" s="12" customFormat="1" x14ac:dyDescent="0.25"/>
    <row r="234499" s="12" customFormat="1" x14ac:dyDescent="0.25"/>
    <row r="234500" s="12" customFormat="1" x14ac:dyDescent="0.25"/>
    <row r="234501" s="12" customFormat="1" x14ac:dyDescent="0.25"/>
    <row r="234502" s="12" customFormat="1" x14ac:dyDescent="0.25"/>
    <row r="234503" s="12" customFormat="1" x14ac:dyDescent="0.25"/>
    <row r="234504" s="12" customFormat="1" x14ac:dyDescent="0.25"/>
    <row r="234505" s="12" customFormat="1" x14ac:dyDescent="0.25"/>
    <row r="234506" s="12" customFormat="1" x14ac:dyDescent="0.25"/>
    <row r="234507" s="12" customFormat="1" x14ac:dyDescent="0.25"/>
    <row r="234508" s="12" customFormat="1" x14ac:dyDescent="0.25"/>
    <row r="234509" s="12" customFormat="1" x14ac:dyDescent="0.25"/>
    <row r="234510" s="12" customFormat="1" x14ac:dyDescent="0.25"/>
    <row r="234511" s="12" customFormat="1" x14ac:dyDescent="0.25"/>
    <row r="234512" s="12" customFormat="1" x14ac:dyDescent="0.25"/>
    <row r="234513" s="12" customFormat="1" x14ac:dyDescent="0.25"/>
    <row r="234514" s="12" customFormat="1" x14ac:dyDescent="0.25"/>
    <row r="234515" s="12" customFormat="1" x14ac:dyDescent="0.25"/>
    <row r="234516" s="12" customFormat="1" x14ac:dyDescent="0.25"/>
    <row r="234517" s="12" customFormat="1" x14ac:dyDescent="0.25"/>
    <row r="234518" s="12" customFormat="1" x14ac:dyDescent="0.25"/>
    <row r="234519" s="12" customFormat="1" x14ac:dyDescent="0.25"/>
    <row r="234520" s="12" customFormat="1" x14ac:dyDescent="0.25"/>
    <row r="234521" s="12" customFormat="1" x14ac:dyDescent="0.25"/>
    <row r="234522" s="12" customFormat="1" x14ac:dyDescent="0.25"/>
    <row r="234523" s="12" customFormat="1" x14ac:dyDescent="0.25"/>
    <row r="234524" s="12" customFormat="1" x14ac:dyDescent="0.25"/>
    <row r="234525" s="12" customFormat="1" x14ac:dyDescent="0.25"/>
    <row r="234526" s="12" customFormat="1" x14ac:dyDescent="0.25"/>
    <row r="234527" s="12" customFormat="1" x14ac:dyDescent="0.25"/>
    <row r="234528" s="12" customFormat="1" x14ac:dyDescent="0.25"/>
    <row r="234529" s="12" customFormat="1" x14ac:dyDescent="0.25"/>
    <row r="234530" s="12" customFormat="1" x14ac:dyDescent="0.25"/>
    <row r="234531" s="12" customFormat="1" x14ac:dyDescent="0.25"/>
    <row r="234532" s="12" customFormat="1" x14ac:dyDescent="0.25"/>
    <row r="234533" s="12" customFormat="1" x14ac:dyDescent="0.25"/>
    <row r="234534" s="12" customFormat="1" x14ac:dyDescent="0.25"/>
    <row r="234535" s="12" customFormat="1" x14ac:dyDescent="0.25"/>
    <row r="234536" s="12" customFormat="1" x14ac:dyDescent="0.25"/>
    <row r="234537" s="12" customFormat="1" x14ac:dyDescent="0.25"/>
    <row r="234538" s="12" customFormat="1" x14ac:dyDescent="0.25"/>
    <row r="234539" s="12" customFormat="1" x14ac:dyDescent="0.25"/>
    <row r="234540" s="12" customFormat="1" x14ac:dyDescent="0.25"/>
    <row r="234541" s="12" customFormat="1" x14ac:dyDescent="0.25"/>
    <row r="234542" s="12" customFormat="1" x14ac:dyDescent="0.25"/>
    <row r="234543" s="12" customFormat="1" x14ac:dyDescent="0.25"/>
    <row r="234544" s="12" customFormat="1" x14ac:dyDescent="0.25"/>
    <row r="234545" s="12" customFormat="1" x14ac:dyDescent="0.25"/>
    <row r="234546" s="12" customFormat="1" x14ac:dyDescent="0.25"/>
    <row r="234547" s="12" customFormat="1" x14ac:dyDescent="0.25"/>
    <row r="234548" s="12" customFormat="1" x14ac:dyDescent="0.25"/>
    <row r="234549" s="12" customFormat="1" x14ac:dyDescent="0.25"/>
    <row r="234550" s="12" customFormat="1" x14ac:dyDescent="0.25"/>
    <row r="234551" s="12" customFormat="1" x14ac:dyDescent="0.25"/>
    <row r="234552" s="12" customFormat="1" x14ac:dyDescent="0.25"/>
    <row r="234553" s="12" customFormat="1" x14ac:dyDescent="0.25"/>
    <row r="234554" s="12" customFormat="1" x14ac:dyDescent="0.25"/>
    <row r="234555" s="12" customFormat="1" x14ac:dyDescent="0.25"/>
    <row r="234556" s="12" customFormat="1" x14ac:dyDescent="0.25"/>
    <row r="234557" s="12" customFormat="1" x14ac:dyDescent="0.25"/>
    <row r="234558" s="12" customFormat="1" x14ac:dyDescent="0.25"/>
    <row r="234559" s="12" customFormat="1" x14ac:dyDescent="0.25"/>
    <row r="234560" s="12" customFormat="1" x14ac:dyDescent="0.25"/>
    <row r="234561" s="12" customFormat="1" x14ac:dyDescent="0.25"/>
    <row r="234562" s="12" customFormat="1" x14ac:dyDescent="0.25"/>
    <row r="234563" s="12" customFormat="1" x14ac:dyDescent="0.25"/>
    <row r="234564" s="12" customFormat="1" x14ac:dyDescent="0.25"/>
    <row r="234565" s="12" customFormat="1" x14ac:dyDescent="0.25"/>
    <row r="234566" s="12" customFormat="1" x14ac:dyDescent="0.25"/>
    <row r="234567" s="12" customFormat="1" x14ac:dyDescent="0.25"/>
    <row r="234568" s="12" customFormat="1" x14ac:dyDescent="0.25"/>
    <row r="234569" s="12" customFormat="1" x14ac:dyDescent="0.25"/>
    <row r="234570" s="12" customFormat="1" x14ac:dyDescent="0.25"/>
    <row r="234571" s="12" customFormat="1" x14ac:dyDescent="0.25"/>
    <row r="234572" s="12" customFormat="1" x14ac:dyDescent="0.25"/>
    <row r="234573" s="12" customFormat="1" x14ac:dyDescent="0.25"/>
    <row r="234574" s="12" customFormat="1" x14ac:dyDescent="0.25"/>
    <row r="234575" s="12" customFormat="1" x14ac:dyDescent="0.25"/>
    <row r="234576" s="12" customFormat="1" x14ac:dyDescent="0.25"/>
    <row r="234577" s="12" customFormat="1" x14ac:dyDescent="0.25"/>
    <row r="234578" s="12" customFormat="1" x14ac:dyDescent="0.25"/>
    <row r="234579" s="12" customFormat="1" x14ac:dyDescent="0.25"/>
    <row r="234580" s="12" customFormat="1" x14ac:dyDescent="0.25"/>
    <row r="234581" s="12" customFormat="1" x14ac:dyDescent="0.25"/>
    <row r="234582" s="12" customFormat="1" x14ac:dyDescent="0.25"/>
    <row r="234583" s="12" customFormat="1" x14ac:dyDescent="0.25"/>
    <row r="234584" s="12" customFormat="1" x14ac:dyDescent="0.25"/>
    <row r="234585" s="12" customFormat="1" x14ac:dyDescent="0.25"/>
    <row r="234586" s="12" customFormat="1" x14ac:dyDescent="0.25"/>
    <row r="234587" s="12" customFormat="1" x14ac:dyDescent="0.25"/>
    <row r="234588" s="12" customFormat="1" x14ac:dyDescent="0.25"/>
    <row r="234589" s="12" customFormat="1" x14ac:dyDescent="0.25"/>
    <row r="234590" s="12" customFormat="1" x14ac:dyDescent="0.25"/>
    <row r="234591" s="12" customFormat="1" x14ac:dyDescent="0.25"/>
    <row r="234592" s="12" customFormat="1" x14ac:dyDescent="0.25"/>
    <row r="234593" s="12" customFormat="1" x14ac:dyDescent="0.25"/>
    <row r="234594" s="12" customFormat="1" x14ac:dyDescent="0.25"/>
    <row r="234595" s="12" customFormat="1" x14ac:dyDescent="0.25"/>
    <row r="234596" s="12" customFormat="1" x14ac:dyDescent="0.25"/>
    <row r="234597" s="12" customFormat="1" x14ac:dyDescent="0.25"/>
    <row r="234598" s="12" customFormat="1" x14ac:dyDescent="0.25"/>
    <row r="234599" s="12" customFormat="1" x14ac:dyDescent="0.25"/>
    <row r="234600" s="12" customFormat="1" x14ac:dyDescent="0.25"/>
    <row r="234601" s="12" customFormat="1" x14ac:dyDescent="0.25"/>
    <row r="234602" s="12" customFormat="1" x14ac:dyDescent="0.25"/>
    <row r="234603" s="12" customFormat="1" x14ac:dyDescent="0.25"/>
    <row r="234604" s="12" customFormat="1" x14ac:dyDescent="0.25"/>
    <row r="234605" s="12" customFormat="1" x14ac:dyDescent="0.25"/>
    <row r="234606" s="12" customFormat="1" x14ac:dyDescent="0.25"/>
    <row r="234607" s="12" customFormat="1" x14ac:dyDescent="0.25"/>
    <row r="234608" s="12" customFormat="1" x14ac:dyDescent="0.25"/>
    <row r="234609" s="12" customFormat="1" x14ac:dyDescent="0.25"/>
    <row r="234610" s="12" customFormat="1" x14ac:dyDescent="0.25"/>
    <row r="234611" s="12" customFormat="1" x14ac:dyDescent="0.25"/>
    <row r="234612" s="12" customFormat="1" x14ac:dyDescent="0.25"/>
    <row r="234613" s="12" customFormat="1" x14ac:dyDescent="0.25"/>
    <row r="234614" s="12" customFormat="1" x14ac:dyDescent="0.25"/>
    <row r="234615" s="12" customFormat="1" x14ac:dyDescent="0.25"/>
    <row r="234616" s="12" customFormat="1" x14ac:dyDescent="0.25"/>
    <row r="234617" s="12" customFormat="1" x14ac:dyDescent="0.25"/>
    <row r="234618" s="12" customFormat="1" x14ac:dyDescent="0.25"/>
    <row r="234619" s="12" customFormat="1" x14ac:dyDescent="0.25"/>
    <row r="234620" s="12" customFormat="1" x14ac:dyDescent="0.25"/>
    <row r="234621" s="12" customFormat="1" x14ac:dyDescent="0.25"/>
    <row r="234622" s="12" customFormat="1" x14ac:dyDescent="0.25"/>
    <row r="234623" s="12" customFormat="1" x14ac:dyDescent="0.25"/>
    <row r="234624" s="12" customFormat="1" x14ac:dyDescent="0.25"/>
    <row r="234625" s="12" customFormat="1" x14ac:dyDescent="0.25"/>
    <row r="234626" s="12" customFormat="1" x14ac:dyDescent="0.25"/>
    <row r="234627" s="12" customFormat="1" x14ac:dyDescent="0.25"/>
    <row r="234628" s="12" customFormat="1" x14ac:dyDescent="0.25"/>
    <row r="234629" s="12" customFormat="1" x14ac:dyDescent="0.25"/>
    <row r="234630" s="12" customFormat="1" x14ac:dyDescent="0.25"/>
    <row r="234631" s="12" customFormat="1" x14ac:dyDescent="0.25"/>
    <row r="234632" s="12" customFormat="1" x14ac:dyDescent="0.25"/>
    <row r="234633" s="12" customFormat="1" x14ac:dyDescent="0.25"/>
    <row r="234634" s="12" customFormat="1" x14ac:dyDescent="0.25"/>
    <row r="234635" s="12" customFormat="1" x14ac:dyDescent="0.25"/>
    <row r="234636" s="12" customFormat="1" x14ac:dyDescent="0.25"/>
    <row r="234637" s="12" customFormat="1" x14ac:dyDescent="0.25"/>
    <row r="234638" s="12" customFormat="1" x14ac:dyDescent="0.25"/>
    <row r="234639" s="12" customFormat="1" x14ac:dyDescent="0.25"/>
    <row r="234640" s="12" customFormat="1" x14ac:dyDescent="0.25"/>
    <row r="234641" s="12" customFormat="1" x14ac:dyDescent="0.25"/>
    <row r="234642" s="12" customFormat="1" x14ac:dyDescent="0.25"/>
    <row r="234643" s="12" customFormat="1" x14ac:dyDescent="0.25"/>
    <row r="234644" s="12" customFormat="1" x14ac:dyDescent="0.25"/>
    <row r="234645" s="12" customFormat="1" x14ac:dyDescent="0.25"/>
    <row r="234646" s="12" customFormat="1" x14ac:dyDescent="0.25"/>
    <row r="234647" s="12" customFormat="1" x14ac:dyDescent="0.25"/>
    <row r="234648" s="12" customFormat="1" x14ac:dyDescent="0.25"/>
    <row r="234649" s="12" customFormat="1" x14ac:dyDescent="0.25"/>
    <row r="234650" s="12" customFormat="1" x14ac:dyDescent="0.25"/>
    <row r="234651" s="12" customFormat="1" x14ac:dyDescent="0.25"/>
    <row r="234652" s="12" customFormat="1" x14ac:dyDescent="0.25"/>
    <row r="234653" s="12" customFormat="1" x14ac:dyDescent="0.25"/>
    <row r="234654" s="12" customFormat="1" x14ac:dyDescent="0.25"/>
    <row r="234655" s="12" customFormat="1" x14ac:dyDescent="0.25"/>
    <row r="234656" s="12" customFormat="1" x14ac:dyDescent="0.25"/>
    <row r="234657" s="12" customFormat="1" x14ac:dyDescent="0.25"/>
    <row r="234658" s="12" customFormat="1" x14ac:dyDescent="0.25"/>
    <row r="234659" s="12" customFormat="1" x14ac:dyDescent="0.25"/>
    <row r="234660" s="12" customFormat="1" x14ac:dyDescent="0.25"/>
    <row r="234661" s="12" customFormat="1" x14ac:dyDescent="0.25"/>
    <row r="234662" s="12" customFormat="1" x14ac:dyDescent="0.25"/>
    <row r="234663" s="12" customFormat="1" x14ac:dyDescent="0.25"/>
    <row r="234664" s="12" customFormat="1" x14ac:dyDescent="0.25"/>
    <row r="234665" s="12" customFormat="1" x14ac:dyDescent="0.25"/>
    <row r="234666" s="12" customFormat="1" x14ac:dyDescent="0.25"/>
    <row r="234667" s="12" customFormat="1" x14ac:dyDescent="0.25"/>
    <row r="234668" s="12" customFormat="1" x14ac:dyDescent="0.25"/>
    <row r="234669" s="12" customFormat="1" x14ac:dyDescent="0.25"/>
    <row r="234670" s="12" customFormat="1" x14ac:dyDescent="0.25"/>
    <row r="234671" s="12" customFormat="1" x14ac:dyDescent="0.25"/>
    <row r="234672" s="12" customFormat="1" x14ac:dyDescent="0.25"/>
    <row r="234673" s="12" customFormat="1" x14ac:dyDescent="0.25"/>
    <row r="234674" s="12" customFormat="1" x14ac:dyDescent="0.25"/>
    <row r="234675" s="12" customFormat="1" x14ac:dyDescent="0.25"/>
    <row r="234676" s="12" customFormat="1" x14ac:dyDescent="0.25"/>
    <row r="234677" s="12" customFormat="1" x14ac:dyDescent="0.25"/>
    <row r="234678" s="12" customFormat="1" x14ac:dyDescent="0.25"/>
    <row r="234679" s="12" customFormat="1" x14ac:dyDescent="0.25"/>
    <row r="234680" s="12" customFormat="1" x14ac:dyDescent="0.25"/>
    <row r="234681" s="12" customFormat="1" x14ac:dyDescent="0.25"/>
    <row r="234682" s="12" customFormat="1" x14ac:dyDescent="0.25"/>
    <row r="234683" s="12" customFormat="1" x14ac:dyDescent="0.25"/>
    <row r="234684" s="12" customFormat="1" x14ac:dyDescent="0.25"/>
    <row r="234685" s="12" customFormat="1" x14ac:dyDescent="0.25"/>
    <row r="234686" s="12" customFormat="1" x14ac:dyDescent="0.25"/>
    <row r="234687" s="12" customFormat="1" x14ac:dyDescent="0.25"/>
    <row r="234688" s="12" customFormat="1" x14ac:dyDescent="0.25"/>
    <row r="234689" s="12" customFormat="1" x14ac:dyDescent="0.25"/>
    <row r="234690" s="12" customFormat="1" x14ac:dyDescent="0.25"/>
    <row r="234691" s="12" customFormat="1" x14ac:dyDescent="0.25"/>
    <row r="234692" s="12" customFormat="1" x14ac:dyDescent="0.25"/>
    <row r="234693" s="12" customFormat="1" x14ac:dyDescent="0.25"/>
    <row r="234694" s="12" customFormat="1" x14ac:dyDescent="0.25"/>
    <row r="234695" s="12" customFormat="1" x14ac:dyDescent="0.25"/>
    <row r="234696" s="12" customFormat="1" x14ac:dyDescent="0.25"/>
    <row r="234697" s="12" customFormat="1" x14ac:dyDescent="0.25"/>
    <row r="234698" s="12" customFormat="1" x14ac:dyDescent="0.25"/>
    <row r="234699" s="12" customFormat="1" x14ac:dyDescent="0.25"/>
    <row r="234700" s="12" customFormat="1" x14ac:dyDescent="0.25"/>
    <row r="234701" s="12" customFormat="1" x14ac:dyDescent="0.25"/>
    <row r="234702" s="12" customFormat="1" x14ac:dyDescent="0.25"/>
    <row r="234703" s="12" customFormat="1" x14ac:dyDescent="0.25"/>
    <row r="234704" s="12" customFormat="1" x14ac:dyDescent="0.25"/>
    <row r="234705" s="12" customFormat="1" x14ac:dyDescent="0.25"/>
    <row r="234706" s="12" customFormat="1" x14ac:dyDescent="0.25"/>
    <row r="234707" s="12" customFormat="1" x14ac:dyDescent="0.25"/>
    <row r="234708" s="12" customFormat="1" x14ac:dyDescent="0.25"/>
    <row r="234709" s="12" customFormat="1" x14ac:dyDescent="0.25"/>
    <row r="234710" s="12" customFormat="1" x14ac:dyDescent="0.25"/>
    <row r="234711" s="12" customFormat="1" x14ac:dyDescent="0.25"/>
    <row r="234712" s="12" customFormat="1" x14ac:dyDescent="0.25"/>
    <row r="234713" s="12" customFormat="1" x14ac:dyDescent="0.25"/>
    <row r="234714" s="12" customFormat="1" x14ac:dyDescent="0.25"/>
    <row r="234715" s="12" customFormat="1" x14ac:dyDescent="0.25"/>
    <row r="234716" s="12" customFormat="1" x14ac:dyDescent="0.25"/>
    <row r="234717" s="12" customFormat="1" x14ac:dyDescent="0.25"/>
    <row r="234718" s="12" customFormat="1" x14ac:dyDescent="0.25"/>
    <row r="234719" s="12" customFormat="1" x14ac:dyDescent="0.25"/>
    <row r="234720" s="12" customFormat="1" x14ac:dyDescent="0.25"/>
    <row r="234721" s="12" customFormat="1" x14ac:dyDescent="0.25"/>
    <row r="234722" s="12" customFormat="1" x14ac:dyDescent="0.25"/>
    <row r="234723" s="12" customFormat="1" x14ac:dyDescent="0.25"/>
    <row r="234724" s="12" customFormat="1" x14ac:dyDescent="0.25"/>
    <row r="234725" s="12" customFormat="1" x14ac:dyDescent="0.25"/>
    <row r="234726" s="12" customFormat="1" x14ac:dyDescent="0.25"/>
    <row r="234727" s="12" customFormat="1" x14ac:dyDescent="0.25"/>
    <row r="234728" s="12" customFormat="1" x14ac:dyDescent="0.25"/>
    <row r="234729" s="12" customFormat="1" x14ac:dyDescent="0.25"/>
    <row r="234730" s="12" customFormat="1" x14ac:dyDescent="0.25"/>
    <row r="234731" s="12" customFormat="1" x14ac:dyDescent="0.25"/>
    <row r="234732" s="12" customFormat="1" x14ac:dyDescent="0.25"/>
    <row r="234733" s="12" customFormat="1" x14ac:dyDescent="0.25"/>
    <row r="234734" s="12" customFormat="1" x14ac:dyDescent="0.25"/>
    <row r="234735" s="12" customFormat="1" x14ac:dyDescent="0.25"/>
    <row r="234736" s="12" customFormat="1" x14ac:dyDescent="0.25"/>
    <row r="234737" s="12" customFormat="1" x14ac:dyDescent="0.25"/>
    <row r="234738" s="12" customFormat="1" x14ac:dyDescent="0.25"/>
    <row r="234739" s="12" customFormat="1" x14ac:dyDescent="0.25"/>
    <row r="234740" s="12" customFormat="1" x14ac:dyDescent="0.25"/>
    <row r="234741" s="12" customFormat="1" x14ac:dyDescent="0.25"/>
    <row r="234742" s="12" customFormat="1" x14ac:dyDescent="0.25"/>
    <row r="234743" s="12" customFormat="1" x14ac:dyDescent="0.25"/>
    <row r="234744" s="12" customFormat="1" x14ac:dyDescent="0.25"/>
    <row r="234745" s="12" customFormat="1" x14ac:dyDescent="0.25"/>
    <row r="234746" s="12" customFormat="1" x14ac:dyDescent="0.25"/>
    <row r="234747" s="12" customFormat="1" x14ac:dyDescent="0.25"/>
    <row r="234748" s="12" customFormat="1" x14ac:dyDescent="0.25"/>
    <row r="234749" s="12" customFormat="1" x14ac:dyDescent="0.25"/>
    <row r="234750" s="12" customFormat="1" x14ac:dyDescent="0.25"/>
    <row r="234751" s="12" customFormat="1" x14ac:dyDescent="0.25"/>
    <row r="234752" s="12" customFormat="1" x14ac:dyDescent="0.25"/>
    <row r="234753" s="12" customFormat="1" x14ac:dyDescent="0.25"/>
    <row r="234754" s="12" customFormat="1" x14ac:dyDescent="0.25"/>
    <row r="234755" s="12" customFormat="1" x14ac:dyDescent="0.25"/>
    <row r="234756" s="12" customFormat="1" x14ac:dyDescent="0.25"/>
    <row r="234757" s="12" customFormat="1" x14ac:dyDescent="0.25"/>
    <row r="234758" s="12" customFormat="1" x14ac:dyDescent="0.25"/>
    <row r="234759" s="12" customFormat="1" x14ac:dyDescent="0.25"/>
    <row r="234760" s="12" customFormat="1" x14ac:dyDescent="0.25"/>
    <row r="234761" s="12" customFormat="1" x14ac:dyDescent="0.25"/>
    <row r="234762" s="12" customFormat="1" x14ac:dyDescent="0.25"/>
    <row r="234763" s="12" customFormat="1" x14ac:dyDescent="0.25"/>
    <row r="234764" s="12" customFormat="1" x14ac:dyDescent="0.25"/>
    <row r="234765" s="12" customFormat="1" x14ac:dyDescent="0.25"/>
    <row r="234766" s="12" customFormat="1" x14ac:dyDescent="0.25"/>
    <row r="234767" s="12" customFormat="1" x14ac:dyDescent="0.25"/>
    <row r="234768" s="12" customFormat="1" x14ac:dyDescent="0.25"/>
    <row r="234769" s="12" customFormat="1" x14ac:dyDescent="0.25"/>
    <row r="234770" s="12" customFormat="1" x14ac:dyDescent="0.25"/>
    <row r="234771" s="12" customFormat="1" x14ac:dyDescent="0.25"/>
    <row r="234772" s="12" customFormat="1" x14ac:dyDescent="0.25"/>
    <row r="234773" s="12" customFormat="1" x14ac:dyDescent="0.25"/>
    <row r="234774" s="12" customFormat="1" x14ac:dyDescent="0.25"/>
    <row r="234775" s="12" customFormat="1" x14ac:dyDescent="0.25"/>
    <row r="234776" s="12" customFormat="1" x14ac:dyDescent="0.25"/>
    <row r="234777" s="12" customFormat="1" x14ac:dyDescent="0.25"/>
    <row r="234778" s="12" customFormat="1" x14ac:dyDescent="0.25"/>
    <row r="234779" s="12" customFormat="1" x14ac:dyDescent="0.25"/>
    <row r="234780" s="12" customFormat="1" x14ac:dyDescent="0.25"/>
    <row r="234781" s="12" customFormat="1" x14ac:dyDescent="0.25"/>
    <row r="234782" s="12" customFormat="1" x14ac:dyDescent="0.25"/>
    <row r="234783" s="12" customFormat="1" x14ac:dyDescent="0.25"/>
    <row r="234784" s="12" customFormat="1" x14ac:dyDescent="0.25"/>
    <row r="234785" s="12" customFormat="1" x14ac:dyDescent="0.25"/>
    <row r="234786" s="12" customFormat="1" x14ac:dyDescent="0.25"/>
    <row r="234787" s="12" customFormat="1" x14ac:dyDescent="0.25"/>
    <row r="234788" s="12" customFormat="1" x14ac:dyDescent="0.25"/>
    <row r="234789" s="12" customFormat="1" x14ac:dyDescent="0.25"/>
    <row r="234790" s="12" customFormat="1" x14ac:dyDescent="0.25"/>
    <row r="234791" s="12" customFormat="1" x14ac:dyDescent="0.25"/>
    <row r="234792" s="12" customFormat="1" x14ac:dyDescent="0.25"/>
    <row r="234793" s="12" customFormat="1" x14ac:dyDescent="0.25"/>
    <row r="234794" s="12" customFormat="1" x14ac:dyDescent="0.25"/>
    <row r="234795" s="12" customFormat="1" x14ac:dyDescent="0.25"/>
    <row r="234796" s="12" customFormat="1" x14ac:dyDescent="0.25"/>
    <row r="234797" s="12" customFormat="1" x14ac:dyDescent="0.25"/>
    <row r="234798" s="12" customFormat="1" x14ac:dyDescent="0.25"/>
    <row r="234799" s="12" customFormat="1" x14ac:dyDescent="0.25"/>
    <row r="234800" s="12" customFormat="1" x14ac:dyDescent="0.25"/>
    <row r="234801" s="12" customFormat="1" x14ac:dyDescent="0.25"/>
    <row r="234802" s="12" customFormat="1" x14ac:dyDescent="0.25"/>
    <row r="234803" s="12" customFormat="1" x14ac:dyDescent="0.25"/>
    <row r="234804" s="12" customFormat="1" x14ac:dyDescent="0.25"/>
    <row r="234805" s="12" customFormat="1" x14ac:dyDescent="0.25"/>
    <row r="234806" s="12" customFormat="1" x14ac:dyDescent="0.25"/>
    <row r="234807" s="12" customFormat="1" x14ac:dyDescent="0.25"/>
    <row r="234808" s="12" customFormat="1" x14ac:dyDescent="0.25"/>
    <row r="234809" s="12" customFormat="1" x14ac:dyDescent="0.25"/>
    <row r="234810" s="12" customFormat="1" x14ac:dyDescent="0.25"/>
    <row r="234811" s="12" customFormat="1" x14ac:dyDescent="0.25"/>
    <row r="234812" s="12" customFormat="1" x14ac:dyDescent="0.25"/>
    <row r="234813" s="12" customFormat="1" x14ac:dyDescent="0.25"/>
    <row r="234814" s="12" customFormat="1" x14ac:dyDescent="0.25"/>
    <row r="234815" s="12" customFormat="1" x14ac:dyDescent="0.25"/>
    <row r="234816" s="12" customFormat="1" x14ac:dyDescent="0.25"/>
    <row r="234817" s="12" customFormat="1" x14ac:dyDescent="0.25"/>
    <row r="234818" s="12" customFormat="1" x14ac:dyDescent="0.25"/>
    <row r="234819" s="12" customFormat="1" x14ac:dyDescent="0.25"/>
    <row r="234820" s="12" customFormat="1" x14ac:dyDescent="0.25"/>
    <row r="234821" s="12" customFormat="1" x14ac:dyDescent="0.25"/>
    <row r="234822" s="12" customFormat="1" x14ac:dyDescent="0.25"/>
    <row r="234823" s="12" customFormat="1" x14ac:dyDescent="0.25"/>
    <row r="234824" s="12" customFormat="1" x14ac:dyDescent="0.25"/>
    <row r="234825" s="12" customFormat="1" x14ac:dyDescent="0.25"/>
    <row r="234826" s="12" customFormat="1" x14ac:dyDescent="0.25"/>
    <row r="234827" s="12" customFormat="1" x14ac:dyDescent="0.25"/>
    <row r="234828" s="12" customFormat="1" x14ac:dyDescent="0.25"/>
    <row r="234829" s="12" customFormat="1" x14ac:dyDescent="0.25"/>
    <row r="234830" s="12" customFormat="1" x14ac:dyDescent="0.25"/>
    <row r="234831" s="12" customFormat="1" x14ac:dyDescent="0.25"/>
    <row r="234832" s="12" customFormat="1" x14ac:dyDescent="0.25"/>
    <row r="234833" s="12" customFormat="1" x14ac:dyDescent="0.25"/>
    <row r="234834" s="12" customFormat="1" x14ac:dyDescent="0.25"/>
    <row r="234835" s="12" customFormat="1" x14ac:dyDescent="0.25"/>
    <row r="234836" s="12" customFormat="1" x14ac:dyDescent="0.25"/>
    <row r="234837" s="12" customFormat="1" x14ac:dyDescent="0.25"/>
    <row r="234838" s="12" customFormat="1" x14ac:dyDescent="0.25"/>
    <row r="234839" s="12" customFormat="1" x14ac:dyDescent="0.25"/>
    <row r="234840" s="12" customFormat="1" x14ac:dyDescent="0.25"/>
    <row r="234841" s="12" customFormat="1" x14ac:dyDescent="0.25"/>
    <row r="234842" s="12" customFormat="1" x14ac:dyDescent="0.25"/>
    <row r="234843" s="12" customFormat="1" x14ac:dyDescent="0.25"/>
    <row r="234844" s="12" customFormat="1" x14ac:dyDescent="0.25"/>
    <row r="234845" s="12" customFormat="1" x14ac:dyDescent="0.25"/>
    <row r="234846" s="12" customFormat="1" x14ac:dyDescent="0.25"/>
    <row r="234847" s="12" customFormat="1" x14ac:dyDescent="0.25"/>
    <row r="234848" s="12" customFormat="1" x14ac:dyDescent="0.25"/>
    <row r="234849" s="12" customFormat="1" x14ac:dyDescent="0.25"/>
    <row r="234850" s="12" customFormat="1" x14ac:dyDescent="0.25"/>
    <row r="234851" s="12" customFormat="1" x14ac:dyDescent="0.25"/>
    <row r="234852" s="12" customFormat="1" x14ac:dyDescent="0.25"/>
    <row r="234853" s="12" customFormat="1" x14ac:dyDescent="0.25"/>
    <row r="234854" s="12" customFormat="1" x14ac:dyDescent="0.25"/>
    <row r="234855" s="12" customFormat="1" x14ac:dyDescent="0.25"/>
    <row r="234856" s="12" customFormat="1" x14ac:dyDescent="0.25"/>
    <row r="234857" s="12" customFormat="1" x14ac:dyDescent="0.25"/>
    <row r="234858" s="12" customFormat="1" x14ac:dyDescent="0.25"/>
    <row r="234859" s="12" customFormat="1" x14ac:dyDescent="0.25"/>
    <row r="234860" s="12" customFormat="1" x14ac:dyDescent="0.25"/>
    <row r="234861" s="12" customFormat="1" x14ac:dyDescent="0.25"/>
    <row r="234862" s="12" customFormat="1" x14ac:dyDescent="0.25"/>
    <row r="234863" s="12" customFormat="1" x14ac:dyDescent="0.25"/>
    <row r="234864" s="12" customFormat="1" x14ac:dyDescent="0.25"/>
    <row r="234865" s="12" customFormat="1" x14ac:dyDescent="0.25"/>
    <row r="234866" s="12" customFormat="1" x14ac:dyDescent="0.25"/>
    <row r="234867" s="12" customFormat="1" x14ac:dyDescent="0.25"/>
    <row r="234868" s="12" customFormat="1" x14ac:dyDescent="0.25"/>
    <row r="234869" s="12" customFormat="1" x14ac:dyDescent="0.25"/>
    <row r="234870" s="12" customFormat="1" x14ac:dyDescent="0.25"/>
    <row r="234871" s="12" customFormat="1" x14ac:dyDescent="0.25"/>
    <row r="234872" s="12" customFormat="1" x14ac:dyDescent="0.25"/>
    <row r="234873" s="12" customFormat="1" x14ac:dyDescent="0.25"/>
    <row r="234874" s="12" customFormat="1" x14ac:dyDescent="0.25"/>
    <row r="234875" s="12" customFormat="1" x14ac:dyDescent="0.25"/>
    <row r="234876" s="12" customFormat="1" x14ac:dyDescent="0.25"/>
    <row r="234877" s="12" customFormat="1" x14ac:dyDescent="0.25"/>
    <row r="234878" s="12" customFormat="1" x14ac:dyDescent="0.25"/>
    <row r="234879" s="12" customFormat="1" x14ac:dyDescent="0.25"/>
    <row r="234880" s="12" customFormat="1" x14ac:dyDescent="0.25"/>
    <row r="234881" s="12" customFormat="1" x14ac:dyDescent="0.25"/>
    <row r="234882" s="12" customFormat="1" x14ac:dyDescent="0.25"/>
    <row r="234883" s="12" customFormat="1" x14ac:dyDescent="0.25"/>
    <row r="234884" s="12" customFormat="1" x14ac:dyDescent="0.25"/>
    <row r="234885" s="12" customFormat="1" x14ac:dyDescent="0.25"/>
    <row r="234886" s="12" customFormat="1" x14ac:dyDescent="0.25"/>
    <row r="234887" s="12" customFormat="1" x14ac:dyDescent="0.25"/>
    <row r="234888" s="12" customFormat="1" x14ac:dyDescent="0.25"/>
    <row r="234889" s="12" customFormat="1" x14ac:dyDescent="0.25"/>
    <row r="234890" s="12" customFormat="1" x14ac:dyDescent="0.25"/>
    <row r="234891" s="12" customFormat="1" x14ac:dyDescent="0.25"/>
    <row r="234892" s="12" customFormat="1" x14ac:dyDescent="0.25"/>
    <row r="234893" s="12" customFormat="1" x14ac:dyDescent="0.25"/>
    <row r="234894" s="12" customFormat="1" x14ac:dyDescent="0.25"/>
    <row r="234895" s="12" customFormat="1" x14ac:dyDescent="0.25"/>
    <row r="234896" s="12" customFormat="1" x14ac:dyDescent="0.25"/>
    <row r="234897" s="12" customFormat="1" x14ac:dyDescent="0.25"/>
    <row r="234898" s="12" customFormat="1" x14ac:dyDescent="0.25"/>
    <row r="234899" s="12" customFormat="1" x14ac:dyDescent="0.25"/>
    <row r="234900" s="12" customFormat="1" x14ac:dyDescent="0.25"/>
    <row r="234901" s="12" customFormat="1" x14ac:dyDescent="0.25"/>
    <row r="234902" s="12" customFormat="1" x14ac:dyDescent="0.25"/>
    <row r="234903" s="12" customFormat="1" x14ac:dyDescent="0.25"/>
    <row r="234904" s="12" customFormat="1" x14ac:dyDescent="0.25"/>
    <row r="234905" s="12" customFormat="1" x14ac:dyDescent="0.25"/>
    <row r="234906" s="12" customFormat="1" x14ac:dyDescent="0.25"/>
    <row r="234907" s="12" customFormat="1" x14ac:dyDescent="0.25"/>
    <row r="234908" s="12" customFormat="1" x14ac:dyDescent="0.25"/>
    <row r="234909" s="12" customFormat="1" x14ac:dyDescent="0.25"/>
    <row r="234910" s="12" customFormat="1" x14ac:dyDescent="0.25"/>
    <row r="234911" s="12" customFormat="1" x14ac:dyDescent="0.25"/>
    <row r="234912" s="12" customFormat="1" x14ac:dyDescent="0.25"/>
    <row r="234913" s="12" customFormat="1" x14ac:dyDescent="0.25"/>
    <row r="234914" s="12" customFormat="1" x14ac:dyDescent="0.25"/>
    <row r="234915" s="12" customFormat="1" x14ac:dyDescent="0.25"/>
    <row r="234916" s="12" customFormat="1" x14ac:dyDescent="0.25"/>
    <row r="234917" s="12" customFormat="1" x14ac:dyDescent="0.25"/>
    <row r="234918" s="12" customFormat="1" x14ac:dyDescent="0.25"/>
    <row r="234919" s="12" customFormat="1" x14ac:dyDescent="0.25"/>
    <row r="234920" s="12" customFormat="1" x14ac:dyDescent="0.25"/>
    <row r="234921" s="12" customFormat="1" x14ac:dyDescent="0.25"/>
    <row r="234922" s="12" customFormat="1" x14ac:dyDescent="0.25"/>
    <row r="234923" s="12" customFormat="1" x14ac:dyDescent="0.25"/>
    <row r="234924" s="12" customFormat="1" x14ac:dyDescent="0.25"/>
    <row r="234925" s="12" customFormat="1" x14ac:dyDescent="0.25"/>
    <row r="234926" s="12" customFormat="1" x14ac:dyDescent="0.25"/>
    <row r="234927" s="12" customFormat="1" x14ac:dyDescent="0.25"/>
    <row r="234928" s="12" customFormat="1" x14ac:dyDescent="0.25"/>
    <row r="234929" s="12" customFormat="1" x14ac:dyDescent="0.25"/>
    <row r="234930" s="12" customFormat="1" x14ac:dyDescent="0.25"/>
    <row r="234931" s="12" customFormat="1" x14ac:dyDescent="0.25"/>
    <row r="234932" s="12" customFormat="1" x14ac:dyDescent="0.25"/>
    <row r="234933" s="12" customFormat="1" x14ac:dyDescent="0.25"/>
    <row r="234934" s="12" customFormat="1" x14ac:dyDescent="0.25"/>
    <row r="234935" s="12" customFormat="1" x14ac:dyDescent="0.25"/>
    <row r="234936" s="12" customFormat="1" x14ac:dyDescent="0.25"/>
    <row r="234937" s="12" customFormat="1" x14ac:dyDescent="0.25"/>
    <row r="234938" s="12" customFormat="1" x14ac:dyDescent="0.25"/>
    <row r="234939" s="12" customFormat="1" x14ac:dyDescent="0.25"/>
    <row r="234940" s="12" customFormat="1" x14ac:dyDescent="0.25"/>
    <row r="234941" s="12" customFormat="1" x14ac:dyDescent="0.25"/>
    <row r="234942" s="12" customFormat="1" x14ac:dyDescent="0.25"/>
    <row r="234943" s="12" customFormat="1" x14ac:dyDescent="0.25"/>
    <row r="234944" s="12" customFormat="1" x14ac:dyDescent="0.25"/>
    <row r="234945" s="12" customFormat="1" x14ac:dyDescent="0.25"/>
    <row r="234946" s="12" customFormat="1" x14ac:dyDescent="0.25"/>
    <row r="234947" s="12" customFormat="1" x14ac:dyDescent="0.25"/>
    <row r="234948" s="12" customFormat="1" x14ac:dyDescent="0.25"/>
    <row r="234949" s="12" customFormat="1" x14ac:dyDescent="0.25"/>
    <row r="234950" s="12" customFormat="1" x14ac:dyDescent="0.25"/>
    <row r="234951" s="12" customFormat="1" x14ac:dyDescent="0.25"/>
    <row r="234952" s="12" customFormat="1" x14ac:dyDescent="0.25"/>
    <row r="234953" s="12" customFormat="1" x14ac:dyDescent="0.25"/>
    <row r="234954" s="12" customFormat="1" x14ac:dyDescent="0.25"/>
    <row r="234955" s="12" customFormat="1" x14ac:dyDescent="0.25"/>
    <row r="234956" s="12" customFormat="1" x14ac:dyDescent="0.25"/>
    <row r="234957" s="12" customFormat="1" x14ac:dyDescent="0.25"/>
    <row r="234958" s="12" customFormat="1" x14ac:dyDescent="0.25"/>
    <row r="234959" s="12" customFormat="1" x14ac:dyDescent="0.25"/>
    <row r="234960" s="12" customFormat="1" x14ac:dyDescent="0.25"/>
    <row r="234961" s="12" customFormat="1" x14ac:dyDescent="0.25"/>
    <row r="234962" s="12" customFormat="1" x14ac:dyDescent="0.25"/>
    <row r="234963" s="12" customFormat="1" x14ac:dyDescent="0.25"/>
    <row r="234964" s="12" customFormat="1" x14ac:dyDescent="0.25"/>
    <row r="234965" s="12" customFormat="1" x14ac:dyDescent="0.25"/>
    <row r="234966" s="12" customFormat="1" x14ac:dyDescent="0.25"/>
    <row r="234967" s="12" customFormat="1" x14ac:dyDescent="0.25"/>
    <row r="234968" s="12" customFormat="1" x14ac:dyDescent="0.25"/>
    <row r="234969" s="12" customFormat="1" x14ac:dyDescent="0.25"/>
    <row r="234970" s="12" customFormat="1" x14ac:dyDescent="0.25"/>
    <row r="234971" s="12" customFormat="1" x14ac:dyDescent="0.25"/>
    <row r="234972" s="12" customFormat="1" x14ac:dyDescent="0.25"/>
    <row r="234973" s="12" customFormat="1" x14ac:dyDescent="0.25"/>
    <row r="234974" s="12" customFormat="1" x14ac:dyDescent="0.25"/>
    <row r="234975" s="12" customFormat="1" x14ac:dyDescent="0.25"/>
    <row r="234976" s="12" customFormat="1" x14ac:dyDescent="0.25"/>
    <row r="234977" s="12" customFormat="1" x14ac:dyDescent="0.25"/>
    <row r="234978" s="12" customFormat="1" x14ac:dyDescent="0.25"/>
    <row r="234979" s="12" customFormat="1" x14ac:dyDescent="0.25"/>
    <row r="234980" s="12" customFormat="1" x14ac:dyDescent="0.25"/>
    <row r="234981" s="12" customFormat="1" x14ac:dyDescent="0.25"/>
    <row r="234982" s="12" customFormat="1" x14ac:dyDescent="0.25"/>
    <row r="234983" s="12" customFormat="1" x14ac:dyDescent="0.25"/>
    <row r="234984" s="12" customFormat="1" x14ac:dyDescent="0.25"/>
    <row r="234985" s="12" customFormat="1" x14ac:dyDescent="0.25"/>
    <row r="234986" s="12" customFormat="1" x14ac:dyDescent="0.25"/>
    <row r="234987" s="12" customFormat="1" x14ac:dyDescent="0.25"/>
    <row r="234988" s="12" customFormat="1" x14ac:dyDescent="0.25"/>
    <row r="234989" s="12" customFormat="1" x14ac:dyDescent="0.25"/>
    <row r="234990" s="12" customFormat="1" x14ac:dyDescent="0.25"/>
    <row r="234991" s="12" customFormat="1" x14ac:dyDescent="0.25"/>
    <row r="234992" s="12" customFormat="1" x14ac:dyDescent="0.25"/>
    <row r="234993" s="12" customFormat="1" x14ac:dyDescent="0.25"/>
    <row r="234994" s="12" customFormat="1" x14ac:dyDescent="0.25"/>
    <row r="234995" s="12" customFormat="1" x14ac:dyDescent="0.25"/>
    <row r="234996" s="12" customFormat="1" x14ac:dyDescent="0.25"/>
    <row r="234997" s="12" customFormat="1" x14ac:dyDescent="0.25"/>
    <row r="234998" s="12" customFormat="1" x14ac:dyDescent="0.25"/>
    <row r="234999" s="12" customFormat="1" x14ac:dyDescent="0.25"/>
    <row r="235000" s="12" customFormat="1" x14ac:dyDescent="0.25"/>
    <row r="235001" s="12" customFormat="1" x14ac:dyDescent="0.25"/>
    <row r="235002" s="12" customFormat="1" x14ac:dyDescent="0.25"/>
    <row r="235003" s="12" customFormat="1" x14ac:dyDescent="0.25"/>
    <row r="235004" s="12" customFormat="1" x14ac:dyDescent="0.25"/>
    <row r="235005" s="12" customFormat="1" x14ac:dyDescent="0.25"/>
    <row r="235006" s="12" customFormat="1" x14ac:dyDescent="0.25"/>
    <row r="235007" s="12" customFormat="1" x14ac:dyDescent="0.25"/>
    <row r="235008" s="12" customFormat="1" x14ac:dyDescent="0.25"/>
    <row r="235009" s="12" customFormat="1" x14ac:dyDescent="0.25"/>
    <row r="235010" s="12" customFormat="1" x14ac:dyDescent="0.25"/>
    <row r="235011" s="12" customFormat="1" x14ac:dyDescent="0.25"/>
    <row r="235012" s="12" customFormat="1" x14ac:dyDescent="0.25"/>
    <row r="235013" s="12" customFormat="1" x14ac:dyDescent="0.25"/>
    <row r="235014" s="12" customFormat="1" x14ac:dyDescent="0.25"/>
    <row r="235015" s="12" customFormat="1" x14ac:dyDescent="0.25"/>
    <row r="235016" s="12" customFormat="1" x14ac:dyDescent="0.25"/>
    <row r="235017" s="12" customFormat="1" x14ac:dyDescent="0.25"/>
    <row r="235018" s="12" customFormat="1" x14ac:dyDescent="0.25"/>
    <row r="235019" s="12" customFormat="1" x14ac:dyDescent="0.25"/>
    <row r="235020" s="12" customFormat="1" x14ac:dyDescent="0.25"/>
    <row r="235021" s="12" customFormat="1" x14ac:dyDescent="0.25"/>
    <row r="235022" s="12" customFormat="1" x14ac:dyDescent="0.25"/>
    <row r="235023" s="12" customFormat="1" x14ac:dyDescent="0.25"/>
    <row r="235024" s="12" customFormat="1" x14ac:dyDescent="0.25"/>
    <row r="235025" s="12" customFormat="1" x14ac:dyDescent="0.25"/>
    <row r="235026" s="12" customFormat="1" x14ac:dyDescent="0.25"/>
    <row r="235027" s="12" customFormat="1" x14ac:dyDescent="0.25"/>
    <row r="235028" s="12" customFormat="1" x14ac:dyDescent="0.25"/>
    <row r="235029" s="12" customFormat="1" x14ac:dyDescent="0.25"/>
    <row r="235030" s="12" customFormat="1" x14ac:dyDescent="0.25"/>
    <row r="235031" s="12" customFormat="1" x14ac:dyDescent="0.25"/>
    <row r="235032" s="12" customFormat="1" x14ac:dyDescent="0.25"/>
    <row r="235033" s="12" customFormat="1" x14ac:dyDescent="0.25"/>
    <row r="235034" s="12" customFormat="1" x14ac:dyDescent="0.25"/>
    <row r="235035" s="12" customFormat="1" x14ac:dyDescent="0.25"/>
    <row r="235036" s="12" customFormat="1" x14ac:dyDescent="0.25"/>
    <row r="235037" s="12" customFormat="1" x14ac:dyDescent="0.25"/>
    <row r="235038" s="12" customFormat="1" x14ac:dyDescent="0.25"/>
    <row r="235039" s="12" customFormat="1" x14ac:dyDescent="0.25"/>
    <row r="235040" s="12" customFormat="1" x14ac:dyDescent="0.25"/>
    <row r="235041" s="12" customFormat="1" x14ac:dyDescent="0.25"/>
    <row r="235042" s="12" customFormat="1" x14ac:dyDescent="0.25"/>
    <row r="235043" s="12" customFormat="1" x14ac:dyDescent="0.25"/>
    <row r="235044" s="12" customFormat="1" x14ac:dyDescent="0.25"/>
    <row r="235045" s="12" customFormat="1" x14ac:dyDescent="0.25"/>
    <row r="235046" s="12" customFormat="1" x14ac:dyDescent="0.25"/>
    <row r="235047" s="12" customFormat="1" x14ac:dyDescent="0.25"/>
    <row r="235048" s="12" customFormat="1" x14ac:dyDescent="0.25"/>
    <row r="235049" s="12" customFormat="1" x14ac:dyDescent="0.25"/>
    <row r="235050" s="12" customFormat="1" x14ac:dyDescent="0.25"/>
    <row r="235051" s="12" customFormat="1" x14ac:dyDescent="0.25"/>
    <row r="235052" s="12" customFormat="1" x14ac:dyDescent="0.25"/>
    <row r="235053" s="12" customFormat="1" x14ac:dyDescent="0.25"/>
    <row r="235054" s="12" customFormat="1" x14ac:dyDescent="0.25"/>
    <row r="235055" s="12" customFormat="1" x14ac:dyDescent="0.25"/>
    <row r="235056" s="12" customFormat="1" x14ac:dyDescent="0.25"/>
    <row r="235057" s="12" customFormat="1" x14ac:dyDescent="0.25"/>
    <row r="235058" s="12" customFormat="1" x14ac:dyDescent="0.25"/>
    <row r="235059" s="12" customFormat="1" x14ac:dyDescent="0.25"/>
    <row r="235060" s="12" customFormat="1" x14ac:dyDescent="0.25"/>
    <row r="235061" s="12" customFormat="1" x14ac:dyDescent="0.25"/>
    <row r="235062" s="12" customFormat="1" x14ac:dyDescent="0.25"/>
    <row r="235063" s="12" customFormat="1" x14ac:dyDescent="0.25"/>
    <row r="235064" s="12" customFormat="1" x14ac:dyDescent="0.25"/>
    <row r="235065" s="12" customFormat="1" x14ac:dyDescent="0.25"/>
    <row r="235066" s="12" customFormat="1" x14ac:dyDescent="0.25"/>
    <row r="235067" s="12" customFormat="1" x14ac:dyDescent="0.25"/>
    <row r="235068" s="12" customFormat="1" x14ac:dyDescent="0.25"/>
    <row r="235069" s="12" customFormat="1" x14ac:dyDescent="0.25"/>
    <row r="235070" s="12" customFormat="1" x14ac:dyDescent="0.25"/>
    <row r="235071" s="12" customFormat="1" x14ac:dyDescent="0.25"/>
    <row r="235072" s="12" customFormat="1" x14ac:dyDescent="0.25"/>
    <row r="235073" s="12" customFormat="1" x14ac:dyDescent="0.25"/>
    <row r="235074" s="12" customFormat="1" x14ac:dyDescent="0.25"/>
    <row r="235075" s="12" customFormat="1" x14ac:dyDescent="0.25"/>
    <row r="235076" s="12" customFormat="1" x14ac:dyDescent="0.25"/>
    <row r="235077" s="12" customFormat="1" x14ac:dyDescent="0.25"/>
    <row r="235078" s="12" customFormat="1" x14ac:dyDescent="0.25"/>
    <row r="235079" s="12" customFormat="1" x14ac:dyDescent="0.25"/>
    <row r="235080" s="12" customFormat="1" x14ac:dyDescent="0.25"/>
    <row r="235081" s="12" customFormat="1" x14ac:dyDescent="0.25"/>
    <row r="235082" s="12" customFormat="1" x14ac:dyDescent="0.25"/>
    <row r="235083" s="12" customFormat="1" x14ac:dyDescent="0.25"/>
    <row r="235084" s="12" customFormat="1" x14ac:dyDescent="0.25"/>
    <row r="235085" s="12" customFormat="1" x14ac:dyDescent="0.25"/>
    <row r="235086" s="12" customFormat="1" x14ac:dyDescent="0.25"/>
    <row r="235087" s="12" customFormat="1" x14ac:dyDescent="0.25"/>
    <row r="235088" s="12" customFormat="1" x14ac:dyDescent="0.25"/>
    <row r="235089" s="12" customFormat="1" x14ac:dyDescent="0.25"/>
    <row r="235090" s="12" customFormat="1" x14ac:dyDescent="0.25"/>
    <row r="235091" s="12" customFormat="1" x14ac:dyDescent="0.25"/>
    <row r="235092" s="12" customFormat="1" x14ac:dyDescent="0.25"/>
    <row r="235093" s="12" customFormat="1" x14ac:dyDescent="0.25"/>
    <row r="235094" s="12" customFormat="1" x14ac:dyDescent="0.25"/>
    <row r="235095" s="12" customFormat="1" x14ac:dyDescent="0.25"/>
    <row r="235096" s="12" customFormat="1" x14ac:dyDescent="0.25"/>
    <row r="235097" s="12" customFormat="1" x14ac:dyDescent="0.25"/>
    <row r="235098" s="12" customFormat="1" x14ac:dyDescent="0.25"/>
    <row r="235099" s="12" customFormat="1" x14ac:dyDescent="0.25"/>
    <row r="235100" s="12" customFormat="1" x14ac:dyDescent="0.25"/>
    <row r="235101" s="12" customFormat="1" x14ac:dyDescent="0.25"/>
    <row r="235102" s="12" customFormat="1" x14ac:dyDescent="0.25"/>
    <row r="235103" s="12" customFormat="1" x14ac:dyDescent="0.25"/>
    <row r="235104" s="12" customFormat="1" x14ac:dyDescent="0.25"/>
    <row r="235105" s="12" customFormat="1" x14ac:dyDescent="0.25"/>
    <row r="235106" s="12" customFormat="1" x14ac:dyDescent="0.25"/>
    <row r="235107" s="12" customFormat="1" x14ac:dyDescent="0.25"/>
    <row r="235108" s="12" customFormat="1" x14ac:dyDescent="0.25"/>
    <row r="235109" s="12" customFormat="1" x14ac:dyDescent="0.25"/>
    <row r="235110" s="12" customFormat="1" x14ac:dyDescent="0.25"/>
    <row r="235111" s="12" customFormat="1" x14ac:dyDescent="0.25"/>
    <row r="235112" s="12" customFormat="1" x14ac:dyDescent="0.25"/>
    <row r="235113" s="12" customFormat="1" x14ac:dyDescent="0.25"/>
    <row r="235114" s="12" customFormat="1" x14ac:dyDescent="0.25"/>
    <row r="235115" s="12" customFormat="1" x14ac:dyDescent="0.25"/>
    <row r="235116" s="12" customFormat="1" x14ac:dyDescent="0.25"/>
    <row r="235117" s="12" customFormat="1" x14ac:dyDescent="0.25"/>
    <row r="235118" s="12" customFormat="1" x14ac:dyDescent="0.25"/>
    <row r="235119" s="12" customFormat="1" x14ac:dyDescent="0.25"/>
    <row r="235120" s="12" customFormat="1" x14ac:dyDescent="0.25"/>
    <row r="235121" s="12" customFormat="1" x14ac:dyDescent="0.25"/>
    <row r="235122" s="12" customFormat="1" x14ac:dyDescent="0.25"/>
    <row r="235123" s="12" customFormat="1" x14ac:dyDescent="0.25"/>
    <row r="235124" s="12" customFormat="1" x14ac:dyDescent="0.25"/>
    <row r="235125" s="12" customFormat="1" x14ac:dyDescent="0.25"/>
    <row r="235126" s="12" customFormat="1" x14ac:dyDescent="0.25"/>
    <row r="235127" s="12" customFormat="1" x14ac:dyDescent="0.25"/>
    <row r="235128" s="12" customFormat="1" x14ac:dyDescent="0.25"/>
    <row r="235129" s="12" customFormat="1" x14ac:dyDescent="0.25"/>
    <row r="235130" s="12" customFormat="1" x14ac:dyDescent="0.25"/>
    <row r="235131" s="12" customFormat="1" x14ac:dyDescent="0.25"/>
    <row r="235132" s="12" customFormat="1" x14ac:dyDescent="0.25"/>
    <row r="235133" s="12" customFormat="1" x14ac:dyDescent="0.25"/>
    <row r="235134" s="12" customFormat="1" x14ac:dyDescent="0.25"/>
    <row r="235135" s="12" customFormat="1" x14ac:dyDescent="0.25"/>
    <row r="235136" s="12" customFormat="1" x14ac:dyDescent="0.25"/>
    <row r="235137" s="12" customFormat="1" x14ac:dyDescent="0.25"/>
    <row r="235138" s="12" customFormat="1" x14ac:dyDescent="0.25"/>
    <row r="235139" s="12" customFormat="1" x14ac:dyDescent="0.25"/>
    <row r="235140" s="12" customFormat="1" x14ac:dyDescent="0.25"/>
    <row r="235141" s="12" customFormat="1" x14ac:dyDescent="0.25"/>
    <row r="235142" s="12" customFormat="1" x14ac:dyDescent="0.25"/>
    <row r="235143" s="12" customFormat="1" x14ac:dyDescent="0.25"/>
    <row r="235144" s="12" customFormat="1" x14ac:dyDescent="0.25"/>
    <row r="235145" s="12" customFormat="1" x14ac:dyDescent="0.25"/>
    <row r="235146" s="12" customFormat="1" x14ac:dyDescent="0.25"/>
    <row r="235147" s="12" customFormat="1" x14ac:dyDescent="0.25"/>
    <row r="235148" s="12" customFormat="1" x14ac:dyDescent="0.25"/>
    <row r="235149" s="12" customFormat="1" x14ac:dyDescent="0.25"/>
    <row r="235150" s="12" customFormat="1" x14ac:dyDescent="0.25"/>
    <row r="235151" s="12" customFormat="1" x14ac:dyDescent="0.25"/>
    <row r="235152" s="12" customFormat="1" x14ac:dyDescent="0.25"/>
    <row r="235153" s="12" customFormat="1" x14ac:dyDescent="0.25"/>
    <row r="235154" s="12" customFormat="1" x14ac:dyDescent="0.25"/>
    <row r="235155" s="12" customFormat="1" x14ac:dyDescent="0.25"/>
    <row r="235156" s="12" customFormat="1" x14ac:dyDescent="0.25"/>
    <row r="235157" s="12" customFormat="1" x14ac:dyDescent="0.25"/>
    <row r="235158" s="12" customFormat="1" x14ac:dyDescent="0.25"/>
    <row r="235159" s="12" customFormat="1" x14ac:dyDescent="0.25"/>
    <row r="235160" s="12" customFormat="1" x14ac:dyDescent="0.25"/>
    <row r="235161" s="12" customFormat="1" x14ac:dyDescent="0.25"/>
    <row r="235162" s="12" customFormat="1" x14ac:dyDescent="0.25"/>
    <row r="235163" s="12" customFormat="1" x14ac:dyDescent="0.25"/>
    <row r="235164" s="12" customFormat="1" x14ac:dyDescent="0.25"/>
    <row r="235165" s="12" customFormat="1" x14ac:dyDescent="0.25"/>
    <row r="235166" s="12" customFormat="1" x14ac:dyDescent="0.25"/>
    <row r="235167" s="12" customFormat="1" x14ac:dyDescent="0.25"/>
    <row r="235168" s="12" customFormat="1" x14ac:dyDescent="0.25"/>
    <row r="235169" s="12" customFormat="1" x14ac:dyDescent="0.25"/>
    <row r="235170" s="12" customFormat="1" x14ac:dyDescent="0.25"/>
    <row r="235171" s="12" customFormat="1" x14ac:dyDescent="0.25"/>
    <row r="235172" s="12" customFormat="1" x14ac:dyDescent="0.25"/>
    <row r="235173" s="12" customFormat="1" x14ac:dyDescent="0.25"/>
    <row r="235174" s="12" customFormat="1" x14ac:dyDescent="0.25"/>
    <row r="235175" s="12" customFormat="1" x14ac:dyDescent="0.25"/>
    <row r="235176" s="12" customFormat="1" x14ac:dyDescent="0.25"/>
    <row r="235177" s="12" customFormat="1" x14ac:dyDescent="0.25"/>
    <row r="235178" s="12" customFormat="1" x14ac:dyDescent="0.25"/>
    <row r="235179" s="12" customFormat="1" x14ac:dyDescent="0.25"/>
    <row r="235180" s="12" customFormat="1" x14ac:dyDescent="0.25"/>
    <row r="235181" s="12" customFormat="1" x14ac:dyDescent="0.25"/>
    <row r="235182" s="12" customFormat="1" x14ac:dyDescent="0.25"/>
    <row r="235183" s="12" customFormat="1" x14ac:dyDescent="0.25"/>
    <row r="235184" s="12" customFormat="1" x14ac:dyDescent="0.25"/>
    <row r="235185" s="12" customFormat="1" x14ac:dyDescent="0.25"/>
    <row r="235186" s="12" customFormat="1" x14ac:dyDescent="0.25"/>
    <row r="235187" s="12" customFormat="1" x14ac:dyDescent="0.25"/>
    <row r="235188" s="12" customFormat="1" x14ac:dyDescent="0.25"/>
    <row r="235189" s="12" customFormat="1" x14ac:dyDescent="0.25"/>
    <row r="235190" s="12" customFormat="1" x14ac:dyDescent="0.25"/>
    <row r="235191" s="12" customFormat="1" x14ac:dyDescent="0.25"/>
    <row r="235192" s="12" customFormat="1" x14ac:dyDescent="0.25"/>
    <row r="235193" s="12" customFormat="1" x14ac:dyDescent="0.25"/>
    <row r="235194" s="12" customFormat="1" x14ac:dyDescent="0.25"/>
    <row r="235195" s="12" customFormat="1" x14ac:dyDescent="0.25"/>
    <row r="235196" s="12" customFormat="1" x14ac:dyDescent="0.25"/>
    <row r="235197" s="12" customFormat="1" x14ac:dyDescent="0.25"/>
    <row r="235198" s="12" customFormat="1" x14ac:dyDescent="0.25"/>
    <row r="235199" s="12" customFormat="1" x14ac:dyDescent="0.25"/>
    <row r="235200" s="12" customFormat="1" x14ac:dyDescent="0.25"/>
    <row r="235201" s="12" customFormat="1" x14ac:dyDescent="0.25"/>
    <row r="235202" s="12" customFormat="1" x14ac:dyDescent="0.25"/>
    <row r="235203" s="12" customFormat="1" x14ac:dyDescent="0.25"/>
    <row r="235204" s="12" customFormat="1" x14ac:dyDescent="0.25"/>
    <row r="235205" s="12" customFormat="1" x14ac:dyDescent="0.25"/>
    <row r="235206" s="12" customFormat="1" x14ac:dyDescent="0.25"/>
    <row r="235207" s="12" customFormat="1" x14ac:dyDescent="0.25"/>
    <row r="235208" s="12" customFormat="1" x14ac:dyDescent="0.25"/>
    <row r="235209" s="12" customFormat="1" x14ac:dyDescent="0.25"/>
    <row r="235210" s="12" customFormat="1" x14ac:dyDescent="0.25"/>
    <row r="235211" s="12" customFormat="1" x14ac:dyDescent="0.25"/>
    <row r="235212" s="12" customFormat="1" x14ac:dyDescent="0.25"/>
    <row r="235213" s="12" customFormat="1" x14ac:dyDescent="0.25"/>
    <row r="235214" s="12" customFormat="1" x14ac:dyDescent="0.25"/>
    <row r="235215" s="12" customFormat="1" x14ac:dyDescent="0.25"/>
    <row r="235216" s="12" customFormat="1" x14ac:dyDescent="0.25"/>
    <row r="235217" s="12" customFormat="1" x14ac:dyDescent="0.25"/>
    <row r="235218" s="12" customFormat="1" x14ac:dyDescent="0.25"/>
    <row r="235219" s="12" customFormat="1" x14ac:dyDescent="0.25"/>
    <row r="235220" s="12" customFormat="1" x14ac:dyDescent="0.25"/>
    <row r="235221" s="12" customFormat="1" x14ac:dyDescent="0.25"/>
    <row r="235222" s="12" customFormat="1" x14ac:dyDescent="0.25"/>
    <row r="235223" s="12" customFormat="1" x14ac:dyDescent="0.25"/>
    <row r="235224" s="12" customFormat="1" x14ac:dyDescent="0.25"/>
    <row r="235225" s="12" customFormat="1" x14ac:dyDescent="0.25"/>
    <row r="235226" s="12" customFormat="1" x14ac:dyDescent="0.25"/>
    <row r="235227" s="12" customFormat="1" x14ac:dyDescent="0.25"/>
    <row r="235228" s="12" customFormat="1" x14ac:dyDescent="0.25"/>
    <row r="235229" s="12" customFormat="1" x14ac:dyDescent="0.25"/>
    <row r="235230" s="12" customFormat="1" x14ac:dyDescent="0.25"/>
    <row r="235231" s="12" customFormat="1" x14ac:dyDescent="0.25"/>
    <row r="235232" s="12" customFormat="1" x14ac:dyDescent="0.25"/>
    <row r="235233" s="12" customFormat="1" x14ac:dyDescent="0.25"/>
    <row r="235234" s="12" customFormat="1" x14ac:dyDescent="0.25"/>
    <row r="235235" s="12" customFormat="1" x14ac:dyDescent="0.25"/>
    <row r="235236" s="12" customFormat="1" x14ac:dyDescent="0.25"/>
    <row r="235237" s="12" customFormat="1" x14ac:dyDescent="0.25"/>
    <row r="235238" s="12" customFormat="1" x14ac:dyDescent="0.25"/>
    <row r="235239" s="12" customFormat="1" x14ac:dyDescent="0.25"/>
    <row r="235240" s="12" customFormat="1" x14ac:dyDescent="0.25"/>
    <row r="235241" s="12" customFormat="1" x14ac:dyDescent="0.25"/>
    <row r="235242" s="12" customFormat="1" x14ac:dyDescent="0.25"/>
    <row r="235243" s="12" customFormat="1" x14ac:dyDescent="0.25"/>
    <row r="235244" s="12" customFormat="1" x14ac:dyDescent="0.25"/>
    <row r="235245" s="12" customFormat="1" x14ac:dyDescent="0.25"/>
    <row r="235246" s="12" customFormat="1" x14ac:dyDescent="0.25"/>
    <row r="235247" s="12" customFormat="1" x14ac:dyDescent="0.25"/>
    <row r="235248" s="12" customFormat="1" x14ac:dyDescent="0.25"/>
    <row r="235249" s="12" customFormat="1" x14ac:dyDescent="0.25"/>
    <row r="235250" s="12" customFormat="1" x14ac:dyDescent="0.25"/>
    <row r="235251" s="12" customFormat="1" x14ac:dyDescent="0.25"/>
    <row r="235252" s="12" customFormat="1" x14ac:dyDescent="0.25"/>
    <row r="235253" s="12" customFormat="1" x14ac:dyDescent="0.25"/>
    <row r="235254" s="12" customFormat="1" x14ac:dyDescent="0.25"/>
    <row r="235255" s="12" customFormat="1" x14ac:dyDescent="0.25"/>
    <row r="235256" s="12" customFormat="1" x14ac:dyDescent="0.25"/>
    <row r="235257" s="12" customFormat="1" x14ac:dyDescent="0.25"/>
    <row r="235258" s="12" customFormat="1" x14ac:dyDescent="0.25"/>
    <row r="235259" s="12" customFormat="1" x14ac:dyDescent="0.25"/>
    <row r="235260" s="12" customFormat="1" x14ac:dyDescent="0.25"/>
    <row r="235261" s="12" customFormat="1" x14ac:dyDescent="0.25"/>
    <row r="235262" s="12" customFormat="1" x14ac:dyDescent="0.25"/>
    <row r="235263" s="12" customFormat="1" x14ac:dyDescent="0.25"/>
    <row r="235264" s="12" customFormat="1" x14ac:dyDescent="0.25"/>
    <row r="235265" s="12" customFormat="1" x14ac:dyDescent="0.25"/>
    <row r="235266" s="12" customFormat="1" x14ac:dyDescent="0.25"/>
    <row r="235267" s="12" customFormat="1" x14ac:dyDescent="0.25"/>
    <row r="235268" s="12" customFormat="1" x14ac:dyDescent="0.25"/>
    <row r="235269" s="12" customFormat="1" x14ac:dyDescent="0.25"/>
    <row r="235270" s="12" customFormat="1" x14ac:dyDescent="0.25"/>
    <row r="235271" s="12" customFormat="1" x14ac:dyDescent="0.25"/>
    <row r="235272" s="12" customFormat="1" x14ac:dyDescent="0.25"/>
    <row r="235273" s="12" customFormat="1" x14ac:dyDescent="0.25"/>
    <row r="235274" s="12" customFormat="1" x14ac:dyDescent="0.25"/>
    <row r="235275" s="12" customFormat="1" x14ac:dyDescent="0.25"/>
    <row r="235276" s="12" customFormat="1" x14ac:dyDescent="0.25"/>
    <row r="235277" s="12" customFormat="1" x14ac:dyDescent="0.25"/>
    <row r="235278" s="12" customFormat="1" x14ac:dyDescent="0.25"/>
    <row r="235279" s="12" customFormat="1" x14ac:dyDescent="0.25"/>
    <row r="235280" s="12" customFormat="1" x14ac:dyDescent="0.25"/>
    <row r="235281" s="12" customFormat="1" x14ac:dyDescent="0.25"/>
    <row r="235282" s="12" customFormat="1" x14ac:dyDescent="0.25"/>
    <row r="235283" s="12" customFormat="1" x14ac:dyDescent="0.25"/>
    <row r="235284" s="12" customFormat="1" x14ac:dyDescent="0.25"/>
    <row r="235285" s="12" customFormat="1" x14ac:dyDescent="0.25"/>
    <row r="235286" s="12" customFormat="1" x14ac:dyDescent="0.25"/>
    <row r="235287" s="12" customFormat="1" x14ac:dyDescent="0.25"/>
    <row r="235288" s="12" customFormat="1" x14ac:dyDescent="0.25"/>
    <row r="235289" s="12" customFormat="1" x14ac:dyDescent="0.25"/>
    <row r="235290" s="12" customFormat="1" x14ac:dyDescent="0.25"/>
    <row r="235291" s="12" customFormat="1" x14ac:dyDescent="0.25"/>
    <row r="235292" s="12" customFormat="1" x14ac:dyDescent="0.25"/>
    <row r="235293" s="12" customFormat="1" x14ac:dyDescent="0.25"/>
    <row r="235294" s="12" customFormat="1" x14ac:dyDescent="0.25"/>
    <row r="235295" s="12" customFormat="1" x14ac:dyDescent="0.25"/>
    <row r="235296" s="12" customFormat="1" x14ac:dyDescent="0.25"/>
    <row r="235297" s="12" customFormat="1" x14ac:dyDescent="0.25"/>
    <row r="235298" s="12" customFormat="1" x14ac:dyDescent="0.25"/>
    <row r="235299" s="12" customFormat="1" x14ac:dyDescent="0.25"/>
    <row r="235300" s="12" customFormat="1" x14ac:dyDescent="0.25"/>
    <row r="235301" s="12" customFormat="1" x14ac:dyDescent="0.25"/>
    <row r="235302" s="12" customFormat="1" x14ac:dyDescent="0.25"/>
    <row r="235303" s="12" customFormat="1" x14ac:dyDescent="0.25"/>
    <row r="235304" s="12" customFormat="1" x14ac:dyDescent="0.25"/>
    <row r="235305" s="12" customFormat="1" x14ac:dyDescent="0.25"/>
    <row r="235306" s="12" customFormat="1" x14ac:dyDescent="0.25"/>
    <row r="235307" s="12" customFormat="1" x14ac:dyDescent="0.25"/>
    <row r="235308" s="12" customFormat="1" x14ac:dyDescent="0.25"/>
    <row r="235309" s="12" customFormat="1" x14ac:dyDescent="0.25"/>
    <row r="235310" s="12" customFormat="1" x14ac:dyDescent="0.25"/>
    <row r="235311" s="12" customFormat="1" x14ac:dyDescent="0.25"/>
    <row r="235312" s="12" customFormat="1" x14ac:dyDescent="0.25"/>
    <row r="235313" s="12" customFormat="1" x14ac:dyDescent="0.25"/>
    <row r="235314" s="12" customFormat="1" x14ac:dyDescent="0.25"/>
    <row r="235315" s="12" customFormat="1" x14ac:dyDescent="0.25"/>
    <row r="235316" s="12" customFormat="1" x14ac:dyDescent="0.25"/>
    <row r="235317" s="12" customFormat="1" x14ac:dyDescent="0.25"/>
    <row r="235318" s="12" customFormat="1" x14ac:dyDescent="0.25"/>
    <row r="235319" s="12" customFormat="1" x14ac:dyDescent="0.25"/>
    <row r="235320" s="12" customFormat="1" x14ac:dyDescent="0.25"/>
    <row r="235321" s="12" customFormat="1" x14ac:dyDescent="0.25"/>
    <row r="235322" s="12" customFormat="1" x14ac:dyDescent="0.25"/>
    <row r="235323" s="12" customFormat="1" x14ac:dyDescent="0.25"/>
    <row r="235324" s="12" customFormat="1" x14ac:dyDescent="0.25"/>
    <row r="235325" s="12" customFormat="1" x14ac:dyDescent="0.25"/>
    <row r="235326" s="12" customFormat="1" x14ac:dyDescent="0.25"/>
    <row r="235327" s="12" customFormat="1" x14ac:dyDescent="0.25"/>
    <row r="235328" s="12" customFormat="1" x14ac:dyDescent="0.25"/>
    <row r="235329" s="12" customFormat="1" x14ac:dyDescent="0.25"/>
    <row r="235330" s="12" customFormat="1" x14ac:dyDescent="0.25"/>
    <row r="235331" s="12" customFormat="1" x14ac:dyDescent="0.25"/>
    <row r="235332" s="12" customFormat="1" x14ac:dyDescent="0.25"/>
    <row r="235333" s="12" customFormat="1" x14ac:dyDescent="0.25"/>
    <row r="235334" s="12" customFormat="1" x14ac:dyDescent="0.25"/>
    <row r="235335" s="12" customFormat="1" x14ac:dyDescent="0.25"/>
    <row r="235336" s="12" customFormat="1" x14ac:dyDescent="0.25"/>
    <row r="235337" s="12" customFormat="1" x14ac:dyDescent="0.25"/>
    <row r="235338" s="12" customFormat="1" x14ac:dyDescent="0.25"/>
    <row r="235339" s="12" customFormat="1" x14ac:dyDescent="0.25"/>
    <row r="235340" s="12" customFormat="1" x14ac:dyDescent="0.25"/>
    <row r="235341" s="12" customFormat="1" x14ac:dyDescent="0.25"/>
    <row r="235342" s="12" customFormat="1" x14ac:dyDescent="0.25"/>
    <row r="235343" s="12" customFormat="1" x14ac:dyDescent="0.25"/>
    <row r="235344" s="12" customFormat="1" x14ac:dyDescent="0.25"/>
    <row r="235345" s="12" customFormat="1" x14ac:dyDescent="0.25"/>
    <row r="235346" s="12" customFormat="1" x14ac:dyDescent="0.25"/>
    <row r="235347" s="12" customFormat="1" x14ac:dyDescent="0.25"/>
    <row r="235348" s="12" customFormat="1" x14ac:dyDescent="0.25"/>
    <row r="235349" s="12" customFormat="1" x14ac:dyDescent="0.25"/>
    <row r="235350" s="12" customFormat="1" x14ac:dyDescent="0.25"/>
    <row r="235351" s="12" customFormat="1" x14ac:dyDescent="0.25"/>
    <row r="235352" s="12" customFormat="1" x14ac:dyDescent="0.25"/>
    <row r="235353" s="12" customFormat="1" x14ac:dyDescent="0.25"/>
    <row r="235354" s="12" customFormat="1" x14ac:dyDescent="0.25"/>
    <row r="235355" s="12" customFormat="1" x14ac:dyDescent="0.25"/>
    <row r="235356" s="12" customFormat="1" x14ac:dyDescent="0.25"/>
    <row r="235357" s="12" customFormat="1" x14ac:dyDescent="0.25"/>
    <row r="235358" s="12" customFormat="1" x14ac:dyDescent="0.25"/>
    <row r="235359" s="12" customFormat="1" x14ac:dyDescent="0.25"/>
    <row r="235360" s="12" customFormat="1" x14ac:dyDescent="0.25"/>
    <row r="235361" s="12" customFormat="1" x14ac:dyDescent="0.25"/>
    <row r="235362" s="12" customFormat="1" x14ac:dyDescent="0.25"/>
    <row r="235363" s="12" customFormat="1" x14ac:dyDescent="0.25"/>
    <row r="235364" s="12" customFormat="1" x14ac:dyDescent="0.25"/>
    <row r="235365" s="12" customFormat="1" x14ac:dyDescent="0.25"/>
    <row r="235366" s="12" customFormat="1" x14ac:dyDescent="0.25"/>
    <row r="235367" s="12" customFormat="1" x14ac:dyDescent="0.25"/>
    <row r="235368" s="12" customFormat="1" x14ac:dyDescent="0.25"/>
    <row r="235369" s="12" customFormat="1" x14ac:dyDescent="0.25"/>
    <row r="235370" s="12" customFormat="1" x14ac:dyDescent="0.25"/>
    <row r="235371" s="12" customFormat="1" x14ac:dyDescent="0.25"/>
    <row r="235372" s="12" customFormat="1" x14ac:dyDescent="0.25"/>
    <row r="235373" s="12" customFormat="1" x14ac:dyDescent="0.25"/>
    <row r="235374" s="12" customFormat="1" x14ac:dyDescent="0.25"/>
    <row r="235375" s="12" customFormat="1" x14ac:dyDescent="0.25"/>
    <row r="235376" s="12" customFormat="1" x14ac:dyDescent="0.25"/>
    <row r="235377" s="12" customFormat="1" x14ac:dyDescent="0.25"/>
    <row r="235378" s="12" customFormat="1" x14ac:dyDescent="0.25"/>
    <row r="235379" s="12" customFormat="1" x14ac:dyDescent="0.25"/>
    <row r="235380" s="12" customFormat="1" x14ac:dyDescent="0.25"/>
    <row r="235381" s="12" customFormat="1" x14ac:dyDescent="0.25"/>
    <row r="235382" s="12" customFormat="1" x14ac:dyDescent="0.25"/>
    <row r="235383" s="12" customFormat="1" x14ac:dyDescent="0.25"/>
    <row r="235384" s="12" customFormat="1" x14ac:dyDescent="0.25"/>
    <row r="235385" s="12" customFormat="1" x14ac:dyDescent="0.25"/>
    <row r="235386" s="12" customFormat="1" x14ac:dyDescent="0.25"/>
    <row r="235387" s="12" customFormat="1" x14ac:dyDescent="0.25"/>
    <row r="235388" s="12" customFormat="1" x14ac:dyDescent="0.25"/>
    <row r="235389" s="12" customFormat="1" x14ac:dyDescent="0.25"/>
    <row r="235390" s="12" customFormat="1" x14ac:dyDescent="0.25"/>
    <row r="235391" s="12" customFormat="1" x14ac:dyDescent="0.25"/>
    <row r="235392" s="12" customFormat="1" x14ac:dyDescent="0.25"/>
    <row r="235393" s="12" customFormat="1" x14ac:dyDescent="0.25"/>
    <row r="235394" s="12" customFormat="1" x14ac:dyDescent="0.25"/>
    <row r="235395" s="12" customFormat="1" x14ac:dyDescent="0.25"/>
    <row r="235396" s="12" customFormat="1" x14ac:dyDescent="0.25"/>
    <row r="235397" s="12" customFormat="1" x14ac:dyDescent="0.25"/>
    <row r="235398" s="12" customFormat="1" x14ac:dyDescent="0.25"/>
    <row r="235399" s="12" customFormat="1" x14ac:dyDescent="0.25"/>
    <row r="235400" s="12" customFormat="1" x14ac:dyDescent="0.25"/>
    <row r="235401" s="12" customFormat="1" x14ac:dyDescent="0.25"/>
    <row r="235402" s="12" customFormat="1" x14ac:dyDescent="0.25"/>
    <row r="235403" s="12" customFormat="1" x14ac:dyDescent="0.25"/>
    <row r="235404" s="12" customFormat="1" x14ac:dyDescent="0.25"/>
    <row r="235405" s="12" customFormat="1" x14ac:dyDescent="0.25"/>
    <row r="235406" s="12" customFormat="1" x14ac:dyDescent="0.25"/>
    <row r="235407" s="12" customFormat="1" x14ac:dyDescent="0.25"/>
    <row r="235408" s="12" customFormat="1" x14ac:dyDescent="0.25"/>
    <row r="235409" s="12" customFormat="1" x14ac:dyDescent="0.25"/>
    <row r="235410" s="12" customFormat="1" x14ac:dyDescent="0.25"/>
    <row r="235411" s="12" customFormat="1" x14ac:dyDescent="0.25"/>
    <row r="235412" s="12" customFormat="1" x14ac:dyDescent="0.25"/>
    <row r="235413" s="12" customFormat="1" x14ac:dyDescent="0.25"/>
    <row r="235414" s="12" customFormat="1" x14ac:dyDescent="0.25"/>
    <row r="235415" s="12" customFormat="1" x14ac:dyDescent="0.25"/>
    <row r="235416" s="12" customFormat="1" x14ac:dyDescent="0.25"/>
    <row r="235417" s="12" customFormat="1" x14ac:dyDescent="0.25"/>
    <row r="235418" s="12" customFormat="1" x14ac:dyDescent="0.25"/>
    <row r="235419" s="12" customFormat="1" x14ac:dyDescent="0.25"/>
    <row r="235420" s="12" customFormat="1" x14ac:dyDescent="0.25"/>
    <row r="235421" s="12" customFormat="1" x14ac:dyDescent="0.25"/>
    <row r="235422" s="12" customFormat="1" x14ac:dyDescent="0.25"/>
    <row r="235423" s="12" customFormat="1" x14ac:dyDescent="0.25"/>
    <row r="235424" s="12" customFormat="1" x14ac:dyDescent="0.25"/>
    <row r="235425" s="12" customFormat="1" x14ac:dyDescent="0.25"/>
    <row r="235426" s="12" customFormat="1" x14ac:dyDescent="0.25"/>
    <row r="235427" s="12" customFormat="1" x14ac:dyDescent="0.25"/>
    <row r="235428" s="12" customFormat="1" x14ac:dyDescent="0.25"/>
    <row r="235429" s="12" customFormat="1" x14ac:dyDescent="0.25"/>
    <row r="235430" s="12" customFormat="1" x14ac:dyDescent="0.25"/>
    <row r="235431" s="12" customFormat="1" x14ac:dyDescent="0.25"/>
    <row r="235432" s="12" customFormat="1" x14ac:dyDescent="0.25"/>
    <row r="235433" s="12" customFormat="1" x14ac:dyDescent="0.25"/>
    <row r="235434" s="12" customFormat="1" x14ac:dyDescent="0.25"/>
    <row r="235435" s="12" customFormat="1" x14ac:dyDescent="0.25"/>
    <row r="235436" s="12" customFormat="1" x14ac:dyDescent="0.25"/>
    <row r="235437" s="12" customFormat="1" x14ac:dyDescent="0.25"/>
    <row r="235438" s="12" customFormat="1" x14ac:dyDescent="0.25"/>
    <row r="235439" s="12" customFormat="1" x14ac:dyDescent="0.25"/>
    <row r="235440" s="12" customFormat="1" x14ac:dyDescent="0.25"/>
    <row r="235441" s="12" customFormat="1" x14ac:dyDescent="0.25"/>
    <row r="235442" s="12" customFormat="1" x14ac:dyDescent="0.25"/>
    <row r="235443" s="12" customFormat="1" x14ac:dyDescent="0.25"/>
    <row r="235444" s="12" customFormat="1" x14ac:dyDescent="0.25"/>
    <row r="235445" s="12" customFormat="1" x14ac:dyDescent="0.25"/>
    <row r="235446" s="12" customFormat="1" x14ac:dyDescent="0.25"/>
    <row r="235447" s="12" customFormat="1" x14ac:dyDescent="0.25"/>
    <row r="235448" s="12" customFormat="1" x14ac:dyDescent="0.25"/>
    <row r="235449" s="12" customFormat="1" x14ac:dyDescent="0.25"/>
    <row r="235450" s="12" customFormat="1" x14ac:dyDescent="0.25"/>
    <row r="235451" s="12" customFormat="1" x14ac:dyDescent="0.25"/>
    <row r="235452" s="12" customFormat="1" x14ac:dyDescent="0.25"/>
    <row r="235453" s="12" customFormat="1" x14ac:dyDescent="0.25"/>
    <row r="235454" s="12" customFormat="1" x14ac:dyDescent="0.25"/>
    <row r="235455" s="12" customFormat="1" x14ac:dyDescent="0.25"/>
    <row r="235456" s="12" customFormat="1" x14ac:dyDescent="0.25"/>
    <row r="235457" s="12" customFormat="1" x14ac:dyDescent="0.25"/>
    <row r="235458" s="12" customFormat="1" x14ac:dyDescent="0.25"/>
    <row r="235459" s="12" customFormat="1" x14ac:dyDescent="0.25"/>
    <row r="235460" s="12" customFormat="1" x14ac:dyDescent="0.25"/>
    <row r="235461" s="12" customFormat="1" x14ac:dyDescent="0.25"/>
    <row r="235462" s="12" customFormat="1" x14ac:dyDescent="0.25"/>
    <row r="235463" s="12" customFormat="1" x14ac:dyDescent="0.25"/>
    <row r="235464" s="12" customFormat="1" x14ac:dyDescent="0.25"/>
    <row r="235465" s="12" customFormat="1" x14ac:dyDescent="0.25"/>
    <row r="235466" s="12" customFormat="1" x14ac:dyDescent="0.25"/>
    <row r="235467" s="12" customFormat="1" x14ac:dyDescent="0.25"/>
    <row r="235468" s="12" customFormat="1" x14ac:dyDescent="0.25"/>
    <row r="235469" s="12" customFormat="1" x14ac:dyDescent="0.25"/>
    <row r="235470" s="12" customFormat="1" x14ac:dyDescent="0.25"/>
    <row r="235471" s="12" customFormat="1" x14ac:dyDescent="0.25"/>
    <row r="235472" s="12" customFormat="1" x14ac:dyDescent="0.25"/>
    <row r="235473" s="12" customFormat="1" x14ac:dyDescent="0.25"/>
    <row r="235474" s="12" customFormat="1" x14ac:dyDescent="0.25"/>
    <row r="235475" s="12" customFormat="1" x14ac:dyDescent="0.25"/>
    <row r="235476" s="12" customFormat="1" x14ac:dyDescent="0.25"/>
    <row r="235477" s="12" customFormat="1" x14ac:dyDescent="0.25"/>
    <row r="235478" s="12" customFormat="1" x14ac:dyDescent="0.25"/>
    <row r="235479" s="12" customFormat="1" x14ac:dyDescent="0.25"/>
    <row r="235480" s="12" customFormat="1" x14ac:dyDescent="0.25"/>
    <row r="235481" s="12" customFormat="1" x14ac:dyDescent="0.25"/>
    <row r="235482" s="12" customFormat="1" x14ac:dyDescent="0.25"/>
    <row r="235483" s="12" customFormat="1" x14ac:dyDescent="0.25"/>
    <row r="235484" s="12" customFormat="1" x14ac:dyDescent="0.25"/>
    <row r="235485" s="12" customFormat="1" x14ac:dyDescent="0.25"/>
    <row r="235486" s="12" customFormat="1" x14ac:dyDescent="0.25"/>
    <row r="235487" s="12" customFormat="1" x14ac:dyDescent="0.25"/>
    <row r="235488" s="12" customFormat="1" x14ac:dyDescent="0.25"/>
    <row r="235489" s="12" customFormat="1" x14ac:dyDescent="0.25"/>
    <row r="235490" s="12" customFormat="1" x14ac:dyDescent="0.25"/>
    <row r="235491" s="12" customFormat="1" x14ac:dyDescent="0.25"/>
    <row r="235492" s="12" customFormat="1" x14ac:dyDescent="0.25"/>
    <row r="235493" s="12" customFormat="1" x14ac:dyDescent="0.25"/>
    <row r="235494" s="12" customFormat="1" x14ac:dyDescent="0.25"/>
    <row r="235495" s="12" customFormat="1" x14ac:dyDescent="0.25"/>
    <row r="235496" s="12" customFormat="1" x14ac:dyDescent="0.25"/>
    <row r="235497" s="12" customFormat="1" x14ac:dyDescent="0.25"/>
    <row r="235498" s="12" customFormat="1" x14ac:dyDescent="0.25"/>
    <row r="235499" s="12" customFormat="1" x14ac:dyDescent="0.25"/>
    <row r="235500" s="12" customFormat="1" x14ac:dyDescent="0.25"/>
    <row r="235501" s="12" customFormat="1" x14ac:dyDescent="0.25"/>
    <row r="235502" s="12" customFormat="1" x14ac:dyDescent="0.25"/>
    <row r="235503" s="12" customFormat="1" x14ac:dyDescent="0.25"/>
    <row r="235504" s="12" customFormat="1" x14ac:dyDescent="0.25"/>
    <row r="235505" s="12" customFormat="1" x14ac:dyDescent="0.25"/>
    <row r="235506" s="12" customFormat="1" x14ac:dyDescent="0.25"/>
    <row r="235507" s="12" customFormat="1" x14ac:dyDescent="0.25"/>
    <row r="235508" s="12" customFormat="1" x14ac:dyDescent="0.25"/>
    <row r="235509" s="12" customFormat="1" x14ac:dyDescent="0.25"/>
    <row r="235510" s="12" customFormat="1" x14ac:dyDescent="0.25"/>
    <row r="235511" s="12" customFormat="1" x14ac:dyDescent="0.25"/>
    <row r="235512" s="12" customFormat="1" x14ac:dyDescent="0.25"/>
    <row r="235513" s="12" customFormat="1" x14ac:dyDescent="0.25"/>
    <row r="235514" s="12" customFormat="1" x14ac:dyDescent="0.25"/>
    <row r="235515" s="12" customFormat="1" x14ac:dyDescent="0.25"/>
    <row r="235516" s="12" customFormat="1" x14ac:dyDescent="0.25"/>
    <row r="235517" s="12" customFormat="1" x14ac:dyDescent="0.25"/>
    <row r="235518" s="12" customFormat="1" x14ac:dyDescent="0.25"/>
    <row r="235519" s="12" customFormat="1" x14ac:dyDescent="0.25"/>
    <row r="235520" s="12" customFormat="1" x14ac:dyDescent="0.25"/>
    <row r="235521" s="12" customFormat="1" x14ac:dyDescent="0.25"/>
    <row r="235522" s="12" customFormat="1" x14ac:dyDescent="0.25"/>
    <row r="235523" s="12" customFormat="1" x14ac:dyDescent="0.25"/>
    <row r="235524" s="12" customFormat="1" x14ac:dyDescent="0.25"/>
    <row r="235525" s="12" customFormat="1" x14ac:dyDescent="0.25"/>
    <row r="235526" s="12" customFormat="1" x14ac:dyDescent="0.25"/>
    <row r="235527" s="12" customFormat="1" x14ac:dyDescent="0.25"/>
    <row r="235528" s="12" customFormat="1" x14ac:dyDescent="0.25"/>
    <row r="235529" s="12" customFormat="1" x14ac:dyDescent="0.25"/>
    <row r="235530" s="12" customFormat="1" x14ac:dyDescent="0.25"/>
    <row r="235531" s="12" customFormat="1" x14ac:dyDescent="0.25"/>
    <row r="235532" s="12" customFormat="1" x14ac:dyDescent="0.25"/>
    <row r="235533" s="12" customFormat="1" x14ac:dyDescent="0.25"/>
    <row r="235534" s="12" customFormat="1" x14ac:dyDescent="0.25"/>
    <row r="235535" s="12" customFormat="1" x14ac:dyDescent="0.25"/>
    <row r="235536" s="12" customFormat="1" x14ac:dyDescent="0.25"/>
    <row r="235537" s="12" customFormat="1" x14ac:dyDescent="0.25"/>
    <row r="235538" s="12" customFormat="1" x14ac:dyDescent="0.25"/>
    <row r="235539" s="12" customFormat="1" x14ac:dyDescent="0.25"/>
    <row r="235540" s="12" customFormat="1" x14ac:dyDescent="0.25"/>
    <row r="235541" s="12" customFormat="1" x14ac:dyDescent="0.25"/>
    <row r="235542" s="12" customFormat="1" x14ac:dyDescent="0.25"/>
    <row r="235543" s="12" customFormat="1" x14ac:dyDescent="0.25"/>
    <row r="235544" s="12" customFormat="1" x14ac:dyDescent="0.25"/>
    <row r="235545" s="12" customFormat="1" x14ac:dyDescent="0.25"/>
    <row r="235546" s="12" customFormat="1" x14ac:dyDescent="0.25"/>
    <row r="235547" s="12" customFormat="1" x14ac:dyDescent="0.25"/>
    <row r="235548" s="12" customFormat="1" x14ac:dyDescent="0.25"/>
    <row r="235549" s="12" customFormat="1" x14ac:dyDescent="0.25"/>
    <row r="235550" s="12" customFormat="1" x14ac:dyDescent="0.25"/>
    <row r="235551" s="12" customFormat="1" x14ac:dyDescent="0.25"/>
    <row r="235552" s="12" customFormat="1" x14ac:dyDescent="0.25"/>
    <row r="235553" s="12" customFormat="1" x14ac:dyDescent="0.25"/>
    <row r="235554" s="12" customFormat="1" x14ac:dyDescent="0.25"/>
    <row r="235555" s="12" customFormat="1" x14ac:dyDescent="0.25"/>
    <row r="235556" s="12" customFormat="1" x14ac:dyDescent="0.25"/>
    <row r="235557" s="12" customFormat="1" x14ac:dyDescent="0.25"/>
    <row r="235558" s="12" customFormat="1" x14ac:dyDescent="0.25"/>
    <row r="235559" s="12" customFormat="1" x14ac:dyDescent="0.25"/>
    <row r="235560" s="12" customFormat="1" x14ac:dyDescent="0.25"/>
    <row r="235561" s="12" customFormat="1" x14ac:dyDescent="0.25"/>
    <row r="235562" s="12" customFormat="1" x14ac:dyDescent="0.25"/>
    <row r="235563" s="12" customFormat="1" x14ac:dyDescent="0.25"/>
    <row r="235564" s="12" customFormat="1" x14ac:dyDescent="0.25"/>
    <row r="235565" s="12" customFormat="1" x14ac:dyDescent="0.25"/>
    <row r="235566" s="12" customFormat="1" x14ac:dyDescent="0.25"/>
    <row r="235567" s="12" customFormat="1" x14ac:dyDescent="0.25"/>
    <row r="235568" s="12" customFormat="1" x14ac:dyDescent="0.25"/>
    <row r="235569" s="12" customFormat="1" x14ac:dyDescent="0.25"/>
    <row r="235570" s="12" customFormat="1" x14ac:dyDescent="0.25"/>
    <row r="235571" s="12" customFormat="1" x14ac:dyDescent="0.25"/>
    <row r="235572" s="12" customFormat="1" x14ac:dyDescent="0.25"/>
    <row r="235573" s="12" customFormat="1" x14ac:dyDescent="0.25"/>
    <row r="235574" s="12" customFormat="1" x14ac:dyDescent="0.25"/>
    <row r="235575" s="12" customFormat="1" x14ac:dyDescent="0.25"/>
    <row r="235576" s="12" customFormat="1" x14ac:dyDescent="0.25"/>
    <row r="235577" s="12" customFormat="1" x14ac:dyDescent="0.25"/>
    <row r="235578" s="12" customFormat="1" x14ac:dyDescent="0.25"/>
    <row r="235579" s="12" customFormat="1" x14ac:dyDescent="0.25"/>
    <row r="235580" s="12" customFormat="1" x14ac:dyDescent="0.25"/>
    <row r="235581" s="12" customFormat="1" x14ac:dyDescent="0.25"/>
    <row r="235582" s="12" customFormat="1" x14ac:dyDescent="0.25"/>
    <row r="235583" s="12" customFormat="1" x14ac:dyDescent="0.25"/>
    <row r="235584" s="12" customFormat="1" x14ac:dyDescent="0.25"/>
    <row r="235585" s="12" customFormat="1" x14ac:dyDescent="0.25"/>
    <row r="235586" s="12" customFormat="1" x14ac:dyDescent="0.25"/>
    <row r="235587" s="12" customFormat="1" x14ac:dyDescent="0.25"/>
    <row r="235588" s="12" customFormat="1" x14ac:dyDescent="0.25"/>
    <row r="235589" s="12" customFormat="1" x14ac:dyDescent="0.25"/>
    <row r="235590" s="12" customFormat="1" x14ac:dyDescent="0.25"/>
    <row r="235591" s="12" customFormat="1" x14ac:dyDescent="0.25"/>
    <row r="235592" s="12" customFormat="1" x14ac:dyDescent="0.25"/>
    <row r="235593" s="12" customFormat="1" x14ac:dyDescent="0.25"/>
    <row r="235594" s="12" customFormat="1" x14ac:dyDescent="0.25"/>
    <row r="235595" s="12" customFormat="1" x14ac:dyDescent="0.25"/>
    <row r="235596" s="12" customFormat="1" x14ac:dyDescent="0.25"/>
    <row r="235597" s="12" customFormat="1" x14ac:dyDescent="0.25"/>
    <row r="235598" s="12" customFormat="1" x14ac:dyDescent="0.25"/>
    <row r="235599" s="12" customFormat="1" x14ac:dyDescent="0.25"/>
    <row r="235600" s="12" customFormat="1" x14ac:dyDescent="0.25"/>
    <row r="235601" s="12" customFormat="1" x14ac:dyDescent="0.25"/>
    <row r="235602" s="12" customFormat="1" x14ac:dyDescent="0.25"/>
    <row r="235603" s="12" customFormat="1" x14ac:dyDescent="0.25"/>
    <row r="235604" s="12" customFormat="1" x14ac:dyDescent="0.25"/>
    <row r="235605" s="12" customFormat="1" x14ac:dyDescent="0.25"/>
    <row r="235606" s="12" customFormat="1" x14ac:dyDescent="0.25"/>
    <row r="235607" s="12" customFormat="1" x14ac:dyDescent="0.25"/>
    <row r="235608" s="12" customFormat="1" x14ac:dyDescent="0.25"/>
    <row r="235609" s="12" customFormat="1" x14ac:dyDescent="0.25"/>
    <row r="235610" s="12" customFormat="1" x14ac:dyDescent="0.25"/>
    <row r="235611" s="12" customFormat="1" x14ac:dyDescent="0.25"/>
    <row r="235612" s="12" customFormat="1" x14ac:dyDescent="0.25"/>
    <row r="235613" s="12" customFormat="1" x14ac:dyDescent="0.25"/>
    <row r="235614" s="12" customFormat="1" x14ac:dyDescent="0.25"/>
    <row r="235615" s="12" customFormat="1" x14ac:dyDescent="0.25"/>
    <row r="235616" s="12" customFormat="1" x14ac:dyDescent="0.25"/>
    <row r="235617" s="12" customFormat="1" x14ac:dyDescent="0.25"/>
    <row r="235618" s="12" customFormat="1" x14ac:dyDescent="0.25"/>
    <row r="235619" s="12" customFormat="1" x14ac:dyDescent="0.25"/>
    <row r="235620" s="12" customFormat="1" x14ac:dyDescent="0.25"/>
    <row r="235621" s="12" customFormat="1" x14ac:dyDescent="0.25"/>
    <row r="235622" s="12" customFormat="1" x14ac:dyDescent="0.25"/>
    <row r="235623" s="12" customFormat="1" x14ac:dyDescent="0.25"/>
    <row r="235624" s="12" customFormat="1" x14ac:dyDescent="0.25"/>
    <row r="235625" s="12" customFormat="1" x14ac:dyDescent="0.25"/>
    <row r="235626" s="12" customFormat="1" x14ac:dyDescent="0.25"/>
    <row r="235627" s="12" customFormat="1" x14ac:dyDescent="0.25"/>
    <row r="235628" s="12" customFormat="1" x14ac:dyDescent="0.25"/>
    <row r="235629" s="12" customFormat="1" x14ac:dyDescent="0.25"/>
    <row r="235630" s="12" customFormat="1" x14ac:dyDescent="0.25"/>
    <row r="235631" s="12" customFormat="1" x14ac:dyDescent="0.25"/>
    <row r="235632" s="12" customFormat="1" x14ac:dyDescent="0.25"/>
    <row r="235633" s="12" customFormat="1" x14ac:dyDescent="0.25"/>
    <row r="235634" s="12" customFormat="1" x14ac:dyDescent="0.25"/>
    <row r="235635" s="12" customFormat="1" x14ac:dyDescent="0.25"/>
    <row r="235636" s="12" customFormat="1" x14ac:dyDescent="0.25"/>
    <row r="235637" s="12" customFormat="1" x14ac:dyDescent="0.25"/>
    <row r="235638" s="12" customFormat="1" x14ac:dyDescent="0.25"/>
    <row r="235639" s="12" customFormat="1" x14ac:dyDescent="0.25"/>
    <row r="235640" s="12" customFormat="1" x14ac:dyDescent="0.25"/>
    <row r="235641" s="12" customFormat="1" x14ac:dyDescent="0.25"/>
    <row r="235642" s="12" customFormat="1" x14ac:dyDescent="0.25"/>
    <row r="235643" s="12" customFormat="1" x14ac:dyDescent="0.25"/>
    <row r="235644" s="12" customFormat="1" x14ac:dyDescent="0.25"/>
    <row r="235645" s="12" customFormat="1" x14ac:dyDescent="0.25"/>
    <row r="235646" s="12" customFormat="1" x14ac:dyDescent="0.25"/>
    <row r="235647" s="12" customFormat="1" x14ac:dyDescent="0.25"/>
    <row r="235648" s="12" customFormat="1" x14ac:dyDescent="0.25"/>
    <row r="235649" s="12" customFormat="1" x14ac:dyDescent="0.25"/>
    <row r="235650" s="12" customFormat="1" x14ac:dyDescent="0.25"/>
    <row r="235651" s="12" customFormat="1" x14ac:dyDescent="0.25"/>
    <row r="235652" s="12" customFormat="1" x14ac:dyDescent="0.25"/>
    <row r="235653" s="12" customFormat="1" x14ac:dyDescent="0.25"/>
    <row r="235654" s="12" customFormat="1" x14ac:dyDescent="0.25"/>
    <row r="235655" s="12" customFormat="1" x14ac:dyDescent="0.25"/>
    <row r="235656" s="12" customFormat="1" x14ac:dyDescent="0.25"/>
    <row r="235657" s="12" customFormat="1" x14ac:dyDescent="0.25"/>
    <row r="235658" s="12" customFormat="1" x14ac:dyDescent="0.25"/>
    <row r="235659" s="12" customFormat="1" x14ac:dyDescent="0.25"/>
    <row r="235660" s="12" customFormat="1" x14ac:dyDescent="0.25"/>
    <row r="235661" s="12" customFormat="1" x14ac:dyDescent="0.25"/>
    <row r="235662" s="12" customFormat="1" x14ac:dyDescent="0.25"/>
    <row r="235663" s="12" customFormat="1" x14ac:dyDescent="0.25"/>
    <row r="235664" s="12" customFormat="1" x14ac:dyDescent="0.25"/>
    <row r="235665" s="12" customFormat="1" x14ac:dyDescent="0.25"/>
    <row r="235666" s="12" customFormat="1" x14ac:dyDescent="0.25"/>
    <row r="235667" s="12" customFormat="1" x14ac:dyDescent="0.25"/>
    <row r="235668" s="12" customFormat="1" x14ac:dyDescent="0.25"/>
    <row r="235669" s="12" customFormat="1" x14ac:dyDescent="0.25"/>
    <row r="235670" s="12" customFormat="1" x14ac:dyDescent="0.25"/>
    <row r="235671" s="12" customFormat="1" x14ac:dyDescent="0.25"/>
    <row r="235672" s="12" customFormat="1" x14ac:dyDescent="0.25"/>
    <row r="235673" s="12" customFormat="1" x14ac:dyDescent="0.25"/>
    <row r="235674" s="12" customFormat="1" x14ac:dyDescent="0.25"/>
    <row r="235675" s="12" customFormat="1" x14ac:dyDescent="0.25"/>
    <row r="235676" s="12" customFormat="1" x14ac:dyDescent="0.25"/>
    <row r="235677" s="12" customFormat="1" x14ac:dyDescent="0.25"/>
    <row r="235678" s="12" customFormat="1" x14ac:dyDescent="0.25"/>
    <row r="235679" s="12" customFormat="1" x14ac:dyDescent="0.25"/>
    <row r="235680" s="12" customFormat="1" x14ac:dyDescent="0.25"/>
    <row r="235681" s="12" customFormat="1" x14ac:dyDescent="0.25"/>
    <row r="235682" s="12" customFormat="1" x14ac:dyDescent="0.25"/>
    <row r="235683" s="12" customFormat="1" x14ac:dyDescent="0.25"/>
    <row r="235684" s="12" customFormat="1" x14ac:dyDescent="0.25"/>
    <row r="235685" s="12" customFormat="1" x14ac:dyDescent="0.25"/>
    <row r="235686" s="12" customFormat="1" x14ac:dyDescent="0.25"/>
    <row r="235687" s="12" customFormat="1" x14ac:dyDescent="0.25"/>
    <row r="235688" s="12" customFormat="1" x14ac:dyDescent="0.25"/>
    <row r="235689" s="12" customFormat="1" x14ac:dyDescent="0.25"/>
    <row r="235690" s="12" customFormat="1" x14ac:dyDescent="0.25"/>
    <row r="235691" s="12" customFormat="1" x14ac:dyDescent="0.25"/>
    <row r="235692" s="12" customFormat="1" x14ac:dyDescent="0.25"/>
    <row r="235693" s="12" customFormat="1" x14ac:dyDescent="0.25"/>
    <row r="235694" s="12" customFormat="1" x14ac:dyDescent="0.25"/>
    <row r="235695" s="12" customFormat="1" x14ac:dyDescent="0.25"/>
    <row r="235696" s="12" customFormat="1" x14ac:dyDescent="0.25"/>
    <row r="235697" s="12" customFormat="1" x14ac:dyDescent="0.25"/>
    <row r="235698" s="12" customFormat="1" x14ac:dyDescent="0.25"/>
    <row r="235699" s="12" customFormat="1" x14ac:dyDescent="0.25"/>
    <row r="235700" s="12" customFormat="1" x14ac:dyDescent="0.25"/>
    <row r="235701" s="12" customFormat="1" x14ac:dyDescent="0.25"/>
    <row r="235702" s="12" customFormat="1" x14ac:dyDescent="0.25"/>
    <row r="235703" s="12" customFormat="1" x14ac:dyDescent="0.25"/>
    <row r="235704" s="12" customFormat="1" x14ac:dyDescent="0.25"/>
    <row r="235705" s="12" customFormat="1" x14ac:dyDescent="0.25"/>
    <row r="235706" s="12" customFormat="1" x14ac:dyDescent="0.25"/>
    <row r="235707" s="12" customFormat="1" x14ac:dyDescent="0.25"/>
    <row r="235708" s="12" customFormat="1" x14ac:dyDescent="0.25"/>
    <row r="235709" s="12" customFormat="1" x14ac:dyDescent="0.25"/>
    <row r="235710" s="12" customFormat="1" x14ac:dyDescent="0.25"/>
    <row r="235711" s="12" customFormat="1" x14ac:dyDescent="0.25"/>
    <row r="235712" s="12" customFormat="1" x14ac:dyDescent="0.25"/>
    <row r="235713" s="12" customFormat="1" x14ac:dyDescent="0.25"/>
    <row r="235714" s="12" customFormat="1" x14ac:dyDescent="0.25"/>
    <row r="235715" s="12" customFormat="1" x14ac:dyDescent="0.25"/>
    <row r="235716" s="12" customFormat="1" x14ac:dyDescent="0.25"/>
    <row r="235717" s="12" customFormat="1" x14ac:dyDescent="0.25"/>
    <row r="235718" s="12" customFormat="1" x14ac:dyDescent="0.25"/>
    <row r="235719" s="12" customFormat="1" x14ac:dyDescent="0.25"/>
    <row r="235720" s="12" customFormat="1" x14ac:dyDescent="0.25"/>
    <row r="235721" s="12" customFormat="1" x14ac:dyDescent="0.25"/>
    <row r="235722" s="12" customFormat="1" x14ac:dyDescent="0.25"/>
    <row r="235723" s="12" customFormat="1" x14ac:dyDescent="0.25"/>
    <row r="235724" s="12" customFormat="1" x14ac:dyDescent="0.25"/>
    <row r="235725" s="12" customFormat="1" x14ac:dyDescent="0.25"/>
    <row r="235726" s="12" customFormat="1" x14ac:dyDescent="0.25"/>
    <row r="235727" s="12" customFormat="1" x14ac:dyDescent="0.25"/>
    <row r="235728" s="12" customFormat="1" x14ac:dyDescent="0.25"/>
    <row r="235729" s="12" customFormat="1" x14ac:dyDescent="0.25"/>
    <row r="235730" s="12" customFormat="1" x14ac:dyDescent="0.25"/>
    <row r="235731" s="12" customFormat="1" x14ac:dyDescent="0.25"/>
    <row r="235732" s="12" customFormat="1" x14ac:dyDescent="0.25"/>
    <row r="235733" s="12" customFormat="1" x14ac:dyDescent="0.25"/>
    <row r="235734" s="12" customFormat="1" x14ac:dyDescent="0.25"/>
    <row r="235735" s="12" customFormat="1" x14ac:dyDescent="0.25"/>
    <row r="235736" s="12" customFormat="1" x14ac:dyDescent="0.25"/>
    <row r="235737" s="12" customFormat="1" x14ac:dyDescent="0.25"/>
    <row r="235738" s="12" customFormat="1" x14ac:dyDescent="0.25"/>
    <row r="235739" s="12" customFormat="1" x14ac:dyDescent="0.25"/>
    <row r="235740" s="12" customFormat="1" x14ac:dyDescent="0.25"/>
    <row r="235741" s="12" customFormat="1" x14ac:dyDescent="0.25"/>
    <row r="235742" s="12" customFormat="1" x14ac:dyDescent="0.25"/>
    <row r="235743" s="12" customFormat="1" x14ac:dyDescent="0.25"/>
    <row r="235744" s="12" customFormat="1" x14ac:dyDescent="0.25"/>
    <row r="235745" s="12" customFormat="1" x14ac:dyDescent="0.25"/>
    <row r="235746" s="12" customFormat="1" x14ac:dyDescent="0.25"/>
    <row r="235747" s="12" customFormat="1" x14ac:dyDescent="0.25"/>
    <row r="235748" s="12" customFormat="1" x14ac:dyDescent="0.25"/>
    <row r="235749" s="12" customFormat="1" x14ac:dyDescent="0.25"/>
    <row r="235750" s="12" customFormat="1" x14ac:dyDescent="0.25"/>
    <row r="235751" s="12" customFormat="1" x14ac:dyDescent="0.25"/>
    <row r="235752" s="12" customFormat="1" x14ac:dyDescent="0.25"/>
    <row r="235753" s="12" customFormat="1" x14ac:dyDescent="0.25"/>
    <row r="235754" s="12" customFormat="1" x14ac:dyDescent="0.25"/>
    <row r="235755" s="12" customFormat="1" x14ac:dyDescent="0.25"/>
    <row r="235756" s="12" customFormat="1" x14ac:dyDescent="0.25"/>
    <row r="235757" s="12" customFormat="1" x14ac:dyDescent="0.25"/>
    <row r="235758" s="12" customFormat="1" x14ac:dyDescent="0.25"/>
    <row r="235759" s="12" customFormat="1" x14ac:dyDescent="0.25"/>
    <row r="235760" s="12" customFormat="1" x14ac:dyDescent="0.25"/>
    <row r="235761" s="12" customFormat="1" x14ac:dyDescent="0.25"/>
    <row r="235762" s="12" customFormat="1" x14ac:dyDescent="0.25"/>
    <row r="235763" s="12" customFormat="1" x14ac:dyDescent="0.25"/>
    <row r="235764" s="12" customFormat="1" x14ac:dyDescent="0.25"/>
    <row r="235765" s="12" customFormat="1" x14ac:dyDescent="0.25"/>
    <row r="235766" s="12" customFormat="1" x14ac:dyDescent="0.25"/>
    <row r="235767" s="12" customFormat="1" x14ac:dyDescent="0.25"/>
    <row r="235768" s="12" customFormat="1" x14ac:dyDescent="0.25"/>
    <row r="235769" s="12" customFormat="1" x14ac:dyDescent="0.25"/>
    <row r="235770" s="12" customFormat="1" x14ac:dyDescent="0.25"/>
    <row r="235771" s="12" customFormat="1" x14ac:dyDescent="0.25"/>
    <row r="235772" s="12" customFormat="1" x14ac:dyDescent="0.25"/>
    <row r="235773" s="12" customFormat="1" x14ac:dyDescent="0.25"/>
    <row r="235774" s="12" customFormat="1" x14ac:dyDescent="0.25"/>
    <row r="235775" s="12" customFormat="1" x14ac:dyDescent="0.25"/>
    <row r="235776" s="12" customFormat="1" x14ac:dyDescent="0.25"/>
    <row r="235777" s="12" customFormat="1" x14ac:dyDescent="0.25"/>
    <row r="235778" s="12" customFormat="1" x14ac:dyDescent="0.25"/>
    <row r="235779" s="12" customFormat="1" x14ac:dyDescent="0.25"/>
    <row r="235780" s="12" customFormat="1" x14ac:dyDescent="0.25"/>
    <row r="235781" s="12" customFormat="1" x14ac:dyDescent="0.25"/>
    <row r="235782" s="12" customFormat="1" x14ac:dyDescent="0.25"/>
    <row r="235783" s="12" customFormat="1" x14ac:dyDescent="0.25"/>
    <row r="235784" s="12" customFormat="1" x14ac:dyDescent="0.25"/>
    <row r="235785" s="12" customFormat="1" x14ac:dyDescent="0.25"/>
    <row r="235786" s="12" customFormat="1" x14ac:dyDescent="0.25"/>
    <row r="235787" s="12" customFormat="1" x14ac:dyDescent="0.25"/>
    <row r="235788" s="12" customFormat="1" x14ac:dyDescent="0.25"/>
    <row r="235789" s="12" customFormat="1" x14ac:dyDescent="0.25"/>
    <row r="235790" s="12" customFormat="1" x14ac:dyDescent="0.25"/>
    <row r="235791" s="12" customFormat="1" x14ac:dyDescent="0.25"/>
    <row r="235792" s="12" customFormat="1" x14ac:dyDescent="0.25"/>
    <row r="235793" s="12" customFormat="1" x14ac:dyDescent="0.25"/>
    <row r="235794" s="12" customFormat="1" x14ac:dyDescent="0.25"/>
    <row r="235795" s="12" customFormat="1" x14ac:dyDescent="0.25"/>
    <row r="235796" s="12" customFormat="1" x14ac:dyDescent="0.25"/>
    <row r="235797" s="12" customFormat="1" x14ac:dyDescent="0.25"/>
    <row r="235798" s="12" customFormat="1" x14ac:dyDescent="0.25"/>
    <row r="235799" s="12" customFormat="1" x14ac:dyDescent="0.25"/>
    <row r="235800" s="12" customFormat="1" x14ac:dyDescent="0.25"/>
    <row r="235801" s="12" customFormat="1" x14ac:dyDescent="0.25"/>
    <row r="235802" s="12" customFormat="1" x14ac:dyDescent="0.25"/>
    <row r="235803" s="12" customFormat="1" x14ac:dyDescent="0.25"/>
    <row r="235804" s="12" customFormat="1" x14ac:dyDescent="0.25"/>
    <row r="235805" s="12" customFormat="1" x14ac:dyDescent="0.25"/>
    <row r="235806" s="12" customFormat="1" x14ac:dyDescent="0.25"/>
    <row r="235807" s="12" customFormat="1" x14ac:dyDescent="0.25"/>
    <row r="235808" s="12" customFormat="1" x14ac:dyDescent="0.25"/>
    <row r="235809" s="12" customFormat="1" x14ac:dyDescent="0.25"/>
    <row r="235810" s="12" customFormat="1" x14ac:dyDescent="0.25"/>
    <row r="235811" s="12" customFormat="1" x14ac:dyDescent="0.25"/>
    <row r="235812" s="12" customFormat="1" x14ac:dyDescent="0.25"/>
    <row r="235813" s="12" customFormat="1" x14ac:dyDescent="0.25"/>
    <row r="235814" s="12" customFormat="1" x14ac:dyDescent="0.25"/>
    <row r="235815" s="12" customFormat="1" x14ac:dyDescent="0.25"/>
    <row r="235816" s="12" customFormat="1" x14ac:dyDescent="0.25"/>
    <row r="235817" s="12" customFormat="1" x14ac:dyDescent="0.25"/>
    <row r="235818" s="12" customFormat="1" x14ac:dyDescent="0.25"/>
    <row r="235819" s="12" customFormat="1" x14ac:dyDescent="0.25"/>
    <row r="235820" s="12" customFormat="1" x14ac:dyDescent="0.25"/>
    <row r="235821" s="12" customFormat="1" x14ac:dyDescent="0.25"/>
    <row r="235822" s="12" customFormat="1" x14ac:dyDescent="0.25"/>
    <row r="235823" s="12" customFormat="1" x14ac:dyDescent="0.25"/>
    <row r="235824" s="12" customFormat="1" x14ac:dyDescent="0.25"/>
    <row r="235825" s="12" customFormat="1" x14ac:dyDescent="0.25"/>
    <row r="235826" s="12" customFormat="1" x14ac:dyDescent="0.25"/>
    <row r="235827" s="12" customFormat="1" x14ac:dyDescent="0.25"/>
    <row r="235828" s="12" customFormat="1" x14ac:dyDescent="0.25"/>
    <row r="235829" s="12" customFormat="1" x14ac:dyDescent="0.25"/>
    <row r="235830" s="12" customFormat="1" x14ac:dyDescent="0.25"/>
    <row r="235831" s="12" customFormat="1" x14ac:dyDescent="0.25"/>
    <row r="235832" s="12" customFormat="1" x14ac:dyDescent="0.25"/>
    <row r="235833" s="12" customFormat="1" x14ac:dyDescent="0.25"/>
    <row r="235834" s="12" customFormat="1" x14ac:dyDescent="0.25"/>
    <row r="235835" s="12" customFormat="1" x14ac:dyDescent="0.25"/>
    <row r="235836" s="12" customFormat="1" x14ac:dyDescent="0.25"/>
    <row r="235837" s="12" customFormat="1" x14ac:dyDescent="0.25"/>
    <row r="235838" s="12" customFormat="1" x14ac:dyDescent="0.25"/>
    <row r="235839" s="12" customFormat="1" x14ac:dyDescent="0.25"/>
    <row r="235840" s="12" customFormat="1" x14ac:dyDescent="0.25"/>
    <row r="235841" s="12" customFormat="1" x14ac:dyDescent="0.25"/>
    <row r="235842" s="12" customFormat="1" x14ac:dyDescent="0.25"/>
    <row r="235843" s="12" customFormat="1" x14ac:dyDescent="0.25"/>
    <row r="235844" s="12" customFormat="1" x14ac:dyDescent="0.25"/>
    <row r="235845" s="12" customFormat="1" x14ac:dyDescent="0.25"/>
    <row r="235846" s="12" customFormat="1" x14ac:dyDescent="0.25"/>
    <row r="235847" s="12" customFormat="1" x14ac:dyDescent="0.25"/>
    <row r="235848" s="12" customFormat="1" x14ac:dyDescent="0.25"/>
    <row r="235849" s="12" customFormat="1" x14ac:dyDescent="0.25"/>
    <row r="235850" s="12" customFormat="1" x14ac:dyDescent="0.25"/>
    <row r="235851" s="12" customFormat="1" x14ac:dyDescent="0.25"/>
    <row r="235852" s="12" customFormat="1" x14ac:dyDescent="0.25"/>
    <row r="235853" s="12" customFormat="1" x14ac:dyDescent="0.25"/>
    <row r="235854" s="12" customFormat="1" x14ac:dyDescent="0.25"/>
    <row r="235855" s="12" customFormat="1" x14ac:dyDescent="0.25"/>
    <row r="235856" s="12" customFormat="1" x14ac:dyDescent="0.25"/>
    <row r="235857" s="12" customFormat="1" x14ac:dyDescent="0.25"/>
    <row r="235858" s="12" customFormat="1" x14ac:dyDescent="0.25"/>
    <row r="235859" s="12" customFormat="1" x14ac:dyDescent="0.25"/>
    <row r="235860" s="12" customFormat="1" x14ac:dyDescent="0.25"/>
    <row r="235861" s="12" customFormat="1" x14ac:dyDescent="0.25"/>
    <row r="235862" s="12" customFormat="1" x14ac:dyDescent="0.25"/>
    <row r="235863" s="12" customFormat="1" x14ac:dyDescent="0.25"/>
    <row r="235864" s="12" customFormat="1" x14ac:dyDescent="0.25"/>
    <row r="235865" s="12" customFormat="1" x14ac:dyDescent="0.25"/>
    <row r="235866" s="12" customFormat="1" x14ac:dyDescent="0.25"/>
    <row r="235867" s="12" customFormat="1" x14ac:dyDescent="0.25"/>
    <row r="235868" s="12" customFormat="1" x14ac:dyDescent="0.25"/>
    <row r="235869" s="12" customFormat="1" x14ac:dyDescent="0.25"/>
    <row r="235870" s="12" customFormat="1" x14ac:dyDescent="0.25"/>
    <row r="235871" s="12" customFormat="1" x14ac:dyDescent="0.25"/>
    <row r="235872" s="12" customFormat="1" x14ac:dyDescent="0.25"/>
    <row r="235873" s="12" customFormat="1" x14ac:dyDescent="0.25"/>
    <row r="235874" s="12" customFormat="1" x14ac:dyDescent="0.25"/>
    <row r="235875" s="12" customFormat="1" x14ac:dyDescent="0.25"/>
    <row r="235876" s="12" customFormat="1" x14ac:dyDescent="0.25"/>
    <row r="235877" s="12" customFormat="1" x14ac:dyDescent="0.25"/>
    <row r="235878" s="12" customFormat="1" x14ac:dyDescent="0.25"/>
    <row r="235879" s="12" customFormat="1" x14ac:dyDescent="0.25"/>
    <row r="235880" s="12" customFormat="1" x14ac:dyDescent="0.25"/>
    <row r="235881" s="12" customFormat="1" x14ac:dyDescent="0.25"/>
    <row r="235882" s="12" customFormat="1" x14ac:dyDescent="0.25"/>
    <row r="235883" s="12" customFormat="1" x14ac:dyDescent="0.25"/>
    <row r="235884" s="12" customFormat="1" x14ac:dyDescent="0.25"/>
    <row r="235885" s="12" customFormat="1" x14ac:dyDescent="0.25"/>
    <row r="235886" s="12" customFormat="1" x14ac:dyDescent="0.25"/>
    <row r="235887" s="12" customFormat="1" x14ac:dyDescent="0.25"/>
    <row r="235888" s="12" customFormat="1" x14ac:dyDescent="0.25"/>
    <row r="235889" s="12" customFormat="1" x14ac:dyDescent="0.25"/>
    <row r="235890" s="12" customFormat="1" x14ac:dyDescent="0.25"/>
    <row r="235891" s="12" customFormat="1" x14ac:dyDescent="0.25"/>
    <row r="235892" s="12" customFormat="1" x14ac:dyDescent="0.25"/>
    <row r="235893" s="12" customFormat="1" x14ac:dyDescent="0.25"/>
    <row r="235894" s="12" customFormat="1" x14ac:dyDescent="0.25"/>
    <row r="235895" s="12" customFormat="1" x14ac:dyDescent="0.25"/>
    <row r="235896" s="12" customFormat="1" x14ac:dyDescent="0.25"/>
    <row r="235897" s="12" customFormat="1" x14ac:dyDescent="0.25"/>
    <row r="235898" s="12" customFormat="1" x14ac:dyDescent="0.25"/>
    <row r="235899" s="12" customFormat="1" x14ac:dyDescent="0.25"/>
    <row r="235900" s="12" customFormat="1" x14ac:dyDescent="0.25"/>
    <row r="235901" s="12" customFormat="1" x14ac:dyDescent="0.25"/>
    <row r="235902" s="12" customFormat="1" x14ac:dyDescent="0.25"/>
    <row r="235903" s="12" customFormat="1" x14ac:dyDescent="0.25"/>
    <row r="235904" s="12" customFormat="1" x14ac:dyDescent="0.25"/>
    <row r="235905" s="12" customFormat="1" x14ac:dyDescent="0.25"/>
    <row r="235906" s="12" customFormat="1" x14ac:dyDescent="0.25"/>
    <row r="235907" s="12" customFormat="1" x14ac:dyDescent="0.25"/>
    <row r="235908" s="12" customFormat="1" x14ac:dyDescent="0.25"/>
    <row r="235909" s="12" customFormat="1" x14ac:dyDescent="0.25"/>
    <row r="235910" s="12" customFormat="1" x14ac:dyDescent="0.25"/>
    <row r="235911" s="12" customFormat="1" x14ac:dyDescent="0.25"/>
    <row r="235912" s="12" customFormat="1" x14ac:dyDescent="0.25"/>
    <row r="235913" s="12" customFormat="1" x14ac:dyDescent="0.25"/>
    <row r="235914" s="12" customFormat="1" x14ac:dyDescent="0.25"/>
    <row r="235915" s="12" customFormat="1" x14ac:dyDescent="0.25"/>
    <row r="235916" s="12" customFormat="1" x14ac:dyDescent="0.25"/>
    <row r="235917" s="12" customFormat="1" x14ac:dyDescent="0.25"/>
    <row r="235918" s="12" customFormat="1" x14ac:dyDescent="0.25"/>
    <row r="235919" s="12" customFormat="1" x14ac:dyDescent="0.25"/>
    <row r="235920" s="12" customFormat="1" x14ac:dyDescent="0.25"/>
    <row r="235921" s="12" customFormat="1" x14ac:dyDescent="0.25"/>
    <row r="235922" s="12" customFormat="1" x14ac:dyDescent="0.25"/>
    <row r="235923" s="12" customFormat="1" x14ac:dyDescent="0.25"/>
    <row r="235924" s="12" customFormat="1" x14ac:dyDescent="0.25"/>
    <row r="235925" s="12" customFormat="1" x14ac:dyDescent="0.25"/>
    <row r="235926" s="12" customFormat="1" x14ac:dyDescent="0.25"/>
    <row r="235927" s="12" customFormat="1" x14ac:dyDescent="0.25"/>
    <row r="235928" s="12" customFormat="1" x14ac:dyDescent="0.25"/>
    <row r="235929" s="12" customFormat="1" x14ac:dyDescent="0.25"/>
    <row r="235930" s="12" customFormat="1" x14ac:dyDescent="0.25"/>
    <row r="235931" s="12" customFormat="1" x14ac:dyDescent="0.25"/>
    <row r="235932" s="12" customFormat="1" x14ac:dyDescent="0.25"/>
    <row r="235933" s="12" customFormat="1" x14ac:dyDescent="0.25"/>
    <row r="235934" s="12" customFormat="1" x14ac:dyDescent="0.25"/>
    <row r="235935" s="12" customFormat="1" x14ac:dyDescent="0.25"/>
    <row r="235936" s="12" customFormat="1" x14ac:dyDescent="0.25"/>
    <row r="235937" s="12" customFormat="1" x14ac:dyDescent="0.25"/>
    <row r="235938" s="12" customFormat="1" x14ac:dyDescent="0.25"/>
    <row r="235939" s="12" customFormat="1" x14ac:dyDescent="0.25"/>
    <row r="235940" s="12" customFormat="1" x14ac:dyDescent="0.25"/>
    <row r="235941" s="12" customFormat="1" x14ac:dyDescent="0.25"/>
    <row r="235942" s="12" customFormat="1" x14ac:dyDescent="0.25"/>
    <row r="235943" s="12" customFormat="1" x14ac:dyDescent="0.25"/>
    <row r="235944" s="12" customFormat="1" x14ac:dyDescent="0.25"/>
    <row r="235945" s="12" customFormat="1" x14ac:dyDescent="0.25"/>
    <row r="235946" s="12" customFormat="1" x14ac:dyDescent="0.25"/>
    <row r="235947" s="12" customFormat="1" x14ac:dyDescent="0.25"/>
    <row r="235948" s="12" customFormat="1" x14ac:dyDescent="0.25"/>
    <row r="235949" s="12" customFormat="1" x14ac:dyDescent="0.25"/>
    <row r="235950" s="12" customFormat="1" x14ac:dyDescent="0.25"/>
    <row r="235951" s="12" customFormat="1" x14ac:dyDescent="0.25"/>
    <row r="235952" s="12" customFormat="1" x14ac:dyDescent="0.25"/>
    <row r="235953" s="12" customFormat="1" x14ac:dyDescent="0.25"/>
    <row r="235954" s="12" customFormat="1" x14ac:dyDescent="0.25"/>
    <row r="235955" s="12" customFormat="1" x14ac:dyDescent="0.25"/>
    <row r="235956" s="12" customFormat="1" x14ac:dyDescent="0.25"/>
    <row r="235957" s="12" customFormat="1" x14ac:dyDescent="0.25"/>
    <row r="235958" s="12" customFormat="1" x14ac:dyDescent="0.25"/>
    <row r="235959" s="12" customFormat="1" x14ac:dyDescent="0.25"/>
    <row r="235960" s="12" customFormat="1" x14ac:dyDescent="0.25"/>
    <row r="235961" s="12" customFormat="1" x14ac:dyDescent="0.25"/>
    <row r="235962" s="12" customFormat="1" x14ac:dyDescent="0.25"/>
    <row r="235963" s="12" customFormat="1" x14ac:dyDescent="0.25"/>
    <row r="235964" s="12" customFormat="1" x14ac:dyDescent="0.25"/>
    <row r="235965" s="12" customFormat="1" x14ac:dyDescent="0.25"/>
    <row r="235966" s="12" customFormat="1" x14ac:dyDescent="0.25"/>
    <row r="235967" s="12" customFormat="1" x14ac:dyDescent="0.25"/>
    <row r="235968" s="12" customFormat="1" x14ac:dyDescent="0.25"/>
    <row r="235969" s="12" customFormat="1" x14ac:dyDescent="0.25"/>
    <row r="235970" s="12" customFormat="1" x14ac:dyDescent="0.25"/>
    <row r="235971" s="12" customFormat="1" x14ac:dyDescent="0.25"/>
    <row r="235972" s="12" customFormat="1" x14ac:dyDescent="0.25"/>
    <row r="235973" s="12" customFormat="1" x14ac:dyDescent="0.25"/>
    <row r="235974" s="12" customFormat="1" x14ac:dyDescent="0.25"/>
    <row r="235975" s="12" customFormat="1" x14ac:dyDescent="0.25"/>
    <row r="235976" s="12" customFormat="1" x14ac:dyDescent="0.25"/>
    <row r="235977" s="12" customFormat="1" x14ac:dyDescent="0.25"/>
    <row r="235978" s="12" customFormat="1" x14ac:dyDescent="0.25"/>
    <row r="235979" s="12" customFormat="1" x14ac:dyDescent="0.25"/>
    <row r="235980" s="12" customFormat="1" x14ac:dyDescent="0.25"/>
    <row r="235981" s="12" customFormat="1" x14ac:dyDescent="0.25"/>
    <row r="235982" s="12" customFormat="1" x14ac:dyDescent="0.25"/>
    <row r="235983" s="12" customFormat="1" x14ac:dyDescent="0.25"/>
    <row r="235984" s="12" customFormat="1" x14ac:dyDescent="0.25"/>
    <row r="235985" s="12" customFormat="1" x14ac:dyDescent="0.25"/>
    <row r="235986" s="12" customFormat="1" x14ac:dyDescent="0.25"/>
    <row r="235987" s="12" customFormat="1" x14ac:dyDescent="0.25"/>
    <row r="235988" s="12" customFormat="1" x14ac:dyDescent="0.25"/>
    <row r="235989" s="12" customFormat="1" x14ac:dyDescent="0.25"/>
    <row r="235990" s="12" customFormat="1" x14ac:dyDescent="0.25"/>
    <row r="235991" s="12" customFormat="1" x14ac:dyDescent="0.25"/>
    <row r="235992" s="12" customFormat="1" x14ac:dyDescent="0.25"/>
    <row r="235993" s="12" customFormat="1" x14ac:dyDescent="0.25"/>
    <row r="235994" s="12" customFormat="1" x14ac:dyDescent="0.25"/>
    <row r="235995" s="12" customFormat="1" x14ac:dyDescent="0.25"/>
    <row r="235996" s="12" customFormat="1" x14ac:dyDescent="0.25"/>
    <row r="235997" s="12" customFormat="1" x14ac:dyDescent="0.25"/>
    <row r="235998" s="12" customFormat="1" x14ac:dyDescent="0.25"/>
    <row r="235999" s="12" customFormat="1" x14ac:dyDescent="0.25"/>
    <row r="236000" s="12" customFormat="1" x14ac:dyDescent="0.25"/>
    <row r="236001" s="12" customFormat="1" x14ac:dyDescent="0.25"/>
    <row r="236002" s="12" customFormat="1" x14ac:dyDescent="0.25"/>
    <row r="236003" s="12" customFormat="1" x14ac:dyDescent="0.25"/>
    <row r="236004" s="12" customFormat="1" x14ac:dyDescent="0.25"/>
    <row r="236005" s="12" customFormat="1" x14ac:dyDescent="0.25"/>
    <row r="236006" s="12" customFormat="1" x14ac:dyDescent="0.25"/>
    <row r="236007" s="12" customFormat="1" x14ac:dyDescent="0.25"/>
    <row r="236008" s="12" customFormat="1" x14ac:dyDescent="0.25"/>
    <row r="236009" s="12" customFormat="1" x14ac:dyDescent="0.25"/>
    <row r="236010" s="12" customFormat="1" x14ac:dyDescent="0.25"/>
    <row r="236011" s="12" customFormat="1" x14ac:dyDescent="0.25"/>
    <row r="236012" s="12" customFormat="1" x14ac:dyDescent="0.25"/>
    <row r="236013" s="12" customFormat="1" x14ac:dyDescent="0.25"/>
    <row r="236014" s="12" customFormat="1" x14ac:dyDescent="0.25"/>
    <row r="236015" s="12" customFormat="1" x14ac:dyDescent="0.25"/>
    <row r="236016" s="12" customFormat="1" x14ac:dyDescent="0.25"/>
    <row r="236017" s="12" customFormat="1" x14ac:dyDescent="0.25"/>
    <row r="236018" s="12" customFormat="1" x14ac:dyDescent="0.25"/>
    <row r="236019" s="12" customFormat="1" x14ac:dyDescent="0.25"/>
    <row r="236020" s="12" customFormat="1" x14ac:dyDescent="0.25"/>
    <row r="236021" s="12" customFormat="1" x14ac:dyDescent="0.25"/>
    <row r="236022" s="12" customFormat="1" x14ac:dyDescent="0.25"/>
    <row r="236023" s="12" customFormat="1" x14ac:dyDescent="0.25"/>
    <row r="236024" s="12" customFormat="1" x14ac:dyDescent="0.25"/>
    <row r="236025" s="12" customFormat="1" x14ac:dyDescent="0.25"/>
    <row r="236026" s="12" customFormat="1" x14ac:dyDescent="0.25"/>
    <row r="236027" s="12" customFormat="1" x14ac:dyDescent="0.25"/>
    <row r="236028" s="12" customFormat="1" x14ac:dyDescent="0.25"/>
    <row r="236029" s="12" customFormat="1" x14ac:dyDescent="0.25"/>
    <row r="236030" s="12" customFormat="1" x14ac:dyDescent="0.25"/>
    <row r="236031" s="12" customFormat="1" x14ac:dyDescent="0.25"/>
    <row r="236032" s="12" customFormat="1" x14ac:dyDescent="0.25"/>
    <row r="236033" s="12" customFormat="1" x14ac:dyDescent="0.25"/>
    <row r="236034" s="12" customFormat="1" x14ac:dyDescent="0.25"/>
    <row r="236035" s="12" customFormat="1" x14ac:dyDescent="0.25"/>
    <row r="236036" s="12" customFormat="1" x14ac:dyDescent="0.25"/>
    <row r="236037" s="12" customFormat="1" x14ac:dyDescent="0.25"/>
    <row r="236038" s="12" customFormat="1" x14ac:dyDescent="0.25"/>
    <row r="236039" s="12" customFormat="1" x14ac:dyDescent="0.25"/>
    <row r="236040" s="12" customFormat="1" x14ac:dyDescent="0.25"/>
    <row r="236041" s="12" customFormat="1" x14ac:dyDescent="0.25"/>
    <row r="236042" s="12" customFormat="1" x14ac:dyDescent="0.25"/>
    <row r="236043" s="12" customFormat="1" x14ac:dyDescent="0.25"/>
    <row r="236044" s="12" customFormat="1" x14ac:dyDescent="0.25"/>
    <row r="236045" s="12" customFormat="1" x14ac:dyDescent="0.25"/>
    <row r="236046" s="12" customFormat="1" x14ac:dyDescent="0.25"/>
    <row r="236047" s="12" customFormat="1" x14ac:dyDescent="0.25"/>
    <row r="236048" s="12" customFormat="1" x14ac:dyDescent="0.25"/>
    <row r="236049" s="12" customFormat="1" x14ac:dyDescent="0.25"/>
    <row r="236050" s="12" customFormat="1" x14ac:dyDescent="0.25"/>
    <row r="236051" s="12" customFormat="1" x14ac:dyDescent="0.25"/>
    <row r="236052" s="12" customFormat="1" x14ac:dyDescent="0.25"/>
    <row r="236053" s="12" customFormat="1" x14ac:dyDescent="0.25"/>
    <row r="236054" s="12" customFormat="1" x14ac:dyDescent="0.25"/>
    <row r="236055" s="12" customFormat="1" x14ac:dyDescent="0.25"/>
    <row r="236056" s="12" customFormat="1" x14ac:dyDescent="0.25"/>
    <row r="236057" s="12" customFormat="1" x14ac:dyDescent="0.25"/>
    <row r="236058" s="12" customFormat="1" x14ac:dyDescent="0.25"/>
    <row r="236059" s="12" customFormat="1" x14ac:dyDescent="0.25"/>
    <row r="236060" s="12" customFormat="1" x14ac:dyDescent="0.25"/>
    <row r="236061" s="12" customFormat="1" x14ac:dyDescent="0.25"/>
    <row r="236062" s="12" customFormat="1" x14ac:dyDescent="0.25"/>
    <row r="236063" s="12" customFormat="1" x14ac:dyDescent="0.25"/>
    <row r="236064" s="12" customFormat="1" x14ac:dyDescent="0.25"/>
    <row r="236065" s="12" customFormat="1" x14ac:dyDescent="0.25"/>
    <row r="236066" s="12" customFormat="1" x14ac:dyDescent="0.25"/>
    <row r="236067" s="12" customFormat="1" x14ac:dyDescent="0.25"/>
    <row r="236068" s="12" customFormat="1" x14ac:dyDescent="0.25"/>
    <row r="236069" s="12" customFormat="1" x14ac:dyDescent="0.25"/>
    <row r="236070" s="12" customFormat="1" x14ac:dyDescent="0.25"/>
    <row r="236071" s="12" customFormat="1" x14ac:dyDescent="0.25"/>
    <row r="236072" s="12" customFormat="1" x14ac:dyDescent="0.25"/>
    <row r="236073" s="12" customFormat="1" x14ac:dyDescent="0.25"/>
    <row r="236074" s="12" customFormat="1" x14ac:dyDescent="0.25"/>
    <row r="236075" s="12" customFormat="1" x14ac:dyDescent="0.25"/>
    <row r="236076" s="12" customFormat="1" x14ac:dyDescent="0.25"/>
    <row r="236077" s="12" customFormat="1" x14ac:dyDescent="0.25"/>
    <row r="236078" s="12" customFormat="1" x14ac:dyDescent="0.25"/>
    <row r="236079" s="12" customFormat="1" x14ac:dyDescent="0.25"/>
    <row r="236080" s="12" customFormat="1" x14ac:dyDescent="0.25"/>
    <row r="236081" s="12" customFormat="1" x14ac:dyDescent="0.25"/>
    <row r="236082" s="12" customFormat="1" x14ac:dyDescent="0.25"/>
    <row r="236083" s="12" customFormat="1" x14ac:dyDescent="0.25"/>
    <row r="236084" s="12" customFormat="1" x14ac:dyDescent="0.25"/>
    <row r="236085" s="12" customFormat="1" x14ac:dyDescent="0.25"/>
    <row r="236086" s="12" customFormat="1" x14ac:dyDescent="0.25"/>
    <row r="236087" s="12" customFormat="1" x14ac:dyDescent="0.25"/>
    <row r="236088" s="12" customFormat="1" x14ac:dyDescent="0.25"/>
    <row r="236089" s="12" customFormat="1" x14ac:dyDescent="0.25"/>
    <row r="236090" s="12" customFormat="1" x14ac:dyDescent="0.25"/>
    <row r="236091" s="12" customFormat="1" x14ac:dyDescent="0.25"/>
    <row r="236092" s="12" customFormat="1" x14ac:dyDescent="0.25"/>
    <row r="236093" s="12" customFormat="1" x14ac:dyDescent="0.25"/>
    <row r="236094" s="12" customFormat="1" x14ac:dyDescent="0.25"/>
    <row r="236095" s="12" customFormat="1" x14ac:dyDescent="0.25"/>
    <row r="236096" s="12" customFormat="1" x14ac:dyDescent="0.25"/>
    <row r="236097" s="12" customFormat="1" x14ac:dyDescent="0.25"/>
    <row r="236098" s="12" customFormat="1" x14ac:dyDescent="0.25"/>
    <row r="236099" s="12" customFormat="1" x14ac:dyDescent="0.25"/>
    <row r="236100" s="12" customFormat="1" x14ac:dyDescent="0.25"/>
    <row r="236101" s="12" customFormat="1" x14ac:dyDescent="0.25"/>
    <row r="236102" s="12" customFormat="1" x14ac:dyDescent="0.25"/>
    <row r="236103" s="12" customFormat="1" x14ac:dyDescent="0.25"/>
    <row r="236104" s="12" customFormat="1" x14ac:dyDescent="0.25"/>
    <row r="236105" s="12" customFormat="1" x14ac:dyDescent="0.25"/>
    <row r="236106" s="12" customFormat="1" x14ac:dyDescent="0.25"/>
    <row r="236107" s="12" customFormat="1" x14ac:dyDescent="0.25"/>
    <row r="236108" s="12" customFormat="1" x14ac:dyDescent="0.25"/>
    <row r="236109" s="12" customFormat="1" x14ac:dyDescent="0.25"/>
    <row r="236110" s="12" customFormat="1" x14ac:dyDescent="0.25"/>
    <row r="236111" s="12" customFormat="1" x14ac:dyDescent="0.25"/>
    <row r="236112" s="12" customFormat="1" x14ac:dyDescent="0.25"/>
    <row r="236113" s="12" customFormat="1" x14ac:dyDescent="0.25"/>
    <row r="236114" s="12" customFormat="1" x14ac:dyDescent="0.25"/>
    <row r="236115" s="12" customFormat="1" x14ac:dyDescent="0.25"/>
    <row r="236116" s="12" customFormat="1" x14ac:dyDescent="0.25"/>
    <row r="236117" s="12" customFormat="1" x14ac:dyDescent="0.25"/>
    <row r="236118" s="12" customFormat="1" x14ac:dyDescent="0.25"/>
    <row r="236119" s="12" customFormat="1" x14ac:dyDescent="0.25"/>
    <row r="236120" s="12" customFormat="1" x14ac:dyDescent="0.25"/>
    <row r="236121" s="12" customFormat="1" x14ac:dyDescent="0.25"/>
    <row r="236122" s="12" customFormat="1" x14ac:dyDescent="0.25"/>
    <row r="236123" s="12" customFormat="1" x14ac:dyDescent="0.25"/>
    <row r="236124" s="12" customFormat="1" x14ac:dyDescent="0.25"/>
    <row r="236125" s="12" customFormat="1" x14ac:dyDescent="0.25"/>
    <row r="236126" s="12" customFormat="1" x14ac:dyDescent="0.25"/>
    <row r="236127" s="12" customFormat="1" x14ac:dyDescent="0.25"/>
    <row r="236128" s="12" customFormat="1" x14ac:dyDescent="0.25"/>
    <row r="236129" s="12" customFormat="1" x14ac:dyDescent="0.25"/>
    <row r="236130" s="12" customFormat="1" x14ac:dyDescent="0.25"/>
    <row r="236131" s="12" customFormat="1" x14ac:dyDescent="0.25"/>
    <row r="236132" s="12" customFormat="1" x14ac:dyDescent="0.25"/>
    <row r="236133" s="12" customFormat="1" x14ac:dyDescent="0.25"/>
    <row r="236134" s="12" customFormat="1" x14ac:dyDescent="0.25"/>
    <row r="236135" s="12" customFormat="1" x14ac:dyDescent="0.25"/>
    <row r="236136" s="12" customFormat="1" x14ac:dyDescent="0.25"/>
    <row r="236137" s="12" customFormat="1" x14ac:dyDescent="0.25"/>
    <row r="236138" s="12" customFormat="1" x14ac:dyDescent="0.25"/>
    <row r="236139" s="12" customFormat="1" x14ac:dyDescent="0.25"/>
    <row r="236140" s="12" customFormat="1" x14ac:dyDescent="0.25"/>
    <row r="236141" s="12" customFormat="1" x14ac:dyDescent="0.25"/>
    <row r="236142" s="12" customFormat="1" x14ac:dyDescent="0.25"/>
    <row r="236143" s="12" customFormat="1" x14ac:dyDescent="0.25"/>
    <row r="236144" s="12" customFormat="1" x14ac:dyDescent="0.25"/>
    <row r="236145" s="12" customFormat="1" x14ac:dyDescent="0.25"/>
    <row r="236146" s="12" customFormat="1" x14ac:dyDescent="0.25"/>
    <row r="236147" s="12" customFormat="1" x14ac:dyDescent="0.25"/>
    <row r="236148" s="12" customFormat="1" x14ac:dyDescent="0.25"/>
    <row r="236149" s="12" customFormat="1" x14ac:dyDescent="0.25"/>
    <row r="236150" s="12" customFormat="1" x14ac:dyDescent="0.25"/>
    <row r="236151" s="12" customFormat="1" x14ac:dyDescent="0.25"/>
    <row r="236152" s="12" customFormat="1" x14ac:dyDescent="0.25"/>
    <row r="236153" s="12" customFormat="1" x14ac:dyDescent="0.25"/>
    <row r="236154" s="12" customFormat="1" x14ac:dyDescent="0.25"/>
    <row r="236155" s="12" customFormat="1" x14ac:dyDescent="0.25"/>
    <row r="236156" s="12" customFormat="1" x14ac:dyDescent="0.25"/>
    <row r="236157" s="12" customFormat="1" x14ac:dyDescent="0.25"/>
    <row r="236158" s="12" customFormat="1" x14ac:dyDescent="0.25"/>
    <row r="236159" s="12" customFormat="1" x14ac:dyDescent="0.25"/>
    <row r="236160" s="12" customFormat="1" x14ac:dyDescent="0.25"/>
    <row r="236161" s="12" customFormat="1" x14ac:dyDescent="0.25"/>
    <row r="236162" s="12" customFormat="1" x14ac:dyDescent="0.25"/>
    <row r="236163" s="12" customFormat="1" x14ac:dyDescent="0.25"/>
    <row r="236164" s="12" customFormat="1" x14ac:dyDescent="0.25"/>
    <row r="236165" s="12" customFormat="1" x14ac:dyDescent="0.25"/>
    <row r="236166" s="12" customFormat="1" x14ac:dyDescent="0.25"/>
    <row r="236167" s="12" customFormat="1" x14ac:dyDescent="0.25"/>
    <row r="236168" s="12" customFormat="1" x14ac:dyDescent="0.25"/>
    <row r="236169" s="12" customFormat="1" x14ac:dyDescent="0.25"/>
    <row r="236170" s="12" customFormat="1" x14ac:dyDescent="0.25"/>
    <row r="236171" s="12" customFormat="1" x14ac:dyDescent="0.25"/>
    <row r="236172" s="12" customFormat="1" x14ac:dyDescent="0.25"/>
    <row r="236173" s="12" customFormat="1" x14ac:dyDescent="0.25"/>
    <row r="236174" s="12" customFormat="1" x14ac:dyDescent="0.25"/>
    <row r="236175" s="12" customFormat="1" x14ac:dyDescent="0.25"/>
    <row r="236176" s="12" customFormat="1" x14ac:dyDescent="0.25"/>
    <row r="236177" s="12" customFormat="1" x14ac:dyDescent="0.25"/>
    <row r="236178" s="12" customFormat="1" x14ac:dyDescent="0.25"/>
    <row r="236179" s="12" customFormat="1" x14ac:dyDescent="0.25"/>
    <row r="236180" s="12" customFormat="1" x14ac:dyDescent="0.25"/>
    <row r="236181" s="12" customFormat="1" x14ac:dyDescent="0.25"/>
    <row r="236182" s="12" customFormat="1" x14ac:dyDescent="0.25"/>
    <row r="236183" s="12" customFormat="1" x14ac:dyDescent="0.25"/>
    <row r="236184" s="12" customFormat="1" x14ac:dyDescent="0.25"/>
    <row r="236185" s="12" customFormat="1" x14ac:dyDescent="0.25"/>
    <row r="236186" s="12" customFormat="1" x14ac:dyDescent="0.25"/>
    <row r="236187" s="12" customFormat="1" x14ac:dyDescent="0.25"/>
    <row r="236188" s="12" customFormat="1" x14ac:dyDescent="0.25"/>
    <row r="236189" s="12" customFormat="1" x14ac:dyDescent="0.25"/>
    <row r="236190" s="12" customFormat="1" x14ac:dyDescent="0.25"/>
    <row r="236191" s="12" customFormat="1" x14ac:dyDescent="0.25"/>
    <row r="236192" s="12" customFormat="1" x14ac:dyDescent="0.25"/>
    <row r="236193" s="12" customFormat="1" x14ac:dyDescent="0.25"/>
    <row r="236194" s="12" customFormat="1" x14ac:dyDescent="0.25"/>
    <row r="236195" s="12" customFormat="1" x14ac:dyDescent="0.25"/>
    <row r="236196" s="12" customFormat="1" x14ac:dyDescent="0.25"/>
    <row r="236197" s="12" customFormat="1" x14ac:dyDescent="0.25"/>
    <row r="236198" s="12" customFormat="1" x14ac:dyDescent="0.25"/>
    <row r="236199" s="12" customFormat="1" x14ac:dyDescent="0.25"/>
    <row r="236200" s="12" customFormat="1" x14ac:dyDescent="0.25"/>
    <row r="236201" s="12" customFormat="1" x14ac:dyDescent="0.25"/>
    <row r="236202" s="12" customFormat="1" x14ac:dyDescent="0.25"/>
    <row r="236203" s="12" customFormat="1" x14ac:dyDescent="0.25"/>
    <row r="236204" s="12" customFormat="1" x14ac:dyDescent="0.25"/>
    <row r="236205" s="12" customFormat="1" x14ac:dyDescent="0.25"/>
    <row r="236206" s="12" customFormat="1" x14ac:dyDescent="0.25"/>
    <row r="236207" s="12" customFormat="1" x14ac:dyDescent="0.25"/>
    <row r="236208" s="12" customFormat="1" x14ac:dyDescent="0.25"/>
    <row r="236209" s="12" customFormat="1" x14ac:dyDescent="0.25"/>
    <row r="236210" s="12" customFormat="1" x14ac:dyDescent="0.25"/>
    <row r="236211" s="12" customFormat="1" x14ac:dyDescent="0.25"/>
    <row r="236212" s="12" customFormat="1" x14ac:dyDescent="0.25"/>
    <row r="236213" s="12" customFormat="1" x14ac:dyDescent="0.25"/>
    <row r="236214" s="12" customFormat="1" x14ac:dyDescent="0.25"/>
    <row r="236215" s="12" customFormat="1" x14ac:dyDescent="0.25"/>
    <row r="236216" s="12" customFormat="1" x14ac:dyDescent="0.25"/>
    <row r="236217" s="12" customFormat="1" x14ac:dyDescent="0.25"/>
    <row r="236218" s="12" customFormat="1" x14ac:dyDescent="0.25"/>
    <row r="236219" s="12" customFormat="1" x14ac:dyDescent="0.25"/>
    <row r="236220" s="12" customFormat="1" x14ac:dyDescent="0.25"/>
    <row r="236221" s="12" customFormat="1" x14ac:dyDescent="0.25"/>
    <row r="236222" s="12" customFormat="1" x14ac:dyDescent="0.25"/>
    <row r="236223" s="12" customFormat="1" x14ac:dyDescent="0.25"/>
    <row r="236224" s="12" customFormat="1" x14ac:dyDescent="0.25"/>
    <row r="236225" s="12" customFormat="1" x14ac:dyDescent="0.25"/>
    <row r="236226" s="12" customFormat="1" x14ac:dyDescent="0.25"/>
    <row r="236227" s="12" customFormat="1" x14ac:dyDescent="0.25"/>
    <row r="236228" s="12" customFormat="1" x14ac:dyDescent="0.25"/>
    <row r="236229" s="12" customFormat="1" x14ac:dyDescent="0.25"/>
    <row r="236230" s="12" customFormat="1" x14ac:dyDescent="0.25"/>
    <row r="236231" s="12" customFormat="1" x14ac:dyDescent="0.25"/>
    <row r="236232" s="12" customFormat="1" x14ac:dyDescent="0.25"/>
    <row r="236233" s="12" customFormat="1" x14ac:dyDescent="0.25"/>
    <row r="236234" s="12" customFormat="1" x14ac:dyDescent="0.25"/>
    <row r="236235" s="12" customFormat="1" x14ac:dyDescent="0.25"/>
    <row r="236236" s="12" customFormat="1" x14ac:dyDescent="0.25"/>
    <row r="236237" s="12" customFormat="1" x14ac:dyDescent="0.25"/>
    <row r="236238" s="12" customFormat="1" x14ac:dyDescent="0.25"/>
    <row r="236239" s="12" customFormat="1" x14ac:dyDescent="0.25"/>
    <row r="236240" s="12" customFormat="1" x14ac:dyDescent="0.25"/>
    <row r="236241" s="12" customFormat="1" x14ac:dyDescent="0.25"/>
    <row r="236242" s="12" customFormat="1" x14ac:dyDescent="0.25"/>
    <row r="236243" s="12" customFormat="1" x14ac:dyDescent="0.25"/>
    <row r="236244" s="12" customFormat="1" x14ac:dyDescent="0.25"/>
    <row r="236245" s="12" customFormat="1" x14ac:dyDescent="0.25"/>
    <row r="236246" s="12" customFormat="1" x14ac:dyDescent="0.25"/>
    <row r="236247" s="12" customFormat="1" x14ac:dyDescent="0.25"/>
    <row r="236248" s="12" customFormat="1" x14ac:dyDescent="0.25"/>
    <row r="236249" s="12" customFormat="1" x14ac:dyDescent="0.25"/>
    <row r="236250" s="12" customFormat="1" x14ac:dyDescent="0.25"/>
    <row r="236251" s="12" customFormat="1" x14ac:dyDescent="0.25"/>
    <row r="236252" s="12" customFormat="1" x14ac:dyDescent="0.25"/>
    <row r="236253" s="12" customFormat="1" x14ac:dyDescent="0.25"/>
    <row r="236254" s="12" customFormat="1" x14ac:dyDescent="0.25"/>
    <row r="236255" s="12" customFormat="1" x14ac:dyDescent="0.25"/>
    <row r="236256" s="12" customFormat="1" x14ac:dyDescent="0.25"/>
    <row r="236257" s="12" customFormat="1" x14ac:dyDescent="0.25"/>
    <row r="236258" s="12" customFormat="1" x14ac:dyDescent="0.25"/>
    <row r="236259" s="12" customFormat="1" x14ac:dyDescent="0.25"/>
    <row r="236260" s="12" customFormat="1" x14ac:dyDescent="0.25"/>
    <row r="236261" s="12" customFormat="1" x14ac:dyDescent="0.25"/>
    <row r="236262" s="12" customFormat="1" x14ac:dyDescent="0.25"/>
    <row r="236263" s="12" customFormat="1" x14ac:dyDescent="0.25"/>
    <row r="236264" s="12" customFormat="1" x14ac:dyDescent="0.25"/>
    <row r="236265" s="12" customFormat="1" x14ac:dyDescent="0.25"/>
    <row r="236266" s="12" customFormat="1" x14ac:dyDescent="0.25"/>
    <row r="236267" s="12" customFormat="1" x14ac:dyDescent="0.25"/>
    <row r="236268" s="12" customFormat="1" x14ac:dyDescent="0.25"/>
    <row r="236269" s="12" customFormat="1" x14ac:dyDescent="0.25"/>
    <row r="236270" s="12" customFormat="1" x14ac:dyDescent="0.25"/>
    <row r="236271" s="12" customFormat="1" x14ac:dyDescent="0.25"/>
    <row r="236272" s="12" customFormat="1" x14ac:dyDescent="0.25"/>
    <row r="236273" s="12" customFormat="1" x14ac:dyDescent="0.25"/>
    <row r="236274" s="12" customFormat="1" x14ac:dyDescent="0.25"/>
    <row r="236275" s="12" customFormat="1" x14ac:dyDescent="0.25"/>
    <row r="236276" s="12" customFormat="1" x14ac:dyDescent="0.25"/>
    <row r="236277" s="12" customFormat="1" x14ac:dyDescent="0.25"/>
    <row r="236278" s="12" customFormat="1" x14ac:dyDescent="0.25"/>
    <row r="236279" s="12" customFormat="1" x14ac:dyDescent="0.25"/>
    <row r="236280" s="12" customFormat="1" x14ac:dyDescent="0.25"/>
    <row r="236281" s="12" customFormat="1" x14ac:dyDescent="0.25"/>
    <row r="236282" s="12" customFormat="1" x14ac:dyDescent="0.25"/>
    <row r="236283" s="12" customFormat="1" x14ac:dyDescent="0.25"/>
    <row r="236284" s="12" customFormat="1" x14ac:dyDescent="0.25"/>
    <row r="236285" s="12" customFormat="1" x14ac:dyDescent="0.25"/>
    <row r="236286" s="12" customFormat="1" x14ac:dyDescent="0.25"/>
    <row r="236287" s="12" customFormat="1" x14ac:dyDescent="0.25"/>
    <row r="236288" s="12" customFormat="1" x14ac:dyDescent="0.25"/>
    <row r="236289" s="12" customFormat="1" x14ac:dyDescent="0.25"/>
    <row r="236290" s="12" customFormat="1" x14ac:dyDescent="0.25"/>
    <row r="236291" s="12" customFormat="1" x14ac:dyDescent="0.25"/>
    <row r="236292" s="12" customFormat="1" x14ac:dyDescent="0.25"/>
    <row r="236293" s="12" customFormat="1" x14ac:dyDescent="0.25"/>
    <row r="236294" s="12" customFormat="1" x14ac:dyDescent="0.25"/>
    <row r="236295" s="12" customFormat="1" x14ac:dyDescent="0.25"/>
    <row r="236296" s="12" customFormat="1" x14ac:dyDescent="0.25"/>
    <row r="236297" s="12" customFormat="1" x14ac:dyDescent="0.25"/>
    <row r="236298" s="12" customFormat="1" x14ac:dyDescent="0.25"/>
    <row r="236299" s="12" customFormat="1" x14ac:dyDescent="0.25"/>
    <row r="236300" s="12" customFormat="1" x14ac:dyDescent="0.25"/>
    <row r="236301" s="12" customFormat="1" x14ac:dyDescent="0.25"/>
    <row r="236302" s="12" customFormat="1" x14ac:dyDescent="0.25"/>
    <row r="236303" s="12" customFormat="1" x14ac:dyDescent="0.25"/>
    <row r="236304" s="12" customFormat="1" x14ac:dyDescent="0.25"/>
    <row r="236305" s="12" customFormat="1" x14ac:dyDescent="0.25"/>
    <row r="236306" s="12" customFormat="1" x14ac:dyDescent="0.25"/>
    <row r="236307" s="12" customFormat="1" x14ac:dyDescent="0.25"/>
    <row r="236308" s="12" customFormat="1" x14ac:dyDescent="0.25"/>
    <row r="236309" s="12" customFormat="1" x14ac:dyDescent="0.25"/>
    <row r="236310" s="12" customFormat="1" x14ac:dyDescent="0.25"/>
    <row r="236311" s="12" customFormat="1" x14ac:dyDescent="0.25"/>
    <row r="236312" s="12" customFormat="1" x14ac:dyDescent="0.25"/>
    <row r="236313" s="12" customFormat="1" x14ac:dyDescent="0.25"/>
    <row r="236314" s="12" customFormat="1" x14ac:dyDescent="0.25"/>
    <row r="236315" s="12" customFormat="1" x14ac:dyDescent="0.25"/>
    <row r="236316" s="12" customFormat="1" x14ac:dyDescent="0.25"/>
    <row r="236317" s="12" customFormat="1" x14ac:dyDescent="0.25"/>
    <row r="236318" s="12" customFormat="1" x14ac:dyDescent="0.25"/>
    <row r="236319" s="12" customFormat="1" x14ac:dyDescent="0.25"/>
    <row r="236320" s="12" customFormat="1" x14ac:dyDescent="0.25"/>
    <row r="236321" s="12" customFormat="1" x14ac:dyDescent="0.25"/>
    <row r="236322" s="12" customFormat="1" x14ac:dyDescent="0.25"/>
    <row r="236323" s="12" customFormat="1" x14ac:dyDescent="0.25"/>
    <row r="236324" s="12" customFormat="1" x14ac:dyDescent="0.25"/>
    <row r="236325" s="12" customFormat="1" x14ac:dyDescent="0.25"/>
    <row r="236326" s="12" customFormat="1" x14ac:dyDescent="0.25"/>
    <row r="236327" s="12" customFormat="1" x14ac:dyDescent="0.25"/>
    <row r="236328" s="12" customFormat="1" x14ac:dyDescent="0.25"/>
    <row r="236329" s="12" customFormat="1" x14ac:dyDescent="0.25"/>
    <row r="236330" s="12" customFormat="1" x14ac:dyDescent="0.25"/>
    <row r="236331" s="12" customFormat="1" x14ac:dyDescent="0.25"/>
    <row r="236332" s="12" customFormat="1" x14ac:dyDescent="0.25"/>
    <row r="236333" s="12" customFormat="1" x14ac:dyDescent="0.25"/>
    <row r="236334" s="12" customFormat="1" x14ac:dyDescent="0.25"/>
    <row r="236335" s="12" customFormat="1" x14ac:dyDescent="0.25"/>
    <row r="236336" s="12" customFormat="1" x14ac:dyDescent="0.25"/>
    <row r="236337" s="12" customFormat="1" x14ac:dyDescent="0.25"/>
    <row r="236338" s="12" customFormat="1" x14ac:dyDescent="0.25"/>
    <row r="236339" s="12" customFormat="1" x14ac:dyDescent="0.25"/>
    <row r="236340" s="12" customFormat="1" x14ac:dyDescent="0.25"/>
    <row r="236341" s="12" customFormat="1" x14ac:dyDescent="0.25"/>
    <row r="236342" s="12" customFormat="1" x14ac:dyDescent="0.25"/>
    <row r="236343" s="12" customFormat="1" x14ac:dyDescent="0.25"/>
    <row r="236344" s="12" customFormat="1" x14ac:dyDescent="0.25"/>
    <row r="236345" s="12" customFormat="1" x14ac:dyDescent="0.25"/>
    <row r="236346" s="12" customFormat="1" x14ac:dyDescent="0.25"/>
    <row r="236347" s="12" customFormat="1" x14ac:dyDescent="0.25"/>
    <row r="236348" s="12" customFormat="1" x14ac:dyDescent="0.25"/>
    <row r="236349" s="12" customFormat="1" x14ac:dyDescent="0.25"/>
    <row r="236350" s="12" customFormat="1" x14ac:dyDescent="0.25"/>
    <row r="236351" s="12" customFormat="1" x14ac:dyDescent="0.25"/>
    <row r="236352" s="12" customFormat="1" x14ac:dyDescent="0.25"/>
    <row r="236353" s="12" customFormat="1" x14ac:dyDescent="0.25"/>
    <row r="236354" s="12" customFormat="1" x14ac:dyDescent="0.25"/>
    <row r="236355" s="12" customFormat="1" x14ac:dyDescent="0.25"/>
    <row r="236356" s="12" customFormat="1" x14ac:dyDescent="0.25"/>
    <row r="236357" s="12" customFormat="1" x14ac:dyDescent="0.25"/>
    <row r="236358" s="12" customFormat="1" x14ac:dyDescent="0.25"/>
    <row r="236359" s="12" customFormat="1" x14ac:dyDescent="0.25"/>
    <row r="236360" s="12" customFormat="1" x14ac:dyDescent="0.25"/>
    <row r="236361" s="12" customFormat="1" x14ac:dyDescent="0.25"/>
    <row r="236362" s="12" customFormat="1" x14ac:dyDescent="0.25"/>
    <row r="236363" s="12" customFormat="1" x14ac:dyDescent="0.25"/>
    <row r="236364" s="12" customFormat="1" x14ac:dyDescent="0.25"/>
    <row r="236365" s="12" customFormat="1" x14ac:dyDescent="0.25"/>
    <row r="236366" s="12" customFormat="1" x14ac:dyDescent="0.25"/>
    <row r="236367" s="12" customFormat="1" x14ac:dyDescent="0.25"/>
    <row r="236368" s="12" customFormat="1" x14ac:dyDescent="0.25"/>
    <row r="236369" s="12" customFormat="1" x14ac:dyDescent="0.25"/>
    <row r="236370" s="12" customFormat="1" x14ac:dyDescent="0.25"/>
    <row r="236371" s="12" customFormat="1" x14ac:dyDescent="0.25"/>
    <row r="236372" s="12" customFormat="1" x14ac:dyDescent="0.25"/>
    <row r="236373" s="12" customFormat="1" x14ac:dyDescent="0.25"/>
    <row r="236374" s="12" customFormat="1" x14ac:dyDescent="0.25"/>
    <row r="236375" s="12" customFormat="1" x14ac:dyDescent="0.25"/>
    <row r="236376" s="12" customFormat="1" x14ac:dyDescent="0.25"/>
    <row r="236377" s="12" customFormat="1" x14ac:dyDescent="0.25"/>
    <row r="236378" s="12" customFormat="1" x14ac:dyDescent="0.25"/>
    <row r="236379" s="12" customFormat="1" x14ac:dyDescent="0.25"/>
    <row r="236380" s="12" customFormat="1" x14ac:dyDescent="0.25"/>
    <row r="236381" s="12" customFormat="1" x14ac:dyDescent="0.25"/>
    <row r="236382" s="12" customFormat="1" x14ac:dyDescent="0.25"/>
    <row r="236383" s="12" customFormat="1" x14ac:dyDescent="0.25"/>
    <row r="236384" s="12" customFormat="1" x14ac:dyDescent="0.25"/>
    <row r="236385" s="12" customFormat="1" x14ac:dyDescent="0.25"/>
    <row r="236386" s="12" customFormat="1" x14ac:dyDescent="0.25"/>
    <row r="236387" s="12" customFormat="1" x14ac:dyDescent="0.25"/>
    <row r="236388" s="12" customFormat="1" x14ac:dyDescent="0.25"/>
    <row r="236389" s="12" customFormat="1" x14ac:dyDescent="0.25"/>
    <row r="236390" s="12" customFormat="1" x14ac:dyDescent="0.25"/>
    <row r="236391" s="12" customFormat="1" x14ac:dyDescent="0.25"/>
    <row r="236392" s="12" customFormat="1" x14ac:dyDescent="0.25"/>
    <row r="236393" s="12" customFormat="1" x14ac:dyDescent="0.25"/>
    <row r="236394" s="12" customFormat="1" x14ac:dyDescent="0.25"/>
    <row r="236395" s="12" customFormat="1" x14ac:dyDescent="0.25"/>
    <row r="236396" s="12" customFormat="1" x14ac:dyDescent="0.25"/>
    <row r="236397" s="12" customFormat="1" x14ac:dyDescent="0.25"/>
    <row r="236398" s="12" customFormat="1" x14ac:dyDescent="0.25"/>
    <row r="236399" s="12" customFormat="1" x14ac:dyDescent="0.25"/>
    <row r="236400" s="12" customFormat="1" x14ac:dyDescent="0.25"/>
    <row r="236401" s="12" customFormat="1" x14ac:dyDescent="0.25"/>
    <row r="236402" s="12" customFormat="1" x14ac:dyDescent="0.25"/>
    <row r="236403" s="12" customFormat="1" x14ac:dyDescent="0.25"/>
    <row r="236404" s="12" customFormat="1" x14ac:dyDescent="0.25"/>
    <row r="236405" s="12" customFormat="1" x14ac:dyDescent="0.25"/>
    <row r="236406" s="12" customFormat="1" x14ac:dyDescent="0.25"/>
    <row r="236407" s="12" customFormat="1" x14ac:dyDescent="0.25"/>
    <row r="236408" s="12" customFormat="1" x14ac:dyDescent="0.25"/>
    <row r="236409" s="12" customFormat="1" x14ac:dyDescent="0.25"/>
    <row r="236410" s="12" customFormat="1" x14ac:dyDescent="0.25"/>
    <row r="236411" s="12" customFormat="1" x14ac:dyDescent="0.25"/>
    <row r="236412" s="12" customFormat="1" x14ac:dyDescent="0.25"/>
    <row r="236413" s="12" customFormat="1" x14ac:dyDescent="0.25"/>
    <row r="236414" s="12" customFormat="1" x14ac:dyDescent="0.25"/>
    <row r="236415" s="12" customFormat="1" x14ac:dyDescent="0.25"/>
    <row r="236416" s="12" customFormat="1" x14ac:dyDescent="0.25"/>
    <row r="236417" s="12" customFormat="1" x14ac:dyDescent="0.25"/>
    <row r="236418" s="12" customFormat="1" x14ac:dyDescent="0.25"/>
    <row r="236419" s="12" customFormat="1" x14ac:dyDescent="0.25"/>
    <row r="236420" s="12" customFormat="1" x14ac:dyDescent="0.25"/>
    <row r="236421" s="12" customFormat="1" x14ac:dyDescent="0.25"/>
    <row r="236422" s="12" customFormat="1" x14ac:dyDescent="0.25"/>
    <row r="236423" s="12" customFormat="1" x14ac:dyDescent="0.25"/>
    <row r="236424" s="12" customFormat="1" x14ac:dyDescent="0.25"/>
    <row r="236425" s="12" customFormat="1" x14ac:dyDescent="0.25"/>
    <row r="236426" s="12" customFormat="1" x14ac:dyDescent="0.25"/>
    <row r="236427" s="12" customFormat="1" x14ac:dyDescent="0.25"/>
    <row r="236428" s="12" customFormat="1" x14ac:dyDescent="0.25"/>
    <row r="236429" s="12" customFormat="1" x14ac:dyDescent="0.25"/>
    <row r="236430" s="12" customFormat="1" x14ac:dyDescent="0.25"/>
    <row r="236431" s="12" customFormat="1" x14ac:dyDescent="0.25"/>
    <row r="236432" s="12" customFormat="1" x14ac:dyDescent="0.25"/>
    <row r="236433" s="12" customFormat="1" x14ac:dyDescent="0.25"/>
    <row r="236434" s="12" customFormat="1" x14ac:dyDescent="0.25"/>
    <row r="236435" s="12" customFormat="1" x14ac:dyDescent="0.25"/>
    <row r="236436" s="12" customFormat="1" x14ac:dyDescent="0.25"/>
    <row r="236437" s="12" customFormat="1" x14ac:dyDescent="0.25"/>
    <row r="236438" s="12" customFormat="1" x14ac:dyDescent="0.25"/>
    <row r="236439" s="12" customFormat="1" x14ac:dyDescent="0.25"/>
    <row r="236440" s="12" customFormat="1" x14ac:dyDescent="0.25"/>
    <row r="236441" s="12" customFormat="1" x14ac:dyDescent="0.25"/>
    <row r="236442" s="12" customFormat="1" x14ac:dyDescent="0.25"/>
    <row r="236443" s="12" customFormat="1" x14ac:dyDescent="0.25"/>
    <row r="236444" s="12" customFormat="1" x14ac:dyDescent="0.25"/>
    <row r="236445" s="12" customFormat="1" x14ac:dyDescent="0.25"/>
    <row r="236446" s="12" customFormat="1" x14ac:dyDescent="0.25"/>
    <row r="236447" s="12" customFormat="1" x14ac:dyDescent="0.25"/>
    <row r="236448" s="12" customFormat="1" x14ac:dyDescent="0.25"/>
    <row r="236449" s="12" customFormat="1" x14ac:dyDescent="0.25"/>
    <row r="236450" s="12" customFormat="1" x14ac:dyDescent="0.25"/>
    <row r="236451" s="12" customFormat="1" x14ac:dyDescent="0.25"/>
    <row r="236452" s="12" customFormat="1" x14ac:dyDescent="0.25"/>
    <row r="236453" s="12" customFormat="1" x14ac:dyDescent="0.25"/>
    <row r="236454" s="12" customFormat="1" x14ac:dyDescent="0.25"/>
    <row r="236455" s="12" customFormat="1" x14ac:dyDescent="0.25"/>
    <row r="236456" s="12" customFormat="1" x14ac:dyDescent="0.25"/>
    <row r="236457" s="12" customFormat="1" x14ac:dyDescent="0.25"/>
    <row r="236458" s="12" customFormat="1" x14ac:dyDescent="0.25"/>
    <row r="236459" s="12" customFormat="1" x14ac:dyDescent="0.25"/>
    <row r="236460" s="12" customFormat="1" x14ac:dyDescent="0.25"/>
    <row r="236461" s="12" customFormat="1" x14ac:dyDescent="0.25"/>
    <row r="236462" s="12" customFormat="1" x14ac:dyDescent="0.25"/>
    <row r="236463" s="12" customFormat="1" x14ac:dyDescent="0.25"/>
    <row r="236464" s="12" customFormat="1" x14ac:dyDescent="0.25"/>
    <row r="236465" s="12" customFormat="1" x14ac:dyDescent="0.25"/>
    <row r="236466" s="12" customFormat="1" x14ac:dyDescent="0.25"/>
    <row r="236467" s="12" customFormat="1" x14ac:dyDescent="0.25"/>
    <row r="236468" s="12" customFormat="1" x14ac:dyDescent="0.25"/>
    <row r="236469" s="12" customFormat="1" x14ac:dyDescent="0.25"/>
    <row r="236470" s="12" customFormat="1" x14ac:dyDescent="0.25"/>
    <row r="236471" s="12" customFormat="1" x14ac:dyDescent="0.25"/>
    <row r="236472" s="12" customFormat="1" x14ac:dyDescent="0.25"/>
    <row r="236473" s="12" customFormat="1" x14ac:dyDescent="0.25"/>
    <row r="236474" s="12" customFormat="1" x14ac:dyDescent="0.25"/>
    <row r="236475" s="12" customFormat="1" x14ac:dyDescent="0.25"/>
    <row r="236476" s="12" customFormat="1" x14ac:dyDescent="0.25"/>
    <row r="236477" s="12" customFormat="1" x14ac:dyDescent="0.25"/>
    <row r="236478" s="12" customFormat="1" x14ac:dyDescent="0.25"/>
    <row r="236479" s="12" customFormat="1" x14ac:dyDescent="0.25"/>
    <row r="236480" s="12" customFormat="1" x14ac:dyDescent="0.25"/>
    <row r="236481" s="12" customFormat="1" x14ac:dyDescent="0.25"/>
    <row r="236482" s="12" customFormat="1" x14ac:dyDescent="0.25"/>
    <row r="236483" s="12" customFormat="1" x14ac:dyDescent="0.25"/>
    <row r="236484" s="12" customFormat="1" x14ac:dyDescent="0.25"/>
    <row r="236485" s="12" customFormat="1" x14ac:dyDescent="0.25"/>
    <row r="236486" s="12" customFormat="1" x14ac:dyDescent="0.25"/>
    <row r="236487" s="12" customFormat="1" x14ac:dyDescent="0.25"/>
    <row r="236488" s="12" customFormat="1" x14ac:dyDescent="0.25"/>
    <row r="236489" s="12" customFormat="1" x14ac:dyDescent="0.25"/>
    <row r="236490" s="12" customFormat="1" x14ac:dyDescent="0.25"/>
    <row r="236491" s="12" customFormat="1" x14ac:dyDescent="0.25"/>
    <row r="236492" s="12" customFormat="1" x14ac:dyDescent="0.25"/>
    <row r="236493" s="12" customFormat="1" x14ac:dyDescent="0.25"/>
    <row r="236494" s="12" customFormat="1" x14ac:dyDescent="0.25"/>
    <row r="236495" s="12" customFormat="1" x14ac:dyDescent="0.25"/>
    <row r="236496" s="12" customFormat="1" x14ac:dyDescent="0.25"/>
    <row r="236497" s="12" customFormat="1" x14ac:dyDescent="0.25"/>
    <row r="236498" s="12" customFormat="1" x14ac:dyDescent="0.25"/>
    <row r="236499" s="12" customFormat="1" x14ac:dyDescent="0.25"/>
    <row r="236500" s="12" customFormat="1" x14ac:dyDescent="0.25"/>
    <row r="236501" s="12" customFormat="1" x14ac:dyDescent="0.25"/>
    <row r="236502" s="12" customFormat="1" x14ac:dyDescent="0.25"/>
    <row r="236503" s="12" customFormat="1" x14ac:dyDescent="0.25"/>
    <row r="236504" s="12" customFormat="1" x14ac:dyDescent="0.25"/>
    <row r="236505" s="12" customFormat="1" x14ac:dyDescent="0.25"/>
    <row r="236506" s="12" customFormat="1" x14ac:dyDescent="0.25"/>
    <row r="236507" s="12" customFormat="1" x14ac:dyDescent="0.25"/>
    <row r="236508" s="12" customFormat="1" x14ac:dyDescent="0.25"/>
    <row r="236509" s="12" customFormat="1" x14ac:dyDescent="0.25"/>
    <row r="236510" s="12" customFormat="1" x14ac:dyDescent="0.25"/>
    <row r="236511" s="12" customFormat="1" x14ac:dyDescent="0.25"/>
    <row r="236512" s="12" customFormat="1" x14ac:dyDescent="0.25"/>
    <row r="236513" s="12" customFormat="1" x14ac:dyDescent="0.25"/>
    <row r="236514" s="12" customFormat="1" x14ac:dyDescent="0.25"/>
    <row r="236515" s="12" customFormat="1" x14ac:dyDescent="0.25"/>
    <row r="236516" s="12" customFormat="1" x14ac:dyDescent="0.25"/>
    <row r="236517" s="12" customFormat="1" x14ac:dyDescent="0.25"/>
    <row r="236518" s="12" customFormat="1" x14ac:dyDescent="0.25"/>
    <row r="236519" s="12" customFormat="1" x14ac:dyDescent="0.25"/>
    <row r="236520" s="12" customFormat="1" x14ac:dyDescent="0.25"/>
    <row r="236521" s="12" customFormat="1" x14ac:dyDescent="0.25"/>
    <row r="236522" s="12" customFormat="1" x14ac:dyDescent="0.25"/>
    <row r="236523" s="12" customFormat="1" x14ac:dyDescent="0.25"/>
    <row r="236524" s="12" customFormat="1" x14ac:dyDescent="0.25"/>
    <row r="236525" s="12" customFormat="1" x14ac:dyDescent="0.25"/>
    <row r="236526" s="12" customFormat="1" x14ac:dyDescent="0.25"/>
    <row r="236527" s="12" customFormat="1" x14ac:dyDescent="0.25"/>
    <row r="236528" s="12" customFormat="1" x14ac:dyDescent="0.25"/>
    <row r="236529" s="12" customFormat="1" x14ac:dyDescent="0.25"/>
    <row r="236530" s="12" customFormat="1" x14ac:dyDescent="0.25"/>
    <row r="236531" s="12" customFormat="1" x14ac:dyDescent="0.25"/>
    <row r="236532" s="12" customFormat="1" x14ac:dyDescent="0.25"/>
    <row r="236533" s="12" customFormat="1" x14ac:dyDescent="0.25"/>
    <row r="236534" s="12" customFormat="1" x14ac:dyDescent="0.25"/>
    <row r="236535" s="12" customFormat="1" x14ac:dyDescent="0.25"/>
    <row r="236536" s="12" customFormat="1" x14ac:dyDescent="0.25"/>
    <row r="236537" s="12" customFormat="1" x14ac:dyDescent="0.25"/>
    <row r="236538" s="12" customFormat="1" x14ac:dyDescent="0.25"/>
    <row r="236539" s="12" customFormat="1" x14ac:dyDescent="0.25"/>
    <row r="236540" s="12" customFormat="1" x14ac:dyDescent="0.25"/>
    <row r="236541" s="12" customFormat="1" x14ac:dyDescent="0.25"/>
    <row r="236542" s="12" customFormat="1" x14ac:dyDescent="0.25"/>
    <row r="236543" s="12" customFormat="1" x14ac:dyDescent="0.25"/>
    <row r="236544" s="12" customFormat="1" x14ac:dyDescent="0.25"/>
    <row r="236545" s="12" customFormat="1" x14ac:dyDescent="0.25"/>
    <row r="236546" s="12" customFormat="1" x14ac:dyDescent="0.25"/>
    <row r="236547" s="12" customFormat="1" x14ac:dyDescent="0.25"/>
    <row r="236548" s="12" customFormat="1" x14ac:dyDescent="0.25"/>
    <row r="236549" s="12" customFormat="1" x14ac:dyDescent="0.25"/>
    <row r="236550" s="12" customFormat="1" x14ac:dyDescent="0.25"/>
    <row r="236551" s="12" customFormat="1" x14ac:dyDescent="0.25"/>
    <row r="236552" s="12" customFormat="1" x14ac:dyDescent="0.25"/>
    <row r="236553" s="12" customFormat="1" x14ac:dyDescent="0.25"/>
    <row r="236554" s="12" customFormat="1" x14ac:dyDescent="0.25"/>
    <row r="236555" s="12" customFormat="1" x14ac:dyDescent="0.25"/>
    <row r="236556" s="12" customFormat="1" x14ac:dyDescent="0.25"/>
    <row r="236557" s="12" customFormat="1" x14ac:dyDescent="0.25"/>
    <row r="236558" s="12" customFormat="1" x14ac:dyDescent="0.25"/>
    <row r="236559" s="12" customFormat="1" x14ac:dyDescent="0.25"/>
    <row r="236560" s="12" customFormat="1" x14ac:dyDescent="0.25"/>
    <row r="236561" s="12" customFormat="1" x14ac:dyDescent="0.25"/>
    <row r="236562" s="12" customFormat="1" x14ac:dyDescent="0.25"/>
    <row r="236563" s="12" customFormat="1" x14ac:dyDescent="0.25"/>
    <row r="236564" s="12" customFormat="1" x14ac:dyDescent="0.25"/>
    <row r="236565" s="12" customFormat="1" x14ac:dyDescent="0.25"/>
    <row r="236566" s="12" customFormat="1" x14ac:dyDescent="0.25"/>
    <row r="236567" s="12" customFormat="1" x14ac:dyDescent="0.25"/>
    <row r="236568" s="12" customFormat="1" x14ac:dyDescent="0.25"/>
    <row r="236569" s="12" customFormat="1" x14ac:dyDescent="0.25"/>
    <row r="236570" s="12" customFormat="1" x14ac:dyDescent="0.25"/>
    <row r="236571" s="12" customFormat="1" x14ac:dyDescent="0.25"/>
    <row r="236572" s="12" customFormat="1" x14ac:dyDescent="0.25"/>
    <row r="236573" s="12" customFormat="1" x14ac:dyDescent="0.25"/>
    <row r="236574" s="12" customFormat="1" x14ac:dyDescent="0.25"/>
    <row r="236575" s="12" customFormat="1" x14ac:dyDescent="0.25"/>
    <row r="236576" s="12" customFormat="1" x14ac:dyDescent="0.25"/>
    <row r="236577" s="12" customFormat="1" x14ac:dyDescent="0.25"/>
    <row r="236578" s="12" customFormat="1" x14ac:dyDescent="0.25"/>
    <row r="236579" s="12" customFormat="1" x14ac:dyDescent="0.25"/>
    <row r="236580" s="12" customFormat="1" x14ac:dyDescent="0.25"/>
    <row r="236581" s="12" customFormat="1" x14ac:dyDescent="0.25"/>
    <row r="236582" s="12" customFormat="1" x14ac:dyDescent="0.25"/>
    <row r="236583" s="12" customFormat="1" x14ac:dyDescent="0.25"/>
    <row r="236584" s="12" customFormat="1" x14ac:dyDescent="0.25"/>
    <row r="236585" s="12" customFormat="1" x14ac:dyDescent="0.25"/>
    <row r="236586" s="12" customFormat="1" x14ac:dyDescent="0.25"/>
    <row r="236587" s="12" customFormat="1" x14ac:dyDescent="0.25"/>
    <row r="236588" s="12" customFormat="1" x14ac:dyDescent="0.25"/>
    <row r="236589" s="12" customFormat="1" x14ac:dyDescent="0.25"/>
    <row r="236590" s="12" customFormat="1" x14ac:dyDescent="0.25"/>
    <row r="236591" s="12" customFormat="1" x14ac:dyDescent="0.25"/>
    <row r="236592" s="12" customFormat="1" x14ac:dyDescent="0.25"/>
    <row r="236593" s="12" customFormat="1" x14ac:dyDescent="0.25"/>
    <row r="236594" s="12" customFormat="1" x14ac:dyDescent="0.25"/>
    <row r="236595" s="12" customFormat="1" x14ac:dyDescent="0.25"/>
    <row r="236596" s="12" customFormat="1" x14ac:dyDescent="0.25"/>
    <row r="236597" s="12" customFormat="1" x14ac:dyDescent="0.25"/>
    <row r="236598" s="12" customFormat="1" x14ac:dyDescent="0.25"/>
    <row r="236599" s="12" customFormat="1" x14ac:dyDescent="0.25"/>
    <row r="236600" s="12" customFormat="1" x14ac:dyDescent="0.25"/>
    <row r="236601" s="12" customFormat="1" x14ac:dyDescent="0.25"/>
    <row r="236602" s="12" customFormat="1" x14ac:dyDescent="0.25"/>
    <row r="236603" s="12" customFormat="1" x14ac:dyDescent="0.25"/>
    <row r="236604" s="12" customFormat="1" x14ac:dyDescent="0.25"/>
    <row r="236605" s="12" customFormat="1" x14ac:dyDescent="0.25"/>
    <row r="236606" s="12" customFormat="1" x14ac:dyDescent="0.25"/>
    <row r="236607" s="12" customFormat="1" x14ac:dyDescent="0.25"/>
    <row r="236608" s="12" customFormat="1" x14ac:dyDescent="0.25"/>
    <row r="236609" s="12" customFormat="1" x14ac:dyDescent="0.25"/>
    <row r="236610" s="12" customFormat="1" x14ac:dyDescent="0.25"/>
    <row r="236611" s="12" customFormat="1" x14ac:dyDescent="0.25"/>
    <row r="236612" s="12" customFormat="1" x14ac:dyDescent="0.25"/>
    <row r="236613" s="12" customFormat="1" x14ac:dyDescent="0.25"/>
    <row r="236614" s="12" customFormat="1" x14ac:dyDescent="0.25"/>
    <row r="236615" s="12" customFormat="1" x14ac:dyDescent="0.25"/>
    <row r="236616" s="12" customFormat="1" x14ac:dyDescent="0.25"/>
    <row r="236617" s="12" customFormat="1" x14ac:dyDescent="0.25"/>
    <row r="236618" s="12" customFormat="1" x14ac:dyDescent="0.25"/>
    <row r="236619" s="12" customFormat="1" x14ac:dyDescent="0.25"/>
    <row r="236620" s="12" customFormat="1" x14ac:dyDescent="0.25"/>
    <row r="236621" s="12" customFormat="1" x14ac:dyDescent="0.25"/>
    <row r="236622" s="12" customFormat="1" x14ac:dyDescent="0.25"/>
    <row r="236623" s="12" customFormat="1" x14ac:dyDescent="0.25"/>
    <row r="236624" s="12" customFormat="1" x14ac:dyDescent="0.25"/>
    <row r="236625" s="12" customFormat="1" x14ac:dyDescent="0.25"/>
    <row r="236626" s="12" customFormat="1" x14ac:dyDescent="0.25"/>
    <row r="236627" s="12" customFormat="1" x14ac:dyDescent="0.25"/>
    <row r="236628" s="12" customFormat="1" x14ac:dyDescent="0.25"/>
    <row r="236629" s="12" customFormat="1" x14ac:dyDescent="0.25"/>
    <row r="236630" s="12" customFormat="1" x14ac:dyDescent="0.25"/>
    <row r="236631" s="12" customFormat="1" x14ac:dyDescent="0.25"/>
    <row r="236632" s="12" customFormat="1" x14ac:dyDescent="0.25"/>
    <row r="236633" s="12" customFormat="1" x14ac:dyDescent="0.25"/>
    <row r="236634" s="12" customFormat="1" x14ac:dyDescent="0.25"/>
    <row r="236635" s="12" customFormat="1" x14ac:dyDescent="0.25"/>
    <row r="236636" s="12" customFormat="1" x14ac:dyDescent="0.25"/>
    <row r="236637" s="12" customFormat="1" x14ac:dyDescent="0.25"/>
    <row r="236638" s="12" customFormat="1" x14ac:dyDescent="0.25"/>
    <row r="236639" s="12" customFormat="1" x14ac:dyDescent="0.25"/>
    <row r="236640" s="12" customFormat="1" x14ac:dyDescent="0.25"/>
    <row r="236641" s="12" customFormat="1" x14ac:dyDescent="0.25"/>
    <row r="236642" s="12" customFormat="1" x14ac:dyDescent="0.25"/>
    <row r="236643" s="12" customFormat="1" x14ac:dyDescent="0.25"/>
    <row r="236644" s="12" customFormat="1" x14ac:dyDescent="0.25"/>
    <row r="236645" s="12" customFormat="1" x14ac:dyDescent="0.25"/>
    <row r="236646" s="12" customFormat="1" x14ac:dyDescent="0.25"/>
    <row r="236647" s="12" customFormat="1" x14ac:dyDescent="0.25"/>
    <row r="236648" s="12" customFormat="1" x14ac:dyDescent="0.25"/>
    <row r="236649" s="12" customFormat="1" x14ac:dyDescent="0.25"/>
    <row r="236650" s="12" customFormat="1" x14ac:dyDescent="0.25"/>
    <row r="236651" s="12" customFormat="1" x14ac:dyDescent="0.25"/>
    <row r="236652" s="12" customFormat="1" x14ac:dyDescent="0.25"/>
    <row r="236653" s="12" customFormat="1" x14ac:dyDescent="0.25"/>
    <row r="236654" s="12" customFormat="1" x14ac:dyDescent="0.25"/>
    <row r="236655" s="12" customFormat="1" x14ac:dyDescent="0.25"/>
    <row r="236656" s="12" customFormat="1" x14ac:dyDescent="0.25"/>
    <row r="236657" s="12" customFormat="1" x14ac:dyDescent="0.25"/>
    <row r="236658" s="12" customFormat="1" x14ac:dyDescent="0.25"/>
    <row r="236659" s="12" customFormat="1" x14ac:dyDescent="0.25"/>
    <row r="236660" s="12" customFormat="1" x14ac:dyDescent="0.25"/>
    <row r="236661" s="12" customFormat="1" x14ac:dyDescent="0.25"/>
    <row r="236662" s="12" customFormat="1" x14ac:dyDescent="0.25"/>
    <row r="236663" s="12" customFormat="1" x14ac:dyDescent="0.25"/>
    <row r="236664" s="12" customFormat="1" x14ac:dyDescent="0.25"/>
    <row r="236665" s="12" customFormat="1" x14ac:dyDescent="0.25"/>
    <row r="236666" s="12" customFormat="1" x14ac:dyDescent="0.25"/>
    <row r="236667" s="12" customFormat="1" x14ac:dyDescent="0.25"/>
    <row r="236668" s="12" customFormat="1" x14ac:dyDescent="0.25"/>
    <row r="236669" s="12" customFormat="1" x14ac:dyDescent="0.25"/>
    <row r="236670" s="12" customFormat="1" x14ac:dyDescent="0.25"/>
    <row r="236671" s="12" customFormat="1" x14ac:dyDescent="0.25"/>
    <row r="236672" s="12" customFormat="1" x14ac:dyDescent="0.25"/>
    <row r="236673" s="12" customFormat="1" x14ac:dyDescent="0.25"/>
    <row r="236674" s="12" customFormat="1" x14ac:dyDescent="0.25"/>
    <row r="236675" s="12" customFormat="1" x14ac:dyDescent="0.25"/>
    <row r="236676" s="12" customFormat="1" x14ac:dyDescent="0.25"/>
    <row r="236677" s="12" customFormat="1" x14ac:dyDescent="0.25"/>
    <row r="236678" s="12" customFormat="1" x14ac:dyDescent="0.25"/>
    <row r="236679" s="12" customFormat="1" x14ac:dyDescent="0.25"/>
    <row r="236680" s="12" customFormat="1" x14ac:dyDescent="0.25"/>
    <row r="236681" s="12" customFormat="1" x14ac:dyDescent="0.25"/>
    <row r="236682" s="12" customFormat="1" x14ac:dyDescent="0.25"/>
    <row r="236683" s="12" customFormat="1" x14ac:dyDescent="0.25"/>
    <row r="236684" s="12" customFormat="1" x14ac:dyDescent="0.25"/>
    <row r="236685" s="12" customFormat="1" x14ac:dyDescent="0.25"/>
    <row r="236686" s="12" customFormat="1" x14ac:dyDescent="0.25"/>
    <row r="236687" s="12" customFormat="1" x14ac:dyDescent="0.25"/>
    <row r="236688" s="12" customFormat="1" x14ac:dyDescent="0.25"/>
    <row r="236689" s="12" customFormat="1" x14ac:dyDescent="0.25"/>
    <row r="236690" s="12" customFormat="1" x14ac:dyDescent="0.25"/>
    <row r="236691" s="12" customFormat="1" x14ac:dyDescent="0.25"/>
    <row r="236692" s="12" customFormat="1" x14ac:dyDescent="0.25"/>
    <row r="236693" s="12" customFormat="1" x14ac:dyDescent="0.25"/>
    <row r="236694" s="12" customFormat="1" x14ac:dyDescent="0.25"/>
    <row r="236695" s="12" customFormat="1" x14ac:dyDescent="0.25"/>
    <row r="236696" s="12" customFormat="1" x14ac:dyDescent="0.25"/>
    <row r="236697" s="12" customFormat="1" x14ac:dyDescent="0.25"/>
    <row r="236698" s="12" customFormat="1" x14ac:dyDescent="0.25"/>
    <row r="236699" s="12" customFormat="1" x14ac:dyDescent="0.25"/>
    <row r="236700" s="12" customFormat="1" x14ac:dyDescent="0.25"/>
    <row r="236701" s="12" customFormat="1" x14ac:dyDescent="0.25"/>
    <row r="236702" s="12" customFormat="1" x14ac:dyDescent="0.25"/>
    <row r="236703" s="12" customFormat="1" x14ac:dyDescent="0.25"/>
    <row r="236704" s="12" customFormat="1" x14ac:dyDescent="0.25"/>
    <row r="236705" s="12" customFormat="1" x14ac:dyDescent="0.25"/>
    <row r="236706" s="12" customFormat="1" x14ac:dyDescent="0.25"/>
    <row r="236707" s="12" customFormat="1" x14ac:dyDescent="0.25"/>
    <row r="236708" s="12" customFormat="1" x14ac:dyDescent="0.25"/>
    <row r="236709" s="12" customFormat="1" x14ac:dyDescent="0.25"/>
    <row r="236710" s="12" customFormat="1" x14ac:dyDescent="0.25"/>
    <row r="236711" s="12" customFormat="1" x14ac:dyDescent="0.25"/>
    <row r="236712" s="12" customFormat="1" x14ac:dyDescent="0.25"/>
    <row r="236713" s="12" customFormat="1" x14ac:dyDescent="0.25"/>
    <row r="236714" s="12" customFormat="1" x14ac:dyDescent="0.25"/>
    <row r="236715" s="12" customFormat="1" x14ac:dyDescent="0.25"/>
    <row r="236716" s="12" customFormat="1" x14ac:dyDescent="0.25"/>
    <row r="236717" s="12" customFormat="1" x14ac:dyDescent="0.25"/>
    <row r="236718" s="12" customFormat="1" x14ac:dyDescent="0.25"/>
    <row r="236719" s="12" customFormat="1" x14ac:dyDescent="0.25"/>
    <row r="236720" s="12" customFormat="1" x14ac:dyDescent="0.25"/>
    <row r="236721" s="12" customFormat="1" x14ac:dyDescent="0.25"/>
    <row r="236722" s="12" customFormat="1" x14ac:dyDescent="0.25"/>
    <row r="236723" s="12" customFormat="1" x14ac:dyDescent="0.25"/>
    <row r="236724" s="12" customFormat="1" x14ac:dyDescent="0.25"/>
    <row r="236725" s="12" customFormat="1" x14ac:dyDescent="0.25"/>
    <row r="236726" s="12" customFormat="1" x14ac:dyDescent="0.25"/>
    <row r="236727" s="12" customFormat="1" x14ac:dyDescent="0.25"/>
    <row r="236728" s="12" customFormat="1" x14ac:dyDescent="0.25"/>
    <row r="236729" s="12" customFormat="1" x14ac:dyDescent="0.25"/>
    <row r="236730" s="12" customFormat="1" x14ac:dyDescent="0.25"/>
    <row r="236731" s="12" customFormat="1" x14ac:dyDescent="0.25"/>
    <row r="236732" s="12" customFormat="1" x14ac:dyDescent="0.25"/>
    <row r="236733" s="12" customFormat="1" x14ac:dyDescent="0.25"/>
    <row r="236734" s="12" customFormat="1" x14ac:dyDescent="0.25"/>
    <row r="236735" s="12" customFormat="1" x14ac:dyDescent="0.25"/>
    <row r="236736" s="12" customFormat="1" x14ac:dyDescent="0.25"/>
    <row r="236737" s="12" customFormat="1" x14ac:dyDescent="0.25"/>
    <row r="236738" s="12" customFormat="1" x14ac:dyDescent="0.25"/>
    <row r="236739" s="12" customFormat="1" x14ac:dyDescent="0.25"/>
    <row r="236740" s="12" customFormat="1" x14ac:dyDescent="0.25"/>
    <row r="236741" s="12" customFormat="1" x14ac:dyDescent="0.25"/>
    <row r="236742" s="12" customFormat="1" x14ac:dyDescent="0.25"/>
    <row r="236743" s="12" customFormat="1" x14ac:dyDescent="0.25"/>
    <row r="236744" s="12" customFormat="1" x14ac:dyDescent="0.25"/>
    <row r="236745" s="12" customFormat="1" x14ac:dyDescent="0.25"/>
    <row r="236746" s="12" customFormat="1" x14ac:dyDescent="0.25"/>
    <row r="236747" s="12" customFormat="1" x14ac:dyDescent="0.25"/>
    <row r="236748" s="12" customFormat="1" x14ac:dyDescent="0.25"/>
    <row r="236749" s="12" customFormat="1" x14ac:dyDescent="0.25"/>
    <row r="236750" s="12" customFormat="1" x14ac:dyDescent="0.25"/>
    <row r="236751" s="12" customFormat="1" x14ac:dyDescent="0.25"/>
    <row r="236752" s="12" customFormat="1" x14ac:dyDescent="0.25"/>
    <row r="236753" s="12" customFormat="1" x14ac:dyDescent="0.25"/>
    <row r="236754" s="12" customFormat="1" x14ac:dyDescent="0.25"/>
    <row r="236755" s="12" customFormat="1" x14ac:dyDescent="0.25"/>
    <row r="236756" s="12" customFormat="1" x14ac:dyDescent="0.25"/>
    <row r="236757" s="12" customFormat="1" x14ac:dyDescent="0.25"/>
    <row r="236758" s="12" customFormat="1" x14ac:dyDescent="0.25"/>
    <row r="236759" s="12" customFormat="1" x14ac:dyDescent="0.25"/>
    <row r="236760" s="12" customFormat="1" x14ac:dyDescent="0.25"/>
    <row r="236761" s="12" customFormat="1" x14ac:dyDescent="0.25"/>
    <row r="236762" s="12" customFormat="1" x14ac:dyDescent="0.25"/>
    <row r="236763" s="12" customFormat="1" x14ac:dyDescent="0.25"/>
    <row r="236764" s="12" customFormat="1" x14ac:dyDescent="0.25"/>
    <row r="236765" s="12" customFormat="1" x14ac:dyDescent="0.25"/>
    <row r="236766" s="12" customFormat="1" x14ac:dyDescent="0.25"/>
    <row r="236767" s="12" customFormat="1" x14ac:dyDescent="0.25"/>
    <row r="236768" s="12" customFormat="1" x14ac:dyDescent="0.25"/>
    <row r="236769" s="12" customFormat="1" x14ac:dyDescent="0.25"/>
    <row r="236770" s="12" customFormat="1" x14ac:dyDescent="0.25"/>
    <row r="236771" s="12" customFormat="1" x14ac:dyDescent="0.25"/>
    <row r="236772" s="12" customFormat="1" x14ac:dyDescent="0.25"/>
    <row r="236773" s="12" customFormat="1" x14ac:dyDescent="0.25"/>
    <row r="236774" s="12" customFormat="1" x14ac:dyDescent="0.25"/>
    <row r="236775" s="12" customFormat="1" x14ac:dyDescent="0.25"/>
    <row r="236776" s="12" customFormat="1" x14ac:dyDescent="0.25"/>
    <row r="236777" s="12" customFormat="1" x14ac:dyDescent="0.25"/>
    <row r="236778" s="12" customFormat="1" x14ac:dyDescent="0.25"/>
    <row r="236779" s="12" customFormat="1" x14ac:dyDescent="0.25"/>
    <row r="236780" s="12" customFormat="1" x14ac:dyDescent="0.25"/>
    <row r="236781" s="12" customFormat="1" x14ac:dyDescent="0.25"/>
    <row r="236782" s="12" customFormat="1" x14ac:dyDescent="0.25"/>
    <row r="236783" s="12" customFormat="1" x14ac:dyDescent="0.25"/>
    <row r="236784" s="12" customFormat="1" x14ac:dyDescent="0.25"/>
    <row r="236785" s="12" customFormat="1" x14ac:dyDescent="0.25"/>
    <row r="236786" s="12" customFormat="1" x14ac:dyDescent="0.25"/>
    <row r="236787" s="12" customFormat="1" x14ac:dyDescent="0.25"/>
    <row r="236788" s="12" customFormat="1" x14ac:dyDescent="0.25"/>
    <row r="236789" s="12" customFormat="1" x14ac:dyDescent="0.25"/>
    <row r="236790" s="12" customFormat="1" x14ac:dyDescent="0.25"/>
    <row r="236791" s="12" customFormat="1" x14ac:dyDescent="0.25"/>
    <row r="236792" s="12" customFormat="1" x14ac:dyDescent="0.25"/>
    <row r="236793" s="12" customFormat="1" x14ac:dyDescent="0.25"/>
    <row r="236794" s="12" customFormat="1" x14ac:dyDescent="0.25"/>
    <row r="236795" s="12" customFormat="1" x14ac:dyDescent="0.25"/>
    <row r="236796" s="12" customFormat="1" x14ac:dyDescent="0.25"/>
    <row r="236797" s="12" customFormat="1" x14ac:dyDescent="0.25"/>
    <row r="236798" s="12" customFormat="1" x14ac:dyDescent="0.25"/>
    <row r="236799" s="12" customFormat="1" x14ac:dyDescent="0.25"/>
    <row r="236800" s="12" customFormat="1" x14ac:dyDescent="0.25"/>
    <row r="236801" s="12" customFormat="1" x14ac:dyDescent="0.25"/>
    <row r="236802" s="12" customFormat="1" x14ac:dyDescent="0.25"/>
    <row r="236803" s="12" customFormat="1" x14ac:dyDescent="0.25"/>
    <row r="236804" s="12" customFormat="1" x14ac:dyDescent="0.25"/>
    <row r="236805" s="12" customFormat="1" x14ac:dyDescent="0.25"/>
    <row r="236806" s="12" customFormat="1" x14ac:dyDescent="0.25"/>
    <row r="236807" s="12" customFormat="1" x14ac:dyDescent="0.25"/>
    <row r="236808" s="12" customFormat="1" x14ac:dyDescent="0.25"/>
    <row r="236809" s="12" customFormat="1" x14ac:dyDescent="0.25"/>
    <row r="236810" s="12" customFormat="1" x14ac:dyDescent="0.25"/>
    <row r="236811" s="12" customFormat="1" x14ac:dyDescent="0.25"/>
    <row r="236812" s="12" customFormat="1" x14ac:dyDescent="0.25"/>
    <row r="236813" s="12" customFormat="1" x14ac:dyDescent="0.25"/>
    <row r="236814" s="12" customFormat="1" x14ac:dyDescent="0.25"/>
    <row r="236815" s="12" customFormat="1" x14ac:dyDescent="0.25"/>
    <row r="236816" s="12" customFormat="1" x14ac:dyDescent="0.25"/>
    <row r="236817" s="12" customFormat="1" x14ac:dyDescent="0.25"/>
    <row r="236818" s="12" customFormat="1" x14ac:dyDescent="0.25"/>
    <row r="236819" s="12" customFormat="1" x14ac:dyDescent="0.25"/>
    <row r="236820" s="12" customFormat="1" x14ac:dyDescent="0.25"/>
    <row r="236821" s="12" customFormat="1" x14ac:dyDescent="0.25"/>
    <row r="236822" s="12" customFormat="1" x14ac:dyDescent="0.25"/>
    <row r="236823" s="12" customFormat="1" x14ac:dyDescent="0.25"/>
    <row r="236824" s="12" customFormat="1" x14ac:dyDescent="0.25"/>
    <row r="236825" s="12" customFormat="1" x14ac:dyDescent="0.25"/>
    <row r="236826" s="12" customFormat="1" x14ac:dyDescent="0.25"/>
    <row r="236827" s="12" customFormat="1" x14ac:dyDescent="0.25"/>
    <row r="236828" s="12" customFormat="1" x14ac:dyDescent="0.25"/>
    <row r="236829" s="12" customFormat="1" x14ac:dyDescent="0.25"/>
    <row r="236830" s="12" customFormat="1" x14ac:dyDescent="0.25"/>
    <row r="236831" s="12" customFormat="1" x14ac:dyDescent="0.25"/>
    <row r="236832" s="12" customFormat="1" x14ac:dyDescent="0.25"/>
    <row r="236833" s="12" customFormat="1" x14ac:dyDescent="0.25"/>
    <row r="236834" s="12" customFormat="1" x14ac:dyDescent="0.25"/>
    <row r="236835" s="12" customFormat="1" x14ac:dyDescent="0.25"/>
    <row r="236836" s="12" customFormat="1" x14ac:dyDescent="0.25"/>
    <row r="236837" s="12" customFormat="1" x14ac:dyDescent="0.25"/>
    <row r="236838" s="12" customFormat="1" x14ac:dyDescent="0.25"/>
    <row r="236839" s="12" customFormat="1" x14ac:dyDescent="0.25"/>
    <row r="236840" s="12" customFormat="1" x14ac:dyDescent="0.25"/>
    <row r="236841" s="12" customFormat="1" x14ac:dyDescent="0.25"/>
    <row r="236842" s="12" customFormat="1" x14ac:dyDescent="0.25"/>
    <row r="236843" s="12" customFormat="1" x14ac:dyDescent="0.25"/>
    <row r="236844" s="12" customFormat="1" x14ac:dyDescent="0.25"/>
    <row r="236845" s="12" customFormat="1" x14ac:dyDescent="0.25"/>
    <row r="236846" s="12" customFormat="1" x14ac:dyDescent="0.25"/>
    <row r="236847" s="12" customFormat="1" x14ac:dyDescent="0.25"/>
    <row r="236848" s="12" customFormat="1" x14ac:dyDescent="0.25"/>
    <row r="236849" s="12" customFormat="1" x14ac:dyDescent="0.25"/>
    <row r="236850" s="12" customFormat="1" x14ac:dyDescent="0.25"/>
    <row r="236851" s="12" customFormat="1" x14ac:dyDescent="0.25"/>
    <row r="236852" s="12" customFormat="1" x14ac:dyDescent="0.25"/>
    <row r="236853" s="12" customFormat="1" x14ac:dyDescent="0.25"/>
    <row r="236854" s="12" customFormat="1" x14ac:dyDescent="0.25"/>
    <row r="236855" s="12" customFormat="1" x14ac:dyDescent="0.25"/>
    <row r="236856" s="12" customFormat="1" x14ac:dyDescent="0.25"/>
    <row r="236857" s="12" customFormat="1" x14ac:dyDescent="0.25"/>
    <row r="236858" s="12" customFormat="1" x14ac:dyDescent="0.25"/>
    <row r="236859" s="12" customFormat="1" x14ac:dyDescent="0.25"/>
    <row r="236860" s="12" customFormat="1" x14ac:dyDescent="0.25"/>
    <row r="236861" s="12" customFormat="1" x14ac:dyDescent="0.25"/>
    <row r="236862" s="12" customFormat="1" x14ac:dyDescent="0.25"/>
    <row r="236863" s="12" customFormat="1" x14ac:dyDescent="0.25"/>
    <row r="236864" s="12" customFormat="1" x14ac:dyDescent="0.25"/>
    <row r="236865" s="12" customFormat="1" x14ac:dyDescent="0.25"/>
    <row r="236866" s="12" customFormat="1" x14ac:dyDescent="0.25"/>
    <row r="236867" s="12" customFormat="1" x14ac:dyDescent="0.25"/>
    <row r="236868" s="12" customFormat="1" x14ac:dyDescent="0.25"/>
    <row r="236869" s="12" customFormat="1" x14ac:dyDescent="0.25"/>
    <row r="236870" s="12" customFormat="1" x14ac:dyDescent="0.25"/>
    <row r="236871" s="12" customFormat="1" x14ac:dyDescent="0.25"/>
    <row r="236872" s="12" customFormat="1" x14ac:dyDescent="0.25"/>
    <row r="236873" s="12" customFormat="1" x14ac:dyDescent="0.25"/>
    <row r="236874" s="12" customFormat="1" x14ac:dyDescent="0.25"/>
    <row r="236875" s="12" customFormat="1" x14ac:dyDescent="0.25"/>
    <row r="236876" s="12" customFormat="1" x14ac:dyDescent="0.25"/>
    <row r="236877" s="12" customFormat="1" x14ac:dyDescent="0.25"/>
    <row r="236878" s="12" customFormat="1" x14ac:dyDescent="0.25"/>
    <row r="236879" s="12" customFormat="1" x14ac:dyDescent="0.25"/>
    <row r="236880" s="12" customFormat="1" x14ac:dyDescent="0.25"/>
    <row r="236881" s="12" customFormat="1" x14ac:dyDescent="0.25"/>
    <row r="236882" s="12" customFormat="1" x14ac:dyDescent="0.25"/>
    <row r="236883" s="12" customFormat="1" x14ac:dyDescent="0.25"/>
    <row r="236884" s="12" customFormat="1" x14ac:dyDescent="0.25"/>
    <row r="236885" s="12" customFormat="1" x14ac:dyDescent="0.25"/>
    <row r="236886" s="12" customFormat="1" x14ac:dyDescent="0.25"/>
    <row r="236887" s="12" customFormat="1" x14ac:dyDescent="0.25"/>
    <row r="236888" s="12" customFormat="1" x14ac:dyDescent="0.25"/>
    <row r="236889" s="12" customFormat="1" x14ac:dyDescent="0.25"/>
    <row r="236890" s="12" customFormat="1" x14ac:dyDescent="0.25"/>
    <row r="236891" s="12" customFormat="1" x14ac:dyDescent="0.25"/>
    <row r="236892" s="12" customFormat="1" x14ac:dyDescent="0.25"/>
    <row r="236893" s="12" customFormat="1" x14ac:dyDescent="0.25"/>
    <row r="236894" s="12" customFormat="1" x14ac:dyDescent="0.25"/>
    <row r="236895" s="12" customFormat="1" x14ac:dyDescent="0.25"/>
    <row r="236896" s="12" customFormat="1" x14ac:dyDescent="0.25"/>
    <row r="236897" s="12" customFormat="1" x14ac:dyDescent="0.25"/>
    <row r="236898" s="12" customFormat="1" x14ac:dyDescent="0.25"/>
    <row r="236899" s="12" customFormat="1" x14ac:dyDescent="0.25"/>
    <row r="236900" s="12" customFormat="1" x14ac:dyDescent="0.25"/>
    <row r="236901" s="12" customFormat="1" x14ac:dyDescent="0.25"/>
    <row r="236902" s="12" customFormat="1" x14ac:dyDescent="0.25"/>
    <row r="236903" s="12" customFormat="1" x14ac:dyDescent="0.25"/>
    <row r="236904" s="12" customFormat="1" x14ac:dyDescent="0.25"/>
    <row r="236905" s="12" customFormat="1" x14ac:dyDescent="0.25"/>
    <row r="236906" s="12" customFormat="1" x14ac:dyDescent="0.25"/>
    <row r="236907" s="12" customFormat="1" x14ac:dyDescent="0.25"/>
    <row r="236908" s="12" customFormat="1" x14ac:dyDescent="0.25"/>
    <row r="236909" s="12" customFormat="1" x14ac:dyDescent="0.25"/>
    <row r="236910" s="12" customFormat="1" x14ac:dyDescent="0.25"/>
    <row r="236911" s="12" customFormat="1" x14ac:dyDescent="0.25"/>
    <row r="236912" s="12" customFormat="1" x14ac:dyDescent="0.25"/>
    <row r="236913" s="12" customFormat="1" x14ac:dyDescent="0.25"/>
    <row r="236914" s="12" customFormat="1" x14ac:dyDescent="0.25"/>
    <row r="236915" s="12" customFormat="1" x14ac:dyDescent="0.25"/>
    <row r="236916" s="12" customFormat="1" x14ac:dyDescent="0.25"/>
    <row r="236917" s="12" customFormat="1" x14ac:dyDescent="0.25"/>
    <row r="236918" s="12" customFormat="1" x14ac:dyDescent="0.25"/>
    <row r="236919" s="12" customFormat="1" x14ac:dyDescent="0.25"/>
    <row r="236920" s="12" customFormat="1" x14ac:dyDescent="0.25"/>
    <row r="236921" s="12" customFormat="1" x14ac:dyDescent="0.25"/>
    <row r="236922" s="12" customFormat="1" x14ac:dyDescent="0.25"/>
    <row r="236923" s="12" customFormat="1" x14ac:dyDescent="0.25"/>
    <row r="236924" s="12" customFormat="1" x14ac:dyDescent="0.25"/>
    <row r="236925" s="12" customFormat="1" x14ac:dyDescent="0.25"/>
    <row r="236926" s="12" customFormat="1" x14ac:dyDescent="0.25"/>
    <row r="236927" s="12" customFormat="1" x14ac:dyDescent="0.25"/>
    <row r="236928" s="12" customFormat="1" x14ac:dyDescent="0.25"/>
    <row r="236929" s="12" customFormat="1" x14ac:dyDescent="0.25"/>
    <row r="236930" s="12" customFormat="1" x14ac:dyDescent="0.25"/>
    <row r="236931" s="12" customFormat="1" x14ac:dyDescent="0.25"/>
    <row r="236932" s="12" customFormat="1" x14ac:dyDescent="0.25"/>
    <row r="236933" s="12" customFormat="1" x14ac:dyDescent="0.25"/>
    <row r="236934" s="12" customFormat="1" x14ac:dyDescent="0.25"/>
    <row r="236935" s="12" customFormat="1" x14ac:dyDescent="0.25"/>
    <row r="236936" s="12" customFormat="1" x14ac:dyDescent="0.25"/>
    <row r="236937" s="12" customFormat="1" x14ac:dyDescent="0.25"/>
    <row r="236938" s="12" customFormat="1" x14ac:dyDescent="0.25"/>
    <row r="236939" s="12" customFormat="1" x14ac:dyDescent="0.25"/>
    <row r="236940" s="12" customFormat="1" x14ac:dyDescent="0.25"/>
    <row r="236941" s="12" customFormat="1" x14ac:dyDescent="0.25"/>
    <row r="236942" s="12" customFormat="1" x14ac:dyDescent="0.25"/>
    <row r="236943" s="12" customFormat="1" x14ac:dyDescent="0.25"/>
    <row r="236944" s="12" customFormat="1" x14ac:dyDescent="0.25"/>
    <row r="236945" s="12" customFormat="1" x14ac:dyDescent="0.25"/>
    <row r="236946" s="12" customFormat="1" x14ac:dyDescent="0.25"/>
    <row r="236947" s="12" customFormat="1" x14ac:dyDescent="0.25"/>
    <row r="236948" s="12" customFormat="1" x14ac:dyDescent="0.25"/>
    <row r="236949" s="12" customFormat="1" x14ac:dyDescent="0.25"/>
    <row r="236950" s="12" customFormat="1" x14ac:dyDescent="0.25"/>
    <row r="236951" s="12" customFormat="1" x14ac:dyDescent="0.25"/>
    <row r="236952" s="12" customFormat="1" x14ac:dyDescent="0.25"/>
    <row r="236953" s="12" customFormat="1" x14ac:dyDescent="0.25"/>
    <row r="236954" s="12" customFormat="1" x14ac:dyDescent="0.25"/>
    <row r="236955" s="12" customFormat="1" x14ac:dyDescent="0.25"/>
    <row r="236956" s="12" customFormat="1" x14ac:dyDescent="0.25"/>
    <row r="236957" s="12" customFormat="1" x14ac:dyDescent="0.25"/>
    <row r="236958" s="12" customFormat="1" x14ac:dyDescent="0.25"/>
    <row r="236959" s="12" customFormat="1" x14ac:dyDescent="0.25"/>
    <row r="236960" s="12" customFormat="1" x14ac:dyDescent="0.25"/>
    <row r="236961" s="12" customFormat="1" x14ac:dyDescent="0.25"/>
    <row r="236962" s="12" customFormat="1" x14ac:dyDescent="0.25"/>
    <row r="236963" s="12" customFormat="1" x14ac:dyDescent="0.25"/>
    <row r="236964" s="12" customFormat="1" x14ac:dyDescent="0.25"/>
    <row r="236965" s="12" customFormat="1" x14ac:dyDescent="0.25"/>
    <row r="236966" s="12" customFormat="1" x14ac:dyDescent="0.25"/>
    <row r="236967" s="12" customFormat="1" x14ac:dyDescent="0.25"/>
    <row r="236968" s="12" customFormat="1" x14ac:dyDescent="0.25"/>
    <row r="236969" s="12" customFormat="1" x14ac:dyDescent="0.25"/>
    <row r="236970" s="12" customFormat="1" x14ac:dyDescent="0.25"/>
    <row r="236971" s="12" customFormat="1" x14ac:dyDescent="0.25"/>
    <row r="236972" s="12" customFormat="1" x14ac:dyDescent="0.25"/>
    <row r="236973" s="12" customFormat="1" x14ac:dyDescent="0.25"/>
    <row r="236974" s="12" customFormat="1" x14ac:dyDescent="0.25"/>
    <row r="236975" s="12" customFormat="1" x14ac:dyDescent="0.25"/>
    <row r="236976" s="12" customFormat="1" x14ac:dyDescent="0.25"/>
    <row r="236977" s="12" customFormat="1" x14ac:dyDescent="0.25"/>
    <row r="236978" s="12" customFormat="1" x14ac:dyDescent="0.25"/>
    <row r="236979" s="12" customFormat="1" x14ac:dyDescent="0.25"/>
    <row r="236980" s="12" customFormat="1" x14ac:dyDescent="0.25"/>
    <row r="236981" s="12" customFormat="1" x14ac:dyDescent="0.25"/>
    <row r="236982" s="12" customFormat="1" x14ac:dyDescent="0.25"/>
    <row r="236983" s="12" customFormat="1" x14ac:dyDescent="0.25"/>
    <row r="236984" s="12" customFormat="1" x14ac:dyDescent="0.25"/>
    <row r="236985" s="12" customFormat="1" x14ac:dyDescent="0.25"/>
    <row r="236986" s="12" customFormat="1" x14ac:dyDescent="0.25"/>
    <row r="236987" s="12" customFormat="1" x14ac:dyDescent="0.25"/>
    <row r="236988" s="12" customFormat="1" x14ac:dyDescent="0.25"/>
    <row r="236989" s="12" customFormat="1" x14ac:dyDescent="0.25"/>
    <row r="236990" s="12" customFormat="1" x14ac:dyDescent="0.25"/>
    <row r="236991" s="12" customFormat="1" x14ac:dyDescent="0.25"/>
    <row r="236992" s="12" customFormat="1" x14ac:dyDescent="0.25"/>
    <row r="236993" s="12" customFormat="1" x14ac:dyDescent="0.25"/>
    <row r="236994" s="12" customFormat="1" x14ac:dyDescent="0.25"/>
    <row r="236995" s="12" customFormat="1" x14ac:dyDescent="0.25"/>
    <row r="236996" s="12" customFormat="1" x14ac:dyDescent="0.25"/>
    <row r="236997" s="12" customFormat="1" x14ac:dyDescent="0.25"/>
    <row r="236998" s="12" customFormat="1" x14ac:dyDescent="0.25"/>
    <row r="236999" s="12" customFormat="1" x14ac:dyDescent="0.25"/>
    <row r="237000" s="12" customFormat="1" x14ac:dyDescent="0.25"/>
    <row r="237001" s="12" customFormat="1" x14ac:dyDescent="0.25"/>
    <row r="237002" s="12" customFormat="1" x14ac:dyDescent="0.25"/>
    <row r="237003" s="12" customFormat="1" x14ac:dyDescent="0.25"/>
    <row r="237004" s="12" customFormat="1" x14ac:dyDescent="0.25"/>
    <row r="237005" s="12" customFormat="1" x14ac:dyDescent="0.25"/>
    <row r="237006" s="12" customFormat="1" x14ac:dyDescent="0.25"/>
    <row r="237007" s="12" customFormat="1" x14ac:dyDescent="0.25"/>
    <row r="237008" s="12" customFormat="1" x14ac:dyDescent="0.25"/>
    <row r="237009" s="12" customFormat="1" x14ac:dyDescent="0.25"/>
    <row r="237010" s="12" customFormat="1" x14ac:dyDescent="0.25"/>
    <row r="237011" s="12" customFormat="1" x14ac:dyDescent="0.25"/>
    <row r="237012" s="12" customFormat="1" x14ac:dyDescent="0.25"/>
    <row r="237013" s="12" customFormat="1" x14ac:dyDescent="0.25"/>
    <row r="237014" s="12" customFormat="1" x14ac:dyDescent="0.25"/>
    <row r="237015" s="12" customFormat="1" x14ac:dyDescent="0.25"/>
    <row r="237016" s="12" customFormat="1" x14ac:dyDescent="0.25"/>
    <row r="237017" s="12" customFormat="1" x14ac:dyDescent="0.25"/>
    <row r="237018" s="12" customFormat="1" x14ac:dyDescent="0.25"/>
    <row r="237019" s="12" customFormat="1" x14ac:dyDescent="0.25"/>
    <row r="237020" s="12" customFormat="1" x14ac:dyDescent="0.25"/>
    <row r="237021" s="12" customFormat="1" x14ac:dyDescent="0.25"/>
    <row r="237022" s="12" customFormat="1" x14ac:dyDescent="0.25"/>
    <row r="237023" s="12" customFormat="1" x14ac:dyDescent="0.25"/>
    <row r="237024" s="12" customFormat="1" x14ac:dyDescent="0.25"/>
    <row r="237025" s="12" customFormat="1" x14ac:dyDescent="0.25"/>
    <row r="237026" s="12" customFormat="1" x14ac:dyDescent="0.25"/>
    <row r="237027" s="12" customFormat="1" x14ac:dyDescent="0.25"/>
    <row r="237028" s="12" customFormat="1" x14ac:dyDescent="0.25"/>
    <row r="237029" s="12" customFormat="1" x14ac:dyDescent="0.25"/>
    <row r="237030" s="12" customFormat="1" x14ac:dyDescent="0.25"/>
    <row r="237031" s="12" customFormat="1" x14ac:dyDescent="0.25"/>
    <row r="237032" s="12" customFormat="1" x14ac:dyDescent="0.25"/>
    <row r="237033" s="12" customFormat="1" x14ac:dyDescent="0.25"/>
    <row r="237034" s="12" customFormat="1" x14ac:dyDescent="0.25"/>
    <row r="237035" s="12" customFormat="1" x14ac:dyDescent="0.25"/>
    <row r="237036" s="12" customFormat="1" x14ac:dyDescent="0.25"/>
    <row r="237037" s="12" customFormat="1" x14ac:dyDescent="0.25"/>
    <row r="237038" s="12" customFormat="1" x14ac:dyDescent="0.25"/>
    <row r="237039" s="12" customFormat="1" x14ac:dyDescent="0.25"/>
    <row r="237040" s="12" customFormat="1" x14ac:dyDescent="0.25"/>
    <row r="237041" s="12" customFormat="1" x14ac:dyDescent="0.25"/>
    <row r="237042" s="12" customFormat="1" x14ac:dyDescent="0.25"/>
    <row r="237043" s="12" customFormat="1" x14ac:dyDescent="0.25"/>
    <row r="237044" s="12" customFormat="1" x14ac:dyDescent="0.25"/>
    <row r="237045" s="12" customFormat="1" x14ac:dyDescent="0.25"/>
    <row r="237046" s="12" customFormat="1" x14ac:dyDescent="0.25"/>
    <row r="237047" s="12" customFormat="1" x14ac:dyDescent="0.25"/>
    <row r="237048" s="12" customFormat="1" x14ac:dyDescent="0.25"/>
    <row r="237049" s="12" customFormat="1" x14ac:dyDescent="0.25"/>
    <row r="237050" s="12" customFormat="1" x14ac:dyDescent="0.25"/>
    <row r="237051" s="12" customFormat="1" x14ac:dyDescent="0.25"/>
    <row r="237052" s="12" customFormat="1" x14ac:dyDescent="0.25"/>
    <row r="237053" s="12" customFormat="1" x14ac:dyDescent="0.25"/>
    <row r="237054" s="12" customFormat="1" x14ac:dyDescent="0.25"/>
    <row r="237055" s="12" customFormat="1" x14ac:dyDescent="0.25"/>
    <row r="237056" s="12" customFormat="1" x14ac:dyDescent="0.25"/>
    <row r="237057" s="12" customFormat="1" x14ac:dyDescent="0.25"/>
    <row r="237058" s="12" customFormat="1" x14ac:dyDescent="0.25"/>
    <row r="237059" s="12" customFormat="1" x14ac:dyDescent="0.25"/>
    <row r="237060" s="12" customFormat="1" x14ac:dyDescent="0.25"/>
    <row r="237061" s="12" customFormat="1" x14ac:dyDescent="0.25"/>
    <row r="237062" s="12" customFormat="1" x14ac:dyDescent="0.25"/>
    <row r="237063" s="12" customFormat="1" x14ac:dyDescent="0.25"/>
    <row r="237064" s="12" customFormat="1" x14ac:dyDescent="0.25"/>
    <row r="237065" s="12" customFormat="1" x14ac:dyDescent="0.25"/>
    <row r="237066" s="12" customFormat="1" x14ac:dyDescent="0.25"/>
    <row r="237067" s="12" customFormat="1" x14ac:dyDescent="0.25"/>
    <row r="237068" s="12" customFormat="1" x14ac:dyDescent="0.25"/>
    <row r="237069" s="12" customFormat="1" x14ac:dyDescent="0.25"/>
    <row r="237070" s="12" customFormat="1" x14ac:dyDescent="0.25"/>
    <row r="237071" s="12" customFormat="1" x14ac:dyDescent="0.25"/>
    <row r="237072" s="12" customFormat="1" x14ac:dyDescent="0.25"/>
    <row r="237073" s="12" customFormat="1" x14ac:dyDescent="0.25"/>
    <row r="237074" s="12" customFormat="1" x14ac:dyDescent="0.25"/>
    <row r="237075" s="12" customFormat="1" x14ac:dyDescent="0.25"/>
    <row r="237076" s="12" customFormat="1" x14ac:dyDescent="0.25"/>
    <row r="237077" s="12" customFormat="1" x14ac:dyDescent="0.25"/>
    <row r="237078" s="12" customFormat="1" x14ac:dyDescent="0.25"/>
    <row r="237079" s="12" customFormat="1" x14ac:dyDescent="0.25"/>
    <row r="237080" s="12" customFormat="1" x14ac:dyDescent="0.25"/>
    <row r="237081" s="12" customFormat="1" x14ac:dyDescent="0.25"/>
    <row r="237082" s="12" customFormat="1" x14ac:dyDescent="0.25"/>
    <row r="237083" s="12" customFormat="1" x14ac:dyDescent="0.25"/>
    <row r="237084" s="12" customFormat="1" x14ac:dyDescent="0.25"/>
    <row r="237085" s="12" customFormat="1" x14ac:dyDescent="0.25"/>
    <row r="237086" s="12" customFormat="1" x14ac:dyDescent="0.25"/>
    <row r="237087" s="12" customFormat="1" x14ac:dyDescent="0.25"/>
    <row r="237088" s="12" customFormat="1" x14ac:dyDescent="0.25"/>
    <row r="237089" s="12" customFormat="1" x14ac:dyDescent="0.25"/>
    <row r="237090" s="12" customFormat="1" x14ac:dyDescent="0.25"/>
    <row r="237091" s="12" customFormat="1" x14ac:dyDescent="0.25"/>
    <row r="237092" s="12" customFormat="1" x14ac:dyDescent="0.25"/>
    <row r="237093" s="12" customFormat="1" x14ac:dyDescent="0.25"/>
    <row r="237094" s="12" customFormat="1" x14ac:dyDescent="0.25"/>
    <row r="237095" s="12" customFormat="1" x14ac:dyDescent="0.25"/>
    <row r="237096" s="12" customFormat="1" x14ac:dyDescent="0.25"/>
    <row r="237097" s="12" customFormat="1" x14ac:dyDescent="0.25"/>
    <row r="237098" s="12" customFormat="1" x14ac:dyDescent="0.25"/>
    <row r="237099" s="12" customFormat="1" x14ac:dyDescent="0.25"/>
    <row r="237100" s="12" customFormat="1" x14ac:dyDescent="0.25"/>
    <row r="237101" s="12" customFormat="1" x14ac:dyDescent="0.25"/>
    <row r="237102" s="12" customFormat="1" x14ac:dyDescent="0.25"/>
    <row r="237103" s="12" customFormat="1" x14ac:dyDescent="0.25"/>
    <row r="237104" s="12" customFormat="1" x14ac:dyDescent="0.25"/>
    <row r="237105" s="12" customFormat="1" x14ac:dyDescent="0.25"/>
    <row r="237106" s="12" customFormat="1" x14ac:dyDescent="0.25"/>
    <row r="237107" s="12" customFormat="1" x14ac:dyDescent="0.25"/>
    <row r="237108" s="12" customFormat="1" x14ac:dyDescent="0.25"/>
    <row r="237109" s="12" customFormat="1" x14ac:dyDescent="0.25"/>
    <row r="237110" s="12" customFormat="1" x14ac:dyDescent="0.25"/>
    <row r="237111" s="12" customFormat="1" x14ac:dyDescent="0.25"/>
    <row r="237112" s="12" customFormat="1" x14ac:dyDescent="0.25"/>
    <row r="237113" s="12" customFormat="1" x14ac:dyDescent="0.25"/>
    <row r="237114" s="12" customFormat="1" x14ac:dyDescent="0.25"/>
    <row r="237115" s="12" customFormat="1" x14ac:dyDescent="0.25"/>
    <row r="237116" s="12" customFormat="1" x14ac:dyDescent="0.25"/>
    <row r="237117" s="12" customFormat="1" x14ac:dyDescent="0.25"/>
    <row r="237118" s="12" customFormat="1" x14ac:dyDescent="0.25"/>
    <row r="237119" s="12" customFormat="1" x14ac:dyDescent="0.25"/>
    <row r="237120" s="12" customFormat="1" x14ac:dyDescent="0.25"/>
    <row r="237121" s="12" customFormat="1" x14ac:dyDescent="0.25"/>
    <row r="237122" s="12" customFormat="1" x14ac:dyDescent="0.25"/>
    <row r="237123" s="12" customFormat="1" x14ac:dyDescent="0.25"/>
    <row r="237124" s="12" customFormat="1" x14ac:dyDescent="0.25"/>
    <row r="237125" s="12" customFormat="1" x14ac:dyDescent="0.25"/>
    <row r="237126" s="12" customFormat="1" x14ac:dyDescent="0.25"/>
    <row r="237127" s="12" customFormat="1" x14ac:dyDescent="0.25"/>
    <row r="237128" s="12" customFormat="1" x14ac:dyDescent="0.25"/>
    <row r="237129" s="12" customFormat="1" x14ac:dyDescent="0.25"/>
    <row r="237130" s="12" customFormat="1" x14ac:dyDescent="0.25"/>
    <row r="237131" s="12" customFormat="1" x14ac:dyDescent="0.25"/>
    <row r="237132" s="12" customFormat="1" x14ac:dyDescent="0.25"/>
    <row r="237133" s="12" customFormat="1" x14ac:dyDescent="0.25"/>
    <row r="237134" s="12" customFormat="1" x14ac:dyDescent="0.25"/>
    <row r="237135" s="12" customFormat="1" x14ac:dyDescent="0.25"/>
    <row r="237136" s="12" customFormat="1" x14ac:dyDescent="0.25"/>
    <row r="237137" s="12" customFormat="1" x14ac:dyDescent="0.25"/>
    <row r="237138" s="12" customFormat="1" x14ac:dyDescent="0.25"/>
    <row r="237139" s="12" customFormat="1" x14ac:dyDescent="0.25"/>
    <row r="237140" s="12" customFormat="1" x14ac:dyDescent="0.25"/>
    <row r="237141" s="12" customFormat="1" x14ac:dyDescent="0.25"/>
    <row r="237142" s="12" customFormat="1" x14ac:dyDescent="0.25"/>
    <row r="237143" s="12" customFormat="1" x14ac:dyDescent="0.25"/>
    <row r="237144" s="12" customFormat="1" x14ac:dyDescent="0.25"/>
    <row r="237145" s="12" customFormat="1" x14ac:dyDescent="0.25"/>
    <row r="237146" s="12" customFormat="1" x14ac:dyDescent="0.25"/>
    <row r="237147" s="12" customFormat="1" x14ac:dyDescent="0.25"/>
    <row r="237148" s="12" customFormat="1" x14ac:dyDescent="0.25"/>
    <row r="237149" s="12" customFormat="1" x14ac:dyDescent="0.25"/>
    <row r="237150" s="12" customFormat="1" x14ac:dyDescent="0.25"/>
    <row r="237151" s="12" customFormat="1" x14ac:dyDescent="0.25"/>
    <row r="237152" s="12" customFormat="1" x14ac:dyDescent="0.25"/>
    <row r="237153" s="12" customFormat="1" x14ac:dyDescent="0.25"/>
    <row r="237154" s="12" customFormat="1" x14ac:dyDescent="0.25"/>
    <row r="237155" s="12" customFormat="1" x14ac:dyDescent="0.25"/>
    <row r="237156" s="12" customFormat="1" x14ac:dyDescent="0.25"/>
    <row r="237157" s="12" customFormat="1" x14ac:dyDescent="0.25"/>
    <row r="237158" s="12" customFormat="1" x14ac:dyDescent="0.25"/>
    <row r="237159" s="12" customFormat="1" x14ac:dyDescent="0.25"/>
    <row r="237160" s="12" customFormat="1" x14ac:dyDescent="0.25"/>
    <row r="237161" s="12" customFormat="1" x14ac:dyDescent="0.25"/>
    <row r="237162" s="12" customFormat="1" x14ac:dyDescent="0.25"/>
    <row r="237163" s="12" customFormat="1" x14ac:dyDescent="0.25"/>
    <row r="237164" s="12" customFormat="1" x14ac:dyDescent="0.25"/>
    <row r="237165" s="12" customFormat="1" x14ac:dyDescent="0.25"/>
    <row r="237166" s="12" customFormat="1" x14ac:dyDescent="0.25"/>
    <row r="237167" s="12" customFormat="1" x14ac:dyDescent="0.25"/>
    <row r="237168" s="12" customFormat="1" x14ac:dyDescent="0.25"/>
    <row r="237169" s="12" customFormat="1" x14ac:dyDescent="0.25"/>
    <row r="237170" s="12" customFormat="1" x14ac:dyDescent="0.25"/>
    <row r="237171" s="12" customFormat="1" x14ac:dyDescent="0.25"/>
    <row r="237172" s="12" customFormat="1" x14ac:dyDescent="0.25"/>
    <row r="237173" s="12" customFormat="1" x14ac:dyDescent="0.25"/>
    <row r="237174" s="12" customFormat="1" x14ac:dyDescent="0.25"/>
    <row r="237175" s="12" customFormat="1" x14ac:dyDescent="0.25"/>
    <row r="237176" s="12" customFormat="1" x14ac:dyDescent="0.25"/>
    <row r="237177" s="12" customFormat="1" x14ac:dyDescent="0.25"/>
    <row r="237178" s="12" customFormat="1" x14ac:dyDescent="0.25"/>
    <row r="237179" s="12" customFormat="1" x14ac:dyDescent="0.25"/>
    <row r="237180" s="12" customFormat="1" x14ac:dyDescent="0.25"/>
    <row r="237181" s="12" customFormat="1" x14ac:dyDescent="0.25"/>
    <row r="237182" s="12" customFormat="1" x14ac:dyDescent="0.25"/>
    <row r="237183" s="12" customFormat="1" x14ac:dyDescent="0.25"/>
    <row r="237184" s="12" customFormat="1" x14ac:dyDescent="0.25"/>
    <row r="237185" s="12" customFormat="1" x14ac:dyDescent="0.25"/>
    <row r="237186" s="12" customFormat="1" x14ac:dyDescent="0.25"/>
    <row r="237187" s="12" customFormat="1" x14ac:dyDescent="0.25"/>
    <row r="237188" s="12" customFormat="1" x14ac:dyDescent="0.25"/>
    <row r="237189" s="12" customFormat="1" x14ac:dyDescent="0.25"/>
    <row r="237190" s="12" customFormat="1" x14ac:dyDescent="0.25"/>
    <row r="237191" s="12" customFormat="1" x14ac:dyDescent="0.25"/>
    <row r="237192" s="12" customFormat="1" x14ac:dyDescent="0.25"/>
    <row r="237193" s="12" customFormat="1" x14ac:dyDescent="0.25"/>
    <row r="237194" s="12" customFormat="1" x14ac:dyDescent="0.25"/>
    <row r="237195" s="12" customFormat="1" x14ac:dyDescent="0.25"/>
    <row r="237196" s="12" customFormat="1" x14ac:dyDescent="0.25"/>
    <row r="237197" s="12" customFormat="1" x14ac:dyDescent="0.25"/>
    <row r="237198" s="12" customFormat="1" x14ac:dyDescent="0.25"/>
    <row r="237199" s="12" customFormat="1" x14ac:dyDescent="0.25"/>
    <row r="237200" s="12" customFormat="1" x14ac:dyDescent="0.25"/>
    <row r="237201" s="12" customFormat="1" x14ac:dyDescent="0.25"/>
    <row r="237202" s="12" customFormat="1" x14ac:dyDescent="0.25"/>
    <row r="237203" s="12" customFormat="1" x14ac:dyDescent="0.25"/>
    <row r="237204" s="12" customFormat="1" x14ac:dyDescent="0.25"/>
    <row r="237205" s="12" customFormat="1" x14ac:dyDescent="0.25"/>
    <row r="237206" s="12" customFormat="1" x14ac:dyDescent="0.25"/>
    <row r="237207" s="12" customFormat="1" x14ac:dyDescent="0.25"/>
    <row r="237208" s="12" customFormat="1" x14ac:dyDescent="0.25"/>
    <row r="237209" s="12" customFormat="1" x14ac:dyDescent="0.25"/>
    <row r="237210" s="12" customFormat="1" x14ac:dyDescent="0.25"/>
    <row r="237211" s="12" customFormat="1" x14ac:dyDescent="0.25"/>
    <row r="237212" s="12" customFormat="1" x14ac:dyDescent="0.25"/>
    <row r="237213" s="12" customFormat="1" x14ac:dyDescent="0.25"/>
    <row r="237214" s="12" customFormat="1" x14ac:dyDescent="0.25"/>
    <row r="237215" s="12" customFormat="1" x14ac:dyDescent="0.25"/>
    <row r="237216" s="12" customFormat="1" x14ac:dyDescent="0.25"/>
    <row r="237217" s="12" customFormat="1" x14ac:dyDescent="0.25"/>
    <row r="237218" s="12" customFormat="1" x14ac:dyDescent="0.25"/>
    <row r="237219" s="12" customFormat="1" x14ac:dyDescent="0.25"/>
    <row r="237220" s="12" customFormat="1" x14ac:dyDescent="0.25"/>
    <row r="237221" s="12" customFormat="1" x14ac:dyDescent="0.25"/>
    <row r="237222" s="12" customFormat="1" x14ac:dyDescent="0.25"/>
    <row r="237223" s="12" customFormat="1" x14ac:dyDescent="0.25"/>
    <row r="237224" s="12" customFormat="1" x14ac:dyDescent="0.25"/>
    <row r="237225" s="12" customFormat="1" x14ac:dyDescent="0.25"/>
    <row r="237226" s="12" customFormat="1" x14ac:dyDescent="0.25"/>
    <row r="237227" s="12" customFormat="1" x14ac:dyDescent="0.25"/>
    <row r="237228" s="12" customFormat="1" x14ac:dyDescent="0.25"/>
    <row r="237229" s="12" customFormat="1" x14ac:dyDescent="0.25"/>
    <row r="237230" s="12" customFormat="1" x14ac:dyDescent="0.25"/>
    <row r="237231" s="12" customFormat="1" x14ac:dyDescent="0.25"/>
    <row r="237232" s="12" customFormat="1" x14ac:dyDescent="0.25"/>
    <row r="237233" s="12" customFormat="1" x14ac:dyDescent="0.25"/>
    <row r="237234" s="12" customFormat="1" x14ac:dyDescent="0.25"/>
    <row r="237235" s="12" customFormat="1" x14ac:dyDescent="0.25"/>
    <row r="237236" s="12" customFormat="1" x14ac:dyDescent="0.25"/>
    <row r="237237" s="12" customFormat="1" x14ac:dyDescent="0.25"/>
    <row r="237238" s="12" customFormat="1" x14ac:dyDescent="0.25"/>
    <row r="237239" s="12" customFormat="1" x14ac:dyDescent="0.25"/>
    <row r="237240" s="12" customFormat="1" x14ac:dyDescent="0.25"/>
    <row r="237241" s="12" customFormat="1" x14ac:dyDescent="0.25"/>
    <row r="237242" s="12" customFormat="1" x14ac:dyDescent="0.25"/>
    <row r="237243" s="12" customFormat="1" x14ac:dyDescent="0.25"/>
    <row r="237244" s="12" customFormat="1" x14ac:dyDescent="0.25"/>
    <row r="237245" s="12" customFormat="1" x14ac:dyDescent="0.25"/>
    <row r="237246" s="12" customFormat="1" x14ac:dyDescent="0.25"/>
    <row r="237247" s="12" customFormat="1" x14ac:dyDescent="0.25"/>
    <row r="237248" s="12" customFormat="1" x14ac:dyDescent="0.25"/>
    <row r="237249" s="12" customFormat="1" x14ac:dyDescent="0.25"/>
    <row r="237250" s="12" customFormat="1" x14ac:dyDescent="0.25"/>
    <row r="237251" s="12" customFormat="1" x14ac:dyDescent="0.25"/>
    <row r="237252" s="12" customFormat="1" x14ac:dyDescent="0.25"/>
    <row r="237253" s="12" customFormat="1" x14ac:dyDescent="0.25"/>
    <row r="237254" s="12" customFormat="1" x14ac:dyDescent="0.25"/>
    <row r="237255" s="12" customFormat="1" x14ac:dyDescent="0.25"/>
    <row r="237256" s="12" customFormat="1" x14ac:dyDescent="0.25"/>
    <row r="237257" s="12" customFormat="1" x14ac:dyDescent="0.25"/>
    <row r="237258" s="12" customFormat="1" x14ac:dyDescent="0.25"/>
    <row r="237259" s="12" customFormat="1" x14ac:dyDescent="0.25"/>
    <row r="237260" s="12" customFormat="1" x14ac:dyDescent="0.25"/>
    <row r="237261" s="12" customFormat="1" x14ac:dyDescent="0.25"/>
    <row r="237262" s="12" customFormat="1" x14ac:dyDescent="0.25"/>
    <row r="237263" s="12" customFormat="1" x14ac:dyDescent="0.25"/>
    <row r="237264" s="12" customFormat="1" x14ac:dyDescent="0.25"/>
    <row r="237265" s="12" customFormat="1" x14ac:dyDescent="0.25"/>
    <row r="237266" s="12" customFormat="1" x14ac:dyDescent="0.25"/>
    <row r="237267" s="12" customFormat="1" x14ac:dyDescent="0.25"/>
    <row r="237268" s="12" customFormat="1" x14ac:dyDescent="0.25"/>
    <row r="237269" s="12" customFormat="1" x14ac:dyDescent="0.25"/>
    <row r="237270" s="12" customFormat="1" x14ac:dyDescent="0.25"/>
    <row r="237271" s="12" customFormat="1" x14ac:dyDescent="0.25"/>
    <row r="237272" s="12" customFormat="1" x14ac:dyDescent="0.25"/>
    <row r="237273" s="12" customFormat="1" x14ac:dyDescent="0.25"/>
    <row r="237274" s="12" customFormat="1" x14ac:dyDescent="0.25"/>
    <row r="237275" s="12" customFormat="1" x14ac:dyDescent="0.25"/>
    <row r="237276" s="12" customFormat="1" x14ac:dyDescent="0.25"/>
    <row r="237277" s="12" customFormat="1" x14ac:dyDescent="0.25"/>
    <row r="237278" s="12" customFormat="1" x14ac:dyDescent="0.25"/>
    <row r="237279" s="12" customFormat="1" x14ac:dyDescent="0.25"/>
    <row r="237280" s="12" customFormat="1" x14ac:dyDescent="0.25"/>
    <row r="237281" s="12" customFormat="1" x14ac:dyDescent="0.25"/>
    <row r="237282" s="12" customFormat="1" x14ac:dyDescent="0.25"/>
    <row r="237283" s="12" customFormat="1" x14ac:dyDescent="0.25"/>
    <row r="237284" s="12" customFormat="1" x14ac:dyDescent="0.25"/>
    <row r="237285" s="12" customFormat="1" x14ac:dyDescent="0.25"/>
    <row r="237286" s="12" customFormat="1" x14ac:dyDescent="0.25"/>
    <row r="237287" s="12" customFormat="1" x14ac:dyDescent="0.25"/>
    <row r="237288" s="12" customFormat="1" x14ac:dyDescent="0.25"/>
    <row r="237289" s="12" customFormat="1" x14ac:dyDescent="0.25"/>
    <row r="237290" s="12" customFormat="1" x14ac:dyDescent="0.25"/>
    <row r="237291" s="12" customFormat="1" x14ac:dyDescent="0.25"/>
    <row r="237292" s="12" customFormat="1" x14ac:dyDescent="0.25"/>
    <row r="237293" s="12" customFormat="1" x14ac:dyDescent="0.25"/>
    <row r="237294" s="12" customFormat="1" x14ac:dyDescent="0.25"/>
    <row r="237295" s="12" customFormat="1" x14ac:dyDescent="0.25"/>
    <row r="237296" s="12" customFormat="1" x14ac:dyDescent="0.25"/>
    <row r="237297" s="12" customFormat="1" x14ac:dyDescent="0.25"/>
    <row r="237298" s="12" customFormat="1" x14ac:dyDescent="0.25"/>
    <row r="237299" s="12" customFormat="1" x14ac:dyDescent="0.25"/>
    <row r="237300" s="12" customFormat="1" x14ac:dyDescent="0.25"/>
    <row r="237301" s="12" customFormat="1" x14ac:dyDescent="0.25"/>
    <row r="237302" s="12" customFormat="1" x14ac:dyDescent="0.25"/>
    <row r="237303" s="12" customFormat="1" x14ac:dyDescent="0.25"/>
    <row r="237304" s="12" customFormat="1" x14ac:dyDescent="0.25"/>
    <row r="237305" s="12" customFormat="1" x14ac:dyDescent="0.25"/>
    <row r="237306" s="12" customFormat="1" x14ac:dyDescent="0.25"/>
    <row r="237307" s="12" customFormat="1" x14ac:dyDescent="0.25"/>
    <row r="237308" s="12" customFormat="1" x14ac:dyDescent="0.25"/>
    <row r="237309" s="12" customFormat="1" x14ac:dyDescent="0.25"/>
    <row r="237310" s="12" customFormat="1" x14ac:dyDescent="0.25"/>
    <row r="237311" s="12" customFormat="1" x14ac:dyDescent="0.25"/>
    <row r="237312" s="12" customFormat="1" x14ac:dyDescent="0.25"/>
    <row r="237313" s="12" customFormat="1" x14ac:dyDescent="0.25"/>
    <row r="237314" s="12" customFormat="1" x14ac:dyDescent="0.25"/>
    <row r="237315" s="12" customFormat="1" x14ac:dyDescent="0.25"/>
    <row r="237316" s="12" customFormat="1" x14ac:dyDescent="0.25"/>
    <row r="237317" s="12" customFormat="1" x14ac:dyDescent="0.25"/>
    <row r="237318" s="12" customFormat="1" x14ac:dyDescent="0.25"/>
    <row r="237319" s="12" customFormat="1" x14ac:dyDescent="0.25"/>
    <row r="237320" s="12" customFormat="1" x14ac:dyDescent="0.25"/>
    <row r="237321" s="12" customFormat="1" x14ac:dyDescent="0.25"/>
    <row r="237322" s="12" customFormat="1" x14ac:dyDescent="0.25"/>
    <row r="237323" s="12" customFormat="1" x14ac:dyDescent="0.25"/>
    <row r="237324" s="12" customFormat="1" x14ac:dyDescent="0.25"/>
    <row r="237325" s="12" customFormat="1" x14ac:dyDescent="0.25"/>
    <row r="237326" s="12" customFormat="1" x14ac:dyDescent="0.25"/>
    <row r="237327" s="12" customFormat="1" x14ac:dyDescent="0.25"/>
    <row r="237328" s="12" customFormat="1" x14ac:dyDescent="0.25"/>
    <row r="237329" s="12" customFormat="1" x14ac:dyDescent="0.25"/>
    <row r="237330" s="12" customFormat="1" x14ac:dyDescent="0.25"/>
    <row r="237331" s="12" customFormat="1" x14ac:dyDescent="0.25"/>
    <row r="237332" s="12" customFormat="1" x14ac:dyDescent="0.25"/>
    <row r="237333" s="12" customFormat="1" x14ac:dyDescent="0.25"/>
    <row r="237334" s="12" customFormat="1" x14ac:dyDescent="0.25"/>
    <row r="237335" s="12" customFormat="1" x14ac:dyDescent="0.25"/>
    <row r="237336" s="12" customFormat="1" x14ac:dyDescent="0.25"/>
    <row r="237337" s="12" customFormat="1" x14ac:dyDescent="0.25"/>
    <row r="237338" s="12" customFormat="1" x14ac:dyDescent="0.25"/>
    <row r="237339" s="12" customFormat="1" x14ac:dyDescent="0.25"/>
    <row r="237340" s="12" customFormat="1" x14ac:dyDescent="0.25"/>
    <row r="237341" s="12" customFormat="1" x14ac:dyDescent="0.25"/>
    <row r="237342" s="12" customFormat="1" x14ac:dyDescent="0.25"/>
    <row r="237343" s="12" customFormat="1" x14ac:dyDescent="0.25"/>
    <row r="237344" s="12" customFormat="1" x14ac:dyDescent="0.25"/>
    <row r="237345" s="12" customFormat="1" x14ac:dyDescent="0.25"/>
    <row r="237346" s="12" customFormat="1" x14ac:dyDescent="0.25"/>
    <row r="237347" s="12" customFormat="1" x14ac:dyDescent="0.25"/>
    <row r="237348" s="12" customFormat="1" x14ac:dyDescent="0.25"/>
    <row r="237349" s="12" customFormat="1" x14ac:dyDescent="0.25"/>
    <row r="237350" s="12" customFormat="1" x14ac:dyDescent="0.25"/>
    <row r="237351" s="12" customFormat="1" x14ac:dyDescent="0.25"/>
    <row r="237352" s="12" customFormat="1" x14ac:dyDescent="0.25"/>
    <row r="237353" s="12" customFormat="1" x14ac:dyDescent="0.25"/>
    <row r="237354" s="12" customFormat="1" x14ac:dyDescent="0.25"/>
    <row r="237355" s="12" customFormat="1" x14ac:dyDescent="0.25"/>
    <row r="237356" s="12" customFormat="1" x14ac:dyDescent="0.25"/>
    <row r="237357" s="12" customFormat="1" x14ac:dyDescent="0.25"/>
    <row r="237358" s="12" customFormat="1" x14ac:dyDescent="0.25"/>
    <row r="237359" s="12" customFormat="1" x14ac:dyDescent="0.25"/>
    <row r="237360" s="12" customFormat="1" x14ac:dyDescent="0.25"/>
    <row r="237361" s="12" customFormat="1" x14ac:dyDescent="0.25"/>
    <row r="237362" s="12" customFormat="1" x14ac:dyDescent="0.25"/>
    <row r="237363" s="12" customFormat="1" x14ac:dyDescent="0.25"/>
    <row r="237364" s="12" customFormat="1" x14ac:dyDescent="0.25"/>
    <row r="237365" s="12" customFormat="1" x14ac:dyDescent="0.25"/>
    <row r="237366" s="12" customFormat="1" x14ac:dyDescent="0.25"/>
    <row r="237367" s="12" customFormat="1" x14ac:dyDescent="0.25"/>
    <row r="237368" s="12" customFormat="1" x14ac:dyDescent="0.25"/>
    <row r="237369" s="12" customFormat="1" x14ac:dyDescent="0.25"/>
    <row r="237370" s="12" customFormat="1" x14ac:dyDescent="0.25"/>
    <row r="237371" s="12" customFormat="1" x14ac:dyDescent="0.25"/>
    <row r="237372" s="12" customFormat="1" x14ac:dyDescent="0.25"/>
    <row r="237373" s="12" customFormat="1" x14ac:dyDescent="0.25"/>
    <row r="237374" s="12" customFormat="1" x14ac:dyDescent="0.25"/>
    <row r="237375" s="12" customFormat="1" x14ac:dyDescent="0.25"/>
    <row r="237376" s="12" customFormat="1" x14ac:dyDescent="0.25"/>
    <row r="237377" s="12" customFormat="1" x14ac:dyDescent="0.25"/>
    <row r="237378" s="12" customFormat="1" x14ac:dyDescent="0.25"/>
    <row r="237379" s="12" customFormat="1" x14ac:dyDescent="0.25"/>
    <row r="237380" s="12" customFormat="1" x14ac:dyDescent="0.25"/>
    <row r="237381" s="12" customFormat="1" x14ac:dyDescent="0.25"/>
    <row r="237382" s="12" customFormat="1" x14ac:dyDescent="0.25"/>
    <row r="237383" s="12" customFormat="1" x14ac:dyDescent="0.25"/>
    <row r="237384" s="12" customFormat="1" x14ac:dyDescent="0.25"/>
    <row r="237385" s="12" customFormat="1" x14ac:dyDescent="0.25"/>
    <row r="237386" s="12" customFormat="1" x14ac:dyDescent="0.25"/>
    <row r="237387" s="12" customFormat="1" x14ac:dyDescent="0.25"/>
    <row r="237388" s="12" customFormat="1" x14ac:dyDescent="0.25"/>
    <row r="237389" s="12" customFormat="1" x14ac:dyDescent="0.25"/>
    <row r="237390" s="12" customFormat="1" x14ac:dyDescent="0.25"/>
    <row r="237391" s="12" customFormat="1" x14ac:dyDescent="0.25"/>
    <row r="237392" s="12" customFormat="1" x14ac:dyDescent="0.25"/>
    <row r="237393" s="12" customFormat="1" x14ac:dyDescent="0.25"/>
    <row r="237394" s="12" customFormat="1" x14ac:dyDescent="0.25"/>
    <row r="237395" s="12" customFormat="1" x14ac:dyDescent="0.25"/>
    <row r="237396" s="12" customFormat="1" x14ac:dyDescent="0.25"/>
    <row r="237397" s="12" customFormat="1" x14ac:dyDescent="0.25"/>
    <row r="237398" s="12" customFormat="1" x14ac:dyDescent="0.25"/>
    <row r="237399" s="12" customFormat="1" x14ac:dyDescent="0.25"/>
    <row r="237400" s="12" customFormat="1" x14ac:dyDescent="0.25"/>
    <row r="237401" s="12" customFormat="1" x14ac:dyDescent="0.25"/>
    <row r="237402" s="12" customFormat="1" x14ac:dyDescent="0.25"/>
    <row r="237403" s="12" customFormat="1" x14ac:dyDescent="0.25"/>
    <row r="237404" s="12" customFormat="1" x14ac:dyDescent="0.25"/>
    <row r="237405" s="12" customFormat="1" x14ac:dyDescent="0.25"/>
    <row r="237406" s="12" customFormat="1" x14ac:dyDescent="0.25"/>
    <row r="237407" s="12" customFormat="1" x14ac:dyDescent="0.25"/>
    <row r="237408" s="12" customFormat="1" x14ac:dyDescent="0.25"/>
    <row r="237409" s="12" customFormat="1" x14ac:dyDescent="0.25"/>
    <row r="237410" s="12" customFormat="1" x14ac:dyDescent="0.25"/>
    <row r="237411" s="12" customFormat="1" x14ac:dyDescent="0.25"/>
    <row r="237412" s="12" customFormat="1" x14ac:dyDescent="0.25"/>
    <row r="237413" s="12" customFormat="1" x14ac:dyDescent="0.25"/>
    <row r="237414" s="12" customFormat="1" x14ac:dyDescent="0.25"/>
    <row r="237415" s="12" customFormat="1" x14ac:dyDescent="0.25"/>
    <row r="237416" s="12" customFormat="1" x14ac:dyDescent="0.25"/>
    <row r="237417" s="12" customFormat="1" x14ac:dyDescent="0.25"/>
    <row r="237418" s="12" customFormat="1" x14ac:dyDescent="0.25"/>
    <row r="237419" s="12" customFormat="1" x14ac:dyDescent="0.25"/>
    <row r="237420" s="12" customFormat="1" x14ac:dyDescent="0.25"/>
    <row r="237421" s="12" customFormat="1" x14ac:dyDescent="0.25"/>
    <row r="237422" s="12" customFormat="1" x14ac:dyDescent="0.25"/>
    <row r="237423" s="12" customFormat="1" x14ac:dyDescent="0.25"/>
    <row r="237424" s="12" customFormat="1" x14ac:dyDescent="0.25"/>
    <row r="237425" s="12" customFormat="1" x14ac:dyDescent="0.25"/>
    <row r="237426" s="12" customFormat="1" x14ac:dyDescent="0.25"/>
    <row r="237427" s="12" customFormat="1" x14ac:dyDescent="0.25"/>
    <row r="237428" s="12" customFormat="1" x14ac:dyDescent="0.25"/>
    <row r="237429" s="12" customFormat="1" x14ac:dyDescent="0.25"/>
    <row r="237430" s="12" customFormat="1" x14ac:dyDescent="0.25"/>
    <row r="237431" s="12" customFormat="1" x14ac:dyDescent="0.25"/>
    <row r="237432" s="12" customFormat="1" x14ac:dyDescent="0.25"/>
    <row r="237433" s="12" customFormat="1" x14ac:dyDescent="0.25"/>
    <row r="237434" s="12" customFormat="1" x14ac:dyDescent="0.25"/>
    <row r="237435" s="12" customFormat="1" x14ac:dyDescent="0.25"/>
    <row r="237436" s="12" customFormat="1" x14ac:dyDescent="0.25"/>
    <row r="237437" s="12" customFormat="1" x14ac:dyDescent="0.25"/>
    <row r="237438" s="12" customFormat="1" x14ac:dyDescent="0.25"/>
    <row r="237439" s="12" customFormat="1" x14ac:dyDescent="0.25"/>
    <row r="237440" s="12" customFormat="1" x14ac:dyDescent="0.25"/>
    <row r="237441" s="12" customFormat="1" x14ac:dyDescent="0.25"/>
    <row r="237442" s="12" customFormat="1" x14ac:dyDescent="0.25"/>
    <row r="237443" s="12" customFormat="1" x14ac:dyDescent="0.25"/>
    <row r="237444" s="12" customFormat="1" x14ac:dyDescent="0.25"/>
    <row r="237445" s="12" customFormat="1" x14ac:dyDescent="0.25"/>
    <row r="237446" s="12" customFormat="1" x14ac:dyDescent="0.25"/>
    <row r="237447" s="12" customFormat="1" x14ac:dyDescent="0.25"/>
    <row r="237448" s="12" customFormat="1" x14ac:dyDescent="0.25"/>
    <row r="237449" s="12" customFormat="1" x14ac:dyDescent="0.25"/>
    <row r="237450" s="12" customFormat="1" x14ac:dyDescent="0.25"/>
    <row r="237451" s="12" customFormat="1" x14ac:dyDescent="0.25"/>
    <row r="237452" s="12" customFormat="1" x14ac:dyDescent="0.25"/>
    <row r="237453" s="12" customFormat="1" x14ac:dyDescent="0.25"/>
    <row r="237454" s="12" customFormat="1" x14ac:dyDescent="0.25"/>
    <row r="237455" s="12" customFormat="1" x14ac:dyDescent="0.25"/>
    <row r="237456" s="12" customFormat="1" x14ac:dyDescent="0.25"/>
    <row r="237457" s="12" customFormat="1" x14ac:dyDescent="0.25"/>
    <row r="237458" s="12" customFormat="1" x14ac:dyDescent="0.25"/>
    <row r="237459" s="12" customFormat="1" x14ac:dyDescent="0.25"/>
    <row r="237460" s="12" customFormat="1" x14ac:dyDescent="0.25"/>
    <row r="237461" s="12" customFormat="1" x14ac:dyDescent="0.25"/>
    <row r="237462" s="12" customFormat="1" x14ac:dyDescent="0.25"/>
    <row r="237463" s="12" customFormat="1" x14ac:dyDescent="0.25"/>
    <row r="237464" s="12" customFormat="1" x14ac:dyDescent="0.25"/>
    <row r="237465" s="12" customFormat="1" x14ac:dyDescent="0.25"/>
    <row r="237466" s="12" customFormat="1" x14ac:dyDescent="0.25"/>
    <row r="237467" s="12" customFormat="1" x14ac:dyDescent="0.25"/>
    <row r="237468" s="12" customFormat="1" x14ac:dyDescent="0.25"/>
    <row r="237469" s="12" customFormat="1" x14ac:dyDescent="0.25"/>
    <row r="237470" s="12" customFormat="1" x14ac:dyDescent="0.25"/>
    <row r="237471" s="12" customFormat="1" x14ac:dyDescent="0.25"/>
    <row r="237472" s="12" customFormat="1" x14ac:dyDescent="0.25"/>
    <row r="237473" s="12" customFormat="1" x14ac:dyDescent="0.25"/>
    <row r="237474" s="12" customFormat="1" x14ac:dyDescent="0.25"/>
    <row r="237475" s="12" customFormat="1" x14ac:dyDescent="0.25"/>
    <row r="237476" s="12" customFormat="1" x14ac:dyDescent="0.25"/>
    <row r="237477" s="12" customFormat="1" x14ac:dyDescent="0.25"/>
    <row r="237478" s="12" customFormat="1" x14ac:dyDescent="0.25"/>
    <row r="237479" s="12" customFormat="1" x14ac:dyDescent="0.25"/>
    <row r="237480" s="12" customFormat="1" x14ac:dyDescent="0.25"/>
    <row r="237481" s="12" customFormat="1" x14ac:dyDescent="0.25"/>
    <row r="237482" s="12" customFormat="1" x14ac:dyDescent="0.25"/>
    <row r="237483" s="12" customFormat="1" x14ac:dyDescent="0.25"/>
    <row r="237484" s="12" customFormat="1" x14ac:dyDescent="0.25"/>
    <row r="237485" s="12" customFormat="1" x14ac:dyDescent="0.25"/>
    <row r="237486" s="12" customFormat="1" x14ac:dyDescent="0.25"/>
    <row r="237487" s="12" customFormat="1" x14ac:dyDescent="0.25"/>
    <row r="237488" s="12" customFormat="1" x14ac:dyDescent="0.25"/>
    <row r="237489" s="12" customFormat="1" x14ac:dyDescent="0.25"/>
    <row r="237490" s="12" customFormat="1" x14ac:dyDescent="0.25"/>
    <row r="237491" s="12" customFormat="1" x14ac:dyDescent="0.25"/>
    <row r="237492" s="12" customFormat="1" x14ac:dyDescent="0.25"/>
    <row r="237493" s="12" customFormat="1" x14ac:dyDescent="0.25"/>
    <row r="237494" s="12" customFormat="1" x14ac:dyDescent="0.25"/>
    <row r="237495" s="12" customFormat="1" x14ac:dyDescent="0.25"/>
    <row r="237496" s="12" customFormat="1" x14ac:dyDescent="0.25"/>
    <row r="237497" s="12" customFormat="1" x14ac:dyDescent="0.25"/>
    <row r="237498" s="12" customFormat="1" x14ac:dyDescent="0.25"/>
    <row r="237499" s="12" customFormat="1" x14ac:dyDescent="0.25"/>
    <row r="237500" s="12" customFormat="1" x14ac:dyDescent="0.25"/>
    <row r="237501" s="12" customFormat="1" x14ac:dyDescent="0.25"/>
    <row r="237502" s="12" customFormat="1" x14ac:dyDescent="0.25"/>
    <row r="237503" s="12" customFormat="1" x14ac:dyDescent="0.25"/>
    <row r="237504" s="12" customFormat="1" x14ac:dyDescent="0.25"/>
    <row r="237505" s="12" customFormat="1" x14ac:dyDescent="0.25"/>
    <row r="237506" s="12" customFormat="1" x14ac:dyDescent="0.25"/>
    <row r="237507" s="12" customFormat="1" x14ac:dyDescent="0.25"/>
    <row r="237508" s="12" customFormat="1" x14ac:dyDescent="0.25"/>
    <row r="237509" s="12" customFormat="1" x14ac:dyDescent="0.25"/>
    <row r="237510" s="12" customFormat="1" x14ac:dyDescent="0.25"/>
    <row r="237511" s="12" customFormat="1" x14ac:dyDescent="0.25"/>
    <row r="237512" s="12" customFormat="1" x14ac:dyDescent="0.25"/>
    <row r="237513" s="12" customFormat="1" x14ac:dyDescent="0.25"/>
    <row r="237514" s="12" customFormat="1" x14ac:dyDescent="0.25"/>
    <row r="237515" s="12" customFormat="1" x14ac:dyDescent="0.25"/>
    <row r="237516" s="12" customFormat="1" x14ac:dyDescent="0.25"/>
    <row r="237517" s="12" customFormat="1" x14ac:dyDescent="0.25"/>
    <row r="237518" s="12" customFormat="1" x14ac:dyDescent="0.25"/>
    <row r="237519" s="12" customFormat="1" x14ac:dyDescent="0.25"/>
    <row r="237520" s="12" customFormat="1" x14ac:dyDescent="0.25"/>
    <row r="237521" s="12" customFormat="1" x14ac:dyDescent="0.25"/>
    <row r="237522" s="12" customFormat="1" x14ac:dyDescent="0.25"/>
    <row r="237523" s="12" customFormat="1" x14ac:dyDescent="0.25"/>
    <row r="237524" s="12" customFormat="1" x14ac:dyDescent="0.25"/>
    <row r="237525" s="12" customFormat="1" x14ac:dyDescent="0.25"/>
    <row r="237526" s="12" customFormat="1" x14ac:dyDescent="0.25"/>
    <row r="237527" s="12" customFormat="1" x14ac:dyDescent="0.25"/>
    <row r="237528" s="12" customFormat="1" x14ac:dyDescent="0.25"/>
    <row r="237529" s="12" customFormat="1" x14ac:dyDescent="0.25"/>
    <row r="237530" s="12" customFormat="1" x14ac:dyDescent="0.25"/>
    <row r="237531" s="12" customFormat="1" x14ac:dyDescent="0.25"/>
    <row r="237532" s="12" customFormat="1" x14ac:dyDescent="0.25"/>
    <row r="237533" s="12" customFormat="1" x14ac:dyDescent="0.25"/>
    <row r="237534" s="12" customFormat="1" x14ac:dyDescent="0.25"/>
    <row r="237535" s="12" customFormat="1" x14ac:dyDescent="0.25"/>
    <row r="237536" s="12" customFormat="1" x14ac:dyDescent="0.25"/>
    <row r="237537" s="12" customFormat="1" x14ac:dyDescent="0.25"/>
    <row r="237538" s="12" customFormat="1" x14ac:dyDescent="0.25"/>
    <row r="237539" s="12" customFormat="1" x14ac:dyDescent="0.25"/>
    <row r="237540" s="12" customFormat="1" x14ac:dyDescent="0.25"/>
    <row r="237541" s="12" customFormat="1" x14ac:dyDescent="0.25"/>
    <row r="237542" s="12" customFormat="1" x14ac:dyDescent="0.25"/>
    <row r="237543" s="12" customFormat="1" x14ac:dyDescent="0.25"/>
    <row r="237544" s="12" customFormat="1" x14ac:dyDescent="0.25"/>
    <row r="237545" s="12" customFormat="1" x14ac:dyDescent="0.25"/>
    <row r="237546" s="12" customFormat="1" x14ac:dyDescent="0.25"/>
    <row r="237547" s="12" customFormat="1" x14ac:dyDescent="0.25"/>
    <row r="237548" s="12" customFormat="1" x14ac:dyDescent="0.25"/>
    <row r="237549" s="12" customFormat="1" x14ac:dyDescent="0.25"/>
    <row r="237550" s="12" customFormat="1" x14ac:dyDescent="0.25"/>
    <row r="237551" s="12" customFormat="1" x14ac:dyDescent="0.25"/>
    <row r="237552" s="12" customFormat="1" x14ac:dyDescent="0.25"/>
    <row r="237553" s="12" customFormat="1" x14ac:dyDescent="0.25"/>
    <row r="237554" s="12" customFormat="1" x14ac:dyDescent="0.25"/>
    <row r="237555" s="12" customFormat="1" x14ac:dyDescent="0.25"/>
    <row r="237556" s="12" customFormat="1" x14ac:dyDescent="0.25"/>
    <row r="237557" s="12" customFormat="1" x14ac:dyDescent="0.25"/>
    <row r="237558" s="12" customFormat="1" x14ac:dyDescent="0.25"/>
    <row r="237559" s="12" customFormat="1" x14ac:dyDescent="0.25"/>
    <row r="237560" s="12" customFormat="1" x14ac:dyDescent="0.25"/>
    <row r="237561" s="12" customFormat="1" x14ac:dyDescent="0.25"/>
    <row r="237562" s="12" customFormat="1" x14ac:dyDescent="0.25"/>
    <row r="237563" s="12" customFormat="1" x14ac:dyDescent="0.25"/>
    <row r="237564" s="12" customFormat="1" x14ac:dyDescent="0.25"/>
    <row r="237565" s="12" customFormat="1" x14ac:dyDescent="0.25"/>
    <row r="237566" s="12" customFormat="1" x14ac:dyDescent="0.25"/>
    <row r="237567" s="12" customFormat="1" x14ac:dyDescent="0.25"/>
    <row r="237568" s="12" customFormat="1" x14ac:dyDescent="0.25"/>
    <row r="237569" s="12" customFormat="1" x14ac:dyDescent="0.25"/>
    <row r="237570" s="12" customFormat="1" x14ac:dyDescent="0.25"/>
    <row r="237571" s="12" customFormat="1" x14ac:dyDescent="0.25"/>
    <row r="237572" s="12" customFormat="1" x14ac:dyDescent="0.25"/>
    <row r="237573" s="12" customFormat="1" x14ac:dyDescent="0.25"/>
    <row r="237574" s="12" customFormat="1" x14ac:dyDescent="0.25"/>
    <row r="237575" s="12" customFormat="1" x14ac:dyDescent="0.25"/>
    <row r="237576" s="12" customFormat="1" x14ac:dyDescent="0.25"/>
    <row r="237577" s="12" customFormat="1" x14ac:dyDescent="0.25"/>
    <row r="237578" s="12" customFormat="1" x14ac:dyDescent="0.25"/>
    <row r="237579" s="12" customFormat="1" x14ac:dyDescent="0.25"/>
    <row r="237580" s="12" customFormat="1" x14ac:dyDescent="0.25"/>
    <row r="237581" s="12" customFormat="1" x14ac:dyDescent="0.25"/>
    <row r="237582" s="12" customFormat="1" x14ac:dyDescent="0.25"/>
    <row r="237583" s="12" customFormat="1" x14ac:dyDescent="0.25"/>
    <row r="237584" s="12" customFormat="1" x14ac:dyDescent="0.25"/>
    <row r="237585" s="12" customFormat="1" x14ac:dyDescent="0.25"/>
    <row r="237586" s="12" customFormat="1" x14ac:dyDescent="0.25"/>
    <row r="237587" s="12" customFormat="1" x14ac:dyDescent="0.25"/>
    <row r="237588" s="12" customFormat="1" x14ac:dyDescent="0.25"/>
    <row r="237589" s="12" customFormat="1" x14ac:dyDescent="0.25"/>
    <row r="237590" s="12" customFormat="1" x14ac:dyDescent="0.25"/>
    <row r="237591" s="12" customFormat="1" x14ac:dyDescent="0.25"/>
    <row r="237592" s="12" customFormat="1" x14ac:dyDescent="0.25"/>
    <row r="237593" s="12" customFormat="1" x14ac:dyDescent="0.25"/>
    <row r="237594" s="12" customFormat="1" x14ac:dyDescent="0.25"/>
    <row r="237595" s="12" customFormat="1" x14ac:dyDescent="0.25"/>
    <row r="237596" s="12" customFormat="1" x14ac:dyDescent="0.25"/>
    <row r="237597" s="12" customFormat="1" x14ac:dyDescent="0.25"/>
    <row r="237598" s="12" customFormat="1" x14ac:dyDescent="0.25"/>
    <row r="237599" s="12" customFormat="1" x14ac:dyDescent="0.25"/>
    <row r="237600" s="12" customFormat="1" x14ac:dyDescent="0.25"/>
    <row r="237601" s="12" customFormat="1" x14ac:dyDescent="0.25"/>
    <row r="237602" s="12" customFormat="1" x14ac:dyDescent="0.25"/>
    <row r="237603" s="12" customFormat="1" x14ac:dyDescent="0.25"/>
    <row r="237604" s="12" customFormat="1" x14ac:dyDescent="0.25"/>
    <row r="237605" s="12" customFormat="1" x14ac:dyDescent="0.25"/>
    <row r="237606" s="12" customFormat="1" x14ac:dyDescent="0.25"/>
    <row r="237607" s="12" customFormat="1" x14ac:dyDescent="0.25"/>
    <row r="237608" s="12" customFormat="1" x14ac:dyDescent="0.25"/>
    <row r="237609" s="12" customFormat="1" x14ac:dyDescent="0.25"/>
    <row r="237610" s="12" customFormat="1" x14ac:dyDescent="0.25"/>
    <row r="237611" s="12" customFormat="1" x14ac:dyDescent="0.25"/>
    <row r="237612" s="12" customFormat="1" x14ac:dyDescent="0.25"/>
    <row r="237613" s="12" customFormat="1" x14ac:dyDescent="0.25"/>
    <row r="237614" s="12" customFormat="1" x14ac:dyDescent="0.25"/>
    <row r="237615" s="12" customFormat="1" x14ac:dyDescent="0.25"/>
    <row r="237616" s="12" customFormat="1" x14ac:dyDescent="0.25"/>
    <row r="237617" s="12" customFormat="1" x14ac:dyDescent="0.25"/>
    <row r="237618" s="12" customFormat="1" x14ac:dyDescent="0.25"/>
    <row r="237619" s="12" customFormat="1" x14ac:dyDescent="0.25"/>
    <row r="237620" s="12" customFormat="1" x14ac:dyDescent="0.25"/>
    <row r="237621" s="12" customFormat="1" x14ac:dyDescent="0.25"/>
    <row r="237622" s="12" customFormat="1" x14ac:dyDescent="0.25"/>
    <row r="237623" s="12" customFormat="1" x14ac:dyDescent="0.25"/>
    <row r="237624" s="12" customFormat="1" x14ac:dyDescent="0.25"/>
    <row r="237625" s="12" customFormat="1" x14ac:dyDescent="0.25"/>
    <row r="237626" s="12" customFormat="1" x14ac:dyDescent="0.25"/>
    <row r="237627" s="12" customFormat="1" x14ac:dyDescent="0.25"/>
    <row r="237628" s="12" customFormat="1" x14ac:dyDescent="0.25"/>
    <row r="237629" s="12" customFormat="1" x14ac:dyDescent="0.25"/>
    <row r="237630" s="12" customFormat="1" x14ac:dyDescent="0.25"/>
    <row r="237631" s="12" customFormat="1" x14ac:dyDescent="0.25"/>
    <row r="237632" s="12" customFormat="1" x14ac:dyDescent="0.25"/>
    <row r="237633" s="12" customFormat="1" x14ac:dyDescent="0.25"/>
    <row r="237634" s="12" customFormat="1" x14ac:dyDescent="0.25"/>
    <row r="237635" s="12" customFormat="1" x14ac:dyDescent="0.25"/>
    <row r="237636" s="12" customFormat="1" x14ac:dyDescent="0.25"/>
    <row r="237637" s="12" customFormat="1" x14ac:dyDescent="0.25"/>
    <row r="237638" s="12" customFormat="1" x14ac:dyDescent="0.25"/>
    <row r="237639" s="12" customFormat="1" x14ac:dyDescent="0.25"/>
    <row r="237640" s="12" customFormat="1" x14ac:dyDescent="0.25"/>
    <row r="237641" s="12" customFormat="1" x14ac:dyDescent="0.25"/>
    <row r="237642" s="12" customFormat="1" x14ac:dyDescent="0.25"/>
    <row r="237643" s="12" customFormat="1" x14ac:dyDescent="0.25"/>
    <row r="237644" s="12" customFormat="1" x14ac:dyDescent="0.25"/>
    <row r="237645" s="12" customFormat="1" x14ac:dyDescent="0.25"/>
    <row r="237646" s="12" customFormat="1" x14ac:dyDescent="0.25"/>
    <row r="237647" s="12" customFormat="1" x14ac:dyDescent="0.25"/>
    <row r="237648" s="12" customFormat="1" x14ac:dyDescent="0.25"/>
    <row r="237649" s="12" customFormat="1" x14ac:dyDescent="0.25"/>
    <row r="237650" s="12" customFormat="1" x14ac:dyDescent="0.25"/>
    <row r="237651" s="12" customFormat="1" x14ac:dyDescent="0.25"/>
    <row r="237652" s="12" customFormat="1" x14ac:dyDescent="0.25"/>
    <row r="237653" s="12" customFormat="1" x14ac:dyDescent="0.25"/>
    <row r="237654" s="12" customFormat="1" x14ac:dyDescent="0.25"/>
    <row r="237655" s="12" customFormat="1" x14ac:dyDescent="0.25"/>
    <row r="237656" s="12" customFormat="1" x14ac:dyDescent="0.25"/>
    <row r="237657" s="12" customFormat="1" x14ac:dyDescent="0.25"/>
    <row r="237658" s="12" customFormat="1" x14ac:dyDescent="0.25"/>
    <row r="237659" s="12" customFormat="1" x14ac:dyDescent="0.25"/>
    <row r="237660" s="12" customFormat="1" x14ac:dyDescent="0.25"/>
    <row r="237661" s="12" customFormat="1" x14ac:dyDescent="0.25"/>
    <row r="237662" s="12" customFormat="1" x14ac:dyDescent="0.25"/>
    <row r="237663" s="12" customFormat="1" x14ac:dyDescent="0.25"/>
    <row r="237664" s="12" customFormat="1" x14ac:dyDescent="0.25"/>
    <row r="237665" s="12" customFormat="1" x14ac:dyDescent="0.25"/>
    <row r="237666" s="12" customFormat="1" x14ac:dyDescent="0.25"/>
    <row r="237667" s="12" customFormat="1" x14ac:dyDescent="0.25"/>
    <row r="237668" s="12" customFormat="1" x14ac:dyDescent="0.25"/>
    <row r="237669" s="12" customFormat="1" x14ac:dyDescent="0.25"/>
    <row r="237670" s="12" customFormat="1" x14ac:dyDescent="0.25"/>
    <row r="237671" s="12" customFormat="1" x14ac:dyDescent="0.25"/>
    <row r="237672" s="12" customFormat="1" x14ac:dyDescent="0.25"/>
    <row r="237673" s="12" customFormat="1" x14ac:dyDescent="0.25"/>
    <row r="237674" s="12" customFormat="1" x14ac:dyDescent="0.25"/>
    <row r="237675" s="12" customFormat="1" x14ac:dyDescent="0.25"/>
    <row r="237676" s="12" customFormat="1" x14ac:dyDescent="0.25"/>
    <row r="237677" s="12" customFormat="1" x14ac:dyDescent="0.25"/>
    <row r="237678" s="12" customFormat="1" x14ac:dyDescent="0.25"/>
    <row r="237679" s="12" customFormat="1" x14ac:dyDescent="0.25"/>
    <row r="237680" s="12" customFormat="1" x14ac:dyDescent="0.25"/>
    <row r="237681" s="12" customFormat="1" x14ac:dyDescent="0.25"/>
    <row r="237682" s="12" customFormat="1" x14ac:dyDescent="0.25"/>
    <row r="237683" s="12" customFormat="1" x14ac:dyDescent="0.25"/>
    <row r="237684" s="12" customFormat="1" x14ac:dyDescent="0.25"/>
    <row r="237685" s="12" customFormat="1" x14ac:dyDescent="0.25"/>
    <row r="237686" s="12" customFormat="1" x14ac:dyDescent="0.25"/>
    <row r="237687" s="12" customFormat="1" x14ac:dyDescent="0.25"/>
    <row r="237688" s="12" customFormat="1" x14ac:dyDescent="0.25"/>
    <row r="237689" s="12" customFormat="1" x14ac:dyDescent="0.25"/>
    <row r="237690" s="12" customFormat="1" x14ac:dyDescent="0.25"/>
    <row r="237691" s="12" customFormat="1" x14ac:dyDescent="0.25"/>
    <row r="237692" s="12" customFormat="1" x14ac:dyDescent="0.25"/>
    <row r="237693" s="12" customFormat="1" x14ac:dyDescent="0.25"/>
    <row r="237694" s="12" customFormat="1" x14ac:dyDescent="0.25"/>
    <row r="237695" s="12" customFormat="1" x14ac:dyDescent="0.25"/>
    <row r="237696" s="12" customFormat="1" x14ac:dyDescent="0.25"/>
    <row r="237697" s="12" customFormat="1" x14ac:dyDescent="0.25"/>
    <row r="237698" s="12" customFormat="1" x14ac:dyDescent="0.25"/>
    <row r="237699" s="12" customFormat="1" x14ac:dyDescent="0.25"/>
    <row r="237700" s="12" customFormat="1" x14ac:dyDescent="0.25"/>
    <row r="237701" s="12" customFormat="1" x14ac:dyDescent="0.25"/>
    <row r="237702" s="12" customFormat="1" x14ac:dyDescent="0.25"/>
    <row r="237703" s="12" customFormat="1" x14ac:dyDescent="0.25"/>
    <row r="237704" s="12" customFormat="1" x14ac:dyDescent="0.25"/>
    <row r="237705" s="12" customFormat="1" x14ac:dyDescent="0.25"/>
    <row r="237706" s="12" customFormat="1" x14ac:dyDescent="0.25"/>
    <row r="237707" s="12" customFormat="1" x14ac:dyDescent="0.25"/>
    <row r="237708" s="12" customFormat="1" x14ac:dyDescent="0.25"/>
    <row r="237709" s="12" customFormat="1" x14ac:dyDescent="0.25"/>
    <row r="237710" s="12" customFormat="1" x14ac:dyDescent="0.25"/>
    <row r="237711" s="12" customFormat="1" x14ac:dyDescent="0.25"/>
    <row r="237712" s="12" customFormat="1" x14ac:dyDescent="0.25"/>
    <row r="237713" s="12" customFormat="1" x14ac:dyDescent="0.25"/>
    <row r="237714" s="12" customFormat="1" x14ac:dyDescent="0.25"/>
    <row r="237715" s="12" customFormat="1" x14ac:dyDescent="0.25"/>
    <row r="237716" s="12" customFormat="1" x14ac:dyDescent="0.25"/>
    <row r="237717" s="12" customFormat="1" x14ac:dyDescent="0.25"/>
    <row r="237718" s="12" customFormat="1" x14ac:dyDescent="0.25"/>
    <row r="237719" s="12" customFormat="1" x14ac:dyDescent="0.25"/>
    <row r="237720" s="12" customFormat="1" x14ac:dyDescent="0.25"/>
    <row r="237721" s="12" customFormat="1" x14ac:dyDescent="0.25"/>
    <row r="237722" s="12" customFormat="1" x14ac:dyDescent="0.25"/>
    <row r="237723" s="12" customFormat="1" x14ac:dyDescent="0.25"/>
    <row r="237724" s="12" customFormat="1" x14ac:dyDescent="0.25"/>
    <row r="237725" s="12" customFormat="1" x14ac:dyDescent="0.25"/>
    <row r="237726" s="12" customFormat="1" x14ac:dyDescent="0.25"/>
    <row r="237727" s="12" customFormat="1" x14ac:dyDescent="0.25"/>
    <row r="237728" s="12" customFormat="1" x14ac:dyDescent="0.25"/>
    <row r="237729" s="12" customFormat="1" x14ac:dyDescent="0.25"/>
    <row r="237730" s="12" customFormat="1" x14ac:dyDescent="0.25"/>
    <row r="237731" s="12" customFormat="1" x14ac:dyDescent="0.25"/>
    <row r="237732" s="12" customFormat="1" x14ac:dyDescent="0.25"/>
    <row r="237733" s="12" customFormat="1" x14ac:dyDescent="0.25"/>
    <row r="237734" s="12" customFormat="1" x14ac:dyDescent="0.25"/>
    <row r="237735" s="12" customFormat="1" x14ac:dyDescent="0.25"/>
    <row r="237736" s="12" customFormat="1" x14ac:dyDescent="0.25"/>
    <row r="237737" s="12" customFormat="1" x14ac:dyDescent="0.25"/>
    <row r="237738" s="12" customFormat="1" x14ac:dyDescent="0.25"/>
    <row r="237739" s="12" customFormat="1" x14ac:dyDescent="0.25"/>
    <row r="237740" s="12" customFormat="1" x14ac:dyDescent="0.25"/>
    <row r="237741" s="12" customFormat="1" x14ac:dyDescent="0.25"/>
    <row r="237742" s="12" customFormat="1" x14ac:dyDescent="0.25"/>
    <row r="237743" s="12" customFormat="1" x14ac:dyDescent="0.25"/>
    <row r="237744" s="12" customFormat="1" x14ac:dyDescent="0.25"/>
    <row r="237745" s="12" customFormat="1" x14ac:dyDescent="0.25"/>
    <row r="237746" s="12" customFormat="1" x14ac:dyDescent="0.25"/>
    <row r="237747" s="12" customFormat="1" x14ac:dyDescent="0.25"/>
    <row r="237748" s="12" customFormat="1" x14ac:dyDescent="0.25"/>
    <row r="237749" s="12" customFormat="1" x14ac:dyDescent="0.25"/>
    <row r="237750" s="12" customFormat="1" x14ac:dyDescent="0.25"/>
    <row r="237751" s="12" customFormat="1" x14ac:dyDescent="0.25"/>
    <row r="237752" s="12" customFormat="1" x14ac:dyDescent="0.25"/>
    <row r="237753" s="12" customFormat="1" x14ac:dyDescent="0.25"/>
    <row r="237754" s="12" customFormat="1" x14ac:dyDescent="0.25"/>
    <row r="237755" s="12" customFormat="1" x14ac:dyDescent="0.25"/>
    <row r="237756" s="12" customFormat="1" x14ac:dyDescent="0.25"/>
    <row r="237757" s="12" customFormat="1" x14ac:dyDescent="0.25"/>
    <row r="237758" s="12" customFormat="1" x14ac:dyDescent="0.25"/>
    <row r="237759" s="12" customFormat="1" x14ac:dyDescent="0.25"/>
    <row r="237760" s="12" customFormat="1" x14ac:dyDescent="0.25"/>
    <row r="237761" s="12" customFormat="1" x14ac:dyDescent="0.25"/>
    <row r="237762" s="12" customFormat="1" x14ac:dyDescent="0.25"/>
    <row r="237763" s="12" customFormat="1" x14ac:dyDescent="0.25"/>
    <row r="237764" s="12" customFormat="1" x14ac:dyDescent="0.25"/>
    <row r="237765" s="12" customFormat="1" x14ac:dyDescent="0.25"/>
    <row r="237766" s="12" customFormat="1" x14ac:dyDescent="0.25"/>
    <row r="237767" s="12" customFormat="1" x14ac:dyDescent="0.25"/>
    <row r="237768" s="12" customFormat="1" x14ac:dyDescent="0.25"/>
    <row r="237769" s="12" customFormat="1" x14ac:dyDescent="0.25"/>
    <row r="237770" s="12" customFormat="1" x14ac:dyDescent="0.25"/>
    <row r="237771" s="12" customFormat="1" x14ac:dyDescent="0.25"/>
    <row r="237772" s="12" customFormat="1" x14ac:dyDescent="0.25"/>
    <row r="237773" s="12" customFormat="1" x14ac:dyDescent="0.25"/>
    <row r="237774" s="12" customFormat="1" x14ac:dyDescent="0.25"/>
    <row r="237775" s="12" customFormat="1" x14ac:dyDescent="0.25"/>
    <row r="237776" s="12" customFormat="1" x14ac:dyDescent="0.25"/>
    <row r="237777" s="12" customFormat="1" x14ac:dyDescent="0.25"/>
    <row r="237778" s="12" customFormat="1" x14ac:dyDescent="0.25"/>
    <row r="237779" s="12" customFormat="1" x14ac:dyDescent="0.25"/>
    <row r="237780" s="12" customFormat="1" x14ac:dyDescent="0.25"/>
    <row r="237781" s="12" customFormat="1" x14ac:dyDescent="0.25"/>
    <row r="237782" s="12" customFormat="1" x14ac:dyDescent="0.25"/>
    <row r="237783" s="12" customFormat="1" x14ac:dyDescent="0.25"/>
    <row r="237784" s="12" customFormat="1" x14ac:dyDescent="0.25"/>
    <row r="237785" s="12" customFormat="1" x14ac:dyDescent="0.25"/>
    <row r="237786" s="12" customFormat="1" x14ac:dyDescent="0.25"/>
    <row r="237787" s="12" customFormat="1" x14ac:dyDescent="0.25"/>
    <row r="237788" s="12" customFormat="1" x14ac:dyDescent="0.25"/>
    <row r="237789" s="12" customFormat="1" x14ac:dyDescent="0.25"/>
    <row r="237790" s="12" customFormat="1" x14ac:dyDescent="0.25"/>
    <row r="237791" s="12" customFormat="1" x14ac:dyDescent="0.25"/>
    <row r="237792" s="12" customFormat="1" x14ac:dyDescent="0.25"/>
    <row r="237793" s="12" customFormat="1" x14ac:dyDescent="0.25"/>
    <row r="237794" s="12" customFormat="1" x14ac:dyDescent="0.25"/>
    <row r="237795" s="12" customFormat="1" x14ac:dyDescent="0.25"/>
    <row r="237796" s="12" customFormat="1" x14ac:dyDescent="0.25"/>
    <row r="237797" s="12" customFormat="1" x14ac:dyDescent="0.25"/>
    <row r="237798" s="12" customFormat="1" x14ac:dyDescent="0.25"/>
    <row r="237799" s="12" customFormat="1" x14ac:dyDescent="0.25"/>
    <row r="237800" s="12" customFormat="1" x14ac:dyDescent="0.25"/>
    <row r="237801" s="12" customFormat="1" x14ac:dyDescent="0.25"/>
    <row r="237802" s="12" customFormat="1" x14ac:dyDescent="0.25"/>
    <row r="237803" s="12" customFormat="1" x14ac:dyDescent="0.25"/>
    <row r="237804" s="12" customFormat="1" x14ac:dyDescent="0.25"/>
    <row r="237805" s="12" customFormat="1" x14ac:dyDescent="0.25"/>
    <row r="237806" s="12" customFormat="1" x14ac:dyDescent="0.25"/>
    <row r="237807" s="12" customFormat="1" x14ac:dyDescent="0.25"/>
    <row r="237808" s="12" customFormat="1" x14ac:dyDescent="0.25"/>
    <row r="237809" s="12" customFormat="1" x14ac:dyDescent="0.25"/>
    <row r="237810" s="12" customFormat="1" x14ac:dyDescent="0.25"/>
    <row r="237811" s="12" customFormat="1" x14ac:dyDescent="0.25"/>
    <row r="237812" s="12" customFormat="1" x14ac:dyDescent="0.25"/>
    <row r="237813" s="12" customFormat="1" x14ac:dyDescent="0.25"/>
    <row r="237814" s="12" customFormat="1" x14ac:dyDescent="0.25"/>
    <row r="237815" s="12" customFormat="1" x14ac:dyDescent="0.25"/>
    <row r="237816" s="12" customFormat="1" x14ac:dyDescent="0.25"/>
    <row r="237817" s="12" customFormat="1" x14ac:dyDescent="0.25"/>
    <row r="237818" s="12" customFormat="1" x14ac:dyDescent="0.25"/>
    <row r="237819" s="12" customFormat="1" x14ac:dyDescent="0.25"/>
    <row r="237820" s="12" customFormat="1" x14ac:dyDescent="0.25"/>
    <row r="237821" s="12" customFormat="1" x14ac:dyDescent="0.25"/>
    <row r="237822" s="12" customFormat="1" x14ac:dyDescent="0.25"/>
    <row r="237823" s="12" customFormat="1" x14ac:dyDescent="0.25"/>
    <row r="237824" s="12" customFormat="1" x14ac:dyDescent="0.25"/>
    <row r="237825" s="12" customFormat="1" x14ac:dyDescent="0.25"/>
    <row r="237826" s="12" customFormat="1" x14ac:dyDescent="0.25"/>
    <row r="237827" s="12" customFormat="1" x14ac:dyDescent="0.25"/>
    <row r="237828" s="12" customFormat="1" x14ac:dyDescent="0.25"/>
    <row r="237829" s="12" customFormat="1" x14ac:dyDescent="0.25"/>
    <row r="237830" s="12" customFormat="1" x14ac:dyDescent="0.25"/>
    <row r="237831" s="12" customFormat="1" x14ac:dyDescent="0.25"/>
    <row r="237832" s="12" customFormat="1" x14ac:dyDescent="0.25"/>
    <row r="237833" s="12" customFormat="1" x14ac:dyDescent="0.25"/>
    <row r="237834" s="12" customFormat="1" x14ac:dyDescent="0.25"/>
    <row r="237835" s="12" customFormat="1" x14ac:dyDescent="0.25"/>
    <row r="237836" s="12" customFormat="1" x14ac:dyDescent="0.25"/>
    <row r="237837" s="12" customFormat="1" x14ac:dyDescent="0.25"/>
    <row r="237838" s="12" customFormat="1" x14ac:dyDescent="0.25"/>
    <row r="237839" s="12" customFormat="1" x14ac:dyDescent="0.25"/>
    <row r="237840" s="12" customFormat="1" x14ac:dyDescent="0.25"/>
    <row r="237841" s="12" customFormat="1" x14ac:dyDescent="0.25"/>
    <row r="237842" s="12" customFormat="1" x14ac:dyDescent="0.25"/>
    <row r="237843" s="12" customFormat="1" x14ac:dyDescent="0.25"/>
    <row r="237844" s="12" customFormat="1" x14ac:dyDescent="0.25"/>
    <row r="237845" s="12" customFormat="1" x14ac:dyDescent="0.25"/>
    <row r="237846" s="12" customFormat="1" x14ac:dyDescent="0.25"/>
    <row r="237847" s="12" customFormat="1" x14ac:dyDescent="0.25"/>
    <row r="237848" s="12" customFormat="1" x14ac:dyDescent="0.25"/>
    <row r="237849" s="12" customFormat="1" x14ac:dyDescent="0.25"/>
    <row r="237850" s="12" customFormat="1" x14ac:dyDescent="0.25"/>
    <row r="237851" s="12" customFormat="1" x14ac:dyDescent="0.25"/>
    <row r="237852" s="12" customFormat="1" x14ac:dyDescent="0.25"/>
    <row r="237853" s="12" customFormat="1" x14ac:dyDescent="0.25"/>
    <row r="237854" s="12" customFormat="1" x14ac:dyDescent="0.25"/>
    <row r="237855" s="12" customFormat="1" x14ac:dyDescent="0.25"/>
    <row r="237856" s="12" customFormat="1" x14ac:dyDescent="0.25"/>
    <row r="237857" s="12" customFormat="1" x14ac:dyDescent="0.25"/>
    <row r="237858" s="12" customFormat="1" x14ac:dyDescent="0.25"/>
    <row r="237859" s="12" customFormat="1" x14ac:dyDescent="0.25"/>
    <row r="237860" s="12" customFormat="1" x14ac:dyDescent="0.25"/>
    <row r="237861" s="12" customFormat="1" x14ac:dyDescent="0.25"/>
    <row r="237862" s="12" customFormat="1" x14ac:dyDescent="0.25"/>
    <row r="237863" s="12" customFormat="1" x14ac:dyDescent="0.25"/>
    <row r="237864" s="12" customFormat="1" x14ac:dyDescent="0.25"/>
    <row r="237865" s="12" customFormat="1" x14ac:dyDescent="0.25"/>
    <row r="237866" s="12" customFormat="1" x14ac:dyDescent="0.25"/>
    <row r="237867" s="12" customFormat="1" x14ac:dyDescent="0.25"/>
    <row r="237868" s="12" customFormat="1" x14ac:dyDescent="0.25"/>
    <row r="237869" s="12" customFormat="1" x14ac:dyDescent="0.25"/>
    <row r="237870" s="12" customFormat="1" x14ac:dyDescent="0.25"/>
    <row r="237871" s="12" customFormat="1" x14ac:dyDescent="0.25"/>
    <row r="237872" s="12" customFormat="1" x14ac:dyDescent="0.25"/>
    <row r="237873" s="12" customFormat="1" x14ac:dyDescent="0.25"/>
    <row r="237874" s="12" customFormat="1" x14ac:dyDescent="0.25"/>
    <row r="237875" s="12" customFormat="1" x14ac:dyDescent="0.25"/>
    <row r="237876" s="12" customFormat="1" x14ac:dyDescent="0.25"/>
    <row r="237877" s="12" customFormat="1" x14ac:dyDescent="0.25"/>
    <row r="237878" s="12" customFormat="1" x14ac:dyDescent="0.25"/>
    <row r="237879" s="12" customFormat="1" x14ac:dyDescent="0.25"/>
    <row r="237880" s="12" customFormat="1" x14ac:dyDescent="0.25"/>
    <row r="237881" s="12" customFormat="1" x14ac:dyDescent="0.25"/>
    <row r="237882" s="12" customFormat="1" x14ac:dyDescent="0.25"/>
    <row r="237883" s="12" customFormat="1" x14ac:dyDescent="0.25"/>
    <row r="237884" s="12" customFormat="1" x14ac:dyDescent="0.25"/>
    <row r="237885" s="12" customFormat="1" x14ac:dyDescent="0.25"/>
    <row r="237886" s="12" customFormat="1" x14ac:dyDescent="0.25"/>
    <row r="237887" s="12" customFormat="1" x14ac:dyDescent="0.25"/>
    <row r="237888" s="12" customFormat="1" x14ac:dyDescent="0.25"/>
    <row r="237889" s="12" customFormat="1" x14ac:dyDescent="0.25"/>
    <row r="237890" s="12" customFormat="1" x14ac:dyDescent="0.25"/>
    <row r="237891" s="12" customFormat="1" x14ac:dyDescent="0.25"/>
    <row r="237892" s="12" customFormat="1" x14ac:dyDescent="0.25"/>
    <row r="237893" s="12" customFormat="1" x14ac:dyDescent="0.25"/>
    <row r="237894" s="12" customFormat="1" x14ac:dyDescent="0.25"/>
    <row r="237895" s="12" customFormat="1" x14ac:dyDescent="0.25"/>
    <row r="237896" s="12" customFormat="1" x14ac:dyDescent="0.25"/>
    <row r="237897" s="12" customFormat="1" x14ac:dyDescent="0.25"/>
    <row r="237898" s="12" customFormat="1" x14ac:dyDescent="0.25"/>
    <row r="237899" s="12" customFormat="1" x14ac:dyDescent="0.25"/>
    <row r="237900" s="12" customFormat="1" x14ac:dyDescent="0.25"/>
    <row r="237901" s="12" customFormat="1" x14ac:dyDescent="0.25"/>
    <row r="237902" s="12" customFormat="1" x14ac:dyDescent="0.25"/>
    <row r="237903" s="12" customFormat="1" x14ac:dyDescent="0.25"/>
    <row r="237904" s="12" customFormat="1" x14ac:dyDescent="0.25"/>
    <row r="237905" s="12" customFormat="1" x14ac:dyDescent="0.25"/>
    <row r="237906" s="12" customFormat="1" x14ac:dyDescent="0.25"/>
    <row r="237907" s="12" customFormat="1" x14ac:dyDescent="0.25"/>
    <row r="237908" s="12" customFormat="1" x14ac:dyDescent="0.25"/>
    <row r="237909" s="12" customFormat="1" x14ac:dyDescent="0.25"/>
    <row r="237910" s="12" customFormat="1" x14ac:dyDescent="0.25"/>
    <row r="237911" s="12" customFormat="1" x14ac:dyDescent="0.25"/>
    <row r="237912" s="12" customFormat="1" x14ac:dyDescent="0.25"/>
    <row r="237913" s="12" customFormat="1" x14ac:dyDescent="0.25"/>
    <row r="237914" s="12" customFormat="1" x14ac:dyDescent="0.25"/>
    <row r="237915" s="12" customFormat="1" x14ac:dyDescent="0.25"/>
    <row r="237916" s="12" customFormat="1" x14ac:dyDescent="0.25"/>
    <row r="237917" s="12" customFormat="1" x14ac:dyDescent="0.25"/>
    <row r="237918" s="12" customFormat="1" x14ac:dyDescent="0.25"/>
    <row r="237919" s="12" customFormat="1" x14ac:dyDescent="0.25"/>
    <row r="237920" s="12" customFormat="1" x14ac:dyDescent="0.25"/>
    <row r="237921" s="12" customFormat="1" x14ac:dyDescent="0.25"/>
    <row r="237922" s="12" customFormat="1" x14ac:dyDescent="0.25"/>
    <row r="237923" s="12" customFormat="1" x14ac:dyDescent="0.25"/>
    <row r="237924" s="12" customFormat="1" x14ac:dyDescent="0.25"/>
    <row r="237925" s="12" customFormat="1" x14ac:dyDescent="0.25"/>
    <row r="237926" s="12" customFormat="1" x14ac:dyDescent="0.25"/>
    <row r="237927" s="12" customFormat="1" x14ac:dyDescent="0.25"/>
    <row r="237928" s="12" customFormat="1" x14ac:dyDescent="0.25"/>
    <row r="237929" s="12" customFormat="1" x14ac:dyDescent="0.25"/>
    <row r="237930" s="12" customFormat="1" x14ac:dyDescent="0.25"/>
    <row r="237931" s="12" customFormat="1" x14ac:dyDescent="0.25"/>
    <row r="237932" s="12" customFormat="1" x14ac:dyDescent="0.25"/>
    <row r="237933" s="12" customFormat="1" x14ac:dyDescent="0.25"/>
    <row r="237934" s="12" customFormat="1" x14ac:dyDescent="0.25"/>
    <row r="237935" s="12" customFormat="1" x14ac:dyDescent="0.25"/>
    <row r="237936" s="12" customFormat="1" x14ac:dyDescent="0.25"/>
    <row r="237937" s="12" customFormat="1" x14ac:dyDescent="0.25"/>
    <row r="237938" s="12" customFormat="1" x14ac:dyDescent="0.25"/>
    <row r="237939" s="12" customFormat="1" x14ac:dyDescent="0.25"/>
    <row r="237940" s="12" customFormat="1" x14ac:dyDescent="0.25"/>
    <row r="237941" s="12" customFormat="1" x14ac:dyDescent="0.25"/>
    <row r="237942" s="12" customFormat="1" x14ac:dyDescent="0.25"/>
    <row r="237943" s="12" customFormat="1" x14ac:dyDescent="0.25"/>
    <row r="237944" s="12" customFormat="1" x14ac:dyDescent="0.25"/>
    <row r="237945" s="12" customFormat="1" x14ac:dyDescent="0.25"/>
    <row r="237946" s="12" customFormat="1" x14ac:dyDescent="0.25"/>
    <row r="237947" s="12" customFormat="1" x14ac:dyDescent="0.25"/>
    <row r="237948" s="12" customFormat="1" x14ac:dyDescent="0.25"/>
    <row r="237949" s="12" customFormat="1" x14ac:dyDescent="0.25"/>
    <row r="237950" s="12" customFormat="1" x14ac:dyDescent="0.25"/>
    <row r="237951" s="12" customFormat="1" x14ac:dyDescent="0.25"/>
    <row r="237952" s="12" customFormat="1" x14ac:dyDescent="0.25"/>
    <row r="237953" s="12" customFormat="1" x14ac:dyDescent="0.25"/>
    <row r="237954" s="12" customFormat="1" x14ac:dyDescent="0.25"/>
    <row r="237955" s="12" customFormat="1" x14ac:dyDescent="0.25"/>
    <row r="237956" s="12" customFormat="1" x14ac:dyDescent="0.25"/>
    <row r="237957" s="12" customFormat="1" x14ac:dyDescent="0.25"/>
    <row r="237958" s="12" customFormat="1" x14ac:dyDescent="0.25"/>
    <row r="237959" s="12" customFormat="1" x14ac:dyDescent="0.25"/>
    <row r="237960" s="12" customFormat="1" x14ac:dyDescent="0.25"/>
    <row r="237961" s="12" customFormat="1" x14ac:dyDescent="0.25"/>
    <row r="237962" s="12" customFormat="1" x14ac:dyDescent="0.25"/>
    <row r="237963" s="12" customFormat="1" x14ac:dyDescent="0.25"/>
    <row r="237964" s="12" customFormat="1" x14ac:dyDescent="0.25"/>
    <row r="237965" s="12" customFormat="1" x14ac:dyDescent="0.25"/>
    <row r="237966" s="12" customFormat="1" x14ac:dyDescent="0.25"/>
    <row r="237967" s="12" customFormat="1" x14ac:dyDescent="0.25"/>
    <row r="237968" s="12" customFormat="1" x14ac:dyDescent="0.25"/>
    <row r="237969" s="12" customFormat="1" x14ac:dyDescent="0.25"/>
    <row r="237970" s="12" customFormat="1" x14ac:dyDescent="0.25"/>
    <row r="237971" s="12" customFormat="1" x14ac:dyDescent="0.25"/>
    <row r="237972" s="12" customFormat="1" x14ac:dyDescent="0.25"/>
    <row r="237973" s="12" customFormat="1" x14ac:dyDescent="0.25"/>
    <row r="237974" s="12" customFormat="1" x14ac:dyDescent="0.25"/>
    <row r="237975" s="12" customFormat="1" x14ac:dyDescent="0.25"/>
    <row r="237976" s="12" customFormat="1" x14ac:dyDescent="0.25"/>
    <row r="237977" s="12" customFormat="1" x14ac:dyDescent="0.25"/>
    <row r="237978" s="12" customFormat="1" x14ac:dyDescent="0.25"/>
    <row r="237979" s="12" customFormat="1" x14ac:dyDescent="0.25"/>
    <row r="237980" s="12" customFormat="1" x14ac:dyDescent="0.25"/>
    <row r="237981" s="12" customFormat="1" x14ac:dyDescent="0.25"/>
    <row r="237982" s="12" customFormat="1" x14ac:dyDescent="0.25"/>
    <row r="237983" s="12" customFormat="1" x14ac:dyDescent="0.25"/>
    <row r="237984" s="12" customFormat="1" x14ac:dyDescent="0.25"/>
    <row r="237985" s="12" customFormat="1" x14ac:dyDescent="0.25"/>
    <row r="237986" s="12" customFormat="1" x14ac:dyDescent="0.25"/>
    <row r="237987" s="12" customFormat="1" x14ac:dyDescent="0.25"/>
    <row r="237988" s="12" customFormat="1" x14ac:dyDescent="0.25"/>
    <row r="237989" s="12" customFormat="1" x14ac:dyDescent="0.25"/>
    <row r="237990" s="12" customFormat="1" x14ac:dyDescent="0.25"/>
    <row r="237991" s="12" customFormat="1" x14ac:dyDescent="0.25"/>
    <row r="237992" s="12" customFormat="1" x14ac:dyDescent="0.25"/>
    <row r="237993" s="12" customFormat="1" x14ac:dyDescent="0.25"/>
    <row r="237994" s="12" customFormat="1" x14ac:dyDescent="0.25"/>
    <row r="237995" s="12" customFormat="1" x14ac:dyDescent="0.25"/>
    <row r="237996" s="12" customFormat="1" x14ac:dyDescent="0.25"/>
    <row r="237997" s="12" customFormat="1" x14ac:dyDescent="0.25"/>
    <row r="237998" s="12" customFormat="1" x14ac:dyDescent="0.25"/>
    <row r="237999" s="12" customFormat="1" x14ac:dyDescent="0.25"/>
    <row r="238000" s="12" customFormat="1" x14ac:dyDescent="0.25"/>
    <row r="238001" s="12" customFormat="1" x14ac:dyDescent="0.25"/>
    <row r="238002" s="12" customFormat="1" x14ac:dyDescent="0.25"/>
    <row r="238003" s="12" customFormat="1" x14ac:dyDescent="0.25"/>
    <row r="238004" s="12" customFormat="1" x14ac:dyDescent="0.25"/>
    <row r="238005" s="12" customFormat="1" x14ac:dyDescent="0.25"/>
    <row r="238006" s="12" customFormat="1" x14ac:dyDescent="0.25"/>
    <row r="238007" s="12" customFormat="1" x14ac:dyDescent="0.25"/>
    <row r="238008" s="12" customFormat="1" x14ac:dyDescent="0.25"/>
    <row r="238009" s="12" customFormat="1" x14ac:dyDescent="0.25"/>
    <row r="238010" s="12" customFormat="1" x14ac:dyDescent="0.25"/>
    <row r="238011" s="12" customFormat="1" x14ac:dyDescent="0.25"/>
    <row r="238012" s="12" customFormat="1" x14ac:dyDescent="0.25"/>
    <row r="238013" s="12" customFormat="1" x14ac:dyDescent="0.25"/>
    <row r="238014" s="12" customFormat="1" x14ac:dyDescent="0.25"/>
    <row r="238015" s="12" customFormat="1" x14ac:dyDescent="0.25"/>
    <row r="238016" s="12" customFormat="1" x14ac:dyDescent="0.25"/>
    <row r="238017" s="12" customFormat="1" x14ac:dyDescent="0.25"/>
    <row r="238018" s="12" customFormat="1" x14ac:dyDescent="0.25"/>
    <row r="238019" s="12" customFormat="1" x14ac:dyDescent="0.25"/>
    <row r="238020" s="12" customFormat="1" x14ac:dyDescent="0.25"/>
    <row r="238021" s="12" customFormat="1" x14ac:dyDescent="0.25"/>
    <row r="238022" s="12" customFormat="1" x14ac:dyDescent="0.25"/>
    <row r="238023" s="12" customFormat="1" x14ac:dyDescent="0.25"/>
    <row r="238024" s="12" customFormat="1" x14ac:dyDescent="0.25"/>
    <row r="238025" s="12" customFormat="1" x14ac:dyDescent="0.25"/>
    <row r="238026" s="12" customFormat="1" x14ac:dyDescent="0.25"/>
    <row r="238027" s="12" customFormat="1" x14ac:dyDescent="0.25"/>
    <row r="238028" s="12" customFormat="1" x14ac:dyDescent="0.25"/>
    <row r="238029" s="12" customFormat="1" x14ac:dyDescent="0.25"/>
    <row r="238030" s="12" customFormat="1" x14ac:dyDescent="0.25"/>
    <row r="238031" s="12" customFormat="1" x14ac:dyDescent="0.25"/>
    <row r="238032" s="12" customFormat="1" x14ac:dyDescent="0.25"/>
    <row r="238033" s="12" customFormat="1" x14ac:dyDescent="0.25"/>
    <row r="238034" s="12" customFormat="1" x14ac:dyDescent="0.25"/>
    <row r="238035" s="12" customFormat="1" x14ac:dyDescent="0.25"/>
    <row r="238036" s="12" customFormat="1" x14ac:dyDescent="0.25"/>
    <row r="238037" s="12" customFormat="1" x14ac:dyDescent="0.25"/>
    <row r="238038" s="12" customFormat="1" x14ac:dyDescent="0.25"/>
    <row r="238039" s="12" customFormat="1" x14ac:dyDescent="0.25"/>
    <row r="238040" s="12" customFormat="1" x14ac:dyDescent="0.25"/>
    <row r="238041" s="12" customFormat="1" x14ac:dyDescent="0.25"/>
    <row r="238042" s="12" customFormat="1" x14ac:dyDescent="0.25"/>
    <row r="238043" s="12" customFormat="1" x14ac:dyDescent="0.25"/>
    <row r="238044" s="12" customFormat="1" x14ac:dyDescent="0.25"/>
    <row r="238045" s="12" customFormat="1" x14ac:dyDescent="0.25"/>
    <row r="238046" s="12" customFormat="1" x14ac:dyDescent="0.25"/>
    <row r="238047" s="12" customFormat="1" x14ac:dyDescent="0.25"/>
    <row r="238048" s="12" customFormat="1" x14ac:dyDescent="0.25"/>
    <row r="238049" s="12" customFormat="1" x14ac:dyDescent="0.25"/>
    <row r="238050" s="12" customFormat="1" x14ac:dyDescent="0.25"/>
    <row r="238051" s="12" customFormat="1" x14ac:dyDescent="0.25"/>
    <row r="238052" s="12" customFormat="1" x14ac:dyDescent="0.25"/>
    <row r="238053" s="12" customFormat="1" x14ac:dyDescent="0.25"/>
    <row r="238054" s="12" customFormat="1" x14ac:dyDescent="0.25"/>
    <row r="238055" s="12" customFormat="1" x14ac:dyDescent="0.25"/>
    <row r="238056" s="12" customFormat="1" x14ac:dyDescent="0.25"/>
    <row r="238057" s="12" customFormat="1" x14ac:dyDescent="0.25"/>
    <row r="238058" s="12" customFormat="1" x14ac:dyDescent="0.25"/>
    <row r="238059" s="12" customFormat="1" x14ac:dyDescent="0.25"/>
    <row r="238060" s="12" customFormat="1" x14ac:dyDescent="0.25"/>
    <row r="238061" s="12" customFormat="1" x14ac:dyDescent="0.25"/>
    <row r="238062" s="12" customFormat="1" x14ac:dyDescent="0.25"/>
    <row r="238063" s="12" customFormat="1" x14ac:dyDescent="0.25"/>
    <row r="238064" s="12" customFormat="1" x14ac:dyDescent="0.25"/>
    <row r="238065" s="12" customFormat="1" x14ac:dyDescent="0.25"/>
    <row r="238066" s="12" customFormat="1" x14ac:dyDescent="0.25"/>
    <row r="238067" s="12" customFormat="1" x14ac:dyDescent="0.25"/>
    <row r="238068" s="12" customFormat="1" x14ac:dyDescent="0.25"/>
    <row r="238069" s="12" customFormat="1" x14ac:dyDescent="0.25"/>
    <row r="238070" s="12" customFormat="1" x14ac:dyDescent="0.25"/>
    <row r="238071" s="12" customFormat="1" x14ac:dyDescent="0.25"/>
    <row r="238072" s="12" customFormat="1" x14ac:dyDescent="0.25"/>
    <row r="238073" s="12" customFormat="1" x14ac:dyDescent="0.25"/>
    <row r="238074" s="12" customFormat="1" x14ac:dyDescent="0.25"/>
    <row r="238075" s="12" customFormat="1" x14ac:dyDescent="0.25"/>
    <row r="238076" s="12" customFormat="1" x14ac:dyDescent="0.25"/>
    <row r="238077" s="12" customFormat="1" x14ac:dyDescent="0.25"/>
    <row r="238078" s="12" customFormat="1" x14ac:dyDescent="0.25"/>
    <row r="238079" s="12" customFormat="1" x14ac:dyDescent="0.25"/>
    <row r="238080" s="12" customFormat="1" x14ac:dyDescent="0.25"/>
    <row r="238081" s="12" customFormat="1" x14ac:dyDescent="0.25"/>
    <row r="238082" s="12" customFormat="1" x14ac:dyDescent="0.25"/>
    <row r="238083" s="12" customFormat="1" x14ac:dyDescent="0.25"/>
    <row r="238084" s="12" customFormat="1" x14ac:dyDescent="0.25"/>
    <row r="238085" s="12" customFormat="1" x14ac:dyDescent="0.25"/>
    <row r="238086" s="12" customFormat="1" x14ac:dyDescent="0.25"/>
    <row r="238087" s="12" customFormat="1" x14ac:dyDescent="0.25"/>
    <row r="238088" s="12" customFormat="1" x14ac:dyDescent="0.25"/>
    <row r="238089" s="12" customFormat="1" x14ac:dyDescent="0.25"/>
    <row r="238090" s="12" customFormat="1" x14ac:dyDescent="0.25"/>
    <row r="238091" s="12" customFormat="1" x14ac:dyDescent="0.25"/>
    <row r="238092" s="12" customFormat="1" x14ac:dyDescent="0.25"/>
    <row r="238093" s="12" customFormat="1" x14ac:dyDescent="0.25"/>
    <row r="238094" s="12" customFormat="1" x14ac:dyDescent="0.25"/>
    <row r="238095" s="12" customFormat="1" x14ac:dyDescent="0.25"/>
    <row r="238096" s="12" customFormat="1" x14ac:dyDescent="0.25"/>
    <row r="238097" s="12" customFormat="1" x14ac:dyDescent="0.25"/>
    <row r="238098" s="12" customFormat="1" x14ac:dyDescent="0.25"/>
    <row r="238099" s="12" customFormat="1" x14ac:dyDescent="0.25"/>
    <row r="238100" s="12" customFormat="1" x14ac:dyDescent="0.25"/>
    <row r="238101" s="12" customFormat="1" x14ac:dyDescent="0.25"/>
    <row r="238102" s="12" customFormat="1" x14ac:dyDescent="0.25"/>
    <row r="238103" s="12" customFormat="1" x14ac:dyDescent="0.25"/>
    <row r="238104" s="12" customFormat="1" x14ac:dyDescent="0.25"/>
    <row r="238105" s="12" customFormat="1" x14ac:dyDescent="0.25"/>
    <row r="238106" s="12" customFormat="1" x14ac:dyDescent="0.25"/>
    <row r="238107" s="12" customFormat="1" x14ac:dyDescent="0.25"/>
    <row r="238108" s="12" customFormat="1" x14ac:dyDescent="0.25"/>
    <row r="238109" s="12" customFormat="1" x14ac:dyDescent="0.25"/>
    <row r="238110" s="12" customFormat="1" x14ac:dyDescent="0.25"/>
    <row r="238111" s="12" customFormat="1" x14ac:dyDescent="0.25"/>
    <row r="238112" s="12" customFormat="1" x14ac:dyDescent="0.25"/>
    <row r="238113" s="12" customFormat="1" x14ac:dyDescent="0.25"/>
    <row r="238114" s="12" customFormat="1" x14ac:dyDescent="0.25"/>
    <row r="238115" s="12" customFormat="1" x14ac:dyDescent="0.25"/>
    <row r="238116" s="12" customFormat="1" x14ac:dyDescent="0.25"/>
    <row r="238117" s="12" customFormat="1" x14ac:dyDescent="0.25"/>
    <row r="238118" s="12" customFormat="1" x14ac:dyDescent="0.25"/>
    <row r="238119" s="12" customFormat="1" x14ac:dyDescent="0.25"/>
    <row r="238120" s="12" customFormat="1" x14ac:dyDescent="0.25"/>
    <row r="238121" s="12" customFormat="1" x14ac:dyDescent="0.25"/>
    <row r="238122" s="12" customFormat="1" x14ac:dyDescent="0.25"/>
    <row r="238123" s="12" customFormat="1" x14ac:dyDescent="0.25"/>
    <row r="238124" s="12" customFormat="1" x14ac:dyDescent="0.25"/>
    <row r="238125" s="12" customFormat="1" x14ac:dyDescent="0.25"/>
    <row r="238126" s="12" customFormat="1" x14ac:dyDescent="0.25"/>
    <row r="238127" s="12" customFormat="1" x14ac:dyDescent="0.25"/>
    <row r="238128" s="12" customFormat="1" x14ac:dyDescent="0.25"/>
    <row r="238129" s="12" customFormat="1" x14ac:dyDescent="0.25"/>
    <row r="238130" s="12" customFormat="1" x14ac:dyDescent="0.25"/>
    <row r="238131" s="12" customFormat="1" x14ac:dyDescent="0.25"/>
    <row r="238132" s="12" customFormat="1" x14ac:dyDescent="0.25"/>
    <row r="238133" s="12" customFormat="1" x14ac:dyDescent="0.25"/>
    <row r="238134" s="12" customFormat="1" x14ac:dyDescent="0.25"/>
    <row r="238135" s="12" customFormat="1" x14ac:dyDescent="0.25"/>
    <row r="238136" s="12" customFormat="1" x14ac:dyDescent="0.25"/>
    <row r="238137" s="12" customFormat="1" x14ac:dyDescent="0.25"/>
    <row r="238138" s="12" customFormat="1" x14ac:dyDescent="0.25"/>
    <row r="238139" s="12" customFormat="1" x14ac:dyDescent="0.25"/>
    <row r="238140" s="12" customFormat="1" x14ac:dyDescent="0.25"/>
    <row r="238141" s="12" customFormat="1" x14ac:dyDescent="0.25"/>
    <row r="238142" s="12" customFormat="1" x14ac:dyDescent="0.25"/>
    <row r="238143" s="12" customFormat="1" x14ac:dyDescent="0.25"/>
    <row r="238144" s="12" customFormat="1" x14ac:dyDescent="0.25"/>
    <row r="238145" s="12" customFormat="1" x14ac:dyDescent="0.25"/>
    <row r="238146" s="12" customFormat="1" x14ac:dyDescent="0.25"/>
    <row r="238147" s="12" customFormat="1" x14ac:dyDescent="0.25"/>
    <row r="238148" s="12" customFormat="1" x14ac:dyDescent="0.25"/>
    <row r="238149" s="12" customFormat="1" x14ac:dyDescent="0.25"/>
    <row r="238150" s="12" customFormat="1" x14ac:dyDescent="0.25"/>
    <row r="238151" s="12" customFormat="1" x14ac:dyDescent="0.25"/>
    <row r="238152" s="12" customFormat="1" x14ac:dyDescent="0.25"/>
    <row r="238153" s="12" customFormat="1" x14ac:dyDescent="0.25"/>
    <row r="238154" s="12" customFormat="1" x14ac:dyDescent="0.25"/>
    <row r="238155" s="12" customFormat="1" x14ac:dyDescent="0.25"/>
    <row r="238156" s="12" customFormat="1" x14ac:dyDescent="0.25"/>
    <row r="238157" s="12" customFormat="1" x14ac:dyDescent="0.25"/>
    <row r="238158" s="12" customFormat="1" x14ac:dyDescent="0.25"/>
    <row r="238159" s="12" customFormat="1" x14ac:dyDescent="0.25"/>
    <row r="238160" s="12" customFormat="1" x14ac:dyDescent="0.25"/>
    <row r="238161" s="12" customFormat="1" x14ac:dyDescent="0.25"/>
    <row r="238162" s="12" customFormat="1" x14ac:dyDescent="0.25"/>
    <row r="238163" s="12" customFormat="1" x14ac:dyDescent="0.25"/>
    <row r="238164" s="12" customFormat="1" x14ac:dyDescent="0.25"/>
    <row r="238165" s="12" customFormat="1" x14ac:dyDescent="0.25"/>
    <row r="238166" s="12" customFormat="1" x14ac:dyDescent="0.25"/>
    <row r="238167" s="12" customFormat="1" x14ac:dyDescent="0.25"/>
    <row r="238168" s="12" customFormat="1" x14ac:dyDescent="0.25"/>
    <row r="238169" s="12" customFormat="1" x14ac:dyDescent="0.25"/>
    <row r="238170" s="12" customFormat="1" x14ac:dyDescent="0.25"/>
    <row r="238171" s="12" customFormat="1" x14ac:dyDescent="0.25"/>
    <row r="238172" s="12" customFormat="1" x14ac:dyDescent="0.25"/>
    <row r="238173" s="12" customFormat="1" x14ac:dyDescent="0.25"/>
    <row r="238174" s="12" customFormat="1" x14ac:dyDescent="0.25"/>
    <row r="238175" s="12" customFormat="1" x14ac:dyDescent="0.25"/>
    <row r="238176" s="12" customFormat="1" x14ac:dyDescent="0.25"/>
    <row r="238177" s="12" customFormat="1" x14ac:dyDescent="0.25"/>
    <row r="238178" s="12" customFormat="1" x14ac:dyDescent="0.25"/>
    <row r="238179" s="12" customFormat="1" x14ac:dyDescent="0.25"/>
    <row r="238180" s="12" customFormat="1" x14ac:dyDescent="0.25"/>
    <row r="238181" s="12" customFormat="1" x14ac:dyDescent="0.25"/>
    <row r="238182" s="12" customFormat="1" x14ac:dyDescent="0.25"/>
    <row r="238183" s="12" customFormat="1" x14ac:dyDescent="0.25"/>
    <row r="238184" s="12" customFormat="1" x14ac:dyDescent="0.25"/>
    <row r="238185" s="12" customFormat="1" x14ac:dyDescent="0.25"/>
    <row r="238186" s="12" customFormat="1" x14ac:dyDescent="0.25"/>
    <row r="238187" s="12" customFormat="1" x14ac:dyDescent="0.25"/>
    <row r="238188" s="12" customFormat="1" x14ac:dyDescent="0.25"/>
    <row r="238189" s="12" customFormat="1" x14ac:dyDescent="0.25"/>
    <row r="238190" s="12" customFormat="1" x14ac:dyDescent="0.25"/>
    <row r="238191" s="12" customFormat="1" x14ac:dyDescent="0.25"/>
    <row r="238192" s="12" customFormat="1" x14ac:dyDescent="0.25"/>
    <row r="238193" s="12" customFormat="1" x14ac:dyDescent="0.25"/>
    <row r="238194" s="12" customFormat="1" x14ac:dyDescent="0.25"/>
    <row r="238195" s="12" customFormat="1" x14ac:dyDescent="0.25"/>
    <row r="238196" s="12" customFormat="1" x14ac:dyDescent="0.25"/>
    <row r="238197" s="12" customFormat="1" x14ac:dyDescent="0.25"/>
    <row r="238198" s="12" customFormat="1" x14ac:dyDescent="0.25"/>
    <row r="238199" s="12" customFormat="1" x14ac:dyDescent="0.25"/>
    <row r="238200" s="12" customFormat="1" x14ac:dyDescent="0.25"/>
    <row r="238201" s="12" customFormat="1" x14ac:dyDescent="0.25"/>
    <row r="238202" s="12" customFormat="1" x14ac:dyDescent="0.25"/>
    <row r="238203" s="12" customFormat="1" x14ac:dyDescent="0.25"/>
    <row r="238204" s="12" customFormat="1" x14ac:dyDescent="0.25"/>
    <row r="238205" s="12" customFormat="1" x14ac:dyDescent="0.25"/>
    <row r="238206" s="12" customFormat="1" x14ac:dyDescent="0.25"/>
    <row r="238207" s="12" customFormat="1" x14ac:dyDescent="0.25"/>
    <row r="238208" s="12" customFormat="1" x14ac:dyDescent="0.25"/>
    <row r="238209" s="12" customFormat="1" x14ac:dyDescent="0.25"/>
    <row r="238210" s="12" customFormat="1" x14ac:dyDescent="0.25"/>
    <row r="238211" s="12" customFormat="1" x14ac:dyDescent="0.25"/>
    <row r="238212" s="12" customFormat="1" x14ac:dyDescent="0.25"/>
    <row r="238213" s="12" customFormat="1" x14ac:dyDescent="0.25"/>
    <row r="238214" s="12" customFormat="1" x14ac:dyDescent="0.25"/>
    <row r="238215" s="12" customFormat="1" x14ac:dyDescent="0.25"/>
    <row r="238216" s="12" customFormat="1" x14ac:dyDescent="0.25"/>
    <row r="238217" s="12" customFormat="1" x14ac:dyDescent="0.25"/>
    <row r="238218" s="12" customFormat="1" x14ac:dyDescent="0.25"/>
    <row r="238219" s="12" customFormat="1" x14ac:dyDescent="0.25"/>
    <row r="238220" s="12" customFormat="1" x14ac:dyDescent="0.25"/>
    <row r="238221" s="12" customFormat="1" x14ac:dyDescent="0.25"/>
    <row r="238222" s="12" customFormat="1" x14ac:dyDescent="0.25"/>
    <row r="238223" s="12" customFormat="1" x14ac:dyDescent="0.25"/>
    <row r="238224" s="12" customFormat="1" x14ac:dyDescent="0.25"/>
    <row r="238225" s="12" customFormat="1" x14ac:dyDescent="0.25"/>
    <row r="238226" s="12" customFormat="1" x14ac:dyDescent="0.25"/>
    <row r="238227" s="12" customFormat="1" x14ac:dyDescent="0.25"/>
    <row r="238228" s="12" customFormat="1" x14ac:dyDescent="0.25"/>
    <row r="238229" s="12" customFormat="1" x14ac:dyDescent="0.25"/>
    <row r="238230" s="12" customFormat="1" x14ac:dyDescent="0.25"/>
    <row r="238231" s="12" customFormat="1" x14ac:dyDescent="0.25"/>
    <row r="238232" s="12" customFormat="1" x14ac:dyDescent="0.25"/>
    <row r="238233" s="12" customFormat="1" x14ac:dyDescent="0.25"/>
    <row r="238234" s="12" customFormat="1" x14ac:dyDescent="0.25"/>
    <row r="238235" s="12" customFormat="1" x14ac:dyDescent="0.25"/>
    <row r="238236" s="12" customFormat="1" x14ac:dyDescent="0.25"/>
    <row r="238237" s="12" customFormat="1" x14ac:dyDescent="0.25"/>
    <row r="238238" s="12" customFormat="1" x14ac:dyDescent="0.25"/>
    <row r="238239" s="12" customFormat="1" x14ac:dyDescent="0.25"/>
    <row r="238240" s="12" customFormat="1" x14ac:dyDescent="0.25"/>
    <row r="238241" s="12" customFormat="1" x14ac:dyDescent="0.25"/>
    <row r="238242" s="12" customFormat="1" x14ac:dyDescent="0.25"/>
    <row r="238243" s="12" customFormat="1" x14ac:dyDescent="0.25"/>
    <row r="238244" s="12" customFormat="1" x14ac:dyDescent="0.25"/>
    <row r="238245" s="12" customFormat="1" x14ac:dyDescent="0.25"/>
    <row r="238246" s="12" customFormat="1" x14ac:dyDescent="0.25"/>
    <row r="238247" s="12" customFormat="1" x14ac:dyDescent="0.25"/>
    <row r="238248" s="12" customFormat="1" x14ac:dyDescent="0.25"/>
    <row r="238249" s="12" customFormat="1" x14ac:dyDescent="0.25"/>
    <row r="238250" s="12" customFormat="1" x14ac:dyDescent="0.25"/>
    <row r="238251" s="12" customFormat="1" x14ac:dyDescent="0.25"/>
    <row r="238252" s="12" customFormat="1" x14ac:dyDescent="0.25"/>
    <row r="238253" s="12" customFormat="1" x14ac:dyDescent="0.25"/>
    <row r="238254" s="12" customFormat="1" x14ac:dyDescent="0.25"/>
    <row r="238255" s="12" customFormat="1" x14ac:dyDescent="0.25"/>
    <row r="238256" s="12" customFormat="1" x14ac:dyDescent="0.25"/>
    <row r="238257" s="12" customFormat="1" x14ac:dyDescent="0.25"/>
    <row r="238258" s="12" customFormat="1" x14ac:dyDescent="0.25"/>
    <row r="238259" s="12" customFormat="1" x14ac:dyDescent="0.25"/>
    <row r="238260" s="12" customFormat="1" x14ac:dyDescent="0.25"/>
    <row r="238261" s="12" customFormat="1" x14ac:dyDescent="0.25"/>
    <row r="238262" s="12" customFormat="1" x14ac:dyDescent="0.25"/>
    <row r="238263" s="12" customFormat="1" x14ac:dyDescent="0.25"/>
    <row r="238264" s="12" customFormat="1" x14ac:dyDescent="0.25"/>
    <row r="238265" s="12" customFormat="1" x14ac:dyDescent="0.25"/>
    <row r="238266" s="12" customFormat="1" x14ac:dyDescent="0.25"/>
    <row r="238267" s="12" customFormat="1" x14ac:dyDescent="0.25"/>
    <row r="238268" s="12" customFormat="1" x14ac:dyDescent="0.25"/>
    <row r="238269" s="12" customFormat="1" x14ac:dyDescent="0.25"/>
    <row r="238270" s="12" customFormat="1" x14ac:dyDescent="0.25"/>
    <row r="238271" s="12" customFormat="1" x14ac:dyDescent="0.25"/>
    <row r="238272" s="12" customFormat="1" x14ac:dyDescent="0.25"/>
    <row r="238273" s="12" customFormat="1" x14ac:dyDescent="0.25"/>
    <row r="238274" s="12" customFormat="1" x14ac:dyDescent="0.25"/>
    <row r="238275" s="12" customFormat="1" x14ac:dyDescent="0.25"/>
    <row r="238276" s="12" customFormat="1" x14ac:dyDescent="0.25"/>
    <row r="238277" s="12" customFormat="1" x14ac:dyDescent="0.25"/>
    <row r="238278" s="12" customFormat="1" x14ac:dyDescent="0.25"/>
    <row r="238279" s="12" customFormat="1" x14ac:dyDescent="0.25"/>
    <row r="238280" s="12" customFormat="1" x14ac:dyDescent="0.25"/>
    <row r="238281" s="12" customFormat="1" x14ac:dyDescent="0.25"/>
    <row r="238282" s="12" customFormat="1" x14ac:dyDescent="0.25"/>
    <row r="238283" s="12" customFormat="1" x14ac:dyDescent="0.25"/>
    <row r="238284" s="12" customFormat="1" x14ac:dyDescent="0.25"/>
    <row r="238285" s="12" customFormat="1" x14ac:dyDescent="0.25"/>
    <row r="238286" s="12" customFormat="1" x14ac:dyDescent="0.25"/>
    <row r="238287" s="12" customFormat="1" x14ac:dyDescent="0.25"/>
    <row r="238288" s="12" customFormat="1" x14ac:dyDescent="0.25"/>
    <row r="238289" s="12" customFormat="1" x14ac:dyDescent="0.25"/>
    <row r="238290" s="12" customFormat="1" x14ac:dyDescent="0.25"/>
    <row r="238291" s="12" customFormat="1" x14ac:dyDescent="0.25"/>
    <row r="238292" s="12" customFormat="1" x14ac:dyDescent="0.25"/>
    <row r="238293" s="12" customFormat="1" x14ac:dyDescent="0.25"/>
    <row r="238294" s="12" customFormat="1" x14ac:dyDescent="0.25"/>
    <row r="238295" s="12" customFormat="1" x14ac:dyDescent="0.25"/>
    <row r="238296" s="12" customFormat="1" x14ac:dyDescent="0.25"/>
    <row r="238297" s="12" customFormat="1" x14ac:dyDescent="0.25"/>
    <row r="238298" s="12" customFormat="1" x14ac:dyDescent="0.25"/>
    <row r="238299" s="12" customFormat="1" x14ac:dyDescent="0.25"/>
    <row r="238300" s="12" customFormat="1" x14ac:dyDescent="0.25"/>
    <row r="238301" s="12" customFormat="1" x14ac:dyDescent="0.25"/>
    <row r="238302" s="12" customFormat="1" x14ac:dyDescent="0.25"/>
    <row r="238303" s="12" customFormat="1" x14ac:dyDescent="0.25"/>
    <row r="238304" s="12" customFormat="1" x14ac:dyDescent="0.25"/>
    <row r="238305" s="12" customFormat="1" x14ac:dyDescent="0.25"/>
    <row r="238306" s="12" customFormat="1" x14ac:dyDescent="0.25"/>
    <row r="238307" s="12" customFormat="1" x14ac:dyDescent="0.25"/>
    <row r="238308" s="12" customFormat="1" x14ac:dyDescent="0.25"/>
    <row r="238309" s="12" customFormat="1" x14ac:dyDescent="0.25"/>
    <row r="238310" s="12" customFormat="1" x14ac:dyDescent="0.25"/>
    <row r="238311" s="12" customFormat="1" x14ac:dyDescent="0.25"/>
    <row r="238312" s="12" customFormat="1" x14ac:dyDescent="0.25"/>
    <row r="238313" s="12" customFormat="1" x14ac:dyDescent="0.25"/>
    <row r="238314" s="12" customFormat="1" x14ac:dyDescent="0.25"/>
    <row r="238315" s="12" customFormat="1" x14ac:dyDescent="0.25"/>
    <row r="238316" s="12" customFormat="1" x14ac:dyDescent="0.25"/>
    <row r="238317" s="12" customFormat="1" x14ac:dyDescent="0.25"/>
    <row r="238318" s="12" customFormat="1" x14ac:dyDescent="0.25"/>
    <row r="238319" s="12" customFormat="1" x14ac:dyDescent="0.25"/>
    <row r="238320" s="12" customFormat="1" x14ac:dyDescent="0.25"/>
    <row r="238321" s="12" customFormat="1" x14ac:dyDescent="0.25"/>
    <row r="238322" s="12" customFormat="1" x14ac:dyDescent="0.25"/>
    <row r="238323" s="12" customFormat="1" x14ac:dyDescent="0.25"/>
    <row r="238324" s="12" customFormat="1" x14ac:dyDescent="0.25"/>
    <row r="238325" s="12" customFormat="1" x14ac:dyDescent="0.25"/>
    <row r="238326" s="12" customFormat="1" x14ac:dyDescent="0.25"/>
    <row r="238327" s="12" customFormat="1" x14ac:dyDescent="0.25"/>
    <row r="238328" s="12" customFormat="1" x14ac:dyDescent="0.25"/>
    <row r="238329" s="12" customFormat="1" x14ac:dyDescent="0.25"/>
    <row r="238330" s="12" customFormat="1" x14ac:dyDescent="0.25"/>
    <row r="238331" s="12" customFormat="1" x14ac:dyDescent="0.25"/>
    <row r="238332" s="12" customFormat="1" x14ac:dyDescent="0.25"/>
    <row r="238333" s="12" customFormat="1" x14ac:dyDescent="0.25"/>
    <row r="238334" s="12" customFormat="1" x14ac:dyDescent="0.25"/>
    <row r="238335" s="12" customFormat="1" x14ac:dyDescent="0.25"/>
    <row r="238336" s="12" customFormat="1" x14ac:dyDescent="0.25"/>
    <row r="238337" s="12" customFormat="1" x14ac:dyDescent="0.25"/>
    <row r="238338" s="12" customFormat="1" x14ac:dyDescent="0.25"/>
    <row r="238339" s="12" customFormat="1" x14ac:dyDescent="0.25"/>
    <row r="238340" s="12" customFormat="1" x14ac:dyDescent="0.25"/>
    <row r="238341" s="12" customFormat="1" x14ac:dyDescent="0.25"/>
    <row r="238342" s="12" customFormat="1" x14ac:dyDescent="0.25"/>
    <row r="238343" s="12" customFormat="1" x14ac:dyDescent="0.25"/>
    <row r="238344" s="12" customFormat="1" x14ac:dyDescent="0.25"/>
    <row r="238345" s="12" customFormat="1" x14ac:dyDescent="0.25"/>
    <row r="238346" s="12" customFormat="1" x14ac:dyDescent="0.25"/>
    <row r="238347" s="12" customFormat="1" x14ac:dyDescent="0.25"/>
    <row r="238348" s="12" customFormat="1" x14ac:dyDescent="0.25"/>
    <row r="238349" s="12" customFormat="1" x14ac:dyDescent="0.25"/>
    <row r="238350" s="12" customFormat="1" x14ac:dyDescent="0.25"/>
    <row r="238351" s="12" customFormat="1" x14ac:dyDescent="0.25"/>
    <row r="238352" s="12" customFormat="1" x14ac:dyDescent="0.25"/>
    <row r="238353" s="12" customFormat="1" x14ac:dyDescent="0.25"/>
    <row r="238354" s="12" customFormat="1" x14ac:dyDescent="0.25"/>
    <row r="238355" s="12" customFormat="1" x14ac:dyDescent="0.25"/>
    <row r="238356" s="12" customFormat="1" x14ac:dyDescent="0.25"/>
    <row r="238357" s="12" customFormat="1" x14ac:dyDescent="0.25"/>
    <row r="238358" s="12" customFormat="1" x14ac:dyDescent="0.25"/>
    <row r="238359" s="12" customFormat="1" x14ac:dyDescent="0.25"/>
    <row r="238360" s="12" customFormat="1" x14ac:dyDescent="0.25"/>
    <row r="238361" s="12" customFormat="1" x14ac:dyDescent="0.25"/>
    <row r="238362" s="12" customFormat="1" x14ac:dyDescent="0.25"/>
    <row r="238363" s="12" customFormat="1" x14ac:dyDescent="0.25"/>
    <row r="238364" s="12" customFormat="1" x14ac:dyDescent="0.25"/>
    <row r="238365" s="12" customFormat="1" x14ac:dyDescent="0.25"/>
    <row r="238366" s="12" customFormat="1" x14ac:dyDescent="0.25"/>
    <row r="238367" s="12" customFormat="1" x14ac:dyDescent="0.25"/>
    <row r="238368" s="12" customFormat="1" x14ac:dyDescent="0.25"/>
    <row r="238369" s="12" customFormat="1" x14ac:dyDescent="0.25"/>
    <row r="238370" s="12" customFormat="1" x14ac:dyDescent="0.25"/>
    <row r="238371" s="12" customFormat="1" x14ac:dyDescent="0.25"/>
    <row r="238372" s="12" customFormat="1" x14ac:dyDescent="0.25"/>
    <row r="238373" s="12" customFormat="1" x14ac:dyDescent="0.25"/>
    <row r="238374" s="12" customFormat="1" x14ac:dyDescent="0.25"/>
    <row r="238375" s="12" customFormat="1" x14ac:dyDescent="0.25"/>
    <row r="238376" s="12" customFormat="1" x14ac:dyDescent="0.25"/>
    <row r="238377" s="12" customFormat="1" x14ac:dyDescent="0.25"/>
    <row r="238378" s="12" customFormat="1" x14ac:dyDescent="0.25"/>
    <row r="238379" s="12" customFormat="1" x14ac:dyDescent="0.25"/>
    <row r="238380" s="12" customFormat="1" x14ac:dyDescent="0.25"/>
    <row r="238381" s="12" customFormat="1" x14ac:dyDescent="0.25"/>
    <row r="238382" s="12" customFormat="1" x14ac:dyDescent="0.25"/>
    <row r="238383" s="12" customFormat="1" x14ac:dyDescent="0.25"/>
    <row r="238384" s="12" customFormat="1" x14ac:dyDescent="0.25"/>
    <row r="238385" s="12" customFormat="1" x14ac:dyDescent="0.25"/>
    <row r="238386" s="12" customFormat="1" x14ac:dyDescent="0.25"/>
    <row r="238387" s="12" customFormat="1" x14ac:dyDescent="0.25"/>
    <row r="238388" s="12" customFormat="1" x14ac:dyDescent="0.25"/>
    <row r="238389" s="12" customFormat="1" x14ac:dyDescent="0.25"/>
    <row r="238390" s="12" customFormat="1" x14ac:dyDescent="0.25"/>
    <row r="238391" s="12" customFormat="1" x14ac:dyDescent="0.25"/>
    <row r="238392" s="12" customFormat="1" x14ac:dyDescent="0.25"/>
    <row r="238393" s="12" customFormat="1" x14ac:dyDescent="0.25"/>
    <row r="238394" s="12" customFormat="1" x14ac:dyDescent="0.25"/>
    <row r="238395" s="12" customFormat="1" x14ac:dyDescent="0.25"/>
    <row r="238396" s="12" customFormat="1" x14ac:dyDescent="0.25"/>
    <row r="238397" s="12" customFormat="1" x14ac:dyDescent="0.25"/>
    <row r="238398" s="12" customFormat="1" x14ac:dyDescent="0.25"/>
    <row r="238399" s="12" customFormat="1" x14ac:dyDescent="0.25"/>
    <row r="238400" s="12" customFormat="1" x14ac:dyDescent="0.25"/>
    <row r="238401" s="12" customFormat="1" x14ac:dyDescent="0.25"/>
    <row r="238402" s="12" customFormat="1" x14ac:dyDescent="0.25"/>
    <row r="238403" s="12" customFormat="1" x14ac:dyDescent="0.25"/>
    <row r="238404" s="12" customFormat="1" x14ac:dyDescent="0.25"/>
    <row r="238405" s="12" customFormat="1" x14ac:dyDescent="0.25"/>
    <row r="238406" s="12" customFormat="1" x14ac:dyDescent="0.25"/>
    <row r="238407" s="12" customFormat="1" x14ac:dyDescent="0.25"/>
    <row r="238408" s="12" customFormat="1" x14ac:dyDescent="0.25"/>
    <row r="238409" s="12" customFormat="1" x14ac:dyDescent="0.25"/>
    <row r="238410" s="12" customFormat="1" x14ac:dyDescent="0.25"/>
    <row r="238411" s="12" customFormat="1" x14ac:dyDescent="0.25"/>
    <row r="238412" s="12" customFormat="1" x14ac:dyDescent="0.25"/>
    <row r="238413" s="12" customFormat="1" x14ac:dyDescent="0.25"/>
    <row r="238414" s="12" customFormat="1" x14ac:dyDescent="0.25"/>
    <row r="238415" s="12" customFormat="1" x14ac:dyDescent="0.25"/>
    <row r="238416" s="12" customFormat="1" x14ac:dyDescent="0.25"/>
    <row r="238417" s="12" customFormat="1" x14ac:dyDescent="0.25"/>
    <row r="238418" s="12" customFormat="1" x14ac:dyDescent="0.25"/>
    <row r="238419" s="12" customFormat="1" x14ac:dyDescent="0.25"/>
    <row r="238420" s="12" customFormat="1" x14ac:dyDescent="0.25"/>
    <row r="238421" s="12" customFormat="1" x14ac:dyDescent="0.25"/>
    <row r="238422" s="12" customFormat="1" x14ac:dyDescent="0.25"/>
    <row r="238423" s="12" customFormat="1" x14ac:dyDescent="0.25"/>
    <row r="238424" s="12" customFormat="1" x14ac:dyDescent="0.25"/>
    <row r="238425" s="12" customFormat="1" x14ac:dyDescent="0.25"/>
    <row r="238426" s="12" customFormat="1" x14ac:dyDescent="0.25"/>
    <row r="238427" s="12" customFormat="1" x14ac:dyDescent="0.25"/>
    <row r="238428" s="12" customFormat="1" x14ac:dyDescent="0.25"/>
    <row r="238429" s="12" customFormat="1" x14ac:dyDescent="0.25"/>
    <row r="238430" s="12" customFormat="1" x14ac:dyDescent="0.25"/>
    <row r="238431" s="12" customFormat="1" x14ac:dyDescent="0.25"/>
    <row r="238432" s="12" customFormat="1" x14ac:dyDescent="0.25"/>
    <row r="238433" s="12" customFormat="1" x14ac:dyDescent="0.25"/>
    <row r="238434" s="12" customFormat="1" x14ac:dyDescent="0.25"/>
    <row r="238435" s="12" customFormat="1" x14ac:dyDescent="0.25"/>
    <row r="238436" s="12" customFormat="1" x14ac:dyDescent="0.25"/>
    <row r="238437" s="12" customFormat="1" x14ac:dyDescent="0.25"/>
    <row r="238438" s="12" customFormat="1" x14ac:dyDescent="0.25"/>
    <row r="238439" s="12" customFormat="1" x14ac:dyDescent="0.25"/>
    <row r="238440" s="12" customFormat="1" x14ac:dyDescent="0.25"/>
    <row r="238441" s="12" customFormat="1" x14ac:dyDescent="0.25"/>
    <row r="238442" s="12" customFormat="1" x14ac:dyDescent="0.25"/>
    <row r="238443" s="12" customFormat="1" x14ac:dyDescent="0.25"/>
    <row r="238444" s="12" customFormat="1" x14ac:dyDescent="0.25"/>
    <row r="238445" s="12" customFormat="1" x14ac:dyDescent="0.25"/>
    <row r="238446" s="12" customFormat="1" x14ac:dyDescent="0.25"/>
    <row r="238447" s="12" customFormat="1" x14ac:dyDescent="0.25"/>
    <row r="238448" s="12" customFormat="1" x14ac:dyDescent="0.25"/>
    <row r="238449" s="12" customFormat="1" x14ac:dyDescent="0.25"/>
    <row r="238450" s="12" customFormat="1" x14ac:dyDescent="0.25"/>
    <row r="238451" s="12" customFormat="1" x14ac:dyDescent="0.25"/>
    <row r="238452" s="12" customFormat="1" x14ac:dyDescent="0.25"/>
    <row r="238453" s="12" customFormat="1" x14ac:dyDescent="0.25"/>
    <row r="238454" s="12" customFormat="1" x14ac:dyDescent="0.25"/>
    <row r="238455" s="12" customFormat="1" x14ac:dyDescent="0.25"/>
    <row r="238456" s="12" customFormat="1" x14ac:dyDescent="0.25"/>
    <row r="238457" s="12" customFormat="1" x14ac:dyDescent="0.25"/>
    <row r="238458" s="12" customFormat="1" x14ac:dyDescent="0.25"/>
    <row r="238459" s="12" customFormat="1" x14ac:dyDescent="0.25"/>
    <row r="238460" s="12" customFormat="1" x14ac:dyDescent="0.25"/>
    <row r="238461" s="12" customFormat="1" x14ac:dyDescent="0.25"/>
    <row r="238462" s="12" customFormat="1" x14ac:dyDescent="0.25"/>
    <row r="238463" s="12" customFormat="1" x14ac:dyDescent="0.25"/>
    <row r="238464" s="12" customFormat="1" x14ac:dyDescent="0.25"/>
    <row r="238465" s="12" customFormat="1" x14ac:dyDescent="0.25"/>
    <row r="238466" s="12" customFormat="1" x14ac:dyDescent="0.25"/>
    <row r="238467" s="12" customFormat="1" x14ac:dyDescent="0.25"/>
    <row r="238468" s="12" customFormat="1" x14ac:dyDescent="0.25"/>
    <row r="238469" s="12" customFormat="1" x14ac:dyDescent="0.25"/>
    <row r="238470" s="12" customFormat="1" x14ac:dyDescent="0.25"/>
    <row r="238471" s="12" customFormat="1" x14ac:dyDescent="0.25"/>
    <row r="238472" s="12" customFormat="1" x14ac:dyDescent="0.25"/>
    <row r="238473" s="12" customFormat="1" x14ac:dyDescent="0.25"/>
    <row r="238474" s="12" customFormat="1" x14ac:dyDescent="0.25"/>
    <row r="238475" s="12" customFormat="1" x14ac:dyDescent="0.25"/>
    <row r="238476" s="12" customFormat="1" x14ac:dyDescent="0.25"/>
    <row r="238477" s="12" customFormat="1" x14ac:dyDescent="0.25"/>
    <row r="238478" s="12" customFormat="1" x14ac:dyDescent="0.25"/>
    <row r="238479" s="12" customFormat="1" x14ac:dyDescent="0.25"/>
    <row r="238480" s="12" customFormat="1" x14ac:dyDescent="0.25"/>
    <row r="238481" s="12" customFormat="1" x14ac:dyDescent="0.25"/>
    <row r="238482" s="12" customFormat="1" x14ac:dyDescent="0.25"/>
    <row r="238483" s="12" customFormat="1" x14ac:dyDescent="0.25"/>
    <row r="238484" s="12" customFormat="1" x14ac:dyDescent="0.25"/>
    <row r="238485" s="12" customFormat="1" x14ac:dyDescent="0.25"/>
    <row r="238486" s="12" customFormat="1" x14ac:dyDescent="0.25"/>
    <row r="238487" s="12" customFormat="1" x14ac:dyDescent="0.25"/>
    <row r="238488" s="12" customFormat="1" x14ac:dyDescent="0.25"/>
    <row r="238489" s="12" customFormat="1" x14ac:dyDescent="0.25"/>
    <row r="238490" s="12" customFormat="1" x14ac:dyDescent="0.25"/>
    <row r="238491" s="12" customFormat="1" x14ac:dyDescent="0.25"/>
    <row r="238492" s="12" customFormat="1" x14ac:dyDescent="0.25"/>
    <row r="238493" s="12" customFormat="1" x14ac:dyDescent="0.25"/>
    <row r="238494" s="12" customFormat="1" x14ac:dyDescent="0.25"/>
    <row r="238495" s="12" customFormat="1" x14ac:dyDescent="0.25"/>
    <row r="238496" s="12" customFormat="1" x14ac:dyDescent="0.25"/>
    <row r="238497" s="12" customFormat="1" x14ac:dyDescent="0.25"/>
    <row r="238498" s="12" customFormat="1" x14ac:dyDescent="0.25"/>
    <row r="238499" s="12" customFormat="1" x14ac:dyDescent="0.25"/>
    <row r="238500" s="12" customFormat="1" x14ac:dyDescent="0.25"/>
    <row r="238501" s="12" customFormat="1" x14ac:dyDescent="0.25"/>
    <row r="238502" s="12" customFormat="1" x14ac:dyDescent="0.25"/>
    <row r="238503" s="12" customFormat="1" x14ac:dyDescent="0.25"/>
    <row r="238504" s="12" customFormat="1" x14ac:dyDescent="0.25"/>
    <row r="238505" s="12" customFormat="1" x14ac:dyDescent="0.25"/>
    <row r="238506" s="12" customFormat="1" x14ac:dyDescent="0.25"/>
    <row r="238507" s="12" customFormat="1" x14ac:dyDescent="0.25"/>
    <row r="238508" s="12" customFormat="1" x14ac:dyDescent="0.25"/>
    <row r="238509" s="12" customFormat="1" x14ac:dyDescent="0.25"/>
    <row r="238510" s="12" customFormat="1" x14ac:dyDescent="0.25"/>
    <row r="238511" s="12" customFormat="1" x14ac:dyDescent="0.25"/>
    <row r="238512" s="12" customFormat="1" x14ac:dyDescent="0.25"/>
    <row r="238513" s="12" customFormat="1" x14ac:dyDescent="0.25"/>
    <row r="238514" s="12" customFormat="1" x14ac:dyDescent="0.25"/>
    <row r="238515" s="12" customFormat="1" x14ac:dyDescent="0.25"/>
    <row r="238516" s="12" customFormat="1" x14ac:dyDescent="0.25"/>
    <row r="238517" s="12" customFormat="1" x14ac:dyDescent="0.25"/>
    <row r="238518" s="12" customFormat="1" x14ac:dyDescent="0.25"/>
    <row r="238519" s="12" customFormat="1" x14ac:dyDescent="0.25"/>
    <row r="238520" s="12" customFormat="1" x14ac:dyDescent="0.25"/>
    <row r="238521" s="12" customFormat="1" x14ac:dyDescent="0.25"/>
    <row r="238522" s="12" customFormat="1" x14ac:dyDescent="0.25"/>
    <row r="238523" s="12" customFormat="1" x14ac:dyDescent="0.25"/>
    <row r="238524" s="12" customFormat="1" x14ac:dyDescent="0.25"/>
    <row r="238525" s="12" customFormat="1" x14ac:dyDescent="0.25"/>
    <row r="238526" s="12" customFormat="1" x14ac:dyDescent="0.25"/>
    <row r="238527" s="12" customFormat="1" x14ac:dyDescent="0.25"/>
    <row r="238528" s="12" customFormat="1" x14ac:dyDescent="0.25"/>
    <row r="238529" s="12" customFormat="1" x14ac:dyDescent="0.25"/>
    <row r="238530" s="12" customFormat="1" x14ac:dyDescent="0.25"/>
    <row r="238531" s="12" customFormat="1" x14ac:dyDescent="0.25"/>
    <row r="238532" s="12" customFormat="1" x14ac:dyDescent="0.25"/>
    <row r="238533" s="12" customFormat="1" x14ac:dyDescent="0.25"/>
    <row r="238534" s="12" customFormat="1" x14ac:dyDescent="0.25"/>
    <row r="238535" s="12" customFormat="1" x14ac:dyDescent="0.25"/>
    <row r="238536" s="12" customFormat="1" x14ac:dyDescent="0.25"/>
    <row r="238537" s="12" customFormat="1" x14ac:dyDescent="0.25"/>
    <row r="238538" s="12" customFormat="1" x14ac:dyDescent="0.25"/>
    <row r="238539" s="12" customFormat="1" x14ac:dyDescent="0.25"/>
    <row r="238540" s="12" customFormat="1" x14ac:dyDescent="0.25"/>
    <row r="238541" s="12" customFormat="1" x14ac:dyDescent="0.25"/>
    <row r="238542" s="12" customFormat="1" x14ac:dyDescent="0.25"/>
    <row r="238543" s="12" customFormat="1" x14ac:dyDescent="0.25"/>
    <row r="238544" s="12" customFormat="1" x14ac:dyDescent="0.25"/>
    <row r="238545" s="12" customFormat="1" x14ac:dyDescent="0.25"/>
    <row r="238546" s="12" customFormat="1" x14ac:dyDescent="0.25"/>
    <row r="238547" s="12" customFormat="1" x14ac:dyDescent="0.25"/>
    <row r="238548" s="12" customFormat="1" x14ac:dyDescent="0.25"/>
    <row r="238549" s="12" customFormat="1" x14ac:dyDescent="0.25"/>
    <row r="238550" s="12" customFormat="1" x14ac:dyDescent="0.25"/>
    <row r="238551" s="12" customFormat="1" x14ac:dyDescent="0.25"/>
    <row r="238552" s="12" customFormat="1" x14ac:dyDescent="0.25"/>
    <row r="238553" s="12" customFormat="1" x14ac:dyDescent="0.25"/>
    <row r="238554" s="12" customFormat="1" x14ac:dyDescent="0.25"/>
    <row r="238555" s="12" customFormat="1" x14ac:dyDescent="0.25"/>
    <row r="238556" s="12" customFormat="1" x14ac:dyDescent="0.25"/>
    <row r="238557" s="12" customFormat="1" x14ac:dyDescent="0.25"/>
    <row r="238558" s="12" customFormat="1" x14ac:dyDescent="0.25"/>
    <row r="238559" s="12" customFormat="1" x14ac:dyDescent="0.25"/>
    <row r="238560" s="12" customFormat="1" x14ac:dyDescent="0.25"/>
    <row r="238561" s="12" customFormat="1" x14ac:dyDescent="0.25"/>
    <row r="238562" s="12" customFormat="1" x14ac:dyDescent="0.25"/>
    <row r="238563" s="12" customFormat="1" x14ac:dyDescent="0.25"/>
    <row r="238564" s="12" customFormat="1" x14ac:dyDescent="0.25"/>
    <row r="238565" s="12" customFormat="1" x14ac:dyDescent="0.25"/>
    <row r="238566" s="12" customFormat="1" x14ac:dyDescent="0.25"/>
    <row r="238567" s="12" customFormat="1" x14ac:dyDescent="0.25"/>
    <row r="238568" s="12" customFormat="1" x14ac:dyDescent="0.25"/>
    <row r="238569" s="12" customFormat="1" x14ac:dyDescent="0.25"/>
    <row r="238570" s="12" customFormat="1" x14ac:dyDescent="0.25"/>
    <row r="238571" s="12" customFormat="1" x14ac:dyDescent="0.25"/>
    <row r="238572" s="12" customFormat="1" x14ac:dyDescent="0.25"/>
    <row r="238573" s="12" customFormat="1" x14ac:dyDescent="0.25"/>
    <row r="238574" s="12" customFormat="1" x14ac:dyDescent="0.25"/>
    <row r="238575" s="12" customFormat="1" x14ac:dyDescent="0.25"/>
    <row r="238576" s="12" customFormat="1" x14ac:dyDescent="0.25"/>
    <row r="238577" s="12" customFormat="1" x14ac:dyDescent="0.25"/>
    <row r="238578" s="12" customFormat="1" x14ac:dyDescent="0.25"/>
    <row r="238579" s="12" customFormat="1" x14ac:dyDescent="0.25"/>
    <row r="238580" s="12" customFormat="1" x14ac:dyDescent="0.25"/>
    <row r="238581" s="12" customFormat="1" x14ac:dyDescent="0.25"/>
    <row r="238582" s="12" customFormat="1" x14ac:dyDescent="0.25"/>
    <row r="238583" s="12" customFormat="1" x14ac:dyDescent="0.25"/>
    <row r="238584" s="12" customFormat="1" x14ac:dyDescent="0.25"/>
    <row r="238585" s="12" customFormat="1" x14ac:dyDescent="0.25"/>
    <row r="238586" s="12" customFormat="1" x14ac:dyDescent="0.25"/>
    <row r="238587" s="12" customFormat="1" x14ac:dyDescent="0.25"/>
    <row r="238588" s="12" customFormat="1" x14ac:dyDescent="0.25"/>
    <row r="238589" s="12" customFormat="1" x14ac:dyDescent="0.25"/>
    <row r="238590" s="12" customFormat="1" x14ac:dyDescent="0.25"/>
    <row r="238591" s="12" customFormat="1" x14ac:dyDescent="0.25"/>
    <row r="238592" s="12" customFormat="1" x14ac:dyDescent="0.25"/>
    <row r="238593" s="12" customFormat="1" x14ac:dyDescent="0.25"/>
    <row r="238594" s="12" customFormat="1" x14ac:dyDescent="0.25"/>
    <row r="238595" s="12" customFormat="1" x14ac:dyDescent="0.25"/>
    <row r="238596" s="12" customFormat="1" x14ac:dyDescent="0.25"/>
    <row r="238597" s="12" customFormat="1" x14ac:dyDescent="0.25"/>
    <row r="238598" s="12" customFormat="1" x14ac:dyDescent="0.25"/>
    <row r="238599" s="12" customFormat="1" x14ac:dyDescent="0.25"/>
    <row r="238600" s="12" customFormat="1" x14ac:dyDescent="0.25"/>
    <row r="238601" s="12" customFormat="1" x14ac:dyDescent="0.25"/>
    <row r="238602" s="12" customFormat="1" x14ac:dyDescent="0.25"/>
    <row r="238603" s="12" customFormat="1" x14ac:dyDescent="0.25"/>
    <row r="238604" s="12" customFormat="1" x14ac:dyDescent="0.25"/>
    <row r="238605" s="12" customFormat="1" x14ac:dyDescent="0.25"/>
    <row r="238606" s="12" customFormat="1" x14ac:dyDescent="0.25"/>
    <row r="238607" s="12" customFormat="1" x14ac:dyDescent="0.25"/>
    <row r="238608" s="12" customFormat="1" x14ac:dyDescent="0.25"/>
    <row r="238609" s="12" customFormat="1" x14ac:dyDescent="0.25"/>
    <row r="238610" s="12" customFormat="1" x14ac:dyDescent="0.25"/>
    <row r="238611" s="12" customFormat="1" x14ac:dyDescent="0.25"/>
    <row r="238612" s="12" customFormat="1" x14ac:dyDescent="0.25"/>
    <row r="238613" s="12" customFormat="1" x14ac:dyDescent="0.25"/>
    <row r="238614" s="12" customFormat="1" x14ac:dyDescent="0.25"/>
    <row r="238615" s="12" customFormat="1" x14ac:dyDescent="0.25"/>
    <row r="238616" s="12" customFormat="1" x14ac:dyDescent="0.25"/>
    <row r="238617" s="12" customFormat="1" x14ac:dyDescent="0.25"/>
    <row r="238618" s="12" customFormat="1" x14ac:dyDescent="0.25"/>
    <row r="238619" s="12" customFormat="1" x14ac:dyDescent="0.25"/>
    <row r="238620" s="12" customFormat="1" x14ac:dyDescent="0.25"/>
    <row r="238621" s="12" customFormat="1" x14ac:dyDescent="0.25"/>
    <row r="238622" s="12" customFormat="1" x14ac:dyDescent="0.25"/>
    <row r="238623" s="12" customFormat="1" x14ac:dyDescent="0.25"/>
    <row r="238624" s="12" customFormat="1" x14ac:dyDescent="0.25"/>
    <row r="238625" s="12" customFormat="1" x14ac:dyDescent="0.25"/>
    <row r="238626" s="12" customFormat="1" x14ac:dyDescent="0.25"/>
    <row r="238627" s="12" customFormat="1" x14ac:dyDescent="0.25"/>
    <row r="238628" s="12" customFormat="1" x14ac:dyDescent="0.25"/>
    <row r="238629" s="12" customFormat="1" x14ac:dyDescent="0.25"/>
    <row r="238630" s="12" customFormat="1" x14ac:dyDescent="0.25"/>
    <row r="238631" s="12" customFormat="1" x14ac:dyDescent="0.25"/>
    <row r="238632" s="12" customFormat="1" x14ac:dyDescent="0.25"/>
    <row r="238633" s="12" customFormat="1" x14ac:dyDescent="0.25"/>
    <row r="238634" s="12" customFormat="1" x14ac:dyDescent="0.25"/>
    <row r="238635" s="12" customFormat="1" x14ac:dyDescent="0.25"/>
    <row r="238636" s="12" customFormat="1" x14ac:dyDescent="0.25"/>
    <row r="238637" s="12" customFormat="1" x14ac:dyDescent="0.25"/>
    <row r="238638" s="12" customFormat="1" x14ac:dyDescent="0.25"/>
    <row r="238639" s="12" customFormat="1" x14ac:dyDescent="0.25"/>
    <row r="238640" s="12" customFormat="1" x14ac:dyDescent="0.25"/>
    <row r="238641" s="12" customFormat="1" x14ac:dyDescent="0.25"/>
    <row r="238642" s="12" customFormat="1" x14ac:dyDescent="0.25"/>
    <row r="238643" s="12" customFormat="1" x14ac:dyDescent="0.25"/>
    <row r="238644" s="12" customFormat="1" x14ac:dyDescent="0.25"/>
    <row r="238645" s="12" customFormat="1" x14ac:dyDescent="0.25"/>
    <row r="238646" s="12" customFormat="1" x14ac:dyDescent="0.25"/>
    <row r="238647" s="12" customFormat="1" x14ac:dyDescent="0.25"/>
    <row r="238648" s="12" customFormat="1" x14ac:dyDescent="0.25"/>
    <row r="238649" s="12" customFormat="1" x14ac:dyDescent="0.25"/>
    <row r="238650" s="12" customFormat="1" x14ac:dyDescent="0.25"/>
    <row r="238651" s="12" customFormat="1" x14ac:dyDescent="0.25"/>
    <row r="238652" s="12" customFormat="1" x14ac:dyDescent="0.25"/>
    <row r="238653" s="12" customFormat="1" x14ac:dyDescent="0.25"/>
    <row r="238654" s="12" customFormat="1" x14ac:dyDescent="0.25"/>
    <row r="238655" s="12" customFormat="1" x14ac:dyDescent="0.25"/>
    <row r="238656" s="12" customFormat="1" x14ac:dyDescent="0.25"/>
    <row r="238657" s="12" customFormat="1" x14ac:dyDescent="0.25"/>
    <row r="238658" s="12" customFormat="1" x14ac:dyDescent="0.25"/>
    <row r="238659" s="12" customFormat="1" x14ac:dyDescent="0.25"/>
    <row r="238660" s="12" customFormat="1" x14ac:dyDescent="0.25"/>
    <row r="238661" s="12" customFormat="1" x14ac:dyDescent="0.25"/>
    <row r="238662" s="12" customFormat="1" x14ac:dyDescent="0.25"/>
    <row r="238663" s="12" customFormat="1" x14ac:dyDescent="0.25"/>
    <row r="238664" s="12" customFormat="1" x14ac:dyDescent="0.25"/>
    <row r="238665" s="12" customFormat="1" x14ac:dyDescent="0.25"/>
    <row r="238666" s="12" customFormat="1" x14ac:dyDescent="0.25"/>
    <row r="238667" s="12" customFormat="1" x14ac:dyDescent="0.25"/>
    <row r="238668" s="12" customFormat="1" x14ac:dyDescent="0.25"/>
    <row r="238669" s="12" customFormat="1" x14ac:dyDescent="0.25"/>
    <row r="238670" s="12" customFormat="1" x14ac:dyDescent="0.25"/>
    <row r="238671" s="12" customFormat="1" x14ac:dyDescent="0.25"/>
    <row r="238672" s="12" customFormat="1" x14ac:dyDescent="0.25"/>
    <row r="238673" s="12" customFormat="1" x14ac:dyDescent="0.25"/>
    <row r="238674" s="12" customFormat="1" x14ac:dyDescent="0.25"/>
    <row r="238675" s="12" customFormat="1" x14ac:dyDescent="0.25"/>
    <row r="238676" s="12" customFormat="1" x14ac:dyDescent="0.25"/>
    <row r="238677" s="12" customFormat="1" x14ac:dyDescent="0.25"/>
    <row r="238678" s="12" customFormat="1" x14ac:dyDescent="0.25"/>
    <row r="238679" s="12" customFormat="1" x14ac:dyDescent="0.25"/>
    <row r="238680" s="12" customFormat="1" x14ac:dyDescent="0.25"/>
    <row r="238681" s="12" customFormat="1" x14ac:dyDescent="0.25"/>
    <row r="238682" s="12" customFormat="1" x14ac:dyDescent="0.25"/>
    <row r="238683" s="12" customFormat="1" x14ac:dyDescent="0.25"/>
    <row r="238684" s="12" customFormat="1" x14ac:dyDescent="0.25"/>
    <row r="238685" s="12" customFormat="1" x14ac:dyDescent="0.25"/>
    <row r="238686" s="12" customFormat="1" x14ac:dyDescent="0.25"/>
    <row r="238687" s="12" customFormat="1" x14ac:dyDescent="0.25"/>
    <row r="238688" s="12" customFormat="1" x14ac:dyDescent="0.25"/>
    <row r="238689" s="12" customFormat="1" x14ac:dyDescent="0.25"/>
    <row r="238690" s="12" customFormat="1" x14ac:dyDescent="0.25"/>
    <row r="238691" s="12" customFormat="1" x14ac:dyDescent="0.25"/>
    <row r="238692" s="12" customFormat="1" x14ac:dyDescent="0.25"/>
    <row r="238693" s="12" customFormat="1" x14ac:dyDescent="0.25"/>
    <row r="238694" s="12" customFormat="1" x14ac:dyDescent="0.25"/>
    <row r="238695" s="12" customFormat="1" x14ac:dyDescent="0.25"/>
    <row r="238696" s="12" customFormat="1" x14ac:dyDescent="0.25"/>
    <row r="238697" s="12" customFormat="1" x14ac:dyDescent="0.25"/>
    <row r="238698" s="12" customFormat="1" x14ac:dyDescent="0.25"/>
    <row r="238699" s="12" customFormat="1" x14ac:dyDescent="0.25"/>
    <row r="238700" s="12" customFormat="1" x14ac:dyDescent="0.25"/>
    <row r="238701" s="12" customFormat="1" x14ac:dyDescent="0.25"/>
    <row r="238702" s="12" customFormat="1" x14ac:dyDescent="0.25"/>
    <row r="238703" s="12" customFormat="1" x14ac:dyDescent="0.25"/>
    <row r="238704" s="12" customFormat="1" x14ac:dyDescent="0.25"/>
    <row r="238705" s="12" customFormat="1" x14ac:dyDescent="0.25"/>
    <row r="238706" s="12" customFormat="1" x14ac:dyDescent="0.25"/>
    <row r="238707" s="12" customFormat="1" x14ac:dyDescent="0.25"/>
    <row r="238708" s="12" customFormat="1" x14ac:dyDescent="0.25"/>
    <row r="238709" s="12" customFormat="1" x14ac:dyDescent="0.25"/>
    <row r="238710" s="12" customFormat="1" x14ac:dyDescent="0.25"/>
    <row r="238711" s="12" customFormat="1" x14ac:dyDescent="0.25"/>
    <row r="238712" s="12" customFormat="1" x14ac:dyDescent="0.25"/>
    <row r="238713" s="12" customFormat="1" x14ac:dyDescent="0.25"/>
    <row r="238714" s="12" customFormat="1" x14ac:dyDescent="0.25"/>
    <row r="238715" s="12" customFormat="1" x14ac:dyDescent="0.25"/>
    <row r="238716" s="12" customFormat="1" x14ac:dyDescent="0.25"/>
    <row r="238717" s="12" customFormat="1" x14ac:dyDescent="0.25"/>
    <row r="238718" s="12" customFormat="1" x14ac:dyDescent="0.25"/>
    <row r="238719" s="12" customFormat="1" x14ac:dyDescent="0.25"/>
    <row r="238720" s="12" customFormat="1" x14ac:dyDescent="0.25"/>
    <row r="238721" s="12" customFormat="1" x14ac:dyDescent="0.25"/>
    <row r="238722" s="12" customFormat="1" x14ac:dyDescent="0.25"/>
    <row r="238723" s="12" customFormat="1" x14ac:dyDescent="0.25"/>
    <row r="238724" s="12" customFormat="1" x14ac:dyDescent="0.25"/>
    <row r="238725" s="12" customFormat="1" x14ac:dyDescent="0.25"/>
    <row r="238726" s="12" customFormat="1" x14ac:dyDescent="0.25"/>
    <row r="238727" s="12" customFormat="1" x14ac:dyDescent="0.25"/>
    <row r="238728" s="12" customFormat="1" x14ac:dyDescent="0.25"/>
    <row r="238729" s="12" customFormat="1" x14ac:dyDescent="0.25"/>
    <row r="238730" s="12" customFormat="1" x14ac:dyDescent="0.25"/>
    <row r="238731" s="12" customFormat="1" x14ac:dyDescent="0.25"/>
    <row r="238732" s="12" customFormat="1" x14ac:dyDescent="0.25"/>
    <row r="238733" s="12" customFormat="1" x14ac:dyDescent="0.25"/>
    <row r="238734" s="12" customFormat="1" x14ac:dyDescent="0.25"/>
    <row r="238735" s="12" customFormat="1" x14ac:dyDescent="0.25"/>
    <row r="238736" s="12" customFormat="1" x14ac:dyDescent="0.25"/>
    <row r="238737" s="12" customFormat="1" x14ac:dyDescent="0.25"/>
    <row r="238738" s="12" customFormat="1" x14ac:dyDescent="0.25"/>
    <row r="238739" s="12" customFormat="1" x14ac:dyDescent="0.25"/>
    <row r="238740" s="12" customFormat="1" x14ac:dyDescent="0.25"/>
    <row r="238741" s="12" customFormat="1" x14ac:dyDescent="0.25"/>
    <row r="238742" s="12" customFormat="1" x14ac:dyDescent="0.25"/>
    <row r="238743" s="12" customFormat="1" x14ac:dyDescent="0.25"/>
    <row r="238744" s="12" customFormat="1" x14ac:dyDescent="0.25"/>
    <row r="238745" s="12" customFormat="1" x14ac:dyDescent="0.25"/>
    <row r="238746" s="12" customFormat="1" x14ac:dyDescent="0.25"/>
    <row r="238747" s="12" customFormat="1" x14ac:dyDescent="0.25"/>
    <row r="238748" s="12" customFormat="1" x14ac:dyDescent="0.25"/>
    <row r="238749" s="12" customFormat="1" x14ac:dyDescent="0.25"/>
    <row r="238750" s="12" customFormat="1" x14ac:dyDescent="0.25"/>
    <row r="238751" s="12" customFormat="1" x14ac:dyDescent="0.25"/>
    <row r="238752" s="12" customFormat="1" x14ac:dyDescent="0.25"/>
    <row r="238753" s="12" customFormat="1" x14ac:dyDescent="0.25"/>
    <row r="238754" s="12" customFormat="1" x14ac:dyDescent="0.25"/>
    <row r="238755" s="12" customFormat="1" x14ac:dyDescent="0.25"/>
    <row r="238756" s="12" customFormat="1" x14ac:dyDescent="0.25"/>
    <row r="238757" s="12" customFormat="1" x14ac:dyDescent="0.25"/>
    <row r="238758" s="12" customFormat="1" x14ac:dyDescent="0.25"/>
    <row r="238759" s="12" customFormat="1" x14ac:dyDescent="0.25"/>
    <row r="238760" s="12" customFormat="1" x14ac:dyDescent="0.25"/>
    <row r="238761" s="12" customFormat="1" x14ac:dyDescent="0.25"/>
    <row r="238762" s="12" customFormat="1" x14ac:dyDescent="0.25"/>
    <row r="238763" s="12" customFormat="1" x14ac:dyDescent="0.25"/>
    <row r="238764" s="12" customFormat="1" x14ac:dyDescent="0.25"/>
    <row r="238765" s="12" customFormat="1" x14ac:dyDescent="0.25"/>
    <row r="238766" s="12" customFormat="1" x14ac:dyDescent="0.25"/>
    <row r="238767" s="12" customFormat="1" x14ac:dyDescent="0.25"/>
    <row r="238768" s="12" customFormat="1" x14ac:dyDescent="0.25"/>
    <row r="238769" s="12" customFormat="1" x14ac:dyDescent="0.25"/>
    <row r="238770" s="12" customFormat="1" x14ac:dyDescent="0.25"/>
    <row r="238771" s="12" customFormat="1" x14ac:dyDescent="0.25"/>
    <row r="238772" s="12" customFormat="1" x14ac:dyDescent="0.25"/>
    <row r="238773" s="12" customFormat="1" x14ac:dyDescent="0.25"/>
    <row r="238774" s="12" customFormat="1" x14ac:dyDescent="0.25"/>
    <row r="238775" s="12" customFormat="1" x14ac:dyDescent="0.25"/>
    <row r="238776" s="12" customFormat="1" x14ac:dyDescent="0.25"/>
    <row r="238777" s="12" customFormat="1" x14ac:dyDescent="0.25"/>
    <row r="238778" s="12" customFormat="1" x14ac:dyDescent="0.25"/>
    <row r="238779" s="12" customFormat="1" x14ac:dyDescent="0.25"/>
    <row r="238780" s="12" customFormat="1" x14ac:dyDescent="0.25"/>
    <row r="238781" s="12" customFormat="1" x14ac:dyDescent="0.25"/>
    <row r="238782" s="12" customFormat="1" x14ac:dyDescent="0.25"/>
    <row r="238783" s="12" customFormat="1" x14ac:dyDescent="0.25"/>
    <row r="238784" s="12" customFormat="1" x14ac:dyDescent="0.25"/>
    <row r="238785" s="12" customFormat="1" x14ac:dyDescent="0.25"/>
    <row r="238786" s="12" customFormat="1" x14ac:dyDescent="0.25"/>
    <row r="238787" s="12" customFormat="1" x14ac:dyDescent="0.25"/>
    <row r="238788" s="12" customFormat="1" x14ac:dyDescent="0.25"/>
    <row r="238789" s="12" customFormat="1" x14ac:dyDescent="0.25"/>
    <row r="238790" s="12" customFormat="1" x14ac:dyDescent="0.25"/>
    <row r="238791" s="12" customFormat="1" x14ac:dyDescent="0.25"/>
    <row r="238792" s="12" customFormat="1" x14ac:dyDescent="0.25"/>
    <row r="238793" s="12" customFormat="1" x14ac:dyDescent="0.25"/>
    <row r="238794" s="12" customFormat="1" x14ac:dyDescent="0.25"/>
    <row r="238795" s="12" customFormat="1" x14ac:dyDescent="0.25"/>
    <row r="238796" s="12" customFormat="1" x14ac:dyDescent="0.25"/>
    <row r="238797" s="12" customFormat="1" x14ac:dyDescent="0.25"/>
    <row r="238798" s="12" customFormat="1" x14ac:dyDescent="0.25"/>
    <row r="238799" s="12" customFormat="1" x14ac:dyDescent="0.25"/>
    <row r="238800" s="12" customFormat="1" x14ac:dyDescent="0.25"/>
    <row r="238801" s="12" customFormat="1" x14ac:dyDescent="0.25"/>
    <row r="238802" s="12" customFormat="1" x14ac:dyDescent="0.25"/>
    <row r="238803" s="12" customFormat="1" x14ac:dyDescent="0.25"/>
    <row r="238804" s="12" customFormat="1" x14ac:dyDescent="0.25"/>
    <row r="238805" s="12" customFormat="1" x14ac:dyDescent="0.25"/>
    <row r="238806" s="12" customFormat="1" x14ac:dyDescent="0.25"/>
    <row r="238807" s="12" customFormat="1" x14ac:dyDescent="0.25"/>
    <row r="238808" s="12" customFormat="1" x14ac:dyDescent="0.25"/>
    <row r="238809" s="12" customFormat="1" x14ac:dyDescent="0.25"/>
    <row r="238810" s="12" customFormat="1" x14ac:dyDescent="0.25"/>
    <row r="238811" s="12" customFormat="1" x14ac:dyDescent="0.25"/>
    <row r="238812" s="12" customFormat="1" x14ac:dyDescent="0.25"/>
    <row r="238813" s="12" customFormat="1" x14ac:dyDescent="0.25"/>
    <row r="238814" s="12" customFormat="1" x14ac:dyDescent="0.25"/>
    <row r="238815" s="12" customFormat="1" x14ac:dyDescent="0.25"/>
    <row r="238816" s="12" customFormat="1" x14ac:dyDescent="0.25"/>
    <row r="238817" s="12" customFormat="1" x14ac:dyDescent="0.25"/>
    <row r="238818" s="12" customFormat="1" x14ac:dyDescent="0.25"/>
    <row r="238819" s="12" customFormat="1" x14ac:dyDescent="0.25"/>
    <row r="238820" s="12" customFormat="1" x14ac:dyDescent="0.25"/>
    <row r="238821" s="12" customFormat="1" x14ac:dyDescent="0.25"/>
    <row r="238822" s="12" customFormat="1" x14ac:dyDescent="0.25"/>
    <row r="238823" s="12" customFormat="1" x14ac:dyDescent="0.25"/>
    <row r="238824" s="12" customFormat="1" x14ac:dyDescent="0.25"/>
    <row r="238825" s="12" customFormat="1" x14ac:dyDescent="0.25"/>
    <row r="238826" s="12" customFormat="1" x14ac:dyDescent="0.25"/>
    <row r="238827" s="12" customFormat="1" x14ac:dyDescent="0.25"/>
    <row r="238828" s="12" customFormat="1" x14ac:dyDescent="0.25"/>
    <row r="238829" s="12" customFormat="1" x14ac:dyDescent="0.25"/>
    <row r="238830" s="12" customFormat="1" x14ac:dyDescent="0.25"/>
    <row r="238831" s="12" customFormat="1" x14ac:dyDescent="0.25"/>
    <row r="238832" s="12" customFormat="1" x14ac:dyDescent="0.25"/>
    <row r="238833" s="12" customFormat="1" x14ac:dyDescent="0.25"/>
    <row r="238834" s="12" customFormat="1" x14ac:dyDescent="0.25"/>
    <row r="238835" s="12" customFormat="1" x14ac:dyDescent="0.25"/>
    <row r="238836" s="12" customFormat="1" x14ac:dyDescent="0.25"/>
    <row r="238837" s="12" customFormat="1" x14ac:dyDescent="0.25"/>
    <row r="238838" s="12" customFormat="1" x14ac:dyDescent="0.25"/>
    <row r="238839" s="12" customFormat="1" x14ac:dyDescent="0.25"/>
    <row r="238840" s="12" customFormat="1" x14ac:dyDescent="0.25"/>
    <row r="238841" s="12" customFormat="1" x14ac:dyDescent="0.25"/>
    <row r="238842" s="12" customFormat="1" x14ac:dyDescent="0.25"/>
    <row r="238843" s="12" customFormat="1" x14ac:dyDescent="0.25"/>
    <row r="238844" s="12" customFormat="1" x14ac:dyDescent="0.25"/>
    <row r="238845" s="12" customFormat="1" x14ac:dyDescent="0.25"/>
    <row r="238846" s="12" customFormat="1" x14ac:dyDescent="0.25"/>
    <row r="238847" s="12" customFormat="1" x14ac:dyDescent="0.25"/>
    <row r="238848" s="12" customFormat="1" x14ac:dyDescent="0.25"/>
    <row r="238849" s="12" customFormat="1" x14ac:dyDescent="0.25"/>
    <row r="238850" s="12" customFormat="1" x14ac:dyDescent="0.25"/>
    <row r="238851" s="12" customFormat="1" x14ac:dyDescent="0.25"/>
    <row r="238852" s="12" customFormat="1" x14ac:dyDescent="0.25"/>
    <row r="238853" s="12" customFormat="1" x14ac:dyDescent="0.25"/>
    <row r="238854" s="12" customFormat="1" x14ac:dyDescent="0.25"/>
    <row r="238855" s="12" customFormat="1" x14ac:dyDescent="0.25"/>
    <row r="238856" s="12" customFormat="1" x14ac:dyDescent="0.25"/>
    <row r="238857" s="12" customFormat="1" x14ac:dyDescent="0.25"/>
    <row r="238858" s="12" customFormat="1" x14ac:dyDescent="0.25"/>
    <row r="238859" s="12" customFormat="1" x14ac:dyDescent="0.25"/>
    <row r="238860" s="12" customFormat="1" x14ac:dyDescent="0.25"/>
    <row r="238861" s="12" customFormat="1" x14ac:dyDescent="0.25"/>
    <row r="238862" s="12" customFormat="1" x14ac:dyDescent="0.25"/>
    <row r="238863" s="12" customFormat="1" x14ac:dyDescent="0.25"/>
    <row r="238864" s="12" customFormat="1" x14ac:dyDescent="0.25"/>
    <row r="238865" s="12" customFormat="1" x14ac:dyDescent="0.25"/>
    <row r="238866" s="12" customFormat="1" x14ac:dyDescent="0.25"/>
    <row r="238867" s="12" customFormat="1" x14ac:dyDescent="0.25"/>
    <row r="238868" s="12" customFormat="1" x14ac:dyDescent="0.25"/>
    <row r="238869" s="12" customFormat="1" x14ac:dyDescent="0.25"/>
    <row r="238870" s="12" customFormat="1" x14ac:dyDescent="0.25"/>
    <row r="238871" s="12" customFormat="1" x14ac:dyDescent="0.25"/>
    <row r="238872" s="12" customFormat="1" x14ac:dyDescent="0.25"/>
    <row r="238873" s="12" customFormat="1" x14ac:dyDescent="0.25"/>
    <row r="238874" s="12" customFormat="1" x14ac:dyDescent="0.25"/>
    <row r="238875" s="12" customFormat="1" x14ac:dyDescent="0.25"/>
    <row r="238876" s="12" customFormat="1" x14ac:dyDescent="0.25"/>
    <row r="238877" s="12" customFormat="1" x14ac:dyDescent="0.25"/>
    <row r="238878" s="12" customFormat="1" x14ac:dyDescent="0.25"/>
    <row r="238879" s="12" customFormat="1" x14ac:dyDescent="0.25"/>
    <row r="238880" s="12" customFormat="1" x14ac:dyDescent="0.25"/>
    <row r="238881" s="12" customFormat="1" x14ac:dyDescent="0.25"/>
    <row r="238882" s="12" customFormat="1" x14ac:dyDescent="0.25"/>
    <row r="238883" s="12" customFormat="1" x14ac:dyDescent="0.25"/>
    <row r="238884" s="12" customFormat="1" x14ac:dyDescent="0.25"/>
    <row r="238885" s="12" customFormat="1" x14ac:dyDescent="0.25"/>
    <row r="238886" s="12" customFormat="1" x14ac:dyDescent="0.25"/>
    <row r="238887" s="12" customFormat="1" x14ac:dyDescent="0.25"/>
    <row r="238888" s="12" customFormat="1" x14ac:dyDescent="0.25"/>
    <row r="238889" s="12" customFormat="1" x14ac:dyDescent="0.25"/>
    <row r="238890" s="12" customFormat="1" x14ac:dyDescent="0.25"/>
    <row r="238891" s="12" customFormat="1" x14ac:dyDescent="0.25"/>
    <row r="238892" s="12" customFormat="1" x14ac:dyDescent="0.25"/>
    <row r="238893" s="12" customFormat="1" x14ac:dyDescent="0.25"/>
    <row r="238894" s="12" customFormat="1" x14ac:dyDescent="0.25"/>
    <row r="238895" s="12" customFormat="1" x14ac:dyDescent="0.25"/>
    <row r="238896" s="12" customFormat="1" x14ac:dyDescent="0.25"/>
    <row r="238897" s="12" customFormat="1" x14ac:dyDescent="0.25"/>
    <row r="238898" s="12" customFormat="1" x14ac:dyDescent="0.25"/>
    <row r="238899" s="12" customFormat="1" x14ac:dyDescent="0.25"/>
    <row r="238900" s="12" customFormat="1" x14ac:dyDescent="0.25"/>
    <row r="238901" s="12" customFormat="1" x14ac:dyDescent="0.25"/>
    <row r="238902" s="12" customFormat="1" x14ac:dyDescent="0.25"/>
    <row r="238903" s="12" customFormat="1" x14ac:dyDescent="0.25"/>
    <row r="238904" s="12" customFormat="1" x14ac:dyDescent="0.25"/>
    <row r="238905" s="12" customFormat="1" x14ac:dyDescent="0.25"/>
    <row r="238906" s="12" customFormat="1" x14ac:dyDescent="0.25"/>
    <row r="238907" s="12" customFormat="1" x14ac:dyDescent="0.25"/>
    <row r="238908" s="12" customFormat="1" x14ac:dyDescent="0.25"/>
    <row r="238909" s="12" customFormat="1" x14ac:dyDescent="0.25"/>
    <row r="238910" s="12" customFormat="1" x14ac:dyDescent="0.25"/>
    <row r="238911" s="12" customFormat="1" x14ac:dyDescent="0.25"/>
    <row r="238912" s="12" customFormat="1" x14ac:dyDescent="0.25"/>
    <row r="238913" s="12" customFormat="1" x14ac:dyDescent="0.25"/>
    <row r="238914" s="12" customFormat="1" x14ac:dyDescent="0.25"/>
    <row r="238915" s="12" customFormat="1" x14ac:dyDescent="0.25"/>
    <row r="238916" s="12" customFormat="1" x14ac:dyDescent="0.25"/>
    <row r="238917" s="12" customFormat="1" x14ac:dyDescent="0.25"/>
    <row r="238918" s="12" customFormat="1" x14ac:dyDescent="0.25"/>
    <row r="238919" s="12" customFormat="1" x14ac:dyDescent="0.25"/>
    <row r="238920" s="12" customFormat="1" x14ac:dyDescent="0.25"/>
    <row r="238921" s="12" customFormat="1" x14ac:dyDescent="0.25"/>
    <row r="238922" s="12" customFormat="1" x14ac:dyDescent="0.25"/>
    <row r="238923" s="12" customFormat="1" x14ac:dyDescent="0.25"/>
    <row r="238924" s="12" customFormat="1" x14ac:dyDescent="0.25"/>
    <row r="238925" s="12" customFormat="1" x14ac:dyDescent="0.25"/>
    <row r="238926" s="12" customFormat="1" x14ac:dyDescent="0.25"/>
    <row r="238927" s="12" customFormat="1" x14ac:dyDescent="0.25"/>
    <row r="238928" s="12" customFormat="1" x14ac:dyDescent="0.25"/>
    <row r="238929" s="12" customFormat="1" x14ac:dyDescent="0.25"/>
    <row r="238930" s="12" customFormat="1" x14ac:dyDescent="0.25"/>
    <row r="238931" s="12" customFormat="1" x14ac:dyDescent="0.25"/>
    <row r="238932" s="12" customFormat="1" x14ac:dyDescent="0.25"/>
    <row r="238933" s="12" customFormat="1" x14ac:dyDescent="0.25"/>
    <row r="238934" s="12" customFormat="1" x14ac:dyDescent="0.25"/>
    <row r="238935" s="12" customFormat="1" x14ac:dyDescent="0.25"/>
    <row r="238936" s="12" customFormat="1" x14ac:dyDescent="0.25"/>
    <row r="238937" s="12" customFormat="1" x14ac:dyDescent="0.25"/>
    <row r="238938" s="12" customFormat="1" x14ac:dyDescent="0.25"/>
    <row r="238939" s="12" customFormat="1" x14ac:dyDescent="0.25"/>
    <row r="238940" s="12" customFormat="1" x14ac:dyDescent="0.25"/>
    <row r="238941" s="12" customFormat="1" x14ac:dyDescent="0.25"/>
    <row r="238942" s="12" customFormat="1" x14ac:dyDescent="0.25"/>
    <row r="238943" s="12" customFormat="1" x14ac:dyDescent="0.25"/>
    <row r="238944" s="12" customFormat="1" x14ac:dyDescent="0.25"/>
    <row r="238945" s="12" customFormat="1" x14ac:dyDescent="0.25"/>
    <row r="238946" s="12" customFormat="1" x14ac:dyDescent="0.25"/>
    <row r="238947" s="12" customFormat="1" x14ac:dyDescent="0.25"/>
    <row r="238948" s="12" customFormat="1" x14ac:dyDescent="0.25"/>
    <row r="238949" s="12" customFormat="1" x14ac:dyDescent="0.25"/>
    <row r="238950" s="12" customFormat="1" x14ac:dyDescent="0.25"/>
    <row r="238951" s="12" customFormat="1" x14ac:dyDescent="0.25"/>
    <row r="238952" s="12" customFormat="1" x14ac:dyDescent="0.25"/>
    <row r="238953" s="12" customFormat="1" x14ac:dyDescent="0.25"/>
    <row r="238954" s="12" customFormat="1" x14ac:dyDescent="0.25"/>
    <row r="238955" s="12" customFormat="1" x14ac:dyDescent="0.25"/>
    <row r="238956" s="12" customFormat="1" x14ac:dyDescent="0.25"/>
    <row r="238957" s="12" customFormat="1" x14ac:dyDescent="0.25"/>
    <row r="238958" s="12" customFormat="1" x14ac:dyDescent="0.25"/>
    <row r="238959" s="12" customFormat="1" x14ac:dyDescent="0.25"/>
    <row r="238960" s="12" customFormat="1" x14ac:dyDescent="0.25"/>
    <row r="238961" s="12" customFormat="1" x14ac:dyDescent="0.25"/>
    <row r="238962" s="12" customFormat="1" x14ac:dyDescent="0.25"/>
    <row r="238963" s="12" customFormat="1" x14ac:dyDescent="0.25"/>
    <row r="238964" s="12" customFormat="1" x14ac:dyDescent="0.25"/>
    <row r="238965" s="12" customFormat="1" x14ac:dyDescent="0.25"/>
    <row r="238966" s="12" customFormat="1" x14ac:dyDescent="0.25"/>
    <row r="238967" s="12" customFormat="1" x14ac:dyDescent="0.25"/>
    <row r="238968" s="12" customFormat="1" x14ac:dyDescent="0.25"/>
    <row r="238969" s="12" customFormat="1" x14ac:dyDescent="0.25"/>
    <row r="238970" s="12" customFormat="1" x14ac:dyDescent="0.25"/>
    <row r="238971" s="12" customFormat="1" x14ac:dyDescent="0.25"/>
    <row r="238972" s="12" customFormat="1" x14ac:dyDescent="0.25"/>
    <row r="238973" s="12" customFormat="1" x14ac:dyDescent="0.25"/>
    <row r="238974" s="12" customFormat="1" x14ac:dyDescent="0.25"/>
    <row r="238975" s="12" customFormat="1" x14ac:dyDescent="0.25"/>
    <row r="238976" s="12" customFormat="1" x14ac:dyDescent="0.25"/>
    <row r="238977" s="12" customFormat="1" x14ac:dyDescent="0.25"/>
    <row r="238978" s="12" customFormat="1" x14ac:dyDescent="0.25"/>
    <row r="238979" s="12" customFormat="1" x14ac:dyDescent="0.25"/>
    <row r="238980" s="12" customFormat="1" x14ac:dyDescent="0.25"/>
    <row r="238981" s="12" customFormat="1" x14ac:dyDescent="0.25"/>
    <row r="238982" s="12" customFormat="1" x14ac:dyDescent="0.25"/>
    <row r="238983" s="12" customFormat="1" x14ac:dyDescent="0.25"/>
    <row r="238984" s="12" customFormat="1" x14ac:dyDescent="0.25"/>
    <row r="238985" s="12" customFormat="1" x14ac:dyDescent="0.25"/>
    <row r="238986" s="12" customFormat="1" x14ac:dyDescent="0.25"/>
    <row r="238987" s="12" customFormat="1" x14ac:dyDescent="0.25"/>
    <row r="238988" s="12" customFormat="1" x14ac:dyDescent="0.25"/>
    <row r="238989" s="12" customFormat="1" x14ac:dyDescent="0.25"/>
    <row r="238990" s="12" customFormat="1" x14ac:dyDescent="0.25"/>
    <row r="238991" s="12" customFormat="1" x14ac:dyDescent="0.25"/>
    <row r="238992" s="12" customFormat="1" x14ac:dyDescent="0.25"/>
    <row r="238993" s="12" customFormat="1" x14ac:dyDescent="0.25"/>
    <row r="238994" s="12" customFormat="1" x14ac:dyDescent="0.25"/>
    <row r="238995" s="12" customFormat="1" x14ac:dyDescent="0.25"/>
    <row r="238996" s="12" customFormat="1" x14ac:dyDescent="0.25"/>
    <row r="238997" s="12" customFormat="1" x14ac:dyDescent="0.25"/>
    <row r="238998" s="12" customFormat="1" x14ac:dyDescent="0.25"/>
    <row r="238999" s="12" customFormat="1" x14ac:dyDescent="0.25"/>
    <row r="239000" s="12" customFormat="1" x14ac:dyDescent="0.25"/>
    <row r="239001" s="12" customFormat="1" x14ac:dyDescent="0.25"/>
    <row r="239002" s="12" customFormat="1" x14ac:dyDescent="0.25"/>
    <row r="239003" s="12" customFormat="1" x14ac:dyDescent="0.25"/>
    <row r="239004" s="12" customFormat="1" x14ac:dyDescent="0.25"/>
    <row r="239005" s="12" customFormat="1" x14ac:dyDescent="0.25"/>
    <row r="239006" s="12" customFormat="1" x14ac:dyDescent="0.25"/>
    <row r="239007" s="12" customFormat="1" x14ac:dyDescent="0.25"/>
    <row r="239008" s="12" customFormat="1" x14ac:dyDescent="0.25"/>
    <row r="239009" s="12" customFormat="1" x14ac:dyDescent="0.25"/>
    <row r="239010" s="12" customFormat="1" x14ac:dyDescent="0.25"/>
    <row r="239011" s="12" customFormat="1" x14ac:dyDescent="0.25"/>
    <row r="239012" s="12" customFormat="1" x14ac:dyDescent="0.25"/>
    <row r="239013" s="12" customFormat="1" x14ac:dyDescent="0.25"/>
    <row r="239014" s="12" customFormat="1" x14ac:dyDescent="0.25"/>
    <row r="239015" s="12" customFormat="1" x14ac:dyDescent="0.25"/>
    <row r="239016" s="12" customFormat="1" x14ac:dyDescent="0.25"/>
    <row r="239017" s="12" customFormat="1" x14ac:dyDescent="0.25"/>
    <row r="239018" s="12" customFormat="1" x14ac:dyDescent="0.25"/>
    <row r="239019" s="12" customFormat="1" x14ac:dyDescent="0.25"/>
    <row r="239020" s="12" customFormat="1" x14ac:dyDescent="0.25"/>
    <row r="239021" s="12" customFormat="1" x14ac:dyDescent="0.25"/>
    <row r="239022" s="12" customFormat="1" x14ac:dyDescent="0.25"/>
    <row r="239023" s="12" customFormat="1" x14ac:dyDescent="0.25"/>
    <row r="239024" s="12" customFormat="1" x14ac:dyDescent="0.25"/>
    <row r="239025" s="12" customFormat="1" x14ac:dyDescent="0.25"/>
    <row r="239026" s="12" customFormat="1" x14ac:dyDescent="0.25"/>
    <row r="239027" s="12" customFormat="1" x14ac:dyDescent="0.25"/>
    <row r="239028" s="12" customFormat="1" x14ac:dyDescent="0.25"/>
    <row r="239029" s="12" customFormat="1" x14ac:dyDescent="0.25"/>
    <row r="239030" s="12" customFormat="1" x14ac:dyDescent="0.25"/>
    <row r="239031" s="12" customFormat="1" x14ac:dyDescent="0.25"/>
    <row r="239032" s="12" customFormat="1" x14ac:dyDescent="0.25"/>
    <row r="239033" s="12" customFormat="1" x14ac:dyDescent="0.25"/>
    <row r="239034" s="12" customFormat="1" x14ac:dyDescent="0.25"/>
    <row r="239035" s="12" customFormat="1" x14ac:dyDescent="0.25"/>
    <row r="239036" s="12" customFormat="1" x14ac:dyDescent="0.25"/>
    <row r="239037" s="12" customFormat="1" x14ac:dyDescent="0.25"/>
    <row r="239038" s="12" customFormat="1" x14ac:dyDescent="0.25"/>
    <row r="239039" s="12" customFormat="1" x14ac:dyDescent="0.25"/>
    <row r="239040" s="12" customFormat="1" x14ac:dyDescent="0.25"/>
    <row r="239041" s="12" customFormat="1" x14ac:dyDescent="0.25"/>
    <row r="239042" s="12" customFormat="1" x14ac:dyDescent="0.25"/>
    <row r="239043" s="12" customFormat="1" x14ac:dyDescent="0.25"/>
    <row r="239044" s="12" customFormat="1" x14ac:dyDescent="0.25"/>
    <row r="239045" s="12" customFormat="1" x14ac:dyDescent="0.25"/>
    <row r="239046" s="12" customFormat="1" x14ac:dyDescent="0.25"/>
    <row r="239047" s="12" customFormat="1" x14ac:dyDescent="0.25"/>
    <row r="239048" s="12" customFormat="1" x14ac:dyDescent="0.25"/>
    <row r="239049" s="12" customFormat="1" x14ac:dyDescent="0.25"/>
    <row r="239050" s="12" customFormat="1" x14ac:dyDescent="0.25"/>
    <row r="239051" s="12" customFormat="1" x14ac:dyDescent="0.25"/>
    <row r="239052" s="12" customFormat="1" x14ac:dyDescent="0.25"/>
    <row r="239053" s="12" customFormat="1" x14ac:dyDescent="0.25"/>
    <row r="239054" s="12" customFormat="1" x14ac:dyDescent="0.25"/>
    <row r="239055" s="12" customFormat="1" x14ac:dyDescent="0.25"/>
    <row r="239056" s="12" customFormat="1" x14ac:dyDescent="0.25"/>
    <row r="239057" s="12" customFormat="1" x14ac:dyDescent="0.25"/>
    <row r="239058" s="12" customFormat="1" x14ac:dyDescent="0.25"/>
    <row r="239059" s="12" customFormat="1" x14ac:dyDescent="0.25"/>
    <row r="239060" s="12" customFormat="1" x14ac:dyDescent="0.25"/>
    <row r="239061" s="12" customFormat="1" x14ac:dyDescent="0.25"/>
    <row r="239062" s="12" customFormat="1" x14ac:dyDescent="0.25"/>
    <row r="239063" s="12" customFormat="1" x14ac:dyDescent="0.25"/>
    <row r="239064" s="12" customFormat="1" x14ac:dyDescent="0.25"/>
    <row r="239065" s="12" customFormat="1" x14ac:dyDescent="0.25"/>
    <row r="239066" s="12" customFormat="1" x14ac:dyDescent="0.25"/>
    <row r="239067" s="12" customFormat="1" x14ac:dyDescent="0.25"/>
    <row r="239068" s="12" customFormat="1" x14ac:dyDescent="0.25"/>
    <row r="239069" s="12" customFormat="1" x14ac:dyDescent="0.25"/>
    <row r="239070" s="12" customFormat="1" x14ac:dyDescent="0.25"/>
    <row r="239071" s="12" customFormat="1" x14ac:dyDescent="0.25"/>
    <row r="239072" s="12" customFormat="1" x14ac:dyDescent="0.25"/>
    <row r="239073" s="12" customFormat="1" x14ac:dyDescent="0.25"/>
    <row r="239074" s="12" customFormat="1" x14ac:dyDescent="0.25"/>
    <row r="239075" s="12" customFormat="1" x14ac:dyDescent="0.25"/>
    <row r="239076" s="12" customFormat="1" x14ac:dyDescent="0.25"/>
    <row r="239077" s="12" customFormat="1" x14ac:dyDescent="0.25"/>
    <row r="239078" s="12" customFormat="1" x14ac:dyDescent="0.25"/>
    <row r="239079" s="12" customFormat="1" x14ac:dyDescent="0.25"/>
    <row r="239080" s="12" customFormat="1" x14ac:dyDescent="0.25"/>
    <row r="239081" s="12" customFormat="1" x14ac:dyDescent="0.25"/>
    <row r="239082" s="12" customFormat="1" x14ac:dyDescent="0.25"/>
    <row r="239083" s="12" customFormat="1" x14ac:dyDescent="0.25"/>
    <row r="239084" s="12" customFormat="1" x14ac:dyDescent="0.25"/>
    <row r="239085" s="12" customFormat="1" x14ac:dyDescent="0.25"/>
    <row r="239086" s="12" customFormat="1" x14ac:dyDescent="0.25"/>
    <row r="239087" s="12" customFormat="1" x14ac:dyDescent="0.25"/>
    <row r="239088" s="12" customFormat="1" x14ac:dyDescent="0.25"/>
    <row r="239089" s="12" customFormat="1" x14ac:dyDescent="0.25"/>
    <row r="239090" s="12" customFormat="1" x14ac:dyDescent="0.25"/>
    <row r="239091" s="12" customFormat="1" x14ac:dyDescent="0.25"/>
    <row r="239092" s="12" customFormat="1" x14ac:dyDescent="0.25"/>
    <row r="239093" s="12" customFormat="1" x14ac:dyDescent="0.25"/>
    <row r="239094" s="12" customFormat="1" x14ac:dyDescent="0.25"/>
    <row r="239095" s="12" customFormat="1" x14ac:dyDescent="0.25"/>
    <row r="239096" s="12" customFormat="1" x14ac:dyDescent="0.25"/>
    <row r="239097" s="12" customFormat="1" x14ac:dyDescent="0.25"/>
    <row r="239098" s="12" customFormat="1" x14ac:dyDescent="0.25"/>
    <row r="239099" s="12" customFormat="1" x14ac:dyDescent="0.25"/>
    <row r="239100" s="12" customFormat="1" x14ac:dyDescent="0.25"/>
    <row r="239101" s="12" customFormat="1" x14ac:dyDescent="0.25"/>
    <row r="239102" s="12" customFormat="1" x14ac:dyDescent="0.25"/>
    <row r="239103" s="12" customFormat="1" x14ac:dyDescent="0.25"/>
    <row r="239104" s="12" customFormat="1" x14ac:dyDescent="0.25"/>
    <row r="239105" s="12" customFormat="1" x14ac:dyDescent="0.25"/>
    <row r="239106" s="12" customFormat="1" x14ac:dyDescent="0.25"/>
    <row r="239107" s="12" customFormat="1" x14ac:dyDescent="0.25"/>
    <row r="239108" s="12" customFormat="1" x14ac:dyDescent="0.25"/>
    <row r="239109" s="12" customFormat="1" x14ac:dyDescent="0.25"/>
    <row r="239110" s="12" customFormat="1" x14ac:dyDescent="0.25"/>
    <row r="239111" s="12" customFormat="1" x14ac:dyDescent="0.25"/>
    <row r="239112" s="12" customFormat="1" x14ac:dyDescent="0.25"/>
    <row r="239113" s="12" customFormat="1" x14ac:dyDescent="0.25"/>
    <row r="239114" s="12" customFormat="1" x14ac:dyDescent="0.25"/>
    <row r="239115" s="12" customFormat="1" x14ac:dyDescent="0.25"/>
    <row r="239116" s="12" customFormat="1" x14ac:dyDescent="0.25"/>
    <row r="239117" s="12" customFormat="1" x14ac:dyDescent="0.25"/>
    <row r="239118" s="12" customFormat="1" x14ac:dyDescent="0.25"/>
    <row r="239119" s="12" customFormat="1" x14ac:dyDescent="0.25"/>
    <row r="239120" s="12" customFormat="1" x14ac:dyDescent="0.25"/>
    <row r="239121" s="12" customFormat="1" x14ac:dyDescent="0.25"/>
    <row r="239122" s="12" customFormat="1" x14ac:dyDescent="0.25"/>
    <row r="239123" s="12" customFormat="1" x14ac:dyDescent="0.25"/>
    <row r="239124" s="12" customFormat="1" x14ac:dyDescent="0.25"/>
    <row r="239125" s="12" customFormat="1" x14ac:dyDescent="0.25"/>
    <row r="239126" s="12" customFormat="1" x14ac:dyDescent="0.25"/>
    <row r="239127" s="12" customFormat="1" x14ac:dyDescent="0.25"/>
    <row r="239128" s="12" customFormat="1" x14ac:dyDescent="0.25"/>
    <row r="239129" s="12" customFormat="1" x14ac:dyDescent="0.25"/>
    <row r="239130" s="12" customFormat="1" x14ac:dyDescent="0.25"/>
    <row r="239131" s="12" customFormat="1" x14ac:dyDescent="0.25"/>
    <row r="239132" s="12" customFormat="1" x14ac:dyDescent="0.25"/>
    <row r="239133" s="12" customFormat="1" x14ac:dyDescent="0.25"/>
    <row r="239134" s="12" customFormat="1" x14ac:dyDescent="0.25"/>
    <row r="239135" s="12" customFormat="1" x14ac:dyDescent="0.25"/>
    <row r="239136" s="12" customFormat="1" x14ac:dyDescent="0.25"/>
    <row r="239137" s="12" customFormat="1" x14ac:dyDescent="0.25"/>
    <row r="239138" s="12" customFormat="1" x14ac:dyDescent="0.25"/>
    <row r="239139" s="12" customFormat="1" x14ac:dyDescent="0.25"/>
    <row r="239140" s="12" customFormat="1" x14ac:dyDescent="0.25"/>
    <row r="239141" s="12" customFormat="1" x14ac:dyDescent="0.25"/>
    <row r="239142" s="12" customFormat="1" x14ac:dyDescent="0.25"/>
    <row r="239143" s="12" customFormat="1" x14ac:dyDescent="0.25"/>
    <row r="239144" s="12" customFormat="1" x14ac:dyDescent="0.25"/>
    <row r="239145" s="12" customFormat="1" x14ac:dyDescent="0.25"/>
    <row r="239146" s="12" customFormat="1" x14ac:dyDescent="0.25"/>
    <row r="239147" s="12" customFormat="1" x14ac:dyDescent="0.25"/>
    <row r="239148" s="12" customFormat="1" x14ac:dyDescent="0.25"/>
    <row r="239149" s="12" customFormat="1" x14ac:dyDescent="0.25"/>
    <row r="239150" s="12" customFormat="1" x14ac:dyDescent="0.25"/>
    <row r="239151" s="12" customFormat="1" x14ac:dyDescent="0.25"/>
    <row r="239152" s="12" customFormat="1" x14ac:dyDescent="0.25"/>
    <row r="239153" s="12" customFormat="1" x14ac:dyDescent="0.25"/>
    <row r="239154" s="12" customFormat="1" x14ac:dyDescent="0.25"/>
    <row r="239155" s="12" customFormat="1" x14ac:dyDescent="0.25"/>
    <row r="239156" s="12" customFormat="1" x14ac:dyDescent="0.25"/>
    <row r="239157" s="12" customFormat="1" x14ac:dyDescent="0.25"/>
    <row r="239158" s="12" customFormat="1" x14ac:dyDescent="0.25"/>
    <row r="239159" s="12" customFormat="1" x14ac:dyDescent="0.25"/>
    <row r="239160" s="12" customFormat="1" x14ac:dyDescent="0.25"/>
    <row r="239161" s="12" customFormat="1" x14ac:dyDescent="0.25"/>
    <row r="239162" s="12" customFormat="1" x14ac:dyDescent="0.25"/>
    <row r="239163" s="12" customFormat="1" x14ac:dyDescent="0.25"/>
    <row r="239164" s="12" customFormat="1" x14ac:dyDescent="0.25"/>
    <row r="239165" s="12" customFormat="1" x14ac:dyDescent="0.25"/>
    <row r="239166" s="12" customFormat="1" x14ac:dyDescent="0.25"/>
    <row r="239167" s="12" customFormat="1" x14ac:dyDescent="0.25"/>
    <row r="239168" s="12" customFormat="1" x14ac:dyDescent="0.25"/>
    <row r="239169" s="12" customFormat="1" x14ac:dyDescent="0.25"/>
    <row r="239170" s="12" customFormat="1" x14ac:dyDescent="0.25"/>
    <row r="239171" s="12" customFormat="1" x14ac:dyDescent="0.25"/>
    <row r="239172" s="12" customFormat="1" x14ac:dyDescent="0.25"/>
    <row r="239173" s="12" customFormat="1" x14ac:dyDescent="0.25"/>
    <row r="239174" s="12" customFormat="1" x14ac:dyDescent="0.25"/>
    <row r="239175" s="12" customFormat="1" x14ac:dyDescent="0.25"/>
    <row r="239176" s="12" customFormat="1" x14ac:dyDescent="0.25"/>
    <row r="239177" s="12" customFormat="1" x14ac:dyDescent="0.25"/>
    <row r="239178" s="12" customFormat="1" x14ac:dyDescent="0.25"/>
    <row r="239179" s="12" customFormat="1" x14ac:dyDescent="0.25"/>
    <row r="239180" s="12" customFormat="1" x14ac:dyDescent="0.25"/>
    <row r="239181" s="12" customFormat="1" x14ac:dyDescent="0.25"/>
    <row r="239182" s="12" customFormat="1" x14ac:dyDescent="0.25"/>
    <row r="239183" s="12" customFormat="1" x14ac:dyDescent="0.25"/>
    <row r="239184" s="12" customFormat="1" x14ac:dyDescent="0.25"/>
    <row r="239185" s="12" customFormat="1" x14ac:dyDescent="0.25"/>
    <row r="239186" s="12" customFormat="1" x14ac:dyDescent="0.25"/>
    <row r="239187" s="12" customFormat="1" x14ac:dyDescent="0.25"/>
    <row r="239188" s="12" customFormat="1" x14ac:dyDescent="0.25"/>
    <row r="239189" s="12" customFormat="1" x14ac:dyDescent="0.25"/>
    <row r="239190" s="12" customFormat="1" x14ac:dyDescent="0.25"/>
    <row r="239191" s="12" customFormat="1" x14ac:dyDescent="0.25"/>
    <row r="239192" s="12" customFormat="1" x14ac:dyDescent="0.25"/>
    <row r="239193" s="12" customFormat="1" x14ac:dyDescent="0.25"/>
    <row r="239194" s="12" customFormat="1" x14ac:dyDescent="0.25"/>
    <row r="239195" s="12" customFormat="1" x14ac:dyDescent="0.25"/>
    <row r="239196" s="12" customFormat="1" x14ac:dyDescent="0.25"/>
    <row r="239197" s="12" customFormat="1" x14ac:dyDescent="0.25"/>
    <row r="239198" s="12" customFormat="1" x14ac:dyDescent="0.25"/>
    <row r="239199" s="12" customFormat="1" x14ac:dyDescent="0.25"/>
    <row r="239200" s="12" customFormat="1" x14ac:dyDescent="0.25"/>
    <row r="239201" s="12" customFormat="1" x14ac:dyDescent="0.25"/>
    <row r="239202" s="12" customFormat="1" x14ac:dyDescent="0.25"/>
    <row r="239203" s="12" customFormat="1" x14ac:dyDescent="0.25"/>
    <row r="239204" s="12" customFormat="1" x14ac:dyDescent="0.25"/>
    <row r="239205" s="12" customFormat="1" x14ac:dyDescent="0.25"/>
    <row r="239206" s="12" customFormat="1" x14ac:dyDescent="0.25"/>
    <row r="239207" s="12" customFormat="1" x14ac:dyDescent="0.25"/>
    <row r="239208" s="12" customFormat="1" x14ac:dyDescent="0.25"/>
    <row r="239209" s="12" customFormat="1" x14ac:dyDescent="0.25"/>
    <row r="239210" s="12" customFormat="1" x14ac:dyDescent="0.25"/>
    <row r="239211" s="12" customFormat="1" x14ac:dyDescent="0.25"/>
    <row r="239212" s="12" customFormat="1" x14ac:dyDescent="0.25"/>
    <row r="239213" s="12" customFormat="1" x14ac:dyDescent="0.25"/>
    <row r="239214" s="12" customFormat="1" x14ac:dyDescent="0.25"/>
    <row r="239215" s="12" customFormat="1" x14ac:dyDescent="0.25"/>
    <row r="239216" s="12" customFormat="1" x14ac:dyDescent="0.25"/>
    <row r="239217" s="12" customFormat="1" x14ac:dyDescent="0.25"/>
    <row r="239218" s="12" customFormat="1" x14ac:dyDescent="0.25"/>
    <row r="239219" s="12" customFormat="1" x14ac:dyDescent="0.25"/>
    <row r="239220" s="12" customFormat="1" x14ac:dyDescent="0.25"/>
    <row r="239221" s="12" customFormat="1" x14ac:dyDescent="0.25"/>
    <row r="239222" s="12" customFormat="1" x14ac:dyDescent="0.25"/>
    <row r="239223" s="12" customFormat="1" x14ac:dyDescent="0.25"/>
    <row r="239224" s="12" customFormat="1" x14ac:dyDescent="0.25"/>
    <row r="239225" s="12" customFormat="1" x14ac:dyDescent="0.25"/>
    <row r="239226" s="12" customFormat="1" x14ac:dyDescent="0.25"/>
    <row r="239227" s="12" customFormat="1" x14ac:dyDescent="0.25"/>
    <row r="239228" s="12" customFormat="1" x14ac:dyDescent="0.25"/>
    <row r="239229" s="12" customFormat="1" x14ac:dyDescent="0.25"/>
    <row r="239230" s="12" customFormat="1" x14ac:dyDescent="0.25"/>
    <row r="239231" s="12" customFormat="1" x14ac:dyDescent="0.25"/>
    <row r="239232" s="12" customFormat="1" x14ac:dyDescent="0.25"/>
    <row r="239233" s="12" customFormat="1" x14ac:dyDescent="0.25"/>
    <row r="239234" s="12" customFormat="1" x14ac:dyDescent="0.25"/>
    <row r="239235" s="12" customFormat="1" x14ac:dyDescent="0.25"/>
    <row r="239236" s="12" customFormat="1" x14ac:dyDescent="0.25"/>
    <row r="239237" s="12" customFormat="1" x14ac:dyDescent="0.25"/>
    <row r="239238" s="12" customFormat="1" x14ac:dyDescent="0.25"/>
    <row r="239239" s="12" customFormat="1" x14ac:dyDescent="0.25"/>
    <row r="239240" s="12" customFormat="1" x14ac:dyDescent="0.25"/>
    <row r="239241" s="12" customFormat="1" x14ac:dyDescent="0.25"/>
    <row r="239242" s="12" customFormat="1" x14ac:dyDescent="0.25"/>
    <row r="239243" s="12" customFormat="1" x14ac:dyDescent="0.25"/>
    <row r="239244" s="12" customFormat="1" x14ac:dyDescent="0.25"/>
    <row r="239245" s="12" customFormat="1" x14ac:dyDescent="0.25"/>
    <row r="239246" s="12" customFormat="1" x14ac:dyDescent="0.25"/>
    <row r="239247" s="12" customFormat="1" x14ac:dyDescent="0.25"/>
    <row r="239248" s="12" customFormat="1" x14ac:dyDescent="0.25"/>
    <row r="239249" s="12" customFormat="1" x14ac:dyDescent="0.25"/>
    <row r="239250" s="12" customFormat="1" x14ac:dyDescent="0.25"/>
    <row r="239251" s="12" customFormat="1" x14ac:dyDescent="0.25"/>
    <row r="239252" s="12" customFormat="1" x14ac:dyDescent="0.25"/>
    <row r="239253" s="12" customFormat="1" x14ac:dyDescent="0.25"/>
    <row r="239254" s="12" customFormat="1" x14ac:dyDescent="0.25"/>
    <row r="239255" s="12" customFormat="1" x14ac:dyDescent="0.25"/>
    <row r="239256" s="12" customFormat="1" x14ac:dyDescent="0.25"/>
    <row r="239257" s="12" customFormat="1" x14ac:dyDescent="0.25"/>
    <row r="239258" s="12" customFormat="1" x14ac:dyDescent="0.25"/>
    <row r="239259" s="12" customFormat="1" x14ac:dyDescent="0.25"/>
    <row r="239260" s="12" customFormat="1" x14ac:dyDescent="0.25"/>
    <row r="239261" s="12" customFormat="1" x14ac:dyDescent="0.25"/>
    <row r="239262" s="12" customFormat="1" x14ac:dyDescent="0.25"/>
    <row r="239263" s="12" customFormat="1" x14ac:dyDescent="0.25"/>
    <row r="239264" s="12" customFormat="1" x14ac:dyDescent="0.25"/>
    <row r="239265" s="12" customFormat="1" x14ac:dyDescent="0.25"/>
    <row r="239266" s="12" customFormat="1" x14ac:dyDescent="0.25"/>
    <row r="239267" s="12" customFormat="1" x14ac:dyDescent="0.25"/>
    <row r="239268" s="12" customFormat="1" x14ac:dyDescent="0.25"/>
    <row r="239269" s="12" customFormat="1" x14ac:dyDescent="0.25"/>
    <row r="239270" s="12" customFormat="1" x14ac:dyDescent="0.25"/>
    <row r="239271" s="12" customFormat="1" x14ac:dyDescent="0.25"/>
    <row r="239272" s="12" customFormat="1" x14ac:dyDescent="0.25"/>
    <row r="239273" s="12" customFormat="1" x14ac:dyDescent="0.25"/>
    <row r="239274" s="12" customFormat="1" x14ac:dyDescent="0.25"/>
    <row r="239275" s="12" customFormat="1" x14ac:dyDescent="0.25"/>
    <row r="239276" s="12" customFormat="1" x14ac:dyDescent="0.25"/>
    <row r="239277" s="12" customFormat="1" x14ac:dyDescent="0.25"/>
    <row r="239278" s="12" customFormat="1" x14ac:dyDescent="0.25"/>
    <row r="239279" s="12" customFormat="1" x14ac:dyDescent="0.25"/>
    <row r="239280" s="12" customFormat="1" x14ac:dyDescent="0.25"/>
    <row r="239281" s="12" customFormat="1" x14ac:dyDescent="0.25"/>
    <row r="239282" s="12" customFormat="1" x14ac:dyDescent="0.25"/>
    <row r="239283" s="12" customFormat="1" x14ac:dyDescent="0.25"/>
    <row r="239284" s="12" customFormat="1" x14ac:dyDescent="0.25"/>
    <row r="239285" s="12" customFormat="1" x14ac:dyDescent="0.25"/>
    <row r="239286" s="12" customFormat="1" x14ac:dyDescent="0.25"/>
    <row r="239287" s="12" customFormat="1" x14ac:dyDescent="0.25"/>
    <row r="239288" s="12" customFormat="1" x14ac:dyDescent="0.25"/>
    <row r="239289" s="12" customFormat="1" x14ac:dyDescent="0.25"/>
    <row r="239290" s="12" customFormat="1" x14ac:dyDescent="0.25"/>
    <row r="239291" s="12" customFormat="1" x14ac:dyDescent="0.25"/>
    <row r="239292" s="12" customFormat="1" x14ac:dyDescent="0.25"/>
    <row r="239293" s="12" customFormat="1" x14ac:dyDescent="0.25"/>
    <row r="239294" s="12" customFormat="1" x14ac:dyDescent="0.25"/>
    <row r="239295" s="12" customFormat="1" x14ac:dyDescent="0.25"/>
    <row r="239296" s="12" customFormat="1" x14ac:dyDescent="0.25"/>
    <row r="239297" s="12" customFormat="1" x14ac:dyDescent="0.25"/>
    <row r="239298" s="12" customFormat="1" x14ac:dyDescent="0.25"/>
    <row r="239299" s="12" customFormat="1" x14ac:dyDescent="0.25"/>
    <row r="239300" s="12" customFormat="1" x14ac:dyDescent="0.25"/>
    <row r="239301" s="12" customFormat="1" x14ac:dyDescent="0.25"/>
    <row r="239302" s="12" customFormat="1" x14ac:dyDescent="0.25"/>
    <row r="239303" s="12" customFormat="1" x14ac:dyDescent="0.25"/>
    <row r="239304" s="12" customFormat="1" x14ac:dyDescent="0.25"/>
    <row r="239305" s="12" customFormat="1" x14ac:dyDescent="0.25"/>
    <row r="239306" s="12" customFormat="1" x14ac:dyDescent="0.25"/>
    <row r="239307" s="12" customFormat="1" x14ac:dyDescent="0.25"/>
    <row r="239308" s="12" customFormat="1" x14ac:dyDescent="0.25"/>
    <row r="239309" s="12" customFormat="1" x14ac:dyDescent="0.25"/>
    <row r="239310" s="12" customFormat="1" x14ac:dyDescent="0.25"/>
    <row r="239311" s="12" customFormat="1" x14ac:dyDescent="0.25"/>
    <row r="239312" s="12" customFormat="1" x14ac:dyDescent="0.25"/>
    <row r="239313" s="12" customFormat="1" x14ac:dyDescent="0.25"/>
    <row r="239314" s="12" customFormat="1" x14ac:dyDescent="0.25"/>
    <row r="239315" s="12" customFormat="1" x14ac:dyDescent="0.25"/>
    <row r="239316" s="12" customFormat="1" x14ac:dyDescent="0.25"/>
    <row r="239317" s="12" customFormat="1" x14ac:dyDescent="0.25"/>
    <row r="239318" s="12" customFormat="1" x14ac:dyDescent="0.25"/>
    <row r="239319" s="12" customFormat="1" x14ac:dyDescent="0.25"/>
    <row r="239320" s="12" customFormat="1" x14ac:dyDescent="0.25"/>
    <row r="239321" s="12" customFormat="1" x14ac:dyDescent="0.25"/>
    <row r="239322" s="12" customFormat="1" x14ac:dyDescent="0.25"/>
    <row r="239323" s="12" customFormat="1" x14ac:dyDescent="0.25"/>
    <row r="239324" s="12" customFormat="1" x14ac:dyDescent="0.25"/>
    <row r="239325" s="12" customFormat="1" x14ac:dyDescent="0.25"/>
    <row r="239326" s="12" customFormat="1" x14ac:dyDescent="0.25"/>
    <row r="239327" s="12" customFormat="1" x14ac:dyDescent="0.25"/>
    <row r="239328" s="12" customFormat="1" x14ac:dyDescent="0.25"/>
    <row r="239329" s="12" customFormat="1" x14ac:dyDescent="0.25"/>
    <row r="239330" s="12" customFormat="1" x14ac:dyDescent="0.25"/>
    <row r="239331" s="12" customFormat="1" x14ac:dyDescent="0.25"/>
    <row r="239332" s="12" customFormat="1" x14ac:dyDescent="0.25"/>
    <row r="239333" s="12" customFormat="1" x14ac:dyDescent="0.25"/>
    <row r="239334" s="12" customFormat="1" x14ac:dyDescent="0.25"/>
    <row r="239335" s="12" customFormat="1" x14ac:dyDescent="0.25"/>
    <row r="239336" s="12" customFormat="1" x14ac:dyDescent="0.25"/>
    <row r="239337" s="12" customFormat="1" x14ac:dyDescent="0.25"/>
    <row r="239338" s="12" customFormat="1" x14ac:dyDescent="0.25"/>
    <row r="239339" s="12" customFormat="1" x14ac:dyDescent="0.25"/>
    <row r="239340" s="12" customFormat="1" x14ac:dyDescent="0.25"/>
    <row r="239341" s="12" customFormat="1" x14ac:dyDescent="0.25"/>
    <row r="239342" s="12" customFormat="1" x14ac:dyDescent="0.25"/>
    <row r="239343" s="12" customFormat="1" x14ac:dyDescent="0.25"/>
    <row r="239344" s="12" customFormat="1" x14ac:dyDescent="0.25"/>
    <row r="239345" s="12" customFormat="1" x14ac:dyDescent="0.25"/>
    <row r="239346" s="12" customFormat="1" x14ac:dyDescent="0.25"/>
    <row r="239347" s="12" customFormat="1" x14ac:dyDescent="0.25"/>
    <row r="239348" s="12" customFormat="1" x14ac:dyDescent="0.25"/>
    <row r="239349" s="12" customFormat="1" x14ac:dyDescent="0.25"/>
    <row r="239350" s="12" customFormat="1" x14ac:dyDescent="0.25"/>
    <row r="239351" s="12" customFormat="1" x14ac:dyDescent="0.25"/>
    <row r="239352" s="12" customFormat="1" x14ac:dyDescent="0.25"/>
    <row r="239353" s="12" customFormat="1" x14ac:dyDescent="0.25"/>
    <row r="239354" s="12" customFormat="1" x14ac:dyDescent="0.25"/>
    <row r="239355" s="12" customFormat="1" x14ac:dyDescent="0.25"/>
    <row r="239356" s="12" customFormat="1" x14ac:dyDescent="0.25"/>
    <row r="239357" s="12" customFormat="1" x14ac:dyDescent="0.25"/>
    <row r="239358" s="12" customFormat="1" x14ac:dyDescent="0.25"/>
    <row r="239359" s="12" customFormat="1" x14ac:dyDescent="0.25"/>
    <row r="239360" s="12" customFormat="1" x14ac:dyDescent="0.25"/>
    <row r="239361" s="12" customFormat="1" x14ac:dyDescent="0.25"/>
    <row r="239362" s="12" customFormat="1" x14ac:dyDescent="0.25"/>
    <row r="239363" s="12" customFormat="1" x14ac:dyDescent="0.25"/>
    <row r="239364" s="12" customFormat="1" x14ac:dyDescent="0.25"/>
    <row r="239365" s="12" customFormat="1" x14ac:dyDescent="0.25"/>
    <row r="239366" s="12" customFormat="1" x14ac:dyDescent="0.25"/>
    <row r="239367" s="12" customFormat="1" x14ac:dyDescent="0.25"/>
    <row r="239368" s="12" customFormat="1" x14ac:dyDescent="0.25"/>
    <row r="239369" s="12" customFormat="1" x14ac:dyDescent="0.25"/>
    <row r="239370" s="12" customFormat="1" x14ac:dyDescent="0.25"/>
    <row r="239371" s="12" customFormat="1" x14ac:dyDescent="0.25"/>
    <row r="239372" s="12" customFormat="1" x14ac:dyDescent="0.25"/>
    <row r="239373" s="12" customFormat="1" x14ac:dyDescent="0.25"/>
    <row r="239374" s="12" customFormat="1" x14ac:dyDescent="0.25"/>
    <row r="239375" s="12" customFormat="1" x14ac:dyDescent="0.25"/>
    <row r="239376" s="12" customFormat="1" x14ac:dyDescent="0.25"/>
    <row r="239377" s="12" customFormat="1" x14ac:dyDescent="0.25"/>
    <row r="239378" s="12" customFormat="1" x14ac:dyDescent="0.25"/>
    <row r="239379" s="12" customFormat="1" x14ac:dyDescent="0.25"/>
    <row r="239380" s="12" customFormat="1" x14ac:dyDescent="0.25"/>
    <row r="239381" s="12" customFormat="1" x14ac:dyDescent="0.25"/>
    <row r="239382" s="12" customFormat="1" x14ac:dyDescent="0.25"/>
    <row r="239383" s="12" customFormat="1" x14ac:dyDescent="0.25"/>
    <row r="239384" s="12" customFormat="1" x14ac:dyDescent="0.25"/>
    <row r="239385" s="12" customFormat="1" x14ac:dyDescent="0.25"/>
    <row r="239386" s="12" customFormat="1" x14ac:dyDescent="0.25"/>
    <row r="239387" s="12" customFormat="1" x14ac:dyDescent="0.25"/>
    <row r="239388" s="12" customFormat="1" x14ac:dyDescent="0.25"/>
    <row r="239389" s="12" customFormat="1" x14ac:dyDescent="0.25"/>
    <row r="239390" s="12" customFormat="1" x14ac:dyDescent="0.25"/>
    <row r="239391" s="12" customFormat="1" x14ac:dyDescent="0.25"/>
    <row r="239392" s="12" customFormat="1" x14ac:dyDescent="0.25"/>
    <row r="239393" s="12" customFormat="1" x14ac:dyDescent="0.25"/>
    <row r="239394" s="12" customFormat="1" x14ac:dyDescent="0.25"/>
    <row r="239395" s="12" customFormat="1" x14ac:dyDescent="0.25"/>
    <row r="239396" s="12" customFormat="1" x14ac:dyDescent="0.25"/>
    <row r="239397" s="12" customFormat="1" x14ac:dyDescent="0.25"/>
    <row r="239398" s="12" customFormat="1" x14ac:dyDescent="0.25"/>
    <row r="239399" s="12" customFormat="1" x14ac:dyDescent="0.25"/>
    <row r="239400" s="12" customFormat="1" x14ac:dyDescent="0.25"/>
    <row r="239401" s="12" customFormat="1" x14ac:dyDescent="0.25"/>
    <row r="239402" s="12" customFormat="1" x14ac:dyDescent="0.25"/>
    <row r="239403" s="12" customFormat="1" x14ac:dyDescent="0.25"/>
    <row r="239404" s="12" customFormat="1" x14ac:dyDescent="0.25"/>
    <row r="239405" s="12" customFormat="1" x14ac:dyDescent="0.25"/>
    <row r="239406" s="12" customFormat="1" x14ac:dyDescent="0.25"/>
    <row r="239407" s="12" customFormat="1" x14ac:dyDescent="0.25"/>
    <row r="239408" s="12" customFormat="1" x14ac:dyDescent="0.25"/>
    <row r="239409" s="12" customFormat="1" x14ac:dyDescent="0.25"/>
    <row r="239410" s="12" customFormat="1" x14ac:dyDescent="0.25"/>
    <row r="239411" s="12" customFormat="1" x14ac:dyDescent="0.25"/>
    <row r="239412" s="12" customFormat="1" x14ac:dyDescent="0.25"/>
    <row r="239413" s="12" customFormat="1" x14ac:dyDescent="0.25"/>
    <row r="239414" s="12" customFormat="1" x14ac:dyDescent="0.25"/>
    <row r="239415" s="12" customFormat="1" x14ac:dyDescent="0.25"/>
    <row r="239416" s="12" customFormat="1" x14ac:dyDescent="0.25"/>
    <row r="239417" s="12" customFormat="1" x14ac:dyDescent="0.25"/>
    <row r="239418" s="12" customFormat="1" x14ac:dyDescent="0.25"/>
    <row r="239419" s="12" customFormat="1" x14ac:dyDescent="0.25"/>
    <row r="239420" s="12" customFormat="1" x14ac:dyDescent="0.25"/>
    <row r="239421" s="12" customFormat="1" x14ac:dyDescent="0.25"/>
    <row r="239422" s="12" customFormat="1" x14ac:dyDescent="0.25"/>
    <row r="239423" s="12" customFormat="1" x14ac:dyDescent="0.25"/>
    <row r="239424" s="12" customFormat="1" x14ac:dyDescent="0.25"/>
    <row r="239425" s="12" customFormat="1" x14ac:dyDescent="0.25"/>
    <row r="239426" s="12" customFormat="1" x14ac:dyDescent="0.25"/>
    <row r="239427" s="12" customFormat="1" x14ac:dyDescent="0.25"/>
    <row r="239428" s="12" customFormat="1" x14ac:dyDescent="0.25"/>
    <row r="239429" s="12" customFormat="1" x14ac:dyDescent="0.25"/>
    <row r="239430" s="12" customFormat="1" x14ac:dyDescent="0.25"/>
    <row r="239431" s="12" customFormat="1" x14ac:dyDescent="0.25"/>
    <row r="239432" s="12" customFormat="1" x14ac:dyDescent="0.25"/>
    <row r="239433" s="12" customFormat="1" x14ac:dyDescent="0.25"/>
    <row r="239434" s="12" customFormat="1" x14ac:dyDescent="0.25"/>
    <row r="239435" s="12" customFormat="1" x14ac:dyDescent="0.25"/>
    <row r="239436" s="12" customFormat="1" x14ac:dyDescent="0.25"/>
    <row r="239437" s="12" customFormat="1" x14ac:dyDescent="0.25"/>
    <row r="239438" s="12" customFormat="1" x14ac:dyDescent="0.25"/>
    <row r="239439" s="12" customFormat="1" x14ac:dyDescent="0.25"/>
    <row r="239440" s="12" customFormat="1" x14ac:dyDescent="0.25"/>
    <row r="239441" s="12" customFormat="1" x14ac:dyDescent="0.25"/>
    <row r="239442" s="12" customFormat="1" x14ac:dyDescent="0.25"/>
    <row r="239443" s="12" customFormat="1" x14ac:dyDescent="0.25"/>
    <row r="239444" s="12" customFormat="1" x14ac:dyDescent="0.25"/>
    <row r="239445" s="12" customFormat="1" x14ac:dyDescent="0.25"/>
    <row r="239446" s="12" customFormat="1" x14ac:dyDescent="0.25"/>
    <row r="239447" s="12" customFormat="1" x14ac:dyDescent="0.25"/>
    <row r="239448" s="12" customFormat="1" x14ac:dyDescent="0.25"/>
    <row r="239449" s="12" customFormat="1" x14ac:dyDescent="0.25"/>
    <row r="239450" s="12" customFormat="1" x14ac:dyDescent="0.25"/>
    <row r="239451" s="12" customFormat="1" x14ac:dyDescent="0.25"/>
    <row r="239452" s="12" customFormat="1" x14ac:dyDescent="0.25"/>
    <row r="239453" s="12" customFormat="1" x14ac:dyDescent="0.25"/>
    <row r="239454" s="12" customFormat="1" x14ac:dyDescent="0.25"/>
    <row r="239455" s="12" customFormat="1" x14ac:dyDescent="0.25"/>
    <row r="239456" s="12" customFormat="1" x14ac:dyDescent="0.25"/>
    <row r="239457" s="12" customFormat="1" x14ac:dyDescent="0.25"/>
    <row r="239458" s="12" customFormat="1" x14ac:dyDescent="0.25"/>
    <row r="239459" s="12" customFormat="1" x14ac:dyDescent="0.25"/>
    <row r="239460" s="12" customFormat="1" x14ac:dyDescent="0.25"/>
    <row r="239461" s="12" customFormat="1" x14ac:dyDescent="0.25"/>
    <row r="239462" s="12" customFormat="1" x14ac:dyDescent="0.25"/>
    <row r="239463" s="12" customFormat="1" x14ac:dyDescent="0.25"/>
    <row r="239464" s="12" customFormat="1" x14ac:dyDescent="0.25"/>
    <row r="239465" s="12" customFormat="1" x14ac:dyDescent="0.25"/>
    <row r="239466" s="12" customFormat="1" x14ac:dyDescent="0.25"/>
    <row r="239467" s="12" customFormat="1" x14ac:dyDescent="0.25"/>
    <row r="239468" s="12" customFormat="1" x14ac:dyDescent="0.25"/>
    <row r="239469" s="12" customFormat="1" x14ac:dyDescent="0.25"/>
    <row r="239470" s="12" customFormat="1" x14ac:dyDescent="0.25"/>
    <row r="239471" s="12" customFormat="1" x14ac:dyDescent="0.25"/>
    <row r="239472" s="12" customFormat="1" x14ac:dyDescent="0.25"/>
    <row r="239473" s="12" customFormat="1" x14ac:dyDescent="0.25"/>
    <row r="239474" s="12" customFormat="1" x14ac:dyDescent="0.25"/>
    <row r="239475" s="12" customFormat="1" x14ac:dyDescent="0.25"/>
    <row r="239476" s="12" customFormat="1" x14ac:dyDescent="0.25"/>
    <row r="239477" s="12" customFormat="1" x14ac:dyDescent="0.25"/>
    <row r="239478" s="12" customFormat="1" x14ac:dyDescent="0.25"/>
    <row r="239479" s="12" customFormat="1" x14ac:dyDescent="0.25"/>
    <row r="239480" s="12" customFormat="1" x14ac:dyDescent="0.25"/>
    <row r="239481" s="12" customFormat="1" x14ac:dyDescent="0.25"/>
    <row r="239482" s="12" customFormat="1" x14ac:dyDescent="0.25"/>
    <row r="239483" s="12" customFormat="1" x14ac:dyDescent="0.25"/>
    <row r="239484" s="12" customFormat="1" x14ac:dyDescent="0.25"/>
    <row r="239485" s="12" customFormat="1" x14ac:dyDescent="0.25"/>
    <row r="239486" s="12" customFormat="1" x14ac:dyDescent="0.25"/>
    <row r="239487" s="12" customFormat="1" x14ac:dyDescent="0.25"/>
    <row r="239488" s="12" customFormat="1" x14ac:dyDescent="0.25"/>
    <row r="239489" s="12" customFormat="1" x14ac:dyDescent="0.25"/>
    <row r="239490" s="12" customFormat="1" x14ac:dyDescent="0.25"/>
    <row r="239491" s="12" customFormat="1" x14ac:dyDescent="0.25"/>
    <row r="239492" s="12" customFormat="1" x14ac:dyDescent="0.25"/>
    <row r="239493" s="12" customFormat="1" x14ac:dyDescent="0.25"/>
    <row r="239494" s="12" customFormat="1" x14ac:dyDescent="0.25"/>
    <row r="239495" s="12" customFormat="1" x14ac:dyDescent="0.25"/>
    <row r="239496" s="12" customFormat="1" x14ac:dyDescent="0.25"/>
    <row r="239497" s="12" customFormat="1" x14ac:dyDescent="0.25"/>
    <row r="239498" s="12" customFormat="1" x14ac:dyDescent="0.25"/>
    <row r="239499" s="12" customFormat="1" x14ac:dyDescent="0.25"/>
    <row r="239500" s="12" customFormat="1" x14ac:dyDescent="0.25"/>
    <row r="239501" s="12" customFormat="1" x14ac:dyDescent="0.25"/>
    <row r="239502" s="12" customFormat="1" x14ac:dyDescent="0.25"/>
    <row r="239503" s="12" customFormat="1" x14ac:dyDescent="0.25"/>
    <row r="239504" s="12" customFormat="1" x14ac:dyDescent="0.25"/>
    <row r="239505" s="12" customFormat="1" x14ac:dyDescent="0.25"/>
    <row r="239506" s="12" customFormat="1" x14ac:dyDescent="0.25"/>
    <row r="239507" s="12" customFormat="1" x14ac:dyDescent="0.25"/>
    <row r="239508" s="12" customFormat="1" x14ac:dyDescent="0.25"/>
    <row r="239509" s="12" customFormat="1" x14ac:dyDescent="0.25"/>
    <row r="239510" s="12" customFormat="1" x14ac:dyDescent="0.25"/>
    <row r="239511" s="12" customFormat="1" x14ac:dyDescent="0.25"/>
    <row r="239512" s="12" customFormat="1" x14ac:dyDescent="0.25"/>
    <row r="239513" s="12" customFormat="1" x14ac:dyDescent="0.25"/>
    <row r="239514" s="12" customFormat="1" x14ac:dyDescent="0.25"/>
    <row r="239515" s="12" customFormat="1" x14ac:dyDescent="0.25"/>
    <row r="239516" s="12" customFormat="1" x14ac:dyDescent="0.25"/>
    <row r="239517" s="12" customFormat="1" x14ac:dyDescent="0.25"/>
    <row r="239518" s="12" customFormat="1" x14ac:dyDescent="0.25"/>
    <row r="239519" s="12" customFormat="1" x14ac:dyDescent="0.25"/>
    <row r="239520" s="12" customFormat="1" x14ac:dyDescent="0.25"/>
    <row r="239521" s="12" customFormat="1" x14ac:dyDescent="0.25"/>
    <row r="239522" s="12" customFormat="1" x14ac:dyDescent="0.25"/>
    <row r="239523" s="12" customFormat="1" x14ac:dyDescent="0.25"/>
    <row r="239524" s="12" customFormat="1" x14ac:dyDescent="0.25"/>
    <row r="239525" s="12" customFormat="1" x14ac:dyDescent="0.25"/>
    <row r="239526" s="12" customFormat="1" x14ac:dyDescent="0.25"/>
    <row r="239527" s="12" customFormat="1" x14ac:dyDescent="0.25"/>
    <row r="239528" s="12" customFormat="1" x14ac:dyDescent="0.25"/>
    <row r="239529" s="12" customFormat="1" x14ac:dyDescent="0.25"/>
    <row r="239530" s="12" customFormat="1" x14ac:dyDescent="0.25"/>
    <row r="239531" s="12" customFormat="1" x14ac:dyDescent="0.25"/>
    <row r="239532" s="12" customFormat="1" x14ac:dyDescent="0.25"/>
    <row r="239533" s="12" customFormat="1" x14ac:dyDescent="0.25"/>
    <row r="239534" s="12" customFormat="1" x14ac:dyDescent="0.25"/>
    <row r="239535" s="12" customFormat="1" x14ac:dyDescent="0.25"/>
    <row r="239536" s="12" customFormat="1" x14ac:dyDescent="0.25"/>
    <row r="239537" s="12" customFormat="1" x14ac:dyDescent="0.25"/>
    <row r="239538" s="12" customFormat="1" x14ac:dyDescent="0.25"/>
    <row r="239539" s="12" customFormat="1" x14ac:dyDescent="0.25"/>
    <row r="239540" s="12" customFormat="1" x14ac:dyDescent="0.25"/>
    <row r="239541" s="12" customFormat="1" x14ac:dyDescent="0.25"/>
    <row r="239542" s="12" customFormat="1" x14ac:dyDescent="0.25"/>
    <row r="239543" s="12" customFormat="1" x14ac:dyDescent="0.25"/>
    <row r="239544" s="12" customFormat="1" x14ac:dyDescent="0.25"/>
    <row r="239545" s="12" customFormat="1" x14ac:dyDescent="0.25"/>
    <row r="239546" s="12" customFormat="1" x14ac:dyDescent="0.25"/>
    <row r="239547" s="12" customFormat="1" x14ac:dyDescent="0.25"/>
    <row r="239548" s="12" customFormat="1" x14ac:dyDescent="0.25"/>
    <row r="239549" s="12" customFormat="1" x14ac:dyDescent="0.25"/>
    <row r="239550" s="12" customFormat="1" x14ac:dyDescent="0.25"/>
    <row r="239551" s="12" customFormat="1" x14ac:dyDescent="0.25"/>
    <row r="239552" s="12" customFormat="1" x14ac:dyDescent="0.25"/>
    <row r="239553" s="12" customFormat="1" x14ac:dyDescent="0.25"/>
    <row r="239554" s="12" customFormat="1" x14ac:dyDescent="0.25"/>
    <row r="239555" s="12" customFormat="1" x14ac:dyDescent="0.25"/>
    <row r="239556" s="12" customFormat="1" x14ac:dyDescent="0.25"/>
    <row r="239557" s="12" customFormat="1" x14ac:dyDescent="0.25"/>
    <row r="239558" s="12" customFormat="1" x14ac:dyDescent="0.25"/>
    <row r="239559" s="12" customFormat="1" x14ac:dyDescent="0.25"/>
    <row r="239560" s="12" customFormat="1" x14ac:dyDescent="0.25"/>
    <row r="239561" s="12" customFormat="1" x14ac:dyDescent="0.25"/>
    <row r="239562" s="12" customFormat="1" x14ac:dyDescent="0.25"/>
    <row r="239563" s="12" customFormat="1" x14ac:dyDescent="0.25"/>
    <row r="239564" s="12" customFormat="1" x14ac:dyDescent="0.25"/>
    <row r="239565" s="12" customFormat="1" x14ac:dyDescent="0.25"/>
    <row r="239566" s="12" customFormat="1" x14ac:dyDescent="0.25"/>
    <row r="239567" s="12" customFormat="1" x14ac:dyDescent="0.25"/>
    <row r="239568" s="12" customFormat="1" x14ac:dyDescent="0.25"/>
    <row r="239569" s="12" customFormat="1" x14ac:dyDescent="0.25"/>
    <row r="239570" s="12" customFormat="1" x14ac:dyDescent="0.25"/>
    <row r="239571" s="12" customFormat="1" x14ac:dyDescent="0.25"/>
    <row r="239572" s="12" customFormat="1" x14ac:dyDescent="0.25"/>
    <row r="239573" s="12" customFormat="1" x14ac:dyDescent="0.25"/>
    <row r="239574" s="12" customFormat="1" x14ac:dyDescent="0.25"/>
    <row r="239575" s="12" customFormat="1" x14ac:dyDescent="0.25"/>
    <row r="239576" s="12" customFormat="1" x14ac:dyDescent="0.25"/>
    <row r="239577" s="12" customFormat="1" x14ac:dyDescent="0.25"/>
    <row r="239578" s="12" customFormat="1" x14ac:dyDescent="0.25"/>
    <row r="239579" s="12" customFormat="1" x14ac:dyDescent="0.25"/>
    <row r="239580" s="12" customFormat="1" x14ac:dyDescent="0.25"/>
    <row r="239581" s="12" customFormat="1" x14ac:dyDescent="0.25"/>
    <row r="239582" s="12" customFormat="1" x14ac:dyDescent="0.25"/>
    <row r="239583" s="12" customFormat="1" x14ac:dyDescent="0.25"/>
    <row r="239584" s="12" customFormat="1" x14ac:dyDescent="0.25"/>
    <row r="239585" s="12" customFormat="1" x14ac:dyDescent="0.25"/>
    <row r="239586" s="12" customFormat="1" x14ac:dyDescent="0.25"/>
    <row r="239587" s="12" customFormat="1" x14ac:dyDescent="0.25"/>
    <row r="239588" s="12" customFormat="1" x14ac:dyDescent="0.25"/>
    <row r="239589" s="12" customFormat="1" x14ac:dyDescent="0.25"/>
    <row r="239590" s="12" customFormat="1" x14ac:dyDescent="0.25"/>
    <row r="239591" s="12" customFormat="1" x14ac:dyDescent="0.25"/>
    <row r="239592" s="12" customFormat="1" x14ac:dyDescent="0.25"/>
    <row r="239593" s="12" customFormat="1" x14ac:dyDescent="0.25"/>
    <row r="239594" s="12" customFormat="1" x14ac:dyDescent="0.25"/>
    <row r="239595" s="12" customFormat="1" x14ac:dyDescent="0.25"/>
    <row r="239596" s="12" customFormat="1" x14ac:dyDescent="0.25"/>
    <row r="239597" s="12" customFormat="1" x14ac:dyDescent="0.25"/>
    <row r="239598" s="12" customFormat="1" x14ac:dyDescent="0.25"/>
    <row r="239599" s="12" customFormat="1" x14ac:dyDescent="0.25"/>
    <row r="239600" s="12" customFormat="1" x14ac:dyDescent="0.25"/>
    <row r="239601" s="12" customFormat="1" x14ac:dyDescent="0.25"/>
    <row r="239602" s="12" customFormat="1" x14ac:dyDescent="0.25"/>
    <row r="239603" s="12" customFormat="1" x14ac:dyDescent="0.25"/>
    <row r="239604" s="12" customFormat="1" x14ac:dyDescent="0.25"/>
    <row r="239605" s="12" customFormat="1" x14ac:dyDescent="0.25"/>
    <row r="239606" s="12" customFormat="1" x14ac:dyDescent="0.25"/>
    <row r="239607" s="12" customFormat="1" x14ac:dyDescent="0.25"/>
    <row r="239608" s="12" customFormat="1" x14ac:dyDescent="0.25"/>
    <row r="239609" s="12" customFormat="1" x14ac:dyDescent="0.25"/>
    <row r="239610" s="12" customFormat="1" x14ac:dyDescent="0.25"/>
    <row r="239611" s="12" customFormat="1" x14ac:dyDescent="0.25"/>
    <row r="239612" s="12" customFormat="1" x14ac:dyDescent="0.25"/>
    <row r="239613" s="12" customFormat="1" x14ac:dyDescent="0.25"/>
    <row r="239614" s="12" customFormat="1" x14ac:dyDescent="0.25"/>
    <row r="239615" s="12" customFormat="1" x14ac:dyDescent="0.25"/>
    <row r="239616" s="12" customFormat="1" x14ac:dyDescent="0.25"/>
    <row r="239617" s="12" customFormat="1" x14ac:dyDescent="0.25"/>
    <row r="239618" s="12" customFormat="1" x14ac:dyDescent="0.25"/>
    <row r="239619" s="12" customFormat="1" x14ac:dyDescent="0.25"/>
    <row r="239620" s="12" customFormat="1" x14ac:dyDescent="0.25"/>
    <row r="239621" s="12" customFormat="1" x14ac:dyDescent="0.25"/>
    <row r="239622" s="12" customFormat="1" x14ac:dyDescent="0.25"/>
    <row r="239623" s="12" customFormat="1" x14ac:dyDescent="0.25"/>
    <row r="239624" s="12" customFormat="1" x14ac:dyDescent="0.25"/>
    <row r="239625" s="12" customFormat="1" x14ac:dyDescent="0.25"/>
    <row r="239626" s="12" customFormat="1" x14ac:dyDescent="0.25"/>
    <row r="239627" s="12" customFormat="1" x14ac:dyDescent="0.25"/>
    <row r="239628" s="12" customFormat="1" x14ac:dyDescent="0.25"/>
    <row r="239629" s="12" customFormat="1" x14ac:dyDescent="0.25"/>
    <row r="239630" s="12" customFormat="1" x14ac:dyDescent="0.25"/>
    <row r="239631" s="12" customFormat="1" x14ac:dyDescent="0.25"/>
    <row r="239632" s="12" customFormat="1" x14ac:dyDescent="0.25"/>
    <row r="239633" s="12" customFormat="1" x14ac:dyDescent="0.25"/>
    <row r="239634" s="12" customFormat="1" x14ac:dyDescent="0.25"/>
    <row r="239635" s="12" customFormat="1" x14ac:dyDescent="0.25"/>
    <row r="239636" s="12" customFormat="1" x14ac:dyDescent="0.25"/>
    <row r="239637" s="12" customFormat="1" x14ac:dyDescent="0.25"/>
    <row r="239638" s="12" customFormat="1" x14ac:dyDescent="0.25"/>
    <row r="239639" s="12" customFormat="1" x14ac:dyDescent="0.25"/>
    <row r="239640" s="12" customFormat="1" x14ac:dyDescent="0.25"/>
    <row r="239641" s="12" customFormat="1" x14ac:dyDescent="0.25"/>
    <row r="239642" s="12" customFormat="1" x14ac:dyDescent="0.25"/>
    <row r="239643" s="12" customFormat="1" x14ac:dyDescent="0.25"/>
    <row r="239644" s="12" customFormat="1" x14ac:dyDescent="0.25"/>
    <row r="239645" s="12" customFormat="1" x14ac:dyDescent="0.25"/>
    <row r="239646" s="12" customFormat="1" x14ac:dyDescent="0.25"/>
    <row r="239647" s="12" customFormat="1" x14ac:dyDescent="0.25"/>
    <row r="239648" s="12" customFormat="1" x14ac:dyDescent="0.25"/>
    <row r="239649" s="12" customFormat="1" x14ac:dyDescent="0.25"/>
    <row r="239650" s="12" customFormat="1" x14ac:dyDescent="0.25"/>
    <row r="239651" s="12" customFormat="1" x14ac:dyDescent="0.25"/>
    <row r="239652" s="12" customFormat="1" x14ac:dyDescent="0.25"/>
    <row r="239653" s="12" customFormat="1" x14ac:dyDescent="0.25"/>
    <row r="239654" s="12" customFormat="1" x14ac:dyDescent="0.25"/>
    <row r="239655" s="12" customFormat="1" x14ac:dyDescent="0.25"/>
    <row r="239656" s="12" customFormat="1" x14ac:dyDescent="0.25"/>
    <row r="239657" s="12" customFormat="1" x14ac:dyDescent="0.25"/>
    <row r="239658" s="12" customFormat="1" x14ac:dyDescent="0.25"/>
    <row r="239659" s="12" customFormat="1" x14ac:dyDescent="0.25"/>
    <row r="239660" s="12" customFormat="1" x14ac:dyDescent="0.25"/>
    <row r="239661" s="12" customFormat="1" x14ac:dyDescent="0.25"/>
    <row r="239662" s="12" customFormat="1" x14ac:dyDescent="0.25"/>
    <row r="239663" s="12" customFormat="1" x14ac:dyDescent="0.25"/>
    <row r="239664" s="12" customFormat="1" x14ac:dyDescent="0.25"/>
    <row r="239665" s="12" customFormat="1" x14ac:dyDescent="0.25"/>
    <row r="239666" s="12" customFormat="1" x14ac:dyDescent="0.25"/>
    <row r="239667" s="12" customFormat="1" x14ac:dyDescent="0.25"/>
    <row r="239668" s="12" customFormat="1" x14ac:dyDescent="0.25"/>
    <row r="239669" s="12" customFormat="1" x14ac:dyDescent="0.25"/>
    <row r="239670" s="12" customFormat="1" x14ac:dyDescent="0.25"/>
    <row r="239671" s="12" customFormat="1" x14ac:dyDescent="0.25"/>
    <row r="239672" s="12" customFormat="1" x14ac:dyDescent="0.25"/>
    <row r="239673" s="12" customFormat="1" x14ac:dyDescent="0.25"/>
    <row r="239674" s="12" customFormat="1" x14ac:dyDescent="0.25"/>
    <row r="239675" s="12" customFormat="1" x14ac:dyDescent="0.25"/>
    <row r="239676" s="12" customFormat="1" x14ac:dyDescent="0.25"/>
    <row r="239677" s="12" customFormat="1" x14ac:dyDescent="0.25"/>
    <row r="239678" s="12" customFormat="1" x14ac:dyDescent="0.25"/>
    <row r="239679" s="12" customFormat="1" x14ac:dyDescent="0.25"/>
    <row r="239680" s="12" customFormat="1" x14ac:dyDescent="0.25"/>
    <row r="239681" s="12" customFormat="1" x14ac:dyDescent="0.25"/>
    <row r="239682" s="12" customFormat="1" x14ac:dyDescent="0.25"/>
    <row r="239683" s="12" customFormat="1" x14ac:dyDescent="0.25"/>
    <row r="239684" s="12" customFormat="1" x14ac:dyDescent="0.25"/>
    <row r="239685" s="12" customFormat="1" x14ac:dyDescent="0.25"/>
    <row r="239686" s="12" customFormat="1" x14ac:dyDescent="0.25"/>
    <row r="239687" s="12" customFormat="1" x14ac:dyDescent="0.25"/>
    <row r="239688" s="12" customFormat="1" x14ac:dyDescent="0.25"/>
    <row r="239689" s="12" customFormat="1" x14ac:dyDescent="0.25"/>
    <row r="239690" s="12" customFormat="1" x14ac:dyDescent="0.25"/>
    <row r="239691" s="12" customFormat="1" x14ac:dyDescent="0.25"/>
    <row r="239692" s="12" customFormat="1" x14ac:dyDescent="0.25"/>
    <row r="239693" s="12" customFormat="1" x14ac:dyDescent="0.25"/>
    <row r="239694" s="12" customFormat="1" x14ac:dyDescent="0.25"/>
    <row r="239695" s="12" customFormat="1" x14ac:dyDescent="0.25"/>
    <row r="239696" s="12" customFormat="1" x14ac:dyDescent="0.25"/>
    <row r="239697" s="12" customFormat="1" x14ac:dyDescent="0.25"/>
    <row r="239698" s="12" customFormat="1" x14ac:dyDescent="0.25"/>
    <row r="239699" s="12" customFormat="1" x14ac:dyDescent="0.25"/>
    <row r="239700" s="12" customFormat="1" x14ac:dyDescent="0.25"/>
    <row r="239701" s="12" customFormat="1" x14ac:dyDescent="0.25"/>
    <row r="239702" s="12" customFormat="1" x14ac:dyDescent="0.25"/>
    <row r="239703" s="12" customFormat="1" x14ac:dyDescent="0.25"/>
    <row r="239704" s="12" customFormat="1" x14ac:dyDescent="0.25"/>
    <row r="239705" s="12" customFormat="1" x14ac:dyDescent="0.25"/>
    <row r="239706" s="12" customFormat="1" x14ac:dyDescent="0.25"/>
    <row r="239707" s="12" customFormat="1" x14ac:dyDescent="0.25"/>
    <row r="239708" s="12" customFormat="1" x14ac:dyDescent="0.25"/>
    <row r="239709" s="12" customFormat="1" x14ac:dyDescent="0.25"/>
    <row r="239710" s="12" customFormat="1" x14ac:dyDescent="0.25"/>
    <row r="239711" s="12" customFormat="1" x14ac:dyDescent="0.25"/>
    <row r="239712" s="12" customFormat="1" x14ac:dyDescent="0.25"/>
    <row r="239713" s="12" customFormat="1" x14ac:dyDescent="0.25"/>
    <row r="239714" s="12" customFormat="1" x14ac:dyDescent="0.25"/>
    <row r="239715" s="12" customFormat="1" x14ac:dyDescent="0.25"/>
    <row r="239716" s="12" customFormat="1" x14ac:dyDescent="0.25"/>
    <row r="239717" s="12" customFormat="1" x14ac:dyDescent="0.25"/>
    <row r="239718" s="12" customFormat="1" x14ac:dyDescent="0.25"/>
    <row r="239719" s="12" customFormat="1" x14ac:dyDescent="0.25"/>
    <row r="239720" s="12" customFormat="1" x14ac:dyDescent="0.25"/>
    <row r="239721" s="12" customFormat="1" x14ac:dyDescent="0.25"/>
    <row r="239722" s="12" customFormat="1" x14ac:dyDescent="0.25"/>
    <row r="239723" s="12" customFormat="1" x14ac:dyDescent="0.25"/>
    <row r="239724" s="12" customFormat="1" x14ac:dyDescent="0.25"/>
    <row r="239725" s="12" customFormat="1" x14ac:dyDescent="0.25"/>
    <row r="239726" s="12" customFormat="1" x14ac:dyDescent="0.25"/>
    <row r="239727" s="12" customFormat="1" x14ac:dyDescent="0.25"/>
    <row r="239728" s="12" customFormat="1" x14ac:dyDescent="0.25"/>
    <row r="239729" s="12" customFormat="1" x14ac:dyDescent="0.25"/>
    <row r="239730" s="12" customFormat="1" x14ac:dyDescent="0.25"/>
    <row r="239731" s="12" customFormat="1" x14ac:dyDescent="0.25"/>
    <row r="239732" s="12" customFormat="1" x14ac:dyDescent="0.25"/>
    <row r="239733" s="12" customFormat="1" x14ac:dyDescent="0.25"/>
    <row r="239734" s="12" customFormat="1" x14ac:dyDescent="0.25"/>
    <row r="239735" s="12" customFormat="1" x14ac:dyDescent="0.25"/>
    <row r="239736" s="12" customFormat="1" x14ac:dyDescent="0.25"/>
    <row r="239737" s="12" customFormat="1" x14ac:dyDescent="0.25"/>
    <row r="239738" s="12" customFormat="1" x14ac:dyDescent="0.25"/>
    <row r="239739" s="12" customFormat="1" x14ac:dyDescent="0.25"/>
    <row r="239740" s="12" customFormat="1" x14ac:dyDescent="0.25"/>
    <row r="239741" s="12" customFormat="1" x14ac:dyDescent="0.25"/>
    <row r="239742" s="12" customFormat="1" x14ac:dyDescent="0.25"/>
    <row r="239743" s="12" customFormat="1" x14ac:dyDescent="0.25"/>
    <row r="239744" s="12" customFormat="1" x14ac:dyDescent="0.25"/>
    <row r="239745" s="12" customFormat="1" x14ac:dyDescent="0.25"/>
    <row r="239746" s="12" customFormat="1" x14ac:dyDescent="0.25"/>
    <row r="239747" s="12" customFormat="1" x14ac:dyDescent="0.25"/>
    <row r="239748" s="12" customFormat="1" x14ac:dyDescent="0.25"/>
    <row r="239749" s="12" customFormat="1" x14ac:dyDescent="0.25"/>
    <row r="239750" s="12" customFormat="1" x14ac:dyDescent="0.25"/>
    <row r="239751" s="12" customFormat="1" x14ac:dyDescent="0.25"/>
    <row r="239752" s="12" customFormat="1" x14ac:dyDescent="0.25"/>
    <row r="239753" s="12" customFormat="1" x14ac:dyDescent="0.25"/>
    <row r="239754" s="12" customFormat="1" x14ac:dyDescent="0.25"/>
    <row r="239755" s="12" customFormat="1" x14ac:dyDescent="0.25"/>
    <row r="239756" s="12" customFormat="1" x14ac:dyDescent="0.25"/>
    <row r="239757" s="12" customFormat="1" x14ac:dyDescent="0.25"/>
    <row r="239758" s="12" customFormat="1" x14ac:dyDescent="0.25"/>
    <row r="239759" s="12" customFormat="1" x14ac:dyDescent="0.25"/>
    <row r="239760" s="12" customFormat="1" x14ac:dyDescent="0.25"/>
    <row r="239761" s="12" customFormat="1" x14ac:dyDescent="0.25"/>
    <row r="239762" s="12" customFormat="1" x14ac:dyDescent="0.25"/>
    <row r="239763" s="12" customFormat="1" x14ac:dyDescent="0.25"/>
    <row r="239764" s="12" customFormat="1" x14ac:dyDescent="0.25"/>
    <row r="239765" s="12" customFormat="1" x14ac:dyDescent="0.25"/>
    <row r="239766" s="12" customFormat="1" x14ac:dyDescent="0.25"/>
    <row r="239767" s="12" customFormat="1" x14ac:dyDescent="0.25"/>
    <row r="239768" s="12" customFormat="1" x14ac:dyDescent="0.25"/>
    <row r="239769" s="12" customFormat="1" x14ac:dyDescent="0.25"/>
    <row r="239770" s="12" customFormat="1" x14ac:dyDescent="0.25"/>
    <row r="239771" s="12" customFormat="1" x14ac:dyDescent="0.25"/>
    <row r="239772" s="12" customFormat="1" x14ac:dyDescent="0.25"/>
    <row r="239773" s="12" customFormat="1" x14ac:dyDescent="0.25"/>
    <row r="239774" s="12" customFormat="1" x14ac:dyDescent="0.25"/>
    <row r="239775" s="12" customFormat="1" x14ac:dyDescent="0.25"/>
    <row r="239776" s="12" customFormat="1" x14ac:dyDescent="0.25"/>
    <row r="239777" s="12" customFormat="1" x14ac:dyDescent="0.25"/>
    <row r="239778" s="12" customFormat="1" x14ac:dyDescent="0.25"/>
    <row r="239779" s="12" customFormat="1" x14ac:dyDescent="0.25"/>
    <row r="239780" s="12" customFormat="1" x14ac:dyDescent="0.25"/>
    <row r="239781" s="12" customFormat="1" x14ac:dyDescent="0.25"/>
    <row r="239782" s="12" customFormat="1" x14ac:dyDescent="0.25"/>
    <row r="239783" s="12" customFormat="1" x14ac:dyDescent="0.25"/>
    <row r="239784" s="12" customFormat="1" x14ac:dyDescent="0.25"/>
    <row r="239785" s="12" customFormat="1" x14ac:dyDescent="0.25"/>
    <row r="239786" s="12" customFormat="1" x14ac:dyDescent="0.25"/>
    <row r="239787" s="12" customFormat="1" x14ac:dyDescent="0.25"/>
    <row r="239788" s="12" customFormat="1" x14ac:dyDescent="0.25"/>
    <row r="239789" s="12" customFormat="1" x14ac:dyDescent="0.25"/>
    <row r="239790" s="12" customFormat="1" x14ac:dyDescent="0.25"/>
    <row r="239791" s="12" customFormat="1" x14ac:dyDescent="0.25"/>
    <row r="239792" s="12" customFormat="1" x14ac:dyDescent="0.25"/>
    <row r="239793" s="12" customFormat="1" x14ac:dyDescent="0.25"/>
    <row r="239794" s="12" customFormat="1" x14ac:dyDescent="0.25"/>
    <row r="239795" s="12" customFormat="1" x14ac:dyDescent="0.25"/>
    <row r="239796" s="12" customFormat="1" x14ac:dyDescent="0.25"/>
    <row r="239797" s="12" customFormat="1" x14ac:dyDescent="0.25"/>
    <row r="239798" s="12" customFormat="1" x14ac:dyDescent="0.25"/>
    <row r="239799" s="12" customFormat="1" x14ac:dyDescent="0.25"/>
    <row r="239800" s="12" customFormat="1" x14ac:dyDescent="0.25"/>
    <row r="239801" s="12" customFormat="1" x14ac:dyDescent="0.25"/>
    <row r="239802" s="12" customFormat="1" x14ac:dyDescent="0.25"/>
    <row r="239803" s="12" customFormat="1" x14ac:dyDescent="0.25"/>
    <row r="239804" s="12" customFormat="1" x14ac:dyDescent="0.25"/>
    <row r="239805" s="12" customFormat="1" x14ac:dyDescent="0.25"/>
    <row r="239806" s="12" customFormat="1" x14ac:dyDescent="0.25"/>
    <row r="239807" s="12" customFormat="1" x14ac:dyDescent="0.25"/>
    <row r="239808" s="12" customFormat="1" x14ac:dyDescent="0.25"/>
    <row r="239809" s="12" customFormat="1" x14ac:dyDescent="0.25"/>
    <row r="239810" s="12" customFormat="1" x14ac:dyDescent="0.25"/>
    <row r="239811" s="12" customFormat="1" x14ac:dyDescent="0.25"/>
    <row r="239812" s="12" customFormat="1" x14ac:dyDescent="0.25"/>
    <row r="239813" s="12" customFormat="1" x14ac:dyDescent="0.25"/>
    <row r="239814" s="12" customFormat="1" x14ac:dyDescent="0.25"/>
    <row r="239815" s="12" customFormat="1" x14ac:dyDescent="0.25"/>
    <row r="239816" s="12" customFormat="1" x14ac:dyDescent="0.25"/>
    <row r="239817" s="12" customFormat="1" x14ac:dyDescent="0.25"/>
    <row r="239818" s="12" customFormat="1" x14ac:dyDescent="0.25"/>
    <row r="239819" s="12" customFormat="1" x14ac:dyDescent="0.25"/>
    <row r="239820" s="12" customFormat="1" x14ac:dyDescent="0.25"/>
    <row r="239821" s="12" customFormat="1" x14ac:dyDescent="0.25"/>
    <row r="239822" s="12" customFormat="1" x14ac:dyDescent="0.25"/>
    <row r="239823" s="12" customFormat="1" x14ac:dyDescent="0.25"/>
    <row r="239824" s="12" customFormat="1" x14ac:dyDescent="0.25"/>
    <row r="239825" s="12" customFormat="1" x14ac:dyDescent="0.25"/>
    <row r="239826" s="12" customFormat="1" x14ac:dyDescent="0.25"/>
    <row r="239827" s="12" customFormat="1" x14ac:dyDescent="0.25"/>
    <row r="239828" s="12" customFormat="1" x14ac:dyDescent="0.25"/>
    <row r="239829" s="12" customFormat="1" x14ac:dyDescent="0.25"/>
    <row r="239830" s="12" customFormat="1" x14ac:dyDescent="0.25"/>
    <row r="239831" s="12" customFormat="1" x14ac:dyDescent="0.25"/>
    <row r="239832" s="12" customFormat="1" x14ac:dyDescent="0.25"/>
    <row r="239833" s="12" customFormat="1" x14ac:dyDescent="0.25"/>
    <row r="239834" s="12" customFormat="1" x14ac:dyDescent="0.25"/>
    <row r="239835" s="12" customFormat="1" x14ac:dyDescent="0.25"/>
    <row r="239836" s="12" customFormat="1" x14ac:dyDescent="0.25"/>
    <row r="239837" s="12" customFormat="1" x14ac:dyDescent="0.25"/>
    <row r="239838" s="12" customFormat="1" x14ac:dyDescent="0.25"/>
    <row r="239839" s="12" customFormat="1" x14ac:dyDescent="0.25"/>
    <row r="239840" s="12" customFormat="1" x14ac:dyDescent="0.25"/>
    <row r="239841" s="12" customFormat="1" x14ac:dyDescent="0.25"/>
    <row r="239842" s="12" customFormat="1" x14ac:dyDescent="0.25"/>
    <row r="239843" s="12" customFormat="1" x14ac:dyDescent="0.25"/>
    <row r="239844" s="12" customFormat="1" x14ac:dyDescent="0.25"/>
    <row r="239845" s="12" customFormat="1" x14ac:dyDescent="0.25"/>
    <row r="239846" s="12" customFormat="1" x14ac:dyDescent="0.25"/>
    <row r="239847" s="12" customFormat="1" x14ac:dyDescent="0.25"/>
    <row r="239848" s="12" customFormat="1" x14ac:dyDescent="0.25"/>
    <row r="239849" s="12" customFormat="1" x14ac:dyDescent="0.25"/>
    <row r="239850" s="12" customFormat="1" x14ac:dyDescent="0.25"/>
    <row r="239851" s="12" customFormat="1" x14ac:dyDescent="0.25"/>
    <row r="239852" s="12" customFormat="1" x14ac:dyDescent="0.25"/>
    <row r="239853" s="12" customFormat="1" x14ac:dyDescent="0.25"/>
    <row r="239854" s="12" customFormat="1" x14ac:dyDescent="0.25"/>
    <row r="239855" s="12" customFormat="1" x14ac:dyDescent="0.25"/>
    <row r="239856" s="12" customFormat="1" x14ac:dyDescent="0.25"/>
    <row r="239857" s="12" customFormat="1" x14ac:dyDescent="0.25"/>
    <row r="239858" s="12" customFormat="1" x14ac:dyDescent="0.25"/>
    <row r="239859" s="12" customFormat="1" x14ac:dyDescent="0.25"/>
    <row r="239860" s="12" customFormat="1" x14ac:dyDescent="0.25"/>
    <row r="239861" s="12" customFormat="1" x14ac:dyDescent="0.25"/>
    <row r="239862" s="12" customFormat="1" x14ac:dyDescent="0.25"/>
    <row r="239863" s="12" customFormat="1" x14ac:dyDescent="0.25"/>
    <row r="239864" s="12" customFormat="1" x14ac:dyDescent="0.25"/>
    <row r="239865" s="12" customFormat="1" x14ac:dyDescent="0.25"/>
    <row r="239866" s="12" customFormat="1" x14ac:dyDescent="0.25"/>
    <row r="239867" s="12" customFormat="1" x14ac:dyDescent="0.25"/>
    <row r="239868" s="12" customFormat="1" x14ac:dyDescent="0.25"/>
    <row r="239869" s="12" customFormat="1" x14ac:dyDescent="0.25"/>
    <row r="239870" s="12" customFormat="1" x14ac:dyDescent="0.25"/>
    <row r="239871" s="12" customFormat="1" x14ac:dyDescent="0.25"/>
    <row r="239872" s="12" customFormat="1" x14ac:dyDescent="0.25"/>
    <row r="239873" s="12" customFormat="1" x14ac:dyDescent="0.25"/>
    <row r="239874" s="12" customFormat="1" x14ac:dyDescent="0.25"/>
    <row r="239875" s="12" customFormat="1" x14ac:dyDescent="0.25"/>
    <row r="239876" s="12" customFormat="1" x14ac:dyDescent="0.25"/>
    <row r="239877" s="12" customFormat="1" x14ac:dyDescent="0.25"/>
    <row r="239878" s="12" customFormat="1" x14ac:dyDescent="0.25"/>
    <row r="239879" s="12" customFormat="1" x14ac:dyDescent="0.25"/>
    <row r="239880" s="12" customFormat="1" x14ac:dyDescent="0.25"/>
    <row r="239881" s="12" customFormat="1" x14ac:dyDescent="0.25"/>
    <row r="239882" s="12" customFormat="1" x14ac:dyDescent="0.25"/>
    <row r="239883" s="12" customFormat="1" x14ac:dyDescent="0.25"/>
    <row r="239884" s="12" customFormat="1" x14ac:dyDescent="0.25"/>
    <row r="239885" s="12" customFormat="1" x14ac:dyDescent="0.25"/>
    <row r="239886" s="12" customFormat="1" x14ac:dyDescent="0.25"/>
    <row r="239887" s="12" customFormat="1" x14ac:dyDescent="0.25"/>
    <row r="239888" s="12" customFormat="1" x14ac:dyDescent="0.25"/>
    <row r="239889" s="12" customFormat="1" x14ac:dyDescent="0.25"/>
    <row r="239890" s="12" customFormat="1" x14ac:dyDescent="0.25"/>
    <row r="239891" s="12" customFormat="1" x14ac:dyDescent="0.25"/>
    <row r="239892" s="12" customFormat="1" x14ac:dyDescent="0.25"/>
    <row r="239893" s="12" customFormat="1" x14ac:dyDescent="0.25"/>
    <row r="239894" s="12" customFormat="1" x14ac:dyDescent="0.25"/>
    <row r="239895" s="12" customFormat="1" x14ac:dyDescent="0.25"/>
    <row r="239896" s="12" customFormat="1" x14ac:dyDescent="0.25"/>
    <row r="239897" s="12" customFormat="1" x14ac:dyDescent="0.25"/>
    <row r="239898" s="12" customFormat="1" x14ac:dyDescent="0.25"/>
    <row r="239899" s="12" customFormat="1" x14ac:dyDescent="0.25"/>
    <row r="239900" s="12" customFormat="1" x14ac:dyDescent="0.25"/>
    <row r="239901" s="12" customFormat="1" x14ac:dyDescent="0.25"/>
    <row r="239902" s="12" customFormat="1" x14ac:dyDescent="0.25"/>
    <row r="239903" s="12" customFormat="1" x14ac:dyDescent="0.25"/>
    <row r="239904" s="12" customFormat="1" x14ac:dyDescent="0.25"/>
    <row r="239905" s="12" customFormat="1" x14ac:dyDescent="0.25"/>
    <row r="239906" s="12" customFormat="1" x14ac:dyDescent="0.25"/>
    <row r="239907" s="12" customFormat="1" x14ac:dyDescent="0.25"/>
    <row r="239908" s="12" customFormat="1" x14ac:dyDescent="0.25"/>
    <row r="239909" s="12" customFormat="1" x14ac:dyDescent="0.25"/>
    <row r="239910" s="12" customFormat="1" x14ac:dyDescent="0.25"/>
    <row r="239911" s="12" customFormat="1" x14ac:dyDescent="0.25"/>
    <row r="239912" s="12" customFormat="1" x14ac:dyDescent="0.25"/>
    <row r="239913" s="12" customFormat="1" x14ac:dyDescent="0.25"/>
    <row r="239914" s="12" customFormat="1" x14ac:dyDescent="0.25"/>
    <row r="239915" s="12" customFormat="1" x14ac:dyDescent="0.25"/>
    <row r="239916" s="12" customFormat="1" x14ac:dyDescent="0.25"/>
    <row r="239917" s="12" customFormat="1" x14ac:dyDescent="0.25"/>
    <row r="239918" s="12" customFormat="1" x14ac:dyDescent="0.25"/>
    <row r="239919" s="12" customFormat="1" x14ac:dyDescent="0.25"/>
    <row r="239920" s="12" customFormat="1" x14ac:dyDescent="0.25"/>
    <row r="239921" s="12" customFormat="1" x14ac:dyDescent="0.25"/>
    <row r="239922" s="12" customFormat="1" x14ac:dyDescent="0.25"/>
    <row r="239923" s="12" customFormat="1" x14ac:dyDescent="0.25"/>
    <row r="239924" s="12" customFormat="1" x14ac:dyDescent="0.25"/>
    <row r="239925" s="12" customFormat="1" x14ac:dyDescent="0.25"/>
    <row r="239926" s="12" customFormat="1" x14ac:dyDescent="0.25"/>
    <row r="239927" s="12" customFormat="1" x14ac:dyDescent="0.25"/>
    <row r="239928" s="12" customFormat="1" x14ac:dyDescent="0.25"/>
    <row r="239929" s="12" customFormat="1" x14ac:dyDescent="0.25"/>
    <row r="239930" s="12" customFormat="1" x14ac:dyDescent="0.25"/>
    <row r="239931" s="12" customFormat="1" x14ac:dyDescent="0.25"/>
    <row r="239932" s="12" customFormat="1" x14ac:dyDescent="0.25"/>
    <row r="239933" s="12" customFormat="1" x14ac:dyDescent="0.25"/>
    <row r="239934" s="12" customFormat="1" x14ac:dyDescent="0.25"/>
    <row r="239935" s="12" customFormat="1" x14ac:dyDescent="0.25"/>
    <row r="239936" s="12" customFormat="1" x14ac:dyDescent="0.25"/>
    <row r="239937" s="12" customFormat="1" x14ac:dyDescent="0.25"/>
    <row r="239938" s="12" customFormat="1" x14ac:dyDescent="0.25"/>
    <row r="239939" s="12" customFormat="1" x14ac:dyDescent="0.25"/>
    <row r="239940" s="12" customFormat="1" x14ac:dyDescent="0.25"/>
    <row r="239941" s="12" customFormat="1" x14ac:dyDescent="0.25"/>
    <row r="239942" s="12" customFormat="1" x14ac:dyDescent="0.25"/>
    <row r="239943" s="12" customFormat="1" x14ac:dyDescent="0.25"/>
    <row r="239944" s="12" customFormat="1" x14ac:dyDescent="0.25"/>
    <row r="239945" s="12" customFormat="1" x14ac:dyDescent="0.25"/>
    <row r="239946" s="12" customFormat="1" x14ac:dyDescent="0.25"/>
    <row r="239947" s="12" customFormat="1" x14ac:dyDescent="0.25"/>
    <row r="239948" s="12" customFormat="1" x14ac:dyDescent="0.25"/>
    <row r="239949" s="12" customFormat="1" x14ac:dyDescent="0.25"/>
    <row r="239950" s="12" customFormat="1" x14ac:dyDescent="0.25"/>
    <row r="239951" s="12" customFormat="1" x14ac:dyDescent="0.25"/>
    <row r="239952" s="12" customFormat="1" x14ac:dyDescent="0.25"/>
    <row r="239953" s="12" customFormat="1" x14ac:dyDescent="0.25"/>
    <row r="239954" s="12" customFormat="1" x14ac:dyDescent="0.25"/>
    <row r="239955" s="12" customFormat="1" x14ac:dyDescent="0.25"/>
    <row r="239956" s="12" customFormat="1" x14ac:dyDescent="0.25"/>
    <row r="239957" s="12" customFormat="1" x14ac:dyDescent="0.25"/>
    <row r="239958" s="12" customFormat="1" x14ac:dyDescent="0.25"/>
    <row r="239959" s="12" customFormat="1" x14ac:dyDescent="0.25"/>
    <row r="239960" s="12" customFormat="1" x14ac:dyDescent="0.25"/>
    <row r="239961" s="12" customFormat="1" x14ac:dyDescent="0.25"/>
    <row r="239962" s="12" customFormat="1" x14ac:dyDescent="0.25"/>
    <row r="239963" s="12" customFormat="1" x14ac:dyDescent="0.25"/>
    <row r="239964" s="12" customFormat="1" x14ac:dyDescent="0.25"/>
    <row r="239965" s="12" customFormat="1" x14ac:dyDescent="0.25"/>
    <row r="239966" s="12" customFormat="1" x14ac:dyDescent="0.25"/>
    <row r="239967" s="12" customFormat="1" x14ac:dyDescent="0.25"/>
    <row r="239968" s="12" customFormat="1" x14ac:dyDescent="0.25"/>
    <row r="239969" s="12" customFormat="1" x14ac:dyDescent="0.25"/>
    <row r="239970" s="12" customFormat="1" x14ac:dyDescent="0.25"/>
    <row r="239971" s="12" customFormat="1" x14ac:dyDescent="0.25"/>
    <row r="239972" s="12" customFormat="1" x14ac:dyDescent="0.25"/>
    <row r="239973" s="12" customFormat="1" x14ac:dyDescent="0.25"/>
    <row r="239974" s="12" customFormat="1" x14ac:dyDescent="0.25"/>
    <row r="239975" s="12" customFormat="1" x14ac:dyDescent="0.25"/>
    <row r="239976" s="12" customFormat="1" x14ac:dyDescent="0.25"/>
    <row r="239977" s="12" customFormat="1" x14ac:dyDescent="0.25"/>
    <row r="239978" s="12" customFormat="1" x14ac:dyDescent="0.25"/>
    <row r="239979" s="12" customFormat="1" x14ac:dyDescent="0.25"/>
    <row r="239980" s="12" customFormat="1" x14ac:dyDescent="0.25"/>
    <row r="239981" s="12" customFormat="1" x14ac:dyDescent="0.25"/>
    <row r="239982" s="12" customFormat="1" x14ac:dyDescent="0.25"/>
    <row r="239983" s="12" customFormat="1" x14ac:dyDescent="0.25"/>
    <row r="239984" s="12" customFormat="1" x14ac:dyDescent="0.25"/>
    <row r="239985" s="12" customFormat="1" x14ac:dyDescent="0.25"/>
    <row r="239986" s="12" customFormat="1" x14ac:dyDescent="0.25"/>
    <row r="239987" s="12" customFormat="1" x14ac:dyDescent="0.25"/>
    <row r="239988" s="12" customFormat="1" x14ac:dyDescent="0.25"/>
    <row r="239989" s="12" customFormat="1" x14ac:dyDescent="0.25"/>
    <row r="239990" s="12" customFormat="1" x14ac:dyDescent="0.25"/>
    <row r="239991" s="12" customFormat="1" x14ac:dyDescent="0.25"/>
    <row r="239992" s="12" customFormat="1" x14ac:dyDescent="0.25"/>
    <row r="239993" s="12" customFormat="1" x14ac:dyDescent="0.25"/>
    <row r="239994" s="12" customFormat="1" x14ac:dyDescent="0.25"/>
    <row r="239995" s="12" customFormat="1" x14ac:dyDescent="0.25"/>
    <row r="239996" s="12" customFormat="1" x14ac:dyDescent="0.25"/>
    <row r="239997" s="12" customFormat="1" x14ac:dyDescent="0.25"/>
    <row r="239998" s="12" customFormat="1" x14ac:dyDescent="0.25"/>
    <row r="239999" s="12" customFormat="1" x14ac:dyDescent="0.25"/>
    <row r="240000" s="12" customFormat="1" x14ac:dyDescent="0.25"/>
    <row r="240001" s="12" customFormat="1" x14ac:dyDescent="0.25"/>
    <row r="240002" s="12" customFormat="1" x14ac:dyDescent="0.25"/>
    <row r="240003" s="12" customFormat="1" x14ac:dyDescent="0.25"/>
    <row r="240004" s="12" customFormat="1" x14ac:dyDescent="0.25"/>
    <row r="240005" s="12" customFormat="1" x14ac:dyDescent="0.25"/>
    <row r="240006" s="12" customFormat="1" x14ac:dyDescent="0.25"/>
    <row r="240007" s="12" customFormat="1" x14ac:dyDescent="0.25"/>
    <row r="240008" s="12" customFormat="1" x14ac:dyDescent="0.25"/>
    <row r="240009" s="12" customFormat="1" x14ac:dyDescent="0.25"/>
    <row r="240010" s="12" customFormat="1" x14ac:dyDescent="0.25"/>
    <row r="240011" s="12" customFormat="1" x14ac:dyDescent="0.25"/>
    <row r="240012" s="12" customFormat="1" x14ac:dyDescent="0.25"/>
    <row r="240013" s="12" customFormat="1" x14ac:dyDescent="0.25"/>
    <row r="240014" s="12" customFormat="1" x14ac:dyDescent="0.25"/>
    <row r="240015" s="12" customFormat="1" x14ac:dyDescent="0.25"/>
    <row r="240016" s="12" customFormat="1" x14ac:dyDescent="0.25"/>
    <row r="240017" s="12" customFormat="1" x14ac:dyDescent="0.25"/>
    <row r="240018" s="12" customFormat="1" x14ac:dyDescent="0.25"/>
    <row r="240019" s="12" customFormat="1" x14ac:dyDescent="0.25"/>
    <row r="240020" s="12" customFormat="1" x14ac:dyDescent="0.25"/>
    <row r="240021" s="12" customFormat="1" x14ac:dyDescent="0.25"/>
    <row r="240022" s="12" customFormat="1" x14ac:dyDescent="0.25"/>
    <row r="240023" s="12" customFormat="1" x14ac:dyDescent="0.25"/>
    <row r="240024" s="12" customFormat="1" x14ac:dyDescent="0.25"/>
    <row r="240025" s="12" customFormat="1" x14ac:dyDescent="0.25"/>
    <row r="240026" s="12" customFormat="1" x14ac:dyDescent="0.25"/>
    <row r="240027" s="12" customFormat="1" x14ac:dyDescent="0.25"/>
    <row r="240028" s="12" customFormat="1" x14ac:dyDescent="0.25"/>
    <row r="240029" s="12" customFormat="1" x14ac:dyDescent="0.25"/>
    <row r="240030" s="12" customFormat="1" x14ac:dyDescent="0.25"/>
    <row r="240031" s="12" customFormat="1" x14ac:dyDescent="0.25"/>
    <row r="240032" s="12" customFormat="1" x14ac:dyDescent="0.25"/>
    <row r="240033" s="12" customFormat="1" x14ac:dyDescent="0.25"/>
    <row r="240034" s="12" customFormat="1" x14ac:dyDescent="0.25"/>
    <row r="240035" s="12" customFormat="1" x14ac:dyDescent="0.25"/>
    <row r="240036" s="12" customFormat="1" x14ac:dyDescent="0.25"/>
    <row r="240037" s="12" customFormat="1" x14ac:dyDescent="0.25"/>
    <row r="240038" s="12" customFormat="1" x14ac:dyDescent="0.25"/>
    <row r="240039" s="12" customFormat="1" x14ac:dyDescent="0.25"/>
    <row r="240040" s="12" customFormat="1" x14ac:dyDescent="0.25"/>
    <row r="240041" s="12" customFormat="1" x14ac:dyDescent="0.25"/>
    <row r="240042" s="12" customFormat="1" x14ac:dyDescent="0.25"/>
    <row r="240043" s="12" customFormat="1" x14ac:dyDescent="0.25"/>
    <row r="240044" s="12" customFormat="1" x14ac:dyDescent="0.25"/>
    <row r="240045" s="12" customFormat="1" x14ac:dyDescent="0.25"/>
    <row r="240046" s="12" customFormat="1" x14ac:dyDescent="0.25"/>
    <row r="240047" s="12" customFormat="1" x14ac:dyDescent="0.25"/>
    <row r="240048" s="12" customFormat="1" x14ac:dyDescent="0.25"/>
    <row r="240049" s="12" customFormat="1" x14ac:dyDescent="0.25"/>
    <row r="240050" s="12" customFormat="1" x14ac:dyDescent="0.25"/>
    <row r="240051" s="12" customFormat="1" x14ac:dyDescent="0.25"/>
    <row r="240052" s="12" customFormat="1" x14ac:dyDescent="0.25"/>
    <row r="240053" s="12" customFormat="1" x14ac:dyDescent="0.25"/>
    <row r="240054" s="12" customFormat="1" x14ac:dyDescent="0.25"/>
    <row r="240055" s="12" customFormat="1" x14ac:dyDescent="0.25"/>
    <row r="240056" s="12" customFormat="1" x14ac:dyDescent="0.25"/>
    <row r="240057" s="12" customFormat="1" x14ac:dyDescent="0.25"/>
    <row r="240058" s="12" customFormat="1" x14ac:dyDescent="0.25"/>
    <row r="240059" s="12" customFormat="1" x14ac:dyDescent="0.25"/>
    <row r="240060" s="12" customFormat="1" x14ac:dyDescent="0.25"/>
    <row r="240061" s="12" customFormat="1" x14ac:dyDescent="0.25"/>
    <row r="240062" s="12" customFormat="1" x14ac:dyDescent="0.25"/>
    <row r="240063" s="12" customFormat="1" x14ac:dyDescent="0.25"/>
    <row r="240064" s="12" customFormat="1" x14ac:dyDescent="0.25"/>
    <row r="240065" s="12" customFormat="1" x14ac:dyDescent="0.25"/>
    <row r="240066" s="12" customFormat="1" x14ac:dyDescent="0.25"/>
    <row r="240067" s="12" customFormat="1" x14ac:dyDescent="0.25"/>
    <row r="240068" s="12" customFormat="1" x14ac:dyDescent="0.25"/>
    <row r="240069" s="12" customFormat="1" x14ac:dyDescent="0.25"/>
    <row r="240070" s="12" customFormat="1" x14ac:dyDescent="0.25"/>
    <row r="240071" s="12" customFormat="1" x14ac:dyDescent="0.25"/>
    <row r="240072" s="12" customFormat="1" x14ac:dyDescent="0.25"/>
    <row r="240073" s="12" customFormat="1" x14ac:dyDescent="0.25"/>
    <row r="240074" s="12" customFormat="1" x14ac:dyDescent="0.25"/>
    <row r="240075" s="12" customFormat="1" x14ac:dyDescent="0.25"/>
    <row r="240076" s="12" customFormat="1" x14ac:dyDescent="0.25"/>
    <row r="240077" s="12" customFormat="1" x14ac:dyDescent="0.25"/>
    <row r="240078" s="12" customFormat="1" x14ac:dyDescent="0.25"/>
    <row r="240079" s="12" customFormat="1" x14ac:dyDescent="0.25"/>
    <row r="240080" s="12" customFormat="1" x14ac:dyDescent="0.25"/>
    <row r="240081" s="12" customFormat="1" x14ac:dyDescent="0.25"/>
    <row r="240082" s="12" customFormat="1" x14ac:dyDescent="0.25"/>
    <row r="240083" s="12" customFormat="1" x14ac:dyDescent="0.25"/>
    <row r="240084" s="12" customFormat="1" x14ac:dyDescent="0.25"/>
    <row r="240085" s="12" customFormat="1" x14ac:dyDescent="0.25"/>
    <row r="240086" s="12" customFormat="1" x14ac:dyDescent="0.25"/>
    <row r="240087" s="12" customFormat="1" x14ac:dyDescent="0.25"/>
    <row r="240088" s="12" customFormat="1" x14ac:dyDescent="0.25"/>
    <row r="240089" s="12" customFormat="1" x14ac:dyDescent="0.25"/>
    <row r="240090" s="12" customFormat="1" x14ac:dyDescent="0.25"/>
    <row r="240091" s="12" customFormat="1" x14ac:dyDescent="0.25"/>
    <row r="240092" s="12" customFormat="1" x14ac:dyDescent="0.25"/>
    <row r="240093" s="12" customFormat="1" x14ac:dyDescent="0.25"/>
    <row r="240094" s="12" customFormat="1" x14ac:dyDescent="0.25"/>
    <row r="240095" s="12" customFormat="1" x14ac:dyDescent="0.25"/>
    <row r="240096" s="12" customFormat="1" x14ac:dyDescent="0.25"/>
    <row r="240097" s="12" customFormat="1" x14ac:dyDescent="0.25"/>
    <row r="240098" s="12" customFormat="1" x14ac:dyDescent="0.25"/>
    <row r="240099" s="12" customFormat="1" x14ac:dyDescent="0.25"/>
    <row r="240100" s="12" customFormat="1" x14ac:dyDescent="0.25"/>
    <row r="240101" s="12" customFormat="1" x14ac:dyDescent="0.25"/>
    <row r="240102" s="12" customFormat="1" x14ac:dyDescent="0.25"/>
    <row r="240103" s="12" customFormat="1" x14ac:dyDescent="0.25"/>
    <row r="240104" s="12" customFormat="1" x14ac:dyDescent="0.25"/>
    <row r="240105" s="12" customFormat="1" x14ac:dyDescent="0.25"/>
    <row r="240106" s="12" customFormat="1" x14ac:dyDescent="0.25"/>
    <row r="240107" s="12" customFormat="1" x14ac:dyDescent="0.25"/>
    <row r="240108" s="12" customFormat="1" x14ac:dyDescent="0.25"/>
    <row r="240109" s="12" customFormat="1" x14ac:dyDescent="0.25"/>
    <row r="240110" s="12" customFormat="1" x14ac:dyDescent="0.25"/>
    <row r="240111" s="12" customFormat="1" x14ac:dyDescent="0.25"/>
    <row r="240112" s="12" customFormat="1" x14ac:dyDescent="0.25"/>
    <row r="240113" s="12" customFormat="1" x14ac:dyDescent="0.25"/>
    <row r="240114" s="12" customFormat="1" x14ac:dyDescent="0.25"/>
    <row r="240115" s="12" customFormat="1" x14ac:dyDescent="0.25"/>
    <row r="240116" s="12" customFormat="1" x14ac:dyDescent="0.25"/>
    <row r="240117" s="12" customFormat="1" x14ac:dyDescent="0.25"/>
    <row r="240118" s="12" customFormat="1" x14ac:dyDescent="0.25"/>
    <row r="240119" s="12" customFormat="1" x14ac:dyDescent="0.25"/>
    <row r="240120" s="12" customFormat="1" x14ac:dyDescent="0.25"/>
    <row r="240121" s="12" customFormat="1" x14ac:dyDescent="0.25"/>
    <row r="240122" s="12" customFormat="1" x14ac:dyDescent="0.25"/>
    <row r="240123" s="12" customFormat="1" x14ac:dyDescent="0.25"/>
    <row r="240124" s="12" customFormat="1" x14ac:dyDescent="0.25"/>
    <row r="240125" s="12" customFormat="1" x14ac:dyDescent="0.25"/>
    <row r="240126" s="12" customFormat="1" x14ac:dyDescent="0.25"/>
    <row r="240127" s="12" customFormat="1" x14ac:dyDescent="0.25"/>
    <row r="240128" s="12" customFormat="1" x14ac:dyDescent="0.25"/>
    <row r="240129" s="12" customFormat="1" x14ac:dyDescent="0.25"/>
    <row r="240130" s="12" customFormat="1" x14ac:dyDescent="0.25"/>
    <row r="240131" s="12" customFormat="1" x14ac:dyDescent="0.25"/>
    <row r="240132" s="12" customFormat="1" x14ac:dyDescent="0.25"/>
    <row r="240133" s="12" customFormat="1" x14ac:dyDescent="0.25"/>
    <row r="240134" s="12" customFormat="1" x14ac:dyDescent="0.25"/>
    <row r="240135" s="12" customFormat="1" x14ac:dyDescent="0.25"/>
    <row r="240136" s="12" customFormat="1" x14ac:dyDescent="0.25"/>
    <row r="240137" s="12" customFormat="1" x14ac:dyDescent="0.25"/>
    <row r="240138" s="12" customFormat="1" x14ac:dyDescent="0.25"/>
    <row r="240139" s="12" customFormat="1" x14ac:dyDescent="0.25"/>
    <row r="240140" s="12" customFormat="1" x14ac:dyDescent="0.25"/>
    <row r="240141" s="12" customFormat="1" x14ac:dyDescent="0.25"/>
    <row r="240142" s="12" customFormat="1" x14ac:dyDescent="0.25"/>
    <row r="240143" s="12" customFormat="1" x14ac:dyDescent="0.25"/>
    <row r="240144" s="12" customFormat="1" x14ac:dyDescent="0.25"/>
    <row r="240145" s="12" customFormat="1" x14ac:dyDescent="0.25"/>
    <row r="240146" s="12" customFormat="1" x14ac:dyDescent="0.25"/>
    <row r="240147" s="12" customFormat="1" x14ac:dyDescent="0.25"/>
    <row r="240148" s="12" customFormat="1" x14ac:dyDescent="0.25"/>
    <row r="240149" s="12" customFormat="1" x14ac:dyDescent="0.25"/>
    <row r="240150" s="12" customFormat="1" x14ac:dyDescent="0.25"/>
    <row r="240151" s="12" customFormat="1" x14ac:dyDescent="0.25"/>
    <row r="240152" s="12" customFormat="1" x14ac:dyDescent="0.25"/>
    <row r="240153" s="12" customFormat="1" x14ac:dyDescent="0.25"/>
    <row r="240154" s="12" customFormat="1" x14ac:dyDescent="0.25"/>
    <row r="240155" s="12" customFormat="1" x14ac:dyDescent="0.25"/>
    <row r="240156" s="12" customFormat="1" x14ac:dyDescent="0.25"/>
    <row r="240157" s="12" customFormat="1" x14ac:dyDescent="0.25"/>
    <row r="240158" s="12" customFormat="1" x14ac:dyDescent="0.25"/>
    <row r="240159" s="12" customFormat="1" x14ac:dyDescent="0.25"/>
    <row r="240160" s="12" customFormat="1" x14ac:dyDescent="0.25"/>
    <row r="240161" s="12" customFormat="1" x14ac:dyDescent="0.25"/>
    <row r="240162" s="12" customFormat="1" x14ac:dyDescent="0.25"/>
    <row r="240163" s="12" customFormat="1" x14ac:dyDescent="0.25"/>
    <row r="240164" s="12" customFormat="1" x14ac:dyDescent="0.25"/>
    <row r="240165" s="12" customFormat="1" x14ac:dyDescent="0.25"/>
    <row r="240166" s="12" customFormat="1" x14ac:dyDescent="0.25"/>
    <row r="240167" s="12" customFormat="1" x14ac:dyDescent="0.25"/>
    <row r="240168" s="12" customFormat="1" x14ac:dyDescent="0.25"/>
    <row r="240169" s="12" customFormat="1" x14ac:dyDescent="0.25"/>
    <row r="240170" s="12" customFormat="1" x14ac:dyDescent="0.25"/>
    <row r="240171" s="12" customFormat="1" x14ac:dyDescent="0.25"/>
    <row r="240172" s="12" customFormat="1" x14ac:dyDescent="0.25"/>
    <row r="240173" s="12" customFormat="1" x14ac:dyDescent="0.25"/>
    <row r="240174" s="12" customFormat="1" x14ac:dyDescent="0.25"/>
    <row r="240175" s="12" customFormat="1" x14ac:dyDescent="0.25"/>
    <row r="240176" s="12" customFormat="1" x14ac:dyDescent="0.25"/>
    <row r="240177" s="12" customFormat="1" x14ac:dyDescent="0.25"/>
    <row r="240178" s="12" customFormat="1" x14ac:dyDescent="0.25"/>
    <row r="240179" s="12" customFormat="1" x14ac:dyDescent="0.25"/>
    <row r="240180" s="12" customFormat="1" x14ac:dyDescent="0.25"/>
    <row r="240181" s="12" customFormat="1" x14ac:dyDescent="0.25"/>
    <row r="240182" s="12" customFormat="1" x14ac:dyDescent="0.25"/>
    <row r="240183" s="12" customFormat="1" x14ac:dyDescent="0.25"/>
    <row r="240184" s="12" customFormat="1" x14ac:dyDescent="0.25"/>
    <row r="240185" s="12" customFormat="1" x14ac:dyDescent="0.25"/>
    <row r="240186" s="12" customFormat="1" x14ac:dyDescent="0.25"/>
    <row r="240187" s="12" customFormat="1" x14ac:dyDescent="0.25"/>
    <row r="240188" s="12" customFormat="1" x14ac:dyDescent="0.25"/>
    <row r="240189" s="12" customFormat="1" x14ac:dyDescent="0.25"/>
    <row r="240190" s="12" customFormat="1" x14ac:dyDescent="0.25"/>
    <row r="240191" s="12" customFormat="1" x14ac:dyDescent="0.25"/>
    <row r="240192" s="12" customFormat="1" x14ac:dyDescent="0.25"/>
    <row r="240193" s="12" customFormat="1" x14ac:dyDescent="0.25"/>
    <row r="240194" s="12" customFormat="1" x14ac:dyDescent="0.25"/>
    <row r="240195" s="12" customFormat="1" x14ac:dyDescent="0.25"/>
    <row r="240196" s="12" customFormat="1" x14ac:dyDescent="0.25"/>
    <row r="240197" s="12" customFormat="1" x14ac:dyDescent="0.25"/>
    <row r="240198" s="12" customFormat="1" x14ac:dyDescent="0.25"/>
    <row r="240199" s="12" customFormat="1" x14ac:dyDescent="0.25"/>
    <row r="240200" s="12" customFormat="1" x14ac:dyDescent="0.25"/>
    <row r="240201" s="12" customFormat="1" x14ac:dyDescent="0.25"/>
    <row r="240202" s="12" customFormat="1" x14ac:dyDescent="0.25"/>
    <row r="240203" s="12" customFormat="1" x14ac:dyDescent="0.25"/>
    <row r="240204" s="12" customFormat="1" x14ac:dyDescent="0.25"/>
    <row r="240205" s="12" customFormat="1" x14ac:dyDescent="0.25"/>
    <row r="240206" s="12" customFormat="1" x14ac:dyDescent="0.25"/>
    <row r="240207" s="12" customFormat="1" x14ac:dyDescent="0.25"/>
    <row r="240208" s="12" customFormat="1" x14ac:dyDescent="0.25"/>
    <row r="240209" s="12" customFormat="1" x14ac:dyDescent="0.25"/>
    <row r="240210" s="12" customFormat="1" x14ac:dyDescent="0.25"/>
    <row r="240211" s="12" customFormat="1" x14ac:dyDescent="0.25"/>
    <row r="240212" s="12" customFormat="1" x14ac:dyDescent="0.25"/>
    <row r="240213" s="12" customFormat="1" x14ac:dyDescent="0.25"/>
    <row r="240214" s="12" customFormat="1" x14ac:dyDescent="0.25"/>
    <row r="240215" s="12" customFormat="1" x14ac:dyDescent="0.25"/>
    <row r="240216" s="12" customFormat="1" x14ac:dyDescent="0.25"/>
    <row r="240217" s="12" customFormat="1" x14ac:dyDescent="0.25"/>
    <row r="240218" s="12" customFormat="1" x14ac:dyDescent="0.25"/>
    <row r="240219" s="12" customFormat="1" x14ac:dyDescent="0.25"/>
    <row r="240220" s="12" customFormat="1" x14ac:dyDescent="0.25"/>
    <row r="240221" s="12" customFormat="1" x14ac:dyDescent="0.25"/>
    <row r="240222" s="12" customFormat="1" x14ac:dyDescent="0.25"/>
    <row r="240223" s="12" customFormat="1" x14ac:dyDescent="0.25"/>
    <row r="240224" s="12" customFormat="1" x14ac:dyDescent="0.25"/>
    <row r="240225" s="12" customFormat="1" x14ac:dyDescent="0.25"/>
    <row r="240226" s="12" customFormat="1" x14ac:dyDescent="0.25"/>
    <row r="240227" s="12" customFormat="1" x14ac:dyDescent="0.25"/>
    <row r="240228" s="12" customFormat="1" x14ac:dyDescent="0.25"/>
    <row r="240229" s="12" customFormat="1" x14ac:dyDescent="0.25"/>
    <row r="240230" s="12" customFormat="1" x14ac:dyDescent="0.25"/>
    <row r="240231" s="12" customFormat="1" x14ac:dyDescent="0.25"/>
    <row r="240232" s="12" customFormat="1" x14ac:dyDescent="0.25"/>
    <row r="240233" s="12" customFormat="1" x14ac:dyDescent="0.25"/>
    <row r="240234" s="12" customFormat="1" x14ac:dyDescent="0.25"/>
    <row r="240235" s="12" customFormat="1" x14ac:dyDescent="0.25"/>
    <row r="240236" s="12" customFormat="1" x14ac:dyDescent="0.25"/>
    <row r="240237" s="12" customFormat="1" x14ac:dyDescent="0.25"/>
    <row r="240238" s="12" customFormat="1" x14ac:dyDescent="0.25"/>
    <row r="240239" s="12" customFormat="1" x14ac:dyDescent="0.25"/>
    <row r="240240" s="12" customFormat="1" x14ac:dyDescent="0.25"/>
    <row r="240241" s="12" customFormat="1" x14ac:dyDescent="0.25"/>
    <row r="240242" s="12" customFormat="1" x14ac:dyDescent="0.25"/>
    <row r="240243" s="12" customFormat="1" x14ac:dyDescent="0.25"/>
    <row r="240244" s="12" customFormat="1" x14ac:dyDescent="0.25"/>
    <row r="240245" s="12" customFormat="1" x14ac:dyDescent="0.25"/>
    <row r="240246" s="12" customFormat="1" x14ac:dyDescent="0.25"/>
    <row r="240247" s="12" customFormat="1" x14ac:dyDescent="0.25"/>
    <row r="240248" s="12" customFormat="1" x14ac:dyDescent="0.25"/>
    <row r="240249" s="12" customFormat="1" x14ac:dyDescent="0.25"/>
    <row r="240250" s="12" customFormat="1" x14ac:dyDescent="0.25"/>
    <row r="240251" s="12" customFormat="1" x14ac:dyDescent="0.25"/>
    <row r="240252" s="12" customFormat="1" x14ac:dyDescent="0.25"/>
    <row r="240253" s="12" customFormat="1" x14ac:dyDescent="0.25"/>
    <row r="240254" s="12" customFormat="1" x14ac:dyDescent="0.25"/>
    <row r="240255" s="12" customFormat="1" x14ac:dyDescent="0.25"/>
    <row r="240256" s="12" customFormat="1" x14ac:dyDescent="0.25"/>
    <row r="240257" s="12" customFormat="1" x14ac:dyDescent="0.25"/>
    <row r="240258" s="12" customFormat="1" x14ac:dyDescent="0.25"/>
    <row r="240259" s="12" customFormat="1" x14ac:dyDescent="0.25"/>
    <row r="240260" s="12" customFormat="1" x14ac:dyDescent="0.25"/>
    <row r="240261" s="12" customFormat="1" x14ac:dyDescent="0.25"/>
    <row r="240262" s="12" customFormat="1" x14ac:dyDescent="0.25"/>
    <row r="240263" s="12" customFormat="1" x14ac:dyDescent="0.25"/>
    <row r="240264" s="12" customFormat="1" x14ac:dyDescent="0.25"/>
    <row r="240265" s="12" customFormat="1" x14ac:dyDescent="0.25"/>
    <row r="240266" s="12" customFormat="1" x14ac:dyDescent="0.25"/>
    <row r="240267" s="12" customFormat="1" x14ac:dyDescent="0.25"/>
    <row r="240268" s="12" customFormat="1" x14ac:dyDescent="0.25"/>
    <row r="240269" s="12" customFormat="1" x14ac:dyDescent="0.25"/>
    <row r="240270" s="12" customFormat="1" x14ac:dyDescent="0.25"/>
    <row r="240271" s="12" customFormat="1" x14ac:dyDescent="0.25"/>
    <row r="240272" s="12" customFormat="1" x14ac:dyDescent="0.25"/>
    <row r="240273" s="12" customFormat="1" x14ac:dyDescent="0.25"/>
    <row r="240274" s="12" customFormat="1" x14ac:dyDescent="0.25"/>
    <row r="240275" s="12" customFormat="1" x14ac:dyDescent="0.25"/>
    <row r="240276" s="12" customFormat="1" x14ac:dyDescent="0.25"/>
    <row r="240277" s="12" customFormat="1" x14ac:dyDescent="0.25"/>
    <row r="240278" s="12" customFormat="1" x14ac:dyDescent="0.25"/>
    <row r="240279" s="12" customFormat="1" x14ac:dyDescent="0.25"/>
    <row r="240280" s="12" customFormat="1" x14ac:dyDescent="0.25"/>
    <row r="240281" s="12" customFormat="1" x14ac:dyDescent="0.25"/>
    <row r="240282" s="12" customFormat="1" x14ac:dyDescent="0.25"/>
    <row r="240283" s="12" customFormat="1" x14ac:dyDescent="0.25"/>
    <row r="240284" s="12" customFormat="1" x14ac:dyDescent="0.25"/>
    <row r="240285" s="12" customFormat="1" x14ac:dyDescent="0.25"/>
    <row r="240286" s="12" customFormat="1" x14ac:dyDescent="0.25"/>
    <row r="240287" s="12" customFormat="1" x14ac:dyDescent="0.25"/>
    <row r="240288" s="12" customFormat="1" x14ac:dyDescent="0.25"/>
    <row r="240289" s="12" customFormat="1" x14ac:dyDescent="0.25"/>
    <row r="240290" s="12" customFormat="1" x14ac:dyDescent="0.25"/>
    <row r="240291" s="12" customFormat="1" x14ac:dyDescent="0.25"/>
    <row r="240292" s="12" customFormat="1" x14ac:dyDescent="0.25"/>
    <row r="240293" s="12" customFormat="1" x14ac:dyDescent="0.25"/>
    <row r="240294" s="12" customFormat="1" x14ac:dyDescent="0.25"/>
    <row r="240295" s="12" customFormat="1" x14ac:dyDescent="0.25"/>
    <row r="240296" s="12" customFormat="1" x14ac:dyDescent="0.25"/>
    <row r="240297" s="12" customFormat="1" x14ac:dyDescent="0.25"/>
    <row r="240298" s="12" customFormat="1" x14ac:dyDescent="0.25"/>
    <row r="240299" s="12" customFormat="1" x14ac:dyDescent="0.25"/>
    <row r="240300" s="12" customFormat="1" x14ac:dyDescent="0.25"/>
    <row r="240301" s="12" customFormat="1" x14ac:dyDescent="0.25"/>
    <row r="240302" s="12" customFormat="1" x14ac:dyDescent="0.25"/>
    <row r="240303" s="12" customFormat="1" x14ac:dyDescent="0.25"/>
    <row r="240304" s="12" customFormat="1" x14ac:dyDescent="0.25"/>
    <row r="240305" s="12" customFormat="1" x14ac:dyDescent="0.25"/>
    <row r="240306" s="12" customFormat="1" x14ac:dyDescent="0.25"/>
    <row r="240307" s="12" customFormat="1" x14ac:dyDescent="0.25"/>
    <row r="240308" s="12" customFormat="1" x14ac:dyDescent="0.25"/>
    <row r="240309" s="12" customFormat="1" x14ac:dyDescent="0.25"/>
    <row r="240310" s="12" customFormat="1" x14ac:dyDescent="0.25"/>
    <row r="240311" s="12" customFormat="1" x14ac:dyDescent="0.25"/>
    <row r="240312" s="12" customFormat="1" x14ac:dyDescent="0.25"/>
    <row r="240313" s="12" customFormat="1" x14ac:dyDescent="0.25"/>
    <row r="240314" s="12" customFormat="1" x14ac:dyDescent="0.25"/>
    <row r="240315" s="12" customFormat="1" x14ac:dyDescent="0.25"/>
    <row r="240316" s="12" customFormat="1" x14ac:dyDescent="0.25"/>
    <row r="240317" s="12" customFormat="1" x14ac:dyDescent="0.25"/>
    <row r="240318" s="12" customFormat="1" x14ac:dyDescent="0.25"/>
    <row r="240319" s="12" customFormat="1" x14ac:dyDescent="0.25"/>
    <row r="240320" s="12" customFormat="1" x14ac:dyDescent="0.25"/>
    <row r="240321" s="12" customFormat="1" x14ac:dyDescent="0.25"/>
    <row r="240322" s="12" customFormat="1" x14ac:dyDescent="0.25"/>
    <row r="240323" s="12" customFormat="1" x14ac:dyDescent="0.25"/>
    <row r="240324" s="12" customFormat="1" x14ac:dyDescent="0.25"/>
    <row r="240325" s="12" customFormat="1" x14ac:dyDescent="0.25"/>
    <row r="240326" s="12" customFormat="1" x14ac:dyDescent="0.25"/>
    <row r="240327" s="12" customFormat="1" x14ac:dyDescent="0.25"/>
    <row r="240328" s="12" customFormat="1" x14ac:dyDescent="0.25"/>
    <row r="240329" s="12" customFormat="1" x14ac:dyDescent="0.25"/>
    <row r="240330" s="12" customFormat="1" x14ac:dyDescent="0.25"/>
    <row r="240331" s="12" customFormat="1" x14ac:dyDescent="0.25"/>
    <row r="240332" s="12" customFormat="1" x14ac:dyDescent="0.25"/>
    <row r="240333" s="12" customFormat="1" x14ac:dyDescent="0.25"/>
    <row r="240334" s="12" customFormat="1" x14ac:dyDescent="0.25"/>
    <row r="240335" s="12" customFormat="1" x14ac:dyDescent="0.25"/>
    <row r="240336" s="12" customFormat="1" x14ac:dyDescent="0.25"/>
    <row r="240337" s="12" customFormat="1" x14ac:dyDescent="0.25"/>
    <row r="240338" s="12" customFormat="1" x14ac:dyDescent="0.25"/>
    <row r="240339" s="12" customFormat="1" x14ac:dyDescent="0.25"/>
    <row r="240340" s="12" customFormat="1" x14ac:dyDescent="0.25"/>
    <row r="240341" s="12" customFormat="1" x14ac:dyDescent="0.25"/>
    <row r="240342" s="12" customFormat="1" x14ac:dyDescent="0.25"/>
    <row r="240343" s="12" customFormat="1" x14ac:dyDescent="0.25"/>
    <row r="240344" s="12" customFormat="1" x14ac:dyDescent="0.25"/>
    <row r="240345" s="12" customFormat="1" x14ac:dyDescent="0.25"/>
    <row r="240346" s="12" customFormat="1" x14ac:dyDescent="0.25"/>
    <row r="240347" s="12" customFormat="1" x14ac:dyDescent="0.25"/>
    <row r="240348" s="12" customFormat="1" x14ac:dyDescent="0.25"/>
    <row r="240349" s="12" customFormat="1" x14ac:dyDescent="0.25"/>
    <row r="240350" s="12" customFormat="1" x14ac:dyDescent="0.25"/>
    <row r="240351" s="12" customFormat="1" x14ac:dyDescent="0.25"/>
    <row r="240352" s="12" customFormat="1" x14ac:dyDescent="0.25"/>
    <row r="240353" s="12" customFormat="1" x14ac:dyDescent="0.25"/>
    <row r="240354" s="12" customFormat="1" x14ac:dyDescent="0.25"/>
    <row r="240355" s="12" customFormat="1" x14ac:dyDescent="0.25"/>
    <row r="240356" s="12" customFormat="1" x14ac:dyDescent="0.25"/>
    <row r="240357" s="12" customFormat="1" x14ac:dyDescent="0.25"/>
    <row r="240358" s="12" customFormat="1" x14ac:dyDescent="0.25"/>
    <row r="240359" s="12" customFormat="1" x14ac:dyDescent="0.25"/>
    <row r="240360" s="12" customFormat="1" x14ac:dyDescent="0.25"/>
    <row r="240361" s="12" customFormat="1" x14ac:dyDescent="0.25"/>
    <row r="240362" s="12" customFormat="1" x14ac:dyDescent="0.25"/>
    <row r="240363" s="12" customFormat="1" x14ac:dyDescent="0.25"/>
    <row r="240364" s="12" customFormat="1" x14ac:dyDescent="0.25"/>
    <row r="240365" s="12" customFormat="1" x14ac:dyDescent="0.25"/>
    <row r="240366" s="12" customFormat="1" x14ac:dyDescent="0.25"/>
    <row r="240367" s="12" customFormat="1" x14ac:dyDescent="0.25"/>
    <row r="240368" s="12" customFormat="1" x14ac:dyDescent="0.25"/>
    <row r="240369" s="12" customFormat="1" x14ac:dyDescent="0.25"/>
    <row r="240370" s="12" customFormat="1" x14ac:dyDescent="0.25"/>
    <row r="240371" s="12" customFormat="1" x14ac:dyDescent="0.25"/>
    <row r="240372" s="12" customFormat="1" x14ac:dyDescent="0.25"/>
    <row r="240373" s="12" customFormat="1" x14ac:dyDescent="0.25"/>
    <row r="240374" s="12" customFormat="1" x14ac:dyDescent="0.25"/>
    <row r="240375" s="12" customFormat="1" x14ac:dyDescent="0.25"/>
    <row r="240376" s="12" customFormat="1" x14ac:dyDescent="0.25"/>
    <row r="240377" s="12" customFormat="1" x14ac:dyDescent="0.25"/>
    <row r="240378" s="12" customFormat="1" x14ac:dyDescent="0.25"/>
    <row r="240379" s="12" customFormat="1" x14ac:dyDescent="0.25"/>
    <row r="240380" s="12" customFormat="1" x14ac:dyDescent="0.25"/>
    <row r="240381" s="12" customFormat="1" x14ac:dyDescent="0.25"/>
    <row r="240382" s="12" customFormat="1" x14ac:dyDescent="0.25"/>
    <row r="240383" s="12" customFormat="1" x14ac:dyDescent="0.25"/>
    <row r="240384" s="12" customFormat="1" x14ac:dyDescent="0.25"/>
    <row r="240385" s="12" customFormat="1" x14ac:dyDescent="0.25"/>
    <row r="240386" s="12" customFormat="1" x14ac:dyDescent="0.25"/>
    <row r="240387" s="12" customFormat="1" x14ac:dyDescent="0.25"/>
    <row r="240388" s="12" customFormat="1" x14ac:dyDescent="0.25"/>
    <row r="240389" s="12" customFormat="1" x14ac:dyDescent="0.25"/>
    <row r="240390" s="12" customFormat="1" x14ac:dyDescent="0.25"/>
    <row r="240391" s="12" customFormat="1" x14ac:dyDescent="0.25"/>
    <row r="240392" s="12" customFormat="1" x14ac:dyDescent="0.25"/>
    <row r="240393" s="12" customFormat="1" x14ac:dyDescent="0.25"/>
    <row r="240394" s="12" customFormat="1" x14ac:dyDescent="0.25"/>
    <row r="240395" s="12" customFormat="1" x14ac:dyDescent="0.25"/>
    <row r="240396" s="12" customFormat="1" x14ac:dyDescent="0.25"/>
    <row r="240397" s="12" customFormat="1" x14ac:dyDescent="0.25"/>
    <row r="240398" s="12" customFormat="1" x14ac:dyDescent="0.25"/>
    <row r="240399" s="12" customFormat="1" x14ac:dyDescent="0.25"/>
    <row r="240400" s="12" customFormat="1" x14ac:dyDescent="0.25"/>
    <row r="240401" s="12" customFormat="1" x14ac:dyDescent="0.25"/>
    <row r="240402" s="12" customFormat="1" x14ac:dyDescent="0.25"/>
    <row r="240403" s="12" customFormat="1" x14ac:dyDescent="0.25"/>
    <row r="240404" s="12" customFormat="1" x14ac:dyDescent="0.25"/>
    <row r="240405" s="12" customFormat="1" x14ac:dyDescent="0.25"/>
    <row r="240406" s="12" customFormat="1" x14ac:dyDescent="0.25"/>
    <row r="240407" s="12" customFormat="1" x14ac:dyDescent="0.25"/>
    <row r="240408" s="12" customFormat="1" x14ac:dyDescent="0.25"/>
    <row r="240409" s="12" customFormat="1" x14ac:dyDescent="0.25"/>
    <row r="240410" s="12" customFormat="1" x14ac:dyDescent="0.25"/>
    <row r="240411" s="12" customFormat="1" x14ac:dyDescent="0.25"/>
    <row r="240412" s="12" customFormat="1" x14ac:dyDescent="0.25"/>
    <row r="240413" s="12" customFormat="1" x14ac:dyDescent="0.25"/>
    <row r="240414" s="12" customFormat="1" x14ac:dyDescent="0.25"/>
    <row r="240415" s="12" customFormat="1" x14ac:dyDescent="0.25"/>
    <row r="240416" s="12" customFormat="1" x14ac:dyDescent="0.25"/>
    <row r="240417" s="12" customFormat="1" x14ac:dyDescent="0.25"/>
    <row r="240418" s="12" customFormat="1" x14ac:dyDescent="0.25"/>
    <row r="240419" s="12" customFormat="1" x14ac:dyDescent="0.25"/>
    <row r="240420" s="12" customFormat="1" x14ac:dyDescent="0.25"/>
    <row r="240421" s="12" customFormat="1" x14ac:dyDescent="0.25"/>
    <row r="240422" s="12" customFormat="1" x14ac:dyDescent="0.25"/>
    <row r="240423" s="12" customFormat="1" x14ac:dyDescent="0.25"/>
    <row r="240424" s="12" customFormat="1" x14ac:dyDescent="0.25"/>
    <row r="240425" s="12" customFormat="1" x14ac:dyDescent="0.25"/>
    <row r="240426" s="12" customFormat="1" x14ac:dyDescent="0.25"/>
    <row r="240427" s="12" customFormat="1" x14ac:dyDescent="0.25"/>
    <row r="240428" s="12" customFormat="1" x14ac:dyDescent="0.25"/>
    <row r="240429" s="12" customFormat="1" x14ac:dyDescent="0.25"/>
    <row r="240430" s="12" customFormat="1" x14ac:dyDescent="0.25"/>
    <row r="240431" s="12" customFormat="1" x14ac:dyDescent="0.25"/>
    <row r="240432" s="12" customFormat="1" x14ac:dyDescent="0.25"/>
    <row r="240433" s="12" customFormat="1" x14ac:dyDescent="0.25"/>
    <row r="240434" s="12" customFormat="1" x14ac:dyDescent="0.25"/>
    <row r="240435" s="12" customFormat="1" x14ac:dyDescent="0.25"/>
    <row r="240436" s="12" customFormat="1" x14ac:dyDescent="0.25"/>
    <row r="240437" s="12" customFormat="1" x14ac:dyDescent="0.25"/>
    <row r="240438" s="12" customFormat="1" x14ac:dyDescent="0.25"/>
    <row r="240439" s="12" customFormat="1" x14ac:dyDescent="0.25"/>
    <row r="240440" s="12" customFormat="1" x14ac:dyDescent="0.25"/>
    <row r="240441" s="12" customFormat="1" x14ac:dyDescent="0.25"/>
    <row r="240442" s="12" customFormat="1" x14ac:dyDescent="0.25"/>
    <row r="240443" s="12" customFormat="1" x14ac:dyDescent="0.25"/>
    <row r="240444" s="12" customFormat="1" x14ac:dyDescent="0.25"/>
    <row r="240445" s="12" customFormat="1" x14ac:dyDescent="0.25"/>
    <row r="240446" s="12" customFormat="1" x14ac:dyDescent="0.25"/>
    <row r="240447" s="12" customFormat="1" x14ac:dyDescent="0.25"/>
    <row r="240448" s="12" customFormat="1" x14ac:dyDescent="0.25"/>
    <row r="240449" s="12" customFormat="1" x14ac:dyDescent="0.25"/>
    <row r="240450" s="12" customFormat="1" x14ac:dyDescent="0.25"/>
    <row r="240451" s="12" customFormat="1" x14ac:dyDescent="0.25"/>
    <row r="240452" s="12" customFormat="1" x14ac:dyDescent="0.25"/>
    <row r="240453" s="12" customFormat="1" x14ac:dyDescent="0.25"/>
    <row r="240454" s="12" customFormat="1" x14ac:dyDescent="0.25"/>
    <row r="240455" s="12" customFormat="1" x14ac:dyDescent="0.25"/>
    <row r="240456" s="12" customFormat="1" x14ac:dyDescent="0.25"/>
    <row r="240457" s="12" customFormat="1" x14ac:dyDescent="0.25"/>
    <row r="240458" s="12" customFormat="1" x14ac:dyDescent="0.25"/>
    <row r="240459" s="12" customFormat="1" x14ac:dyDescent="0.25"/>
    <row r="240460" s="12" customFormat="1" x14ac:dyDescent="0.25"/>
    <row r="240461" s="12" customFormat="1" x14ac:dyDescent="0.25"/>
    <row r="240462" s="12" customFormat="1" x14ac:dyDescent="0.25"/>
    <row r="240463" s="12" customFormat="1" x14ac:dyDescent="0.25"/>
    <row r="240464" s="12" customFormat="1" x14ac:dyDescent="0.25"/>
    <row r="240465" s="12" customFormat="1" x14ac:dyDescent="0.25"/>
    <row r="240466" s="12" customFormat="1" x14ac:dyDescent="0.25"/>
    <row r="240467" s="12" customFormat="1" x14ac:dyDescent="0.25"/>
    <row r="240468" s="12" customFormat="1" x14ac:dyDescent="0.25"/>
    <row r="240469" s="12" customFormat="1" x14ac:dyDescent="0.25"/>
    <row r="240470" s="12" customFormat="1" x14ac:dyDescent="0.25"/>
    <row r="240471" s="12" customFormat="1" x14ac:dyDescent="0.25"/>
    <row r="240472" s="12" customFormat="1" x14ac:dyDescent="0.25"/>
    <row r="240473" s="12" customFormat="1" x14ac:dyDescent="0.25"/>
    <row r="240474" s="12" customFormat="1" x14ac:dyDescent="0.25"/>
    <row r="240475" s="12" customFormat="1" x14ac:dyDescent="0.25"/>
    <row r="240476" s="12" customFormat="1" x14ac:dyDescent="0.25"/>
    <row r="240477" s="12" customFormat="1" x14ac:dyDescent="0.25"/>
    <row r="240478" s="12" customFormat="1" x14ac:dyDescent="0.25"/>
    <row r="240479" s="12" customFormat="1" x14ac:dyDescent="0.25"/>
    <row r="240480" s="12" customFormat="1" x14ac:dyDescent="0.25"/>
    <row r="240481" s="12" customFormat="1" x14ac:dyDescent="0.25"/>
    <row r="240482" s="12" customFormat="1" x14ac:dyDescent="0.25"/>
    <row r="240483" s="12" customFormat="1" x14ac:dyDescent="0.25"/>
    <row r="240484" s="12" customFormat="1" x14ac:dyDescent="0.25"/>
    <row r="240485" s="12" customFormat="1" x14ac:dyDescent="0.25"/>
    <row r="240486" s="12" customFormat="1" x14ac:dyDescent="0.25"/>
    <row r="240487" s="12" customFormat="1" x14ac:dyDescent="0.25"/>
    <row r="240488" s="12" customFormat="1" x14ac:dyDescent="0.25"/>
    <row r="240489" s="12" customFormat="1" x14ac:dyDescent="0.25"/>
    <row r="240490" s="12" customFormat="1" x14ac:dyDescent="0.25"/>
    <row r="240491" s="12" customFormat="1" x14ac:dyDescent="0.25"/>
    <row r="240492" s="12" customFormat="1" x14ac:dyDescent="0.25"/>
    <row r="240493" s="12" customFormat="1" x14ac:dyDescent="0.25"/>
    <row r="240494" s="12" customFormat="1" x14ac:dyDescent="0.25"/>
    <row r="240495" s="12" customFormat="1" x14ac:dyDescent="0.25"/>
    <row r="240496" s="12" customFormat="1" x14ac:dyDescent="0.25"/>
    <row r="240497" s="12" customFormat="1" x14ac:dyDescent="0.25"/>
    <row r="240498" s="12" customFormat="1" x14ac:dyDescent="0.25"/>
    <row r="240499" s="12" customFormat="1" x14ac:dyDescent="0.25"/>
    <row r="240500" s="12" customFormat="1" x14ac:dyDescent="0.25"/>
    <row r="240501" s="12" customFormat="1" x14ac:dyDescent="0.25"/>
    <row r="240502" s="12" customFormat="1" x14ac:dyDescent="0.25"/>
    <row r="240503" s="12" customFormat="1" x14ac:dyDescent="0.25"/>
    <row r="240504" s="12" customFormat="1" x14ac:dyDescent="0.25"/>
    <row r="240505" s="12" customFormat="1" x14ac:dyDescent="0.25"/>
    <row r="240506" s="12" customFormat="1" x14ac:dyDescent="0.25"/>
    <row r="240507" s="12" customFormat="1" x14ac:dyDescent="0.25"/>
    <row r="240508" s="12" customFormat="1" x14ac:dyDescent="0.25"/>
    <row r="240509" s="12" customFormat="1" x14ac:dyDescent="0.25"/>
    <row r="240510" s="12" customFormat="1" x14ac:dyDescent="0.25"/>
    <row r="240511" s="12" customFormat="1" x14ac:dyDescent="0.25"/>
    <row r="240512" s="12" customFormat="1" x14ac:dyDescent="0.25"/>
    <row r="240513" s="12" customFormat="1" x14ac:dyDescent="0.25"/>
    <row r="240514" s="12" customFormat="1" x14ac:dyDescent="0.25"/>
    <row r="240515" s="12" customFormat="1" x14ac:dyDescent="0.25"/>
    <row r="240516" s="12" customFormat="1" x14ac:dyDescent="0.25"/>
    <row r="240517" s="12" customFormat="1" x14ac:dyDescent="0.25"/>
    <row r="240518" s="12" customFormat="1" x14ac:dyDescent="0.25"/>
    <row r="240519" s="12" customFormat="1" x14ac:dyDescent="0.25"/>
    <row r="240520" s="12" customFormat="1" x14ac:dyDescent="0.25"/>
    <row r="240521" s="12" customFormat="1" x14ac:dyDescent="0.25"/>
    <row r="240522" s="12" customFormat="1" x14ac:dyDescent="0.25"/>
    <row r="240523" s="12" customFormat="1" x14ac:dyDescent="0.25"/>
    <row r="240524" s="12" customFormat="1" x14ac:dyDescent="0.25"/>
    <row r="240525" s="12" customFormat="1" x14ac:dyDescent="0.25"/>
    <row r="240526" s="12" customFormat="1" x14ac:dyDescent="0.25"/>
    <row r="240527" s="12" customFormat="1" x14ac:dyDescent="0.25"/>
    <row r="240528" s="12" customFormat="1" x14ac:dyDescent="0.25"/>
    <row r="240529" s="12" customFormat="1" x14ac:dyDescent="0.25"/>
    <row r="240530" s="12" customFormat="1" x14ac:dyDescent="0.25"/>
    <row r="240531" s="12" customFormat="1" x14ac:dyDescent="0.25"/>
    <row r="240532" s="12" customFormat="1" x14ac:dyDescent="0.25"/>
    <row r="240533" s="12" customFormat="1" x14ac:dyDescent="0.25"/>
    <row r="240534" s="12" customFormat="1" x14ac:dyDescent="0.25"/>
    <row r="240535" s="12" customFormat="1" x14ac:dyDescent="0.25"/>
    <row r="240536" s="12" customFormat="1" x14ac:dyDescent="0.25"/>
    <row r="240537" s="12" customFormat="1" x14ac:dyDescent="0.25"/>
    <row r="240538" s="12" customFormat="1" x14ac:dyDescent="0.25"/>
    <row r="240539" s="12" customFormat="1" x14ac:dyDescent="0.25"/>
    <row r="240540" s="12" customFormat="1" x14ac:dyDescent="0.25"/>
    <row r="240541" s="12" customFormat="1" x14ac:dyDescent="0.25"/>
    <row r="240542" s="12" customFormat="1" x14ac:dyDescent="0.25"/>
    <row r="240543" s="12" customFormat="1" x14ac:dyDescent="0.25"/>
    <row r="240544" s="12" customFormat="1" x14ac:dyDescent="0.25"/>
    <row r="240545" s="12" customFormat="1" x14ac:dyDescent="0.25"/>
    <row r="240546" s="12" customFormat="1" x14ac:dyDescent="0.25"/>
    <row r="240547" s="12" customFormat="1" x14ac:dyDescent="0.25"/>
    <row r="240548" s="12" customFormat="1" x14ac:dyDescent="0.25"/>
    <row r="240549" s="12" customFormat="1" x14ac:dyDescent="0.25"/>
    <row r="240550" s="12" customFormat="1" x14ac:dyDescent="0.25"/>
    <row r="240551" s="12" customFormat="1" x14ac:dyDescent="0.25"/>
    <row r="240552" s="12" customFormat="1" x14ac:dyDescent="0.25"/>
    <row r="240553" s="12" customFormat="1" x14ac:dyDescent="0.25"/>
    <row r="240554" s="12" customFormat="1" x14ac:dyDescent="0.25"/>
    <row r="240555" s="12" customFormat="1" x14ac:dyDescent="0.25"/>
    <row r="240556" s="12" customFormat="1" x14ac:dyDescent="0.25"/>
    <row r="240557" s="12" customFormat="1" x14ac:dyDescent="0.25"/>
    <row r="240558" s="12" customFormat="1" x14ac:dyDescent="0.25"/>
    <row r="240559" s="12" customFormat="1" x14ac:dyDescent="0.25"/>
    <row r="240560" s="12" customFormat="1" x14ac:dyDescent="0.25"/>
    <row r="240561" s="12" customFormat="1" x14ac:dyDescent="0.25"/>
    <row r="240562" s="12" customFormat="1" x14ac:dyDescent="0.25"/>
    <row r="240563" s="12" customFormat="1" x14ac:dyDescent="0.25"/>
    <row r="240564" s="12" customFormat="1" x14ac:dyDescent="0.25"/>
    <row r="240565" s="12" customFormat="1" x14ac:dyDescent="0.25"/>
    <row r="240566" s="12" customFormat="1" x14ac:dyDescent="0.25"/>
    <row r="240567" s="12" customFormat="1" x14ac:dyDescent="0.25"/>
    <row r="240568" s="12" customFormat="1" x14ac:dyDescent="0.25"/>
    <row r="240569" s="12" customFormat="1" x14ac:dyDescent="0.25"/>
    <row r="240570" s="12" customFormat="1" x14ac:dyDescent="0.25"/>
    <row r="240571" s="12" customFormat="1" x14ac:dyDescent="0.25"/>
    <row r="240572" s="12" customFormat="1" x14ac:dyDescent="0.25"/>
    <row r="240573" s="12" customFormat="1" x14ac:dyDescent="0.25"/>
    <row r="240574" s="12" customFormat="1" x14ac:dyDescent="0.25"/>
    <row r="240575" s="12" customFormat="1" x14ac:dyDescent="0.25"/>
    <row r="240576" s="12" customFormat="1" x14ac:dyDescent="0.25"/>
    <row r="240577" s="12" customFormat="1" x14ac:dyDescent="0.25"/>
    <row r="240578" s="12" customFormat="1" x14ac:dyDescent="0.25"/>
    <row r="240579" s="12" customFormat="1" x14ac:dyDescent="0.25"/>
    <row r="240580" s="12" customFormat="1" x14ac:dyDescent="0.25"/>
    <row r="240581" s="12" customFormat="1" x14ac:dyDescent="0.25"/>
    <row r="240582" s="12" customFormat="1" x14ac:dyDescent="0.25"/>
    <row r="240583" s="12" customFormat="1" x14ac:dyDescent="0.25"/>
    <row r="240584" s="12" customFormat="1" x14ac:dyDescent="0.25"/>
    <row r="240585" s="12" customFormat="1" x14ac:dyDescent="0.25"/>
    <row r="240586" s="12" customFormat="1" x14ac:dyDescent="0.25"/>
    <row r="240587" s="12" customFormat="1" x14ac:dyDescent="0.25"/>
    <row r="240588" s="12" customFormat="1" x14ac:dyDescent="0.25"/>
    <row r="240589" s="12" customFormat="1" x14ac:dyDescent="0.25"/>
    <row r="240590" s="12" customFormat="1" x14ac:dyDescent="0.25"/>
    <row r="240591" s="12" customFormat="1" x14ac:dyDescent="0.25"/>
    <row r="240592" s="12" customFormat="1" x14ac:dyDescent="0.25"/>
    <row r="240593" s="12" customFormat="1" x14ac:dyDescent="0.25"/>
    <row r="240594" s="12" customFormat="1" x14ac:dyDescent="0.25"/>
    <row r="240595" s="12" customFormat="1" x14ac:dyDescent="0.25"/>
    <row r="240596" s="12" customFormat="1" x14ac:dyDescent="0.25"/>
    <row r="240597" s="12" customFormat="1" x14ac:dyDescent="0.25"/>
    <row r="240598" s="12" customFormat="1" x14ac:dyDescent="0.25"/>
    <row r="240599" s="12" customFormat="1" x14ac:dyDescent="0.25"/>
    <row r="240600" s="12" customFormat="1" x14ac:dyDescent="0.25"/>
    <row r="240601" s="12" customFormat="1" x14ac:dyDescent="0.25"/>
    <row r="240602" s="12" customFormat="1" x14ac:dyDescent="0.25"/>
    <row r="240603" s="12" customFormat="1" x14ac:dyDescent="0.25"/>
    <row r="240604" s="12" customFormat="1" x14ac:dyDescent="0.25"/>
    <row r="240605" s="12" customFormat="1" x14ac:dyDescent="0.25"/>
    <row r="240606" s="12" customFormat="1" x14ac:dyDescent="0.25"/>
    <row r="240607" s="12" customFormat="1" x14ac:dyDescent="0.25"/>
    <row r="240608" s="12" customFormat="1" x14ac:dyDescent="0.25"/>
    <row r="240609" s="12" customFormat="1" x14ac:dyDescent="0.25"/>
    <row r="240610" s="12" customFormat="1" x14ac:dyDescent="0.25"/>
    <row r="240611" s="12" customFormat="1" x14ac:dyDescent="0.25"/>
    <row r="240612" s="12" customFormat="1" x14ac:dyDescent="0.25"/>
    <row r="240613" s="12" customFormat="1" x14ac:dyDescent="0.25"/>
    <row r="240614" s="12" customFormat="1" x14ac:dyDescent="0.25"/>
    <row r="240615" s="12" customFormat="1" x14ac:dyDescent="0.25"/>
    <row r="240616" s="12" customFormat="1" x14ac:dyDescent="0.25"/>
    <row r="240617" s="12" customFormat="1" x14ac:dyDescent="0.25"/>
    <row r="240618" s="12" customFormat="1" x14ac:dyDescent="0.25"/>
    <row r="240619" s="12" customFormat="1" x14ac:dyDescent="0.25"/>
    <row r="240620" s="12" customFormat="1" x14ac:dyDescent="0.25"/>
    <row r="240621" s="12" customFormat="1" x14ac:dyDescent="0.25"/>
    <row r="240622" s="12" customFormat="1" x14ac:dyDescent="0.25"/>
    <row r="240623" s="12" customFormat="1" x14ac:dyDescent="0.25"/>
    <row r="240624" s="12" customFormat="1" x14ac:dyDescent="0.25"/>
    <row r="240625" s="12" customFormat="1" x14ac:dyDescent="0.25"/>
    <row r="240626" s="12" customFormat="1" x14ac:dyDescent="0.25"/>
    <row r="240627" s="12" customFormat="1" x14ac:dyDescent="0.25"/>
    <row r="240628" s="12" customFormat="1" x14ac:dyDescent="0.25"/>
    <row r="240629" s="12" customFormat="1" x14ac:dyDescent="0.25"/>
    <row r="240630" s="12" customFormat="1" x14ac:dyDescent="0.25"/>
    <row r="240631" s="12" customFormat="1" x14ac:dyDescent="0.25"/>
    <row r="240632" s="12" customFormat="1" x14ac:dyDescent="0.25"/>
    <row r="240633" s="12" customFormat="1" x14ac:dyDescent="0.25"/>
    <row r="240634" s="12" customFormat="1" x14ac:dyDescent="0.25"/>
    <row r="240635" s="12" customFormat="1" x14ac:dyDescent="0.25"/>
    <row r="240636" s="12" customFormat="1" x14ac:dyDescent="0.25"/>
    <row r="240637" s="12" customFormat="1" x14ac:dyDescent="0.25"/>
    <row r="240638" s="12" customFormat="1" x14ac:dyDescent="0.25"/>
    <row r="240639" s="12" customFormat="1" x14ac:dyDescent="0.25"/>
    <row r="240640" s="12" customFormat="1" x14ac:dyDescent="0.25"/>
    <row r="240641" s="12" customFormat="1" x14ac:dyDescent="0.25"/>
    <row r="240642" s="12" customFormat="1" x14ac:dyDescent="0.25"/>
    <row r="240643" s="12" customFormat="1" x14ac:dyDescent="0.25"/>
    <row r="240644" s="12" customFormat="1" x14ac:dyDescent="0.25"/>
    <row r="240645" s="12" customFormat="1" x14ac:dyDescent="0.25"/>
    <row r="240646" s="12" customFormat="1" x14ac:dyDescent="0.25"/>
    <row r="240647" s="12" customFormat="1" x14ac:dyDescent="0.25"/>
    <row r="240648" s="12" customFormat="1" x14ac:dyDescent="0.25"/>
    <row r="240649" s="12" customFormat="1" x14ac:dyDescent="0.25"/>
    <row r="240650" s="12" customFormat="1" x14ac:dyDescent="0.25"/>
    <row r="240651" s="12" customFormat="1" x14ac:dyDescent="0.25"/>
    <row r="240652" s="12" customFormat="1" x14ac:dyDescent="0.25"/>
    <row r="240653" s="12" customFormat="1" x14ac:dyDescent="0.25"/>
    <row r="240654" s="12" customFormat="1" x14ac:dyDescent="0.25"/>
    <row r="240655" s="12" customFormat="1" x14ac:dyDescent="0.25"/>
    <row r="240656" s="12" customFormat="1" x14ac:dyDescent="0.25"/>
    <row r="240657" s="12" customFormat="1" x14ac:dyDescent="0.25"/>
    <row r="240658" s="12" customFormat="1" x14ac:dyDescent="0.25"/>
    <row r="240659" s="12" customFormat="1" x14ac:dyDescent="0.25"/>
    <row r="240660" s="12" customFormat="1" x14ac:dyDescent="0.25"/>
    <row r="240661" s="12" customFormat="1" x14ac:dyDescent="0.25"/>
    <row r="240662" s="12" customFormat="1" x14ac:dyDescent="0.25"/>
    <row r="240663" s="12" customFormat="1" x14ac:dyDescent="0.25"/>
    <row r="240664" s="12" customFormat="1" x14ac:dyDescent="0.25"/>
    <row r="240665" s="12" customFormat="1" x14ac:dyDescent="0.25"/>
    <row r="240666" s="12" customFormat="1" x14ac:dyDescent="0.25"/>
    <row r="240667" s="12" customFormat="1" x14ac:dyDescent="0.25"/>
    <row r="240668" s="12" customFormat="1" x14ac:dyDescent="0.25"/>
    <row r="240669" s="12" customFormat="1" x14ac:dyDescent="0.25"/>
    <row r="240670" s="12" customFormat="1" x14ac:dyDescent="0.25"/>
    <row r="240671" s="12" customFormat="1" x14ac:dyDescent="0.25"/>
    <row r="240672" s="12" customFormat="1" x14ac:dyDescent="0.25"/>
    <row r="240673" s="12" customFormat="1" x14ac:dyDescent="0.25"/>
    <row r="240674" s="12" customFormat="1" x14ac:dyDescent="0.25"/>
    <row r="240675" s="12" customFormat="1" x14ac:dyDescent="0.25"/>
    <row r="240676" s="12" customFormat="1" x14ac:dyDescent="0.25"/>
    <row r="240677" s="12" customFormat="1" x14ac:dyDescent="0.25"/>
    <row r="240678" s="12" customFormat="1" x14ac:dyDescent="0.25"/>
    <row r="240679" s="12" customFormat="1" x14ac:dyDescent="0.25"/>
    <row r="240680" s="12" customFormat="1" x14ac:dyDescent="0.25"/>
    <row r="240681" s="12" customFormat="1" x14ac:dyDescent="0.25"/>
    <row r="240682" s="12" customFormat="1" x14ac:dyDescent="0.25"/>
    <row r="240683" s="12" customFormat="1" x14ac:dyDescent="0.25"/>
    <row r="240684" s="12" customFormat="1" x14ac:dyDescent="0.25"/>
    <row r="240685" s="12" customFormat="1" x14ac:dyDescent="0.25"/>
    <row r="240686" s="12" customFormat="1" x14ac:dyDescent="0.25"/>
    <row r="240687" s="12" customFormat="1" x14ac:dyDescent="0.25"/>
    <row r="240688" s="12" customFormat="1" x14ac:dyDescent="0.25"/>
    <row r="240689" s="12" customFormat="1" x14ac:dyDescent="0.25"/>
    <row r="240690" s="12" customFormat="1" x14ac:dyDescent="0.25"/>
    <row r="240691" s="12" customFormat="1" x14ac:dyDescent="0.25"/>
    <row r="240692" s="12" customFormat="1" x14ac:dyDescent="0.25"/>
    <row r="240693" s="12" customFormat="1" x14ac:dyDescent="0.25"/>
    <row r="240694" s="12" customFormat="1" x14ac:dyDescent="0.25"/>
    <row r="240695" s="12" customFormat="1" x14ac:dyDescent="0.25"/>
    <row r="240696" s="12" customFormat="1" x14ac:dyDescent="0.25"/>
    <row r="240697" s="12" customFormat="1" x14ac:dyDescent="0.25"/>
    <row r="240698" s="12" customFormat="1" x14ac:dyDescent="0.25"/>
    <row r="240699" s="12" customFormat="1" x14ac:dyDescent="0.25"/>
    <row r="240700" s="12" customFormat="1" x14ac:dyDescent="0.25"/>
    <row r="240701" s="12" customFormat="1" x14ac:dyDescent="0.25"/>
    <row r="240702" s="12" customFormat="1" x14ac:dyDescent="0.25"/>
    <row r="240703" s="12" customFormat="1" x14ac:dyDescent="0.25"/>
    <row r="240704" s="12" customFormat="1" x14ac:dyDescent="0.25"/>
    <row r="240705" s="12" customFormat="1" x14ac:dyDescent="0.25"/>
    <row r="240706" s="12" customFormat="1" x14ac:dyDescent="0.25"/>
    <row r="240707" s="12" customFormat="1" x14ac:dyDescent="0.25"/>
    <row r="240708" s="12" customFormat="1" x14ac:dyDescent="0.25"/>
    <row r="240709" s="12" customFormat="1" x14ac:dyDescent="0.25"/>
    <row r="240710" s="12" customFormat="1" x14ac:dyDescent="0.25"/>
    <row r="240711" s="12" customFormat="1" x14ac:dyDescent="0.25"/>
    <row r="240712" s="12" customFormat="1" x14ac:dyDescent="0.25"/>
    <row r="240713" s="12" customFormat="1" x14ac:dyDescent="0.25"/>
    <row r="240714" s="12" customFormat="1" x14ac:dyDescent="0.25"/>
    <row r="240715" s="12" customFormat="1" x14ac:dyDescent="0.25"/>
    <row r="240716" s="12" customFormat="1" x14ac:dyDescent="0.25"/>
    <row r="240717" s="12" customFormat="1" x14ac:dyDescent="0.25"/>
    <row r="240718" s="12" customFormat="1" x14ac:dyDescent="0.25"/>
    <row r="240719" s="12" customFormat="1" x14ac:dyDescent="0.25"/>
    <row r="240720" s="12" customFormat="1" x14ac:dyDescent="0.25"/>
    <row r="240721" s="12" customFormat="1" x14ac:dyDescent="0.25"/>
    <row r="240722" s="12" customFormat="1" x14ac:dyDescent="0.25"/>
    <row r="240723" s="12" customFormat="1" x14ac:dyDescent="0.25"/>
    <row r="240724" s="12" customFormat="1" x14ac:dyDescent="0.25"/>
    <row r="240725" s="12" customFormat="1" x14ac:dyDescent="0.25"/>
    <row r="240726" s="12" customFormat="1" x14ac:dyDescent="0.25"/>
    <row r="240727" s="12" customFormat="1" x14ac:dyDescent="0.25"/>
    <row r="240728" s="12" customFormat="1" x14ac:dyDescent="0.25"/>
    <row r="240729" s="12" customFormat="1" x14ac:dyDescent="0.25"/>
    <row r="240730" s="12" customFormat="1" x14ac:dyDescent="0.25"/>
    <row r="240731" s="12" customFormat="1" x14ac:dyDescent="0.25"/>
    <row r="240732" s="12" customFormat="1" x14ac:dyDescent="0.25"/>
    <row r="240733" s="12" customFormat="1" x14ac:dyDescent="0.25"/>
    <row r="240734" s="12" customFormat="1" x14ac:dyDescent="0.25"/>
    <row r="240735" s="12" customFormat="1" x14ac:dyDescent="0.25"/>
    <row r="240736" s="12" customFormat="1" x14ac:dyDescent="0.25"/>
    <row r="240737" s="12" customFormat="1" x14ac:dyDescent="0.25"/>
    <row r="240738" s="12" customFormat="1" x14ac:dyDescent="0.25"/>
    <row r="240739" s="12" customFormat="1" x14ac:dyDescent="0.25"/>
    <row r="240740" s="12" customFormat="1" x14ac:dyDescent="0.25"/>
    <row r="240741" s="12" customFormat="1" x14ac:dyDescent="0.25"/>
    <row r="240742" s="12" customFormat="1" x14ac:dyDescent="0.25"/>
    <row r="240743" s="12" customFormat="1" x14ac:dyDescent="0.25"/>
    <row r="240744" s="12" customFormat="1" x14ac:dyDescent="0.25"/>
    <row r="240745" s="12" customFormat="1" x14ac:dyDescent="0.25"/>
    <row r="240746" s="12" customFormat="1" x14ac:dyDescent="0.25"/>
    <row r="240747" s="12" customFormat="1" x14ac:dyDescent="0.25"/>
    <row r="240748" s="12" customFormat="1" x14ac:dyDescent="0.25"/>
    <row r="240749" s="12" customFormat="1" x14ac:dyDescent="0.25"/>
    <row r="240750" s="12" customFormat="1" x14ac:dyDescent="0.25"/>
    <row r="240751" s="12" customFormat="1" x14ac:dyDescent="0.25"/>
    <row r="240752" s="12" customFormat="1" x14ac:dyDescent="0.25"/>
    <row r="240753" s="12" customFormat="1" x14ac:dyDescent="0.25"/>
    <row r="240754" s="12" customFormat="1" x14ac:dyDescent="0.25"/>
    <row r="240755" s="12" customFormat="1" x14ac:dyDescent="0.25"/>
    <row r="240756" s="12" customFormat="1" x14ac:dyDescent="0.25"/>
    <row r="240757" s="12" customFormat="1" x14ac:dyDescent="0.25"/>
    <row r="240758" s="12" customFormat="1" x14ac:dyDescent="0.25"/>
    <row r="240759" s="12" customFormat="1" x14ac:dyDescent="0.25"/>
    <row r="240760" s="12" customFormat="1" x14ac:dyDescent="0.25"/>
    <row r="240761" s="12" customFormat="1" x14ac:dyDescent="0.25"/>
    <row r="240762" s="12" customFormat="1" x14ac:dyDescent="0.25"/>
    <row r="240763" s="12" customFormat="1" x14ac:dyDescent="0.25"/>
    <row r="240764" s="12" customFormat="1" x14ac:dyDescent="0.25"/>
    <row r="240765" s="12" customFormat="1" x14ac:dyDescent="0.25"/>
    <row r="240766" s="12" customFormat="1" x14ac:dyDescent="0.25"/>
    <row r="240767" s="12" customFormat="1" x14ac:dyDescent="0.25"/>
    <row r="240768" s="12" customFormat="1" x14ac:dyDescent="0.25"/>
    <row r="240769" s="12" customFormat="1" x14ac:dyDescent="0.25"/>
    <row r="240770" s="12" customFormat="1" x14ac:dyDescent="0.25"/>
    <row r="240771" s="12" customFormat="1" x14ac:dyDescent="0.25"/>
    <row r="240772" s="12" customFormat="1" x14ac:dyDescent="0.25"/>
    <row r="240773" s="12" customFormat="1" x14ac:dyDescent="0.25"/>
    <row r="240774" s="12" customFormat="1" x14ac:dyDescent="0.25"/>
    <row r="240775" s="12" customFormat="1" x14ac:dyDescent="0.25"/>
    <row r="240776" s="12" customFormat="1" x14ac:dyDescent="0.25"/>
    <row r="240777" s="12" customFormat="1" x14ac:dyDescent="0.25"/>
    <row r="240778" s="12" customFormat="1" x14ac:dyDescent="0.25"/>
    <row r="240779" s="12" customFormat="1" x14ac:dyDescent="0.25"/>
    <row r="240780" s="12" customFormat="1" x14ac:dyDescent="0.25"/>
    <row r="240781" s="12" customFormat="1" x14ac:dyDescent="0.25"/>
    <row r="240782" s="12" customFormat="1" x14ac:dyDescent="0.25"/>
    <row r="240783" s="12" customFormat="1" x14ac:dyDescent="0.25"/>
    <row r="240784" s="12" customFormat="1" x14ac:dyDescent="0.25"/>
    <row r="240785" s="12" customFormat="1" x14ac:dyDescent="0.25"/>
    <row r="240786" s="12" customFormat="1" x14ac:dyDescent="0.25"/>
    <row r="240787" s="12" customFormat="1" x14ac:dyDescent="0.25"/>
    <row r="240788" s="12" customFormat="1" x14ac:dyDescent="0.25"/>
    <row r="240789" s="12" customFormat="1" x14ac:dyDescent="0.25"/>
    <row r="240790" s="12" customFormat="1" x14ac:dyDescent="0.25"/>
    <row r="240791" s="12" customFormat="1" x14ac:dyDescent="0.25"/>
    <row r="240792" s="12" customFormat="1" x14ac:dyDescent="0.25"/>
    <row r="240793" s="12" customFormat="1" x14ac:dyDescent="0.25"/>
    <row r="240794" s="12" customFormat="1" x14ac:dyDescent="0.25"/>
    <row r="240795" s="12" customFormat="1" x14ac:dyDescent="0.25"/>
    <row r="240796" s="12" customFormat="1" x14ac:dyDescent="0.25"/>
    <row r="240797" s="12" customFormat="1" x14ac:dyDescent="0.25"/>
    <row r="240798" s="12" customFormat="1" x14ac:dyDescent="0.25"/>
    <row r="240799" s="12" customFormat="1" x14ac:dyDescent="0.25"/>
    <row r="240800" s="12" customFormat="1" x14ac:dyDescent="0.25"/>
    <row r="240801" s="12" customFormat="1" x14ac:dyDescent="0.25"/>
    <row r="240802" s="12" customFormat="1" x14ac:dyDescent="0.25"/>
    <row r="240803" s="12" customFormat="1" x14ac:dyDescent="0.25"/>
    <row r="240804" s="12" customFormat="1" x14ac:dyDescent="0.25"/>
    <row r="240805" s="12" customFormat="1" x14ac:dyDescent="0.25"/>
    <row r="240806" s="12" customFormat="1" x14ac:dyDescent="0.25"/>
    <row r="240807" s="12" customFormat="1" x14ac:dyDescent="0.25"/>
    <row r="240808" s="12" customFormat="1" x14ac:dyDescent="0.25"/>
    <row r="240809" s="12" customFormat="1" x14ac:dyDescent="0.25"/>
    <row r="240810" s="12" customFormat="1" x14ac:dyDescent="0.25"/>
    <row r="240811" s="12" customFormat="1" x14ac:dyDescent="0.25"/>
    <row r="240812" s="12" customFormat="1" x14ac:dyDescent="0.25"/>
    <row r="240813" s="12" customFormat="1" x14ac:dyDescent="0.25"/>
    <row r="240814" s="12" customFormat="1" x14ac:dyDescent="0.25"/>
    <row r="240815" s="12" customFormat="1" x14ac:dyDescent="0.25"/>
    <row r="240816" s="12" customFormat="1" x14ac:dyDescent="0.25"/>
    <row r="240817" s="12" customFormat="1" x14ac:dyDescent="0.25"/>
    <row r="240818" s="12" customFormat="1" x14ac:dyDescent="0.25"/>
    <row r="240819" s="12" customFormat="1" x14ac:dyDescent="0.25"/>
    <row r="240820" s="12" customFormat="1" x14ac:dyDescent="0.25"/>
    <row r="240821" s="12" customFormat="1" x14ac:dyDescent="0.25"/>
    <row r="240822" s="12" customFormat="1" x14ac:dyDescent="0.25"/>
    <row r="240823" s="12" customFormat="1" x14ac:dyDescent="0.25"/>
    <row r="240824" s="12" customFormat="1" x14ac:dyDescent="0.25"/>
    <row r="240825" s="12" customFormat="1" x14ac:dyDescent="0.25"/>
    <row r="240826" s="12" customFormat="1" x14ac:dyDescent="0.25"/>
    <row r="240827" s="12" customFormat="1" x14ac:dyDescent="0.25"/>
    <row r="240828" s="12" customFormat="1" x14ac:dyDescent="0.25"/>
    <row r="240829" s="12" customFormat="1" x14ac:dyDescent="0.25"/>
    <row r="240830" s="12" customFormat="1" x14ac:dyDescent="0.25"/>
    <row r="240831" s="12" customFormat="1" x14ac:dyDescent="0.25"/>
    <row r="240832" s="12" customFormat="1" x14ac:dyDescent="0.25"/>
    <row r="240833" s="12" customFormat="1" x14ac:dyDescent="0.25"/>
    <row r="240834" s="12" customFormat="1" x14ac:dyDescent="0.25"/>
    <row r="240835" s="12" customFormat="1" x14ac:dyDescent="0.25"/>
    <row r="240836" s="12" customFormat="1" x14ac:dyDescent="0.25"/>
    <row r="240837" s="12" customFormat="1" x14ac:dyDescent="0.25"/>
    <row r="240838" s="12" customFormat="1" x14ac:dyDescent="0.25"/>
    <row r="240839" s="12" customFormat="1" x14ac:dyDescent="0.25"/>
    <row r="240840" s="12" customFormat="1" x14ac:dyDescent="0.25"/>
    <row r="240841" s="12" customFormat="1" x14ac:dyDescent="0.25"/>
    <row r="240842" s="12" customFormat="1" x14ac:dyDescent="0.25"/>
    <row r="240843" s="12" customFormat="1" x14ac:dyDescent="0.25"/>
    <row r="240844" s="12" customFormat="1" x14ac:dyDescent="0.25"/>
    <row r="240845" s="12" customFormat="1" x14ac:dyDescent="0.25"/>
    <row r="240846" s="12" customFormat="1" x14ac:dyDescent="0.25"/>
    <row r="240847" s="12" customFormat="1" x14ac:dyDescent="0.25"/>
    <row r="240848" s="12" customFormat="1" x14ac:dyDescent="0.25"/>
    <row r="240849" s="12" customFormat="1" x14ac:dyDescent="0.25"/>
    <row r="240850" s="12" customFormat="1" x14ac:dyDescent="0.25"/>
    <row r="240851" s="12" customFormat="1" x14ac:dyDescent="0.25"/>
    <row r="240852" s="12" customFormat="1" x14ac:dyDescent="0.25"/>
    <row r="240853" s="12" customFormat="1" x14ac:dyDescent="0.25"/>
    <row r="240854" s="12" customFormat="1" x14ac:dyDescent="0.25"/>
    <row r="240855" s="12" customFormat="1" x14ac:dyDescent="0.25"/>
    <row r="240856" s="12" customFormat="1" x14ac:dyDescent="0.25"/>
    <row r="240857" s="12" customFormat="1" x14ac:dyDescent="0.25"/>
    <row r="240858" s="12" customFormat="1" x14ac:dyDescent="0.25"/>
    <row r="240859" s="12" customFormat="1" x14ac:dyDescent="0.25"/>
    <row r="240860" s="12" customFormat="1" x14ac:dyDescent="0.25"/>
    <row r="240861" s="12" customFormat="1" x14ac:dyDescent="0.25"/>
    <row r="240862" s="12" customFormat="1" x14ac:dyDescent="0.25"/>
    <row r="240863" s="12" customFormat="1" x14ac:dyDescent="0.25"/>
    <row r="240864" s="12" customFormat="1" x14ac:dyDescent="0.25"/>
    <row r="240865" s="12" customFormat="1" x14ac:dyDescent="0.25"/>
    <row r="240866" s="12" customFormat="1" x14ac:dyDescent="0.25"/>
    <row r="240867" s="12" customFormat="1" x14ac:dyDescent="0.25"/>
    <row r="240868" s="12" customFormat="1" x14ac:dyDescent="0.25"/>
    <row r="240869" s="12" customFormat="1" x14ac:dyDescent="0.25"/>
    <row r="240870" s="12" customFormat="1" x14ac:dyDescent="0.25"/>
    <row r="240871" s="12" customFormat="1" x14ac:dyDescent="0.25"/>
    <row r="240872" s="12" customFormat="1" x14ac:dyDescent="0.25"/>
    <row r="240873" s="12" customFormat="1" x14ac:dyDescent="0.25"/>
    <row r="240874" s="12" customFormat="1" x14ac:dyDescent="0.25"/>
    <row r="240875" s="12" customFormat="1" x14ac:dyDescent="0.25"/>
    <row r="240876" s="12" customFormat="1" x14ac:dyDescent="0.25"/>
    <row r="240877" s="12" customFormat="1" x14ac:dyDescent="0.25"/>
    <row r="240878" s="12" customFormat="1" x14ac:dyDescent="0.25"/>
    <row r="240879" s="12" customFormat="1" x14ac:dyDescent="0.25"/>
    <row r="240880" s="12" customFormat="1" x14ac:dyDescent="0.25"/>
    <row r="240881" s="12" customFormat="1" x14ac:dyDescent="0.25"/>
    <row r="240882" s="12" customFormat="1" x14ac:dyDescent="0.25"/>
    <row r="240883" s="12" customFormat="1" x14ac:dyDescent="0.25"/>
    <row r="240884" s="12" customFormat="1" x14ac:dyDescent="0.25"/>
    <row r="240885" s="12" customFormat="1" x14ac:dyDescent="0.25"/>
    <row r="240886" s="12" customFormat="1" x14ac:dyDescent="0.25"/>
    <row r="240887" s="12" customFormat="1" x14ac:dyDescent="0.25"/>
    <row r="240888" s="12" customFormat="1" x14ac:dyDescent="0.25"/>
    <row r="240889" s="12" customFormat="1" x14ac:dyDescent="0.25"/>
    <row r="240890" s="12" customFormat="1" x14ac:dyDescent="0.25"/>
    <row r="240891" s="12" customFormat="1" x14ac:dyDescent="0.25"/>
    <row r="240892" s="12" customFormat="1" x14ac:dyDescent="0.25"/>
    <row r="240893" s="12" customFormat="1" x14ac:dyDescent="0.25"/>
    <row r="240894" s="12" customFormat="1" x14ac:dyDescent="0.25"/>
    <row r="240895" s="12" customFormat="1" x14ac:dyDescent="0.25"/>
    <row r="240896" s="12" customFormat="1" x14ac:dyDescent="0.25"/>
    <row r="240897" s="12" customFormat="1" x14ac:dyDescent="0.25"/>
    <row r="240898" s="12" customFormat="1" x14ac:dyDescent="0.25"/>
    <row r="240899" s="12" customFormat="1" x14ac:dyDescent="0.25"/>
    <row r="240900" s="12" customFormat="1" x14ac:dyDescent="0.25"/>
    <row r="240901" s="12" customFormat="1" x14ac:dyDescent="0.25"/>
    <row r="240902" s="12" customFormat="1" x14ac:dyDescent="0.25"/>
    <row r="240903" s="12" customFormat="1" x14ac:dyDescent="0.25"/>
    <row r="240904" s="12" customFormat="1" x14ac:dyDescent="0.25"/>
    <row r="240905" s="12" customFormat="1" x14ac:dyDescent="0.25"/>
    <row r="240906" s="12" customFormat="1" x14ac:dyDescent="0.25"/>
    <row r="240907" s="12" customFormat="1" x14ac:dyDescent="0.25"/>
    <row r="240908" s="12" customFormat="1" x14ac:dyDescent="0.25"/>
    <row r="240909" s="12" customFormat="1" x14ac:dyDescent="0.25"/>
    <row r="240910" s="12" customFormat="1" x14ac:dyDescent="0.25"/>
    <row r="240911" s="12" customFormat="1" x14ac:dyDescent="0.25"/>
    <row r="240912" s="12" customFormat="1" x14ac:dyDescent="0.25"/>
    <row r="240913" s="12" customFormat="1" x14ac:dyDescent="0.25"/>
    <row r="240914" s="12" customFormat="1" x14ac:dyDescent="0.25"/>
    <row r="240915" s="12" customFormat="1" x14ac:dyDescent="0.25"/>
    <row r="240916" s="12" customFormat="1" x14ac:dyDescent="0.25"/>
    <row r="240917" s="12" customFormat="1" x14ac:dyDescent="0.25"/>
    <row r="240918" s="12" customFormat="1" x14ac:dyDescent="0.25"/>
    <row r="240919" s="12" customFormat="1" x14ac:dyDescent="0.25"/>
    <row r="240920" s="12" customFormat="1" x14ac:dyDescent="0.25"/>
    <row r="240921" s="12" customFormat="1" x14ac:dyDescent="0.25"/>
    <row r="240922" s="12" customFormat="1" x14ac:dyDescent="0.25"/>
    <row r="240923" s="12" customFormat="1" x14ac:dyDescent="0.25"/>
    <row r="240924" s="12" customFormat="1" x14ac:dyDescent="0.25"/>
    <row r="240925" s="12" customFormat="1" x14ac:dyDescent="0.25"/>
    <row r="240926" s="12" customFormat="1" x14ac:dyDescent="0.25"/>
    <row r="240927" s="12" customFormat="1" x14ac:dyDescent="0.25"/>
    <row r="240928" s="12" customFormat="1" x14ac:dyDescent="0.25"/>
    <row r="240929" s="12" customFormat="1" x14ac:dyDescent="0.25"/>
    <row r="240930" s="12" customFormat="1" x14ac:dyDescent="0.25"/>
    <row r="240931" s="12" customFormat="1" x14ac:dyDescent="0.25"/>
    <row r="240932" s="12" customFormat="1" x14ac:dyDescent="0.25"/>
    <row r="240933" s="12" customFormat="1" x14ac:dyDescent="0.25"/>
    <row r="240934" s="12" customFormat="1" x14ac:dyDescent="0.25"/>
    <row r="240935" s="12" customFormat="1" x14ac:dyDescent="0.25"/>
    <row r="240936" s="12" customFormat="1" x14ac:dyDescent="0.25"/>
    <row r="240937" s="12" customFormat="1" x14ac:dyDescent="0.25"/>
    <row r="240938" s="12" customFormat="1" x14ac:dyDescent="0.25"/>
    <row r="240939" s="12" customFormat="1" x14ac:dyDescent="0.25"/>
    <row r="240940" s="12" customFormat="1" x14ac:dyDescent="0.25"/>
    <row r="240941" s="12" customFormat="1" x14ac:dyDescent="0.25"/>
    <row r="240942" s="12" customFormat="1" x14ac:dyDescent="0.25"/>
    <row r="240943" s="12" customFormat="1" x14ac:dyDescent="0.25"/>
    <row r="240944" s="12" customFormat="1" x14ac:dyDescent="0.25"/>
    <row r="240945" s="12" customFormat="1" x14ac:dyDescent="0.25"/>
    <row r="240946" s="12" customFormat="1" x14ac:dyDescent="0.25"/>
    <row r="240947" s="12" customFormat="1" x14ac:dyDescent="0.25"/>
    <row r="240948" s="12" customFormat="1" x14ac:dyDescent="0.25"/>
    <row r="240949" s="12" customFormat="1" x14ac:dyDescent="0.25"/>
    <row r="240950" s="12" customFormat="1" x14ac:dyDescent="0.25"/>
    <row r="240951" s="12" customFormat="1" x14ac:dyDescent="0.25"/>
    <row r="240952" s="12" customFormat="1" x14ac:dyDescent="0.25"/>
    <row r="240953" s="12" customFormat="1" x14ac:dyDescent="0.25"/>
    <row r="240954" s="12" customFormat="1" x14ac:dyDescent="0.25"/>
    <row r="240955" s="12" customFormat="1" x14ac:dyDescent="0.25"/>
    <row r="240956" s="12" customFormat="1" x14ac:dyDescent="0.25"/>
    <row r="240957" s="12" customFormat="1" x14ac:dyDescent="0.25"/>
    <row r="240958" s="12" customFormat="1" x14ac:dyDescent="0.25"/>
    <row r="240959" s="12" customFormat="1" x14ac:dyDescent="0.25"/>
    <row r="240960" s="12" customFormat="1" x14ac:dyDescent="0.25"/>
    <row r="240961" s="12" customFormat="1" x14ac:dyDescent="0.25"/>
    <row r="240962" s="12" customFormat="1" x14ac:dyDescent="0.25"/>
    <row r="240963" s="12" customFormat="1" x14ac:dyDescent="0.25"/>
    <row r="240964" s="12" customFormat="1" x14ac:dyDescent="0.25"/>
    <row r="240965" s="12" customFormat="1" x14ac:dyDescent="0.25"/>
    <row r="240966" s="12" customFormat="1" x14ac:dyDescent="0.25"/>
    <row r="240967" s="12" customFormat="1" x14ac:dyDescent="0.25"/>
    <row r="240968" s="12" customFormat="1" x14ac:dyDescent="0.25"/>
    <row r="240969" s="12" customFormat="1" x14ac:dyDescent="0.25"/>
    <row r="240970" s="12" customFormat="1" x14ac:dyDescent="0.25"/>
    <row r="240971" s="12" customFormat="1" x14ac:dyDescent="0.25"/>
    <row r="240972" s="12" customFormat="1" x14ac:dyDescent="0.25"/>
    <row r="240973" s="12" customFormat="1" x14ac:dyDescent="0.25"/>
    <row r="240974" s="12" customFormat="1" x14ac:dyDescent="0.25"/>
    <row r="240975" s="12" customFormat="1" x14ac:dyDescent="0.25"/>
    <row r="240976" s="12" customFormat="1" x14ac:dyDescent="0.25"/>
    <row r="240977" s="12" customFormat="1" x14ac:dyDescent="0.25"/>
    <row r="240978" s="12" customFormat="1" x14ac:dyDescent="0.25"/>
    <row r="240979" s="12" customFormat="1" x14ac:dyDescent="0.25"/>
    <row r="240980" s="12" customFormat="1" x14ac:dyDescent="0.25"/>
    <row r="240981" s="12" customFormat="1" x14ac:dyDescent="0.25"/>
    <row r="240982" s="12" customFormat="1" x14ac:dyDescent="0.25"/>
    <row r="240983" s="12" customFormat="1" x14ac:dyDescent="0.25"/>
    <row r="240984" s="12" customFormat="1" x14ac:dyDescent="0.25"/>
    <row r="240985" s="12" customFormat="1" x14ac:dyDescent="0.25"/>
    <row r="240986" s="12" customFormat="1" x14ac:dyDescent="0.25"/>
    <row r="240987" s="12" customFormat="1" x14ac:dyDescent="0.25"/>
    <row r="240988" s="12" customFormat="1" x14ac:dyDescent="0.25"/>
    <row r="240989" s="12" customFormat="1" x14ac:dyDescent="0.25"/>
    <row r="240990" s="12" customFormat="1" x14ac:dyDescent="0.25"/>
    <row r="240991" s="12" customFormat="1" x14ac:dyDescent="0.25"/>
    <row r="240992" s="12" customFormat="1" x14ac:dyDescent="0.25"/>
    <row r="240993" s="12" customFormat="1" x14ac:dyDescent="0.25"/>
    <row r="240994" s="12" customFormat="1" x14ac:dyDescent="0.25"/>
    <row r="240995" s="12" customFormat="1" x14ac:dyDescent="0.25"/>
    <row r="240996" s="12" customFormat="1" x14ac:dyDescent="0.25"/>
    <row r="240997" s="12" customFormat="1" x14ac:dyDescent="0.25"/>
    <row r="240998" s="12" customFormat="1" x14ac:dyDescent="0.25"/>
    <row r="240999" s="12" customFormat="1" x14ac:dyDescent="0.25"/>
    <row r="241000" s="12" customFormat="1" x14ac:dyDescent="0.25"/>
    <row r="241001" s="12" customFormat="1" x14ac:dyDescent="0.25"/>
    <row r="241002" s="12" customFormat="1" x14ac:dyDescent="0.25"/>
    <row r="241003" s="12" customFormat="1" x14ac:dyDescent="0.25"/>
    <row r="241004" s="12" customFormat="1" x14ac:dyDescent="0.25"/>
    <row r="241005" s="12" customFormat="1" x14ac:dyDescent="0.25"/>
    <row r="241006" s="12" customFormat="1" x14ac:dyDescent="0.25"/>
    <row r="241007" s="12" customFormat="1" x14ac:dyDescent="0.25"/>
    <row r="241008" s="12" customFormat="1" x14ac:dyDescent="0.25"/>
    <row r="241009" s="12" customFormat="1" x14ac:dyDescent="0.25"/>
    <row r="241010" s="12" customFormat="1" x14ac:dyDescent="0.25"/>
    <row r="241011" s="12" customFormat="1" x14ac:dyDescent="0.25"/>
    <row r="241012" s="12" customFormat="1" x14ac:dyDescent="0.25"/>
    <row r="241013" s="12" customFormat="1" x14ac:dyDescent="0.25"/>
    <row r="241014" s="12" customFormat="1" x14ac:dyDescent="0.25"/>
    <row r="241015" s="12" customFormat="1" x14ac:dyDescent="0.25"/>
    <row r="241016" s="12" customFormat="1" x14ac:dyDescent="0.25"/>
    <row r="241017" s="12" customFormat="1" x14ac:dyDescent="0.25"/>
    <row r="241018" s="12" customFormat="1" x14ac:dyDescent="0.25"/>
    <row r="241019" s="12" customFormat="1" x14ac:dyDescent="0.25"/>
    <row r="241020" s="12" customFormat="1" x14ac:dyDescent="0.25"/>
    <row r="241021" s="12" customFormat="1" x14ac:dyDescent="0.25"/>
    <row r="241022" s="12" customFormat="1" x14ac:dyDescent="0.25"/>
    <row r="241023" s="12" customFormat="1" x14ac:dyDescent="0.25"/>
    <row r="241024" s="12" customFormat="1" x14ac:dyDescent="0.25"/>
    <row r="241025" s="12" customFormat="1" x14ac:dyDescent="0.25"/>
    <row r="241026" s="12" customFormat="1" x14ac:dyDescent="0.25"/>
    <row r="241027" s="12" customFormat="1" x14ac:dyDescent="0.25"/>
    <row r="241028" s="12" customFormat="1" x14ac:dyDescent="0.25"/>
    <row r="241029" s="12" customFormat="1" x14ac:dyDescent="0.25"/>
    <row r="241030" s="12" customFormat="1" x14ac:dyDescent="0.25"/>
    <row r="241031" s="12" customFormat="1" x14ac:dyDescent="0.25"/>
    <row r="241032" s="12" customFormat="1" x14ac:dyDescent="0.25"/>
    <row r="241033" s="12" customFormat="1" x14ac:dyDescent="0.25"/>
    <row r="241034" s="12" customFormat="1" x14ac:dyDescent="0.25"/>
    <row r="241035" s="12" customFormat="1" x14ac:dyDescent="0.25"/>
    <row r="241036" s="12" customFormat="1" x14ac:dyDescent="0.25"/>
    <row r="241037" s="12" customFormat="1" x14ac:dyDescent="0.25"/>
    <row r="241038" s="12" customFormat="1" x14ac:dyDescent="0.25"/>
    <row r="241039" s="12" customFormat="1" x14ac:dyDescent="0.25"/>
    <row r="241040" s="12" customFormat="1" x14ac:dyDescent="0.25"/>
    <row r="241041" s="12" customFormat="1" x14ac:dyDescent="0.25"/>
    <row r="241042" s="12" customFormat="1" x14ac:dyDescent="0.25"/>
    <row r="241043" s="12" customFormat="1" x14ac:dyDescent="0.25"/>
    <row r="241044" s="12" customFormat="1" x14ac:dyDescent="0.25"/>
    <row r="241045" s="12" customFormat="1" x14ac:dyDescent="0.25"/>
    <row r="241046" s="12" customFormat="1" x14ac:dyDescent="0.25"/>
    <row r="241047" s="12" customFormat="1" x14ac:dyDescent="0.25"/>
    <row r="241048" s="12" customFormat="1" x14ac:dyDescent="0.25"/>
    <row r="241049" s="12" customFormat="1" x14ac:dyDescent="0.25"/>
    <row r="241050" s="12" customFormat="1" x14ac:dyDescent="0.25"/>
    <row r="241051" s="12" customFormat="1" x14ac:dyDescent="0.25"/>
    <row r="241052" s="12" customFormat="1" x14ac:dyDescent="0.25"/>
    <row r="241053" s="12" customFormat="1" x14ac:dyDescent="0.25"/>
    <row r="241054" s="12" customFormat="1" x14ac:dyDescent="0.25"/>
    <row r="241055" s="12" customFormat="1" x14ac:dyDescent="0.25"/>
    <row r="241056" s="12" customFormat="1" x14ac:dyDescent="0.25"/>
    <row r="241057" s="12" customFormat="1" x14ac:dyDescent="0.25"/>
    <row r="241058" s="12" customFormat="1" x14ac:dyDescent="0.25"/>
    <row r="241059" s="12" customFormat="1" x14ac:dyDescent="0.25"/>
    <row r="241060" s="12" customFormat="1" x14ac:dyDescent="0.25"/>
    <row r="241061" s="12" customFormat="1" x14ac:dyDescent="0.25"/>
    <row r="241062" s="12" customFormat="1" x14ac:dyDescent="0.25"/>
    <row r="241063" s="12" customFormat="1" x14ac:dyDescent="0.25"/>
    <row r="241064" s="12" customFormat="1" x14ac:dyDescent="0.25"/>
    <row r="241065" s="12" customFormat="1" x14ac:dyDescent="0.25"/>
    <row r="241066" s="12" customFormat="1" x14ac:dyDescent="0.25"/>
    <row r="241067" s="12" customFormat="1" x14ac:dyDescent="0.25"/>
    <row r="241068" s="12" customFormat="1" x14ac:dyDescent="0.25"/>
    <row r="241069" s="12" customFormat="1" x14ac:dyDescent="0.25"/>
    <row r="241070" s="12" customFormat="1" x14ac:dyDescent="0.25"/>
    <row r="241071" s="12" customFormat="1" x14ac:dyDescent="0.25"/>
    <row r="241072" s="12" customFormat="1" x14ac:dyDescent="0.25"/>
    <row r="241073" s="12" customFormat="1" x14ac:dyDescent="0.25"/>
    <row r="241074" s="12" customFormat="1" x14ac:dyDescent="0.25"/>
    <row r="241075" s="12" customFormat="1" x14ac:dyDescent="0.25"/>
    <row r="241076" s="12" customFormat="1" x14ac:dyDescent="0.25"/>
    <row r="241077" s="12" customFormat="1" x14ac:dyDescent="0.25"/>
    <row r="241078" s="12" customFormat="1" x14ac:dyDescent="0.25"/>
    <row r="241079" s="12" customFormat="1" x14ac:dyDescent="0.25"/>
    <row r="241080" s="12" customFormat="1" x14ac:dyDescent="0.25"/>
    <row r="241081" s="12" customFormat="1" x14ac:dyDescent="0.25"/>
    <row r="241082" s="12" customFormat="1" x14ac:dyDescent="0.25"/>
    <row r="241083" s="12" customFormat="1" x14ac:dyDescent="0.25"/>
    <row r="241084" s="12" customFormat="1" x14ac:dyDescent="0.25"/>
    <row r="241085" s="12" customFormat="1" x14ac:dyDescent="0.25"/>
    <row r="241086" s="12" customFormat="1" x14ac:dyDescent="0.25"/>
    <row r="241087" s="12" customFormat="1" x14ac:dyDescent="0.25"/>
    <row r="241088" s="12" customFormat="1" x14ac:dyDescent="0.25"/>
    <row r="241089" s="12" customFormat="1" x14ac:dyDescent="0.25"/>
    <row r="241090" s="12" customFormat="1" x14ac:dyDescent="0.25"/>
    <row r="241091" s="12" customFormat="1" x14ac:dyDescent="0.25"/>
    <row r="241092" s="12" customFormat="1" x14ac:dyDescent="0.25"/>
    <row r="241093" s="12" customFormat="1" x14ac:dyDescent="0.25"/>
    <row r="241094" s="12" customFormat="1" x14ac:dyDescent="0.25"/>
    <row r="241095" s="12" customFormat="1" x14ac:dyDescent="0.25"/>
    <row r="241096" s="12" customFormat="1" x14ac:dyDescent="0.25"/>
    <row r="241097" s="12" customFormat="1" x14ac:dyDescent="0.25"/>
    <row r="241098" s="12" customFormat="1" x14ac:dyDescent="0.25"/>
    <row r="241099" s="12" customFormat="1" x14ac:dyDescent="0.25"/>
    <row r="241100" s="12" customFormat="1" x14ac:dyDescent="0.25"/>
    <row r="241101" s="12" customFormat="1" x14ac:dyDescent="0.25"/>
    <row r="241102" s="12" customFormat="1" x14ac:dyDescent="0.25"/>
    <row r="241103" s="12" customFormat="1" x14ac:dyDescent="0.25"/>
    <row r="241104" s="12" customFormat="1" x14ac:dyDescent="0.25"/>
    <row r="241105" s="12" customFormat="1" x14ac:dyDescent="0.25"/>
    <row r="241106" s="12" customFormat="1" x14ac:dyDescent="0.25"/>
    <row r="241107" s="12" customFormat="1" x14ac:dyDescent="0.25"/>
    <row r="241108" s="12" customFormat="1" x14ac:dyDescent="0.25"/>
    <row r="241109" s="12" customFormat="1" x14ac:dyDescent="0.25"/>
    <row r="241110" s="12" customFormat="1" x14ac:dyDescent="0.25"/>
    <row r="241111" s="12" customFormat="1" x14ac:dyDescent="0.25"/>
    <row r="241112" s="12" customFormat="1" x14ac:dyDescent="0.25"/>
    <row r="241113" s="12" customFormat="1" x14ac:dyDescent="0.25"/>
    <row r="241114" s="12" customFormat="1" x14ac:dyDescent="0.25"/>
    <row r="241115" s="12" customFormat="1" x14ac:dyDescent="0.25"/>
    <row r="241116" s="12" customFormat="1" x14ac:dyDescent="0.25"/>
    <row r="241117" s="12" customFormat="1" x14ac:dyDescent="0.25"/>
    <row r="241118" s="12" customFormat="1" x14ac:dyDescent="0.25"/>
    <row r="241119" s="12" customFormat="1" x14ac:dyDescent="0.25"/>
    <row r="241120" s="12" customFormat="1" x14ac:dyDescent="0.25"/>
    <row r="241121" s="12" customFormat="1" x14ac:dyDescent="0.25"/>
    <row r="241122" s="12" customFormat="1" x14ac:dyDescent="0.25"/>
    <row r="241123" s="12" customFormat="1" x14ac:dyDescent="0.25"/>
    <row r="241124" s="12" customFormat="1" x14ac:dyDescent="0.25"/>
    <row r="241125" s="12" customFormat="1" x14ac:dyDescent="0.25"/>
    <row r="241126" s="12" customFormat="1" x14ac:dyDescent="0.25"/>
    <row r="241127" s="12" customFormat="1" x14ac:dyDescent="0.25"/>
    <row r="241128" s="12" customFormat="1" x14ac:dyDescent="0.25"/>
    <row r="241129" s="12" customFormat="1" x14ac:dyDescent="0.25"/>
    <row r="241130" s="12" customFormat="1" x14ac:dyDescent="0.25"/>
    <row r="241131" s="12" customFormat="1" x14ac:dyDescent="0.25"/>
    <row r="241132" s="12" customFormat="1" x14ac:dyDescent="0.25"/>
    <row r="241133" s="12" customFormat="1" x14ac:dyDescent="0.25"/>
    <row r="241134" s="12" customFormat="1" x14ac:dyDescent="0.25"/>
    <row r="241135" s="12" customFormat="1" x14ac:dyDescent="0.25"/>
    <row r="241136" s="12" customFormat="1" x14ac:dyDescent="0.25"/>
    <row r="241137" s="12" customFormat="1" x14ac:dyDescent="0.25"/>
    <row r="241138" s="12" customFormat="1" x14ac:dyDescent="0.25"/>
    <row r="241139" s="12" customFormat="1" x14ac:dyDescent="0.25"/>
    <row r="241140" s="12" customFormat="1" x14ac:dyDescent="0.25"/>
    <row r="241141" s="12" customFormat="1" x14ac:dyDescent="0.25"/>
    <row r="241142" s="12" customFormat="1" x14ac:dyDescent="0.25"/>
    <row r="241143" s="12" customFormat="1" x14ac:dyDescent="0.25"/>
    <row r="241144" s="12" customFormat="1" x14ac:dyDescent="0.25"/>
    <row r="241145" s="12" customFormat="1" x14ac:dyDescent="0.25"/>
    <row r="241146" s="12" customFormat="1" x14ac:dyDescent="0.25"/>
    <row r="241147" s="12" customFormat="1" x14ac:dyDescent="0.25"/>
    <row r="241148" s="12" customFormat="1" x14ac:dyDescent="0.25"/>
    <row r="241149" s="12" customFormat="1" x14ac:dyDescent="0.25"/>
    <row r="241150" s="12" customFormat="1" x14ac:dyDescent="0.25"/>
    <row r="241151" s="12" customFormat="1" x14ac:dyDescent="0.25"/>
    <row r="241152" s="12" customFormat="1" x14ac:dyDescent="0.25"/>
    <row r="241153" s="12" customFormat="1" x14ac:dyDescent="0.25"/>
    <row r="241154" s="12" customFormat="1" x14ac:dyDescent="0.25"/>
    <row r="241155" s="12" customFormat="1" x14ac:dyDescent="0.25"/>
    <row r="241156" s="12" customFormat="1" x14ac:dyDescent="0.25"/>
    <row r="241157" s="12" customFormat="1" x14ac:dyDescent="0.25"/>
    <row r="241158" s="12" customFormat="1" x14ac:dyDescent="0.25"/>
    <row r="241159" s="12" customFormat="1" x14ac:dyDescent="0.25"/>
    <row r="241160" s="12" customFormat="1" x14ac:dyDescent="0.25"/>
    <row r="241161" s="12" customFormat="1" x14ac:dyDescent="0.25"/>
    <row r="241162" s="12" customFormat="1" x14ac:dyDescent="0.25"/>
    <row r="241163" s="12" customFormat="1" x14ac:dyDescent="0.25"/>
    <row r="241164" s="12" customFormat="1" x14ac:dyDescent="0.25"/>
    <row r="241165" s="12" customFormat="1" x14ac:dyDescent="0.25"/>
    <row r="241166" s="12" customFormat="1" x14ac:dyDescent="0.25"/>
    <row r="241167" s="12" customFormat="1" x14ac:dyDescent="0.25"/>
    <row r="241168" s="12" customFormat="1" x14ac:dyDescent="0.25"/>
    <row r="241169" s="12" customFormat="1" x14ac:dyDescent="0.25"/>
    <row r="241170" s="12" customFormat="1" x14ac:dyDescent="0.25"/>
    <row r="241171" s="12" customFormat="1" x14ac:dyDescent="0.25"/>
    <row r="241172" s="12" customFormat="1" x14ac:dyDescent="0.25"/>
    <row r="241173" s="12" customFormat="1" x14ac:dyDescent="0.25"/>
    <row r="241174" s="12" customFormat="1" x14ac:dyDescent="0.25"/>
    <row r="241175" s="12" customFormat="1" x14ac:dyDescent="0.25"/>
    <row r="241176" s="12" customFormat="1" x14ac:dyDescent="0.25"/>
    <row r="241177" s="12" customFormat="1" x14ac:dyDescent="0.25"/>
    <row r="241178" s="12" customFormat="1" x14ac:dyDescent="0.25"/>
    <row r="241179" s="12" customFormat="1" x14ac:dyDescent="0.25"/>
    <row r="241180" s="12" customFormat="1" x14ac:dyDescent="0.25"/>
    <row r="241181" s="12" customFormat="1" x14ac:dyDescent="0.25"/>
    <row r="241182" s="12" customFormat="1" x14ac:dyDescent="0.25"/>
    <row r="241183" s="12" customFormat="1" x14ac:dyDescent="0.25"/>
    <row r="241184" s="12" customFormat="1" x14ac:dyDescent="0.25"/>
    <row r="241185" s="12" customFormat="1" x14ac:dyDescent="0.25"/>
    <row r="241186" s="12" customFormat="1" x14ac:dyDescent="0.25"/>
    <row r="241187" s="12" customFormat="1" x14ac:dyDescent="0.25"/>
    <row r="241188" s="12" customFormat="1" x14ac:dyDescent="0.25"/>
    <row r="241189" s="12" customFormat="1" x14ac:dyDescent="0.25"/>
    <row r="241190" s="12" customFormat="1" x14ac:dyDescent="0.25"/>
    <row r="241191" s="12" customFormat="1" x14ac:dyDescent="0.25"/>
    <row r="241192" s="12" customFormat="1" x14ac:dyDescent="0.25"/>
    <row r="241193" s="12" customFormat="1" x14ac:dyDescent="0.25"/>
    <row r="241194" s="12" customFormat="1" x14ac:dyDescent="0.25"/>
    <row r="241195" s="12" customFormat="1" x14ac:dyDescent="0.25"/>
    <row r="241196" s="12" customFormat="1" x14ac:dyDescent="0.25"/>
    <row r="241197" s="12" customFormat="1" x14ac:dyDescent="0.25"/>
    <row r="241198" s="12" customFormat="1" x14ac:dyDescent="0.25"/>
    <row r="241199" s="12" customFormat="1" x14ac:dyDescent="0.25"/>
    <row r="241200" s="12" customFormat="1" x14ac:dyDescent="0.25"/>
    <row r="241201" s="12" customFormat="1" x14ac:dyDescent="0.25"/>
    <row r="241202" s="12" customFormat="1" x14ac:dyDescent="0.25"/>
    <row r="241203" s="12" customFormat="1" x14ac:dyDescent="0.25"/>
    <row r="241204" s="12" customFormat="1" x14ac:dyDescent="0.25"/>
    <row r="241205" s="12" customFormat="1" x14ac:dyDescent="0.25"/>
    <row r="241206" s="12" customFormat="1" x14ac:dyDescent="0.25"/>
    <row r="241207" s="12" customFormat="1" x14ac:dyDescent="0.25"/>
    <row r="241208" s="12" customFormat="1" x14ac:dyDescent="0.25"/>
    <row r="241209" s="12" customFormat="1" x14ac:dyDescent="0.25"/>
    <row r="241210" s="12" customFormat="1" x14ac:dyDescent="0.25"/>
    <row r="241211" s="12" customFormat="1" x14ac:dyDescent="0.25"/>
    <row r="241212" s="12" customFormat="1" x14ac:dyDescent="0.25"/>
    <row r="241213" s="12" customFormat="1" x14ac:dyDescent="0.25"/>
    <row r="241214" s="12" customFormat="1" x14ac:dyDescent="0.25"/>
    <row r="241215" s="12" customFormat="1" x14ac:dyDescent="0.25"/>
    <row r="241216" s="12" customFormat="1" x14ac:dyDescent="0.25"/>
    <row r="241217" s="12" customFormat="1" x14ac:dyDescent="0.25"/>
    <row r="241218" s="12" customFormat="1" x14ac:dyDescent="0.25"/>
    <row r="241219" s="12" customFormat="1" x14ac:dyDescent="0.25"/>
    <row r="241220" s="12" customFormat="1" x14ac:dyDescent="0.25"/>
    <row r="241221" s="12" customFormat="1" x14ac:dyDescent="0.25"/>
    <row r="241222" s="12" customFormat="1" x14ac:dyDescent="0.25"/>
    <row r="241223" s="12" customFormat="1" x14ac:dyDescent="0.25"/>
    <row r="241224" s="12" customFormat="1" x14ac:dyDescent="0.25"/>
    <row r="241225" s="12" customFormat="1" x14ac:dyDescent="0.25"/>
    <row r="241226" s="12" customFormat="1" x14ac:dyDescent="0.25"/>
    <row r="241227" s="12" customFormat="1" x14ac:dyDescent="0.25"/>
    <row r="241228" s="12" customFormat="1" x14ac:dyDescent="0.25"/>
    <row r="241229" s="12" customFormat="1" x14ac:dyDescent="0.25"/>
    <row r="241230" s="12" customFormat="1" x14ac:dyDescent="0.25"/>
    <row r="241231" s="12" customFormat="1" x14ac:dyDescent="0.25"/>
    <row r="241232" s="12" customFormat="1" x14ac:dyDescent="0.25"/>
    <row r="241233" s="12" customFormat="1" x14ac:dyDescent="0.25"/>
    <row r="241234" s="12" customFormat="1" x14ac:dyDescent="0.25"/>
    <row r="241235" s="12" customFormat="1" x14ac:dyDescent="0.25"/>
    <row r="241236" s="12" customFormat="1" x14ac:dyDescent="0.25"/>
    <row r="241237" s="12" customFormat="1" x14ac:dyDescent="0.25"/>
    <row r="241238" s="12" customFormat="1" x14ac:dyDescent="0.25"/>
    <row r="241239" s="12" customFormat="1" x14ac:dyDescent="0.25"/>
    <row r="241240" s="12" customFormat="1" x14ac:dyDescent="0.25"/>
    <row r="241241" s="12" customFormat="1" x14ac:dyDescent="0.25"/>
    <row r="241242" s="12" customFormat="1" x14ac:dyDescent="0.25"/>
    <row r="241243" s="12" customFormat="1" x14ac:dyDescent="0.25"/>
    <row r="241244" s="12" customFormat="1" x14ac:dyDescent="0.25"/>
    <row r="241245" s="12" customFormat="1" x14ac:dyDescent="0.25"/>
    <row r="241246" s="12" customFormat="1" x14ac:dyDescent="0.25"/>
    <row r="241247" s="12" customFormat="1" x14ac:dyDescent="0.25"/>
    <row r="241248" s="12" customFormat="1" x14ac:dyDescent="0.25"/>
    <row r="241249" s="12" customFormat="1" x14ac:dyDescent="0.25"/>
    <row r="241250" s="12" customFormat="1" x14ac:dyDescent="0.25"/>
    <row r="241251" s="12" customFormat="1" x14ac:dyDescent="0.25"/>
    <row r="241252" s="12" customFormat="1" x14ac:dyDescent="0.25"/>
    <row r="241253" s="12" customFormat="1" x14ac:dyDescent="0.25"/>
    <row r="241254" s="12" customFormat="1" x14ac:dyDescent="0.25"/>
    <row r="241255" s="12" customFormat="1" x14ac:dyDescent="0.25"/>
    <row r="241256" s="12" customFormat="1" x14ac:dyDescent="0.25"/>
    <row r="241257" s="12" customFormat="1" x14ac:dyDescent="0.25"/>
    <row r="241258" s="12" customFormat="1" x14ac:dyDescent="0.25"/>
    <row r="241259" s="12" customFormat="1" x14ac:dyDescent="0.25"/>
    <row r="241260" s="12" customFormat="1" x14ac:dyDescent="0.25"/>
    <row r="241261" s="12" customFormat="1" x14ac:dyDescent="0.25"/>
    <row r="241262" s="12" customFormat="1" x14ac:dyDescent="0.25"/>
    <row r="241263" s="12" customFormat="1" x14ac:dyDescent="0.25"/>
    <row r="241264" s="12" customFormat="1" x14ac:dyDescent="0.25"/>
    <row r="241265" s="12" customFormat="1" x14ac:dyDescent="0.25"/>
    <row r="241266" s="12" customFormat="1" x14ac:dyDescent="0.25"/>
    <row r="241267" s="12" customFormat="1" x14ac:dyDescent="0.25"/>
    <row r="241268" s="12" customFormat="1" x14ac:dyDescent="0.25"/>
    <row r="241269" s="12" customFormat="1" x14ac:dyDescent="0.25"/>
    <row r="241270" s="12" customFormat="1" x14ac:dyDescent="0.25"/>
    <row r="241271" s="12" customFormat="1" x14ac:dyDescent="0.25"/>
    <row r="241272" s="12" customFormat="1" x14ac:dyDescent="0.25"/>
    <row r="241273" s="12" customFormat="1" x14ac:dyDescent="0.25"/>
    <row r="241274" s="12" customFormat="1" x14ac:dyDescent="0.25"/>
    <row r="241275" s="12" customFormat="1" x14ac:dyDescent="0.25"/>
    <row r="241276" s="12" customFormat="1" x14ac:dyDescent="0.25"/>
    <row r="241277" s="12" customFormat="1" x14ac:dyDescent="0.25"/>
    <row r="241278" s="12" customFormat="1" x14ac:dyDescent="0.25"/>
    <row r="241279" s="12" customFormat="1" x14ac:dyDescent="0.25"/>
    <row r="241280" s="12" customFormat="1" x14ac:dyDescent="0.25"/>
    <row r="241281" s="12" customFormat="1" x14ac:dyDescent="0.25"/>
    <row r="241282" s="12" customFormat="1" x14ac:dyDescent="0.25"/>
    <row r="241283" s="12" customFormat="1" x14ac:dyDescent="0.25"/>
    <row r="241284" s="12" customFormat="1" x14ac:dyDescent="0.25"/>
    <row r="241285" s="12" customFormat="1" x14ac:dyDescent="0.25"/>
    <row r="241286" s="12" customFormat="1" x14ac:dyDescent="0.25"/>
    <row r="241287" s="12" customFormat="1" x14ac:dyDescent="0.25"/>
    <row r="241288" s="12" customFormat="1" x14ac:dyDescent="0.25"/>
    <row r="241289" s="12" customFormat="1" x14ac:dyDescent="0.25"/>
    <row r="241290" s="12" customFormat="1" x14ac:dyDescent="0.25"/>
    <row r="241291" s="12" customFormat="1" x14ac:dyDescent="0.25"/>
    <row r="241292" s="12" customFormat="1" x14ac:dyDescent="0.25"/>
    <row r="241293" s="12" customFormat="1" x14ac:dyDescent="0.25"/>
    <row r="241294" s="12" customFormat="1" x14ac:dyDescent="0.25"/>
    <row r="241295" s="12" customFormat="1" x14ac:dyDescent="0.25"/>
    <row r="241296" s="12" customFormat="1" x14ac:dyDescent="0.25"/>
    <row r="241297" s="12" customFormat="1" x14ac:dyDescent="0.25"/>
    <row r="241298" s="12" customFormat="1" x14ac:dyDescent="0.25"/>
    <row r="241299" s="12" customFormat="1" x14ac:dyDescent="0.25"/>
    <row r="241300" s="12" customFormat="1" x14ac:dyDescent="0.25"/>
    <row r="241301" s="12" customFormat="1" x14ac:dyDescent="0.25"/>
    <row r="241302" s="12" customFormat="1" x14ac:dyDescent="0.25"/>
    <row r="241303" s="12" customFormat="1" x14ac:dyDescent="0.25"/>
    <row r="241304" s="12" customFormat="1" x14ac:dyDescent="0.25"/>
    <row r="241305" s="12" customFormat="1" x14ac:dyDescent="0.25"/>
    <row r="241306" s="12" customFormat="1" x14ac:dyDescent="0.25"/>
    <row r="241307" s="12" customFormat="1" x14ac:dyDescent="0.25"/>
    <row r="241308" s="12" customFormat="1" x14ac:dyDescent="0.25"/>
    <row r="241309" s="12" customFormat="1" x14ac:dyDescent="0.25"/>
    <row r="241310" s="12" customFormat="1" x14ac:dyDescent="0.25"/>
    <row r="241311" s="12" customFormat="1" x14ac:dyDescent="0.25"/>
    <row r="241312" s="12" customFormat="1" x14ac:dyDescent="0.25"/>
    <row r="241313" s="12" customFormat="1" x14ac:dyDescent="0.25"/>
    <row r="241314" s="12" customFormat="1" x14ac:dyDescent="0.25"/>
    <row r="241315" s="12" customFormat="1" x14ac:dyDescent="0.25"/>
    <row r="241316" s="12" customFormat="1" x14ac:dyDescent="0.25"/>
    <row r="241317" s="12" customFormat="1" x14ac:dyDescent="0.25"/>
    <row r="241318" s="12" customFormat="1" x14ac:dyDescent="0.25"/>
    <row r="241319" s="12" customFormat="1" x14ac:dyDescent="0.25"/>
    <row r="241320" s="12" customFormat="1" x14ac:dyDescent="0.25"/>
    <row r="241321" s="12" customFormat="1" x14ac:dyDescent="0.25"/>
    <row r="241322" s="12" customFormat="1" x14ac:dyDescent="0.25"/>
    <row r="241323" s="12" customFormat="1" x14ac:dyDescent="0.25"/>
    <row r="241324" s="12" customFormat="1" x14ac:dyDescent="0.25"/>
    <row r="241325" s="12" customFormat="1" x14ac:dyDescent="0.25"/>
    <row r="241326" s="12" customFormat="1" x14ac:dyDescent="0.25"/>
    <row r="241327" s="12" customFormat="1" x14ac:dyDescent="0.25"/>
    <row r="241328" s="12" customFormat="1" x14ac:dyDescent="0.25"/>
    <row r="241329" s="12" customFormat="1" x14ac:dyDescent="0.25"/>
    <row r="241330" s="12" customFormat="1" x14ac:dyDescent="0.25"/>
    <row r="241331" s="12" customFormat="1" x14ac:dyDescent="0.25"/>
    <row r="241332" s="12" customFormat="1" x14ac:dyDescent="0.25"/>
    <row r="241333" s="12" customFormat="1" x14ac:dyDescent="0.25"/>
    <row r="241334" s="12" customFormat="1" x14ac:dyDescent="0.25"/>
    <row r="241335" s="12" customFormat="1" x14ac:dyDescent="0.25"/>
    <row r="241336" s="12" customFormat="1" x14ac:dyDescent="0.25"/>
    <row r="241337" s="12" customFormat="1" x14ac:dyDescent="0.25"/>
    <row r="241338" s="12" customFormat="1" x14ac:dyDescent="0.25"/>
    <row r="241339" s="12" customFormat="1" x14ac:dyDescent="0.25"/>
    <row r="241340" s="12" customFormat="1" x14ac:dyDescent="0.25"/>
    <row r="241341" s="12" customFormat="1" x14ac:dyDescent="0.25"/>
    <row r="241342" s="12" customFormat="1" x14ac:dyDescent="0.25"/>
    <row r="241343" s="12" customFormat="1" x14ac:dyDescent="0.25"/>
    <row r="241344" s="12" customFormat="1" x14ac:dyDescent="0.25"/>
    <row r="241345" s="12" customFormat="1" x14ac:dyDescent="0.25"/>
    <row r="241346" s="12" customFormat="1" x14ac:dyDescent="0.25"/>
    <row r="241347" s="12" customFormat="1" x14ac:dyDescent="0.25"/>
    <row r="241348" s="12" customFormat="1" x14ac:dyDescent="0.25"/>
    <row r="241349" s="12" customFormat="1" x14ac:dyDescent="0.25"/>
    <row r="241350" s="12" customFormat="1" x14ac:dyDescent="0.25"/>
    <row r="241351" s="12" customFormat="1" x14ac:dyDescent="0.25"/>
    <row r="241352" s="12" customFormat="1" x14ac:dyDescent="0.25"/>
    <row r="241353" s="12" customFormat="1" x14ac:dyDescent="0.25"/>
    <row r="241354" s="12" customFormat="1" x14ac:dyDescent="0.25"/>
    <row r="241355" s="12" customFormat="1" x14ac:dyDescent="0.25"/>
    <row r="241356" s="12" customFormat="1" x14ac:dyDescent="0.25"/>
    <row r="241357" s="12" customFormat="1" x14ac:dyDescent="0.25"/>
    <row r="241358" s="12" customFormat="1" x14ac:dyDescent="0.25"/>
    <row r="241359" s="12" customFormat="1" x14ac:dyDescent="0.25"/>
    <row r="241360" s="12" customFormat="1" x14ac:dyDescent="0.25"/>
    <row r="241361" s="12" customFormat="1" x14ac:dyDescent="0.25"/>
    <row r="241362" s="12" customFormat="1" x14ac:dyDescent="0.25"/>
    <row r="241363" s="12" customFormat="1" x14ac:dyDescent="0.25"/>
    <row r="241364" s="12" customFormat="1" x14ac:dyDescent="0.25"/>
    <row r="241365" s="12" customFormat="1" x14ac:dyDescent="0.25"/>
    <row r="241366" s="12" customFormat="1" x14ac:dyDescent="0.25"/>
    <row r="241367" s="12" customFormat="1" x14ac:dyDescent="0.25"/>
    <row r="241368" s="12" customFormat="1" x14ac:dyDescent="0.25"/>
    <row r="241369" s="12" customFormat="1" x14ac:dyDescent="0.25"/>
    <row r="241370" s="12" customFormat="1" x14ac:dyDescent="0.25"/>
    <row r="241371" s="12" customFormat="1" x14ac:dyDescent="0.25"/>
    <row r="241372" s="12" customFormat="1" x14ac:dyDescent="0.25"/>
    <row r="241373" s="12" customFormat="1" x14ac:dyDescent="0.25"/>
    <row r="241374" s="12" customFormat="1" x14ac:dyDescent="0.25"/>
    <row r="241375" s="12" customFormat="1" x14ac:dyDescent="0.25"/>
    <row r="241376" s="12" customFormat="1" x14ac:dyDescent="0.25"/>
    <row r="241377" s="12" customFormat="1" x14ac:dyDescent="0.25"/>
    <row r="241378" s="12" customFormat="1" x14ac:dyDescent="0.25"/>
    <row r="241379" s="12" customFormat="1" x14ac:dyDescent="0.25"/>
    <row r="241380" s="12" customFormat="1" x14ac:dyDescent="0.25"/>
    <row r="241381" s="12" customFormat="1" x14ac:dyDescent="0.25"/>
    <row r="241382" s="12" customFormat="1" x14ac:dyDescent="0.25"/>
    <row r="241383" s="12" customFormat="1" x14ac:dyDescent="0.25"/>
    <row r="241384" s="12" customFormat="1" x14ac:dyDescent="0.25"/>
    <row r="241385" s="12" customFormat="1" x14ac:dyDescent="0.25"/>
    <row r="241386" s="12" customFormat="1" x14ac:dyDescent="0.25"/>
    <row r="241387" s="12" customFormat="1" x14ac:dyDescent="0.25"/>
    <row r="241388" s="12" customFormat="1" x14ac:dyDescent="0.25"/>
    <row r="241389" s="12" customFormat="1" x14ac:dyDescent="0.25"/>
    <row r="241390" s="12" customFormat="1" x14ac:dyDescent="0.25"/>
    <row r="241391" s="12" customFormat="1" x14ac:dyDescent="0.25"/>
    <row r="241392" s="12" customFormat="1" x14ac:dyDescent="0.25"/>
    <row r="241393" s="12" customFormat="1" x14ac:dyDescent="0.25"/>
    <row r="241394" s="12" customFormat="1" x14ac:dyDescent="0.25"/>
    <row r="241395" s="12" customFormat="1" x14ac:dyDescent="0.25"/>
    <row r="241396" s="12" customFormat="1" x14ac:dyDescent="0.25"/>
    <row r="241397" s="12" customFormat="1" x14ac:dyDescent="0.25"/>
    <row r="241398" s="12" customFormat="1" x14ac:dyDescent="0.25"/>
    <row r="241399" s="12" customFormat="1" x14ac:dyDescent="0.25"/>
    <row r="241400" s="12" customFormat="1" x14ac:dyDescent="0.25"/>
    <row r="241401" s="12" customFormat="1" x14ac:dyDescent="0.25"/>
    <row r="241402" s="12" customFormat="1" x14ac:dyDescent="0.25"/>
    <row r="241403" s="12" customFormat="1" x14ac:dyDescent="0.25"/>
    <row r="241404" s="12" customFormat="1" x14ac:dyDescent="0.25"/>
    <row r="241405" s="12" customFormat="1" x14ac:dyDescent="0.25"/>
    <row r="241406" s="12" customFormat="1" x14ac:dyDescent="0.25"/>
    <row r="241407" s="12" customFormat="1" x14ac:dyDescent="0.25"/>
    <row r="241408" s="12" customFormat="1" x14ac:dyDescent="0.25"/>
    <row r="241409" s="12" customFormat="1" x14ac:dyDescent="0.25"/>
    <row r="241410" s="12" customFormat="1" x14ac:dyDescent="0.25"/>
    <row r="241411" s="12" customFormat="1" x14ac:dyDescent="0.25"/>
    <row r="241412" s="12" customFormat="1" x14ac:dyDescent="0.25"/>
    <row r="241413" s="12" customFormat="1" x14ac:dyDescent="0.25"/>
    <row r="241414" s="12" customFormat="1" x14ac:dyDescent="0.25"/>
    <row r="241415" s="12" customFormat="1" x14ac:dyDescent="0.25"/>
    <row r="241416" s="12" customFormat="1" x14ac:dyDescent="0.25"/>
    <row r="241417" s="12" customFormat="1" x14ac:dyDescent="0.25"/>
    <row r="241418" s="12" customFormat="1" x14ac:dyDescent="0.25"/>
    <row r="241419" s="12" customFormat="1" x14ac:dyDescent="0.25"/>
    <row r="241420" s="12" customFormat="1" x14ac:dyDescent="0.25"/>
    <row r="241421" s="12" customFormat="1" x14ac:dyDescent="0.25"/>
    <row r="241422" s="12" customFormat="1" x14ac:dyDescent="0.25"/>
    <row r="241423" s="12" customFormat="1" x14ac:dyDescent="0.25"/>
    <row r="241424" s="12" customFormat="1" x14ac:dyDescent="0.25"/>
    <row r="241425" s="12" customFormat="1" x14ac:dyDescent="0.25"/>
    <row r="241426" s="12" customFormat="1" x14ac:dyDescent="0.25"/>
    <row r="241427" s="12" customFormat="1" x14ac:dyDescent="0.25"/>
    <row r="241428" s="12" customFormat="1" x14ac:dyDescent="0.25"/>
    <row r="241429" s="12" customFormat="1" x14ac:dyDescent="0.25"/>
    <row r="241430" s="12" customFormat="1" x14ac:dyDescent="0.25"/>
    <row r="241431" s="12" customFormat="1" x14ac:dyDescent="0.25"/>
    <row r="241432" s="12" customFormat="1" x14ac:dyDescent="0.25"/>
    <row r="241433" s="12" customFormat="1" x14ac:dyDescent="0.25"/>
    <row r="241434" s="12" customFormat="1" x14ac:dyDescent="0.25"/>
    <row r="241435" s="12" customFormat="1" x14ac:dyDescent="0.25"/>
    <row r="241436" s="12" customFormat="1" x14ac:dyDescent="0.25"/>
    <row r="241437" s="12" customFormat="1" x14ac:dyDescent="0.25"/>
    <row r="241438" s="12" customFormat="1" x14ac:dyDescent="0.25"/>
    <row r="241439" s="12" customFormat="1" x14ac:dyDescent="0.25"/>
    <row r="241440" s="12" customFormat="1" x14ac:dyDescent="0.25"/>
    <row r="241441" s="12" customFormat="1" x14ac:dyDescent="0.25"/>
    <row r="241442" s="12" customFormat="1" x14ac:dyDescent="0.25"/>
    <row r="241443" s="12" customFormat="1" x14ac:dyDescent="0.25"/>
    <row r="241444" s="12" customFormat="1" x14ac:dyDescent="0.25"/>
    <row r="241445" s="12" customFormat="1" x14ac:dyDescent="0.25"/>
    <row r="241446" s="12" customFormat="1" x14ac:dyDescent="0.25"/>
    <row r="241447" s="12" customFormat="1" x14ac:dyDescent="0.25"/>
    <row r="241448" s="12" customFormat="1" x14ac:dyDescent="0.25"/>
    <row r="241449" s="12" customFormat="1" x14ac:dyDescent="0.25"/>
    <row r="241450" s="12" customFormat="1" x14ac:dyDescent="0.25"/>
    <row r="241451" s="12" customFormat="1" x14ac:dyDescent="0.25"/>
    <row r="241452" s="12" customFormat="1" x14ac:dyDescent="0.25"/>
    <row r="241453" s="12" customFormat="1" x14ac:dyDescent="0.25"/>
    <row r="241454" s="12" customFormat="1" x14ac:dyDescent="0.25"/>
    <row r="241455" s="12" customFormat="1" x14ac:dyDescent="0.25"/>
    <row r="241456" s="12" customFormat="1" x14ac:dyDescent="0.25"/>
    <row r="241457" s="12" customFormat="1" x14ac:dyDescent="0.25"/>
    <row r="241458" s="12" customFormat="1" x14ac:dyDescent="0.25"/>
    <row r="241459" s="12" customFormat="1" x14ac:dyDescent="0.25"/>
    <row r="241460" s="12" customFormat="1" x14ac:dyDescent="0.25"/>
    <row r="241461" s="12" customFormat="1" x14ac:dyDescent="0.25"/>
    <row r="241462" s="12" customFormat="1" x14ac:dyDescent="0.25"/>
    <row r="241463" s="12" customFormat="1" x14ac:dyDescent="0.25"/>
    <row r="241464" s="12" customFormat="1" x14ac:dyDescent="0.25"/>
    <row r="241465" s="12" customFormat="1" x14ac:dyDescent="0.25"/>
    <row r="241466" s="12" customFormat="1" x14ac:dyDescent="0.25"/>
    <row r="241467" s="12" customFormat="1" x14ac:dyDescent="0.25"/>
    <row r="241468" s="12" customFormat="1" x14ac:dyDescent="0.25"/>
    <row r="241469" s="12" customFormat="1" x14ac:dyDescent="0.25"/>
    <row r="241470" s="12" customFormat="1" x14ac:dyDescent="0.25"/>
    <row r="241471" s="12" customFormat="1" x14ac:dyDescent="0.25"/>
    <row r="241472" s="12" customFormat="1" x14ac:dyDescent="0.25"/>
    <row r="241473" s="12" customFormat="1" x14ac:dyDescent="0.25"/>
    <row r="241474" s="12" customFormat="1" x14ac:dyDescent="0.25"/>
    <row r="241475" s="12" customFormat="1" x14ac:dyDescent="0.25"/>
    <row r="241476" s="12" customFormat="1" x14ac:dyDescent="0.25"/>
    <row r="241477" s="12" customFormat="1" x14ac:dyDescent="0.25"/>
    <row r="241478" s="12" customFormat="1" x14ac:dyDescent="0.25"/>
    <row r="241479" s="12" customFormat="1" x14ac:dyDescent="0.25"/>
    <row r="241480" s="12" customFormat="1" x14ac:dyDescent="0.25"/>
    <row r="241481" s="12" customFormat="1" x14ac:dyDescent="0.25"/>
    <row r="241482" s="12" customFormat="1" x14ac:dyDescent="0.25"/>
    <row r="241483" s="12" customFormat="1" x14ac:dyDescent="0.25"/>
    <row r="241484" s="12" customFormat="1" x14ac:dyDescent="0.25"/>
    <row r="241485" s="12" customFormat="1" x14ac:dyDescent="0.25"/>
    <row r="241486" s="12" customFormat="1" x14ac:dyDescent="0.25"/>
    <row r="241487" s="12" customFormat="1" x14ac:dyDescent="0.25"/>
    <row r="241488" s="12" customFormat="1" x14ac:dyDescent="0.25"/>
    <row r="241489" s="12" customFormat="1" x14ac:dyDescent="0.25"/>
    <row r="241490" s="12" customFormat="1" x14ac:dyDescent="0.25"/>
    <row r="241491" s="12" customFormat="1" x14ac:dyDescent="0.25"/>
    <row r="241492" s="12" customFormat="1" x14ac:dyDescent="0.25"/>
    <row r="241493" s="12" customFormat="1" x14ac:dyDescent="0.25"/>
    <row r="241494" s="12" customFormat="1" x14ac:dyDescent="0.25"/>
    <row r="241495" s="12" customFormat="1" x14ac:dyDescent="0.25"/>
    <row r="241496" s="12" customFormat="1" x14ac:dyDescent="0.25"/>
    <row r="241497" s="12" customFormat="1" x14ac:dyDescent="0.25"/>
    <row r="241498" s="12" customFormat="1" x14ac:dyDescent="0.25"/>
    <row r="241499" s="12" customFormat="1" x14ac:dyDescent="0.25"/>
    <row r="241500" s="12" customFormat="1" x14ac:dyDescent="0.25"/>
    <row r="241501" s="12" customFormat="1" x14ac:dyDescent="0.25"/>
    <row r="241502" s="12" customFormat="1" x14ac:dyDescent="0.25"/>
    <row r="241503" s="12" customFormat="1" x14ac:dyDescent="0.25"/>
    <row r="241504" s="12" customFormat="1" x14ac:dyDescent="0.25"/>
    <row r="241505" s="12" customFormat="1" x14ac:dyDescent="0.25"/>
    <row r="241506" s="12" customFormat="1" x14ac:dyDescent="0.25"/>
    <row r="241507" s="12" customFormat="1" x14ac:dyDescent="0.25"/>
    <row r="241508" s="12" customFormat="1" x14ac:dyDescent="0.25"/>
    <row r="241509" s="12" customFormat="1" x14ac:dyDescent="0.25"/>
    <row r="241510" s="12" customFormat="1" x14ac:dyDescent="0.25"/>
    <row r="241511" s="12" customFormat="1" x14ac:dyDescent="0.25"/>
    <row r="241512" s="12" customFormat="1" x14ac:dyDescent="0.25"/>
    <row r="241513" s="12" customFormat="1" x14ac:dyDescent="0.25"/>
    <row r="241514" s="12" customFormat="1" x14ac:dyDescent="0.25"/>
    <row r="241515" s="12" customFormat="1" x14ac:dyDescent="0.25"/>
    <row r="241516" s="12" customFormat="1" x14ac:dyDescent="0.25"/>
    <row r="241517" s="12" customFormat="1" x14ac:dyDescent="0.25"/>
    <row r="241518" s="12" customFormat="1" x14ac:dyDescent="0.25"/>
    <row r="241519" s="12" customFormat="1" x14ac:dyDescent="0.25"/>
    <row r="241520" s="12" customFormat="1" x14ac:dyDescent="0.25"/>
    <row r="241521" s="12" customFormat="1" x14ac:dyDescent="0.25"/>
    <row r="241522" s="12" customFormat="1" x14ac:dyDescent="0.25"/>
    <row r="241523" s="12" customFormat="1" x14ac:dyDescent="0.25"/>
    <row r="241524" s="12" customFormat="1" x14ac:dyDescent="0.25"/>
    <row r="241525" s="12" customFormat="1" x14ac:dyDescent="0.25"/>
    <row r="241526" s="12" customFormat="1" x14ac:dyDescent="0.25"/>
    <row r="241527" s="12" customFormat="1" x14ac:dyDescent="0.25"/>
    <row r="241528" s="12" customFormat="1" x14ac:dyDescent="0.25"/>
    <row r="241529" s="12" customFormat="1" x14ac:dyDescent="0.25"/>
    <row r="241530" s="12" customFormat="1" x14ac:dyDescent="0.25"/>
    <row r="241531" s="12" customFormat="1" x14ac:dyDescent="0.25"/>
    <row r="241532" s="12" customFormat="1" x14ac:dyDescent="0.25"/>
    <row r="241533" s="12" customFormat="1" x14ac:dyDescent="0.25"/>
    <row r="241534" s="12" customFormat="1" x14ac:dyDescent="0.25"/>
    <row r="241535" s="12" customFormat="1" x14ac:dyDescent="0.25"/>
    <row r="241536" s="12" customFormat="1" x14ac:dyDescent="0.25"/>
    <row r="241537" s="12" customFormat="1" x14ac:dyDescent="0.25"/>
    <row r="241538" s="12" customFormat="1" x14ac:dyDescent="0.25"/>
    <row r="241539" s="12" customFormat="1" x14ac:dyDescent="0.25"/>
    <row r="241540" s="12" customFormat="1" x14ac:dyDescent="0.25"/>
    <row r="241541" s="12" customFormat="1" x14ac:dyDescent="0.25"/>
    <row r="241542" s="12" customFormat="1" x14ac:dyDescent="0.25"/>
    <row r="241543" s="12" customFormat="1" x14ac:dyDescent="0.25"/>
    <row r="241544" s="12" customFormat="1" x14ac:dyDescent="0.25"/>
    <row r="241545" s="12" customFormat="1" x14ac:dyDescent="0.25"/>
    <row r="241546" s="12" customFormat="1" x14ac:dyDescent="0.25"/>
    <row r="241547" s="12" customFormat="1" x14ac:dyDescent="0.25"/>
    <row r="241548" s="12" customFormat="1" x14ac:dyDescent="0.25"/>
    <row r="241549" s="12" customFormat="1" x14ac:dyDescent="0.25"/>
    <row r="241550" s="12" customFormat="1" x14ac:dyDescent="0.25"/>
    <row r="241551" s="12" customFormat="1" x14ac:dyDescent="0.25"/>
    <row r="241552" s="12" customFormat="1" x14ac:dyDescent="0.25"/>
    <row r="241553" s="12" customFormat="1" x14ac:dyDescent="0.25"/>
    <row r="241554" s="12" customFormat="1" x14ac:dyDescent="0.25"/>
    <row r="241555" s="12" customFormat="1" x14ac:dyDescent="0.25"/>
    <row r="241556" s="12" customFormat="1" x14ac:dyDescent="0.25"/>
    <row r="241557" s="12" customFormat="1" x14ac:dyDescent="0.25"/>
    <row r="241558" s="12" customFormat="1" x14ac:dyDescent="0.25"/>
    <row r="241559" s="12" customFormat="1" x14ac:dyDescent="0.25"/>
    <row r="241560" s="12" customFormat="1" x14ac:dyDescent="0.25"/>
    <row r="241561" s="12" customFormat="1" x14ac:dyDescent="0.25"/>
    <row r="241562" s="12" customFormat="1" x14ac:dyDescent="0.25"/>
    <row r="241563" s="12" customFormat="1" x14ac:dyDescent="0.25"/>
    <row r="241564" s="12" customFormat="1" x14ac:dyDescent="0.25"/>
    <row r="241565" s="12" customFormat="1" x14ac:dyDescent="0.25"/>
    <row r="241566" s="12" customFormat="1" x14ac:dyDescent="0.25"/>
    <row r="241567" s="12" customFormat="1" x14ac:dyDescent="0.25"/>
    <row r="241568" s="12" customFormat="1" x14ac:dyDescent="0.25"/>
    <row r="241569" s="12" customFormat="1" x14ac:dyDescent="0.25"/>
    <row r="241570" s="12" customFormat="1" x14ac:dyDescent="0.25"/>
    <row r="241571" s="12" customFormat="1" x14ac:dyDescent="0.25"/>
    <row r="241572" s="12" customFormat="1" x14ac:dyDescent="0.25"/>
    <row r="241573" s="12" customFormat="1" x14ac:dyDescent="0.25"/>
    <row r="241574" s="12" customFormat="1" x14ac:dyDescent="0.25"/>
    <row r="241575" s="12" customFormat="1" x14ac:dyDescent="0.25"/>
    <row r="241576" s="12" customFormat="1" x14ac:dyDescent="0.25"/>
    <row r="241577" s="12" customFormat="1" x14ac:dyDescent="0.25"/>
    <row r="241578" s="12" customFormat="1" x14ac:dyDescent="0.25"/>
    <row r="241579" s="12" customFormat="1" x14ac:dyDescent="0.25"/>
    <row r="241580" s="12" customFormat="1" x14ac:dyDescent="0.25"/>
    <row r="241581" s="12" customFormat="1" x14ac:dyDescent="0.25"/>
    <row r="241582" s="12" customFormat="1" x14ac:dyDescent="0.25"/>
    <row r="241583" s="12" customFormat="1" x14ac:dyDescent="0.25"/>
    <row r="241584" s="12" customFormat="1" x14ac:dyDescent="0.25"/>
    <row r="241585" s="12" customFormat="1" x14ac:dyDescent="0.25"/>
    <row r="241586" s="12" customFormat="1" x14ac:dyDescent="0.25"/>
    <row r="241587" s="12" customFormat="1" x14ac:dyDescent="0.25"/>
    <row r="241588" s="12" customFormat="1" x14ac:dyDescent="0.25"/>
    <row r="241589" s="12" customFormat="1" x14ac:dyDescent="0.25"/>
    <row r="241590" s="12" customFormat="1" x14ac:dyDescent="0.25"/>
    <row r="241591" s="12" customFormat="1" x14ac:dyDescent="0.25"/>
    <row r="241592" s="12" customFormat="1" x14ac:dyDescent="0.25"/>
    <row r="241593" s="12" customFormat="1" x14ac:dyDescent="0.25"/>
    <row r="241594" s="12" customFormat="1" x14ac:dyDescent="0.25"/>
    <row r="241595" s="12" customFormat="1" x14ac:dyDescent="0.25"/>
    <row r="241596" s="12" customFormat="1" x14ac:dyDescent="0.25"/>
    <row r="241597" s="12" customFormat="1" x14ac:dyDescent="0.25"/>
    <row r="241598" s="12" customFormat="1" x14ac:dyDescent="0.25"/>
    <row r="241599" s="12" customFormat="1" x14ac:dyDescent="0.25"/>
    <row r="241600" s="12" customFormat="1" x14ac:dyDescent="0.25"/>
    <row r="241601" s="12" customFormat="1" x14ac:dyDescent="0.25"/>
    <row r="241602" s="12" customFormat="1" x14ac:dyDescent="0.25"/>
    <row r="241603" s="12" customFormat="1" x14ac:dyDescent="0.25"/>
    <row r="241604" s="12" customFormat="1" x14ac:dyDescent="0.25"/>
    <row r="241605" s="12" customFormat="1" x14ac:dyDescent="0.25"/>
    <row r="241606" s="12" customFormat="1" x14ac:dyDescent="0.25"/>
    <row r="241607" s="12" customFormat="1" x14ac:dyDescent="0.25"/>
    <row r="241608" s="12" customFormat="1" x14ac:dyDescent="0.25"/>
    <row r="241609" s="12" customFormat="1" x14ac:dyDescent="0.25"/>
    <row r="241610" s="12" customFormat="1" x14ac:dyDescent="0.25"/>
    <row r="241611" s="12" customFormat="1" x14ac:dyDescent="0.25"/>
    <row r="241612" s="12" customFormat="1" x14ac:dyDescent="0.25"/>
    <row r="241613" s="12" customFormat="1" x14ac:dyDescent="0.25"/>
    <row r="241614" s="12" customFormat="1" x14ac:dyDescent="0.25"/>
    <row r="241615" s="12" customFormat="1" x14ac:dyDescent="0.25"/>
    <row r="241616" s="12" customFormat="1" x14ac:dyDescent="0.25"/>
    <row r="241617" s="12" customFormat="1" x14ac:dyDescent="0.25"/>
    <row r="241618" s="12" customFormat="1" x14ac:dyDescent="0.25"/>
    <row r="241619" s="12" customFormat="1" x14ac:dyDescent="0.25"/>
    <row r="241620" s="12" customFormat="1" x14ac:dyDescent="0.25"/>
    <row r="241621" s="12" customFormat="1" x14ac:dyDescent="0.25"/>
    <row r="241622" s="12" customFormat="1" x14ac:dyDescent="0.25"/>
    <row r="241623" s="12" customFormat="1" x14ac:dyDescent="0.25"/>
    <row r="241624" s="12" customFormat="1" x14ac:dyDescent="0.25"/>
    <row r="241625" s="12" customFormat="1" x14ac:dyDescent="0.25"/>
    <row r="241626" s="12" customFormat="1" x14ac:dyDescent="0.25"/>
    <row r="241627" s="12" customFormat="1" x14ac:dyDescent="0.25"/>
    <row r="241628" s="12" customFormat="1" x14ac:dyDescent="0.25"/>
    <row r="241629" s="12" customFormat="1" x14ac:dyDescent="0.25"/>
    <row r="241630" s="12" customFormat="1" x14ac:dyDescent="0.25"/>
    <row r="241631" s="12" customFormat="1" x14ac:dyDescent="0.25"/>
    <row r="241632" s="12" customFormat="1" x14ac:dyDescent="0.25"/>
    <row r="241633" s="12" customFormat="1" x14ac:dyDescent="0.25"/>
    <row r="241634" s="12" customFormat="1" x14ac:dyDescent="0.25"/>
    <row r="241635" s="12" customFormat="1" x14ac:dyDescent="0.25"/>
    <row r="241636" s="12" customFormat="1" x14ac:dyDescent="0.25"/>
    <row r="241637" s="12" customFormat="1" x14ac:dyDescent="0.25"/>
    <row r="241638" s="12" customFormat="1" x14ac:dyDescent="0.25"/>
    <row r="241639" s="12" customFormat="1" x14ac:dyDescent="0.25"/>
    <row r="241640" s="12" customFormat="1" x14ac:dyDescent="0.25"/>
    <row r="241641" s="12" customFormat="1" x14ac:dyDescent="0.25"/>
    <row r="241642" s="12" customFormat="1" x14ac:dyDescent="0.25"/>
    <row r="241643" s="12" customFormat="1" x14ac:dyDescent="0.25"/>
    <row r="241644" s="12" customFormat="1" x14ac:dyDescent="0.25"/>
    <row r="241645" s="12" customFormat="1" x14ac:dyDescent="0.25"/>
    <row r="241646" s="12" customFormat="1" x14ac:dyDescent="0.25"/>
    <row r="241647" s="12" customFormat="1" x14ac:dyDescent="0.25"/>
    <row r="241648" s="12" customFormat="1" x14ac:dyDescent="0.25"/>
    <row r="241649" s="12" customFormat="1" x14ac:dyDescent="0.25"/>
    <row r="241650" s="12" customFormat="1" x14ac:dyDescent="0.25"/>
    <row r="241651" s="12" customFormat="1" x14ac:dyDescent="0.25"/>
    <row r="241652" s="12" customFormat="1" x14ac:dyDescent="0.25"/>
    <row r="241653" s="12" customFormat="1" x14ac:dyDescent="0.25"/>
    <row r="241654" s="12" customFormat="1" x14ac:dyDescent="0.25"/>
    <row r="241655" s="12" customFormat="1" x14ac:dyDescent="0.25"/>
    <row r="241656" s="12" customFormat="1" x14ac:dyDescent="0.25"/>
    <row r="241657" s="12" customFormat="1" x14ac:dyDescent="0.25"/>
    <row r="241658" s="12" customFormat="1" x14ac:dyDescent="0.25"/>
    <row r="241659" s="12" customFormat="1" x14ac:dyDescent="0.25"/>
    <row r="241660" s="12" customFormat="1" x14ac:dyDescent="0.25"/>
    <row r="241661" s="12" customFormat="1" x14ac:dyDescent="0.25"/>
    <row r="241662" s="12" customFormat="1" x14ac:dyDescent="0.25"/>
    <row r="241663" s="12" customFormat="1" x14ac:dyDescent="0.25"/>
    <row r="241664" s="12" customFormat="1" x14ac:dyDescent="0.25"/>
    <row r="241665" s="12" customFormat="1" x14ac:dyDescent="0.25"/>
    <row r="241666" s="12" customFormat="1" x14ac:dyDescent="0.25"/>
    <row r="241667" s="12" customFormat="1" x14ac:dyDescent="0.25"/>
    <row r="241668" s="12" customFormat="1" x14ac:dyDescent="0.25"/>
    <row r="241669" s="12" customFormat="1" x14ac:dyDescent="0.25"/>
    <row r="241670" s="12" customFormat="1" x14ac:dyDescent="0.25"/>
    <row r="241671" s="12" customFormat="1" x14ac:dyDescent="0.25"/>
    <row r="241672" s="12" customFormat="1" x14ac:dyDescent="0.25"/>
    <row r="241673" s="12" customFormat="1" x14ac:dyDescent="0.25"/>
    <row r="241674" s="12" customFormat="1" x14ac:dyDescent="0.25"/>
    <row r="241675" s="12" customFormat="1" x14ac:dyDescent="0.25"/>
    <row r="241676" s="12" customFormat="1" x14ac:dyDescent="0.25"/>
    <row r="241677" s="12" customFormat="1" x14ac:dyDescent="0.25"/>
    <row r="241678" s="12" customFormat="1" x14ac:dyDescent="0.25"/>
    <row r="241679" s="12" customFormat="1" x14ac:dyDescent="0.25"/>
    <row r="241680" s="12" customFormat="1" x14ac:dyDescent="0.25"/>
    <row r="241681" s="12" customFormat="1" x14ac:dyDescent="0.25"/>
    <row r="241682" s="12" customFormat="1" x14ac:dyDescent="0.25"/>
    <row r="241683" s="12" customFormat="1" x14ac:dyDescent="0.25"/>
    <row r="241684" s="12" customFormat="1" x14ac:dyDescent="0.25"/>
    <row r="241685" s="12" customFormat="1" x14ac:dyDescent="0.25"/>
    <row r="241686" s="12" customFormat="1" x14ac:dyDescent="0.25"/>
    <row r="241687" s="12" customFormat="1" x14ac:dyDescent="0.25"/>
    <row r="241688" s="12" customFormat="1" x14ac:dyDescent="0.25"/>
    <row r="241689" s="12" customFormat="1" x14ac:dyDescent="0.25"/>
    <row r="241690" s="12" customFormat="1" x14ac:dyDescent="0.25"/>
    <row r="241691" s="12" customFormat="1" x14ac:dyDescent="0.25"/>
    <row r="241692" s="12" customFormat="1" x14ac:dyDescent="0.25"/>
    <row r="241693" s="12" customFormat="1" x14ac:dyDescent="0.25"/>
    <row r="241694" s="12" customFormat="1" x14ac:dyDescent="0.25"/>
    <row r="241695" s="12" customFormat="1" x14ac:dyDescent="0.25"/>
    <row r="241696" s="12" customFormat="1" x14ac:dyDescent="0.25"/>
    <row r="241697" s="12" customFormat="1" x14ac:dyDescent="0.25"/>
    <row r="241698" s="12" customFormat="1" x14ac:dyDescent="0.25"/>
    <row r="241699" s="12" customFormat="1" x14ac:dyDescent="0.25"/>
    <row r="241700" s="12" customFormat="1" x14ac:dyDescent="0.25"/>
    <row r="241701" s="12" customFormat="1" x14ac:dyDescent="0.25"/>
    <row r="241702" s="12" customFormat="1" x14ac:dyDescent="0.25"/>
    <row r="241703" s="12" customFormat="1" x14ac:dyDescent="0.25"/>
    <row r="241704" s="12" customFormat="1" x14ac:dyDescent="0.25"/>
    <row r="241705" s="12" customFormat="1" x14ac:dyDescent="0.25"/>
    <row r="241706" s="12" customFormat="1" x14ac:dyDescent="0.25"/>
    <row r="241707" s="12" customFormat="1" x14ac:dyDescent="0.25"/>
    <row r="241708" s="12" customFormat="1" x14ac:dyDescent="0.25"/>
    <row r="241709" s="12" customFormat="1" x14ac:dyDescent="0.25"/>
    <row r="241710" s="12" customFormat="1" x14ac:dyDescent="0.25"/>
    <row r="241711" s="12" customFormat="1" x14ac:dyDescent="0.25"/>
    <row r="241712" s="12" customFormat="1" x14ac:dyDescent="0.25"/>
    <row r="241713" s="12" customFormat="1" x14ac:dyDescent="0.25"/>
    <row r="241714" s="12" customFormat="1" x14ac:dyDescent="0.25"/>
    <row r="241715" s="12" customFormat="1" x14ac:dyDescent="0.25"/>
    <row r="241716" s="12" customFormat="1" x14ac:dyDescent="0.25"/>
    <row r="241717" s="12" customFormat="1" x14ac:dyDescent="0.25"/>
    <row r="241718" s="12" customFormat="1" x14ac:dyDescent="0.25"/>
    <row r="241719" s="12" customFormat="1" x14ac:dyDescent="0.25"/>
    <row r="241720" s="12" customFormat="1" x14ac:dyDescent="0.25"/>
    <row r="241721" s="12" customFormat="1" x14ac:dyDescent="0.25"/>
    <row r="241722" s="12" customFormat="1" x14ac:dyDescent="0.25"/>
    <row r="241723" s="12" customFormat="1" x14ac:dyDescent="0.25"/>
    <row r="241724" s="12" customFormat="1" x14ac:dyDescent="0.25"/>
    <row r="241725" s="12" customFormat="1" x14ac:dyDescent="0.25"/>
    <row r="241726" s="12" customFormat="1" x14ac:dyDescent="0.25"/>
    <row r="241727" s="12" customFormat="1" x14ac:dyDescent="0.25"/>
    <row r="241728" s="12" customFormat="1" x14ac:dyDescent="0.25"/>
    <row r="241729" s="12" customFormat="1" x14ac:dyDescent="0.25"/>
    <row r="241730" s="12" customFormat="1" x14ac:dyDescent="0.25"/>
    <row r="241731" s="12" customFormat="1" x14ac:dyDescent="0.25"/>
    <row r="241732" s="12" customFormat="1" x14ac:dyDescent="0.25"/>
    <row r="241733" s="12" customFormat="1" x14ac:dyDescent="0.25"/>
    <row r="241734" s="12" customFormat="1" x14ac:dyDescent="0.25"/>
    <row r="241735" s="12" customFormat="1" x14ac:dyDescent="0.25"/>
    <row r="241736" s="12" customFormat="1" x14ac:dyDescent="0.25"/>
    <row r="241737" s="12" customFormat="1" x14ac:dyDescent="0.25"/>
    <row r="241738" s="12" customFormat="1" x14ac:dyDescent="0.25"/>
    <row r="241739" s="12" customFormat="1" x14ac:dyDescent="0.25"/>
    <row r="241740" s="12" customFormat="1" x14ac:dyDescent="0.25"/>
    <row r="241741" s="12" customFormat="1" x14ac:dyDescent="0.25"/>
    <row r="241742" s="12" customFormat="1" x14ac:dyDescent="0.25"/>
    <row r="241743" s="12" customFormat="1" x14ac:dyDescent="0.25"/>
    <row r="241744" s="12" customFormat="1" x14ac:dyDescent="0.25"/>
    <row r="241745" s="12" customFormat="1" x14ac:dyDescent="0.25"/>
    <row r="241746" s="12" customFormat="1" x14ac:dyDescent="0.25"/>
    <row r="241747" s="12" customFormat="1" x14ac:dyDescent="0.25"/>
    <row r="241748" s="12" customFormat="1" x14ac:dyDescent="0.25"/>
    <row r="241749" s="12" customFormat="1" x14ac:dyDescent="0.25"/>
    <row r="241750" s="12" customFormat="1" x14ac:dyDescent="0.25"/>
    <row r="241751" s="12" customFormat="1" x14ac:dyDescent="0.25"/>
    <row r="241752" s="12" customFormat="1" x14ac:dyDescent="0.25"/>
    <row r="241753" s="12" customFormat="1" x14ac:dyDescent="0.25"/>
    <row r="241754" s="12" customFormat="1" x14ac:dyDescent="0.25"/>
    <row r="241755" s="12" customFormat="1" x14ac:dyDescent="0.25"/>
    <row r="241756" s="12" customFormat="1" x14ac:dyDescent="0.25"/>
    <row r="241757" s="12" customFormat="1" x14ac:dyDescent="0.25"/>
    <row r="241758" s="12" customFormat="1" x14ac:dyDescent="0.25"/>
    <row r="241759" s="12" customFormat="1" x14ac:dyDescent="0.25"/>
    <row r="241760" s="12" customFormat="1" x14ac:dyDescent="0.25"/>
    <row r="241761" s="12" customFormat="1" x14ac:dyDescent="0.25"/>
    <row r="241762" s="12" customFormat="1" x14ac:dyDescent="0.25"/>
    <row r="241763" s="12" customFormat="1" x14ac:dyDescent="0.25"/>
    <row r="241764" s="12" customFormat="1" x14ac:dyDescent="0.25"/>
    <row r="241765" s="12" customFormat="1" x14ac:dyDescent="0.25"/>
    <row r="241766" s="12" customFormat="1" x14ac:dyDescent="0.25"/>
    <row r="241767" s="12" customFormat="1" x14ac:dyDescent="0.25"/>
    <row r="241768" s="12" customFormat="1" x14ac:dyDescent="0.25"/>
    <row r="241769" s="12" customFormat="1" x14ac:dyDescent="0.25"/>
    <row r="241770" s="12" customFormat="1" x14ac:dyDescent="0.25"/>
    <row r="241771" s="12" customFormat="1" x14ac:dyDescent="0.25"/>
    <row r="241772" s="12" customFormat="1" x14ac:dyDescent="0.25"/>
    <row r="241773" s="12" customFormat="1" x14ac:dyDescent="0.25"/>
    <row r="241774" s="12" customFormat="1" x14ac:dyDescent="0.25"/>
    <row r="241775" s="12" customFormat="1" x14ac:dyDescent="0.25"/>
    <row r="241776" s="12" customFormat="1" x14ac:dyDescent="0.25"/>
    <row r="241777" s="12" customFormat="1" x14ac:dyDescent="0.25"/>
    <row r="241778" s="12" customFormat="1" x14ac:dyDescent="0.25"/>
    <row r="241779" s="12" customFormat="1" x14ac:dyDescent="0.25"/>
    <row r="241780" s="12" customFormat="1" x14ac:dyDescent="0.25"/>
    <row r="241781" s="12" customFormat="1" x14ac:dyDescent="0.25"/>
    <row r="241782" s="12" customFormat="1" x14ac:dyDescent="0.25"/>
    <row r="241783" s="12" customFormat="1" x14ac:dyDescent="0.25"/>
    <row r="241784" s="12" customFormat="1" x14ac:dyDescent="0.25"/>
    <row r="241785" s="12" customFormat="1" x14ac:dyDescent="0.25"/>
    <row r="241786" s="12" customFormat="1" x14ac:dyDescent="0.25"/>
    <row r="241787" s="12" customFormat="1" x14ac:dyDescent="0.25"/>
    <row r="241788" s="12" customFormat="1" x14ac:dyDescent="0.25"/>
    <row r="241789" s="12" customFormat="1" x14ac:dyDescent="0.25"/>
    <row r="241790" s="12" customFormat="1" x14ac:dyDescent="0.25"/>
    <row r="241791" s="12" customFormat="1" x14ac:dyDescent="0.25"/>
    <row r="241792" s="12" customFormat="1" x14ac:dyDescent="0.25"/>
    <row r="241793" s="12" customFormat="1" x14ac:dyDescent="0.25"/>
    <row r="241794" s="12" customFormat="1" x14ac:dyDescent="0.25"/>
    <row r="241795" s="12" customFormat="1" x14ac:dyDescent="0.25"/>
    <row r="241796" s="12" customFormat="1" x14ac:dyDescent="0.25"/>
    <row r="241797" s="12" customFormat="1" x14ac:dyDescent="0.25"/>
    <row r="241798" s="12" customFormat="1" x14ac:dyDescent="0.25"/>
    <row r="241799" s="12" customFormat="1" x14ac:dyDescent="0.25"/>
    <row r="241800" s="12" customFormat="1" x14ac:dyDescent="0.25"/>
    <row r="241801" s="12" customFormat="1" x14ac:dyDescent="0.25"/>
    <row r="241802" s="12" customFormat="1" x14ac:dyDescent="0.25"/>
    <row r="241803" s="12" customFormat="1" x14ac:dyDescent="0.25"/>
    <row r="241804" s="12" customFormat="1" x14ac:dyDescent="0.25"/>
    <row r="241805" s="12" customFormat="1" x14ac:dyDescent="0.25"/>
    <row r="241806" s="12" customFormat="1" x14ac:dyDescent="0.25"/>
    <row r="241807" s="12" customFormat="1" x14ac:dyDescent="0.25"/>
    <row r="241808" s="12" customFormat="1" x14ac:dyDescent="0.25"/>
    <row r="241809" s="12" customFormat="1" x14ac:dyDescent="0.25"/>
    <row r="241810" s="12" customFormat="1" x14ac:dyDescent="0.25"/>
    <row r="241811" s="12" customFormat="1" x14ac:dyDescent="0.25"/>
    <row r="241812" s="12" customFormat="1" x14ac:dyDescent="0.25"/>
    <row r="241813" s="12" customFormat="1" x14ac:dyDescent="0.25"/>
    <row r="241814" s="12" customFormat="1" x14ac:dyDescent="0.25"/>
    <row r="241815" s="12" customFormat="1" x14ac:dyDescent="0.25"/>
    <row r="241816" s="12" customFormat="1" x14ac:dyDescent="0.25"/>
    <row r="241817" s="12" customFormat="1" x14ac:dyDescent="0.25"/>
    <row r="241818" s="12" customFormat="1" x14ac:dyDescent="0.25"/>
    <row r="241819" s="12" customFormat="1" x14ac:dyDescent="0.25"/>
    <row r="241820" s="12" customFormat="1" x14ac:dyDescent="0.25"/>
    <row r="241821" s="12" customFormat="1" x14ac:dyDescent="0.25"/>
    <row r="241822" s="12" customFormat="1" x14ac:dyDescent="0.25"/>
    <row r="241823" s="12" customFormat="1" x14ac:dyDescent="0.25"/>
    <row r="241824" s="12" customFormat="1" x14ac:dyDescent="0.25"/>
    <row r="241825" s="12" customFormat="1" x14ac:dyDescent="0.25"/>
    <row r="241826" s="12" customFormat="1" x14ac:dyDescent="0.25"/>
    <row r="241827" s="12" customFormat="1" x14ac:dyDescent="0.25"/>
    <row r="241828" s="12" customFormat="1" x14ac:dyDescent="0.25"/>
    <row r="241829" s="12" customFormat="1" x14ac:dyDescent="0.25"/>
    <row r="241830" s="12" customFormat="1" x14ac:dyDescent="0.25"/>
    <row r="241831" s="12" customFormat="1" x14ac:dyDescent="0.25"/>
    <row r="241832" s="12" customFormat="1" x14ac:dyDescent="0.25"/>
    <row r="241833" s="12" customFormat="1" x14ac:dyDescent="0.25"/>
    <row r="241834" s="12" customFormat="1" x14ac:dyDescent="0.25"/>
    <row r="241835" s="12" customFormat="1" x14ac:dyDescent="0.25"/>
    <row r="241836" s="12" customFormat="1" x14ac:dyDescent="0.25"/>
    <row r="241837" s="12" customFormat="1" x14ac:dyDescent="0.25"/>
    <row r="241838" s="12" customFormat="1" x14ac:dyDescent="0.25"/>
    <row r="241839" s="12" customFormat="1" x14ac:dyDescent="0.25"/>
    <row r="241840" s="12" customFormat="1" x14ac:dyDescent="0.25"/>
    <row r="241841" s="12" customFormat="1" x14ac:dyDescent="0.25"/>
    <row r="241842" s="12" customFormat="1" x14ac:dyDescent="0.25"/>
    <row r="241843" s="12" customFormat="1" x14ac:dyDescent="0.25"/>
    <row r="241844" s="12" customFormat="1" x14ac:dyDescent="0.25"/>
    <row r="241845" s="12" customFormat="1" x14ac:dyDescent="0.25"/>
    <row r="241846" s="12" customFormat="1" x14ac:dyDescent="0.25"/>
    <row r="241847" s="12" customFormat="1" x14ac:dyDescent="0.25"/>
    <row r="241848" s="12" customFormat="1" x14ac:dyDescent="0.25"/>
    <row r="241849" s="12" customFormat="1" x14ac:dyDescent="0.25"/>
    <row r="241850" s="12" customFormat="1" x14ac:dyDescent="0.25"/>
    <row r="241851" s="12" customFormat="1" x14ac:dyDescent="0.25"/>
    <row r="241852" s="12" customFormat="1" x14ac:dyDescent="0.25"/>
    <row r="241853" s="12" customFormat="1" x14ac:dyDescent="0.25"/>
    <row r="241854" s="12" customFormat="1" x14ac:dyDescent="0.25"/>
    <row r="241855" s="12" customFormat="1" x14ac:dyDescent="0.25"/>
    <row r="241856" s="12" customFormat="1" x14ac:dyDescent="0.25"/>
    <row r="241857" s="12" customFormat="1" x14ac:dyDescent="0.25"/>
    <row r="241858" s="12" customFormat="1" x14ac:dyDescent="0.25"/>
    <row r="241859" s="12" customFormat="1" x14ac:dyDescent="0.25"/>
    <row r="241860" s="12" customFormat="1" x14ac:dyDescent="0.25"/>
    <row r="241861" s="12" customFormat="1" x14ac:dyDescent="0.25"/>
    <row r="241862" s="12" customFormat="1" x14ac:dyDescent="0.25"/>
    <row r="241863" s="12" customFormat="1" x14ac:dyDescent="0.25"/>
    <row r="241864" s="12" customFormat="1" x14ac:dyDescent="0.25"/>
    <row r="241865" s="12" customFormat="1" x14ac:dyDescent="0.25"/>
    <row r="241866" s="12" customFormat="1" x14ac:dyDescent="0.25"/>
    <row r="241867" s="12" customFormat="1" x14ac:dyDescent="0.25"/>
    <row r="241868" s="12" customFormat="1" x14ac:dyDescent="0.25"/>
    <row r="241869" s="12" customFormat="1" x14ac:dyDescent="0.25"/>
    <row r="241870" s="12" customFormat="1" x14ac:dyDescent="0.25"/>
    <row r="241871" s="12" customFormat="1" x14ac:dyDescent="0.25"/>
    <row r="241872" s="12" customFormat="1" x14ac:dyDescent="0.25"/>
    <row r="241873" s="12" customFormat="1" x14ac:dyDescent="0.25"/>
    <row r="241874" s="12" customFormat="1" x14ac:dyDescent="0.25"/>
    <row r="241875" s="12" customFormat="1" x14ac:dyDescent="0.25"/>
    <row r="241876" s="12" customFormat="1" x14ac:dyDescent="0.25"/>
    <row r="241877" s="12" customFormat="1" x14ac:dyDescent="0.25"/>
    <row r="241878" s="12" customFormat="1" x14ac:dyDescent="0.25"/>
    <row r="241879" s="12" customFormat="1" x14ac:dyDescent="0.25"/>
    <row r="241880" s="12" customFormat="1" x14ac:dyDescent="0.25"/>
    <row r="241881" s="12" customFormat="1" x14ac:dyDescent="0.25"/>
    <row r="241882" s="12" customFormat="1" x14ac:dyDescent="0.25"/>
    <row r="241883" s="12" customFormat="1" x14ac:dyDescent="0.25"/>
    <row r="241884" s="12" customFormat="1" x14ac:dyDescent="0.25"/>
    <row r="241885" s="12" customFormat="1" x14ac:dyDescent="0.25"/>
    <row r="241886" s="12" customFormat="1" x14ac:dyDescent="0.25"/>
    <row r="241887" s="12" customFormat="1" x14ac:dyDescent="0.25"/>
    <row r="241888" s="12" customFormat="1" x14ac:dyDescent="0.25"/>
    <row r="241889" s="12" customFormat="1" x14ac:dyDescent="0.25"/>
    <row r="241890" s="12" customFormat="1" x14ac:dyDescent="0.25"/>
    <row r="241891" s="12" customFormat="1" x14ac:dyDescent="0.25"/>
    <row r="241892" s="12" customFormat="1" x14ac:dyDescent="0.25"/>
    <row r="241893" s="12" customFormat="1" x14ac:dyDescent="0.25"/>
    <row r="241894" s="12" customFormat="1" x14ac:dyDescent="0.25"/>
    <row r="241895" s="12" customFormat="1" x14ac:dyDescent="0.25"/>
    <row r="241896" s="12" customFormat="1" x14ac:dyDescent="0.25"/>
    <row r="241897" s="12" customFormat="1" x14ac:dyDescent="0.25"/>
    <row r="241898" s="12" customFormat="1" x14ac:dyDescent="0.25"/>
    <row r="241899" s="12" customFormat="1" x14ac:dyDescent="0.25"/>
    <row r="241900" s="12" customFormat="1" x14ac:dyDescent="0.25"/>
    <row r="241901" s="12" customFormat="1" x14ac:dyDescent="0.25"/>
    <row r="241902" s="12" customFormat="1" x14ac:dyDescent="0.25"/>
    <row r="241903" s="12" customFormat="1" x14ac:dyDescent="0.25"/>
    <row r="241904" s="12" customFormat="1" x14ac:dyDescent="0.25"/>
    <row r="241905" s="12" customFormat="1" x14ac:dyDescent="0.25"/>
    <row r="241906" s="12" customFormat="1" x14ac:dyDescent="0.25"/>
    <row r="241907" s="12" customFormat="1" x14ac:dyDescent="0.25"/>
    <row r="241908" s="12" customFormat="1" x14ac:dyDescent="0.25"/>
    <row r="241909" s="12" customFormat="1" x14ac:dyDescent="0.25"/>
    <row r="241910" s="12" customFormat="1" x14ac:dyDescent="0.25"/>
    <row r="241911" s="12" customFormat="1" x14ac:dyDescent="0.25"/>
    <row r="241912" s="12" customFormat="1" x14ac:dyDescent="0.25"/>
    <row r="241913" s="12" customFormat="1" x14ac:dyDescent="0.25"/>
    <row r="241914" s="12" customFormat="1" x14ac:dyDescent="0.25"/>
    <row r="241915" s="12" customFormat="1" x14ac:dyDescent="0.25"/>
    <row r="241916" s="12" customFormat="1" x14ac:dyDescent="0.25"/>
    <row r="241917" s="12" customFormat="1" x14ac:dyDescent="0.25"/>
    <row r="241918" s="12" customFormat="1" x14ac:dyDescent="0.25"/>
    <row r="241919" s="12" customFormat="1" x14ac:dyDescent="0.25"/>
    <row r="241920" s="12" customFormat="1" x14ac:dyDescent="0.25"/>
    <row r="241921" s="12" customFormat="1" x14ac:dyDescent="0.25"/>
    <row r="241922" s="12" customFormat="1" x14ac:dyDescent="0.25"/>
    <row r="241923" s="12" customFormat="1" x14ac:dyDescent="0.25"/>
    <row r="241924" s="12" customFormat="1" x14ac:dyDescent="0.25"/>
    <row r="241925" s="12" customFormat="1" x14ac:dyDescent="0.25"/>
    <row r="241926" s="12" customFormat="1" x14ac:dyDescent="0.25"/>
    <row r="241927" s="12" customFormat="1" x14ac:dyDescent="0.25"/>
    <row r="241928" s="12" customFormat="1" x14ac:dyDescent="0.25"/>
    <row r="241929" s="12" customFormat="1" x14ac:dyDescent="0.25"/>
    <row r="241930" s="12" customFormat="1" x14ac:dyDescent="0.25"/>
    <row r="241931" s="12" customFormat="1" x14ac:dyDescent="0.25"/>
    <row r="241932" s="12" customFormat="1" x14ac:dyDescent="0.25"/>
    <row r="241933" s="12" customFormat="1" x14ac:dyDescent="0.25"/>
    <row r="241934" s="12" customFormat="1" x14ac:dyDescent="0.25"/>
    <row r="241935" s="12" customFormat="1" x14ac:dyDescent="0.25"/>
    <row r="241936" s="12" customFormat="1" x14ac:dyDescent="0.25"/>
    <row r="241937" s="12" customFormat="1" x14ac:dyDescent="0.25"/>
    <row r="241938" s="12" customFormat="1" x14ac:dyDescent="0.25"/>
    <row r="241939" s="12" customFormat="1" x14ac:dyDescent="0.25"/>
    <row r="241940" s="12" customFormat="1" x14ac:dyDescent="0.25"/>
    <row r="241941" s="12" customFormat="1" x14ac:dyDescent="0.25"/>
    <row r="241942" s="12" customFormat="1" x14ac:dyDescent="0.25"/>
    <row r="241943" s="12" customFormat="1" x14ac:dyDescent="0.25"/>
    <row r="241944" s="12" customFormat="1" x14ac:dyDescent="0.25"/>
    <row r="241945" s="12" customFormat="1" x14ac:dyDescent="0.25"/>
    <row r="241946" s="12" customFormat="1" x14ac:dyDescent="0.25"/>
    <row r="241947" s="12" customFormat="1" x14ac:dyDescent="0.25"/>
    <row r="241948" s="12" customFormat="1" x14ac:dyDescent="0.25"/>
    <row r="241949" s="12" customFormat="1" x14ac:dyDescent="0.25"/>
    <row r="241950" s="12" customFormat="1" x14ac:dyDescent="0.25"/>
    <row r="241951" s="12" customFormat="1" x14ac:dyDescent="0.25"/>
    <row r="241952" s="12" customFormat="1" x14ac:dyDescent="0.25"/>
    <row r="241953" s="12" customFormat="1" x14ac:dyDescent="0.25"/>
    <row r="241954" s="12" customFormat="1" x14ac:dyDescent="0.25"/>
    <row r="241955" s="12" customFormat="1" x14ac:dyDescent="0.25"/>
    <row r="241956" s="12" customFormat="1" x14ac:dyDescent="0.25"/>
    <row r="241957" s="12" customFormat="1" x14ac:dyDescent="0.25"/>
    <row r="241958" s="12" customFormat="1" x14ac:dyDescent="0.25"/>
    <row r="241959" s="12" customFormat="1" x14ac:dyDescent="0.25"/>
    <row r="241960" s="12" customFormat="1" x14ac:dyDescent="0.25"/>
    <row r="241961" s="12" customFormat="1" x14ac:dyDescent="0.25"/>
    <row r="241962" s="12" customFormat="1" x14ac:dyDescent="0.25"/>
    <row r="241963" s="12" customFormat="1" x14ac:dyDescent="0.25"/>
    <row r="241964" s="12" customFormat="1" x14ac:dyDescent="0.25"/>
    <row r="241965" s="12" customFormat="1" x14ac:dyDescent="0.25"/>
    <row r="241966" s="12" customFormat="1" x14ac:dyDescent="0.25"/>
    <row r="241967" s="12" customFormat="1" x14ac:dyDescent="0.25"/>
    <row r="241968" s="12" customFormat="1" x14ac:dyDescent="0.25"/>
    <row r="241969" s="12" customFormat="1" x14ac:dyDescent="0.25"/>
    <row r="241970" s="12" customFormat="1" x14ac:dyDescent="0.25"/>
    <row r="241971" s="12" customFormat="1" x14ac:dyDescent="0.25"/>
    <row r="241972" s="12" customFormat="1" x14ac:dyDescent="0.25"/>
    <row r="241973" s="12" customFormat="1" x14ac:dyDescent="0.25"/>
    <row r="241974" s="12" customFormat="1" x14ac:dyDescent="0.25"/>
    <row r="241975" s="12" customFormat="1" x14ac:dyDescent="0.25"/>
    <row r="241976" s="12" customFormat="1" x14ac:dyDescent="0.25"/>
    <row r="241977" s="12" customFormat="1" x14ac:dyDescent="0.25"/>
    <row r="241978" s="12" customFormat="1" x14ac:dyDescent="0.25"/>
    <row r="241979" s="12" customFormat="1" x14ac:dyDescent="0.25"/>
    <row r="241980" s="12" customFormat="1" x14ac:dyDescent="0.25"/>
    <row r="241981" s="12" customFormat="1" x14ac:dyDescent="0.25"/>
    <row r="241982" s="12" customFormat="1" x14ac:dyDescent="0.25"/>
    <row r="241983" s="12" customFormat="1" x14ac:dyDescent="0.25"/>
    <row r="241984" s="12" customFormat="1" x14ac:dyDescent="0.25"/>
    <row r="241985" s="12" customFormat="1" x14ac:dyDescent="0.25"/>
    <row r="241986" s="12" customFormat="1" x14ac:dyDescent="0.25"/>
    <row r="241987" s="12" customFormat="1" x14ac:dyDescent="0.25"/>
    <row r="241988" s="12" customFormat="1" x14ac:dyDescent="0.25"/>
    <row r="241989" s="12" customFormat="1" x14ac:dyDescent="0.25"/>
    <row r="241990" s="12" customFormat="1" x14ac:dyDescent="0.25"/>
    <row r="241991" s="12" customFormat="1" x14ac:dyDescent="0.25"/>
    <row r="241992" s="12" customFormat="1" x14ac:dyDescent="0.25"/>
    <row r="241993" s="12" customFormat="1" x14ac:dyDescent="0.25"/>
    <row r="241994" s="12" customFormat="1" x14ac:dyDescent="0.25"/>
    <row r="241995" s="12" customFormat="1" x14ac:dyDescent="0.25"/>
    <row r="241996" s="12" customFormat="1" x14ac:dyDescent="0.25"/>
    <row r="241997" s="12" customFormat="1" x14ac:dyDescent="0.25"/>
    <row r="241998" s="12" customFormat="1" x14ac:dyDescent="0.25"/>
    <row r="241999" s="12" customFormat="1" x14ac:dyDescent="0.25"/>
    <row r="242000" s="12" customFormat="1" x14ac:dyDescent="0.25"/>
    <row r="242001" s="12" customFormat="1" x14ac:dyDescent="0.25"/>
    <row r="242002" s="12" customFormat="1" x14ac:dyDescent="0.25"/>
    <row r="242003" s="12" customFormat="1" x14ac:dyDescent="0.25"/>
    <row r="242004" s="12" customFormat="1" x14ac:dyDescent="0.25"/>
    <row r="242005" s="12" customFormat="1" x14ac:dyDescent="0.25"/>
    <row r="242006" s="12" customFormat="1" x14ac:dyDescent="0.25"/>
    <row r="242007" s="12" customFormat="1" x14ac:dyDescent="0.25"/>
    <row r="242008" s="12" customFormat="1" x14ac:dyDescent="0.25"/>
    <row r="242009" s="12" customFormat="1" x14ac:dyDescent="0.25"/>
    <row r="242010" s="12" customFormat="1" x14ac:dyDescent="0.25"/>
    <row r="242011" s="12" customFormat="1" x14ac:dyDescent="0.25"/>
    <row r="242012" s="12" customFormat="1" x14ac:dyDescent="0.25"/>
    <row r="242013" s="12" customFormat="1" x14ac:dyDescent="0.25"/>
    <row r="242014" s="12" customFormat="1" x14ac:dyDescent="0.25"/>
    <row r="242015" s="12" customFormat="1" x14ac:dyDescent="0.25"/>
    <row r="242016" s="12" customFormat="1" x14ac:dyDescent="0.25"/>
    <row r="242017" s="12" customFormat="1" x14ac:dyDescent="0.25"/>
    <row r="242018" s="12" customFormat="1" x14ac:dyDescent="0.25"/>
    <row r="242019" s="12" customFormat="1" x14ac:dyDescent="0.25"/>
    <row r="242020" s="12" customFormat="1" x14ac:dyDescent="0.25"/>
    <row r="242021" s="12" customFormat="1" x14ac:dyDescent="0.25"/>
    <row r="242022" s="12" customFormat="1" x14ac:dyDescent="0.25"/>
    <row r="242023" s="12" customFormat="1" x14ac:dyDescent="0.25"/>
    <row r="242024" s="12" customFormat="1" x14ac:dyDescent="0.25"/>
    <row r="242025" s="12" customFormat="1" x14ac:dyDescent="0.25"/>
    <row r="242026" s="12" customFormat="1" x14ac:dyDescent="0.25"/>
    <row r="242027" s="12" customFormat="1" x14ac:dyDescent="0.25"/>
    <row r="242028" s="12" customFormat="1" x14ac:dyDescent="0.25"/>
    <row r="242029" s="12" customFormat="1" x14ac:dyDescent="0.25"/>
    <row r="242030" s="12" customFormat="1" x14ac:dyDescent="0.25"/>
    <row r="242031" s="12" customFormat="1" x14ac:dyDescent="0.25"/>
    <row r="242032" s="12" customFormat="1" x14ac:dyDescent="0.25"/>
    <row r="242033" s="12" customFormat="1" x14ac:dyDescent="0.25"/>
    <row r="242034" s="12" customFormat="1" x14ac:dyDescent="0.25"/>
    <row r="242035" s="12" customFormat="1" x14ac:dyDescent="0.25"/>
    <row r="242036" s="12" customFormat="1" x14ac:dyDescent="0.25"/>
    <row r="242037" s="12" customFormat="1" x14ac:dyDescent="0.25"/>
    <row r="242038" s="12" customFormat="1" x14ac:dyDescent="0.25"/>
    <row r="242039" s="12" customFormat="1" x14ac:dyDescent="0.25"/>
    <row r="242040" s="12" customFormat="1" x14ac:dyDescent="0.25"/>
    <row r="242041" s="12" customFormat="1" x14ac:dyDescent="0.25"/>
    <row r="242042" s="12" customFormat="1" x14ac:dyDescent="0.25"/>
    <row r="242043" s="12" customFormat="1" x14ac:dyDescent="0.25"/>
    <row r="242044" s="12" customFormat="1" x14ac:dyDescent="0.25"/>
    <row r="242045" s="12" customFormat="1" x14ac:dyDescent="0.25"/>
    <row r="242046" s="12" customFormat="1" x14ac:dyDescent="0.25"/>
    <row r="242047" s="12" customFormat="1" x14ac:dyDescent="0.25"/>
    <row r="242048" s="12" customFormat="1" x14ac:dyDescent="0.25"/>
    <row r="242049" s="12" customFormat="1" x14ac:dyDescent="0.25"/>
    <row r="242050" s="12" customFormat="1" x14ac:dyDescent="0.25"/>
    <row r="242051" s="12" customFormat="1" x14ac:dyDescent="0.25"/>
    <row r="242052" s="12" customFormat="1" x14ac:dyDescent="0.25"/>
    <row r="242053" s="12" customFormat="1" x14ac:dyDescent="0.25"/>
    <row r="242054" s="12" customFormat="1" x14ac:dyDescent="0.25"/>
    <row r="242055" s="12" customFormat="1" x14ac:dyDescent="0.25"/>
    <row r="242056" s="12" customFormat="1" x14ac:dyDescent="0.25"/>
    <row r="242057" s="12" customFormat="1" x14ac:dyDescent="0.25"/>
    <row r="242058" s="12" customFormat="1" x14ac:dyDescent="0.25"/>
    <row r="242059" s="12" customFormat="1" x14ac:dyDescent="0.25"/>
    <row r="242060" s="12" customFormat="1" x14ac:dyDescent="0.25"/>
    <row r="242061" s="12" customFormat="1" x14ac:dyDescent="0.25"/>
    <row r="242062" s="12" customFormat="1" x14ac:dyDescent="0.25"/>
    <row r="242063" s="12" customFormat="1" x14ac:dyDescent="0.25"/>
    <row r="242064" s="12" customFormat="1" x14ac:dyDescent="0.25"/>
    <row r="242065" s="12" customFormat="1" x14ac:dyDescent="0.25"/>
    <row r="242066" s="12" customFormat="1" x14ac:dyDescent="0.25"/>
    <row r="242067" s="12" customFormat="1" x14ac:dyDescent="0.25"/>
    <row r="242068" s="12" customFormat="1" x14ac:dyDescent="0.25"/>
    <row r="242069" s="12" customFormat="1" x14ac:dyDescent="0.25"/>
    <row r="242070" s="12" customFormat="1" x14ac:dyDescent="0.25"/>
    <row r="242071" s="12" customFormat="1" x14ac:dyDescent="0.25"/>
    <row r="242072" s="12" customFormat="1" x14ac:dyDescent="0.25"/>
    <row r="242073" s="12" customFormat="1" x14ac:dyDescent="0.25"/>
    <row r="242074" s="12" customFormat="1" x14ac:dyDescent="0.25"/>
    <row r="242075" s="12" customFormat="1" x14ac:dyDescent="0.25"/>
    <row r="242076" s="12" customFormat="1" x14ac:dyDescent="0.25"/>
    <row r="242077" s="12" customFormat="1" x14ac:dyDescent="0.25"/>
    <row r="242078" s="12" customFormat="1" x14ac:dyDescent="0.25"/>
    <row r="242079" s="12" customFormat="1" x14ac:dyDescent="0.25"/>
    <row r="242080" s="12" customFormat="1" x14ac:dyDescent="0.25"/>
    <row r="242081" s="12" customFormat="1" x14ac:dyDescent="0.25"/>
    <row r="242082" s="12" customFormat="1" x14ac:dyDescent="0.25"/>
    <row r="242083" s="12" customFormat="1" x14ac:dyDescent="0.25"/>
    <row r="242084" s="12" customFormat="1" x14ac:dyDescent="0.25"/>
    <row r="242085" s="12" customFormat="1" x14ac:dyDescent="0.25"/>
    <row r="242086" s="12" customFormat="1" x14ac:dyDescent="0.25"/>
    <row r="242087" s="12" customFormat="1" x14ac:dyDescent="0.25"/>
    <row r="242088" s="12" customFormat="1" x14ac:dyDescent="0.25"/>
    <row r="242089" s="12" customFormat="1" x14ac:dyDescent="0.25"/>
    <row r="242090" s="12" customFormat="1" x14ac:dyDescent="0.25"/>
    <row r="242091" s="12" customFormat="1" x14ac:dyDescent="0.25"/>
    <row r="242092" s="12" customFormat="1" x14ac:dyDescent="0.25"/>
    <row r="242093" s="12" customFormat="1" x14ac:dyDescent="0.25"/>
    <row r="242094" s="12" customFormat="1" x14ac:dyDescent="0.25"/>
    <row r="242095" s="12" customFormat="1" x14ac:dyDescent="0.25"/>
    <row r="242096" s="12" customFormat="1" x14ac:dyDescent="0.25"/>
    <row r="242097" s="12" customFormat="1" x14ac:dyDescent="0.25"/>
    <row r="242098" s="12" customFormat="1" x14ac:dyDescent="0.25"/>
    <row r="242099" s="12" customFormat="1" x14ac:dyDescent="0.25"/>
    <row r="242100" s="12" customFormat="1" x14ac:dyDescent="0.25"/>
    <row r="242101" s="12" customFormat="1" x14ac:dyDescent="0.25"/>
    <row r="242102" s="12" customFormat="1" x14ac:dyDescent="0.25"/>
    <row r="242103" s="12" customFormat="1" x14ac:dyDescent="0.25"/>
    <row r="242104" s="12" customFormat="1" x14ac:dyDescent="0.25"/>
    <row r="242105" s="12" customFormat="1" x14ac:dyDescent="0.25"/>
    <row r="242106" s="12" customFormat="1" x14ac:dyDescent="0.25"/>
    <row r="242107" s="12" customFormat="1" x14ac:dyDescent="0.25"/>
    <row r="242108" s="12" customFormat="1" x14ac:dyDescent="0.25"/>
    <row r="242109" s="12" customFormat="1" x14ac:dyDescent="0.25"/>
    <row r="242110" s="12" customFormat="1" x14ac:dyDescent="0.25"/>
    <row r="242111" s="12" customFormat="1" x14ac:dyDescent="0.25"/>
    <row r="242112" s="12" customFormat="1" x14ac:dyDescent="0.25"/>
    <row r="242113" s="12" customFormat="1" x14ac:dyDescent="0.25"/>
    <row r="242114" s="12" customFormat="1" x14ac:dyDescent="0.25"/>
    <row r="242115" s="12" customFormat="1" x14ac:dyDescent="0.25"/>
    <row r="242116" s="12" customFormat="1" x14ac:dyDescent="0.25"/>
    <row r="242117" s="12" customFormat="1" x14ac:dyDescent="0.25"/>
    <row r="242118" s="12" customFormat="1" x14ac:dyDescent="0.25"/>
    <row r="242119" s="12" customFormat="1" x14ac:dyDescent="0.25"/>
    <row r="242120" s="12" customFormat="1" x14ac:dyDescent="0.25"/>
    <row r="242121" s="12" customFormat="1" x14ac:dyDescent="0.25"/>
    <row r="242122" s="12" customFormat="1" x14ac:dyDescent="0.25"/>
    <row r="242123" s="12" customFormat="1" x14ac:dyDescent="0.25"/>
    <row r="242124" s="12" customFormat="1" x14ac:dyDescent="0.25"/>
    <row r="242125" s="12" customFormat="1" x14ac:dyDescent="0.25"/>
    <row r="242126" s="12" customFormat="1" x14ac:dyDescent="0.25"/>
    <row r="242127" s="12" customFormat="1" x14ac:dyDescent="0.25"/>
    <row r="242128" s="12" customFormat="1" x14ac:dyDescent="0.25"/>
    <row r="242129" s="12" customFormat="1" x14ac:dyDescent="0.25"/>
    <row r="242130" s="12" customFormat="1" x14ac:dyDescent="0.25"/>
    <row r="242131" s="12" customFormat="1" x14ac:dyDescent="0.25"/>
    <row r="242132" s="12" customFormat="1" x14ac:dyDescent="0.25"/>
    <row r="242133" s="12" customFormat="1" x14ac:dyDescent="0.25"/>
    <row r="242134" s="12" customFormat="1" x14ac:dyDescent="0.25"/>
    <row r="242135" s="12" customFormat="1" x14ac:dyDescent="0.25"/>
    <row r="242136" s="12" customFormat="1" x14ac:dyDescent="0.25"/>
    <row r="242137" s="12" customFormat="1" x14ac:dyDescent="0.25"/>
    <row r="242138" s="12" customFormat="1" x14ac:dyDescent="0.25"/>
    <row r="242139" s="12" customFormat="1" x14ac:dyDescent="0.25"/>
    <row r="242140" s="12" customFormat="1" x14ac:dyDescent="0.25"/>
    <row r="242141" s="12" customFormat="1" x14ac:dyDescent="0.25"/>
    <row r="242142" s="12" customFormat="1" x14ac:dyDescent="0.25"/>
    <row r="242143" s="12" customFormat="1" x14ac:dyDescent="0.25"/>
    <row r="242144" s="12" customFormat="1" x14ac:dyDescent="0.25"/>
    <row r="242145" s="12" customFormat="1" x14ac:dyDescent="0.25"/>
    <row r="242146" s="12" customFormat="1" x14ac:dyDescent="0.25"/>
    <row r="242147" s="12" customFormat="1" x14ac:dyDescent="0.25"/>
    <row r="242148" s="12" customFormat="1" x14ac:dyDescent="0.25"/>
    <row r="242149" s="12" customFormat="1" x14ac:dyDescent="0.25"/>
    <row r="242150" s="12" customFormat="1" x14ac:dyDescent="0.25"/>
    <row r="242151" s="12" customFormat="1" x14ac:dyDescent="0.25"/>
    <row r="242152" s="12" customFormat="1" x14ac:dyDescent="0.25"/>
    <row r="242153" s="12" customFormat="1" x14ac:dyDescent="0.25"/>
    <row r="242154" s="12" customFormat="1" x14ac:dyDescent="0.25"/>
    <row r="242155" s="12" customFormat="1" x14ac:dyDescent="0.25"/>
    <row r="242156" s="12" customFormat="1" x14ac:dyDescent="0.25"/>
    <row r="242157" s="12" customFormat="1" x14ac:dyDescent="0.25"/>
    <row r="242158" s="12" customFormat="1" x14ac:dyDescent="0.25"/>
    <row r="242159" s="12" customFormat="1" x14ac:dyDescent="0.25"/>
    <row r="242160" s="12" customFormat="1" x14ac:dyDescent="0.25"/>
    <row r="242161" s="12" customFormat="1" x14ac:dyDescent="0.25"/>
    <row r="242162" s="12" customFormat="1" x14ac:dyDescent="0.25"/>
    <row r="242163" s="12" customFormat="1" x14ac:dyDescent="0.25"/>
    <row r="242164" s="12" customFormat="1" x14ac:dyDescent="0.25"/>
    <row r="242165" s="12" customFormat="1" x14ac:dyDescent="0.25"/>
    <row r="242166" s="12" customFormat="1" x14ac:dyDescent="0.25"/>
    <row r="242167" s="12" customFormat="1" x14ac:dyDescent="0.25"/>
    <row r="242168" s="12" customFormat="1" x14ac:dyDescent="0.25"/>
    <row r="242169" s="12" customFormat="1" x14ac:dyDescent="0.25"/>
    <row r="242170" s="12" customFormat="1" x14ac:dyDescent="0.25"/>
    <row r="242171" s="12" customFormat="1" x14ac:dyDescent="0.25"/>
    <row r="242172" s="12" customFormat="1" x14ac:dyDescent="0.25"/>
    <row r="242173" s="12" customFormat="1" x14ac:dyDescent="0.25"/>
    <row r="242174" s="12" customFormat="1" x14ac:dyDescent="0.25"/>
    <row r="242175" s="12" customFormat="1" x14ac:dyDescent="0.25"/>
    <row r="242176" s="12" customFormat="1" x14ac:dyDescent="0.25"/>
    <row r="242177" s="12" customFormat="1" x14ac:dyDescent="0.25"/>
    <row r="242178" s="12" customFormat="1" x14ac:dyDescent="0.25"/>
    <row r="242179" s="12" customFormat="1" x14ac:dyDescent="0.25"/>
    <row r="242180" s="12" customFormat="1" x14ac:dyDescent="0.25"/>
    <row r="242181" s="12" customFormat="1" x14ac:dyDescent="0.25"/>
    <row r="242182" s="12" customFormat="1" x14ac:dyDescent="0.25"/>
    <row r="242183" s="12" customFormat="1" x14ac:dyDescent="0.25"/>
    <row r="242184" s="12" customFormat="1" x14ac:dyDescent="0.25"/>
    <row r="242185" s="12" customFormat="1" x14ac:dyDescent="0.25"/>
    <row r="242186" s="12" customFormat="1" x14ac:dyDescent="0.25"/>
    <row r="242187" s="12" customFormat="1" x14ac:dyDescent="0.25"/>
    <row r="242188" s="12" customFormat="1" x14ac:dyDescent="0.25"/>
    <row r="242189" s="12" customFormat="1" x14ac:dyDescent="0.25"/>
    <row r="242190" s="12" customFormat="1" x14ac:dyDescent="0.25"/>
    <row r="242191" s="12" customFormat="1" x14ac:dyDescent="0.25"/>
    <row r="242192" s="12" customFormat="1" x14ac:dyDescent="0.25"/>
    <row r="242193" s="12" customFormat="1" x14ac:dyDescent="0.25"/>
    <row r="242194" s="12" customFormat="1" x14ac:dyDescent="0.25"/>
    <row r="242195" s="12" customFormat="1" x14ac:dyDescent="0.25"/>
    <row r="242196" s="12" customFormat="1" x14ac:dyDescent="0.25"/>
    <row r="242197" s="12" customFormat="1" x14ac:dyDescent="0.25"/>
    <row r="242198" s="12" customFormat="1" x14ac:dyDescent="0.25"/>
    <row r="242199" s="12" customFormat="1" x14ac:dyDescent="0.25"/>
    <row r="242200" s="12" customFormat="1" x14ac:dyDescent="0.25"/>
    <row r="242201" s="12" customFormat="1" x14ac:dyDescent="0.25"/>
    <row r="242202" s="12" customFormat="1" x14ac:dyDescent="0.25"/>
    <row r="242203" s="12" customFormat="1" x14ac:dyDescent="0.25"/>
    <row r="242204" s="12" customFormat="1" x14ac:dyDescent="0.25"/>
    <row r="242205" s="12" customFormat="1" x14ac:dyDescent="0.25"/>
    <row r="242206" s="12" customFormat="1" x14ac:dyDescent="0.25"/>
    <row r="242207" s="12" customFormat="1" x14ac:dyDescent="0.25"/>
    <row r="242208" s="12" customFormat="1" x14ac:dyDescent="0.25"/>
    <row r="242209" s="12" customFormat="1" x14ac:dyDescent="0.25"/>
    <row r="242210" s="12" customFormat="1" x14ac:dyDescent="0.25"/>
    <row r="242211" s="12" customFormat="1" x14ac:dyDescent="0.25"/>
    <row r="242212" s="12" customFormat="1" x14ac:dyDescent="0.25"/>
    <row r="242213" s="12" customFormat="1" x14ac:dyDescent="0.25"/>
    <row r="242214" s="12" customFormat="1" x14ac:dyDescent="0.25"/>
    <row r="242215" s="12" customFormat="1" x14ac:dyDescent="0.25"/>
    <row r="242216" s="12" customFormat="1" x14ac:dyDescent="0.25"/>
    <row r="242217" s="12" customFormat="1" x14ac:dyDescent="0.25"/>
    <row r="242218" s="12" customFormat="1" x14ac:dyDescent="0.25"/>
    <row r="242219" s="12" customFormat="1" x14ac:dyDescent="0.25"/>
    <row r="242220" s="12" customFormat="1" x14ac:dyDescent="0.25"/>
    <row r="242221" s="12" customFormat="1" x14ac:dyDescent="0.25"/>
    <row r="242222" s="12" customFormat="1" x14ac:dyDescent="0.25"/>
    <row r="242223" s="12" customFormat="1" x14ac:dyDescent="0.25"/>
    <row r="242224" s="12" customFormat="1" x14ac:dyDescent="0.25"/>
    <row r="242225" s="12" customFormat="1" x14ac:dyDescent="0.25"/>
    <row r="242226" s="12" customFormat="1" x14ac:dyDescent="0.25"/>
    <row r="242227" s="12" customFormat="1" x14ac:dyDescent="0.25"/>
    <row r="242228" s="12" customFormat="1" x14ac:dyDescent="0.25"/>
    <row r="242229" s="12" customFormat="1" x14ac:dyDescent="0.25"/>
    <row r="242230" s="12" customFormat="1" x14ac:dyDescent="0.25"/>
    <row r="242231" s="12" customFormat="1" x14ac:dyDescent="0.25"/>
    <row r="242232" s="12" customFormat="1" x14ac:dyDescent="0.25"/>
    <row r="242233" s="12" customFormat="1" x14ac:dyDescent="0.25"/>
    <row r="242234" s="12" customFormat="1" x14ac:dyDescent="0.25"/>
    <row r="242235" s="12" customFormat="1" x14ac:dyDescent="0.25"/>
    <row r="242236" s="12" customFormat="1" x14ac:dyDescent="0.25"/>
    <row r="242237" s="12" customFormat="1" x14ac:dyDescent="0.25"/>
    <row r="242238" s="12" customFormat="1" x14ac:dyDescent="0.25"/>
    <row r="242239" s="12" customFormat="1" x14ac:dyDescent="0.25"/>
    <row r="242240" s="12" customFormat="1" x14ac:dyDescent="0.25"/>
    <row r="242241" s="12" customFormat="1" x14ac:dyDescent="0.25"/>
    <row r="242242" s="12" customFormat="1" x14ac:dyDescent="0.25"/>
    <row r="242243" s="12" customFormat="1" x14ac:dyDescent="0.25"/>
    <row r="242244" s="12" customFormat="1" x14ac:dyDescent="0.25"/>
    <row r="242245" s="12" customFormat="1" x14ac:dyDescent="0.25"/>
    <row r="242246" s="12" customFormat="1" x14ac:dyDescent="0.25"/>
    <row r="242247" s="12" customFormat="1" x14ac:dyDescent="0.25"/>
    <row r="242248" s="12" customFormat="1" x14ac:dyDescent="0.25"/>
    <row r="242249" s="12" customFormat="1" x14ac:dyDescent="0.25"/>
    <row r="242250" s="12" customFormat="1" x14ac:dyDescent="0.25"/>
    <row r="242251" s="12" customFormat="1" x14ac:dyDescent="0.25"/>
    <row r="242252" s="12" customFormat="1" x14ac:dyDescent="0.25"/>
    <row r="242253" s="12" customFormat="1" x14ac:dyDescent="0.25"/>
    <row r="242254" s="12" customFormat="1" x14ac:dyDescent="0.25"/>
    <row r="242255" s="12" customFormat="1" x14ac:dyDescent="0.25"/>
    <row r="242256" s="12" customFormat="1" x14ac:dyDescent="0.25"/>
    <row r="242257" s="12" customFormat="1" x14ac:dyDescent="0.25"/>
    <row r="242258" s="12" customFormat="1" x14ac:dyDescent="0.25"/>
    <row r="242259" s="12" customFormat="1" x14ac:dyDescent="0.25"/>
    <row r="242260" s="12" customFormat="1" x14ac:dyDescent="0.25"/>
    <row r="242261" s="12" customFormat="1" x14ac:dyDescent="0.25"/>
    <row r="242262" s="12" customFormat="1" x14ac:dyDescent="0.25"/>
    <row r="242263" s="12" customFormat="1" x14ac:dyDescent="0.25"/>
    <row r="242264" s="12" customFormat="1" x14ac:dyDescent="0.25"/>
    <row r="242265" s="12" customFormat="1" x14ac:dyDescent="0.25"/>
    <row r="242266" s="12" customFormat="1" x14ac:dyDescent="0.25"/>
    <row r="242267" s="12" customFormat="1" x14ac:dyDescent="0.25"/>
    <row r="242268" s="12" customFormat="1" x14ac:dyDescent="0.25"/>
    <row r="242269" s="12" customFormat="1" x14ac:dyDescent="0.25"/>
    <row r="242270" s="12" customFormat="1" x14ac:dyDescent="0.25"/>
    <row r="242271" s="12" customFormat="1" x14ac:dyDescent="0.25"/>
    <row r="242272" s="12" customFormat="1" x14ac:dyDescent="0.25"/>
    <row r="242273" s="12" customFormat="1" x14ac:dyDescent="0.25"/>
    <row r="242274" s="12" customFormat="1" x14ac:dyDescent="0.25"/>
    <row r="242275" s="12" customFormat="1" x14ac:dyDescent="0.25"/>
    <row r="242276" s="12" customFormat="1" x14ac:dyDescent="0.25"/>
    <row r="242277" s="12" customFormat="1" x14ac:dyDescent="0.25"/>
    <row r="242278" s="12" customFormat="1" x14ac:dyDescent="0.25"/>
    <row r="242279" s="12" customFormat="1" x14ac:dyDescent="0.25"/>
    <row r="242280" s="12" customFormat="1" x14ac:dyDescent="0.25"/>
    <row r="242281" s="12" customFormat="1" x14ac:dyDescent="0.25"/>
    <row r="242282" s="12" customFormat="1" x14ac:dyDescent="0.25"/>
    <row r="242283" s="12" customFormat="1" x14ac:dyDescent="0.25"/>
    <row r="242284" s="12" customFormat="1" x14ac:dyDescent="0.25"/>
    <row r="242285" s="12" customFormat="1" x14ac:dyDescent="0.25"/>
    <row r="242286" s="12" customFormat="1" x14ac:dyDescent="0.25"/>
    <row r="242287" s="12" customFormat="1" x14ac:dyDescent="0.25"/>
    <row r="242288" s="12" customFormat="1" x14ac:dyDescent="0.25"/>
    <row r="242289" s="12" customFormat="1" x14ac:dyDescent="0.25"/>
    <row r="242290" s="12" customFormat="1" x14ac:dyDescent="0.25"/>
    <row r="242291" s="12" customFormat="1" x14ac:dyDescent="0.25"/>
    <row r="242292" s="12" customFormat="1" x14ac:dyDescent="0.25"/>
    <row r="242293" s="12" customFormat="1" x14ac:dyDescent="0.25"/>
    <row r="242294" s="12" customFormat="1" x14ac:dyDescent="0.25"/>
    <row r="242295" s="12" customFormat="1" x14ac:dyDescent="0.25"/>
    <row r="242296" s="12" customFormat="1" x14ac:dyDescent="0.25"/>
    <row r="242297" s="12" customFormat="1" x14ac:dyDescent="0.25"/>
    <row r="242298" s="12" customFormat="1" x14ac:dyDescent="0.25"/>
    <row r="242299" s="12" customFormat="1" x14ac:dyDescent="0.25"/>
    <row r="242300" s="12" customFormat="1" x14ac:dyDescent="0.25"/>
    <row r="242301" s="12" customFormat="1" x14ac:dyDescent="0.25"/>
    <row r="242302" s="12" customFormat="1" x14ac:dyDescent="0.25"/>
    <row r="242303" s="12" customFormat="1" x14ac:dyDescent="0.25"/>
    <row r="242304" s="12" customFormat="1" x14ac:dyDescent="0.25"/>
    <row r="242305" s="12" customFormat="1" x14ac:dyDescent="0.25"/>
    <row r="242306" s="12" customFormat="1" x14ac:dyDescent="0.25"/>
    <row r="242307" s="12" customFormat="1" x14ac:dyDescent="0.25"/>
    <row r="242308" s="12" customFormat="1" x14ac:dyDescent="0.25"/>
    <row r="242309" s="12" customFormat="1" x14ac:dyDescent="0.25"/>
    <row r="242310" s="12" customFormat="1" x14ac:dyDescent="0.25"/>
    <row r="242311" s="12" customFormat="1" x14ac:dyDescent="0.25"/>
    <row r="242312" s="12" customFormat="1" x14ac:dyDescent="0.25"/>
    <row r="242313" s="12" customFormat="1" x14ac:dyDescent="0.25"/>
    <row r="242314" s="12" customFormat="1" x14ac:dyDescent="0.25"/>
    <row r="242315" s="12" customFormat="1" x14ac:dyDescent="0.25"/>
    <row r="242316" s="12" customFormat="1" x14ac:dyDescent="0.25"/>
    <row r="242317" s="12" customFormat="1" x14ac:dyDescent="0.25"/>
    <row r="242318" s="12" customFormat="1" x14ac:dyDescent="0.25"/>
    <row r="242319" s="12" customFormat="1" x14ac:dyDescent="0.25"/>
    <row r="242320" s="12" customFormat="1" x14ac:dyDescent="0.25"/>
    <row r="242321" s="12" customFormat="1" x14ac:dyDescent="0.25"/>
    <row r="242322" s="12" customFormat="1" x14ac:dyDescent="0.25"/>
    <row r="242323" s="12" customFormat="1" x14ac:dyDescent="0.25"/>
    <row r="242324" s="12" customFormat="1" x14ac:dyDescent="0.25"/>
    <row r="242325" s="12" customFormat="1" x14ac:dyDescent="0.25"/>
    <row r="242326" s="12" customFormat="1" x14ac:dyDescent="0.25"/>
    <row r="242327" s="12" customFormat="1" x14ac:dyDescent="0.25"/>
    <row r="242328" s="12" customFormat="1" x14ac:dyDescent="0.25"/>
    <row r="242329" s="12" customFormat="1" x14ac:dyDescent="0.25"/>
    <row r="242330" s="12" customFormat="1" x14ac:dyDescent="0.25"/>
    <row r="242331" s="12" customFormat="1" x14ac:dyDescent="0.25"/>
    <row r="242332" s="12" customFormat="1" x14ac:dyDescent="0.25"/>
    <row r="242333" s="12" customFormat="1" x14ac:dyDescent="0.25"/>
    <row r="242334" s="12" customFormat="1" x14ac:dyDescent="0.25"/>
    <row r="242335" s="12" customFormat="1" x14ac:dyDescent="0.25"/>
    <row r="242336" s="12" customFormat="1" x14ac:dyDescent="0.25"/>
    <row r="242337" s="12" customFormat="1" x14ac:dyDescent="0.25"/>
    <row r="242338" s="12" customFormat="1" x14ac:dyDescent="0.25"/>
    <row r="242339" s="12" customFormat="1" x14ac:dyDescent="0.25"/>
    <row r="242340" s="12" customFormat="1" x14ac:dyDescent="0.25"/>
    <row r="242341" s="12" customFormat="1" x14ac:dyDescent="0.25"/>
    <row r="242342" s="12" customFormat="1" x14ac:dyDescent="0.25"/>
    <row r="242343" s="12" customFormat="1" x14ac:dyDescent="0.25"/>
    <row r="242344" s="12" customFormat="1" x14ac:dyDescent="0.25"/>
    <row r="242345" s="12" customFormat="1" x14ac:dyDescent="0.25"/>
    <row r="242346" s="12" customFormat="1" x14ac:dyDescent="0.25"/>
    <row r="242347" s="12" customFormat="1" x14ac:dyDescent="0.25"/>
    <row r="242348" s="12" customFormat="1" x14ac:dyDescent="0.25"/>
    <row r="242349" s="12" customFormat="1" x14ac:dyDescent="0.25"/>
    <row r="242350" s="12" customFormat="1" x14ac:dyDescent="0.25"/>
    <row r="242351" s="12" customFormat="1" x14ac:dyDescent="0.25"/>
    <row r="242352" s="12" customFormat="1" x14ac:dyDescent="0.25"/>
    <row r="242353" s="12" customFormat="1" x14ac:dyDescent="0.25"/>
    <row r="242354" s="12" customFormat="1" x14ac:dyDescent="0.25"/>
    <row r="242355" s="12" customFormat="1" x14ac:dyDescent="0.25"/>
    <row r="242356" s="12" customFormat="1" x14ac:dyDescent="0.25"/>
    <row r="242357" s="12" customFormat="1" x14ac:dyDescent="0.25"/>
    <row r="242358" s="12" customFormat="1" x14ac:dyDescent="0.25"/>
    <row r="242359" s="12" customFormat="1" x14ac:dyDescent="0.25"/>
    <row r="242360" s="12" customFormat="1" x14ac:dyDescent="0.25"/>
    <row r="242361" s="12" customFormat="1" x14ac:dyDescent="0.25"/>
    <row r="242362" s="12" customFormat="1" x14ac:dyDescent="0.25"/>
    <row r="242363" s="12" customFormat="1" x14ac:dyDescent="0.25"/>
    <row r="242364" s="12" customFormat="1" x14ac:dyDescent="0.25"/>
    <row r="242365" s="12" customFormat="1" x14ac:dyDescent="0.25"/>
    <row r="242366" s="12" customFormat="1" x14ac:dyDescent="0.25"/>
    <row r="242367" s="12" customFormat="1" x14ac:dyDescent="0.25"/>
    <row r="242368" s="12" customFormat="1" x14ac:dyDescent="0.25"/>
    <row r="242369" s="12" customFormat="1" x14ac:dyDescent="0.25"/>
    <row r="242370" s="12" customFormat="1" x14ac:dyDescent="0.25"/>
    <row r="242371" s="12" customFormat="1" x14ac:dyDescent="0.25"/>
    <row r="242372" s="12" customFormat="1" x14ac:dyDescent="0.25"/>
    <row r="242373" s="12" customFormat="1" x14ac:dyDescent="0.25"/>
    <row r="242374" s="12" customFormat="1" x14ac:dyDescent="0.25"/>
    <row r="242375" s="12" customFormat="1" x14ac:dyDescent="0.25"/>
    <row r="242376" s="12" customFormat="1" x14ac:dyDescent="0.25"/>
    <row r="242377" s="12" customFormat="1" x14ac:dyDescent="0.25"/>
    <row r="242378" s="12" customFormat="1" x14ac:dyDescent="0.25"/>
    <row r="242379" s="12" customFormat="1" x14ac:dyDescent="0.25"/>
    <row r="242380" s="12" customFormat="1" x14ac:dyDescent="0.25"/>
    <row r="242381" s="12" customFormat="1" x14ac:dyDescent="0.25"/>
    <row r="242382" s="12" customFormat="1" x14ac:dyDescent="0.25"/>
    <row r="242383" s="12" customFormat="1" x14ac:dyDescent="0.25"/>
    <row r="242384" s="12" customFormat="1" x14ac:dyDescent="0.25"/>
    <row r="242385" s="12" customFormat="1" x14ac:dyDescent="0.25"/>
    <row r="242386" s="12" customFormat="1" x14ac:dyDescent="0.25"/>
    <row r="242387" s="12" customFormat="1" x14ac:dyDescent="0.25"/>
    <row r="242388" s="12" customFormat="1" x14ac:dyDescent="0.25"/>
    <row r="242389" s="12" customFormat="1" x14ac:dyDescent="0.25"/>
    <row r="242390" s="12" customFormat="1" x14ac:dyDescent="0.25"/>
    <row r="242391" s="12" customFormat="1" x14ac:dyDescent="0.25"/>
    <row r="242392" s="12" customFormat="1" x14ac:dyDescent="0.25"/>
    <row r="242393" s="12" customFormat="1" x14ac:dyDescent="0.25"/>
    <row r="242394" s="12" customFormat="1" x14ac:dyDescent="0.25"/>
    <row r="242395" s="12" customFormat="1" x14ac:dyDescent="0.25"/>
    <row r="242396" s="12" customFormat="1" x14ac:dyDescent="0.25"/>
    <row r="242397" s="12" customFormat="1" x14ac:dyDescent="0.25"/>
    <row r="242398" s="12" customFormat="1" x14ac:dyDescent="0.25"/>
    <row r="242399" s="12" customFormat="1" x14ac:dyDescent="0.25"/>
    <row r="242400" s="12" customFormat="1" x14ac:dyDescent="0.25"/>
    <row r="242401" s="12" customFormat="1" x14ac:dyDescent="0.25"/>
    <row r="242402" s="12" customFormat="1" x14ac:dyDescent="0.25"/>
    <row r="242403" s="12" customFormat="1" x14ac:dyDescent="0.25"/>
    <row r="242404" s="12" customFormat="1" x14ac:dyDescent="0.25"/>
    <row r="242405" s="12" customFormat="1" x14ac:dyDescent="0.25"/>
    <row r="242406" s="12" customFormat="1" x14ac:dyDescent="0.25"/>
    <row r="242407" s="12" customFormat="1" x14ac:dyDescent="0.25"/>
    <row r="242408" s="12" customFormat="1" x14ac:dyDescent="0.25"/>
    <row r="242409" s="12" customFormat="1" x14ac:dyDescent="0.25"/>
    <row r="242410" s="12" customFormat="1" x14ac:dyDescent="0.25"/>
    <row r="242411" s="12" customFormat="1" x14ac:dyDescent="0.25"/>
    <row r="242412" s="12" customFormat="1" x14ac:dyDescent="0.25"/>
    <row r="242413" s="12" customFormat="1" x14ac:dyDescent="0.25"/>
    <row r="242414" s="12" customFormat="1" x14ac:dyDescent="0.25"/>
    <row r="242415" s="12" customFormat="1" x14ac:dyDescent="0.25"/>
    <row r="242416" s="12" customFormat="1" x14ac:dyDescent="0.25"/>
    <row r="242417" s="12" customFormat="1" x14ac:dyDescent="0.25"/>
    <row r="242418" s="12" customFormat="1" x14ac:dyDescent="0.25"/>
    <row r="242419" s="12" customFormat="1" x14ac:dyDescent="0.25"/>
    <row r="242420" s="12" customFormat="1" x14ac:dyDescent="0.25"/>
    <row r="242421" s="12" customFormat="1" x14ac:dyDescent="0.25"/>
    <row r="242422" s="12" customFormat="1" x14ac:dyDescent="0.25"/>
    <row r="242423" s="12" customFormat="1" x14ac:dyDescent="0.25"/>
    <row r="242424" s="12" customFormat="1" x14ac:dyDescent="0.25"/>
    <row r="242425" s="12" customFormat="1" x14ac:dyDescent="0.25"/>
    <row r="242426" s="12" customFormat="1" x14ac:dyDescent="0.25"/>
    <row r="242427" s="12" customFormat="1" x14ac:dyDescent="0.25"/>
    <row r="242428" s="12" customFormat="1" x14ac:dyDescent="0.25"/>
    <row r="242429" s="12" customFormat="1" x14ac:dyDescent="0.25"/>
    <row r="242430" s="12" customFormat="1" x14ac:dyDescent="0.25"/>
    <row r="242431" s="12" customFormat="1" x14ac:dyDescent="0.25"/>
    <row r="242432" s="12" customFormat="1" x14ac:dyDescent="0.25"/>
    <row r="242433" s="12" customFormat="1" x14ac:dyDescent="0.25"/>
    <row r="242434" s="12" customFormat="1" x14ac:dyDescent="0.25"/>
    <row r="242435" s="12" customFormat="1" x14ac:dyDescent="0.25"/>
    <row r="242436" s="12" customFormat="1" x14ac:dyDescent="0.25"/>
    <row r="242437" s="12" customFormat="1" x14ac:dyDescent="0.25"/>
    <row r="242438" s="12" customFormat="1" x14ac:dyDescent="0.25"/>
    <row r="242439" s="12" customFormat="1" x14ac:dyDescent="0.25"/>
    <row r="242440" s="12" customFormat="1" x14ac:dyDescent="0.25"/>
    <row r="242441" s="12" customFormat="1" x14ac:dyDescent="0.25"/>
    <row r="242442" s="12" customFormat="1" x14ac:dyDescent="0.25"/>
    <row r="242443" s="12" customFormat="1" x14ac:dyDescent="0.25"/>
    <row r="242444" s="12" customFormat="1" x14ac:dyDescent="0.25"/>
    <row r="242445" s="12" customFormat="1" x14ac:dyDescent="0.25"/>
    <row r="242446" s="12" customFormat="1" x14ac:dyDescent="0.25"/>
    <row r="242447" s="12" customFormat="1" x14ac:dyDescent="0.25"/>
    <row r="242448" s="12" customFormat="1" x14ac:dyDescent="0.25"/>
    <row r="242449" s="12" customFormat="1" x14ac:dyDescent="0.25"/>
    <row r="242450" s="12" customFormat="1" x14ac:dyDescent="0.25"/>
    <row r="242451" s="12" customFormat="1" x14ac:dyDescent="0.25"/>
    <row r="242452" s="12" customFormat="1" x14ac:dyDescent="0.25"/>
    <row r="242453" s="12" customFormat="1" x14ac:dyDescent="0.25"/>
    <row r="242454" s="12" customFormat="1" x14ac:dyDescent="0.25"/>
    <row r="242455" s="12" customFormat="1" x14ac:dyDescent="0.25"/>
    <row r="242456" s="12" customFormat="1" x14ac:dyDescent="0.25"/>
    <row r="242457" s="12" customFormat="1" x14ac:dyDescent="0.25"/>
    <row r="242458" s="12" customFormat="1" x14ac:dyDescent="0.25"/>
    <row r="242459" s="12" customFormat="1" x14ac:dyDescent="0.25"/>
    <row r="242460" s="12" customFormat="1" x14ac:dyDescent="0.25"/>
    <row r="242461" s="12" customFormat="1" x14ac:dyDescent="0.25"/>
    <row r="242462" s="12" customFormat="1" x14ac:dyDescent="0.25"/>
    <row r="242463" s="12" customFormat="1" x14ac:dyDescent="0.25"/>
    <row r="242464" s="12" customFormat="1" x14ac:dyDescent="0.25"/>
    <row r="242465" s="12" customFormat="1" x14ac:dyDescent="0.25"/>
    <row r="242466" s="12" customFormat="1" x14ac:dyDescent="0.25"/>
    <row r="242467" s="12" customFormat="1" x14ac:dyDescent="0.25"/>
    <row r="242468" s="12" customFormat="1" x14ac:dyDescent="0.25"/>
    <row r="242469" s="12" customFormat="1" x14ac:dyDescent="0.25"/>
    <row r="242470" s="12" customFormat="1" x14ac:dyDescent="0.25"/>
    <row r="242471" s="12" customFormat="1" x14ac:dyDescent="0.25"/>
    <row r="242472" s="12" customFormat="1" x14ac:dyDescent="0.25"/>
    <row r="242473" s="12" customFormat="1" x14ac:dyDescent="0.25"/>
    <row r="242474" s="12" customFormat="1" x14ac:dyDescent="0.25"/>
    <row r="242475" s="12" customFormat="1" x14ac:dyDescent="0.25"/>
    <row r="242476" s="12" customFormat="1" x14ac:dyDescent="0.25"/>
    <row r="242477" s="12" customFormat="1" x14ac:dyDescent="0.25"/>
    <row r="242478" s="12" customFormat="1" x14ac:dyDescent="0.25"/>
    <row r="242479" s="12" customFormat="1" x14ac:dyDescent="0.25"/>
    <row r="242480" s="12" customFormat="1" x14ac:dyDescent="0.25"/>
    <row r="242481" s="12" customFormat="1" x14ac:dyDescent="0.25"/>
    <row r="242482" s="12" customFormat="1" x14ac:dyDescent="0.25"/>
    <row r="242483" s="12" customFormat="1" x14ac:dyDescent="0.25"/>
    <row r="242484" s="12" customFormat="1" x14ac:dyDescent="0.25"/>
    <row r="242485" s="12" customFormat="1" x14ac:dyDescent="0.25"/>
    <row r="242486" s="12" customFormat="1" x14ac:dyDescent="0.25"/>
    <row r="242487" s="12" customFormat="1" x14ac:dyDescent="0.25"/>
    <row r="242488" s="12" customFormat="1" x14ac:dyDescent="0.25"/>
    <row r="242489" s="12" customFormat="1" x14ac:dyDescent="0.25"/>
    <row r="242490" s="12" customFormat="1" x14ac:dyDescent="0.25"/>
    <row r="242491" s="12" customFormat="1" x14ac:dyDescent="0.25"/>
    <row r="242492" s="12" customFormat="1" x14ac:dyDescent="0.25"/>
    <row r="242493" s="12" customFormat="1" x14ac:dyDescent="0.25"/>
    <row r="242494" s="12" customFormat="1" x14ac:dyDescent="0.25"/>
    <row r="242495" s="12" customFormat="1" x14ac:dyDescent="0.25"/>
    <row r="242496" s="12" customFormat="1" x14ac:dyDescent="0.25"/>
    <row r="242497" s="12" customFormat="1" x14ac:dyDescent="0.25"/>
    <row r="242498" s="12" customFormat="1" x14ac:dyDescent="0.25"/>
    <row r="242499" s="12" customFormat="1" x14ac:dyDescent="0.25"/>
    <row r="242500" s="12" customFormat="1" x14ac:dyDescent="0.25"/>
    <row r="242501" s="12" customFormat="1" x14ac:dyDescent="0.25"/>
    <row r="242502" s="12" customFormat="1" x14ac:dyDescent="0.25"/>
    <row r="242503" s="12" customFormat="1" x14ac:dyDescent="0.25"/>
    <row r="242504" s="12" customFormat="1" x14ac:dyDescent="0.25"/>
    <row r="242505" s="12" customFormat="1" x14ac:dyDescent="0.25"/>
    <row r="242506" s="12" customFormat="1" x14ac:dyDescent="0.25"/>
    <row r="242507" s="12" customFormat="1" x14ac:dyDescent="0.25"/>
    <row r="242508" s="12" customFormat="1" x14ac:dyDescent="0.25"/>
    <row r="242509" s="12" customFormat="1" x14ac:dyDescent="0.25"/>
    <row r="242510" s="12" customFormat="1" x14ac:dyDescent="0.25"/>
    <row r="242511" s="12" customFormat="1" x14ac:dyDescent="0.25"/>
    <row r="242512" s="12" customFormat="1" x14ac:dyDescent="0.25"/>
    <row r="242513" s="12" customFormat="1" x14ac:dyDescent="0.25"/>
    <row r="242514" s="12" customFormat="1" x14ac:dyDescent="0.25"/>
    <row r="242515" s="12" customFormat="1" x14ac:dyDescent="0.25"/>
    <row r="242516" s="12" customFormat="1" x14ac:dyDescent="0.25"/>
    <row r="242517" s="12" customFormat="1" x14ac:dyDescent="0.25"/>
    <row r="242518" s="12" customFormat="1" x14ac:dyDescent="0.25"/>
    <row r="242519" s="12" customFormat="1" x14ac:dyDescent="0.25"/>
    <row r="242520" s="12" customFormat="1" x14ac:dyDescent="0.25"/>
    <row r="242521" s="12" customFormat="1" x14ac:dyDescent="0.25"/>
    <row r="242522" s="12" customFormat="1" x14ac:dyDescent="0.25"/>
    <row r="242523" s="12" customFormat="1" x14ac:dyDescent="0.25"/>
    <row r="242524" s="12" customFormat="1" x14ac:dyDescent="0.25"/>
    <row r="242525" s="12" customFormat="1" x14ac:dyDescent="0.25"/>
    <row r="242526" s="12" customFormat="1" x14ac:dyDescent="0.25"/>
    <row r="242527" s="12" customFormat="1" x14ac:dyDescent="0.25"/>
    <row r="242528" s="12" customFormat="1" x14ac:dyDescent="0.25"/>
    <row r="242529" s="12" customFormat="1" x14ac:dyDescent="0.25"/>
    <row r="242530" s="12" customFormat="1" x14ac:dyDescent="0.25"/>
    <row r="242531" s="12" customFormat="1" x14ac:dyDescent="0.25"/>
    <row r="242532" s="12" customFormat="1" x14ac:dyDescent="0.25"/>
    <row r="242533" s="12" customFormat="1" x14ac:dyDescent="0.25"/>
    <row r="242534" s="12" customFormat="1" x14ac:dyDescent="0.25"/>
    <row r="242535" s="12" customFormat="1" x14ac:dyDescent="0.25"/>
    <row r="242536" s="12" customFormat="1" x14ac:dyDescent="0.25"/>
    <row r="242537" s="12" customFormat="1" x14ac:dyDescent="0.25"/>
    <row r="242538" s="12" customFormat="1" x14ac:dyDescent="0.25"/>
    <row r="242539" s="12" customFormat="1" x14ac:dyDescent="0.25"/>
    <row r="242540" s="12" customFormat="1" x14ac:dyDescent="0.25"/>
    <row r="242541" s="12" customFormat="1" x14ac:dyDescent="0.25"/>
    <row r="242542" s="12" customFormat="1" x14ac:dyDescent="0.25"/>
    <row r="242543" s="12" customFormat="1" x14ac:dyDescent="0.25"/>
    <row r="242544" s="12" customFormat="1" x14ac:dyDescent="0.25"/>
    <row r="242545" s="12" customFormat="1" x14ac:dyDescent="0.25"/>
    <row r="242546" s="12" customFormat="1" x14ac:dyDescent="0.25"/>
    <row r="242547" s="12" customFormat="1" x14ac:dyDescent="0.25"/>
    <row r="242548" s="12" customFormat="1" x14ac:dyDescent="0.25"/>
    <row r="242549" s="12" customFormat="1" x14ac:dyDescent="0.25"/>
    <row r="242550" s="12" customFormat="1" x14ac:dyDescent="0.25"/>
    <row r="242551" s="12" customFormat="1" x14ac:dyDescent="0.25"/>
    <row r="242552" s="12" customFormat="1" x14ac:dyDescent="0.25"/>
    <row r="242553" s="12" customFormat="1" x14ac:dyDescent="0.25"/>
    <row r="242554" s="12" customFormat="1" x14ac:dyDescent="0.25"/>
    <row r="242555" s="12" customFormat="1" x14ac:dyDescent="0.25"/>
    <row r="242556" s="12" customFormat="1" x14ac:dyDescent="0.25"/>
    <row r="242557" s="12" customFormat="1" x14ac:dyDescent="0.25"/>
    <row r="242558" s="12" customFormat="1" x14ac:dyDescent="0.25"/>
    <row r="242559" s="12" customFormat="1" x14ac:dyDescent="0.25"/>
    <row r="242560" s="12" customFormat="1" x14ac:dyDescent="0.25"/>
    <row r="242561" s="12" customFormat="1" x14ac:dyDescent="0.25"/>
    <row r="242562" s="12" customFormat="1" x14ac:dyDescent="0.25"/>
    <row r="242563" s="12" customFormat="1" x14ac:dyDescent="0.25"/>
    <row r="242564" s="12" customFormat="1" x14ac:dyDescent="0.25"/>
    <row r="242565" s="12" customFormat="1" x14ac:dyDescent="0.25"/>
    <row r="242566" s="12" customFormat="1" x14ac:dyDescent="0.25"/>
    <row r="242567" s="12" customFormat="1" x14ac:dyDescent="0.25"/>
    <row r="242568" s="12" customFormat="1" x14ac:dyDescent="0.25"/>
    <row r="242569" s="12" customFormat="1" x14ac:dyDescent="0.25"/>
    <row r="242570" s="12" customFormat="1" x14ac:dyDescent="0.25"/>
    <row r="242571" s="12" customFormat="1" x14ac:dyDescent="0.25"/>
    <row r="242572" s="12" customFormat="1" x14ac:dyDescent="0.25"/>
    <row r="242573" s="12" customFormat="1" x14ac:dyDescent="0.25"/>
    <row r="242574" s="12" customFormat="1" x14ac:dyDescent="0.25"/>
    <row r="242575" s="12" customFormat="1" x14ac:dyDescent="0.25"/>
    <row r="242576" s="12" customFormat="1" x14ac:dyDescent="0.25"/>
    <row r="242577" s="12" customFormat="1" x14ac:dyDescent="0.25"/>
    <row r="242578" s="12" customFormat="1" x14ac:dyDescent="0.25"/>
    <row r="242579" s="12" customFormat="1" x14ac:dyDescent="0.25"/>
    <row r="242580" s="12" customFormat="1" x14ac:dyDescent="0.25"/>
    <row r="242581" s="12" customFormat="1" x14ac:dyDescent="0.25"/>
    <row r="242582" s="12" customFormat="1" x14ac:dyDescent="0.25"/>
    <row r="242583" s="12" customFormat="1" x14ac:dyDescent="0.25"/>
    <row r="242584" s="12" customFormat="1" x14ac:dyDescent="0.25"/>
    <row r="242585" s="12" customFormat="1" x14ac:dyDescent="0.25"/>
    <row r="242586" s="12" customFormat="1" x14ac:dyDescent="0.25"/>
    <row r="242587" s="12" customFormat="1" x14ac:dyDescent="0.25"/>
    <row r="242588" s="12" customFormat="1" x14ac:dyDescent="0.25"/>
    <row r="242589" s="12" customFormat="1" x14ac:dyDescent="0.25"/>
    <row r="242590" s="12" customFormat="1" x14ac:dyDescent="0.25"/>
    <row r="242591" s="12" customFormat="1" x14ac:dyDescent="0.25"/>
    <row r="242592" s="12" customFormat="1" x14ac:dyDescent="0.25"/>
    <row r="242593" s="12" customFormat="1" x14ac:dyDescent="0.25"/>
    <row r="242594" s="12" customFormat="1" x14ac:dyDescent="0.25"/>
    <row r="242595" s="12" customFormat="1" x14ac:dyDescent="0.25"/>
    <row r="242596" s="12" customFormat="1" x14ac:dyDescent="0.25"/>
    <row r="242597" s="12" customFormat="1" x14ac:dyDescent="0.25"/>
    <row r="242598" s="12" customFormat="1" x14ac:dyDescent="0.25"/>
    <row r="242599" s="12" customFormat="1" x14ac:dyDescent="0.25"/>
    <row r="242600" s="12" customFormat="1" x14ac:dyDescent="0.25"/>
    <row r="242601" s="12" customFormat="1" x14ac:dyDescent="0.25"/>
    <row r="242602" s="12" customFormat="1" x14ac:dyDescent="0.25"/>
    <row r="242603" s="12" customFormat="1" x14ac:dyDescent="0.25"/>
    <row r="242604" s="12" customFormat="1" x14ac:dyDescent="0.25"/>
    <row r="242605" s="12" customFormat="1" x14ac:dyDescent="0.25"/>
    <row r="242606" s="12" customFormat="1" x14ac:dyDescent="0.25"/>
    <row r="242607" s="12" customFormat="1" x14ac:dyDescent="0.25"/>
    <row r="242608" s="12" customFormat="1" x14ac:dyDescent="0.25"/>
    <row r="242609" s="12" customFormat="1" x14ac:dyDescent="0.25"/>
    <row r="242610" s="12" customFormat="1" x14ac:dyDescent="0.25"/>
    <row r="242611" s="12" customFormat="1" x14ac:dyDescent="0.25"/>
    <row r="242612" s="12" customFormat="1" x14ac:dyDescent="0.25"/>
    <row r="242613" s="12" customFormat="1" x14ac:dyDescent="0.25"/>
    <row r="242614" s="12" customFormat="1" x14ac:dyDescent="0.25"/>
    <row r="242615" s="12" customFormat="1" x14ac:dyDescent="0.25"/>
    <row r="242616" s="12" customFormat="1" x14ac:dyDescent="0.25"/>
    <row r="242617" s="12" customFormat="1" x14ac:dyDescent="0.25"/>
    <row r="242618" s="12" customFormat="1" x14ac:dyDescent="0.25"/>
    <row r="242619" s="12" customFormat="1" x14ac:dyDescent="0.25"/>
    <row r="242620" s="12" customFormat="1" x14ac:dyDescent="0.25"/>
    <row r="242621" s="12" customFormat="1" x14ac:dyDescent="0.25"/>
    <row r="242622" s="12" customFormat="1" x14ac:dyDescent="0.25"/>
    <row r="242623" s="12" customFormat="1" x14ac:dyDescent="0.25"/>
    <row r="242624" s="12" customFormat="1" x14ac:dyDescent="0.25"/>
    <row r="242625" s="12" customFormat="1" x14ac:dyDescent="0.25"/>
    <row r="242626" s="12" customFormat="1" x14ac:dyDescent="0.25"/>
    <row r="242627" s="12" customFormat="1" x14ac:dyDescent="0.25"/>
    <row r="242628" s="12" customFormat="1" x14ac:dyDescent="0.25"/>
    <row r="242629" s="12" customFormat="1" x14ac:dyDescent="0.25"/>
    <row r="242630" s="12" customFormat="1" x14ac:dyDescent="0.25"/>
    <row r="242631" s="12" customFormat="1" x14ac:dyDescent="0.25"/>
    <row r="242632" s="12" customFormat="1" x14ac:dyDescent="0.25"/>
    <row r="242633" s="12" customFormat="1" x14ac:dyDescent="0.25"/>
    <row r="242634" s="12" customFormat="1" x14ac:dyDescent="0.25"/>
    <row r="242635" s="12" customFormat="1" x14ac:dyDescent="0.25"/>
    <row r="242636" s="12" customFormat="1" x14ac:dyDescent="0.25"/>
    <row r="242637" s="12" customFormat="1" x14ac:dyDescent="0.25"/>
    <row r="242638" s="12" customFormat="1" x14ac:dyDescent="0.25"/>
    <row r="242639" s="12" customFormat="1" x14ac:dyDescent="0.25"/>
    <row r="242640" s="12" customFormat="1" x14ac:dyDescent="0.25"/>
    <row r="242641" s="12" customFormat="1" x14ac:dyDescent="0.25"/>
    <row r="242642" s="12" customFormat="1" x14ac:dyDescent="0.25"/>
    <row r="242643" s="12" customFormat="1" x14ac:dyDescent="0.25"/>
    <row r="242644" s="12" customFormat="1" x14ac:dyDescent="0.25"/>
    <row r="242645" s="12" customFormat="1" x14ac:dyDescent="0.25"/>
    <row r="242646" s="12" customFormat="1" x14ac:dyDescent="0.25"/>
    <row r="242647" s="12" customFormat="1" x14ac:dyDescent="0.25"/>
    <row r="242648" s="12" customFormat="1" x14ac:dyDescent="0.25"/>
    <row r="242649" s="12" customFormat="1" x14ac:dyDescent="0.25"/>
    <row r="242650" s="12" customFormat="1" x14ac:dyDescent="0.25"/>
    <row r="242651" s="12" customFormat="1" x14ac:dyDescent="0.25"/>
    <row r="242652" s="12" customFormat="1" x14ac:dyDescent="0.25"/>
    <row r="242653" s="12" customFormat="1" x14ac:dyDescent="0.25"/>
    <row r="242654" s="12" customFormat="1" x14ac:dyDescent="0.25"/>
    <row r="242655" s="12" customFormat="1" x14ac:dyDescent="0.25"/>
    <row r="242656" s="12" customFormat="1" x14ac:dyDescent="0.25"/>
    <row r="242657" s="12" customFormat="1" x14ac:dyDescent="0.25"/>
    <row r="242658" s="12" customFormat="1" x14ac:dyDescent="0.25"/>
    <row r="242659" s="12" customFormat="1" x14ac:dyDescent="0.25"/>
    <row r="242660" s="12" customFormat="1" x14ac:dyDescent="0.25"/>
    <row r="242661" s="12" customFormat="1" x14ac:dyDescent="0.25"/>
    <row r="242662" s="12" customFormat="1" x14ac:dyDescent="0.25"/>
    <row r="242663" s="12" customFormat="1" x14ac:dyDescent="0.25"/>
    <row r="242664" s="12" customFormat="1" x14ac:dyDescent="0.25"/>
    <row r="242665" s="12" customFormat="1" x14ac:dyDescent="0.25"/>
    <row r="242666" s="12" customFormat="1" x14ac:dyDescent="0.25"/>
    <row r="242667" s="12" customFormat="1" x14ac:dyDescent="0.25"/>
    <row r="242668" s="12" customFormat="1" x14ac:dyDescent="0.25"/>
    <row r="242669" s="12" customFormat="1" x14ac:dyDescent="0.25"/>
    <row r="242670" s="12" customFormat="1" x14ac:dyDescent="0.25"/>
    <row r="242671" s="12" customFormat="1" x14ac:dyDescent="0.25"/>
    <row r="242672" s="12" customFormat="1" x14ac:dyDescent="0.25"/>
    <row r="242673" s="12" customFormat="1" x14ac:dyDescent="0.25"/>
    <row r="242674" s="12" customFormat="1" x14ac:dyDescent="0.25"/>
    <row r="242675" s="12" customFormat="1" x14ac:dyDescent="0.25"/>
    <row r="242676" s="12" customFormat="1" x14ac:dyDescent="0.25"/>
    <row r="242677" s="12" customFormat="1" x14ac:dyDescent="0.25"/>
    <row r="242678" s="12" customFormat="1" x14ac:dyDescent="0.25"/>
    <row r="242679" s="12" customFormat="1" x14ac:dyDescent="0.25"/>
    <row r="242680" s="12" customFormat="1" x14ac:dyDescent="0.25"/>
    <row r="242681" s="12" customFormat="1" x14ac:dyDescent="0.25"/>
    <row r="242682" s="12" customFormat="1" x14ac:dyDescent="0.25"/>
    <row r="242683" s="12" customFormat="1" x14ac:dyDescent="0.25"/>
    <row r="242684" s="12" customFormat="1" x14ac:dyDescent="0.25"/>
    <row r="242685" s="12" customFormat="1" x14ac:dyDescent="0.25"/>
    <row r="242686" s="12" customFormat="1" x14ac:dyDescent="0.25"/>
    <row r="242687" s="12" customFormat="1" x14ac:dyDescent="0.25"/>
    <row r="242688" s="12" customFormat="1" x14ac:dyDescent="0.25"/>
    <row r="242689" s="12" customFormat="1" x14ac:dyDescent="0.25"/>
    <row r="242690" s="12" customFormat="1" x14ac:dyDescent="0.25"/>
    <row r="242691" s="12" customFormat="1" x14ac:dyDescent="0.25"/>
    <row r="242692" s="12" customFormat="1" x14ac:dyDescent="0.25"/>
    <row r="242693" s="12" customFormat="1" x14ac:dyDescent="0.25"/>
    <row r="242694" s="12" customFormat="1" x14ac:dyDescent="0.25"/>
    <row r="242695" s="12" customFormat="1" x14ac:dyDescent="0.25"/>
    <row r="242696" s="12" customFormat="1" x14ac:dyDescent="0.25"/>
    <row r="242697" s="12" customFormat="1" x14ac:dyDescent="0.25"/>
    <row r="242698" s="12" customFormat="1" x14ac:dyDescent="0.25"/>
    <row r="242699" s="12" customFormat="1" x14ac:dyDescent="0.25"/>
    <row r="242700" s="12" customFormat="1" x14ac:dyDescent="0.25"/>
    <row r="242701" s="12" customFormat="1" x14ac:dyDescent="0.25"/>
    <row r="242702" s="12" customFormat="1" x14ac:dyDescent="0.25"/>
    <row r="242703" s="12" customFormat="1" x14ac:dyDescent="0.25"/>
    <row r="242704" s="12" customFormat="1" x14ac:dyDescent="0.25"/>
    <row r="242705" s="12" customFormat="1" x14ac:dyDescent="0.25"/>
    <row r="242706" s="12" customFormat="1" x14ac:dyDescent="0.25"/>
    <row r="242707" s="12" customFormat="1" x14ac:dyDescent="0.25"/>
    <row r="242708" s="12" customFormat="1" x14ac:dyDescent="0.25"/>
    <row r="242709" s="12" customFormat="1" x14ac:dyDescent="0.25"/>
    <row r="242710" s="12" customFormat="1" x14ac:dyDescent="0.25"/>
    <row r="242711" s="12" customFormat="1" x14ac:dyDescent="0.25"/>
    <row r="242712" s="12" customFormat="1" x14ac:dyDescent="0.25"/>
    <row r="242713" s="12" customFormat="1" x14ac:dyDescent="0.25"/>
    <row r="242714" s="12" customFormat="1" x14ac:dyDescent="0.25"/>
    <row r="242715" s="12" customFormat="1" x14ac:dyDescent="0.25"/>
    <row r="242716" s="12" customFormat="1" x14ac:dyDescent="0.25"/>
    <row r="242717" s="12" customFormat="1" x14ac:dyDescent="0.25"/>
    <row r="242718" s="12" customFormat="1" x14ac:dyDescent="0.25"/>
    <row r="242719" s="12" customFormat="1" x14ac:dyDescent="0.25"/>
    <row r="242720" s="12" customFormat="1" x14ac:dyDescent="0.25"/>
    <row r="242721" s="12" customFormat="1" x14ac:dyDescent="0.25"/>
    <row r="242722" s="12" customFormat="1" x14ac:dyDescent="0.25"/>
    <row r="242723" s="12" customFormat="1" x14ac:dyDescent="0.25"/>
    <row r="242724" s="12" customFormat="1" x14ac:dyDescent="0.25"/>
    <row r="242725" s="12" customFormat="1" x14ac:dyDescent="0.25"/>
    <row r="242726" s="12" customFormat="1" x14ac:dyDescent="0.25"/>
    <row r="242727" s="12" customFormat="1" x14ac:dyDescent="0.25"/>
    <row r="242728" s="12" customFormat="1" x14ac:dyDescent="0.25"/>
    <row r="242729" s="12" customFormat="1" x14ac:dyDescent="0.25"/>
    <row r="242730" s="12" customFormat="1" x14ac:dyDescent="0.25"/>
    <row r="242731" s="12" customFormat="1" x14ac:dyDescent="0.25"/>
    <row r="242732" s="12" customFormat="1" x14ac:dyDescent="0.25"/>
    <row r="242733" s="12" customFormat="1" x14ac:dyDescent="0.25"/>
    <row r="242734" s="12" customFormat="1" x14ac:dyDescent="0.25"/>
    <row r="242735" s="12" customFormat="1" x14ac:dyDescent="0.25"/>
    <row r="242736" s="12" customFormat="1" x14ac:dyDescent="0.25"/>
    <row r="242737" s="12" customFormat="1" x14ac:dyDescent="0.25"/>
    <row r="242738" s="12" customFormat="1" x14ac:dyDescent="0.25"/>
    <row r="242739" s="12" customFormat="1" x14ac:dyDescent="0.25"/>
    <row r="242740" s="12" customFormat="1" x14ac:dyDescent="0.25"/>
    <row r="242741" s="12" customFormat="1" x14ac:dyDescent="0.25"/>
    <row r="242742" s="12" customFormat="1" x14ac:dyDescent="0.25"/>
    <row r="242743" s="12" customFormat="1" x14ac:dyDescent="0.25"/>
    <row r="242744" s="12" customFormat="1" x14ac:dyDescent="0.25"/>
    <row r="242745" s="12" customFormat="1" x14ac:dyDescent="0.25"/>
    <row r="242746" s="12" customFormat="1" x14ac:dyDescent="0.25"/>
    <row r="242747" s="12" customFormat="1" x14ac:dyDescent="0.25"/>
    <row r="242748" s="12" customFormat="1" x14ac:dyDescent="0.25"/>
    <row r="242749" s="12" customFormat="1" x14ac:dyDescent="0.25"/>
    <row r="242750" s="12" customFormat="1" x14ac:dyDescent="0.25"/>
    <row r="242751" s="12" customFormat="1" x14ac:dyDescent="0.25"/>
    <row r="242752" s="12" customFormat="1" x14ac:dyDescent="0.25"/>
    <row r="242753" s="12" customFormat="1" x14ac:dyDescent="0.25"/>
    <row r="242754" s="12" customFormat="1" x14ac:dyDescent="0.25"/>
    <row r="242755" s="12" customFormat="1" x14ac:dyDescent="0.25"/>
    <row r="242756" s="12" customFormat="1" x14ac:dyDescent="0.25"/>
    <row r="242757" s="12" customFormat="1" x14ac:dyDescent="0.25"/>
    <row r="242758" s="12" customFormat="1" x14ac:dyDescent="0.25"/>
    <row r="242759" s="12" customFormat="1" x14ac:dyDescent="0.25"/>
    <row r="242760" s="12" customFormat="1" x14ac:dyDescent="0.25"/>
    <row r="242761" s="12" customFormat="1" x14ac:dyDescent="0.25"/>
    <row r="242762" s="12" customFormat="1" x14ac:dyDescent="0.25"/>
    <row r="242763" s="12" customFormat="1" x14ac:dyDescent="0.25"/>
    <row r="242764" s="12" customFormat="1" x14ac:dyDescent="0.25"/>
    <row r="242765" s="12" customFormat="1" x14ac:dyDescent="0.25"/>
    <row r="242766" s="12" customFormat="1" x14ac:dyDescent="0.25"/>
    <row r="242767" s="12" customFormat="1" x14ac:dyDescent="0.25"/>
    <row r="242768" s="12" customFormat="1" x14ac:dyDescent="0.25"/>
    <row r="242769" s="12" customFormat="1" x14ac:dyDescent="0.25"/>
    <row r="242770" s="12" customFormat="1" x14ac:dyDescent="0.25"/>
    <row r="242771" s="12" customFormat="1" x14ac:dyDescent="0.25"/>
    <row r="242772" s="12" customFormat="1" x14ac:dyDescent="0.25"/>
    <row r="242773" s="12" customFormat="1" x14ac:dyDescent="0.25"/>
    <row r="242774" s="12" customFormat="1" x14ac:dyDescent="0.25"/>
    <row r="242775" s="12" customFormat="1" x14ac:dyDescent="0.25"/>
    <row r="242776" s="12" customFormat="1" x14ac:dyDescent="0.25"/>
    <row r="242777" s="12" customFormat="1" x14ac:dyDescent="0.25"/>
    <row r="242778" s="12" customFormat="1" x14ac:dyDescent="0.25"/>
    <row r="242779" s="12" customFormat="1" x14ac:dyDescent="0.25"/>
    <row r="242780" s="12" customFormat="1" x14ac:dyDescent="0.25"/>
    <row r="242781" s="12" customFormat="1" x14ac:dyDescent="0.25"/>
    <row r="242782" s="12" customFormat="1" x14ac:dyDescent="0.25"/>
    <row r="242783" s="12" customFormat="1" x14ac:dyDescent="0.25"/>
    <row r="242784" s="12" customFormat="1" x14ac:dyDescent="0.25"/>
    <row r="242785" s="12" customFormat="1" x14ac:dyDescent="0.25"/>
    <row r="242786" s="12" customFormat="1" x14ac:dyDescent="0.25"/>
    <row r="242787" s="12" customFormat="1" x14ac:dyDescent="0.25"/>
    <row r="242788" s="12" customFormat="1" x14ac:dyDescent="0.25"/>
    <row r="242789" s="12" customFormat="1" x14ac:dyDescent="0.25"/>
    <row r="242790" s="12" customFormat="1" x14ac:dyDescent="0.25"/>
    <row r="242791" s="12" customFormat="1" x14ac:dyDescent="0.25"/>
    <row r="242792" s="12" customFormat="1" x14ac:dyDescent="0.25"/>
    <row r="242793" s="12" customFormat="1" x14ac:dyDescent="0.25"/>
    <row r="242794" s="12" customFormat="1" x14ac:dyDescent="0.25"/>
    <row r="242795" s="12" customFormat="1" x14ac:dyDescent="0.25"/>
    <row r="242796" s="12" customFormat="1" x14ac:dyDescent="0.25"/>
    <row r="242797" s="12" customFormat="1" x14ac:dyDescent="0.25"/>
    <row r="242798" s="12" customFormat="1" x14ac:dyDescent="0.25"/>
    <row r="242799" s="12" customFormat="1" x14ac:dyDescent="0.25"/>
    <row r="242800" s="12" customFormat="1" x14ac:dyDescent="0.25"/>
    <row r="242801" s="12" customFormat="1" x14ac:dyDescent="0.25"/>
    <row r="242802" s="12" customFormat="1" x14ac:dyDescent="0.25"/>
    <row r="242803" s="12" customFormat="1" x14ac:dyDescent="0.25"/>
    <row r="242804" s="12" customFormat="1" x14ac:dyDescent="0.25"/>
    <row r="242805" s="12" customFormat="1" x14ac:dyDescent="0.25"/>
    <row r="242806" s="12" customFormat="1" x14ac:dyDescent="0.25"/>
    <row r="242807" s="12" customFormat="1" x14ac:dyDescent="0.25"/>
    <row r="242808" s="12" customFormat="1" x14ac:dyDescent="0.25"/>
    <row r="242809" s="12" customFormat="1" x14ac:dyDescent="0.25"/>
    <row r="242810" s="12" customFormat="1" x14ac:dyDescent="0.25"/>
    <row r="242811" s="12" customFormat="1" x14ac:dyDescent="0.25"/>
    <row r="242812" s="12" customFormat="1" x14ac:dyDescent="0.25"/>
    <row r="242813" s="12" customFormat="1" x14ac:dyDescent="0.25"/>
    <row r="242814" s="12" customFormat="1" x14ac:dyDescent="0.25"/>
    <row r="242815" s="12" customFormat="1" x14ac:dyDescent="0.25"/>
    <row r="242816" s="12" customFormat="1" x14ac:dyDescent="0.25"/>
    <row r="242817" s="12" customFormat="1" x14ac:dyDescent="0.25"/>
    <row r="242818" s="12" customFormat="1" x14ac:dyDescent="0.25"/>
    <row r="242819" s="12" customFormat="1" x14ac:dyDescent="0.25"/>
    <row r="242820" s="12" customFormat="1" x14ac:dyDescent="0.25"/>
    <row r="242821" s="12" customFormat="1" x14ac:dyDescent="0.25"/>
    <row r="242822" s="12" customFormat="1" x14ac:dyDescent="0.25"/>
    <row r="242823" s="12" customFormat="1" x14ac:dyDescent="0.25"/>
    <row r="242824" s="12" customFormat="1" x14ac:dyDescent="0.25"/>
    <row r="242825" s="12" customFormat="1" x14ac:dyDescent="0.25"/>
    <row r="242826" s="12" customFormat="1" x14ac:dyDescent="0.25"/>
    <row r="242827" s="12" customFormat="1" x14ac:dyDescent="0.25"/>
    <row r="242828" s="12" customFormat="1" x14ac:dyDescent="0.25"/>
    <row r="242829" s="12" customFormat="1" x14ac:dyDescent="0.25"/>
    <row r="242830" s="12" customFormat="1" x14ac:dyDescent="0.25"/>
    <row r="242831" s="12" customFormat="1" x14ac:dyDescent="0.25"/>
    <row r="242832" s="12" customFormat="1" x14ac:dyDescent="0.25"/>
    <row r="242833" s="12" customFormat="1" x14ac:dyDescent="0.25"/>
    <row r="242834" s="12" customFormat="1" x14ac:dyDescent="0.25"/>
    <row r="242835" s="12" customFormat="1" x14ac:dyDescent="0.25"/>
    <row r="242836" s="12" customFormat="1" x14ac:dyDescent="0.25"/>
    <row r="242837" s="12" customFormat="1" x14ac:dyDescent="0.25"/>
    <row r="242838" s="12" customFormat="1" x14ac:dyDescent="0.25"/>
    <row r="242839" s="12" customFormat="1" x14ac:dyDescent="0.25"/>
    <row r="242840" s="12" customFormat="1" x14ac:dyDescent="0.25"/>
    <row r="242841" s="12" customFormat="1" x14ac:dyDescent="0.25"/>
    <row r="242842" s="12" customFormat="1" x14ac:dyDescent="0.25"/>
    <row r="242843" s="12" customFormat="1" x14ac:dyDescent="0.25"/>
    <row r="242844" s="12" customFormat="1" x14ac:dyDescent="0.25"/>
    <row r="242845" s="12" customFormat="1" x14ac:dyDescent="0.25"/>
    <row r="242846" s="12" customFormat="1" x14ac:dyDescent="0.25"/>
    <row r="242847" s="12" customFormat="1" x14ac:dyDescent="0.25"/>
    <row r="242848" s="12" customFormat="1" x14ac:dyDescent="0.25"/>
    <row r="242849" s="12" customFormat="1" x14ac:dyDescent="0.25"/>
    <row r="242850" s="12" customFormat="1" x14ac:dyDescent="0.25"/>
    <row r="242851" s="12" customFormat="1" x14ac:dyDescent="0.25"/>
    <row r="242852" s="12" customFormat="1" x14ac:dyDescent="0.25"/>
    <row r="242853" s="12" customFormat="1" x14ac:dyDescent="0.25"/>
    <row r="242854" s="12" customFormat="1" x14ac:dyDescent="0.25"/>
    <row r="242855" s="12" customFormat="1" x14ac:dyDescent="0.25"/>
    <row r="242856" s="12" customFormat="1" x14ac:dyDescent="0.25"/>
    <row r="242857" s="12" customFormat="1" x14ac:dyDescent="0.25"/>
    <row r="242858" s="12" customFormat="1" x14ac:dyDescent="0.25"/>
    <row r="242859" s="12" customFormat="1" x14ac:dyDescent="0.25"/>
    <row r="242860" s="12" customFormat="1" x14ac:dyDescent="0.25"/>
    <row r="242861" s="12" customFormat="1" x14ac:dyDescent="0.25"/>
    <row r="242862" s="12" customFormat="1" x14ac:dyDescent="0.25"/>
    <row r="242863" s="12" customFormat="1" x14ac:dyDescent="0.25"/>
    <row r="242864" s="12" customFormat="1" x14ac:dyDescent="0.25"/>
    <row r="242865" s="12" customFormat="1" x14ac:dyDescent="0.25"/>
    <row r="242866" s="12" customFormat="1" x14ac:dyDescent="0.25"/>
    <row r="242867" s="12" customFormat="1" x14ac:dyDescent="0.25"/>
    <row r="242868" s="12" customFormat="1" x14ac:dyDescent="0.25"/>
    <row r="242869" s="12" customFormat="1" x14ac:dyDescent="0.25"/>
    <row r="242870" s="12" customFormat="1" x14ac:dyDescent="0.25"/>
    <row r="242871" s="12" customFormat="1" x14ac:dyDescent="0.25"/>
    <row r="242872" s="12" customFormat="1" x14ac:dyDescent="0.25"/>
    <row r="242873" s="12" customFormat="1" x14ac:dyDescent="0.25"/>
    <row r="242874" s="12" customFormat="1" x14ac:dyDescent="0.25"/>
    <row r="242875" s="12" customFormat="1" x14ac:dyDescent="0.25"/>
    <row r="242876" s="12" customFormat="1" x14ac:dyDescent="0.25"/>
    <row r="242877" s="12" customFormat="1" x14ac:dyDescent="0.25"/>
    <row r="242878" s="12" customFormat="1" x14ac:dyDescent="0.25"/>
    <row r="242879" s="12" customFormat="1" x14ac:dyDescent="0.25"/>
    <row r="242880" s="12" customFormat="1" x14ac:dyDescent="0.25"/>
    <row r="242881" s="12" customFormat="1" x14ac:dyDescent="0.25"/>
    <row r="242882" s="12" customFormat="1" x14ac:dyDescent="0.25"/>
    <row r="242883" s="12" customFormat="1" x14ac:dyDescent="0.25"/>
    <row r="242884" s="12" customFormat="1" x14ac:dyDescent="0.25"/>
    <row r="242885" s="12" customFormat="1" x14ac:dyDescent="0.25"/>
    <row r="242886" s="12" customFormat="1" x14ac:dyDescent="0.25"/>
    <row r="242887" s="12" customFormat="1" x14ac:dyDescent="0.25"/>
    <row r="242888" s="12" customFormat="1" x14ac:dyDescent="0.25"/>
    <row r="242889" s="12" customFormat="1" x14ac:dyDescent="0.25"/>
    <row r="242890" s="12" customFormat="1" x14ac:dyDescent="0.25"/>
    <row r="242891" s="12" customFormat="1" x14ac:dyDescent="0.25"/>
    <row r="242892" s="12" customFormat="1" x14ac:dyDescent="0.25"/>
    <row r="242893" s="12" customFormat="1" x14ac:dyDescent="0.25"/>
    <row r="242894" s="12" customFormat="1" x14ac:dyDescent="0.25"/>
    <row r="242895" s="12" customFormat="1" x14ac:dyDescent="0.25"/>
    <row r="242896" s="12" customFormat="1" x14ac:dyDescent="0.25"/>
    <row r="242897" s="12" customFormat="1" x14ac:dyDescent="0.25"/>
    <row r="242898" s="12" customFormat="1" x14ac:dyDescent="0.25"/>
    <row r="242899" s="12" customFormat="1" x14ac:dyDescent="0.25"/>
    <row r="242900" s="12" customFormat="1" x14ac:dyDescent="0.25"/>
    <row r="242901" s="12" customFormat="1" x14ac:dyDescent="0.25"/>
    <row r="242902" s="12" customFormat="1" x14ac:dyDescent="0.25"/>
    <row r="242903" s="12" customFormat="1" x14ac:dyDescent="0.25"/>
    <row r="242904" s="12" customFormat="1" x14ac:dyDescent="0.25"/>
    <row r="242905" s="12" customFormat="1" x14ac:dyDescent="0.25"/>
    <row r="242906" s="12" customFormat="1" x14ac:dyDescent="0.25"/>
    <row r="242907" s="12" customFormat="1" x14ac:dyDescent="0.25"/>
    <row r="242908" s="12" customFormat="1" x14ac:dyDescent="0.25"/>
    <row r="242909" s="12" customFormat="1" x14ac:dyDescent="0.25"/>
    <row r="242910" s="12" customFormat="1" x14ac:dyDescent="0.25"/>
    <row r="242911" s="12" customFormat="1" x14ac:dyDescent="0.25"/>
    <row r="242912" s="12" customFormat="1" x14ac:dyDescent="0.25"/>
    <row r="242913" s="12" customFormat="1" x14ac:dyDescent="0.25"/>
    <row r="242914" s="12" customFormat="1" x14ac:dyDescent="0.25"/>
    <row r="242915" s="12" customFormat="1" x14ac:dyDescent="0.25"/>
    <row r="242916" s="12" customFormat="1" x14ac:dyDescent="0.25"/>
    <row r="242917" s="12" customFormat="1" x14ac:dyDescent="0.25"/>
    <row r="242918" s="12" customFormat="1" x14ac:dyDescent="0.25"/>
    <row r="242919" s="12" customFormat="1" x14ac:dyDescent="0.25"/>
    <row r="242920" s="12" customFormat="1" x14ac:dyDescent="0.25"/>
    <row r="242921" s="12" customFormat="1" x14ac:dyDescent="0.25"/>
    <row r="242922" s="12" customFormat="1" x14ac:dyDescent="0.25"/>
    <row r="242923" s="12" customFormat="1" x14ac:dyDescent="0.25"/>
    <row r="242924" s="12" customFormat="1" x14ac:dyDescent="0.25"/>
    <row r="242925" s="12" customFormat="1" x14ac:dyDescent="0.25"/>
    <row r="242926" s="12" customFormat="1" x14ac:dyDescent="0.25"/>
    <row r="242927" s="12" customFormat="1" x14ac:dyDescent="0.25"/>
    <row r="242928" s="12" customFormat="1" x14ac:dyDescent="0.25"/>
    <row r="242929" s="12" customFormat="1" x14ac:dyDescent="0.25"/>
    <row r="242930" s="12" customFormat="1" x14ac:dyDescent="0.25"/>
    <row r="242931" s="12" customFormat="1" x14ac:dyDescent="0.25"/>
    <row r="242932" s="12" customFormat="1" x14ac:dyDescent="0.25"/>
    <row r="242933" s="12" customFormat="1" x14ac:dyDescent="0.25"/>
    <row r="242934" s="12" customFormat="1" x14ac:dyDescent="0.25"/>
    <row r="242935" s="12" customFormat="1" x14ac:dyDescent="0.25"/>
    <row r="242936" s="12" customFormat="1" x14ac:dyDescent="0.25"/>
    <row r="242937" s="12" customFormat="1" x14ac:dyDescent="0.25"/>
    <row r="242938" s="12" customFormat="1" x14ac:dyDescent="0.25"/>
    <row r="242939" s="12" customFormat="1" x14ac:dyDescent="0.25"/>
    <row r="242940" s="12" customFormat="1" x14ac:dyDescent="0.25"/>
    <row r="242941" s="12" customFormat="1" x14ac:dyDescent="0.25"/>
    <row r="242942" s="12" customFormat="1" x14ac:dyDescent="0.25"/>
    <row r="242943" s="12" customFormat="1" x14ac:dyDescent="0.25"/>
    <row r="242944" s="12" customFormat="1" x14ac:dyDescent="0.25"/>
    <row r="242945" s="12" customFormat="1" x14ac:dyDescent="0.25"/>
    <row r="242946" s="12" customFormat="1" x14ac:dyDescent="0.25"/>
    <row r="242947" s="12" customFormat="1" x14ac:dyDescent="0.25"/>
    <row r="242948" s="12" customFormat="1" x14ac:dyDescent="0.25"/>
    <row r="242949" s="12" customFormat="1" x14ac:dyDescent="0.25"/>
    <row r="242950" s="12" customFormat="1" x14ac:dyDescent="0.25"/>
    <row r="242951" s="12" customFormat="1" x14ac:dyDescent="0.25"/>
    <row r="242952" s="12" customFormat="1" x14ac:dyDescent="0.25"/>
    <row r="242953" s="12" customFormat="1" x14ac:dyDescent="0.25"/>
    <row r="242954" s="12" customFormat="1" x14ac:dyDescent="0.25"/>
    <row r="242955" s="12" customFormat="1" x14ac:dyDescent="0.25"/>
    <row r="242956" s="12" customFormat="1" x14ac:dyDescent="0.25"/>
    <row r="242957" s="12" customFormat="1" x14ac:dyDescent="0.25"/>
    <row r="242958" s="12" customFormat="1" x14ac:dyDescent="0.25"/>
    <row r="242959" s="12" customFormat="1" x14ac:dyDescent="0.25"/>
    <row r="242960" s="12" customFormat="1" x14ac:dyDescent="0.25"/>
    <row r="242961" s="12" customFormat="1" x14ac:dyDescent="0.25"/>
    <row r="242962" s="12" customFormat="1" x14ac:dyDescent="0.25"/>
    <row r="242963" s="12" customFormat="1" x14ac:dyDescent="0.25"/>
    <row r="242964" s="12" customFormat="1" x14ac:dyDescent="0.25"/>
    <row r="242965" s="12" customFormat="1" x14ac:dyDescent="0.25"/>
    <row r="242966" s="12" customFormat="1" x14ac:dyDescent="0.25"/>
    <row r="242967" s="12" customFormat="1" x14ac:dyDescent="0.25"/>
    <row r="242968" s="12" customFormat="1" x14ac:dyDescent="0.25"/>
    <row r="242969" s="12" customFormat="1" x14ac:dyDescent="0.25"/>
    <row r="242970" s="12" customFormat="1" x14ac:dyDescent="0.25"/>
    <row r="242971" s="12" customFormat="1" x14ac:dyDescent="0.25"/>
    <row r="242972" s="12" customFormat="1" x14ac:dyDescent="0.25"/>
    <row r="242973" s="12" customFormat="1" x14ac:dyDescent="0.25"/>
    <row r="242974" s="12" customFormat="1" x14ac:dyDescent="0.25"/>
    <row r="242975" s="12" customFormat="1" x14ac:dyDescent="0.25"/>
    <row r="242976" s="12" customFormat="1" x14ac:dyDescent="0.25"/>
    <row r="242977" s="12" customFormat="1" x14ac:dyDescent="0.25"/>
    <row r="242978" s="12" customFormat="1" x14ac:dyDescent="0.25"/>
    <row r="242979" s="12" customFormat="1" x14ac:dyDescent="0.25"/>
    <row r="242980" s="12" customFormat="1" x14ac:dyDescent="0.25"/>
    <row r="242981" s="12" customFormat="1" x14ac:dyDescent="0.25"/>
    <row r="242982" s="12" customFormat="1" x14ac:dyDescent="0.25"/>
    <row r="242983" s="12" customFormat="1" x14ac:dyDescent="0.25"/>
    <row r="242984" s="12" customFormat="1" x14ac:dyDescent="0.25"/>
    <row r="242985" s="12" customFormat="1" x14ac:dyDescent="0.25"/>
    <row r="242986" s="12" customFormat="1" x14ac:dyDescent="0.25"/>
    <row r="242987" s="12" customFormat="1" x14ac:dyDescent="0.25"/>
    <row r="242988" s="12" customFormat="1" x14ac:dyDescent="0.25"/>
    <row r="242989" s="12" customFormat="1" x14ac:dyDescent="0.25"/>
    <row r="242990" s="12" customFormat="1" x14ac:dyDescent="0.25"/>
    <row r="242991" s="12" customFormat="1" x14ac:dyDescent="0.25"/>
    <row r="242992" s="12" customFormat="1" x14ac:dyDescent="0.25"/>
    <row r="242993" s="12" customFormat="1" x14ac:dyDescent="0.25"/>
    <row r="242994" s="12" customFormat="1" x14ac:dyDescent="0.25"/>
    <row r="242995" s="12" customFormat="1" x14ac:dyDescent="0.25"/>
    <row r="242996" s="12" customFormat="1" x14ac:dyDescent="0.25"/>
    <row r="242997" s="12" customFormat="1" x14ac:dyDescent="0.25"/>
    <row r="242998" s="12" customFormat="1" x14ac:dyDescent="0.25"/>
    <row r="242999" s="12" customFormat="1" x14ac:dyDescent="0.25"/>
    <row r="243000" s="12" customFormat="1" x14ac:dyDescent="0.25"/>
    <row r="243001" s="12" customFormat="1" x14ac:dyDescent="0.25"/>
    <row r="243002" s="12" customFormat="1" x14ac:dyDescent="0.25"/>
    <row r="243003" s="12" customFormat="1" x14ac:dyDescent="0.25"/>
    <row r="243004" s="12" customFormat="1" x14ac:dyDescent="0.25"/>
    <row r="243005" s="12" customFormat="1" x14ac:dyDescent="0.25"/>
    <row r="243006" s="12" customFormat="1" x14ac:dyDescent="0.25"/>
    <row r="243007" s="12" customFormat="1" x14ac:dyDescent="0.25"/>
    <row r="243008" s="12" customFormat="1" x14ac:dyDescent="0.25"/>
    <row r="243009" s="12" customFormat="1" x14ac:dyDescent="0.25"/>
    <row r="243010" s="12" customFormat="1" x14ac:dyDescent="0.25"/>
    <row r="243011" s="12" customFormat="1" x14ac:dyDescent="0.25"/>
    <row r="243012" s="12" customFormat="1" x14ac:dyDescent="0.25"/>
    <row r="243013" s="12" customFormat="1" x14ac:dyDescent="0.25"/>
    <row r="243014" s="12" customFormat="1" x14ac:dyDescent="0.25"/>
    <row r="243015" s="12" customFormat="1" x14ac:dyDescent="0.25"/>
    <row r="243016" s="12" customFormat="1" x14ac:dyDescent="0.25"/>
    <row r="243017" s="12" customFormat="1" x14ac:dyDescent="0.25"/>
    <row r="243018" s="12" customFormat="1" x14ac:dyDescent="0.25"/>
    <row r="243019" s="12" customFormat="1" x14ac:dyDescent="0.25"/>
    <row r="243020" s="12" customFormat="1" x14ac:dyDescent="0.25"/>
    <row r="243021" s="12" customFormat="1" x14ac:dyDescent="0.25"/>
    <row r="243022" s="12" customFormat="1" x14ac:dyDescent="0.25"/>
    <row r="243023" s="12" customFormat="1" x14ac:dyDescent="0.25"/>
    <row r="243024" s="12" customFormat="1" x14ac:dyDescent="0.25"/>
    <row r="243025" s="12" customFormat="1" x14ac:dyDescent="0.25"/>
    <row r="243026" s="12" customFormat="1" x14ac:dyDescent="0.25"/>
    <row r="243027" s="12" customFormat="1" x14ac:dyDescent="0.25"/>
    <row r="243028" s="12" customFormat="1" x14ac:dyDescent="0.25"/>
    <row r="243029" s="12" customFormat="1" x14ac:dyDescent="0.25"/>
    <row r="243030" s="12" customFormat="1" x14ac:dyDescent="0.25"/>
    <row r="243031" s="12" customFormat="1" x14ac:dyDescent="0.25"/>
    <row r="243032" s="12" customFormat="1" x14ac:dyDescent="0.25"/>
    <row r="243033" s="12" customFormat="1" x14ac:dyDescent="0.25"/>
    <row r="243034" s="12" customFormat="1" x14ac:dyDescent="0.25"/>
    <row r="243035" s="12" customFormat="1" x14ac:dyDescent="0.25"/>
    <row r="243036" s="12" customFormat="1" x14ac:dyDescent="0.25"/>
    <row r="243037" s="12" customFormat="1" x14ac:dyDescent="0.25"/>
    <row r="243038" s="12" customFormat="1" x14ac:dyDescent="0.25"/>
    <row r="243039" s="12" customFormat="1" x14ac:dyDescent="0.25"/>
    <row r="243040" s="12" customFormat="1" x14ac:dyDescent="0.25"/>
    <row r="243041" s="12" customFormat="1" x14ac:dyDescent="0.25"/>
    <row r="243042" s="12" customFormat="1" x14ac:dyDescent="0.25"/>
    <row r="243043" s="12" customFormat="1" x14ac:dyDescent="0.25"/>
    <row r="243044" s="12" customFormat="1" x14ac:dyDescent="0.25"/>
    <row r="243045" s="12" customFormat="1" x14ac:dyDescent="0.25"/>
    <row r="243046" s="12" customFormat="1" x14ac:dyDescent="0.25"/>
    <row r="243047" s="12" customFormat="1" x14ac:dyDescent="0.25"/>
    <row r="243048" s="12" customFormat="1" x14ac:dyDescent="0.25"/>
    <row r="243049" s="12" customFormat="1" x14ac:dyDescent="0.25"/>
    <row r="243050" s="12" customFormat="1" x14ac:dyDescent="0.25"/>
    <row r="243051" s="12" customFormat="1" x14ac:dyDescent="0.25"/>
    <row r="243052" s="12" customFormat="1" x14ac:dyDescent="0.25"/>
    <row r="243053" s="12" customFormat="1" x14ac:dyDescent="0.25"/>
    <row r="243054" s="12" customFormat="1" x14ac:dyDescent="0.25"/>
    <row r="243055" s="12" customFormat="1" x14ac:dyDescent="0.25"/>
    <row r="243056" s="12" customFormat="1" x14ac:dyDescent="0.25"/>
    <row r="243057" s="12" customFormat="1" x14ac:dyDescent="0.25"/>
    <row r="243058" s="12" customFormat="1" x14ac:dyDescent="0.25"/>
    <row r="243059" s="12" customFormat="1" x14ac:dyDescent="0.25"/>
    <row r="243060" s="12" customFormat="1" x14ac:dyDescent="0.25"/>
    <row r="243061" s="12" customFormat="1" x14ac:dyDescent="0.25"/>
    <row r="243062" s="12" customFormat="1" x14ac:dyDescent="0.25"/>
    <row r="243063" s="12" customFormat="1" x14ac:dyDescent="0.25"/>
    <row r="243064" s="12" customFormat="1" x14ac:dyDescent="0.25"/>
    <row r="243065" s="12" customFormat="1" x14ac:dyDescent="0.25"/>
    <row r="243066" s="12" customFormat="1" x14ac:dyDescent="0.25"/>
    <row r="243067" s="12" customFormat="1" x14ac:dyDescent="0.25"/>
    <row r="243068" s="12" customFormat="1" x14ac:dyDescent="0.25"/>
    <row r="243069" s="12" customFormat="1" x14ac:dyDescent="0.25"/>
    <row r="243070" s="12" customFormat="1" x14ac:dyDescent="0.25"/>
    <row r="243071" s="12" customFormat="1" x14ac:dyDescent="0.25"/>
    <row r="243072" s="12" customFormat="1" x14ac:dyDescent="0.25"/>
    <row r="243073" s="12" customFormat="1" x14ac:dyDescent="0.25"/>
    <row r="243074" s="12" customFormat="1" x14ac:dyDescent="0.25"/>
    <row r="243075" s="12" customFormat="1" x14ac:dyDescent="0.25"/>
    <row r="243076" s="12" customFormat="1" x14ac:dyDescent="0.25"/>
    <row r="243077" s="12" customFormat="1" x14ac:dyDescent="0.25"/>
    <row r="243078" s="12" customFormat="1" x14ac:dyDescent="0.25"/>
    <row r="243079" s="12" customFormat="1" x14ac:dyDescent="0.25"/>
    <row r="243080" s="12" customFormat="1" x14ac:dyDescent="0.25"/>
    <row r="243081" s="12" customFormat="1" x14ac:dyDescent="0.25"/>
    <row r="243082" s="12" customFormat="1" x14ac:dyDescent="0.25"/>
    <row r="243083" s="12" customFormat="1" x14ac:dyDescent="0.25"/>
    <row r="243084" s="12" customFormat="1" x14ac:dyDescent="0.25"/>
    <row r="243085" s="12" customFormat="1" x14ac:dyDescent="0.25"/>
    <row r="243086" s="12" customFormat="1" x14ac:dyDescent="0.25"/>
    <row r="243087" s="12" customFormat="1" x14ac:dyDescent="0.25"/>
    <row r="243088" s="12" customFormat="1" x14ac:dyDescent="0.25"/>
    <row r="243089" s="12" customFormat="1" x14ac:dyDescent="0.25"/>
    <row r="243090" s="12" customFormat="1" x14ac:dyDescent="0.25"/>
    <row r="243091" s="12" customFormat="1" x14ac:dyDescent="0.25"/>
    <row r="243092" s="12" customFormat="1" x14ac:dyDescent="0.25"/>
    <row r="243093" s="12" customFormat="1" x14ac:dyDescent="0.25"/>
    <row r="243094" s="12" customFormat="1" x14ac:dyDescent="0.25"/>
    <row r="243095" s="12" customFormat="1" x14ac:dyDescent="0.25"/>
    <row r="243096" s="12" customFormat="1" x14ac:dyDescent="0.25"/>
    <row r="243097" s="12" customFormat="1" x14ac:dyDescent="0.25"/>
    <row r="243098" s="12" customFormat="1" x14ac:dyDescent="0.25"/>
    <row r="243099" s="12" customFormat="1" x14ac:dyDescent="0.25"/>
    <row r="243100" s="12" customFormat="1" x14ac:dyDescent="0.25"/>
    <row r="243101" s="12" customFormat="1" x14ac:dyDescent="0.25"/>
    <row r="243102" s="12" customFormat="1" x14ac:dyDescent="0.25"/>
    <row r="243103" s="12" customFormat="1" x14ac:dyDescent="0.25"/>
    <row r="243104" s="12" customFormat="1" x14ac:dyDescent="0.25"/>
    <row r="243105" s="12" customFormat="1" x14ac:dyDescent="0.25"/>
    <row r="243106" s="12" customFormat="1" x14ac:dyDescent="0.25"/>
    <row r="243107" s="12" customFormat="1" x14ac:dyDescent="0.25"/>
    <row r="243108" s="12" customFormat="1" x14ac:dyDescent="0.25"/>
    <row r="243109" s="12" customFormat="1" x14ac:dyDescent="0.25"/>
    <row r="243110" s="12" customFormat="1" x14ac:dyDescent="0.25"/>
    <row r="243111" s="12" customFormat="1" x14ac:dyDescent="0.25"/>
    <row r="243112" s="12" customFormat="1" x14ac:dyDescent="0.25"/>
    <row r="243113" s="12" customFormat="1" x14ac:dyDescent="0.25"/>
    <row r="243114" s="12" customFormat="1" x14ac:dyDescent="0.25"/>
    <row r="243115" s="12" customFormat="1" x14ac:dyDescent="0.25"/>
    <row r="243116" s="12" customFormat="1" x14ac:dyDescent="0.25"/>
    <row r="243117" s="12" customFormat="1" x14ac:dyDescent="0.25"/>
    <row r="243118" s="12" customFormat="1" x14ac:dyDescent="0.25"/>
    <row r="243119" s="12" customFormat="1" x14ac:dyDescent="0.25"/>
    <row r="243120" s="12" customFormat="1" x14ac:dyDescent="0.25"/>
    <row r="243121" s="12" customFormat="1" x14ac:dyDescent="0.25"/>
    <row r="243122" s="12" customFormat="1" x14ac:dyDescent="0.25"/>
    <row r="243123" s="12" customFormat="1" x14ac:dyDescent="0.25"/>
    <row r="243124" s="12" customFormat="1" x14ac:dyDescent="0.25"/>
    <row r="243125" s="12" customFormat="1" x14ac:dyDescent="0.25"/>
    <row r="243126" s="12" customFormat="1" x14ac:dyDescent="0.25"/>
    <row r="243127" s="12" customFormat="1" x14ac:dyDescent="0.25"/>
    <row r="243128" s="12" customFormat="1" x14ac:dyDescent="0.25"/>
    <row r="243129" s="12" customFormat="1" x14ac:dyDescent="0.25"/>
    <row r="243130" s="12" customFormat="1" x14ac:dyDescent="0.25"/>
    <row r="243131" s="12" customFormat="1" x14ac:dyDescent="0.25"/>
    <row r="243132" s="12" customFormat="1" x14ac:dyDescent="0.25"/>
    <row r="243133" s="12" customFormat="1" x14ac:dyDescent="0.25"/>
    <row r="243134" s="12" customFormat="1" x14ac:dyDescent="0.25"/>
    <row r="243135" s="12" customFormat="1" x14ac:dyDescent="0.25"/>
    <row r="243136" s="12" customFormat="1" x14ac:dyDescent="0.25"/>
    <row r="243137" s="12" customFormat="1" x14ac:dyDescent="0.25"/>
    <row r="243138" s="12" customFormat="1" x14ac:dyDescent="0.25"/>
    <row r="243139" s="12" customFormat="1" x14ac:dyDescent="0.25"/>
    <row r="243140" s="12" customFormat="1" x14ac:dyDescent="0.25"/>
    <row r="243141" s="12" customFormat="1" x14ac:dyDescent="0.25"/>
    <row r="243142" s="12" customFormat="1" x14ac:dyDescent="0.25"/>
    <row r="243143" s="12" customFormat="1" x14ac:dyDescent="0.25"/>
    <row r="243144" s="12" customFormat="1" x14ac:dyDescent="0.25"/>
    <row r="243145" s="12" customFormat="1" x14ac:dyDescent="0.25"/>
    <row r="243146" s="12" customFormat="1" x14ac:dyDescent="0.25"/>
    <row r="243147" s="12" customFormat="1" x14ac:dyDescent="0.25"/>
    <row r="243148" s="12" customFormat="1" x14ac:dyDescent="0.25"/>
    <row r="243149" s="12" customFormat="1" x14ac:dyDescent="0.25"/>
    <row r="243150" s="12" customFormat="1" x14ac:dyDescent="0.25"/>
    <row r="243151" s="12" customFormat="1" x14ac:dyDescent="0.25"/>
    <row r="243152" s="12" customFormat="1" x14ac:dyDescent="0.25"/>
    <row r="243153" s="12" customFormat="1" x14ac:dyDescent="0.25"/>
    <row r="243154" s="12" customFormat="1" x14ac:dyDescent="0.25"/>
    <row r="243155" s="12" customFormat="1" x14ac:dyDescent="0.25"/>
    <row r="243156" s="12" customFormat="1" x14ac:dyDescent="0.25"/>
    <row r="243157" s="12" customFormat="1" x14ac:dyDescent="0.25"/>
    <row r="243158" s="12" customFormat="1" x14ac:dyDescent="0.25"/>
    <row r="243159" s="12" customFormat="1" x14ac:dyDescent="0.25"/>
    <row r="243160" s="12" customFormat="1" x14ac:dyDescent="0.25"/>
    <row r="243161" s="12" customFormat="1" x14ac:dyDescent="0.25"/>
    <row r="243162" s="12" customFormat="1" x14ac:dyDescent="0.25"/>
    <row r="243163" s="12" customFormat="1" x14ac:dyDescent="0.25"/>
    <row r="243164" s="12" customFormat="1" x14ac:dyDescent="0.25"/>
    <row r="243165" s="12" customFormat="1" x14ac:dyDescent="0.25"/>
    <row r="243166" s="12" customFormat="1" x14ac:dyDescent="0.25"/>
    <row r="243167" s="12" customFormat="1" x14ac:dyDescent="0.25"/>
    <row r="243168" s="12" customFormat="1" x14ac:dyDescent="0.25"/>
    <row r="243169" s="12" customFormat="1" x14ac:dyDescent="0.25"/>
    <row r="243170" s="12" customFormat="1" x14ac:dyDescent="0.25"/>
    <row r="243171" s="12" customFormat="1" x14ac:dyDescent="0.25"/>
    <row r="243172" s="12" customFormat="1" x14ac:dyDescent="0.25"/>
    <row r="243173" s="12" customFormat="1" x14ac:dyDescent="0.25"/>
    <row r="243174" s="12" customFormat="1" x14ac:dyDescent="0.25"/>
    <row r="243175" s="12" customFormat="1" x14ac:dyDescent="0.25"/>
    <row r="243176" s="12" customFormat="1" x14ac:dyDescent="0.25"/>
    <row r="243177" s="12" customFormat="1" x14ac:dyDescent="0.25"/>
    <row r="243178" s="12" customFormat="1" x14ac:dyDescent="0.25"/>
    <row r="243179" s="12" customFormat="1" x14ac:dyDescent="0.25"/>
    <row r="243180" s="12" customFormat="1" x14ac:dyDescent="0.25"/>
    <row r="243181" s="12" customFormat="1" x14ac:dyDescent="0.25"/>
    <row r="243182" s="12" customFormat="1" x14ac:dyDescent="0.25"/>
    <row r="243183" s="12" customFormat="1" x14ac:dyDescent="0.25"/>
    <row r="243184" s="12" customFormat="1" x14ac:dyDescent="0.25"/>
    <row r="243185" s="12" customFormat="1" x14ac:dyDescent="0.25"/>
    <row r="243186" s="12" customFormat="1" x14ac:dyDescent="0.25"/>
    <row r="243187" s="12" customFormat="1" x14ac:dyDescent="0.25"/>
    <row r="243188" s="12" customFormat="1" x14ac:dyDescent="0.25"/>
    <row r="243189" s="12" customFormat="1" x14ac:dyDescent="0.25"/>
    <row r="243190" s="12" customFormat="1" x14ac:dyDescent="0.25"/>
    <row r="243191" s="12" customFormat="1" x14ac:dyDescent="0.25"/>
    <row r="243192" s="12" customFormat="1" x14ac:dyDescent="0.25"/>
    <row r="243193" s="12" customFormat="1" x14ac:dyDescent="0.25"/>
    <row r="243194" s="12" customFormat="1" x14ac:dyDescent="0.25"/>
    <row r="243195" s="12" customFormat="1" x14ac:dyDescent="0.25"/>
    <row r="243196" s="12" customFormat="1" x14ac:dyDescent="0.25"/>
    <row r="243197" s="12" customFormat="1" x14ac:dyDescent="0.25"/>
    <row r="243198" s="12" customFormat="1" x14ac:dyDescent="0.25"/>
    <row r="243199" s="12" customFormat="1" x14ac:dyDescent="0.25"/>
    <row r="243200" s="12" customFormat="1" x14ac:dyDescent="0.25"/>
    <row r="243201" s="12" customFormat="1" x14ac:dyDescent="0.25"/>
    <row r="243202" s="12" customFormat="1" x14ac:dyDescent="0.25"/>
    <row r="243203" s="12" customFormat="1" x14ac:dyDescent="0.25"/>
    <row r="243204" s="12" customFormat="1" x14ac:dyDescent="0.25"/>
    <row r="243205" s="12" customFormat="1" x14ac:dyDescent="0.25"/>
    <row r="243206" s="12" customFormat="1" x14ac:dyDescent="0.25"/>
    <row r="243207" s="12" customFormat="1" x14ac:dyDescent="0.25"/>
    <row r="243208" s="12" customFormat="1" x14ac:dyDescent="0.25"/>
    <row r="243209" s="12" customFormat="1" x14ac:dyDescent="0.25"/>
    <row r="243210" s="12" customFormat="1" x14ac:dyDescent="0.25"/>
    <row r="243211" s="12" customFormat="1" x14ac:dyDescent="0.25"/>
    <row r="243212" s="12" customFormat="1" x14ac:dyDescent="0.25"/>
    <row r="243213" s="12" customFormat="1" x14ac:dyDescent="0.25"/>
    <row r="243214" s="12" customFormat="1" x14ac:dyDescent="0.25"/>
    <row r="243215" s="12" customFormat="1" x14ac:dyDescent="0.25"/>
    <row r="243216" s="12" customFormat="1" x14ac:dyDescent="0.25"/>
    <row r="243217" s="12" customFormat="1" x14ac:dyDescent="0.25"/>
    <row r="243218" s="12" customFormat="1" x14ac:dyDescent="0.25"/>
    <row r="243219" s="12" customFormat="1" x14ac:dyDescent="0.25"/>
    <row r="243220" s="12" customFormat="1" x14ac:dyDescent="0.25"/>
    <row r="243221" s="12" customFormat="1" x14ac:dyDescent="0.25"/>
    <row r="243222" s="12" customFormat="1" x14ac:dyDescent="0.25"/>
    <row r="243223" s="12" customFormat="1" x14ac:dyDescent="0.25"/>
    <row r="243224" s="12" customFormat="1" x14ac:dyDescent="0.25"/>
    <row r="243225" s="12" customFormat="1" x14ac:dyDescent="0.25"/>
    <row r="243226" s="12" customFormat="1" x14ac:dyDescent="0.25"/>
    <row r="243227" s="12" customFormat="1" x14ac:dyDescent="0.25"/>
    <row r="243228" s="12" customFormat="1" x14ac:dyDescent="0.25"/>
    <row r="243229" s="12" customFormat="1" x14ac:dyDescent="0.25"/>
    <row r="243230" s="12" customFormat="1" x14ac:dyDescent="0.25"/>
    <row r="243231" s="12" customFormat="1" x14ac:dyDescent="0.25"/>
    <row r="243232" s="12" customFormat="1" x14ac:dyDescent="0.25"/>
    <row r="243233" s="12" customFormat="1" x14ac:dyDescent="0.25"/>
    <row r="243234" s="12" customFormat="1" x14ac:dyDescent="0.25"/>
    <row r="243235" s="12" customFormat="1" x14ac:dyDescent="0.25"/>
    <row r="243236" s="12" customFormat="1" x14ac:dyDescent="0.25"/>
    <row r="243237" s="12" customFormat="1" x14ac:dyDescent="0.25"/>
    <row r="243238" s="12" customFormat="1" x14ac:dyDescent="0.25"/>
    <row r="243239" s="12" customFormat="1" x14ac:dyDescent="0.25"/>
    <row r="243240" s="12" customFormat="1" x14ac:dyDescent="0.25"/>
    <row r="243241" s="12" customFormat="1" x14ac:dyDescent="0.25"/>
    <row r="243242" s="12" customFormat="1" x14ac:dyDescent="0.25"/>
    <row r="243243" s="12" customFormat="1" x14ac:dyDescent="0.25"/>
    <row r="243244" s="12" customFormat="1" x14ac:dyDescent="0.25"/>
    <row r="243245" s="12" customFormat="1" x14ac:dyDescent="0.25"/>
    <row r="243246" s="12" customFormat="1" x14ac:dyDescent="0.25"/>
    <row r="243247" s="12" customFormat="1" x14ac:dyDescent="0.25"/>
    <row r="243248" s="12" customFormat="1" x14ac:dyDescent="0.25"/>
    <row r="243249" s="12" customFormat="1" x14ac:dyDescent="0.25"/>
    <row r="243250" s="12" customFormat="1" x14ac:dyDescent="0.25"/>
    <row r="243251" s="12" customFormat="1" x14ac:dyDescent="0.25"/>
    <row r="243252" s="12" customFormat="1" x14ac:dyDescent="0.25"/>
    <row r="243253" s="12" customFormat="1" x14ac:dyDescent="0.25"/>
    <row r="243254" s="12" customFormat="1" x14ac:dyDescent="0.25"/>
    <row r="243255" s="12" customFormat="1" x14ac:dyDescent="0.25"/>
    <row r="243256" s="12" customFormat="1" x14ac:dyDescent="0.25"/>
    <row r="243257" s="12" customFormat="1" x14ac:dyDescent="0.25"/>
    <row r="243258" s="12" customFormat="1" x14ac:dyDescent="0.25"/>
    <row r="243259" s="12" customFormat="1" x14ac:dyDescent="0.25"/>
    <row r="243260" s="12" customFormat="1" x14ac:dyDescent="0.25"/>
    <row r="243261" s="12" customFormat="1" x14ac:dyDescent="0.25"/>
    <row r="243262" s="12" customFormat="1" x14ac:dyDescent="0.25"/>
    <row r="243263" s="12" customFormat="1" x14ac:dyDescent="0.25"/>
    <row r="243264" s="12" customFormat="1" x14ac:dyDescent="0.25"/>
    <row r="243265" s="12" customFormat="1" x14ac:dyDescent="0.25"/>
    <row r="243266" s="12" customFormat="1" x14ac:dyDescent="0.25"/>
    <row r="243267" s="12" customFormat="1" x14ac:dyDescent="0.25"/>
    <row r="243268" s="12" customFormat="1" x14ac:dyDescent="0.25"/>
    <row r="243269" s="12" customFormat="1" x14ac:dyDescent="0.25"/>
    <row r="243270" s="12" customFormat="1" x14ac:dyDescent="0.25"/>
    <row r="243271" s="12" customFormat="1" x14ac:dyDescent="0.25"/>
    <row r="243272" s="12" customFormat="1" x14ac:dyDescent="0.25"/>
    <row r="243273" s="12" customFormat="1" x14ac:dyDescent="0.25"/>
    <row r="243274" s="12" customFormat="1" x14ac:dyDescent="0.25"/>
    <row r="243275" s="12" customFormat="1" x14ac:dyDescent="0.25"/>
    <row r="243276" s="12" customFormat="1" x14ac:dyDescent="0.25"/>
    <row r="243277" s="12" customFormat="1" x14ac:dyDescent="0.25"/>
    <row r="243278" s="12" customFormat="1" x14ac:dyDescent="0.25"/>
    <row r="243279" s="12" customFormat="1" x14ac:dyDescent="0.25"/>
    <row r="243280" s="12" customFormat="1" x14ac:dyDescent="0.25"/>
    <row r="243281" s="12" customFormat="1" x14ac:dyDescent="0.25"/>
    <row r="243282" s="12" customFormat="1" x14ac:dyDescent="0.25"/>
    <row r="243283" s="12" customFormat="1" x14ac:dyDescent="0.25"/>
    <row r="243284" s="12" customFormat="1" x14ac:dyDescent="0.25"/>
    <row r="243285" s="12" customFormat="1" x14ac:dyDescent="0.25"/>
    <row r="243286" s="12" customFormat="1" x14ac:dyDescent="0.25"/>
    <row r="243287" s="12" customFormat="1" x14ac:dyDescent="0.25"/>
    <row r="243288" s="12" customFormat="1" x14ac:dyDescent="0.25"/>
    <row r="243289" s="12" customFormat="1" x14ac:dyDescent="0.25"/>
    <row r="243290" s="12" customFormat="1" x14ac:dyDescent="0.25"/>
    <row r="243291" s="12" customFormat="1" x14ac:dyDescent="0.25"/>
    <row r="243292" s="12" customFormat="1" x14ac:dyDescent="0.25"/>
    <row r="243293" s="12" customFormat="1" x14ac:dyDescent="0.25"/>
    <row r="243294" s="12" customFormat="1" x14ac:dyDescent="0.25"/>
    <row r="243295" s="12" customFormat="1" x14ac:dyDescent="0.25"/>
    <row r="243296" s="12" customFormat="1" x14ac:dyDescent="0.25"/>
    <row r="243297" s="12" customFormat="1" x14ac:dyDescent="0.25"/>
    <row r="243298" s="12" customFormat="1" x14ac:dyDescent="0.25"/>
    <row r="243299" s="12" customFormat="1" x14ac:dyDescent="0.25"/>
    <row r="243300" s="12" customFormat="1" x14ac:dyDescent="0.25"/>
    <row r="243301" s="12" customFormat="1" x14ac:dyDescent="0.25"/>
    <row r="243302" s="12" customFormat="1" x14ac:dyDescent="0.25"/>
    <row r="243303" s="12" customFormat="1" x14ac:dyDescent="0.25"/>
    <row r="243304" s="12" customFormat="1" x14ac:dyDescent="0.25"/>
    <row r="243305" s="12" customFormat="1" x14ac:dyDescent="0.25"/>
    <row r="243306" s="12" customFormat="1" x14ac:dyDescent="0.25"/>
    <row r="243307" s="12" customFormat="1" x14ac:dyDescent="0.25"/>
    <row r="243308" s="12" customFormat="1" x14ac:dyDescent="0.25"/>
    <row r="243309" s="12" customFormat="1" x14ac:dyDescent="0.25"/>
    <row r="243310" s="12" customFormat="1" x14ac:dyDescent="0.25"/>
    <row r="243311" s="12" customFormat="1" x14ac:dyDescent="0.25"/>
    <row r="243312" s="12" customFormat="1" x14ac:dyDescent="0.25"/>
    <row r="243313" s="12" customFormat="1" x14ac:dyDescent="0.25"/>
    <row r="243314" s="12" customFormat="1" x14ac:dyDescent="0.25"/>
    <row r="243315" s="12" customFormat="1" x14ac:dyDescent="0.25"/>
    <row r="243316" s="12" customFormat="1" x14ac:dyDescent="0.25"/>
    <row r="243317" s="12" customFormat="1" x14ac:dyDescent="0.25"/>
    <row r="243318" s="12" customFormat="1" x14ac:dyDescent="0.25"/>
    <row r="243319" s="12" customFormat="1" x14ac:dyDescent="0.25"/>
    <row r="243320" s="12" customFormat="1" x14ac:dyDescent="0.25"/>
    <row r="243321" s="12" customFormat="1" x14ac:dyDescent="0.25"/>
    <row r="243322" s="12" customFormat="1" x14ac:dyDescent="0.25"/>
    <row r="243323" s="12" customFormat="1" x14ac:dyDescent="0.25"/>
    <row r="243324" s="12" customFormat="1" x14ac:dyDescent="0.25"/>
    <row r="243325" s="12" customFormat="1" x14ac:dyDescent="0.25"/>
    <row r="243326" s="12" customFormat="1" x14ac:dyDescent="0.25"/>
    <row r="243327" s="12" customFormat="1" x14ac:dyDescent="0.25"/>
    <row r="243328" s="12" customFormat="1" x14ac:dyDescent="0.25"/>
    <row r="243329" s="12" customFormat="1" x14ac:dyDescent="0.25"/>
    <row r="243330" s="12" customFormat="1" x14ac:dyDescent="0.25"/>
    <row r="243331" s="12" customFormat="1" x14ac:dyDescent="0.25"/>
    <row r="243332" s="12" customFormat="1" x14ac:dyDescent="0.25"/>
    <row r="243333" s="12" customFormat="1" x14ac:dyDescent="0.25"/>
    <row r="243334" s="12" customFormat="1" x14ac:dyDescent="0.25"/>
    <row r="243335" s="12" customFormat="1" x14ac:dyDescent="0.25"/>
    <row r="243336" s="12" customFormat="1" x14ac:dyDescent="0.25"/>
    <row r="243337" s="12" customFormat="1" x14ac:dyDescent="0.25"/>
    <row r="243338" s="12" customFormat="1" x14ac:dyDescent="0.25"/>
    <row r="243339" s="12" customFormat="1" x14ac:dyDescent="0.25"/>
    <row r="243340" s="12" customFormat="1" x14ac:dyDescent="0.25"/>
    <row r="243341" s="12" customFormat="1" x14ac:dyDescent="0.25"/>
    <row r="243342" s="12" customFormat="1" x14ac:dyDescent="0.25"/>
    <row r="243343" s="12" customFormat="1" x14ac:dyDescent="0.25"/>
    <row r="243344" s="12" customFormat="1" x14ac:dyDescent="0.25"/>
    <row r="243345" s="12" customFormat="1" x14ac:dyDescent="0.25"/>
    <row r="243346" s="12" customFormat="1" x14ac:dyDescent="0.25"/>
    <row r="243347" s="12" customFormat="1" x14ac:dyDescent="0.25"/>
    <row r="243348" s="12" customFormat="1" x14ac:dyDescent="0.25"/>
    <row r="243349" s="12" customFormat="1" x14ac:dyDescent="0.25"/>
    <row r="243350" s="12" customFormat="1" x14ac:dyDescent="0.25"/>
    <row r="243351" s="12" customFormat="1" x14ac:dyDescent="0.25"/>
    <row r="243352" s="12" customFormat="1" x14ac:dyDescent="0.25"/>
    <row r="243353" s="12" customFormat="1" x14ac:dyDescent="0.25"/>
    <row r="243354" s="12" customFormat="1" x14ac:dyDescent="0.25"/>
    <row r="243355" s="12" customFormat="1" x14ac:dyDescent="0.25"/>
    <row r="243356" s="12" customFormat="1" x14ac:dyDescent="0.25"/>
    <row r="243357" s="12" customFormat="1" x14ac:dyDescent="0.25"/>
    <row r="243358" s="12" customFormat="1" x14ac:dyDescent="0.25"/>
    <row r="243359" s="12" customFormat="1" x14ac:dyDescent="0.25"/>
    <row r="243360" s="12" customFormat="1" x14ac:dyDescent="0.25"/>
    <row r="243361" s="12" customFormat="1" x14ac:dyDescent="0.25"/>
    <row r="243362" s="12" customFormat="1" x14ac:dyDescent="0.25"/>
    <row r="243363" s="12" customFormat="1" x14ac:dyDescent="0.25"/>
    <row r="243364" s="12" customFormat="1" x14ac:dyDescent="0.25"/>
    <row r="243365" s="12" customFormat="1" x14ac:dyDescent="0.25"/>
    <row r="243366" s="12" customFormat="1" x14ac:dyDescent="0.25"/>
    <row r="243367" s="12" customFormat="1" x14ac:dyDescent="0.25"/>
    <row r="243368" s="12" customFormat="1" x14ac:dyDescent="0.25"/>
    <row r="243369" s="12" customFormat="1" x14ac:dyDescent="0.25"/>
    <row r="243370" s="12" customFormat="1" x14ac:dyDescent="0.25"/>
    <row r="243371" s="12" customFormat="1" x14ac:dyDescent="0.25"/>
    <row r="243372" s="12" customFormat="1" x14ac:dyDescent="0.25"/>
    <row r="243373" s="12" customFormat="1" x14ac:dyDescent="0.25"/>
    <row r="243374" s="12" customFormat="1" x14ac:dyDescent="0.25"/>
    <row r="243375" s="12" customFormat="1" x14ac:dyDescent="0.25"/>
    <row r="243376" s="12" customFormat="1" x14ac:dyDescent="0.25"/>
    <row r="243377" s="12" customFormat="1" x14ac:dyDescent="0.25"/>
    <row r="243378" s="12" customFormat="1" x14ac:dyDescent="0.25"/>
    <row r="243379" s="12" customFormat="1" x14ac:dyDescent="0.25"/>
    <row r="243380" s="12" customFormat="1" x14ac:dyDescent="0.25"/>
    <row r="243381" s="12" customFormat="1" x14ac:dyDescent="0.25"/>
    <row r="243382" s="12" customFormat="1" x14ac:dyDescent="0.25"/>
    <row r="243383" s="12" customFormat="1" x14ac:dyDescent="0.25"/>
    <row r="243384" s="12" customFormat="1" x14ac:dyDescent="0.25"/>
    <row r="243385" s="12" customFormat="1" x14ac:dyDescent="0.25"/>
    <row r="243386" s="12" customFormat="1" x14ac:dyDescent="0.25"/>
    <row r="243387" s="12" customFormat="1" x14ac:dyDescent="0.25"/>
    <row r="243388" s="12" customFormat="1" x14ac:dyDescent="0.25"/>
    <row r="243389" s="12" customFormat="1" x14ac:dyDescent="0.25"/>
    <row r="243390" s="12" customFormat="1" x14ac:dyDescent="0.25"/>
    <row r="243391" s="12" customFormat="1" x14ac:dyDescent="0.25"/>
    <row r="243392" s="12" customFormat="1" x14ac:dyDescent="0.25"/>
    <row r="243393" s="12" customFormat="1" x14ac:dyDescent="0.25"/>
    <row r="243394" s="12" customFormat="1" x14ac:dyDescent="0.25"/>
    <row r="243395" s="12" customFormat="1" x14ac:dyDescent="0.25"/>
    <row r="243396" s="12" customFormat="1" x14ac:dyDescent="0.25"/>
    <row r="243397" s="12" customFormat="1" x14ac:dyDescent="0.25"/>
    <row r="243398" s="12" customFormat="1" x14ac:dyDescent="0.25"/>
    <row r="243399" s="12" customFormat="1" x14ac:dyDescent="0.25"/>
    <row r="243400" s="12" customFormat="1" x14ac:dyDescent="0.25"/>
    <row r="243401" s="12" customFormat="1" x14ac:dyDescent="0.25"/>
    <row r="243402" s="12" customFormat="1" x14ac:dyDescent="0.25"/>
    <row r="243403" s="12" customFormat="1" x14ac:dyDescent="0.25"/>
    <row r="243404" s="12" customFormat="1" x14ac:dyDescent="0.25"/>
    <row r="243405" s="12" customFormat="1" x14ac:dyDescent="0.25"/>
    <row r="243406" s="12" customFormat="1" x14ac:dyDescent="0.25"/>
    <row r="243407" s="12" customFormat="1" x14ac:dyDescent="0.25"/>
    <row r="243408" s="12" customFormat="1" x14ac:dyDescent="0.25"/>
    <row r="243409" s="12" customFormat="1" x14ac:dyDescent="0.25"/>
    <row r="243410" s="12" customFormat="1" x14ac:dyDescent="0.25"/>
    <row r="243411" s="12" customFormat="1" x14ac:dyDescent="0.25"/>
    <row r="243412" s="12" customFormat="1" x14ac:dyDescent="0.25"/>
    <row r="243413" s="12" customFormat="1" x14ac:dyDescent="0.25"/>
    <row r="243414" s="12" customFormat="1" x14ac:dyDescent="0.25"/>
    <row r="243415" s="12" customFormat="1" x14ac:dyDescent="0.25"/>
    <row r="243416" s="12" customFormat="1" x14ac:dyDescent="0.25"/>
    <row r="243417" s="12" customFormat="1" x14ac:dyDescent="0.25"/>
    <row r="243418" s="12" customFormat="1" x14ac:dyDescent="0.25"/>
    <row r="243419" s="12" customFormat="1" x14ac:dyDescent="0.25"/>
    <row r="243420" s="12" customFormat="1" x14ac:dyDescent="0.25"/>
    <row r="243421" s="12" customFormat="1" x14ac:dyDescent="0.25"/>
    <row r="243422" s="12" customFormat="1" x14ac:dyDescent="0.25"/>
    <row r="243423" s="12" customFormat="1" x14ac:dyDescent="0.25"/>
    <row r="243424" s="12" customFormat="1" x14ac:dyDescent="0.25"/>
    <row r="243425" s="12" customFormat="1" x14ac:dyDescent="0.25"/>
    <row r="243426" s="12" customFormat="1" x14ac:dyDescent="0.25"/>
    <row r="243427" s="12" customFormat="1" x14ac:dyDescent="0.25"/>
    <row r="243428" s="12" customFormat="1" x14ac:dyDescent="0.25"/>
    <row r="243429" s="12" customFormat="1" x14ac:dyDescent="0.25"/>
    <row r="243430" s="12" customFormat="1" x14ac:dyDescent="0.25"/>
    <row r="243431" s="12" customFormat="1" x14ac:dyDescent="0.25"/>
    <row r="243432" s="12" customFormat="1" x14ac:dyDescent="0.25"/>
    <row r="243433" s="12" customFormat="1" x14ac:dyDescent="0.25"/>
    <row r="243434" s="12" customFormat="1" x14ac:dyDescent="0.25"/>
    <row r="243435" s="12" customFormat="1" x14ac:dyDescent="0.25"/>
    <row r="243436" s="12" customFormat="1" x14ac:dyDescent="0.25"/>
    <row r="243437" s="12" customFormat="1" x14ac:dyDescent="0.25"/>
    <row r="243438" s="12" customFormat="1" x14ac:dyDescent="0.25"/>
    <row r="243439" s="12" customFormat="1" x14ac:dyDescent="0.25"/>
    <row r="243440" s="12" customFormat="1" x14ac:dyDescent="0.25"/>
    <row r="243441" s="12" customFormat="1" x14ac:dyDescent="0.25"/>
    <row r="243442" s="12" customFormat="1" x14ac:dyDescent="0.25"/>
    <row r="243443" s="12" customFormat="1" x14ac:dyDescent="0.25"/>
    <row r="243444" s="12" customFormat="1" x14ac:dyDescent="0.25"/>
    <row r="243445" s="12" customFormat="1" x14ac:dyDescent="0.25"/>
    <row r="243446" s="12" customFormat="1" x14ac:dyDescent="0.25"/>
    <row r="243447" s="12" customFormat="1" x14ac:dyDescent="0.25"/>
    <row r="243448" s="12" customFormat="1" x14ac:dyDescent="0.25"/>
    <row r="243449" s="12" customFormat="1" x14ac:dyDescent="0.25"/>
    <row r="243450" s="12" customFormat="1" x14ac:dyDescent="0.25"/>
    <row r="243451" s="12" customFormat="1" x14ac:dyDescent="0.25"/>
    <row r="243452" s="12" customFormat="1" x14ac:dyDescent="0.25"/>
    <row r="243453" s="12" customFormat="1" x14ac:dyDescent="0.25"/>
    <row r="243454" s="12" customFormat="1" x14ac:dyDescent="0.25"/>
    <row r="243455" s="12" customFormat="1" x14ac:dyDescent="0.25"/>
    <row r="243456" s="12" customFormat="1" x14ac:dyDescent="0.25"/>
    <row r="243457" s="12" customFormat="1" x14ac:dyDescent="0.25"/>
    <row r="243458" s="12" customFormat="1" x14ac:dyDescent="0.25"/>
    <row r="243459" s="12" customFormat="1" x14ac:dyDescent="0.25"/>
    <row r="243460" s="12" customFormat="1" x14ac:dyDescent="0.25"/>
    <row r="243461" s="12" customFormat="1" x14ac:dyDescent="0.25"/>
    <row r="243462" s="12" customFormat="1" x14ac:dyDescent="0.25"/>
    <row r="243463" s="12" customFormat="1" x14ac:dyDescent="0.25"/>
    <row r="243464" s="12" customFormat="1" x14ac:dyDescent="0.25"/>
    <row r="243465" s="12" customFormat="1" x14ac:dyDescent="0.25"/>
    <row r="243466" s="12" customFormat="1" x14ac:dyDescent="0.25"/>
    <row r="243467" s="12" customFormat="1" x14ac:dyDescent="0.25"/>
    <row r="243468" s="12" customFormat="1" x14ac:dyDescent="0.25"/>
    <row r="243469" s="12" customFormat="1" x14ac:dyDescent="0.25"/>
    <row r="243470" s="12" customFormat="1" x14ac:dyDescent="0.25"/>
    <row r="243471" s="12" customFormat="1" x14ac:dyDescent="0.25"/>
    <row r="243472" s="12" customFormat="1" x14ac:dyDescent="0.25"/>
    <row r="243473" s="12" customFormat="1" x14ac:dyDescent="0.25"/>
    <row r="243474" s="12" customFormat="1" x14ac:dyDescent="0.25"/>
    <row r="243475" s="12" customFormat="1" x14ac:dyDescent="0.25"/>
    <row r="243476" s="12" customFormat="1" x14ac:dyDescent="0.25"/>
    <row r="243477" s="12" customFormat="1" x14ac:dyDescent="0.25"/>
    <row r="243478" s="12" customFormat="1" x14ac:dyDescent="0.25"/>
    <row r="243479" s="12" customFormat="1" x14ac:dyDescent="0.25"/>
    <row r="243480" s="12" customFormat="1" x14ac:dyDescent="0.25"/>
    <row r="243481" s="12" customFormat="1" x14ac:dyDescent="0.25"/>
    <row r="243482" s="12" customFormat="1" x14ac:dyDescent="0.25"/>
    <row r="243483" s="12" customFormat="1" x14ac:dyDescent="0.25"/>
    <row r="243484" s="12" customFormat="1" x14ac:dyDescent="0.25"/>
    <row r="243485" s="12" customFormat="1" x14ac:dyDescent="0.25"/>
    <row r="243486" s="12" customFormat="1" x14ac:dyDescent="0.25"/>
    <row r="243487" s="12" customFormat="1" x14ac:dyDescent="0.25"/>
    <row r="243488" s="12" customFormat="1" x14ac:dyDescent="0.25"/>
    <row r="243489" s="12" customFormat="1" x14ac:dyDescent="0.25"/>
    <row r="243490" s="12" customFormat="1" x14ac:dyDescent="0.25"/>
    <row r="243491" s="12" customFormat="1" x14ac:dyDescent="0.25"/>
    <row r="243492" s="12" customFormat="1" x14ac:dyDescent="0.25"/>
    <row r="243493" s="12" customFormat="1" x14ac:dyDescent="0.25"/>
    <row r="243494" s="12" customFormat="1" x14ac:dyDescent="0.25"/>
    <row r="243495" s="12" customFormat="1" x14ac:dyDescent="0.25"/>
    <row r="243496" s="12" customFormat="1" x14ac:dyDescent="0.25"/>
    <row r="243497" s="12" customFormat="1" x14ac:dyDescent="0.25"/>
    <row r="243498" s="12" customFormat="1" x14ac:dyDescent="0.25"/>
    <row r="243499" s="12" customFormat="1" x14ac:dyDescent="0.25"/>
    <row r="243500" s="12" customFormat="1" x14ac:dyDescent="0.25"/>
    <row r="243501" s="12" customFormat="1" x14ac:dyDescent="0.25"/>
    <row r="243502" s="12" customFormat="1" x14ac:dyDescent="0.25"/>
    <row r="243503" s="12" customFormat="1" x14ac:dyDescent="0.25"/>
    <row r="243504" s="12" customFormat="1" x14ac:dyDescent="0.25"/>
    <row r="243505" s="12" customFormat="1" x14ac:dyDescent="0.25"/>
    <row r="243506" s="12" customFormat="1" x14ac:dyDescent="0.25"/>
    <row r="243507" s="12" customFormat="1" x14ac:dyDescent="0.25"/>
    <row r="243508" s="12" customFormat="1" x14ac:dyDescent="0.25"/>
    <row r="243509" s="12" customFormat="1" x14ac:dyDescent="0.25"/>
    <row r="243510" s="12" customFormat="1" x14ac:dyDescent="0.25"/>
    <row r="243511" s="12" customFormat="1" x14ac:dyDescent="0.25"/>
    <row r="243512" s="12" customFormat="1" x14ac:dyDescent="0.25"/>
    <row r="243513" s="12" customFormat="1" x14ac:dyDescent="0.25"/>
    <row r="243514" s="12" customFormat="1" x14ac:dyDescent="0.25"/>
    <row r="243515" s="12" customFormat="1" x14ac:dyDescent="0.25"/>
    <row r="243516" s="12" customFormat="1" x14ac:dyDescent="0.25"/>
    <row r="243517" s="12" customFormat="1" x14ac:dyDescent="0.25"/>
    <row r="243518" s="12" customFormat="1" x14ac:dyDescent="0.25"/>
    <row r="243519" s="12" customFormat="1" x14ac:dyDescent="0.25"/>
    <row r="243520" s="12" customFormat="1" x14ac:dyDescent="0.25"/>
    <row r="243521" s="12" customFormat="1" x14ac:dyDescent="0.25"/>
    <row r="243522" s="12" customFormat="1" x14ac:dyDescent="0.25"/>
    <row r="243523" s="12" customFormat="1" x14ac:dyDescent="0.25"/>
    <row r="243524" s="12" customFormat="1" x14ac:dyDescent="0.25"/>
    <row r="243525" s="12" customFormat="1" x14ac:dyDescent="0.25"/>
    <row r="243526" s="12" customFormat="1" x14ac:dyDescent="0.25"/>
    <row r="243527" s="12" customFormat="1" x14ac:dyDescent="0.25"/>
    <row r="243528" s="12" customFormat="1" x14ac:dyDescent="0.25"/>
    <row r="243529" s="12" customFormat="1" x14ac:dyDescent="0.25"/>
    <row r="243530" s="12" customFormat="1" x14ac:dyDescent="0.25"/>
    <row r="243531" s="12" customFormat="1" x14ac:dyDescent="0.25"/>
    <row r="243532" s="12" customFormat="1" x14ac:dyDescent="0.25"/>
    <row r="243533" s="12" customFormat="1" x14ac:dyDescent="0.25"/>
    <row r="243534" s="12" customFormat="1" x14ac:dyDescent="0.25"/>
    <row r="243535" s="12" customFormat="1" x14ac:dyDescent="0.25"/>
    <row r="243536" s="12" customFormat="1" x14ac:dyDescent="0.25"/>
    <row r="243537" s="12" customFormat="1" x14ac:dyDescent="0.25"/>
    <row r="243538" s="12" customFormat="1" x14ac:dyDescent="0.25"/>
    <row r="243539" s="12" customFormat="1" x14ac:dyDescent="0.25"/>
    <row r="243540" s="12" customFormat="1" x14ac:dyDescent="0.25"/>
    <row r="243541" s="12" customFormat="1" x14ac:dyDescent="0.25"/>
    <row r="243542" s="12" customFormat="1" x14ac:dyDescent="0.25"/>
    <row r="243543" s="12" customFormat="1" x14ac:dyDescent="0.25"/>
    <row r="243544" s="12" customFormat="1" x14ac:dyDescent="0.25"/>
    <row r="243545" s="12" customFormat="1" x14ac:dyDescent="0.25"/>
    <row r="243546" s="12" customFormat="1" x14ac:dyDescent="0.25"/>
    <row r="243547" s="12" customFormat="1" x14ac:dyDescent="0.25"/>
    <row r="243548" s="12" customFormat="1" x14ac:dyDescent="0.25"/>
    <row r="243549" s="12" customFormat="1" x14ac:dyDescent="0.25"/>
    <row r="243550" s="12" customFormat="1" x14ac:dyDescent="0.25"/>
    <row r="243551" s="12" customFormat="1" x14ac:dyDescent="0.25"/>
    <row r="243552" s="12" customFormat="1" x14ac:dyDescent="0.25"/>
    <row r="243553" s="12" customFormat="1" x14ac:dyDescent="0.25"/>
    <row r="243554" s="12" customFormat="1" x14ac:dyDescent="0.25"/>
    <row r="243555" s="12" customFormat="1" x14ac:dyDescent="0.25"/>
    <row r="243556" s="12" customFormat="1" x14ac:dyDescent="0.25"/>
    <row r="243557" s="12" customFormat="1" x14ac:dyDescent="0.25"/>
    <row r="243558" s="12" customFormat="1" x14ac:dyDescent="0.25"/>
    <row r="243559" s="12" customFormat="1" x14ac:dyDescent="0.25"/>
    <row r="243560" s="12" customFormat="1" x14ac:dyDescent="0.25"/>
    <row r="243561" s="12" customFormat="1" x14ac:dyDescent="0.25"/>
    <row r="243562" s="12" customFormat="1" x14ac:dyDescent="0.25"/>
    <row r="243563" s="12" customFormat="1" x14ac:dyDescent="0.25"/>
    <row r="243564" s="12" customFormat="1" x14ac:dyDescent="0.25"/>
    <row r="243565" s="12" customFormat="1" x14ac:dyDescent="0.25"/>
    <row r="243566" s="12" customFormat="1" x14ac:dyDescent="0.25"/>
    <row r="243567" s="12" customFormat="1" x14ac:dyDescent="0.25"/>
    <row r="243568" s="12" customFormat="1" x14ac:dyDescent="0.25"/>
    <row r="243569" s="12" customFormat="1" x14ac:dyDescent="0.25"/>
    <row r="243570" s="12" customFormat="1" x14ac:dyDescent="0.25"/>
    <row r="243571" s="12" customFormat="1" x14ac:dyDescent="0.25"/>
    <row r="243572" s="12" customFormat="1" x14ac:dyDescent="0.25"/>
    <row r="243573" s="12" customFormat="1" x14ac:dyDescent="0.25"/>
    <row r="243574" s="12" customFormat="1" x14ac:dyDescent="0.25"/>
    <row r="243575" s="12" customFormat="1" x14ac:dyDescent="0.25"/>
    <row r="243576" s="12" customFormat="1" x14ac:dyDescent="0.25"/>
    <row r="243577" s="12" customFormat="1" x14ac:dyDescent="0.25"/>
    <row r="243578" s="12" customFormat="1" x14ac:dyDescent="0.25"/>
    <row r="243579" s="12" customFormat="1" x14ac:dyDescent="0.25"/>
    <row r="243580" s="12" customFormat="1" x14ac:dyDescent="0.25"/>
    <row r="243581" s="12" customFormat="1" x14ac:dyDescent="0.25"/>
    <row r="243582" s="12" customFormat="1" x14ac:dyDescent="0.25"/>
    <row r="243583" s="12" customFormat="1" x14ac:dyDescent="0.25"/>
    <row r="243584" s="12" customFormat="1" x14ac:dyDescent="0.25"/>
    <row r="243585" s="12" customFormat="1" x14ac:dyDescent="0.25"/>
    <row r="243586" s="12" customFormat="1" x14ac:dyDescent="0.25"/>
    <row r="243587" s="12" customFormat="1" x14ac:dyDescent="0.25"/>
    <row r="243588" s="12" customFormat="1" x14ac:dyDescent="0.25"/>
    <row r="243589" s="12" customFormat="1" x14ac:dyDescent="0.25"/>
    <row r="243590" s="12" customFormat="1" x14ac:dyDescent="0.25"/>
    <row r="243591" s="12" customFormat="1" x14ac:dyDescent="0.25"/>
    <row r="243592" s="12" customFormat="1" x14ac:dyDescent="0.25"/>
    <row r="243593" s="12" customFormat="1" x14ac:dyDescent="0.25"/>
    <row r="243594" s="12" customFormat="1" x14ac:dyDescent="0.25"/>
    <row r="243595" s="12" customFormat="1" x14ac:dyDescent="0.25"/>
    <row r="243596" s="12" customFormat="1" x14ac:dyDescent="0.25"/>
    <row r="243597" s="12" customFormat="1" x14ac:dyDescent="0.25"/>
    <row r="243598" s="12" customFormat="1" x14ac:dyDescent="0.25"/>
    <row r="243599" s="12" customFormat="1" x14ac:dyDescent="0.25"/>
    <row r="243600" s="12" customFormat="1" x14ac:dyDescent="0.25"/>
    <row r="243601" s="12" customFormat="1" x14ac:dyDescent="0.25"/>
    <row r="243602" s="12" customFormat="1" x14ac:dyDescent="0.25"/>
    <row r="243603" s="12" customFormat="1" x14ac:dyDescent="0.25"/>
    <row r="243604" s="12" customFormat="1" x14ac:dyDescent="0.25"/>
    <row r="243605" s="12" customFormat="1" x14ac:dyDescent="0.25"/>
    <row r="243606" s="12" customFormat="1" x14ac:dyDescent="0.25"/>
    <row r="243607" s="12" customFormat="1" x14ac:dyDescent="0.25"/>
    <row r="243608" s="12" customFormat="1" x14ac:dyDescent="0.25"/>
    <row r="243609" s="12" customFormat="1" x14ac:dyDescent="0.25"/>
    <row r="243610" s="12" customFormat="1" x14ac:dyDescent="0.25"/>
    <row r="243611" s="12" customFormat="1" x14ac:dyDescent="0.25"/>
    <row r="243612" s="12" customFormat="1" x14ac:dyDescent="0.25"/>
    <row r="243613" s="12" customFormat="1" x14ac:dyDescent="0.25"/>
    <row r="243614" s="12" customFormat="1" x14ac:dyDescent="0.25"/>
    <row r="243615" s="12" customFormat="1" x14ac:dyDescent="0.25"/>
    <row r="243616" s="12" customFormat="1" x14ac:dyDescent="0.25"/>
    <row r="243617" s="12" customFormat="1" x14ac:dyDescent="0.25"/>
    <row r="243618" s="12" customFormat="1" x14ac:dyDescent="0.25"/>
    <row r="243619" s="12" customFormat="1" x14ac:dyDescent="0.25"/>
    <row r="243620" s="12" customFormat="1" x14ac:dyDescent="0.25"/>
    <row r="243621" s="12" customFormat="1" x14ac:dyDescent="0.25"/>
    <row r="243622" s="12" customFormat="1" x14ac:dyDescent="0.25"/>
    <row r="243623" s="12" customFormat="1" x14ac:dyDescent="0.25"/>
    <row r="243624" s="12" customFormat="1" x14ac:dyDescent="0.25"/>
    <row r="243625" s="12" customFormat="1" x14ac:dyDescent="0.25"/>
    <row r="243626" s="12" customFormat="1" x14ac:dyDescent="0.25"/>
    <row r="243627" s="12" customFormat="1" x14ac:dyDescent="0.25"/>
    <row r="243628" s="12" customFormat="1" x14ac:dyDescent="0.25"/>
    <row r="243629" s="12" customFormat="1" x14ac:dyDescent="0.25"/>
    <row r="243630" s="12" customFormat="1" x14ac:dyDescent="0.25"/>
    <row r="243631" s="12" customFormat="1" x14ac:dyDescent="0.25"/>
    <row r="243632" s="12" customFormat="1" x14ac:dyDescent="0.25"/>
    <row r="243633" s="12" customFormat="1" x14ac:dyDescent="0.25"/>
    <row r="243634" s="12" customFormat="1" x14ac:dyDescent="0.25"/>
    <row r="243635" s="12" customFormat="1" x14ac:dyDescent="0.25"/>
    <row r="243636" s="12" customFormat="1" x14ac:dyDescent="0.25"/>
    <row r="243637" s="12" customFormat="1" x14ac:dyDescent="0.25"/>
    <row r="243638" s="12" customFormat="1" x14ac:dyDescent="0.25"/>
    <row r="243639" s="12" customFormat="1" x14ac:dyDescent="0.25"/>
    <row r="243640" s="12" customFormat="1" x14ac:dyDescent="0.25"/>
    <row r="243641" s="12" customFormat="1" x14ac:dyDescent="0.25"/>
    <row r="243642" s="12" customFormat="1" x14ac:dyDescent="0.25"/>
    <row r="243643" s="12" customFormat="1" x14ac:dyDescent="0.25"/>
    <row r="243644" s="12" customFormat="1" x14ac:dyDescent="0.25"/>
    <row r="243645" s="12" customFormat="1" x14ac:dyDescent="0.25"/>
    <row r="243646" s="12" customFormat="1" x14ac:dyDescent="0.25"/>
    <row r="243647" s="12" customFormat="1" x14ac:dyDescent="0.25"/>
    <row r="243648" s="12" customFormat="1" x14ac:dyDescent="0.25"/>
    <row r="243649" s="12" customFormat="1" x14ac:dyDescent="0.25"/>
    <row r="243650" s="12" customFormat="1" x14ac:dyDescent="0.25"/>
    <row r="243651" s="12" customFormat="1" x14ac:dyDescent="0.25"/>
    <row r="243652" s="12" customFormat="1" x14ac:dyDescent="0.25"/>
    <row r="243653" s="12" customFormat="1" x14ac:dyDescent="0.25"/>
    <row r="243654" s="12" customFormat="1" x14ac:dyDescent="0.25"/>
    <row r="243655" s="12" customFormat="1" x14ac:dyDescent="0.25"/>
    <row r="243656" s="12" customFormat="1" x14ac:dyDescent="0.25"/>
    <row r="243657" s="12" customFormat="1" x14ac:dyDescent="0.25"/>
    <row r="243658" s="12" customFormat="1" x14ac:dyDescent="0.25"/>
    <row r="243659" s="12" customFormat="1" x14ac:dyDescent="0.25"/>
    <row r="243660" s="12" customFormat="1" x14ac:dyDescent="0.25"/>
    <row r="243661" s="12" customFormat="1" x14ac:dyDescent="0.25"/>
    <row r="243662" s="12" customFormat="1" x14ac:dyDescent="0.25"/>
    <row r="243663" s="12" customFormat="1" x14ac:dyDescent="0.25"/>
    <row r="243664" s="12" customFormat="1" x14ac:dyDescent="0.25"/>
    <row r="243665" s="12" customFormat="1" x14ac:dyDescent="0.25"/>
    <row r="243666" s="12" customFormat="1" x14ac:dyDescent="0.25"/>
    <row r="243667" s="12" customFormat="1" x14ac:dyDescent="0.25"/>
    <row r="243668" s="12" customFormat="1" x14ac:dyDescent="0.25"/>
    <row r="243669" s="12" customFormat="1" x14ac:dyDescent="0.25"/>
    <row r="243670" s="12" customFormat="1" x14ac:dyDescent="0.25"/>
    <row r="243671" s="12" customFormat="1" x14ac:dyDescent="0.25"/>
    <row r="243672" s="12" customFormat="1" x14ac:dyDescent="0.25"/>
    <row r="243673" s="12" customFormat="1" x14ac:dyDescent="0.25"/>
    <row r="243674" s="12" customFormat="1" x14ac:dyDescent="0.25"/>
    <row r="243675" s="12" customFormat="1" x14ac:dyDescent="0.25"/>
    <row r="243676" s="12" customFormat="1" x14ac:dyDescent="0.25"/>
    <row r="243677" s="12" customFormat="1" x14ac:dyDescent="0.25"/>
    <row r="243678" s="12" customFormat="1" x14ac:dyDescent="0.25"/>
    <row r="243679" s="12" customFormat="1" x14ac:dyDescent="0.25"/>
    <row r="243680" s="12" customFormat="1" x14ac:dyDescent="0.25"/>
    <row r="243681" s="12" customFormat="1" x14ac:dyDescent="0.25"/>
    <row r="243682" s="12" customFormat="1" x14ac:dyDescent="0.25"/>
    <row r="243683" s="12" customFormat="1" x14ac:dyDescent="0.25"/>
    <row r="243684" s="12" customFormat="1" x14ac:dyDescent="0.25"/>
    <row r="243685" s="12" customFormat="1" x14ac:dyDescent="0.25"/>
    <row r="243686" s="12" customFormat="1" x14ac:dyDescent="0.25"/>
    <row r="243687" s="12" customFormat="1" x14ac:dyDescent="0.25"/>
    <row r="243688" s="12" customFormat="1" x14ac:dyDescent="0.25"/>
    <row r="243689" s="12" customFormat="1" x14ac:dyDescent="0.25"/>
    <row r="243690" s="12" customFormat="1" x14ac:dyDescent="0.25"/>
    <row r="243691" s="12" customFormat="1" x14ac:dyDescent="0.25"/>
    <row r="243692" s="12" customFormat="1" x14ac:dyDescent="0.25"/>
    <row r="243693" s="12" customFormat="1" x14ac:dyDescent="0.25"/>
    <row r="243694" s="12" customFormat="1" x14ac:dyDescent="0.25"/>
    <row r="243695" s="12" customFormat="1" x14ac:dyDescent="0.25"/>
    <row r="243696" s="12" customFormat="1" x14ac:dyDescent="0.25"/>
    <row r="243697" s="12" customFormat="1" x14ac:dyDescent="0.25"/>
    <row r="243698" s="12" customFormat="1" x14ac:dyDescent="0.25"/>
    <row r="243699" s="12" customFormat="1" x14ac:dyDescent="0.25"/>
    <row r="243700" s="12" customFormat="1" x14ac:dyDescent="0.25"/>
    <row r="243701" s="12" customFormat="1" x14ac:dyDescent="0.25"/>
    <row r="243702" s="12" customFormat="1" x14ac:dyDescent="0.25"/>
    <row r="243703" s="12" customFormat="1" x14ac:dyDescent="0.25"/>
    <row r="243704" s="12" customFormat="1" x14ac:dyDescent="0.25"/>
    <row r="243705" s="12" customFormat="1" x14ac:dyDescent="0.25"/>
    <row r="243706" s="12" customFormat="1" x14ac:dyDescent="0.25"/>
    <row r="243707" s="12" customFormat="1" x14ac:dyDescent="0.25"/>
    <row r="243708" s="12" customFormat="1" x14ac:dyDescent="0.25"/>
    <row r="243709" s="12" customFormat="1" x14ac:dyDescent="0.25"/>
    <row r="243710" s="12" customFormat="1" x14ac:dyDescent="0.25"/>
    <row r="243711" s="12" customFormat="1" x14ac:dyDescent="0.25"/>
    <row r="243712" s="12" customFormat="1" x14ac:dyDescent="0.25"/>
    <row r="243713" s="12" customFormat="1" x14ac:dyDescent="0.25"/>
    <row r="243714" s="12" customFormat="1" x14ac:dyDescent="0.25"/>
    <row r="243715" s="12" customFormat="1" x14ac:dyDescent="0.25"/>
    <row r="243716" s="12" customFormat="1" x14ac:dyDescent="0.25"/>
    <row r="243717" s="12" customFormat="1" x14ac:dyDescent="0.25"/>
    <row r="243718" s="12" customFormat="1" x14ac:dyDescent="0.25"/>
    <row r="243719" s="12" customFormat="1" x14ac:dyDescent="0.25"/>
    <row r="243720" s="12" customFormat="1" x14ac:dyDescent="0.25"/>
    <row r="243721" s="12" customFormat="1" x14ac:dyDescent="0.25"/>
    <row r="243722" s="12" customFormat="1" x14ac:dyDescent="0.25"/>
    <row r="243723" s="12" customFormat="1" x14ac:dyDescent="0.25"/>
    <row r="243724" s="12" customFormat="1" x14ac:dyDescent="0.25"/>
    <row r="243725" s="12" customFormat="1" x14ac:dyDescent="0.25"/>
    <row r="243726" s="12" customFormat="1" x14ac:dyDescent="0.25"/>
    <row r="243727" s="12" customFormat="1" x14ac:dyDescent="0.25"/>
    <row r="243728" s="12" customFormat="1" x14ac:dyDescent="0.25"/>
    <row r="243729" s="12" customFormat="1" x14ac:dyDescent="0.25"/>
    <row r="243730" s="12" customFormat="1" x14ac:dyDescent="0.25"/>
    <row r="243731" s="12" customFormat="1" x14ac:dyDescent="0.25"/>
    <row r="243732" s="12" customFormat="1" x14ac:dyDescent="0.25"/>
    <row r="243733" s="12" customFormat="1" x14ac:dyDescent="0.25"/>
    <row r="243734" s="12" customFormat="1" x14ac:dyDescent="0.25"/>
    <row r="243735" s="12" customFormat="1" x14ac:dyDescent="0.25"/>
    <row r="243736" s="12" customFormat="1" x14ac:dyDescent="0.25"/>
    <row r="243737" s="12" customFormat="1" x14ac:dyDescent="0.25"/>
    <row r="243738" s="12" customFormat="1" x14ac:dyDescent="0.25"/>
    <row r="243739" s="12" customFormat="1" x14ac:dyDescent="0.25"/>
    <row r="243740" s="12" customFormat="1" x14ac:dyDescent="0.25"/>
    <row r="243741" s="12" customFormat="1" x14ac:dyDescent="0.25"/>
    <row r="243742" s="12" customFormat="1" x14ac:dyDescent="0.25"/>
    <row r="243743" s="12" customFormat="1" x14ac:dyDescent="0.25"/>
    <row r="243744" s="12" customFormat="1" x14ac:dyDescent="0.25"/>
    <row r="243745" s="12" customFormat="1" x14ac:dyDescent="0.25"/>
    <row r="243746" s="12" customFormat="1" x14ac:dyDescent="0.25"/>
    <row r="243747" s="12" customFormat="1" x14ac:dyDescent="0.25"/>
    <row r="243748" s="12" customFormat="1" x14ac:dyDescent="0.25"/>
    <row r="243749" s="12" customFormat="1" x14ac:dyDescent="0.25"/>
    <row r="243750" s="12" customFormat="1" x14ac:dyDescent="0.25"/>
    <row r="243751" s="12" customFormat="1" x14ac:dyDescent="0.25"/>
    <row r="243752" s="12" customFormat="1" x14ac:dyDescent="0.25"/>
    <row r="243753" s="12" customFormat="1" x14ac:dyDescent="0.25"/>
    <row r="243754" s="12" customFormat="1" x14ac:dyDescent="0.25"/>
    <row r="243755" s="12" customFormat="1" x14ac:dyDescent="0.25"/>
    <row r="243756" s="12" customFormat="1" x14ac:dyDescent="0.25"/>
    <row r="243757" s="12" customFormat="1" x14ac:dyDescent="0.25"/>
    <row r="243758" s="12" customFormat="1" x14ac:dyDescent="0.25"/>
    <row r="243759" s="12" customFormat="1" x14ac:dyDescent="0.25"/>
    <row r="243760" s="12" customFormat="1" x14ac:dyDescent="0.25"/>
    <row r="243761" s="12" customFormat="1" x14ac:dyDescent="0.25"/>
    <row r="243762" s="12" customFormat="1" x14ac:dyDescent="0.25"/>
    <row r="243763" s="12" customFormat="1" x14ac:dyDescent="0.25"/>
    <row r="243764" s="12" customFormat="1" x14ac:dyDescent="0.25"/>
    <row r="243765" s="12" customFormat="1" x14ac:dyDescent="0.25"/>
    <row r="243766" s="12" customFormat="1" x14ac:dyDescent="0.25"/>
    <row r="243767" s="12" customFormat="1" x14ac:dyDescent="0.25"/>
    <row r="243768" s="12" customFormat="1" x14ac:dyDescent="0.25"/>
    <row r="243769" s="12" customFormat="1" x14ac:dyDescent="0.25"/>
    <row r="243770" s="12" customFormat="1" x14ac:dyDescent="0.25"/>
    <row r="243771" s="12" customFormat="1" x14ac:dyDescent="0.25"/>
    <row r="243772" s="12" customFormat="1" x14ac:dyDescent="0.25"/>
    <row r="243773" s="12" customFormat="1" x14ac:dyDescent="0.25"/>
    <row r="243774" s="12" customFormat="1" x14ac:dyDescent="0.25"/>
    <row r="243775" s="12" customFormat="1" x14ac:dyDescent="0.25"/>
    <row r="243776" s="12" customFormat="1" x14ac:dyDescent="0.25"/>
    <row r="243777" s="12" customFormat="1" x14ac:dyDescent="0.25"/>
    <row r="243778" s="12" customFormat="1" x14ac:dyDescent="0.25"/>
    <row r="243779" s="12" customFormat="1" x14ac:dyDescent="0.25"/>
    <row r="243780" s="12" customFormat="1" x14ac:dyDescent="0.25"/>
    <row r="243781" s="12" customFormat="1" x14ac:dyDescent="0.25"/>
    <row r="243782" s="12" customFormat="1" x14ac:dyDescent="0.25"/>
    <row r="243783" s="12" customFormat="1" x14ac:dyDescent="0.25"/>
    <row r="243784" s="12" customFormat="1" x14ac:dyDescent="0.25"/>
    <row r="243785" s="12" customFormat="1" x14ac:dyDescent="0.25"/>
    <row r="243786" s="12" customFormat="1" x14ac:dyDescent="0.25"/>
    <row r="243787" s="12" customFormat="1" x14ac:dyDescent="0.25"/>
    <row r="243788" s="12" customFormat="1" x14ac:dyDescent="0.25"/>
    <row r="243789" s="12" customFormat="1" x14ac:dyDescent="0.25"/>
    <row r="243790" s="12" customFormat="1" x14ac:dyDescent="0.25"/>
    <row r="243791" s="12" customFormat="1" x14ac:dyDescent="0.25"/>
    <row r="243792" s="12" customFormat="1" x14ac:dyDescent="0.25"/>
    <row r="243793" s="12" customFormat="1" x14ac:dyDescent="0.25"/>
    <row r="243794" s="12" customFormat="1" x14ac:dyDescent="0.25"/>
    <row r="243795" s="12" customFormat="1" x14ac:dyDescent="0.25"/>
    <row r="243796" s="12" customFormat="1" x14ac:dyDescent="0.25"/>
    <row r="243797" s="12" customFormat="1" x14ac:dyDescent="0.25"/>
    <row r="243798" s="12" customFormat="1" x14ac:dyDescent="0.25"/>
    <row r="243799" s="12" customFormat="1" x14ac:dyDescent="0.25"/>
    <row r="243800" s="12" customFormat="1" x14ac:dyDescent="0.25"/>
    <row r="243801" s="12" customFormat="1" x14ac:dyDescent="0.25"/>
    <row r="243802" s="12" customFormat="1" x14ac:dyDescent="0.25"/>
    <row r="243803" s="12" customFormat="1" x14ac:dyDescent="0.25"/>
    <row r="243804" s="12" customFormat="1" x14ac:dyDescent="0.25"/>
    <row r="243805" s="12" customFormat="1" x14ac:dyDescent="0.25"/>
    <row r="243806" s="12" customFormat="1" x14ac:dyDescent="0.25"/>
    <row r="243807" s="12" customFormat="1" x14ac:dyDescent="0.25"/>
    <row r="243808" s="12" customFormat="1" x14ac:dyDescent="0.25"/>
    <row r="243809" s="12" customFormat="1" x14ac:dyDescent="0.25"/>
    <row r="243810" s="12" customFormat="1" x14ac:dyDescent="0.25"/>
    <row r="243811" s="12" customFormat="1" x14ac:dyDescent="0.25"/>
    <row r="243812" s="12" customFormat="1" x14ac:dyDescent="0.25"/>
    <row r="243813" s="12" customFormat="1" x14ac:dyDescent="0.25"/>
    <row r="243814" s="12" customFormat="1" x14ac:dyDescent="0.25"/>
    <row r="243815" s="12" customFormat="1" x14ac:dyDescent="0.25"/>
    <row r="243816" s="12" customFormat="1" x14ac:dyDescent="0.25"/>
    <row r="243817" s="12" customFormat="1" x14ac:dyDescent="0.25"/>
    <row r="243818" s="12" customFormat="1" x14ac:dyDescent="0.25"/>
    <row r="243819" s="12" customFormat="1" x14ac:dyDescent="0.25"/>
    <row r="243820" s="12" customFormat="1" x14ac:dyDescent="0.25"/>
    <row r="243821" s="12" customFormat="1" x14ac:dyDescent="0.25"/>
    <row r="243822" s="12" customFormat="1" x14ac:dyDescent="0.25"/>
    <row r="243823" s="12" customFormat="1" x14ac:dyDescent="0.25"/>
    <row r="243824" s="12" customFormat="1" x14ac:dyDescent="0.25"/>
    <row r="243825" s="12" customFormat="1" x14ac:dyDescent="0.25"/>
    <row r="243826" s="12" customFormat="1" x14ac:dyDescent="0.25"/>
    <row r="243827" s="12" customFormat="1" x14ac:dyDescent="0.25"/>
    <row r="243828" s="12" customFormat="1" x14ac:dyDescent="0.25"/>
    <row r="243829" s="12" customFormat="1" x14ac:dyDescent="0.25"/>
    <row r="243830" s="12" customFormat="1" x14ac:dyDescent="0.25"/>
    <row r="243831" s="12" customFormat="1" x14ac:dyDescent="0.25"/>
    <row r="243832" s="12" customFormat="1" x14ac:dyDescent="0.25"/>
    <row r="243833" s="12" customFormat="1" x14ac:dyDescent="0.25"/>
    <row r="243834" s="12" customFormat="1" x14ac:dyDescent="0.25"/>
    <row r="243835" s="12" customFormat="1" x14ac:dyDescent="0.25"/>
    <row r="243836" s="12" customFormat="1" x14ac:dyDescent="0.25"/>
    <row r="243837" s="12" customFormat="1" x14ac:dyDescent="0.25"/>
    <row r="243838" s="12" customFormat="1" x14ac:dyDescent="0.25"/>
    <row r="243839" s="12" customFormat="1" x14ac:dyDescent="0.25"/>
    <row r="243840" s="12" customFormat="1" x14ac:dyDescent="0.25"/>
    <row r="243841" s="12" customFormat="1" x14ac:dyDescent="0.25"/>
    <row r="243842" s="12" customFormat="1" x14ac:dyDescent="0.25"/>
    <row r="243843" s="12" customFormat="1" x14ac:dyDescent="0.25"/>
    <row r="243844" s="12" customFormat="1" x14ac:dyDescent="0.25"/>
    <row r="243845" s="12" customFormat="1" x14ac:dyDescent="0.25"/>
    <row r="243846" s="12" customFormat="1" x14ac:dyDescent="0.25"/>
    <row r="243847" s="12" customFormat="1" x14ac:dyDescent="0.25"/>
    <row r="243848" s="12" customFormat="1" x14ac:dyDescent="0.25"/>
    <row r="243849" s="12" customFormat="1" x14ac:dyDescent="0.25"/>
    <row r="243850" s="12" customFormat="1" x14ac:dyDescent="0.25"/>
    <row r="243851" s="12" customFormat="1" x14ac:dyDescent="0.25"/>
    <row r="243852" s="12" customFormat="1" x14ac:dyDescent="0.25"/>
    <row r="243853" s="12" customFormat="1" x14ac:dyDescent="0.25"/>
    <row r="243854" s="12" customFormat="1" x14ac:dyDescent="0.25"/>
    <row r="243855" s="12" customFormat="1" x14ac:dyDescent="0.25"/>
    <row r="243856" s="12" customFormat="1" x14ac:dyDescent="0.25"/>
    <row r="243857" s="12" customFormat="1" x14ac:dyDescent="0.25"/>
    <row r="243858" s="12" customFormat="1" x14ac:dyDescent="0.25"/>
    <row r="243859" s="12" customFormat="1" x14ac:dyDescent="0.25"/>
    <row r="243860" s="12" customFormat="1" x14ac:dyDescent="0.25"/>
    <row r="243861" s="12" customFormat="1" x14ac:dyDescent="0.25"/>
    <row r="243862" s="12" customFormat="1" x14ac:dyDescent="0.25"/>
    <row r="243863" s="12" customFormat="1" x14ac:dyDescent="0.25"/>
    <row r="243864" s="12" customFormat="1" x14ac:dyDescent="0.25"/>
    <row r="243865" s="12" customFormat="1" x14ac:dyDescent="0.25"/>
    <row r="243866" s="12" customFormat="1" x14ac:dyDescent="0.25"/>
    <row r="243867" s="12" customFormat="1" x14ac:dyDescent="0.25"/>
    <row r="243868" s="12" customFormat="1" x14ac:dyDescent="0.25"/>
    <row r="243869" s="12" customFormat="1" x14ac:dyDescent="0.25"/>
    <row r="243870" s="12" customFormat="1" x14ac:dyDescent="0.25"/>
    <row r="243871" s="12" customFormat="1" x14ac:dyDescent="0.25"/>
    <row r="243872" s="12" customFormat="1" x14ac:dyDescent="0.25"/>
    <row r="243873" s="12" customFormat="1" x14ac:dyDescent="0.25"/>
    <row r="243874" s="12" customFormat="1" x14ac:dyDescent="0.25"/>
    <row r="243875" s="12" customFormat="1" x14ac:dyDescent="0.25"/>
    <row r="243876" s="12" customFormat="1" x14ac:dyDescent="0.25"/>
    <row r="243877" s="12" customFormat="1" x14ac:dyDescent="0.25"/>
    <row r="243878" s="12" customFormat="1" x14ac:dyDescent="0.25"/>
    <row r="243879" s="12" customFormat="1" x14ac:dyDescent="0.25"/>
    <row r="243880" s="12" customFormat="1" x14ac:dyDescent="0.25"/>
    <row r="243881" s="12" customFormat="1" x14ac:dyDescent="0.25"/>
    <row r="243882" s="12" customFormat="1" x14ac:dyDescent="0.25"/>
    <row r="243883" s="12" customFormat="1" x14ac:dyDescent="0.25"/>
    <row r="243884" s="12" customFormat="1" x14ac:dyDescent="0.25"/>
    <row r="243885" s="12" customFormat="1" x14ac:dyDescent="0.25"/>
    <row r="243886" s="12" customFormat="1" x14ac:dyDescent="0.25"/>
    <row r="243887" s="12" customFormat="1" x14ac:dyDescent="0.25"/>
    <row r="243888" s="12" customFormat="1" x14ac:dyDescent="0.25"/>
    <row r="243889" s="12" customFormat="1" x14ac:dyDescent="0.25"/>
    <row r="243890" s="12" customFormat="1" x14ac:dyDescent="0.25"/>
    <row r="243891" s="12" customFormat="1" x14ac:dyDescent="0.25"/>
    <row r="243892" s="12" customFormat="1" x14ac:dyDescent="0.25"/>
    <row r="243893" s="12" customFormat="1" x14ac:dyDescent="0.25"/>
    <row r="243894" s="12" customFormat="1" x14ac:dyDescent="0.25"/>
    <row r="243895" s="12" customFormat="1" x14ac:dyDescent="0.25"/>
    <row r="243896" s="12" customFormat="1" x14ac:dyDescent="0.25"/>
    <row r="243897" s="12" customFormat="1" x14ac:dyDescent="0.25"/>
    <row r="243898" s="12" customFormat="1" x14ac:dyDescent="0.25"/>
    <row r="243899" s="12" customFormat="1" x14ac:dyDescent="0.25"/>
    <row r="243900" s="12" customFormat="1" x14ac:dyDescent="0.25"/>
    <row r="243901" s="12" customFormat="1" x14ac:dyDescent="0.25"/>
    <row r="243902" s="12" customFormat="1" x14ac:dyDescent="0.25"/>
    <row r="243903" s="12" customFormat="1" x14ac:dyDescent="0.25"/>
    <row r="243904" s="12" customFormat="1" x14ac:dyDescent="0.25"/>
    <row r="243905" s="12" customFormat="1" x14ac:dyDescent="0.25"/>
    <row r="243906" s="12" customFormat="1" x14ac:dyDescent="0.25"/>
    <row r="243907" s="12" customFormat="1" x14ac:dyDescent="0.25"/>
    <row r="243908" s="12" customFormat="1" x14ac:dyDescent="0.25"/>
    <row r="243909" s="12" customFormat="1" x14ac:dyDescent="0.25"/>
    <row r="243910" s="12" customFormat="1" x14ac:dyDescent="0.25"/>
    <row r="243911" s="12" customFormat="1" x14ac:dyDescent="0.25"/>
    <row r="243912" s="12" customFormat="1" x14ac:dyDescent="0.25"/>
    <row r="243913" s="12" customFormat="1" x14ac:dyDescent="0.25"/>
    <row r="243914" s="12" customFormat="1" x14ac:dyDescent="0.25"/>
    <row r="243915" s="12" customFormat="1" x14ac:dyDescent="0.25"/>
    <row r="243916" s="12" customFormat="1" x14ac:dyDescent="0.25"/>
    <row r="243917" s="12" customFormat="1" x14ac:dyDescent="0.25"/>
    <row r="243918" s="12" customFormat="1" x14ac:dyDescent="0.25"/>
    <row r="243919" s="12" customFormat="1" x14ac:dyDescent="0.25"/>
    <row r="243920" s="12" customFormat="1" x14ac:dyDescent="0.25"/>
    <row r="243921" s="12" customFormat="1" x14ac:dyDescent="0.25"/>
    <row r="243922" s="12" customFormat="1" x14ac:dyDescent="0.25"/>
    <row r="243923" s="12" customFormat="1" x14ac:dyDescent="0.25"/>
    <row r="243924" s="12" customFormat="1" x14ac:dyDescent="0.25"/>
    <row r="243925" s="12" customFormat="1" x14ac:dyDescent="0.25"/>
    <row r="243926" s="12" customFormat="1" x14ac:dyDescent="0.25"/>
    <row r="243927" s="12" customFormat="1" x14ac:dyDescent="0.25"/>
    <row r="243928" s="12" customFormat="1" x14ac:dyDescent="0.25"/>
    <row r="243929" s="12" customFormat="1" x14ac:dyDescent="0.25"/>
    <row r="243930" s="12" customFormat="1" x14ac:dyDescent="0.25"/>
    <row r="243931" s="12" customFormat="1" x14ac:dyDescent="0.25"/>
    <row r="243932" s="12" customFormat="1" x14ac:dyDescent="0.25"/>
    <row r="243933" s="12" customFormat="1" x14ac:dyDescent="0.25"/>
    <row r="243934" s="12" customFormat="1" x14ac:dyDescent="0.25"/>
    <row r="243935" s="12" customFormat="1" x14ac:dyDescent="0.25"/>
    <row r="243936" s="12" customFormat="1" x14ac:dyDescent="0.25"/>
    <row r="243937" s="12" customFormat="1" x14ac:dyDescent="0.25"/>
    <row r="243938" s="12" customFormat="1" x14ac:dyDescent="0.25"/>
    <row r="243939" s="12" customFormat="1" x14ac:dyDescent="0.25"/>
    <row r="243940" s="12" customFormat="1" x14ac:dyDescent="0.25"/>
    <row r="243941" s="12" customFormat="1" x14ac:dyDescent="0.25"/>
    <row r="243942" s="12" customFormat="1" x14ac:dyDescent="0.25"/>
    <row r="243943" s="12" customFormat="1" x14ac:dyDescent="0.25"/>
    <row r="243944" s="12" customFormat="1" x14ac:dyDescent="0.25"/>
    <row r="243945" s="12" customFormat="1" x14ac:dyDescent="0.25"/>
    <row r="243946" s="12" customFormat="1" x14ac:dyDescent="0.25"/>
    <row r="243947" s="12" customFormat="1" x14ac:dyDescent="0.25"/>
    <row r="243948" s="12" customFormat="1" x14ac:dyDescent="0.25"/>
    <row r="243949" s="12" customFormat="1" x14ac:dyDescent="0.25"/>
    <row r="243950" s="12" customFormat="1" x14ac:dyDescent="0.25"/>
    <row r="243951" s="12" customFormat="1" x14ac:dyDescent="0.25"/>
    <row r="243952" s="12" customFormat="1" x14ac:dyDescent="0.25"/>
    <row r="243953" s="12" customFormat="1" x14ac:dyDescent="0.25"/>
    <row r="243954" s="12" customFormat="1" x14ac:dyDescent="0.25"/>
    <row r="243955" s="12" customFormat="1" x14ac:dyDescent="0.25"/>
    <row r="243956" s="12" customFormat="1" x14ac:dyDescent="0.25"/>
    <row r="243957" s="12" customFormat="1" x14ac:dyDescent="0.25"/>
    <row r="243958" s="12" customFormat="1" x14ac:dyDescent="0.25"/>
    <row r="243959" s="12" customFormat="1" x14ac:dyDescent="0.25"/>
    <row r="243960" s="12" customFormat="1" x14ac:dyDescent="0.25"/>
    <row r="243961" s="12" customFormat="1" x14ac:dyDescent="0.25"/>
    <row r="243962" s="12" customFormat="1" x14ac:dyDescent="0.25"/>
    <row r="243963" s="12" customFormat="1" x14ac:dyDescent="0.25"/>
    <row r="243964" s="12" customFormat="1" x14ac:dyDescent="0.25"/>
    <row r="243965" s="12" customFormat="1" x14ac:dyDescent="0.25"/>
    <row r="243966" s="12" customFormat="1" x14ac:dyDescent="0.25"/>
    <row r="243967" s="12" customFormat="1" x14ac:dyDescent="0.25"/>
    <row r="243968" s="12" customFormat="1" x14ac:dyDescent="0.25"/>
    <row r="243969" s="12" customFormat="1" x14ac:dyDescent="0.25"/>
    <row r="243970" s="12" customFormat="1" x14ac:dyDescent="0.25"/>
    <row r="243971" s="12" customFormat="1" x14ac:dyDescent="0.25"/>
    <row r="243972" s="12" customFormat="1" x14ac:dyDescent="0.25"/>
    <row r="243973" s="12" customFormat="1" x14ac:dyDescent="0.25"/>
    <row r="243974" s="12" customFormat="1" x14ac:dyDescent="0.25"/>
    <row r="243975" s="12" customFormat="1" x14ac:dyDescent="0.25"/>
    <row r="243976" s="12" customFormat="1" x14ac:dyDescent="0.25"/>
    <row r="243977" s="12" customFormat="1" x14ac:dyDescent="0.25"/>
    <row r="243978" s="12" customFormat="1" x14ac:dyDescent="0.25"/>
    <row r="243979" s="12" customFormat="1" x14ac:dyDescent="0.25"/>
    <row r="243980" s="12" customFormat="1" x14ac:dyDescent="0.25"/>
    <row r="243981" s="12" customFormat="1" x14ac:dyDescent="0.25"/>
    <row r="243982" s="12" customFormat="1" x14ac:dyDescent="0.25"/>
    <row r="243983" s="12" customFormat="1" x14ac:dyDescent="0.25"/>
    <row r="243984" s="12" customFormat="1" x14ac:dyDescent="0.25"/>
    <row r="243985" s="12" customFormat="1" x14ac:dyDescent="0.25"/>
    <row r="243986" s="12" customFormat="1" x14ac:dyDescent="0.25"/>
    <row r="243987" s="12" customFormat="1" x14ac:dyDescent="0.25"/>
    <row r="243988" s="12" customFormat="1" x14ac:dyDescent="0.25"/>
    <row r="243989" s="12" customFormat="1" x14ac:dyDescent="0.25"/>
    <row r="243990" s="12" customFormat="1" x14ac:dyDescent="0.25"/>
    <row r="243991" s="12" customFormat="1" x14ac:dyDescent="0.25"/>
    <row r="243992" s="12" customFormat="1" x14ac:dyDescent="0.25"/>
    <row r="243993" s="12" customFormat="1" x14ac:dyDescent="0.25"/>
    <row r="243994" s="12" customFormat="1" x14ac:dyDescent="0.25"/>
    <row r="243995" s="12" customFormat="1" x14ac:dyDescent="0.25"/>
    <row r="243996" s="12" customFormat="1" x14ac:dyDescent="0.25"/>
    <row r="243997" s="12" customFormat="1" x14ac:dyDescent="0.25"/>
    <row r="243998" s="12" customFormat="1" x14ac:dyDescent="0.25"/>
    <row r="243999" s="12" customFormat="1" x14ac:dyDescent="0.25"/>
    <row r="244000" s="12" customFormat="1" x14ac:dyDescent="0.25"/>
    <row r="244001" s="12" customFormat="1" x14ac:dyDescent="0.25"/>
    <row r="244002" s="12" customFormat="1" x14ac:dyDescent="0.25"/>
    <row r="244003" s="12" customFormat="1" x14ac:dyDescent="0.25"/>
    <row r="244004" s="12" customFormat="1" x14ac:dyDescent="0.25"/>
    <row r="244005" s="12" customFormat="1" x14ac:dyDescent="0.25"/>
    <row r="244006" s="12" customFormat="1" x14ac:dyDescent="0.25"/>
    <row r="244007" s="12" customFormat="1" x14ac:dyDescent="0.25"/>
    <row r="244008" s="12" customFormat="1" x14ac:dyDescent="0.25"/>
    <row r="244009" s="12" customFormat="1" x14ac:dyDescent="0.25"/>
    <row r="244010" s="12" customFormat="1" x14ac:dyDescent="0.25"/>
    <row r="244011" s="12" customFormat="1" x14ac:dyDescent="0.25"/>
    <row r="244012" s="12" customFormat="1" x14ac:dyDescent="0.25"/>
    <row r="244013" s="12" customFormat="1" x14ac:dyDescent="0.25"/>
    <row r="244014" s="12" customFormat="1" x14ac:dyDescent="0.25"/>
    <row r="244015" s="12" customFormat="1" x14ac:dyDescent="0.25"/>
    <row r="244016" s="12" customFormat="1" x14ac:dyDescent="0.25"/>
    <row r="244017" s="12" customFormat="1" x14ac:dyDescent="0.25"/>
    <row r="244018" s="12" customFormat="1" x14ac:dyDescent="0.25"/>
    <row r="244019" s="12" customFormat="1" x14ac:dyDescent="0.25"/>
    <row r="244020" s="12" customFormat="1" x14ac:dyDescent="0.25"/>
    <row r="244021" s="12" customFormat="1" x14ac:dyDescent="0.25"/>
    <row r="244022" s="12" customFormat="1" x14ac:dyDescent="0.25"/>
    <row r="244023" s="12" customFormat="1" x14ac:dyDescent="0.25"/>
    <row r="244024" s="12" customFormat="1" x14ac:dyDescent="0.25"/>
    <row r="244025" s="12" customFormat="1" x14ac:dyDescent="0.25"/>
    <row r="244026" s="12" customFormat="1" x14ac:dyDescent="0.25"/>
    <row r="244027" s="12" customFormat="1" x14ac:dyDescent="0.25"/>
    <row r="244028" s="12" customFormat="1" x14ac:dyDescent="0.25"/>
    <row r="244029" s="12" customFormat="1" x14ac:dyDescent="0.25"/>
    <row r="244030" s="12" customFormat="1" x14ac:dyDescent="0.25"/>
    <row r="244031" s="12" customFormat="1" x14ac:dyDescent="0.25"/>
    <row r="244032" s="12" customFormat="1" x14ac:dyDescent="0.25"/>
    <row r="244033" s="12" customFormat="1" x14ac:dyDescent="0.25"/>
    <row r="244034" s="12" customFormat="1" x14ac:dyDescent="0.25"/>
    <row r="244035" s="12" customFormat="1" x14ac:dyDescent="0.25"/>
    <row r="244036" s="12" customFormat="1" x14ac:dyDescent="0.25"/>
    <row r="244037" s="12" customFormat="1" x14ac:dyDescent="0.25"/>
    <row r="244038" s="12" customFormat="1" x14ac:dyDescent="0.25"/>
    <row r="244039" s="12" customFormat="1" x14ac:dyDescent="0.25"/>
    <row r="244040" s="12" customFormat="1" x14ac:dyDescent="0.25"/>
    <row r="244041" s="12" customFormat="1" x14ac:dyDescent="0.25"/>
    <row r="244042" s="12" customFormat="1" x14ac:dyDescent="0.25"/>
    <row r="244043" s="12" customFormat="1" x14ac:dyDescent="0.25"/>
    <row r="244044" s="12" customFormat="1" x14ac:dyDescent="0.25"/>
    <row r="244045" s="12" customFormat="1" x14ac:dyDescent="0.25"/>
    <row r="244046" s="12" customFormat="1" x14ac:dyDescent="0.25"/>
    <row r="244047" s="12" customFormat="1" x14ac:dyDescent="0.25"/>
    <row r="244048" s="12" customFormat="1" x14ac:dyDescent="0.25"/>
    <row r="244049" s="12" customFormat="1" x14ac:dyDescent="0.25"/>
    <row r="244050" s="12" customFormat="1" x14ac:dyDescent="0.25"/>
    <row r="244051" s="12" customFormat="1" x14ac:dyDescent="0.25"/>
    <row r="244052" s="12" customFormat="1" x14ac:dyDescent="0.25"/>
    <row r="244053" s="12" customFormat="1" x14ac:dyDescent="0.25"/>
    <row r="244054" s="12" customFormat="1" x14ac:dyDescent="0.25"/>
    <row r="244055" s="12" customFormat="1" x14ac:dyDescent="0.25"/>
    <row r="244056" s="12" customFormat="1" x14ac:dyDescent="0.25"/>
    <row r="244057" s="12" customFormat="1" x14ac:dyDescent="0.25"/>
    <row r="244058" s="12" customFormat="1" x14ac:dyDescent="0.25"/>
    <row r="244059" s="12" customFormat="1" x14ac:dyDescent="0.25"/>
    <row r="244060" s="12" customFormat="1" x14ac:dyDescent="0.25"/>
    <row r="244061" s="12" customFormat="1" x14ac:dyDescent="0.25"/>
    <row r="244062" s="12" customFormat="1" x14ac:dyDescent="0.25"/>
    <row r="244063" s="12" customFormat="1" x14ac:dyDescent="0.25"/>
    <row r="244064" s="12" customFormat="1" x14ac:dyDescent="0.25"/>
    <row r="244065" s="12" customFormat="1" x14ac:dyDescent="0.25"/>
    <row r="244066" s="12" customFormat="1" x14ac:dyDescent="0.25"/>
    <row r="244067" s="12" customFormat="1" x14ac:dyDescent="0.25"/>
    <row r="244068" s="12" customFormat="1" x14ac:dyDescent="0.25"/>
    <row r="244069" s="12" customFormat="1" x14ac:dyDescent="0.25"/>
    <row r="244070" s="12" customFormat="1" x14ac:dyDescent="0.25"/>
    <row r="244071" s="12" customFormat="1" x14ac:dyDescent="0.25"/>
    <row r="244072" s="12" customFormat="1" x14ac:dyDescent="0.25"/>
    <row r="244073" s="12" customFormat="1" x14ac:dyDescent="0.25"/>
    <row r="244074" s="12" customFormat="1" x14ac:dyDescent="0.25"/>
    <row r="244075" s="12" customFormat="1" x14ac:dyDescent="0.25"/>
    <row r="244076" s="12" customFormat="1" x14ac:dyDescent="0.25"/>
    <row r="244077" s="12" customFormat="1" x14ac:dyDescent="0.25"/>
    <row r="244078" s="12" customFormat="1" x14ac:dyDescent="0.25"/>
    <row r="244079" s="12" customFormat="1" x14ac:dyDescent="0.25"/>
    <row r="244080" s="12" customFormat="1" x14ac:dyDescent="0.25"/>
    <row r="244081" s="12" customFormat="1" x14ac:dyDescent="0.25"/>
    <row r="244082" s="12" customFormat="1" x14ac:dyDescent="0.25"/>
    <row r="244083" s="12" customFormat="1" x14ac:dyDescent="0.25"/>
    <row r="244084" s="12" customFormat="1" x14ac:dyDescent="0.25"/>
    <row r="244085" s="12" customFormat="1" x14ac:dyDescent="0.25"/>
    <row r="244086" s="12" customFormat="1" x14ac:dyDescent="0.25"/>
    <row r="244087" s="12" customFormat="1" x14ac:dyDescent="0.25"/>
    <row r="244088" s="12" customFormat="1" x14ac:dyDescent="0.25"/>
    <row r="244089" s="12" customFormat="1" x14ac:dyDescent="0.25"/>
    <row r="244090" s="12" customFormat="1" x14ac:dyDescent="0.25"/>
    <row r="244091" s="12" customFormat="1" x14ac:dyDescent="0.25"/>
    <row r="244092" s="12" customFormat="1" x14ac:dyDescent="0.25"/>
    <row r="244093" s="12" customFormat="1" x14ac:dyDescent="0.25"/>
    <row r="244094" s="12" customFormat="1" x14ac:dyDescent="0.25"/>
    <row r="244095" s="12" customFormat="1" x14ac:dyDescent="0.25"/>
    <row r="244096" s="12" customFormat="1" x14ac:dyDescent="0.25"/>
    <row r="244097" s="12" customFormat="1" x14ac:dyDescent="0.25"/>
    <row r="244098" s="12" customFormat="1" x14ac:dyDescent="0.25"/>
    <row r="244099" s="12" customFormat="1" x14ac:dyDescent="0.25"/>
    <row r="244100" s="12" customFormat="1" x14ac:dyDescent="0.25"/>
    <row r="244101" s="12" customFormat="1" x14ac:dyDescent="0.25"/>
    <row r="244102" s="12" customFormat="1" x14ac:dyDescent="0.25"/>
    <row r="244103" s="12" customFormat="1" x14ac:dyDescent="0.25"/>
    <row r="244104" s="12" customFormat="1" x14ac:dyDescent="0.25"/>
    <row r="244105" s="12" customFormat="1" x14ac:dyDescent="0.25"/>
    <row r="244106" s="12" customFormat="1" x14ac:dyDescent="0.25"/>
    <row r="244107" s="12" customFormat="1" x14ac:dyDescent="0.25"/>
    <row r="244108" s="12" customFormat="1" x14ac:dyDescent="0.25"/>
    <row r="244109" s="12" customFormat="1" x14ac:dyDescent="0.25"/>
    <row r="244110" s="12" customFormat="1" x14ac:dyDescent="0.25"/>
    <row r="244111" s="12" customFormat="1" x14ac:dyDescent="0.25"/>
    <row r="244112" s="12" customFormat="1" x14ac:dyDescent="0.25"/>
    <row r="244113" s="12" customFormat="1" x14ac:dyDescent="0.25"/>
    <row r="244114" s="12" customFormat="1" x14ac:dyDescent="0.25"/>
    <row r="244115" s="12" customFormat="1" x14ac:dyDescent="0.25"/>
    <row r="244116" s="12" customFormat="1" x14ac:dyDescent="0.25"/>
    <row r="244117" s="12" customFormat="1" x14ac:dyDescent="0.25"/>
    <row r="244118" s="12" customFormat="1" x14ac:dyDescent="0.25"/>
    <row r="244119" s="12" customFormat="1" x14ac:dyDescent="0.25"/>
    <row r="244120" s="12" customFormat="1" x14ac:dyDescent="0.25"/>
    <row r="244121" s="12" customFormat="1" x14ac:dyDescent="0.25"/>
    <row r="244122" s="12" customFormat="1" x14ac:dyDescent="0.25"/>
    <row r="244123" s="12" customFormat="1" x14ac:dyDescent="0.25"/>
    <row r="244124" s="12" customFormat="1" x14ac:dyDescent="0.25"/>
    <row r="244125" s="12" customFormat="1" x14ac:dyDescent="0.25"/>
    <row r="244126" s="12" customFormat="1" x14ac:dyDescent="0.25"/>
    <row r="244127" s="12" customFormat="1" x14ac:dyDescent="0.25"/>
    <row r="244128" s="12" customFormat="1" x14ac:dyDescent="0.25"/>
    <row r="244129" s="12" customFormat="1" x14ac:dyDescent="0.25"/>
    <row r="244130" s="12" customFormat="1" x14ac:dyDescent="0.25"/>
    <row r="244131" s="12" customFormat="1" x14ac:dyDescent="0.25"/>
    <row r="244132" s="12" customFormat="1" x14ac:dyDescent="0.25"/>
    <row r="244133" s="12" customFormat="1" x14ac:dyDescent="0.25"/>
    <row r="244134" s="12" customFormat="1" x14ac:dyDescent="0.25"/>
    <row r="244135" s="12" customFormat="1" x14ac:dyDescent="0.25"/>
    <row r="244136" s="12" customFormat="1" x14ac:dyDescent="0.25"/>
    <row r="244137" s="12" customFormat="1" x14ac:dyDescent="0.25"/>
    <row r="244138" s="12" customFormat="1" x14ac:dyDescent="0.25"/>
    <row r="244139" s="12" customFormat="1" x14ac:dyDescent="0.25"/>
    <row r="244140" s="12" customFormat="1" x14ac:dyDescent="0.25"/>
    <row r="244141" s="12" customFormat="1" x14ac:dyDescent="0.25"/>
    <row r="244142" s="12" customFormat="1" x14ac:dyDescent="0.25"/>
    <row r="244143" s="12" customFormat="1" x14ac:dyDescent="0.25"/>
    <row r="244144" s="12" customFormat="1" x14ac:dyDescent="0.25"/>
    <row r="244145" s="12" customFormat="1" x14ac:dyDescent="0.25"/>
    <row r="244146" s="12" customFormat="1" x14ac:dyDescent="0.25"/>
    <row r="244147" s="12" customFormat="1" x14ac:dyDescent="0.25"/>
    <row r="244148" s="12" customFormat="1" x14ac:dyDescent="0.25"/>
    <row r="244149" s="12" customFormat="1" x14ac:dyDescent="0.25"/>
    <row r="244150" s="12" customFormat="1" x14ac:dyDescent="0.25"/>
    <row r="244151" s="12" customFormat="1" x14ac:dyDescent="0.25"/>
    <row r="244152" s="12" customFormat="1" x14ac:dyDescent="0.25"/>
    <row r="244153" s="12" customFormat="1" x14ac:dyDescent="0.25"/>
    <row r="244154" s="12" customFormat="1" x14ac:dyDescent="0.25"/>
    <row r="244155" s="12" customFormat="1" x14ac:dyDescent="0.25"/>
    <row r="244156" s="12" customFormat="1" x14ac:dyDescent="0.25"/>
    <row r="244157" s="12" customFormat="1" x14ac:dyDescent="0.25"/>
    <row r="244158" s="12" customFormat="1" x14ac:dyDescent="0.25"/>
    <row r="244159" s="12" customFormat="1" x14ac:dyDescent="0.25"/>
    <row r="244160" s="12" customFormat="1" x14ac:dyDescent="0.25"/>
    <row r="244161" s="12" customFormat="1" x14ac:dyDescent="0.25"/>
    <row r="244162" s="12" customFormat="1" x14ac:dyDescent="0.25"/>
    <row r="244163" s="12" customFormat="1" x14ac:dyDescent="0.25"/>
    <row r="244164" s="12" customFormat="1" x14ac:dyDescent="0.25"/>
    <row r="244165" s="12" customFormat="1" x14ac:dyDescent="0.25"/>
    <row r="244166" s="12" customFormat="1" x14ac:dyDescent="0.25"/>
    <row r="244167" s="12" customFormat="1" x14ac:dyDescent="0.25"/>
    <row r="244168" s="12" customFormat="1" x14ac:dyDescent="0.25"/>
    <row r="244169" s="12" customFormat="1" x14ac:dyDescent="0.25"/>
    <row r="244170" s="12" customFormat="1" x14ac:dyDescent="0.25"/>
    <row r="244171" s="12" customFormat="1" x14ac:dyDescent="0.25"/>
    <row r="244172" s="12" customFormat="1" x14ac:dyDescent="0.25"/>
    <row r="244173" s="12" customFormat="1" x14ac:dyDescent="0.25"/>
    <row r="244174" s="12" customFormat="1" x14ac:dyDescent="0.25"/>
    <row r="244175" s="12" customFormat="1" x14ac:dyDescent="0.25"/>
    <row r="244176" s="12" customFormat="1" x14ac:dyDescent="0.25"/>
    <row r="244177" s="12" customFormat="1" x14ac:dyDescent="0.25"/>
    <row r="244178" s="12" customFormat="1" x14ac:dyDescent="0.25"/>
    <row r="244179" s="12" customFormat="1" x14ac:dyDescent="0.25"/>
    <row r="244180" s="12" customFormat="1" x14ac:dyDescent="0.25"/>
    <row r="244181" s="12" customFormat="1" x14ac:dyDescent="0.25"/>
    <row r="244182" s="12" customFormat="1" x14ac:dyDescent="0.25"/>
    <row r="244183" s="12" customFormat="1" x14ac:dyDescent="0.25"/>
    <row r="244184" s="12" customFormat="1" x14ac:dyDescent="0.25"/>
    <row r="244185" s="12" customFormat="1" x14ac:dyDescent="0.25"/>
    <row r="244186" s="12" customFormat="1" x14ac:dyDescent="0.25"/>
    <row r="244187" s="12" customFormat="1" x14ac:dyDescent="0.25"/>
    <row r="244188" s="12" customFormat="1" x14ac:dyDescent="0.25"/>
    <row r="244189" s="12" customFormat="1" x14ac:dyDescent="0.25"/>
    <row r="244190" s="12" customFormat="1" x14ac:dyDescent="0.25"/>
    <row r="244191" s="12" customFormat="1" x14ac:dyDescent="0.25"/>
    <row r="244192" s="12" customFormat="1" x14ac:dyDescent="0.25"/>
    <row r="244193" s="12" customFormat="1" x14ac:dyDescent="0.25"/>
    <row r="244194" s="12" customFormat="1" x14ac:dyDescent="0.25"/>
    <row r="244195" s="12" customFormat="1" x14ac:dyDescent="0.25"/>
    <row r="244196" s="12" customFormat="1" x14ac:dyDescent="0.25"/>
    <row r="244197" s="12" customFormat="1" x14ac:dyDescent="0.25"/>
    <row r="244198" s="12" customFormat="1" x14ac:dyDescent="0.25"/>
    <row r="244199" s="12" customFormat="1" x14ac:dyDescent="0.25"/>
    <row r="244200" s="12" customFormat="1" x14ac:dyDescent="0.25"/>
    <row r="244201" s="12" customFormat="1" x14ac:dyDescent="0.25"/>
    <row r="244202" s="12" customFormat="1" x14ac:dyDescent="0.25"/>
    <row r="244203" s="12" customFormat="1" x14ac:dyDescent="0.25"/>
    <row r="244204" s="12" customFormat="1" x14ac:dyDescent="0.25"/>
    <row r="244205" s="12" customFormat="1" x14ac:dyDescent="0.25"/>
    <row r="244206" s="12" customFormat="1" x14ac:dyDescent="0.25"/>
    <row r="244207" s="12" customFormat="1" x14ac:dyDescent="0.25"/>
    <row r="244208" s="12" customFormat="1" x14ac:dyDescent="0.25"/>
    <row r="244209" s="12" customFormat="1" x14ac:dyDescent="0.25"/>
    <row r="244210" s="12" customFormat="1" x14ac:dyDescent="0.25"/>
    <row r="244211" s="12" customFormat="1" x14ac:dyDescent="0.25"/>
    <row r="244212" s="12" customFormat="1" x14ac:dyDescent="0.25"/>
    <row r="244213" s="12" customFormat="1" x14ac:dyDescent="0.25"/>
    <row r="244214" s="12" customFormat="1" x14ac:dyDescent="0.25"/>
    <row r="244215" s="12" customFormat="1" x14ac:dyDescent="0.25"/>
    <row r="244216" s="12" customFormat="1" x14ac:dyDescent="0.25"/>
    <row r="244217" s="12" customFormat="1" x14ac:dyDescent="0.25"/>
    <row r="244218" s="12" customFormat="1" x14ac:dyDescent="0.25"/>
    <row r="244219" s="12" customFormat="1" x14ac:dyDescent="0.25"/>
    <row r="244220" s="12" customFormat="1" x14ac:dyDescent="0.25"/>
    <row r="244221" s="12" customFormat="1" x14ac:dyDescent="0.25"/>
    <row r="244222" s="12" customFormat="1" x14ac:dyDescent="0.25"/>
    <row r="244223" s="12" customFormat="1" x14ac:dyDescent="0.25"/>
    <row r="244224" s="12" customFormat="1" x14ac:dyDescent="0.25"/>
    <row r="244225" s="12" customFormat="1" x14ac:dyDescent="0.25"/>
    <row r="244226" s="12" customFormat="1" x14ac:dyDescent="0.25"/>
    <row r="244227" s="12" customFormat="1" x14ac:dyDescent="0.25"/>
    <row r="244228" s="12" customFormat="1" x14ac:dyDescent="0.25"/>
    <row r="244229" s="12" customFormat="1" x14ac:dyDescent="0.25"/>
    <row r="244230" s="12" customFormat="1" x14ac:dyDescent="0.25"/>
    <row r="244231" s="12" customFormat="1" x14ac:dyDescent="0.25"/>
    <row r="244232" s="12" customFormat="1" x14ac:dyDescent="0.25"/>
    <row r="244233" s="12" customFormat="1" x14ac:dyDescent="0.25"/>
    <row r="244234" s="12" customFormat="1" x14ac:dyDescent="0.25"/>
    <row r="244235" s="12" customFormat="1" x14ac:dyDescent="0.25"/>
    <row r="244236" s="12" customFormat="1" x14ac:dyDescent="0.25"/>
    <row r="244237" s="12" customFormat="1" x14ac:dyDescent="0.25"/>
    <row r="244238" s="12" customFormat="1" x14ac:dyDescent="0.25"/>
    <row r="244239" s="12" customFormat="1" x14ac:dyDescent="0.25"/>
    <row r="244240" s="12" customFormat="1" x14ac:dyDescent="0.25"/>
    <row r="244241" s="12" customFormat="1" x14ac:dyDescent="0.25"/>
    <row r="244242" s="12" customFormat="1" x14ac:dyDescent="0.25"/>
    <row r="244243" s="12" customFormat="1" x14ac:dyDescent="0.25"/>
    <row r="244244" s="12" customFormat="1" x14ac:dyDescent="0.25"/>
    <row r="244245" s="12" customFormat="1" x14ac:dyDescent="0.25"/>
    <row r="244246" s="12" customFormat="1" x14ac:dyDescent="0.25"/>
    <row r="244247" s="12" customFormat="1" x14ac:dyDescent="0.25"/>
    <row r="244248" s="12" customFormat="1" x14ac:dyDescent="0.25"/>
    <row r="244249" s="12" customFormat="1" x14ac:dyDescent="0.25"/>
    <row r="244250" s="12" customFormat="1" x14ac:dyDescent="0.25"/>
    <row r="244251" s="12" customFormat="1" x14ac:dyDescent="0.25"/>
    <row r="244252" s="12" customFormat="1" x14ac:dyDescent="0.25"/>
    <row r="244253" s="12" customFormat="1" x14ac:dyDescent="0.25"/>
    <row r="244254" s="12" customFormat="1" x14ac:dyDescent="0.25"/>
    <row r="244255" s="12" customFormat="1" x14ac:dyDescent="0.25"/>
    <row r="244256" s="12" customFormat="1" x14ac:dyDescent="0.25"/>
    <row r="244257" s="12" customFormat="1" x14ac:dyDescent="0.25"/>
    <row r="244258" s="12" customFormat="1" x14ac:dyDescent="0.25"/>
    <row r="244259" s="12" customFormat="1" x14ac:dyDescent="0.25"/>
    <row r="244260" s="12" customFormat="1" x14ac:dyDescent="0.25"/>
    <row r="244261" s="12" customFormat="1" x14ac:dyDescent="0.25"/>
    <row r="244262" s="12" customFormat="1" x14ac:dyDescent="0.25"/>
    <row r="244263" s="12" customFormat="1" x14ac:dyDescent="0.25"/>
    <row r="244264" s="12" customFormat="1" x14ac:dyDescent="0.25"/>
    <row r="244265" s="12" customFormat="1" x14ac:dyDescent="0.25"/>
    <row r="244266" s="12" customFormat="1" x14ac:dyDescent="0.25"/>
    <row r="244267" s="12" customFormat="1" x14ac:dyDescent="0.25"/>
    <row r="244268" s="12" customFormat="1" x14ac:dyDescent="0.25"/>
    <row r="244269" s="12" customFormat="1" x14ac:dyDescent="0.25"/>
    <row r="244270" s="12" customFormat="1" x14ac:dyDescent="0.25"/>
    <row r="244271" s="12" customFormat="1" x14ac:dyDescent="0.25"/>
    <row r="244272" s="12" customFormat="1" x14ac:dyDescent="0.25"/>
    <row r="244273" s="12" customFormat="1" x14ac:dyDescent="0.25"/>
    <row r="244274" s="12" customFormat="1" x14ac:dyDescent="0.25"/>
    <row r="244275" s="12" customFormat="1" x14ac:dyDescent="0.25"/>
    <row r="244276" s="12" customFormat="1" x14ac:dyDescent="0.25"/>
    <row r="244277" s="12" customFormat="1" x14ac:dyDescent="0.25"/>
    <row r="244278" s="12" customFormat="1" x14ac:dyDescent="0.25"/>
    <row r="244279" s="12" customFormat="1" x14ac:dyDescent="0.25"/>
    <row r="244280" s="12" customFormat="1" x14ac:dyDescent="0.25"/>
    <row r="244281" s="12" customFormat="1" x14ac:dyDescent="0.25"/>
    <row r="244282" s="12" customFormat="1" x14ac:dyDescent="0.25"/>
    <row r="244283" s="12" customFormat="1" x14ac:dyDescent="0.25"/>
    <row r="244284" s="12" customFormat="1" x14ac:dyDescent="0.25"/>
    <row r="244285" s="12" customFormat="1" x14ac:dyDescent="0.25"/>
    <row r="244286" s="12" customFormat="1" x14ac:dyDescent="0.25"/>
    <row r="244287" s="12" customFormat="1" x14ac:dyDescent="0.25"/>
    <row r="244288" s="12" customFormat="1" x14ac:dyDescent="0.25"/>
    <row r="244289" s="12" customFormat="1" x14ac:dyDescent="0.25"/>
    <row r="244290" s="12" customFormat="1" x14ac:dyDescent="0.25"/>
    <row r="244291" s="12" customFormat="1" x14ac:dyDescent="0.25"/>
    <row r="244292" s="12" customFormat="1" x14ac:dyDescent="0.25"/>
    <row r="244293" s="12" customFormat="1" x14ac:dyDescent="0.25"/>
    <row r="244294" s="12" customFormat="1" x14ac:dyDescent="0.25"/>
    <row r="244295" s="12" customFormat="1" x14ac:dyDescent="0.25"/>
    <row r="244296" s="12" customFormat="1" x14ac:dyDescent="0.25"/>
    <row r="244297" s="12" customFormat="1" x14ac:dyDescent="0.25"/>
    <row r="244298" s="12" customFormat="1" x14ac:dyDescent="0.25"/>
    <row r="244299" s="12" customFormat="1" x14ac:dyDescent="0.25"/>
    <row r="244300" s="12" customFormat="1" x14ac:dyDescent="0.25"/>
    <row r="244301" s="12" customFormat="1" x14ac:dyDescent="0.25"/>
    <row r="244302" s="12" customFormat="1" x14ac:dyDescent="0.25"/>
    <row r="244303" s="12" customFormat="1" x14ac:dyDescent="0.25"/>
    <row r="244304" s="12" customFormat="1" x14ac:dyDescent="0.25"/>
    <row r="244305" s="12" customFormat="1" x14ac:dyDescent="0.25"/>
    <row r="244306" s="12" customFormat="1" x14ac:dyDescent="0.25"/>
    <row r="244307" s="12" customFormat="1" x14ac:dyDescent="0.25"/>
    <row r="244308" s="12" customFormat="1" x14ac:dyDescent="0.25"/>
    <row r="244309" s="12" customFormat="1" x14ac:dyDescent="0.25"/>
    <row r="244310" s="12" customFormat="1" x14ac:dyDescent="0.25"/>
    <row r="244311" s="12" customFormat="1" x14ac:dyDescent="0.25"/>
    <row r="244312" s="12" customFormat="1" x14ac:dyDescent="0.25"/>
    <row r="244313" s="12" customFormat="1" x14ac:dyDescent="0.25"/>
    <row r="244314" s="12" customFormat="1" x14ac:dyDescent="0.25"/>
    <row r="244315" s="12" customFormat="1" x14ac:dyDescent="0.25"/>
    <row r="244316" s="12" customFormat="1" x14ac:dyDescent="0.25"/>
    <row r="244317" s="12" customFormat="1" x14ac:dyDescent="0.25"/>
    <row r="244318" s="12" customFormat="1" x14ac:dyDescent="0.25"/>
    <row r="244319" s="12" customFormat="1" x14ac:dyDescent="0.25"/>
    <row r="244320" s="12" customFormat="1" x14ac:dyDescent="0.25"/>
    <row r="244321" s="12" customFormat="1" x14ac:dyDescent="0.25"/>
    <row r="244322" s="12" customFormat="1" x14ac:dyDescent="0.25"/>
    <row r="244323" s="12" customFormat="1" x14ac:dyDescent="0.25"/>
    <row r="244324" s="12" customFormat="1" x14ac:dyDescent="0.25"/>
    <row r="244325" s="12" customFormat="1" x14ac:dyDescent="0.25"/>
    <row r="244326" s="12" customFormat="1" x14ac:dyDescent="0.25"/>
    <row r="244327" s="12" customFormat="1" x14ac:dyDescent="0.25"/>
    <row r="244328" s="12" customFormat="1" x14ac:dyDescent="0.25"/>
    <row r="244329" s="12" customFormat="1" x14ac:dyDescent="0.25"/>
    <row r="244330" s="12" customFormat="1" x14ac:dyDescent="0.25"/>
    <row r="244331" s="12" customFormat="1" x14ac:dyDescent="0.25"/>
    <row r="244332" s="12" customFormat="1" x14ac:dyDescent="0.25"/>
    <row r="244333" s="12" customFormat="1" x14ac:dyDescent="0.25"/>
    <row r="244334" s="12" customFormat="1" x14ac:dyDescent="0.25"/>
    <row r="244335" s="12" customFormat="1" x14ac:dyDescent="0.25"/>
    <row r="244336" s="12" customFormat="1" x14ac:dyDescent="0.25"/>
    <row r="244337" s="12" customFormat="1" x14ac:dyDescent="0.25"/>
    <row r="244338" s="12" customFormat="1" x14ac:dyDescent="0.25"/>
    <row r="244339" s="12" customFormat="1" x14ac:dyDescent="0.25"/>
    <row r="244340" s="12" customFormat="1" x14ac:dyDescent="0.25"/>
    <row r="244341" s="12" customFormat="1" x14ac:dyDescent="0.25"/>
    <row r="244342" s="12" customFormat="1" x14ac:dyDescent="0.25"/>
    <row r="244343" s="12" customFormat="1" x14ac:dyDescent="0.25"/>
    <row r="244344" s="12" customFormat="1" x14ac:dyDescent="0.25"/>
    <row r="244345" s="12" customFormat="1" x14ac:dyDescent="0.25"/>
    <row r="244346" s="12" customFormat="1" x14ac:dyDescent="0.25"/>
    <row r="244347" s="12" customFormat="1" x14ac:dyDescent="0.25"/>
    <row r="244348" s="12" customFormat="1" x14ac:dyDescent="0.25"/>
    <row r="244349" s="12" customFormat="1" x14ac:dyDescent="0.25"/>
    <row r="244350" s="12" customFormat="1" x14ac:dyDescent="0.25"/>
    <row r="244351" s="12" customFormat="1" x14ac:dyDescent="0.25"/>
    <row r="244352" s="12" customFormat="1" x14ac:dyDescent="0.25"/>
    <row r="244353" s="12" customFormat="1" x14ac:dyDescent="0.25"/>
    <row r="244354" s="12" customFormat="1" x14ac:dyDescent="0.25"/>
    <row r="244355" s="12" customFormat="1" x14ac:dyDescent="0.25"/>
    <row r="244356" s="12" customFormat="1" x14ac:dyDescent="0.25"/>
    <row r="244357" s="12" customFormat="1" x14ac:dyDescent="0.25"/>
    <row r="244358" s="12" customFormat="1" x14ac:dyDescent="0.25"/>
    <row r="244359" s="12" customFormat="1" x14ac:dyDescent="0.25"/>
    <row r="244360" s="12" customFormat="1" x14ac:dyDescent="0.25"/>
    <row r="244361" s="12" customFormat="1" x14ac:dyDescent="0.25"/>
    <row r="244362" s="12" customFormat="1" x14ac:dyDescent="0.25"/>
    <row r="244363" s="12" customFormat="1" x14ac:dyDescent="0.25"/>
    <row r="244364" s="12" customFormat="1" x14ac:dyDescent="0.25"/>
    <row r="244365" s="12" customFormat="1" x14ac:dyDescent="0.25"/>
    <row r="244366" s="12" customFormat="1" x14ac:dyDescent="0.25"/>
    <row r="244367" s="12" customFormat="1" x14ac:dyDescent="0.25"/>
    <row r="244368" s="12" customFormat="1" x14ac:dyDescent="0.25"/>
    <row r="244369" s="12" customFormat="1" x14ac:dyDescent="0.25"/>
    <row r="244370" s="12" customFormat="1" x14ac:dyDescent="0.25"/>
    <row r="244371" s="12" customFormat="1" x14ac:dyDescent="0.25"/>
    <row r="244372" s="12" customFormat="1" x14ac:dyDescent="0.25"/>
    <row r="244373" s="12" customFormat="1" x14ac:dyDescent="0.25"/>
    <row r="244374" s="12" customFormat="1" x14ac:dyDescent="0.25"/>
    <row r="244375" s="12" customFormat="1" x14ac:dyDescent="0.25"/>
    <row r="244376" s="12" customFormat="1" x14ac:dyDescent="0.25"/>
    <row r="244377" s="12" customFormat="1" x14ac:dyDescent="0.25"/>
    <row r="244378" s="12" customFormat="1" x14ac:dyDescent="0.25"/>
    <row r="244379" s="12" customFormat="1" x14ac:dyDescent="0.25"/>
    <row r="244380" s="12" customFormat="1" x14ac:dyDescent="0.25"/>
    <row r="244381" s="12" customFormat="1" x14ac:dyDescent="0.25"/>
    <row r="244382" s="12" customFormat="1" x14ac:dyDescent="0.25"/>
    <row r="244383" s="12" customFormat="1" x14ac:dyDescent="0.25"/>
    <row r="244384" s="12" customFormat="1" x14ac:dyDescent="0.25"/>
    <row r="244385" s="12" customFormat="1" x14ac:dyDescent="0.25"/>
    <row r="244386" s="12" customFormat="1" x14ac:dyDescent="0.25"/>
    <row r="244387" s="12" customFormat="1" x14ac:dyDescent="0.25"/>
    <row r="244388" s="12" customFormat="1" x14ac:dyDescent="0.25"/>
    <row r="244389" s="12" customFormat="1" x14ac:dyDescent="0.25"/>
    <row r="244390" s="12" customFormat="1" x14ac:dyDescent="0.25"/>
    <row r="244391" s="12" customFormat="1" x14ac:dyDescent="0.25"/>
    <row r="244392" s="12" customFormat="1" x14ac:dyDescent="0.25"/>
    <row r="244393" s="12" customFormat="1" x14ac:dyDescent="0.25"/>
    <row r="244394" s="12" customFormat="1" x14ac:dyDescent="0.25"/>
    <row r="244395" s="12" customFormat="1" x14ac:dyDescent="0.25"/>
    <row r="244396" s="12" customFormat="1" x14ac:dyDescent="0.25"/>
    <row r="244397" s="12" customFormat="1" x14ac:dyDescent="0.25"/>
    <row r="244398" s="12" customFormat="1" x14ac:dyDescent="0.25"/>
    <row r="244399" s="12" customFormat="1" x14ac:dyDescent="0.25"/>
    <row r="244400" s="12" customFormat="1" x14ac:dyDescent="0.25"/>
    <row r="244401" s="12" customFormat="1" x14ac:dyDescent="0.25"/>
    <row r="244402" s="12" customFormat="1" x14ac:dyDescent="0.25"/>
    <row r="244403" s="12" customFormat="1" x14ac:dyDescent="0.25"/>
    <row r="244404" s="12" customFormat="1" x14ac:dyDescent="0.25"/>
    <row r="244405" s="12" customFormat="1" x14ac:dyDescent="0.25"/>
    <row r="244406" s="12" customFormat="1" x14ac:dyDescent="0.25"/>
    <row r="244407" s="12" customFormat="1" x14ac:dyDescent="0.25"/>
    <row r="244408" s="12" customFormat="1" x14ac:dyDescent="0.25"/>
    <row r="244409" s="12" customFormat="1" x14ac:dyDescent="0.25"/>
    <row r="244410" s="12" customFormat="1" x14ac:dyDescent="0.25"/>
    <row r="244411" s="12" customFormat="1" x14ac:dyDescent="0.25"/>
    <row r="244412" s="12" customFormat="1" x14ac:dyDescent="0.25"/>
    <row r="244413" s="12" customFormat="1" x14ac:dyDescent="0.25"/>
    <row r="244414" s="12" customFormat="1" x14ac:dyDescent="0.25"/>
    <row r="244415" s="12" customFormat="1" x14ac:dyDescent="0.25"/>
    <row r="244416" s="12" customFormat="1" x14ac:dyDescent="0.25"/>
    <row r="244417" s="12" customFormat="1" x14ac:dyDescent="0.25"/>
    <row r="244418" s="12" customFormat="1" x14ac:dyDescent="0.25"/>
    <row r="244419" s="12" customFormat="1" x14ac:dyDescent="0.25"/>
    <row r="244420" s="12" customFormat="1" x14ac:dyDescent="0.25"/>
    <row r="244421" s="12" customFormat="1" x14ac:dyDescent="0.25"/>
    <row r="244422" s="12" customFormat="1" x14ac:dyDescent="0.25"/>
    <row r="244423" s="12" customFormat="1" x14ac:dyDescent="0.25"/>
    <row r="244424" s="12" customFormat="1" x14ac:dyDescent="0.25"/>
    <row r="244425" s="12" customFormat="1" x14ac:dyDescent="0.25"/>
    <row r="244426" s="12" customFormat="1" x14ac:dyDescent="0.25"/>
    <row r="244427" s="12" customFormat="1" x14ac:dyDescent="0.25"/>
    <row r="244428" s="12" customFormat="1" x14ac:dyDescent="0.25"/>
    <row r="244429" s="12" customFormat="1" x14ac:dyDescent="0.25"/>
    <row r="244430" s="12" customFormat="1" x14ac:dyDescent="0.25"/>
    <row r="244431" s="12" customFormat="1" x14ac:dyDescent="0.25"/>
    <row r="244432" s="12" customFormat="1" x14ac:dyDescent="0.25"/>
    <row r="244433" s="12" customFormat="1" x14ac:dyDescent="0.25"/>
    <row r="244434" s="12" customFormat="1" x14ac:dyDescent="0.25"/>
    <row r="244435" s="12" customFormat="1" x14ac:dyDescent="0.25"/>
    <row r="244436" s="12" customFormat="1" x14ac:dyDescent="0.25"/>
    <row r="244437" s="12" customFormat="1" x14ac:dyDescent="0.25"/>
    <row r="244438" s="12" customFormat="1" x14ac:dyDescent="0.25"/>
    <row r="244439" s="12" customFormat="1" x14ac:dyDescent="0.25"/>
    <row r="244440" s="12" customFormat="1" x14ac:dyDescent="0.25"/>
    <row r="244441" s="12" customFormat="1" x14ac:dyDescent="0.25"/>
    <row r="244442" s="12" customFormat="1" x14ac:dyDescent="0.25"/>
    <row r="244443" s="12" customFormat="1" x14ac:dyDescent="0.25"/>
    <row r="244444" s="12" customFormat="1" x14ac:dyDescent="0.25"/>
    <row r="244445" s="12" customFormat="1" x14ac:dyDescent="0.25"/>
    <row r="244446" s="12" customFormat="1" x14ac:dyDescent="0.25"/>
    <row r="244447" s="12" customFormat="1" x14ac:dyDescent="0.25"/>
    <row r="244448" s="12" customFormat="1" x14ac:dyDescent="0.25"/>
    <row r="244449" s="12" customFormat="1" x14ac:dyDescent="0.25"/>
    <row r="244450" s="12" customFormat="1" x14ac:dyDescent="0.25"/>
    <row r="244451" s="12" customFormat="1" x14ac:dyDescent="0.25"/>
    <row r="244452" s="12" customFormat="1" x14ac:dyDescent="0.25"/>
    <row r="244453" s="12" customFormat="1" x14ac:dyDescent="0.25"/>
    <row r="244454" s="12" customFormat="1" x14ac:dyDescent="0.25"/>
    <row r="244455" s="12" customFormat="1" x14ac:dyDescent="0.25"/>
    <row r="244456" s="12" customFormat="1" x14ac:dyDescent="0.25"/>
    <row r="244457" s="12" customFormat="1" x14ac:dyDescent="0.25"/>
    <row r="244458" s="12" customFormat="1" x14ac:dyDescent="0.25"/>
    <row r="244459" s="12" customFormat="1" x14ac:dyDescent="0.25"/>
    <row r="244460" s="12" customFormat="1" x14ac:dyDescent="0.25"/>
    <row r="244461" s="12" customFormat="1" x14ac:dyDescent="0.25"/>
    <row r="244462" s="12" customFormat="1" x14ac:dyDescent="0.25"/>
    <row r="244463" s="12" customFormat="1" x14ac:dyDescent="0.25"/>
    <row r="244464" s="12" customFormat="1" x14ac:dyDescent="0.25"/>
    <row r="244465" s="12" customFormat="1" x14ac:dyDescent="0.25"/>
    <row r="244466" s="12" customFormat="1" x14ac:dyDescent="0.25"/>
    <row r="244467" s="12" customFormat="1" x14ac:dyDescent="0.25"/>
    <row r="244468" s="12" customFormat="1" x14ac:dyDescent="0.25"/>
    <row r="244469" s="12" customFormat="1" x14ac:dyDescent="0.25"/>
    <row r="244470" s="12" customFormat="1" x14ac:dyDescent="0.25"/>
    <row r="244471" s="12" customFormat="1" x14ac:dyDescent="0.25"/>
    <row r="244472" s="12" customFormat="1" x14ac:dyDescent="0.25"/>
    <row r="244473" s="12" customFormat="1" x14ac:dyDescent="0.25"/>
    <row r="244474" s="12" customFormat="1" x14ac:dyDescent="0.25"/>
    <row r="244475" s="12" customFormat="1" x14ac:dyDescent="0.25"/>
    <row r="244476" s="12" customFormat="1" x14ac:dyDescent="0.25"/>
    <row r="244477" s="12" customFormat="1" x14ac:dyDescent="0.25"/>
    <row r="244478" s="12" customFormat="1" x14ac:dyDescent="0.25"/>
    <row r="244479" s="12" customFormat="1" x14ac:dyDescent="0.25"/>
    <row r="244480" s="12" customFormat="1" x14ac:dyDescent="0.25"/>
    <row r="244481" s="12" customFormat="1" x14ac:dyDescent="0.25"/>
    <row r="244482" s="12" customFormat="1" x14ac:dyDescent="0.25"/>
    <row r="244483" s="12" customFormat="1" x14ac:dyDescent="0.25"/>
    <row r="244484" s="12" customFormat="1" x14ac:dyDescent="0.25"/>
    <row r="244485" s="12" customFormat="1" x14ac:dyDescent="0.25"/>
    <row r="244486" s="12" customFormat="1" x14ac:dyDescent="0.25"/>
    <row r="244487" s="12" customFormat="1" x14ac:dyDescent="0.25"/>
    <row r="244488" s="12" customFormat="1" x14ac:dyDescent="0.25"/>
    <row r="244489" s="12" customFormat="1" x14ac:dyDescent="0.25"/>
    <row r="244490" s="12" customFormat="1" x14ac:dyDescent="0.25"/>
    <row r="244491" s="12" customFormat="1" x14ac:dyDescent="0.25"/>
    <row r="244492" s="12" customFormat="1" x14ac:dyDescent="0.25"/>
    <row r="244493" s="12" customFormat="1" x14ac:dyDescent="0.25"/>
    <row r="244494" s="12" customFormat="1" x14ac:dyDescent="0.25"/>
    <row r="244495" s="12" customFormat="1" x14ac:dyDescent="0.25"/>
    <row r="244496" s="12" customFormat="1" x14ac:dyDescent="0.25"/>
    <row r="244497" s="12" customFormat="1" x14ac:dyDescent="0.25"/>
    <row r="244498" s="12" customFormat="1" x14ac:dyDescent="0.25"/>
    <row r="244499" s="12" customFormat="1" x14ac:dyDescent="0.25"/>
    <row r="244500" s="12" customFormat="1" x14ac:dyDescent="0.25"/>
    <row r="244501" s="12" customFormat="1" x14ac:dyDescent="0.25"/>
    <row r="244502" s="12" customFormat="1" x14ac:dyDescent="0.25"/>
    <row r="244503" s="12" customFormat="1" x14ac:dyDescent="0.25"/>
    <row r="244504" s="12" customFormat="1" x14ac:dyDescent="0.25"/>
    <row r="244505" s="12" customFormat="1" x14ac:dyDescent="0.25"/>
    <row r="244506" s="12" customFormat="1" x14ac:dyDescent="0.25"/>
    <row r="244507" s="12" customFormat="1" x14ac:dyDescent="0.25"/>
    <row r="244508" s="12" customFormat="1" x14ac:dyDescent="0.25"/>
    <row r="244509" s="12" customFormat="1" x14ac:dyDescent="0.25"/>
    <row r="244510" s="12" customFormat="1" x14ac:dyDescent="0.25"/>
    <row r="244511" s="12" customFormat="1" x14ac:dyDescent="0.25"/>
    <row r="244512" s="12" customFormat="1" x14ac:dyDescent="0.25"/>
    <row r="244513" s="12" customFormat="1" x14ac:dyDescent="0.25"/>
    <row r="244514" s="12" customFormat="1" x14ac:dyDescent="0.25"/>
    <row r="244515" s="12" customFormat="1" x14ac:dyDescent="0.25"/>
    <row r="244516" s="12" customFormat="1" x14ac:dyDescent="0.25"/>
    <row r="244517" s="12" customFormat="1" x14ac:dyDescent="0.25"/>
    <row r="244518" s="12" customFormat="1" x14ac:dyDescent="0.25"/>
    <row r="244519" s="12" customFormat="1" x14ac:dyDescent="0.25"/>
    <row r="244520" s="12" customFormat="1" x14ac:dyDescent="0.25"/>
    <row r="244521" s="12" customFormat="1" x14ac:dyDescent="0.25"/>
    <row r="244522" s="12" customFormat="1" x14ac:dyDescent="0.25"/>
    <row r="244523" s="12" customFormat="1" x14ac:dyDescent="0.25"/>
    <row r="244524" s="12" customFormat="1" x14ac:dyDescent="0.25"/>
    <row r="244525" s="12" customFormat="1" x14ac:dyDescent="0.25"/>
    <row r="244526" s="12" customFormat="1" x14ac:dyDescent="0.25"/>
    <row r="244527" s="12" customFormat="1" x14ac:dyDescent="0.25"/>
    <row r="244528" s="12" customFormat="1" x14ac:dyDescent="0.25"/>
    <row r="244529" s="12" customFormat="1" x14ac:dyDescent="0.25"/>
    <row r="244530" s="12" customFormat="1" x14ac:dyDescent="0.25"/>
    <row r="244531" s="12" customFormat="1" x14ac:dyDescent="0.25"/>
    <row r="244532" s="12" customFormat="1" x14ac:dyDescent="0.25"/>
    <row r="244533" s="12" customFormat="1" x14ac:dyDescent="0.25"/>
    <row r="244534" s="12" customFormat="1" x14ac:dyDescent="0.25"/>
    <row r="244535" s="12" customFormat="1" x14ac:dyDescent="0.25"/>
    <row r="244536" s="12" customFormat="1" x14ac:dyDescent="0.25"/>
    <row r="244537" s="12" customFormat="1" x14ac:dyDescent="0.25"/>
    <row r="244538" s="12" customFormat="1" x14ac:dyDescent="0.25"/>
    <row r="244539" s="12" customFormat="1" x14ac:dyDescent="0.25"/>
    <row r="244540" s="12" customFormat="1" x14ac:dyDescent="0.25"/>
    <row r="244541" s="12" customFormat="1" x14ac:dyDescent="0.25"/>
    <row r="244542" s="12" customFormat="1" x14ac:dyDescent="0.25"/>
    <row r="244543" s="12" customFormat="1" x14ac:dyDescent="0.25"/>
    <row r="244544" s="12" customFormat="1" x14ac:dyDescent="0.25"/>
    <row r="244545" s="12" customFormat="1" x14ac:dyDescent="0.25"/>
    <row r="244546" s="12" customFormat="1" x14ac:dyDescent="0.25"/>
    <row r="244547" s="12" customFormat="1" x14ac:dyDescent="0.25"/>
    <row r="244548" s="12" customFormat="1" x14ac:dyDescent="0.25"/>
    <row r="244549" s="12" customFormat="1" x14ac:dyDescent="0.25"/>
    <row r="244550" s="12" customFormat="1" x14ac:dyDescent="0.25"/>
    <row r="244551" s="12" customFormat="1" x14ac:dyDescent="0.25"/>
    <row r="244552" s="12" customFormat="1" x14ac:dyDescent="0.25"/>
    <row r="244553" s="12" customFormat="1" x14ac:dyDescent="0.25"/>
    <row r="244554" s="12" customFormat="1" x14ac:dyDescent="0.25"/>
    <row r="244555" s="12" customFormat="1" x14ac:dyDescent="0.25"/>
    <row r="244556" s="12" customFormat="1" x14ac:dyDescent="0.25"/>
    <row r="244557" s="12" customFormat="1" x14ac:dyDescent="0.25"/>
    <row r="244558" s="12" customFormat="1" x14ac:dyDescent="0.25"/>
    <row r="244559" s="12" customFormat="1" x14ac:dyDescent="0.25"/>
    <row r="244560" s="12" customFormat="1" x14ac:dyDescent="0.25"/>
    <row r="244561" s="12" customFormat="1" x14ac:dyDescent="0.25"/>
    <row r="244562" s="12" customFormat="1" x14ac:dyDescent="0.25"/>
    <row r="244563" s="12" customFormat="1" x14ac:dyDescent="0.25"/>
    <row r="244564" s="12" customFormat="1" x14ac:dyDescent="0.25"/>
    <row r="244565" s="12" customFormat="1" x14ac:dyDescent="0.25"/>
    <row r="244566" s="12" customFormat="1" x14ac:dyDescent="0.25"/>
    <row r="244567" s="12" customFormat="1" x14ac:dyDescent="0.25"/>
    <row r="244568" s="12" customFormat="1" x14ac:dyDescent="0.25"/>
    <row r="244569" s="12" customFormat="1" x14ac:dyDescent="0.25"/>
    <row r="244570" s="12" customFormat="1" x14ac:dyDescent="0.25"/>
    <row r="244571" s="12" customFormat="1" x14ac:dyDescent="0.25"/>
    <row r="244572" s="12" customFormat="1" x14ac:dyDescent="0.25"/>
    <row r="244573" s="12" customFormat="1" x14ac:dyDescent="0.25"/>
    <row r="244574" s="12" customFormat="1" x14ac:dyDescent="0.25"/>
    <row r="244575" s="12" customFormat="1" x14ac:dyDescent="0.25"/>
    <row r="244576" s="12" customFormat="1" x14ac:dyDescent="0.25"/>
    <row r="244577" s="12" customFormat="1" x14ac:dyDescent="0.25"/>
    <row r="244578" s="12" customFormat="1" x14ac:dyDescent="0.25"/>
    <row r="244579" s="12" customFormat="1" x14ac:dyDescent="0.25"/>
    <row r="244580" s="12" customFormat="1" x14ac:dyDescent="0.25"/>
    <row r="244581" s="12" customFormat="1" x14ac:dyDescent="0.25"/>
    <row r="244582" s="12" customFormat="1" x14ac:dyDescent="0.25"/>
    <row r="244583" s="12" customFormat="1" x14ac:dyDescent="0.25"/>
    <row r="244584" s="12" customFormat="1" x14ac:dyDescent="0.25"/>
    <row r="244585" s="12" customFormat="1" x14ac:dyDescent="0.25"/>
    <row r="244586" s="12" customFormat="1" x14ac:dyDescent="0.25"/>
    <row r="244587" s="12" customFormat="1" x14ac:dyDescent="0.25"/>
    <row r="244588" s="12" customFormat="1" x14ac:dyDescent="0.25"/>
    <row r="244589" s="12" customFormat="1" x14ac:dyDescent="0.25"/>
    <row r="244590" s="12" customFormat="1" x14ac:dyDescent="0.25"/>
    <row r="244591" s="12" customFormat="1" x14ac:dyDescent="0.25"/>
    <row r="244592" s="12" customFormat="1" x14ac:dyDescent="0.25"/>
    <row r="244593" s="12" customFormat="1" x14ac:dyDescent="0.25"/>
    <row r="244594" s="12" customFormat="1" x14ac:dyDescent="0.25"/>
    <row r="244595" s="12" customFormat="1" x14ac:dyDescent="0.25"/>
    <row r="244596" s="12" customFormat="1" x14ac:dyDescent="0.25"/>
    <row r="244597" s="12" customFormat="1" x14ac:dyDescent="0.25"/>
    <row r="244598" s="12" customFormat="1" x14ac:dyDescent="0.25"/>
    <row r="244599" s="12" customFormat="1" x14ac:dyDescent="0.25"/>
    <row r="244600" s="12" customFormat="1" x14ac:dyDescent="0.25"/>
    <row r="244601" s="12" customFormat="1" x14ac:dyDescent="0.25"/>
    <row r="244602" s="12" customFormat="1" x14ac:dyDescent="0.25"/>
    <row r="244603" s="12" customFormat="1" x14ac:dyDescent="0.25"/>
    <row r="244604" s="12" customFormat="1" x14ac:dyDescent="0.25"/>
    <row r="244605" s="12" customFormat="1" x14ac:dyDescent="0.25"/>
    <row r="244606" s="12" customFormat="1" x14ac:dyDescent="0.25"/>
    <row r="244607" s="12" customFormat="1" x14ac:dyDescent="0.25"/>
    <row r="244608" s="12" customFormat="1" x14ac:dyDescent="0.25"/>
    <row r="244609" s="12" customFormat="1" x14ac:dyDescent="0.25"/>
    <row r="244610" s="12" customFormat="1" x14ac:dyDescent="0.25"/>
    <row r="244611" s="12" customFormat="1" x14ac:dyDescent="0.25"/>
    <row r="244612" s="12" customFormat="1" x14ac:dyDescent="0.25"/>
    <row r="244613" s="12" customFormat="1" x14ac:dyDescent="0.25"/>
    <row r="244614" s="12" customFormat="1" x14ac:dyDescent="0.25"/>
    <row r="244615" s="12" customFormat="1" x14ac:dyDescent="0.25"/>
    <row r="244616" s="12" customFormat="1" x14ac:dyDescent="0.25"/>
    <row r="244617" s="12" customFormat="1" x14ac:dyDescent="0.25"/>
    <row r="244618" s="12" customFormat="1" x14ac:dyDescent="0.25"/>
    <row r="244619" s="12" customFormat="1" x14ac:dyDescent="0.25"/>
    <row r="244620" s="12" customFormat="1" x14ac:dyDescent="0.25"/>
    <row r="244621" s="12" customFormat="1" x14ac:dyDescent="0.25"/>
    <row r="244622" s="12" customFormat="1" x14ac:dyDescent="0.25"/>
    <row r="244623" s="12" customFormat="1" x14ac:dyDescent="0.25"/>
    <row r="244624" s="12" customFormat="1" x14ac:dyDescent="0.25"/>
    <row r="244625" s="12" customFormat="1" x14ac:dyDescent="0.25"/>
    <row r="244626" s="12" customFormat="1" x14ac:dyDescent="0.25"/>
    <row r="244627" s="12" customFormat="1" x14ac:dyDescent="0.25"/>
    <row r="244628" s="12" customFormat="1" x14ac:dyDescent="0.25"/>
    <row r="244629" s="12" customFormat="1" x14ac:dyDescent="0.25"/>
    <row r="244630" s="12" customFormat="1" x14ac:dyDescent="0.25"/>
    <row r="244631" s="12" customFormat="1" x14ac:dyDescent="0.25"/>
    <row r="244632" s="12" customFormat="1" x14ac:dyDescent="0.25"/>
    <row r="244633" s="12" customFormat="1" x14ac:dyDescent="0.25"/>
    <row r="244634" s="12" customFormat="1" x14ac:dyDescent="0.25"/>
    <row r="244635" s="12" customFormat="1" x14ac:dyDescent="0.25"/>
    <row r="244636" s="12" customFormat="1" x14ac:dyDescent="0.25"/>
    <row r="244637" s="12" customFormat="1" x14ac:dyDescent="0.25"/>
    <row r="244638" s="12" customFormat="1" x14ac:dyDescent="0.25"/>
    <row r="244639" s="12" customFormat="1" x14ac:dyDescent="0.25"/>
    <row r="244640" s="12" customFormat="1" x14ac:dyDescent="0.25"/>
    <row r="244641" s="12" customFormat="1" x14ac:dyDescent="0.25"/>
    <row r="244642" s="12" customFormat="1" x14ac:dyDescent="0.25"/>
    <row r="244643" s="12" customFormat="1" x14ac:dyDescent="0.25"/>
    <row r="244644" s="12" customFormat="1" x14ac:dyDescent="0.25"/>
    <row r="244645" s="12" customFormat="1" x14ac:dyDescent="0.25"/>
    <row r="244646" s="12" customFormat="1" x14ac:dyDescent="0.25"/>
    <row r="244647" s="12" customFormat="1" x14ac:dyDescent="0.25"/>
    <row r="244648" s="12" customFormat="1" x14ac:dyDescent="0.25"/>
    <row r="244649" s="12" customFormat="1" x14ac:dyDescent="0.25"/>
    <row r="244650" s="12" customFormat="1" x14ac:dyDescent="0.25"/>
    <row r="244651" s="12" customFormat="1" x14ac:dyDescent="0.25"/>
    <row r="244652" s="12" customFormat="1" x14ac:dyDescent="0.25"/>
    <row r="244653" s="12" customFormat="1" x14ac:dyDescent="0.25"/>
    <row r="244654" s="12" customFormat="1" x14ac:dyDescent="0.25"/>
    <row r="244655" s="12" customFormat="1" x14ac:dyDescent="0.25"/>
    <row r="244656" s="12" customFormat="1" x14ac:dyDescent="0.25"/>
    <row r="244657" s="12" customFormat="1" x14ac:dyDescent="0.25"/>
    <row r="244658" s="12" customFormat="1" x14ac:dyDescent="0.25"/>
    <row r="244659" s="12" customFormat="1" x14ac:dyDescent="0.25"/>
    <row r="244660" s="12" customFormat="1" x14ac:dyDescent="0.25"/>
    <row r="244661" s="12" customFormat="1" x14ac:dyDescent="0.25"/>
    <row r="244662" s="12" customFormat="1" x14ac:dyDescent="0.25"/>
    <row r="244663" s="12" customFormat="1" x14ac:dyDescent="0.25"/>
    <row r="244664" s="12" customFormat="1" x14ac:dyDescent="0.25"/>
    <row r="244665" s="12" customFormat="1" x14ac:dyDescent="0.25"/>
    <row r="244666" s="12" customFormat="1" x14ac:dyDescent="0.25"/>
    <row r="244667" s="12" customFormat="1" x14ac:dyDescent="0.25"/>
    <row r="244668" s="12" customFormat="1" x14ac:dyDescent="0.25"/>
    <row r="244669" s="12" customFormat="1" x14ac:dyDescent="0.25"/>
    <row r="244670" s="12" customFormat="1" x14ac:dyDescent="0.25"/>
    <row r="244671" s="12" customFormat="1" x14ac:dyDescent="0.25"/>
    <row r="244672" s="12" customFormat="1" x14ac:dyDescent="0.25"/>
    <row r="244673" s="12" customFormat="1" x14ac:dyDescent="0.25"/>
    <row r="244674" s="12" customFormat="1" x14ac:dyDescent="0.25"/>
    <row r="244675" s="12" customFormat="1" x14ac:dyDescent="0.25"/>
    <row r="244676" s="12" customFormat="1" x14ac:dyDescent="0.25"/>
    <row r="244677" s="12" customFormat="1" x14ac:dyDescent="0.25"/>
    <row r="244678" s="12" customFormat="1" x14ac:dyDescent="0.25"/>
    <row r="244679" s="12" customFormat="1" x14ac:dyDescent="0.25"/>
    <row r="244680" s="12" customFormat="1" x14ac:dyDescent="0.25"/>
    <row r="244681" s="12" customFormat="1" x14ac:dyDescent="0.25"/>
    <row r="244682" s="12" customFormat="1" x14ac:dyDescent="0.25"/>
    <row r="244683" s="12" customFormat="1" x14ac:dyDescent="0.25"/>
    <row r="244684" s="12" customFormat="1" x14ac:dyDescent="0.25"/>
    <row r="244685" s="12" customFormat="1" x14ac:dyDescent="0.25"/>
    <row r="244686" s="12" customFormat="1" x14ac:dyDescent="0.25"/>
    <row r="244687" s="12" customFormat="1" x14ac:dyDescent="0.25"/>
    <row r="244688" s="12" customFormat="1" x14ac:dyDescent="0.25"/>
    <row r="244689" s="12" customFormat="1" x14ac:dyDescent="0.25"/>
    <row r="244690" s="12" customFormat="1" x14ac:dyDescent="0.25"/>
    <row r="244691" s="12" customFormat="1" x14ac:dyDescent="0.25"/>
    <row r="244692" s="12" customFormat="1" x14ac:dyDescent="0.25"/>
    <row r="244693" s="12" customFormat="1" x14ac:dyDescent="0.25"/>
    <row r="244694" s="12" customFormat="1" x14ac:dyDescent="0.25"/>
    <row r="244695" s="12" customFormat="1" x14ac:dyDescent="0.25"/>
    <row r="244696" s="12" customFormat="1" x14ac:dyDescent="0.25"/>
    <row r="244697" s="12" customFormat="1" x14ac:dyDescent="0.25"/>
    <row r="244698" s="12" customFormat="1" x14ac:dyDescent="0.25"/>
    <row r="244699" s="12" customFormat="1" x14ac:dyDescent="0.25"/>
    <row r="244700" s="12" customFormat="1" x14ac:dyDescent="0.25"/>
    <row r="244701" s="12" customFormat="1" x14ac:dyDescent="0.25"/>
    <row r="244702" s="12" customFormat="1" x14ac:dyDescent="0.25"/>
    <row r="244703" s="12" customFormat="1" x14ac:dyDescent="0.25"/>
    <row r="244704" s="12" customFormat="1" x14ac:dyDescent="0.25"/>
    <row r="244705" s="12" customFormat="1" x14ac:dyDescent="0.25"/>
    <row r="244706" s="12" customFormat="1" x14ac:dyDescent="0.25"/>
    <row r="244707" s="12" customFormat="1" x14ac:dyDescent="0.25"/>
    <row r="244708" s="12" customFormat="1" x14ac:dyDescent="0.25"/>
    <row r="244709" s="12" customFormat="1" x14ac:dyDescent="0.25"/>
    <row r="244710" s="12" customFormat="1" x14ac:dyDescent="0.25"/>
    <row r="244711" s="12" customFormat="1" x14ac:dyDescent="0.25"/>
    <row r="244712" s="12" customFormat="1" x14ac:dyDescent="0.25"/>
    <row r="244713" s="12" customFormat="1" x14ac:dyDescent="0.25"/>
    <row r="244714" s="12" customFormat="1" x14ac:dyDescent="0.25"/>
    <row r="244715" s="12" customFormat="1" x14ac:dyDescent="0.25"/>
    <row r="244716" s="12" customFormat="1" x14ac:dyDescent="0.25"/>
    <row r="244717" s="12" customFormat="1" x14ac:dyDescent="0.25"/>
    <row r="244718" s="12" customFormat="1" x14ac:dyDescent="0.25"/>
    <row r="244719" s="12" customFormat="1" x14ac:dyDescent="0.25"/>
    <row r="244720" s="12" customFormat="1" x14ac:dyDescent="0.25"/>
    <row r="244721" s="12" customFormat="1" x14ac:dyDescent="0.25"/>
    <row r="244722" s="12" customFormat="1" x14ac:dyDescent="0.25"/>
    <row r="244723" s="12" customFormat="1" x14ac:dyDescent="0.25"/>
    <row r="244724" s="12" customFormat="1" x14ac:dyDescent="0.25"/>
    <row r="244725" s="12" customFormat="1" x14ac:dyDescent="0.25"/>
    <row r="244726" s="12" customFormat="1" x14ac:dyDescent="0.25"/>
    <row r="244727" s="12" customFormat="1" x14ac:dyDescent="0.25"/>
    <row r="244728" s="12" customFormat="1" x14ac:dyDescent="0.25"/>
    <row r="244729" s="12" customFormat="1" x14ac:dyDescent="0.25"/>
    <row r="244730" s="12" customFormat="1" x14ac:dyDescent="0.25"/>
    <row r="244731" s="12" customFormat="1" x14ac:dyDescent="0.25"/>
    <row r="244732" s="12" customFormat="1" x14ac:dyDescent="0.25"/>
    <row r="244733" s="12" customFormat="1" x14ac:dyDescent="0.25"/>
    <row r="244734" s="12" customFormat="1" x14ac:dyDescent="0.25"/>
    <row r="244735" s="12" customFormat="1" x14ac:dyDescent="0.25"/>
    <row r="244736" s="12" customFormat="1" x14ac:dyDescent="0.25"/>
    <row r="244737" s="12" customFormat="1" x14ac:dyDescent="0.25"/>
    <row r="244738" s="12" customFormat="1" x14ac:dyDescent="0.25"/>
    <row r="244739" s="12" customFormat="1" x14ac:dyDescent="0.25"/>
    <row r="244740" s="12" customFormat="1" x14ac:dyDescent="0.25"/>
    <row r="244741" s="12" customFormat="1" x14ac:dyDescent="0.25"/>
    <row r="244742" s="12" customFormat="1" x14ac:dyDescent="0.25"/>
    <row r="244743" s="12" customFormat="1" x14ac:dyDescent="0.25"/>
    <row r="244744" s="12" customFormat="1" x14ac:dyDescent="0.25"/>
    <row r="244745" s="12" customFormat="1" x14ac:dyDescent="0.25"/>
    <row r="244746" s="12" customFormat="1" x14ac:dyDescent="0.25"/>
    <row r="244747" s="12" customFormat="1" x14ac:dyDescent="0.25"/>
    <row r="244748" s="12" customFormat="1" x14ac:dyDescent="0.25"/>
    <row r="244749" s="12" customFormat="1" x14ac:dyDescent="0.25"/>
    <row r="244750" s="12" customFormat="1" x14ac:dyDescent="0.25"/>
    <row r="244751" s="12" customFormat="1" x14ac:dyDescent="0.25"/>
    <row r="244752" s="12" customFormat="1" x14ac:dyDescent="0.25"/>
    <row r="244753" s="12" customFormat="1" x14ac:dyDescent="0.25"/>
    <row r="244754" s="12" customFormat="1" x14ac:dyDescent="0.25"/>
    <row r="244755" s="12" customFormat="1" x14ac:dyDescent="0.25"/>
    <row r="244756" s="12" customFormat="1" x14ac:dyDescent="0.25"/>
    <row r="244757" s="12" customFormat="1" x14ac:dyDescent="0.25"/>
    <row r="244758" s="12" customFormat="1" x14ac:dyDescent="0.25"/>
    <row r="244759" s="12" customFormat="1" x14ac:dyDescent="0.25"/>
    <row r="244760" s="12" customFormat="1" x14ac:dyDescent="0.25"/>
    <row r="244761" s="12" customFormat="1" x14ac:dyDescent="0.25"/>
    <row r="244762" s="12" customFormat="1" x14ac:dyDescent="0.25"/>
    <row r="244763" s="12" customFormat="1" x14ac:dyDescent="0.25"/>
    <row r="244764" s="12" customFormat="1" x14ac:dyDescent="0.25"/>
    <row r="244765" s="12" customFormat="1" x14ac:dyDescent="0.25"/>
    <row r="244766" s="12" customFormat="1" x14ac:dyDescent="0.25"/>
    <row r="244767" s="12" customFormat="1" x14ac:dyDescent="0.25"/>
    <row r="244768" s="12" customFormat="1" x14ac:dyDescent="0.25"/>
    <row r="244769" s="12" customFormat="1" x14ac:dyDescent="0.25"/>
    <row r="244770" s="12" customFormat="1" x14ac:dyDescent="0.25"/>
    <row r="244771" s="12" customFormat="1" x14ac:dyDescent="0.25"/>
    <row r="244772" s="12" customFormat="1" x14ac:dyDescent="0.25"/>
    <row r="244773" s="12" customFormat="1" x14ac:dyDescent="0.25"/>
    <row r="244774" s="12" customFormat="1" x14ac:dyDescent="0.25"/>
    <row r="244775" s="12" customFormat="1" x14ac:dyDescent="0.25"/>
    <row r="244776" s="12" customFormat="1" x14ac:dyDescent="0.25"/>
    <row r="244777" s="12" customFormat="1" x14ac:dyDescent="0.25"/>
    <row r="244778" s="12" customFormat="1" x14ac:dyDescent="0.25"/>
    <row r="244779" s="12" customFormat="1" x14ac:dyDescent="0.25"/>
    <row r="244780" s="12" customFormat="1" x14ac:dyDescent="0.25"/>
    <row r="244781" s="12" customFormat="1" x14ac:dyDescent="0.25"/>
    <row r="244782" s="12" customFormat="1" x14ac:dyDescent="0.25"/>
    <row r="244783" s="12" customFormat="1" x14ac:dyDescent="0.25"/>
    <row r="244784" s="12" customFormat="1" x14ac:dyDescent="0.25"/>
    <row r="244785" s="12" customFormat="1" x14ac:dyDescent="0.25"/>
    <row r="244786" s="12" customFormat="1" x14ac:dyDescent="0.25"/>
    <row r="244787" s="12" customFormat="1" x14ac:dyDescent="0.25"/>
    <row r="244788" s="12" customFormat="1" x14ac:dyDescent="0.25"/>
    <row r="244789" s="12" customFormat="1" x14ac:dyDescent="0.25"/>
    <row r="244790" s="12" customFormat="1" x14ac:dyDescent="0.25"/>
    <row r="244791" s="12" customFormat="1" x14ac:dyDescent="0.25"/>
    <row r="244792" s="12" customFormat="1" x14ac:dyDescent="0.25"/>
    <row r="244793" s="12" customFormat="1" x14ac:dyDescent="0.25"/>
    <row r="244794" s="12" customFormat="1" x14ac:dyDescent="0.25"/>
    <row r="244795" s="12" customFormat="1" x14ac:dyDescent="0.25"/>
    <row r="244796" s="12" customFormat="1" x14ac:dyDescent="0.25"/>
    <row r="244797" s="12" customFormat="1" x14ac:dyDescent="0.25"/>
    <row r="244798" s="12" customFormat="1" x14ac:dyDescent="0.25"/>
    <row r="244799" s="12" customFormat="1" x14ac:dyDescent="0.25"/>
    <row r="244800" s="12" customFormat="1" x14ac:dyDescent="0.25"/>
    <row r="244801" s="12" customFormat="1" x14ac:dyDescent="0.25"/>
    <row r="244802" s="12" customFormat="1" x14ac:dyDescent="0.25"/>
    <row r="244803" s="12" customFormat="1" x14ac:dyDescent="0.25"/>
    <row r="244804" s="12" customFormat="1" x14ac:dyDescent="0.25"/>
    <row r="244805" s="12" customFormat="1" x14ac:dyDescent="0.25"/>
    <row r="244806" s="12" customFormat="1" x14ac:dyDescent="0.25"/>
    <row r="244807" s="12" customFormat="1" x14ac:dyDescent="0.25"/>
    <row r="244808" s="12" customFormat="1" x14ac:dyDescent="0.25"/>
    <row r="244809" s="12" customFormat="1" x14ac:dyDescent="0.25"/>
    <row r="244810" s="12" customFormat="1" x14ac:dyDescent="0.25"/>
    <row r="244811" s="12" customFormat="1" x14ac:dyDescent="0.25"/>
    <row r="244812" s="12" customFormat="1" x14ac:dyDescent="0.25"/>
    <row r="244813" s="12" customFormat="1" x14ac:dyDescent="0.25"/>
    <row r="244814" s="12" customFormat="1" x14ac:dyDescent="0.25"/>
    <row r="244815" s="12" customFormat="1" x14ac:dyDescent="0.25"/>
    <row r="244816" s="12" customFormat="1" x14ac:dyDescent="0.25"/>
    <row r="244817" s="12" customFormat="1" x14ac:dyDescent="0.25"/>
    <row r="244818" s="12" customFormat="1" x14ac:dyDescent="0.25"/>
    <row r="244819" s="12" customFormat="1" x14ac:dyDescent="0.25"/>
    <row r="244820" s="12" customFormat="1" x14ac:dyDescent="0.25"/>
    <row r="244821" s="12" customFormat="1" x14ac:dyDescent="0.25"/>
    <row r="244822" s="12" customFormat="1" x14ac:dyDescent="0.25"/>
    <row r="244823" s="12" customFormat="1" x14ac:dyDescent="0.25"/>
    <row r="244824" s="12" customFormat="1" x14ac:dyDescent="0.25"/>
    <row r="244825" s="12" customFormat="1" x14ac:dyDescent="0.25"/>
    <row r="244826" s="12" customFormat="1" x14ac:dyDescent="0.25"/>
    <row r="244827" s="12" customFormat="1" x14ac:dyDescent="0.25"/>
    <row r="244828" s="12" customFormat="1" x14ac:dyDescent="0.25"/>
    <row r="244829" s="12" customFormat="1" x14ac:dyDescent="0.25"/>
    <row r="244830" s="12" customFormat="1" x14ac:dyDescent="0.25"/>
    <row r="244831" s="12" customFormat="1" x14ac:dyDescent="0.25"/>
    <row r="244832" s="12" customFormat="1" x14ac:dyDescent="0.25"/>
    <row r="244833" s="12" customFormat="1" x14ac:dyDescent="0.25"/>
    <row r="244834" s="12" customFormat="1" x14ac:dyDescent="0.25"/>
    <row r="244835" s="12" customFormat="1" x14ac:dyDescent="0.25"/>
    <row r="244836" s="12" customFormat="1" x14ac:dyDescent="0.25"/>
    <row r="244837" s="12" customFormat="1" x14ac:dyDescent="0.25"/>
    <row r="244838" s="12" customFormat="1" x14ac:dyDescent="0.25"/>
    <row r="244839" s="12" customFormat="1" x14ac:dyDescent="0.25"/>
    <row r="244840" s="12" customFormat="1" x14ac:dyDescent="0.25"/>
    <row r="244841" s="12" customFormat="1" x14ac:dyDescent="0.25"/>
    <row r="244842" s="12" customFormat="1" x14ac:dyDescent="0.25"/>
    <row r="244843" s="12" customFormat="1" x14ac:dyDescent="0.25"/>
    <row r="244844" s="12" customFormat="1" x14ac:dyDescent="0.25"/>
    <row r="244845" s="12" customFormat="1" x14ac:dyDescent="0.25"/>
    <row r="244846" s="12" customFormat="1" x14ac:dyDescent="0.25"/>
    <row r="244847" s="12" customFormat="1" x14ac:dyDescent="0.25"/>
    <row r="244848" s="12" customFormat="1" x14ac:dyDescent="0.25"/>
    <row r="244849" s="12" customFormat="1" x14ac:dyDescent="0.25"/>
    <row r="244850" s="12" customFormat="1" x14ac:dyDescent="0.25"/>
    <row r="244851" s="12" customFormat="1" x14ac:dyDescent="0.25"/>
    <row r="244852" s="12" customFormat="1" x14ac:dyDescent="0.25"/>
    <row r="244853" s="12" customFormat="1" x14ac:dyDescent="0.25"/>
    <row r="244854" s="12" customFormat="1" x14ac:dyDescent="0.25"/>
    <row r="244855" s="12" customFormat="1" x14ac:dyDescent="0.25"/>
    <row r="244856" s="12" customFormat="1" x14ac:dyDescent="0.25"/>
    <row r="244857" s="12" customFormat="1" x14ac:dyDescent="0.25"/>
    <row r="244858" s="12" customFormat="1" x14ac:dyDescent="0.25"/>
    <row r="244859" s="12" customFormat="1" x14ac:dyDescent="0.25"/>
    <row r="244860" s="12" customFormat="1" x14ac:dyDescent="0.25"/>
    <row r="244861" s="12" customFormat="1" x14ac:dyDescent="0.25"/>
    <row r="244862" s="12" customFormat="1" x14ac:dyDescent="0.25"/>
    <row r="244863" s="12" customFormat="1" x14ac:dyDescent="0.25"/>
    <row r="244864" s="12" customFormat="1" x14ac:dyDescent="0.25"/>
    <row r="244865" s="12" customFormat="1" x14ac:dyDescent="0.25"/>
    <row r="244866" s="12" customFormat="1" x14ac:dyDescent="0.25"/>
    <row r="244867" s="12" customFormat="1" x14ac:dyDescent="0.25"/>
    <row r="244868" s="12" customFormat="1" x14ac:dyDescent="0.25"/>
    <row r="244869" s="12" customFormat="1" x14ac:dyDescent="0.25"/>
    <row r="244870" s="12" customFormat="1" x14ac:dyDescent="0.25"/>
    <row r="244871" s="12" customFormat="1" x14ac:dyDescent="0.25"/>
    <row r="244872" s="12" customFormat="1" x14ac:dyDescent="0.25"/>
    <row r="244873" s="12" customFormat="1" x14ac:dyDescent="0.25"/>
    <row r="244874" s="12" customFormat="1" x14ac:dyDescent="0.25"/>
    <row r="244875" s="12" customFormat="1" x14ac:dyDescent="0.25"/>
    <row r="244876" s="12" customFormat="1" x14ac:dyDescent="0.25"/>
    <row r="244877" s="12" customFormat="1" x14ac:dyDescent="0.25"/>
    <row r="244878" s="12" customFormat="1" x14ac:dyDescent="0.25"/>
    <row r="244879" s="12" customFormat="1" x14ac:dyDescent="0.25"/>
    <row r="244880" s="12" customFormat="1" x14ac:dyDescent="0.25"/>
    <row r="244881" s="12" customFormat="1" x14ac:dyDescent="0.25"/>
    <row r="244882" s="12" customFormat="1" x14ac:dyDescent="0.25"/>
    <row r="244883" s="12" customFormat="1" x14ac:dyDescent="0.25"/>
    <row r="244884" s="12" customFormat="1" x14ac:dyDescent="0.25"/>
    <row r="244885" s="12" customFormat="1" x14ac:dyDescent="0.25"/>
    <row r="244886" s="12" customFormat="1" x14ac:dyDescent="0.25"/>
    <row r="244887" s="12" customFormat="1" x14ac:dyDescent="0.25"/>
    <row r="244888" s="12" customFormat="1" x14ac:dyDescent="0.25"/>
    <row r="244889" s="12" customFormat="1" x14ac:dyDescent="0.25"/>
    <row r="244890" s="12" customFormat="1" x14ac:dyDescent="0.25"/>
    <row r="244891" s="12" customFormat="1" x14ac:dyDescent="0.25"/>
    <row r="244892" s="12" customFormat="1" x14ac:dyDescent="0.25"/>
    <row r="244893" s="12" customFormat="1" x14ac:dyDescent="0.25"/>
    <row r="244894" s="12" customFormat="1" x14ac:dyDescent="0.25"/>
    <row r="244895" s="12" customFormat="1" x14ac:dyDescent="0.25"/>
    <row r="244896" s="12" customFormat="1" x14ac:dyDescent="0.25"/>
    <row r="244897" s="12" customFormat="1" x14ac:dyDescent="0.25"/>
    <row r="244898" s="12" customFormat="1" x14ac:dyDescent="0.25"/>
    <row r="244899" s="12" customFormat="1" x14ac:dyDescent="0.25"/>
    <row r="244900" s="12" customFormat="1" x14ac:dyDescent="0.25"/>
    <row r="244901" s="12" customFormat="1" x14ac:dyDescent="0.25"/>
    <row r="244902" s="12" customFormat="1" x14ac:dyDescent="0.25"/>
    <row r="244903" s="12" customFormat="1" x14ac:dyDescent="0.25"/>
    <row r="244904" s="12" customFormat="1" x14ac:dyDescent="0.25"/>
    <row r="244905" s="12" customFormat="1" x14ac:dyDescent="0.25"/>
    <row r="244906" s="12" customFormat="1" x14ac:dyDescent="0.25"/>
    <row r="244907" s="12" customFormat="1" x14ac:dyDescent="0.25"/>
    <row r="244908" s="12" customFormat="1" x14ac:dyDescent="0.25"/>
    <row r="244909" s="12" customFormat="1" x14ac:dyDescent="0.25"/>
    <row r="244910" s="12" customFormat="1" x14ac:dyDescent="0.25"/>
    <row r="244911" s="12" customFormat="1" x14ac:dyDescent="0.25"/>
    <row r="244912" s="12" customFormat="1" x14ac:dyDescent="0.25"/>
    <row r="244913" s="12" customFormat="1" x14ac:dyDescent="0.25"/>
    <row r="244914" s="12" customFormat="1" x14ac:dyDescent="0.25"/>
    <row r="244915" s="12" customFormat="1" x14ac:dyDescent="0.25"/>
    <row r="244916" s="12" customFormat="1" x14ac:dyDescent="0.25"/>
    <row r="244917" s="12" customFormat="1" x14ac:dyDescent="0.25"/>
    <row r="244918" s="12" customFormat="1" x14ac:dyDescent="0.25"/>
    <row r="244919" s="12" customFormat="1" x14ac:dyDescent="0.25"/>
    <row r="244920" s="12" customFormat="1" x14ac:dyDescent="0.25"/>
    <row r="244921" s="12" customFormat="1" x14ac:dyDescent="0.25"/>
    <row r="244922" s="12" customFormat="1" x14ac:dyDescent="0.25"/>
    <row r="244923" s="12" customFormat="1" x14ac:dyDescent="0.25"/>
    <row r="244924" s="12" customFormat="1" x14ac:dyDescent="0.25"/>
    <row r="244925" s="12" customFormat="1" x14ac:dyDescent="0.25"/>
    <row r="244926" s="12" customFormat="1" x14ac:dyDescent="0.25"/>
    <row r="244927" s="12" customFormat="1" x14ac:dyDescent="0.25"/>
    <row r="244928" s="12" customFormat="1" x14ac:dyDescent="0.25"/>
    <row r="244929" s="12" customFormat="1" x14ac:dyDescent="0.25"/>
    <row r="244930" s="12" customFormat="1" x14ac:dyDescent="0.25"/>
    <row r="244931" s="12" customFormat="1" x14ac:dyDescent="0.25"/>
    <row r="244932" s="12" customFormat="1" x14ac:dyDescent="0.25"/>
    <row r="244933" s="12" customFormat="1" x14ac:dyDescent="0.25"/>
    <row r="244934" s="12" customFormat="1" x14ac:dyDescent="0.25"/>
    <row r="244935" s="12" customFormat="1" x14ac:dyDescent="0.25"/>
    <row r="244936" s="12" customFormat="1" x14ac:dyDescent="0.25"/>
    <row r="244937" s="12" customFormat="1" x14ac:dyDescent="0.25"/>
    <row r="244938" s="12" customFormat="1" x14ac:dyDescent="0.25"/>
    <row r="244939" s="12" customFormat="1" x14ac:dyDescent="0.25"/>
    <row r="244940" s="12" customFormat="1" x14ac:dyDescent="0.25"/>
    <row r="244941" s="12" customFormat="1" x14ac:dyDescent="0.25"/>
    <row r="244942" s="12" customFormat="1" x14ac:dyDescent="0.25"/>
    <row r="244943" s="12" customFormat="1" x14ac:dyDescent="0.25"/>
    <row r="244944" s="12" customFormat="1" x14ac:dyDescent="0.25"/>
    <row r="244945" s="12" customFormat="1" x14ac:dyDescent="0.25"/>
    <row r="244946" s="12" customFormat="1" x14ac:dyDescent="0.25"/>
    <row r="244947" s="12" customFormat="1" x14ac:dyDescent="0.25"/>
    <row r="244948" s="12" customFormat="1" x14ac:dyDescent="0.25"/>
    <row r="244949" s="12" customFormat="1" x14ac:dyDescent="0.25"/>
    <row r="244950" s="12" customFormat="1" x14ac:dyDescent="0.25"/>
    <row r="244951" s="12" customFormat="1" x14ac:dyDescent="0.25"/>
    <row r="244952" s="12" customFormat="1" x14ac:dyDescent="0.25"/>
    <row r="244953" s="12" customFormat="1" x14ac:dyDescent="0.25"/>
    <row r="244954" s="12" customFormat="1" x14ac:dyDescent="0.25"/>
    <row r="244955" s="12" customFormat="1" x14ac:dyDescent="0.25"/>
    <row r="244956" s="12" customFormat="1" x14ac:dyDescent="0.25"/>
    <row r="244957" s="12" customFormat="1" x14ac:dyDescent="0.25"/>
    <row r="244958" s="12" customFormat="1" x14ac:dyDescent="0.25"/>
    <row r="244959" s="12" customFormat="1" x14ac:dyDescent="0.25"/>
    <row r="244960" s="12" customFormat="1" x14ac:dyDescent="0.25"/>
    <row r="244961" s="12" customFormat="1" x14ac:dyDescent="0.25"/>
    <row r="244962" s="12" customFormat="1" x14ac:dyDescent="0.25"/>
    <row r="244963" s="12" customFormat="1" x14ac:dyDescent="0.25"/>
    <row r="244964" s="12" customFormat="1" x14ac:dyDescent="0.25"/>
    <row r="244965" s="12" customFormat="1" x14ac:dyDescent="0.25"/>
    <row r="244966" s="12" customFormat="1" x14ac:dyDescent="0.25"/>
    <row r="244967" s="12" customFormat="1" x14ac:dyDescent="0.25"/>
    <row r="244968" s="12" customFormat="1" x14ac:dyDescent="0.25"/>
    <row r="244969" s="12" customFormat="1" x14ac:dyDescent="0.25"/>
    <row r="244970" s="12" customFormat="1" x14ac:dyDescent="0.25"/>
    <row r="244971" s="12" customFormat="1" x14ac:dyDescent="0.25"/>
    <row r="244972" s="12" customFormat="1" x14ac:dyDescent="0.25"/>
    <row r="244973" s="12" customFormat="1" x14ac:dyDescent="0.25"/>
    <row r="244974" s="12" customFormat="1" x14ac:dyDescent="0.25"/>
    <row r="244975" s="12" customFormat="1" x14ac:dyDescent="0.25"/>
    <row r="244976" s="12" customFormat="1" x14ac:dyDescent="0.25"/>
    <row r="244977" s="12" customFormat="1" x14ac:dyDescent="0.25"/>
    <row r="244978" s="12" customFormat="1" x14ac:dyDescent="0.25"/>
    <row r="244979" s="12" customFormat="1" x14ac:dyDescent="0.25"/>
    <row r="244980" s="12" customFormat="1" x14ac:dyDescent="0.25"/>
    <row r="244981" s="12" customFormat="1" x14ac:dyDescent="0.25"/>
    <row r="244982" s="12" customFormat="1" x14ac:dyDescent="0.25"/>
    <row r="244983" s="12" customFormat="1" x14ac:dyDescent="0.25"/>
    <row r="244984" s="12" customFormat="1" x14ac:dyDescent="0.25"/>
    <row r="244985" s="12" customFormat="1" x14ac:dyDescent="0.25"/>
    <row r="244986" s="12" customFormat="1" x14ac:dyDescent="0.25"/>
    <row r="244987" s="12" customFormat="1" x14ac:dyDescent="0.25"/>
    <row r="244988" s="12" customFormat="1" x14ac:dyDescent="0.25"/>
    <row r="244989" s="12" customFormat="1" x14ac:dyDescent="0.25"/>
    <row r="244990" s="12" customFormat="1" x14ac:dyDescent="0.25"/>
    <row r="244991" s="12" customFormat="1" x14ac:dyDescent="0.25"/>
    <row r="244992" s="12" customFormat="1" x14ac:dyDescent="0.25"/>
    <row r="244993" s="12" customFormat="1" x14ac:dyDescent="0.25"/>
    <row r="244994" s="12" customFormat="1" x14ac:dyDescent="0.25"/>
    <row r="244995" s="12" customFormat="1" x14ac:dyDescent="0.25"/>
    <row r="244996" s="12" customFormat="1" x14ac:dyDescent="0.25"/>
    <row r="244997" s="12" customFormat="1" x14ac:dyDescent="0.25"/>
    <row r="244998" s="12" customFormat="1" x14ac:dyDescent="0.25"/>
    <row r="244999" s="12" customFormat="1" x14ac:dyDescent="0.25"/>
    <row r="245000" s="12" customFormat="1" x14ac:dyDescent="0.25"/>
    <row r="245001" s="12" customFormat="1" x14ac:dyDescent="0.25"/>
    <row r="245002" s="12" customFormat="1" x14ac:dyDescent="0.25"/>
    <row r="245003" s="12" customFormat="1" x14ac:dyDescent="0.25"/>
    <row r="245004" s="12" customFormat="1" x14ac:dyDescent="0.25"/>
    <row r="245005" s="12" customFormat="1" x14ac:dyDescent="0.25"/>
    <row r="245006" s="12" customFormat="1" x14ac:dyDescent="0.25"/>
    <row r="245007" s="12" customFormat="1" x14ac:dyDescent="0.25"/>
    <row r="245008" s="12" customFormat="1" x14ac:dyDescent="0.25"/>
    <row r="245009" s="12" customFormat="1" x14ac:dyDescent="0.25"/>
    <row r="245010" s="12" customFormat="1" x14ac:dyDescent="0.25"/>
    <row r="245011" s="12" customFormat="1" x14ac:dyDescent="0.25"/>
    <row r="245012" s="12" customFormat="1" x14ac:dyDescent="0.25"/>
    <row r="245013" s="12" customFormat="1" x14ac:dyDescent="0.25"/>
    <row r="245014" s="12" customFormat="1" x14ac:dyDescent="0.25"/>
    <row r="245015" s="12" customFormat="1" x14ac:dyDescent="0.25"/>
    <row r="245016" s="12" customFormat="1" x14ac:dyDescent="0.25"/>
    <row r="245017" s="12" customFormat="1" x14ac:dyDescent="0.25"/>
    <row r="245018" s="12" customFormat="1" x14ac:dyDescent="0.25"/>
    <row r="245019" s="12" customFormat="1" x14ac:dyDescent="0.25"/>
    <row r="245020" s="12" customFormat="1" x14ac:dyDescent="0.25"/>
    <row r="245021" s="12" customFormat="1" x14ac:dyDescent="0.25"/>
    <row r="245022" s="12" customFormat="1" x14ac:dyDescent="0.25"/>
    <row r="245023" s="12" customFormat="1" x14ac:dyDescent="0.25"/>
    <row r="245024" s="12" customFormat="1" x14ac:dyDescent="0.25"/>
    <row r="245025" s="12" customFormat="1" x14ac:dyDescent="0.25"/>
    <row r="245026" s="12" customFormat="1" x14ac:dyDescent="0.25"/>
    <row r="245027" s="12" customFormat="1" x14ac:dyDescent="0.25"/>
    <row r="245028" s="12" customFormat="1" x14ac:dyDescent="0.25"/>
    <row r="245029" s="12" customFormat="1" x14ac:dyDescent="0.25"/>
    <row r="245030" s="12" customFormat="1" x14ac:dyDescent="0.25"/>
    <row r="245031" s="12" customFormat="1" x14ac:dyDescent="0.25"/>
    <row r="245032" s="12" customFormat="1" x14ac:dyDescent="0.25"/>
    <row r="245033" s="12" customFormat="1" x14ac:dyDescent="0.25"/>
    <row r="245034" s="12" customFormat="1" x14ac:dyDescent="0.25"/>
    <row r="245035" s="12" customFormat="1" x14ac:dyDescent="0.25"/>
    <row r="245036" s="12" customFormat="1" x14ac:dyDescent="0.25"/>
    <row r="245037" s="12" customFormat="1" x14ac:dyDescent="0.25"/>
    <row r="245038" s="12" customFormat="1" x14ac:dyDescent="0.25"/>
    <row r="245039" s="12" customFormat="1" x14ac:dyDescent="0.25"/>
    <row r="245040" s="12" customFormat="1" x14ac:dyDescent="0.25"/>
    <row r="245041" s="12" customFormat="1" x14ac:dyDescent="0.25"/>
    <row r="245042" s="12" customFormat="1" x14ac:dyDescent="0.25"/>
    <row r="245043" s="12" customFormat="1" x14ac:dyDescent="0.25"/>
    <row r="245044" s="12" customFormat="1" x14ac:dyDescent="0.25"/>
    <row r="245045" s="12" customFormat="1" x14ac:dyDescent="0.25"/>
    <row r="245046" s="12" customFormat="1" x14ac:dyDescent="0.25"/>
    <row r="245047" s="12" customFormat="1" x14ac:dyDescent="0.25"/>
    <row r="245048" s="12" customFormat="1" x14ac:dyDescent="0.25"/>
    <row r="245049" s="12" customFormat="1" x14ac:dyDescent="0.25"/>
    <row r="245050" s="12" customFormat="1" x14ac:dyDescent="0.25"/>
    <row r="245051" s="12" customFormat="1" x14ac:dyDescent="0.25"/>
    <row r="245052" s="12" customFormat="1" x14ac:dyDescent="0.25"/>
    <row r="245053" s="12" customFormat="1" x14ac:dyDescent="0.25"/>
    <row r="245054" s="12" customFormat="1" x14ac:dyDescent="0.25"/>
    <row r="245055" s="12" customFormat="1" x14ac:dyDescent="0.25"/>
    <row r="245056" s="12" customFormat="1" x14ac:dyDescent="0.25"/>
    <row r="245057" s="12" customFormat="1" x14ac:dyDescent="0.25"/>
    <row r="245058" s="12" customFormat="1" x14ac:dyDescent="0.25"/>
    <row r="245059" s="12" customFormat="1" x14ac:dyDescent="0.25"/>
    <row r="245060" s="12" customFormat="1" x14ac:dyDescent="0.25"/>
    <row r="245061" s="12" customFormat="1" x14ac:dyDescent="0.25"/>
    <row r="245062" s="12" customFormat="1" x14ac:dyDescent="0.25"/>
    <row r="245063" s="12" customFormat="1" x14ac:dyDescent="0.25"/>
    <row r="245064" s="12" customFormat="1" x14ac:dyDescent="0.25"/>
    <row r="245065" s="12" customFormat="1" x14ac:dyDescent="0.25"/>
    <row r="245066" s="12" customFormat="1" x14ac:dyDescent="0.25"/>
    <row r="245067" s="12" customFormat="1" x14ac:dyDescent="0.25"/>
    <row r="245068" s="12" customFormat="1" x14ac:dyDescent="0.25"/>
    <row r="245069" s="12" customFormat="1" x14ac:dyDescent="0.25"/>
    <row r="245070" s="12" customFormat="1" x14ac:dyDescent="0.25"/>
    <row r="245071" s="12" customFormat="1" x14ac:dyDescent="0.25"/>
    <row r="245072" s="12" customFormat="1" x14ac:dyDescent="0.25"/>
    <row r="245073" s="12" customFormat="1" x14ac:dyDescent="0.25"/>
    <row r="245074" s="12" customFormat="1" x14ac:dyDescent="0.25"/>
    <row r="245075" s="12" customFormat="1" x14ac:dyDescent="0.25"/>
    <row r="245076" s="12" customFormat="1" x14ac:dyDescent="0.25"/>
    <row r="245077" s="12" customFormat="1" x14ac:dyDescent="0.25"/>
    <row r="245078" s="12" customFormat="1" x14ac:dyDescent="0.25"/>
    <row r="245079" s="12" customFormat="1" x14ac:dyDescent="0.25"/>
    <row r="245080" s="12" customFormat="1" x14ac:dyDescent="0.25"/>
    <row r="245081" s="12" customFormat="1" x14ac:dyDescent="0.25"/>
    <row r="245082" s="12" customFormat="1" x14ac:dyDescent="0.25"/>
    <row r="245083" s="12" customFormat="1" x14ac:dyDescent="0.25"/>
    <row r="245084" s="12" customFormat="1" x14ac:dyDescent="0.25"/>
    <row r="245085" s="12" customFormat="1" x14ac:dyDescent="0.25"/>
    <row r="245086" s="12" customFormat="1" x14ac:dyDescent="0.25"/>
    <row r="245087" s="12" customFormat="1" x14ac:dyDescent="0.25"/>
    <row r="245088" s="12" customFormat="1" x14ac:dyDescent="0.25"/>
    <row r="245089" s="12" customFormat="1" x14ac:dyDescent="0.25"/>
    <row r="245090" s="12" customFormat="1" x14ac:dyDescent="0.25"/>
    <row r="245091" s="12" customFormat="1" x14ac:dyDescent="0.25"/>
    <row r="245092" s="12" customFormat="1" x14ac:dyDescent="0.25"/>
    <row r="245093" s="12" customFormat="1" x14ac:dyDescent="0.25"/>
    <row r="245094" s="12" customFormat="1" x14ac:dyDescent="0.25"/>
    <row r="245095" s="12" customFormat="1" x14ac:dyDescent="0.25"/>
    <row r="245096" s="12" customFormat="1" x14ac:dyDescent="0.25"/>
    <row r="245097" s="12" customFormat="1" x14ac:dyDescent="0.25"/>
    <row r="245098" s="12" customFormat="1" x14ac:dyDescent="0.25"/>
    <row r="245099" s="12" customFormat="1" x14ac:dyDescent="0.25"/>
    <row r="245100" s="12" customFormat="1" x14ac:dyDescent="0.25"/>
    <row r="245101" s="12" customFormat="1" x14ac:dyDescent="0.25"/>
    <row r="245102" s="12" customFormat="1" x14ac:dyDescent="0.25"/>
    <row r="245103" s="12" customFormat="1" x14ac:dyDescent="0.25"/>
    <row r="245104" s="12" customFormat="1" x14ac:dyDescent="0.25"/>
    <row r="245105" s="12" customFormat="1" x14ac:dyDescent="0.25"/>
    <row r="245106" s="12" customFormat="1" x14ac:dyDescent="0.25"/>
    <row r="245107" s="12" customFormat="1" x14ac:dyDescent="0.25"/>
    <row r="245108" s="12" customFormat="1" x14ac:dyDescent="0.25"/>
    <row r="245109" s="12" customFormat="1" x14ac:dyDescent="0.25"/>
    <row r="245110" s="12" customFormat="1" x14ac:dyDescent="0.25"/>
    <row r="245111" s="12" customFormat="1" x14ac:dyDescent="0.25"/>
    <row r="245112" s="12" customFormat="1" x14ac:dyDescent="0.25"/>
    <row r="245113" s="12" customFormat="1" x14ac:dyDescent="0.25"/>
    <row r="245114" s="12" customFormat="1" x14ac:dyDescent="0.25"/>
    <row r="245115" s="12" customFormat="1" x14ac:dyDescent="0.25"/>
    <row r="245116" s="12" customFormat="1" x14ac:dyDescent="0.25"/>
    <row r="245117" s="12" customFormat="1" x14ac:dyDescent="0.25"/>
    <row r="245118" s="12" customFormat="1" x14ac:dyDescent="0.25"/>
    <row r="245119" s="12" customFormat="1" x14ac:dyDescent="0.25"/>
    <row r="245120" s="12" customFormat="1" x14ac:dyDescent="0.25"/>
    <row r="245121" s="12" customFormat="1" x14ac:dyDescent="0.25"/>
    <row r="245122" s="12" customFormat="1" x14ac:dyDescent="0.25"/>
    <row r="245123" s="12" customFormat="1" x14ac:dyDescent="0.25"/>
    <row r="245124" s="12" customFormat="1" x14ac:dyDescent="0.25"/>
    <row r="245125" s="12" customFormat="1" x14ac:dyDescent="0.25"/>
    <row r="245126" s="12" customFormat="1" x14ac:dyDescent="0.25"/>
    <row r="245127" s="12" customFormat="1" x14ac:dyDescent="0.25"/>
    <row r="245128" s="12" customFormat="1" x14ac:dyDescent="0.25"/>
    <row r="245129" s="12" customFormat="1" x14ac:dyDescent="0.25"/>
    <row r="245130" s="12" customFormat="1" x14ac:dyDescent="0.25"/>
    <row r="245131" s="12" customFormat="1" x14ac:dyDescent="0.25"/>
    <row r="245132" s="12" customFormat="1" x14ac:dyDescent="0.25"/>
    <row r="245133" s="12" customFormat="1" x14ac:dyDescent="0.25"/>
    <row r="245134" s="12" customFormat="1" x14ac:dyDescent="0.25"/>
    <row r="245135" s="12" customFormat="1" x14ac:dyDescent="0.25"/>
    <row r="245136" s="12" customFormat="1" x14ac:dyDescent="0.25"/>
    <row r="245137" s="12" customFormat="1" x14ac:dyDescent="0.25"/>
    <row r="245138" s="12" customFormat="1" x14ac:dyDescent="0.25"/>
    <row r="245139" s="12" customFormat="1" x14ac:dyDescent="0.25"/>
    <row r="245140" s="12" customFormat="1" x14ac:dyDescent="0.25"/>
    <row r="245141" s="12" customFormat="1" x14ac:dyDescent="0.25"/>
    <row r="245142" s="12" customFormat="1" x14ac:dyDescent="0.25"/>
    <row r="245143" s="12" customFormat="1" x14ac:dyDescent="0.25"/>
    <row r="245144" s="12" customFormat="1" x14ac:dyDescent="0.25"/>
    <row r="245145" s="12" customFormat="1" x14ac:dyDescent="0.25"/>
    <row r="245146" s="12" customFormat="1" x14ac:dyDescent="0.25"/>
    <row r="245147" s="12" customFormat="1" x14ac:dyDescent="0.25"/>
    <row r="245148" s="12" customFormat="1" x14ac:dyDescent="0.25"/>
    <row r="245149" s="12" customFormat="1" x14ac:dyDescent="0.25"/>
    <row r="245150" s="12" customFormat="1" x14ac:dyDescent="0.25"/>
    <row r="245151" s="12" customFormat="1" x14ac:dyDescent="0.25"/>
    <row r="245152" s="12" customFormat="1" x14ac:dyDescent="0.25"/>
    <row r="245153" s="12" customFormat="1" x14ac:dyDescent="0.25"/>
    <row r="245154" s="12" customFormat="1" x14ac:dyDescent="0.25"/>
    <row r="245155" s="12" customFormat="1" x14ac:dyDescent="0.25"/>
    <row r="245156" s="12" customFormat="1" x14ac:dyDescent="0.25"/>
    <row r="245157" s="12" customFormat="1" x14ac:dyDescent="0.25"/>
    <row r="245158" s="12" customFormat="1" x14ac:dyDescent="0.25"/>
    <row r="245159" s="12" customFormat="1" x14ac:dyDescent="0.25"/>
    <row r="245160" s="12" customFormat="1" x14ac:dyDescent="0.25"/>
    <row r="245161" s="12" customFormat="1" x14ac:dyDescent="0.25"/>
    <row r="245162" s="12" customFormat="1" x14ac:dyDescent="0.25"/>
    <row r="245163" s="12" customFormat="1" x14ac:dyDescent="0.25"/>
    <row r="245164" s="12" customFormat="1" x14ac:dyDescent="0.25"/>
    <row r="245165" s="12" customFormat="1" x14ac:dyDescent="0.25"/>
    <row r="245166" s="12" customFormat="1" x14ac:dyDescent="0.25"/>
    <row r="245167" s="12" customFormat="1" x14ac:dyDescent="0.25"/>
    <row r="245168" s="12" customFormat="1" x14ac:dyDescent="0.25"/>
    <row r="245169" s="12" customFormat="1" x14ac:dyDescent="0.25"/>
    <row r="245170" s="12" customFormat="1" x14ac:dyDescent="0.25"/>
    <row r="245171" s="12" customFormat="1" x14ac:dyDescent="0.25"/>
    <row r="245172" s="12" customFormat="1" x14ac:dyDescent="0.25"/>
    <row r="245173" s="12" customFormat="1" x14ac:dyDescent="0.25"/>
    <row r="245174" s="12" customFormat="1" x14ac:dyDescent="0.25"/>
    <row r="245175" s="12" customFormat="1" x14ac:dyDescent="0.25"/>
    <row r="245176" s="12" customFormat="1" x14ac:dyDescent="0.25"/>
    <row r="245177" s="12" customFormat="1" x14ac:dyDescent="0.25"/>
    <row r="245178" s="12" customFormat="1" x14ac:dyDescent="0.25"/>
    <row r="245179" s="12" customFormat="1" x14ac:dyDescent="0.25"/>
    <row r="245180" s="12" customFormat="1" x14ac:dyDescent="0.25"/>
    <row r="245181" s="12" customFormat="1" x14ac:dyDescent="0.25"/>
    <row r="245182" s="12" customFormat="1" x14ac:dyDescent="0.25"/>
    <row r="245183" s="12" customFormat="1" x14ac:dyDescent="0.25"/>
    <row r="245184" s="12" customFormat="1" x14ac:dyDescent="0.25"/>
    <row r="245185" s="12" customFormat="1" x14ac:dyDescent="0.25"/>
    <row r="245186" s="12" customFormat="1" x14ac:dyDescent="0.25"/>
    <row r="245187" s="12" customFormat="1" x14ac:dyDescent="0.25"/>
    <row r="245188" s="12" customFormat="1" x14ac:dyDescent="0.25"/>
    <row r="245189" s="12" customFormat="1" x14ac:dyDescent="0.25"/>
    <row r="245190" s="12" customFormat="1" x14ac:dyDescent="0.25"/>
    <row r="245191" s="12" customFormat="1" x14ac:dyDescent="0.25"/>
    <row r="245192" s="12" customFormat="1" x14ac:dyDescent="0.25"/>
    <row r="245193" s="12" customFormat="1" x14ac:dyDescent="0.25"/>
    <row r="245194" s="12" customFormat="1" x14ac:dyDescent="0.25"/>
    <row r="245195" s="12" customFormat="1" x14ac:dyDescent="0.25"/>
    <row r="245196" s="12" customFormat="1" x14ac:dyDescent="0.25"/>
    <row r="245197" s="12" customFormat="1" x14ac:dyDescent="0.25"/>
    <row r="245198" s="12" customFormat="1" x14ac:dyDescent="0.25"/>
    <row r="245199" s="12" customFormat="1" x14ac:dyDescent="0.25"/>
    <row r="245200" s="12" customFormat="1" x14ac:dyDescent="0.25"/>
    <row r="245201" s="12" customFormat="1" x14ac:dyDescent="0.25"/>
    <row r="245202" s="12" customFormat="1" x14ac:dyDescent="0.25"/>
    <row r="245203" s="12" customFormat="1" x14ac:dyDescent="0.25"/>
    <row r="245204" s="12" customFormat="1" x14ac:dyDescent="0.25"/>
    <row r="245205" s="12" customFormat="1" x14ac:dyDescent="0.25"/>
    <row r="245206" s="12" customFormat="1" x14ac:dyDescent="0.25"/>
    <row r="245207" s="12" customFormat="1" x14ac:dyDescent="0.25"/>
    <row r="245208" s="12" customFormat="1" x14ac:dyDescent="0.25"/>
    <row r="245209" s="12" customFormat="1" x14ac:dyDescent="0.25"/>
    <row r="245210" s="12" customFormat="1" x14ac:dyDescent="0.25"/>
    <row r="245211" s="12" customFormat="1" x14ac:dyDescent="0.25"/>
    <row r="245212" s="12" customFormat="1" x14ac:dyDescent="0.25"/>
    <row r="245213" s="12" customFormat="1" x14ac:dyDescent="0.25"/>
    <row r="245214" s="12" customFormat="1" x14ac:dyDescent="0.25"/>
    <row r="245215" s="12" customFormat="1" x14ac:dyDescent="0.25"/>
    <row r="245216" s="12" customFormat="1" x14ac:dyDescent="0.25"/>
    <row r="245217" s="12" customFormat="1" x14ac:dyDescent="0.25"/>
    <row r="245218" s="12" customFormat="1" x14ac:dyDescent="0.25"/>
    <row r="245219" s="12" customFormat="1" x14ac:dyDescent="0.25"/>
    <row r="245220" s="12" customFormat="1" x14ac:dyDescent="0.25"/>
    <row r="245221" s="12" customFormat="1" x14ac:dyDescent="0.25"/>
    <row r="245222" s="12" customFormat="1" x14ac:dyDescent="0.25"/>
    <row r="245223" s="12" customFormat="1" x14ac:dyDescent="0.25"/>
    <row r="245224" s="12" customFormat="1" x14ac:dyDescent="0.25"/>
    <row r="245225" s="12" customFormat="1" x14ac:dyDescent="0.25"/>
    <row r="245226" s="12" customFormat="1" x14ac:dyDescent="0.25"/>
    <row r="245227" s="12" customFormat="1" x14ac:dyDescent="0.25"/>
    <row r="245228" s="12" customFormat="1" x14ac:dyDescent="0.25"/>
    <row r="245229" s="12" customFormat="1" x14ac:dyDescent="0.25"/>
    <row r="245230" s="12" customFormat="1" x14ac:dyDescent="0.25"/>
    <row r="245231" s="12" customFormat="1" x14ac:dyDescent="0.25"/>
    <row r="245232" s="12" customFormat="1" x14ac:dyDescent="0.25"/>
    <row r="245233" s="12" customFormat="1" x14ac:dyDescent="0.25"/>
    <row r="245234" s="12" customFormat="1" x14ac:dyDescent="0.25"/>
    <row r="245235" s="12" customFormat="1" x14ac:dyDescent="0.25"/>
    <row r="245236" s="12" customFormat="1" x14ac:dyDescent="0.25"/>
    <row r="245237" s="12" customFormat="1" x14ac:dyDescent="0.25"/>
    <row r="245238" s="12" customFormat="1" x14ac:dyDescent="0.25"/>
    <row r="245239" s="12" customFormat="1" x14ac:dyDescent="0.25"/>
    <row r="245240" s="12" customFormat="1" x14ac:dyDescent="0.25"/>
    <row r="245241" s="12" customFormat="1" x14ac:dyDescent="0.25"/>
    <row r="245242" s="12" customFormat="1" x14ac:dyDescent="0.25"/>
    <row r="245243" s="12" customFormat="1" x14ac:dyDescent="0.25"/>
    <row r="245244" s="12" customFormat="1" x14ac:dyDescent="0.25"/>
    <row r="245245" s="12" customFormat="1" x14ac:dyDescent="0.25"/>
    <row r="245246" s="12" customFormat="1" x14ac:dyDescent="0.25"/>
    <row r="245247" s="12" customFormat="1" x14ac:dyDescent="0.25"/>
    <row r="245248" s="12" customFormat="1" x14ac:dyDescent="0.25"/>
    <row r="245249" s="12" customFormat="1" x14ac:dyDescent="0.25"/>
    <row r="245250" s="12" customFormat="1" x14ac:dyDescent="0.25"/>
    <row r="245251" s="12" customFormat="1" x14ac:dyDescent="0.25"/>
    <row r="245252" s="12" customFormat="1" x14ac:dyDescent="0.25"/>
    <row r="245253" s="12" customFormat="1" x14ac:dyDescent="0.25"/>
    <row r="245254" s="12" customFormat="1" x14ac:dyDescent="0.25"/>
    <row r="245255" s="12" customFormat="1" x14ac:dyDescent="0.25"/>
    <row r="245256" s="12" customFormat="1" x14ac:dyDescent="0.25"/>
    <row r="245257" s="12" customFormat="1" x14ac:dyDescent="0.25"/>
    <row r="245258" s="12" customFormat="1" x14ac:dyDescent="0.25"/>
    <row r="245259" s="12" customFormat="1" x14ac:dyDescent="0.25"/>
    <row r="245260" s="12" customFormat="1" x14ac:dyDescent="0.25"/>
    <row r="245261" s="12" customFormat="1" x14ac:dyDescent="0.25"/>
    <row r="245262" s="12" customFormat="1" x14ac:dyDescent="0.25"/>
    <row r="245263" s="12" customFormat="1" x14ac:dyDescent="0.25"/>
    <row r="245264" s="12" customFormat="1" x14ac:dyDescent="0.25"/>
    <row r="245265" s="12" customFormat="1" x14ac:dyDescent="0.25"/>
    <row r="245266" s="12" customFormat="1" x14ac:dyDescent="0.25"/>
    <row r="245267" s="12" customFormat="1" x14ac:dyDescent="0.25"/>
    <row r="245268" s="12" customFormat="1" x14ac:dyDescent="0.25"/>
    <row r="245269" s="12" customFormat="1" x14ac:dyDescent="0.25"/>
    <row r="245270" s="12" customFormat="1" x14ac:dyDescent="0.25"/>
    <row r="245271" s="12" customFormat="1" x14ac:dyDescent="0.25"/>
    <row r="245272" s="12" customFormat="1" x14ac:dyDescent="0.25"/>
    <row r="245273" s="12" customFormat="1" x14ac:dyDescent="0.25"/>
    <row r="245274" s="12" customFormat="1" x14ac:dyDescent="0.25"/>
    <row r="245275" s="12" customFormat="1" x14ac:dyDescent="0.25"/>
    <row r="245276" s="12" customFormat="1" x14ac:dyDescent="0.25"/>
    <row r="245277" s="12" customFormat="1" x14ac:dyDescent="0.25"/>
    <row r="245278" s="12" customFormat="1" x14ac:dyDescent="0.25"/>
    <row r="245279" s="12" customFormat="1" x14ac:dyDescent="0.25"/>
    <row r="245280" s="12" customFormat="1" x14ac:dyDescent="0.25"/>
    <row r="245281" s="12" customFormat="1" x14ac:dyDescent="0.25"/>
    <row r="245282" s="12" customFormat="1" x14ac:dyDescent="0.25"/>
    <row r="245283" s="12" customFormat="1" x14ac:dyDescent="0.25"/>
    <row r="245284" s="12" customFormat="1" x14ac:dyDescent="0.25"/>
    <row r="245285" s="12" customFormat="1" x14ac:dyDescent="0.25"/>
    <row r="245286" s="12" customFormat="1" x14ac:dyDescent="0.25"/>
    <row r="245287" s="12" customFormat="1" x14ac:dyDescent="0.25"/>
    <row r="245288" s="12" customFormat="1" x14ac:dyDescent="0.25"/>
    <row r="245289" s="12" customFormat="1" x14ac:dyDescent="0.25"/>
    <row r="245290" s="12" customFormat="1" x14ac:dyDescent="0.25"/>
    <row r="245291" s="12" customFormat="1" x14ac:dyDescent="0.25"/>
    <row r="245292" s="12" customFormat="1" x14ac:dyDescent="0.25"/>
    <row r="245293" s="12" customFormat="1" x14ac:dyDescent="0.25"/>
    <row r="245294" s="12" customFormat="1" x14ac:dyDescent="0.25"/>
    <row r="245295" s="12" customFormat="1" x14ac:dyDescent="0.25"/>
    <row r="245296" s="12" customFormat="1" x14ac:dyDescent="0.25"/>
    <row r="245297" s="12" customFormat="1" x14ac:dyDescent="0.25"/>
    <row r="245298" s="12" customFormat="1" x14ac:dyDescent="0.25"/>
    <row r="245299" s="12" customFormat="1" x14ac:dyDescent="0.25"/>
    <row r="245300" s="12" customFormat="1" x14ac:dyDescent="0.25"/>
    <row r="245301" s="12" customFormat="1" x14ac:dyDescent="0.25"/>
    <row r="245302" s="12" customFormat="1" x14ac:dyDescent="0.25"/>
    <row r="245303" s="12" customFormat="1" x14ac:dyDescent="0.25"/>
    <row r="245304" s="12" customFormat="1" x14ac:dyDescent="0.25"/>
    <row r="245305" s="12" customFormat="1" x14ac:dyDescent="0.25"/>
    <row r="245306" s="12" customFormat="1" x14ac:dyDescent="0.25"/>
    <row r="245307" s="12" customFormat="1" x14ac:dyDescent="0.25"/>
    <row r="245308" s="12" customFormat="1" x14ac:dyDescent="0.25"/>
    <row r="245309" s="12" customFormat="1" x14ac:dyDescent="0.25"/>
    <row r="245310" s="12" customFormat="1" x14ac:dyDescent="0.25"/>
    <row r="245311" s="12" customFormat="1" x14ac:dyDescent="0.25"/>
    <row r="245312" s="12" customFormat="1" x14ac:dyDescent="0.25"/>
    <row r="245313" s="12" customFormat="1" x14ac:dyDescent="0.25"/>
    <row r="245314" s="12" customFormat="1" x14ac:dyDescent="0.25"/>
    <row r="245315" s="12" customFormat="1" x14ac:dyDescent="0.25"/>
    <row r="245316" s="12" customFormat="1" x14ac:dyDescent="0.25"/>
    <row r="245317" s="12" customFormat="1" x14ac:dyDescent="0.25"/>
    <row r="245318" s="12" customFormat="1" x14ac:dyDescent="0.25"/>
    <row r="245319" s="12" customFormat="1" x14ac:dyDescent="0.25"/>
    <row r="245320" s="12" customFormat="1" x14ac:dyDescent="0.25"/>
    <row r="245321" s="12" customFormat="1" x14ac:dyDescent="0.25"/>
    <row r="245322" s="12" customFormat="1" x14ac:dyDescent="0.25"/>
    <row r="245323" s="12" customFormat="1" x14ac:dyDescent="0.25"/>
    <row r="245324" s="12" customFormat="1" x14ac:dyDescent="0.25"/>
    <row r="245325" s="12" customFormat="1" x14ac:dyDescent="0.25"/>
    <row r="245326" s="12" customFormat="1" x14ac:dyDescent="0.25"/>
    <row r="245327" s="12" customFormat="1" x14ac:dyDescent="0.25"/>
    <row r="245328" s="12" customFormat="1" x14ac:dyDescent="0.25"/>
    <row r="245329" s="12" customFormat="1" x14ac:dyDescent="0.25"/>
    <row r="245330" s="12" customFormat="1" x14ac:dyDescent="0.25"/>
    <row r="245331" s="12" customFormat="1" x14ac:dyDescent="0.25"/>
    <row r="245332" s="12" customFormat="1" x14ac:dyDescent="0.25"/>
    <row r="245333" s="12" customFormat="1" x14ac:dyDescent="0.25"/>
    <row r="245334" s="12" customFormat="1" x14ac:dyDescent="0.25"/>
    <row r="245335" s="12" customFormat="1" x14ac:dyDescent="0.25"/>
    <row r="245336" s="12" customFormat="1" x14ac:dyDescent="0.25"/>
    <row r="245337" s="12" customFormat="1" x14ac:dyDescent="0.25"/>
    <row r="245338" s="12" customFormat="1" x14ac:dyDescent="0.25"/>
    <row r="245339" s="12" customFormat="1" x14ac:dyDescent="0.25"/>
    <row r="245340" s="12" customFormat="1" x14ac:dyDescent="0.25"/>
    <row r="245341" s="12" customFormat="1" x14ac:dyDescent="0.25"/>
    <row r="245342" s="12" customFormat="1" x14ac:dyDescent="0.25"/>
    <row r="245343" s="12" customFormat="1" x14ac:dyDescent="0.25"/>
    <row r="245344" s="12" customFormat="1" x14ac:dyDescent="0.25"/>
    <row r="245345" s="12" customFormat="1" x14ac:dyDescent="0.25"/>
    <row r="245346" s="12" customFormat="1" x14ac:dyDescent="0.25"/>
    <row r="245347" s="12" customFormat="1" x14ac:dyDescent="0.25"/>
    <row r="245348" s="12" customFormat="1" x14ac:dyDescent="0.25"/>
    <row r="245349" s="12" customFormat="1" x14ac:dyDescent="0.25"/>
    <row r="245350" s="12" customFormat="1" x14ac:dyDescent="0.25"/>
    <row r="245351" s="12" customFormat="1" x14ac:dyDescent="0.25"/>
    <row r="245352" s="12" customFormat="1" x14ac:dyDescent="0.25"/>
    <row r="245353" s="12" customFormat="1" x14ac:dyDescent="0.25"/>
    <row r="245354" s="12" customFormat="1" x14ac:dyDescent="0.25"/>
    <row r="245355" s="12" customFormat="1" x14ac:dyDescent="0.25"/>
    <row r="245356" s="12" customFormat="1" x14ac:dyDescent="0.25"/>
    <row r="245357" s="12" customFormat="1" x14ac:dyDescent="0.25"/>
    <row r="245358" s="12" customFormat="1" x14ac:dyDescent="0.25"/>
    <row r="245359" s="12" customFormat="1" x14ac:dyDescent="0.25"/>
    <row r="245360" s="12" customFormat="1" x14ac:dyDescent="0.25"/>
    <row r="245361" s="12" customFormat="1" x14ac:dyDescent="0.25"/>
    <row r="245362" s="12" customFormat="1" x14ac:dyDescent="0.25"/>
    <row r="245363" s="12" customFormat="1" x14ac:dyDescent="0.25"/>
    <row r="245364" s="12" customFormat="1" x14ac:dyDescent="0.25"/>
    <row r="245365" s="12" customFormat="1" x14ac:dyDescent="0.25"/>
    <row r="245366" s="12" customFormat="1" x14ac:dyDescent="0.25"/>
    <row r="245367" s="12" customFormat="1" x14ac:dyDescent="0.25"/>
    <row r="245368" s="12" customFormat="1" x14ac:dyDescent="0.25"/>
    <row r="245369" s="12" customFormat="1" x14ac:dyDescent="0.25"/>
    <row r="245370" s="12" customFormat="1" x14ac:dyDescent="0.25"/>
    <row r="245371" s="12" customFormat="1" x14ac:dyDescent="0.25"/>
    <row r="245372" s="12" customFormat="1" x14ac:dyDescent="0.25"/>
    <row r="245373" s="12" customFormat="1" x14ac:dyDescent="0.25"/>
    <row r="245374" s="12" customFormat="1" x14ac:dyDescent="0.25"/>
    <row r="245375" s="12" customFormat="1" x14ac:dyDescent="0.25"/>
    <row r="245376" s="12" customFormat="1" x14ac:dyDescent="0.25"/>
    <row r="245377" s="12" customFormat="1" x14ac:dyDescent="0.25"/>
    <row r="245378" s="12" customFormat="1" x14ac:dyDescent="0.25"/>
    <row r="245379" s="12" customFormat="1" x14ac:dyDescent="0.25"/>
    <row r="245380" s="12" customFormat="1" x14ac:dyDescent="0.25"/>
    <row r="245381" s="12" customFormat="1" x14ac:dyDescent="0.25"/>
    <row r="245382" s="12" customFormat="1" x14ac:dyDescent="0.25"/>
    <row r="245383" s="12" customFormat="1" x14ac:dyDescent="0.25"/>
    <row r="245384" s="12" customFormat="1" x14ac:dyDescent="0.25"/>
    <row r="245385" s="12" customFormat="1" x14ac:dyDescent="0.25"/>
    <row r="245386" s="12" customFormat="1" x14ac:dyDescent="0.25"/>
    <row r="245387" s="12" customFormat="1" x14ac:dyDescent="0.25"/>
    <row r="245388" s="12" customFormat="1" x14ac:dyDescent="0.25"/>
    <row r="245389" s="12" customFormat="1" x14ac:dyDescent="0.25"/>
    <row r="245390" s="12" customFormat="1" x14ac:dyDescent="0.25"/>
    <row r="245391" s="12" customFormat="1" x14ac:dyDescent="0.25"/>
    <row r="245392" s="12" customFormat="1" x14ac:dyDescent="0.25"/>
    <row r="245393" s="12" customFormat="1" x14ac:dyDescent="0.25"/>
    <row r="245394" s="12" customFormat="1" x14ac:dyDescent="0.25"/>
    <row r="245395" s="12" customFormat="1" x14ac:dyDescent="0.25"/>
    <row r="245396" s="12" customFormat="1" x14ac:dyDescent="0.25"/>
    <row r="245397" s="12" customFormat="1" x14ac:dyDescent="0.25"/>
    <row r="245398" s="12" customFormat="1" x14ac:dyDescent="0.25"/>
    <row r="245399" s="12" customFormat="1" x14ac:dyDescent="0.25"/>
    <row r="245400" s="12" customFormat="1" x14ac:dyDescent="0.25"/>
    <row r="245401" s="12" customFormat="1" x14ac:dyDescent="0.25"/>
    <row r="245402" s="12" customFormat="1" x14ac:dyDescent="0.25"/>
    <row r="245403" s="12" customFormat="1" x14ac:dyDescent="0.25"/>
    <row r="245404" s="12" customFormat="1" x14ac:dyDescent="0.25"/>
    <row r="245405" s="12" customFormat="1" x14ac:dyDescent="0.25"/>
    <row r="245406" s="12" customFormat="1" x14ac:dyDescent="0.25"/>
    <row r="245407" s="12" customFormat="1" x14ac:dyDescent="0.25"/>
    <row r="245408" s="12" customFormat="1" x14ac:dyDescent="0.25"/>
    <row r="245409" s="12" customFormat="1" x14ac:dyDescent="0.25"/>
    <row r="245410" s="12" customFormat="1" x14ac:dyDescent="0.25"/>
    <row r="245411" s="12" customFormat="1" x14ac:dyDescent="0.25"/>
    <row r="245412" s="12" customFormat="1" x14ac:dyDescent="0.25"/>
    <row r="245413" s="12" customFormat="1" x14ac:dyDescent="0.25"/>
    <row r="245414" s="12" customFormat="1" x14ac:dyDescent="0.25"/>
    <row r="245415" s="12" customFormat="1" x14ac:dyDescent="0.25"/>
    <row r="245416" s="12" customFormat="1" x14ac:dyDescent="0.25"/>
    <row r="245417" s="12" customFormat="1" x14ac:dyDescent="0.25"/>
    <row r="245418" s="12" customFormat="1" x14ac:dyDescent="0.25"/>
    <row r="245419" s="12" customFormat="1" x14ac:dyDescent="0.25"/>
    <row r="245420" s="12" customFormat="1" x14ac:dyDescent="0.25"/>
    <row r="245421" s="12" customFormat="1" x14ac:dyDescent="0.25"/>
    <row r="245422" s="12" customFormat="1" x14ac:dyDescent="0.25"/>
    <row r="245423" s="12" customFormat="1" x14ac:dyDescent="0.25"/>
    <row r="245424" s="12" customFormat="1" x14ac:dyDescent="0.25"/>
    <row r="245425" s="12" customFormat="1" x14ac:dyDescent="0.25"/>
    <row r="245426" s="12" customFormat="1" x14ac:dyDescent="0.25"/>
    <row r="245427" s="12" customFormat="1" x14ac:dyDescent="0.25"/>
    <row r="245428" s="12" customFormat="1" x14ac:dyDescent="0.25"/>
    <row r="245429" s="12" customFormat="1" x14ac:dyDescent="0.25"/>
    <row r="245430" s="12" customFormat="1" x14ac:dyDescent="0.25"/>
    <row r="245431" s="12" customFormat="1" x14ac:dyDescent="0.25"/>
    <row r="245432" s="12" customFormat="1" x14ac:dyDescent="0.25"/>
    <row r="245433" s="12" customFormat="1" x14ac:dyDescent="0.25"/>
    <row r="245434" s="12" customFormat="1" x14ac:dyDescent="0.25"/>
    <row r="245435" s="12" customFormat="1" x14ac:dyDescent="0.25"/>
    <row r="245436" s="12" customFormat="1" x14ac:dyDescent="0.25"/>
    <row r="245437" s="12" customFormat="1" x14ac:dyDescent="0.25"/>
    <row r="245438" s="12" customFormat="1" x14ac:dyDescent="0.25"/>
    <row r="245439" s="12" customFormat="1" x14ac:dyDescent="0.25"/>
    <row r="245440" s="12" customFormat="1" x14ac:dyDescent="0.25"/>
    <row r="245441" s="12" customFormat="1" x14ac:dyDescent="0.25"/>
    <row r="245442" s="12" customFormat="1" x14ac:dyDescent="0.25"/>
    <row r="245443" s="12" customFormat="1" x14ac:dyDescent="0.25"/>
    <row r="245444" s="12" customFormat="1" x14ac:dyDescent="0.25"/>
    <row r="245445" s="12" customFormat="1" x14ac:dyDescent="0.25"/>
    <row r="245446" s="12" customFormat="1" x14ac:dyDescent="0.25"/>
    <row r="245447" s="12" customFormat="1" x14ac:dyDescent="0.25"/>
    <row r="245448" s="12" customFormat="1" x14ac:dyDescent="0.25"/>
    <row r="245449" s="12" customFormat="1" x14ac:dyDescent="0.25"/>
    <row r="245450" s="12" customFormat="1" x14ac:dyDescent="0.25"/>
    <row r="245451" s="12" customFormat="1" x14ac:dyDescent="0.25"/>
    <row r="245452" s="12" customFormat="1" x14ac:dyDescent="0.25"/>
    <row r="245453" s="12" customFormat="1" x14ac:dyDescent="0.25"/>
    <row r="245454" s="12" customFormat="1" x14ac:dyDescent="0.25"/>
    <row r="245455" s="12" customFormat="1" x14ac:dyDescent="0.25"/>
    <row r="245456" s="12" customFormat="1" x14ac:dyDescent="0.25"/>
    <row r="245457" s="12" customFormat="1" x14ac:dyDescent="0.25"/>
    <row r="245458" s="12" customFormat="1" x14ac:dyDescent="0.25"/>
    <row r="245459" s="12" customFormat="1" x14ac:dyDescent="0.25"/>
    <row r="245460" s="12" customFormat="1" x14ac:dyDescent="0.25"/>
    <row r="245461" s="12" customFormat="1" x14ac:dyDescent="0.25"/>
    <row r="245462" s="12" customFormat="1" x14ac:dyDescent="0.25"/>
    <row r="245463" s="12" customFormat="1" x14ac:dyDescent="0.25"/>
    <row r="245464" s="12" customFormat="1" x14ac:dyDescent="0.25"/>
    <row r="245465" s="12" customFormat="1" x14ac:dyDescent="0.25"/>
    <row r="245466" s="12" customFormat="1" x14ac:dyDescent="0.25"/>
    <row r="245467" s="12" customFormat="1" x14ac:dyDescent="0.25"/>
    <row r="245468" s="12" customFormat="1" x14ac:dyDescent="0.25"/>
    <row r="245469" s="12" customFormat="1" x14ac:dyDescent="0.25"/>
    <row r="245470" s="12" customFormat="1" x14ac:dyDescent="0.25"/>
    <row r="245471" s="12" customFormat="1" x14ac:dyDescent="0.25"/>
    <row r="245472" s="12" customFormat="1" x14ac:dyDescent="0.25"/>
    <row r="245473" s="12" customFormat="1" x14ac:dyDescent="0.25"/>
    <row r="245474" s="12" customFormat="1" x14ac:dyDescent="0.25"/>
    <row r="245475" s="12" customFormat="1" x14ac:dyDescent="0.25"/>
    <row r="245476" s="12" customFormat="1" x14ac:dyDescent="0.25"/>
    <row r="245477" s="12" customFormat="1" x14ac:dyDescent="0.25"/>
    <row r="245478" s="12" customFormat="1" x14ac:dyDescent="0.25"/>
    <row r="245479" s="12" customFormat="1" x14ac:dyDescent="0.25"/>
    <row r="245480" s="12" customFormat="1" x14ac:dyDescent="0.25"/>
    <row r="245481" s="12" customFormat="1" x14ac:dyDescent="0.25"/>
    <row r="245482" s="12" customFormat="1" x14ac:dyDescent="0.25"/>
    <row r="245483" s="12" customFormat="1" x14ac:dyDescent="0.25"/>
    <row r="245484" s="12" customFormat="1" x14ac:dyDescent="0.25"/>
    <row r="245485" s="12" customFormat="1" x14ac:dyDescent="0.25"/>
    <row r="245486" s="12" customFormat="1" x14ac:dyDescent="0.25"/>
    <row r="245487" s="12" customFormat="1" x14ac:dyDescent="0.25"/>
    <row r="245488" s="12" customFormat="1" x14ac:dyDescent="0.25"/>
    <row r="245489" s="12" customFormat="1" x14ac:dyDescent="0.25"/>
    <row r="245490" s="12" customFormat="1" x14ac:dyDescent="0.25"/>
    <row r="245491" s="12" customFormat="1" x14ac:dyDescent="0.25"/>
    <row r="245492" s="12" customFormat="1" x14ac:dyDescent="0.25"/>
    <row r="245493" s="12" customFormat="1" x14ac:dyDescent="0.25"/>
    <row r="245494" s="12" customFormat="1" x14ac:dyDescent="0.25"/>
    <row r="245495" s="12" customFormat="1" x14ac:dyDescent="0.25"/>
    <row r="245496" s="12" customFormat="1" x14ac:dyDescent="0.25"/>
    <row r="245497" s="12" customFormat="1" x14ac:dyDescent="0.25"/>
    <row r="245498" s="12" customFormat="1" x14ac:dyDescent="0.25"/>
    <row r="245499" s="12" customFormat="1" x14ac:dyDescent="0.25"/>
    <row r="245500" s="12" customFormat="1" x14ac:dyDescent="0.25"/>
    <row r="245501" s="12" customFormat="1" x14ac:dyDescent="0.25"/>
    <row r="245502" s="12" customFormat="1" x14ac:dyDescent="0.25"/>
    <row r="245503" s="12" customFormat="1" x14ac:dyDescent="0.25"/>
    <row r="245504" s="12" customFormat="1" x14ac:dyDescent="0.25"/>
    <row r="245505" s="12" customFormat="1" x14ac:dyDescent="0.25"/>
    <row r="245506" s="12" customFormat="1" x14ac:dyDescent="0.25"/>
    <row r="245507" s="12" customFormat="1" x14ac:dyDescent="0.25"/>
    <row r="245508" s="12" customFormat="1" x14ac:dyDescent="0.25"/>
    <row r="245509" s="12" customFormat="1" x14ac:dyDescent="0.25"/>
    <row r="245510" s="12" customFormat="1" x14ac:dyDescent="0.25"/>
    <row r="245511" s="12" customFormat="1" x14ac:dyDescent="0.25"/>
    <row r="245512" s="12" customFormat="1" x14ac:dyDescent="0.25"/>
    <row r="245513" s="12" customFormat="1" x14ac:dyDescent="0.25"/>
    <row r="245514" s="12" customFormat="1" x14ac:dyDescent="0.25"/>
    <row r="245515" s="12" customFormat="1" x14ac:dyDescent="0.25"/>
    <row r="245516" s="12" customFormat="1" x14ac:dyDescent="0.25"/>
    <row r="245517" s="12" customFormat="1" x14ac:dyDescent="0.25"/>
    <row r="245518" s="12" customFormat="1" x14ac:dyDescent="0.25"/>
    <row r="245519" s="12" customFormat="1" x14ac:dyDescent="0.25"/>
    <row r="245520" s="12" customFormat="1" x14ac:dyDescent="0.25"/>
    <row r="245521" s="12" customFormat="1" x14ac:dyDescent="0.25"/>
    <row r="245522" s="12" customFormat="1" x14ac:dyDescent="0.25"/>
    <row r="245523" s="12" customFormat="1" x14ac:dyDescent="0.25"/>
    <row r="245524" s="12" customFormat="1" x14ac:dyDescent="0.25"/>
    <row r="245525" s="12" customFormat="1" x14ac:dyDescent="0.25"/>
    <row r="245526" s="12" customFormat="1" x14ac:dyDescent="0.25"/>
    <row r="245527" s="12" customFormat="1" x14ac:dyDescent="0.25"/>
    <row r="245528" s="12" customFormat="1" x14ac:dyDescent="0.25"/>
    <row r="245529" s="12" customFormat="1" x14ac:dyDescent="0.25"/>
    <row r="245530" s="12" customFormat="1" x14ac:dyDescent="0.25"/>
    <row r="245531" s="12" customFormat="1" x14ac:dyDescent="0.25"/>
    <row r="245532" s="12" customFormat="1" x14ac:dyDescent="0.25"/>
    <row r="245533" s="12" customFormat="1" x14ac:dyDescent="0.25"/>
    <row r="245534" s="12" customFormat="1" x14ac:dyDescent="0.25"/>
    <row r="245535" s="12" customFormat="1" x14ac:dyDescent="0.25"/>
    <row r="245536" s="12" customFormat="1" x14ac:dyDescent="0.25"/>
    <row r="245537" s="12" customFormat="1" x14ac:dyDescent="0.25"/>
    <row r="245538" s="12" customFormat="1" x14ac:dyDescent="0.25"/>
    <row r="245539" s="12" customFormat="1" x14ac:dyDescent="0.25"/>
    <row r="245540" s="12" customFormat="1" x14ac:dyDescent="0.25"/>
    <row r="245541" s="12" customFormat="1" x14ac:dyDescent="0.25"/>
    <row r="245542" s="12" customFormat="1" x14ac:dyDescent="0.25"/>
    <row r="245543" s="12" customFormat="1" x14ac:dyDescent="0.25"/>
    <row r="245544" s="12" customFormat="1" x14ac:dyDescent="0.25"/>
    <row r="245545" s="12" customFormat="1" x14ac:dyDescent="0.25"/>
    <row r="245546" s="12" customFormat="1" x14ac:dyDescent="0.25"/>
    <row r="245547" s="12" customFormat="1" x14ac:dyDescent="0.25"/>
    <row r="245548" s="12" customFormat="1" x14ac:dyDescent="0.25"/>
    <row r="245549" s="12" customFormat="1" x14ac:dyDescent="0.25"/>
    <row r="245550" s="12" customFormat="1" x14ac:dyDescent="0.25"/>
    <row r="245551" s="12" customFormat="1" x14ac:dyDescent="0.25"/>
    <row r="245552" s="12" customFormat="1" x14ac:dyDescent="0.25"/>
    <row r="245553" s="12" customFormat="1" x14ac:dyDescent="0.25"/>
    <row r="245554" s="12" customFormat="1" x14ac:dyDescent="0.25"/>
    <row r="245555" s="12" customFormat="1" x14ac:dyDescent="0.25"/>
    <row r="245556" s="12" customFormat="1" x14ac:dyDescent="0.25"/>
    <row r="245557" s="12" customFormat="1" x14ac:dyDescent="0.25"/>
    <row r="245558" s="12" customFormat="1" x14ac:dyDescent="0.25"/>
    <row r="245559" s="12" customFormat="1" x14ac:dyDescent="0.25"/>
    <row r="245560" s="12" customFormat="1" x14ac:dyDescent="0.25"/>
    <row r="245561" s="12" customFormat="1" x14ac:dyDescent="0.25"/>
    <row r="245562" s="12" customFormat="1" x14ac:dyDescent="0.25"/>
    <row r="245563" s="12" customFormat="1" x14ac:dyDescent="0.25"/>
    <row r="245564" s="12" customFormat="1" x14ac:dyDescent="0.25"/>
    <row r="245565" s="12" customFormat="1" x14ac:dyDescent="0.25"/>
    <row r="245566" s="12" customFormat="1" x14ac:dyDescent="0.25"/>
    <row r="245567" s="12" customFormat="1" x14ac:dyDescent="0.25"/>
    <row r="245568" s="12" customFormat="1" x14ac:dyDescent="0.25"/>
    <row r="245569" s="12" customFormat="1" x14ac:dyDescent="0.25"/>
    <row r="245570" s="12" customFormat="1" x14ac:dyDescent="0.25"/>
    <row r="245571" s="12" customFormat="1" x14ac:dyDescent="0.25"/>
    <row r="245572" s="12" customFormat="1" x14ac:dyDescent="0.25"/>
    <row r="245573" s="12" customFormat="1" x14ac:dyDescent="0.25"/>
    <row r="245574" s="12" customFormat="1" x14ac:dyDescent="0.25"/>
    <row r="245575" s="12" customFormat="1" x14ac:dyDescent="0.25"/>
    <row r="245576" s="12" customFormat="1" x14ac:dyDescent="0.25"/>
    <row r="245577" s="12" customFormat="1" x14ac:dyDescent="0.25"/>
    <row r="245578" s="12" customFormat="1" x14ac:dyDescent="0.25"/>
    <row r="245579" s="12" customFormat="1" x14ac:dyDescent="0.25"/>
    <row r="245580" s="12" customFormat="1" x14ac:dyDescent="0.25"/>
    <row r="245581" s="12" customFormat="1" x14ac:dyDescent="0.25"/>
    <row r="245582" s="12" customFormat="1" x14ac:dyDescent="0.25"/>
    <row r="245583" s="12" customFormat="1" x14ac:dyDescent="0.25"/>
    <row r="245584" s="12" customFormat="1" x14ac:dyDescent="0.25"/>
    <row r="245585" s="12" customFormat="1" x14ac:dyDescent="0.25"/>
    <row r="245586" s="12" customFormat="1" x14ac:dyDescent="0.25"/>
    <row r="245587" s="12" customFormat="1" x14ac:dyDescent="0.25"/>
    <row r="245588" s="12" customFormat="1" x14ac:dyDescent="0.25"/>
    <row r="245589" s="12" customFormat="1" x14ac:dyDescent="0.25"/>
    <row r="245590" s="12" customFormat="1" x14ac:dyDescent="0.25"/>
    <row r="245591" s="12" customFormat="1" x14ac:dyDescent="0.25"/>
    <row r="245592" s="12" customFormat="1" x14ac:dyDescent="0.25"/>
    <row r="245593" s="12" customFormat="1" x14ac:dyDescent="0.25"/>
    <row r="245594" s="12" customFormat="1" x14ac:dyDescent="0.25"/>
    <row r="245595" s="12" customFormat="1" x14ac:dyDescent="0.25"/>
    <row r="245596" s="12" customFormat="1" x14ac:dyDescent="0.25"/>
    <row r="245597" s="12" customFormat="1" x14ac:dyDescent="0.25"/>
    <row r="245598" s="12" customFormat="1" x14ac:dyDescent="0.25"/>
    <row r="245599" s="12" customFormat="1" x14ac:dyDescent="0.25"/>
    <row r="245600" s="12" customFormat="1" x14ac:dyDescent="0.25"/>
    <row r="245601" s="12" customFormat="1" x14ac:dyDescent="0.25"/>
    <row r="245602" s="12" customFormat="1" x14ac:dyDescent="0.25"/>
    <row r="245603" s="12" customFormat="1" x14ac:dyDescent="0.25"/>
    <row r="245604" s="12" customFormat="1" x14ac:dyDescent="0.25"/>
    <row r="245605" s="12" customFormat="1" x14ac:dyDescent="0.25"/>
    <row r="245606" s="12" customFormat="1" x14ac:dyDescent="0.25"/>
    <row r="245607" s="12" customFormat="1" x14ac:dyDescent="0.25"/>
    <row r="245608" s="12" customFormat="1" x14ac:dyDescent="0.25"/>
    <row r="245609" s="12" customFormat="1" x14ac:dyDescent="0.25"/>
    <row r="245610" s="12" customFormat="1" x14ac:dyDescent="0.25"/>
    <row r="245611" s="12" customFormat="1" x14ac:dyDescent="0.25"/>
    <row r="245612" s="12" customFormat="1" x14ac:dyDescent="0.25"/>
    <row r="245613" s="12" customFormat="1" x14ac:dyDescent="0.25"/>
    <row r="245614" s="12" customFormat="1" x14ac:dyDescent="0.25"/>
    <row r="245615" s="12" customFormat="1" x14ac:dyDescent="0.25"/>
    <row r="245616" s="12" customFormat="1" x14ac:dyDescent="0.25"/>
    <row r="245617" s="12" customFormat="1" x14ac:dyDescent="0.25"/>
    <row r="245618" s="12" customFormat="1" x14ac:dyDescent="0.25"/>
    <row r="245619" s="12" customFormat="1" x14ac:dyDescent="0.25"/>
    <row r="245620" s="12" customFormat="1" x14ac:dyDescent="0.25"/>
    <row r="245621" s="12" customFormat="1" x14ac:dyDescent="0.25"/>
    <row r="245622" s="12" customFormat="1" x14ac:dyDescent="0.25"/>
    <row r="245623" s="12" customFormat="1" x14ac:dyDescent="0.25"/>
    <row r="245624" s="12" customFormat="1" x14ac:dyDescent="0.25"/>
    <row r="245625" s="12" customFormat="1" x14ac:dyDescent="0.25"/>
    <row r="245626" s="12" customFormat="1" x14ac:dyDescent="0.25"/>
    <row r="245627" s="12" customFormat="1" x14ac:dyDescent="0.25"/>
    <row r="245628" s="12" customFormat="1" x14ac:dyDescent="0.25"/>
    <row r="245629" s="12" customFormat="1" x14ac:dyDescent="0.25"/>
    <row r="245630" s="12" customFormat="1" x14ac:dyDescent="0.25"/>
    <row r="245631" s="12" customFormat="1" x14ac:dyDescent="0.25"/>
    <row r="245632" s="12" customFormat="1" x14ac:dyDescent="0.25"/>
    <row r="245633" s="12" customFormat="1" x14ac:dyDescent="0.25"/>
    <row r="245634" s="12" customFormat="1" x14ac:dyDescent="0.25"/>
    <row r="245635" s="12" customFormat="1" x14ac:dyDescent="0.25"/>
    <row r="245636" s="12" customFormat="1" x14ac:dyDescent="0.25"/>
    <row r="245637" s="12" customFormat="1" x14ac:dyDescent="0.25"/>
    <row r="245638" s="12" customFormat="1" x14ac:dyDescent="0.25"/>
    <row r="245639" s="12" customFormat="1" x14ac:dyDescent="0.25"/>
    <row r="245640" s="12" customFormat="1" x14ac:dyDescent="0.25"/>
    <row r="245641" s="12" customFormat="1" x14ac:dyDescent="0.25"/>
    <row r="245642" s="12" customFormat="1" x14ac:dyDescent="0.25"/>
    <row r="245643" s="12" customFormat="1" x14ac:dyDescent="0.25"/>
    <row r="245644" s="12" customFormat="1" x14ac:dyDescent="0.25"/>
    <row r="245645" s="12" customFormat="1" x14ac:dyDescent="0.25"/>
    <row r="245646" s="12" customFormat="1" x14ac:dyDescent="0.25"/>
    <row r="245647" s="12" customFormat="1" x14ac:dyDescent="0.25"/>
    <row r="245648" s="12" customFormat="1" x14ac:dyDescent="0.25"/>
    <row r="245649" s="12" customFormat="1" x14ac:dyDescent="0.25"/>
    <row r="245650" s="12" customFormat="1" x14ac:dyDescent="0.25"/>
    <row r="245651" s="12" customFormat="1" x14ac:dyDescent="0.25"/>
    <row r="245652" s="12" customFormat="1" x14ac:dyDescent="0.25"/>
    <row r="245653" s="12" customFormat="1" x14ac:dyDescent="0.25"/>
    <row r="245654" s="12" customFormat="1" x14ac:dyDescent="0.25"/>
    <row r="245655" s="12" customFormat="1" x14ac:dyDescent="0.25"/>
    <row r="245656" s="12" customFormat="1" x14ac:dyDescent="0.25"/>
    <row r="245657" s="12" customFormat="1" x14ac:dyDescent="0.25"/>
    <row r="245658" s="12" customFormat="1" x14ac:dyDescent="0.25"/>
    <row r="245659" s="12" customFormat="1" x14ac:dyDescent="0.25"/>
    <row r="245660" s="12" customFormat="1" x14ac:dyDescent="0.25"/>
    <row r="245661" s="12" customFormat="1" x14ac:dyDescent="0.25"/>
    <row r="245662" s="12" customFormat="1" x14ac:dyDescent="0.25"/>
    <row r="245663" s="12" customFormat="1" x14ac:dyDescent="0.25"/>
    <row r="245664" s="12" customFormat="1" x14ac:dyDescent="0.25"/>
    <row r="245665" s="12" customFormat="1" x14ac:dyDescent="0.25"/>
    <row r="245666" s="12" customFormat="1" x14ac:dyDescent="0.25"/>
    <row r="245667" s="12" customFormat="1" x14ac:dyDescent="0.25"/>
    <row r="245668" s="12" customFormat="1" x14ac:dyDescent="0.25"/>
    <row r="245669" s="12" customFormat="1" x14ac:dyDescent="0.25"/>
    <row r="245670" s="12" customFormat="1" x14ac:dyDescent="0.25"/>
    <row r="245671" s="12" customFormat="1" x14ac:dyDescent="0.25"/>
    <row r="245672" s="12" customFormat="1" x14ac:dyDescent="0.25"/>
    <row r="245673" s="12" customFormat="1" x14ac:dyDescent="0.25"/>
    <row r="245674" s="12" customFormat="1" x14ac:dyDescent="0.25"/>
    <row r="245675" s="12" customFormat="1" x14ac:dyDescent="0.25"/>
    <row r="245676" s="12" customFormat="1" x14ac:dyDescent="0.25"/>
    <row r="245677" s="12" customFormat="1" x14ac:dyDescent="0.25"/>
    <row r="245678" s="12" customFormat="1" x14ac:dyDescent="0.25"/>
    <row r="245679" s="12" customFormat="1" x14ac:dyDescent="0.25"/>
    <row r="245680" s="12" customFormat="1" x14ac:dyDescent="0.25"/>
    <row r="245681" s="12" customFormat="1" x14ac:dyDescent="0.25"/>
    <row r="245682" s="12" customFormat="1" x14ac:dyDescent="0.25"/>
    <row r="245683" s="12" customFormat="1" x14ac:dyDescent="0.25"/>
    <row r="245684" s="12" customFormat="1" x14ac:dyDescent="0.25"/>
    <row r="245685" s="12" customFormat="1" x14ac:dyDescent="0.25"/>
    <row r="245686" s="12" customFormat="1" x14ac:dyDescent="0.25"/>
    <row r="245687" s="12" customFormat="1" x14ac:dyDescent="0.25"/>
    <row r="245688" s="12" customFormat="1" x14ac:dyDescent="0.25"/>
    <row r="245689" s="12" customFormat="1" x14ac:dyDescent="0.25"/>
    <row r="245690" s="12" customFormat="1" x14ac:dyDescent="0.25"/>
    <row r="245691" s="12" customFormat="1" x14ac:dyDescent="0.25"/>
    <row r="245692" s="12" customFormat="1" x14ac:dyDescent="0.25"/>
    <row r="245693" s="12" customFormat="1" x14ac:dyDescent="0.25"/>
    <row r="245694" s="12" customFormat="1" x14ac:dyDescent="0.25"/>
    <row r="245695" s="12" customFormat="1" x14ac:dyDescent="0.25"/>
    <row r="245696" s="12" customFormat="1" x14ac:dyDescent="0.25"/>
    <row r="245697" s="12" customFormat="1" x14ac:dyDescent="0.25"/>
    <row r="245698" s="12" customFormat="1" x14ac:dyDescent="0.25"/>
    <row r="245699" s="12" customFormat="1" x14ac:dyDescent="0.25"/>
    <row r="245700" s="12" customFormat="1" x14ac:dyDescent="0.25"/>
    <row r="245701" s="12" customFormat="1" x14ac:dyDescent="0.25"/>
    <row r="245702" s="12" customFormat="1" x14ac:dyDescent="0.25"/>
    <row r="245703" s="12" customFormat="1" x14ac:dyDescent="0.25"/>
    <row r="245704" s="12" customFormat="1" x14ac:dyDescent="0.25"/>
    <row r="245705" s="12" customFormat="1" x14ac:dyDescent="0.25"/>
    <row r="245706" s="12" customFormat="1" x14ac:dyDescent="0.25"/>
    <row r="245707" s="12" customFormat="1" x14ac:dyDescent="0.25"/>
    <row r="245708" s="12" customFormat="1" x14ac:dyDescent="0.25"/>
    <row r="245709" s="12" customFormat="1" x14ac:dyDescent="0.25"/>
    <row r="245710" s="12" customFormat="1" x14ac:dyDescent="0.25"/>
    <row r="245711" s="12" customFormat="1" x14ac:dyDescent="0.25"/>
    <row r="245712" s="12" customFormat="1" x14ac:dyDescent="0.25"/>
    <row r="245713" s="12" customFormat="1" x14ac:dyDescent="0.25"/>
    <row r="245714" s="12" customFormat="1" x14ac:dyDescent="0.25"/>
    <row r="245715" s="12" customFormat="1" x14ac:dyDescent="0.25"/>
    <row r="245716" s="12" customFormat="1" x14ac:dyDescent="0.25"/>
    <row r="245717" s="12" customFormat="1" x14ac:dyDescent="0.25"/>
    <row r="245718" s="12" customFormat="1" x14ac:dyDescent="0.25"/>
    <row r="245719" s="12" customFormat="1" x14ac:dyDescent="0.25"/>
    <row r="245720" s="12" customFormat="1" x14ac:dyDescent="0.25"/>
    <row r="245721" s="12" customFormat="1" x14ac:dyDescent="0.25"/>
    <row r="245722" s="12" customFormat="1" x14ac:dyDescent="0.25"/>
    <row r="245723" s="12" customFormat="1" x14ac:dyDescent="0.25"/>
    <row r="245724" s="12" customFormat="1" x14ac:dyDescent="0.25"/>
    <row r="245725" s="12" customFormat="1" x14ac:dyDescent="0.25"/>
    <row r="245726" s="12" customFormat="1" x14ac:dyDescent="0.25"/>
    <row r="245727" s="12" customFormat="1" x14ac:dyDescent="0.25"/>
    <row r="245728" s="12" customFormat="1" x14ac:dyDescent="0.25"/>
    <row r="245729" s="12" customFormat="1" x14ac:dyDescent="0.25"/>
    <row r="245730" s="12" customFormat="1" x14ac:dyDescent="0.25"/>
    <row r="245731" s="12" customFormat="1" x14ac:dyDescent="0.25"/>
    <row r="245732" s="12" customFormat="1" x14ac:dyDescent="0.25"/>
    <row r="245733" s="12" customFormat="1" x14ac:dyDescent="0.25"/>
    <row r="245734" s="12" customFormat="1" x14ac:dyDescent="0.25"/>
    <row r="245735" s="12" customFormat="1" x14ac:dyDescent="0.25"/>
    <row r="245736" s="12" customFormat="1" x14ac:dyDescent="0.25"/>
    <row r="245737" s="12" customFormat="1" x14ac:dyDescent="0.25"/>
    <row r="245738" s="12" customFormat="1" x14ac:dyDescent="0.25"/>
    <row r="245739" s="12" customFormat="1" x14ac:dyDescent="0.25"/>
    <row r="245740" s="12" customFormat="1" x14ac:dyDescent="0.25"/>
    <row r="245741" s="12" customFormat="1" x14ac:dyDescent="0.25"/>
    <row r="245742" s="12" customFormat="1" x14ac:dyDescent="0.25"/>
    <row r="245743" s="12" customFormat="1" x14ac:dyDescent="0.25"/>
    <row r="245744" s="12" customFormat="1" x14ac:dyDescent="0.25"/>
    <row r="245745" s="12" customFormat="1" x14ac:dyDescent="0.25"/>
    <row r="245746" s="12" customFormat="1" x14ac:dyDescent="0.25"/>
    <row r="245747" s="12" customFormat="1" x14ac:dyDescent="0.25"/>
    <row r="245748" s="12" customFormat="1" x14ac:dyDescent="0.25"/>
    <row r="245749" s="12" customFormat="1" x14ac:dyDescent="0.25"/>
    <row r="245750" s="12" customFormat="1" x14ac:dyDescent="0.25"/>
    <row r="245751" s="12" customFormat="1" x14ac:dyDescent="0.25"/>
    <row r="245752" s="12" customFormat="1" x14ac:dyDescent="0.25"/>
    <row r="245753" s="12" customFormat="1" x14ac:dyDescent="0.25"/>
    <row r="245754" s="12" customFormat="1" x14ac:dyDescent="0.25"/>
    <row r="245755" s="12" customFormat="1" x14ac:dyDescent="0.25"/>
    <row r="245756" s="12" customFormat="1" x14ac:dyDescent="0.25"/>
    <row r="245757" s="12" customFormat="1" x14ac:dyDescent="0.25"/>
    <row r="245758" s="12" customFormat="1" x14ac:dyDescent="0.25"/>
    <row r="245759" s="12" customFormat="1" x14ac:dyDescent="0.25"/>
    <row r="245760" s="12" customFormat="1" x14ac:dyDescent="0.25"/>
    <row r="245761" s="12" customFormat="1" x14ac:dyDescent="0.25"/>
    <row r="245762" s="12" customFormat="1" x14ac:dyDescent="0.25"/>
    <row r="245763" s="12" customFormat="1" x14ac:dyDescent="0.25"/>
    <row r="245764" s="12" customFormat="1" x14ac:dyDescent="0.25"/>
    <row r="245765" s="12" customFormat="1" x14ac:dyDescent="0.25"/>
    <row r="245766" s="12" customFormat="1" x14ac:dyDescent="0.25"/>
    <row r="245767" s="12" customFormat="1" x14ac:dyDescent="0.25"/>
    <row r="245768" s="12" customFormat="1" x14ac:dyDescent="0.25"/>
    <row r="245769" s="12" customFormat="1" x14ac:dyDescent="0.25"/>
    <row r="245770" s="12" customFormat="1" x14ac:dyDescent="0.25"/>
    <row r="245771" s="12" customFormat="1" x14ac:dyDescent="0.25"/>
    <row r="245772" s="12" customFormat="1" x14ac:dyDescent="0.25"/>
    <row r="245773" s="12" customFormat="1" x14ac:dyDescent="0.25"/>
    <row r="245774" s="12" customFormat="1" x14ac:dyDescent="0.25"/>
    <row r="245775" s="12" customFormat="1" x14ac:dyDescent="0.25"/>
    <row r="245776" s="12" customFormat="1" x14ac:dyDescent="0.25"/>
    <row r="245777" s="12" customFormat="1" x14ac:dyDescent="0.25"/>
    <row r="245778" s="12" customFormat="1" x14ac:dyDescent="0.25"/>
    <row r="245779" s="12" customFormat="1" x14ac:dyDescent="0.25"/>
    <row r="245780" s="12" customFormat="1" x14ac:dyDescent="0.25"/>
    <row r="245781" s="12" customFormat="1" x14ac:dyDescent="0.25"/>
    <row r="245782" s="12" customFormat="1" x14ac:dyDescent="0.25"/>
    <row r="245783" s="12" customFormat="1" x14ac:dyDescent="0.25"/>
    <row r="245784" s="12" customFormat="1" x14ac:dyDescent="0.25"/>
    <row r="245785" s="12" customFormat="1" x14ac:dyDescent="0.25"/>
    <row r="245786" s="12" customFormat="1" x14ac:dyDescent="0.25"/>
    <row r="245787" s="12" customFormat="1" x14ac:dyDescent="0.25"/>
    <row r="245788" s="12" customFormat="1" x14ac:dyDescent="0.25"/>
    <row r="245789" s="12" customFormat="1" x14ac:dyDescent="0.25"/>
    <row r="245790" s="12" customFormat="1" x14ac:dyDescent="0.25"/>
    <row r="245791" s="12" customFormat="1" x14ac:dyDescent="0.25"/>
    <row r="245792" s="12" customFormat="1" x14ac:dyDescent="0.25"/>
    <row r="245793" s="12" customFormat="1" x14ac:dyDescent="0.25"/>
    <row r="245794" s="12" customFormat="1" x14ac:dyDescent="0.25"/>
    <row r="245795" s="12" customFormat="1" x14ac:dyDescent="0.25"/>
    <row r="245796" s="12" customFormat="1" x14ac:dyDescent="0.25"/>
    <row r="245797" s="12" customFormat="1" x14ac:dyDescent="0.25"/>
    <row r="245798" s="12" customFormat="1" x14ac:dyDescent="0.25"/>
    <row r="245799" s="12" customFormat="1" x14ac:dyDescent="0.25"/>
    <row r="245800" s="12" customFormat="1" x14ac:dyDescent="0.25"/>
    <row r="245801" s="12" customFormat="1" x14ac:dyDescent="0.25"/>
    <row r="245802" s="12" customFormat="1" x14ac:dyDescent="0.25"/>
    <row r="245803" s="12" customFormat="1" x14ac:dyDescent="0.25"/>
    <row r="245804" s="12" customFormat="1" x14ac:dyDescent="0.25"/>
    <row r="245805" s="12" customFormat="1" x14ac:dyDescent="0.25"/>
    <row r="245806" s="12" customFormat="1" x14ac:dyDescent="0.25"/>
    <row r="245807" s="12" customFormat="1" x14ac:dyDescent="0.25"/>
    <row r="245808" s="12" customFormat="1" x14ac:dyDescent="0.25"/>
    <row r="245809" s="12" customFormat="1" x14ac:dyDescent="0.25"/>
    <row r="245810" s="12" customFormat="1" x14ac:dyDescent="0.25"/>
    <row r="245811" s="12" customFormat="1" x14ac:dyDescent="0.25"/>
    <row r="245812" s="12" customFormat="1" x14ac:dyDescent="0.25"/>
    <row r="245813" s="12" customFormat="1" x14ac:dyDescent="0.25"/>
    <row r="245814" s="12" customFormat="1" x14ac:dyDescent="0.25"/>
    <row r="245815" s="12" customFormat="1" x14ac:dyDescent="0.25"/>
    <row r="245816" s="12" customFormat="1" x14ac:dyDescent="0.25"/>
    <row r="245817" s="12" customFormat="1" x14ac:dyDescent="0.25"/>
    <row r="245818" s="12" customFormat="1" x14ac:dyDescent="0.25"/>
    <row r="245819" s="12" customFormat="1" x14ac:dyDescent="0.25"/>
    <row r="245820" s="12" customFormat="1" x14ac:dyDescent="0.25"/>
    <row r="245821" s="12" customFormat="1" x14ac:dyDescent="0.25"/>
    <row r="245822" s="12" customFormat="1" x14ac:dyDescent="0.25"/>
    <row r="245823" s="12" customFormat="1" x14ac:dyDescent="0.25"/>
    <row r="245824" s="12" customFormat="1" x14ac:dyDescent="0.25"/>
    <row r="245825" s="12" customFormat="1" x14ac:dyDescent="0.25"/>
    <row r="245826" s="12" customFormat="1" x14ac:dyDescent="0.25"/>
    <row r="245827" s="12" customFormat="1" x14ac:dyDescent="0.25"/>
    <row r="245828" s="12" customFormat="1" x14ac:dyDescent="0.25"/>
    <row r="245829" s="12" customFormat="1" x14ac:dyDescent="0.25"/>
    <row r="245830" s="12" customFormat="1" x14ac:dyDescent="0.25"/>
    <row r="245831" s="12" customFormat="1" x14ac:dyDescent="0.25"/>
    <row r="245832" s="12" customFormat="1" x14ac:dyDescent="0.25"/>
    <row r="245833" s="12" customFormat="1" x14ac:dyDescent="0.25"/>
    <row r="245834" s="12" customFormat="1" x14ac:dyDescent="0.25"/>
    <row r="245835" s="12" customFormat="1" x14ac:dyDescent="0.25"/>
    <row r="245836" s="12" customFormat="1" x14ac:dyDescent="0.25"/>
    <row r="245837" s="12" customFormat="1" x14ac:dyDescent="0.25"/>
    <row r="245838" s="12" customFormat="1" x14ac:dyDescent="0.25"/>
    <row r="245839" s="12" customFormat="1" x14ac:dyDescent="0.25"/>
    <row r="245840" s="12" customFormat="1" x14ac:dyDescent="0.25"/>
    <row r="245841" s="12" customFormat="1" x14ac:dyDescent="0.25"/>
    <row r="245842" s="12" customFormat="1" x14ac:dyDescent="0.25"/>
    <row r="245843" s="12" customFormat="1" x14ac:dyDescent="0.25"/>
    <row r="245844" s="12" customFormat="1" x14ac:dyDescent="0.25"/>
    <row r="245845" s="12" customFormat="1" x14ac:dyDescent="0.25"/>
    <row r="245846" s="12" customFormat="1" x14ac:dyDescent="0.25"/>
    <row r="245847" s="12" customFormat="1" x14ac:dyDescent="0.25"/>
    <row r="245848" s="12" customFormat="1" x14ac:dyDescent="0.25"/>
    <row r="245849" s="12" customFormat="1" x14ac:dyDescent="0.25"/>
    <row r="245850" s="12" customFormat="1" x14ac:dyDescent="0.25"/>
    <row r="245851" s="12" customFormat="1" x14ac:dyDescent="0.25"/>
    <row r="245852" s="12" customFormat="1" x14ac:dyDescent="0.25"/>
    <row r="245853" s="12" customFormat="1" x14ac:dyDescent="0.25"/>
    <row r="245854" s="12" customFormat="1" x14ac:dyDescent="0.25"/>
    <row r="245855" s="12" customFormat="1" x14ac:dyDescent="0.25"/>
    <row r="245856" s="12" customFormat="1" x14ac:dyDescent="0.25"/>
    <row r="245857" s="12" customFormat="1" x14ac:dyDescent="0.25"/>
    <row r="245858" s="12" customFormat="1" x14ac:dyDescent="0.25"/>
    <row r="245859" s="12" customFormat="1" x14ac:dyDescent="0.25"/>
    <row r="245860" s="12" customFormat="1" x14ac:dyDescent="0.25"/>
    <row r="245861" s="12" customFormat="1" x14ac:dyDescent="0.25"/>
    <row r="245862" s="12" customFormat="1" x14ac:dyDescent="0.25"/>
    <row r="245863" s="12" customFormat="1" x14ac:dyDescent="0.25"/>
    <row r="245864" s="12" customFormat="1" x14ac:dyDescent="0.25"/>
    <row r="245865" s="12" customFormat="1" x14ac:dyDescent="0.25"/>
    <row r="245866" s="12" customFormat="1" x14ac:dyDescent="0.25"/>
    <row r="245867" s="12" customFormat="1" x14ac:dyDescent="0.25"/>
    <row r="245868" s="12" customFormat="1" x14ac:dyDescent="0.25"/>
    <row r="245869" s="12" customFormat="1" x14ac:dyDescent="0.25"/>
    <row r="245870" s="12" customFormat="1" x14ac:dyDescent="0.25"/>
    <row r="245871" s="12" customFormat="1" x14ac:dyDescent="0.25"/>
    <row r="245872" s="12" customFormat="1" x14ac:dyDescent="0.25"/>
    <row r="245873" s="12" customFormat="1" x14ac:dyDescent="0.25"/>
    <row r="245874" s="12" customFormat="1" x14ac:dyDescent="0.25"/>
    <row r="245875" s="12" customFormat="1" x14ac:dyDescent="0.25"/>
    <row r="245876" s="12" customFormat="1" x14ac:dyDescent="0.25"/>
    <row r="245877" s="12" customFormat="1" x14ac:dyDescent="0.25"/>
    <row r="245878" s="12" customFormat="1" x14ac:dyDescent="0.25"/>
    <row r="245879" s="12" customFormat="1" x14ac:dyDescent="0.25"/>
    <row r="245880" s="12" customFormat="1" x14ac:dyDescent="0.25"/>
    <row r="245881" s="12" customFormat="1" x14ac:dyDescent="0.25"/>
    <row r="245882" s="12" customFormat="1" x14ac:dyDescent="0.25"/>
    <row r="245883" s="12" customFormat="1" x14ac:dyDescent="0.25"/>
    <row r="245884" s="12" customFormat="1" x14ac:dyDescent="0.25"/>
    <row r="245885" s="12" customFormat="1" x14ac:dyDescent="0.25"/>
    <row r="245886" s="12" customFormat="1" x14ac:dyDescent="0.25"/>
    <row r="245887" s="12" customFormat="1" x14ac:dyDescent="0.25"/>
    <row r="245888" s="12" customFormat="1" x14ac:dyDescent="0.25"/>
    <row r="245889" s="12" customFormat="1" x14ac:dyDescent="0.25"/>
    <row r="245890" s="12" customFormat="1" x14ac:dyDescent="0.25"/>
    <row r="245891" s="12" customFormat="1" x14ac:dyDescent="0.25"/>
    <row r="245892" s="12" customFormat="1" x14ac:dyDescent="0.25"/>
    <row r="245893" s="12" customFormat="1" x14ac:dyDescent="0.25"/>
    <row r="245894" s="12" customFormat="1" x14ac:dyDescent="0.25"/>
    <row r="245895" s="12" customFormat="1" x14ac:dyDescent="0.25"/>
    <row r="245896" s="12" customFormat="1" x14ac:dyDescent="0.25"/>
    <row r="245897" s="12" customFormat="1" x14ac:dyDescent="0.25"/>
    <row r="245898" s="12" customFormat="1" x14ac:dyDescent="0.25"/>
    <row r="245899" s="12" customFormat="1" x14ac:dyDescent="0.25"/>
    <row r="245900" s="12" customFormat="1" x14ac:dyDescent="0.25"/>
    <row r="245901" s="12" customFormat="1" x14ac:dyDescent="0.25"/>
    <row r="245902" s="12" customFormat="1" x14ac:dyDescent="0.25"/>
    <row r="245903" s="12" customFormat="1" x14ac:dyDescent="0.25"/>
    <row r="245904" s="12" customFormat="1" x14ac:dyDescent="0.25"/>
    <row r="245905" s="12" customFormat="1" x14ac:dyDescent="0.25"/>
    <row r="245906" s="12" customFormat="1" x14ac:dyDescent="0.25"/>
    <row r="245907" s="12" customFormat="1" x14ac:dyDescent="0.25"/>
    <row r="245908" s="12" customFormat="1" x14ac:dyDescent="0.25"/>
    <row r="245909" s="12" customFormat="1" x14ac:dyDescent="0.25"/>
    <row r="245910" s="12" customFormat="1" x14ac:dyDescent="0.25"/>
    <row r="245911" s="12" customFormat="1" x14ac:dyDescent="0.25"/>
    <row r="245912" s="12" customFormat="1" x14ac:dyDescent="0.25"/>
    <row r="245913" s="12" customFormat="1" x14ac:dyDescent="0.25"/>
    <row r="245914" s="12" customFormat="1" x14ac:dyDescent="0.25"/>
    <row r="245915" s="12" customFormat="1" x14ac:dyDescent="0.25"/>
    <row r="245916" s="12" customFormat="1" x14ac:dyDescent="0.25"/>
    <row r="245917" s="12" customFormat="1" x14ac:dyDescent="0.25"/>
    <row r="245918" s="12" customFormat="1" x14ac:dyDescent="0.25"/>
    <row r="245919" s="12" customFormat="1" x14ac:dyDescent="0.25"/>
    <row r="245920" s="12" customFormat="1" x14ac:dyDescent="0.25"/>
    <row r="245921" s="12" customFormat="1" x14ac:dyDescent="0.25"/>
    <row r="245922" s="12" customFormat="1" x14ac:dyDescent="0.25"/>
    <row r="245923" s="12" customFormat="1" x14ac:dyDescent="0.25"/>
    <row r="245924" s="12" customFormat="1" x14ac:dyDescent="0.25"/>
    <row r="245925" s="12" customFormat="1" x14ac:dyDescent="0.25"/>
    <row r="245926" s="12" customFormat="1" x14ac:dyDescent="0.25"/>
    <row r="245927" s="12" customFormat="1" x14ac:dyDescent="0.25"/>
    <row r="245928" s="12" customFormat="1" x14ac:dyDescent="0.25"/>
    <row r="245929" s="12" customFormat="1" x14ac:dyDescent="0.25"/>
    <row r="245930" s="12" customFormat="1" x14ac:dyDescent="0.25"/>
    <row r="245931" s="12" customFormat="1" x14ac:dyDescent="0.25"/>
    <row r="245932" s="12" customFormat="1" x14ac:dyDescent="0.25"/>
    <row r="245933" s="12" customFormat="1" x14ac:dyDescent="0.25"/>
    <row r="245934" s="12" customFormat="1" x14ac:dyDescent="0.25"/>
    <row r="245935" s="12" customFormat="1" x14ac:dyDescent="0.25"/>
    <row r="245936" s="12" customFormat="1" x14ac:dyDescent="0.25"/>
    <row r="245937" s="12" customFormat="1" x14ac:dyDescent="0.25"/>
    <row r="245938" s="12" customFormat="1" x14ac:dyDescent="0.25"/>
    <row r="245939" s="12" customFormat="1" x14ac:dyDescent="0.25"/>
    <row r="245940" s="12" customFormat="1" x14ac:dyDescent="0.25"/>
    <row r="245941" s="12" customFormat="1" x14ac:dyDescent="0.25"/>
    <row r="245942" s="12" customFormat="1" x14ac:dyDescent="0.25"/>
    <row r="245943" s="12" customFormat="1" x14ac:dyDescent="0.25"/>
    <row r="245944" s="12" customFormat="1" x14ac:dyDescent="0.25"/>
    <row r="245945" s="12" customFormat="1" x14ac:dyDescent="0.25"/>
    <row r="245946" s="12" customFormat="1" x14ac:dyDescent="0.25"/>
    <row r="245947" s="12" customFormat="1" x14ac:dyDescent="0.25"/>
    <row r="245948" s="12" customFormat="1" x14ac:dyDescent="0.25"/>
    <row r="245949" s="12" customFormat="1" x14ac:dyDescent="0.25"/>
    <row r="245950" s="12" customFormat="1" x14ac:dyDescent="0.25"/>
    <row r="245951" s="12" customFormat="1" x14ac:dyDescent="0.25"/>
    <row r="245952" s="12" customFormat="1" x14ac:dyDescent="0.25"/>
    <row r="245953" s="12" customFormat="1" x14ac:dyDescent="0.25"/>
    <row r="245954" s="12" customFormat="1" x14ac:dyDescent="0.25"/>
    <row r="245955" s="12" customFormat="1" x14ac:dyDescent="0.25"/>
    <row r="245956" s="12" customFormat="1" x14ac:dyDescent="0.25"/>
    <row r="245957" s="12" customFormat="1" x14ac:dyDescent="0.25"/>
    <row r="245958" s="12" customFormat="1" x14ac:dyDescent="0.25"/>
    <row r="245959" s="12" customFormat="1" x14ac:dyDescent="0.25"/>
    <row r="245960" s="12" customFormat="1" x14ac:dyDescent="0.25"/>
    <row r="245961" s="12" customFormat="1" x14ac:dyDescent="0.25"/>
    <row r="245962" s="12" customFormat="1" x14ac:dyDescent="0.25"/>
    <row r="245963" s="12" customFormat="1" x14ac:dyDescent="0.25"/>
    <row r="245964" s="12" customFormat="1" x14ac:dyDescent="0.25"/>
    <row r="245965" s="12" customFormat="1" x14ac:dyDescent="0.25"/>
    <row r="245966" s="12" customFormat="1" x14ac:dyDescent="0.25"/>
    <row r="245967" s="12" customFormat="1" x14ac:dyDescent="0.25"/>
    <row r="245968" s="12" customFormat="1" x14ac:dyDescent="0.25"/>
    <row r="245969" s="12" customFormat="1" x14ac:dyDescent="0.25"/>
    <row r="245970" s="12" customFormat="1" x14ac:dyDescent="0.25"/>
    <row r="245971" s="12" customFormat="1" x14ac:dyDescent="0.25"/>
    <row r="245972" s="12" customFormat="1" x14ac:dyDescent="0.25"/>
    <row r="245973" s="12" customFormat="1" x14ac:dyDescent="0.25"/>
    <row r="245974" s="12" customFormat="1" x14ac:dyDescent="0.25"/>
    <row r="245975" s="12" customFormat="1" x14ac:dyDescent="0.25"/>
    <row r="245976" s="12" customFormat="1" x14ac:dyDescent="0.25"/>
    <row r="245977" s="12" customFormat="1" x14ac:dyDescent="0.25"/>
    <row r="245978" s="12" customFormat="1" x14ac:dyDescent="0.25"/>
    <row r="245979" s="12" customFormat="1" x14ac:dyDescent="0.25"/>
    <row r="245980" s="12" customFormat="1" x14ac:dyDescent="0.25"/>
    <row r="245981" s="12" customFormat="1" x14ac:dyDescent="0.25"/>
    <row r="245982" s="12" customFormat="1" x14ac:dyDescent="0.25"/>
    <row r="245983" s="12" customFormat="1" x14ac:dyDescent="0.25"/>
    <row r="245984" s="12" customFormat="1" x14ac:dyDescent="0.25"/>
    <row r="245985" s="12" customFormat="1" x14ac:dyDescent="0.25"/>
    <row r="245986" s="12" customFormat="1" x14ac:dyDescent="0.25"/>
    <row r="245987" s="12" customFormat="1" x14ac:dyDescent="0.25"/>
    <row r="245988" s="12" customFormat="1" x14ac:dyDescent="0.25"/>
    <row r="245989" s="12" customFormat="1" x14ac:dyDescent="0.25"/>
    <row r="245990" s="12" customFormat="1" x14ac:dyDescent="0.25"/>
    <row r="245991" s="12" customFormat="1" x14ac:dyDescent="0.25"/>
    <row r="245992" s="12" customFormat="1" x14ac:dyDescent="0.25"/>
    <row r="245993" s="12" customFormat="1" x14ac:dyDescent="0.25"/>
    <row r="245994" s="12" customFormat="1" x14ac:dyDescent="0.25"/>
    <row r="245995" s="12" customFormat="1" x14ac:dyDescent="0.25"/>
    <row r="245996" s="12" customFormat="1" x14ac:dyDescent="0.25"/>
    <row r="245997" s="12" customFormat="1" x14ac:dyDescent="0.25"/>
    <row r="245998" s="12" customFormat="1" x14ac:dyDescent="0.25"/>
    <row r="245999" s="12" customFormat="1" x14ac:dyDescent="0.25"/>
    <row r="246000" s="12" customFormat="1" x14ac:dyDescent="0.25"/>
    <row r="246001" s="12" customFormat="1" x14ac:dyDescent="0.25"/>
    <row r="246002" s="12" customFormat="1" x14ac:dyDescent="0.25"/>
    <row r="246003" s="12" customFormat="1" x14ac:dyDescent="0.25"/>
    <row r="246004" s="12" customFormat="1" x14ac:dyDescent="0.25"/>
    <row r="246005" s="12" customFormat="1" x14ac:dyDescent="0.25"/>
    <row r="246006" s="12" customFormat="1" x14ac:dyDescent="0.25"/>
    <row r="246007" s="12" customFormat="1" x14ac:dyDescent="0.25"/>
    <row r="246008" s="12" customFormat="1" x14ac:dyDescent="0.25"/>
    <row r="246009" s="12" customFormat="1" x14ac:dyDescent="0.25"/>
    <row r="246010" s="12" customFormat="1" x14ac:dyDescent="0.25"/>
    <row r="246011" s="12" customFormat="1" x14ac:dyDescent="0.25"/>
    <row r="246012" s="12" customFormat="1" x14ac:dyDescent="0.25"/>
    <row r="246013" s="12" customFormat="1" x14ac:dyDescent="0.25"/>
    <row r="246014" s="12" customFormat="1" x14ac:dyDescent="0.25"/>
    <row r="246015" s="12" customFormat="1" x14ac:dyDescent="0.25"/>
    <row r="246016" s="12" customFormat="1" x14ac:dyDescent="0.25"/>
    <row r="246017" s="12" customFormat="1" x14ac:dyDescent="0.25"/>
    <row r="246018" s="12" customFormat="1" x14ac:dyDescent="0.25"/>
    <row r="246019" s="12" customFormat="1" x14ac:dyDescent="0.25"/>
    <row r="246020" s="12" customFormat="1" x14ac:dyDescent="0.25"/>
    <row r="246021" s="12" customFormat="1" x14ac:dyDescent="0.25"/>
    <row r="246022" s="12" customFormat="1" x14ac:dyDescent="0.25"/>
    <row r="246023" s="12" customFormat="1" x14ac:dyDescent="0.25"/>
    <row r="246024" s="12" customFormat="1" x14ac:dyDescent="0.25"/>
    <row r="246025" s="12" customFormat="1" x14ac:dyDescent="0.25"/>
    <row r="246026" s="12" customFormat="1" x14ac:dyDescent="0.25"/>
    <row r="246027" s="12" customFormat="1" x14ac:dyDescent="0.25"/>
    <row r="246028" s="12" customFormat="1" x14ac:dyDescent="0.25"/>
    <row r="246029" s="12" customFormat="1" x14ac:dyDescent="0.25"/>
    <row r="246030" s="12" customFormat="1" x14ac:dyDescent="0.25"/>
    <row r="246031" s="12" customFormat="1" x14ac:dyDescent="0.25"/>
    <row r="246032" s="12" customFormat="1" x14ac:dyDescent="0.25"/>
    <row r="246033" s="12" customFormat="1" x14ac:dyDescent="0.25"/>
    <row r="246034" s="12" customFormat="1" x14ac:dyDescent="0.25"/>
    <row r="246035" s="12" customFormat="1" x14ac:dyDescent="0.25"/>
    <row r="246036" s="12" customFormat="1" x14ac:dyDescent="0.25"/>
    <row r="246037" s="12" customFormat="1" x14ac:dyDescent="0.25"/>
    <row r="246038" s="12" customFormat="1" x14ac:dyDescent="0.25"/>
    <row r="246039" s="12" customFormat="1" x14ac:dyDescent="0.25"/>
    <row r="246040" s="12" customFormat="1" x14ac:dyDescent="0.25"/>
    <row r="246041" s="12" customFormat="1" x14ac:dyDescent="0.25"/>
    <row r="246042" s="12" customFormat="1" x14ac:dyDescent="0.25"/>
    <row r="246043" s="12" customFormat="1" x14ac:dyDescent="0.25"/>
    <row r="246044" s="12" customFormat="1" x14ac:dyDescent="0.25"/>
    <row r="246045" s="12" customFormat="1" x14ac:dyDescent="0.25"/>
    <row r="246046" s="12" customFormat="1" x14ac:dyDescent="0.25"/>
    <row r="246047" s="12" customFormat="1" x14ac:dyDescent="0.25"/>
    <row r="246048" s="12" customFormat="1" x14ac:dyDescent="0.25"/>
    <row r="246049" s="12" customFormat="1" x14ac:dyDescent="0.25"/>
    <row r="246050" s="12" customFormat="1" x14ac:dyDescent="0.25"/>
    <row r="246051" s="12" customFormat="1" x14ac:dyDescent="0.25"/>
    <row r="246052" s="12" customFormat="1" x14ac:dyDescent="0.25"/>
    <row r="246053" s="12" customFormat="1" x14ac:dyDescent="0.25"/>
    <row r="246054" s="12" customFormat="1" x14ac:dyDescent="0.25"/>
    <row r="246055" s="12" customFormat="1" x14ac:dyDescent="0.25"/>
    <row r="246056" s="12" customFormat="1" x14ac:dyDescent="0.25"/>
    <row r="246057" s="12" customFormat="1" x14ac:dyDescent="0.25"/>
    <row r="246058" s="12" customFormat="1" x14ac:dyDescent="0.25"/>
    <row r="246059" s="12" customFormat="1" x14ac:dyDescent="0.25"/>
    <row r="246060" s="12" customFormat="1" x14ac:dyDescent="0.25"/>
    <row r="246061" s="12" customFormat="1" x14ac:dyDescent="0.25"/>
    <row r="246062" s="12" customFormat="1" x14ac:dyDescent="0.25"/>
    <row r="246063" s="12" customFormat="1" x14ac:dyDescent="0.25"/>
    <row r="246064" s="12" customFormat="1" x14ac:dyDescent="0.25"/>
    <row r="246065" s="12" customFormat="1" x14ac:dyDescent="0.25"/>
    <row r="246066" s="12" customFormat="1" x14ac:dyDescent="0.25"/>
    <row r="246067" s="12" customFormat="1" x14ac:dyDescent="0.25"/>
    <row r="246068" s="12" customFormat="1" x14ac:dyDescent="0.25"/>
    <row r="246069" s="12" customFormat="1" x14ac:dyDescent="0.25"/>
    <row r="246070" s="12" customFormat="1" x14ac:dyDescent="0.25"/>
    <row r="246071" s="12" customFormat="1" x14ac:dyDescent="0.25"/>
    <row r="246072" s="12" customFormat="1" x14ac:dyDescent="0.25"/>
    <row r="246073" s="12" customFormat="1" x14ac:dyDescent="0.25"/>
    <row r="246074" s="12" customFormat="1" x14ac:dyDescent="0.25"/>
    <row r="246075" s="12" customFormat="1" x14ac:dyDescent="0.25"/>
    <row r="246076" s="12" customFormat="1" x14ac:dyDescent="0.25"/>
    <row r="246077" s="12" customFormat="1" x14ac:dyDescent="0.25"/>
    <row r="246078" s="12" customFormat="1" x14ac:dyDescent="0.25"/>
    <row r="246079" s="12" customFormat="1" x14ac:dyDescent="0.25"/>
    <row r="246080" s="12" customFormat="1" x14ac:dyDescent="0.25"/>
    <row r="246081" s="12" customFormat="1" x14ac:dyDescent="0.25"/>
    <row r="246082" s="12" customFormat="1" x14ac:dyDescent="0.25"/>
    <row r="246083" s="12" customFormat="1" x14ac:dyDescent="0.25"/>
    <row r="246084" s="12" customFormat="1" x14ac:dyDescent="0.25"/>
    <row r="246085" s="12" customFormat="1" x14ac:dyDescent="0.25"/>
    <row r="246086" s="12" customFormat="1" x14ac:dyDescent="0.25"/>
    <row r="246087" s="12" customFormat="1" x14ac:dyDescent="0.25"/>
    <row r="246088" s="12" customFormat="1" x14ac:dyDescent="0.25"/>
    <row r="246089" s="12" customFormat="1" x14ac:dyDescent="0.25"/>
    <row r="246090" s="12" customFormat="1" x14ac:dyDescent="0.25"/>
    <row r="246091" s="12" customFormat="1" x14ac:dyDescent="0.25"/>
    <row r="246092" s="12" customFormat="1" x14ac:dyDescent="0.25"/>
    <row r="246093" s="12" customFormat="1" x14ac:dyDescent="0.25"/>
    <row r="246094" s="12" customFormat="1" x14ac:dyDescent="0.25"/>
    <row r="246095" s="12" customFormat="1" x14ac:dyDescent="0.25"/>
    <row r="246096" s="12" customFormat="1" x14ac:dyDescent="0.25"/>
    <row r="246097" s="12" customFormat="1" x14ac:dyDescent="0.25"/>
    <row r="246098" s="12" customFormat="1" x14ac:dyDescent="0.25"/>
    <row r="246099" s="12" customFormat="1" x14ac:dyDescent="0.25"/>
    <row r="246100" s="12" customFormat="1" x14ac:dyDescent="0.25"/>
    <row r="246101" s="12" customFormat="1" x14ac:dyDescent="0.25"/>
    <row r="246102" s="12" customFormat="1" x14ac:dyDescent="0.25"/>
    <row r="246103" s="12" customFormat="1" x14ac:dyDescent="0.25"/>
    <row r="246104" s="12" customFormat="1" x14ac:dyDescent="0.25"/>
    <row r="246105" s="12" customFormat="1" x14ac:dyDescent="0.25"/>
    <row r="246106" s="12" customFormat="1" x14ac:dyDescent="0.25"/>
    <row r="246107" s="12" customFormat="1" x14ac:dyDescent="0.25"/>
    <row r="246108" s="12" customFormat="1" x14ac:dyDescent="0.25"/>
    <row r="246109" s="12" customFormat="1" x14ac:dyDescent="0.25"/>
    <row r="246110" s="12" customFormat="1" x14ac:dyDescent="0.25"/>
    <row r="246111" s="12" customFormat="1" x14ac:dyDescent="0.25"/>
    <row r="246112" s="12" customFormat="1" x14ac:dyDescent="0.25"/>
    <row r="246113" s="12" customFormat="1" x14ac:dyDescent="0.25"/>
    <row r="246114" s="12" customFormat="1" x14ac:dyDescent="0.25"/>
    <row r="246115" s="12" customFormat="1" x14ac:dyDescent="0.25"/>
    <row r="246116" s="12" customFormat="1" x14ac:dyDescent="0.25"/>
    <row r="246117" s="12" customFormat="1" x14ac:dyDescent="0.25"/>
    <row r="246118" s="12" customFormat="1" x14ac:dyDescent="0.25"/>
    <row r="246119" s="12" customFormat="1" x14ac:dyDescent="0.25"/>
    <row r="246120" s="12" customFormat="1" x14ac:dyDescent="0.25"/>
    <row r="246121" s="12" customFormat="1" x14ac:dyDescent="0.25"/>
    <row r="246122" s="12" customFormat="1" x14ac:dyDescent="0.25"/>
    <row r="246123" s="12" customFormat="1" x14ac:dyDescent="0.25"/>
    <row r="246124" s="12" customFormat="1" x14ac:dyDescent="0.25"/>
    <row r="246125" s="12" customFormat="1" x14ac:dyDescent="0.25"/>
    <row r="246126" s="12" customFormat="1" x14ac:dyDescent="0.25"/>
    <row r="246127" s="12" customFormat="1" x14ac:dyDescent="0.25"/>
    <row r="246128" s="12" customFormat="1" x14ac:dyDescent="0.25"/>
    <row r="246129" s="12" customFormat="1" x14ac:dyDescent="0.25"/>
    <row r="246130" s="12" customFormat="1" x14ac:dyDescent="0.25"/>
    <row r="246131" s="12" customFormat="1" x14ac:dyDescent="0.25"/>
    <row r="246132" s="12" customFormat="1" x14ac:dyDescent="0.25"/>
    <row r="246133" s="12" customFormat="1" x14ac:dyDescent="0.25"/>
    <row r="246134" s="12" customFormat="1" x14ac:dyDescent="0.25"/>
    <row r="246135" s="12" customFormat="1" x14ac:dyDescent="0.25"/>
    <row r="246136" s="12" customFormat="1" x14ac:dyDescent="0.25"/>
    <row r="246137" s="12" customFormat="1" x14ac:dyDescent="0.25"/>
    <row r="246138" s="12" customFormat="1" x14ac:dyDescent="0.25"/>
    <row r="246139" s="12" customFormat="1" x14ac:dyDescent="0.25"/>
    <row r="246140" s="12" customFormat="1" x14ac:dyDescent="0.25"/>
    <row r="246141" s="12" customFormat="1" x14ac:dyDescent="0.25"/>
    <row r="246142" s="12" customFormat="1" x14ac:dyDescent="0.25"/>
    <row r="246143" s="12" customFormat="1" x14ac:dyDescent="0.25"/>
    <row r="246144" s="12" customFormat="1" x14ac:dyDescent="0.25"/>
    <row r="246145" s="12" customFormat="1" x14ac:dyDescent="0.25"/>
    <row r="246146" s="12" customFormat="1" x14ac:dyDescent="0.25"/>
    <row r="246147" s="12" customFormat="1" x14ac:dyDescent="0.25"/>
    <row r="246148" s="12" customFormat="1" x14ac:dyDescent="0.25"/>
    <row r="246149" s="12" customFormat="1" x14ac:dyDescent="0.25"/>
    <row r="246150" s="12" customFormat="1" x14ac:dyDescent="0.25"/>
    <row r="246151" s="12" customFormat="1" x14ac:dyDescent="0.25"/>
    <row r="246152" s="12" customFormat="1" x14ac:dyDescent="0.25"/>
    <row r="246153" s="12" customFormat="1" x14ac:dyDescent="0.25"/>
    <row r="246154" s="12" customFormat="1" x14ac:dyDescent="0.25"/>
    <row r="246155" s="12" customFormat="1" x14ac:dyDescent="0.25"/>
    <row r="246156" s="12" customFormat="1" x14ac:dyDescent="0.25"/>
    <row r="246157" s="12" customFormat="1" x14ac:dyDescent="0.25"/>
    <row r="246158" s="12" customFormat="1" x14ac:dyDescent="0.25"/>
    <row r="246159" s="12" customFormat="1" x14ac:dyDescent="0.25"/>
    <row r="246160" s="12" customFormat="1" x14ac:dyDescent="0.25"/>
    <row r="246161" s="12" customFormat="1" x14ac:dyDescent="0.25"/>
    <row r="246162" s="12" customFormat="1" x14ac:dyDescent="0.25"/>
    <row r="246163" s="12" customFormat="1" x14ac:dyDescent="0.25"/>
    <row r="246164" s="12" customFormat="1" x14ac:dyDescent="0.25"/>
    <row r="246165" s="12" customFormat="1" x14ac:dyDescent="0.25"/>
    <row r="246166" s="12" customFormat="1" x14ac:dyDescent="0.25"/>
    <row r="246167" s="12" customFormat="1" x14ac:dyDescent="0.25"/>
    <row r="246168" s="12" customFormat="1" x14ac:dyDescent="0.25"/>
    <row r="246169" s="12" customFormat="1" x14ac:dyDescent="0.25"/>
    <row r="246170" s="12" customFormat="1" x14ac:dyDescent="0.25"/>
    <row r="246171" s="12" customFormat="1" x14ac:dyDescent="0.25"/>
    <row r="246172" s="12" customFormat="1" x14ac:dyDescent="0.25"/>
    <row r="246173" s="12" customFormat="1" x14ac:dyDescent="0.25"/>
    <row r="246174" s="12" customFormat="1" x14ac:dyDescent="0.25"/>
    <row r="246175" s="12" customFormat="1" x14ac:dyDescent="0.25"/>
    <row r="246176" s="12" customFormat="1" x14ac:dyDescent="0.25"/>
    <row r="246177" s="12" customFormat="1" x14ac:dyDescent="0.25"/>
    <row r="246178" s="12" customFormat="1" x14ac:dyDescent="0.25"/>
    <row r="246179" s="12" customFormat="1" x14ac:dyDescent="0.25"/>
    <row r="246180" s="12" customFormat="1" x14ac:dyDescent="0.25"/>
    <row r="246181" s="12" customFormat="1" x14ac:dyDescent="0.25"/>
    <row r="246182" s="12" customFormat="1" x14ac:dyDescent="0.25"/>
    <row r="246183" s="12" customFormat="1" x14ac:dyDescent="0.25"/>
    <row r="246184" s="12" customFormat="1" x14ac:dyDescent="0.25"/>
    <row r="246185" s="12" customFormat="1" x14ac:dyDescent="0.25"/>
    <row r="246186" s="12" customFormat="1" x14ac:dyDescent="0.25"/>
    <row r="246187" s="12" customFormat="1" x14ac:dyDescent="0.25"/>
    <row r="246188" s="12" customFormat="1" x14ac:dyDescent="0.25"/>
    <row r="246189" s="12" customFormat="1" x14ac:dyDescent="0.25"/>
    <row r="246190" s="12" customFormat="1" x14ac:dyDescent="0.25"/>
    <row r="246191" s="12" customFormat="1" x14ac:dyDescent="0.25"/>
    <row r="246192" s="12" customFormat="1" x14ac:dyDescent="0.25"/>
    <row r="246193" s="12" customFormat="1" x14ac:dyDescent="0.25"/>
    <row r="246194" s="12" customFormat="1" x14ac:dyDescent="0.25"/>
    <row r="246195" s="12" customFormat="1" x14ac:dyDescent="0.25"/>
    <row r="246196" s="12" customFormat="1" x14ac:dyDescent="0.25"/>
    <row r="246197" s="12" customFormat="1" x14ac:dyDescent="0.25"/>
    <row r="246198" s="12" customFormat="1" x14ac:dyDescent="0.25"/>
    <row r="246199" s="12" customFormat="1" x14ac:dyDescent="0.25"/>
    <row r="246200" s="12" customFormat="1" x14ac:dyDescent="0.25"/>
    <row r="246201" s="12" customFormat="1" x14ac:dyDescent="0.25"/>
    <row r="246202" s="12" customFormat="1" x14ac:dyDescent="0.25"/>
    <row r="246203" s="12" customFormat="1" x14ac:dyDescent="0.25"/>
    <row r="246204" s="12" customFormat="1" x14ac:dyDescent="0.25"/>
    <row r="246205" s="12" customFormat="1" x14ac:dyDescent="0.25"/>
    <row r="246206" s="12" customFormat="1" x14ac:dyDescent="0.25"/>
    <row r="246207" s="12" customFormat="1" x14ac:dyDescent="0.25"/>
    <row r="246208" s="12" customFormat="1" x14ac:dyDescent="0.25"/>
    <row r="246209" s="12" customFormat="1" x14ac:dyDescent="0.25"/>
    <row r="246210" s="12" customFormat="1" x14ac:dyDescent="0.25"/>
    <row r="246211" s="12" customFormat="1" x14ac:dyDescent="0.25"/>
    <row r="246212" s="12" customFormat="1" x14ac:dyDescent="0.25"/>
    <row r="246213" s="12" customFormat="1" x14ac:dyDescent="0.25"/>
    <row r="246214" s="12" customFormat="1" x14ac:dyDescent="0.25"/>
    <row r="246215" s="12" customFormat="1" x14ac:dyDescent="0.25"/>
    <row r="246216" s="12" customFormat="1" x14ac:dyDescent="0.25"/>
    <row r="246217" s="12" customFormat="1" x14ac:dyDescent="0.25"/>
    <row r="246218" s="12" customFormat="1" x14ac:dyDescent="0.25"/>
    <row r="246219" s="12" customFormat="1" x14ac:dyDescent="0.25"/>
    <row r="246220" s="12" customFormat="1" x14ac:dyDescent="0.25"/>
    <row r="246221" s="12" customFormat="1" x14ac:dyDescent="0.25"/>
    <row r="246222" s="12" customFormat="1" x14ac:dyDescent="0.25"/>
    <row r="246223" s="12" customFormat="1" x14ac:dyDescent="0.25"/>
    <row r="246224" s="12" customFormat="1" x14ac:dyDescent="0.25"/>
    <row r="246225" s="12" customFormat="1" x14ac:dyDescent="0.25"/>
    <row r="246226" s="12" customFormat="1" x14ac:dyDescent="0.25"/>
    <row r="246227" s="12" customFormat="1" x14ac:dyDescent="0.25"/>
    <row r="246228" s="12" customFormat="1" x14ac:dyDescent="0.25"/>
    <row r="246229" s="12" customFormat="1" x14ac:dyDescent="0.25"/>
    <row r="246230" s="12" customFormat="1" x14ac:dyDescent="0.25"/>
    <row r="246231" s="12" customFormat="1" x14ac:dyDescent="0.25"/>
    <row r="246232" s="12" customFormat="1" x14ac:dyDescent="0.25"/>
    <row r="246233" s="12" customFormat="1" x14ac:dyDescent="0.25"/>
    <row r="246234" s="12" customFormat="1" x14ac:dyDescent="0.25"/>
    <row r="246235" s="12" customFormat="1" x14ac:dyDescent="0.25"/>
    <row r="246236" s="12" customFormat="1" x14ac:dyDescent="0.25"/>
    <row r="246237" s="12" customFormat="1" x14ac:dyDescent="0.25"/>
    <row r="246238" s="12" customFormat="1" x14ac:dyDescent="0.25"/>
    <row r="246239" s="12" customFormat="1" x14ac:dyDescent="0.25"/>
    <row r="246240" s="12" customFormat="1" x14ac:dyDescent="0.25"/>
    <row r="246241" s="12" customFormat="1" x14ac:dyDescent="0.25"/>
    <row r="246242" s="12" customFormat="1" x14ac:dyDescent="0.25"/>
    <row r="246243" s="12" customFormat="1" x14ac:dyDescent="0.25"/>
    <row r="246244" s="12" customFormat="1" x14ac:dyDescent="0.25"/>
    <row r="246245" s="12" customFormat="1" x14ac:dyDescent="0.25"/>
    <row r="246246" s="12" customFormat="1" x14ac:dyDescent="0.25"/>
    <row r="246247" s="12" customFormat="1" x14ac:dyDescent="0.25"/>
    <row r="246248" s="12" customFormat="1" x14ac:dyDescent="0.25"/>
    <row r="246249" s="12" customFormat="1" x14ac:dyDescent="0.25"/>
    <row r="246250" s="12" customFormat="1" x14ac:dyDescent="0.25"/>
    <row r="246251" s="12" customFormat="1" x14ac:dyDescent="0.25"/>
    <row r="246252" s="12" customFormat="1" x14ac:dyDescent="0.25"/>
    <row r="246253" s="12" customFormat="1" x14ac:dyDescent="0.25"/>
    <row r="246254" s="12" customFormat="1" x14ac:dyDescent="0.25"/>
    <row r="246255" s="12" customFormat="1" x14ac:dyDescent="0.25"/>
    <row r="246256" s="12" customFormat="1" x14ac:dyDescent="0.25"/>
    <row r="246257" s="12" customFormat="1" x14ac:dyDescent="0.25"/>
    <row r="246258" s="12" customFormat="1" x14ac:dyDescent="0.25"/>
    <row r="246259" s="12" customFormat="1" x14ac:dyDescent="0.25"/>
    <row r="246260" s="12" customFormat="1" x14ac:dyDescent="0.25"/>
    <row r="246261" s="12" customFormat="1" x14ac:dyDescent="0.25"/>
    <row r="246262" s="12" customFormat="1" x14ac:dyDescent="0.25"/>
    <row r="246263" s="12" customFormat="1" x14ac:dyDescent="0.25"/>
    <row r="246264" s="12" customFormat="1" x14ac:dyDescent="0.25"/>
    <row r="246265" s="12" customFormat="1" x14ac:dyDescent="0.25"/>
    <row r="246266" s="12" customFormat="1" x14ac:dyDescent="0.25"/>
    <row r="246267" s="12" customFormat="1" x14ac:dyDescent="0.25"/>
    <row r="246268" s="12" customFormat="1" x14ac:dyDescent="0.25"/>
    <row r="246269" s="12" customFormat="1" x14ac:dyDescent="0.25"/>
    <row r="246270" s="12" customFormat="1" x14ac:dyDescent="0.25"/>
    <row r="246271" s="12" customFormat="1" x14ac:dyDescent="0.25"/>
    <row r="246272" s="12" customFormat="1" x14ac:dyDescent="0.25"/>
    <row r="246273" s="12" customFormat="1" x14ac:dyDescent="0.25"/>
    <row r="246274" s="12" customFormat="1" x14ac:dyDescent="0.25"/>
    <row r="246275" s="12" customFormat="1" x14ac:dyDescent="0.25"/>
    <row r="246276" s="12" customFormat="1" x14ac:dyDescent="0.25"/>
    <row r="246277" s="12" customFormat="1" x14ac:dyDescent="0.25"/>
    <row r="246278" s="12" customFormat="1" x14ac:dyDescent="0.25"/>
    <row r="246279" s="12" customFormat="1" x14ac:dyDescent="0.25"/>
    <row r="246280" s="12" customFormat="1" x14ac:dyDescent="0.25"/>
    <row r="246281" s="12" customFormat="1" x14ac:dyDescent="0.25"/>
    <row r="246282" s="12" customFormat="1" x14ac:dyDescent="0.25"/>
    <row r="246283" s="12" customFormat="1" x14ac:dyDescent="0.25"/>
    <row r="246284" s="12" customFormat="1" x14ac:dyDescent="0.25"/>
    <row r="246285" s="12" customFormat="1" x14ac:dyDescent="0.25"/>
    <row r="246286" s="12" customFormat="1" x14ac:dyDescent="0.25"/>
    <row r="246287" s="12" customFormat="1" x14ac:dyDescent="0.25"/>
    <row r="246288" s="12" customFormat="1" x14ac:dyDescent="0.25"/>
    <row r="246289" s="12" customFormat="1" x14ac:dyDescent="0.25"/>
    <row r="246290" s="12" customFormat="1" x14ac:dyDescent="0.25"/>
    <row r="246291" s="12" customFormat="1" x14ac:dyDescent="0.25"/>
    <row r="246292" s="12" customFormat="1" x14ac:dyDescent="0.25"/>
    <row r="246293" s="12" customFormat="1" x14ac:dyDescent="0.25"/>
    <row r="246294" s="12" customFormat="1" x14ac:dyDescent="0.25"/>
    <row r="246295" s="12" customFormat="1" x14ac:dyDescent="0.25"/>
    <row r="246296" s="12" customFormat="1" x14ac:dyDescent="0.25"/>
    <row r="246297" s="12" customFormat="1" x14ac:dyDescent="0.25"/>
    <row r="246298" s="12" customFormat="1" x14ac:dyDescent="0.25"/>
    <row r="246299" s="12" customFormat="1" x14ac:dyDescent="0.25"/>
    <row r="246300" s="12" customFormat="1" x14ac:dyDescent="0.25"/>
    <row r="246301" s="12" customFormat="1" x14ac:dyDescent="0.25"/>
    <row r="246302" s="12" customFormat="1" x14ac:dyDescent="0.25"/>
    <row r="246303" s="12" customFormat="1" x14ac:dyDescent="0.25"/>
    <row r="246304" s="12" customFormat="1" x14ac:dyDescent="0.25"/>
    <row r="246305" s="12" customFormat="1" x14ac:dyDescent="0.25"/>
    <row r="246306" s="12" customFormat="1" x14ac:dyDescent="0.25"/>
    <row r="246307" s="12" customFormat="1" x14ac:dyDescent="0.25"/>
    <row r="246308" s="12" customFormat="1" x14ac:dyDescent="0.25"/>
    <row r="246309" s="12" customFormat="1" x14ac:dyDescent="0.25"/>
    <row r="246310" s="12" customFormat="1" x14ac:dyDescent="0.25"/>
    <row r="246311" s="12" customFormat="1" x14ac:dyDescent="0.25"/>
    <row r="246312" s="12" customFormat="1" x14ac:dyDescent="0.25"/>
    <row r="246313" s="12" customFormat="1" x14ac:dyDescent="0.25"/>
    <row r="246314" s="12" customFormat="1" x14ac:dyDescent="0.25"/>
    <row r="246315" s="12" customFormat="1" x14ac:dyDescent="0.25"/>
    <row r="246316" s="12" customFormat="1" x14ac:dyDescent="0.25"/>
    <row r="246317" s="12" customFormat="1" x14ac:dyDescent="0.25"/>
    <row r="246318" s="12" customFormat="1" x14ac:dyDescent="0.25"/>
    <row r="246319" s="12" customFormat="1" x14ac:dyDescent="0.25"/>
    <row r="246320" s="12" customFormat="1" x14ac:dyDescent="0.25"/>
    <row r="246321" s="12" customFormat="1" x14ac:dyDescent="0.25"/>
    <row r="246322" s="12" customFormat="1" x14ac:dyDescent="0.25"/>
    <row r="246323" s="12" customFormat="1" x14ac:dyDescent="0.25"/>
    <row r="246324" s="12" customFormat="1" x14ac:dyDescent="0.25"/>
    <row r="246325" s="12" customFormat="1" x14ac:dyDescent="0.25"/>
    <row r="246326" s="12" customFormat="1" x14ac:dyDescent="0.25"/>
    <row r="246327" s="12" customFormat="1" x14ac:dyDescent="0.25"/>
    <row r="246328" s="12" customFormat="1" x14ac:dyDescent="0.25"/>
    <row r="246329" s="12" customFormat="1" x14ac:dyDescent="0.25"/>
    <row r="246330" s="12" customFormat="1" x14ac:dyDescent="0.25"/>
    <row r="246331" s="12" customFormat="1" x14ac:dyDescent="0.25"/>
    <row r="246332" s="12" customFormat="1" x14ac:dyDescent="0.25"/>
    <row r="246333" s="12" customFormat="1" x14ac:dyDescent="0.25"/>
    <row r="246334" s="12" customFormat="1" x14ac:dyDescent="0.25"/>
    <row r="246335" s="12" customFormat="1" x14ac:dyDescent="0.25"/>
    <row r="246336" s="12" customFormat="1" x14ac:dyDescent="0.25"/>
    <row r="246337" s="12" customFormat="1" x14ac:dyDescent="0.25"/>
    <row r="246338" s="12" customFormat="1" x14ac:dyDescent="0.25"/>
    <row r="246339" s="12" customFormat="1" x14ac:dyDescent="0.25"/>
    <row r="246340" s="12" customFormat="1" x14ac:dyDescent="0.25"/>
    <row r="246341" s="12" customFormat="1" x14ac:dyDescent="0.25"/>
    <row r="246342" s="12" customFormat="1" x14ac:dyDescent="0.25"/>
    <row r="246343" s="12" customFormat="1" x14ac:dyDescent="0.25"/>
    <row r="246344" s="12" customFormat="1" x14ac:dyDescent="0.25"/>
    <row r="246345" s="12" customFormat="1" x14ac:dyDescent="0.25"/>
    <row r="246346" s="12" customFormat="1" x14ac:dyDescent="0.25"/>
    <row r="246347" s="12" customFormat="1" x14ac:dyDescent="0.25"/>
    <row r="246348" s="12" customFormat="1" x14ac:dyDescent="0.25"/>
    <row r="246349" s="12" customFormat="1" x14ac:dyDescent="0.25"/>
    <row r="246350" s="12" customFormat="1" x14ac:dyDescent="0.25"/>
    <row r="246351" s="12" customFormat="1" x14ac:dyDescent="0.25"/>
    <row r="246352" s="12" customFormat="1" x14ac:dyDescent="0.25"/>
    <row r="246353" s="12" customFormat="1" x14ac:dyDescent="0.25"/>
    <row r="246354" s="12" customFormat="1" x14ac:dyDescent="0.25"/>
    <row r="246355" s="12" customFormat="1" x14ac:dyDescent="0.25"/>
    <row r="246356" s="12" customFormat="1" x14ac:dyDescent="0.25"/>
    <row r="246357" s="12" customFormat="1" x14ac:dyDescent="0.25"/>
    <row r="246358" s="12" customFormat="1" x14ac:dyDescent="0.25"/>
    <row r="246359" s="12" customFormat="1" x14ac:dyDescent="0.25"/>
    <row r="246360" s="12" customFormat="1" x14ac:dyDescent="0.25"/>
    <row r="246361" s="12" customFormat="1" x14ac:dyDescent="0.25"/>
    <row r="246362" s="12" customFormat="1" x14ac:dyDescent="0.25"/>
    <row r="246363" s="12" customFormat="1" x14ac:dyDescent="0.25"/>
    <row r="246364" s="12" customFormat="1" x14ac:dyDescent="0.25"/>
    <row r="246365" s="12" customFormat="1" x14ac:dyDescent="0.25"/>
    <row r="246366" s="12" customFormat="1" x14ac:dyDescent="0.25"/>
    <row r="246367" s="12" customFormat="1" x14ac:dyDescent="0.25"/>
    <row r="246368" s="12" customFormat="1" x14ac:dyDescent="0.25"/>
    <row r="246369" s="12" customFormat="1" x14ac:dyDescent="0.25"/>
    <row r="246370" s="12" customFormat="1" x14ac:dyDescent="0.25"/>
    <row r="246371" s="12" customFormat="1" x14ac:dyDescent="0.25"/>
    <row r="246372" s="12" customFormat="1" x14ac:dyDescent="0.25"/>
    <row r="246373" s="12" customFormat="1" x14ac:dyDescent="0.25"/>
    <row r="246374" s="12" customFormat="1" x14ac:dyDescent="0.25"/>
    <row r="246375" s="12" customFormat="1" x14ac:dyDescent="0.25"/>
    <row r="246376" s="12" customFormat="1" x14ac:dyDescent="0.25"/>
    <row r="246377" s="12" customFormat="1" x14ac:dyDescent="0.25"/>
    <row r="246378" s="12" customFormat="1" x14ac:dyDescent="0.25"/>
    <row r="246379" s="12" customFormat="1" x14ac:dyDescent="0.25"/>
    <row r="246380" s="12" customFormat="1" x14ac:dyDescent="0.25"/>
    <row r="246381" s="12" customFormat="1" x14ac:dyDescent="0.25"/>
    <row r="246382" s="12" customFormat="1" x14ac:dyDescent="0.25"/>
    <row r="246383" s="12" customFormat="1" x14ac:dyDescent="0.25"/>
    <row r="246384" s="12" customFormat="1" x14ac:dyDescent="0.25"/>
    <row r="246385" s="12" customFormat="1" x14ac:dyDescent="0.25"/>
    <row r="246386" s="12" customFormat="1" x14ac:dyDescent="0.25"/>
    <row r="246387" s="12" customFormat="1" x14ac:dyDescent="0.25"/>
    <row r="246388" s="12" customFormat="1" x14ac:dyDescent="0.25"/>
    <row r="246389" s="12" customFormat="1" x14ac:dyDescent="0.25"/>
    <row r="246390" s="12" customFormat="1" x14ac:dyDescent="0.25"/>
    <row r="246391" s="12" customFormat="1" x14ac:dyDescent="0.25"/>
    <row r="246392" s="12" customFormat="1" x14ac:dyDescent="0.25"/>
    <row r="246393" s="12" customFormat="1" x14ac:dyDescent="0.25"/>
    <row r="246394" s="12" customFormat="1" x14ac:dyDescent="0.25"/>
    <row r="246395" s="12" customFormat="1" x14ac:dyDescent="0.25"/>
    <row r="246396" s="12" customFormat="1" x14ac:dyDescent="0.25"/>
    <row r="246397" s="12" customFormat="1" x14ac:dyDescent="0.25"/>
    <row r="246398" s="12" customFormat="1" x14ac:dyDescent="0.25"/>
    <row r="246399" s="12" customFormat="1" x14ac:dyDescent="0.25"/>
    <row r="246400" s="12" customFormat="1" x14ac:dyDescent="0.25"/>
    <row r="246401" s="12" customFormat="1" x14ac:dyDescent="0.25"/>
    <row r="246402" s="12" customFormat="1" x14ac:dyDescent="0.25"/>
    <row r="246403" s="12" customFormat="1" x14ac:dyDescent="0.25"/>
    <row r="246404" s="12" customFormat="1" x14ac:dyDescent="0.25"/>
    <row r="246405" s="12" customFormat="1" x14ac:dyDescent="0.25"/>
    <row r="246406" s="12" customFormat="1" x14ac:dyDescent="0.25"/>
    <row r="246407" s="12" customFormat="1" x14ac:dyDescent="0.25"/>
    <row r="246408" s="12" customFormat="1" x14ac:dyDescent="0.25"/>
    <row r="246409" s="12" customFormat="1" x14ac:dyDescent="0.25"/>
    <row r="246410" s="12" customFormat="1" x14ac:dyDescent="0.25"/>
    <row r="246411" s="12" customFormat="1" x14ac:dyDescent="0.25"/>
    <row r="246412" s="12" customFormat="1" x14ac:dyDescent="0.25"/>
    <row r="246413" s="12" customFormat="1" x14ac:dyDescent="0.25"/>
    <row r="246414" s="12" customFormat="1" x14ac:dyDescent="0.25"/>
    <row r="246415" s="12" customFormat="1" x14ac:dyDescent="0.25"/>
    <row r="246416" s="12" customFormat="1" x14ac:dyDescent="0.25"/>
    <row r="246417" s="12" customFormat="1" x14ac:dyDescent="0.25"/>
    <row r="246418" s="12" customFormat="1" x14ac:dyDescent="0.25"/>
    <row r="246419" s="12" customFormat="1" x14ac:dyDescent="0.25"/>
    <row r="246420" s="12" customFormat="1" x14ac:dyDescent="0.25"/>
    <row r="246421" s="12" customFormat="1" x14ac:dyDescent="0.25"/>
    <row r="246422" s="12" customFormat="1" x14ac:dyDescent="0.25"/>
    <row r="246423" s="12" customFormat="1" x14ac:dyDescent="0.25"/>
    <row r="246424" s="12" customFormat="1" x14ac:dyDescent="0.25"/>
    <row r="246425" s="12" customFormat="1" x14ac:dyDescent="0.25"/>
    <row r="246426" s="12" customFormat="1" x14ac:dyDescent="0.25"/>
    <row r="246427" s="12" customFormat="1" x14ac:dyDescent="0.25"/>
    <row r="246428" s="12" customFormat="1" x14ac:dyDescent="0.25"/>
    <row r="246429" s="12" customFormat="1" x14ac:dyDescent="0.25"/>
    <row r="246430" s="12" customFormat="1" x14ac:dyDescent="0.25"/>
    <row r="246431" s="12" customFormat="1" x14ac:dyDescent="0.25"/>
    <row r="246432" s="12" customFormat="1" x14ac:dyDescent="0.25"/>
    <row r="246433" s="12" customFormat="1" x14ac:dyDescent="0.25"/>
    <row r="246434" s="12" customFormat="1" x14ac:dyDescent="0.25"/>
    <row r="246435" s="12" customFormat="1" x14ac:dyDescent="0.25"/>
    <row r="246436" s="12" customFormat="1" x14ac:dyDescent="0.25"/>
    <row r="246437" s="12" customFormat="1" x14ac:dyDescent="0.25"/>
    <row r="246438" s="12" customFormat="1" x14ac:dyDescent="0.25"/>
    <row r="246439" s="12" customFormat="1" x14ac:dyDescent="0.25"/>
    <row r="246440" s="12" customFormat="1" x14ac:dyDescent="0.25"/>
    <row r="246441" s="12" customFormat="1" x14ac:dyDescent="0.25"/>
    <row r="246442" s="12" customFormat="1" x14ac:dyDescent="0.25"/>
    <row r="246443" s="12" customFormat="1" x14ac:dyDescent="0.25"/>
    <row r="246444" s="12" customFormat="1" x14ac:dyDescent="0.25"/>
    <row r="246445" s="12" customFormat="1" x14ac:dyDescent="0.25"/>
    <row r="246446" s="12" customFormat="1" x14ac:dyDescent="0.25"/>
    <row r="246447" s="12" customFormat="1" x14ac:dyDescent="0.25"/>
    <row r="246448" s="12" customFormat="1" x14ac:dyDescent="0.25"/>
    <row r="246449" s="12" customFormat="1" x14ac:dyDescent="0.25"/>
    <row r="246450" s="12" customFormat="1" x14ac:dyDescent="0.25"/>
    <row r="246451" s="12" customFormat="1" x14ac:dyDescent="0.25"/>
    <row r="246452" s="12" customFormat="1" x14ac:dyDescent="0.25"/>
    <row r="246453" s="12" customFormat="1" x14ac:dyDescent="0.25"/>
    <row r="246454" s="12" customFormat="1" x14ac:dyDescent="0.25"/>
    <row r="246455" s="12" customFormat="1" x14ac:dyDescent="0.25"/>
    <row r="246456" s="12" customFormat="1" x14ac:dyDescent="0.25"/>
    <row r="246457" s="12" customFormat="1" x14ac:dyDescent="0.25"/>
    <row r="246458" s="12" customFormat="1" x14ac:dyDescent="0.25"/>
    <row r="246459" s="12" customFormat="1" x14ac:dyDescent="0.25"/>
    <row r="246460" s="12" customFormat="1" x14ac:dyDescent="0.25"/>
    <row r="246461" s="12" customFormat="1" x14ac:dyDescent="0.25"/>
    <row r="246462" s="12" customFormat="1" x14ac:dyDescent="0.25"/>
    <row r="246463" s="12" customFormat="1" x14ac:dyDescent="0.25"/>
    <row r="246464" s="12" customFormat="1" x14ac:dyDescent="0.25"/>
    <row r="246465" s="12" customFormat="1" x14ac:dyDescent="0.25"/>
    <row r="246466" s="12" customFormat="1" x14ac:dyDescent="0.25"/>
    <row r="246467" s="12" customFormat="1" x14ac:dyDescent="0.25"/>
    <row r="246468" s="12" customFormat="1" x14ac:dyDescent="0.25"/>
    <row r="246469" s="12" customFormat="1" x14ac:dyDescent="0.25"/>
    <row r="246470" s="12" customFormat="1" x14ac:dyDescent="0.25"/>
    <row r="246471" s="12" customFormat="1" x14ac:dyDescent="0.25"/>
    <row r="246472" s="12" customFormat="1" x14ac:dyDescent="0.25"/>
    <row r="246473" s="12" customFormat="1" x14ac:dyDescent="0.25"/>
    <row r="246474" s="12" customFormat="1" x14ac:dyDescent="0.25"/>
    <row r="246475" s="12" customFormat="1" x14ac:dyDescent="0.25"/>
    <row r="246476" s="12" customFormat="1" x14ac:dyDescent="0.25"/>
    <row r="246477" s="12" customFormat="1" x14ac:dyDescent="0.25"/>
    <row r="246478" s="12" customFormat="1" x14ac:dyDescent="0.25"/>
    <row r="246479" s="12" customFormat="1" x14ac:dyDescent="0.25"/>
    <row r="246480" s="12" customFormat="1" x14ac:dyDescent="0.25"/>
    <row r="246481" s="12" customFormat="1" x14ac:dyDescent="0.25"/>
    <row r="246482" s="12" customFormat="1" x14ac:dyDescent="0.25"/>
    <row r="246483" s="12" customFormat="1" x14ac:dyDescent="0.25"/>
    <row r="246484" s="12" customFormat="1" x14ac:dyDescent="0.25"/>
    <row r="246485" s="12" customFormat="1" x14ac:dyDescent="0.25"/>
    <row r="246486" s="12" customFormat="1" x14ac:dyDescent="0.25"/>
    <row r="246487" s="12" customFormat="1" x14ac:dyDescent="0.25"/>
    <row r="246488" s="12" customFormat="1" x14ac:dyDescent="0.25"/>
    <row r="246489" s="12" customFormat="1" x14ac:dyDescent="0.25"/>
    <row r="246490" s="12" customFormat="1" x14ac:dyDescent="0.25"/>
    <row r="246491" s="12" customFormat="1" x14ac:dyDescent="0.25"/>
    <row r="246492" s="12" customFormat="1" x14ac:dyDescent="0.25"/>
    <row r="246493" s="12" customFormat="1" x14ac:dyDescent="0.25"/>
    <row r="246494" s="12" customFormat="1" x14ac:dyDescent="0.25"/>
    <row r="246495" s="12" customFormat="1" x14ac:dyDescent="0.25"/>
    <row r="246496" s="12" customFormat="1" x14ac:dyDescent="0.25"/>
    <row r="246497" s="12" customFormat="1" x14ac:dyDescent="0.25"/>
    <row r="246498" s="12" customFormat="1" x14ac:dyDescent="0.25"/>
    <row r="246499" s="12" customFormat="1" x14ac:dyDescent="0.25"/>
    <row r="246500" s="12" customFormat="1" x14ac:dyDescent="0.25"/>
    <row r="246501" s="12" customFormat="1" x14ac:dyDescent="0.25"/>
    <row r="246502" s="12" customFormat="1" x14ac:dyDescent="0.25"/>
    <row r="246503" s="12" customFormat="1" x14ac:dyDescent="0.25"/>
    <row r="246504" s="12" customFormat="1" x14ac:dyDescent="0.25"/>
    <row r="246505" s="12" customFormat="1" x14ac:dyDescent="0.25"/>
    <row r="246506" s="12" customFormat="1" x14ac:dyDescent="0.25"/>
    <row r="246507" s="12" customFormat="1" x14ac:dyDescent="0.25"/>
    <row r="246508" s="12" customFormat="1" x14ac:dyDescent="0.25"/>
    <row r="246509" s="12" customFormat="1" x14ac:dyDescent="0.25"/>
    <row r="246510" s="12" customFormat="1" x14ac:dyDescent="0.25"/>
    <row r="246511" s="12" customFormat="1" x14ac:dyDescent="0.25"/>
    <row r="246512" s="12" customFormat="1" x14ac:dyDescent="0.25"/>
    <row r="246513" s="12" customFormat="1" x14ac:dyDescent="0.25"/>
    <row r="246514" s="12" customFormat="1" x14ac:dyDescent="0.25"/>
    <row r="246515" s="12" customFormat="1" x14ac:dyDescent="0.25"/>
    <row r="246516" s="12" customFormat="1" x14ac:dyDescent="0.25"/>
    <row r="246517" s="12" customFormat="1" x14ac:dyDescent="0.25"/>
    <row r="246518" s="12" customFormat="1" x14ac:dyDescent="0.25"/>
    <row r="246519" s="12" customFormat="1" x14ac:dyDescent="0.25"/>
    <row r="246520" s="12" customFormat="1" x14ac:dyDescent="0.25"/>
    <row r="246521" s="12" customFormat="1" x14ac:dyDescent="0.25"/>
    <row r="246522" s="12" customFormat="1" x14ac:dyDescent="0.25"/>
    <row r="246523" s="12" customFormat="1" x14ac:dyDescent="0.25"/>
    <row r="246524" s="12" customFormat="1" x14ac:dyDescent="0.25"/>
    <row r="246525" s="12" customFormat="1" x14ac:dyDescent="0.25"/>
    <row r="246526" s="12" customFormat="1" x14ac:dyDescent="0.25"/>
    <row r="246527" s="12" customFormat="1" x14ac:dyDescent="0.25"/>
    <row r="246528" s="12" customFormat="1" x14ac:dyDescent="0.25"/>
    <row r="246529" s="12" customFormat="1" x14ac:dyDescent="0.25"/>
    <row r="246530" s="12" customFormat="1" x14ac:dyDescent="0.25"/>
    <row r="246531" s="12" customFormat="1" x14ac:dyDescent="0.25"/>
    <row r="246532" s="12" customFormat="1" x14ac:dyDescent="0.25"/>
    <row r="246533" s="12" customFormat="1" x14ac:dyDescent="0.25"/>
    <row r="246534" s="12" customFormat="1" x14ac:dyDescent="0.25"/>
    <row r="246535" s="12" customFormat="1" x14ac:dyDescent="0.25"/>
    <row r="246536" s="12" customFormat="1" x14ac:dyDescent="0.25"/>
    <row r="246537" s="12" customFormat="1" x14ac:dyDescent="0.25"/>
    <row r="246538" s="12" customFormat="1" x14ac:dyDescent="0.25"/>
    <row r="246539" s="12" customFormat="1" x14ac:dyDescent="0.25"/>
    <row r="246540" s="12" customFormat="1" x14ac:dyDescent="0.25"/>
    <row r="246541" s="12" customFormat="1" x14ac:dyDescent="0.25"/>
    <row r="246542" s="12" customFormat="1" x14ac:dyDescent="0.25"/>
    <row r="246543" s="12" customFormat="1" x14ac:dyDescent="0.25"/>
    <row r="246544" s="12" customFormat="1" x14ac:dyDescent="0.25"/>
    <row r="246545" s="12" customFormat="1" x14ac:dyDescent="0.25"/>
    <row r="246546" s="12" customFormat="1" x14ac:dyDescent="0.25"/>
    <row r="246547" s="12" customFormat="1" x14ac:dyDescent="0.25"/>
    <row r="246548" s="12" customFormat="1" x14ac:dyDescent="0.25"/>
    <row r="246549" s="12" customFormat="1" x14ac:dyDescent="0.25"/>
    <row r="246550" s="12" customFormat="1" x14ac:dyDescent="0.25"/>
    <row r="246551" s="12" customFormat="1" x14ac:dyDescent="0.25"/>
    <row r="246552" s="12" customFormat="1" x14ac:dyDescent="0.25"/>
    <row r="246553" s="12" customFormat="1" x14ac:dyDescent="0.25"/>
    <row r="246554" s="12" customFormat="1" x14ac:dyDescent="0.25"/>
    <row r="246555" s="12" customFormat="1" x14ac:dyDescent="0.25"/>
    <row r="246556" s="12" customFormat="1" x14ac:dyDescent="0.25"/>
    <row r="246557" s="12" customFormat="1" x14ac:dyDescent="0.25"/>
    <row r="246558" s="12" customFormat="1" x14ac:dyDescent="0.25"/>
    <row r="246559" s="12" customFormat="1" x14ac:dyDescent="0.25"/>
    <row r="246560" s="12" customFormat="1" x14ac:dyDescent="0.25"/>
    <row r="246561" s="12" customFormat="1" x14ac:dyDescent="0.25"/>
    <row r="246562" s="12" customFormat="1" x14ac:dyDescent="0.25"/>
    <row r="246563" s="12" customFormat="1" x14ac:dyDescent="0.25"/>
    <row r="246564" s="12" customFormat="1" x14ac:dyDescent="0.25"/>
    <row r="246565" s="12" customFormat="1" x14ac:dyDescent="0.25"/>
    <row r="246566" s="12" customFormat="1" x14ac:dyDescent="0.25"/>
    <row r="246567" s="12" customFormat="1" x14ac:dyDescent="0.25"/>
    <row r="246568" s="12" customFormat="1" x14ac:dyDescent="0.25"/>
    <row r="246569" s="12" customFormat="1" x14ac:dyDescent="0.25"/>
    <row r="246570" s="12" customFormat="1" x14ac:dyDescent="0.25"/>
    <row r="246571" s="12" customFormat="1" x14ac:dyDescent="0.25"/>
    <row r="246572" s="12" customFormat="1" x14ac:dyDescent="0.25"/>
    <row r="246573" s="12" customFormat="1" x14ac:dyDescent="0.25"/>
    <row r="246574" s="12" customFormat="1" x14ac:dyDescent="0.25"/>
    <row r="246575" s="12" customFormat="1" x14ac:dyDescent="0.25"/>
    <row r="246576" s="12" customFormat="1" x14ac:dyDescent="0.25"/>
    <row r="246577" s="12" customFormat="1" x14ac:dyDescent="0.25"/>
    <row r="246578" s="12" customFormat="1" x14ac:dyDescent="0.25"/>
    <row r="246579" s="12" customFormat="1" x14ac:dyDescent="0.25"/>
    <row r="246580" s="12" customFormat="1" x14ac:dyDescent="0.25"/>
    <row r="246581" s="12" customFormat="1" x14ac:dyDescent="0.25"/>
    <row r="246582" s="12" customFormat="1" x14ac:dyDescent="0.25"/>
    <row r="246583" s="12" customFormat="1" x14ac:dyDescent="0.25"/>
    <row r="246584" s="12" customFormat="1" x14ac:dyDescent="0.25"/>
    <row r="246585" s="12" customFormat="1" x14ac:dyDescent="0.25"/>
    <row r="246586" s="12" customFormat="1" x14ac:dyDescent="0.25"/>
    <row r="246587" s="12" customFormat="1" x14ac:dyDescent="0.25"/>
    <row r="246588" s="12" customFormat="1" x14ac:dyDescent="0.25"/>
    <row r="246589" s="12" customFormat="1" x14ac:dyDescent="0.25"/>
    <row r="246590" s="12" customFormat="1" x14ac:dyDescent="0.25"/>
    <row r="246591" s="12" customFormat="1" x14ac:dyDescent="0.25"/>
    <row r="246592" s="12" customFormat="1" x14ac:dyDescent="0.25"/>
    <row r="246593" s="12" customFormat="1" x14ac:dyDescent="0.25"/>
    <row r="246594" s="12" customFormat="1" x14ac:dyDescent="0.25"/>
    <row r="246595" s="12" customFormat="1" x14ac:dyDescent="0.25"/>
    <row r="246596" s="12" customFormat="1" x14ac:dyDescent="0.25"/>
    <row r="246597" s="12" customFormat="1" x14ac:dyDescent="0.25"/>
    <row r="246598" s="12" customFormat="1" x14ac:dyDescent="0.25"/>
    <row r="246599" s="12" customFormat="1" x14ac:dyDescent="0.25"/>
    <row r="246600" s="12" customFormat="1" x14ac:dyDescent="0.25"/>
    <row r="246601" s="12" customFormat="1" x14ac:dyDescent="0.25"/>
    <row r="246602" s="12" customFormat="1" x14ac:dyDescent="0.25"/>
    <row r="246603" s="12" customFormat="1" x14ac:dyDescent="0.25"/>
    <row r="246604" s="12" customFormat="1" x14ac:dyDescent="0.25"/>
    <row r="246605" s="12" customFormat="1" x14ac:dyDescent="0.25"/>
    <row r="246606" s="12" customFormat="1" x14ac:dyDescent="0.25"/>
    <row r="246607" s="12" customFormat="1" x14ac:dyDescent="0.25"/>
    <row r="246608" s="12" customFormat="1" x14ac:dyDescent="0.25"/>
    <row r="246609" s="12" customFormat="1" x14ac:dyDescent="0.25"/>
    <row r="246610" s="12" customFormat="1" x14ac:dyDescent="0.25"/>
    <row r="246611" s="12" customFormat="1" x14ac:dyDescent="0.25"/>
    <row r="246612" s="12" customFormat="1" x14ac:dyDescent="0.25"/>
    <row r="246613" s="12" customFormat="1" x14ac:dyDescent="0.25"/>
    <row r="246614" s="12" customFormat="1" x14ac:dyDescent="0.25"/>
    <row r="246615" s="12" customFormat="1" x14ac:dyDescent="0.25"/>
    <row r="246616" s="12" customFormat="1" x14ac:dyDescent="0.25"/>
    <row r="246617" s="12" customFormat="1" x14ac:dyDescent="0.25"/>
    <row r="246618" s="12" customFormat="1" x14ac:dyDescent="0.25"/>
    <row r="246619" s="12" customFormat="1" x14ac:dyDescent="0.25"/>
    <row r="246620" s="12" customFormat="1" x14ac:dyDescent="0.25"/>
    <row r="246621" s="12" customFormat="1" x14ac:dyDescent="0.25"/>
    <row r="246622" s="12" customFormat="1" x14ac:dyDescent="0.25"/>
    <row r="246623" s="12" customFormat="1" x14ac:dyDescent="0.25"/>
    <row r="246624" s="12" customFormat="1" x14ac:dyDescent="0.25"/>
    <row r="246625" s="12" customFormat="1" x14ac:dyDescent="0.25"/>
    <row r="246626" s="12" customFormat="1" x14ac:dyDescent="0.25"/>
    <row r="246627" s="12" customFormat="1" x14ac:dyDescent="0.25"/>
    <row r="246628" s="12" customFormat="1" x14ac:dyDescent="0.25"/>
    <row r="246629" s="12" customFormat="1" x14ac:dyDescent="0.25"/>
    <row r="246630" s="12" customFormat="1" x14ac:dyDescent="0.25"/>
    <row r="246631" s="12" customFormat="1" x14ac:dyDescent="0.25"/>
    <row r="246632" s="12" customFormat="1" x14ac:dyDescent="0.25"/>
    <row r="246633" s="12" customFormat="1" x14ac:dyDescent="0.25"/>
    <row r="246634" s="12" customFormat="1" x14ac:dyDescent="0.25"/>
    <row r="246635" s="12" customFormat="1" x14ac:dyDescent="0.25"/>
    <row r="246636" s="12" customFormat="1" x14ac:dyDescent="0.25"/>
    <row r="246637" s="12" customFormat="1" x14ac:dyDescent="0.25"/>
    <row r="246638" s="12" customFormat="1" x14ac:dyDescent="0.25"/>
    <row r="246639" s="12" customFormat="1" x14ac:dyDescent="0.25"/>
    <row r="246640" s="12" customFormat="1" x14ac:dyDescent="0.25"/>
    <row r="246641" s="12" customFormat="1" x14ac:dyDescent="0.25"/>
    <row r="246642" s="12" customFormat="1" x14ac:dyDescent="0.25"/>
    <row r="246643" s="12" customFormat="1" x14ac:dyDescent="0.25"/>
    <row r="246644" s="12" customFormat="1" x14ac:dyDescent="0.25"/>
    <row r="246645" s="12" customFormat="1" x14ac:dyDescent="0.25"/>
    <row r="246646" s="12" customFormat="1" x14ac:dyDescent="0.25"/>
    <row r="246647" s="12" customFormat="1" x14ac:dyDescent="0.25"/>
    <row r="246648" s="12" customFormat="1" x14ac:dyDescent="0.25"/>
    <row r="246649" s="12" customFormat="1" x14ac:dyDescent="0.25"/>
    <row r="246650" s="12" customFormat="1" x14ac:dyDescent="0.25"/>
    <row r="246651" s="12" customFormat="1" x14ac:dyDescent="0.25"/>
    <row r="246652" s="12" customFormat="1" x14ac:dyDescent="0.25"/>
    <row r="246653" s="12" customFormat="1" x14ac:dyDescent="0.25"/>
    <row r="246654" s="12" customFormat="1" x14ac:dyDescent="0.25"/>
    <row r="246655" s="12" customFormat="1" x14ac:dyDescent="0.25"/>
    <row r="246656" s="12" customFormat="1" x14ac:dyDescent="0.25"/>
    <row r="246657" s="12" customFormat="1" x14ac:dyDescent="0.25"/>
    <row r="246658" s="12" customFormat="1" x14ac:dyDescent="0.25"/>
    <row r="246659" s="12" customFormat="1" x14ac:dyDescent="0.25"/>
    <row r="246660" s="12" customFormat="1" x14ac:dyDescent="0.25"/>
    <row r="246661" s="12" customFormat="1" x14ac:dyDescent="0.25"/>
    <row r="246662" s="12" customFormat="1" x14ac:dyDescent="0.25"/>
    <row r="246663" s="12" customFormat="1" x14ac:dyDescent="0.25"/>
    <row r="246664" s="12" customFormat="1" x14ac:dyDescent="0.25"/>
    <row r="246665" s="12" customFormat="1" x14ac:dyDescent="0.25"/>
    <row r="246666" s="12" customFormat="1" x14ac:dyDescent="0.25"/>
    <row r="246667" s="12" customFormat="1" x14ac:dyDescent="0.25"/>
    <row r="246668" s="12" customFormat="1" x14ac:dyDescent="0.25"/>
    <row r="246669" s="12" customFormat="1" x14ac:dyDescent="0.25"/>
    <row r="246670" s="12" customFormat="1" x14ac:dyDescent="0.25"/>
    <row r="246671" s="12" customFormat="1" x14ac:dyDescent="0.25"/>
    <row r="246672" s="12" customFormat="1" x14ac:dyDescent="0.25"/>
    <row r="246673" s="12" customFormat="1" x14ac:dyDescent="0.25"/>
    <row r="246674" s="12" customFormat="1" x14ac:dyDescent="0.25"/>
    <row r="246675" s="12" customFormat="1" x14ac:dyDescent="0.25"/>
    <row r="246676" s="12" customFormat="1" x14ac:dyDescent="0.25"/>
    <row r="246677" s="12" customFormat="1" x14ac:dyDescent="0.25"/>
    <row r="246678" s="12" customFormat="1" x14ac:dyDescent="0.25"/>
    <row r="246679" s="12" customFormat="1" x14ac:dyDescent="0.25"/>
    <row r="246680" s="12" customFormat="1" x14ac:dyDescent="0.25"/>
    <row r="246681" s="12" customFormat="1" x14ac:dyDescent="0.25"/>
    <row r="246682" s="12" customFormat="1" x14ac:dyDescent="0.25"/>
    <row r="246683" s="12" customFormat="1" x14ac:dyDescent="0.25"/>
    <row r="246684" s="12" customFormat="1" x14ac:dyDescent="0.25"/>
    <row r="246685" s="12" customFormat="1" x14ac:dyDescent="0.25"/>
    <row r="246686" s="12" customFormat="1" x14ac:dyDescent="0.25"/>
    <row r="246687" s="12" customFormat="1" x14ac:dyDescent="0.25"/>
    <row r="246688" s="12" customFormat="1" x14ac:dyDescent="0.25"/>
    <row r="246689" s="12" customFormat="1" x14ac:dyDescent="0.25"/>
    <row r="246690" s="12" customFormat="1" x14ac:dyDescent="0.25"/>
    <row r="246691" s="12" customFormat="1" x14ac:dyDescent="0.25"/>
    <row r="246692" s="12" customFormat="1" x14ac:dyDescent="0.25"/>
    <row r="246693" s="12" customFormat="1" x14ac:dyDescent="0.25"/>
    <row r="246694" s="12" customFormat="1" x14ac:dyDescent="0.25"/>
    <row r="246695" s="12" customFormat="1" x14ac:dyDescent="0.25"/>
    <row r="246696" s="12" customFormat="1" x14ac:dyDescent="0.25"/>
    <row r="246697" s="12" customFormat="1" x14ac:dyDescent="0.25"/>
    <row r="246698" s="12" customFormat="1" x14ac:dyDescent="0.25"/>
    <row r="246699" s="12" customFormat="1" x14ac:dyDescent="0.25"/>
    <row r="246700" s="12" customFormat="1" x14ac:dyDescent="0.25"/>
    <row r="246701" s="12" customFormat="1" x14ac:dyDescent="0.25"/>
    <row r="246702" s="12" customFormat="1" x14ac:dyDescent="0.25"/>
    <row r="246703" s="12" customFormat="1" x14ac:dyDescent="0.25"/>
    <row r="246704" s="12" customFormat="1" x14ac:dyDescent="0.25"/>
    <row r="246705" s="12" customFormat="1" x14ac:dyDescent="0.25"/>
    <row r="246706" s="12" customFormat="1" x14ac:dyDescent="0.25"/>
    <row r="246707" s="12" customFormat="1" x14ac:dyDescent="0.25"/>
    <row r="246708" s="12" customFormat="1" x14ac:dyDescent="0.25"/>
    <row r="246709" s="12" customFormat="1" x14ac:dyDescent="0.25"/>
    <row r="246710" s="12" customFormat="1" x14ac:dyDescent="0.25"/>
    <row r="246711" s="12" customFormat="1" x14ac:dyDescent="0.25"/>
    <row r="246712" s="12" customFormat="1" x14ac:dyDescent="0.25"/>
    <row r="246713" s="12" customFormat="1" x14ac:dyDescent="0.25"/>
    <row r="246714" s="12" customFormat="1" x14ac:dyDescent="0.25"/>
    <row r="246715" s="12" customFormat="1" x14ac:dyDescent="0.25"/>
    <row r="246716" s="12" customFormat="1" x14ac:dyDescent="0.25"/>
    <row r="246717" s="12" customFormat="1" x14ac:dyDescent="0.25"/>
    <row r="246718" s="12" customFormat="1" x14ac:dyDescent="0.25"/>
    <row r="246719" s="12" customFormat="1" x14ac:dyDescent="0.25"/>
    <row r="246720" s="12" customFormat="1" x14ac:dyDescent="0.25"/>
    <row r="246721" s="12" customFormat="1" x14ac:dyDescent="0.25"/>
    <row r="246722" s="12" customFormat="1" x14ac:dyDescent="0.25"/>
    <row r="246723" s="12" customFormat="1" x14ac:dyDescent="0.25"/>
    <row r="246724" s="12" customFormat="1" x14ac:dyDescent="0.25"/>
    <row r="246725" s="12" customFormat="1" x14ac:dyDescent="0.25"/>
    <row r="246726" s="12" customFormat="1" x14ac:dyDescent="0.25"/>
    <row r="246727" s="12" customFormat="1" x14ac:dyDescent="0.25"/>
    <row r="246728" s="12" customFormat="1" x14ac:dyDescent="0.25"/>
    <row r="246729" s="12" customFormat="1" x14ac:dyDescent="0.25"/>
    <row r="246730" s="12" customFormat="1" x14ac:dyDescent="0.25"/>
    <row r="246731" s="12" customFormat="1" x14ac:dyDescent="0.25"/>
    <row r="246732" s="12" customFormat="1" x14ac:dyDescent="0.25"/>
    <row r="246733" s="12" customFormat="1" x14ac:dyDescent="0.25"/>
    <row r="246734" s="12" customFormat="1" x14ac:dyDescent="0.25"/>
    <row r="246735" s="12" customFormat="1" x14ac:dyDescent="0.25"/>
    <row r="246736" s="12" customFormat="1" x14ac:dyDescent="0.25"/>
    <row r="246737" s="12" customFormat="1" x14ac:dyDescent="0.25"/>
    <row r="246738" s="12" customFormat="1" x14ac:dyDescent="0.25"/>
    <row r="246739" s="12" customFormat="1" x14ac:dyDescent="0.25"/>
    <row r="246740" s="12" customFormat="1" x14ac:dyDescent="0.25"/>
    <row r="246741" s="12" customFormat="1" x14ac:dyDescent="0.25"/>
    <row r="246742" s="12" customFormat="1" x14ac:dyDescent="0.25"/>
    <row r="246743" s="12" customFormat="1" x14ac:dyDescent="0.25"/>
    <row r="246744" s="12" customFormat="1" x14ac:dyDescent="0.25"/>
    <row r="246745" s="12" customFormat="1" x14ac:dyDescent="0.25"/>
    <row r="246746" s="12" customFormat="1" x14ac:dyDescent="0.25"/>
    <row r="246747" s="12" customFormat="1" x14ac:dyDescent="0.25"/>
    <row r="246748" s="12" customFormat="1" x14ac:dyDescent="0.25"/>
    <row r="246749" s="12" customFormat="1" x14ac:dyDescent="0.25"/>
    <row r="246750" s="12" customFormat="1" x14ac:dyDescent="0.25"/>
    <row r="246751" s="12" customFormat="1" x14ac:dyDescent="0.25"/>
    <row r="246752" s="12" customFormat="1" x14ac:dyDescent="0.25"/>
    <row r="246753" s="12" customFormat="1" x14ac:dyDescent="0.25"/>
    <row r="246754" s="12" customFormat="1" x14ac:dyDescent="0.25"/>
    <row r="246755" s="12" customFormat="1" x14ac:dyDescent="0.25"/>
    <row r="246756" s="12" customFormat="1" x14ac:dyDescent="0.25"/>
    <row r="246757" s="12" customFormat="1" x14ac:dyDescent="0.25"/>
    <row r="246758" s="12" customFormat="1" x14ac:dyDescent="0.25"/>
    <row r="246759" s="12" customFormat="1" x14ac:dyDescent="0.25"/>
    <row r="246760" s="12" customFormat="1" x14ac:dyDescent="0.25"/>
    <row r="246761" s="12" customFormat="1" x14ac:dyDescent="0.25"/>
    <row r="246762" s="12" customFormat="1" x14ac:dyDescent="0.25"/>
    <row r="246763" s="12" customFormat="1" x14ac:dyDescent="0.25"/>
    <row r="246764" s="12" customFormat="1" x14ac:dyDescent="0.25"/>
    <row r="246765" s="12" customFormat="1" x14ac:dyDescent="0.25"/>
    <row r="246766" s="12" customFormat="1" x14ac:dyDescent="0.25"/>
    <row r="246767" s="12" customFormat="1" x14ac:dyDescent="0.25"/>
    <row r="246768" s="12" customFormat="1" x14ac:dyDescent="0.25"/>
    <row r="246769" s="12" customFormat="1" x14ac:dyDescent="0.25"/>
    <row r="246770" s="12" customFormat="1" x14ac:dyDescent="0.25"/>
    <row r="246771" s="12" customFormat="1" x14ac:dyDescent="0.25"/>
    <row r="246772" s="12" customFormat="1" x14ac:dyDescent="0.25"/>
    <row r="246773" s="12" customFormat="1" x14ac:dyDescent="0.25"/>
    <row r="246774" s="12" customFormat="1" x14ac:dyDescent="0.25"/>
    <row r="246775" s="12" customFormat="1" x14ac:dyDescent="0.25"/>
    <row r="246776" s="12" customFormat="1" x14ac:dyDescent="0.25"/>
    <row r="246777" s="12" customFormat="1" x14ac:dyDescent="0.25"/>
    <row r="246778" s="12" customFormat="1" x14ac:dyDescent="0.25"/>
    <row r="246779" s="12" customFormat="1" x14ac:dyDescent="0.25"/>
    <row r="246780" s="12" customFormat="1" x14ac:dyDescent="0.25"/>
    <row r="246781" s="12" customFormat="1" x14ac:dyDescent="0.25"/>
    <row r="246782" s="12" customFormat="1" x14ac:dyDescent="0.25"/>
    <row r="246783" s="12" customFormat="1" x14ac:dyDescent="0.25"/>
    <row r="246784" s="12" customFormat="1" x14ac:dyDescent="0.25"/>
    <row r="246785" s="12" customFormat="1" x14ac:dyDescent="0.25"/>
    <row r="246786" s="12" customFormat="1" x14ac:dyDescent="0.25"/>
    <row r="246787" s="12" customFormat="1" x14ac:dyDescent="0.25"/>
    <row r="246788" s="12" customFormat="1" x14ac:dyDescent="0.25"/>
    <row r="246789" s="12" customFormat="1" x14ac:dyDescent="0.25"/>
    <row r="246790" s="12" customFormat="1" x14ac:dyDescent="0.25"/>
    <row r="246791" s="12" customFormat="1" x14ac:dyDescent="0.25"/>
    <row r="246792" s="12" customFormat="1" x14ac:dyDescent="0.25"/>
    <row r="246793" s="12" customFormat="1" x14ac:dyDescent="0.25"/>
    <row r="246794" s="12" customFormat="1" x14ac:dyDescent="0.25"/>
    <row r="246795" s="12" customFormat="1" x14ac:dyDescent="0.25"/>
    <row r="246796" s="12" customFormat="1" x14ac:dyDescent="0.25"/>
    <row r="246797" s="12" customFormat="1" x14ac:dyDescent="0.25"/>
    <row r="246798" s="12" customFormat="1" x14ac:dyDescent="0.25"/>
    <row r="246799" s="12" customFormat="1" x14ac:dyDescent="0.25"/>
    <row r="246800" s="12" customFormat="1" x14ac:dyDescent="0.25"/>
    <row r="246801" s="12" customFormat="1" x14ac:dyDescent="0.25"/>
    <row r="246802" s="12" customFormat="1" x14ac:dyDescent="0.25"/>
    <row r="246803" s="12" customFormat="1" x14ac:dyDescent="0.25"/>
    <row r="246804" s="12" customFormat="1" x14ac:dyDescent="0.25"/>
    <row r="246805" s="12" customFormat="1" x14ac:dyDescent="0.25"/>
    <row r="246806" s="12" customFormat="1" x14ac:dyDescent="0.25"/>
    <row r="246807" s="12" customFormat="1" x14ac:dyDescent="0.25"/>
    <row r="246808" s="12" customFormat="1" x14ac:dyDescent="0.25"/>
    <row r="246809" s="12" customFormat="1" x14ac:dyDescent="0.25"/>
    <row r="246810" s="12" customFormat="1" x14ac:dyDescent="0.25"/>
    <row r="246811" s="12" customFormat="1" x14ac:dyDescent="0.25"/>
    <row r="246812" s="12" customFormat="1" x14ac:dyDescent="0.25"/>
    <row r="246813" s="12" customFormat="1" x14ac:dyDescent="0.25"/>
    <row r="246814" s="12" customFormat="1" x14ac:dyDescent="0.25"/>
    <row r="246815" s="12" customFormat="1" x14ac:dyDescent="0.25"/>
    <row r="246816" s="12" customFormat="1" x14ac:dyDescent="0.25"/>
    <row r="246817" s="12" customFormat="1" x14ac:dyDescent="0.25"/>
    <row r="246818" s="12" customFormat="1" x14ac:dyDescent="0.25"/>
    <row r="246819" s="12" customFormat="1" x14ac:dyDescent="0.25"/>
    <row r="246820" s="12" customFormat="1" x14ac:dyDescent="0.25"/>
    <row r="246821" s="12" customFormat="1" x14ac:dyDescent="0.25"/>
    <row r="246822" s="12" customFormat="1" x14ac:dyDescent="0.25"/>
    <row r="246823" s="12" customFormat="1" x14ac:dyDescent="0.25"/>
    <row r="246824" s="12" customFormat="1" x14ac:dyDescent="0.25"/>
    <row r="246825" s="12" customFormat="1" x14ac:dyDescent="0.25"/>
    <row r="246826" s="12" customFormat="1" x14ac:dyDescent="0.25"/>
    <row r="246827" s="12" customFormat="1" x14ac:dyDescent="0.25"/>
    <row r="246828" s="12" customFormat="1" x14ac:dyDescent="0.25"/>
    <row r="246829" s="12" customFormat="1" x14ac:dyDescent="0.25"/>
    <row r="246830" s="12" customFormat="1" x14ac:dyDescent="0.25"/>
    <row r="246831" s="12" customFormat="1" x14ac:dyDescent="0.25"/>
    <row r="246832" s="12" customFormat="1" x14ac:dyDescent="0.25"/>
    <row r="246833" s="12" customFormat="1" x14ac:dyDescent="0.25"/>
    <row r="246834" s="12" customFormat="1" x14ac:dyDescent="0.25"/>
    <row r="246835" s="12" customFormat="1" x14ac:dyDescent="0.25"/>
    <row r="246836" s="12" customFormat="1" x14ac:dyDescent="0.25"/>
    <row r="246837" s="12" customFormat="1" x14ac:dyDescent="0.25"/>
    <row r="246838" s="12" customFormat="1" x14ac:dyDescent="0.25"/>
    <row r="246839" s="12" customFormat="1" x14ac:dyDescent="0.25"/>
    <row r="246840" s="12" customFormat="1" x14ac:dyDescent="0.25"/>
    <row r="246841" s="12" customFormat="1" x14ac:dyDescent="0.25"/>
    <row r="246842" s="12" customFormat="1" x14ac:dyDescent="0.25"/>
    <row r="246843" s="12" customFormat="1" x14ac:dyDescent="0.25"/>
    <row r="246844" s="12" customFormat="1" x14ac:dyDescent="0.25"/>
    <row r="246845" s="12" customFormat="1" x14ac:dyDescent="0.25"/>
    <row r="246846" s="12" customFormat="1" x14ac:dyDescent="0.25"/>
    <row r="246847" s="12" customFormat="1" x14ac:dyDescent="0.25"/>
    <row r="246848" s="12" customFormat="1" x14ac:dyDescent="0.25"/>
    <row r="246849" s="12" customFormat="1" x14ac:dyDescent="0.25"/>
    <row r="246850" s="12" customFormat="1" x14ac:dyDescent="0.25"/>
    <row r="246851" s="12" customFormat="1" x14ac:dyDescent="0.25"/>
    <row r="246852" s="12" customFormat="1" x14ac:dyDescent="0.25"/>
    <row r="246853" s="12" customFormat="1" x14ac:dyDescent="0.25"/>
    <row r="246854" s="12" customFormat="1" x14ac:dyDescent="0.25"/>
    <row r="246855" s="12" customFormat="1" x14ac:dyDescent="0.25"/>
    <row r="246856" s="12" customFormat="1" x14ac:dyDescent="0.25"/>
    <row r="246857" s="12" customFormat="1" x14ac:dyDescent="0.25"/>
    <row r="246858" s="12" customFormat="1" x14ac:dyDescent="0.25"/>
    <row r="246859" s="12" customFormat="1" x14ac:dyDescent="0.25"/>
    <row r="246860" s="12" customFormat="1" x14ac:dyDescent="0.25"/>
    <row r="246861" s="12" customFormat="1" x14ac:dyDescent="0.25"/>
    <row r="246862" s="12" customFormat="1" x14ac:dyDescent="0.25"/>
    <row r="246863" s="12" customFormat="1" x14ac:dyDescent="0.25"/>
    <row r="246864" s="12" customFormat="1" x14ac:dyDescent="0.25"/>
    <row r="246865" s="12" customFormat="1" x14ac:dyDescent="0.25"/>
    <row r="246866" s="12" customFormat="1" x14ac:dyDescent="0.25"/>
    <row r="246867" s="12" customFormat="1" x14ac:dyDescent="0.25"/>
    <row r="246868" s="12" customFormat="1" x14ac:dyDescent="0.25"/>
    <row r="246869" s="12" customFormat="1" x14ac:dyDescent="0.25"/>
    <row r="246870" s="12" customFormat="1" x14ac:dyDescent="0.25"/>
    <row r="246871" s="12" customFormat="1" x14ac:dyDescent="0.25"/>
    <row r="246872" s="12" customFormat="1" x14ac:dyDescent="0.25"/>
    <row r="246873" s="12" customFormat="1" x14ac:dyDescent="0.25"/>
    <row r="246874" s="12" customFormat="1" x14ac:dyDescent="0.25"/>
    <row r="246875" s="12" customFormat="1" x14ac:dyDescent="0.25"/>
    <row r="246876" s="12" customFormat="1" x14ac:dyDescent="0.25"/>
    <row r="246877" s="12" customFormat="1" x14ac:dyDescent="0.25"/>
    <row r="246878" s="12" customFormat="1" x14ac:dyDescent="0.25"/>
    <row r="246879" s="12" customFormat="1" x14ac:dyDescent="0.25"/>
    <row r="246880" s="12" customFormat="1" x14ac:dyDescent="0.25"/>
    <row r="246881" s="12" customFormat="1" x14ac:dyDescent="0.25"/>
    <row r="246882" s="12" customFormat="1" x14ac:dyDescent="0.25"/>
    <row r="246883" s="12" customFormat="1" x14ac:dyDescent="0.25"/>
    <row r="246884" s="12" customFormat="1" x14ac:dyDescent="0.25"/>
    <row r="246885" s="12" customFormat="1" x14ac:dyDescent="0.25"/>
    <row r="246886" s="12" customFormat="1" x14ac:dyDescent="0.25"/>
    <row r="246887" s="12" customFormat="1" x14ac:dyDescent="0.25"/>
    <row r="246888" s="12" customFormat="1" x14ac:dyDescent="0.25"/>
    <row r="246889" s="12" customFormat="1" x14ac:dyDescent="0.25"/>
    <row r="246890" s="12" customFormat="1" x14ac:dyDescent="0.25"/>
    <row r="246891" s="12" customFormat="1" x14ac:dyDescent="0.25"/>
    <row r="246892" s="12" customFormat="1" x14ac:dyDescent="0.25"/>
    <row r="246893" s="12" customFormat="1" x14ac:dyDescent="0.25"/>
    <row r="246894" s="12" customFormat="1" x14ac:dyDescent="0.25"/>
    <row r="246895" s="12" customFormat="1" x14ac:dyDescent="0.25"/>
    <row r="246896" s="12" customFormat="1" x14ac:dyDescent="0.25"/>
    <row r="246897" s="12" customFormat="1" x14ac:dyDescent="0.25"/>
    <row r="246898" s="12" customFormat="1" x14ac:dyDescent="0.25"/>
    <row r="246899" s="12" customFormat="1" x14ac:dyDescent="0.25"/>
    <row r="246900" s="12" customFormat="1" x14ac:dyDescent="0.25"/>
    <row r="246901" s="12" customFormat="1" x14ac:dyDescent="0.25"/>
    <row r="246902" s="12" customFormat="1" x14ac:dyDescent="0.25"/>
    <row r="246903" s="12" customFormat="1" x14ac:dyDescent="0.25"/>
    <row r="246904" s="12" customFormat="1" x14ac:dyDescent="0.25"/>
    <row r="246905" s="12" customFormat="1" x14ac:dyDescent="0.25"/>
    <row r="246906" s="12" customFormat="1" x14ac:dyDescent="0.25"/>
    <row r="246907" s="12" customFormat="1" x14ac:dyDescent="0.25"/>
    <row r="246908" s="12" customFormat="1" x14ac:dyDescent="0.25"/>
    <row r="246909" s="12" customFormat="1" x14ac:dyDescent="0.25"/>
    <row r="246910" s="12" customFormat="1" x14ac:dyDescent="0.25"/>
    <row r="246911" s="12" customFormat="1" x14ac:dyDescent="0.25"/>
    <row r="246912" s="12" customFormat="1" x14ac:dyDescent="0.25"/>
    <row r="246913" s="12" customFormat="1" x14ac:dyDescent="0.25"/>
    <row r="246914" s="12" customFormat="1" x14ac:dyDescent="0.25"/>
    <row r="246915" s="12" customFormat="1" x14ac:dyDescent="0.25"/>
    <row r="246916" s="12" customFormat="1" x14ac:dyDescent="0.25"/>
    <row r="246917" s="12" customFormat="1" x14ac:dyDescent="0.25"/>
    <row r="246918" s="12" customFormat="1" x14ac:dyDescent="0.25"/>
    <row r="246919" s="12" customFormat="1" x14ac:dyDescent="0.25"/>
    <row r="246920" s="12" customFormat="1" x14ac:dyDescent="0.25"/>
    <row r="246921" s="12" customFormat="1" x14ac:dyDescent="0.25"/>
    <row r="246922" s="12" customFormat="1" x14ac:dyDescent="0.25"/>
    <row r="246923" s="12" customFormat="1" x14ac:dyDescent="0.25"/>
    <row r="246924" s="12" customFormat="1" x14ac:dyDescent="0.25"/>
    <row r="246925" s="12" customFormat="1" x14ac:dyDescent="0.25"/>
    <row r="246926" s="12" customFormat="1" x14ac:dyDescent="0.25"/>
    <row r="246927" s="12" customFormat="1" x14ac:dyDescent="0.25"/>
    <row r="246928" s="12" customFormat="1" x14ac:dyDescent="0.25"/>
    <row r="246929" s="12" customFormat="1" x14ac:dyDescent="0.25"/>
    <row r="246930" s="12" customFormat="1" x14ac:dyDescent="0.25"/>
    <row r="246931" s="12" customFormat="1" x14ac:dyDescent="0.25"/>
    <row r="246932" s="12" customFormat="1" x14ac:dyDescent="0.25"/>
    <row r="246933" s="12" customFormat="1" x14ac:dyDescent="0.25"/>
    <row r="246934" s="12" customFormat="1" x14ac:dyDescent="0.25"/>
    <row r="246935" s="12" customFormat="1" x14ac:dyDescent="0.25"/>
    <row r="246936" s="12" customFormat="1" x14ac:dyDescent="0.25"/>
    <row r="246937" s="12" customFormat="1" x14ac:dyDescent="0.25"/>
    <row r="246938" s="12" customFormat="1" x14ac:dyDescent="0.25"/>
    <row r="246939" s="12" customFormat="1" x14ac:dyDescent="0.25"/>
    <row r="246940" s="12" customFormat="1" x14ac:dyDescent="0.25"/>
    <row r="246941" s="12" customFormat="1" x14ac:dyDescent="0.25"/>
    <row r="246942" s="12" customFormat="1" x14ac:dyDescent="0.25"/>
    <row r="246943" s="12" customFormat="1" x14ac:dyDescent="0.25"/>
    <row r="246944" s="12" customFormat="1" x14ac:dyDescent="0.25"/>
    <row r="246945" s="12" customFormat="1" x14ac:dyDescent="0.25"/>
    <row r="246946" s="12" customFormat="1" x14ac:dyDescent="0.25"/>
    <row r="246947" s="12" customFormat="1" x14ac:dyDescent="0.25"/>
    <row r="246948" s="12" customFormat="1" x14ac:dyDescent="0.25"/>
    <row r="246949" s="12" customFormat="1" x14ac:dyDescent="0.25"/>
    <row r="246950" s="12" customFormat="1" x14ac:dyDescent="0.25"/>
    <row r="246951" s="12" customFormat="1" x14ac:dyDescent="0.25"/>
    <row r="246952" s="12" customFormat="1" x14ac:dyDescent="0.25"/>
    <row r="246953" s="12" customFormat="1" x14ac:dyDescent="0.25"/>
    <row r="246954" s="12" customFormat="1" x14ac:dyDescent="0.25"/>
    <row r="246955" s="12" customFormat="1" x14ac:dyDescent="0.25"/>
    <row r="246956" s="12" customFormat="1" x14ac:dyDescent="0.25"/>
    <row r="246957" s="12" customFormat="1" x14ac:dyDescent="0.25"/>
    <row r="246958" s="12" customFormat="1" x14ac:dyDescent="0.25"/>
    <row r="246959" s="12" customFormat="1" x14ac:dyDescent="0.25"/>
    <row r="246960" s="12" customFormat="1" x14ac:dyDescent="0.25"/>
    <row r="246961" s="12" customFormat="1" x14ac:dyDescent="0.25"/>
    <row r="246962" s="12" customFormat="1" x14ac:dyDescent="0.25"/>
    <row r="246963" s="12" customFormat="1" x14ac:dyDescent="0.25"/>
    <row r="246964" s="12" customFormat="1" x14ac:dyDescent="0.25"/>
    <row r="246965" s="12" customFormat="1" x14ac:dyDescent="0.25"/>
    <row r="246966" s="12" customFormat="1" x14ac:dyDescent="0.25"/>
    <row r="246967" s="12" customFormat="1" x14ac:dyDescent="0.25"/>
    <row r="246968" s="12" customFormat="1" x14ac:dyDescent="0.25"/>
    <row r="246969" s="12" customFormat="1" x14ac:dyDescent="0.25"/>
    <row r="246970" s="12" customFormat="1" x14ac:dyDescent="0.25"/>
    <row r="246971" s="12" customFormat="1" x14ac:dyDescent="0.25"/>
    <row r="246972" s="12" customFormat="1" x14ac:dyDescent="0.25"/>
    <row r="246973" s="12" customFormat="1" x14ac:dyDescent="0.25"/>
    <row r="246974" s="12" customFormat="1" x14ac:dyDescent="0.25"/>
    <row r="246975" s="12" customFormat="1" x14ac:dyDescent="0.25"/>
    <row r="246976" s="12" customFormat="1" x14ac:dyDescent="0.25"/>
    <row r="246977" s="12" customFormat="1" x14ac:dyDescent="0.25"/>
    <row r="246978" s="12" customFormat="1" x14ac:dyDescent="0.25"/>
    <row r="246979" s="12" customFormat="1" x14ac:dyDescent="0.25"/>
    <row r="246980" s="12" customFormat="1" x14ac:dyDescent="0.25"/>
    <row r="246981" s="12" customFormat="1" x14ac:dyDescent="0.25"/>
    <row r="246982" s="12" customFormat="1" x14ac:dyDescent="0.25"/>
    <row r="246983" s="12" customFormat="1" x14ac:dyDescent="0.25"/>
    <row r="246984" s="12" customFormat="1" x14ac:dyDescent="0.25"/>
    <row r="246985" s="12" customFormat="1" x14ac:dyDescent="0.25"/>
    <row r="246986" s="12" customFormat="1" x14ac:dyDescent="0.25"/>
    <row r="246987" s="12" customFormat="1" x14ac:dyDescent="0.25"/>
    <row r="246988" s="12" customFormat="1" x14ac:dyDescent="0.25"/>
    <row r="246989" s="12" customFormat="1" x14ac:dyDescent="0.25"/>
    <row r="246990" s="12" customFormat="1" x14ac:dyDescent="0.25"/>
    <row r="246991" s="12" customFormat="1" x14ac:dyDescent="0.25"/>
    <row r="246992" s="12" customFormat="1" x14ac:dyDescent="0.25"/>
    <row r="246993" s="12" customFormat="1" x14ac:dyDescent="0.25"/>
    <row r="246994" s="12" customFormat="1" x14ac:dyDescent="0.25"/>
    <row r="246995" s="12" customFormat="1" x14ac:dyDescent="0.25"/>
    <row r="246996" s="12" customFormat="1" x14ac:dyDescent="0.25"/>
    <row r="246997" s="12" customFormat="1" x14ac:dyDescent="0.25"/>
    <row r="246998" s="12" customFormat="1" x14ac:dyDescent="0.25"/>
    <row r="246999" s="12" customFormat="1" x14ac:dyDescent="0.25"/>
    <row r="247000" s="12" customFormat="1" x14ac:dyDescent="0.25"/>
    <row r="247001" s="12" customFormat="1" x14ac:dyDescent="0.25"/>
    <row r="247002" s="12" customFormat="1" x14ac:dyDescent="0.25"/>
    <row r="247003" s="12" customFormat="1" x14ac:dyDescent="0.25"/>
    <row r="247004" s="12" customFormat="1" x14ac:dyDescent="0.25"/>
    <row r="247005" s="12" customFormat="1" x14ac:dyDescent="0.25"/>
    <row r="247006" s="12" customFormat="1" x14ac:dyDescent="0.25"/>
    <row r="247007" s="12" customFormat="1" x14ac:dyDescent="0.25"/>
    <row r="247008" s="12" customFormat="1" x14ac:dyDescent="0.25"/>
    <row r="247009" s="12" customFormat="1" x14ac:dyDescent="0.25"/>
    <row r="247010" s="12" customFormat="1" x14ac:dyDescent="0.25"/>
    <row r="247011" s="12" customFormat="1" x14ac:dyDescent="0.25"/>
    <row r="247012" s="12" customFormat="1" x14ac:dyDescent="0.25"/>
    <row r="247013" s="12" customFormat="1" x14ac:dyDescent="0.25"/>
    <row r="247014" s="12" customFormat="1" x14ac:dyDescent="0.25"/>
    <row r="247015" s="12" customFormat="1" x14ac:dyDescent="0.25"/>
    <row r="247016" s="12" customFormat="1" x14ac:dyDescent="0.25"/>
    <row r="247017" s="12" customFormat="1" x14ac:dyDescent="0.25"/>
    <row r="247018" s="12" customFormat="1" x14ac:dyDescent="0.25"/>
    <row r="247019" s="12" customFormat="1" x14ac:dyDescent="0.25"/>
    <row r="247020" s="12" customFormat="1" x14ac:dyDescent="0.25"/>
    <row r="247021" s="12" customFormat="1" x14ac:dyDescent="0.25"/>
    <row r="247022" s="12" customFormat="1" x14ac:dyDescent="0.25"/>
    <row r="247023" s="12" customFormat="1" x14ac:dyDescent="0.25"/>
    <row r="247024" s="12" customFormat="1" x14ac:dyDescent="0.25"/>
    <row r="247025" s="12" customFormat="1" x14ac:dyDescent="0.25"/>
    <row r="247026" s="12" customFormat="1" x14ac:dyDescent="0.25"/>
    <row r="247027" s="12" customFormat="1" x14ac:dyDescent="0.25"/>
    <row r="247028" s="12" customFormat="1" x14ac:dyDescent="0.25"/>
    <row r="247029" s="12" customFormat="1" x14ac:dyDescent="0.25"/>
    <row r="247030" s="12" customFormat="1" x14ac:dyDescent="0.25"/>
    <row r="247031" s="12" customFormat="1" x14ac:dyDescent="0.25"/>
    <row r="247032" s="12" customFormat="1" x14ac:dyDescent="0.25"/>
    <row r="247033" s="12" customFormat="1" x14ac:dyDescent="0.25"/>
    <row r="247034" s="12" customFormat="1" x14ac:dyDescent="0.25"/>
    <row r="247035" s="12" customFormat="1" x14ac:dyDescent="0.25"/>
    <row r="247036" s="12" customFormat="1" x14ac:dyDescent="0.25"/>
    <row r="247037" s="12" customFormat="1" x14ac:dyDescent="0.25"/>
    <row r="247038" s="12" customFormat="1" x14ac:dyDescent="0.25"/>
    <row r="247039" s="12" customFormat="1" x14ac:dyDescent="0.25"/>
    <row r="247040" s="12" customFormat="1" x14ac:dyDescent="0.25"/>
    <row r="247041" s="12" customFormat="1" x14ac:dyDescent="0.25"/>
    <row r="247042" s="12" customFormat="1" x14ac:dyDescent="0.25"/>
    <row r="247043" s="12" customFormat="1" x14ac:dyDescent="0.25"/>
    <row r="247044" s="12" customFormat="1" x14ac:dyDescent="0.25"/>
    <row r="247045" s="12" customFormat="1" x14ac:dyDescent="0.25"/>
    <row r="247046" s="12" customFormat="1" x14ac:dyDescent="0.25"/>
    <row r="247047" s="12" customFormat="1" x14ac:dyDescent="0.25"/>
    <row r="247048" s="12" customFormat="1" x14ac:dyDescent="0.25"/>
    <row r="247049" s="12" customFormat="1" x14ac:dyDescent="0.25"/>
    <row r="247050" s="12" customFormat="1" x14ac:dyDescent="0.25"/>
    <row r="247051" s="12" customFormat="1" x14ac:dyDescent="0.25"/>
    <row r="247052" s="12" customFormat="1" x14ac:dyDescent="0.25"/>
    <row r="247053" s="12" customFormat="1" x14ac:dyDescent="0.25"/>
    <row r="247054" s="12" customFormat="1" x14ac:dyDescent="0.25"/>
    <row r="247055" s="12" customFormat="1" x14ac:dyDescent="0.25"/>
    <row r="247056" s="12" customFormat="1" x14ac:dyDescent="0.25"/>
    <row r="247057" s="12" customFormat="1" x14ac:dyDescent="0.25"/>
    <row r="247058" s="12" customFormat="1" x14ac:dyDescent="0.25"/>
    <row r="247059" s="12" customFormat="1" x14ac:dyDescent="0.25"/>
    <row r="247060" s="12" customFormat="1" x14ac:dyDescent="0.25"/>
    <row r="247061" s="12" customFormat="1" x14ac:dyDescent="0.25"/>
    <row r="247062" s="12" customFormat="1" x14ac:dyDescent="0.25"/>
    <row r="247063" s="12" customFormat="1" x14ac:dyDescent="0.25"/>
    <row r="247064" s="12" customFormat="1" x14ac:dyDescent="0.25"/>
    <row r="247065" s="12" customFormat="1" x14ac:dyDescent="0.25"/>
    <row r="247066" s="12" customFormat="1" x14ac:dyDescent="0.25"/>
    <row r="247067" s="12" customFormat="1" x14ac:dyDescent="0.25"/>
    <row r="247068" s="12" customFormat="1" x14ac:dyDescent="0.25"/>
    <row r="247069" s="12" customFormat="1" x14ac:dyDescent="0.25"/>
    <row r="247070" s="12" customFormat="1" x14ac:dyDescent="0.25"/>
    <row r="247071" s="12" customFormat="1" x14ac:dyDescent="0.25"/>
    <row r="247072" s="12" customFormat="1" x14ac:dyDescent="0.25"/>
    <row r="247073" s="12" customFormat="1" x14ac:dyDescent="0.25"/>
    <row r="247074" s="12" customFormat="1" x14ac:dyDescent="0.25"/>
    <row r="247075" s="12" customFormat="1" x14ac:dyDescent="0.25"/>
    <row r="247076" s="12" customFormat="1" x14ac:dyDescent="0.25"/>
    <row r="247077" s="12" customFormat="1" x14ac:dyDescent="0.25"/>
    <row r="247078" s="12" customFormat="1" x14ac:dyDescent="0.25"/>
    <row r="247079" s="12" customFormat="1" x14ac:dyDescent="0.25"/>
    <row r="247080" s="12" customFormat="1" x14ac:dyDescent="0.25"/>
    <row r="247081" s="12" customFormat="1" x14ac:dyDescent="0.25"/>
    <row r="247082" s="12" customFormat="1" x14ac:dyDescent="0.25"/>
    <row r="247083" s="12" customFormat="1" x14ac:dyDescent="0.25"/>
    <row r="247084" s="12" customFormat="1" x14ac:dyDescent="0.25"/>
    <row r="247085" s="12" customFormat="1" x14ac:dyDescent="0.25"/>
    <row r="247086" s="12" customFormat="1" x14ac:dyDescent="0.25"/>
    <row r="247087" s="12" customFormat="1" x14ac:dyDescent="0.25"/>
    <row r="247088" s="12" customFormat="1" x14ac:dyDescent="0.25"/>
    <row r="247089" s="12" customFormat="1" x14ac:dyDescent="0.25"/>
    <row r="247090" s="12" customFormat="1" x14ac:dyDescent="0.25"/>
    <row r="247091" s="12" customFormat="1" x14ac:dyDescent="0.25"/>
    <row r="247092" s="12" customFormat="1" x14ac:dyDescent="0.25"/>
    <row r="247093" s="12" customFormat="1" x14ac:dyDescent="0.25"/>
    <row r="247094" s="12" customFormat="1" x14ac:dyDescent="0.25"/>
    <row r="247095" s="12" customFormat="1" x14ac:dyDescent="0.25"/>
    <row r="247096" s="12" customFormat="1" x14ac:dyDescent="0.25"/>
    <row r="247097" s="12" customFormat="1" x14ac:dyDescent="0.25"/>
    <row r="247098" s="12" customFormat="1" x14ac:dyDescent="0.25"/>
    <row r="247099" s="12" customFormat="1" x14ac:dyDescent="0.25"/>
    <row r="247100" s="12" customFormat="1" x14ac:dyDescent="0.25"/>
    <row r="247101" s="12" customFormat="1" x14ac:dyDescent="0.25"/>
    <row r="247102" s="12" customFormat="1" x14ac:dyDescent="0.25"/>
    <row r="247103" s="12" customFormat="1" x14ac:dyDescent="0.25"/>
    <row r="247104" s="12" customFormat="1" x14ac:dyDescent="0.25"/>
    <row r="247105" s="12" customFormat="1" x14ac:dyDescent="0.25"/>
    <row r="247106" s="12" customFormat="1" x14ac:dyDescent="0.25"/>
    <row r="247107" s="12" customFormat="1" x14ac:dyDescent="0.25"/>
    <row r="247108" s="12" customFormat="1" x14ac:dyDescent="0.25"/>
    <row r="247109" s="12" customFormat="1" x14ac:dyDescent="0.25"/>
    <row r="247110" s="12" customFormat="1" x14ac:dyDescent="0.25"/>
    <row r="247111" s="12" customFormat="1" x14ac:dyDescent="0.25"/>
    <row r="247112" s="12" customFormat="1" x14ac:dyDescent="0.25"/>
    <row r="247113" s="12" customFormat="1" x14ac:dyDescent="0.25"/>
    <row r="247114" s="12" customFormat="1" x14ac:dyDescent="0.25"/>
    <row r="247115" s="12" customFormat="1" x14ac:dyDescent="0.25"/>
    <row r="247116" s="12" customFormat="1" x14ac:dyDescent="0.25"/>
    <row r="247117" s="12" customFormat="1" x14ac:dyDescent="0.25"/>
    <row r="247118" s="12" customFormat="1" x14ac:dyDescent="0.25"/>
    <row r="247119" s="12" customFormat="1" x14ac:dyDescent="0.25"/>
    <row r="247120" s="12" customFormat="1" x14ac:dyDescent="0.25"/>
    <row r="247121" s="12" customFormat="1" x14ac:dyDescent="0.25"/>
    <row r="247122" s="12" customFormat="1" x14ac:dyDescent="0.25"/>
    <row r="247123" s="12" customFormat="1" x14ac:dyDescent="0.25"/>
    <row r="247124" s="12" customFormat="1" x14ac:dyDescent="0.25"/>
    <row r="247125" s="12" customFormat="1" x14ac:dyDescent="0.25"/>
    <row r="247126" s="12" customFormat="1" x14ac:dyDescent="0.25"/>
    <row r="247127" s="12" customFormat="1" x14ac:dyDescent="0.25"/>
    <row r="247128" s="12" customFormat="1" x14ac:dyDescent="0.25"/>
    <row r="247129" s="12" customFormat="1" x14ac:dyDescent="0.25"/>
    <row r="247130" s="12" customFormat="1" x14ac:dyDescent="0.25"/>
    <row r="247131" s="12" customFormat="1" x14ac:dyDescent="0.25"/>
    <row r="247132" s="12" customFormat="1" x14ac:dyDescent="0.25"/>
    <row r="247133" s="12" customFormat="1" x14ac:dyDescent="0.25"/>
    <row r="247134" s="12" customFormat="1" x14ac:dyDescent="0.25"/>
    <row r="247135" s="12" customFormat="1" x14ac:dyDescent="0.25"/>
    <row r="247136" s="12" customFormat="1" x14ac:dyDescent="0.25"/>
    <row r="247137" s="12" customFormat="1" x14ac:dyDescent="0.25"/>
    <row r="247138" s="12" customFormat="1" x14ac:dyDescent="0.25"/>
    <row r="247139" s="12" customFormat="1" x14ac:dyDescent="0.25"/>
    <row r="247140" s="12" customFormat="1" x14ac:dyDescent="0.25"/>
    <row r="247141" s="12" customFormat="1" x14ac:dyDescent="0.25"/>
    <row r="247142" s="12" customFormat="1" x14ac:dyDescent="0.25"/>
    <row r="247143" s="12" customFormat="1" x14ac:dyDescent="0.25"/>
    <row r="247144" s="12" customFormat="1" x14ac:dyDescent="0.25"/>
    <row r="247145" s="12" customFormat="1" x14ac:dyDescent="0.25"/>
    <row r="247146" s="12" customFormat="1" x14ac:dyDescent="0.25"/>
    <row r="247147" s="12" customFormat="1" x14ac:dyDescent="0.25"/>
    <row r="247148" s="12" customFormat="1" x14ac:dyDescent="0.25"/>
    <row r="247149" s="12" customFormat="1" x14ac:dyDescent="0.25"/>
    <row r="247150" s="12" customFormat="1" x14ac:dyDescent="0.25"/>
    <row r="247151" s="12" customFormat="1" x14ac:dyDescent="0.25"/>
    <row r="247152" s="12" customFormat="1" x14ac:dyDescent="0.25"/>
    <row r="247153" s="12" customFormat="1" x14ac:dyDescent="0.25"/>
    <row r="247154" s="12" customFormat="1" x14ac:dyDescent="0.25"/>
    <row r="247155" s="12" customFormat="1" x14ac:dyDescent="0.25"/>
    <row r="247156" s="12" customFormat="1" x14ac:dyDescent="0.25"/>
    <row r="247157" s="12" customFormat="1" x14ac:dyDescent="0.25"/>
    <row r="247158" s="12" customFormat="1" x14ac:dyDescent="0.25"/>
    <row r="247159" s="12" customFormat="1" x14ac:dyDescent="0.25"/>
    <row r="247160" s="12" customFormat="1" x14ac:dyDescent="0.25"/>
    <row r="247161" s="12" customFormat="1" x14ac:dyDescent="0.25"/>
    <row r="247162" s="12" customFormat="1" x14ac:dyDescent="0.25"/>
    <row r="247163" s="12" customFormat="1" x14ac:dyDescent="0.25"/>
    <row r="247164" s="12" customFormat="1" x14ac:dyDescent="0.25"/>
    <row r="247165" s="12" customFormat="1" x14ac:dyDescent="0.25"/>
    <row r="247166" s="12" customFormat="1" x14ac:dyDescent="0.25"/>
    <row r="247167" s="12" customFormat="1" x14ac:dyDescent="0.25"/>
    <row r="247168" s="12" customFormat="1" x14ac:dyDescent="0.25"/>
    <row r="247169" s="12" customFormat="1" x14ac:dyDescent="0.25"/>
    <row r="247170" s="12" customFormat="1" x14ac:dyDescent="0.25"/>
    <row r="247171" s="12" customFormat="1" x14ac:dyDescent="0.25"/>
    <row r="247172" s="12" customFormat="1" x14ac:dyDescent="0.25"/>
    <row r="247173" s="12" customFormat="1" x14ac:dyDescent="0.25"/>
    <row r="247174" s="12" customFormat="1" x14ac:dyDescent="0.25"/>
    <row r="247175" s="12" customFormat="1" x14ac:dyDescent="0.25"/>
    <row r="247176" s="12" customFormat="1" x14ac:dyDescent="0.25"/>
    <row r="247177" s="12" customFormat="1" x14ac:dyDescent="0.25"/>
    <row r="247178" s="12" customFormat="1" x14ac:dyDescent="0.25"/>
    <row r="247179" s="12" customFormat="1" x14ac:dyDescent="0.25"/>
    <row r="247180" s="12" customFormat="1" x14ac:dyDescent="0.25"/>
    <row r="247181" s="12" customFormat="1" x14ac:dyDescent="0.25"/>
    <row r="247182" s="12" customFormat="1" x14ac:dyDescent="0.25"/>
    <row r="247183" s="12" customFormat="1" x14ac:dyDescent="0.25"/>
    <row r="247184" s="12" customFormat="1" x14ac:dyDescent="0.25"/>
    <row r="247185" s="12" customFormat="1" x14ac:dyDescent="0.25"/>
    <row r="247186" s="12" customFormat="1" x14ac:dyDescent="0.25"/>
    <row r="247187" s="12" customFormat="1" x14ac:dyDescent="0.25"/>
    <row r="247188" s="12" customFormat="1" x14ac:dyDescent="0.25"/>
    <row r="247189" s="12" customFormat="1" x14ac:dyDescent="0.25"/>
    <row r="247190" s="12" customFormat="1" x14ac:dyDescent="0.25"/>
    <row r="247191" s="12" customFormat="1" x14ac:dyDescent="0.25"/>
    <row r="247192" s="12" customFormat="1" x14ac:dyDescent="0.25"/>
    <row r="247193" s="12" customFormat="1" x14ac:dyDescent="0.25"/>
    <row r="247194" s="12" customFormat="1" x14ac:dyDescent="0.25"/>
    <row r="247195" s="12" customFormat="1" x14ac:dyDescent="0.25"/>
    <row r="247196" s="12" customFormat="1" x14ac:dyDescent="0.25"/>
    <row r="247197" s="12" customFormat="1" x14ac:dyDescent="0.25"/>
    <row r="247198" s="12" customFormat="1" x14ac:dyDescent="0.25"/>
    <row r="247199" s="12" customFormat="1" x14ac:dyDescent="0.25"/>
    <row r="247200" s="12" customFormat="1" x14ac:dyDescent="0.25"/>
    <row r="247201" s="12" customFormat="1" x14ac:dyDescent="0.25"/>
    <row r="247202" s="12" customFormat="1" x14ac:dyDescent="0.25"/>
    <row r="247203" s="12" customFormat="1" x14ac:dyDescent="0.25"/>
    <row r="247204" s="12" customFormat="1" x14ac:dyDescent="0.25"/>
    <row r="247205" s="12" customFormat="1" x14ac:dyDescent="0.25"/>
    <row r="247206" s="12" customFormat="1" x14ac:dyDescent="0.25"/>
    <row r="247207" s="12" customFormat="1" x14ac:dyDescent="0.25"/>
    <row r="247208" s="12" customFormat="1" x14ac:dyDescent="0.25"/>
    <row r="247209" s="12" customFormat="1" x14ac:dyDescent="0.25"/>
    <row r="247210" s="12" customFormat="1" x14ac:dyDescent="0.25"/>
    <row r="247211" s="12" customFormat="1" x14ac:dyDescent="0.25"/>
    <row r="247212" s="12" customFormat="1" x14ac:dyDescent="0.25"/>
    <row r="247213" s="12" customFormat="1" x14ac:dyDescent="0.25"/>
    <row r="247214" s="12" customFormat="1" x14ac:dyDescent="0.25"/>
    <row r="247215" s="12" customFormat="1" x14ac:dyDescent="0.25"/>
    <row r="247216" s="12" customFormat="1" x14ac:dyDescent="0.25"/>
    <row r="247217" s="12" customFormat="1" x14ac:dyDescent="0.25"/>
    <row r="247218" s="12" customFormat="1" x14ac:dyDescent="0.25"/>
    <row r="247219" s="12" customFormat="1" x14ac:dyDescent="0.25"/>
    <row r="247220" s="12" customFormat="1" x14ac:dyDescent="0.25"/>
    <row r="247221" s="12" customFormat="1" x14ac:dyDescent="0.25"/>
    <row r="247222" s="12" customFormat="1" x14ac:dyDescent="0.25"/>
    <row r="247223" s="12" customFormat="1" x14ac:dyDescent="0.25"/>
    <row r="247224" s="12" customFormat="1" x14ac:dyDescent="0.25"/>
    <row r="247225" s="12" customFormat="1" x14ac:dyDescent="0.25"/>
    <row r="247226" s="12" customFormat="1" x14ac:dyDescent="0.25"/>
    <row r="247227" s="12" customFormat="1" x14ac:dyDescent="0.25"/>
    <row r="247228" s="12" customFormat="1" x14ac:dyDescent="0.25"/>
    <row r="247229" s="12" customFormat="1" x14ac:dyDescent="0.25"/>
    <row r="247230" s="12" customFormat="1" x14ac:dyDescent="0.25"/>
    <row r="247231" s="12" customFormat="1" x14ac:dyDescent="0.25"/>
    <row r="247232" s="12" customFormat="1" x14ac:dyDescent="0.25"/>
    <row r="247233" s="12" customFormat="1" x14ac:dyDescent="0.25"/>
    <row r="247234" s="12" customFormat="1" x14ac:dyDescent="0.25"/>
    <row r="247235" s="12" customFormat="1" x14ac:dyDescent="0.25"/>
    <row r="247236" s="12" customFormat="1" x14ac:dyDescent="0.25"/>
    <row r="247237" s="12" customFormat="1" x14ac:dyDescent="0.25"/>
    <row r="247238" s="12" customFormat="1" x14ac:dyDescent="0.25"/>
    <row r="247239" s="12" customFormat="1" x14ac:dyDescent="0.25"/>
    <row r="247240" s="12" customFormat="1" x14ac:dyDescent="0.25"/>
    <row r="247241" s="12" customFormat="1" x14ac:dyDescent="0.25"/>
    <row r="247242" s="12" customFormat="1" x14ac:dyDescent="0.25"/>
    <row r="247243" s="12" customFormat="1" x14ac:dyDescent="0.25"/>
    <row r="247244" s="12" customFormat="1" x14ac:dyDescent="0.25"/>
    <row r="247245" s="12" customFormat="1" x14ac:dyDescent="0.25"/>
    <row r="247246" s="12" customFormat="1" x14ac:dyDescent="0.25"/>
    <row r="247247" s="12" customFormat="1" x14ac:dyDescent="0.25"/>
    <row r="247248" s="12" customFormat="1" x14ac:dyDescent="0.25"/>
    <row r="247249" s="12" customFormat="1" x14ac:dyDescent="0.25"/>
    <row r="247250" s="12" customFormat="1" x14ac:dyDescent="0.25"/>
    <row r="247251" s="12" customFormat="1" x14ac:dyDescent="0.25"/>
    <row r="247252" s="12" customFormat="1" x14ac:dyDescent="0.25"/>
    <row r="247253" s="12" customFormat="1" x14ac:dyDescent="0.25"/>
    <row r="247254" s="12" customFormat="1" x14ac:dyDescent="0.25"/>
    <row r="247255" s="12" customFormat="1" x14ac:dyDescent="0.25"/>
    <row r="247256" s="12" customFormat="1" x14ac:dyDescent="0.25"/>
    <row r="247257" s="12" customFormat="1" x14ac:dyDescent="0.25"/>
    <row r="247258" s="12" customFormat="1" x14ac:dyDescent="0.25"/>
    <row r="247259" s="12" customFormat="1" x14ac:dyDescent="0.25"/>
    <row r="247260" s="12" customFormat="1" x14ac:dyDescent="0.25"/>
    <row r="247261" s="12" customFormat="1" x14ac:dyDescent="0.25"/>
    <row r="247262" s="12" customFormat="1" x14ac:dyDescent="0.25"/>
    <row r="247263" s="12" customFormat="1" x14ac:dyDescent="0.25"/>
    <row r="247264" s="12" customFormat="1" x14ac:dyDescent="0.25"/>
    <row r="247265" s="12" customFormat="1" x14ac:dyDescent="0.25"/>
    <row r="247266" s="12" customFormat="1" x14ac:dyDescent="0.25"/>
    <row r="247267" s="12" customFormat="1" x14ac:dyDescent="0.25"/>
    <row r="247268" s="12" customFormat="1" x14ac:dyDescent="0.25"/>
    <row r="247269" s="12" customFormat="1" x14ac:dyDescent="0.25"/>
    <row r="247270" s="12" customFormat="1" x14ac:dyDescent="0.25"/>
    <row r="247271" s="12" customFormat="1" x14ac:dyDescent="0.25"/>
    <row r="247272" s="12" customFormat="1" x14ac:dyDescent="0.25"/>
    <row r="247273" s="12" customFormat="1" x14ac:dyDescent="0.25"/>
    <row r="247274" s="12" customFormat="1" x14ac:dyDescent="0.25"/>
    <row r="247275" s="12" customFormat="1" x14ac:dyDescent="0.25"/>
    <row r="247276" s="12" customFormat="1" x14ac:dyDescent="0.25"/>
    <row r="247277" s="12" customFormat="1" x14ac:dyDescent="0.25"/>
    <row r="247278" s="12" customFormat="1" x14ac:dyDescent="0.25"/>
    <row r="247279" s="12" customFormat="1" x14ac:dyDescent="0.25"/>
    <row r="247280" s="12" customFormat="1" x14ac:dyDescent="0.25"/>
    <row r="247281" s="12" customFormat="1" x14ac:dyDescent="0.25"/>
    <row r="247282" s="12" customFormat="1" x14ac:dyDescent="0.25"/>
    <row r="247283" s="12" customFormat="1" x14ac:dyDescent="0.25"/>
    <row r="247284" s="12" customFormat="1" x14ac:dyDescent="0.25"/>
    <row r="247285" s="12" customFormat="1" x14ac:dyDescent="0.25"/>
    <row r="247286" s="12" customFormat="1" x14ac:dyDescent="0.25"/>
    <row r="247287" s="12" customFormat="1" x14ac:dyDescent="0.25"/>
    <row r="247288" s="12" customFormat="1" x14ac:dyDescent="0.25"/>
    <row r="247289" s="12" customFormat="1" x14ac:dyDescent="0.25"/>
    <row r="247290" s="12" customFormat="1" x14ac:dyDescent="0.25"/>
    <row r="247291" s="12" customFormat="1" x14ac:dyDescent="0.25"/>
    <row r="247292" s="12" customFormat="1" x14ac:dyDescent="0.25"/>
    <row r="247293" s="12" customFormat="1" x14ac:dyDescent="0.25"/>
    <row r="247294" s="12" customFormat="1" x14ac:dyDescent="0.25"/>
    <row r="247295" s="12" customFormat="1" x14ac:dyDescent="0.25"/>
    <row r="247296" s="12" customFormat="1" x14ac:dyDescent="0.25"/>
    <row r="247297" s="12" customFormat="1" x14ac:dyDescent="0.25"/>
    <row r="247298" s="12" customFormat="1" x14ac:dyDescent="0.25"/>
    <row r="247299" s="12" customFormat="1" x14ac:dyDescent="0.25"/>
    <row r="247300" s="12" customFormat="1" x14ac:dyDescent="0.25"/>
    <row r="247301" s="12" customFormat="1" x14ac:dyDescent="0.25"/>
    <row r="247302" s="12" customFormat="1" x14ac:dyDescent="0.25"/>
    <row r="247303" s="12" customFormat="1" x14ac:dyDescent="0.25"/>
    <row r="247304" s="12" customFormat="1" x14ac:dyDescent="0.25"/>
    <row r="247305" s="12" customFormat="1" x14ac:dyDescent="0.25"/>
    <row r="247306" s="12" customFormat="1" x14ac:dyDescent="0.25"/>
    <row r="247307" s="12" customFormat="1" x14ac:dyDescent="0.25"/>
    <row r="247308" s="12" customFormat="1" x14ac:dyDescent="0.25"/>
    <row r="247309" s="12" customFormat="1" x14ac:dyDescent="0.25"/>
    <row r="247310" s="12" customFormat="1" x14ac:dyDescent="0.25"/>
    <row r="247311" s="12" customFormat="1" x14ac:dyDescent="0.25"/>
    <row r="247312" s="12" customFormat="1" x14ac:dyDescent="0.25"/>
    <row r="247313" s="12" customFormat="1" x14ac:dyDescent="0.25"/>
    <row r="247314" s="12" customFormat="1" x14ac:dyDescent="0.25"/>
    <row r="247315" s="12" customFormat="1" x14ac:dyDescent="0.25"/>
    <row r="247316" s="12" customFormat="1" x14ac:dyDescent="0.25"/>
    <row r="247317" s="12" customFormat="1" x14ac:dyDescent="0.25"/>
    <row r="247318" s="12" customFormat="1" x14ac:dyDescent="0.25"/>
    <row r="247319" s="12" customFormat="1" x14ac:dyDescent="0.25"/>
    <row r="247320" s="12" customFormat="1" x14ac:dyDescent="0.25"/>
    <row r="247321" s="12" customFormat="1" x14ac:dyDescent="0.25"/>
    <row r="247322" s="12" customFormat="1" x14ac:dyDescent="0.25"/>
    <row r="247323" s="12" customFormat="1" x14ac:dyDescent="0.25"/>
    <row r="247324" s="12" customFormat="1" x14ac:dyDescent="0.25"/>
    <row r="247325" s="12" customFormat="1" x14ac:dyDescent="0.25"/>
    <row r="247326" s="12" customFormat="1" x14ac:dyDescent="0.25"/>
    <row r="247327" s="12" customFormat="1" x14ac:dyDescent="0.25"/>
    <row r="247328" s="12" customFormat="1" x14ac:dyDescent="0.25"/>
    <row r="247329" s="12" customFormat="1" x14ac:dyDescent="0.25"/>
    <row r="247330" s="12" customFormat="1" x14ac:dyDescent="0.25"/>
    <row r="247331" s="12" customFormat="1" x14ac:dyDescent="0.25"/>
    <row r="247332" s="12" customFormat="1" x14ac:dyDescent="0.25"/>
    <row r="247333" s="12" customFormat="1" x14ac:dyDescent="0.25"/>
    <row r="247334" s="12" customFormat="1" x14ac:dyDescent="0.25"/>
    <row r="247335" s="12" customFormat="1" x14ac:dyDescent="0.25"/>
    <row r="247336" s="12" customFormat="1" x14ac:dyDescent="0.25"/>
    <row r="247337" s="12" customFormat="1" x14ac:dyDescent="0.25"/>
    <row r="247338" s="12" customFormat="1" x14ac:dyDescent="0.25"/>
    <row r="247339" s="12" customFormat="1" x14ac:dyDescent="0.25"/>
    <row r="247340" s="12" customFormat="1" x14ac:dyDescent="0.25"/>
    <row r="247341" s="12" customFormat="1" x14ac:dyDescent="0.25"/>
    <row r="247342" s="12" customFormat="1" x14ac:dyDescent="0.25"/>
    <row r="247343" s="12" customFormat="1" x14ac:dyDescent="0.25"/>
    <row r="247344" s="12" customFormat="1" x14ac:dyDescent="0.25"/>
    <row r="247345" s="12" customFormat="1" x14ac:dyDescent="0.25"/>
    <row r="247346" s="12" customFormat="1" x14ac:dyDescent="0.25"/>
    <row r="247347" s="12" customFormat="1" x14ac:dyDescent="0.25"/>
    <row r="247348" s="12" customFormat="1" x14ac:dyDescent="0.25"/>
    <row r="247349" s="12" customFormat="1" x14ac:dyDescent="0.25"/>
    <row r="247350" s="12" customFormat="1" x14ac:dyDescent="0.25"/>
    <row r="247351" s="12" customFormat="1" x14ac:dyDescent="0.25"/>
    <row r="247352" s="12" customFormat="1" x14ac:dyDescent="0.25"/>
    <row r="247353" s="12" customFormat="1" x14ac:dyDescent="0.25"/>
    <row r="247354" s="12" customFormat="1" x14ac:dyDescent="0.25"/>
    <row r="247355" s="12" customFormat="1" x14ac:dyDescent="0.25"/>
    <row r="247356" s="12" customFormat="1" x14ac:dyDescent="0.25"/>
    <row r="247357" s="12" customFormat="1" x14ac:dyDescent="0.25"/>
    <row r="247358" s="12" customFormat="1" x14ac:dyDescent="0.25"/>
    <row r="247359" s="12" customFormat="1" x14ac:dyDescent="0.25"/>
    <row r="247360" s="12" customFormat="1" x14ac:dyDescent="0.25"/>
    <row r="247361" s="12" customFormat="1" x14ac:dyDescent="0.25"/>
    <row r="247362" s="12" customFormat="1" x14ac:dyDescent="0.25"/>
    <row r="247363" s="12" customFormat="1" x14ac:dyDescent="0.25"/>
    <row r="247364" s="12" customFormat="1" x14ac:dyDescent="0.25"/>
    <row r="247365" s="12" customFormat="1" x14ac:dyDescent="0.25"/>
    <row r="247366" s="12" customFormat="1" x14ac:dyDescent="0.25"/>
    <row r="247367" s="12" customFormat="1" x14ac:dyDescent="0.25"/>
    <row r="247368" s="12" customFormat="1" x14ac:dyDescent="0.25"/>
    <row r="247369" s="12" customFormat="1" x14ac:dyDescent="0.25"/>
    <row r="247370" s="12" customFormat="1" x14ac:dyDescent="0.25"/>
    <row r="247371" s="12" customFormat="1" x14ac:dyDescent="0.25"/>
    <row r="247372" s="12" customFormat="1" x14ac:dyDescent="0.25"/>
    <row r="247373" s="12" customFormat="1" x14ac:dyDescent="0.25"/>
    <row r="247374" s="12" customFormat="1" x14ac:dyDescent="0.25"/>
    <row r="247375" s="12" customFormat="1" x14ac:dyDescent="0.25"/>
    <row r="247376" s="12" customFormat="1" x14ac:dyDescent="0.25"/>
    <row r="247377" s="12" customFormat="1" x14ac:dyDescent="0.25"/>
    <row r="247378" s="12" customFormat="1" x14ac:dyDescent="0.25"/>
    <row r="247379" s="12" customFormat="1" x14ac:dyDescent="0.25"/>
    <row r="247380" s="12" customFormat="1" x14ac:dyDescent="0.25"/>
    <row r="247381" s="12" customFormat="1" x14ac:dyDescent="0.25"/>
    <row r="247382" s="12" customFormat="1" x14ac:dyDescent="0.25"/>
    <row r="247383" s="12" customFormat="1" x14ac:dyDescent="0.25"/>
    <row r="247384" s="12" customFormat="1" x14ac:dyDescent="0.25"/>
    <row r="247385" s="12" customFormat="1" x14ac:dyDescent="0.25"/>
    <row r="247386" s="12" customFormat="1" x14ac:dyDescent="0.25"/>
    <row r="247387" s="12" customFormat="1" x14ac:dyDescent="0.25"/>
    <row r="247388" s="12" customFormat="1" x14ac:dyDescent="0.25"/>
    <row r="247389" s="12" customFormat="1" x14ac:dyDescent="0.25"/>
    <row r="247390" s="12" customFormat="1" x14ac:dyDescent="0.25"/>
    <row r="247391" s="12" customFormat="1" x14ac:dyDescent="0.25"/>
    <row r="247392" s="12" customFormat="1" x14ac:dyDescent="0.25"/>
    <row r="247393" s="12" customFormat="1" x14ac:dyDescent="0.25"/>
    <row r="247394" s="12" customFormat="1" x14ac:dyDescent="0.25"/>
    <row r="247395" s="12" customFormat="1" x14ac:dyDescent="0.25"/>
    <row r="247396" s="12" customFormat="1" x14ac:dyDescent="0.25"/>
    <row r="247397" s="12" customFormat="1" x14ac:dyDescent="0.25"/>
    <row r="247398" s="12" customFormat="1" x14ac:dyDescent="0.25"/>
    <row r="247399" s="12" customFormat="1" x14ac:dyDescent="0.25"/>
    <row r="247400" s="12" customFormat="1" x14ac:dyDescent="0.25"/>
    <row r="247401" s="12" customFormat="1" x14ac:dyDescent="0.25"/>
    <row r="247402" s="12" customFormat="1" x14ac:dyDescent="0.25"/>
    <row r="247403" s="12" customFormat="1" x14ac:dyDescent="0.25"/>
    <row r="247404" s="12" customFormat="1" x14ac:dyDescent="0.25"/>
    <row r="247405" s="12" customFormat="1" x14ac:dyDescent="0.25"/>
    <row r="247406" s="12" customFormat="1" x14ac:dyDescent="0.25"/>
    <row r="247407" s="12" customFormat="1" x14ac:dyDescent="0.25"/>
    <row r="247408" s="12" customFormat="1" x14ac:dyDescent="0.25"/>
    <row r="247409" s="12" customFormat="1" x14ac:dyDescent="0.25"/>
    <row r="247410" s="12" customFormat="1" x14ac:dyDescent="0.25"/>
    <row r="247411" s="12" customFormat="1" x14ac:dyDescent="0.25"/>
    <row r="247412" s="12" customFormat="1" x14ac:dyDescent="0.25"/>
    <row r="247413" s="12" customFormat="1" x14ac:dyDescent="0.25"/>
    <row r="247414" s="12" customFormat="1" x14ac:dyDescent="0.25"/>
    <row r="247415" s="12" customFormat="1" x14ac:dyDescent="0.25"/>
    <row r="247416" s="12" customFormat="1" x14ac:dyDescent="0.25"/>
    <row r="247417" s="12" customFormat="1" x14ac:dyDescent="0.25"/>
    <row r="247418" s="12" customFormat="1" x14ac:dyDescent="0.25"/>
    <row r="247419" s="12" customFormat="1" x14ac:dyDescent="0.25"/>
    <row r="247420" s="12" customFormat="1" x14ac:dyDescent="0.25"/>
    <row r="247421" s="12" customFormat="1" x14ac:dyDescent="0.25"/>
    <row r="247422" s="12" customFormat="1" x14ac:dyDescent="0.25"/>
    <row r="247423" s="12" customFormat="1" x14ac:dyDescent="0.25"/>
    <row r="247424" s="12" customFormat="1" x14ac:dyDescent="0.25"/>
    <row r="247425" s="12" customFormat="1" x14ac:dyDescent="0.25"/>
    <row r="247426" s="12" customFormat="1" x14ac:dyDescent="0.25"/>
    <row r="247427" s="12" customFormat="1" x14ac:dyDescent="0.25"/>
    <row r="247428" s="12" customFormat="1" x14ac:dyDescent="0.25"/>
    <row r="247429" s="12" customFormat="1" x14ac:dyDescent="0.25"/>
    <row r="247430" s="12" customFormat="1" x14ac:dyDescent="0.25"/>
    <row r="247431" s="12" customFormat="1" x14ac:dyDescent="0.25"/>
    <row r="247432" s="12" customFormat="1" x14ac:dyDescent="0.25"/>
    <row r="247433" s="12" customFormat="1" x14ac:dyDescent="0.25"/>
    <row r="247434" s="12" customFormat="1" x14ac:dyDescent="0.25"/>
    <row r="247435" s="12" customFormat="1" x14ac:dyDescent="0.25"/>
    <row r="247436" s="12" customFormat="1" x14ac:dyDescent="0.25"/>
    <row r="247437" s="12" customFormat="1" x14ac:dyDescent="0.25"/>
    <row r="247438" s="12" customFormat="1" x14ac:dyDescent="0.25"/>
    <row r="247439" s="12" customFormat="1" x14ac:dyDescent="0.25"/>
    <row r="247440" s="12" customFormat="1" x14ac:dyDescent="0.25"/>
    <row r="247441" s="12" customFormat="1" x14ac:dyDescent="0.25"/>
    <row r="247442" s="12" customFormat="1" x14ac:dyDescent="0.25"/>
    <row r="247443" s="12" customFormat="1" x14ac:dyDescent="0.25"/>
    <row r="247444" s="12" customFormat="1" x14ac:dyDescent="0.25"/>
    <row r="247445" s="12" customFormat="1" x14ac:dyDescent="0.25"/>
    <row r="247446" s="12" customFormat="1" x14ac:dyDescent="0.25"/>
    <row r="247447" s="12" customFormat="1" x14ac:dyDescent="0.25"/>
    <row r="247448" s="12" customFormat="1" x14ac:dyDescent="0.25"/>
    <row r="247449" s="12" customFormat="1" x14ac:dyDescent="0.25"/>
    <row r="247450" s="12" customFormat="1" x14ac:dyDescent="0.25"/>
    <row r="247451" s="12" customFormat="1" x14ac:dyDescent="0.25"/>
    <row r="247452" s="12" customFormat="1" x14ac:dyDescent="0.25"/>
    <row r="247453" s="12" customFormat="1" x14ac:dyDescent="0.25"/>
    <row r="247454" s="12" customFormat="1" x14ac:dyDescent="0.25"/>
    <row r="247455" s="12" customFormat="1" x14ac:dyDescent="0.25"/>
    <row r="247456" s="12" customFormat="1" x14ac:dyDescent="0.25"/>
    <row r="247457" s="12" customFormat="1" x14ac:dyDescent="0.25"/>
    <row r="247458" s="12" customFormat="1" x14ac:dyDescent="0.25"/>
    <row r="247459" s="12" customFormat="1" x14ac:dyDescent="0.25"/>
    <row r="247460" s="12" customFormat="1" x14ac:dyDescent="0.25"/>
    <row r="247461" s="12" customFormat="1" x14ac:dyDescent="0.25"/>
    <row r="247462" s="12" customFormat="1" x14ac:dyDescent="0.25"/>
    <row r="247463" s="12" customFormat="1" x14ac:dyDescent="0.25"/>
    <row r="247464" s="12" customFormat="1" x14ac:dyDescent="0.25"/>
    <row r="247465" s="12" customFormat="1" x14ac:dyDescent="0.25"/>
    <row r="247466" s="12" customFormat="1" x14ac:dyDescent="0.25"/>
    <row r="247467" s="12" customFormat="1" x14ac:dyDescent="0.25"/>
    <row r="247468" s="12" customFormat="1" x14ac:dyDescent="0.25"/>
    <row r="247469" s="12" customFormat="1" x14ac:dyDescent="0.25"/>
    <row r="247470" s="12" customFormat="1" x14ac:dyDescent="0.25"/>
    <row r="247471" s="12" customFormat="1" x14ac:dyDescent="0.25"/>
    <row r="247472" s="12" customFormat="1" x14ac:dyDescent="0.25"/>
    <row r="247473" s="12" customFormat="1" x14ac:dyDescent="0.25"/>
    <row r="247474" s="12" customFormat="1" x14ac:dyDescent="0.25"/>
    <row r="247475" s="12" customFormat="1" x14ac:dyDescent="0.25"/>
    <row r="247476" s="12" customFormat="1" x14ac:dyDescent="0.25"/>
    <row r="247477" s="12" customFormat="1" x14ac:dyDescent="0.25"/>
    <row r="247478" s="12" customFormat="1" x14ac:dyDescent="0.25"/>
    <row r="247479" s="12" customFormat="1" x14ac:dyDescent="0.25"/>
    <row r="247480" s="12" customFormat="1" x14ac:dyDescent="0.25"/>
    <row r="247481" s="12" customFormat="1" x14ac:dyDescent="0.25"/>
    <row r="247482" s="12" customFormat="1" x14ac:dyDescent="0.25"/>
    <row r="247483" s="12" customFormat="1" x14ac:dyDescent="0.25"/>
    <row r="247484" s="12" customFormat="1" x14ac:dyDescent="0.25"/>
    <row r="247485" s="12" customFormat="1" x14ac:dyDescent="0.25"/>
    <row r="247486" s="12" customFormat="1" x14ac:dyDescent="0.25"/>
    <row r="247487" s="12" customFormat="1" x14ac:dyDescent="0.25"/>
    <row r="247488" s="12" customFormat="1" x14ac:dyDescent="0.25"/>
    <row r="247489" s="12" customFormat="1" x14ac:dyDescent="0.25"/>
    <row r="247490" s="12" customFormat="1" x14ac:dyDescent="0.25"/>
    <row r="247491" s="12" customFormat="1" x14ac:dyDescent="0.25"/>
    <row r="247492" s="12" customFormat="1" x14ac:dyDescent="0.25"/>
    <row r="247493" s="12" customFormat="1" x14ac:dyDescent="0.25"/>
    <row r="247494" s="12" customFormat="1" x14ac:dyDescent="0.25"/>
    <row r="247495" s="12" customFormat="1" x14ac:dyDescent="0.25"/>
    <row r="247496" s="12" customFormat="1" x14ac:dyDescent="0.25"/>
    <row r="247497" s="12" customFormat="1" x14ac:dyDescent="0.25"/>
    <row r="247498" s="12" customFormat="1" x14ac:dyDescent="0.25"/>
    <row r="247499" s="12" customFormat="1" x14ac:dyDescent="0.25"/>
    <row r="247500" s="12" customFormat="1" x14ac:dyDescent="0.25"/>
    <row r="247501" s="12" customFormat="1" x14ac:dyDescent="0.25"/>
    <row r="247502" s="12" customFormat="1" x14ac:dyDescent="0.25"/>
    <row r="247503" s="12" customFormat="1" x14ac:dyDescent="0.25"/>
    <row r="247504" s="12" customFormat="1" x14ac:dyDescent="0.25"/>
    <row r="247505" s="12" customFormat="1" x14ac:dyDescent="0.25"/>
    <row r="247506" s="12" customFormat="1" x14ac:dyDescent="0.25"/>
    <row r="247507" s="12" customFormat="1" x14ac:dyDescent="0.25"/>
    <row r="247508" s="12" customFormat="1" x14ac:dyDescent="0.25"/>
    <row r="247509" s="12" customFormat="1" x14ac:dyDescent="0.25"/>
    <row r="247510" s="12" customFormat="1" x14ac:dyDescent="0.25"/>
    <row r="247511" s="12" customFormat="1" x14ac:dyDescent="0.25"/>
    <row r="247512" s="12" customFormat="1" x14ac:dyDescent="0.25"/>
    <row r="247513" s="12" customFormat="1" x14ac:dyDescent="0.25"/>
    <row r="247514" s="12" customFormat="1" x14ac:dyDescent="0.25"/>
    <row r="247515" s="12" customFormat="1" x14ac:dyDescent="0.25"/>
    <row r="247516" s="12" customFormat="1" x14ac:dyDescent="0.25"/>
    <row r="247517" s="12" customFormat="1" x14ac:dyDescent="0.25"/>
    <row r="247518" s="12" customFormat="1" x14ac:dyDescent="0.25"/>
    <row r="247519" s="12" customFormat="1" x14ac:dyDescent="0.25"/>
    <row r="247520" s="12" customFormat="1" x14ac:dyDescent="0.25"/>
    <row r="247521" s="12" customFormat="1" x14ac:dyDescent="0.25"/>
    <row r="247522" s="12" customFormat="1" x14ac:dyDescent="0.25"/>
    <row r="247523" s="12" customFormat="1" x14ac:dyDescent="0.25"/>
    <row r="247524" s="12" customFormat="1" x14ac:dyDescent="0.25"/>
    <row r="247525" s="12" customFormat="1" x14ac:dyDescent="0.25"/>
    <row r="247526" s="12" customFormat="1" x14ac:dyDescent="0.25"/>
    <row r="247527" s="12" customFormat="1" x14ac:dyDescent="0.25"/>
    <row r="247528" s="12" customFormat="1" x14ac:dyDescent="0.25"/>
    <row r="247529" s="12" customFormat="1" x14ac:dyDescent="0.25"/>
    <row r="247530" s="12" customFormat="1" x14ac:dyDescent="0.25"/>
    <row r="247531" s="12" customFormat="1" x14ac:dyDescent="0.25"/>
    <row r="247532" s="12" customFormat="1" x14ac:dyDescent="0.25"/>
    <row r="247533" s="12" customFormat="1" x14ac:dyDescent="0.25"/>
    <row r="247534" s="12" customFormat="1" x14ac:dyDescent="0.25"/>
    <row r="247535" s="12" customFormat="1" x14ac:dyDescent="0.25"/>
    <row r="247536" s="12" customFormat="1" x14ac:dyDescent="0.25"/>
    <row r="247537" s="12" customFormat="1" x14ac:dyDescent="0.25"/>
    <row r="247538" s="12" customFormat="1" x14ac:dyDescent="0.25"/>
    <row r="247539" s="12" customFormat="1" x14ac:dyDescent="0.25"/>
    <row r="247540" s="12" customFormat="1" x14ac:dyDescent="0.25"/>
    <row r="247541" s="12" customFormat="1" x14ac:dyDescent="0.25"/>
    <row r="247542" s="12" customFormat="1" x14ac:dyDescent="0.25"/>
    <row r="247543" s="12" customFormat="1" x14ac:dyDescent="0.25"/>
    <row r="247544" s="12" customFormat="1" x14ac:dyDescent="0.25"/>
    <row r="247545" s="12" customFormat="1" x14ac:dyDescent="0.25"/>
    <row r="247546" s="12" customFormat="1" x14ac:dyDescent="0.25"/>
    <row r="247547" s="12" customFormat="1" x14ac:dyDescent="0.25"/>
    <row r="247548" s="12" customFormat="1" x14ac:dyDescent="0.25"/>
    <row r="247549" s="12" customFormat="1" x14ac:dyDescent="0.25"/>
    <row r="247550" s="12" customFormat="1" x14ac:dyDescent="0.25"/>
    <row r="247551" s="12" customFormat="1" x14ac:dyDescent="0.25"/>
    <row r="247552" s="12" customFormat="1" x14ac:dyDescent="0.25"/>
    <row r="247553" s="12" customFormat="1" x14ac:dyDescent="0.25"/>
    <row r="247554" s="12" customFormat="1" x14ac:dyDescent="0.25"/>
    <row r="247555" s="12" customFormat="1" x14ac:dyDescent="0.25"/>
    <row r="247556" s="12" customFormat="1" x14ac:dyDescent="0.25"/>
    <row r="247557" s="12" customFormat="1" x14ac:dyDescent="0.25"/>
    <row r="247558" s="12" customFormat="1" x14ac:dyDescent="0.25"/>
    <row r="247559" s="12" customFormat="1" x14ac:dyDescent="0.25"/>
    <row r="247560" s="12" customFormat="1" x14ac:dyDescent="0.25"/>
    <row r="247561" s="12" customFormat="1" x14ac:dyDescent="0.25"/>
    <row r="247562" s="12" customFormat="1" x14ac:dyDescent="0.25"/>
    <row r="247563" s="12" customFormat="1" x14ac:dyDescent="0.25"/>
    <row r="247564" s="12" customFormat="1" x14ac:dyDescent="0.25"/>
    <row r="247565" s="12" customFormat="1" x14ac:dyDescent="0.25"/>
    <row r="247566" s="12" customFormat="1" x14ac:dyDescent="0.25"/>
    <row r="247567" s="12" customFormat="1" x14ac:dyDescent="0.25"/>
    <row r="247568" s="12" customFormat="1" x14ac:dyDescent="0.25"/>
    <row r="247569" s="12" customFormat="1" x14ac:dyDescent="0.25"/>
    <row r="247570" s="12" customFormat="1" x14ac:dyDescent="0.25"/>
    <row r="247571" s="12" customFormat="1" x14ac:dyDescent="0.25"/>
    <row r="247572" s="12" customFormat="1" x14ac:dyDescent="0.25"/>
    <row r="247573" s="12" customFormat="1" x14ac:dyDescent="0.25"/>
    <row r="247574" s="12" customFormat="1" x14ac:dyDescent="0.25"/>
    <row r="247575" s="12" customFormat="1" x14ac:dyDescent="0.25"/>
    <row r="247576" s="12" customFormat="1" x14ac:dyDescent="0.25"/>
    <row r="247577" s="12" customFormat="1" x14ac:dyDescent="0.25"/>
    <row r="247578" s="12" customFormat="1" x14ac:dyDescent="0.25"/>
    <row r="247579" s="12" customFormat="1" x14ac:dyDescent="0.25"/>
    <row r="247580" s="12" customFormat="1" x14ac:dyDescent="0.25"/>
    <row r="247581" s="12" customFormat="1" x14ac:dyDescent="0.25"/>
    <row r="247582" s="12" customFormat="1" x14ac:dyDescent="0.25"/>
    <row r="247583" s="12" customFormat="1" x14ac:dyDescent="0.25"/>
    <row r="247584" s="12" customFormat="1" x14ac:dyDescent="0.25"/>
    <row r="247585" s="12" customFormat="1" x14ac:dyDescent="0.25"/>
    <row r="247586" s="12" customFormat="1" x14ac:dyDescent="0.25"/>
    <row r="247587" s="12" customFormat="1" x14ac:dyDescent="0.25"/>
    <row r="247588" s="12" customFormat="1" x14ac:dyDescent="0.25"/>
    <row r="247589" s="12" customFormat="1" x14ac:dyDescent="0.25"/>
    <row r="247590" s="12" customFormat="1" x14ac:dyDescent="0.25"/>
    <row r="247591" s="12" customFormat="1" x14ac:dyDescent="0.25"/>
    <row r="247592" s="12" customFormat="1" x14ac:dyDescent="0.25"/>
    <row r="247593" s="12" customFormat="1" x14ac:dyDescent="0.25"/>
    <row r="247594" s="12" customFormat="1" x14ac:dyDescent="0.25"/>
    <row r="247595" s="12" customFormat="1" x14ac:dyDescent="0.25"/>
    <row r="247596" s="12" customFormat="1" x14ac:dyDescent="0.25"/>
    <row r="247597" s="12" customFormat="1" x14ac:dyDescent="0.25"/>
    <row r="247598" s="12" customFormat="1" x14ac:dyDescent="0.25"/>
    <row r="247599" s="12" customFormat="1" x14ac:dyDescent="0.25"/>
    <row r="247600" s="12" customFormat="1" x14ac:dyDescent="0.25"/>
    <row r="247601" s="12" customFormat="1" x14ac:dyDescent="0.25"/>
    <row r="247602" s="12" customFormat="1" x14ac:dyDescent="0.25"/>
    <row r="247603" s="12" customFormat="1" x14ac:dyDescent="0.25"/>
    <row r="247604" s="12" customFormat="1" x14ac:dyDescent="0.25"/>
    <row r="247605" s="12" customFormat="1" x14ac:dyDescent="0.25"/>
    <row r="247606" s="12" customFormat="1" x14ac:dyDescent="0.25"/>
    <row r="247607" s="12" customFormat="1" x14ac:dyDescent="0.25"/>
    <row r="247608" s="12" customFormat="1" x14ac:dyDescent="0.25"/>
    <row r="247609" s="12" customFormat="1" x14ac:dyDescent="0.25"/>
    <row r="247610" s="12" customFormat="1" x14ac:dyDescent="0.25"/>
    <row r="247611" s="12" customFormat="1" x14ac:dyDescent="0.25"/>
    <row r="247612" s="12" customFormat="1" x14ac:dyDescent="0.25"/>
    <row r="247613" s="12" customFormat="1" x14ac:dyDescent="0.25"/>
    <row r="247614" s="12" customFormat="1" x14ac:dyDescent="0.25"/>
    <row r="247615" s="12" customFormat="1" x14ac:dyDescent="0.25"/>
    <row r="247616" s="12" customFormat="1" x14ac:dyDescent="0.25"/>
    <row r="247617" s="12" customFormat="1" x14ac:dyDescent="0.25"/>
    <row r="247618" s="12" customFormat="1" x14ac:dyDescent="0.25"/>
    <row r="247619" s="12" customFormat="1" x14ac:dyDescent="0.25"/>
    <row r="247620" s="12" customFormat="1" x14ac:dyDescent="0.25"/>
    <row r="247621" s="12" customFormat="1" x14ac:dyDescent="0.25"/>
    <row r="247622" s="12" customFormat="1" x14ac:dyDescent="0.25"/>
    <row r="247623" s="12" customFormat="1" x14ac:dyDescent="0.25"/>
    <row r="247624" s="12" customFormat="1" x14ac:dyDescent="0.25"/>
    <row r="247625" s="12" customFormat="1" x14ac:dyDescent="0.25"/>
    <row r="247626" s="12" customFormat="1" x14ac:dyDescent="0.25"/>
    <row r="247627" s="12" customFormat="1" x14ac:dyDescent="0.25"/>
    <row r="247628" s="12" customFormat="1" x14ac:dyDescent="0.25"/>
    <row r="247629" s="12" customFormat="1" x14ac:dyDescent="0.25"/>
    <row r="247630" s="12" customFormat="1" x14ac:dyDescent="0.25"/>
    <row r="247631" s="12" customFormat="1" x14ac:dyDescent="0.25"/>
    <row r="247632" s="12" customFormat="1" x14ac:dyDescent="0.25"/>
    <row r="247633" s="12" customFormat="1" x14ac:dyDescent="0.25"/>
    <row r="247634" s="12" customFormat="1" x14ac:dyDescent="0.25"/>
    <row r="247635" s="12" customFormat="1" x14ac:dyDescent="0.25"/>
    <row r="247636" s="12" customFormat="1" x14ac:dyDescent="0.25"/>
    <row r="247637" s="12" customFormat="1" x14ac:dyDescent="0.25"/>
    <row r="247638" s="12" customFormat="1" x14ac:dyDescent="0.25"/>
    <row r="247639" s="12" customFormat="1" x14ac:dyDescent="0.25"/>
    <row r="247640" s="12" customFormat="1" x14ac:dyDescent="0.25"/>
    <row r="247641" s="12" customFormat="1" x14ac:dyDescent="0.25"/>
    <row r="247642" s="12" customFormat="1" x14ac:dyDescent="0.25"/>
    <row r="247643" s="12" customFormat="1" x14ac:dyDescent="0.25"/>
    <row r="247644" s="12" customFormat="1" x14ac:dyDescent="0.25"/>
    <row r="247645" s="12" customFormat="1" x14ac:dyDescent="0.25"/>
    <row r="247646" s="12" customFormat="1" x14ac:dyDescent="0.25"/>
    <row r="247647" s="12" customFormat="1" x14ac:dyDescent="0.25"/>
    <row r="247648" s="12" customFormat="1" x14ac:dyDescent="0.25"/>
    <row r="247649" s="12" customFormat="1" x14ac:dyDescent="0.25"/>
    <row r="247650" s="12" customFormat="1" x14ac:dyDescent="0.25"/>
    <row r="247651" s="12" customFormat="1" x14ac:dyDescent="0.25"/>
    <row r="247652" s="12" customFormat="1" x14ac:dyDescent="0.25"/>
    <row r="247653" s="12" customFormat="1" x14ac:dyDescent="0.25"/>
    <row r="247654" s="12" customFormat="1" x14ac:dyDescent="0.25"/>
    <row r="247655" s="12" customFormat="1" x14ac:dyDescent="0.25"/>
    <row r="247656" s="12" customFormat="1" x14ac:dyDescent="0.25"/>
    <row r="247657" s="12" customFormat="1" x14ac:dyDescent="0.25"/>
    <row r="247658" s="12" customFormat="1" x14ac:dyDescent="0.25"/>
    <row r="247659" s="12" customFormat="1" x14ac:dyDescent="0.25"/>
    <row r="247660" s="12" customFormat="1" x14ac:dyDescent="0.25"/>
    <row r="247661" s="12" customFormat="1" x14ac:dyDescent="0.25"/>
    <row r="247662" s="12" customFormat="1" x14ac:dyDescent="0.25"/>
    <row r="247663" s="12" customFormat="1" x14ac:dyDescent="0.25"/>
    <row r="247664" s="12" customFormat="1" x14ac:dyDescent="0.25"/>
    <row r="247665" s="12" customFormat="1" x14ac:dyDescent="0.25"/>
    <row r="247666" s="12" customFormat="1" x14ac:dyDescent="0.25"/>
    <row r="247667" s="12" customFormat="1" x14ac:dyDescent="0.25"/>
    <row r="247668" s="12" customFormat="1" x14ac:dyDescent="0.25"/>
    <row r="247669" s="12" customFormat="1" x14ac:dyDescent="0.25"/>
    <row r="247670" s="12" customFormat="1" x14ac:dyDescent="0.25"/>
    <row r="247671" s="12" customFormat="1" x14ac:dyDescent="0.25"/>
    <row r="247672" s="12" customFormat="1" x14ac:dyDescent="0.25"/>
    <row r="247673" s="12" customFormat="1" x14ac:dyDescent="0.25"/>
    <row r="247674" s="12" customFormat="1" x14ac:dyDescent="0.25"/>
    <row r="247675" s="12" customFormat="1" x14ac:dyDescent="0.25"/>
    <row r="247676" s="12" customFormat="1" x14ac:dyDescent="0.25"/>
    <row r="247677" s="12" customFormat="1" x14ac:dyDescent="0.25"/>
    <row r="247678" s="12" customFormat="1" x14ac:dyDescent="0.25"/>
    <row r="247679" s="12" customFormat="1" x14ac:dyDescent="0.25"/>
    <row r="247680" s="12" customFormat="1" x14ac:dyDescent="0.25"/>
    <row r="247681" s="12" customFormat="1" x14ac:dyDescent="0.25"/>
    <row r="247682" s="12" customFormat="1" x14ac:dyDescent="0.25"/>
    <row r="247683" s="12" customFormat="1" x14ac:dyDescent="0.25"/>
    <row r="247684" s="12" customFormat="1" x14ac:dyDescent="0.25"/>
    <row r="247685" s="12" customFormat="1" x14ac:dyDescent="0.25"/>
    <row r="247686" s="12" customFormat="1" x14ac:dyDescent="0.25"/>
    <row r="247687" s="12" customFormat="1" x14ac:dyDescent="0.25"/>
    <row r="247688" s="12" customFormat="1" x14ac:dyDescent="0.25"/>
    <row r="247689" s="12" customFormat="1" x14ac:dyDescent="0.25"/>
    <row r="247690" s="12" customFormat="1" x14ac:dyDescent="0.25"/>
    <row r="247691" s="12" customFormat="1" x14ac:dyDescent="0.25"/>
    <row r="247692" s="12" customFormat="1" x14ac:dyDescent="0.25"/>
    <row r="247693" s="12" customFormat="1" x14ac:dyDescent="0.25"/>
    <row r="247694" s="12" customFormat="1" x14ac:dyDescent="0.25"/>
    <row r="247695" s="12" customFormat="1" x14ac:dyDescent="0.25"/>
    <row r="247696" s="12" customFormat="1" x14ac:dyDescent="0.25"/>
    <row r="247697" s="12" customFormat="1" x14ac:dyDescent="0.25"/>
    <row r="247698" s="12" customFormat="1" x14ac:dyDescent="0.25"/>
    <row r="247699" s="12" customFormat="1" x14ac:dyDescent="0.25"/>
    <row r="247700" s="12" customFormat="1" x14ac:dyDescent="0.25"/>
    <row r="247701" s="12" customFormat="1" x14ac:dyDescent="0.25"/>
    <row r="247702" s="12" customFormat="1" x14ac:dyDescent="0.25"/>
    <row r="247703" s="12" customFormat="1" x14ac:dyDescent="0.25"/>
    <row r="247704" s="12" customFormat="1" x14ac:dyDescent="0.25"/>
    <row r="247705" s="12" customFormat="1" x14ac:dyDescent="0.25"/>
    <row r="247706" s="12" customFormat="1" x14ac:dyDescent="0.25"/>
    <row r="247707" s="12" customFormat="1" x14ac:dyDescent="0.25"/>
    <row r="247708" s="12" customFormat="1" x14ac:dyDescent="0.25"/>
    <row r="247709" s="12" customFormat="1" x14ac:dyDescent="0.25"/>
    <row r="247710" s="12" customFormat="1" x14ac:dyDescent="0.25"/>
    <row r="247711" s="12" customFormat="1" x14ac:dyDescent="0.25"/>
    <row r="247712" s="12" customFormat="1" x14ac:dyDescent="0.25"/>
    <row r="247713" s="12" customFormat="1" x14ac:dyDescent="0.25"/>
    <row r="247714" s="12" customFormat="1" x14ac:dyDescent="0.25"/>
    <row r="247715" s="12" customFormat="1" x14ac:dyDescent="0.25"/>
    <row r="247716" s="12" customFormat="1" x14ac:dyDescent="0.25"/>
    <row r="247717" s="12" customFormat="1" x14ac:dyDescent="0.25"/>
    <row r="247718" s="12" customFormat="1" x14ac:dyDescent="0.25"/>
    <row r="247719" s="12" customFormat="1" x14ac:dyDescent="0.25"/>
    <row r="247720" s="12" customFormat="1" x14ac:dyDescent="0.25"/>
    <row r="247721" s="12" customFormat="1" x14ac:dyDescent="0.25"/>
    <row r="247722" s="12" customFormat="1" x14ac:dyDescent="0.25"/>
    <row r="247723" s="12" customFormat="1" x14ac:dyDescent="0.25"/>
    <row r="247724" s="12" customFormat="1" x14ac:dyDescent="0.25"/>
    <row r="247725" s="12" customFormat="1" x14ac:dyDescent="0.25"/>
    <row r="247726" s="12" customFormat="1" x14ac:dyDescent="0.25"/>
    <row r="247727" s="12" customFormat="1" x14ac:dyDescent="0.25"/>
    <row r="247728" s="12" customFormat="1" x14ac:dyDescent="0.25"/>
    <row r="247729" s="12" customFormat="1" x14ac:dyDescent="0.25"/>
    <row r="247730" s="12" customFormat="1" x14ac:dyDescent="0.25"/>
    <row r="247731" s="12" customFormat="1" x14ac:dyDescent="0.25"/>
    <row r="247732" s="12" customFormat="1" x14ac:dyDescent="0.25"/>
    <row r="247733" s="12" customFormat="1" x14ac:dyDescent="0.25"/>
    <row r="247734" s="12" customFormat="1" x14ac:dyDescent="0.25"/>
    <row r="247735" s="12" customFormat="1" x14ac:dyDescent="0.25"/>
    <row r="247736" s="12" customFormat="1" x14ac:dyDescent="0.25"/>
    <row r="247737" s="12" customFormat="1" x14ac:dyDescent="0.25"/>
    <row r="247738" s="12" customFormat="1" x14ac:dyDescent="0.25"/>
    <row r="247739" s="12" customFormat="1" x14ac:dyDescent="0.25"/>
    <row r="247740" s="12" customFormat="1" x14ac:dyDescent="0.25"/>
    <row r="247741" s="12" customFormat="1" x14ac:dyDescent="0.25"/>
    <row r="247742" s="12" customFormat="1" x14ac:dyDescent="0.25"/>
    <row r="247743" s="12" customFormat="1" x14ac:dyDescent="0.25"/>
    <row r="247744" s="12" customFormat="1" x14ac:dyDescent="0.25"/>
    <row r="247745" s="12" customFormat="1" x14ac:dyDescent="0.25"/>
    <row r="247746" s="12" customFormat="1" x14ac:dyDescent="0.25"/>
    <row r="247747" s="12" customFormat="1" x14ac:dyDescent="0.25"/>
    <row r="247748" s="12" customFormat="1" x14ac:dyDescent="0.25"/>
    <row r="247749" s="12" customFormat="1" x14ac:dyDescent="0.25"/>
    <row r="247750" s="12" customFormat="1" x14ac:dyDescent="0.25"/>
    <row r="247751" s="12" customFormat="1" x14ac:dyDescent="0.25"/>
    <row r="247752" s="12" customFormat="1" x14ac:dyDescent="0.25"/>
    <row r="247753" s="12" customFormat="1" x14ac:dyDescent="0.25"/>
    <row r="247754" s="12" customFormat="1" x14ac:dyDescent="0.25"/>
    <row r="247755" s="12" customFormat="1" x14ac:dyDescent="0.25"/>
    <row r="247756" s="12" customFormat="1" x14ac:dyDescent="0.25"/>
    <row r="247757" s="12" customFormat="1" x14ac:dyDescent="0.25"/>
    <row r="247758" s="12" customFormat="1" x14ac:dyDescent="0.25"/>
    <row r="247759" s="12" customFormat="1" x14ac:dyDescent="0.25"/>
    <row r="247760" s="12" customFormat="1" x14ac:dyDescent="0.25"/>
    <row r="247761" s="12" customFormat="1" x14ac:dyDescent="0.25"/>
    <row r="247762" s="12" customFormat="1" x14ac:dyDescent="0.25"/>
    <row r="247763" s="12" customFormat="1" x14ac:dyDescent="0.25"/>
    <row r="247764" s="12" customFormat="1" x14ac:dyDescent="0.25"/>
    <row r="247765" s="12" customFormat="1" x14ac:dyDescent="0.25"/>
    <row r="247766" s="12" customFormat="1" x14ac:dyDescent="0.25"/>
    <row r="247767" s="12" customFormat="1" x14ac:dyDescent="0.25"/>
    <row r="247768" s="12" customFormat="1" x14ac:dyDescent="0.25"/>
    <row r="247769" s="12" customFormat="1" x14ac:dyDescent="0.25"/>
    <row r="247770" s="12" customFormat="1" x14ac:dyDescent="0.25"/>
    <row r="247771" s="12" customFormat="1" x14ac:dyDescent="0.25"/>
    <row r="247772" s="12" customFormat="1" x14ac:dyDescent="0.25"/>
    <row r="247773" s="12" customFormat="1" x14ac:dyDescent="0.25"/>
    <row r="247774" s="12" customFormat="1" x14ac:dyDescent="0.25"/>
    <row r="247775" s="12" customFormat="1" x14ac:dyDescent="0.25"/>
    <row r="247776" s="12" customFormat="1" x14ac:dyDescent="0.25"/>
    <row r="247777" s="12" customFormat="1" x14ac:dyDescent="0.25"/>
    <row r="247778" s="12" customFormat="1" x14ac:dyDescent="0.25"/>
    <row r="247779" s="12" customFormat="1" x14ac:dyDescent="0.25"/>
    <row r="247780" s="12" customFormat="1" x14ac:dyDescent="0.25"/>
    <row r="247781" s="12" customFormat="1" x14ac:dyDescent="0.25"/>
    <row r="247782" s="12" customFormat="1" x14ac:dyDescent="0.25"/>
    <row r="247783" s="12" customFormat="1" x14ac:dyDescent="0.25"/>
    <row r="247784" s="12" customFormat="1" x14ac:dyDescent="0.25"/>
    <row r="247785" s="12" customFormat="1" x14ac:dyDescent="0.25"/>
    <row r="247786" s="12" customFormat="1" x14ac:dyDescent="0.25"/>
    <row r="247787" s="12" customFormat="1" x14ac:dyDescent="0.25"/>
    <row r="247788" s="12" customFormat="1" x14ac:dyDescent="0.25"/>
    <row r="247789" s="12" customFormat="1" x14ac:dyDescent="0.25"/>
    <row r="247790" s="12" customFormat="1" x14ac:dyDescent="0.25"/>
    <row r="247791" s="12" customFormat="1" x14ac:dyDescent="0.25"/>
    <row r="247792" s="12" customFormat="1" x14ac:dyDescent="0.25"/>
    <row r="247793" s="12" customFormat="1" x14ac:dyDescent="0.25"/>
    <row r="247794" s="12" customFormat="1" x14ac:dyDescent="0.25"/>
    <row r="247795" s="12" customFormat="1" x14ac:dyDescent="0.25"/>
    <row r="247796" s="12" customFormat="1" x14ac:dyDescent="0.25"/>
    <row r="247797" s="12" customFormat="1" x14ac:dyDescent="0.25"/>
    <row r="247798" s="12" customFormat="1" x14ac:dyDescent="0.25"/>
    <row r="247799" s="12" customFormat="1" x14ac:dyDescent="0.25"/>
    <row r="247800" s="12" customFormat="1" x14ac:dyDescent="0.25"/>
    <row r="247801" s="12" customFormat="1" x14ac:dyDescent="0.25"/>
    <row r="247802" s="12" customFormat="1" x14ac:dyDescent="0.25"/>
    <row r="247803" s="12" customFormat="1" x14ac:dyDescent="0.25"/>
    <row r="247804" s="12" customFormat="1" x14ac:dyDescent="0.25"/>
    <row r="247805" s="12" customFormat="1" x14ac:dyDescent="0.25"/>
    <row r="247806" s="12" customFormat="1" x14ac:dyDescent="0.25"/>
    <row r="247807" s="12" customFormat="1" x14ac:dyDescent="0.25"/>
    <row r="247808" s="12" customFormat="1" x14ac:dyDescent="0.25"/>
    <row r="247809" s="12" customFormat="1" x14ac:dyDescent="0.25"/>
    <row r="247810" s="12" customFormat="1" x14ac:dyDescent="0.25"/>
    <row r="247811" s="12" customFormat="1" x14ac:dyDescent="0.25"/>
    <row r="247812" s="12" customFormat="1" x14ac:dyDescent="0.25"/>
    <row r="247813" s="12" customFormat="1" x14ac:dyDescent="0.25"/>
    <row r="247814" s="12" customFormat="1" x14ac:dyDescent="0.25"/>
    <row r="247815" s="12" customFormat="1" x14ac:dyDescent="0.25"/>
    <row r="247816" s="12" customFormat="1" x14ac:dyDescent="0.25"/>
    <row r="247817" s="12" customFormat="1" x14ac:dyDescent="0.25"/>
    <row r="247818" s="12" customFormat="1" x14ac:dyDescent="0.25"/>
    <row r="247819" s="12" customFormat="1" x14ac:dyDescent="0.25"/>
    <row r="247820" s="12" customFormat="1" x14ac:dyDescent="0.25"/>
    <row r="247821" s="12" customFormat="1" x14ac:dyDescent="0.25"/>
    <row r="247822" s="12" customFormat="1" x14ac:dyDescent="0.25"/>
    <row r="247823" s="12" customFormat="1" x14ac:dyDescent="0.25"/>
    <row r="247824" s="12" customFormat="1" x14ac:dyDescent="0.25"/>
    <row r="247825" s="12" customFormat="1" x14ac:dyDescent="0.25"/>
    <row r="247826" s="12" customFormat="1" x14ac:dyDescent="0.25"/>
    <row r="247827" s="12" customFormat="1" x14ac:dyDescent="0.25"/>
    <row r="247828" s="12" customFormat="1" x14ac:dyDescent="0.25"/>
    <row r="247829" s="12" customFormat="1" x14ac:dyDescent="0.25"/>
    <row r="247830" s="12" customFormat="1" x14ac:dyDescent="0.25"/>
    <row r="247831" s="12" customFormat="1" x14ac:dyDescent="0.25"/>
    <row r="247832" s="12" customFormat="1" x14ac:dyDescent="0.25"/>
    <row r="247833" s="12" customFormat="1" x14ac:dyDescent="0.25"/>
    <row r="247834" s="12" customFormat="1" x14ac:dyDescent="0.25"/>
    <row r="247835" s="12" customFormat="1" x14ac:dyDescent="0.25"/>
    <row r="247836" s="12" customFormat="1" x14ac:dyDescent="0.25"/>
    <row r="247837" s="12" customFormat="1" x14ac:dyDescent="0.25"/>
    <row r="247838" s="12" customFormat="1" x14ac:dyDescent="0.25"/>
    <row r="247839" s="12" customFormat="1" x14ac:dyDescent="0.25"/>
    <row r="247840" s="12" customFormat="1" x14ac:dyDescent="0.25"/>
    <row r="247841" s="12" customFormat="1" x14ac:dyDescent="0.25"/>
    <row r="247842" s="12" customFormat="1" x14ac:dyDescent="0.25"/>
    <row r="247843" s="12" customFormat="1" x14ac:dyDescent="0.25"/>
    <row r="247844" s="12" customFormat="1" x14ac:dyDescent="0.25"/>
    <row r="247845" s="12" customFormat="1" x14ac:dyDescent="0.25"/>
    <row r="247846" s="12" customFormat="1" x14ac:dyDescent="0.25"/>
    <row r="247847" s="12" customFormat="1" x14ac:dyDescent="0.25"/>
    <row r="247848" s="12" customFormat="1" x14ac:dyDescent="0.25"/>
    <row r="247849" s="12" customFormat="1" x14ac:dyDescent="0.25"/>
    <row r="247850" s="12" customFormat="1" x14ac:dyDescent="0.25"/>
    <row r="247851" s="12" customFormat="1" x14ac:dyDescent="0.25"/>
    <row r="247852" s="12" customFormat="1" x14ac:dyDescent="0.25"/>
    <row r="247853" s="12" customFormat="1" x14ac:dyDescent="0.25"/>
    <row r="247854" s="12" customFormat="1" x14ac:dyDescent="0.25"/>
    <row r="247855" s="12" customFormat="1" x14ac:dyDescent="0.25"/>
    <row r="247856" s="12" customFormat="1" x14ac:dyDescent="0.25"/>
    <row r="247857" s="12" customFormat="1" x14ac:dyDescent="0.25"/>
    <row r="247858" s="12" customFormat="1" x14ac:dyDescent="0.25"/>
    <row r="247859" s="12" customFormat="1" x14ac:dyDescent="0.25"/>
    <row r="247860" s="12" customFormat="1" x14ac:dyDescent="0.25"/>
    <row r="247861" s="12" customFormat="1" x14ac:dyDescent="0.25"/>
    <row r="247862" s="12" customFormat="1" x14ac:dyDescent="0.25"/>
    <row r="247863" s="12" customFormat="1" x14ac:dyDescent="0.25"/>
    <row r="247864" s="12" customFormat="1" x14ac:dyDescent="0.25"/>
    <row r="247865" s="12" customFormat="1" x14ac:dyDescent="0.25"/>
    <row r="247866" s="12" customFormat="1" x14ac:dyDescent="0.25"/>
    <row r="247867" s="12" customFormat="1" x14ac:dyDescent="0.25"/>
    <row r="247868" s="12" customFormat="1" x14ac:dyDescent="0.25"/>
    <row r="247869" s="12" customFormat="1" x14ac:dyDescent="0.25"/>
    <row r="247870" s="12" customFormat="1" x14ac:dyDescent="0.25"/>
    <row r="247871" s="12" customFormat="1" x14ac:dyDescent="0.25"/>
    <row r="247872" s="12" customFormat="1" x14ac:dyDescent="0.25"/>
    <row r="247873" s="12" customFormat="1" x14ac:dyDescent="0.25"/>
    <row r="247874" s="12" customFormat="1" x14ac:dyDescent="0.25"/>
    <row r="247875" s="12" customFormat="1" x14ac:dyDescent="0.25"/>
    <row r="247876" s="12" customFormat="1" x14ac:dyDescent="0.25"/>
    <row r="247877" s="12" customFormat="1" x14ac:dyDescent="0.25"/>
    <row r="247878" s="12" customFormat="1" x14ac:dyDescent="0.25"/>
    <row r="247879" s="12" customFormat="1" x14ac:dyDescent="0.25"/>
    <row r="247880" s="12" customFormat="1" x14ac:dyDescent="0.25"/>
    <row r="247881" s="12" customFormat="1" x14ac:dyDescent="0.25"/>
    <row r="247882" s="12" customFormat="1" x14ac:dyDescent="0.25"/>
    <row r="247883" s="12" customFormat="1" x14ac:dyDescent="0.25"/>
    <row r="247884" s="12" customFormat="1" x14ac:dyDescent="0.25"/>
    <row r="247885" s="12" customFormat="1" x14ac:dyDescent="0.25"/>
    <row r="247886" s="12" customFormat="1" x14ac:dyDescent="0.25"/>
    <row r="247887" s="12" customFormat="1" x14ac:dyDescent="0.25"/>
    <row r="247888" s="12" customFormat="1" x14ac:dyDescent="0.25"/>
    <row r="247889" s="12" customFormat="1" x14ac:dyDescent="0.25"/>
    <row r="247890" s="12" customFormat="1" x14ac:dyDescent="0.25"/>
    <row r="247891" s="12" customFormat="1" x14ac:dyDescent="0.25"/>
    <row r="247892" s="12" customFormat="1" x14ac:dyDescent="0.25"/>
    <row r="247893" s="12" customFormat="1" x14ac:dyDescent="0.25"/>
    <row r="247894" s="12" customFormat="1" x14ac:dyDescent="0.25"/>
    <row r="247895" s="12" customFormat="1" x14ac:dyDescent="0.25"/>
    <row r="247896" s="12" customFormat="1" x14ac:dyDescent="0.25"/>
    <row r="247897" s="12" customFormat="1" x14ac:dyDescent="0.25"/>
    <row r="247898" s="12" customFormat="1" x14ac:dyDescent="0.25"/>
    <row r="247899" s="12" customFormat="1" x14ac:dyDescent="0.25"/>
    <row r="247900" s="12" customFormat="1" x14ac:dyDescent="0.25"/>
    <row r="247901" s="12" customFormat="1" x14ac:dyDescent="0.25"/>
    <row r="247902" s="12" customFormat="1" x14ac:dyDescent="0.25"/>
    <row r="247903" s="12" customFormat="1" x14ac:dyDescent="0.25"/>
    <row r="247904" s="12" customFormat="1" x14ac:dyDescent="0.25"/>
    <row r="247905" s="12" customFormat="1" x14ac:dyDescent="0.25"/>
    <row r="247906" s="12" customFormat="1" x14ac:dyDescent="0.25"/>
    <row r="247907" s="12" customFormat="1" x14ac:dyDescent="0.25"/>
    <row r="247908" s="12" customFormat="1" x14ac:dyDescent="0.25"/>
    <row r="247909" s="12" customFormat="1" x14ac:dyDescent="0.25"/>
    <row r="247910" s="12" customFormat="1" x14ac:dyDescent="0.25"/>
    <row r="247911" s="12" customFormat="1" x14ac:dyDescent="0.25"/>
    <row r="247912" s="12" customFormat="1" x14ac:dyDescent="0.25"/>
    <row r="247913" s="12" customFormat="1" x14ac:dyDescent="0.25"/>
    <row r="247914" s="12" customFormat="1" x14ac:dyDescent="0.25"/>
    <row r="247915" s="12" customFormat="1" x14ac:dyDescent="0.25"/>
    <row r="247916" s="12" customFormat="1" x14ac:dyDescent="0.25"/>
    <row r="247917" s="12" customFormat="1" x14ac:dyDescent="0.25"/>
    <row r="247918" s="12" customFormat="1" x14ac:dyDescent="0.25"/>
    <row r="247919" s="12" customFormat="1" x14ac:dyDescent="0.25"/>
    <row r="247920" s="12" customFormat="1" x14ac:dyDescent="0.25"/>
    <row r="247921" s="12" customFormat="1" x14ac:dyDescent="0.25"/>
    <row r="247922" s="12" customFormat="1" x14ac:dyDescent="0.25"/>
    <row r="247923" s="12" customFormat="1" x14ac:dyDescent="0.25"/>
    <row r="247924" s="12" customFormat="1" x14ac:dyDescent="0.25"/>
    <row r="247925" s="12" customFormat="1" x14ac:dyDescent="0.25"/>
    <row r="247926" s="12" customFormat="1" x14ac:dyDescent="0.25"/>
    <row r="247927" s="12" customFormat="1" x14ac:dyDescent="0.25"/>
    <row r="247928" s="12" customFormat="1" x14ac:dyDescent="0.25"/>
    <row r="247929" s="12" customFormat="1" x14ac:dyDescent="0.25"/>
    <row r="247930" s="12" customFormat="1" x14ac:dyDescent="0.25"/>
    <row r="247931" s="12" customFormat="1" x14ac:dyDescent="0.25"/>
    <row r="247932" s="12" customFormat="1" x14ac:dyDescent="0.25"/>
    <row r="247933" s="12" customFormat="1" x14ac:dyDescent="0.25"/>
    <row r="247934" s="12" customFormat="1" x14ac:dyDescent="0.25"/>
    <row r="247935" s="12" customFormat="1" x14ac:dyDescent="0.25"/>
    <row r="247936" s="12" customFormat="1" x14ac:dyDescent="0.25"/>
    <row r="247937" s="12" customFormat="1" x14ac:dyDescent="0.25"/>
    <row r="247938" s="12" customFormat="1" x14ac:dyDescent="0.25"/>
    <row r="247939" s="12" customFormat="1" x14ac:dyDescent="0.25"/>
    <row r="247940" s="12" customFormat="1" x14ac:dyDescent="0.25"/>
    <row r="247941" s="12" customFormat="1" x14ac:dyDescent="0.25"/>
    <row r="247942" s="12" customFormat="1" x14ac:dyDescent="0.25"/>
    <row r="247943" s="12" customFormat="1" x14ac:dyDescent="0.25"/>
    <row r="247944" s="12" customFormat="1" x14ac:dyDescent="0.25"/>
    <row r="247945" s="12" customFormat="1" x14ac:dyDescent="0.25"/>
    <row r="247946" s="12" customFormat="1" x14ac:dyDescent="0.25"/>
    <row r="247947" s="12" customFormat="1" x14ac:dyDescent="0.25"/>
    <row r="247948" s="12" customFormat="1" x14ac:dyDescent="0.25"/>
    <row r="247949" s="12" customFormat="1" x14ac:dyDescent="0.25"/>
    <row r="247950" s="12" customFormat="1" x14ac:dyDescent="0.25"/>
    <row r="247951" s="12" customFormat="1" x14ac:dyDescent="0.25"/>
    <row r="247952" s="12" customFormat="1" x14ac:dyDescent="0.25"/>
    <row r="247953" s="12" customFormat="1" x14ac:dyDescent="0.25"/>
    <row r="247954" s="12" customFormat="1" x14ac:dyDescent="0.25"/>
    <row r="247955" s="12" customFormat="1" x14ac:dyDescent="0.25"/>
    <row r="247956" s="12" customFormat="1" x14ac:dyDescent="0.25"/>
    <row r="247957" s="12" customFormat="1" x14ac:dyDescent="0.25"/>
    <row r="247958" s="12" customFormat="1" x14ac:dyDescent="0.25"/>
    <row r="247959" s="12" customFormat="1" x14ac:dyDescent="0.25"/>
    <row r="247960" s="12" customFormat="1" x14ac:dyDescent="0.25"/>
    <row r="247961" s="12" customFormat="1" x14ac:dyDescent="0.25"/>
    <row r="247962" s="12" customFormat="1" x14ac:dyDescent="0.25"/>
    <row r="247963" s="12" customFormat="1" x14ac:dyDescent="0.25"/>
    <row r="247964" s="12" customFormat="1" x14ac:dyDescent="0.25"/>
    <row r="247965" s="12" customFormat="1" x14ac:dyDescent="0.25"/>
    <row r="247966" s="12" customFormat="1" x14ac:dyDescent="0.25"/>
    <row r="247967" s="12" customFormat="1" x14ac:dyDescent="0.25"/>
    <row r="247968" s="12" customFormat="1" x14ac:dyDescent="0.25"/>
    <row r="247969" s="12" customFormat="1" x14ac:dyDescent="0.25"/>
    <row r="247970" s="12" customFormat="1" x14ac:dyDescent="0.25"/>
    <row r="247971" s="12" customFormat="1" x14ac:dyDescent="0.25"/>
    <row r="247972" s="12" customFormat="1" x14ac:dyDescent="0.25"/>
    <row r="247973" s="12" customFormat="1" x14ac:dyDescent="0.25"/>
    <row r="247974" s="12" customFormat="1" x14ac:dyDescent="0.25"/>
    <row r="247975" s="12" customFormat="1" x14ac:dyDescent="0.25"/>
    <row r="247976" s="12" customFormat="1" x14ac:dyDescent="0.25"/>
    <row r="247977" s="12" customFormat="1" x14ac:dyDescent="0.25"/>
    <row r="247978" s="12" customFormat="1" x14ac:dyDescent="0.25"/>
    <row r="247979" s="12" customFormat="1" x14ac:dyDescent="0.25"/>
    <row r="247980" s="12" customFormat="1" x14ac:dyDescent="0.25"/>
    <row r="247981" s="12" customFormat="1" x14ac:dyDescent="0.25"/>
    <row r="247982" s="12" customFormat="1" x14ac:dyDescent="0.25"/>
    <row r="247983" s="12" customFormat="1" x14ac:dyDescent="0.25"/>
    <row r="247984" s="12" customFormat="1" x14ac:dyDescent="0.25"/>
    <row r="247985" s="12" customFormat="1" x14ac:dyDescent="0.25"/>
    <row r="247986" s="12" customFormat="1" x14ac:dyDescent="0.25"/>
    <row r="247987" s="12" customFormat="1" x14ac:dyDescent="0.25"/>
    <row r="247988" s="12" customFormat="1" x14ac:dyDescent="0.25"/>
    <row r="247989" s="12" customFormat="1" x14ac:dyDescent="0.25"/>
    <row r="247990" s="12" customFormat="1" x14ac:dyDescent="0.25"/>
    <row r="247991" s="12" customFormat="1" x14ac:dyDescent="0.25"/>
    <row r="247992" s="12" customFormat="1" x14ac:dyDescent="0.25"/>
    <row r="247993" s="12" customFormat="1" x14ac:dyDescent="0.25"/>
    <row r="247994" s="12" customFormat="1" x14ac:dyDescent="0.25"/>
    <row r="247995" s="12" customFormat="1" x14ac:dyDescent="0.25"/>
    <row r="247996" s="12" customFormat="1" x14ac:dyDescent="0.25"/>
    <row r="247997" s="12" customFormat="1" x14ac:dyDescent="0.25"/>
    <row r="247998" s="12" customFormat="1" x14ac:dyDescent="0.25"/>
    <row r="247999" s="12" customFormat="1" x14ac:dyDescent="0.25"/>
    <row r="248000" s="12" customFormat="1" x14ac:dyDescent="0.25"/>
    <row r="248001" s="12" customFormat="1" x14ac:dyDescent="0.25"/>
    <row r="248002" s="12" customFormat="1" x14ac:dyDescent="0.25"/>
    <row r="248003" s="12" customFormat="1" x14ac:dyDescent="0.25"/>
    <row r="248004" s="12" customFormat="1" x14ac:dyDescent="0.25"/>
    <row r="248005" s="12" customFormat="1" x14ac:dyDescent="0.25"/>
    <row r="248006" s="12" customFormat="1" x14ac:dyDescent="0.25"/>
    <row r="248007" s="12" customFormat="1" x14ac:dyDescent="0.25"/>
    <row r="248008" s="12" customFormat="1" x14ac:dyDescent="0.25"/>
    <row r="248009" s="12" customFormat="1" x14ac:dyDescent="0.25"/>
    <row r="248010" s="12" customFormat="1" x14ac:dyDescent="0.25"/>
    <row r="248011" s="12" customFormat="1" x14ac:dyDescent="0.25"/>
    <row r="248012" s="12" customFormat="1" x14ac:dyDescent="0.25"/>
    <row r="248013" s="12" customFormat="1" x14ac:dyDescent="0.25"/>
    <row r="248014" s="12" customFormat="1" x14ac:dyDescent="0.25"/>
    <row r="248015" s="12" customFormat="1" x14ac:dyDescent="0.25"/>
    <row r="248016" s="12" customFormat="1" x14ac:dyDescent="0.25"/>
    <row r="248017" s="12" customFormat="1" x14ac:dyDescent="0.25"/>
    <row r="248018" s="12" customFormat="1" x14ac:dyDescent="0.25"/>
    <row r="248019" s="12" customFormat="1" x14ac:dyDescent="0.25"/>
    <row r="248020" s="12" customFormat="1" x14ac:dyDescent="0.25"/>
    <row r="248021" s="12" customFormat="1" x14ac:dyDescent="0.25"/>
    <row r="248022" s="12" customFormat="1" x14ac:dyDescent="0.25"/>
    <row r="248023" s="12" customFormat="1" x14ac:dyDescent="0.25"/>
    <row r="248024" s="12" customFormat="1" x14ac:dyDescent="0.25"/>
    <row r="248025" s="12" customFormat="1" x14ac:dyDescent="0.25"/>
    <row r="248026" s="12" customFormat="1" x14ac:dyDescent="0.25"/>
    <row r="248027" s="12" customFormat="1" x14ac:dyDescent="0.25"/>
    <row r="248028" s="12" customFormat="1" x14ac:dyDescent="0.25"/>
    <row r="248029" s="12" customFormat="1" x14ac:dyDescent="0.25"/>
    <row r="248030" s="12" customFormat="1" x14ac:dyDescent="0.25"/>
    <row r="248031" s="12" customFormat="1" x14ac:dyDescent="0.25"/>
    <row r="248032" s="12" customFormat="1" x14ac:dyDescent="0.25"/>
    <row r="248033" s="12" customFormat="1" x14ac:dyDescent="0.25"/>
    <row r="248034" s="12" customFormat="1" x14ac:dyDescent="0.25"/>
    <row r="248035" s="12" customFormat="1" x14ac:dyDescent="0.25"/>
    <row r="248036" s="12" customFormat="1" x14ac:dyDescent="0.25"/>
    <row r="248037" s="12" customFormat="1" x14ac:dyDescent="0.25"/>
    <row r="248038" s="12" customFormat="1" x14ac:dyDescent="0.25"/>
    <row r="248039" s="12" customFormat="1" x14ac:dyDescent="0.25"/>
    <row r="248040" s="12" customFormat="1" x14ac:dyDescent="0.25"/>
    <row r="248041" s="12" customFormat="1" x14ac:dyDescent="0.25"/>
    <row r="248042" s="12" customFormat="1" x14ac:dyDescent="0.25"/>
    <row r="248043" s="12" customFormat="1" x14ac:dyDescent="0.25"/>
    <row r="248044" s="12" customFormat="1" x14ac:dyDescent="0.25"/>
    <row r="248045" s="12" customFormat="1" x14ac:dyDescent="0.25"/>
    <row r="248046" s="12" customFormat="1" x14ac:dyDescent="0.25"/>
    <row r="248047" s="12" customFormat="1" x14ac:dyDescent="0.25"/>
    <row r="248048" s="12" customFormat="1" x14ac:dyDescent="0.25"/>
    <row r="248049" s="12" customFormat="1" x14ac:dyDescent="0.25"/>
    <row r="248050" s="12" customFormat="1" x14ac:dyDescent="0.25"/>
    <row r="248051" s="12" customFormat="1" x14ac:dyDescent="0.25"/>
    <row r="248052" s="12" customFormat="1" x14ac:dyDescent="0.25"/>
    <row r="248053" s="12" customFormat="1" x14ac:dyDescent="0.25"/>
    <row r="248054" s="12" customFormat="1" x14ac:dyDescent="0.25"/>
    <row r="248055" s="12" customFormat="1" x14ac:dyDescent="0.25"/>
    <row r="248056" s="12" customFormat="1" x14ac:dyDescent="0.25"/>
    <row r="248057" s="12" customFormat="1" x14ac:dyDescent="0.25"/>
    <row r="248058" s="12" customFormat="1" x14ac:dyDescent="0.25"/>
    <row r="248059" s="12" customFormat="1" x14ac:dyDescent="0.25"/>
    <row r="248060" s="12" customFormat="1" x14ac:dyDescent="0.25"/>
    <row r="248061" s="12" customFormat="1" x14ac:dyDescent="0.25"/>
    <row r="248062" s="12" customFormat="1" x14ac:dyDescent="0.25"/>
    <row r="248063" s="12" customFormat="1" x14ac:dyDescent="0.25"/>
    <row r="248064" s="12" customFormat="1" x14ac:dyDescent="0.25"/>
    <row r="248065" s="12" customFormat="1" x14ac:dyDescent="0.25"/>
    <row r="248066" s="12" customFormat="1" x14ac:dyDescent="0.25"/>
    <row r="248067" s="12" customFormat="1" x14ac:dyDescent="0.25"/>
    <row r="248068" s="12" customFormat="1" x14ac:dyDescent="0.25"/>
    <row r="248069" s="12" customFormat="1" x14ac:dyDescent="0.25"/>
    <row r="248070" s="12" customFormat="1" x14ac:dyDescent="0.25"/>
    <row r="248071" s="12" customFormat="1" x14ac:dyDescent="0.25"/>
    <row r="248072" s="12" customFormat="1" x14ac:dyDescent="0.25"/>
    <row r="248073" s="12" customFormat="1" x14ac:dyDescent="0.25"/>
    <row r="248074" s="12" customFormat="1" x14ac:dyDescent="0.25"/>
    <row r="248075" s="12" customFormat="1" x14ac:dyDescent="0.25"/>
    <row r="248076" s="12" customFormat="1" x14ac:dyDescent="0.25"/>
    <row r="248077" s="12" customFormat="1" x14ac:dyDescent="0.25"/>
    <row r="248078" s="12" customFormat="1" x14ac:dyDescent="0.25"/>
    <row r="248079" s="12" customFormat="1" x14ac:dyDescent="0.25"/>
    <row r="248080" s="12" customFormat="1" x14ac:dyDescent="0.25"/>
    <row r="248081" s="12" customFormat="1" x14ac:dyDescent="0.25"/>
    <row r="248082" s="12" customFormat="1" x14ac:dyDescent="0.25"/>
    <row r="248083" s="12" customFormat="1" x14ac:dyDescent="0.25"/>
    <row r="248084" s="12" customFormat="1" x14ac:dyDescent="0.25"/>
    <row r="248085" s="12" customFormat="1" x14ac:dyDescent="0.25"/>
    <row r="248086" s="12" customFormat="1" x14ac:dyDescent="0.25"/>
    <row r="248087" s="12" customFormat="1" x14ac:dyDescent="0.25"/>
    <row r="248088" s="12" customFormat="1" x14ac:dyDescent="0.25"/>
    <row r="248089" s="12" customFormat="1" x14ac:dyDescent="0.25"/>
    <row r="248090" s="12" customFormat="1" x14ac:dyDescent="0.25"/>
    <row r="248091" s="12" customFormat="1" x14ac:dyDescent="0.25"/>
    <row r="248092" s="12" customFormat="1" x14ac:dyDescent="0.25"/>
    <row r="248093" s="12" customFormat="1" x14ac:dyDescent="0.25"/>
    <row r="248094" s="12" customFormat="1" x14ac:dyDescent="0.25"/>
    <row r="248095" s="12" customFormat="1" x14ac:dyDescent="0.25"/>
    <row r="248096" s="12" customFormat="1" x14ac:dyDescent="0.25"/>
    <row r="248097" s="12" customFormat="1" x14ac:dyDescent="0.25"/>
    <row r="248098" s="12" customFormat="1" x14ac:dyDescent="0.25"/>
    <row r="248099" s="12" customFormat="1" x14ac:dyDescent="0.25"/>
    <row r="248100" s="12" customFormat="1" x14ac:dyDescent="0.25"/>
    <row r="248101" s="12" customFormat="1" x14ac:dyDescent="0.25"/>
    <row r="248102" s="12" customFormat="1" x14ac:dyDescent="0.25"/>
    <row r="248103" s="12" customFormat="1" x14ac:dyDescent="0.25"/>
    <row r="248104" s="12" customFormat="1" x14ac:dyDescent="0.25"/>
    <row r="248105" s="12" customFormat="1" x14ac:dyDescent="0.25"/>
    <row r="248106" s="12" customFormat="1" x14ac:dyDescent="0.25"/>
    <row r="248107" s="12" customFormat="1" x14ac:dyDescent="0.25"/>
    <row r="248108" s="12" customFormat="1" x14ac:dyDescent="0.25"/>
    <row r="248109" s="12" customFormat="1" x14ac:dyDescent="0.25"/>
    <row r="248110" s="12" customFormat="1" x14ac:dyDescent="0.25"/>
    <row r="248111" s="12" customFormat="1" x14ac:dyDescent="0.25"/>
    <row r="248112" s="12" customFormat="1" x14ac:dyDescent="0.25"/>
    <row r="248113" s="12" customFormat="1" x14ac:dyDescent="0.25"/>
    <row r="248114" s="12" customFormat="1" x14ac:dyDescent="0.25"/>
    <row r="248115" s="12" customFormat="1" x14ac:dyDescent="0.25"/>
    <row r="248116" s="12" customFormat="1" x14ac:dyDescent="0.25"/>
    <row r="248117" s="12" customFormat="1" x14ac:dyDescent="0.25"/>
    <row r="248118" s="12" customFormat="1" x14ac:dyDescent="0.25"/>
    <row r="248119" s="12" customFormat="1" x14ac:dyDescent="0.25"/>
    <row r="248120" s="12" customFormat="1" x14ac:dyDescent="0.25"/>
    <row r="248121" s="12" customFormat="1" x14ac:dyDescent="0.25"/>
    <row r="248122" s="12" customFormat="1" x14ac:dyDescent="0.25"/>
    <row r="248123" s="12" customFormat="1" x14ac:dyDescent="0.25"/>
    <row r="248124" s="12" customFormat="1" x14ac:dyDescent="0.25"/>
    <row r="248125" s="12" customFormat="1" x14ac:dyDescent="0.25"/>
    <row r="248126" s="12" customFormat="1" x14ac:dyDescent="0.25"/>
    <row r="248127" s="12" customFormat="1" x14ac:dyDescent="0.25"/>
    <row r="248128" s="12" customFormat="1" x14ac:dyDescent="0.25"/>
    <row r="248129" s="12" customFormat="1" x14ac:dyDescent="0.25"/>
    <row r="248130" s="12" customFormat="1" x14ac:dyDescent="0.25"/>
    <row r="248131" s="12" customFormat="1" x14ac:dyDescent="0.25"/>
    <row r="248132" s="12" customFormat="1" x14ac:dyDescent="0.25"/>
    <row r="248133" s="12" customFormat="1" x14ac:dyDescent="0.25"/>
    <row r="248134" s="12" customFormat="1" x14ac:dyDescent="0.25"/>
    <row r="248135" s="12" customFormat="1" x14ac:dyDescent="0.25"/>
    <row r="248136" s="12" customFormat="1" x14ac:dyDescent="0.25"/>
    <row r="248137" s="12" customFormat="1" x14ac:dyDescent="0.25"/>
    <row r="248138" s="12" customFormat="1" x14ac:dyDescent="0.25"/>
    <row r="248139" s="12" customFormat="1" x14ac:dyDescent="0.25"/>
    <row r="248140" s="12" customFormat="1" x14ac:dyDescent="0.25"/>
    <row r="248141" s="12" customFormat="1" x14ac:dyDescent="0.25"/>
    <row r="248142" s="12" customFormat="1" x14ac:dyDescent="0.25"/>
    <row r="248143" s="12" customFormat="1" x14ac:dyDescent="0.25"/>
    <row r="248144" s="12" customFormat="1" x14ac:dyDescent="0.25"/>
    <row r="248145" s="12" customFormat="1" x14ac:dyDescent="0.25"/>
    <row r="248146" s="12" customFormat="1" x14ac:dyDescent="0.25"/>
    <row r="248147" s="12" customFormat="1" x14ac:dyDescent="0.25"/>
    <row r="248148" s="12" customFormat="1" x14ac:dyDescent="0.25"/>
    <row r="248149" s="12" customFormat="1" x14ac:dyDescent="0.25"/>
    <row r="248150" s="12" customFormat="1" x14ac:dyDescent="0.25"/>
    <row r="248151" s="12" customFormat="1" x14ac:dyDescent="0.25"/>
    <row r="248152" s="12" customFormat="1" x14ac:dyDescent="0.25"/>
    <row r="248153" s="12" customFormat="1" x14ac:dyDescent="0.25"/>
    <row r="248154" s="12" customFormat="1" x14ac:dyDescent="0.25"/>
    <row r="248155" s="12" customFormat="1" x14ac:dyDescent="0.25"/>
    <row r="248156" s="12" customFormat="1" x14ac:dyDescent="0.25"/>
    <row r="248157" s="12" customFormat="1" x14ac:dyDescent="0.25"/>
    <row r="248158" s="12" customFormat="1" x14ac:dyDescent="0.25"/>
    <row r="248159" s="12" customFormat="1" x14ac:dyDescent="0.25"/>
    <row r="248160" s="12" customFormat="1" x14ac:dyDescent="0.25"/>
    <row r="248161" s="12" customFormat="1" x14ac:dyDescent="0.25"/>
    <row r="248162" s="12" customFormat="1" x14ac:dyDescent="0.25"/>
    <row r="248163" s="12" customFormat="1" x14ac:dyDescent="0.25"/>
    <row r="248164" s="12" customFormat="1" x14ac:dyDescent="0.25"/>
    <row r="248165" s="12" customFormat="1" x14ac:dyDescent="0.25"/>
    <row r="248166" s="12" customFormat="1" x14ac:dyDescent="0.25"/>
    <row r="248167" s="12" customFormat="1" x14ac:dyDescent="0.25"/>
    <row r="248168" s="12" customFormat="1" x14ac:dyDescent="0.25"/>
    <row r="248169" s="12" customFormat="1" x14ac:dyDescent="0.25"/>
    <row r="248170" s="12" customFormat="1" x14ac:dyDescent="0.25"/>
    <row r="248171" s="12" customFormat="1" x14ac:dyDescent="0.25"/>
    <row r="248172" s="12" customFormat="1" x14ac:dyDescent="0.25"/>
    <row r="248173" s="12" customFormat="1" x14ac:dyDescent="0.25"/>
    <row r="248174" s="12" customFormat="1" x14ac:dyDescent="0.25"/>
    <row r="248175" s="12" customFormat="1" x14ac:dyDescent="0.25"/>
    <row r="248176" s="12" customFormat="1" x14ac:dyDescent="0.25"/>
    <row r="248177" s="12" customFormat="1" x14ac:dyDescent="0.25"/>
    <row r="248178" s="12" customFormat="1" x14ac:dyDescent="0.25"/>
    <row r="248179" s="12" customFormat="1" x14ac:dyDescent="0.25"/>
    <row r="248180" s="12" customFormat="1" x14ac:dyDescent="0.25"/>
    <row r="248181" s="12" customFormat="1" x14ac:dyDescent="0.25"/>
    <row r="248182" s="12" customFormat="1" x14ac:dyDescent="0.25"/>
    <row r="248183" s="12" customFormat="1" x14ac:dyDescent="0.25"/>
    <row r="248184" s="12" customFormat="1" x14ac:dyDescent="0.25"/>
    <row r="248185" s="12" customFormat="1" x14ac:dyDescent="0.25"/>
    <row r="248186" s="12" customFormat="1" x14ac:dyDescent="0.25"/>
    <row r="248187" s="12" customFormat="1" x14ac:dyDescent="0.25"/>
    <row r="248188" s="12" customFormat="1" x14ac:dyDescent="0.25"/>
    <row r="248189" s="12" customFormat="1" x14ac:dyDescent="0.25"/>
    <row r="248190" s="12" customFormat="1" x14ac:dyDescent="0.25"/>
    <row r="248191" s="12" customFormat="1" x14ac:dyDescent="0.25"/>
    <row r="248192" s="12" customFormat="1" x14ac:dyDescent="0.25"/>
    <row r="248193" s="12" customFormat="1" x14ac:dyDescent="0.25"/>
    <row r="248194" s="12" customFormat="1" x14ac:dyDescent="0.25"/>
    <row r="248195" s="12" customFormat="1" x14ac:dyDescent="0.25"/>
    <row r="248196" s="12" customFormat="1" x14ac:dyDescent="0.25"/>
    <row r="248197" s="12" customFormat="1" x14ac:dyDescent="0.25"/>
    <row r="248198" s="12" customFormat="1" x14ac:dyDescent="0.25"/>
    <row r="248199" s="12" customFormat="1" x14ac:dyDescent="0.25"/>
    <row r="248200" s="12" customFormat="1" x14ac:dyDescent="0.25"/>
    <row r="248201" s="12" customFormat="1" x14ac:dyDescent="0.25"/>
    <row r="248202" s="12" customFormat="1" x14ac:dyDescent="0.25"/>
    <row r="248203" s="12" customFormat="1" x14ac:dyDescent="0.25"/>
    <row r="248204" s="12" customFormat="1" x14ac:dyDescent="0.25"/>
    <row r="248205" s="12" customFormat="1" x14ac:dyDescent="0.25"/>
    <row r="248206" s="12" customFormat="1" x14ac:dyDescent="0.25"/>
    <row r="248207" s="12" customFormat="1" x14ac:dyDescent="0.25"/>
    <row r="248208" s="12" customFormat="1" x14ac:dyDescent="0.25"/>
    <row r="248209" s="12" customFormat="1" x14ac:dyDescent="0.25"/>
    <row r="248210" s="12" customFormat="1" x14ac:dyDescent="0.25"/>
    <row r="248211" s="12" customFormat="1" x14ac:dyDescent="0.25"/>
    <row r="248212" s="12" customFormat="1" x14ac:dyDescent="0.25"/>
    <row r="248213" s="12" customFormat="1" x14ac:dyDescent="0.25"/>
    <row r="248214" s="12" customFormat="1" x14ac:dyDescent="0.25"/>
    <row r="248215" s="12" customFormat="1" x14ac:dyDescent="0.25"/>
    <row r="248216" s="12" customFormat="1" x14ac:dyDescent="0.25"/>
    <row r="248217" s="12" customFormat="1" x14ac:dyDescent="0.25"/>
    <row r="248218" s="12" customFormat="1" x14ac:dyDescent="0.25"/>
    <row r="248219" s="12" customFormat="1" x14ac:dyDescent="0.25"/>
    <row r="248220" s="12" customFormat="1" x14ac:dyDescent="0.25"/>
    <row r="248221" s="12" customFormat="1" x14ac:dyDescent="0.25"/>
    <row r="248222" s="12" customFormat="1" x14ac:dyDescent="0.25"/>
    <row r="248223" s="12" customFormat="1" x14ac:dyDescent="0.25"/>
    <row r="248224" s="12" customFormat="1" x14ac:dyDescent="0.25"/>
    <row r="248225" s="12" customFormat="1" x14ac:dyDescent="0.25"/>
    <row r="248226" s="12" customFormat="1" x14ac:dyDescent="0.25"/>
    <row r="248227" s="12" customFormat="1" x14ac:dyDescent="0.25"/>
    <row r="248228" s="12" customFormat="1" x14ac:dyDescent="0.25"/>
    <row r="248229" s="12" customFormat="1" x14ac:dyDescent="0.25"/>
    <row r="248230" s="12" customFormat="1" x14ac:dyDescent="0.25"/>
    <row r="248231" s="12" customFormat="1" x14ac:dyDescent="0.25"/>
    <row r="248232" s="12" customFormat="1" x14ac:dyDescent="0.25"/>
    <row r="248233" s="12" customFormat="1" x14ac:dyDescent="0.25"/>
    <row r="248234" s="12" customFormat="1" x14ac:dyDescent="0.25"/>
    <row r="248235" s="12" customFormat="1" x14ac:dyDescent="0.25"/>
    <row r="248236" s="12" customFormat="1" x14ac:dyDescent="0.25"/>
    <row r="248237" s="12" customFormat="1" x14ac:dyDescent="0.25"/>
    <row r="248238" s="12" customFormat="1" x14ac:dyDescent="0.25"/>
    <row r="248239" s="12" customFormat="1" x14ac:dyDescent="0.25"/>
    <row r="248240" s="12" customFormat="1" x14ac:dyDescent="0.25"/>
    <row r="248241" s="12" customFormat="1" x14ac:dyDescent="0.25"/>
    <row r="248242" s="12" customFormat="1" x14ac:dyDescent="0.25"/>
    <row r="248243" s="12" customFormat="1" x14ac:dyDescent="0.25"/>
    <row r="248244" s="12" customFormat="1" x14ac:dyDescent="0.25"/>
    <row r="248245" s="12" customFormat="1" x14ac:dyDescent="0.25"/>
    <row r="248246" s="12" customFormat="1" x14ac:dyDescent="0.25"/>
    <row r="248247" s="12" customFormat="1" x14ac:dyDescent="0.25"/>
    <row r="248248" s="12" customFormat="1" x14ac:dyDescent="0.25"/>
    <row r="248249" s="12" customFormat="1" x14ac:dyDescent="0.25"/>
    <row r="248250" s="12" customFormat="1" x14ac:dyDescent="0.25"/>
    <row r="248251" s="12" customFormat="1" x14ac:dyDescent="0.25"/>
    <row r="248252" s="12" customFormat="1" x14ac:dyDescent="0.25"/>
    <row r="248253" s="12" customFormat="1" x14ac:dyDescent="0.25"/>
    <row r="248254" s="12" customFormat="1" x14ac:dyDescent="0.25"/>
    <row r="248255" s="12" customFormat="1" x14ac:dyDescent="0.25"/>
    <row r="248256" s="12" customFormat="1" x14ac:dyDescent="0.25"/>
    <row r="248257" s="12" customFormat="1" x14ac:dyDescent="0.25"/>
    <row r="248258" s="12" customFormat="1" x14ac:dyDescent="0.25"/>
    <row r="248259" s="12" customFormat="1" x14ac:dyDescent="0.25"/>
    <row r="248260" s="12" customFormat="1" x14ac:dyDescent="0.25"/>
    <row r="248261" s="12" customFormat="1" x14ac:dyDescent="0.25"/>
    <row r="248262" s="12" customFormat="1" x14ac:dyDescent="0.25"/>
    <row r="248263" s="12" customFormat="1" x14ac:dyDescent="0.25"/>
    <row r="248264" s="12" customFormat="1" x14ac:dyDescent="0.25"/>
    <row r="248265" s="12" customFormat="1" x14ac:dyDescent="0.25"/>
    <row r="248266" s="12" customFormat="1" x14ac:dyDescent="0.25"/>
    <row r="248267" s="12" customFormat="1" x14ac:dyDescent="0.25"/>
    <row r="248268" s="12" customFormat="1" x14ac:dyDescent="0.25"/>
    <row r="248269" s="12" customFormat="1" x14ac:dyDescent="0.25"/>
    <row r="248270" s="12" customFormat="1" x14ac:dyDescent="0.25"/>
    <row r="248271" s="12" customFormat="1" x14ac:dyDescent="0.25"/>
    <row r="248272" s="12" customFormat="1" x14ac:dyDescent="0.25"/>
    <row r="248273" s="12" customFormat="1" x14ac:dyDescent="0.25"/>
    <row r="248274" s="12" customFormat="1" x14ac:dyDescent="0.25"/>
    <row r="248275" s="12" customFormat="1" x14ac:dyDescent="0.25"/>
    <row r="248276" s="12" customFormat="1" x14ac:dyDescent="0.25"/>
    <row r="248277" s="12" customFormat="1" x14ac:dyDescent="0.25"/>
    <row r="248278" s="12" customFormat="1" x14ac:dyDescent="0.25"/>
    <row r="248279" s="12" customFormat="1" x14ac:dyDescent="0.25"/>
    <row r="248280" s="12" customFormat="1" x14ac:dyDescent="0.25"/>
    <row r="248281" s="12" customFormat="1" x14ac:dyDescent="0.25"/>
    <row r="248282" s="12" customFormat="1" x14ac:dyDescent="0.25"/>
    <row r="248283" s="12" customFormat="1" x14ac:dyDescent="0.25"/>
    <row r="248284" s="12" customFormat="1" x14ac:dyDescent="0.25"/>
    <row r="248285" s="12" customFormat="1" x14ac:dyDescent="0.25"/>
    <row r="248286" s="12" customFormat="1" x14ac:dyDescent="0.25"/>
    <row r="248287" s="12" customFormat="1" x14ac:dyDescent="0.25"/>
    <row r="248288" s="12" customFormat="1" x14ac:dyDescent="0.25"/>
    <row r="248289" s="12" customFormat="1" x14ac:dyDescent="0.25"/>
    <row r="248290" s="12" customFormat="1" x14ac:dyDescent="0.25"/>
    <row r="248291" s="12" customFormat="1" x14ac:dyDescent="0.25"/>
    <row r="248292" s="12" customFormat="1" x14ac:dyDescent="0.25"/>
    <row r="248293" s="12" customFormat="1" x14ac:dyDescent="0.25"/>
    <row r="248294" s="12" customFormat="1" x14ac:dyDescent="0.25"/>
    <row r="248295" s="12" customFormat="1" x14ac:dyDescent="0.25"/>
    <row r="248296" s="12" customFormat="1" x14ac:dyDescent="0.25"/>
    <row r="248297" s="12" customFormat="1" x14ac:dyDescent="0.25"/>
    <row r="248298" s="12" customFormat="1" x14ac:dyDescent="0.25"/>
    <row r="248299" s="12" customFormat="1" x14ac:dyDescent="0.25"/>
    <row r="248300" s="12" customFormat="1" x14ac:dyDescent="0.25"/>
    <row r="248301" s="12" customFormat="1" x14ac:dyDescent="0.25"/>
    <row r="248302" s="12" customFormat="1" x14ac:dyDescent="0.25"/>
    <row r="248303" s="12" customFormat="1" x14ac:dyDescent="0.25"/>
    <row r="248304" s="12" customFormat="1" x14ac:dyDescent="0.25"/>
    <row r="248305" s="12" customFormat="1" x14ac:dyDescent="0.25"/>
    <row r="248306" s="12" customFormat="1" x14ac:dyDescent="0.25"/>
    <row r="248307" s="12" customFormat="1" x14ac:dyDescent="0.25"/>
    <row r="248308" s="12" customFormat="1" x14ac:dyDescent="0.25"/>
    <row r="248309" s="12" customFormat="1" x14ac:dyDescent="0.25"/>
    <row r="248310" s="12" customFormat="1" x14ac:dyDescent="0.25"/>
    <row r="248311" s="12" customFormat="1" x14ac:dyDescent="0.25"/>
    <row r="248312" s="12" customFormat="1" x14ac:dyDescent="0.25"/>
    <row r="248313" s="12" customFormat="1" x14ac:dyDescent="0.25"/>
    <row r="248314" s="12" customFormat="1" x14ac:dyDescent="0.25"/>
    <row r="248315" s="12" customFormat="1" x14ac:dyDescent="0.25"/>
    <row r="248316" s="12" customFormat="1" x14ac:dyDescent="0.25"/>
    <row r="248317" s="12" customFormat="1" x14ac:dyDescent="0.25"/>
    <row r="248318" s="12" customFormat="1" x14ac:dyDescent="0.25"/>
    <row r="248319" s="12" customFormat="1" x14ac:dyDescent="0.25"/>
    <row r="248320" s="12" customFormat="1" x14ac:dyDescent="0.25"/>
    <row r="248321" s="12" customFormat="1" x14ac:dyDescent="0.25"/>
    <row r="248322" s="12" customFormat="1" x14ac:dyDescent="0.25"/>
    <row r="248323" s="12" customFormat="1" x14ac:dyDescent="0.25"/>
    <row r="248324" s="12" customFormat="1" x14ac:dyDescent="0.25"/>
    <row r="248325" s="12" customFormat="1" x14ac:dyDescent="0.25"/>
    <row r="248326" s="12" customFormat="1" x14ac:dyDescent="0.25"/>
    <row r="248327" s="12" customFormat="1" x14ac:dyDescent="0.25"/>
    <row r="248328" s="12" customFormat="1" x14ac:dyDescent="0.25"/>
    <row r="248329" s="12" customFormat="1" x14ac:dyDescent="0.25"/>
    <row r="248330" s="12" customFormat="1" x14ac:dyDescent="0.25"/>
    <row r="248331" s="12" customFormat="1" x14ac:dyDescent="0.25"/>
    <row r="248332" s="12" customFormat="1" x14ac:dyDescent="0.25"/>
    <row r="248333" s="12" customFormat="1" x14ac:dyDescent="0.25"/>
    <row r="248334" s="12" customFormat="1" x14ac:dyDescent="0.25"/>
    <row r="248335" s="12" customFormat="1" x14ac:dyDescent="0.25"/>
    <row r="248336" s="12" customFormat="1" x14ac:dyDescent="0.25"/>
    <row r="248337" s="12" customFormat="1" x14ac:dyDescent="0.25"/>
    <row r="248338" s="12" customFormat="1" x14ac:dyDescent="0.25"/>
    <row r="248339" s="12" customFormat="1" x14ac:dyDescent="0.25"/>
    <row r="248340" s="12" customFormat="1" x14ac:dyDescent="0.25"/>
    <row r="248341" s="12" customFormat="1" x14ac:dyDescent="0.25"/>
    <row r="248342" s="12" customFormat="1" x14ac:dyDescent="0.25"/>
    <row r="248343" s="12" customFormat="1" x14ac:dyDescent="0.25"/>
    <row r="248344" s="12" customFormat="1" x14ac:dyDescent="0.25"/>
    <row r="248345" s="12" customFormat="1" x14ac:dyDescent="0.25"/>
    <row r="248346" s="12" customFormat="1" x14ac:dyDescent="0.25"/>
    <row r="248347" s="12" customFormat="1" x14ac:dyDescent="0.25"/>
    <row r="248348" s="12" customFormat="1" x14ac:dyDescent="0.25"/>
    <row r="248349" s="12" customFormat="1" x14ac:dyDescent="0.25"/>
    <row r="248350" s="12" customFormat="1" x14ac:dyDescent="0.25"/>
    <row r="248351" s="12" customFormat="1" x14ac:dyDescent="0.25"/>
    <row r="248352" s="12" customFormat="1" x14ac:dyDescent="0.25"/>
    <row r="248353" s="12" customFormat="1" x14ac:dyDescent="0.25"/>
    <row r="248354" s="12" customFormat="1" x14ac:dyDescent="0.25"/>
    <row r="248355" s="12" customFormat="1" x14ac:dyDescent="0.25"/>
    <row r="248356" s="12" customFormat="1" x14ac:dyDescent="0.25"/>
    <row r="248357" s="12" customFormat="1" x14ac:dyDescent="0.25"/>
    <row r="248358" s="12" customFormat="1" x14ac:dyDescent="0.25"/>
    <row r="248359" s="12" customFormat="1" x14ac:dyDescent="0.25"/>
    <row r="248360" s="12" customFormat="1" x14ac:dyDescent="0.25"/>
    <row r="248361" s="12" customFormat="1" x14ac:dyDescent="0.25"/>
    <row r="248362" s="12" customFormat="1" x14ac:dyDescent="0.25"/>
    <row r="248363" s="12" customFormat="1" x14ac:dyDescent="0.25"/>
    <row r="248364" s="12" customFormat="1" x14ac:dyDescent="0.25"/>
    <row r="248365" s="12" customFormat="1" x14ac:dyDescent="0.25"/>
    <row r="248366" s="12" customFormat="1" x14ac:dyDescent="0.25"/>
    <row r="248367" s="12" customFormat="1" x14ac:dyDescent="0.25"/>
    <row r="248368" s="12" customFormat="1" x14ac:dyDescent="0.25"/>
    <row r="248369" s="12" customFormat="1" x14ac:dyDescent="0.25"/>
    <row r="248370" s="12" customFormat="1" x14ac:dyDescent="0.25"/>
    <row r="248371" s="12" customFormat="1" x14ac:dyDescent="0.25"/>
    <row r="248372" s="12" customFormat="1" x14ac:dyDescent="0.25"/>
    <row r="248373" s="12" customFormat="1" x14ac:dyDescent="0.25"/>
    <row r="248374" s="12" customFormat="1" x14ac:dyDescent="0.25"/>
    <row r="248375" s="12" customFormat="1" x14ac:dyDescent="0.25"/>
    <row r="248376" s="12" customFormat="1" x14ac:dyDescent="0.25"/>
    <row r="248377" s="12" customFormat="1" x14ac:dyDescent="0.25"/>
    <row r="248378" s="12" customFormat="1" x14ac:dyDescent="0.25"/>
    <row r="248379" s="12" customFormat="1" x14ac:dyDescent="0.25"/>
    <row r="248380" s="12" customFormat="1" x14ac:dyDescent="0.25"/>
    <row r="248381" s="12" customFormat="1" x14ac:dyDescent="0.25"/>
    <row r="248382" s="12" customFormat="1" x14ac:dyDescent="0.25"/>
    <row r="248383" s="12" customFormat="1" x14ac:dyDescent="0.25"/>
    <row r="248384" s="12" customFormat="1" x14ac:dyDescent="0.25"/>
    <row r="248385" s="12" customFormat="1" x14ac:dyDescent="0.25"/>
    <row r="248386" s="12" customFormat="1" x14ac:dyDescent="0.25"/>
    <row r="248387" s="12" customFormat="1" x14ac:dyDescent="0.25"/>
    <row r="248388" s="12" customFormat="1" x14ac:dyDescent="0.25"/>
    <row r="248389" s="12" customFormat="1" x14ac:dyDescent="0.25"/>
    <row r="248390" s="12" customFormat="1" x14ac:dyDescent="0.25"/>
    <row r="248391" s="12" customFormat="1" x14ac:dyDescent="0.25"/>
    <row r="248392" s="12" customFormat="1" x14ac:dyDescent="0.25"/>
    <row r="248393" s="12" customFormat="1" x14ac:dyDescent="0.25"/>
    <row r="248394" s="12" customFormat="1" x14ac:dyDescent="0.25"/>
    <row r="248395" s="12" customFormat="1" x14ac:dyDescent="0.25"/>
    <row r="248396" s="12" customFormat="1" x14ac:dyDescent="0.25"/>
    <row r="248397" s="12" customFormat="1" x14ac:dyDescent="0.25"/>
    <row r="248398" s="12" customFormat="1" x14ac:dyDescent="0.25"/>
    <row r="248399" s="12" customFormat="1" x14ac:dyDescent="0.25"/>
    <row r="248400" s="12" customFormat="1" x14ac:dyDescent="0.25"/>
    <row r="248401" s="12" customFormat="1" x14ac:dyDescent="0.25"/>
    <row r="248402" s="12" customFormat="1" x14ac:dyDescent="0.25"/>
    <row r="248403" s="12" customFormat="1" x14ac:dyDescent="0.25"/>
    <row r="248404" s="12" customFormat="1" x14ac:dyDescent="0.25"/>
    <row r="248405" s="12" customFormat="1" x14ac:dyDescent="0.25"/>
    <row r="248406" s="12" customFormat="1" x14ac:dyDescent="0.25"/>
    <row r="248407" s="12" customFormat="1" x14ac:dyDescent="0.25"/>
    <row r="248408" s="12" customFormat="1" x14ac:dyDescent="0.25"/>
    <row r="248409" s="12" customFormat="1" x14ac:dyDescent="0.25"/>
    <row r="248410" s="12" customFormat="1" x14ac:dyDescent="0.25"/>
    <row r="248411" s="12" customFormat="1" x14ac:dyDescent="0.25"/>
    <row r="248412" s="12" customFormat="1" x14ac:dyDescent="0.25"/>
    <row r="248413" s="12" customFormat="1" x14ac:dyDescent="0.25"/>
    <row r="248414" s="12" customFormat="1" x14ac:dyDescent="0.25"/>
    <row r="248415" s="12" customFormat="1" x14ac:dyDescent="0.25"/>
    <row r="248416" s="12" customFormat="1" x14ac:dyDescent="0.25"/>
    <row r="248417" s="12" customFormat="1" x14ac:dyDescent="0.25"/>
    <row r="248418" s="12" customFormat="1" x14ac:dyDescent="0.25"/>
    <row r="248419" s="12" customFormat="1" x14ac:dyDescent="0.25"/>
    <row r="248420" s="12" customFormat="1" x14ac:dyDescent="0.25"/>
    <row r="248421" s="12" customFormat="1" x14ac:dyDescent="0.25"/>
    <row r="248422" s="12" customFormat="1" x14ac:dyDescent="0.25"/>
    <row r="248423" s="12" customFormat="1" x14ac:dyDescent="0.25"/>
    <row r="248424" s="12" customFormat="1" x14ac:dyDescent="0.25"/>
    <row r="248425" s="12" customFormat="1" x14ac:dyDescent="0.25"/>
    <row r="248426" s="12" customFormat="1" x14ac:dyDescent="0.25"/>
    <row r="248427" s="12" customFormat="1" x14ac:dyDescent="0.25"/>
    <row r="248428" s="12" customFormat="1" x14ac:dyDescent="0.25"/>
    <row r="248429" s="12" customFormat="1" x14ac:dyDescent="0.25"/>
    <row r="248430" s="12" customFormat="1" x14ac:dyDescent="0.25"/>
    <row r="248431" s="12" customFormat="1" x14ac:dyDescent="0.25"/>
    <row r="248432" s="12" customFormat="1" x14ac:dyDescent="0.25"/>
    <row r="248433" s="12" customFormat="1" x14ac:dyDescent="0.25"/>
    <row r="248434" s="12" customFormat="1" x14ac:dyDescent="0.25"/>
    <row r="248435" s="12" customFormat="1" x14ac:dyDescent="0.25"/>
    <row r="248436" s="12" customFormat="1" x14ac:dyDescent="0.25"/>
    <row r="248437" s="12" customFormat="1" x14ac:dyDescent="0.25"/>
    <row r="248438" s="12" customFormat="1" x14ac:dyDescent="0.25"/>
    <row r="248439" s="12" customFormat="1" x14ac:dyDescent="0.25"/>
    <row r="248440" s="12" customFormat="1" x14ac:dyDescent="0.25"/>
    <row r="248441" s="12" customFormat="1" x14ac:dyDescent="0.25"/>
    <row r="248442" s="12" customFormat="1" x14ac:dyDescent="0.25"/>
    <row r="248443" s="12" customFormat="1" x14ac:dyDescent="0.25"/>
    <row r="248444" s="12" customFormat="1" x14ac:dyDescent="0.25"/>
    <row r="248445" s="12" customFormat="1" x14ac:dyDescent="0.25"/>
    <row r="248446" s="12" customFormat="1" x14ac:dyDescent="0.25"/>
    <row r="248447" s="12" customFormat="1" x14ac:dyDescent="0.25"/>
    <row r="248448" s="12" customFormat="1" x14ac:dyDescent="0.25"/>
    <row r="248449" s="12" customFormat="1" x14ac:dyDescent="0.25"/>
    <row r="248450" s="12" customFormat="1" x14ac:dyDescent="0.25"/>
    <row r="248451" s="12" customFormat="1" x14ac:dyDescent="0.25"/>
    <row r="248452" s="12" customFormat="1" x14ac:dyDescent="0.25"/>
    <row r="248453" s="12" customFormat="1" x14ac:dyDescent="0.25"/>
    <row r="248454" s="12" customFormat="1" x14ac:dyDescent="0.25"/>
    <row r="248455" s="12" customFormat="1" x14ac:dyDescent="0.25"/>
    <row r="248456" s="12" customFormat="1" x14ac:dyDescent="0.25"/>
    <row r="248457" s="12" customFormat="1" x14ac:dyDescent="0.25"/>
    <row r="248458" s="12" customFormat="1" x14ac:dyDescent="0.25"/>
    <row r="248459" s="12" customFormat="1" x14ac:dyDescent="0.25"/>
    <row r="248460" s="12" customFormat="1" x14ac:dyDescent="0.25"/>
    <row r="248461" s="12" customFormat="1" x14ac:dyDescent="0.25"/>
    <row r="248462" s="12" customFormat="1" x14ac:dyDescent="0.25"/>
    <row r="248463" s="12" customFormat="1" x14ac:dyDescent="0.25"/>
    <row r="248464" s="12" customFormat="1" x14ac:dyDescent="0.25"/>
    <row r="248465" s="12" customFormat="1" x14ac:dyDescent="0.25"/>
    <row r="248466" s="12" customFormat="1" x14ac:dyDescent="0.25"/>
    <row r="248467" s="12" customFormat="1" x14ac:dyDescent="0.25"/>
    <row r="248468" s="12" customFormat="1" x14ac:dyDescent="0.25"/>
    <row r="248469" s="12" customFormat="1" x14ac:dyDescent="0.25"/>
    <row r="248470" s="12" customFormat="1" x14ac:dyDescent="0.25"/>
    <row r="248471" s="12" customFormat="1" x14ac:dyDescent="0.25"/>
    <row r="248472" s="12" customFormat="1" x14ac:dyDescent="0.25"/>
    <row r="248473" s="12" customFormat="1" x14ac:dyDescent="0.25"/>
    <row r="248474" s="12" customFormat="1" x14ac:dyDescent="0.25"/>
    <row r="248475" s="12" customFormat="1" x14ac:dyDescent="0.25"/>
    <row r="248476" s="12" customFormat="1" x14ac:dyDescent="0.25"/>
    <row r="248477" s="12" customFormat="1" x14ac:dyDescent="0.25"/>
    <row r="248478" s="12" customFormat="1" x14ac:dyDescent="0.25"/>
    <row r="248479" s="12" customFormat="1" x14ac:dyDescent="0.25"/>
    <row r="248480" s="12" customFormat="1" x14ac:dyDescent="0.25"/>
    <row r="248481" s="12" customFormat="1" x14ac:dyDescent="0.25"/>
    <row r="248482" s="12" customFormat="1" x14ac:dyDescent="0.25"/>
    <row r="248483" s="12" customFormat="1" x14ac:dyDescent="0.25"/>
    <row r="248484" s="12" customFormat="1" x14ac:dyDescent="0.25"/>
    <row r="248485" s="12" customFormat="1" x14ac:dyDescent="0.25"/>
    <row r="248486" s="12" customFormat="1" x14ac:dyDescent="0.25"/>
    <row r="248487" s="12" customFormat="1" x14ac:dyDescent="0.25"/>
    <row r="248488" s="12" customFormat="1" x14ac:dyDescent="0.25"/>
    <row r="248489" s="12" customFormat="1" x14ac:dyDescent="0.25"/>
    <row r="248490" s="12" customFormat="1" x14ac:dyDescent="0.25"/>
    <row r="248491" s="12" customFormat="1" x14ac:dyDescent="0.25"/>
    <row r="248492" s="12" customFormat="1" x14ac:dyDescent="0.25"/>
    <row r="248493" s="12" customFormat="1" x14ac:dyDescent="0.25"/>
    <row r="248494" s="12" customFormat="1" x14ac:dyDescent="0.25"/>
    <row r="248495" s="12" customFormat="1" x14ac:dyDescent="0.25"/>
    <row r="248496" s="12" customFormat="1" x14ac:dyDescent="0.25"/>
    <row r="248497" s="12" customFormat="1" x14ac:dyDescent="0.25"/>
    <row r="248498" s="12" customFormat="1" x14ac:dyDescent="0.25"/>
    <row r="248499" s="12" customFormat="1" x14ac:dyDescent="0.25"/>
    <row r="248500" s="12" customFormat="1" x14ac:dyDescent="0.25"/>
    <row r="248501" s="12" customFormat="1" x14ac:dyDescent="0.25"/>
    <row r="248502" s="12" customFormat="1" x14ac:dyDescent="0.25"/>
    <row r="248503" s="12" customFormat="1" x14ac:dyDescent="0.25"/>
    <row r="248504" s="12" customFormat="1" x14ac:dyDescent="0.25"/>
    <row r="248505" s="12" customFormat="1" x14ac:dyDescent="0.25"/>
    <row r="248506" s="12" customFormat="1" x14ac:dyDescent="0.25"/>
    <row r="248507" s="12" customFormat="1" x14ac:dyDescent="0.25"/>
    <row r="248508" s="12" customFormat="1" x14ac:dyDescent="0.25"/>
    <row r="248509" s="12" customFormat="1" x14ac:dyDescent="0.25"/>
    <row r="248510" s="12" customFormat="1" x14ac:dyDescent="0.25"/>
    <row r="248511" s="12" customFormat="1" x14ac:dyDescent="0.25"/>
    <row r="248512" s="12" customFormat="1" x14ac:dyDescent="0.25"/>
    <row r="248513" s="12" customFormat="1" x14ac:dyDescent="0.25"/>
    <row r="248514" s="12" customFormat="1" x14ac:dyDescent="0.25"/>
    <row r="248515" s="12" customFormat="1" x14ac:dyDescent="0.25"/>
    <row r="248516" s="12" customFormat="1" x14ac:dyDescent="0.25"/>
    <row r="248517" s="12" customFormat="1" x14ac:dyDescent="0.25"/>
    <row r="248518" s="12" customFormat="1" x14ac:dyDescent="0.25"/>
    <row r="248519" s="12" customFormat="1" x14ac:dyDescent="0.25"/>
    <row r="248520" s="12" customFormat="1" x14ac:dyDescent="0.25"/>
    <row r="248521" s="12" customFormat="1" x14ac:dyDescent="0.25"/>
    <row r="248522" s="12" customFormat="1" x14ac:dyDescent="0.25"/>
    <row r="248523" s="12" customFormat="1" x14ac:dyDescent="0.25"/>
    <row r="248524" s="12" customFormat="1" x14ac:dyDescent="0.25"/>
    <row r="248525" s="12" customFormat="1" x14ac:dyDescent="0.25"/>
    <row r="248526" s="12" customFormat="1" x14ac:dyDescent="0.25"/>
    <row r="248527" s="12" customFormat="1" x14ac:dyDescent="0.25"/>
    <row r="248528" s="12" customFormat="1" x14ac:dyDescent="0.25"/>
    <row r="248529" s="12" customFormat="1" x14ac:dyDescent="0.25"/>
    <row r="248530" s="12" customFormat="1" x14ac:dyDescent="0.25"/>
    <row r="248531" s="12" customFormat="1" x14ac:dyDescent="0.25"/>
    <row r="248532" s="12" customFormat="1" x14ac:dyDescent="0.25"/>
    <row r="248533" s="12" customFormat="1" x14ac:dyDescent="0.25"/>
    <row r="248534" s="12" customFormat="1" x14ac:dyDescent="0.25"/>
    <row r="248535" s="12" customFormat="1" x14ac:dyDescent="0.25"/>
    <row r="248536" s="12" customFormat="1" x14ac:dyDescent="0.25"/>
    <row r="248537" s="12" customFormat="1" x14ac:dyDescent="0.25"/>
    <row r="248538" s="12" customFormat="1" x14ac:dyDescent="0.25"/>
    <row r="248539" s="12" customFormat="1" x14ac:dyDescent="0.25"/>
    <row r="248540" s="12" customFormat="1" x14ac:dyDescent="0.25"/>
    <row r="248541" s="12" customFormat="1" x14ac:dyDescent="0.25"/>
    <row r="248542" s="12" customFormat="1" x14ac:dyDescent="0.25"/>
    <row r="248543" s="12" customFormat="1" x14ac:dyDescent="0.25"/>
    <row r="248544" s="12" customFormat="1" x14ac:dyDescent="0.25"/>
    <row r="248545" s="12" customFormat="1" x14ac:dyDescent="0.25"/>
    <row r="248546" s="12" customFormat="1" x14ac:dyDescent="0.25"/>
    <row r="248547" s="12" customFormat="1" x14ac:dyDescent="0.25"/>
    <row r="248548" s="12" customFormat="1" x14ac:dyDescent="0.25"/>
    <row r="248549" s="12" customFormat="1" x14ac:dyDescent="0.25"/>
    <row r="248550" s="12" customFormat="1" x14ac:dyDescent="0.25"/>
    <row r="248551" s="12" customFormat="1" x14ac:dyDescent="0.25"/>
    <row r="248552" s="12" customFormat="1" x14ac:dyDescent="0.25"/>
    <row r="248553" s="12" customFormat="1" x14ac:dyDescent="0.25"/>
    <row r="248554" s="12" customFormat="1" x14ac:dyDescent="0.25"/>
    <row r="248555" s="12" customFormat="1" x14ac:dyDescent="0.25"/>
    <row r="248556" s="12" customFormat="1" x14ac:dyDescent="0.25"/>
    <row r="248557" s="12" customFormat="1" x14ac:dyDescent="0.25"/>
    <row r="248558" s="12" customFormat="1" x14ac:dyDescent="0.25"/>
    <row r="248559" s="12" customFormat="1" x14ac:dyDescent="0.25"/>
    <row r="248560" s="12" customFormat="1" x14ac:dyDescent="0.25"/>
    <row r="248561" s="12" customFormat="1" x14ac:dyDescent="0.25"/>
    <row r="248562" s="12" customFormat="1" x14ac:dyDescent="0.25"/>
    <row r="248563" s="12" customFormat="1" x14ac:dyDescent="0.25"/>
    <row r="248564" s="12" customFormat="1" x14ac:dyDescent="0.25"/>
    <row r="248565" s="12" customFormat="1" x14ac:dyDescent="0.25"/>
    <row r="248566" s="12" customFormat="1" x14ac:dyDescent="0.25"/>
    <row r="248567" s="12" customFormat="1" x14ac:dyDescent="0.25"/>
    <row r="248568" s="12" customFormat="1" x14ac:dyDescent="0.25"/>
    <row r="248569" s="12" customFormat="1" x14ac:dyDescent="0.25"/>
    <row r="248570" s="12" customFormat="1" x14ac:dyDescent="0.25"/>
    <row r="248571" s="12" customFormat="1" x14ac:dyDescent="0.25"/>
    <row r="248572" s="12" customFormat="1" x14ac:dyDescent="0.25"/>
    <row r="248573" s="12" customFormat="1" x14ac:dyDescent="0.25"/>
    <row r="248574" s="12" customFormat="1" x14ac:dyDescent="0.25"/>
    <row r="248575" s="12" customFormat="1" x14ac:dyDescent="0.25"/>
    <row r="248576" s="12" customFormat="1" x14ac:dyDescent="0.25"/>
    <row r="248577" s="12" customFormat="1" x14ac:dyDescent="0.25"/>
    <row r="248578" s="12" customFormat="1" x14ac:dyDescent="0.25"/>
    <row r="248579" s="12" customFormat="1" x14ac:dyDescent="0.25"/>
    <row r="248580" s="12" customFormat="1" x14ac:dyDescent="0.25"/>
    <row r="248581" s="12" customFormat="1" x14ac:dyDescent="0.25"/>
    <row r="248582" s="12" customFormat="1" x14ac:dyDescent="0.25"/>
    <row r="248583" s="12" customFormat="1" x14ac:dyDescent="0.25"/>
    <row r="248584" s="12" customFormat="1" x14ac:dyDescent="0.25"/>
    <row r="248585" s="12" customFormat="1" x14ac:dyDescent="0.25"/>
    <row r="248586" s="12" customFormat="1" x14ac:dyDescent="0.25"/>
    <row r="248587" s="12" customFormat="1" x14ac:dyDescent="0.25"/>
    <row r="248588" s="12" customFormat="1" x14ac:dyDescent="0.25"/>
    <row r="248589" s="12" customFormat="1" x14ac:dyDescent="0.25"/>
    <row r="248590" s="12" customFormat="1" x14ac:dyDescent="0.25"/>
    <row r="248591" s="12" customFormat="1" x14ac:dyDescent="0.25"/>
    <row r="248592" s="12" customFormat="1" x14ac:dyDescent="0.25"/>
    <row r="248593" s="12" customFormat="1" x14ac:dyDescent="0.25"/>
    <row r="248594" s="12" customFormat="1" x14ac:dyDescent="0.25"/>
    <row r="248595" s="12" customFormat="1" x14ac:dyDescent="0.25"/>
    <row r="248596" s="12" customFormat="1" x14ac:dyDescent="0.25"/>
    <row r="248597" s="12" customFormat="1" x14ac:dyDescent="0.25"/>
    <row r="248598" s="12" customFormat="1" x14ac:dyDescent="0.25"/>
    <row r="248599" s="12" customFormat="1" x14ac:dyDescent="0.25"/>
    <row r="248600" s="12" customFormat="1" x14ac:dyDescent="0.25"/>
    <row r="248601" s="12" customFormat="1" x14ac:dyDescent="0.25"/>
    <row r="248602" s="12" customFormat="1" x14ac:dyDescent="0.25"/>
    <row r="248603" s="12" customFormat="1" x14ac:dyDescent="0.25"/>
    <row r="248604" s="12" customFormat="1" x14ac:dyDescent="0.25"/>
    <row r="248605" s="12" customFormat="1" x14ac:dyDescent="0.25"/>
    <row r="248606" s="12" customFormat="1" x14ac:dyDescent="0.25"/>
    <row r="248607" s="12" customFormat="1" x14ac:dyDescent="0.25"/>
    <row r="248608" s="12" customFormat="1" x14ac:dyDescent="0.25"/>
    <row r="248609" s="12" customFormat="1" x14ac:dyDescent="0.25"/>
    <row r="248610" s="12" customFormat="1" x14ac:dyDescent="0.25"/>
    <row r="248611" s="12" customFormat="1" x14ac:dyDescent="0.25"/>
    <row r="248612" s="12" customFormat="1" x14ac:dyDescent="0.25"/>
    <row r="248613" s="12" customFormat="1" x14ac:dyDescent="0.25"/>
    <row r="248614" s="12" customFormat="1" x14ac:dyDescent="0.25"/>
    <row r="248615" s="12" customFormat="1" x14ac:dyDescent="0.25"/>
    <row r="248616" s="12" customFormat="1" x14ac:dyDescent="0.25"/>
    <row r="248617" s="12" customFormat="1" x14ac:dyDescent="0.25"/>
    <row r="248618" s="12" customFormat="1" x14ac:dyDescent="0.25"/>
    <row r="248619" s="12" customFormat="1" x14ac:dyDescent="0.25"/>
    <row r="248620" s="12" customFormat="1" x14ac:dyDescent="0.25"/>
    <row r="248621" s="12" customFormat="1" x14ac:dyDescent="0.25"/>
    <row r="248622" s="12" customFormat="1" x14ac:dyDescent="0.25"/>
    <row r="248623" s="12" customFormat="1" x14ac:dyDescent="0.25"/>
    <row r="248624" s="12" customFormat="1" x14ac:dyDescent="0.25"/>
    <row r="248625" s="12" customFormat="1" x14ac:dyDescent="0.25"/>
    <row r="248626" s="12" customFormat="1" x14ac:dyDescent="0.25"/>
    <row r="248627" s="12" customFormat="1" x14ac:dyDescent="0.25"/>
    <row r="248628" s="12" customFormat="1" x14ac:dyDescent="0.25"/>
    <row r="248629" s="12" customFormat="1" x14ac:dyDescent="0.25"/>
    <row r="248630" s="12" customFormat="1" x14ac:dyDescent="0.25"/>
    <row r="248631" s="12" customFormat="1" x14ac:dyDescent="0.25"/>
    <row r="248632" s="12" customFormat="1" x14ac:dyDescent="0.25"/>
    <row r="248633" s="12" customFormat="1" x14ac:dyDescent="0.25"/>
    <row r="248634" s="12" customFormat="1" x14ac:dyDescent="0.25"/>
    <row r="248635" s="12" customFormat="1" x14ac:dyDescent="0.25"/>
    <row r="248636" s="12" customFormat="1" x14ac:dyDescent="0.25"/>
    <row r="248637" s="12" customFormat="1" x14ac:dyDescent="0.25"/>
    <row r="248638" s="12" customFormat="1" x14ac:dyDescent="0.25"/>
    <row r="248639" s="12" customFormat="1" x14ac:dyDescent="0.25"/>
    <row r="248640" s="12" customFormat="1" x14ac:dyDescent="0.25"/>
    <row r="248641" s="12" customFormat="1" x14ac:dyDescent="0.25"/>
    <row r="248642" s="12" customFormat="1" x14ac:dyDescent="0.25"/>
    <row r="248643" s="12" customFormat="1" x14ac:dyDescent="0.25"/>
    <row r="248644" s="12" customFormat="1" x14ac:dyDescent="0.25"/>
    <row r="248645" s="12" customFormat="1" x14ac:dyDescent="0.25"/>
    <row r="248646" s="12" customFormat="1" x14ac:dyDescent="0.25"/>
    <row r="248647" s="12" customFormat="1" x14ac:dyDescent="0.25"/>
    <row r="248648" s="12" customFormat="1" x14ac:dyDescent="0.25"/>
    <row r="248649" s="12" customFormat="1" x14ac:dyDescent="0.25"/>
    <row r="248650" s="12" customFormat="1" x14ac:dyDescent="0.25"/>
    <row r="248651" s="12" customFormat="1" x14ac:dyDescent="0.25"/>
    <row r="248652" s="12" customFormat="1" x14ac:dyDescent="0.25"/>
    <row r="248653" s="12" customFormat="1" x14ac:dyDescent="0.25"/>
    <row r="248654" s="12" customFormat="1" x14ac:dyDescent="0.25"/>
    <row r="248655" s="12" customFormat="1" x14ac:dyDescent="0.25"/>
    <row r="248656" s="12" customFormat="1" x14ac:dyDescent="0.25"/>
    <row r="248657" s="12" customFormat="1" x14ac:dyDescent="0.25"/>
    <row r="248658" s="12" customFormat="1" x14ac:dyDescent="0.25"/>
    <row r="248659" s="12" customFormat="1" x14ac:dyDescent="0.25"/>
    <row r="248660" s="12" customFormat="1" x14ac:dyDescent="0.25"/>
    <row r="248661" s="12" customFormat="1" x14ac:dyDescent="0.25"/>
    <row r="248662" s="12" customFormat="1" x14ac:dyDescent="0.25"/>
    <row r="248663" s="12" customFormat="1" x14ac:dyDescent="0.25"/>
    <row r="248664" s="12" customFormat="1" x14ac:dyDescent="0.25"/>
    <row r="248665" s="12" customFormat="1" x14ac:dyDescent="0.25"/>
    <row r="248666" s="12" customFormat="1" x14ac:dyDescent="0.25"/>
    <row r="248667" s="12" customFormat="1" x14ac:dyDescent="0.25"/>
    <row r="248668" s="12" customFormat="1" x14ac:dyDescent="0.25"/>
    <row r="248669" s="12" customFormat="1" x14ac:dyDescent="0.25"/>
    <row r="248670" s="12" customFormat="1" x14ac:dyDescent="0.25"/>
    <row r="248671" s="12" customFormat="1" x14ac:dyDescent="0.25"/>
    <row r="248672" s="12" customFormat="1" x14ac:dyDescent="0.25"/>
    <row r="248673" s="12" customFormat="1" x14ac:dyDescent="0.25"/>
    <row r="248674" s="12" customFormat="1" x14ac:dyDescent="0.25"/>
    <row r="248675" s="12" customFormat="1" x14ac:dyDescent="0.25"/>
    <row r="248676" s="12" customFormat="1" x14ac:dyDescent="0.25"/>
    <row r="248677" s="12" customFormat="1" x14ac:dyDescent="0.25"/>
    <row r="248678" s="12" customFormat="1" x14ac:dyDescent="0.25"/>
    <row r="248679" s="12" customFormat="1" x14ac:dyDescent="0.25"/>
    <row r="248680" s="12" customFormat="1" x14ac:dyDescent="0.25"/>
    <row r="248681" s="12" customFormat="1" x14ac:dyDescent="0.25"/>
    <row r="248682" s="12" customFormat="1" x14ac:dyDescent="0.25"/>
    <row r="248683" s="12" customFormat="1" x14ac:dyDescent="0.25"/>
    <row r="248684" s="12" customFormat="1" x14ac:dyDescent="0.25"/>
    <row r="248685" s="12" customFormat="1" x14ac:dyDescent="0.25"/>
    <row r="248686" s="12" customFormat="1" x14ac:dyDescent="0.25"/>
    <row r="248687" s="12" customFormat="1" x14ac:dyDescent="0.25"/>
    <row r="248688" s="12" customFormat="1" x14ac:dyDescent="0.25"/>
    <row r="248689" s="12" customFormat="1" x14ac:dyDescent="0.25"/>
    <row r="248690" s="12" customFormat="1" x14ac:dyDescent="0.25"/>
    <row r="248691" s="12" customFormat="1" x14ac:dyDescent="0.25"/>
    <row r="248692" s="12" customFormat="1" x14ac:dyDescent="0.25"/>
    <row r="248693" s="12" customFormat="1" x14ac:dyDescent="0.25"/>
    <row r="248694" s="12" customFormat="1" x14ac:dyDescent="0.25"/>
    <row r="248695" s="12" customFormat="1" x14ac:dyDescent="0.25"/>
    <row r="248696" s="12" customFormat="1" x14ac:dyDescent="0.25"/>
    <row r="248697" s="12" customFormat="1" x14ac:dyDescent="0.25"/>
    <row r="248698" s="12" customFormat="1" x14ac:dyDescent="0.25"/>
    <row r="248699" s="12" customFormat="1" x14ac:dyDescent="0.25"/>
    <row r="248700" s="12" customFormat="1" x14ac:dyDescent="0.25"/>
    <row r="248701" s="12" customFormat="1" x14ac:dyDescent="0.25"/>
    <row r="248702" s="12" customFormat="1" x14ac:dyDescent="0.25"/>
    <row r="248703" s="12" customFormat="1" x14ac:dyDescent="0.25"/>
    <row r="248704" s="12" customFormat="1" x14ac:dyDescent="0.25"/>
    <row r="248705" s="12" customFormat="1" x14ac:dyDescent="0.25"/>
    <row r="248706" s="12" customFormat="1" x14ac:dyDescent="0.25"/>
    <row r="248707" s="12" customFormat="1" x14ac:dyDescent="0.25"/>
    <row r="248708" s="12" customFormat="1" x14ac:dyDescent="0.25"/>
    <row r="248709" s="12" customFormat="1" x14ac:dyDescent="0.25"/>
    <row r="248710" s="12" customFormat="1" x14ac:dyDescent="0.25"/>
    <row r="248711" s="12" customFormat="1" x14ac:dyDescent="0.25"/>
    <row r="248712" s="12" customFormat="1" x14ac:dyDescent="0.25"/>
    <row r="248713" s="12" customFormat="1" x14ac:dyDescent="0.25"/>
    <row r="248714" s="12" customFormat="1" x14ac:dyDescent="0.25"/>
    <row r="248715" s="12" customFormat="1" x14ac:dyDescent="0.25"/>
    <row r="248716" s="12" customFormat="1" x14ac:dyDescent="0.25"/>
    <row r="248717" s="12" customFormat="1" x14ac:dyDescent="0.25"/>
    <row r="248718" s="12" customFormat="1" x14ac:dyDescent="0.25"/>
    <row r="248719" s="12" customFormat="1" x14ac:dyDescent="0.25"/>
    <row r="248720" s="12" customFormat="1" x14ac:dyDescent="0.25"/>
    <row r="248721" s="12" customFormat="1" x14ac:dyDescent="0.25"/>
    <row r="248722" s="12" customFormat="1" x14ac:dyDescent="0.25"/>
    <row r="248723" s="12" customFormat="1" x14ac:dyDescent="0.25"/>
    <row r="248724" s="12" customFormat="1" x14ac:dyDescent="0.25"/>
    <row r="248725" s="12" customFormat="1" x14ac:dyDescent="0.25"/>
    <row r="248726" s="12" customFormat="1" x14ac:dyDescent="0.25"/>
    <row r="248727" s="12" customFormat="1" x14ac:dyDescent="0.25"/>
    <row r="248728" s="12" customFormat="1" x14ac:dyDescent="0.25"/>
    <row r="248729" s="12" customFormat="1" x14ac:dyDescent="0.25"/>
    <row r="248730" s="12" customFormat="1" x14ac:dyDescent="0.25"/>
    <row r="248731" s="12" customFormat="1" x14ac:dyDescent="0.25"/>
    <row r="248732" s="12" customFormat="1" x14ac:dyDescent="0.25"/>
    <row r="248733" s="12" customFormat="1" x14ac:dyDescent="0.25"/>
    <row r="248734" s="12" customFormat="1" x14ac:dyDescent="0.25"/>
    <row r="248735" s="12" customFormat="1" x14ac:dyDescent="0.25"/>
    <row r="248736" s="12" customFormat="1" x14ac:dyDescent="0.25"/>
    <row r="248737" s="12" customFormat="1" x14ac:dyDescent="0.25"/>
    <row r="248738" s="12" customFormat="1" x14ac:dyDescent="0.25"/>
    <row r="248739" s="12" customFormat="1" x14ac:dyDescent="0.25"/>
    <row r="248740" s="12" customFormat="1" x14ac:dyDescent="0.25"/>
    <row r="248741" s="12" customFormat="1" x14ac:dyDescent="0.25"/>
    <row r="248742" s="12" customFormat="1" x14ac:dyDescent="0.25"/>
    <row r="248743" s="12" customFormat="1" x14ac:dyDescent="0.25"/>
    <row r="248744" s="12" customFormat="1" x14ac:dyDescent="0.25"/>
    <row r="248745" s="12" customFormat="1" x14ac:dyDescent="0.25"/>
    <row r="248746" s="12" customFormat="1" x14ac:dyDescent="0.25"/>
    <row r="248747" s="12" customFormat="1" x14ac:dyDescent="0.25"/>
    <row r="248748" s="12" customFormat="1" x14ac:dyDescent="0.25"/>
    <row r="248749" s="12" customFormat="1" x14ac:dyDescent="0.25"/>
    <row r="248750" s="12" customFormat="1" x14ac:dyDescent="0.25"/>
    <row r="248751" s="12" customFormat="1" x14ac:dyDescent="0.25"/>
    <row r="248752" s="12" customFormat="1" x14ac:dyDescent="0.25"/>
    <row r="248753" s="12" customFormat="1" x14ac:dyDescent="0.25"/>
    <row r="248754" s="12" customFormat="1" x14ac:dyDescent="0.25"/>
    <row r="248755" s="12" customFormat="1" x14ac:dyDescent="0.25"/>
    <row r="248756" s="12" customFormat="1" x14ac:dyDescent="0.25"/>
    <row r="248757" s="12" customFormat="1" x14ac:dyDescent="0.25"/>
    <row r="248758" s="12" customFormat="1" x14ac:dyDescent="0.25"/>
    <row r="248759" s="12" customFormat="1" x14ac:dyDescent="0.25"/>
    <row r="248760" s="12" customFormat="1" x14ac:dyDescent="0.25"/>
    <row r="248761" s="12" customFormat="1" x14ac:dyDescent="0.25"/>
    <row r="248762" s="12" customFormat="1" x14ac:dyDescent="0.25"/>
    <row r="248763" s="12" customFormat="1" x14ac:dyDescent="0.25"/>
    <row r="248764" s="12" customFormat="1" x14ac:dyDescent="0.25"/>
    <row r="248765" s="12" customFormat="1" x14ac:dyDescent="0.25"/>
    <row r="248766" s="12" customFormat="1" x14ac:dyDescent="0.25"/>
    <row r="248767" s="12" customFormat="1" x14ac:dyDescent="0.25"/>
    <row r="248768" s="12" customFormat="1" x14ac:dyDescent="0.25"/>
    <row r="248769" s="12" customFormat="1" x14ac:dyDescent="0.25"/>
    <row r="248770" s="12" customFormat="1" x14ac:dyDescent="0.25"/>
    <row r="248771" s="12" customFormat="1" x14ac:dyDescent="0.25"/>
    <row r="248772" s="12" customFormat="1" x14ac:dyDescent="0.25"/>
    <row r="248773" s="12" customFormat="1" x14ac:dyDescent="0.25"/>
    <row r="248774" s="12" customFormat="1" x14ac:dyDescent="0.25"/>
    <row r="248775" s="12" customFormat="1" x14ac:dyDescent="0.25"/>
    <row r="248776" s="12" customFormat="1" x14ac:dyDescent="0.25"/>
    <row r="248777" s="12" customFormat="1" x14ac:dyDescent="0.25"/>
    <row r="248778" s="12" customFormat="1" x14ac:dyDescent="0.25"/>
    <row r="248779" s="12" customFormat="1" x14ac:dyDescent="0.25"/>
    <row r="248780" s="12" customFormat="1" x14ac:dyDescent="0.25"/>
    <row r="248781" s="12" customFormat="1" x14ac:dyDescent="0.25"/>
    <row r="248782" s="12" customFormat="1" x14ac:dyDescent="0.25"/>
    <row r="248783" s="12" customFormat="1" x14ac:dyDescent="0.25"/>
    <row r="248784" s="12" customFormat="1" x14ac:dyDescent="0.25"/>
    <row r="248785" s="12" customFormat="1" x14ac:dyDescent="0.25"/>
    <row r="248786" s="12" customFormat="1" x14ac:dyDescent="0.25"/>
    <row r="248787" s="12" customFormat="1" x14ac:dyDescent="0.25"/>
    <row r="248788" s="12" customFormat="1" x14ac:dyDescent="0.25"/>
    <row r="248789" s="12" customFormat="1" x14ac:dyDescent="0.25"/>
    <row r="248790" s="12" customFormat="1" x14ac:dyDescent="0.25"/>
    <row r="248791" s="12" customFormat="1" x14ac:dyDescent="0.25"/>
    <row r="248792" s="12" customFormat="1" x14ac:dyDescent="0.25"/>
    <row r="248793" s="12" customFormat="1" x14ac:dyDescent="0.25"/>
    <row r="248794" s="12" customFormat="1" x14ac:dyDescent="0.25"/>
    <row r="248795" s="12" customFormat="1" x14ac:dyDescent="0.25"/>
    <row r="248796" s="12" customFormat="1" x14ac:dyDescent="0.25"/>
    <row r="248797" s="12" customFormat="1" x14ac:dyDescent="0.25"/>
    <row r="248798" s="12" customFormat="1" x14ac:dyDescent="0.25"/>
    <row r="248799" s="12" customFormat="1" x14ac:dyDescent="0.25"/>
    <row r="248800" s="12" customFormat="1" x14ac:dyDescent="0.25"/>
    <row r="248801" s="12" customFormat="1" x14ac:dyDescent="0.25"/>
    <row r="248802" s="12" customFormat="1" x14ac:dyDescent="0.25"/>
    <row r="248803" s="12" customFormat="1" x14ac:dyDescent="0.25"/>
    <row r="248804" s="12" customFormat="1" x14ac:dyDescent="0.25"/>
    <row r="248805" s="12" customFormat="1" x14ac:dyDescent="0.25"/>
    <row r="248806" s="12" customFormat="1" x14ac:dyDescent="0.25"/>
    <row r="248807" s="12" customFormat="1" x14ac:dyDescent="0.25"/>
    <row r="248808" s="12" customFormat="1" x14ac:dyDescent="0.25"/>
    <row r="248809" s="12" customFormat="1" x14ac:dyDescent="0.25"/>
    <row r="248810" s="12" customFormat="1" x14ac:dyDescent="0.25"/>
    <row r="248811" s="12" customFormat="1" x14ac:dyDescent="0.25"/>
    <row r="248812" s="12" customFormat="1" x14ac:dyDescent="0.25"/>
    <row r="248813" s="12" customFormat="1" x14ac:dyDescent="0.25"/>
    <row r="248814" s="12" customFormat="1" x14ac:dyDescent="0.25"/>
    <row r="248815" s="12" customFormat="1" x14ac:dyDescent="0.25"/>
    <row r="248816" s="12" customFormat="1" x14ac:dyDescent="0.25"/>
    <row r="248817" s="12" customFormat="1" x14ac:dyDescent="0.25"/>
    <row r="248818" s="12" customFormat="1" x14ac:dyDescent="0.25"/>
    <row r="248819" s="12" customFormat="1" x14ac:dyDescent="0.25"/>
    <row r="248820" s="12" customFormat="1" x14ac:dyDescent="0.25"/>
    <row r="248821" s="12" customFormat="1" x14ac:dyDescent="0.25"/>
    <row r="248822" s="12" customFormat="1" x14ac:dyDescent="0.25"/>
    <row r="248823" s="12" customFormat="1" x14ac:dyDescent="0.25"/>
    <row r="248824" s="12" customFormat="1" x14ac:dyDescent="0.25"/>
    <row r="248825" s="12" customFormat="1" x14ac:dyDescent="0.25"/>
    <row r="248826" s="12" customFormat="1" x14ac:dyDescent="0.25"/>
    <row r="248827" s="12" customFormat="1" x14ac:dyDescent="0.25"/>
    <row r="248828" s="12" customFormat="1" x14ac:dyDescent="0.25"/>
    <row r="248829" s="12" customFormat="1" x14ac:dyDescent="0.25"/>
    <row r="248830" s="12" customFormat="1" x14ac:dyDescent="0.25"/>
    <row r="248831" s="12" customFormat="1" x14ac:dyDescent="0.25"/>
    <row r="248832" s="12" customFormat="1" x14ac:dyDescent="0.25"/>
    <row r="248833" s="12" customFormat="1" x14ac:dyDescent="0.25"/>
    <row r="248834" s="12" customFormat="1" x14ac:dyDescent="0.25"/>
    <row r="248835" s="12" customFormat="1" x14ac:dyDescent="0.25"/>
    <row r="248836" s="12" customFormat="1" x14ac:dyDescent="0.25"/>
    <row r="248837" s="12" customFormat="1" x14ac:dyDescent="0.25"/>
    <row r="248838" s="12" customFormat="1" x14ac:dyDescent="0.25"/>
    <row r="248839" s="12" customFormat="1" x14ac:dyDescent="0.25"/>
    <row r="248840" s="12" customFormat="1" x14ac:dyDescent="0.25"/>
    <row r="248841" s="12" customFormat="1" x14ac:dyDescent="0.25"/>
    <row r="248842" s="12" customFormat="1" x14ac:dyDescent="0.25"/>
    <row r="248843" s="12" customFormat="1" x14ac:dyDescent="0.25"/>
    <row r="248844" s="12" customFormat="1" x14ac:dyDescent="0.25"/>
    <row r="248845" s="12" customFormat="1" x14ac:dyDescent="0.25"/>
    <row r="248846" s="12" customFormat="1" x14ac:dyDescent="0.25"/>
    <row r="248847" s="12" customFormat="1" x14ac:dyDescent="0.25"/>
    <row r="248848" s="12" customFormat="1" x14ac:dyDescent="0.25"/>
    <row r="248849" s="12" customFormat="1" x14ac:dyDescent="0.25"/>
    <row r="248850" s="12" customFormat="1" x14ac:dyDescent="0.25"/>
    <row r="248851" s="12" customFormat="1" x14ac:dyDescent="0.25"/>
    <row r="248852" s="12" customFormat="1" x14ac:dyDescent="0.25"/>
    <row r="248853" s="12" customFormat="1" x14ac:dyDescent="0.25"/>
    <row r="248854" s="12" customFormat="1" x14ac:dyDescent="0.25"/>
    <row r="248855" s="12" customFormat="1" x14ac:dyDescent="0.25"/>
    <row r="248856" s="12" customFormat="1" x14ac:dyDescent="0.25"/>
    <row r="248857" s="12" customFormat="1" x14ac:dyDescent="0.25"/>
    <row r="248858" s="12" customFormat="1" x14ac:dyDescent="0.25"/>
    <row r="248859" s="12" customFormat="1" x14ac:dyDescent="0.25"/>
    <row r="248860" s="12" customFormat="1" x14ac:dyDescent="0.25"/>
    <row r="248861" s="12" customFormat="1" x14ac:dyDescent="0.25"/>
    <row r="248862" s="12" customFormat="1" x14ac:dyDescent="0.25"/>
    <row r="248863" s="12" customFormat="1" x14ac:dyDescent="0.25"/>
    <row r="248864" s="12" customFormat="1" x14ac:dyDescent="0.25"/>
    <row r="248865" s="12" customFormat="1" x14ac:dyDescent="0.25"/>
    <row r="248866" s="12" customFormat="1" x14ac:dyDescent="0.25"/>
    <row r="248867" s="12" customFormat="1" x14ac:dyDescent="0.25"/>
    <row r="248868" s="12" customFormat="1" x14ac:dyDescent="0.25"/>
    <row r="248869" s="12" customFormat="1" x14ac:dyDescent="0.25"/>
    <row r="248870" s="12" customFormat="1" x14ac:dyDescent="0.25"/>
    <row r="248871" s="12" customFormat="1" x14ac:dyDescent="0.25"/>
    <row r="248872" s="12" customFormat="1" x14ac:dyDescent="0.25"/>
    <row r="248873" s="12" customFormat="1" x14ac:dyDescent="0.25"/>
    <row r="248874" s="12" customFormat="1" x14ac:dyDescent="0.25"/>
    <row r="248875" s="12" customFormat="1" x14ac:dyDescent="0.25"/>
    <row r="248876" s="12" customFormat="1" x14ac:dyDescent="0.25"/>
    <row r="248877" s="12" customFormat="1" x14ac:dyDescent="0.25"/>
    <row r="248878" s="12" customFormat="1" x14ac:dyDescent="0.25"/>
    <row r="248879" s="12" customFormat="1" x14ac:dyDescent="0.25"/>
    <row r="248880" s="12" customFormat="1" x14ac:dyDescent="0.25"/>
    <row r="248881" s="12" customFormat="1" x14ac:dyDescent="0.25"/>
    <row r="248882" s="12" customFormat="1" x14ac:dyDescent="0.25"/>
    <row r="248883" s="12" customFormat="1" x14ac:dyDescent="0.25"/>
    <row r="248884" s="12" customFormat="1" x14ac:dyDescent="0.25"/>
    <row r="248885" s="12" customFormat="1" x14ac:dyDescent="0.25"/>
    <row r="248886" s="12" customFormat="1" x14ac:dyDescent="0.25"/>
    <row r="248887" s="12" customFormat="1" x14ac:dyDescent="0.25"/>
    <row r="248888" s="12" customFormat="1" x14ac:dyDescent="0.25"/>
    <row r="248889" s="12" customFormat="1" x14ac:dyDescent="0.25"/>
    <row r="248890" s="12" customFormat="1" x14ac:dyDescent="0.25"/>
    <row r="248891" s="12" customFormat="1" x14ac:dyDescent="0.25"/>
    <row r="248892" s="12" customFormat="1" x14ac:dyDescent="0.25"/>
    <row r="248893" s="12" customFormat="1" x14ac:dyDescent="0.25"/>
    <row r="248894" s="12" customFormat="1" x14ac:dyDescent="0.25"/>
    <row r="248895" s="12" customFormat="1" x14ac:dyDescent="0.25"/>
    <row r="248896" s="12" customFormat="1" x14ac:dyDescent="0.25"/>
    <row r="248897" s="12" customFormat="1" x14ac:dyDescent="0.25"/>
    <row r="248898" s="12" customFormat="1" x14ac:dyDescent="0.25"/>
    <row r="248899" s="12" customFormat="1" x14ac:dyDescent="0.25"/>
    <row r="248900" s="12" customFormat="1" x14ac:dyDescent="0.25"/>
    <row r="248901" s="12" customFormat="1" x14ac:dyDescent="0.25"/>
    <row r="248902" s="12" customFormat="1" x14ac:dyDescent="0.25"/>
    <row r="248903" s="12" customFormat="1" x14ac:dyDescent="0.25"/>
    <row r="248904" s="12" customFormat="1" x14ac:dyDescent="0.25"/>
    <row r="248905" s="12" customFormat="1" x14ac:dyDescent="0.25"/>
    <row r="248906" s="12" customFormat="1" x14ac:dyDescent="0.25"/>
    <row r="248907" s="12" customFormat="1" x14ac:dyDescent="0.25"/>
    <row r="248908" s="12" customFormat="1" x14ac:dyDescent="0.25"/>
    <row r="248909" s="12" customFormat="1" x14ac:dyDescent="0.25"/>
    <row r="248910" s="12" customFormat="1" x14ac:dyDescent="0.25"/>
    <row r="248911" s="12" customFormat="1" x14ac:dyDescent="0.25"/>
    <row r="248912" s="12" customFormat="1" x14ac:dyDescent="0.25"/>
    <row r="248913" s="12" customFormat="1" x14ac:dyDescent="0.25"/>
    <row r="248914" s="12" customFormat="1" x14ac:dyDescent="0.25"/>
    <row r="248915" s="12" customFormat="1" x14ac:dyDescent="0.25"/>
    <row r="248916" s="12" customFormat="1" x14ac:dyDescent="0.25"/>
    <row r="248917" s="12" customFormat="1" x14ac:dyDescent="0.25"/>
    <row r="248918" s="12" customFormat="1" x14ac:dyDescent="0.25"/>
    <row r="248919" s="12" customFormat="1" x14ac:dyDescent="0.25"/>
    <row r="248920" s="12" customFormat="1" x14ac:dyDescent="0.25"/>
    <row r="248921" s="12" customFormat="1" x14ac:dyDescent="0.25"/>
    <row r="248922" s="12" customFormat="1" x14ac:dyDescent="0.25"/>
    <row r="248923" s="12" customFormat="1" x14ac:dyDescent="0.25"/>
    <row r="248924" s="12" customFormat="1" x14ac:dyDescent="0.25"/>
    <row r="248925" s="12" customFormat="1" x14ac:dyDescent="0.25"/>
    <row r="248926" s="12" customFormat="1" x14ac:dyDescent="0.25"/>
    <row r="248927" s="12" customFormat="1" x14ac:dyDescent="0.25"/>
    <row r="248928" s="12" customFormat="1" x14ac:dyDescent="0.25"/>
    <row r="248929" s="12" customFormat="1" x14ac:dyDescent="0.25"/>
    <row r="248930" s="12" customFormat="1" x14ac:dyDescent="0.25"/>
    <row r="248931" s="12" customFormat="1" x14ac:dyDescent="0.25"/>
    <row r="248932" s="12" customFormat="1" x14ac:dyDescent="0.25"/>
    <row r="248933" s="12" customFormat="1" x14ac:dyDescent="0.25"/>
    <row r="248934" s="12" customFormat="1" x14ac:dyDescent="0.25"/>
    <row r="248935" s="12" customFormat="1" x14ac:dyDescent="0.25"/>
    <row r="248936" s="12" customFormat="1" x14ac:dyDescent="0.25"/>
    <row r="248937" s="12" customFormat="1" x14ac:dyDescent="0.25"/>
    <row r="248938" s="12" customFormat="1" x14ac:dyDescent="0.25"/>
    <row r="248939" s="12" customFormat="1" x14ac:dyDescent="0.25"/>
    <row r="248940" s="12" customFormat="1" x14ac:dyDescent="0.25"/>
    <row r="248941" s="12" customFormat="1" x14ac:dyDescent="0.25"/>
    <row r="248942" s="12" customFormat="1" x14ac:dyDescent="0.25"/>
    <row r="248943" s="12" customFormat="1" x14ac:dyDescent="0.25"/>
    <row r="248944" s="12" customFormat="1" x14ac:dyDescent="0.25"/>
    <row r="248945" s="12" customFormat="1" x14ac:dyDescent="0.25"/>
    <row r="248946" s="12" customFormat="1" x14ac:dyDescent="0.25"/>
    <row r="248947" s="12" customFormat="1" x14ac:dyDescent="0.25"/>
    <row r="248948" s="12" customFormat="1" x14ac:dyDescent="0.25"/>
    <row r="248949" s="12" customFormat="1" x14ac:dyDescent="0.25"/>
    <row r="248950" s="12" customFormat="1" x14ac:dyDescent="0.25"/>
    <row r="248951" s="12" customFormat="1" x14ac:dyDescent="0.25"/>
    <row r="248952" s="12" customFormat="1" x14ac:dyDescent="0.25"/>
    <row r="248953" s="12" customFormat="1" x14ac:dyDescent="0.25"/>
    <row r="248954" s="12" customFormat="1" x14ac:dyDescent="0.25"/>
    <row r="248955" s="12" customFormat="1" x14ac:dyDescent="0.25"/>
    <row r="248956" s="12" customFormat="1" x14ac:dyDescent="0.25"/>
    <row r="248957" s="12" customFormat="1" x14ac:dyDescent="0.25"/>
    <row r="248958" s="12" customFormat="1" x14ac:dyDescent="0.25"/>
    <row r="248959" s="12" customFormat="1" x14ac:dyDescent="0.25"/>
    <row r="248960" s="12" customFormat="1" x14ac:dyDescent="0.25"/>
    <row r="248961" s="12" customFormat="1" x14ac:dyDescent="0.25"/>
    <row r="248962" s="12" customFormat="1" x14ac:dyDescent="0.25"/>
    <row r="248963" s="12" customFormat="1" x14ac:dyDescent="0.25"/>
    <row r="248964" s="12" customFormat="1" x14ac:dyDescent="0.25"/>
    <row r="248965" s="12" customFormat="1" x14ac:dyDescent="0.25"/>
    <row r="248966" s="12" customFormat="1" x14ac:dyDescent="0.25"/>
    <row r="248967" s="12" customFormat="1" x14ac:dyDescent="0.25"/>
    <row r="248968" s="12" customFormat="1" x14ac:dyDescent="0.25"/>
    <row r="248969" s="12" customFormat="1" x14ac:dyDescent="0.25"/>
    <row r="248970" s="12" customFormat="1" x14ac:dyDescent="0.25"/>
    <row r="248971" s="12" customFormat="1" x14ac:dyDescent="0.25"/>
    <row r="248972" s="12" customFormat="1" x14ac:dyDescent="0.25"/>
    <row r="248973" s="12" customFormat="1" x14ac:dyDescent="0.25"/>
    <row r="248974" s="12" customFormat="1" x14ac:dyDescent="0.25"/>
    <row r="248975" s="12" customFormat="1" x14ac:dyDescent="0.25"/>
    <row r="248976" s="12" customFormat="1" x14ac:dyDescent="0.25"/>
    <row r="248977" s="12" customFormat="1" x14ac:dyDescent="0.25"/>
    <row r="248978" s="12" customFormat="1" x14ac:dyDescent="0.25"/>
    <row r="248979" s="12" customFormat="1" x14ac:dyDescent="0.25"/>
    <row r="248980" s="12" customFormat="1" x14ac:dyDescent="0.25"/>
    <row r="248981" s="12" customFormat="1" x14ac:dyDescent="0.25"/>
    <row r="248982" s="12" customFormat="1" x14ac:dyDescent="0.25"/>
    <row r="248983" s="12" customFormat="1" x14ac:dyDescent="0.25"/>
    <row r="248984" s="12" customFormat="1" x14ac:dyDescent="0.25"/>
    <row r="248985" s="12" customFormat="1" x14ac:dyDescent="0.25"/>
    <row r="248986" s="12" customFormat="1" x14ac:dyDescent="0.25"/>
    <row r="248987" s="12" customFormat="1" x14ac:dyDescent="0.25"/>
    <row r="248988" s="12" customFormat="1" x14ac:dyDescent="0.25"/>
    <row r="248989" s="12" customFormat="1" x14ac:dyDescent="0.25"/>
    <row r="248990" s="12" customFormat="1" x14ac:dyDescent="0.25"/>
    <row r="248991" s="12" customFormat="1" x14ac:dyDescent="0.25"/>
    <row r="248992" s="12" customFormat="1" x14ac:dyDescent="0.25"/>
    <row r="248993" s="12" customFormat="1" x14ac:dyDescent="0.25"/>
    <row r="248994" s="12" customFormat="1" x14ac:dyDescent="0.25"/>
    <row r="248995" s="12" customFormat="1" x14ac:dyDescent="0.25"/>
    <row r="248996" s="12" customFormat="1" x14ac:dyDescent="0.25"/>
    <row r="248997" s="12" customFormat="1" x14ac:dyDescent="0.25"/>
    <row r="248998" s="12" customFormat="1" x14ac:dyDescent="0.25"/>
    <row r="248999" s="12" customFormat="1" x14ac:dyDescent="0.25"/>
    <row r="249000" s="12" customFormat="1" x14ac:dyDescent="0.25"/>
    <row r="249001" s="12" customFormat="1" x14ac:dyDescent="0.25"/>
    <row r="249002" s="12" customFormat="1" x14ac:dyDescent="0.25"/>
    <row r="249003" s="12" customFormat="1" x14ac:dyDescent="0.25"/>
    <row r="249004" s="12" customFormat="1" x14ac:dyDescent="0.25"/>
    <row r="249005" s="12" customFormat="1" x14ac:dyDescent="0.25"/>
    <row r="249006" s="12" customFormat="1" x14ac:dyDescent="0.25"/>
    <row r="249007" s="12" customFormat="1" x14ac:dyDescent="0.25"/>
    <row r="249008" s="12" customFormat="1" x14ac:dyDescent="0.25"/>
    <row r="249009" s="12" customFormat="1" x14ac:dyDescent="0.25"/>
    <row r="249010" s="12" customFormat="1" x14ac:dyDescent="0.25"/>
    <row r="249011" s="12" customFormat="1" x14ac:dyDescent="0.25"/>
    <row r="249012" s="12" customFormat="1" x14ac:dyDescent="0.25"/>
    <row r="249013" s="12" customFormat="1" x14ac:dyDescent="0.25"/>
    <row r="249014" s="12" customFormat="1" x14ac:dyDescent="0.25"/>
    <row r="249015" s="12" customFormat="1" x14ac:dyDescent="0.25"/>
    <row r="249016" s="12" customFormat="1" x14ac:dyDescent="0.25"/>
    <row r="249017" s="12" customFormat="1" x14ac:dyDescent="0.25"/>
    <row r="249018" s="12" customFormat="1" x14ac:dyDescent="0.25"/>
    <row r="249019" s="12" customFormat="1" x14ac:dyDescent="0.25"/>
    <row r="249020" s="12" customFormat="1" x14ac:dyDescent="0.25"/>
    <row r="249021" s="12" customFormat="1" x14ac:dyDescent="0.25"/>
    <row r="249022" s="12" customFormat="1" x14ac:dyDescent="0.25"/>
    <row r="249023" s="12" customFormat="1" x14ac:dyDescent="0.25"/>
    <row r="249024" s="12" customFormat="1" x14ac:dyDescent="0.25"/>
    <row r="249025" s="12" customFormat="1" x14ac:dyDescent="0.25"/>
    <row r="249026" s="12" customFormat="1" x14ac:dyDescent="0.25"/>
    <row r="249027" s="12" customFormat="1" x14ac:dyDescent="0.25"/>
    <row r="249028" s="12" customFormat="1" x14ac:dyDescent="0.25"/>
    <row r="249029" s="12" customFormat="1" x14ac:dyDescent="0.25"/>
    <row r="249030" s="12" customFormat="1" x14ac:dyDescent="0.25"/>
    <row r="249031" s="12" customFormat="1" x14ac:dyDescent="0.25"/>
    <row r="249032" s="12" customFormat="1" x14ac:dyDescent="0.25"/>
    <row r="249033" s="12" customFormat="1" x14ac:dyDescent="0.25"/>
    <row r="249034" s="12" customFormat="1" x14ac:dyDescent="0.25"/>
    <row r="249035" s="12" customFormat="1" x14ac:dyDescent="0.25"/>
    <row r="249036" s="12" customFormat="1" x14ac:dyDescent="0.25"/>
    <row r="249037" s="12" customFormat="1" x14ac:dyDescent="0.25"/>
    <row r="249038" s="12" customFormat="1" x14ac:dyDescent="0.25"/>
    <row r="249039" s="12" customFormat="1" x14ac:dyDescent="0.25"/>
    <row r="249040" s="12" customFormat="1" x14ac:dyDescent="0.25"/>
    <row r="249041" s="12" customFormat="1" x14ac:dyDescent="0.25"/>
    <row r="249042" s="12" customFormat="1" x14ac:dyDescent="0.25"/>
    <row r="249043" s="12" customFormat="1" x14ac:dyDescent="0.25"/>
    <row r="249044" s="12" customFormat="1" x14ac:dyDescent="0.25"/>
    <row r="249045" s="12" customFormat="1" x14ac:dyDescent="0.25"/>
    <row r="249046" s="12" customFormat="1" x14ac:dyDescent="0.25"/>
    <row r="249047" s="12" customFormat="1" x14ac:dyDescent="0.25"/>
    <row r="249048" s="12" customFormat="1" x14ac:dyDescent="0.25"/>
    <row r="249049" s="12" customFormat="1" x14ac:dyDescent="0.25"/>
    <row r="249050" s="12" customFormat="1" x14ac:dyDescent="0.25"/>
    <row r="249051" s="12" customFormat="1" x14ac:dyDescent="0.25"/>
    <row r="249052" s="12" customFormat="1" x14ac:dyDescent="0.25"/>
    <row r="249053" s="12" customFormat="1" x14ac:dyDescent="0.25"/>
    <row r="249054" s="12" customFormat="1" x14ac:dyDescent="0.25"/>
    <row r="249055" s="12" customFormat="1" x14ac:dyDescent="0.25"/>
    <row r="249056" s="12" customFormat="1" x14ac:dyDescent="0.25"/>
    <row r="249057" s="12" customFormat="1" x14ac:dyDescent="0.25"/>
    <row r="249058" s="12" customFormat="1" x14ac:dyDescent="0.25"/>
    <row r="249059" s="12" customFormat="1" x14ac:dyDescent="0.25"/>
    <row r="249060" s="12" customFormat="1" x14ac:dyDescent="0.25"/>
    <row r="249061" s="12" customFormat="1" x14ac:dyDescent="0.25"/>
    <row r="249062" s="12" customFormat="1" x14ac:dyDescent="0.25"/>
    <row r="249063" s="12" customFormat="1" x14ac:dyDescent="0.25"/>
    <row r="249064" s="12" customFormat="1" x14ac:dyDescent="0.25"/>
    <row r="249065" s="12" customFormat="1" x14ac:dyDescent="0.25"/>
    <row r="249066" s="12" customFormat="1" x14ac:dyDescent="0.25"/>
    <row r="249067" s="12" customFormat="1" x14ac:dyDescent="0.25"/>
    <row r="249068" s="12" customFormat="1" x14ac:dyDescent="0.25"/>
    <row r="249069" s="12" customFormat="1" x14ac:dyDescent="0.25"/>
    <row r="249070" s="12" customFormat="1" x14ac:dyDescent="0.25"/>
    <row r="249071" s="12" customFormat="1" x14ac:dyDescent="0.25"/>
    <row r="249072" s="12" customFormat="1" x14ac:dyDescent="0.25"/>
    <row r="249073" s="12" customFormat="1" x14ac:dyDescent="0.25"/>
    <row r="249074" s="12" customFormat="1" x14ac:dyDescent="0.25"/>
    <row r="249075" s="12" customFormat="1" x14ac:dyDescent="0.25"/>
    <row r="249076" s="12" customFormat="1" x14ac:dyDescent="0.25"/>
    <row r="249077" s="12" customFormat="1" x14ac:dyDescent="0.25"/>
    <row r="249078" s="12" customFormat="1" x14ac:dyDescent="0.25"/>
    <row r="249079" s="12" customFormat="1" x14ac:dyDescent="0.25"/>
    <row r="249080" s="12" customFormat="1" x14ac:dyDescent="0.25"/>
    <row r="249081" s="12" customFormat="1" x14ac:dyDescent="0.25"/>
    <row r="249082" s="12" customFormat="1" x14ac:dyDescent="0.25"/>
    <row r="249083" s="12" customFormat="1" x14ac:dyDescent="0.25"/>
    <row r="249084" s="12" customFormat="1" x14ac:dyDescent="0.25"/>
    <row r="249085" s="12" customFormat="1" x14ac:dyDescent="0.25"/>
    <row r="249086" s="12" customFormat="1" x14ac:dyDescent="0.25"/>
    <row r="249087" s="12" customFormat="1" x14ac:dyDescent="0.25"/>
    <row r="249088" s="12" customFormat="1" x14ac:dyDescent="0.25"/>
    <row r="249089" s="12" customFormat="1" x14ac:dyDescent="0.25"/>
    <row r="249090" s="12" customFormat="1" x14ac:dyDescent="0.25"/>
    <row r="249091" s="12" customFormat="1" x14ac:dyDescent="0.25"/>
    <row r="249092" s="12" customFormat="1" x14ac:dyDescent="0.25"/>
    <row r="249093" s="12" customFormat="1" x14ac:dyDescent="0.25"/>
    <row r="249094" s="12" customFormat="1" x14ac:dyDescent="0.25"/>
    <row r="249095" s="12" customFormat="1" x14ac:dyDescent="0.25"/>
    <row r="249096" s="12" customFormat="1" x14ac:dyDescent="0.25"/>
    <row r="249097" s="12" customFormat="1" x14ac:dyDescent="0.25"/>
    <row r="249098" s="12" customFormat="1" x14ac:dyDescent="0.25"/>
    <row r="249099" s="12" customFormat="1" x14ac:dyDescent="0.25"/>
    <row r="249100" s="12" customFormat="1" x14ac:dyDescent="0.25"/>
    <row r="249101" s="12" customFormat="1" x14ac:dyDescent="0.25"/>
    <row r="249102" s="12" customFormat="1" x14ac:dyDescent="0.25"/>
    <row r="249103" s="12" customFormat="1" x14ac:dyDescent="0.25"/>
    <row r="249104" s="12" customFormat="1" x14ac:dyDescent="0.25"/>
    <row r="249105" s="12" customFormat="1" x14ac:dyDescent="0.25"/>
    <row r="249106" s="12" customFormat="1" x14ac:dyDescent="0.25"/>
    <row r="249107" s="12" customFormat="1" x14ac:dyDescent="0.25"/>
    <row r="249108" s="12" customFormat="1" x14ac:dyDescent="0.25"/>
    <row r="249109" s="12" customFormat="1" x14ac:dyDescent="0.25"/>
    <row r="249110" s="12" customFormat="1" x14ac:dyDescent="0.25"/>
    <row r="249111" s="12" customFormat="1" x14ac:dyDescent="0.25"/>
    <row r="249112" s="12" customFormat="1" x14ac:dyDescent="0.25"/>
    <row r="249113" s="12" customFormat="1" x14ac:dyDescent="0.25"/>
    <row r="249114" s="12" customFormat="1" x14ac:dyDescent="0.25"/>
    <row r="249115" s="12" customFormat="1" x14ac:dyDescent="0.25"/>
    <row r="249116" s="12" customFormat="1" x14ac:dyDescent="0.25"/>
    <row r="249117" s="12" customFormat="1" x14ac:dyDescent="0.25"/>
    <row r="249118" s="12" customFormat="1" x14ac:dyDescent="0.25"/>
    <row r="249119" s="12" customFormat="1" x14ac:dyDescent="0.25"/>
    <row r="249120" s="12" customFormat="1" x14ac:dyDescent="0.25"/>
    <row r="249121" s="12" customFormat="1" x14ac:dyDescent="0.25"/>
    <row r="249122" s="12" customFormat="1" x14ac:dyDescent="0.25"/>
    <row r="249123" s="12" customFormat="1" x14ac:dyDescent="0.25"/>
    <row r="249124" s="12" customFormat="1" x14ac:dyDescent="0.25"/>
    <row r="249125" s="12" customFormat="1" x14ac:dyDescent="0.25"/>
    <row r="249126" s="12" customFormat="1" x14ac:dyDescent="0.25"/>
    <row r="249127" s="12" customFormat="1" x14ac:dyDescent="0.25"/>
    <row r="249128" s="12" customFormat="1" x14ac:dyDescent="0.25"/>
    <row r="249129" s="12" customFormat="1" x14ac:dyDescent="0.25"/>
    <row r="249130" s="12" customFormat="1" x14ac:dyDescent="0.25"/>
    <row r="249131" s="12" customFormat="1" x14ac:dyDescent="0.25"/>
    <row r="249132" s="12" customFormat="1" x14ac:dyDescent="0.25"/>
    <row r="249133" s="12" customFormat="1" x14ac:dyDescent="0.25"/>
    <row r="249134" s="12" customFormat="1" x14ac:dyDescent="0.25"/>
    <row r="249135" s="12" customFormat="1" x14ac:dyDescent="0.25"/>
    <row r="249136" s="12" customFormat="1" x14ac:dyDescent="0.25"/>
    <row r="249137" s="12" customFormat="1" x14ac:dyDescent="0.25"/>
    <row r="249138" s="12" customFormat="1" x14ac:dyDescent="0.25"/>
    <row r="249139" s="12" customFormat="1" x14ac:dyDescent="0.25"/>
    <row r="249140" s="12" customFormat="1" x14ac:dyDescent="0.25"/>
    <row r="249141" s="12" customFormat="1" x14ac:dyDescent="0.25"/>
    <row r="249142" s="12" customFormat="1" x14ac:dyDescent="0.25"/>
    <row r="249143" s="12" customFormat="1" x14ac:dyDescent="0.25"/>
    <row r="249144" s="12" customFormat="1" x14ac:dyDescent="0.25"/>
    <row r="249145" s="12" customFormat="1" x14ac:dyDescent="0.25"/>
    <row r="249146" s="12" customFormat="1" x14ac:dyDescent="0.25"/>
    <row r="249147" s="12" customFormat="1" x14ac:dyDescent="0.25"/>
    <row r="249148" s="12" customFormat="1" x14ac:dyDescent="0.25"/>
    <row r="249149" s="12" customFormat="1" x14ac:dyDescent="0.25"/>
    <row r="249150" s="12" customFormat="1" x14ac:dyDescent="0.25"/>
    <row r="249151" s="12" customFormat="1" x14ac:dyDescent="0.25"/>
    <row r="249152" s="12" customFormat="1" x14ac:dyDescent="0.25"/>
    <row r="249153" s="12" customFormat="1" x14ac:dyDescent="0.25"/>
    <row r="249154" s="12" customFormat="1" x14ac:dyDescent="0.25"/>
    <row r="249155" s="12" customFormat="1" x14ac:dyDescent="0.25"/>
    <row r="249156" s="12" customFormat="1" x14ac:dyDescent="0.25"/>
    <row r="249157" s="12" customFormat="1" x14ac:dyDescent="0.25"/>
    <row r="249158" s="12" customFormat="1" x14ac:dyDescent="0.25"/>
    <row r="249159" s="12" customFormat="1" x14ac:dyDescent="0.25"/>
    <row r="249160" s="12" customFormat="1" x14ac:dyDescent="0.25"/>
    <row r="249161" s="12" customFormat="1" x14ac:dyDescent="0.25"/>
    <row r="249162" s="12" customFormat="1" x14ac:dyDescent="0.25"/>
    <row r="249163" s="12" customFormat="1" x14ac:dyDescent="0.25"/>
    <row r="249164" s="12" customFormat="1" x14ac:dyDescent="0.25"/>
    <row r="249165" s="12" customFormat="1" x14ac:dyDescent="0.25"/>
    <row r="249166" s="12" customFormat="1" x14ac:dyDescent="0.25"/>
    <row r="249167" s="12" customFormat="1" x14ac:dyDescent="0.25"/>
    <row r="249168" s="12" customFormat="1" x14ac:dyDescent="0.25"/>
    <row r="249169" s="12" customFormat="1" x14ac:dyDescent="0.25"/>
    <row r="249170" s="12" customFormat="1" x14ac:dyDescent="0.25"/>
    <row r="249171" s="12" customFormat="1" x14ac:dyDescent="0.25"/>
    <row r="249172" s="12" customFormat="1" x14ac:dyDescent="0.25"/>
    <row r="249173" s="12" customFormat="1" x14ac:dyDescent="0.25"/>
    <row r="249174" s="12" customFormat="1" x14ac:dyDescent="0.25"/>
    <row r="249175" s="12" customFormat="1" x14ac:dyDescent="0.25"/>
    <row r="249176" s="12" customFormat="1" x14ac:dyDescent="0.25"/>
    <row r="249177" s="12" customFormat="1" x14ac:dyDescent="0.25"/>
    <row r="249178" s="12" customFormat="1" x14ac:dyDescent="0.25"/>
    <row r="249179" s="12" customFormat="1" x14ac:dyDescent="0.25"/>
    <row r="249180" s="12" customFormat="1" x14ac:dyDescent="0.25"/>
    <row r="249181" s="12" customFormat="1" x14ac:dyDescent="0.25"/>
    <row r="249182" s="12" customFormat="1" x14ac:dyDescent="0.25"/>
    <row r="249183" s="12" customFormat="1" x14ac:dyDescent="0.25"/>
    <row r="249184" s="12" customFormat="1" x14ac:dyDescent="0.25"/>
    <row r="249185" s="12" customFormat="1" x14ac:dyDescent="0.25"/>
    <row r="249186" s="12" customFormat="1" x14ac:dyDescent="0.25"/>
    <row r="249187" s="12" customFormat="1" x14ac:dyDescent="0.25"/>
    <row r="249188" s="12" customFormat="1" x14ac:dyDescent="0.25"/>
    <row r="249189" s="12" customFormat="1" x14ac:dyDescent="0.25"/>
    <row r="249190" s="12" customFormat="1" x14ac:dyDescent="0.25"/>
    <row r="249191" s="12" customFormat="1" x14ac:dyDescent="0.25"/>
    <row r="249192" s="12" customFormat="1" x14ac:dyDescent="0.25"/>
    <row r="249193" s="12" customFormat="1" x14ac:dyDescent="0.25"/>
    <row r="249194" s="12" customFormat="1" x14ac:dyDescent="0.25"/>
    <row r="249195" s="12" customFormat="1" x14ac:dyDescent="0.25"/>
    <row r="249196" s="12" customFormat="1" x14ac:dyDescent="0.25"/>
    <row r="249197" s="12" customFormat="1" x14ac:dyDescent="0.25"/>
    <row r="249198" s="12" customFormat="1" x14ac:dyDescent="0.25"/>
    <row r="249199" s="12" customFormat="1" x14ac:dyDescent="0.25"/>
    <row r="249200" s="12" customFormat="1" x14ac:dyDescent="0.25"/>
    <row r="249201" s="12" customFormat="1" x14ac:dyDescent="0.25"/>
    <row r="249202" s="12" customFormat="1" x14ac:dyDescent="0.25"/>
    <row r="249203" s="12" customFormat="1" x14ac:dyDescent="0.25"/>
    <row r="249204" s="12" customFormat="1" x14ac:dyDescent="0.25"/>
    <row r="249205" s="12" customFormat="1" x14ac:dyDescent="0.25"/>
    <row r="249206" s="12" customFormat="1" x14ac:dyDescent="0.25"/>
    <row r="249207" s="12" customFormat="1" x14ac:dyDescent="0.25"/>
    <row r="249208" s="12" customFormat="1" x14ac:dyDescent="0.25"/>
    <row r="249209" s="12" customFormat="1" x14ac:dyDescent="0.25"/>
    <row r="249210" s="12" customFormat="1" x14ac:dyDescent="0.25"/>
    <row r="249211" s="12" customFormat="1" x14ac:dyDescent="0.25"/>
    <row r="249212" s="12" customFormat="1" x14ac:dyDescent="0.25"/>
    <row r="249213" s="12" customFormat="1" x14ac:dyDescent="0.25"/>
    <row r="249214" s="12" customFormat="1" x14ac:dyDescent="0.25"/>
    <row r="249215" s="12" customFormat="1" x14ac:dyDescent="0.25"/>
    <row r="249216" s="12" customFormat="1" x14ac:dyDescent="0.25"/>
    <row r="249217" s="12" customFormat="1" x14ac:dyDescent="0.25"/>
    <row r="249218" s="12" customFormat="1" x14ac:dyDescent="0.25"/>
    <row r="249219" s="12" customFormat="1" x14ac:dyDescent="0.25"/>
    <row r="249220" s="12" customFormat="1" x14ac:dyDescent="0.25"/>
    <row r="249221" s="12" customFormat="1" x14ac:dyDescent="0.25"/>
    <row r="249222" s="12" customFormat="1" x14ac:dyDescent="0.25"/>
    <row r="249223" s="12" customFormat="1" x14ac:dyDescent="0.25"/>
    <row r="249224" s="12" customFormat="1" x14ac:dyDescent="0.25"/>
    <row r="249225" s="12" customFormat="1" x14ac:dyDescent="0.25"/>
    <row r="249226" s="12" customFormat="1" x14ac:dyDescent="0.25"/>
    <row r="249227" s="12" customFormat="1" x14ac:dyDescent="0.25"/>
    <row r="249228" s="12" customFormat="1" x14ac:dyDescent="0.25"/>
    <row r="249229" s="12" customFormat="1" x14ac:dyDescent="0.25"/>
    <row r="249230" s="12" customFormat="1" x14ac:dyDescent="0.25"/>
    <row r="249231" s="12" customFormat="1" x14ac:dyDescent="0.25"/>
    <row r="249232" s="12" customFormat="1" x14ac:dyDescent="0.25"/>
    <row r="249233" s="12" customFormat="1" x14ac:dyDescent="0.25"/>
    <row r="249234" s="12" customFormat="1" x14ac:dyDescent="0.25"/>
    <row r="249235" s="12" customFormat="1" x14ac:dyDescent="0.25"/>
    <row r="249236" s="12" customFormat="1" x14ac:dyDescent="0.25"/>
    <row r="249237" s="12" customFormat="1" x14ac:dyDescent="0.25"/>
    <row r="249238" s="12" customFormat="1" x14ac:dyDescent="0.25"/>
    <row r="249239" s="12" customFormat="1" x14ac:dyDescent="0.25"/>
    <row r="249240" s="12" customFormat="1" x14ac:dyDescent="0.25"/>
    <row r="249241" s="12" customFormat="1" x14ac:dyDescent="0.25"/>
    <row r="249242" s="12" customFormat="1" x14ac:dyDescent="0.25"/>
    <row r="249243" s="12" customFormat="1" x14ac:dyDescent="0.25"/>
    <row r="249244" s="12" customFormat="1" x14ac:dyDescent="0.25"/>
    <row r="249245" s="12" customFormat="1" x14ac:dyDescent="0.25"/>
    <row r="249246" s="12" customFormat="1" x14ac:dyDescent="0.25"/>
    <row r="249247" s="12" customFormat="1" x14ac:dyDescent="0.25"/>
    <row r="249248" s="12" customFormat="1" x14ac:dyDescent="0.25"/>
    <row r="249249" s="12" customFormat="1" x14ac:dyDescent="0.25"/>
    <row r="249250" s="12" customFormat="1" x14ac:dyDescent="0.25"/>
    <row r="249251" s="12" customFormat="1" x14ac:dyDescent="0.25"/>
    <row r="249252" s="12" customFormat="1" x14ac:dyDescent="0.25"/>
    <row r="249253" s="12" customFormat="1" x14ac:dyDescent="0.25"/>
    <row r="249254" s="12" customFormat="1" x14ac:dyDescent="0.25"/>
    <row r="249255" s="12" customFormat="1" x14ac:dyDescent="0.25"/>
    <row r="249256" s="12" customFormat="1" x14ac:dyDescent="0.25"/>
    <row r="249257" s="12" customFormat="1" x14ac:dyDescent="0.25"/>
    <row r="249258" s="12" customFormat="1" x14ac:dyDescent="0.25"/>
    <row r="249259" s="12" customFormat="1" x14ac:dyDescent="0.25"/>
    <row r="249260" s="12" customFormat="1" x14ac:dyDescent="0.25"/>
    <row r="249261" s="12" customFormat="1" x14ac:dyDescent="0.25"/>
    <row r="249262" s="12" customFormat="1" x14ac:dyDescent="0.25"/>
    <row r="249263" s="12" customFormat="1" x14ac:dyDescent="0.25"/>
    <row r="249264" s="12" customFormat="1" x14ac:dyDescent="0.25"/>
    <row r="249265" s="12" customFormat="1" x14ac:dyDescent="0.25"/>
    <row r="249266" s="12" customFormat="1" x14ac:dyDescent="0.25"/>
    <row r="249267" s="12" customFormat="1" x14ac:dyDescent="0.25"/>
    <row r="249268" s="12" customFormat="1" x14ac:dyDescent="0.25"/>
    <row r="249269" s="12" customFormat="1" x14ac:dyDescent="0.25"/>
    <row r="249270" s="12" customFormat="1" x14ac:dyDescent="0.25"/>
    <row r="249271" s="12" customFormat="1" x14ac:dyDescent="0.25"/>
    <row r="249272" s="12" customFormat="1" x14ac:dyDescent="0.25"/>
    <row r="249273" s="12" customFormat="1" x14ac:dyDescent="0.25"/>
    <row r="249274" s="12" customFormat="1" x14ac:dyDescent="0.25"/>
    <row r="249275" s="12" customFormat="1" x14ac:dyDescent="0.25"/>
    <row r="249276" s="12" customFormat="1" x14ac:dyDescent="0.25"/>
    <row r="249277" s="12" customFormat="1" x14ac:dyDescent="0.25"/>
    <row r="249278" s="12" customFormat="1" x14ac:dyDescent="0.25"/>
    <row r="249279" s="12" customFormat="1" x14ac:dyDescent="0.25"/>
    <row r="249280" s="12" customFormat="1" x14ac:dyDescent="0.25"/>
    <row r="249281" s="12" customFormat="1" x14ac:dyDescent="0.25"/>
    <row r="249282" s="12" customFormat="1" x14ac:dyDescent="0.25"/>
    <row r="249283" s="12" customFormat="1" x14ac:dyDescent="0.25"/>
    <row r="249284" s="12" customFormat="1" x14ac:dyDescent="0.25"/>
    <row r="249285" s="12" customFormat="1" x14ac:dyDescent="0.25"/>
    <row r="249286" s="12" customFormat="1" x14ac:dyDescent="0.25"/>
    <row r="249287" s="12" customFormat="1" x14ac:dyDescent="0.25"/>
    <row r="249288" s="12" customFormat="1" x14ac:dyDescent="0.25"/>
    <row r="249289" s="12" customFormat="1" x14ac:dyDescent="0.25"/>
    <row r="249290" s="12" customFormat="1" x14ac:dyDescent="0.25"/>
    <row r="249291" s="12" customFormat="1" x14ac:dyDescent="0.25"/>
    <row r="249292" s="12" customFormat="1" x14ac:dyDescent="0.25"/>
    <row r="249293" s="12" customFormat="1" x14ac:dyDescent="0.25"/>
    <row r="249294" s="12" customFormat="1" x14ac:dyDescent="0.25"/>
    <row r="249295" s="12" customFormat="1" x14ac:dyDescent="0.25"/>
    <row r="249296" s="12" customFormat="1" x14ac:dyDescent="0.25"/>
    <row r="249297" s="12" customFormat="1" x14ac:dyDescent="0.25"/>
    <row r="249298" s="12" customFormat="1" x14ac:dyDescent="0.25"/>
    <row r="249299" s="12" customFormat="1" x14ac:dyDescent="0.25"/>
    <row r="249300" s="12" customFormat="1" x14ac:dyDescent="0.25"/>
    <row r="249301" s="12" customFormat="1" x14ac:dyDescent="0.25"/>
    <row r="249302" s="12" customFormat="1" x14ac:dyDescent="0.25"/>
    <row r="249303" s="12" customFormat="1" x14ac:dyDescent="0.25"/>
    <row r="249304" s="12" customFormat="1" x14ac:dyDescent="0.25"/>
    <row r="249305" s="12" customFormat="1" x14ac:dyDescent="0.25"/>
    <row r="249306" s="12" customFormat="1" x14ac:dyDescent="0.25"/>
    <row r="249307" s="12" customFormat="1" x14ac:dyDescent="0.25"/>
    <row r="249308" s="12" customFormat="1" x14ac:dyDescent="0.25"/>
    <row r="249309" s="12" customFormat="1" x14ac:dyDescent="0.25"/>
    <row r="249310" s="12" customFormat="1" x14ac:dyDescent="0.25"/>
    <row r="249311" s="12" customFormat="1" x14ac:dyDescent="0.25"/>
    <row r="249312" s="12" customFormat="1" x14ac:dyDescent="0.25"/>
    <row r="249313" s="12" customFormat="1" x14ac:dyDescent="0.25"/>
    <row r="249314" s="12" customFormat="1" x14ac:dyDescent="0.25"/>
    <row r="249315" s="12" customFormat="1" x14ac:dyDescent="0.25"/>
    <row r="249316" s="12" customFormat="1" x14ac:dyDescent="0.25"/>
    <row r="249317" s="12" customFormat="1" x14ac:dyDescent="0.25"/>
    <row r="249318" s="12" customFormat="1" x14ac:dyDescent="0.25"/>
    <row r="249319" s="12" customFormat="1" x14ac:dyDescent="0.25"/>
    <row r="249320" s="12" customFormat="1" x14ac:dyDescent="0.25"/>
    <row r="249321" s="12" customFormat="1" x14ac:dyDescent="0.25"/>
    <row r="249322" s="12" customFormat="1" x14ac:dyDescent="0.25"/>
    <row r="249323" s="12" customFormat="1" x14ac:dyDescent="0.25"/>
    <row r="249324" s="12" customFormat="1" x14ac:dyDescent="0.25"/>
    <row r="249325" s="12" customFormat="1" x14ac:dyDescent="0.25"/>
    <row r="249326" s="12" customFormat="1" x14ac:dyDescent="0.25"/>
    <row r="249327" s="12" customFormat="1" x14ac:dyDescent="0.25"/>
    <row r="249328" s="12" customFormat="1" x14ac:dyDescent="0.25"/>
    <row r="249329" s="12" customFormat="1" x14ac:dyDescent="0.25"/>
    <row r="249330" s="12" customFormat="1" x14ac:dyDescent="0.25"/>
    <row r="249331" s="12" customFormat="1" x14ac:dyDescent="0.25"/>
    <row r="249332" s="12" customFormat="1" x14ac:dyDescent="0.25"/>
    <row r="249333" s="12" customFormat="1" x14ac:dyDescent="0.25"/>
    <row r="249334" s="12" customFormat="1" x14ac:dyDescent="0.25"/>
    <row r="249335" s="12" customFormat="1" x14ac:dyDescent="0.25"/>
    <row r="249336" s="12" customFormat="1" x14ac:dyDescent="0.25"/>
    <row r="249337" s="12" customFormat="1" x14ac:dyDescent="0.25"/>
    <row r="249338" s="12" customFormat="1" x14ac:dyDescent="0.25"/>
    <row r="249339" s="12" customFormat="1" x14ac:dyDescent="0.25"/>
    <row r="249340" s="12" customFormat="1" x14ac:dyDescent="0.25"/>
    <row r="249341" s="12" customFormat="1" x14ac:dyDescent="0.25"/>
    <row r="249342" s="12" customFormat="1" x14ac:dyDescent="0.25"/>
    <row r="249343" s="12" customFormat="1" x14ac:dyDescent="0.25"/>
    <row r="249344" s="12" customFormat="1" x14ac:dyDescent="0.25"/>
    <row r="249345" s="12" customFormat="1" x14ac:dyDescent="0.25"/>
    <row r="249346" s="12" customFormat="1" x14ac:dyDescent="0.25"/>
    <row r="249347" s="12" customFormat="1" x14ac:dyDescent="0.25"/>
    <row r="249348" s="12" customFormat="1" x14ac:dyDescent="0.25"/>
    <row r="249349" s="12" customFormat="1" x14ac:dyDescent="0.25"/>
    <row r="249350" s="12" customFormat="1" x14ac:dyDescent="0.25"/>
    <row r="249351" s="12" customFormat="1" x14ac:dyDescent="0.25"/>
    <row r="249352" s="12" customFormat="1" x14ac:dyDescent="0.25"/>
    <row r="249353" s="12" customFormat="1" x14ac:dyDescent="0.25"/>
    <row r="249354" s="12" customFormat="1" x14ac:dyDescent="0.25"/>
    <row r="249355" s="12" customFormat="1" x14ac:dyDescent="0.25"/>
    <row r="249356" s="12" customFormat="1" x14ac:dyDescent="0.25"/>
    <row r="249357" s="12" customFormat="1" x14ac:dyDescent="0.25"/>
    <row r="249358" s="12" customFormat="1" x14ac:dyDescent="0.25"/>
    <row r="249359" s="12" customFormat="1" x14ac:dyDescent="0.25"/>
    <row r="249360" s="12" customFormat="1" x14ac:dyDescent="0.25"/>
    <row r="249361" s="12" customFormat="1" x14ac:dyDescent="0.25"/>
    <row r="249362" s="12" customFormat="1" x14ac:dyDescent="0.25"/>
    <row r="249363" s="12" customFormat="1" x14ac:dyDescent="0.25"/>
    <row r="249364" s="12" customFormat="1" x14ac:dyDescent="0.25"/>
    <row r="249365" s="12" customFormat="1" x14ac:dyDescent="0.25"/>
    <row r="249366" s="12" customFormat="1" x14ac:dyDescent="0.25"/>
    <row r="249367" s="12" customFormat="1" x14ac:dyDescent="0.25"/>
    <row r="249368" s="12" customFormat="1" x14ac:dyDescent="0.25"/>
    <row r="249369" s="12" customFormat="1" x14ac:dyDescent="0.25"/>
    <row r="249370" s="12" customFormat="1" x14ac:dyDescent="0.25"/>
    <row r="249371" s="12" customFormat="1" x14ac:dyDescent="0.25"/>
    <row r="249372" s="12" customFormat="1" x14ac:dyDescent="0.25"/>
    <row r="249373" s="12" customFormat="1" x14ac:dyDescent="0.25"/>
    <row r="249374" s="12" customFormat="1" x14ac:dyDescent="0.25"/>
    <row r="249375" s="12" customFormat="1" x14ac:dyDescent="0.25"/>
    <row r="249376" s="12" customFormat="1" x14ac:dyDescent="0.25"/>
    <row r="249377" s="12" customFormat="1" x14ac:dyDescent="0.25"/>
    <row r="249378" s="12" customFormat="1" x14ac:dyDescent="0.25"/>
    <row r="249379" s="12" customFormat="1" x14ac:dyDescent="0.25"/>
    <row r="249380" s="12" customFormat="1" x14ac:dyDescent="0.25"/>
    <row r="249381" s="12" customFormat="1" x14ac:dyDescent="0.25"/>
    <row r="249382" s="12" customFormat="1" x14ac:dyDescent="0.25"/>
    <row r="249383" s="12" customFormat="1" x14ac:dyDescent="0.25"/>
    <row r="249384" s="12" customFormat="1" x14ac:dyDescent="0.25"/>
    <row r="249385" s="12" customFormat="1" x14ac:dyDescent="0.25"/>
    <row r="249386" s="12" customFormat="1" x14ac:dyDescent="0.25"/>
    <row r="249387" s="12" customFormat="1" x14ac:dyDescent="0.25"/>
    <row r="249388" s="12" customFormat="1" x14ac:dyDescent="0.25"/>
    <row r="249389" s="12" customFormat="1" x14ac:dyDescent="0.25"/>
    <row r="249390" s="12" customFormat="1" x14ac:dyDescent="0.25"/>
    <row r="249391" s="12" customFormat="1" x14ac:dyDescent="0.25"/>
    <row r="249392" s="12" customFormat="1" x14ac:dyDescent="0.25"/>
    <row r="249393" s="12" customFormat="1" x14ac:dyDescent="0.25"/>
    <row r="249394" s="12" customFormat="1" x14ac:dyDescent="0.25"/>
    <row r="249395" s="12" customFormat="1" x14ac:dyDescent="0.25"/>
    <row r="249396" s="12" customFormat="1" x14ac:dyDescent="0.25"/>
    <row r="249397" s="12" customFormat="1" x14ac:dyDescent="0.25"/>
    <row r="249398" s="12" customFormat="1" x14ac:dyDescent="0.25"/>
    <row r="249399" s="12" customFormat="1" x14ac:dyDescent="0.25"/>
    <row r="249400" s="12" customFormat="1" x14ac:dyDescent="0.25"/>
    <row r="249401" s="12" customFormat="1" x14ac:dyDescent="0.25"/>
    <row r="249402" s="12" customFormat="1" x14ac:dyDescent="0.25"/>
    <row r="249403" s="12" customFormat="1" x14ac:dyDescent="0.25"/>
    <row r="249404" s="12" customFormat="1" x14ac:dyDescent="0.25"/>
    <row r="249405" s="12" customFormat="1" x14ac:dyDescent="0.25"/>
    <row r="249406" s="12" customFormat="1" x14ac:dyDescent="0.25"/>
    <row r="249407" s="12" customFormat="1" x14ac:dyDescent="0.25"/>
    <row r="249408" s="12" customFormat="1" x14ac:dyDescent="0.25"/>
    <row r="249409" s="12" customFormat="1" x14ac:dyDescent="0.25"/>
    <row r="249410" s="12" customFormat="1" x14ac:dyDescent="0.25"/>
    <row r="249411" s="12" customFormat="1" x14ac:dyDescent="0.25"/>
    <row r="249412" s="12" customFormat="1" x14ac:dyDescent="0.25"/>
    <row r="249413" s="12" customFormat="1" x14ac:dyDescent="0.25"/>
    <row r="249414" s="12" customFormat="1" x14ac:dyDescent="0.25"/>
    <row r="249415" s="12" customFormat="1" x14ac:dyDescent="0.25"/>
    <row r="249416" s="12" customFormat="1" x14ac:dyDescent="0.25"/>
    <row r="249417" s="12" customFormat="1" x14ac:dyDescent="0.25"/>
    <row r="249418" s="12" customFormat="1" x14ac:dyDescent="0.25"/>
    <row r="249419" s="12" customFormat="1" x14ac:dyDescent="0.25"/>
    <row r="249420" s="12" customFormat="1" x14ac:dyDescent="0.25"/>
    <row r="249421" s="12" customFormat="1" x14ac:dyDescent="0.25"/>
    <row r="249422" s="12" customFormat="1" x14ac:dyDescent="0.25"/>
    <row r="249423" s="12" customFormat="1" x14ac:dyDescent="0.25"/>
    <row r="249424" s="12" customFormat="1" x14ac:dyDescent="0.25"/>
    <row r="249425" s="12" customFormat="1" x14ac:dyDescent="0.25"/>
    <row r="249426" s="12" customFormat="1" x14ac:dyDescent="0.25"/>
    <row r="249427" s="12" customFormat="1" x14ac:dyDescent="0.25"/>
    <row r="249428" s="12" customFormat="1" x14ac:dyDescent="0.25"/>
    <row r="249429" s="12" customFormat="1" x14ac:dyDescent="0.25"/>
    <row r="249430" s="12" customFormat="1" x14ac:dyDescent="0.25"/>
    <row r="249431" s="12" customFormat="1" x14ac:dyDescent="0.25"/>
    <row r="249432" s="12" customFormat="1" x14ac:dyDescent="0.25"/>
    <row r="249433" s="12" customFormat="1" x14ac:dyDescent="0.25"/>
    <row r="249434" s="12" customFormat="1" x14ac:dyDescent="0.25"/>
    <row r="249435" s="12" customFormat="1" x14ac:dyDescent="0.25"/>
    <row r="249436" s="12" customFormat="1" x14ac:dyDescent="0.25"/>
    <row r="249437" s="12" customFormat="1" x14ac:dyDescent="0.25"/>
    <row r="249438" s="12" customFormat="1" x14ac:dyDescent="0.25"/>
    <row r="249439" s="12" customFormat="1" x14ac:dyDescent="0.25"/>
    <row r="249440" s="12" customFormat="1" x14ac:dyDescent="0.25"/>
    <row r="249441" s="12" customFormat="1" x14ac:dyDescent="0.25"/>
    <row r="249442" s="12" customFormat="1" x14ac:dyDescent="0.25"/>
    <row r="249443" s="12" customFormat="1" x14ac:dyDescent="0.25"/>
    <row r="249444" s="12" customFormat="1" x14ac:dyDescent="0.25"/>
    <row r="249445" s="12" customFormat="1" x14ac:dyDescent="0.25"/>
    <row r="249446" s="12" customFormat="1" x14ac:dyDescent="0.25"/>
    <row r="249447" s="12" customFormat="1" x14ac:dyDescent="0.25"/>
    <row r="249448" s="12" customFormat="1" x14ac:dyDescent="0.25"/>
    <row r="249449" s="12" customFormat="1" x14ac:dyDescent="0.25"/>
    <row r="249450" s="12" customFormat="1" x14ac:dyDescent="0.25"/>
    <row r="249451" s="12" customFormat="1" x14ac:dyDescent="0.25"/>
    <row r="249452" s="12" customFormat="1" x14ac:dyDescent="0.25"/>
    <row r="249453" s="12" customFormat="1" x14ac:dyDescent="0.25"/>
    <row r="249454" s="12" customFormat="1" x14ac:dyDescent="0.25"/>
    <row r="249455" s="12" customFormat="1" x14ac:dyDescent="0.25"/>
    <row r="249456" s="12" customFormat="1" x14ac:dyDescent="0.25"/>
    <row r="249457" s="12" customFormat="1" x14ac:dyDescent="0.25"/>
    <row r="249458" s="12" customFormat="1" x14ac:dyDescent="0.25"/>
    <row r="249459" s="12" customFormat="1" x14ac:dyDescent="0.25"/>
    <row r="249460" s="12" customFormat="1" x14ac:dyDescent="0.25"/>
    <row r="249461" s="12" customFormat="1" x14ac:dyDescent="0.25"/>
    <row r="249462" s="12" customFormat="1" x14ac:dyDescent="0.25"/>
    <row r="249463" s="12" customFormat="1" x14ac:dyDescent="0.25"/>
    <row r="249464" s="12" customFormat="1" x14ac:dyDescent="0.25"/>
    <row r="249465" s="12" customFormat="1" x14ac:dyDescent="0.25"/>
    <row r="249466" s="12" customFormat="1" x14ac:dyDescent="0.25"/>
    <row r="249467" s="12" customFormat="1" x14ac:dyDescent="0.25"/>
    <row r="249468" s="12" customFormat="1" x14ac:dyDescent="0.25"/>
    <row r="249469" s="12" customFormat="1" x14ac:dyDescent="0.25"/>
    <row r="249470" s="12" customFormat="1" x14ac:dyDescent="0.25"/>
    <row r="249471" s="12" customFormat="1" x14ac:dyDescent="0.25"/>
    <row r="249472" s="12" customFormat="1" x14ac:dyDescent="0.25"/>
    <row r="249473" s="12" customFormat="1" x14ac:dyDescent="0.25"/>
    <row r="249474" s="12" customFormat="1" x14ac:dyDescent="0.25"/>
    <row r="249475" s="12" customFormat="1" x14ac:dyDescent="0.25"/>
    <row r="249476" s="12" customFormat="1" x14ac:dyDescent="0.25"/>
    <row r="249477" s="12" customFormat="1" x14ac:dyDescent="0.25"/>
    <row r="249478" s="12" customFormat="1" x14ac:dyDescent="0.25"/>
    <row r="249479" s="12" customFormat="1" x14ac:dyDescent="0.25"/>
    <row r="249480" s="12" customFormat="1" x14ac:dyDescent="0.25"/>
    <row r="249481" s="12" customFormat="1" x14ac:dyDescent="0.25"/>
    <row r="249482" s="12" customFormat="1" x14ac:dyDescent="0.25"/>
    <row r="249483" s="12" customFormat="1" x14ac:dyDescent="0.25"/>
    <row r="249484" s="12" customFormat="1" x14ac:dyDescent="0.25"/>
    <row r="249485" s="12" customFormat="1" x14ac:dyDescent="0.25"/>
    <row r="249486" s="12" customFormat="1" x14ac:dyDescent="0.25"/>
    <row r="249487" s="12" customFormat="1" x14ac:dyDescent="0.25"/>
    <row r="249488" s="12" customFormat="1" x14ac:dyDescent="0.25"/>
    <row r="249489" s="12" customFormat="1" x14ac:dyDescent="0.25"/>
    <row r="249490" s="12" customFormat="1" x14ac:dyDescent="0.25"/>
    <row r="249491" s="12" customFormat="1" x14ac:dyDescent="0.25"/>
    <row r="249492" s="12" customFormat="1" x14ac:dyDescent="0.25"/>
    <row r="249493" s="12" customFormat="1" x14ac:dyDescent="0.25"/>
    <row r="249494" s="12" customFormat="1" x14ac:dyDescent="0.25"/>
    <row r="249495" s="12" customFormat="1" x14ac:dyDescent="0.25"/>
    <row r="249496" s="12" customFormat="1" x14ac:dyDescent="0.25"/>
    <row r="249497" s="12" customFormat="1" x14ac:dyDescent="0.25"/>
    <row r="249498" s="12" customFormat="1" x14ac:dyDescent="0.25"/>
    <row r="249499" s="12" customFormat="1" x14ac:dyDescent="0.25"/>
    <row r="249500" s="12" customFormat="1" x14ac:dyDescent="0.25"/>
    <row r="249501" s="12" customFormat="1" x14ac:dyDescent="0.25"/>
    <row r="249502" s="12" customFormat="1" x14ac:dyDescent="0.25"/>
    <row r="249503" s="12" customFormat="1" x14ac:dyDescent="0.25"/>
    <row r="249504" s="12" customFormat="1" x14ac:dyDescent="0.25"/>
    <row r="249505" s="12" customFormat="1" x14ac:dyDescent="0.25"/>
    <row r="249506" s="12" customFormat="1" x14ac:dyDescent="0.25"/>
    <row r="249507" s="12" customFormat="1" x14ac:dyDescent="0.25"/>
    <row r="249508" s="12" customFormat="1" x14ac:dyDescent="0.25"/>
    <row r="249509" s="12" customFormat="1" x14ac:dyDescent="0.25"/>
    <row r="249510" s="12" customFormat="1" x14ac:dyDescent="0.25"/>
    <row r="249511" s="12" customFormat="1" x14ac:dyDescent="0.25"/>
    <row r="249512" s="12" customFormat="1" x14ac:dyDescent="0.25"/>
    <row r="249513" s="12" customFormat="1" x14ac:dyDescent="0.25"/>
    <row r="249514" s="12" customFormat="1" x14ac:dyDescent="0.25"/>
    <row r="249515" s="12" customFormat="1" x14ac:dyDescent="0.25"/>
    <row r="249516" s="12" customFormat="1" x14ac:dyDescent="0.25"/>
    <row r="249517" s="12" customFormat="1" x14ac:dyDescent="0.25"/>
    <row r="249518" s="12" customFormat="1" x14ac:dyDescent="0.25"/>
    <row r="249519" s="12" customFormat="1" x14ac:dyDescent="0.25"/>
    <row r="249520" s="12" customFormat="1" x14ac:dyDescent="0.25"/>
    <row r="249521" s="12" customFormat="1" x14ac:dyDescent="0.25"/>
    <row r="249522" s="12" customFormat="1" x14ac:dyDescent="0.25"/>
    <row r="249523" s="12" customFormat="1" x14ac:dyDescent="0.25"/>
    <row r="249524" s="12" customFormat="1" x14ac:dyDescent="0.25"/>
    <row r="249525" s="12" customFormat="1" x14ac:dyDescent="0.25"/>
    <row r="249526" s="12" customFormat="1" x14ac:dyDescent="0.25"/>
    <row r="249527" s="12" customFormat="1" x14ac:dyDescent="0.25"/>
    <row r="249528" s="12" customFormat="1" x14ac:dyDescent="0.25"/>
    <row r="249529" s="12" customFormat="1" x14ac:dyDescent="0.25"/>
    <row r="249530" s="12" customFormat="1" x14ac:dyDescent="0.25"/>
    <row r="249531" s="12" customFormat="1" x14ac:dyDescent="0.25"/>
    <row r="249532" s="12" customFormat="1" x14ac:dyDescent="0.25"/>
    <row r="249533" s="12" customFormat="1" x14ac:dyDescent="0.25"/>
    <row r="249534" s="12" customFormat="1" x14ac:dyDescent="0.25"/>
    <row r="249535" s="12" customFormat="1" x14ac:dyDescent="0.25"/>
    <row r="249536" s="12" customFormat="1" x14ac:dyDescent="0.25"/>
    <row r="249537" s="12" customFormat="1" x14ac:dyDescent="0.25"/>
    <row r="249538" s="12" customFormat="1" x14ac:dyDescent="0.25"/>
    <row r="249539" s="12" customFormat="1" x14ac:dyDescent="0.25"/>
    <row r="249540" s="12" customFormat="1" x14ac:dyDescent="0.25"/>
    <row r="249541" s="12" customFormat="1" x14ac:dyDescent="0.25"/>
    <row r="249542" s="12" customFormat="1" x14ac:dyDescent="0.25"/>
    <row r="249543" s="12" customFormat="1" x14ac:dyDescent="0.25"/>
    <row r="249544" s="12" customFormat="1" x14ac:dyDescent="0.25"/>
    <row r="249545" s="12" customFormat="1" x14ac:dyDescent="0.25"/>
    <row r="249546" s="12" customFormat="1" x14ac:dyDescent="0.25"/>
    <row r="249547" s="12" customFormat="1" x14ac:dyDescent="0.25"/>
    <row r="249548" s="12" customFormat="1" x14ac:dyDescent="0.25"/>
    <row r="249549" s="12" customFormat="1" x14ac:dyDescent="0.25"/>
    <row r="249550" s="12" customFormat="1" x14ac:dyDescent="0.25"/>
    <row r="249551" s="12" customFormat="1" x14ac:dyDescent="0.25"/>
    <row r="249552" s="12" customFormat="1" x14ac:dyDescent="0.25"/>
    <row r="249553" s="12" customFormat="1" x14ac:dyDescent="0.25"/>
    <row r="249554" s="12" customFormat="1" x14ac:dyDescent="0.25"/>
    <row r="249555" s="12" customFormat="1" x14ac:dyDescent="0.25"/>
    <row r="249556" s="12" customFormat="1" x14ac:dyDescent="0.25"/>
    <row r="249557" s="12" customFormat="1" x14ac:dyDescent="0.25"/>
    <row r="249558" s="12" customFormat="1" x14ac:dyDescent="0.25"/>
    <row r="249559" s="12" customFormat="1" x14ac:dyDescent="0.25"/>
    <row r="249560" s="12" customFormat="1" x14ac:dyDescent="0.25"/>
    <row r="249561" s="12" customFormat="1" x14ac:dyDescent="0.25"/>
    <row r="249562" s="12" customFormat="1" x14ac:dyDescent="0.25"/>
    <row r="249563" s="12" customFormat="1" x14ac:dyDescent="0.25"/>
    <row r="249564" s="12" customFormat="1" x14ac:dyDescent="0.25"/>
    <row r="249565" s="12" customFormat="1" x14ac:dyDescent="0.25"/>
    <row r="249566" s="12" customFormat="1" x14ac:dyDescent="0.25"/>
    <row r="249567" s="12" customFormat="1" x14ac:dyDescent="0.25"/>
    <row r="249568" s="12" customFormat="1" x14ac:dyDescent="0.25"/>
    <row r="249569" s="12" customFormat="1" x14ac:dyDescent="0.25"/>
    <row r="249570" s="12" customFormat="1" x14ac:dyDescent="0.25"/>
    <row r="249571" s="12" customFormat="1" x14ac:dyDescent="0.25"/>
    <row r="249572" s="12" customFormat="1" x14ac:dyDescent="0.25"/>
    <row r="249573" s="12" customFormat="1" x14ac:dyDescent="0.25"/>
    <row r="249574" s="12" customFormat="1" x14ac:dyDescent="0.25"/>
    <row r="249575" s="12" customFormat="1" x14ac:dyDescent="0.25"/>
    <row r="249576" s="12" customFormat="1" x14ac:dyDescent="0.25"/>
    <row r="249577" s="12" customFormat="1" x14ac:dyDescent="0.25"/>
    <row r="249578" s="12" customFormat="1" x14ac:dyDescent="0.25"/>
    <row r="249579" s="12" customFormat="1" x14ac:dyDescent="0.25"/>
    <row r="249580" s="12" customFormat="1" x14ac:dyDescent="0.25"/>
    <row r="249581" s="12" customFormat="1" x14ac:dyDescent="0.25"/>
    <row r="249582" s="12" customFormat="1" x14ac:dyDescent="0.25"/>
    <row r="249583" s="12" customFormat="1" x14ac:dyDescent="0.25"/>
    <row r="249584" s="12" customFormat="1" x14ac:dyDescent="0.25"/>
    <row r="249585" s="12" customFormat="1" x14ac:dyDescent="0.25"/>
    <row r="249586" s="12" customFormat="1" x14ac:dyDescent="0.25"/>
    <row r="249587" s="12" customFormat="1" x14ac:dyDescent="0.25"/>
    <row r="249588" s="12" customFormat="1" x14ac:dyDescent="0.25"/>
    <row r="249589" s="12" customFormat="1" x14ac:dyDescent="0.25"/>
    <row r="249590" s="12" customFormat="1" x14ac:dyDescent="0.25"/>
    <row r="249591" s="12" customFormat="1" x14ac:dyDescent="0.25"/>
    <row r="249592" s="12" customFormat="1" x14ac:dyDescent="0.25"/>
    <row r="249593" s="12" customFormat="1" x14ac:dyDescent="0.25"/>
    <row r="249594" s="12" customFormat="1" x14ac:dyDescent="0.25"/>
    <row r="249595" s="12" customFormat="1" x14ac:dyDescent="0.25"/>
    <row r="249596" s="12" customFormat="1" x14ac:dyDescent="0.25"/>
    <row r="249597" s="12" customFormat="1" x14ac:dyDescent="0.25"/>
    <row r="249598" s="12" customFormat="1" x14ac:dyDescent="0.25"/>
    <row r="249599" s="12" customFormat="1" x14ac:dyDescent="0.25"/>
    <row r="249600" s="12" customFormat="1" x14ac:dyDescent="0.25"/>
    <row r="249601" s="12" customFormat="1" x14ac:dyDescent="0.25"/>
    <row r="249602" s="12" customFormat="1" x14ac:dyDescent="0.25"/>
    <row r="249603" s="12" customFormat="1" x14ac:dyDescent="0.25"/>
    <row r="249604" s="12" customFormat="1" x14ac:dyDescent="0.25"/>
    <row r="249605" s="12" customFormat="1" x14ac:dyDescent="0.25"/>
    <row r="249606" s="12" customFormat="1" x14ac:dyDescent="0.25"/>
    <row r="249607" s="12" customFormat="1" x14ac:dyDescent="0.25"/>
    <row r="249608" s="12" customFormat="1" x14ac:dyDescent="0.25"/>
    <row r="249609" s="12" customFormat="1" x14ac:dyDescent="0.25"/>
    <row r="249610" s="12" customFormat="1" x14ac:dyDescent="0.25"/>
    <row r="249611" s="12" customFormat="1" x14ac:dyDescent="0.25"/>
    <row r="249612" s="12" customFormat="1" x14ac:dyDescent="0.25"/>
    <row r="249613" s="12" customFormat="1" x14ac:dyDescent="0.25"/>
    <row r="249614" s="12" customFormat="1" x14ac:dyDescent="0.25"/>
    <row r="249615" s="12" customFormat="1" x14ac:dyDescent="0.25"/>
    <row r="249616" s="12" customFormat="1" x14ac:dyDescent="0.25"/>
    <row r="249617" s="12" customFormat="1" x14ac:dyDescent="0.25"/>
    <row r="249618" s="12" customFormat="1" x14ac:dyDescent="0.25"/>
    <row r="249619" s="12" customFormat="1" x14ac:dyDescent="0.25"/>
    <row r="249620" s="12" customFormat="1" x14ac:dyDescent="0.25"/>
    <row r="249621" s="12" customFormat="1" x14ac:dyDescent="0.25"/>
    <row r="249622" s="12" customFormat="1" x14ac:dyDescent="0.25"/>
    <row r="249623" s="12" customFormat="1" x14ac:dyDescent="0.25"/>
    <row r="249624" s="12" customFormat="1" x14ac:dyDescent="0.25"/>
    <row r="249625" s="12" customFormat="1" x14ac:dyDescent="0.25"/>
    <row r="249626" s="12" customFormat="1" x14ac:dyDescent="0.25"/>
    <row r="249627" s="12" customFormat="1" x14ac:dyDescent="0.25"/>
    <row r="249628" s="12" customFormat="1" x14ac:dyDescent="0.25"/>
    <row r="249629" s="12" customFormat="1" x14ac:dyDescent="0.25"/>
    <row r="249630" s="12" customFormat="1" x14ac:dyDescent="0.25"/>
    <row r="249631" s="12" customFormat="1" x14ac:dyDescent="0.25"/>
    <row r="249632" s="12" customFormat="1" x14ac:dyDescent="0.25"/>
    <row r="249633" s="12" customFormat="1" x14ac:dyDescent="0.25"/>
    <row r="249634" s="12" customFormat="1" x14ac:dyDescent="0.25"/>
    <row r="249635" s="12" customFormat="1" x14ac:dyDescent="0.25"/>
    <row r="249636" s="12" customFormat="1" x14ac:dyDescent="0.25"/>
    <row r="249637" s="12" customFormat="1" x14ac:dyDescent="0.25"/>
    <row r="249638" s="12" customFormat="1" x14ac:dyDescent="0.25"/>
    <row r="249639" s="12" customFormat="1" x14ac:dyDescent="0.25"/>
    <row r="249640" s="12" customFormat="1" x14ac:dyDescent="0.25"/>
    <row r="249641" s="12" customFormat="1" x14ac:dyDescent="0.25"/>
    <row r="249642" s="12" customFormat="1" x14ac:dyDescent="0.25"/>
    <row r="249643" s="12" customFormat="1" x14ac:dyDescent="0.25"/>
    <row r="249644" s="12" customFormat="1" x14ac:dyDescent="0.25"/>
    <row r="249645" s="12" customFormat="1" x14ac:dyDescent="0.25"/>
    <row r="249646" s="12" customFormat="1" x14ac:dyDescent="0.25"/>
    <row r="249647" s="12" customFormat="1" x14ac:dyDescent="0.25"/>
    <row r="249648" s="12" customFormat="1" x14ac:dyDescent="0.25"/>
    <row r="249649" s="12" customFormat="1" x14ac:dyDescent="0.25"/>
    <row r="249650" s="12" customFormat="1" x14ac:dyDescent="0.25"/>
    <row r="249651" s="12" customFormat="1" x14ac:dyDescent="0.25"/>
    <row r="249652" s="12" customFormat="1" x14ac:dyDescent="0.25"/>
    <row r="249653" s="12" customFormat="1" x14ac:dyDescent="0.25"/>
    <row r="249654" s="12" customFormat="1" x14ac:dyDescent="0.25"/>
    <row r="249655" s="12" customFormat="1" x14ac:dyDescent="0.25"/>
    <row r="249656" s="12" customFormat="1" x14ac:dyDescent="0.25"/>
    <row r="249657" s="12" customFormat="1" x14ac:dyDescent="0.25"/>
    <row r="249658" s="12" customFormat="1" x14ac:dyDescent="0.25"/>
    <row r="249659" s="12" customFormat="1" x14ac:dyDescent="0.25"/>
    <row r="249660" s="12" customFormat="1" x14ac:dyDescent="0.25"/>
    <row r="249661" s="12" customFormat="1" x14ac:dyDescent="0.25"/>
    <row r="249662" s="12" customFormat="1" x14ac:dyDescent="0.25"/>
    <row r="249663" s="12" customFormat="1" x14ac:dyDescent="0.25"/>
    <row r="249664" s="12" customFormat="1" x14ac:dyDescent="0.25"/>
    <row r="249665" s="12" customFormat="1" x14ac:dyDescent="0.25"/>
    <row r="249666" s="12" customFormat="1" x14ac:dyDescent="0.25"/>
    <row r="249667" s="12" customFormat="1" x14ac:dyDescent="0.25"/>
    <row r="249668" s="12" customFormat="1" x14ac:dyDescent="0.25"/>
    <row r="249669" s="12" customFormat="1" x14ac:dyDescent="0.25"/>
    <row r="249670" s="12" customFormat="1" x14ac:dyDescent="0.25"/>
    <row r="249671" s="12" customFormat="1" x14ac:dyDescent="0.25"/>
    <row r="249672" s="12" customFormat="1" x14ac:dyDescent="0.25"/>
    <row r="249673" s="12" customFormat="1" x14ac:dyDescent="0.25"/>
    <row r="249674" s="12" customFormat="1" x14ac:dyDescent="0.25"/>
    <row r="249675" s="12" customFormat="1" x14ac:dyDescent="0.25"/>
    <row r="249676" s="12" customFormat="1" x14ac:dyDescent="0.25"/>
    <row r="249677" s="12" customFormat="1" x14ac:dyDescent="0.25"/>
    <row r="249678" s="12" customFormat="1" x14ac:dyDescent="0.25"/>
    <row r="249679" s="12" customFormat="1" x14ac:dyDescent="0.25"/>
    <row r="249680" s="12" customFormat="1" x14ac:dyDescent="0.25"/>
    <row r="249681" s="12" customFormat="1" x14ac:dyDescent="0.25"/>
    <row r="249682" s="12" customFormat="1" x14ac:dyDescent="0.25"/>
    <row r="249683" s="12" customFormat="1" x14ac:dyDescent="0.25"/>
    <row r="249684" s="12" customFormat="1" x14ac:dyDescent="0.25"/>
    <row r="249685" s="12" customFormat="1" x14ac:dyDescent="0.25"/>
    <row r="249686" s="12" customFormat="1" x14ac:dyDescent="0.25"/>
    <row r="249687" s="12" customFormat="1" x14ac:dyDescent="0.25"/>
    <row r="249688" s="12" customFormat="1" x14ac:dyDescent="0.25"/>
    <row r="249689" s="12" customFormat="1" x14ac:dyDescent="0.25"/>
    <row r="249690" s="12" customFormat="1" x14ac:dyDescent="0.25"/>
    <row r="249691" s="12" customFormat="1" x14ac:dyDescent="0.25"/>
    <row r="249692" s="12" customFormat="1" x14ac:dyDescent="0.25"/>
    <row r="249693" s="12" customFormat="1" x14ac:dyDescent="0.25"/>
    <row r="249694" s="12" customFormat="1" x14ac:dyDescent="0.25"/>
    <row r="249695" s="12" customFormat="1" x14ac:dyDescent="0.25"/>
    <row r="249696" s="12" customFormat="1" x14ac:dyDescent="0.25"/>
    <row r="249697" s="12" customFormat="1" x14ac:dyDescent="0.25"/>
    <row r="249698" s="12" customFormat="1" x14ac:dyDescent="0.25"/>
    <row r="249699" s="12" customFormat="1" x14ac:dyDescent="0.25"/>
    <row r="249700" s="12" customFormat="1" x14ac:dyDescent="0.25"/>
    <row r="249701" s="12" customFormat="1" x14ac:dyDescent="0.25"/>
    <row r="249702" s="12" customFormat="1" x14ac:dyDescent="0.25"/>
    <row r="249703" s="12" customFormat="1" x14ac:dyDescent="0.25"/>
    <row r="249704" s="12" customFormat="1" x14ac:dyDescent="0.25"/>
    <row r="249705" s="12" customFormat="1" x14ac:dyDescent="0.25"/>
    <row r="249706" s="12" customFormat="1" x14ac:dyDescent="0.25"/>
    <row r="249707" s="12" customFormat="1" x14ac:dyDescent="0.25"/>
    <row r="249708" s="12" customFormat="1" x14ac:dyDescent="0.25"/>
    <row r="249709" s="12" customFormat="1" x14ac:dyDescent="0.25"/>
    <row r="249710" s="12" customFormat="1" x14ac:dyDescent="0.25"/>
    <row r="249711" s="12" customFormat="1" x14ac:dyDescent="0.25"/>
    <row r="249712" s="12" customFormat="1" x14ac:dyDescent="0.25"/>
    <row r="249713" s="12" customFormat="1" x14ac:dyDescent="0.25"/>
    <row r="249714" s="12" customFormat="1" x14ac:dyDescent="0.25"/>
    <row r="249715" s="12" customFormat="1" x14ac:dyDescent="0.25"/>
    <row r="249716" s="12" customFormat="1" x14ac:dyDescent="0.25"/>
    <row r="249717" s="12" customFormat="1" x14ac:dyDescent="0.25"/>
    <row r="249718" s="12" customFormat="1" x14ac:dyDescent="0.25"/>
    <row r="249719" s="12" customFormat="1" x14ac:dyDescent="0.25"/>
    <row r="249720" s="12" customFormat="1" x14ac:dyDescent="0.25"/>
    <row r="249721" s="12" customFormat="1" x14ac:dyDescent="0.25"/>
    <row r="249722" s="12" customFormat="1" x14ac:dyDescent="0.25"/>
    <row r="249723" s="12" customFormat="1" x14ac:dyDescent="0.25"/>
    <row r="249724" s="12" customFormat="1" x14ac:dyDescent="0.25"/>
    <row r="249725" s="12" customFormat="1" x14ac:dyDescent="0.25"/>
    <row r="249726" s="12" customFormat="1" x14ac:dyDescent="0.25"/>
    <row r="249727" s="12" customFormat="1" x14ac:dyDescent="0.25"/>
    <row r="249728" s="12" customFormat="1" x14ac:dyDescent="0.25"/>
    <row r="249729" s="12" customFormat="1" x14ac:dyDescent="0.25"/>
    <row r="249730" s="12" customFormat="1" x14ac:dyDescent="0.25"/>
    <row r="249731" s="12" customFormat="1" x14ac:dyDescent="0.25"/>
    <row r="249732" s="12" customFormat="1" x14ac:dyDescent="0.25"/>
    <row r="249733" s="12" customFormat="1" x14ac:dyDescent="0.25"/>
    <row r="249734" s="12" customFormat="1" x14ac:dyDescent="0.25"/>
    <row r="249735" s="12" customFormat="1" x14ac:dyDescent="0.25"/>
    <row r="249736" s="12" customFormat="1" x14ac:dyDescent="0.25"/>
    <row r="249737" s="12" customFormat="1" x14ac:dyDescent="0.25"/>
    <row r="249738" s="12" customFormat="1" x14ac:dyDescent="0.25"/>
    <row r="249739" s="12" customFormat="1" x14ac:dyDescent="0.25"/>
    <row r="249740" s="12" customFormat="1" x14ac:dyDescent="0.25"/>
    <row r="249741" s="12" customFormat="1" x14ac:dyDescent="0.25"/>
    <row r="249742" s="12" customFormat="1" x14ac:dyDescent="0.25"/>
    <row r="249743" s="12" customFormat="1" x14ac:dyDescent="0.25"/>
    <row r="249744" s="12" customFormat="1" x14ac:dyDescent="0.25"/>
    <row r="249745" s="12" customFormat="1" x14ac:dyDescent="0.25"/>
    <row r="249746" s="12" customFormat="1" x14ac:dyDescent="0.25"/>
    <row r="249747" s="12" customFormat="1" x14ac:dyDescent="0.25"/>
    <row r="249748" s="12" customFormat="1" x14ac:dyDescent="0.25"/>
    <row r="249749" s="12" customFormat="1" x14ac:dyDescent="0.25"/>
    <row r="249750" s="12" customFormat="1" x14ac:dyDescent="0.25"/>
    <row r="249751" s="12" customFormat="1" x14ac:dyDescent="0.25"/>
    <row r="249752" s="12" customFormat="1" x14ac:dyDescent="0.25"/>
    <row r="249753" s="12" customFormat="1" x14ac:dyDescent="0.25"/>
    <row r="249754" s="12" customFormat="1" x14ac:dyDescent="0.25"/>
    <row r="249755" s="12" customFormat="1" x14ac:dyDescent="0.25"/>
    <row r="249756" s="12" customFormat="1" x14ac:dyDescent="0.25"/>
    <row r="249757" s="12" customFormat="1" x14ac:dyDescent="0.25"/>
    <row r="249758" s="12" customFormat="1" x14ac:dyDescent="0.25"/>
    <row r="249759" s="12" customFormat="1" x14ac:dyDescent="0.25"/>
    <row r="249760" s="12" customFormat="1" x14ac:dyDescent="0.25"/>
    <row r="249761" s="12" customFormat="1" x14ac:dyDescent="0.25"/>
    <row r="249762" s="12" customFormat="1" x14ac:dyDescent="0.25"/>
    <row r="249763" s="12" customFormat="1" x14ac:dyDescent="0.25"/>
    <row r="249764" s="12" customFormat="1" x14ac:dyDescent="0.25"/>
    <row r="249765" s="12" customFormat="1" x14ac:dyDescent="0.25"/>
    <row r="249766" s="12" customFormat="1" x14ac:dyDescent="0.25"/>
    <row r="249767" s="12" customFormat="1" x14ac:dyDescent="0.25"/>
    <row r="249768" s="12" customFormat="1" x14ac:dyDescent="0.25"/>
    <row r="249769" s="12" customFormat="1" x14ac:dyDescent="0.25"/>
    <row r="249770" s="12" customFormat="1" x14ac:dyDescent="0.25"/>
    <row r="249771" s="12" customFormat="1" x14ac:dyDescent="0.25"/>
    <row r="249772" s="12" customFormat="1" x14ac:dyDescent="0.25"/>
    <row r="249773" s="12" customFormat="1" x14ac:dyDescent="0.25"/>
    <row r="249774" s="12" customFormat="1" x14ac:dyDescent="0.25"/>
    <row r="249775" s="12" customFormat="1" x14ac:dyDescent="0.25"/>
    <row r="249776" s="12" customFormat="1" x14ac:dyDescent="0.25"/>
    <row r="249777" s="12" customFormat="1" x14ac:dyDescent="0.25"/>
    <row r="249778" s="12" customFormat="1" x14ac:dyDescent="0.25"/>
    <row r="249779" s="12" customFormat="1" x14ac:dyDescent="0.25"/>
    <row r="249780" s="12" customFormat="1" x14ac:dyDescent="0.25"/>
    <row r="249781" s="12" customFormat="1" x14ac:dyDescent="0.25"/>
    <row r="249782" s="12" customFormat="1" x14ac:dyDescent="0.25"/>
    <row r="249783" s="12" customFormat="1" x14ac:dyDescent="0.25"/>
    <row r="249784" s="12" customFormat="1" x14ac:dyDescent="0.25"/>
    <row r="249785" s="12" customFormat="1" x14ac:dyDescent="0.25"/>
    <row r="249786" s="12" customFormat="1" x14ac:dyDescent="0.25"/>
    <row r="249787" s="12" customFormat="1" x14ac:dyDescent="0.25"/>
    <row r="249788" s="12" customFormat="1" x14ac:dyDescent="0.25"/>
    <row r="249789" s="12" customFormat="1" x14ac:dyDescent="0.25"/>
    <row r="249790" s="12" customFormat="1" x14ac:dyDescent="0.25"/>
    <row r="249791" s="12" customFormat="1" x14ac:dyDescent="0.25"/>
    <row r="249792" s="12" customFormat="1" x14ac:dyDescent="0.25"/>
    <row r="249793" s="12" customFormat="1" x14ac:dyDescent="0.25"/>
    <row r="249794" s="12" customFormat="1" x14ac:dyDescent="0.25"/>
    <row r="249795" s="12" customFormat="1" x14ac:dyDescent="0.25"/>
    <row r="249796" s="12" customFormat="1" x14ac:dyDescent="0.25"/>
    <row r="249797" s="12" customFormat="1" x14ac:dyDescent="0.25"/>
    <row r="249798" s="12" customFormat="1" x14ac:dyDescent="0.25"/>
    <row r="249799" s="12" customFormat="1" x14ac:dyDescent="0.25"/>
    <row r="249800" s="12" customFormat="1" x14ac:dyDescent="0.25"/>
    <row r="249801" s="12" customFormat="1" x14ac:dyDescent="0.25"/>
    <row r="249802" s="12" customFormat="1" x14ac:dyDescent="0.25"/>
    <row r="249803" s="12" customFormat="1" x14ac:dyDescent="0.25"/>
    <row r="249804" s="12" customFormat="1" x14ac:dyDescent="0.25"/>
    <row r="249805" s="12" customFormat="1" x14ac:dyDescent="0.25"/>
    <row r="249806" s="12" customFormat="1" x14ac:dyDescent="0.25"/>
    <row r="249807" s="12" customFormat="1" x14ac:dyDescent="0.25"/>
    <row r="249808" s="12" customFormat="1" x14ac:dyDescent="0.25"/>
    <row r="249809" s="12" customFormat="1" x14ac:dyDescent="0.25"/>
    <row r="249810" s="12" customFormat="1" x14ac:dyDescent="0.25"/>
    <row r="249811" s="12" customFormat="1" x14ac:dyDescent="0.25"/>
    <row r="249812" s="12" customFormat="1" x14ac:dyDescent="0.25"/>
    <row r="249813" s="12" customFormat="1" x14ac:dyDescent="0.25"/>
    <row r="249814" s="12" customFormat="1" x14ac:dyDescent="0.25"/>
    <row r="249815" s="12" customFormat="1" x14ac:dyDescent="0.25"/>
    <row r="249816" s="12" customFormat="1" x14ac:dyDescent="0.25"/>
    <row r="249817" s="12" customFormat="1" x14ac:dyDescent="0.25"/>
    <row r="249818" s="12" customFormat="1" x14ac:dyDescent="0.25"/>
    <row r="249819" s="12" customFormat="1" x14ac:dyDescent="0.25"/>
    <row r="249820" s="12" customFormat="1" x14ac:dyDescent="0.25"/>
    <row r="249821" s="12" customFormat="1" x14ac:dyDescent="0.25"/>
    <row r="249822" s="12" customFormat="1" x14ac:dyDescent="0.25"/>
    <row r="249823" s="12" customFormat="1" x14ac:dyDescent="0.25"/>
    <row r="249824" s="12" customFormat="1" x14ac:dyDescent="0.25"/>
    <row r="249825" s="12" customFormat="1" x14ac:dyDescent="0.25"/>
    <row r="249826" s="12" customFormat="1" x14ac:dyDescent="0.25"/>
    <row r="249827" s="12" customFormat="1" x14ac:dyDescent="0.25"/>
    <row r="249828" s="12" customFormat="1" x14ac:dyDescent="0.25"/>
    <row r="249829" s="12" customFormat="1" x14ac:dyDescent="0.25"/>
    <row r="249830" s="12" customFormat="1" x14ac:dyDescent="0.25"/>
    <row r="249831" s="12" customFormat="1" x14ac:dyDescent="0.25"/>
    <row r="249832" s="12" customFormat="1" x14ac:dyDescent="0.25"/>
    <row r="249833" s="12" customFormat="1" x14ac:dyDescent="0.25"/>
    <row r="249834" s="12" customFormat="1" x14ac:dyDescent="0.25"/>
    <row r="249835" s="12" customFormat="1" x14ac:dyDescent="0.25"/>
    <row r="249836" s="12" customFormat="1" x14ac:dyDescent="0.25"/>
    <row r="249837" s="12" customFormat="1" x14ac:dyDescent="0.25"/>
    <row r="249838" s="12" customFormat="1" x14ac:dyDescent="0.25"/>
    <row r="249839" s="12" customFormat="1" x14ac:dyDescent="0.25"/>
    <row r="249840" s="12" customFormat="1" x14ac:dyDescent="0.25"/>
    <row r="249841" s="12" customFormat="1" x14ac:dyDescent="0.25"/>
    <row r="249842" s="12" customFormat="1" x14ac:dyDescent="0.25"/>
    <row r="249843" s="12" customFormat="1" x14ac:dyDescent="0.25"/>
    <row r="249844" s="12" customFormat="1" x14ac:dyDescent="0.25"/>
    <row r="249845" s="12" customFormat="1" x14ac:dyDescent="0.25"/>
    <row r="249846" s="12" customFormat="1" x14ac:dyDescent="0.25"/>
    <row r="249847" s="12" customFormat="1" x14ac:dyDescent="0.25"/>
    <row r="249848" s="12" customFormat="1" x14ac:dyDescent="0.25"/>
    <row r="249849" s="12" customFormat="1" x14ac:dyDescent="0.25"/>
    <row r="249850" s="12" customFormat="1" x14ac:dyDescent="0.25"/>
    <row r="249851" s="12" customFormat="1" x14ac:dyDescent="0.25"/>
    <row r="249852" s="12" customFormat="1" x14ac:dyDescent="0.25"/>
    <row r="249853" s="12" customFormat="1" x14ac:dyDescent="0.25"/>
    <row r="249854" s="12" customFormat="1" x14ac:dyDescent="0.25"/>
    <row r="249855" s="12" customFormat="1" x14ac:dyDescent="0.25"/>
    <row r="249856" s="12" customFormat="1" x14ac:dyDescent="0.25"/>
    <row r="249857" s="12" customFormat="1" x14ac:dyDescent="0.25"/>
    <row r="249858" s="12" customFormat="1" x14ac:dyDescent="0.25"/>
    <row r="249859" s="12" customFormat="1" x14ac:dyDescent="0.25"/>
    <row r="249860" s="12" customFormat="1" x14ac:dyDescent="0.25"/>
    <row r="249861" s="12" customFormat="1" x14ac:dyDescent="0.25"/>
    <row r="249862" s="12" customFormat="1" x14ac:dyDescent="0.25"/>
    <row r="249863" s="12" customFormat="1" x14ac:dyDescent="0.25"/>
    <row r="249864" s="12" customFormat="1" x14ac:dyDescent="0.25"/>
    <row r="249865" s="12" customFormat="1" x14ac:dyDescent="0.25"/>
    <row r="249866" s="12" customFormat="1" x14ac:dyDescent="0.25"/>
    <row r="249867" s="12" customFormat="1" x14ac:dyDescent="0.25"/>
    <row r="249868" s="12" customFormat="1" x14ac:dyDescent="0.25"/>
    <row r="249869" s="12" customFormat="1" x14ac:dyDescent="0.25"/>
    <row r="249870" s="12" customFormat="1" x14ac:dyDescent="0.25"/>
    <row r="249871" s="12" customFormat="1" x14ac:dyDescent="0.25"/>
    <row r="249872" s="12" customFormat="1" x14ac:dyDescent="0.25"/>
    <row r="249873" s="12" customFormat="1" x14ac:dyDescent="0.25"/>
    <row r="249874" s="12" customFormat="1" x14ac:dyDescent="0.25"/>
    <row r="249875" s="12" customFormat="1" x14ac:dyDescent="0.25"/>
    <row r="249876" s="12" customFormat="1" x14ac:dyDescent="0.25"/>
    <row r="249877" s="12" customFormat="1" x14ac:dyDescent="0.25"/>
    <row r="249878" s="12" customFormat="1" x14ac:dyDescent="0.25"/>
    <row r="249879" s="12" customFormat="1" x14ac:dyDescent="0.25"/>
    <row r="249880" s="12" customFormat="1" x14ac:dyDescent="0.25"/>
    <row r="249881" s="12" customFormat="1" x14ac:dyDescent="0.25"/>
    <row r="249882" s="12" customFormat="1" x14ac:dyDescent="0.25"/>
    <row r="249883" s="12" customFormat="1" x14ac:dyDescent="0.25"/>
    <row r="249884" s="12" customFormat="1" x14ac:dyDescent="0.25"/>
    <row r="249885" s="12" customFormat="1" x14ac:dyDescent="0.25"/>
    <row r="249886" s="12" customFormat="1" x14ac:dyDescent="0.25"/>
    <row r="249887" s="12" customFormat="1" x14ac:dyDescent="0.25"/>
    <row r="249888" s="12" customFormat="1" x14ac:dyDescent="0.25"/>
    <row r="249889" s="12" customFormat="1" x14ac:dyDescent="0.25"/>
    <row r="249890" s="12" customFormat="1" x14ac:dyDescent="0.25"/>
    <row r="249891" s="12" customFormat="1" x14ac:dyDescent="0.25"/>
    <row r="249892" s="12" customFormat="1" x14ac:dyDescent="0.25"/>
    <row r="249893" s="12" customFormat="1" x14ac:dyDescent="0.25"/>
    <row r="249894" s="12" customFormat="1" x14ac:dyDescent="0.25"/>
    <row r="249895" s="12" customFormat="1" x14ac:dyDescent="0.25"/>
    <row r="249896" s="12" customFormat="1" x14ac:dyDescent="0.25"/>
    <row r="249897" s="12" customFormat="1" x14ac:dyDescent="0.25"/>
    <row r="249898" s="12" customFormat="1" x14ac:dyDescent="0.25"/>
    <row r="249899" s="12" customFormat="1" x14ac:dyDescent="0.25"/>
    <row r="249900" s="12" customFormat="1" x14ac:dyDescent="0.25"/>
    <row r="249901" s="12" customFormat="1" x14ac:dyDescent="0.25"/>
    <row r="249902" s="12" customFormat="1" x14ac:dyDescent="0.25"/>
    <row r="249903" s="12" customFormat="1" x14ac:dyDescent="0.25"/>
    <row r="249904" s="12" customFormat="1" x14ac:dyDescent="0.25"/>
    <row r="249905" s="12" customFormat="1" x14ac:dyDescent="0.25"/>
    <row r="249906" s="12" customFormat="1" x14ac:dyDescent="0.25"/>
    <row r="249907" s="12" customFormat="1" x14ac:dyDescent="0.25"/>
    <row r="249908" s="12" customFormat="1" x14ac:dyDescent="0.25"/>
    <row r="249909" s="12" customFormat="1" x14ac:dyDescent="0.25"/>
    <row r="249910" s="12" customFormat="1" x14ac:dyDescent="0.25"/>
    <row r="249911" s="12" customFormat="1" x14ac:dyDescent="0.25"/>
    <row r="249912" s="12" customFormat="1" x14ac:dyDescent="0.25"/>
    <row r="249913" s="12" customFormat="1" x14ac:dyDescent="0.25"/>
    <row r="249914" s="12" customFormat="1" x14ac:dyDescent="0.25"/>
    <row r="249915" s="12" customFormat="1" x14ac:dyDescent="0.25"/>
    <row r="249916" s="12" customFormat="1" x14ac:dyDescent="0.25"/>
    <row r="249917" s="12" customFormat="1" x14ac:dyDescent="0.25"/>
    <row r="249918" s="12" customFormat="1" x14ac:dyDescent="0.25"/>
    <row r="249919" s="12" customFormat="1" x14ac:dyDescent="0.25"/>
    <row r="249920" s="12" customFormat="1" x14ac:dyDescent="0.25"/>
    <row r="249921" s="12" customFormat="1" x14ac:dyDescent="0.25"/>
    <row r="249922" s="12" customFormat="1" x14ac:dyDescent="0.25"/>
    <row r="249923" s="12" customFormat="1" x14ac:dyDescent="0.25"/>
    <row r="249924" s="12" customFormat="1" x14ac:dyDescent="0.25"/>
    <row r="249925" s="12" customFormat="1" x14ac:dyDescent="0.25"/>
    <row r="249926" s="12" customFormat="1" x14ac:dyDescent="0.25"/>
    <row r="249927" s="12" customFormat="1" x14ac:dyDescent="0.25"/>
    <row r="249928" s="12" customFormat="1" x14ac:dyDescent="0.25"/>
    <row r="249929" s="12" customFormat="1" x14ac:dyDescent="0.25"/>
    <row r="249930" s="12" customFormat="1" x14ac:dyDescent="0.25"/>
    <row r="249931" s="12" customFormat="1" x14ac:dyDescent="0.25"/>
    <row r="249932" s="12" customFormat="1" x14ac:dyDescent="0.25"/>
    <row r="249933" s="12" customFormat="1" x14ac:dyDescent="0.25"/>
    <row r="249934" s="12" customFormat="1" x14ac:dyDescent="0.25"/>
    <row r="249935" s="12" customFormat="1" x14ac:dyDescent="0.25"/>
    <row r="249936" s="12" customFormat="1" x14ac:dyDescent="0.25"/>
    <row r="249937" s="12" customFormat="1" x14ac:dyDescent="0.25"/>
    <row r="249938" s="12" customFormat="1" x14ac:dyDescent="0.25"/>
    <row r="249939" s="12" customFormat="1" x14ac:dyDescent="0.25"/>
    <row r="249940" s="12" customFormat="1" x14ac:dyDescent="0.25"/>
    <row r="249941" s="12" customFormat="1" x14ac:dyDescent="0.25"/>
    <row r="249942" s="12" customFormat="1" x14ac:dyDescent="0.25"/>
    <row r="249943" s="12" customFormat="1" x14ac:dyDescent="0.25"/>
    <row r="249944" s="12" customFormat="1" x14ac:dyDescent="0.25"/>
    <row r="249945" s="12" customFormat="1" x14ac:dyDescent="0.25"/>
    <row r="249946" s="12" customFormat="1" x14ac:dyDescent="0.25"/>
    <row r="249947" s="12" customFormat="1" x14ac:dyDescent="0.25"/>
    <row r="249948" s="12" customFormat="1" x14ac:dyDescent="0.25"/>
    <row r="249949" s="12" customFormat="1" x14ac:dyDescent="0.25"/>
    <row r="249950" s="12" customFormat="1" x14ac:dyDescent="0.25"/>
    <row r="249951" s="12" customFormat="1" x14ac:dyDescent="0.25"/>
    <row r="249952" s="12" customFormat="1" x14ac:dyDescent="0.25"/>
    <row r="249953" s="12" customFormat="1" x14ac:dyDescent="0.25"/>
    <row r="249954" s="12" customFormat="1" x14ac:dyDescent="0.25"/>
    <row r="249955" s="12" customFormat="1" x14ac:dyDescent="0.25"/>
    <row r="249956" s="12" customFormat="1" x14ac:dyDescent="0.25"/>
    <row r="249957" s="12" customFormat="1" x14ac:dyDescent="0.25"/>
    <row r="249958" s="12" customFormat="1" x14ac:dyDescent="0.25"/>
    <row r="249959" s="12" customFormat="1" x14ac:dyDescent="0.25"/>
    <row r="249960" s="12" customFormat="1" x14ac:dyDescent="0.25"/>
    <row r="249961" s="12" customFormat="1" x14ac:dyDescent="0.25"/>
    <row r="249962" s="12" customFormat="1" x14ac:dyDescent="0.25"/>
    <row r="249963" s="12" customFormat="1" x14ac:dyDescent="0.25"/>
    <row r="249964" s="12" customFormat="1" x14ac:dyDescent="0.25"/>
    <row r="249965" s="12" customFormat="1" x14ac:dyDescent="0.25"/>
    <row r="249966" s="12" customFormat="1" x14ac:dyDescent="0.25"/>
    <row r="249967" s="12" customFormat="1" x14ac:dyDescent="0.25"/>
    <row r="249968" s="12" customFormat="1" x14ac:dyDescent="0.25"/>
    <row r="249969" s="12" customFormat="1" x14ac:dyDescent="0.25"/>
    <row r="249970" s="12" customFormat="1" x14ac:dyDescent="0.25"/>
    <row r="249971" s="12" customFormat="1" x14ac:dyDescent="0.25"/>
    <row r="249972" s="12" customFormat="1" x14ac:dyDescent="0.25"/>
    <row r="249973" s="12" customFormat="1" x14ac:dyDescent="0.25"/>
    <row r="249974" s="12" customFormat="1" x14ac:dyDescent="0.25"/>
    <row r="249975" s="12" customFormat="1" x14ac:dyDescent="0.25"/>
    <row r="249976" s="12" customFormat="1" x14ac:dyDescent="0.25"/>
    <row r="249977" s="12" customFormat="1" x14ac:dyDescent="0.25"/>
    <row r="249978" s="12" customFormat="1" x14ac:dyDescent="0.25"/>
    <row r="249979" s="12" customFormat="1" x14ac:dyDescent="0.25"/>
    <row r="249980" s="12" customFormat="1" x14ac:dyDescent="0.25"/>
    <row r="249981" s="12" customFormat="1" x14ac:dyDescent="0.25"/>
    <row r="249982" s="12" customFormat="1" x14ac:dyDescent="0.25"/>
    <row r="249983" s="12" customFormat="1" x14ac:dyDescent="0.25"/>
    <row r="249984" s="12" customFormat="1" x14ac:dyDescent="0.25"/>
    <row r="249985" s="12" customFormat="1" x14ac:dyDescent="0.25"/>
    <row r="249986" s="12" customFormat="1" x14ac:dyDescent="0.25"/>
    <row r="249987" s="12" customFormat="1" x14ac:dyDescent="0.25"/>
    <row r="249988" s="12" customFormat="1" x14ac:dyDescent="0.25"/>
    <row r="249989" s="12" customFormat="1" x14ac:dyDescent="0.25"/>
    <row r="249990" s="12" customFormat="1" x14ac:dyDescent="0.25"/>
    <row r="249991" s="12" customFormat="1" x14ac:dyDescent="0.25"/>
    <row r="249992" s="12" customFormat="1" x14ac:dyDescent="0.25"/>
    <row r="249993" s="12" customFormat="1" x14ac:dyDescent="0.25"/>
    <row r="249994" s="12" customFormat="1" x14ac:dyDescent="0.25"/>
    <row r="249995" s="12" customFormat="1" x14ac:dyDescent="0.25"/>
    <row r="249996" s="12" customFormat="1" x14ac:dyDescent="0.25"/>
    <row r="249997" s="12" customFormat="1" x14ac:dyDescent="0.25"/>
    <row r="249998" s="12" customFormat="1" x14ac:dyDescent="0.25"/>
    <row r="249999" s="12" customFormat="1" x14ac:dyDescent="0.25"/>
    <row r="250000" s="12" customFormat="1" x14ac:dyDescent="0.25"/>
    <row r="250001" s="12" customFormat="1" x14ac:dyDescent="0.25"/>
    <row r="250002" s="12" customFormat="1" x14ac:dyDescent="0.25"/>
    <row r="250003" s="12" customFormat="1" x14ac:dyDescent="0.25"/>
    <row r="250004" s="12" customFormat="1" x14ac:dyDescent="0.25"/>
    <row r="250005" s="12" customFormat="1" x14ac:dyDescent="0.25"/>
    <row r="250006" s="12" customFormat="1" x14ac:dyDescent="0.25"/>
    <row r="250007" s="12" customFormat="1" x14ac:dyDescent="0.25"/>
    <row r="250008" s="12" customFormat="1" x14ac:dyDescent="0.25"/>
    <row r="250009" s="12" customFormat="1" x14ac:dyDescent="0.25"/>
    <row r="250010" s="12" customFormat="1" x14ac:dyDescent="0.25"/>
    <row r="250011" s="12" customFormat="1" x14ac:dyDescent="0.25"/>
    <row r="250012" s="12" customFormat="1" x14ac:dyDescent="0.25"/>
    <row r="250013" s="12" customFormat="1" x14ac:dyDescent="0.25"/>
    <row r="250014" s="12" customFormat="1" x14ac:dyDescent="0.25"/>
    <row r="250015" s="12" customFormat="1" x14ac:dyDescent="0.25"/>
    <row r="250016" s="12" customFormat="1" x14ac:dyDescent="0.25"/>
    <row r="250017" s="12" customFormat="1" x14ac:dyDescent="0.25"/>
    <row r="250018" s="12" customFormat="1" x14ac:dyDescent="0.25"/>
    <row r="250019" s="12" customFormat="1" x14ac:dyDescent="0.25"/>
    <row r="250020" s="12" customFormat="1" x14ac:dyDescent="0.25"/>
    <row r="250021" s="12" customFormat="1" x14ac:dyDescent="0.25"/>
    <row r="250022" s="12" customFormat="1" x14ac:dyDescent="0.25"/>
    <row r="250023" s="12" customFormat="1" x14ac:dyDescent="0.25"/>
    <row r="250024" s="12" customFormat="1" x14ac:dyDescent="0.25"/>
    <row r="250025" s="12" customFormat="1" x14ac:dyDescent="0.25"/>
    <row r="250026" s="12" customFormat="1" x14ac:dyDescent="0.25"/>
    <row r="250027" s="12" customFormat="1" x14ac:dyDescent="0.25"/>
    <row r="250028" s="12" customFormat="1" x14ac:dyDescent="0.25"/>
    <row r="250029" s="12" customFormat="1" x14ac:dyDescent="0.25"/>
    <row r="250030" s="12" customFormat="1" x14ac:dyDescent="0.25"/>
    <row r="250031" s="12" customFormat="1" x14ac:dyDescent="0.25"/>
    <row r="250032" s="12" customFormat="1" x14ac:dyDescent="0.25"/>
    <row r="250033" s="12" customFormat="1" x14ac:dyDescent="0.25"/>
    <row r="250034" s="12" customFormat="1" x14ac:dyDescent="0.25"/>
    <row r="250035" s="12" customFormat="1" x14ac:dyDescent="0.25"/>
    <row r="250036" s="12" customFormat="1" x14ac:dyDescent="0.25"/>
    <row r="250037" s="12" customFormat="1" x14ac:dyDescent="0.25"/>
    <row r="250038" s="12" customFormat="1" x14ac:dyDescent="0.25"/>
    <row r="250039" s="12" customFormat="1" x14ac:dyDescent="0.25"/>
    <row r="250040" s="12" customFormat="1" x14ac:dyDescent="0.25"/>
    <row r="250041" s="12" customFormat="1" x14ac:dyDescent="0.25"/>
    <row r="250042" s="12" customFormat="1" x14ac:dyDescent="0.25"/>
    <row r="250043" s="12" customFormat="1" x14ac:dyDescent="0.25"/>
    <row r="250044" s="12" customFormat="1" x14ac:dyDescent="0.25"/>
    <row r="250045" s="12" customFormat="1" x14ac:dyDescent="0.25"/>
    <row r="250046" s="12" customFormat="1" x14ac:dyDescent="0.25"/>
    <row r="250047" s="12" customFormat="1" x14ac:dyDescent="0.25"/>
    <row r="250048" s="12" customFormat="1" x14ac:dyDescent="0.25"/>
    <row r="250049" s="12" customFormat="1" x14ac:dyDescent="0.25"/>
    <row r="250050" s="12" customFormat="1" x14ac:dyDescent="0.25"/>
    <row r="250051" s="12" customFormat="1" x14ac:dyDescent="0.25"/>
    <row r="250052" s="12" customFormat="1" x14ac:dyDescent="0.25"/>
    <row r="250053" s="12" customFormat="1" x14ac:dyDescent="0.25"/>
    <row r="250054" s="12" customFormat="1" x14ac:dyDescent="0.25"/>
    <row r="250055" s="12" customFormat="1" x14ac:dyDescent="0.25"/>
    <row r="250056" s="12" customFormat="1" x14ac:dyDescent="0.25"/>
    <row r="250057" s="12" customFormat="1" x14ac:dyDescent="0.25"/>
    <row r="250058" s="12" customFormat="1" x14ac:dyDescent="0.25"/>
    <row r="250059" s="12" customFormat="1" x14ac:dyDescent="0.25"/>
    <row r="250060" s="12" customFormat="1" x14ac:dyDescent="0.25"/>
    <row r="250061" s="12" customFormat="1" x14ac:dyDescent="0.25"/>
    <row r="250062" s="12" customFormat="1" x14ac:dyDescent="0.25"/>
    <row r="250063" s="12" customFormat="1" x14ac:dyDescent="0.25"/>
    <row r="250064" s="12" customFormat="1" x14ac:dyDescent="0.25"/>
    <row r="250065" s="12" customFormat="1" x14ac:dyDescent="0.25"/>
    <row r="250066" s="12" customFormat="1" x14ac:dyDescent="0.25"/>
    <row r="250067" s="12" customFormat="1" x14ac:dyDescent="0.25"/>
    <row r="250068" s="12" customFormat="1" x14ac:dyDescent="0.25"/>
    <row r="250069" s="12" customFormat="1" x14ac:dyDescent="0.25"/>
    <row r="250070" s="12" customFormat="1" x14ac:dyDescent="0.25"/>
    <row r="250071" s="12" customFormat="1" x14ac:dyDescent="0.25"/>
    <row r="250072" s="12" customFormat="1" x14ac:dyDescent="0.25"/>
    <row r="250073" s="12" customFormat="1" x14ac:dyDescent="0.25"/>
    <row r="250074" s="12" customFormat="1" x14ac:dyDescent="0.25"/>
    <row r="250075" s="12" customFormat="1" x14ac:dyDescent="0.25"/>
    <row r="250076" s="12" customFormat="1" x14ac:dyDescent="0.25"/>
    <row r="250077" s="12" customFormat="1" x14ac:dyDescent="0.25"/>
    <row r="250078" s="12" customFormat="1" x14ac:dyDescent="0.25"/>
    <row r="250079" s="12" customFormat="1" x14ac:dyDescent="0.25"/>
    <row r="250080" s="12" customFormat="1" x14ac:dyDescent="0.25"/>
    <row r="250081" s="12" customFormat="1" x14ac:dyDescent="0.25"/>
    <row r="250082" s="12" customFormat="1" x14ac:dyDescent="0.25"/>
    <row r="250083" s="12" customFormat="1" x14ac:dyDescent="0.25"/>
    <row r="250084" s="12" customFormat="1" x14ac:dyDescent="0.25"/>
    <row r="250085" s="12" customFormat="1" x14ac:dyDescent="0.25"/>
    <row r="250086" s="12" customFormat="1" x14ac:dyDescent="0.25"/>
    <row r="250087" s="12" customFormat="1" x14ac:dyDescent="0.25"/>
    <row r="250088" s="12" customFormat="1" x14ac:dyDescent="0.25"/>
    <row r="250089" s="12" customFormat="1" x14ac:dyDescent="0.25"/>
    <row r="250090" s="12" customFormat="1" x14ac:dyDescent="0.25"/>
    <row r="250091" s="12" customFormat="1" x14ac:dyDescent="0.25"/>
    <row r="250092" s="12" customFormat="1" x14ac:dyDescent="0.25"/>
    <row r="250093" s="12" customFormat="1" x14ac:dyDescent="0.25"/>
    <row r="250094" s="12" customFormat="1" x14ac:dyDescent="0.25"/>
    <row r="250095" s="12" customFormat="1" x14ac:dyDescent="0.25"/>
    <row r="250096" s="12" customFormat="1" x14ac:dyDescent="0.25"/>
    <row r="250097" s="12" customFormat="1" x14ac:dyDescent="0.25"/>
    <row r="250098" s="12" customFormat="1" x14ac:dyDescent="0.25"/>
    <row r="250099" s="12" customFormat="1" x14ac:dyDescent="0.25"/>
    <row r="250100" s="12" customFormat="1" x14ac:dyDescent="0.25"/>
    <row r="250101" s="12" customFormat="1" x14ac:dyDescent="0.25"/>
    <row r="250102" s="12" customFormat="1" x14ac:dyDescent="0.25"/>
    <row r="250103" s="12" customFormat="1" x14ac:dyDescent="0.25"/>
    <row r="250104" s="12" customFormat="1" x14ac:dyDescent="0.25"/>
    <row r="250105" s="12" customFormat="1" x14ac:dyDescent="0.25"/>
    <row r="250106" s="12" customFormat="1" x14ac:dyDescent="0.25"/>
    <row r="250107" s="12" customFormat="1" x14ac:dyDescent="0.25"/>
    <row r="250108" s="12" customFormat="1" x14ac:dyDescent="0.25"/>
    <row r="250109" s="12" customFormat="1" x14ac:dyDescent="0.25"/>
    <row r="250110" s="12" customFormat="1" x14ac:dyDescent="0.25"/>
    <row r="250111" s="12" customFormat="1" x14ac:dyDescent="0.25"/>
    <row r="250112" s="12" customFormat="1" x14ac:dyDescent="0.25"/>
    <row r="250113" s="12" customFormat="1" x14ac:dyDescent="0.25"/>
    <row r="250114" s="12" customFormat="1" x14ac:dyDescent="0.25"/>
    <row r="250115" s="12" customFormat="1" x14ac:dyDescent="0.25"/>
    <row r="250116" s="12" customFormat="1" x14ac:dyDescent="0.25"/>
    <row r="250117" s="12" customFormat="1" x14ac:dyDescent="0.25"/>
    <row r="250118" s="12" customFormat="1" x14ac:dyDescent="0.25"/>
    <row r="250119" s="12" customFormat="1" x14ac:dyDescent="0.25"/>
    <row r="250120" s="12" customFormat="1" x14ac:dyDescent="0.25"/>
    <row r="250121" s="12" customFormat="1" x14ac:dyDescent="0.25"/>
    <row r="250122" s="12" customFormat="1" x14ac:dyDescent="0.25"/>
    <row r="250123" s="12" customFormat="1" x14ac:dyDescent="0.25"/>
    <row r="250124" s="12" customFormat="1" x14ac:dyDescent="0.25"/>
    <row r="250125" s="12" customFormat="1" x14ac:dyDescent="0.25"/>
    <row r="250126" s="12" customFormat="1" x14ac:dyDescent="0.25"/>
    <row r="250127" s="12" customFormat="1" x14ac:dyDescent="0.25"/>
    <row r="250128" s="12" customFormat="1" x14ac:dyDescent="0.25"/>
    <row r="250129" s="12" customFormat="1" x14ac:dyDescent="0.25"/>
    <row r="250130" s="12" customFormat="1" x14ac:dyDescent="0.25"/>
    <row r="250131" s="12" customFormat="1" x14ac:dyDescent="0.25"/>
    <row r="250132" s="12" customFormat="1" x14ac:dyDescent="0.25"/>
    <row r="250133" s="12" customFormat="1" x14ac:dyDescent="0.25"/>
    <row r="250134" s="12" customFormat="1" x14ac:dyDescent="0.25"/>
    <row r="250135" s="12" customFormat="1" x14ac:dyDescent="0.25"/>
    <row r="250136" s="12" customFormat="1" x14ac:dyDescent="0.25"/>
    <row r="250137" s="12" customFormat="1" x14ac:dyDescent="0.25"/>
    <row r="250138" s="12" customFormat="1" x14ac:dyDescent="0.25"/>
    <row r="250139" s="12" customFormat="1" x14ac:dyDescent="0.25"/>
    <row r="250140" s="12" customFormat="1" x14ac:dyDescent="0.25"/>
    <row r="250141" s="12" customFormat="1" x14ac:dyDescent="0.25"/>
    <row r="250142" s="12" customFormat="1" x14ac:dyDescent="0.25"/>
    <row r="250143" s="12" customFormat="1" x14ac:dyDescent="0.25"/>
    <row r="250144" s="12" customFormat="1" x14ac:dyDescent="0.25"/>
    <row r="250145" s="12" customFormat="1" x14ac:dyDescent="0.25"/>
    <row r="250146" s="12" customFormat="1" x14ac:dyDescent="0.25"/>
    <row r="250147" s="12" customFormat="1" x14ac:dyDescent="0.25"/>
    <row r="250148" s="12" customFormat="1" x14ac:dyDescent="0.25"/>
    <row r="250149" s="12" customFormat="1" x14ac:dyDescent="0.25"/>
    <row r="250150" s="12" customFormat="1" x14ac:dyDescent="0.25"/>
    <row r="250151" s="12" customFormat="1" x14ac:dyDescent="0.25"/>
    <row r="250152" s="12" customFormat="1" x14ac:dyDescent="0.25"/>
    <row r="250153" s="12" customFormat="1" x14ac:dyDescent="0.25"/>
    <row r="250154" s="12" customFormat="1" x14ac:dyDescent="0.25"/>
    <row r="250155" s="12" customFormat="1" x14ac:dyDescent="0.25"/>
    <row r="250156" s="12" customFormat="1" x14ac:dyDescent="0.25"/>
    <row r="250157" s="12" customFormat="1" x14ac:dyDescent="0.25"/>
    <row r="250158" s="12" customFormat="1" x14ac:dyDescent="0.25"/>
    <row r="250159" s="12" customFormat="1" x14ac:dyDescent="0.25"/>
    <row r="250160" s="12" customFormat="1" x14ac:dyDescent="0.25"/>
    <row r="250161" s="12" customFormat="1" x14ac:dyDescent="0.25"/>
    <row r="250162" s="12" customFormat="1" x14ac:dyDescent="0.25"/>
    <row r="250163" s="12" customFormat="1" x14ac:dyDescent="0.25"/>
    <row r="250164" s="12" customFormat="1" x14ac:dyDescent="0.25"/>
    <row r="250165" s="12" customFormat="1" x14ac:dyDescent="0.25"/>
    <row r="250166" s="12" customFormat="1" x14ac:dyDescent="0.25"/>
    <row r="250167" s="12" customFormat="1" x14ac:dyDescent="0.25"/>
    <row r="250168" s="12" customFormat="1" x14ac:dyDescent="0.25"/>
    <row r="250169" s="12" customFormat="1" x14ac:dyDescent="0.25"/>
    <row r="250170" s="12" customFormat="1" x14ac:dyDescent="0.25"/>
    <row r="250171" s="12" customFormat="1" x14ac:dyDescent="0.25"/>
    <row r="250172" s="12" customFormat="1" x14ac:dyDescent="0.25"/>
    <row r="250173" s="12" customFormat="1" x14ac:dyDescent="0.25"/>
    <row r="250174" s="12" customFormat="1" x14ac:dyDescent="0.25"/>
    <row r="250175" s="12" customFormat="1" x14ac:dyDescent="0.25"/>
    <row r="250176" s="12" customFormat="1" x14ac:dyDescent="0.25"/>
    <row r="250177" s="12" customFormat="1" x14ac:dyDescent="0.25"/>
    <row r="250178" s="12" customFormat="1" x14ac:dyDescent="0.25"/>
    <row r="250179" s="12" customFormat="1" x14ac:dyDescent="0.25"/>
    <row r="250180" s="12" customFormat="1" x14ac:dyDescent="0.25"/>
    <row r="250181" s="12" customFormat="1" x14ac:dyDescent="0.25"/>
    <row r="250182" s="12" customFormat="1" x14ac:dyDescent="0.25"/>
    <row r="250183" s="12" customFormat="1" x14ac:dyDescent="0.25"/>
    <row r="250184" s="12" customFormat="1" x14ac:dyDescent="0.25"/>
    <row r="250185" s="12" customFormat="1" x14ac:dyDescent="0.25"/>
    <row r="250186" s="12" customFormat="1" x14ac:dyDescent="0.25"/>
    <row r="250187" s="12" customFormat="1" x14ac:dyDescent="0.25"/>
    <row r="250188" s="12" customFormat="1" x14ac:dyDescent="0.25"/>
    <row r="250189" s="12" customFormat="1" x14ac:dyDescent="0.25"/>
    <row r="250190" s="12" customFormat="1" x14ac:dyDescent="0.25"/>
    <row r="250191" s="12" customFormat="1" x14ac:dyDescent="0.25"/>
    <row r="250192" s="12" customFormat="1" x14ac:dyDescent="0.25"/>
    <row r="250193" s="12" customFormat="1" x14ac:dyDescent="0.25"/>
    <row r="250194" s="12" customFormat="1" x14ac:dyDescent="0.25"/>
    <row r="250195" s="12" customFormat="1" x14ac:dyDescent="0.25"/>
    <row r="250196" s="12" customFormat="1" x14ac:dyDescent="0.25"/>
    <row r="250197" s="12" customFormat="1" x14ac:dyDescent="0.25"/>
    <row r="250198" s="12" customFormat="1" x14ac:dyDescent="0.25"/>
    <row r="250199" s="12" customFormat="1" x14ac:dyDescent="0.25"/>
    <row r="250200" s="12" customFormat="1" x14ac:dyDescent="0.25"/>
    <row r="250201" s="12" customFormat="1" x14ac:dyDescent="0.25"/>
    <row r="250202" s="12" customFormat="1" x14ac:dyDescent="0.25"/>
    <row r="250203" s="12" customFormat="1" x14ac:dyDescent="0.25"/>
    <row r="250204" s="12" customFormat="1" x14ac:dyDescent="0.25"/>
    <row r="250205" s="12" customFormat="1" x14ac:dyDescent="0.25"/>
    <row r="250206" s="12" customFormat="1" x14ac:dyDescent="0.25"/>
    <row r="250207" s="12" customFormat="1" x14ac:dyDescent="0.25"/>
    <row r="250208" s="12" customFormat="1" x14ac:dyDescent="0.25"/>
    <row r="250209" s="12" customFormat="1" x14ac:dyDescent="0.25"/>
    <row r="250210" s="12" customFormat="1" x14ac:dyDescent="0.25"/>
    <row r="250211" s="12" customFormat="1" x14ac:dyDescent="0.25"/>
    <row r="250212" s="12" customFormat="1" x14ac:dyDescent="0.25"/>
    <row r="250213" s="12" customFormat="1" x14ac:dyDescent="0.25"/>
    <row r="250214" s="12" customFormat="1" x14ac:dyDescent="0.25"/>
    <row r="250215" s="12" customFormat="1" x14ac:dyDescent="0.25"/>
    <row r="250216" s="12" customFormat="1" x14ac:dyDescent="0.25"/>
    <row r="250217" s="12" customFormat="1" x14ac:dyDescent="0.25"/>
    <row r="250218" s="12" customFormat="1" x14ac:dyDescent="0.25"/>
    <row r="250219" s="12" customFormat="1" x14ac:dyDescent="0.25"/>
    <row r="250220" s="12" customFormat="1" x14ac:dyDescent="0.25"/>
    <row r="250221" s="12" customFormat="1" x14ac:dyDescent="0.25"/>
    <row r="250222" s="12" customFormat="1" x14ac:dyDescent="0.25"/>
    <row r="250223" s="12" customFormat="1" x14ac:dyDescent="0.25"/>
    <row r="250224" s="12" customFormat="1" x14ac:dyDescent="0.25"/>
    <row r="250225" s="12" customFormat="1" x14ac:dyDescent="0.25"/>
    <row r="250226" s="12" customFormat="1" x14ac:dyDescent="0.25"/>
    <row r="250227" s="12" customFormat="1" x14ac:dyDescent="0.25"/>
    <row r="250228" s="12" customFormat="1" x14ac:dyDescent="0.25"/>
    <row r="250229" s="12" customFormat="1" x14ac:dyDescent="0.25"/>
    <row r="250230" s="12" customFormat="1" x14ac:dyDescent="0.25"/>
    <row r="250231" s="12" customFormat="1" x14ac:dyDescent="0.25"/>
    <row r="250232" s="12" customFormat="1" x14ac:dyDescent="0.25"/>
    <row r="250233" s="12" customFormat="1" x14ac:dyDescent="0.25"/>
    <row r="250234" s="12" customFormat="1" x14ac:dyDescent="0.25"/>
    <row r="250235" s="12" customFormat="1" x14ac:dyDescent="0.25"/>
    <row r="250236" s="12" customFormat="1" x14ac:dyDescent="0.25"/>
    <row r="250237" s="12" customFormat="1" x14ac:dyDescent="0.25"/>
    <row r="250238" s="12" customFormat="1" x14ac:dyDescent="0.25"/>
    <row r="250239" s="12" customFormat="1" x14ac:dyDescent="0.25"/>
    <row r="250240" s="12" customFormat="1" x14ac:dyDescent="0.25"/>
    <row r="250241" s="12" customFormat="1" x14ac:dyDescent="0.25"/>
    <row r="250242" s="12" customFormat="1" x14ac:dyDescent="0.25"/>
    <row r="250243" s="12" customFormat="1" x14ac:dyDescent="0.25"/>
    <row r="250244" s="12" customFormat="1" x14ac:dyDescent="0.25"/>
    <row r="250245" s="12" customFormat="1" x14ac:dyDescent="0.25"/>
    <row r="250246" s="12" customFormat="1" x14ac:dyDescent="0.25"/>
    <row r="250247" s="12" customFormat="1" x14ac:dyDescent="0.25"/>
    <row r="250248" s="12" customFormat="1" x14ac:dyDescent="0.25"/>
    <row r="250249" s="12" customFormat="1" x14ac:dyDescent="0.25"/>
    <row r="250250" s="12" customFormat="1" x14ac:dyDescent="0.25"/>
    <row r="250251" s="12" customFormat="1" x14ac:dyDescent="0.25"/>
    <row r="250252" s="12" customFormat="1" x14ac:dyDescent="0.25"/>
    <row r="250253" s="12" customFormat="1" x14ac:dyDescent="0.25"/>
    <row r="250254" s="12" customFormat="1" x14ac:dyDescent="0.25"/>
    <row r="250255" s="12" customFormat="1" x14ac:dyDescent="0.25"/>
    <row r="250256" s="12" customFormat="1" x14ac:dyDescent="0.25"/>
    <row r="250257" s="12" customFormat="1" x14ac:dyDescent="0.25"/>
    <row r="250258" s="12" customFormat="1" x14ac:dyDescent="0.25"/>
    <row r="250259" s="12" customFormat="1" x14ac:dyDescent="0.25"/>
    <row r="250260" s="12" customFormat="1" x14ac:dyDescent="0.25"/>
    <row r="250261" s="12" customFormat="1" x14ac:dyDescent="0.25"/>
    <row r="250262" s="12" customFormat="1" x14ac:dyDescent="0.25"/>
    <row r="250263" s="12" customFormat="1" x14ac:dyDescent="0.25"/>
    <row r="250264" s="12" customFormat="1" x14ac:dyDescent="0.25"/>
    <row r="250265" s="12" customFormat="1" x14ac:dyDescent="0.25"/>
    <row r="250266" s="12" customFormat="1" x14ac:dyDescent="0.25"/>
    <row r="250267" s="12" customFormat="1" x14ac:dyDescent="0.25"/>
    <row r="250268" s="12" customFormat="1" x14ac:dyDescent="0.25"/>
    <row r="250269" s="12" customFormat="1" x14ac:dyDescent="0.25"/>
    <row r="250270" s="12" customFormat="1" x14ac:dyDescent="0.25"/>
    <row r="250271" s="12" customFormat="1" x14ac:dyDescent="0.25"/>
    <row r="250272" s="12" customFormat="1" x14ac:dyDescent="0.25"/>
    <row r="250273" s="12" customFormat="1" x14ac:dyDescent="0.25"/>
    <row r="250274" s="12" customFormat="1" x14ac:dyDescent="0.25"/>
    <row r="250275" s="12" customFormat="1" x14ac:dyDescent="0.25"/>
    <row r="250276" s="12" customFormat="1" x14ac:dyDescent="0.25"/>
    <row r="250277" s="12" customFormat="1" x14ac:dyDescent="0.25"/>
    <row r="250278" s="12" customFormat="1" x14ac:dyDescent="0.25"/>
    <row r="250279" s="12" customFormat="1" x14ac:dyDescent="0.25"/>
    <row r="250280" s="12" customFormat="1" x14ac:dyDescent="0.25"/>
    <row r="250281" s="12" customFormat="1" x14ac:dyDescent="0.25"/>
    <row r="250282" s="12" customFormat="1" x14ac:dyDescent="0.25"/>
    <row r="250283" s="12" customFormat="1" x14ac:dyDescent="0.25"/>
    <row r="250284" s="12" customFormat="1" x14ac:dyDescent="0.25"/>
    <row r="250285" s="12" customFormat="1" x14ac:dyDescent="0.25"/>
    <row r="250286" s="12" customFormat="1" x14ac:dyDescent="0.25"/>
    <row r="250287" s="12" customFormat="1" x14ac:dyDescent="0.25"/>
    <row r="250288" s="12" customFormat="1" x14ac:dyDescent="0.25"/>
    <row r="250289" s="12" customFormat="1" x14ac:dyDescent="0.25"/>
    <row r="250290" s="12" customFormat="1" x14ac:dyDescent="0.25"/>
    <row r="250291" s="12" customFormat="1" x14ac:dyDescent="0.25"/>
    <row r="250292" s="12" customFormat="1" x14ac:dyDescent="0.25"/>
    <row r="250293" s="12" customFormat="1" x14ac:dyDescent="0.25"/>
    <row r="250294" s="12" customFormat="1" x14ac:dyDescent="0.25"/>
    <row r="250295" s="12" customFormat="1" x14ac:dyDescent="0.25"/>
    <row r="250296" s="12" customFormat="1" x14ac:dyDescent="0.25"/>
    <row r="250297" s="12" customFormat="1" x14ac:dyDescent="0.25"/>
    <row r="250298" s="12" customFormat="1" x14ac:dyDescent="0.25"/>
    <row r="250299" s="12" customFormat="1" x14ac:dyDescent="0.25"/>
    <row r="250300" s="12" customFormat="1" x14ac:dyDescent="0.25"/>
    <row r="250301" s="12" customFormat="1" x14ac:dyDescent="0.25"/>
    <row r="250302" s="12" customFormat="1" x14ac:dyDescent="0.25"/>
    <row r="250303" s="12" customFormat="1" x14ac:dyDescent="0.25"/>
    <row r="250304" s="12" customFormat="1" x14ac:dyDescent="0.25"/>
    <row r="250305" s="12" customFormat="1" x14ac:dyDescent="0.25"/>
    <row r="250306" s="12" customFormat="1" x14ac:dyDescent="0.25"/>
    <row r="250307" s="12" customFormat="1" x14ac:dyDescent="0.25"/>
    <row r="250308" s="12" customFormat="1" x14ac:dyDescent="0.25"/>
    <row r="250309" s="12" customFormat="1" x14ac:dyDescent="0.25"/>
    <row r="250310" s="12" customFormat="1" x14ac:dyDescent="0.25"/>
    <row r="250311" s="12" customFormat="1" x14ac:dyDescent="0.25"/>
    <row r="250312" s="12" customFormat="1" x14ac:dyDescent="0.25"/>
    <row r="250313" s="12" customFormat="1" x14ac:dyDescent="0.25"/>
    <row r="250314" s="12" customFormat="1" x14ac:dyDescent="0.25"/>
    <row r="250315" s="12" customFormat="1" x14ac:dyDescent="0.25"/>
    <row r="250316" s="12" customFormat="1" x14ac:dyDescent="0.25"/>
    <row r="250317" s="12" customFormat="1" x14ac:dyDescent="0.25"/>
    <row r="250318" s="12" customFormat="1" x14ac:dyDescent="0.25"/>
    <row r="250319" s="12" customFormat="1" x14ac:dyDescent="0.25"/>
    <row r="250320" s="12" customFormat="1" x14ac:dyDescent="0.25"/>
    <row r="250321" s="12" customFormat="1" x14ac:dyDescent="0.25"/>
    <row r="250322" s="12" customFormat="1" x14ac:dyDescent="0.25"/>
    <row r="250323" s="12" customFormat="1" x14ac:dyDescent="0.25"/>
    <row r="250324" s="12" customFormat="1" x14ac:dyDescent="0.25"/>
    <row r="250325" s="12" customFormat="1" x14ac:dyDescent="0.25"/>
    <row r="250326" s="12" customFormat="1" x14ac:dyDescent="0.25"/>
    <row r="250327" s="12" customFormat="1" x14ac:dyDescent="0.25"/>
    <row r="250328" s="12" customFormat="1" x14ac:dyDescent="0.25"/>
    <row r="250329" s="12" customFormat="1" x14ac:dyDescent="0.25"/>
    <row r="250330" s="12" customFormat="1" x14ac:dyDescent="0.25"/>
    <row r="250331" s="12" customFormat="1" x14ac:dyDescent="0.25"/>
    <row r="250332" s="12" customFormat="1" x14ac:dyDescent="0.25"/>
    <row r="250333" s="12" customFormat="1" x14ac:dyDescent="0.25"/>
    <row r="250334" s="12" customFormat="1" x14ac:dyDescent="0.25"/>
    <row r="250335" s="12" customFormat="1" x14ac:dyDescent="0.25"/>
    <row r="250336" s="12" customFormat="1" x14ac:dyDescent="0.25"/>
    <row r="250337" s="12" customFormat="1" x14ac:dyDescent="0.25"/>
    <row r="250338" s="12" customFormat="1" x14ac:dyDescent="0.25"/>
    <row r="250339" s="12" customFormat="1" x14ac:dyDescent="0.25"/>
    <row r="250340" s="12" customFormat="1" x14ac:dyDescent="0.25"/>
    <row r="250341" s="12" customFormat="1" x14ac:dyDescent="0.25"/>
    <row r="250342" s="12" customFormat="1" x14ac:dyDescent="0.25"/>
    <row r="250343" s="12" customFormat="1" x14ac:dyDescent="0.25"/>
    <row r="250344" s="12" customFormat="1" x14ac:dyDescent="0.25"/>
    <row r="250345" s="12" customFormat="1" x14ac:dyDescent="0.25"/>
    <row r="250346" s="12" customFormat="1" x14ac:dyDescent="0.25"/>
    <row r="250347" s="12" customFormat="1" x14ac:dyDescent="0.25"/>
    <row r="250348" s="12" customFormat="1" x14ac:dyDescent="0.25"/>
    <row r="250349" s="12" customFormat="1" x14ac:dyDescent="0.25"/>
    <row r="250350" s="12" customFormat="1" x14ac:dyDescent="0.25"/>
    <row r="250351" s="12" customFormat="1" x14ac:dyDescent="0.25"/>
    <row r="250352" s="12" customFormat="1" x14ac:dyDescent="0.25"/>
    <row r="250353" s="12" customFormat="1" x14ac:dyDescent="0.25"/>
    <row r="250354" s="12" customFormat="1" x14ac:dyDescent="0.25"/>
    <row r="250355" s="12" customFormat="1" x14ac:dyDescent="0.25"/>
    <row r="250356" s="12" customFormat="1" x14ac:dyDescent="0.25"/>
    <row r="250357" s="12" customFormat="1" x14ac:dyDescent="0.25"/>
    <row r="250358" s="12" customFormat="1" x14ac:dyDescent="0.25"/>
    <row r="250359" s="12" customFormat="1" x14ac:dyDescent="0.25"/>
    <row r="250360" s="12" customFormat="1" x14ac:dyDescent="0.25"/>
    <row r="250361" s="12" customFormat="1" x14ac:dyDescent="0.25"/>
    <row r="250362" s="12" customFormat="1" x14ac:dyDescent="0.25"/>
    <row r="250363" s="12" customFormat="1" x14ac:dyDescent="0.25"/>
    <row r="250364" s="12" customFormat="1" x14ac:dyDescent="0.25"/>
    <row r="250365" s="12" customFormat="1" x14ac:dyDescent="0.25"/>
    <row r="250366" s="12" customFormat="1" x14ac:dyDescent="0.25"/>
    <row r="250367" s="12" customFormat="1" x14ac:dyDescent="0.25"/>
    <row r="250368" s="12" customFormat="1" x14ac:dyDescent="0.25"/>
    <row r="250369" s="12" customFormat="1" x14ac:dyDescent="0.25"/>
    <row r="250370" s="12" customFormat="1" x14ac:dyDescent="0.25"/>
    <row r="250371" s="12" customFormat="1" x14ac:dyDescent="0.25"/>
    <row r="250372" s="12" customFormat="1" x14ac:dyDescent="0.25"/>
    <row r="250373" s="12" customFormat="1" x14ac:dyDescent="0.25"/>
    <row r="250374" s="12" customFormat="1" x14ac:dyDescent="0.25"/>
    <row r="250375" s="12" customFormat="1" x14ac:dyDescent="0.25"/>
    <row r="250376" s="12" customFormat="1" x14ac:dyDescent="0.25"/>
    <row r="250377" s="12" customFormat="1" x14ac:dyDescent="0.25"/>
    <row r="250378" s="12" customFormat="1" x14ac:dyDescent="0.25"/>
    <row r="250379" s="12" customFormat="1" x14ac:dyDescent="0.25"/>
    <row r="250380" s="12" customFormat="1" x14ac:dyDescent="0.25"/>
    <row r="250381" s="12" customFormat="1" x14ac:dyDescent="0.25"/>
    <row r="250382" s="12" customFormat="1" x14ac:dyDescent="0.25"/>
    <row r="250383" s="12" customFormat="1" x14ac:dyDescent="0.25"/>
    <row r="250384" s="12" customFormat="1" x14ac:dyDescent="0.25"/>
    <row r="250385" s="12" customFormat="1" x14ac:dyDescent="0.25"/>
    <row r="250386" s="12" customFormat="1" x14ac:dyDescent="0.25"/>
    <row r="250387" s="12" customFormat="1" x14ac:dyDescent="0.25"/>
    <row r="250388" s="12" customFormat="1" x14ac:dyDescent="0.25"/>
    <row r="250389" s="12" customFormat="1" x14ac:dyDescent="0.25"/>
    <row r="250390" s="12" customFormat="1" x14ac:dyDescent="0.25"/>
    <row r="250391" s="12" customFormat="1" x14ac:dyDescent="0.25"/>
    <row r="250392" s="12" customFormat="1" x14ac:dyDescent="0.25"/>
    <row r="250393" s="12" customFormat="1" x14ac:dyDescent="0.25"/>
    <row r="250394" s="12" customFormat="1" x14ac:dyDescent="0.25"/>
    <row r="250395" s="12" customFormat="1" x14ac:dyDescent="0.25"/>
    <row r="250396" s="12" customFormat="1" x14ac:dyDescent="0.25"/>
    <row r="250397" s="12" customFormat="1" x14ac:dyDescent="0.25"/>
    <row r="250398" s="12" customFormat="1" x14ac:dyDescent="0.25"/>
    <row r="250399" s="12" customFormat="1" x14ac:dyDescent="0.25"/>
    <row r="250400" s="12" customFormat="1" x14ac:dyDescent="0.25"/>
    <row r="250401" s="12" customFormat="1" x14ac:dyDescent="0.25"/>
    <row r="250402" s="12" customFormat="1" x14ac:dyDescent="0.25"/>
    <row r="250403" s="12" customFormat="1" x14ac:dyDescent="0.25"/>
    <row r="250404" s="12" customFormat="1" x14ac:dyDescent="0.25"/>
    <row r="250405" s="12" customFormat="1" x14ac:dyDescent="0.25"/>
    <row r="250406" s="12" customFormat="1" x14ac:dyDescent="0.25"/>
    <row r="250407" s="12" customFormat="1" x14ac:dyDescent="0.25"/>
    <row r="250408" s="12" customFormat="1" x14ac:dyDescent="0.25"/>
    <row r="250409" s="12" customFormat="1" x14ac:dyDescent="0.25"/>
    <row r="250410" s="12" customFormat="1" x14ac:dyDescent="0.25"/>
    <row r="250411" s="12" customFormat="1" x14ac:dyDescent="0.25"/>
    <row r="250412" s="12" customFormat="1" x14ac:dyDescent="0.25"/>
    <row r="250413" s="12" customFormat="1" x14ac:dyDescent="0.25"/>
    <row r="250414" s="12" customFormat="1" x14ac:dyDescent="0.25"/>
    <row r="250415" s="12" customFormat="1" x14ac:dyDescent="0.25"/>
    <row r="250416" s="12" customFormat="1" x14ac:dyDescent="0.25"/>
    <row r="250417" s="12" customFormat="1" x14ac:dyDescent="0.25"/>
    <row r="250418" s="12" customFormat="1" x14ac:dyDescent="0.25"/>
    <row r="250419" s="12" customFormat="1" x14ac:dyDescent="0.25"/>
    <row r="250420" s="12" customFormat="1" x14ac:dyDescent="0.25"/>
    <row r="250421" s="12" customFormat="1" x14ac:dyDescent="0.25"/>
    <row r="250422" s="12" customFormat="1" x14ac:dyDescent="0.25"/>
    <row r="250423" s="12" customFormat="1" x14ac:dyDescent="0.25"/>
    <row r="250424" s="12" customFormat="1" x14ac:dyDescent="0.25"/>
    <row r="250425" s="12" customFormat="1" x14ac:dyDescent="0.25"/>
    <row r="250426" s="12" customFormat="1" x14ac:dyDescent="0.25"/>
    <row r="250427" s="12" customFormat="1" x14ac:dyDescent="0.25"/>
    <row r="250428" s="12" customFormat="1" x14ac:dyDescent="0.25"/>
    <row r="250429" s="12" customFormat="1" x14ac:dyDescent="0.25"/>
    <row r="250430" s="12" customFormat="1" x14ac:dyDescent="0.25"/>
    <row r="250431" s="12" customFormat="1" x14ac:dyDescent="0.25"/>
    <row r="250432" s="12" customFormat="1" x14ac:dyDescent="0.25"/>
    <row r="250433" s="12" customFormat="1" x14ac:dyDescent="0.25"/>
    <row r="250434" s="12" customFormat="1" x14ac:dyDescent="0.25"/>
    <row r="250435" s="12" customFormat="1" x14ac:dyDescent="0.25"/>
    <row r="250436" s="12" customFormat="1" x14ac:dyDescent="0.25"/>
    <row r="250437" s="12" customFormat="1" x14ac:dyDescent="0.25"/>
    <row r="250438" s="12" customFormat="1" x14ac:dyDescent="0.25"/>
    <row r="250439" s="12" customFormat="1" x14ac:dyDescent="0.25"/>
    <row r="250440" s="12" customFormat="1" x14ac:dyDescent="0.25"/>
    <row r="250441" s="12" customFormat="1" x14ac:dyDescent="0.25"/>
    <row r="250442" s="12" customFormat="1" x14ac:dyDescent="0.25"/>
    <row r="250443" s="12" customFormat="1" x14ac:dyDescent="0.25"/>
    <row r="250444" s="12" customFormat="1" x14ac:dyDescent="0.25"/>
    <row r="250445" s="12" customFormat="1" x14ac:dyDescent="0.25"/>
    <row r="250446" s="12" customFormat="1" x14ac:dyDescent="0.25"/>
    <row r="250447" s="12" customFormat="1" x14ac:dyDescent="0.25"/>
    <row r="250448" s="12" customFormat="1" x14ac:dyDescent="0.25"/>
    <row r="250449" s="12" customFormat="1" x14ac:dyDescent="0.25"/>
    <row r="250450" s="12" customFormat="1" x14ac:dyDescent="0.25"/>
    <row r="250451" s="12" customFormat="1" x14ac:dyDescent="0.25"/>
    <row r="250452" s="12" customFormat="1" x14ac:dyDescent="0.25"/>
    <row r="250453" s="12" customFormat="1" x14ac:dyDescent="0.25"/>
    <row r="250454" s="12" customFormat="1" x14ac:dyDescent="0.25"/>
    <row r="250455" s="12" customFormat="1" x14ac:dyDescent="0.25"/>
    <row r="250456" s="12" customFormat="1" x14ac:dyDescent="0.25"/>
    <row r="250457" s="12" customFormat="1" x14ac:dyDescent="0.25"/>
    <row r="250458" s="12" customFormat="1" x14ac:dyDescent="0.25"/>
    <row r="250459" s="12" customFormat="1" x14ac:dyDescent="0.25"/>
    <row r="250460" s="12" customFormat="1" x14ac:dyDescent="0.25"/>
    <row r="250461" s="12" customFormat="1" x14ac:dyDescent="0.25"/>
    <row r="250462" s="12" customFormat="1" x14ac:dyDescent="0.25"/>
    <row r="250463" s="12" customFormat="1" x14ac:dyDescent="0.25"/>
    <row r="250464" s="12" customFormat="1" x14ac:dyDescent="0.25"/>
    <row r="250465" s="12" customFormat="1" x14ac:dyDescent="0.25"/>
    <row r="250466" s="12" customFormat="1" x14ac:dyDescent="0.25"/>
    <row r="250467" s="12" customFormat="1" x14ac:dyDescent="0.25"/>
    <row r="250468" s="12" customFormat="1" x14ac:dyDescent="0.25"/>
    <row r="250469" s="12" customFormat="1" x14ac:dyDescent="0.25"/>
    <row r="250470" s="12" customFormat="1" x14ac:dyDescent="0.25"/>
    <row r="250471" s="12" customFormat="1" x14ac:dyDescent="0.25"/>
    <row r="250472" s="12" customFormat="1" x14ac:dyDescent="0.25"/>
    <row r="250473" s="12" customFormat="1" x14ac:dyDescent="0.25"/>
    <row r="250474" s="12" customFormat="1" x14ac:dyDescent="0.25"/>
    <row r="250475" s="12" customFormat="1" x14ac:dyDescent="0.25"/>
    <row r="250476" s="12" customFormat="1" x14ac:dyDescent="0.25"/>
    <row r="250477" s="12" customFormat="1" x14ac:dyDescent="0.25"/>
    <row r="250478" s="12" customFormat="1" x14ac:dyDescent="0.25"/>
    <row r="250479" s="12" customFormat="1" x14ac:dyDescent="0.25"/>
    <row r="250480" s="12" customFormat="1" x14ac:dyDescent="0.25"/>
    <row r="250481" s="12" customFormat="1" x14ac:dyDescent="0.25"/>
    <row r="250482" s="12" customFormat="1" x14ac:dyDescent="0.25"/>
    <row r="250483" s="12" customFormat="1" x14ac:dyDescent="0.25"/>
    <row r="250484" s="12" customFormat="1" x14ac:dyDescent="0.25"/>
    <row r="250485" s="12" customFormat="1" x14ac:dyDescent="0.25"/>
    <row r="250486" s="12" customFormat="1" x14ac:dyDescent="0.25"/>
    <row r="250487" s="12" customFormat="1" x14ac:dyDescent="0.25"/>
    <row r="250488" s="12" customFormat="1" x14ac:dyDescent="0.25"/>
    <row r="250489" s="12" customFormat="1" x14ac:dyDescent="0.25"/>
    <row r="250490" s="12" customFormat="1" x14ac:dyDescent="0.25"/>
    <row r="250491" s="12" customFormat="1" x14ac:dyDescent="0.25"/>
    <row r="250492" s="12" customFormat="1" x14ac:dyDescent="0.25"/>
    <row r="250493" s="12" customFormat="1" x14ac:dyDescent="0.25"/>
    <row r="250494" s="12" customFormat="1" x14ac:dyDescent="0.25"/>
    <row r="250495" s="12" customFormat="1" x14ac:dyDescent="0.25"/>
    <row r="250496" s="12" customFormat="1" x14ac:dyDescent="0.25"/>
    <row r="250497" s="12" customFormat="1" x14ac:dyDescent="0.25"/>
    <row r="250498" s="12" customFormat="1" x14ac:dyDescent="0.25"/>
    <row r="250499" s="12" customFormat="1" x14ac:dyDescent="0.25"/>
    <row r="250500" s="12" customFormat="1" x14ac:dyDescent="0.25"/>
    <row r="250501" s="12" customFormat="1" x14ac:dyDescent="0.25"/>
    <row r="250502" s="12" customFormat="1" x14ac:dyDescent="0.25"/>
    <row r="250503" s="12" customFormat="1" x14ac:dyDescent="0.25"/>
    <row r="250504" s="12" customFormat="1" x14ac:dyDescent="0.25"/>
    <row r="250505" s="12" customFormat="1" x14ac:dyDescent="0.25"/>
    <row r="250506" s="12" customFormat="1" x14ac:dyDescent="0.25"/>
    <row r="250507" s="12" customFormat="1" x14ac:dyDescent="0.25"/>
    <row r="250508" s="12" customFormat="1" x14ac:dyDescent="0.25"/>
    <row r="250509" s="12" customFormat="1" x14ac:dyDescent="0.25"/>
    <row r="250510" s="12" customFormat="1" x14ac:dyDescent="0.25"/>
    <row r="250511" s="12" customFormat="1" x14ac:dyDescent="0.25"/>
    <row r="250512" s="12" customFormat="1" x14ac:dyDescent="0.25"/>
    <row r="250513" s="12" customFormat="1" x14ac:dyDescent="0.25"/>
    <row r="250514" s="12" customFormat="1" x14ac:dyDescent="0.25"/>
    <row r="250515" s="12" customFormat="1" x14ac:dyDescent="0.25"/>
    <row r="250516" s="12" customFormat="1" x14ac:dyDescent="0.25"/>
    <row r="250517" s="12" customFormat="1" x14ac:dyDescent="0.25"/>
    <row r="250518" s="12" customFormat="1" x14ac:dyDescent="0.25"/>
    <row r="250519" s="12" customFormat="1" x14ac:dyDescent="0.25"/>
    <row r="250520" s="12" customFormat="1" x14ac:dyDescent="0.25"/>
    <row r="250521" s="12" customFormat="1" x14ac:dyDescent="0.25"/>
    <row r="250522" s="12" customFormat="1" x14ac:dyDescent="0.25"/>
    <row r="250523" s="12" customFormat="1" x14ac:dyDescent="0.25"/>
    <row r="250524" s="12" customFormat="1" x14ac:dyDescent="0.25"/>
    <row r="250525" s="12" customFormat="1" x14ac:dyDescent="0.25"/>
    <row r="250526" s="12" customFormat="1" x14ac:dyDescent="0.25"/>
    <row r="250527" s="12" customFormat="1" x14ac:dyDescent="0.25"/>
    <row r="250528" s="12" customFormat="1" x14ac:dyDescent="0.25"/>
    <row r="250529" s="12" customFormat="1" x14ac:dyDescent="0.25"/>
    <row r="250530" s="12" customFormat="1" x14ac:dyDescent="0.25"/>
    <row r="250531" s="12" customFormat="1" x14ac:dyDescent="0.25"/>
    <row r="250532" s="12" customFormat="1" x14ac:dyDescent="0.25"/>
    <row r="250533" s="12" customFormat="1" x14ac:dyDescent="0.25"/>
    <row r="250534" s="12" customFormat="1" x14ac:dyDescent="0.25"/>
    <row r="250535" s="12" customFormat="1" x14ac:dyDescent="0.25"/>
    <row r="250536" s="12" customFormat="1" x14ac:dyDescent="0.25"/>
    <row r="250537" s="12" customFormat="1" x14ac:dyDescent="0.25"/>
    <row r="250538" s="12" customFormat="1" x14ac:dyDescent="0.25"/>
    <row r="250539" s="12" customFormat="1" x14ac:dyDescent="0.25"/>
    <row r="250540" s="12" customFormat="1" x14ac:dyDescent="0.25"/>
    <row r="250541" s="12" customFormat="1" x14ac:dyDescent="0.25"/>
    <row r="250542" s="12" customFormat="1" x14ac:dyDescent="0.25"/>
    <row r="250543" s="12" customFormat="1" x14ac:dyDescent="0.25"/>
    <row r="250544" s="12" customFormat="1" x14ac:dyDescent="0.25"/>
    <row r="250545" s="12" customFormat="1" x14ac:dyDescent="0.25"/>
    <row r="250546" s="12" customFormat="1" x14ac:dyDescent="0.25"/>
    <row r="250547" s="12" customFormat="1" x14ac:dyDescent="0.25"/>
    <row r="250548" s="12" customFormat="1" x14ac:dyDescent="0.25"/>
    <row r="250549" s="12" customFormat="1" x14ac:dyDescent="0.25"/>
    <row r="250550" s="12" customFormat="1" x14ac:dyDescent="0.25"/>
    <row r="250551" s="12" customFormat="1" x14ac:dyDescent="0.25"/>
    <row r="250552" s="12" customFormat="1" x14ac:dyDescent="0.25"/>
    <row r="250553" s="12" customFormat="1" x14ac:dyDescent="0.25"/>
    <row r="250554" s="12" customFormat="1" x14ac:dyDescent="0.25"/>
    <row r="250555" s="12" customFormat="1" x14ac:dyDescent="0.25"/>
    <row r="250556" s="12" customFormat="1" x14ac:dyDescent="0.25"/>
    <row r="250557" s="12" customFormat="1" x14ac:dyDescent="0.25"/>
    <row r="250558" s="12" customFormat="1" x14ac:dyDescent="0.25"/>
    <row r="250559" s="12" customFormat="1" x14ac:dyDescent="0.25"/>
    <row r="250560" s="12" customFormat="1" x14ac:dyDescent="0.25"/>
    <row r="250561" s="12" customFormat="1" x14ac:dyDescent="0.25"/>
    <row r="250562" s="12" customFormat="1" x14ac:dyDescent="0.25"/>
    <row r="250563" s="12" customFormat="1" x14ac:dyDescent="0.25"/>
    <row r="250564" s="12" customFormat="1" x14ac:dyDescent="0.25"/>
    <row r="250565" s="12" customFormat="1" x14ac:dyDescent="0.25"/>
    <row r="250566" s="12" customFormat="1" x14ac:dyDescent="0.25"/>
    <row r="250567" s="12" customFormat="1" x14ac:dyDescent="0.25"/>
    <row r="250568" s="12" customFormat="1" x14ac:dyDescent="0.25"/>
    <row r="250569" s="12" customFormat="1" x14ac:dyDescent="0.25"/>
    <row r="250570" s="12" customFormat="1" x14ac:dyDescent="0.25"/>
    <row r="250571" s="12" customFormat="1" x14ac:dyDescent="0.25"/>
    <row r="250572" s="12" customFormat="1" x14ac:dyDescent="0.25"/>
    <row r="250573" s="12" customFormat="1" x14ac:dyDescent="0.25"/>
    <row r="250574" s="12" customFormat="1" x14ac:dyDescent="0.25"/>
    <row r="250575" s="12" customFormat="1" x14ac:dyDescent="0.25"/>
    <row r="250576" s="12" customFormat="1" x14ac:dyDescent="0.25"/>
    <row r="250577" s="12" customFormat="1" x14ac:dyDescent="0.25"/>
    <row r="250578" s="12" customFormat="1" x14ac:dyDescent="0.25"/>
    <row r="250579" s="12" customFormat="1" x14ac:dyDescent="0.25"/>
    <row r="250580" s="12" customFormat="1" x14ac:dyDescent="0.25"/>
    <row r="250581" s="12" customFormat="1" x14ac:dyDescent="0.25"/>
    <row r="250582" s="12" customFormat="1" x14ac:dyDescent="0.25"/>
    <row r="250583" s="12" customFormat="1" x14ac:dyDescent="0.25"/>
    <row r="250584" s="12" customFormat="1" x14ac:dyDescent="0.25"/>
    <row r="250585" s="12" customFormat="1" x14ac:dyDescent="0.25"/>
    <row r="250586" s="12" customFormat="1" x14ac:dyDescent="0.25"/>
    <row r="250587" s="12" customFormat="1" x14ac:dyDescent="0.25"/>
    <row r="250588" s="12" customFormat="1" x14ac:dyDescent="0.25"/>
    <row r="250589" s="12" customFormat="1" x14ac:dyDescent="0.25"/>
    <row r="250590" s="12" customFormat="1" x14ac:dyDescent="0.25"/>
    <row r="250591" s="12" customFormat="1" x14ac:dyDescent="0.25"/>
    <row r="250592" s="12" customFormat="1" x14ac:dyDescent="0.25"/>
    <row r="250593" s="12" customFormat="1" x14ac:dyDescent="0.25"/>
    <row r="250594" s="12" customFormat="1" x14ac:dyDescent="0.25"/>
    <row r="250595" s="12" customFormat="1" x14ac:dyDescent="0.25"/>
    <row r="250596" s="12" customFormat="1" x14ac:dyDescent="0.25"/>
    <row r="250597" s="12" customFormat="1" x14ac:dyDescent="0.25"/>
    <row r="250598" s="12" customFormat="1" x14ac:dyDescent="0.25"/>
    <row r="250599" s="12" customFormat="1" x14ac:dyDescent="0.25"/>
    <row r="250600" s="12" customFormat="1" x14ac:dyDescent="0.25"/>
    <row r="250601" s="12" customFormat="1" x14ac:dyDescent="0.25"/>
    <row r="250602" s="12" customFormat="1" x14ac:dyDescent="0.25"/>
    <row r="250603" s="12" customFormat="1" x14ac:dyDescent="0.25"/>
    <row r="250604" s="12" customFormat="1" x14ac:dyDescent="0.25"/>
    <row r="250605" s="12" customFormat="1" x14ac:dyDescent="0.25"/>
    <row r="250606" s="12" customFormat="1" x14ac:dyDescent="0.25"/>
    <row r="250607" s="12" customFormat="1" x14ac:dyDescent="0.25"/>
    <row r="250608" s="12" customFormat="1" x14ac:dyDescent="0.25"/>
    <row r="250609" s="12" customFormat="1" x14ac:dyDescent="0.25"/>
    <row r="250610" s="12" customFormat="1" x14ac:dyDescent="0.25"/>
    <row r="250611" s="12" customFormat="1" x14ac:dyDescent="0.25"/>
    <row r="250612" s="12" customFormat="1" x14ac:dyDescent="0.25"/>
    <row r="250613" s="12" customFormat="1" x14ac:dyDescent="0.25"/>
    <row r="250614" s="12" customFormat="1" x14ac:dyDescent="0.25"/>
    <row r="250615" s="12" customFormat="1" x14ac:dyDescent="0.25"/>
    <row r="250616" s="12" customFormat="1" x14ac:dyDescent="0.25"/>
    <row r="250617" s="12" customFormat="1" x14ac:dyDescent="0.25"/>
    <row r="250618" s="12" customFormat="1" x14ac:dyDescent="0.25"/>
    <row r="250619" s="12" customFormat="1" x14ac:dyDescent="0.25"/>
    <row r="250620" s="12" customFormat="1" x14ac:dyDescent="0.25"/>
    <row r="250621" s="12" customFormat="1" x14ac:dyDescent="0.25"/>
    <row r="250622" s="12" customFormat="1" x14ac:dyDescent="0.25"/>
    <row r="250623" s="12" customFormat="1" x14ac:dyDescent="0.25"/>
    <row r="250624" s="12" customFormat="1" x14ac:dyDescent="0.25"/>
    <row r="250625" s="12" customFormat="1" x14ac:dyDescent="0.25"/>
    <row r="250626" s="12" customFormat="1" x14ac:dyDescent="0.25"/>
    <row r="250627" s="12" customFormat="1" x14ac:dyDescent="0.25"/>
    <row r="250628" s="12" customFormat="1" x14ac:dyDescent="0.25"/>
    <row r="250629" s="12" customFormat="1" x14ac:dyDescent="0.25"/>
    <row r="250630" s="12" customFormat="1" x14ac:dyDescent="0.25"/>
    <row r="250631" s="12" customFormat="1" x14ac:dyDescent="0.25"/>
    <row r="250632" s="12" customFormat="1" x14ac:dyDescent="0.25"/>
    <row r="250633" s="12" customFormat="1" x14ac:dyDescent="0.25"/>
    <row r="250634" s="12" customFormat="1" x14ac:dyDescent="0.25"/>
    <row r="250635" s="12" customFormat="1" x14ac:dyDescent="0.25"/>
    <row r="250636" s="12" customFormat="1" x14ac:dyDescent="0.25"/>
    <row r="250637" s="12" customFormat="1" x14ac:dyDescent="0.25"/>
    <row r="250638" s="12" customFormat="1" x14ac:dyDescent="0.25"/>
    <row r="250639" s="12" customFormat="1" x14ac:dyDescent="0.25"/>
    <row r="250640" s="12" customFormat="1" x14ac:dyDescent="0.25"/>
    <row r="250641" s="12" customFormat="1" x14ac:dyDescent="0.25"/>
    <row r="250642" s="12" customFormat="1" x14ac:dyDescent="0.25"/>
    <row r="250643" s="12" customFormat="1" x14ac:dyDescent="0.25"/>
    <row r="250644" s="12" customFormat="1" x14ac:dyDescent="0.25"/>
    <row r="250645" s="12" customFormat="1" x14ac:dyDescent="0.25"/>
    <row r="250646" s="12" customFormat="1" x14ac:dyDescent="0.25"/>
    <row r="250647" s="12" customFormat="1" x14ac:dyDescent="0.25"/>
    <row r="250648" s="12" customFormat="1" x14ac:dyDescent="0.25"/>
    <row r="250649" s="12" customFormat="1" x14ac:dyDescent="0.25"/>
    <row r="250650" s="12" customFormat="1" x14ac:dyDescent="0.25"/>
    <row r="250651" s="12" customFormat="1" x14ac:dyDescent="0.25"/>
    <row r="250652" s="12" customFormat="1" x14ac:dyDescent="0.25"/>
    <row r="250653" s="12" customFormat="1" x14ac:dyDescent="0.25"/>
    <row r="250654" s="12" customFormat="1" x14ac:dyDescent="0.25"/>
    <row r="250655" s="12" customFormat="1" x14ac:dyDescent="0.25"/>
    <row r="250656" s="12" customFormat="1" x14ac:dyDescent="0.25"/>
    <row r="250657" s="12" customFormat="1" x14ac:dyDescent="0.25"/>
    <row r="250658" s="12" customFormat="1" x14ac:dyDescent="0.25"/>
    <row r="250659" s="12" customFormat="1" x14ac:dyDescent="0.25"/>
    <row r="250660" s="12" customFormat="1" x14ac:dyDescent="0.25"/>
    <row r="250661" s="12" customFormat="1" x14ac:dyDescent="0.25"/>
    <row r="250662" s="12" customFormat="1" x14ac:dyDescent="0.25"/>
    <row r="250663" s="12" customFormat="1" x14ac:dyDescent="0.25"/>
    <row r="250664" s="12" customFormat="1" x14ac:dyDescent="0.25"/>
    <row r="250665" s="12" customFormat="1" x14ac:dyDescent="0.25"/>
    <row r="250666" s="12" customFormat="1" x14ac:dyDescent="0.25"/>
    <row r="250667" s="12" customFormat="1" x14ac:dyDescent="0.25"/>
    <row r="250668" s="12" customFormat="1" x14ac:dyDescent="0.25"/>
    <row r="250669" s="12" customFormat="1" x14ac:dyDescent="0.25"/>
    <row r="250670" s="12" customFormat="1" x14ac:dyDescent="0.25"/>
    <row r="250671" s="12" customFormat="1" x14ac:dyDescent="0.25"/>
    <row r="250672" s="12" customFormat="1" x14ac:dyDescent="0.25"/>
    <row r="250673" s="12" customFormat="1" x14ac:dyDescent="0.25"/>
    <row r="250674" s="12" customFormat="1" x14ac:dyDescent="0.25"/>
    <row r="250675" s="12" customFormat="1" x14ac:dyDescent="0.25"/>
    <row r="250676" s="12" customFormat="1" x14ac:dyDescent="0.25"/>
    <row r="250677" s="12" customFormat="1" x14ac:dyDescent="0.25"/>
    <row r="250678" s="12" customFormat="1" x14ac:dyDescent="0.25"/>
    <row r="250679" s="12" customFormat="1" x14ac:dyDescent="0.25"/>
    <row r="250680" s="12" customFormat="1" x14ac:dyDescent="0.25"/>
    <row r="250681" s="12" customFormat="1" x14ac:dyDescent="0.25"/>
    <row r="250682" s="12" customFormat="1" x14ac:dyDescent="0.25"/>
    <row r="250683" s="12" customFormat="1" x14ac:dyDescent="0.25"/>
    <row r="250684" s="12" customFormat="1" x14ac:dyDescent="0.25"/>
    <row r="250685" s="12" customFormat="1" x14ac:dyDescent="0.25"/>
    <row r="250686" s="12" customFormat="1" x14ac:dyDescent="0.25"/>
    <row r="250687" s="12" customFormat="1" x14ac:dyDescent="0.25"/>
    <row r="250688" s="12" customFormat="1" x14ac:dyDescent="0.25"/>
    <row r="250689" s="12" customFormat="1" x14ac:dyDescent="0.25"/>
    <row r="250690" s="12" customFormat="1" x14ac:dyDescent="0.25"/>
    <row r="250691" s="12" customFormat="1" x14ac:dyDescent="0.25"/>
    <row r="250692" s="12" customFormat="1" x14ac:dyDescent="0.25"/>
    <row r="250693" s="12" customFormat="1" x14ac:dyDescent="0.25"/>
    <row r="250694" s="12" customFormat="1" x14ac:dyDescent="0.25"/>
    <row r="250695" s="12" customFormat="1" x14ac:dyDescent="0.25"/>
    <row r="250696" s="12" customFormat="1" x14ac:dyDescent="0.25"/>
    <row r="250697" s="12" customFormat="1" x14ac:dyDescent="0.25"/>
    <row r="250698" s="12" customFormat="1" x14ac:dyDescent="0.25"/>
    <row r="250699" s="12" customFormat="1" x14ac:dyDescent="0.25"/>
    <row r="250700" s="12" customFormat="1" x14ac:dyDescent="0.25"/>
    <row r="250701" s="12" customFormat="1" x14ac:dyDescent="0.25"/>
    <row r="250702" s="12" customFormat="1" x14ac:dyDescent="0.25"/>
    <row r="250703" s="12" customFormat="1" x14ac:dyDescent="0.25"/>
    <row r="250704" s="12" customFormat="1" x14ac:dyDescent="0.25"/>
    <row r="250705" s="12" customFormat="1" x14ac:dyDescent="0.25"/>
    <row r="250706" s="12" customFormat="1" x14ac:dyDescent="0.25"/>
    <row r="250707" s="12" customFormat="1" x14ac:dyDescent="0.25"/>
    <row r="250708" s="12" customFormat="1" x14ac:dyDescent="0.25"/>
    <row r="250709" s="12" customFormat="1" x14ac:dyDescent="0.25"/>
    <row r="250710" s="12" customFormat="1" x14ac:dyDescent="0.25"/>
    <row r="250711" s="12" customFormat="1" x14ac:dyDescent="0.25"/>
    <row r="250712" s="12" customFormat="1" x14ac:dyDescent="0.25"/>
    <row r="250713" s="12" customFormat="1" x14ac:dyDescent="0.25"/>
    <row r="250714" s="12" customFormat="1" x14ac:dyDescent="0.25"/>
    <row r="250715" s="12" customFormat="1" x14ac:dyDescent="0.25"/>
    <row r="250716" s="12" customFormat="1" x14ac:dyDescent="0.25"/>
    <row r="250717" s="12" customFormat="1" x14ac:dyDescent="0.25"/>
    <row r="250718" s="12" customFormat="1" x14ac:dyDescent="0.25"/>
    <row r="250719" s="12" customFormat="1" x14ac:dyDescent="0.25"/>
    <row r="250720" s="12" customFormat="1" x14ac:dyDescent="0.25"/>
    <row r="250721" s="12" customFormat="1" x14ac:dyDescent="0.25"/>
    <row r="250722" s="12" customFormat="1" x14ac:dyDescent="0.25"/>
    <row r="250723" s="12" customFormat="1" x14ac:dyDescent="0.25"/>
    <row r="250724" s="12" customFormat="1" x14ac:dyDescent="0.25"/>
    <row r="250725" s="12" customFormat="1" x14ac:dyDescent="0.25"/>
    <row r="250726" s="12" customFormat="1" x14ac:dyDescent="0.25"/>
    <row r="250727" s="12" customFormat="1" x14ac:dyDescent="0.25"/>
    <row r="250728" s="12" customFormat="1" x14ac:dyDescent="0.25"/>
    <row r="250729" s="12" customFormat="1" x14ac:dyDescent="0.25"/>
    <row r="250730" s="12" customFormat="1" x14ac:dyDescent="0.25"/>
    <row r="250731" s="12" customFormat="1" x14ac:dyDescent="0.25"/>
    <row r="250732" s="12" customFormat="1" x14ac:dyDescent="0.25"/>
    <row r="250733" s="12" customFormat="1" x14ac:dyDescent="0.25"/>
    <row r="250734" s="12" customFormat="1" x14ac:dyDescent="0.25"/>
    <row r="250735" s="12" customFormat="1" x14ac:dyDescent="0.25"/>
    <row r="250736" s="12" customFormat="1" x14ac:dyDescent="0.25"/>
    <row r="250737" s="12" customFormat="1" x14ac:dyDescent="0.25"/>
    <row r="250738" s="12" customFormat="1" x14ac:dyDescent="0.25"/>
    <row r="250739" s="12" customFormat="1" x14ac:dyDescent="0.25"/>
    <row r="250740" s="12" customFormat="1" x14ac:dyDescent="0.25"/>
    <row r="250741" s="12" customFormat="1" x14ac:dyDescent="0.25"/>
    <row r="250742" s="12" customFormat="1" x14ac:dyDescent="0.25"/>
    <row r="250743" s="12" customFormat="1" x14ac:dyDescent="0.25"/>
    <row r="250744" s="12" customFormat="1" x14ac:dyDescent="0.25"/>
    <row r="250745" s="12" customFormat="1" x14ac:dyDescent="0.25"/>
    <row r="250746" s="12" customFormat="1" x14ac:dyDescent="0.25"/>
    <row r="250747" s="12" customFormat="1" x14ac:dyDescent="0.25"/>
    <row r="250748" s="12" customFormat="1" x14ac:dyDescent="0.25"/>
    <row r="250749" s="12" customFormat="1" x14ac:dyDescent="0.25"/>
    <row r="250750" s="12" customFormat="1" x14ac:dyDescent="0.25"/>
    <row r="250751" s="12" customFormat="1" x14ac:dyDescent="0.25"/>
    <row r="250752" s="12" customFormat="1" x14ac:dyDescent="0.25"/>
    <row r="250753" s="12" customFormat="1" x14ac:dyDescent="0.25"/>
    <row r="250754" s="12" customFormat="1" x14ac:dyDescent="0.25"/>
    <row r="250755" s="12" customFormat="1" x14ac:dyDescent="0.25"/>
    <row r="250756" s="12" customFormat="1" x14ac:dyDescent="0.25"/>
    <row r="250757" s="12" customFormat="1" x14ac:dyDescent="0.25"/>
    <row r="250758" s="12" customFormat="1" x14ac:dyDescent="0.25"/>
    <row r="250759" s="12" customFormat="1" x14ac:dyDescent="0.25"/>
    <row r="250760" s="12" customFormat="1" x14ac:dyDescent="0.25"/>
    <row r="250761" s="12" customFormat="1" x14ac:dyDescent="0.25"/>
    <row r="250762" s="12" customFormat="1" x14ac:dyDescent="0.25"/>
    <row r="250763" s="12" customFormat="1" x14ac:dyDescent="0.25"/>
    <row r="250764" s="12" customFormat="1" x14ac:dyDescent="0.25"/>
    <row r="250765" s="12" customFormat="1" x14ac:dyDescent="0.25"/>
    <row r="250766" s="12" customFormat="1" x14ac:dyDescent="0.25"/>
    <row r="250767" s="12" customFormat="1" x14ac:dyDescent="0.25"/>
    <row r="250768" s="12" customFormat="1" x14ac:dyDescent="0.25"/>
    <row r="250769" s="12" customFormat="1" x14ac:dyDescent="0.25"/>
    <row r="250770" s="12" customFormat="1" x14ac:dyDescent="0.25"/>
    <row r="250771" s="12" customFormat="1" x14ac:dyDescent="0.25"/>
    <row r="250772" s="12" customFormat="1" x14ac:dyDescent="0.25"/>
    <row r="250773" s="12" customFormat="1" x14ac:dyDescent="0.25"/>
    <row r="250774" s="12" customFormat="1" x14ac:dyDescent="0.25"/>
    <row r="250775" s="12" customFormat="1" x14ac:dyDescent="0.25"/>
    <row r="250776" s="12" customFormat="1" x14ac:dyDescent="0.25"/>
    <row r="250777" s="12" customFormat="1" x14ac:dyDescent="0.25"/>
    <row r="250778" s="12" customFormat="1" x14ac:dyDescent="0.25"/>
    <row r="250779" s="12" customFormat="1" x14ac:dyDescent="0.25"/>
    <row r="250780" s="12" customFormat="1" x14ac:dyDescent="0.25"/>
    <row r="250781" s="12" customFormat="1" x14ac:dyDescent="0.25"/>
    <row r="250782" s="12" customFormat="1" x14ac:dyDescent="0.25"/>
    <row r="250783" s="12" customFormat="1" x14ac:dyDescent="0.25"/>
    <row r="250784" s="12" customFormat="1" x14ac:dyDescent="0.25"/>
    <row r="250785" s="12" customFormat="1" x14ac:dyDescent="0.25"/>
    <row r="250786" s="12" customFormat="1" x14ac:dyDescent="0.25"/>
    <row r="250787" s="12" customFormat="1" x14ac:dyDescent="0.25"/>
    <row r="250788" s="12" customFormat="1" x14ac:dyDescent="0.25"/>
    <row r="250789" s="12" customFormat="1" x14ac:dyDescent="0.25"/>
    <row r="250790" s="12" customFormat="1" x14ac:dyDescent="0.25"/>
    <row r="250791" s="12" customFormat="1" x14ac:dyDescent="0.25"/>
    <row r="250792" s="12" customFormat="1" x14ac:dyDescent="0.25"/>
    <row r="250793" s="12" customFormat="1" x14ac:dyDescent="0.25"/>
    <row r="250794" s="12" customFormat="1" x14ac:dyDescent="0.25"/>
    <row r="250795" s="12" customFormat="1" x14ac:dyDescent="0.25"/>
    <row r="250796" s="12" customFormat="1" x14ac:dyDescent="0.25"/>
    <row r="250797" s="12" customFormat="1" x14ac:dyDescent="0.25"/>
    <row r="250798" s="12" customFormat="1" x14ac:dyDescent="0.25"/>
    <row r="250799" s="12" customFormat="1" x14ac:dyDescent="0.25"/>
    <row r="250800" s="12" customFormat="1" x14ac:dyDescent="0.25"/>
    <row r="250801" s="12" customFormat="1" x14ac:dyDescent="0.25"/>
    <row r="250802" s="12" customFormat="1" x14ac:dyDescent="0.25"/>
    <row r="250803" s="12" customFormat="1" x14ac:dyDescent="0.25"/>
    <row r="250804" s="12" customFormat="1" x14ac:dyDescent="0.25"/>
    <row r="250805" s="12" customFormat="1" x14ac:dyDescent="0.25"/>
    <row r="250806" s="12" customFormat="1" x14ac:dyDescent="0.25"/>
    <row r="250807" s="12" customFormat="1" x14ac:dyDescent="0.25"/>
    <row r="250808" s="12" customFormat="1" x14ac:dyDescent="0.25"/>
    <row r="250809" s="12" customFormat="1" x14ac:dyDescent="0.25"/>
    <row r="250810" s="12" customFormat="1" x14ac:dyDescent="0.25"/>
    <row r="250811" s="12" customFormat="1" x14ac:dyDescent="0.25"/>
    <row r="250812" s="12" customFormat="1" x14ac:dyDescent="0.25"/>
    <row r="250813" s="12" customFormat="1" x14ac:dyDescent="0.25"/>
    <row r="250814" s="12" customFormat="1" x14ac:dyDescent="0.25"/>
    <row r="250815" s="12" customFormat="1" x14ac:dyDescent="0.25"/>
    <row r="250816" s="12" customFormat="1" x14ac:dyDescent="0.25"/>
    <row r="250817" s="12" customFormat="1" x14ac:dyDescent="0.25"/>
    <row r="250818" s="12" customFormat="1" x14ac:dyDescent="0.25"/>
    <row r="250819" s="12" customFormat="1" x14ac:dyDescent="0.25"/>
    <row r="250820" s="12" customFormat="1" x14ac:dyDescent="0.25"/>
    <row r="250821" s="12" customFormat="1" x14ac:dyDescent="0.25"/>
    <row r="250822" s="12" customFormat="1" x14ac:dyDescent="0.25"/>
    <row r="250823" s="12" customFormat="1" x14ac:dyDescent="0.25"/>
    <row r="250824" s="12" customFormat="1" x14ac:dyDescent="0.25"/>
    <row r="250825" s="12" customFormat="1" x14ac:dyDescent="0.25"/>
    <row r="250826" s="12" customFormat="1" x14ac:dyDescent="0.25"/>
    <row r="250827" s="12" customFormat="1" x14ac:dyDescent="0.25"/>
    <row r="250828" s="12" customFormat="1" x14ac:dyDescent="0.25"/>
    <row r="250829" s="12" customFormat="1" x14ac:dyDescent="0.25"/>
    <row r="250830" s="12" customFormat="1" x14ac:dyDescent="0.25"/>
    <row r="250831" s="12" customFormat="1" x14ac:dyDescent="0.25"/>
    <row r="250832" s="12" customFormat="1" x14ac:dyDescent="0.25"/>
    <row r="250833" s="12" customFormat="1" x14ac:dyDescent="0.25"/>
    <row r="250834" s="12" customFormat="1" x14ac:dyDescent="0.25"/>
    <row r="250835" s="12" customFormat="1" x14ac:dyDescent="0.25"/>
    <row r="250836" s="12" customFormat="1" x14ac:dyDescent="0.25"/>
    <row r="250837" s="12" customFormat="1" x14ac:dyDescent="0.25"/>
    <row r="250838" s="12" customFormat="1" x14ac:dyDescent="0.25"/>
    <row r="250839" s="12" customFormat="1" x14ac:dyDescent="0.25"/>
    <row r="250840" s="12" customFormat="1" x14ac:dyDescent="0.25"/>
    <row r="250841" s="12" customFormat="1" x14ac:dyDescent="0.25"/>
    <row r="250842" s="12" customFormat="1" x14ac:dyDescent="0.25"/>
    <row r="250843" s="12" customFormat="1" x14ac:dyDescent="0.25"/>
    <row r="250844" s="12" customFormat="1" x14ac:dyDescent="0.25"/>
    <row r="250845" s="12" customFormat="1" x14ac:dyDescent="0.25"/>
    <row r="250846" s="12" customFormat="1" x14ac:dyDescent="0.25"/>
    <row r="250847" s="12" customFormat="1" x14ac:dyDescent="0.25"/>
    <row r="250848" s="12" customFormat="1" x14ac:dyDescent="0.25"/>
    <row r="250849" s="12" customFormat="1" x14ac:dyDescent="0.25"/>
    <row r="250850" s="12" customFormat="1" x14ac:dyDescent="0.25"/>
    <row r="250851" s="12" customFormat="1" x14ac:dyDescent="0.25"/>
    <row r="250852" s="12" customFormat="1" x14ac:dyDescent="0.25"/>
    <row r="250853" s="12" customFormat="1" x14ac:dyDescent="0.25"/>
    <row r="250854" s="12" customFormat="1" x14ac:dyDescent="0.25"/>
    <row r="250855" s="12" customFormat="1" x14ac:dyDescent="0.25"/>
    <row r="250856" s="12" customFormat="1" x14ac:dyDescent="0.25"/>
    <row r="250857" s="12" customFormat="1" x14ac:dyDescent="0.25"/>
    <row r="250858" s="12" customFormat="1" x14ac:dyDescent="0.25"/>
    <row r="250859" s="12" customFormat="1" x14ac:dyDescent="0.25"/>
    <row r="250860" s="12" customFormat="1" x14ac:dyDescent="0.25"/>
    <row r="250861" s="12" customFormat="1" x14ac:dyDescent="0.25"/>
    <row r="250862" s="12" customFormat="1" x14ac:dyDescent="0.25"/>
    <row r="250863" s="12" customFormat="1" x14ac:dyDescent="0.25"/>
    <row r="250864" s="12" customFormat="1" x14ac:dyDescent="0.25"/>
    <row r="250865" s="12" customFormat="1" x14ac:dyDescent="0.25"/>
    <row r="250866" s="12" customFormat="1" x14ac:dyDescent="0.25"/>
    <row r="250867" s="12" customFormat="1" x14ac:dyDescent="0.25"/>
    <row r="250868" s="12" customFormat="1" x14ac:dyDescent="0.25"/>
    <row r="250869" s="12" customFormat="1" x14ac:dyDescent="0.25"/>
    <row r="250870" s="12" customFormat="1" x14ac:dyDescent="0.25"/>
    <row r="250871" s="12" customFormat="1" x14ac:dyDescent="0.25"/>
    <row r="250872" s="12" customFormat="1" x14ac:dyDescent="0.25"/>
    <row r="250873" s="12" customFormat="1" x14ac:dyDescent="0.25"/>
    <row r="250874" s="12" customFormat="1" x14ac:dyDescent="0.25"/>
    <row r="250875" s="12" customFormat="1" x14ac:dyDescent="0.25"/>
    <row r="250876" s="12" customFormat="1" x14ac:dyDescent="0.25"/>
    <row r="250877" s="12" customFormat="1" x14ac:dyDescent="0.25"/>
    <row r="250878" s="12" customFormat="1" x14ac:dyDescent="0.25"/>
    <row r="250879" s="12" customFormat="1" x14ac:dyDescent="0.25"/>
    <row r="250880" s="12" customFormat="1" x14ac:dyDescent="0.25"/>
    <row r="250881" s="12" customFormat="1" x14ac:dyDescent="0.25"/>
    <row r="250882" s="12" customFormat="1" x14ac:dyDescent="0.25"/>
    <row r="250883" s="12" customFormat="1" x14ac:dyDescent="0.25"/>
    <row r="250884" s="12" customFormat="1" x14ac:dyDescent="0.25"/>
    <row r="250885" s="12" customFormat="1" x14ac:dyDescent="0.25"/>
    <row r="250886" s="12" customFormat="1" x14ac:dyDescent="0.25"/>
    <row r="250887" s="12" customFormat="1" x14ac:dyDescent="0.25"/>
    <row r="250888" s="12" customFormat="1" x14ac:dyDescent="0.25"/>
    <row r="250889" s="12" customFormat="1" x14ac:dyDescent="0.25"/>
    <row r="250890" s="12" customFormat="1" x14ac:dyDescent="0.25"/>
    <row r="250891" s="12" customFormat="1" x14ac:dyDescent="0.25"/>
    <row r="250892" s="12" customFormat="1" x14ac:dyDescent="0.25"/>
    <row r="250893" s="12" customFormat="1" x14ac:dyDescent="0.25"/>
    <row r="250894" s="12" customFormat="1" x14ac:dyDescent="0.25"/>
    <row r="250895" s="12" customFormat="1" x14ac:dyDescent="0.25"/>
    <row r="250896" s="12" customFormat="1" x14ac:dyDescent="0.25"/>
    <row r="250897" s="12" customFormat="1" x14ac:dyDescent="0.25"/>
    <row r="250898" s="12" customFormat="1" x14ac:dyDescent="0.25"/>
    <row r="250899" s="12" customFormat="1" x14ac:dyDescent="0.25"/>
    <row r="250900" s="12" customFormat="1" x14ac:dyDescent="0.25"/>
    <row r="250901" s="12" customFormat="1" x14ac:dyDescent="0.25"/>
    <row r="250902" s="12" customFormat="1" x14ac:dyDescent="0.25"/>
    <row r="250903" s="12" customFormat="1" x14ac:dyDescent="0.25"/>
    <row r="250904" s="12" customFormat="1" x14ac:dyDescent="0.25"/>
    <row r="250905" s="12" customFormat="1" x14ac:dyDescent="0.25"/>
    <row r="250906" s="12" customFormat="1" x14ac:dyDescent="0.25"/>
    <row r="250907" s="12" customFormat="1" x14ac:dyDescent="0.25"/>
    <row r="250908" s="12" customFormat="1" x14ac:dyDescent="0.25"/>
    <row r="250909" s="12" customFormat="1" x14ac:dyDescent="0.25"/>
    <row r="250910" s="12" customFormat="1" x14ac:dyDescent="0.25"/>
    <row r="250911" s="12" customFormat="1" x14ac:dyDescent="0.25"/>
    <row r="250912" s="12" customFormat="1" x14ac:dyDescent="0.25"/>
    <row r="250913" s="12" customFormat="1" x14ac:dyDescent="0.25"/>
    <row r="250914" s="12" customFormat="1" x14ac:dyDescent="0.25"/>
    <row r="250915" s="12" customFormat="1" x14ac:dyDescent="0.25"/>
    <row r="250916" s="12" customFormat="1" x14ac:dyDescent="0.25"/>
    <row r="250917" s="12" customFormat="1" x14ac:dyDescent="0.25"/>
    <row r="250918" s="12" customFormat="1" x14ac:dyDescent="0.25"/>
    <row r="250919" s="12" customFormat="1" x14ac:dyDescent="0.25"/>
    <row r="250920" s="12" customFormat="1" x14ac:dyDescent="0.25"/>
    <row r="250921" s="12" customFormat="1" x14ac:dyDescent="0.25"/>
    <row r="250922" s="12" customFormat="1" x14ac:dyDescent="0.25"/>
    <row r="250923" s="12" customFormat="1" x14ac:dyDescent="0.25"/>
    <row r="250924" s="12" customFormat="1" x14ac:dyDescent="0.25"/>
    <row r="250925" s="12" customFormat="1" x14ac:dyDescent="0.25"/>
    <row r="250926" s="12" customFormat="1" x14ac:dyDescent="0.25"/>
    <row r="250927" s="12" customFormat="1" x14ac:dyDescent="0.25"/>
    <row r="250928" s="12" customFormat="1" x14ac:dyDescent="0.25"/>
    <row r="250929" s="12" customFormat="1" x14ac:dyDescent="0.25"/>
    <row r="250930" s="12" customFormat="1" x14ac:dyDescent="0.25"/>
    <row r="250931" s="12" customFormat="1" x14ac:dyDescent="0.25"/>
    <row r="250932" s="12" customFormat="1" x14ac:dyDescent="0.25"/>
    <row r="250933" s="12" customFormat="1" x14ac:dyDescent="0.25"/>
    <row r="250934" s="12" customFormat="1" x14ac:dyDescent="0.25"/>
    <row r="250935" s="12" customFormat="1" x14ac:dyDescent="0.25"/>
    <row r="250936" s="12" customFormat="1" x14ac:dyDescent="0.25"/>
    <row r="250937" s="12" customFormat="1" x14ac:dyDescent="0.25"/>
    <row r="250938" s="12" customFormat="1" x14ac:dyDescent="0.25"/>
    <row r="250939" s="12" customFormat="1" x14ac:dyDescent="0.25"/>
    <row r="250940" s="12" customFormat="1" x14ac:dyDescent="0.25"/>
    <row r="250941" s="12" customFormat="1" x14ac:dyDescent="0.25"/>
    <row r="250942" s="12" customFormat="1" x14ac:dyDescent="0.25"/>
    <row r="250943" s="12" customFormat="1" x14ac:dyDescent="0.25"/>
    <row r="250944" s="12" customFormat="1" x14ac:dyDescent="0.25"/>
    <row r="250945" s="12" customFormat="1" x14ac:dyDescent="0.25"/>
    <row r="250946" s="12" customFormat="1" x14ac:dyDescent="0.25"/>
    <row r="250947" s="12" customFormat="1" x14ac:dyDescent="0.25"/>
    <row r="250948" s="12" customFormat="1" x14ac:dyDescent="0.25"/>
    <row r="250949" s="12" customFormat="1" x14ac:dyDescent="0.25"/>
    <row r="250950" s="12" customFormat="1" x14ac:dyDescent="0.25"/>
    <row r="250951" s="12" customFormat="1" x14ac:dyDescent="0.25"/>
    <row r="250952" s="12" customFormat="1" x14ac:dyDescent="0.25"/>
    <row r="250953" s="12" customFormat="1" x14ac:dyDescent="0.25"/>
    <row r="250954" s="12" customFormat="1" x14ac:dyDescent="0.25"/>
    <row r="250955" s="12" customFormat="1" x14ac:dyDescent="0.25"/>
    <row r="250956" s="12" customFormat="1" x14ac:dyDescent="0.25"/>
    <row r="250957" s="12" customFormat="1" x14ac:dyDescent="0.25"/>
    <row r="250958" s="12" customFormat="1" x14ac:dyDescent="0.25"/>
    <row r="250959" s="12" customFormat="1" x14ac:dyDescent="0.25"/>
    <row r="250960" s="12" customFormat="1" x14ac:dyDescent="0.25"/>
    <row r="250961" s="12" customFormat="1" x14ac:dyDescent="0.25"/>
    <row r="250962" s="12" customFormat="1" x14ac:dyDescent="0.25"/>
    <row r="250963" s="12" customFormat="1" x14ac:dyDescent="0.25"/>
    <row r="250964" s="12" customFormat="1" x14ac:dyDescent="0.25"/>
    <row r="250965" s="12" customFormat="1" x14ac:dyDescent="0.25"/>
    <row r="250966" s="12" customFormat="1" x14ac:dyDescent="0.25"/>
    <row r="250967" s="12" customFormat="1" x14ac:dyDescent="0.25"/>
    <row r="250968" s="12" customFormat="1" x14ac:dyDescent="0.25"/>
    <row r="250969" s="12" customFormat="1" x14ac:dyDescent="0.25"/>
    <row r="250970" s="12" customFormat="1" x14ac:dyDescent="0.25"/>
    <row r="250971" s="12" customFormat="1" x14ac:dyDescent="0.25"/>
    <row r="250972" s="12" customFormat="1" x14ac:dyDescent="0.25"/>
    <row r="250973" s="12" customFormat="1" x14ac:dyDescent="0.25"/>
    <row r="250974" s="12" customFormat="1" x14ac:dyDescent="0.25"/>
    <row r="250975" s="12" customFormat="1" x14ac:dyDescent="0.25"/>
    <row r="250976" s="12" customFormat="1" x14ac:dyDescent="0.25"/>
    <row r="250977" s="12" customFormat="1" x14ac:dyDescent="0.25"/>
    <row r="250978" s="12" customFormat="1" x14ac:dyDescent="0.25"/>
    <row r="250979" s="12" customFormat="1" x14ac:dyDescent="0.25"/>
    <row r="250980" s="12" customFormat="1" x14ac:dyDescent="0.25"/>
    <row r="250981" s="12" customFormat="1" x14ac:dyDescent="0.25"/>
    <row r="250982" s="12" customFormat="1" x14ac:dyDescent="0.25"/>
    <row r="250983" s="12" customFormat="1" x14ac:dyDescent="0.25"/>
    <row r="250984" s="12" customFormat="1" x14ac:dyDescent="0.25"/>
    <row r="250985" s="12" customFormat="1" x14ac:dyDescent="0.25"/>
    <row r="250986" s="12" customFormat="1" x14ac:dyDescent="0.25"/>
    <row r="250987" s="12" customFormat="1" x14ac:dyDescent="0.25"/>
    <row r="250988" s="12" customFormat="1" x14ac:dyDescent="0.25"/>
    <row r="250989" s="12" customFormat="1" x14ac:dyDescent="0.25"/>
    <row r="250990" s="12" customFormat="1" x14ac:dyDescent="0.25"/>
    <row r="250991" s="12" customFormat="1" x14ac:dyDescent="0.25"/>
    <row r="250992" s="12" customFormat="1" x14ac:dyDescent="0.25"/>
    <row r="250993" s="12" customFormat="1" x14ac:dyDescent="0.25"/>
    <row r="250994" s="12" customFormat="1" x14ac:dyDescent="0.25"/>
    <row r="250995" s="12" customFormat="1" x14ac:dyDescent="0.25"/>
    <row r="250996" s="12" customFormat="1" x14ac:dyDescent="0.25"/>
    <row r="250997" s="12" customFormat="1" x14ac:dyDescent="0.25"/>
    <row r="250998" s="12" customFormat="1" x14ac:dyDescent="0.25"/>
    <row r="250999" s="12" customFormat="1" x14ac:dyDescent="0.25"/>
    <row r="251000" s="12" customFormat="1" x14ac:dyDescent="0.25"/>
    <row r="251001" s="12" customFormat="1" x14ac:dyDescent="0.25"/>
    <row r="251002" s="12" customFormat="1" x14ac:dyDescent="0.25"/>
    <row r="251003" s="12" customFormat="1" x14ac:dyDescent="0.25"/>
    <row r="251004" s="12" customFormat="1" x14ac:dyDescent="0.25"/>
    <row r="251005" s="12" customFormat="1" x14ac:dyDescent="0.25"/>
    <row r="251006" s="12" customFormat="1" x14ac:dyDescent="0.25"/>
    <row r="251007" s="12" customFormat="1" x14ac:dyDescent="0.25"/>
    <row r="251008" s="12" customFormat="1" x14ac:dyDescent="0.25"/>
    <row r="251009" s="12" customFormat="1" x14ac:dyDescent="0.25"/>
    <row r="251010" s="12" customFormat="1" x14ac:dyDescent="0.25"/>
    <row r="251011" s="12" customFormat="1" x14ac:dyDescent="0.25"/>
    <row r="251012" s="12" customFormat="1" x14ac:dyDescent="0.25"/>
    <row r="251013" s="12" customFormat="1" x14ac:dyDescent="0.25"/>
    <row r="251014" s="12" customFormat="1" x14ac:dyDescent="0.25"/>
    <row r="251015" s="12" customFormat="1" x14ac:dyDescent="0.25"/>
    <row r="251016" s="12" customFormat="1" x14ac:dyDescent="0.25"/>
    <row r="251017" s="12" customFormat="1" x14ac:dyDescent="0.25"/>
    <row r="251018" s="12" customFormat="1" x14ac:dyDescent="0.25"/>
    <row r="251019" s="12" customFormat="1" x14ac:dyDescent="0.25"/>
    <row r="251020" s="12" customFormat="1" x14ac:dyDescent="0.25"/>
    <row r="251021" s="12" customFormat="1" x14ac:dyDescent="0.25"/>
    <row r="251022" s="12" customFormat="1" x14ac:dyDescent="0.25"/>
    <row r="251023" s="12" customFormat="1" x14ac:dyDescent="0.25"/>
    <row r="251024" s="12" customFormat="1" x14ac:dyDescent="0.25"/>
    <row r="251025" s="12" customFormat="1" x14ac:dyDescent="0.25"/>
    <row r="251026" s="12" customFormat="1" x14ac:dyDescent="0.25"/>
    <row r="251027" s="12" customFormat="1" x14ac:dyDescent="0.25"/>
    <row r="251028" s="12" customFormat="1" x14ac:dyDescent="0.25"/>
    <row r="251029" s="12" customFormat="1" x14ac:dyDescent="0.25"/>
    <row r="251030" s="12" customFormat="1" x14ac:dyDescent="0.25"/>
    <row r="251031" s="12" customFormat="1" x14ac:dyDescent="0.25"/>
    <row r="251032" s="12" customFormat="1" x14ac:dyDescent="0.25"/>
    <row r="251033" s="12" customFormat="1" x14ac:dyDescent="0.25"/>
    <row r="251034" s="12" customFormat="1" x14ac:dyDescent="0.25"/>
    <row r="251035" s="12" customFormat="1" x14ac:dyDescent="0.25"/>
    <row r="251036" s="12" customFormat="1" x14ac:dyDescent="0.25"/>
    <row r="251037" s="12" customFormat="1" x14ac:dyDescent="0.25"/>
    <row r="251038" s="12" customFormat="1" x14ac:dyDescent="0.25"/>
    <row r="251039" s="12" customFormat="1" x14ac:dyDescent="0.25"/>
    <row r="251040" s="12" customFormat="1" x14ac:dyDescent="0.25"/>
    <row r="251041" s="12" customFormat="1" x14ac:dyDescent="0.25"/>
    <row r="251042" s="12" customFormat="1" x14ac:dyDescent="0.25"/>
    <row r="251043" s="12" customFormat="1" x14ac:dyDescent="0.25"/>
    <row r="251044" s="12" customFormat="1" x14ac:dyDescent="0.25"/>
    <row r="251045" s="12" customFormat="1" x14ac:dyDescent="0.25"/>
    <row r="251046" s="12" customFormat="1" x14ac:dyDescent="0.25"/>
    <row r="251047" s="12" customFormat="1" x14ac:dyDescent="0.25"/>
    <row r="251048" s="12" customFormat="1" x14ac:dyDescent="0.25"/>
    <row r="251049" s="12" customFormat="1" x14ac:dyDescent="0.25"/>
    <row r="251050" s="12" customFormat="1" x14ac:dyDescent="0.25"/>
    <row r="251051" s="12" customFormat="1" x14ac:dyDescent="0.25"/>
    <row r="251052" s="12" customFormat="1" x14ac:dyDescent="0.25"/>
    <row r="251053" s="12" customFormat="1" x14ac:dyDescent="0.25"/>
    <row r="251054" s="12" customFormat="1" x14ac:dyDescent="0.25"/>
    <row r="251055" s="12" customFormat="1" x14ac:dyDescent="0.25"/>
    <row r="251056" s="12" customFormat="1" x14ac:dyDescent="0.25"/>
    <row r="251057" s="12" customFormat="1" x14ac:dyDescent="0.25"/>
    <row r="251058" s="12" customFormat="1" x14ac:dyDescent="0.25"/>
    <row r="251059" s="12" customFormat="1" x14ac:dyDescent="0.25"/>
    <row r="251060" s="12" customFormat="1" x14ac:dyDescent="0.25"/>
    <row r="251061" s="12" customFormat="1" x14ac:dyDescent="0.25"/>
    <row r="251062" s="12" customFormat="1" x14ac:dyDescent="0.25"/>
    <row r="251063" s="12" customFormat="1" x14ac:dyDescent="0.25"/>
    <row r="251064" s="12" customFormat="1" x14ac:dyDescent="0.25"/>
    <row r="251065" s="12" customFormat="1" x14ac:dyDescent="0.25"/>
    <row r="251066" s="12" customFormat="1" x14ac:dyDescent="0.25"/>
    <row r="251067" s="12" customFormat="1" x14ac:dyDescent="0.25"/>
    <row r="251068" s="12" customFormat="1" x14ac:dyDescent="0.25"/>
    <row r="251069" s="12" customFormat="1" x14ac:dyDescent="0.25"/>
    <row r="251070" s="12" customFormat="1" x14ac:dyDescent="0.25"/>
    <row r="251071" s="12" customFormat="1" x14ac:dyDescent="0.25"/>
    <row r="251072" s="12" customFormat="1" x14ac:dyDescent="0.25"/>
    <row r="251073" s="12" customFormat="1" x14ac:dyDescent="0.25"/>
    <row r="251074" s="12" customFormat="1" x14ac:dyDescent="0.25"/>
    <row r="251075" s="12" customFormat="1" x14ac:dyDescent="0.25"/>
    <row r="251076" s="12" customFormat="1" x14ac:dyDescent="0.25"/>
    <row r="251077" s="12" customFormat="1" x14ac:dyDescent="0.25"/>
    <row r="251078" s="12" customFormat="1" x14ac:dyDescent="0.25"/>
    <row r="251079" s="12" customFormat="1" x14ac:dyDescent="0.25"/>
    <row r="251080" s="12" customFormat="1" x14ac:dyDescent="0.25"/>
    <row r="251081" s="12" customFormat="1" x14ac:dyDescent="0.25"/>
    <row r="251082" s="12" customFormat="1" x14ac:dyDescent="0.25"/>
    <row r="251083" s="12" customFormat="1" x14ac:dyDescent="0.25"/>
    <row r="251084" s="12" customFormat="1" x14ac:dyDescent="0.25"/>
    <row r="251085" s="12" customFormat="1" x14ac:dyDescent="0.25"/>
    <row r="251086" s="12" customFormat="1" x14ac:dyDescent="0.25"/>
    <row r="251087" s="12" customFormat="1" x14ac:dyDescent="0.25"/>
    <row r="251088" s="12" customFormat="1" x14ac:dyDescent="0.25"/>
    <row r="251089" s="12" customFormat="1" x14ac:dyDescent="0.25"/>
    <row r="251090" s="12" customFormat="1" x14ac:dyDescent="0.25"/>
    <row r="251091" s="12" customFormat="1" x14ac:dyDescent="0.25"/>
    <row r="251092" s="12" customFormat="1" x14ac:dyDescent="0.25"/>
    <row r="251093" s="12" customFormat="1" x14ac:dyDescent="0.25"/>
    <row r="251094" s="12" customFormat="1" x14ac:dyDescent="0.25"/>
    <row r="251095" s="12" customFormat="1" x14ac:dyDescent="0.25"/>
    <row r="251096" s="12" customFormat="1" x14ac:dyDescent="0.25"/>
    <row r="251097" s="12" customFormat="1" x14ac:dyDescent="0.25"/>
    <row r="251098" s="12" customFormat="1" x14ac:dyDescent="0.25"/>
    <row r="251099" s="12" customFormat="1" x14ac:dyDescent="0.25"/>
    <row r="251100" s="12" customFormat="1" x14ac:dyDescent="0.25"/>
    <row r="251101" s="12" customFormat="1" x14ac:dyDescent="0.25"/>
    <row r="251102" s="12" customFormat="1" x14ac:dyDescent="0.25"/>
    <row r="251103" s="12" customFormat="1" x14ac:dyDescent="0.25"/>
    <row r="251104" s="12" customFormat="1" x14ac:dyDescent="0.25"/>
    <row r="251105" s="12" customFormat="1" x14ac:dyDescent="0.25"/>
    <row r="251106" s="12" customFormat="1" x14ac:dyDescent="0.25"/>
    <row r="251107" s="12" customFormat="1" x14ac:dyDescent="0.25"/>
    <row r="251108" s="12" customFormat="1" x14ac:dyDescent="0.25"/>
    <row r="251109" s="12" customFormat="1" x14ac:dyDescent="0.25"/>
    <row r="251110" s="12" customFormat="1" x14ac:dyDescent="0.25"/>
    <row r="251111" s="12" customFormat="1" x14ac:dyDescent="0.25"/>
    <row r="251112" s="12" customFormat="1" x14ac:dyDescent="0.25"/>
    <row r="251113" s="12" customFormat="1" x14ac:dyDescent="0.25"/>
    <row r="251114" s="12" customFormat="1" x14ac:dyDescent="0.25"/>
    <row r="251115" s="12" customFormat="1" x14ac:dyDescent="0.25"/>
    <row r="251116" s="12" customFormat="1" x14ac:dyDescent="0.25"/>
    <row r="251117" s="12" customFormat="1" x14ac:dyDescent="0.25"/>
    <row r="251118" s="12" customFormat="1" x14ac:dyDescent="0.25"/>
    <row r="251119" s="12" customFormat="1" x14ac:dyDescent="0.25"/>
    <row r="251120" s="12" customFormat="1" x14ac:dyDescent="0.25"/>
    <row r="251121" s="12" customFormat="1" x14ac:dyDescent="0.25"/>
    <row r="251122" s="12" customFormat="1" x14ac:dyDescent="0.25"/>
    <row r="251123" s="12" customFormat="1" x14ac:dyDescent="0.25"/>
    <row r="251124" s="12" customFormat="1" x14ac:dyDescent="0.25"/>
    <row r="251125" s="12" customFormat="1" x14ac:dyDescent="0.25"/>
    <row r="251126" s="12" customFormat="1" x14ac:dyDescent="0.25"/>
    <row r="251127" s="12" customFormat="1" x14ac:dyDescent="0.25"/>
    <row r="251128" s="12" customFormat="1" x14ac:dyDescent="0.25"/>
    <row r="251129" s="12" customFormat="1" x14ac:dyDescent="0.25"/>
    <row r="251130" s="12" customFormat="1" x14ac:dyDescent="0.25"/>
    <row r="251131" s="12" customFormat="1" x14ac:dyDescent="0.25"/>
    <row r="251132" s="12" customFormat="1" x14ac:dyDescent="0.25"/>
    <row r="251133" s="12" customFormat="1" x14ac:dyDescent="0.25"/>
    <row r="251134" s="12" customFormat="1" x14ac:dyDescent="0.25"/>
    <row r="251135" s="12" customFormat="1" x14ac:dyDescent="0.25"/>
    <row r="251136" s="12" customFormat="1" x14ac:dyDescent="0.25"/>
    <row r="251137" s="12" customFormat="1" x14ac:dyDescent="0.25"/>
    <row r="251138" s="12" customFormat="1" x14ac:dyDescent="0.25"/>
    <row r="251139" s="12" customFormat="1" x14ac:dyDescent="0.25"/>
    <row r="251140" s="12" customFormat="1" x14ac:dyDescent="0.25"/>
    <row r="251141" s="12" customFormat="1" x14ac:dyDescent="0.25"/>
    <row r="251142" s="12" customFormat="1" x14ac:dyDescent="0.25"/>
    <row r="251143" s="12" customFormat="1" x14ac:dyDescent="0.25"/>
    <row r="251144" s="12" customFormat="1" x14ac:dyDescent="0.25"/>
    <row r="251145" s="12" customFormat="1" x14ac:dyDescent="0.25"/>
    <row r="251146" s="12" customFormat="1" x14ac:dyDescent="0.25"/>
    <row r="251147" s="12" customFormat="1" x14ac:dyDescent="0.25"/>
    <row r="251148" s="12" customFormat="1" x14ac:dyDescent="0.25"/>
    <row r="251149" s="12" customFormat="1" x14ac:dyDescent="0.25"/>
    <row r="251150" s="12" customFormat="1" x14ac:dyDescent="0.25"/>
    <row r="251151" s="12" customFormat="1" x14ac:dyDescent="0.25"/>
    <row r="251152" s="12" customFormat="1" x14ac:dyDescent="0.25"/>
    <row r="251153" s="12" customFormat="1" x14ac:dyDescent="0.25"/>
    <row r="251154" s="12" customFormat="1" x14ac:dyDescent="0.25"/>
    <row r="251155" s="12" customFormat="1" x14ac:dyDescent="0.25"/>
    <row r="251156" s="12" customFormat="1" x14ac:dyDescent="0.25"/>
    <row r="251157" s="12" customFormat="1" x14ac:dyDescent="0.25"/>
    <row r="251158" s="12" customFormat="1" x14ac:dyDescent="0.25"/>
    <row r="251159" s="12" customFormat="1" x14ac:dyDescent="0.25"/>
    <row r="251160" s="12" customFormat="1" x14ac:dyDescent="0.25"/>
    <row r="251161" s="12" customFormat="1" x14ac:dyDescent="0.25"/>
    <row r="251162" s="12" customFormat="1" x14ac:dyDescent="0.25"/>
    <row r="251163" s="12" customFormat="1" x14ac:dyDescent="0.25"/>
    <row r="251164" s="12" customFormat="1" x14ac:dyDescent="0.25"/>
    <row r="251165" s="12" customFormat="1" x14ac:dyDescent="0.25"/>
    <row r="251166" s="12" customFormat="1" x14ac:dyDescent="0.25"/>
    <row r="251167" s="12" customFormat="1" x14ac:dyDescent="0.25"/>
    <row r="251168" s="12" customFormat="1" x14ac:dyDescent="0.25"/>
    <row r="251169" s="12" customFormat="1" x14ac:dyDescent="0.25"/>
    <row r="251170" s="12" customFormat="1" x14ac:dyDescent="0.25"/>
    <row r="251171" s="12" customFormat="1" x14ac:dyDescent="0.25"/>
    <row r="251172" s="12" customFormat="1" x14ac:dyDescent="0.25"/>
    <row r="251173" s="12" customFormat="1" x14ac:dyDescent="0.25"/>
    <row r="251174" s="12" customFormat="1" x14ac:dyDescent="0.25"/>
    <row r="251175" s="12" customFormat="1" x14ac:dyDescent="0.25"/>
    <row r="251176" s="12" customFormat="1" x14ac:dyDescent="0.25"/>
    <row r="251177" s="12" customFormat="1" x14ac:dyDescent="0.25"/>
    <row r="251178" s="12" customFormat="1" x14ac:dyDescent="0.25"/>
    <row r="251179" s="12" customFormat="1" x14ac:dyDescent="0.25"/>
    <row r="251180" s="12" customFormat="1" x14ac:dyDescent="0.25"/>
    <row r="251181" s="12" customFormat="1" x14ac:dyDescent="0.25"/>
    <row r="251182" s="12" customFormat="1" x14ac:dyDescent="0.25"/>
    <row r="251183" s="12" customFormat="1" x14ac:dyDescent="0.25"/>
    <row r="251184" s="12" customFormat="1" x14ac:dyDescent="0.25"/>
    <row r="251185" s="12" customFormat="1" x14ac:dyDescent="0.25"/>
    <row r="251186" s="12" customFormat="1" x14ac:dyDescent="0.25"/>
    <row r="251187" s="12" customFormat="1" x14ac:dyDescent="0.25"/>
    <row r="251188" s="12" customFormat="1" x14ac:dyDescent="0.25"/>
    <row r="251189" s="12" customFormat="1" x14ac:dyDescent="0.25"/>
    <row r="251190" s="12" customFormat="1" x14ac:dyDescent="0.25"/>
    <row r="251191" s="12" customFormat="1" x14ac:dyDescent="0.25"/>
    <row r="251192" s="12" customFormat="1" x14ac:dyDescent="0.25"/>
    <row r="251193" s="12" customFormat="1" x14ac:dyDescent="0.25"/>
    <row r="251194" s="12" customFormat="1" x14ac:dyDescent="0.25"/>
    <row r="251195" s="12" customFormat="1" x14ac:dyDescent="0.25"/>
    <row r="251196" s="12" customFormat="1" x14ac:dyDescent="0.25"/>
    <row r="251197" s="12" customFormat="1" x14ac:dyDescent="0.25"/>
    <row r="251198" s="12" customFormat="1" x14ac:dyDescent="0.25"/>
    <row r="251199" s="12" customFormat="1" x14ac:dyDescent="0.25"/>
    <row r="251200" s="12" customFormat="1" x14ac:dyDescent="0.25"/>
    <row r="251201" s="12" customFormat="1" x14ac:dyDescent="0.25"/>
    <row r="251202" s="12" customFormat="1" x14ac:dyDescent="0.25"/>
    <row r="251203" s="12" customFormat="1" x14ac:dyDescent="0.25"/>
    <row r="251204" s="12" customFormat="1" x14ac:dyDescent="0.25"/>
    <row r="251205" s="12" customFormat="1" x14ac:dyDescent="0.25"/>
    <row r="251206" s="12" customFormat="1" x14ac:dyDescent="0.25"/>
    <row r="251207" s="12" customFormat="1" x14ac:dyDescent="0.25"/>
    <row r="251208" s="12" customFormat="1" x14ac:dyDescent="0.25"/>
    <row r="251209" s="12" customFormat="1" x14ac:dyDescent="0.25"/>
    <row r="251210" s="12" customFormat="1" x14ac:dyDescent="0.25"/>
    <row r="251211" s="12" customFormat="1" x14ac:dyDescent="0.25"/>
    <row r="251212" s="12" customFormat="1" x14ac:dyDescent="0.25"/>
    <row r="251213" s="12" customFormat="1" x14ac:dyDescent="0.25"/>
    <row r="251214" s="12" customFormat="1" x14ac:dyDescent="0.25"/>
    <row r="251215" s="12" customFormat="1" x14ac:dyDescent="0.25"/>
    <row r="251216" s="12" customFormat="1" x14ac:dyDescent="0.25"/>
    <row r="251217" s="12" customFormat="1" x14ac:dyDescent="0.25"/>
    <row r="251218" s="12" customFormat="1" x14ac:dyDescent="0.25"/>
    <row r="251219" s="12" customFormat="1" x14ac:dyDescent="0.25"/>
    <row r="251220" s="12" customFormat="1" x14ac:dyDescent="0.25"/>
    <row r="251221" s="12" customFormat="1" x14ac:dyDescent="0.25"/>
    <row r="251222" s="12" customFormat="1" x14ac:dyDescent="0.25"/>
    <row r="251223" s="12" customFormat="1" x14ac:dyDescent="0.25"/>
    <row r="251224" s="12" customFormat="1" x14ac:dyDescent="0.25"/>
    <row r="251225" s="12" customFormat="1" x14ac:dyDescent="0.25"/>
    <row r="251226" s="12" customFormat="1" x14ac:dyDescent="0.25"/>
    <row r="251227" s="12" customFormat="1" x14ac:dyDescent="0.25"/>
    <row r="251228" s="12" customFormat="1" x14ac:dyDescent="0.25"/>
    <row r="251229" s="12" customFormat="1" x14ac:dyDescent="0.25"/>
    <row r="251230" s="12" customFormat="1" x14ac:dyDescent="0.25"/>
    <row r="251231" s="12" customFormat="1" x14ac:dyDescent="0.25"/>
    <row r="251232" s="12" customFormat="1" x14ac:dyDescent="0.25"/>
    <row r="251233" s="12" customFormat="1" x14ac:dyDescent="0.25"/>
    <row r="251234" s="12" customFormat="1" x14ac:dyDescent="0.25"/>
    <row r="251235" s="12" customFormat="1" x14ac:dyDescent="0.25"/>
    <row r="251236" s="12" customFormat="1" x14ac:dyDescent="0.25"/>
    <row r="251237" s="12" customFormat="1" x14ac:dyDescent="0.25"/>
    <row r="251238" s="12" customFormat="1" x14ac:dyDescent="0.25"/>
    <row r="251239" s="12" customFormat="1" x14ac:dyDescent="0.25"/>
    <row r="251240" s="12" customFormat="1" x14ac:dyDescent="0.25"/>
    <row r="251241" s="12" customFormat="1" x14ac:dyDescent="0.25"/>
    <row r="251242" s="12" customFormat="1" x14ac:dyDescent="0.25"/>
    <row r="251243" s="12" customFormat="1" x14ac:dyDescent="0.25"/>
    <row r="251244" s="12" customFormat="1" x14ac:dyDescent="0.25"/>
    <row r="251245" s="12" customFormat="1" x14ac:dyDescent="0.25"/>
    <row r="251246" s="12" customFormat="1" x14ac:dyDescent="0.25"/>
    <row r="251247" s="12" customFormat="1" x14ac:dyDescent="0.25"/>
    <row r="251248" s="12" customFormat="1" x14ac:dyDescent="0.25"/>
    <row r="251249" s="12" customFormat="1" x14ac:dyDescent="0.25"/>
    <row r="251250" s="12" customFormat="1" x14ac:dyDescent="0.25"/>
    <row r="251251" s="12" customFormat="1" x14ac:dyDescent="0.25"/>
    <row r="251252" s="12" customFormat="1" x14ac:dyDescent="0.25"/>
    <row r="251253" s="12" customFormat="1" x14ac:dyDescent="0.25"/>
    <row r="251254" s="12" customFormat="1" x14ac:dyDescent="0.25"/>
    <row r="251255" s="12" customFormat="1" x14ac:dyDescent="0.25"/>
    <row r="251256" s="12" customFormat="1" x14ac:dyDescent="0.25"/>
    <row r="251257" s="12" customFormat="1" x14ac:dyDescent="0.25"/>
    <row r="251258" s="12" customFormat="1" x14ac:dyDescent="0.25"/>
    <row r="251259" s="12" customFormat="1" x14ac:dyDescent="0.25"/>
    <row r="251260" s="12" customFormat="1" x14ac:dyDescent="0.25"/>
    <row r="251261" s="12" customFormat="1" x14ac:dyDescent="0.25"/>
    <row r="251262" s="12" customFormat="1" x14ac:dyDescent="0.25"/>
    <row r="251263" s="12" customFormat="1" x14ac:dyDescent="0.25"/>
    <row r="251264" s="12" customFormat="1" x14ac:dyDescent="0.25"/>
    <row r="251265" s="12" customFormat="1" x14ac:dyDescent="0.25"/>
    <row r="251266" s="12" customFormat="1" x14ac:dyDescent="0.25"/>
    <row r="251267" s="12" customFormat="1" x14ac:dyDescent="0.25"/>
    <row r="251268" s="12" customFormat="1" x14ac:dyDescent="0.25"/>
    <row r="251269" s="12" customFormat="1" x14ac:dyDescent="0.25"/>
    <row r="251270" s="12" customFormat="1" x14ac:dyDescent="0.25"/>
    <row r="251271" s="12" customFormat="1" x14ac:dyDescent="0.25"/>
    <row r="251272" s="12" customFormat="1" x14ac:dyDescent="0.25"/>
    <row r="251273" s="12" customFormat="1" x14ac:dyDescent="0.25"/>
    <row r="251274" s="12" customFormat="1" x14ac:dyDescent="0.25"/>
    <row r="251275" s="12" customFormat="1" x14ac:dyDescent="0.25"/>
    <row r="251276" s="12" customFormat="1" x14ac:dyDescent="0.25"/>
    <row r="251277" s="12" customFormat="1" x14ac:dyDescent="0.25"/>
    <row r="251278" s="12" customFormat="1" x14ac:dyDescent="0.25"/>
    <row r="251279" s="12" customFormat="1" x14ac:dyDescent="0.25"/>
    <row r="251280" s="12" customFormat="1" x14ac:dyDescent="0.25"/>
    <row r="251281" s="12" customFormat="1" x14ac:dyDescent="0.25"/>
    <row r="251282" s="12" customFormat="1" x14ac:dyDescent="0.25"/>
    <row r="251283" s="12" customFormat="1" x14ac:dyDescent="0.25"/>
    <row r="251284" s="12" customFormat="1" x14ac:dyDescent="0.25"/>
    <row r="251285" s="12" customFormat="1" x14ac:dyDescent="0.25"/>
    <row r="251286" s="12" customFormat="1" x14ac:dyDescent="0.25"/>
    <row r="251287" s="12" customFormat="1" x14ac:dyDescent="0.25"/>
    <row r="251288" s="12" customFormat="1" x14ac:dyDescent="0.25"/>
    <row r="251289" s="12" customFormat="1" x14ac:dyDescent="0.25"/>
    <row r="251290" s="12" customFormat="1" x14ac:dyDescent="0.25"/>
    <row r="251291" s="12" customFormat="1" x14ac:dyDescent="0.25"/>
    <row r="251292" s="12" customFormat="1" x14ac:dyDescent="0.25"/>
    <row r="251293" s="12" customFormat="1" x14ac:dyDescent="0.25"/>
    <row r="251294" s="12" customFormat="1" x14ac:dyDescent="0.25"/>
    <row r="251295" s="12" customFormat="1" x14ac:dyDescent="0.25"/>
    <row r="251296" s="12" customFormat="1" x14ac:dyDescent="0.25"/>
    <row r="251297" s="12" customFormat="1" x14ac:dyDescent="0.25"/>
    <row r="251298" s="12" customFormat="1" x14ac:dyDescent="0.25"/>
    <row r="251299" s="12" customFormat="1" x14ac:dyDescent="0.25"/>
    <row r="251300" s="12" customFormat="1" x14ac:dyDescent="0.25"/>
    <row r="251301" s="12" customFormat="1" x14ac:dyDescent="0.25"/>
    <row r="251302" s="12" customFormat="1" x14ac:dyDescent="0.25"/>
    <row r="251303" s="12" customFormat="1" x14ac:dyDescent="0.25"/>
    <row r="251304" s="12" customFormat="1" x14ac:dyDescent="0.25"/>
    <row r="251305" s="12" customFormat="1" x14ac:dyDescent="0.25"/>
    <row r="251306" s="12" customFormat="1" x14ac:dyDescent="0.25"/>
    <row r="251307" s="12" customFormat="1" x14ac:dyDescent="0.25"/>
    <row r="251308" s="12" customFormat="1" x14ac:dyDescent="0.25"/>
    <row r="251309" s="12" customFormat="1" x14ac:dyDescent="0.25"/>
    <row r="251310" s="12" customFormat="1" x14ac:dyDescent="0.25"/>
    <row r="251311" s="12" customFormat="1" x14ac:dyDescent="0.25"/>
    <row r="251312" s="12" customFormat="1" x14ac:dyDescent="0.25"/>
    <row r="251313" s="12" customFormat="1" x14ac:dyDescent="0.25"/>
    <row r="251314" s="12" customFormat="1" x14ac:dyDescent="0.25"/>
    <row r="251315" s="12" customFormat="1" x14ac:dyDescent="0.25"/>
    <row r="251316" s="12" customFormat="1" x14ac:dyDescent="0.25"/>
    <row r="251317" s="12" customFormat="1" x14ac:dyDescent="0.25"/>
    <row r="251318" s="12" customFormat="1" x14ac:dyDescent="0.25"/>
    <row r="251319" s="12" customFormat="1" x14ac:dyDescent="0.25"/>
    <row r="251320" s="12" customFormat="1" x14ac:dyDescent="0.25"/>
    <row r="251321" s="12" customFormat="1" x14ac:dyDescent="0.25"/>
    <row r="251322" s="12" customFormat="1" x14ac:dyDescent="0.25"/>
    <row r="251323" s="12" customFormat="1" x14ac:dyDescent="0.25"/>
    <row r="251324" s="12" customFormat="1" x14ac:dyDescent="0.25"/>
    <row r="251325" s="12" customFormat="1" x14ac:dyDescent="0.25"/>
    <row r="251326" s="12" customFormat="1" x14ac:dyDescent="0.25"/>
    <row r="251327" s="12" customFormat="1" x14ac:dyDescent="0.25"/>
    <row r="251328" s="12" customFormat="1" x14ac:dyDescent="0.25"/>
    <row r="251329" s="12" customFormat="1" x14ac:dyDescent="0.25"/>
    <row r="251330" s="12" customFormat="1" x14ac:dyDescent="0.25"/>
    <row r="251331" s="12" customFormat="1" x14ac:dyDescent="0.25"/>
    <row r="251332" s="12" customFormat="1" x14ac:dyDescent="0.25"/>
    <row r="251333" s="12" customFormat="1" x14ac:dyDescent="0.25"/>
    <row r="251334" s="12" customFormat="1" x14ac:dyDescent="0.25"/>
    <row r="251335" s="12" customFormat="1" x14ac:dyDescent="0.25"/>
    <row r="251336" s="12" customFormat="1" x14ac:dyDescent="0.25"/>
    <row r="251337" s="12" customFormat="1" x14ac:dyDescent="0.25"/>
    <row r="251338" s="12" customFormat="1" x14ac:dyDescent="0.25"/>
    <row r="251339" s="12" customFormat="1" x14ac:dyDescent="0.25"/>
    <row r="251340" s="12" customFormat="1" x14ac:dyDescent="0.25"/>
    <row r="251341" s="12" customFormat="1" x14ac:dyDescent="0.25"/>
    <row r="251342" s="12" customFormat="1" x14ac:dyDescent="0.25"/>
    <row r="251343" s="12" customFormat="1" x14ac:dyDescent="0.25"/>
    <row r="251344" s="12" customFormat="1" x14ac:dyDescent="0.25"/>
    <row r="251345" s="12" customFormat="1" x14ac:dyDescent="0.25"/>
    <row r="251346" s="12" customFormat="1" x14ac:dyDescent="0.25"/>
    <row r="251347" s="12" customFormat="1" x14ac:dyDescent="0.25"/>
    <row r="251348" s="12" customFormat="1" x14ac:dyDescent="0.25"/>
    <row r="251349" s="12" customFormat="1" x14ac:dyDescent="0.25"/>
    <row r="251350" s="12" customFormat="1" x14ac:dyDescent="0.25"/>
    <row r="251351" s="12" customFormat="1" x14ac:dyDescent="0.25"/>
    <row r="251352" s="12" customFormat="1" x14ac:dyDescent="0.25"/>
    <row r="251353" s="12" customFormat="1" x14ac:dyDescent="0.25"/>
    <row r="251354" s="12" customFormat="1" x14ac:dyDescent="0.25"/>
    <row r="251355" s="12" customFormat="1" x14ac:dyDescent="0.25"/>
    <row r="251356" s="12" customFormat="1" x14ac:dyDescent="0.25"/>
    <row r="251357" s="12" customFormat="1" x14ac:dyDescent="0.25"/>
    <row r="251358" s="12" customFormat="1" x14ac:dyDescent="0.25"/>
    <row r="251359" s="12" customFormat="1" x14ac:dyDescent="0.25"/>
    <row r="251360" s="12" customFormat="1" x14ac:dyDescent="0.25"/>
    <row r="251361" s="12" customFormat="1" x14ac:dyDescent="0.25"/>
    <row r="251362" s="12" customFormat="1" x14ac:dyDescent="0.25"/>
    <row r="251363" s="12" customFormat="1" x14ac:dyDescent="0.25"/>
    <row r="251364" s="12" customFormat="1" x14ac:dyDescent="0.25"/>
    <row r="251365" s="12" customFormat="1" x14ac:dyDescent="0.25"/>
    <row r="251366" s="12" customFormat="1" x14ac:dyDescent="0.25"/>
    <row r="251367" s="12" customFormat="1" x14ac:dyDescent="0.25"/>
    <row r="251368" s="12" customFormat="1" x14ac:dyDescent="0.25"/>
    <row r="251369" s="12" customFormat="1" x14ac:dyDescent="0.25"/>
    <row r="251370" s="12" customFormat="1" x14ac:dyDescent="0.25"/>
    <row r="251371" s="12" customFormat="1" x14ac:dyDescent="0.25"/>
    <row r="251372" s="12" customFormat="1" x14ac:dyDescent="0.25"/>
    <row r="251373" s="12" customFormat="1" x14ac:dyDescent="0.25"/>
    <row r="251374" s="12" customFormat="1" x14ac:dyDescent="0.25"/>
    <row r="251375" s="12" customFormat="1" x14ac:dyDescent="0.25"/>
    <row r="251376" s="12" customFormat="1" x14ac:dyDescent="0.25"/>
    <row r="251377" s="12" customFormat="1" x14ac:dyDescent="0.25"/>
    <row r="251378" s="12" customFormat="1" x14ac:dyDescent="0.25"/>
    <row r="251379" s="12" customFormat="1" x14ac:dyDescent="0.25"/>
    <row r="251380" s="12" customFormat="1" x14ac:dyDescent="0.25"/>
    <row r="251381" s="12" customFormat="1" x14ac:dyDescent="0.25"/>
    <row r="251382" s="12" customFormat="1" x14ac:dyDescent="0.25"/>
    <row r="251383" s="12" customFormat="1" x14ac:dyDescent="0.25"/>
    <row r="251384" s="12" customFormat="1" x14ac:dyDescent="0.25"/>
    <row r="251385" s="12" customFormat="1" x14ac:dyDescent="0.25"/>
    <row r="251386" s="12" customFormat="1" x14ac:dyDescent="0.25"/>
    <row r="251387" s="12" customFormat="1" x14ac:dyDescent="0.25"/>
    <row r="251388" s="12" customFormat="1" x14ac:dyDescent="0.25"/>
    <row r="251389" s="12" customFormat="1" x14ac:dyDescent="0.25"/>
    <row r="251390" s="12" customFormat="1" x14ac:dyDescent="0.25"/>
    <row r="251391" s="12" customFormat="1" x14ac:dyDescent="0.25"/>
    <row r="251392" s="12" customFormat="1" x14ac:dyDescent="0.25"/>
    <row r="251393" s="12" customFormat="1" x14ac:dyDescent="0.25"/>
    <row r="251394" s="12" customFormat="1" x14ac:dyDescent="0.25"/>
    <row r="251395" s="12" customFormat="1" x14ac:dyDescent="0.25"/>
    <row r="251396" s="12" customFormat="1" x14ac:dyDescent="0.25"/>
    <row r="251397" s="12" customFormat="1" x14ac:dyDescent="0.25"/>
    <row r="251398" s="12" customFormat="1" x14ac:dyDescent="0.25"/>
    <row r="251399" s="12" customFormat="1" x14ac:dyDescent="0.25"/>
    <row r="251400" s="12" customFormat="1" x14ac:dyDescent="0.25"/>
    <row r="251401" s="12" customFormat="1" x14ac:dyDescent="0.25"/>
    <row r="251402" s="12" customFormat="1" x14ac:dyDescent="0.25"/>
    <row r="251403" s="12" customFormat="1" x14ac:dyDescent="0.25"/>
    <row r="251404" s="12" customFormat="1" x14ac:dyDescent="0.25"/>
    <row r="251405" s="12" customFormat="1" x14ac:dyDescent="0.25"/>
    <row r="251406" s="12" customFormat="1" x14ac:dyDescent="0.25"/>
    <row r="251407" s="12" customFormat="1" x14ac:dyDescent="0.25"/>
    <row r="251408" s="12" customFormat="1" x14ac:dyDescent="0.25"/>
    <row r="251409" s="12" customFormat="1" x14ac:dyDescent="0.25"/>
    <row r="251410" s="12" customFormat="1" x14ac:dyDescent="0.25"/>
    <row r="251411" s="12" customFormat="1" x14ac:dyDescent="0.25"/>
    <row r="251412" s="12" customFormat="1" x14ac:dyDescent="0.25"/>
    <row r="251413" s="12" customFormat="1" x14ac:dyDescent="0.25"/>
    <row r="251414" s="12" customFormat="1" x14ac:dyDescent="0.25"/>
    <row r="251415" s="12" customFormat="1" x14ac:dyDescent="0.25"/>
    <row r="251416" s="12" customFormat="1" x14ac:dyDescent="0.25"/>
    <row r="251417" s="12" customFormat="1" x14ac:dyDescent="0.25"/>
    <row r="251418" s="12" customFormat="1" x14ac:dyDescent="0.25"/>
    <row r="251419" s="12" customFormat="1" x14ac:dyDescent="0.25"/>
    <row r="251420" s="12" customFormat="1" x14ac:dyDescent="0.25"/>
    <row r="251421" s="12" customFormat="1" x14ac:dyDescent="0.25"/>
    <row r="251422" s="12" customFormat="1" x14ac:dyDescent="0.25"/>
    <row r="251423" s="12" customFormat="1" x14ac:dyDescent="0.25"/>
    <row r="251424" s="12" customFormat="1" x14ac:dyDescent="0.25"/>
    <row r="251425" s="12" customFormat="1" x14ac:dyDescent="0.25"/>
    <row r="251426" s="12" customFormat="1" x14ac:dyDescent="0.25"/>
    <row r="251427" s="12" customFormat="1" x14ac:dyDescent="0.25"/>
    <row r="251428" s="12" customFormat="1" x14ac:dyDescent="0.25"/>
    <row r="251429" s="12" customFormat="1" x14ac:dyDescent="0.25"/>
    <row r="251430" s="12" customFormat="1" x14ac:dyDescent="0.25"/>
    <row r="251431" s="12" customFormat="1" x14ac:dyDescent="0.25"/>
    <row r="251432" s="12" customFormat="1" x14ac:dyDescent="0.25"/>
    <row r="251433" s="12" customFormat="1" x14ac:dyDescent="0.25"/>
    <row r="251434" s="12" customFormat="1" x14ac:dyDescent="0.25"/>
    <row r="251435" s="12" customFormat="1" x14ac:dyDescent="0.25"/>
    <row r="251436" s="12" customFormat="1" x14ac:dyDescent="0.25"/>
    <row r="251437" s="12" customFormat="1" x14ac:dyDescent="0.25"/>
    <row r="251438" s="12" customFormat="1" x14ac:dyDescent="0.25"/>
    <row r="251439" s="12" customFormat="1" x14ac:dyDescent="0.25"/>
    <row r="251440" s="12" customFormat="1" x14ac:dyDescent="0.25"/>
    <row r="251441" s="12" customFormat="1" x14ac:dyDescent="0.25"/>
    <row r="251442" s="12" customFormat="1" x14ac:dyDescent="0.25"/>
    <row r="251443" s="12" customFormat="1" x14ac:dyDescent="0.25"/>
    <row r="251444" s="12" customFormat="1" x14ac:dyDescent="0.25"/>
    <row r="251445" s="12" customFormat="1" x14ac:dyDescent="0.25"/>
    <row r="251446" s="12" customFormat="1" x14ac:dyDescent="0.25"/>
    <row r="251447" s="12" customFormat="1" x14ac:dyDescent="0.25"/>
    <row r="251448" s="12" customFormat="1" x14ac:dyDescent="0.25"/>
    <row r="251449" s="12" customFormat="1" x14ac:dyDescent="0.25"/>
    <row r="251450" s="12" customFormat="1" x14ac:dyDescent="0.25"/>
    <row r="251451" s="12" customFormat="1" x14ac:dyDescent="0.25"/>
    <row r="251452" s="12" customFormat="1" x14ac:dyDescent="0.25"/>
    <row r="251453" s="12" customFormat="1" x14ac:dyDescent="0.25"/>
    <row r="251454" s="12" customFormat="1" x14ac:dyDescent="0.25"/>
    <row r="251455" s="12" customFormat="1" x14ac:dyDescent="0.25"/>
    <row r="251456" s="12" customFormat="1" x14ac:dyDescent="0.25"/>
    <row r="251457" s="12" customFormat="1" x14ac:dyDescent="0.25"/>
    <row r="251458" s="12" customFormat="1" x14ac:dyDescent="0.25"/>
    <row r="251459" s="12" customFormat="1" x14ac:dyDescent="0.25"/>
    <row r="251460" s="12" customFormat="1" x14ac:dyDescent="0.25"/>
    <row r="251461" s="12" customFormat="1" x14ac:dyDescent="0.25"/>
    <row r="251462" s="12" customFormat="1" x14ac:dyDescent="0.25"/>
    <row r="251463" s="12" customFormat="1" x14ac:dyDescent="0.25"/>
    <row r="251464" s="12" customFormat="1" x14ac:dyDescent="0.25"/>
    <row r="251465" s="12" customFormat="1" x14ac:dyDescent="0.25"/>
    <row r="251466" s="12" customFormat="1" x14ac:dyDescent="0.25"/>
    <row r="251467" s="12" customFormat="1" x14ac:dyDescent="0.25"/>
    <row r="251468" s="12" customFormat="1" x14ac:dyDescent="0.25"/>
    <row r="251469" s="12" customFormat="1" x14ac:dyDescent="0.25"/>
    <row r="251470" s="12" customFormat="1" x14ac:dyDescent="0.25"/>
    <row r="251471" s="12" customFormat="1" x14ac:dyDescent="0.25"/>
    <row r="251472" s="12" customFormat="1" x14ac:dyDescent="0.25"/>
    <row r="251473" s="12" customFormat="1" x14ac:dyDescent="0.25"/>
    <row r="251474" s="12" customFormat="1" x14ac:dyDescent="0.25"/>
    <row r="251475" s="12" customFormat="1" x14ac:dyDescent="0.25"/>
    <row r="251476" s="12" customFormat="1" x14ac:dyDescent="0.25"/>
    <row r="251477" s="12" customFormat="1" x14ac:dyDescent="0.25"/>
    <row r="251478" s="12" customFormat="1" x14ac:dyDescent="0.25"/>
    <row r="251479" s="12" customFormat="1" x14ac:dyDescent="0.25"/>
    <row r="251480" s="12" customFormat="1" x14ac:dyDescent="0.25"/>
    <row r="251481" s="12" customFormat="1" x14ac:dyDescent="0.25"/>
    <row r="251482" s="12" customFormat="1" x14ac:dyDescent="0.25"/>
    <row r="251483" s="12" customFormat="1" x14ac:dyDescent="0.25"/>
    <row r="251484" s="12" customFormat="1" x14ac:dyDescent="0.25"/>
    <row r="251485" s="12" customFormat="1" x14ac:dyDescent="0.25"/>
    <row r="251486" s="12" customFormat="1" x14ac:dyDescent="0.25"/>
    <row r="251487" s="12" customFormat="1" x14ac:dyDescent="0.25"/>
    <row r="251488" s="12" customFormat="1" x14ac:dyDescent="0.25"/>
    <row r="251489" s="12" customFormat="1" x14ac:dyDescent="0.25"/>
    <row r="251490" s="12" customFormat="1" x14ac:dyDescent="0.25"/>
    <row r="251491" s="12" customFormat="1" x14ac:dyDescent="0.25"/>
    <row r="251492" s="12" customFormat="1" x14ac:dyDescent="0.25"/>
    <row r="251493" s="12" customFormat="1" x14ac:dyDescent="0.25"/>
    <row r="251494" s="12" customFormat="1" x14ac:dyDescent="0.25"/>
    <row r="251495" s="12" customFormat="1" x14ac:dyDescent="0.25"/>
    <row r="251496" s="12" customFormat="1" x14ac:dyDescent="0.25"/>
    <row r="251497" s="12" customFormat="1" x14ac:dyDescent="0.25"/>
    <row r="251498" s="12" customFormat="1" x14ac:dyDescent="0.25"/>
    <row r="251499" s="12" customFormat="1" x14ac:dyDescent="0.25"/>
    <row r="251500" s="12" customFormat="1" x14ac:dyDescent="0.25"/>
    <row r="251501" s="12" customFormat="1" x14ac:dyDescent="0.25"/>
    <row r="251502" s="12" customFormat="1" x14ac:dyDescent="0.25"/>
    <row r="251503" s="12" customFormat="1" x14ac:dyDescent="0.25"/>
    <row r="251504" s="12" customFormat="1" x14ac:dyDescent="0.25"/>
    <row r="251505" s="12" customFormat="1" x14ac:dyDescent="0.25"/>
    <row r="251506" s="12" customFormat="1" x14ac:dyDescent="0.25"/>
    <row r="251507" s="12" customFormat="1" x14ac:dyDescent="0.25"/>
    <row r="251508" s="12" customFormat="1" x14ac:dyDescent="0.25"/>
    <row r="251509" s="12" customFormat="1" x14ac:dyDescent="0.25"/>
    <row r="251510" s="12" customFormat="1" x14ac:dyDescent="0.25"/>
    <row r="251511" s="12" customFormat="1" x14ac:dyDescent="0.25"/>
    <row r="251512" s="12" customFormat="1" x14ac:dyDescent="0.25"/>
    <row r="251513" s="12" customFormat="1" x14ac:dyDescent="0.25"/>
    <row r="251514" s="12" customFormat="1" x14ac:dyDescent="0.25"/>
    <row r="251515" s="12" customFormat="1" x14ac:dyDescent="0.25"/>
    <row r="251516" s="12" customFormat="1" x14ac:dyDescent="0.25"/>
    <row r="251517" s="12" customFormat="1" x14ac:dyDescent="0.25"/>
    <row r="251518" s="12" customFormat="1" x14ac:dyDescent="0.25"/>
    <row r="251519" s="12" customFormat="1" x14ac:dyDescent="0.25"/>
    <row r="251520" s="12" customFormat="1" x14ac:dyDescent="0.25"/>
    <row r="251521" s="12" customFormat="1" x14ac:dyDescent="0.25"/>
    <row r="251522" s="12" customFormat="1" x14ac:dyDescent="0.25"/>
    <row r="251523" s="12" customFormat="1" x14ac:dyDescent="0.25"/>
    <row r="251524" s="12" customFormat="1" x14ac:dyDescent="0.25"/>
    <row r="251525" s="12" customFormat="1" x14ac:dyDescent="0.25"/>
    <row r="251526" s="12" customFormat="1" x14ac:dyDescent="0.25"/>
    <row r="251527" s="12" customFormat="1" x14ac:dyDescent="0.25"/>
    <row r="251528" s="12" customFormat="1" x14ac:dyDescent="0.25"/>
    <row r="251529" s="12" customFormat="1" x14ac:dyDescent="0.25"/>
    <row r="251530" s="12" customFormat="1" x14ac:dyDescent="0.25"/>
    <row r="251531" s="12" customFormat="1" x14ac:dyDescent="0.25"/>
    <row r="251532" s="12" customFormat="1" x14ac:dyDescent="0.25"/>
    <row r="251533" s="12" customFormat="1" x14ac:dyDescent="0.25"/>
    <row r="251534" s="12" customFormat="1" x14ac:dyDescent="0.25"/>
    <row r="251535" s="12" customFormat="1" x14ac:dyDescent="0.25"/>
    <row r="251536" s="12" customFormat="1" x14ac:dyDescent="0.25"/>
    <row r="251537" s="12" customFormat="1" x14ac:dyDescent="0.25"/>
    <row r="251538" s="12" customFormat="1" x14ac:dyDescent="0.25"/>
    <row r="251539" s="12" customFormat="1" x14ac:dyDescent="0.25"/>
    <row r="251540" s="12" customFormat="1" x14ac:dyDescent="0.25"/>
    <row r="251541" s="12" customFormat="1" x14ac:dyDescent="0.25"/>
    <row r="251542" s="12" customFormat="1" x14ac:dyDescent="0.25"/>
    <row r="251543" s="12" customFormat="1" x14ac:dyDescent="0.25"/>
    <row r="251544" s="12" customFormat="1" x14ac:dyDescent="0.25"/>
    <row r="251545" s="12" customFormat="1" x14ac:dyDescent="0.25"/>
    <row r="251546" s="12" customFormat="1" x14ac:dyDescent="0.25"/>
    <row r="251547" s="12" customFormat="1" x14ac:dyDescent="0.25"/>
    <row r="251548" s="12" customFormat="1" x14ac:dyDescent="0.25"/>
    <row r="251549" s="12" customFormat="1" x14ac:dyDescent="0.25"/>
    <row r="251550" s="12" customFormat="1" x14ac:dyDescent="0.25"/>
    <row r="251551" s="12" customFormat="1" x14ac:dyDescent="0.25"/>
    <row r="251552" s="12" customFormat="1" x14ac:dyDescent="0.25"/>
    <row r="251553" s="12" customFormat="1" x14ac:dyDescent="0.25"/>
    <row r="251554" s="12" customFormat="1" x14ac:dyDescent="0.25"/>
    <row r="251555" s="12" customFormat="1" x14ac:dyDescent="0.25"/>
    <row r="251556" s="12" customFormat="1" x14ac:dyDescent="0.25"/>
    <row r="251557" s="12" customFormat="1" x14ac:dyDescent="0.25"/>
    <row r="251558" s="12" customFormat="1" x14ac:dyDescent="0.25"/>
    <row r="251559" s="12" customFormat="1" x14ac:dyDescent="0.25"/>
    <row r="251560" s="12" customFormat="1" x14ac:dyDescent="0.25"/>
    <row r="251561" s="12" customFormat="1" x14ac:dyDescent="0.25"/>
    <row r="251562" s="12" customFormat="1" x14ac:dyDescent="0.25"/>
    <row r="251563" s="12" customFormat="1" x14ac:dyDescent="0.25"/>
    <row r="251564" s="12" customFormat="1" x14ac:dyDescent="0.25"/>
    <row r="251565" s="12" customFormat="1" x14ac:dyDescent="0.25"/>
    <row r="251566" s="12" customFormat="1" x14ac:dyDescent="0.25"/>
    <row r="251567" s="12" customFormat="1" x14ac:dyDescent="0.25"/>
    <row r="251568" s="12" customFormat="1" x14ac:dyDescent="0.25"/>
    <row r="251569" s="12" customFormat="1" x14ac:dyDescent="0.25"/>
    <row r="251570" s="12" customFormat="1" x14ac:dyDescent="0.25"/>
    <row r="251571" s="12" customFormat="1" x14ac:dyDescent="0.25"/>
    <row r="251572" s="12" customFormat="1" x14ac:dyDescent="0.25"/>
    <row r="251573" s="12" customFormat="1" x14ac:dyDescent="0.25"/>
    <row r="251574" s="12" customFormat="1" x14ac:dyDescent="0.25"/>
    <row r="251575" s="12" customFormat="1" x14ac:dyDescent="0.25"/>
    <row r="251576" s="12" customFormat="1" x14ac:dyDescent="0.25"/>
    <row r="251577" s="12" customFormat="1" x14ac:dyDescent="0.25"/>
    <row r="251578" s="12" customFormat="1" x14ac:dyDescent="0.25"/>
    <row r="251579" s="12" customFormat="1" x14ac:dyDescent="0.25"/>
    <row r="251580" s="12" customFormat="1" x14ac:dyDescent="0.25"/>
    <row r="251581" s="12" customFormat="1" x14ac:dyDescent="0.25"/>
    <row r="251582" s="12" customFormat="1" x14ac:dyDescent="0.25"/>
    <row r="251583" s="12" customFormat="1" x14ac:dyDescent="0.25"/>
    <row r="251584" s="12" customFormat="1" x14ac:dyDescent="0.25"/>
    <row r="251585" s="12" customFormat="1" x14ac:dyDescent="0.25"/>
    <row r="251586" s="12" customFormat="1" x14ac:dyDescent="0.25"/>
    <row r="251587" s="12" customFormat="1" x14ac:dyDescent="0.25"/>
    <row r="251588" s="12" customFormat="1" x14ac:dyDescent="0.25"/>
    <row r="251589" s="12" customFormat="1" x14ac:dyDescent="0.25"/>
    <row r="251590" s="12" customFormat="1" x14ac:dyDescent="0.25"/>
    <row r="251591" s="12" customFormat="1" x14ac:dyDescent="0.25"/>
    <row r="251592" s="12" customFormat="1" x14ac:dyDescent="0.25"/>
    <row r="251593" s="12" customFormat="1" x14ac:dyDescent="0.25"/>
    <row r="251594" s="12" customFormat="1" x14ac:dyDescent="0.25"/>
    <row r="251595" s="12" customFormat="1" x14ac:dyDescent="0.25"/>
    <row r="251596" s="12" customFormat="1" x14ac:dyDescent="0.25"/>
    <row r="251597" s="12" customFormat="1" x14ac:dyDescent="0.25"/>
    <row r="251598" s="12" customFormat="1" x14ac:dyDescent="0.25"/>
    <row r="251599" s="12" customFormat="1" x14ac:dyDescent="0.25"/>
    <row r="251600" s="12" customFormat="1" x14ac:dyDescent="0.25"/>
    <row r="251601" s="12" customFormat="1" x14ac:dyDescent="0.25"/>
    <row r="251602" s="12" customFormat="1" x14ac:dyDescent="0.25"/>
    <row r="251603" s="12" customFormat="1" x14ac:dyDescent="0.25"/>
    <row r="251604" s="12" customFormat="1" x14ac:dyDescent="0.25"/>
    <row r="251605" s="12" customFormat="1" x14ac:dyDescent="0.25"/>
    <row r="251606" s="12" customFormat="1" x14ac:dyDescent="0.25"/>
    <row r="251607" s="12" customFormat="1" x14ac:dyDescent="0.25"/>
    <row r="251608" s="12" customFormat="1" x14ac:dyDescent="0.25"/>
    <row r="251609" s="12" customFormat="1" x14ac:dyDescent="0.25"/>
    <row r="251610" s="12" customFormat="1" x14ac:dyDescent="0.25"/>
    <row r="251611" s="12" customFormat="1" x14ac:dyDescent="0.25"/>
    <row r="251612" s="12" customFormat="1" x14ac:dyDescent="0.25"/>
    <row r="251613" s="12" customFormat="1" x14ac:dyDescent="0.25"/>
    <row r="251614" s="12" customFormat="1" x14ac:dyDescent="0.25"/>
    <row r="251615" s="12" customFormat="1" x14ac:dyDescent="0.25"/>
    <row r="251616" s="12" customFormat="1" x14ac:dyDescent="0.25"/>
    <row r="251617" s="12" customFormat="1" x14ac:dyDescent="0.25"/>
    <row r="251618" s="12" customFormat="1" x14ac:dyDescent="0.25"/>
    <row r="251619" s="12" customFormat="1" x14ac:dyDescent="0.25"/>
    <row r="251620" s="12" customFormat="1" x14ac:dyDescent="0.25"/>
    <row r="251621" s="12" customFormat="1" x14ac:dyDescent="0.25"/>
    <row r="251622" s="12" customFormat="1" x14ac:dyDescent="0.25"/>
    <row r="251623" s="12" customFormat="1" x14ac:dyDescent="0.25"/>
    <row r="251624" s="12" customFormat="1" x14ac:dyDescent="0.25"/>
    <row r="251625" s="12" customFormat="1" x14ac:dyDescent="0.25"/>
    <row r="251626" s="12" customFormat="1" x14ac:dyDescent="0.25"/>
    <row r="251627" s="12" customFormat="1" x14ac:dyDescent="0.25"/>
    <row r="251628" s="12" customFormat="1" x14ac:dyDescent="0.25"/>
    <row r="251629" s="12" customFormat="1" x14ac:dyDescent="0.25"/>
    <row r="251630" s="12" customFormat="1" x14ac:dyDescent="0.25"/>
    <row r="251631" s="12" customFormat="1" x14ac:dyDescent="0.25"/>
    <row r="251632" s="12" customFormat="1" x14ac:dyDescent="0.25"/>
    <row r="251633" s="12" customFormat="1" x14ac:dyDescent="0.25"/>
    <row r="251634" s="12" customFormat="1" x14ac:dyDescent="0.25"/>
    <row r="251635" s="12" customFormat="1" x14ac:dyDescent="0.25"/>
    <row r="251636" s="12" customFormat="1" x14ac:dyDescent="0.25"/>
    <row r="251637" s="12" customFormat="1" x14ac:dyDescent="0.25"/>
    <row r="251638" s="12" customFormat="1" x14ac:dyDescent="0.25"/>
    <row r="251639" s="12" customFormat="1" x14ac:dyDescent="0.25"/>
    <row r="251640" s="12" customFormat="1" x14ac:dyDescent="0.25"/>
    <row r="251641" s="12" customFormat="1" x14ac:dyDescent="0.25"/>
    <row r="251642" s="12" customFormat="1" x14ac:dyDescent="0.25"/>
    <row r="251643" s="12" customFormat="1" x14ac:dyDescent="0.25"/>
    <row r="251644" s="12" customFormat="1" x14ac:dyDescent="0.25"/>
    <row r="251645" s="12" customFormat="1" x14ac:dyDescent="0.25"/>
    <row r="251646" s="12" customFormat="1" x14ac:dyDescent="0.25"/>
    <row r="251647" s="12" customFormat="1" x14ac:dyDescent="0.25"/>
    <row r="251648" s="12" customFormat="1" x14ac:dyDescent="0.25"/>
    <row r="251649" s="12" customFormat="1" x14ac:dyDescent="0.25"/>
    <row r="251650" s="12" customFormat="1" x14ac:dyDescent="0.25"/>
    <row r="251651" s="12" customFormat="1" x14ac:dyDescent="0.25"/>
    <row r="251652" s="12" customFormat="1" x14ac:dyDescent="0.25"/>
    <row r="251653" s="12" customFormat="1" x14ac:dyDescent="0.25"/>
    <row r="251654" s="12" customFormat="1" x14ac:dyDescent="0.25"/>
    <row r="251655" s="12" customFormat="1" x14ac:dyDescent="0.25"/>
    <row r="251656" s="12" customFormat="1" x14ac:dyDescent="0.25"/>
    <row r="251657" s="12" customFormat="1" x14ac:dyDescent="0.25"/>
    <row r="251658" s="12" customFormat="1" x14ac:dyDescent="0.25"/>
    <row r="251659" s="12" customFormat="1" x14ac:dyDescent="0.25"/>
    <row r="251660" s="12" customFormat="1" x14ac:dyDescent="0.25"/>
    <row r="251661" s="12" customFormat="1" x14ac:dyDescent="0.25"/>
    <row r="251662" s="12" customFormat="1" x14ac:dyDescent="0.25"/>
    <row r="251663" s="12" customFormat="1" x14ac:dyDescent="0.25"/>
    <row r="251664" s="12" customFormat="1" x14ac:dyDescent="0.25"/>
    <row r="251665" s="12" customFormat="1" x14ac:dyDescent="0.25"/>
    <row r="251666" s="12" customFormat="1" x14ac:dyDescent="0.25"/>
    <row r="251667" s="12" customFormat="1" x14ac:dyDescent="0.25"/>
    <row r="251668" s="12" customFormat="1" x14ac:dyDescent="0.25"/>
    <row r="251669" s="12" customFormat="1" x14ac:dyDescent="0.25"/>
    <row r="251670" s="12" customFormat="1" x14ac:dyDescent="0.25"/>
    <row r="251671" s="12" customFormat="1" x14ac:dyDescent="0.25"/>
    <row r="251672" s="12" customFormat="1" x14ac:dyDescent="0.25"/>
    <row r="251673" s="12" customFormat="1" x14ac:dyDescent="0.25"/>
    <row r="251674" s="12" customFormat="1" x14ac:dyDescent="0.25"/>
    <row r="251675" s="12" customFormat="1" x14ac:dyDescent="0.25"/>
    <row r="251676" s="12" customFormat="1" x14ac:dyDescent="0.25"/>
    <row r="251677" s="12" customFormat="1" x14ac:dyDescent="0.25"/>
    <row r="251678" s="12" customFormat="1" x14ac:dyDescent="0.25"/>
    <row r="251679" s="12" customFormat="1" x14ac:dyDescent="0.25"/>
    <row r="251680" s="12" customFormat="1" x14ac:dyDescent="0.25"/>
    <row r="251681" s="12" customFormat="1" x14ac:dyDescent="0.25"/>
    <row r="251682" s="12" customFormat="1" x14ac:dyDescent="0.25"/>
    <row r="251683" s="12" customFormat="1" x14ac:dyDescent="0.25"/>
    <row r="251684" s="12" customFormat="1" x14ac:dyDescent="0.25"/>
    <row r="251685" s="12" customFormat="1" x14ac:dyDescent="0.25"/>
    <row r="251686" s="12" customFormat="1" x14ac:dyDescent="0.25"/>
    <row r="251687" s="12" customFormat="1" x14ac:dyDescent="0.25"/>
    <row r="251688" s="12" customFormat="1" x14ac:dyDescent="0.25"/>
    <row r="251689" s="12" customFormat="1" x14ac:dyDescent="0.25"/>
    <row r="251690" s="12" customFormat="1" x14ac:dyDescent="0.25"/>
    <row r="251691" s="12" customFormat="1" x14ac:dyDescent="0.25"/>
    <row r="251692" s="12" customFormat="1" x14ac:dyDescent="0.25"/>
    <row r="251693" s="12" customFormat="1" x14ac:dyDescent="0.25"/>
    <row r="251694" s="12" customFormat="1" x14ac:dyDescent="0.25"/>
    <row r="251695" s="12" customFormat="1" x14ac:dyDescent="0.25"/>
    <row r="251696" s="12" customFormat="1" x14ac:dyDescent="0.25"/>
    <row r="251697" s="12" customFormat="1" x14ac:dyDescent="0.25"/>
    <row r="251698" s="12" customFormat="1" x14ac:dyDescent="0.25"/>
    <row r="251699" s="12" customFormat="1" x14ac:dyDescent="0.25"/>
    <row r="251700" s="12" customFormat="1" x14ac:dyDescent="0.25"/>
    <row r="251701" s="12" customFormat="1" x14ac:dyDescent="0.25"/>
    <row r="251702" s="12" customFormat="1" x14ac:dyDescent="0.25"/>
    <row r="251703" s="12" customFormat="1" x14ac:dyDescent="0.25"/>
    <row r="251704" s="12" customFormat="1" x14ac:dyDescent="0.25"/>
    <row r="251705" s="12" customFormat="1" x14ac:dyDescent="0.25"/>
    <row r="251706" s="12" customFormat="1" x14ac:dyDescent="0.25"/>
    <row r="251707" s="12" customFormat="1" x14ac:dyDescent="0.25"/>
    <row r="251708" s="12" customFormat="1" x14ac:dyDescent="0.25"/>
    <row r="251709" s="12" customFormat="1" x14ac:dyDescent="0.25"/>
    <row r="251710" s="12" customFormat="1" x14ac:dyDescent="0.25"/>
    <row r="251711" s="12" customFormat="1" x14ac:dyDescent="0.25"/>
    <row r="251712" s="12" customFormat="1" x14ac:dyDescent="0.25"/>
    <row r="251713" s="12" customFormat="1" x14ac:dyDescent="0.25"/>
    <row r="251714" s="12" customFormat="1" x14ac:dyDescent="0.25"/>
    <row r="251715" s="12" customFormat="1" x14ac:dyDescent="0.25"/>
    <row r="251716" s="12" customFormat="1" x14ac:dyDescent="0.25"/>
    <row r="251717" s="12" customFormat="1" x14ac:dyDescent="0.25"/>
    <row r="251718" s="12" customFormat="1" x14ac:dyDescent="0.25"/>
    <row r="251719" s="12" customFormat="1" x14ac:dyDescent="0.25"/>
    <row r="251720" s="12" customFormat="1" x14ac:dyDescent="0.25"/>
    <row r="251721" s="12" customFormat="1" x14ac:dyDescent="0.25"/>
    <row r="251722" s="12" customFormat="1" x14ac:dyDescent="0.25"/>
    <row r="251723" s="12" customFormat="1" x14ac:dyDescent="0.25"/>
    <row r="251724" s="12" customFormat="1" x14ac:dyDescent="0.25"/>
    <row r="251725" s="12" customFormat="1" x14ac:dyDescent="0.25"/>
    <row r="251726" s="12" customFormat="1" x14ac:dyDescent="0.25"/>
    <row r="251727" s="12" customFormat="1" x14ac:dyDescent="0.25"/>
    <row r="251728" s="12" customFormat="1" x14ac:dyDescent="0.25"/>
    <row r="251729" s="12" customFormat="1" x14ac:dyDescent="0.25"/>
    <row r="251730" s="12" customFormat="1" x14ac:dyDescent="0.25"/>
    <row r="251731" s="12" customFormat="1" x14ac:dyDescent="0.25"/>
    <row r="251732" s="12" customFormat="1" x14ac:dyDescent="0.25"/>
    <row r="251733" s="12" customFormat="1" x14ac:dyDescent="0.25"/>
    <row r="251734" s="12" customFormat="1" x14ac:dyDescent="0.25"/>
    <row r="251735" s="12" customFormat="1" x14ac:dyDescent="0.25"/>
    <row r="251736" s="12" customFormat="1" x14ac:dyDescent="0.25"/>
    <row r="251737" s="12" customFormat="1" x14ac:dyDescent="0.25"/>
    <row r="251738" s="12" customFormat="1" x14ac:dyDescent="0.25"/>
    <row r="251739" s="12" customFormat="1" x14ac:dyDescent="0.25"/>
    <row r="251740" s="12" customFormat="1" x14ac:dyDescent="0.25"/>
    <row r="251741" s="12" customFormat="1" x14ac:dyDescent="0.25"/>
    <row r="251742" s="12" customFormat="1" x14ac:dyDescent="0.25"/>
    <row r="251743" s="12" customFormat="1" x14ac:dyDescent="0.25"/>
    <row r="251744" s="12" customFormat="1" x14ac:dyDescent="0.25"/>
    <row r="251745" s="12" customFormat="1" x14ac:dyDescent="0.25"/>
    <row r="251746" s="12" customFormat="1" x14ac:dyDescent="0.25"/>
    <row r="251747" s="12" customFormat="1" x14ac:dyDescent="0.25"/>
    <row r="251748" s="12" customFormat="1" x14ac:dyDescent="0.25"/>
    <row r="251749" s="12" customFormat="1" x14ac:dyDescent="0.25"/>
    <row r="251750" s="12" customFormat="1" x14ac:dyDescent="0.25"/>
    <row r="251751" s="12" customFormat="1" x14ac:dyDescent="0.25"/>
    <row r="251752" s="12" customFormat="1" x14ac:dyDescent="0.25"/>
    <row r="251753" s="12" customFormat="1" x14ac:dyDescent="0.25"/>
    <row r="251754" s="12" customFormat="1" x14ac:dyDescent="0.25"/>
    <row r="251755" s="12" customFormat="1" x14ac:dyDescent="0.25"/>
    <row r="251756" s="12" customFormat="1" x14ac:dyDescent="0.25"/>
    <row r="251757" s="12" customFormat="1" x14ac:dyDescent="0.25"/>
    <row r="251758" s="12" customFormat="1" x14ac:dyDescent="0.25"/>
    <row r="251759" s="12" customFormat="1" x14ac:dyDescent="0.25"/>
    <row r="251760" s="12" customFormat="1" x14ac:dyDescent="0.25"/>
    <row r="251761" s="12" customFormat="1" x14ac:dyDescent="0.25"/>
    <row r="251762" s="12" customFormat="1" x14ac:dyDescent="0.25"/>
    <row r="251763" s="12" customFormat="1" x14ac:dyDescent="0.25"/>
    <row r="251764" s="12" customFormat="1" x14ac:dyDescent="0.25"/>
    <row r="251765" s="12" customFormat="1" x14ac:dyDescent="0.25"/>
    <row r="251766" s="12" customFormat="1" x14ac:dyDescent="0.25"/>
    <row r="251767" s="12" customFormat="1" x14ac:dyDescent="0.25"/>
    <row r="251768" s="12" customFormat="1" x14ac:dyDescent="0.25"/>
    <row r="251769" s="12" customFormat="1" x14ac:dyDescent="0.25"/>
    <row r="251770" s="12" customFormat="1" x14ac:dyDescent="0.25"/>
    <row r="251771" s="12" customFormat="1" x14ac:dyDescent="0.25"/>
    <row r="251772" s="12" customFormat="1" x14ac:dyDescent="0.25"/>
    <row r="251773" s="12" customFormat="1" x14ac:dyDescent="0.25"/>
    <row r="251774" s="12" customFormat="1" x14ac:dyDescent="0.25"/>
    <row r="251775" s="12" customFormat="1" x14ac:dyDescent="0.25"/>
    <row r="251776" s="12" customFormat="1" x14ac:dyDescent="0.25"/>
    <row r="251777" s="12" customFormat="1" x14ac:dyDescent="0.25"/>
    <row r="251778" s="12" customFormat="1" x14ac:dyDescent="0.25"/>
    <row r="251779" s="12" customFormat="1" x14ac:dyDescent="0.25"/>
    <row r="251780" s="12" customFormat="1" x14ac:dyDescent="0.25"/>
    <row r="251781" s="12" customFormat="1" x14ac:dyDescent="0.25"/>
    <row r="251782" s="12" customFormat="1" x14ac:dyDescent="0.25"/>
    <row r="251783" s="12" customFormat="1" x14ac:dyDescent="0.25"/>
    <row r="251784" s="12" customFormat="1" x14ac:dyDescent="0.25"/>
    <row r="251785" s="12" customFormat="1" x14ac:dyDescent="0.25"/>
    <row r="251786" s="12" customFormat="1" x14ac:dyDescent="0.25"/>
    <row r="251787" s="12" customFormat="1" x14ac:dyDescent="0.25"/>
    <row r="251788" s="12" customFormat="1" x14ac:dyDescent="0.25"/>
    <row r="251789" s="12" customFormat="1" x14ac:dyDescent="0.25"/>
    <row r="251790" s="12" customFormat="1" x14ac:dyDescent="0.25"/>
    <row r="251791" s="12" customFormat="1" x14ac:dyDescent="0.25"/>
    <row r="251792" s="12" customFormat="1" x14ac:dyDescent="0.25"/>
    <row r="251793" s="12" customFormat="1" x14ac:dyDescent="0.25"/>
    <row r="251794" s="12" customFormat="1" x14ac:dyDescent="0.25"/>
    <row r="251795" s="12" customFormat="1" x14ac:dyDescent="0.25"/>
    <row r="251796" s="12" customFormat="1" x14ac:dyDescent="0.25"/>
    <row r="251797" s="12" customFormat="1" x14ac:dyDescent="0.25"/>
    <row r="251798" s="12" customFormat="1" x14ac:dyDescent="0.25"/>
    <row r="251799" s="12" customFormat="1" x14ac:dyDescent="0.25"/>
    <row r="251800" s="12" customFormat="1" x14ac:dyDescent="0.25"/>
    <row r="251801" s="12" customFormat="1" x14ac:dyDescent="0.25"/>
    <row r="251802" s="12" customFormat="1" x14ac:dyDescent="0.25"/>
    <row r="251803" s="12" customFormat="1" x14ac:dyDescent="0.25"/>
    <row r="251804" s="12" customFormat="1" x14ac:dyDescent="0.25"/>
    <row r="251805" s="12" customFormat="1" x14ac:dyDescent="0.25"/>
    <row r="251806" s="12" customFormat="1" x14ac:dyDescent="0.25"/>
    <row r="251807" s="12" customFormat="1" x14ac:dyDescent="0.25"/>
    <row r="251808" s="12" customFormat="1" x14ac:dyDescent="0.25"/>
    <row r="251809" s="12" customFormat="1" x14ac:dyDescent="0.25"/>
    <row r="251810" s="12" customFormat="1" x14ac:dyDescent="0.25"/>
    <row r="251811" s="12" customFormat="1" x14ac:dyDescent="0.25"/>
    <row r="251812" s="12" customFormat="1" x14ac:dyDescent="0.25"/>
    <row r="251813" s="12" customFormat="1" x14ac:dyDescent="0.25"/>
    <row r="251814" s="12" customFormat="1" x14ac:dyDescent="0.25"/>
    <row r="251815" s="12" customFormat="1" x14ac:dyDescent="0.25"/>
    <row r="251816" s="12" customFormat="1" x14ac:dyDescent="0.25"/>
    <row r="251817" s="12" customFormat="1" x14ac:dyDescent="0.25"/>
    <row r="251818" s="12" customFormat="1" x14ac:dyDescent="0.25"/>
    <row r="251819" s="12" customFormat="1" x14ac:dyDescent="0.25"/>
    <row r="251820" s="12" customFormat="1" x14ac:dyDescent="0.25"/>
    <row r="251821" s="12" customFormat="1" x14ac:dyDescent="0.25"/>
    <row r="251822" s="12" customFormat="1" x14ac:dyDescent="0.25"/>
    <row r="251823" s="12" customFormat="1" x14ac:dyDescent="0.25"/>
    <row r="251824" s="12" customFormat="1" x14ac:dyDescent="0.25"/>
    <row r="251825" s="12" customFormat="1" x14ac:dyDescent="0.25"/>
    <row r="251826" s="12" customFormat="1" x14ac:dyDescent="0.25"/>
    <row r="251827" s="12" customFormat="1" x14ac:dyDescent="0.25"/>
    <row r="251828" s="12" customFormat="1" x14ac:dyDescent="0.25"/>
    <row r="251829" s="12" customFormat="1" x14ac:dyDescent="0.25"/>
    <row r="251830" s="12" customFormat="1" x14ac:dyDescent="0.25"/>
    <row r="251831" s="12" customFormat="1" x14ac:dyDescent="0.25"/>
    <row r="251832" s="12" customFormat="1" x14ac:dyDescent="0.25"/>
    <row r="251833" s="12" customFormat="1" x14ac:dyDescent="0.25"/>
    <row r="251834" s="12" customFormat="1" x14ac:dyDescent="0.25"/>
    <row r="251835" s="12" customFormat="1" x14ac:dyDescent="0.25"/>
    <row r="251836" s="12" customFormat="1" x14ac:dyDescent="0.25"/>
    <row r="251837" s="12" customFormat="1" x14ac:dyDescent="0.25"/>
    <row r="251838" s="12" customFormat="1" x14ac:dyDescent="0.25"/>
    <row r="251839" s="12" customFormat="1" x14ac:dyDescent="0.25"/>
    <row r="251840" s="12" customFormat="1" x14ac:dyDescent="0.25"/>
    <row r="251841" s="12" customFormat="1" x14ac:dyDescent="0.25"/>
    <row r="251842" s="12" customFormat="1" x14ac:dyDescent="0.25"/>
    <row r="251843" s="12" customFormat="1" x14ac:dyDescent="0.25"/>
    <row r="251844" s="12" customFormat="1" x14ac:dyDescent="0.25"/>
    <row r="251845" s="12" customFormat="1" x14ac:dyDescent="0.25"/>
    <row r="251846" s="12" customFormat="1" x14ac:dyDescent="0.25"/>
    <row r="251847" s="12" customFormat="1" x14ac:dyDescent="0.25"/>
    <row r="251848" s="12" customFormat="1" x14ac:dyDescent="0.25"/>
    <row r="251849" s="12" customFormat="1" x14ac:dyDescent="0.25"/>
    <row r="251850" s="12" customFormat="1" x14ac:dyDescent="0.25"/>
    <row r="251851" s="12" customFormat="1" x14ac:dyDescent="0.25"/>
    <row r="251852" s="12" customFormat="1" x14ac:dyDescent="0.25"/>
    <row r="251853" s="12" customFormat="1" x14ac:dyDescent="0.25"/>
    <row r="251854" s="12" customFormat="1" x14ac:dyDescent="0.25"/>
    <row r="251855" s="12" customFormat="1" x14ac:dyDescent="0.25"/>
    <row r="251856" s="12" customFormat="1" x14ac:dyDescent="0.25"/>
    <row r="251857" s="12" customFormat="1" x14ac:dyDescent="0.25"/>
    <row r="251858" s="12" customFormat="1" x14ac:dyDescent="0.25"/>
    <row r="251859" s="12" customFormat="1" x14ac:dyDescent="0.25"/>
    <row r="251860" s="12" customFormat="1" x14ac:dyDescent="0.25"/>
    <row r="251861" s="12" customFormat="1" x14ac:dyDescent="0.25"/>
    <row r="251862" s="12" customFormat="1" x14ac:dyDescent="0.25"/>
    <row r="251863" s="12" customFormat="1" x14ac:dyDescent="0.25"/>
    <row r="251864" s="12" customFormat="1" x14ac:dyDescent="0.25"/>
    <row r="251865" s="12" customFormat="1" x14ac:dyDescent="0.25"/>
    <row r="251866" s="12" customFormat="1" x14ac:dyDescent="0.25"/>
    <row r="251867" s="12" customFormat="1" x14ac:dyDescent="0.25"/>
    <row r="251868" s="12" customFormat="1" x14ac:dyDescent="0.25"/>
    <row r="251869" s="12" customFormat="1" x14ac:dyDescent="0.25"/>
    <row r="251870" s="12" customFormat="1" x14ac:dyDescent="0.25"/>
    <row r="251871" s="12" customFormat="1" x14ac:dyDescent="0.25"/>
    <row r="251872" s="12" customFormat="1" x14ac:dyDescent="0.25"/>
    <row r="251873" s="12" customFormat="1" x14ac:dyDescent="0.25"/>
    <row r="251874" s="12" customFormat="1" x14ac:dyDescent="0.25"/>
    <row r="251875" s="12" customFormat="1" x14ac:dyDescent="0.25"/>
    <row r="251876" s="12" customFormat="1" x14ac:dyDescent="0.25"/>
    <row r="251877" s="12" customFormat="1" x14ac:dyDescent="0.25"/>
    <row r="251878" s="12" customFormat="1" x14ac:dyDescent="0.25"/>
    <row r="251879" s="12" customFormat="1" x14ac:dyDescent="0.25"/>
    <row r="251880" s="12" customFormat="1" x14ac:dyDescent="0.25"/>
    <row r="251881" s="12" customFormat="1" x14ac:dyDescent="0.25"/>
    <row r="251882" s="12" customFormat="1" x14ac:dyDescent="0.25"/>
    <row r="251883" s="12" customFormat="1" x14ac:dyDescent="0.25"/>
    <row r="251884" s="12" customFormat="1" x14ac:dyDescent="0.25"/>
    <row r="251885" s="12" customFormat="1" x14ac:dyDescent="0.25"/>
    <row r="251886" s="12" customFormat="1" x14ac:dyDescent="0.25"/>
    <row r="251887" s="12" customFormat="1" x14ac:dyDescent="0.25"/>
    <row r="251888" s="12" customFormat="1" x14ac:dyDescent="0.25"/>
    <row r="251889" s="12" customFormat="1" x14ac:dyDescent="0.25"/>
    <row r="251890" s="12" customFormat="1" x14ac:dyDescent="0.25"/>
    <row r="251891" s="12" customFormat="1" x14ac:dyDescent="0.25"/>
    <row r="251892" s="12" customFormat="1" x14ac:dyDescent="0.25"/>
    <row r="251893" s="12" customFormat="1" x14ac:dyDescent="0.25"/>
    <row r="251894" s="12" customFormat="1" x14ac:dyDescent="0.25"/>
    <row r="251895" s="12" customFormat="1" x14ac:dyDescent="0.25"/>
    <row r="251896" s="12" customFormat="1" x14ac:dyDescent="0.25"/>
    <row r="251897" s="12" customFormat="1" x14ac:dyDescent="0.25"/>
    <row r="251898" s="12" customFormat="1" x14ac:dyDescent="0.25"/>
    <row r="251899" s="12" customFormat="1" x14ac:dyDescent="0.25"/>
    <row r="251900" s="12" customFormat="1" x14ac:dyDescent="0.25"/>
    <row r="251901" s="12" customFormat="1" x14ac:dyDescent="0.25"/>
    <row r="251902" s="12" customFormat="1" x14ac:dyDescent="0.25"/>
    <row r="251903" s="12" customFormat="1" x14ac:dyDescent="0.25"/>
    <row r="251904" s="12" customFormat="1" x14ac:dyDescent="0.25"/>
    <row r="251905" s="12" customFormat="1" x14ac:dyDescent="0.25"/>
    <row r="251906" s="12" customFormat="1" x14ac:dyDescent="0.25"/>
    <row r="251907" s="12" customFormat="1" x14ac:dyDescent="0.25"/>
    <row r="251908" s="12" customFormat="1" x14ac:dyDescent="0.25"/>
    <row r="251909" s="12" customFormat="1" x14ac:dyDescent="0.25"/>
    <row r="251910" s="12" customFormat="1" x14ac:dyDescent="0.25"/>
    <row r="251911" s="12" customFormat="1" x14ac:dyDescent="0.25"/>
    <row r="251912" s="12" customFormat="1" x14ac:dyDescent="0.25"/>
    <row r="251913" s="12" customFormat="1" x14ac:dyDescent="0.25"/>
    <row r="251914" s="12" customFormat="1" x14ac:dyDescent="0.25"/>
    <row r="251915" s="12" customFormat="1" x14ac:dyDescent="0.25"/>
    <row r="251916" s="12" customFormat="1" x14ac:dyDescent="0.25"/>
    <row r="251917" s="12" customFormat="1" x14ac:dyDescent="0.25"/>
    <row r="251918" s="12" customFormat="1" x14ac:dyDescent="0.25"/>
    <row r="251919" s="12" customFormat="1" x14ac:dyDescent="0.25"/>
    <row r="251920" s="12" customFormat="1" x14ac:dyDescent="0.25"/>
    <row r="251921" s="12" customFormat="1" x14ac:dyDescent="0.25"/>
    <row r="251922" s="12" customFormat="1" x14ac:dyDescent="0.25"/>
    <row r="251923" s="12" customFormat="1" x14ac:dyDescent="0.25"/>
    <row r="251924" s="12" customFormat="1" x14ac:dyDescent="0.25"/>
    <row r="251925" s="12" customFormat="1" x14ac:dyDescent="0.25"/>
    <row r="251926" s="12" customFormat="1" x14ac:dyDescent="0.25"/>
    <row r="251927" s="12" customFormat="1" x14ac:dyDescent="0.25"/>
    <row r="251928" s="12" customFormat="1" x14ac:dyDescent="0.25"/>
    <row r="251929" s="12" customFormat="1" x14ac:dyDescent="0.25"/>
    <row r="251930" s="12" customFormat="1" x14ac:dyDescent="0.25"/>
    <row r="251931" s="12" customFormat="1" x14ac:dyDescent="0.25"/>
    <row r="251932" s="12" customFormat="1" x14ac:dyDescent="0.25"/>
    <row r="251933" s="12" customFormat="1" x14ac:dyDescent="0.25"/>
    <row r="251934" s="12" customFormat="1" x14ac:dyDescent="0.25"/>
    <row r="251935" s="12" customFormat="1" x14ac:dyDescent="0.25"/>
    <row r="251936" s="12" customFormat="1" x14ac:dyDescent="0.25"/>
    <row r="251937" s="12" customFormat="1" x14ac:dyDescent="0.25"/>
    <row r="251938" s="12" customFormat="1" x14ac:dyDescent="0.25"/>
    <row r="251939" s="12" customFormat="1" x14ac:dyDescent="0.25"/>
    <row r="251940" s="12" customFormat="1" x14ac:dyDescent="0.25"/>
    <row r="251941" s="12" customFormat="1" x14ac:dyDescent="0.25"/>
    <row r="251942" s="12" customFormat="1" x14ac:dyDescent="0.25"/>
    <row r="251943" s="12" customFormat="1" x14ac:dyDescent="0.25"/>
    <row r="251944" s="12" customFormat="1" x14ac:dyDescent="0.25"/>
    <row r="251945" s="12" customFormat="1" x14ac:dyDescent="0.25"/>
    <row r="251946" s="12" customFormat="1" x14ac:dyDescent="0.25"/>
    <row r="251947" s="12" customFormat="1" x14ac:dyDescent="0.25"/>
    <row r="251948" s="12" customFormat="1" x14ac:dyDescent="0.25"/>
    <row r="251949" s="12" customFormat="1" x14ac:dyDescent="0.25"/>
    <row r="251950" s="12" customFormat="1" x14ac:dyDescent="0.25"/>
    <row r="251951" s="12" customFormat="1" x14ac:dyDescent="0.25"/>
    <row r="251952" s="12" customFormat="1" x14ac:dyDescent="0.25"/>
    <row r="251953" s="12" customFormat="1" x14ac:dyDescent="0.25"/>
    <row r="251954" s="12" customFormat="1" x14ac:dyDescent="0.25"/>
    <row r="251955" s="12" customFormat="1" x14ac:dyDescent="0.25"/>
    <row r="251956" s="12" customFormat="1" x14ac:dyDescent="0.25"/>
    <row r="251957" s="12" customFormat="1" x14ac:dyDescent="0.25"/>
    <row r="251958" s="12" customFormat="1" x14ac:dyDescent="0.25"/>
    <row r="251959" s="12" customFormat="1" x14ac:dyDescent="0.25"/>
    <row r="251960" s="12" customFormat="1" x14ac:dyDescent="0.25"/>
    <row r="251961" s="12" customFormat="1" x14ac:dyDescent="0.25"/>
    <row r="251962" s="12" customFormat="1" x14ac:dyDescent="0.25"/>
    <row r="251963" s="12" customFormat="1" x14ac:dyDescent="0.25"/>
    <row r="251964" s="12" customFormat="1" x14ac:dyDescent="0.25"/>
    <row r="251965" s="12" customFormat="1" x14ac:dyDescent="0.25"/>
    <row r="251966" s="12" customFormat="1" x14ac:dyDescent="0.25"/>
    <row r="251967" s="12" customFormat="1" x14ac:dyDescent="0.25"/>
    <row r="251968" s="12" customFormat="1" x14ac:dyDescent="0.25"/>
    <row r="251969" s="12" customFormat="1" x14ac:dyDescent="0.25"/>
    <row r="251970" s="12" customFormat="1" x14ac:dyDescent="0.25"/>
    <row r="251971" s="12" customFormat="1" x14ac:dyDescent="0.25"/>
    <row r="251972" s="12" customFormat="1" x14ac:dyDescent="0.25"/>
    <row r="251973" s="12" customFormat="1" x14ac:dyDescent="0.25"/>
    <row r="251974" s="12" customFormat="1" x14ac:dyDescent="0.25"/>
    <row r="251975" s="12" customFormat="1" x14ac:dyDescent="0.25"/>
    <row r="251976" s="12" customFormat="1" x14ac:dyDescent="0.25"/>
    <row r="251977" s="12" customFormat="1" x14ac:dyDescent="0.25"/>
    <row r="251978" s="12" customFormat="1" x14ac:dyDescent="0.25"/>
    <row r="251979" s="12" customFormat="1" x14ac:dyDescent="0.25"/>
    <row r="251980" s="12" customFormat="1" x14ac:dyDescent="0.25"/>
    <row r="251981" s="12" customFormat="1" x14ac:dyDescent="0.25"/>
    <row r="251982" s="12" customFormat="1" x14ac:dyDescent="0.25"/>
    <row r="251983" s="12" customFormat="1" x14ac:dyDescent="0.25"/>
    <row r="251984" s="12" customFormat="1" x14ac:dyDescent="0.25"/>
    <row r="251985" s="12" customFormat="1" x14ac:dyDescent="0.25"/>
    <row r="251986" s="12" customFormat="1" x14ac:dyDescent="0.25"/>
    <row r="251987" s="12" customFormat="1" x14ac:dyDescent="0.25"/>
    <row r="251988" s="12" customFormat="1" x14ac:dyDescent="0.25"/>
    <row r="251989" s="12" customFormat="1" x14ac:dyDescent="0.25"/>
    <row r="251990" s="12" customFormat="1" x14ac:dyDescent="0.25"/>
    <row r="251991" s="12" customFormat="1" x14ac:dyDescent="0.25"/>
    <row r="251992" s="12" customFormat="1" x14ac:dyDescent="0.25"/>
    <row r="251993" s="12" customFormat="1" x14ac:dyDescent="0.25"/>
    <row r="251994" s="12" customFormat="1" x14ac:dyDescent="0.25"/>
    <row r="251995" s="12" customFormat="1" x14ac:dyDescent="0.25"/>
    <row r="251996" s="12" customFormat="1" x14ac:dyDescent="0.25"/>
    <row r="251997" s="12" customFormat="1" x14ac:dyDescent="0.25"/>
    <row r="251998" s="12" customFormat="1" x14ac:dyDescent="0.25"/>
    <row r="251999" s="12" customFormat="1" x14ac:dyDescent="0.25"/>
    <row r="252000" s="12" customFormat="1" x14ac:dyDescent="0.25"/>
    <row r="252001" s="12" customFormat="1" x14ac:dyDescent="0.25"/>
    <row r="252002" s="12" customFormat="1" x14ac:dyDescent="0.25"/>
    <row r="252003" s="12" customFormat="1" x14ac:dyDescent="0.25"/>
    <row r="252004" s="12" customFormat="1" x14ac:dyDescent="0.25"/>
    <row r="252005" s="12" customFormat="1" x14ac:dyDescent="0.25"/>
    <row r="252006" s="12" customFormat="1" x14ac:dyDescent="0.25"/>
    <row r="252007" s="12" customFormat="1" x14ac:dyDescent="0.25"/>
    <row r="252008" s="12" customFormat="1" x14ac:dyDescent="0.25"/>
    <row r="252009" s="12" customFormat="1" x14ac:dyDescent="0.25"/>
    <row r="252010" s="12" customFormat="1" x14ac:dyDescent="0.25"/>
    <row r="252011" s="12" customFormat="1" x14ac:dyDescent="0.25"/>
    <row r="252012" s="12" customFormat="1" x14ac:dyDescent="0.25"/>
    <row r="252013" s="12" customFormat="1" x14ac:dyDescent="0.25"/>
    <row r="252014" s="12" customFormat="1" x14ac:dyDescent="0.25"/>
    <row r="252015" s="12" customFormat="1" x14ac:dyDescent="0.25"/>
    <row r="252016" s="12" customFormat="1" x14ac:dyDescent="0.25"/>
    <row r="252017" s="12" customFormat="1" x14ac:dyDescent="0.25"/>
    <row r="252018" s="12" customFormat="1" x14ac:dyDescent="0.25"/>
    <row r="252019" s="12" customFormat="1" x14ac:dyDescent="0.25"/>
    <row r="252020" s="12" customFormat="1" x14ac:dyDescent="0.25"/>
    <row r="252021" s="12" customFormat="1" x14ac:dyDescent="0.25"/>
    <row r="252022" s="12" customFormat="1" x14ac:dyDescent="0.25"/>
    <row r="252023" s="12" customFormat="1" x14ac:dyDescent="0.25"/>
    <row r="252024" s="12" customFormat="1" x14ac:dyDescent="0.25"/>
    <row r="252025" s="12" customFormat="1" x14ac:dyDescent="0.25"/>
    <row r="252026" s="12" customFormat="1" x14ac:dyDescent="0.25"/>
    <row r="252027" s="12" customFormat="1" x14ac:dyDescent="0.25"/>
    <row r="252028" s="12" customFormat="1" x14ac:dyDescent="0.25"/>
    <row r="252029" s="12" customFormat="1" x14ac:dyDescent="0.25"/>
    <row r="252030" s="12" customFormat="1" x14ac:dyDescent="0.25"/>
    <row r="252031" s="12" customFormat="1" x14ac:dyDescent="0.25"/>
    <row r="252032" s="12" customFormat="1" x14ac:dyDescent="0.25"/>
    <row r="252033" s="12" customFormat="1" x14ac:dyDescent="0.25"/>
    <row r="252034" s="12" customFormat="1" x14ac:dyDescent="0.25"/>
    <row r="252035" s="12" customFormat="1" x14ac:dyDescent="0.25"/>
    <row r="252036" s="12" customFormat="1" x14ac:dyDescent="0.25"/>
    <row r="252037" s="12" customFormat="1" x14ac:dyDescent="0.25"/>
    <row r="252038" s="12" customFormat="1" x14ac:dyDescent="0.25"/>
    <row r="252039" s="12" customFormat="1" x14ac:dyDescent="0.25"/>
    <row r="252040" s="12" customFormat="1" x14ac:dyDescent="0.25"/>
    <row r="252041" s="12" customFormat="1" x14ac:dyDescent="0.25"/>
    <row r="252042" s="12" customFormat="1" x14ac:dyDescent="0.25"/>
    <row r="252043" s="12" customFormat="1" x14ac:dyDescent="0.25"/>
    <row r="252044" s="12" customFormat="1" x14ac:dyDescent="0.25"/>
    <row r="252045" s="12" customFormat="1" x14ac:dyDescent="0.25"/>
    <row r="252046" s="12" customFormat="1" x14ac:dyDescent="0.25"/>
    <row r="252047" s="12" customFormat="1" x14ac:dyDescent="0.25"/>
    <row r="252048" s="12" customFormat="1" x14ac:dyDescent="0.25"/>
    <row r="252049" s="12" customFormat="1" x14ac:dyDescent="0.25"/>
    <row r="252050" s="12" customFormat="1" x14ac:dyDescent="0.25"/>
    <row r="252051" s="12" customFormat="1" x14ac:dyDescent="0.25"/>
    <row r="252052" s="12" customFormat="1" x14ac:dyDescent="0.25"/>
    <row r="252053" s="12" customFormat="1" x14ac:dyDescent="0.25"/>
    <row r="252054" s="12" customFormat="1" x14ac:dyDescent="0.25"/>
    <row r="252055" s="12" customFormat="1" x14ac:dyDescent="0.25"/>
    <row r="252056" s="12" customFormat="1" x14ac:dyDescent="0.25"/>
    <row r="252057" s="12" customFormat="1" x14ac:dyDescent="0.25"/>
    <row r="252058" s="12" customFormat="1" x14ac:dyDescent="0.25"/>
    <row r="252059" s="12" customFormat="1" x14ac:dyDescent="0.25"/>
    <row r="252060" s="12" customFormat="1" x14ac:dyDescent="0.25"/>
    <row r="252061" s="12" customFormat="1" x14ac:dyDescent="0.25"/>
    <row r="252062" s="12" customFormat="1" x14ac:dyDescent="0.25"/>
    <row r="252063" s="12" customFormat="1" x14ac:dyDescent="0.25"/>
    <row r="252064" s="12" customFormat="1" x14ac:dyDescent="0.25"/>
    <row r="252065" s="12" customFormat="1" x14ac:dyDescent="0.25"/>
    <row r="252066" s="12" customFormat="1" x14ac:dyDescent="0.25"/>
    <row r="252067" s="12" customFormat="1" x14ac:dyDescent="0.25"/>
    <row r="252068" s="12" customFormat="1" x14ac:dyDescent="0.25"/>
    <row r="252069" s="12" customFormat="1" x14ac:dyDescent="0.25"/>
    <row r="252070" s="12" customFormat="1" x14ac:dyDescent="0.25"/>
    <row r="252071" s="12" customFormat="1" x14ac:dyDescent="0.25"/>
    <row r="252072" s="12" customFormat="1" x14ac:dyDescent="0.25"/>
    <row r="252073" s="12" customFormat="1" x14ac:dyDescent="0.25"/>
    <row r="252074" s="12" customFormat="1" x14ac:dyDescent="0.25"/>
    <row r="252075" s="12" customFormat="1" x14ac:dyDescent="0.25"/>
    <row r="252076" s="12" customFormat="1" x14ac:dyDescent="0.25"/>
    <row r="252077" s="12" customFormat="1" x14ac:dyDescent="0.25"/>
    <row r="252078" s="12" customFormat="1" x14ac:dyDescent="0.25"/>
    <row r="252079" s="12" customFormat="1" x14ac:dyDescent="0.25"/>
    <row r="252080" s="12" customFormat="1" x14ac:dyDescent="0.25"/>
    <row r="252081" s="12" customFormat="1" x14ac:dyDescent="0.25"/>
    <row r="252082" s="12" customFormat="1" x14ac:dyDescent="0.25"/>
    <row r="252083" s="12" customFormat="1" x14ac:dyDescent="0.25"/>
    <row r="252084" s="12" customFormat="1" x14ac:dyDescent="0.25"/>
    <row r="252085" s="12" customFormat="1" x14ac:dyDescent="0.25"/>
    <row r="252086" s="12" customFormat="1" x14ac:dyDescent="0.25"/>
    <row r="252087" s="12" customFormat="1" x14ac:dyDescent="0.25"/>
    <row r="252088" s="12" customFormat="1" x14ac:dyDescent="0.25"/>
    <row r="252089" s="12" customFormat="1" x14ac:dyDescent="0.25"/>
    <row r="252090" s="12" customFormat="1" x14ac:dyDescent="0.25"/>
    <row r="252091" s="12" customFormat="1" x14ac:dyDescent="0.25"/>
    <row r="252092" s="12" customFormat="1" x14ac:dyDescent="0.25"/>
    <row r="252093" s="12" customFormat="1" x14ac:dyDescent="0.25"/>
    <row r="252094" s="12" customFormat="1" x14ac:dyDescent="0.25"/>
    <row r="252095" s="12" customFormat="1" x14ac:dyDescent="0.25"/>
    <row r="252096" s="12" customFormat="1" x14ac:dyDescent="0.25"/>
    <row r="252097" s="12" customFormat="1" x14ac:dyDescent="0.25"/>
    <row r="252098" s="12" customFormat="1" x14ac:dyDescent="0.25"/>
    <row r="252099" s="12" customFormat="1" x14ac:dyDescent="0.25"/>
    <row r="252100" s="12" customFormat="1" x14ac:dyDescent="0.25"/>
    <row r="252101" s="12" customFormat="1" x14ac:dyDescent="0.25"/>
    <row r="252102" s="12" customFormat="1" x14ac:dyDescent="0.25"/>
    <row r="252103" s="12" customFormat="1" x14ac:dyDescent="0.25"/>
    <row r="252104" s="12" customFormat="1" x14ac:dyDescent="0.25"/>
    <row r="252105" s="12" customFormat="1" x14ac:dyDescent="0.25"/>
    <row r="252106" s="12" customFormat="1" x14ac:dyDescent="0.25"/>
    <row r="252107" s="12" customFormat="1" x14ac:dyDescent="0.25"/>
    <row r="252108" s="12" customFormat="1" x14ac:dyDescent="0.25"/>
    <row r="252109" s="12" customFormat="1" x14ac:dyDescent="0.25"/>
    <row r="252110" s="12" customFormat="1" x14ac:dyDescent="0.25"/>
    <row r="252111" s="12" customFormat="1" x14ac:dyDescent="0.25"/>
    <row r="252112" s="12" customFormat="1" x14ac:dyDescent="0.25"/>
    <row r="252113" s="12" customFormat="1" x14ac:dyDescent="0.25"/>
    <row r="252114" s="12" customFormat="1" x14ac:dyDescent="0.25"/>
    <row r="252115" s="12" customFormat="1" x14ac:dyDescent="0.25"/>
    <row r="252116" s="12" customFormat="1" x14ac:dyDescent="0.25"/>
    <row r="252117" s="12" customFormat="1" x14ac:dyDescent="0.25"/>
    <row r="252118" s="12" customFormat="1" x14ac:dyDescent="0.25"/>
    <row r="252119" s="12" customFormat="1" x14ac:dyDescent="0.25"/>
    <row r="252120" s="12" customFormat="1" x14ac:dyDescent="0.25"/>
    <row r="252121" s="12" customFormat="1" x14ac:dyDescent="0.25"/>
    <row r="252122" s="12" customFormat="1" x14ac:dyDescent="0.25"/>
    <row r="252123" s="12" customFormat="1" x14ac:dyDescent="0.25"/>
    <row r="252124" s="12" customFormat="1" x14ac:dyDescent="0.25"/>
    <row r="252125" s="12" customFormat="1" x14ac:dyDescent="0.25"/>
    <row r="252126" s="12" customFormat="1" x14ac:dyDescent="0.25"/>
    <row r="252127" s="12" customFormat="1" x14ac:dyDescent="0.25"/>
    <row r="252128" s="12" customFormat="1" x14ac:dyDescent="0.25"/>
    <row r="252129" s="12" customFormat="1" x14ac:dyDescent="0.25"/>
    <row r="252130" s="12" customFormat="1" x14ac:dyDescent="0.25"/>
    <row r="252131" s="12" customFormat="1" x14ac:dyDescent="0.25"/>
    <row r="252132" s="12" customFormat="1" x14ac:dyDescent="0.25"/>
    <row r="252133" s="12" customFormat="1" x14ac:dyDescent="0.25"/>
    <row r="252134" s="12" customFormat="1" x14ac:dyDescent="0.25"/>
    <row r="252135" s="12" customFormat="1" x14ac:dyDescent="0.25"/>
    <row r="252136" s="12" customFormat="1" x14ac:dyDescent="0.25"/>
    <row r="252137" s="12" customFormat="1" x14ac:dyDescent="0.25"/>
    <row r="252138" s="12" customFormat="1" x14ac:dyDescent="0.25"/>
    <row r="252139" s="12" customFormat="1" x14ac:dyDescent="0.25"/>
    <row r="252140" s="12" customFormat="1" x14ac:dyDescent="0.25"/>
    <row r="252141" s="12" customFormat="1" x14ac:dyDescent="0.25"/>
    <row r="252142" s="12" customFormat="1" x14ac:dyDescent="0.25"/>
    <row r="252143" s="12" customFormat="1" x14ac:dyDescent="0.25"/>
    <row r="252144" s="12" customFormat="1" x14ac:dyDescent="0.25"/>
    <row r="252145" s="12" customFormat="1" x14ac:dyDescent="0.25"/>
    <row r="252146" s="12" customFormat="1" x14ac:dyDescent="0.25"/>
    <row r="252147" s="12" customFormat="1" x14ac:dyDescent="0.25"/>
    <row r="252148" s="12" customFormat="1" x14ac:dyDescent="0.25"/>
    <row r="252149" s="12" customFormat="1" x14ac:dyDescent="0.25"/>
    <row r="252150" s="12" customFormat="1" x14ac:dyDescent="0.25"/>
    <row r="252151" s="12" customFormat="1" x14ac:dyDescent="0.25"/>
    <row r="252152" s="12" customFormat="1" x14ac:dyDescent="0.25"/>
    <row r="252153" s="12" customFormat="1" x14ac:dyDescent="0.25"/>
    <row r="252154" s="12" customFormat="1" x14ac:dyDescent="0.25"/>
    <row r="252155" s="12" customFormat="1" x14ac:dyDescent="0.25"/>
    <row r="252156" s="12" customFormat="1" x14ac:dyDescent="0.25"/>
    <row r="252157" s="12" customFormat="1" x14ac:dyDescent="0.25"/>
    <row r="252158" s="12" customFormat="1" x14ac:dyDescent="0.25"/>
    <row r="252159" s="12" customFormat="1" x14ac:dyDescent="0.25"/>
    <row r="252160" s="12" customFormat="1" x14ac:dyDescent="0.25"/>
    <row r="252161" s="12" customFormat="1" x14ac:dyDescent="0.25"/>
    <row r="252162" s="12" customFormat="1" x14ac:dyDescent="0.25"/>
    <row r="252163" s="12" customFormat="1" x14ac:dyDescent="0.25"/>
    <row r="252164" s="12" customFormat="1" x14ac:dyDescent="0.25"/>
    <row r="252165" s="12" customFormat="1" x14ac:dyDescent="0.25"/>
    <row r="252166" s="12" customFormat="1" x14ac:dyDescent="0.25"/>
    <row r="252167" s="12" customFormat="1" x14ac:dyDescent="0.25"/>
    <row r="252168" s="12" customFormat="1" x14ac:dyDescent="0.25"/>
    <row r="252169" s="12" customFormat="1" x14ac:dyDescent="0.25"/>
    <row r="252170" s="12" customFormat="1" x14ac:dyDescent="0.25"/>
    <row r="252171" s="12" customFormat="1" x14ac:dyDescent="0.25"/>
    <row r="252172" s="12" customFormat="1" x14ac:dyDescent="0.25"/>
    <row r="252173" s="12" customFormat="1" x14ac:dyDescent="0.25"/>
    <row r="252174" s="12" customFormat="1" x14ac:dyDescent="0.25"/>
    <row r="252175" s="12" customFormat="1" x14ac:dyDescent="0.25"/>
    <row r="252176" s="12" customFormat="1" x14ac:dyDescent="0.25"/>
    <row r="252177" s="12" customFormat="1" x14ac:dyDescent="0.25"/>
    <row r="252178" s="12" customFormat="1" x14ac:dyDescent="0.25"/>
    <row r="252179" s="12" customFormat="1" x14ac:dyDescent="0.25"/>
    <row r="252180" s="12" customFormat="1" x14ac:dyDescent="0.25"/>
    <row r="252181" s="12" customFormat="1" x14ac:dyDescent="0.25"/>
    <row r="252182" s="12" customFormat="1" x14ac:dyDescent="0.25"/>
    <row r="252183" s="12" customFormat="1" x14ac:dyDescent="0.25"/>
    <row r="252184" s="12" customFormat="1" x14ac:dyDescent="0.25"/>
    <row r="252185" s="12" customFormat="1" x14ac:dyDescent="0.25"/>
    <row r="252186" s="12" customFormat="1" x14ac:dyDescent="0.25"/>
    <row r="252187" s="12" customFormat="1" x14ac:dyDescent="0.25"/>
    <row r="252188" s="12" customFormat="1" x14ac:dyDescent="0.25"/>
    <row r="252189" s="12" customFormat="1" x14ac:dyDescent="0.25"/>
    <row r="252190" s="12" customFormat="1" x14ac:dyDescent="0.25"/>
    <row r="252191" s="12" customFormat="1" x14ac:dyDescent="0.25"/>
    <row r="252192" s="12" customFormat="1" x14ac:dyDescent="0.25"/>
    <row r="252193" s="12" customFormat="1" x14ac:dyDescent="0.25"/>
    <row r="252194" s="12" customFormat="1" x14ac:dyDescent="0.25"/>
    <row r="252195" s="12" customFormat="1" x14ac:dyDescent="0.25"/>
    <row r="252196" s="12" customFormat="1" x14ac:dyDescent="0.25"/>
    <row r="252197" s="12" customFormat="1" x14ac:dyDescent="0.25"/>
    <row r="252198" s="12" customFormat="1" x14ac:dyDescent="0.25"/>
    <row r="252199" s="12" customFormat="1" x14ac:dyDescent="0.25"/>
    <row r="252200" s="12" customFormat="1" x14ac:dyDescent="0.25"/>
    <row r="252201" s="12" customFormat="1" x14ac:dyDescent="0.25"/>
    <row r="252202" s="12" customFormat="1" x14ac:dyDescent="0.25"/>
    <row r="252203" s="12" customFormat="1" x14ac:dyDescent="0.25"/>
    <row r="252204" s="12" customFormat="1" x14ac:dyDescent="0.25"/>
    <row r="252205" s="12" customFormat="1" x14ac:dyDescent="0.25"/>
    <row r="252206" s="12" customFormat="1" x14ac:dyDescent="0.25"/>
    <row r="252207" s="12" customFormat="1" x14ac:dyDescent="0.25"/>
    <row r="252208" s="12" customFormat="1" x14ac:dyDescent="0.25"/>
    <row r="252209" s="12" customFormat="1" x14ac:dyDescent="0.25"/>
    <row r="252210" s="12" customFormat="1" x14ac:dyDescent="0.25"/>
    <row r="252211" s="12" customFormat="1" x14ac:dyDescent="0.25"/>
    <row r="252212" s="12" customFormat="1" x14ac:dyDescent="0.25"/>
    <row r="252213" s="12" customFormat="1" x14ac:dyDescent="0.25"/>
    <row r="252214" s="12" customFormat="1" x14ac:dyDescent="0.25"/>
    <row r="252215" s="12" customFormat="1" x14ac:dyDescent="0.25"/>
    <row r="252216" s="12" customFormat="1" x14ac:dyDescent="0.25"/>
    <row r="252217" s="12" customFormat="1" x14ac:dyDescent="0.25"/>
    <row r="252218" s="12" customFormat="1" x14ac:dyDescent="0.25"/>
    <row r="252219" s="12" customFormat="1" x14ac:dyDescent="0.25"/>
    <row r="252220" s="12" customFormat="1" x14ac:dyDescent="0.25"/>
    <row r="252221" s="12" customFormat="1" x14ac:dyDescent="0.25"/>
    <row r="252222" s="12" customFormat="1" x14ac:dyDescent="0.25"/>
    <row r="252223" s="12" customFormat="1" x14ac:dyDescent="0.25"/>
    <row r="252224" s="12" customFormat="1" x14ac:dyDescent="0.25"/>
    <row r="252225" s="12" customFormat="1" x14ac:dyDescent="0.25"/>
    <row r="252226" s="12" customFormat="1" x14ac:dyDescent="0.25"/>
    <row r="252227" s="12" customFormat="1" x14ac:dyDescent="0.25"/>
    <row r="252228" s="12" customFormat="1" x14ac:dyDescent="0.25"/>
    <row r="252229" s="12" customFormat="1" x14ac:dyDescent="0.25"/>
    <row r="252230" s="12" customFormat="1" x14ac:dyDescent="0.25"/>
    <row r="252231" s="12" customFormat="1" x14ac:dyDescent="0.25"/>
    <row r="252232" s="12" customFormat="1" x14ac:dyDescent="0.25"/>
    <row r="252233" s="12" customFormat="1" x14ac:dyDescent="0.25"/>
    <row r="252234" s="12" customFormat="1" x14ac:dyDescent="0.25"/>
    <row r="252235" s="12" customFormat="1" x14ac:dyDescent="0.25"/>
    <row r="252236" s="12" customFormat="1" x14ac:dyDescent="0.25"/>
    <row r="252237" s="12" customFormat="1" x14ac:dyDescent="0.25"/>
    <row r="252238" s="12" customFormat="1" x14ac:dyDescent="0.25"/>
    <row r="252239" s="12" customFormat="1" x14ac:dyDescent="0.25"/>
    <row r="252240" s="12" customFormat="1" x14ac:dyDescent="0.25"/>
    <row r="252241" s="12" customFormat="1" x14ac:dyDescent="0.25"/>
    <row r="252242" s="12" customFormat="1" x14ac:dyDescent="0.25"/>
    <row r="252243" s="12" customFormat="1" x14ac:dyDescent="0.25"/>
    <row r="252244" s="12" customFormat="1" x14ac:dyDescent="0.25"/>
    <row r="252245" s="12" customFormat="1" x14ac:dyDescent="0.25"/>
    <row r="252246" s="12" customFormat="1" x14ac:dyDescent="0.25"/>
    <row r="252247" s="12" customFormat="1" x14ac:dyDescent="0.25"/>
    <row r="252248" s="12" customFormat="1" x14ac:dyDescent="0.25"/>
    <row r="252249" s="12" customFormat="1" x14ac:dyDescent="0.25"/>
    <row r="252250" s="12" customFormat="1" x14ac:dyDescent="0.25"/>
    <row r="252251" s="12" customFormat="1" x14ac:dyDescent="0.25"/>
    <row r="252252" s="12" customFormat="1" x14ac:dyDescent="0.25"/>
    <row r="252253" s="12" customFormat="1" x14ac:dyDescent="0.25"/>
    <row r="252254" s="12" customFormat="1" x14ac:dyDescent="0.25"/>
    <row r="252255" s="12" customFormat="1" x14ac:dyDescent="0.25"/>
    <row r="252256" s="12" customFormat="1" x14ac:dyDescent="0.25"/>
    <row r="252257" s="12" customFormat="1" x14ac:dyDescent="0.25"/>
    <row r="252258" s="12" customFormat="1" x14ac:dyDescent="0.25"/>
    <row r="252259" s="12" customFormat="1" x14ac:dyDescent="0.25"/>
    <row r="252260" s="12" customFormat="1" x14ac:dyDescent="0.25"/>
    <row r="252261" s="12" customFormat="1" x14ac:dyDescent="0.25"/>
    <row r="252262" s="12" customFormat="1" x14ac:dyDescent="0.25"/>
    <row r="252263" s="12" customFormat="1" x14ac:dyDescent="0.25"/>
    <row r="252264" s="12" customFormat="1" x14ac:dyDescent="0.25"/>
    <row r="252265" s="12" customFormat="1" x14ac:dyDescent="0.25"/>
    <row r="252266" s="12" customFormat="1" x14ac:dyDescent="0.25"/>
    <row r="252267" s="12" customFormat="1" x14ac:dyDescent="0.25"/>
    <row r="252268" s="12" customFormat="1" x14ac:dyDescent="0.25"/>
    <row r="252269" s="12" customFormat="1" x14ac:dyDescent="0.25"/>
    <row r="252270" s="12" customFormat="1" x14ac:dyDescent="0.25"/>
    <row r="252271" s="12" customFormat="1" x14ac:dyDescent="0.25"/>
    <row r="252272" s="12" customFormat="1" x14ac:dyDescent="0.25"/>
    <row r="252273" s="12" customFormat="1" x14ac:dyDescent="0.25"/>
    <row r="252274" s="12" customFormat="1" x14ac:dyDescent="0.25"/>
    <row r="252275" s="12" customFormat="1" x14ac:dyDescent="0.25"/>
    <row r="252276" s="12" customFormat="1" x14ac:dyDescent="0.25"/>
    <row r="252277" s="12" customFormat="1" x14ac:dyDescent="0.25"/>
    <row r="252278" s="12" customFormat="1" x14ac:dyDescent="0.25"/>
    <row r="252279" s="12" customFormat="1" x14ac:dyDescent="0.25"/>
    <row r="252280" s="12" customFormat="1" x14ac:dyDescent="0.25"/>
    <row r="252281" s="12" customFormat="1" x14ac:dyDescent="0.25"/>
    <row r="252282" s="12" customFormat="1" x14ac:dyDescent="0.25"/>
    <row r="252283" s="12" customFormat="1" x14ac:dyDescent="0.25"/>
    <row r="252284" s="12" customFormat="1" x14ac:dyDescent="0.25"/>
    <row r="252285" s="12" customFormat="1" x14ac:dyDescent="0.25"/>
    <row r="252286" s="12" customFormat="1" x14ac:dyDescent="0.25"/>
    <row r="252287" s="12" customFormat="1" x14ac:dyDescent="0.25"/>
    <row r="252288" s="12" customFormat="1" x14ac:dyDescent="0.25"/>
    <row r="252289" s="12" customFormat="1" x14ac:dyDescent="0.25"/>
    <row r="252290" s="12" customFormat="1" x14ac:dyDescent="0.25"/>
    <row r="252291" s="12" customFormat="1" x14ac:dyDescent="0.25"/>
    <row r="252292" s="12" customFormat="1" x14ac:dyDescent="0.25"/>
    <row r="252293" s="12" customFormat="1" x14ac:dyDescent="0.25"/>
    <row r="252294" s="12" customFormat="1" x14ac:dyDescent="0.25"/>
    <row r="252295" s="12" customFormat="1" x14ac:dyDescent="0.25"/>
    <row r="252296" s="12" customFormat="1" x14ac:dyDescent="0.25"/>
    <row r="252297" s="12" customFormat="1" x14ac:dyDescent="0.25"/>
    <row r="252298" s="12" customFormat="1" x14ac:dyDescent="0.25"/>
    <row r="252299" s="12" customFormat="1" x14ac:dyDescent="0.25"/>
    <row r="252300" s="12" customFormat="1" x14ac:dyDescent="0.25"/>
    <row r="252301" s="12" customFormat="1" x14ac:dyDescent="0.25"/>
    <row r="252302" s="12" customFormat="1" x14ac:dyDescent="0.25"/>
    <row r="252303" s="12" customFormat="1" x14ac:dyDescent="0.25"/>
    <row r="252304" s="12" customFormat="1" x14ac:dyDescent="0.25"/>
    <row r="252305" s="12" customFormat="1" x14ac:dyDescent="0.25"/>
    <row r="252306" s="12" customFormat="1" x14ac:dyDescent="0.25"/>
    <row r="252307" s="12" customFormat="1" x14ac:dyDescent="0.25"/>
    <row r="252308" s="12" customFormat="1" x14ac:dyDescent="0.25"/>
    <row r="252309" s="12" customFormat="1" x14ac:dyDescent="0.25"/>
    <row r="252310" s="12" customFormat="1" x14ac:dyDescent="0.25"/>
    <row r="252311" s="12" customFormat="1" x14ac:dyDescent="0.25"/>
    <row r="252312" s="12" customFormat="1" x14ac:dyDescent="0.25"/>
    <row r="252313" s="12" customFormat="1" x14ac:dyDescent="0.25"/>
    <row r="252314" s="12" customFormat="1" x14ac:dyDescent="0.25"/>
    <row r="252315" s="12" customFormat="1" x14ac:dyDescent="0.25"/>
    <row r="252316" s="12" customFormat="1" x14ac:dyDescent="0.25"/>
    <row r="252317" s="12" customFormat="1" x14ac:dyDescent="0.25"/>
    <row r="252318" s="12" customFormat="1" x14ac:dyDescent="0.25"/>
    <row r="252319" s="12" customFormat="1" x14ac:dyDescent="0.25"/>
    <row r="252320" s="12" customFormat="1" x14ac:dyDescent="0.25"/>
    <row r="252321" s="12" customFormat="1" x14ac:dyDescent="0.25"/>
    <row r="252322" s="12" customFormat="1" x14ac:dyDescent="0.25"/>
    <row r="252323" s="12" customFormat="1" x14ac:dyDescent="0.25"/>
    <row r="252324" s="12" customFormat="1" x14ac:dyDescent="0.25"/>
    <row r="252325" s="12" customFormat="1" x14ac:dyDescent="0.25"/>
    <row r="252326" s="12" customFormat="1" x14ac:dyDescent="0.25"/>
    <row r="252327" s="12" customFormat="1" x14ac:dyDescent="0.25"/>
    <row r="252328" s="12" customFormat="1" x14ac:dyDescent="0.25"/>
    <row r="252329" s="12" customFormat="1" x14ac:dyDescent="0.25"/>
    <row r="252330" s="12" customFormat="1" x14ac:dyDescent="0.25"/>
    <row r="252331" s="12" customFormat="1" x14ac:dyDescent="0.25"/>
    <row r="252332" s="12" customFormat="1" x14ac:dyDescent="0.25"/>
    <row r="252333" s="12" customFormat="1" x14ac:dyDescent="0.25"/>
    <row r="252334" s="12" customFormat="1" x14ac:dyDescent="0.25"/>
    <row r="252335" s="12" customFormat="1" x14ac:dyDescent="0.25"/>
    <row r="252336" s="12" customFormat="1" x14ac:dyDescent="0.25"/>
    <row r="252337" s="12" customFormat="1" x14ac:dyDescent="0.25"/>
    <row r="252338" s="12" customFormat="1" x14ac:dyDescent="0.25"/>
    <row r="252339" s="12" customFormat="1" x14ac:dyDescent="0.25"/>
    <row r="252340" s="12" customFormat="1" x14ac:dyDescent="0.25"/>
    <row r="252341" s="12" customFormat="1" x14ac:dyDescent="0.25"/>
    <row r="252342" s="12" customFormat="1" x14ac:dyDescent="0.25"/>
    <row r="252343" s="12" customFormat="1" x14ac:dyDescent="0.25"/>
    <row r="252344" s="12" customFormat="1" x14ac:dyDescent="0.25"/>
    <row r="252345" s="12" customFormat="1" x14ac:dyDescent="0.25"/>
    <row r="252346" s="12" customFormat="1" x14ac:dyDescent="0.25"/>
    <row r="252347" s="12" customFormat="1" x14ac:dyDescent="0.25"/>
    <row r="252348" s="12" customFormat="1" x14ac:dyDescent="0.25"/>
    <row r="252349" s="12" customFormat="1" x14ac:dyDescent="0.25"/>
    <row r="252350" s="12" customFormat="1" x14ac:dyDescent="0.25"/>
    <row r="252351" s="12" customFormat="1" x14ac:dyDescent="0.25"/>
    <row r="252352" s="12" customFormat="1" x14ac:dyDescent="0.25"/>
    <row r="252353" s="12" customFormat="1" x14ac:dyDescent="0.25"/>
    <row r="252354" s="12" customFormat="1" x14ac:dyDescent="0.25"/>
    <row r="252355" s="12" customFormat="1" x14ac:dyDescent="0.25"/>
    <row r="252356" s="12" customFormat="1" x14ac:dyDescent="0.25"/>
    <row r="252357" s="12" customFormat="1" x14ac:dyDescent="0.25"/>
    <row r="252358" s="12" customFormat="1" x14ac:dyDescent="0.25"/>
    <row r="252359" s="12" customFormat="1" x14ac:dyDescent="0.25"/>
    <row r="252360" s="12" customFormat="1" x14ac:dyDescent="0.25"/>
    <row r="252361" s="12" customFormat="1" x14ac:dyDescent="0.25"/>
    <row r="252362" s="12" customFormat="1" x14ac:dyDescent="0.25"/>
    <row r="252363" s="12" customFormat="1" x14ac:dyDescent="0.25"/>
    <row r="252364" s="12" customFormat="1" x14ac:dyDescent="0.25"/>
    <row r="252365" s="12" customFormat="1" x14ac:dyDescent="0.25"/>
    <row r="252366" s="12" customFormat="1" x14ac:dyDescent="0.25"/>
    <row r="252367" s="12" customFormat="1" x14ac:dyDescent="0.25"/>
    <row r="252368" s="12" customFormat="1" x14ac:dyDescent="0.25"/>
    <row r="252369" s="12" customFormat="1" x14ac:dyDescent="0.25"/>
    <row r="252370" s="12" customFormat="1" x14ac:dyDescent="0.25"/>
    <row r="252371" s="12" customFormat="1" x14ac:dyDescent="0.25"/>
    <row r="252372" s="12" customFormat="1" x14ac:dyDescent="0.25"/>
    <row r="252373" s="12" customFormat="1" x14ac:dyDescent="0.25"/>
    <row r="252374" s="12" customFormat="1" x14ac:dyDescent="0.25"/>
    <row r="252375" s="12" customFormat="1" x14ac:dyDescent="0.25"/>
    <row r="252376" s="12" customFormat="1" x14ac:dyDescent="0.25"/>
    <row r="252377" s="12" customFormat="1" x14ac:dyDescent="0.25"/>
    <row r="252378" s="12" customFormat="1" x14ac:dyDescent="0.25"/>
    <row r="252379" s="12" customFormat="1" x14ac:dyDescent="0.25"/>
    <row r="252380" s="12" customFormat="1" x14ac:dyDescent="0.25"/>
    <row r="252381" s="12" customFormat="1" x14ac:dyDescent="0.25"/>
    <row r="252382" s="12" customFormat="1" x14ac:dyDescent="0.25"/>
    <row r="252383" s="12" customFormat="1" x14ac:dyDescent="0.25"/>
    <row r="252384" s="12" customFormat="1" x14ac:dyDescent="0.25"/>
    <row r="252385" s="12" customFormat="1" x14ac:dyDescent="0.25"/>
    <row r="252386" s="12" customFormat="1" x14ac:dyDescent="0.25"/>
    <row r="252387" s="12" customFormat="1" x14ac:dyDescent="0.25"/>
    <row r="252388" s="12" customFormat="1" x14ac:dyDescent="0.25"/>
    <row r="252389" s="12" customFormat="1" x14ac:dyDescent="0.25"/>
    <row r="252390" s="12" customFormat="1" x14ac:dyDescent="0.25"/>
    <row r="252391" s="12" customFormat="1" x14ac:dyDescent="0.25"/>
    <row r="252392" s="12" customFormat="1" x14ac:dyDescent="0.25"/>
    <row r="252393" s="12" customFormat="1" x14ac:dyDescent="0.25"/>
    <row r="252394" s="12" customFormat="1" x14ac:dyDescent="0.25"/>
    <row r="252395" s="12" customFormat="1" x14ac:dyDescent="0.25"/>
    <row r="252396" s="12" customFormat="1" x14ac:dyDescent="0.25"/>
    <row r="252397" s="12" customFormat="1" x14ac:dyDescent="0.25"/>
    <row r="252398" s="12" customFormat="1" x14ac:dyDescent="0.25"/>
    <row r="252399" s="12" customFormat="1" x14ac:dyDescent="0.25"/>
    <row r="252400" s="12" customFormat="1" x14ac:dyDescent="0.25"/>
    <row r="252401" s="12" customFormat="1" x14ac:dyDescent="0.25"/>
    <row r="252402" s="12" customFormat="1" x14ac:dyDescent="0.25"/>
    <row r="252403" s="12" customFormat="1" x14ac:dyDescent="0.25"/>
    <row r="252404" s="12" customFormat="1" x14ac:dyDescent="0.25"/>
    <row r="252405" s="12" customFormat="1" x14ac:dyDescent="0.25"/>
    <row r="252406" s="12" customFormat="1" x14ac:dyDescent="0.25"/>
    <row r="252407" s="12" customFormat="1" x14ac:dyDescent="0.25"/>
    <row r="252408" s="12" customFormat="1" x14ac:dyDescent="0.25"/>
    <row r="252409" s="12" customFormat="1" x14ac:dyDescent="0.25"/>
    <row r="252410" s="12" customFormat="1" x14ac:dyDescent="0.25"/>
    <row r="252411" s="12" customFormat="1" x14ac:dyDescent="0.25"/>
    <row r="252412" s="12" customFormat="1" x14ac:dyDescent="0.25"/>
    <row r="252413" s="12" customFormat="1" x14ac:dyDescent="0.25"/>
    <row r="252414" s="12" customFormat="1" x14ac:dyDescent="0.25"/>
    <row r="252415" s="12" customFormat="1" x14ac:dyDescent="0.25"/>
    <row r="252416" s="12" customFormat="1" x14ac:dyDescent="0.25"/>
    <row r="252417" s="12" customFormat="1" x14ac:dyDescent="0.25"/>
    <row r="252418" s="12" customFormat="1" x14ac:dyDescent="0.25"/>
    <row r="252419" s="12" customFormat="1" x14ac:dyDescent="0.25"/>
    <row r="252420" s="12" customFormat="1" x14ac:dyDescent="0.25"/>
    <row r="252421" s="12" customFormat="1" x14ac:dyDescent="0.25"/>
    <row r="252422" s="12" customFormat="1" x14ac:dyDescent="0.25"/>
    <row r="252423" s="12" customFormat="1" x14ac:dyDescent="0.25"/>
    <row r="252424" s="12" customFormat="1" x14ac:dyDescent="0.25"/>
    <row r="252425" s="12" customFormat="1" x14ac:dyDescent="0.25"/>
    <row r="252426" s="12" customFormat="1" x14ac:dyDescent="0.25"/>
    <row r="252427" s="12" customFormat="1" x14ac:dyDescent="0.25"/>
    <row r="252428" s="12" customFormat="1" x14ac:dyDescent="0.25"/>
    <row r="252429" s="12" customFormat="1" x14ac:dyDescent="0.25"/>
    <row r="252430" s="12" customFormat="1" x14ac:dyDescent="0.25"/>
    <row r="252431" s="12" customFormat="1" x14ac:dyDescent="0.25"/>
    <row r="252432" s="12" customFormat="1" x14ac:dyDescent="0.25"/>
    <row r="252433" s="12" customFormat="1" x14ac:dyDescent="0.25"/>
    <row r="252434" s="12" customFormat="1" x14ac:dyDescent="0.25"/>
    <row r="252435" s="12" customFormat="1" x14ac:dyDescent="0.25"/>
    <row r="252436" s="12" customFormat="1" x14ac:dyDescent="0.25"/>
    <row r="252437" s="12" customFormat="1" x14ac:dyDescent="0.25"/>
    <row r="252438" s="12" customFormat="1" x14ac:dyDescent="0.25"/>
    <row r="252439" s="12" customFormat="1" x14ac:dyDescent="0.25"/>
    <row r="252440" s="12" customFormat="1" x14ac:dyDescent="0.25"/>
    <row r="252441" s="12" customFormat="1" x14ac:dyDescent="0.25"/>
    <row r="252442" s="12" customFormat="1" x14ac:dyDescent="0.25"/>
    <row r="252443" s="12" customFormat="1" x14ac:dyDescent="0.25"/>
    <row r="252444" s="12" customFormat="1" x14ac:dyDescent="0.25"/>
    <row r="252445" s="12" customFormat="1" x14ac:dyDescent="0.25"/>
    <row r="252446" s="12" customFormat="1" x14ac:dyDescent="0.25"/>
    <row r="252447" s="12" customFormat="1" x14ac:dyDescent="0.25"/>
    <row r="252448" s="12" customFormat="1" x14ac:dyDescent="0.25"/>
    <row r="252449" s="12" customFormat="1" x14ac:dyDescent="0.25"/>
    <row r="252450" s="12" customFormat="1" x14ac:dyDescent="0.25"/>
    <row r="252451" s="12" customFormat="1" x14ac:dyDescent="0.25"/>
    <row r="252452" s="12" customFormat="1" x14ac:dyDescent="0.25"/>
    <row r="252453" s="12" customFormat="1" x14ac:dyDescent="0.25"/>
    <row r="252454" s="12" customFormat="1" x14ac:dyDescent="0.25"/>
    <row r="252455" s="12" customFormat="1" x14ac:dyDescent="0.25"/>
    <row r="252456" s="12" customFormat="1" x14ac:dyDescent="0.25"/>
    <row r="252457" s="12" customFormat="1" x14ac:dyDescent="0.25"/>
    <row r="252458" s="12" customFormat="1" x14ac:dyDescent="0.25"/>
    <row r="252459" s="12" customFormat="1" x14ac:dyDescent="0.25"/>
    <row r="252460" s="12" customFormat="1" x14ac:dyDescent="0.25"/>
    <row r="252461" s="12" customFormat="1" x14ac:dyDescent="0.25"/>
    <row r="252462" s="12" customFormat="1" x14ac:dyDescent="0.25"/>
    <row r="252463" s="12" customFormat="1" x14ac:dyDescent="0.25"/>
    <row r="252464" s="12" customFormat="1" x14ac:dyDescent="0.25"/>
    <row r="252465" s="12" customFormat="1" x14ac:dyDescent="0.25"/>
    <row r="252466" s="12" customFormat="1" x14ac:dyDescent="0.25"/>
    <row r="252467" s="12" customFormat="1" x14ac:dyDescent="0.25"/>
    <row r="252468" s="12" customFormat="1" x14ac:dyDescent="0.25"/>
    <row r="252469" s="12" customFormat="1" x14ac:dyDescent="0.25"/>
    <row r="252470" s="12" customFormat="1" x14ac:dyDescent="0.25"/>
    <row r="252471" s="12" customFormat="1" x14ac:dyDescent="0.25"/>
    <row r="252472" s="12" customFormat="1" x14ac:dyDescent="0.25"/>
    <row r="252473" s="12" customFormat="1" x14ac:dyDescent="0.25"/>
    <row r="252474" s="12" customFormat="1" x14ac:dyDescent="0.25"/>
    <row r="252475" s="12" customFormat="1" x14ac:dyDescent="0.25"/>
    <row r="252476" s="12" customFormat="1" x14ac:dyDescent="0.25"/>
    <row r="252477" s="12" customFormat="1" x14ac:dyDescent="0.25"/>
    <row r="252478" s="12" customFormat="1" x14ac:dyDescent="0.25"/>
    <row r="252479" s="12" customFormat="1" x14ac:dyDescent="0.25"/>
    <row r="252480" s="12" customFormat="1" x14ac:dyDescent="0.25"/>
    <row r="252481" s="12" customFormat="1" x14ac:dyDescent="0.25"/>
    <row r="252482" s="12" customFormat="1" x14ac:dyDescent="0.25"/>
    <row r="252483" s="12" customFormat="1" x14ac:dyDescent="0.25"/>
    <row r="252484" s="12" customFormat="1" x14ac:dyDescent="0.25"/>
    <row r="252485" s="12" customFormat="1" x14ac:dyDescent="0.25"/>
    <row r="252486" s="12" customFormat="1" x14ac:dyDescent="0.25"/>
    <row r="252487" s="12" customFormat="1" x14ac:dyDescent="0.25"/>
    <row r="252488" s="12" customFormat="1" x14ac:dyDescent="0.25"/>
    <row r="252489" s="12" customFormat="1" x14ac:dyDescent="0.25"/>
    <row r="252490" s="12" customFormat="1" x14ac:dyDescent="0.25"/>
    <row r="252491" s="12" customFormat="1" x14ac:dyDescent="0.25"/>
    <row r="252492" s="12" customFormat="1" x14ac:dyDescent="0.25"/>
    <row r="252493" s="12" customFormat="1" x14ac:dyDescent="0.25"/>
    <row r="252494" s="12" customFormat="1" x14ac:dyDescent="0.25"/>
    <row r="252495" s="12" customFormat="1" x14ac:dyDescent="0.25"/>
    <row r="252496" s="12" customFormat="1" x14ac:dyDescent="0.25"/>
    <row r="252497" s="12" customFormat="1" x14ac:dyDescent="0.25"/>
    <row r="252498" s="12" customFormat="1" x14ac:dyDescent="0.25"/>
    <row r="252499" s="12" customFormat="1" x14ac:dyDescent="0.25"/>
    <row r="252500" s="12" customFormat="1" x14ac:dyDescent="0.25"/>
    <row r="252501" s="12" customFormat="1" x14ac:dyDescent="0.25"/>
    <row r="252502" s="12" customFormat="1" x14ac:dyDescent="0.25"/>
    <row r="252503" s="12" customFormat="1" x14ac:dyDescent="0.25"/>
    <row r="252504" s="12" customFormat="1" x14ac:dyDescent="0.25"/>
    <row r="252505" s="12" customFormat="1" x14ac:dyDescent="0.25"/>
    <row r="252506" s="12" customFormat="1" x14ac:dyDescent="0.25"/>
    <row r="252507" s="12" customFormat="1" x14ac:dyDescent="0.25"/>
    <row r="252508" s="12" customFormat="1" x14ac:dyDescent="0.25"/>
    <row r="252509" s="12" customFormat="1" x14ac:dyDescent="0.25"/>
    <row r="252510" s="12" customFormat="1" x14ac:dyDescent="0.25"/>
    <row r="252511" s="12" customFormat="1" x14ac:dyDescent="0.25"/>
    <row r="252512" s="12" customFormat="1" x14ac:dyDescent="0.25"/>
    <row r="252513" s="12" customFormat="1" x14ac:dyDescent="0.25"/>
    <row r="252514" s="12" customFormat="1" x14ac:dyDescent="0.25"/>
    <row r="252515" s="12" customFormat="1" x14ac:dyDescent="0.25"/>
    <row r="252516" s="12" customFormat="1" x14ac:dyDescent="0.25"/>
    <row r="252517" s="12" customFormat="1" x14ac:dyDescent="0.25"/>
    <row r="252518" s="12" customFormat="1" x14ac:dyDescent="0.25"/>
    <row r="252519" s="12" customFormat="1" x14ac:dyDescent="0.25"/>
    <row r="252520" s="12" customFormat="1" x14ac:dyDescent="0.25"/>
    <row r="252521" s="12" customFormat="1" x14ac:dyDescent="0.25"/>
    <row r="252522" s="12" customFormat="1" x14ac:dyDescent="0.25"/>
    <row r="252523" s="12" customFormat="1" x14ac:dyDescent="0.25"/>
    <row r="252524" s="12" customFormat="1" x14ac:dyDescent="0.25"/>
    <row r="252525" s="12" customFormat="1" x14ac:dyDescent="0.25"/>
    <row r="252526" s="12" customFormat="1" x14ac:dyDescent="0.25"/>
    <row r="252527" s="12" customFormat="1" x14ac:dyDescent="0.25"/>
    <row r="252528" s="12" customFormat="1" x14ac:dyDescent="0.25"/>
    <row r="252529" s="12" customFormat="1" x14ac:dyDescent="0.25"/>
    <row r="252530" s="12" customFormat="1" x14ac:dyDescent="0.25"/>
    <row r="252531" s="12" customFormat="1" x14ac:dyDescent="0.25"/>
    <row r="252532" s="12" customFormat="1" x14ac:dyDescent="0.25"/>
    <row r="252533" s="12" customFormat="1" x14ac:dyDescent="0.25"/>
    <row r="252534" s="12" customFormat="1" x14ac:dyDescent="0.25"/>
    <row r="252535" s="12" customFormat="1" x14ac:dyDescent="0.25"/>
    <row r="252536" s="12" customFormat="1" x14ac:dyDescent="0.25"/>
    <row r="252537" s="12" customFormat="1" x14ac:dyDescent="0.25"/>
    <row r="252538" s="12" customFormat="1" x14ac:dyDescent="0.25"/>
    <row r="252539" s="12" customFormat="1" x14ac:dyDescent="0.25"/>
    <row r="252540" s="12" customFormat="1" x14ac:dyDescent="0.25"/>
    <row r="252541" s="12" customFormat="1" x14ac:dyDescent="0.25"/>
    <row r="252542" s="12" customFormat="1" x14ac:dyDescent="0.25"/>
    <row r="252543" s="12" customFormat="1" x14ac:dyDescent="0.25"/>
    <row r="252544" s="12" customFormat="1" x14ac:dyDescent="0.25"/>
    <row r="252545" s="12" customFormat="1" x14ac:dyDescent="0.25"/>
    <row r="252546" s="12" customFormat="1" x14ac:dyDescent="0.25"/>
    <row r="252547" s="12" customFormat="1" x14ac:dyDescent="0.25"/>
    <row r="252548" s="12" customFormat="1" x14ac:dyDescent="0.25"/>
    <row r="252549" s="12" customFormat="1" x14ac:dyDescent="0.25"/>
    <row r="252550" s="12" customFormat="1" x14ac:dyDescent="0.25"/>
    <row r="252551" s="12" customFormat="1" x14ac:dyDescent="0.25"/>
    <row r="252552" s="12" customFormat="1" x14ac:dyDescent="0.25"/>
    <row r="252553" s="12" customFormat="1" x14ac:dyDescent="0.25"/>
    <row r="252554" s="12" customFormat="1" x14ac:dyDescent="0.25"/>
    <row r="252555" s="12" customFormat="1" x14ac:dyDescent="0.25"/>
    <row r="252556" s="12" customFormat="1" x14ac:dyDescent="0.25"/>
    <row r="252557" s="12" customFormat="1" x14ac:dyDescent="0.25"/>
    <row r="252558" s="12" customFormat="1" x14ac:dyDescent="0.25"/>
    <row r="252559" s="12" customFormat="1" x14ac:dyDescent="0.25"/>
    <row r="252560" s="12" customFormat="1" x14ac:dyDescent="0.25"/>
    <row r="252561" s="12" customFormat="1" x14ac:dyDescent="0.25"/>
    <row r="252562" s="12" customFormat="1" x14ac:dyDescent="0.25"/>
    <row r="252563" s="12" customFormat="1" x14ac:dyDescent="0.25"/>
    <row r="252564" s="12" customFormat="1" x14ac:dyDescent="0.25"/>
    <row r="252565" s="12" customFormat="1" x14ac:dyDescent="0.25"/>
    <row r="252566" s="12" customFormat="1" x14ac:dyDescent="0.25"/>
    <row r="252567" s="12" customFormat="1" x14ac:dyDescent="0.25"/>
    <row r="252568" s="12" customFormat="1" x14ac:dyDescent="0.25"/>
    <row r="252569" s="12" customFormat="1" x14ac:dyDescent="0.25"/>
    <row r="252570" s="12" customFormat="1" x14ac:dyDescent="0.25"/>
    <row r="252571" s="12" customFormat="1" x14ac:dyDescent="0.25"/>
    <row r="252572" s="12" customFormat="1" x14ac:dyDescent="0.25"/>
    <row r="252573" s="12" customFormat="1" x14ac:dyDescent="0.25"/>
    <row r="252574" s="12" customFormat="1" x14ac:dyDescent="0.25"/>
    <row r="252575" s="12" customFormat="1" x14ac:dyDescent="0.25"/>
    <row r="252576" s="12" customFormat="1" x14ac:dyDescent="0.25"/>
    <row r="252577" s="12" customFormat="1" x14ac:dyDescent="0.25"/>
    <row r="252578" s="12" customFormat="1" x14ac:dyDescent="0.25"/>
    <row r="252579" s="12" customFormat="1" x14ac:dyDescent="0.25"/>
    <row r="252580" s="12" customFormat="1" x14ac:dyDescent="0.25"/>
    <row r="252581" s="12" customFormat="1" x14ac:dyDescent="0.25"/>
    <row r="252582" s="12" customFormat="1" x14ac:dyDescent="0.25"/>
    <row r="252583" s="12" customFormat="1" x14ac:dyDescent="0.25"/>
    <row r="252584" s="12" customFormat="1" x14ac:dyDescent="0.25"/>
    <row r="252585" s="12" customFormat="1" x14ac:dyDescent="0.25"/>
    <row r="252586" s="12" customFormat="1" x14ac:dyDescent="0.25"/>
    <row r="252587" s="12" customFormat="1" x14ac:dyDescent="0.25"/>
    <row r="252588" s="12" customFormat="1" x14ac:dyDescent="0.25"/>
    <row r="252589" s="12" customFormat="1" x14ac:dyDescent="0.25"/>
    <row r="252590" s="12" customFormat="1" x14ac:dyDescent="0.25"/>
    <row r="252591" s="12" customFormat="1" x14ac:dyDescent="0.25"/>
    <row r="252592" s="12" customFormat="1" x14ac:dyDescent="0.25"/>
    <row r="252593" s="12" customFormat="1" x14ac:dyDescent="0.25"/>
    <row r="252594" s="12" customFormat="1" x14ac:dyDescent="0.25"/>
    <row r="252595" s="12" customFormat="1" x14ac:dyDescent="0.25"/>
    <row r="252596" s="12" customFormat="1" x14ac:dyDescent="0.25"/>
    <row r="252597" s="12" customFormat="1" x14ac:dyDescent="0.25"/>
    <row r="252598" s="12" customFormat="1" x14ac:dyDescent="0.25"/>
    <row r="252599" s="12" customFormat="1" x14ac:dyDescent="0.25"/>
    <row r="252600" s="12" customFormat="1" x14ac:dyDescent="0.25"/>
    <row r="252601" s="12" customFormat="1" x14ac:dyDescent="0.25"/>
    <row r="252602" s="12" customFormat="1" x14ac:dyDescent="0.25"/>
    <row r="252603" s="12" customFormat="1" x14ac:dyDescent="0.25"/>
    <row r="252604" s="12" customFormat="1" x14ac:dyDescent="0.25"/>
    <row r="252605" s="12" customFormat="1" x14ac:dyDescent="0.25"/>
    <row r="252606" s="12" customFormat="1" x14ac:dyDescent="0.25"/>
    <row r="252607" s="12" customFormat="1" x14ac:dyDescent="0.25"/>
    <row r="252608" s="12" customFormat="1" x14ac:dyDescent="0.25"/>
    <row r="252609" s="12" customFormat="1" x14ac:dyDescent="0.25"/>
    <row r="252610" s="12" customFormat="1" x14ac:dyDescent="0.25"/>
    <row r="252611" s="12" customFormat="1" x14ac:dyDescent="0.25"/>
    <row r="252612" s="12" customFormat="1" x14ac:dyDescent="0.25"/>
    <row r="252613" s="12" customFormat="1" x14ac:dyDescent="0.25"/>
    <row r="252614" s="12" customFormat="1" x14ac:dyDescent="0.25"/>
    <row r="252615" s="12" customFormat="1" x14ac:dyDescent="0.25"/>
    <row r="252616" s="12" customFormat="1" x14ac:dyDescent="0.25"/>
    <row r="252617" s="12" customFormat="1" x14ac:dyDescent="0.25"/>
    <row r="252618" s="12" customFormat="1" x14ac:dyDescent="0.25"/>
    <row r="252619" s="12" customFormat="1" x14ac:dyDescent="0.25"/>
    <row r="252620" s="12" customFormat="1" x14ac:dyDescent="0.25"/>
    <row r="252621" s="12" customFormat="1" x14ac:dyDescent="0.25"/>
    <row r="252622" s="12" customFormat="1" x14ac:dyDescent="0.25"/>
    <row r="252623" s="12" customFormat="1" x14ac:dyDescent="0.25"/>
    <row r="252624" s="12" customFormat="1" x14ac:dyDescent="0.25"/>
    <row r="252625" s="12" customFormat="1" x14ac:dyDescent="0.25"/>
    <row r="252626" s="12" customFormat="1" x14ac:dyDescent="0.25"/>
    <row r="252627" s="12" customFormat="1" x14ac:dyDescent="0.25"/>
    <row r="252628" s="12" customFormat="1" x14ac:dyDescent="0.25"/>
    <row r="252629" s="12" customFormat="1" x14ac:dyDescent="0.25"/>
    <row r="252630" s="12" customFormat="1" x14ac:dyDescent="0.25"/>
    <row r="252631" s="12" customFormat="1" x14ac:dyDescent="0.25"/>
    <row r="252632" s="12" customFormat="1" x14ac:dyDescent="0.25"/>
    <row r="252633" s="12" customFormat="1" x14ac:dyDescent="0.25"/>
    <row r="252634" s="12" customFormat="1" x14ac:dyDescent="0.25"/>
    <row r="252635" s="12" customFormat="1" x14ac:dyDescent="0.25"/>
    <row r="252636" s="12" customFormat="1" x14ac:dyDescent="0.25"/>
    <row r="252637" s="12" customFormat="1" x14ac:dyDescent="0.25"/>
    <row r="252638" s="12" customFormat="1" x14ac:dyDescent="0.25"/>
    <row r="252639" s="12" customFormat="1" x14ac:dyDescent="0.25"/>
    <row r="252640" s="12" customFormat="1" x14ac:dyDescent="0.25"/>
    <row r="252641" s="12" customFormat="1" x14ac:dyDescent="0.25"/>
    <row r="252642" s="12" customFormat="1" x14ac:dyDescent="0.25"/>
    <row r="252643" s="12" customFormat="1" x14ac:dyDescent="0.25"/>
    <row r="252644" s="12" customFormat="1" x14ac:dyDescent="0.25"/>
    <row r="252645" s="12" customFormat="1" x14ac:dyDescent="0.25"/>
    <row r="252646" s="12" customFormat="1" x14ac:dyDescent="0.25"/>
    <row r="252647" s="12" customFormat="1" x14ac:dyDescent="0.25"/>
    <row r="252648" s="12" customFormat="1" x14ac:dyDescent="0.25"/>
    <row r="252649" s="12" customFormat="1" x14ac:dyDescent="0.25"/>
    <row r="252650" s="12" customFormat="1" x14ac:dyDescent="0.25"/>
    <row r="252651" s="12" customFormat="1" x14ac:dyDescent="0.25"/>
    <row r="252652" s="12" customFormat="1" x14ac:dyDescent="0.25"/>
    <row r="252653" s="12" customFormat="1" x14ac:dyDescent="0.25"/>
    <row r="252654" s="12" customFormat="1" x14ac:dyDescent="0.25"/>
    <row r="252655" s="12" customFormat="1" x14ac:dyDescent="0.25"/>
    <row r="252656" s="12" customFormat="1" x14ac:dyDescent="0.25"/>
    <row r="252657" s="12" customFormat="1" x14ac:dyDescent="0.25"/>
    <row r="252658" s="12" customFormat="1" x14ac:dyDescent="0.25"/>
    <row r="252659" s="12" customFormat="1" x14ac:dyDescent="0.25"/>
    <row r="252660" s="12" customFormat="1" x14ac:dyDescent="0.25"/>
    <row r="252661" s="12" customFormat="1" x14ac:dyDescent="0.25"/>
    <row r="252662" s="12" customFormat="1" x14ac:dyDescent="0.25"/>
    <row r="252663" s="12" customFormat="1" x14ac:dyDescent="0.25"/>
    <row r="252664" s="12" customFormat="1" x14ac:dyDescent="0.25"/>
    <row r="252665" s="12" customFormat="1" x14ac:dyDescent="0.25"/>
    <row r="252666" s="12" customFormat="1" x14ac:dyDescent="0.25"/>
    <row r="252667" s="12" customFormat="1" x14ac:dyDescent="0.25"/>
    <row r="252668" s="12" customFormat="1" x14ac:dyDescent="0.25"/>
    <row r="252669" s="12" customFormat="1" x14ac:dyDescent="0.25"/>
    <row r="252670" s="12" customFormat="1" x14ac:dyDescent="0.25"/>
    <row r="252671" s="12" customFormat="1" x14ac:dyDescent="0.25"/>
    <row r="252672" s="12" customFormat="1" x14ac:dyDescent="0.25"/>
    <row r="252673" s="12" customFormat="1" x14ac:dyDescent="0.25"/>
    <row r="252674" s="12" customFormat="1" x14ac:dyDescent="0.25"/>
    <row r="252675" s="12" customFormat="1" x14ac:dyDescent="0.25"/>
    <row r="252676" s="12" customFormat="1" x14ac:dyDescent="0.25"/>
    <row r="252677" s="12" customFormat="1" x14ac:dyDescent="0.25"/>
    <row r="252678" s="12" customFormat="1" x14ac:dyDescent="0.25"/>
    <row r="252679" s="12" customFormat="1" x14ac:dyDescent="0.25"/>
    <row r="252680" s="12" customFormat="1" x14ac:dyDescent="0.25"/>
    <row r="252681" s="12" customFormat="1" x14ac:dyDescent="0.25"/>
    <row r="252682" s="12" customFormat="1" x14ac:dyDescent="0.25"/>
    <row r="252683" s="12" customFormat="1" x14ac:dyDescent="0.25"/>
    <row r="252684" s="12" customFormat="1" x14ac:dyDescent="0.25"/>
    <row r="252685" s="12" customFormat="1" x14ac:dyDescent="0.25"/>
    <row r="252686" s="12" customFormat="1" x14ac:dyDescent="0.25"/>
    <row r="252687" s="12" customFormat="1" x14ac:dyDescent="0.25"/>
    <row r="252688" s="12" customFormat="1" x14ac:dyDescent="0.25"/>
    <row r="252689" s="12" customFormat="1" x14ac:dyDescent="0.25"/>
    <row r="252690" s="12" customFormat="1" x14ac:dyDescent="0.25"/>
    <row r="252691" s="12" customFormat="1" x14ac:dyDescent="0.25"/>
    <row r="252692" s="12" customFormat="1" x14ac:dyDescent="0.25"/>
    <row r="252693" s="12" customFormat="1" x14ac:dyDescent="0.25"/>
    <row r="252694" s="12" customFormat="1" x14ac:dyDescent="0.25"/>
    <row r="252695" s="12" customFormat="1" x14ac:dyDescent="0.25"/>
    <row r="252696" s="12" customFormat="1" x14ac:dyDescent="0.25"/>
    <row r="252697" s="12" customFormat="1" x14ac:dyDescent="0.25"/>
    <row r="252698" s="12" customFormat="1" x14ac:dyDescent="0.25"/>
    <row r="252699" s="12" customFormat="1" x14ac:dyDescent="0.25"/>
    <row r="252700" s="12" customFormat="1" x14ac:dyDescent="0.25"/>
    <row r="252701" s="12" customFormat="1" x14ac:dyDescent="0.25"/>
    <row r="252702" s="12" customFormat="1" x14ac:dyDescent="0.25"/>
    <row r="252703" s="12" customFormat="1" x14ac:dyDescent="0.25"/>
    <row r="252704" s="12" customFormat="1" x14ac:dyDescent="0.25"/>
    <row r="252705" s="12" customFormat="1" x14ac:dyDescent="0.25"/>
    <row r="252706" s="12" customFormat="1" x14ac:dyDescent="0.25"/>
    <row r="252707" s="12" customFormat="1" x14ac:dyDescent="0.25"/>
    <row r="252708" s="12" customFormat="1" x14ac:dyDescent="0.25"/>
    <row r="252709" s="12" customFormat="1" x14ac:dyDescent="0.25"/>
    <row r="252710" s="12" customFormat="1" x14ac:dyDescent="0.25"/>
    <row r="252711" s="12" customFormat="1" x14ac:dyDescent="0.25"/>
    <row r="252712" s="12" customFormat="1" x14ac:dyDescent="0.25"/>
    <row r="252713" s="12" customFormat="1" x14ac:dyDescent="0.25"/>
    <row r="252714" s="12" customFormat="1" x14ac:dyDescent="0.25"/>
    <row r="252715" s="12" customFormat="1" x14ac:dyDescent="0.25"/>
    <row r="252716" s="12" customFormat="1" x14ac:dyDescent="0.25"/>
    <row r="252717" s="12" customFormat="1" x14ac:dyDescent="0.25"/>
    <row r="252718" s="12" customFormat="1" x14ac:dyDescent="0.25"/>
    <row r="252719" s="12" customFormat="1" x14ac:dyDescent="0.25"/>
    <row r="252720" s="12" customFormat="1" x14ac:dyDescent="0.25"/>
    <row r="252721" s="12" customFormat="1" x14ac:dyDescent="0.25"/>
    <row r="252722" s="12" customFormat="1" x14ac:dyDescent="0.25"/>
    <row r="252723" s="12" customFormat="1" x14ac:dyDescent="0.25"/>
    <row r="252724" s="12" customFormat="1" x14ac:dyDescent="0.25"/>
    <row r="252725" s="12" customFormat="1" x14ac:dyDescent="0.25"/>
    <row r="252726" s="12" customFormat="1" x14ac:dyDescent="0.25"/>
    <row r="252727" s="12" customFormat="1" x14ac:dyDescent="0.25"/>
    <row r="252728" s="12" customFormat="1" x14ac:dyDescent="0.25"/>
    <row r="252729" s="12" customFormat="1" x14ac:dyDescent="0.25"/>
    <row r="252730" s="12" customFormat="1" x14ac:dyDescent="0.25"/>
    <row r="252731" s="12" customFormat="1" x14ac:dyDescent="0.25"/>
    <row r="252732" s="12" customFormat="1" x14ac:dyDescent="0.25"/>
    <row r="252733" s="12" customFormat="1" x14ac:dyDescent="0.25"/>
    <row r="252734" s="12" customFormat="1" x14ac:dyDescent="0.25"/>
    <row r="252735" s="12" customFormat="1" x14ac:dyDescent="0.25"/>
    <row r="252736" s="12" customFormat="1" x14ac:dyDescent="0.25"/>
    <row r="252737" s="12" customFormat="1" x14ac:dyDescent="0.25"/>
    <row r="252738" s="12" customFormat="1" x14ac:dyDescent="0.25"/>
    <row r="252739" s="12" customFormat="1" x14ac:dyDescent="0.25"/>
    <row r="252740" s="12" customFormat="1" x14ac:dyDescent="0.25"/>
    <row r="252741" s="12" customFormat="1" x14ac:dyDescent="0.25"/>
    <row r="252742" s="12" customFormat="1" x14ac:dyDescent="0.25"/>
    <row r="252743" s="12" customFormat="1" x14ac:dyDescent="0.25"/>
    <row r="252744" s="12" customFormat="1" x14ac:dyDescent="0.25"/>
    <row r="252745" s="12" customFormat="1" x14ac:dyDescent="0.25"/>
    <row r="252746" s="12" customFormat="1" x14ac:dyDescent="0.25"/>
    <row r="252747" s="12" customFormat="1" x14ac:dyDescent="0.25"/>
    <row r="252748" s="12" customFormat="1" x14ac:dyDescent="0.25"/>
    <row r="252749" s="12" customFormat="1" x14ac:dyDescent="0.25"/>
    <row r="252750" s="12" customFormat="1" x14ac:dyDescent="0.25"/>
    <row r="252751" s="12" customFormat="1" x14ac:dyDescent="0.25"/>
    <row r="252752" s="12" customFormat="1" x14ac:dyDescent="0.25"/>
    <row r="252753" s="12" customFormat="1" x14ac:dyDescent="0.25"/>
    <row r="252754" s="12" customFormat="1" x14ac:dyDescent="0.25"/>
    <row r="252755" s="12" customFormat="1" x14ac:dyDescent="0.25"/>
    <row r="252756" s="12" customFormat="1" x14ac:dyDescent="0.25"/>
    <row r="252757" s="12" customFormat="1" x14ac:dyDescent="0.25"/>
    <row r="252758" s="12" customFormat="1" x14ac:dyDescent="0.25"/>
    <row r="252759" s="12" customFormat="1" x14ac:dyDescent="0.25"/>
    <row r="252760" s="12" customFormat="1" x14ac:dyDescent="0.25"/>
    <row r="252761" s="12" customFormat="1" x14ac:dyDescent="0.25"/>
    <row r="252762" s="12" customFormat="1" x14ac:dyDescent="0.25"/>
    <row r="252763" s="12" customFormat="1" x14ac:dyDescent="0.25"/>
    <row r="252764" s="12" customFormat="1" x14ac:dyDescent="0.25"/>
    <row r="252765" s="12" customFormat="1" x14ac:dyDescent="0.25"/>
    <row r="252766" s="12" customFormat="1" x14ac:dyDescent="0.25"/>
    <row r="252767" s="12" customFormat="1" x14ac:dyDescent="0.25"/>
    <row r="252768" s="12" customFormat="1" x14ac:dyDescent="0.25"/>
    <row r="252769" s="12" customFormat="1" x14ac:dyDescent="0.25"/>
    <row r="252770" s="12" customFormat="1" x14ac:dyDescent="0.25"/>
    <row r="252771" s="12" customFormat="1" x14ac:dyDescent="0.25"/>
    <row r="252772" s="12" customFormat="1" x14ac:dyDescent="0.25"/>
    <row r="252773" s="12" customFormat="1" x14ac:dyDescent="0.25"/>
    <row r="252774" s="12" customFormat="1" x14ac:dyDescent="0.25"/>
    <row r="252775" s="12" customFormat="1" x14ac:dyDescent="0.25"/>
    <row r="252776" s="12" customFormat="1" x14ac:dyDescent="0.25"/>
    <row r="252777" s="12" customFormat="1" x14ac:dyDescent="0.25"/>
    <row r="252778" s="12" customFormat="1" x14ac:dyDescent="0.25"/>
    <row r="252779" s="12" customFormat="1" x14ac:dyDescent="0.25"/>
    <row r="252780" s="12" customFormat="1" x14ac:dyDescent="0.25"/>
    <row r="252781" s="12" customFormat="1" x14ac:dyDescent="0.25"/>
    <row r="252782" s="12" customFormat="1" x14ac:dyDescent="0.25"/>
    <row r="252783" s="12" customFormat="1" x14ac:dyDescent="0.25"/>
    <row r="252784" s="12" customFormat="1" x14ac:dyDescent="0.25"/>
    <row r="252785" s="12" customFormat="1" x14ac:dyDescent="0.25"/>
    <row r="252786" s="12" customFormat="1" x14ac:dyDescent="0.25"/>
    <row r="252787" s="12" customFormat="1" x14ac:dyDescent="0.25"/>
    <row r="252788" s="12" customFormat="1" x14ac:dyDescent="0.25"/>
    <row r="252789" s="12" customFormat="1" x14ac:dyDescent="0.25"/>
    <row r="252790" s="12" customFormat="1" x14ac:dyDescent="0.25"/>
    <row r="252791" s="12" customFormat="1" x14ac:dyDescent="0.25"/>
    <row r="252792" s="12" customFormat="1" x14ac:dyDescent="0.25"/>
    <row r="252793" s="12" customFormat="1" x14ac:dyDescent="0.25"/>
    <row r="252794" s="12" customFormat="1" x14ac:dyDescent="0.25"/>
    <row r="252795" s="12" customFormat="1" x14ac:dyDescent="0.25"/>
    <row r="252796" s="12" customFormat="1" x14ac:dyDescent="0.25"/>
    <row r="252797" s="12" customFormat="1" x14ac:dyDescent="0.25"/>
    <row r="252798" s="12" customFormat="1" x14ac:dyDescent="0.25"/>
    <row r="252799" s="12" customFormat="1" x14ac:dyDescent="0.25"/>
    <row r="252800" s="12" customFormat="1" x14ac:dyDescent="0.25"/>
    <row r="252801" s="12" customFormat="1" x14ac:dyDescent="0.25"/>
    <row r="252802" s="12" customFormat="1" x14ac:dyDescent="0.25"/>
    <row r="252803" s="12" customFormat="1" x14ac:dyDescent="0.25"/>
    <row r="252804" s="12" customFormat="1" x14ac:dyDescent="0.25"/>
    <row r="252805" s="12" customFormat="1" x14ac:dyDescent="0.25"/>
    <row r="252806" s="12" customFormat="1" x14ac:dyDescent="0.25"/>
    <row r="252807" s="12" customFormat="1" x14ac:dyDescent="0.25"/>
    <row r="252808" s="12" customFormat="1" x14ac:dyDescent="0.25"/>
    <row r="252809" s="12" customFormat="1" x14ac:dyDescent="0.25"/>
    <row r="252810" s="12" customFormat="1" x14ac:dyDescent="0.25"/>
    <row r="252811" s="12" customFormat="1" x14ac:dyDescent="0.25"/>
    <row r="252812" s="12" customFormat="1" x14ac:dyDescent="0.25"/>
    <row r="252813" s="12" customFormat="1" x14ac:dyDescent="0.25"/>
    <row r="252814" s="12" customFormat="1" x14ac:dyDescent="0.25"/>
    <row r="252815" s="12" customFormat="1" x14ac:dyDescent="0.25"/>
    <row r="252816" s="12" customFormat="1" x14ac:dyDescent="0.25"/>
    <row r="252817" s="12" customFormat="1" x14ac:dyDescent="0.25"/>
    <row r="252818" s="12" customFormat="1" x14ac:dyDescent="0.25"/>
    <row r="252819" s="12" customFormat="1" x14ac:dyDescent="0.25"/>
    <row r="252820" s="12" customFormat="1" x14ac:dyDescent="0.25"/>
    <row r="252821" s="12" customFormat="1" x14ac:dyDescent="0.25"/>
    <row r="252822" s="12" customFormat="1" x14ac:dyDescent="0.25"/>
    <row r="252823" s="12" customFormat="1" x14ac:dyDescent="0.25"/>
    <row r="252824" s="12" customFormat="1" x14ac:dyDescent="0.25"/>
    <row r="252825" s="12" customFormat="1" x14ac:dyDescent="0.25"/>
    <row r="252826" s="12" customFormat="1" x14ac:dyDescent="0.25"/>
    <row r="252827" s="12" customFormat="1" x14ac:dyDescent="0.25"/>
    <row r="252828" s="12" customFormat="1" x14ac:dyDescent="0.25"/>
    <row r="252829" s="12" customFormat="1" x14ac:dyDescent="0.25"/>
    <row r="252830" s="12" customFormat="1" x14ac:dyDescent="0.25"/>
    <row r="252831" s="12" customFormat="1" x14ac:dyDescent="0.25"/>
    <row r="252832" s="12" customFormat="1" x14ac:dyDescent="0.25"/>
    <row r="252833" s="12" customFormat="1" x14ac:dyDescent="0.25"/>
    <row r="252834" s="12" customFormat="1" x14ac:dyDescent="0.25"/>
    <row r="252835" s="12" customFormat="1" x14ac:dyDescent="0.25"/>
    <row r="252836" s="12" customFormat="1" x14ac:dyDescent="0.25"/>
    <row r="252837" s="12" customFormat="1" x14ac:dyDescent="0.25"/>
    <row r="252838" s="12" customFormat="1" x14ac:dyDescent="0.25"/>
    <row r="252839" s="12" customFormat="1" x14ac:dyDescent="0.25"/>
    <row r="252840" s="12" customFormat="1" x14ac:dyDescent="0.25"/>
    <row r="252841" s="12" customFormat="1" x14ac:dyDescent="0.25"/>
    <row r="252842" s="12" customFormat="1" x14ac:dyDescent="0.25"/>
    <row r="252843" s="12" customFormat="1" x14ac:dyDescent="0.25"/>
    <row r="252844" s="12" customFormat="1" x14ac:dyDescent="0.25"/>
    <row r="252845" s="12" customFormat="1" x14ac:dyDescent="0.25"/>
    <row r="252846" s="12" customFormat="1" x14ac:dyDescent="0.25"/>
    <row r="252847" s="12" customFormat="1" x14ac:dyDescent="0.25"/>
    <row r="252848" s="12" customFormat="1" x14ac:dyDescent="0.25"/>
    <row r="252849" s="12" customFormat="1" x14ac:dyDescent="0.25"/>
    <row r="252850" s="12" customFormat="1" x14ac:dyDescent="0.25"/>
    <row r="252851" s="12" customFormat="1" x14ac:dyDescent="0.25"/>
    <row r="252852" s="12" customFormat="1" x14ac:dyDescent="0.25"/>
    <row r="252853" s="12" customFormat="1" x14ac:dyDescent="0.25"/>
    <row r="252854" s="12" customFormat="1" x14ac:dyDescent="0.25"/>
    <row r="252855" s="12" customFormat="1" x14ac:dyDescent="0.25"/>
    <row r="252856" s="12" customFormat="1" x14ac:dyDescent="0.25"/>
    <row r="252857" s="12" customFormat="1" x14ac:dyDescent="0.25"/>
    <row r="252858" s="12" customFormat="1" x14ac:dyDescent="0.25"/>
    <row r="252859" s="12" customFormat="1" x14ac:dyDescent="0.25"/>
    <row r="252860" s="12" customFormat="1" x14ac:dyDescent="0.25"/>
    <row r="252861" s="12" customFormat="1" x14ac:dyDescent="0.25"/>
    <row r="252862" s="12" customFormat="1" x14ac:dyDescent="0.25"/>
    <row r="252863" s="12" customFormat="1" x14ac:dyDescent="0.25"/>
    <row r="252864" s="12" customFormat="1" x14ac:dyDescent="0.25"/>
    <row r="252865" s="12" customFormat="1" x14ac:dyDescent="0.25"/>
    <row r="252866" s="12" customFormat="1" x14ac:dyDescent="0.25"/>
    <row r="252867" s="12" customFormat="1" x14ac:dyDescent="0.25"/>
    <row r="252868" s="12" customFormat="1" x14ac:dyDescent="0.25"/>
    <row r="252869" s="12" customFormat="1" x14ac:dyDescent="0.25"/>
    <row r="252870" s="12" customFormat="1" x14ac:dyDescent="0.25"/>
    <row r="252871" s="12" customFormat="1" x14ac:dyDescent="0.25"/>
    <row r="252872" s="12" customFormat="1" x14ac:dyDescent="0.25"/>
    <row r="252873" s="12" customFormat="1" x14ac:dyDescent="0.25"/>
    <row r="252874" s="12" customFormat="1" x14ac:dyDescent="0.25"/>
    <row r="252875" s="12" customFormat="1" x14ac:dyDescent="0.25"/>
    <row r="252876" s="12" customFormat="1" x14ac:dyDescent="0.25"/>
    <row r="252877" s="12" customFormat="1" x14ac:dyDescent="0.25"/>
    <row r="252878" s="12" customFormat="1" x14ac:dyDescent="0.25"/>
    <row r="252879" s="12" customFormat="1" x14ac:dyDescent="0.25"/>
    <row r="252880" s="12" customFormat="1" x14ac:dyDescent="0.25"/>
    <row r="252881" s="12" customFormat="1" x14ac:dyDescent="0.25"/>
    <row r="252882" s="12" customFormat="1" x14ac:dyDescent="0.25"/>
    <row r="252883" s="12" customFormat="1" x14ac:dyDescent="0.25"/>
    <row r="252884" s="12" customFormat="1" x14ac:dyDescent="0.25"/>
    <row r="252885" s="12" customFormat="1" x14ac:dyDescent="0.25"/>
    <row r="252886" s="12" customFormat="1" x14ac:dyDescent="0.25"/>
    <row r="252887" s="12" customFormat="1" x14ac:dyDescent="0.25"/>
    <row r="252888" s="12" customFormat="1" x14ac:dyDescent="0.25"/>
    <row r="252889" s="12" customFormat="1" x14ac:dyDescent="0.25"/>
    <row r="252890" s="12" customFormat="1" x14ac:dyDescent="0.25"/>
    <row r="252891" s="12" customFormat="1" x14ac:dyDescent="0.25"/>
    <row r="252892" s="12" customFormat="1" x14ac:dyDescent="0.25"/>
    <row r="252893" s="12" customFormat="1" x14ac:dyDescent="0.25"/>
    <row r="252894" s="12" customFormat="1" x14ac:dyDescent="0.25"/>
    <row r="252895" s="12" customFormat="1" x14ac:dyDescent="0.25"/>
    <row r="252896" s="12" customFormat="1" x14ac:dyDescent="0.25"/>
    <row r="252897" s="12" customFormat="1" x14ac:dyDescent="0.25"/>
    <row r="252898" s="12" customFormat="1" x14ac:dyDescent="0.25"/>
    <row r="252899" s="12" customFormat="1" x14ac:dyDescent="0.25"/>
    <row r="252900" s="12" customFormat="1" x14ac:dyDescent="0.25"/>
    <row r="252901" s="12" customFormat="1" x14ac:dyDescent="0.25"/>
    <row r="252902" s="12" customFormat="1" x14ac:dyDescent="0.25"/>
    <row r="252903" s="12" customFormat="1" x14ac:dyDescent="0.25"/>
    <row r="252904" s="12" customFormat="1" x14ac:dyDescent="0.25"/>
    <row r="252905" s="12" customFormat="1" x14ac:dyDescent="0.25"/>
    <row r="252906" s="12" customFormat="1" x14ac:dyDescent="0.25"/>
    <row r="252907" s="12" customFormat="1" x14ac:dyDescent="0.25"/>
    <row r="252908" s="12" customFormat="1" x14ac:dyDescent="0.25"/>
    <row r="252909" s="12" customFormat="1" x14ac:dyDescent="0.25"/>
    <row r="252910" s="12" customFormat="1" x14ac:dyDescent="0.25"/>
    <row r="252911" s="12" customFormat="1" x14ac:dyDescent="0.25"/>
    <row r="252912" s="12" customFormat="1" x14ac:dyDescent="0.25"/>
    <row r="252913" s="12" customFormat="1" x14ac:dyDescent="0.25"/>
    <row r="252914" s="12" customFormat="1" x14ac:dyDescent="0.25"/>
    <row r="252915" s="12" customFormat="1" x14ac:dyDescent="0.25"/>
    <row r="252916" s="12" customFormat="1" x14ac:dyDescent="0.25"/>
    <row r="252917" s="12" customFormat="1" x14ac:dyDescent="0.25"/>
    <row r="252918" s="12" customFormat="1" x14ac:dyDescent="0.25"/>
    <row r="252919" s="12" customFormat="1" x14ac:dyDescent="0.25"/>
    <row r="252920" s="12" customFormat="1" x14ac:dyDescent="0.25"/>
    <row r="252921" s="12" customFormat="1" x14ac:dyDescent="0.25"/>
    <row r="252922" s="12" customFormat="1" x14ac:dyDescent="0.25"/>
    <row r="252923" s="12" customFormat="1" x14ac:dyDescent="0.25"/>
    <row r="252924" s="12" customFormat="1" x14ac:dyDescent="0.25"/>
    <row r="252925" s="12" customFormat="1" x14ac:dyDescent="0.25"/>
    <row r="252926" s="12" customFormat="1" x14ac:dyDescent="0.25"/>
    <row r="252927" s="12" customFormat="1" x14ac:dyDescent="0.25"/>
    <row r="252928" s="12" customFormat="1" x14ac:dyDescent="0.25"/>
    <row r="252929" s="12" customFormat="1" x14ac:dyDescent="0.25"/>
    <row r="252930" s="12" customFormat="1" x14ac:dyDescent="0.25"/>
    <row r="252931" s="12" customFormat="1" x14ac:dyDescent="0.25"/>
    <row r="252932" s="12" customFormat="1" x14ac:dyDescent="0.25"/>
    <row r="252933" s="12" customFormat="1" x14ac:dyDescent="0.25"/>
    <row r="252934" s="12" customFormat="1" x14ac:dyDescent="0.25"/>
    <row r="252935" s="12" customFormat="1" x14ac:dyDescent="0.25"/>
    <row r="252936" s="12" customFormat="1" x14ac:dyDescent="0.25"/>
    <row r="252937" s="12" customFormat="1" x14ac:dyDescent="0.25"/>
    <row r="252938" s="12" customFormat="1" x14ac:dyDescent="0.25"/>
    <row r="252939" s="12" customFormat="1" x14ac:dyDescent="0.25"/>
    <row r="252940" s="12" customFormat="1" x14ac:dyDescent="0.25"/>
    <row r="252941" s="12" customFormat="1" x14ac:dyDescent="0.25"/>
    <row r="252942" s="12" customFormat="1" x14ac:dyDescent="0.25"/>
    <row r="252943" s="12" customFormat="1" x14ac:dyDescent="0.25"/>
    <row r="252944" s="12" customFormat="1" x14ac:dyDescent="0.25"/>
    <row r="252945" s="12" customFormat="1" x14ac:dyDescent="0.25"/>
    <row r="252946" s="12" customFormat="1" x14ac:dyDescent="0.25"/>
    <row r="252947" s="12" customFormat="1" x14ac:dyDescent="0.25"/>
    <row r="252948" s="12" customFormat="1" x14ac:dyDescent="0.25"/>
    <row r="252949" s="12" customFormat="1" x14ac:dyDescent="0.25"/>
    <row r="252950" s="12" customFormat="1" x14ac:dyDescent="0.25"/>
    <row r="252951" s="12" customFormat="1" x14ac:dyDescent="0.25"/>
    <row r="252952" s="12" customFormat="1" x14ac:dyDescent="0.25"/>
    <row r="252953" s="12" customFormat="1" x14ac:dyDescent="0.25"/>
    <row r="252954" s="12" customFormat="1" x14ac:dyDescent="0.25"/>
    <row r="252955" s="12" customFormat="1" x14ac:dyDescent="0.25"/>
    <row r="252956" s="12" customFormat="1" x14ac:dyDescent="0.25"/>
    <row r="252957" s="12" customFormat="1" x14ac:dyDescent="0.25"/>
    <row r="252958" s="12" customFormat="1" x14ac:dyDescent="0.25"/>
    <row r="252959" s="12" customFormat="1" x14ac:dyDescent="0.25"/>
    <row r="252960" s="12" customFormat="1" x14ac:dyDescent="0.25"/>
    <row r="252961" s="12" customFormat="1" x14ac:dyDescent="0.25"/>
    <row r="252962" s="12" customFormat="1" x14ac:dyDescent="0.25"/>
    <row r="252963" s="12" customFormat="1" x14ac:dyDescent="0.25"/>
    <row r="252964" s="12" customFormat="1" x14ac:dyDescent="0.25"/>
    <row r="252965" s="12" customFormat="1" x14ac:dyDescent="0.25"/>
    <row r="252966" s="12" customFormat="1" x14ac:dyDescent="0.25"/>
    <row r="252967" s="12" customFormat="1" x14ac:dyDescent="0.25"/>
    <row r="252968" s="12" customFormat="1" x14ac:dyDescent="0.25"/>
    <row r="252969" s="12" customFormat="1" x14ac:dyDescent="0.25"/>
    <row r="252970" s="12" customFormat="1" x14ac:dyDescent="0.25"/>
    <row r="252971" s="12" customFormat="1" x14ac:dyDescent="0.25"/>
    <row r="252972" s="12" customFormat="1" x14ac:dyDescent="0.25"/>
    <row r="252973" s="12" customFormat="1" x14ac:dyDescent="0.25"/>
    <row r="252974" s="12" customFormat="1" x14ac:dyDescent="0.25"/>
    <row r="252975" s="12" customFormat="1" x14ac:dyDescent="0.25"/>
    <row r="252976" s="12" customFormat="1" x14ac:dyDescent="0.25"/>
    <row r="252977" s="12" customFormat="1" x14ac:dyDescent="0.25"/>
    <row r="252978" s="12" customFormat="1" x14ac:dyDescent="0.25"/>
    <row r="252979" s="12" customFormat="1" x14ac:dyDescent="0.25"/>
    <row r="252980" s="12" customFormat="1" x14ac:dyDescent="0.25"/>
    <row r="252981" s="12" customFormat="1" x14ac:dyDescent="0.25"/>
    <row r="252982" s="12" customFormat="1" x14ac:dyDescent="0.25"/>
    <row r="252983" s="12" customFormat="1" x14ac:dyDescent="0.25"/>
    <row r="252984" s="12" customFormat="1" x14ac:dyDescent="0.25"/>
    <row r="252985" s="12" customFormat="1" x14ac:dyDescent="0.25"/>
    <row r="252986" s="12" customFormat="1" x14ac:dyDescent="0.25"/>
    <row r="252987" s="12" customFormat="1" x14ac:dyDescent="0.25"/>
    <row r="252988" s="12" customFormat="1" x14ac:dyDescent="0.25"/>
    <row r="252989" s="12" customFormat="1" x14ac:dyDescent="0.25"/>
    <row r="252990" s="12" customFormat="1" x14ac:dyDescent="0.25"/>
    <row r="252991" s="12" customFormat="1" x14ac:dyDescent="0.25"/>
    <row r="252992" s="12" customFormat="1" x14ac:dyDescent="0.25"/>
    <row r="252993" s="12" customFormat="1" x14ac:dyDescent="0.25"/>
    <row r="252994" s="12" customFormat="1" x14ac:dyDescent="0.25"/>
    <row r="252995" s="12" customFormat="1" x14ac:dyDescent="0.25"/>
    <row r="252996" s="12" customFormat="1" x14ac:dyDescent="0.25"/>
    <row r="252997" s="12" customFormat="1" x14ac:dyDescent="0.25"/>
    <row r="252998" s="12" customFormat="1" x14ac:dyDescent="0.25"/>
    <row r="252999" s="12" customFormat="1" x14ac:dyDescent="0.25"/>
    <row r="253000" s="12" customFormat="1" x14ac:dyDescent="0.25"/>
    <row r="253001" s="12" customFormat="1" x14ac:dyDescent="0.25"/>
    <row r="253002" s="12" customFormat="1" x14ac:dyDescent="0.25"/>
    <row r="253003" s="12" customFormat="1" x14ac:dyDescent="0.25"/>
    <row r="253004" s="12" customFormat="1" x14ac:dyDescent="0.25"/>
    <row r="253005" s="12" customFormat="1" x14ac:dyDescent="0.25"/>
    <row r="253006" s="12" customFormat="1" x14ac:dyDescent="0.25"/>
    <row r="253007" s="12" customFormat="1" x14ac:dyDescent="0.25"/>
    <row r="253008" s="12" customFormat="1" x14ac:dyDescent="0.25"/>
    <row r="253009" s="12" customFormat="1" x14ac:dyDescent="0.25"/>
    <row r="253010" s="12" customFormat="1" x14ac:dyDescent="0.25"/>
    <row r="253011" s="12" customFormat="1" x14ac:dyDescent="0.25"/>
    <row r="253012" s="12" customFormat="1" x14ac:dyDescent="0.25"/>
    <row r="253013" s="12" customFormat="1" x14ac:dyDescent="0.25"/>
    <row r="253014" s="12" customFormat="1" x14ac:dyDescent="0.25"/>
    <row r="253015" s="12" customFormat="1" x14ac:dyDescent="0.25"/>
    <row r="253016" s="12" customFormat="1" x14ac:dyDescent="0.25"/>
    <row r="253017" s="12" customFormat="1" x14ac:dyDescent="0.25"/>
    <row r="253018" s="12" customFormat="1" x14ac:dyDescent="0.25"/>
    <row r="253019" s="12" customFormat="1" x14ac:dyDescent="0.25"/>
    <row r="253020" s="12" customFormat="1" x14ac:dyDescent="0.25"/>
    <row r="253021" s="12" customFormat="1" x14ac:dyDescent="0.25"/>
    <row r="253022" s="12" customFormat="1" x14ac:dyDescent="0.25"/>
    <row r="253023" s="12" customFormat="1" x14ac:dyDescent="0.25"/>
    <row r="253024" s="12" customFormat="1" x14ac:dyDescent="0.25"/>
    <row r="253025" s="12" customFormat="1" x14ac:dyDescent="0.25"/>
    <row r="253026" s="12" customFormat="1" x14ac:dyDescent="0.25"/>
    <row r="253027" s="12" customFormat="1" x14ac:dyDescent="0.25"/>
    <row r="253028" s="12" customFormat="1" x14ac:dyDescent="0.25"/>
    <row r="253029" s="12" customFormat="1" x14ac:dyDescent="0.25"/>
    <row r="253030" s="12" customFormat="1" x14ac:dyDescent="0.25"/>
    <row r="253031" s="12" customFormat="1" x14ac:dyDescent="0.25"/>
    <row r="253032" s="12" customFormat="1" x14ac:dyDescent="0.25"/>
    <row r="253033" s="12" customFormat="1" x14ac:dyDescent="0.25"/>
    <row r="253034" s="12" customFormat="1" x14ac:dyDescent="0.25"/>
    <row r="253035" s="12" customFormat="1" x14ac:dyDescent="0.25"/>
    <row r="253036" s="12" customFormat="1" x14ac:dyDescent="0.25"/>
    <row r="253037" s="12" customFormat="1" x14ac:dyDescent="0.25"/>
    <row r="253038" s="12" customFormat="1" x14ac:dyDescent="0.25"/>
    <row r="253039" s="12" customFormat="1" x14ac:dyDescent="0.25"/>
    <row r="253040" s="12" customFormat="1" x14ac:dyDescent="0.25"/>
    <row r="253041" s="12" customFormat="1" x14ac:dyDescent="0.25"/>
    <row r="253042" s="12" customFormat="1" x14ac:dyDescent="0.25"/>
    <row r="253043" s="12" customFormat="1" x14ac:dyDescent="0.25"/>
    <row r="253044" s="12" customFormat="1" x14ac:dyDescent="0.25"/>
    <row r="253045" s="12" customFormat="1" x14ac:dyDescent="0.25"/>
    <row r="253046" s="12" customFormat="1" x14ac:dyDescent="0.25"/>
    <row r="253047" s="12" customFormat="1" x14ac:dyDescent="0.25"/>
    <row r="253048" s="12" customFormat="1" x14ac:dyDescent="0.25"/>
    <row r="253049" s="12" customFormat="1" x14ac:dyDescent="0.25"/>
    <row r="253050" s="12" customFormat="1" x14ac:dyDescent="0.25"/>
    <row r="253051" s="12" customFormat="1" x14ac:dyDescent="0.25"/>
    <row r="253052" s="12" customFormat="1" x14ac:dyDescent="0.25"/>
    <row r="253053" s="12" customFormat="1" x14ac:dyDescent="0.25"/>
    <row r="253054" s="12" customFormat="1" x14ac:dyDescent="0.25"/>
    <row r="253055" s="12" customFormat="1" x14ac:dyDescent="0.25"/>
    <row r="253056" s="12" customFormat="1" x14ac:dyDescent="0.25"/>
    <row r="253057" s="12" customFormat="1" x14ac:dyDescent="0.25"/>
    <row r="253058" s="12" customFormat="1" x14ac:dyDescent="0.25"/>
    <row r="253059" s="12" customFormat="1" x14ac:dyDescent="0.25"/>
    <row r="253060" s="12" customFormat="1" x14ac:dyDescent="0.25"/>
    <row r="253061" s="12" customFormat="1" x14ac:dyDescent="0.25"/>
    <row r="253062" s="12" customFormat="1" x14ac:dyDescent="0.25"/>
    <row r="253063" s="12" customFormat="1" x14ac:dyDescent="0.25"/>
    <row r="253064" s="12" customFormat="1" x14ac:dyDescent="0.25"/>
    <row r="253065" s="12" customFormat="1" x14ac:dyDescent="0.25"/>
    <row r="253066" s="12" customFormat="1" x14ac:dyDescent="0.25"/>
    <row r="253067" s="12" customFormat="1" x14ac:dyDescent="0.25"/>
    <row r="253068" s="12" customFormat="1" x14ac:dyDescent="0.25"/>
    <row r="253069" s="12" customFormat="1" x14ac:dyDescent="0.25"/>
    <row r="253070" s="12" customFormat="1" x14ac:dyDescent="0.25"/>
    <row r="253071" s="12" customFormat="1" x14ac:dyDescent="0.25"/>
    <row r="253072" s="12" customFormat="1" x14ac:dyDescent="0.25"/>
    <row r="253073" s="12" customFormat="1" x14ac:dyDescent="0.25"/>
    <row r="253074" s="12" customFormat="1" x14ac:dyDescent="0.25"/>
    <row r="253075" s="12" customFormat="1" x14ac:dyDescent="0.25"/>
    <row r="253076" s="12" customFormat="1" x14ac:dyDescent="0.25"/>
    <row r="253077" s="12" customFormat="1" x14ac:dyDescent="0.25"/>
    <row r="253078" s="12" customFormat="1" x14ac:dyDescent="0.25"/>
    <row r="253079" s="12" customFormat="1" x14ac:dyDescent="0.25"/>
    <row r="253080" s="12" customFormat="1" x14ac:dyDescent="0.25"/>
    <row r="253081" s="12" customFormat="1" x14ac:dyDescent="0.25"/>
    <row r="253082" s="12" customFormat="1" x14ac:dyDescent="0.25"/>
    <row r="253083" s="12" customFormat="1" x14ac:dyDescent="0.25"/>
    <row r="253084" s="12" customFormat="1" x14ac:dyDescent="0.25"/>
    <row r="253085" s="12" customFormat="1" x14ac:dyDescent="0.25"/>
    <row r="253086" s="12" customFormat="1" x14ac:dyDescent="0.25"/>
    <row r="253087" s="12" customFormat="1" x14ac:dyDescent="0.25"/>
    <row r="253088" s="12" customFormat="1" x14ac:dyDescent="0.25"/>
    <row r="253089" s="12" customFormat="1" x14ac:dyDescent="0.25"/>
    <row r="253090" s="12" customFormat="1" x14ac:dyDescent="0.25"/>
    <row r="253091" s="12" customFormat="1" x14ac:dyDescent="0.25"/>
    <row r="253092" s="12" customFormat="1" x14ac:dyDescent="0.25"/>
    <row r="253093" s="12" customFormat="1" x14ac:dyDescent="0.25"/>
    <row r="253094" s="12" customFormat="1" x14ac:dyDescent="0.25"/>
    <row r="253095" s="12" customFormat="1" x14ac:dyDescent="0.25"/>
    <row r="253096" s="12" customFormat="1" x14ac:dyDescent="0.25"/>
    <row r="253097" s="12" customFormat="1" x14ac:dyDescent="0.25"/>
    <row r="253098" s="12" customFormat="1" x14ac:dyDescent="0.25"/>
    <row r="253099" s="12" customFormat="1" x14ac:dyDescent="0.25"/>
    <row r="253100" s="12" customFormat="1" x14ac:dyDescent="0.25"/>
    <row r="253101" s="12" customFormat="1" x14ac:dyDescent="0.25"/>
    <row r="253102" s="12" customFormat="1" x14ac:dyDescent="0.25"/>
    <row r="253103" s="12" customFormat="1" x14ac:dyDescent="0.25"/>
    <row r="253104" s="12" customFormat="1" x14ac:dyDescent="0.25"/>
    <row r="253105" s="12" customFormat="1" x14ac:dyDescent="0.25"/>
    <row r="253106" s="12" customFormat="1" x14ac:dyDescent="0.25"/>
    <row r="253107" s="12" customFormat="1" x14ac:dyDescent="0.25"/>
    <row r="253108" s="12" customFormat="1" x14ac:dyDescent="0.25"/>
    <row r="253109" s="12" customFormat="1" x14ac:dyDescent="0.25"/>
    <row r="253110" s="12" customFormat="1" x14ac:dyDescent="0.25"/>
    <row r="253111" s="12" customFormat="1" x14ac:dyDescent="0.25"/>
    <row r="253112" s="12" customFormat="1" x14ac:dyDescent="0.25"/>
    <row r="253113" s="12" customFormat="1" x14ac:dyDescent="0.25"/>
    <row r="253114" s="12" customFormat="1" x14ac:dyDescent="0.25"/>
    <row r="253115" s="12" customFormat="1" x14ac:dyDescent="0.25"/>
    <row r="253116" s="12" customFormat="1" x14ac:dyDescent="0.25"/>
    <row r="253117" s="12" customFormat="1" x14ac:dyDescent="0.25"/>
    <row r="253118" s="12" customFormat="1" x14ac:dyDescent="0.25"/>
    <row r="253119" s="12" customFormat="1" x14ac:dyDescent="0.25"/>
    <row r="253120" s="12" customFormat="1" x14ac:dyDescent="0.25"/>
    <row r="253121" s="12" customFormat="1" x14ac:dyDescent="0.25"/>
    <row r="253122" s="12" customFormat="1" x14ac:dyDescent="0.25"/>
    <row r="253123" s="12" customFormat="1" x14ac:dyDescent="0.25"/>
    <row r="253124" s="12" customFormat="1" x14ac:dyDescent="0.25"/>
    <row r="253125" s="12" customFormat="1" x14ac:dyDescent="0.25"/>
    <row r="253126" s="12" customFormat="1" x14ac:dyDescent="0.25"/>
    <row r="253127" s="12" customFormat="1" x14ac:dyDescent="0.25"/>
    <row r="253128" s="12" customFormat="1" x14ac:dyDescent="0.25"/>
    <row r="253129" s="12" customFormat="1" x14ac:dyDescent="0.25"/>
    <row r="253130" s="12" customFormat="1" x14ac:dyDescent="0.25"/>
    <row r="253131" s="12" customFormat="1" x14ac:dyDescent="0.25"/>
    <row r="253132" s="12" customFormat="1" x14ac:dyDescent="0.25"/>
    <row r="253133" s="12" customFormat="1" x14ac:dyDescent="0.25"/>
    <row r="253134" s="12" customFormat="1" x14ac:dyDescent="0.25"/>
    <row r="253135" s="12" customFormat="1" x14ac:dyDescent="0.25"/>
    <row r="253136" s="12" customFormat="1" x14ac:dyDescent="0.25"/>
    <row r="253137" s="12" customFormat="1" x14ac:dyDescent="0.25"/>
    <row r="253138" s="12" customFormat="1" x14ac:dyDescent="0.25"/>
    <row r="253139" s="12" customFormat="1" x14ac:dyDescent="0.25"/>
    <row r="253140" s="12" customFormat="1" x14ac:dyDescent="0.25"/>
    <row r="253141" s="12" customFormat="1" x14ac:dyDescent="0.25"/>
    <row r="253142" s="12" customFormat="1" x14ac:dyDescent="0.25"/>
    <row r="253143" s="12" customFormat="1" x14ac:dyDescent="0.25"/>
    <row r="253144" s="12" customFormat="1" x14ac:dyDescent="0.25"/>
    <row r="253145" s="12" customFormat="1" x14ac:dyDescent="0.25"/>
    <row r="253146" s="12" customFormat="1" x14ac:dyDescent="0.25"/>
    <row r="253147" s="12" customFormat="1" x14ac:dyDescent="0.25"/>
    <row r="253148" s="12" customFormat="1" x14ac:dyDescent="0.25"/>
    <row r="253149" s="12" customFormat="1" x14ac:dyDescent="0.25"/>
    <row r="253150" s="12" customFormat="1" x14ac:dyDescent="0.25"/>
    <row r="253151" s="12" customFormat="1" x14ac:dyDescent="0.25"/>
    <row r="253152" s="12" customFormat="1" x14ac:dyDescent="0.25"/>
    <row r="253153" s="12" customFormat="1" x14ac:dyDescent="0.25"/>
    <row r="253154" s="12" customFormat="1" x14ac:dyDescent="0.25"/>
    <row r="253155" s="12" customFormat="1" x14ac:dyDescent="0.25"/>
    <row r="253156" s="12" customFormat="1" x14ac:dyDescent="0.25"/>
    <row r="253157" s="12" customFormat="1" x14ac:dyDescent="0.25"/>
    <row r="253158" s="12" customFormat="1" x14ac:dyDescent="0.25"/>
    <row r="253159" s="12" customFormat="1" x14ac:dyDescent="0.25"/>
    <row r="253160" s="12" customFormat="1" x14ac:dyDescent="0.25"/>
    <row r="253161" s="12" customFormat="1" x14ac:dyDescent="0.25"/>
    <row r="253162" s="12" customFormat="1" x14ac:dyDescent="0.25"/>
    <row r="253163" s="12" customFormat="1" x14ac:dyDescent="0.25"/>
    <row r="253164" s="12" customFormat="1" x14ac:dyDescent="0.25"/>
    <row r="253165" s="12" customFormat="1" x14ac:dyDescent="0.25"/>
    <row r="253166" s="12" customFormat="1" x14ac:dyDescent="0.25"/>
    <row r="253167" s="12" customFormat="1" x14ac:dyDescent="0.25"/>
    <row r="253168" s="12" customFormat="1" x14ac:dyDescent="0.25"/>
    <row r="253169" s="12" customFormat="1" x14ac:dyDescent="0.25"/>
    <row r="253170" s="12" customFormat="1" x14ac:dyDescent="0.25"/>
    <row r="253171" s="12" customFormat="1" x14ac:dyDescent="0.25"/>
    <row r="253172" s="12" customFormat="1" x14ac:dyDescent="0.25"/>
    <row r="253173" s="12" customFormat="1" x14ac:dyDescent="0.25"/>
    <row r="253174" s="12" customFormat="1" x14ac:dyDescent="0.25"/>
    <row r="253175" s="12" customFormat="1" x14ac:dyDescent="0.25"/>
    <row r="253176" s="12" customFormat="1" x14ac:dyDescent="0.25"/>
    <row r="253177" s="12" customFormat="1" x14ac:dyDescent="0.25"/>
    <row r="253178" s="12" customFormat="1" x14ac:dyDescent="0.25"/>
    <row r="253179" s="12" customFormat="1" x14ac:dyDescent="0.25"/>
    <row r="253180" s="12" customFormat="1" x14ac:dyDescent="0.25"/>
    <row r="253181" s="12" customFormat="1" x14ac:dyDescent="0.25"/>
    <row r="253182" s="12" customFormat="1" x14ac:dyDescent="0.25"/>
    <row r="253183" s="12" customFormat="1" x14ac:dyDescent="0.25"/>
    <row r="253184" s="12" customFormat="1" x14ac:dyDescent="0.25"/>
    <row r="253185" s="12" customFormat="1" x14ac:dyDescent="0.25"/>
    <row r="253186" s="12" customFormat="1" x14ac:dyDescent="0.25"/>
    <row r="253187" s="12" customFormat="1" x14ac:dyDescent="0.25"/>
    <row r="253188" s="12" customFormat="1" x14ac:dyDescent="0.25"/>
    <row r="253189" s="12" customFormat="1" x14ac:dyDescent="0.25"/>
    <row r="253190" s="12" customFormat="1" x14ac:dyDescent="0.25"/>
    <row r="253191" s="12" customFormat="1" x14ac:dyDescent="0.25"/>
    <row r="253192" s="12" customFormat="1" x14ac:dyDescent="0.25"/>
    <row r="253193" s="12" customFormat="1" x14ac:dyDescent="0.25"/>
    <row r="253194" s="12" customFormat="1" x14ac:dyDescent="0.25"/>
    <row r="253195" s="12" customFormat="1" x14ac:dyDescent="0.25"/>
    <row r="253196" s="12" customFormat="1" x14ac:dyDescent="0.25"/>
    <row r="253197" s="12" customFormat="1" x14ac:dyDescent="0.25"/>
    <row r="253198" s="12" customFormat="1" x14ac:dyDescent="0.25"/>
    <row r="253199" s="12" customFormat="1" x14ac:dyDescent="0.25"/>
    <row r="253200" s="12" customFormat="1" x14ac:dyDescent="0.25"/>
    <row r="253201" s="12" customFormat="1" x14ac:dyDescent="0.25"/>
    <row r="253202" s="12" customFormat="1" x14ac:dyDescent="0.25"/>
    <row r="253203" s="12" customFormat="1" x14ac:dyDescent="0.25"/>
    <row r="253204" s="12" customFormat="1" x14ac:dyDescent="0.25"/>
    <row r="253205" s="12" customFormat="1" x14ac:dyDescent="0.25"/>
    <row r="253206" s="12" customFormat="1" x14ac:dyDescent="0.25"/>
    <row r="253207" s="12" customFormat="1" x14ac:dyDescent="0.25"/>
    <row r="253208" s="12" customFormat="1" x14ac:dyDescent="0.25"/>
    <row r="253209" s="12" customFormat="1" x14ac:dyDescent="0.25"/>
    <row r="253210" s="12" customFormat="1" x14ac:dyDescent="0.25"/>
    <row r="253211" s="12" customFormat="1" x14ac:dyDescent="0.25"/>
    <row r="253212" s="12" customFormat="1" x14ac:dyDescent="0.25"/>
    <row r="253213" s="12" customFormat="1" x14ac:dyDescent="0.25"/>
    <row r="253214" s="12" customFormat="1" x14ac:dyDescent="0.25"/>
    <row r="253215" s="12" customFormat="1" x14ac:dyDescent="0.25"/>
    <row r="253216" s="12" customFormat="1" x14ac:dyDescent="0.25"/>
    <row r="253217" s="12" customFormat="1" x14ac:dyDescent="0.25"/>
    <row r="253218" s="12" customFormat="1" x14ac:dyDescent="0.25"/>
    <row r="253219" s="12" customFormat="1" x14ac:dyDescent="0.25"/>
    <row r="253220" s="12" customFormat="1" x14ac:dyDescent="0.25"/>
    <row r="253221" s="12" customFormat="1" x14ac:dyDescent="0.25"/>
    <row r="253222" s="12" customFormat="1" x14ac:dyDescent="0.25"/>
    <row r="253223" s="12" customFormat="1" x14ac:dyDescent="0.25"/>
    <row r="253224" s="12" customFormat="1" x14ac:dyDescent="0.25"/>
    <row r="253225" s="12" customFormat="1" x14ac:dyDescent="0.25"/>
    <row r="253226" s="12" customFormat="1" x14ac:dyDescent="0.25"/>
    <row r="253227" s="12" customFormat="1" x14ac:dyDescent="0.25"/>
    <row r="253228" s="12" customFormat="1" x14ac:dyDescent="0.25"/>
    <row r="253229" s="12" customFormat="1" x14ac:dyDescent="0.25"/>
    <row r="253230" s="12" customFormat="1" x14ac:dyDescent="0.25"/>
    <row r="253231" s="12" customFormat="1" x14ac:dyDescent="0.25"/>
    <row r="253232" s="12" customFormat="1" x14ac:dyDescent="0.25"/>
    <row r="253233" s="12" customFormat="1" x14ac:dyDescent="0.25"/>
    <row r="253234" s="12" customFormat="1" x14ac:dyDescent="0.25"/>
    <row r="253235" s="12" customFormat="1" x14ac:dyDescent="0.25"/>
    <row r="253236" s="12" customFormat="1" x14ac:dyDescent="0.25"/>
    <row r="253237" s="12" customFormat="1" x14ac:dyDescent="0.25"/>
    <row r="253238" s="12" customFormat="1" x14ac:dyDescent="0.25"/>
    <row r="253239" s="12" customFormat="1" x14ac:dyDescent="0.25"/>
    <row r="253240" s="12" customFormat="1" x14ac:dyDescent="0.25"/>
    <row r="253241" s="12" customFormat="1" x14ac:dyDescent="0.25"/>
    <row r="253242" s="12" customFormat="1" x14ac:dyDescent="0.25"/>
    <row r="253243" s="12" customFormat="1" x14ac:dyDescent="0.25"/>
    <row r="253244" s="12" customFormat="1" x14ac:dyDescent="0.25"/>
    <row r="253245" s="12" customFormat="1" x14ac:dyDescent="0.25"/>
    <row r="253246" s="12" customFormat="1" x14ac:dyDescent="0.25"/>
    <row r="253247" s="12" customFormat="1" x14ac:dyDescent="0.25"/>
    <row r="253248" s="12" customFormat="1" x14ac:dyDescent="0.25"/>
    <row r="253249" s="12" customFormat="1" x14ac:dyDescent="0.25"/>
    <row r="253250" s="12" customFormat="1" x14ac:dyDescent="0.25"/>
    <row r="253251" s="12" customFormat="1" x14ac:dyDescent="0.25"/>
    <row r="253252" s="12" customFormat="1" x14ac:dyDescent="0.25"/>
    <row r="253253" s="12" customFormat="1" x14ac:dyDescent="0.25"/>
    <row r="253254" s="12" customFormat="1" x14ac:dyDescent="0.25"/>
    <row r="253255" s="12" customFormat="1" x14ac:dyDescent="0.25"/>
    <row r="253256" s="12" customFormat="1" x14ac:dyDescent="0.25"/>
    <row r="253257" s="12" customFormat="1" x14ac:dyDescent="0.25"/>
    <row r="253258" s="12" customFormat="1" x14ac:dyDescent="0.25"/>
    <row r="253259" s="12" customFormat="1" x14ac:dyDescent="0.25"/>
    <row r="253260" s="12" customFormat="1" x14ac:dyDescent="0.25"/>
    <row r="253261" s="12" customFormat="1" x14ac:dyDescent="0.25"/>
    <row r="253262" s="12" customFormat="1" x14ac:dyDescent="0.25"/>
    <row r="253263" s="12" customFormat="1" x14ac:dyDescent="0.25"/>
    <row r="253264" s="12" customFormat="1" x14ac:dyDescent="0.25"/>
    <row r="253265" s="12" customFormat="1" x14ac:dyDescent="0.25"/>
    <row r="253266" s="12" customFormat="1" x14ac:dyDescent="0.25"/>
    <row r="253267" s="12" customFormat="1" x14ac:dyDescent="0.25"/>
    <row r="253268" s="12" customFormat="1" x14ac:dyDescent="0.25"/>
    <row r="253269" s="12" customFormat="1" x14ac:dyDescent="0.25"/>
    <row r="253270" s="12" customFormat="1" x14ac:dyDescent="0.25"/>
    <row r="253271" s="12" customFormat="1" x14ac:dyDescent="0.25"/>
    <row r="253272" s="12" customFormat="1" x14ac:dyDescent="0.25"/>
    <row r="253273" s="12" customFormat="1" x14ac:dyDescent="0.25"/>
    <row r="253274" s="12" customFormat="1" x14ac:dyDescent="0.25"/>
    <row r="253275" s="12" customFormat="1" x14ac:dyDescent="0.25"/>
    <row r="253276" s="12" customFormat="1" x14ac:dyDescent="0.25"/>
    <row r="253277" s="12" customFormat="1" x14ac:dyDescent="0.25"/>
    <row r="253278" s="12" customFormat="1" x14ac:dyDescent="0.25"/>
    <row r="253279" s="12" customFormat="1" x14ac:dyDescent="0.25"/>
    <row r="253280" s="12" customFormat="1" x14ac:dyDescent="0.25"/>
    <row r="253281" s="12" customFormat="1" x14ac:dyDescent="0.25"/>
    <row r="253282" s="12" customFormat="1" x14ac:dyDescent="0.25"/>
    <row r="253283" s="12" customFormat="1" x14ac:dyDescent="0.25"/>
    <row r="253284" s="12" customFormat="1" x14ac:dyDescent="0.25"/>
    <row r="253285" s="12" customFormat="1" x14ac:dyDescent="0.25"/>
    <row r="253286" s="12" customFormat="1" x14ac:dyDescent="0.25"/>
    <row r="253287" s="12" customFormat="1" x14ac:dyDescent="0.25"/>
    <row r="253288" s="12" customFormat="1" x14ac:dyDescent="0.25"/>
    <row r="253289" s="12" customFormat="1" x14ac:dyDescent="0.25"/>
    <row r="253290" s="12" customFormat="1" x14ac:dyDescent="0.25"/>
    <row r="253291" s="12" customFormat="1" x14ac:dyDescent="0.25"/>
    <row r="253292" s="12" customFormat="1" x14ac:dyDescent="0.25"/>
    <row r="253293" s="12" customFormat="1" x14ac:dyDescent="0.25"/>
    <row r="253294" s="12" customFormat="1" x14ac:dyDescent="0.25"/>
    <row r="253295" s="12" customFormat="1" x14ac:dyDescent="0.25"/>
    <row r="253296" s="12" customFormat="1" x14ac:dyDescent="0.25"/>
    <row r="253297" s="12" customFormat="1" x14ac:dyDescent="0.25"/>
    <row r="253298" s="12" customFormat="1" x14ac:dyDescent="0.25"/>
    <row r="253299" s="12" customFormat="1" x14ac:dyDescent="0.25"/>
    <row r="253300" s="12" customFormat="1" x14ac:dyDescent="0.25"/>
    <row r="253301" s="12" customFormat="1" x14ac:dyDescent="0.25"/>
    <row r="253302" s="12" customFormat="1" x14ac:dyDescent="0.25"/>
    <row r="253303" s="12" customFormat="1" x14ac:dyDescent="0.25"/>
    <row r="253304" s="12" customFormat="1" x14ac:dyDescent="0.25"/>
    <row r="253305" s="12" customFormat="1" x14ac:dyDescent="0.25"/>
    <row r="253306" s="12" customFormat="1" x14ac:dyDescent="0.25"/>
    <row r="253307" s="12" customFormat="1" x14ac:dyDescent="0.25"/>
    <row r="253308" s="12" customFormat="1" x14ac:dyDescent="0.25"/>
    <row r="253309" s="12" customFormat="1" x14ac:dyDescent="0.25"/>
    <row r="253310" s="12" customFormat="1" x14ac:dyDescent="0.25"/>
    <row r="253311" s="12" customFormat="1" x14ac:dyDescent="0.25"/>
    <row r="253312" s="12" customFormat="1" x14ac:dyDescent="0.25"/>
    <row r="253313" s="12" customFormat="1" x14ac:dyDescent="0.25"/>
    <row r="253314" s="12" customFormat="1" x14ac:dyDescent="0.25"/>
    <row r="253315" s="12" customFormat="1" x14ac:dyDescent="0.25"/>
    <row r="253316" s="12" customFormat="1" x14ac:dyDescent="0.25"/>
    <row r="253317" s="12" customFormat="1" x14ac:dyDescent="0.25"/>
    <row r="253318" s="12" customFormat="1" x14ac:dyDescent="0.25"/>
    <row r="253319" s="12" customFormat="1" x14ac:dyDescent="0.25"/>
    <row r="253320" s="12" customFormat="1" x14ac:dyDescent="0.25"/>
    <row r="253321" s="12" customFormat="1" x14ac:dyDescent="0.25"/>
    <row r="253322" s="12" customFormat="1" x14ac:dyDescent="0.25"/>
    <row r="253323" s="12" customFormat="1" x14ac:dyDescent="0.25"/>
    <row r="253324" s="12" customFormat="1" x14ac:dyDescent="0.25"/>
    <row r="253325" s="12" customFormat="1" x14ac:dyDescent="0.25"/>
    <row r="253326" s="12" customFormat="1" x14ac:dyDescent="0.25"/>
    <row r="253327" s="12" customFormat="1" x14ac:dyDescent="0.25"/>
    <row r="253328" s="12" customFormat="1" x14ac:dyDescent="0.25"/>
    <row r="253329" s="12" customFormat="1" x14ac:dyDescent="0.25"/>
    <row r="253330" s="12" customFormat="1" x14ac:dyDescent="0.25"/>
    <row r="253331" s="12" customFormat="1" x14ac:dyDescent="0.25"/>
    <row r="253332" s="12" customFormat="1" x14ac:dyDescent="0.25"/>
    <row r="253333" s="12" customFormat="1" x14ac:dyDescent="0.25"/>
    <row r="253334" s="12" customFormat="1" x14ac:dyDescent="0.25"/>
    <row r="253335" s="12" customFormat="1" x14ac:dyDescent="0.25"/>
    <row r="253336" s="12" customFormat="1" x14ac:dyDescent="0.25"/>
    <row r="253337" s="12" customFormat="1" x14ac:dyDescent="0.25"/>
    <row r="253338" s="12" customFormat="1" x14ac:dyDescent="0.25"/>
    <row r="253339" s="12" customFormat="1" x14ac:dyDescent="0.25"/>
    <row r="253340" s="12" customFormat="1" x14ac:dyDescent="0.25"/>
    <row r="253341" s="12" customFormat="1" x14ac:dyDescent="0.25"/>
    <row r="253342" s="12" customFormat="1" x14ac:dyDescent="0.25"/>
    <row r="253343" s="12" customFormat="1" x14ac:dyDescent="0.25"/>
    <row r="253344" s="12" customFormat="1" x14ac:dyDescent="0.25"/>
    <row r="253345" s="12" customFormat="1" x14ac:dyDescent="0.25"/>
    <row r="253346" s="12" customFormat="1" x14ac:dyDescent="0.25"/>
    <row r="253347" s="12" customFormat="1" x14ac:dyDescent="0.25"/>
    <row r="253348" s="12" customFormat="1" x14ac:dyDescent="0.25"/>
    <row r="253349" s="12" customFormat="1" x14ac:dyDescent="0.25"/>
    <row r="253350" s="12" customFormat="1" x14ac:dyDescent="0.25"/>
    <row r="253351" s="12" customFormat="1" x14ac:dyDescent="0.25"/>
    <row r="253352" s="12" customFormat="1" x14ac:dyDescent="0.25"/>
    <row r="253353" s="12" customFormat="1" x14ac:dyDescent="0.25"/>
    <row r="253354" s="12" customFormat="1" x14ac:dyDescent="0.25"/>
    <row r="253355" s="12" customFormat="1" x14ac:dyDescent="0.25"/>
    <row r="253356" s="12" customFormat="1" x14ac:dyDescent="0.25"/>
    <row r="253357" s="12" customFormat="1" x14ac:dyDescent="0.25"/>
    <row r="253358" s="12" customFormat="1" x14ac:dyDescent="0.25"/>
    <row r="253359" s="12" customFormat="1" x14ac:dyDescent="0.25"/>
    <row r="253360" s="12" customFormat="1" x14ac:dyDescent="0.25"/>
    <row r="253361" s="12" customFormat="1" x14ac:dyDescent="0.25"/>
    <row r="253362" s="12" customFormat="1" x14ac:dyDescent="0.25"/>
    <row r="253363" s="12" customFormat="1" x14ac:dyDescent="0.25"/>
    <row r="253364" s="12" customFormat="1" x14ac:dyDescent="0.25"/>
    <row r="253365" s="12" customFormat="1" x14ac:dyDescent="0.25"/>
    <row r="253366" s="12" customFormat="1" x14ac:dyDescent="0.25"/>
    <row r="253367" s="12" customFormat="1" x14ac:dyDescent="0.25"/>
    <row r="253368" s="12" customFormat="1" x14ac:dyDescent="0.25"/>
    <row r="253369" s="12" customFormat="1" x14ac:dyDescent="0.25"/>
    <row r="253370" s="12" customFormat="1" x14ac:dyDescent="0.25"/>
    <row r="253371" s="12" customFormat="1" x14ac:dyDescent="0.25"/>
    <row r="253372" s="12" customFormat="1" x14ac:dyDescent="0.25"/>
    <row r="253373" s="12" customFormat="1" x14ac:dyDescent="0.25"/>
    <row r="253374" s="12" customFormat="1" x14ac:dyDescent="0.25"/>
    <row r="253375" s="12" customFormat="1" x14ac:dyDescent="0.25"/>
    <row r="253376" s="12" customFormat="1" x14ac:dyDescent="0.25"/>
    <row r="253377" s="12" customFormat="1" x14ac:dyDescent="0.25"/>
    <row r="253378" s="12" customFormat="1" x14ac:dyDescent="0.25"/>
    <row r="253379" s="12" customFormat="1" x14ac:dyDescent="0.25"/>
    <row r="253380" s="12" customFormat="1" x14ac:dyDescent="0.25"/>
    <row r="253381" s="12" customFormat="1" x14ac:dyDescent="0.25"/>
    <row r="253382" s="12" customFormat="1" x14ac:dyDescent="0.25"/>
    <row r="253383" s="12" customFormat="1" x14ac:dyDescent="0.25"/>
    <row r="253384" s="12" customFormat="1" x14ac:dyDescent="0.25"/>
    <row r="253385" s="12" customFormat="1" x14ac:dyDescent="0.25"/>
    <row r="253386" s="12" customFormat="1" x14ac:dyDescent="0.25"/>
    <row r="253387" s="12" customFormat="1" x14ac:dyDescent="0.25"/>
    <row r="253388" s="12" customFormat="1" x14ac:dyDescent="0.25"/>
    <row r="253389" s="12" customFormat="1" x14ac:dyDescent="0.25"/>
    <row r="253390" s="12" customFormat="1" x14ac:dyDescent="0.25"/>
    <row r="253391" s="12" customFormat="1" x14ac:dyDescent="0.25"/>
    <row r="253392" s="12" customFormat="1" x14ac:dyDescent="0.25"/>
    <row r="253393" s="12" customFormat="1" x14ac:dyDescent="0.25"/>
    <row r="253394" s="12" customFormat="1" x14ac:dyDescent="0.25"/>
    <row r="253395" s="12" customFormat="1" x14ac:dyDescent="0.25"/>
    <row r="253396" s="12" customFormat="1" x14ac:dyDescent="0.25"/>
    <row r="253397" s="12" customFormat="1" x14ac:dyDescent="0.25"/>
    <row r="253398" s="12" customFormat="1" x14ac:dyDescent="0.25"/>
    <row r="253399" s="12" customFormat="1" x14ac:dyDescent="0.25"/>
    <row r="253400" s="12" customFormat="1" x14ac:dyDescent="0.25"/>
    <row r="253401" s="12" customFormat="1" x14ac:dyDescent="0.25"/>
    <row r="253402" s="12" customFormat="1" x14ac:dyDescent="0.25"/>
    <row r="253403" s="12" customFormat="1" x14ac:dyDescent="0.25"/>
    <row r="253404" s="12" customFormat="1" x14ac:dyDescent="0.25"/>
    <row r="253405" s="12" customFormat="1" x14ac:dyDescent="0.25"/>
    <row r="253406" s="12" customFormat="1" x14ac:dyDescent="0.25"/>
    <row r="253407" s="12" customFormat="1" x14ac:dyDescent="0.25"/>
    <row r="253408" s="12" customFormat="1" x14ac:dyDescent="0.25"/>
    <row r="253409" s="12" customFormat="1" x14ac:dyDescent="0.25"/>
    <row r="253410" s="12" customFormat="1" x14ac:dyDescent="0.25"/>
    <row r="253411" s="12" customFormat="1" x14ac:dyDescent="0.25"/>
    <row r="253412" s="12" customFormat="1" x14ac:dyDescent="0.25"/>
    <row r="253413" s="12" customFormat="1" x14ac:dyDescent="0.25"/>
    <row r="253414" s="12" customFormat="1" x14ac:dyDescent="0.25"/>
    <row r="253415" s="12" customFormat="1" x14ac:dyDescent="0.25"/>
    <row r="253416" s="12" customFormat="1" x14ac:dyDescent="0.25"/>
    <row r="253417" s="12" customFormat="1" x14ac:dyDescent="0.25"/>
    <row r="253418" s="12" customFormat="1" x14ac:dyDescent="0.25"/>
    <row r="253419" s="12" customFormat="1" x14ac:dyDescent="0.25"/>
    <row r="253420" s="12" customFormat="1" x14ac:dyDescent="0.25"/>
    <row r="253421" s="12" customFormat="1" x14ac:dyDescent="0.25"/>
    <row r="253422" s="12" customFormat="1" x14ac:dyDescent="0.25"/>
    <row r="253423" s="12" customFormat="1" x14ac:dyDescent="0.25"/>
    <row r="253424" s="12" customFormat="1" x14ac:dyDescent="0.25"/>
    <row r="253425" s="12" customFormat="1" x14ac:dyDescent="0.25"/>
    <row r="253426" s="12" customFormat="1" x14ac:dyDescent="0.25"/>
    <row r="253427" s="12" customFormat="1" x14ac:dyDescent="0.25"/>
    <row r="253428" s="12" customFormat="1" x14ac:dyDescent="0.25"/>
    <row r="253429" s="12" customFormat="1" x14ac:dyDescent="0.25"/>
    <row r="253430" s="12" customFormat="1" x14ac:dyDescent="0.25"/>
    <row r="253431" s="12" customFormat="1" x14ac:dyDescent="0.25"/>
    <row r="253432" s="12" customFormat="1" x14ac:dyDescent="0.25"/>
    <row r="253433" s="12" customFormat="1" x14ac:dyDescent="0.25"/>
    <row r="253434" s="12" customFormat="1" x14ac:dyDescent="0.25"/>
    <row r="253435" s="12" customFormat="1" x14ac:dyDescent="0.25"/>
    <row r="253436" s="12" customFormat="1" x14ac:dyDescent="0.25"/>
    <row r="253437" s="12" customFormat="1" x14ac:dyDescent="0.25"/>
    <row r="253438" s="12" customFormat="1" x14ac:dyDescent="0.25"/>
    <row r="253439" s="12" customFormat="1" x14ac:dyDescent="0.25"/>
    <row r="253440" s="12" customFormat="1" x14ac:dyDescent="0.25"/>
    <row r="253441" s="12" customFormat="1" x14ac:dyDescent="0.25"/>
    <row r="253442" s="12" customFormat="1" x14ac:dyDescent="0.25"/>
    <row r="253443" s="12" customFormat="1" x14ac:dyDescent="0.25"/>
    <row r="253444" s="12" customFormat="1" x14ac:dyDescent="0.25"/>
    <row r="253445" s="12" customFormat="1" x14ac:dyDescent="0.25"/>
    <row r="253446" s="12" customFormat="1" x14ac:dyDescent="0.25"/>
    <row r="253447" s="12" customFormat="1" x14ac:dyDescent="0.25"/>
    <row r="253448" s="12" customFormat="1" x14ac:dyDescent="0.25"/>
    <row r="253449" s="12" customFormat="1" x14ac:dyDescent="0.25"/>
    <row r="253450" s="12" customFormat="1" x14ac:dyDescent="0.25"/>
    <row r="253451" s="12" customFormat="1" x14ac:dyDescent="0.25"/>
    <row r="253452" s="12" customFormat="1" x14ac:dyDescent="0.25"/>
    <row r="253453" s="12" customFormat="1" x14ac:dyDescent="0.25"/>
    <row r="253454" s="12" customFormat="1" x14ac:dyDescent="0.25"/>
    <row r="253455" s="12" customFormat="1" x14ac:dyDescent="0.25"/>
    <row r="253456" s="12" customFormat="1" x14ac:dyDescent="0.25"/>
    <row r="253457" s="12" customFormat="1" x14ac:dyDescent="0.25"/>
    <row r="253458" s="12" customFormat="1" x14ac:dyDescent="0.25"/>
    <row r="253459" s="12" customFormat="1" x14ac:dyDescent="0.25"/>
    <row r="253460" s="12" customFormat="1" x14ac:dyDescent="0.25"/>
    <row r="253461" s="12" customFormat="1" x14ac:dyDescent="0.25"/>
    <row r="253462" s="12" customFormat="1" x14ac:dyDescent="0.25"/>
    <row r="253463" s="12" customFormat="1" x14ac:dyDescent="0.25"/>
    <row r="253464" s="12" customFormat="1" x14ac:dyDescent="0.25"/>
    <row r="253465" s="12" customFormat="1" x14ac:dyDescent="0.25"/>
    <row r="253466" s="12" customFormat="1" x14ac:dyDescent="0.25"/>
    <row r="253467" s="12" customFormat="1" x14ac:dyDescent="0.25"/>
    <row r="253468" s="12" customFormat="1" x14ac:dyDescent="0.25"/>
    <row r="253469" s="12" customFormat="1" x14ac:dyDescent="0.25"/>
    <row r="253470" s="12" customFormat="1" x14ac:dyDescent="0.25"/>
    <row r="253471" s="12" customFormat="1" x14ac:dyDescent="0.25"/>
    <row r="253472" s="12" customFormat="1" x14ac:dyDescent="0.25"/>
    <row r="253473" s="12" customFormat="1" x14ac:dyDescent="0.25"/>
    <row r="253474" s="12" customFormat="1" x14ac:dyDescent="0.25"/>
    <row r="253475" s="12" customFormat="1" x14ac:dyDescent="0.25"/>
    <row r="253476" s="12" customFormat="1" x14ac:dyDescent="0.25"/>
    <row r="253477" s="12" customFormat="1" x14ac:dyDescent="0.25"/>
    <row r="253478" s="12" customFormat="1" x14ac:dyDescent="0.25"/>
    <row r="253479" s="12" customFormat="1" x14ac:dyDescent="0.25"/>
    <row r="253480" s="12" customFormat="1" x14ac:dyDescent="0.25"/>
    <row r="253481" s="12" customFormat="1" x14ac:dyDescent="0.25"/>
    <row r="253482" s="12" customFormat="1" x14ac:dyDescent="0.25"/>
    <row r="253483" s="12" customFormat="1" x14ac:dyDescent="0.25"/>
    <row r="253484" s="12" customFormat="1" x14ac:dyDescent="0.25"/>
    <row r="253485" s="12" customFormat="1" x14ac:dyDescent="0.25"/>
    <row r="253486" s="12" customFormat="1" x14ac:dyDescent="0.25"/>
    <row r="253487" s="12" customFormat="1" x14ac:dyDescent="0.25"/>
    <row r="253488" s="12" customFormat="1" x14ac:dyDescent="0.25"/>
    <row r="253489" s="12" customFormat="1" x14ac:dyDescent="0.25"/>
    <row r="253490" s="12" customFormat="1" x14ac:dyDescent="0.25"/>
    <row r="253491" s="12" customFormat="1" x14ac:dyDescent="0.25"/>
    <row r="253492" s="12" customFormat="1" x14ac:dyDescent="0.25"/>
    <row r="253493" s="12" customFormat="1" x14ac:dyDescent="0.25"/>
    <row r="253494" s="12" customFormat="1" x14ac:dyDescent="0.25"/>
    <row r="253495" s="12" customFormat="1" x14ac:dyDescent="0.25"/>
    <row r="253496" s="12" customFormat="1" x14ac:dyDescent="0.25"/>
    <row r="253497" s="12" customFormat="1" x14ac:dyDescent="0.25"/>
    <row r="253498" s="12" customFormat="1" x14ac:dyDescent="0.25"/>
    <row r="253499" s="12" customFormat="1" x14ac:dyDescent="0.25"/>
    <row r="253500" s="12" customFormat="1" x14ac:dyDescent="0.25"/>
    <row r="253501" s="12" customFormat="1" x14ac:dyDescent="0.25"/>
    <row r="253502" s="12" customFormat="1" x14ac:dyDescent="0.25"/>
    <row r="253503" s="12" customFormat="1" x14ac:dyDescent="0.25"/>
    <row r="253504" s="12" customFormat="1" x14ac:dyDescent="0.25"/>
    <row r="253505" s="12" customFormat="1" x14ac:dyDescent="0.25"/>
    <row r="253506" s="12" customFormat="1" x14ac:dyDescent="0.25"/>
    <row r="253507" s="12" customFormat="1" x14ac:dyDescent="0.25"/>
    <row r="253508" s="12" customFormat="1" x14ac:dyDescent="0.25"/>
    <row r="253509" s="12" customFormat="1" x14ac:dyDescent="0.25"/>
    <row r="253510" s="12" customFormat="1" x14ac:dyDescent="0.25"/>
    <row r="253511" s="12" customFormat="1" x14ac:dyDescent="0.25"/>
    <row r="253512" s="12" customFormat="1" x14ac:dyDescent="0.25"/>
    <row r="253513" s="12" customFormat="1" x14ac:dyDescent="0.25"/>
    <row r="253514" s="12" customFormat="1" x14ac:dyDescent="0.25"/>
    <row r="253515" s="12" customFormat="1" x14ac:dyDescent="0.25"/>
    <row r="253516" s="12" customFormat="1" x14ac:dyDescent="0.25"/>
    <row r="253517" s="12" customFormat="1" x14ac:dyDescent="0.25"/>
    <row r="253518" s="12" customFormat="1" x14ac:dyDescent="0.25"/>
    <row r="253519" s="12" customFormat="1" x14ac:dyDescent="0.25"/>
    <row r="253520" s="12" customFormat="1" x14ac:dyDescent="0.25"/>
    <row r="253521" s="12" customFormat="1" x14ac:dyDescent="0.25"/>
    <row r="253522" s="12" customFormat="1" x14ac:dyDescent="0.25"/>
    <row r="253523" s="12" customFormat="1" x14ac:dyDescent="0.25"/>
    <row r="253524" s="12" customFormat="1" x14ac:dyDescent="0.25"/>
    <row r="253525" s="12" customFormat="1" x14ac:dyDescent="0.25"/>
    <row r="253526" s="12" customFormat="1" x14ac:dyDescent="0.25"/>
    <row r="253527" s="12" customFormat="1" x14ac:dyDescent="0.25"/>
    <row r="253528" s="12" customFormat="1" x14ac:dyDescent="0.25"/>
    <row r="253529" s="12" customFormat="1" x14ac:dyDescent="0.25"/>
    <row r="253530" s="12" customFormat="1" x14ac:dyDescent="0.25"/>
    <row r="253531" s="12" customFormat="1" x14ac:dyDescent="0.25"/>
    <row r="253532" s="12" customFormat="1" x14ac:dyDescent="0.25"/>
    <row r="253533" s="12" customFormat="1" x14ac:dyDescent="0.25"/>
    <row r="253534" s="12" customFormat="1" x14ac:dyDescent="0.25"/>
    <row r="253535" s="12" customFormat="1" x14ac:dyDescent="0.25"/>
    <row r="253536" s="12" customFormat="1" x14ac:dyDescent="0.25"/>
    <row r="253537" s="12" customFormat="1" x14ac:dyDescent="0.25"/>
    <row r="253538" s="12" customFormat="1" x14ac:dyDescent="0.25"/>
    <row r="253539" s="12" customFormat="1" x14ac:dyDescent="0.25"/>
    <row r="253540" s="12" customFormat="1" x14ac:dyDescent="0.25"/>
    <row r="253541" s="12" customFormat="1" x14ac:dyDescent="0.25"/>
    <row r="253542" s="12" customFormat="1" x14ac:dyDescent="0.25"/>
    <row r="253543" s="12" customFormat="1" x14ac:dyDescent="0.25"/>
    <row r="253544" s="12" customFormat="1" x14ac:dyDescent="0.25"/>
    <row r="253545" s="12" customFormat="1" x14ac:dyDescent="0.25"/>
    <row r="253546" s="12" customFormat="1" x14ac:dyDescent="0.25"/>
    <row r="253547" s="12" customFormat="1" x14ac:dyDescent="0.25"/>
    <row r="253548" s="12" customFormat="1" x14ac:dyDescent="0.25"/>
    <row r="253549" s="12" customFormat="1" x14ac:dyDescent="0.25"/>
    <row r="253550" s="12" customFormat="1" x14ac:dyDescent="0.25"/>
    <row r="253551" s="12" customFormat="1" x14ac:dyDescent="0.25"/>
    <row r="253552" s="12" customFormat="1" x14ac:dyDescent="0.25"/>
    <row r="253553" s="12" customFormat="1" x14ac:dyDescent="0.25"/>
    <row r="253554" s="12" customFormat="1" x14ac:dyDescent="0.25"/>
    <row r="253555" s="12" customFormat="1" x14ac:dyDescent="0.25"/>
    <row r="253556" s="12" customFormat="1" x14ac:dyDescent="0.25"/>
    <row r="253557" s="12" customFormat="1" x14ac:dyDescent="0.25"/>
    <row r="253558" s="12" customFormat="1" x14ac:dyDescent="0.25"/>
    <row r="253559" s="12" customFormat="1" x14ac:dyDescent="0.25"/>
    <row r="253560" s="12" customFormat="1" x14ac:dyDescent="0.25"/>
    <row r="253561" s="12" customFormat="1" x14ac:dyDescent="0.25"/>
    <row r="253562" s="12" customFormat="1" x14ac:dyDescent="0.25"/>
    <row r="253563" s="12" customFormat="1" x14ac:dyDescent="0.25"/>
    <row r="253564" s="12" customFormat="1" x14ac:dyDescent="0.25"/>
    <row r="253565" s="12" customFormat="1" x14ac:dyDescent="0.25"/>
    <row r="253566" s="12" customFormat="1" x14ac:dyDescent="0.25"/>
    <row r="253567" s="12" customFormat="1" x14ac:dyDescent="0.25"/>
    <row r="253568" s="12" customFormat="1" x14ac:dyDescent="0.25"/>
    <row r="253569" s="12" customFormat="1" x14ac:dyDescent="0.25"/>
    <row r="253570" s="12" customFormat="1" x14ac:dyDescent="0.25"/>
    <row r="253571" s="12" customFormat="1" x14ac:dyDescent="0.25"/>
    <row r="253572" s="12" customFormat="1" x14ac:dyDescent="0.25"/>
    <row r="253573" s="12" customFormat="1" x14ac:dyDescent="0.25"/>
    <row r="253574" s="12" customFormat="1" x14ac:dyDescent="0.25"/>
    <row r="253575" s="12" customFormat="1" x14ac:dyDescent="0.25"/>
    <row r="253576" s="12" customFormat="1" x14ac:dyDescent="0.25"/>
    <row r="253577" s="12" customFormat="1" x14ac:dyDescent="0.25"/>
    <row r="253578" s="12" customFormat="1" x14ac:dyDescent="0.25"/>
    <row r="253579" s="12" customFormat="1" x14ac:dyDescent="0.25"/>
    <row r="253580" s="12" customFormat="1" x14ac:dyDescent="0.25"/>
    <row r="253581" s="12" customFormat="1" x14ac:dyDescent="0.25"/>
    <row r="253582" s="12" customFormat="1" x14ac:dyDescent="0.25"/>
    <row r="253583" s="12" customFormat="1" x14ac:dyDescent="0.25"/>
    <row r="253584" s="12" customFormat="1" x14ac:dyDescent="0.25"/>
    <row r="253585" s="12" customFormat="1" x14ac:dyDescent="0.25"/>
    <row r="253586" s="12" customFormat="1" x14ac:dyDescent="0.25"/>
    <row r="253587" s="12" customFormat="1" x14ac:dyDescent="0.25"/>
    <row r="253588" s="12" customFormat="1" x14ac:dyDescent="0.25"/>
    <row r="253589" s="12" customFormat="1" x14ac:dyDescent="0.25"/>
    <row r="253590" s="12" customFormat="1" x14ac:dyDescent="0.25"/>
    <row r="253591" s="12" customFormat="1" x14ac:dyDescent="0.25"/>
    <row r="253592" s="12" customFormat="1" x14ac:dyDescent="0.25"/>
    <row r="253593" s="12" customFormat="1" x14ac:dyDescent="0.25"/>
    <row r="253594" s="12" customFormat="1" x14ac:dyDescent="0.25"/>
    <row r="253595" s="12" customFormat="1" x14ac:dyDescent="0.25"/>
    <row r="253596" s="12" customFormat="1" x14ac:dyDescent="0.25"/>
    <row r="253597" s="12" customFormat="1" x14ac:dyDescent="0.25"/>
    <row r="253598" s="12" customFormat="1" x14ac:dyDescent="0.25"/>
    <row r="253599" s="12" customFormat="1" x14ac:dyDescent="0.25"/>
    <row r="253600" s="12" customFormat="1" x14ac:dyDescent="0.25"/>
    <row r="253601" s="12" customFormat="1" x14ac:dyDescent="0.25"/>
    <row r="253602" s="12" customFormat="1" x14ac:dyDescent="0.25"/>
    <row r="253603" s="12" customFormat="1" x14ac:dyDescent="0.25"/>
    <row r="253604" s="12" customFormat="1" x14ac:dyDescent="0.25"/>
    <row r="253605" s="12" customFormat="1" x14ac:dyDescent="0.25"/>
    <row r="253606" s="12" customFormat="1" x14ac:dyDescent="0.25"/>
    <row r="253607" s="12" customFormat="1" x14ac:dyDescent="0.25"/>
    <row r="253608" s="12" customFormat="1" x14ac:dyDescent="0.25"/>
    <row r="253609" s="12" customFormat="1" x14ac:dyDescent="0.25"/>
    <row r="253610" s="12" customFormat="1" x14ac:dyDescent="0.25"/>
    <row r="253611" s="12" customFormat="1" x14ac:dyDescent="0.25"/>
    <row r="253612" s="12" customFormat="1" x14ac:dyDescent="0.25"/>
    <row r="253613" s="12" customFormat="1" x14ac:dyDescent="0.25"/>
    <row r="253614" s="12" customFormat="1" x14ac:dyDescent="0.25"/>
    <row r="253615" s="12" customFormat="1" x14ac:dyDescent="0.25"/>
    <row r="253616" s="12" customFormat="1" x14ac:dyDescent="0.25"/>
    <row r="253617" s="12" customFormat="1" x14ac:dyDescent="0.25"/>
    <row r="253618" s="12" customFormat="1" x14ac:dyDescent="0.25"/>
    <row r="253619" s="12" customFormat="1" x14ac:dyDescent="0.25"/>
    <row r="253620" s="12" customFormat="1" x14ac:dyDescent="0.25"/>
    <row r="253621" s="12" customFormat="1" x14ac:dyDescent="0.25"/>
    <row r="253622" s="12" customFormat="1" x14ac:dyDescent="0.25"/>
    <row r="253623" s="12" customFormat="1" x14ac:dyDescent="0.25"/>
    <row r="253624" s="12" customFormat="1" x14ac:dyDescent="0.25"/>
    <row r="253625" s="12" customFormat="1" x14ac:dyDescent="0.25"/>
    <row r="253626" s="12" customFormat="1" x14ac:dyDescent="0.25"/>
    <row r="253627" s="12" customFormat="1" x14ac:dyDescent="0.25"/>
    <row r="253628" s="12" customFormat="1" x14ac:dyDescent="0.25"/>
    <row r="253629" s="12" customFormat="1" x14ac:dyDescent="0.25"/>
    <row r="253630" s="12" customFormat="1" x14ac:dyDescent="0.25"/>
    <row r="253631" s="12" customFormat="1" x14ac:dyDescent="0.25"/>
    <row r="253632" s="12" customFormat="1" x14ac:dyDescent="0.25"/>
    <row r="253633" s="12" customFormat="1" x14ac:dyDescent="0.25"/>
    <row r="253634" s="12" customFormat="1" x14ac:dyDescent="0.25"/>
    <row r="253635" s="12" customFormat="1" x14ac:dyDescent="0.25"/>
    <row r="253636" s="12" customFormat="1" x14ac:dyDescent="0.25"/>
    <row r="253637" s="12" customFormat="1" x14ac:dyDescent="0.25"/>
    <row r="253638" s="12" customFormat="1" x14ac:dyDescent="0.25"/>
    <row r="253639" s="12" customFormat="1" x14ac:dyDescent="0.25"/>
    <row r="253640" s="12" customFormat="1" x14ac:dyDescent="0.25"/>
    <row r="253641" s="12" customFormat="1" x14ac:dyDescent="0.25"/>
    <row r="253642" s="12" customFormat="1" x14ac:dyDescent="0.25"/>
    <row r="253643" s="12" customFormat="1" x14ac:dyDescent="0.25"/>
    <row r="253644" s="12" customFormat="1" x14ac:dyDescent="0.25"/>
    <row r="253645" s="12" customFormat="1" x14ac:dyDescent="0.25"/>
    <row r="253646" s="12" customFormat="1" x14ac:dyDescent="0.25"/>
    <row r="253647" s="12" customFormat="1" x14ac:dyDescent="0.25"/>
    <row r="253648" s="12" customFormat="1" x14ac:dyDescent="0.25"/>
    <row r="253649" s="12" customFormat="1" x14ac:dyDescent="0.25"/>
    <row r="253650" s="12" customFormat="1" x14ac:dyDescent="0.25"/>
    <row r="253651" s="12" customFormat="1" x14ac:dyDescent="0.25"/>
    <row r="253652" s="12" customFormat="1" x14ac:dyDescent="0.25"/>
    <row r="253653" s="12" customFormat="1" x14ac:dyDescent="0.25"/>
    <row r="253654" s="12" customFormat="1" x14ac:dyDescent="0.25"/>
    <row r="253655" s="12" customFormat="1" x14ac:dyDescent="0.25"/>
    <row r="253656" s="12" customFormat="1" x14ac:dyDescent="0.25"/>
    <row r="253657" s="12" customFormat="1" x14ac:dyDescent="0.25"/>
    <row r="253658" s="12" customFormat="1" x14ac:dyDescent="0.25"/>
    <row r="253659" s="12" customFormat="1" x14ac:dyDescent="0.25"/>
    <row r="253660" s="12" customFormat="1" x14ac:dyDescent="0.25"/>
    <row r="253661" s="12" customFormat="1" x14ac:dyDescent="0.25"/>
    <row r="253662" s="12" customFormat="1" x14ac:dyDescent="0.25"/>
    <row r="253663" s="12" customFormat="1" x14ac:dyDescent="0.25"/>
    <row r="253664" s="12" customFormat="1" x14ac:dyDescent="0.25"/>
    <row r="253665" s="12" customFormat="1" x14ac:dyDescent="0.25"/>
    <row r="253666" s="12" customFormat="1" x14ac:dyDescent="0.25"/>
    <row r="253667" s="12" customFormat="1" x14ac:dyDescent="0.25"/>
    <row r="253668" s="12" customFormat="1" x14ac:dyDescent="0.25"/>
    <row r="253669" s="12" customFormat="1" x14ac:dyDescent="0.25"/>
    <row r="253670" s="12" customFormat="1" x14ac:dyDescent="0.25"/>
    <row r="253671" s="12" customFormat="1" x14ac:dyDescent="0.25"/>
    <row r="253672" s="12" customFormat="1" x14ac:dyDescent="0.25"/>
    <row r="253673" s="12" customFormat="1" x14ac:dyDescent="0.25"/>
    <row r="253674" s="12" customFormat="1" x14ac:dyDescent="0.25"/>
    <row r="253675" s="12" customFormat="1" x14ac:dyDescent="0.25"/>
    <row r="253676" s="12" customFormat="1" x14ac:dyDescent="0.25"/>
    <row r="253677" s="12" customFormat="1" x14ac:dyDescent="0.25"/>
    <row r="253678" s="12" customFormat="1" x14ac:dyDescent="0.25"/>
    <row r="253679" s="12" customFormat="1" x14ac:dyDescent="0.25"/>
    <row r="253680" s="12" customFormat="1" x14ac:dyDescent="0.25"/>
    <row r="253681" s="12" customFormat="1" x14ac:dyDescent="0.25"/>
    <row r="253682" s="12" customFormat="1" x14ac:dyDescent="0.25"/>
    <row r="253683" s="12" customFormat="1" x14ac:dyDescent="0.25"/>
    <row r="253684" s="12" customFormat="1" x14ac:dyDescent="0.25"/>
    <row r="253685" s="12" customFormat="1" x14ac:dyDescent="0.25"/>
    <row r="253686" s="12" customFormat="1" x14ac:dyDescent="0.25"/>
    <row r="253687" s="12" customFormat="1" x14ac:dyDescent="0.25"/>
    <row r="253688" s="12" customFormat="1" x14ac:dyDescent="0.25"/>
    <row r="253689" s="12" customFormat="1" x14ac:dyDescent="0.25"/>
    <row r="253690" s="12" customFormat="1" x14ac:dyDescent="0.25"/>
    <row r="253691" s="12" customFormat="1" x14ac:dyDescent="0.25"/>
    <row r="253692" s="12" customFormat="1" x14ac:dyDescent="0.25"/>
    <row r="253693" s="12" customFormat="1" x14ac:dyDescent="0.25"/>
    <row r="253694" s="12" customFormat="1" x14ac:dyDescent="0.25"/>
    <row r="253695" s="12" customFormat="1" x14ac:dyDescent="0.25"/>
    <row r="253696" s="12" customFormat="1" x14ac:dyDescent="0.25"/>
    <row r="253697" s="12" customFormat="1" x14ac:dyDescent="0.25"/>
    <row r="253698" s="12" customFormat="1" x14ac:dyDescent="0.25"/>
    <row r="253699" s="12" customFormat="1" x14ac:dyDescent="0.25"/>
    <row r="253700" s="12" customFormat="1" x14ac:dyDescent="0.25"/>
    <row r="253701" s="12" customFormat="1" x14ac:dyDescent="0.25"/>
    <row r="253702" s="12" customFormat="1" x14ac:dyDescent="0.25"/>
    <row r="253703" s="12" customFormat="1" x14ac:dyDescent="0.25"/>
    <row r="253704" s="12" customFormat="1" x14ac:dyDescent="0.25"/>
    <row r="253705" s="12" customFormat="1" x14ac:dyDescent="0.25"/>
    <row r="253706" s="12" customFormat="1" x14ac:dyDescent="0.25"/>
    <row r="253707" s="12" customFormat="1" x14ac:dyDescent="0.25"/>
    <row r="253708" s="12" customFormat="1" x14ac:dyDescent="0.25"/>
    <row r="253709" s="12" customFormat="1" x14ac:dyDescent="0.25"/>
    <row r="253710" s="12" customFormat="1" x14ac:dyDescent="0.25"/>
    <row r="253711" s="12" customFormat="1" x14ac:dyDescent="0.25"/>
    <row r="253712" s="12" customFormat="1" x14ac:dyDescent="0.25"/>
    <row r="253713" s="12" customFormat="1" x14ac:dyDescent="0.25"/>
    <row r="253714" s="12" customFormat="1" x14ac:dyDescent="0.25"/>
    <row r="253715" s="12" customFormat="1" x14ac:dyDescent="0.25"/>
    <row r="253716" s="12" customFormat="1" x14ac:dyDescent="0.25"/>
    <row r="253717" s="12" customFormat="1" x14ac:dyDescent="0.25"/>
    <row r="253718" s="12" customFormat="1" x14ac:dyDescent="0.25"/>
    <row r="253719" s="12" customFormat="1" x14ac:dyDescent="0.25"/>
    <row r="253720" s="12" customFormat="1" x14ac:dyDescent="0.25"/>
    <row r="253721" s="12" customFormat="1" x14ac:dyDescent="0.25"/>
    <row r="253722" s="12" customFormat="1" x14ac:dyDescent="0.25"/>
    <row r="253723" s="12" customFormat="1" x14ac:dyDescent="0.25"/>
    <row r="253724" s="12" customFormat="1" x14ac:dyDescent="0.25"/>
    <row r="253725" s="12" customFormat="1" x14ac:dyDescent="0.25"/>
    <row r="253726" s="12" customFormat="1" x14ac:dyDescent="0.25"/>
    <row r="253727" s="12" customFormat="1" x14ac:dyDescent="0.25"/>
    <row r="253728" s="12" customFormat="1" x14ac:dyDescent="0.25"/>
    <row r="253729" s="12" customFormat="1" x14ac:dyDescent="0.25"/>
    <row r="253730" s="12" customFormat="1" x14ac:dyDescent="0.25"/>
    <row r="253731" s="12" customFormat="1" x14ac:dyDescent="0.25"/>
    <row r="253732" s="12" customFormat="1" x14ac:dyDescent="0.25"/>
    <row r="253733" s="12" customFormat="1" x14ac:dyDescent="0.25"/>
    <row r="253734" s="12" customFormat="1" x14ac:dyDescent="0.25"/>
    <row r="253735" s="12" customFormat="1" x14ac:dyDescent="0.25"/>
    <row r="253736" s="12" customFormat="1" x14ac:dyDescent="0.25"/>
    <row r="253737" s="12" customFormat="1" x14ac:dyDescent="0.25"/>
    <row r="253738" s="12" customFormat="1" x14ac:dyDescent="0.25"/>
    <row r="253739" s="12" customFormat="1" x14ac:dyDescent="0.25"/>
    <row r="253740" s="12" customFormat="1" x14ac:dyDescent="0.25"/>
    <row r="253741" s="12" customFormat="1" x14ac:dyDescent="0.25"/>
    <row r="253742" s="12" customFormat="1" x14ac:dyDescent="0.25"/>
    <row r="253743" s="12" customFormat="1" x14ac:dyDescent="0.25"/>
    <row r="253744" s="12" customFormat="1" x14ac:dyDescent="0.25"/>
    <row r="253745" s="12" customFormat="1" x14ac:dyDescent="0.25"/>
    <row r="253746" s="12" customFormat="1" x14ac:dyDescent="0.25"/>
    <row r="253747" s="12" customFormat="1" x14ac:dyDescent="0.25"/>
    <row r="253748" s="12" customFormat="1" x14ac:dyDescent="0.25"/>
    <row r="253749" s="12" customFormat="1" x14ac:dyDescent="0.25"/>
    <row r="253750" s="12" customFormat="1" x14ac:dyDescent="0.25"/>
    <row r="253751" s="12" customFormat="1" x14ac:dyDescent="0.25"/>
    <row r="253752" s="12" customFormat="1" x14ac:dyDescent="0.25"/>
    <row r="253753" s="12" customFormat="1" x14ac:dyDescent="0.25"/>
    <row r="253754" s="12" customFormat="1" x14ac:dyDescent="0.25"/>
    <row r="253755" s="12" customFormat="1" x14ac:dyDescent="0.25"/>
    <row r="253756" s="12" customFormat="1" x14ac:dyDescent="0.25"/>
    <row r="253757" s="12" customFormat="1" x14ac:dyDescent="0.25"/>
    <row r="253758" s="12" customFormat="1" x14ac:dyDescent="0.25"/>
    <row r="253759" s="12" customFormat="1" x14ac:dyDescent="0.25"/>
    <row r="253760" s="12" customFormat="1" x14ac:dyDescent="0.25"/>
    <row r="253761" s="12" customFormat="1" x14ac:dyDescent="0.25"/>
    <row r="253762" s="12" customFormat="1" x14ac:dyDescent="0.25"/>
    <row r="253763" s="12" customFormat="1" x14ac:dyDescent="0.25"/>
    <row r="253764" s="12" customFormat="1" x14ac:dyDescent="0.25"/>
    <row r="253765" s="12" customFormat="1" x14ac:dyDescent="0.25"/>
    <row r="253766" s="12" customFormat="1" x14ac:dyDescent="0.25"/>
    <row r="253767" s="12" customFormat="1" x14ac:dyDescent="0.25"/>
    <row r="253768" s="12" customFormat="1" x14ac:dyDescent="0.25"/>
    <row r="253769" s="12" customFormat="1" x14ac:dyDescent="0.25"/>
    <row r="253770" s="12" customFormat="1" x14ac:dyDescent="0.25"/>
    <row r="253771" s="12" customFormat="1" x14ac:dyDescent="0.25"/>
    <row r="253772" s="12" customFormat="1" x14ac:dyDescent="0.25"/>
    <row r="253773" s="12" customFormat="1" x14ac:dyDescent="0.25"/>
    <row r="253774" s="12" customFormat="1" x14ac:dyDescent="0.25"/>
    <row r="253775" s="12" customFormat="1" x14ac:dyDescent="0.25"/>
    <row r="253776" s="12" customFormat="1" x14ac:dyDescent="0.25"/>
    <row r="253777" s="12" customFormat="1" x14ac:dyDescent="0.25"/>
    <row r="253778" s="12" customFormat="1" x14ac:dyDescent="0.25"/>
    <row r="253779" s="12" customFormat="1" x14ac:dyDescent="0.25"/>
    <row r="253780" s="12" customFormat="1" x14ac:dyDescent="0.25"/>
    <row r="253781" s="12" customFormat="1" x14ac:dyDescent="0.25"/>
    <row r="253782" s="12" customFormat="1" x14ac:dyDescent="0.25"/>
    <row r="253783" s="12" customFormat="1" x14ac:dyDescent="0.25"/>
    <row r="253784" s="12" customFormat="1" x14ac:dyDescent="0.25"/>
    <row r="253785" s="12" customFormat="1" x14ac:dyDescent="0.25"/>
    <row r="253786" s="12" customFormat="1" x14ac:dyDescent="0.25"/>
    <row r="253787" s="12" customFormat="1" x14ac:dyDescent="0.25"/>
    <row r="253788" s="12" customFormat="1" x14ac:dyDescent="0.25"/>
    <row r="253789" s="12" customFormat="1" x14ac:dyDescent="0.25"/>
    <row r="253790" s="12" customFormat="1" x14ac:dyDescent="0.25"/>
    <row r="253791" s="12" customFormat="1" x14ac:dyDescent="0.25"/>
    <row r="253792" s="12" customFormat="1" x14ac:dyDescent="0.25"/>
    <row r="253793" s="12" customFormat="1" x14ac:dyDescent="0.25"/>
    <row r="253794" s="12" customFormat="1" x14ac:dyDescent="0.25"/>
    <row r="253795" s="12" customFormat="1" x14ac:dyDescent="0.25"/>
    <row r="253796" s="12" customFormat="1" x14ac:dyDescent="0.25"/>
    <row r="253797" s="12" customFormat="1" x14ac:dyDescent="0.25"/>
    <row r="253798" s="12" customFormat="1" x14ac:dyDescent="0.25"/>
    <row r="253799" s="12" customFormat="1" x14ac:dyDescent="0.25"/>
    <row r="253800" s="12" customFormat="1" x14ac:dyDescent="0.25"/>
    <row r="253801" s="12" customFormat="1" x14ac:dyDescent="0.25"/>
    <row r="253802" s="12" customFormat="1" x14ac:dyDescent="0.25"/>
    <row r="253803" s="12" customFormat="1" x14ac:dyDescent="0.25"/>
    <row r="253804" s="12" customFormat="1" x14ac:dyDescent="0.25"/>
    <row r="253805" s="12" customFormat="1" x14ac:dyDescent="0.25"/>
    <row r="253806" s="12" customFormat="1" x14ac:dyDescent="0.25"/>
    <row r="253807" s="12" customFormat="1" x14ac:dyDescent="0.25"/>
    <row r="253808" s="12" customFormat="1" x14ac:dyDescent="0.25"/>
    <row r="253809" s="12" customFormat="1" x14ac:dyDescent="0.25"/>
    <row r="253810" s="12" customFormat="1" x14ac:dyDescent="0.25"/>
    <row r="253811" s="12" customFormat="1" x14ac:dyDescent="0.25"/>
    <row r="253812" s="12" customFormat="1" x14ac:dyDescent="0.25"/>
    <row r="253813" s="12" customFormat="1" x14ac:dyDescent="0.25"/>
    <row r="253814" s="12" customFormat="1" x14ac:dyDescent="0.25"/>
    <row r="253815" s="12" customFormat="1" x14ac:dyDescent="0.25"/>
    <row r="253816" s="12" customFormat="1" x14ac:dyDescent="0.25"/>
    <row r="253817" s="12" customFormat="1" x14ac:dyDescent="0.25"/>
    <row r="253818" s="12" customFormat="1" x14ac:dyDescent="0.25"/>
    <row r="253819" s="12" customFormat="1" x14ac:dyDescent="0.25"/>
    <row r="253820" s="12" customFormat="1" x14ac:dyDescent="0.25"/>
    <row r="253821" s="12" customFormat="1" x14ac:dyDescent="0.25"/>
    <row r="253822" s="12" customFormat="1" x14ac:dyDescent="0.25"/>
    <row r="253823" s="12" customFormat="1" x14ac:dyDescent="0.25"/>
    <row r="253824" s="12" customFormat="1" x14ac:dyDescent="0.25"/>
    <row r="253825" s="12" customFormat="1" x14ac:dyDescent="0.25"/>
    <row r="253826" s="12" customFormat="1" x14ac:dyDescent="0.25"/>
    <row r="253827" s="12" customFormat="1" x14ac:dyDescent="0.25"/>
    <row r="253828" s="12" customFormat="1" x14ac:dyDescent="0.25"/>
    <row r="253829" s="12" customFormat="1" x14ac:dyDescent="0.25"/>
    <row r="253830" s="12" customFormat="1" x14ac:dyDescent="0.25"/>
    <row r="253831" s="12" customFormat="1" x14ac:dyDescent="0.25"/>
    <row r="253832" s="12" customFormat="1" x14ac:dyDescent="0.25"/>
    <row r="253833" s="12" customFormat="1" x14ac:dyDescent="0.25"/>
    <row r="253834" s="12" customFormat="1" x14ac:dyDescent="0.25"/>
    <row r="253835" s="12" customFormat="1" x14ac:dyDescent="0.25"/>
    <row r="253836" s="12" customFormat="1" x14ac:dyDescent="0.25"/>
    <row r="253837" s="12" customFormat="1" x14ac:dyDescent="0.25"/>
    <row r="253838" s="12" customFormat="1" x14ac:dyDescent="0.25"/>
    <row r="253839" s="12" customFormat="1" x14ac:dyDescent="0.25"/>
    <row r="253840" s="12" customFormat="1" x14ac:dyDescent="0.25"/>
    <row r="253841" s="12" customFormat="1" x14ac:dyDescent="0.25"/>
    <row r="253842" s="12" customFormat="1" x14ac:dyDescent="0.25"/>
    <row r="253843" s="12" customFormat="1" x14ac:dyDescent="0.25"/>
    <row r="253844" s="12" customFormat="1" x14ac:dyDescent="0.25"/>
    <row r="253845" s="12" customFormat="1" x14ac:dyDescent="0.25"/>
    <row r="253846" s="12" customFormat="1" x14ac:dyDescent="0.25"/>
    <row r="253847" s="12" customFormat="1" x14ac:dyDescent="0.25"/>
    <row r="253848" s="12" customFormat="1" x14ac:dyDescent="0.25"/>
    <row r="253849" s="12" customFormat="1" x14ac:dyDescent="0.25"/>
    <row r="253850" s="12" customFormat="1" x14ac:dyDescent="0.25"/>
    <row r="253851" s="12" customFormat="1" x14ac:dyDescent="0.25"/>
    <row r="253852" s="12" customFormat="1" x14ac:dyDescent="0.25"/>
    <row r="253853" s="12" customFormat="1" x14ac:dyDescent="0.25"/>
    <row r="253854" s="12" customFormat="1" x14ac:dyDescent="0.25"/>
    <row r="253855" s="12" customFormat="1" x14ac:dyDescent="0.25"/>
    <row r="253856" s="12" customFormat="1" x14ac:dyDescent="0.25"/>
    <row r="253857" s="12" customFormat="1" x14ac:dyDescent="0.25"/>
    <row r="253858" s="12" customFormat="1" x14ac:dyDescent="0.25"/>
    <row r="253859" s="12" customFormat="1" x14ac:dyDescent="0.25"/>
    <row r="253860" s="12" customFormat="1" x14ac:dyDescent="0.25"/>
    <row r="253861" s="12" customFormat="1" x14ac:dyDescent="0.25"/>
    <row r="253862" s="12" customFormat="1" x14ac:dyDescent="0.25"/>
    <row r="253863" s="12" customFormat="1" x14ac:dyDescent="0.25"/>
    <row r="253864" s="12" customFormat="1" x14ac:dyDescent="0.25"/>
    <row r="253865" s="12" customFormat="1" x14ac:dyDescent="0.25"/>
    <row r="253866" s="12" customFormat="1" x14ac:dyDescent="0.25"/>
    <row r="253867" s="12" customFormat="1" x14ac:dyDescent="0.25"/>
    <row r="253868" s="12" customFormat="1" x14ac:dyDescent="0.25"/>
    <row r="253869" s="12" customFormat="1" x14ac:dyDescent="0.25"/>
    <row r="253870" s="12" customFormat="1" x14ac:dyDescent="0.25"/>
    <row r="253871" s="12" customFormat="1" x14ac:dyDescent="0.25"/>
    <row r="253872" s="12" customFormat="1" x14ac:dyDescent="0.25"/>
    <row r="253873" s="12" customFormat="1" x14ac:dyDescent="0.25"/>
    <row r="253874" s="12" customFormat="1" x14ac:dyDescent="0.25"/>
    <row r="253875" s="12" customFormat="1" x14ac:dyDescent="0.25"/>
    <row r="253876" s="12" customFormat="1" x14ac:dyDescent="0.25"/>
    <row r="253877" s="12" customFormat="1" x14ac:dyDescent="0.25"/>
    <row r="253878" s="12" customFormat="1" x14ac:dyDescent="0.25"/>
    <row r="253879" s="12" customFormat="1" x14ac:dyDescent="0.25"/>
    <row r="253880" s="12" customFormat="1" x14ac:dyDescent="0.25"/>
    <row r="253881" s="12" customFormat="1" x14ac:dyDescent="0.25"/>
    <row r="253882" s="12" customFormat="1" x14ac:dyDescent="0.25"/>
    <row r="253883" s="12" customFormat="1" x14ac:dyDescent="0.25"/>
    <row r="253884" s="12" customFormat="1" x14ac:dyDescent="0.25"/>
    <row r="253885" s="12" customFormat="1" x14ac:dyDescent="0.25"/>
    <row r="253886" s="12" customFormat="1" x14ac:dyDescent="0.25"/>
    <row r="253887" s="12" customFormat="1" x14ac:dyDescent="0.25"/>
    <row r="253888" s="12" customFormat="1" x14ac:dyDescent="0.25"/>
    <row r="253889" s="12" customFormat="1" x14ac:dyDescent="0.25"/>
    <row r="253890" s="12" customFormat="1" x14ac:dyDescent="0.25"/>
    <row r="253891" s="12" customFormat="1" x14ac:dyDescent="0.25"/>
    <row r="253892" s="12" customFormat="1" x14ac:dyDescent="0.25"/>
    <row r="253893" s="12" customFormat="1" x14ac:dyDescent="0.25"/>
    <row r="253894" s="12" customFormat="1" x14ac:dyDescent="0.25"/>
    <row r="253895" s="12" customFormat="1" x14ac:dyDescent="0.25"/>
    <row r="253896" s="12" customFormat="1" x14ac:dyDescent="0.25"/>
    <row r="253897" s="12" customFormat="1" x14ac:dyDescent="0.25"/>
    <row r="253898" s="12" customFormat="1" x14ac:dyDescent="0.25"/>
    <row r="253899" s="12" customFormat="1" x14ac:dyDescent="0.25"/>
    <row r="253900" s="12" customFormat="1" x14ac:dyDescent="0.25"/>
    <row r="253901" s="12" customFormat="1" x14ac:dyDescent="0.25"/>
    <row r="253902" s="12" customFormat="1" x14ac:dyDescent="0.25"/>
    <row r="253903" s="12" customFormat="1" x14ac:dyDescent="0.25"/>
    <row r="253904" s="12" customFormat="1" x14ac:dyDescent="0.25"/>
    <row r="253905" s="12" customFormat="1" x14ac:dyDescent="0.25"/>
    <row r="253906" s="12" customFormat="1" x14ac:dyDescent="0.25"/>
    <row r="253907" s="12" customFormat="1" x14ac:dyDescent="0.25"/>
    <row r="253908" s="12" customFormat="1" x14ac:dyDescent="0.25"/>
    <row r="253909" s="12" customFormat="1" x14ac:dyDescent="0.25"/>
    <row r="253910" s="12" customFormat="1" x14ac:dyDescent="0.25"/>
    <row r="253911" s="12" customFormat="1" x14ac:dyDescent="0.25"/>
    <row r="253912" s="12" customFormat="1" x14ac:dyDescent="0.25"/>
    <row r="253913" s="12" customFormat="1" x14ac:dyDescent="0.25"/>
    <row r="253914" s="12" customFormat="1" x14ac:dyDescent="0.25"/>
    <row r="253915" s="12" customFormat="1" x14ac:dyDescent="0.25"/>
    <row r="253916" s="12" customFormat="1" x14ac:dyDescent="0.25"/>
    <row r="253917" s="12" customFormat="1" x14ac:dyDescent="0.25"/>
    <row r="253918" s="12" customFormat="1" x14ac:dyDescent="0.25"/>
    <row r="253919" s="12" customFormat="1" x14ac:dyDescent="0.25"/>
    <row r="253920" s="12" customFormat="1" x14ac:dyDescent="0.25"/>
    <row r="253921" s="12" customFormat="1" x14ac:dyDescent="0.25"/>
    <row r="253922" s="12" customFormat="1" x14ac:dyDescent="0.25"/>
    <row r="253923" s="12" customFormat="1" x14ac:dyDescent="0.25"/>
    <row r="253924" s="12" customFormat="1" x14ac:dyDescent="0.25"/>
    <row r="253925" s="12" customFormat="1" x14ac:dyDescent="0.25"/>
    <row r="253926" s="12" customFormat="1" x14ac:dyDescent="0.25"/>
    <row r="253927" s="12" customFormat="1" x14ac:dyDescent="0.25"/>
    <row r="253928" s="12" customFormat="1" x14ac:dyDescent="0.25"/>
    <row r="253929" s="12" customFormat="1" x14ac:dyDescent="0.25"/>
    <row r="253930" s="12" customFormat="1" x14ac:dyDescent="0.25"/>
    <row r="253931" s="12" customFormat="1" x14ac:dyDescent="0.25"/>
    <row r="253932" s="12" customFormat="1" x14ac:dyDescent="0.25"/>
    <row r="253933" s="12" customFormat="1" x14ac:dyDescent="0.25"/>
    <row r="253934" s="12" customFormat="1" x14ac:dyDescent="0.25"/>
    <row r="253935" s="12" customFormat="1" x14ac:dyDescent="0.25"/>
    <row r="253936" s="12" customFormat="1" x14ac:dyDescent="0.25"/>
    <row r="253937" s="12" customFormat="1" x14ac:dyDescent="0.25"/>
    <row r="253938" s="12" customFormat="1" x14ac:dyDescent="0.25"/>
    <row r="253939" s="12" customFormat="1" x14ac:dyDescent="0.25"/>
    <row r="253940" s="12" customFormat="1" x14ac:dyDescent="0.25"/>
    <row r="253941" s="12" customFormat="1" x14ac:dyDescent="0.25"/>
    <row r="253942" s="12" customFormat="1" x14ac:dyDescent="0.25"/>
    <row r="253943" s="12" customFormat="1" x14ac:dyDescent="0.25"/>
    <row r="253944" s="12" customFormat="1" x14ac:dyDescent="0.25"/>
    <row r="253945" s="12" customFormat="1" x14ac:dyDescent="0.25"/>
    <row r="253946" s="12" customFormat="1" x14ac:dyDescent="0.25"/>
    <row r="253947" s="12" customFormat="1" x14ac:dyDescent="0.25"/>
    <row r="253948" s="12" customFormat="1" x14ac:dyDescent="0.25"/>
    <row r="253949" s="12" customFormat="1" x14ac:dyDescent="0.25"/>
    <row r="253950" s="12" customFormat="1" x14ac:dyDescent="0.25"/>
    <row r="253951" s="12" customFormat="1" x14ac:dyDescent="0.25"/>
    <row r="253952" s="12" customFormat="1" x14ac:dyDescent="0.25"/>
    <row r="253953" s="12" customFormat="1" x14ac:dyDescent="0.25"/>
    <row r="253954" s="12" customFormat="1" x14ac:dyDescent="0.25"/>
    <row r="253955" s="12" customFormat="1" x14ac:dyDescent="0.25"/>
    <row r="253956" s="12" customFormat="1" x14ac:dyDescent="0.25"/>
    <row r="253957" s="12" customFormat="1" x14ac:dyDescent="0.25"/>
    <row r="253958" s="12" customFormat="1" x14ac:dyDescent="0.25"/>
    <row r="253959" s="12" customFormat="1" x14ac:dyDescent="0.25"/>
    <row r="253960" s="12" customFormat="1" x14ac:dyDescent="0.25"/>
    <row r="253961" s="12" customFormat="1" x14ac:dyDescent="0.25"/>
    <row r="253962" s="12" customFormat="1" x14ac:dyDescent="0.25"/>
    <row r="253963" s="12" customFormat="1" x14ac:dyDescent="0.25"/>
    <row r="253964" s="12" customFormat="1" x14ac:dyDescent="0.25"/>
    <row r="253965" s="12" customFormat="1" x14ac:dyDescent="0.25"/>
    <row r="253966" s="12" customFormat="1" x14ac:dyDescent="0.25"/>
    <row r="253967" s="12" customFormat="1" x14ac:dyDescent="0.25"/>
    <row r="253968" s="12" customFormat="1" x14ac:dyDescent="0.25"/>
    <row r="253969" s="12" customFormat="1" x14ac:dyDescent="0.25"/>
    <row r="253970" s="12" customFormat="1" x14ac:dyDescent="0.25"/>
    <row r="253971" s="12" customFormat="1" x14ac:dyDescent="0.25"/>
    <row r="253972" s="12" customFormat="1" x14ac:dyDescent="0.25"/>
    <row r="253973" s="12" customFormat="1" x14ac:dyDescent="0.25"/>
    <row r="253974" s="12" customFormat="1" x14ac:dyDescent="0.25"/>
    <row r="253975" s="12" customFormat="1" x14ac:dyDescent="0.25"/>
    <row r="253976" s="12" customFormat="1" x14ac:dyDescent="0.25"/>
    <row r="253977" s="12" customFormat="1" x14ac:dyDescent="0.25"/>
    <row r="253978" s="12" customFormat="1" x14ac:dyDescent="0.25"/>
    <row r="253979" s="12" customFormat="1" x14ac:dyDescent="0.25"/>
    <row r="253980" s="12" customFormat="1" x14ac:dyDescent="0.25"/>
    <row r="253981" s="12" customFormat="1" x14ac:dyDescent="0.25"/>
    <row r="253982" s="12" customFormat="1" x14ac:dyDescent="0.25"/>
    <row r="253983" s="12" customFormat="1" x14ac:dyDescent="0.25"/>
    <row r="253984" s="12" customFormat="1" x14ac:dyDescent="0.25"/>
    <row r="253985" s="12" customFormat="1" x14ac:dyDescent="0.25"/>
    <row r="253986" s="12" customFormat="1" x14ac:dyDescent="0.25"/>
    <row r="253987" s="12" customFormat="1" x14ac:dyDescent="0.25"/>
    <row r="253988" s="12" customFormat="1" x14ac:dyDescent="0.25"/>
    <row r="253989" s="12" customFormat="1" x14ac:dyDescent="0.25"/>
    <row r="253990" s="12" customFormat="1" x14ac:dyDescent="0.25"/>
    <row r="253991" s="12" customFormat="1" x14ac:dyDescent="0.25"/>
    <row r="253992" s="12" customFormat="1" x14ac:dyDescent="0.25"/>
    <row r="253993" s="12" customFormat="1" x14ac:dyDescent="0.25"/>
    <row r="253994" s="12" customFormat="1" x14ac:dyDescent="0.25"/>
    <row r="253995" s="12" customFormat="1" x14ac:dyDescent="0.25"/>
    <row r="253996" s="12" customFormat="1" x14ac:dyDescent="0.25"/>
    <row r="253997" s="12" customFormat="1" x14ac:dyDescent="0.25"/>
    <row r="253998" s="12" customFormat="1" x14ac:dyDescent="0.25"/>
    <row r="253999" s="12" customFormat="1" x14ac:dyDescent="0.25"/>
    <row r="254000" s="12" customFormat="1" x14ac:dyDescent="0.25"/>
    <row r="254001" s="12" customFormat="1" x14ac:dyDescent="0.25"/>
    <row r="254002" s="12" customFormat="1" x14ac:dyDescent="0.25"/>
    <row r="254003" s="12" customFormat="1" x14ac:dyDescent="0.25"/>
    <row r="254004" s="12" customFormat="1" x14ac:dyDescent="0.25"/>
    <row r="254005" s="12" customFormat="1" x14ac:dyDescent="0.25"/>
    <row r="254006" s="12" customFormat="1" x14ac:dyDescent="0.25"/>
    <row r="254007" s="12" customFormat="1" x14ac:dyDescent="0.25"/>
    <row r="254008" s="12" customFormat="1" x14ac:dyDescent="0.25"/>
    <row r="254009" s="12" customFormat="1" x14ac:dyDescent="0.25"/>
    <row r="254010" s="12" customFormat="1" x14ac:dyDescent="0.25"/>
    <row r="254011" s="12" customFormat="1" x14ac:dyDescent="0.25"/>
    <row r="254012" s="12" customFormat="1" x14ac:dyDescent="0.25"/>
    <row r="254013" s="12" customFormat="1" x14ac:dyDescent="0.25"/>
    <row r="254014" s="12" customFormat="1" x14ac:dyDescent="0.25"/>
    <row r="254015" s="12" customFormat="1" x14ac:dyDescent="0.25"/>
    <row r="254016" s="12" customFormat="1" x14ac:dyDescent="0.25"/>
    <row r="254017" s="12" customFormat="1" x14ac:dyDescent="0.25"/>
    <row r="254018" s="12" customFormat="1" x14ac:dyDescent="0.25"/>
    <row r="254019" s="12" customFormat="1" x14ac:dyDescent="0.25"/>
    <row r="254020" s="12" customFormat="1" x14ac:dyDescent="0.25"/>
    <row r="254021" s="12" customFormat="1" x14ac:dyDescent="0.25"/>
    <row r="254022" s="12" customFormat="1" x14ac:dyDescent="0.25"/>
    <row r="254023" s="12" customFormat="1" x14ac:dyDescent="0.25"/>
    <row r="254024" s="12" customFormat="1" x14ac:dyDescent="0.25"/>
    <row r="254025" s="12" customFormat="1" x14ac:dyDescent="0.25"/>
    <row r="254026" s="12" customFormat="1" x14ac:dyDescent="0.25"/>
    <row r="254027" s="12" customFormat="1" x14ac:dyDescent="0.25"/>
    <row r="254028" s="12" customFormat="1" x14ac:dyDescent="0.25"/>
    <row r="254029" s="12" customFormat="1" x14ac:dyDescent="0.25"/>
    <row r="254030" s="12" customFormat="1" x14ac:dyDescent="0.25"/>
    <row r="254031" s="12" customFormat="1" x14ac:dyDescent="0.25"/>
    <row r="254032" s="12" customFormat="1" x14ac:dyDescent="0.25"/>
    <row r="254033" s="12" customFormat="1" x14ac:dyDescent="0.25"/>
    <row r="254034" s="12" customFormat="1" x14ac:dyDescent="0.25"/>
    <row r="254035" s="12" customFormat="1" x14ac:dyDescent="0.25"/>
    <row r="254036" s="12" customFormat="1" x14ac:dyDescent="0.25"/>
    <row r="254037" s="12" customFormat="1" x14ac:dyDescent="0.25"/>
    <row r="254038" s="12" customFormat="1" x14ac:dyDescent="0.25"/>
    <row r="254039" s="12" customFormat="1" x14ac:dyDescent="0.25"/>
    <row r="254040" s="12" customFormat="1" x14ac:dyDescent="0.25"/>
    <row r="254041" s="12" customFormat="1" x14ac:dyDescent="0.25"/>
    <row r="254042" s="12" customFormat="1" x14ac:dyDescent="0.25"/>
    <row r="254043" s="12" customFormat="1" x14ac:dyDescent="0.25"/>
    <row r="254044" s="12" customFormat="1" x14ac:dyDescent="0.25"/>
    <row r="254045" s="12" customFormat="1" x14ac:dyDescent="0.25"/>
    <row r="254046" s="12" customFormat="1" x14ac:dyDescent="0.25"/>
    <row r="254047" s="12" customFormat="1" x14ac:dyDescent="0.25"/>
    <row r="254048" s="12" customFormat="1" x14ac:dyDescent="0.25"/>
    <row r="254049" s="12" customFormat="1" x14ac:dyDescent="0.25"/>
    <row r="254050" s="12" customFormat="1" x14ac:dyDescent="0.25"/>
    <row r="254051" s="12" customFormat="1" x14ac:dyDescent="0.25"/>
    <row r="254052" s="12" customFormat="1" x14ac:dyDescent="0.25"/>
    <row r="254053" s="12" customFormat="1" x14ac:dyDescent="0.25"/>
    <row r="254054" s="12" customFormat="1" x14ac:dyDescent="0.25"/>
    <row r="254055" s="12" customFormat="1" x14ac:dyDescent="0.25"/>
    <row r="254056" s="12" customFormat="1" x14ac:dyDescent="0.25"/>
    <row r="254057" s="12" customFormat="1" x14ac:dyDescent="0.25"/>
    <row r="254058" s="12" customFormat="1" x14ac:dyDescent="0.25"/>
    <row r="254059" s="12" customFormat="1" x14ac:dyDescent="0.25"/>
    <row r="254060" s="12" customFormat="1" x14ac:dyDescent="0.25"/>
    <row r="254061" s="12" customFormat="1" x14ac:dyDescent="0.25"/>
    <row r="254062" s="12" customFormat="1" x14ac:dyDescent="0.25"/>
    <row r="254063" s="12" customFormat="1" x14ac:dyDescent="0.25"/>
    <row r="254064" s="12" customFormat="1" x14ac:dyDescent="0.25"/>
    <row r="254065" s="12" customFormat="1" x14ac:dyDescent="0.25"/>
    <row r="254066" s="12" customFormat="1" x14ac:dyDescent="0.25"/>
    <row r="254067" s="12" customFormat="1" x14ac:dyDescent="0.25"/>
    <row r="254068" s="12" customFormat="1" x14ac:dyDescent="0.25"/>
    <row r="254069" s="12" customFormat="1" x14ac:dyDescent="0.25"/>
    <row r="254070" s="12" customFormat="1" x14ac:dyDescent="0.25"/>
    <row r="254071" s="12" customFormat="1" x14ac:dyDescent="0.25"/>
    <row r="254072" s="12" customFormat="1" x14ac:dyDescent="0.25"/>
    <row r="254073" s="12" customFormat="1" x14ac:dyDescent="0.25"/>
    <row r="254074" s="12" customFormat="1" x14ac:dyDescent="0.25"/>
    <row r="254075" s="12" customFormat="1" x14ac:dyDescent="0.25"/>
    <row r="254076" s="12" customFormat="1" x14ac:dyDescent="0.25"/>
    <row r="254077" s="12" customFormat="1" x14ac:dyDescent="0.25"/>
    <row r="254078" s="12" customFormat="1" x14ac:dyDescent="0.25"/>
    <row r="254079" s="12" customFormat="1" x14ac:dyDescent="0.25"/>
    <row r="254080" s="12" customFormat="1" x14ac:dyDescent="0.25"/>
    <row r="254081" s="12" customFormat="1" x14ac:dyDescent="0.25"/>
    <row r="254082" s="12" customFormat="1" x14ac:dyDescent="0.25"/>
    <row r="254083" s="12" customFormat="1" x14ac:dyDescent="0.25"/>
    <row r="254084" s="12" customFormat="1" x14ac:dyDescent="0.25"/>
    <row r="254085" s="12" customFormat="1" x14ac:dyDescent="0.25"/>
    <row r="254086" s="12" customFormat="1" x14ac:dyDescent="0.25"/>
    <row r="254087" s="12" customFormat="1" x14ac:dyDescent="0.25"/>
    <row r="254088" s="12" customFormat="1" x14ac:dyDescent="0.25"/>
    <row r="254089" s="12" customFormat="1" x14ac:dyDescent="0.25"/>
    <row r="254090" s="12" customFormat="1" x14ac:dyDescent="0.25"/>
    <row r="254091" s="12" customFormat="1" x14ac:dyDescent="0.25"/>
    <row r="254092" s="12" customFormat="1" x14ac:dyDescent="0.25"/>
    <row r="254093" s="12" customFormat="1" x14ac:dyDescent="0.25"/>
    <row r="254094" s="12" customFormat="1" x14ac:dyDescent="0.25"/>
    <row r="254095" s="12" customFormat="1" x14ac:dyDescent="0.25"/>
    <row r="254096" s="12" customFormat="1" x14ac:dyDescent="0.25"/>
    <row r="254097" s="12" customFormat="1" x14ac:dyDescent="0.25"/>
    <row r="254098" s="12" customFormat="1" x14ac:dyDescent="0.25"/>
    <row r="254099" s="12" customFormat="1" x14ac:dyDescent="0.25"/>
    <row r="254100" s="12" customFormat="1" x14ac:dyDescent="0.25"/>
    <row r="254101" s="12" customFormat="1" x14ac:dyDescent="0.25"/>
    <row r="254102" s="12" customFormat="1" x14ac:dyDescent="0.25"/>
    <row r="254103" s="12" customFormat="1" x14ac:dyDescent="0.25"/>
    <row r="254104" s="12" customFormat="1" x14ac:dyDescent="0.25"/>
    <row r="254105" s="12" customFormat="1" x14ac:dyDescent="0.25"/>
    <row r="254106" s="12" customFormat="1" x14ac:dyDescent="0.25"/>
    <row r="254107" s="12" customFormat="1" x14ac:dyDescent="0.25"/>
    <row r="254108" s="12" customFormat="1" x14ac:dyDescent="0.25"/>
    <row r="254109" s="12" customFormat="1" x14ac:dyDescent="0.25"/>
    <row r="254110" s="12" customFormat="1" x14ac:dyDescent="0.25"/>
    <row r="254111" s="12" customFormat="1" x14ac:dyDescent="0.25"/>
    <row r="254112" s="12" customFormat="1" x14ac:dyDescent="0.25"/>
    <row r="254113" s="12" customFormat="1" x14ac:dyDescent="0.25"/>
    <row r="254114" s="12" customFormat="1" x14ac:dyDescent="0.25"/>
    <row r="254115" s="12" customFormat="1" x14ac:dyDescent="0.25"/>
    <row r="254116" s="12" customFormat="1" x14ac:dyDescent="0.25"/>
    <row r="254117" s="12" customFormat="1" x14ac:dyDescent="0.25"/>
    <row r="254118" s="12" customFormat="1" x14ac:dyDescent="0.25"/>
    <row r="254119" s="12" customFormat="1" x14ac:dyDescent="0.25"/>
    <row r="254120" s="12" customFormat="1" x14ac:dyDescent="0.25"/>
    <row r="254121" s="12" customFormat="1" x14ac:dyDescent="0.25"/>
    <row r="254122" s="12" customFormat="1" x14ac:dyDescent="0.25"/>
    <row r="254123" s="12" customFormat="1" x14ac:dyDescent="0.25"/>
    <row r="254124" s="12" customFormat="1" x14ac:dyDescent="0.25"/>
    <row r="254125" s="12" customFormat="1" x14ac:dyDescent="0.25"/>
    <row r="254126" s="12" customFormat="1" x14ac:dyDescent="0.25"/>
    <row r="254127" s="12" customFormat="1" x14ac:dyDescent="0.25"/>
    <row r="254128" s="12" customFormat="1" x14ac:dyDescent="0.25"/>
    <row r="254129" s="12" customFormat="1" x14ac:dyDescent="0.25"/>
    <row r="254130" s="12" customFormat="1" x14ac:dyDescent="0.25"/>
    <row r="254131" s="12" customFormat="1" x14ac:dyDescent="0.25"/>
    <row r="254132" s="12" customFormat="1" x14ac:dyDescent="0.25"/>
    <row r="254133" s="12" customFormat="1" x14ac:dyDescent="0.25"/>
    <row r="254134" s="12" customFormat="1" x14ac:dyDescent="0.25"/>
    <row r="254135" s="12" customFormat="1" x14ac:dyDescent="0.25"/>
    <row r="254136" s="12" customFormat="1" x14ac:dyDescent="0.25"/>
    <row r="254137" s="12" customFormat="1" x14ac:dyDescent="0.25"/>
    <row r="254138" s="12" customFormat="1" x14ac:dyDescent="0.25"/>
    <row r="254139" s="12" customFormat="1" x14ac:dyDescent="0.25"/>
    <row r="254140" s="12" customFormat="1" x14ac:dyDescent="0.25"/>
    <row r="254141" s="12" customFormat="1" x14ac:dyDescent="0.25"/>
    <row r="254142" s="12" customFormat="1" x14ac:dyDescent="0.25"/>
    <row r="254143" s="12" customFormat="1" x14ac:dyDescent="0.25"/>
    <row r="254144" s="12" customFormat="1" x14ac:dyDescent="0.25"/>
    <row r="254145" s="12" customFormat="1" x14ac:dyDescent="0.25"/>
    <row r="254146" s="12" customFormat="1" x14ac:dyDescent="0.25"/>
    <row r="254147" s="12" customFormat="1" x14ac:dyDescent="0.25"/>
    <row r="254148" s="12" customFormat="1" x14ac:dyDescent="0.25"/>
    <row r="254149" s="12" customFormat="1" x14ac:dyDescent="0.25"/>
    <row r="254150" s="12" customFormat="1" x14ac:dyDescent="0.25"/>
    <row r="254151" s="12" customFormat="1" x14ac:dyDescent="0.25"/>
    <row r="254152" s="12" customFormat="1" x14ac:dyDescent="0.25"/>
    <row r="254153" s="12" customFormat="1" x14ac:dyDescent="0.25"/>
    <row r="254154" s="12" customFormat="1" x14ac:dyDescent="0.25"/>
    <row r="254155" s="12" customFormat="1" x14ac:dyDescent="0.25"/>
    <row r="254156" s="12" customFormat="1" x14ac:dyDescent="0.25"/>
    <row r="254157" s="12" customFormat="1" x14ac:dyDescent="0.25"/>
    <row r="254158" s="12" customFormat="1" x14ac:dyDescent="0.25"/>
    <row r="254159" s="12" customFormat="1" x14ac:dyDescent="0.25"/>
    <row r="254160" s="12" customFormat="1" x14ac:dyDescent="0.25"/>
    <row r="254161" s="12" customFormat="1" x14ac:dyDescent="0.25"/>
    <row r="254162" s="12" customFormat="1" x14ac:dyDescent="0.25"/>
    <row r="254163" s="12" customFormat="1" x14ac:dyDescent="0.25"/>
    <row r="254164" s="12" customFormat="1" x14ac:dyDescent="0.25"/>
    <row r="254165" s="12" customFormat="1" x14ac:dyDescent="0.25"/>
    <row r="254166" s="12" customFormat="1" x14ac:dyDescent="0.25"/>
    <row r="254167" s="12" customFormat="1" x14ac:dyDescent="0.25"/>
    <row r="254168" s="12" customFormat="1" x14ac:dyDescent="0.25"/>
    <row r="254169" s="12" customFormat="1" x14ac:dyDescent="0.25"/>
    <row r="254170" s="12" customFormat="1" x14ac:dyDescent="0.25"/>
    <row r="254171" s="12" customFormat="1" x14ac:dyDescent="0.25"/>
    <row r="254172" s="12" customFormat="1" x14ac:dyDescent="0.25"/>
    <row r="254173" s="12" customFormat="1" x14ac:dyDescent="0.25"/>
    <row r="254174" s="12" customFormat="1" x14ac:dyDescent="0.25"/>
    <row r="254175" s="12" customFormat="1" x14ac:dyDescent="0.25"/>
    <row r="254176" s="12" customFormat="1" x14ac:dyDescent="0.25"/>
    <row r="254177" s="12" customFormat="1" x14ac:dyDescent="0.25"/>
    <row r="254178" s="12" customFormat="1" x14ac:dyDescent="0.25"/>
    <row r="254179" s="12" customFormat="1" x14ac:dyDescent="0.25"/>
    <row r="254180" s="12" customFormat="1" x14ac:dyDescent="0.25"/>
    <row r="254181" s="12" customFormat="1" x14ac:dyDescent="0.25"/>
    <row r="254182" s="12" customFormat="1" x14ac:dyDescent="0.25"/>
    <row r="254183" s="12" customFormat="1" x14ac:dyDescent="0.25"/>
    <row r="254184" s="12" customFormat="1" x14ac:dyDescent="0.25"/>
    <row r="254185" s="12" customFormat="1" x14ac:dyDescent="0.25"/>
    <row r="254186" s="12" customFormat="1" x14ac:dyDescent="0.25"/>
    <row r="254187" s="12" customFormat="1" x14ac:dyDescent="0.25"/>
    <row r="254188" s="12" customFormat="1" x14ac:dyDescent="0.25"/>
    <row r="254189" s="12" customFormat="1" x14ac:dyDescent="0.25"/>
    <row r="254190" s="12" customFormat="1" x14ac:dyDescent="0.25"/>
    <row r="254191" s="12" customFormat="1" x14ac:dyDescent="0.25"/>
    <row r="254192" s="12" customFormat="1" x14ac:dyDescent="0.25"/>
    <row r="254193" s="12" customFormat="1" x14ac:dyDescent="0.25"/>
    <row r="254194" s="12" customFormat="1" x14ac:dyDescent="0.25"/>
    <row r="254195" s="12" customFormat="1" x14ac:dyDescent="0.25"/>
    <row r="254196" s="12" customFormat="1" x14ac:dyDescent="0.25"/>
    <row r="254197" s="12" customFormat="1" x14ac:dyDescent="0.25"/>
    <row r="254198" s="12" customFormat="1" x14ac:dyDescent="0.25"/>
    <row r="254199" s="12" customFormat="1" x14ac:dyDescent="0.25"/>
    <row r="254200" s="12" customFormat="1" x14ac:dyDescent="0.25"/>
    <row r="254201" s="12" customFormat="1" x14ac:dyDescent="0.25"/>
    <row r="254202" s="12" customFormat="1" x14ac:dyDescent="0.25"/>
    <row r="254203" s="12" customFormat="1" x14ac:dyDescent="0.25"/>
    <row r="254204" s="12" customFormat="1" x14ac:dyDescent="0.25"/>
    <row r="254205" s="12" customFormat="1" x14ac:dyDescent="0.25"/>
    <row r="254206" s="12" customFormat="1" x14ac:dyDescent="0.25"/>
    <row r="254207" s="12" customFormat="1" x14ac:dyDescent="0.25"/>
    <row r="254208" s="12" customFormat="1" x14ac:dyDescent="0.25"/>
    <row r="254209" s="12" customFormat="1" x14ac:dyDescent="0.25"/>
    <row r="254210" s="12" customFormat="1" x14ac:dyDescent="0.25"/>
    <row r="254211" s="12" customFormat="1" x14ac:dyDescent="0.25"/>
    <row r="254212" s="12" customFormat="1" x14ac:dyDescent="0.25"/>
    <row r="254213" s="12" customFormat="1" x14ac:dyDescent="0.25"/>
    <row r="254214" s="12" customFormat="1" x14ac:dyDescent="0.25"/>
    <row r="254215" s="12" customFormat="1" x14ac:dyDescent="0.25"/>
    <row r="254216" s="12" customFormat="1" x14ac:dyDescent="0.25"/>
    <row r="254217" s="12" customFormat="1" x14ac:dyDescent="0.25"/>
    <row r="254218" s="12" customFormat="1" x14ac:dyDescent="0.25"/>
    <row r="254219" s="12" customFormat="1" x14ac:dyDescent="0.25"/>
    <row r="254220" s="12" customFormat="1" x14ac:dyDescent="0.25"/>
    <row r="254221" s="12" customFormat="1" x14ac:dyDescent="0.25"/>
    <row r="254222" s="12" customFormat="1" x14ac:dyDescent="0.25"/>
    <row r="254223" s="12" customFormat="1" x14ac:dyDescent="0.25"/>
    <row r="254224" s="12" customFormat="1" x14ac:dyDescent="0.25"/>
    <row r="254225" s="12" customFormat="1" x14ac:dyDescent="0.25"/>
    <row r="254226" s="12" customFormat="1" x14ac:dyDescent="0.25"/>
    <row r="254227" s="12" customFormat="1" x14ac:dyDescent="0.25"/>
    <row r="254228" s="12" customFormat="1" x14ac:dyDescent="0.25"/>
    <row r="254229" s="12" customFormat="1" x14ac:dyDescent="0.25"/>
    <row r="254230" s="12" customFormat="1" x14ac:dyDescent="0.25"/>
    <row r="254231" s="12" customFormat="1" x14ac:dyDescent="0.25"/>
    <row r="254232" s="12" customFormat="1" x14ac:dyDescent="0.25"/>
    <row r="254233" s="12" customFormat="1" x14ac:dyDescent="0.25"/>
    <row r="254234" s="12" customFormat="1" x14ac:dyDescent="0.25"/>
    <row r="254235" s="12" customFormat="1" x14ac:dyDescent="0.25"/>
    <row r="254236" s="12" customFormat="1" x14ac:dyDescent="0.25"/>
    <row r="254237" s="12" customFormat="1" x14ac:dyDescent="0.25"/>
    <row r="254238" s="12" customFormat="1" x14ac:dyDescent="0.25"/>
    <row r="254239" s="12" customFormat="1" x14ac:dyDescent="0.25"/>
    <row r="254240" s="12" customFormat="1" x14ac:dyDescent="0.25"/>
    <row r="254241" s="12" customFormat="1" x14ac:dyDescent="0.25"/>
    <row r="254242" s="12" customFormat="1" x14ac:dyDescent="0.25"/>
    <row r="254243" s="12" customFormat="1" x14ac:dyDescent="0.25"/>
    <row r="254244" s="12" customFormat="1" x14ac:dyDescent="0.25"/>
    <row r="254245" s="12" customFormat="1" x14ac:dyDescent="0.25"/>
    <row r="254246" s="12" customFormat="1" x14ac:dyDescent="0.25"/>
    <row r="254247" s="12" customFormat="1" x14ac:dyDescent="0.25"/>
    <row r="254248" s="12" customFormat="1" x14ac:dyDescent="0.25"/>
    <row r="254249" s="12" customFormat="1" x14ac:dyDescent="0.25"/>
    <row r="254250" s="12" customFormat="1" x14ac:dyDescent="0.25"/>
    <row r="254251" s="12" customFormat="1" x14ac:dyDescent="0.25"/>
    <row r="254252" s="12" customFormat="1" x14ac:dyDescent="0.25"/>
    <row r="254253" s="12" customFormat="1" x14ac:dyDescent="0.25"/>
    <row r="254254" s="12" customFormat="1" x14ac:dyDescent="0.25"/>
    <row r="254255" s="12" customFormat="1" x14ac:dyDescent="0.25"/>
    <row r="254256" s="12" customFormat="1" x14ac:dyDescent="0.25"/>
    <row r="254257" s="12" customFormat="1" x14ac:dyDescent="0.25"/>
    <row r="254258" s="12" customFormat="1" x14ac:dyDescent="0.25"/>
    <row r="254259" s="12" customFormat="1" x14ac:dyDescent="0.25"/>
    <row r="254260" s="12" customFormat="1" x14ac:dyDescent="0.25"/>
    <row r="254261" s="12" customFormat="1" x14ac:dyDescent="0.25"/>
    <row r="254262" s="12" customFormat="1" x14ac:dyDescent="0.25"/>
    <row r="254263" s="12" customFormat="1" x14ac:dyDescent="0.25"/>
    <row r="254264" s="12" customFormat="1" x14ac:dyDescent="0.25"/>
    <row r="254265" s="12" customFormat="1" x14ac:dyDescent="0.25"/>
    <row r="254266" s="12" customFormat="1" x14ac:dyDescent="0.25"/>
    <row r="254267" s="12" customFormat="1" x14ac:dyDescent="0.25"/>
    <row r="254268" s="12" customFormat="1" x14ac:dyDescent="0.25"/>
    <row r="254269" s="12" customFormat="1" x14ac:dyDescent="0.25"/>
    <row r="254270" s="12" customFormat="1" x14ac:dyDescent="0.25"/>
    <row r="254271" s="12" customFormat="1" x14ac:dyDescent="0.25"/>
    <row r="254272" s="12" customFormat="1" x14ac:dyDescent="0.25"/>
    <row r="254273" s="12" customFormat="1" x14ac:dyDescent="0.25"/>
    <row r="254274" s="12" customFormat="1" x14ac:dyDescent="0.25"/>
    <row r="254275" s="12" customFormat="1" x14ac:dyDescent="0.25"/>
    <row r="254276" s="12" customFormat="1" x14ac:dyDescent="0.25"/>
    <row r="254277" s="12" customFormat="1" x14ac:dyDescent="0.25"/>
    <row r="254278" s="12" customFormat="1" x14ac:dyDescent="0.25"/>
    <row r="254279" s="12" customFormat="1" x14ac:dyDescent="0.25"/>
    <row r="254280" s="12" customFormat="1" x14ac:dyDescent="0.25"/>
    <row r="254281" s="12" customFormat="1" x14ac:dyDescent="0.25"/>
    <row r="254282" s="12" customFormat="1" x14ac:dyDescent="0.25"/>
    <row r="254283" s="12" customFormat="1" x14ac:dyDescent="0.25"/>
    <row r="254284" s="12" customFormat="1" x14ac:dyDescent="0.25"/>
    <row r="254285" s="12" customFormat="1" x14ac:dyDescent="0.25"/>
    <row r="254286" s="12" customFormat="1" x14ac:dyDescent="0.25"/>
    <row r="254287" s="12" customFormat="1" x14ac:dyDescent="0.25"/>
    <row r="254288" s="12" customFormat="1" x14ac:dyDescent="0.25"/>
    <row r="254289" s="12" customFormat="1" x14ac:dyDescent="0.25"/>
    <row r="254290" s="12" customFormat="1" x14ac:dyDescent="0.25"/>
    <row r="254291" s="12" customFormat="1" x14ac:dyDescent="0.25"/>
    <row r="254292" s="12" customFormat="1" x14ac:dyDescent="0.25"/>
    <row r="254293" s="12" customFormat="1" x14ac:dyDescent="0.25"/>
    <row r="254294" s="12" customFormat="1" x14ac:dyDescent="0.25"/>
    <row r="254295" s="12" customFormat="1" x14ac:dyDescent="0.25"/>
    <row r="254296" s="12" customFormat="1" x14ac:dyDescent="0.25"/>
    <row r="254297" s="12" customFormat="1" x14ac:dyDescent="0.25"/>
    <row r="254298" s="12" customFormat="1" x14ac:dyDescent="0.25"/>
    <row r="254299" s="12" customFormat="1" x14ac:dyDescent="0.25"/>
    <row r="254300" s="12" customFormat="1" x14ac:dyDescent="0.25"/>
    <row r="254301" s="12" customFormat="1" x14ac:dyDescent="0.25"/>
    <row r="254302" s="12" customFormat="1" x14ac:dyDescent="0.25"/>
    <row r="254303" s="12" customFormat="1" x14ac:dyDescent="0.25"/>
    <row r="254304" s="12" customFormat="1" x14ac:dyDescent="0.25"/>
    <row r="254305" s="12" customFormat="1" x14ac:dyDescent="0.25"/>
    <row r="254306" s="12" customFormat="1" x14ac:dyDescent="0.25"/>
    <row r="254307" s="12" customFormat="1" x14ac:dyDescent="0.25"/>
    <row r="254308" s="12" customFormat="1" x14ac:dyDescent="0.25"/>
    <row r="254309" s="12" customFormat="1" x14ac:dyDescent="0.25"/>
    <row r="254310" s="12" customFormat="1" x14ac:dyDescent="0.25"/>
    <row r="254311" s="12" customFormat="1" x14ac:dyDescent="0.25"/>
    <row r="254312" s="12" customFormat="1" x14ac:dyDescent="0.25"/>
    <row r="254313" s="12" customFormat="1" x14ac:dyDescent="0.25"/>
    <row r="254314" s="12" customFormat="1" x14ac:dyDescent="0.25"/>
    <row r="254315" s="12" customFormat="1" x14ac:dyDescent="0.25"/>
    <row r="254316" s="12" customFormat="1" x14ac:dyDescent="0.25"/>
    <row r="254317" s="12" customFormat="1" x14ac:dyDescent="0.25"/>
    <row r="254318" s="12" customFormat="1" x14ac:dyDescent="0.25"/>
    <row r="254319" s="12" customFormat="1" x14ac:dyDescent="0.25"/>
    <row r="254320" s="12" customFormat="1" x14ac:dyDescent="0.25"/>
    <row r="254321" s="12" customFormat="1" x14ac:dyDescent="0.25"/>
    <row r="254322" s="12" customFormat="1" x14ac:dyDescent="0.25"/>
    <row r="254323" s="12" customFormat="1" x14ac:dyDescent="0.25"/>
    <row r="254324" s="12" customFormat="1" x14ac:dyDescent="0.25"/>
    <row r="254325" s="12" customFormat="1" x14ac:dyDescent="0.25"/>
    <row r="254326" s="12" customFormat="1" x14ac:dyDescent="0.25"/>
    <row r="254327" s="12" customFormat="1" x14ac:dyDescent="0.25"/>
    <row r="254328" s="12" customFormat="1" x14ac:dyDescent="0.25"/>
    <row r="254329" s="12" customFormat="1" x14ac:dyDescent="0.25"/>
    <row r="254330" s="12" customFormat="1" x14ac:dyDescent="0.25"/>
    <row r="254331" s="12" customFormat="1" x14ac:dyDescent="0.25"/>
    <row r="254332" s="12" customFormat="1" x14ac:dyDescent="0.25"/>
    <row r="254333" s="12" customFormat="1" x14ac:dyDescent="0.25"/>
    <row r="254334" s="12" customFormat="1" x14ac:dyDescent="0.25"/>
    <row r="254335" s="12" customFormat="1" x14ac:dyDescent="0.25"/>
    <row r="254336" s="12" customFormat="1" x14ac:dyDescent="0.25"/>
    <row r="254337" s="12" customFormat="1" x14ac:dyDescent="0.25"/>
    <row r="254338" s="12" customFormat="1" x14ac:dyDescent="0.25"/>
    <row r="254339" s="12" customFormat="1" x14ac:dyDescent="0.25"/>
    <row r="254340" s="12" customFormat="1" x14ac:dyDescent="0.25"/>
    <row r="254341" s="12" customFormat="1" x14ac:dyDescent="0.25"/>
    <row r="254342" s="12" customFormat="1" x14ac:dyDescent="0.25"/>
    <row r="254343" s="12" customFormat="1" x14ac:dyDescent="0.25"/>
    <row r="254344" s="12" customFormat="1" x14ac:dyDescent="0.25"/>
    <row r="254345" s="12" customFormat="1" x14ac:dyDescent="0.25"/>
    <row r="254346" s="12" customFormat="1" x14ac:dyDescent="0.25"/>
    <row r="254347" s="12" customFormat="1" x14ac:dyDescent="0.25"/>
    <row r="254348" s="12" customFormat="1" x14ac:dyDescent="0.25"/>
    <row r="254349" s="12" customFormat="1" x14ac:dyDescent="0.25"/>
    <row r="254350" s="12" customFormat="1" x14ac:dyDescent="0.25"/>
    <row r="254351" s="12" customFormat="1" x14ac:dyDescent="0.25"/>
    <row r="254352" s="12" customFormat="1" x14ac:dyDescent="0.25"/>
    <row r="254353" s="12" customFormat="1" x14ac:dyDescent="0.25"/>
    <row r="254354" s="12" customFormat="1" x14ac:dyDescent="0.25"/>
    <row r="254355" s="12" customFormat="1" x14ac:dyDescent="0.25"/>
    <row r="254356" s="12" customFormat="1" x14ac:dyDescent="0.25"/>
    <row r="254357" s="12" customFormat="1" x14ac:dyDescent="0.25"/>
    <row r="254358" s="12" customFormat="1" x14ac:dyDescent="0.25"/>
    <row r="254359" s="12" customFormat="1" x14ac:dyDescent="0.25"/>
    <row r="254360" s="12" customFormat="1" x14ac:dyDescent="0.25"/>
    <row r="254361" s="12" customFormat="1" x14ac:dyDescent="0.25"/>
    <row r="254362" s="12" customFormat="1" x14ac:dyDescent="0.25"/>
    <row r="254363" s="12" customFormat="1" x14ac:dyDescent="0.25"/>
    <row r="254364" s="12" customFormat="1" x14ac:dyDescent="0.25"/>
    <row r="254365" s="12" customFormat="1" x14ac:dyDescent="0.25"/>
    <row r="254366" s="12" customFormat="1" x14ac:dyDescent="0.25"/>
    <row r="254367" s="12" customFormat="1" x14ac:dyDescent="0.25"/>
    <row r="254368" s="12" customFormat="1" x14ac:dyDescent="0.25"/>
    <row r="254369" s="12" customFormat="1" x14ac:dyDescent="0.25"/>
    <row r="254370" s="12" customFormat="1" x14ac:dyDescent="0.25"/>
    <row r="254371" s="12" customFormat="1" x14ac:dyDescent="0.25"/>
    <row r="254372" s="12" customFormat="1" x14ac:dyDescent="0.25"/>
    <row r="254373" s="12" customFormat="1" x14ac:dyDescent="0.25"/>
    <row r="254374" s="12" customFormat="1" x14ac:dyDescent="0.25"/>
    <row r="254375" s="12" customFormat="1" x14ac:dyDescent="0.25"/>
    <row r="254376" s="12" customFormat="1" x14ac:dyDescent="0.25"/>
    <row r="254377" s="12" customFormat="1" x14ac:dyDescent="0.25"/>
    <row r="254378" s="12" customFormat="1" x14ac:dyDescent="0.25"/>
    <row r="254379" s="12" customFormat="1" x14ac:dyDescent="0.25"/>
    <row r="254380" s="12" customFormat="1" x14ac:dyDescent="0.25"/>
    <row r="254381" s="12" customFormat="1" x14ac:dyDescent="0.25"/>
    <row r="254382" s="12" customFormat="1" x14ac:dyDescent="0.25"/>
    <row r="254383" s="12" customFormat="1" x14ac:dyDescent="0.25"/>
    <row r="254384" s="12" customFormat="1" x14ac:dyDescent="0.25"/>
    <row r="254385" s="12" customFormat="1" x14ac:dyDescent="0.25"/>
    <row r="254386" s="12" customFormat="1" x14ac:dyDescent="0.25"/>
    <row r="254387" s="12" customFormat="1" x14ac:dyDescent="0.25"/>
    <row r="254388" s="12" customFormat="1" x14ac:dyDescent="0.25"/>
    <row r="254389" s="12" customFormat="1" x14ac:dyDescent="0.25"/>
    <row r="254390" s="12" customFormat="1" x14ac:dyDescent="0.25"/>
    <row r="254391" s="12" customFormat="1" x14ac:dyDescent="0.25"/>
    <row r="254392" s="12" customFormat="1" x14ac:dyDescent="0.25"/>
    <row r="254393" s="12" customFormat="1" x14ac:dyDescent="0.25"/>
    <row r="254394" s="12" customFormat="1" x14ac:dyDescent="0.25"/>
    <row r="254395" s="12" customFormat="1" x14ac:dyDescent="0.25"/>
    <row r="254396" s="12" customFormat="1" x14ac:dyDescent="0.25"/>
    <row r="254397" s="12" customFormat="1" x14ac:dyDescent="0.25"/>
    <row r="254398" s="12" customFormat="1" x14ac:dyDescent="0.25"/>
    <row r="254399" s="12" customFormat="1" x14ac:dyDescent="0.25"/>
    <row r="254400" s="12" customFormat="1" x14ac:dyDescent="0.25"/>
    <row r="254401" s="12" customFormat="1" x14ac:dyDescent="0.25"/>
    <row r="254402" s="12" customFormat="1" x14ac:dyDescent="0.25"/>
    <row r="254403" s="12" customFormat="1" x14ac:dyDescent="0.25"/>
    <row r="254404" s="12" customFormat="1" x14ac:dyDescent="0.25"/>
    <row r="254405" s="12" customFormat="1" x14ac:dyDescent="0.25"/>
    <row r="254406" s="12" customFormat="1" x14ac:dyDescent="0.25"/>
    <row r="254407" s="12" customFormat="1" x14ac:dyDescent="0.25"/>
    <row r="254408" s="12" customFormat="1" x14ac:dyDescent="0.25"/>
    <row r="254409" s="12" customFormat="1" x14ac:dyDescent="0.25"/>
    <row r="254410" s="12" customFormat="1" x14ac:dyDescent="0.25"/>
    <row r="254411" s="12" customFormat="1" x14ac:dyDescent="0.25"/>
    <row r="254412" s="12" customFormat="1" x14ac:dyDescent="0.25"/>
    <row r="254413" s="12" customFormat="1" x14ac:dyDescent="0.25"/>
    <row r="254414" s="12" customFormat="1" x14ac:dyDescent="0.25"/>
    <row r="254415" s="12" customFormat="1" x14ac:dyDescent="0.25"/>
    <row r="254416" s="12" customFormat="1" x14ac:dyDescent="0.25"/>
    <row r="254417" s="12" customFormat="1" x14ac:dyDescent="0.25"/>
    <row r="254418" s="12" customFormat="1" x14ac:dyDescent="0.25"/>
    <row r="254419" s="12" customFormat="1" x14ac:dyDescent="0.25"/>
    <row r="254420" s="12" customFormat="1" x14ac:dyDescent="0.25"/>
    <row r="254421" s="12" customFormat="1" x14ac:dyDescent="0.25"/>
    <row r="254422" s="12" customFormat="1" x14ac:dyDescent="0.25"/>
    <row r="254423" s="12" customFormat="1" x14ac:dyDescent="0.25"/>
    <row r="254424" s="12" customFormat="1" x14ac:dyDescent="0.25"/>
    <row r="254425" s="12" customFormat="1" x14ac:dyDescent="0.25"/>
    <row r="254426" s="12" customFormat="1" x14ac:dyDescent="0.25"/>
    <row r="254427" s="12" customFormat="1" x14ac:dyDescent="0.25"/>
    <row r="254428" s="12" customFormat="1" x14ac:dyDescent="0.25"/>
    <row r="254429" s="12" customFormat="1" x14ac:dyDescent="0.25"/>
    <row r="254430" s="12" customFormat="1" x14ac:dyDescent="0.25"/>
    <row r="254431" s="12" customFormat="1" x14ac:dyDescent="0.25"/>
    <row r="254432" s="12" customFormat="1" x14ac:dyDescent="0.25"/>
    <row r="254433" s="12" customFormat="1" x14ac:dyDescent="0.25"/>
    <row r="254434" s="12" customFormat="1" x14ac:dyDescent="0.25"/>
    <row r="254435" s="12" customFormat="1" x14ac:dyDescent="0.25"/>
    <row r="254436" s="12" customFormat="1" x14ac:dyDescent="0.25"/>
    <row r="254437" s="12" customFormat="1" x14ac:dyDescent="0.25"/>
    <row r="254438" s="12" customFormat="1" x14ac:dyDescent="0.25"/>
    <row r="254439" s="12" customFormat="1" x14ac:dyDescent="0.25"/>
    <row r="254440" s="12" customFormat="1" x14ac:dyDescent="0.25"/>
    <row r="254441" s="12" customFormat="1" x14ac:dyDescent="0.25"/>
    <row r="254442" s="12" customFormat="1" x14ac:dyDescent="0.25"/>
    <row r="254443" s="12" customFormat="1" x14ac:dyDescent="0.25"/>
    <row r="254444" s="12" customFormat="1" x14ac:dyDescent="0.25"/>
    <row r="254445" s="12" customFormat="1" x14ac:dyDescent="0.25"/>
    <row r="254446" s="12" customFormat="1" x14ac:dyDescent="0.25"/>
    <row r="254447" s="12" customFormat="1" x14ac:dyDescent="0.25"/>
    <row r="254448" s="12" customFormat="1" x14ac:dyDescent="0.25"/>
    <row r="254449" s="12" customFormat="1" x14ac:dyDescent="0.25"/>
    <row r="254450" s="12" customFormat="1" x14ac:dyDescent="0.25"/>
    <row r="254451" s="12" customFormat="1" x14ac:dyDescent="0.25"/>
    <row r="254452" s="12" customFormat="1" x14ac:dyDescent="0.25"/>
    <row r="254453" s="12" customFormat="1" x14ac:dyDescent="0.25"/>
    <row r="254454" s="12" customFormat="1" x14ac:dyDescent="0.25"/>
    <row r="254455" s="12" customFormat="1" x14ac:dyDescent="0.25"/>
    <row r="254456" s="12" customFormat="1" x14ac:dyDescent="0.25"/>
    <row r="254457" s="12" customFormat="1" x14ac:dyDescent="0.25"/>
    <row r="254458" s="12" customFormat="1" x14ac:dyDescent="0.25"/>
    <row r="254459" s="12" customFormat="1" x14ac:dyDescent="0.25"/>
    <row r="254460" s="12" customFormat="1" x14ac:dyDescent="0.25"/>
    <row r="254461" s="12" customFormat="1" x14ac:dyDescent="0.25"/>
    <row r="254462" s="12" customFormat="1" x14ac:dyDescent="0.25"/>
    <row r="254463" s="12" customFormat="1" x14ac:dyDescent="0.25"/>
    <row r="254464" s="12" customFormat="1" x14ac:dyDescent="0.25"/>
    <row r="254465" s="12" customFormat="1" x14ac:dyDescent="0.25"/>
    <row r="254466" s="12" customFormat="1" x14ac:dyDescent="0.25"/>
    <row r="254467" s="12" customFormat="1" x14ac:dyDescent="0.25"/>
    <row r="254468" s="12" customFormat="1" x14ac:dyDescent="0.25"/>
    <row r="254469" s="12" customFormat="1" x14ac:dyDescent="0.25"/>
    <row r="254470" s="12" customFormat="1" x14ac:dyDescent="0.25"/>
    <row r="254471" s="12" customFormat="1" x14ac:dyDescent="0.25"/>
    <row r="254472" s="12" customFormat="1" x14ac:dyDescent="0.25"/>
    <row r="254473" s="12" customFormat="1" x14ac:dyDescent="0.25"/>
    <row r="254474" s="12" customFormat="1" x14ac:dyDescent="0.25"/>
    <row r="254475" s="12" customFormat="1" x14ac:dyDescent="0.25"/>
    <row r="254476" s="12" customFormat="1" x14ac:dyDescent="0.25"/>
    <row r="254477" s="12" customFormat="1" x14ac:dyDescent="0.25"/>
    <row r="254478" s="12" customFormat="1" x14ac:dyDescent="0.25"/>
    <row r="254479" s="12" customFormat="1" x14ac:dyDescent="0.25"/>
    <row r="254480" s="12" customFormat="1" x14ac:dyDescent="0.25"/>
    <row r="254481" s="12" customFormat="1" x14ac:dyDescent="0.25"/>
    <row r="254482" s="12" customFormat="1" x14ac:dyDescent="0.25"/>
    <row r="254483" s="12" customFormat="1" x14ac:dyDescent="0.25"/>
    <row r="254484" s="12" customFormat="1" x14ac:dyDescent="0.25"/>
    <row r="254485" s="12" customFormat="1" x14ac:dyDescent="0.25"/>
    <row r="254486" s="12" customFormat="1" x14ac:dyDescent="0.25"/>
    <row r="254487" s="12" customFormat="1" x14ac:dyDescent="0.25"/>
    <row r="254488" s="12" customFormat="1" x14ac:dyDescent="0.25"/>
    <row r="254489" s="12" customFormat="1" x14ac:dyDescent="0.25"/>
    <row r="254490" s="12" customFormat="1" x14ac:dyDescent="0.25"/>
    <row r="254491" s="12" customFormat="1" x14ac:dyDescent="0.25"/>
    <row r="254492" s="12" customFormat="1" x14ac:dyDescent="0.25"/>
    <row r="254493" s="12" customFormat="1" x14ac:dyDescent="0.25"/>
    <row r="254494" s="12" customFormat="1" x14ac:dyDescent="0.25"/>
    <row r="254495" s="12" customFormat="1" x14ac:dyDescent="0.25"/>
    <row r="254496" s="12" customFormat="1" x14ac:dyDescent="0.25"/>
    <row r="254497" s="12" customFormat="1" x14ac:dyDescent="0.25"/>
    <row r="254498" s="12" customFormat="1" x14ac:dyDescent="0.25"/>
    <row r="254499" s="12" customFormat="1" x14ac:dyDescent="0.25"/>
    <row r="254500" s="12" customFormat="1" x14ac:dyDescent="0.25"/>
    <row r="254501" s="12" customFormat="1" x14ac:dyDescent="0.25"/>
    <row r="254502" s="12" customFormat="1" x14ac:dyDescent="0.25"/>
    <row r="254503" s="12" customFormat="1" x14ac:dyDescent="0.25"/>
    <row r="254504" s="12" customFormat="1" x14ac:dyDescent="0.25"/>
    <row r="254505" s="12" customFormat="1" x14ac:dyDescent="0.25"/>
    <row r="254506" s="12" customFormat="1" x14ac:dyDescent="0.25"/>
    <row r="254507" s="12" customFormat="1" x14ac:dyDescent="0.25"/>
    <row r="254508" s="12" customFormat="1" x14ac:dyDescent="0.25"/>
    <row r="254509" s="12" customFormat="1" x14ac:dyDescent="0.25"/>
    <row r="254510" s="12" customFormat="1" x14ac:dyDescent="0.25"/>
    <row r="254511" s="12" customFormat="1" x14ac:dyDescent="0.25"/>
    <row r="254512" s="12" customFormat="1" x14ac:dyDescent="0.25"/>
    <row r="254513" s="12" customFormat="1" x14ac:dyDescent="0.25"/>
    <row r="254514" s="12" customFormat="1" x14ac:dyDescent="0.25"/>
    <row r="254515" s="12" customFormat="1" x14ac:dyDescent="0.25"/>
    <row r="254516" s="12" customFormat="1" x14ac:dyDescent="0.25"/>
    <row r="254517" s="12" customFormat="1" x14ac:dyDescent="0.25"/>
    <row r="254518" s="12" customFormat="1" x14ac:dyDescent="0.25"/>
    <row r="254519" s="12" customFormat="1" x14ac:dyDescent="0.25"/>
    <row r="254520" s="12" customFormat="1" x14ac:dyDescent="0.25"/>
    <row r="254521" s="12" customFormat="1" x14ac:dyDescent="0.25"/>
    <row r="254522" s="12" customFormat="1" x14ac:dyDescent="0.25"/>
    <row r="254523" s="12" customFormat="1" x14ac:dyDescent="0.25"/>
    <row r="254524" s="12" customFormat="1" x14ac:dyDescent="0.25"/>
    <row r="254525" s="12" customFormat="1" x14ac:dyDescent="0.25"/>
    <row r="254526" s="12" customFormat="1" x14ac:dyDescent="0.25"/>
    <row r="254527" s="12" customFormat="1" x14ac:dyDescent="0.25"/>
    <row r="254528" s="12" customFormat="1" x14ac:dyDescent="0.25"/>
    <row r="254529" s="12" customFormat="1" x14ac:dyDescent="0.25"/>
    <row r="254530" s="12" customFormat="1" x14ac:dyDescent="0.25"/>
    <row r="254531" s="12" customFormat="1" x14ac:dyDescent="0.25"/>
    <row r="254532" s="12" customFormat="1" x14ac:dyDescent="0.25"/>
    <row r="254533" s="12" customFormat="1" x14ac:dyDescent="0.25"/>
    <row r="254534" s="12" customFormat="1" x14ac:dyDescent="0.25"/>
    <row r="254535" s="12" customFormat="1" x14ac:dyDescent="0.25"/>
    <row r="254536" s="12" customFormat="1" x14ac:dyDescent="0.25"/>
    <row r="254537" s="12" customFormat="1" x14ac:dyDescent="0.25"/>
    <row r="254538" s="12" customFormat="1" x14ac:dyDescent="0.25"/>
    <row r="254539" s="12" customFormat="1" x14ac:dyDescent="0.25"/>
    <row r="254540" s="12" customFormat="1" x14ac:dyDescent="0.25"/>
    <row r="254541" s="12" customFormat="1" x14ac:dyDescent="0.25"/>
    <row r="254542" s="12" customFormat="1" x14ac:dyDescent="0.25"/>
    <row r="254543" s="12" customFormat="1" x14ac:dyDescent="0.25"/>
    <row r="254544" s="12" customFormat="1" x14ac:dyDescent="0.25"/>
    <row r="254545" s="12" customFormat="1" x14ac:dyDescent="0.25"/>
    <row r="254546" s="12" customFormat="1" x14ac:dyDescent="0.25"/>
    <row r="254547" s="12" customFormat="1" x14ac:dyDescent="0.25"/>
    <row r="254548" s="12" customFormat="1" x14ac:dyDescent="0.25"/>
    <row r="254549" s="12" customFormat="1" x14ac:dyDescent="0.25"/>
    <row r="254550" s="12" customFormat="1" x14ac:dyDescent="0.25"/>
    <row r="254551" s="12" customFormat="1" x14ac:dyDescent="0.25"/>
    <row r="254552" s="12" customFormat="1" x14ac:dyDescent="0.25"/>
    <row r="254553" s="12" customFormat="1" x14ac:dyDescent="0.25"/>
    <row r="254554" s="12" customFormat="1" x14ac:dyDescent="0.25"/>
    <row r="254555" s="12" customFormat="1" x14ac:dyDescent="0.25"/>
    <row r="254556" s="12" customFormat="1" x14ac:dyDescent="0.25"/>
    <row r="254557" s="12" customFormat="1" x14ac:dyDescent="0.25"/>
    <row r="254558" s="12" customFormat="1" x14ac:dyDescent="0.25"/>
    <row r="254559" s="12" customFormat="1" x14ac:dyDescent="0.25"/>
    <row r="254560" s="12" customFormat="1" x14ac:dyDescent="0.25"/>
    <row r="254561" s="12" customFormat="1" x14ac:dyDescent="0.25"/>
    <row r="254562" s="12" customFormat="1" x14ac:dyDescent="0.25"/>
    <row r="254563" s="12" customFormat="1" x14ac:dyDescent="0.25"/>
    <row r="254564" s="12" customFormat="1" x14ac:dyDescent="0.25"/>
    <row r="254565" s="12" customFormat="1" x14ac:dyDescent="0.25"/>
    <row r="254566" s="12" customFormat="1" x14ac:dyDescent="0.25"/>
    <row r="254567" s="12" customFormat="1" x14ac:dyDescent="0.25"/>
    <row r="254568" s="12" customFormat="1" x14ac:dyDescent="0.25"/>
    <row r="254569" s="12" customFormat="1" x14ac:dyDescent="0.25"/>
    <row r="254570" s="12" customFormat="1" x14ac:dyDescent="0.25"/>
    <row r="254571" s="12" customFormat="1" x14ac:dyDescent="0.25"/>
    <row r="254572" s="12" customFormat="1" x14ac:dyDescent="0.25"/>
    <row r="254573" s="12" customFormat="1" x14ac:dyDescent="0.25"/>
    <row r="254574" s="12" customFormat="1" x14ac:dyDescent="0.25"/>
    <row r="254575" s="12" customFormat="1" x14ac:dyDescent="0.25"/>
    <row r="254576" s="12" customFormat="1" x14ac:dyDescent="0.25"/>
    <row r="254577" s="12" customFormat="1" x14ac:dyDescent="0.25"/>
    <row r="254578" s="12" customFormat="1" x14ac:dyDescent="0.25"/>
    <row r="254579" s="12" customFormat="1" x14ac:dyDescent="0.25"/>
    <row r="254580" s="12" customFormat="1" x14ac:dyDescent="0.25"/>
    <row r="254581" s="12" customFormat="1" x14ac:dyDescent="0.25"/>
    <row r="254582" s="12" customFormat="1" x14ac:dyDescent="0.25"/>
    <row r="254583" s="12" customFormat="1" x14ac:dyDescent="0.25"/>
    <row r="254584" s="12" customFormat="1" x14ac:dyDescent="0.25"/>
    <row r="254585" s="12" customFormat="1" x14ac:dyDescent="0.25"/>
    <row r="254586" s="12" customFormat="1" x14ac:dyDescent="0.25"/>
    <row r="254587" s="12" customFormat="1" x14ac:dyDescent="0.25"/>
    <row r="254588" s="12" customFormat="1" x14ac:dyDescent="0.25"/>
    <row r="254589" s="12" customFormat="1" x14ac:dyDescent="0.25"/>
    <row r="254590" s="12" customFormat="1" x14ac:dyDescent="0.25"/>
    <row r="254591" s="12" customFormat="1" x14ac:dyDescent="0.25"/>
    <row r="254592" s="12" customFormat="1" x14ac:dyDescent="0.25"/>
    <row r="254593" s="12" customFormat="1" x14ac:dyDescent="0.25"/>
    <row r="254594" s="12" customFormat="1" x14ac:dyDescent="0.25"/>
    <row r="254595" s="12" customFormat="1" x14ac:dyDescent="0.25"/>
    <row r="254596" s="12" customFormat="1" x14ac:dyDescent="0.25"/>
    <row r="254597" s="12" customFormat="1" x14ac:dyDescent="0.25"/>
    <row r="254598" s="12" customFormat="1" x14ac:dyDescent="0.25"/>
    <row r="254599" s="12" customFormat="1" x14ac:dyDescent="0.25"/>
    <row r="254600" s="12" customFormat="1" x14ac:dyDescent="0.25"/>
    <row r="254601" s="12" customFormat="1" x14ac:dyDescent="0.25"/>
    <row r="254602" s="12" customFormat="1" x14ac:dyDescent="0.25"/>
    <row r="254603" s="12" customFormat="1" x14ac:dyDescent="0.25"/>
    <row r="254604" s="12" customFormat="1" x14ac:dyDescent="0.25"/>
    <row r="254605" s="12" customFormat="1" x14ac:dyDescent="0.25"/>
    <row r="254606" s="12" customFormat="1" x14ac:dyDescent="0.25"/>
    <row r="254607" s="12" customFormat="1" x14ac:dyDescent="0.25"/>
    <row r="254608" s="12" customFormat="1" x14ac:dyDescent="0.25"/>
    <row r="254609" s="12" customFormat="1" x14ac:dyDescent="0.25"/>
    <row r="254610" s="12" customFormat="1" x14ac:dyDescent="0.25"/>
    <row r="254611" s="12" customFormat="1" x14ac:dyDescent="0.25"/>
    <row r="254612" s="12" customFormat="1" x14ac:dyDescent="0.25"/>
    <row r="254613" s="12" customFormat="1" x14ac:dyDescent="0.25"/>
    <row r="254614" s="12" customFormat="1" x14ac:dyDescent="0.25"/>
    <row r="254615" s="12" customFormat="1" x14ac:dyDescent="0.25"/>
    <row r="254616" s="12" customFormat="1" x14ac:dyDescent="0.25"/>
    <row r="254617" s="12" customFormat="1" x14ac:dyDescent="0.25"/>
    <row r="254618" s="12" customFormat="1" x14ac:dyDescent="0.25"/>
    <row r="254619" s="12" customFormat="1" x14ac:dyDescent="0.25"/>
    <row r="254620" s="12" customFormat="1" x14ac:dyDescent="0.25"/>
    <row r="254621" s="12" customFormat="1" x14ac:dyDescent="0.25"/>
    <row r="254622" s="12" customFormat="1" x14ac:dyDescent="0.25"/>
    <row r="254623" s="12" customFormat="1" x14ac:dyDescent="0.25"/>
    <row r="254624" s="12" customFormat="1" x14ac:dyDescent="0.25"/>
    <row r="254625" s="12" customFormat="1" x14ac:dyDescent="0.25"/>
    <row r="254626" s="12" customFormat="1" x14ac:dyDescent="0.25"/>
    <row r="254627" s="12" customFormat="1" x14ac:dyDescent="0.25"/>
    <row r="254628" s="12" customFormat="1" x14ac:dyDescent="0.25"/>
    <row r="254629" s="12" customFormat="1" x14ac:dyDescent="0.25"/>
    <row r="254630" s="12" customFormat="1" x14ac:dyDescent="0.25"/>
    <row r="254631" s="12" customFormat="1" x14ac:dyDescent="0.25"/>
    <row r="254632" s="12" customFormat="1" x14ac:dyDescent="0.25"/>
    <row r="254633" s="12" customFormat="1" x14ac:dyDescent="0.25"/>
    <row r="254634" s="12" customFormat="1" x14ac:dyDescent="0.25"/>
    <row r="254635" s="12" customFormat="1" x14ac:dyDescent="0.25"/>
    <row r="254636" s="12" customFormat="1" x14ac:dyDescent="0.25"/>
    <row r="254637" s="12" customFormat="1" x14ac:dyDescent="0.25"/>
    <row r="254638" s="12" customFormat="1" x14ac:dyDescent="0.25"/>
    <row r="254639" s="12" customFormat="1" x14ac:dyDescent="0.25"/>
    <row r="254640" s="12" customFormat="1" x14ac:dyDescent="0.25"/>
    <row r="254641" s="12" customFormat="1" x14ac:dyDescent="0.25"/>
    <row r="254642" s="12" customFormat="1" x14ac:dyDescent="0.25"/>
    <row r="254643" s="12" customFormat="1" x14ac:dyDescent="0.25"/>
    <row r="254644" s="12" customFormat="1" x14ac:dyDescent="0.25"/>
    <row r="254645" s="12" customFormat="1" x14ac:dyDescent="0.25"/>
    <row r="254646" s="12" customFormat="1" x14ac:dyDescent="0.25"/>
    <row r="254647" s="12" customFormat="1" x14ac:dyDescent="0.25"/>
    <row r="254648" s="12" customFormat="1" x14ac:dyDescent="0.25"/>
    <row r="254649" s="12" customFormat="1" x14ac:dyDescent="0.25"/>
    <row r="254650" s="12" customFormat="1" x14ac:dyDescent="0.25"/>
    <row r="254651" s="12" customFormat="1" x14ac:dyDescent="0.25"/>
    <row r="254652" s="12" customFormat="1" x14ac:dyDescent="0.25"/>
    <row r="254653" s="12" customFormat="1" x14ac:dyDescent="0.25"/>
    <row r="254654" s="12" customFormat="1" x14ac:dyDescent="0.25"/>
    <row r="254655" s="12" customFormat="1" x14ac:dyDescent="0.25"/>
    <row r="254656" s="12" customFormat="1" x14ac:dyDescent="0.25"/>
    <row r="254657" s="12" customFormat="1" x14ac:dyDescent="0.25"/>
    <row r="254658" s="12" customFormat="1" x14ac:dyDescent="0.25"/>
    <row r="254659" s="12" customFormat="1" x14ac:dyDescent="0.25"/>
    <row r="254660" s="12" customFormat="1" x14ac:dyDescent="0.25"/>
    <row r="254661" s="12" customFormat="1" x14ac:dyDescent="0.25"/>
    <row r="254662" s="12" customFormat="1" x14ac:dyDescent="0.25"/>
    <row r="254663" s="12" customFormat="1" x14ac:dyDescent="0.25"/>
    <row r="254664" s="12" customFormat="1" x14ac:dyDescent="0.25"/>
    <row r="254665" s="12" customFormat="1" x14ac:dyDescent="0.25"/>
    <row r="254666" s="12" customFormat="1" x14ac:dyDescent="0.25"/>
    <row r="254667" s="12" customFormat="1" x14ac:dyDescent="0.25"/>
    <row r="254668" s="12" customFormat="1" x14ac:dyDescent="0.25"/>
    <row r="254669" s="12" customFormat="1" x14ac:dyDescent="0.25"/>
    <row r="254670" s="12" customFormat="1" x14ac:dyDescent="0.25"/>
    <row r="254671" s="12" customFormat="1" x14ac:dyDescent="0.25"/>
    <row r="254672" s="12" customFormat="1" x14ac:dyDescent="0.25"/>
    <row r="254673" s="12" customFormat="1" x14ac:dyDescent="0.25"/>
    <row r="254674" s="12" customFormat="1" x14ac:dyDescent="0.25"/>
    <row r="254675" s="12" customFormat="1" x14ac:dyDescent="0.25"/>
    <row r="254676" s="12" customFormat="1" x14ac:dyDescent="0.25"/>
    <row r="254677" s="12" customFormat="1" x14ac:dyDescent="0.25"/>
    <row r="254678" s="12" customFormat="1" x14ac:dyDescent="0.25"/>
    <row r="254679" s="12" customFormat="1" x14ac:dyDescent="0.25"/>
    <row r="254680" s="12" customFormat="1" x14ac:dyDescent="0.25"/>
    <row r="254681" s="12" customFormat="1" x14ac:dyDescent="0.25"/>
    <row r="254682" s="12" customFormat="1" x14ac:dyDescent="0.25"/>
    <row r="254683" s="12" customFormat="1" x14ac:dyDescent="0.25"/>
    <row r="254684" s="12" customFormat="1" x14ac:dyDescent="0.25"/>
    <row r="254685" s="12" customFormat="1" x14ac:dyDescent="0.25"/>
    <row r="254686" s="12" customFormat="1" x14ac:dyDescent="0.25"/>
    <row r="254687" s="12" customFormat="1" x14ac:dyDescent="0.25"/>
    <row r="254688" s="12" customFormat="1" x14ac:dyDescent="0.25"/>
    <row r="254689" s="12" customFormat="1" x14ac:dyDescent="0.25"/>
    <row r="254690" s="12" customFormat="1" x14ac:dyDescent="0.25"/>
    <row r="254691" s="12" customFormat="1" x14ac:dyDescent="0.25"/>
    <row r="254692" s="12" customFormat="1" x14ac:dyDescent="0.25"/>
    <row r="254693" s="12" customFormat="1" x14ac:dyDescent="0.25"/>
    <row r="254694" s="12" customFormat="1" x14ac:dyDescent="0.25"/>
    <row r="254695" s="12" customFormat="1" x14ac:dyDescent="0.25"/>
    <row r="254696" s="12" customFormat="1" x14ac:dyDescent="0.25"/>
    <row r="254697" s="12" customFormat="1" x14ac:dyDescent="0.25"/>
    <row r="254698" s="12" customFormat="1" x14ac:dyDescent="0.25"/>
    <row r="254699" s="12" customFormat="1" x14ac:dyDescent="0.25"/>
    <row r="254700" s="12" customFormat="1" x14ac:dyDescent="0.25"/>
    <row r="254701" s="12" customFormat="1" x14ac:dyDescent="0.25"/>
    <row r="254702" s="12" customFormat="1" x14ac:dyDescent="0.25"/>
    <row r="254703" s="12" customFormat="1" x14ac:dyDescent="0.25"/>
    <row r="254704" s="12" customFormat="1" x14ac:dyDescent="0.25"/>
    <row r="254705" s="12" customFormat="1" x14ac:dyDescent="0.25"/>
    <row r="254706" s="12" customFormat="1" x14ac:dyDescent="0.25"/>
    <row r="254707" s="12" customFormat="1" x14ac:dyDescent="0.25"/>
    <row r="254708" s="12" customFormat="1" x14ac:dyDescent="0.25"/>
    <row r="254709" s="12" customFormat="1" x14ac:dyDescent="0.25"/>
    <row r="254710" s="12" customFormat="1" x14ac:dyDescent="0.25"/>
    <row r="254711" s="12" customFormat="1" x14ac:dyDescent="0.25"/>
    <row r="254712" s="12" customFormat="1" x14ac:dyDescent="0.25"/>
    <row r="254713" s="12" customFormat="1" x14ac:dyDescent="0.25"/>
    <row r="254714" s="12" customFormat="1" x14ac:dyDescent="0.25"/>
    <row r="254715" s="12" customFormat="1" x14ac:dyDescent="0.25"/>
    <row r="254716" s="12" customFormat="1" x14ac:dyDescent="0.25"/>
    <row r="254717" s="12" customFormat="1" x14ac:dyDescent="0.25"/>
    <row r="254718" s="12" customFormat="1" x14ac:dyDescent="0.25"/>
    <row r="254719" s="12" customFormat="1" x14ac:dyDescent="0.25"/>
    <row r="254720" s="12" customFormat="1" x14ac:dyDescent="0.25"/>
    <row r="254721" s="12" customFormat="1" x14ac:dyDescent="0.25"/>
    <row r="254722" s="12" customFormat="1" x14ac:dyDescent="0.25"/>
    <row r="254723" s="12" customFormat="1" x14ac:dyDescent="0.25"/>
    <row r="254724" s="12" customFormat="1" x14ac:dyDescent="0.25"/>
    <row r="254725" s="12" customFormat="1" x14ac:dyDescent="0.25"/>
    <row r="254726" s="12" customFormat="1" x14ac:dyDescent="0.25"/>
    <row r="254727" s="12" customFormat="1" x14ac:dyDescent="0.25"/>
    <row r="254728" s="12" customFormat="1" x14ac:dyDescent="0.25"/>
    <row r="254729" s="12" customFormat="1" x14ac:dyDescent="0.25"/>
    <row r="254730" s="12" customFormat="1" x14ac:dyDescent="0.25"/>
    <row r="254731" s="12" customFormat="1" x14ac:dyDescent="0.25"/>
    <row r="254732" s="12" customFormat="1" x14ac:dyDescent="0.25"/>
    <row r="254733" s="12" customFormat="1" x14ac:dyDescent="0.25"/>
    <row r="254734" s="12" customFormat="1" x14ac:dyDescent="0.25"/>
    <row r="254735" s="12" customFormat="1" x14ac:dyDescent="0.25"/>
    <row r="254736" s="12" customFormat="1" x14ac:dyDescent="0.25"/>
    <row r="254737" s="12" customFormat="1" x14ac:dyDescent="0.25"/>
    <row r="254738" s="12" customFormat="1" x14ac:dyDescent="0.25"/>
    <row r="254739" s="12" customFormat="1" x14ac:dyDescent="0.25"/>
    <row r="254740" s="12" customFormat="1" x14ac:dyDescent="0.25"/>
    <row r="254741" s="12" customFormat="1" x14ac:dyDescent="0.25"/>
    <row r="254742" s="12" customFormat="1" x14ac:dyDescent="0.25"/>
    <row r="254743" s="12" customFormat="1" x14ac:dyDescent="0.25"/>
    <row r="254744" s="12" customFormat="1" x14ac:dyDescent="0.25"/>
    <row r="254745" s="12" customFormat="1" x14ac:dyDescent="0.25"/>
    <row r="254746" s="12" customFormat="1" x14ac:dyDescent="0.25"/>
    <row r="254747" s="12" customFormat="1" x14ac:dyDescent="0.25"/>
    <row r="254748" s="12" customFormat="1" x14ac:dyDescent="0.25"/>
    <row r="254749" s="12" customFormat="1" x14ac:dyDescent="0.25"/>
    <row r="254750" s="12" customFormat="1" x14ac:dyDescent="0.25"/>
    <row r="254751" s="12" customFormat="1" x14ac:dyDescent="0.25"/>
    <row r="254752" s="12" customFormat="1" x14ac:dyDescent="0.25"/>
    <row r="254753" s="12" customFormat="1" x14ac:dyDescent="0.25"/>
    <row r="254754" s="12" customFormat="1" x14ac:dyDescent="0.25"/>
    <row r="254755" s="12" customFormat="1" x14ac:dyDescent="0.25"/>
    <row r="254756" s="12" customFormat="1" x14ac:dyDescent="0.25"/>
    <row r="254757" s="12" customFormat="1" x14ac:dyDescent="0.25"/>
    <row r="254758" s="12" customFormat="1" x14ac:dyDescent="0.25"/>
    <row r="254759" s="12" customFormat="1" x14ac:dyDescent="0.25"/>
    <row r="254760" s="12" customFormat="1" x14ac:dyDescent="0.25"/>
    <row r="254761" s="12" customFormat="1" x14ac:dyDescent="0.25"/>
    <row r="254762" s="12" customFormat="1" x14ac:dyDescent="0.25"/>
    <row r="254763" s="12" customFormat="1" x14ac:dyDescent="0.25"/>
    <row r="254764" s="12" customFormat="1" x14ac:dyDescent="0.25"/>
    <row r="254765" s="12" customFormat="1" x14ac:dyDescent="0.25"/>
    <row r="254766" s="12" customFormat="1" x14ac:dyDescent="0.25"/>
    <row r="254767" s="12" customFormat="1" x14ac:dyDescent="0.25"/>
    <row r="254768" s="12" customFormat="1" x14ac:dyDescent="0.25"/>
    <row r="254769" s="12" customFormat="1" x14ac:dyDescent="0.25"/>
    <row r="254770" s="12" customFormat="1" x14ac:dyDescent="0.25"/>
    <row r="254771" s="12" customFormat="1" x14ac:dyDescent="0.25"/>
    <row r="254772" s="12" customFormat="1" x14ac:dyDescent="0.25"/>
    <row r="254773" s="12" customFormat="1" x14ac:dyDescent="0.25"/>
    <row r="254774" s="12" customFormat="1" x14ac:dyDescent="0.25"/>
    <row r="254775" s="12" customFormat="1" x14ac:dyDescent="0.25"/>
    <row r="254776" s="12" customFormat="1" x14ac:dyDescent="0.25"/>
    <row r="254777" s="12" customFormat="1" x14ac:dyDescent="0.25"/>
    <row r="254778" s="12" customFormat="1" x14ac:dyDescent="0.25"/>
    <row r="254779" s="12" customFormat="1" x14ac:dyDescent="0.25"/>
    <row r="254780" s="12" customFormat="1" x14ac:dyDescent="0.25"/>
    <row r="254781" s="12" customFormat="1" x14ac:dyDescent="0.25"/>
    <row r="254782" s="12" customFormat="1" x14ac:dyDescent="0.25"/>
    <row r="254783" s="12" customFormat="1" x14ac:dyDescent="0.25"/>
    <row r="254784" s="12" customFormat="1" x14ac:dyDescent="0.25"/>
    <row r="254785" s="12" customFormat="1" x14ac:dyDescent="0.25"/>
    <row r="254786" s="12" customFormat="1" x14ac:dyDescent="0.25"/>
    <row r="254787" s="12" customFormat="1" x14ac:dyDescent="0.25"/>
    <row r="254788" s="12" customFormat="1" x14ac:dyDescent="0.25"/>
    <row r="254789" s="12" customFormat="1" x14ac:dyDescent="0.25"/>
    <row r="254790" s="12" customFormat="1" x14ac:dyDescent="0.25"/>
    <row r="254791" s="12" customFormat="1" x14ac:dyDescent="0.25"/>
    <row r="254792" s="12" customFormat="1" x14ac:dyDescent="0.25"/>
    <row r="254793" s="12" customFormat="1" x14ac:dyDescent="0.25"/>
    <row r="254794" s="12" customFormat="1" x14ac:dyDescent="0.25"/>
    <row r="254795" s="12" customFormat="1" x14ac:dyDescent="0.25"/>
    <row r="254796" s="12" customFormat="1" x14ac:dyDescent="0.25"/>
    <row r="254797" s="12" customFormat="1" x14ac:dyDescent="0.25"/>
    <row r="254798" s="12" customFormat="1" x14ac:dyDescent="0.25"/>
    <row r="254799" s="12" customFormat="1" x14ac:dyDescent="0.25"/>
    <row r="254800" s="12" customFormat="1" x14ac:dyDescent="0.25"/>
    <row r="254801" s="12" customFormat="1" x14ac:dyDescent="0.25"/>
    <row r="254802" s="12" customFormat="1" x14ac:dyDescent="0.25"/>
    <row r="254803" s="12" customFormat="1" x14ac:dyDescent="0.25"/>
    <row r="254804" s="12" customFormat="1" x14ac:dyDescent="0.25"/>
    <row r="254805" s="12" customFormat="1" x14ac:dyDescent="0.25"/>
    <row r="254806" s="12" customFormat="1" x14ac:dyDescent="0.25"/>
    <row r="254807" s="12" customFormat="1" x14ac:dyDescent="0.25"/>
    <row r="254808" s="12" customFormat="1" x14ac:dyDescent="0.25"/>
    <row r="254809" s="12" customFormat="1" x14ac:dyDescent="0.25"/>
    <row r="254810" s="12" customFormat="1" x14ac:dyDescent="0.25"/>
    <row r="254811" s="12" customFormat="1" x14ac:dyDescent="0.25"/>
    <row r="254812" s="12" customFormat="1" x14ac:dyDescent="0.25"/>
    <row r="254813" s="12" customFormat="1" x14ac:dyDescent="0.25"/>
    <row r="254814" s="12" customFormat="1" x14ac:dyDescent="0.25"/>
    <row r="254815" s="12" customFormat="1" x14ac:dyDescent="0.25"/>
    <row r="254816" s="12" customFormat="1" x14ac:dyDescent="0.25"/>
    <row r="254817" s="12" customFormat="1" x14ac:dyDescent="0.25"/>
    <row r="254818" s="12" customFormat="1" x14ac:dyDescent="0.25"/>
    <row r="254819" s="12" customFormat="1" x14ac:dyDescent="0.25"/>
    <row r="254820" s="12" customFormat="1" x14ac:dyDescent="0.25"/>
    <row r="254821" s="12" customFormat="1" x14ac:dyDescent="0.25"/>
    <row r="254822" s="12" customFormat="1" x14ac:dyDescent="0.25"/>
    <row r="254823" s="12" customFormat="1" x14ac:dyDescent="0.25"/>
    <row r="254824" s="12" customFormat="1" x14ac:dyDescent="0.25"/>
    <row r="254825" s="12" customFormat="1" x14ac:dyDescent="0.25"/>
    <row r="254826" s="12" customFormat="1" x14ac:dyDescent="0.25"/>
    <row r="254827" s="12" customFormat="1" x14ac:dyDescent="0.25"/>
    <row r="254828" s="12" customFormat="1" x14ac:dyDescent="0.25"/>
    <row r="254829" s="12" customFormat="1" x14ac:dyDescent="0.25"/>
    <row r="254830" s="12" customFormat="1" x14ac:dyDescent="0.25"/>
    <row r="254831" s="12" customFormat="1" x14ac:dyDescent="0.25"/>
    <row r="254832" s="12" customFormat="1" x14ac:dyDescent="0.25"/>
    <row r="254833" s="12" customFormat="1" x14ac:dyDescent="0.25"/>
    <row r="254834" s="12" customFormat="1" x14ac:dyDescent="0.25"/>
    <row r="254835" s="12" customFormat="1" x14ac:dyDescent="0.25"/>
    <row r="254836" s="12" customFormat="1" x14ac:dyDescent="0.25"/>
    <row r="254837" s="12" customFormat="1" x14ac:dyDescent="0.25"/>
    <row r="254838" s="12" customFormat="1" x14ac:dyDescent="0.25"/>
    <row r="254839" s="12" customFormat="1" x14ac:dyDescent="0.25"/>
    <row r="254840" s="12" customFormat="1" x14ac:dyDescent="0.25"/>
    <row r="254841" s="12" customFormat="1" x14ac:dyDescent="0.25"/>
    <row r="254842" s="12" customFormat="1" x14ac:dyDescent="0.25"/>
    <row r="254843" s="12" customFormat="1" x14ac:dyDescent="0.25"/>
    <row r="254844" s="12" customFormat="1" x14ac:dyDescent="0.25"/>
    <row r="254845" s="12" customFormat="1" x14ac:dyDescent="0.25"/>
    <row r="254846" s="12" customFormat="1" x14ac:dyDescent="0.25"/>
    <row r="254847" s="12" customFormat="1" x14ac:dyDescent="0.25"/>
    <row r="254848" s="12" customFormat="1" x14ac:dyDescent="0.25"/>
    <row r="254849" s="12" customFormat="1" x14ac:dyDescent="0.25"/>
    <row r="254850" s="12" customFormat="1" x14ac:dyDescent="0.25"/>
    <row r="254851" s="12" customFormat="1" x14ac:dyDescent="0.25"/>
    <row r="254852" s="12" customFormat="1" x14ac:dyDescent="0.25"/>
    <row r="254853" s="12" customFormat="1" x14ac:dyDescent="0.25"/>
    <row r="254854" s="12" customFormat="1" x14ac:dyDescent="0.25"/>
    <row r="254855" s="12" customFormat="1" x14ac:dyDescent="0.25"/>
    <row r="254856" s="12" customFormat="1" x14ac:dyDescent="0.25"/>
    <row r="254857" s="12" customFormat="1" x14ac:dyDescent="0.25"/>
    <row r="254858" s="12" customFormat="1" x14ac:dyDescent="0.25"/>
    <row r="254859" s="12" customFormat="1" x14ac:dyDescent="0.25"/>
    <row r="254860" s="12" customFormat="1" x14ac:dyDescent="0.25"/>
    <row r="254861" s="12" customFormat="1" x14ac:dyDescent="0.25"/>
    <row r="254862" s="12" customFormat="1" x14ac:dyDescent="0.25"/>
    <row r="254863" s="12" customFormat="1" x14ac:dyDescent="0.25"/>
    <row r="254864" s="12" customFormat="1" x14ac:dyDescent="0.25"/>
    <row r="254865" s="12" customFormat="1" x14ac:dyDescent="0.25"/>
    <row r="254866" s="12" customFormat="1" x14ac:dyDescent="0.25"/>
    <row r="254867" s="12" customFormat="1" x14ac:dyDescent="0.25"/>
    <row r="254868" s="12" customFormat="1" x14ac:dyDescent="0.25"/>
    <row r="254869" s="12" customFormat="1" x14ac:dyDescent="0.25"/>
    <row r="254870" s="12" customFormat="1" x14ac:dyDescent="0.25"/>
    <row r="254871" s="12" customFormat="1" x14ac:dyDescent="0.25"/>
    <row r="254872" s="12" customFormat="1" x14ac:dyDescent="0.25"/>
    <row r="254873" s="12" customFormat="1" x14ac:dyDescent="0.25"/>
    <row r="254874" s="12" customFormat="1" x14ac:dyDescent="0.25"/>
    <row r="254875" s="12" customFormat="1" x14ac:dyDescent="0.25"/>
    <row r="254876" s="12" customFormat="1" x14ac:dyDescent="0.25"/>
    <row r="254877" s="12" customFormat="1" x14ac:dyDescent="0.25"/>
    <row r="254878" s="12" customFormat="1" x14ac:dyDescent="0.25"/>
    <row r="254879" s="12" customFormat="1" x14ac:dyDescent="0.25"/>
    <row r="254880" s="12" customFormat="1" x14ac:dyDescent="0.25"/>
    <row r="254881" s="12" customFormat="1" x14ac:dyDescent="0.25"/>
    <row r="254882" s="12" customFormat="1" x14ac:dyDescent="0.25"/>
    <row r="254883" s="12" customFormat="1" x14ac:dyDescent="0.25"/>
    <row r="254884" s="12" customFormat="1" x14ac:dyDescent="0.25"/>
    <row r="254885" s="12" customFormat="1" x14ac:dyDescent="0.25"/>
    <row r="254886" s="12" customFormat="1" x14ac:dyDescent="0.25"/>
    <row r="254887" s="12" customFormat="1" x14ac:dyDescent="0.25"/>
    <row r="254888" s="12" customFormat="1" x14ac:dyDescent="0.25"/>
    <row r="254889" s="12" customFormat="1" x14ac:dyDescent="0.25"/>
    <row r="254890" s="12" customFormat="1" x14ac:dyDescent="0.25"/>
    <row r="254891" s="12" customFormat="1" x14ac:dyDescent="0.25"/>
    <row r="254892" s="12" customFormat="1" x14ac:dyDescent="0.25"/>
    <row r="254893" s="12" customFormat="1" x14ac:dyDescent="0.25"/>
    <row r="254894" s="12" customFormat="1" x14ac:dyDescent="0.25"/>
    <row r="254895" s="12" customFormat="1" x14ac:dyDescent="0.25"/>
    <row r="254896" s="12" customFormat="1" x14ac:dyDescent="0.25"/>
    <row r="254897" s="12" customFormat="1" x14ac:dyDescent="0.25"/>
    <row r="254898" s="12" customFormat="1" x14ac:dyDescent="0.25"/>
    <row r="254899" s="12" customFormat="1" x14ac:dyDescent="0.25"/>
    <row r="254900" s="12" customFormat="1" x14ac:dyDescent="0.25"/>
    <row r="254901" s="12" customFormat="1" x14ac:dyDescent="0.25"/>
    <row r="254902" s="12" customFormat="1" x14ac:dyDescent="0.25"/>
    <row r="254903" s="12" customFormat="1" x14ac:dyDescent="0.25"/>
    <row r="254904" s="12" customFormat="1" x14ac:dyDescent="0.25"/>
    <row r="254905" s="12" customFormat="1" x14ac:dyDescent="0.25"/>
    <row r="254906" s="12" customFormat="1" x14ac:dyDescent="0.25"/>
    <row r="254907" s="12" customFormat="1" x14ac:dyDescent="0.25"/>
    <row r="254908" s="12" customFormat="1" x14ac:dyDescent="0.25"/>
    <row r="254909" s="12" customFormat="1" x14ac:dyDescent="0.25"/>
    <row r="254910" s="12" customFormat="1" x14ac:dyDescent="0.25"/>
    <row r="254911" s="12" customFormat="1" x14ac:dyDescent="0.25"/>
    <row r="254912" s="12" customFormat="1" x14ac:dyDescent="0.25"/>
    <row r="254913" s="12" customFormat="1" x14ac:dyDescent="0.25"/>
    <row r="254914" s="12" customFormat="1" x14ac:dyDescent="0.25"/>
    <row r="254915" s="12" customFormat="1" x14ac:dyDescent="0.25"/>
    <row r="254916" s="12" customFormat="1" x14ac:dyDescent="0.25"/>
    <row r="254917" s="12" customFormat="1" x14ac:dyDescent="0.25"/>
    <row r="254918" s="12" customFormat="1" x14ac:dyDescent="0.25"/>
    <row r="254919" s="12" customFormat="1" x14ac:dyDescent="0.25"/>
    <row r="254920" s="12" customFormat="1" x14ac:dyDescent="0.25"/>
    <row r="254921" s="12" customFormat="1" x14ac:dyDescent="0.25"/>
    <row r="254922" s="12" customFormat="1" x14ac:dyDescent="0.25"/>
    <row r="254923" s="12" customFormat="1" x14ac:dyDescent="0.25"/>
    <row r="254924" s="12" customFormat="1" x14ac:dyDescent="0.25"/>
    <row r="254925" s="12" customFormat="1" x14ac:dyDescent="0.25"/>
    <row r="254926" s="12" customFormat="1" x14ac:dyDescent="0.25"/>
    <row r="254927" s="12" customFormat="1" x14ac:dyDescent="0.25"/>
    <row r="254928" s="12" customFormat="1" x14ac:dyDescent="0.25"/>
    <row r="254929" s="12" customFormat="1" x14ac:dyDescent="0.25"/>
    <row r="254930" s="12" customFormat="1" x14ac:dyDescent="0.25"/>
    <row r="254931" s="12" customFormat="1" x14ac:dyDescent="0.25"/>
    <row r="254932" s="12" customFormat="1" x14ac:dyDescent="0.25"/>
    <row r="254933" s="12" customFormat="1" x14ac:dyDescent="0.25"/>
    <row r="254934" s="12" customFormat="1" x14ac:dyDescent="0.25"/>
    <row r="254935" s="12" customFormat="1" x14ac:dyDescent="0.25"/>
    <row r="254936" s="12" customFormat="1" x14ac:dyDescent="0.25"/>
    <row r="254937" s="12" customFormat="1" x14ac:dyDescent="0.25"/>
    <row r="254938" s="12" customFormat="1" x14ac:dyDescent="0.25"/>
    <row r="254939" s="12" customFormat="1" x14ac:dyDescent="0.25"/>
    <row r="254940" s="12" customFormat="1" x14ac:dyDescent="0.25"/>
    <row r="254941" s="12" customFormat="1" x14ac:dyDescent="0.25"/>
    <row r="254942" s="12" customFormat="1" x14ac:dyDescent="0.25"/>
    <row r="254943" s="12" customFormat="1" x14ac:dyDescent="0.25"/>
    <row r="254944" s="12" customFormat="1" x14ac:dyDescent="0.25"/>
    <row r="254945" s="12" customFormat="1" x14ac:dyDescent="0.25"/>
    <row r="254946" s="12" customFormat="1" x14ac:dyDescent="0.25"/>
    <row r="254947" s="12" customFormat="1" x14ac:dyDescent="0.25"/>
    <row r="254948" s="12" customFormat="1" x14ac:dyDescent="0.25"/>
    <row r="254949" s="12" customFormat="1" x14ac:dyDescent="0.25"/>
    <row r="254950" s="12" customFormat="1" x14ac:dyDescent="0.25"/>
    <row r="254951" s="12" customFormat="1" x14ac:dyDescent="0.25"/>
    <row r="254952" s="12" customFormat="1" x14ac:dyDescent="0.25"/>
    <row r="254953" s="12" customFormat="1" x14ac:dyDescent="0.25"/>
    <row r="254954" s="12" customFormat="1" x14ac:dyDescent="0.25"/>
    <row r="254955" s="12" customFormat="1" x14ac:dyDescent="0.25"/>
    <row r="254956" s="12" customFormat="1" x14ac:dyDescent="0.25"/>
    <row r="254957" s="12" customFormat="1" x14ac:dyDescent="0.25"/>
    <row r="254958" s="12" customFormat="1" x14ac:dyDescent="0.25"/>
    <row r="254959" s="12" customFormat="1" x14ac:dyDescent="0.25"/>
    <row r="254960" s="12" customFormat="1" x14ac:dyDescent="0.25"/>
    <row r="254961" s="12" customFormat="1" x14ac:dyDescent="0.25"/>
    <row r="254962" s="12" customFormat="1" x14ac:dyDescent="0.25"/>
    <row r="254963" s="12" customFormat="1" x14ac:dyDescent="0.25"/>
    <row r="254964" s="12" customFormat="1" x14ac:dyDescent="0.25"/>
    <row r="254965" s="12" customFormat="1" x14ac:dyDescent="0.25"/>
    <row r="254966" s="12" customFormat="1" x14ac:dyDescent="0.25"/>
    <row r="254967" s="12" customFormat="1" x14ac:dyDescent="0.25"/>
    <row r="254968" s="12" customFormat="1" x14ac:dyDescent="0.25"/>
    <row r="254969" s="12" customFormat="1" x14ac:dyDescent="0.25"/>
    <row r="254970" s="12" customFormat="1" x14ac:dyDescent="0.25"/>
    <row r="254971" s="12" customFormat="1" x14ac:dyDescent="0.25"/>
    <row r="254972" s="12" customFormat="1" x14ac:dyDescent="0.25"/>
    <row r="254973" s="12" customFormat="1" x14ac:dyDescent="0.25"/>
    <row r="254974" s="12" customFormat="1" x14ac:dyDescent="0.25"/>
    <row r="254975" s="12" customFormat="1" x14ac:dyDescent="0.25"/>
    <row r="254976" s="12" customFormat="1" x14ac:dyDescent="0.25"/>
    <row r="254977" s="12" customFormat="1" x14ac:dyDescent="0.25"/>
    <row r="254978" s="12" customFormat="1" x14ac:dyDescent="0.25"/>
    <row r="254979" s="12" customFormat="1" x14ac:dyDescent="0.25"/>
    <row r="254980" s="12" customFormat="1" x14ac:dyDescent="0.25"/>
    <row r="254981" s="12" customFormat="1" x14ac:dyDescent="0.25"/>
    <row r="254982" s="12" customFormat="1" x14ac:dyDescent="0.25"/>
    <row r="254983" s="12" customFormat="1" x14ac:dyDescent="0.25"/>
    <row r="254984" s="12" customFormat="1" x14ac:dyDescent="0.25"/>
    <row r="254985" s="12" customFormat="1" x14ac:dyDescent="0.25"/>
    <row r="254986" s="12" customFormat="1" x14ac:dyDescent="0.25"/>
    <row r="254987" s="12" customFormat="1" x14ac:dyDescent="0.25"/>
    <row r="254988" s="12" customFormat="1" x14ac:dyDescent="0.25"/>
    <row r="254989" s="12" customFormat="1" x14ac:dyDescent="0.25"/>
    <row r="254990" s="12" customFormat="1" x14ac:dyDescent="0.25"/>
    <row r="254991" s="12" customFormat="1" x14ac:dyDescent="0.25"/>
    <row r="254992" s="12" customFormat="1" x14ac:dyDescent="0.25"/>
    <row r="254993" s="12" customFormat="1" x14ac:dyDescent="0.25"/>
    <row r="254994" s="12" customFormat="1" x14ac:dyDescent="0.25"/>
    <row r="254995" s="12" customFormat="1" x14ac:dyDescent="0.25"/>
    <row r="254996" s="12" customFormat="1" x14ac:dyDescent="0.25"/>
    <row r="254997" s="12" customFormat="1" x14ac:dyDescent="0.25"/>
    <row r="254998" s="12" customFormat="1" x14ac:dyDescent="0.25"/>
    <row r="254999" s="12" customFormat="1" x14ac:dyDescent="0.25"/>
    <row r="255000" s="12" customFormat="1" x14ac:dyDescent="0.25"/>
    <row r="255001" s="12" customFormat="1" x14ac:dyDescent="0.25"/>
    <row r="255002" s="12" customFormat="1" x14ac:dyDescent="0.25"/>
    <row r="255003" s="12" customFormat="1" x14ac:dyDescent="0.25"/>
    <row r="255004" s="12" customFormat="1" x14ac:dyDescent="0.25"/>
    <row r="255005" s="12" customFormat="1" x14ac:dyDescent="0.25"/>
    <row r="255006" s="12" customFormat="1" x14ac:dyDescent="0.25"/>
    <row r="255007" s="12" customFormat="1" x14ac:dyDescent="0.25"/>
    <row r="255008" s="12" customFormat="1" x14ac:dyDescent="0.25"/>
    <row r="255009" s="12" customFormat="1" x14ac:dyDescent="0.25"/>
    <row r="255010" s="12" customFormat="1" x14ac:dyDescent="0.25"/>
    <row r="255011" s="12" customFormat="1" x14ac:dyDescent="0.25"/>
    <row r="255012" s="12" customFormat="1" x14ac:dyDescent="0.25"/>
    <row r="255013" s="12" customFormat="1" x14ac:dyDescent="0.25"/>
    <row r="255014" s="12" customFormat="1" x14ac:dyDescent="0.25"/>
    <row r="255015" s="12" customFormat="1" x14ac:dyDescent="0.25"/>
    <row r="255016" s="12" customFormat="1" x14ac:dyDescent="0.25"/>
    <row r="255017" s="12" customFormat="1" x14ac:dyDescent="0.25"/>
    <row r="255018" s="12" customFormat="1" x14ac:dyDescent="0.25"/>
    <row r="255019" s="12" customFormat="1" x14ac:dyDescent="0.25"/>
    <row r="255020" s="12" customFormat="1" x14ac:dyDescent="0.25"/>
    <row r="255021" s="12" customFormat="1" x14ac:dyDescent="0.25"/>
    <row r="255022" s="12" customFormat="1" x14ac:dyDescent="0.25"/>
    <row r="255023" s="12" customFormat="1" x14ac:dyDescent="0.25"/>
    <row r="255024" s="12" customFormat="1" x14ac:dyDescent="0.25"/>
    <row r="255025" s="12" customFormat="1" x14ac:dyDescent="0.25"/>
    <row r="255026" s="12" customFormat="1" x14ac:dyDescent="0.25"/>
    <row r="255027" s="12" customFormat="1" x14ac:dyDescent="0.25"/>
    <row r="255028" s="12" customFormat="1" x14ac:dyDescent="0.25"/>
    <row r="255029" s="12" customFormat="1" x14ac:dyDescent="0.25"/>
    <row r="255030" s="12" customFormat="1" x14ac:dyDescent="0.25"/>
    <row r="255031" s="12" customFormat="1" x14ac:dyDescent="0.25"/>
    <row r="255032" s="12" customFormat="1" x14ac:dyDescent="0.25"/>
    <row r="255033" s="12" customFormat="1" x14ac:dyDescent="0.25"/>
    <row r="255034" s="12" customFormat="1" x14ac:dyDescent="0.25"/>
    <row r="255035" s="12" customFormat="1" x14ac:dyDescent="0.25"/>
    <row r="255036" s="12" customFormat="1" x14ac:dyDescent="0.25"/>
    <row r="255037" s="12" customFormat="1" x14ac:dyDescent="0.25"/>
    <row r="255038" s="12" customFormat="1" x14ac:dyDescent="0.25"/>
    <row r="255039" s="12" customFormat="1" x14ac:dyDescent="0.25"/>
    <row r="255040" s="12" customFormat="1" x14ac:dyDescent="0.25"/>
    <row r="255041" s="12" customFormat="1" x14ac:dyDescent="0.25"/>
    <row r="255042" s="12" customFormat="1" x14ac:dyDescent="0.25"/>
    <row r="255043" s="12" customFormat="1" x14ac:dyDescent="0.25"/>
    <row r="255044" s="12" customFormat="1" x14ac:dyDescent="0.25"/>
    <row r="255045" s="12" customFormat="1" x14ac:dyDescent="0.25"/>
    <row r="255046" s="12" customFormat="1" x14ac:dyDescent="0.25"/>
    <row r="255047" s="12" customFormat="1" x14ac:dyDescent="0.25"/>
    <row r="255048" s="12" customFormat="1" x14ac:dyDescent="0.25"/>
    <row r="255049" s="12" customFormat="1" x14ac:dyDescent="0.25"/>
    <row r="255050" s="12" customFormat="1" x14ac:dyDescent="0.25"/>
    <row r="255051" s="12" customFormat="1" x14ac:dyDescent="0.25"/>
    <row r="255052" s="12" customFormat="1" x14ac:dyDescent="0.25"/>
    <row r="255053" s="12" customFormat="1" x14ac:dyDescent="0.25"/>
    <row r="255054" s="12" customFormat="1" x14ac:dyDescent="0.25"/>
    <row r="255055" s="12" customFormat="1" x14ac:dyDescent="0.25"/>
    <row r="255056" s="12" customFormat="1" x14ac:dyDescent="0.25"/>
    <row r="255057" s="12" customFormat="1" x14ac:dyDescent="0.25"/>
    <row r="255058" s="12" customFormat="1" x14ac:dyDescent="0.25"/>
    <row r="255059" s="12" customFormat="1" x14ac:dyDescent="0.25"/>
    <row r="255060" s="12" customFormat="1" x14ac:dyDescent="0.25"/>
    <row r="255061" s="12" customFormat="1" x14ac:dyDescent="0.25"/>
    <row r="255062" s="12" customFormat="1" x14ac:dyDescent="0.25"/>
    <row r="255063" s="12" customFormat="1" x14ac:dyDescent="0.25"/>
    <row r="255064" s="12" customFormat="1" x14ac:dyDescent="0.25"/>
    <row r="255065" s="12" customFormat="1" x14ac:dyDescent="0.25"/>
    <row r="255066" s="12" customFormat="1" x14ac:dyDescent="0.25"/>
    <row r="255067" s="12" customFormat="1" x14ac:dyDescent="0.25"/>
    <row r="255068" s="12" customFormat="1" x14ac:dyDescent="0.25"/>
    <row r="255069" s="12" customFormat="1" x14ac:dyDescent="0.25"/>
    <row r="255070" s="12" customFormat="1" x14ac:dyDescent="0.25"/>
    <row r="255071" s="12" customFormat="1" x14ac:dyDescent="0.25"/>
    <row r="255072" s="12" customFormat="1" x14ac:dyDescent="0.25"/>
    <row r="255073" s="12" customFormat="1" x14ac:dyDescent="0.25"/>
    <row r="255074" s="12" customFormat="1" x14ac:dyDescent="0.25"/>
    <row r="255075" s="12" customFormat="1" x14ac:dyDescent="0.25"/>
    <row r="255076" s="12" customFormat="1" x14ac:dyDescent="0.25"/>
    <row r="255077" s="12" customFormat="1" x14ac:dyDescent="0.25"/>
    <row r="255078" s="12" customFormat="1" x14ac:dyDescent="0.25"/>
    <row r="255079" s="12" customFormat="1" x14ac:dyDescent="0.25"/>
    <row r="255080" s="12" customFormat="1" x14ac:dyDescent="0.25"/>
    <row r="255081" s="12" customFormat="1" x14ac:dyDescent="0.25"/>
    <row r="255082" s="12" customFormat="1" x14ac:dyDescent="0.25"/>
    <row r="255083" s="12" customFormat="1" x14ac:dyDescent="0.25"/>
    <row r="255084" s="12" customFormat="1" x14ac:dyDescent="0.25"/>
    <row r="255085" s="12" customFormat="1" x14ac:dyDescent="0.25"/>
    <row r="255086" s="12" customFormat="1" x14ac:dyDescent="0.25"/>
    <row r="255087" s="12" customFormat="1" x14ac:dyDescent="0.25"/>
    <row r="255088" s="12" customFormat="1" x14ac:dyDescent="0.25"/>
    <row r="255089" s="12" customFormat="1" x14ac:dyDescent="0.25"/>
    <row r="255090" s="12" customFormat="1" x14ac:dyDescent="0.25"/>
    <row r="255091" s="12" customFormat="1" x14ac:dyDescent="0.25"/>
    <row r="255092" s="12" customFormat="1" x14ac:dyDescent="0.25"/>
    <row r="255093" s="12" customFormat="1" x14ac:dyDescent="0.25"/>
    <row r="255094" s="12" customFormat="1" x14ac:dyDescent="0.25"/>
    <row r="255095" s="12" customFormat="1" x14ac:dyDescent="0.25"/>
    <row r="255096" s="12" customFormat="1" x14ac:dyDescent="0.25"/>
    <row r="255097" s="12" customFormat="1" x14ac:dyDescent="0.25"/>
    <row r="255098" s="12" customFormat="1" x14ac:dyDescent="0.25"/>
    <row r="255099" s="12" customFormat="1" x14ac:dyDescent="0.25"/>
    <row r="255100" s="12" customFormat="1" x14ac:dyDescent="0.25"/>
    <row r="255101" s="12" customFormat="1" x14ac:dyDescent="0.25"/>
    <row r="255102" s="12" customFormat="1" x14ac:dyDescent="0.25"/>
    <row r="255103" s="12" customFormat="1" x14ac:dyDescent="0.25"/>
    <row r="255104" s="12" customFormat="1" x14ac:dyDescent="0.25"/>
    <row r="255105" s="12" customFormat="1" x14ac:dyDescent="0.25"/>
    <row r="255106" s="12" customFormat="1" x14ac:dyDescent="0.25"/>
    <row r="255107" s="12" customFormat="1" x14ac:dyDescent="0.25"/>
    <row r="255108" s="12" customFormat="1" x14ac:dyDescent="0.25"/>
    <row r="255109" s="12" customFormat="1" x14ac:dyDescent="0.25"/>
    <row r="255110" s="12" customFormat="1" x14ac:dyDescent="0.25"/>
    <row r="255111" s="12" customFormat="1" x14ac:dyDescent="0.25"/>
    <row r="255112" s="12" customFormat="1" x14ac:dyDescent="0.25"/>
    <row r="255113" s="12" customFormat="1" x14ac:dyDescent="0.25"/>
    <row r="255114" s="12" customFormat="1" x14ac:dyDescent="0.25"/>
    <row r="255115" s="12" customFormat="1" x14ac:dyDescent="0.25"/>
    <row r="255116" s="12" customFormat="1" x14ac:dyDescent="0.25"/>
    <row r="255117" s="12" customFormat="1" x14ac:dyDescent="0.25"/>
    <row r="255118" s="12" customFormat="1" x14ac:dyDescent="0.25"/>
    <row r="255119" s="12" customFormat="1" x14ac:dyDescent="0.25"/>
    <row r="255120" s="12" customFormat="1" x14ac:dyDescent="0.25"/>
    <row r="255121" s="12" customFormat="1" x14ac:dyDescent="0.25"/>
    <row r="255122" s="12" customFormat="1" x14ac:dyDescent="0.25"/>
    <row r="255123" s="12" customFormat="1" x14ac:dyDescent="0.25"/>
    <row r="255124" s="12" customFormat="1" x14ac:dyDescent="0.25"/>
    <row r="255125" s="12" customFormat="1" x14ac:dyDescent="0.25"/>
    <row r="255126" s="12" customFormat="1" x14ac:dyDescent="0.25"/>
    <row r="255127" s="12" customFormat="1" x14ac:dyDescent="0.25"/>
    <row r="255128" s="12" customFormat="1" x14ac:dyDescent="0.25"/>
    <row r="255129" s="12" customFormat="1" x14ac:dyDescent="0.25"/>
    <row r="255130" s="12" customFormat="1" x14ac:dyDescent="0.25"/>
    <row r="255131" s="12" customFormat="1" x14ac:dyDescent="0.25"/>
    <row r="255132" s="12" customFormat="1" x14ac:dyDescent="0.25"/>
    <row r="255133" s="12" customFormat="1" x14ac:dyDescent="0.25"/>
    <row r="255134" s="12" customFormat="1" x14ac:dyDescent="0.25"/>
    <row r="255135" s="12" customFormat="1" x14ac:dyDescent="0.25"/>
    <row r="255136" s="12" customFormat="1" x14ac:dyDescent="0.25"/>
    <row r="255137" s="12" customFormat="1" x14ac:dyDescent="0.25"/>
    <row r="255138" s="12" customFormat="1" x14ac:dyDescent="0.25"/>
    <row r="255139" s="12" customFormat="1" x14ac:dyDescent="0.25"/>
    <row r="255140" s="12" customFormat="1" x14ac:dyDescent="0.25"/>
    <row r="255141" s="12" customFormat="1" x14ac:dyDescent="0.25"/>
    <row r="255142" s="12" customFormat="1" x14ac:dyDescent="0.25"/>
    <row r="255143" s="12" customFormat="1" x14ac:dyDescent="0.25"/>
    <row r="255144" s="12" customFormat="1" x14ac:dyDescent="0.25"/>
    <row r="255145" s="12" customFormat="1" x14ac:dyDescent="0.25"/>
    <row r="255146" s="12" customFormat="1" x14ac:dyDescent="0.25"/>
    <row r="255147" s="12" customFormat="1" x14ac:dyDescent="0.25"/>
    <row r="255148" s="12" customFormat="1" x14ac:dyDescent="0.25"/>
    <row r="255149" s="12" customFormat="1" x14ac:dyDescent="0.25"/>
    <row r="255150" s="12" customFormat="1" x14ac:dyDescent="0.25"/>
    <row r="255151" s="12" customFormat="1" x14ac:dyDescent="0.25"/>
    <row r="255152" s="12" customFormat="1" x14ac:dyDescent="0.25"/>
    <row r="255153" s="12" customFormat="1" x14ac:dyDescent="0.25"/>
    <row r="255154" s="12" customFormat="1" x14ac:dyDescent="0.25"/>
    <row r="255155" s="12" customFormat="1" x14ac:dyDescent="0.25"/>
    <row r="255156" s="12" customFormat="1" x14ac:dyDescent="0.25"/>
    <row r="255157" s="12" customFormat="1" x14ac:dyDescent="0.25"/>
    <row r="255158" s="12" customFormat="1" x14ac:dyDescent="0.25"/>
    <row r="255159" s="12" customFormat="1" x14ac:dyDescent="0.25"/>
    <row r="255160" s="12" customFormat="1" x14ac:dyDescent="0.25"/>
    <row r="255161" s="12" customFormat="1" x14ac:dyDescent="0.25"/>
    <row r="255162" s="12" customFormat="1" x14ac:dyDescent="0.25"/>
    <row r="255163" s="12" customFormat="1" x14ac:dyDescent="0.25"/>
    <row r="255164" s="12" customFormat="1" x14ac:dyDescent="0.25"/>
    <row r="255165" s="12" customFormat="1" x14ac:dyDescent="0.25"/>
    <row r="255166" s="12" customFormat="1" x14ac:dyDescent="0.25"/>
    <row r="255167" s="12" customFormat="1" x14ac:dyDescent="0.25"/>
    <row r="255168" s="12" customFormat="1" x14ac:dyDescent="0.25"/>
    <row r="255169" s="12" customFormat="1" x14ac:dyDescent="0.25"/>
    <row r="255170" s="12" customFormat="1" x14ac:dyDescent="0.25"/>
    <row r="255171" s="12" customFormat="1" x14ac:dyDescent="0.25"/>
    <row r="255172" s="12" customFormat="1" x14ac:dyDescent="0.25"/>
    <row r="255173" s="12" customFormat="1" x14ac:dyDescent="0.25"/>
    <row r="255174" s="12" customFormat="1" x14ac:dyDescent="0.25"/>
    <row r="255175" s="12" customFormat="1" x14ac:dyDescent="0.25"/>
    <row r="255176" s="12" customFormat="1" x14ac:dyDescent="0.25"/>
    <row r="255177" s="12" customFormat="1" x14ac:dyDescent="0.25"/>
    <row r="255178" s="12" customFormat="1" x14ac:dyDescent="0.25"/>
    <row r="255179" s="12" customFormat="1" x14ac:dyDescent="0.25"/>
    <row r="255180" s="12" customFormat="1" x14ac:dyDescent="0.25"/>
    <row r="255181" s="12" customFormat="1" x14ac:dyDescent="0.25"/>
    <row r="255182" s="12" customFormat="1" x14ac:dyDescent="0.25"/>
    <row r="255183" s="12" customFormat="1" x14ac:dyDescent="0.25"/>
    <row r="255184" s="12" customFormat="1" x14ac:dyDescent="0.25"/>
    <row r="255185" s="12" customFormat="1" x14ac:dyDescent="0.25"/>
    <row r="255186" s="12" customFormat="1" x14ac:dyDescent="0.25"/>
    <row r="255187" s="12" customFormat="1" x14ac:dyDescent="0.25"/>
    <row r="255188" s="12" customFormat="1" x14ac:dyDescent="0.25"/>
    <row r="255189" s="12" customFormat="1" x14ac:dyDescent="0.25"/>
    <row r="255190" s="12" customFormat="1" x14ac:dyDescent="0.25"/>
    <row r="255191" s="12" customFormat="1" x14ac:dyDescent="0.25"/>
    <row r="255192" s="12" customFormat="1" x14ac:dyDescent="0.25"/>
    <row r="255193" s="12" customFormat="1" x14ac:dyDescent="0.25"/>
    <row r="255194" s="12" customFormat="1" x14ac:dyDescent="0.25"/>
    <row r="255195" s="12" customFormat="1" x14ac:dyDescent="0.25"/>
    <row r="255196" s="12" customFormat="1" x14ac:dyDescent="0.25"/>
    <row r="255197" s="12" customFormat="1" x14ac:dyDescent="0.25"/>
    <row r="255198" s="12" customFormat="1" x14ac:dyDescent="0.25"/>
    <row r="255199" s="12" customFormat="1" x14ac:dyDescent="0.25"/>
    <row r="255200" s="12" customFormat="1" x14ac:dyDescent="0.25"/>
    <row r="255201" s="12" customFormat="1" x14ac:dyDescent="0.25"/>
    <row r="255202" s="12" customFormat="1" x14ac:dyDescent="0.25"/>
    <row r="255203" s="12" customFormat="1" x14ac:dyDescent="0.25"/>
    <row r="255204" s="12" customFormat="1" x14ac:dyDescent="0.25"/>
    <row r="255205" s="12" customFormat="1" x14ac:dyDescent="0.25"/>
    <row r="255206" s="12" customFormat="1" x14ac:dyDescent="0.25"/>
    <row r="255207" s="12" customFormat="1" x14ac:dyDescent="0.25"/>
    <row r="255208" s="12" customFormat="1" x14ac:dyDescent="0.25"/>
    <row r="255209" s="12" customFormat="1" x14ac:dyDescent="0.25"/>
    <row r="255210" s="12" customFormat="1" x14ac:dyDescent="0.25"/>
    <row r="255211" s="12" customFormat="1" x14ac:dyDescent="0.25"/>
    <row r="255212" s="12" customFormat="1" x14ac:dyDescent="0.25"/>
    <row r="255213" s="12" customFormat="1" x14ac:dyDescent="0.25"/>
    <row r="255214" s="12" customFormat="1" x14ac:dyDescent="0.25"/>
    <row r="255215" s="12" customFormat="1" x14ac:dyDescent="0.25"/>
    <row r="255216" s="12" customFormat="1" x14ac:dyDescent="0.25"/>
    <row r="255217" s="12" customFormat="1" x14ac:dyDescent="0.25"/>
    <row r="255218" s="12" customFormat="1" x14ac:dyDescent="0.25"/>
    <row r="255219" s="12" customFormat="1" x14ac:dyDescent="0.25"/>
    <row r="255220" s="12" customFormat="1" x14ac:dyDescent="0.25"/>
    <row r="255221" s="12" customFormat="1" x14ac:dyDescent="0.25"/>
    <row r="255222" s="12" customFormat="1" x14ac:dyDescent="0.25"/>
    <row r="255223" s="12" customFormat="1" x14ac:dyDescent="0.25"/>
    <row r="255224" s="12" customFormat="1" x14ac:dyDescent="0.25"/>
    <row r="255225" s="12" customFormat="1" x14ac:dyDescent="0.25"/>
    <row r="255226" s="12" customFormat="1" x14ac:dyDescent="0.25"/>
    <row r="255227" s="12" customFormat="1" x14ac:dyDescent="0.25"/>
    <row r="255228" s="12" customFormat="1" x14ac:dyDescent="0.25"/>
    <row r="255229" s="12" customFormat="1" x14ac:dyDescent="0.25"/>
    <row r="255230" s="12" customFormat="1" x14ac:dyDescent="0.25"/>
    <row r="255231" s="12" customFormat="1" x14ac:dyDescent="0.25"/>
    <row r="255232" s="12" customFormat="1" x14ac:dyDescent="0.25"/>
    <row r="255233" s="12" customFormat="1" x14ac:dyDescent="0.25"/>
    <row r="255234" s="12" customFormat="1" x14ac:dyDescent="0.25"/>
    <row r="255235" s="12" customFormat="1" x14ac:dyDescent="0.25"/>
    <row r="255236" s="12" customFormat="1" x14ac:dyDescent="0.25"/>
    <row r="255237" s="12" customFormat="1" x14ac:dyDescent="0.25"/>
    <row r="255238" s="12" customFormat="1" x14ac:dyDescent="0.25"/>
    <row r="255239" s="12" customFormat="1" x14ac:dyDescent="0.25"/>
    <row r="255240" s="12" customFormat="1" x14ac:dyDescent="0.25"/>
    <row r="255241" s="12" customFormat="1" x14ac:dyDescent="0.25"/>
    <row r="255242" s="12" customFormat="1" x14ac:dyDescent="0.25"/>
    <row r="255243" s="12" customFormat="1" x14ac:dyDescent="0.25"/>
    <row r="255244" s="12" customFormat="1" x14ac:dyDescent="0.25"/>
    <row r="255245" s="12" customFormat="1" x14ac:dyDescent="0.25"/>
    <row r="255246" s="12" customFormat="1" x14ac:dyDescent="0.25"/>
    <row r="255247" s="12" customFormat="1" x14ac:dyDescent="0.25"/>
    <row r="255248" s="12" customFormat="1" x14ac:dyDescent="0.25"/>
    <row r="255249" s="12" customFormat="1" x14ac:dyDescent="0.25"/>
    <row r="255250" s="12" customFormat="1" x14ac:dyDescent="0.25"/>
    <row r="255251" s="12" customFormat="1" x14ac:dyDescent="0.25"/>
    <row r="255252" s="12" customFormat="1" x14ac:dyDescent="0.25"/>
    <row r="255253" s="12" customFormat="1" x14ac:dyDescent="0.25"/>
    <row r="255254" s="12" customFormat="1" x14ac:dyDescent="0.25"/>
    <row r="255255" s="12" customFormat="1" x14ac:dyDescent="0.25"/>
    <row r="255256" s="12" customFormat="1" x14ac:dyDescent="0.25"/>
    <row r="255257" s="12" customFormat="1" x14ac:dyDescent="0.25"/>
    <row r="255258" s="12" customFormat="1" x14ac:dyDescent="0.25"/>
    <row r="255259" s="12" customFormat="1" x14ac:dyDescent="0.25"/>
    <row r="255260" s="12" customFormat="1" x14ac:dyDescent="0.25"/>
    <row r="255261" s="12" customFormat="1" x14ac:dyDescent="0.25"/>
    <row r="255262" s="12" customFormat="1" x14ac:dyDescent="0.25"/>
    <row r="255263" s="12" customFormat="1" x14ac:dyDescent="0.25"/>
    <row r="255264" s="12" customFormat="1" x14ac:dyDescent="0.25"/>
    <row r="255265" s="12" customFormat="1" x14ac:dyDescent="0.25"/>
    <row r="255266" s="12" customFormat="1" x14ac:dyDescent="0.25"/>
    <row r="255267" s="12" customFormat="1" x14ac:dyDescent="0.25"/>
    <row r="255268" s="12" customFormat="1" x14ac:dyDescent="0.25"/>
    <row r="255269" s="12" customFormat="1" x14ac:dyDescent="0.25"/>
    <row r="255270" s="12" customFormat="1" x14ac:dyDescent="0.25"/>
    <row r="255271" s="12" customFormat="1" x14ac:dyDescent="0.25"/>
    <row r="255272" s="12" customFormat="1" x14ac:dyDescent="0.25"/>
    <row r="255273" s="12" customFormat="1" x14ac:dyDescent="0.25"/>
    <row r="255274" s="12" customFormat="1" x14ac:dyDescent="0.25"/>
    <row r="255275" s="12" customFormat="1" x14ac:dyDescent="0.25"/>
    <row r="255276" s="12" customFormat="1" x14ac:dyDescent="0.25"/>
    <row r="255277" s="12" customFormat="1" x14ac:dyDescent="0.25"/>
    <row r="255278" s="12" customFormat="1" x14ac:dyDescent="0.25"/>
    <row r="255279" s="12" customFormat="1" x14ac:dyDescent="0.25"/>
    <row r="255280" s="12" customFormat="1" x14ac:dyDescent="0.25"/>
    <row r="255281" s="12" customFormat="1" x14ac:dyDescent="0.25"/>
    <row r="255282" s="12" customFormat="1" x14ac:dyDescent="0.25"/>
    <row r="255283" s="12" customFormat="1" x14ac:dyDescent="0.25"/>
    <row r="255284" s="12" customFormat="1" x14ac:dyDescent="0.25"/>
    <row r="255285" s="12" customFormat="1" x14ac:dyDescent="0.25"/>
    <row r="255286" s="12" customFormat="1" x14ac:dyDescent="0.25"/>
    <row r="255287" s="12" customFormat="1" x14ac:dyDescent="0.25"/>
    <row r="255288" s="12" customFormat="1" x14ac:dyDescent="0.25"/>
    <row r="255289" s="12" customFormat="1" x14ac:dyDescent="0.25"/>
    <row r="255290" s="12" customFormat="1" x14ac:dyDescent="0.25"/>
    <row r="255291" s="12" customFormat="1" x14ac:dyDescent="0.25"/>
    <row r="255292" s="12" customFormat="1" x14ac:dyDescent="0.25"/>
    <row r="255293" s="12" customFormat="1" x14ac:dyDescent="0.25"/>
    <row r="255294" s="12" customFormat="1" x14ac:dyDescent="0.25"/>
    <row r="255295" s="12" customFormat="1" x14ac:dyDescent="0.25"/>
    <row r="255296" s="12" customFormat="1" x14ac:dyDescent="0.25"/>
    <row r="255297" s="12" customFormat="1" x14ac:dyDescent="0.25"/>
    <row r="255298" s="12" customFormat="1" x14ac:dyDescent="0.25"/>
    <row r="255299" s="12" customFormat="1" x14ac:dyDescent="0.25"/>
    <row r="255300" s="12" customFormat="1" x14ac:dyDescent="0.25"/>
    <row r="255301" s="12" customFormat="1" x14ac:dyDescent="0.25"/>
    <row r="255302" s="12" customFormat="1" x14ac:dyDescent="0.25"/>
    <row r="255303" s="12" customFormat="1" x14ac:dyDescent="0.25"/>
    <row r="255304" s="12" customFormat="1" x14ac:dyDescent="0.25"/>
    <row r="255305" s="12" customFormat="1" x14ac:dyDescent="0.25"/>
    <row r="255306" s="12" customFormat="1" x14ac:dyDescent="0.25"/>
    <row r="255307" s="12" customFormat="1" x14ac:dyDescent="0.25"/>
    <row r="255308" s="12" customFormat="1" x14ac:dyDescent="0.25"/>
    <row r="255309" s="12" customFormat="1" x14ac:dyDescent="0.25"/>
    <row r="255310" s="12" customFormat="1" x14ac:dyDescent="0.25"/>
    <row r="255311" s="12" customFormat="1" x14ac:dyDescent="0.25"/>
    <row r="255312" s="12" customFormat="1" x14ac:dyDescent="0.25"/>
    <row r="255313" s="12" customFormat="1" x14ac:dyDescent="0.25"/>
    <row r="255314" s="12" customFormat="1" x14ac:dyDescent="0.25"/>
    <row r="255315" s="12" customFormat="1" x14ac:dyDescent="0.25"/>
    <row r="255316" s="12" customFormat="1" x14ac:dyDescent="0.25"/>
    <row r="255317" s="12" customFormat="1" x14ac:dyDescent="0.25"/>
    <row r="255318" s="12" customFormat="1" x14ac:dyDescent="0.25"/>
    <row r="255319" s="12" customFormat="1" x14ac:dyDescent="0.25"/>
    <row r="255320" s="12" customFormat="1" x14ac:dyDescent="0.25"/>
    <row r="255321" s="12" customFormat="1" x14ac:dyDescent="0.25"/>
    <row r="255322" s="12" customFormat="1" x14ac:dyDescent="0.25"/>
    <row r="255323" s="12" customFormat="1" x14ac:dyDescent="0.25"/>
    <row r="255324" s="12" customFormat="1" x14ac:dyDescent="0.25"/>
    <row r="255325" s="12" customFormat="1" x14ac:dyDescent="0.25"/>
    <row r="255326" s="12" customFormat="1" x14ac:dyDescent="0.25"/>
    <row r="255327" s="12" customFormat="1" x14ac:dyDescent="0.25"/>
    <row r="255328" s="12" customFormat="1" x14ac:dyDescent="0.25"/>
    <row r="255329" s="12" customFormat="1" x14ac:dyDescent="0.25"/>
    <row r="255330" s="12" customFormat="1" x14ac:dyDescent="0.25"/>
    <row r="255331" s="12" customFormat="1" x14ac:dyDescent="0.25"/>
    <row r="255332" s="12" customFormat="1" x14ac:dyDescent="0.25"/>
    <row r="255333" s="12" customFormat="1" x14ac:dyDescent="0.25"/>
    <row r="255334" s="12" customFormat="1" x14ac:dyDescent="0.25"/>
    <row r="255335" s="12" customFormat="1" x14ac:dyDescent="0.25"/>
    <row r="255336" s="12" customFormat="1" x14ac:dyDescent="0.25"/>
    <row r="255337" s="12" customFormat="1" x14ac:dyDescent="0.25"/>
    <row r="255338" s="12" customFormat="1" x14ac:dyDescent="0.25"/>
    <row r="255339" s="12" customFormat="1" x14ac:dyDescent="0.25"/>
    <row r="255340" s="12" customFormat="1" x14ac:dyDescent="0.25"/>
    <row r="255341" s="12" customFormat="1" x14ac:dyDescent="0.25"/>
    <row r="255342" s="12" customFormat="1" x14ac:dyDescent="0.25"/>
    <row r="255343" s="12" customFormat="1" x14ac:dyDescent="0.25"/>
    <row r="255344" s="12" customFormat="1" x14ac:dyDescent="0.25"/>
    <row r="255345" s="12" customFormat="1" x14ac:dyDescent="0.25"/>
    <row r="255346" s="12" customFormat="1" x14ac:dyDescent="0.25"/>
    <row r="255347" s="12" customFormat="1" x14ac:dyDescent="0.25"/>
    <row r="255348" s="12" customFormat="1" x14ac:dyDescent="0.25"/>
    <row r="255349" s="12" customFormat="1" x14ac:dyDescent="0.25"/>
    <row r="255350" s="12" customFormat="1" x14ac:dyDescent="0.25"/>
    <row r="255351" s="12" customFormat="1" x14ac:dyDescent="0.25"/>
    <row r="255352" s="12" customFormat="1" x14ac:dyDescent="0.25"/>
    <row r="255353" s="12" customFormat="1" x14ac:dyDescent="0.25"/>
    <row r="255354" s="12" customFormat="1" x14ac:dyDescent="0.25"/>
    <row r="255355" s="12" customFormat="1" x14ac:dyDescent="0.25"/>
    <row r="255356" s="12" customFormat="1" x14ac:dyDescent="0.25"/>
    <row r="255357" s="12" customFormat="1" x14ac:dyDescent="0.25"/>
    <row r="255358" s="12" customFormat="1" x14ac:dyDescent="0.25"/>
    <row r="255359" s="12" customFormat="1" x14ac:dyDescent="0.25"/>
    <row r="255360" s="12" customFormat="1" x14ac:dyDescent="0.25"/>
    <row r="255361" s="12" customFormat="1" x14ac:dyDescent="0.25"/>
    <row r="255362" s="12" customFormat="1" x14ac:dyDescent="0.25"/>
    <row r="255363" s="12" customFormat="1" x14ac:dyDescent="0.25"/>
    <row r="255364" s="12" customFormat="1" x14ac:dyDescent="0.25"/>
    <row r="255365" s="12" customFormat="1" x14ac:dyDescent="0.25"/>
    <row r="255366" s="12" customFormat="1" x14ac:dyDescent="0.25"/>
    <row r="255367" s="12" customFormat="1" x14ac:dyDescent="0.25"/>
    <row r="255368" s="12" customFormat="1" x14ac:dyDescent="0.25"/>
    <row r="255369" s="12" customFormat="1" x14ac:dyDescent="0.25"/>
    <row r="255370" s="12" customFormat="1" x14ac:dyDescent="0.25"/>
    <row r="255371" s="12" customFormat="1" x14ac:dyDescent="0.25"/>
    <row r="255372" s="12" customFormat="1" x14ac:dyDescent="0.25"/>
    <row r="255373" s="12" customFormat="1" x14ac:dyDescent="0.25"/>
    <row r="255374" s="12" customFormat="1" x14ac:dyDescent="0.25"/>
    <row r="255375" s="12" customFormat="1" x14ac:dyDescent="0.25"/>
    <row r="255376" s="12" customFormat="1" x14ac:dyDescent="0.25"/>
    <row r="255377" s="12" customFormat="1" x14ac:dyDescent="0.25"/>
    <row r="255378" s="12" customFormat="1" x14ac:dyDescent="0.25"/>
    <row r="255379" s="12" customFormat="1" x14ac:dyDescent="0.25"/>
    <row r="255380" s="12" customFormat="1" x14ac:dyDescent="0.25"/>
    <row r="255381" s="12" customFormat="1" x14ac:dyDescent="0.25"/>
    <row r="255382" s="12" customFormat="1" x14ac:dyDescent="0.25"/>
    <row r="255383" s="12" customFormat="1" x14ac:dyDescent="0.25"/>
    <row r="255384" s="12" customFormat="1" x14ac:dyDescent="0.25"/>
    <row r="255385" s="12" customFormat="1" x14ac:dyDescent="0.25"/>
    <row r="255386" s="12" customFormat="1" x14ac:dyDescent="0.25"/>
    <row r="255387" s="12" customFormat="1" x14ac:dyDescent="0.25"/>
    <row r="255388" s="12" customFormat="1" x14ac:dyDescent="0.25"/>
    <row r="255389" s="12" customFormat="1" x14ac:dyDescent="0.25"/>
    <row r="255390" s="12" customFormat="1" x14ac:dyDescent="0.25"/>
    <row r="255391" s="12" customFormat="1" x14ac:dyDescent="0.25"/>
    <row r="255392" s="12" customFormat="1" x14ac:dyDescent="0.25"/>
    <row r="255393" s="12" customFormat="1" x14ac:dyDescent="0.25"/>
    <row r="255394" s="12" customFormat="1" x14ac:dyDescent="0.25"/>
    <row r="255395" s="12" customFormat="1" x14ac:dyDescent="0.25"/>
    <row r="255396" s="12" customFormat="1" x14ac:dyDescent="0.25"/>
    <row r="255397" s="12" customFormat="1" x14ac:dyDescent="0.25"/>
    <row r="255398" s="12" customFormat="1" x14ac:dyDescent="0.25"/>
    <row r="255399" s="12" customFormat="1" x14ac:dyDescent="0.25"/>
    <row r="255400" s="12" customFormat="1" x14ac:dyDescent="0.25"/>
    <row r="255401" s="12" customFormat="1" x14ac:dyDescent="0.25"/>
    <row r="255402" s="12" customFormat="1" x14ac:dyDescent="0.25"/>
    <row r="255403" s="12" customFormat="1" x14ac:dyDescent="0.25"/>
    <row r="255404" s="12" customFormat="1" x14ac:dyDescent="0.25"/>
    <row r="255405" s="12" customFormat="1" x14ac:dyDescent="0.25"/>
    <row r="255406" s="12" customFormat="1" x14ac:dyDescent="0.25"/>
    <row r="255407" s="12" customFormat="1" x14ac:dyDescent="0.25"/>
    <row r="255408" s="12" customFormat="1" x14ac:dyDescent="0.25"/>
    <row r="255409" s="12" customFormat="1" x14ac:dyDescent="0.25"/>
    <row r="255410" s="12" customFormat="1" x14ac:dyDescent="0.25"/>
    <row r="255411" s="12" customFormat="1" x14ac:dyDescent="0.25"/>
    <row r="255412" s="12" customFormat="1" x14ac:dyDescent="0.25"/>
    <row r="255413" s="12" customFormat="1" x14ac:dyDescent="0.25"/>
    <row r="255414" s="12" customFormat="1" x14ac:dyDescent="0.25"/>
    <row r="255415" s="12" customFormat="1" x14ac:dyDescent="0.25"/>
    <row r="255416" s="12" customFormat="1" x14ac:dyDescent="0.25"/>
    <row r="255417" s="12" customFormat="1" x14ac:dyDescent="0.25"/>
    <row r="255418" s="12" customFormat="1" x14ac:dyDescent="0.25"/>
    <row r="255419" s="12" customFormat="1" x14ac:dyDescent="0.25"/>
    <row r="255420" s="12" customFormat="1" x14ac:dyDescent="0.25"/>
    <row r="255421" s="12" customFormat="1" x14ac:dyDescent="0.25"/>
    <row r="255422" s="12" customFormat="1" x14ac:dyDescent="0.25"/>
    <row r="255423" s="12" customFormat="1" x14ac:dyDescent="0.25"/>
    <row r="255424" s="12" customFormat="1" x14ac:dyDescent="0.25"/>
    <row r="255425" s="12" customFormat="1" x14ac:dyDescent="0.25"/>
    <row r="255426" s="12" customFormat="1" x14ac:dyDescent="0.25"/>
    <row r="255427" s="12" customFormat="1" x14ac:dyDescent="0.25"/>
    <row r="255428" s="12" customFormat="1" x14ac:dyDescent="0.25"/>
    <row r="255429" s="12" customFormat="1" x14ac:dyDescent="0.25"/>
    <row r="255430" s="12" customFormat="1" x14ac:dyDescent="0.25"/>
    <row r="255431" s="12" customFormat="1" x14ac:dyDescent="0.25"/>
    <row r="255432" s="12" customFormat="1" x14ac:dyDescent="0.25"/>
    <row r="255433" s="12" customFormat="1" x14ac:dyDescent="0.25"/>
    <row r="255434" s="12" customFormat="1" x14ac:dyDescent="0.25"/>
    <row r="255435" s="12" customFormat="1" x14ac:dyDescent="0.25"/>
    <row r="255436" s="12" customFormat="1" x14ac:dyDescent="0.25"/>
    <row r="255437" s="12" customFormat="1" x14ac:dyDescent="0.25"/>
    <row r="255438" s="12" customFormat="1" x14ac:dyDescent="0.25"/>
    <row r="255439" s="12" customFormat="1" x14ac:dyDescent="0.25"/>
    <row r="255440" s="12" customFormat="1" x14ac:dyDescent="0.25"/>
    <row r="255441" s="12" customFormat="1" x14ac:dyDescent="0.25"/>
    <row r="255442" s="12" customFormat="1" x14ac:dyDescent="0.25"/>
    <row r="255443" s="12" customFormat="1" x14ac:dyDescent="0.25"/>
    <row r="255444" s="12" customFormat="1" x14ac:dyDescent="0.25"/>
    <row r="255445" s="12" customFormat="1" x14ac:dyDescent="0.25"/>
    <row r="255446" s="12" customFormat="1" x14ac:dyDescent="0.25"/>
    <row r="255447" s="12" customFormat="1" x14ac:dyDescent="0.25"/>
    <row r="255448" s="12" customFormat="1" x14ac:dyDescent="0.25"/>
    <row r="255449" s="12" customFormat="1" x14ac:dyDescent="0.25"/>
    <row r="255450" s="12" customFormat="1" x14ac:dyDescent="0.25"/>
    <row r="255451" s="12" customFormat="1" x14ac:dyDescent="0.25"/>
    <row r="255452" s="12" customFormat="1" x14ac:dyDescent="0.25"/>
    <row r="255453" s="12" customFormat="1" x14ac:dyDescent="0.25"/>
    <row r="255454" s="12" customFormat="1" x14ac:dyDescent="0.25"/>
    <row r="255455" s="12" customFormat="1" x14ac:dyDescent="0.25"/>
    <row r="255456" s="12" customFormat="1" x14ac:dyDescent="0.25"/>
    <row r="255457" s="12" customFormat="1" x14ac:dyDescent="0.25"/>
    <row r="255458" s="12" customFormat="1" x14ac:dyDescent="0.25"/>
    <row r="255459" s="12" customFormat="1" x14ac:dyDescent="0.25"/>
    <row r="255460" s="12" customFormat="1" x14ac:dyDescent="0.25"/>
    <row r="255461" s="12" customFormat="1" x14ac:dyDescent="0.25"/>
    <row r="255462" s="12" customFormat="1" x14ac:dyDescent="0.25"/>
    <row r="255463" s="12" customFormat="1" x14ac:dyDescent="0.25"/>
    <row r="255464" s="12" customFormat="1" x14ac:dyDescent="0.25"/>
    <row r="255465" s="12" customFormat="1" x14ac:dyDescent="0.25"/>
    <row r="255466" s="12" customFormat="1" x14ac:dyDescent="0.25"/>
    <row r="255467" s="12" customFormat="1" x14ac:dyDescent="0.25"/>
    <row r="255468" s="12" customFormat="1" x14ac:dyDescent="0.25"/>
    <row r="255469" s="12" customFormat="1" x14ac:dyDescent="0.25"/>
    <row r="255470" s="12" customFormat="1" x14ac:dyDescent="0.25"/>
    <row r="255471" s="12" customFormat="1" x14ac:dyDescent="0.25"/>
    <row r="255472" s="12" customFormat="1" x14ac:dyDescent="0.25"/>
    <row r="255473" s="12" customFormat="1" x14ac:dyDescent="0.25"/>
    <row r="255474" s="12" customFormat="1" x14ac:dyDescent="0.25"/>
    <row r="255475" s="12" customFormat="1" x14ac:dyDescent="0.25"/>
    <row r="255476" s="12" customFormat="1" x14ac:dyDescent="0.25"/>
    <row r="255477" s="12" customFormat="1" x14ac:dyDescent="0.25"/>
    <row r="255478" s="12" customFormat="1" x14ac:dyDescent="0.25"/>
    <row r="255479" s="12" customFormat="1" x14ac:dyDescent="0.25"/>
    <row r="255480" s="12" customFormat="1" x14ac:dyDescent="0.25"/>
    <row r="255481" s="12" customFormat="1" x14ac:dyDescent="0.25"/>
    <row r="255482" s="12" customFormat="1" x14ac:dyDescent="0.25"/>
    <row r="255483" s="12" customFormat="1" x14ac:dyDescent="0.25"/>
    <row r="255484" s="12" customFormat="1" x14ac:dyDescent="0.25"/>
    <row r="255485" s="12" customFormat="1" x14ac:dyDescent="0.25"/>
    <row r="255486" s="12" customFormat="1" x14ac:dyDescent="0.25"/>
    <row r="255487" s="12" customFormat="1" x14ac:dyDescent="0.25"/>
    <row r="255488" s="12" customFormat="1" x14ac:dyDescent="0.25"/>
    <row r="255489" s="12" customFormat="1" x14ac:dyDescent="0.25"/>
    <row r="255490" s="12" customFormat="1" x14ac:dyDescent="0.25"/>
    <row r="255491" s="12" customFormat="1" x14ac:dyDescent="0.25"/>
    <row r="255492" s="12" customFormat="1" x14ac:dyDescent="0.25"/>
    <row r="255493" s="12" customFormat="1" x14ac:dyDescent="0.25"/>
    <row r="255494" s="12" customFormat="1" x14ac:dyDescent="0.25"/>
    <row r="255495" s="12" customFormat="1" x14ac:dyDescent="0.25"/>
    <row r="255496" s="12" customFormat="1" x14ac:dyDescent="0.25"/>
    <row r="255497" s="12" customFormat="1" x14ac:dyDescent="0.25"/>
    <row r="255498" s="12" customFormat="1" x14ac:dyDescent="0.25"/>
    <row r="255499" s="12" customFormat="1" x14ac:dyDescent="0.25"/>
    <row r="255500" s="12" customFormat="1" x14ac:dyDescent="0.25"/>
    <row r="255501" s="12" customFormat="1" x14ac:dyDescent="0.25"/>
    <row r="255502" s="12" customFormat="1" x14ac:dyDescent="0.25"/>
    <row r="255503" s="12" customFormat="1" x14ac:dyDescent="0.25"/>
    <row r="255504" s="12" customFormat="1" x14ac:dyDescent="0.25"/>
    <row r="255505" s="12" customFormat="1" x14ac:dyDescent="0.25"/>
    <row r="255506" s="12" customFormat="1" x14ac:dyDescent="0.25"/>
    <row r="255507" s="12" customFormat="1" x14ac:dyDescent="0.25"/>
    <row r="255508" s="12" customFormat="1" x14ac:dyDescent="0.25"/>
    <row r="255509" s="12" customFormat="1" x14ac:dyDescent="0.25"/>
    <row r="255510" s="12" customFormat="1" x14ac:dyDescent="0.25"/>
    <row r="255511" s="12" customFormat="1" x14ac:dyDescent="0.25"/>
    <row r="255512" s="12" customFormat="1" x14ac:dyDescent="0.25"/>
    <row r="255513" s="12" customFormat="1" x14ac:dyDescent="0.25"/>
    <row r="255514" s="12" customFormat="1" x14ac:dyDescent="0.25"/>
    <row r="255515" s="12" customFormat="1" x14ac:dyDescent="0.25"/>
    <row r="255516" s="12" customFormat="1" x14ac:dyDescent="0.25"/>
    <row r="255517" s="12" customFormat="1" x14ac:dyDescent="0.25"/>
    <row r="255518" s="12" customFormat="1" x14ac:dyDescent="0.25"/>
    <row r="255519" s="12" customFormat="1" x14ac:dyDescent="0.25"/>
    <row r="255520" s="12" customFormat="1" x14ac:dyDescent="0.25"/>
    <row r="255521" s="12" customFormat="1" x14ac:dyDescent="0.25"/>
    <row r="255522" s="12" customFormat="1" x14ac:dyDescent="0.25"/>
    <row r="255523" s="12" customFormat="1" x14ac:dyDescent="0.25"/>
    <row r="255524" s="12" customFormat="1" x14ac:dyDescent="0.25"/>
    <row r="255525" s="12" customFormat="1" x14ac:dyDescent="0.25"/>
    <row r="255526" s="12" customFormat="1" x14ac:dyDescent="0.25"/>
    <row r="255527" s="12" customFormat="1" x14ac:dyDescent="0.25"/>
    <row r="255528" s="12" customFormat="1" x14ac:dyDescent="0.25"/>
    <row r="255529" s="12" customFormat="1" x14ac:dyDescent="0.25"/>
    <row r="255530" s="12" customFormat="1" x14ac:dyDescent="0.25"/>
    <row r="255531" s="12" customFormat="1" x14ac:dyDescent="0.25"/>
    <row r="255532" s="12" customFormat="1" x14ac:dyDescent="0.25"/>
    <row r="255533" s="12" customFormat="1" x14ac:dyDescent="0.25"/>
    <row r="255534" s="12" customFormat="1" x14ac:dyDescent="0.25"/>
    <row r="255535" s="12" customFormat="1" x14ac:dyDescent="0.25"/>
    <row r="255536" s="12" customFormat="1" x14ac:dyDescent="0.25"/>
    <row r="255537" s="12" customFormat="1" x14ac:dyDescent="0.25"/>
    <row r="255538" s="12" customFormat="1" x14ac:dyDescent="0.25"/>
    <row r="255539" s="12" customFormat="1" x14ac:dyDescent="0.25"/>
    <row r="255540" s="12" customFormat="1" x14ac:dyDescent="0.25"/>
    <row r="255541" s="12" customFormat="1" x14ac:dyDescent="0.25"/>
    <row r="255542" s="12" customFormat="1" x14ac:dyDescent="0.25"/>
    <row r="255543" s="12" customFormat="1" x14ac:dyDescent="0.25"/>
    <row r="255544" s="12" customFormat="1" x14ac:dyDescent="0.25"/>
    <row r="255545" s="12" customFormat="1" x14ac:dyDescent="0.25"/>
    <row r="255546" s="12" customFormat="1" x14ac:dyDescent="0.25"/>
    <row r="255547" s="12" customFormat="1" x14ac:dyDescent="0.25"/>
    <row r="255548" s="12" customFormat="1" x14ac:dyDescent="0.25"/>
    <row r="255549" s="12" customFormat="1" x14ac:dyDescent="0.25"/>
    <row r="255550" s="12" customFormat="1" x14ac:dyDescent="0.25"/>
    <row r="255551" s="12" customFormat="1" x14ac:dyDescent="0.25"/>
    <row r="255552" s="12" customFormat="1" x14ac:dyDescent="0.25"/>
    <row r="255553" s="12" customFormat="1" x14ac:dyDescent="0.25"/>
    <row r="255554" s="12" customFormat="1" x14ac:dyDescent="0.25"/>
    <row r="255555" s="12" customFormat="1" x14ac:dyDescent="0.25"/>
    <row r="255556" s="12" customFormat="1" x14ac:dyDescent="0.25"/>
    <row r="255557" s="12" customFormat="1" x14ac:dyDescent="0.25"/>
    <row r="255558" s="12" customFormat="1" x14ac:dyDescent="0.25"/>
    <row r="255559" s="12" customFormat="1" x14ac:dyDescent="0.25"/>
    <row r="255560" s="12" customFormat="1" x14ac:dyDescent="0.25"/>
    <row r="255561" s="12" customFormat="1" x14ac:dyDescent="0.25"/>
    <row r="255562" s="12" customFormat="1" x14ac:dyDescent="0.25"/>
    <row r="255563" s="12" customFormat="1" x14ac:dyDescent="0.25"/>
    <row r="255564" s="12" customFormat="1" x14ac:dyDescent="0.25"/>
    <row r="255565" s="12" customFormat="1" x14ac:dyDescent="0.25"/>
    <row r="255566" s="12" customFormat="1" x14ac:dyDescent="0.25"/>
    <row r="255567" s="12" customFormat="1" x14ac:dyDescent="0.25"/>
    <row r="255568" s="12" customFormat="1" x14ac:dyDescent="0.25"/>
    <row r="255569" s="12" customFormat="1" x14ac:dyDescent="0.25"/>
    <row r="255570" s="12" customFormat="1" x14ac:dyDescent="0.25"/>
    <row r="255571" s="12" customFormat="1" x14ac:dyDescent="0.25"/>
    <row r="255572" s="12" customFormat="1" x14ac:dyDescent="0.25"/>
    <row r="255573" s="12" customFormat="1" x14ac:dyDescent="0.25"/>
    <row r="255574" s="12" customFormat="1" x14ac:dyDescent="0.25"/>
    <row r="255575" s="12" customFormat="1" x14ac:dyDescent="0.25"/>
    <row r="255576" s="12" customFormat="1" x14ac:dyDescent="0.25"/>
    <row r="255577" s="12" customFormat="1" x14ac:dyDescent="0.25"/>
    <row r="255578" s="12" customFormat="1" x14ac:dyDescent="0.25"/>
    <row r="255579" s="12" customFormat="1" x14ac:dyDescent="0.25"/>
    <row r="255580" s="12" customFormat="1" x14ac:dyDescent="0.25"/>
    <row r="255581" s="12" customFormat="1" x14ac:dyDescent="0.25"/>
    <row r="255582" s="12" customFormat="1" x14ac:dyDescent="0.25"/>
    <row r="255583" s="12" customFormat="1" x14ac:dyDescent="0.25"/>
    <row r="255584" s="12" customFormat="1" x14ac:dyDescent="0.25"/>
    <row r="255585" s="12" customFormat="1" x14ac:dyDescent="0.25"/>
    <row r="255586" s="12" customFormat="1" x14ac:dyDescent="0.25"/>
    <row r="255587" s="12" customFormat="1" x14ac:dyDescent="0.25"/>
    <row r="255588" s="12" customFormat="1" x14ac:dyDescent="0.25"/>
    <row r="255589" s="12" customFormat="1" x14ac:dyDescent="0.25"/>
    <row r="255590" s="12" customFormat="1" x14ac:dyDescent="0.25"/>
    <row r="255591" s="12" customFormat="1" x14ac:dyDescent="0.25"/>
    <row r="255592" s="12" customFormat="1" x14ac:dyDescent="0.25"/>
    <row r="255593" s="12" customFormat="1" x14ac:dyDescent="0.25"/>
    <row r="255594" s="12" customFormat="1" x14ac:dyDescent="0.25"/>
    <row r="255595" s="12" customFormat="1" x14ac:dyDescent="0.25"/>
    <row r="255596" s="12" customFormat="1" x14ac:dyDescent="0.25"/>
    <row r="255597" s="12" customFormat="1" x14ac:dyDescent="0.25"/>
    <row r="255598" s="12" customFormat="1" x14ac:dyDescent="0.25"/>
    <row r="255599" s="12" customFormat="1" x14ac:dyDescent="0.25"/>
    <row r="255600" s="12" customFormat="1" x14ac:dyDescent="0.25"/>
    <row r="255601" s="12" customFormat="1" x14ac:dyDescent="0.25"/>
    <row r="255602" s="12" customFormat="1" x14ac:dyDescent="0.25"/>
    <row r="255603" s="12" customFormat="1" x14ac:dyDescent="0.25"/>
    <row r="255604" s="12" customFormat="1" x14ac:dyDescent="0.25"/>
    <row r="255605" s="12" customFormat="1" x14ac:dyDescent="0.25"/>
    <row r="255606" s="12" customFormat="1" x14ac:dyDescent="0.25"/>
    <row r="255607" s="12" customFormat="1" x14ac:dyDescent="0.25"/>
    <row r="255608" s="12" customFormat="1" x14ac:dyDescent="0.25"/>
    <row r="255609" s="12" customFormat="1" x14ac:dyDescent="0.25"/>
    <row r="255610" s="12" customFormat="1" x14ac:dyDescent="0.25"/>
    <row r="255611" s="12" customFormat="1" x14ac:dyDescent="0.25"/>
    <row r="255612" s="12" customFormat="1" x14ac:dyDescent="0.25"/>
    <row r="255613" s="12" customFormat="1" x14ac:dyDescent="0.25"/>
    <row r="255614" s="12" customFormat="1" x14ac:dyDescent="0.25"/>
    <row r="255615" s="12" customFormat="1" x14ac:dyDescent="0.25"/>
    <row r="255616" s="12" customFormat="1" x14ac:dyDescent="0.25"/>
    <row r="255617" s="12" customFormat="1" x14ac:dyDescent="0.25"/>
    <row r="255618" s="12" customFormat="1" x14ac:dyDescent="0.25"/>
    <row r="255619" s="12" customFormat="1" x14ac:dyDescent="0.25"/>
    <row r="255620" s="12" customFormat="1" x14ac:dyDescent="0.25"/>
    <row r="255621" s="12" customFormat="1" x14ac:dyDescent="0.25"/>
    <row r="255622" s="12" customFormat="1" x14ac:dyDescent="0.25"/>
    <row r="255623" s="12" customFormat="1" x14ac:dyDescent="0.25"/>
    <row r="255624" s="12" customFormat="1" x14ac:dyDescent="0.25"/>
    <row r="255625" s="12" customFormat="1" x14ac:dyDescent="0.25"/>
    <row r="255626" s="12" customFormat="1" x14ac:dyDescent="0.25"/>
    <row r="255627" s="12" customFormat="1" x14ac:dyDescent="0.25"/>
    <row r="255628" s="12" customFormat="1" x14ac:dyDescent="0.25"/>
    <row r="255629" s="12" customFormat="1" x14ac:dyDescent="0.25"/>
    <row r="255630" s="12" customFormat="1" x14ac:dyDescent="0.25"/>
    <row r="255631" s="12" customFormat="1" x14ac:dyDescent="0.25"/>
    <row r="255632" s="12" customFormat="1" x14ac:dyDescent="0.25"/>
    <row r="255633" s="12" customFormat="1" x14ac:dyDescent="0.25"/>
    <row r="255634" s="12" customFormat="1" x14ac:dyDescent="0.25"/>
    <row r="255635" s="12" customFormat="1" x14ac:dyDescent="0.25"/>
    <row r="255636" s="12" customFormat="1" x14ac:dyDescent="0.25"/>
    <row r="255637" s="12" customFormat="1" x14ac:dyDescent="0.25"/>
    <row r="255638" s="12" customFormat="1" x14ac:dyDescent="0.25"/>
    <row r="255639" s="12" customFormat="1" x14ac:dyDescent="0.25"/>
    <row r="255640" s="12" customFormat="1" x14ac:dyDescent="0.25"/>
    <row r="255641" s="12" customFormat="1" x14ac:dyDescent="0.25"/>
    <row r="255642" s="12" customFormat="1" x14ac:dyDescent="0.25"/>
    <row r="255643" s="12" customFormat="1" x14ac:dyDescent="0.25"/>
    <row r="255644" s="12" customFormat="1" x14ac:dyDescent="0.25"/>
    <row r="255645" s="12" customFormat="1" x14ac:dyDescent="0.25"/>
    <row r="255646" s="12" customFormat="1" x14ac:dyDescent="0.25"/>
    <row r="255647" s="12" customFormat="1" x14ac:dyDescent="0.25"/>
    <row r="255648" s="12" customFormat="1" x14ac:dyDescent="0.25"/>
    <row r="255649" s="12" customFormat="1" x14ac:dyDescent="0.25"/>
    <row r="255650" s="12" customFormat="1" x14ac:dyDescent="0.25"/>
    <row r="255651" s="12" customFormat="1" x14ac:dyDescent="0.25"/>
    <row r="255652" s="12" customFormat="1" x14ac:dyDescent="0.25"/>
    <row r="255653" s="12" customFormat="1" x14ac:dyDescent="0.25"/>
    <row r="255654" s="12" customFormat="1" x14ac:dyDescent="0.25"/>
    <row r="255655" s="12" customFormat="1" x14ac:dyDescent="0.25"/>
    <row r="255656" s="12" customFormat="1" x14ac:dyDescent="0.25"/>
    <row r="255657" s="12" customFormat="1" x14ac:dyDescent="0.25"/>
    <row r="255658" s="12" customFormat="1" x14ac:dyDescent="0.25"/>
    <row r="255659" s="12" customFormat="1" x14ac:dyDescent="0.25"/>
    <row r="255660" s="12" customFormat="1" x14ac:dyDescent="0.25"/>
    <row r="255661" s="12" customFormat="1" x14ac:dyDescent="0.25"/>
    <row r="255662" s="12" customFormat="1" x14ac:dyDescent="0.25"/>
    <row r="255663" s="12" customFormat="1" x14ac:dyDescent="0.25"/>
    <row r="255664" s="12" customFormat="1" x14ac:dyDescent="0.25"/>
    <row r="255665" s="12" customFormat="1" x14ac:dyDescent="0.25"/>
    <row r="255666" s="12" customFormat="1" x14ac:dyDescent="0.25"/>
    <row r="255667" s="12" customFormat="1" x14ac:dyDescent="0.25"/>
    <row r="255668" s="12" customFormat="1" x14ac:dyDescent="0.25"/>
    <row r="255669" s="12" customFormat="1" x14ac:dyDescent="0.25"/>
    <row r="255670" s="12" customFormat="1" x14ac:dyDescent="0.25"/>
    <row r="255671" s="12" customFormat="1" x14ac:dyDescent="0.25"/>
    <row r="255672" s="12" customFormat="1" x14ac:dyDescent="0.25"/>
    <row r="255673" s="12" customFormat="1" x14ac:dyDescent="0.25"/>
    <row r="255674" s="12" customFormat="1" x14ac:dyDescent="0.25"/>
    <row r="255675" s="12" customFormat="1" x14ac:dyDescent="0.25"/>
    <row r="255676" s="12" customFormat="1" x14ac:dyDescent="0.25"/>
    <row r="255677" s="12" customFormat="1" x14ac:dyDescent="0.25"/>
    <row r="255678" s="12" customFormat="1" x14ac:dyDescent="0.25"/>
    <row r="255679" s="12" customFormat="1" x14ac:dyDescent="0.25"/>
    <row r="255680" s="12" customFormat="1" x14ac:dyDescent="0.25"/>
    <row r="255681" s="12" customFormat="1" x14ac:dyDescent="0.25"/>
    <row r="255682" s="12" customFormat="1" x14ac:dyDescent="0.25"/>
    <row r="255683" s="12" customFormat="1" x14ac:dyDescent="0.25"/>
    <row r="255684" s="12" customFormat="1" x14ac:dyDescent="0.25"/>
    <row r="255685" s="12" customFormat="1" x14ac:dyDescent="0.25"/>
    <row r="255686" s="12" customFormat="1" x14ac:dyDescent="0.25"/>
    <row r="255687" s="12" customFormat="1" x14ac:dyDescent="0.25"/>
    <row r="255688" s="12" customFormat="1" x14ac:dyDescent="0.25"/>
    <row r="255689" s="12" customFormat="1" x14ac:dyDescent="0.25"/>
    <row r="255690" s="12" customFormat="1" x14ac:dyDescent="0.25"/>
    <row r="255691" s="12" customFormat="1" x14ac:dyDescent="0.25"/>
    <row r="255692" s="12" customFormat="1" x14ac:dyDescent="0.25"/>
    <row r="255693" s="12" customFormat="1" x14ac:dyDescent="0.25"/>
    <row r="255694" s="12" customFormat="1" x14ac:dyDescent="0.25"/>
    <row r="255695" s="12" customFormat="1" x14ac:dyDescent="0.25"/>
    <row r="255696" s="12" customFormat="1" x14ac:dyDescent="0.25"/>
    <row r="255697" s="12" customFormat="1" x14ac:dyDescent="0.25"/>
    <row r="255698" s="12" customFormat="1" x14ac:dyDescent="0.25"/>
    <row r="255699" s="12" customFormat="1" x14ac:dyDescent="0.25"/>
    <row r="255700" s="12" customFormat="1" x14ac:dyDescent="0.25"/>
    <row r="255701" s="12" customFormat="1" x14ac:dyDescent="0.25"/>
    <row r="255702" s="12" customFormat="1" x14ac:dyDescent="0.25"/>
    <row r="255703" s="12" customFormat="1" x14ac:dyDescent="0.25"/>
    <row r="255704" s="12" customFormat="1" x14ac:dyDescent="0.25"/>
    <row r="255705" s="12" customFormat="1" x14ac:dyDescent="0.25"/>
    <row r="255706" s="12" customFormat="1" x14ac:dyDescent="0.25"/>
    <row r="255707" s="12" customFormat="1" x14ac:dyDescent="0.25"/>
    <row r="255708" s="12" customFormat="1" x14ac:dyDescent="0.25"/>
    <row r="255709" s="12" customFormat="1" x14ac:dyDescent="0.25"/>
    <row r="255710" s="12" customFormat="1" x14ac:dyDescent="0.25"/>
    <row r="255711" s="12" customFormat="1" x14ac:dyDescent="0.25"/>
    <row r="255712" s="12" customFormat="1" x14ac:dyDescent="0.25"/>
    <row r="255713" s="12" customFormat="1" x14ac:dyDescent="0.25"/>
    <row r="255714" s="12" customFormat="1" x14ac:dyDescent="0.25"/>
    <row r="255715" s="12" customFormat="1" x14ac:dyDescent="0.25"/>
    <row r="255716" s="12" customFormat="1" x14ac:dyDescent="0.25"/>
    <row r="255717" s="12" customFormat="1" x14ac:dyDescent="0.25"/>
    <row r="255718" s="12" customFormat="1" x14ac:dyDescent="0.25"/>
    <row r="255719" s="12" customFormat="1" x14ac:dyDescent="0.25"/>
    <row r="255720" s="12" customFormat="1" x14ac:dyDescent="0.25"/>
    <row r="255721" s="12" customFormat="1" x14ac:dyDescent="0.25"/>
    <row r="255722" s="12" customFormat="1" x14ac:dyDescent="0.25"/>
    <row r="255723" s="12" customFormat="1" x14ac:dyDescent="0.25"/>
    <row r="255724" s="12" customFormat="1" x14ac:dyDescent="0.25"/>
    <row r="255725" s="12" customFormat="1" x14ac:dyDescent="0.25"/>
    <row r="255726" s="12" customFormat="1" x14ac:dyDescent="0.25"/>
    <row r="255727" s="12" customFormat="1" x14ac:dyDescent="0.25"/>
    <row r="255728" s="12" customFormat="1" x14ac:dyDescent="0.25"/>
    <row r="255729" s="12" customFormat="1" x14ac:dyDescent="0.25"/>
    <row r="255730" s="12" customFormat="1" x14ac:dyDescent="0.25"/>
    <row r="255731" s="12" customFormat="1" x14ac:dyDescent="0.25"/>
    <row r="255732" s="12" customFormat="1" x14ac:dyDescent="0.25"/>
    <row r="255733" s="12" customFormat="1" x14ac:dyDescent="0.25"/>
    <row r="255734" s="12" customFormat="1" x14ac:dyDescent="0.25"/>
    <row r="255735" s="12" customFormat="1" x14ac:dyDescent="0.25"/>
    <row r="255736" s="12" customFormat="1" x14ac:dyDescent="0.25"/>
    <row r="255737" s="12" customFormat="1" x14ac:dyDescent="0.25"/>
    <row r="255738" s="12" customFormat="1" x14ac:dyDescent="0.25"/>
    <row r="255739" s="12" customFormat="1" x14ac:dyDescent="0.25"/>
    <row r="255740" s="12" customFormat="1" x14ac:dyDescent="0.25"/>
    <row r="255741" s="12" customFormat="1" x14ac:dyDescent="0.25"/>
    <row r="255742" s="12" customFormat="1" x14ac:dyDescent="0.25"/>
    <row r="255743" s="12" customFormat="1" x14ac:dyDescent="0.25"/>
    <row r="255744" s="12" customFormat="1" x14ac:dyDescent="0.25"/>
    <row r="255745" s="12" customFormat="1" x14ac:dyDescent="0.25"/>
    <row r="255746" s="12" customFormat="1" x14ac:dyDescent="0.25"/>
    <row r="255747" s="12" customFormat="1" x14ac:dyDescent="0.25"/>
    <row r="255748" s="12" customFormat="1" x14ac:dyDescent="0.25"/>
    <row r="255749" s="12" customFormat="1" x14ac:dyDescent="0.25"/>
    <row r="255750" s="12" customFormat="1" x14ac:dyDescent="0.25"/>
    <row r="255751" s="12" customFormat="1" x14ac:dyDescent="0.25"/>
    <row r="255752" s="12" customFormat="1" x14ac:dyDescent="0.25"/>
    <row r="255753" s="12" customFormat="1" x14ac:dyDescent="0.25"/>
    <row r="255754" s="12" customFormat="1" x14ac:dyDescent="0.25"/>
    <row r="255755" s="12" customFormat="1" x14ac:dyDescent="0.25"/>
    <row r="255756" s="12" customFormat="1" x14ac:dyDescent="0.25"/>
    <row r="255757" s="12" customFormat="1" x14ac:dyDescent="0.25"/>
    <row r="255758" s="12" customFormat="1" x14ac:dyDescent="0.25"/>
    <row r="255759" s="12" customFormat="1" x14ac:dyDescent="0.25"/>
    <row r="255760" s="12" customFormat="1" x14ac:dyDescent="0.25"/>
    <row r="255761" s="12" customFormat="1" x14ac:dyDescent="0.25"/>
    <row r="255762" s="12" customFormat="1" x14ac:dyDescent="0.25"/>
    <row r="255763" s="12" customFormat="1" x14ac:dyDescent="0.25"/>
    <row r="255764" s="12" customFormat="1" x14ac:dyDescent="0.25"/>
    <row r="255765" s="12" customFormat="1" x14ac:dyDescent="0.25"/>
    <row r="255766" s="12" customFormat="1" x14ac:dyDescent="0.25"/>
    <row r="255767" s="12" customFormat="1" x14ac:dyDescent="0.25"/>
    <row r="255768" s="12" customFormat="1" x14ac:dyDescent="0.25"/>
    <row r="255769" s="12" customFormat="1" x14ac:dyDescent="0.25"/>
    <row r="255770" s="12" customFormat="1" x14ac:dyDescent="0.25"/>
    <row r="255771" s="12" customFormat="1" x14ac:dyDescent="0.25"/>
    <row r="255772" s="12" customFormat="1" x14ac:dyDescent="0.25"/>
    <row r="255773" s="12" customFormat="1" x14ac:dyDescent="0.25"/>
    <row r="255774" s="12" customFormat="1" x14ac:dyDescent="0.25"/>
    <row r="255775" s="12" customFormat="1" x14ac:dyDescent="0.25"/>
    <row r="255776" s="12" customFormat="1" x14ac:dyDescent="0.25"/>
    <row r="255777" s="12" customFormat="1" x14ac:dyDescent="0.25"/>
    <row r="255778" s="12" customFormat="1" x14ac:dyDescent="0.25"/>
    <row r="255779" s="12" customFormat="1" x14ac:dyDescent="0.25"/>
    <row r="255780" s="12" customFormat="1" x14ac:dyDescent="0.25"/>
    <row r="255781" s="12" customFormat="1" x14ac:dyDescent="0.25"/>
    <row r="255782" s="12" customFormat="1" x14ac:dyDescent="0.25"/>
    <row r="255783" s="12" customFormat="1" x14ac:dyDescent="0.25"/>
    <row r="255784" s="12" customFormat="1" x14ac:dyDescent="0.25"/>
    <row r="255785" s="12" customFormat="1" x14ac:dyDescent="0.25"/>
    <row r="255786" s="12" customFormat="1" x14ac:dyDescent="0.25"/>
    <row r="255787" s="12" customFormat="1" x14ac:dyDescent="0.25"/>
    <row r="255788" s="12" customFormat="1" x14ac:dyDescent="0.25"/>
    <row r="255789" s="12" customFormat="1" x14ac:dyDescent="0.25"/>
    <row r="255790" s="12" customFormat="1" x14ac:dyDescent="0.25"/>
    <row r="255791" s="12" customFormat="1" x14ac:dyDescent="0.25"/>
    <row r="255792" s="12" customFormat="1" x14ac:dyDescent="0.25"/>
    <row r="255793" s="12" customFormat="1" x14ac:dyDescent="0.25"/>
    <row r="255794" s="12" customFormat="1" x14ac:dyDescent="0.25"/>
    <row r="255795" s="12" customFormat="1" x14ac:dyDescent="0.25"/>
    <row r="255796" s="12" customFormat="1" x14ac:dyDescent="0.25"/>
    <row r="255797" s="12" customFormat="1" x14ac:dyDescent="0.25"/>
    <row r="255798" s="12" customFormat="1" x14ac:dyDescent="0.25"/>
    <row r="255799" s="12" customFormat="1" x14ac:dyDescent="0.25"/>
    <row r="255800" s="12" customFormat="1" x14ac:dyDescent="0.25"/>
    <row r="255801" s="12" customFormat="1" x14ac:dyDescent="0.25"/>
    <row r="255802" s="12" customFormat="1" x14ac:dyDescent="0.25"/>
    <row r="255803" s="12" customFormat="1" x14ac:dyDescent="0.25"/>
    <row r="255804" s="12" customFormat="1" x14ac:dyDescent="0.25"/>
    <row r="255805" s="12" customFormat="1" x14ac:dyDescent="0.25"/>
    <row r="255806" s="12" customFormat="1" x14ac:dyDescent="0.25"/>
    <row r="255807" s="12" customFormat="1" x14ac:dyDescent="0.25"/>
    <row r="255808" s="12" customFormat="1" x14ac:dyDescent="0.25"/>
    <row r="255809" s="12" customFormat="1" x14ac:dyDescent="0.25"/>
    <row r="255810" s="12" customFormat="1" x14ac:dyDescent="0.25"/>
    <row r="255811" s="12" customFormat="1" x14ac:dyDescent="0.25"/>
    <row r="255812" s="12" customFormat="1" x14ac:dyDescent="0.25"/>
    <row r="255813" s="12" customFormat="1" x14ac:dyDescent="0.25"/>
    <row r="255814" s="12" customFormat="1" x14ac:dyDescent="0.25"/>
    <row r="255815" s="12" customFormat="1" x14ac:dyDescent="0.25"/>
    <row r="255816" s="12" customFormat="1" x14ac:dyDescent="0.25"/>
    <row r="255817" s="12" customFormat="1" x14ac:dyDescent="0.25"/>
    <row r="255818" s="12" customFormat="1" x14ac:dyDescent="0.25"/>
    <row r="255819" s="12" customFormat="1" x14ac:dyDescent="0.25"/>
    <row r="255820" s="12" customFormat="1" x14ac:dyDescent="0.25"/>
    <row r="255821" s="12" customFormat="1" x14ac:dyDescent="0.25"/>
    <row r="255822" s="12" customFormat="1" x14ac:dyDescent="0.25"/>
    <row r="255823" s="12" customFormat="1" x14ac:dyDescent="0.25"/>
    <row r="255824" s="12" customFormat="1" x14ac:dyDescent="0.25"/>
    <row r="255825" s="12" customFormat="1" x14ac:dyDescent="0.25"/>
    <row r="255826" s="12" customFormat="1" x14ac:dyDescent="0.25"/>
    <row r="255827" s="12" customFormat="1" x14ac:dyDescent="0.25"/>
    <row r="255828" s="12" customFormat="1" x14ac:dyDescent="0.25"/>
    <row r="255829" s="12" customFormat="1" x14ac:dyDescent="0.25"/>
    <row r="255830" s="12" customFormat="1" x14ac:dyDescent="0.25"/>
    <row r="255831" s="12" customFormat="1" x14ac:dyDescent="0.25"/>
    <row r="255832" s="12" customFormat="1" x14ac:dyDescent="0.25"/>
    <row r="255833" s="12" customFormat="1" x14ac:dyDescent="0.25"/>
    <row r="255834" s="12" customFormat="1" x14ac:dyDescent="0.25"/>
    <row r="255835" s="12" customFormat="1" x14ac:dyDescent="0.25"/>
    <row r="255836" s="12" customFormat="1" x14ac:dyDescent="0.25"/>
    <row r="255837" s="12" customFormat="1" x14ac:dyDescent="0.25"/>
    <row r="255838" s="12" customFormat="1" x14ac:dyDescent="0.25"/>
    <row r="255839" s="12" customFormat="1" x14ac:dyDescent="0.25"/>
    <row r="255840" s="12" customFormat="1" x14ac:dyDescent="0.25"/>
    <row r="255841" s="12" customFormat="1" x14ac:dyDescent="0.25"/>
    <row r="255842" s="12" customFormat="1" x14ac:dyDescent="0.25"/>
    <row r="255843" s="12" customFormat="1" x14ac:dyDescent="0.25"/>
    <row r="255844" s="12" customFormat="1" x14ac:dyDescent="0.25"/>
    <row r="255845" s="12" customFormat="1" x14ac:dyDescent="0.25"/>
    <row r="255846" s="12" customFormat="1" x14ac:dyDescent="0.25"/>
    <row r="255847" s="12" customFormat="1" x14ac:dyDescent="0.25"/>
    <row r="255848" s="12" customFormat="1" x14ac:dyDescent="0.25"/>
    <row r="255849" s="12" customFormat="1" x14ac:dyDescent="0.25"/>
    <row r="255850" s="12" customFormat="1" x14ac:dyDescent="0.25"/>
    <row r="255851" s="12" customFormat="1" x14ac:dyDescent="0.25"/>
    <row r="255852" s="12" customFormat="1" x14ac:dyDescent="0.25"/>
    <row r="255853" s="12" customFormat="1" x14ac:dyDescent="0.25"/>
    <row r="255854" s="12" customFormat="1" x14ac:dyDescent="0.25"/>
    <row r="255855" s="12" customFormat="1" x14ac:dyDescent="0.25"/>
    <row r="255856" s="12" customFormat="1" x14ac:dyDescent="0.25"/>
    <row r="255857" s="12" customFormat="1" x14ac:dyDescent="0.25"/>
    <row r="255858" s="12" customFormat="1" x14ac:dyDescent="0.25"/>
    <row r="255859" s="12" customFormat="1" x14ac:dyDescent="0.25"/>
    <row r="255860" s="12" customFormat="1" x14ac:dyDescent="0.25"/>
    <row r="255861" s="12" customFormat="1" x14ac:dyDescent="0.25"/>
    <row r="255862" s="12" customFormat="1" x14ac:dyDescent="0.25"/>
    <row r="255863" s="12" customFormat="1" x14ac:dyDescent="0.25"/>
    <row r="255864" s="12" customFormat="1" x14ac:dyDescent="0.25"/>
    <row r="255865" s="12" customFormat="1" x14ac:dyDescent="0.25"/>
    <row r="255866" s="12" customFormat="1" x14ac:dyDescent="0.25"/>
    <row r="255867" s="12" customFormat="1" x14ac:dyDescent="0.25"/>
    <row r="255868" s="12" customFormat="1" x14ac:dyDescent="0.25"/>
    <row r="255869" s="12" customFormat="1" x14ac:dyDescent="0.25"/>
    <row r="255870" s="12" customFormat="1" x14ac:dyDescent="0.25"/>
    <row r="255871" s="12" customFormat="1" x14ac:dyDescent="0.25"/>
    <row r="255872" s="12" customFormat="1" x14ac:dyDescent="0.25"/>
    <row r="255873" s="12" customFormat="1" x14ac:dyDescent="0.25"/>
    <row r="255874" s="12" customFormat="1" x14ac:dyDescent="0.25"/>
    <row r="255875" s="12" customFormat="1" x14ac:dyDescent="0.25"/>
    <row r="255876" s="12" customFormat="1" x14ac:dyDescent="0.25"/>
    <row r="255877" s="12" customFormat="1" x14ac:dyDescent="0.25"/>
    <row r="255878" s="12" customFormat="1" x14ac:dyDescent="0.25"/>
    <row r="255879" s="12" customFormat="1" x14ac:dyDescent="0.25"/>
    <row r="255880" s="12" customFormat="1" x14ac:dyDescent="0.25"/>
    <row r="255881" s="12" customFormat="1" x14ac:dyDescent="0.25"/>
    <row r="255882" s="12" customFormat="1" x14ac:dyDescent="0.25"/>
    <row r="255883" s="12" customFormat="1" x14ac:dyDescent="0.25"/>
    <row r="255884" s="12" customFormat="1" x14ac:dyDescent="0.25"/>
    <row r="255885" s="12" customFormat="1" x14ac:dyDescent="0.25"/>
    <row r="255886" s="12" customFormat="1" x14ac:dyDescent="0.25"/>
    <row r="255887" s="12" customFormat="1" x14ac:dyDescent="0.25"/>
    <row r="255888" s="12" customFormat="1" x14ac:dyDescent="0.25"/>
    <row r="255889" s="12" customFormat="1" x14ac:dyDescent="0.25"/>
    <row r="255890" s="12" customFormat="1" x14ac:dyDescent="0.25"/>
    <row r="255891" s="12" customFormat="1" x14ac:dyDescent="0.25"/>
    <row r="255892" s="12" customFormat="1" x14ac:dyDescent="0.25"/>
    <row r="255893" s="12" customFormat="1" x14ac:dyDescent="0.25"/>
    <row r="255894" s="12" customFormat="1" x14ac:dyDescent="0.25"/>
    <row r="255895" s="12" customFormat="1" x14ac:dyDescent="0.25"/>
    <row r="255896" s="12" customFormat="1" x14ac:dyDescent="0.25"/>
    <row r="255897" s="12" customFormat="1" x14ac:dyDescent="0.25"/>
    <row r="255898" s="12" customFormat="1" x14ac:dyDescent="0.25"/>
    <row r="255899" s="12" customFormat="1" x14ac:dyDescent="0.25"/>
    <row r="255900" s="12" customFormat="1" x14ac:dyDescent="0.25"/>
    <row r="255901" s="12" customFormat="1" x14ac:dyDescent="0.25"/>
    <row r="255902" s="12" customFormat="1" x14ac:dyDescent="0.25"/>
    <row r="255903" s="12" customFormat="1" x14ac:dyDescent="0.25"/>
    <row r="255904" s="12" customFormat="1" x14ac:dyDescent="0.25"/>
    <row r="255905" s="12" customFormat="1" x14ac:dyDescent="0.25"/>
    <row r="255906" s="12" customFormat="1" x14ac:dyDescent="0.25"/>
    <row r="255907" s="12" customFormat="1" x14ac:dyDescent="0.25"/>
    <row r="255908" s="12" customFormat="1" x14ac:dyDescent="0.25"/>
    <row r="255909" s="12" customFormat="1" x14ac:dyDescent="0.25"/>
    <row r="255910" s="12" customFormat="1" x14ac:dyDescent="0.25"/>
    <row r="255911" s="12" customFormat="1" x14ac:dyDescent="0.25"/>
    <row r="255912" s="12" customFormat="1" x14ac:dyDescent="0.25"/>
    <row r="255913" s="12" customFormat="1" x14ac:dyDescent="0.25"/>
    <row r="255914" s="12" customFormat="1" x14ac:dyDescent="0.25"/>
    <row r="255915" s="12" customFormat="1" x14ac:dyDescent="0.25"/>
    <row r="255916" s="12" customFormat="1" x14ac:dyDescent="0.25"/>
    <row r="255917" s="12" customFormat="1" x14ac:dyDescent="0.25"/>
    <row r="255918" s="12" customFormat="1" x14ac:dyDescent="0.25"/>
    <row r="255919" s="12" customFormat="1" x14ac:dyDescent="0.25"/>
    <row r="255920" s="12" customFormat="1" x14ac:dyDescent="0.25"/>
    <row r="255921" s="12" customFormat="1" x14ac:dyDescent="0.25"/>
    <row r="255922" s="12" customFormat="1" x14ac:dyDescent="0.25"/>
    <row r="255923" s="12" customFormat="1" x14ac:dyDescent="0.25"/>
    <row r="255924" s="12" customFormat="1" x14ac:dyDescent="0.25"/>
    <row r="255925" s="12" customFormat="1" x14ac:dyDescent="0.25"/>
    <row r="255926" s="12" customFormat="1" x14ac:dyDescent="0.25"/>
    <row r="255927" s="12" customFormat="1" x14ac:dyDescent="0.25"/>
    <row r="255928" s="12" customFormat="1" x14ac:dyDescent="0.25"/>
    <row r="255929" s="12" customFormat="1" x14ac:dyDescent="0.25"/>
    <row r="255930" s="12" customFormat="1" x14ac:dyDescent="0.25"/>
    <row r="255931" s="12" customFormat="1" x14ac:dyDescent="0.25"/>
    <row r="255932" s="12" customFormat="1" x14ac:dyDescent="0.25"/>
    <row r="255933" s="12" customFormat="1" x14ac:dyDescent="0.25"/>
    <row r="255934" s="12" customFormat="1" x14ac:dyDescent="0.25"/>
    <row r="255935" s="12" customFormat="1" x14ac:dyDescent="0.25"/>
    <row r="255936" s="12" customFormat="1" x14ac:dyDescent="0.25"/>
    <row r="255937" s="12" customFormat="1" x14ac:dyDescent="0.25"/>
    <row r="255938" s="12" customFormat="1" x14ac:dyDescent="0.25"/>
    <row r="255939" s="12" customFormat="1" x14ac:dyDescent="0.25"/>
    <row r="255940" s="12" customFormat="1" x14ac:dyDescent="0.25"/>
    <row r="255941" s="12" customFormat="1" x14ac:dyDescent="0.25"/>
    <row r="255942" s="12" customFormat="1" x14ac:dyDescent="0.25"/>
    <row r="255943" s="12" customFormat="1" x14ac:dyDescent="0.25"/>
    <row r="255944" s="12" customFormat="1" x14ac:dyDescent="0.25"/>
    <row r="255945" s="12" customFormat="1" x14ac:dyDescent="0.25"/>
    <row r="255946" s="12" customFormat="1" x14ac:dyDescent="0.25"/>
    <row r="255947" s="12" customFormat="1" x14ac:dyDescent="0.25"/>
    <row r="255948" s="12" customFormat="1" x14ac:dyDescent="0.25"/>
    <row r="255949" s="12" customFormat="1" x14ac:dyDescent="0.25"/>
    <row r="255950" s="12" customFormat="1" x14ac:dyDescent="0.25"/>
    <row r="255951" s="12" customFormat="1" x14ac:dyDescent="0.25"/>
    <row r="255952" s="12" customFormat="1" x14ac:dyDescent="0.25"/>
    <row r="255953" s="12" customFormat="1" x14ac:dyDescent="0.25"/>
    <row r="255954" s="12" customFormat="1" x14ac:dyDescent="0.25"/>
    <row r="255955" s="12" customFormat="1" x14ac:dyDescent="0.25"/>
    <row r="255956" s="12" customFormat="1" x14ac:dyDescent="0.25"/>
    <row r="255957" s="12" customFormat="1" x14ac:dyDescent="0.25"/>
    <row r="255958" s="12" customFormat="1" x14ac:dyDescent="0.25"/>
    <row r="255959" s="12" customFormat="1" x14ac:dyDescent="0.25"/>
    <row r="255960" s="12" customFormat="1" x14ac:dyDescent="0.25"/>
    <row r="255961" s="12" customFormat="1" x14ac:dyDescent="0.25"/>
    <row r="255962" s="12" customFormat="1" x14ac:dyDescent="0.25"/>
    <row r="255963" s="12" customFormat="1" x14ac:dyDescent="0.25"/>
    <row r="255964" s="12" customFormat="1" x14ac:dyDescent="0.25"/>
    <row r="255965" s="12" customFormat="1" x14ac:dyDescent="0.25"/>
    <row r="255966" s="12" customFormat="1" x14ac:dyDescent="0.25"/>
    <row r="255967" s="12" customFormat="1" x14ac:dyDescent="0.25"/>
    <row r="255968" s="12" customFormat="1" x14ac:dyDescent="0.25"/>
    <row r="255969" s="12" customFormat="1" x14ac:dyDescent="0.25"/>
    <row r="255970" s="12" customFormat="1" x14ac:dyDescent="0.25"/>
    <row r="255971" s="12" customFormat="1" x14ac:dyDescent="0.25"/>
    <row r="255972" s="12" customFormat="1" x14ac:dyDescent="0.25"/>
    <row r="255973" s="12" customFormat="1" x14ac:dyDescent="0.25"/>
    <row r="255974" s="12" customFormat="1" x14ac:dyDescent="0.25"/>
    <row r="255975" s="12" customFormat="1" x14ac:dyDescent="0.25"/>
    <row r="255976" s="12" customFormat="1" x14ac:dyDescent="0.25"/>
    <row r="255977" s="12" customFormat="1" x14ac:dyDescent="0.25"/>
    <row r="255978" s="12" customFormat="1" x14ac:dyDescent="0.25"/>
    <row r="255979" s="12" customFormat="1" x14ac:dyDescent="0.25"/>
    <row r="255980" s="12" customFormat="1" x14ac:dyDescent="0.25"/>
    <row r="255981" s="12" customFormat="1" x14ac:dyDescent="0.25"/>
    <row r="255982" s="12" customFormat="1" x14ac:dyDescent="0.25"/>
    <row r="255983" s="12" customFormat="1" x14ac:dyDescent="0.25"/>
    <row r="255984" s="12" customFormat="1" x14ac:dyDescent="0.25"/>
    <row r="255985" s="12" customFormat="1" x14ac:dyDescent="0.25"/>
    <row r="255986" s="12" customFormat="1" x14ac:dyDescent="0.25"/>
    <row r="255987" s="12" customFormat="1" x14ac:dyDescent="0.25"/>
    <row r="255988" s="12" customFormat="1" x14ac:dyDescent="0.25"/>
    <row r="255989" s="12" customFormat="1" x14ac:dyDescent="0.25"/>
    <row r="255990" s="12" customFormat="1" x14ac:dyDescent="0.25"/>
    <row r="255991" s="12" customFormat="1" x14ac:dyDescent="0.25"/>
    <row r="255992" s="12" customFormat="1" x14ac:dyDescent="0.25"/>
    <row r="255993" s="12" customFormat="1" x14ac:dyDescent="0.25"/>
    <row r="255994" s="12" customFormat="1" x14ac:dyDescent="0.25"/>
    <row r="255995" s="12" customFormat="1" x14ac:dyDescent="0.25"/>
    <row r="255996" s="12" customFormat="1" x14ac:dyDescent="0.25"/>
    <row r="255997" s="12" customFormat="1" x14ac:dyDescent="0.25"/>
    <row r="255998" s="12" customFormat="1" x14ac:dyDescent="0.25"/>
    <row r="255999" s="12" customFormat="1" x14ac:dyDescent="0.25"/>
    <row r="256000" s="12" customFormat="1" x14ac:dyDescent="0.25"/>
    <row r="256001" s="12" customFormat="1" x14ac:dyDescent="0.25"/>
    <row r="256002" s="12" customFormat="1" x14ac:dyDescent="0.25"/>
    <row r="256003" s="12" customFormat="1" x14ac:dyDescent="0.25"/>
    <row r="256004" s="12" customFormat="1" x14ac:dyDescent="0.25"/>
    <row r="256005" s="12" customFormat="1" x14ac:dyDescent="0.25"/>
    <row r="256006" s="12" customFormat="1" x14ac:dyDescent="0.25"/>
    <row r="256007" s="12" customFormat="1" x14ac:dyDescent="0.25"/>
    <row r="256008" s="12" customFormat="1" x14ac:dyDescent="0.25"/>
    <row r="256009" s="12" customFormat="1" x14ac:dyDescent="0.25"/>
    <row r="256010" s="12" customFormat="1" x14ac:dyDescent="0.25"/>
    <row r="256011" s="12" customFormat="1" x14ac:dyDescent="0.25"/>
    <row r="256012" s="12" customFormat="1" x14ac:dyDescent="0.25"/>
    <row r="256013" s="12" customFormat="1" x14ac:dyDescent="0.25"/>
    <row r="256014" s="12" customFormat="1" x14ac:dyDescent="0.25"/>
    <row r="256015" s="12" customFormat="1" x14ac:dyDescent="0.25"/>
    <row r="256016" s="12" customFormat="1" x14ac:dyDescent="0.25"/>
    <row r="256017" s="12" customFormat="1" x14ac:dyDescent="0.25"/>
    <row r="256018" s="12" customFormat="1" x14ac:dyDescent="0.25"/>
    <row r="256019" s="12" customFormat="1" x14ac:dyDescent="0.25"/>
    <row r="256020" s="12" customFormat="1" x14ac:dyDescent="0.25"/>
    <row r="256021" s="12" customFormat="1" x14ac:dyDescent="0.25"/>
    <row r="256022" s="12" customFormat="1" x14ac:dyDescent="0.25"/>
    <row r="256023" s="12" customFormat="1" x14ac:dyDescent="0.25"/>
    <row r="256024" s="12" customFormat="1" x14ac:dyDescent="0.25"/>
    <row r="256025" s="12" customFormat="1" x14ac:dyDescent="0.25"/>
    <row r="256026" s="12" customFormat="1" x14ac:dyDescent="0.25"/>
    <row r="256027" s="12" customFormat="1" x14ac:dyDescent="0.25"/>
    <row r="256028" s="12" customFormat="1" x14ac:dyDescent="0.25"/>
    <row r="256029" s="12" customFormat="1" x14ac:dyDescent="0.25"/>
    <row r="256030" s="12" customFormat="1" x14ac:dyDescent="0.25"/>
    <row r="256031" s="12" customFormat="1" x14ac:dyDescent="0.25"/>
    <row r="256032" s="12" customFormat="1" x14ac:dyDescent="0.25"/>
    <row r="256033" s="12" customFormat="1" x14ac:dyDescent="0.25"/>
    <row r="256034" s="12" customFormat="1" x14ac:dyDescent="0.25"/>
    <row r="256035" s="12" customFormat="1" x14ac:dyDescent="0.25"/>
    <row r="256036" s="12" customFormat="1" x14ac:dyDescent="0.25"/>
    <row r="256037" s="12" customFormat="1" x14ac:dyDescent="0.25"/>
    <row r="256038" s="12" customFormat="1" x14ac:dyDescent="0.25"/>
    <row r="256039" s="12" customFormat="1" x14ac:dyDescent="0.25"/>
    <row r="256040" s="12" customFormat="1" x14ac:dyDescent="0.25"/>
    <row r="256041" s="12" customFormat="1" x14ac:dyDescent="0.25"/>
    <row r="256042" s="12" customFormat="1" x14ac:dyDescent="0.25"/>
    <row r="256043" s="12" customFormat="1" x14ac:dyDescent="0.25"/>
    <row r="256044" s="12" customFormat="1" x14ac:dyDescent="0.25"/>
    <row r="256045" s="12" customFormat="1" x14ac:dyDescent="0.25"/>
    <row r="256046" s="12" customFormat="1" x14ac:dyDescent="0.25"/>
    <row r="256047" s="12" customFormat="1" x14ac:dyDescent="0.25"/>
    <row r="256048" s="12" customFormat="1" x14ac:dyDescent="0.25"/>
    <row r="256049" s="12" customFormat="1" x14ac:dyDescent="0.25"/>
    <row r="256050" s="12" customFormat="1" x14ac:dyDescent="0.25"/>
    <row r="256051" s="12" customFormat="1" x14ac:dyDescent="0.25"/>
    <row r="256052" s="12" customFormat="1" x14ac:dyDescent="0.25"/>
    <row r="256053" s="12" customFormat="1" x14ac:dyDescent="0.25"/>
    <row r="256054" s="12" customFormat="1" x14ac:dyDescent="0.25"/>
    <row r="256055" s="12" customFormat="1" x14ac:dyDescent="0.25"/>
    <row r="256056" s="12" customFormat="1" x14ac:dyDescent="0.25"/>
    <row r="256057" s="12" customFormat="1" x14ac:dyDescent="0.25"/>
    <row r="256058" s="12" customFormat="1" x14ac:dyDescent="0.25"/>
    <row r="256059" s="12" customFormat="1" x14ac:dyDescent="0.25"/>
    <row r="256060" s="12" customFormat="1" x14ac:dyDescent="0.25"/>
    <row r="256061" s="12" customFormat="1" x14ac:dyDescent="0.25"/>
    <row r="256062" s="12" customFormat="1" x14ac:dyDescent="0.25"/>
    <row r="256063" s="12" customFormat="1" x14ac:dyDescent="0.25"/>
    <row r="256064" s="12" customFormat="1" x14ac:dyDescent="0.25"/>
    <row r="256065" s="12" customFormat="1" x14ac:dyDescent="0.25"/>
    <row r="256066" s="12" customFormat="1" x14ac:dyDescent="0.25"/>
    <row r="256067" s="12" customFormat="1" x14ac:dyDescent="0.25"/>
    <row r="256068" s="12" customFormat="1" x14ac:dyDescent="0.25"/>
    <row r="256069" s="12" customFormat="1" x14ac:dyDescent="0.25"/>
    <row r="256070" s="12" customFormat="1" x14ac:dyDescent="0.25"/>
    <row r="256071" s="12" customFormat="1" x14ac:dyDescent="0.25"/>
    <row r="256072" s="12" customFormat="1" x14ac:dyDescent="0.25"/>
    <row r="256073" s="12" customFormat="1" x14ac:dyDescent="0.25"/>
    <row r="256074" s="12" customFormat="1" x14ac:dyDescent="0.25"/>
    <row r="256075" s="12" customFormat="1" x14ac:dyDescent="0.25"/>
    <row r="256076" s="12" customFormat="1" x14ac:dyDescent="0.25"/>
    <row r="256077" s="12" customFormat="1" x14ac:dyDescent="0.25"/>
    <row r="256078" s="12" customFormat="1" x14ac:dyDescent="0.25"/>
    <row r="256079" s="12" customFormat="1" x14ac:dyDescent="0.25"/>
    <row r="256080" s="12" customFormat="1" x14ac:dyDescent="0.25"/>
    <row r="256081" s="12" customFormat="1" x14ac:dyDescent="0.25"/>
    <row r="256082" s="12" customFormat="1" x14ac:dyDescent="0.25"/>
    <row r="256083" s="12" customFormat="1" x14ac:dyDescent="0.25"/>
    <row r="256084" s="12" customFormat="1" x14ac:dyDescent="0.25"/>
    <row r="256085" s="12" customFormat="1" x14ac:dyDescent="0.25"/>
    <row r="256086" s="12" customFormat="1" x14ac:dyDescent="0.25"/>
    <row r="256087" s="12" customFormat="1" x14ac:dyDescent="0.25"/>
    <row r="256088" s="12" customFormat="1" x14ac:dyDescent="0.25"/>
    <row r="256089" s="12" customFormat="1" x14ac:dyDescent="0.25"/>
    <row r="256090" s="12" customFormat="1" x14ac:dyDescent="0.25"/>
    <row r="256091" s="12" customFormat="1" x14ac:dyDescent="0.25"/>
    <row r="256092" s="12" customFormat="1" x14ac:dyDescent="0.25"/>
    <row r="256093" s="12" customFormat="1" x14ac:dyDescent="0.25"/>
    <row r="256094" s="12" customFormat="1" x14ac:dyDescent="0.25"/>
    <row r="256095" s="12" customFormat="1" x14ac:dyDescent="0.25"/>
    <row r="256096" s="12" customFormat="1" x14ac:dyDescent="0.25"/>
    <row r="256097" s="12" customFormat="1" x14ac:dyDescent="0.25"/>
    <row r="256098" s="12" customFormat="1" x14ac:dyDescent="0.25"/>
    <row r="256099" s="12" customFormat="1" x14ac:dyDescent="0.25"/>
    <row r="256100" s="12" customFormat="1" x14ac:dyDescent="0.25"/>
    <row r="256101" s="12" customFormat="1" x14ac:dyDescent="0.25"/>
    <row r="256102" s="12" customFormat="1" x14ac:dyDescent="0.25"/>
    <row r="256103" s="12" customFormat="1" x14ac:dyDescent="0.25"/>
    <row r="256104" s="12" customFormat="1" x14ac:dyDescent="0.25"/>
    <row r="256105" s="12" customFormat="1" x14ac:dyDescent="0.25"/>
    <row r="256106" s="12" customFormat="1" x14ac:dyDescent="0.25"/>
    <row r="256107" s="12" customFormat="1" x14ac:dyDescent="0.25"/>
    <row r="256108" s="12" customFormat="1" x14ac:dyDescent="0.25"/>
    <row r="256109" s="12" customFormat="1" x14ac:dyDescent="0.25"/>
    <row r="256110" s="12" customFormat="1" x14ac:dyDescent="0.25"/>
    <row r="256111" s="12" customFormat="1" x14ac:dyDescent="0.25"/>
    <row r="256112" s="12" customFormat="1" x14ac:dyDescent="0.25"/>
    <row r="256113" s="12" customFormat="1" x14ac:dyDescent="0.25"/>
    <row r="256114" s="12" customFormat="1" x14ac:dyDescent="0.25"/>
    <row r="256115" s="12" customFormat="1" x14ac:dyDescent="0.25"/>
    <row r="256116" s="12" customFormat="1" x14ac:dyDescent="0.25"/>
    <row r="256117" s="12" customFormat="1" x14ac:dyDescent="0.25"/>
    <row r="256118" s="12" customFormat="1" x14ac:dyDescent="0.25"/>
    <row r="256119" s="12" customFormat="1" x14ac:dyDescent="0.25"/>
    <row r="256120" s="12" customFormat="1" x14ac:dyDescent="0.25"/>
    <row r="256121" s="12" customFormat="1" x14ac:dyDescent="0.25"/>
    <row r="256122" s="12" customFormat="1" x14ac:dyDescent="0.25"/>
    <row r="256123" s="12" customFormat="1" x14ac:dyDescent="0.25"/>
    <row r="256124" s="12" customFormat="1" x14ac:dyDescent="0.25"/>
    <row r="256125" s="12" customFormat="1" x14ac:dyDescent="0.25"/>
    <row r="256126" s="12" customFormat="1" x14ac:dyDescent="0.25"/>
    <row r="256127" s="12" customFormat="1" x14ac:dyDescent="0.25"/>
    <row r="256128" s="12" customFormat="1" x14ac:dyDescent="0.25"/>
    <row r="256129" s="12" customFormat="1" x14ac:dyDescent="0.25"/>
    <row r="256130" s="12" customFormat="1" x14ac:dyDescent="0.25"/>
    <row r="256131" s="12" customFormat="1" x14ac:dyDescent="0.25"/>
    <row r="256132" s="12" customFormat="1" x14ac:dyDescent="0.25"/>
    <row r="256133" s="12" customFormat="1" x14ac:dyDescent="0.25"/>
    <row r="256134" s="12" customFormat="1" x14ac:dyDescent="0.25"/>
    <row r="256135" s="12" customFormat="1" x14ac:dyDescent="0.25"/>
    <row r="256136" s="12" customFormat="1" x14ac:dyDescent="0.25"/>
    <row r="256137" s="12" customFormat="1" x14ac:dyDescent="0.25"/>
    <row r="256138" s="12" customFormat="1" x14ac:dyDescent="0.25"/>
    <row r="256139" s="12" customFormat="1" x14ac:dyDescent="0.25"/>
    <row r="256140" s="12" customFormat="1" x14ac:dyDescent="0.25"/>
    <row r="256141" s="12" customFormat="1" x14ac:dyDescent="0.25"/>
    <row r="256142" s="12" customFormat="1" x14ac:dyDescent="0.25"/>
    <row r="256143" s="12" customFormat="1" x14ac:dyDescent="0.25"/>
    <row r="256144" s="12" customFormat="1" x14ac:dyDescent="0.25"/>
    <row r="256145" s="12" customFormat="1" x14ac:dyDescent="0.25"/>
    <row r="256146" s="12" customFormat="1" x14ac:dyDescent="0.25"/>
    <row r="256147" s="12" customFormat="1" x14ac:dyDescent="0.25"/>
    <row r="256148" s="12" customFormat="1" x14ac:dyDescent="0.25"/>
    <row r="256149" s="12" customFormat="1" x14ac:dyDescent="0.25"/>
    <row r="256150" s="12" customFormat="1" x14ac:dyDescent="0.25"/>
    <row r="256151" s="12" customFormat="1" x14ac:dyDescent="0.25"/>
    <row r="256152" s="12" customFormat="1" x14ac:dyDescent="0.25"/>
    <row r="256153" s="12" customFormat="1" x14ac:dyDescent="0.25"/>
    <row r="256154" s="12" customFormat="1" x14ac:dyDescent="0.25"/>
    <row r="256155" s="12" customFormat="1" x14ac:dyDescent="0.25"/>
    <row r="256156" s="12" customFormat="1" x14ac:dyDescent="0.25"/>
    <row r="256157" s="12" customFormat="1" x14ac:dyDescent="0.25"/>
    <row r="256158" s="12" customFormat="1" x14ac:dyDescent="0.25"/>
    <row r="256159" s="12" customFormat="1" x14ac:dyDescent="0.25"/>
    <row r="256160" s="12" customFormat="1" x14ac:dyDescent="0.25"/>
    <row r="256161" s="12" customFormat="1" x14ac:dyDescent="0.25"/>
    <row r="256162" s="12" customFormat="1" x14ac:dyDescent="0.25"/>
    <row r="256163" s="12" customFormat="1" x14ac:dyDescent="0.25"/>
    <row r="256164" s="12" customFormat="1" x14ac:dyDescent="0.25"/>
    <row r="256165" s="12" customFormat="1" x14ac:dyDescent="0.25"/>
    <row r="256166" s="12" customFormat="1" x14ac:dyDescent="0.25"/>
    <row r="256167" s="12" customFormat="1" x14ac:dyDescent="0.25"/>
    <row r="256168" s="12" customFormat="1" x14ac:dyDescent="0.25"/>
    <row r="256169" s="12" customFormat="1" x14ac:dyDescent="0.25"/>
    <row r="256170" s="12" customFormat="1" x14ac:dyDescent="0.25"/>
    <row r="256171" s="12" customFormat="1" x14ac:dyDescent="0.25"/>
    <row r="256172" s="12" customFormat="1" x14ac:dyDescent="0.25"/>
    <row r="256173" s="12" customFormat="1" x14ac:dyDescent="0.25"/>
    <row r="256174" s="12" customFormat="1" x14ac:dyDescent="0.25"/>
    <row r="256175" s="12" customFormat="1" x14ac:dyDescent="0.25"/>
    <row r="256176" s="12" customFormat="1" x14ac:dyDescent="0.25"/>
    <row r="256177" s="12" customFormat="1" x14ac:dyDescent="0.25"/>
    <row r="256178" s="12" customFormat="1" x14ac:dyDescent="0.25"/>
    <row r="256179" s="12" customFormat="1" x14ac:dyDescent="0.25"/>
    <row r="256180" s="12" customFormat="1" x14ac:dyDescent="0.25"/>
    <row r="256181" s="12" customFormat="1" x14ac:dyDescent="0.25"/>
    <row r="256182" s="12" customFormat="1" x14ac:dyDescent="0.25"/>
    <row r="256183" s="12" customFormat="1" x14ac:dyDescent="0.25"/>
    <row r="256184" s="12" customFormat="1" x14ac:dyDescent="0.25"/>
    <row r="256185" s="12" customFormat="1" x14ac:dyDescent="0.25"/>
    <row r="256186" s="12" customFormat="1" x14ac:dyDescent="0.25"/>
    <row r="256187" s="12" customFormat="1" x14ac:dyDescent="0.25"/>
    <row r="256188" s="12" customFormat="1" x14ac:dyDescent="0.25"/>
    <row r="256189" s="12" customFormat="1" x14ac:dyDescent="0.25"/>
    <row r="256190" s="12" customFormat="1" x14ac:dyDescent="0.25"/>
    <row r="256191" s="12" customFormat="1" x14ac:dyDescent="0.25"/>
    <row r="256192" s="12" customFormat="1" x14ac:dyDescent="0.25"/>
    <row r="256193" s="12" customFormat="1" x14ac:dyDescent="0.25"/>
    <row r="256194" s="12" customFormat="1" x14ac:dyDescent="0.25"/>
    <row r="256195" s="12" customFormat="1" x14ac:dyDescent="0.25"/>
    <row r="256196" s="12" customFormat="1" x14ac:dyDescent="0.25"/>
    <row r="256197" s="12" customFormat="1" x14ac:dyDescent="0.25"/>
    <row r="256198" s="12" customFormat="1" x14ac:dyDescent="0.25"/>
    <row r="256199" s="12" customFormat="1" x14ac:dyDescent="0.25"/>
    <row r="256200" s="12" customFormat="1" x14ac:dyDescent="0.25"/>
    <row r="256201" s="12" customFormat="1" x14ac:dyDescent="0.25"/>
    <row r="256202" s="12" customFormat="1" x14ac:dyDescent="0.25"/>
    <row r="256203" s="12" customFormat="1" x14ac:dyDescent="0.25"/>
    <row r="256204" s="12" customFormat="1" x14ac:dyDescent="0.25"/>
    <row r="256205" s="12" customFormat="1" x14ac:dyDescent="0.25"/>
    <row r="256206" s="12" customFormat="1" x14ac:dyDescent="0.25"/>
    <row r="256207" s="12" customFormat="1" x14ac:dyDescent="0.25"/>
    <row r="256208" s="12" customFormat="1" x14ac:dyDescent="0.25"/>
    <row r="256209" s="12" customFormat="1" x14ac:dyDescent="0.25"/>
    <row r="256210" s="12" customFormat="1" x14ac:dyDescent="0.25"/>
    <row r="256211" s="12" customFormat="1" x14ac:dyDescent="0.25"/>
    <row r="256212" s="12" customFormat="1" x14ac:dyDescent="0.25"/>
    <row r="256213" s="12" customFormat="1" x14ac:dyDescent="0.25"/>
    <row r="256214" s="12" customFormat="1" x14ac:dyDescent="0.25"/>
    <row r="256215" s="12" customFormat="1" x14ac:dyDescent="0.25"/>
    <row r="256216" s="12" customFormat="1" x14ac:dyDescent="0.25"/>
    <row r="256217" s="12" customFormat="1" x14ac:dyDescent="0.25"/>
    <row r="256218" s="12" customFormat="1" x14ac:dyDescent="0.25"/>
    <row r="256219" s="12" customFormat="1" x14ac:dyDescent="0.25"/>
    <row r="256220" s="12" customFormat="1" x14ac:dyDescent="0.25"/>
    <row r="256221" s="12" customFormat="1" x14ac:dyDescent="0.25"/>
    <row r="256222" s="12" customFormat="1" x14ac:dyDescent="0.25"/>
    <row r="256223" s="12" customFormat="1" x14ac:dyDescent="0.25"/>
    <row r="256224" s="12" customFormat="1" x14ac:dyDescent="0.25"/>
    <row r="256225" s="12" customFormat="1" x14ac:dyDescent="0.25"/>
    <row r="256226" s="12" customFormat="1" x14ac:dyDescent="0.25"/>
    <row r="256227" s="12" customFormat="1" x14ac:dyDescent="0.25"/>
    <row r="256228" s="12" customFormat="1" x14ac:dyDescent="0.25"/>
    <row r="256229" s="12" customFormat="1" x14ac:dyDescent="0.25"/>
    <row r="256230" s="12" customFormat="1" x14ac:dyDescent="0.25"/>
    <row r="256231" s="12" customFormat="1" x14ac:dyDescent="0.25"/>
    <row r="256232" s="12" customFormat="1" x14ac:dyDescent="0.25"/>
    <row r="256233" s="12" customFormat="1" x14ac:dyDescent="0.25"/>
    <row r="256234" s="12" customFormat="1" x14ac:dyDescent="0.25"/>
    <row r="256235" s="12" customFormat="1" x14ac:dyDescent="0.25"/>
    <row r="256236" s="12" customFormat="1" x14ac:dyDescent="0.25"/>
    <row r="256237" s="12" customFormat="1" x14ac:dyDescent="0.25"/>
    <row r="256238" s="12" customFormat="1" x14ac:dyDescent="0.25"/>
    <row r="256239" s="12" customFormat="1" x14ac:dyDescent="0.25"/>
    <row r="256240" s="12" customFormat="1" x14ac:dyDescent="0.25"/>
    <row r="256241" s="12" customFormat="1" x14ac:dyDescent="0.25"/>
    <row r="256242" s="12" customFormat="1" x14ac:dyDescent="0.25"/>
    <row r="256243" s="12" customFormat="1" x14ac:dyDescent="0.25"/>
    <row r="256244" s="12" customFormat="1" x14ac:dyDescent="0.25"/>
    <row r="256245" s="12" customFormat="1" x14ac:dyDescent="0.25"/>
    <row r="256246" s="12" customFormat="1" x14ac:dyDescent="0.25"/>
    <row r="256247" s="12" customFormat="1" x14ac:dyDescent="0.25"/>
    <row r="256248" s="12" customFormat="1" x14ac:dyDescent="0.25"/>
    <row r="256249" s="12" customFormat="1" x14ac:dyDescent="0.25"/>
    <row r="256250" s="12" customFormat="1" x14ac:dyDescent="0.25"/>
    <row r="256251" s="12" customFormat="1" x14ac:dyDescent="0.25"/>
    <row r="256252" s="12" customFormat="1" x14ac:dyDescent="0.25"/>
    <row r="256253" s="12" customFormat="1" x14ac:dyDescent="0.25"/>
    <row r="256254" s="12" customFormat="1" x14ac:dyDescent="0.25"/>
    <row r="256255" s="12" customFormat="1" x14ac:dyDescent="0.25"/>
    <row r="256256" s="12" customFormat="1" x14ac:dyDescent="0.25"/>
    <row r="256257" s="12" customFormat="1" x14ac:dyDescent="0.25"/>
    <row r="256258" s="12" customFormat="1" x14ac:dyDescent="0.25"/>
    <row r="256259" s="12" customFormat="1" x14ac:dyDescent="0.25"/>
    <row r="256260" s="12" customFormat="1" x14ac:dyDescent="0.25"/>
    <row r="256261" s="12" customFormat="1" x14ac:dyDescent="0.25"/>
    <row r="256262" s="12" customFormat="1" x14ac:dyDescent="0.25"/>
    <row r="256263" s="12" customFormat="1" x14ac:dyDescent="0.25"/>
    <row r="256264" s="12" customFormat="1" x14ac:dyDescent="0.25"/>
    <row r="256265" s="12" customFormat="1" x14ac:dyDescent="0.25"/>
    <row r="256266" s="12" customFormat="1" x14ac:dyDescent="0.25"/>
    <row r="256267" s="12" customFormat="1" x14ac:dyDescent="0.25"/>
    <row r="256268" s="12" customFormat="1" x14ac:dyDescent="0.25"/>
    <row r="256269" s="12" customFormat="1" x14ac:dyDescent="0.25"/>
    <row r="256270" s="12" customFormat="1" x14ac:dyDescent="0.25"/>
    <row r="256271" s="12" customFormat="1" x14ac:dyDescent="0.25"/>
    <row r="256272" s="12" customFormat="1" x14ac:dyDescent="0.25"/>
    <row r="256273" s="12" customFormat="1" x14ac:dyDescent="0.25"/>
    <row r="256274" s="12" customFormat="1" x14ac:dyDescent="0.25"/>
    <row r="256275" s="12" customFormat="1" x14ac:dyDescent="0.25"/>
    <row r="256276" s="12" customFormat="1" x14ac:dyDescent="0.25"/>
    <row r="256277" s="12" customFormat="1" x14ac:dyDescent="0.25"/>
    <row r="256278" s="12" customFormat="1" x14ac:dyDescent="0.25"/>
    <row r="256279" s="12" customFormat="1" x14ac:dyDescent="0.25"/>
    <row r="256280" s="12" customFormat="1" x14ac:dyDescent="0.25"/>
    <row r="256281" s="12" customFormat="1" x14ac:dyDescent="0.25"/>
    <row r="256282" s="12" customFormat="1" x14ac:dyDescent="0.25"/>
    <row r="256283" s="12" customFormat="1" x14ac:dyDescent="0.25"/>
    <row r="256284" s="12" customFormat="1" x14ac:dyDescent="0.25"/>
    <row r="256285" s="12" customFormat="1" x14ac:dyDescent="0.25"/>
    <row r="256286" s="12" customFormat="1" x14ac:dyDescent="0.25"/>
    <row r="256287" s="12" customFormat="1" x14ac:dyDescent="0.25"/>
    <row r="256288" s="12" customFormat="1" x14ac:dyDescent="0.25"/>
    <row r="256289" s="12" customFormat="1" x14ac:dyDescent="0.25"/>
    <row r="256290" s="12" customFormat="1" x14ac:dyDescent="0.25"/>
    <row r="256291" s="12" customFormat="1" x14ac:dyDescent="0.25"/>
    <row r="256292" s="12" customFormat="1" x14ac:dyDescent="0.25"/>
    <row r="256293" s="12" customFormat="1" x14ac:dyDescent="0.25"/>
    <row r="256294" s="12" customFormat="1" x14ac:dyDescent="0.25"/>
    <row r="256295" s="12" customFormat="1" x14ac:dyDescent="0.25"/>
    <row r="256296" s="12" customFormat="1" x14ac:dyDescent="0.25"/>
    <row r="256297" s="12" customFormat="1" x14ac:dyDescent="0.25"/>
    <row r="256298" s="12" customFormat="1" x14ac:dyDescent="0.25"/>
    <row r="256299" s="12" customFormat="1" x14ac:dyDescent="0.25"/>
    <row r="256300" s="12" customFormat="1" x14ac:dyDescent="0.25"/>
    <row r="256301" s="12" customFormat="1" x14ac:dyDescent="0.25"/>
    <row r="256302" s="12" customFormat="1" x14ac:dyDescent="0.25"/>
    <row r="256303" s="12" customFormat="1" x14ac:dyDescent="0.25"/>
    <row r="256304" s="12" customFormat="1" x14ac:dyDescent="0.25"/>
    <row r="256305" s="12" customFormat="1" x14ac:dyDescent="0.25"/>
    <row r="256306" s="12" customFormat="1" x14ac:dyDescent="0.25"/>
    <row r="256307" s="12" customFormat="1" x14ac:dyDescent="0.25"/>
    <row r="256308" s="12" customFormat="1" x14ac:dyDescent="0.25"/>
    <row r="256309" s="12" customFormat="1" x14ac:dyDescent="0.25"/>
    <row r="256310" s="12" customFormat="1" x14ac:dyDescent="0.25"/>
    <row r="256311" s="12" customFormat="1" x14ac:dyDescent="0.25"/>
    <row r="256312" s="12" customFormat="1" x14ac:dyDescent="0.25"/>
    <row r="256313" s="12" customFormat="1" x14ac:dyDescent="0.25"/>
    <row r="256314" s="12" customFormat="1" x14ac:dyDescent="0.25"/>
    <row r="256315" s="12" customFormat="1" x14ac:dyDescent="0.25"/>
    <row r="256316" s="12" customFormat="1" x14ac:dyDescent="0.25"/>
    <row r="256317" s="12" customFormat="1" x14ac:dyDescent="0.25"/>
    <row r="256318" s="12" customFormat="1" x14ac:dyDescent="0.25"/>
    <row r="256319" s="12" customFormat="1" x14ac:dyDescent="0.25"/>
    <row r="256320" s="12" customFormat="1" x14ac:dyDescent="0.25"/>
    <row r="256321" s="12" customFormat="1" x14ac:dyDescent="0.25"/>
    <row r="256322" s="12" customFormat="1" x14ac:dyDescent="0.25"/>
    <row r="256323" s="12" customFormat="1" x14ac:dyDescent="0.25"/>
    <row r="256324" s="12" customFormat="1" x14ac:dyDescent="0.25"/>
    <row r="256325" s="12" customFormat="1" x14ac:dyDescent="0.25"/>
    <row r="256326" s="12" customFormat="1" x14ac:dyDescent="0.25"/>
    <row r="256327" s="12" customFormat="1" x14ac:dyDescent="0.25"/>
    <row r="256328" s="12" customFormat="1" x14ac:dyDescent="0.25"/>
    <row r="256329" s="12" customFormat="1" x14ac:dyDescent="0.25"/>
    <row r="256330" s="12" customFormat="1" x14ac:dyDescent="0.25"/>
    <row r="256331" s="12" customFormat="1" x14ac:dyDescent="0.25"/>
    <row r="256332" s="12" customFormat="1" x14ac:dyDescent="0.25"/>
    <row r="256333" s="12" customFormat="1" x14ac:dyDescent="0.25"/>
    <row r="256334" s="12" customFormat="1" x14ac:dyDescent="0.25"/>
    <row r="256335" s="12" customFormat="1" x14ac:dyDescent="0.25"/>
    <row r="256336" s="12" customFormat="1" x14ac:dyDescent="0.25"/>
    <row r="256337" s="12" customFormat="1" x14ac:dyDescent="0.25"/>
    <row r="256338" s="12" customFormat="1" x14ac:dyDescent="0.25"/>
    <row r="256339" s="12" customFormat="1" x14ac:dyDescent="0.25"/>
    <row r="256340" s="12" customFormat="1" x14ac:dyDescent="0.25"/>
    <row r="256341" s="12" customFormat="1" x14ac:dyDescent="0.25"/>
    <row r="256342" s="12" customFormat="1" x14ac:dyDescent="0.25"/>
    <row r="256343" s="12" customFormat="1" x14ac:dyDescent="0.25"/>
    <row r="256344" s="12" customFormat="1" x14ac:dyDescent="0.25"/>
    <row r="256345" s="12" customFormat="1" x14ac:dyDescent="0.25"/>
    <row r="256346" s="12" customFormat="1" x14ac:dyDescent="0.25"/>
    <row r="256347" s="12" customFormat="1" x14ac:dyDescent="0.25"/>
    <row r="256348" s="12" customFormat="1" x14ac:dyDescent="0.25"/>
    <row r="256349" s="12" customFormat="1" x14ac:dyDescent="0.25"/>
    <row r="256350" s="12" customFormat="1" x14ac:dyDescent="0.25"/>
    <row r="256351" s="12" customFormat="1" x14ac:dyDescent="0.25"/>
    <row r="256352" s="12" customFormat="1" x14ac:dyDescent="0.25"/>
    <row r="256353" s="12" customFormat="1" x14ac:dyDescent="0.25"/>
    <row r="256354" s="12" customFormat="1" x14ac:dyDescent="0.25"/>
    <row r="256355" s="12" customFormat="1" x14ac:dyDescent="0.25"/>
    <row r="256356" s="12" customFormat="1" x14ac:dyDescent="0.25"/>
    <row r="256357" s="12" customFormat="1" x14ac:dyDescent="0.25"/>
    <row r="256358" s="12" customFormat="1" x14ac:dyDescent="0.25"/>
    <row r="256359" s="12" customFormat="1" x14ac:dyDescent="0.25"/>
    <row r="256360" s="12" customFormat="1" x14ac:dyDescent="0.25"/>
    <row r="256361" s="12" customFormat="1" x14ac:dyDescent="0.25"/>
    <row r="256362" s="12" customFormat="1" x14ac:dyDescent="0.25"/>
    <row r="256363" s="12" customFormat="1" x14ac:dyDescent="0.25"/>
    <row r="256364" s="12" customFormat="1" x14ac:dyDescent="0.25"/>
    <row r="256365" s="12" customFormat="1" x14ac:dyDescent="0.25"/>
    <row r="256366" s="12" customFormat="1" x14ac:dyDescent="0.25"/>
    <row r="256367" s="12" customFormat="1" x14ac:dyDescent="0.25"/>
    <row r="256368" s="12" customFormat="1" x14ac:dyDescent="0.25"/>
    <row r="256369" s="12" customFormat="1" x14ac:dyDescent="0.25"/>
    <row r="256370" s="12" customFormat="1" x14ac:dyDescent="0.25"/>
    <row r="256371" s="12" customFormat="1" x14ac:dyDescent="0.25"/>
    <row r="256372" s="12" customFormat="1" x14ac:dyDescent="0.25"/>
    <row r="256373" s="12" customFormat="1" x14ac:dyDescent="0.25"/>
    <row r="256374" s="12" customFormat="1" x14ac:dyDescent="0.25"/>
    <row r="256375" s="12" customFormat="1" x14ac:dyDescent="0.25"/>
    <row r="256376" s="12" customFormat="1" x14ac:dyDescent="0.25"/>
    <row r="256377" s="12" customFormat="1" x14ac:dyDescent="0.25"/>
    <row r="256378" s="12" customFormat="1" x14ac:dyDescent="0.25"/>
    <row r="256379" s="12" customFormat="1" x14ac:dyDescent="0.25"/>
    <row r="256380" s="12" customFormat="1" x14ac:dyDescent="0.25"/>
    <row r="256381" s="12" customFormat="1" x14ac:dyDescent="0.25"/>
    <row r="256382" s="12" customFormat="1" x14ac:dyDescent="0.25"/>
    <row r="256383" s="12" customFormat="1" x14ac:dyDescent="0.25"/>
    <row r="256384" s="12" customFormat="1" x14ac:dyDescent="0.25"/>
    <row r="256385" s="12" customFormat="1" x14ac:dyDescent="0.25"/>
    <row r="256386" s="12" customFormat="1" x14ac:dyDescent="0.25"/>
    <row r="256387" s="12" customFormat="1" x14ac:dyDescent="0.25"/>
    <row r="256388" s="12" customFormat="1" x14ac:dyDescent="0.25"/>
    <row r="256389" s="12" customFormat="1" x14ac:dyDescent="0.25"/>
    <row r="256390" s="12" customFormat="1" x14ac:dyDescent="0.25"/>
    <row r="256391" s="12" customFormat="1" x14ac:dyDescent="0.25"/>
    <row r="256392" s="12" customFormat="1" x14ac:dyDescent="0.25"/>
    <row r="256393" s="12" customFormat="1" x14ac:dyDescent="0.25"/>
    <row r="256394" s="12" customFormat="1" x14ac:dyDescent="0.25"/>
    <row r="256395" s="12" customFormat="1" x14ac:dyDescent="0.25"/>
    <row r="256396" s="12" customFormat="1" x14ac:dyDescent="0.25"/>
    <row r="256397" s="12" customFormat="1" x14ac:dyDescent="0.25"/>
    <row r="256398" s="12" customFormat="1" x14ac:dyDescent="0.25"/>
    <row r="256399" s="12" customFormat="1" x14ac:dyDescent="0.25"/>
    <row r="256400" s="12" customFormat="1" x14ac:dyDescent="0.25"/>
    <row r="256401" s="12" customFormat="1" x14ac:dyDescent="0.25"/>
    <row r="256402" s="12" customFormat="1" x14ac:dyDescent="0.25"/>
    <row r="256403" s="12" customFormat="1" x14ac:dyDescent="0.25"/>
    <row r="256404" s="12" customFormat="1" x14ac:dyDescent="0.25"/>
    <row r="256405" s="12" customFormat="1" x14ac:dyDescent="0.25"/>
    <row r="256406" s="12" customFormat="1" x14ac:dyDescent="0.25"/>
    <row r="256407" s="12" customFormat="1" x14ac:dyDescent="0.25"/>
    <row r="256408" s="12" customFormat="1" x14ac:dyDescent="0.25"/>
    <row r="256409" s="12" customFormat="1" x14ac:dyDescent="0.25"/>
    <row r="256410" s="12" customFormat="1" x14ac:dyDescent="0.25"/>
    <row r="256411" s="12" customFormat="1" x14ac:dyDescent="0.25"/>
    <row r="256412" s="12" customFormat="1" x14ac:dyDescent="0.25"/>
    <row r="256413" s="12" customFormat="1" x14ac:dyDescent="0.25"/>
    <row r="256414" s="12" customFormat="1" x14ac:dyDescent="0.25"/>
    <row r="256415" s="12" customFormat="1" x14ac:dyDescent="0.25"/>
    <row r="256416" s="12" customFormat="1" x14ac:dyDescent="0.25"/>
    <row r="256417" s="12" customFormat="1" x14ac:dyDescent="0.25"/>
    <row r="256418" s="12" customFormat="1" x14ac:dyDescent="0.25"/>
    <row r="256419" s="12" customFormat="1" x14ac:dyDescent="0.25"/>
    <row r="256420" s="12" customFormat="1" x14ac:dyDescent="0.25"/>
    <row r="256421" s="12" customFormat="1" x14ac:dyDescent="0.25"/>
    <row r="256422" s="12" customFormat="1" x14ac:dyDescent="0.25"/>
    <row r="256423" s="12" customFormat="1" x14ac:dyDescent="0.25"/>
    <row r="256424" s="12" customFormat="1" x14ac:dyDescent="0.25"/>
    <row r="256425" s="12" customFormat="1" x14ac:dyDescent="0.25"/>
    <row r="256426" s="12" customFormat="1" x14ac:dyDescent="0.25"/>
    <row r="256427" s="12" customFormat="1" x14ac:dyDescent="0.25"/>
    <row r="256428" s="12" customFormat="1" x14ac:dyDescent="0.25"/>
    <row r="256429" s="12" customFormat="1" x14ac:dyDescent="0.25"/>
    <row r="256430" s="12" customFormat="1" x14ac:dyDescent="0.25"/>
    <row r="256431" s="12" customFormat="1" x14ac:dyDescent="0.25"/>
    <row r="256432" s="12" customFormat="1" x14ac:dyDescent="0.25"/>
    <row r="256433" s="12" customFormat="1" x14ac:dyDescent="0.25"/>
    <row r="256434" s="12" customFormat="1" x14ac:dyDescent="0.25"/>
    <row r="256435" s="12" customFormat="1" x14ac:dyDescent="0.25"/>
    <row r="256436" s="12" customFormat="1" x14ac:dyDescent="0.25"/>
    <row r="256437" s="12" customFormat="1" x14ac:dyDescent="0.25"/>
    <row r="256438" s="12" customFormat="1" x14ac:dyDescent="0.25"/>
    <row r="256439" s="12" customFormat="1" x14ac:dyDescent="0.25"/>
    <row r="256440" s="12" customFormat="1" x14ac:dyDescent="0.25"/>
    <row r="256441" s="12" customFormat="1" x14ac:dyDescent="0.25"/>
    <row r="256442" s="12" customFormat="1" x14ac:dyDescent="0.25"/>
    <row r="256443" s="12" customFormat="1" x14ac:dyDescent="0.25"/>
    <row r="256444" s="12" customFormat="1" x14ac:dyDescent="0.25"/>
    <row r="256445" s="12" customFormat="1" x14ac:dyDescent="0.25"/>
    <row r="256446" s="12" customFormat="1" x14ac:dyDescent="0.25"/>
    <row r="256447" s="12" customFormat="1" x14ac:dyDescent="0.25"/>
    <row r="256448" s="12" customFormat="1" x14ac:dyDescent="0.25"/>
    <row r="256449" s="12" customFormat="1" x14ac:dyDescent="0.25"/>
    <row r="256450" s="12" customFormat="1" x14ac:dyDescent="0.25"/>
    <row r="256451" s="12" customFormat="1" x14ac:dyDescent="0.25"/>
    <row r="256452" s="12" customFormat="1" x14ac:dyDescent="0.25"/>
    <row r="256453" s="12" customFormat="1" x14ac:dyDescent="0.25"/>
    <row r="256454" s="12" customFormat="1" x14ac:dyDescent="0.25"/>
    <row r="256455" s="12" customFormat="1" x14ac:dyDescent="0.25"/>
    <row r="256456" s="12" customFormat="1" x14ac:dyDescent="0.25"/>
    <row r="256457" s="12" customFormat="1" x14ac:dyDescent="0.25"/>
    <row r="256458" s="12" customFormat="1" x14ac:dyDescent="0.25"/>
    <row r="256459" s="12" customFormat="1" x14ac:dyDescent="0.25"/>
    <row r="256460" s="12" customFormat="1" x14ac:dyDescent="0.25"/>
    <row r="256461" s="12" customFormat="1" x14ac:dyDescent="0.25"/>
    <row r="256462" s="12" customFormat="1" x14ac:dyDescent="0.25"/>
    <row r="256463" s="12" customFormat="1" x14ac:dyDescent="0.25"/>
    <row r="256464" s="12" customFormat="1" x14ac:dyDescent="0.25"/>
    <row r="256465" s="12" customFormat="1" x14ac:dyDescent="0.25"/>
    <row r="256466" s="12" customFormat="1" x14ac:dyDescent="0.25"/>
    <row r="256467" s="12" customFormat="1" x14ac:dyDescent="0.25"/>
    <row r="256468" s="12" customFormat="1" x14ac:dyDescent="0.25"/>
    <row r="256469" s="12" customFormat="1" x14ac:dyDescent="0.25"/>
    <row r="256470" s="12" customFormat="1" x14ac:dyDescent="0.25"/>
    <row r="256471" s="12" customFormat="1" x14ac:dyDescent="0.25"/>
    <row r="256472" s="12" customFormat="1" x14ac:dyDescent="0.25"/>
    <row r="256473" s="12" customFormat="1" x14ac:dyDescent="0.25"/>
    <row r="256474" s="12" customFormat="1" x14ac:dyDescent="0.25"/>
    <row r="256475" s="12" customFormat="1" x14ac:dyDescent="0.25"/>
    <row r="256476" s="12" customFormat="1" x14ac:dyDescent="0.25"/>
    <row r="256477" s="12" customFormat="1" x14ac:dyDescent="0.25"/>
    <row r="256478" s="12" customFormat="1" x14ac:dyDescent="0.25"/>
    <row r="256479" s="12" customFormat="1" x14ac:dyDescent="0.25"/>
    <row r="256480" s="12" customFormat="1" x14ac:dyDescent="0.25"/>
    <row r="256481" s="12" customFormat="1" x14ac:dyDescent="0.25"/>
    <row r="256482" s="12" customFormat="1" x14ac:dyDescent="0.25"/>
    <row r="256483" s="12" customFormat="1" x14ac:dyDescent="0.25"/>
    <row r="256484" s="12" customFormat="1" x14ac:dyDescent="0.25"/>
    <row r="256485" s="12" customFormat="1" x14ac:dyDescent="0.25"/>
    <row r="256486" s="12" customFormat="1" x14ac:dyDescent="0.25"/>
    <row r="256487" s="12" customFormat="1" x14ac:dyDescent="0.25"/>
    <row r="256488" s="12" customFormat="1" x14ac:dyDescent="0.25"/>
    <row r="256489" s="12" customFormat="1" x14ac:dyDescent="0.25"/>
    <row r="256490" s="12" customFormat="1" x14ac:dyDescent="0.25"/>
    <row r="256491" s="12" customFormat="1" x14ac:dyDescent="0.25"/>
    <row r="256492" s="12" customFormat="1" x14ac:dyDescent="0.25"/>
    <row r="256493" s="12" customFormat="1" x14ac:dyDescent="0.25"/>
    <row r="256494" s="12" customFormat="1" x14ac:dyDescent="0.25"/>
    <row r="256495" s="12" customFormat="1" x14ac:dyDescent="0.25"/>
    <row r="256496" s="12" customFormat="1" x14ac:dyDescent="0.25"/>
    <row r="256497" s="12" customFormat="1" x14ac:dyDescent="0.25"/>
    <row r="256498" s="12" customFormat="1" x14ac:dyDescent="0.25"/>
    <row r="256499" s="12" customFormat="1" x14ac:dyDescent="0.25"/>
    <row r="256500" s="12" customFormat="1" x14ac:dyDescent="0.25"/>
    <row r="256501" s="12" customFormat="1" x14ac:dyDescent="0.25"/>
    <row r="256502" s="12" customFormat="1" x14ac:dyDescent="0.25"/>
    <row r="256503" s="12" customFormat="1" x14ac:dyDescent="0.25"/>
    <row r="256504" s="12" customFormat="1" x14ac:dyDescent="0.25"/>
    <row r="256505" s="12" customFormat="1" x14ac:dyDescent="0.25"/>
    <row r="256506" s="12" customFormat="1" x14ac:dyDescent="0.25"/>
    <row r="256507" s="12" customFormat="1" x14ac:dyDescent="0.25"/>
    <row r="256508" s="12" customFormat="1" x14ac:dyDescent="0.25"/>
    <row r="256509" s="12" customFormat="1" x14ac:dyDescent="0.25"/>
    <row r="256510" s="12" customFormat="1" x14ac:dyDescent="0.25"/>
    <row r="256511" s="12" customFormat="1" x14ac:dyDescent="0.25"/>
    <row r="256512" s="12" customFormat="1" x14ac:dyDescent="0.25"/>
    <row r="256513" s="12" customFormat="1" x14ac:dyDescent="0.25"/>
    <row r="256514" s="12" customFormat="1" x14ac:dyDescent="0.25"/>
    <row r="256515" s="12" customFormat="1" x14ac:dyDescent="0.25"/>
    <row r="256516" s="12" customFormat="1" x14ac:dyDescent="0.25"/>
    <row r="256517" s="12" customFormat="1" x14ac:dyDescent="0.25"/>
    <row r="256518" s="12" customFormat="1" x14ac:dyDescent="0.25"/>
    <row r="256519" s="12" customFormat="1" x14ac:dyDescent="0.25"/>
    <row r="256520" s="12" customFormat="1" x14ac:dyDescent="0.25"/>
    <row r="256521" s="12" customFormat="1" x14ac:dyDescent="0.25"/>
    <row r="256522" s="12" customFormat="1" x14ac:dyDescent="0.25"/>
    <row r="256523" s="12" customFormat="1" x14ac:dyDescent="0.25"/>
    <row r="256524" s="12" customFormat="1" x14ac:dyDescent="0.25"/>
    <row r="256525" s="12" customFormat="1" x14ac:dyDescent="0.25"/>
    <row r="256526" s="12" customFormat="1" x14ac:dyDescent="0.25"/>
    <row r="256527" s="12" customFormat="1" x14ac:dyDescent="0.25"/>
    <row r="256528" s="12" customFormat="1" x14ac:dyDescent="0.25"/>
    <row r="256529" s="12" customFormat="1" x14ac:dyDescent="0.25"/>
    <row r="256530" s="12" customFormat="1" x14ac:dyDescent="0.25"/>
    <row r="256531" s="12" customFormat="1" x14ac:dyDescent="0.25"/>
    <row r="256532" s="12" customFormat="1" x14ac:dyDescent="0.25"/>
    <row r="256533" s="12" customFormat="1" x14ac:dyDescent="0.25"/>
    <row r="256534" s="12" customFormat="1" x14ac:dyDescent="0.25"/>
    <row r="256535" s="12" customFormat="1" x14ac:dyDescent="0.25"/>
    <row r="256536" s="12" customFormat="1" x14ac:dyDescent="0.25"/>
    <row r="256537" s="12" customFormat="1" x14ac:dyDescent="0.25"/>
    <row r="256538" s="12" customFormat="1" x14ac:dyDescent="0.25"/>
    <row r="256539" s="12" customFormat="1" x14ac:dyDescent="0.25"/>
    <row r="256540" s="12" customFormat="1" x14ac:dyDescent="0.25"/>
    <row r="256541" s="12" customFormat="1" x14ac:dyDescent="0.25"/>
    <row r="256542" s="12" customFormat="1" x14ac:dyDescent="0.25"/>
    <row r="256543" s="12" customFormat="1" x14ac:dyDescent="0.25"/>
    <row r="256544" s="12" customFormat="1" x14ac:dyDescent="0.25"/>
    <row r="256545" s="12" customFormat="1" x14ac:dyDescent="0.25"/>
    <row r="256546" s="12" customFormat="1" x14ac:dyDescent="0.25"/>
    <row r="256547" s="12" customFormat="1" x14ac:dyDescent="0.25"/>
    <row r="256548" s="12" customFormat="1" x14ac:dyDescent="0.25"/>
    <row r="256549" s="12" customFormat="1" x14ac:dyDescent="0.25"/>
    <row r="256550" s="12" customFormat="1" x14ac:dyDescent="0.25"/>
    <row r="256551" s="12" customFormat="1" x14ac:dyDescent="0.25"/>
    <row r="256552" s="12" customFormat="1" x14ac:dyDescent="0.25"/>
    <row r="256553" s="12" customFormat="1" x14ac:dyDescent="0.25"/>
    <row r="256554" s="12" customFormat="1" x14ac:dyDescent="0.25"/>
    <row r="256555" s="12" customFormat="1" x14ac:dyDescent="0.25"/>
    <row r="256556" s="12" customFormat="1" x14ac:dyDescent="0.25"/>
    <row r="256557" s="12" customFormat="1" x14ac:dyDescent="0.25"/>
    <row r="256558" s="12" customFormat="1" x14ac:dyDescent="0.25"/>
    <row r="256559" s="12" customFormat="1" x14ac:dyDescent="0.25"/>
    <row r="256560" s="12" customFormat="1" x14ac:dyDescent="0.25"/>
    <row r="256561" s="12" customFormat="1" x14ac:dyDescent="0.25"/>
    <row r="256562" s="12" customFormat="1" x14ac:dyDescent="0.25"/>
    <row r="256563" s="12" customFormat="1" x14ac:dyDescent="0.25"/>
    <row r="256564" s="12" customFormat="1" x14ac:dyDescent="0.25"/>
    <row r="256565" s="12" customFormat="1" x14ac:dyDescent="0.25"/>
    <row r="256566" s="12" customFormat="1" x14ac:dyDescent="0.25"/>
    <row r="256567" s="12" customFormat="1" x14ac:dyDescent="0.25"/>
    <row r="256568" s="12" customFormat="1" x14ac:dyDescent="0.25"/>
    <row r="256569" s="12" customFormat="1" x14ac:dyDescent="0.25"/>
    <row r="256570" s="12" customFormat="1" x14ac:dyDescent="0.25"/>
    <row r="256571" s="12" customFormat="1" x14ac:dyDescent="0.25"/>
    <row r="256572" s="12" customFormat="1" x14ac:dyDescent="0.25"/>
    <row r="256573" s="12" customFormat="1" x14ac:dyDescent="0.25"/>
    <row r="256574" s="12" customFormat="1" x14ac:dyDescent="0.25"/>
    <row r="256575" s="12" customFormat="1" x14ac:dyDescent="0.25"/>
    <row r="256576" s="12" customFormat="1" x14ac:dyDescent="0.25"/>
    <row r="256577" s="12" customFormat="1" x14ac:dyDescent="0.25"/>
    <row r="256578" s="12" customFormat="1" x14ac:dyDescent="0.25"/>
    <row r="256579" s="12" customFormat="1" x14ac:dyDescent="0.25"/>
    <row r="256580" s="12" customFormat="1" x14ac:dyDescent="0.25"/>
    <row r="256581" s="12" customFormat="1" x14ac:dyDescent="0.25"/>
    <row r="256582" s="12" customFormat="1" x14ac:dyDescent="0.25"/>
    <row r="256583" s="12" customFormat="1" x14ac:dyDescent="0.25"/>
    <row r="256584" s="12" customFormat="1" x14ac:dyDescent="0.25"/>
    <row r="256585" s="12" customFormat="1" x14ac:dyDescent="0.25"/>
    <row r="256586" s="12" customFormat="1" x14ac:dyDescent="0.25"/>
    <row r="256587" s="12" customFormat="1" x14ac:dyDescent="0.25"/>
    <row r="256588" s="12" customFormat="1" x14ac:dyDescent="0.25"/>
    <row r="256589" s="12" customFormat="1" x14ac:dyDescent="0.25"/>
    <row r="256590" s="12" customFormat="1" x14ac:dyDescent="0.25"/>
    <row r="256591" s="12" customFormat="1" x14ac:dyDescent="0.25"/>
    <row r="256592" s="12" customFormat="1" x14ac:dyDescent="0.25"/>
    <row r="256593" s="12" customFormat="1" x14ac:dyDescent="0.25"/>
    <row r="256594" s="12" customFormat="1" x14ac:dyDescent="0.25"/>
    <row r="256595" s="12" customFormat="1" x14ac:dyDescent="0.25"/>
    <row r="256596" s="12" customFormat="1" x14ac:dyDescent="0.25"/>
    <row r="256597" s="12" customFormat="1" x14ac:dyDescent="0.25"/>
    <row r="256598" s="12" customFormat="1" x14ac:dyDescent="0.25"/>
    <row r="256599" s="12" customFormat="1" x14ac:dyDescent="0.25"/>
    <row r="256600" s="12" customFormat="1" x14ac:dyDescent="0.25"/>
    <row r="256601" s="12" customFormat="1" x14ac:dyDescent="0.25"/>
    <row r="256602" s="12" customFormat="1" x14ac:dyDescent="0.25"/>
    <row r="256603" s="12" customFormat="1" x14ac:dyDescent="0.25"/>
    <row r="256604" s="12" customFormat="1" x14ac:dyDescent="0.25"/>
    <row r="256605" s="12" customFormat="1" x14ac:dyDescent="0.25"/>
    <row r="256606" s="12" customFormat="1" x14ac:dyDescent="0.25"/>
    <row r="256607" s="12" customFormat="1" x14ac:dyDescent="0.25"/>
    <row r="256608" s="12" customFormat="1" x14ac:dyDescent="0.25"/>
    <row r="256609" s="12" customFormat="1" x14ac:dyDescent="0.25"/>
    <row r="256610" s="12" customFormat="1" x14ac:dyDescent="0.25"/>
    <row r="256611" s="12" customFormat="1" x14ac:dyDescent="0.25"/>
    <row r="256612" s="12" customFormat="1" x14ac:dyDescent="0.25"/>
    <row r="256613" s="12" customFormat="1" x14ac:dyDescent="0.25"/>
    <row r="256614" s="12" customFormat="1" x14ac:dyDescent="0.25"/>
    <row r="256615" s="12" customFormat="1" x14ac:dyDescent="0.25"/>
    <row r="256616" s="12" customFormat="1" x14ac:dyDescent="0.25"/>
    <row r="256617" s="12" customFormat="1" x14ac:dyDescent="0.25"/>
    <row r="256618" s="12" customFormat="1" x14ac:dyDescent="0.25"/>
    <row r="256619" s="12" customFormat="1" x14ac:dyDescent="0.25"/>
    <row r="256620" s="12" customFormat="1" x14ac:dyDescent="0.25"/>
    <row r="256621" s="12" customFormat="1" x14ac:dyDescent="0.25"/>
    <row r="256622" s="12" customFormat="1" x14ac:dyDescent="0.25"/>
    <row r="256623" s="12" customFormat="1" x14ac:dyDescent="0.25"/>
    <row r="256624" s="12" customFormat="1" x14ac:dyDescent="0.25"/>
    <row r="256625" s="12" customFormat="1" x14ac:dyDescent="0.25"/>
    <row r="256626" s="12" customFormat="1" x14ac:dyDescent="0.25"/>
    <row r="256627" s="12" customFormat="1" x14ac:dyDescent="0.25"/>
    <row r="256628" s="12" customFormat="1" x14ac:dyDescent="0.25"/>
    <row r="256629" s="12" customFormat="1" x14ac:dyDescent="0.25"/>
    <row r="256630" s="12" customFormat="1" x14ac:dyDescent="0.25"/>
    <row r="256631" s="12" customFormat="1" x14ac:dyDescent="0.25"/>
    <row r="256632" s="12" customFormat="1" x14ac:dyDescent="0.25"/>
    <row r="256633" s="12" customFormat="1" x14ac:dyDescent="0.25"/>
    <row r="256634" s="12" customFormat="1" x14ac:dyDescent="0.25"/>
    <row r="256635" s="12" customFormat="1" x14ac:dyDescent="0.25"/>
    <row r="256636" s="12" customFormat="1" x14ac:dyDescent="0.25"/>
    <row r="256637" s="12" customFormat="1" x14ac:dyDescent="0.25"/>
    <row r="256638" s="12" customFormat="1" x14ac:dyDescent="0.25"/>
    <row r="256639" s="12" customFormat="1" x14ac:dyDescent="0.25"/>
    <row r="256640" s="12" customFormat="1" x14ac:dyDescent="0.25"/>
    <row r="256641" s="12" customFormat="1" x14ac:dyDescent="0.25"/>
    <row r="256642" s="12" customFormat="1" x14ac:dyDescent="0.25"/>
    <row r="256643" s="12" customFormat="1" x14ac:dyDescent="0.25"/>
    <row r="256644" s="12" customFormat="1" x14ac:dyDescent="0.25"/>
    <row r="256645" s="12" customFormat="1" x14ac:dyDescent="0.25"/>
    <row r="256646" s="12" customFormat="1" x14ac:dyDescent="0.25"/>
    <row r="256647" s="12" customFormat="1" x14ac:dyDescent="0.25"/>
    <row r="256648" s="12" customFormat="1" x14ac:dyDescent="0.25"/>
    <row r="256649" s="12" customFormat="1" x14ac:dyDescent="0.25"/>
    <row r="256650" s="12" customFormat="1" x14ac:dyDescent="0.25"/>
    <row r="256651" s="12" customFormat="1" x14ac:dyDescent="0.25"/>
    <row r="256652" s="12" customFormat="1" x14ac:dyDescent="0.25"/>
    <row r="256653" s="12" customFormat="1" x14ac:dyDescent="0.25"/>
    <row r="256654" s="12" customFormat="1" x14ac:dyDescent="0.25"/>
    <row r="256655" s="12" customFormat="1" x14ac:dyDescent="0.25"/>
    <row r="256656" s="12" customFormat="1" x14ac:dyDescent="0.25"/>
    <row r="256657" s="12" customFormat="1" x14ac:dyDescent="0.25"/>
    <row r="256658" s="12" customFormat="1" x14ac:dyDescent="0.25"/>
    <row r="256659" s="12" customFormat="1" x14ac:dyDescent="0.25"/>
    <row r="256660" s="12" customFormat="1" x14ac:dyDescent="0.25"/>
    <row r="256661" s="12" customFormat="1" x14ac:dyDescent="0.25"/>
    <row r="256662" s="12" customFormat="1" x14ac:dyDescent="0.25"/>
    <row r="256663" s="12" customFormat="1" x14ac:dyDescent="0.25"/>
    <row r="256664" s="12" customFormat="1" x14ac:dyDescent="0.25"/>
    <row r="256665" s="12" customFormat="1" x14ac:dyDescent="0.25"/>
    <row r="256666" s="12" customFormat="1" x14ac:dyDescent="0.25"/>
    <row r="256667" s="12" customFormat="1" x14ac:dyDescent="0.25"/>
    <row r="256668" s="12" customFormat="1" x14ac:dyDescent="0.25"/>
    <row r="256669" s="12" customFormat="1" x14ac:dyDescent="0.25"/>
    <row r="256670" s="12" customFormat="1" x14ac:dyDescent="0.25"/>
    <row r="256671" s="12" customFormat="1" x14ac:dyDescent="0.25"/>
    <row r="256672" s="12" customFormat="1" x14ac:dyDescent="0.25"/>
    <row r="256673" s="12" customFormat="1" x14ac:dyDescent="0.25"/>
    <row r="256674" s="12" customFormat="1" x14ac:dyDescent="0.25"/>
    <row r="256675" s="12" customFormat="1" x14ac:dyDescent="0.25"/>
    <row r="256676" s="12" customFormat="1" x14ac:dyDescent="0.25"/>
    <row r="256677" s="12" customFormat="1" x14ac:dyDescent="0.25"/>
    <row r="256678" s="12" customFormat="1" x14ac:dyDescent="0.25"/>
    <row r="256679" s="12" customFormat="1" x14ac:dyDescent="0.25"/>
    <row r="256680" s="12" customFormat="1" x14ac:dyDescent="0.25"/>
    <row r="256681" s="12" customFormat="1" x14ac:dyDescent="0.25"/>
    <row r="256682" s="12" customFormat="1" x14ac:dyDescent="0.25"/>
    <row r="256683" s="12" customFormat="1" x14ac:dyDescent="0.25"/>
    <row r="256684" s="12" customFormat="1" x14ac:dyDescent="0.25"/>
    <row r="256685" s="12" customFormat="1" x14ac:dyDescent="0.25"/>
    <row r="256686" s="12" customFormat="1" x14ac:dyDescent="0.25"/>
    <row r="256687" s="12" customFormat="1" x14ac:dyDescent="0.25"/>
    <row r="256688" s="12" customFormat="1" x14ac:dyDescent="0.25"/>
    <row r="256689" s="12" customFormat="1" x14ac:dyDescent="0.25"/>
    <row r="256690" s="12" customFormat="1" x14ac:dyDescent="0.25"/>
    <row r="256691" s="12" customFormat="1" x14ac:dyDescent="0.25"/>
    <row r="256692" s="12" customFormat="1" x14ac:dyDescent="0.25"/>
    <row r="256693" s="12" customFormat="1" x14ac:dyDescent="0.25"/>
    <row r="256694" s="12" customFormat="1" x14ac:dyDescent="0.25"/>
    <row r="256695" s="12" customFormat="1" x14ac:dyDescent="0.25"/>
    <row r="256696" s="12" customFormat="1" x14ac:dyDescent="0.25"/>
    <row r="256697" s="12" customFormat="1" x14ac:dyDescent="0.25"/>
    <row r="256698" s="12" customFormat="1" x14ac:dyDescent="0.25"/>
    <row r="256699" s="12" customFormat="1" x14ac:dyDescent="0.25"/>
    <row r="256700" s="12" customFormat="1" x14ac:dyDescent="0.25"/>
    <row r="256701" s="12" customFormat="1" x14ac:dyDescent="0.25"/>
    <row r="256702" s="12" customFormat="1" x14ac:dyDescent="0.25"/>
    <row r="256703" s="12" customFormat="1" x14ac:dyDescent="0.25"/>
    <row r="256704" s="12" customFormat="1" x14ac:dyDescent="0.25"/>
    <row r="256705" s="12" customFormat="1" x14ac:dyDescent="0.25"/>
    <row r="256706" s="12" customFormat="1" x14ac:dyDescent="0.25"/>
    <row r="256707" s="12" customFormat="1" x14ac:dyDescent="0.25"/>
    <row r="256708" s="12" customFormat="1" x14ac:dyDescent="0.25"/>
    <row r="256709" s="12" customFormat="1" x14ac:dyDescent="0.25"/>
    <row r="256710" s="12" customFormat="1" x14ac:dyDescent="0.25"/>
    <row r="256711" s="12" customFormat="1" x14ac:dyDescent="0.25"/>
    <row r="256712" s="12" customFormat="1" x14ac:dyDescent="0.25"/>
    <row r="256713" s="12" customFormat="1" x14ac:dyDescent="0.25"/>
    <row r="256714" s="12" customFormat="1" x14ac:dyDescent="0.25"/>
    <row r="256715" s="12" customFormat="1" x14ac:dyDescent="0.25"/>
    <row r="256716" s="12" customFormat="1" x14ac:dyDescent="0.25"/>
    <row r="256717" s="12" customFormat="1" x14ac:dyDescent="0.25"/>
    <row r="256718" s="12" customFormat="1" x14ac:dyDescent="0.25"/>
    <row r="256719" s="12" customFormat="1" x14ac:dyDescent="0.25"/>
    <row r="256720" s="12" customFormat="1" x14ac:dyDescent="0.25"/>
    <row r="256721" s="12" customFormat="1" x14ac:dyDescent="0.25"/>
    <row r="256722" s="12" customFormat="1" x14ac:dyDescent="0.25"/>
    <row r="256723" s="12" customFormat="1" x14ac:dyDescent="0.25"/>
    <row r="256724" s="12" customFormat="1" x14ac:dyDescent="0.25"/>
    <row r="256725" s="12" customFormat="1" x14ac:dyDescent="0.25"/>
    <row r="256726" s="12" customFormat="1" x14ac:dyDescent="0.25"/>
    <row r="256727" s="12" customFormat="1" x14ac:dyDescent="0.25"/>
    <row r="256728" s="12" customFormat="1" x14ac:dyDescent="0.25"/>
    <row r="256729" s="12" customFormat="1" x14ac:dyDescent="0.25"/>
    <row r="256730" s="12" customFormat="1" x14ac:dyDescent="0.25"/>
    <row r="256731" s="12" customFormat="1" x14ac:dyDescent="0.25"/>
    <row r="256732" s="12" customFormat="1" x14ac:dyDescent="0.25"/>
    <row r="256733" s="12" customFormat="1" x14ac:dyDescent="0.25"/>
    <row r="256734" s="12" customFormat="1" x14ac:dyDescent="0.25"/>
    <row r="256735" s="12" customFormat="1" x14ac:dyDescent="0.25"/>
    <row r="256736" s="12" customFormat="1" x14ac:dyDescent="0.25"/>
    <row r="256737" s="12" customFormat="1" x14ac:dyDescent="0.25"/>
    <row r="256738" s="12" customFormat="1" x14ac:dyDescent="0.25"/>
    <row r="256739" s="12" customFormat="1" x14ac:dyDescent="0.25"/>
    <row r="256740" s="12" customFormat="1" x14ac:dyDescent="0.25"/>
    <row r="256741" s="12" customFormat="1" x14ac:dyDescent="0.25"/>
    <row r="256742" s="12" customFormat="1" x14ac:dyDescent="0.25"/>
    <row r="256743" s="12" customFormat="1" x14ac:dyDescent="0.25"/>
    <row r="256744" s="12" customFormat="1" x14ac:dyDescent="0.25"/>
    <row r="256745" s="12" customFormat="1" x14ac:dyDescent="0.25"/>
    <row r="256746" s="12" customFormat="1" x14ac:dyDescent="0.25"/>
    <row r="256747" s="12" customFormat="1" x14ac:dyDescent="0.25"/>
    <row r="256748" s="12" customFormat="1" x14ac:dyDescent="0.25"/>
    <row r="256749" s="12" customFormat="1" x14ac:dyDescent="0.25"/>
    <row r="256750" s="12" customFormat="1" x14ac:dyDescent="0.25"/>
    <row r="256751" s="12" customFormat="1" x14ac:dyDescent="0.25"/>
    <row r="256752" s="12" customFormat="1" x14ac:dyDescent="0.25"/>
    <row r="256753" s="12" customFormat="1" x14ac:dyDescent="0.25"/>
    <row r="256754" s="12" customFormat="1" x14ac:dyDescent="0.25"/>
    <row r="256755" s="12" customFormat="1" x14ac:dyDescent="0.25"/>
    <row r="256756" s="12" customFormat="1" x14ac:dyDescent="0.25"/>
    <row r="256757" s="12" customFormat="1" x14ac:dyDescent="0.25"/>
    <row r="256758" s="12" customFormat="1" x14ac:dyDescent="0.25"/>
    <row r="256759" s="12" customFormat="1" x14ac:dyDescent="0.25"/>
    <row r="256760" s="12" customFormat="1" x14ac:dyDescent="0.25"/>
    <row r="256761" s="12" customFormat="1" x14ac:dyDescent="0.25"/>
    <row r="256762" s="12" customFormat="1" x14ac:dyDescent="0.25"/>
    <row r="256763" s="12" customFormat="1" x14ac:dyDescent="0.25"/>
    <row r="256764" s="12" customFormat="1" x14ac:dyDescent="0.25"/>
    <row r="256765" s="12" customFormat="1" x14ac:dyDescent="0.25"/>
    <row r="256766" s="12" customFormat="1" x14ac:dyDescent="0.25"/>
    <row r="256767" s="12" customFormat="1" x14ac:dyDescent="0.25"/>
    <row r="256768" s="12" customFormat="1" x14ac:dyDescent="0.25"/>
    <row r="256769" s="12" customFormat="1" x14ac:dyDescent="0.25"/>
    <row r="256770" s="12" customFormat="1" x14ac:dyDescent="0.25"/>
    <row r="256771" s="12" customFormat="1" x14ac:dyDescent="0.25"/>
    <row r="256772" s="12" customFormat="1" x14ac:dyDescent="0.25"/>
    <row r="256773" s="12" customFormat="1" x14ac:dyDescent="0.25"/>
    <row r="256774" s="12" customFormat="1" x14ac:dyDescent="0.25"/>
    <row r="256775" s="12" customFormat="1" x14ac:dyDescent="0.25"/>
    <row r="256776" s="12" customFormat="1" x14ac:dyDescent="0.25"/>
    <row r="256777" s="12" customFormat="1" x14ac:dyDescent="0.25"/>
    <row r="256778" s="12" customFormat="1" x14ac:dyDescent="0.25"/>
    <row r="256779" s="12" customFormat="1" x14ac:dyDescent="0.25"/>
    <row r="256780" s="12" customFormat="1" x14ac:dyDescent="0.25"/>
    <row r="256781" s="12" customFormat="1" x14ac:dyDescent="0.25"/>
    <row r="256782" s="12" customFormat="1" x14ac:dyDescent="0.25"/>
    <row r="256783" s="12" customFormat="1" x14ac:dyDescent="0.25"/>
    <row r="256784" s="12" customFormat="1" x14ac:dyDescent="0.25"/>
    <row r="256785" s="12" customFormat="1" x14ac:dyDescent="0.25"/>
    <row r="256786" s="12" customFormat="1" x14ac:dyDescent="0.25"/>
    <row r="256787" s="12" customFormat="1" x14ac:dyDescent="0.25"/>
    <row r="256788" s="12" customFormat="1" x14ac:dyDescent="0.25"/>
    <row r="256789" s="12" customFormat="1" x14ac:dyDescent="0.25"/>
    <row r="256790" s="12" customFormat="1" x14ac:dyDescent="0.25"/>
    <row r="256791" s="12" customFormat="1" x14ac:dyDescent="0.25"/>
    <row r="256792" s="12" customFormat="1" x14ac:dyDescent="0.25"/>
    <row r="256793" s="12" customFormat="1" x14ac:dyDescent="0.25"/>
    <row r="256794" s="12" customFormat="1" x14ac:dyDescent="0.25"/>
    <row r="256795" s="12" customFormat="1" x14ac:dyDescent="0.25"/>
    <row r="256796" s="12" customFormat="1" x14ac:dyDescent="0.25"/>
    <row r="256797" s="12" customFormat="1" x14ac:dyDescent="0.25"/>
    <row r="256798" s="12" customFormat="1" x14ac:dyDescent="0.25"/>
    <row r="256799" s="12" customFormat="1" x14ac:dyDescent="0.25"/>
    <row r="256800" s="12" customFormat="1" x14ac:dyDescent="0.25"/>
    <row r="256801" s="12" customFormat="1" x14ac:dyDescent="0.25"/>
    <row r="256802" s="12" customFormat="1" x14ac:dyDescent="0.25"/>
    <row r="256803" s="12" customFormat="1" x14ac:dyDescent="0.25"/>
    <row r="256804" s="12" customFormat="1" x14ac:dyDescent="0.25"/>
    <row r="256805" s="12" customFormat="1" x14ac:dyDescent="0.25"/>
    <row r="256806" s="12" customFormat="1" x14ac:dyDescent="0.25"/>
    <row r="256807" s="12" customFormat="1" x14ac:dyDescent="0.25"/>
    <row r="256808" s="12" customFormat="1" x14ac:dyDescent="0.25"/>
    <row r="256809" s="12" customFormat="1" x14ac:dyDescent="0.25"/>
    <row r="256810" s="12" customFormat="1" x14ac:dyDescent="0.25"/>
    <row r="256811" s="12" customFormat="1" x14ac:dyDescent="0.25"/>
    <row r="256812" s="12" customFormat="1" x14ac:dyDescent="0.25"/>
    <row r="256813" s="12" customFormat="1" x14ac:dyDescent="0.25"/>
    <row r="256814" s="12" customFormat="1" x14ac:dyDescent="0.25"/>
    <row r="256815" s="12" customFormat="1" x14ac:dyDescent="0.25"/>
    <row r="256816" s="12" customFormat="1" x14ac:dyDescent="0.25"/>
    <row r="256817" s="12" customFormat="1" x14ac:dyDescent="0.25"/>
    <row r="256818" s="12" customFormat="1" x14ac:dyDescent="0.25"/>
    <row r="256819" s="12" customFormat="1" x14ac:dyDescent="0.25"/>
    <row r="256820" s="12" customFormat="1" x14ac:dyDescent="0.25"/>
    <row r="256821" s="12" customFormat="1" x14ac:dyDescent="0.25"/>
    <row r="256822" s="12" customFormat="1" x14ac:dyDescent="0.25"/>
    <row r="256823" s="12" customFormat="1" x14ac:dyDescent="0.25"/>
    <row r="256824" s="12" customFormat="1" x14ac:dyDescent="0.25"/>
    <row r="256825" s="12" customFormat="1" x14ac:dyDescent="0.25"/>
    <row r="256826" s="12" customFormat="1" x14ac:dyDescent="0.25"/>
    <row r="256827" s="12" customFormat="1" x14ac:dyDescent="0.25"/>
    <row r="256828" s="12" customFormat="1" x14ac:dyDescent="0.25"/>
    <row r="256829" s="12" customFormat="1" x14ac:dyDescent="0.25"/>
    <row r="256830" s="12" customFormat="1" x14ac:dyDescent="0.25"/>
    <row r="256831" s="12" customFormat="1" x14ac:dyDescent="0.25"/>
    <row r="256832" s="12" customFormat="1" x14ac:dyDescent="0.25"/>
    <row r="256833" s="12" customFormat="1" x14ac:dyDescent="0.25"/>
    <row r="256834" s="12" customFormat="1" x14ac:dyDescent="0.25"/>
    <row r="256835" s="12" customFormat="1" x14ac:dyDescent="0.25"/>
    <row r="256836" s="12" customFormat="1" x14ac:dyDescent="0.25"/>
    <row r="256837" s="12" customFormat="1" x14ac:dyDescent="0.25"/>
    <row r="256838" s="12" customFormat="1" x14ac:dyDescent="0.25"/>
    <row r="256839" s="12" customFormat="1" x14ac:dyDescent="0.25"/>
    <row r="256840" s="12" customFormat="1" x14ac:dyDescent="0.25"/>
    <row r="256841" s="12" customFormat="1" x14ac:dyDescent="0.25"/>
    <row r="256842" s="12" customFormat="1" x14ac:dyDescent="0.25"/>
    <row r="256843" s="12" customFormat="1" x14ac:dyDescent="0.25"/>
    <row r="256844" s="12" customFormat="1" x14ac:dyDescent="0.25"/>
    <row r="256845" s="12" customFormat="1" x14ac:dyDescent="0.25"/>
    <row r="256846" s="12" customFormat="1" x14ac:dyDescent="0.25"/>
    <row r="256847" s="12" customFormat="1" x14ac:dyDescent="0.25"/>
    <row r="256848" s="12" customFormat="1" x14ac:dyDescent="0.25"/>
    <row r="256849" s="12" customFormat="1" x14ac:dyDescent="0.25"/>
    <row r="256850" s="12" customFormat="1" x14ac:dyDescent="0.25"/>
    <row r="256851" s="12" customFormat="1" x14ac:dyDescent="0.25"/>
    <row r="256852" s="12" customFormat="1" x14ac:dyDescent="0.25"/>
    <row r="256853" s="12" customFormat="1" x14ac:dyDescent="0.25"/>
    <row r="256854" s="12" customFormat="1" x14ac:dyDescent="0.25"/>
    <row r="256855" s="12" customFormat="1" x14ac:dyDescent="0.25"/>
    <row r="256856" s="12" customFormat="1" x14ac:dyDescent="0.25"/>
    <row r="256857" s="12" customFormat="1" x14ac:dyDescent="0.25"/>
    <row r="256858" s="12" customFormat="1" x14ac:dyDescent="0.25"/>
    <row r="256859" s="12" customFormat="1" x14ac:dyDescent="0.25"/>
    <row r="256860" s="12" customFormat="1" x14ac:dyDescent="0.25"/>
    <row r="256861" s="12" customFormat="1" x14ac:dyDescent="0.25"/>
    <row r="256862" s="12" customFormat="1" x14ac:dyDescent="0.25"/>
    <row r="256863" s="12" customFormat="1" x14ac:dyDescent="0.25"/>
    <row r="256864" s="12" customFormat="1" x14ac:dyDescent="0.25"/>
    <row r="256865" s="12" customFormat="1" x14ac:dyDescent="0.25"/>
    <row r="256866" s="12" customFormat="1" x14ac:dyDescent="0.25"/>
    <row r="256867" s="12" customFormat="1" x14ac:dyDescent="0.25"/>
    <row r="256868" s="12" customFormat="1" x14ac:dyDescent="0.25"/>
    <row r="256869" s="12" customFormat="1" x14ac:dyDescent="0.25"/>
    <row r="256870" s="12" customFormat="1" x14ac:dyDescent="0.25"/>
    <row r="256871" s="12" customFormat="1" x14ac:dyDescent="0.25"/>
    <row r="256872" s="12" customFormat="1" x14ac:dyDescent="0.25"/>
    <row r="256873" s="12" customFormat="1" x14ac:dyDescent="0.25"/>
    <row r="256874" s="12" customFormat="1" x14ac:dyDescent="0.25"/>
    <row r="256875" s="12" customFormat="1" x14ac:dyDescent="0.25"/>
    <row r="256876" s="12" customFormat="1" x14ac:dyDescent="0.25"/>
    <row r="256877" s="12" customFormat="1" x14ac:dyDescent="0.25"/>
    <row r="256878" s="12" customFormat="1" x14ac:dyDescent="0.25"/>
    <row r="256879" s="12" customFormat="1" x14ac:dyDescent="0.25"/>
    <row r="256880" s="12" customFormat="1" x14ac:dyDescent="0.25"/>
    <row r="256881" s="12" customFormat="1" x14ac:dyDescent="0.25"/>
    <row r="256882" s="12" customFormat="1" x14ac:dyDescent="0.25"/>
    <row r="256883" s="12" customFormat="1" x14ac:dyDescent="0.25"/>
    <row r="256884" s="12" customFormat="1" x14ac:dyDescent="0.25"/>
    <row r="256885" s="12" customFormat="1" x14ac:dyDescent="0.25"/>
    <row r="256886" s="12" customFormat="1" x14ac:dyDescent="0.25"/>
    <row r="256887" s="12" customFormat="1" x14ac:dyDescent="0.25"/>
    <row r="256888" s="12" customFormat="1" x14ac:dyDescent="0.25"/>
    <row r="256889" s="12" customFormat="1" x14ac:dyDescent="0.25"/>
    <row r="256890" s="12" customFormat="1" x14ac:dyDescent="0.25"/>
    <row r="256891" s="12" customFormat="1" x14ac:dyDescent="0.25"/>
    <row r="256892" s="12" customFormat="1" x14ac:dyDescent="0.25"/>
    <row r="256893" s="12" customFormat="1" x14ac:dyDescent="0.25"/>
    <row r="256894" s="12" customFormat="1" x14ac:dyDescent="0.25"/>
    <row r="256895" s="12" customFormat="1" x14ac:dyDescent="0.25"/>
    <row r="256896" s="12" customFormat="1" x14ac:dyDescent="0.25"/>
    <row r="256897" s="12" customFormat="1" x14ac:dyDescent="0.25"/>
    <row r="256898" s="12" customFormat="1" x14ac:dyDescent="0.25"/>
    <row r="256899" s="12" customFormat="1" x14ac:dyDescent="0.25"/>
    <row r="256900" s="12" customFormat="1" x14ac:dyDescent="0.25"/>
    <row r="256901" s="12" customFormat="1" x14ac:dyDescent="0.25"/>
    <row r="256902" s="12" customFormat="1" x14ac:dyDescent="0.25"/>
    <row r="256903" s="12" customFormat="1" x14ac:dyDescent="0.25"/>
    <row r="256904" s="12" customFormat="1" x14ac:dyDescent="0.25"/>
    <row r="256905" s="12" customFormat="1" x14ac:dyDescent="0.25"/>
    <row r="256906" s="12" customFormat="1" x14ac:dyDescent="0.25"/>
    <row r="256907" s="12" customFormat="1" x14ac:dyDescent="0.25"/>
    <row r="256908" s="12" customFormat="1" x14ac:dyDescent="0.25"/>
    <row r="256909" s="12" customFormat="1" x14ac:dyDescent="0.25"/>
    <row r="256910" s="12" customFormat="1" x14ac:dyDescent="0.25"/>
    <row r="256911" s="12" customFormat="1" x14ac:dyDescent="0.25"/>
    <row r="256912" s="12" customFormat="1" x14ac:dyDescent="0.25"/>
    <row r="256913" s="12" customFormat="1" x14ac:dyDescent="0.25"/>
    <row r="256914" s="12" customFormat="1" x14ac:dyDescent="0.25"/>
    <row r="256915" s="12" customFormat="1" x14ac:dyDescent="0.25"/>
    <row r="256916" s="12" customFormat="1" x14ac:dyDescent="0.25"/>
    <row r="256917" s="12" customFormat="1" x14ac:dyDescent="0.25"/>
    <row r="256918" s="12" customFormat="1" x14ac:dyDescent="0.25"/>
    <row r="256919" s="12" customFormat="1" x14ac:dyDescent="0.25"/>
    <row r="256920" s="12" customFormat="1" x14ac:dyDescent="0.25"/>
    <row r="256921" s="12" customFormat="1" x14ac:dyDescent="0.25"/>
    <row r="256922" s="12" customFormat="1" x14ac:dyDescent="0.25"/>
    <row r="256923" s="12" customFormat="1" x14ac:dyDescent="0.25"/>
    <row r="256924" s="12" customFormat="1" x14ac:dyDescent="0.25"/>
    <row r="256925" s="12" customFormat="1" x14ac:dyDescent="0.25"/>
    <row r="256926" s="12" customFormat="1" x14ac:dyDescent="0.25"/>
    <row r="256927" s="12" customFormat="1" x14ac:dyDescent="0.25"/>
    <row r="256928" s="12" customFormat="1" x14ac:dyDescent="0.25"/>
    <row r="256929" s="12" customFormat="1" x14ac:dyDescent="0.25"/>
    <row r="256930" s="12" customFormat="1" x14ac:dyDescent="0.25"/>
    <row r="256931" s="12" customFormat="1" x14ac:dyDescent="0.25"/>
    <row r="256932" s="12" customFormat="1" x14ac:dyDescent="0.25"/>
    <row r="256933" s="12" customFormat="1" x14ac:dyDescent="0.25"/>
    <row r="256934" s="12" customFormat="1" x14ac:dyDescent="0.25"/>
    <row r="256935" s="12" customFormat="1" x14ac:dyDescent="0.25"/>
    <row r="256936" s="12" customFormat="1" x14ac:dyDescent="0.25"/>
    <row r="256937" s="12" customFormat="1" x14ac:dyDescent="0.25"/>
    <row r="256938" s="12" customFormat="1" x14ac:dyDescent="0.25"/>
    <row r="256939" s="12" customFormat="1" x14ac:dyDescent="0.25"/>
    <row r="256940" s="12" customFormat="1" x14ac:dyDescent="0.25"/>
    <row r="256941" s="12" customFormat="1" x14ac:dyDescent="0.25"/>
    <row r="256942" s="12" customFormat="1" x14ac:dyDescent="0.25"/>
    <row r="256943" s="12" customFormat="1" x14ac:dyDescent="0.25"/>
    <row r="256944" s="12" customFormat="1" x14ac:dyDescent="0.25"/>
    <row r="256945" s="12" customFormat="1" x14ac:dyDescent="0.25"/>
    <row r="256946" s="12" customFormat="1" x14ac:dyDescent="0.25"/>
    <row r="256947" s="12" customFormat="1" x14ac:dyDescent="0.25"/>
    <row r="256948" s="12" customFormat="1" x14ac:dyDescent="0.25"/>
    <row r="256949" s="12" customFormat="1" x14ac:dyDescent="0.25"/>
    <row r="256950" s="12" customFormat="1" x14ac:dyDescent="0.25"/>
    <row r="256951" s="12" customFormat="1" x14ac:dyDescent="0.25"/>
    <row r="256952" s="12" customFormat="1" x14ac:dyDescent="0.25"/>
    <row r="256953" s="12" customFormat="1" x14ac:dyDescent="0.25"/>
    <row r="256954" s="12" customFormat="1" x14ac:dyDescent="0.25"/>
    <row r="256955" s="12" customFormat="1" x14ac:dyDescent="0.25"/>
    <row r="256956" s="12" customFormat="1" x14ac:dyDescent="0.25"/>
    <row r="256957" s="12" customFormat="1" x14ac:dyDescent="0.25"/>
    <row r="256958" s="12" customFormat="1" x14ac:dyDescent="0.25"/>
    <row r="256959" s="12" customFormat="1" x14ac:dyDescent="0.25"/>
    <row r="256960" s="12" customFormat="1" x14ac:dyDescent="0.25"/>
    <row r="256961" s="12" customFormat="1" x14ac:dyDescent="0.25"/>
    <row r="256962" s="12" customFormat="1" x14ac:dyDescent="0.25"/>
    <row r="256963" s="12" customFormat="1" x14ac:dyDescent="0.25"/>
    <row r="256964" s="12" customFormat="1" x14ac:dyDescent="0.25"/>
    <row r="256965" s="12" customFormat="1" x14ac:dyDescent="0.25"/>
    <row r="256966" s="12" customFormat="1" x14ac:dyDescent="0.25"/>
    <row r="256967" s="12" customFormat="1" x14ac:dyDescent="0.25"/>
    <row r="256968" s="12" customFormat="1" x14ac:dyDescent="0.25"/>
    <row r="256969" s="12" customFormat="1" x14ac:dyDescent="0.25"/>
    <row r="256970" s="12" customFormat="1" x14ac:dyDescent="0.25"/>
    <row r="256971" s="12" customFormat="1" x14ac:dyDescent="0.25"/>
    <row r="256972" s="12" customFormat="1" x14ac:dyDescent="0.25"/>
    <row r="256973" s="12" customFormat="1" x14ac:dyDescent="0.25"/>
    <row r="256974" s="12" customFormat="1" x14ac:dyDescent="0.25"/>
    <row r="256975" s="12" customFormat="1" x14ac:dyDescent="0.25"/>
    <row r="256976" s="12" customFormat="1" x14ac:dyDescent="0.25"/>
    <row r="256977" s="12" customFormat="1" x14ac:dyDescent="0.25"/>
    <row r="256978" s="12" customFormat="1" x14ac:dyDescent="0.25"/>
    <row r="256979" s="12" customFormat="1" x14ac:dyDescent="0.25"/>
    <row r="256980" s="12" customFormat="1" x14ac:dyDescent="0.25"/>
    <row r="256981" s="12" customFormat="1" x14ac:dyDescent="0.25"/>
    <row r="256982" s="12" customFormat="1" x14ac:dyDescent="0.25"/>
    <row r="256983" s="12" customFormat="1" x14ac:dyDescent="0.25"/>
    <row r="256984" s="12" customFormat="1" x14ac:dyDescent="0.25"/>
    <row r="256985" s="12" customFormat="1" x14ac:dyDescent="0.25"/>
    <row r="256986" s="12" customFormat="1" x14ac:dyDescent="0.25"/>
    <row r="256987" s="12" customFormat="1" x14ac:dyDescent="0.25"/>
    <row r="256988" s="12" customFormat="1" x14ac:dyDescent="0.25"/>
    <row r="256989" s="12" customFormat="1" x14ac:dyDescent="0.25"/>
    <row r="256990" s="12" customFormat="1" x14ac:dyDescent="0.25"/>
    <row r="256991" s="12" customFormat="1" x14ac:dyDescent="0.25"/>
    <row r="256992" s="12" customFormat="1" x14ac:dyDescent="0.25"/>
    <row r="256993" s="12" customFormat="1" x14ac:dyDescent="0.25"/>
    <row r="256994" s="12" customFormat="1" x14ac:dyDescent="0.25"/>
    <row r="256995" s="12" customFormat="1" x14ac:dyDescent="0.25"/>
    <row r="256996" s="12" customFormat="1" x14ac:dyDescent="0.25"/>
    <row r="256997" s="12" customFormat="1" x14ac:dyDescent="0.25"/>
    <row r="256998" s="12" customFormat="1" x14ac:dyDescent="0.25"/>
    <row r="256999" s="12" customFormat="1" x14ac:dyDescent="0.25"/>
    <row r="257000" s="12" customFormat="1" x14ac:dyDescent="0.25"/>
    <row r="257001" s="12" customFormat="1" x14ac:dyDescent="0.25"/>
    <row r="257002" s="12" customFormat="1" x14ac:dyDescent="0.25"/>
    <row r="257003" s="12" customFormat="1" x14ac:dyDescent="0.25"/>
    <row r="257004" s="12" customFormat="1" x14ac:dyDescent="0.25"/>
    <row r="257005" s="12" customFormat="1" x14ac:dyDescent="0.25"/>
    <row r="257006" s="12" customFormat="1" x14ac:dyDescent="0.25"/>
    <row r="257007" s="12" customFormat="1" x14ac:dyDescent="0.25"/>
    <row r="257008" s="12" customFormat="1" x14ac:dyDescent="0.25"/>
    <row r="257009" s="12" customFormat="1" x14ac:dyDescent="0.25"/>
    <row r="257010" s="12" customFormat="1" x14ac:dyDescent="0.25"/>
    <row r="257011" s="12" customFormat="1" x14ac:dyDescent="0.25"/>
    <row r="257012" s="12" customFormat="1" x14ac:dyDescent="0.25"/>
    <row r="257013" s="12" customFormat="1" x14ac:dyDescent="0.25"/>
    <row r="257014" s="12" customFormat="1" x14ac:dyDescent="0.25"/>
    <row r="257015" s="12" customFormat="1" x14ac:dyDescent="0.25"/>
    <row r="257016" s="12" customFormat="1" x14ac:dyDescent="0.25"/>
    <row r="257017" s="12" customFormat="1" x14ac:dyDescent="0.25"/>
    <row r="257018" s="12" customFormat="1" x14ac:dyDescent="0.25"/>
    <row r="257019" s="12" customFormat="1" x14ac:dyDescent="0.25"/>
    <row r="257020" s="12" customFormat="1" x14ac:dyDescent="0.25"/>
    <row r="257021" s="12" customFormat="1" x14ac:dyDescent="0.25"/>
    <row r="257022" s="12" customFormat="1" x14ac:dyDescent="0.25"/>
    <row r="257023" s="12" customFormat="1" x14ac:dyDescent="0.25"/>
    <row r="257024" s="12" customFormat="1" x14ac:dyDescent="0.25"/>
    <row r="257025" s="12" customFormat="1" x14ac:dyDescent="0.25"/>
    <row r="257026" s="12" customFormat="1" x14ac:dyDescent="0.25"/>
    <row r="257027" s="12" customFormat="1" x14ac:dyDescent="0.25"/>
    <row r="257028" s="12" customFormat="1" x14ac:dyDescent="0.25"/>
    <row r="257029" s="12" customFormat="1" x14ac:dyDescent="0.25"/>
    <row r="257030" s="12" customFormat="1" x14ac:dyDescent="0.25"/>
    <row r="257031" s="12" customFormat="1" x14ac:dyDescent="0.25"/>
    <row r="257032" s="12" customFormat="1" x14ac:dyDescent="0.25"/>
    <row r="257033" s="12" customFormat="1" x14ac:dyDescent="0.25"/>
    <row r="257034" s="12" customFormat="1" x14ac:dyDescent="0.25"/>
    <row r="257035" s="12" customFormat="1" x14ac:dyDescent="0.25"/>
    <row r="257036" s="12" customFormat="1" x14ac:dyDescent="0.25"/>
    <row r="257037" s="12" customFormat="1" x14ac:dyDescent="0.25"/>
    <row r="257038" s="12" customFormat="1" x14ac:dyDescent="0.25"/>
    <row r="257039" s="12" customFormat="1" x14ac:dyDescent="0.25"/>
    <row r="257040" s="12" customFormat="1" x14ac:dyDescent="0.25"/>
    <row r="257041" s="12" customFormat="1" x14ac:dyDescent="0.25"/>
    <row r="257042" s="12" customFormat="1" x14ac:dyDescent="0.25"/>
    <row r="257043" s="12" customFormat="1" x14ac:dyDescent="0.25"/>
    <row r="257044" s="12" customFormat="1" x14ac:dyDescent="0.25"/>
    <row r="257045" s="12" customFormat="1" x14ac:dyDescent="0.25"/>
    <row r="257046" s="12" customFormat="1" x14ac:dyDescent="0.25"/>
    <row r="257047" s="12" customFormat="1" x14ac:dyDescent="0.25"/>
    <row r="257048" s="12" customFormat="1" x14ac:dyDescent="0.25"/>
    <row r="257049" s="12" customFormat="1" x14ac:dyDescent="0.25"/>
    <row r="257050" s="12" customFormat="1" x14ac:dyDescent="0.25"/>
    <row r="257051" s="12" customFormat="1" x14ac:dyDescent="0.25"/>
    <row r="257052" s="12" customFormat="1" x14ac:dyDescent="0.25"/>
    <row r="257053" s="12" customFormat="1" x14ac:dyDescent="0.25"/>
    <row r="257054" s="12" customFormat="1" x14ac:dyDescent="0.25"/>
    <row r="257055" s="12" customFormat="1" x14ac:dyDescent="0.25"/>
    <row r="257056" s="12" customFormat="1" x14ac:dyDescent="0.25"/>
    <row r="257057" s="12" customFormat="1" x14ac:dyDescent="0.25"/>
    <row r="257058" s="12" customFormat="1" x14ac:dyDescent="0.25"/>
    <row r="257059" s="12" customFormat="1" x14ac:dyDescent="0.25"/>
    <row r="257060" s="12" customFormat="1" x14ac:dyDescent="0.25"/>
    <row r="257061" s="12" customFormat="1" x14ac:dyDescent="0.25"/>
    <row r="257062" s="12" customFormat="1" x14ac:dyDescent="0.25"/>
    <row r="257063" s="12" customFormat="1" x14ac:dyDescent="0.25"/>
    <row r="257064" s="12" customFormat="1" x14ac:dyDescent="0.25"/>
    <row r="257065" s="12" customFormat="1" x14ac:dyDescent="0.25"/>
    <row r="257066" s="12" customFormat="1" x14ac:dyDescent="0.25"/>
    <row r="257067" s="12" customFormat="1" x14ac:dyDescent="0.25"/>
    <row r="257068" s="12" customFormat="1" x14ac:dyDescent="0.25"/>
    <row r="257069" s="12" customFormat="1" x14ac:dyDescent="0.25"/>
    <row r="257070" s="12" customFormat="1" x14ac:dyDescent="0.25"/>
    <row r="257071" s="12" customFormat="1" x14ac:dyDescent="0.25"/>
    <row r="257072" s="12" customFormat="1" x14ac:dyDescent="0.25"/>
    <row r="257073" s="12" customFormat="1" x14ac:dyDescent="0.25"/>
    <row r="257074" s="12" customFormat="1" x14ac:dyDescent="0.25"/>
    <row r="257075" s="12" customFormat="1" x14ac:dyDescent="0.25"/>
    <row r="257076" s="12" customFormat="1" x14ac:dyDescent="0.25"/>
    <row r="257077" s="12" customFormat="1" x14ac:dyDescent="0.25"/>
    <row r="257078" s="12" customFormat="1" x14ac:dyDescent="0.25"/>
    <row r="257079" s="12" customFormat="1" x14ac:dyDescent="0.25"/>
    <row r="257080" s="12" customFormat="1" x14ac:dyDescent="0.25"/>
    <row r="257081" s="12" customFormat="1" x14ac:dyDescent="0.25"/>
    <row r="257082" s="12" customFormat="1" x14ac:dyDescent="0.25"/>
    <row r="257083" s="12" customFormat="1" x14ac:dyDescent="0.25"/>
    <row r="257084" s="12" customFormat="1" x14ac:dyDescent="0.25"/>
    <row r="257085" s="12" customFormat="1" x14ac:dyDescent="0.25"/>
    <row r="257086" s="12" customFormat="1" x14ac:dyDescent="0.25"/>
    <row r="257087" s="12" customFormat="1" x14ac:dyDescent="0.25"/>
    <row r="257088" s="12" customFormat="1" x14ac:dyDescent="0.25"/>
    <row r="257089" s="12" customFormat="1" x14ac:dyDescent="0.25"/>
    <row r="257090" s="12" customFormat="1" x14ac:dyDescent="0.25"/>
    <row r="257091" s="12" customFormat="1" x14ac:dyDescent="0.25"/>
    <row r="257092" s="12" customFormat="1" x14ac:dyDescent="0.25"/>
    <row r="257093" s="12" customFormat="1" x14ac:dyDescent="0.25"/>
    <row r="257094" s="12" customFormat="1" x14ac:dyDescent="0.25"/>
    <row r="257095" s="12" customFormat="1" x14ac:dyDescent="0.25"/>
    <row r="257096" s="12" customFormat="1" x14ac:dyDescent="0.25"/>
    <row r="257097" s="12" customFormat="1" x14ac:dyDescent="0.25"/>
    <row r="257098" s="12" customFormat="1" x14ac:dyDescent="0.25"/>
    <row r="257099" s="12" customFormat="1" x14ac:dyDescent="0.25"/>
    <row r="257100" s="12" customFormat="1" x14ac:dyDescent="0.25"/>
    <row r="257101" s="12" customFormat="1" x14ac:dyDescent="0.25"/>
    <row r="257102" s="12" customFormat="1" x14ac:dyDescent="0.25"/>
    <row r="257103" s="12" customFormat="1" x14ac:dyDescent="0.25"/>
    <row r="257104" s="12" customFormat="1" x14ac:dyDescent="0.25"/>
    <row r="257105" s="12" customFormat="1" x14ac:dyDescent="0.25"/>
    <row r="257106" s="12" customFormat="1" x14ac:dyDescent="0.25"/>
    <row r="257107" s="12" customFormat="1" x14ac:dyDescent="0.25"/>
    <row r="257108" s="12" customFormat="1" x14ac:dyDescent="0.25"/>
    <row r="257109" s="12" customFormat="1" x14ac:dyDescent="0.25"/>
    <row r="257110" s="12" customFormat="1" x14ac:dyDescent="0.25"/>
    <row r="257111" s="12" customFormat="1" x14ac:dyDescent="0.25"/>
    <row r="257112" s="12" customFormat="1" x14ac:dyDescent="0.25"/>
    <row r="257113" s="12" customFormat="1" x14ac:dyDescent="0.25"/>
    <row r="257114" s="12" customFormat="1" x14ac:dyDescent="0.25"/>
    <row r="257115" s="12" customFormat="1" x14ac:dyDescent="0.25"/>
    <row r="257116" s="12" customFormat="1" x14ac:dyDescent="0.25"/>
    <row r="257117" s="12" customFormat="1" x14ac:dyDescent="0.25"/>
    <row r="257118" s="12" customFormat="1" x14ac:dyDescent="0.25"/>
    <row r="257119" s="12" customFormat="1" x14ac:dyDescent="0.25"/>
    <row r="257120" s="12" customFormat="1" x14ac:dyDescent="0.25"/>
    <row r="257121" s="12" customFormat="1" x14ac:dyDescent="0.25"/>
    <row r="257122" s="12" customFormat="1" x14ac:dyDescent="0.25"/>
    <row r="257123" s="12" customFormat="1" x14ac:dyDescent="0.25"/>
    <row r="257124" s="12" customFormat="1" x14ac:dyDescent="0.25"/>
    <row r="257125" s="12" customFormat="1" x14ac:dyDescent="0.25"/>
    <row r="257126" s="12" customFormat="1" x14ac:dyDescent="0.25"/>
    <row r="257127" s="12" customFormat="1" x14ac:dyDescent="0.25"/>
    <row r="257128" s="12" customFormat="1" x14ac:dyDescent="0.25"/>
    <row r="257129" s="12" customFormat="1" x14ac:dyDescent="0.25"/>
    <row r="257130" s="12" customFormat="1" x14ac:dyDescent="0.25"/>
    <row r="257131" s="12" customFormat="1" x14ac:dyDescent="0.25"/>
    <row r="257132" s="12" customFormat="1" x14ac:dyDescent="0.25"/>
    <row r="257133" s="12" customFormat="1" x14ac:dyDescent="0.25"/>
    <row r="257134" s="12" customFormat="1" x14ac:dyDescent="0.25"/>
    <row r="257135" s="12" customFormat="1" x14ac:dyDescent="0.25"/>
    <row r="257136" s="12" customFormat="1" x14ac:dyDescent="0.25"/>
    <row r="257137" s="12" customFormat="1" x14ac:dyDescent="0.25"/>
    <row r="257138" s="12" customFormat="1" x14ac:dyDescent="0.25"/>
    <row r="257139" s="12" customFormat="1" x14ac:dyDescent="0.25"/>
    <row r="257140" s="12" customFormat="1" x14ac:dyDescent="0.25"/>
    <row r="257141" s="12" customFormat="1" x14ac:dyDescent="0.25"/>
    <row r="257142" s="12" customFormat="1" x14ac:dyDescent="0.25"/>
    <row r="257143" s="12" customFormat="1" x14ac:dyDescent="0.25"/>
    <row r="257144" s="12" customFormat="1" x14ac:dyDescent="0.25"/>
    <row r="257145" s="12" customFormat="1" x14ac:dyDescent="0.25"/>
    <row r="257146" s="12" customFormat="1" x14ac:dyDescent="0.25"/>
    <row r="257147" s="12" customFormat="1" x14ac:dyDescent="0.25"/>
    <row r="257148" s="12" customFormat="1" x14ac:dyDescent="0.25"/>
    <row r="257149" s="12" customFormat="1" x14ac:dyDescent="0.25"/>
    <row r="257150" s="12" customFormat="1" x14ac:dyDescent="0.25"/>
    <row r="257151" s="12" customFormat="1" x14ac:dyDescent="0.25"/>
    <row r="257152" s="12" customFormat="1" x14ac:dyDescent="0.25"/>
    <row r="257153" s="12" customFormat="1" x14ac:dyDescent="0.25"/>
    <row r="257154" s="12" customFormat="1" x14ac:dyDescent="0.25"/>
    <row r="257155" s="12" customFormat="1" x14ac:dyDescent="0.25"/>
    <row r="257156" s="12" customFormat="1" x14ac:dyDescent="0.25"/>
    <row r="257157" s="12" customFormat="1" x14ac:dyDescent="0.25"/>
    <row r="257158" s="12" customFormat="1" x14ac:dyDescent="0.25"/>
    <row r="257159" s="12" customFormat="1" x14ac:dyDescent="0.25"/>
    <row r="257160" s="12" customFormat="1" x14ac:dyDescent="0.25"/>
    <row r="257161" s="12" customFormat="1" x14ac:dyDescent="0.25"/>
    <row r="257162" s="12" customFormat="1" x14ac:dyDescent="0.25"/>
    <row r="257163" s="12" customFormat="1" x14ac:dyDescent="0.25"/>
    <row r="257164" s="12" customFormat="1" x14ac:dyDescent="0.25"/>
    <row r="257165" s="12" customFormat="1" x14ac:dyDescent="0.25"/>
    <row r="257166" s="12" customFormat="1" x14ac:dyDescent="0.25"/>
    <row r="257167" s="12" customFormat="1" x14ac:dyDescent="0.25"/>
    <row r="257168" s="12" customFormat="1" x14ac:dyDescent="0.25"/>
    <row r="257169" s="12" customFormat="1" x14ac:dyDescent="0.25"/>
    <row r="257170" s="12" customFormat="1" x14ac:dyDescent="0.25"/>
    <row r="257171" s="12" customFormat="1" x14ac:dyDescent="0.25"/>
    <row r="257172" s="12" customFormat="1" x14ac:dyDescent="0.25"/>
    <row r="257173" s="12" customFormat="1" x14ac:dyDescent="0.25"/>
    <row r="257174" s="12" customFormat="1" x14ac:dyDescent="0.25"/>
    <row r="257175" s="12" customFormat="1" x14ac:dyDescent="0.25"/>
    <row r="257176" s="12" customFormat="1" x14ac:dyDescent="0.25"/>
    <row r="257177" s="12" customFormat="1" x14ac:dyDescent="0.25"/>
    <row r="257178" s="12" customFormat="1" x14ac:dyDescent="0.25"/>
    <row r="257179" s="12" customFormat="1" x14ac:dyDescent="0.25"/>
    <row r="257180" s="12" customFormat="1" x14ac:dyDescent="0.25"/>
    <row r="257181" s="12" customFormat="1" x14ac:dyDescent="0.25"/>
    <row r="257182" s="12" customFormat="1" x14ac:dyDescent="0.25"/>
    <row r="257183" s="12" customFormat="1" x14ac:dyDescent="0.25"/>
    <row r="257184" s="12" customFormat="1" x14ac:dyDescent="0.25"/>
    <row r="257185" s="12" customFormat="1" x14ac:dyDescent="0.25"/>
    <row r="257186" s="12" customFormat="1" x14ac:dyDescent="0.25"/>
    <row r="257187" s="12" customFormat="1" x14ac:dyDescent="0.25"/>
    <row r="257188" s="12" customFormat="1" x14ac:dyDescent="0.25"/>
    <row r="257189" s="12" customFormat="1" x14ac:dyDescent="0.25"/>
    <row r="257190" s="12" customFormat="1" x14ac:dyDescent="0.25"/>
    <row r="257191" s="12" customFormat="1" x14ac:dyDescent="0.25"/>
    <row r="257192" s="12" customFormat="1" x14ac:dyDescent="0.25"/>
    <row r="257193" s="12" customFormat="1" x14ac:dyDescent="0.25"/>
    <row r="257194" s="12" customFormat="1" x14ac:dyDescent="0.25"/>
    <row r="257195" s="12" customFormat="1" x14ac:dyDescent="0.25"/>
    <row r="257196" s="12" customFormat="1" x14ac:dyDescent="0.25"/>
    <row r="257197" s="12" customFormat="1" x14ac:dyDescent="0.25"/>
    <row r="257198" s="12" customFormat="1" x14ac:dyDescent="0.25"/>
    <row r="257199" s="12" customFormat="1" x14ac:dyDescent="0.25"/>
    <row r="257200" s="12" customFormat="1" x14ac:dyDescent="0.25"/>
    <row r="257201" s="12" customFormat="1" x14ac:dyDescent="0.25"/>
    <row r="257202" s="12" customFormat="1" x14ac:dyDescent="0.25"/>
    <row r="257203" s="12" customFormat="1" x14ac:dyDescent="0.25"/>
    <row r="257204" s="12" customFormat="1" x14ac:dyDescent="0.25"/>
    <row r="257205" s="12" customFormat="1" x14ac:dyDescent="0.25"/>
    <row r="257206" s="12" customFormat="1" x14ac:dyDescent="0.25"/>
    <row r="257207" s="12" customFormat="1" x14ac:dyDescent="0.25"/>
    <row r="257208" s="12" customFormat="1" x14ac:dyDescent="0.25"/>
    <row r="257209" s="12" customFormat="1" x14ac:dyDescent="0.25"/>
    <row r="257210" s="12" customFormat="1" x14ac:dyDescent="0.25"/>
    <row r="257211" s="12" customFormat="1" x14ac:dyDescent="0.25"/>
    <row r="257212" s="12" customFormat="1" x14ac:dyDescent="0.25"/>
    <row r="257213" s="12" customFormat="1" x14ac:dyDescent="0.25"/>
    <row r="257214" s="12" customFormat="1" x14ac:dyDescent="0.25"/>
    <row r="257215" s="12" customFormat="1" x14ac:dyDescent="0.25"/>
    <row r="257216" s="12" customFormat="1" x14ac:dyDescent="0.25"/>
    <row r="257217" s="12" customFormat="1" x14ac:dyDescent="0.25"/>
    <row r="257218" s="12" customFormat="1" x14ac:dyDescent="0.25"/>
    <row r="257219" s="12" customFormat="1" x14ac:dyDescent="0.25"/>
    <row r="257220" s="12" customFormat="1" x14ac:dyDescent="0.25"/>
    <row r="257221" s="12" customFormat="1" x14ac:dyDescent="0.25"/>
    <row r="257222" s="12" customFormat="1" x14ac:dyDescent="0.25"/>
    <row r="257223" s="12" customFormat="1" x14ac:dyDescent="0.25"/>
    <row r="257224" s="12" customFormat="1" x14ac:dyDescent="0.25"/>
    <row r="257225" s="12" customFormat="1" x14ac:dyDescent="0.25"/>
    <row r="257226" s="12" customFormat="1" x14ac:dyDescent="0.25"/>
    <row r="257227" s="12" customFormat="1" x14ac:dyDescent="0.25"/>
    <row r="257228" s="12" customFormat="1" x14ac:dyDescent="0.25"/>
    <row r="257229" s="12" customFormat="1" x14ac:dyDescent="0.25"/>
    <row r="257230" s="12" customFormat="1" x14ac:dyDescent="0.25"/>
    <row r="257231" s="12" customFormat="1" x14ac:dyDescent="0.25"/>
    <row r="257232" s="12" customFormat="1" x14ac:dyDescent="0.25"/>
    <row r="257233" s="12" customFormat="1" x14ac:dyDescent="0.25"/>
    <row r="257234" s="12" customFormat="1" x14ac:dyDescent="0.25"/>
    <row r="257235" s="12" customFormat="1" x14ac:dyDescent="0.25"/>
    <row r="257236" s="12" customFormat="1" x14ac:dyDescent="0.25"/>
    <row r="257237" s="12" customFormat="1" x14ac:dyDescent="0.25"/>
    <row r="257238" s="12" customFormat="1" x14ac:dyDescent="0.25"/>
    <row r="257239" s="12" customFormat="1" x14ac:dyDescent="0.25"/>
    <row r="257240" s="12" customFormat="1" x14ac:dyDescent="0.25"/>
    <row r="257241" s="12" customFormat="1" x14ac:dyDescent="0.25"/>
    <row r="257242" s="12" customFormat="1" x14ac:dyDescent="0.25"/>
    <row r="257243" s="12" customFormat="1" x14ac:dyDescent="0.25"/>
    <row r="257244" s="12" customFormat="1" x14ac:dyDescent="0.25"/>
    <row r="257245" s="12" customFormat="1" x14ac:dyDescent="0.25"/>
    <row r="257246" s="12" customFormat="1" x14ac:dyDescent="0.25"/>
    <row r="257247" s="12" customFormat="1" x14ac:dyDescent="0.25"/>
    <row r="257248" s="12" customFormat="1" x14ac:dyDescent="0.25"/>
    <row r="257249" s="12" customFormat="1" x14ac:dyDescent="0.25"/>
    <row r="257250" s="12" customFormat="1" x14ac:dyDescent="0.25"/>
    <row r="257251" s="12" customFormat="1" x14ac:dyDescent="0.25"/>
    <row r="257252" s="12" customFormat="1" x14ac:dyDescent="0.25"/>
    <row r="257253" s="12" customFormat="1" x14ac:dyDescent="0.25"/>
    <row r="257254" s="12" customFormat="1" x14ac:dyDescent="0.25"/>
    <row r="257255" s="12" customFormat="1" x14ac:dyDescent="0.25"/>
    <row r="257256" s="12" customFormat="1" x14ac:dyDescent="0.25"/>
    <row r="257257" s="12" customFormat="1" x14ac:dyDescent="0.25"/>
    <row r="257258" s="12" customFormat="1" x14ac:dyDescent="0.25"/>
    <row r="257259" s="12" customFormat="1" x14ac:dyDescent="0.25"/>
    <row r="257260" s="12" customFormat="1" x14ac:dyDescent="0.25"/>
    <row r="257261" s="12" customFormat="1" x14ac:dyDescent="0.25"/>
    <row r="257262" s="12" customFormat="1" x14ac:dyDescent="0.25"/>
    <row r="257263" s="12" customFormat="1" x14ac:dyDescent="0.25"/>
    <row r="257264" s="12" customFormat="1" x14ac:dyDescent="0.25"/>
    <row r="257265" s="12" customFormat="1" x14ac:dyDescent="0.25"/>
    <row r="257266" s="12" customFormat="1" x14ac:dyDescent="0.25"/>
    <row r="257267" s="12" customFormat="1" x14ac:dyDescent="0.25"/>
    <row r="257268" s="12" customFormat="1" x14ac:dyDescent="0.25"/>
    <row r="257269" s="12" customFormat="1" x14ac:dyDescent="0.25"/>
    <row r="257270" s="12" customFormat="1" x14ac:dyDescent="0.25"/>
    <row r="257271" s="12" customFormat="1" x14ac:dyDescent="0.25"/>
    <row r="257272" s="12" customFormat="1" x14ac:dyDescent="0.25"/>
    <row r="257273" s="12" customFormat="1" x14ac:dyDescent="0.25"/>
    <row r="257274" s="12" customFormat="1" x14ac:dyDescent="0.25"/>
    <row r="257275" s="12" customFormat="1" x14ac:dyDescent="0.25"/>
    <row r="257276" s="12" customFormat="1" x14ac:dyDescent="0.25"/>
    <row r="257277" s="12" customFormat="1" x14ac:dyDescent="0.25"/>
    <row r="257278" s="12" customFormat="1" x14ac:dyDescent="0.25"/>
    <row r="257279" s="12" customFormat="1" x14ac:dyDescent="0.25"/>
    <row r="257280" s="12" customFormat="1" x14ac:dyDescent="0.25"/>
    <row r="257281" s="12" customFormat="1" x14ac:dyDescent="0.25"/>
    <row r="257282" s="12" customFormat="1" x14ac:dyDescent="0.25"/>
    <row r="257283" s="12" customFormat="1" x14ac:dyDescent="0.25"/>
    <row r="257284" s="12" customFormat="1" x14ac:dyDescent="0.25"/>
    <row r="257285" s="12" customFormat="1" x14ac:dyDescent="0.25"/>
    <row r="257286" s="12" customFormat="1" x14ac:dyDescent="0.25"/>
    <row r="257287" s="12" customFormat="1" x14ac:dyDescent="0.25"/>
    <row r="257288" s="12" customFormat="1" x14ac:dyDescent="0.25"/>
    <row r="257289" s="12" customFormat="1" x14ac:dyDescent="0.25"/>
    <row r="257290" s="12" customFormat="1" x14ac:dyDescent="0.25"/>
    <row r="257291" s="12" customFormat="1" x14ac:dyDescent="0.25"/>
    <row r="257292" s="12" customFormat="1" x14ac:dyDescent="0.25"/>
    <row r="257293" s="12" customFormat="1" x14ac:dyDescent="0.25"/>
    <row r="257294" s="12" customFormat="1" x14ac:dyDescent="0.25"/>
    <row r="257295" s="12" customFormat="1" x14ac:dyDescent="0.25"/>
    <row r="257296" s="12" customFormat="1" x14ac:dyDescent="0.25"/>
    <row r="257297" s="12" customFormat="1" x14ac:dyDescent="0.25"/>
    <row r="257298" s="12" customFormat="1" x14ac:dyDescent="0.25"/>
    <row r="257299" s="12" customFormat="1" x14ac:dyDescent="0.25"/>
    <row r="257300" s="12" customFormat="1" x14ac:dyDescent="0.25"/>
    <row r="257301" s="12" customFormat="1" x14ac:dyDescent="0.25"/>
    <row r="257302" s="12" customFormat="1" x14ac:dyDescent="0.25"/>
    <row r="257303" s="12" customFormat="1" x14ac:dyDescent="0.25"/>
    <row r="257304" s="12" customFormat="1" x14ac:dyDescent="0.25"/>
    <row r="257305" s="12" customFormat="1" x14ac:dyDescent="0.25"/>
    <row r="257306" s="12" customFormat="1" x14ac:dyDescent="0.25"/>
    <row r="257307" s="12" customFormat="1" x14ac:dyDescent="0.25"/>
    <row r="257308" s="12" customFormat="1" x14ac:dyDescent="0.25"/>
    <row r="257309" s="12" customFormat="1" x14ac:dyDescent="0.25"/>
    <row r="257310" s="12" customFormat="1" x14ac:dyDescent="0.25"/>
    <row r="257311" s="12" customFormat="1" x14ac:dyDescent="0.25"/>
    <row r="257312" s="12" customFormat="1" x14ac:dyDescent="0.25"/>
    <row r="257313" s="12" customFormat="1" x14ac:dyDescent="0.25"/>
    <row r="257314" s="12" customFormat="1" x14ac:dyDescent="0.25"/>
    <row r="257315" s="12" customFormat="1" x14ac:dyDescent="0.25"/>
    <row r="257316" s="12" customFormat="1" x14ac:dyDescent="0.25"/>
    <row r="257317" s="12" customFormat="1" x14ac:dyDescent="0.25"/>
    <row r="257318" s="12" customFormat="1" x14ac:dyDescent="0.25"/>
    <row r="257319" s="12" customFormat="1" x14ac:dyDescent="0.25"/>
    <row r="257320" s="12" customFormat="1" x14ac:dyDescent="0.25"/>
    <row r="257321" s="12" customFormat="1" x14ac:dyDescent="0.25"/>
    <row r="257322" s="12" customFormat="1" x14ac:dyDescent="0.25"/>
    <row r="257323" s="12" customFormat="1" x14ac:dyDescent="0.25"/>
    <row r="257324" s="12" customFormat="1" x14ac:dyDescent="0.25"/>
    <row r="257325" s="12" customFormat="1" x14ac:dyDescent="0.25"/>
    <row r="257326" s="12" customFormat="1" x14ac:dyDescent="0.25"/>
    <row r="257327" s="12" customFormat="1" x14ac:dyDescent="0.25"/>
    <row r="257328" s="12" customFormat="1" x14ac:dyDescent="0.25"/>
    <row r="257329" s="12" customFormat="1" x14ac:dyDescent="0.25"/>
    <row r="257330" s="12" customFormat="1" x14ac:dyDescent="0.25"/>
    <row r="257331" s="12" customFormat="1" x14ac:dyDescent="0.25"/>
    <row r="257332" s="12" customFormat="1" x14ac:dyDescent="0.25"/>
    <row r="257333" s="12" customFormat="1" x14ac:dyDescent="0.25"/>
    <row r="257334" s="12" customFormat="1" x14ac:dyDescent="0.25"/>
    <row r="257335" s="12" customFormat="1" x14ac:dyDescent="0.25"/>
    <row r="257336" s="12" customFormat="1" x14ac:dyDescent="0.25"/>
    <row r="257337" s="12" customFormat="1" x14ac:dyDescent="0.25"/>
    <row r="257338" s="12" customFormat="1" x14ac:dyDescent="0.25"/>
    <row r="257339" s="12" customFormat="1" x14ac:dyDescent="0.25"/>
    <row r="257340" s="12" customFormat="1" x14ac:dyDescent="0.25"/>
    <row r="257341" s="12" customFormat="1" x14ac:dyDescent="0.25"/>
    <row r="257342" s="12" customFormat="1" x14ac:dyDescent="0.25"/>
    <row r="257343" s="12" customFormat="1" x14ac:dyDescent="0.25"/>
    <row r="257344" s="12" customFormat="1" x14ac:dyDescent="0.25"/>
    <row r="257345" s="12" customFormat="1" x14ac:dyDescent="0.25"/>
    <row r="257346" s="12" customFormat="1" x14ac:dyDescent="0.25"/>
    <row r="257347" s="12" customFormat="1" x14ac:dyDescent="0.25"/>
    <row r="257348" s="12" customFormat="1" x14ac:dyDescent="0.25"/>
    <row r="257349" s="12" customFormat="1" x14ac:dyDescent="0.25"/>
    <row r="257350" s="12" customFormat="1" x14ac:dyDescent="0.25"/>
    <row r="257351" s="12" customFormat="1" x14ac:dyDescent="0.25"/>
    <row r="257352" s="12" customFormat="1" x14ac:dyDescent="0.25"/>
    <row r="257353" s="12" customFormat="1" x14ac:dyDescent="0.25"/>
    <row r="257354" s="12" customFormat="1" x14ac:dyDescent="0.25"/>
    <row r="257355" s="12" customFormat="1" x14ac:dyDescent="0.25"/>
    <row r="257356" s="12" customFormat="1" x14ac:dyDescent="0.25"/>
    <row r="257357" s="12" customFormat="1" x14ac:dyDescent="0.25"/>
    <row r="257358" s="12" customFormat="1" x14ac:dyDescent="0.25"/>
    <row r="257359" s="12" customFormat="1" x14ac:dyDescent="0.25"/>
    <row r="257360" s="12" customFormat="1" x14ac:dyDescent="0.25"/>
    <row r="257361" s="12" customFormat="1" x14ac:dyDescent="0.25"/>
    <row r="257362" s="12" customFormat="1" x14ac:dyDescent="0.25"/>
    <row r="257363" s="12" customFormat="1" x14ac:dyDescent="0.25"/>
    <row r="257364" s="12" customFormat="1" x14ac:dyDescent="0.25"/>
    <row r="257365" s="12" customFormat="1" x14ac:dyDescent="0.25"/>
    <row r="257366" s="12" customFormat="1" x14ac:dyDescent="0.25"/>
    <row r="257367" s="12" customFormat="1" x14ac:dyDescent="0.25"/>
    <row r="257368" s="12" customFormat="1" x14ac:dyDescent="0.25"/>
    <row r="257369" s="12" customFormat="1" x14ac:dyDescent="0.25"/>
    <row r="257370" s="12" customFormat="1" x14ac:dyDescent="0.25"/>
    <row r="257371" s="12" customFormat="1" x14ac:dyDescent="0.25"/>
    <row r="257372" s="12" customFormat="1" x14ac:dyDescent="0.25"/>
    <row r="257373" s="12" customFormat="1" x14ac:dyDescent="0.25"/>
    <row r="257374" s="12" customFormat="1" x14ac:dyDescent="0.25"/>
    <row r="257375" s="12" customFormat="1" x14ac:dyDescent="0.25"/>
    <row r="257376" s="12" customFormat="1" x14ac:dyDescent="0.25"/>
    <row r="257377" s="12" customFormat="1" x14ac:dyDescent="0.25"/>
    <row r="257378" s="12" customFormat="1" x14ac:dyDescent="0.25"/>
    <row r="257379" s="12" customFormat="1" x14ac:dyDescent="0.25"/>
    <row r="257380" s="12" customFormat="1" x14ac:dyDescent="0.25"/>
    <row r="257381" s="12" customFormat="1" x14ac:dyDescent="0.25"/>
    <row r="257382" s="12" customFormat="1" x14ac:dyDescent="0.25"/>
    <row r="257383" s="12" customFormat="1" x14ac:dyDescent="0.25"/>
    <row r="257384" s="12" customFormat="1" x14ac:dyDescent="0.25"/>
    <row r="257385" s="12" customFormat="1" x14ac:dyDescent="0.25"/>
    <row r="257386" s="12" customFormat="1" x14ac:dyDescent="0.25"/>
    <row r="257387" s="12" customFormat="1" x14ac:dyDescent="0.25"/>
    <row r="257388" s="12" customFormat="1" x14ac:dyDescent="0.25"/>
    <row r="257389" s="12" customFormat="1" x14ac:dyDescent="0.25"/>
    <row r="257390" s="12" customFormat="1" x14ac:dyDescent="0.25"/>
    <row r="257391" s="12" customFormat="1" x14ac:dyDescent="0.25"/>
    <row r="257392" s="12" customFormat="1" x14ac:dyDescent="0.25"/>
    <row r="257393" s="12" customFormat="1" x14ac:dyDescent="0.25"/>
    <row r="257394" s="12" customFormat="1" x14ac:dyDescent="0.25"/>
    <row r="257395" s="12" customFormat="1" x14ac:dyDescent="0.25"/>
    <row r="257396" s="12" customFormat="1" x14ac:dyDescent="0.25"/>
    <row r="257397" s="12" customFormat="1" x14ac:dyDescent="0.25"/>
    <row r="257398" s="12" customFormat="1" x14ac:dyDescent="0.25"/>
    <row r="257399" s="12" customFormat="1" x14ac:dyDescent="0.25"/>
    <row r="257400" s="12" customFormat="1" x14ac:dyDescent="0.25"/>
    <row r="257401" s="12" customFormat="1" x14ac:dyDescent="0.25"/>
    <row r="257402" s="12" customFormat="1" x14ac:dyDescent="0.25"/>
    <row r="257403" s="12" customFormat="1" x14ac:dyDescent="0.25"/>
    <row r="257404" s="12" customFormat="1" x14ac:dyDescent="0.25"/>
    <row r="257405" s="12" customFormat="1" x14ac:dyDescent="0.25"/>
    <row r="257406" s="12" customFormat="1" x14ac:dyDescent="0.25"/>
    <row r="257407" s="12" customFormat="1" x14ac:dyDescent="0.25"/>
    <row r="257408" s="12" customFormat="1" x14ac:dyDescent="0.25"/>
    <row r="257409" s="12" customFormat="1" x14ac:dyDescent="0.25"/>
    <row r="257410" s="12" customFormat="1" x14ac:dyDescent="0.25"/>
    <row r="257411" s="12" customFormat="1" x14ac:dyDescent="0.25"/>
    <row r="257412" s="12" customFormat="1" x14ac:dyDescent="0.25"/>
    <row r="257413" s="12" customFormat="1" x14ac:dyDescent="0.25"/>
    <row r="257414" s="12" customFormat="1" x14ac:dyDescent="0.25"/>
    <row r="257415" s="12" customFormat="1" x14ac:dyDescent="0.25"/>
    <row r="257416" s="12" customFormat="1" x14ac:dyDescent="0.25"/>
    <row r="257417" s="12" customFormat="1" x14ac:dyDescent="0.25"/>
    <row r="257418" s="12" customFormat="1" x14ac:dyDescent="0.25"/>
    <row r="257419" s="12" customFormat="1" x14ac:dyDescent="0.25"/>
    <row r="257420" s="12" customFormat="1" x14ac:dyDescent="0.25"/>
    <row r="257421" s="12" customFormat="1" x14ac:dyDescent="0.25"/>
    <row r="257422" s="12" customFormat="1" x14ac:dyDescent="0.25"/>
    <row r="257423" s="12" customFormat="1" x14ac:dyDescent="0.25"/>
    <row r="257424" s="12" customFormat="1" x14ac:dyDescent="0.25"/>
    <row r="257425" s="12" customFormat="1" x14ac:dyDescent="0.25"/>
    <row r="257426" s="12" customFormat="1" x14ac:dyDescent="0.25"/>
    <row r="257427" s="12" customFormat="1" x14ac:dyDescent="0.25"/>
    <row r="257428" s="12" customFormat="1" x14ac:dyDescent="0.25"/>
    <row r="257429" s="12" customFormat="1" x14ac:dyDescent="0.25"/>
    <row r="257430" s="12" customFormat="1" x14ac:dyDescent="0.25"/>
    <row r="257431" s="12" customFormat="1" x14ac:dyDescent="0.25"/>
    <row r="257432" s="12" customFormat="1" x14ac:dyDescent="0.25"/>
    <row r="257433" s="12" customFormat="1" x14ac:dyDescent="0.25"/>
    <row r="257434" s="12" customFormat="1" x14ac:dyDescent="0.25"/>
    <row r="257435" s="12" customFormat="1" x14ac:dyDescent="0.25"/>
    <row r="257436" s="12" customFormat="1" x14ac:dyDescent="0.25"/>
    <row r="257437" s="12" customFormat="1" x14ac:dyDescent="0.25"/>
    <row r="257438" s="12" customFormat="1" x14ac:dyDescent="0.25"/>
    <row r="257439" s="12" customFormat="1" x14ac:dyDescent="0.25"/>
    <row r="257440" s="12" customFormat="1" x14ac:dyDescent="0.25"/>
    <row r="257441" s="12" customFormat="1" x14ac:dyDescent="0.25"/>
    <row r="257442" s="12" customFormat="1" x14ac:dyDescent="0.25"/>
    <row r="257443" s="12" customFormat="1" x14ac:dyDescent="0.25"/>
    <row r="257444" s="12" customFormat="1" x14ac:dyDescent="0.25"/>
    <row r="257445" s="12" customFormat="1" x14ac:dyDescent="0.25"/>
    <row r="257446" s="12" customFormat="1" x14ac:dyDescent="0.25"/>
    <row r="257447" s="12" customFormat="1" x14ac:dyDescent="0.25"/>
    <row r="257448" s="12" customFormat="1" x14ac:dyDescent="0.25"/>
    <row r="257449" s="12" customFormat="1" x14ac:dyDescent="0.25"/>
    <row r="257450" s="12" customFormat="1" x14ac:dyDescent="0.25"/>
    <row r="257451" s="12" customFormat="1" x14ac:dyDescent="0.25"/>
    <row r="257452" s="12" customFormat="1" x14ac:dyDescent="0.25"/>
    <row r="257453" s="12" customFormat="1" x14ac:dyDescent="0.25"/>
    <row r="257454" s="12" customFormat="1" x14ac:dyDescent="0.25"/>
    <row r="257455" s="12" customFormat="1" x14ac:dyDescent="0.25"/>
    <row r="257456" s="12" customFormat="1" x14ac:dyDescent="0.25"/>
    <row r="257457" s="12" customFormat="1" x14ac:dyDescent="0.25"/>
    <row r="257458" s="12" customFormat="1" x14ac:dyDescent="0.25"/>
    <row r="257459" s="12" customFormat="1" x14ac:dyDescent="0.25"/>
    <row r="257460" s="12" customFormat="1" x14ac:dyDescent="0.25"/>
    <row r="257461" s="12" customFormat="1" x14ac:dyDescent="0.25"/>
    <row r="257462" s="12" customFormat="1" x14ac:dyDescent="0.25"/>
    <row r="257463" s="12" customFormat="1" x14ac:dyDescent="0.25"/>
    <row r="257464" s="12" customFormat="1" x14ac:dyDescent="0.25"/>
    <row r="257465" s="12" customFormat="1" x14ac:dyDescent="0.25"/>
    <row r="257466" s="12" customFormat="1" x14ac:dyDescent="0.25"/>
    <row r="257467" s="12" customFormat="1" x14ac:dyDescent="0.25"/>
    <row r="257468" s="12" customFormat="1" x14ac:dyDescent="0.25"/>
    <row r="257469" s="12" customFormat="1" x14ac:dyDescent="0.25"/>
    <row r="257470" s="12" customFormat="1" x14ac:dyDescent="0.25"/>
    <row r="257471" s="12" customFormat="1" x14ac:dyDescent="0.25"/>
    <row r="257472" s="12" customFormat="1" x14ac:dyDescent="0.25"/>
    <row r="257473" s="12" customFormat="1" x14ac:dyDescent="0.25"/>
    <row r="257474" s="12" customFormat="1" x14ac:dyDescent="0.25"/>
    <row r="257475" s="12" customFormat="1" x14ac:dyDescent="0.25"/>
    <row r="257476" s="12" customFormat="1" x14ac:dyDescent="0.25"/>
    <row r="257477" s="12" customFormat="1" x14ac:dyDescent="0.25"/>
    <row r="257478" s="12" customFormat="1" x14ac:dyDescent="0.25"/>
    <row r="257479" s="12" customFormat="1" x14ac:dyDescent="0.25"/>
    <row r="257480" s="12" customFormat="1" x14ac:dyDescent="0.25"/>
    <row r="257481" s="12" customFormat="1" x14ac:dyDescent="0.25"/>
    <row r="257482" s="12" customFormat="1" x14ac:dyDescent="0.25"/>
    <row r="257483" s="12" customFormat="1" x14ac:dyDescent="0.25"/>
    <row r="257484" s="12" customFormat="1" x14ac:dyDescent="0.25"/>
    <row r="257485" s="12" customFormat="1" x14ac:dyDescent="0.25"/>
    <row r="257486" s="12" customFormat="1" x14ac:dyDescent="0.25"/>
    <row r="257487" s="12" customFormat="1" x14ac:dyDescent="0.25"/>
    <row r="257488" s="12" customFormat="1" x14ac:dyDescent="0.25"/>
    <row r="257489" s="12" customFormat="1" x14ac:dyDescent="0.25"/>
    <row r="257490" s="12" customFormat="1" x14ac:dyDescent="0.25"/>
    <row r="257491" s="12" customFormat="1" x14ac:dyDescent="0.25"/>
    <row r="257492" s="12" customFormat="1" x14ac:dyDescent="0.25"/>
    <row r="257493" s="12" customFormat="1" x14ac:dyDescent="0.25"/>
    <row r="257494" s="12" customFormat="1" x14ac:dyDescent="0.25"/>
    <row r="257495" s="12" customFormat="1" x14ac:dyDescent="0.25"/>
    <row r="257496" s="12" customFormat="1" x14ac:dyDescent="0.25"/>
    <row r="257497" s="12" customFormat="1" x14ac:dyDescent="0.25"/>
    <row r="257498" s="12" customFormat="1" x14ac:dyDescent="0.25"/>
    <row r="257499" s="12" customFormat="1" x14ac:dyDescent="0.25"/>
    <row r="257500" s="12" customFormat="1" x14ac:dyDescent="0.25"/>
    <row r="257501" s="12" customFormat="1" x14ac:dyDescent="0.25"/>
    <row r="257502" s="12" customFormat="1" x14ac:dyDescent="0.25"/>
    <row r="257503" s="12" customFormat="1" x14ac:dyDescent="0.25"/>
    <row r="257504" s="12" customFormat="1" x14ac:dyDescent="0.25"/>
    <row r="257505" s="12" customFormat="1" x14ac:dyDescent="0.25"/>
    <row r="257506" s="12" customFormat="1" x14ac:dyDescent="0.25"/>
    <row r="257507" s="12" customFormat="1" x14ac:dyDescent="0.25"/>
    <row r="257508" s="12" customFormat="1" x14ac:dyDescent="0.25"/>
    <row r="257509" s="12" customFormat="1" x14ac:dyDescent="0.25"/>
    <row r="257510" s="12" customFormat="1" x14ac:dyDescent="0.25"/>
    <row r="257511" s="12" customFormat="1" x14ac:dyDescent="0.25"/>
    <row r="257512" s="12" customFormat="1" x14ac:dyDescent="0.25"/>
    <row r="257513" s="12" customFormat="1" x14ac:dyDescent="0.25"/>
    <row r="257514" s="12" customFormat="1" x14ac:dyDescent="0.25"/>
    <row r="257515" s="12" customFormat="1" x14ac:dyDescent="0.25"/>
    <row r="257516" s="12" customFormat="1" x14ac:dyDescent="0.25"/>
    <row r="257517" s="12" customFormat="1" x14ac:dyDescent="0.25"/>
    <row r="257518" s="12" customFormat="1" x14ac:dyDescent="0.25"/>
    <row r="257519" s="12" customFormat="1" x14ac:dyDescent="0.25"/>
    <row r="257520" s="12" customFormat="1" x14ac:dyDescent="0.25"/>
    <row r="257521" s="12" customFormat="1" x14ac:dyDescent="0.25"/>
    <row r="257522" s="12" customFormat="1" x14ac:dyDescent="0.25"/>
    <row r="257523" s="12" customFormat="1" x14ac:dyDescent="0.25"/>
    <row r="257524" s="12" customFormat="1" x14ac:dyDescent="0.25"/>
    <row r="257525" s="12" customFormat="1" x14ac:dyDescent="0.25"/>
    <row r="257526" s="12" customFormat="1" x14ac:dyDescent="0.25"/>
    <row r="257527" s="12" customFormat="1" x14ac:dyDescent="0.25"/>
    <row r="257528" s="12" customFormat="1" x14ac:dyDescent="0.25"/>
    <row r="257529" s="12" customFormat="1" x14ac:dyDescent="0.25"/>
    <row r="257530" s="12" customFormat="1" x14ac:dyDescent="0.25"/>
    <row r="257531" s="12" customFormat="1" x14ac:dyDescent="0.25"/>
    <row r="257532" s="12" customFormat="1" x14ac:dyDescent="0.25"/>
    <row r="257533" s="12" customFormat="1" x14ac:dyDescent="0.25"/>
    <row r="257534" s="12" customFormat="1" x14ac:dyDescent="0.25"/>
    <row r="257535" s="12" customFormat="1" x14ac:dyDescent="0.25"/>
    <row r="257536" s="12" customFormat="1" x14ac:dyDescent="0.25"/>
    <row r="257537" s="12" customFormat="1" x14ac:dyDescent="0.25"/>
    <row r="257538" s="12" customFormat="1" x14ac:dyDescent="0.25"/>
    <row r="257539" s="12" customFormat="1" x14ac:dyDescent="0.25"/>
    <row r="257540" s="12" customFormat="1" x14ac:dyDescent="0.25"/>
    <row r="257541" s="12" customFormat="1" x14ac:dyDescent="0.25"/>
    <row r="257542" s="12" customFormat="1" x14ac:dyDescent="0.25"/>
    <row r="257543" s="12" customFormat="1" x14ac:dyDescent="0.25"/>
    <row r="257544" s="12" customFormat="1" x14ac:dyDescent="0.25"/>
    <row r="257545" s="12" customFormat="1" x14ac:dyDescent="0.25"/>
    <row r="257546" s="12" customFormat="1" x14ac:dyDescent="0.25"/>
    <row r="257547" s="12" customFormat="1" x14ac:dyDescent="0.25"/>
    <row r="257548" s="12" customFormat="1" x14ac:dyDescent="0.25"/>
    <row r="257549" s="12" customFormat="1" x14ac:dyDescent="0.25"/>
    <row r="257550" s="12" customFormat="1" x14ac:dyDescent="0.25"/>
    <row r="257551" s="12" customFormat="1" x14ac:dyDescent="0.25"/>
    <row r="257552" s="12" customFormat="1" x14ac:dyDescent="0.25"/>
    <row r="257553" s="12" customFormat="1" x14ac:dyDescent="0.25"/>
    <row r="257554" s="12" customFormat="1" x14ac:dyDescent="0.25"/>
    <row r="257555" s="12" customFormat="1" x14ac:dyDescent="0.25"/>
    <row r="257556" s="12" customFormat="1" x14ac:dyDescent="0.25"/>
    <row r="257557" s="12" customFormat="1" x14ac:dyDescent="0.25"/>
    <row r="257558" s="12" customFormat="1" x14ac:dyDescent="0.25"/>
    <row r="257559" s="12" customFormat="1" x14ac:dyDescent="0.25"/>
    <row r="257560" s="12" customFormat="1" x14ac:dyDescent="0.25"/>
    <row r="257561" s="12" customFormat="1" x14ac:dyDescent="0.25"/>
    <row r="257562" s="12" customFormat="1" x14ac:dyDescent="0.25"/>
    <row r="257563" s="12" customFormat="1" x14ac:dyDescent="0.25"/>
    <row r="257564" s="12" customFormat="1" x14ac:dyDescent="0.25"/>
    <row r="257565" s="12" customFormat="1" x14ac:dyDescent="0.25"/>
    <row r="257566" s="12" customFormat="1" x14ac:dyDescent="0.25"/>
    <row r="257567" s="12" customFormat="1" x14ac:dyDescent="0.25"/>
    <row r="257568" s="12" customFormat="1" x14ac:dyDescent="0.25"/>
    <row r="257569" s="12" customFormat="1" x14ac:dyDescent="0.25"/>
    <row r="257570" s="12" customFormat="1" x14ac:dyDescent="0.25"/>
    <row r="257571" s="12" customFormat="1" x14ac:dyDescent="0.25"/>
    <row r="257572" s="12" customFormat="1" x14ac:dyDescent="0.25"/>
    <row r="257573" s="12" customFormat="1" x14ac:dyDescent="0.25"/>
    <row r="257574" s="12" customFormat="1" x14ac:dyDescent="0.25"/>
    <row r="257575" s="12" customFormat="1" x14ac:dyDescent="0.25"/>
    <row r="257576" s="12" customFormat="1" x14ac:dyDescent="0.25"/>
    <row r="257577" s="12" customFormat="1" x14ac:dyDescent="0.25"/>
    <row r="257578" s="12" customFormat="1" x14ac:dyDescent="0.25"/>
    <row r="257579" s="12" customFormat="1" x14ac:dyDescent="0.25"/>
    <row r="257580" s="12" customFormat="1" x14ac:dyDescent="0.25"/>
    <row r="257581" s="12" customFormat="1" x14ac:dyDescent="0.25"/>
    <row r="257582" s="12" customFormat="1" x14ac:dyDescent="0.25"/>
    <row r="257583" s="12" customFormat="1" x14ac:dyDescent="0.25"/>
    <row r="257584" s="12" customFormat="1" x14ac:dyDescent="0.25"/>
    <row r="257585" s="12" customFormat="1" x14ac:dyDescent="0.25"/>
    <row r="257586" s="12" customFormat="1" x14ac:dyDescent="0.25"/>
    <row r="257587" s="12" customFormat="1" x14ac:dyDescent="0.25"/>
    <row r="257588" s="12" customFormat="1" x14ac:dyDescent="0.25"/>
    <row r="257589" s="12" customFormat="1" x14ac:dyDescent="0.25"/>
    <row r="257590" s="12" customFormat="1" x14ac:dyDescent="0.25"/>
    <row r="257591" s="12" customFormat="1" x14ac:dyDescent="0.25"/>
    <row r="257592" s="12" customFormat="1" x14ac:dyDescent="0.25"/>
    <row r="257593" s="12" customFormat="1" x14ac:dyDescent="0.25"/>
    <row r="257594" s="12" customFormat="1" x14ac:dyDescent="0.25"/>
    <row r="257595" s="12" customFormat="1" x14ac:dyDescent="0.25"/>
    <row r="257596" s="12" customFormat="1" x14ac:dyDescent="0.25"/>
    <row r="257597" s="12" customFormat="1" x14ac:dyDescent="0.25"/>
    <row r="257598" s="12" customFormat="1" x14ac:dyDescent="0.25"/>
    <row r="257599" s="12" customFormat="1" x14ac:dyDescent="0.25"/>
    <row r="257600" s="12" customFormat="1" x14ac:dyDescent="0.25"/>
    <row r="257601" s="12" customFormat="1" x14ac:dyDescent="0.25"/>
    <row r="257602" s="12" customFormat="1" x14ac:dyDescent="0.25"/>
    <row r="257603" s="12" customFormat="1" x14ac:dyDescent="0.25"/>
    <row r="257604" s="12" customFormat="1" x14ac:dyDescent="0.25"/>
    <row r="257605" s="12" customFormat="1" x14ac:dyDescent="0.25"/>
    <row r="257606" s="12" customFormat="1" x14ac:dyDescent="0.25"/>
    <row r="257607" s="12" customFormat="1" x14ac:dyDescent="0.25"/>
    <row r="257608" s="12" customFormat="1" x14ac:dyDescent="0.25"/>
    <row r="257609" s="12" customFormat="1" x14ac:dyDescent="0.25"/>
    <row r="257610" s="12" customFormat="1" x14ac:dyDescent="0.25"/>
    <row r="257611" s="12" customFormat="1" x14ac:dyDescent="0.25"/>
    <row r="257612" s="12" customFormat="1" x14ac:dyDescent="0.25"/>
    <row r="257613" s="12" customFormat="1" x14ac:dyDescent="0.25"/>
    <row r="257614" s="12" customFormat="1" x14ac:dyDescent="0.25"/>
    <row r="257615" s="12" customFormat="1" x14ac:dyDescent="0.25"/>
    <row r="257616" s="12" customFormat="1" x14ac:dyDescent="0.25"/>
    <row r="257617" s="12" customFormat="1" x14ac:dyDescent="0.25"/>
    <row r="257618" s="12" customFormat="1" x14ac:dyDescent="0.25"/>
    <row r="257619" s="12" customFormat="1" x14ac:dyDescent="0.25"/>
    <row r="257620" s="12" customFormat="1" x14ac:dyDescent="0.25"/>
    <row r="257621" s="12" customFormat="1" x14ac:dyDescent="0.25"/>
    <row r="257622" s="12" customFormat="1" x14ac:dyDescent="0.25"/>
    <row r="257623" s="12" customFormat="1" x14ac:dyDescent="0.25"/>
    <row r="257624" s="12" customFormat="1" x14ac:dyDescent="0.25"/>
    <row r="257625" s="12" customFormat="1" x14ac:dyDescent="0.25"/>
    <row r="257626" s="12" customFormat="1" x14ac:dyDescent="0.25"/>
    <row r="257627" s="12" customFormat="1" x14ac:dyDescent="0.25"/>
    <row r="257628" s="12" customFormat="1" x14ac:dyDescent="0.25"/>
    <row r="257629" s="12" customFormat="1" x14ac:dyDescent="0.25"/>
    <row r="257630" s="12" customFormat="1" x14ac:dyDescent="0.25"/>
    <row r="257631" s="12" customFormat="1" x14ac:dyDescent="0.25"/>
    <row r="257632" s="12" customFormat="1" x14ac:dyDescent="0.25"/>
    <row r="257633" s="12" customFormat="1" x14ac:dyDescent="0.25"/>
    <row r="257634" s="12" customFormat="1" x14ac:dyDescent="0.25"/>
    <row r="257635" s="12" customFormat="1" x14ac:dyDescent="0.25"/>
    <row r="257636" s="12" customFormat="1" x14ac:dyDescent="0.25"/>
    <row r="257637" s="12" customFormat="1" x14ac:dyDescent="0.25"/>
    <row r="257638" s="12" customFormat="1" x14ac:dyDescent="0.25"/>
    <row r="257639" s="12" customFormat="1" x14ac:dyDescent="0.25"/>
    <row r="257640" s="12" customFormat="1" x14ac:dyDescent="0.25"/>
    <row r="257641" s="12" customFormat="1" x14ac:dyDescent="0.25"/>
    <row r="257642" s="12" customFormat="1" x14ac:dyDescent="0.25"/>
    <row r="257643" s="12" customFormat="1" x14ac:dyDescent="0.25"/>
    <row r="257644" s="12" customFormat="1" x14ac:dyDescent="0.25"/>
    <row r="257645" s="12" customFormat="1" x14ac:dyDescent="0.25"/>
    <row r="257646" s="12" customFormat="1" x14ac:dyDescent="0.25"/>
    <row r="257647" s="12" customFormat="1" x14ac:dyDescent="0.25"/>
    <row r="257648" s="12" customFormat="1" x14ac:dyDescent="0.25"/>
    <row r="257649" s="12" customFormat="1" x14ac:dyDescent="0.25"/>
    <row r="257650" s="12" customFormat="1" x14ac:dyDescent="0.25"/>
    <row r="257651" s="12" customFormat="1" x14ac:dyDescent="0.25"/>
    <row r="257652" s="12" customFormat="1" x14ac:dyDescent="0.25"/>
    <row r="257653" s="12" customFormat="1" x14ac:dyDescent="0.25"/>
    <row r="257654" s="12" customFormat="1" x14ac:dyDescent="0.25"/>
    <row r="257655" s="12" customFormat="1" x14ac:dyDescent="0.25"/>
    <row r="257656" s="12" customFormat="1" x14ac:dyDescent="0.25"/>
    <row r="257657" s="12" customFormat="1" x14ac:dyDescent="0.25"/>
    <row r="257658" s="12" customFormat="1" x14ac:dyDescent="0.25"/>
    <row r="257659" s="12" customFormat="1" x14ac:dyDescent="0.25"/>
    <row r="257660" s="12" customFormat="1" x14ac:dyDescent="0.25"/>
    <row r="257661" s="12" customFormat="1" x14ac:dyDescent="0.25"/>
    <row r="257662" s="12" customFormat="1" x14ac:dyDescent="0.25"/>
    <row r="257663" s="12" customFormat="1" x14ac:dyDescent="0.25"/>
    <row r="257664" s="12" customFormat="1" x14ac:dyDescent="0.25"/>
    <row r="257665" s="12" customFormat="1" x14ac:dyDescent="0.25"/>
    <row r="257666" s="12" customFormat="1" x14ac:dyDescent="0.25"/>
    <row r="257667" s="12" customFormat="1" x14ac:dyDescent="0.25"/>
    <row r="257668" s="12" customFormat="1" x14ac:dyDescent="0.25"/>
    <row r="257669" s="12" customFormat="1" x14ac:dyDescent="0.25"/>
    <row r="257670" s="12" customFormat="1" x14ac:dyDescent="0.25"/>
    <row r="257671" s="12" customFormat="1" x14ac:dyDescent="0.25"/>
    <row r="257672" s="12" customFormat="1" x14ac:dyDescent="0.25"/>
    <row r="257673" s="12" customFormat="1" x14ac:dyDescent="0.25"/>
    <row r="257674" s="12" customFormat="1" x14ac:dyDescent="0.25"/>
    <row r="257675" s="12" customFormat="1" x14ac:dyDescent="0.25"/>
    <row r="257676" s="12" customFormat="1" x14ac:dyDescent="0.25"/>
    <row r="257677" s="12" customFormat="1" x14ac:dyDescent="0.25"/>
    <row r="257678" s="12" customFormat="1" x14ac:dyDescent="0.25"/>
    <row r="257679" s="12" customFormat="1" x14ac:dyDescent="0.25"/>
    <row r="257680" s="12" customFormat="1" x14ac:dyDescent="0.25"/>
    <row r="257681" s="12" customFormat="1" x14ac:dyDescent="0.25"/>
    <row r="257682" s="12" customFormat="1" x14ac:dyDescent="0.25"/>
    <row r="257683" s="12" customFormat="1" x14ac:dyDescent="0.25"/>
    <row r="257684" s="12" customFormat="1" x14ac:dyDescent="0.25"/>
    <row r="257685" s="12" customFormat="1" x14ac:dyDescent="0.25"/>
    <row r="257686" s="12" customFormat="1" x14ac:dyDescent="0.25"/>
    <row r="257687" s="12" customFormat="1" x14ac:dyDescent="0.25"/>
    <row r="257688" s="12" customFormat="1" x14ac:dyDescent="0.25"/>
    <row r="257689" s="12" customFormat="1" x14ac:dyDescent="0.25"/>
    <row r="257690" s="12" customFormat="1" x14ac:dyDescent="0.25"/>
    <row r="257691" s="12" customFormat="1" x14ac:dyDescent="0.25"/>
    <row r="257692" s="12" customFormat="1" x14ac:dyDescent="0.25"/>
    <row r="257693" s="12" customFormat="1" x14ac:dyDescent="0.25"/>
    <row r="257694" s="12" customFormat="1" x14ac:dyDescent="0.25"/>
    <row r="257695" s="12" customFormat="1" x14ac:dyDescent="0.25"/>
    <row r="257696" s="12" customFormat="1" x14ac:dyDescent="0.25"/>
    <row r="257697" s="12" customFormat="1" x14ac:dyDescent="0.25"/>
    <row r="257698" s="12" customFormat="1" x14ac:dyDescent="0.25"/>
    <row r="257699" s="12" customFormat="1" x14ac:dyDescent="0.25"/>
    <row r="257700" s="12" customFormat="1" x14ac:dyDescent="0.25"/>
    <row r="257701" s="12" customFormat="1" x14ac:dyDescent="0.25"/>
    <row r="257702" s="12" customFormat="1" x14ac:dyDescent="0.25"/>
    <row r="257703" s="12" customFormat="1" x14ac:dyDescent="0.25"/>
    <row r="257704" s="12" customFormat="1" x14ac:dyDescent="0.25"/>
    <row r="257705" s="12" customFormat="1" x14ac:dyDescent="0.25"/>
    <row r="257706" s="12" customFormat="1" x14ac:dyDescent="0.25"/>
    <row r="257707" s="12" customFormat="1" x14ac:dyDescent="0.25"/>
    <row r="257708" s="12" customFormat="1" x14ac:dyDescent="0.25"/>
    <row r="257709" s="12" customFormat="1" x14ac:dyDescent="0.25"/>
    <row r="257710" s="12" customFormat="1" x14ac:dyDescent="0.25"/>
    <row r="257711" s="12" customFormat="1" x14ac:dyDescent="0.25"/>
    <row r="257712" s="12" customFormat="1" x14ac:dyDescent="0.25"/>
    <row r="257713" s="12" customFormat="1" x14ac:dyDescent="0.25"/>
    <row r="257714" s="12" customFormat="1" x14ac:dyDescent="0.25"/>
    <row r="257715" s="12" customFormat="1" x14ac:dyDescent="0.25"/>
    <row r="257716" s="12" customFormat="1" x14ac:dyDescent="0.25"/>
    <row r="257717" s="12" customFormat="1" x14ac:dyDescent="0.25"/>
    <row r="257718" s="12" customFormat="1" x14ac:dyDescent="0.25"/>
    <row r="257719" s="12" customFormat="1" x14ac:dyDescent="0.25"/>
    <row r="257720" s="12" customFormat="1" x14ac:dyDescent="0.25"/>
    <row r="257721" s="12" customFormat="1" x14ac:dyDescent="0.25"/>
    <row r="257722" s="12" customFormat="1" x14ac:dyDescent="0.25"/>
    <row r="257723" s="12" customFormat="1" x14ac:dyDescent="0.25"/>
    <row r="257724" s="12" customFormat="1" x14ac:dyDescent="0.25"/>
    <row r="257725" s="12" customFormat="1" x14ac:dyDescent="0.25"/>
    <row r="257726" s="12" customFormat="1" x14ac:dyDescent="0.25"/>
    <row r="257727" s="12" customFormat="1" x14ac:dyDescent="0.25"/>
    <row r="257728" s="12" customFormat="1" x14ac:dyDescent="0.25"/>
    <row r="257729" s="12" customFormat="1" x14ac:dyDescent="0.25"/>
    <row r="257730" s="12" customFormat="1" x14ac:dyDescent="0.25"/>
    <row r="257731" s="12" customFormat="1" x14ac:dyDescent="0.25"/>
    <row r="257732" s="12" customFormat="1" x14ac:dyDescent="0.25"/>
    <row r="257733" s="12" customFormat="1" x14ac:dyDescent="0.25"/>
    <row r="257734" s="12" customFormat="1" x14ac:dyDescent="0.25"/>
    <row r="257735" s="12" customFormat="1" x14ac:dyDescent="0.25"/>
    <row r="257736" s="12" customFormat="1" x14ac:dyDescent="0.25"/>
    <row r="257737" s="12" customFormat="1" x14ac:dyDescent="0.25"/>
    <row r="257738" s="12" customFormat="1" x14ac:dyDescent="0.25"/>
    <row r="257739" s="12" customFormat="1" x14ac:dyDescent="0.25"/>
    <row r="257740" s="12" customFormat="1" x14ac:dyDescent="0.25"/>
    <row r="257741" s="12" customFormat="1" x14ac:dyDescent="0.25"/>
    <row r="257742" s="12" customFormat="1" x14ac:dyDescent="0.25"/>
    <row r="257743" s="12" customFormat="1" x14ac:dyDescent="0.25"/>
    <row r="257744" s="12" customFormat="1" x14ac:dyDescent="0.25"/>
    <row r="257745" s="12" customFormat="1" x14ac:dyDescent="0.25"/>
    <row r="257746" s="12" customFormat="1" x14ac:dyDescent="0.25"/>
    <row r="257747" s="12" customFormat="1" x14ac:dyDescent="0.25"/>
    <row r="257748" s="12" customFormat="1" x14ac:dyDescent="0.25"/>
    <row r="257749" s="12" customFormat="1" x14ac:dyDescent="0.25"/>
    <row r="257750" s="12" customFormat="1" x14ac:dyDescent="0.25"/>
    <row r="257751" s="12" customFormat="1" x14ac:dyDescent="0.25"/>
    <row r="257752" s="12" customFormat="1" x14ac:dyDescent="0.25"/>
    <row r="257753" s="12" customFormat="1" x14ac:dyDescent="0.25"/>
    <row r="257754" s="12" customFormat="1" x14ac:dyDescent="0.25"/>
    <row r="257755" s="12" customFormat="1" x14ac:dyDescent="0.25"/>
    <row r="257756" s="12" customFormat="1" x14ac:dyDescent="0.25"/>
    <row r="257757" s="12" customFormat="1" x14ac:dyDescent="0.25"/>
    <row r="257758" s="12" customFormat="1" x14ac:dyDescent="0.25"/>
    <row r="257759" s="12" customFormat="1" x14ac:dyDescent="0.25"/>
    <row r="257760" s="12" customFormat="1" x14ac:dyDescent="0.25"/>
    <row r="257761" s="12" customFormat="1" x14ac:dyDescent="0.25"/>
    <row r="257762" s="12" customFormat="1" x14ac:dyDescent="0.25"/>
    <row r="257763" s="12" customFormat="1" x14ac:dyDescent="0.25"/>
    <row r="257764" s="12" customFormat="1" x14ac:dyDescent="0.25"/>
    <row r="257765" s="12" customFormat="1" x14ac:dyDescent="0.25"/>
    <row r="257766" s="12" customFormat="1" x14ac:dyDescent="0.25"/>
    <row r="257767" s="12" customFormat="1" x14ac:dyDescent="0.25"/>
    <row r="257768" s="12" customFormat="1" x14ac:dyDescent="0.25"/>
    <row r="257769" s="12" customFormat="1" x14ac:dyDescent="0.25"/>
    <row r="257770" s="12" customFormat="1" x14ac:dyDescent="0.25"/>
    <row r="257771" s="12" customFormat="1" x14ac:dyDescent="0.25"/>
    <row r="257772" s="12" customFormat="1" x14ac:dyDescent="0.25"/>
    <row r="257773" s="12" customFormat="1" x14ac:dyDescent="0.25"/>
    <row r="257774" s="12" customFormat="1" x14ac:dyDescent="0.25"/>
    <row r="257775" s="12" customFormat="1" x14ac:dyDescent="0.25"/>
    <row r="257776" s="12" customFormat="1" x14ac:dyDescent="0.25"/>
    <row r="257777" s="12" customFormat="1" x14ac:dyDescent="0.25"/>
    <row r="257778" s="12" customFormat="1" x14ac:dyDescent="0.25"/>
    <row r="257779" s="12" customFormat="1" x14ac:dyDescent="0.25"/>
    <row r="257780" s="12" customFormat="1" x14ac:dyDescent="0.25"/>
    <row r="257781" s="12" customFormat="1" x14ac:dyDescent="0.25"/>
    <row r="257782" s="12" customFormat="1" x14ac:dyDescent="0.25"/>
    <row r="257783" s="12" customFormat="1" x14ac:dyDescent="0.25"/>
    <row r="257784" s="12" customFormat="1" x14ac:dyDescent="0.25"/>
    <row r="257785" s="12" customFormat="1" x14ac:dyDescent="0.25"/>
    <row r="257786" s="12" customFormat="1" x14ac:dyDescent="0.25"/>
    <row r="257787" s="12" customFormat="1" x14ac:dyDescent="0.25"/>
    <row r="257788" s="12" customFormat="1" x14ac:dyDescent="0.25"/>
    <row r="257789" s="12" customFormat="1" x14ac:dyDescent="0.25"/>
    <row r="257790" s="12" customFormat="1" x14ac:dyDescent="0.25"/>
    <row r="257791" s="12" customFormat="1" x14ac:dyDescent="0.25"/>
    <row r="257792" s="12" customFormat="1" x14ac:dyDescent="0.25"/>
    <row r="257793" s="12" customFormat="1" x14ac:dyDescent="0.25"/>
    <row r="257794" s="12" customFormat="1" x14ac:dyDescent="0.25"/>
    <row r="257795" s="12" customFormat="1" x14ac:dyDescent="0.25"/>
    <row r="257796" s="12" customFormat="1" x14ac:dyDescent="0.25"/>
    <row r="257797" s="12" customFormat="1" x14ac:dyDescent="0.25"/>
    <row r="257798" s="12" customFormat="1" x14ac:dyDescent="0.25"/>
    <row r="257799" s="12" customFormat="1" x14ac:dyDescent="0.25"/>
    <row r="257800" s="12" customFormat="1" x14ac:dyDescent="0.25"/>
    <row r="257801" s="12" customFormat="1" x14ac:dyDescent="0.25"/>
    <row r="257802" s="12" customFormat="1" x14ac:dyDescent="0.25"/>
    <row r="257803" s="12" customFormat="1" x14ac:dyDescent="0.25"/>
    <row r="257804" s="12" customFormat="1" x14ac:dyDescent="0.25"/>
    <row r="257805" s="12" customFormat="1" x14ac:dyDescent="0.25"/>
    <row r="257806" s="12" customFormat="1" x14ac:dyDescent="0.25"/>
    <row r="257807" s="12" customFormat="1" x14ac:dyDescent="0.25"/>
    <row r="257808" s="12" customFormat="1" x14ac:dyDescent="0.25"/>
    <row r="257809" s="12" customFormat="1" x14ac:dyDescent="0.25"/>
    <row r="257810" s="12" customFormat="1" x14ac:dyDescent="0.25"/>
    <row r="257811" s="12" customFormat="1" x14ac:dyDescent="0.25"/>
    <row r="257812" s="12" customFormat="1" x14ac:dyDescent="0.25"/>
    <row r="257813" s="12" customFormat="1" x14ac:dyDescent="0.25"/>
    <row r="257814" s="12" customFormat="1" x14ac:dyDescent="0.25"/>
    <row r="257815" s="12" customFormat="1" x14ac:dyDescent="0.25"/>
    <row r="257816" s="12" customFormat="1" x14ac:dyDescent="0.25"/>
    <row r="257817" s="12" customFormat="1" x14ac:dyDescent="0.25"/>
    <row r="257818" s="12" customFormat="1" x14ac:dyDescent="0.25"/>
    <row r="257819" s="12" customFormat="1" x14ac:dyDescent="0.25"/>
    <row r="257820" s="12" customFormat="1" x14ac:dyDescent="0.25"/>
    <row r="257821" s="12" customFormat="1" x14ac:dyDescent="0.25"/>
    <row r="257822" s="12" customFormat="1" x14ac:dyDescent="0.25"/>
    <row r="257823" s="12" customFormat="1" x14ac:dyDescent="0.25"/>
    <row r="257824" s="12" customFormat="1" x14ac:dyDescent="0.25"/>
    <row r="257825" s="12" customFormat="1" x14ac:dyDescent="0.25"/>
    <row r="257826" s="12" customFormat="1" x14ac:dyDescent="0.25"/>
    <row r="257827" s="12" customFormat="1" x14ac:dyDescent="0.25"/>
    <row r="257828" s="12" customFormat="1" x14ac:dyDescent="0.25"/>
    <row r="257829" s="12" customFormat="1" x14ac:dyDescent="0.25"/>
    <row r="257830" s="12" customFormat="1" x14ac:dyDescent="0.25"/>
    <row r="257831" s="12" customFormat="1" x14ac:dyDescent="0.25"/>
    <row r="257832" s="12" customFormat="1" x14ac:dyDescent="0.25"/>
    <row r="257833" s="12" customFormat="1" x14ac:dyDescent="0.25"/>
    <row r="257834" s="12" customFormat="1" x14ac:dyDescent="0.25"/>
    <row r="257835" s="12" customFormat="1" x14ac:dyDescent="0.25"/>
    <row r="257836" s="12" customFormat="1" x14ac:dyDescent="0.25"/>
    <row r="257837" s="12" customFormat="1" x14ac:dyDescent="0.25"/>
    <row r="257838" s="12" customFormat="1" x14ac:dyDescent="0.25"/>
    <row r="257839" s="12" customFormat="1" x14ac:dyDescent="0.25"/>
    <row r="257840" s="12" customFormat="1" x14ac:dyDescent="0.25"/>
    <row r="257841" s="12" customFormat="1" x14ac:dyDescent="0.25"/>
    <row r="257842" s="12" customFormat="1" x14ac:dyDescent="0.25"/>
    <row r="257843" s="12" customFormat="1" x14ac:dyDescent="0.25"/>
    <row r="257844" s="12" customFormat="1" x14ac:dyDescent="0.25"/>
    <row r="257845" s="12" customFormat="1" x14ac:dyDescent="0.25"/>
    <row r="257846" s="12" customFormat="1" x14ac:dyDescent="0.25"/>
    <row r="257847" s="12" customFormat="1" x14ac:dyDescent="0.25"/>
    <row r="257848" s="12" customFormat="1" x14ac:dyDescent="0.25"/>
    <row r="257849" s="12" customFormat="1" x14ac:dyDescent="0.25"/>
    <row r="257850" s="12" customFormat="1" x14ac:dyDescent="0.25"/>
    <row r="257851" s="12" customFormat="1" x14ac:dyDescent="0.25"/>
    <row r="257852" s="12" customFormat="1" x14ac:dyDescent="0.25"/>
    <row r="257853" s="12" customFormat="1" x14ac:dyDescent="0.25"/>
    <row r="257854" s="12" customFormat="1" x14ac:dyDescent="0.25"/>
    <row r="257855" s="12" customFormat="1" x14ac:dyDescent="0.25"/>
    <row r="257856" s="12" customFormat="1" x14ac:dyDescent="0.25"/>
    <row r="257857" s="12" customFormat="1" x14ac:dyDescent="0.25"/>
    <row r="257858" s="12" customFormat="1" x14ac:dyDescent="0.25"/>
    <row r="257859" s="12" customFormat="1" x14ac:dyDescent="0.25"/>
    <row r="257860" s="12" customFormat="1" x14ac:dyDescent="0.25"/>
    <row r="257861" s="12" customFormat="1" x14ac:dyDescent="0.25"/>
    <row r="257862" s="12" customFormat="1" x14ac:dyDescent="0.25"/>
    <row r="257863" s="12" customFormat="1" x14ac:dyDescent="0.25"/>
    <row r="257864" s="12" customFormat="1" x14ac:dyDescent="0.25"/>
    <row r="257865" s="12" customFormat="1" x14ac:dyDescent="0.25"/>
    <row r="257866" s="12" customFormat="1" x14ac:dyDescent="0.25"/>
    <row r="257867" s="12" customFormat="1" x14ac:dyDescent="0.25"/>
    <row r="257868" s="12" customFormat="1" x14ac:dyDescent="0.25"/>
    <row r="257869" s="12" customFormat="1" x14ac:dyDescent="0.25"/>
    <row r="257870" s="12" customFormat="1" x14ac:dyDescent="0.25"/>
    <row r="257871" s="12" customFormat="1" x14ac:dyDescent="0.25"/>
    <row r="257872" s="12" customFormat="1" x14ac:dyDescent="0.25"/>
    <row r="257873" s="12" customFormat="1" x14ac:dyDescent="0.25"/>
    <row r="257874" s="12" customFormat="1" x14ac:dyDescent="0.25"/>
    <row r="257875" s="12" customFormat="1" x14ac:dyDescent="0.25"/>
    <row r="257876" s="12" customFormat="1" x14ac:dyDescent="0.25"/>
    <row r="257877" s="12" customFormat="1" x14ac:dyDescent="0.25"/>
    <row r="257878" s="12" customFormat="1" x14ac:dyDescent="0.25"/>
    <row r="257879" s="12" customFormat="1" x14ac:dyDescent="0.25"/>
    <row r="257880" s="12" customFormat="1" x14ac:dyDescent="0.25"/>
    <row r="257881" s="12" customFormat="1" x14ac:dyDescent="0.25"/>
    <row r="257882" s="12" customFormat="1" x14ac:dyDescent="0.25"/>
    <row r="257883" s="12" customFormat="1" x14ac:dyDescent="0.25"/>
    <row r="257884" s="12" customFormat="1" x14ac:dyDescent="0.25"/>
    <row r="257885" s="12" customFormat="1" x14ac:dyDescent="0.25"/>
    <row r="257886" s="12" customFormat="1" x14ac:dyDescent="0.25"/>
    <row r="257887" s="12" customFormat="1" x14ac:dyDescent="0.25"/>
    <row r="257888" s="12" customFormat="1" x14ac:dyDescent="0.25"/>
    <row r="257889" s="12" customFormat="1" x14ac:dyDescent="0.25"/>
    <row r="257890" s="12" customFormat="1" x14ac:dyDescent="0.25"/>
    <row r="257891" s="12" customFormat="1" x14ac:dyDescent="0.25"/>
    <row r="257892" s="12" customFormat="1" x14ac:dyDescent="0.25"/>
    <row r="257893" s="12" customFormat="1" x14ac:dyDescent="0.25"/>
    <row r="257894" s="12" customFormat="1" x14ac:dyDescent="0.25"/>
    <row r="257895" s="12" customFormat="1" x14ac:dyDescent="0.25"/>
    <row r="257896" s="12" customFormat="1" x14ac:dyDescent="0.25"/>
    <row r="257897" s="12" customFormat="1" x14ac:dyDescent="0.25"/>
    <row r="257898" s="12" customFormat="1" x14ac:dyDescent="0.25"/>
    <row r="257899" s="12" customFormat="1" x14ac:dyDescent="0.25"/>
    <row r="257900" s="12" customFormat="1" x14ac:dyDescent="0.25"/>
    <row r="257901" s="12" customFormat="1" x14ac:dyDescent="0.25"/>
    <row r="257902" s="12" customFormat="1" x14ac:dyDescent="0.25"/>
    <row r="257903" s="12" customFormat="1" x14ac:dyDescent="0.25"/>
    <row r="257904" s="12" customFormat="1" x14ac:dyDescent="0.25"/>
    <row r="257905" s="12" customFormat="1" x14ac:dyDescent="0.25"/>
    <row r="257906" s="12" customFormat="1" x14ac:dyDescent="0.25"/>
    <row r="257907" s="12" customFormat="1" x14ac:dyDescent="0.25"/>
    <row r="257908" s="12" customFormat="1" x14ac:dyDescent="0.25"/>
    <row r="257909" s="12" customFormat="1" x14ac:dyDescent="0.25"/>
    <row r="257910" s="12" customFormat="1" x14ac:dyDescent="0.25"/>
    <row r="257911" s="12" customFormat="1" x14ac:dyDescent="0.25"/>
    <row r="257912" s="12" customFormat="1" x14ac:dyDescent="0.25"/>
    <row r="257913" s="12" customFormat="1" x14ac:dyDescent="0.25"/>
    <row r="257914" s="12" customFormat="1" x14ac:dyDescent="0.25"/>
    <row r="257915" s="12" customFormat="1" x14ac:dyDescent="0.25"/>
    <row r="257916" s="12" customFormat="1" x14ac:dyDescent="0.25"/>
    <row r="257917" s="12" customFormat="1" x14ac:dyDescent="0.25"/>
    <row r="257918" s="12" customFormat="1" x14ac:dyDescent="0.25"/>
    <row r="257919" s="12" customFormat="1" x14ac:dyDescent="0.25"/>
    <row r="257920" s="12" customFormat="1" x14ac:dyDescent="0.25"/>
    <row r="257921" s="12" customFormat="1" x14ac:dyDescent="0.25"/>
    <row r="257922" s="12" customFormat="1" x14ac:dyDescent="0.25"/>
    <row r="257923" s="12" customFormat="1" x14ac:dyDescent="0.25"/>
    <row r="257924" s="12" customFormat="1" x14ac:dyDescent="0.25"/>
    <row r="257925" s="12" customFormat="1" x14ac:dyDescent="0.25"/>
    <row r="257926" s="12" customFormat="1" x14ac:dyDescent="0.25"/>
    <row r="257927" s="12" customFormat="1" x14ac:dyDescent="0.25"/>
    <row r="257928" s="12" customFormat="1" x14ac:dyDescent="0.25"/>
    <row r="257929" s="12" customFormat="1" x14ac:dyDescent="0.25"/>
    <row r="257930" s="12" customFormat="1" x14ac:dyDescent="0.25"/>
    <row r="257931" s="12" customFormat="1" x14ac:dyDescent="0.25"/>
    <row r="257932" s="12" customFormat="1" x14ac:dyDescent="0.25"/>
    <row r="257933" s="12" customFormat="1" x14ac:dyDescent="0.25"/>
    <row r="257934" s="12" customFormat="1" x14ac:dyDescent="0.25"/>
    <row r="257935" s="12" customFormat="1" x14ac:dyDescent="0.25"/>
    <row r="257936" s="12" customFormat="1" x14ac:dyDescent="0.25"/>
    <row r="257937" s="12" customFormat="1" x14ac:dyDescent="0.25"/>
    <row r="257938" s="12" customFormat="1" x14ac:dyDescent="0.25"/>
    <row r="257939" s="12" customFormat="1" x14ac:dyDescent="0.25"/>
    <row r="257940" s="12" customFormat="1" x14ac:dyDescent="0.25"/>
    <row r="257941" s="12" customFormat="1" x14ac:dyDescent="0.25"/>
    <row r="257942" s="12" customFormat="1" x14ac:dyDescent="0.25"/>
    <row r="257943" s="12" customFormat="1" x14ac:dyDescent="0.25"/>
    <row r="257944" s="12" customFormat="1" x14ac:dyDescent="0.25"/>
    <row r="257945" s="12" customFormat="1" x14ac:dyDescent="0.25"/>
    <row r="257946" s="12" customFormat="1" x14ac:dyDescent="0.25"/>
    <row r="257947" s="12" customFormat="1" x14ac:dyDescent="0.25"/>
    <row r="257948" s="12" customFormat="1" x14ac:dyDescent="0.25"/>
    <row r="257949" s="12" customFormat="1" x14ac:dyDescent="0.25"/>
    <row r="257950" s="12" customFormat="1" x14ac:dyDescent="0.25"/>
    <row r="257951" s="12" customFormat="1" x14ac:dyDescent="0.25"/>
    <row r="257952" s="12" customFormat="1" x14ac:dyDescent="0.25"/>
    <row r="257953" s="12" customFormat="1" x14ac:dyDescent="0.25"/>
    <row r="257954" s="12" customFormat="1" x14ac:dyDescent="0.25"/>
    <row r="257955" s="12" customFormat="1" x14ac:dyDescent="0.25"/>
    <row r="257956" s="12" customFormat="1" x14ac:dyDescent="0.25"/>
    <row r="257957" s="12" customFormat="1" x14ac:dyDescent="0.25"/>
    <row r="257958" s="12" customFormat="1" x14ac:dyDescent="0.25"/>
    <row r="257959" s="12" customFormat="1" x14ac:dyDescent="0.25"/>
    <row r="257960" s="12" customFormat="1" x14ac:dyDescent="0.25"/>
    <row r="257961" s="12" customFormat="1" x14ac:dyDescent="0.25"/>
    <row r="257962" s="12" customFormat="1" x14ac:dyDescent="0.25"/>
    <row r="257963" s="12" customFormat="1" x14ac:dyDescent="0.25"/>
    <row r="257964" s="12" customFormat="1" x14ac:dyDescent="0.25"/>
    <row r="257965" s="12" customFormat="1" x14ac:dyDescent="0.25"/>
    <row r="257966" s="12" customFormat="1" x14ac:dyDescent="0.25"/>
    <row r="257967" s="12" customFormat="1" x14ac:dyDescent="0.25"/>
    <row r="257968" s="12" customFormat="1" x14ac:dyDescent="0.25"/>
    <row r="257969" s="12" customFormat="1" x14ac:dyDescent="0.25"/>
    <row r="257970" s="12" customFormat="1" x14ac:dyDescent="0.25"/>
    <row r="257971" s="12" customFormat="1" x14ac:dyDescent="0.25"/>
    <row r="257972" s="12" customFormat="1" x14ac:dyDescent="0.25"/>
    <row r="257973" s="12" customFormat="1" x14ac:dyDescent="0.25"/>
    <row r="257974" s="12" customFormat="1" x14ac:dyDescent="0.25"/>
    <row r="257975" s="12" customFormat="1" x14ac:dyDescent="0.25"/>
    <row r="257976" s="12" customFormat="1" x14ac:dyDescent="0.25"/>
    <row r="257977" s="12" customFormat="1" x14ac:dyDescent="0.25"/>
    <row r="257978" s="12" customFormat="1" x14ac:dyDescent="0.25"/>
    <row r="257979" s="12" customFormat="1" x14ac:dyDescent="0.25"/>
    <row r="257980" s="12" customFormat="1" x14ac:dyDescent="0.25"/>
    <row r="257981" s="12" customFormat="1" x14ac:dyDescent="0.25"/>
    <row r="257982" s="12" customFormat="1" x14ac:dyDescent="0.25"/>
    <row r="257983" s="12" customFormat="1" x14ac:dyDescent="0.25"/>
    <row r="257984" s="12" customFormat="1" x14ac:dyDescent="0.25"/>
    <row r="257985" s="12" customFormat="1" x14ac:dyDescent="0.25"/>
    <row r="257986" s="12" customFormat="1" x14ac:dyDescent="0.25"/>
    <row r="257987" s="12" customFormat="1" x14ac:dyDescent="0.25"/>
    <row r="257988" s="12" customFormat="1" x14ac:dyDescent="0.25"/>
    <row r="257989" s="12" customFormat="1" x14ac:dyDescent="0.25"/>
    <row r="257990" s="12" customFormat="1" x14ac:dyDescent="0.25"/>
    <row r="257991" s="12" customFormat="1" x14ac:dyDescent="0.25"/>
    <row r="257992" s="12" customFormat="1" x14ac:dyDescent="0.25"/>
    <row r="257993" s="12" customFormat="1" x14ac:dyDescent="0.25"/>
    <row r="257994" s="12" customFormat="1" x14ac:dyDescent="0.25"/>
    <row r="257995" s="12" customFormat="1" x14ac:dyDescent="0.25"/>
    <row r="257996" s="12" customFormat="1" x14ac:dyDescent="0.25"/>
    <row r="257997" s="12" customFormat="1" x14ac:dyDescent="0.25"/>
    <row r="257998" s="12" customFormat="1" x14ac:dyDescent="0.25"/>
    <row r="257999" s="12" customFormat="1" x14ac:dyDescent="0.25"/>
    <row r="258000" s="12" customFormat="1" x14ac:dyDescent="0.25"/>
    <row r="258001" s="12" customFormat="1" x14ac:dyDescent="0.25"/>
    <row r="258002" s="12" customFormat="1" x14ac:dyDescent="0.25"/>
    <row r="258003" s="12" customFormat="1" x14ac:dyDescent="0.25"/>
    <row r="258004" s="12" customFormat="1" x14ac:dyDescent="0.25"/>
    <row r="258005" s="12" customFormat="1" x14ac:dyDescent="0.25"/>
    <row r="258006" s="12" customFormat="1" x14ac:dyDescent="0.25"/>
    <row r="258007" s="12" customFormat="1" x14ac:dyDescent="0.25"/>
    <row r="258008" s="12" customFormat="1" x14ac:dyDescent="0.25"/>
    <row r="258009" s="12" customFormat="1" x14ac:dyDescent="0.25"/>
    <row r="258010" s="12" customFormat="1" x14ac:dyDescent="0.25"/>
    <row r="258011" s="12" customFormat="1" x14ac:dyDescent="0.25"/>
    <row r="258012" s="12" customFormat="1" x14ac:dyDescent="0.25"/>
    <row r="258013" s="12" customFormat="1" x14ac:dyDescent="0.25"/>
    <row r="258014" s="12" customFormat="1" x14ac:dyDescent="0.25"/>
    <row r="258015" s="12" customFormat="1" x14ac:dyDescent="0.25"/>
    <row r="258016" s="12" customFormat="1" x14ac:dyDescent="0.25"/>
    <row r="258017" s="12" customFormat="1" x14ac:dyDescent="0.25"/>
    <row r="258018" s="12" customFormat="1" x14ac:dyDescent="0.25"/>
    <row r="258019" s="12" customFormat="1" x14ac:dyDescent="0.25"/>
    <row r="258020" s="12" customFormat="1" x14ac:dyDescent="0.25"/>
    <row r="258021" s="12" customFormat="1" x14ac:dyDescent="0.25"/>
    <row r="258022" s="12" customFormat="1" x14ac:dyDescent="0.25"/>
    <row r="258023" s="12" customFormat="1" x14ac:dyDescent="0.25"/>
    <row r="258024" s="12" customFormat="1" x14ac:dyDescent="0.25"/>
    <row r="258025" s="12" customFormat="1" x14ac:dyDescent="0.25"/>
    <row r="258026" s="12" customFormat="1" x14ac:dyDescent="0.25"/>
    <row r="258027" s="12" customFormat="1" x14ac:dyDescent="0.25"/>
    <row r="258028" s="12" customFormat="1" x14ac:dyDescent="0.25"/>
    <row r="258029" s="12" customFormat="1" x14ac:dyDescent="0.25"/>
    <row r="258030" s="12" customFormat="1" x14ac:dyDescent="0.25"/>
    <row r="258031" s="12" customFormat="1" x14ac:dyDescent="0.25"/>
    <row r="258032" s="12" customFormat="1" x14ac:dyDescent="0.25"/>
    <row r="258033" s="12" customFormat="1" x14ac:dyDescent="0.25"/>
    <row r="258034" s="12" customFormat="1" x14ac:dyDescent="0.25"/>
    <row r="258035" s="12" customFormat="1" x14ac:dyDescent="0.25"/>
    <row r="258036" s="12" customFormat="1" x14ac:dyDescent="0.25"/>
    <row r="258037" s="12" customFormat="1" x14ac:dyDescent="0.25"/>
    <row r="258038" s="12" customFormat="1" x14ac:dyDescent="0.25"/>
    <row r="258039" s="12" customFormat="1" x14ac:dyDescent="0.25"/>
    <row r="258040" s="12" customFormat="1" x14ac:dyDescent="0.25"/>
    <row r="258041" s="12" customFormat="1" x14ac:dyDescent="0.25"/>
    <row r="258042" s="12" customFormat="1" x14ac:dyDescent="0.25"/>
    <row r="258043" s="12" customFormat="1" x14ac:dyDescent="0.25"/>
    <row r="258044" s="12" customFormat="1" x14ac:dyDescent="0.25"/>
    <row r="258045" s="12" customFormat="1" x14ac:dyDescent="0.25"/>
    <row r="258046" s="12" customFormat="1" x14ac:dyDescent="0.25"/>
    <row r="258047" s="12" customFormat="1" x14ac:dyDescent="0.25"/>
    <row r="258048" s="12" customFormat="1" x14ac:dyDescent="0.25"/>
    <row r="258049" s="12" customFormat="1" x14ac:dyDescent="0.25"/>
    <row r="258050" s="12" customFormat="1" x14ac:dyDescent="0.25"/>
    <row r="258051" s="12" customFormat="1" x14ac:dyDescent="0.25"/>
    <row r="258052" s="12" customFormat="1" x14ac:dyDescent="0.25"/>
    <row r="258053" s="12" customFormat="1" x14ac:dyDescent="0.25"/>
    <row r="258054" s="12" customFormat="1" x14ac:dyDescent="0.25"/>
    <row r="258055" s="12" customFormat="1" x14ac:dyDescent="0.25"/>
    <row r="258056" s="12" customFormat="1" x14ac:dyDescent="0.25"/>
    <row r="258057" s="12" customFormat="1" x14ac:dyDescent="0.25"/>
    <row r="258058" s="12" customFormat="1" x14ac:dyDescent="0.25"/>
    <row r="258059" s="12" customFormat="1" x14ac:dyDescent="0.25"/>
    <row r="258060" s="12" customFormat="1" x14ac:dyDescent="0.25"/>
    <row r="258061" s="12" customFormat="1" x14ac:dyDescent="0.25"/>
    <row r="258062" s="12" customFormat="1" x14ac:dyDescent="0.25"/>
    <row r="258063" s="12" customFormat="1" x14ac:dyDescent="0.25"/>
    <row r="258064" s="12" customFormat="1" x14ac:dyDescent="0.25"/>
    <row r="258065" s="12" customFormat="1" x14ac:dyDescent="0.25"/>
    <row r="258066" s="12" customFormat="1" x14ac:dyDescent="0.25"/>
    <row r="258067" s="12" customFormat="1" x14ac:dyDescent="0.25"/>
    <row r="258068" s="12" customFormat="1" x14ac:dyDescent="0.25"/>
    <row r="258069" s="12" customFormat="1" x14ac:dyDescent="0.25"/>
    <row r="258070" s="12" customFormat="1" x14ac:dyDescent="0.25"/>
    <row r="258071" s="12" customFormat="1" x14ac:dyDescent="0.25"/>
    <row r="258072" s="12" customFormat="1" x14ac:dyDescent="0.25"/>
    <row r="258073" s="12" customFormat="1" x14ac:dyDescent="0.25"/>
    <row r="258074" s="12" customFormat="1" x14ac:dyDescent="0.25"/>
    <row r="258075" s="12" customFormat="1" x14ac:dyDescent="0.25"/>
    <row r="258076" s="12" customFormat="1" x14ac:dyDescent="0.25"/>
    <row r="258077" s="12" customFormat="1" x14ac:dyDescent="0.25"/>
    <row r="258078" s="12" customFormat="1" x14ac:dyDescent="0.25"/>
    <row r="258079" s="12" customFormat="1" x14ac:dyDescent="0.25"/>
    <row r="258080" s="12" customFormat="1" x14ac:dyDescent="0.25"/>
    <row r="258081" s="12" customFormat="1" x14ac:dyDescent="0.25"/>
    <row r="258082" s="12" customFormat="1" x14ac:dyDescent="0.25"/>
    <row r="258083" s="12" customFormat="1" x14ac:dyDescent="0.25"/>
    <row r="258084" s="12" customFormat="1" x14ac:dyDescent="0.25"/>
    <row r="258085" s="12" customFormat="1" x14ac:dyDescent="0.25"/>
    <row r="258086" s="12" customFormat="1" x14ac:dyDescent="0.25"/>
    <row r="258087" s="12" customFormat="1" x14ac:dyDescent="0.25"/>
    <row r="258088" s="12" customFormat="1" x14ac:dyDescent="0.25"/>
    <row r="258089" s="12" customFormat="1" x14ac:dyDescent="0.25"/>
    <row r="258090" s="12" customFormat="1" x14ac:dyDescent="0.25"/>
    <row r="258091" s="12" customFormat="1" x14ac:dyDescent="0.25"/>
    <row r="258092" s="12" customFormat="1" x14ac:dyDescent="0.25"/>
    <row r="258093" s="12" customFormat="1" x14ac:dyDescent="0.25"/>
    <row r="258094" s="12" customFormat="1" x14ac:dyDescent="0.25"/>
    <row r="258095" s="12" customFormat="1" x14ac:dyDescent="0.25"/>
    <row r="258096" s="12" customFormat="1" x14ac:dyDescent="0.25"/>
    <row r="258097" s="12" customFormat="1" x14ac:dyDescent="0.25"/>
    <row r="258098" s="12" customFormat="1" x14ac:dyDescent="0.25"/>
    <row r="258099" s="12" customFormat="1" x14ac:dyDescent="0.25"/>
    <row r="258100" s="12" customFormat="1" x14ac:dyDescent="0.25"/>
    <row r="258101" s="12" customFormat="1" x14ac:dyDescent="0.25"/>
    <row r="258102" s="12" customFormat="1" x14ac:dyDescent="0.25"/>
    <row r="258103" s="12" customFormat="1" x14ac:dyDescent="0.25"/>
    <row r="258104" s="12" customFormat="1" x14ac:dyDescent="0.25"/>
    <row r="258105" s="12" customFormat="1" x14ac:dyDescent="0.25"/>
    <row r="258106" s="12" customFormat="1" x14ac:dyDescent="0.25"/>
    <row r="258107" s="12" customFormat="1" x14ac:dyDescent="0.25"/>
    <row r="258108" s="12" customFormat="1" x14ac:dyDescent="0.25"/>
    <row r="258109" s="12" customFormat="1" x14ac:dyDescent="0.25"/>
    <row r="258110" s="12" customFormat="1" x14ac:dyDescent="0.25"/>
    <row r="258111" s="12" customFormat="1" x14ac:dyDescent="0.25"/>
    <row r="258112" s="12" customFormat="1" x14ac:dyDescent="0.25"/>
    <row r="258113" s="12" customFormat="1" x14ac:dyDescent="0.25"/>
    <row r="258114" s="12" customFormat="1" x14ac:dyDescent="0.25"/>
    <row r="258115" s="12" customFormat="1" x14ac:dyDescent="0.25"/>
    <row r="258116" s="12" customFormat="1" x14ac:dyDescent="0.25"/>
    <row r="258117" s="12" customFormat="1" x14ac:dyDescent="0.25"/>
    <row r="258118" s="12" customFormat="1" x14ac:dyDescent="0.25"/>
    <row r="258119" s="12" customFormat="1" x14ac:dyDescent="0.25"/>
    <row r="258120" s="12" customFormat="1" x14ac:dyDescent="0.25"/>
    <row r="258121" s="12" customFormat="1" x14ac:dyDescent="0.25"/>
    <row r="258122" s="12" customFormat="1" x14ac:dyDescent="0.25"/>
    <row r="258123" s="12" customFormat="1" x14ac:dyDescent="0.25"/>
    <row r="258124" s="12" customFormat="1" x14ac:dyDescent="0.25"/>
    <row r="258125" s="12" customFormat="1" x14ac:dyDescent="0.25"/>
    <row r="258126" s="12" customFormat="1" x14ac:dyDescent="0.25"/>
    <row r="258127" s="12" customFormat="1" x14ac:dyDescent="0.25"/>
    <row r="258128" s="12" customFormat="1" x14ac:dyDescent="0.25"/>
    <row r="258129" s="12" customFormat="1" x14ac:dyDescent="0.25"/>
    <row r="258130" s="12" customFormat="1" x14ac:dyDescent="0.25"/>
    <row r="258131" s="12" customFormat="1" x14ac:dyDescent="0.25"/>
    <row r="258132" s="12" customFormat="1" x14ac:dyDescent="0.25"/>
    <row r="258133" s="12" customFormat="1" x14ac:dyDescent="0.25"/>
    <row r="258134" s="12" customFormat="1" x14ac:dyDescent="0.25"/>
    <row r="258135" s="12" customFormat="1" x14ac:dyDescent="0.25"/>
    <row r="258136" s="12" customFormat="1" x14ac:dyDescent="0.25"/>
    <row r="258137" s="12" customFormat="1" x14ac:dyDescent="0.25"/>
    <row r="258138" s="12" customFormat="1" x14ac:dyDescent="0.25"/>
    <row r="258139" s="12" customFormat="1" x14ac:dyDescent="0.25"/>
    <row r="258140" s="12" customFormat="1" x14ac:dyDescent="0.25"/>
    <row r="258141" s="12" customFormat="1" x14ac:dyDescent="0.25"/>
    <row r="258142" s="12" customFormat="1" x14ac:dyDescent="0.25"/>
    <row r="258143" s="12" customFormat="1" x14ac:dyDescent="0.25"/>
    <row r="258144" s="12" customFormat="1" x14ac:dyDescent="0.25"/>
    <row r="258145" s="12" customFormat="1" x14ac:dyDescent="0.25"/>
    <row r="258146" s="12" customFormat="1" x14ac:dyDescent="0.25"/>
    <row r="258147" s="12" customFormat="1" x14ac:dyDescent="0.25"/>
    <row r="258148" s="12" customFormat="1" x14ac:dyDescent="0.25"/>
    <row r="258149" s="12" customFormat="1" x14ac:dyDescent="0.25"/>
    <row r="258150" s="12" customFormat="1" x14ac:dyDescent="0.25"/>
    <row r="258151" s="12" customFormat="1" x14ac:dyDescent="0.25"/>
    <row r="258152" s="12" customFormat="1" x14ac:dyDescent="0.25"/>
    <row r="258153" s="12" customFormat="1" x14ac:dyDescent="0.25"/>
    <row r="258154" s="12" customFormat="1" x14ac:dyDescent="0.25"/>
    <row r="258155" s="12" customFormat="1" x14ac:dyDescent="0.25"/>
    <row r="258156" s="12" customFormat="1" x14ac:dyDescent="0.25"/>
    <row r="258157" s="12" customFormat="1" x14ac:dyDescent="0.25"/>
    <row r="258158" s="12" customFormat="1" x14ac:dyDescent="0.25"/>
    <row r="258159" s="12" customFormat="1" x14ac:dyDescent="0.25"/>
    <row r="258160" s="12" customFormat="1" x14ac:dyDescent="0.25"/>
    <row r="258161" s="12" customFormat="1" x14ac:dyDescent="0.25"/>
    <row r="258162" s="12" customFormat="1" x14ac:dyDescent="0.25"/>
    <row r="258163" s="12" customFormat="1" x14ac:dyDescent="0.25"/>
    <row r="258164" s="12" customFormat="1" x14ac:dyDescent="0.25"/>
    <row r="258165" s="12" customFormat="1" x14ac:dyDescent="0.25"/>
    <row r="258166" s="12" customFormat="1" x14ac:dyDescent="0.25"/>
    <row r="258167" s="12" customFormat="1" x14ac:dyDescent="0.25"/>
    <row r="258168" s="12" customFormat="1" x14ac:dyDescent="0.25"/>
    <row r="258169" s="12" customFormat="1" x14ac:dyDescent="0.25"/>
    <row r="258170" s="12" customFormat="1" x14ac:dyDescent="0.25"/>
    <row r="258171" s="12" customFormat="1" x14ac:dyDescent="0.25"/>
    <row r="258172" s="12" customFormat="1" x14ac:dyDescent="0.25"/>
    <row r="258173" s="12" customFormat="1" x14ac:dyDescent="0.25"/>
    <row r="258174" s="12" customFormat="1" x14ac:dyDescent="0.25"/>
    <row r="258175" s="12" customFormat="1" x14ac:dyDescent="0.25"/>
    <row r="258176" s="12" customFormat="1" x14ac:dyDescent="0.25"/>
    <row r="258177" s="12" customFormat="1" x14ac:dyDescent="0.25"/>
    <row r="258178" s="12" customFormat="1" x14ac:dyDescent="0.25"/>
    <row r="258179" s="12" customFormat="1" x14ac:dyDescent="0.25"/>
    <row r="258180" s="12" customFormat="1" x14ac:dyDescent="0.25"/>
    <row r="258181" s="12" customFormat="1" x14ac:dyDescent="0.25"/>
    <row r="258182" s="12" customFormat="1" x14ac:dyDescent="0.25"/>
    <row r="258183" s="12" customFormat="1" x14ac:dyDescent="0.25"/>
    <row r="258184" s="12" customFormat="1" x14ac:dyDescent="0.25"/>
    <row r="258185" s="12" customFormat="1" x14ac:dyDescent="0.25"/>
    <row r="258186" s="12" customFormat="1" x14ac:dyDescent="0.25"/>
    <row r="258187" s="12" customFormat="1" x14ac:dyDescent="0.25"/>
    <row r="258188" s="12" customFormat="1" x14ac:dyDescent="0.25"/>
    <row r="258189" s="12" customFormat="1" x14ac:dyDescent="0.25"/>
    <row r="258190" s="12" customFormat="1" x14ac:dyDescent="0.25"/>
    <row r="258191" s="12" customFormat="1" x14ac:dyDescent="0.25"/>
    <row r="258192" s="12" customFormat="1" x14ac:dyDescent="0.25"/>
    <row r="258193" s="12" customFormat="1" x14ac:dyDescent="0.25"/>
    <row r="258194" s="12" customFormat="1" x14ac:dyDescent="0.25"/>
    <row r="258195" s="12" customFormat="1" x14ac:dyDescent="0.25"/>
    <row r="258196" s="12" customFormat="1" x14ac:dyDescent="0.25"/>
    <row r="258197" s="12" customFormat="1" x14ac:dyDescent="0.25"/>
    <row r="258198" s="12" customFormat="1" x14ac:dyDescent="0.25"/>
    <row r="258199" s="12" customFormat="1" x14ac:dyDescent="0.25"/>
    <row r="258200" s="12" customFormat="1" x14ac:dyDescent="0.25"/>
    <row r="258201" s="12" customFormat="1" x14ac:dyDescent="0.25"/>
    <row r="258202" s="12" customFormat="1" x14ac:dyDescent="0.25"/>
    <row r="258203" s="12" customFormat="1" x14ac:dyDescent="0.25"/>
    <row r="258204" s="12" customFormat="1" x14ac:dyDescent="0.25"/>
    <row r="258205" s="12" customFormat="1" x14ac:dyDescent="0.25"/>
    <row r="258206" s="12" customFormat="1" x14ac:dyDescent="0.25"/>
    <row r="258207" s="12" customFormat="1" x14ac:dyDescent="0.25"/>
    <row r="258208" s="12" customFormat="1" x14ac:dyDescent="0.25"/>
    <row r="258209" s="12" customFormat="1" x14ac:dyDescent="0.25"/>
    <row r="258210" s="12" customFormat="1" x14ac:dyDescent="0.25"/>
    <row r="258211" s="12" customFormat="1" x14ac:dyDescent="0.25"/>
    <row r="258212" s="12" customFormat="1" x14ac:dyDescent="0.25"/>
    <row r="258213" s="12" customFormat="1" x14ac:dyDescent="0.25"/>
    <row r="258214" s="12" customFormat="1" x14ac:dyDescent="0.25"/>
    <row r="258215" s="12" customFormat="1" x14ac:dyDescent="0.25"/>
    <row r="258216" s="12" customFormat="1" x14ac:dyDescent="0.25"/>
    <row r="258217" s="12" customFormat="1" x14ac:dyDescent="0.25"/>
    <row r="258218" s="12" customFormat="1" x14ac:dyDescent="0.25"/>
    <row r="258219" s="12" customFormat="1" x14ac:dyDescent="0.25"/>
    <row r="258220" s="12" customFormat="1" x14ac:dyDescent="0.25"/>
    <row r="258221" s="12" customFormat="1" x14ac:dyDescent="0.25"/>
    <row r="258222" s="12" customFormat="1" x14ac:dyDescent="0.25"/>
    <row r="258223" s="12" customFormat="1" x14ac:dyDescent="0.25"/>
    <row r="258224" s="12" customFormat="1" x14ac:dyDescent="0.25"/>
    <row r="258225" s="12" customFormat="1" x14ac:dyDescent="0.25"/>
    <row r="258226" s="12" customFormat="1" x14ac:dyDescent="0.25"/>
    <row r="258227" s="12" customFormat="1" x14ac:dyDescent="0.25"/>
    <row r="258228" s="12" customFormat="1" x14ac:dyDescent="0.25"/>
    <row r="258229" s="12" customFormat="1" x14ac:dyDescent="0.25"/>
    <row r="258230" s="12" customFormat="1" x14ac:dyDescent="0.25"/>
    <row r="258231" s="12" customFormat="1" x14ac:dyDescent="0.25"/>
    <row r="258232" s="12" customFormat="1" x14ac:dyDescent="0.25"/>
    <row r="258233" s="12" customFormat="1" x14ac:dyDescent="0.25"/>
    <row r="258234" s="12" customFormat="1" x14ac:dyDescent="0.25"/>
    <row r="258235" s="12" customFormat="1" x14ac:dyDescent="0.25"/>
    <row r="258236" s="12" customFormat="1" x14ac:dyDescent="0.25"/>
    <row r="258237" s="12" customFormat="1" x14ac:dyDescent="0.25"/>
    <row r="258238" s="12" customFormat="1" x14ac:dyDescent="0.25"/>
    <row r="258239" s="12" customFormat="1" x14ac:dyDescent="0.25"/>
    <row r="258240" s="12" customFormat="1" x14ac:dyDescent="0.25"/>
    <row r="258241" s="12" customFormat="1" x14ac:dyDescent="0.25"/>
    <row r="258242" s="12" customFormat="1" x14ac:dyDescent="0.25"/>
    <row r="258243" s="12" customFormat="1" x14ac:dyDescent="0.25"/>
    <row r="258244" s="12" customFormat="1" x14ac:dyDescent="0.25"/>
    <row r="258245" s="12" customFormat="1" x14ac:dyDescent="0.25"/>
    <row r="258246" s="12" customFormat="1" x14ac:dyDescent="0.25"/>
    <row r="258247" s="12" customFormat="1" x14ac:dyDescent="0.25"/>
    <row r="258248" s="12" customFormat="1" x14ac:dyDescent="0.25"/>
    <row r="258249" s="12" customFormat="1" x14ac:dyDescent="0.25"/>
    <row r="258250" s="12" customFormat="1" x14ac:dyDescent="0.25"/>
    <row r="258251" s="12" customFormat="1" x14ac:dyDescent="0.25"/>
    <row r="258252" s="12" customFormat="1" x14ac:dyDescent="0.25"/>
    <row r="258253" s="12" customFormat="1" x14ac:dyDescent="0.25"/>
    <row r="258254" s="12" customFormat="1" x14ac:dyDescent="0.25"/>
    <row r="258255" s="12" customFormat="1" x14ac:dyDescent="0.25"/>
    <row r="258256" s="12" customFormat="1" x14ac:dyDescent="0.25"/>
    <row r="258257" s="12" customFormat="1" x14ac:dyDescent="0.25"/>
    <row r="258258" s="12" customFormat="1" x14ac:dyDescent="0.25"/>
    <row r="258259" s="12" customFormat="1" x14ac:dyDescent="0.25"/>
    <row r="258260" s="12" customFormat="1" x14ac:dyDescent="0.25"/>
    <row r="258261" s="12" customFormat="1" x14ac:dyDescent="0.25"/>
    <row r="258262" s="12" customFormat="1" x14ac:dyDescent="0.25"/>
    <row r="258263" s="12" customFormat="1" x14ac:dyDescent="0.25"/>
    <row r="258264" s="12" customFormat="1" x14ac:dyDescent="0.25"/>
    <row r="258265" s="12" customFormat="1" x14ac:dyDescent="0.25"/>
    <row r="258266" s="12" customFormat="1" x14ac:dyDescent="0.25"/>
    <row r="258267" s="12" customFormat="1" x14ac:dyDescent="0.25"/>
    <row r="258268" s="12" customFormat="1" x14ac:dyDescent="0.25"/>
    <row r="258269" s="12" customFormat="1" x14ac:dyDescent="0.25"/>
    <row r="258270" s="12" customFormat="1" x14ac:dyDescent="0.25"/>
    <row r="258271" s="12" customFormat="1" x14ac:dyDescent="0.25"/>
    <row r="258272" s="12" customFormat="1" x14ac:dyDescent="0.25"/>
    <row r="258273" s="12" customFormat="1" x14ac:dyDescent="0.25"/>
    <row r="258274" s="12" customFormat="1" x14ac:dyDescent="0.25"/>
    <row r="258275" s="12" customFormat="1" x14ac:dyDescent="0.25"/>
    <row r="258276" s="12" customFormat="1" x14ac:dyDescent="0.25"/>
    <row r="258277" s="12" customFormat="1" x14ac:dyDescent="0.25"/>
    <row r="258278" s="12" customFormat="1" x14ac:dyDescent="0.25"/>
    <row r="258279" s="12" customFormat="1" x14ac:dyDescent="0.25"/>
    <row r="258280" s="12" customFormat="1" x14ac:dyDescent="0.25"/>
    <row r="258281" s="12" customFormat="1" x14ac:dyDescent="0.25"/>
    <row r="258282" s="12" customFormat="1" x14ac:dyDescent="0.25"/>
    <row r="258283" s="12" customFormat="1" x14ac:dyDescent="0.25"/>
    <row r="258284" s="12" customFormat="1" x14ac:dyDescent="0.25"/>
    <row r="258285" s="12" customFormat="1" x14ac:dyDescent="0.25"/>
    <row r="258286" s="12" customFormat="1" x14ac:dyDescent="0.25"/>
    <row r="258287" s="12" customFormat="1" x14ac:dyDescent="0.25"/>
    <row r="258288" s="12" customFormat="1" x14ac:dyDescent="0.25"/>
    <row r="258289" s="12" customFormat="1" x14ac:dyDescent="0.25"/>
    <row r="258290" s="12" customFormat="1" x14ac:dyDescent="0.25"/>
    <row r="258291" s="12" customFormat="1" x14ac:dyDescent="0.25"/>
    <row r="258292" s="12" customFormat="1" x14ac:dyDescent="0.25"/>
    <row r="258293" s="12" customFormat="1" x14ac:dyDescent="0.25"/>
    <row r="258294" s="12" customFormat="1" x14ac:dyDescent="0.25"/>
    <row r="258295" s="12" customFormat="1" x14ac:dyDescent="0.25"/>
    <row r="258296" s="12" customFormat="1" x14ac:dyDescent="0.25"/>
    <row r="258297" s="12" customFormat="1" x14ac:dyDescent="0.25"/>
    <row r="258298" s="12" customFormat="1" x14ac:dyDescent="0.25"/>
    <row r="258299" s="12" customFormat="1" x14ac:dyDescent="0.25"/>
    <row r="258300" s="12" customFormat="1" x14ac:dyDescent="0.25"/>
    <row r="258301" s="12" customFormat="1" x14ac:dyDescent="0.25"/>
    <row r="258302" s="12" customFormat="1" x14ac:dyDescent="0.25"/>
    <row r="258303" s="12" customFormat="1" x14ac:dyDescent="0.25"/>
    <row r="258304" s="12" customFormat="1" x14ac:dyDescent="0.25"/>
    <row r="258305" s="12" customFormat="1" x14ac:dyDescent="0.25"/>
    <row r="258306" s="12" customFormat="1" x14ac:dyDescent="0.25"/>
    <row r="258307" s="12" customFormat="1" x14ac:dyDescent="0.25"/>
    <row r="258308" s="12" customFormat="1" x14ac:dyDescent="0.25"/>
    <row r="258309" s="12" customFormat="1" x14ac:dyDescent="0.25"/>
    <row r="258310" s="12" customFormat="1" x14ac:dyDescent="0.25"/>
    <row r="258311" s="12" customFormat="1" x14ac:dyDescent="0.25"/>
    <row r="258312" s="12" customFormat="1" x14ac:dyDescent="0.25"/>
    <row r="258313" s="12" customFormat="1" x14ac:dyDescent="0.25"/>
    <row r="258314" s="12" customFormat="1" x14ac:dyDescent="0.25"/>
    <row r="258315" s="12" customFormat="1" x14ac:dyDescent="0.25"/>
    <row r="258316" s="12" customFormat="1" x14ac:dyDescent="0.25"/>
    <row r="258317" s="12" customFormat="1" x14ac:dyDescent="0.25"/>
    <row r="258318" s="12" customFormat="1" x14ac:dyDescent="0.25"/>
    <row r="258319" s="12" customFormat="1" x14ac:dyDescent="0.25"/>
    <row r="258320" s="12" customFormat="1" x14ac:dyDescent="0.25"/>
    <row r="258321" s="12" customFormat="1" x14ac:dyDescent="0.25"/>
    <row r="258322" s="12" customFormat="1" x14ac:dyDescent="0.25"/>
    <row r="258323" s="12" customFormat="1" x14ac:dyDescent="0.25"/>
    <row r="258324" s="12" customFormat="1" x14ac:dyDescent="0.25"/>
    <row r="258325" s="12" customFormat="1" x14ac:dyDescent="0.25"/>
    <row r="258326" s="12" customFormat="1" x14ac:dyDescent="0.25"/>
    <row r="258327" s="12" customFormat="1" x14ac:dyDescent="0.25"/>
    <row r="258328" s="12" customFormat="1" x14ac:dyDescent="0.25"/>
    <row r="258329" s="12" customFormat="1" x14ac:dyDescent="0.25"/>
    <row r="258330" s="12" customFormat="1" x14ac:dyDescent="0.25"/>
    <row r="258331" s="12" customFormat="1" x14ac:dyDescent="0.25"/>
    <row r="258332" s="12" customFormat="1" x14ac:dyDescent="0.25"/>
    <row r="258333" s="12" customFormat="1" x14ac:dyDescent="0.25"/>
    <row r="258334" s="12" customFormat="1" x14ac:dyDescent="0.25"/>
    <row r="258335" s="12" customFormat="1" x14ac:dyDescent="0.25"/>
    <row r="258336" s="12" customFormat="1" x14ac:dyDescent="0.25"/>
    <row r="258337" s="12" customFormat="1" x14ac:dyDescent="0.25"/>
    <row r="258338" s="12" customFormat="1" x14ac:dyDescent="0.25"/>
    <row r="258339" s="12" customFormat="1" x14ac:dyDescent="0.25"/>
    <row r="258340" s="12" customFormat="1" x14ac:dyDescent="0.25"/>
    <row r="258341" s="12" customFormat="1" x14ac:dyDescent="0.25"/>
    <row r="258342" s="12" customFormat="1" x14ac:dyDescent="0.25"/>
    <row r="258343" s="12" customFormat="1" x14ac:dyDescent="0.25"/>
    <row r="258344" s="12" customFormat="1" x14ac:dyDescent="0.25"/>
    <row r="258345" s="12" customFormat="1" x14ac:dyDescent="0.25"/>
    <row r="258346" s="12" customFormat="1" x14ac:dyDescent="0.25"/>
    <row r="258347" s="12" customFormat="1" x14ac:dyDescent="0.25"/>
    <row r="258348" s="12" customFormat="1" x14ac:dyDescent="0.25"/>
    <row r="258349" s="12" customFormat="1" x14ac:dyDescent="0.25"/>
    <row r="258350" s="12" customFormat="1" x14ac:dyDescent="0.25"/>
    <row r="258351" s="12" customFormat="1" x14ac:dyDescent="0.25"/>
    <row r="258352" s="12" customFormat="1" x14ac:dyDescent="0.25"/>
    <row r="258353" s="12" customFormat="1" x14ac:dyDescent="0.25"/>
    <row r="258354" s="12" customFormat="1" x14ac:dyDescent="0.25"/>
    <row r="258355" s="12" customFormat="1" x14ac:dyDescent="0.25"/>
    <row r="258356" s="12" customFormat="1" x14ac:dyDescent="0.25"/>
    <row r="258357" s="12" customFormat="1" x14ac:dyDescent="0.25"/>
    <row r="258358" s="12" customFormat="1" x14ac:dyDescent="0.25"/>
    <row r="258359" s="12" customFormat="1" x14ac:dyDescent="0.25"/>
    <row r="258360" s="12" customFormat="1" x14ac:dyDescent="0.25"/>
    <row r="258361" s="12" customFormat="1" x14ac:dyDescent="0.25"/>
    <row r="258362" s="12" customFormat="1" x14ac:dyDescent="0.25"/>
    <row r="258363" s="12" customFormat="1" x14ac:dyDescent="0.25"/>
    <row r="258364" s="12" customFormat="1" x14ac:dyDescent="0.25"/>
    <row r="258365" s="12" customFormat="1" x14ac:dyDescent="0.25"/>
    <row r="258366" s="12" customFormat="1" x14ac:dyDescent="0.25"/>
    <row r="258367" s="12" customFormat="1" x14ac:dyDescent="0.25"/>
    <row r="258368" s="12" customFormat="1" x14ac:dyDescent="0.25"/>
    <row r="258369" s="12" customFormat="1" x14ac:dyDescent="0.25"/>
    <row r="258370" s="12" customFormat="1" x14ac:dyDescent="0.25"/>
    <row r="258371" s="12" customFormat="1" x14ac:dyDescent="0.25"/>
    <row r="258372" s="12" customFormat="1" x14ac:dyDescent="0.25"/>
    <row r="258373" s="12" customFormat="1" x14ac:dyDescent="0.25"/>
    <row r="258374" s="12" customFormat="1" x14ac:dyDescent="0.25"/>
    <row r="258375" s="12" customFormat="1" x14ac:dyDescent="0.25"/>
    <row r="258376" s="12" customFormat="1" x14ac:dyDescent="0.25"/>
    <row r="258377" s="12" customFormat="1" x14ac:dyDescent="0.25"/>
    <row r="258378" s="12" customFormat="1" x14ac:dyDescent="0.25"/>
    <row r="258379" s="12" customFormat="1" x14ac:dyDescent="0.25"/>
    <row r="258380" s="12" customFormat="1" x14ac:dyDescent="0.25"/>
    <row r="258381" s="12" customFormat="1" x14ac:dyDescent="0.25"/>
    <row r="258382" s="12" customFormat="1" x14ac:dyDescent="0.25"/>
    <row r="258383" s="12" customFormat="1" x14ac:dyDescent="0.25"/>
    <row r="258384" s="12" customFormat="1" x14ac:dyDescent="0.25"/>
    <row r="258385" s="12" customFormat="1" x14ac:dyDescent="0.25"/>
    <row r="258386" s="12" customFormat="1" x14ac:dyDescent="0.25"/>
    <row r="258387" s="12" customFormat="1" x14ac:dyDescent="0.25"/>
    <row r="258388" s="12" customFormat="1" x14ac:dyDescent="0.25"/>
    <row r="258389" s="12" customFormat="1" x14ac:dyDescent="0.25"/>
    <row r="258390" s="12" customFormat="1" x14ac:dyDescent="0.25"/>
    <row r="258391" s="12" customFormat="1" x14ac:dyDescent="0.25"/>
    <row r="258392" s="12" customFormat="1" x14ac:dyDescent="0.25"/>
    <row r="258393" s="12" customFormat="1" x14ac:dyDescent="0.25"/>
    <row r="258394" s="12" customFormat="1" x14ac:dyDescent="0.25"/>
    <row r="258395" s="12" customFormat="1" x14ac:dyDescent="0.25"/>
    <row r="258396" s="12" customFormat="1" x14ac:dyDescent="0.25"/>
    <row r="258397" s="12" customFormat="1" x14ac:dyDescent="0.25"/>
    <row r="258398" s="12" customFormat="1" x14ac:dyDescent="0.25"/>
    <row r="258399" s="12" customFormat="1" x14ac:dyDescent="0.25"/>
    <row r="258400" s="12" customFormat="1" x14ac:dyDescent="0.25"/>
    <row r="258401" s="12" customFormat="1" x14ac:dyDescent="0.25"/>
    <row r="258402" s="12" customFormat="1" x14ac:dyDescent="0.25"/>
    <row r="258403" s="12" customFormat="1" x14ac:dyDescent="0.25"/>
    <row r="258404" s="12" customFormat="1" x14ac:dyDescent="0.25"/>
    <row r="258405" s="12" customFormat="1" x14ac:dyDescent="0.25"/>
    <row r="258406" s="12" customFormat="1" x14ac:dyDescent="0.25"/>
    <row r="258407" s="12" customFormat="1" x14ac:dyDescent="0.25"/>
    <row r="258408" s="12" customFormat="1" x14ac:dyDescent="0.25"/>
    <row r="258409" s="12" customFormat="1" x14ac:dyDescent="0.25"/>
    <row r="258410" s="12" customFormat="1" x14ac:dyDescent="0.25"/>
    <row r="258411" s="12" customFormat="1" x14ac:dyDescent="0.25"/>
    <row r="258412" s="12" customFormat="1" x14ac:dyDescent="0.25"/>
    <row r="258413" s="12" customFormat="1" x14ac:dyDescent="0.25"/>
    <row r="258414" s="12" customFormat="1" x14ac:dyDescent="0.25"/>
    <row r="258415" s="12" customFormat="1" x14ac:dyDescent="0.25"/>
    <row r="258416" s="12" customFormat="1" x14ac:dyDescent="0.25"/>
    <row r="258417" s="12" customFormat="1" x14ac:dyDescent="0.25"/>
    <row r="258418" s="12" customFormat="1" x14ac:dyDescent="0.25"/>
    <row r="258419" s="12" customFormat="1" x14ac:dyDescent="0.25"/>
    <row r="258420" s="12" customFormat="1" x14ac:dyDescent="0.25"/>
    <row r="258421" s="12" customFormat="1" x14ac:dyDescent="0.25"/>
    <row r="258422" s="12" customFormat="1" x14ac:dyDescent="0.25"/>
    <row r="258423" s="12" customFormat="1" x14ac:dyDescent="0.25"/>
    <row r="258424" s="12" customFormat="1" x14ac:dyDescent="0.25"/>
    <row r="258425" s="12" customFormat="1" x14ac:dyDescent="0.25"/>
    <row r="258426" s="12" customFormat="1" x14ac:dyDescent="0.25"/>
    <row r="258427" s="12" customFormat="1" x14ac:dyDescent="0.25"/>
    <row r="258428" s="12" customFormat="1" x14ac:dyDescent="0.25"/>
    <row r="258429" s="12" customFormat="1" x14ac:dyDescent="0.25"/>
    <row r="258430" s="12" customFormat="1" x14ac:dyDescent="0.25"/>
    <row r="258431" s="12" customFormat="1" x14ac:dyDescent="0.25"/>
    <row r="258432" s="12" customFormat="1" x14ac:dyDescent="0.25"/>
    <row r="258433" s="12" customFormat="1" x14ac:dyDescent="0.25"/>
    <row r="258434" s="12" customFormat="1" x14ac:dyDescent="0.25"/>
    <row r="258435" s="12" customFormat="1" x14ac:dyDescent="0.25"/>
    <row r="258436" s="12" customFormat="1" x14ac:dyDescent="0.25"/>
    <row r="258437" s="12" customFormat="1" x14ac:dyDescent="0.25"/>
    <row r="258438" s="12" customFormat="1" x14ac:dyDescent="0.25"/>
    <row r="258439" s="12" customFormat="1" x14ac:dyDescent="0.25"/>
    <row r="258440" s="12" customFormat="1" x14ac:dyDescent="0.25"/>
    <row r="258441" s="12" customFormat="1" x14ac:dyDescent="0.25"/>
    <row r="258442" s="12" customFormat="1" x14ac:dyDescent="0.25"/>
    <row r="258443" s="12" customFormat="1" x14ac:dyDescent="0.25"/>
    <row r="258444" s="12" customFormat="1" x14ac:dyDescent="0.25"/>
    <row r="258445" s="12" customFormat="1" x14ac:dyDescent="0.25"/>
    <row r="258446" s="12" customFormat="1" x14ac:dyDescent="0.25"/>
    <row r="258447" s="12" customFormat="1" x14ac:dyDescent="0.25"/>
    <row r="258448" s="12" customFormat="1" x14ac:dyDescent="0.25"/>
    <row r="258449" s="12" customFormat="1" x14ac:dyDescent="0.25"/>
    <row r="258450" s="12" customFormat="1" x14ac:dyDescent="0.25"/>
    <row r="258451" s="12" customFormat="1" x14ac:dyDescent="0.25"/>
    <row r="258452" s="12" customFormat="1" x14ac:dyDescent="0.25"/>
    <row r="258453" s="12" customFormat="1" x14ac:dyDescent="0.25"/>
    <row r="258454" s="12" customFormat="1" x14ac:dyDescent="0.25"/>
    <row r="258455" s="12" customFormat="1" x14ac:dyDescent="0.25"/>
    <row r="258456" s="12" customFormat="1" x14ac:dyDescent="0.25"/>
    <row r="258457" s="12" customFormat="1" x14ac:dyDescent="0.25"/>
    <row r="258458" s="12" customFormat="1" x14ac:dyDescent="0.25"/>
    <row r="258459" s="12" customFormat="1" x14ac:dyDescent="0.25"/>
    <row r="258460" s="12" customFormat="1" x14ac:dyDescent="0.25"/>
    <row r="258461" s="12" customFormat="1" x14ac:dyDescent="0.25"/>
    <row r="258462" s="12" customFormat="1" x14ac:dyDescent="0.25"/>
    <row r="258463" s="12" customFormat="1" x14ac:dyDescent="0.25"/>
    <row r="258464" s="12" customFormat="1" x14ac:dyDescent="0.25"/>
    <row r="258465" s="12" customFormat="1" x14ac:dyDescent="0.25"/>
    <row r="258466" s="12" customFormat="1" x14ac:dyDescent="0.25"/>
    <row r="258467" s="12" customFormat="1" x14ac:dyDescent="0.25"/>
    <row r="258468" s="12" customFormat="1" x14ac:dyDescent="0.25"/>
    <row r="258469" s="12" customFormat="1" x14ac:dyDescent="0.25"/>
    <row r="258470" s="12" customFormat="1" x14ac:dyDescent="0.25"/>
    <row r="258471" s="12" customFormat="1" x14ac:dyDescent="0.25"/>
    <row r="258472" s="12" customFormat="1" x14ac:dyDescent="0.25"/>
    <row r="258473" s="12" customFormat="1" x14ac:dyDescent="0.25"/>
    <row r="258474" s="12" customFormat="1" x14ac:dyDescent="0.25"/>
    <row r="258475" s="12" customFormat="1" x14ac:dyDescent="0.25"/>
    <row r="258476" s="12" customFormat="1" x14ac:dyDescent="0.25"/>
    <row r="258477" s="12" customFormat="1" x14ac:dyDescent="0.25"/>
    <row r="258478" s="12" customFormat="1" x14ac:dyDescent="0.25"/>
    <row r="258479" s="12" customFormat="1" x14ac:dyDescent="0.25"/>
    <row r="258480" s="12" customFormat="1" x14ac:dyDescent="0.25"/>
    <row r="258481" s="12" customFormat="1" x14ac:dyDescent="0.25"/>
    <row r="258482" s="12" customFormat="1" x14ac:dyDescent="0.25"/>
    <row r="258483" s="12" customFormat="1" x14ac:dyDescent="0.25"/>
    <row r="258484" s="12" customFormat="1" x14ac:dyDescent="0.25"/>
    <row r="258485" s="12" customFormat="1" x14ac:dyDescent="0.25"/>
    <row r="258486" s="12" customFormat="1" x14ac:dyDescent="0.25"/>
    <row r="258487" s="12" customFormat="1" x14ac:dyDescent="0.25"/>
    <row r="258488" s="12" customFormat="1" x14ac:dyDescent="0.25"/>
    <row r="258489" s="12" customFormat="1" x14ac:dyDescent="0.25"/>
    <row r="258490" s="12" customFormat="1" x14ac:dyDescent="0.25"/>
    <row r="258491" s="12" customFormat="1" x14ac:dyDescent="0.25"/>
    <row r="258492" s="12" customFormat="1" x14ac:dyDescent="0.25"/>
    <row r="258493" s="12" customFormat="1" x14ac:dyDescent="0.25"/>
    <row r="258494" s="12" customFormat="1" x14ac:dyDescent="0.25"/>
    <row r="258495" s="12" customFormat="1" x14ac:dyDescent="0.25"/>
    <row r="258496" s="12" customFormat="1" x14ac:dyDescent="0.25"/>
    <row r="258497" s="12" customFormat="1" x14ac:dyDescent="0.25"/>
    <row r="258498" s="12" customFormat="1" x14ac:dyDescent="0.25"/>
    <row r="258499" s="12" customFormat="1" x14ac:dyDescent="0.25"/>
    <row r="258500" s="12" customFormat="1" x14ac:dyDescent="0.25"/>
    <row r="258501" s="12" customFormat="1" x14ac:dyDescent="0.25"/>
    <row r="258502" s="12" customFormat="1" x14ac:dyDescent="0.25"/>
    <row r="258503" s="12" customFormat="1" x14ac:dyDescent="0.25"/>
    <row r="258504" s="12" customFormat="1" x14ac:dyDescent="0.25"/>
    <row r="258505" s="12" customFormat="1" x14ac:dyDescent="0.25"/>
    <row r="258506" s="12" customFormat="1" x14ac:dyDescent="0.25"/>
    <row r="258507" s="12" customFormat="1" x14ac:dyDescent="0.25"/>
    <row r="258508" s="12" customFormat="1" x14ac:dyDescent="0.25"/>
    <row r="258509" s="12" customFormat="1" x14ac:dyDescent="0.25"/>
    <row r="258510" s="12" customFormat="1" x14ac:dyDescent="0.25"/>
    <row r="258511" s="12" customFormat="1" x14ac:dyDescent="0.25"/>
    <row r="258512" s="12" customFormat="1" x14ac:dyDescent="0.25"/>
    <row r="258513" s="12" customFormat="1" x14ac:dyDescent="0.25"/>
    <row r="258514" s="12" customFormat="1" x14ac:dyDescent="0.25"/>
    <row r="258515" s="12" customFormat="1" x14ac:dyDescent="0.25"/>
    <row r="258516" s="12" customFormat="1" x14ac:dyDescent="0.25"/>
    <row r="258517" s="12" customFormat="1" x14ac:dyDescent="0.25"/>
    <row r="258518" s="12" customFormat="1" x14ac:dyDescent="0.25"/>
    <row r="258519" s="12" customFormat="1" x14ac:dyDescent="0.25"/>
    <row r="258520" s="12" customFormat="1" x14ac:dyDescent="0.25"/>
    <row r="258521" s="12" customFormat="1" x14ac:dyDescent="0.25"/>
    <row r="258522" s="12" customFormat="1" x14ac:dyDescent="0.25"/>
    <row r="258523" s="12" customFormat="1" x14ac:dyDescent="0.25"/>
    <row r="258524" s="12" customFormat="1" x14ac:dyDescent="0.25"/>
    <row r="258525" s="12" customFormat="1" x14ac:dyDescent="0.25"/>
    <row r="258526" s="12" customFormat="1" x14ac:dyDescent="0.25"/>
    <row r="258527" s="12" customFormat="1" x14ac:dyDescent="0.25"/>
    <row r="258528" s="12" customFormat="1" x14ac:dyDescent="0.25"/>
    <row r="258529" s="12" customFormat="1" x14ac:dyDescent="0.25"/>
    <row r="258530" s="12" customFormat="1" x14ac:dyDescent="0.25"/>
    <row r="258531" s="12" customFormat="1" x14ac:dyDescent="0.25"/>
    <row r="258532" s="12" customFormat="1" x14ac:dyDescent="0.25"/>
    <row r="258533" s="12" customFormat="1" x14ac:dyDescent="0.25"/>
    <row r="258534" s="12" customFormat="1" x14ac:dyDescent="0.25"/>
    <row r="258535" s="12" customFormat="1" x14ac:dyDescent="0.25"/>
    <row r="258536" s="12" customFormat="1" x14ac:dyDescent="0.25"/>
    <row r="258537" s="12" customFormat="1" x14ac:dyDescent="0.25"/>
    <row r="258538" s="12" customFormat="1" x14ac:dyDescent="0.25"/>
    <row r="258539" s="12" customFormat="1" x14ac:dyDescent="0.25"/>
    <row r="258540" s="12" customFormat="1" x14ac:dyDescent="0.25"/>
    <row r="258541" s="12" customFormat="1" x14ac:dyDescent="0.25"/>
    <row r="258542" s="12" customFormat="1" x14ac:dyDescent="0.25"/>
    <row r="258543" s="12" customFormat="1" x14ac:dyDescent="0.25"/>
    <row r="258544" s="12" customFormat="1" x14ac:dyDescent="0.25"/>
    <row r="258545" s="12" customFormat="1" x14ac:dyDescent="0.25"/>
    <row r="258546" s="12" customFormat="1" x14ac:dyDescent="0.25"/>
    <row r="258547" s="12" customFormat="1" x14ac:dyDescent="0.25"/>
    <row r="258548" s="12" customFormat="1" x14ac:dyDescent="0.25"/>
    <row r="258549" s="12" customFormat="1" x14ac:dyDescent="0.25"/>
    <row r="258550" s="12" customFormat="1" x14ac:dyDescent="0.25"/>
    <row r="258551" s="12" customFormat="1" x14ac:dyDescent="0.25"/>
    <row r="258552" s="12" customFormat="1" x14ac:dyDescent="0.25"/>
    <row r="258553" s="12" customFormat="1" x14ac:dyDescent="0.25"/>
    <row r="258554" s="12" customFormat="1" x14ac:dyDescent="0.25"/>
    <row r="258555" s="12" customFormat="1" x14ac:dyDescent="0.25"/>
    <row r="258556" s="12" customFormat="1" x14ac:dyDescent="0.25"/>
    <row r="258557" s="12" customFormat="1" x14ac:dyDescent="0.25"/>
    <row r="258558" s="12" customFormat="1" x14ac:dyDescent="0.25"/>
    <row r="258559" s="12" customFormat="1" x14ac:dyDescent="0.25"/>
    <row r="258560" s="12" customFormat="1" x14ac:dyDescent="0.25"/>
    <row r="258561" s="12" customFormat="1" x14ac:dyDescent="0.25"/>
    <row r="258562" s="12" customFormat="1" x14ac:dyDescent="0.25"/>
    <row r="258563" s="12" customFormat="1" x14ac:dyDescent="0.25"/>
    <row r="258564" s="12" customFormat="1" x14ac:dyDescent="0.25"/>
    <row r="258565" s="12" customFormat="1" x14ac:dyDescent="0.25"/>
    <row r="258566" s="12" customFormat="1" x14ac:dyDescent="0.25"/>
    <row r="258567" s="12" customFormat="1" x14ac:dyDescent="0.25"/>
    <row r="258568" s="12" customFormat="1" x14ac:dyDescent="0.25"/>
    <row r="258569" s="12" customFormat="1" x14ac:dyDescent="0.25"/>
    <row r="258570" s="12" customFormat="1" x14ac:dyDescent="0.25"/>
    <row r="258571" s="12" customFormat="1" x14ac:dyDescent="0.25"/>
    <row r="258572" s="12" customFormat="1" x14ac:dyDescent="0.25"/>
    <row r="258573" s="12" customFormat="1" x14ac:dyDescent="0.25"/>
    <row r="258574" s="12" customFormat="1" x14ac:dyDescent="0.25"/>
    <row r="258575" s="12" customFormat="1" x14ac:dyDescent="0.25"/>
    <row r="258576" s="12" customFormat="1" x14ac:dyDescent="0.25"/>
    <row r="258577" s="12" customFormat="1" x14ac:dyDescent="0.25"/>
    <row r="258578" s="12" customFormat="1" x14ac:dyDescent="0.25"/>
    <row r="258579" s="12" customFormat="1" x14ac:dyDescent="0.25"/>
    <row r="258580" s="12" customFormat="1" x14ac:dyDescent="0.25"/>
    <row r="258581" s="12" customFormat="1" x14ac:dyDescent="0.25"/>
    <row r="258582" s="12" customFormat="1" x14ac:dyDescent="0.25"/>
    <row r="258583" s="12" customFormat="1" x14ac:dyDescent="0.25"/>
    <row r="258584" s="12" customFormat="1" x14ac:dyDescent="0.25"/>
    <row r="258585" s="12" customFormat="1" x14ac:dyDescent="0.25"/>
    <row r="258586" s="12" customFormat="1" x14ac:dyDescent="0.25"/>
    <row r="258587" s="12" customFormat="1" x14ac:dyDescent="0.25"/>
    <row r="258588" s="12" customFormat="1" x14ac:dyDescent="0.25"/>
    <row r="258589" s="12" customFormat="1" x14ac:dyDescent="0.25"/>
    <row r="258590" s="12" customFormat="1" x14ac:dyDescent="0.25"/>
    <row r="258591" s="12" customFormat="1" x14ac:dyDescent="0.25"/>
    <row r="258592" s="12" customFormat="1" x14ac:dyDescent="0.25"/>
    <row r="258593" s="12" customFormat="1" x14ac:dyDescent="0.25"/>
    <row r="258594" s="12" customFormat="1" x14ac:dyDescent="0.25"/>
    <row r="258595" s="12" customFormat="1" x14ac:dyDescent="0.25"/>
    <row r="258596" s="12" customFormat="1" x14ac:dyDescent="0.25"/>
    <row r="258597" s="12" customFormat="1" x14ac:dyDescent="0.25"/>
    <row r="258598" s="12" customFormat="1" x14ac:dyDescent="0.25"/>
    <row r="258599" s="12" customFormat="1" x14ac:dyDescent="0.25"/>
    <row r="258600" s="12" customFormat="1" x14ac:dyDescent="0.25"/>
    <row r="258601" s="12" customFormat="1" x14ac:dyDescent="0.25"/>
    <row r="258602" s="12" customFormat="1" x14ac:dyDescent="0.25"/>
    <row r="258603" s="12" customFormat="1" x14ac:dyDescent="0.25"/>
    <row r="258604" s="12" customFormat="1" x14ac:dyDescent="0.25"/>
    <row r="258605" s="12" customFormat="1" x14ac:dyDescent="0.25"/>
    <row r="258606" s="12" customFormat="1" x14ac:dyDescent="0.25"/>
    <row r="258607" s="12" customFormat="1" x14ac:dyDescent="0.25"/>
    <row r="258608" s="12" customFormat="1" x14ac:dyDescent="0.25"/>
    <row r="258609" s="12" customFormat="1" x14ac:dyDescent="0.25"/>
    <row r="258610" s="12" customFormat="1" x14ac:dyDescent="0.25"/>
    <row r="258611" s="12" customFormat="1" x14ac:dyDescent="0.25"/>
    <row r="258612" s="12" customFormat="1" x14ac:dyDescent="0.25"/>
    <row r="258613" s="12" customFormat="1" x14ac:dyDescent="0.25"/>
    <row r="258614" s="12" customFormat="1" x14ac:dyDescent="0.25"/>
    <row r="258615" s="12" customFormat="1" x14ac:dyDescent="0.25"/>
    <row r="258616" s="12" customFormat="1" x14ac:dyDescent="0.25"/>
    <row r="258617" s="12" customFormat="1" x14ac:dyDescent="0.25"/>
    <row r="258618" s="12" customFormat="1" x14ac:dyDescent="0.25"/>
    <row r="258619" s="12" customFormat="1" x14ac:dyDescent="0.25"/>
    <row r="258620" s="12" customFormat="1" x14ac:dyDescent="0.25"/>
    <row r="258621" s="12" customFormat="1" x14ac:dyDescent="0.25"/>
    <row r="258622" s="12" customFormat="1" x14ac:dyDescent="0.25"/>
    <row r="258623" s="12" customFormat="1" x14ac:dyDescent="0.25"/>
    <row r="258624" s="12" customFormat="1" x14ac:dyDescent="0.25"/>
    <row r="258625" s="12" customFormat="1" x14ac:dyDescent="0.25"/>
    <row r="258626" s="12" customFormat="1" x14ac:dyDescent="0.25"/>
    <row r="258627" s="12" customFormat="1" x14ac:dyDescent="0.25"/>
    <row r="258628" s="12" customFormat="1" x14ac:dyDescent="0.25"/>
    <row r="258629" s="12" customFormat="1" x14ac:dyDescent="0.25"/>
    <row r="258630" s="12" customFormat="1" x14ac:dyDescent="0.25"/>
    <row r="258631" s="12" customFormat="1" x14ac:dyDescent="0.25"/>
    <row r="258632" s="12" customFormat="1" x14ac:dyDescent="0.25"/>
    <row r="258633" s="12" customFormat="1" x14ac:dyDescent="0.25"/>
    <row r="258634" s="12" customFormat="1" x14ac:dyDescent="0.25"/>
    <row r="258635" s="12" customFormat="1" x14ac:dyDescent="0.25"/>
    <row r="258636" s="12" customFormat="1" x14ac:dyDescent="0.25"/>
    <row r="258637" s="12" customFormat="1" x14ac:dyDescent="0.25"/>
    <row r="258638" s="12" customFormat="1" x14ac:dyDescent="0.25"/>
    <row r="258639" s="12" customFormat="1" x14ac:dyDescent="0.25"/>
    <row r="258640" s="12" customFormat="1" x14ac:dyDescent="0.25"/>
    <row r="258641" s="12" customFormat="1" x14ac:dyDescent="0.25"/>
    <row r="258642" s="12" customFormat="1" x14ac:dyDescent="0.25"/>
    <row r="258643" s="12" customFormat="1" x14ac:dyDescent="0.25"/>
    <row r="258644" s="12" customFormat="1" x14ac:dyDescent="0.25"/>
    <row r="258645" s="12" customFormat="1" x14ac:dyDescent="0.25"/>
    <row r="258646" s="12" customFormat="1" x14ac:dyDescent="0.25"/>
    <row r="258647" s="12" customFormat="1" x14ac:dyDescent="0.25"/>
    <row r="258648" s="12" customFormat="1" x14ac:dyDescent="0.25"/>
    <row r="258649" s="12" customFormat="1" x14ac:dyDescent="0.25"/>
    <row r="258650" s="12" customFormat="1" x14ac:dyDescent="0.25"/>
    <row r="258651" s="12" customFormat="1" x14ac:dyDescent="0.25"/>
    <row r="258652" s="12" customFormat="1" x14ac:dyDescent="0.25"/>
    <row r="258653" s="12" customFormat="1" x14ac:dyDescent="0.25"/>
    <row r="258654" s="12" customFormat="1" x14ac:dyDescent="0.25"/>
    <row r="258655" s="12" customFormat="1" x14ac:dyDescent="0.25"/>
    <row r="258656" s="12" customFormat="1" x14ac:dyDescent="0.25"/>
    <row r="258657" s="12" customFormat="1" x14ac:dyDescent="0.25"/>
    <row r="258658" s="12" customFormat="1" x14ac:dyDescent="0.25"/>
    <row r="258659" s="12" customFormat="1" x14ac:dyDescent="0.25"/>
    <row r="258660" s="12" customFormat="1" x14ac:dyDescent="0.25"/>
    <row r="258661" s="12" customFormat="1" x14ac:dyDescent="0.25"/>
    <row r="258662" s="12" customFormat="1" x14ac:dyDescent="0.25"/>
    <row r="258663" s="12" customFormat="1" x14ac:dyDescent="0.25"/>
    <row r="258664" s="12" customFormat="1" x14ac:dyDescent="0.25"/>
    <row r="258665" s="12" customFormat="1" x14ac:dyDescent="0.25"/>
    <row r="258666" s="12" customFormat="1" x14ac:dyDescent="0.25"/>
    <row r="258667" s="12" customFormat="1" x14ac:dyDescent="0.25"/>
    <row r="258668" s="12" customFormat="1" x14ac:dyDescent="0.25"/>
    <row r="258669" s="12" customFormat="1" x14ac:dyDescent="0.25"/>
    <row r="258670" s="12" customFormat="1" x14ac:dyDescent="0.25"/>
    <row r="258671" s="12" customFormat="1" x14ac:dyDescent="0.25"/>
    <row r="258672" s="12" customFormat="1" x14ac:dyDescent="0.25"/>
    <row r="258673" s="12" customFormat="1" x14ac:dyDescent="0.25"/>
    <row r="258674" s="12" customFormat="1" x14ac:dyDescent="0.25"/>
    <row r="258675" s="12" customFormat="1" x14ac:dyDescent="0.25"/>
    <row r="258676" s="12" customFormat="1" x14ac:dyDescent="0.25"/>
    <row r="258677" s="12" customFormat="1" x14ac:dyDescent="0.25"/>
    <row r="258678" s="12" customFormat="1" x14ac:dyDescent="0.25"/>
    <row r="258679" s="12" customFormat="1" x14ac:dyDescent="0.25"/>
    <row r="258680" s="12" customFormat="1" x14ac:dyDescent="0.25"/>
    <row r="258681" s="12" customFormat="1" x14ac:dyDescent="0.25"/>
    <row r="258682" s="12" customFormat="1" x14ac:dyDescent="0.25"/>
    <row r="258683" s="12" customFormat="1" x14ac:dyDescent="0.25"/>
    <row r="258684" s="12" customFormat="1" x14ac:dyDescent="0.25"/>
    <row r="258685" s="12" customFormat="1" x14ac:dyDescent="0.25"/>
    <row r="258686" s="12" customFormat="1" x14ac:dyDescent="0.25"/>
    <row r="258687" s="12" customFormat="1" x14ac:dyDescent="0.25"/>
    <row r="258688" s="12" customFormat="1" x14ac:dyDescent="0.25"/>
    <row r="258689" s="12" customFormat="1" x14ac:dyDescent="0.25"/>
    <row r="258690" s="12" customFormat="1" x14ac:dyDescent="0.25"/>
    <row r="258691" s="12" customFormat="1" x14ac:dyDescent="0.25"/>
    <row r="258692" s="12" customFormat="1" x14ac:dyDescent="0.25"/>
    <row r="258693" s="12" customFormat="1" x14ac:dyDescent="0.25"/>
    <row r="258694" s="12" customFormat="1" x14ac:dyDescent="0.25"/>
    <row r="258695" s="12" customFormat="1" x14ac:dyDescent="0.25"/>
    <row r="258696" s="12" customFormat="1" x14ac:dyDescent="0.25"/>
    <row r="258697" s="12" customFormat="1" x14ac:dyDescent="0.25"/>
    <row r="258698" s="12" customFormat="1" x14ac:dyDescent="0.25"/>
    <row r="258699" s="12" customFormat="1" x14ac:dyDescent="0.25"/>
    <row r="258700" s="12" customFormat="1" x14ac:dyDescent="0.25"/>
    <row r="258701" s="12" customFormat="1" x14ac:dyDescent="0.25"/>
    <row r="258702" s="12" customFormat="1" x14ac:dyDescent="0.25"/>
    <row r="258703" s="12" customFormat="1" x14ac:dyDescent="0.25"/>
    <row r="258704" s="12" customFormat="1" x14ac:dyDescent="0.25"/>
    <row r="258705" s="12" customFormat="1" x14ac:dyDescent="0.25"/>
    <row r="258706" s="12" customFormat="1" x14ac:dyDescent="0.25"/>
    <row r="258707" s="12" customFormat="1" x14ac:dyDescent="0.25"/>
    <row r="258708" s="12" customFormat="1" x14ac:dyDescent="0.25"/>
    <row r="258709" s="12" customFormat="1" x14ac:dyDescent="0.25"/>
    <row r="258710" s="12" customFormat="1" x14ac:dyDescent="0.25"/>
    <row r="258711" s="12" customFormat="1" x14ac:dyDescent="0.25"/>
    <row r="258712" s="12" customFormat="1" x14ac:dyDescent="0.25"/>
    <row r="258713" s="12" customFormat="1" x14ac:dyDescent="0.25"/>
    <row r="258714" s="12" customFormat="1" x14ac:dyDescent="0.25"/>
    <row r="258715" s="12" customFormat="1" x14ac:dyDescent="0.25"/>
    <row r="258716" s="12" customFormat="1" x14ac:dyDescent="0.25"/>
    <row r="258717" s="12" customFormat="1" x14ac:dyDescent="0.25"/>
    <row r="258718" s="12" customFormat="1" x14ac:dyDescent="0.25"/>
    <row r="258719" s="12" customFormat="1" x14ac:dyDescent="0.25"/>
    <row r="258720" s="12" customFormat="1" x14ac:dyDescent="0.25"/>
    <row r="258721" s="12" customFormat="1" x14ac:dyDescent="0.25"/>
    <row r="258722" s="12" customFormat="1" x14ac:dyDescent="0.25"/>
    <row r="258723" s="12" customFormat="1" x14ac:dyDescent="0.25"/>
    <row r="258724" s="12" customFormat="1" x14ac:dyDescent="0.25"/>
    <row r="258725" s="12" customFormat="1" x14ac:dyDescent="0.25"/>
    <row r="258726" s="12" customFormat="1" x14ac:dyDescent="0.25"/>
    <row r="258727" s="12" customFormat="1" x14ac:dyDescent="0.25"/>
    <row r="258728" s="12" customFormat="1" x14ac:dyDescent="0.25"/>
    <row r="258729" s="12" customFormat="1" x14ac:dyDescent="0.25"/>
    <row r="258730" s="12" customFormat="1" x14ac:dyDescent="0.25"/>
    <row r="258731" s="12" customFormat="1" x14ac:dyDescent="0.25"/>
    <row r="258732" s="12" customFormat="1" x14ac:dyDescent="0.25"/>
    <row r="258733" s="12" customFormat="1" x14ac:dyDescent="0.25"/>
    <row r="258734" s="12" customFormat="1" x14ac:dyDescent="0.25"/>
    <row r="258735" s="12" customFormat="1" x14ac:dyDescent="0.25"/>
    <row r="258736" s="12" customFormat="1" x14ac:dyDescent="0.25"/>
    <row r="258737" s="12" customFormat="1" x14ac:dyDescent="0.25"/>
    <row r="258738" s="12" customFormat="1" x14ac:dyDescent="0.25"/>
    <row r="258739" s="12" customFormat="1" x14ac:dyDescent="0.25"/>
    <row r="258740" s="12" customFormat="1" x14ac:dyDescent="0.25"/>
    <row r="258741" s="12" customFormat="1" x14ac:dyDescent="0.25"/>
    <row r="258742" s="12" customFormat="1" x14ac:dyDescent="0.25"/>
    <row r="258743" s="12" customFormat="1" x14ac:dyDescent="0.25"/>
    <row r="258744" s="12" customFormat="1" x14ac:dyDescent="0.25"/>
    <row r="258745" s="12" customFormat="1" x14ac:dyDescent="0.25"/>
    <row r="258746" s="12" customFormat="1" x14ac:dyDescent="0.25"/>
    <row r="258747" s="12" customFormat="1" x14ac:dyDescent="0.25"/>
    <row r="258748" s="12" customFormat="1" x14ac:dyDescent="0.25"/>
    <row r="258749" s="12" customFormat="1" x14ac:dyDescent="0.25"/>
    <row r="258750" s="12" customFormat="1" x14ac:dyDescent="0.25"/>
    <row r="258751" s="12" customFormat="1" x14ac:dyDescent="0.25"/>
    <row r="258752" s="12" customFormat="1" x14ac:dyDescent="0.25"/>
    <row r="258753" s="12" customFormat="1" x14ac:dyDescent="0.25"/>
    <row r="258754" s="12" customFormat="1" x14ac:dyDescent="0.25"/>
    <row r="258755" s="12" customFormat="1" x14ac:dyDescent="0.25"/>
    <row r="258756" s="12" customFormat="1" x14ac:dyDescent="0.25"/>
    <row r="258757" s="12" customFormat="1" x14ac:dyDescent="0.25"/>
    <row r="258758" s="12" customFormat="1" x14ac:dyDescent="0.25"/>
    <row r="258759" s="12" customFormat="1" x14ac:dyDescent="0.25"/>
    <row r="258760" s="12" customFormat="1" x14ac:dyDescent="0.25"/>
    <row r="258761" s="12" customFormat="1" x14ac:dyDescent="0.25"/>
    <row r="258762" s="12" customFormat="1" x14ac:dyDescent="0.25"/>
    <row r="258763" s="12" customFormat="1" x14ac:dyDescent="0.25"/>
    <row r="258764" s="12" customFormat="1" x14ac:dyDescent="0.25"/>
    <row r="258765" s="12" customFormat="1" x14ac:dyDescent="0.25"/>
    <row r="258766" s="12" customFormat="1" x14ac:dyDescent="0.25"/>
    <row r="258767" s="12" customFormat="1" x14ac:dyDescent="0.25"/>
    <row r="258768" s="12" customFormat="1" x14ac:dyDescent="0.25"/>
    <row r="258769" s="12" customFormat="1" x14ac:dyDescent="0.25"/>
    <row r="258770" s="12" customFormat="1" x14ac:dyDescent="0.25"/>
    <row r="258771" s="12" customFormat="1" x14ac:dyDescent="0.25"/>
    <row r="258772" s="12" customFormat="1" x14ac:dyDescent="0.25"/>
    <row r="258773" s="12" customFormat="1" x14ac:dyDescent="0.25"/>
    <row r="258774" s="12" customFormat="1" x14ac:dyDescent="0.25"/>
    <row r="258775" s="12" customFormat="1" x14ac:dyDescent="0.25"/>
    <row r="258776" s="12" customFormat="1" x14ac:dyDescent="0.25"/>
    <row r="258777" s="12" customFormat="1" x14ac:dyDescent="0.25"/>
    <row r="258778" s="12" customFormat="1" x14ac:dyDescent="0.25"/>
    <row r="258779" s="12" customFormat="1" x14ac:dyDescent="0.25"/>
    <row r="258780" s="12" customFormat="1" x14ac:dyDescent="0.25"/>
    <row r="258781" s="12" customFormat="1" x14ac:dyDescent="0.25"/>
    <row r="258782" s="12" customFormat="1" x14ac:dyDescent="0.25"/>
    <row r="258783" s="12" customFormat="1" x14ac:dyDescent="0.25"/>
    <row r="258784" s="12" customFormat="1" x14ac:dyDescent="0.25"/>
    <row r="258785" s="12" customFormat="1" x14ac:dyDescent="0.25"/>
    <row r="258786" s="12" customFormat="1" x14ac:dyDescent="0.25"/>
    <row r="258787" s="12" customFormat="1" x14ac:dyDescent="0.25"/>
    <row r="258788" s="12" customFormat="1" x14ac:dyDescent="0.25"/>
    <row r="258789" s="12" customFormat="1" x14ac:dyDescent="0.25"/>
    <row r="258790" s="12" customFormat="1" x14ac:dyDescent="0.25"/>
    <row r="258791" s="12" customFormat="1" x14ac:dyDescent="0.25"/>
    <row r="258792" s="12" customFormat="1" x14ac:dyDescent="0.25"/>
    <row r="258793" s="12" customFormat="1" x14ac:dyDescent="0.25"/>
    <row r="258794" s="12" customFormat="1" x14ac:dyDescent="0.25"/>
    <row r="258795" s="12" customFormat="1" x14ac:dyDescent="0.25"/>
    <row r="258796" s="12" customFormat="1" x14ac:dyDescent="0.25"/>
    <row r="258797" s="12" customFormat="1" x14ac:dyDescent="0.25"/>
    <row r="258798" s="12" customFormat="1" x14ac:dyDescent="0.25"/>
    <row r="258799" s="12" customFormat="1" x14ac:dyDescent="0.25"/>
    <row r="258800" s="12" customFormat="1" x14ac:dyDescent="0.25"/>
    <row r="258801" s="12" customFormat="1" x14ac:dyDescent="0.25"/>
    <row r="258802" s="12" customFormat="1" x14ac:dyDescent="0.25"/>
    <row r="258803" s="12" customFormat="1" x14ac:dyDescent="0.25"/>
    <row r="258804" s="12" customFormat="1" x14ac:dyDescent="0.25"/>
    <row r="258805" s="12" customFormat="1" x14ac:dyDescent="0.25"/>
    <row r="258806" s="12" customFormat="1" x14ac:dyDescent="0.25"/>
    <row r="258807" s="12" customFormat="1" x14ac:dyDescent="0.25"/>
    <row r="258808" s="12" customFormat="1" x14ac:dyDescent="0.25"/>
    <row r="258809" s="12" customFormat="1" x14ac:dyDescent="0.25"/>
    <row r="258810" s="12" customFormat="1" x14ac:dyDescent="0.25"/>
    <row r="258811" s="12" customFormat="1" x14ac:dyDescent="0.25"/>
    <row r="258812" s="12" customFormat="1" x14ac:dyDescent="0.25"/>
    <row r="258813" s="12" customFormat="1" x14ac:dyDescent="0.25"/>
    <row r="258814" s="12" customFormat="1" x14ac:dyDescent="0.25"/>
    <row r="258815" s="12" customFormat="1" x14ac:dyDescent="0.25"/>
    <row r="258816" s="12" customFormat="1" x14ac:dyDescent="0.25"/>
    <row r="258817" s="12" customFormat="1" x14ac:dyDescent="0.25"/>
    <row r="258818" s="12" customFormat="1" x14ac:dyDescent="0.25"/>
    <row r="258819" s="12" customFormat="1" x14ac:dyDescent="0.25"/>
    <row r="258820" s="12" customFormat="1" x14ac:dyDescent="0.25"/>
    <row r="258821" s="12" customFormat="1" x14ac:dyDescent="0.25"/>
    <row r="258822" s="12" customFormat="1" x14ac:dyDescent="0.25"/>
    <row r="258823" s="12" customFormat="1" x14ac:dyDescent="0.25"/>
    <row r="258824" s="12" customFormat="1" x14ac:dyDescent="0.25"/>
    <row r="258825" s="12" customFormat="1" x14ac:dyDescent="0.25"/>
    <row r="258826" s="12" customFormat="1" x14ac:dyDescent="0.25"/>
    <row r="258827" s="12" customFormat="1" x14ac:dyDescent="0.25"/>
    <row r="258828" s="12" customFormat="1" x14ac:dyDescent="0.25"/>
    <row r="258829" s="12" customFormat="1" x14ac:dyDescent="0.25"/>
    <row r="258830" s="12" customFormat="1" x14ac:dyDescent="0.25"/>
    <row r="258831" s="12" customFormat="1" x14ac:dyDescent="0.25"/>
    <row r="258832" s="12" customFormat="1" x14ac:dyDescent="0.25"/>
    <row r="258833" s="12" customFormat="1" x14ac:dyDescent="0.25"/>
    <row r="258834" s="12" customFormat="1" x14ac:dyDescent="0.25"/>
    <row r="258835" s="12" customFormat="1" x14ac:dyDescent="0.25"/>
    <row r="258836" s="12" customFormat="1" x14ac:dyDescent="0.25"/>
    <row r="258837" s="12" customFormat="1" x14ac:dyDescent="0.25"/>
    <row r="258838" s="12" customFormat="1" x14ac:dyDescent="0.25"/>
    <row r="258839" s="12" customFormat="1" x14ac:dyDescent="0.25"/>
    <row r="258840" s="12" customFormat="1" x14ac:dyDescent="0.25"/>
    <row r="258841" s="12" customFormat="1" x14ac:dyDescent="0.25"/>
    <row r="258842" s="12" customFormat="1" x14ac:dyDescent="0.25"/>
    <row r="258843" s="12" customFormat="1" x14ac:dyDescent="0.25"/>
    <row r="258844" s="12" customFormat="1" x14ac:dyDescent="0.25"/>
    <row r="258845" s="12" customFormat="1" x14ac:dyDescent="0.25"/>
    <row r="258846" s="12" customFormat="1" x14ac:dyDescent="0.25"/>
    <row r="258847" s="12" customFormat="1" x14ac:dyDescent="0.25"/>
    <row r="258848" s="12" customFormat="1" x14ac:dyDescent="0.25"/>
    <row r="258849" s="12" customFormat="1" x14ac:dyDescent="0.25"/>
    <row r="258850" s="12" customFormat="1" x14ac:dyDescent="0.25"/>
    <row r="258851" s="12" customFormat="1" x14ac:dyDescent="0.25"/>
    <row r="258852" s="12" customFormat="1" x14ac:dyDescent="0.25"/>
    <row r="258853" s="12" customFormat="1" x14ac:dyDescent="0.25"/>
    <row r="258854" s="12" customFormat="1" x14ac:dyDescent="0.25"/>
    <row r="258855" s="12" customFormat="1" x14ac:dyDescent="0.25"/>
    <row r="258856" s="12" customFormat="1" x14ac:dyDescent="0.25"/>
    <row r="258857" s="12" customFormat="1" x14ac:dyDescent="0.25"/>
    <row r="258858" s="12" customFormat="1" x14ac:dyDescent="0.25"/>
    <row r="258859" s="12" customFormat="1" x14ac:dyDescent="0.25"/>
    <row r="258860" s="12" customFormat="1" x14ac:dyDescent="0.25"/>
    <row r="258861" s="12" customFormat="1" x14ac:dyDescent="0.25"/>
    <row r="258862" s="12" customFormat="1" x14ac:dyDescent="0.25"/>
    <row r="258863" s="12" customFormat="1" x14ac:dyDescent="0.25"/>
    <row r="258864" s="12" customFormat="1" x14ac:dyDescent="0.25"/>
    <row r="258865" s="12" customFormat="1" x14ac:dyDescent="0.25"/>
    <row r="258866" s="12" customFormat="1" x14ac:dyDescent="0.25"/>
    <row r="258867" s="12" customFormat="1" x14ac:dyDescent="0.25"/>
    <row r="258868" s="12" customFormat="1" x14ac:dyDescent="0.25"/>
    <row r="258869" s="12" customFormat="1" x14ac:dyDescent="0.25"/>
    <row r="258870" s="12" customFormat="1" x14ac:dyDescent="0.25"/>
    <row r="258871" s="12" customFormat="1" x14ac:dyDescent="0.25"/>
    <row r="258872" s="12" customFormat="1" x14ac:dyDescent="0.25"/>
    <row r="258873" s="12" customFormat="1" x14ac:dyDescent="0.25"/>
    <row r="258874" s="12" customFormat="1" x14ac:dyDescent="0.25"/>
    <row r="258875" s="12" customFormat="1" x14ac:dyDescent="0.25"/>
    <row r="258876" s="12" customFormat="1" x14ac:dyDescent="0.25"/>
    <row r="258877" s="12" customFormat="1" x14ac:dyDescent="0.25"/>
    <row r="258878" s="12" customFormat="1" x14ac:dyDescent="0.25"/>
    <row r="258879" s="12" customFormat="1" x14ac:dyDescent="0.25"/>
    <row r="258880" s="12" customFormat="1" x14ac:dyDescent="0.25"/>
    <row r="258881" s="12" customFormat="1" x14ac:dyDescent="0.25"/>
    <row r="258882" s="12" customFormat="1" x14ac:dyDescent="0.25"/>
    <row r="258883" s="12" customFormat="1" x14ac:dyDescent="0.25"/>
    <row r="258884" s="12" customFormat="1" x14ac:dyDescent="0.25"/>
    <row r="258885" s="12" customFormat="1" x14ac:dyDescent="0.25"/>
    <row r="258886" s="12" customFormat="1" x14ac:dyDescent="0.25"/>
    <row r="258887" s="12" customFormat="1" x14ac:dyDescent="0.25"/>
    <row r="258888" s="12" customFormat="1" x14ac:dyDescent="0.25"/>
    <row r="258889" s="12" customFormat="1" x14ac:dyDescent="0.25"/>
    <row r="258890" s="12" customFormat="1" x14ac:dyDescent="0.25"/>
    <row r="258891" s="12" customFormat="1" x14ac:dyDescent="0.25"/>
    <row r="258892" s="12" customFormat="1" x14ac:dyDescent="0.25"/>
    <row r="258893" s="12" customFormat="1" x14ac:dyDescent="0.25"/>
    <row r="258894" s="12" customFormat="1" x14ac:dyDescent="0.25"/>
    <row r="258895" s="12" customFormat="1" x14ac:dyDescent="0.25"/>
    <row r="258896" s="12" customFormat="1" x14ac:dyDescent="0.25"/>
    <row r="258897" s="12" customFormat="1" x14ac:dyDescent="0.25"/>
    <row r="258898" s="12" customFormat="1" x14ac:dyDescent="0.25"/>
    <row r="258899" s="12" customFormat="1" x14ac:dyDescent="0.25"/>
    <row r="258900" s="12" customFormat="1" x14ac:dyDescent="0.25"/>
    <row r="258901" s="12" customFormat="1" x14ac:dyDescent="0.25"/>
    <row r="258902" s="12" customFormat="1" x14ac:dyDescent="0.25"/>
    <row r="258903" s="12" customFormat="1" x14ac:dyDescent="0.25"/>
    <row r="258904" s="12" customFormat="1" x14ac:dyDescent="0.25"/>
    <row r="258905" s="12" customFormat="1" x14ac:dyDescent="0.25"/>
    <row r="258906" s="12" customFormat="1" x14ac:dyDescent="0.25"/>
    <row r="258907" s="12" customFormat="1" x14ac:dyDescent="0.25"/>
    <row r="258908" s="12" customFormat="1" x14ac:dyDescent="0.25"/>
    <row r="258909" s="12" customFormat="1" x14ac:dyDescent="0.25"/>
    <row r="258910" s="12" customFormat="1" x14ac:dyDescent="0.25"/>
    <row r="258911" s="12" customFormat="1" x14ac:dyDescent="0.25"/>
    <row r="258912" s="12" customFormat="1" x14ac:dyDescent="0.25"/>
    <row r="258913" s="12" customFormat="1" x14ac:dyDescent="0.25"/>
    <row r="258914" s="12" customFormat="1" x14ac:dyDescent="0.25"/>
    <row r="258915" s="12" customFormat="1" x14ac:dyDescent="0.25"/>
    <row r="258916" s="12" customFormat="1" x14ac:dyDescent="0.25"/>
    <row r="258917" s="12" customFormat="1" x14ac:dyDescent="0.25"/>
    <row r="258918" s="12" customFormat="1" x14ac:dyDescent="0.25"/>
    <row r="258919" s="12" customFormat="1" x14ac:dyDescent="0.25"/>
    <row r="258920" s="12" customFormat="1" x14ac:dyDescent="0.25"/>
    <row r="258921" s="12" customFormat="1" x14ac:dyDescent="0.25"/>
    <row r="258922" s="12" customFormat="1" x14ac:dyDescent="0.25"/>
    <row r="258923" s="12" customFormat="1" x14ac:dyDescent="0.25"/>
    <row r="258924" s="12" customFormat="1" x14ac:dyDescent="0.25"/>
    <row r="258925" s="12" customFormat="1" x14ac:dyDescent="0.25"/>
    <row r="258926" s="12" customFormat="1" x14ac:dyDescent="0.25"/>
    <row r="258927" s="12" customFormat="1" x14ac:dyDescent="0.25"/>
    <row r="258928" s="12" customFormat="1" x14ac:dyDescent="0.25"/>
    <row r="258929" s="12" customFormat="1" x14ac:dyDescent="0.25"/>
    <row r="258930" s="12" customFormat="1" x14ac:dyDescent="0.25"/>
    <row r="258931" s="12" customFormat="1" x14ac:dyDescent="0.25"/>
    <row r="258932" s="12" customFormat="1" x14ac:dyDescent="0.25"/>
    <row r="258933" s="12" customFormat="1" x14ac:dyDescent="0.25"/>
    <row r="258934" s="12" customFormat="1" x14ac:dyDescent="0.25"/>
    <row r="258935" s="12" customFormat="1" x14ac:dyDescent="0.25"/>
    <row r="258936" s="12" customFormat="1" x14ac:dyDescent="0.25"/>
    <row r="258937" s="12" customFormat="1" x14ac:dyDescent="0.25"/>
    <row r="258938" s="12" customFormat="1" x14ac:dyDescent="0.25"/>
    <row r="258939" s="12" customFormat="1" x14ac:dyDescent="0.25"/>
    <row r="258940" s="12" customFormat="1" x14ac:dyDescent="0.25"/>
    <row r="258941" s="12" customFormat="1" x14ac:dyDescent="0.25"/>
    <row r="258942" s="12" customFormat="1" x14ac:dyDescent="0.25"/>
    <row r="258943" s="12" customFormat="1" x14ac:dyDescent="0.25"/>
    <row r="258944" s="12" customFormat="1" x14ac:dyDescent="0.25"/>
    <row r="258945" s="12" customFormat="1" x14ac:dyDescent="0.25"/>
    <row r="258946" s="12" customFormat="1" x14ac:dyDescent="0.25"/>
    <row r="258947" s="12" customFormat="1" x14ac:dyDescent="0.25"/>
    <row r="258948" s="12" customFormat="1" x14ac:dyDescent="0.25"/>
    <row r="258949" s="12" customFormat="1" x14ac:dyDescent="0.25"/>
    <row r="258950" s="12" customFormat="1" x14ac:dyDescent="0.25"/>
    <row r="258951" s="12" customFormat="1" x14ac:dyDescent="0.25"/>
    <row r="258952" s="12" customFormat="1" x14ac:dyDescent="0.25"/>
    <row r="258953" s="12" customFormat="1" x14ac:dyDescent="0.25"/>
    <row r="258954" s="12" customFormat="1" x14ac:dyDescent="0.25"/>
    <row r="258955" s="12" customFormat="1" x14ac:dyDescent="0.25"/>
    <row r="258956" s="12" customFormat="1" x14ac:dyDescent="0.25"/>
    <row r="258957" s="12" customFormat="1" x14ac:dyDescent="0.25"/>
    <row r="258958" s="12" customFormat="1" x14ac:dyDescent="0.25"/>
    <row r="258959" s="12" customFormat="1" x14ac:dyDescent="0.25"/>
    <row r="258960" s="12" customFormat="1" x14ac:dyDescent="0.25"/>
    <row r="258961" s="12" customFormat="1" x14ac:dyDescent="0.25"/>
    <row r="258962" s="12" customFormat="1" x14ac:dyDescent="0.25"/>
    <row r="258963" s="12" customFormat="1" x14ac:dyDescent="0.25"/>
    <row r="258964" s="12" customFormat="1" x14ac:dyDescent="0.25"/>
    <row r="258965" s="12" customFormat="1" x14ac:dyDescent="0.25"/>
    <row r="258966" s="12" customFormat="1" x14ac:dyDescent="0.25"/>
    <row r="258967" s="12" customFormat="1" x14ac:dyDescent="0.25"/>
    <row r="258968" s="12" customFormat="1" x14ac:dyDescent="0.25"/>
    <row r="258969" s="12" customFormat="1" x14ac:dyDescent="0.25"/>
    <row r="258970" s="12" customFormat="1" x14ac:dyDescent="0.25"/>
    <row r="258971" s="12" customFormat="1" x14ac:dyDescent="0.25"/>
    <row r="258972" s="12" customFormat="1" x14ac:dyDescent="0.25"/>
    <row r="258973" s="12" customFormat="1" x14ac:dyDescent="0.25"/>
    <row r="258974" s="12" customFormat="1" x14ac:dyDescent="0.25"/>
    <row r="258975" s="12" customFormat="1" x14ac:dyDescent="0.25"/>
    <row r="258976" s="12" customFormat="1" x14ac:dyDescent="0.25"/>
    <row r="258977" s="12" customFormat="1" x14ac:dyDescent="0.25"/>
    <row r="258978" s="12" customFormat="1" x14ac:dyDescent="0.25"/>
    <row r="258979" s="12" customFormat="1" x14ac:dyDescent="0.25"/>
    <row r="258980" s="12" customFormat="1" x14ac:dyDescent="0.25"/>
    <row r="258981" s="12" customFormat="1" x14ac:dyDescent="0.25"/>
    <row r="258982" s="12" customFormat="1" x14ac:dyDescent="0.25"/>
    <row r="258983" s="12" customFormat="1" x14ac:dyDescent="0.25"/>
    <row r="258984" s="12" customFormat="1" x14ac:dyDescent="0.25"/>
    <row r="258985" s="12" customFormat="1" x14ac:dyDescent="0.25"/>
    <row r="258986" s="12" customFormat="1" x14ac:dyDescent="0.25"/>
    <row r="258987" s="12" customFormat="1" x14ac:dyDescent="0.25"/>
    <row r="258988" s="12" customFormat="1" x14ac:dyDescent="0.25"/>
    <row r="258989" s="12" customFormat="1" x14ac:dyDescent="0.25"/>
    <row r="258990" s="12" customFormat="1" x14ac:dyDescent="0.25"/>
    <row r="258991" s="12" customFormat="1" x14ac:dyDescent="0.25"/>
    <row r="258992" s="12" customFormat="1" x14ac:dyDescent="0.25"/>
    <row r="258993" s="12" customFormat="1" x14ac:dyDescent="0.25"/>
    <row r="258994" s="12" customFormat="1" x14ac:dyDescent="0.25"/>
    <row r="258995" s="12" customFormat="1" x14ac:dyDescent="0.25"/>
    <row r="258996" s="12" customFormat="1" x14ac:dyDescent="0.25"/>
    <row r="258997" s="12" customFormat="1" x14ac:dyDescent="0.25"/>
    <row r="258998" s="12" customFormat="1" x14ac:dyDescent="0.25"/>
    <row r="258999" s="12" customFormat="1" x14ac:dyDescent="0.25"/>
    <row r="259000" s="12" customFormat="1" x14ac:dyDescent="0.25"/>
    <row r="259001" s="12" customFormat="1" x14ac:dyDescent="0.25"/>
    <row r="259002" s="12" customFormat="1" x14ac:dyDescent="0.25"/>
    <row r="259003" s="12" customFormat="1" x14ac:dyDescent="0.25"/>
    <row r="259004" s="12" customFormat="1" x14ac:dyDescent="0.25"/>
    <row r="259005" s="12" customFormat="1" x14ac:dyDescent="0.25"/>
    <row r="259006" s="12" customFormat="1" x14ac:dyDescent="0.25"/>
    <row r="259007" s="12" customFormat="1" x14ac:dyDescent="0.25"/>
    <row r="259008" s="12" customFormat="1" x14ac:dyDescent="0.25"/>
    <row r="259009" s="12" customFormat="1" x14ac:dyDescent="0.25"/>
    <row r="259010" s="12" customFormat="1" x14ac:dyDescent="0.25"/>
    <row r="259011" s="12" customFormat="1" x14ac:dyDescent="0.25"/>
    <row r="259012" s="12" customFormat="1" x14ac:dyDescent="0.25"/>
    <row r="259013" s="12" customFormat="1" x14ac:dyDescent="0.25"/>
    <row r="259014" s="12" customFormat="1" x14ac:dyDescent="0.25"/>
    <row r="259015" s="12" customFormat="1" x14ac:dyDescent="0.25"/>
    <row r="259016" s="12" customFormat="1" x14ac:dyDescent="0.25"/>
    <row r="259017" s="12" customFormat="1" x14ac:dyDescent="0.25"/>
    <row r="259018" s="12" customFormat="1" x14ac:dyDescent="0.25"/>
    <row r="259019" s="12" customFormat="1" x14ac:dyDescent="0.25"/>
    <row r="259020" s="12" customFormat="1" x14ac:dyDescent="0.25"/>
    <row r="259021" s="12" customFormat="1" x14ac:dyDescent="0.25"/>
    <row r="259022" s="12" customFormat="1" x14ac:dyDescent="0.25"/>
    <row r="259023" s="12" customFormat="1" x14ac:dyDescent="0.25"/>
    <row r="259024" s="12" customFormat="1" x14ac:dyDescent="0.25"/>
    <row r="259025" s="12" customFormat="1" x14ac:dyDescent="0.25"/>
    <row r="259026" s="12" customFormat="1" x14ac:dyDescent="0.25"/>
    <row r="259027" s="12" customFormat="1" x14ac:dyDescent="0.25"/>
    <row r="259028" s="12" customFormat="1" x14ac:dyDescent="0.25"/>
    <row r="259029" s="12" customFormat="1" x14ac:dyDescent="0.25"/>
    <row r="259030" s="12" customFormat="1" x14ac:dyDescent="0.25"/>
    <row r="259031" s="12" customFormat="1" x14ac:dyDescent="0.25"/>
    <row r="259032" s="12" customFormat="1" x14ac:dyDescent="0.25"/>
    <row r="259033" s="12" customFormat="1" x14ac:dyDescent="0.25"/>
    <row r="259034" s="12" customFormat="1" x14ac:dyDescent="0.25"/>
    <row r="259035" s="12" customFormat="1" x14ac:dyDescent="0.25"/>
    <row r="259036" s="12" customFormat="1" x14ac:dyDescent="0.25"/>
    <row r="259037" s="12" customFormat="1" x14ac:dyDescent="0.25"/>
    <row r="259038" s="12" customFormat="1" x14ac:dyDescent="0.25"/>
    <row r="259039" s="12" customFormat="1" x14ac:dyDescent="0.25"/>
    <row r="259040" s="12" customFormat="1" x14ac:dyDescent="0.25"/>
    <row r="259041" s="12" customFormat="1" x14ac:dyDescent="0.25"/>
    <row r="259042" s="12" customFormat="1" x14ac:dyDescent="0.25"/>
    <row r="259043" s="12" customFormat="1" x14ac:dyDescent="0.25"/>
    <row r="259044" s="12" customFormat="1" x14ac:dyDescent="0.25"/>
    <row r="259045" s="12" customFormat="1" x14ac:dyDescent="0.25"/>
    <row r="259046" s="12" customFormat="1" x14ac:dyDescent="0.25"/>
    <row r="259047" s="12" customFormat="1" x14ac:dyDescent="0.25"/>
    <row r="259048" s="12" customFormat="1" x14ac:dyDescent="0.25"/>
    <row r="259049" s="12" customFormat="1" x14ac:dyDescent="0.25"/>
    <row r="259050" s="12" customFormat="1" x14ac:dyDescent="0.25"/>
    <row r="259051" s="12" customFormat="1" x14ac:dyDescent="0.25"/>
    <row r="259052" s="12" customFormat="1" x14ac:dyDescent="0.25"/>
    <row r="259053" s="12" customFormat="1" x14ac:dyDescent="0.25"/>
    <row r="259054" s="12" customFormat="1" x14ac:dyDescent="0.25"/>
    <row r="259055" s="12" customFormat="1" x14ac:dyDescent="0.25"/>
    <row r="259056" s="12" customFormat="1" x14ac:dyDescent="0.25"/>
    <row r="259057" s="12" customFormat="1" x14ac:dyDescent="0.25"/>
    <row r="259058" s="12" customFormat="1" x14ac:dyDescent="0.25"/>
    <row r="259059" s="12" customFormat="1" x14ac:dyDescent="0.25"/>
    <row r="259060" s="12" customFormat="1" x14ac:dyDescent="0.25"/>
    <row r="259061" s="12" customFormat="1" x14ac:dyDescent="0.25"/>
    <row r="259062" s="12" customFormat="1" x14ac:dyDescent="0.25"/>
    <row r="259063" s="12" customFormat="1" x14ac:dyDescent="0.25"/>
    <row r="259064" s="12" customFormat="1" x14ac:dyDescent="0.25"/>
    <row r="259065" s="12" customFormat="1" x14ac:dyDescent="0.25"/>
    <row r="259066" s="12" customFormat="1" x14ac:dyDescent="0.25"/>
    <row r="259067" s="12" customFormat="1" x14ac:dyDescent="0.25"/>
    <row r="259068" s="12" customFormat="1" x14ac:dyDescent="0.25"/>
    <row r="259069" s="12" customFormat="1" x14ac:dyDescent="0.25"/>
    <row r="259070" s="12" customFormat="1" x14ac:dyDescent="0.25"/>
    <row r="259071" s="12" customFormat="1" x14ac:dyDescent="0.25"/>
    <row r="259072" s="12" customFormat="1" x14ac:dyDescent="0.25"/>
    <row r="259073" s="12" customFormat="1" x14ac:dyDescent="0.25"/>
    <row r="259074" s="12" customFormat="1" x14ac:dyDescent="0.25"/>
    <row r="259075" s="12" customFormat="1" x14ac:dyDescent="0.25"/>
    <row r="259076" s="12" customFormat="1" x14ac:dyDescent="0.25"/>
    <row r="259077" s="12" customFormat="1" x14ac:dyDescent="0.25"/>
    <row r="259078" s="12" customFormat="1" x14ac:dyDescent="0.25"/>
    <row r="259079" s="12" customFormat="1" x14ac:dyDescent="0.25"/>
    <row r="259080" s="12" customFormat="1" x14ac:dyDescent="0.25"/>
    <row r="259081" s="12" customFormat="1" x14ac:dyDescent="0.25"/>
    <row r="259082" s="12" customFormat="1" x14ac:dyDescent="0.25"/>
    <row r="259083" s="12" customFormat="1" x14ac:dyDescent="0.25"/>
    <row r="259084" s="12" customFormat="1" x14ac:dyDescent="0.25"/>
    <row r="259085" s="12" customFormat="1" x14ac:dyDescent="0.25"/>
    <row r="259086" s="12" customFormat="1" x14ac:dyDescent="0.25"/>
    <row r="259087" s="12" customFormat="1" x14ac:dyDescent="0.25"/>
    <row r="259088" s="12" customFormat="1" x14ac:dyDescent="0.25"/>
    <row r="259089" s="12" customFormat="1" x14ac:dyDescent="0.25"/>
    <row r="259090" s="12" customFormat="1" x14ac:dyDescent="0.25"/>
    <row r="259091" s="12" customFormat="1" x14ac:dyDescent="0.25"/>
    <row r="259092" s="12" customFormat="1" x14ac:dyDescent="0.25"/>
    <row r="259093" s="12" customFormat="1" x14ac:dyDescent="0.25"/>
    <row r="259094" s="12" customFormat="1" x14ac:dyDescent="0.25"/>
    <row r="259095" s="12" customFormat="1" x14ac:dyDescent="0.25"/>
    <row r="259096" s="12" customFormat="1" x14ac:dyDescent="0.25"/>
    <row r="259097" s="12" customFormat="1" x14ac:dyDescent="0.25"/>
    <row r="259098" s="12" customFormat="1" x14ac:dyDescent="0.25"/>
    <row r="259099" s="12" customFormat="1" x14ac:dyDescent="0.25"/>
    <row r="259100" s="12" customFormat="1" x14ac:dyDescent="0.25"/>
    <row r="259101" s="12" customFormat="1" x14ac:dyDescent="0.25"/>
    <row r="259102" s="12" customFormat="1" x14ac:dyDescent="0.25"/>
    <row r="259103" s="12" customFormat="1" x14ac:dyDescent="0.25"/>
    <row r="259104" s="12" customFormat="1" x14ac:dyDescent="0.25"/>
    <row r="259105" s="12" customFormat="1" x14ac:dyDescent="0.25"/>
    <row r="259106" s="12" customFormat="1" x14ac:dyDescent="0.25"/>
    <row r="259107" s="12" customFormat="1" x14ac:dyDescent="0.25"/>
    <row r="259108" s="12" customFormat="1" x14ac:dyDescent="0.25"/>
    <row r="259109" s="12" customFormat="1" x14ac:dyDescent="0.25"/>
    <row r="259110" s="12" customFormat="1" x14ac:dyDescent="0.25"/>
    <row r="259111" s="12" customFormat="1" x14ac:dyDescent="0.25"/>
    <row r="259112" s="12" customFormat="1" x14ac:dyDescent="0.25"/>
    <row r="259113" s="12" customFormat="1" x14ac:dyDescent="0.25"/>
    <row r="259114" s="12" customFormat="1" x14ac:dyDescent="0.25"/>
    <row r="259115" s="12" customFormat="1" x14ac:dyDescent="0.25"/>
    <row r="259116" s="12" customFormat="1" x14ac:dyDescent="0.25"/>
    <row r="259117" s="12" customFormat="1" x14ac:dyDescent="0.25"/>
    <row r="259118" s="12" customFormat="1" x14ac:dyDescent="0.25"/>
    <row r="259119" s="12" customFormat="1" x14ac:dyDescent="0.25"/>
    <row r="259120" s="12" customFormat="1" x14ac:dyDescent="0.25"/>
    <row r="259121" s="12" customFormat="1" x14ac:dyDescent="0.25"/>
    <row r="259122" s="12" customFormat="1" x14ac:dyDescent="0.25"/>
    <row r="259123" s="12" customFormat="1" x14ac:dyDescent="0.25"/>
    <row r="259124" s="12" customFormat="1" x14ac:dyDescent="0.25"/>
    <row r="259125" s="12" customFormat="1" x14ac:dyDescent="0.25"/>
    <row r="259126" s="12" customFormat="1" x14ac:dyDescent="0.25"/>
    <row r="259127" s="12" customFormat="1" x14ac:dyDescent="0.25"/>
    <row r="259128" s="12" customFormat="1" x14ac:dyDescent="0.25"/>
    <row r="259129" s="12" customFormat="1" x14ac:dyDescent="0.25"/>
    <row r="259130" s="12" customFormat="1" x14ac:dyDescent="0.25"/>
    <row r="259131" s="12" customFormat="1" x14ac:dyDescent="0.25"/>
    <row r="259132" s="12" customFormat="1" x14ac:dyDescent="0.25"/>
    <row r="259133" s="12" customFormat="1" x14ac:dyDescent="0.25"/>
    <row r="259134" s="12" customFormat="1" x14ac:dyDescent="0.25"/>
    <row r="259135" s="12" customFormat="1" x14ac:dyDescent="0.25"/>
    <row r="259136" s="12" customFormat="1" x14ac:dyDescent="0.25"/>
    <row r="259137" s="12" customFormat="1" x14ac:dyDescent="0.25"/>
    <row r="259138" s="12" customFormat="1" x14ac:dyDescent="0.25"/>
    <row r="259139" s="12" customFormat="1" x14ac:dyDescent="0.25"/>
    <row r="259140" s="12" customFormat="1" x14ac:dyDescent="0.25"/>
    <row r="259141" s="12" customFormat="1" x14ac:dyDescent="0.25"/>
    <row r="259142" s="12" customFormat="1" x14ac:dyDescent="0.25"/>
    <row r="259143" s="12" customFormat="1" x14ac:dyDescent="0.25"/>
    <row r="259144" s="12" customFormat="1" x14ac:dyDescent="0.25"/>
    <row r="259145" s="12" customFormat="1" x14ac:dyDescent="0.25"/>
    <row r="259146" s="12" customFormat="1" x14ac:dyDescent="0.25"/>
    <row r="259147" s="12" customFormat="1" x14ac:dyDescent="0.25"/>
    <row r="259148" s="12" customFormat="1" x14ac:dyDescent="0.25"/>
    <row r="259149" s="12" customFormat="1" x14ac:dyDescent="0.25"/>
    <row r="259150" s="12" customFormat="1" x14ac:dyDescent="0.25"/>
    <row r="259151" s="12" customFormat="1" x14ac:dyDescent="0.25"/>
    <row r="259152" s="12" customFormat="1" x14ac:dyDescent="0.25"/>
    <row r="259153" s="12" customFormat="1" x14ac:dyDescent="0.25"/>
    <row r="259154" s="12" customFormat="1" x14ac:dyDescent="0.25"/>
    <row r="259155" s="12" customFormat="1" x14ac:dyDescent="0.25"/>
    <row r="259156" s="12" customFormat="1" x14ac:dyDescent="0.25"/>
    <row r="259157" s="12" customFormat="1" x14ac:dyDescent="0.25"/>
    <row r="259158" s="12" customFormat="1" x14ac:dyDescent="0.25"/>
    <row r="259159" s="12" customFormat="1" x14ac:dyDescent="0.25"/>
    <row r="259160" s="12" customFormat="1" x14ac:dyDescent="0.25"/>
    <row r="259161" s="12" customFormat="1" x14ac:dyDescent="0.25"/>
    <row r="259162" s="12" customFormat="1" x14ac:dyDescent="0.25"/>
    <row r="259163" s="12" customFormat="1" x14ac:dyDescent="0.25"/>
    <row r="259164" s="12" customFormat="1" x14ac:dyDescent="0.25"/>
    <row r="259165" s="12" customFormat="1" x14ac:dyDescent="0.25"/>
    <row r="259166" s="12" customFormat="1" x14ac:dyDescent="0.25"/>
    <row r="259167" s="12" customFormat="1" x14ac:dyDescent="0.25"/>
    <row r="259168" s="12" customFormat="1" x14ac:dyDescent="0.25"/>
    <row r="259169" s="12" customFormat="1" x14ac:dyDescent="0.25"/>
    <row r="259170" s="12" customFormat="1" x14ac:dyDescent="0.25"/>
    <row r="259171" s="12" customFormat="1" x14ac:dyDescent="0.25"/>
    <row r="259172" s="12" customFormat="1" x14ac:dyDescent="0.25"/>
    <row r="259173" s="12" customFormat="1" x14ac:dyDescent="0.25"/>
    <row r="259174" s="12" customFormat="1" x14ac:dyDescent="0.25"/>
    <row r="259175" s="12" customFormat="1" x14ac:dyDescent="0.25"/>
    <row r="259176" s="12" customFormat="1" x14ac:dyDescent="0.25"/>
    <row r="259177" s="12" customFormat="1" x14ac:dyDescent="0.25"/>
    <row r="259178" s="12" customFormat="1" x14ac:dyDescent="0.25"/>
    <row r="259179" s="12" customFormat="1" x14ac:dyDescent="0.25"/>
    <row r="259180" s="12" customFormat="1" x14ac:dyDescent="0.25"/>
    <row r="259181" s="12" customFormat="1" x14ac:dyDescent="0.25"/>
    <row r="259182" s="12" customFormat="1" x14ac:dyDescent="0.25"/>
    <row r="259183" s="12" customFormat="1" x14ac:dyDescent="0.25"/>
    <row r="259184" s="12" customFormat="1" x14ac:dyDescent="0.25"/>
    <row r="259185" s="12" customFormat="1" x14ac:dyDescent="0.25"/>
    <row r="259186" s="12" customFormat="1" x14ac:dyDescent="0.25"/>
    <row r="259187" s="12" customFormat="1" x14ac:dyDescent="0.25"/>
    <row r="259188" s="12" customFormat="1" x14ac:dyDescent="0.25"/>
    <row r="259189" s="12" customFormat="1" x14ac:dyDescent="0.25"/>
    <row r="259190" s="12" customFormat="1" x14ac:dyDescent="0.25"/>
    <row r="259191" s="12" customFormat="1" x14ac:dyDescent="0.25"/>
    <row r="259192" s="12" customFormat="1" x14ac:dyDescent="0.25"/>
    <row r="259193" s="12" customFormat="1" x14ac:dyDescent="0.25"/>
    <row r="259194" s="12" customFormat="1" x14ac:dyDescent="0.25"/>
    <row r="259195" s="12" customFormat="1" x14ac:dyDescent="0.25"/>
    <row r="259196" s="12" customFormat="1" x14ac:dyDescent="0.25"/>
    <row r="259197" s="12" customFormat="1" x14ac:dyDescent="0.25"/>
    <row r="259198" s="12" customFormat="1" x14ac:dyDescent="0.25"/>
    <row r="259199" s="12" customFormat="1" x14ac:dyDescent="0.25"/>
    <row r="259200" s="12" customFormat="1" x14ac:dyDescent="0.25"/>
    <row r="259201" s="12" customFormat="1" x14ac:dyDescent="0.25"/>
    <row r="259202" s="12" customFormat="1" x14ac:dyDescent="0.25"/>
    <row r="259203" s="12" customFormat="1" x14ac:dyDescent="0.25"/>
    <row r="259204" s="12" customFormat="1" x14ac:dyDescent="0.25"/>
    <row r="259205" s="12" customFormat="1" x14ac:dyDescent="0.25"/>
    <row r="259206" s="12" customFormat="1" x14ac:dyDescent="0.25"/>
    <row r="259207" s="12" customFormat="1" x14ac:dyDescent="0.25"/>
    <row r="259208" s="12" customFormat="1" x14ac:dyDescent="0.25"/>
    <row r="259209" s="12" customFormat="1" x14ac:dyDescent="0.25"/>
    <row r="259210" s="12" customFormat="1" x14ac:dyDescent="0.25"/>
    <row r="259211" s="12" customFormat="1" x14ac:dyDescent="0.25"/>
    <row r="259212" s="12" customFormat="1" x14ac:dyDescent="0.25"/>
    <row r="259213" s="12" customFormat="1" x14ac:dyDescent="0.25"/>
    <row r="259214" s="12" customFormat="1" x14ac:dyDescent="0.25"/>
    <row r="259215" s="12" customFormat="1" x14ac:dyDescent="0.25"/>
    <row r="259216" s="12" customFormat="1" x14ac:dyDescent="0.25"/>
    <row r="259217" s="12" customFormat="1" x14ac:dyDescent="0.25"/>
    <row r="259218" s="12" customFormat="1" x14ac:dyDescent="0.25"/>
    <row r="259219" s="12" customFormat="1" x14ac:dyDescent="0.25"/>
    <row r="259220" s="12" customFormat="1" x14ac:dyDescent="0.25"/>
    <row r="259221" s="12" customFormat="1" x14ac:dyDescent="0.25"/>
    <row r="259222" s="12" customFormat="1" x14ac:dyDescent="0.25"/>
    <row r="259223" s="12" customFormat="1" x14ac:dyDescent="0.25"/>
    <row r="259224" s="12" customFormat="1" x14ac:dyDescent="0.25"/>
    <row r="259225" s="12" customFormat="1" x14ac:dyDescent="0.25"/>
    <row r="259226" s="12" customFormat="1" x14ac:dyDescent="0.25"/>
    <row r="259227" s="12" customFormat="1" x14ac:dyDescent="0.25"/>
    <row r="259228" s="12" customFormat="1" x14ac:dyDescent="0.25"/>
    <row r="259229" s="12" customFormat="1" x14ac:dyDescent="0.25"/>
    <row r="259230" s="12" customFormat="1" x14ac:dyDescent="0.25"/>
    <row r="259231" s="12" customFormat="1" x14ac:dyDescent="0.25"/>
    <row r="259232" s="12" customFormat="1" x14ac:dyDescent="0.25"/>
    <row r="259233" s="12" customFormat="1" x14ac:dyDescent="0.25"/>
    <row r="259234" s="12" customFormat="1" x14ac:dyDescent="0.25"/>
    <row r="259235" s="12" customFormat="1" x14ac:dyDescent="0.25"/>
    <row r="259236" s="12" customFormat="1" x14ac:dyDescent="0.25"/>
    <row r="259237" s="12" customFormat="1" x14ac:dyDescent="0.25"/>
    <row r="259238" s="12" customFormat="1" x14ac:dyDescent="0.25"/>
    <row r="259239" s="12" customFormat="1" x14ac:dyDescent="0.25"/>
    <row r="259240" s="12" customFormat="1" x14ac:dyDescent="0.25"/>
    <row r="259241" s="12" customFormat="1" x14ac:dyDescent="0.25"/>
    <row r="259242" s="12" customFormat="1" x14ac:dyDescent="0.25"/>
    <row r="259243" s="12" customFormat="1" x14ac:dyDescent="0.25"/>
    <row r="259244" s="12" customFormat="1" x14ac:dyDescent="0.25"/>
    <row r="259245" s="12" customFormat="1" x14ac:dyDescent="0.25"/>
    <row r="259246" s="12" customFormat="1" x14ac:dyDescent="0.25"/>
    <row r="259247" s="12" customFormat="1" x14ac:dyDescent="0.25"/>
    <row r="259248" s="12" customFormat="1" x14ac:dyDescent="0.25"/>
    <row r="259249" s="12" customFormat="1" x14ac:dyDescent="0.25"/>
    <row r="259250" s="12" customFormat="1" x14ac:dyDescent="0.25"/>
    <row r="259251" s="12" customFormat="1" x14ac:dyDescent="0.25"/>
    <row r="259252" s="12" customFormat="1" x14ac:dyDescent="0.25"/>
    <row r="259253" s="12" customFormat="1" x14ac:dyDescent="0.25"/>
    <row r="259254" s="12" customFormat="1" x14ac:dyDescent="0.25"/>
    <row r="259255" s="12" customFormat="1" x14ac:dyDescent="0.25"/>
    <row r="259256" s="12" customFormat="1" x14ac:dyDescent="0.25"/>
    <row r="259257" s="12" customFormat="1" x14ac:dyDescent="0.25"/>
    <row r="259258" s="12" customFormat="1" x14ac:dyDescent="0.25"/>
    <row r="259259" s="12" customFormat="1" x14ac:dyDescent="0.25"/>
    <row r="259260" s="12" customFormat="1" x14ac:dyDescent="0.25"/>
    <row r="259261" s="12" customFormat="1" x14ac:dyDescent="0.25"/>
    <row r="259262" s="12" customFormat="1" x14ac:dyDescent="0.25"/>
    <row r="259263" s="12" customFormat="1" x14ac:dyDescent="0.25"/>
    <row r="259264" s="12" customFormat="1" x14ac:dyDescent="0.25"/>
    <row r="259265" s="12" customFormat="1" x14ac:dyDescent="0.25"/>
    <row r="259266" s="12" customFormat="1" x14ac:dyDescent="0.25"/>
    <row r="259267" s="12" customFormat="1" x14ac:dyDescent="0.25"/>
    <row r="259268" s="12" customFormat="1" x14ac:dyDescent="0.25"/>
    <row r="259269" s="12" customFormat="1" x14ac:dyDescent="0.25"/>
    <row r="259270" s="12" customFormat="1" x14ac:dyDescent="0.25"/>
    <row r="259271" s="12" customFormat="1" x14ac:dyDescent="0.25"/>
    <row r="259272" s="12" customFormat="1" x14ac:dyDescent="0.25"/>
    <row r="259273" s="12" customFormat="1" x14ac:dyDescent="0.25"/>
    <row r="259274" s="12" customFormat="1" x14ac:dyDescent="0.25"/>
    <row r="259275" s="12" customFormat="1" x14ac:dyDescent="0.25"/>
    <row r="259276" s="12" customFormat="1" x14ac:dyDescent="0.25"/>
    <row r="259277" s="12" customFormat="1" x14ac:dyDescent="0.25"/>
    <row r="259278" s="12" customFormat="1" x14ac:dyDescent="0.25"/>
    <row r="259279" s="12" customFormat="1" x14ac:dyDescent="0.25"/>
    <row r="259280" s="12" customFormat="1" x14ac:dyDescent="0.25"/>
    <row r="259281" s="12" customFormat="1" x14ac:dyDescent="0.25"/>
    <row r="259282" s="12" customFormat="1" x14ac:dyDescent="0.25"/>
    <row r="259283" s="12" customFormat="1" x14ac:dyDescent="0.25"/>
    <row r="259284" s="12" customFormat="1" x14ac:dyDescent="0.25"/>
    <row r="259285" s="12" customFormat="1" x14ac:dyDescent="0.25"/>
    <row r="259286" s="12" customFormat="1" x14ac:dyDescent="0.25"/>
    <row r="259287" s="12" customFormat="1" x14ac:dyDescent="0.25"/>
    <row r="259288" s="12" customFormat="1" x14ac:dyDescent="0.25"/>
    <row r="259289" s="12" customFormat="1" x14ac:dyDescent="0.25"/>
    <row r="259290" s="12" customFormat="1" x14ac:dyDescent="0.25"/>
    <row r="259291" s="12" customFormat="1" x14ac:dyDescent="0.25"/>
    <row r="259292" s="12" customFormat="1" x14ac:dyDescent="0.25"/>
    <row r="259293" s="12" customFormat="1" x14ac:dyDescent="0.25"/>
    <row r="259294" s="12" customFormat="1" x14ac:dyDescent="0.25"/>
    <row r="259295" s="12" customFormat="1" x14ac:dyDescent="0.25"/>
    <row r="259296" s="12" customFormat="1" x14ac:dyDescent="0.25"/>
    <row r="259297" s="12" customFormat="1" x14ac:dyDescent="0.25"/>
    <row r="259298" s="12" customFormat="1" x14ac:dyDescent="0.25"/>
    <row r="259299" s="12" customFormat="1" x14ac:dyDescent="0.25"/>
    <row r="259300" s="12" customFormat="1" x14ac:dyDescent="0.25"/>
    <row r="259301" s="12" customFormat="1" x14ac:dyDescent="0.25"/>
    <row r="259302" s="12" customFormat="1" x14ac:dyDescent="0.25"/>
    <row r="259303" s="12" customFormat="1" x14ac:dyDescent="0.25"/>
    <row r="259304" s="12" customFormat="1" x14ac:dyDescent="0.25"/>
    <row r="259305" s="12" customFormat="1" x14ac:dyDescent="0.25"/>
    <row r="259306" s="12" customFormat="1" x14ac:dyDescent="0.25"/>
    <row r="259307" s="12" customFormat="1" x14ac:dyDescent="0.25"/>
    <row r="259308" s="12" customFormat="1" x14ac:dyDescent="0.25"/>
    <row r="259309" s="12" customFormat="1" x14ac:dyDescent="0.25"/>
    <row r="259310" s="12" customFormat="1" x14ac:dyDescent="0.25"/>
    <row r="259311" s="12" customFormat="1" x14ac:dyDescent="0.25"/>
    <row r="259312" s="12" customFormat="1" x14ac:dyDescent="0.25"/>
    <row r="259313" s="12" customFormat="1" x14ac:dyDescent="0.25"/>
    <row r="259314" s="12" customFormat="1" x14ac:dyDescent="0.25"/>
    <row r="259315" s="12" customFormat="1" x14ac:dyDescent="0.25"/>
    <row r="259316" s="12" customFormat="1" x14ac:dyDescent="0.25"/>
    <row r="259317" s="12" customFormat="1" x14ac:dyDescent="0.25"/>
    <row r="259318" s="12" customFormat="1" x14ac:dyDescent="0.25"/>
    <row r="259319" s="12" customFormat="1" x14ac:dyDescent="0.25"/>
    <row r="259320" s="12" customFormat="1" x14ac:dyDescent="0.25"/>
    <row r="259321" s="12" customFormat="1" x14ac:dyDescent="0.25"/>
    <row r="259322" s="12" customFormat="1" x14ac:dyDescent="0.25"/>
    <row r="259323" s="12" customFormat="1" x14ac:dyDescent="0.25"/>
    <row r="259324" s="12" customFormat="1" x14ac:dyDescent="0.25"/>
    <row r="259325" s="12" customFormat="1" x14ac:dyDescent="0.25"/>
    <row r="259326" s="12" customFormat="1" x14ac:dyDescent="0.25"/>
    <row r="259327" s="12" customFormat="1" x14ac:dyDescent="0.25"/>
    <row r="259328" s="12" customFormat="1" x14ac:dyDescent="0.25"/>
    <row r="259329" s="12" customFormat="1" x14ac:dyDescent="0.25"/>
    <row r="259330" s="12" customFormat="1" x14ac:dyDescent="0.25"/>
    <row r="259331" s="12" customFormat="1" x14ac:dyDescent="0.25"/>
    <row r="259332" s="12" customFormat="1" x14ac:dyDescent="0.25"/>
    <row r="259333" s="12" customFormat="1" x14ac:dyDescent="0.25"/>
    <row r="259334" s="12" customFormat="1" x14ac:dyDescent="0.25"/>
    <row r="259335" s="12" customFormat="1" x14ac:dyDescent="0.25"/>
    <row r="259336" s="12" customFormat="1" x14ac:dyDescent="0.25"/>
    <row r="259337" s="12" customFormat="1" x14ac:dyDescent="0.25"/>
    <row r="259338" s="12" customFormat="1" x14ac:dyDescent="0.25"/>
    <row r="259339" s="12" customFormat="1" x14ac:dyDescent="0.25"/>
    <row r="259340" s="12" customFormat="1" x14ac:dyDescent="0.25"/>
    <row r="259341" s="12" customFormat="1" x14ac:dyDescent="0.25"/>
    <row r="259342" s="12" customFormat="1" x14ac:dyDescent="0.25"/>
    <row r="259343" s="12" customFormat="1" x14ac:dyDescent="0.25"/>
    <row r="259344" s="12" customFormat="1" x14ac:dyDescent="0.25"/>
    <row r="259345" s="12" customFormat="1" x14ac:dyDescent="0.25"/>
    <row r="259346" s="12" customFormat="1" x14ac:dyDescent="0.25"/>
    <row r="259347" s="12" customFormat="1" x14ac:dyDescent="0.25"/>
    <row r="259348" s="12" customFormat="1" x14ac:dyDescent="0.25"/>
    <row r="259349" s="12" customFormat="1" x14ac:dyDescent="0.25"/>
    <row r="259350" s="12" customFormat="1" x14ac:dyDescent="0.25"/>
    <row r="259351" s="12" customFormat="1" x14ac:dyDescent="0.25"/>
    <row r="259352" s="12" customFormat="1" x14ac:dyDescent="0.25"/>
    <row r="259353" s="12" customFormat="1" x14ac:dyDescent="0.25"/>
    <row r="259354" s="12" customFormat="1" x14ac:dyDescent="0.25"/>
    <row r="259355" s="12" customFormat="1" x14ac:dyDescent="0.25"/>
    <row r="259356" s="12" customFormat="1" x14ac:dyDescent="0.25"/>
    <row r="259357" s="12" customFormat="1" x14ac:dyDescent="0.25"/>
    <row r="259358" s="12" customFormat="1" x14ac:dyDescent="0.25"/>
    <row r="259359" s="12" customFormat="1" x14ac:dyDescent="0.25"/>
    <row r="259360" s="12" customFormat="1" x14ac:dyDescent="0.25"/>
    <row r="259361" s="12" customFormat="1" x14ac:dyDescent="0.25"/>
    <row r="259362" s="12" customFormat="1" x14ac:dyDescent="0.25"/>
    <row r="259363" s="12" customFormat="1" x14ac:dyDescent="0.25"/>
    <row r="259364" s="12" customFormat="1" x14ac:dyDescent="0.25"/>
    <row r="259365" s="12" customFormat="1" x14ac:dyDescent="0.25"/>
    <row r="259366" s="12" customFormat="1" x14ac:dyDescent="0.25"/>
    <row r="259367" s="12" customFormat="1" x14ac:dyDescent="0.25"/>
    <row r="259368" s="12" customFormat="1" x14ac:dyDescent="0.25"/>
    <row r="259369" s="12" customFormat="1" x14ac:dyDescent="0.25"/>
    <row r="259370" s="12" customFormat="1" x14ac:dyDescent="0.25"/>
    <row r="259371" s="12" customFormat="1" x14ac:dyDescent="0.25"/>
    <row r="259372" s="12" customFormat="1" x14ac:dyDescent="0.25"/>
    <row r="259373" s="12" customFormat="1" x14ac:dyDescent="0.25"/>
    <row r="259374" s="12" customFormat="1" x14ac:dyDescent="0.25"/>
    <row r="259375" s="12" customFormat="1" x14ac:dyDescent="0.25"/>
    <row r="259376" s="12" customFormat="1" x14ac:dyDescent="0.25"/>
    <row r="259377" s="12" customFormat="1" x14ac:dyDescent="0.25"/>
    <row r="259378" s="12" customFormat="1" x14ac:dyDescent="0.25"/>
    <row r="259379" s="12" customFormat="1" x14ac:dyDescent="0.25"/>
    <row r="259380" s="12" customFormat="1" x14ac:dyDescent="0.25"/>
    <row r="259381" s="12" customFormat="1" x14ac:dyDescent="0.25"/>
    <row r="259382" s="12" customFormat="1" x14ac:dyDescent="0.25"/>
    <row r="259383" s="12" customFormat="1" x14ac:dyDescent="0.25"/>
    <row r="259384" s="12" customFormat="1" x14ac:dyDescent="0.25"/>
    <row r="259385" s="12" customFormat="1" x14ac:dyDescent="0.25"/>
    <row r="259386" s="12" customFormat="1" x14ac:dyDescent="0.25"/>
    <row r="259387" s="12" customFormat="1" x14ac:dyDescent="0.25"/>
    <row r="259388" s="12" customFormat="1" x14ac:dyDescent="0.25"/>
    <row r="259389" s="12" customFormat="1" x14ac:dyDescent="0.25"/>
    <row r="259390" s="12" customFormat="1" x14ac:dyDescent="0.25"/>
    <row r="259391" s="12" customFormat="1" x14ac:dyDescent="0.25"/>
    <row r="259392" s="12" customFormat="1" x14ac:dyDescent="0.25"/>
    <row r="259393" s="12" customFormat="1" x14ac:dyDescent="0.25"/>
    <row r="259394" s="12" customFormat="1" x14ac:dyDescent="0.25"/>
    <row r="259395" s="12" customFormat="1" x14ac:dyDescent="0.25"/>
    <row r="259396" s="12" customFormat="1" x14ac:dyDescent="0.25"/>
    <row r="259397" s="12" customFormat="1" x14ac:dyDescent="0.25"/>
    <row r="259398" s="12" customFormat="1" x14ac:dyDescent="0.25"/>
    <row r="259399" s="12" customFormat="1" x14ac:dyDescent="0.25"/>
    <row r="259400" s="12" customFormat="1" x14ac:dyDescent="0.25"/>
    <row r="259401" s="12" customFormat="1" x14ac:dyDescent="0.25"/>
    <row r="259402" s="12" customFormat="1" x14ac:dyDescent="0.25"/>
    <row r="259403" s="12" customFormat="1" x14ac:dyDescent="0.25"/>
    <row r="259404" s="12" customFormat="1" x14ac:dyDescent="0.25"/>
    <row r="259405" s="12" customFormat="1" x14ac:dyDescent="0.25"/>
    <row r="259406" s="12" customFormat="1" x14ac:dyDescent="0.25"/>
    <row r="259407" s="12" customFormat="1" x14ac:dyDescent="0.25"/>
    <row r="259408" s="12" customFormat="1" x14ac:dyDescent="0.25"/>
    <row r="259409" s="12" customFormat="1" x14ac:dyDescent="0.25"/>
    <row r="259410" s="12" customFormat="1" x14ac:dyDescent="0.25"/>
    <row r="259411" s="12" customFormat="1" x14ac:dyDescent="0.25"/>
    <row r="259412" s="12" customFormat="1" x14ac:dyDescent="0.25"/>
    <row r="259413" s="12" customFormat="1" x14ac:dyDescent="0.25"/>
    <row r="259414" s="12" customFormat="1" x14ac:dyDescent="0.25"/>
    <row r="259415" s="12" customFormat="1" x14ac:dyDescent="0.25"/>
    <row r="259416" s="12" customFormat="1" x14ac:dyDescent="0.25"/>
    <row r="259417" s="12" customFormat="1" x14ac:dyDescent="0.25"/>
    <row r="259418" s="12" customFormat="1" x14ac:dyDescent="0.25"/>
    <row r="259419" s="12" customFormat="1" x14ac:dyDescent="0.25"/>
    <row r="259420" s="12" customFormat="1" x14ac:dyDescent="0.25"/>
    <row r="259421" s="12" customFormat="1" x14ac:dyDescent="0.25"/>
    <row r="259422" s="12" customFormat="1" x14ac:dyDescent="0.25"/>
    <row r="259423" s="12" customFormat="1" x14ac:dyDescent="0.25"/>
    <row r="259424" s="12" customFormat="1" x14ac:dyDescent="0.25"/>
    <row r="259425" s="12" customFormat="1" x14ac:dyDescent="0.25"/>
    <row r="259426" s="12" customFormat="1" x14ac:dyDescent="0.25"/>
    <row r="259427" s="12" customFormat="1" x14ac:dyDescent="0.25"/>
    <row r="259428" s="12" customFormat="1" x14ac:dyDescent="0.25"/>
    <row r="259429" s="12" customFormat="1" x14ac:dyDescent="0.25"/>
    <row r="259430" s="12" customFormat="1" x14ac:dyDescent="0.25"/>
    <row r="259431" s="12" customFormat="1" x14ac:dyDescent="0.25"/>
    <row r="259432" s="12" customFormat="1" x14ac:dyDescent="0.25"/>
    <row r="259433" s="12" customFormat="1" x14ac:dyDescent="0.25"/>
    <row r="259434" s="12" customFormat="1" x14ac:dyDescent="0.25"/>
    <row r="259435" s="12" customFormat="1" x14ac:dyDescent="0.25"/>
    <row r="259436" s="12" customFormat="1" x14ac:dyDescent="0.25"/>
    <row r="259437" s="12" customFormat="1" x14ac:dyDescent="0.25"/>
    <row r="259438" s="12" customFormat="1" x14ac:dyDescent="0.25"/>
    <row r="259439" s="12" customFormat="1" x14ac:dyDescent="0.25"/>
    <row r="259440" s="12" customFormat="1" x14ac:dyDescent="0.25"/>
    <row r="259441" s="12" customFormat="1" x14ac:dyDescent="0.25"/>
    <row r="259442" s="12" customFormat="1" x14ac:dyDescent="0.25"/>
    <row r="259443" s="12" customFormat="1" x14ac:dyDescent="0.25"/>
    <row r="259444" s="12" customFormat="1" x14ac:dyDescent="0.25"/>
    <row r="259445" s="12" customFormat="1" x14ac:dyDescent="0.25"/>
    <row r="259446" s="12" customFormat="1" x14ac:dyDescent="0.25"/>
    <row r="259447" s="12" customFormat="1" x14ac:dyDescent="0.25"/>
    <row r="259448" s="12" customFormat="1" x14ac:dyDescent="0.25"/>
    <row r="259449" s="12" customFormat="1" x14ac:dyDescent="0.25"/>
    <row r="259450" s="12" customFormat="1" x14ac:dyDescent="0.25"/>
    <row r="259451" s="12" customFormat="1" x14ac:dyDescent="0.25"/>
    <row r="259452" s="12" customFormat="1" x14ac:dyDescent="0.25"/>
    <row r="259453" s="12" customFormat="1" x14ac:dyDescent="0.25"/>
    <row r="259454" s="12" customFormat="1" x14ac:dyDescent="0.25"/>
    <row r="259455" s="12" customFormat="1" x14ac:dyDescent="0.25"/>
    <row r="259456" s="12" customFormat="1" x14ac:dyDescent="0.25"/>
    <row r="259457" s="12" customFormat="1" x14ac:dyDescent="0.25"/>
    <row r="259458" s="12" customFormat="1" x14ac:dyDescent="0.25"/>
    <row r="259459" s="12" customFormat="1" x14ac:dyDescent="0.25"/>
    <row r="259460" s="12" customFormat="1" x14ac:dyDescent="0.25"/>
    <row r="259461" s="12" customFormat="1" x14ac:dyDescent="0.25"/>
    <row r="259462" s="12" customFormat="1" x14ac:dyDescent="0.25"/>
    <row r="259463" s="12" customFormat="1" x14ac:dyDescent="0.25"/>
    <row r="259464" s="12" customFormat="1" x14ac:dyDescent="0.25"/>
    <row r="259465" s="12" customFormat="1" x14ac:dyDescent="0.25"/>
    <row r="259466" s="12" customFormat="1" x14ac:dyDescent="0.25"/>
    <row r="259467" s="12" customFormat="1" x14ac:dyDescent="0.25"/>
    <row r="259468" s="12" customFormat="1" x14ac:dyDescent="0.25"/>
    <row r="259469" s="12" customFormat="1" x14ac:dyDescent="0.25"/>
    <row r="259470" s="12" customFormat="1" x14ac:dyDescent="0.25"/>
    <row r="259471" s="12" customFormat="1" x14ac:dyDescent="0.25"/>
    <row r="259472" s="12" customFormat="1" x14ac:dyDescent="0.25"/>
    <row r="259473" s="12" customFormat="1" x14ac:dyDescent="0.25"/>
    <row r="259474" s="12" customFormat="1" x14ac:dyDescent="0.25"/>
    <row r="259475" s="12" customFormat="1" x14ac:dyDescent="0.25"/>
    <row r="259476" s="12" customFormat="1" x14ac:dyDescent="0.25"/>
    <row r="259477" s="12" customFormat="1" x14ac:dyDescent="0.25"/>
    <row r="259478" s="12" customFormat="1" x14ac:dyDescent="0.25"/>
    <row r="259479" s="12" customFormat="1" x14ac:dyDescent="0.25"/>
    <row r="259480" s="12" customFormat="1" x14ac:dyDescent="0.25"/>
    <row r="259481" s="12" customFormat="1" x14ac:dyDescent="0.25"/>
    <row r="259482" s="12" customFormat="1" x14ac:dyDescent="0.25"/>
    <row r="259483" s="12" customFormat="1" x14ac:dyDescent="0.25"/>
    <row r="259484" s="12" customFormat="1" x14ac:dyDescent="0.25"/>
    <row r="259485" s="12" customFormat="1" x14ac:dyDescent="0.25"/>
    <row r="259486" s="12" customFormat="1" x14ac:dyDescent="0.25"/>
    <row r="259487" s="12" customFormat="1" x14ac:dyDescent="0.25"/>
    <row r="259488" s="12" customFormat="1" x14ac:dyDescent="0.25"/>
    <row r="259489" s="12" customFormat="1" x14ac:dyDescent="0.25"/>
    <row r="259490" s="12" customFormat="1" x14ac:dyDescent="0.25"/>
    <row r="259491" s="12" customFormat="1" x14ac:dyDescent="0.25"/>
    <row r="259492" s="12" customFormat="1" x14ac:dyDescent="0.25"/>
    <row r="259493" s="12" customFormat="1" x14ac:dyDescent="0.25"/>
    <row r="259494" s="12" customFormat="1" x14ac:dyDescent="0.25"/>
    <row r="259495" s="12" customFormat="1" x14ac:dyDescent="0.25"/>
    <row r="259496" s="12" customFormat="1" x14ac:dyDescent="0.25"/>
    <row r="259497" s="12" customFormat="1" x14ac:dyDescent="0.25"/>
    <row r="259498" s="12" customFormat="1" x14ac:dyDescent="0.25"/>
    <row r="259499" s="12" customFormat="1" x14ac:dyDescent="0.25"/>
    <row r="259500" s="12" customFormat="1" x14ac:dyDescent="0.25"/>
    <row r="259501" s="12" customFormat="1" x14ac:dyDescent="0.25"/>
    <row r="259502" s="12" customFormat="1" x14ac:dyDescent="0.25"/>
    <row r="259503" s="12" customFormat="1" x14ac:dyDescent="0.25"/>
    <row r="259504" s="12" customFormat="1" x14ac:dyDescent="0.25"/>
    <row r="259505" s="12" customFormat="1" x14ac:dyDescent="0.25"/>
    <row r="259506" s="12" customFormat="1" x14ac:dyDescent="0.25"/>
    <row r="259507" s="12" customFormat="1" x14ac:dyDescent="0.25"/>
    <row r="259508" s="12" customFormat="1" x14ac:dyDescent="0.25"/>
    <row r="259509" s="12" customFormat="1" x14ac:dyDescent="0.25"/>
    <row r="259510" s="12" customFormat="1" x14ac:dyDescent="0.25"/>
    <row r="259511" s="12" customFormat="1" x14ac:dyDescent="0.25"/>
    <row r="259512" s="12" customFormat="1" x14ac:dyDescent="0.25"/>
    <row r="259513" s="12" customFormat="1" x14ac:dyDescent="0.25"/>
    <row r="259514" s="12" customFormat="1" x14ac:dyDescent="0.25"/>
    <row r="259515" s="12" customFormat="1" x14ac:dyDescent="0.25"/>
    <row r="259516" s="12" customFormat="1" x14ac:dyDescent="0.25"/>
    <row r="259517" s="12" customFormat="1" x14ac:dyDescent="0.25"/>
    <row r="259518" s="12" customFormat="1" x14ac:dyDescent="0.25"/>
    <row r="259519" s="12" customFormat="1" x14ac:dyDescent="0.25"/>
    <row r="259520" s="12" customFormat="1" x14ac:dyDescent="0.25"/>
    <row r="259521" s="12" customFormat="1" x14ac:dyDescent="0.25"/>
    <row r="259522" s="12" customFormat="1" x14ac:dyDescent="0.25"/>
    <row r="259523" s="12" customFormat="1" x14ac:dyDescent="0.25"/>
    <row r="259524" s="12" customFormat="1" x14ac:dyDescent="0.25"/>
    <row r="259525" s="12" customFormat="1" x14ac:dyDescent="0.25"/>
    <row r="259526" s="12" customFormat="1" x14ac:dyDescent="0.25"/>
    <row r="259527" s="12" customFormat="1" x14ac:dyDescent="0.25"/>
    <row r="259528" s="12" customFormat="1" x14ac:dyDescent="0.25"/>
    <row r="259529" s="12" customFormat="1" x14ac:dyDescent="0.25"/>
    <row r="259530" s="12" customFormat="1" x14ac:dyDescent="0.25"/>
    <row r="259531" s="12" customFormat="1" x14ac:dyDescent="0.25"/>
    <row r="259532" s="12" customFormat="1" x14ac:dyDescent="0.25"/>
    <row r="259533" s="12" customFormat="1" x14ac:dyDescent="0.25"/>
    <row r="259534" s="12" customFormat="1" x14ac:dyDescent="0.25"/>
    <row r="259535" s="12" customFormat="1" x14ac:dyDescent="0.25"/>
    <row r="259536" s="12" customFormat="1" x14ac:dyDescent="0.25"/>
    <row r="259537" s="12" customFormat="1" x14ac:dyDescent="0.25"/>
    <row r="259538" s="12" customFormat="1" x14ac:dyDescent="0.25"/>
    <row r="259539" s="12" customFormat="1" x14ac:dyDescent="0.25"/>
    <row r="259540" s="12" customFormat="1" x14ac:dyDescent="0.25"/>
    <row r="259541" s="12" customFormat="1" x14ac:dyDescent="0.25"/>
    <row r="259542" s="12" customFormat="1" x14ac:dyDescent="0.25"/>
    <row r="259543" s="12" customFormat="1" x14ac:dyDescent="0.25"/>
    <row r="259544" s="12" customFormat="1" x14ac:dyDescent="0.25"/>
    <row r="259545" s="12" customFormat="1" x14ac:dyDescent="0.25"/>
    <row r="259546" s="12" customFormat="1" x14ac:dyDescent="0.25"/>
    <row r="259547" s="12" customFormat="1" x14ac:dyDescent="0.25"/>
    <row r="259548" s="12" customFormat="1" x14ac:dyDescent="0.25"/>
    <row r="259549" s="12" customFormat="1" x14ac:dyDescent="0.25"/>
    <row r="259550" s="12" customFormat="1" x14ac:dyDescent="0.25"/>
    <row r="259551" s="12" customFormat="1" x14ac:dyDescent="0.25"/>
    <row r="259552" s="12" customFormat="1" x14ac:dyDescent="0.25"/>
    <row r="259553" s="12" customFormat="1" x14ac:dyDescent="0.25"/>
    <row r="259554" s="12" customFormat="1" x14ac:dyDescent="0.25"/>
    <row r="259555" s="12" customFormat="1" x14ac:dyDescent="0.25"/>
    <row r="259556" s="12" customFormat="1" x14ac:dyDescent="0.25"/>
    <row r="259557" s="12" customFormat="1" x14ac:dyDescent="0.25"/>
    <row r="259558" s="12" customFormat="1" x14ac:dyDescent="0.25"/>
    <row r="259559" s="12" customFormat="1" x14ac:dyDescent="0.25"/>
    <row r="259560" s="12" customFormat="1" x14ac:dyDescent="0.25"/>
    <row r="259561" s="12" customFormat="1" x14ac:dyDescent="0.25"/>
    <row r="259562" s="12" customFormat="1" x14ac:dyDescent="0.25"/>
    <row r="259563" s="12" customFormat="1" x14ac:dyDescent="0.25"/>
    <row r="259564" s="12" customFormat="1" x14ac:dyDescent="0.25"/>
    <row r="259565" s="12" customFormat="1" x14ac:dyDescent="0.25"/>
    <row r="259566" s="12" customFormat="1" x14ac:dyDescent="0.25"/>
    <row r="259567" s="12" customFormat="1" x14ac:dyDescent="0.25"/>
    <row r="259568" s="12" customFormat="1" x14ac:dyDescent="0.25"/>
    <row r="259569" s="12" customFormat="1" x14ac:dyDescent="0.25"/>
    <row r="259570" s="12" customFormat="1" x14ac:dyDescent="0.25"/>
    <row r="259571" s="12" customFormat="1" x14ac:dyDescent="0.25"/>
    <row r="259572" s="12" customFormat="1" x14ac:dyDescent="0.25"/>
    <row r="259573" s="12" customFormat="1" x14ac:dyDescent="0.25"/>
    <row r="259574" s="12" customFormat="1" x14ac:dyDescent="0.25"/>
    <row r="259575" s="12" customFormat="1" x14ac:dyDescent="0.25"/>
    <row r="259576" s="12" customFormat="1" x14ac:dyDescent="0.25"/>
    <row r="259577" s="12" customFormat="1" x14ac:dyDescent="0.25"/>
    <row r="259578" s="12" customFormat="1" x14ac:dyDescent="0.25"/>
    <row r="259579" s="12" customFormat="1" x14ac:dyDescent="0.25"/>
    <row r="259580" s="12" customFormat="1" x14ac:dyDescent="0.25"/>
    <row r="259581" s="12" customFormat="1" x14ac:dyDescent="0.25"/>
    <row r="259582" s="12" customFormat="1" x14ac:dyDescent="0.25"/>
    <row r="259583" s="12" customFormat="1" x14ac:dyDescent="0.25"/>
    <row r="259584" s="12" customFormat="1" x14ac:dyDescent="0.25"/>
    <row r="259585" s="12" customFormat="1" x14ac:dyDescent="0.25"/>
    <row r="259586" s="12" customFormat="1" x14ac:dyDescent="0.25"/>
    <row r="259587" s="12" customFormat="1" x14ac:dyDescent="0.25"/>
    <row r="259588" s="12" customFormat="1" x14ac:dyDescent="0.25"/>
    <row r="259589" s="12" customFormat="1" x14ac:dyDescent="0.25"/>
    <row r="259590" s="12" customFormat="1" x14ac:dyDescent="0.25"/>
    <row r="259591" s="12" customFormat="1" x14ac:dyDescent="0.25"/>
    <row r="259592" s="12" customFormat="1" x14ac:dyDescent="0.25"/>
    <row r="259593" s="12" customFormat="1" x14ac:dyDescent="0.25"/>
    <row r="259594" s="12" customFormat="1" x14ac:dyDescent="0.25"/>
    <row r="259595" s="12" customFormat="1" x14ac:dyDescent="0.25"/>
    <row r="259596" s="12" customFormat="1" x14ac:dyDescent="0.25"/>
    <row r="259597" s="12" customFormat="1" x14ac:dyDescent="0.25"/>
    <row r="259598" s="12" customFormat="1" x14ac:dyDescent="0.25"/>
    <row r="259599" s="12" customFormat="1" x14ac:dyDescent="0.25"/>
    <row r="259600" s="12" customFormat="1" x14ac:dyDescent="0.25"/>
    <row r="259601" s="12" customFormat="1" x14ac:dyDescent="0.25"/>
    <row r="259602" s="12" customFormat="1" x14ac:dyDescent="0.25"/>
    <row r="259603" s="12" customFormat="1" x14ac:dyDescent="0.25"/>
    <row r="259604" s="12" customFormat="1" x14ac:dyDescent="0.25"/>
    <row r="259605" s="12" customFormat="1" x14ac:dyDescent="0.25"/>
    <row r="259606" s="12" customFormat="1" x14ac:dyDescent="0.25"/>
    <row r="259607" s="12" customFormat="1" x14ac:dyDescent="0.25"/>
    <row r="259608" s="12" customFormat="1" x14ac:dyDescent="0.25"/>
    <row r="259609" s="12" customFormat="1" x14ac:dyDescent="0.25"/>
    <row r="259610" s="12" customFormat="1" x14ac:dyDescent="0.25"/>
    <row r="259611" s="12" customFormat="1" x14ac:dyDescent="0.25"/>
    <row r="259612" s="12" customFormat="1" x14ac:dyDescent="0.25"/>
    <row r="259613" s="12" customFormat="1" x14ac:dyDescent="0.25"/>
    <row r="259614" s="12" customFormat="1" x14ac:dyDescent="0.25"/>
    <row r="259615" s="12" customFormat="1" x14ac:dyDescent="0.25"/>
    <row r="259616" s="12" customFormat="1" x14ac:dyDescent="0.25"/>
    <row r="259617" s="12" customFormat="1" x14ac:dyDescent="0.25"/>
    <row r="259618" s="12" customFormat="1" x14ac:dyDescent="0.25"/>
    <row r="259619" s="12" customFormat="1" x14ac:dyDescent="0.25"/>
    <row r="259620" s="12" customFormat="1" x14ac:dyDescent="0.25"/>
    <row r="259621" s="12" customFormat="1" x14ac:dyDescent="0.25"/>
    <row r="259622" s="12" customFormat="1" x14ac:dyDescent="0.25"/>
    <row r="259623" s="12" customFormat="1" x14ac:dyDescent="0.25"/>
    <row r="259624" s="12" customFormat="1" x14ac:dyDescent="0.25"/>
    <row r="259625" s="12" customFormat="1" x14ac:dyDescent="0.25"/>
    <row r="259626" s="12" customFormat="1" x14ac:dyDescent="0.25"/>
    <row r="259627" s="12" customFormat="1" x14ac:dyDescent="0.25"/>
    <row r="259628" s="12" customFormat="1" x14ac:dyDescent="0.25"/>
    <row r="259629" s="12" customFormat="1" x14ac:dyDescent="0.25"/>
    <row r="259630" s="12" customFormat="1" x14ac:dyDescent="0.25"/>
    <row r="259631" s="12" customFormat="1" x14ac:dyDescent="0.25"/>
    <row r="259632" s="12" customFormat="1" x14ac:dyDescent="0.25"/>
    <row r="259633" s="12" customFormat="1" x14ac:dyDescent="0.25"/>
    <row r="259634" s="12" customFormat="1" x14ac:dyDescent="0.25"/>
    <row r="259635" s="12" customFormat="1" x14ac:dyDescent="0.25"/>
    <row r="259636" s="12" customFormat="1" x14ac:dyDescent="0.25"/>
    <row r="259637" s="12" customFormat="1" x14ac:dyDescent="0.25"/>
    <row r="259638" s="12" customFormat="1" x14ac:dyDescent="0.25"/>
    <row r="259639" s="12" customFormat="1" x14ac:dyDescent="0.25"/>
    <row r="259640" s="12" customFormat="1" x14ac:dyDescent="0.25"/>
    <row r="259641" s="12" customFormat="1" x14ac:dyDescent="0.25"/>
    <row r="259642" s="12" customFormat="1" x14ac:dyDescent="0.25"/>
    <row r="259643" s="12" customFormat="1" x14ac:dyDescent="0.25"/>
    <row r="259644" s="12" customFormat="1" x14ac:dyDescent="0.25"/>
    <row r="259645" s="12" customFormat="1" x14ac:dyDescent="0.25"/>
    <row r="259646" s="12" customFormat="1" x14ac:dyDescent="0.25"/>
    <row r="259647" s="12" customFormat="1" x14ac:dyDescent="0.25"/>
    <row r="259648" s="12" customFormat="1" x14ac:dyDescent="0.25"/>
    <row r="259649" s="12" customFormat="1" x14ac:dyDescent="0.25"/>
    <row r="259650" s="12" customFormat="1" x14ac:dyDescent="0.25"/>
    <row r="259651" s="12" customFormat="1" x14ac:dyDescent="0.25"/>
    <row r="259652" s="12" customFormat="1" x14ac:dyDescent="0.25"/>
    <row r="259653" s="12" customFormat="1" x14ac:dyDescent="0.25"/>
    <row r="259654" s="12" customFormat="1" x14ac:dyDescent="0.25"/>
    <row r="259655" s="12" customFormat="1" x14ac:dyDescent="0.25"/>
    <row r="259656" s="12" customFormat="1" x14ac:dyDescent="0.25"/>
    <row r="259657" s="12" customFormat="1" x14ac:dyDescent="0.25"/>
    <row r="259658" s="12" customFormat="1" x14ac:dyDescent="0.25"/>
    <row r="259659" s="12" customFormat="1" x14ac:dyDescent="0.25"/>
    <row r="259660" s="12" customFormat="1" x14ac:dyDescent="0.25"/>
    <row r="259661" s="12" customFormat="1" x14ac:dyDescent="0.25"/>
    <row r="259662" s="12" customFormat="1" x14ac:dyDescent="0.25"/>
    <row r="259663" s="12" customFormat="1" x14ac:dyDescent="0.25"/>
    <row r="259664" s="12" customFormat="1" x14ac:dyDescent="0.25"/>
    <row r="259665" s="12" customFormat="1" x14ac:dyDescent="0.25"/>
    <row r="259666" s="12" customFormat="1" x14ac:dyDescent="0.25"/>
    <row r="259667" s="12" customFormat="1" x14ac:dyDescent="0.25"/>
    <row r="259668" s="12" customFormat="1" x14ac:dyDescent="0.25"/>
    <row r="259669" s="12" customFormat="1" x14ac:dyDescent="0.25"/>
    <row r="259670" s="12" customFormat="1" x14ac:dyDescent="0.25"/>
    <row r="259671" s="12" customFormat="1" x14ac:dyDescent="0.25"/>
    <row r="259672" s="12" customFormat="1" x14ac:dyDescent="0.25"/>
    <row r="259673" s="12" customFormat="1" x14ac:dyDescent="0.25"/>
    <row r="259674" s="12" customFormat="1" x14ac:dyDescent="0.25"/>
    <row r="259675" s="12" customFormat="1" x14ac:dyDescent="0.25"/>
    <row r="259676" s="12" customFormat="1" x14ac:dyDescent="0.25"/>
    <row r="259677" s="12" customFormat="1" x14ac:dyDescent="0.25"/>
    <row r="259678" s="12" customFormat="1" x14ac:dyDescent="0.25"/>
    <row r="259679" s="12" customFormat="1" x14ac:dyDescent="0.25"/>
    <row r="259680" s="12" customFormat="1" x14ac:dyDescent="0.25"/>
    <row r="259681" s="12" customFormat="1" x14ac:dyDescent="0.25"/>
    <row r="259682" s="12" customFormat="1" x14ac:dyDescent="0.25"/>
    <row r="259683" s="12" customFormat="1" x14ac:dyDescent="0.25"/>
    <row r="259684" s="12" customFormat="1" x14ac:dyDescent="0.25"/>
    <row r="259685" s="12" customFormat="1" x14ac:dyDescent="0.25"/>
    <row r="259686" s="12" customFormat="1" x14ac:dyDescent="0.25"/>
    <row r="259687" s="12" customFormat="1" x14ac:dyDescent="0.25"/>
    <row r="259688" s="12" customFormat="1" x14ac:dyDescent="0.25"/>
    <row r="259689" s="12" customFormat="1" x14ac:dyDescent="0.25"/>
    <row r="259690" s="12" customFormat="1" x14ac:dyDescent="0.25"/>
    <row r="259691" s="12" customFormat="1" x14ac:dyDescent="0.25"/>
    <row r="259692" s="12" customFormat="1" x14ac:dyDescent="0.25"/>
    <row r="259693" s="12" customFormat="1" x14ac:dyDescent="0.25"/>
    <row r="259694" s="12" customFormat="1" x14ac:dyDescent="0.25"/>
    <row r="259695" s="12" customFormat="1" x14ac:dyDescent="0.25"/>
    <row r="259696" s="12" customFormat="1" x14ac:dyDescent="0.25"/>
    <row r="259697" s="12" customFormat="1" x14ac:dyDescent="0.25"/>
    <row r="259698" s="12" customFormat="1" x14ac:dyDescent="0.25"/>
    <row r="259699" s="12" customFormat="1" x14ac:dyDescent="0.25"/>
    <row r="259700" s="12" customFormat="1" x14ac:dyDescent="0.25"/>
    <row r="259701" s="12" customFormat="1" x14ac:dyDescent="0.25"/>
    <row r="259702" s="12" customFormat="1" x14ac:dyDescent="0.25"/>
    <row r="259703" s="12" customFormat="1" x14ac:dyDescent="0.25"/>
    <row r="259704" s="12" customFormat="1" x14ac:dyDescent="0.25"/>
    <row r="259705" s="12" customFormat="1" x14ac:dyDescent="0.25"/>
    <row r="259706" s="12" customFormat="1" x14ac:dyDescent="0.25"/>
    <row r="259707" s="12" customFormat="1" x14ac:dyDescent="0.25"/>
    <row r="259708" s="12" customFormat="1" x14ac:dyDescent="0.25"/>
    <row r="259709" s="12" customFormat="1" x14ac:dyDescent="0.25"/>
    <row r="259710" s="12" customFormat="1" x14ac:dyDescent="0.25"/>
    <row r="259711" s="12" customFormat="1" x14ac:dyDescent="0.25"/>
    <row r="259712" s="12" customFormat="1" x14ac:dyDescent="0.25"/>
    <row r="259713" s="12" customFormat="1" x14ac:dyDescent="0.25"/>
    <row r="259714" s="12" customFormat="1" x14ac:dyDescent="0.25"/>
    <row r="259715" s="12" customFormat="1" x14ac:dyDescent="0.25"/>
    <row r="259716" s="12" customFormat="1" x14ac:dyDescent="0.25"/>
    <row r="259717" s="12" customFormat="1" x14ac:dyDescent="0.25"/>
    <row r="259718" s="12" customFormat="1" x14ac:dyDescent="0.25"/>
    <row r="259719" s="12" customFormat="1" x14ac:dyDescent="0.25"/>
    <row r="259720" s="12" customFormat="1" x14ac:dyDescent="0.25"/>
    <row r="259721" s="12" customFormat="1" x14ac:dyDescent="0.25"/>
    <row r="259722" s="12" customFormat="1" x14ac:dyDescent="0.25"/>
    <row r="259723" s="12" customFormat="1" x14ac:dyDescent="0.25"/>
    <row r="259724" s="12" customFormat="1" x14ac:dyDescent="0.25"/>
    <row r="259725" s="12" customFormat="1" x14ac:dyDescent="0.25"/>
    <row r="259726" s="12" customFormat="1" x14ac:dyDescent="0.25"/>
    <row r="259727" s="12" customFormat="1" x14ac:dyDescent="0.25"/>
    <row r="259728" s="12" customFormat="1" x14ac:dyDescent="0.25"/>
    <row r="259729" s="12" customFormat="1" x14ac:dyDescent="0.25"/>
    <row r="259730" s="12" customFormat="1" x14ac:dyDescent="0.25"/>
    <row r="259731" s="12" customFormat="1" x14ac:dyDescent="0.25"/>
    <row r="259732" s="12" customFormat="1" x14ac:dyDescent="0.25"/>
    <row r="259733" s="12" customFormat="1" x14ac:dyDescent="0.25"/>
    <row r="259734" s="12" customFormat="1" x14ac:dyDescent="0.25"/>
    <row r="259735" s="12" customFormat="1" x14ac:dyDescent="0.25"/>
    <row r="259736" s="12" customFormat="1" x14ac:dyDescent="0.25"/>
    <row r="259737" s="12" customFormat="1" x14ac:dyDescent="0.25"/>
    <row r="259738" s="12" customFormat="1" x14ac:dyDescent="0.25"/>
    <row r="259739" s="12" customFormat="1" x14ac:dyDescent="0.25"/>
    <row r="259740" s="12" customFormat="1" x14ac:dyDescent="0.25"/>
    <row r="259741" s="12" customFormat="1" x14ac:dyDescent="0.25"/>
    <row r="259742" s="12" customFormat="1" x14ac:dyDescent="0.25"/>
    <row r="259743" s="12" customFormat="1" x14ac:dyDescent="0.25"/>
    <row r="259744" s="12" customFormat="1" x14ac:dyDescent="0.25"/>
    <row r="259745" s="12" customFormat="1" x14ac:dyDescent="0.25"/>
    <row r="259746" s="12" customFormat="1" x14ac:dyDescent="0.25"/>
    <row r="259747" s="12" customFormat="1" x14ac:dyDescent="0.25"/>
    <row r="259748" s="12" customFormat="1" x14ac:dyDescent="0.25"/>
    <row r="259749" s="12" customFormat="1" x14ac:dyDescent="0.25"/>
    <row r="259750" s="12" customFormat="1" x14ac:dyDescent="0.25"/>
    <row r="259751" s="12" customFormat="1" x14ac:dyDescent="0.25"/>
    <row r="259752" s="12" customFormat="1" x14ac:dyDescent="0.25"/>
    <row r="259753" s="12" customFormat="1" x14ac:dyDescent="0.25"/>
    <row r="259754" s="12" customFormat="1" x14ac:dyDescent="0.25"/>
    <row r="259755" s="12" customFormat="1" x14ac:dyDescent="0.25"/>
    <row r="259756" s="12" customFormat="1" x14ac:dyDescent="0.25"/>
    <row r="259757" s="12" customFormat="1" x14ac:dyDescent="0.25"/>
    <row r="259758" s="12" customFormat="1" x14ac:dyDescent="0.25"/>
    <row r="259759" s="12" customFormat="1" x14ac:dyDescent="0.25"/>
    <row r="259760" s="12" customFormat="1" x14ac:dyDescent="0.25"/>
    <row r="259761" s="12" customFormat="1" x14ac:dyDescent="0.25"/>
    <row r="259762" s="12" customFormat="1" x14ac:dyDescent="0.25"/>
    <row r="259763" s="12" customFormat="1" x14ac:dyDescent="0.25"/>
    <row r="259764" s="12" customFormat="1" x14ac:dyDescent="0.25"/>
    <row r="259765" s="12" customFormat="1" x14ac:dyDescent="0.25"/>
    <row r="259766" s="12" customFormat="1" x14ac:dyDescent="0.25"/>
    <row r="259767" s="12" customFormat="1" x14ac:dyDescent="0.25"/>
    <row r="259768" s="12" customFormat="1" x14ac:dyDescent="0.25"/>
    <row r="259769" s="12" customFormat="1" x14ac:dyDescent="0.25"/>
    <row r="259770" s="12" customFormat="1" x14ac:dyDescent="0.25"/>
    <row r="259771" s="12" customFormat="1" x14ac:dyDescent="0.25"/>
    <row r="259772" s="12" customFormat="1" x14ac:dyDescent="0.25"/>
    <row r="259773" s="12" customFormat="1" x14ac:dyDescent="0.25"/>
    <row r="259774" s="12" customFormat="1" x14ac:dyDescent="0.25"/>
    <row r="259775" s="12" customFormat="1" x14ac:dyDescent="0.25"/>
    <row r="259776" s="12" customFormat="1" x14ac:dyDescent="0.25"/>
    <row r="259777" s="12" customFormat="1" x14ac:dyDescent="0.25"/>
    <row r="259778" s="12" customFormat="1" x14ac:dyDescent="0.25"/>
    <row r="259779" s="12" customFormat="1" x14ac:dyDescent="0.25"/>
    <row r="259780" s="12" customFormat="1" x14ac:dyDescent="0.25"/>
    <row r="259781" s="12" customFormat="1" x14ac:dyDescent="0.25"/>
    <row r="259782" s="12" customFormat="1" x14ac:dyDescent="0.25"/>
    <row r="259783" s="12" customFormat="1" x14ac:dyDescent="0.25"/>
    <row r="259784" s="12" customFormat="1" x14ac:dyDescent="0.25"/>
    <row r="259785" s="12" customFormat="1" x14ac:dyDescent="0.25"/>
    <row r="259786" s="12" customFormat="1" x14ac:dyDescent="0.25"/>
    <row r="259787" s="12" customFormat="1" x14ac:dyDescent="0.25"/>
    <row r="259788" s="12" customFormat="1" x14ac:dyDescent="0.25"/>
    <row r="259789" s="12" customFormat="1" x14ac:dyDescent="0.25"/>
    <row r="259790" s="12" customFormat="1" x14ac:dyDescent="0.25"/>
    <row r="259791" s="12" customFormat="1" x14ac:dyDescent="0.25"/>
    <row r="259792" s="12" customFormat="1" x14ac:dyDescent="0.25"/>
    <row r="259793" s="12" customFormat="1" x14ac:dyDescent="0.25"/>
    <row r="259794" s="12" customFormat="1" x14ac:dyDescent="0.25"/>
    <row r="259795" s="12" customFormat="1" x14ac:dyDescent="0.25"/>
    <row r="259796" s="12" customFormat="1" x14ac:dyDescent="0.25"/>
    <row r="259797" s="12" customFormat="1" x14ac:dyDescent="0.25"/>
    <row r="259798" s="12" customFormat="1" x14ac:dyDescent="0.25"/>
    <row r="259799" s="12" customFormat="1" x14ac:dyDescent="0.25"/>
    <row r="259800" s="12" customFormat="1" x14ac:dyDescent="0.25"/>
    <row r="259801" s="12" customFormat="1" x14ac:dyDescent="0.25"/>
    <row r="259802" s="12" customFormat="1" x14ac:dyDescent="0.25"/>
    <row r="259803" s="12" customFormat="1" x14ac:dyDescent="0.25"/>
    <row r="259804" s="12" customFormat="1" x14ac:dyDescent="0.25"/>
    <row r="259805" s="12" customFormat="1" x14ac:dyDescent="0.25"/>
    <row r="259806" s="12" customFormat="1" x14ac:dyDescent="0.25"/>
    <row r="259807" s="12" customFormat="1" x14ac:dyDescent="0.25"/>
    <row r="259808" s="12" customFormat="1" x14ac:dyDescent="0.25"/>
    <row r="259809" s="12" customFormat="1" x14ac:dyDescent="0.25"/>
    <row r="259810" s="12" customFormat="1" x14ac:dyDescent="0.25"/>
    <row r="259811" s="12" customFormat="1" x14ac:dyDescent="0.25"/>
    <row r="259812" s="12" customFormat="1" x14ac:dyDescent="0.25"/>
    <row r="259813" s="12" customFormat="1" x14ac:dyDescent="0.25"/>
    <row r="259814" s="12" customFormat="1" x14ac:dyDescent="0.25"/>
    <row r="259815" s="12" customFormat="1" x14ac:dyDescent="0.25"/>
    <row r="259816" s="12" customFormat="1" x14ac:dyDescent="0.25"/>
    <row r="259817" s="12" customFormat="1" x14ac:dyDescent="0.25"/>
    <row r="259818" s="12" customFormat="1" x14ac:dyDescent="0.25"/>
    <row r="259819" s="12" customFormat="1" x14ac:dyDescent="0.25"/>
    <row r="259820" s="12" customFormat="1" x14ac:dyDescent="0.25"/>
    <row r="259821" s="12" customFormat="1" x14ac:dyDescent="0.25"/>
    <row r="259822" s="12" customFormat="1" x14ac:dyDescent="0.25"/>
    <row r="259823" s="12" customFormat="1" x14ac:dyDescent="0.25"/>
    <row r="259824" s="12" customFormat="1" x14ac:dyDescent="0.25"/>
    <row r="259825" s="12" customFormat="1" x14ac:dyDescent="0.25"/>
    <row r="259826" s="12" customFormat="1" x14ac:dyDescent="0.25"/>
    <row r="259827" s="12" customFormat="1" x14ac:dyDescent="0.25"/>
    <row r="259828" s="12" customFormat="1" x14ac:dyDescent="0.25"/>
    <row r="259829" s="12" customFormat="1" x14ac:dyDescent="0.25"/>
    <row r="259830" s="12" customFormat="1" x14ac:dyDescent="0.25"/>
    <row r="259831" s="12" customFormat="1" x14ac:dyDescent="0.25"/>
    <row r="259832" s="12" customFormat="1" x14ac:dyDescent="0.25"/>
    <row r="259833" s="12" customFormat="1" x14ac:dyDescent="0.25"/>
    <row r="259834" s="12" customFormat="1" x14ac:dyDescent="0.25"/>
    <row r="259835" s="12" customFormat="1" x14ac:dyDescent="0.25"/>
    <row r="259836" s="12" customFormat="1" x14ac:dyDescent="0.25"/>
    <row r="259837" s="12" customFormat="1" x14ac:dyDescent="0.25"/>
    <row r="259838" s="12" customFormat="1" x14ac:dyDescent="0.25"/>
    <row r="259839" s="12" customFormat="1" x14ac:dyDescent="0.25"/>
    <row r="259840" s="12" customFormat="1" x14ac:dyDescent="0.25"/>
    <row r="259841" s="12" customFormat="1" x14ac:dyDescent="0.25"/>
    <row r="259842" s="12" customFormat="1" x14ac:dyDescent="0.25"/>
    <row r="259843" s="12" customFormat="1" x14ac:dyDescent="0.25"/>
    <row r="259844" s="12" customFormat="1" x14ac:dyDescent="0.25"/>
    <row r="259845" s="12" customFormat="1" x14ac:dyDescent="0.25"/>
    <row r="259846" s="12" customFormat="1" x14ac:dyDescent="0.25"/>
    <row r="259847" s="12" customFormat="1" x14ac:dyDescent="0.25"/>
    <row r="259848" s="12" customFormat="1" x14ac:dyDescent="0.25"/>
    <row r="259849" s="12" customFormat="1" x14ac:dyDescent="0.25"/>
    <row r="259850" s="12" customFormat="1" x14ac:dyDescent="0.25"/>
    <row r="259851" s="12" customFormat="1" x14ac:dyDescent="0.25"/>
    <row r="259852" s="12" customFormat="1" x14ac:dyDescent="0.25"/>
    <row r="259853" s="12" customFormat="1" x14ac:dyDescent="0.25"/>
    <row r="259854" s="12" customFormat="1" x14ac:dyDescent="0.25"/>
    <row r="259855" s="12" customFormat="1" x14ac:dyDescent="0.25"/>
    <row r="259856" s="12" customFormat="1" x14ac:dyDescent="0.25"/>
    <row r="259857" s="12" customFormat="1" x14ac:dyDescent="0.25"/>
    <row r="259858" s="12" customFormat="1" x14ac:dyDescent="0.25"/>
    <row r="259859" s="12" customFormat="1" x14ac:dyDescent="0.25"/>
    <row r="259860" s="12" customFormat="1" x14ac:dyDescent="0.25"/>
    <row r="259861" s="12" customFormat="1" x14ac:dyDescent="0.25"/>
    <row r="259862" s="12" customFormat="1" x14ac:dyDescent="0.25"/>
    <row r="259863" s="12" customFormat="1" x14ac:dyDescent="0.25"/>
    <row r="259864" s="12" customFormat="1" x14ac:dyDescent="0.25"/>
    <row r="259865" s="12" customFormat="1" x14ac:dyDescent="0.25"/>
    <row r="259866" s="12" customFormat="1" x14ac:dyDescent="0.25"/>
    <row r="259867" s="12" customFormat="1" x14ac:dyDescent="0.25"/>
    <row r="259868" s="12" customFormat="1" x14ac:dyDescent="0.25"/>
    <row r="259869" s="12" customFormat="1" x14ac:dyDescent="0.25"/>
    <row r="259870" s="12" customFormat="1" x14ac:dyDescent="0.25"/>
    <row r="259871" s="12" customFormat="1" x14ac:dyDescent="0.25"/>
    <row r="259872" s="12" customFormat="1" x14ac:dyDescent="0.25"/>
    <row r="259873" s="12" customFormat="1" x14ac:dyDescent="0.25"/>
    <row r="259874" s="12" customFormat="1" x14ac:dyDescent="0.25"/>
    <row r="259875" s="12" customFormat="1" x14ac:dyDescent="0.25"/>
    <row r="259876" s="12" customFormat="1" x14ac:dyDescent="0.25"/>
    <row r="259877" s="12" customFormat="1" x14ac:dyDescent="0.25"/>
    <row r="259878" s="12" customFormat="1" x14ac:dyDescent="0.25"/>
    <row r="259879" s="12" customFormat="1" x14ac:dyDescent="0.25"/>
    <row r="259880" s="12" customFormat="1" x14ac:dyDescent="0.25"/>
    <row r="259881" s="12" customFormat="1" x14ac:dyDescent="0.25"/>
    <row r="259882" s="12" customFormat="1" x14ac:dyDescent="0.25"/>
    <row r="259883" s="12" customFormat="1" x14ac:dyDescent="0.25"/>
    <row r="259884" s="12" customFormat="1" x14ac:dyDescent="0.25"/>
    <row r="259885" s="12" customFormat="1" x14ac:dyDescent="0.25"/>
    <row r="259886" s="12" customFormat="1" x14ac:dyDescent="0.25"/>
    <row r="259887" s="12" customFormat="1" x14ac:dyDescent="0.25"/>
    <row r="259888" s="12" customFormat="1" x14ac:dyDescent="0.25"/>
    <row r="259889" s="12" customFormat="1" x14ac:dyDescent="0.25"/>
    <row r="259890" s="12" customFormat="1" x14ac:dyDescent="0.25"/>
    <row r="259891" s="12" customFormat="1" x14ac:dyDescent="0.25"/>
    <row r="259892" s="12" customFormat="1" x14ac:dyDescent="0.25"/>
    <row r="259893" s="12" customFormat="1" x14ac:dyDescent="0.25"/>
    <row r="259894" s="12" customFormat="1" x14ac:dyDescent="0.25"/>
    <row r="259895" s="12" customFormat="1" x14ac:dyDescent="0.25"/>
    <row r="259896" s="12" customFormat="1" x14ac:dyDescent="0.25"/>
    <row r="259897" s="12" customFormat="1" x14ac:dyDescent="0.25"/>
    <row r="259898" s="12" customFormat="1" x14ac:dyDescent="0.25"/>
    <row r="259899" s="12" customFormat="1" x14ac:dyDescent="0.25"/>
    <row r="259900" s="12" customFormat="1" x14ac:dyDescent="0.25"/>
    <row r="259901" s="12" customFormat="1" x14ac:dyDescent="0.25"/>
    <row r="259902" s="12" customFormat="1" x14ac:dyDescent="0.25"/>
    <row r="259903" s="12" customFormat="1" x14ac:dyDescent="0.25"/>
    <row r="259904" s="12" customFormat="1" x14ac:dyDescent="0.25"/>
    <row r="259905" s="12" customFormat="1" x14ac:dyDescent="0.25"/>
    <row r="259906" s="12" customFormat="1" x14ac:dyDescent="0.25"/>
    <row r="259907" s="12" customFormat="1" x14ac:dyDescent="0.25"/>
    <row r="259908" s="12" customFormat="1" x14ac:dyDescent="0.25"/>
    <row r="259909" s="12" customFormat="1" x14ac:dyDescent="0.25"/>
    <row r="259910" s="12" customFormat="1" x14ac:dyDescent="0.25"/>
    <row r="259911" s="12" customFormat="1" x14ac:dyDescent="0.25"/>
    <row r="259912" s="12" customFormat="1" x14ac:dyDescent="0.25"/>
    <row r="259913" s="12" customFormat="1" x14ac:dyDescent="0.25"/>
    <row r="259914" s="12" customFormat="1" x14ac:dyDescent="0.25"/>
    <row r="259915" s="12" customFormat="1" x14ac:dyDescent="0.25"/>
    <row r="259916" s="12" customFormat="1" x14ac:dyDescent="0.25"/>
    <row r="259917" s="12" customFormat="1" x14ac:dyDescent="0.25"/>
    <row r="259918" s="12" customFormat="1" x14ac:dyDescent="0.25"/>
    <row r="259919" s="12" customFormat="1" x14ac:dyDescent="0.25"/>
    <row r="259920" s="12" customFormat="1" x14ac:dyDescent="0.25"/>
    <row r="259921" s="12" customFormat="1" x14ac:dyDescent="0.25"/>
    <row r="259922" s="12" customFormat="1" x14ac:dyDescent="0.25"/>
    <row r="259923" s="12" customFormat="1" x14ac:dyDescent="0.25"/>
    <row r="259924" s="12" customFormat="1" x14ac:dyDescent="0.25"/>
    <row r="259925" s="12" customFormat="1" x14ac:dyDescent="0.25"/>
    <row r="259926" s="12" customFormat="1" x14ac:dyDescent="0.25"/>
    <row r="259927" s="12" customFormat="1" x14ac:dyDescent="0.25"/>
    <row r="259928" s="12" customFormat="1" x14ac:dyDescent="0.25"/>
    <row r="259929" s="12" customFormat="1" x14ac:dyDescent="0.25"/>
    <row r="259930" s="12" customFormat="1" x14ac:dyDescent="0.25"/>
    <row r="259931" s="12" customFormat="1" x14ac:dyDescent="0.25"/>
    <row r="259932" s="12" customFormat="1" x14ac:dyDescent="0.25"/>
    <row r="259933" s="12" customFormat="1" x14ac:dyDescent="0.25"/>
    <row r="259934" s="12" customFormat="1" x14ac:dyDescent="0.25"/>
    <row r="259935" s="12" customFormat="1" x14ac:dyDescent="0.25"/>
    <row r="259936" s="12" customFormat="1" x14ac:dyDescent="0.25"/>
    <row r="259937" s="12" customFormat="1" x14ac:dyDescent="0.25"/>
    <row r="259938" s="12" customFormat="1" x14ac:dyDescent="0.25"/>
    <row r="259939" s="12" customFormat="1" x14ac:dyDescent="0.25"/>
    <row r="259940" s="12" customFormat="1" x14ac:dyDescent="0.25"/>
    <row r="259941" s="12" customFormat="1" x14ac:dyDescent="0.25"/>
    <row r="259942" s="12" customFormat="1" x14ac:dyDescent="0.25"/>
    <row r="259943" s="12" customFormat="1" x14ac:dyDescent="0.25"/>
    <row r="259944" s="12" customFormat="1" x14ac:dyDescent="0.25"/>
    <row r="259945" s="12" customFormat="1" x14ac:dyDescent="0.25"/>
    <row r="259946" s="12" customFormat="1" x14ac:dyDescent="0.25"/>
    <row r="259947" s="12" customFormat="1" x14ac:dyDescent="0.25"/>
    <row r="259948" s="12" customFormat="1" x14ac:dyDescent="0.25"/>
    <row r="259949" s="12" customFormat="1" x14ac:dyDescent="0.25"/>
    <row r="259950" s="12" customFormat="1" x14ac:dyDescent="0.25"/>
    <row r="259951" s="12" customFormat="1" x14ac:dyDescent="0.25"/>
    <row r="259952" s="12" customFormat="1" x14ac:dyDescent="0.25"/>
    <row r="259953" s="12" customFormat="1" x14ac:dyDescent="0.25"/>
    <row r="259954" s="12" customFormat="1" x14ac:dyDescent="0.25"/>
    <row r="259955" s="12" customFormat="1" x14ac:dyDescent="0.25"/>
    <row r="259956" s="12" customFormat="1" x14ac:dyDescent="0.25"/>
    <row r="259957" s="12" customFormat="1" x14ac:dyDescent="0.25"/>
    <row r="259958" s="12" customFormat="1" x14ac:dyDescent="0.25"/>
    <row r="259959" s="12" customFormat="1" x14ac:dyDescent="0.25"/>
    <row r="259960" s="12" customFormat="1" x14ac:dyDescent="0.25"/>
    <row r="259961" s="12" customFormat="1" x14ac:dyDescent="0.25"/>
    <row r="259962" s="12" customFormat="1" x14ac:dyDescent="0.25"/>
    <row r="259963" s="12" customFormat="1" x14ac:dyDescent="0.25"/>
    <row r="259964" s="12" customFormat="1" x14ac:dyDescent="0.25"/>
    <row r="259965" s="12" customFormat="1" x14ac:dyDescent="0.25"/>
    <row r="259966" s="12" customFormat="1" x14ac:dyDescent="0.25"/>
    <row r="259967" s="12" customFormat="1" x14ac:dyDescent="0.25"/>
    <row r="259968" s="12" customFormat="1" x14ac:dyDescent="0.25"/>
    <row r="259969" s="12" customFormat="1" x14ac:dyDescent="0.25"/>
    <row r="259970" s="12" customFormat="1" x14ac:dyDescent="0.25"/>
    <row r="259971" s="12" customFormat="1" x14ac:dyDescent="0.25"/>
    <row r="259972" s="12" customFormat="1" x14ac:dyDescent="0.25"/>
    <row r="259973" s="12" customFormat="1" x14ac:dyDescent="0.25"/>
    <row r="259974" s="12" customFormat="1" x14ac:dyDescent="0.25"/>
    <row r="259975" s="12" customFormat="1" x14ac:dyDescent="0.25"/>
    <row r="259976" s="12" customFormat="1" x14ac:dyDescent="0.25"/>
    <row r="259977" s="12" customFormat="1" x14ac:dyDescent="0.25"/>
    <row r="259978" s="12" customFormat="1" x14ac:dyDescent="0.25"/>
    <row r="259979" s="12" customFormat="1" x14ac:dyDescent="0.25"/>
    <row r="259980" s="12" customFormat="1" x14ac:dyDescent="0.25"/>
    <row r="259981" s="12" customFormat="1" x14ac:dyDescent="0.25"/>
    <row r="259982" s="12" customFormat="1" x14ac:dyDescent="0.25"/>
    <row r="259983" s="12" customFormat="1" x14ac:dyDescent="0.25"/>
    <row r="259984" s="12" customFormat="1" x14ac:dyDescent="0.25"/>
    <row r="259985" s="12" customFormat="1" x14ac:dyDescent="0.25"/>
    <row r="259986" s="12" customFormat="1" x14ac:dyDescent="0.25"/>
    <row r="259987" s="12" customFormat="1" x14ac:dyDescent="0.25"/>
    <row r="259988" s="12" customFormat="1" x14ac:dyDescent="0.25"/>
    <row r="259989" s="12" customFormat="1" x14ac:dyDescent="0.25"/>
    <row r="259990" s="12" customFormat="1" x14ac:dyDescent="0.25"/>
    <row r="259991" s="12" customFormat="1" x14ac:dyDescent="0.25"/>
    <row r="259992" s="12" customFormat="1" x14ac:dyDescent="0.25"/>
    <row r="259993" s="12" customFormat="1" x14ac:dyDescent="0.25"/>
    <row r="259994" s="12" customFormat="1" x14ac:dyDescent="0.25"/>
    <row r="259995" s="12" customFormat="1" x14ac:dyDescent="0.25"/>
    <row r="259996" s="12" customFormat="1" x14ac:dyDescent="0.25"/>
    <row r="259997" s="12" customFormat="1" x14ac:dyDescent="0.25"/>
    <row r="259998" s="12" customFormat="1" x14ac:dyDescent="0.25"/>
    <row r="259999" s="12" customFormat="1" x14ac:dyDescent="0.25"/>
    <row r="260000" s="12" customFormat="1" x14ac:dyDescent="0.25"/>
    <row r="260001" s="12" customFormat="1" x14ac:dyDescent="0.25"/>
    <row r="260002" s="12" customFormat="1" x14ac:dyDescent="0.25"/>
    <row r="260003" s="12" customFormat="1" x14ac:dyDescent="0.25"/>
    <row r="260004" s="12" customFormat="1" x14ac:dyDescent="0.25"/>
    <row r="260005" s="12" customFormat="1" x14ac:dyDescent="0.25"/>
    <row r="260006" s="12" customFormat="1" x14ac:dyDescent="0.25"/>
    <row r="260007" s="12" customFormat="1" x14ac:dyDescent="0.25"/>
    <row r="260008" s="12" customFormat="1" x14ac:dyDescent="0.25"/>
    <row r="260009" s="12" customFormat="1" x14ac:dyDescent="0.25"/>
    <row r="260010" s="12" customFormat="1" x14ac:dyDescent="0.25"/>
    <row r="260011" s="12" customFormat="1" x14ac:dyDescent="0.25"/>
    <row r="260012" s="12" customFormat="1" x14ac:dyDescent="0.25"/>
    <row r="260013" s="12" customFormat="1" x14ac:dyDescent="0.25"/>
    <row r="260014" s="12" customFormat="1" x14ac:dyDescent="0.25"/>
    <row r="260015" s="12" customFormat="1" x14ac:dyDescent="0.25"/>
    <row r="260016" s="12" customFormat="1" x14ac:dyDescent="0.25"/>
    <row r="260017" s="12" customFormat="1" x14ac:dyDescent="0.25"/>
    <row r="260018" s="12" customFormat="1" x14ac:dyDescent="0.25"/>
    <row r="260019" s="12" customFormat="1" x14ac:dyDescent="0.25"/>
    <row r="260020" s="12" customFormat="1" x14ac:dyDescent="0.25"/>
    <row r="260021" s="12" customFormat="1" x14ac:dyDescent="0.25"/>
    <row r="260022" s="12" customFormat="1" x14ac:dyDescent="0.25"/>
    <row r="260023" s="12" customFormat="1" x14ac:dyDescent="0.25"/>
    <row r="260024" s="12" customFormat="1" x14ac:dyDescent="0.25"/>
    <row r="260025" s="12" customFormat="1" x14ac:dyDescent="0.25"/>
    <row r="260026" s="12" customFormat="1" x14ac:dyDescent="0.25"/>
    <row r="260027" s="12" customFormat="1" x14ac:dyDescent="0.25"/>
    <row r="260028" s="12" customFormat="1" x14ac:dyDescent="0.25"/>
    <row r="260029" s="12" customFormat="1" x14ac:dyDescent="0.25"/>
    <row r="260030" s="12" customFormat="1" x14ac:dyDescent="0.25"/>
    <row r="260031" s="12" customFormat="1" x14ac:dyDescent="0.25"/>
    <row r="260032" s="12" customFormat="1" x14ac:dyDescent="0.25"/>
    <row r="260033" s="12" customFormat="1" x14ac:dyDescent="0.25"/>
    <row r="260034" s="12" customFormat="1" x14ac:dyDescent="0.25"/>
    <row r="260035" s="12" customFormat="1" x14ac:dyDescent="0.25"/>
    <row r="260036" s="12" customFormat="1" x14ac:dyDescent="0.25"/>
    <row r="260037" s="12" customFormat="1" x14ac:dyDescent="0.25"/>
    <row r="260038" s="12" customFormat="1" x14ac:dyDescent="0.25"/>
    <row r="260039" s="12" customFormat="1" x14ac:dyDescent="0.25"/>
    <row r="260040" s="12" customFormat="1" x14ac:dyDescent="0.25"/>
    <row r="260041" s="12" customFormat="1" x14ac:dyDescent="0.25"/>
    <row r="260042" s="12" customFormat="1" x14ac:dyDescent="0.25"/>
    <row r="260043" s="12" customFormat="1" x14ac:dyDescent="0.25"/>
    <row r="260044" s="12" customFormat="1" x14ac:dyDescent="0.25"/>
    <row r="260045" s="12" customFormat="1" x14ac:dyDescent="0.25"/>
    <row r="260046" s="12" customFormat="1" x14ac:dyDescent="0.25"/>
    <row r="260047" s="12" customFormat="1" x14ac:dyDescent="0.25"/>
    <row r="260048" s="12" customFormat="1" x14ac:dyDescent="0.25"/>
    <row r="260049" s="12" customFormat="1" x14ac:dyDescent="0.25"/>
    <row r="260050" s="12" customFormat="1" x14ac:dyDescent="0.25"/>
    <row r="260051" s="12" customFormat="1" x14ac:dyDescent="0.25"/>
    <row r="260052" s="12" customFormat="1" x14ac:dyDescent="0.25"/>
    <row r="260053" s="12" customFormat="1" x14ac:dyDescent="0.25"/>
    <row r="260054" s="12" customFormat="1" x14ac:dyDescent="0.25"/>
    <row r="260055" s="12" customFormat="1" x14ac:dyDescent="0.25"/>
    <row r="260056" s="12" customFormat="1" x14ac:dyDescent="0.25"/>
    <row r="260057" s="12" customFormat="1" x14ac:dyDescent="0.25"/>
    <row r="260058" s="12" customFormat="1" x14ac:dyDescent="0.25"/>
    <row r="260059" s="12" customFormat="1" x14ac:dyDescent="0.25"/>
    <row r="260060" s="12" customFormat="1" x14ac:dyDescent="0.25"/>
    <row r="260061" s="12" customFormat="1" x14ac:dyDescent="0.25"/>
    <row r="260062" s="12" customFormat="1" x14ac:dyDescent="0.25"/>
    <row r="260063" s="12" customFormat="1" x14ac:dyDescent="0.25"/>
    <row r="260064" s="12" customFormat="1" x14ac:dyDescent="0.25"/>
    <row r="260065" s="12" customFormat="1" x14ac:dyDescent="0.25"/>
    <row r="260066" s="12" customFormat="1" x14ac:dyDescent="0.25"/>
    <row r="260067" s="12" customFormat="1" x14ac:dyDescent="0.25"/>
    <row r="260068" s="12" customFormat="1" x14ac:dyDescent="0.25"/>
    <row r="260069" s="12" customFormat="1" x14ac:dyDescent="0.25"/>
    <row r="260070" s="12" customFormat="1" x14ac:dyDescent="0.25"/>
    <row r="260071" s="12" customFormat="1" x14ac:dyDescent="0.25"/>
    <row r="260072" s="12" customFormat="1" x14ac:dyDescent="0.25"/>
    <row r="260073" s="12" customFormat="1" x14ac:dyDescent="0.25"/>
    <row r="260074" s="12" customFormat="1" x14ac:dyDescent="0.25"/>
    <row r="260075" s="12" customFormat="1" x14ac:dyDescent="0.25"/>
    <row r="260076" s="12" customFormat="1" x14ac:dyDescent="0.25"/>
    <row r="260077" s="12" customFormat="1" x14ac:dyDescent="0.25"/>
    <row r="260078" s="12" customFormat="1" x14ac:dyDescent="0.25"/>
    <row r="260079" s="12" customFormat="1" x14ac:dyDescent="0.25"/>
    <row r="260080" s="12" customFormat="1" x14ac:dyDescent="0.25"/>
    <row r="260081" s="12" customFormat="1" x14ac:dyDescent="0.25"/>
    <row r="260082" s="12" customFormat="1" x14ac:dyDescent="0.25"/>
    <row r="260083" s="12" customFormat="1" x14ac:dyDescent="0.25"/>
    <row r="260084" s="12" customFormat="1" x14ac:dyDescent="0.25"/>
    <row r="260085" s="12" customFormat="1" x14ac:dyDescent="0.25"/>
    <row r="260086" s="12" customFormat="1" x14ac:dyDescent="0.25"/>
    <row r="260087" s="12" customFormat="1" x14ac:dyDescent="0.25"/>
    <row r="260088" s="12" customFormat="1" x14ac:dyDescent="0.25"/>
    <row r="260089" s="12" customFormat="1" x14ac:dyDescent="0.25"/>
    <row r="260090" s="12" customFormat="1" x14ac:dyDescent="0.25"/>
    <row r="260091" s="12" customFormat="1" x14ac:dyDescent="0.25"/>
    <row r="260092" s="12" customFormat="1" x14ac:dyDescent="0.25"/>
    <row r="260093" s="12" customFormat="1" x14ac:dyDescent="0.25"/>
    <row r="260094" s="12" customFormat="1" x14ac:dyDescent="0.25"/>
    <row r="260095" s="12" customFormat="1" x14ac:dyDescent="0.25"/>
    <row r="260096" s="12" customFormat="1" x14ac:dyDescent="0.25"/>
    <row r="260097" s="12" customFormat="1" x14ac:dyDescent="0.25"/>
    <row r="260098" s="12" customFormat="1" x14ac:dyDescent="0.25"/>
    <row r="260099" s="12" customFormat="1" x14ac:dyDescent="0.25"/>
    <row r="260100" s="12" customFormat="1" x14ac:dyDescent="0.25"/>
    <row r="260101" s="12" customFormat="1" x14ac:dyDescent="0.25"/>
    <row r="260102" s="12" customFormat="1" x14ac:dyDescent="0.25"/>
    <row r="260103" s="12" customFormat="1" x14ac:dyDescent="0.25"/>
    <row r="260104" s="12" customFormat="1" x14ac:dyDescent="0.25"/>
    <row r="260105" s="12" customFormat="1" x14ac:dyDescent="0.25"/>
    <row r="260106" s="12" customFormat="1" x14ac:dyDescent="0.25"/>
    <row r="260107" s="12" customFormat="1" x14ac:dyDescent="0.25"/>
    <row r="260108" s="12" customFormat="1" x14ac:dyDescent="0.25"/>
    <row r="260109" s="12" customFormat="1" x14ac:dyDescent="0.25"/>
    <row r="260110" s="12" customFormat="1" x14ac:dyDescent="0.25"/>
    <row r="260111" s="12" customFormat="1" x14ac:dyDescent="0.25"/>
    <row r="260112" s="12" customFormat="1" x14ac:dyDescent="0.25"/>
    <row r="260113" s="12" customFormat="1" x14ac:dyDescent="0.25"/>
    <row r="260114" s="12" customFormat="1" x14ac:dyDescent="0.25"/>
    <row r="260115" s="12" customFormat="1" x14ac:dyDescent="0.25"/>
    <row r="260116" s="12" customFormat="1" x14ac:dyDescent="0.25"/>
    <row r="260117" s="12" customFormat="1" x14ac:dyDescent="0.25"/>
    <row r="260118" s="12" customFormat="1" x14ac:dyDescent="0.25"/>
    <row r="260119" s="12" customFormat="1" x14ac:dyDescent="0.25"/>
    <row r="260120" s="12" customFormat="1" x14ac:dyDescent="0.25"/>
    <row r="260121" s="12" customFormat="1" x14ac:dyDescent="0.25"/>
    <row r="260122" s="12" customFormat="1" x14ac:dyDescent="0.25"/>
    <row r="260123" s="12" customFormat="1" x14ac:dyDescent="0.25"/>
    <row r="260124" s="12" customFormat="1" x14ac:dyDescent="0.25"/>
    <row r="260125" s="12" customFormat="1" x14ac:dyDescent="0.25"/>
    <row r="260126" s="12" customFormat="1" x14ac:dyDescent="0.25"/>
    <row r="260127" s="12" customFormat="1" x14ac:dyDescent="0.25"/>
    <row r="260128" s="12" customFormat="1" x14ac:dyDescent="0.25"/>
    <row r="260129" s="12" customFormat="1" x14ac:dyDescent="0.25"/>
    <row r="260130" s="12" customFormat="1" x14ac:dyDescent="0.25"/>
    <row r="260131" s="12" customFormat="1" x14ac:dyDescent="0.25"/>
    <row r="260132" s="12" customFormat="1" x14ac:dyDescent="0.25"/>
    <row r="260133" s="12" customFormat="1" x14ac:dyDescent="0.25"/>
    <row r="260134" s="12" customFormat="1" x14ac:dyDescent="0.25"/>
    <row r="260135" s="12" customFormat="1" x14ac:dyDescent="0.25"/>
    <row r="260136" s="12" customFormat="1" x14ac:dyDescent="0.25"/>
    <row r="260137" s="12" customFormat="1" x14ac:dyDescent="0.25"/>
    <row r="260138" s="12" customFormat="1" x14ac:dyDescent="0.25"/>
    <row r="260139" s="12" customFormat="1" x14ac:dyDescent="0.25"/>
    <row r="260140" s="12" customFormat="1" x14ac:dyDescent="0.25"/>
    <row r="260141" s="12" customFormat="1" x14ac:dyDescent="0.25"/>
    <row r="260142" s="12" customFormat="1" x14ac:dyDescent="0.25"/>
    <row r="260143" s="12" customFormat="1" x14ac:dyDescent="0.25"/>
    <row r="260144" s="12" customFormat="1" x14ac:dyDescent="0.25"/>
    <row r="260145" s="12" customFormat="1" x14ac:dyDescent="0.25"/>
    <row r="260146" s="12" customFormat="1" x14ac:dyDescent="0.25"/>
    <row r="260147" s="12" customFormat="1" x14ac:dyDescent="0.25"/>
    <row r="260148" s="12" customFormat="1" x14ac:dyDescent="0.25"/>
    <row r="260149" s="12" customFormat="1" x14ac:dyDescent="0.25"/>
    <row r="260150" s="12" customFormat="1" x14ac:dyDescent="0.25"/>
    <row r="260151" s="12" customFormat="1" x14ac:dyDescent="0.25"/>
    <row r="260152" s="12" customFormat="1" x14ac:dyDescent="0.25"/>
    <row r="260153" s="12" customFormat="1" x14ac:dyDescent="0.25"/>
    <row r="260154" s="12" customFormat="1" x14ac:dyDescent="0.25"/>
    <row r="260155" s="12" customFormat="1" x14ac:dyDescent="0.25"/>
    <row r="260156" s="12" customFormat="1" x14ac:dyDescent="0.25"/>
    <row r="260157" s="12" customFormat="1" x14ac:dyDescent="0.25"/>
    <row r="260158" s="12" customFormat="1" x14ac:dyDescent="0.25"/>
    <row r="260159" s="12" customFormat="1" x14ac:dyDescent="0.25"/>
    <row r="260160" s="12" customFormat="1" x14ac:dyDescent="0.25"/>
    <row r="260161" s="12" customFormat="1" x14ac:dyDescent="0.25"/>
    <row r="260162" s="12" customFormat="1" x14ac:dyDescent="0.25"/>
    <row r="260163" s="12" customFormat="1" x14ac:dyDescent="0.25"/>
    <row r="260164" s="12" customFormat="1" x14ac:dyDescent="0.25"/>
    <row r="260165" s="12" customFormat="1" x14ac:dyDescent="0.25"/>
    <row r="260166" s="12" customFormat="1" x14ac:dyDescent="0.25"/>
    <row r="260167" s="12" customFormat="1" x14ac:dyDescent="0.25"/>
    <row r="260168" s="12" customFormat="1" x14ac:dyDescent="0.25"/>
    <row r="260169" s="12" customFormat="1" x14ac:dyDescent="0.25"/>
    <row r="260170" s="12" customFormat="1" x14ac:dyDescent="0.25"/>
    <row r="260171" s="12" customFormat="1" x14ac:dyDescent="0.25"/>
    <row r="260172" s="12" customFormat="1" x14ac:dyDescent="0.25"/>
    <row r="260173" s="12" customFormat="1" x14ac:dyDescent="0.25"/>
    <row r="260174" s="12" customFormat="1" x14ac:dyDescent="0.25"/>
    <row r="260175" s="12" customFormat="1" x14ac:dyDescent="0.25"/>
    <row r="260176" s="12" customFormat="1" x14ac:dyDescent="0.25"/>
    <row r="260177" s="12" customFormat="1" x14ac:dyDescent="0.25"/>
    <row r="260178" s="12" customFormat="1" x14ac:dyDescent="0.25"/>
    <row r="260179" s="12" customFormat="1" x14ac:dyDescent="0.25"/>
    <row r="260180" s="12" customFormat="1" x14ac:dyDescent="0.25"/>
    <row r="260181" s="12" customFormat="1" x14ac:dyDescent="0.25"/>
    <row r="260182" s="12" customFormat="1" x14ac:dyDescent="0.25"/>
    <row r="260183" s="12" customFormat="1" x14ac:dyDescent="0.25"/>
    <row r="260184" s="12" customFormat="1" x14ac:dyDescent="0.25"/>
    <row r="260185" s="12" customFormat="1" x14ac:dyDescent="0.25"/>
    <row r="260186" s="12" customFormat="1" x14ac:dyDescent="0.25"/>
    <row r="260187" s="12" customFormat="1" x14ac:dyDescent="0.25"/>
    <row r="260188" s="12" customFormat="1" x14ac:dyDescent="0.25"/>
    <row r="260189" s="12" customFormat="1" x14ac:dyDescent="0.25"/>
    <row r="260190" s="12" customFormat="1" x14ac:dyDescent="0.25"/>
    <row r="260191" s="12" customFormat="1" x14ac:dyDescent="0.25"/>
    <row r="260192" s="12" customFormat="1" x14ac:dyDescent="0.25"/>
    <row r="260193" s="12" customFormat="1" x14ac:dyDescent="0.25"/>
    <row r="260194" s="12" customFormat="1" x14ac:dyDescent="0.25"/>
    <row r="260195" s="12" customFormat="1" x14ac:dyDescent="0.25"/>
    <row r="260196" s="12" customFormat="1" x14ac:dyDescent="0.25"/>
    <row r="260197" s="12" customFormat="1" x14ac:dyDescent="0.25"/>
    <row r="260198" s="12" customFormat="1" x14ac:dyDescent="0.25"/>
    <row r="260199" s="12" customFormat="1" x14ac:dyDescent="0.25"/>
    <row r="260200" s="12" customFormat="1" x14ac:dyDescent="0.25"/>
    <row r="260201" s="12" customFormat="1" x14ac:dyDescent="0.25"/>
    <row r="260202" s="12" customFormat="1" x14ac:dyDescent="0.25"/>
    <row r="260203" s="12" customFormat="1" x14ac:dyDescent="0.25"/>
    <row r="260204" s="12" customFormat="1" x14ac:dyDescent="0.25"/>
    <row r="260205" s="12" customFormat="1" x14ac:dyDescent="0.25"/>
    <row r="260206" s="12" customFormat="1" x14ac:dyDescent="0.25"/>
    <row r="260207" s="12" customFormat="1" x14ac:dyDescent="0.25"/>
    <row r="260208" s="12" customFormat="1" x14ac:dyDescent="0.25"/>
    <row r="260209" s="12" customFormat="1" x14ac:dyDescent="0.25"/>
    <row r="260210" s="12" customFormat="1" x14ac:dyDescent="0.25"/>
    <row r="260211" s="12" customFormat="1" x14ac:dyDescent="0.25"/>
    <row r="260212" s="12" customFormat="1" x14ac:dyDescent="0.25"/>
    <row r="260213" s="12" customFormat="1" x14ac:dyDescent="0.25"/>
    <row r="260214" s="12" customFormat="1" x14ac:dyDescent="0.25"/>
    <row r="260215" s="12" customFormat="1" x14ac:dyDescent="0.25"/>
    <row r="260216" s="12" customFormat="1" x14ac:dyDescent="0.25"/>
    <row r="260217" s="12" customFormat="1" x14ac:dyDescent="0.25"/>
    <row r="260218" s="12" customFormat="1" x14ac:dyDescent="0.25"/>
    <row r="260219" s="12" customFormat="1" x14ac:dyDescent="0.25"/>
    <row r="260220" s="12" customFormat="1" x14ac:dyDescent="0.25"/>
    <row r="260221" s="12" customFormat="1" x14ac:dyDescent="0.25"/>
    <row r="260222" s="12" customFormat="1" x14ac:dyDescent="0.25"/>
    <row r="260223" s="12" customFormat="1" x14ac:dyDescent="0.25"/>
    <row r="260224" s="12" customFormat="1" x14ac:dyDescent="0.25"/>
    <row r="260225" s="12" customFormat="1" x14ac:dyDescent="0.25"/>
    <row r="260226" s="12" customFormat="1" x14ac:dyDescent="0.25"/>
    <row r="260227" s="12" customFormat="1" x14ac:dyDescent="0.25"/>
    <row r="260228" s="12" customFormat="1" x14ac:dyDescent="0.25"/>
    <row r="260229" s="12" customFormat="1" x14ac:dyDescent="0.25"/>
    <row r="260230" s="12" customFormat="1" x14ac:dyDescent="0.25"/>
    <row r="260231" s="12" customFormat="1" x14ac:dyDescent="0.25"/>
    <row r="260232" s="12" customFormat="1" x14ac:dyDescent="0.25"/>
    <row r="260233" s="12" customFormat="1" x14ac:dyDescent="0.25"/>
    <row r="260234" s="12" customFormat="1" x14ac:dyDescent="0.25"/>
    <row r="260235" s="12" customFormat="1" x14ac:dyDescent="0.25"/>
    <row r="260236" s="12" customFormat="1" x14ac:dyDescent="0.25"/>
    <row r="260237" s="12" customFormat="1" x14ac:dyDescent="0.25"/>
    <row r="260238" s="12" customFormat="1" x14ac:dyDescent="0.25"/>
    <row r="260239" s="12" customFormat="1" x14ac:dyDescent="0.25"/>
    <row r="260240" s="12" customFormat="1" x14ac:dyDescent="0.25"/>
    <row r="260241" s="12" customFormat="1" x14ac:dyDescent="0.25"/>
    <row r="260242" s="12" customFormat="1" x14ac:dyDescent="0.25"/>
    <row r="260243" s="12" customFormat="1" x14ac:dyDescent="0.25"/>
    <row r="260244" s="12" customFormat="1" x14ac:dyDescent="0.25"/>
    <row r="260245" s="12" customFormat="1" x14ac:dyDescent="0.25"/>
    <row r="260246" s="12" customFormat="1" x14ac:dyDescent="0.25"/>
    <row r="260247" s="12" customFormat="1" x14ac:dyDescent="0.25"/>
    <row r="260248" s="12" customFormat="1" x14ac:dyDescent="0.25"/>
    <row r="260249" s="12" customFormat="1" x14ac:dyDescent="0.25"/>
    <row r="260250" s="12" customFormat="1" x14ac:dyDescent="0.25"/>
    <row r="260251" s="12" customFormat="1" x14ac:dyDescent="0.25"/>
    <row r="260252" s="12" customFormat="1" x14ac:dyDescent="0.25"/>
    <row r="260253" s="12" customFormat="1" x14ac:dyDescent="0.25"/>
    <row r="260254" s="12" customFormat="1" x14ac:dyDescent="0.25"/>
    <row r="260255" s="12" customFormat="1" x14ac:dyDescent="0.25"/>
    <row r="260256" s="12" customFormat="1" x14ac:dyDescent="0.25"/>
    <row r="260257" s="12" customFormat="1" x14ac:dyDescent="0.25"/>
    <row r="260258" s="12" customFormat="1" x14ac:dyDescent="0.25"/>
    <row r="260259" s="12" customFormat="1" x14ac:dyDescent="0.25"/>
    <row r="260260" s="12" customFormat="1" x14ac:dyDescent="0.25"/>
    <row r="260261" s="12" customFormat="1" x14ac:dyDescent="0.25"/>
    <row r="260262" s="12" customFormat="1" x14ac:dyDescent="0.25"/>
    <row r="260263" s="12" customFormat="1" x14ac:dyDescent="0.25"/>
    <row r="260264" s="12" customFormat="1" x14ac:dyDescent="0.25"/>
    <row r="260265" s="12" customFormat="1" x14ac:dyDescent="0.25"/>
    <row r="260266" s="12" customFormat="1" x14ac:dyDescent="0.25"/>
    <row r="260267" s="12" customFormat="1" x14ac:dyDescent="0.25"/>
    <row r="260268" s="12" customFormat="1" x14ac:dyDescent="0.25"/>
    <row r="260269" s="12" customFormat="1" x14ac:dyDescent="0.25"/>
    <row r="260270" s="12" customFormat="1" x14ac:dyDescent="0.25"/>
    <row r="260271" s="12" customFormat="1" x14ac:dyDescent="0.25"/>
    <row r="260272" s="12" customFormat="1" x14ac:dyDescent="0.25"/>
    <row r="260273" s="12" customFormat="1" x14ac:dyDescent="0.25"/>
    <row r="260274" s="12" customFormat="1" x14ac:dyDescent="0.25"/>
    <row r="260275" s="12" customFormat="1" x14ac:dyDescent="0.25"/>
    <row r="260276" s="12" customFormat="1" x14ac:dyDescent="0.25"/>
    <row r="260277" s="12" customFormat="1" x14ac:dyDescent="0.25"/>
    <row r="260278" s="12" customFormat="1" x14ac:dyDescent="0.25"/>
    <row r="260279" s="12" customFormat="1" x14ac:dyDescent="0.25"/>
    <row r="260280" s="12" customFormat="1" x14ac:dyDescent="0.25"/>
    <row r="260281" s="12" customFormat="1" x14ac:dyDescent="0.25"/>
    <row r="260282" s="12" customFormat="1" x14ac:dyDescent="0.25"/>
    <row r="260283" s="12" customFormat="1" x14ac:dyDescent="0.25"/>
    <row r="260284" s="12" customFormat="1" x14ac:dyDescent="0.25"/>
    <row r="260285" s="12" customFormat="1" x14ac:dyDescent="0.25"/>
    <row r="260286" s="12" customFormat="1" x14ac:dyDescent="0.25"/>
    <row r="260287" s="12" customFormat="1" x14ac:dyDescent="0.25"/>
    <row r="260288" s="12" customFormat="1" x14ac:dyDescent="0.25"/>
    <row r="260289" s="12" customFormat="1" x14ac:dyDescent="0.25"/>
    <row r="260290" s="12" customFormat="1" x14ac:dyDescent="0.25"/>
    <row r="260291" s="12" customFormat="1" x14ac:dyDescent="0.25"/>
    <row r="260292" s="12" customFormat="1" x14ac:dyDescent="0.25"/>
    <row r="260293" s="12" customFormat="1" x14ac:dyDescent="0.25"/>
    <row r="260294" s="12" customFormat="1" x14ac:dyDescent="0.25"/>
    <row r="260295" s="12" customFormat="1" x14ac:dyDescent="0.25"/>
    <row r="260296" s="12" customFormat="1" x14ac:dyDescent="0.25"/>
    <row r="260297" s="12" customFormat="1" x14ac:dyDescent="0.25"/>
    <row r="260298" s="12" customFormat="1" x14ac:dyDescent="0.25"/>
    <row r="260299" s="12" customFormat="1" x14ac:dyDescent="0.25"/>
    <row r="260300" s="12" customFormat="1" x14ac:dyDescent="0.25"/>
    <row r="260301" s="12" customFormat="1" x14ac:dyDescent="0.25"/>
    <row r="260302" s="12" customFormat="1" x14ac:dyDescent="0.25"/>
    <row r="260303" s="12" customFormat="1" x14ac:dyDescent="0.25"/>
    <row r="260304" s="12" customFormat="1" x14ac:dyDescent="0.25"/>
    <row r="260305" s="12" customFormat="1" x14ac:dyDescent="0.25"/>
    <row r="260306" s="12" customFormat="1" x14ac:dyDescent="0.25"/>
    <row r="260307" s="12" customFormat="1" x14ac:dyDescent="0.25"/>
    <row r="260308" s="12" customFormat="1" x14ac:dyDescent="0.25"/>
    <row r="260309" s="12" customFormat="1" x14ac:dyDescent="0.25"/>
    <row r="260310" s="12" customFormat="1" x14ac:dyDescent="0.25"/>
    <row r="260311" s="12" customFormat="1" x14ac:dyDescent="0.25"/>
    <row r="260312" s="12" customFormat="1" x14ac:dyDescent="0.25"/>
    <row r="260313" s="12" customFormat="1" x14ac:dyDescent="0.25"/>
    <row r="260314" s="12" customFormat="1" x14ac:dyDescent="0.25"/>
    <row r="260315" s="12" customFormat="1" x14ac:dyDescent="0.25"/>
    <row r="260316" s="12" customFormat="1" x14ac:dyDescent="0.25"/>
    <row r="260317" s="12" customFormat="1" x14ac:dyDescent="0.25"/>
    <row r="260318" s="12" customFormat="1" x14ac:dyDescent="0.25"/>
    <row r="260319" s="12" customFormat="1" x14ac:dyDescent="0.25"/>
    <row r="260320" s="12" customFormat="1" x14ac:dyDescent="0.25"/>
    <row r="260321" s="12" customFormat="1" x14ac:dyDescent="0.25"/>
    <row r="260322" s="12" customFormat="1" x14ac:dyDescent="0.25"/>
    <row r="260323" s="12" customFormat="1" x14ac:dyDescent="0.25"/>
    <row r="260324" s="12" customFormat="1" x14ac:dyDescent="0.25"/>
    <row r="260325" s="12" customFormat="1" x14ac:dyDescent="0.25"/>
    <row r="260326" s="12" customFormat="1" x14ac:dyDescent="0.25"/>
    <row r="260327" s="12" customFormat="1" x14ac:dyDescent="0.25"/>
    <row r="260328" s="12" customFormat="1" x14ac:dyDescent="0.25"/>
    <row r="260329" s="12" customFormat="1" x14ac:dyDescent="0.25"/>
    <row r="260330" s="12" customFormat="1" x14ac:dyDescent="0.25"/>
    <row r="260331" s="12" customFormat="1" x14ac:dyDescent="0.25"/>
    <row r="260332" s="12" customFormat="1" x14ac:dyDescent="0.25"/>
    <row r="260333" s="12" customFormat="1" x14ac:dyDescent="0.25"/>
    <row r="260334" s="12" customFormat="1" x14ac:dyDescent="0.25"/>
    <row r="260335" s="12" customFormat="1" x14ac:dyDescent="0.25"/>
    <row r="260336" s="12" customFormat="1" x14ac:dyDescent="0.25"/>
    <row r="260337" s="12" customFormat="1" x14ac:dyDescent="0.25"/>
    <row r="260338" s="12" customFormat="1" x14ac:dyDescent="0.25"/>
    <row r="260339" s="12" customFormat="1" x14ac:dyDescent="0.25"/>
    <row r="260340" s="12" customFormat="1" x14ac:dyDescent="0.25"/>
    <row r="260341" s="12" customFormat="1" x14ac:dyDescent="0.25"/>
    <row r="260342" s="12" customFormat="1" x14ac:dyDescent="0.25"/>
    <row r="260343" s="12" customFormat="1" x14ac:dyDescent="0.25"/>
    <row r="260344" s="12" customFormat="1" x14ac:dyDescent="0.25"/>
    <row r="260345" s="12" customFormat="1" x14ac:dyDescent="0.25"/>
    <row r="260346" s="12" customFormat="1" x14ac:dyDescent="0.25"/>
    <row r="260347" s="12" customFormat="1" x14ac:dyDescent="0.25"/>
    <row r="260348" s="12" customFormat="1" x14ac:dyDescent="0.25"/>
    <row r="260349" s="12" customFormat="1" x14ac:dyDescent="0.25"/>
    <row r="260350" s="12" customFormat="1" x14ac:dyDescent="0.25"/>
    <row r="260351" s="12" customFormat="1" x14ac:dyDescent="0.25"/>
    <row r="260352" s="12" customFormat="1" x14ac:dyDescent="0.25"/>
    <row r="260353" s="12" customFormat="1" x14ac:dyDescent="0.25"/>
    <row r="260354" s="12" customFormat="1" x14ac:dyDescent="0.25"/>
    <row r="260355" s="12" customFormat="1" x14ac:dyDescent="0.25"/>
    <row r="260356" s="12" customFormat="1" x14ac:dyDescent="0.25"/>
    <row r="260357" s="12" customFormat="1" x14ac:dyDescent="0.25"/>
    <row r="260358" s="12" customFormat="1" x14ac:dyDescent="0.25"/>
    <row r="260359" s="12" customFormat="1" x14ac:dyDescent="0.25"/>
    <row r="260360" s="12" customFormat="1" x14ac:dyDescent="0.25"/>
    <row r="260361" s="12" customFormat="1" x14ac:dyDescent="0.25"/>
    <row r="260362" s="12" customFormat="1" x14ac:dyDescent="0.25"/>
    <row r="260363" s="12" customFormat="1" x14ac:dyDescent="0.25"/>
    <row r="260364" s="12" customFormat="1" x14ac:dyDescent="0.25"/>
    <row r="260365" s="12" customFormat="1" x14ac:dyDescent="0.25"/>
    <row r="260366" s="12" customFormat="1" x14ac:dyDescent="0.25"/>
    <row r="260367" s="12" customFormat="1" x14ac:dyDescent="0.25"/>
    <row r="260368" s="12" customFormat="1" x14ac:dyDescent="0.25"/>
    <row r="260369" s="12" customFormat="1" x14ac:dyDescent="0.25"/>
    <row r="260370" s="12" customFormat="1" x14ac:dyDescent="0.25"/>
    <row r="260371" s="12" customFormat="1" x14ac:dyDescent="0.25"/>
    <row r="260372" s="12" customFormat="1" x14ac:dyDescent="0.25"/>
    <row r="260373" s="12" customFormat="1" x14ac:dyDescent="0.25"/>
    <row r="260374" s="12" customFormat="1" x14ac:dyDescent="0.25"/>
    <row r="260375" s="12" customFormat="1" x14ac:dyDescent="0.25"/>
    <row r="260376" s="12" customFormat="1" x14ac:dyDescent="0.25"/>
    <row r="260377" s="12" customFormat="1" x14ac:dyDescent="0.25"/>
    <row r="260378" s="12" customFormat="1" x14ac:dyDescent="0.25"/>
    <row r="260379" s="12" customFormat="1" x14ac:dyDescent="0.25"/>
    <row r="260380" s="12" customFormat="1" x14ac:dyDescent="0.25"/>
    <row r="260381" s="12" customFormat="1" x14ac:dyDescent="0.25"/>
    <row r="260382" s="12" customFormat="1" x14ac:dyDescent="0.25"/>
    <row r="260383" s="12" customFormat="1" x14ac:dyDescent="0.25"/>
    <row r="260384" s="12" customFormat="1" x14ac:dyDescent="0.25"/>
    <row r="260385" s="12" customFormat="1" x14ac:dyDescent="0.25"/>
    <row r="260386" s="12" customFormat="1" x14ac:dyDescent="0.25"/>
    <row r="260387" s="12" customFormat="1" x14ac:dyDescent="0.25"/>
    <row r="260388" s="12" customFormat="1" x14ac:dyDescent="0.25"/>
    <row r="260389" s="12" customFormat="1" x14ac:dyDescent="0.25"/>
    <row r="260390" s="12" customFormat="1" x14ac:dyDescent="0.25"/>
    <row r="260391" s="12" customFormat="1" x14ac:dyDescent="0.25"/>
    <row r="260392" s="12" customFormat="1" x14ac:dyDescent="0.25"/>
    <row r="260393" s="12" customFormat="1" x14ac:dyDescent="0.25"/>
    <row r="260394" s="12" customFormat="1" x14ac:dyDescent="0.25"/>
    <row r="260395" s="12" customFormat="1" x14ac:dyDescent="0.25"/>
    <row r="260396" s="12" customFormat="1" x14ac:dyDescent="0.25"/>
    <row r="260397" s="12" customFormat="1" x14ac:dyDescent="0.25"/>
    <row r="260398" s="12" customFormat="1" x14ac:dyDescent="0.25"/>
    <row r="260399" s="12" customFormat="1" x14ac:dyDescent="0.25"/>
    <row r="260400" s="12" customFormat="1" x14ac:dyDescent="0.25"/>
    <row r="260401" s="12" customFormat="1" x14ac:dyDescent="0.25"/>
    <row r="260402" s="12" customFormat="1" x14ac:dyDescent="0.25"/>
    <row r="260403" s="12" customFormat="1" x14ac:dyDescent="0.25"/>
    <row r="260404" s="12" customFormat="1" x14ac:dyDescent="0.25"/>
    <row r="260405" s="12" customFormat="1" x14ac:dyDescent="0.25"/>
    <row r="260406" s="12" customFormat="1" x14ac:dyDescent="0.25"/>
    <row r="260407" s="12" customFormat="1" x14ac:dyDescent="0.25"/>
    <row r="260408" s="12" customFormat="1" x14ac:dyDescent="0.25"/>
    <row r="260409" s="12" customFormat="1" x14ac:dyDescent="0.25"/>
    <row r="260410" s="12" customFormat="1" x14ac:dyDescent="0.25"/>
    <row r="260411" s="12" customFormat="1" x14ac:dyDescent="0.25"/>
    <row r="260412" s="12" customFormat="1" x14ac:dyDescent="0.25"/>
    <row r="260413" s="12" customFormat="1" x14ac:dyDescent="0.25"/>
    <row r="260414" s="12" customFormat="1" x14ac:dyDescent="0.25"/>
    <row r="260415" s="12" customFormat="1" x14ac:dyDescent="0.25"/>
    <row r="260416" s="12" customFormat="1" x14ac:dyDescent="0.25"/>
    <row r="260417" s="12" customFormat="1" x14ac:dyDescent="0.25"/>
    <row r="260418" s="12" customFormat="1" x14ac:dyDescent="0.25"/>
    <row r="260419" s="12" customFormat="1" x14ac:dyDescent="0.25"/>
    <row r="260420" s="12" customFormat="1" x14ac:dyDescent="0.25"/>
    <row r="260421" s="12" customFormat="1" x14ac:dyDescent="0.25"/>
    <row r="260422" s="12" customFormat="1" x14ac:dyDescent="0.25"/>
    <row r="260423" s="12" customFormat="1" x14ac:dyDescent="0.25"/>
    <row r="260424" s="12" customFormat="1" x14ac:dyDescent="0.25"/>
    <row r="260425" s="12" customFormat="1" x14ac:dyDescent="0.25"/>
    <row r="260426" s="12" customFormat="1" x14ac:dyDescent="0.25"/>
    <row r="260427" s="12" customFormat="1" x14ac:dyDescent="0.25"/>
    <row r="260428" s="12" customFormat="1" x14ac:dyDescent="0.25"/>
    <row r="260429" s="12" customFormat="1" x14ac:dyDescent="0.25"/>
    <row r="260430" s="12" customFormat="1" x14ac:dyDescent="0.25"/>
    <row r="260431" s="12" customFormat="1" x14ac:dyDescent="0.25"/>
    <row r="260432" s="12" customFormat="1" x14ac:dyDescent="0.25"/>
    <row r="260433" s="12" customFormat="1" x14ac:dyDescent="0.25"/>
    <row r="260434" s="12" customFormat="1" x14ac:dyDescent="0.25"/>
    <row r="260435" s="12" customFormat="1" x14ac:dyDescent="0.25"/>
    <row r="260436" s="12" customFormat="1" x14ac:dyDescent="0.25"/>
    <row r="260437" s="12" customFormat="1" x14ac:dyDescent="0.25"/>
    <row r="260438" s="12" customFormat="1" x14ac:dyDescent="0.25"/>
    <row r="260439" s="12" customFormat="1" x14ac:dyDescent="0.25"/>
    <row r="260440" s="12" customFormat="1" x14ac:dyDescent="0.25"/>
    <row r="260441" s="12" customFormat="1" x14ac:dyDescent="0.25"/>
    <row r="260442" s="12" customFormat="1" x14ac:dyDescent="0.25"/>
    <row r="260443" s="12" customFormat="1" x14ac:dyDescent="0.25"/>
    <row r="260444" s="12" customFormat="1" x14ac:dyDescent="0.25"/>
    <row r="260445" s="12" customFormat="1" x14ac:dyDescent="0.25"/>
    <row r="260446" s="12" customFormat="1" x14ac:dyDescent="0.25"/>
    <row r="260447" s="12" customFormat="1" x14ac:dyDescent="0.25"/>
    <row r="260448" s="12" customFormat="1" x14ac:dyDescent="0.25"/>
    <row r="260449" s="12" customFormat="1" x14ac:dyDescent="0.25"/>
    <row r="260450" s="12" customFormat="1" x14ac:dyDescent="0.25"/>
    <row r="260451" s="12" customFormat="1" x14ac:dyDescent="0.25"/>
    <row r="260452" s="12" customFormat="1" x14ac:dyDescent="0.25"/>
    <row r="260453" s="12" customFormat="1" x14ac:dyDescent="0.25"/>
    <row r="260454" s="12" customFormat="1" x14ac:dyDescent="0.25"/>
    <row r="260455" s="12" customFormat="1" x14ac:dyDescent="0.25"/>
    <row r="260456" s="12" customFormat="1" x14ac:dyDescent="0.25"/>
    <row r="260457" s="12" customFormat="1" x14ac:dyDescent="0.25"/>
    <row r="260458" s="12" customFormat="1" x14ac:dyDescent="0.25"/>
    <row r="260459" s="12" customFormat="1" x14ac:dyDescent="0.25"/>
    <row r="260460" s="12" customFormat="1" x14ac:dyDescent="0.25"/>
    <row r="260461" s="12" customFormat="1" x14ac:dyDescent="0.25"/>
    <row r="260462" s="12" customFormat="1" x14ac:dyDescent="0.25"/>
    <row r="260463" s="12" customFormat="1" x14ac:dyDescent="0.25"/>
    <row r="260464" s="12" customFormat="1" x14ac:dyDescent="0.25"/>
    <row r="260465" s="12" customFormat="1" x14ac:dyDescent="0.25"/>
    <row r="260466" s="12" customFormat="1" x14ac:dyDescent="0.25"/>
    <row r="260467" s="12" customFormat="1" x14ac:dyDescent="0.25"/>
    <row r="260468" s="12" customFormat="1" x14ac:dyDescent="0.25"/>
    <row r="260469" s="12" customFormat="1" x14ac:dyDescent="0.25"/>
    <row r="260470" s="12" customFormat="1" x14ac:dyDescent="0.25"/>
    <row r="260471" s="12" customFormat="1" x14ac:dyDescent="0.25"/>
    <row r="260472" s="12" customFormat="1" x14ac:dyDescent="0.25"/>
    <row r="260473" s="12" customFormat="1" x14ac:dyDescent="0.25"/>
    <row r="260474" s="12" customFormat="1" x14ac:dyDescent="0.25"/>
    <row r="260475" s="12" customFormat="1" x14ac:dyDescent="0.25"/>
    <row r="260476" s="12" customFormat="1" x14ac:dyDescent="0.25"/>
    <row r="260477" s="12" customFormat="1" x14ac:dyDescent="0.25"/>
    <row r="260478" s="12" customFormat="1" x14ac:dyDescent="0.25"/>
    <row r="260479" s="12" customFormat="1" x14ac:dyDescent="0.25"/>
    <row r="260480" s="12" customFormat="1" x14ac:dyDescent="0.25"/>
    <row r="260481" s="12" customFormat="1" x14ac:dyDescent="0.25"/>
    <row r="260482" s="12" customFormat="1" x14ac:dyDescent="0.25"/>
    <row r="260483" s="12" customFormat="1" x14ac:dyDescent="0.25"/>
    <row r="260484" s="12" customFormat="1" x14ac:dyDescent="0.25"/>
    <row r="260485" s="12" customFormat="1" x14ac:dyDescent="0.25"/>
    <row r="260486" s="12" customFormat="1" x14ac:dyDescent="0.25"/>
    <row r="260487" s="12" customFormat="1" x14ac:dyDescent="0.25"/>
    <row r="260488" s="12" customFormat="1" x14ac:dyDescent="0.25"/>
    <row r="260489" s="12" customFormat="1" x14ac:dyDescent="0.25"/>
    <row r="260490" s="12" customFormat="1" x14ac:dyDescent="0.25"/>
    <row r="260491" s="12" customFormat="1" x14ac:dyDescent="0.25"/>
    <row r="260492" s="12" customFormat="1" x14ac:dyDescent="0.25"/>
    <row r="260493" s="12" customFormat="1" x14ac:dyDescent="0.25"/>
    <row r="260494" s="12" customFormat="1" x14ac:dyDescent="0.25"/>
    <row r="260495" s="12" customFormat="1" x14ac:dyDescent="0.25"/>
    <row r="260496" s="12" customFormat="1" x14ac:dyDescent="0.25"/>
    <row r="260497" s="12" customFormat="1" x14ac:dyDescent="0.25"/>
    <row r="260498" s="12" customFormat="1" x14ac:dyDescent="0.25"/>
    <row r="260499" s="12" customFormat="1" x14ac:dyDescent="0.25"/>
    <row r="260500" s="12" customFormat="1" x14ac:dyDescent="0.25"/>
    <row r="260501" s="12" customFormat="1" x14ac:dyDescent="0.25"/>
    <row r="260502" s="12" customFormat="1" x14ac:dyDescent="0.25"/>
    <row r="260503" s="12" customFormat="1" x14ac:dyDescent="0.25"/>
    <row r="260504" s="12" customFormat="1" x14ac:dyDescent="0.25"/>
    <row r="260505" s="12" customFormat="1" x14ac:dyDescent="0.25"/>
    <row r="260506" s="12" customFormat="1" x14ac:dyDescent="0.25"/>
    <row r="260507" s="12" customFormat="1" x14ac:dyDescent="0.25"/>
    <row r="260508" s="12" customFormat="1" x14ac:dyDescent="0.25"/>
    <row r="260509" s="12" customFormat="1" x14ac:dyDescent="0.25"/>
    <row r="260510" s="12" customFormat="1" x14ac:dyDescent="0.25"/>
    <row r="260511" s="12" customFormat="1" x14ac:dyDescent="0.25"/>
    <row r="260512" s="12" customFormat="1" x14ac:dyDescent="0.25"/>
    <row r="260513" s="12" customFormat="1" x14ac:dyDescent="0.25"/>
    <row r="260514" s="12" customFormat="1" x14ac:dyDescent="0.25"/>
    <row r="260515" s="12" customFormat="1" x14ac:dyDescent="0.25"/>
    <row r="260516" s="12" customFormat="1" x14ac:dyDescent="0.25"/>
    <row r="260517" s="12" customFormat="1" x14ac:dyDescent="0.25"/>
    <row r="260518" s="12" customFormat="1" x14ac:dyDescent="0.25"/>
    <row r="260519" s="12" customFormat="1" x14ac:dyDescent="0.25"/>
    <row r="260520" s="12" customFormat="1" x14ac:dyDescent="0.25"/>
    <row r="260521" s="12" customFormat="1" x14ac:dyDescent="0.25"/>
    <row r="260522" s="12" customFormat="1" x14ac:dyDescent="0.25"/>
    <row r="260523" s="12" customFormat="1" x14ac:dyDescent="0.25"/>
    <row r="260524" s="12" customFormat="1" x14ac:dyDescent="0.25"/>
    <row r="260525" s="12" customFormat="1" x14ac:dyDescent="0.25"/>
    <row r="260526" s="12" customFormat="1" x14ac:dyDescent="0.25"/>
    <row r="260527" s="12" customFormat="1" x14ac:dyDescent="0.25"/>
    <row r="260528" s="12" customFormat="1" x14ac:dyDescent="0.25"/>
    <row r="260529" s="12" customFormat="1" x14ac:dyDescent="0.25"/>
    <row r="260530" s="12" customFormat="1" x14ac:dyDescent="0.25"/>
    <row r="260531" s="12" customFormat="1" x14ac:dyDescent="0.25"/>
    <row r="260532" s="12" customFormat="1" x14ac:dyDescent="0.25"/>
    <row r="260533" s="12" customFormat="1" x14ac:dyDescent="0.25"/>
    <row r="260534" s="12" customFormat="1" x14ac:dyDescent="0.25"/>
    <row r="260535" s="12" customFormat="1" x14ac:dyDescent="0.25"/>
    <row r="260536" s="12" customFormat="1" x14ac:dyDescent="0.25"/>
    <row r="260537" s="12" customFormat="1" x14ac:dyDescent="0.25"/>
    <row r="260538" s="12" customFormat="1" x14ac:dyDescent="0.25"/>
    <row r="260539" s="12" customFormat="1" x14ac:dyDescent="0.25"/>
    <row r="260540" s="12" customFormat="1" x14ac:dyDescent="0.25"/>
    <row r="260541" s="12" customFormat="1" x14ac:dyDescent="0.25"/>
    <row r="260542" s="12" customFormat="1" x14ac:dyDescent="0.25"/>
    <row r="260543" s="12" customFormat="1" x14ac:dyDescent="0.25"/>
    <row r="260544" s="12" customFormat="1" x14ac:dyDescent="0.25"/>
    <row r="260545" s="12" customFormat="1" x14ac:dyDescent="0.25"/>
    <row r="260546" s="12" customFormat="1" x14ac:dyDescent="0.25"/>
    <row r="260547" s="12" customFormat="1" x14ac:dyDescent="0.25"/>
    <row r="260548" s="12" customFormat="1" x14ac:dyDescent="0.25"/>
    <row r="260549" s="12" customFormat="1" x14ac:dyDescent="0.25"/>
    <row r="260550" s="12" customFormat="1" x14ac:dyDescent="0.25"/>
    <row r="260551" s="12" customFormat="1" x14ac:dyDescent="0.25"/>
    <row r="260552" s="12" customFormat="1" x14ac:dyDescent="0.25"/>
    <row r="260553" s="12" customFormat="1" x14ac:dyDescent="0.25"/>
    <row r="260554" s="12" customFormat="1" x14ac:dyDescent="0.25"/>
    <row r="260555" s="12" customFormat="1" x14ac:dyDescent="0.25"/>
    <row r="260556" s="12" customFormat="1" x14ac:dyDescent="0.25"/>
    <row r="260557" s="12" customFormat="1" x14ac:dyDescent="0.25"/>
    <row r="260558" s="12" customFormat="1" x14ac:dyDescent="0.25"/>
    <row r="260559" s="12" customFormat="1" x14ac:dyDescent="0.25"/>
    <row r="260560" s="12" customFormat="1" x14ac:dyDescent="0.25"/>
    <row r="260561" s="12" customFormat="1" x14ac:dyDescent="0.25"/>
    <row r="260562" s="12" customFormat="1" x14ac:dyDescent="0.25"/>
    <row r="260563" s="12" customFormat="1" x14ac:dyDescent="0.25"/>
    <row r="260564" s="12" customFormat="1" x14ac:dyDescent="0.25"/>
    <row r="260565" s="12" customFormat="1" x14ac:dyDescent="0.25"/>
    <row r="260566" s="12" customFormat="1" x14ac:dyDescent="0.25"/>
    <row r="260567" s="12" customFormat="1" x14ac:dyDescent="0.25"/>
    <row r="260568" s="12" customFormat="1" x14ac:dyDescent="0.25"/>
    <row r="260569" s="12" customFormat="1" x14ac:dyDescent="0.25"/>
    <row r="260570" s="12" customFormat="1" x14ac:dyDescent="0.25"/>
    <row r="260571" s="12" customFormat="1" x14ac:dyDescent="0.25"/>
    <row r="260572" s="12" customFormat="1" x14ac:dyDescent="0.25"/>
    <row r="260573" s="12" customFormat="1" x14ac:dyDescent="0.25"/>
    <row r="260574" s="12" customFormat="1" x14ac:dyDescent="0.25"/>
    <row r="260575" s="12" customFormat="1" x14ac:dyDescent="0.25"/>
    <row r="260576" s="12" customFormat="1" x14ac:dyDescent="0.25"/>
    <row r="260577" s="12" customFormat="1" x14ac:dyDescent="0.25"/>
    <row r="260578" s="12" customFormat="1" x14ac:dyDescent="0.25"/>
    <row r="260579" s="12" customFormat="1" x14ac:dyDescent="0.25"/>
    <row r="260580" s="12" customFormat="1" x14ac:dyDescent="0.25"/>
    <row r="260581" s="12" customFormat="1" x14ac:dyDescent="0.25"/>
    <row r="260582" s="12" customFormat="1" x14ac:dyDescent="0.25"/>
    <row r="260583" s="12" customFormat="1" x14ac:dyDescent="0.25"/>
    <row r="260584" s="12" customFormat="1" x14ac:dyDescent="0.25"/>
    <row r="260585" s="12" customFormat="1" x14ac:dyDescent="0.25"/>
    <row r="260586" s="12" customFormat="1" x14ac:dyDescent="0.25"/>
    <row r="260587" s="12" customFormat="1" x14ac:dyDescent="0.25"/>
    <row r="260588" s="12" customFormat="1" x14ac:dyDescent="0.25"/>
    <row r="260589" s="12" customFormat="1" x14ac:dyDescent="0.25"/>
    <row r="260590" s="12" customFormat="1" x14ac:dyDescent="0.25"/>
    <row r="260591" s="12" customFormat="1" x14ac:dyDescent="0.25"/>
    <row r="260592" s="12" customFormat="1" x14ac:dyDescent="0.25"/>
    <row r="260593" s="12" customFormat="1" x14ac:dyDescent="0.25"/>
    <row r="260594" s="12" customFormat="1" x14ac:dyDescent="0.25"/>
    <row r="260595" s="12" customFormat="1" x14ac:dyDescent="0.25"/>
    <row r="260596" s="12" customFormat="1" x14ac:dyDescent="0.25"/>
    <row r="260597" s="12" customFormat="1" x14ac:dyDescent="0.25"/>
    <row r="260598" s="12" customFormat="1" x14ac:dyDescent="0.25"/>
    <row r="260599" s="12" customFormat="1" x14ac:dyDescent="0.25"/>
    <row r="260600" s="12" customFormat="1" x14ac:dyDescent="0.25"/>
    <row r="260601" s="12" customFormat="1" x14ac:dyDescent="0.25"/>
    <row r="260602" s="12" customFormat="1" x14ac:dyDescent="0.25"/>
    <row r="260603" s="12" customFormat="1" x14ac:dyDescent="0.25"/>
    <row r="260604" s="12" customFormat="1" x14ac:dyDescent="0.25"/>
    <row r="260605" s="12" customFormat="1" x14ac:dyDescent="0.25"/>
    <row r="260606" s="12" customFormat="1" x14ac:dyDescent="0.25"/>
    <row r="260607" s="12" customFormat="1" x14ac:dyDescent="0.25"/>
    <row r="260608" s="12" customFormat="1" x14ac:dyDescent="0.25"/>
    <row r="260609" s="12" customFormat="1" x14ac:dyDescent="0.25"/>
    <row r="260610" s="12" customFormat="1" x14ac:dyDescent="0.25"/>
    <row r="260611" s="12" customFormat="1" x14ac:dyDescent="0.25"/>
    <row r="260612" s="12" customFormat="1" x14ac:dyDescent="0.25"/>
    <row r="260613" s="12" customFormat="1" x14ac:dyDescent="0.25"/>
    <row r="260614" s="12" customFormat="1" x14ac:dyDescent="0.25"/>
    <row r="260615" s="12" customFormat="1" x14ac:dyDescent="0.25"/>
    <row r="260616" s="12" customFormat="1" x14ac:dyDescent="0.25"/>
    <row r="260617" s="12" customFormat="1" x14ac:dyDescent="0.25"/>
    <row r="260618" s="12" customFormat="1" x14ac:dyDescent="0.25"/>
    <row r="260619" s="12" customFormat="1" x14ac:dyDescent="0.25"/>
    <row r="260620" s="12" customFormat="1" x14ac:dyDescent="0.25"/>
    <row r="260621" s="12" customFormat="1" x14ac:dyDescent="0.25"/>
    <row r="260622" s="12" customFormat="1" x14ac:dyDescent="0.25"/>
    <row r="260623" s="12" customFormat="1" x14ac:dyDescent="0.25"/>
    <row r="260624" s="12" customFormat="1" x14ac:dyDescent="0.25"/>
    <row r="260625" s="12" customFormat="1" x14ac:dyDescent="0.25"/>
    <row r="260626" s="12" customFormat="1" x14ac:dyDescent="0.25"/>
    <row r="260627" s="12" customFormat="1" x14ac:dyDescent="0.25"/>
    <row r="260628" s="12" customFormat="1" x14ac:dyDescent="0.25"/>
    <row r="260629" s="12" customFormat="1" x14ac:dyDescent="0.25"/>
    <row r="260630" s="12" customFormat="1" x14ac:dyDescent="0.25"/>
    <row r="260631" s="12" customFormat="1" x14ac:dyDescent="0.25"/>
    <row r="260632" s="12" customFormat="1" x14ac:dyDescent="0.25"/>
    <row r="260633" s="12" customFormat="1" x14ac:dyDescent="0.25"/>
    <row r="260634" s="12" customFormat="1" x14ac:dyDescent="0.25"/>
    <row r="260635" s="12" customFormat="1" x14ac:dyDescent="0.25"/>
    <row r="260636" s="12" customFormat="1" x14ac:dyDescent="0.25"/>
    <row r="260637" s="12" customFormat="1" x14ac:dyDescent="0.25"/>
    <row r="260638" s="12" customFormat="1" x14ac:dyDescent="0.25"/>
    <row r="260639" s="12" customFormat="1" x14ac:dyDescent="0.25"/>
    <row r="260640" s="12" customFormat="1" x14ac:dyDescent="0.25"/>
    <row r="260641" s="12" customFormat="1" x14ac:dyDescent="0.25"/>
    <row r="260642" s="12" customFormat="1" x14ac:dyDescent="0.25"/>
    <row r="260643" s="12" customFormat="1" x14ac:dyDescent="0.25"/>
    <row r="260644" s="12" customFormat="1" x14ac:dyDescent="0.25"/>
    <row r="260645" s="12" customFormat="1" x14ac:dyDescent="0.25"/>
    <row r="260646" s="12" customFormat="1" x14ac:dyDescent="0.25"/>
    <row r="260647" s="12" customFormat="1" x14ac:dyDescent="0.25"/>
    <row r="260648" s="12" customFormat="1" x14ac:dyDescent="0.25"/>
    <row r="260649" s="12" customFormat="1" x14ac:dyDescent="0.25"/>
    <row r="260650" s="12" customFormat="1" x14ac:dyDescent="0.25"/>
    <row r="260651" s="12" customFormat="1" x14ac:dyDescent="0.25"/>
    <row r="260652" s="12" customFormat="1" x14ac:dyDescent="0.25"/>
    <row r="260653" s="12" customFormat="1" x14ac:dyDescent="0.25"/>
    <row r="260654" s="12" customFormat="1" x14ac:dyDescent="0.25"/>
    <row r="260655" s="12" customFormat="1" x14ac:dyDescent="0.25"/>
    <row r="260656" s="12" customFormat="1" x14ac:dyDescent="0.25"/>
    <row r="260657" s="12" customFormat="1" x14ac:dyDescent="0.25"/>
    <row r="260658" s="12" customFormat="1" x14ac:dyDescent="0.25"/>
    <row r="260659" s="12" customFormat="1" x14ac:dyDescent="0.25"/>
    <row r="260660" s="12" customFormat="1" x14ac:dyDescent="0.25"/>
    <row r="260661" s="12" customFormat="1" x14ac:dyDescent="0.25"/>
    <row r="260662" s="12" customFormat="1" x14ac:dyDescent="0.25"/>
    <row r="260663" s="12" customFormat="1" x14ac:dyDescent="0.25"/>
    <row r="260664" s="12" customFormat="1" x14ac:dyDescent="0.25"/>
    <row r="260665" s="12" customFormat="1" x14ac:dyDescent="0.25"/>
    <row r="260666" s="12" customFormat="1" x14ac:dyDescent="0.25"/>
    <row r="260667" s="12" customFormat="1" x14ac:dyDescent="0.25"/>
    <row r="260668" s="12" customFormat="1" x14ac:dyDescent="0.25"/>
    <row r="260669" s="12" customFormat="1" x14ac:dyDescent="0.25"/>
    <row r="260670" s="12" customFormat="1" x14ac:dyDescent="0.25"/>
    <row r="260671" s="12" customFormat="1" x14ac:dyDescent="0.25"/>
    <row r="260672" s="12" customFormat="1" x14ac:dyDescent="0.25"/>
    <row r="260673" s="12" customFormat="1" x14ac:dyDescent="0.25"/>
    <row r="260674" s="12" customFormat="1" x14ac:dyDescent="0.25"/>
    <row r="260675" s="12" customFormat="1" x14ac:dyDescent="0.25"/>
    <row r="260676" s="12" customFormat="1" x14ac:dyDescent="0.25"/>
    <row r="260677" s="12" customFormat="1" x14ac:dyDescent="0.25"/>
    <row r="260678" s="12" customFormat="1" x14ac:dyDescent="0.25"/>
    <row r="260679" s="12" customFormat="1" x14ac:dyDescent="0.25"/>
    <row r="260680" s="12" customFormat="1" x14ac:dyDescent="0.25"/>
    <row r="260681" s="12" customFormat="1" x14ac:dyDescent="0.25"/>
    <row r="260682" s="12" customFormat="1" x14ac:dyDescent="0.25"/>
    <row r="260683" s="12" customFormat="1" x14ac:dyDescent="0.25"/>
    <row r="260684" s="12" customFormat="1" x14ac:dyDescent="0.25"/>
    <row r="260685" s="12" customFormat="1" x14ac:dyDescent="0.25"/>
    <row r="260686" s="12" customFormat="1" x14ac:dyDescent="0.25"/>
    <row r="260687" s="12" customFormat="1" x14ac:dyDescent="0.25"/>
    <row r="260688" s="12" customFormat="1" x14ac:dyDescent="0.25"/>
    <row r="260689" s="12" customFormat="1" x14ac:dyDescent="0.25"/>
    <row r="260690" s="12" customFormat="1" x14ac:dyDescent="0.25"/>
    <row r="260691" s="12" customFormat="1" x14ac:dyDescent="0.25"/>
    <row r="260692" s="12" customFormat="1" x14ac:dyDescent="0.25"/>
    <row r="260693" s="12" customFormat="1" x14ac:dyDescent="0.25"/>
    <row r="260694" s="12" customFormat="1" x14ac:dyDescent="0.25"/>
    <row r="260695" s="12" customFormat="1" x14ac:dyDescent="0.25"/>
    <row r="260696" s="12" customFormat="1" x14ac:dyDescent="0.25"/>
    <row r="260697" s="12" customFormat="1" x14ac:dyDescent="0.25"/>
    <row r="260698" s="12" customFormat="1" x14ac:dyDescent="0.25"/>
    <row r="260699" s="12" customFormat="1" x14ac:dyDescent="0.25"/>
    <row r="260700" s="12" customFormat="1" x14ac:dyDescent="0.25"/>
    <row r="260701" s="12" customFormat="1" x14ac:dyDescent="0.25"/>
    <row r="260702" s="12" customFormat="1" x14ac:dyDescent="0.25"/>
    <row r="260703" s="12" customFormat="1" x14ac:dyDescent="0.25"/>
    <row r="260704" s="12" customFormat="1" x14ac:dyDescent="0.25"/>
    <row r="260705" s="12" customFormat="1" x14ac:dyDescent="0.25"/>
    <row r="260706" s="12" customFormat="1" x14ac:dyDescent="0.25"/>
    <row r="260707" s="12" customFormat="1" x14ac:dyDescent="0.25"/>
    <row r="260708" s="12" customFormat="1" x14ac:dyDescent="0.25"/>
    <row r="260709" s="12" customFormat="1" x14ac:dyDescent="0.25"/>
    <row r="260710" s="12" customFormat="1" x14ac:dyDescent="0.25"/>
    <row r="260711" s="12" customFormat="1" x14ac:dyDescent="0.25"/>
    <row r="260712" s="12" customFormat="1" x14ac:dyDescent="0.25"/>
    <row r="260713" s="12" customFormat="1" x14ac:dyDescent="0.25"/>
    <row r="260714" s="12" customFormat="1" x14ac:dyDescent="0.25"/>
    <row r="260715" s="12" customFormat="1" x14ac:dyDescent="0.25"/>
    <row r="260716" s="12" customFormat="1" x14ac:dyDescent="0.25"/>
    <row r="260717" s="12" customFormat="1" x14ac:dyDescent="0.25"/>
    <row r="260718" s="12" customFormat="1" x14ac:dyDescent="0.25"/>
    <row r="260719" s="12" customFormat="1" x14ac:dyDescent="0.25"/>
    <row r="260720" s="12" customFormat="1" x14ac:dyDescent="0.25"/>
    <row r="260721" s="12" customFormat="1" x14ac:dyDescent="0.25"/>
    <row r="260722" s="12" customFormat="1" x14ac:dyDescent="0.25"/>
    <row r="260723" s="12" customFormat="1" x14ac:dyDescent="0.25"/>
    <row r="260724" s="12" customFormat="1" x14ac:dyDescent="0.25"/>
    <row r="260725" s="12" customFormat="1" x14ac:dyDescent="0.25"/>
    <row r="260726" s="12" customFormat="1" x14ac:dyDescent="0.25"/>
    <row r="260727" s="12" customFormat="1" x14ac:dyDescent="0.25"/>
    <row r="260728" s="12" customFormat="1" x14ac:dyDescent="0.25"/>
    <row r="260729" s="12" customFormat="1" x14ac:dyDescent="0.25"/>
    <row r="260730" s="12" customFormat="1" x14ac:dyDescent="0.25"/>
    <row r="260731" s="12" customFormat="1" x14ac:dyDescent="0.25"/>
    <row r="260732" s="12" customFormat="1" x14ac:dyDescent="0.25"/>
    <row r="260733" s="12" customFormat="1" x14ac:dyDescent="0.25"/>
    <row r="260734" s="12" customFormat="1" x14ac:dyDescent="0.25"/>
    <row r="260735" s="12" customFormat="1" x14ac:dyDescent="0.25"/>
    <row r="260736" s="12" customFormat="1" x14ac:dyDescent="0.25"/>
    <row r="260737" s="12" customFormat="1" x14ac:dyDescent="0.25"/>
    <row r="260738" s="12" customFormat="1" x14ac:dyDescent="0.25"/>
    <row r="260739" s="12" customFormat="1" x14ac:dyDescent="0.25"/>
    <row r="260740" s="12" customFormat="1" x14ac:dyDescent="0.25"/>
    <row r="260741" s="12" customFormat="1" x14ac:dyDescent="0.25"/>
    <row r="260742" s="12" customFormat="1" x14ac:dyDescent="0.25"/>
    <row r="260743" s="12" customFormat="1" x14ac:dyDescent="0.25"/>
    <row r="260744" s="12" customFormat="1" x14ac:dyDescent="0.25"/>
    <row r="260745" s="12" customFormat="1" x14ac:dyDescent="0.25"/>
    <row r="260746" s="12" customFormat="1" x14ac:dyDescent="0.25"/>
    <row r="260747" s="12" customFormat="1" x14ac:dyDescent="0.25"/>
    <row r="260748" s="12" customFormat="1" x14ac:dyDescent="0.25"/>
    <row r="260749" s="12" customFormat="1" x14ac:dyDescent="0.25"/>
    <row r="260750" s="12" customFormat="1" x14ac:dyDescent="0.25"/>
    <row r="260751" s="12" customFormat="1" x14ac:dyDescent="0.25"/>
    <row r="260752" s="12" customFormat="1" x14ac:dyDescent="0.25"/>
    <row r="260753" s="12" customFormat="1" x14ac:dyDescent="0.25"/>
    <row r="260754" s="12" customFormat="1" x14ac:dyDescent="0.25"/>
    <row r="260755" s="12" customFormat="1" x14ac:dyDescent="0.25"/>
    <row r="260756" s="12" customFormat="1" x14ac:dyDescent="0.25"/>
    <row r="260757" s="12" customFormat="1" x14ac:dyDescent="0.25"/>
    <row r="260758" s="12" customFormat="1" x14ac:dyDescent="0.25"/>
    <row r="260759" s="12" customFormat="1" x14ac:dyDescent="0.25"/>
    <row r="260760" s="12" customFormat="1" x14ac:dyDescent="0.25"/>
    <row r="260761" s="12" customFormat="1" x14ac:dyDescent="0.25"/>
    <row r="260762" s="12" customFormat="1" x14ac:dyDescent="0.25"/>
    <row r="260763" s="12" customFormat="1" x14ac:dyDescent="0.25"/>
    <row r="260764" s="12" customFormat="1" x14ac:dyDescent="0.25"/>
    <row r="260765" s="12" customFormat="1" x14ac:dyDescent="0.25"/>
    <row r="260766" s="12" customFormat="1" x14ac:dyDescent="0.25"/>
    <row r="260767" s="12" customFormat="1" x14ac:dyDescent="0.25"/>
    <row r="260768" s="12" customFormat="1" x14ac:dyDescent="0.25"/>
    <row r="260769" s="12" customFormat="1" x14ac:dyDescent="0.25"/>
    <row r="260770" s="12" customFormat="1" x14ac:dyDescent="0.25"/>
    <row r="260771" s="12" customFormat="1" x14ac:dyDescent="0.25"/>
    <row r="260772" s="12" customFormat="1" x14ac:dyDescent="0.25"/>
    <row r="260773" s="12" customFormat="1" x14ac:dyDescent="0.25"/>
    <row r="260774" s="12" customFormat="1" x14ac:dyDescent="0.25"/>
    <row r="260775" s="12" customFormat="1" x14ac:dyDescent="0.25"/>
    <row r="260776" s="12" customFormat="1" x14ac:dyDescent="0.25"/>
    <row r="260777" s="12" customFormat="1" x14ac:dyDescent="0.25"/>
    <row r="260778" s="12" customFormat="1" x14ac:dyDescent="0.25"/>
    <row r="260779" s="12" customFormat="1" x14ac:dyDescent="0.25"/>
    <row r="260780" s="12" customFormat="1" x14ac:dyDescent="0.25"/>
    <row r="260781" s="12" customFormat="1" x14ac:dyDescent="0.25"/>
    <row r="260782" s="12" customFormat="1" x14ac:dyDescent="0.25"/>
    <row r="260783" s="12" customFormat="1" x14ac:dyDescent="0.25"/>
    <row r="260784" s="12" customFormat="1" x14ac:dyDescent="0.25"/>
    <row r="260785" s="12" customFormat="1" x14ac:dyDescent="0.25"/>
    <row r="260786" s="12" customFormat="1" x14ac:dyDescent="0.25"/>
    <row r="260787" s="12" customFormat="1" x14ac:dyDescent="0.25"/>
    <row r="260788" s="12" customFormat="1" x14ac:dyDescent="0.25"/>
    <row r="260789" s="12" customFormat="1" x14ac:dyDescent="0.25"/>
    <row r="260790" s="12" customFormat="1" x14ac:dyDescent="0.25"/>
    <row r="260791" s="12" customFormat="1" x14ac:dyDescent="0.25"/>
    <row r="260792" s="12" customFormat="1" x14ac:dyDescent="0.25"/>
    <row r="260793" s="12" customFormat="1" x14ac:dyDescent="0.25"/>
    <row r="260794" s="12" customFormat="1" x14ac:dyDescent="0.25"/>
    <row r="260795" s="12" customFormat="1" x14ac:dyDescent="0.25"/>
    <row r="260796" s="12" customFormat="1" x14ac:dyDescent="0.25"/>
    <row r="260797" s="12" customFormat="1" x14ac:dyDescent="0.25"/>
    <row r="260798" s="12" customFormat="1" x14ac:dyDescent="0.25"/>
    <row r="260799" s="12" customFormat="1" x14ac:dyDescent="0.25"/>
    <row r="260800" s="12" customFormat="1" x14ac:dyDescent="0.25"/>
    <row r="260801" s="12" customFormat="1" x14ac:dyDescent="0.25"/>
    <row r="260802" s="12" customFormat="1" x14ac:dyDescent="0.25"/>
    <row r="260803" s="12" customFormat="1" x14ac:dyDescent="0.25"/>
    <row r="260804" s="12" customFormat="1" x14ac:dyDescent="0.25"/>
    <row r="260805" s="12" customFormat="1" x14ac:dyDescent="0.25"/>
    <row r="260806" s="12" customFormat="1" x14ac:dyDescent="0.25"/>
    <row r="260807" s="12" customFormat="1" x14ac:dyDescent="0.25"/>
    <row r="260808" s="12" customFormat="1" x14ac:dyDescent="0.25"/>
    <row r="260809" s="12" customFormat="1" x14ac:dyDescent="0.25"/>
    <row r="260810" s="12" customFormat="1" x14ac:dyDescent="0.25"/>
    <row r="260811" s="12" customFormat="1" x14ac:dyDescent="0.25"/>
    <row r="260812" s="12" customFormat="1" x14ac:dyDescent="0.25"/>
    <row r="260813" s="12" customFormat="1" x14ac:dyDescent="0.25"/>
    <row r="260814" s="12" customFormat="1" x14ac:dyDescent="0.25"/>
    <row r="260815" s="12" customFormat="1" x14ac:dyDescent="0.25"/>
    <row r="260816" s="12" customFormat="1" x14ac:dyDescent="0.25"/>
    <row r="260817" s="12" customFormat="1" x14ac:dyDescent="0.25"/>
    <row r="260818" s="12" customFormat="1" x14ac:dyDescent="0.25"/>
    <row r="260819" s="12" customFormat="1" x14ac:dyDescent="0.25"/>
    <row r="260820" s="12" customFormat="1" x14ac:dyDescent="0.25"/>
    <row r="260821" s="12" customFormat="1" x14ac:dyDescent="0.25"/>
    <row r="260822" s="12" customFormat="1" x14ac:dyDescent="0.25"/>
    <row r="260823" s="12" customFormat="1" x14ac:dyDescent="0.25"/>
    <row r="260824" s="12" customFormat="1" x14ac:dyDescent="0.25"/>
    <row r="260825" s="12" customFormat="1" x14ac:dyDescent="0.25"/>
    <row r="260826" s="12" customFormat="1" x14ac:dyDescent="0.25"/>
    <row r="260827" s="12" customFormat="1" x14ac:dyDescent="0.25"/>
    <row r="260828" s="12" customFormat="1" x14ac:dyDescent="0.25"/>
    <row r="260829" s="12" customFormat="1" x14ac:dyDescent="0.25"/>
    <row r="260830" s="12" customFormat="1" x14ac:dyDescent="0.25"/>
    <row r="260831" s="12" customFormat="1" x14ac:dyDescent="0.25"/>
    <row r="260832" s="12" customFormat="1" x14ac:dyDescent="0.25"/>
    <row r="260833" s="12" customFormat="1" x14ac:dyDescent="0.25"/>
    <row r="260834" s="12" customFormat="1" x14ac:dyDescent="0.25"/>
    <row r="260835" s="12" customFormat="1" x14ac:dyDescent="0.25"/>
    <row r="260836" s="12" customFormat="1" x14ac:dyDescent="0.25"/>
    <row r="260837" s="12" customFormat="1" x14ac:dyDescent="0.25"/>
    <row r="260838" s="12" customFormat="1" x14ac:dyDescent="0.25"/>
    <row r="260839" s="12" customFormat="1" x14ac:dyDescent="0.25"/>
    <row r="260840" s="12" customFormat="1" x14ac:dyDescent="0.25"/>
    <row r="260841" s="12" customFormat="1" x14ac:dyDescent="0.25"/>
    <row r="260842" s="12" customFormat="1" x14ac:dyDescent="0.25"/>
    <row r="260843" s="12" customFormat="1" x14ac:dyDescent="0.25"/>
    <row r="260844" s="12" customFormat="1" x14ac:dyDescent="0.25"/>
    <row r="260845" s="12" customFormat="1" x14ac:dyDescent="0.25"/>
    <row r="260846" s="12" customFormat="1" x14ac:dyDescent="0.25"/>
    <row r="260847" s="12" customFormat="1" x14ac:dyDescent="0.25"/>
    <row r="260848" s="12" customFormat="1" x14ac:dyDescent="0.25"/>
    <row r="260849" s="12" customFormat="1" x14ac:dyDescent="0.25"/>
    <row r="260850" s="12" customFormat="1" x14ac:dyDescent="0.25"/>
    <row r="260851" s="12" customFormat="1" x14ac:dyDescent="0.25"/>
    <row r="260852" s="12" customFormat="1" x14ac:dyDescent="0.25"/>
    <row r="260853" s="12" customFormat="1" x14ac:dyDescent="0.25"/>
    <row r="260854" s="12" customFormat="1" x14ac:dyDescent="0.25"/>
    <row r="260855" s="12" customFormat="1" x14ac:dyDescent="0.25"/>
    <row r="260856" s="12" customFormat="1" x14ac:dyDescent="0.25"/>
    <row r="260857" s="12" customFormat="1" x14ac:dyDescent="0.25"/>
    <row r="260858" s="12" customFormat="1" x14ac:dyDescent="0.25"/>
    <row r="260859" s="12" customFormat="1" x14ac:dyDescent="0.25"/>
    <row r="260860" s="12" customFormat="1" x14ac:dyDescent="0.25"/>
    <row r="260861" s="12" customFormat="1" x14ac:dyDescent="0.25"/>
    <row r="260862" s="12" customFormat="1" x14ac:dyDescent="0.25"/>
    <row r="260863" s="12" customFormat="1" x14ac:dyDescent="0.25"/>
    <row r="260864" s="12" customFormat="1" x14ac:dyDescent="0.25"/>
    <row r="260865" s="12" customFormat="1" x14ac:dyDescent="0.25"/>
    <row r="260866" s="12" customFormat="1" x14ac:dyDescent="0.25"/>
    <row r="260867" s="12" customFormat="1" x14ac:dyDescent="0.25"/>
    <row r="260868" s="12" customFormat="1" x14ac:dyDescent="0.25"/>
    <row r="260869" s="12" customFormat="1" x14ac:dyDescent="0.25"/>
    <row r="260870" s="12" customFormat="1" x14ac:dyDescent="0.25"/>
    <row r="260871" s="12" customFormat="1" x14ac:dyDescent="0.25"/>
    <row r="260872" s="12" customFormat="1" x14ac:dyDescent="0.25"/>
    <row r="260873" s="12" customFormat="1" x14ac:dyDescent="0.25"/>
    <row r="260874" s="12" customFormat="1" x14ac:dyDescent="0.25"/>
    <row r="260875" s="12" customFormat="1" x14ac:dyDescent="0.25"/>
    <row r="260876" s="12" customFormat="1" x14ac:dyDescent="0.25"/>
    <row r="260877" s="12" customFormat="1" x14ac:dyDescent="0.25"/>
    <row r="260878" s="12" customFormat="1" x14ac:dyDescent="0.25"/>
    <row r="260879" s="12" customFormat="1" x14ac:dyDescent="0.25"/>
    <row r="260880" s="12" customFormat="1" x14ac:dyDescent="0.25"/>
    <row r="260881" s="12" customFormat="1" x14ac:dyDescent="0.25"/>
    <row r="260882" s="12" customFormat="1" x14ac:dyDescent="0.25"/>
    <row r="260883" s="12" customFormat="1" x14ac:dyDescent="0.25"/>
    <row r="260884" s="12" customFormat="1" x14ac:dyDescent="0.25"/>
    <row r="260885" s="12" customFormat="1" x14ac:dyDescent="0.25"/>
    <row r="260886" s="12" customFormat="1" x14ac:dyDescent="0.25"/>
    <row r="260887" s="12" customFormat="1" x14ac:dyDescent="0.25"/>
    <row r="260888" s="12" customFormat="1" x14ac:dyDescent="0.25"/>
    <row r="260889" s="12" customFormat="1" x14ac:dyDescent="0.25"/>
    <row r="260890" s="12" customFormat="1" x14ac:dyDescent="0.25"/>
    <row r="260891" s="12" customFormat="1" x14ac:dyDescent="0.25"/>
    <row r="260892" s="12" customFormat="1" x14ac:dyDescent="0.25"/>
    <row r="260893" s="12" customFormat="1" x14ac:dyDescent="0.25"/>
    <row r="260894" s="12" customFormat="1" x14ac:dyDescent="0.25"/>
    <row r="260895" s="12" customFormat="1" x14ac:dyDescent="0.25"/>
    <row r="260896" s="12" customFormat="1" x14ac:dyDescent="0.25"/>
    <row r="260897" s="12" customFormat="1" x14ac:dyDescent="0.25"/>
    <row r="260898" s="12" customFormat="1" x14ac:dyDescent="0.25"/>
    <row r="260899" s="12" customFormat="1" x14ac:dyDescent="0.25"/>
    <row r="260900" s="12" customFormat="1" x14ac:dyDescent="0.25"/>
    <row r="260901" s="12" customFormat="1" x14ac:dyDescent="0.25"/>
    <row r="260902" s="12" customFormat="1" x14ac:dyDescent="0.25"/>
    <row r="260903" s="12" customFormat="1" x14ac:dyDescent="0.25"/>
    <row r="260904" s="12" customFormat="1" x14ac:dyDescent="0.25"/>
    <row r="260905" s="12" customFormat="1" x14ac:dyDescent="0.25"/>
    <row r="260906" s="12" customFormat="1" x14ac:dyDescent="0.25"/>
    <row r="260907" s="12" customFormat="1" x14ac:dyDescent="0.25"/>
    <row r="260908" s="12" customFormat="1" x14ac:dyDescent="0.25"/>
    <row r="260909" s="12" customFormat="1" x14ac:dyDescent="0.25"/>
    <row r="260910" s="12" customFormat="1" x14ac:dyDescent="0.25"/>
    <row r="260911" s="12" customFormat="1" x14ac:dyDescent="0.25"/>
    <row r="260912" s="12" customFormat="1" x14ac:dyDescent="0.25"/>
    <row r="260913" s="12" customFormat="1" x14ac:dyDescent="0.25"/>
    <row r="260914" s="12" customFormat="1" x14ac:dyDescent="0.25"/>
    <row r="260915" s="12" customFormat="1" x14ac:dyDescent="0.25"/>
    <row r="260916" s="12" customFormat="1" x14ac:dyDescent="0.25"/>
    <row r="260917" s="12" customFormat="1" x14ac:dyDescent="0.25"/>
    <row r="260918" s="12" customFormat="1" x14ac:dyDescent="0.25"/>
    <row r="260919" s="12" customFormat="1" x14ac:dyDescent="0.25"/>
    <row r="260920" s="12" customFormat="1" x14ac:dyDescent="0.25"/>
    <row r="260921" s="12" customFormat="1" x14ac:dyDescent="0.25"/>
    <row r="260922" s="12" customFormat="1" x14ac:dyDescent="0.25"/>
    <row r="260923" s="12" customFormat="1" x14ac:dyDescent="0.25"/>
    <row r="260924" s="12" customFormat="1" x14ac:dyDescent="0.25"/>
    <row r="260925" s="12" customFormat="1" x14ac:dyDescent="0.25"/>
    <row r="260926" s="12" customFormat="1" x14ac:dyDescent="0.25"/>
    <row r="260927" s="12" customFormat="1" x14ac:dyDescent="0.25"/>
    <row r="260928" s="12" customFormat="1" x14ac:dyDescent="0.25"/>
    <row r="260929" s="12" customFormat="1" x14ac:dyDescent="0.25"/>
    <row r="260930" s="12" customFormat="1" x14ac:dyDescent="0.25"/>
    <row r="260931" s="12" customFormat="1" x14ac:dyDescent="0.25"/>
    <row r="260932" s="12" customFormat="1" x14ac:dyDescent="0.25"/>
    <row r="260933" s="12" customFormat="1" x14ac:dyDescent="0.25"/>
    <row r="260934" s="12" customFormat="1" x14ac:dyDescent="0.25"/>
    <row r="260935" s="12" customFormat="1" x14ac:dyDescent="0.25"/>
    <row r="260936" s="12" customFormat="1" x14ac:dyDescent="0.25"/>
    <row r="260937" s="12" customFormat="1" x14ac:dyDescent="0.25"/>
    <row r="260938" s="12" customFormat="1" x14ac:dyDescent="0.25"/>
    <row r="260939" s="12" customFormat="1" x14ac:dyDescent="0.25"/>
    <row r="260940" s="12" customFormat="1" x14ac:dyDescent="0.25"/>
    <row r="260941" s="12" customFormat="1" x14ac:dyDescent="0.25"/>
    <row r="260942" s="12" customFormat="1" x14ac:dyDescent="0.25"/>
    <row r="260943" s="12" customFormat="1" x14ac:dyDescent="0.25"/>
    <row r="260944" s="12" customFormat="1" x14ac:dyDescent="0.25"/>
    <row r="260945" s="12" customFormat="1" x14ac:dyDescent="0.25"/>
    <row r="260946" s="12" customFormat="1" x14ac:dyDescent="0.25"/>
    <row r="260947" s="12" customFormat="1" x14ac:dyDescent="0.25"/>
    <row r="260948" s="12" customFormat="1" x14ac:dyDescent="0.25"/>
    <row r="260949" s="12" customFormat="1" x14ac:dyDescent="0.25"/>
    <row r="260950" s="12" customFormat="1" x14ac:dyDescent="0.25"/>
    <row r="260951" s="12" customFormat="1" x14ac:dyDescent="0.25"/>
    <row r="260952" s="12" customFormat="1" x14ac:dyDescent="0.25"/>
    <row r="260953" s="12" customFormat="1" x14ac:dyDescent="0.25"/>
    <row r="260954" s="12" customFormat="1" x14ac:dyDescent="0.25"/>
    <row r="260955" s="12" customFormat="1" x14ac:dyDescent="0.25"/>
    <row r="260956" s="12" customFormat="1" x14ac:dyDescent="0.25"/>
    <row r="260957" s="12" customFormat="1" x14ac:dyDescent="0.25"/>
    <row r="260958" s="12" customFormat="1" x14ac:dyDescent="0.25"/>
    <row r="260959" s="12" customFormat="1" x14ac:dyDescent="0.25"/>
    <row r="260960" s="12" customFormat="1" x14ac:dyDescent="0.25"/>
    <row r="260961" s="12" customFormat="1" x14ac:dyDescent="0.25"/>
    <row r="260962" s="12" customFormat="1" x14ac:dyDescent="0.25"/>
    <row r="260963" s="12" customFormat="1" x14ac:dyDescent="0.25"/>
    <row r="260964" s="12" customFormat="1" x14ac:dyDescent="0.25"/>
    <row r="260965" s="12" customFormat="1" x14ac:dyDescent="0.25"/>
    <row r="260966" s="12" customFormat="1" x14ac:dyDescent="0.25"/>
    <row r="260967" s="12" customFormat="1" x14ac:dyDescent="0.25"/>
    <row r="260968" s="12" customFormat="1" x14ac:dyDescent="0.25"/>
    <row r="260969" s="12" customFormat="1" x14ac:dyDescent="0.25"/>
    <row r="260970" s="12" customFormat="1" x14ac:dyDescent="0.25"/>
    <row r="260971" s="12" customFormat="1" x14ac:dyDescent="0.25"/>
    <row r="260972" s="12" customFormat="1" x14ac:dyDescent="0.25"/>
    <row r="260973" s="12" customFormat="1" x14ac:dyDescent="0.25"/>
    <row r="260974" s="12" customFormat="1" x14ac:dyDescent="0.25"/>
    <row r="260975" s="12" customFormat="1" x14ac:dyDescent="0.25"/>
    <row r="260976" s="12" customFormat="1" x14ac:dyDescent="0.25"/>
    <row r="260977" s="12" customFormat="1" x14ac:dyDescent="0.25"/>
    <row r="260978" s="12" customFormat="1" x14ac:dyDescent="0.25"/>
    <row r="260979" s="12" customFormat="1" x14ac:dyDescent="0.25"/>
    <row r="260980" s="12" customFormat="1" x14ac:dyDescent="0.25"/>
    <row r="260981" s="12" customFormat="1" x14ac:dyDescent="0.25"/>
    <row r="260982" s="12" customFormat="1" x14ac:dyDescent="0.25"/>
    <row r="260983" s="12" customFormat="1" x14ac:dyDescent="0.25"/>
    <row r="260984" s="12" customFormat="1" x14ac:dyDescent="0.25"/>
    <row r="260985" s="12" customFormat="1" x14ac:dyDescent="0.25"/>
    <row r="260986" s="12" customFormat="1" x14ac:dyDescent="0.25"/>
    <row r="260987" s="12" customFormat="1" x14ac:dyDescent="0.25"/>
    <row r="260988" s="12" customFormat="1" x14ac:dyDescent="0.25"/>
    <row r="260989" s="12" customFormat="1" x14ac:dyDescent="0.25"/>
    <row r="260990" s="12" customFormat="1" x14ac:dyDescent="0.25"/>
    <row r="260991" s="12" customFormat="1" x14ac:dyDescent="0.25"/>
    <row r="260992" s="12" customFormat="1" x14ac:dyDescent="0.25"/>
    <row r="260993" s="12" customFormat="1" x14ac:dyDescent="0.25"/>
    <row r="260994" s="12" customFormat="1" x14ac:dyDescent="0.25"/>
    <row r="260995" s="12" customFormat="1" x14ac:dyDescent="0.25"/>
    <row r="260996" s="12" customFormat="1" x14ac:dyDescent="0.25"/>
    <row r="260997" s="12" customFormat="1" x14ac:dyDescent="0.25"/>
    <row r="260998" s="12" customFormat="1" x14ac:dyDescent="0.25"/>
    <row r="260999" s="12" customFormat="1" x14ac:dyDescent="0.25"/>
    <row r="261000" s="12" customFormat="1" x14ac:dyDescent="0.25"/>
    <row r="261001" s="12" customFormat="1" x14ac:dyDescent="0.25"/>
    <row r="261002" s="12" customFormat="1" x14ac:dyDescent="0.25"/>
    <row r="261003" s="12" customFormat="1" x14ac:dyDescent="0.25"/>
    <row r="261004" s="12" customFormat="1" x14ac:dyDescent="0.25"/>
    <row r="261005" s="12" customFormat="1" x14ac:dyDescent="0.25"/>
    <row r="261006" s="12" customFormat="1" x14ac:dyDescent="0.25"/>
    <row r="261007" s="12" customFormat="1" x14ac:dyDescent="0.25"/>
    <row r="261008" s="12" customFormat="1" x14ac:dyDescent="0.25"/>
    <row r="261009" s="12" customFormat="1" x14ac:dyDescent="0.25"/>
    <row r="261010" s="12" customFormat="1" x14ac:dyDescent="0.25"/>
    <row r="261011" s="12" customFormat="1" x14ac:dyDescent="0.25"/>
    <row r="261012" s="12" customFormat="1" x14ac:dyDescent="0.25"/>
    <row r="261013" s="12" customFormat="1" x14ac:dyDescent="0.25"/>
    <row r="261014" s="12" customFormat="1" x14ac:dyDescent="0.25"/>
    <row r="261015" s="12" customFormat="1" x14ac:dyDescent="0.25"/>
    <row r="261016" s="12" customFormat="1" x14ac:dyDescent="0.25"/>
    <row r="261017" s="12" customFormat="1" x14ac:dyDescent="0.25"/>
    <row r="261018" s="12" customFormat="1" x14ac:dyDescent="0.25"/>
    <row r="261019" s="12" customFormat="1" x14ac:dyDescent="0.25"/>
    <row r="261020" s="12" customFormat="1" x14ac:dyDescent="0.25"/>
    <row r="261021" s="12" customFormat="1" x14ac:dyDescent="0.25"/>
    <row r="261022" s="12" customFormat="1" x14ac:dyDescent="0.25"/>
    <row r="261023" s="12" customFormat="1" x14ac:dyDescent="0.25"/>
    <row r="261024" s="12" customFormat="1" x14ac:dyDescent="0.25"/>
    <row r="261025" s="12" customFormat="1" x14ac:dyDescent="0.25"/>
    <row r="261026" s="12" customFormat="1" x14ac:dyDescent="0.25"/>
    <row r="261027" s="12" customFormat="1" x14ac:dyDescent="0.25"/>
    <row r="261028" s="12" customFormat="1" x14ac:dyDescent="0.25"/>
    <row r="261029" s="12" customFormat="1" x14ac:dyDescent="0.25"/>
    <row r="261030" s="12" customFormat="1" x14ac:dyDescent="0.25"/>
    <row r="261031" s="12" customFormat="1" x14ac:dyDescent="0.25"/>
    <row r="261032" s="12" customFormat="1" x14ac:dyDescent="0.25"/>
    <row r="261033" s="12" customFormat="1" x14ac:dyDescent="0.25"/>
    <row r="261034" s="12" customFormat="1" x14ac:dyDescent="0.25"/>
    <row r="261035" s="12" customFormat="1" x14ac:dyDescent="0.25"/>
    <row r="261036" s="12" customFormat="1" x14ac:dyDescent="0.25"/>
    <row r="261037" s="12" customFormat="1" x14ac:dyDescent="0.25"/>
    <row r="261038" s="12" customFormat="1" x14ac:dyDescent="0.25"/>
    <row r="261039" s="12" customFormat="1" x14ac:dyDescent="0.25"/>
    <row r="261040" s="12" customFormat="1" x14ac:dyDescent="0.25"/>
    <row r="261041" s="12" customFormat="1" x14ac:dyDescent="0.25"/>
    <row r="261042" s="12" customFormat="1" x14ac:dyDescent="0.25"/>
    <row r="261043" s="12" customFormat="1" x14ac:dyDescent="0.25"/>
    <row r="261044" s="12" customFormat="1" x14ac:dyDescent="0.25"/>
    <row r="261045" s="12" customFormat="1" x14ac:dyDescent="0.25"/>
    <row r="261046" s="12" customFormat="1" x14ac:dyDescent="0.25"/>
    <row r="261047" s="12" customFormat="1" x14ac:dyDescent="0.25"/>
    <row r="261048" s="12" customFormat="1" x14ac:dyDescent="0.25"/>
    <row r="261049" s="12" customFormat="1" x14ac:dyDescent="0.25"/>
    <row r="261050" s="12" customFormat="1" x14ac:dyDescent="0.25"/>
    <row r="261051" s="12" customFormat="1" x14ac:dyDescent="0.25"/>
    <row r="261052" s="12" customFormat="1" x14ac:dyDescent="0.25"/>
    <row r="261053" s="12" customFormat="1" x14ac:dyDescent="0.25"/>
    <row r="261054" s="12" customFormat="1" x14ac:dyDescent="0.25"/>
    <row r="261055" s="12" customFormat="1" x14ac:dyDescent="0.25"/>
    <row r="261056" s="12" customFormat="1" x14ac:dyDescent="0.25"/>
    <row r="261057" s="12" customFormat="1" x14ac:dyDescent="0.25"/>
    <row r="261058" s="12" customFormat="1" x14ac:dyDescent="0.25"/>
    <row r="261059" s="12" customFormat="1" x14ac:dyDescent="0.25"/>
    <row r="261060" s="12" customFormat="1" x14ac:dyDescent="0.25"/>
    <row r="261061" s="12" customFormat="1" x14ac:dyDescent="0.25"/>
    <row r="261062" s="12" customFormat="1" x14ac:dyDescent="0.25"/>
    <row r="261063" s="12" customFormat="1" x14ac:dyDescent="0.25"/>
    <row r="261064" s="12" customFormat="1" x14ac:dyDescent="0.25"/>
    <row r="261065" s="12" customFormat="1" x14ac:dyDescent="0.25"/>
    <row r="261066" s="12" customFormat="1" x14ac:dyDescent="0.25"/>
    <row r="261067" s="12" customFormat="1" x14ac:dyDescent="0.25"/>
    <row r="261068" s="12" customFormat="1" x14ac:dyDescent="0.25"/>
    <row r="261069" s="12" customFormat="1" x14ac:dyDescent="0.25"/>
    <row r="261070" s="12" customFormat="1" x14ac:dyDescent="0.25"/>
    <row r="261071" s="12" customFormat="1" x14ac:dyDescent="0.25"/>
    <row r="261072" s="12" customFormat="1" x14ac:dyDescent="0.25"/>
    <row r="261073" s="12" customFormat="1" x14ac:dyDescent="0.25"/>
    <row r="261074" s="12" customFormat="1" x14ac:dyDescent="0.25"/>
    <row r="261075" s="12" customFormat="1" x14ac:dyDescent="0.25"/>
    <row r="261076" s="12" customFormat="1" x14ac:dyDescent="0.25"/>
    <row r="261077" s="12" customFormat="1" x14ac:dyDescent="0.25"/>
    <row r="261078" s="12" customFormat="1" x14ac:dyDescent="0.25"/>
    <row r="261079" s="12" customFormat="1" x14ac:dyDescent="0.25"/>
    <row r="261080" s="12" customFormat="1" x14ac:dyDescent="0.25"/>
    <row r="261081" s="12" customFormat="1" x14ac:dyDescent="0.25"/>
    <row r="261082" s="12" customFormat="1" x14ac:dyDescent="0.25"/>
    <row r="261083" s="12" customFormat="1" x14ac:dyDescent="0.25"/>
    <row r="261084" s="12" customFormat="1" x14ac:dyDescent="0.25"/>
    <row r="261085" s="12" customFormat="1" x14ac:dyDescent="0.25"/>
    <row r="261086" s="12" customFormat="1" x14ac:dyDescent="0.25"/>
    <row r="261087" s="12" customFormat="1" x14ac:dyDescent="0.25"/>
    <row r="261088" s="12" customFormat="1" x14ac:dyDescent="0.25"/>
    <row r="261089" s="12" customFormat="1" x14ac:dyDescent="0.25"/>
    <row r="261090" s="12" customFormat="1" x14ac:dyDescent="0.25"/>
    <row r="261091" s="12" customFormat="1" x14ac:dyDescent="0.25"/>
    <row r="261092" s="12" customFormat="1" x14ac:dyDescent="0.25"/>
    <row r="261093" s="12" customFormat="1" x14ac:dyDescent="0.25"/>
    <row r="261094" s="12" customFormat="1" x14ac:dyDescent="0.25"/>
    <row r="261095" s="12" customFormat="1" x14ac:dyDescent="0.25"/>
    <row r="261096" s="12" customFormat="1" x14ac:dyDescent="0.25"/>
    <row r="261097" s="12" customFormat="1" x14ac:dyDescent="0.25"/>
    <row r="261098" s="12" customFormat="1" x14ac:dyDescent="0.25"/>
    <row r="261099" s="12" customFormat="1" x14ac:dyDescent="0.25"/>
    <row r="261100" s="12" customFormat="1" x14ac:dyDescent="0.25"/>
    <row r="261101" s="12" customFormat="1" x14ac:dyDescent="0.25"/>
    <row r="261102" s="12" customFormat="1" x14ac:dyDescent="0.25"/>
    <row r="261103" s="12" customFormat="1" x14ac:dyDescent="0.25"/>
    <row r="261104" s="12" customFormat="1" x14ac:dyDescent="0.25"/>
    <row r="261105" s="12" customFormat="1" x14ac:dyDescent="0.25"/>
    <row r="261106" s="12" customFormat="1" x14ac:dyDescent="0.25"/>
    <row r="261107" s="12" customFormat="1" x14ac:dyDescent="0.25"/>
    <row r="261108" s="12" customFormat="1" x14ac:dyDescent="0.25"/>
    <row r="261109" s="12" customFormat="1" x14ac:dyDescent="0.25"/>
    <row r="261110" s="12" customFormat="1" x14ac:dyDescent="0.25"/>
    <row r="261111" s="12" customFormat="1" x14ac:dyDescent="0.25"/>
    <row r="261112" s="12" customFormat="1" x14ac:dyDescent="0.25"/>
    <row r="261113" s="12" customFormat="1" x14ac:dyDescent="0.25"/>
    <row r="261114" s="12" customFormat="1" x14ac:dyDescent="0.25"/>
    <row r="261115" s="12" customFormat="1" x14ac:dyDescent="0.25"/>
    <row r="261116" s="12" customFormat="1" x14ac:dyDescent="0.25"/>
    <row r="261117" s="12" customFormat="1" x14ac:dyDescent="0.25"/>
    <row r="261118" s="12" customFormat="1" x14ac:dyDescent="0.25"/>
    <row r="261119" s="12" customFormat="1" x14ac:dyDescent="0.25"/>
    <row r="261120" s="12" customFormat="1" x14ac:dyDescent="0.25"/>
    <row r="261121" s="12" customFormat="1" x14ac:dyDescent="0.25"/>
    <row r="261122" s="12" customFormat="1" x14ac:dyDescent="0.25"/>
    <row r="261123" s="12" customFormat="1" x14ac:dyDescent="0.25"/>
    <row r="261124" s="12" customFormat="1" x14ac:dyDescent="0.25"/>
    <row r="261125" s="12" customFormat="1" x14ac:dyDescent="0.25"/>
    <row r="261126" s="12" customFormat="1" x14ac:dyDescent="0.25"/>
    <row r="261127" s="12" customFormat="1" x14ac:dyDescent="0.25"/>
    <row r="261128" s="12" customFormat="1" x14ac:dyDescent="0.25"/>
    <row r="261129" s="12" customFormat="1" x14ac:dyDescent="0.25"/>
    <row r="261130" s="12" customFormat="1" x14ac:dyDescent="0.25"/>
    <row r="261131" s="12" customFormat="1" x14ac:dyDescent="0.25"/>
    <row r="261132" s="12" customFormat="1" x14ac:dyDescent="0.25"/>
    <row r="261133" s="12" customFormat="1" x14ac:dyDescent="0.25"/>
    <row r="261134" s="12" customFormat="1" x14ac:dyDescent="0.25"/>
    <row r="261135" s="12" customFormat="1" x14ac:dyDescent="0.25"/>
    <row r="261136" s="12" customFormat="1" x14ac:dyDescent="0.25"/>
    <row r="261137" s="12" customFormat="1" x14ac:dyDescent="0.25"/>
    <row r="261138" s="12" customFormat="1" x14ac:dyDescent="0.25"/>
    <row r="261139" s="12" customFormat="1" x14ac:dyDescent="0.25"/>
    <row r="261140" s="12" customFormat="1" x14ac:dyDescent="0.25"/>
    <row r="261141" s="12" customFormat="1" x14ac:dyDescent="0.25"/>
    <row r="261142" s="12" customFormat="1" x14ac:dyDescent="0.25"/>
    <row r="261143" s="12" customFormat="1" x14ac:dyDescent="0.25"/>
    <row r="261144" s="12" customFormat="1" x14ac:dyDescent="0.25"/>
    <row r="261145" s="12" customFormat="1" x14ac:dyDescent="0.25"/>
    <row r="261146" s="12" customFormat="1" x14ac:dyDescent="0.25"/>
    <row r="261147" s="12" customFormat="1" x14ac:dyDescent="0.25"/>
    <row r="261148" s="12" customFormat="1" x14ac:dyDescent="0.25"/>
    <row r="261149" s="12" customFormat="1" x14ac:dyDescent="0.25"/>
    <row r="261150" s="12" customFormat="1" x14ac:dyDescent="0.25"/>
    <row r="261151" s="12" customFormat="1" x14ac:dyDescent="0.25"/>
    <row r="261152" s="12" customFormat="1" x14ac:dyDescent="0.25"/>
    <row r="261153" s="12" customFormat="1" x14ac:dyDescent="0.25"/>
    <row r="261154" s="12" customFormat="1" x14ac:dyDescent="0.25"/>
    <row r="261155" s="12" customFormat="1" x14ac:dyDescent="0.25"/>
    <row r="261156" s="12" customFormat="1" x14ac:dyDescent="0.25"/>
    <row r="261157" s="12" customFormat="1" x14ac:dyDescent="0.25"/>
    <row r="261158" s="12" customFormat="1" x14ac:dyDescent="0.25"/>
    <row r="261159" s="12" customFormat="1" x14ac:dyDescent="0.25"/>
    <row r="261160" s="12" customFormat="1" x14ac:dyDescent="0.25"/>
    <row r="261161" s="12" customFormat="1" x14ac:dyDescent="0.25"/>
    <row r="261162" s="12" customFormat="1" x14ac:dyDescent="0.25"/>
    <row r="261163" s="12" customFormat="1" x14ac:dyDescent="0.25"/>
    <row r="261164" s="12" customFormat="1" x14ac:dyDescent="0.25"/>
    <row r="261165" s="12" customFormat="1" x14ac:dyDescent="0.25"/>
    <row r="261166" s="12" customFormat="1" x14ac:dyDescent="0.25"/>
    <row r="261167" s="12" customFormat="1" x14ac:dyDescent="0.25"/>
    <row r="261168" s="12" customFormat="1" x14ac:dyDescent="0.25"/>
    <row r="261169" s="12" customFormat="1" x14ac:dyDescent="0.25"/>
    <row r="261170" s="12" customFormat="1" x14ac:dyDescent="0.25"/>
    <row r="261171" s="12" customFormat="1" x14ac:dyDescent="0.25"/>
    <row r="261172" s="12" customFormat="1" x14ac:dyDescent="0.25"/>
    <row r="261173" s="12" customFormat="1" x14ac:dyDescent="0.25"/>
    <row r="261174" s="12" customFormat="1" x14ac:dyDescent="0.25"/>
    <row r="261175" s="12" customFormat="1" x14ac:dyDescent="0.25"/>
    <row r="261176" s="12" customFormat="1" x14ac:dyDescent="0.25"/>
    <row r="261177" s="12" customFormat="1" x14ac:dyDescent="0.25"/>
    <row r="261178" s="12" customFormat="1" x14ac:dyDescent="0.25"/>
    <row r="261179" s="12" customFormat="1" x14ac:dyDescent="0.25"/>
    <row r="261180" s="12" customFormat="1" x14ac:dyDescent="0.25"/>
    <row r="261181" s="12" customFormat="1" x14ac:dyDescent="0.25"/>
    <row r="261182" s="12" customFormat="1" x14ac:dyDescent="0.25"/>
    <row r="261183" s="12" customFormat="1" x14ac:dyDescent="0.25"/>
    <row r="261184" s="12" customFormat="1" x14ac:dyDescent="0.25"/>
    <row r="261185" s="12" customFormat="1" x14ac:dyDescent="0.25"/>
    <row r="261186" s="12" customFormat="1" x14ac:dyDescent="0.25"/>
    <row r="261187" s="12" customFormat="1" x14ac:dyDescent="0.25"/>
    <row r="261188" s="12" customFormat="1" x14ac:dyDescent="0.25"/>
    <row r="261189" s="12" customFormat="1" x14ac:dyDescent="0.25"/>
    <row r="261190" s="12" customFormat="1" x14ac:dyDescent="0.25"/>
    <row r="261191" s="12" customFormat="1" x14ac:dyDescent="0.25"/>
    <row r="261192" s="12" customFormat="1" x14ac:dyDescent="0.25"/>
    <row r="261193" s="12" customFormat="1" x14ac:dyDescent="0.25"/>
    <row r="261194" s="12" customFormat="1" x14ac:dyDescent="0.25"/>
    <row r="261195" s="12" customFormat="1" x14ac:dyDescent="0.25"/>
    <row r="261196" s="12" customFormat="1" x14ac:dyDescent="0.25"/>
    <row r="261197" s="12" customFormat="1" x14ac:dyDescent="0.25"/>
    <row r="261198" s="12" customFormat="1" x14ac:dyDescent="0.25"/>
    <row r="261199" s="12" customFormat="1" x14ac:dyDescent="0.25"/>
    <row r="261200" s="12" customFormat="1" x14ac:dyDescent="0.25"/>
    <row r="261201" s="12" customFormat="1" x14ac:dyDescent="0.25"/>
    <row r="261202" s="12" customFormat="1" x14ac:dyDescent="0.25"/>
    <row r="261203" s="12" customFormat="1" x14ac:dyDescent="0.25"/>
    <row r="261204" s="12" customFormat="1" x14ac:dyDescent="0.25"/>
    <row r="261205" s="12" customFormat="1" x14ac:dyDescent="0.25"/>
    <row r="261206" s="12" customFormat="1" x14ac:dyDescent="0.25"/>
    <row r="261207" s="12" customFormat="1" x14ac:dyDescent="0.25"/>
    <row r="261208" s="12" customFormat="1" x14ac:dyDescent="0.25"/>
    <row r="261209" s="12" customFormat="1" x14ac:dyDescent="0.25"/>
    <row r="261210" s="12" customFormat="1" x14ac:dyDescent="0.25"/>
    <row r="261211" s="12" customFormat="1" x14ac:dyDescent="0.25"/>
    <row r="261212" s="12" customFormat="1" x14ac:dyDescent="0.25"/>
    <row r="261213" s="12" customFormat="1" x14ac:dyDescent="0.25"/>
    <row r="261214" s="12" customFormat="1" x14ac:dyDescent="0.25"/>
    <row r="261215" s="12" customFormat="1" x14ac:dyDescent="0.25"/>
    <row r="261216" s="12" customFormat="1" x14ac:dyDescent="0.25"/>
    <row r="261217" s="12" customFormat="1" x14ac:dyDescent="0.25"/>
    <row r="261218" s="12" customFormat="1" x14ac:dyDescent="0.25"/>
    <row r="261219" s="12" customFormat="1" x14ac:dyDescent="0.25"/>
    <row r="261220" s="12" customFormat="1" x14ac:dyDescent="0.25"/>
    <row r="261221" s="12" customFormat="1" x14ac:dyDescent="0.25"/>
    <row r="261222" s="12" customFormat="1" x14ac:dyDescent="0.25"/>
    <row r="261223" s="12" customFormat="1" x14ac:dyDescent="0.25"/>
    <row r="261224" s="12" customFormat="1" x14ac:dyDescent="0.25"/>
    <row r="261225" s="12" customFormat="1" x14ac:dyDescent="0.25"/>
    <row r="261226" s="12" customFormat="1" x14ac:dyDescent="0.25"/>
    <row r="261227" s="12" customFormat="1" x14ac:dyDescent="0.25"/>
    <row r="261228" s="12" customFormat="1" x14ac:dyDescent="0.25"/>
    <row r="261229" s="12" customFormat="1" x14ac:dyDescent="0.25"/>
    <row r="261230" s="12" customFormat="1" x14ac:dyDescent="0.25"/>
    <row r="261231" s="12" customFormat="1" x14ac:dyDescent="0.25"/>
    <row r="261232" s="12" customFormat="1" x14ac:dyDescent="0.25"/>
    <row r="261233" s="12" customFormat="1" x14ac:dyDescent="0.25"/>
    <row r="261234" s="12" customFormat="1" x14ac:dyDescent="0.25"/>
    <row r="261235" s="12" customFormat="1" x14ac:dyDescent="0.25"/>
    <row r="261236" s="12" customFormat="1" x14ac:dyDescent="0.25"/>
    <row r="261237" s="12" customFormat="1" x14ac:dyDescent="0.25"/>
    <row r="261238" s="12" customFormat="1" x14ac:dyDescent="0.25"/>
    <row r="261239" s="12" customFormat="1" x14ac:dyDescent="0.25"/>
    <row r="261240" s="12" customFormat="1" x14ac:dyDescent="0.25"/>
    <row r="261241" s="12" customFormat="1" x14ac:dyDescent="0.25"/>
    <row r="261242" s="12" customFormat="1" x14ac:dyDescent="0.25"/>
    <row r="261243" s="12" customFormat="1" x14ac:dyDescent="0.25"/>
    <row r="261244" s="12" customFormat="1" x14ac:dyDescent="0.25"/>
    <row r="261245" s="12" customFormat="1" x14ac:dyDescent="0.25"/>
    <row r="261246" s="12" customFormat="1" x14ac:dyDescent="0.25"/>
    <row r="261247" s="12" customFormat="1" x14ac:dyDescent="0.25"/>
    <row r="261248" s="12" customFormat="1" x14ac:dyDescent="0.25"/>
    <row r="261249" s="12" customFormat="1" x14ac:dyDescent="0.25"/>
    <row r="261250" s="12" customFormat="1" x14ac:dyDescent="0.25"/>
    <row r="261251" s="12" customFormat="1" x14ac:dyDescent="0.25"/>
    <row r="261252" s="12" customFormat="1" x14ac:dyDescent="0.25"/>
    <row r="261253" s="12" customFormat="1" x14ac:dyDescent="0.25"/>
    <row r="261254" s="12" customFormat="1" x14ac:dyDescent="0.25"/>
    <row r="261255" s="12" customFormat="1" x14ac:dyDescent="0.25"/>
    <row r="261256" s="12" customFormat="1" x14ac:dyDescent="0.25"/>
    <row r="261257" s="12" customFormat="1" x14ac:dyDescent="0.25"/>
    <row r="261258" s="12" customFormat="1" x14ac:dyDescent="0.25"/>
    <row r="261259" s="12" customFormat="1" x14ac:dyDescent="0.25"/>
    <row r="261260" s="12" customFormat="1" x14ac:dyDescent="0.25"/>
    <row r="261261" s="12" customFormat="1" x14ac:dyDescent="0.25"/>
    <row r="261262" s="12" customFormat="1" x14ac:dyDescent="0.25"/>
    <row r="261263" s="12" customFormat="1" x14ac:dyDescent="0.25"/>
    <row r="261264" s="12" customFormat="1" x14ac:dyDescent="0.25"/>
    <row r="261265" s="12" customFormat="1" x14ac:dyDescent="0.25"/>
    <row r="261266" s="12" customFormat="1" x14ac:dyDescent="0.25"/>
    <row r="261267" s="12" customFormat="1" x14ac:dyDescent="0.25"/>
    <row r="261268" s="12" customFormat="1" x14ac:dyDescent="0.25"/>
    <row r="261269" s="12" customFormat="1" x14ac:dyDescent="0.25"/>
    <row r="261270" s="12" customFormat="1" x14ac:dyDescent="0.25"/>
    <row r="261271" s="12" customFormat="1" x14ac:dyDescent="0.25"/>
    <row r="261272" s="12" customFormat="1" x14ac:dyDescent="0.25"/>
    <row r="261273" s="12" customFormat="1" x14ac:dyDescent="0.25"/>
    <row r="261274" s="12" customFormat="1" x14ac:dyDescent="0.25"/>
    <row r="261275" s="12" customFormat="1" x14ac:dyDescent="0.25"/>
    <row r="261276" s="12" customFormat="1" x14ac:dyDescent="0.25"/>
    <row r="261277" s="12" customFormat="1" x14ac:dyDescent="0.25"/>
    <row r="261278" s="12" customFormat="1" x14ac:dyDescent="0.25"/>
    <row r="261279" s="12" customFormat="1" x14ac:dyDescent="0.25"/>
    <row r="261280" s="12" customFormat="1" x14ac:dyDescent="0.25"/>
    <row r="261281" s="12" customFormat="1" x14ac:dyDescent="0.25"/>
    <row r="261282" s="12" customFormat="1" x14ac:dyDescent="0.25"/>
    <row r="261283" s="12" customFormat="1" x14ac:dyDescent="0.25"/>
    <row r="261284" s="12" customFormat="1" x14ac:dyDescent="0.25"/>
    <row r="261285" s="12" customFormat="1" x14ac:dyDescent="0.25"/>
    <row r="261286" s="12" customFormat="1" x14ac:dyDescent="0.25"/>
    <row r="261287" s="12" customFormat="1" x14ac:dyDescent="0.25"/>
    <row r="261288" s="12" customFormat="1" x14ac:dyDescent="0.25"/>
    <row r="261289" s="12" customFormat="1" x14ac:dyDescent="0.25"/>
    <row r="261290" s="12" customFormat="1" x14ac:dyDescent="0.25"/>
    <row r="261291" s="12" customFormat="1" x14ac:dyDescent="0.25"/>
    <row r="261292" s="12" customFormat="1" x14ac:dyDescent="0.25"/>
    <row r="261293" s="12" customFormat="1" x14ac:dyDescent="0.25"/>
    <row r="261294" s="12" customFormat="1" x14ac:dyDescent="0.25"/>
    <row r="261295" s="12" customFormat="1" x14ac:dyDescent="0.25"/>
    <row r="261296" s="12" customFormat="1" x14ac:dyDescent="0.25"/>
    <row r="261297" s="12" customFormat="1" x14ac:dyDescent="0.25"/>
    <row r="261298" s="12" customFormat="1" x14ac:dyDescent="0.25"/>
    <row r="261299" s="12" customFormat="1" x14ac:dyDescent="0.25"/>
    <row r="261300" s="12" customFormat="1" x14ac:dyDescent="0.25"/>
    <row r="261301" s="12" customFormat="1" x14ac:dyDescent="0.25"/>
    <row r="261302" s="12" customFormat="1" x14ac:dyDescent="0.25"/>
    <row r="261303" s="12" customFormat="1" x14ac:dyDescent="0.25"/>
    <row r="261304" s="12" customFormat="1" x14ac:dyDescent="0.25"/>
    <row r="261305" s="12" customFormat="1" x14ac:dyDescent="0.25"/>
    <row r="261306" s="12" customFormat="1" x14ac:dyDescent="0.25"/>
    <row r="261307" s="12" customFormat="1" x14ac:dyDescent="0.25"/>
    <row r="261308" s="12" customFormat="1" x14ac:dyDescent="0.25"/>
    <row r="261309" s="12" customFormat="1" x14ac:dyDescent="0.25"/>
    <row r="261310" s="12" customFormat="1" x14ac:dyDescent="0.25"/>
    <row r="261311" s="12" customFormat="1" x14ac:dyDescent="0.25"/>
    <row r="261312" s="12" customFormat="1" x14ac:dyDescent="0.25"/>
    <row r="261313" s="12" customFormat="1" x14ac:dyDescent="0.25"/>
    <row r="261314" s="12" customFormat="1" x14ac:dyDescent="0.25"/>
    <row r="261315" s="12" customFormat="1" x14ac:dyDescent="0.25"/>
    <row r="261316" s="12" customFormat="1" x14ac:dyDescent="0.25"/>
    <row r="261317" s="12" customFormat="1" x14ac:dyDescent="0.25"/>
    <row r="261318" s="12" customFormat="1" x14ac:dyDescent="0.25"/>
    <row r="261319" s="12" customFormat="1" x14ac:dyDescent="0.25"/>
    <row r="261320" s="12" customFormat="1" x14ac:dyDescent="0.25"/>
    <row r="261321" s="12" customFormat="1" x14ac:dyDescent="0.25"/>
    <row r="261322" s="12" customFormat="1" x14ac:dyDescent="0.25"/>
    <row r="261323" s="12" customFormat="1" x14ac:dyDescent="0.25"/>
    <row r="261324" s="12" customFormat="1" x14ac:dyDescent="0.25"/>
    <row r="261325" s="12" customFormat="1" x14ac:dyDescent="0.25"/>
    <row r="261326" s="12" customFormat="1" x14ac:dyDescent="0.25"/>
    <row r="261327" s="12" customFormat="1" x14ac:dyDescent="0.25"/>
    <row r="261328" s="12" customFormat="1" x14ac:dyDescent="0.25"/>
    <row r="261329" s="12" customFormat="1" x14ac:dyDescent="0.25"/>
    <row r="261330" s="12" customFormat="1" x14ac:dyDescent="0.25"/>
    <row r="261331" s="12" customFormat="1" x14ac:dyDescent="0.25"/>
    <row r="261332" s="12" customFormat="1" x14ac:dyDescent="0.25"/>
    <row r="261333" s="12" customFormat="1" x14ac:dyDescent="0.25"/>
    <row r="261334" s="12" customFormat="1" x14ac:dyDescent="0.25"/>
    <row r="261335" s="12" customFormat="1" x14ac:dyDescent="0.25"/>
    <row r="261336" s="12" customFormat="1" x14ac:dyDescent="0.25"/>
    <row r="261337" s="12" customFormat="1" x14ac:dyDescent="0.25"/>
    <row r="261338" s="12" customFormat="1" x14ac:dyDescent="0.25"/>
    <row r="261339" s="12" customFormat="1" x14ac:dyDescent="0.25"/>
    <row r="261340" s="12" customFormat="1" x14ac:dyDescent="0.25"/>
    <row r="261341" s="12" customFormat="1" x14ac:dyDescent="0.25"/>
    <row r="261342" s="12" customFormat="1" x14ac:dyDescent="0.25"/>
    <row r="261343" s="12" customFormat="1" x14ac:dyDescent="0.25"/>
    <row r="261344" s="12" customFormat="1" x14ac:dyDescent="0.25"/>
    <row r="261345" s="12" customFormat="1" x14ac:dyDescent="0.25"/>
    <row r="261346" s="12" customFormat="1" x14ac:dyDescent="0.25"/>
    <row r="261347" s="12" customFormat="1" x14ac:dyDescent="0.25"/>
    <row r="261348" s="12" customFormat="1" x14ac:dyDescent="0.25"/>
    <row r="261349" s="12" customFormat="1" x14ac:dyDescent="0.25"/>
    <row r="261350" s="12" customFormat="1" x14ac:dyDescent="0.25"/>
    <row r="261351" s="12" customFormat="1" x14ac:dyDescent="0.25"/>
    <row r="261352" s="12" customFormat="1" x14ac:dyDescent="0.25"/>
    <row r="261353" s="12" customFormat="1" x14ac:dyDescent="0.25"/>
    <row r="261354" s="12" customFormat="1" x14ac:dyDescent="0.25"/>
    <row r="261355" s="12" customFormat="1" x14ac:dyDescent="0.25"/>
    <row r="261356" s="12" customFormat="1" x14ac:dyDescent="0.25"/>
    <row r="261357" s="12" customFormat="1" x14ac:dyDescent="0.25"/>
    <row r="261358" s="12" customFormat="1" x14ac:dyDescent="0.25"/>
    <row r="261359" s="12" customFormat="1" x14ac:dyDescent="0.25"/>
    <row r="261360" s="12" customFormat="1" x14ac:dyDescent="0.25"/>
    <row r="261361" s="12" customFormat="1" x14ac:dyDescent="0.25"/>
    <row r="261362" s="12" customFormat="1" x14ac:dyDescent="0.25"/>
    <row r="261363" s="12" customFormat="1" x14ac:dyDescent="0.25"/>
    <row r="261364" s="12" customFormat="1" x14ac:dyDescent="0.25"/>
    <row r="261365" s="12" customFormat="1" x14ac:dyDescent="0.25"/>
    <row r="261366" s="12" customFormat="1" x14ac:dyDescent="0.25"/>
    <row r="261367" s="12" customFormat="1" x14ac:dyDescent="0.25"/>
    <row r="261368" s="12" customFormat="1" x14ac:dyDescent="0.25"/>
    <row r="261369" s="12" customFormat="1" x14ac:dyDescent="0.25"/>
    <row r="261370" s="12" customFormat="1" x14ac:dyDescent="0.25"/>
    <row r="261371" s="12" customFormat="1" x14ac:dyDescent="0.25"/>
    <row r="261372" s="12" customFormat="1" x14ac:dyDescent="0.25"/>
    <row r="261373" s="12" customFormat="1" x14ac:dyDescent="0.25"/>
    <row r="261374" s="12" customFormat="1" x14ac:dyDescent="0.25"/>
    <row r="261375" s="12" customFormat="1" x14ac:dyDescent="0.25"/>
    <row r="261376" s="12" customFormat="1" x14ac:dyDescent="0.25"/>
    <row r="261377" s="12" customFormat="1" x14ac:dyDescent="0.25"/>
    <row r="261378" s="12" customFormat="1" x14ac:dyDescent="0.25"/>
    <row r="261379" s="12" customFormat="1" x14ac:dyDescent="0.25"/>
    <row r="261380" s="12" customFormat="1" x14ac:dyDescent="0.25"/>
    <row r="261381" s="12" customFormat="1" x14ac:dyDescent="0.25"/>
    <row r="261382" s="12" customFormat="1" x14ac:dyDescent="0.25"/>
    <row r="261383" s="12" customFormat="1" x14ac:dyDescent="0.25"/>
    <row r="261384" s="12" customFormat="1" x14ac:dyDescent="0.25"/>
    <row r="261385" s="12" customFormat="1" x14ac:dyDescent="0.25"/>
    <row r="261386" s="12" customFormat="1" x14ac:dyDescent="0.25"/>
    <row r="261387" s="12" customFormat="1" x14ac:dyDescent="0.25"/>
    <row r="261388" s="12" customFormat="1" x14ac:dyDescent="0.25"/>
    <row r="261389" s="12" customFormat="1" x14ac:dyDescent="0.25"/>
    <row r="261390" s="12" customFormat="1" x14ac:dyDescent="0.25"/>
    <row r="261391" s="12" customFormat="1" x14ac:dyDescent="0.25"/>
    <row r="261392" s="12" customFormat="1" x14ac:dyDescent="0.25"/>
    <row r="261393" s="12" customFormat="1" x14ac:dyDescent="0.25"/>
    <row r="261394" s="12" customFormat="1" x14ac:dyDescent="0.25"/>
    <row r="261395" s="12" customFormat="1" x14ac:dyDescent="0.25"/>
    <row r="261396" s="12" customFormat="1" x14ac:dyDescent="0.25"/>
    <row r="261397" s="12" customFormat="1" x14ac:dyDescent="0.25"/>
    <row r="261398" s="12" customFormat="1" x14ac:dyDescent="0.25"/>
    <row r="261399" s="12" customFormat="1" x14ac:dyDescent="0.25"/>
    <row r="261400" s="12" customFormat="1" x14ac:dyDescent="0.25"/>
    <row r="261401" s="12" customFormat="1" x14ac:dyDescent="0.25"/>
    <row r="261402" s="12" customFormat="1" x14ac:dyDescent="0.25"/>
    <row r="261403" s="12" customFormat="1" x14ac:dyDescent="0.25"/>
    <row r="261404" s="12" customFormat="1" x14ac:dyDescent="0.25"/>
    <row r="261405" s="12" customFormat="1" x14ac:dyDescent="0.25"/>
    <row r="261406" s="12" customFormat="1" x14ac:dyDescent="0.25"/>
    <row r="261407" s="12" customFormat="1" x14ac:dyDescent="0.25"/>
    <row r="261408" s="12" customFormat="1" x14ac:dyDescent="0.25"/>
    <row r="261409" s="12" customFormat="1" x14ac:dyDescent="0.25"/>
    <row r="261410" s="12" customFormat="1" x14ac:dyDescent="0.25"/>
    <row r="261411" s="12" customFormat="1" x14ac:dyDescent="0.25"/>
    <row r="261412" s="12" customFormat="1" x14ac:dyDescent="0.25"/>
    <row r="261413" s="12" customFormat="1" x14ac:dyDescent="0.25"/>
    <row r="261414" s="12" customFormat="1" x14ac:dyDescent="0.25"/>
    <row r="261415" s="12" customFormat="1" x14ac:dyDescent="0.25"/>
    <row r="261416" s="12" customFormat="1" x14ac:dyDescent="0.25"/>
    <row r="261417" s="12" customFormat="1" x14ac:dyDescent="0.25"/>
    <row r="261418" s="12" customFormat="1" x14ac:dyDescent="0.25"/>
    <row r="261419" s="12" customFormat="1" x14ac:dyDescent="0.25"/>
    <row r="261420" s="12" customFormat="1" x14ac:dyDescent="0.25"/>
    <row r="261421" s="12" customFormat="1" x14ac:dyDescent="0.25"/>
    <row r="261422" s="12" customFormat="1" x14ac:dyDescent="0.25"/>
    <row r="261423" s="12" customFormat="1" x14ac:dyDescent="0.25"/>
    <row r="261424" s="12" customFormat="1" x14ac:dyDescent="0.25"/>
    <row r="261425" s="12" customFormat="1" x14ac:dyDescent="0.25"/>
    <row r="261426" s="12" customFormat="1" x14ac:dyDescent="0.25"/>
    <row r="261427" s="12" customFormat="1" x14ac:dyDescent="0.25"/>
    <row r="261428" s="12" customFormat="1" x14ac:dyDescent="0.25"/>
    <row r="261429" s="12" customFormat="1" x14ac:dyDescent="0.25"/>
    <row r="261430" s="12" customFormat="1" x14ac:dyDescent="0.25"/>
    <row r="261431" s="12" customFormat="1" x14ac:dyDescent="0.25"/>
    <row r="261432" s="12" customFormat="1" x14ac:dyDescent="0.25"/>
    <row r="261433" s="12" customFormat="1" x14ac:dyDescent="0.25"/>
    <row r="261434" s="12" customFormat="1" x14ac:dyDescent="0.25"/>
    <row r="261435" s="12" customFormat="1" x14ac:dyDescent="0.25"/>
    <row r="261436" s="12" customFormat="1" x14ac:dyDescent="0.25"/>
    <row r="261437" s="12" customFormat="1" x14ac:dyDescent="0.25"/>
    <row r="261438" s="12" customFormat="1" x14ac:dyDescent="0.25"/>
    <row r="261439" s="12" customFormat="1" x14ac:dyDescent="0.25"/>
    <row r="261440" s="12" customFormat="1" x14ac:dyDescent="0.25"/>
    <row r="261441" s="12" customFormat="1" x14ac:dyDescent="0.25"/>
    <row r="261442" s="12" customFormat="1" x14ac:dyDescent="0.25"/>
    <row r="261443" s="12" customFormat="1" x14ac:dyDescent="0.25"/>
    <row r="261444" s="12" customFormat="1" x14ac:dyDescent="0.25"/>
    <row r="261445" s="12" customFormat="1" x14ac:dyDescent="0.25"/>
    <row r="261446" s="12" customFormat="1" x14ac:dyDescent="0.25"/>
    <row r="261447" s="12" customFormat="1" x14ac:dyDescent="0.25"/>
    <row r="261448" s="12" customFormat="1" x14ac:dyDescent="0.25"/>
    <row r="261449" s="12" customFormat="1" x14ac:dyDescent="0.25"/>
    <row r="261450" s="12" customFormat="1" x14ac:dyDescent="0.25"/>
    <row r="261451" s="12" customFormat="1" x14ac:dyDescent="0.25"/>
    <row r="261452" s="12" customFormat="1" x14ac:dyDescent="0.25"/>
    <row r="261453" s="12" customFormat="1" x14ac:dyDescent="0.25"/>
    <row r="261454" s="12" customFormat="1" x14ac:dyDescent="0.25"/>
    <row r="261455" s="12" customFormat="1" x14ac:dyDescent="0.25"/>
    <row r="261456" s="12" customFormat="1" x14ac:dyDescent="0.25"/>
    <row r="261457" s="12" customFormat="1" x14ac:dyDescent="0.25"/>
    <row r="261458" s="12" customFormat="1" x14ac:dyDescent="0.25"/>
    <row r="261459" s="12" customFormat="1" x14ac:dyDescent="0.25"/>
    <row r="261460" s="12" customFormat="1" x14ac:dyDescent="0.25"/>
    <row r="261461" s="12" customFormat="1" x14ac:dyDescent="0.25"/>
    <row r="261462" s="12" customFormat="1" x14ac:dyDescent="0.25"/>
    <row r="261463" s="12" customFormat="1" x14ac:dyDescent="0.25"/>
    <row r="261464" s="12" customFormat="1" x14ac:dyDescent="0.25"/>
    <row r="261465" s="12" customFormat="1" x14ac:dyDescent="0.25"/>
    <row r="261466" s="12" customFormat="1" x14ac:dyDescent="0.25"/>
    <row r="261467" s="12" customFormat="1" x14ac:dyDescent="0.25"/>
    <row r="261468" s="12" customFormat="1" x14ac:dyDescent="0.25"/>
    <row r="261469" s="12" customFormat="1" x14ac:dyDescent="0.25"/>
    <row r="261470" s="12" customFormat="1" x14ac:dyDescent="0.25"/>
    <row r="261471" s="12" customFormat="1" x14ac:dyDescent="0.25"/>
    <row r="261472" s="12" customFormat="1" x14ac:dyDescent="0.25"/>
    <row r="261473" s="12" customFormat="1" x14ac:dyDescent="0.25"/>
    <row r="261474" s="12" customFormat="1" x14ac:dyDescent="0.25"/>
    <row r="261475" s="12" customFormat="1" x14ac:dyDescent="0.25"/>
    <row r="261476" s="12" customFormat="1" x14ac:dyDescent="0.25"/>
    <row r="261477" s="12" customFormat="1" x14ac:dyDescent="0.25"/>
    <row r="261478" s="12" customFormat="1" x14ac:dyDescent="0.25"/>
    <row r="261479" s="12" customFormat="1" x14ac:dyDescent="0.25"/>
    <row r="261480" s="12" customFormat="1" x14ac:dyDescent="0.25"/>
    <row r="261481" s="12" customFormat="1" x14ac:dyDescent="0.25"/>
    <row r="261482" s="12" customFormat="1" x14ac:dyDescent="0.25"/>
    <row r="261483" s="12" customFormat="1" x14ac:dyDescent="0.25"/>
    <row r="261484" s="12" customFormat="1" x14ac:dyDescent="0.25"/>
    <row r="261485" s="12" customFormat="1" x14ac:dyDescent="0.25"/>
    <row r="261486" s="12" customFormat="1" x14ac:dyDescent="0.25"/>
    <row r="261487" s="12" customFormat="1" x14ac:dyDescent="0.25"/>
    <row r="261488" s="12" customFormat="1" x14ac:dyDescent="0.25"/>
    <row r="261489" s="12" customFormat="1" x14ac:dyDescent="0.25"/>
    <row r="261490" s="12" customFormat="1" x14ac:dyDescent="0.25"/>
    <row r="261491" s="12" customFormat="1" x14ac:dyDescent="0.25"/>
    <row r="261492" s="12" customFormat="1" x14ac:dyDescent="0.25"/>
    <row r="261493" s="12" customFormat="1" x14ac:dyDescent="0.25"/>
    <row r="261494" s="12" customFormat="1" x14ac:dyDescent="0.25"/>
    <row r="261495" s="12" customFormat="1" x14ac:dyDescent="0.25"/>
    <row r="261496" s="12" customFormat="1" x14ac:dyDescent="0.25"/>
    <row r="261497" s="12" customFormat="1" x14ac:dyDescent="0.25"/>
    <row r="261498" s="12" customFormat="1" x14ac:dyDescent="0.25"/>
    <row r="261499" s="12" customFormat="1" x14ac:dyDescent="0.25"/>
    <row r="261500" s="12" customFormat="1" x14ac:dyDescent="0.25"/>
    <row r="261501" s="12" customFormat="1" x14ac:dyDescent="0.25"/>
    <row r="261502" s="12" customFormat="1" x14ac:dyDescent="0.25"/>
    <row r="261503" s="12" customFormat="1" x14ac:dyDescent="0.25"/>
    <row r="261504" s="12" customFormat="1" x14ac:dyDescent="0.25"/>
    <row r="261505" s="12" customFormat="1" x14ac:dyDescent="0.25"/>
    <row r="261506" s="12" customFormat="1" x14ac:dyDescent="0.25"/>
    <row r="261507" s="12" customFormat="1" x14ac:dyDescent="0.25"/>
    <row r="261508" s="12" customFormat="1" x14ac:dyDescent="0.25"/>
    <row r="261509" s="12" customFormat="1" x14ac:dyDescent="0.25"/>
    <row r="261510" s="12" customFormat="1" x14ac:dyDescent="0.25"/>
    <row r="261511" s="12" customFormat="1" x14ac:dyDescent="0.25"/>
    <row r="261512" s="12" customFormat="1" x14ac:dyDescent="0.25"/>
    <row r="261513" s="12" customFormat="1" x14ac:dyDescent="0.25"/>
    <row r="261514" s="12" customFormat="1" x14ac:dyDescent="0.25"/>
    <row r="261515" s="12" customFormat="1" x14ac:dyDescent="0.25"/>
    <row r="261516" s="12" customFormat="1" x14ac:dyDescent="0.25"/>
    <row r="261517" s="12" customFormat="1" x14ac:dyDescent="0.25"/>
    <row r="261518" s="12" customFormat="1" x14ac:dyDescent="0.25"/>
    <row r="261519" s="12" customFormat="1" x14ac:dyDescent="0.25"/>
    <row r="261520" s="12" customFormat="1" x14ac:dyDescent="0.25"/>
    <row r="261521" s="12" customFormat="1" x14ac:dyDescent="0.25"/>
    <row r="261522" s="12" customFormat="1" x14ac:dyDescent="0.25"/>
    <row r="261523" s="12" customFormat="1" x14ac:dyDescent="0.25"/>
    <row r="261524" s="12" customFormat="1" x14ac:dyDescent="0.25"/>
    <row r="261525" s="12" customFormat="1" x14ac:dyDescent="0.25"/>
    <row r="261526" s="12" customFormat="1" x14ac:dyDescent="0.25"/>
    <row r="261527" s="12" customFormat="1" x14ac:dyDescent="0.25"/>
    <row r="261528" s="12" customFormat="1" x14ac:dyDescent="0.25"/>
    <row r="261529" s="12" customFormat="1" x14ac:dyDescent="0.25"/>
    <row r="261530" s="12" customFormat="1" x14ac:dyDescent="0.25"/>
    <row r="261531" s="12" customFormat="1" x14ac:dyDescent="0.25"/>
    <row r="261532" s="12" customFormat="1" x14ac:dyDescent="0.25"/>
    <row r="261533" s="12" customFormat="1" x14ac:dyDescent="0.25"/>
    <row r="261534" s="12" customFormat="1" x14ac:dyDescent="0.25"/>
    <row r="261535" s="12" customFormat="1" x14ac:dyDescent="0.25"/>
    <row r="261536" s="12" customFormat="1" x14ac:dyDescent="0.25"/>
    <row r="261537" s="12" customFormat="1" x14ac:dyDescent="0.25"/>
    <row r="261538" s="12" customFormat="1" x14ac:dyDescent="0.25"/>
    <row r="261539" s="12" customFormat="1" x14ac:dyDescent="0.25"/>
    <row r="261540" s="12" customFormat="1" x14ac:dyDescent="0.25"/>
    <row r="261541" s="12" customFormat="1" x14ac:dyDescent="0.25"/>
    <row r="261542" s="12" customFormat="1" x14ac:dyDescent="0.25"/>
    <row r="261543" s="12" customFormat="1" x14ac:dyDescent="0.25"/>
    <row r="261544" s="12" customFormat="1" x14ac:dyDescent="0.25"/>
    <row r="261545" s="12" customFormat="1" x14ac:dyDescent="0.25"/>
    <row r="261546" s="12" customFormat="1" x14ac:dyDescent="0.25"/>
    <row r="261547" s="12" customFormat="1" x14ac:dyDescent="0.25"/>
    <row r="261548" s="12" customFormat="1" x14ac:dyDescent="0.25"/>
    <row r="261549" s="12" customFormat="1" x14ac:dyDescent="0.25"/>
    <row r="261550" s="12" customFormat="1" x14ac:dyDescent="0.25"/>
    <row r="261551" s="12" customFormat="1" x14ac:dyDescent="0.25"/>
    <row r="261552" s="12" customFormat="1" x14ac:dyDescent="0.25"/>
    <row r="261553" s="12" customFormat="1" x14ac:dyDescent="0.25"/>
    <row r="261554" s="12" customFormat="1" x14ac:dyDescent="0.25"/>
    <row r="261555" s="12" customFormat="1" x14ac:dyDescent="0.25"/>
    <row r="261556" s="12" customFormat="1" x14ac:dyDescent="0.25"/>
    <row r="261557" s="12" customFormat="1" x14ac:dyDescent="0.25"/>
    <row r="261558" s="12" customFormat="1" x14ac:dyDescent="0.25"/>
    <row r="261559" s="12" customFormat="1" x14ac:dyDescent="0.25"/>
    <row r="261560" s="12" customFormat="1" x14ac:dyDescent="0.25"/>
    <row r="261561" s="12" customFormat="1" x14ac:dyDescent="0.25"/>
    <row r="261562" s="12" customFormat="1" x14ac:dyDescent="0.25"/>
    <row r="261563" s="12" customFormat="1" x14ac:dyDescent="0.25"/>
    <row r="261564" s="12" customFormat="1" x14ac:dyDescent="0.25"/>
    <row r="261565" s="12" customFormat="1" x14ac:dyDescent="0.25"/>
    <row r="261566" s="12" customFormat="1" x14ac:dyDescent="0.25"/>
    <row r="261567" s="12" customFormat="1" x14ac:dyDescent="0.25"/>
    <row r="261568" s="12" customFormat="1" x14ac:dyDescent="0.25"/>
    <row r="261569" s="12" customFormat="1" x14ac:dyDescent="0.25"/>
    <row r="261570" s="12" customFormat="1" x14ac:dyDescent="0.25"/>
    <row r="261571" s="12" customFormat="1" x14ac:dyDescent="0.25"/>
    <row r="261572" s="12" customFormat="1" x14ac:dyDescent="0.25"/>
    <row r="261573" s="12" customFormat="1" x14ac:dyDescent="0.25"/>
    <row r="261574" s="12" customFormat="1" x14ac:dyDescent="0.25"/>
    <row r="261575" s="12" customFormat="1" x14ac:dyDescent="0.25"/>
    <row r="261576" s="12" customFormat="1" x14ac:dyDescent="0.25"/>
    <row r="261577" s="12" customFormat="1" x14ac:dyDescent="0.25"/>
    <row r="261578" s="12" customFormat="1" x14ac:dyDescent="0.25"/>
    <row r="261579" s="12" customFormat="1" x14ac:dyDescent="0.25"/>
    <row r="261580" s="12" customFormat="1" x14ac:dyDescent="0.25"/>
    <row r="261581" s="12" customFormat="1" x14ac:dyDescent="0.25"/>
    <row r="261582" s="12" customFormat="1" x14ac:dyDescent="0.25"/>
    <row r="261583" s="12" customFormat="1" x14ac:dyDescent="0.25"/>
    <row r="261584" s="12" customFormat="1" x14ac:dyDescent="0.25"/>
    <row r="261585" s="12" customFormat="1" x14ac:dyDescent="0.25"/>
    <row r="261586" s="12" customFormat="1" x14ac:dyDescent="0.25"/>
    <row r="261587" s="12" customFormat="1" x14ac:dyDescent="0.25"/>
    <row r="261588" s="12" customFormat="1" x14ac:dyDescent="0.25"/>
    <row r="261589" s="12" customFormat="1" x14ac:dyDescent="0.25"/>
    <row r="261590" s="12" customFormat="1" x14ac:dyDescent="0.25"/>
    <row r="261591" s="12" customFormat="1" x14ac:dyDescent="0.25"/>
    <row r="261592" s="12" customFormat="1" x14ac:dyDescent="0.25"/>
    <row r="261593" s="12" customFormat="1" x14ac:dyDescent="0.25"/>
    <row r="261594" s="12" customFormat="1" x14ac:dyDescent="0.25"/>
    <row r="261595" s="12" customFormat="1" x14ac:dyDescent="0.25"/>
    <row r="261596" s="12" customFormat="1" x14ac:dyDescent="0.25"/>
    <row r="261597" s="12" customFormat="1" x14ac:dyDescent="0.25"/>
    <row r="261598" s="12" customFormat="1" x14ac:dyDescent="0.25"/>
    <row r="261599" s="12" customFormat="1" x14ac:dyDescent="0.25"/>
    <row r="261600" s="12" customFormat="1" x14ac:dyDescent="0.25"/>
    <row r="261601" s="12" customFormat="1" x14ac:dyDescent="0.25"/>
    <row r="261602" s="12" customFormat="1" x14ac:dyDescent="0.25"/>
    <row r="261603" s="12" customFormat="1" x14ac:dyDescent="0.25"/>
    <row r="261604" s="12" customFormat="1" x14ac:dyDescent="0.25"/>
    <row r="261605" s="12" customFormat="1" x14ac:dyDescent="0.25"/>
    <row r="261606" s="12" customFormat="1" x14ac:dyDescent="0.25"/>
    <row r="261607" s="12" customFormat="1" x14ac:dyDescent="0.25"/>
    <row r="261608" s="12" customFormat="1" x14ac:dyDescent="0.25"/>
    <row r="261609" s="12" customFormat="1" x14ac:dyDescent="0.25"/>
    <row r="261610" s="12" customFormat="1" x14ac:dyDescent="0.25"/>
    <row r="261611" s="12" customFormat="1" x14ac:dyDescent="0.25"/>
    <row r="261612" s="12" customFormat="1" x14ac:dyDescent="0.25"/>
    <row r="261613" s="12" customFormat="1" x14ac:dyDescent="0.25"/>
    <row r="261614" s="12" customFormat="1" x14ac:dyDescent="0.25"/>
    <row r="261615" s="12" customFormat="1" x14ac:dyDescent="0.25"/>
    <row r="261616" s="12" customFormat="1" x14ac:dyDescent="0.25"/>
    <row r="261617" s="12" customFormat="1" x14ac:dyDescent="0.25"/>
    <row r="261618" s="12" customFormat="1" x14ac:dyDescent="0.25"/>
    <row r="261619" s="12" customFormat="1" x14ac:dyDescent="0.25"/>
    <row r="261620" s="12" customFormat="1" x14ac:dyDescent="0.25"/>
    <row r="261621" s="12" customFormat="1" x14ac:dyDescent="0.25"/>
    <row r="261622" s="12" customFormat="1" x14ac:dyDescent="0.25"/>
    <row r="261623" s="12" customFormat="1" x14ac:dyDescent="0.25"/>
    <row r="261624" s="12" customFormat="1" x14ac:dyDescent="0.25"/>
    <row r="261625" s="12" customFormat="1" x14ac:dyDescent="0.25"/>
    <row r="261626" s="12" customFormat="1" x14ac:dyDescent="0.25"/>
    <row r="261627" s="12" customFormat="1" x14ac:dyDescent="0.25"/>
    <row r="261628" s="12" customFormat="1" x14ac:dyDescent="0.25"/>
    <row r="261629" s="12" customFormat="1" x14ac:dyDescent="0.25"/>
    <row r="261630" s="12" customFormat="1" x14ac:dyDescent="0.25"/>
    <row r="261631" s="12" customFormat="1" x14ac:dyDescent="0.25"/>
    <row r="261632" s="12" customFormat="1" x14ac:dyDescent="0.25"/>
    <row r="261633" s="12" customFormat="1" x14ac:dyDescent="0.25"/>
    <row r="261634" s="12" customFormat="1" x14ac:dyDescent="0.25"/>
    <row r="261635" s="12" customFormat="1" x14ac:dyDescent="0.25"/>
    <row r="261636" s="12" customFormat="1" x14ac:dyDescent="0.25"/>
    <row r="261637" s="12" customFormat="1" x14ac:dyDescent="0.25"/>
    <row r="261638" s="12" customFormat="1" x14ac:dyDescent="0.25"/>
    <row r="261639" s="12" customFormat="1" x14ac:dyDescent="0.25"/>
    <row r="261640" s="12" customFormat="1" x14ac:dyDescent="0.25"/>
    <row r="261641" s="12" customFormat="1" x14ac:dyDescent="0.25"/>
    <row r="261642" s="12" customFormat="1" x14ac:dyDescent="0.25"/>
    <row r="261643" s="12" customFormat="1" x14ac:dyDescent="0.25"/>
    <row r="261644" s="12" customFormat="1" x14ac:dyDescent="0.25"/>
    <row r="261645" s="12" customFormat="1" x14ac:dyDescent="0.25"/>
    <row r="261646" s="12" customFormat="1" x14ac:dyDescent="0.25"/>
    <row r="261647" s="12" customFormat="1" x14ac:dyDescent="0.25"/>
    <row r="261648" s="12" customFormat="1" x14ac:dyDescent="0.25"/>
    <row r="261649" s="12" customFormat="1" x14ac:dyDescent="0.25"/>
    <row r="261650" s="12" customFormat="1" x14ac:dyDescent="0.25"/>
    <row r="261651" s="12" customFormat="1" x14ac:dyDescent="0.25"/>
    <row r="261652" s="12" customFormat="1" x14ac:dyDescent="0.25"/>
    <row r="261653" s="12" customFormat="1" x14ac:dyDescent="0.25"/>
    <row r="261654" s="12" customFormat="1" x14ac:dyDescent="0.25"/>
    <row r="261655" s="12" customFormat="1" x14ac:dyDescent="0.25"/>
    <row r="261656" s="12" customFormat="1" x14ac:dyDescent="0.25"/>
    <row r="261657" s="12" customFormat="1" x14ac:dyDescent="0.25"/>
    <row r="261658" s="12" customFormat="1" x14ac:dyDescent="0.25"/>
    <row r="261659" s="12" customFormat="1" x14ac:dyDescent="0.25"/>
    <row r="261660" s="12" customFormat="1" x14ac:dyDescent="0.25"/>
    <row r="261661" s="12" customFormat="1" x14ac:dyDescent="0.25"/>
    <row r="261662" s="12" customFormat="1" x14ac:dyDescent="0.25"/>
    <row r="261663" s="12" customFormat="1" x14ac:dyDescent="0.25"/>
    <row r="261664" s="12" customFormat="1" x14ac:dyDescent="0.25"/>
    <row r="261665" s="12" customFormat="1" x14ac:dyDescent="0.25"/>
    <row r="261666" s="12" customFormat="1" x14ac:dyDescent="0.25"/>
    <row r="261667" s="12" customFormat="1" x14ac:dyDescent="0.25"/>
    <row r="261668" s="12" customFormat="1" x14ac:dyDescent="0.25"/>
    <row r="261669" s="12" customFormat="1" x14ac:dyDescent="0.25"/>
    <row r="261670" s="12" customFormat="1" x14ac:dyDescent="0.25"/>
    <row r="261671" s="12" customFormat="1" x14ac:dyDescent="0.25"/>
    <row r="261672" s="12" customFormat="1" x14ac:dyDescent="0.25"/>
    <row r="261673" s="12" customFormat="1" x14ac:dyDescent="0.25"/>
    <row r="261674" s="12" customFormat="1" x14ac:dyDescent="0.25"/>
    <row r="261675" s="12" customFormat="1" x14ac:dyDescent="0.25"/>
    <row r="261676" s="12" customFormat="1" x14ac:dyDescent="0.25"/>
    <row r="261677" s="12" customFormat="1" x14ac:dyDescent="0.25"/>
    <row r="261678" s="12" customFormat="1" x14ac:dyDescent="0.25"/>
    <row r="261679" s="12" customFormat="1" x14ac:dyDescent="0.25"/>
    <row r="261680" s="12" customFormat="1" x14ac:dyDescent="0.25"/>
    <row r="261681" s="12" customFormat="1" x14ac:dyDescent="0.25"/>
    <row r="261682" s="12" customFormat="1" x14ac:dyDescent="0.25"/>
    <row r="261683" s="12" customFormat="1" x14ac:dyDescent="0.25"/>
    <row r="261684" s="12" customFormat="1" x14ac:dyDescent="0.25"/>
    <row r="261685" s="12" customFormat="1" x14ac:dyDescent="0.25"/>
    <row r="261686" s="12" customFormat="1" x14ac:dyDescent="0.25"/>
    <row r="261687" s="12" customFormat="1" x14ac:dyDescent="0.25"/>
    <row r="261688" s="12" customFormat="1" x14ac:dyDescent="0.25"/>
    <row r="261689" s="12" customFormat="1" x14ac:dyDescent="0.25"/>
    <row r="261690" s="12" customFormat="1" x14ac:dyDescent="0.25"/>
    <row r="261691" s="12" customFormat="1" x14ac:dyDescent="0.25"/>
    <row r="261692" s="12" customFormat="1" x14ac:dyDescent="0.25"/>
    <row r="261693" s="12" customFormat="1" x14ac:dyDescent="0.25"/>
    <row r="261694" s="12" customFormat="1" x14ac:dyDescent="0.25"/>
    <row r="261695" s="12" customFormat="1" x14ac:dyDescent="0.25"/>
    <row r="261696" s="12" customFormat="1" x14ac:dyDescent="0.25"/>
    <row r="261697" s="12" customFormat="1" x14ac:dyDescent="0.25"/>
    <row r="261698" s="12" customFormat="1" x14ac:dyDescent="0.25"/>
    <row r="261699" s="12" customFormat="1" x14ac:dyDescent="0.25"/>
    <row r="261700" s="12" customFormat="1" x14ac:dyDescent="0.25"/>
    <row r="261701" s="12" customFormat="1" x14ac:dyDescent="0.25"/>
    <row r="261702" s="12" customFormat="1" x14ac:dyDescent="0.25"/>
    <row r="261703" s="12" customFormat="1" x14ac:dyDescent="0.25"/>
    <row r="261704" s="12" customFormat="1" x14ac:dyDescent="0.25"/>
    <row r="261705" s="12" customFormat="1" x14ac:dyDescent="0.25"/>
    <row r="261706" s="12" customFormat="1" x14ac:dyDescent="0.25"/>
    <row r="261707" s="12" customFormat="1" x14ac:dyDescent="0.25"/>
    <row r="261708" s="12" customFormat="1" x14ac:dyDescent="0.25"/>
    <row r="261709" s="12" customFormat="1" x14ac:dyDescent="0.25"/>
    <row r="261710" s="12" customFormat="1" x14ac:dyDescent="0.25"/>
    <row r="261711" s="12" customFormat="1" x14ac:dyDescent="0.25"/>
    <row r="261712" s="12" customFormat="1" x14ac:dyDescent="0.25"/>
    <row r="261713" s="12" customFormat="1" x14ac:dyDescent="0.25"/>
    <row r="261714" s="12" customFormat="1" x14ac:dyDescent="0.25"/>
    <row r="261715" s="12" customFormat="1" x14ac:dyDescent="0.25"/>
    <row r="261716" s="12" customFormat="1" x14ac:dyDescent="0.25"/>
    <row r="261717" s="12" customFormat="1" x14ac:dyDescent="0.25"/>
    <row r="261718" s="12" customFormat="1" x14ac:dyDescent="0.25"/>
    <row r="261719" s="12" customFormat="1" x14ac:dyDescent="0.25"/>
    <row r="261720" s="12" customFormat="1" x14ac:dyDescent="0.25"/>
    <row r="261721" s="12" customFormat="1" x14ac:dyDescent="0.25"/>
    <row r="261722" s="12" customFormat="1" x14ac:dyDescent="0.25"/>
    <row r="261723" s="12" customFormat="1" x14ac:dyDescent="0.25"/>
    <row r="261724" s="12" customFormat="1" x14ac:dyDescent="0.25"/>
    <row r="261725" s="12" customFormat="1" x14ac:dyDescent="0.25"/>
    <row r="261726" s="12" customFormat="1" x14ac:dyDescent="0.25"/>
    <row r="261727" s="12" customFormat="1" x14ac:dyDescent="0.25"/>
    <row r="261728" s="12" customFormat="1" x14ac:dyDescent="0.25"/>
    <row r="261729" s="12" customFormat="1" x14ac:dyDescent="0.25"/>
    <row r="261730" s="12" customFormat="1" x14ac:dyDescent="0.25"/>
    <row r="261731" s="12" customFormat="1" x14ac:dyDescent="0.25"/>
    <row r="261732" s="12" customFormat="1" x14ac:dyDescent="0.25"/>
    <row r="261733" s="12" customFormat="1" x14ac:dyDescent="0.25"/>
    <row r="261734" s="12" customFormat="1" x14ac:dyDescent="0.25"/>
    <row r="261735" s="12" customFormat="1" x14ac:dyDescent="0.25"/>
    <row r="261736" s="12" customFormat="1" x14ac:dyDescent="0.25"/>
    <row r="261737" s="12" customFormat="1" x14ac:dyDescent="0.25"/>
    <row r="261738" s="12" customFormat="1" x14ac:dyDescent="0.25"/>
    <row r="261739" s="12" customFormat="1" x14ac:dyDescent="0.25"/>
    <row r="261740" s="12" customFormat="1" x14ac:dyDescent="0.25"/>
    <row r="261741" s="12" customFormat="1" x14ac:dyDescent="0.25"/>
    <row r="261742" s="12" customFormat="1" x14ac:dyDescent="0.25"/>
    <row r="261743" s="12" customFormat="1" x14ac:dyDescent="0.25"/>
    <row r="261744" s="12" customFormat="1" x14ac:dyDescent="0.25"/>
    <row r="261745" s="12" customFormat="1" x14ac:dyDescent="0.25"/>
    <row r="261746" s="12" customFormat="1" x14ac:dyDescent="0.25"/>
    <row r="261747" s="12" customFormat="1" x14ac:dyDescent="0.25"/>
    <row r="261748" s="12" customFormat="1" x14ac:dyDescent="0.25"/>
    <row r="261749" s="12" customFormat="1" x14ac:dyDescent="0.25"/>
    <row r="261750" s="12" customFormat="1" x14ac:dyDescent="0.25"/>
    <row r="261751" s="12" customFormat="1" x14ac:dyDescent="0.25"/>
    <row r="261752" s="12" customFormat="1" x14ac:dyDescent="0.25"/>
    <row r="261753" s="12" customFormat="1" x14ac:dyDescent="0.25"/>
    <row r="261754" s="12" customFormat="1" x14ac:dyDescent="0.25"/>
    <row r="261755" s="12" customFormat="1" x14ac:dyDescent="0.25"/>
    <row r="261756" s="12" customFormat="1" x14ac:dyDescent="0.25"/>
    <row r="261757" s="12" customFormat="1" x14ac:dyDescent="0.25"/>
    <row r="261758" s="12" customFormat="1" x14ac:dyDescent="0.25"/>
    <row r="261759" s="12" customFormat="1" x14ac:dyDescent="0.25"/>
    <row r="261760" s="12" customFormat="1" x14ac:dyDescent="0.25"/>
    <row r="261761" s="12" customFormat="1" x14ac:dyDescent="0.25"/>
    <row r="261762" s="12" customFormat="1" x14ac:dyDescent="0.25"/>
    <row r="261763" s="12" customFormat="1" x14ac:dyDescent="0.25"/>
    <row r="261764" s="12" customFormat="1" x14ac:dyDescent="0.25"/>
    <row r="261765" s="12" customFormat="1" x14ac:dyDescent="0.25"/>
    <row r="261766" s="12" customFormat="1" x14ac:dyDescent="0.25"/>
    <row r="261767" s="12" customFormat="1" x14ac:dyDescent="0.25"/>
    <row r="261768" s="12" customFormat="1" x14ac:dyDescent="0.25"/>
    <row r="261769" s="12" customFormat="1" x14ac:dyDescent="0.25"/>
    <row r="261770" s="12" customFormat="1" x14ac:dyDescent="0.25"/>
    <row r="261771" s="12" customFormat="1" x14ac:dyDescent="0.25"/>
    <row r="261772" s="12" customFormat="1" x14ac:dyDescent="0.25"/>
    <row r="261773" s="12" customFormat="1" x14ac:dyDescent="0.25"/>
    <row r="261774" s="12" customFormat="1" x14ac:dyDescent="0.25"/>
    <row r="261775" s="12" customFormat="1" x14ac:dyDescent="0.25"/>
    <row r="261776" s="12" customFormat="1" x14ac:dyDescent="0.25"/>
    <row r="261777" s="12" customFormat="1" x14ac:dyDescent="0.25"/>
    <row r="261778" s="12" customFormat="1" x14ac:dyDescent="0.25"/>
    <row r="261779" s="12" customFormat="1" x14ac:dyDescent="0.25"/>
    <row r="261780" s="12" customFormat="1" x14ac:dyDescent="0.25"/>
    <row r="261781" s="12" customFormat="1" x14ac:dyDescent="0.25"/>
    <row r="261782" s="12" customFormat="1" x14ac:dyDescent="0.25"/>
    <row r="261783" s="12" customFormat="1" x14ac:dyDescent="0.25"/>
    <row r="261784" s="12" customFormat="1" x14ac:dyDescent="0.25"/>
    <row r="261785" s="12" customFormat="1" x14ac:dyDescent="0.25"/>
    <row r="261786" s="12" customFormat="1" x14ac:dyDescent="0.25"/>
    <row r="261787" s="12" customFormat="1" x14ac:dyDescent="0.25"/>
    <row r="261788" s="12" customFormat="1" x14ac:dyDescent="0.25"/>
    <row r="261789" s="12" customFormat="1" x14ac:dyDescent="0.25"/>
    <row r="261790" s="12" customFormat="1" x14ac:dyDescent="0.25"/>
    <row r="261791" s="12" customFormat="1" x14ac:dyDescent="0.25"/>
    <row r="261792" s="12" customFormat="1" x14ac:dyDescent="0.25"/>
    <row r="261793" s="12" customFormat="1" x14ac:dyDescent="0.25"/>
    <row r="261794" s="12" customFormat="1" x14ac:dyDescent="0.25"/>
    <row r="261795" s="12" customFormat="1" x14ac:dyDescent="0.25"/>
    <row r="261796" s="12" customFormat="1" x14ac:dyDescent="0.25"/>
    <row r="261797" s="12" customFormat="1" x14ac:dyDescent="0.25"/>
    <row r="261798" s="12" customFormat="1" x14ac:dyDescent="0.25"/>
    <row r="261799" s="12" customFormat="1" x14ac:dyDescent="0.25"/>
    <row r="261800" s="12" customFormat="1" x14ac:dyDescent="0.25"/>
    <row r="261801" s="12" customFormat="1" x14ac:dyDescent="0.25"/>
    <row r="261802" s="12" customFormat="1" x14ac:dyDescent="0.25"/>
    <row r="261803" s="12" customFormat="1" x14ac:dyDescent="0.25"/>
    <row r="261804" s="12" customFormat="1" x14ac:dyDescent="0.25"/>
    <row r="261805" s="12" customFormat="1" x14ac:dyDescent="0.25"/>
    <row r="261806" s="12" customFormat="1" x14ac:dyDescent="0.25"/>
    <row r="261807" s="12" customFormat="1" x14ac:dyDescent="0.25"/>
    <row r="261808" s="12" customFormat="1" x14ac:dyDescent="0.25"/>
    <row r="261809" s="12" customFormat="1" x14ac:dyDescent="0.25"/>
    <row r="261810" s="12" customFormat="1" x14ac:dyDescent="0.25"/>
    <row r="261811" s="12" customFormat="1" x14ac:dyDescent="0.25"/>
    <row r="261812" s="12" customFormat="1" x14ac:dyDescent="0.25"/>
    <row r="261813" s="12" customFormat="1" x14ac:dyDescent="0.25"/>
    <row r="261814" s="12" customFormat="1" x14ac:dyDescent="0.25"/>
    <row r="261815" s="12" customFormat="1" x14ac:dyDescent="0.25"/>
    <row r="261816" s="12" customFormat="1" x14ac:dyDescent="0.25"/>
    <row r="261817" s="12" customFormat="1" x14ac:dyDescent="0.25"/>
    <row r="261818" s="12" customFormat="1" x14ac:dyDescent="0.25"/>
    <row r="261819" s="12" customFormat="1" x14ac:dyDescent="0.25"/>
    <row r="261820" s="12" customFormat="1" x14ac:dyDescent="0.25"/>
    <row r="261821" s="12" customFormat="1" x14ac:dyDescent="0.25"/>
    <row r="261822" s="12" customFormat="1" x14ac:dyDescent="0.25"/>
    <row r="261823" s="12" customFormat="1" x14ac:dyDescent="0.25"/>
    <row r="261824" s="12" customFormat="1" x14ac:dyDescent="0.25"/>
    <row r="261825" s="12" customFormat="1" x14ac:dyDescent="0.25"/>
    <row r="261826" s="12" customFormat="1" x14ac:dyDescent="0.25"/>
    <row r="261827" s="12" customFormat="1" x14ac:dyDescent="0.25"/>
    <row r="261828" s="12" customFormat="1" x14ac:dyDescent="0.25"/>
    <row r="261829" s="12" customFormat="1" x14ac:dyDescent="0.25"/>
    <row r="261830" s="12" customFormat="1" x14ac:dyDescent="0.25"/>
    <row r="261831" s="12" customFormat="1" x14ac:dyDescent="0.25"/>
    <row r="261832" s="12" customFormat="1" x14ac:dyDescent="0.25"/>
    <row r="261833" s="12" customFormat="1" x14ac:dyDescent="0.25"/>
    <row r="261834" s="12" customFormat="1" x14ac:dyDescent="0.25"/>
    <row r="261835" s="12" customFormat="1" x14ac:dyDescent="0.25"/>
    <row r="261836" s="12" customFormat="1" x14ac:dyDescent="0.25"/>
    <row r="261837" s="12" customFormat="1" x14ac:dyDescent="0.25"/>
    <row r="261838" s="12" customFormat="1" x14ac:dyDescent="0.25"/>
    <row r="261839" s="12" customFormat="1" x14ac:dyDescent="0.25"/>
    <row r="261840" s="12" customFormat="1" x14ac:dyDescent="0.25"/>
    <row r="261841" s="12" customFormat="1" x14ac:dyDescent="0.25"/>
    <row r="261842" s="12" customFormat="1" x14ac:dyDescent="0.25"/>
    <row r="261843" s="12" customFormat="1" x14ac:dyDescent="0.25"/>
    <row r="261844" s="12" customFormat="1" x14ac:dyDescent="0.25"/>
    <row r="261845" s="12" customFormat="1" x14ac:dyDescent="0.25"/>
    <row r="261846" s="12" customFormat="1" x14ac:dyDescent="0.25"/>
    <row r="261847" s="12" customFormat="1" x14ac:dyDescent="0.25"/>
    <row r="261848" s="12" customFormat="1" x14ac:dyDescent="0.25"/>
    <row r="261849" s="12" customFormat="1" x14ac:dyDescent="0.25"/>
    <row r="261850" s="12" customFormat="1" x14ac:dyDescent="0.25"/>
    <row r="261851" s="12" customFormat="1" x14ac:dyDescent="0.25"/>
    <row r="261852" s="12" customFormat="1" x14ac:dyDescent="0.25"/>
    <row r="261853" s="12" customFormat="1" x14ac:dyDescent="0.25"/>
    <row r="261854" s="12" customFormat="1" x14ac:dyDescent="0.25"/>
    <row r="261855" s="12" customFormat="1" x14ac:dyDescent="0.25"/>
    <row r="261856" s="12" customFormat="1" x14ac:dyDescent="0.25"/>
    <row r="261857" s="12" customFormat="1" x14ac:dyDescent="0.25"/>
    <row r="261858" s="12" customFormat="1" x14ac:dyDescent="0.25"/>
    <row r="261859" s="12" customFormat="1" x14ac:dyDescent="0.25"/>
    <row r="261860" s="12" customFormat="1" x14ac:dyDescent="0.25"/>
    <row r="261861" s="12" customFormat="1" x14ac:dyDescent="0.25"/>
    <row r="261862" s="12" customFormat="1" x14ac:dyDescent="0.25"/>
    <row r="261863" s="12" customFormat="1" x14ac:dyDescent="0.25"/>
    <row r="261864" s="12" customFormat="1" x14ac:dyDescent="0.25"/>
    <row r="261865" s="12" customFormat="1" x14ac:dyDescent="0.25"/>
    <row r="261866" s="12" customFormat="1" x14ac:dyDescent="0.25"/>
    <row r="261867" s="12" customFormat="1" x14ac:dyDescent="0.25"/>
    <row r="261868" s="12" customFormat="1" x14ac:dyDescent="0.25"/>
    <row r="261869" s="12" customFormat="1" x14ac:dyDescent="0.25"/>
    <row r="261870" s="12" customFormat="1" x14ac:dyDescent="0.25"/>
    <row r="261871" s="12" customFormat="1" x14ac:dyDescent="0.25"/>
    <row r="261872" s="12" customFormat="1" x14ac:dyDescent="0.25"/>
    <row r="261873" s="12" customFormat="1" x14ac:dyDescent="0.25"/>
    <row r="261874" s="12" customFormat="1" x14ac:dyDescent="0.25"/>
    <row r="261875" s="12" customFormat="1" x14ac:dyDescent="0.25"/>
    <row r="261876" s="12" customFormat="1" x14ac:dyDescent="0.25"/>
    <row r="261877" s="12" customFormat="1" x14ac:dyDescent="0.25"/>
    <row r="261878" s="12" customFormat="1" x14ac:dyDescent="0.25"/>
    <row r="261879" s="12" customFormat="1" x14ac:dyDescent="0.25"/>
    <row r="261880" s="12" customFormat="1" x14ac:dyDescent="0.25"/>
    <row r="261881" s="12" customFormat="1" x14ac:dyDescent="0.25"/>
    <row r="261882" s="12" customFormat="1" x14ac:dyDescent="0.25"/>
    <row r="261883" s="12" customFormat="1" x14ac:dyDescent="0.25"/>
    <row r="261884" s="12" customFormat="1" x14ac:dyDescent="0.25"/>
    <row r="261885" s="12" customFormat="1" x14ac:dyDescent="0.25"/>
    <row r="261886" s="12" customFormat="1" x14ac:dyDescent="0.25"/>
    <row r="261887" s="12" customFormat="1" x14ac:dyDescent="0.25"/>
    <row r="261888" s="12" customFormat="1" x14ac:dyDescent="0.25"/>
    <row r="261889" s="12" customFormat="1" x14ac:dyDescent="0.25"/>
    <row r="261890" s="12" customFormat="1" x14ac:dyDescent="0.25"/>
    <row r="261891" s="12" customFormat="1" x14ac:dyDescent="0.25"/>
    <row r="261892" s="12" customFormat="1" x14ac:dyDescent="0.25"/>
    <row r="261893" s="12" customFormat="1" x14ac:dyDescent="0.25"/>
    <row r="261894" s="12" customFormat="1" x14ac:dyDescent="0.25"/>
    <row r="261895" s="12" customFormat="1" x14ac:dyDescent="0.25"/>
    <row r="261896" s="12" customFormat="1" x14ac:dyDescent="0.25"/>
    <row r="261897" s="12" customFormat="1" x14ac:dyDescent="0.25"/>
    <row r="261898" s="12" customFormat="1" x14ac:dyDescent="0.25"/>
    <row r="261899" s="12" customFormat="1" x14ac:dyDescent="0.25"/>
    <row r="261900" s="12" customFormat="1" x14ac:dyDescent="0.25"/>
    <row r="261901" s="12" customFormat="1" x14ac:dyDescent="0.25"/>
    <row r="261902" s="12" customFormat="1" x14ac:dyDescent="0.25"/>
    <row r="261903" s="12" customFormat="1" x14ac:dyDescent="0.25"/>
    <row r="261904" s="12" customFormat="1" x14ac:dyDescent="0.25"/>
    <row r="261905" s="12" customFormat="1" x14ac:dyDescent="0.25"/>
    <row r="261906" s="12" customFormat="1" x14ac:dyDescent="0.25"/>
    <row r="261907" s="12" customFormat="1" x14ac:dyDescent="0.25"/>
    <row r="261908" s="12" customFormat="1" x14ac:dyDescent="0.25"/>
    <row r="261909" s="12" customFormat="1" x14ac:dyDescent="0.25"/>
    <row r="261910" s="12" customFormat="1" x14ac:dyDescent="0.25"/>
    <row r="261911" s="12" customFormat="1" x14ac:dyDescent="0.25"/>
    <row r="261912" s="12" customFormat="1" x14ac:dyDescent="0.25"/>
    <row r="261913" s="12" customFormat="1" x14ac:dyDescent="0.25"/>
    <row r="261914" s="12" customFormat="1" x14ac:dyDescent="0.25"/>
    <row r="261915" s="12" customFormat="1" x14ac:dyDescent="0.25"/>
    <row r="261916" s="12" customFormat="1" x14ac:dyDescent="0.25"/>
    <row r="261917" s="12" customFormat="1" x14ac:dyDescent="0.25"/>
    <row r="261918" s="12" customFormat="1" x14ac:dyDescent="0.25"/>
    <row r="261919" s="12" customFormat="1" x14ac:dyDescent="0.25"/>
    <row r="261920" s="12" customFormat="1" x14ac:dyDescent="0.25"/>
    <row r="261921" s="12" customFormat="1" x14ac:dyDescent="0.25"/>
    <row r="261922" s="12" customFormat="1" x14ac:dyDescent="0.25"/>
    <row r="261923" s="12" customFormat="1" x14ac:dyDescent="0.25"/>
    <row r="261924" s="12" customFormat="1" x14ac:dyDescent="0.25"/>
    <row r="261925" s="12" customFormat="1" x14ac:dyDescent="0.25"/>
    <row r="261926" s="12" customFormat="1" x14ac:dyDescent="0.25"/>
    <row r="261927" s="12" customFormat="1" x14ac:dyDescent="0.25"/>
    <row r="261928" s="12" customFormat="1" x14ac:dyDescent="0.25"/>
    <row r="261929" s="12" customFormat="1" x14ac:dyDescent="0.25"/>
    <row r="261930" s="12" customFormat="1" x14ac:dyDescent="0.25"/>
    <row r="261931" s="12" customFormat="1" x14ac:dyDescent="0.25"/>
    <row r="261932" s="12" customFormat="1" x14ac:dyDescent="0.25"/>
    <row r="261933" s="12" customFormat="1" x14ac:dyDescent="0.25"/>
    <row r="261934" s="12" customFormat="1" x14ac:dyDescent="0.25"/>
    <row r="261935" s="12" customFormat="1" x14ac:dyDescent="0.25"/>
    <row r="261936" s="12" customFormat="1" x14ac:dyDescent="0.25"/>
    <row r="261937" s="12" customFormat="1" x14ac:dyDescent="0.25"/>
    <row r="261938" s="12" customFormat="1" x14ac:dyDescent="0.25"/>
    <row r="261939" s="12" customFormat="1" x14ac:dyDescent="0.25"/>
    <row r="261940" s="12" customFormat="1" x14ac:dyDescent="0.25"/>
    <row r="261941" s="12" customFormat="1" x14ac:dyDescent="0.25"/>
    <row r="261942" s="12" customFormat="1" x14ac:dyDescent="0.25"/>
    <row r="261943" s="12" customFormat="1" x14ac:dyDescent="0.25"/>
    <row r="261944" s="12" customFormat="1" x14ac:dyDescent="0.25"/>
    <row r="261945" s="12" customFormat="1" x14ac:dyDescent="0.25"/>
    <row r="261946" s="12" customFormat="1" x14ac:dyDescent="0.25"/>
    <row r="261947" s="12" customFormat="1" x14ac:dyDescent="0.25"/>
    <row r="261948" s="12" customFormat="1" x14ac:dyDescent="0.25"/>
    <row r="261949" s="12" customFormat="1" x14ac:dyDescent="0.25"/>
    <row r="261950" s="12" customFormat="1" x14ac:dyDescent="0.25"/>
    <row r="261951" s="12" customFormat="1" x14ac:dyDescent="0.25"/>
    <row r="261952" s="12" customFormat="1" x14ac:dyDescent="0.25"/>
    <row r="261953" s="12" customFormat="1" x14ac:dyDescent="0.25"/>
    <row r="261954" s="12" customFormat="1" x14ac:dyDescent="0.25"/>
    <row r="261955" s="12" customFormat="1" x14ac:dyDescent="0.25"/>
    <row r="261956" s="12" customFormat="1" x14ac:dyDescent="0.25"/>
    <row r="261957" s="12" customFormat="1" x14ac:dyDescent="0.25"/>
    <row r="261958" s="12" customFormat="1" x14ac:dyDescent="0.25"/>
    <row r="261959" s="12" customFormat="1" x14ac:dyDescent="0.25"/>
    <row r="261960" s="12" customFormat="1" x14ac:dyDescent="0.25"/>
    <row r="261961" s="12" customFormat="1" x14ac:dyDescent="0.25"/>
    <row r="261962" s="12" customFormat="1" x14ac:dyDescent="0.25"/>
    <row r="261963" s="12" customFormat="1" x14ac:dyDescent="0.25"/>
    <row r="261964" s="12" customFormat="1" x14ac:dyDescent="0.25"/>
    <row r="261965" s="12" customFormat="1" x14ac:dyDescent="0.25"/>
    <row r="261966" s="12" customFormat="1" x14ac:dyDescent="0.25"/>
    <row r="261967" s="12" customFormat="1" x14ac:dyDescent="0.25"/>
    <row r="261968" s="12" customFormat="1" x14ac:dyDescent="0.25"/>
    <row r="261969" s="12" customFormat="1" x14ac:dyDescent="0.25"/>
    <row r="261970" s="12" customFormat="1" x14ac:dyDescent="0.25"/>
    <row r="261971" s="12" customFormat="1" x14ac:dyDescent="0.25"/>
    <row r="261972" s="12" customFormat="1" x14ac:dyDescent="0.25"/>
    <row r="261973" s="12" customFormat="1" x14ac:dyDescent="0.25"/>
    <row r="261974" s="12" customFormat="1" x14ac:dyDescent="0.25"/>
    <row r="261975" s="12" customFormat="1" x14ac:dyDescent="0.25"/>
    <row r="261976" s="12" customFormat="1" x14ac:dyDescent="0.25"/>
    <row r="261977" s="12" customFormat="1" x14ac:dyDescent="0.25"/>
    <row r="261978" s="12" customFormat="1" x14ac:dyDescent="0.25"/>
    <row r="261979" s="12" customFormat="1" x14ac:dyDescent="0.25"/>
    <row r="261980" s="12" customFormat="1" x14ac:dyDescent="0.25"/>
    <row r="261981" s="12" customFormat="1" x14ac:dyDescent="0.25"/>
    <row r="261982" s="12" customFormat="1" x14ac:dyDescent="0.25"/>
    <row r="261983" s="12" customFormat="1" x14ac:dyDescent="0.25"/>
    <row r="261984" s="12" customFormat="1" x14ac:dyDescent="0.25"/>
    <row r="261985" s="12" customFormat="1" x14ac:dyDescent="0.25"/>
    <row r="261986" s="12" customFormat="1" x14ac:dyDescent="0.25"/>
    <row r="261987" s="12" customFormat="1" x14ac:dyDescent="0.25"/>
    <row r="261988" s="12" customFormat="1" x14ac:dyDescent="0.25"/>
    <row r="261989" s="12" customFormat="1" x14ac:dyDescent="0.25"/>
    <row r="261990" s="12" customFormat="1" x14ac:dyDescent="0.25"/>
    <row r="261991" s="12" customFormat="1" x14ac:dyDescent="0.25"/>
    <row r="261992" s="12" customFormat="1" x14ac:dyDescent="0.25"/>
    <row r="261993" s="12" customFormat="1" x14ac:dyDescent="0.25"/>
    <row r="261994" s="12" customFormat="1" x14ac:dyDescent="0.25"/>
    <row r="261995" s="12" customFormat="1" x14ac:dyDescent="0.25"/>
    <row r="261996" s="12" customFormat="1" x14ac:dyDescent="0.25"/>
    <row r="261997" s="12" customFormat="1" x14ac:dyDescent="0.25"/>
    <row r="261998" s="12" customFormat="1" x14ac:dyDescent="0.25"/>
    <row r="261999" s="12" customFormat="1" x14ac:dyDescent="0.25"/>
    <row r="262000" s="12" customFormat="1" x14ac:dyDescent="0.25"/>
    <row r="262001" s="12" customFormat="1" x14ac:dyDescent="0.25"/>
    <row r="262002" s="12" customFormat="1" x14ac:dyDescent="0.25"/>
    <row r="262003" s="12" customFormat="1" x14ac:dyDescent="0.25"/>
    <row r="262004" s="12" customFormat="1" x14ac:dyDescent="0.25"/>
    <row r="262005" s="12" customFormat="1" x14ac:dyDescent="0.25"/>
    <row r="262006" s="12" customFormat="1" x14ac:dyDescent="0.25"/>
    <row r="262007" s="12" customFormat="1" x14ac:dyDescent="0.25"/>
    <row r="262008" s="12" customFormat="1" x14ac:dyDescent="0.25"/>
    <row r="262009" s="12" customFormat="1" x14ac:dyDescent="0.25"/>
    <row r="262010" s="12" customFormat="1" x14ac:dyDescent="0.25"/>
    <row r="262011" s="12" customFormat="1" x14ac:dyDescent="0.25"/>
    <row r="262012" s="12" customFormat="1" x14ac:dyDescent="0.25"/>
    <row r="262013" s="12" customFormat="1" x14ac:dyDescent="0.25"/>
    <row r="262014" s="12" customFormat="1" x14ac:dyDescent="0.25"/>
    <row r="262015" s="12" customFormat="1" x14ac:dyDescent="0.25"/>
    <row r="262016" s="12" customFormat="1" x14ac:dyDescent="0.25"/>
    <row r="262017" s="12" customFormat="1" x14ac:dyDescent="0.25"/>
    <row r="262018" s="12" customFormat="1" x14ac:dyDescent="0.25"/>
    <row r="262019" s="12" customFormat="1" x14ac:dyDescent="0.25"/>
    <row r="262020" s="12" customFormat="1" x14ac:dyDescent="0.25"/>
    <row r="262021" s="12" customFormat="1" x14ac:dyDescent="0.25"/>
    <row r="262022" s="12" customFormat="1" x14ac:dyDescent="0.25"/>
    <row r="262023" s="12" customFormat="1" x14ac:dyDescent="0.25"/>
    <row r="262024" s="12" customFormat="1" x14ac:dyDescent="0.25"/>
    <row r="262025" s="12" customFormat="1" x14ac:dyDescent="0.25"/>
    <row r="262026" s="12" customFormat="1" x14ac:dyDescent="0.25"/>
    <row r="262027" s="12" customFormat="1" x14ac:dyDescent="0.25"/>
    <row r="262028" s="12" customFormat="1" x14ac:dyDescent="0.25"/>
    <row r="262029" s="12" customFormat="1" x14ac:dyDescent="0.25"/>
    <row r="262030" s="12" customFormat="1" x14ac:dyDescent="0.25"/>
    <row r="262031" s="12" customFormat="1" x14ac:dyDescent="0.25"/>
    <row r="262032" s="12" customFormat="1" x14ac:dyDescent="0.25"/>
    <row r="262033" s="12" customFormat="1" x14ac:dyDescent="0.25"/>
    <row r="262034" s="12" customFormat="1" x14ac:dyDescent="0.25"/>
    <row r="262035" s="12" customFormat="1" x14ac:dyDescent="0.25"/>
    <row r="262036" s="12" customFormat="1" x14ac:dyDescent="0.25"/>
    <row r="262037" s="12" customFormat="1" x14ac:dyDescent="0.25"/>
    <row r="262038" s="12" customFormat="1" x14ac:dyDescent="0.25"/>
    <row r="262039" s="12" customFormat="1" x14ac:dyDescent="0.25"/>
    <row r="262040" s="12" customFormat="1" x14ac:dyDescent="0.25"/>
    <row r="262041" s="12" customFormat="1" x14ac:dyDescent="0.25"/>
    <row r="262042" s="12" customFormat="1" x14ac:dyDescent="0.25"/>
    <row r="262043" s="12" customFormat="1" x14ac:dyDescent="0.25"/>
    <row r="262044" s="12" customFormat="1" x14ac:dyDescent="0.25"/>
    <row r="262045" s="12" customFormat="1" x14ac:dyDescent="0.25"/>
    <row r="262046" s="12" customFormat="1" x14ac:dyDescent="0.25"/>
    <row r="262047" s="12" customFormat="1" x14ac:dyDescent="0.25"/>
    <row r="262048" s="12" customFormat="1" x14ac:dyDescent="0.25"/>
    <row r="262049" s="12" customFormat="1" x14ac:dyDescent="0.25"/>
    <row r="262050" s="12" customFormat="1" x14ac:dyDescent="0.25"/>
    <row r="262051" s="12" customFormat="1" x14ac:dyDescent="0.25"/>
    <row r="262052" s="12" customFormat="1" x14ac:dyDescent="0.25"/>
    <row r="262053" s="12" customFormat="1" x14ac:dyDescent="0.25"/>
    <row r="262054" s="12" customFormat="1" x14ac:dyDescent="0.25"/>
    <row r="262055" s="12" customFormat="1" x14ac:dyDescent="0.25"/>
    <row r="262056" s="12" customFormat="1" x14ac:dyDescent="0.25"/>
    <row r="262057" s="12" customFormat="1" x14ac:dyDescent="0.25"/>
    <row r="262058" s="12" customFormat="1" x14ac:dyDescent="0.25"/>
    <row r="262059" s="12" customFormat="1" x14ac:dyDescent="0.25"/>
    <row r="262060" s="12" customFormat="1" x14ac:dyDescent="0.25"/>
    <row r="262061" s="12" customFormat="1" x14ac:dyDescent="0.25"/>
    <row r="262062" s="12" customFormat="1" x14ac:dyDescent="0.25"/>
    <row r="262063" s="12" customFormat="1" x14ac:dyDescent="0.25"/>
    <row r="262064" s="12" customFormat="1" x14ac:dyDescent="0.25"/>
    <row r="262065" s="12" customFormat="1" x14ac:dyDescent="0.25"/>
    <row r="262066" s="12" customFormat="1" x14ac:dyDescent="0.25"/>
    <row r="262067" s="12" customFormat="1" x14ac:dyDescent="0.25"/>
    <row r="262068" s="12" customFormat="1" x14ac:dyDescent="0.25"/>
    <row r="262069" s="12" customFormat="1" x14ac:dyDescent="0.25"/>
    <row r="262070" s="12" customFormat="1" x14ac:dyDescent="0.25"/>
    <row r="262071" s="12" customFormat="1" x14ac:dyDescent="0.25"/>
    <row r="262072" s="12" customFormat="1" x14ac:dyDescent="0.25"/>
    <row r="262073" s="12" customFormat="1" x14ac:dyDescent="0.25"/>
    <row r="262074" s="12" customFormat="1" x14ac:dyDescent="0.25"/>
    <row r="262075" s="12" customFormat="1" x14ac:dyDescent="0.25"/>
    <row r="262076" s="12" customFormat="1" x14ac:dyDescent="0.25"/>
    <row r="262077" s="12" customFormat="1" x14ac:dyDescent="0.25"/>
    <row r="262078" s="12" customFormat="1" x14ac:dyDescent="0.25"/>
    <row r="262079" s="12" customFormat="1" x14ac:dyDescent="0.25"/>
    <row r="262080" s="12" customFormat="1" x14ac:dyDescent="0.25"/>
    <row r="262081" s="12" customFormat="1" x14ac:dyDescent="0.25"/>
    <row r="262082" s="12" customFormat="1" x14ac:dyDescent="0.25"/>
    <row r="262083" s="12" customFormat="1" x14ac:dyDescent="0.25"/>
    <row r="262084" s="12" customFormat="1" x14ac:dyDescent="0.25"/>
    <row r="262085" s="12" customFormat="1" x14ac:dyDescent="0.25"/>
    <row r="262086" s="12" customFormat="1" x14ac:dyDescent="0.25"/>
    <row r="262087" s="12" customFormat="1" x14ac:dyDescent="0.25"/>
    <row r="262088" s="12" customFormat="1" x14ac:dyDescent="0.25"/>
    <row r="262089" s="12" customFormat="1" x14ac:dyDescent="0.25"/>
    <row r="262090" s="12" customFormat="1" x14ac:dyDescent="0.25"/>
    <row r="262091" s="12" customFormat="1" x14ac:dyDescent="0.25"/>
    <row r="262092" s="12" customFormat="1" x14ac:dyDescent="0.25"/>
    <row r="262093" s="12" customFormat="1" x14ac:dyDescent="0.25"/>
    <row r="262094" s="12" customFormat="1" x14ac:dyDescent="0.25"/>
    <row r="262095" s="12" customFormat="1" x14ac:dyDescent="0.25"/>
    <row r="262096" s="12" customFormat="1" x14ac:dyDescent="0.25"/>
    <row r="262097" s="12" customFormat="1" x14ac:dyDescent="0.25"/>
    <row r="262098" s="12" customFormat="1" x14ac:dyDescent="0.25"/>
    <row r="262099" s="12" customFormat="1" x14ac:dyDescent="0.25"/>
    <row r="262100" s="12" customFormat="1" x14ac:dyDescent="0.25"/>
    <row r="262101" s="12" customFormat="1" x14ac:dyDescent="0.25"/>
    <row r="262102" s="12" customFormat="1" x14ac:dyDescent="0.25"/>
    <row r="262103" s="12" customFormat="1" x14ac:dyDescent="0.25"/>
    <row r="262104" s="12" customFormat="1" x14ac:dyDescent="0.25"/>
    <row r="262105" s="12" customFormat="1" x14ac:dyDescent="0.25"/>
    <row r="262106" s="12" customFormat="1" x14ac:dyDescent="0.25"/>
    <row r="262107" s="12" customFormat="1" x14ac:dyDescent="0.25"/>
    <row r="262108" s="12" customFormat="1" x14ac:dyDescent="0.25"/>
    <row r="262109" s="12" customFormat="1" x14ac:dyDescent="0.25"/>
    <row r="262110" s="12" customFormat="1" x14ac:dyDescent="0.25"/>
    <row r="262111" s="12" customFormat="1" x14ac:dyDescent="0.25"/>
    <row r="262112" s="12" customFormat="1" x14ac:dyDescent="0.25"/>
    <row r="262113" s="12" customFormat="1" x14ac:dyDescent="0.25"/>
    <row r="262114" s="12" customFormat="1" x14ac:dyDescent="0.25"/>
    <row r="262115" s="12" customFormat="1" x14ac:dyDescent="0.25"/>
    <row r="262116" s="12" customFormat="1" x14ac:dyDescent="0.25"/>
    <row r="262117" s="12" customFormat="1" x14ac:dyDescent="0.25"/>
    <row r="262118" s="12" customFormat="1" x14ac:dyDescent="0.25"/>
    <row r="262119" s="12" customFormat="1" x14ac:dyDescent="0.25"/>
    <row r="262120" s="12" customFormat="1" x14ac:dyDescent="0.25"/>
    <row r="262121" s="12" customFormat="1" x14ac:dyDescent="0.25"/>
    <row r="262122" s="12" customFormat="1" x14ac:dyDescent="0.25"/>
    <row r="262123" s="12" customFormat="1" x14ac:dyDescent="0.25"/>
    <row r="262124" s="12" customFormat="1" x14ac:dyDescent="0.25"/>
    <row r="262125" s="12" customFormat="1" x14ac:dyDescent="0.25"/>
    <row r="262126" s="12" customFormat="1" x14ac:dyDescent="0.25"/>
    <row r="262127" s="12" customFormat="1" x14ac:dyDescent="0.25"/>
    <row r="262128" s="12" customFormat="1" x14ac:dyDescent="0.25"/>
    <row r="262129" s="12" customFormat="1" x14ac:dyDescent="0.25"/>
    <row r="262130" s="12" customFormat="1" x14ac:dyDescent="0.25"/>
    <row r="262131" s="12" customFormat="1" x14ac:dyDescent="0.25"/>
    <row r="262132" s="12" customFormat="1" x14ac:dyDescent="0.25"/>
    <row r="262133" s="12" customFormat="1" x14ac:dyDescent="0.25"/>
    <row r="262134" s="12" customFormat="1" x14ac:dyDescent="0.25"/>
    <row r="262135" s="12" customFormat="1" x14ac:dyDescent="0.25"/>
    <row r="262136" s="12" customFormat="1" x14ac:dyDescent="0.25"/>
    <row r="262137" s="12" customFormat="1" x14ac:dyDescent="0.25"/>
    <row r="262138" s="12" customFormat="1" x14ac:dyDescent="0.25"/>
    <row r="262139" s="12" customFormat="1" x14ac:dyDescent="0.25"/>
    <row r="262140" s="12" customFormat="1" x14ac:dyDescent="0.25"/>
    <row r="262141" s="12" customFormat="1" x14ac:dyDescent="0.25"/>
    <row r="262142" s="12" customFormat="1" x14ac:dyDescent="0.25"/>
    <row r="262143" s="12" customFormat="1" x14ac:dyDescent="0.25"/>
    <row r="262144" s="12" customFormat="1" x14ac:dyDescent="0.25"/>
    <row r="262145" s="12" customFormat="1" x14ac:dyDescent="0.25"/>
    <row r="262146" s="12" customFormat="1" x14ac:dyDescent="0.25"/>
    <row r="262147" s="12" customFormat="1" x14ac:dyDescent="0.25"/>
    <row r="262148" s="12" customFormat="1" x14ac:dyDescent="0.25"/>
    <row r="262149" s="12" customFormat="1" x14ac:dyDescent="0.25"/>
    <row r="262150" s="12" customFormat="1" x14ac:dyDescent="0.25"/>
    <row r="262151" s="12" customFormat="1" x14ac:dyDescent="0.25"/>
    <row r="262152" s="12" customFormat="1" x14ac:dyDescent="0.25"/>
    <row r="262153" s="12" customFormat="1" x14ac:dyDescent="0.25"/>
    <row r="262154" s="12" customFormat="1" x14ac:dyDescent="0.25"/>
    <row r="262155" s="12" customFormat="1" x14ac:dyDescent="0.25"/>
    <row r="262156" s="12" customFormat="1" x14ac:dyDescent="0.25"/>
    <row r="262157" s="12" customFormat="1" x14ac:dyDescent="0.25"/>
    <row r="262158" s="12" customFormat="1" x14ac:dyDescent="0.25"/>
    <row r="262159" s="12" customFormat="1" x14ac:dyDescent="0.25"/>
    <row r="262160" s="12" customFormat="1" x14ac:dyDescent="0.25"/>
    <row r="262161" s="12" customFormat="1" x14ac:dyDescent="0.25"/>
    <row r="262162" s="12" customFormat="1" x14ac:dyDescent="0.25"/>
    <row r="262163" s="12" customFormat="1" x14ac:dyDescent="0.25"/>
    <row r="262164" s="12" customFormat="1" x14ac:dyDescent="0.25"/>
    <row r="262165" s="12" customFormat="1" x14ac:dyDescent="0.25"/>
    <row r="262166" s="12" customFormat="1" x14ac:dyDescent="0.25"/>
    <row r="262167" s="12" customFormat="1" x14ac:dyDescent="0.25"/>
    <row r="262168" s="12" customFormat="1" x14ac:dyDescent="0.25"/>
    <row r="262169" s="12" customFormat="1" x14ac:dyDescent="0.25"/>
    <row r="262170" s="12" customFormat="1" x14ac:dyDescent="0.25"/>
    <row r="262171" s="12" customFormat="1" x14ac:dyDescent="0.25"/>
    <row r="262172" s="12" customFormat="1" x14ac:dyDescent="0.25"/>
    <row r="262173" s="12" customFormat="1" x14ac:dyDescent="0.25"/>
    <row r="262174" s="12" customFormat="1" x14ac:dyDescent="0.25"/>
    <row r="262175" s="12" customFormat="1" x14ac:dyDescent="0.25"/>
    <row r="262176" s="12" customFormat="1" x14ac:dyDescent="0.25"/>
    <row r="262177" s="12" customFormat="1" x14ac:dyDescent="0.25"/>
    <row r="262178" s="12" customFormat="1" x14ac:dyDescent="0.25"/>
    <row r="262179" s="12" customFormat="1" x14ac:dyDescent="0.25"/>
    <row r="262180" s="12" customFormat="1" x14ac:dyDescent="0.25"/>
    <row r="262181" s="12" customFormat="1" x14ac:dyDescent="0.25"/>
    <row r="262182" s="12" customFormat="1" x14ac:dyDescent="0.25"/>
    <row r="262183" s="12" customFormat="1" x14ac:dyDescent="0.25"/>
    <row r="262184" s="12" customFormat="1" x14ac:dyDescent="0.25"/>
    <row r="262185" s="12" customFormat="1" x14ac:dyDescent="0.25"/>
    <row r="262186" s="12" customFormat="1" x14ac:dyDescent="0.25"/>
    <row r="262187" s="12" customFormat="1" x14ac:dyDescent="0.25"/>
    <row r="262188" s="12" customFormat="1" x14ac:dyDescent="0.25"/>
    <row r="262189" s="12" customFormat="1" x14ac:dyDescent="0.25"/>
    <row r="262190" s="12" customFormat="1" x14ac:dyDescent="0.25"/>
    <row r="262191" s="12" customFormat="1" x14ac:dyDescent="0.25"/>
    <row r="262192" s="12" customFormat="1" x14ac:dyDescent="0.25"/>
    <row r="262193" s="12" customFormat="1" x14ac:dyDescent="0.25"/>
    <row r="262194" s="12" customFormat="1" x14ac:dyDescent="0.25"/>
    <row r="262195" s="12" customFormat="1" x14ac:dyDescent="0.25"/>
    <row r="262196" s="12" customFormat="1" x14ac:dyDescent="0.25"/>
    <row r="262197" s="12" customFormat="1" x14ac:dyDescent="0.25"/>
    <row r="262198" s="12" customFormat="1" x14ac:dyDescent="0.25"/>
    <row r="262199" s="12" customFormat="1" x14ac:dyDescent="0.25"/>
    <row r="262200" s="12" customFormat="1" x14ac:dyDescent="0.25"/>
    <row r="262201" s="12" customFormat="1" x14ac:dyDescent="0.25"/>
    <row r="262202" s="12" customFormat="1" x14ac:dyDescent="0.25"/>
    <row r="262203" s="12" customFormat="1" x14ac:dyDescent="0.25"/>
    <row r="262204" s="12" customFormat="1" x14ac:dyDescent="0.25"/>
    <row r="262205" s="12" customFormat="1" x14ac:dyDescent="0.25"/>
    <row r="262206" s="12" customFormat="1" x14ac:dyDescent="0.25"/>
    <row r="262207" s="12" customFormat="1" x14ac:dyDescent="0.25"/>
    <row r="262208" s="12" customFormat="1" x14ac:dyDescent="0.25"/>
    <row r="262209" s="12" customFormat="1" x14ac:dyDescent="0.25"/>
    <row r="262210" s="12" customFormat="1" x14ac:dyDescent="0.25"/>
    <row r="262211" s="12" customFormat="1" x14ac:dyDescent="0.25"/>
    <row r="262212" s="12" customFormat="1" x14ac:dyDescent="0.25"/>
    <row r="262213" s="12" customFormat="1" x14ac:dyDescent="0.25"/>
    <row r="262214" s="12" customFormat="1" x14ac:dyDescent="0.25"/>
    <row r="262215" s="12" customFormat="1" x14ac:dyDescent="0.25"/>
    <row r="262216" s="12" customFormat="1" x14ac:dyDescent="0.25"/>
    <row r="262217" s="12" customFormat="1" x14ac:dyDescent="0.25"/>
    <row r="262218" s="12" customFormat="1" x14ac:dyDescent="0.25"/>
    <row r="262219" s="12" customFormat="1" x14ac:dyDescent="0.25"/>
    <row r="262220" s="12" customFormat="1" x14ac:dyDescent="0.25"/>
    <row r="262221" s="12" customFormat="1" x14ac:dyDescent="0.25"/>
    <row r="262222" s="12" customFormat="1" x14ac:dyDescent="0.25"/>
    <row r="262223" s="12" customFormat="1" x14ac:dyDescent="0.25"/>
    <row r="262224" s="12" customFormat="1" x14ac:dyDescent="0.25"/>
    <row r="262225" s="12" customFormat="1" x14ac:dyDescent="0.25"/>
    <row r="262226" s="12" customFormat="1" x14ac:dyDescent="0.25"/>
    <row r="262227" s="12" customFormat="1" x14ac:dyDescent="0.25"/>
    <row r="262228" s="12" customFormat="1" x14ac:dyDescent="0.25"/>
    <row r="262229" s="12" customFormat="1" x14ac:dyDescent="0.25"/>
    <row r="262230" s="12" customFormat="1" x14ac:dyDescent="0.25"/>
    <row r="262231" s="12" customFormat="1" x14ac:dyDescent="0.25"/>
    <row r="262232" s="12" customFormat="1" x14ac:dyDescent="0.25"/>
    <row r="262233" s="12" customFormat="1" x14ac:dyDescent="0.25"/>
    <row r="262234" s="12" customFormat="1" x14ac:dyDescent="0.25"/>
    <row r="262235" s="12" customFormat="1" x14ac:dyDescent="0.25"/>
    <row r="262236" s="12" customFormat="1" x14ac:dyDescent="0.25"/>
    <row r="262237" s="12" customFormat="1" x14ac:dyDescent="0.25"/>
    <row r="262238" s="12" customFormat="1" x14ac:dyDescent="0.25"/>
    <row r="262239" s="12" customFormat="1" x14ac:dyDescent="0.25"/>
    <row r="262240" s="12" customFormat="1" x14ac:dyDescent="0.25"/>
    <row r="262241" s="12" customFormat="1" x14ac:dyDescent="0.25"/>
    <row r="262242" s="12" customFormat="1" x14ac:dyDescent="0.25"/>
    <row r="262243" s="12" customFormat="1" x14ac:dyDescent="0.25"/>
    <row r="262244" s="12" customFormat="1" x14ac:dyDescent="0.25"/>
    <row r="262245" s="12" customFormat="1" x14ac:dyDescent="0.25"/>
    <row r="262246" s="12" customFormat="1" x14ac:dyDescent="0.25"/>
    <row r="262247" s="12" customFormat="1" x14ac:dyDescent="0.25"/>
    <row r="262248" s="12" customFormat="1" x14ac:dyDescent="0.25"/>
    <row r="262249" s="12" customFormat="1" x14ac:dyDescent="0.25"/>
    <row r="262250" s="12" customFormat="1" x14ac:dyDescent="0.25"/>
    <row r="262251" s="12" customFormat="1" x14ac:dyDescent="0.25"/>
    <row r="262252" s="12" customFormat="1" x14ac:dyDescent="0.25"/>
    <row r="262253" s="12" customFormat="1" x14ac:dyDescent="0.25"/>
    <row r="262254" s="12" customFormat="1" x14ac:dyDescent="0.25"/>
    <row r="262255" s="12" customFormat="1" x14ac:dyDescent="0.25"/>
    <row r="262256" s="12" customFormat="1" x14ac:dyDescent="0.25"/>
    <row r="262257" s="12" customFormat="1" x14ac:dyDescent="0.25"/>
    <row r="262258" s="12" customFormat="1" x14ac:dyDescent="0.25"/>
    <row r="262259" s="12" customFormat="1" x14ac:dyDescent="0.25"/>
    <row r="262260" s="12" customFormat="1" x14ac:dyDescent="0.25"/>
    <row r="262261" s="12" customFormat="1" x14ac:dyDescent="0.25"/>
    <row r="262262" s="12" customFormat="1" x14ac:dyDescent="0.25"/>
    <row r="262263" s="12" customFormat="1" x14ac:dyDescent="0.25"/>
    <row r="262264" s="12" customFormat="1" x14ac:dyDescent="0.25"/>
    <row r="262265" s="12" customFormat="1" x14ac:dyDescent="0.25"/>
    <row r="262266" s="12" customFormat="1" x14ac:dyDescent="0.25"/>
    <row r="262267" s="12" customFormat="1" x14ac:dyDescent="0.25"/>
    <row r="262268" s="12" customFormat="1" x14ac:dyDescent="0.25"/>
    <row r="262269" s="12" customFormat="1" x14ac:dyDescent="0.25"/>
    <row r="262270" s="12" customFormat="1" x14ac:dyDescent="0.25"/>
    <row r="262271" s="12" customFormat="1" x14ac:dyDescent="0.25"/>
    <row r="262272" s="12" customFormat="1" x14ac:dyDescent="0.25"/>
    <row r="262273" s="12" customFormat="1" x14ac:dyDescent="0.25"/>
    <row r="262274" s="12" customFormat="1" x14ac:dyDescent="0.25"/>
    <row r="262275" s="12" customFormat="1" x14ac:dyDescent="0.25"/>
    <row r="262276" s="12" customFormat="1" x14ac:dyDescent="0.25"/>
    <row r="262277" s="12" customFormat="1" x14ac:dyDescent="0.25"/>
    <row r="262278" s="12" customFormat="1" x14ac:dyDescent="0.25"/>
    <row r="262279" s="12" customFormat="1" x14ac:dyDescent="0.25"/>
    <row r="262280" s="12" customFormat="1" x14ac:dyDescent="0.25"/>
    <row r="262281" s="12" customFormat="1" x14ac:dyDescent="0.25"/>
    <row r="262282" s="12" customFormat="1" x14ac:dyDescent="0.25"/>
    <row r="262283" s="12" customFormat="1" x14ac:dyDescent="0.25"/>
    <row r="262284" s="12" customFormat="1" x14ac:dyDescent="0.25"/>
    <row r="262285" s="12" customFormat="1" x14ac:dyDescent="0.25"/>
    <row r="262286" s="12" customFormat="1" x14ac:dyDescent="0.25"/>
    <row r="262287" s="12" customFormat="1" x14ac:dyDescent="0.25"/>
    <row r="262288" s="12" customFormat="1" x14ac:dyDescent="0.25"/>
    <row r="262289" s="12" customFormat="1" x14ac:dyDescent="0.25"/>
    <row r="262290" s="12" customFormat="1" x14ac:dyDescent="0.25"/>
    <row r="262291" s="12" customFormat="1" x14ac:dyDescent="0.25"/>
    <row r="262292" s="12" customFormat="1" x14ac:dyDescent="0.25"/>
    <row r="262293" s="12" customFormat="1" x14ac:dyDescent="0.25"/>
    <row r="262294" s="12" customFormat="1" x14ac:dyDescent="0.25"/>
    <row r="262295" s="12" customFormat="1" x14ac:dyDescent="0.25"/>
    <row r="262296" s="12" customFormat="1" x14ac:dyDescent="0.25"/>
    <row r="262297" s="12" customFormat="1" x14ac:dyDescent="0.25"/>
    <row r="262298" s="12" customFormat="1" x14ac:dyDescent="0.25"/>
    <row r="262299" s="12" customFormat="1" x14ac:dyDescent="0.25"/>
    <row r="262300" s="12" customFormat="1" x14ac:dyDescent="0.25"/>
    <row r="262301" s="12" customFormat="1" x14ac:dyDescent="0.25"/>
    <row r="262302" s="12" customFormat="1" x14ac:dyDescent="0.25"/>
    <row r="262303" s="12" customFormat="1" x14ac:dyDescent="0.25"/>
    <row r="262304" s="12" customFormat="1" x14ac:dyDescent="0.25"/>
    <row r="262305" s="12" customFormat="1" x14ac:dyDescent="0.25"/>
    <row r="262306" s="12" customFormat="1" x14ac:dyDescent="0.25"/>
    <row r="262307" s="12" customFormat="1" x14ac:dyDescent="0.25"/>
    <row r="262308" s="12" customFormat="1" x14ac:dyDescent="0.25"/>
    <row r="262309" s="12" customFormat="1" x14ac:dyDescent="0.25"/>
    <row r="262310" s="12" customFormat="1" x14ac:dyDescent="0.25"/>
    <row r="262311" s="12" customFormat="1" x14ac:dyDescent="0.25"/>
    <row r="262312" s="12" customFormat="1" x14ac:dyDescent="0.25"/>
    <row r="262313" s="12" customFormat="1" x14ac:dyDescent="0.25"/>
    <row r="262314" s="12" customFormat="1" x14ac:dyDescent="0.25"/>
    <row r="262315" s="12" customFormat="1" x14ac:dyDescent="0.25"/>
    <row r="262316" s="12" customFormat="1" x14ac:dyDescent="0.25"/>
    <row r="262317" s="12" customFormat="1" x14ac:dyDescent="0.25"/>
    <row r="262318" s="12" customFormat="1" x14ac:dyDescent="0.25"/>
    <row r="262319" s="12" customFormat="1" x14ac:dyDescent="0.25"/>
    <row r="262320" s="12" customFormat="1" x14ac:dyDescent="0.25"/>
    <row r="262321" s="12" customFormat="1" x14ac:dyDescent="0.25"/>
    <row r="262322" s="12" customFormat="1" x14ac:dyDescent="0.25"/>
    <row r="262323" s="12" customFormat="1" x14ac:dyDescent="0.25"/>
    <row r="262324" s="12" customFormat="1" x14ac:dyDescent="0.25"/>
    <row r="262325" s="12" customFormat="1" x14ac:dyDescent="0.25"/>
    <row r="262326" s="12" customFormat="1" x14ac:dyDescent="0.25"/>
    <row r="262327" s="12" customFormat="1" x14ac:dyDescent="0.25"/>
    <row r="262328" s="12" customFormat="1" x14ac:dyDescent="0.25"/>
    <row r="262329" s="12" customFormat="1" x14ac:dyDescent="0.25"/>
    <row r="262330" s="12" customFormat="1" x14ac:dyDescent="0.25"/>
    <row r="262331" s="12" customFormat="1" x14ac:dyDescent="0.25"/>
    <row r="262332" s="12" customFormat="1" x14ac:dyDescent="0.25"/>
    <row r="262333" s="12" customFormat="1" x14ac:dyDescent="0.25"/>
    <row r="262334" s="12" customFormat="1" x14ac:dyDescent="0.25"/>
    <row r="262335" s="12" customFormat="1" x14ac:dyDescent="0.25"/>
    <row r="262336" s="12" customFormat="1" x14ac:dyDescent="0.25"/>
    <row r="262337" s="12" customFormat="1" x14ac:dyDescent="0.25"/>
    <row r="262338" s="12" customFormat="1" x14ac:dyDescent="0.25"/>
    <row r="262339" s="12" customFormat="1" x14ac:dyDescent="0.25"/>
    <row r="262340" s="12" customFormat="1" x14ac:dyDescent="0.25"/>
    <row r="262341" s="12" customFormat="1" x14ac:dyDescent="0.25"/>
    <row r="262342" s="12" customFormat="1" x14ac:dyDescent="0.25"/>
    <row r="262343" s="12" customFormat="1" x14ac:dyDescent="0.25"/>
    <row r="262344" s="12" customFormat="1" x14ac:dyDescent="0.25"/>
    <row r="262345" s="12" customFormat="1" x14ac:dyDescent="0.25"/>
    <row r="262346" s="12" customFormat="1" x14ac:dyDescent="0.25"/>
    <row r="262347" s="12" customFormat="1" x14ac:dyDescent="0.25"/>
    <row r="262348" s="12" customFormat="1" x14ac:dyDescent="0.25"/>
    <row r="262349" s="12" customFormat="1" x14ac:dyDescent="0.25"/>
    <row r="262350" s="12" customFormat="1" x14ac:dyDescent="0.25"/>
    <row r="262351" s="12" customFormat="1" x14ac:dyDescent="0.25"/>
    <row r="262352" s="12" customFormat="1" x14ac:dyDescent="0.25"/>
    <row r="262353" s="12" customFormat="1" x14ac:dyDescent="0.25"/>
    <row r="262354" s="12" customFormat="1" x14ac:dyDescent="0.25"/>
    <row r="262355" s="12" customFormat="1" x14ac:dyDescent="0.25"/>
    <row r="262356" s="12" customFormat="1" x14ac:dyDescent="0.25"/>
    <row r="262357" s="12" customFormat="1" x14ac:dyDescent="0.25"/>
    <row r="262358" s="12" customFormat="1" x14ac:dyDescent="0.25"/>
    <row r="262359" s="12" customFormat="1" x14ac:dyDescent="0.25"/>
    <row r="262360" s="12" customFormat="1" x14ac:dyDescent="0.25"/>
    <row r="262361" s="12" customFormat="1" x14ac:dyDescent="0.25"/>
    <row r="262362" s="12" customFormat="1" x14ac:dyDescent="0.25"/>
    <row r="262363" s="12" customFormat="1" x14ac:dyDescent="0.25"/>
    <row r="262364" s="12" customFormat="1" x14ac:dyDescent="0.25"/>
    <row r="262365" s="12" customFormat="1" x14ac:dyDescent="0.25"/>
    <row r="262366" s="12" customFormat="1" x14ac:dyDescent="0.25"/>
    <row r="262367" s="12" customFormat="1" x14ac:dyDescent="0.25"/>
    <row r="262368" s="12" customFormat="1" x14ac:dyDescent="0.25"/>
    <row r="262369" s="12" customFormat="1" x14ac:dyDescent="0.25"/>
    <row r="262370" s="12" customFormat="1" x14ac:dyDescent="0.25"/>
    <row r="262371" s="12" customFormat="1" x14ac:dyDescent="0.25"/>
    <row r="262372" s="12" customFormat="1" x14ac:dyDescent="0.25"/>
    <row r="262373" s="12" customFormat="1" x14ac:dyDescent="0.25"/>
    <row r="262374" s="12" customFormat="1" x14ac:dyDescent="0.25"/>
    <row r="262375" s="12" customFormat="1" x14ac:dyDescent="0.25"/>
    <row r="262376" s="12" customFormat="1" x14ac:dyDescent="0.25"/>
    <row r="262377" s="12" customFormat="1" x14ac:dyDescent="0.25"/>
    <row r="262378" s="12" customFormat="1" x14ac:dyDescent="0.25"/>
    <row r="262379" s="12" customFormat="1" x14ac:dyDescent="0.25"/>
    <row r="262380" s="12" customFormat="1" x14ac:dyDescent="0.25"/>
    <row r="262381" s="12" customFormat="1" x14ac:dyDescent="0.25"/>
    <row r="262382" s="12" customFormat="1" x14ac:dyDescent="0.25"/>
    <row r="262383" s="12" customFormat="1" x14ac:dyDescent="0.25"/>
    <row r="262384" s="12" customFormat="1" x14ac:dyDescent="0.25"/>
    <row r="262385" s="12" customFormat="1" x14ac:dyDescent="0.25"/>
    <row r="262386" s="12" customFormat="1" x14ac:dyDescent="0.25"/>
    <row r="262387" s="12" customFormat="1" x14ac:dyDescent="0.25"/>
    <row r="262388" s="12" customFormat="1" x14ac:dyDescent="0.25"/>
    <row r="262389" s="12" customFormat="1" x14ac:dyDescent="0.25"/>
    <row r="262390" s="12" customFormat="1" x14ac:dyDescent="0.25"/>
    <row r="262391" s="12" customFormat="1" x14ac:dyDescent="0.25"/>
    <row r="262392" s="12" customFormat="1" x14ac:dyDescent="0.25"/>
    <row r="262393" s="12" customFormat="1" x14ac:dyDescent="0.25"/>
    <row r="262394" s="12" customFormat="1" x14ac:dyDescent="0.25"/>
    <row r="262395" s="12" customFormat="1" x14ac:dyDescent="0.25"/>
    <row r="262396" s="12" customFormat="1" x14ac:dyDescent="0.25"/>
    <row r="262397" s="12" customFormat="1" x14ac:dyDescent="0.25"/>
    <row r="262398" s="12" customFormat="1" x14ac:dyDescent="0.25"/>
    <row r="262399" s="12" customFormat="1" x14ac:dyDescent="0.25"/>
    <row r="262400" s="12" customFormat="1" x14ac:dyDescent="0.25"/>
    <row r="262401" s="12" customFormat="1" x14ac:dyDescent="0.25"/>
    <row r="262402" s="12" customFormat="1" x14ac:dyDescent="0.25"/>
    <row r="262403" s="12" customFormat="1" x14ac:dyDescent="0.25"/>
    <row r="262404" s="12" customFormat="1" x14ac:dyDescent="0.25"/>
    <row r="262405" s="12" customFormat="1" x14ac:dyDescent="0.25"/>
    <row r="262406" s="12" customFormat="1" x14ac:dyDescent="0.25"/>
    <row r="262407" s="12" customFormat="1" x14ac:dyDescent="0.25"/>
    <row r="262408" s="12" customFormat="1" x14ac:dyDescent="0.25"/>
    <row r="262409" s="12" customFormat="1" x14ac:dyDescent="0.25"/>
    <row r="262410" s="12" customFormat="1" x14ac:dyDescent="0.25"/>
    <row r="262411" s="12" customFormat="1" x14ac:dyDescent="0.25"/>
    <row r="262412" s="12" customFormat="1" x14ac:dyDescent="0.25"/>
    <row r="262413" s="12" customFormat="1" x14ac:dyDescent="0.25"/>
    <row r="262414" s="12" customFormat="1" x14ac:dyDescent="0.25"/>
    <row r="262415" s="12" customFormat="1" x14ac:dyDescent="0.25"/>
    <row r="262416" s="12" customFormat="1" x14ac:dyDescent="0.25"/>
    <row r="262417" s="12" customFormat="1" x14ac:dyDescent="0.25"/>
    <row r="262418" s="12" customFormat="1" x14ac:dyDescent="0.25"/>
    <row r="262419" s="12" customFormat="1" x14ac:dyDescent="0.25"/>
    <row r="262420" s="12" customFormat="1" x14ac:dyDescent="0.25"/>
    <row r="262421" s="12" customFormat="1" x14ac:dyDescent="0.25"/>
    <row r="262422" s="12" customFormat="1" x14ac:dyDescent="0.25"/>
    <row r="262423" s="12" customFormat="1" x14ac:dyDescent="0.25"/>
    <row r="262424" s="12" customFormat="1" x14ac:dyDescent="0.25"/>
    <row r="262425" s="12" customFormat="1" x14ac:dyDescent="0.25"/>
    <row r="262426" s="12" customFormat="1" x14ac:dyDescent="0.25"/>
    <row r="262427" s="12" customFormat="1" x14ac:dyDescent="0.25"/>
    <row r="262428" s="12" customFormat="1" x14ac:dyDescent="0.25"/>
    <row r="262429" s="12" customFormat="1" x14ac:dyDescent="0.25"/>
    <row r="262430" s="12" customFormat="1" x14ac:dyDescent="0.25"/>
    <row r="262431" s="12" customFormat="1" x14ac:dyDescent="0.25"/>
    <row r="262432" s="12" customFormat="1" x14ac:dyDescent="0.25"/>
    <row r="262433" s="12" customFormat="1" x14ac:dyDescent="0.25"/>
    <row r="262434" s="12" customFormat="1" x14ac:dyDescent="0.25"/>
    <row r="262435" s="12" customFormat="1" x14ac:dyDescent="0.25"/>
    <row r="262436" s="12" customFormat="1" x14ac:dyDescent="0.25"/>
    <row r="262437" s="12" customFormat="1" x14ac:dyDescent="0.25"/>
    <row r="262438" s="12" customFormat="1" x14ac:dyDescent="0.25"/>
    <row r="262439" s="12" customFormat="1" x14ac:dyDescent="0.25"/>
    <row r="262440" s="12" customFormat="1" x14ac:dyDescent="0.25"/>
    <row r="262441" s="12" customFormat="1" x14ac:dyDescent="0.25"/>
    <row r="262442" s="12" customFormat="1" x14ac:dyDescent="0.25"/>
    <row r="262443" s="12" customFormat="1" x14ac:dyDescent="0.25"/>
    <row r="262444" s="12" customFormat="1" x14ac:dyDescent="0.25"/>
    <row r="262445" s="12" customFormat="1" x14ac:dyDescent="0.25"/>
    <row r="262446" s="12" customFormat="1" x14ac:dyDescent="0.25"/>
    <row r="262447" s="12" customFormat="1" x14ac:dyDescent="0.25"/>
    <row r="262448" s="12" customFormat="1" x14ac:dyDescent="0.25"/>
    <row r="262449" s="12" customFormat="1" x14ac:dyDescent="0.25"/>
    <row r="262450" s="12" customFormat="1" x14ac:dyDescent="0.25"/>
    <row r="262451" s="12" customFormat="1" x14ac:dyDescent="0.25"/>
    <row r="262452" s="12" customFormat="1" x14ac:dyDescent="0.25"/>
    <row r="262453" s="12" customFormat="1" x14ac:dyDescent="0.25"/>
    <row r="262454" s="12" customFormat="1" x14ac:dyDescent="0.25"/>
    <row r="262455" s="12" customFormat="1" x14ac:dyDescent="0.25"/>
    <row r="262456" s="12" customFormat="1" x14ac:dyDescent="0.25"/>
    <row r="262457" s="12" customFormat="1" x14ac:dyDescent="0.25"/>
    <row r="262458" s="12" customFormat="1" x14ac:dyDescent="0.25"/>
    <row r="262459" s="12" customFormat="1" x14ac:dyDescent="0.25"/>
    <row r="262460" s="12" customFormat="1" x14ac:dyDescent="0.25"/>
    <row r="262461" s="12" customFormat="1" x14ac:dyDescent="0.25"/>
    <row r="262462" s="12" customFormat="1" x14ac:dyDescent="0.25"/>
    <row r="262463" s="12" customFormat="1" x14ac:dyDescent="0.25"/>
    <row r="262464" s="12" customFormat="1" x14ac:dyDescent="0.25"/>
    <row r="262465" s="12" customFormat="1" x14ac:dyDescent="0.25"/>
    <row r="262466" s="12" customFormat="1" x14ac:dyDescent="0.25"/>
    <row r="262467" s="12" customFormat="1" x14ac:dyDescent="0.25"/>
    <row r="262468" s="12" customFormat="1" x14ac:dyDescent="0.25"/>
    <row r="262469" s="12" customFormat="1" x14ac:dyDescent="0.25"/>
    <row r="262470" s="12" customFormat="1" x14ac:dyDescent="0.25"/>
    <row r="262471" s="12" customFormat="1" x14ac:dyDescent="0.25"/>
    <row r="262472" s="12" customFormat="1" x14ac:dyDescent="0.25"/>
    <row r="262473" s="12" customFormat="1" x14ac:dyDescent="0.25"/>
    <row r="262474" s="12" customFormat="1" x14ac:dyDescent="0.25"/>
    <row r="262475" s="12" customFormat="1" x14ac:dyDescent="0.25"/>
    <row r="262476" s="12" customFormat="1" x14ac:dyDescent="0.25"/>
    <row r="262477" s="12" customFormat="1" x14ac:dyDescent="0.25"/>
    <row r="262478" s="12" customFormat="1" x14ac:dyDescent="0.25"/>
    <row r="262479" s="12" customFormat="1" x14ac:dyDescent="0.25"/>
    <row r="262480" s="12" customFormat="1" x14ac:dyDescent="0.25"/>
    <row r="262481" s="12" customFormat="1" x14ac:dyDescent="0.25"/>
    <row r="262482" s="12" customFormat="1" x14ac:dyDescent="0.25"/>
    <row r="262483" s="12" customFormat="1" x14ac:dyDescent="0.25"/>
    <row r="262484" s="12" customFormat="1" x14ac:dyDescent="0.25"/>
    <row r="262485" s="12" customFormat="1" x14ac:dyDescent="0.25"/>
    <row r="262486" s="12" customFormat="1" x14ac:dyDescent="0.25"/>
    <row r="262487" s="12" customFormat="1" x14ac:dyDescent="0.25"/>
    <row r="262488" s="12" customFormat="1" x14ac:dyDescent="0.25"/>
    <row r="262489" s="12" customFormat="1" x14ac:dyDescent="0.25"/>
    <row r="262490" s="12" customFormat="1" x14ac:dyDescent="0.25"/>
    <row r="262491" s="12" customFormat="1" x14ac:dyDescent="0.25"/>
    <row r="262492" s="12" customFormat="1" x14ac:dyDescent="0.25"/>
    <row r="262493" s="12" customFormat="1" x14ac:dyDescent="0.25"/>
    <row r="262494" s="12" customFormat="1" x14ac:dyDescent="0.25"/>
    <row r="262495" s="12" customFormat="1" x14ac:dyDescent="0.25"/>
    <row r="262496" s="12" customFormat="1" x14ac:dyDescent="0.25"/>
    <row r="262497" s="12" customFormat="1" x14ac:dyDescent="0.25"/>
    <row r="262498" s="12" customFormat="1" x14ac:dyDescent="0.25"/>
    <row r="262499" s="12" customFormat="1" x14ac:dyDescent="0.25"/>
    <row r="262500" s="12" customFormat="1" x14ac:dyDescent="0.25"/>
    <row r="262501" s="12" customFormat="1" x14ac:dyDescent="0.25"/>
    <row r="262502" s="12" customFormat="1" x14ac:dyDescent="0.25"/>
    <row r="262503" s="12" customFormat="1" x14ac:dyDescent="0.25"/>
    <row r="262504" s="12" customFormat="1" x14ac:dyDescent="0.25"/>
    <row r="262505" s="12" customFormat="1" x14ac:dyDescent="0.25"/>
    <row r="262506" s="12" customFormat="1" x14ac:dyDescent="0.25"/>
    <row r="262507" s="12" customFormat="1" x14ac:dyDescent="0.25"/>
    <row r="262508" s="12" customFormat="1" x14ac:dyDescent="0.25"/>
    <row r="262509" s="12" customFormat="1" x14ac:dyDescent="0.25"/>
    <row r="262510" s="12" customFormat="1" x14ac:dyDescent="0.25"/>
    <row r="262511" s="12" customFormat="1" x14ac:dyDescent="0.25"/>
    <row r="262512" s="12" customFormat="1" x14ac:dyDescent="0.25"/>
    <row r="262513" s="12" customFormat="1" x14ac:dyDescent="0.25"/>
    <row r="262514" s="12" customFormat="1" x14ac:dyDescent="0.25"/>
    <row r="262515" s="12" customFormat="1" x14ac:dyDescent="0.25"/>
    <row r="262516" s="12" customFormat="1" x14ac:dyDescent="0.25"/>
    <row r="262517" s="12" customFormat="1" x14ac:dyDescent="0.25"/>
    <row r="262518" s="12" customFormat="1" x14ac:dyDescent="0.25"/>
    <row r="262519" s="12" customFormat="1" x14ac:dyDescent="0.25"/>
    <row r="262520" s="12" customFormat="1" x14ac:dyDescent="0.25"/>
    <row r="262521" s="12" customFormat="1" x14ac:dyDescent="0.25"/>
    <row r="262522" s="12" customFormat="1" x14ac:dyDescent="0.25"/>
    <row r="262523" s="12" customFormat="1" x14ac:dyDescent="0.25"/>
    <row r="262524" s="12" customFormat="1" x14ac:dyDescent="0.25"/>
    <row r="262525" s="12" customFormat="1" x14ac:dyDescent="0.25"/>
    <row r="262526" s="12" customFormat="1" x14ac:dyDescent="0.25"/>
    <row r="262527" s="12" customFormat="1" x14ac:dyDescent="0.25"/>
    <row r="262528" s="12" customFormat="1" x14ac:dyDescent="0.25"/>
    <row r="262529" s="12" customFormat="1" x14ac:dyDescent="0.25"/>
    <row r="262530" s="12" customFormat="1" x14ac:dyDescent="0.25"/>
    <row r="262531" s="12" customFormat="1" x14ac:dyDescent="0.25"/>
    <row r="262532" s="12" customFormat="1" x14ac:dyDescent="0.25"/>
    <row r="262533" s="12" customFormat="1" x14ac:dyDescent="0.25"/>
    <row r="262534" s="12" customFormat="1" x14ac:dyDescent="0.25"/>
    <row r="262535" s="12" customFormat="1" x14ac:dyDescent="0.25"/>
    <row r="262536" s="12" customFormat="1" x14ac:dyDescent="0.25"/>
    <row r="262537" s="12" customFormat="1" x14ac:dyDescent="0.25"/>
    <row r="262538" s="12" customFormat="1" x14ac:dyDescent="0.25"/>
    <row r="262539" s="12" customFormat="1" x14ac:dyDescent="0.25"/>
    <row r="262540" s="12" customFormat="1" x14ac:dyDescent="0.25"/>
    <row r="262541" s="12" customFormat="1" x14ac:dyDescent="0.25"/>
    <row r="262542" s="12" customFormat="1" x14ac:dyDescent="0.25"/>
    <row r="262543" s="12" customFormat="1" x14ac:dyDescent="0.25"/>
    <row r="262544" s="12" customFormat="1" x14ac:dyDescent="0.25"/>
    <row r="262545" s="12" customFormat="1" x14ac:dyDescent="0.25"/>
    <row r="262546" s="12" customFormat="1" x14ac:dyDescent="0.25"/>
    <row r="262547" s="12" customFormat="1" x14ac:dyDescent="0.25"/>
    <row r="262548" s="12" customFormat="1" x14ac:dyDescent="0.25"/>
    <row r="262549" s="12" customFormat="1" x14ac:dyDescent="0.25"/>
    <row r="262550" s="12" customFormat="1" x14ac:dyDescent="0.25"/>
    <row r="262551" s="12" customFormat="1" x14ac:dyDescent="0.25"/>
    <row r="262552" s="12" customFormat="1" x14ac:dyDescent="0.25"/>
    <row r="262553" s="12" customFormat="1" x14ac:dyDescent="0.25"/>
    <row r="262554" s="12" customFormat="1" x14ac:dyDescent="0.25"/>
    <row r="262555" s="12" customFormat="1" x14ac:dyDescent="0.25"/>
    <row r="262556" s="12" customFormat="1" x14ac:dyDescent="0.25"/>
    <row r="262557" s="12" customFormat="1" x14ac:dyDescent="0.25"/>
    <row r="262558" s="12" customFormat="1" x14ac:dyDescent="0.25"/>
    <row r="262559" s="12" customFormat="1" x14ac:dyDescent="0.25"/>
    <row r="262560" s="12" customFormat="1" x14ac:dyDescent="0.25"/>
    <row r="262561" s="12" customFormat="1" x14ac:dyDescent="0.25"/>
    <row r="262562" s="12" customFormat="1" x14ac:dyDescent="0.25"/>
    <row r="262563" s="12" customFormat="1" x14ac:dyDescent="0.25"/>
    <row r="262564" s="12" customFormat="1" x14ac:dyDescent="0.25"/>
    <row r="262565" s="12" customFormat="1" x14ac:dyDescent="0.25"/>
    <row r="262566" s="12" customFormat="1" x14ac:dyDescent="0.25"/>
    <row r="262567" s="12" customFormat="1" x14ac:dyDescent="0.25"/>
    <row r="262568" s="12" customFormat="1" x14ac:dyDescent="0.25"/>
    <row r="262569" s="12" customFormat="1" x14ac:dyDescent="0.25"/>
    <row r="262570" s="12" customFormat="1" x14ac:dyDescent="0.25"/>
    <row r="262571" s="12" customFormat="1" x14ac:dyDescent="0.25"/>
    <row r="262572" s="12" customFormat="1" x14ac:dyDescent="0.25"/>
    <row r="262573" s="12" customFormat="1" x14ac:dyDescent="0.25"/>
    <row r="262574" s="12" customFormat="1" x14ac:dyDescent="0.25"/>
    <row r="262575" s="12" customFormat="1" x14ac:dyDescent="0.25"/>
    <row r="262576" s="12" customFormat="1" x14ac:dyDescent="0.25"/>
    <row r="262577" s="12" customFormat="1" x14ac:dyDescent="0.25"/>
    <row r="262578" s="12" customFormat="1" x14ac:dyDescent="0.25"/>
    <row r="262579" s="12" customFormat="1" x14ac:dyDescent="0.25"/>
    <row r="262580" s="12" customFormat="1" x14ac:dyDescent="0.25"/>
    <row r="262581" s="12" customFormat="1" x14ac:dyDescent="0.25"/>
    <row r="262582" s="12" customFormat="1" x14ac:dyDescent="0.25"/>
    <row r="262583" s="12" customFormat="1" x14ac:dyDescent="0.25"/>
    <row r="262584" s="12" customFormat="1" x14ac:dyDescent="0.25"/>
    <row r="262585" s="12" customFormat="1" x14ac:dyDescent="0.25"/>
    <row r="262586" s="12" customFormat="1" x14ac:dyDescent="0.25"/>
    <row r="262587" s="12" customFormat="1" x14ac:dyDescent="0.25"/>
    <row r="262588" s="12" customFormat="1" x14ac:dyDescent="0.25"/>
    <row r="262589" s="12" customFormat="1" x14ac:dyDescent="0.25"/>
    <row r="262590" s="12" customFormat="1" x14ac:dyDescent="0.25"/>
    <row r="262591" s="12" customFormat="1" x14ac:dyDescent="0.25"/>
    <row r="262592" s="12" customFormat="1" x14ac:dyDescent="0.25"/>
    <row r="262593" s="12" customFormat="1" x14ac:dyDescent="0.25"/>
    <row r="262594" s="12" customFormat="1" x14ac:dyDescent="0.25"/>
    <row r="262595" s="12" customFormat="1" x14ac:dyDescent="0.25"/>
    <row r="262596" s="12" customFormat="1" x14ac:dyDescent="0.25"/>
    <row r="262597" s="12" customFormat="1" x14ac:dyDescent="0.25"/>
    <row r="262598" s="12" customFormat="1" x14ac:dyDescent="0.25"/>
    <row r="262599" s="12" customFormat="1" x14ac:dyDescent="0.25"/>
    <row r="262600" s="12" customFormat="1" x14ac:dyDescent="0.25"/>
    <row r="262601" s="12" customFormat="1" x14ac:dyDescent="0.25"/>
    <row r="262602" s="12" customFormat="1" x14ac:dyDescent="0.25"/>
    <row r="262603" s="12" customFormat="1" x14ac:dyDescent="0.25"/>
    <row r="262604" s="12" customFormat="1" x14ac:dyDescent="0.25"/>
    <row r="262605" s="12" customFormat="1" x14ac:dyDescent="0.25"/>
    <row r="262606" s="12" customFormat="1" x14ac:dyDescent="0.25"/>
    <row r="262607" s="12" customFormat="1" x14ac:dyDescent="0.25"/>
    <row r="262608" s="12" customFormat="1" x14ac:dyDescent="0.25"/>
    <row r="262609" s="12" customFormat="1" x14ac:dyDescent="0.25"/>
    <row r="262610" s="12" customFormat="1" x14ac:dyDescent="0.25"/>
    <row r="262611" s="12" customFormat="1" x14ac:dyDescent="0.25"/>
    <row r="262612" s="12" customFormat="1" x14ac:dyDescent="0.25"/>
    <row r="262613" s="12" customFormat="1" x14ac:dyDescent="0.25"/>
    <row r="262614" s="12" customFormat="1" x14ac:dyDescent="0.25"/>
    <row r="262615" s="12" customFormat="1" x14ac:dyDescent="0.25"/>
    <row r="262616" s="12" customFormat="1" x14ac:dyDescent="0.25"/>
    <row r="262617" s="12" customFormat="1" x14ac:dyDescent="0.25"/>
    <row r="262618" s="12" customFormat="1" x14ac:dyDescent="0.25"/>
    <row r="262619" s="12" customFormat="1" x14ac:dyDescent="0.25"/>
    <row r="262620" s="12" customFormat="1" x14ac:dyDescent="0.25"/>
    <row r="262621" s="12" customFormat="1" x14ac:dyDescent="0.25"/>
    <row r="262622" s="12" customFormat="1" x14ac:dyDescent="0.25"/>
    <row r="262623" s="12" customFormat="1" x14ac:dyDescent="0.25"/>
    <row r="262624" s="12" customFormat="1" x14ac:dyDescent="0.25"/>
    <row r="262625" s="12" customFormat="1" x14ac:dyDescent="0.25"/>
    <row r="262626" s="12" customFormat="1" x14ac:dyDescent="0.25"/>
    <row r="262627" s="12" customFormat="1" x14ac:dyDescent="0.25"/>
    <row r="262628" s="12" customFormat="1" x14ac:dyDescent="0.25"/>
    <row r="262629" s="12" customFormat="1" x14ac:dyDescent="0.25"/>
    <row r="262630" s="12" customFormat="1" x14ac:dyDescent="0.25"/>
    <row r="262631" s="12" customFormat="1" x14ac:dyDescent="0.25"/>
    <row r="262632" s="12" customFormat="1" x14ac:dyDescent="0.25"/>
    <row r="262633" s="12" customFormat="1" x14ac:dyDescent="0.25"/>
    <row r="262634" s="12" customFormat="1" x14ac:dyDescent="0.25"/>
    <row r="262635" s="12" customFormat="1" x14ac:dyDescent="0.25"/>
    <row r="262636" s="12" customFormat="1" x14ac:dyDescent="0.25"/>
    <row r="262637" s="12" customFormat="1" x14ac:dyDescent="0.25"/>
    <row r="262638" s="12" customFormat="1" x14ac:dyDescent="0.25"/>
    <row r="262639" s="12" customFormat="1" x14ac:dyDescent="0.25"/>
    <row r="262640" s="12" customFormat="1" x14ac:dyDescent="0.25"/>
    <row r="262641" s="12" customFormat="1" x14ac:dyDescent="0.25"/>
    <row r="262642" s="12" customFormat="1" x14ac:dyDescent="0.25"/>
    <row r="262643" s="12" customFormat="1" x14ac:dyDescent="0.25"/>
    <row r="262644" s="12" customFormat="1" x14ac:dyDescent="0.25"/>
    <row r="262645" s="12" customFormat="1" x14ac:dyDescent="0.25"/>
    <row r="262646" s="12" customFormat="1" x14ac:dyDescent="0.25"/>
    <row r="262647" s="12" customFormat="1" x14ac:dyDescent="0.25"/>
    <row r="262648" s="12" customFormat="1" x14ac:dyDescent="0.25"/>
    <row r="262649" s="12" customFormat="1" x14ac:dyDescent="0.25"/>
    <row r="262650" s="12" customFormat="1" x14ac:dyDescent="0.25"/>
    <row r="262651" s="12" customFormat="1" x14ac:dyDescent="0.25"/>
    <row r="262652" s="12" customFormat="1" x14ac:dyDescent="0.25"/>
    <row r="262653" s="12" customFormat="1" x14ac:dyDescent="0.25"/>
    <row r="262654" s="12" customFormat="1" x14ac:dyDescent="0.25"/>
    <row r="262655" s="12" customFormat="1" x14ac:dyDescent="0.25"/>
    <row r="262656" s="12" customFormat="1" x14ac:dyDescent="0.25"/>
    <row r="262657" s="12" customFormat="1" x14ac:dyDescent="0.25"/>
    <row r="262658" s="12" customFormat="1" x14ac:dyDescent="0.25"/>
    <row r="262659" s="12" customFormat="1" x14ac:dyDescent="0.25"/>
    <row r="262660" s="12" customFormat="1" x14ac:dyDescent="0.25"/>
    <row r="262661" s="12" customFormat="1" x14ac:dyDescent="0.25"/>
    <row r="262662" s="12" customFormat="1" x14ac:dyDescent="0.25"/>
    <row r="262663" s="12" customFormat="1" x14ac:dyDescent="0.25"/>
    <row r="262664" s="12" customFormat="1" x14ac:dyDescent="0.25"/>
    <row r="262665" s="12" customFormat="1" x14ac:dyDescent="0.25"/>
    <row r="262666" s="12" customFormat="1" x14ac:dyDescent="0.25"/>
    <row r="262667" s="12" customFormat="1" x14ac:dyDescent="0.25"/>
    <row r="262668" s="12" customFormat="1" x14ac:dyDescent="0.25"/>
    <row r="262669" s="12" customFormat="1" x14ac:dyDescent="0.25"/>
    <row r="262670" s="12" customFormat="1" x14ac:dyDescent="0.25"/>
    <row r="262671" s="12" customFormat="1" x14ac:dyDescent="0.25"/>
    <row r="262672" s="12" customFormat="1" x14ac:dyDescent="0.25"/>
    <row r="262673" s="12" customFormat="1" x14ac:dyDescent="0.25"/>
    <row r="262674" s="12" customFormat="1" x14ac:dyDescent="0.25"/>
    <row r="262675" s="12" customFormat="1" x14ac:dyDescent="0.25"/>
    <row r="262676" s="12" customFormat="1" x14ac:dyDescent="0.25"/>
    <row r="262677" s="12" customFormat="1" x14ac:dyDescent="0.25"/>
    <row r="262678" s="12" customFormat="1" x14ac:dyDescent="0.25"/>
    <row r="262679" s="12" customFormat="1" x14ac:dyDescent="0.25"/>
    <row r="262680" s="12" customFormat="1" x14ac:dyDescent="0.25"/>
    <row r="262681" s="12" customFormat="1" x14ac:dyDescent="0.25"/>
    <row r="262682" s="12" customFormat="1" x14ac:dyDescent="0.25"/>
    <row r="262683" s="12" customFormat="1" x14ac:dyDescent="0.25"/>
    <row r="262684" s="12" customFormat="1" x14ac:dyDescent="0.25"/>
    <row r="262685" s="12" customFormat="1" x14ac:dyDescent="0.25"/>
    <row r="262686" s="12" customFormat="1" x14ac:dyDescent="0.25"/>
    <row r="262687" s="12" customFormat="1" x14ac:dyDescent="0.25"/>
    <row r="262688" s="12" customFormat="1" x14ac:dyDescent="0.25"/>
    <row r="262689" s="12" customFormat="1" x14ac:dyDescent="0.25"/>
    <row r="262690" s="12" customFormat="1" x14ac:dyDescent="0.25"/>
    <row r="262691" s="12" customFormat="1" x14ac:dyDescent="0.25"/>
    <row r="262692" s="12" customFormat="1" x14ac:dyDescent="0.25"/>
    <row r="262693" s="12" customFormat="1" x14ac:dyDescent="0.25"/>
    <row r="262694" s="12" customFormat="1" x14ac:dyDescent="0.25"/>
    <row r="262695" s="12" customFormat="1" x14ac:dyDescent="0.25"/>
    <row r="262696" s="12" customFormat="1" x14ac:dyDescent="0.25"/>
    <row r="262697" s="12" customFormat="1" x14ac:dyDescent="0.25"/>
    <row r="262698" s="12" customFormat="1" x14ac:dyDescent="0.25"/>
    <row r="262699" s="12" customFormat="1" x14ac:dyDescent="0.25"/>
    <row r="262700" s="12" customFormat="1" x14ac:dyDescent="0.25"/>
    <row r="262701" s="12" customFormat="1" x14ac:dyDescent="0.25"/>
    <row r="262702" s="12" customFormat="1" x14ac:dyDescent="0.25"/>
    <row r="262703" s="12" customFormat="1" x14ac:dyDescent="0.25"/>
    <row r="262704" s="12" customFormat="1" x14ac:dyDescent="0.25"/>
    <row r="262705" s="12" customFormat="1" x14ac:dyDescent="0.25"/>
    <row r="262706" s="12" customFormat="1" x14ac:dyDescent="0.25"/>
    <row r="262707" s="12" customFormat="1" x14ac:dyDescent="0.25"/>
    <row r="262708" s="12" customFormat="1" x14ac:dyDescent="0.25"/>
    <row r="262709" s="12" customFormat="1" x14ac:dyDescent="0.25"/>
    <row r="262710" s="12" customFormat="1" x14ac:dyDescent="0.25"/>
    <row r="262711" s="12" customFormat="1" x14ac:dyDescent="0.25"/>
    <row r="262712" s="12" customFormat="1" x14ac:dyDescent="0.25"/>
    <row r="262713" s="12" customFormat="1" x14ac:dyDescent="0.25"/>
    <row r="262714" s="12" customFormat="1" x14ac:dyDescent="0.25"/>
    <row r="262715" s="12" customFormat="1" x14ac:dyDescent="0.25"/>
    <row r="262716" s="12" customFormat="1" x14ac:dyDescent="0.25"/>
    <row r="262717" s="12" customFormat="1" x14ac:dyDescent="0.25"/>
    <row r="262718" s="12" customFormat="1" x14ac:dyDescent="0.25"/>
    <row r="262719" s="12" customFormat="1" x14ac:dyDescent="0.25"/>
    <row r="262720" s="12" customFormat="1" x14ac:dyDescent="0.25"/>
    <row r="262721" s="12" customFormat="1" x14ac:dyDescent="0.25"/>
    <row r="262722" s="12" customFormat="1" x14ac:dyDescent="0.25"/>
    <row r="262723" s="12" customFormat="1" x14ac:dyDescent="0.25"/>
    <row r="262724" s="12" customFormat="1" x14ac:dyDescent="0.25"/>
    <row r="262725" s="12" customFormat="1" x14ac:dyDescent="0.25"/>
    <row r="262726" s="12" customFormat="1" x14ac:dyDescent="0.25"/>
    <row r="262727" s="12" customFormat="1" x14ac:dyDescent="0.25"/>
    <row r="262728" s="12" customFormat="1" x14ac:dyDescent="0.25"/>
    <row r="262729" s="12" customFormat="1" x14ac:dyDescent="0.25"/>
    <row r="262730" s="12" customFormat="1" x14ac:dyDescent="0.25"/>
    <row r="262731" s="12" customFormat="1" x14ac:dyDescent="0.25"/>
    <row r="262732" s="12" customFormat="1" x14ac:dyDescent="0.25"/>
    <row r="262733" s="12" customFormat="1" x14ac:dyDescent="0.25"/>
    <row r="262734" s="12" customFormat="1" x14ac:dyDescent="0.25"/>
    <row r="262735" s="12" customFormat="1" x14ac:dyDescent="0.25"/>
    <row r="262736" s="12" customFormat="1" x14ac:dyDescent="0.25"/>
    <row r="262737" s="12" customFormat="1" x14ac:dyDescent="0.25"/>
    <row r="262738" s="12" customFormat="1" x14ac:dyDescent="0.25"/>
    <row r="262739" s="12" customFormat="1" x14ac:dyDescent="0.25"/>
    <row r="262740" s="12" customFormat="1" x14ac:dyDescent="0.25"/>
    <row r="262741" s="12" customFormat="1" x14ac:dyDescent="0.25"/>
    <row r="262742" s="12" customFormat="1" x14ac:dyDescent="0.25"/>
    <row r="262743" s="12" customFormat="1" x14ac:dyDescent="0.25"/>
    <row r="262744" s="12" customFormat="1" x14ac:dyDescent="0.25"/>
    <row r="262745" s="12" customFormat="1" x14ac:dyDescent="0.25"/>
    <row r="262746" s="12" customFormat="1" x14ac:dyDescent="0.25"/>
    <row r="262747" s="12" customFormat="1" x14ac:dyDescent="0.25"/>
    <row r="262748" s="12" customFormat="1" x14ac:dyDescent="0.25"/>
    <row r="262749" s="12" customFormat="1" x14ac:dyDescent="0.25"/>
    <row r="262750" s="12" customFormat="1" x14ac:dyDescent="0.25"/>
    <row r="262751" s="12" customFormat="1" x14ac:dyDescent="0.25"/>
    <row r="262752" s="12" customFormat="1" x14ac:dyDescent="0.25"/>
    <row r="262753" s="12" customFormat="1" x14ac:dyDescent="0.25"/>
    <row r="262754" s="12" customFormat="1" x14ac:dyDescent="0.25"/>
    <row r="262755" s="12" customFormat="1" x14ac:dyDescent="0.25"/>
    <row r="262756" s="12" customFormat="1" x14ac:dyDescent="0.25"/>
    <row r="262757" s="12" customFormat="1" x14ac:dyDescent="0.25"/>
    <row r="262758" s="12" customFormat="1" x14ac:dyDescent="0.25"/>
    <row r="262759" s="12" customFormat="1" x14ac:dyDescent="0.25"/>
    <row r="262760" s="12" customFormat="1" x14ac:dyDescent="0.25"/>
    <row r="262761" s="12" customFormat="1" x14ac:dyDescent="0.25"/>
    <row r="262762" s="12" customFormat="1" x14ac:dyDescent="0.25"/>
    <row r="262763" s="12" customFormat="1" x14ac:dyDescent="0.25"/>
    <row r="262764" s="12" customFormat="1" x14ac:dyDescent="0.25"/>
    <row r="262765" s="12" customFormat="1" x14ac:dyDescent="0.25"/>
    <row r="262766" s="12" customFormat="1" x14ac:dyDescent="0.25"/>
    <row r="262767" s="12" customFormat="1" x14ac:dyDescent="0.25"/>
    <row r="262768" s="12" customFormat="1" x14ac:dyDescent="0.25"/>
    <row r="262769" s="12" customFormat="1" x14ac:dyDescent="0.25"/>
    <row r="262770" s="12" customFormat="1" x14ac:dyDescent="0.25"/>
    <row r="262771" s="12" customFormat="1" x14ac:dyDescent="0.25"/>
    <row r="262772" s="12" customFormat="1" x14ac:dyDescent="0.25"/>
    <row r="262773" s="12" customFormat="1" x14ac:dyDescent="0.25"/>
    <row r="262774" s="12" customFormat="1" x14ac:dyDescent="0.25"/>
    <row r="262775" s="12" customFormat="1" x14ac:dyDescent="0.25"/>
    <row r="262776" s="12" customFormat="1" x14ac:dyDescent="0.25"/>
    <row r="262777" s="12" customFormat="1" x14ac:dyDescent="0.25"/>
    <row r="262778" s="12" customFormat="1" x14ac:dyDescent="0.25"/>
    <row r="262779" s="12" customFormat="1" x14ac:dyDescent="0.25"/>
    <row r="262780" s="12" customFormat="1" x14ac:dyDescent="0.25"/>
    <row r="262781" s="12" customFormat="1" x14ac:dyDescent="0.25"/>
    <row r="262782" s="12" customFormat="1" x14ac:dyDescent="0.25"/>
    <row r="262783" s="12" customFormat="1" x14ac:dyDescent="0.25"/>
    <row r="262784" s="12" customFormat="1" x14ac:dyDescent="0.25"/>
    <row r="262785" s="12" customFormat="1" x14ac:dyDescent="0.25"/>
    <row r="262786" s="12" customFormat="1" x14ac:dyDescent="0.25"/>
    <row r="262787" s="12" customFormat="1" x14ac:dyDescent="0.25"/>
    <row r="262788" s="12" customFormat="1" x14ac:dyDescent="0.25"/>
    <row r="262789" s="12" customFormat="1" x14ac:dyDescent="0.25"/>
    <row r="262790" s="12" customFormat="1" x14ac:dyDescent="0.25"/>
    <row r="262791" s="12" customFormat="1" x14ac:dyDescent="0.25"/>
    <row r="262792" s="12" customFormat="1" x14ac:dyDescent="0.25"/>
    <row r="262793" s="12" customFormat="1" x14ac:dyDescent="0.25"/>
    <row r="262794" s="12" customFormat="1" x14ac:dyDescent="0.25"/>
    <row r="262795" s="12" customFormat="1" x14ac:dyDescent="0.25"/>
    <row r="262796" s="12" customFormat="1" x14ac:dyDescent="0.25"/>
    <row r="262797" s="12" customFormat="1" x14ac:dyDescent="0.25"/>
    <row r="262798" s="12" customFormat="1" x14ac:dyDescent="0.25"/>
    <row r="262799" s="12" customFormat="1" x14ac:dyDescent="0.25"/>
    <row r="262800" s="12" customFormat="1" x14ac:dyDescent="0.25"/>
    <row r="262801" s="12" customFormat="1" x14ac:dyDescent="0.25"/>
    <row r="262802" s="12" customFormat="1" x14ac:dyDescent="0.25"/>
    <row r="262803" s="12" customFormat="1" x14ac:dyDescent="0.25"/>
    <row r="262804" s="12" customFormat="1" x14ac:dyDescent="0.25"/>
    <row r="262805" s="12" customFormat="1" x14ac:dyDescent="0.25"/>
    <row r="262806" s="12" customFormat="1" x14ac:dyDescent="0.25"/>
    <row r="262807" s="12" customFormat="1" x14ac:dyDescent="0.25"/>
    <row r="262808" s="12" customFormat="1" x14ac:dyDescent="0.25"/>
    <row r="262809" s="12" customFormat="1" x14ac:dyDescent="0.25"/>
    <row r="262810" s="12" customFormat="1" x14ac:dyDescent="0.25"/>
    <row r="262811" s="12" customFormat="1" x14ac:dyDescent="0.25"/>
    <row r="262812" s="12" customFormat="1" x14ac:dyDescent="0.25"/>
    <row r="262813" s="12" customFormat="1" x14ac:dyDescent="0.25"/>
    <row r="262814" s="12" customFormat="1" x14ac:dyDescent="0.25"/>
    <row r="262815" s="12" customFormat="1" x14ac:dyDescent="0.25"/>
    <row r="262816" s="12" customFormat="1" x14ac:dyDescent="0.25"/>
    <row r="262817" s="12" customFormat="1" x14ac:dyDescent="0.25"/>
    <row r="262818" s="12" customFormat="1" x14ac:dyDescent="0.25"/>
    <row r="262819" s="12" customFormat="1" x14ac:dyDescent="0.25"/>
    <row r="262820" s="12" customFormat="1" x14ac:dyDescent="0.25"/>
    <row r="262821" s="12" customFormat="1" x14ac:dyDescent="0.25"/>
    <row r="262822" s="12" customFormat="1" x14ac:dyDescent="0.25"/>
    <row r="262823" s="12" customFormat="1" x14ac:dyDescent="0.25"/>
    <row r="262824" s="12" customFormat="1" x14ac:dyDescent="0.25"/>
    <row r="262825" s="12" customFormat="1" x14ac:dyDescent="0.25"/>
    <row r="262826" s="12" customFormat="1" x14ac:dyDescent="0.25"/>
    <row r="262827" s="12" customFormat="1" x14ac:dyDescent="0.25"/>
    <row r="262828" s="12" customFormat="1" x14ac:dyDescent="0.25"/>
    <row r="262829" s="12" customFormat="1" x14ac:dyDescent="0.25"/>
    <row r="262830" s="12" customFormat="1" x14ac:dyDescent="0.25"/>
    <row r="262831" s="12" customFormat="1" x14ac:dyDescent="0.25"/>
    <row r="262832" s="12" customFormat="1" x14ac:dyDescent="0.25"/>
    <row r="262833" s="12" customFormat="1" x14ac:dyDescent="0.25"/>
    <row r="262834" s="12" customFormat="1" x14ac:dyDescent="0.25"/>
    <row r="262835" s="12" customFormat="1" x14ac:dyDescent="0.25"/>
    <row r="262836" s="12" customFormat="1" x14ac:dyDescent="0.25"/>
    <row r="262837" s="12" customFormat="1" x14ac:dyDescent="0.25"/>
    <row r="262838" s="12" customFormat="1" x14ac:dyDescent="0.25"/>
    <row r="262839" s="12" customFormat="1" x14ac:dyDescent="0.25"/>
    <row r="262840" s="12" customFormat="1" x14ac:dyDescent="0.25"/>
    <row r="262841" s="12" customFormat="1" x14ac:dyDescent="0.25"/>
    <row r="262842" s="12" customFormat="1" x14ac:dyDescent="0.25"/>
    <row r="262843" s="12" customFormat="1" x14ac:dyDescent="0.25"/>
    <row r="262844" s="12" customFormat="1" x14ac:dyDescent="0.25"/>
    <row r="262845" s="12" customFormat="1" x14ac:dyDescent="0.25"/>
    <row r="262846" s="12" customFormat="1" x14ac:dyDescent="0.25"/>
    <row r="262847" s="12" customFormat="1" x14ac:dyDescent="0.25"/>
    <row r="262848" s="12" customFormat="1" x14ac:dyDescent="0.25"/>
    <row r="262849" s="12" customFormat="1" x14ac:dyDescent="0.25"/>
    <row r="262850" s="12" customFormat="1" x14ac:dyDescent="0.25"/>
    <row r="262851" s="12" customFormat="1" x14ac:dyDescent="0.25"/>
    <row r="262852" s="12" customFormat="1" x14ac:dyDescent="0.25"/>
    <row r="262853" s="12" customFormat="1" x14ac:dyDescent="0.25"/>
    <row r="262854" s="12" customFormat="1" x14ac:dyDescent="0.25"/>
    <row r="262855" s="12" customFormat="1" x14ac:dyDescent="0.25"/>
    <row r="262856" s="12" customFormat="1" x14ac:dyDescent="0.25"/>
    <row r="262857" s="12" customFormat="1" x14ac:dyDescent="0.25"/>
    <row r="262858" s="12" customFormat="1" x14ac:dyDescent="0.25"/>
    <row r="262859" s="12" customFormat="1" x14ac:dyDescent="0.25"/>
    <row r="262860" s="12" customFormat="1" x14ac:dyDescent="0.25"/>
    <row r="262861" s="12" customFormat="1" x14ac:dyDescent="0.25"/>
    <row r="262862" s="12" customFormat="1" x14ac:dyDescent="0.25"/>
    <row r="262863" s="12" customFormat="1" x14ac:dyDescent="0.25"/>
    <row r="262864" s="12" customFormat="1" x14ac:dyDescent="0.25"/>
    <row r="262865" s="12" customFormat="1" x14ac:dyDescent="0.25"/>
    <row r="262866" s="12" customFormat="1" x14ac:dyDescent="0.25"/>
    <row r="262867" s="12" customFormat="1" x14ac:dyDescent="0.25"/>
    <row r="262868" s="12" customFormat="1" x14ac:dyDescent="0.25"/>
    <row r="262869" s="12" customFormat="1" x14ac:dyDescent="0.25"/>
    <row r="262870" s="12" customFormat="1" x14ac:dyDescent="0.25"/>
    <row r="262871" s="12" customFormat="1" x14ac:dyDescent="0.25"/>
    <row r="262872" s="12" customFormat="1" x14ac:dyDescent="0.25"/>
    <row r="262873" s="12" customFormat="1" x14ac:dyDescent="0.25"/>
    <row r="262874" s="12" customFormat="1" x14ac:dyDescent="0.25"/>
    <row r="262875" s="12" customFormat="1" x14ac:dyDescent="0.25"/>
    <row r="262876" s="12" customFormat="1" x14ac:dyDescent="0.25"/>
    <row r="262877" s="12" customFormat="1" x14ac:dyDescent="0.25"/>
    <row r="262878" s="12" customFormat="1" x14ac:dyDescent="0.25"/>
    <row r="262879" s="12" customFormat="1" x14ac:dyDescent="0.25"/>
    <row r="262880" s="12" customFormat="1" x14ac:dyDescent="0.25"/>
    <row r="262881" s="12" customFormat="1" x14ac:dyDescent="0.25"/>
    <row r="262882" s="12" customFormat="1" x14ac:dyDescent="0.25"/>
    <row r="262883" s="12" customFormat="1" x14ac:dyDescent="0.25"/>
    <row r="262884" s="12" customFormat="1" x14ac:dyDescent="0.25"/>
    <row r="262885" s="12" customFormat="1" x14ac:dyDescent="0.25"/>
    <row r="262886" s="12" customFormat="1" x14ac:dyDescent="0.25"/>
    <row r="262887" s="12" customFormat="1" x14ac:dyDescent="0.25"/>
    <row r="262888" s="12" customFormat="1" x14ac:dyDescent="0.25"/>
    <row r="262889" s="12" customFormat="1" x14ac:dyDescent="0.25"/>
    <row r="262890" s="12" customFormat="1" x14ac:dyDescent="0.25"/>
    <row r="262891" s="12" customFormat="1" x14ac:dyDescent="0.25"/>
    <row r="262892" s="12" customFormat="1" x14ac:dyDescent="0.25"/>
    <row r="262893" s="12" customFormat="1" x14ac:dyDescent="0.25"/>
    <row r="262894" s="12" customFormat="1" x14ac:dyDescent="0.25"/>
    <row r="262895" s="12" customFormat="1" x14ac:dyDescent="0.25"/>
    <row r="262896" s="12" customFormat="1" x14ac:dyDescent="0.25"/>
    <row r="262897" s="12" customFormat="1" x14ac:dyDescent="0.25"/>
    <row r="262898" s="12" customFormat="1" x14ac:dyDescent="0.25"/>
    <row r="262899" s="12" customFormat="1" x14ac:dyDescent="0.25"/>
    <row r="262900" s="12" customFormat="1" x14ac:dyDescent="0.25"/>
    <row r="262901" s="12" customFormat="1" x14ac:dyDescent="0.25"/>
    <row r="262902" s="12" customFormat="1" x14ac:dyDescent="0.25"/>
    <row r="262903" s="12" customFormat="1" x14ac:dyDescent="0.25"/>
    <row r="262904" s="12" customFormat="1" x14ac:dyDescent="0.25"/>
    <row r="262905" s="12" customFormat="1" x14ac:dyDescent="0.25"/>
    <row r="262906" s="12" customFormat="1" x14ac:dyDescent="0.25"/>
    <row r="262907" s="12" customFormat="1" x14ac:dyDescent="0.25"/>
    <row r="262908" s="12" customFormat="1" x14ac:dyDescent="0.25"/>
    <row r="262909" s="12" customFormat="1" x14ac:dyDescent="0.25"/>
    <row r="262910" s="12" customFormat="1" x14ac:dyDescent="0.25"/>
    <row r="262911" s="12" customFormat="1" x14ac:dyDescent="0.25"/>
    <row r="262912" s="12" customFormat="1" x14ac:dyDescent="0.25"/>
    <row r="262913" s="12" customFormat="1" x14ac:dyDescent="0.25"/>
    <row r="262914" s="12" customFormat="1" x14ac:dyDescent="0.25"/>
    <row r="262915" s="12" customFormat="1" x14ac:dyDescent="0.25"/>
    <row r="262916" s="12" customFormat="1" x14ac:dyDescent="0.25"/>
    <row r="262917" s="12" customFormat="1" x14ac:dyDescent="0.25"/>
    <row r="262918" s="12" customFormat="1" x14ac:dyDescent="0.25"/>
    <row r="262919" s="12" customFormat="1" x14ac:dyDescent="0.25"/>
    <row r="262920" s="12" customFormat="1" x14ac:dyDescent="0.25"/>
    <row r="262921" s="12" customFormat="1" x14ac:dyDescent="0.25"/>
    <row r="262922" s="12" customFormat="1" x14ac:dyDescent="0.25"/>
    <row r="262923" s="12" customFormat="1" x14ac:dyDescent="0.25"/>
    <row r="262924" s="12" customFormat="1" x14ac:dyDescent="0.25"/>
    <row r="262925" s="12" customFormat="1" x14ac:dyDescent="0.25"/>
    <row r="262926" s="12" customFormat="1" x14ac:dyDescent="0.25"/>
    <row r="262927" s="12" customFormat="1" x14ac:dyDescent="0.25"/>
    <row r="262928" s="12" customFormat="1" x14ac:dyDescent="0.25"/>
    <row r="262929" s="12" customFormat="1" x14ac:dyDescent="0.25"/>
    <row r="262930" s="12" customFormat="1" x14ac:dyDescent="0.25"/>
    <row r="262931" s="12" customFormat="1" x14ac:dyDescent="0.25"/>
    <row r="262932" s="12" customFormat="1" x14ac:dyDescent="0.25"/>
    <row r="262933" s="12" customFormat="1" x14ac:dyDescent="0.25"/>
    <row r="262934" s="12" customFormat="1" x14ac:dyDescent="0.25"/>
    <row r="262935" s="12" customFormat="1" x14ac:dyDescent="0.25"/>
    <row r="262936" s="12" customFormat="1" x14ac:dyDescent="0.25"/>
    <row r="262937" s="12" customFormat="1" x14ac:dyDescent="0.25"/>
    <row r="262938" s="12" customFormat="1" x14ac:dyDescent="0.25"/>
    <row r="262939" s="12" customFormat="1" x14ac:dyDescent="0.25"/>
    <row r="262940" s="12" customFormat="1" x14ac:dyDescent="0.25"/>
    <row r="262941" s="12" customFormat="1" x14ac:dyDescent="0.25"/>
    <row r="262942" s="12" customFormat="1" x14ac:dyDescent="0.25"/>
    <row r="262943" s="12" customFormat="1" x14ac:dyDescent="0.25"/>
    <row r="262944" s="12" customFormat="1" x14ac:dyDescent="0.25"/>
    <row r="262945" s="12" customFormat="1" x14ac:dyDescent="0.25"/>
    <row r="262946" s="12" customFormat="1" x14ac:dyDescent="0.25"/>
    <row r="262947" s="12" customFormat="1" x14ac:dyDescent="0.25"/>
    <row r="262948" s="12" customFormat="1" x14ac:dyDescent="0.25"/>
    <row r="262949" s="12" customFormat="1" x14ac:dyDescent="0.25"/>
    <row r="262950" s="12" customFormat="1" x14ac:dyDescent="0.25"/>
    <row r="262951" s="12" customFormat="1" x14ac:dyDescent="0.25"/>
    <row r="262952" s="12" customFormat="1" x14ac:dyDescent="0.25"/>
    <row r="262953" s="12" customFormat="1" x14ac:dyDescent="0.25"/>
    <row r="262954" s="12" customFormat="1" x14ac:dyDescent="0.25"/>
    <row r="262955" s="12" customFormat="1" x14ac:dyDescent="0.25"/>
    <row r="262956" s="12" customFormat="1" x14ac:dyDescent="0.25"/>
    <row r="262957" s="12" customFormat="1" x14ac:dyDescent="0.25"/>
    <row r="262958" s="12" customFormat="1" x14ac:dyDescent="0.25"/>
    <row r="262959" s="12" customFormat="1" x14ac:dyDescent="0.25"/>
    <row r="262960" s="12" customFormat="1" x14ac:dyDescent="0.25"/>
    <row r="262961" s="12" customFormat="1" x14ac:dyDescent="0.25"/>
    <row r="262962" s="12" customFormat="1" x14ac:dyDescent="0.25"/>
    <row r="262963" s="12" customFormat="1" x14ac:dyDescent="0.25"/>
    <row r="262964" s="12" customFormat="1" x14ac:dyDescent="0.25"/>
    <row r="262965" s="12" customFormat="1" x14ac:dyDescent="0.25"/>
    <row r="262966" s="12" customFormat="1" x14ac:dyDescent="0.25"/>
    <row r="262967" s="12" customFormat="1" x14ac:dyDescent="0.25"/>
    <row r="262968" s="12" customFormat="1" x14ac:dyDescent="0.25"/>
    <row r="262969" s="12" customFormat="1" x14ac:dyDescent="0.25"/>
    <row r="262970" s="12" customFormat="1" x14ac:dyDescent="0.25"/>
    <row r="262971" s="12" customFormat="1" x14ac:dyDescent="0.25"/>
    <row r="262972" s="12" customFormat="1" x14ac:dyDescent="0.25"/>
    <row r="262973" s="12" customFormat="1" x14ac:dyDescent="0.25"/>
    <row r="262974" s="12" customFormat="1" x14ac:dyDescent="0.25"/>
    <row r="262975" s="12" customFormat="1" x14ac:dyDescent="0.25"/>
    <row r="262976" s="12" customFormat="1" x14ac:dyDescent="0.25"/>
    <row r="262977" s="12" customFormat="1" x14ac:dyDescent="0.25"/>
    <row r="262978" s="12" customFormat="1" x14ac:dyDescent="0.25"/>
    <row r="262979" s="12" customFormat="1" x14ac:dyDescent="0.25"/>
    <row r="262980" s="12" customFormat="1" x14ac:dyDescent="0.25"/>
    <row r="262981" s="12" customFormat="1" x14ac:dyDescent="0.25"/>
    <row r="262982" s="12" customFormat="1" x14ac:dyDescent="0.25"/>
    <row r="262983" s="12" customFormat="1" x14ac:dyDescent="0.25"/>
    <row r="262984" s="12" customFormat="1" x14ac:dyDescent="0.25"/>
    <row r="262985" s="12" customFormat="1" x14ac:dyDescent="0.25"/>
    <row r="262986" s="12" customFormat="1" x14ac:dyDescent="0.25"/>
    <row r="262987" s="12" customFormat="1" x14ac:dyDescent="0.25"/>
    <row r="262988" s="12" customFormat="1" x14ac:dyDescent="0.25"/>
    <row r="262989" s="12" customFormat="1" x14ac:dyDescent="0.25"/>
    <row r="262990" s="12" customFormat="1" x14ac:dyDescent="0.25"/>
    <row r="262991" s="12" customFormat="1" x14ac:dyDescent="0.25"/>
    <row r="262992" s="12" customFormat="1" x14ac:dyDescent="0.25"/>
    <row r="262993" s="12" customFormat="1" x14ac:dyDescent="0.25"/>
    <row r="262994" s="12" customFormat="1" x14ac:dyDescent="0.25"/>
    <row r="262995" s="12" customFormat="1" x14ac:dyDescent="0.25"/>
    <row r="262996" s="12" customFormat="1" x14ac:dyDescent="0.25"/>
    <row r="262997" s="12" customFormat="1" x14ac:dyDescent="0.25"/>
    <row r="262998" s="12" customFormat="1" x14ac:dyDescent="0.25"/>
    <row r="262999" s="12" customFormat="1" x14ac:dyDescent="0.25"/>
    <row r="263000" s="12" customFormat="1" x14ac:dyDescent="0.25"/>
    <row r="263001" s="12" customFormat="1" x14ac:dyDescent="0.25"/>
    <row r="263002" s="12" customFormat="1" x14ac:dyDescent="0.25"/>
    <row r="263003" s="12" customFormat="1" x14ac:dyDescent="0.25"/>
    <row r="263004" s="12" customFormat="1" x14ac:dyDescent="0.25"/>
    <row r="263005" s="12" customFormat="1" x14ac:dyDescent="0.25"/>
    <row r="263006" s="12" customFormat="1" x14ac:dyDescent="0.25"/>
    <row r="263007" s="12" customFormat="1" x14ac:dyDescent="0.25"/>
    <row r="263008" s="12" customFormat="1" x14ac:dyDescent="0.25"/>
    <row r="263009" s="12" customFormat="1" x14ac:dyDescent="0.25"/>
    <row r="263010" s="12" customFormat="1" x14ac:dyDescent="0.25"/>
    <row r="263011" s="12" customFormat="1" x14ac:dyDescent="0.25"/>
    <row r="263012" s="12" customFormat="1" x14ac:dyDescent="0.25"/>
    <row r="263013" s="12" customFormat="1" x14ac:dyDescent="0.25"/>
    <row r="263014" s="12" customFormat="1" x14ac:dyDescent="0.25"/>
    <row r="263015" s="12" customFormat="1" x14ac:dyDescent="0.25"/>
    <row r="263016" s="12" customFormat="1" x14ac:dyDescent="0.25"/>
    <row r="263017" s="12" customFormat="1" x14ac:dyDescent="0.25"/>
    <row r="263018" s="12" customFormat="1" x14ac:dyDescent="0.25"/>
    <row r="263019" s="12" customFormat="1" x14ac:dyDescent="0.25"/>
    <row r="263020" s="12" customFormat="1" x14ac:dyDescent="0.25"/>
    <row r="263021" s="12" customFormat="1" x14ac:dyDescent="0.25"/>
    <row r="263022" s="12" customFormat="1" x14ac:dyDescent="0.25"/>
    <row r="263023" s="12" customFormat="1" x14ac:dyDescent="0.25"/>
    <row r="263024" s="12" customFormat="1" x14ac:dyDescent="0.25"/>
    <row r="263025" s="12" customFormat="1" x14ac:dyDescent="0.25"/>
    <row r="263026" s="12" customFormat="1" x14ac:dyDescent="0.25"/>
    <row r="263027" s="12" customFormat="1" x14ac:dyDescent="0.25"/>
    <row r="263028" s="12" customFormat="1" x14ac:dyDescent="0.25"/>
    <row r="263029" s="12" customFormat="1" x14ac:dyDescent="0.25"/>
    <row r="263030" s="12" customFormat="1" x14ac:dyDescent="0.25"/>
    <row r="263031" s="12" customFormat="1" x14ac:dyDescent="0.25"/>
    <row r="263032" s="12" customFormat="1" x14ac:dyDescent="0.25"/>
    <row r="263033" s="12" customFormat="1" x14ac:dyDescent="0.25"/>
    <row r="263034" s="12" customFormat="1" x14ac:dyDescent="0.25"/>
    <row r="263035" s="12" customFormat="1" x14ac:dyDescent="0.25"/>
    <row r="263036" s="12" customFormat="1" x14ac:dyDescent="0.25"/>
    <row r="263037" s="12" customFormat="1" x14ac:dyDescent="0.25"/>
    <row r="263038" s="12" customFormat="1" x14ac:dyDescent="0.25"/>
    <row r="263039" s="12" customFormat="1" x14ac:dyDescent="0.25"/>
    <row r="263040" s="12" customFormat="1" x14ac:dyDescent="0.25"/>
    <row r="263041" s="12" customFormat="1" x14ac:dyDescent="0.25"/>
    <row r="263042" s="12" customFormat="1" x14ac:dyDescent="0.25"/>
    <row r="263043" s="12" customFormat="1" x14ac:dyDescent="0.25"/>
    <row r="263044" s="12" customFormat="1" x14ac:dyDescent="0.25"/>
    <row r="263045" s="12" customFormat="1" x14ac:dyDescent="0.25"/>
    <row r="263046" s="12" customFormat="1" x14ac:dyDescent="0.25"/>
    <row r="263047" s="12" customFormat="1" x14ac:dyDescent="0.25"/>
    <row r="263048" s="12" customFormat="1" x14ac:dyDescent="0.25"/>
    <row r="263049" s="12" customFormat="1" x14ac:dyDescent="0.25"/>
    <row r="263050" s="12" customFormat="1" x14ac:dyDescent="0.25"/>
    <row r="263051" s="12" customFormat="1" x14ac:dyDescent="0.25"/>
    <row r="263052" s="12" customFormat="1" x14ac:dyDescent="0.25"/>
    <row r="263053" s="12" customFormat="1" x14ac:dyDescent="0.25"/>
    <row r="263054" s="12" customFormat="1" x14ac:dyDescent="0.25"/>
    <row r="263055" s="12" customFormat="1" x14ac:dyDescent="0.25"/>
    <row r="263056" s="12" customFormat="1" x14ac:dyDescent="0.25"/>
    <row r="263057" s="12" customFormat="1" x14ac:dyDescent="0.25"/>
    <row r="263058" s="12" customFormat="1" x14ac:dyDescent="0.25"/>
    <row r="263059" s="12" customFormat="1" x14ac:dyDescent="0.25"/>
    <row r="263060" s="12" customFormat="1" x14ac:dyDescent="0.25"/>
    <row r="263061" s="12" customFormat="1" x14ac:dyDescent="0.25"/>
    <row r="263062" s="12" customFormat="1" x14ac:dyDescent="0.25"/>
    <row r="263063" s="12" customFormat="1" x14ac:dyDescent="0.25"/>
    <row r="263064" s="12" customFormat="1" x14ac:dyDescent="0.25"/>
    <row r="263065" s="12" customFormat="1" x14ac:dyDescent="0.25"/>
    <row r="263066" s="12" customFormat="1" x14ac:dyDescent="0.25"/>
    <row r="263067" s="12" customFormat="1" x14ac:dyDescent="0.25"/>
    <row r="263068" s="12" customFormat="1" x14ac:dyDescent="0.25"/>
    <row r="263069" s="12" customFormat="1" x14ac:dyDescent="0.25"/>
    <row r="263070" s="12" customFormat="1" x14ac:dyDescent="0.25"/>
    <row r="263071" s="12" customFormat="1" x14ac:dyDescent="0.25"/>
    <row r="263072" s="12" customFormat="1" x14ac:dyDescent="0.25"/>
    <row r="263073" s="12" customFormat="1" x14ac:dyDescent="0.25"/>
    <row r="263074" s="12" customFormat="1" x14ac:dyDescent="0.25"/>
    <row r="263075" s="12" customFormat="1" x14ac:dyDescent="0.25"/>
    <row r="263076" s="12" customFormat="1" x14ac:dyDescent="0.25"/>
    <row r="263077" s="12" customFormat="1" x14ac:dyDescent="0.25"/>
    <row r="263078" s="12" customFormat="1" x14ac:dyDescent="0.25"/>
    <row r="263079" s="12" customFormat="1" x14ac:dyDescent="0.25"/>
    <row r="263080" s="12" customFormat="1" x14ac:dyDescent="0.25"/>
    <row r="263081" s="12" customFormat="1" x14ac:dyDescent="0.25"/>
    <row r="263082" s="12" customFormat="1" x14ac:dyDescent="0.25"/>
    <row r="263083" s="12" customFormat="1" x14ac:dyDescent="0.25"/>
    <row r="263084" s="12" customFormat="1" x14ac:dyDescent="0.25"/>
    <row r="263085" s="12" customFormat="1" x14ac:dyDescent="0.25"/>
    <row r="263086" s="12" customFormat="1" x14ac:dyDescent="0.25"/>
    <row r="263087" s="12" customFormat="1" x14ac:dyDescent="0.25"/>
    <row r="263088" s="12" customFormat="1" x14ac:dyDescent="0.25"/>
    <row r="263089" s="12" customFormat="1" x14ac:dyDescent="0.25"/>
    <row r="263090" s="12" customFormat="1" x14ac:dyDescent="0.25"/>
    <row r="263091" s="12" customFormat="1" x14ac:dyDescent="0.25"/>
    <row r="263092" s="12" customFormat="1" x14ac:dyDescent="0.25"/>
    <row r="263093" s="12" customFormat="1" x14ac:dyDescent="0.25"/>
    <row r="263094" s="12" customFormat="1" x14ac:dyDescent="0.25"/>
    <row r="263095" s="12" customFormat="1" x14ac:dyDescent="0.25"/>
    <row r="263096" s="12" customFormat="1" x14ac:dyDescent="0.25"/>
    <row r="263097" s="12" customFormat="1" x14ac:dyDescent="0.25"/>
    <row r="263098" s="12" customFormat="1" x14ac:dyDescent="0.25"/>
    <row r="263099" s="12" customFormat="1" x14ac:dyDescent="0.25"/>
    <row r="263100" s="12" customFormat="1" x14ac:dyDescent="0.25"/>
    <row r="263101" s="12" customFormat="1" x14ac:dyDescent="0.25"/>
    <row r="263102" s="12" customFormat="1" x14ac:dyDescent="0.25"/>
    <row r="263103" s="12" customFormat="1" x14ac:dyDescent="0.25"/>
    <row r="263104" s="12" customFormat="1" x14ac:dyDescent="0.25"/>
    <row r="263105" s="12" customFormat="1" x14ac:dyDescent="0.25"/>
    <row r="263106" s="12" customFormat="1" x14ac:dyDescent="0.25"/>
    <row r="263107" s="12" customFormat="1" x14ac:dyDescent="0.25"/>
    <row r="263108" s="12" customFormat="1" x14ac:dyDescent="0.25"/>
    <row r="263109" s="12" customFormat="1" x14ac:dyDescent="0.25"/>
    <row r="263110" s="12" customFormat="1" x14ac:dyDescent="0.25"/>
    <row r="263111" s="12" customFormat="1" x14ac:dyDescent="0.25"/>
    <row r="263112" s="12" customFormat="1" x14ac:dyDescent="0.25"/>
    <row r="263113" s="12" customFormat="1" x14ac:dyDescent="0.25"/>
    <row r="263114" s="12" customFormat="1" x14ac:dyDescent="0.25"/>
    <row r="263115" s="12" customFormat="1" x14ac:dyDescent="0.25"/>
    <row r="263116" s="12" customFormat="1" x14ac:dyDescent="0.25"/>
    <row r="263117" s="12" customFormat="1" x14ac:dyDescent="0.25"/>
    <row r="263118" s="12" customFormat="1" x14ac:dyDescent="0.25"/>
    <row r="263119" s="12" customFormat="1" x14ac:dyDescent="0.25"/>
    <row r="263120" s="12" customFormat="1" x14ac:dyDescent="0.25"/>
    <row r="263121" s="12" customFormat="1" x14ac:dyDescent="0.25"/>
    <row r="263122" s="12" customFormat="1" x14ac:dyDescent="0.25"/>
    <row r="263123" s="12" customFormat="1" x14ac:dyDescent="0.25"/>
    <row r="263124" s="12" customFormat="1" x14ac:dyDescent="0.25"/>
    <row r="263125" s="12" customFormat="1" x14ac:dyDescent="0.25"/>
    <row r="263126" s="12" customFormat="1" x14ac:dyDescent="0.25"/>
    <row r="263127" s="12" customFormat="1" x14ac:dyDescent="0.25"/>
    <row r="263128" s="12" customFormat="1" x14ac:dyDescent="0.25"/>
    <row r="263129" s="12" customFormat="1" x14ac:dyDescent="0.25"/>
    <row r="263130" s="12" customFormat="1" x14ac:dyDescent="0.25"/>
    <row r="263131" s="12" customFormat="1" x14ac:dyDescent="0.25"/>
    <row r="263132" s="12" customFormat="1" x14ac:dyDescent="0.25"/>
    <row r="263133" s="12" customFormat="1" x14ac:dyDescent="0.25"/>
    <row r="263134" s="12" customFormat="1" x14ac:dyDescent="0.25"/>
    <row r="263135" s="12" customFormat="1" x14ac:dyDescent="0.25"/>
    <row r="263136" s="12" customFormat="1" x14ac:dyDescent="0.25"/>
    <row r="263137" s="12" customFormat="1" x14ac:dyDescent="0.25"/>
    <row r="263138" s="12" customFormat="1" x14ac:dyDescent="0.25"/>
    <row r="263139" s="12" customFormat="1" x14ac:dyDescent="0.25"/>
    <row r="263140" s="12" customFormat="1" x14ac:dyDescent="0.25"/>
    <row r="263141" s="12" customFormat="1" x14ac:dyDescent="0.25"/>
    <row r="263142" s="12" customFormat="1" x14ac:dyDescent="0.25"/>
    <row r="263143" s="12" customFormat="1" x14ac:dyDescent="0.25"/>
    <row r="263144" s="12" customFormat="1" x14ac:dyDescent="0.25"/>
    <row r="263145" s="12" customFormat="1" x14ac:dyDescent="0.25"/>
    <row r="263146" s="12" customFormat="1" x14ac:dyDescent="0.25"/>
    <row r="263147" s="12" customFormat="1" x14ac:dyDescent="0.25"/>
    <row r="263148" s="12" customFormat="1" x14ac:dyDescent="0.25"/>
    <row r="263149" s="12" customFormat="1" x14ac:dyDescent="0.25"/>
    <row r="263150" s="12" customFormat="1" x14ac:dyDescent="0.25"/>
    <row r="263151" s="12" customFormat="1" x14ac:dyDescent="0.25"/>
    <row r="263152" s="12" customFormat="1" x14ac:dyDescent="0.25"/>
    <row r="263153" s="12" customFormat="1" x14ac:dyDescent="0.25"/>
    <row r="263154" s="12" customFormat="1" x14ac:dyDescent="0.25"/>
    <row r="263155" s="12" customFormat="1" x14ac:dyDescent="0.25"/>
    <row r="263156" s="12" customFormat="1" x14ac:dyDescent="0.25"/>
    <row r="263157" s="12" customFormat="1" x14ac:dyDescent="0.25"/>
    <row r="263158" s="12" customFormat="1" x14ac:dyDescent="0.25"/>
    <row r="263159" s="12" customFormat="1" x14ac:dyDescent="0.25"/>
    <row r="263160" s="12" customFormat="1" x14ac:dyDescent="0.25"/>
    <row r="263161" s="12" customFormat="1" x14ac:dyDescent="0.25"/>
    <row r="263162" s="12" customFormat="1" x14ac:dyDescent="0.25"/>
    <row r="263163" s="12" customFormat="1" x14ac:dyDescent="0.25"/>
    <row r="263164" s="12" customFormat="1" x14ac:dyDescent="0.25"/>
    <row r="263165" s="12" customFormat="1" x14ac:dyDescent="0.25"/>
    <row r="263166" s="12" customFormat="1" x14ac:dyDescent="0.25"/>
    <row r="263167" s="12" customFormat="1" x14ac:dyDescent="0.25"/>
    <row r="263168" s="12" customFormat="1" x14ac:dyDescent="0.25"/>
    <row r="263169" s="12" customFormat="1" x14ac:dyDescent="0.25"/>
    <row r="263170" s="12" customFormat="1" x14ac:dyDescent="0.25"/>
    <row r="263171" s="12" customFormat="1" x14ac:dyDescent="0.25"/>
    <row r="263172" s="12" customFormat="1" x14ac:dyDescent="0.25"/>
    <row r="263173" s="12" customFormat="1" x14ac:dyDescent="0.25"/>
    <row r="263174" s="12" customFormat="1" x14ac:dyDescent="0.25"/>
    <row r="263175" s="12" customFormat="1" x14ac:dyDescent="0.25"/>
    <row r="263176" s="12" customFormat="1" x14ac:dyDescent="0.25"/>
    <row r="263177" s="12" customFormat="1" x14ac:dyDescent="0.25"/>
    <row r="263178" s="12" customFormat="1" x14ac:dyDescent="0.25"/>
    <row r="263179" s="12" customFormat="1" x14ac:dyDescent="0.25"/>
    <row r="263180" s="12" customFormat="1" x14ac:dyDescent="0.25"/>
    <row r="263181" s="12" customFormat="1" x14ac:dyDescent="0.25"/>
    <row r="263182" s="12" customFormat="1" x14ac:dyDescent="0.25"/>
    <row r="263183" s="12" customFormat="1" x14ac:dyDescent="0.25"/>
    <row r="263184" s="12" customFormat="1" x14ac:dyDescent="0.25"/>
    <row r="263185" s="12" customFormat="1" x14ac:dyDescent="0.25"/>
    <row r="263186" s="12" customFormat="1" x14ac:dyDescent="0.25"/>
    <row r="263187" s="12" customFormat="1" x14ac:dyDescent="0.25"/>
    <row r="263188" s="12" customFormat="1" x14ac:dyDescent="0.25"/>
    <row r="263189" s="12" customFormat="1" x14ac:dyDescent="0.25"/>
    <row r="263190" s="12" customFormat="1" x14ac:dyDescent="0.25"/>
    <row r="263191" s="12" customFormat="1" x14ac:dyDescent="0.25"/>
    <row r="263192" s="12" customFormat="1" x14ac:dyDescent="0.25"/>
    <row r="263193" s="12" customFormat="1" x14ac:dyDescent="0.25"/>
    <row r="263194" s="12" customFormat="1" x14ac:dyDescent="0.25"/>
    <row r="263195" s="12" customFormat="1" x14ac:dyDescent="0.25"/>
    <row r="263196" s="12" customFormat="1" x14ac:dyDescent="0.25"/>
    <row r="263197" s="12" customFormat="1" x14ac:dyDescent="0.25"/>
    <row r="263198" s="12" customFormat="1" x14ac:dyDescent="0.25"/>
    <row r="263199" s="12" customFormat="1" x14ac:dyDescent="0.25"/>
    <row r="263200" s="12" customFormat="1" x14ac:dyDescent="0.25"/>
    <row r="263201" s="12" customFormat="1" x14ac:dyDescent="0.25"/>
    <row r="263202" s="12" customFormat="1" x14ac:dyDescent="0.25"/>
    <row r="263203" s="12" customFormat="1" x14ac:dyDescent="0.25"/>
    <row r="263204" s="12" customFormat="1" x14ac:dyDescent="0.25"/>
    <row r="263205" s="12" customFormat="1" x14ac:dyDescent="0.25"/>
    <row r="263206" s="12" customFormat="1" x14ac:dyDescent="0.25"/>
    <row r="263207" s="12" customFormat="1" x14ac:dyDescent="0.25"/>
    <row r="263208" s="12" customFormat="1" x14ac:dyDescent="0.25"/>
    <row r="263209" s="12" customFormat="1" x14ac:dyDescent="0.25"/>
    <row r="263210" s="12" customFormat="1" x14ac:dyDescent="0.25"/>
    <row r="263211" s="12" customFormat="1" x14ac:dyDescent="0.25"/>
    <row r="263212" s="12" customFormat="1" x14ac:dyDescent="0.25"/>
    <row r="263213" s="12" customFormat="1" x14ac:dyDescent="0.25"/>
    <row r="263214" s="12" customFormat="1" x14ac:dyDescent="0.25"/>
    <row r="263215" s="12" customFormat="1" x14ac:dyDescent="0.25"/>
    <row r="263216" s="12" customFormat="1" x14ac:dyDescent="0.25"/>
    <row r="263217" s="12" customFormat="1" x14ac:dyDescent="0.25"/>
    <row r="263218" s="12" customFormat="1" x14ac:dyDescent="0.25"/>
    <row r="263219" s="12" customFormat="1" x14ac:dyDescent="0.25"/>
    <row r="263220" s="12" customFormat="1" x14ac:dyDescent="0.25"/>
    <row r="263221" s="12" customFormat="1" x14ac:dyDescent="0.25"/>
    <row r="263222" s="12" customFormat="1" x14ac:dyDescent="0.25"/>
    <row r="263223" s="12" customFormat="1" x14ac:dyDescent="0.25"/>
    <row r="263224" s="12" customFormat="1" x14ac:dyDescent="0.25"/>
    <row r="263225" s="12" customFormat="1" x14ac:dyDescent="0.25"/>
    <row r="263226" s="12" customFormat="1" x14ac:dyDescent="0.25"/>
    <row r="263227" s="12" customFormat="1" x14ac:dyDescent="0.25"/>
    <row r="263228" s="12" customFormat="1" x14ac:dyDescent="0.25"/>
    <row r="263229" s="12" customFormat="1" x14ac:dyDescent="0.25"/>
    <row r="263230" s="12" customFormat="1" x14ac:dyDescent="0.25"/>
    <row r="263231" s="12" customFormat="1" x14ac:dyDescent="0.25"/>
    <row r="263232" s="12" customFormat="1" x14ac:dyDescent="0.25"/>
    <row r="263233" s="12" customFormat="1" x14ac:dyDescent="0.25"/>
    <row r="263234" s="12" customFormat="1" x14ac:dyDescent="0.25"/>
    <row r="263235" s="12" customFormat="1" x14ac:dyDescent="0.25"/>
    <row r="263236" s="12" customFormat="1" x14ac:dyDescent="0.25"/>
    <row r="263237" s="12" customFormat="1" x14ac:dyDescent="0.25"/>
    <row r="263238" s="12" customFormat="1" x14ac:dyDescent="0.25"/>
    <row r="263239" s="12" customFormat="1" x14ac:dyDescent="0.25"/>
    <row r="263240" s="12" customFormat="1" x14ac:dyDescent="0.25"/>
    <row r="263241" s="12" customFormat="1" x14ac:dyDescent="0.25"/>
    <row r="263242" s="12" customFormat="1" x14ac:dyDescent="0.25"/>
    <row r="263243" s="12" customFormat="1" x14ac:dyDescent="0.25"/>
    <row r="263244" s="12" customFormat="1" x14ac:dyDescent="0.25"/>
    <row r="263245" s="12" customFormat="1" x14ac:dyDescent="0.25"/>
    <row r="263246" s="12" customFormat="1" x14ac:dyDescent="0.25"/>
    <row r="263247" s="12" customFormat="1" x14ac:dyDescent="0.25"/>
    <row r="263248" s="12" customFormat="1" x14ac:dyDescent="0.25"/>
    <row r="263249" s="12" customFormat="1" x14ac:dyDescent="0.25"/>
    <row r="263250" s="12" customFormat="1" x14ac:dyDescent="0.25"/>
    <row r="263251" s="12" customFormat="1" x14ac:dyDescent="0.25"/>
    <row r="263252" s="12" customFormat="1" x14ac:dyDescent="0.25"/>
    <row r="263253" s="12" customFormat="1" x14ac:dyDescent="0.25"/>
    <row r="263254" s="12" customFormat="1" x14ac:dyDescent="0.25"/>
    <row r="263255" s="12" customFormat="1" x14ac:dyDescent="0.25"/>
    <row r="263256" s="12" customFormat="1" x14ac:dyDescent="0.25"/>
    <row r="263257" s="12" customFormat="1" x14ac:dyDescent="0.25"/>
    <row r="263258" s="12" customFormat="1" x14ac:dyDescent="0.25"/>
    <row r="263259" s="12" customFormat="1" x14ac:dyDescent="0.25"/>
    <row r="263260" s="12" customFormat="1" x14ac:dyDescent="0.25"/>
    <row r="263261" s="12" customFormat="1" x14ac:dyDescent="0.25"/>
    <row r="263262" s="12" customFormat="1" x14ac:dyDescent="0.25"/>
    <row r="263263" s="12" customFormat="1" x14ac:dyDescent="0.25"/>
    <row r="263264" s="12" customFormat="1" x14ac:dyDescent="0.25"/>
    <row r="263265" s="12" customFormat="1" x14ac:dyDescent="0.25"/>
    <row r="263266" s="12" customFormat="1" x14ac:dyDescent="0.25"/>
    <row r="263267" s="12" customFormat="1" x14ac:dyDescent="0.25"/>
    <row r="263268" s="12" customFormat="1" x14ac:dyDescent="0.25"/>
    <row r="263269" s="12" customFormat="1" x14ac:dyDescent="0.25"/>
    <row r="263270" s="12" customFormat="1" x14ac:dyDescent="0.25"/>
    <row r="263271" s="12" customFormat="1" x14ac:dyDescent="0.25"/>
    <row r="263272" s="12" customFormat="1" x14ac:dyDescent="0.25"/>
    <row r="263273" s="12" customFormat="1" x14ac:dyDescent="0.25"/>
    <row r="263274" s="12" customFormat="1" x14ac:dyDescent="0.25"/>
    <row r="263275" s="12" customFormat="1" x14ac:dyDescent="0.25"/>
    <row r="263276" s="12" customFormat="1" x14ac:dyDescent="0.25"/>
    <row r="263277" s="12" customFormat="1" x14ac:dyDescent="0.25"/>
    <row r="263278" s="12" customFormat="1" x14ac:dyDescent="0.25"/>
    <row r="263279" s="12" customFormat="1" x14ac:dyDescent="0.25"/>
    <row r="263280" s="12" customFormat="1" x14ac:dyDescent="0.25"/>
    <row r="263281" s="12" customFormat="1" x14ac:dyDescent="0.25"/>
    <row r="263282" s="12" customFormat="1" x14ac:dyDescent="0.25"/>
    <row r="263283" s="12" customFormat="1" x14ac:dyDescent="0.25"/>
    <row r="263284" s="12" customFormat="1" x14ac:dyDescent="0.25"/>
    <row r="263285" s="12" customFormat="1" x14ac:dyDescent="0.25"/>
    <row r="263286" s="12" customFormat="1" x14ac:dyDescent="0.25"/>
    <row r="263287" s="12" customFormat="1" x14ac:dyDescent="0.25"/>
    <row r="263288" s="12" customFormat="1" x14ac:dyDescent="0.25"/>
    <row r="263289" s="12" customFormat="1" x14ac:dyDescent="0.25"/>
    <row r="263290" s="12" customFormat="1" x14ac:dyDescent="0.25"/>
    <row r="263291" s="12" customFormat="1" x14ac:dyDescent="0.25"/>
    <row r="263292" s="12" customFormat="1" x14ac:dyDescent="0.25"/>
    <row r="263293" s="12" customFormat="1" x14ac:dyDescent="0.25"/>
    <row r="263294" s="12" customFormat="1" x14ac:dyDescent="0.25"/>
    <row r="263295" s="12" customFormat="1" x14ac:dyDescent="0.25"/>
    <row r="263296" s="12" customFormat="1" x14ac:dyDescent="0.25"/>
    <row r="263297" s="12" customFormat="1" x14ac:dyDescent="0.25"/>
    <row r="263298" s="12" customFormat="1" x14ac:dyDescent="0.25"/>
    <row r="263299" s="12" customFormat="1" x14ac:dyDescent="0.25"/>
    <row r="263300" s="12" customFormat="1" x14ac:dyDescent="0.25"/>
    <row r="263301" s="12" customFormat="1" x14ac:dyDescent="0.25"/>
    <row r="263302" s="12" customFormat="1" x14ac:dyDescent="0.25"/>
    <row r="263303" s="12" customFormat="1" x14ac:dyDescent="0.25"/>
    <row r="263304" s="12" customFormat="1" x14ac:dyDescent="0.25"/>
    <row r="263305" s="12" customFormat="1" x14ac:dyDescent="0.25"/>
    <row r="263306" s="12" customFormat="1" x14ac:dyDescent="0.25"/>
    <row r="263307" s="12" customFormat="1" x14ac:dyDescent="0.25"/>
    <row r="263308" s="12" customFormat="1" x14ac:dyDescent="0.25"/>
    <row r="263309" s="12" customFormat="1" x14ac:dyDescent="0.25"/>
    <row r="263310" s="12" customFormat="1" x14ac:dyDescent="0.25"/>
    <row r="263311" s="12" customFormat="1" x14ac:dyDescent="0.25"/>
    <row r="263312" s="12" customFormat="1" x14ac:dyDescent="0.25"/>
    <row r="263313" s="12" customFormat="1" x14ac:dyDescent="0.25"/>
    <row r="263314" s="12" customFormat="1" x14ac:dyDescent="0.25"/>
    <row r="263315" s="12" customFormat="1" x14ac:dyDescent="0.25"/>
    <row r="263316" s="12" customFormat="1" x14ac:dyDescent="0.25"/>
    <row r="263317" s="12" customFormat="1" x14ac:dyDescent="0.25"/>
    <row r="263318" s="12" customFormat="1" x14ac:dyDescent="0.25"/>
    <row r="263319" s="12" customFormat="1" x14ac:dyDescent="0.25"/>
    <row r="263320" s="12" customFormat="1" x14ac:dyDescent="0.25"/>
    <row r="263321" s="12" customFormat="1" x14ac:dyDescent="0.25"/>
    <row r="263322" s="12" customFormat="1" x14ac:dyDescent="0.25"/>
    <row r="263323" s="12" customFormat="1" x14ac:dyDescent="0.25"/>
    <row r="263324" s="12" customFormat="1" x14ac:dyDescent="0.25"/>
    <row r="263325" s="12" customFormat="1" x14ac:dyDescent="0.25"/>
    <row r="263326" s="12" customFormat="1" x14ac:dyDescent="0.25"/>
    <row r="263327" s="12" customFormat="1" x14ac:dyDescent="0.25"/>
    <row r="263328" s="12" customFormat="1" x14ac:dyDescent="0.25"/>
    <row r="263329" s="12" customFormat="1" x14ac:dyDescent="0.25"/>
    <row r="263330" s="12" customFormat="1" x14ac:dyDescent="0.25"/>
    <row r="263331" s="12" customFormat="1" x14ac:dyDescent="0.25"/>
    <row r="263332" s="12" customFormat="1" x14ac:dyDescent="0.25"/>
    <row r="263333" s="12" customFormat="1" x14ac:dyDescent="0.25"/>
    <row r="263334" s="12" customFormat="1" x14ac:dyDescent="0.25"/>
    <row r="263335" s="12" customFormat="1" x14ac:dyDescent="0.25"/>
    <row r="263336" s="12" customFormat="1" x14ac:dyDescent="0.25"/>
    <row r="263337" s="12" customFormat="1" x14ac:dyDescent="0.25"/>
    <row r="263338" s="12" customFormat="1" x14ac:dyDescent="0.25"/>
    <row r="263339" s="12" customFormat="1" x14ac:dyDescent="0.25"/>
    <row r="263340" s="12" customFormat="1" x14ac:dyDescent="0.25"/>
    <row r="263341" s="12" customFormat="1" x14ac:dyDescent="0.25"/>
    <row r="263342" s="12" customFormat="1" x14ac:dyDescent="0.25"/>
    <row r="263343" s="12" customFormat="1" x14ac:dyDescent="0.25"/>
    <row r="263344" s="12" customFormat="1" x14ac:dyDescent="0.25"/>
    <row r="263345" s="12" customFormat="1" x14ac:dyDescent="0.25"/>
    <row r="263346" s="12" customFormat="1" x14ac:dyDescent="0.25"/>
    <row r="263347" s="12" customFormat="1" x14ac:dyDescent="0.25"/>
    <row r="263348" s="12" customFormat="1" x14ac:dyDescent="0.25"/>
    <row r="263349" s="12" customFormat="1" x14ac:dyDescent="0.25"/>
    <row r="263350" s="12" customFormat="1" x14ac:dyDescent="0.25"/>
    <row r="263351" s="12" customFormat="1" x14ac:dyDescent="0.25"/>
    <row r="263352" s="12" customFormat="1" x14ac:dyDescent="0.25"/>
    <row r="263353" s="12" customFormat="1" x14ac:dyDescent="0.25"/>
    <row r="263354" s="12" customFormat="1" x14ac:dyDescent="0.25"/>
    <row r="263355" s="12" customFormat="1" x14ac:dyDescent="0.25"/>
    <row r="263356" s="12" customFormat="1" x14ac:dyDescent="0.25"/>
    <row r="263357" s="12" customFormat="1" x14ac:dyDescent="0.25"/>
    <row r="263358" s="12" customFormat="1" x14ac:dyDescent="0.25"/>
    <row r="263359" s="12" customFormat="1" x14ac:dyDescent="0.25"/>
    <row r="263360" s="12" customFormat="1" x14ac:dyDescent="0.25"/>
    <row r="263361" s="12" customFormat="1" x14ac:dyDescent="0.25"/>
    <row r="263362" s="12" customFormat="1" x14ac:dyDescent="0.25"/>
    <row r="263363" s="12" customFormat="1" x14ac:dyDescent="0.25"/>
    <row r="263364" s="12" customFormat="1" x14ac:dyDescent="0.25"/>
    <row r="263365" s="12" customFormat="1" x14ac:dyDescent="0.25"/>
    <row r="263366" s="12" customFormat="1" x14ac:dyDescent="0.25"/>
    <row r="263367" s="12" customFormat="1" x14ac:dyDescent="0.25"/>
    <row r="263368" s="12" customFormat="1" x14ac:dyDescent="0.25"/>
    <row r="263369" s="12" customFormat="1" x14ac:dyDescent="0.25"/>
    <row r="263370" s="12" customFormat="1" x14ac:dyDescent="0.25"/>
    <row r="263371" s="12" customFormat="1" x14ac:dyDescent="0.25"/>
    <row r="263372" s="12" customFormat="1" x14ac:dyDescent="0.25"/>
    <row r="263373" s="12" customFormat="1" x14ac:dyDescent="0.25"/>
    <row r="263374" s="12" customFormat="1" x14ac:dyDescent="0.25"/>
    <row r="263375" s="12" customFormat="1" x14ac:dyDescent="0.25"/>
    <row r="263376" s="12" customFormat="1" x14ac:dyDescent="0.25"/>
    <row r="263377" s="12" customFormat="1" x14ac:dyDescent="0.25"/>
    <row r="263378" s="12" customFormat="1" x14ac:dyDescent="0.25"/>
    <row r="263379" s="12" customFormat="1" x14ac:dyDescent="0.25"/>
    <row r="263380" s="12" customFormat="1" x14ac:dyDescent="0.25"/>
    <row r="263381" s="12" customFormat="1" x14ac:dyDescent="0.25"/>
    <row r="263382" s="12" customFormat="1" x14ac:dyDescent="0.25"/>
    <row r="263383" s="12" customFormat="1" x14ac:dyDescent="0.25"/>
    <row r="263384" s="12" customFormat="1" x14ac:dyDescent="0.25"/>
    <row r="263385" s="12" customFormat="1" x14ac:dyDescent="0.25"/>
    <row r="263386" s="12" customFormat="1" x14ac:dyDescent="0.25"/>
    <row r="263387" s="12" customFormat="1" x14ac:dyDescent="0.25"/>
    <row r="263388" s="12" customFormat="1" x14ac:dyDescent="0.25"/>
    <row r="263389" s="12" customFormat="1" x14ac:dyDescent="0.25"/>
    <row r="263390" s="12" customFormat="1" x14ac:dyDescent="0.25"/>
    <row r="263391" s="12" customFormat="1" x14ac:dyDescent="0.25"/>
    <row r="263392" s="12" customFormat="1" x14ac:dyDescent="0.25"/>
    <row r="263393" s="12" customFormat="1" x14ac:dyDescent="0.25"/>
    <row r="263394" s="12" customFormat="1" x14ac:dyDescent="0.25"/>
    <row r="263395" s="12" customFormat="1" x14ac:dyDescent="0.25"/>
    <row r="263396" s="12" customFormat="1" x14ac:dyDescent="0.25"/>
    <row r="263397" s="12" customFormat="1" x14ac:dyDescent="0.25"/>
    <row r="263398" s="12" customFormat="1" x14ac:dyDescent="0.25"/>
    <row r="263399" s="12" customFormat="1" x14ac:dyDescent="0.25"/>
    <row r="263400" s="12" customFormat="1" x14ac:dyDescent="0.25"/>
    <row r="263401" s="12" customFormat="1" x14ac:dyDescent="0.25"/>
    <row r="263402" s="12" customFormat="1" x14ac:dyDescent="0.25"/>
    <row r="263403" s="12" customFormat="1" x14ac:dyDescent="0.25"/>
    <row r="263404" s="12" customFormat="1" x14ac:dyDescent="0.25"/>
    <row r="263405" s="12" customFormat="1" x14ac:dyDescent="0.25"/>
    <row r="263406" s="12" customFormat="1" x14ac:dyDescent="0.25"/>
    <row r="263407" s="12" customFormat="1" x14ac:dyDescent="0.25"/>
    <row r="263408" s="12" customFormat="1" x14ac:dyDescent="0.25"/>
    <row r="263409" s="12" customFormat="1" x14ac:dyDescent="0.25"/>
    <row r="263410" s="12" customFormat="1" x14ac:dyDescent="0.25"/>
    <row r="263411" s="12" customFormat="1" x14ac:dyDescent="0.25"/>
    <row r="263412" s="12" customFormat="1" x14ac:dyDescent="0.25"/>
    <row r="263413" s="12" customFormat="1" x14ac:dyDescent="0.25"/>
    <row r="263414" s="12" customFormat="1" x14ac:dyDescent="0.25"/>
    <row r="263415" s="12" customFormat="1" x14ac:dyDescent="0.25"/>
    <row r="263416" s="12" customFormat="1" x14ac:dyDescent="0.25"/>
    <row r="263417" s="12" customFormat="1" x14ac:dyDescent="0.25"/>
    <row r="263418" s="12" customFormat="1" x14ac:dyDescent="0.25"/>
    <row r="263419" s="12" customFormat="1" x14ac:dyDescent="0.25"/>
    <row r="263420" s="12" customFormat="1" x14ac:dyDescent="0.25"/>
    <row r="263421" s="12" customFormat="1" x14ac:dyDescent="0.25"/>
    <row r="263422" s="12" customFormat="1" x14ac:dyDescent="0.25"/>
    <row r="263423" s="12" customFormat="1" x14ac:dyDescent="0.25"/>
    <row r="263424" s="12" customFormat="1" x14ac:dyDescent="0.25"/>
    <row r="263425" s="12" customFormat="1" x14ac:dyDescent="0.25"/>
    <row r="263426" s="12" customFormat="1" x14ac:dyDescent="0.25"/>
    <row r="263427" s="12" customFormat="1" x14ac:dyDescent="0.25"/>
    <row r="263428" s="12" customFormat="1" x14ac:dyDescent="0.25"/>
    <row r="263429" s="12" customFormat="1" x14ac:dyDescent="0.25"/>
    <row r="263430" s="12" customFormat="1" x14ac:dyDescent="0.25"/>
    <row r="263431" s="12" customFormat="1" x14ac:dyDescent="0.25"/>
    <row r="263432" s="12" customFormat="1" x14ac:dyDescent="0.25"/>
    <row r="263433" s="12" customFormat="1" x14ac:dyDescent="0.25"/>
    <row r="263434" s="12" customFormat="1" x14ac:dyDescent="0.25"/>
    <row r="263435" s="12" customFormat="1" x14ac:dyDescent="0.25"/>
    <row r="263436" s="12" customFormat="1" x14ac:dyDescent="0.25"/>
    <row r="263437" s="12" customFormat="1" x14ac:dyDescent="0.25"/>
    <row r="263438" s="12" customFormat="1" x14ac:dyDescent="0.25"/>
    <row r="263439" s="12" customFormat="1" x14ac:dyDescent="0.25"/>
    <row r="263440" s="12" customFormat="1" x14ac:dyDescent="0.25"/>
    <row r="263441" s="12" customFormat="1" x14ac:dyDescent="0.25"/>
    <row r="263442" s="12" customFormat="1" x14ac:dyDescent="0.25"/>
    <row r="263443" s="12" customFormat="1" x14ac:dyDescent="0.25"/>
    <row r="263444" s="12" customFormat="1" x14ac:dyDescent="0.25"/>
    <row r="263445" s="12" customFormat="1" x14ac:dyDescent="0.25"/>
    <row r="263446" s="12" customFormat="1" x14ac:dyDescent="0.25"/>
    <row r="263447" s="12" customFormat="1" x14ac:dyDescent="0.25"/>
    <row r="263448" s="12" customFormat="1" x14ac:dyDescent="0.25"/>
    <row r="263449" s="12" customFormat="1" x14ac:dyDescent="0.25"/>
    <row r="263450" s="12" customFormat="1" x14ac:dyDescent="0.25"/>
    <row r="263451" s="12" customFormat="1" x14ac:dyDescent="0.25"/>
    <row r="263452" s="12" customFormat="1" x14ac:dyDescent="0.25"/>
    <row r="263453" s="12" customFormat="1" x14ac:dyDescent="0.25"/>
    <row r="263454" s="12" customFormat="1" x14ac:dyDescent="0.25"/>
    <row r="263455" s="12" customFormat="1" x14ac:dyDescent="0.25"/>
    <row r="263456" s="12" customFormat="1" x14ac:dyDescent="0.25"/>
    <row r="263457" s="12" customFormat="1" x14ac:dyDescent="0.25"/>
    <row r="263458" s="12" customFormat="1" x14ac:dyDescent="0.25"/>
    <row r="263459" s="12" customFormat="1" x14ac:dyDescent="0.25"/>
    <row r="263460" s="12" customFormat="1" x14ac:dyDescent="0.25"/>
    <row r="263461" s="12" customFormat="1" x14ac:dyDescent="0.25"/>
    <row r="263462" s="12" customFormat="1" x14ac:dyDescent="0.25"/>
    <row r="263463" s="12" customFormat="1" x14ac:dyDescent="0.25"/>
    <row r="263464" s="12" customFormat="1" x14ac:dyDescent="0.25"/>
    <row r="263465" s="12" customFormat="1" x14ac:dyDescent="0.25"/>
    <row r="263466" s="12" customFormat="1" x14ac:dyDescent="0.25"/>
    <row r="263467" s="12" customFormat="1" x14ac:dyDescent="0.25"/>
    <row r="263468" s="12" customFormat="1" x14ac:dyDescent="0.25"/>
    <row r="263469" s="12" customFormat="1" x14ac:dyDescent="0.25"/>
    <row r="263470" s="12" customFormat="1" x14ac:dyDescent="0.25"/>
    <row r="263471" s="12" customFormat="1" x14ac:dyDescent="0.25"/>
    <row r="263472" s="12" customFormat="1" x14ac:dyDescent="0.25"/>
    <row r="263473" s="12" customFormat="1" x14ac:dyDescent="0.25"/>
    <row r="263474" s="12" customFormat="1" x14ac:dyDescent="0.25"/>
    <row r="263475" s="12" customFormat="1" x14ac:dyDescent="0.25"/>
    <row r="263476" s="12" customFormat="1" x14ac:dyDescent="0.25"/>
    <row r="263477" s="12" customFormat="1" x14ac:dyDescent="0.25"/>
    <row r="263478" s="12" customFormat="1" x14ac:dyDescent="0.25"/>
    <row r="263479" s="12" customFormat="1" x14ac:dyDescent="0.25"/>
    <row r="263480" s="12" customFormat="1" x14ac:dyDescent="0.25"/>
    <row r="263481" s="12" customFormat="1" x14ac:dyDescent="0.25"/>
    <row r="263482" s="12" customFormat="1" x14ac:dyDescent="0.25"/>
    <row r="263483" s="12" customFormat="1" x14ac:dyDescent="0.25"/>
    <row r="263484" s="12" customFormat="1" x14ac:dyDescent="0.25"/>
    <row r="263485" s="12" customFormat="1" x14ac:dyDescent="0.25"/>
    <row r="263486" s="12" customFormat="1" x14ac:dyDescent="0.25"/>
    <row r="263487" s="12" customFormat="1" x14ac:dyDescent="0.25"/>
    <row r="263488" s="12" customFormat="1" x14ac:dyDescent="0.25"/>
    <row r="263489" s="12" customFormat="1" x14ac:dyDescent="0.25"/>
    <row r="263490" s="12" customFormat="1" x14ac:dyDescent="0.25"/>
    <row r="263491" s="12" customFormat="1" x14ac:dyDescent="0.25"/>
    <row r="263492" s="12" customFormat="1" x14ac:dyDescent="0.25"/>
    <row r="263493" s="12" customFormat="1" x14ac:dyDescent="0.25"/>
    <row r="263494" s="12" customFormat="1" x14ac:dyDescent="0.25"/>
    <row r="263495" s="12" customFormat="1" x14ac:dyDescent="0.25"/>
    <row r="263496" s="12" customFormat="1" x14ac:dyDescent="0.25"/>
    <row r="263497" s="12" customFormat="1" x14ac:dyDescent="0.25"/>
    <row r="263498" s="12" customFormat="1" x14ac:dyDescent="0.25"/>
    <row r="263499" s="12" customFormat="1" x14ac:dyDescent="0.25"/>
    <row r="263500" s="12" customFormat="1" x14ac:dyDescent="0.25"/>
    <row r="263501" s="12" customFormat="1" x14ac:dyDescent="0.25"/>
    <row r="263502" s="12" customFormat="1" x14ac:dyDescent="0.25"/>
    <row r="263503" s="12" customFormat="1" x14ac:dyDescent="0.25"/>
    <row r="263504" s="12" customFormat="1" x14ac:dyDescent="0.25"/>
    <row r="263505" s="12" customFormat="1" x14ac:dyDescent="0.25"/>
    <row r="263506" s="12" customFormat="1" x14ac:dyDescent="0.25"/>
    <row r="263507" s="12" customFormat="1" x14ac:dyDescent="0.25"/>
    <row r="263508" s="12" customFormat="1" x14ac:dyDescent="0.25"/>
    <row r="263509" s="12" customFormat="1" x14ac:dyDescent="0.25"/>
    <row r="263510" s="12" customFormat="1" x14ac:dyDescent="0.25"/>
    <row r="263511" s="12" customFormat="1" x14ac:dyDescent="0.25"/>
    <row r="263512" s="12" customFormat="1" x14ac:dyDescent="0.25"/>
    <row r="263513" s="12" customFormat="1" x14ac:dyDescent="0.25"/>
    <row r="263514" s="12" customFormat="1" x14ac:dyDescent="0.25"/>
    <row r="263515" s="12" customFormat="1" x14ac:dyDescent="0.25"/>
    <row r="263516" s="12" customFormat="1" x14ac:dyDescent="0.25"/>
    <row r="263517" s="12" customFormat="1" x14ac:dyDescent="0.25"/>
    <row r="263518" s="12" customFormat="1" x14ac:dyDescent="0.25"/>
    <row r="263519" s="12" customFormat="1" x14ac:dyDescent="0.25"/>
    <row r="263520" s="12" customFormat="1" x14ac:dyDescent="0.25"/>
    <row r="263521" s="12" customFormat="1" x14ac:dyDescent="0.25"/>
    <row r="263522" s="12" customFormat="1" x14ac:dyDescent="0.25"/>
    <row r="263523" s="12" customFormat="1" x14ac:dyDescent="0.25"/>
    <row r="263524" s="12" customFormat="1" x14ac:dyDescent="0.25"/>
    <row r="263525" s="12" customFormat="1" x14ac:dyDescent="0.25"/>
    <row r="263526" s="12" customFormat="1" x14ac:dyDescent="0.25"/>
    <row r="263527" s="12" customFormat="1" x14ac:dyDescent="0.25"/>
    <row r="263528" s="12" customFormat="1" x14ac:dyDescent="0.25"/>
    <row r="263529" s="12" customFormat="1" x14ac:dyDescent="0.25"/>
    <row r="263530" s="12" customFormat="1" x14ac:dyDescent="0.25"/>
    <row r="263531" s="12" customFormat="1" x14ac:dyDescent="0.25"/>
    <row r="263532" s="12" customFormat="1" x14ac:dyDescent="0.25"/>
    <row r="263533" s="12" customFormat="1" x14ac:dyDescent="0.25"/>
    <row r="263534" s="12" customFormat="1" x14ac:dyDescent="0.25"/>
    <row r="263535" s="12" customFormat="1" x14ac:dyDescent="0.25"/>
    <row r="263536" s="12" customFormat="1" x14ac:dyDescent="0.25"/>
    <row r="263537" s="12" customFormat="1" x14ac:dyDescent="0.25"/>
    <row r="263538" s="12" customFormat="1" x14ac:dyDescent="0.25"/>
    <row r="263539" s="12" customFormat="1" x14ac:dyDescent="0.25"/>
    <row r="263540" s="12" customFormat="1" x14ac:dyDescent="0.25"/>
    <row r="263541" s="12" customFormat="1" x14ac:dyDescent="0.25"/>
    <row r="263542" s="12" customFormat="1" x14ac:dyDescent="0.25"/>
    <row r="263543" s="12" customFormat="1" x14ac:dyDescent="0.25"/>
    <row r="263544" s="12" customFormat="1" x14ac:dyDescent="0.25"/>
    <row r="263545" s="12" customFormat="1" x14ac:dyDescent="0.25"/>
    <row r="263546" s="12" customFormat="1" x14ac:dyDescent="0.25"/>
    <row r="263547" s="12" customFormat="1" x14ac:dyDescent="0.25"/>
    <row r="263548" s="12" customFormat="1" x14ac:dyDescent="0.25"/>
    <row r="263549" s="12" customFormat="1" x14ac:dyDescent="0.25"/>
    <row r="263550" s="12" customFormat="1" x14ac:dyDescent="0.25"/>
    <row r="263551" s="12" customFormat="1" x14ac:dyDescent="0.25"/>
    <row r="263552" s="12" customFormat="1" x14ac:dyDescent="0.25"/>
    <row r="263553" s="12" customFormat="1" x14ac:dyDescent="0.25"/>
    <row r="263554" s="12" customFormat="1" x14ac:dyDescent="0.25"/>
    <row r="263555" s="12" customFormat="1" x14ac:dyDescent="0.25"/>
    <row r="263556" s="12" customFormat="1" x14ac:dyDescent="0.25"/>
    <row r="263557" s="12" customFormat="1" x14ac:dyDescent="0.25"/>
    <row r="263558" s="12" customFormat="1" x14ac:dyDescent="0.25"/>
    <row r="263559" s="12" customFormat="1" x14ac:dyDescent="0.25"/>
    <row r="263560" s="12" customFormat="1" x14ac:dyDescent="0.25"/>
    <row r="263561" s="12" customFormat="1" x14ac:dyDescent="0.25"/>
    <row r="263562" s="12" customFormat="1" x14ac:dyDescent="0.25"/>
    <row r="263563" s="12" customFormat="1" x14ac:dyDescent="0.25"/>
    <row r="263564" s="12" customFormat="1" x14ac:dyDescent="0.25"/>
    <row r="263565" s="12" customFormat="1" x14ac:dyDescent="0.25"/>
    <row r="263566" s="12" customFormat="1" x14ac:dyDescent="0.25"/>
    <row r="263567" s="12" customFormat="1" x14ac:dyDescent="0.25"/>
    <row r="263568" s="12" customFormat="1" x14ac:dyDescent="0.25"/>
    <row r="263569" s="12" customFormat="1" x14ac:dyDescent="0.25"/>
    <row r="263570" s="12" customFormat="1" x14ac:dyDescent="0.25"/>
    <row r="263571" s="12" customFormat="1" x14ac:dyDescent="0.25"/>
    <row r="263572" s="12" customFormat="1" x14ac:dyDescent="0.25"/>
    <row r="263573" s="12" customFormat="1" x14ac:dyDescent="0.25"/>
    <row r="263574" s="12" customFormat="1" x14ac:dyDescent="0.25"/>
    <row r="263575" s="12" customFormat="1" x14ac:dyDescent="0.25"/>
    <row r="263576" s="12" customFormat="1" x14ac:dyDescent="0.25"/>
    <row r="263577" s="12" customFormat="1" x14ac:dyDescent="0.25"/>
    <row r="263578" s="12" customFormat="1" x14ac:dyDescent="0.25"/>
    <row r="263579" s="12" customFormat="1" x14ac:dyDescent="0.25"/>
    <row r="263580" s="12" customFormat="1" x14ac:dyDescent="0.25"/>
    <row r="263581" s="12" customFormat="1" x14ac:dyDescent="0.25"/>
    <row r="263582" s="12" customFormat="1" x14ac:dyDescent="0.25"/>
    <row r="263583" s="12" customFormat="1" x14ac:dyDescent="0.25"/>
    <row r="263584" s="12" customFormat="1" x14ac:dyDescent="0.25"/>
    <row r="263585" s="12" customFormat="1" x14ac:dyDescent="0.25"/>
    <row r="263586" s="12" customFormat="1" x14ac:dyDescent="0.25"/>
    <row r="263587" s="12" customFormat="1" x14ac:dyDescent="0.25"/>
    <row r="263588" s="12" customFormat="1" x14ac:dyDescent="0.25"/>
    <row r="263589" s="12" customFormat="1" x14ac:dyDescent="0.25"/>
    <row r="263590" s="12" customFormat="1" x14ac:dyDescent="0.25"/>
    <row r="263591" s="12" customFormat="1" x14ac:dyDescent="0.25"/>
    <row r="263592" s="12" customFormat="1" x14ac:dyDescent="0.25"/>
    <row r="263593" s="12" customFormat="1" x14ac:dyDescent="0.25"/>
    <row r="263594" s="12" customFormat="1" x14ac:dyDescent="0.25"/>
    <row r="263595" s="12" customFormat="1" x14ac:dyDescent="0.25"/>
    <row r="263596" s="12" customFormat="1" x14ac:dyDescent="0.25"/>
    <row r="263597" s="12" customFormat="1" x14ac:dyDescent="0.25"/>
    <row r="263598" s="12" customFormat="1" x14ac:dyDescent="0.25"/>
    <row r="263599" s="12" customFormat="1" x14ac:dyDescent="0.25"/>
    <row r="263600" s="12" customFormat="1" x14ac:dyDescent="0.25"/>
    <row r="263601" s="12" customFormat="1" x14ac:dyDescent="0.25"/>
    <row r="263602" s="12" customFormat="1" x14ac:dyDescent="0.25"/>
    <row r="263603" s="12" customFormat="1" x14ac:dyDescent="0.25"/>
    <row r="263604" s="12" customFormat="1" x14ac:dyDescent="0.25"/>
    <row r="263605" s="12" customFormat="1" x14ac:dyDescent="0.25"/>
    <row r="263606" s="12" customFormat="1" x14ac:dyDescent="0.25"/>
    <row r="263607" s="12" customFormat="1" x14ac:dyDescent="0.25"/>
    <row r="263608" s="12" customFormat="1" x14ac:dyDescent="0.25"/>
    <row r="263609" s="12" customFormat="1" x14ac:dyDescent="0.25"/>
    <row r="263610" s="12" customFormat="1" x14ac:dyDescent="0.25"/>
    <row r="263611" s="12" customFormat="1" x14ac:dyDescent="0.25"/>
    <row r="263612" s="12" customFormat="1" x14ac:dyDescent="0.25"/>
    <row r="263613" s="12" customFormat="1" x14ac:dyDescent="0.25"/>
    <row r="263614" s="12" customFormat="1" x14ac:dyDescent="0.25"/>
    <row r="263615" s="12" customFormat="1" x14ac:dyDescent="0.25"/>
    <row r="263616" s="12" customFormat="1" x14ac:dyDescent="0.25"/>
    <row r="263617" s="12" customFormat="1" x14ac:dyDescent="0.25"/>
    <row r="263618" s="12" customFormat="1" x14ac:dyDescent="0.25"/>
    <row r="263619" s="12" customFormat="1" x14ac:dyDescent="0.25"/>
    <row r="263620" s="12" customFormat="1" x14ac:dyDescent="0.25"/>
    <row r="263621" s="12" customFormat="1" x14ac:dyDescent="0.25"/>
    <row r="263622" s="12" customFormat="1" x14ac:dyDescent="0.25"/>
    <row r="263623" s="12" customFormat="1" x14ac:dyDescent="0.25"/>
    <row r="263624" s="12" customFormat="1" x14ac:dyDescent="0.25"/>
    <row r="263625" s="12" customFormat="1" x14ac:dyDescent="0.25"/>
    <row r="263626" s="12" customFormat="1" x14ac:dyDescent="0.25"/>
    <row r="263627" s="12" customFormat="1" x14ac:dyDescent="0.25"/>
    <row r="263628" s="12" customFormat="1" x14ac:dyDescent="0.25"/>
    <row r="263629" s="12" customFormat="1" x14ac:dyDescent="0.25"/>
    <row r="263630" s="12" customFormat="1" x14ac:dyDescent="0.25"/>
    <row r="263631" s="12" customFormat="1" x14ac:dyDescent="0.25"/>
    <row r="263632" s="12" customFormat="1" x14ac:dyDescent="0.25"/>
    <row r="263633" s="12" customFormat="1" x14ac:dyDescent="0.25"/>
    <row r="263634" s="12" customFormat="1" x14ac:dyDescent="0.25"/>
    <row r="263635" s="12" customFormat="1" x14ac:dyDescent="0.25"/>
    <row r="263636" s="12" customFormat="1" x14ac:dyDescent="0.25"/>
    <row r="263637" s="12" customFormat="1" x14ac:dyDescent="0.25"/>
    <row r="263638" s="12" customFormat="1" x14ac:dyDescent="0.25"/>
    <row r="263639" s="12" customFormat="1" x14ac:dyDescent="0.25"/>
    <row r="263640" s="12" customFormat="1" x14ac:dyDescent="0.25"/>
    <row r="263641" s="12" customFormat="1" x14ac:dyDescent="0.25"/>
    <row r="263642" s="12" customFormat="1" x14ac:dyDescent="0.25"/>
    <row r="263643" s="12" customFormat="1" x14ac:dyDescent="0.25"/>
    <row r="263644" s="12" customFormat="1" x14ac:dyDescent="0.25"/>
    <row r="263645" s="12" customFormat="1" x14ac:dyDescent="0.25"/>
    <row r="263646" s="12" customFormat="1" x14ac:dyDescent="0.25"/>
    <row r="263647" s="12" customFormat="1" x14ac:dyDescent="0.25"/>
    <row r="263648" s="12" customFormat="1" x14ac:dyDescent="0.25"/>
    <row r="263649" s="12" customFormat="1" x14ac:dyDescent="0.25"/>
    <row r="263650" s="12" customFormat="1" x14ac:dyDescent="0.25"/>
    <row r="263651" s="12" customFormat="1" x14ac:dyDescent="0.25"/>
    <row r="263652" s="12" customFormat="1" x14ac:dyDescent="0.25"/>
    <row r="263653" s="12" customFormat="1" x14ac:dyDescent="0.25"/>
    <row r="263654" s="12" customFormat="1" x14ac:dyDescent="0.25"/>
    <row r="263655" s="12" customFormat="1" x14ac:dyDescent="0.25"/>
    <row r="263656" s="12" customFormat="1" x14ac:dyDescent="0.25"/>
    <row r="263657" s="12" customFormat="1" x14ac:dyDescent="0.25"/>
    <row r="263658" s="12" customFormat="1" x14ac:dyDescent="0.25"/>
    <row r="263659" s="12" customFormat="1" x14ac:dyDescent="0.25"/>
    <row r="263660" s="12" customFormat="1" x14ac:dyDescent="0.25"/>
    <row r="263661" s="12" customFormat="1" x14ac:dyDescent="0.25"/>
    <row r="263662" s="12" customFormat="1" x14ac:dyDescent="0.25"/>
    <row r="263663" s="12" customFormat="1" x14ac:dyDescent="0.25"/>
    <row r="263664" s="12" customFormat="1" x14ac:dyDescent="0.25"/>
    <row r="263665" s="12" customFormat="1" x14ac:dyDescent="0.25"/>
    <row r="263666" s="12" customFormat="1" x14ac:dyDescent="0.25"/>
    <row r="263667" s="12" customFormat="1" x14ac:dyDescent="0.25"/>
    <row r="263668" s="12" customFormat="1" x14ac:dyDescent="0.25"/>
    <row r="263669" s="12" customFormat="1" x14ac:dyDescent="0.25"/>
    <row r="263670" s="12" customFormat="1" x14ac:dyDescent="0.25"/>
    <row r="263671" s="12" customFormat="1" x14ac:dyDescent="0.25"/>
    <row r="263672" s="12" customFormat="1" x14ac:dyDescent="0.25"/>
    <row r="263673" s="12" customFormat="1" x14ac:dyDescent="0.25"/>
    <row r="263674" s="12" customFormat="1" x14ac:dyDescent="0.25"/>
    <row r="263675" s="12" customFormat="1" x14ac:dyDescent="0.25"/>
    <row r="263676" s="12" customFormat="1" x14ac:dyDescent="0.25"/>
    <row r="263677" s="12" customFormat="1" x14ac:dyDescent="0.25"/>
    <row r="263678" s="12" customFormat="1" x14ac:dyDescent="0.25"/>
    <row r="263679" s="12" customFormat="1" x14ac:dyDescent="0.25"/>
    <row r="263680" s="12" customFormat="1" x14ac:dyDescent="0.25"/>
    <row r="263681" s="12" customFormat="1" x14ac:dyDescent="0.25"/>
    <row r="263682" s="12" customFormat="1" x14ac:dyDescent="0.25"/>
    <row r="263683" s="12" customFormat="1" x14ac:dyDescent="0.25"/>
    <row r="263684" s="12" customFormat="1" x14ac:dyDescent="0.25"/>
    <row r="263685" s="12" customFormat="1" x14ac:dyDescent="0.25"/>
    <row r="263686" s="12" customFormat="1" x14ac:dyDescent="0.25"/>
    <row r="263687" s="12" customFormat="1" x14ac:dyDescent="0.25"/>
    <row r="263688" s="12" customFormat="1" x14ac:dyDescent="0.25"/>
    <row r="263689" s="12" customFormat="1" x14ac:dyDescent="0.25"/>
    <row r="263690" s="12" customFormat="1" x14ac:dyDescent="0.25"/>
    <row r="263691" s="12" customFormat="1" x14ac:dyDescent="0.25"/>
    <row r="263692" s="12" customFormat="1" x14ac:dyDescent="0.25"/>
    <row r="263693" s="12" customFormat="1" x14ac:dyDescent="0.25"/>
    <row r="263694" s="12" customFormat="1" x14ac:dyDescent="0.25"/>
    <row r="263695" s="12" customFormat="1" x14ac:dyDescent="0.25"/>
    <row r="263696" s="12" customFormat="1" x14ac:dyDescent="0.25"/>
    <row r="263697" s="12" customFormat="1" x14ac:dyDescent="0.25"/>
    <row r="263698" s="12" customFormat="1" x14ac:dyDescent="0.25"/>
    <row r="263699" s="12" customFormat="1" x14ac:dyDescent="0.25"/>
    <row r="263700" s="12" customFormat="1" x14ac:dyDescent="0.25"/>
    <row r="263701" s="12" customFormat="1" x14ac:dyDescent="0.25"/>
    <row r="263702" s="12" customFormat="1" x14ac:dyDescent="0.25"/>
    <row r="263703" s="12" customFormat="1" x14ac:dyDescent="0.25"/>
    <row r="263704" s="12" customFormat="1" x14ac:dyDescent="0.25"/>
    <row r="263705" s="12" customFormat="1" x14ac:dyDescent="0.25"/>
    <row r="263706" s="12" customFormat="1" x14ac:dyDescent="0.25"/>
    <row r="263707" s="12" customFormat="1" x14ac:dyDescent="0.25"/>
    <row r="263708" s="12" customFormat="1" x14ac:dyDescent="0.25"/>
    <row r="263709" s="12" customFormat="1" x14ac:dyDescent="0.25"/>
    <row r="263710" s="12" customFormat="1" x14ac:dyDescent="0.25"/>
    <row r="263711" s="12" customFormat="1" x14ac:dyDescent="0.25"/>
    <row r="263712" s="12" customFormat="1" x14ac:dyDescent="0.25"/>
    <row r="263713" s="12" customFormat="1" x14ac:dyDescent="0.25"/>
    <row r="263714" s="12" customFormat="1" x14ac:dyDescent="0.25"/>
    <row r="263715" s="12" customFormat="1" x14ac:dyDescent="0.25"/>
    <row r="263716" s="12" customFormat="1" x14ac:dyDescent="0.25"/>
    <row r="263717" s="12" customFormat="1" x14ac:dyDescent="0.25"/>
    <row r="263718" s="12" customFormat="1" x14ac:dyDescent="0.25"/>
    <row r="263719" s="12" customFormat="1" x14ac:dyDescent="0.25"/>
    <row r="263720" s="12" customFormat="1" x14ac:dyDescent="0.25"/>
    <row r="263721" s="12" customFormat="1" x14ac:dyDescent="0.25"/>
    <row r="263722" s="12" customFormat="1" x14ac:dyDescent="0.25"/>
    <row r="263723" s="12" customFormat="1" x14ac:dyDescent="0.25"/>
    <row r="263724" s="12" customFormat="1" x14ac:dyDescent="0.25"/>
    <row r="263725" s="12" customFormat="1" x14ac:dyDescent="0.25"/>
    <row r="263726" s="12" customFormat="1" x14ac:dyDescent="0.25"/>
    <row r="263727" s="12" customFormat="1" x14ac:dyDescent="0.25"/>
    <row r="263728" s="12" customFormat="1" x14ac:dyDescent="0.25"/>
    <row r="263729" s="12" customFormat="1" x14ac:dyDescent="0.25"/>
    <row r="263730" s="12" customFormat="1" x14ac:dyDescent="0.25"/>
    <row r="263731" s="12" customFormat="1" x14ac:dyDescent="0.25"/>
    <row r="263732" s="12" customFormat="1" x14ac:dyDescent="0.25"/>
    <row r="263733" s="12" customFormat="1" x14ac:dyDescent="0.25"/>
    <row r="263734" s="12" customFormat="1" x14ac:dyDescent="0.25"/>
    <row r="263735" s="12" customFormat="1" x14ac:dyDescent="0.25"/>
    <row r="263736" s="12" customFormat="1" x14ac:dyDescent="0.25"/>
    <row r="263737" s="12" customFormat="1" x14ac:dyDescent="0.25"/>
    <row r="263738" s="12" customFormat="1" x14ac:dyDescent="0.25"/>
    <row r="263739" s="12" customFormat="1" x14ac:dyDescent="0.25"/>
    <row r="263740" s="12" customFormat="1" x14ac:dyDescent="0.25"/>
    <row r="263741" s="12" customFormat="1" x14ac:dyDescent="0.25"/>
    <row r="263742" s="12" customFormat="1" x14ac:dyDescent="0.25"/>
    <row r="263743" s="12" customFormat="1" x14ac:dyDescent="0.25"/>
    <row r="263744" s="12" customFormat="1" x14ac:dyDescent="0.25"/>
    <row r="263745" s="12" customFormat="1" x14ac:dyDescent="0.25"/>
    <row r="263746" s="12" customFormat="1" x14ac:dyDescent="0.25"/>
    <row r="263747" s="12" customFormat="1" x14ac:dyDescent="0.25"/>
    <row r="263748" s="12" customFormat="1" x14ac:dyDescent="0.25"/>
    <row r="263749" s="12" customFormat="1" x14ac:dyDescent="0.25"/>
    <row r="263750" s="12" customFormat="1" x14ac:dyDescent="0.25"/>
    <row r="263751" s="12" customFormat="1" x14ac:dyDescent="0.25"/>
    <row r="263752" s="12" customFormat="1" x14ac:dyDescent="0.25"/>
    <row r="263753" s="12" customFormat="1" x14ac:dyDescent="0.25"/>
    <row r="263754" s="12" customFormat="1" x14ac:dyDescent="0.25"/>
    <row r="263755" s="12" customFormat="1" x14ac:dyDescent="0.25"/>
    <row r="263756" s="12" customFormat="1" x14ac:dyDescent="0.25"/>
    <row r="263757" s="12" customFormat="1" x14ac:dyDescent="0.25"/>
    <row r="263758" s="12" customFormat="1" x14ac:dyDescent="0.25"/>
    <row r="263759" s="12" customFormat="1" x14ac:dyDescent="0.25"/>
    <row r="263760" s="12" customFormat="1" x14ac:dyDescent="0.25"/>
    <row r="263761" s="12" customFormat="1" x14ac:dyDescent="0.25"/>
    <row r="263762" s="12" customFormat="1" x14ac:dyDescent="0.25"/>
    <row r="263763" s="12" customFormat="1" x14ac:dyDescent="0.25"/>
    <row r="263764" s="12" customFormat="1" x14ac:dyDescent="0.25"/>
    <row r="263765" s="12" customFormat="1" x14ac:dyDescent="0.25"/>
    <row r="263766" s="12" customFormat="1" x14ac:dyDescent="0.25"/>
    <row r="263767" s="12" customFormat="1" x14ac:dyDescent="0.25"/>
    <row r="263768" s="12" customFormat="1" x14ac:dyDescent="0.25"/>
    <row r="263769" s="12" customFormat="1" x14ac:dyDescent="0.25"/>
    <row r="263770" s="12" customFormat="1" x14ac:dyDescent="0.25"/>
    <row r="263771" s="12" customFormat="1" x14ac:dyDescent="0.25"/>
    <row r="263772" s="12" customFormat="1" x14ac:dyDescent="0.25"/>
    <row r="263773" s="12" customFormat="1" x14ac:dyDescent="0.25"/>
    <row r="263774" s="12" customFormat="1" x14ac:dyDescent="0.25"/>
    <row r="263775" s="12" customFormat="1" x14ac:dyDescent="0.25"/>
    <row r="263776" s="12" customFormat="1" x14ac:dyDescent="0.25"/>
    <row r="263777" s="12" customFormat="1" x14ac:dyDescent="0.25"/>
    <row r="263778" s="12" customFormat="1" x14ac:dyDescent="0.25"/>
    <row r="263779" s="12" customFormat="1" x14ac:dyDescent="0.25"/>
    <row r="263780" s="12" customFormat="1" x14ac:dyDescent="0.25"/>
    <row r="263781" s="12" customFormat="1" x14ac:dyDescent="0.25"/>
    <row r="263782" s="12" customFormat="1" x14ac:dyDescent="0.25"/>
    <row r="263783" s="12" customFormat="1" x14ac:dyDescent="0.25"/>
    <row r="263784" s="12" customFormat="1" x14ac:dyDescent="0.25"/>
    <row r="263785" s="12" customFormat="1" x14ac:dyDescent="0.25"/>
    <row r="263786" s="12" customFormat="1" x14ac:dyDescent="0.25"/>
    <row r="263787" s="12" customFormat="1" x14ac:dyDescent="0.25"/>
    <row r="263788" s="12" customFormat="1" x14ac:dyDescent="0.25"/>
    <row r="263789" s="12" customFormat="1" x14ac:dyDescent="0.25"/>
    <row r="263790" s="12" customFormat="1" x14ac:dyDescent="0.25"/>
    <row r="263791" s="12" customFormat="1" x14ac:dyDescent="0.25"/>
    <row r="263792" s="12" customFormat="1" x14ac:dyDescent="0.25"/>
    <row r="263793" s="12" customFormat="1" x14ac:dyDescent="0.25"/>
    <row r="263794" s="12" customFormat="1" x14ac:dyDescent="0.25"/>
    <row r="263795" s="12" customFormat="1" x14ac:dyDescent="0.25"/>
    <row r="263796" s="12" customFormat="1" x14ac:dyDescent="0.25"/>
    <row r="263797" s="12" customFormat="1" x14ac:dyDescent="0.25"/>
    <row r="263798" s="12" customFormat="1" x14ac:dyDescent="0.25"/>
    <row r="263799" s="12" customFormat="1" x14ac:dyDescent="0.25"/>
    <row r="263800" s="12" customFormat="1" x14ac:dyDescent="0.25"/>
    <row r="263801" s="12" customFormat="1" x14ac:dyDescent="0.25"/>
    <row r="263802" s="12" customFormat="1" x14ac:dyDescent="0.25"/>
    <row r="263803" s="12" customFormat="1" x14ac:dyDescent="0.25"/>
    <row r="263804" s="12" customFormat="1" x14ac:dyDescent="0.25"/>
    <row r="263805" s="12" customFormat="1" x14ac:dyDescent="0.25"/>
    <row r="263806" s="12" customFormat="1" x14ac:dyDescent="0.25"/>
    <row r="263807" s="12" customFormat="1" x14ac:dyDescent="0.25"/>
    <row r="263808" s="12" customFormat="1" x14ac:dyDescent="0.25"/>
    <row r="263809" s="12" customFormat="1" x14ac:dyDescent="0.25"/>
    <row r="263810" s="12" customFormat="1" x14ac:dyDescent="0.25"/>
    <row r="263811" s="12" customFormat="1" x14ac:dyDescent="0.25"/>
    <row r="263812" s="12" customFormat="1" x14ac:dyDescent="0.25"/>
    <row r="263813" s="12" customFormat="1" x14ac:dyDescent="0.25"/>
    <row r="263814" s="12" customFormat="1" x14ac:dyDescent="0.25"/>
    <row r="263815" s="12" customFormat="1" x14ac:dyDescent="0.25"/>
    <row r="263816" s="12" customFormat="1" x14ac:dyDescent="0.25"/>
    <row r="263817" s="12" customFormat="1" x14ac:dyDescent="0.25"/>
    <row r="263818" s="12" customFormat="1" x14ac:dyDescent="0.25"/>
    <row r="263819" s="12" customFormat="1" x14ac:dyDescent="0.25"/>
    <row r="263820" s="12" customFormat="1" x14ac:dyDescent="0.25"/>
    <row r="263821" s="12" customFormat="1" x14ac:dyDescent="0.25"/>
    <row r="263822" s="12" customFormat="1" x14ac:dyDescent="0.25"/>
    <row r="263823" s="12" customFormat="1" x14ac:dyDescent="0.25"/>
    <row r="263824" s="12" customFormat="1" x14ac:dyDescent="0.25"/>
    <row r="263825" s="12" customFormat="1" x14ac:dyDescent="0.25"/>
    <row r="263826" s="12" customFormat="1" x14ac:dyDescent="0.25"/>
    <row r="263827" s="12" customFormat="1" x14ac:dyDescent="0.25"/>
    <row r="263828" s="12" customFormat="1" x14ac:dyDescent="0.25"/>
    <row r="263829" s="12" customFormat="1" x14ac:dyDescent="0.25"/>
    <row r="263830" s="12" customFormat="1" x14ac:dyDescent="0.25"/>
    <row r="263831" s="12" customFormat="1" x14ac:dyDescent="0.25"/>
    <row r="263832" s="12" customFormat="1" x14ac:dyDescent="0.25"/>
    <row r="263833" s="12" customFormat="1" x14ac:dyDescent="0.25"/>
    <row r="263834" s="12" customFormat="1" x14ac:dyDescent="0.25"/>
    <row r="263835" s="12" customFormat="1" x14ac:dyDescent="0.25"/>
    <row r="263836" s="12" customFormat="1" x14ac:dyDescent="0.25"/>
    <row r="263837" s="12" customFormat="1" x14ac:dyDescent="0.25"/>
    <row r="263838" s="12" customFormat="1" x14ac:dyDescent="0.25"/>
    <row r="263839" s="12" customFormat="1" x14ac:dyDescent="0.25"/>
    <row r="263840" s="12" customFormat="1" x14ac:dyDescent="0.25"/>
    <row r="263841" s="12" customFormat="1" x14ac:dyDescent="0.25"/>
    <row r="263842" s="12" customFormat="1" x14ac:dyDescent="0.25"/>
    <row r="263843" s="12" customFormat="1" x14ac:dyDescent="0.25"/>
    <row r="263844" s="12" customFormat="1" x14ac:dyDescent="0.25"/>
    <row r="263845" s="12" customFormat="1" x14ac:dyDescent="0.25"/>
    <row r="263846" s="12" customFormat="1" x14ac:dyDescent="0.25"/>
    <row r="263847" s="12" customFormat="1" x14ac:dyDescent="0.25"/>
    <row r="263848" s="12" customFormat="1" x14ac:dyDescent="0.25"/>
    <row r="263849" s="12" customFormat="1" x14ac:dyDescent="0.25"/>
    <row r="263850" s="12" customFormat="1" x14ac:dyDescent="0.25"/>
    <row r="263851" s="12" customFormat="1" x14ac:dyDescent="0.25"/>
    <row r="263852" s="12" customFormat="1" x14ac:dyDescent="0.25"/>
    <row r="263853" s="12" customFormat="1" x14ac:dyDescent="0.25"/>
    <row r="263854" s="12" customFormat="1" x14ac:dyDescent="0.25"/>
    <row r="263855" s="12" customFormat="1" x14ac:dyDescent="0.25"/>
    <row r="263856" s="12" customFormat="1" x14ac:dyDescent="0.25"/>
    <row r="263857" s="12" customFormat="1" x14ac:dyDescent="0.25"/>
    <row r="263858" s="12" customFormat="1" x14ac:dyDescent="0.25"/>
    <row r="263859" s="12" customFormat="1" x14ac:dyDescent="0.25"/>
    <row r="263860" s="12" customFormat="1" x14ac:dyDescent="0.25"/>
    <row r="263861" s="12" customFormat="1" x14ac:dyDescent="0.25"/>
    <row r="263862" s="12" customFormat="1" x14ac:dyDescent="0.25"/>
    <row r="263863" s="12" customFormat="1" x14ac:dyDescent="0.25"/>
    <row r="263864" s="12" customFormat="1" x14ac:dyDescent="0.25"/>
    <row r="263865" s="12" customFormat="1" x14ac:dyDescent="0.25"/>
    <row r="263866" s="12" customFormat="1" x14ac:dyDescent="0.25"/>
    <row r="263867" s="12" customFormat="1" x14ac:dyDescent="0.25"/>
    <row r="263868" s="12" customFormat="1" x14ac:dyDescent="0.25"/>
    <row r="263869" s="12" customFormat="1" x14ac:dyDescent="0.25"/>
    <row r="263870" s="12" customFormat="1" x14ac:dyDescent="0.25"/>
    <row r="263871" s="12" customFormat="1" x14ac:dyDescent="0.25"/>
    <row r="263872" s="12" customFormat="1" x14ac:dyDescent="0.25"/>
    <row r="263873" s="12" customFormat="1" x14ac:dyDescent="0.25"/>
    <row r="263874" s="12" customFormat="1" x14ac:dyDescent="0.25"/>
    <row r="263875" s="12" customFormat="1" x14ac:dyDescent="0.25"/>
    <row r="263876" s="12" customFormat="1" x14ac:dyDescent="0.25"/>
    <row r="263877" s="12" customFormat="1" x14ac:dyDescent="0.25"/>
    <row r="263878" s="12" customFormat="1" x14ac:dyDescent="0.25"/>
    <row r="263879" s="12" customFormat="1" x14ac:dyDescent="0.25"/>
    <row r="263880" s="12" customFormat="1" x14ac:dyDescent="0.25"/>
    <row r="263881" s="12" customFormat="1" x14ac:dyDescent="0.25"/>
    <row r="263882" s="12" customFormat="1" x14ac:dyDescent="0.25"/>
    <row r="263883" s="12" customFormat="1" x14ac:dyDescent="0.25"/>
    <row r="263884" s="12" customFormat="1" x14ac:dyDescent="0.25"/>
    <row r="263885" s="12" customFormat="1" x14ac:dyDescent="0.25"/>
    <row r="263886" s="12" customFormat="1" x14ac:dyDescent="0.25"/>
    <row r="263887" s="12" customFormat="1" x14ac:dyDescent="0.25"/>
    <row r="263888" s="12" customFormat="1" x14ac:dyDescent="0.25"/>
    <row r="263889" s="12" customFormat="1" x14ac:dyDescent="0.25"/>
    <row r="263890" s="12" customFormat="1" x14ac:dyDescent="0.25"/>
    <row r="263891" s="12" customFormat="1" x14ac:dyDescent="0.25"/>
    <row r="263892" s="12" customFormat="1" x14ac:dyDescent="0.25"/>
    <row r="263893" s="12" customFormat="1" x14ac:dyDescent="0.25"/>
    <row r="263894" s="12" customFormat="1" x14ac:dyDescent="0.25"/>
    <row r="263895" s="12" customFormat="1" x14ac:dyDescent="0.25"/>
    <row r="263896" s="12" customFormat="1" x14ac:dyDescent="0.25"/>
    <row r="263897" s="12" customFormat="1" x14ac:dyDescent="0.25"/>
    <row r="263898" s="12" customFormat="1" x14ac:dyDescent="0.25"/>
    <row r="263899" s="12" customFormat="1" x14ac:dyDescent="0.25"/>
    <row r="263900" s="12" customFormat="1" x14ac:dyDescent="0.25"/>
    <row r="263901" s="12" customFormat="1" x14ac:dyDescent="0.25"/>
    <row r="263902" s="12" customFormat="1" x14ac:dyDescent="0.25"/>
    <row r="263903" s="12" customFormat="1" x14ac:dyDescent="0.25"/>
    <row r="263904" s="12" customFormat="1" x14ac:dyDescent="0.25"/>
    <row r="263905" s="12" customFormat="1" x14ac:dyDescent="0.25"/>
    <row r="263906" s="12" customFormat="1" x14ac:dyDescent="0.25"/>
    <row r="263907" s="12" customFormat="1" x14ac:dyDescent="0.25"/>
    <row r="263908" s="12" customFormat="1" x14ac:dyDescent="0.25"/>
    <row r="263909" s="12" customFormat="1" x14ac:dyDescent="0.25"/>
    <row r="263910" s="12" customFormat="1" x14ac:dyDescent="0.25"/>
    <row r="263911" s="12" customFormat="1" x14ac:dyDescent="0.25"/>
    <row r="263912" s="12" customFormat="1" x14ac:dyDescent="0.25"/>
    <row r="263913" s="12" customFormat="1" x14ac:dyDescent="0.25"/>
    <row r="263914" s="12" customFormat="1" x14ac:dyDescent="0.25"/>
    <row r="263915" s="12" customFormat="1" x14ac:dyDescent="0.25"/>
    <row r="263916" s="12" customFormat="1" x14ac:dyDescent="0.25"/>
    <row r="263917" s="12" customFormat="1" x14ac:dyDescent="0.25"/>
    <row r="263918" s="12" customFormat="1" x14ac:dyDescent="0.25"/>
    <row r="263919" s="12" customFormat="1" x14ac:dyDescent="0.25"/>
    <row r="263920" s="12" customFormat="1" x14ac:dyDescent="0.25"/>
    <row r="263921" s="12" customFormat="1" x14ac:dyDescent="0.25"/>
    <row r="263922" s="12" customFormat="1" x14ac:dyDescent="0.25"/>
    <row r="263923" s="12" customFormat="1" x14ac:dyDescent="0.25"/>
    <row r="263924" s="12" customFormat="1" x14ac:dyDescent="0.25"/>
    <row r="263925" s="12" customFormat="1" x14ac:dyDescent="0.25"/>
    <row r="263926" s="12" customFormat="1" x14ac:dyDescent="0.25"/>
    <row r="263927" s="12" customFormat="1" x14ac:dyDescent="0.25"/>
    <row r="263928" s="12" customFormat="1" x14ac:dyDescent="0.25"/>
    <row r="263929" s="12" customFormat="1" x14ac:dyDescent="0.25"/>
    <row r="263930" s="12" customFormat="1" x14ac:dyDescent="0.25"/>
    <row r="263931" s="12" customFormat="1" x14ac:dyDescent="0.25"/>
    <row r="263932" s="12" customFormat="1" x14ac:dyDescent="0.25"/>
    <row r="263933" s="12" customFormat="1" x14ac:dyDescent="0.25"/>
    <row r="263934" s="12" customFormat="1" x14ac:dyDescent="0.25"/>
    <row r="263935" s="12" customFormat="1" x14ac:dyDescent="0.25"/>
    <row r="263936" s="12" customFormat="1" x14ac:dyDescent="0.25"/>
    <row r="263937" s="12" customFormat="1" x14ac:dyDescent="0.25"/>
    <row r="263938" s="12" customFormat="1" x14ac:dyDescent="0.25"/>
    <row r="263939" s="12" customFormat="1" x14ac:dyDescent="0.25"/>
    <row r="263940" s="12" customFormat="1" x14ac:dyDescent="0.25"/>
    <row r="263941" s="12" customFormat="1" x14ac:dyDescent="0.25"/>
    <row r="263942" s="12" customFormat="1" x14ac:dyDescent="0.25"/>
    <row r="263943" s="12" customFormat="1" x14ac:dyDescent="0.25"/>
    <row r="263944" s="12" customFormat="1" x14ac:dyDescent="0.25"/>
    <row r="263945" s="12" customFormat="1" x14ac:dyDescent="0.25"/>
    <row r="263946" s="12" customFormat="1" x14ac:dyDescent="0.25"/>
    <row r="263947" s="12" customFormat="1" x14ac:dyDescent="0.25"/>
    <row r="263948" s="12" customFormat="1" x14ac:dyDescent="0.25"/>
    <row r="263949" s="12" customFormat="1" x14ac:dyDescent="0.25"/>
    <row r="263950" s="12" customFormat="1" x14ac:dyDescent="0.25"/>
    <row r="263951" s="12" customFormat="1" x14ac:dyDescent="0.25"/>
    <row r="263952" s="12" customFormat="1" x14ac:dyDescent="0.25"/>
    <row r="263953" s="12" customFormat="1" x14ac:dyDescent="0.25"/>
    <row r="263954" s="12" customFormat="1" x14ac:dyDescent="0.25"/>
    <row r="263955" s="12" customFormat="1" x14ac:dyDescent="0.25"/>
    <row r="263956" s="12" customFormat="1" x14ac:dyDescent="0.25"/>
    <row r="263957" s="12" customFormat="1" x14ac:dyDescent="0.25"/>
    <row r="263958" s="12" customFormat="1" x14ac:dyDescent="0.25"/>
    <row r="263959" s="12" customFormat="1" x14ac:dyDescent="0.25"/>
    <row r="263960" s="12" customFormat="1" x14ac:dyDescent="0.25"/>
    <row r="263961" s="12" customFormat="1" x14ac:dyDescent="0.25"/>
    <row r="263962" s="12" customFormat="1" x14ac:dyDescent="0.25"/>
    <row r="263963" s="12" customFormat="1" x14ac:dyDescent="0.25"/>
    <row r="263964" s="12" customFormat="1" x14ac:dyDescent="0.25"/>
    <row r="263965" s="12" customFormat="1" x14ac:dyDescent="0.25"/>
    <row r="263966" s="12" customFormat="1" x14ac:dyDescent="0.25"/>
    <row r="263967" s="12" customFormat="1" x14ac:dyDescent="0.25"/>
    <row r="263968" s="12" customFormat="1" x14ac:dyDescent="0.25"/>
    <row r="263969" s="12" customFormat="1" x14ac:dyDescent="0.25"/>
    <row r="263970" s="12" customFormat="1" x14ac:dyDescent="0.25"/>
    <row r="263971" s="12" customFormat="1" x14ac:dyDescent="0.25"/>
    <row r="263972" s="12" customFormat="1" x14ac:dyDescent="0.25"/>
    <row r="263973" s="12" customFormat="1" x14ac:dyDescent="0.25"/>
    <row r="263974" s="12" customFormat="1" x14ac:dyDescent="0.25"/>
    <row r="263975" s="12" customFormat="1" x14ac:dyDescent="0.25"/>
    <row r="263976" s="12" customFormat="1" x14ac:dyDescent="0.25"/>
    <row r="263977" s="12" customFormat="1" x14ac:dyDescent="0.25"/>
    <row r="263978" s="12" customFormat="1" x14ac:dyDescent="0.25"/>
    <row r="263979" s="12" customFormat="1" x14ac:dyDescent="0.25"/>
    <row r="263980" s="12" customFormat="1" x14ac:dyDescent="0.25"/>
    <row r="263981" s="12" customFormat="1" x14ac:dyDescent="0.25"/>
    <row r="263982" s="12" customFormat="1" x14ac:dyDescent="0.25"/>
    <row r="263983" s="12" customFormat="1" x14ac:dyDescent="0.25"/>
    <row r="263984" s="12" customFormat="1" x14ac:dyDescent="0.25"/>
    <row r="263985" s="12" customFormat="1" x14ac:dyDescent="0.25"/>
    <row r="263986" s="12" customFormat="1" x14ac:dyDescent="0.25"/>
    <row r="263987" s="12" customFormat="1" x14ac:dyDescent="0.25"/>
    <row r="263988" s="12" customFormat="1" x14ac:dyDescent="0.25"/>
    <row r="263989" s="12" customFormat="1" x14ac:dyDescent="0.25"/>
    <row r="263990" s="12" customFormat="1" x14ac:dyDescent="0.25"/>
    <row r="263991" s="12" customFormat="1" x14ac:dyDescent="0.25"/>
    <row r="263992" s="12" customFormat="1" x14ac:dyDescent="0.25"/>
    <row r="263993" s="12" customFormat="1" x14ac:dyDescent="0.25"/>
    <row r="263994" s="12" customFormat="1" x14ac:dyDescent="0.25"/>
    <row r="263995" s="12" customFormat="1" x14ac:dyDescent="0.25"/>
    <row r="263996" s="12" customFormat="1" x14ac:dyDescent="0.25"/>
    <row r="263997" s="12" customFormat="1" x14ac:dyDescent="0.25"/>
    <row r="263998" s="12" customFormat="1" x14ac:dyDescent="0.25"/>
    <row r="263999" s="12" customFormat="1" x14ac:dyDescent="0.25"/>
    <row r="264000" s="12" customFormat="1" x14ac:dyDescent="0.25"/>
    <row r="264001" s="12" customFormat="1" x14ac:dyDescent="0.25"/>
    <row r="264002" s="12" customFormat="1" x14ac:dyDescent="0.25"/>
    <row r="264003" s="12" customFormat="1" x14ac:dyDescent="0.25"/>
    <row r="264004" s="12" customFormat="1" x14ac:dyDescent="0.25"/>
    <row r="264005" s="12" customFormat="1" x14ac:dyDescent="0.25"/>
    <row r="264006" s="12" customFormat="1" x14ac:dyDescent="0.25"/>
    <row r="264007" s="12" customFormat="1" x14ac:dyDescent="0.25"/>
    <row r="264008" s="12" customFormat="1" x14ac:dyDescent="0.25"/>
    <row r="264009" s="12" customFormat="1" x14ac:dyDescent="0.25"/>
    <row r="264010" s="12" customFormat="1" x14ac:dyDescent="0.25"/>
    <row r="264011" s="12" customFormat="1" x14ac:dyDescent="0.25"/>
    <row r="264012" s="12" customFormat="1" x14ac:dyDescent="0.25"/>
    <row r="264013" s="12" customFormat="1" x14ac:dyDescent="0.25"/>
    <row r="264014" s="12" customFormat="1" x14ac:dyDescent="0.25"/>
    <row r="264015" s="12" customFormat="1" x14ac:dyDescent="0.25"/>
    <row r="264016" s="12" customFormat="1" x14ac:dyDescent="0.25"/>
    <row r="264017" s="12" customFormat="1" x14ac:dyDescent="0.25"/>
    <row r="264018" s="12" customFormat="1" x14ac:dyDescent="0.25"/>
    <row r="264019" s="12" customFormat="1" x14ac:dyDescent="0.25"/>
    <row r="264020" s="12" customFormat="1" x14ac:dyDescent="0.25"/>
    <row r="264021" s="12" customFormat="1" x14ac:dyDescent="0.25"/>
    <row r="264022" s="12" customFormat="1" x14ac:dyDescent="0.25"/>
    <row r="264023" s="12" customFormat="1" x14ac:dyDescent="0.25"/>
    <row r="264024" s="12" customFormat="1" x14ac:dyDescent="0.25"/>
    <row r="264025" s="12" customFormat="1" x14ac:dyDescent="0.25"/>
    <row r="264026" s="12" customFormat="1" x14ac:dyDescent="0.25"/>
    <row r="264027" s="12" customFormat="1" x14ac:dyDescent="0.25"/>
    <row r="264028" s="12" customFormat="1" x14ac:dyDescent="0.25"/>
    <row r="264029" s="12" customFormat="1" x14ac:dyDescent="0.25"/>
    <row r="264030" s="12" customFormat="1" x14ac:dyDescent="0.25"/>
    <row r="264031" s="12" customFormat="1" x14ac:dyDescent="0.25"/>
    <row r="264032" s="12" customFormat="1" x14ac:dyDescent="0.25"/>
    <row r="264033" s="12" customFormat="1" x14ac:dyDescent="0.25"/>
    <row r="264034" s="12" customFormat="1" x14ac:dyDescent="0.25"/>
    <row r="264035" s="12" customFormat="1" x14ac:dyDescent="0.25"/>
    <row r="264036" s="12" customFormat="1" x14ac:dyDescent="0.25"/>
    <row r="264037" s="12" customFormat="1" x14ac:dyDescent="0.25"/>
    <row r="264038" s="12" customFormat="1" x14ac:dyDescent="0.25"/>
    <row r="264039" s="12" customFormat="1" x14ac:dyDescent="0.25"/>
    <row r="264040" s="12" customFormat="1" x14ac:dyDescent="0.25"/>
    <row r="264041" s="12" customFormat="1" x14ac:dyDescent="0.25"/>
    <row r="264042" s="12" customFormat="1" x14ac:dyDescent="0.25"/>
    <row r="264043" s="12" customFormat="1" x14ac:dyDescent="0.25"/>
    <row r="264044" s="12" customFormat="1" x14ac:dyDescent="0.25"/>
    <row r="264045" s="12" customFormat="1" x14ac:dyDescent="0.25"/>
    <row r="264046" s="12" customFormat="1" x14ac:dyDescent="0.25"/>
    <row r="264047" s="12" customFormat="1" x14ac:dyDescent="0.25"/>
    <row r="264048" s="12" customFormat="1" x14ac:dyDescent="0.25"/>
    <row r="264049" s="12" customFormat="1" x14ac:dyDescent="0.25"/>
    <row r="264050" s="12" customFormat="1" x14ac:dyDescent="0.25"/>
    <row r="264051" s="12" customFormat="1" x14ac:dyDescent="0.25"/>
    <row r="264052" s="12" customFormat="1" x14ac:dyDescent="0.25"/>
    <row r="264053" s="12" customFormat="1" x14ac:dyDescent="0.25"/>
    <row r="264054" s="12" customFormat="1" x14ac:dyDescent="0.25"/>
    <row r="264055" s="12" customFormat="1" x14ac:dyDescent="0.25"/>
    <row r="264056" s="12" customFormat="1" x14ac:dyDescent="0.25"/>
    <row r="264057" s="12" customFormat="1" x14ac:dyDescent="0.25"/>
    <row r="264058" s="12" customFormat="1" x14ac:dyDescent="0.25"/>
    <row r="264059" s="12" customFormat="1" x14ac:dyDescent="0.25"/>
    <row r="264060" s="12" customFormat="1" x14ac:dyDescent="0.25"/>
    <row r="264061" s="12" customFormat="1" x14ac:dyDescent="0.25"/>
    <row r="264062" s="12" customFormat="1" x14ac:dyDescent="0.25"/>
    <row r="264063" s="12" customFormat="1" x14ac:dyDescent="0.25"/>
    <row r="264064" s="12" customFormat="1" x14ac:dyDescent="0.25"/>
    <row r="264065" s="12" customFormat="1" x14ac:dyDescent="0.25"/>
    <row r="264066" s="12" customFormat="1" x14ac:dyDescent="0.25"/>
    <row r="264067" s="12" customFormat="1" x14ac:dyDescent="0.25"/>
    <row r="264068" s="12" customFormat="1" x14ac:dyDescent="0.25"/>
    <row r="264069" s="12" customFormat="1" x14ac:dyDescent="0.25"/>
    <row r="264070" s="12" customFormat="1" x14ac:dyDescent="0.25"/>
    <row r="264071" s="12" customFormat="1" x14ac:dyDescent="0.25"/>
    <row r="264072" s="12" customFormat="1" x14ac:dyDescent="0.25"/>
    <row r="264073" s="12" customFormat="1" x14ac:dyDescent="0.25"/>
    <row r="264074" s="12" customFormat="1" x14ac:dyDescent="0.25"/>
    <row r="264075" s="12" customFormat="1" x14ac:dyDescent="0.25"/>
    <row r="264076" s="12" customFormat="1" x14ac:dyDescent="0.25"/>
    <row r="264077" s="12" customFormat="1" x14ac:dyDescent="0.25"/>
    <row r="264078" s="12" customFormat="1" x14ac:dyDescent="0.25"/>
    <row r="264079" s="12" customFormat="1" x14ac:dyDescent="0.25"/>
    <row r="264080" s="12" customFormat="1" x14ac:dyDescent="0.25"/>
    <row r="264081" s="12" customFormat="1" x14ac:dyDescent="0.25"/>
    <row r="264082" s="12" customFormat="1" x14ac:dyDescent="0.25"/>
    <row r="264083" s="12" customFormat="1" x14ac:dyDescent="0.25"/>
    <row r="264084" s="12" customFormat="1" x14ac:dyDescent="0.25"/>
    <row r="264085" s="12" customFormat="1" x14ac:dyDescent="0.25"/>
    <row r="264086" s="12" customFormat="1" x14ac:dyDescent="0.25"/>
    <row r="264087" s="12" customFormat="1" x14ac:dyDescent="0.25"/>
    <row r="264088" s="12" customFormat="1" x14ac:dyDescent="0.25"/>
    <row r="264089" s="12" customFormat="1" x14ac:dyDescent="0.25"/>
    <row r="264090" s="12" customFormat="1" x14ac:dyDescent="0.25"/>
    <row r="264091" s="12" customFormat="1" x14ac:dyDescent="0.25"/>
    <row r="264092" s="12" customFormat="1" x14ac:dyDescent="0.25"/>
    <row r="264093" s="12" customFormat="1" x14ac:dyDescent="0.25"/>
    <row r="264094" s="12" customFormat="1" x14ac:dyDescent="0.25"/>
    <row r="264095" s="12" customFormat="1" x14ac:dyDescent="0.25"/>
    <row r="264096" s="12" customFormat="1" x14ac:dyDescent="0.25"/>
    <row r="264097" s="12" customFormat="1" x14ac:dyDescent="0.25"/>
    <row r="264098" s="12" customFormat="1" x14ac:dyDescent="0.25"/>
    <row r="264099" s="12" customFormat="1" x14ac:dyDescent="0.25"/>
    <row r="264100" s="12" customFormat="1" x14ac:dyDescent="0.25"/>
    <row r="264101" s="12" customFormat="1" x14ac:dyDescent="0.25"/>
    <row r="264102" s="12" customFormat="1" x14ac:dyDescent="0.25"/>
    <row r="264103" s="12" customFormat="1" x14ac:dyDescent="0.25"/>
    <row r="264104" s="12" customFormat="1" x14ac:dyDescent="0.25"/>
    <row r="264105" s="12" customFormat="1" x14ac:dyDescent="0.25"/>
    <row r="264106" s="12" customFormat="1" x14ac:dyDescent="0.25"/>
    <row r="264107" s="12" customFormat="1" x14ac:dyDescent="0.25"/>
    <row r="264108" s="12" customFormat="1" x14ac:dyDescent="0.25"/>
    <row r="264109" s="12" customFormat="1" x14ac:dyDescent="0.25"/>
    <row r="264110" s="12" customFormat="1" x14ac:dyDescent="0.25"/>
    <row r="264111" s="12" customFormat="1" x14ac:dyDescent="0.25"/>
    <row r="264112" s="12" customFormat="1" x14ac:dyDescent="0.25"/>
    <row r="264113" s="12" customFormat="1" x14ac:dyDescent="0.25"/>
    <row r="264114" s="12" customFormat="1" x14ac:dyDescent="0.25"/>
    <row r="264115" s="12" customFormat="1" x14ac:dyDescent="0.25"/>
    <row r="264116" s="12" customFormat="1" x14ac:dyDescent="0.25"/>
    <row r="264117" s="12" customFormat="1" x14ac:dyDescent="0.25"/>
    <row r="264118" s="12" customFormat="1" x14ac:dyDescent="0.25"/>
    <row r="264119" s="12" customFormat="1" x14ac:dyDescent="0.25"/>
    <row r="264120" s="12" customFormat="1" x14ac:dyDescent="0.25"/>
    <row r="264121" s="12" customFormat="1" x14ac:dyDescent="0.25"/>
    <row r="264122" s="12" customFormat="1" x14ac:dyDescent="0.25"/>
    <row r="264123" s="12" customFormat="1" x14ac:dyDescent="0.25"/>
    <row r="264124" s="12" customFormat="1" x14ac:dyDescent="0.25"/>
    <row r="264125" s="12" customFormat="1" x14ac:dyDescent="0.25"/>
    <row r="264126" s="12" customFormat="1" x14ac:dyDescent="0.25"/>
    <row r="264127" s="12" customFormat="1" x14ac:dyDescent="0.25"/>
    <row r="264128" s="12" customFormat="1" x14ac:dyDescent="0.25"/>
    <row r="264129" s="12" customFormat="1" x14ac:dyDescent="0.25"/>
    <row r="264130" s="12" customFormat="1" x14ac:dyDescent="0.25"/>
    <row r="264131" s="12" customFormat="1" x14ac:dyDescent="0.25"/>
    <row r="264132" s="12" customFormat="1" x14ac:dyDescent="0.25"/>
    <row r="264133" s="12" customFormat="1" x14ac:dyDescent="0.25"/>
    <row r="264134" s="12" customFormat="1" x14ac:dyDescent="0.25"/>
    <row r="264135" s="12" customFormat="1" x14ac:dyDescent="0.25"/>
    <row r="264136" s="12" customFormat="1" x14ac:dyDescent="0.25"/>
    <row r="264137" s="12" customFormat="1" x14ac:dyDescent="0.25"/>
    <row r="264138" s="12" customFormat="1" x14ac:dyDescent="0.25"/>
    <row r="264139" s="12" customFormat="1" x14ac:dyDescent="0.25"/>
    <row r="264140" s="12" customFormat="1" x14ac:dyDescent="0.25"/>
    <row r="264141" s="12" customFormat="1" x14ac:dyDescent="0.25"/>
    <row r="264142" s="12" customFormat="1" x14ac:dyDescent="0.25"/>
    <row r="264143" s="12" customFormat="1" x14ac:dyDescent="0.25"/>
    <row r="264144" s="12" customFormat="1" x14ac:dyDescent="0.25"/>
    <row r="264145" s="12" customFormat="1" x14ac:dyDescent="0.25"/>
    <row r="264146" s="12" customFormat="1" x14ac:dyDescent="0.25"/>
    <row r="264147" s="12" customFormat="1" x14ac:dyDescent="0.25"/>
    <row r="264148" s="12" customFormat="1" x14ac:dyDescent="0.25"/>
    <row r="264149" s="12" customFormat="1" x14ac:dyDescent="0.25"/>
    <row r="264150" s="12" customFormat="1" x14ac:dyDescent="0.25"/>
    <row r="264151" s="12" customFormat="1" x14ac:dyDescent="0.25"/>
    <row r="264152" s="12" customFormat="1" x14ac:dyDescent="0.25"/>
    <row r="264153" s="12" customFormat="1" x14ac:dyDescent="0.25"/>
    <row r="264154" s="12" customFormat="1" x14ac:dyDescent="0.25"/>
    <row r="264155" s="12" customFormat="1" x14ac:dyDescent="0.25"/>
    <row r="264156" s="12" customFormat="1" x14ac:dyDescent="0.25"/>
    <row r="264157" s="12" customFormat="1" x14ac:dyDescent="0.25"/>
    <row r="264158" s="12" customFormat="1" x14ac:dyDescent="0.25"/>
    <row r="264159" s="12" customFormat="1" x14ac:dyDescent="0.25"/>
    <row r="264160" s="12" customFormat="1" x14ac:dyDescent="0.25"/>
    <row r="264161" s="12" customFormat="1" x14ac:dyDescent="0.25"/>
    <row r="264162" s="12" customFormat="1" x14ac:dyDescent="0.25"/>
    <row r="264163" s="12" customFormat="1" x14ac:dyDescent="0.25"/>
    <row r="264164" s="12" customFormat="1" x14ac:dyDescent="0.25"/>
    <row r="264165" s="12" customFormat="1" x14ac:dyDescent="0.25"/>
    <row r="264166" s="12" customFormat="1" x14ac:dyDescent="0.25"/>
    <row r="264167" s="12" customFormat="1" x14ac:dyDescent="0.25"/>
    <row r="264168" s="12" customFormat="1" x14ac:dyDescent="0.25"/>
    <row r="264169" s="12" customFormat="1" x14ac:dyDescent="0.25"/>
    <row r="264170" s="12" customFormat="1" x14ac:dyDescent="0.25"/>
    <row r="264171" s="12" customFormat="1" x14ac:dyDescent="0.25"/>
    <row r="264172" s="12" customFormat="1" x14ac:dyDescent="0.25"/>
    <row r="264173" s="12" customFormat="1" x14ac:dyDescent="0.25"/>
    <row r="264174" s="12" customFormat="1" x14ac:dyDescent="0.25"/>
    <row r="264175" s="12" customFormat="1" x14ac:dyDescent="0.25"/>
    <row r="264176" s="12" customFormat="1" x14ac:dyDescent="0.25"/>
    <row r="264177" s="12" customFormat="1" x14ac:dyDescent="0.25"/>
    <row r="264178" s="12" customFormat="1" x14ac:dyDescent="0.25"/>
    <row r="264179" s="12" customFormat="1" x14ac:dyDescent="0.25"/>
    <row r="264180" s="12" customFormat="1" x14ac:dyDescent="0.25"/>
    <row r="264181" s="12" customFormat="1" x14ac:dyDescent="0.25"/>
    <row r="264182" s="12" customFormat="1" x14ac:dyDescent="0.25"/>
    <row r="264183" s="12" customFormat="1" x14ac:dyDescent="0.25"/>
    <row r="264184" s="12" customFormat="1" x14ac:dyDescent="0.25"/>
    <row r="264185" s="12" customFormat="1" x14ac:dyDescent="0.25"/>
    <row r="264186" s="12" customFormat="1" x14ac:dyDescent="0.25"/>
    <row r="264187" s="12" customFormat="1" x14ac:dyDescent="0.25"/>
    <row r="264188" s="12" customFormat="1" x14ac:dyDescent="0.25"/>
    <row r="264189" s="12" customFormat="1" x14ac:dyDescent="0.25"/>
    <row r="264190" s="12" customFormat="1" x14ac:dyDescent="0.25"/>
    <row r="264191" s="12" customFormat="1" x14ac:dyDescent="0.25"/>
    <row r="264192" s="12" customFormat="1" x14ac:dyDescent="0.25"/>
    <row r="264193" s="12" customFormat="1" x14ac:dyDescent="0.25"/>
    <row r="264194" s="12" customFormat="1" x14ac:dyDescent="0.25"/>
    <row r="264195" s="12" customFormat="1" x14ac:dyDescent="0.25"/>
    <row r="264196" s="12" customFormat="1" x14ac:dyDescent="0.25"/>
    <row r="264197" s="12" customFormat="1" x14ac:dyDescent="0.25"/>
    <row r="264198" s="12" customFormat="1" x14ac:dyDescent="0.25"/>
    <row r="264199" s="12" customFormat="1" x14ac:dyDescent="0.25"/>
    <row r="264200" s="12" customFormat="1" x14ac:dyDescent="0.25"/>
    <row r="264201" s="12" customFormat="1" x14ac:dyDescent="0.25"/>
    <row r="264202" s="12" customFormat="1" x14ac:dyDescent="0.25"/>
    <row r="264203" s="12" customFormat="1" x14ac:dyDescent="0.25"/>
    <row r="264204" s="12" customFormat="1" x14ac:dyDescent="0.25"/>
    <row r="264205" s="12" customFormat="1" x14ac:dyDescent="0.25"/>
    <row r="264206" s="12" customFormat="1" x14ac:dyDescent="0.25"/>
    <row r="264207" s="12" customFormat="1" x14ac:dyDescent="0.25"/>
    <row r="264208" s="12" customFormat="1" x14ac:dyDescent="0.25"/>
    <row r="264209" s="12" customFormat="1" x14ac:dyDescent="0.25"/>
    <row r="264210" s="12" customFormat="1" x14ac:dyDescent="0.25"/>
    <row r="264211" s="12" customFormat="1" x14ac:dyDescent="0.25"/>
    <row r="264212" s="12" customFormat="1" x14ac:dyDescent="0.25"/>
    <row r="264213" s="12" customFormat="1" x14ac:dyDescent="0.25"/>
    <row r="264214" s="12" customFormat="1" x14ac:dyDescent="0.25"/>
    <row r="264215" s="12" customFormat="1" x14ac:dyDescent="0.25"/>
    <row r="264216" s="12" customFormat="1" x14ac:dyDescent="0.25"/>
    <row r="264217" s="12" customFormat="1" x14ac:dyDescent="0.25"/>
    <row r="264218" s="12" customFormat="1" x14ac:dyDescent="0.25"/>
    <row r="264219" s="12" customFormat="1" x14ac:dyDescent="0.25"/>
    <row r="264220" s="12" customFormat="1" x14ac:dyDescent="0.25"/>
    <row r="264221" s="12" customFormat="1" x14ac:dyDescent="0.25"/>
    <row r="264222" s="12" customFormat="1" x14ac:dyDescent="0.25"/>
    <row r="264223" s="12" customFormat="1" x14ac:dyDescent="0.25"/>
    <row r="264224" s="12" customFormat="1" x14ac:dyDescent="0.25"/>
    <row r="264225" s="12" customFormat="1" x14ac:dyDescent="0.25"/>
    <row r="264226" s="12" customFormat="1" x14ac:dyDescent="0.25"/>
    <row r="264227" s="12" customFormat="1" x14ac:dyDescent="0.25"/>
    <row r="264228" s="12" customFormat="1" x14ac:dyDescent="0.25"/>
    <row r="264229" s="12" customFormat="1" x14ac:dyDescent="0.25"/>
    <row r="264230" s="12" customFormat="1" x14ac:dyDescent="0.25"/>
    <row r="264231" s="12" customFormat="1" x14ac:dyDescent="0.25"/>
    <row r="264232" s="12" customFormat="1" x14ac:dyDescent="0.25"/>
    <row r="264233" s="12" customFormat="1" x14ac:dyDescent="0.25"/>
    <row r="264234" s="12" customFormat="1" x14ac:dyDescent="0.25"/>
    <row r="264235" s="12" customFormat="1" x14ac:dyDescent="0.25"/>
    <row r="264236" s="12" customFormat="1" x14ac:dyDescent="0.25"/>
    <row r="264237" s="12" customFormat="1" x14ac:dyDescent="0.25"/>
    <row r="264238" s="12" customFormat="1" x14ac:dyDescent="0.25"/>
    <row r="264239" s="12" customFormat="1" x14ac:dyDescent="0.25"/>
    <row r="264240" s="12" customFormat="1" x14ac:dyDescent="0.25"/>
    <row r="264241" s="12" customFormat="1" x14ac:dyDescent="0.25"/>
    <row r="264242" s="12" customFormat="1" x14ac:dyDescent="0.25"/>
    <row r="264243" s="12" customFormat="1" x14ac:dyDescent="0.25"/>
    <row r="264244" s="12" customFormat="1" x14ac:dyDescent="0.25"/>
    <row r="264245" s="12" customFormat="1" x14ac:dyDescent="0.25"/>
    <row r="264246" s="12" customFormat="1" x14ac:dyDescent="0.25"/>
    <row r="264247" s="12" customFormat="1" x14ac:dyDescent="0.25"/>
    <row r="264248" s="12" customFormat="1" x14ac:dyDescent="0.25"/>
    <row r="264249" s="12" customFormat="1" x14ac:dyDescent="0.25"/>
    <row r="264250" s="12" customFormat="1" x14ac:dyDescent="0.25"/>
    <row r="264251" s="12" customFormat="1" x14ac:dyDescent="0.25"/>
    <row r="264252" s="12" customFormat="1" x14ac:dyDescent="0.25"/>
    <row r="264253" s="12" customFormat="1" x14ac:dyDescent="0.25"/>
    <row r="264254" s="12" customFormat="1" x14ac:dyDescent="0.25"/>
    <row r="264255" s="12" customFormat="1" x14ac:dyDescent="0.25"/>
    <row r="264256" s="12" customFormat="1" x14ac:dyDescent="0.25"/>
    <row r="264257" s="12" customFormat="1" x14ac:dyDescent="0.25"/>
    <row r="264258" s="12" customFormat="1" x14ac:dyDescent="0.25"/>
    <row r="264259" s="12" customFormat="1" x14ac:dyDescent="0.25"/>
    <row r="264260" s="12" customFormat="1" x14ac:dyDescent="0.25"/>
    <row r="264261" s="12" customFormat="1" x14ac:dyDescent="0.25"/>
    <row r="264262" s="12" customFormat="1" x14ac:dyDescent="0.25"/>
    <row r="264263" s="12" customFormat="1" x14ac:dyDescent="0.25"/>
    <row r="264264" s="12" customFormat="1" x14ac:dyDescent="0.25"/>
    <row r="264265" s="12" customFormat="1" x14ac:dyDescent="0.25"/>
    <row r="264266" s="12" customFormat="1" x14ac:dyDescent="0.25"/>
    <row r="264267" s="12" customFormat="1" x14ac:dyDescent="0.25"/>
    <row r="264268" s="12" customFormat="1" x14ac:dyDescent="0.25"/>
    <row r="264269" s="12" customFormat="1" x14ac:dyDescent="0.25"/>
    <row r="264270" s="12" customFormat="1" x14ac:dyDescent="0.25"/>
    <row r="264271" s="12" customFormat="1" x14ac:dyDescent="0.25"/>
    <row r="264272" s="12" customFormat="1" x14ac:dyDescent="0.25"/>
    <row r="264273" s="12" customFormat="1" x14ac:dyDescent="0.25"/>
    <row r="264274" s="12" customFormat="1" x14ac:dyDescent="0.25"/>
    <row r="264275" s="12" customFormat="1" x14ac:dyDescent="0.25"/>
    <row r="264276" s="12" customFormat="1" x14ac:dyDescent="0.25"/>
    <row r="264277" s="12" customFormat="1" x14ac:dyDescent="0.25"/>
    <row r="264278" s="12" customFormat="1" x14ac:dyDescent="0.25"/>
    <row r="264279" s="12" customFormat="1" x14ac:dyDescent="0.25"/>
    <row r="264280" s="12" customFormat="1" x14ac:dyDescent="0.25"/>
    <row r="264281" s="12" customFormat="1" x14ac:dyDescent="0.25"/>
    <row r="264282" s="12" customFormat="1" x14ac:dyDescent="0.25"/>
    <row r="264283" s="12" customFormat="1" x14ac:dyDescent="0.25"/>
    <row r="264284" s="12" customFormat="1" x14ac:dyDescent="0.25"/>
    <row r="264285" s="12" customFormat="1" x14ac:dyDescent="0.25"/>
    <row r="264286" s="12" customFormat="1" x14ac:dyDescent="0.25"/>
    <row r="264287" s="12" customFormat="1" x14ac:dyDescent="0.25"/>
    <row r="264288" s="12" customFormat="1" x14ac:dyDescent="0.25"/>
    <row r="264289" s="12" customFormat="1" x14ac:dyDescent="0.25"/>
    <row r="264290" s="12" customFormat="1" x14ac:dyDescent="0.25"/>
    <row r="264291" s="12" customFormat="1" x14ac:dyDescent="0.25"/>
    <row r="264292" s="12" customFormat="1" x14ac:dyDescent="0.25"/>
    <row r="264293" s="12" customFormat="1" x14ac:dyDescent="0.25"/>
    <row r="264294" s="12" customFormat="1" x14ac:dyDescent="0.25"/>
    <row r="264295" s="12" customFormat="1" x14ac:dyDescent="0.25"/>
    <row r="264296" s="12" customFormat="1" x14ac:dyDescent="0.25"/>
    <row r="264297" s="12" customFormat="1" x14ac:dyDescent="0.25"/>
    <row r="264298" s="12" customFormat="1" x14ac:dyDescent="0.25"/>
    <row r="264299" s="12" customFormat="1" x14ac:dyDescent="0.25"/>
    <row r="264300" s="12" customFormat="1" x14ac:dyDescent="0.25"/>
    <row r="264301" s="12" customFormat="1" x14ac:dyDescent="0.25"/>
    <row r="264302" s="12" customFormat="1" x14ac:dyDescent="0.25"/>
    <row r="264303" s="12" customFormat="1" x14ac:dyDescent="0.25"/>
    <row r="264304" s="12" customFormat="1" x14ac:dyDescent="0.25"/>
    <row r="264305" s="12" customFormat="1" x14ac:dyDescent="0.25"/>
    <row r="264306" s="12" customFormat="1" x14ac:dyDescent="0.25"/>
    <row r="264307" s="12" customFormat="1" x14ac:dyDescent="0.25"/>
    <row r="264308" s="12" customFormat="1" x14ac:dyDescent="0.25"/>
    <row r="264309" s="12" customFormat="1" x14ac:dyDescent="0.25"/>
    <row r="264310" s="12" customFormat="1" x14ac:dyDescent="0.25"/>
    <row r="264311" s="12" customFormat="1" x14ac:dyDescent="0.25"/>
    <row r="264312" s="12" customFormat="1" x14ac:dyDescent="0.25"/>
    <row r="264313" s="12" customFormat="1" x14ac:dyDescent="0.25"/>
    <row r="264314" s="12" customFormat="1" x14ac:dyDescent="0.25"/>
    <row r="264315" s="12" customFormat="1" x14ac:dyDescent="0.25"/>
    <row r="264316" s="12" customFormat="1" x14ac:dyDescent="0.25"/>
    <row r="264317" s="12" customFormat="1" x14ac:dyDescent="0.25"/>
    <row r="264318" s="12" customFormat="1" x14ac:dyDescent="0.25"/>
    <row r="264319" s="12" customFormat="1" x14ac:dyDescent="0.25"/>
    <row r="264320" s="12" customFormat="1" x14ac:dyDescent="0.25"/>
    <row r="264321" s="12" customFormat="1" x14ac:dyDescent="0.25"/>
    <row r="264322" s="12" customFormat="1" x14ac:dyDescent="0.25"/>
    <row r="264323" s="12" customFormat="1" x14ac:dyDescent="0.25"/>
    <row r="264324" s="12" customFormat="1" x14ac:dyDescent="0.25"/>
    <row r="264325" s="12" customFormat="1" x14ac:dyDescent="0.25"/>
    <row r="264326" s="12" customFormat="1" x14ac:dyDescent="0.25"/>
    <row r="264327" s="12" customFormat="1" x14ac:dyDescent="0.25"/>
    <row r="264328" s="12" customFormat="1" x14ac:dyDescent="0.25"/>
    <row r="264329" s="12" customFormat="1" x14ac:dyDescent="0.25"/>
    <row r="264330" s="12" customFormat="1" x14ac:dyDescent="0.25"/>
    <row r="264331" s="12" customFormat="1" x14ac:dyDescent="0.25"/>
    <row r="264332" s="12" customFormat="1" x14ac:dyDescent="0.25"/>
    <row r="264333" s="12" customFormat="1" x14ac:dyDescent="0.25"/>
    <row r="264334" s="12" customFormat="1" x14ac:dyDescent="0.25"/>
    <row r="264335" s="12" customFormat="1" x14ac:dyDescent="0.25"/>
    <row r="264336" s="12" customFormat="1" x14ac:dyDescent="0.25"/>
    <row r="264337" s="12" customFormat="1" x14ac:dyDescent="0.25"/>
    <row r="264338" s="12" customFormat="1" x14ac:dyDescent="0.25"/>
    <row r="264339" s="12" customFormat="1" x14ac:dyDescent="0.25"/>
    <row r="264340" s="12" customFormat="1" x14ac:dyDescent="0.25"/>
    <row r="264341" s="12" customFormat="1" x14ac:dyDescent="0.25"/>
    <row r="264342" s="12" customFormat="1" x14ac:dyDescent="0.25"/>
    <row r="264343" s="12" customFormat="1" x14ac:dyDescent="0.25"/>
    <row r="264344" s="12" customFormat="1" x14ac:dyDescent="0.25"/>
    <row r="264345" s="12" customFormat="1" x14ac:dyDescent="0.25"/>
    <row r="264346" s="12" customFormat="1" x14ac:dyDescent="0.25"/>
    <row r="264347" s="12" customFormat="1" x14ac:dyDescent="0.25"/>
    <row r="264348" s="12" customFormat="1" x14ac:dyDescent="0.25"/>
    <row r="264349" s="12" customFormat="1" x14ac:dyDescent="0.25"/>
    <row r="264350" s="12" customFormat="1" x14ac:dyDescent="0.25"/>
    <row r="264351" s="12" customFormat="1" x14ac:dyDescent="0.25"/>
    <row r="264352" s="12" customFormat="1" x14ac:dyDescent="0.25"/>
    <row r="264353" s="12" customFormat="1" x14ac:dyDescent="0.25"/>
    <row r="264354" s="12" customFormat="1" x14ac:dyDescent="0.25"/>
    <row r="264355" s="12" customFormat="1" x14ac:dyDescent="0.25"/>
    <row r="264356" s="12" customFormat="1" x14ac:dyDescent="0.25"/>
    <row r="264357" s="12" customFormat="1" x14ac:dyDescent="0.25"/>
    <row r="264358" s="12" customFormat="1" x14ac:dyDescent="0.25"/>
    <row r="264359" s="12" customFormat="1" x14ac:dyDescent="0.25"/>
    <row r="264360" s="12" customFormat="1" x14ac:dyDescent="0.25"/>
    <row r="264361" s="12" customFormat="1" x14ac:dyDescent="0.25"/>
    <row r="264362" s="12" customFormat="1" x14ac:dyDescent="0.25"/>
    <row r="264363" s="12" customFormat="1" x14ac:dyDescent="0.25"/>
    <row r="264364" s="12" customFormat="1" x14ac:dyDescent="0.25"/>
    <row r="264365" s="12" customFormat="1" x14ac:dyDescent="0.25"/>
    <row r="264366" s="12" customFormat="1" x14ac:dyDescent="0.25"/>
    <row r="264367" s="12" customFormat="1" x14ac:dyDescent="0.25"/>
    <row r="264368" s="12" customFormat="1" x14ac:dyDescent="0.25"/>
    <row r="264369" s="12" customFormat="1" x14ac:dyDescent="0.25"/>
    <row r="264370" s="12" customFormat="1" x14ac:dyDescent="0.25"/>
    <row r="264371" s="12" customFormat="1" x14ac:dyDescent="0.25"/>
    <row r="264372" s="12" customFormat="1" x14ac:dyDescent="0.25"/>
    <row r="264373" s="12" customFormat="1" x14ac:dyDescent="0.25"/>
    <row r="264374" s="12" customFormat="1" x14ac:dyDescent="0.25"/>
    <row r="264375" s="12" customFormat="1" x14ac:dyDescent="0.25"/>
    <row r="264376" s="12" customFormat="1" x14ac:dyDescent="0.25"/>
    <row r="264377" s="12" customFormat="1" x14ac:dyDescent="0.25"/>
    <row r="264378" s="12" customFormat="1" x14ac:dyDescent="0.25"/>
    <row r="264379" s="12" customFormat="1" x14ac:dyDescent="0.25"/>
    <row r="264380" s="12" customFormat="1" x14ac:dyDescent="0.25"/>
    <row r="264381" s="12" customFormat="1" x14ac:dyDescent="0.25"/>
    <row r="264382" s="12" customFormat="1" x14ac:dyDescent="0.25"/>
    <row r="264383" s="12" customFormat="1" x14ac:dyDescent="0.25"/>
    <row r="264384" s="12" customFormat="1" x14ac:dyDescent="0.25"/>
    <row r="264385" s="12" customFormat="1" x14ac:dyDescent="0.25"/>
    <row r="264386" s="12" customFormat="1" x14ac:dyDescent="0.25"/>
    <row r="264387" s="12" customFormat="1" x14ac:dyDescent="0.25"/>
    <row r="264388" s="12" customFormat="1" x14ac:dyDescent="0.25"/>
    <row r="264389" s="12" customFormat="1" x14ac:dyDescent="0.25"/>
    <row r="264390" s="12" customFormat="1" x14ac:dyDescent="0.25"/>
    <row r="264391" s="12" customFormat="1" x14ac:dyDescent="0.25"/>
    <row r="264392" s="12" customFormat="1" x14ac:dyDescent="0.25"/>
    <row r="264393" s="12" customFormat="1" x14ac:dyDescent="0.25"/>
    <row r="264394" s="12" customFormat="1" x14ac:dyDescent="0.25"/>
    <row r="264395" s="12" customFormat="1" x14ac:dyDescent="0.25"/>
    <row r="264396" s="12" customFormat="1" x14ac:dyDescent="0.25"/>
    <row r="264397" s="12" customFormat="1" x14ac:dyDescent="0.25"/>
    <row r="264398" s="12" customFormat="1" x14ac:dyDescent="0.25"/>
    <row r="264399" s="12" customFormat="1" x14ac:dyDescent="0.25"/>
    <row r="264400" s="12" customFormat="1" x14ac:dyDescent="0.25"/>
    <row r="264401" s="12" customFormat="1" x14ac:dyDescent="0.25"/>
    <row r="264402" s="12" customFormat="1" x14ac:dyDescent="0.25"/>
    <row r="264403" s="12" customFormat="1" x14ac:dyDescent="0.25"/>
    <row r="264404" s="12" customFormat="1" x14ac:dyDescent="0.25"/>
    <row r="264405" s="12" customFormat="1" x14ac:dyDescent="0.25"/>
    <row r="264406" s="12" customFormat="1" x14ac:dyDescent="0.25"/>
    <row r="264407" s="12" customFormat="1" x14ac:dyDescent="0.25"/>
    <row r="264408" s="12" customFormat="1" x14ac:dyDescent="0.25"/>
    <row r="264409" s="12" customFormat="1" x14ac:dyDescent="0.25"/>
    <row r="264410" s="12" customFormat="1" x14ac:dyDescent="0.25"/>
    <row r="264411" s="12" customFormat="1" x14ac:dyDescent="0.25"/>
    <row r="264412" s="12" customFormat="1" x14ac:dyDescent="0.25"/>
    <row r="264413" s="12" customFormat="1" x14ac:dyDescent="0.25"/>
    <row r="264414" s="12" customFormat="1" x14ac:dyDescent="0.25"/>
    <row r="264415" s="12" customFormat="1" x14ac:dyDescent="0.25"/>
    <row r="264416" s="12" customFormat="1" x14ac:dyDescent="0.25"/>
    <row r="264417" s="12" customFormat="1" x14ac:dyDescent="0.25"/>
    <row r="264418" s="12" customFormat="1" x14ac:dyDescent="0.25"/>
    <row r="264419" s="12" customFormat="1" x14ac:dyDescent="0.25"/>
    <row r="264420" s="12" customFormat="1" x14ac:dyDescent="0.25"/>
    <row r="264421" s="12" customFormat="1" x14ac:dyDescent="0.25"/>
    <row r="264422" s="12" customFormat="1" x14ac:dyDescent="0.25"/>
    <row r="264423" s="12" customFormat="1" x14ac:dyDescent="0.25"/>
    <row r="264424" s="12" customFormat="1" x14ac:dyDescent="0.25"/>
    <row r="264425" s="12" customFormat="1" x14ac:dyDescent="0.25"/>
    <row r="264426" s="12" customFormat="1" x14ac:dyDescent="0.25"/>
    <row r="264427" s="12" customFormat="1" x14ac:dyDescent="0.25"/>
    <row r="264428" s="12" customFormat="1" x14ac:dyDescent="0.25"/>
    <row r="264429" s="12" customFormat="1" x14ac:dyDescent="0.25"/>
    <row r="264430" s="12" customFormat="1" x14ac:dyDescent="0.25"/>
    <row r="264431" s="12" customFormat="1" x14ac:dyDescent="0.25"/>
    <row r="264432" s="12" customFormat="1" x14ac:dyDescent="0.25"/>
    <row r="264433" s="12" customFormat="1" x14ac:dyDescent="0.25"/>
    <row r="264434" s="12" customFormat="1" x14ac:dyDescent="0.25"/>
    <row r="264435" s="12" customFormat="1" x14ac:dyDescent="0.25"/>
    <row r="264436" s="12" customFormat="1" x14ac:dyDescent="0.25"/>
    <row r="264437" s="12" customFormat="1" x14ac:dyDescent="0.25"/>
    <row r="264438" s="12" customFormat="1" x14ac:dyDescent="0.25"/>
    <row r="264439" s="12" customFormat="1" x14ac:dyDescent="0.25"/>
    <row r="264440" s="12" customFormat="1" x14ac:dyDescent="0.25"/>
    <row r="264441" s="12" customFormat="1" x14ac:dyDescent="0.25"/>
    <row r="264442" s="12" customFormat="1" x14ac:dyDescent="0.25"/>
    <row r="264443" s="12" customFormat="1" x14ac:dyDescent="0.25"/>
    <row r="264444" s="12" customFormat="1" x14ac:dyDescent="0.25"/>
    <row r="264445" s="12" customFormat="1" x14ac:dyDescent="0.25"/>
    <row r="264446" s="12" customFormat="1" x14ac:dyDescent="0.25"/>
    <row r="264447" s="12" customFormat="1" x14ac:dyDescent="0.25"/>
    <row r="264448" s="12" customFormat="1" x14ac:dyDescent="0.25"/>
    <row r="264449" s="12" customFormat="1" x14ac:dyDescent="0.25"/>
    <row r="264450" s="12" customFormat="1" x14ac:dyDescent="0.25"/>
    <row r="264451" s="12" customFormat="1" x14ac:dyDescent="0.25"/>
    <row r="264452" s="12" customFormat="1" x14ac:dyDescent="0.25"/>
    <row r="264453" s="12" customFormat="1" x14ac:dyDescent="0.25"/>
    <row r="264454" s="12" customFormat="1" x14ac:dyDescent="0.25"/>
    <row r="264455" s="12" customFormat="1" x14ac:dyDescent="0.25"/>
    <row r="264456" s="12" customFormat="1" x14ac:dyDescent="0.25"/>
    <row r="264457" s="12" customFormat="1" x14ac:dyDescent="0.25"/>
    <row r="264458" s="12" customFormat="1" x14ac:dyDescent="0.25"/>
    <row r="264459" s="12" customFormat="1" x14ac:dyDescent="0.25"/>
    <row r="264460" s="12" customFormat="1" x14ac:dyDescent="0.25"/>
    <row r="264461" s="12" customFormat="1" x14ac:dyDescent="0.25"/>
    <row r="264462" s="12" customFormat="1" x14ac:dyDescent="0.25"/>
    <row r="264463" s="12" customFormat="1" x14ac:dyDescent="0.25"/>
    <row r="264464" s="12" customFormat="1" x14ac:dyDescent="0.25"/>
    <row r="264465" s="12" customFormat="1" x14ac:dyDescent="0.25"/>
    <row r="264466" s="12" customFormat="1" x14ac:dyDescent="0.25"/>
    <row r="264467" s="12" customFormat="1" x14ac:dyDescent="0.25"/>
    <row r="264468" s="12" customFormat="1" x14ac:dyDescent="0.25"/>
    <row r="264469" s="12" customFormat="1" x14ac:dyDescent="0.25"/>
    <row r="264470" s="12" customFormat="1" x14ac:dyDescent="0.25"/>
    <row r="264471" s="12" customFormat="1" x14ac:dyDescent="0.25"/>
    <row r="264472" s="12" customFormat="1" x14ac:dyDescent="0.25"/>
    <row r="264473" s="12" customFormat="1" x14ac:dyDescent="0.25"/>
    <row r="264474" s="12" customFormat="1" x14ac:dyDescent="0.25"/>
    <row r="264475" s="12" customFormat="1" x14ac:dyDescent="0.25"/>
    <row r="264476" s="12" customFormat="1" x14ac:dyDescent="0.25"/>
    <row r="264477" s="12" customFormat="1" x14ac:dyDescent="0.25"/>
    <row r="264478" s="12" customFormat="1" x14ac:dyDescent="0.25"/>
    <row r="264479" s="12" customFormat="1" x14ac:dyDescent="0.25"/>
    <row r="264480" s="12" customFormat="1" x14ac:dyDescent="0.25"/>
    <row r="264481" s="12" customFormat="1" x14ac:dyDescent="0.25"/>
    <row r="264482" s="12" customFormat="1" x14ac:dyDescent="0.25"/>
    <row r="264483" s="12" customFormat="1" x14ac:dyDescent="0.25"/>
    <row r="264484" s="12" customFormat="1" x14ac:dyDescent="0.25"/>
    <row r="264485" s="12" customFormat="1" x14ac:dyDescent="0.25"/>
    <row r="264486" s="12" customFormat="1" x14ac:dyDescent="0.25"/>
    <row r="264487" s="12" customFormat="1" x14ac:dyDescent="0.25"/>
    <row r="264488" s="12" customFormat="1" x14ac:dyDescent="0.25"/>
    <row r="264489" s="12" customFormat="1" x14ac:dyDescent="0.25"/>
    <row r="264490" s="12" customFormat="1" x14ac:dyDescent="0.25"/>
    <row r="264491" s="12" customFormat="1" x14ac:dyDescent="0.25"/>
    <row r="264492" s="12" customFormat="1" x14ac:dyDescent="0.25"/>
    <row r="264493" s="12" customFormat="1" x14ac:dyDescent="0.25"/>
    <row r="264494" s="12" customFormat="1" x14ac:dyDescent="0.25"/>
    <row r="264495" s="12" customFormat="1" x14ac:dyDescent="0.25"/>
    <row r="264496" s="12" customFormat="1" x14ac:dyDescent="0.25"/>
    <row r="264497" s="12" customFormat="1" x14ac:dyDescent="0.25"/>
    <row r="264498" s="12" customFormat="1" x14ac:dyDescent="0.25"/>
    <row r="264499" s="12" customFormat="1" x14ac:dyDescent="0.25"/>
    <row r="264500" s="12" customFormat="1" x14ac:dyDescent="0.25"/>
    <row r="264501" s="12" customFormat="1" x14ac:dyDescent="0.25"/>
    <row r="264502" s="12" customFormat="1" x14ac:dyDescent="0.25"/>
    <row r="264503" s="12" customFormat="1" x14ac:dyDescent="0.25"/>
    <row r="264504" s="12" customFormat="1" x14ac:dyDescent="0.25"/>
    <row r="264505" s="12" customFormat="1" x14ac:dyDescent="0.25"/>
    <row r="264506" s="12" customFormat="1" x14ac:dyDescent="0.25"/>
    <row r="264507" s="12" customFormat="1" x14ac:dyDescent="0.25"/>
    <row r="264508" s="12" customFormat="1" x14ac:dyDescent="0.25"/>
    <row r="264509" s="12" customFormat="1" x14ac:dyDescent="0.25"/>
    <row r="264510" s="12" customFormat="1" x14ac:dyDescent="0.25"/>
    <row r="264511" s="12" customFormat="1" x14ac:dyDescent="0.25"/>
    <row r="264512" s="12" customFormat="1" x14ac:dyDescent="0.25"/>
    <row r="264513" s="12" customFormat="1" x14ac:dyDescent="0.25"/>
    <row r="264514" s="12" customFormat="1" x14ac:dyDescent="0.25"/>
    <row r="264515" s="12" customFormat="1" x14ac:dyDescent="0.25"/>
    <row r="264516" s="12" customFormat="1" x14ac:dyDescent="0.25"/>
    <row r="264517" s="12" customFormat="1" x14ac:dyDescent="0.25"/>
    <row r="264518" s="12" customFormat="1" x14ac:dyDescent="0.25"/>
    <row r="264519" s="12" customFormat="1" x14ac:dyDescent="0.25"/>
    <row r="264520" s="12" customFormat="1" x14ac:dyDescent="0.25"/>
    <row r="264521" s="12" customFormat="1" x14ac:dyDescent="0.25"/>
    <row r="264522" s="12" customFormat="1" x14ac:dyDescent="0.25"/>
    <row r="264523" s="12" customFormat="1" x14ac:dyDescent="0.25"/>
    <row r="264524" s="12" customFormat="1" x14ac:dyDescent="0.25"/>
    <row r="264525" s="12" customFormat="1" x14ac:dyDescent="0.25"/>
    <row r="264526" s="12" customFormat="1" x14ac:dyDescent="0.25"/>
    <row r="264527" s="12" customFormat="1" x14ac:dyDescent="0.25"/>
    <row r="264528" s="12" customFormat="1" x14ac:dyDescent="0.25"/>
    <row r="264529" s="12" customFormat="1" x14ac:dyDescent="0.25"/>
    <row r="264530" s="12" customFormat="1" x14ac:dyDescent="0.25"/>
    <row r="264531" s="12" customFormat="1" x14ac:dyDescent="0.25"/>
    <row r="264532" s="12" customFormat="1" x14ac:dyDescent="0.25"/>
    <row r="264533" s="12" customFormat="1" x14ac:dyDescent="0.25"/>
    <row r="264534" s="12" customFormat="1" x14ac:dyDescent="0.25"/>
    <row r="264535" s="12" customFormat="1" x14ac:dyDescent="0.25"/>
    <row r="264536" s="12" customFormat="1" x14ac:dyDescent="0.25"/>
    <row r="264537" s="12" customFormat="1" x14ac:dyDescent="0.25"/>
    <row r="264538" s="12" customFormat="1" x14ac:dyDescent="0.25"/>
    <row r="264539" s="12" customFormat="1" x14ac:dyDescent="0.25"/>
    <row r="264540" s="12" customFormat="1" x14ac:dyDescent="0.25"/>
    <row r="264541" s="12" customFormat="1" x14ac:dyDescent="0.25"/>
    <row r="264542" s="12" customFormat="1" x14ac:dyDescent="0.25"/>
    <row r="264543" s="12" customFormat="1" x14ac:dyDescent="0.25"/>
    <row r="264544" s="12" customFormat="1" x14ac:dyDescent="0.25"/>
    <row r="264545" s="12" customFormat="1" x14ac:dyDescent="0.25"/>
    <row r="264546" s="12" customFormat="1" x14ac:dyDescent="0.25"/>
    <row r="264547" s="12" customFormat="1" x14ac:dyDescent="0.25"/>
    <row r="264548" s="12" customFormat="1" x14ac:dyDescent="0.25"/>
    <row r="264549" s="12" customFormat="1" x14ac:dyDescent="0.25"/>
    <row r="264550" s="12" customFormat="1" x14ac:dyDescent="0.25"/>
    <row r="264551" s="12" customFormat="1" x14ac:dyDescent="0.25"/>
    <row r="264552" s="12" customFormat="1" x14ac:dyDescent="0.25"/>
    <row r="264553" s="12" customFormat="1" x14ac:dyDescent="0.25"/>
    <row r="264554" s="12" customFormat="1" x14ac:dyDescent="0.25"/>
    <row r="264555" s="12" customFormat="1" x14ac:dyDescent="0.25"/>
    <row r="264556" s="12" customFormat="1" x14ac:dyDescent="0.25"/>
    <row r="264557" s="12" customFormat="1" x14ac:dyDescent="0.25"/>
    <row r="264558" s="12" customFormat="1" x14ac:dyDescent="0.25"/>
    <row r="264559" s="12" customFormat="1" x14ac:dyDescent="0.25"/>
    <row r="264560" s="12" customFormat="1" x14ac:dyDescent="0.25"/>
    <row r="264561" s="12" customFormat="1" x14ac:dyDescent="0.25"/>
    <row r="264562" s="12" customFormat="1" x14ac:dyDescent="0.25"/>
    <row r="264563" s="12" customFormat="1" x14ac:dyDescent="0.25"/>
    <row r="264564" s="12" customFormat="1" x14ac:dyDescent="0.25"/>
    <row r="264565" s="12" customFormat="1" x14ac:dyDescent="0.25"/>
    <row r="264566" s="12" customFormat="1" x14ac:dyDescent="0.25"/>
    <row r="264567" s="12" customFormat="1" x14ac:dyDescent="0.25"/>
    <row r="264568" s="12" customFormat="1" x14ac:dyDescent="0.25"/>
    <row r="264569" s="12" customFormat="1" x14ac:dyDescent="0.25"/>
    <row r="264570" s="12" customFormat="1" x14ac:dyDescent="0.25"/>
    <row r="264571" s="12" customFormat="1" x14ac:dyDescent="0.25"/>
    <row r="264572" s="12" customFormat="1" x14ac:dyDescent="0.25"/>
    <row r="264573" s="12" customFormat="1" x14ac:dyDescent="0.25"/>
    <row r="264574" s="12" customFormat="1" x14ac:dyDescent="0.25"/>
    <row r="264575" s="12" customFormat="1" x14ac:dyDescent="0.25"/>
    <row r="264576" s="12" customFormat="1" x14ac:dyDescent="0.25"/>
    <row r="264577" s="12" customFormat="1" x14ac:dyDescent="0.25"/>
    <row r="264578" s="12" customFormat="1" x14ac:dyDescent="0.25"/>
    <row r="264579" s="12" customFormat="1" x14ac:dyDescent="0.25"/>
    <row r="264580" s="12" customFormat="1" x14ac:dyDescent="0.25"/>
    <row r="264581" s="12" customFormat="1" x14ac:dyDescent="0.25"/>
    <row r="264582" s="12" customFormat="1" x14ac:dyDescent="0.25"/>
    <row r="264583" s="12" customFormat="1" x14ac:dyDescent="0.25"/>
    <row r="264584" s="12" customFormat="1" x14ac:dyDescent="0.25"/>
    <row r="264585" s="12" customFormat="1" x14ac:dyDescent="0.25"/>
    <row r="264586" s="12" customFormat="1" x14ac:dyDescent="0.25"/>
    <row r="264587" s="12" customFormat="1" x14ac:dyDescent="0.25"/>
    <row r="264588" s="12" customFormat="1" x14ac:dyDescent="0.25"/>
    <row r="264589" s="12" customFormat="1" x14ac:dyDescent="0.25"/>
    <row r="264590" s="12" customFormat="1" x14ac:dyDescent="0.25"/>
    <row r="264591" s="12" customFormat="1" x14ac:dyDescent="0.25"/>
    <row r="264592" s="12" customFormat="1" x14ac:dyDescent="0.25"/>
    <row r="264593" s="12" customFormat="1" x14ac:dyDescent="0.25"/>
    <row r="264594" s="12" customFormat="1" x14ac:dyDescent="0.25"/>
    <row r="264595" s="12" customFormat="1" x14ac:dyDescent="0.25"/>
    <row r="264596" s="12" customFormat="1" x14ac:dyDescent="0.25"/>
    <row r="264597" s="12" customFormat="1" x14ac:dyDescent="0.25"/>
    <row r="264598" s="12" customFormat="1" x14ac:dyDescent="0.25"/>
    <row r="264599" s="12" customFormat="1" x14ac:dyDescent="0.25"/>
    <row r="264600" s="12" customFormat="1" x14ac:dyDescent="0.25"/>
    <row r="264601" s="12" customFormat="1" x14ac:dyDescent="0.25"/>
    <row r="264602" s="12" customFormat="1" x14ac:dyDescent="0.25"/>
    <row r="264603" s="12" customFormat="1" x14ac:dyDescent="0.25"/>
    <row r="264604" s="12" customFormat="1" x14ac:dyDescent="0.25"/>
    <row r="264605" s="12" customFormat="1" x14ac:dyDescent="0.25"/>
    <row r="264606" s="12" customFormat="1" x14ac:dyDescent="0.25"/>
    <row r="264607" s="12" customFormat="1" x14ac:dyDescent="0.25"/>
    <row r="264608" s="12" customFormat="1" x14ac:dyDescent="0.25"/>
    <row r="264609" s="12" customFormat="1" x14ac:dyDescent="0.25"/>
    <row r="264610" s="12" customFormat="1" x14ac:dyDescent="0.25"/>
    <row r="264611" s="12" customFormat="1" x14ac:dyDescent="0.25"/>
    <row r="264612" s="12" customFormat="1" x14ac:dyDescent="0.25"/>
    <row r="264613" s="12" customFormat="1" x14ac:dyDescent="0.25"/>
    <row r="264614" s="12" customFormat="1" x14ac:dyDescent="0.25"/>
    <row r="264615" s="12" customFormat="1" x14ac:dyDescent="0.25"/>
    <row r="264616" s="12" customFormat="1" x14ac:dyDescent="0.25"/>
    <row r="264617" s="12" customFormat="1" x14ac:dyDescent="0.25"/>
    <row r="264618" s="12" customFormat="1" x14ac:dyDescent="0.25"/>
    <row r="264619" s="12" customFormat="1" x14ac:dyDescent="0.25"/>
    <row r="264620" s="12" customFormat="1" x14ac:dyDescent="0.25"/>
    <row r="264621" s="12" customFormat="1" x14ac:dyDescent="0.25"/>
    <row r="264622" s="12" customFormat="1" x14ac:dyDescent="0.25"/>
    <row r="264623" s="12" customFormat="1" x14ac:dyDescent="0.25"/>
    <row r="264624" s="12" customFormat="1" x14ac:dyDescent="0.25"/>
    <row r="264625" s="12" customFormat="1" x14ac:dyDescent="0.25"/>
    <row r="264626" s="12" customFormat="1" x14ac:dyDescent="0.25"/>
    <row r="264627" s="12" customFormat="1" x14ac:dyDescent="0.25"/>
    <row r="264628" s="12" customFormat="1" x14ac:dyDescent="0.25"/>
    <row r="264629" s="12" customFormat="1" x14ac:dyDescent="0.25"/>
    <row r="264630" s="12" customFormat="1" x14ac:dyDescent="0.25"/>
    <row r="264631" s="12" customFormat="1" x14ac:dyDescent="0.25"/>
    <row r="264632" s="12" customFormat="1" x14ac:dyDescent="0.25"/>
    <row r="264633" s="12" customFormat="1" x14ac:dyDescent="0.25"/>
    <row r="264634" s="12" customFormat="1" x14ac:dyDescent="0.25"/>
    <row r="264635" s="12" customFormat="1" x14ac:dyDescent="0.25"/>
    <row r="264636" s="12" customFormat="1" x14ac:dyDescent="0.25"/>
    <row r="264637" s="12" customFormat="1" x14ac:dyDescent="0.25"/>
    <row r="264638" s="12" customFormat="1" x14ac:dyDescent="0.25"/>
    <row r="264639" s="12" customFormat="1" x14ac:dyDescent="0.25"/>
    <row r="264640" s="12" customFormat="1" x14ac:dyDescent="0.25"/>
    <row r="264641" s="12" customFormat="1" x14ac:dyDescent="0.25"/>
    <row r="264642" s="12" customFormat="1" x14ac:dyDescent="0.25"/>
    <row r="264643" s="12" customFormat="1" x14ac:dyDescent="0.25"/>
    <row r="264644" s="12" customFormat="1" x14ac:dyDescent="0.25"/>
    <row r="264645" s="12" customFormat="1" x14ac:dyDescent="0.25"/>
    <row r="264646" s="12" customFormat="1" x14ac:dyDescent="0.25"/>
    <row r="264647" s="12" customFormat="1" x14ac:dyDescent="0.25"/>
    <row r="264648" s="12" customFormat="1" x14ac:dyDescent="0.25"/>
    <row r="264649" s="12" customFormat="1" x14ac:dyDescent="0.25"/>
    <row r="264650" s="12" customFormat="1" x14ac:dyDescent="0.25"/>
    <row r="264651" s="12" customFormat="1" x14ac:dyDescent="0.25"/>
    <row r="264652" s="12" customFormat="1" x14ac:dyDescent="0.25"/>
    <row r="264653" s="12" customFormat="1" x14ac:dyDescent="0.25"/>
    <row r="264654" s="12" customFormat="1" x14ac:dyDescent="0.25"/>
    <row r="264655" s="12" customFormat="1" x14ac:dyDescent="0.25"/>
    <row r="264656" s="12" customFormat="1" x14ac:dyDescent="0.25"/>
    <row r="264657" s="12" customFormat="1" x14ac:dyDescent="0.25"/>
    <row r="264658" s="12" customFormat="1" x14ac:dyDescent="0.25"/>
    <row r="264659" s="12" customFormat="1" x14ac:dyDescent="0.25"/>
    <row r="264660" s="12" customFormat="1" x14ac:dyDescent="0.25"/>
    <row r="264661" s="12" customFormat="1" x14ac:dyDescent="0.25"/>
    <row r="264662" s="12" customFormat="1" x14ac:dyDescent="0.25"/>
    <row r="264663" s="12" customFormat="1" x14ac:dyDescent="0.25"/>
    <row r="264664" s="12" customFormat="1" x14ac:dyDescent="0.25"/>
    <row r="264665" s="12" customFormat="1" x14ac:dyDescent="0.25"/>
    <row r="264666" s="12" customFormat="1" x14ac:dyDescent="0.25"/>
    <row r="264667" s="12" customFormat="1" x14ac:dyDescent="0.25"/>
    <row r="264668" s="12" customFormat="1" x14ac:dyDescent="0.25"/>
    <row r="264669" s="12" customFormat="1" x14ac:dyDescent="0.25"/>
    <row r="264670" s="12" customFormat="1" x14ac:dyDescent="0.25"/>
    <row r="264671" s="12" customFormat="1" x14ac:dyDescent="0.25"/>
    <row r="264672" s="12" customFormat="1" x14ac:dyDescent="0.25"/>
    <row r="264673" s="12" customFormat="1" x14ac:dyDescent="0.25"/>
    <row r="264674" s="12" customFormat="1" x14ac:dyDescent="0.25"/>
    <row r="264675" s="12" customFormat="1" x14ac:dyDescent="0.25"/>
    <row r="264676" s="12" customFormat="1" x14ac:dyDescent="0.25"/>
    <row r="264677" s="12" customFormat="1" x14ac:dyDescent="0.25"/>
    <row r="264678" s="12" customFormat="1" x14ac:dyDescent="0.25"/>
    <row r="264679" s="12" customFormat="1" x14ac:dyDescent="0.25"/>
    <row r="264680" s="12" customFormat="1" x14ac:dyDescent="0.25"/>
    <row r="264681" s="12" customFormat="1" x14ac:dyDescent="0.25"/>
    <row r="264682" s="12" customFormat="1" x14ac:dyDescent="0.25"/>
    <row r="264683" s="12" customFormat="1" x14ac:dyDescent="0.25"/>
    <row r="264684" s="12" customFormat="1" x14ac:dyDescent="0.25"/>
    <row r="264685" s="12" customFormat="1" x14ac:dyDescent="0.25"/>
    <row r="264686" s="12" customFormat="1" x14ac:dyDescent="0.25"/>
    <row r="264687" s="12" customFormat="1" x14ac:dyDescent="0.25"/>
    <row r="264688" s="12" customFormat="1" x14ac:dyDescent="0.25"/>
    <row r="264689" s="12" customFormat="1" x14ac:dyDescent="0.25"/>
    <row r="264690" s="12" customFormat="1" x14ac:dyDescent="0.25"/>
    <row r="264691" s="12" customFormat="1" x14ac:dyDescent="0.25"/>
    <row r="264692" s="12" customFormat="1" x14ac:dyDescent="0.25"/>
    <row r="264693" s="12" customFormat="1" x14ac:dyDescent="0.25"/>
    <row r="264694" s="12" customFormat="1" x14ac:dyDescent="0.25"/>
    <row r="264695" s="12" customFormat="1" x14ac:dyDescent="0.25"/>
    <row r="264696" s="12" customFormat="1" x14ac:dyDescent="0.25"/>
    <row r="264697" s="12" customFormat="1" x14ac:dyDescent="0.25"/>
    <row r="264698" s="12" customFormat="1" x14ac:dyDescent="0.25"/>
    <row r="264699" s="12" customFormat="1" x14ac:dyDescent="0.25"/>
    <row r="264700" s="12" customFormat="1" x14ac:dyDescent="0.25"/>
    <row r="264701" s="12" customFormat="1" x14ac:dyDescent="0.25"/>
    <row r="264702" s="12" customFormat="1" x14ac:dyDescent="0.25"/>
    <row r="264703" s="12" customFormat="1" x14ac:dyDescent="0.25"/>
    <row r="264704" s="12" customFormat="1" x14ac:dyDescent="0.25"/>
    <row r="264705" s="12" customFormat="1" x14ac:dyDescent="0.25"/>
    <row r="264706" s="12" customFormat="1" x14ac:dyDescent="0.25"/>
    <row r="264707" s="12" customFormat="1" x14ac:dyDescent="0.25"/>
    <row r="264708" s="12" customFormat="1" x14ac:dyDescent="0.25"/>
    <row r="264709" s="12" customFormat="1" x14ac:dyDescent="0.25"/>
    <row r="264710" s="12" customFormat="1" x14ac:dyDescent="0.25"/>
    <row r="264711" s="12" customFormat="1" x14ac:dyDescent="0.25"/>
    <row r="264712" s="12" customFormat="1" x14ac:dyDescent="0.25"/>
    <row r="264713" s="12" customFormat="1" x14ac:dyDescent="0.25"/>
    <row r="264714" s="12" customFormat="1" x14ac:dyDescent="0.25"/>
    <row r="264715" s="12" customFormat="1" x14ac:dyDescent="0.25"/>
    <row r="264716" s="12" customFormat="1" x14ac:dyDescent="0.25"/>
    <row r="264717" s="12" customFormat="1" x14ac:dyDescent="0.25"/>
    <row r="264718" s="12" customFormat="1" x14ac:dyDescent="0.25"/>
    <row r="264719" s="12" customFormat="1" x14ac:dyDescent="0.25"/>
    <row r="264720" s="12" customFormat="1" x14ac:dyDescent="0.25"/>
    <row r="264721" s="12" customFormat="1" x14ac:dyDescent="0.25"/>
    <row r="264722" s="12" customFormat="1" x14ac:dyDescent="0.25"/>
    <row r="264723" s="12" customFormat="1" x14ac:dyDescent="0.25"/>
    <row r="264724" s="12" customFormat="1" x14ac:dyDescent="0.25"/>
    <row r="264725" s="12" customFormat="1" x14ac:dyDescent="0.25"/>
    <row r="264726" s="12" customFormat="1" x14ac:dyDescent="0.25"/>
    <row r="264727" s="12" customFormat="1" x14ac:dyDescent="0.25"/>
    <row r="264728" s="12" customFormat="1" x14ac:dyDescent="0.25"/>
    <row r="264729" s="12" customFormat="1" x14ac:dyDescent="0.25"/>
    <row r="264730" s="12" customFormat="1" x14ac:dyDescent="0.25"/>
    <row r="264731" s="12" customFormat="1" x14ac:dyDescent="0.25"/>
    <row r="264732" s="12" customFormat="1" x14ac:dyDescent="0.25"/>
    <row r="264733" s="12" customFormat="1" x14ac:dyDescent="0.25"/>
    <row r="264734" s="12" customFormat="1" x14ac:dyDescent="0.25"/>
    <row r="264735" s="12" customFormat="1" x14ac:dyDescent="0.25"/>
    <row r="264736" s="12" customFormat="1" x14ac:dyDescent="0.25"/>
    <row r="264737" s="12" customFormat="1" x14ac:dyDescent="0.25"/>
    <row r="264738" s="12" customFormat="1" x14ac:dyDescent="0.25"/>
    <row r="264739" s="12" customFormat="1" x14ac:dyDescent="0.25"/>
    <row r="264740" s="12" customFormat="1" x14ac:dyDescent="0.25"/>
    <row r="264741" s="12" customFormat="1" x14ac:dyDescent="0.25"/>
    <row r="264742" s="12" customFormat="1" x14ac:dyDescent="0.25"/>
    <row r="264743" s="12" customFormat="1" x14ac:dyDescent="0.25"/>
    <row r="264744" s="12" customFormat="1" x14ac:dyDescent="0.25"/>
    <row r="264745" s="12" customFormat="1" x14ac:dyDescent="0.25"/>
    <row r="264746" s="12" customFormat="1" x14ac:dyDescent="0.25"/>
    <row r="264747" s="12" customFormat="1" x14ac:dyDescent="0.25"/>
    <row r="264748" s="12" customFormat="1" x14ac:dyDescent="0.25"/>
    <row r="264749" s="12" customFormat="1" x14ac:dyDescent="0.25"/>
    <row r="264750" s="12" customFormat="1" x14ac:dyDescent="0.25"/>
    <row r="264751" s="12" customFormat="1" x14ac:dyDescent="0.25"/>
    <row r="264752" s="12" customFormat="1" x14ac:dyDescent="0.25"/>
    <row r="264753" s="12" customFormat="1" x14ac:dyDescent="0.25"/>
    <row r="264754" s="12" customFormat="1" x14ac:dyDescent="0.25"/>
    <row r="264755" s="12" customFormat="1" x14ac:dyDescent="0.25"/>
    <row r="264756" s="12" customFormat="1" x14ac:dyDescent="0.25"/>
    <row r="264757" s="12" customFormat="1" x14ac:dyDescent="0.25"/>
    <row r="264758" s="12" customFormat="1" x14ac:dyDescent="0.25"/>
    <row r="264759" s="12" customFormat="1" x14ac:dyDescent="0.25"/>
    <row r="264760" s="12" customFormat="1" x14ac:dyDescent="0.25"/>
    <row r="264761" s="12" customFormat="1" x14ac:dyDescent="0.25"/>
    <row r="264762" s="12" customFormat="1" x14ac:dyDescent="0.25"/>
    <row r="264763" s="12" customFormat="1" x14ac:dyDescent="0.25"/>
    <row r="264764" s="12" customFormat="1" x14ac:dyDescent="0.25"/>
    <row r="264765" s="12" customFormat="1" x14ac:dyDescent="0.25"/>
    <row r="264766" s="12" customFormat="1" x14ac:dyDescent="0.25"/>
    <row r="264767" s="12" customFormat="1" x14ac:dyDescent="0.25"/>
    <row r="264768" s="12" customFormat="1" x14ac:dyDescent="0.25"/>
    <row r="264769" s="12" customFormat="1" x14ac:dyDescent="0.25"/>
    <row r="264770" s="12" customFormat="1" x14ac:dyDescent="0.25"/>
    <row r="264771" s="12" customFormat="1" x14ac:dyDescent="0.25"/>
    <row r="264772" s="12" customFormat="1" x14ac:dyDescent="0.25"/>
    <row r="264773" s="12" customFormat="1" x14ac:dyDescent="0.25"/>
    <row r="264774" s="12" customFormat="1" x14ac:dyDescent="0.25"/>
    <row r="264775" s="12" customFormat="1" x14ac:dyDescent="0.25"/>
    <row r="264776" s="12" customFormat="1" x14ac:dyDescent="0.25"/>
    <row r="264777" s="12" customFormat="1" x14ac:dyDescent="0.25"/>
    <row r="264778" s="12" customFormat="1" x14ac:dyDescent="0.25"/>
    <row r="264779" s="12" customFormat="1" x14ac:dyDescent="0.25"/>
    <row r="264780" s="12" customFormat="1" x14ac:dyDescent="0.25"/>
    <row r="264781" s="12" customFormat="1" x14ac:dyDescent="0.25"/>
    <row r="264782" s="12" customFormat="1" x14ac:dyDescent="0.25"/>
    <row r="264783" s="12" customFormat="1" x14ac:dyDescent="0.25"/>
    <row r="264784" s="12" customFormat="1" x14ac:dyDescent="0.25"/>
    <row r="264785" s="12" customFormat="1" x14ac:dyDescent="0.25"/>
    <row r="264786" s="12" customFormat="1" x14ac:dyDescent="0.25"/>
    <row r="264787" s="12" customFormat="1" x14ac:dyDescent="0.25"/>
    <row r="264788" s="12" customFormat="1" x14ac:dyDescent="0.25"/>
    <row r="264789" s="12" customFormat="1" x14ac:dyDescent="0.25"/>
    <row r="264790" s="12" customFormat="1" x14ac:dyDescent="0.25"/>
    <row r="264791" s="12" customFormat="1" x14ac:dyDescent="0.25"/>
    <row r="264792" s="12" customFormat="1" x14ac:dyDescent="0.25"/>
    <row r="264793" s="12" customFormat="1" x14ac:dyDescent="0.25"/>
    <row r="264794" s="12" customFormat="1" x14ac:dyDescent="0.25"/>
    <row r="264795" s="12" customFormat="1" x14ac:dyDescent="0.25"/>
    <row r="264796" s="12" customFormat="1" x14ac:dyDescent="0.25"/>
    <row r="264797" s="12" customFormat="1" x14ac:dyDescent="0.25"/>
    <row r="264798" s="12" customFormat="1" x14ac:dyDescent="0.25"/>
    <row r="264799" s="12" customFormat="1" x14ac:dyDescent="0.25"/>
    <row r="264800" s="12" customFormat="1" x14ac:dyDescent="0.25"/>
    <row r="264801" s="12" customFormat="1" x14ac:dyDescent="0.25"/>
    <row r="264802" s="12" customFormat="1" x14ac:dyDescent="0.25"/>
    <row r="264803" s="12" customFormat="1" x14ac:dyDescent="0.25"/>
    <row r="264804" s="12" customFormat="1" x14ac:dyDescent="0.25"/>
    <row r="264805" s="12" customFormat="1" x14ac:dyDescent="0.25"/>
    <row r="264806" s="12" customFormat="1" x14ac:dyDescent="0.25"/>
    <row r="264807" s="12" customFormat="1" x14ac:dyDescent="0.25"/>
    <row r="264808" s="12" customFormat="1" x14ac:dyDescent="0.25"/>
    <row r="264809" s="12" customFormat="1" x14ac:dyDescent="0.25"/>
    <row r="264810" s="12" customFormat="1" x14ac:dyDescent="0.25"/>
    <row r="264811" s="12" customFormat="1" x14ac:dyDescent="0.25"/>
    <row r="264812" s="12" customFormat="1" x14ac:dyDescent="0.25"/>
    <row r="264813" s="12" customFormat="1" x14ac:dyDescent="0.25"/>
    <row r="264814" s="12" customFormat="1" x14ac:dyDescent="0.25"/>
    <row r="264815" s="12" customFormat="1" x14ac:dyDescent="0.25"/>
    <row r="264816" s="12" customFormat="1" x14ac:dyDescent="0.25"/>
    <row r="264817" s="12" customFormat="1" x14ac:dyDescent="0.25"/>
    <row r="264818" s="12" customFormat="1" x14ac:dyDescent="0.25"/>
    <row r="264819" s="12" customFormat="1" x14ac:dyDescent="0.25"/>
    <row r="264820" s="12" customFormat="1" x14ac:dyDescent="0.25"/>
    <row r="264821" s="12" customFormat="1" x14ac:dyDescent="0.25"/>
    <row r="264822" s="12" customFormat="1" x14ac:dyDescent="0.25"/>
    <row r="264823" s="12" customFormat="1" x14ac:dyDescent="0.25"/>
    <row r="264824" s="12" customFormat="1" x14ac:dyDescent="0.25"/>
    <row r="264825" s="12" customFormat="1" x14ac:dyDescent="0.25"/>
    <row r="264826" s="12" customFormat="1" x14ac:dyDescent="0.25"/>
    <row r="264827" s="12" customFormat="1" x14ac:dyDescent="0.25"/>
    <row r="264828" s="12" customFormat="1" x14ac:dyDescent="0.25"/>
    <row r="264829" s="12" customFormat="1" x14ac:dyDescent="0.25"/>
    <row r="264830" s="12" customFormat="1" x14ac:dyDescent="0.25"/>
    <row r="264831" s="12" customFormat="1" x14ac:dyDescent="0.25"/>
    <row r="264832" s="12" customFormat="1" x14ac:dyDescent="0.25"/>
    <row r="264833" s="12" customFormat="1" x14ac:dyDescent="0.25"/>
    <row r="264834" s="12" customFormat="1" x14ac:dyDescent="0.25"/>
    <row r="264835" s="12" customFormat="1" x14ac:dyDescent="0.25"/>
    <row r="264836" s="12" customFormat="1" x14ac:dyDescent="0.25"/>
    <row r="264837" s="12" customFormat="1" x14ac:dyDescent="0.25"/>
    <row r="264838" s="12" customFormat="1" x14ac:dyDescent="0.25"/>
    <row r="264839" s="12" customFormat="1" x14ac:dyDescent="0.25"/>
    <row r="264840" s="12" customFormat="1" x14ac:dyDescent="0.25"/>
    <row r="264841" s="12" customFormat="1" x14ac:dyDescent="0.25"/>
    <row r="264842" s="12" customFormat="1" x14ac:dyDescent="0.25"/>
    <row r="264843" s="12" customFormat="1" x14ac:dyDescent="0.25"/>
    <row r="264844" s="12" customFormat="1" x14ac:dyDescent="0.25"/>
    <row r="264845" s="12" customFormat="1" x14ac:dyDescent="0.25"/>
    <row r="264846" s="12" customFormat="1" x14ac:dyDescent="0.25"/>
    <row r="264847" s="12" customFormat="1" x14ac:dyDescent="0.25"/>
    <row r="264848" s="12" customFormat="1" x14ac:dyDescent="0.25"/>
    <row r="264849" s="12" customFormat="1" x14ac:dyDescent="0.25"/>
    <row r="264850" s="12" customFormat="1" x14ac:dyDescent="0.25"/>
    <row r="264851" s="12" customFormat="1" x14ac:dyDescent="0.25"/>
    <row r="264852" s="12" customFormat="1" x14ac:dyDescent="0.25"/>
    <row r="264853" s="12" customFormat="1" x14ac:dyDescent="0.25"/>
    <row r="264854" s="12" customFormat="1" x14ac:dyDescent="0.25"/>
    <row r="264855" s="12" customFormat="1" x14ac:dyDescent="0.25"/>
    <row r="264856" s="12" customFormat="1" x14ac:dyDescent="0.25"/>
    <row r="264857" s="12" customFormat="1" x14ac:dyDescent="0.25"/>
    <row r="264858" s="12" customFormat="1" x14ac:dyDescent="0.25"/>
    <row r="264859" s="12" customFormat="1" x14ac:dyDescent="0.25"/>
    <row r="264860" s="12" customFormat="1" x14ac:dyDescent="0.25"/>
    <row r="264861" s="12" customFormat="1" x14ac:dyDescent="0.25"/>
    <row r="264862" s="12" customFormat="1" x14ac:dyDescent="0.25"/>
    <row r="264863" s="12" customFormat="1" x14ac:dyDescent="0.25"/>
    <row r="264864" s="12" customFormat="1" x14ac:dyDescent="0.25"/>
    <row r="264865" s="12" customFormat="1" x14ac:dyDescent="0.25"/>
    <row r="264866" s="12" customFormat="1" x14ac:dyDescent="0.25"/>
    <row r="264867" s="12" customFormat="1" x14ac:dyDescent="0.25"/>
    <row r="264868" s="12" customFormat="1" x14ac:dyDescent="0.25"/>
    <row r="264869" s="12" customFormat="1" x14ac:dyDescent="0.25"/>
    <row r="264870" s="12" customFormat="1" x14ac:dyDescent="0.25"/>
    <row r="264871" s="12" customFormat="1" x14ac:dyDescent="0.25"/>
    <row r="264872" s="12" customFormat="1" x14ac:dyDescent="0.25"/>
    <row r="264873" s="12" customFormat="1" x14ac:dyDescent="0.25"/>
    <row r="264874" s="12" customFormat="1" x14ac:dyDescent="0.25"/>
    <row r="264875" s="12" customFormat="1" x14ac:dyDescent="0.25"/>
    <row r="264876" s="12" customFormat="1" x14ac:dyDescent="0.25"/>
    <row r="264877" s="12" customFormat="1" x14ac:dyDescent="0.25"/>
    <row r="264878" s="12" customFormat="1" x14ac:dyDescent="0.25"/>
    <row r="264879" s="12" customFormat="1" x14ac:dyDescent="0.25"/>
    <row r="264880" s="12" customFormat="1" x14ac:dyDescent="0.25"/>
    <row r="264881" s="12" customFormat="1" x14ac:dyDescent="0.25"/>
    <row r="264882" s="12" customFormat="1" x14ac:dyDescent="0.25"/>
    <row r="264883" s="12" customFormat="1" x14ac:dyDescent="0.25"/>
    <row r="264884" s="12" customFormat="1" x14ac:dyDescent="0.25"/>
    <row r="264885" s="12" customFormat="1" x14ac:dyDescent="0.25"/>
    <row r="264886" s="12" customFormat="1" x14ac:dyDescent="0.25"/>
    <row r="264887" s="12" customFormat="1" x14ac:dyDescent="0.25"/>
    <row r="264888" s="12" customFormat="1" x14ac:dyDescent="0.25"/>
    <row r="264889" s="12" customFormat="1" x14ac:dyDescent="0.25"/>
    <row r="264890" s="12" customFormat="1" x14ac:dyDescent="0.25"/>
    <row r="264891" s="12" customFormat="1" x14ac:dyDescent="0.25"/>
    <row r="264892" s="12" customFormat="1" x14ac:dyDescent="0.25"/>
    <row r="264893" s="12" customFormat="1" x14ac:dyDescent="0.25"/>
    <row r="264894" s="12" customFormat="1" x14ac:dyDescent="0.25"/>
    <row r="264895" s="12" customFormat="1" x14ac:dyDescent="0.25"/>
    <row r="264896" s="12" customFormat="1" x14ac:dyDescent="0.25"/>
    <row r="264897" s="12" customFormat="1" x14ac:dyDescent="0.25"/>
    <row r="264898" s="12" customFormat="1" x14ac:dyDescent="0.25"/>
    <row r="264899" s="12" customFormat="1" x14ac:dyDescent="0.25"/>
    <row r="264900" s="12" customFormat="1" x14ac:dyDescent="0.25"/>
    <row r="264901" s="12" customFormat="1" x14ac:dyDescent="0.25"/>
    <row r="264902" s="12" customFormat="1" x14ac:dyDescent="0.25"/>
    <row r="264903" s="12" customFormat="1" x14ac:dyDescent="0.25"/>
    <row r="264904" s="12" customFormat="1" x14ac:dyDescent="0.25"/>
    <row r="264905" s="12" customFormat="1" x14ac:dyDescent="0.25"/>
    <row r="264906" s="12" customFormat="1" x14ac:dyDescent="0.25"/>
    <row r="264907" s="12" customFormat="1" x14ac:dyDescent="0.25"/>
    <row r="264908" s="12" customFormat="1" x14ac:dyDescent="0.25"/>
    <row r="264909" s="12" customFormat="1" x14ac:dyDescent="0.25"/>
    <row r="264910" s="12" customFormat="1" x14ac:dyDescent="0.25"/>
    <row r="264911" s="12" customFormat="1" x14ac:dyDescent="0.25"/>
    <row r="264912" s="12" customFormat="1" x14ac:dyDescent="0.25"/>
    <row r="264913" s="12" customFormat="1" x14ac:dyDescent="0.25"/>
    <row r="264914" s="12" customFormat="1" x14ac:dyDescent="0.25"/>
    <row r="264915" s="12" customFormat="1" x14ac:dyDescent="0.25"/>
    <row r="264916" s="12" customFormat="1" x14ac:dyDescent="0.25"/>
    <row r="264917" s="12" customFormat="1" x14ac:dyDescent="0.25"/>
    <row r="264918" s="12" customFormat="1" x14ac:dyDescent="0.25"/>
    <row r="264919" s="12" customFormat="1" x14ac:dyDescent="0.25"/>
    <row r="264920" s="12" customFormat="1" x14ac:dyDescent="0.25"/>
    <row r="264921" s="12" customFormat="1" x14ac:dyDescent="0.25"/>
    <row r="264922" s="12" customFormat="1" x14ac:dyDescent="0.25"/>
    <row r="264923" s="12" customFormat="1" x14ac:dyDescent="0.25"/>
    <row r="264924" s="12" customFormat="1" x14ac:dyDescent="0.25"/>
    <row r="264925" s="12" customFormat="1" x14ac:dyDescent="0.25"/>
    <row r="264926" s="12" customFormat="1" x14ac:dyDescent="0.25"/>
    <row r="264927" s="12" customFormat="1" x14ac:dyDescent="0.25"/>
    <row r="264928" s="12" customFormat="1" x14ac:dyDescent="0.25"/>
    <row r="264929" s="12" customFormat="1" x14ac:dyDescent="0.25"/>
    <row r="264930" s="12" customFormat="1" x14ac:dyDescent="0.25"/>
    <row r="264931" s="12" customFormat="1" x14ac:dyDescent="0.25"/>
    <row r="264932" s="12" customFormat="1" x14ac:dyDescent="0.25"/>
    <row r="264933" s="12" customFormat="1" x14ac:dyDescent="0.25"/>
    <row r="264934" s="12" customFormat="1" x14ac:dyDescent="0.25"/>
    <row r="264935" s="12" customFormat="1" x14ac:dyDescent="0.25"/>
    <row r="264936" s="12" customFormat="1" x14ac:dyDescent="0.25"/>
    <row r="264937" s="12" customFormat="1" x14ac:dyDescent="0.25"/>
    <row r="264938" s="12" customFormat="1" x14ac:dyDescent="0.25"/>
    <row r="264939" s="12" customFormat="1" x14ac:dyDescent="0.25"/>
    <row r="264940" s="12" customFormat="1" x14ac:dyDescent="0.25"/>
    <row r="264941" s="12" customFormat="1" x14ac:dyDescent="0.25"/>
    <row r="264942" s="12" customFormat="1" x14ac:dyDescent="0.25"/>
    <row r="264943" s="12" customFormat="1" x14ac:dyDescent="0.25"/>
    <row r="264944" s="12" customFormat="1" x14ac:dyDescent="0.25"/>
    <row r="264945" s="12" customFormat="1" x14ac:dyDescent="0.25"/>
    <row r="264946" s="12" customFormat="1" x14ac:dyDescent="0.25"/>
    <row r="264947" s="12" customFormat="1" x14ac:dyDescent="0.25"/>
    <row r="264948" s="12" customFormat="1" x14ac:dyDescent="0.25"/>
    <row r="264949" s="12" customFormat="1" x14ac:dyDescent="0.25"/>
    <row r="264950" s="12" customFormat="1" x14ac:dyDescent="0.25"/>
    <row r="264951" s="12" customFormat="1" x14ac:dyDescent="0.25"/>
    <row r="264952" s="12" customFormat="1" x14ac:dyDescent="0.25"/>
    <row r="264953" s="12" customFormat="1" x14ac:dyDescent="0.25"/>
    <row r="264954" s="12" customFormat="1" x14ac:dyDescent="0.25"/>
    <row r="264955" s="12" customFormat="1" x14ac:dyDescent="0.25"/>
    <row r="264956" s="12" customFormat="1" x14ac:dyDescent="0.25"/>
    <row r="264957" s="12" customFormat="1" x14ac:dyDescent="0.25"/>
    <row r="264958" s="12" customFormat="1" x14ac:dyDescent="0.25"/>
    <row r="264959" s="12" customFormat="1" x14ac:dyDescent="0.25"/>
    <row r="264960" s="12" customFormat="1" x14ac:dyDescent="0.25"/>
    <row r="264961" s="12" customFormat="1" x14ac:dyDescent="0.25"/>
    <row r="264962" s="12" customFormat="1" x14ac:dyDescent="0.25"/>
    <row r="264963" s="12" customFormat="1" x14ac:dyDescent="0.25"/>
    <row r="264964" s="12" customFormat="1" x14ac:dyDescent="0.25"/>
    <row r="264965" s="12" customFormat="1" x14ac:dyDescent="0.25"/>
    <row r="264966" s="12" customFormat="1" x14ac:dyDescent="0.25"/>
    <row r="264967" s="12" customFormat="1" x14ac:dyDescent="0.25"/>
    <row r="264968" s="12" customFormat="1" x14ac:dyDescent="0.25"/>
    <row r="264969" s="12" customFormat="1" x14ac:dyDescent="0.25"/>
    <row r="264970" s="12" customFormat="1" x14ac:dyDescent="0.25"/>
    <row r="264971" s="12" customFormat="1" x14ac:dyDescent="0.25"/>
    <row r="264972" s="12" customFormat="1" x14ac:dyDescent="0.25"/>
    <row r="264973" s="12" customFormat="1" x14ac:dyDescent="0.25"/>
    <row r="264974" s="12" customFormat="1" x14ac:dyDescent="0.25"/>
    <row r="264975" s="12" customFormat="1" x14ac:dyDescent="0.25"/>
    <row r="264976" s="12" customFormat="1" x14ac:dyDescent="0.25"/>
    <row r="264977" s="12" customFormat="1" x14ac:dyDescent="0.25"/>
    <row r="264978" s="12" customFormat="1" x14ac:dyDescent="0.25"/>
    <row r="264979" s="12" customFormat="1" x14ac:dyDescent="0.25"/>
    <row r="264980" s="12" customFormat="1" x14ac:dyDescent="0.25"/>
    <row r="264981" s="12" customFormat="1" x14ac:dyDescent="0.25"/>
    <row r="264982" s="12" customFormat="1" x14ac:dyDescent="0.25"/>
    <row r="264983" s="12" customFormat="1" x14ac:dyDescent="0.25"/>
    <row r="264984" s="12" customFormat="1" x14ac:dyDescent="0.25"/>
    <row r="264985" s="12" customFormat="1" x14ac:dyDescent="0.25"/>
    <row r="264986" s="12" customFormat="1" x14ac:dyDescent="0.25"/>
    <row r="264987" s="12" customFormat="1" x14ac:dyDescent="0.25"/>
    <row r="264988" s="12" customFormat="1" x14ac:dyDescent="0.25"/>
    <row r="264989" s="12" customFormat="1" x14ac:dyDescent="0.25"/>
    <row r="264990" s="12" customFormat="1" x14ac:dyDescent="0.25"/>
    <row r="264991" s="12" customFormat="1" x14ac:dyDescent="0.25"/>
    <row r="264992" s="12" customFormat="1" x14ac:dyDescent="0.25"/>
    <row r="264993" s="12" customFormat="1" x14ac:dyDescent="0.25"/>
    <row r="264994" s="12" customFormat="1" x14ac:dyDescent="0.25"/>
    <row r="264995" s="12" customFormat="1" x14ac:dyDescent="0.25"/>
    <row r="264996" s="12" customFormat="1" x14ac:dyDescent="0.25"/>
    <row r="264997" s="12" customFormat="1" x14ac:dyDescent="0.25"/>
    <row r="264998" s="12" customFormat="1" x14ac:dyDescent="0.25"/>
    <row r="264999" s="12" customFormat="1" x14ac:dyDescent="0.25"/>
    <row r="265000" s="12" customFormat="1" x14ac:dyDescent="0.25"/>
    <row r="265001" s="12" customFormat="1" x14ac:dyDescent="0.25"/>
    <row r="265002" s="12" customFormat="1" x14ac:dyDescent="0.25"/>
    <row r="265003" s="12" customFormat="1" x14ac:dyDescent="0.25"/>
    <row r="265004" s="12" customFormat="1" x14ac:dyDescent="0.25"/>
    <row r="265005" s="12" customFormat="1" x14ac:dyDescent="0.25"/>
    <row r="265006" s="12" customFormat="1" x14ac:dyDescent="0.25"/>
    <row r="265007" s="12" customFormat="1" x14ac:dyDescent="0.25"/>
    <row r="265008" s="12" customFormat="1" x14ac:dyDescent="0.25"/>
    <row r="265009" s="12" customFormat="1" x14ac:dyDescent="0.25"/>
    <row r="265010" s="12" customFormat="1" x14ac:dyDescent="0.25"/>
    <row r="265011" s="12" customFormat="1" x14ac:dyDescent="0.25"/>
    <row r="265012" s="12" customFormat="1" x14ac:dyDescent="0.25"/>
    <row r="265013" s="12" customFormat="1" x14ac:dyDescent="0.25"/>
    <row r="265014" s="12" customFormat="1" x14ac:dyDescent="0.25"/>
    <row r="265015" s="12" customFormat="1" x14ac:dyDescent="0.25"/>
    <row r="265016" s="12" customFormat="1" x14ac:dyDescent="0.25"/>
    <row r="265017" s="12" customFormat="1" x14ac:dyDescent="0.25"/>
    <row r="265018" s="12" customFormat="1" x14ac:dyDescent="0.25"/>
    <row r="265019" s="12" customFormat="1" x14ac:dyDescent="0.25"/>
    <row r="265020" s="12" customFormat="1" x14ac:dyDescent="0.25"/>
    <row r="265021" s="12" customFormat="1" x14ac:dyDescent="0.25"/>
    <row r="265022" s="12" customFormat="1" x14ac:dyDescent="0.25"/>
    <row r="265023" s="12" customFormat="1" x14ac:dyDescent="0.25"/>
    <row r="265024" s="12" customFormat="1" x14ac:dyDescent="0.25"/>
    <row r="265025" s="12" customFormat="1" x14ac:dyDescent="0.25"/>
    <row r="265026" s="12" customFormat="1" x14ac:dyDescent="0.25"/>
    <row r="265027" s="12" customFormat="1" x14ac:dyDescent="0.25"/>
    <row r="265028" s="12" customFormat="1" x14ac:dyDescent="0.25"/>
    <row r="265029" s="12" customFormat="1" x14ac:dyDescent="0.25"/>
    <row r="265030" s="12" customFormat="1" x14ac:dyDescent="0.25"/>
    <row r="265031" s="12" customFormat="1" x14ac:dyDescent="0.25"/>
    <row r="265032" s="12" customFormat="1" x14ac:dyDescent="0.25"/>
    <row r="265033" s="12" customFormat="1" x14ac:dyDescent="0.25"/>
    <row r="265034" s="12" customFormat="1" x14ac:dyDescent="0.25"/>
    <row r="265035" s="12" customFormat="1" x14ac:dyDescent="0.25"/>
    <row r="265036" s="12" customFormat="1" x14ac:dyDescent="0.25"/>
    <row r="265037" s="12" customFormat="1" x14ac:dyDescent="0.25"/>
    <row r="265038" s="12" customFormat="1" x14ac:dyDescent="0.25"/>
    <row r="265039" s="12" customFormat="1" x14ac:dyDescent="0.25"/>
    <row r="265040" s="12" customFormat="1" x14ac:dyDescent="0.25"/>
    <row r="265041" s="12" customFormat="1" x14ac:dyDescent="0.25"/>
    <row r="265042" s="12" customFormat="1" x14ac:dyDescent="0.25"/>
    <row r="265043" s="12" customFormat="1" x14ac:dyDescent="0.25"/>
    <row r="265044" s="12" customFormat="1" x14ac:dyDescent="0.25"/>
    <row r="265045" s="12" customFormat="1" x14ac:dyDescent="0.25"/>
    <row r="265046" s="12" customFormat="1" x14ac:dyDescent="0.25"/>
    <row r="265047" s="12" customFormat="1" x14ac:dyDescent="0.25"/>
    <row r="265048" s="12" customFormat="1" x14ac:dyDescent="0.25"/>
    <row r="265049" s="12" customFormat="1" x14ac:dyDescent="0.25"/>
    <row r="265050" s="12" customFormat="1" x14ac:dyDescent="0.25"/>
    <row r="265051" s="12" customFormat="1" x14ac:dyDescent="0.25"/>
    <row r="265052" s="12" customFormat="1" x14ac:dyDescent="0.25"/>
    <row r="265053" s="12" customFormat="1" x14ac:dyDescent="0.25"/>
    <row r="265054" s="12" customFormat="1" x14ac:dyDescent="0.25"/>
    <row r="265055" s="12" customFormat="1" x14ac:dyDescent="0.25"/>
    <row r="265056" s="12" customFormat="1" x14ac:dyDescent="0.25"/>
    <row r="265057" s="12" customFormat="1" x14ac:dyDescent="0.25"/>
    <row r="265058" s="12" customFormat="1" x14ac:dyDescent="0.25"/>
    <row r="265059" s="12" customFormat="1" x14ac:dyDescent="0.25"/>
    <row r="265060" s="12" customFormat="1" x14ac:dyDescent="0.25"/>
    <row r="265061" s="12" customFormat="1" x14ac:dyDescent="0.25"/>
    <row r="265062" s="12" customFormat="1" x14ac:dyDescent="0.25"/>
    <row r="265063" s="12" customFormat="1" x14ac:dyDescent="0.25"/>
    <row r="265064" s="12" customFormat="1" x14ac:dyDescent="0.25"/>
    <row r="265065" s="12" customFormat="1" x14ac:dyDescent="0.25"/>
    <row r="265066" s="12" customFormat="1" x14ac:dyDescent="0.25"/>
    <row r="265067" s="12" customFormat="1" x14ac:dyDescent="0.25"/>
    <row r="265068" s="12" customFormat="1" x14ac:dyDescent="0.25"/>
    <row r="265069" s="12" customFormat="1" x14ac:dyDescent="0.25"/>
    <row r="265070" s="12" customFormat="1" x14ac:dyDescent="0.25"/>
    <row r="265071" s="12" customFormat="1" x14ac:dyDescent="0.25"/>
    <row r="265072" s="12" customFormat="1" x14ac:dyDescent="0.25"/>
    <row r="265073" s="12" customFormat="1" x14ac:dyDescent="0.25"/>
    <row r="265074" s="12" customFormat="1" x14ac:dyDescent="0.25"/>
    <row r="265075" s="12" customFormat="1" x14ac:dyDescent="0.25"/>
    <row r="265076" s="12" customFormat="1" x14ac:dyDescent="0.25"/>
    <row r="265077" s="12" customFormat="1" x14ac:dyDescent="0.25"/>
    <row r="265078" s="12" customFormat="1" x14ac:dyDescent="0.25"/>
    <row r="265079" s="12" customFormat="1" x14ac:dyDescent="0.25"/>
    <row r="265080" s="12" customFormat="1" x14ac:dyDescent="0.25"/>
    <row r="265081" s="12" customFormat="1" x14ac:dyDescent="0.25"/>
    <row r="265082" s="12" customFormat="1" x14ac:dyDescent="0.25"/>
    <row r="265083" s="12" customFormat="1" x14ac:dyDescent="0.25"/>
    <row r="265084" s="12" customFormat="1" x14ac:dyDescent="0.25"/>
    <row r="265085" s="12" customFormat="1" x14ac:dyDescent="0.25"/>
    <row r="265086" s="12" customFormat="1" x14ac:dyDescent="0.25"/>
    <row r="265087" s="12" customFormat="1" x14ac:dyDescent="0.25"/>
    <row r="265088" s="12" customFormat="1" x14ac:dyDescent="0.25"/>
    <row r="265089" s="12" customFormat="1" x14ac:dyDescent="0.25"/>
    <row r="265090" s="12" customFormat="1" x14ac:dyDescent="0.25"/>
    <row r="265091" s="12" customFormat="1" x14ac:dyDescent="0.25"/>
    <row r="265092" s="12" customFormat="1" x14ac:dyDescent="0.25"/>
    <row r="265093" s="12" customFormat="1" x14ac:dyDescent="0.25"/>
    <row r="265094" s="12" customFormat="1" x14ac:dyDescent="0.25"/>
    <row r="265095" s="12" customFormat="1" x14ac:dyDescent="0.25"/>
    <row r="265096" s="12" customFormat="1" x14ac:dyDescent="0.25"/>
    <row r="265097" s="12" customFormat="1" x14ac:dyDescent="0.25"/>
    <row r="265098" s="12" customFormat="1" x14ac:dyDescent="0.25"/>
    <row r="265099" s="12" customFormat="1" x14ac:dyDescent="0.25"/>
    <row r="265100" s="12" customFormat="1" x14ac:dyDescent="0.25"/>
    <row r="265101" s="12" customFormat="1" x14ac:dyDescent="0.25"/>
    <row r="265102" s="12" customFormat="1" x14ac:dyDescent="0.25"/>
    <row r="265103" s="12" customFormat="1" x14ac:dyDescent="0.25"/>
    <row r="265104" s="12" customFormat="1" x14ac:dyDescent="0.25"/>
    <row r="265105" s="12" customFormat="1" x14ac:dyDescent="0.25"/>
    <row r="265106" s="12" customFormat="1" x14ac:dyDescent="0.25"/>
    <row r="265107" s="12" customFormat="1" x14ac:dyDescent="0.25"/>
    <row r="265108" s="12" customFormat="1" x14ac:dyDescent="0.25"/>
    <row r="265109" s="12" customFormat="1" x14ac:dyDescent="0.25"/>
    <row r="265110" s="12" customFormat="1" x14ac:dyDescent="0.25"/>
    <row r="265111" s="12" customFormat="1" x14ac:dyDescent="0.25"/>
    <row r="265112" s="12" customFormat="1" x14ac:dyDescent="0.25"/>
    <row r="265113" s="12" customFormat="1" x14ac:dyDescent="0.25"/>
    <row r="265114" s="12" customFormat="1" x14ac:dyDescent="0.25"/>
    <row r="265115" s="12" customFormat="1" x14ac:dyDescent="0.25"/>
    <row r="265116" s="12" customFormat="1" x14ac:dyDescent="0.25"/>
    <row r="265117" s="12" customFormat="1" x14ac:dyDescent="0.25"/>
    <row r="265118" s="12" customFormat="1" x14ac:dyDescent="0.25"/>
    <row r="265119" s="12" customFormat="1" x14ac:dyDescent="0.25"/>
    <row r="265120" s="12" customFormat="1" x14ac:dyDescent="0.25"/>
    <row r="265121" s="12" customFormat="1" x14ac:dyDescent="0.25"/>
    <row r="265122" s="12" customFormat="1" x14ac:dyDescent="0.25"/>
    <row r="265123" s="12" customFormat="1" x14ac:dyDescent="0.25"/>
    <row r="265124" s="12" customFormat="1" x14ac:dyDescent="0.25"/>
    <row r="265125" s="12" customFormat="1" x14ac:dyDescent="0.25"/>
    <row r="265126" s="12" customFormat="1" x14ac:dyDescent="0.25"/>
    <row r="265127" s="12" customFormat="1" x14ac:dyDescent="0.25"/>
    <row r="265128" s="12" customFormat="1" x14ac:dyDescent="0.25"/>
    <row r="265129" s="12" customFormat="1" x14ac:dyDescent="0.25"/>
    <row r="265130" s="12" customFormat="1" x14ac:dyDescent="0.25"/>
    <row r="265131" s="12" customFormat="1" x14ac:dyDescent="0.25"/>
    <row r="265132" s="12" customFormat="1" x14ac:dyDescent="0.25"/>
    <row r="265133" s="12" customFormat="1" x14ac:dyDescent="0.25"/>
    <row r="265134" s="12" customFormat="1" x14ac:dyDescent="0.25"/>
    <row r="265135" s="12" customFormat="1" x14ac:dyDescent="0.25"/>
    <row r="265136" s="12" customFormat="1" x14ac:dyDescent="0.25"/>
    <row r="265137" s="12" customFormat="1" x14ac:dyDescent="0.25"/>
    <row r="265138" s="12" customFormat="1" x14ac:dyDescent="0.25"/>
    <row r="265139" s="12" customFormat="1" x14ac:dyDescent="0.25"/>
    <row r="265140" s="12" customFormat="1" x14ac:dyDescent="0.25"/>
    <row r="265141" s="12" customFormat="1" x14ac:dyDescent="0.25"/>
    <row r="265142" s="12" customFormat="1" x14ac:dyDescent="0.25"/>
    <row r="265143" s="12" customFormat="1" x14ac:dyDescent="0.25"/>
    <row r="265144" s="12" customFormat="1" x14ac:dyDescent="0.25"/>
    <row r="265145" s="12" customFormat="1" x14ac:dyDescent="0.25"/>
    <row r="265146" s="12" customFormat="1" x14ac:dyDescent="0.25"/>
    <row r="265147" s="12" customFormat="1" x14ac:dyDescent="0.25"/>
    <row r="265148" s="12" customFormat="1" x14ac:dyDescent="0.25"/>
    <row r="265149" s="12" customFormat="1" x14ac:dyDescent="0.25"/>
    <row r="265150" s="12" customFormat="1" x14ac:dyDescent="0.25"/>
    <row r="265151" s="12" customFormat="1" x14ac:dyDescent="0.25"/>
    <row r="265152" s="12" customFormat="1" x14ac:dyDescent="0.25"/>
    <row r="265153" s="12" customFormat="1" x14ac:dyDescent="0.25"/>
    <row r="265154" s="12" customFormat="1" x14ac:dyDescent="0.25"/>
    <row r="265155" s="12" customFormat="1" x14ac:dyDescent="0.25"/>
    <row r="265156" s="12" customFormat="1" x14ac:dyDescent="0.25"/>
    <row r="265157" s="12" customFormat="1" x14ac:dyDescent="0.25"/>
    <row r="265158" s="12" customFormat="1" x14ac:dyDescent="0.25"/>
    <row r="265159" s="12" customFormat="1" x14ac:dyDescent="0.25"/>
    <row r="265160" s="12" customFormat="1" x14ac:dyDescent="0.25"/>
    <row r="265161" s="12" customFormat="1" x14ac:dyDescent="0.25"/>
    <row r="265162" s="12" customFormat="1" x14ac:dyDescent="0.25"/>
    <row r="265163" s="12" customFormat="1" x14ac:dyDescent="0.25"/>
    <row r="265164" s="12" customFormat="1" x14ac:dyDescent="0.25"/>
    <row r="265165" s="12" customFormat="1" x14ac:dyDescent="0.25"/>
    <row r="265166" s="12" customFormat="1" x14ac:dyDescent="0.25"/>
    <row r="265167" s="12" customFormat="1" x14ac:dyDescent="0.25"/>
    <row r="265168" s="12" customFormat="1" x14ac:dyDescent="0.25"/>
    <row r="265169" s="12" customFormat="1" x14ac:dyDescent="0.25"/>
    <row r="265170" s="12" customFormat="1" x14ac:dyDescent="0.25"/>
    <row r="265171" s="12" customFormat="1" x14ac:dyDescent="0.25"/>
    <row r="265172" s="12" customFormat="1" x14ac:dyDescent="0.25"/>
    <row r="265173" s="12" customFormat="1" x14ac:dyDescent="0.25"/>
    <row r="265174" s="12" customFormat="1" x14ac:dyDescent="0.25"/>
    <row r="265175" s="12" customFormat="1" x14ac:dyDescent="0.25"/>
    <row r="265176" s="12" customFormat="1" x14ac:dyDescent="0.25"/>
    <row r="265177" s="12" customFormat="1" x14ac:dyDescent="0.25"/>
    <row r="265178" s="12" customFormat="1" x14ac:dyDescent="0.25"/>
    <row r="265179" s="12" customFormat="1" x14ac:dyDescent="0.25"/>
    <row r="265180" s="12" customFormat="1" x14ac:dyDescent="0.25"/>
    <row r="265181" s="12" customFormat="1" x14ac:dyDescent="0.25"/>
    <row r="265182" s="12" customFormat="1" x14ac:dyDescent="0.25"/>
    <row r="265183" s="12" customFormat="1" x14ac:dyDescent="0.25"/>
    <row r="265184" s="12" customFormat="1" x14ac:dyDescent="0.25"/>
    <row r="265185" s="12" customFormat="1" x14ac:dyDescent="0.25"/>
    <row r="265186" s="12" customFormat="1" x14ac:dyDescent="0.25"/>
    <row r="265187" s="12" customFormat="1" x14ac:dyDescent="0.25"/>
    <row r="265188" s="12" customFormat="1" x14ac:dyDescent="0.25"/>
    <row r="265189" s="12" customFormat="1" x14ac:dyDescent="0.25"/>
    <row r="265190" s="12" customFormat="1" x14ac:dyDescent="0.25"/>
    <row r="265191" s="12" customFormat="1" x14ac:dyDescent="0.25"/>
    <row r="265192" s="12" customFormat="1" x14ac:dyDescent="0.25"/>
    <row r="265193" s="12" customFormat="1" x14ac:dyDescent="0.25"/>
    <row r="265194" s="12" customFormat="1" x14ac:dyDescent="0.25"/>
    <row r="265195" s="12" customFormat="1" x14ac:dyDescent="0.25"/>
    <row r="265196" s="12" customFormat="1" x14ac:dyDescent="0.25"/>
    <row r="265197" s="12" customFormat="1" x14ac:dyDescent="0.25"/>
    <row r="265198" s="12" customFormat="1" x14ac:dyDescent="0.25"/>
    <row r="265199" s="12" customFormat="1" x14ac:dyDescent="0.25"/>
    <row r="265200" s="12" customFormat="1" x14ac:dyDescent="0.25"/>
    <row r="265201" s="12" customFormat="1" x14ac:dyDescent="0.25"/>
    <row r="265202" s="12" customFormat="1" x14ac:dyDescent="0.25"/>
    <row r="265203" s="12" customFormat="1" x14ac:dyDescent="0.25"/>
    <row r="265204" s="12" customFormat="1" x14ac:dyDescent="0.25"/>
    <row r="265205" s="12" customFormat="1" x14ac:dyDescent="0.25"/>
    <row r="265206" s="12" customFormat="1" x14ac:dyDescent="0.25"/>
    <row r="265207" s="12" customFormat="1" x14ac:dyDescent="0.25"/>
    <row r="265208" s="12" customFormat="1" x14ac:dyDescent="0.25"/>
    <row r="265209" s="12" customFormat="1" x14ac:dyDescent="0.25"/>
    <row r="265210" s="12" customFormat="1" x14ac:dyDescent="0.25"/>
    <row r="265211" s="12" customFormat="1" x14ac:dyDescent="0.25"/>
    <row r="265212" s="12" customFormat="1" x14ac:dyDescent="0.25"/>
    <row r="265213" s="12" customFormat="1" x14ac:dyDescent="0.25"/>
    <row r="265214" s="12" customFormat="1" x14ac:dyDescent="0.25"/>
    <row r="265215" s="12" customFormat="1" x14ac:dyDescent="0.25"/>
    <row r="265216" s="12" customFormat="1" x14ac:dyDescent="0.25"/>
    <row r="265217" s="12" customFormat="1" x14ac:dyDescent="0.25"/>
    <row r="265218" s="12" customFormat="1" x14ac:dyDescent="0.25"/>
    <row r="265219" s="12" customFormat="1" x14ac:dyDescent="0.25"/>
    <row r="265220" s="12" customFormat="1" x14ac:dyDescent="0.25"/>
    <row r="265221" s="12" customFormat="1" x14ac:dyDescent="0.25"/>
    <row r="265222" s="12" customFormat="1" x14ac:dyDescent="0.25"/>
    <row r="265223" s="12" customFormat="1" x14ac:dyDescent="0.25"/>
    <row r="265224" s="12" customFormat="1" x14ac:dyDescent="0.25"/>
    <row r="265225" s="12" customFormat="1" x14ac:dyDescent="0.25"/>
    <row r="265226" s="12" customFormat="1" x14ac:dyDescent="0.25"/>
    <row r="265227" s="12" customFormat="1" x14ac:dyDescent="0.25"/>
    <row r="265228" s="12" customFormat="1" x14ac:dyDescent="0.25"/>
    <row r="265229" s="12" customFormat="1" x14ac:dyDescent="0.25"/>
    <row r="265230" s="12" customFormat="1" x14ac:dyDescent="0.25"/>
    <row r="265231" s="12" customFormat="1" x14ac:dyDescent="0.25"/>
    <row r="265232" s="12" customFormat="1" x14ac:dyDescent="0.25"/>
    <row r="265233" s="12" customFormat="1" x14ac:dyDescent="0.25"/>
    <row r="265234" s="12" customFormat="1" x14ac:dyDescent="0.25"/>
    <row r="265235" s="12" customFormat="1" x14ac:dyDescent="0.25"/>
    <row r="265236" s="12" customFormat="1" x14ac:dyDescent="0.25"/>
    <row r="265237" s="12" customFormat="1" x14ac:dyDescent="0.25"/>
    <row r="265238" s="12" customFormat="1" x14ac:dyDescent="0.25"/>
    <row r="265239" s="12" customFormat="1" x14ac:dyDescent="0.25"/>
    <row r="265240" s="12" customFormat="1" x14ac:dyDescent="0.25"/>
    <row r="265241" s="12" customFormat="1" x14ac:dyDescent="0.25"/>
    <row r="265242" s="12" customFormat="1" x14ac:dyDescent="0.25"/>
    <row r="265243" s="12" customFormat="1" x14ac:dyDescent="0.25"/>
    <row r="265244" s="12" customFormat="1" x14ac:dyDescent="0.25"/>
    <row r="265245" s="12" customFormat="1" x14ac:dyDescent="0.25"/>
    <row r="265246" s="12" customFormat="1" x14ac:dyDescent="0.25"/>
    <row r="265247" s="12" customFormat="1" x14ac:dyDescent="0.25"/>
    <row r="265248" s="12" customFormat="1" x14ac:dyDescent="0.25"/>
    <row r="265249" s="12" customFormat="1" x14ac:dyDescent="0.25"/>
    <row r="265250" s="12" customFormat="1" x14ac:dyDescent="0.25"/>
    <row r="265251" s="12" customFormat="1" x14ac:dyDescent="0.25"/>
    <row r="265252" s="12" customFormat="1" x14ac:dyDescent="0.25"/>
    <row r="265253" s="12" customFormat="1" x14ac:dyDescent="0.25"/>
    <row r="265254" s="12" customFormat="1" x14ac:dyDescent="0.25"/>
    <row r="265255" s="12" customFormat="1" x14ac:dyDescent="0.25"/>
    <row r="265256" s="12" customFormat="1" x14ac:dyDescent="0.25"/>
    <row r="265257" s="12" customFormat="1" x14ac:dyDescent="0.25"/>
    <row r="265258" s="12" customFormat="1" x14ac:dyDescent="0.25"/>
    <row r="265259" s="12" customFormat="1" x14ac:dyDescent="0.25"/>
    <row r="265260" s="12" customFormat="1" x14ac:dyDescent="0.25"/>
    <row r="265261" s="12" customFormat="1" x14ac:dyDescent="0.25"/>
    <row r="265262" s="12" customFormat="1" x14ac:dyDescent="0.25"/>
    <row r="265263" s="12" customFormat="1" x14ac:dyDescent="0.25"/>
    <row r="265264" s="12" customFormat="1" x14ac:dyDescent="0.25"/>
    <row r="265265" s="12" customFormat="1" x14ac:dyDescent="0.25"/>
    <row r="265266" s="12" customFormat="1" x14ac:dyDescent="0.25"/>
    <row r="265267" s="12" customFormat="1" x14ac:dyDescent="0.25"/>
    <row r="265268" s="12" customFormat="1" x14ac:dyDescent="0.25"/>
    <row r="265269" s="12" customFormat="1" x14ac:dyDescent="0.25"/>
    <row r="265270" s="12" customFormat="1" x14ac:dyDescent="0.25"/>
    <row r="265271" s="12" customFormat="1" x14ac:dyDescent="0.25"/>
    <row r="265272" s="12" customFormat="1" x14ac:dyDescent="0.25"/>
    <row r="265273" s="12" customFormat="1" x14ac:dyDescent="0.25"/>
    <row r="265274" s="12" customFormat="1" x14ac:dyDescent="0.25"/>
    <row r="265275" s="12" customFormat="1" x14ac:dyDescent="0.25"/>
    <row r="265276" s="12" customFormat="1" x14ac:dyDescent="0.25"/>
    <row r="265277" s="12" customFormat="1" x14ac:dyDescent="0.25"/>
    <row r="265278" s="12" customFormat="1" x14ac:dyDescent="0.25"/>
    <row r="265279" s="12" customFormat="1" x14ac:dyDescent="0.25"/>
    <row r="265280" s="12" customFormat="1" x14ac:dyDescent="0.25"/>
    <row r="265281" s="12" customFormat="1" x14ac:dyDescent="0.25"/>
    <row r="265282" s="12" customFormat="1" x14ac:dyDescent="0.25"/>
    <row r="265283" s="12" customFormat="1" x14ac:dyDescent="0.25"/>
    <row r="265284" s="12" customFormat="1" x14ac:dyDescent="0.25"/>
    <row r="265285" s="12" customFormat="1" x14ac:dyDescent="0.25"/>
    <row r="265286" s="12" customFormat="1" x14ac:dyDescent="0.25"/>
    <row r="265287" s="12" customFormat="1" x14ac:dyDescent="0.25"/>
    <row r="265288" s="12" customFormat="1" x14ac:dyDescent="0.25"/>
    <row r="265289" s="12" customFormat="1" x14ac:dyDescent="0.25"/>
    <row r="265290" s="12" customFormat="1" x14ac:dyDescent="0.25"/>
    <row r="265291" s="12" customFormat="1" x14ac:dyDescent="0.25"/>
    <row r="265292" s="12" customFormat="1" x14ac:dyDescent="0.25"/>
    <row r="265293" s="12" customFormat="1" x14ac:dyDescent="0.25"/>
    <row r="265294" s="12" customFormat="1" x14ac:dyDescent="0.25"/>
    <row r="265295" s="12" customFormat="1" x14ac:dyDescent="0.25"/>
    <row r="265296" s="12" customFormat="1" x14ac:dyDescent="0.25"/>
    <row r="265297" s="12" customFormat="1" x14ac:dyDescent="0.25"/>
    <row r="265298" s="12" customFormat="1" x14ac:dyDescent="0.25"/>
    <row r="265299" s="12" customFormat="1" x14ac:dyDescent="0.25"/>
    <row r="265300" s="12" customFormat="1" x14ac:dyDescent="0.25"/>
    <row r="265301" s="12" customFormat="1" x14ac:dyDescent="0.25"/>
    <row r="265302" s="12" customFormat="1" x14ac:dyDescent="0.25"/>
    <row r="265303" s="12" customFormat="1" x14ac:dyDescent="0.25"/>
    <row r="265304" s="12" customFormat="1" x14ac:dyDescent="0.25"/>
    <row r="265305" s="12" customFormat="1" x14ac:dyDescent="0.25"/>
    <row r="265306" s="12" customFormat="1" x14ac:dyDescent="0.25"/>
    <row r="265307" s="12" customFormat="1" x14ac:dyDescent="0.25"/>
    <row r="265308" s="12" customFormat="1" x14ac:dyDescent="0.25"/>
    <row r="265309" s="12" customFormat="1" x14ac:dyDescent="0.25"/>
    <row r="265310" s="12" customFormat="1" x14ac:dyDescent="0.25"/>
    <row r="265311" s="12" customFormat="1" x14ac:dyDescent="0.25"/>
    <row r="265312" s="12" customFormat="1" x14ac:dyDescent="0.25"/>
    <row r="265313" s="12" customFormat="1" x14ac:dyDescent="0.25"/>
    <row r="265314" s="12" customFormat="1" x14ac:dyDescent="0.25"/>
    <row r="265315" s="12" customFormat="1" x14ac:dyDescent="0.25"/>
    <row r="265316" s="12" customFormat="1" x14ac:dyDescent="0.25"/>
    <row r="265317" s="12" customFormat="1" x14ac:dyDescent="0.25"/>
    <row r="265318" s="12" customFormat="1" x14ac:dyDescent="0.25"/>
    <row r="265319" s="12" customFormat="1" x14ac:dyDescent="0.25"/>
    <row r="265320" s="12" customFormat="1" x14ac:dyDescent="0.25"/>
    <row r="265321" s="12" customFormat="1" x14ac:dyDescent="0.25"/>
    <row r="265322" s="12" customFormat="1" x14ac:dyDescent="0.25"/>
    <row r="265323" s="12" customFormat="1" x14ac:dyDescent="0.25"/>
    <row r="265324" s="12" customFormat="1" x14ac:dyDescent="0.25"/>
    <row r="265325" s="12" customFormat="1" x14ac:dyDescent="0.25"/>
    <row r="265326" s="12" customFormat="1" x14ac:dyDescent="0.25"/>
    <row r="265327" s="12" customFormat="1" x14ac:dyDescent="0.25"/>
    <row r="265328" s="12" customFormat="1" x14ac:dyDescent="0.25"/>
    <row r="265329" s="12" customFormat="1" x14ac:dyDescent="0.25"/>
    <row r="265330" s="12" customFormat="1" x14ac:dyDescent="0.25"/>
    <row r="265331" s="12" customFormat="1" x14ac:dyDescent="0.25"/>
    <row r="265332" s="12" customFormat="1" x14ac:dyDescent="0.25"/>
    <row r="265333" s="12" customFormat="1" x14ac:dyDescent="0.25"/>
    <row r="265334" s="12" customFormat="1" x14ac:dyDescent="0.25"/>
    <row r="265335" s="12" customFormat="1" x14ac:dyDescent="0.25"/>
    <row r="265336" s="12" customFormat="1" x14ac:dyDescent="0.25"/>
    <row r="265337" s="12" customFormat="1" x14ac:dyDescent="0.25"/>
    <row r="265338" s="12" customFormat="1" x14ac:dyDescent="0.25"/>
    <row r="265339" s="12" customFormat="1" x14ac:dyDescent="0.25"/>
    <row r="265340" s="12" customFormat="1" x14ac:dyDescent="0.25"/>
    <row r="265341" s="12" customFormat="1" x14ac:dyDescent="0.25"/>
    <row r="265342" s="12" customFormat="1" x14ac:dyDescent="0.25"/>
    <row r="265343" s="12" customFormat="1" x14ac:dyDescent="0.25"/>
    <row r="265344" s="12" customFormat="1" x14ac:dyDescent="0.25"/>
    <row r="265345" s="12" customFormat="1" x14ac:dyDescent="0.25"/>
    <row r="265346" s="12" customFormat="1" x14ac:dyDescent="0.25"/>
    <row r="265347" s="12" customFormat="1" x14ac:dyDescent="0.25"/>
    <row r="265348" s="12" customFormat="1" x14ac:dyDescent="0.25"/>
    <row r="265349" s="12" customFormat="1" x14ac:dyDescent="0.25"/>
    <row r="265350" s="12" customFormat="1" x14ac:dyDescent="0.25"/>
    <row r="265351" s="12" customFormat="1" x14ac:dyDescent="0.25"/>
    <row r="265352" s="12" customFormat="1" x14ac:dyDescent="0.25"/>
    <row r="265353" s="12" customFormat="1" x14ac:dyDescent="0.25"/>
    <row r="265354" s="12" customFormat="1" x14ac:dyDescent="0.25"/>
    <row r="265355" s="12" customFormat="1" x14ac:dyDescent="0.25"/>
    <row r="265356" s="12" customFormat="1" x14ac:dyDescent="0.25"/>
    <row r="265357" s="12" customFormat="1" x14ac:dyDescent="0.25"/>
    <row r="265358" s="12" customFormat="1" x14ac:dyDescent="0.25"/>
    <row r="265359" s="12" customFormat="1" x14ac:dyDescent="0.25"/>
    <row r="265360" s="12" customFormat="1" x14ac:dyDescent="0.25"/>
    <row r="265361" s="12" customFormat="1" x14ac:dyDescent="0.25"/>
    <row r="265362" s="12" customFormat="1" x14ac:dyDescent="0.25"/>
    <row r="265363" s="12" customFormat="1" x14ac:dyDescent="0.25"/>
    <row r="265364" s="12" customFormat="1" x14ac:dyDescent="0.25"/>
    <row r="265365" s="12" customFormat="1" x14ac:dyDescent="0.25"/>
    <row r="265366" s="12" customFormat="1" x14ac:dyDescent="0.25"/>
    <row r="265367" s="12" customFormat="1" x14ac:dyDescent="0.25"/>
    <row r="265368" s="12" customFormat="1" x14ac:dyDescent="0.25"/>
    <row r="265369" s="12" customFormat="1" x14ac:dyDescent="0.25"/>
    <row r="265370" s="12" customFormat="1" x14ac:dyDescent="0.25"/>
    <row r="265371" s="12" customFormat="1" x14ac:dyDescent="0.25"/>
    <row r="265372" s="12" customFormat="1" x14ac:dyDescent="0.25"/>
    <row r="265373" s="12" customFormat="1" x14ac:dyDescent="0.25"/>
    <row r="265374" s="12" customFormat="1" x14ac:dyDescent="0.25"/>
    <row r="265375" s="12" customFormat="1" x14ac:dyDescent="0.25"/>
    <row r="265376" s="12" customFormat="1" x14ac:dyDescent="0.25"/>
    <row r="265377" s="12" customFormat="1" x14ac:dyDescent="0.25"/>
    <row r="265378" s="12" customFormat="1" x14ac:dyDescent="0.25"/>
    <row r="265379" s="12" customFormat="1" x14ac:dyDescent="0.25"/>
    <row r="265380" s="12" customFormat="1" x14ac:dyDescent="0.25"/>
    <row r="265381" s="12" customFormat="1" x14ac:dyDescent="0.25"/>
    <row r="265382" s="12" customFormat="1" x14ac:dyDescent="0.25"/>
    <row r="265383" s="12" customFormat="1" x14ac:dyDescent="0.25"/>
    <row r="265384" s="12" customFormat="1" x14ac:dyDescent="0.25"/>
    <row r="265385" s="12" customFormat="1" x14ac:dyDescent="0.25"/>
    <row r="265386" s="12" customFormat="1" x14ac:dyDescent="0.25"/>
    <row r="265387" s="12" customFormat="1" x14ac:dyDescent="0.25"/>
    <row r="265388" s="12" customFormat="1" x14ac:dyDescent="0.25"/>
    <row r="265389" s="12" customFormat="1" x14ac:dyDescent="0.25"/>
    <row r="265390" s="12" customFormat="1" x14ac:dyDescent="0.25"/>
    <row r="265391" s="12" customFormat="1" x14ac:dyDescent="0.25"/>
    <row r="265392" s="12" customFormat="1" x14ac:dyDescent="0.25"/>
    <row r="265393" s="12" customFormat="1" x14ac:dyDescent="0.25"/>
    <row r="265394" s="12" customFormat="1" x14ac:dyDescent="0.25"/>
    <row r="265395" s="12" customFormat="1" x14ac:dyDescent="0.25"/>
    <row r="265396" s="12" customFormat="1" x14ac:dyDescent="0.25"/>
    <row r="265397" s="12" customFormat="1" x14ac:dyDescent="0.25"/>
    <row r="265398" s="12" customFormat="1" x14ac:dyDescent="0.25"/>
    <row r="265399" s="12" customFormat="1" x14ac:dyDescent="0.25"/>
    <row r="265400" s="12" customFormat="1" x14ac:dyDescent="0.25"/>
    <row r="265401" s="12" customFormat="1" x14ac:dyDescent="0.25"/>
    <row r="265402" s="12" customFormat="1" x14ac:dyDescent="0.25"/>
    <row r="265403" s="12" customFormat="1" x14ac:dyDescent="0.25"/>
    <row r="265404" s="12" customFormat="1" x14ac:dyDescent="0.25"/>
    <row r="265405" s="12" customFormat="1" x14ac:dyDescent="0.25"/>
    <row r="265406" s="12" customFormat="1" x14ac:dyDescent="0.25"/>
    <row r="265407" s="12" customFormat="1" x14ac:dyDescent="0.25"/>
    <row r="265408" s="12" customFormat="1" x14ac:dyDescent="0.25"/>
    <row r="265409" s="12" customFormat="1" x14ac:dyDescent="0.25"/>
    <row r="265410" s="12" customFormat="1" x14ac:dyDescent="0.25"/>
    <row r="265411" s="12" customFormat="1" x14ac:dyDescent="0.25"/>
    <row r="265412" s="12" customFormat="1" x14ac:dyDescent="0.25"/>
    <row r="265413" s="12" customFormat="1" x14ac:dyDescent="0.25"/>
    <row r="265414" s="12" customFormat="1" x14ac:dyDescent="0.25"/>
    <row r="265415" s="12" customFormat="1" x14ac:dyDescent="0.25"/>
    <row r="265416" s="12" customFormat="1" x14ac:dyDescent="0.25"/>
    <row r="265417" s="12" customFormat="1" x14ac:dyDescent="0.25"/>
    <row r="265418" s="12" customFormat="1" x14ac:dyDescent="0.25"/>
    <row r="265419" s="12" customFormat="1" x14ac:dyDescent="0.25"/>
    <row r="265420" s="12" customFormat="1" x14ac:dyDescent="0.25"/>
    <row r="265421" s="12" customFormat="1" x14ac:dyDescent="0.25"/>
    <row r="265422" s="12" customFormat="1" x14ac:dyDescent="0.25"/>
    <row r="265423" s="12" customFormat="1" x14ac:dyDescent="0.25"/>
    <row r="265424" s="12" customFormat="1" x14ac:dyDescent="0.25"/>
    <row r="265425" s="12" customFormat="1" x14ac:dyDescent="0.25"/>
    <row r="265426" s="12" customFormat="1" x14ac:dyDescent="0.25"/>
    <row r="265427" s="12" customFormat="1" x14ac:dyDescent="0.25"/>
    <row r="265428" s="12" customFormat="1" x14ac:dyDescent="0.25"/>
    <row r="265429" s="12" customFormat="1" x14ac:dyDescent="0.25"/>
    <row r="265430" s="12" customFormat="1" x14ac:dyDescent="0.25"/>
    <row r="265431" s="12" customFormat="1" x14ac:dyDescent="0.25"/>
    <row r="265432" s="12" customFormat="1" x14ac:dyDescent="0.25"/>
    <row r="265433" s="12" customFormat="1" x14ac:dyDescent="0.25"/>
    <row r="265434" s="12" customFormat="1" x14ac:dyDescent="0.25"/>
    <row r="265435" s="12" customFormat="1" x14ac:dyDescent="0.25"/>
    <row r="265436" s="12" customFormat="1" x14ac:dyDescent="0.25"/>
    <row r="265437" s="12" customFormat="1" x14ac:dyDescent="0.25"/>
    <row r="265438" s="12" customFormat="1" x14ac:dyDescent="0.25"/>
    <row r="265439" s="12" customFormat="1" x14ac:dyDescent="0.25"/>
    <row r="265440" s="12" customFormat="1" x14ac:dyDescent="0.25"/>
    <row r="265441" s="12" customFormat="1" x14ac:dyDescent="0.25"/>
    <row r="265442" s="12" customFormat="1" x14ac:dyDescent="0.25"/>
    <row r="265443" s="12" customFormat="1" x14ac:dyDescent="0.25"/>
    <row r="265444" s="12" customFormat="1" x14ac:dyDescent="0.25"/>
    <row r="265445" s="12" customFormat="1" x14ac:dyDescent="0.25"/>
    <row r="265446" s="12" customFormat="1" x14ac:dyDescent="0.25"/>
    <row r="265447" s="12" customFormat="1" x14ac:dyDescent="0.25"/>
    <row r="265448" s="12" customFormat="1" x14ac:dyDescent="0.25"/>
    <row r="265449" s="12" customFormat="1" x14ac:dyDescent="0.25"/>
    <row r="265450" s="12" customFormat="1" x14ac:dyDescent="0.25"/>
    <row r="265451" s="12" customFormat="1" x14ac:dyDescent="0.25"/>
    <row r="265452" s="12" customFormat="1" x14ac:dyDescent="0.25"/>
    <row r="265453" s="12" customFormat="1" x14ac:dyDescent="0.25"/>
    <row r="265454" s="12" customFormat="1" x14ac:dyDescent="0.25"/>
    <row r="265455" s="12" customFormat="1" x14ac:dyDescent="0.25"/>
    <row r="265456" s="12" customFormat="1" x14ac:dyDescent="0.25"/>
    <row r="265457" s="12" customFormat="1" x14ac:dyDescent="0.25"/>
    <row r="265458" s="12" customFormat="1" x14ac:dyDescent="0.25"/>
    <row r="265459" s="12" customFormat="1" x14ac:dyDescent="0.25"/>
    <row r="265460" s="12" customFormat="1" x14ac:dyDescent="0.25"/>
    <row r="265461" s="12" customFormat="1" x14ac:dyDescent="0.25"/>
    <row r="265462" s="12" customFormat="1" x14ac:dyDescent="0.25"/>
    <row r="265463" s="12" customFormat="1" x14ac:dyDescent="0.25"/>
    <row r="265464" s="12" customFormat="1" x14ac:dyDescent="0.25"/>
    <row r="265465" s="12" customFormat="1" x14ac:dyDescent="0.25"/>
    <row r="265466" s="12" customFormat="1" x14ac:dyDescent="0.25"/>
    <row r="265467" s="12" customFormat="1" x14ac:dyDescent="0.25"/>
    <row r="265468" s="12" customFormat="1" x14ac:dyDescent="0.25"/>
    <row r="265469" s="12" customFormat="1" x14ac:dyDescent="0.25"/>
    <row r="265470" s="12" customFormat="1" x14ac:dyDescent="0.25"/>
    <row r="265471" s="12" customFormat="1" x14ac:dyDescent="0.25"/>
    <row r="265472" s="12" customFormat="1" x14ac:dyDescent="0.25"/>
    <row r="265473" s="12" customFormat="1" x14ac:dyDescent="0.25"/>
    <row r="265474" s="12" customFormat="1" x14ac:dyDescent="0.25"/>
    <row r="265475" s="12" customFormat="1" x14ac:dyDescent="0.25"/>
    <row r="265476" s="12" customFormat="1" x14ac:dyDescent="0.25"/>
    <row r="265477" s="12" customFormat="1" x14ac:dyDescent="0.25"/>
    <row r="265478" s="12" customFormat="1" x14ac:dyDescent="0.25"/>
    <row r="265479" s="12" customFormat="1" x14ac:dyDescent="0.25"/>
    <row r="265480" s="12" customFormat="1" x14ac:dyDescent="0.25"/>
    <row r="265481" s="12" customFormat="1" x14ac:dyDescent="0.25"/>
    <row r="265482" s="12" customFormat="1" x14ac:dyDescent="0.25"/>
    <row r="265483" s="12" customFormat="1" x14ac:dyDescent="0.25"/>
    <row r="265484" s="12" customFormat="1" x14ac:dyDescent="0.25"/>
    <row r="265485" s="12" customFormat="1" x14ac:dyDescent="0.25"/>
    <row r="265486" s="12" customFormat="1" x14ac:dyDescent="0.25"/>
    <row r="265487" s="12" customFormat="1" x14ac:dyDescent="0.25"/>
    <row r="265488" s="12" customFormat="1" x14ac:dyDescent="0.25"/>
    <row r="265489" s="12" customFormat="1" x14ac:dyDescent="0.25"/>
    <row r="265490" s="12" customFormat="1" x14ac:dyDescent="0.25"/>
    <row r="265491" s="12" customFormat="1" x14ac:dyDescent="0.25"/>
    <row r="265492" s="12" customFormat="1" x14ac:dyDescent="0.25"/>
    <row r="265493" s="12" customFormat="1" x14ac:dyDescent="0.25"/>
    <row r="265494" s="12" customFormat="1" x14ac:dyDescent="0.25"/>
    <row r="265495" s="12" customFormat="1" x14ac:dyDescent="0.25"/>
    <row r="265496" s="12" customFormat="1" x14ac:dyDescent="0.25"/>
    <row r="265497" s="12" customFormat="1" x14ac:dyDescent="0.25"/>
    <row r="265498" s="12" customFormat="1" x14ac:dyDescent="0.25"/>
    <row r="265499" s="12" customFormat="1" x14ac:dyDescent="0.25"/>
    <row r="265500" s="12" customFormat="1" x14ac:dyDescent="0.25"/>
    <row r="265501" s="12" customFormat="1" x14ac:dyDescent="0.25"/>
    <row r="265502" s="12" customFormat="1" x14ac:dyDescent="0.25"/>
    <row r="265503" s="12" customFormat="1" x14ac:dyDescent="0.25"/>
    <row r="265504" s="12" customFormat="1" x14ac:dyDescent="0.25"/>
    <row r="265505" s="12" customFormat="1" x14ac:dyDescent="0.25"/>
    <row r="265506" s="12" customFormat="1" x14ac:dyDescent="0.25"/>
    <row r="265507" s="12" customFormat="1" x14ac:dyDescent="0.25"/>
    <row r="265508" s="12" customFormat="1" x14ac:dyDescent="0.25"/>
    <row r="265509" s="12" customFormat="1" x14ac:dyDescent="0.25"/>
    <row r="265510" s="12" customFormat="1" x14ac:dyDescent="0.25"/>
    <row r="265511" s="12" customFormat="1" x14ac:dyDescent="0.25"/>
    <row r="265512" s="12" customFormat="1" x14ac:dyDescent="0.25"/>
    <row r="265513" s="12" customFormat="1" x14ac:dyDescent="0.25"/>
    <row r="265514" s="12" customFormat="1" x14ac:dyDescent="0.25"/>
    <row r="265515" s="12" customFormat="1" x14ac:dyDescent="0.25"/>
    <row r="265516" s="12" customFormat="1" x14ac:dyDescent="0.25"/>
    <row r="265517" s="12" customFormat="1" x14ac:dyDescent="0.25"/>
    <row r="265518" s="12" customFormat="1" x14ac:dyDescent="0.25"/>
    <row r="265519" s="12" customFormat="1" x14ac:dyDescent="0.25"/>
    <row r="265520" s="12" customFormat="1" x14ac:dyDescent="0.25"/>
    <row r="265521" s="12" customFormat="1" x14ac:dyDescent="0.25"/>
    <row r="265522" s="12" customFormat="1" x14ac:dyDescent="0.25"/>
    <row r="265523" s="12" customFormat="1" x14ac:dyDescent="0.25"/>
    <row r="265524" s="12" customFormat="1" x14ac:dyDescent="0.25"/>
    <row r="265525" s="12" customFormat="1" x14ac:dyDescent="0.25"/>
    <row r="265526" s="12" customFormat="1" x14ac:dyDescent="0.25"/>
    <row r="265527" s="12" customFormat="1" x14ac:dyDescent="0.25"/>
    <row r="265528" s="12" customFormat="1" x14ac:dyDescent="0.25"/>
    <row r="265529" s="12" customFormat="1" x14ac:dyDescent="0.25"/>
    <row r="265530" s="12" customFormat="1" x14ac:dyDescent="0.25"/>
    <row r="265531" s="12" customFormat="1" x14ac:dyDescent="0.25"/>
    <row r="265532" s="12" customFormat="1" x14ac:dyDescent="0.25"/>
    <row r="265533" s="12" customFormat="1" x14ac:dyDescent="0.25"/>
    <row r="265534" s="12" customFormat="1" x14ac:dyDescent="0.25"/>
    <row r="265535" s="12" customFormat="1" x14ac:dyDescent="0.25"/>
    <row r="265536" s="12" customFormat="1" x14ac:dyDescent="0.25"/>
    <row r="265537" s="12" customFormat="1" x14ac:dyDescent="0.25"/>
    <row r="265538" s="12" customFormat="1" x14ac:dyDescent="0.25"/>
    <row r="265539" s="12" customFormat="1" x14ac:dyDescent="0.25"/>
    <row r="265540" s="12" customFormat="1" x14ac:dyDescent="0.25"/>
    <row r="265541" s="12" customFormat="1" x14ac:dyDescent="0.25"/>
    <row r="265542" s="12" customFormat="1" x14ac:dyDescent="0.25"/>
    <row r="265543" s="12" customFormat="1" x14ac:dyDescent="0.25"/>
    <row r="265544" s="12" customFormat="1" x14ac:dyDescent="0.25"/>
    <row r="265545" s="12" customFormat="1" x14ac:dyDescent="0.25"/>
    <row r="265546" s="12" customFormat="1" x14ac:dyDescent="0.25"/>
    <row r="265547" s="12" customFormat="1" x14ac:dyDescent="0.25"/>
    <row r="265548" s="12" customFormat="1" x14ac:dyDescent="0.25"/>
    <row r="265549" s="12" customFormat="1" x14ac:dyDescent="0.25"/>
    <row r="265550" s="12" customFormat="1" x14ac:dyDescent="0.25"/>
    <row r="265551" s="12" customFormat="1" x14ac:dyDescent="0.25"/>
    <row r="265552" s="12" customFormat="1" x14ac:dyDescent="0.25"/>
    <row r="265553" s="12" customFormat="1" x14ac:dyDescent="0.25"/>
    <row r="265554" s="12" customFormat="1" x14ac:dyDescent="0.25"/>
    <row r="265555" s="12" customFormat="1" x14ac:dyDescent="0.25"/>
    <row r="265556" s="12" customFormat="1" x14ac:dyDescent="0.25"/>
    <row r="265557" s="12" customFormat="1" x14ac:dyDescent="0.25"/>
    <row r="265558" s="12" customFormat="1" x14ac:dyDescent="0.25"/>
    <row r="265559" s="12" customFormat="1" x14ac:dyDescent="0.25"/>
    <row r="265560" s="12" customFormat="1" x14ac:dyDescent="0.25"/>
    <row r="265561" s="12" customFormat="1" x14ac:dyDescent="0.25"/>
    <row r="265562" s="12" customFormat="1" x14ac:dyDescent="0.25"/>
    <row r="265563" s="12" customFormat="1" x14ac:dyDescent="0.25"/>
    <row r="265564" s="12" customFormat="1" x14ac:dyDescent="0.25"/>
    <row r="265565" s="12" customFormat="1" x14ac:dyDescent="0.25"/>
    <row r="265566" s="12" customFormat="1" x14ac:dyDescent="0.25"/>
    <row r="265567" s="12" customFormat="1" x14ac:dyDescent="0.25"/>
    <row r="265568" s="12" customFormat="1" x14ac:dyDescent="0.25"/>
    <row r="265569" s="12" customFormat="1" x14ac:dyDescent="0.25"/>
    <row r="265570" s="12" customFormat="1" x14ac:dyDescent="0.25"/>
    <row r="265571" s="12" customFormat="1" x14ac:dyDescent="0.25"/>
    <row r="265572" s="12" customFormat="1" x14ac:dyDescent="0.25"/>
    <row r="265573" s="12" customFormat="1" x14ac:dyDescent="0.25"/>
    <row r="265574" s="12" customFormat="1" x14ac:dyDescent="0.25"/>
    <row r="265575" s="12" customFormat="1" x14ac:dyDescent="0.25"/>
    <row r="265576" s="12" customFormat="1" x14ac:dyDescent="0.25"/>
    <row r="265577" s="12" customFormat="1" x14ac:dyDescent="0.25"/>
    <row r="265578" s="12" customFormat="1" x14ac:dyDescent="0.25"/>
    <row r="265579" s="12" customFormat="1" x14ac:dyDescent="0.25"/>
    <row r="265580" s="12" customFormat="1" x14ac:dyDescent="0.25"/>
    <row r="265581" s="12" customFormat="1" x14ac:dyDescent="0.25"/>
    <row r="265582" s="12" customFormat="1" x14ac:dyDescent="0.25"/>
    <row r="265583" s="12" customFormat="1" x14ac:dyDescent="0.25"/>
    <row r="265584" s="12" customFormat="1" x14ac:dyDescent="0.25"/>
    <row r="265585" s="12" customFormat="1" x14ac:dyDescent="0.25"/>
    <row r="265586" s="12" customFormat="1" x14ac:dyDescent="0.25"/>
    <row r="265587" s="12" customFormat="1" x14ac:dyDescent="0.25"/>
    <row r="265588" s="12" customFormat="1" x14ac:dyDescent="0.25"/>
    <row r="265589" s="12" customFormat="1" x14ac:dyDescent="0.25"/>
    <row r="265590" s="12" customFormat="1" x14ac:dyDescent="0.25"/>
    <row r="265591" s="12" customFormat="1" x14ac:dyDescent="0.25"/>
    <row r="265592" s="12" customFormat="1" x14ac:dyDescent="0.25"/>
    <row r="265593" s="12" customFormat="1" x14ac:dyDescent="0.25"/>
    <row r="265594" s="12" customFormat="1" x14ac:dyDescent="0.25"/>
    <row r="265595" s="12" customFormat="1" x14ac:dyDescent="0.25"/>
    <row r="265596" s="12" customFormat="1" x14ac:dyDescent="0.25"/>
    <row r="265597" s="12" customFormat="1" x14ac:dyDescent="0.25"/>
    <row r="265598" s="12" customFormat="1" x14ac:dyDescent="0.25"/>
    <row r="265599" s="12" customFormat="1" x14ac:dyDescent="0.25"/>
    <row r="265600" s="12" customFormat="1" x14ac:dyDescent="0.25"/>
    <row r="265601" s="12" customFormat="1" x14ac:dyDescent="0.25"/>
    <row r="265602" s="12" customFormat="1" x14ac:dyDescent="0.25"/>
    <row r="265603" s="12" customFormat="1" x14ac:dyDescent="0.25"/>
    <row r="265604" s="12" customFormat="1" x14ac:dyDescent="0.25"/>
    <row r="265605" s="12" customFormat="1" x14ac:dyDescent="0.25"/>
    <row r="265606" s="12" customFormat="1" x14ac:dyDescent="0.25"/>
    <row r="265607" s="12" customFormat="1" x14ac:dyDescent="0.25"/>
    <row r="265608" s="12" customFormat="1" x14ac:dyDescent="0.25"/>
    <row r="265609" s="12" customFormat="1" x14ac:dyDescent="0.25"/>
    <row r="265610" s="12" customFormat="1" x14ac:dyDescent="0.25"/>
    <row r="265611" s="12" customFormat="1" x14ac:dyDescent="0.25"/>
    <row r="265612" s="12" customFormat="1" x14ac:dyDescent="0.25"/>
    <row r="265613" s="12" customFormat="1" x14ac:dyDescent="0.25"/>
    <row r="265614" s="12" customFormat="1" x14ac:dyDescent="0.25"/>
    <row r="265615" s="12" customFormat="1" x14ac:dyDescent="0.25"/>
    <row r="265616" s="12" customFormat="1" x14ac:dyDescent="0.25"/>
    <row r="265617" s="12" customFormat="1" x14ac:dyDescent="0.25"/>
    <row r="265618" s="12" customFormat="1" x14ac:dyDescent="0.25"/>
    <row r="265619" s="12" customFormat="1" x14ac:dyDescent="0.25"/>
    <row r="265620" s="12" customFormat="1" x14ac:dyDescent="0.25"/>
    <row r="265621" s="12" customFormat="1" x14ac:dyDescent="0.25"/>
    <row r="265622" s="12" customFormat="1" x14ac:dyDescent="0.25"/>
    <row r="265623" s="12" customFormat="1" x14ac:dyDescent="0.25"/>
    <row r="265624" s="12" customFormat="1" x14ac:dyDescent="0.25"/>
    <row r="265625" s="12" customFormat="1" x14ac:dyDescent="0.25"/>
    <row r="265626" s="12" customFormat="1" x14ac:dyDescent="0.25"/>
    <row r="265627" s="12" customFormat="1" x14ac:dyDescent="0.25"/>
    <row r="265628" s="12" customFormat="1" x14ac:dyDescent="0.25"/>
    <row r="265629" s="12" customFormat="1" x14ac:dyDescent="0.25"/>
    <row r="265630" s="12" customFormat="1" x14ac:dyDescent="0.25"/>
    <row r="265631" s="12" customFormat="1" x14ac:dyDescent="0.25"/>
    <row r="265632" s="12" customFormat="1" x14ac:dyDescent="0.25"/>
    <row r="265633" s="12" customFormat="1" x14ac:dyDescent="0.25"/>
    <row r="265634" s="12" customFormat="1" x14ac:dyDescent="0.25"/>
    <row r="265635" s="12" customFormat="1" x14ac:dyDescent="0.25"/>
    <row r="265636" s="12" customFormat="1" x14ac:dyDescent="0.25"/>
    <row r="265637" s="12" customFormat="1" x14ac:dyDescent="0.25"/>
    <row r="265638" s="12" customFormat="1" x14ac:dyDescent="0.25"/>
    <row r="265639" s="12" customFormat="1" x14ac:dyDescent="0.25"/>
    <row r="265640" s="12" customFormat="1" x14ac:dyDescent="0.25"/>
    <row r="265641" s="12" customFormat="1" x14ac:dyDescent="0.25"/>
    <row r="265642" s="12" customFormat="1" x14ac:dyDescent="0.25"/>
    <row r="265643" s="12" customFormat="1" x14ac:dyDescent="0.25"/>
    <row r="265644" s="12" customFormat="1" x14ac:dyDescent="0.25"/>
    <row r="265645" s="12" customFormat="1" x14ac:dyDescent="0.25"/>
    <row r="265646" s="12" customFormat="1" x14ac:dyDescent="0.25"/>
    <row r="265647" s="12" customFormat="1" x14ac:dyDescent="0.25"/>
    <row r="265648" s="12" customFormat="1" x14ac:dyDescent="0.25"/>
    <row r="265649" s="12" customFormat="1" x14ac:dyDescent="0.25"/>
    <row r="265650" s="12" customFormat="1" x14ac:dyDescent="0.25"/>
    <row r="265651" s="12" customFormat="1" x14ac:dyDescent="0.25"/>
    <row r="265652" s="12" customFormat="1" x14ac:dyDescent="0.25"/>
    <row r="265653" s="12" customFormat="1" x14ac:dyDescent="0.25"/>
    <row r="265654" s="12" customFormat="1" x14ac:dyDescent="0.25"/>
    <row r="265655" s="12" customFormat="1" x14ac:dyDescent="0.25"/>
    <row r="265656" s="12" customFormat="1" x14ac:dyDescent="0.25"/>
    <row r="265657" s="12" customFormat="1" x14ac:dyDescent="0.25"/>
    <row r="265658" s="12" customFormat="1" x14ac:dyDescent="0.25"/>
    <row r="265659" s="12" customFormat="1" x14ac:dyDescent="0.25"/>
    <row r="265660" s="12" customFormat="1" x14ac:dyDescent="0.25"/>
    <row r="265661" s="12" customFormat="1" x14ac:dyDescent="0.25"/>
    <row r="265662" s="12" customFormat="1" x14ac:dyDescent="0.25"/>
    <row r="265663" s="12" customFormat="1" x14ac:dyDescent="0.25"/>
    <row r="265664" s="12" customFormat="1" x14ac:dyDescent="0.25"/>
    <row r="265665" s="12" customFormat="1" x14ac:dyDescent="0.25"/>
    <row r="265666" s="12" customFormat="1" x14ac:dyDescent="0.25"/>
    <row r="265667" s="12" customFormat="1" x14ac:dyDescent="0.25"/>
    <row r="265668" s="12" customFormat="1" x14ac:dyDescent="0.25"/>
    <row r="265669" s="12" customFormat="1" x14ac:dyDescent="0.25"/>
    <row r="265670" s="12" customFormat="1" x14ac:dyDescent="0.25"/>
    <row r="265671" s="12" customFormat="1" x14ac:dyDescent="0.25"/>
    <row r="265672" s="12" customFormat="1" x14ac:dyDescent="0.25"/>
    <row r="265673" s="12" customFormat="1" x14ac:dyDescent="0.25"/>
    <row r="265674" s="12" customFormat="1" x14ac:dyDescent="0.25"/>
    <row r="265675" s="12" customFormat="1" x14ac:dyDescent="0.25"/>
    <row r="265676" s="12" customFormat="1" x14ac:dyDescent="0.25"/>
    <row r="265677" s="12" customFormat="1" x14ac:dyDescent="0.25"/>
    <row r="265678" s="12" customFormat="1" x14ac:dyDescent="0.25"/>
    <row r="265679" s="12" customFormat="1" x14ac:dyDescent="0.25"/>
    <row r="265680" s="12" customFormat="1" x14ac:dyDescent="0.25"/>
    <row r="265681" s="12" customFormat="1" x14ac:dyDescent="0.25"/>
    <row r="265682" s="12" customFormat="1" x14ac:dyDescent="0.25"/>
    <row r="265683" s="12" customFormat="1" x14ac:dyDescent="0.25"/>
    <row r="265684" s="12" customFormat="1" x14ac:dyDescent="0.25"/>
    <row r="265685" s="12" customFormat="1" x14ac:dyDescent="0.25"/>
    <row r="265686" s="12" customFormat="1" x14ac:dyDescent="0.25"/>
    <row r="265687" s="12" customFormat="1" x14ac:dyDescent="0.25"/>
    <row r="265688" s="12" customFormat="1" x14ac:dyDescent="0.25"/>
    <row r="265689" s="12" customFormat="1" x14ac:dyDescent="0.25"/>
    <row r="265690" s="12" customFormat="1" x14ac:dyDescent="0.25"/>
    <row r="265691" s="12" customFormat="1" x14ac:dyDescent="0.25"/>
    <row r="265692" s="12" customFormat="1" x14ac:dyDescent="0.25"/>
    <row r="265693" s="12" customFormat="1" x14ac:dyDescent="0.25"/>
    <row r="265694" s="12" customFormat="1" x14ac:dyDescent="0.25"/>
    <row r="265695" s="12" customFormat="1" x14ac:dyDescent="0.25"/>
    <row r="265696" s="12" customFormat="1" x14ac:dyDescent="0.25"/>
    <row r="265697" s="12" customFormat="1" x14ac:dyDescent="0.25"/>
    <row r="265698" s="12" customFormat="1" x14ac:dyDescent="0.25"/>
    <row r="265699" s="12" customFormat="1" x14ac:dyDescent="0.25"/>
    <row r="265700" s="12" customFormat="1" x14ac:dyDescent="0.25"/>
    <row r="265701" s="12" customFormat="1" x14ac:dyDescent="0.25"/>
    <row r="265702" s="12" customFormat="1" x14ac:dyDescent="0.25"/>
    <row r="265703" s="12" customFormat="1" x14ac:dyDescent="0.25"/>
    <row r="265704" s="12" customFormat="1" x14ac:dyDescent="0.25"/>
    <row r="265705" s="12" customFormat="1" x14ac:dyDescent="0.25"/>
    <row r="265706" s="12" customFormat="1" x14ac:dyDescent="0.25"/>
    <row r="265707" s="12" customFormat="1" x14ac:dyDescent="0.25"/>
    <row r="265708" s="12" customFormat="1" x14ac:dyDescent="0.25"/>
    <row r="265709" s="12" customFormat="1" x14ac:dyDescent="0.25"/>
    <row r="265710" s="12" customFormat="1" x14ac:dyDescent="0.25"/>
    <row r="265711" s="12" customFormat="1" x14ac:dyDescent="0.25"/>
    <row r="265712" s="12" customFormat="1" x14ac:dyDescent="0.25"/>
    <row r="265713" s="12" customFormat="1" x14ac:dyDescent="0.25"/>
    <row r="265714" s="12" customFormat="1" x14ac:dyDescent="0.25"/>
    <row r="265715" s="12" customFormat="1" x14ac:dyDescent="0.25"/>
    <row r="265716" s="12" customFormat="1" x14ac:dyDescent="0.25"/>
    <row r="265717" s="12" customFormat="1" x14ac:dyDescent="0.25"/>
    <row r="265718" s="12" customFormat="1" x14ac:dyDescent="0.25"/>
    <row r="265719" s="12" customFormat="1" x14ac:dyDescent="0.25"/>
    <row r="265720" s="12" customFormat="1" x14ac:dyDescent="0.25"/>
    <row r="265721" s="12" customFormat="1" x14ac:dyDescent="0.25"/>
    <row r="265722" s="12" customFormat="1" x14ac:dyDescent="0.25"/>
    <row r="265723" s="12" customFormat="1" x14ac:dyDescent="0.25"/>
    <row r="265724" s="12" customFormat="1" x14ac:dyDescent="0.25"/>
    <row r="265725" s="12" customFormat="1" x14ac:dyDescent="0.25"/>
    <row r="265726" s="12" customFormat="1" x14ac:dyDescent="0.25"/>
    <row r="265727" s="12" customFormat="1" x14ac:dyDescent="0.25"/>
    <row r="265728" s="12" customFormat="1" x14ac:dyDescent="0.25"/>
    <row r="265729" s="12" customFormat="1" x14ac:dyDescent="0.25"/>
    <row r="265730" s="12" customFormat="1" x14ac:dyDescent="0.25"/>
    <row r="265731" s="12" customFormat="1" x14ac:dyDescent="0.25"/>
    <row r="265732" s="12" customFormat="1" x14ac:dyDescent="0.25"/>
    <row r="265733" s="12" customFormat="1" x14ac:dyDescent="0.25"/>
    <row r="265734" s="12" customFormat="1" x14ac:dyDescent="0.25"/>
    <row r="265735" s="12" customFormat="1" x14ac:dyDescent="0.25"/>
    <row r="265736" s="12" customFormat="1" x14ac:dyDescent="0.25"/>
    <row r="265737" s="12" customFormat="1" x14ac:dyDescent="0.25"/>
    <row r="265738" s="12" customFormat="1" x14ac:dyDescent="0.25"/>
    <row r="265739" s="12" customFormat="1" x14ac:dyDescent="0.25"/>
    <row r="265740" s="12" customFormat="1" x14ac:dyDescent="0.25"/>
    <row r="265741" s="12" customFormat="1" x14ac:dyDescent="0.25"/>
    <row r="265742" s="12" customFormat="1" x14ac:dyDescent="0.25"/>
    <row r="265743" s="12" customFormat="1" x14ac:dyDescent="0.25"/>
    <row r="265744" s="12" customFormat="1" x14ac:dyDescent="0.25"/>
    <row r="265745" s="12" customFormat="1" x14ac:dyDescent="0.25"/>
    <row r="265746" s="12" customFormat="1" x14ac:dyDescent="0.25"/>
    <row r="265747" s="12" customFormat="1" x14ac:dyDescent="0.25"/>
    <row r="265748" s="12" customFormat="1" x14ac:dyDescent="0.25"/>
    <row r="265749" s="12" customFormat="1" x14ac:dyDescent="0.25"/>
    <row r="265750" s="12" customFormat="1" x14ac:dyDescent="0.25"/>
    <row r="265751" s="12" customFormat="1" x14ac:dyDescent="0.25"/>
    <row r="265752" s="12" customFormat="1" x14ac:dyDescent="0.25"/>
    <row r="265753" s="12" customFormat="1" x14ac:dyDescent="0.25"/>
    <row r="265754" s="12" customFormat="1" x14ac:dyDescent="0.25"/>
    <row r="265755" s="12" customFormat="1" x14ac:dyDescent="0.25"/>
    <row r="265756" s="12" customFormat="1" x14ac:dyDescent="0.25"/>
    <row r="265757" s="12" customFormat="1" x14ac:dyDescent="0.25"/>
    <row r="265758" s="12" customFormat="1" x14ac:dyDescent="0.25"/>
    <row r="265759" s="12" customFormat="1" x14ac:dyDescent="0.25"/>
    <row r="265760" s="12" customFormat="1" x14ac:dyDescent="0.25"/>
    <row r="265761" s="12" customFormat="1" x14ac:dyDescent="0.25"/>
    <row r="265762" s="12" customFormat="1" x14ac:dyDescent="0.25"/>
    <row r="265763" s="12" customFormat="1" x14ac:dyDescent="0.25"/>
    <row r="265764" s="12" customFormat="1" x14ac:dyDescent="0.25"/>
    <row r="265765" s="12" customFormat="1" x14ac:dyDescent="0.25"/>
    <row r="265766" s="12" customFormat="1" x14ac:dyDescent="0.25"/>
    <row r="265767" s="12" customFormat="1" x14ac:dyDescent="0.25"/>
    <row r="265768" s="12" customFormat="1" x14ac:dyDescent="0.25"/>
    <row r="265769" s="12" customFormat="1" x14ac:dyDescent="0.25"/>
    <row r="265770" s="12" customFormat="1" x14ac:dyDescent="0.25"/>
    <row r="265771" s="12" customFormat="1" x14ac:dyDescent="0.25"/>
    <row r="265772" s="12" customFormat="1" x14ac:dyDescent="0.25"/>
    <row r="265773" s="12" customFormat="1" x14ac:dyDescent="0.25"/>
    <row r="265774" s="12" customFormat="1" x14ac:dyDescent="0.25"/>
    <row r="265775" s="12" customFormat="1" x14ac:dyDescent="0.25"/>
    <row r="265776" s="12" customFormat="1" x14ac:dyDescent="0.25"/>
    <row r="265777" s="12" customFormat="1" x14ac:dyDescent="0.25"/>
    <row r="265778" s="12" customFormat="1" x14ac:dyDescent="0.25"/>
    <row r="265779" s="12" customFormat="1" x14ac:dyDescent="0.25"/>
    <row r="265780" s="12" customFormat="1" x14ac:dyDescent="0.25"/>
    <row r="265781" s="12" customFormat="1" x14ac:dyDescent="0.25"/>
    <row r="265782" s="12" customFormat="1" x14ac:dyDescent="0.25"/>
    <row r="265783" s="12" customFormat="1" x14ac:dyDescent="0.25"/>
    <row r="265784" s="12" customFormat="1" x14ac:dyDescent="0.25"/>
    <row r="265785" s="12" customFormat="1" x14ac:dyDescent="0.25"/>
    <row r="265786" s="12" customFormat="1" x14ac:dyDescent="0.25"/>
    <row r="265787" s="12" customFormat="1" x14ac:dyDescent="0.25"/>
    <row r="265788" s="12" customFormat="1" x14ac:dyDescent="0.25"/>
    <row r="265789" s="12" customFormat="1" x14ac:dyDescent="0.25"/>
    <row r="265790" s="12" customFormat="1" x14ac:dyDescent="0.25"/>
    <row r="265791" s="12" customFormat="1" x14ac:dyDescent="0.25"/>
    <row r="265792" s="12" customFormat="1" x14ac:dyDescent="0.25"/>
    <row r="265793" s="12" customFormat="1" x14ac:dyDescent="0.25"/>
    <row r="265794" s="12" customFormat="1" x14ac:dyDescent="0.25"/>
    <row r="265795" s="12" customFormat="1" x14ac:dyDescent="0.25"/>
    <row r="265796" s="12" customFormat="1" x14ac:dyDescent="0.25"/>
    <row r="265797" s="12" customFormat="1" x14ac:dyDescent="0.25"/>
    <row r="265798" s="12" customFormat="1" x14ac:dyDescent="0.25"/>
    <row r="265799" s="12" customFormat="1" x14ac:dyDescent="0.25"/>
    <row r="265800" s="12" customFormat="1" x14ac:dyDescent="0.25"/>
    <row r="265801" s="12" customFormat="1" x14ac:dyDescent="0.25"/>
    <row r="265802" s="12" customFormat="1" x14ac:dyDescent="0.25"/>
    <row r="265803" s="12" customFormat="1" x14ac:dyDescent="0.25"/>
    <row r="265804" s="12" customFormat="1" x14ac:dyDescent="0.25"/>
    <row r="265805" s="12" customFormat="1" x14ac:dyDescent="0.25"/>
    <row r="265806" s="12" customFormat="1" x14ac:dyDescent="0.25"/>
    <row r="265807" s="12" customFormat="1" x14ac:dyDescent="0.25"/>
    <row r="265808" s="12" customFormat="1" x14ac:dyDescent="0.25"/>
    <row r="265809" s="12" customFormat="1" x14ac:dyDescent="0.25"/>
    <row r="265810" s="12" customFormat="1" x14ac:dyDescent="0.25"/>
    <row r="265811" s="12" customFormat="1" x14ac:dyDescent="0.25"/>
    <row r="265812" s="12" customFormat="1" x14ac:dyDescent="0.25"/>
    <row r="265813" s="12" customFormat="1" x14ac:dyDescent="0.25"/>
    <row r="265814" s="12" customFormat="1" x14ac:dyDescent="0.25"/>
    <row r="265815" s="12" customFormat="1" x14ac:dyDescent="0.25"/>
    <row r="265816" s="12" customFormat="1" x14ac:dyDescent="0.25"/>
    <row r="265817" s="12" customFormat="1" x14ac:dyDescent="0.25"/>
    <row r="265818" s="12" customFormat="1" x14ac:dyDescent="0.25"/>
    <row r="265819" s="12" customFormat="1" x14ac:dyDescent="0.25"/>
    <row r="265820" s="12" customFormat="1" x14ac:dyDescent="0.25"/>
    <row r="265821" s="12" customFormat="1" x14ac:dyDescent="0.25"/>
    <row r="265822" s="12" customFormat="1" x14ac:dyDescent="0.25"/>
    <row r="265823" s="12" customFormat="1" x14ac:dyDescent="0.25"/>
    <row r="265824" s="12" customFormat="1" x14ac:dyDescent="0.25"/>
    <row r="265825" s="12" customFormat="1" x14ac:dyDescent="0.25"/>
    <row r="265826" s="12" customFormat="1" x14ac:dyDescent="0.25"/>
    <row r="265827" s="12" customFormat="1" x14ac:dyDescent="0.25"/>
    <row r="265828" s="12" customFormat="1" x14ac:dyDescent="0.25"/>
    <row r="265829" s="12" customFormat="1" x14ac:dyDescent="0.25"/>
    <row r="265830" s="12" customFormat="1" x14ac:dyDescent="0.25"/>
    <row r="265831" s="12" customFormat="1" x14ac:dyDescent="0.25"/>
    <row r="265832" s="12" customFormat="1" x14ac:dyDescent="0.25"/>
    <row r="265833" s="12" customFormat="1" x14ac:dyDescent="0.25"/>
    <row r="265834" s="12" customFormat="1" x14ac:dyDescent="0.25"/>
    <row r="265835" s="12" customFormat="1" x14ac:dyDescent="0.25"/>
    <row r="265836" s="12" customFormat="1" x14ac:dyDescent="0.25"/>
    <row r="265837" s="12" customFormat="1" x14ac:dyDescent="0.25"/>
    <row r="265838" s="12" customFormat="1" x14ac:dyDescent="0.25"/>
    <row r="265839" s="12" customFormat="1" x14ac:dyDescent="0.25"/>
    <row r="265840" s="12" customFormat="1" x14ac:dyDescent="0.25"/>
    <row r="265841" s="12" customFormat="1" x14ac:dyDescent="0.25"/>
    <row r="265842" s="12" customFormat="1" x14ac:dyDescent="0.25"/>
    <row r="265843" s="12" customFormat="1" x14ac:dyDescent="0.25"/>
    <row r="265844" s="12" customFormat="1" x14ac:dyDescent="0.25"/>
    <row r="265845" s="12" customFormat="1" x14ac:dyDescent="0.25"/>
    <row r="265846" s="12" customFormat="1" x14ac:dyDescent="0.25"/>
    <row r="265847" s="12" customFormat="1" x14ac:dyDescent="0.25"/>
    <row r="265848" s="12" customFormat="1" x14ac:dyDescent="0.25"/>
    <row r="265849" s="12" customFormat="1" x14ac:dyDescent="0.25"/>
    <row r="265850" s="12" customFormat="1" x14ac:dyDescent="0.25"/>
    <row r="265851" s="12" customFormat="1" x14ac:dyDescent="0.25"/>
    <row r="265852" s="12" customFormat="1" x14ac:dyDescent="0.25"/>
    <row r="265853" s="12" customFormat="1" x14ac:dyDescent="0.25"/>
    <row r="265854" s="12" customFormat="1" x14ac:dyDescent="0.25"/>
    <row r="265855" s="12" customFormat="1" x14ac:dyDescent="0.25"/>
    <row r="265856" s="12" customFormat="1" x14ac:dyDescent="0.25"/>
    <row r="265857" s="12" customFormat="1" x14ac:dyDescent="0.25"/>
    <row r="265858" s="12" customFormat="1" x14ac:dyDescent="0.25"/>
    <row r="265859" s="12" customFormat="1" x14ac:dyDescent="0.25"/>
    <row r="265860" s="12" customFormat="1" x14ac:dyDescent="0.25"/>
    <row r="265861" s="12" customFormat="1" x14ac:dyDescent="0.25"/>
    <row r="265862" s="12" customFormat="1" x14ac:dyDescent="0.25"/>
    <row r="265863" s="12" customFormat="1" x14ac:dyDescent="0.25"/>
    <row r="265864" s="12" customFormat="1" x14ac:dyDescent="0.25"/>
    <row r="265865" s="12" customFormat="1" x14ac:dyDescent="0.25"/>
    <row r="265866" s="12" customFormat="1" x14ac:dyDescent="0.25"/>
    <row r="265867" s="12" customFormat="1" x14ac:dyDescent="0.25"/>
    <row r="265868" s="12" customFormat="1" x14ac:dyDescent="0.25"/>
    <row r="265869" s="12" customFormat="1" x14ac:dyDescent="0.25"/>
    <row r="265870" s="12" customFormat="1" x14ac:dyDescent="0.25"/>
    <row r="265871" s="12" customFormat="1" x14ac:dyDescent="0.25"/>
    <row r="265872" s="12" customFormat="1" x14ac:dyDescent="0.25"/>
    <row r="265873" s="12" customFormat="1" x14ac:dyDescent="0.25"/>
    <row r="265874" s="12" customFormat="1" x14ac:dyDescent="0.25"/>
    <row r="265875" s="12" customFormat="1" x14ac:dyDescent="0.25"/>
    <row r="265876" s="12" customFormat="1" x14ac:dyDescent="0.25"/>
    <row r="265877" s="12" customFormat="1" x14ac:dyDescent="0.25"/>
    <row r="265878" s="12" customFormat="1" x14ac:dyDescent="0.25"/>
    <row r="265879" s="12" customFormat="1" x14ac:dyDescent="0.25"/>
    <row r="265880" s="12" customFormat="1" x14ac:dyDescent="0.25"/>
    <row r="265881" s="12" customFormat="1" x14ac:dyDescent="0.25"/>
    <row r="265882" s="12" customFormat="1" x14ac:dyDescent="0.25"/>
    <row r="265883" s="12" customFormat="1" x14ac:dyDescent="0.25"/>
    <row r="265884" s="12" customFormat="1" x14ac:dyDescent="0.25"/>
    <row r="265885" s="12" customFormat="1" x14ac:dyDescent="0.25"/>
    <row r="265886" s="12" customFormat="1" x14ac:dyDescent="0.25"/>
    <row r="265887" s="12" customFormat="1" x14ac:dyDescent="0.25"/>
    <row r="265888" s="12" customFormat="1" x14ac:dyDescent="0.25"/>
    <row r="265889" s="12" customFormat="1" x14ac:dyDescent="0.25"/>
    <row r="265890" s="12" customFormat="1" x14ac:dyDescent="0.25"/>
    <row r="265891" s="12" customFormat="1" x14ac:dyDescent="0.25"/>
    <row r="265892" s="12" customFormat="1" x14ac:dyDescent="0.25"/>
    <row r="265893" s="12" customFormat="1" x14ac:dyDescent="0.25"/>
    <row r="265894" s="12" customFormat="1" x14ac:dyDescent="0.25"/>
    <row r="265895" s="12" customFormat="1" x14ac:dyDescent="0.25"/>
    <row r="265896" s="12" customFormat="1" x14ac:dyDescent="0.25"/>
    <row r="265897" s="12" customFormat="1" x14ac:dyDescent="0.25"/>
    <row r="265898" s="12" customFormat="1" x14ac:dyDescent="0.25"/>
    <row r="265899" s="12" customFormat="1" x14ac:dyDescent="0.25"/>
    <row r="265900" s="12" customFormat="1" x14ac:dyDescent="0.25"/>
    <row r="265901" s="12" customFormat="1" x14ac:dyDescent="0.25"/>
    <row r="265902" s="12" customFormat="1" x14ac:dyDescent="0.25"/>
    <row r="265903" s="12" customFormat="1" x14ac:dyDescent="0.25"/>
    <row r="265904" s="12" customFormat="1" x14ac:dyDescent="0.25"/>
    <row r="265905" s="12" customFormat="1" x14ac:dyDescent="0.25"/>
    <row r="265906" s="12" customFormat="1" x14ac:dyDescent="0.25"/>
    <row r="265907" s="12" customFormat="1" x14ac:dyDescent="0.25"/>
    <row r="265908" s="12" customFormat="1" x14ac:dyDescent="0.25"/>
    <row r="265909" s="12" customFormat="1" x14ac:dyDescent="0.25"/>
    <row r="265910" s="12" customFormat="1" x14ac:dyDescent="0.25"/>
    <row r="265911" s="12" customFormat="1" x14ac:dyDescent="0.25"/>
    <row r="265912" s="12" customFormat="1" x14ac:dyDescent="0.25"/>
    <row r="265913" s="12" customFormat="1" x14ac:dyDescent="0.25"/>
    <row r="265914" s="12" customFormat="1" x14ac:dyDescent="0.25"/>
    <row r="265915" s="12" customFormat="1" x14ac:dyDescent="0.25"/>
    <row r="265916" s="12" customFormat="1" x14ac:dyDescent="0.25"/>
    <row r="265917" s="12" customFormat="1" x14ac:dyDescent="0.25"/>
    <row r="265918" s="12" customFormat="1" x14ac:dyDescent="0.25"/>
    <row r="265919" s="12" customFormat="1" x14ac:dyDescent="0.25"/>
    <row r="265920" s="12" customFormat="1" x14ac:dyDescent="0.25"/>
    <row r="265921" s="12" customFormat="1" x14ac:dyDescent="0.25"/>
    <row r="265922" s="12" customFormat="1" x14ac:dyDescent="0.25"/>
    <row r="265923" s="12" customFormat="1" x14ac:dyDescent="0.25"/>
    <row r="265924" s="12" customFormat="1" x14ac:dyDescent="0.25"/>
    <row r="265925" s="12" customFormat="1" x14ac:dyDescent="0.25"/>
    <row r="265926" s="12" customFormat="1" x14ac:dyDescent="0.25"/>
    <row r="265927" s="12" customFormat="1" x14ac:dyDescent="0.25"/>
    <row r="265928" s="12" customFormat="1" x14ac:dyDescent="0.25"/>
    <row r="265929" s="12" customFormat="1" x14ac:dyDescent="0.25"/>
    <row r="265930" s="12" customFormat="1" x14ac:dyDescent="0.25"/>
    <row r="265931" s="12" customFormat="1" x14ac:dyDescent="0.25"/>
    <row r="265932" s="12" customFormat="1" x14ac:dyDescent="0.25"/>
    <row r="265933" s="12" customFormat="1" x14ac:dyDescent="0.25"/>
    <row r="265934" s="12" customFormat="1" x14ac:dyDescent="0.25"/>
    <row r="265935" s="12" customFormat="1" x14ac:dyDescent="0.25"/>
    <row r="265936" s="12" customFormat="1" x14ac:dyDescent="0.25"/>
    <row r="265937" s="12" customFormat="1" x14ac:dyDescent="0.25"/>
    <row r="265938" s="12" customFormat="1" x14ac:dyDescent="0.25"/>
    <row r="265939" s="12" customFormat="1" x14ac:dyDescent="0.25"/>
    <row r="265940" s="12" customFormat="1" x14ac:dyDescent="0.25"/>
    <row r="265941" s="12" customFormat="1" x14ac:dyDescent="0.25"/>
    <row r="265942" s="12" customFormat="1" x14ac:dyDescent="0.25"/>
    <row r="265943" s="12" customFormat="1" x14ac:dyDescent="0.25"/>
    <row r="265944" s="12" customFormat="1" x14ac:dyDescent="0.25"/>
    <row r="265945" s="12" customFormat="1" x14ac:dyDescent="0.25"/>
    <row r="265946" s="12" customFormat="1" x14ac:dyDescent="0.25"/>
    <row r="265947" s="12" customFormat="1" x14ac:dyDescent="0.25"/>
    <row r="265948" s="12" customFormat="1" x14ac:dyDescent="0.25"/>
    <row r="265949" s="12" customFormat="1" x14ac:dyDescent="0.25"/>
    <row r="265950" s="12" customFormat="1" x14ac:dyDescent="0.25"/>
    <row r="265951" s="12" customFormat="1" x14ac:dyDescent="0.25"/>
    <row r="265952" s="12" customFormat="1" x14ac:dyDescent="0.25"/>
    <row r="265953" s="12" customFormat="1" x14ac:dyDescent="0.25"/>
    <row r="265954" s="12" customFormat="1" x14ac:dyDescent="0.25"/>
    <row r="265955" s="12" customFormat="1" x14ac:dyDescent="0.25"/>
    <row r="265956" s="12" customFormat="1" x14ac:dyDescent="0.25"/>
    <row r="265957" s="12" customFormat="1" x14ac:dyDescent="0.25"/>
    <row r="265958" s="12" customFormat="1" x14ac:dyDescent="0.25"/>
    <row r="265959" s="12" customFormat="1" x14ac:dyDescent="0.25"/>
    <row r="265960" s="12" customFormat="1" x14ac:dyDescent="0.25"/>
    <row r="265961" s="12" customFormat="1" x14ac:dyDescent="0.25"/>
    <row r="265962" s="12" customFormat="1" x14ac:dyDescent="0.25"/>
    <row r="265963" s="12" customFormat="1" x14ac:dyDescent="0.25"/>
    <row r="265964" s="12" customFormat="1" x14ac:dyDescent="0.25"/>
    <row r="265965" s="12" customFormat="1" x14ac:dyDescent="0.25"/>
    <row r="265966" s="12" customFormat="1" x14ac:dyDescent="0.25"/>
    <row r="265967" s="12" customFormat="1" x14ac:dyDescent="0.25"/>
    <row r="265968" s="12" customFormat="1" x14ac:dyDescent="0.25"/>
    <row r="265969" s="12" customFormat="1" x14ac:dyDescent="0.25"/>
    <row r="265970" s="12" customFormat="1" x14ac:dyDescent="0.25"/>
    <row r="265971" s="12" customFormat="1" x14ac:dyDescent="0.25"/>
    <row r="265972" s="12" customFormat="1" x14ac:dyDescent="0.25"/>
    <row r="265973" s="12" customFormat="1" x14ac:dyDescent="0.25"/>
    <row r="265974" s="12" customFormat="1" x14ac:dyDescent="0.25"/>
    <row r="265975" s="12" customFormat="1" x14ac:dyDescent="0.25"/>
    <row r="265976" s="12" customFormat="1" x14ac:dyDescent="0.25"/>
    <row r="265977" s="12" customFormat="1" x14ac:dyDescent="0.25"/>
    <row r="265978" s="12" customFormat="1" x14ac:dyDescent="0.25"/>
    <row r="265979" s="12" customFormat="1" x14ac:dyDescent="0.25"/>
    <row r="265980" s="12" customFormat="1" x14ac:dyDescent="0.25"/>
    <row r="265981" s="12" customFormat="1" x14ac:dyDescent="0.25"/>
    <row r="265982" s="12" customFormat="1" x14ac:dyDescent="0.25"/>
    <row r="265983" s="12" customFormat="1" x14ac:dyDescent="0.25"/>
    <row r="265984" s="12" customFormat="1" x14ac:dyDescent="0.25"/>
    <row r="265985" s="12" customFormat="1" x14ac:dyDescent="0.25"/>
    <row r="265986" s="12" customFormat="1" x14ac:dyDescent="0.25"/>
    <row r="265987" s="12" customFormat="1" x14ac:dyDescent="0.25"/>
    <row r="265988" s="12" customFormat="1" x14ac:dyDescent="0.25"/>
    <row r="265989" s="12" customFormat="1" x14ac:dyDescent="0.25"/>
    <row r="265990" s="12" customFormat="1" x14ac:dyDescent="0.25"/>
    <row r="265991" s="12" customFormat="1" x14ac:dyDescent="0.25"/>
    <row r="265992" s="12" customFormat="1" x14ac:dyDescent="0.25"/>
    <row r="265993" s="12" customFormat="1" x14ac:dyDescent="0.25"/>
    <row r="265994" s="12" customFormat="1" x14ac:dyDescent="0.25"/>
    <row r="265995" s="12" customFormat="1" x14ac:dyDescent="0.25"/>
    <row r="265996" s="12" customFormat="1" x14ac:dyDescent="0.25"/>
    <row r="265997" s="12" customFormat="1" x14ac:dyDescent="0.25"/>
    <row r="265998" s="12" customFormat="1" x14ac:dyDescent="0.25"/>
    <row r="265999" s="12" customFormat="1" x14ac:dyDescent="0.25"/>
    <row r="266000" s="12" customFormat="1" x14ac:dyDescent="0.25"/>
    <row r="266001" s="12" customFormat="1" x14ac:dyDescent="0.25"/>
    <row r="266002" s="12" customFormat="1" x14ac:dyDescent="0.25"/>
    <row r="266003" s="12" customFormat="1" x14ac:dyDescent="0.25"/>
    <row r="266004" s="12" customFormat="1" x14ac:dyDescent="0.25"/>
    <row r="266005" s="12" customFormat="1" x14ac:dyDescent="0.25"/>
    <row r="266006" s="12" customFormat="1" x14ac:dyDescent="0.25"/>
    <row r="266007" s="12" customFormat="1" x14ac:dyDescent="0.25"/>
    <row r="266008" s="12" customFormat="1" x14ac:dyDescent="0.25"/>
    <row r="266009" s="12" customFormat="1" x14ac:dyDescent="0.25"/>
    <row r="266010" s="12" customFormat="1" x14ac:dyDescent="0.25"/>
    <row r="266011" s="12" customFormat="1" x14ac:dyDescent="0.25"/>
    <row r="266012" s="12" customFormat="1" x14ac:dyDescent="0.25"/>
    <row r="266013" s="12" customFormat="1" x14ac:dyDescent="0.25"/>
    <row r="266014" s="12" customFormat="1" x14ac:dyDescent="0.25"/>
    <row r="266015" s="12" customFormat="1" x14ac:dyDescent="0.25"/>
    <row r="266016" s="12" customFormat="1" x14ac:dyDescent="0.25"/>
    <row r="266017" s="12" customFormat="1" x14ac:dyDescent="0.25"/>
    <row r="266018" s="12" customFormat="1" x14ac:dyDescent="0.25"/>
    <row r="266019" s="12" customFormat="1" x14ac:dyDescent="0.25"/>
    <row r="266020" s="12" customFormat="1" x14ac:dyDescent="0.25"/>
    <row r="266021" s="12" customFormat="1" x14ac:dyDescent="0.25"/>
    <row r="266022" s="12" customFormat="1" x14ac:dyDescent="0.25"/>
    <row r="266023" s="12" customFormat="1" x14ac:dyDescent="0.25"/>
    <row r="266024" s="12" customFormat="1" x14ac:dyDescent="0.25"/>
    <row r="266025" s="12" customFormat="1" x14ac:dyDescent="0.25"/>
    <row r="266026" s="12" customFormat="1" x14ac:dyDescent="0.25"/>
    <row r="266027" s="12" customFormat="1" x14ac:dyDescent="0.25"/>
    <row r="266028" s="12" customFormat="1" x14ac:dyDescent="0.25"/>
    <row r="266029" s="12" customFormat="1" x14ac:dyDescent="0.25"/>
    <row r="266030" s="12" customFormat="1" x14ac:dyDescent="0.25"/>
    <row r="266031" s="12" customFormat="1" x14ac:dyDescent="0.25"/>
    <row r="266032" s="12" customFormat="1" x14ac:dyDescent="0.25"/>
    <row r="266033" s="12" customFormat="1" x14ac:dyDescent="0.25"/>
    <row r="266034" s="12" customFormat="1" x14ac:dyDescent="0.25"/>
    <row r="266035" s="12" customFormat="1" x14ac:dyDescent="0.25"/>
    <row r="266036" s="12" customFormat="1" x14ac:dyDescent="0.25"/>
    <row r="266037" s="12" customFormat="1" x14ac:dyDescent="0.25"/>
    <row r="266038" s="12" customFormat="1" x14ac:dyDescent="0.25"/>
    <row r="266039" s="12" customFormat="1" x14ac:dyDescent="0.25"/>
    <row r="266040" s="12" customFormat="1" x14ac:dyDescent="0.25"/>
    <row r="266041" s="12" customFormat="1" x14ac:dyDescent="0.25"/>
    <row r="266042" s="12" customFormat="1" x14ac:dyDescent="0.25"/>
    <row r="266043" s="12" customFormat="1" x14ac:dyDescent="0.25"/>
    <row r="266044" s="12" customFormat="1" x14ac:dyDescent="0.25"/>
    <row r="266045" s="12" customFormat="1" x14ac:dyDescent="0.25"/>
    <row r="266046" s="12" customFormat="1" x14ac:dyDescent="0.25"/>
    <row r="266047" s="12" customFormat="1" x14ac:dyDescent="0.25"/>
    <row r="266048" s="12" customFormat="1" x14ac:dyDescent="0.25"/>
    <row r="266049" s="12" customFormat="1" x14ac:dyDescent="0.25"/>
    <row r="266050" s="12" customFormat="1" x14ac:dyDescent="0.25"/>
    <row r="266051" s="12" customFormat="1" x14ac:dyDescent="0.25"/>
    <row r="266052" s="12" customFormat="1" x14ac:dyDescent="0.25"/>
    <row r="266053" s="12" customFormat="1" x14ac:dyDescent="0.25"/>
    <row r="266054" s="12" customFormat="1" x14ac:dyDescent="0.25"/>
    <row r="266055" s="12" customFormat="1" x14ac:dyDescent="0.25"/>
    <row r="266056" s="12" customFormat="1" x14ac:dyDescent="0.25"/>
    <row r="266057" s="12" customFormat="1" x14ac:dyDescent="0.25"/>
    <row r="266058" s="12" customFormat="1" x14ac:dyDescent="0.25"/>
    <row r="266059" s="12" customFormat="1" x14ac:dyDescent="0.25"/>
    <row r="266060" s="12" customFormat="1" x14ac:dyDescent="0.25"/>
    <row r="266061" s="12" customFormat="1" x14ac:dyDescent="0.25"/>
    <row r="266062" s="12" customFormat="1" x14ac:dyDescent="0.25"/>
    <row r="266063" s="12" customFormat="1" x14ac:dyDescent="0.25"/>
    <row r="266064" s="12" customFormat="1" x14ac:dyDescent="0.25"/>
    <row r="266065" s="12" customFormat="1" x14ac:dyDescent="0.25"/>
    <row r="266066" s="12" customFormat="1" x14ac:dyDescent="0.25"/>
    <row r="266067" s="12" customFormat="1" x14ac:dyDescent="0.25"/>
    <row r="266068" s="12" customFormat="1" x14ac:dyDescent="0.25"/>
    <row r="266069" s="12" customFormat="1" x14ac:dyDescent="0.25"/>
    <row r="266070" s="12" customFormat="1" x14ac:dyDescent="0.25"/>
    <row r="266071" s="12" customFormat="1" x14ac:dyDescent="0.25"/>
    <row r="266072" s="12" customFormat="1" x14ac:dyDescent="0.25"/>
    <row r="266073" s="12" customFormat="1" x14ac:dyDescent="0.25"/>
    <row r="266074" s="12" customFormat="1" x14ac:dyDescent="0.25"/>
    <row r="266075" s="12" customFormat="1" x14ac:dyDescent="0.25"/>
    <row r="266076" s="12" customFormat="1" x14ac:dyDescent="0.25"/>
    <row r="266077" s="12" customFormat="1" x14ac:dyDescent="0.25"/>
    <row r="266078" s="12" customFormat="1" x14ac:dyDescent="0.25"/>
    <row r="266079" s="12" customFormat="1" x14ac:dyDescent="0.25"/>
    <row r="266080" s="12" customFormat="1" x14ac:dyDescent="0.25"/>
    <row r="266081" s="12" customFormat="1" x14ac:dyDescent="0.25"/>
    <row r="266082" s="12" customFormat="1" x14ac:dyDescent="0.25"/>
    <row r="266083" s="12" customFormat="1" x14ac:dyDescent="0.25"/>
    <row r="266084" s="12" customFormat="1" x14ac:dyDescent="0.25"/>
    <row r="266085" s="12" customFormat="1" x14ac:dyDescent="0.25"/>
    <row r="266086" s="12" customFormat="1" x14ac:dyDescent="0.25"/>
    <row r="266087" s="12" customFormat="1" x14ac:dyDescent="0.25"/>
    <row r="266088" s="12" customFormat="1" x14ac:dyDescent="0.25"/>
    <row r="266089" s="12" customFormat="1" x14ac:dyDescent="0.25"/>
    <row r="266090" s="12" customFormat="1" x14ac:dyDescent="0.25"/>
    <row r="266091" s="12" customFormat="1" x14ac:dyDescent="0.25"/>
    <row r="266092" s="12" customFormat="1" x14ac:dyDescent="0.25"/>
    <row r="266093" s="12" customFormat="1" x14ac:dyDescent="0.25"/>
    <row r="266094" s="12" customFormat="1" x14ac:dyDescent="0.25"/>
    <row r="266095" s="12" customFormat="1" x14ac:dyDescent="0.25"/>
    <row r="266096" s="12" customFormat="1" x14ac:dyDescent="0.25"/>
    <row r="266097" s="12" customFormat="1" x14ac:dyDescent="0.25"/>
    <row r="266098" s="12" customFormat="1" x14ac:dyDescent="0.25"/>
    <row r="266099" s="12" customFormat="1" x14ac:dyDescent="0.25"/>
    <row r="266100" s="12" customFormat="1" x14ac:dyDescent="0.25"/>
    <row r="266101" s="12" customFormat="1" x14ac:dyDescent="0.25"/>
    <row r="266102" s="12" customFormat="1" x14ac:dyDescent="0.25"/>
    <row r="266103" s="12" customFormat="1" x14ac:dyDescent="0.25"/>
    <row r="266104" s="12" customFormat="1" x14ac:dyDescent="0.25"/>
    <row r="266105" s="12" customFormat="1" x14ac:dyDescent="0.25"/>
    <row r="266106" s="12" customFormat="1" x14ac:dyDescent="0.25"/>
    <row r="266107" s="12" customFormat="1" x14ac:dyDescent="0.25"/>
    <row r="266108" s="12" customFormat="1" x14ac:dyDescent="0.25"/>
    <row r="266109" s="12" customFormat="1" x14ac:dyDescent="0.25"/>
    <row r="266110" s="12" customFormat="1" x14ac:dyDescent="0.25"/>
    <row r="266111" s="12" customFormat="1" x14ac:dyDescent="0.25"/>
    <row r="266112" s="12" customFormat="1" x14ac:dyDescent="0.25"/>
    <row r="266113" s="12" customFormat="1" x14ac:dyDescent="0.25"/>
    <row r="266114" s="12" customFormat="1" x14ac:dyDescent="0.25"/>
    <row r="266115" s="12" customFormat="1" x14ac:dyDescent="0.25"/>
    <row r="266116" s="12" customFormat="1" x14ac:dyDescent="0.25"/>
    <row r="266117" s="12" customFormat="1" x14ac:dyDescent="0.25"/>
    <row r="266118" s="12" customFormat="1" x14ac:dyDescent="0.25"/>
    <row r="266119" s="12" customFormat="1" x14ac:dyDescent="0.25"/>
    <row r="266120" s="12" customFormat="1" x14ac:dyDescent="0.25"/>
    <row r="266121" s="12" customFormat="1" x14ac:dyDescent="0.25"/>
    <row r="266122" s="12" customFormat="1" x14ac:dyDescent="0.25"/>
    <row r="266123" s="12" customFormat="1" x14ac:dyDescent="0.25"/>
    <row r="266124" s="12" customFormat="1" x14ac:dyDescent="0.25"/>
    <row r="266125" s="12" customFormat="1" x14ac:dyDescent="0.25"/>
    <row r="266126" s="12" customFormat="1" x14ac:dyDescent="0.25"/>
    <row r="266127" s="12" customFormat="1" x14ac:dyDescent="0.25"/>
    <row r="266128" s="12" customFormat="1" x14ac:dyDescent="0.25"/>
    <row r="266129" s="12" customFormat="1" x14ac:dyDescent="0.25"/>
    <row r="266130" s="12" customFormat="1" x14ac:dyDescent="0.25"/>
    <row r="266131" s="12" customFormat="1" x14ac:dyDescent="0.25"/>
    <row r="266132" s="12" customFormat="1" x14ac:dyDescent="0.25"/>
    <row r="266133" s="12" customFormat="1" x14ac:dyDescent="0.25"/>
    <row r="266134" s="12" customFormat="1" x14ac:dyDescent="0.25"/>
    <row r="266135" s="12" customFormat="1" x14ac:dyDescent="0.25"/>
    <row r="266136" s="12" customFormat="1" x14ac:dyDescent="0.25"/>
    <row r="266137" s="12" customFormat="1" x14ac:dyDescent="0.25"/>
    <row r="266138" s="12" customFormat="1" x14ac:dyDescent="0.25"/>
    <row r="266139" s="12" customFormat="1" x14ac:dyDescent="0.25"/>
    <row r="266140" s="12" customFormat="1" x14ac:dyDescent="0.25"/>
    <row r="266141" s="12" customFormat="1" x14ac:dyDescent="0.25"/>
    <row r="266142" s="12" customFormat="1" x14ac:dyDescent="0.25"/>
    <row r="266143" s="12" customFormat="1" x14ac:dyDescent="0.25"/>
    <row r="266144" s="12" customFormat="1" x14ac:dyDescent="0.25"/>
    <row r="266145" s="12" customFormat="1" x14ac:dyDescent="0.25"/>
    <row r="266146" s="12" customFormat="1" x14ac:dyDescent="0.25"/>
    <row r="266147" s="12" customFormat="1" x14ac:dyDescent="0.25"/>
    <row r="266148" s="12" customFormat="1" x14ac:dyDescent="0.25"/>
    <row r="266149" s="12" customFormat="1" x14ac:dyDescent="0.25"/>
    <row r="266150" s="12" customFormat="1" x14ac:dyDescent="0.25"/>
    <row r="266151" s="12" customFormat="1" x14ac:dyDescent="0.25"/>
    <row r="266152" s="12" customFormat="1" x14ac:dyDescent="0.25"/>
    <row r="266153" s="12" customFormat="1" x14ac:dyDescent="0.25"/>
    <row r="266154" s="12" customFormat="1" x14ac:dyDescent="0.25"/>
    <row r="266155" s="12" customFormat="1" x14ac:dyDescent="0.25"/>
    <row r="266156" s="12" customFormat="1" x14ac:dyDescent="0.25"/>
    <row r="266157" s="12" customFormat="1" x14ac:dyDescent="0.25"/>
    <row r="266158" s="12" customFormat="1" x14ac:dyDescent="0.25"/>
    <row r="266159" s="12" customFormat="1" x14ac:dyDescent="0.25"/>
    <row r="266160" s="12" customFormat="1" x14ac:dyDescent="0.25"/>
    <row r="266161" s="12" customFormat="1" x14ac:dyDescent="0.25"/>
    <row r="266162" s="12" customFormat="1" x14ac:dyDescent="0.25"/>
    <row r="266163" s="12" customFormat="1" x14ac:dyDescent="0.25"/>
    <row r="266164" s="12" customFormat="1" x14ac:dyDescent="0.25"/>
    <row r="266165" s="12" customFormat="1" x14ac:dyDescent="0.25"/>
    <row r="266166" s="12" customFormat="1" x14ac:dyDescent="0.25"/>
    <row r="266167" s="12" customFormat="1" x14ac:dyDescent="0.25"/>
    <row r="266168" s="12" customFormat="1" x14ac:dyDescent="0.25"/>
    <row r="266169" s="12" customFormat="1" x14ac:dyDescent="0.25"/>
    <row r="266170" s="12" customFormat="1" x14ac:dyDescent="0.25"/>
    <row r="266171" s="12" customFormat="1" x14ac:dyDescent="0.25"/>
    <row r="266172" s="12" customFormat="1" x14ac:dyDescent="0.25"/>
    <row r="266173" s="12" customFormat="1" x14ac:dyDescent="0.25"/>
    <row r="266174" s="12" customFormat="1" x14ac:dyDescent="0.25"/>
    <row r="266175" s="12" customFormat="1" x14ac:dyDescent="0.25"/>
    <row r="266176" s="12" customFormat="1" x14ac:dyDescent="0.25"/>
    <row r="266177" s="12" customFormat="1" x14ac:dyDescent="0.25"/>
    <row r="266178" s="12" customFormat="1" x14ac:dyDescent="0.25"/>
    <row r="266179" s="12" customFormat="1" x14ac:dyDescent="0.25"/>
    <row r="266180" s="12" customFormat="1" x14ac:dyDescent="0.25"/>
    <row r="266181" s="12" customFormat="1" x14ac:dyDescent="0.25"/>
    <row r="266182" s="12" customFormat="1" x14ac:dyDescent="0.25"/>
    <row r="266183" s="12" customFormat="1" x14ac:dyDescent="0.25"/>
    <row r="266184" s="12" customFormat="1" x14ac:dyDescent="0.25"/>
    <row r="266185" s="12" customFormat="1" x14ac:dyDescent="0.25"/>
    <row r="266186" s="12" customFormat="1" x14ac:dyDescent="0.25"/>
    <row r="266187" s="12" customFormat="1" x14ac:dyDescent="0.25"/>
    <row r="266188" s="12" customFormat="1" x14ac:dyDescent="0.25"/>
    <row r="266189" s="12" customFormat="1" x14ac:dyDescent="0.25"/>
    <row r="266190" s="12" customFormat="1" x14ac:dyDescent="0.25"/>
    <row r="266191" s="12" customFormat="1" x14ac:dyDescent="0.25"/>
    <row r="266192" s="12" customFormat="1" x14ac:dyDescent="0.25"/>
    <row r="266193" s="12" customFormat="1" x14ac:dyDescent="0.25"/>
    <row r="266194" s="12" customFormat="1" x14ac:dyDescent="0.25"/>
    <row r="266195" s="12" customFormat="1" x14ac:dyDescent="0.25"/>
    <row r="266196" s="12" customFormat="1" x14ac:dyDescent="0.25"/>
    <row r="266197" s="12" customFormat="1" x14ac:dyDescent="0.25"/>
    <row r="266198" s="12" customFormat="1" x14ac:dyDescent="0.25"/>
    <row r="266199" s="12" customFormat="1" x14ac:dyDescent="0.25"/>
    <row r="266200" s="12" customFormat="1" x14ac:dyDescent="0.25"/>
    <row r="266201" s="12" customFormat="1" x14ac:dyDescent="0.25"/>
    <row r="266202" s="12" customFormat="1" x14ac:dyDescent="0.25"/>
    <row r="266203" s="12" customFormat="1" x14ac:dyDescent="0.25"/>
    <row r="266204" s="12" customFormat="1" x14ac:dyDescent="0.25"/>
    <row r="266205" s="12" customFormat="1" x14ac:dyDescent="0.25"/>
    <row r="266206" s="12" customFormat="1" x14ac:dyDescent="0.25"/>
    <row r="266207" s="12" customFormat="1" x14ac:dyDescent="0.25"/>
    <row r="266208" s="12" customFormat="1" x14ac:dyDescent="0.25"/>
    <row r="266209" s="12" customFormat="1" x14ac:dyDescent="0.25"/>
    <row r="266210" s="12" customFormat="1" x14ac:dyDescent="0.25"/>
    <row r="266211" s="12" customFormat="1" x14ac:dyDescent="0.25"/>
    <row r="266212" s="12" customFormat="1" x14ac:dyDescent="0.25"/>
    <row r="266213" s="12" customFormat="1" x14ac:dyDescent="0.25"/>
    <row r="266214" s="12" customFormat="1" x14ac:dyDescent="0.25"/>
    <row r="266215" s="12" customFormat="1" x14ac:dyDescent="0.25"/>
    <row r="266216" s="12" customFormat="1" x14ac:dyDescent="0.25"/>
    <row r="266217" s="12" customFormat="1" x14ac:dyDescent="0.25"/>
    <row r="266218" s="12" customFormat="1" x14ac:dyDescent="0.25"/>
    <row r="266219" s="12" customFormat="1" x14ac:dyDescent="0.25"/>
    <row r="266220" s="12" customFormat="1" x14ac:dyDescent="0.25"/>
    <row r="266221" s="12" customFormat="1" x14ac:dyDescent="0.25"/>
    <row r="266222" s="12" customFormat="1" x14ac:dyDescent="0.25"/>
    <row r="266223" s="12" customFormat="1" x14ac:dyDescent="0.25"/>
    <row r="266224" s="12" customFormat="1" x14ac:dyDescent="0.25"/>
    <row r="266225" s="12" customFormat="1" x14ac:dyDescent="0.25"/>
    <row r="266226" s="12" customFormat="1" x14ac:dyDescent="0.25"/>
    <row r="266227" s="12" customFormat="1" x14ac:dyDescent="0.25"/>
    <row r="266228" s="12" customFormat="1" x14ac:dyDescent="0.25"/>
    <row r="266229" s="12" customFormat="1" x14ac:dyDescent="0.25"/>
    <row r="266230" s="12" customFormat="1" x14ac:dyDescent="0.25"/>
    <row r="266231" s="12" customFormat="1" x14ac:dyDescent="0.25"/>
    <row r="266232" s="12" customFormat="1" x14ac:dyDescent="0.25"/>
    <row r="266233" s="12" customFormat="1" x14ac:dyDescent="0.25"/>
    <row r="266234" s="12" customFormat="1" x14ac:dyDescent="0.25"/>
    <row r="266235" s="12" customFormat="1" x14ac:dyDescent="0.25"/>
    <row r="266236" s="12" customFormat="1" x14ac:dyDescent="0.25"/>
    <row r="266237" s="12" customFormat="1" x14ac:dyDescent="0.25"/>
    <row r="266238" s="12" customFormat="1" x14ac:dyDescent="0.25"/>
    <row r="266239" s="12" customFormat="1" x14ac:dyDescent="0.25"/>
    <row r="266240" s="12" customFormat="1" x14ac:dyDescent="0.25"/>
    <row r="266241" s="12" customFormat="1" x14ac:dyDescent="0.25"/>
    <row r="266242" s="12" customFormat="1" x14ac:dyDescent="0.25"/>
    <row r="266243" s="12" customFormat="1" x14ac:dyDescent="0.25"/>
    <row r="266244" s="12" customFormat="1" x14ac:dyDescent="0.25"/>
    <row r="266245" s="12" customFormat="1" x14ac:dyDescent="0.25"/>
    <row r="266246" s="12" customFormat="1" x14ac:dyDescent="0.25"/>
    <row r="266247" s="12" customFormat="1" x14ac:dyDescent="0.25"/>
    <row r="266248" s="12" customFormat="1" x14ac:dyDescent="0.25"/>
    <row r="266249" s="12" customFormat="1" x14ac:dyDescent="0.25"/>
    <row r="266250" s="12" customFormat="1" x14ac:dyDescent="0.25"/>
    <row r="266251" s="12" customFormat="1" x14ac:dyDescent="0.25"/>
    <row r="266252" s="12" customFormat="1" x14ac:dyDescent="0.25"/>
    <row r="266253" s="12" customFormat="1" x14ac:dyDescent="0.25"/>
    <row r="266254" s="12" customFormat="1" x14ac:dyDescent="0.25"/>
    <row r="266255" s="12" customFormat="1" x14ac:dyDescent="0.25"/>
    <row r="266256" s="12" customFormat="1" x14ac:dyDescent="0.25"/>
    <row r="266257" s="12" customFormat="1" x14ac:dyDescent="0.25"/>
    <row r="266258" s="12" customFormat="1" x14ac:dyDescent="0.25"/>
    <row r="266259" s="12" customFormat="1" x14ac:dyDescent="0.25"/>
    <row r="266260" s="12" customFormat="1" x14ac:dyDescent="0.25"/>
    <row r="266261" s="12" customFormat="1" x14ac:dyDescent="0.25"/>
    <row r="266262" s="12" customFormat="1" x14ac:dyDescent="0.25"/>
    <row r="266263" s="12" customFormat="1" x14ac:dyDescent="0.25"/>
    <row r="266264" s="12" customFormat="1" x14ac:dyDescent="0.25"/>
    <row r="266265" s="12" customFormat="1" x14ac:dyDescent="0.25"/>
    <row r="266266" s="12" customFormat="1" x14ac:dyDescent="0.25"/>
    <row r="266267" s="12" customFormat="1" x14ac:dyDescent="0.25"/>
    <row r="266268" s="12" customFormat="1" x14ac:dyDescent="0.25"/>
    <row r="266269" s="12" customFormat="1" x14ac:dyDescent="0.25"/>
    <row r="266270" s="12" customFormat="1" x14ac:dyDescent="0.25"/>
    <row r="266271" s="12" customFormat="1" x14ac:dyDescent="0.25"/>
    <row r="266272" s="12" customFormat="1" x14ac:dyDescent="0.25"/>
    <row r="266273" s="12" customFormat="1" x14ac:dyDescent="0.25"/>
    <row r="266274" s="12" customFormat="1" x14ac:dyDescent="0.25"/>
    <row r="266275" s="12" customFormat="1" x14ac:dyDescent="0.25"/>
    <row r="266276" s="12" customFormat="1" x14ac:dyDescent="0.25"/>
    <row r="266277" s="12" customFormat="1" x14ac:dyDescent="0.25"/>
    <row r="266278" s="12" customFormat="1" x14ac:dyDescent="0.25"/>
    <row r="266279" s="12" customFormat="1" x14ac:dyDescent="0.25"/>
    <row r="266280" s="12" customFormat="1" x14ac:dyDescent="0.25"/>
    <row r="266281" s="12" customFormat="1" x14ac:dyDescent="0.25"/>
    <row r="266282" s="12" customFormat="1" x14ac:dyDescent="0.25"/>
    <row r="266283" s="12" customFormat="1" x14ac:dyDescent="0.25"/>
    <row r="266284" s="12" customFormat="1" x14ac:dyDescent="0.25"/>
    <row r="266285" s="12" customFormat="1" x14ac:dyDescent="0.25"/>
    <row r="266286" s="12" customFormat="1" x14ac:dyDescent="0.25"/>
    <row r="266287" s="12" customFormat="1" x14ac:dyDescent="0.25"/>
    <row r="266288" s="12" customFormat="1" x14ac:dyDescent="0.25"/>
    <row r="266289" s="12" customFormat="1" x14ac:dyDescent="0.25"/>
    <row r="266290" s="12" customFormat="1" x14ac:dyDescent="0.25"/>
    <row r="266291" s="12" customFormat="1" x14ac:dyDescent="0.25"/>
    <row r="266292" s="12" customFormat="1" x14ac:dyDescent="0.25"/>
    <row r="266293" s="12" customFormat="1" x14ac:dyDescent="0.25"/>
    <row r="266294" s="12" customFormat="1" x14ac:dyDescent="0.25"/>
    <row r="266295" s="12" customFormat="1" x14ac:dyDescent="0.25"/>
    <row r="266296" s="12" customFormat="1" x14ac:dyDescent="0.25"/>
    <row r="266297" s="12" customFormat="1" x14ac:dyDescent="0.25"/>
    <row r="266298" s="12" customFormat="1" x14ac:dyDescent="0.25"/>
    <row r="266299" s="12" customFormat="1" x14ac:dyDescent="0.25"/>
    <row r="266300" s="12" customFormat="1" x14ac:dyDescent="0.25"/>
    <row r="266301" s="12" customFormat="1" x14ac:dyDescent="0.25"/>
    <row r="266302" s="12" customFormat="1" x14ac:dyDescent="0.25"/>
    <row r="266303" s="12" customFormat="1" x14ac:dyDescent="0.25"/>
    <row r="266304" s="12" customFormat="1" x14ac:dyDescent="0.25"/>
    <row r="266305" s="12" customFormat="1" x14ac:dyDescent="0.25"/>
    <row r="266306" s="12" customFormat="1" x14ac:dyDescent="0.25"/>
    <row r="266307" s="12" customFormat="1" x14ac:dyDescent="0.25"/>
    <row r="266308" s="12" customFormat="1" x14ac:dyDescent="0.25"/>
    <row r="266309" s="12" customFormat="1" x14ac:dyDescent="0.25"/>
    <row r="266310" s="12" customFormat="1" x14ac:dyDescent="0.25"/>
    <row r="266311" s="12" customFormat="1" x14ac:dyDescent="0.25"/>
    <row r="266312" s="12" customFormat="1" x14ac:dyDescent="0.25"/>
    <row r="266313" s="12" customFormat="1" x14ac:dyDescent="0.25"/>
    <row r="266314" s="12" customFormat="1" x14ac:dyDescent="0.25"/>
    <row r="266315" s="12" customFormat="1" x14ac:dyDescent="0.25"/>
    <row r="266316" s="12" customFormat="1" x14ac:dyDescent="0.25"/>
    <row r="266317" s="12" customFormat="1" x14ac:dyDescent="0.25"/>
    <row r="266318" s="12" customFormat="1" x14ac:dyDescent="0.25"/>
    <row r="266319" s="12" customFormat="1" x14ac:dyDescent="0.25"/>
    <row r="266320" s="12" customFormat="1" x14ac:dyDescent="0.25"/>
    <row r="266321" s="12" customFormat="1" x14ac:dyDescent="0.25"/>
    <row r="266322" s="12" customFormat="1" x14ac:dyDescent="0.25"/>
    <row r="266323" s="12" customFormat="1" x14ac:dyDescent="0.25"/>
    <row r="266324" s="12" customFormat="1" x14ac:dyDescent="0.25"/>
    <row r="266325" s="12" customFormat="1" x14ac:dyDescent="0.25"/>
    <row r="266326" s="12" customFormat="1" x14ac:dyDescent="0.25"/>
    <row r="266327" s="12" customFormat="1" x14ac:dyDescent="0.25"/>
    <row r="266328" s="12" customFormat="1" x14ac:dyDescent="0.25"/>
    <row r="266329" s="12" customFormat="1" x14ac:dyDescent="0.25"/>
    <row r="266330" s="12" customFormat="1" x14ac:dyDescent="0.25"/>
    <row r="266331" s="12" customFormat="1" x14ac:dyDescent="0.25"/>
    <row r="266332" s="12" customFormat="1" x14ac:dyDescent="0.25"/>
    <row r="266333" s="12" customFormat="1" x14ac:dyDescent="0.25"/>
    <row r="266334" s="12" customFormat="1" x14ac:dyDescent="0.25"/>
    <row r="266335" s="12" customFormat="1" x14ac:dyDescent="0.25"/>
    <row r="266336" s="12" customFormat="1" x14ac:dyDescent="0.25"/>
    <row r="266337" s="12" customFormat="1" x14ac:dyDescent="0.25"/>
    <row r="266338" s="12" customFormat="1" x14ac:dyDescent="0.25"/>
    <row r="266339" s="12" customFormat="1" x14ac:dyDescent="0.25"/>
    <row r="266340" s="12" customFormat="1" x14ac:dyDescent="0.25"/>
    <row r="266341" s="12" customFormat="1" x14ac:dyDescent="0.25"/>
    <row r="266342" s="12" customFormat="1" x14ac:dyDescent="0.25"/>
    <row r="266343" s="12" customFormat="1" x14ac:dyDescent="0.25"/>
    <row r="266344" s="12" customFormat="1" x14ac:dyDescent="0.25"/>
    <row r="266345" s="12" customFormat="1" x14ac:dyDescent="0.25"/>
    <row r="266346" s="12" customFormat="1" x14ac:dyDescent="0.25"/>
    <row r="266347" s="12" customFormat="1" x14ac:dyDescent="0.25"/>
    <row r="266348" s="12" customFormat="1" x14ac:dyDescent="0.25"/>
    <row r="266349" s="12" customFormat="1" x14ac:dyDescent="0.25"/>
    <row r="266350" s="12" customFormat="1" x14ac:dyDescent="0.25"/>
    <row r="266351" s="12" customFormat="1" x14ac:dyDescent="0.25"/>
    <row r="266352" s="12" customFormat="1" x14ac:dyDescent="0.25"/>
    <row r="266353" s="12" customFormat="1" x14ac:dyDescent="0.25"/>
    <row r="266354" s="12" customFormat="1" x14ac:dyDescent="0.25"/>
    <row r="266355" s="12" customFormat="1" x14ac:dyDescent="0.25"/>
    <row r="266356" s="12" customFormat="1" x14ac:dyDescent="0.25"/>
    <row r="266357" s="12" customFormat="1" x14ac:dyDescent="0.25"/>
    <row r="266358" s="12" customFormat="1" x14ac:dyDescent="0.25"/>
    <row r="266359" s="12" customFormat="1" x14ac:dyDescent="0.25"/>
    <row r="266360" s="12" customFormat="1" x14ac:dyDescent="0.25"/>
    <row r="266361" s="12" customFormat="1" x14ac:dyDescent="0.25"/>
    <row r="266362" s="12" customFormat="1" x14ac:dyDescent="0.25"/>
    <row r="266363" s="12" customFormat="1" x14ac:dyDescent="0.25"/>
    <row r="266364" s="12" customFormat="1" x14ac:dyDescent="0.25"/>
    <row r="266365" s="12" customFormat="1" x14ac:dyDescent="0.25"/>
    <row r="266366" s="12" customFormat="1" x14ac:dyDescent="0.25"/>
    <row r="266367" s="12" customFormat="1" x14ac:dyDescent="0.25"/>
    <row r="266368" s="12" customFormat="1" x14ac:dyDescent="0.25"/>
    <row r="266369" s="12" customFormat="1" x14ac:dyDescent="0.25"/>
    <row r="266370" s="12" customFormat="1" x14ac:dyDescent="0.25"/>
    <row r="266371" s="12" customFormat="1" x14ac:dyDescent="0.25"/>
    <row r="266372" s="12" customFormat="1" x14ac:dyDescent="0.25"/>
    <row r="266373" s="12" customFormat="1" x14ac:dyDescent="0.25"/>
    <row r="266374" s="12" customFormat="1" x14ac:dyDescent="0.25"/>
    <row r="266375" s="12" customFormat="1" x14ac:dyDescent="0.25"/>
    <row r="266376" s="12" customFormat="1" x14ac:dyDescent="0.25"/>
    <row r="266377" s="12" customFormat="1" x14ac:dyDescent="0.25"/>
    <row r="266378" s="12" customFormat="1" x14ac:dyDescent="0.25"/>
    <row r="266379" s="12" customFormat="1" x14ac:dyDescent="0.25"/>
    <row r="266380" s="12" customFormat="1" x14ac:dyDescent="0.25"/>
    <row r="266381" s="12" customFormat="1" x14ac:dyDescent="0.25"/>
    <row r="266382" s="12" customFormat="1" x14ac:dyDescent="0.25"/>
    <row r="266383" s="12" customFormat="1" x14ac:dyDescent="0.25"/>
    <row r="266384" s="12" customFormat="1" x14ac:dyDescent="0.25"/>
    <row r="266385" s="12" customFormat="1" x14ac:dyDescent="0.25"/>
    <row r="266386" s="12" customFormat="1" x14ac:dyDescent="0.25"/>
    <row r="266387" s="12" customFormat="1" x14ac:dyDescent="0.25"/>
    <row r="266388" s="12" customFormat="1" x14ac:dyDescent="0.25"/>
    <row r="266389" s="12" customFormat="1" x14ac:dyDescent="0.25"/>
    <row r="266390" s="12" customFormat="1" x14ac:dyDescent="0.25"/>
    <row r="266391" s="12" customFormat="1" x14ac:dyDescent="0.25"/>
    <row r="266392" s="12" customFormat="1" x14ac:dyDescent="0.25"/>
    <row r="266393" s="12" customFormat="1" x14ac:dyDescent="0.25"/>
    <row r="266394" s="12" customFormat="1" x14ac:dyDescent="0.25"/>
    <row r="266395" s="12" customFormat="1" x14ac:dyDescent="0.25"/>
    <row r="266396" s="12" customFormat="1" x14ac:dyDescent="0.25"/>
    <row r="266397" s="12" customFormat="1" x14ac:dyDescent="0.25"/>
    <row r="266398" s="12" customFormat="1" x14ac:dyDescent="0.25"/>
    <row r="266399" s="12" customFormat="1" x14ac:dyDescent="0.25"/>
    <row r="266400" s="12" customFormat="1" x14ac:dyDescent="0.25"/>
    <row r="266401" s="12" customFormat="1" x14ac:dyDescent="0.25"/>
    <row r="266402" s="12" customFormat="1" x14ac:dyDescent="0.25"/>
    <row r="266403" s="12" customFormat="1" x14ac:dyDescent="0.25"/>
    <row r="266404" s="12" customFormat="1" x14ac:dyDescent="0.25"/>
    <row r="266405" s="12" customFormat="1" x14ac:dyDescent="0.25"/>
    <row r="266406" s="12" customFormat="1" x14ac:dyDescent="0.25"/>
    <row r="266407" s="12" customFormat="1" x14ac:dyDescent="0.25"/>
    <row r="266408" s="12" customFormat="1" x14ac:dyDescent="0.25"/>
    <row r="266409" s="12" customFormat="1" x14ac:dyDescent="0.25"/>
    <row r="266410" s="12" customFormat="1" x14ac:dyDescent="0.25"/>
    <row r="266411" s="12" customFormat="1" x14ac:dyDescent="0.25"/>
    <row r="266412" s="12" customFormat="1" x14ac:dyDescent="0.25"/>
    <row r="266413" s="12" customFormat="1" x14ac:dyDescent="0.25"/>
    <row r="266414" s="12" customFormat="1" x14ac:dyDescent="0.25"/>
    <row r="266415" s="12" customFormat="1" x14ac:dyDescent="0.25"/>
    <row r="266416" s="12" customFormat="1" x14ac:dyDescent="0.25"/>
    <row r="266417" s="12" customFormat="1" x14ac:dyDescent="0.25"/>
    <row r="266418" s="12" customFormat="1" x14ac:dyDescent="0.25"/>
    <row r="266419" s="12" customFormat="1" x14ac:dyDescent="0.25"/>
    <row r="266420" s="12" customFormat="1" x14ac:dyDescent="0.25"/>
    <row r="266421" s="12" customFormat="1" x14ac:dyDescent="0.25"/>
    <row r="266422" s="12" customFormat="1" x14ac:dyDescent="0.25"/>
    <row r="266423" s="12" customFormat="1" x14ac:dyDescent="0.25"/>
    <row r="266424" s="12" customFormat="1" x14ac:dyDescent="0.25"/>
    <row r="266425" s="12" customFormat="1" x14ac:dyDescent="0.25"/>
    <row r="266426" s="12" customFormat="1" x14ac:dyDescent="0.25"/>
    <row r="266427" s="12" customFormat="1" x14ac:dyDescent="0.25"/>
    <row r="266428" s="12" customFormat="1" x14ac:dyDescent="0.25"/>
    <row r="266429" s="12" customFormat="1" x14ac:dyDescent="0.25"/>
    <row r="266430" s="12" customFormat="1" x14ac:dyDescent="0.25"/>
    <row r="266431" s="12" customFormat="1" x14ac:dyDescent="0.25"/>
    <row r="266432" s="12" customFormat="1" x14ac:dyDescent="0.25"/>
    <row r="266433" s="12" customFormat="1" x14ac:dyDescent="0.25"/>
    <row r="266434" s="12" customFormat="1" x14ac:dyDescent="0.25"/>
    <row r="266435" s="12" customFormat="1" x14ac:dyDescent="0.25"/>
    <row r="266436" s="12" customFormat="1" x14ac:dyDescent="0.25"/>
    <row r="266437" s="12" customFormat="1" x14ac:dyDescent="0.25"/>
    <row r="266438" s="12" customFormat="1" x14ac:dyDescent="0.25"/>
    <row r="266439" s="12" customFormat="1" x14ac:dyDescent="0.25"/>
    <row r="266440" s="12" customFormat="1" x14ac:dyDescent="0.25"/>
    <row r="266441" s="12" customFormat="1" x14ac:dyDescent="0.25"/>
    <row r="266442" s="12" customFormat="1" x14ac:dyDescent="0.25"/>
    <row r="266443" s="12" customFormat="1" x14ac:dyDescent="0.25"/>
    <row r="266444" s="12" customFormat="1" x14ac:dyDescent="0.25"/>
    <row r="266445" s="12" customFormat="1" x14ac:dyDescent="0.25"/>
    <row r="266446" s="12" customFormat="1" x14ac:dyDescent="0.25"/>
    <row r="266447" s="12" customFormat="1" x14ac:dyDescent="0.25"/>
    <row r="266448" s="12" customFormat="1" x14ac:dyDescent="0.25"/>
    <row r="266449" s="12" customFormat="1" x14ac:dyDescent="0.25"/>
    <row r="266450" s="12" customFormat="1" x14ac:dyDescent="0.25"/>
    <row r="266451" s="12" customFormat="1" x14ac:dyDescent="0.25"/>
    <row r="266452" s="12" customFormat="1" x14ac:dyDescent="0.25"/>
    <row r="266453" s="12" customFormat="1" x14ac:dyDescent="0.25"/>
    <row r="266454" s="12" customFormat="1" x14ac:dyDescent="0.25"/>
    <row r="266455" s="12" customFormat="1" x14ac:dyDescent="0.25"/>
    <row r="266456" s="12" customFormat="1" x14ac:dyDescent="0.25"/>
    <row r="266457" s="12" customFormat="1" x14ac:dyDescent="0.25"/>
    <row r="266458" s="12" customFormat="1" x14ac:dyDescent="0.25"/>
    <row r="266459" s="12" customFormat="1" x14ac:dyDescent="0.25"/>
    <row r="266460" s="12" customFormat="1" x14ac:dyDescent="0.25"/>
    <row r="266461" s="12" customFormat="1" x14ac:dyDescent="0.25"/>
    <row r="266462" s="12" customFormat="1" x14ac:dyDescent="0.25"/>
    <row r="266463" s="12" customFormat="1" x14ac:dyDescent="0.25"/>
    <row r="266464" s="12" customFormat="1" x14ac:dyDescent="0.25"/>
    <row r="266465" s="12" customFormat="1" x14ac:dyDescent="0.25"/>
    <row r="266466" s="12" customFormat="1" x14ac:dyDescent="0.25"/>
    <row r="266467" s="12" customFormat="1" x14ac:dyDescent="0.25"/>
    <row r="266468" s="12" customFormat="1" x14ac:dyDescent="0.25"/>
    <row r="266469" s="12" customFormat="1" x14ac:dyDescent="0.25"/>
    <row r="266470" s="12" customFormat="1" x14ac:dyDescent="0.25"/>
    <row r="266471" s="12" customFormat="1" x14ac:dyDescent="0.25"/>
    <row r="266472" s="12" customFormat="1" x14ac:dyDescent="0.25"/>
    <row r="266473" s="12" customFormat="1" x14ac:dyDescent="0.25"/>
    <row r="266474" s="12" customFormat="1" x14ac:dyDescent="0.25"/>
    <row r="266475" s="12" customFormat="1" x14ac:dyDescent="0.25"/>
    <row r="266476" s="12" customFormat="1" x14ac:dyDescent="0.25"/>
    <row r="266477" s="12" customFormat="1" x14ac:dyDescent="0.25"/>
    <row r="266478" s="12" customFormat="1" x14ac:dyDescent="0.25"/>
    <row r="266479" s="12" customFormat="1" x14ac:dyDescent="0.25"/>
    <row r="266480" s="12" customFormat="1" x14ac:dyDescent="0.25"/>
    <row r="266481" s="12" customFormat="1" x14ac:dyDescent="0.25"/>
    <row r="266482" s="12" customFormat="1" x14ac:dyDescent="0.25"/>
    <row r="266483" s="12" customFormat="1" x14ac:dyDescent="0.25"/>
    <row r="266484" s="12" customFormat="1" x14ac:dyDescent="0.25"/>
    <row r="266485" s="12" customFormat="1" x14ac:dyDescent="0.25"/>
    <row r="266486" s="12" customFormat="1" x14ac:dyDescent="0.25"/>
    <row r="266487" s="12" customFormat="1" x14ac:dyDescent="0.25"/>
    <row r="266488" s="12" customFormat="1" x14ac:dyDescent="0.25"/>
    <row r="266489" s="12" customFormat="1" x14ac:dyDescent="0.25"/>
    <row r="266490" s="12" customFormat="1" x14ac:dyDescent="0.25"/>
    <row r="266491" s="12" customFormat="1" x14ac:dyDescent="0.25"/>
    <row r="266492" s="12" customFormat="1" x14ac:dyDescent="0.25"/>
    <row r="266493" s="12" customFormat="1" x14ac:dyDescent="0.25"/>
    <row r="266494" s="12" customFormat="1" x14ac:dyDescent="0.25"/>
    <row r="266495" s="12" customFormat="1" x14ac:dyDescent="0.25"/>
    <row r="266496" s="12" customFormat="1" x14ac:dyDescent="0.25"/>
    <row r="266497" s="12" customFormat="1" x14ac:dyDescent="0.25"/>
    <row r="266498" s="12" customFormat="1" x14ac:dyDescent="0.25"/>
    <row r="266499" s="12" customFormat="1" x14ac:dyDescent="0.25"/>
    <row r="266500" s="12" customFormat="1" x14ac:dyDescent="0.25"/>
    <row r="266501" s="12" customFormat="1" x14ac:dyDescent="0.25"/>
    <row r="266502" s="12" customFormat="1" x14ac:dyDescent="0.25"/>
    <row r="266503" s="12" customFormat="1" x14ac:dyDescent="0.25"/>
    <row r="266504" s="12" customFormat="1" x14ac:dyDescent="0.25"/>
    <row r="266505" s="12" customFormat="1" x14ac:dyDescent="0.25"/>
    <row r="266506" s="12" customFormat="1" x14ac:dyDescent="0.25"/>
    <row r="266507" s="12" customFormat="1" x14ac:dyDescent="0.25"/>
    <row r="266508" s="12" customFormat="1" x14ac:dyDescent="0.25"/>
    <row r="266509" s="12" customFormat="1" x14ac:dyDescent="0.25"/>
    <row r="266510" s="12" customFormat="1" x14ac:dyDescent="0.25"/>
    <row r="266511" s="12" customFormat="1" x14ac:dyDescent="0.25"/>
    <row r="266512" s="12" customFormat="1" x14ac:dyDescent="0.25"/>
    <row r="266513" s="12" customFormat="1" x14ac:dyDescent="0.25"/>
    <row r="266514" s="12" customFormat="1" x14ac:dyDescent="0.25"/>
    <row r="266515" s="12" customFormat="1" x14ac:dyDescent="0.25"/>
    <row r="266516" s="12" customFormat="1" x14ac:dyDescent="0.25"/>
    <row r="266517" s="12" customFormat="1" x14ac:dyDescent="0.25"/>
    <row r="266518" s="12" customFormat="1" x14ac:dyDescent="0.25"/>
    <row r="266519" s="12" customFormat="1" x14ac:dyDescent="0.25"/>
    <row r="266520" s="12" customFormat="1" x14ac:dyDescent="0.25"/>
    <row r="266521" s="12" customFormat="1" x14ac:dyDescent="0.25"/>
    <row r="266522" s="12" customFormat="1" x14ac:dyDescent="0.25"/>
    <row r="266523" s="12" customFormat="1" x14ac:dyDescent="0.25"/>
    <row r="266524" s="12" customFormat="1" x14ac:dyDescent="0.25"/>
    <row r="266525" s="12" customFormat="1" x14ac:dyDescent="0.25"/>
    <row r="266526" s="12" customFormat="1" x14ac:dyDescent="0.25"/>
    <row r="266527" s="12" customFormat="1" x14ac:dyDescent="0.25"/>
    <row r="266528" s="12" customFormat="1" x14ac:dyDescent="0.25"/>
    <row r="266529" s="12" customFormat="1" x14ac:dyDescent="0.25"/>
    <row r="266530" s="12" customFormat="1" x14ac:dyDescent="0.25"/>
    <row r="266531" s="12" customFormat="1" x14ac:dyDescent="0.25"/>
    <row r="266532" s="12" customFormat="1" x14ac:dyDescent="0.25"/>
    <row r="266533" s="12" customFormat="1" x14ac:dyDescent="0.25"/>
    <row r="266534" s="12" customFormat="1" x14ac:dyDescent="0.25"/>
    <row r="266535" s="12" customFormat="1" x14ac:dyDescent="0.25"/>
    <row r="266536" s="12" customFormat="1" x14ac:dyDescent="0.25"/>
    <row r="266537" s="12" customFormat="1" x14ac:dyDescent="0.25"/>
    <row r="266538" s="12" customFormat="1" x14ac:dyDescent="0.25"/>
    <row r="266539" s="12" customFormat="1" x14ac:dyDescent="0.25"/>
    <row r="266540" s="12" customFormat="1" x14ac:dyDescent="0.25"/>
    <row r="266541" s="12" customFormat="1" x14ac:dyDescent="0.25"/>
    <row r="266542" s="12" customFormat="1" x14ac:dyDescent="0.25"/>
    <row r="266543" s="12" customFormat="1" x14ac:dyDescent="0.25"/>
    <row r="266544" s="12" customFormat="1" x14ac:dyDescent="0.25"/>
    <row r="266545" s="12" customFormat="1" x14ac:dyDescent="0.25"/>
    <row r="266546" s="12" customFormat="1" x14ac:dyDescent="0.25"/>
    <row r="266547" s="12" customFormat="1" x14ac:dyDescent="0.25"/>
    <row r="266548" s="12" customFormat="1" x14ac:dyDescent="0.25"/>
    <row r="266549" s="12" customFormat="1" x14ac:dyDescent="0.25"/>
    <row r="266550" s="12" customFormat="1" x14ac:dyDescent="0.25"/>
    <row r="266551" s="12" customFormat="1" x14ac:dyDescent="0.25"/>
    <row r="266552" s="12" customFormat="1" x14ac:dyDescent="0.25"/>
    <row r="266553" s="12" customFormat="1" x14ac:dyDescent="0.25"/>
    <row r="266554" s="12" customFormat="1" x14ac:dyDescent="0.25"/>
    <row r="266555" s="12" customFormat="1" x14ac:dyDescent="0.25"/>
    <row r="266556" s="12" customFormat="1" x14ac:dyDescent="0.25"/>
    <row r="266557" s="12" customFormat="1" x14ac:dyDescent="0.25"/>
    <row r="266558" s="12" customFormat="1" x14ac:dyDescent="0.25"/>
    <row r="266559" s="12" customFormat="1" x14ac:dyDescent="0.25"/>
    <row r="266560" s="12" customFormat="1" x14ac:dyDescent="0.25"/>
    <row r="266561" s="12" customFormat="1" x14ac:dyDescent="0.25"/>
    <row r="266562" s="12" customFormat="1" x14ac:dyDescent="0.25"/>
    <row r="266563" s="12" customFormat="1" x14ac:dyDescent="0.25"/>
    <row r="266564" s="12" customFormat="1" x14ac:dyDescent="0.25"/>
    <row r="266565" s="12" customFormat="1" x14ac:dyDescent="0.25"/>
    <row r="266566" s="12" customFormat="1" x14ac:dyDescent="0.25"/>
    <row r="266567" s="12" customFormat="1" x14ac:dyDescent="0.25"/>
    <row r="266568" s="12" customFormat="1" x14ac:dyDescent="0.25"/>
    <row r="266569" s="12" customFormat="1" x14ac:dyDescent="0.25"/>
    <row r="266570" s="12" customFormat="1" x14ac:dyDescent="0.25"/>
    <row r="266571" s="12" customFormat="1" x14ac:dyDescent="0.25"/>
    <row r="266572" s="12" customFormat="1" x14ac:dyDescent="0.25"/>
    <row r="266573" s="12" customFormat="1" x14ac:dyDescent="0.25"/>
    <row r="266574" s="12" customFormat="1" x14ac:dyDescent="0.25"/>
    <row r="266575" s="12" customFormat="1" x14ac:dyDescent="0.25"/>
    <row r="266576" s="12" customFormat="1" x14ac:dyDescent="0.25"/>
    <row r="266577" s="12" customFormat="1" x14ac:dyDescent="0.25"/>
    <row r="266578" s="12" customFormat="1" x14ac:dyDescent="0.25"/>
    <row r="266579" s="12" customFormat="1" x14ac:dyDescent="0.25"/>
    <row r="266580" s="12" customFormat="1" x14ac:dyDescent="0.25"/>
    <row r="266581" s="12" customFormat="1" x14ac:dyDescent="0.25"/>
    <row r="266582" s="12" customFormat="1" x14ac:dyDescent="0.25"/>
    <row r="266583" s="12" customFormat="1" x14ac:dyDescent="0.25"/>
    <row r="266584" s="12" customFormat="1" x14ac:dyDescent="0.25"/>
    <row r="266585" s="12" customFormat="1" x14ac:dyDescent="0.25"/>
    <row r="266586" s="12" customFormat="1" x14ac:dyDescent="0.25"/>
    <row r="266587" s="12" customFormat="1" x14ac:dyDescent="0.25"/>
    <row r="266588" s="12" customFormat="1" x14ac:dyDescent="0.25"/>
    <row r="266589" s="12" customFormat="1" x14ac:dyDescent="0.25"/>
    <row r="266590" s="12" customFormat="1" x14ac:dyDescent="0.25"/>
    <row r="266591" s="12" customFormat="1" x14ac:dyDescent="0.25"/>
    <row r="266592" s="12" customFormat="1" x14ac:dyDescent="0.25"/>
    <row r="266593" s="12" customFormat="1" x14ac:dyDescent="0.25"/>
    <row r="266594" s="12" customFormat="1" x14ac:dyDescent="0.25"/>
    <row r="266595" s="12" customFormat="1" x14ac:dyDescent="0.25"/>
    <row r="266596" s="12" customFormat="1" x14ac:dyDescent="0.25"/>
    <row r="266597" s="12" customFormat="1" x14ac:dyDescent="0.25"/>
    <row r="266598" s="12" customFormat="1" x14ac:dyDescent="0.25"/>
    <row r="266599" s="12" customFormat="1" x14ac:dyDescent="0.25"/>
    <row r="266600" s="12" customFormat="1" x14ac:dyDescent="0.25"/>
    <row r="266601" s="12" customFormat="1" x14ac:dyDescent="0.25"/>
    <row r="266602" s="12" customFormat="1" x14ac:dyDescent="0.25"/>
    <row r="266603" s="12" customFormat="1" x14ac:dyDescent="0.25"/>
    <row r="266604" s="12" customFormat="1" x14ac:dyDescent="0.25"/>
    <row r="266605" s="12" customFormat="1" x14ac:dyDescent="0.25"/>
    <row r="266606" s="12" customFormat="1" x14ac:dyDescent="0.25"/>
    <row r="266607" s="12" customFormat="1" x14ac:dyDescent="0.25"/>
    <row r="266608" s="12" customFormat="1" x14ac:dyDescent="0.25"/>
    <row r="266609" s="12" customFormat="1" x14ac:dyDescent="0.25"/>
    <row r="266610" s="12" customFormat="1" x14ac:dyDescent="0.25"/>
    <row r="266611" s="12" customFormat="1" x14ac:dyDescent="0.25"/>
    <row r="266612" s="12" customFormat="1" x14ac:dyDescent="0.25"/>
    <row r="266613" s="12" customFormat="1" x14ac:dyDescent="0.25"/>
    <row r="266614" s="12" customFormat="1" x14ac:dyDescent="0.25"/>
    <row r="266615" s="12" customFormat="1" x14ac:dyDescent="0.25"/>
    <row r="266616" s="12" customFormat="1" x14ac:dyDescent="0.25"/>
    <row r="266617" s="12" customFormat="1" x14ac:dyDescent="0.25"/>
    <row r="266618" s="12" customFormat="1" x14ac:dyDescent="0.25"/>
    <row r="266619" s="12" customFormat="1" x14ac:dyDescent="0.25"/>
    <row r="266620" s="12" customFormat="1" x14ac:dyDescent="0.25"/>
    <row r="266621" s="12" customFormat="1" x14ac:dyDescent="0.25"/>
    <row r="266622" s="12" customFormat="1" x14ac:dyDescent="0.25"/>
    <row r="266623" s="12" customFormat="1" x14ac:dyDescent="0.25"/>
    <row r="266624" s="12" customFormat="1" x14ac:dyDescent="0.25"/>
    <row r="266625" s="12" customFormat="1" x14ac:dyDescent="0.25"/>
    <row r="266626" s="12" customFormat="1" x14ac:dyDescent="0.25"/>
    <row r="266627" s="12" customFormat="1" x14ac:dyDescent="0.25"/>
    <row r="266628" s="12" customFormat="1" x14ac:dyDescent="0.25"/>
    <row r="266629" s="12" customFormat="1" x14ac:dyDescent="0.25"/>
    <row r="266630" s="12" customFormat="1" x14ac:dyDescent="0.25"/>
    <row r="266631" s="12" customFormat="1" x14ac:dyDescent="0.25"/>
    <row r="266632" s="12" customFormat="1" x14ac:dyDescent="0.25"/>
    <row r="266633" s="12" customFormat="1" x14ac:dyDescent="0.25"/>
    <row r="266634" s="12" customFormat="1" x14ac:dyDescent="0.25"/>
    <row r="266635" s="12" customFormat="1" x14ac:dyDescent="0.25"/>
    <row r="266636" s="12" customFormat="1" x14ac:dyDescent="0.25"/>
    <row r="266637" s="12" customFormat="1" x14ac:dyDescent="0.25"/>
    <row r="266638" s="12" customFormat="1" x14ac:dyDescent="0.25"/>
    <row r="266639" s="12" customFormat="1" x14ac:dyDescent="0.25"/>
    <row r="266640" s="12" customFormat="1" x14ac:dyDescent="0.25"/>
    <row r="266641" s="12" customFormat="1" x14ac:dyDescent="0.25"/>
    <row r="266642" s="12" customFormat="1" x14ac:dyDescent="0.25"/>
    <row r="266643" s="12" customFormat="1" x14ac:dyDescent="0.25"/>
    <row r="266644" s="12" customFormat="1" x14ac:dyDescent="0.25"/>
    <row r="266645" s="12" customFormat="1" x14ac:dyDescent="0.25"/>
    <row r="266646" s="12" customFormat="1" x14ac:dyDescent="0.25"/>
    <row r="266647" s="12" customFormat="1" x14ac:dyDescent="0.25"/>
    <row r="266648" s="12" customFormat="1" x14ac:dyDescent="0.25"/>
    <row r="266649" s="12" customFormat="1" x14ac:dyDescent="0.25"/>
    <row r="266650" s="12" customFormat="1" x14ac:dyDescent="0.25"/>
    <row r="266651" s="12" customFormat="1" x14ac:dyDescent="0.25"/>
    <row r="266652" s="12" customFormat="1" x14ac:dyDescent="0.25"/>
    <row r="266653" s="12" customFormat="1" x14ac:dyDescent="0.25"/>
    <row r="266654" s="12" customFormat="1" x14ac:dyDescent="0.25"/>
    <row r="266655" s="12" customFormat="1" x14ac:dyDescent="0.25"/>
    <row r="266656" s="12" customFormat="1" x14ac:dyDescent="0.25"/>
    <row r="266657" s="12" customFormat="1" x14ac:dyDescent="0.25"/>
    <row r="266658" s="12" customFormat="1" x14ac:dyDescent="0.25"/>
    <row r="266659" s="12" customFormat="1" x14ac:dyDescent="0.25"/>
    <row r="266660" s="12" customFormat="1" x14ac:dyDescent="0.25"/>
    <row r="266661" s="12" customFormat="1" x14ac:dyDescent="0.25"/>
    <row r="266662" s="12" customFormat="1" x14ac:dyDescent="0.25"/>
    <row r="266663" s="12" customFormat="1" x14ac:dyDescent="0.25"/>
    <row r="266664" s="12" customFormat="1" x14ac:dyDescent="0.25"/>
    <row r="266665" s="12" customFormat="1" x14ac:dyDescent="0.25"/>
    <row r="266666" s="12" customFormat="1" x14ac:dyDescent="0.25"/>
    <row r="266667" s="12" customFormat="1" x14ac:dyDescent="0.25"/>
    <row r="266668" s="12" customFormat="1" x14ac:dyDescent="0.25"/>
    <row r="266669" s="12" customFormat="1" x14ac:dyDescent="0.25"/>
    <row r="266670" s="12" customFormat="1" x14ac:dyDescent="0.25"/>
    <row r="266671" s="12" customFormat="1" x14ac:dyDescent="0.25"/>
    <row r="266672" s="12" customFormat="1" x14ac:dyDescent="0.25"/>
    <row r="266673" s="12" customFormat="1" x14ac:dyDescent="0.25"/>
    <row r="266674" s="12" customFormat="1" x14ac:dyDescent="0.25"/>
    <row r="266675" s="12" customFormat="1" x14ac:dyDescent="0.25"/>
    <row r="266676" s="12" customFormat="1" x14ac:dyDescent="0.25"/>
    <row r="266677" s="12" customFormat="1" x14ac:dyDescent="0.25"/>
    <row r="266678" s="12" customFormat="1" x14ac:dyDescent="0.25"/>
    <row r="266679" s="12" customFormat="1" x14ac:dyDescent="0.25"/>
    <row r="266680" s="12" customFormat="1" x14ac:dyDescent="0.25"/>
    <row r="266681" s="12" customFormat="1" x14ac:dyDescent="0.25"/>
    <row r="266682" s="12" customFormat="1" x14ac:dyDescent="0.25"/>
    <row r="266683" s="12" customFormat="1" x14ac:dyDescent="0.25"/>
    <row r="266684" s="12" customFormat="1" x14ac:dyDescent="0.25"/>
    <row r="266685" s="12" customFormat="1" x14ac:dyDescent="0.25"/>
    <row r="266686" s="12" customFormat="1" x14ac:dyDescent="0.25"/>
    <row r="266687" s="12" customFormat="1" x14ac:dyDescent="0.25"/>
    <row r="266688" s="12" customFormat="1" x14ac:dyDescent="0.25"/>
    <row r="266689" s="12" customFormat="1" x14ac:dyDescent="0.25"/>
    <row r="266690" s="12" customFormat="1" x14ac:dyDescent="0.25"/>
    <row r="266691" s="12" customFormat="1" x14ac:dyDescent="0.25"/>
    <row r="266692" s="12" customFormat="1" x14ac:dyDescent="0.25"/>
    <row r="266693" s="12" customFormat="1" x14ac:dyDescent="0.25"/>
    <row r="266694" s="12" customFormat="1" x14ac:dyDescent="0.25"/>
    <row r="266695" s="12" customFormat="1" x14ac:dyDescent="0.25"/>
    <row r="266696" s="12" customFormat="1" x14ac:dyDescent="0.25"/>
    <row r="266697" s="12" customFormat="1" x14ac:dyDescent="0.25"/>
    <row r="266698" s="12" customFormat="1" x14ac:dyDescent="0.25"/>
    <row r="266699" s="12" customFormat="1" x14ac:dyDescent="0.25"/>
    <row r="266700" s="12" customFormat="1" x14ac:dyDescent="0.25"/>
    <row r="266701" s="12" customFormat="1" x14ac:dyDescent="0.25"/>
    <row r="266702" s="12" customFormat="1" x14ac:dyDescent="0.25"/>
    <row r="266703" s="12" customFormat="1" x14ac:dyDescent="0.25"/>
    <row r="266704" s="12" customFormat="1" x14ac:dyDescent="0.25"/>
    <row r="266705" s="12" customFormat="1" x14ac:dyDescent="0.25"/>
    <row r="266706" s="12" customFormat="1" x14ac:dyDescent="0.25"/>
    <row r="266707" s="12" customFormat="1" x14ac:dyDescent="0.25"/>
    <row r="266708" s="12" customFormat="1" x14ac:dyDescent="0.25"/>
    <row r="266709" s="12" customFormat="1" x14ac:dyDescent="0.25"/>
    <row r="266710" s="12" customFormat="1" x14ac:dyDescent="0.25"/>
    <row r="266711" s="12" customFormat="1" x14ac:dyDescent="0.25"/>
    <row r="266712" s="12" customFormat="1" x14ac:dyDescent="0.25"/>
    <row r="266713" s="12" customFormat="1" x14ac:dyDescent="0.25"/>
    <row r="266714" s="12" customFormat="1" x14ac:dyDescent="0.25"/>
    <row r="266715" s="12" customFormat="1" x14ac:dyDescent="0.25"/>
    <row r="266716" s="12" customFormat="1" x14ac:dyDescent="0.25"/>
    <row r="266717" s="12" customFormat="1" x14ac:dyDescent="0.25"/>
    <row r="266718" s="12" customFormat="1" x14ac:dyDescent="0.25"/>
    <row r="266719" s="12" customFormat="1" x14ac:dyDescent="0.25"/>
    <row r="266720" s="12" customFormat="1" x14ac:dyDescent="0.25"/>
    <row r="266721" s="12" customFormat="1" x14ac:dyDescent="0.25"/>
    <row r="266722" s="12" customFormat="1" x14ac:dyDescent="0.25"/>
    <row r="266723" s="12" customFormat="1" x14ac:dyDescent="0.25"/>
    <row r="266724" s="12" customFormat="1" x14ac:dyDescent="0.25"/>
    <row r="266725" s="12" customFormat="1" x14ac:dyDescent="0.25"/>
    <row r="266726" s="12" customFormat="1" x14ac:dyDescent="0.25"/>
    <row r="266727" s="12" customFormat="1" x14ac:dyDescent="0.25"/>
    <row r="266728" s="12" customFormat="1" x14ac:dyDescent="0.25"/>
    <row r="266729" s="12" customFormat="1" x14ac:dyDescent="0.25"/>
    <row r="266730" s="12" customFormat="1" x14ac:dyDescent="0.25"/>
    <row r="266731" s="12" customFormat="1" x14ac:dyDescent="0.25"/>
    <row r="266732" s="12" customFormat="1" x14ac:dyDescent="0.25"/>
    <row r="266733" s="12" customFormat="1" x14ac:dyDescent="0.25"/>
    <row r="266734" s="12" customFormat="1" x14ac:dyDescent="0.25"/>
    <row r="266735" s="12" customFormat="1" x14ac:dyDescent="0.25"/>
    <row r="266736" s="12" customFormat="1" x14ac:dyDescent="0.25"/>
    <row r="266737" s="12" customFormat="1" x14ac:dyDescent="0.25"/>
    <row r="266738" s="12" customFormat="1" x14ac:dyDescent="0.25"/>
    <row r="266739" s="12" customFormat="1" x14ac:dyDescent="0.25"/>
    <row r="266740" s="12" customFormat="1" x14ac:dyDescent="0.25"/>
    <row r="266741" s="12" customFormat="1" x14ac:dyDescent="0.25"/>
    <row r="266742" s="12" customFormat="1" x14ac:dyDescent="0.25"/>
    <row r="266743" s="12" customFormat="1" x14ac:dyDescent="0.25"/>
    <row r="266744" s="12" customFormat="1" x14ac:dyDescent="0.25"/>
    <row r="266745" s="12" customFormat="1" x14ac:dyDescent="0.25"/>
    <row r="266746" s="12" customFormat="1" x14ac:dyDescent="0.25"/>
    <row r="266747" s="12" customFormat="1" x14ac:dyDescent="0.25"/>
    <row r="266748" s="12" customFormat="1" x14ac:dyDescent="0.25"/>
    <row r="266749" s="12" customFormat="1" x14ac:dyDescent="0.25"/>
    <row r="266750" s="12" customFormat="1" x14ac:dyDescent="0.25"/>
    <row r="266751" s="12" customFormat="1" x14ac:dyDescent="0.25"/>
    <row r="266752" s="12" customFormat="1" x14ac:dyDescent="0.25"/>
    <row r="266753" s="12" customFormat="1" x14ac:dyDescent="0.25"/>
    <row r="266754" s="12" customFormat="1" x14ac:dyDescent="0.25"/>
    <row r="266755" s="12" customFormat="1" x14ac:dyDescent="0.25"/>
    <row r="266756" s="12" customFormat="1" x14ac:dyDescent="0.25"/>
    <row r="266757" s="12" customFormat="1" x14ac:dyDescent="0.25"/>
    <row r="266758" s="12" customFormat="1" x14ac:dyDescent="0.25"/>
    <row r="266759" s="12" customFormat="1" x14ac:dyDescent="0.25"/>
    <row r="266760" s="12" customFormat="1" x14ac:dyDescent="0.25"/>
    <row r="266761" s="12" customFormat="1" x14ac:dyDescent="0.25"/>
    <row r="266762" s="12" customFormat="1" x14ac:dyDescent="0.25"/>
    <row r="266763" s="12" customFormat="1" x14ac:dyDescent="0.25"/>
    <row r="266764" s="12" customFormat="1" x14ac:dyDescent="0.25"/>
    <row r="266765" s="12" customFormat="1" x14ac:dyDescent="0.25"/>
    <row r="266766" s="12" customFormat="1" x14ac:dyDescent="0.25"/>
    <row r="266767" s="12" customFormat="1" x14ac:dyDescent="0.25"/>
    <row r="266768" s="12" customFormat="1" x14ac:dyDescent="0.25"/>
    <row r="266769" s="12" customFormat="1" x14ac:dyDescent="0.25"/>
    <row r="266770" s="12" customFormat="1" x14ac:dyDescent="0.25"/>
    <row r="266771" s="12" customFormat="1" x14ac:dyDescent="0.25"/>
    <row r="266772" s="12" customFormat="1" x14ac:dyDescent="0.25"/>
    <row r="266773" s="12" customFormat="1" x14ac:dyDescent="0.25"/>
    <row r="266774" s="12" customFormat="1" x14ac:dyDescent="0.25"/>
    <row r="266775" s="12" customFormat="1" x14ac:dyDescent="0.25"/>
    <row r="266776" s="12" customFormat="1" x14ac:dyDescent="0.25"/>
    <row r="266777" s="12" customFormat="1" x14ac:dyDescent="0.25"/>
    <row r="266778" s="12" customFormat="1" x14ac:dyDescent="0.25"/>
    <row r="266779" s="12" customFormat="1" x14ac:dyDescent="0.25"/>
    <row r="266780" s="12" customFormat="1" x14ac:dyDescent="0.25"/>
    <row r="266781" s="12" customFormat="1" x14ac:dyDescent="0.25"/>
    <row r="266782" s="12" customFormat="1" x14ac:dyDescent="0.25"/>
    <row r="266783" s="12" customFormat="1" x14ac:dyDescent="0.25"/>
    <row r="266784" s="12" customFormat="1" x14ac:dyDescent="0.25"/>
    <row r="266785" s="12" customFormat="1" x14ac:dyDescent="0.25"/>
    <row r="266786" s="12" customFormat="1" x14ac:dyDescent="0.25"/>
    <row r="266787" s="12" customFormat="1" x14ac:dyDescent="0.25"/>
    <row r="266788" s="12" customFormat="1" x14ac:dyDescent="0.25"/>
    <row r="266789" s="12" customFormat="1" x14ac:dyDescent="0.25"/>
    <row r="266790" s="12" customFormat="1" x14ac:dyDescent="0.25"/>
    <row r="266791" s="12" customFormat="1" x14ac:dyDescent="0.25"/>
    <row r="266792" s="12" customFormat="1" x14ac:dyDescent="0.25"/>
    <row r="266793" s="12" customFormat="1" x14ac:dyDescent="0.25"/>
    <row r="266794" s="12" customFormat="1" x14ac:dyDescent="0.25"/>
    <row r="266795" s="12" customFormat="1" x14ac:dyDescent="0.25"/>
    <row r="266796" s="12" customFormat="1" x14ac:dyDescent="0.25"/>
    <row r="266797" s="12" customFormat="1" x14ac:dyDescent="0.25"/>
    <row r="266798" s="12" customFormat="1" x14ac:dyDescent="0.25"/>
    <row r="266799" s="12" customFormat="1" x14ac:dyDescent="0.25"/>
    <row r="266800" s="12" customFormat="1" x14ac:dyDescent="0.25"/>
    <row r="266801" s="12" customFormat="1" x14ac:dyDescent="0.25"/>
    <row r="266802" s="12" customFormat="1" x14ac:dyDescent="0.25"/>
    <row r="266803" s="12" customFormat="1" x14ac:dyDescent="0.25"/>
    <row r="266804" s="12" customFormat="1" x14ac:dyDescent="0.25"/>
    <row r="266805" s="12" customFormat="1" x14ac:dyDescent="0.25"/>
    <row r="266806" s="12" customFormat="1" x14ac:dyDescent="0.25"/>
    <row r="266807" s="12" customFormat="1" x14ac:dyDescent="0.25"/>
    <row r="266808" s="12" customFormat="1" x14ac:dyDescent="0.25"/>
    <row r="266809" s="12" customFormat="1" x14ac:dyDescent="0.25"/>
    <row r="266810" s="12" customFormat="1" x14ac:dyDescent="0.25"/>
    <row r="266811" s="12" customFormat="1" x14ac:dyDescent="0.25"/>
    <row r="266812" s="12" customFormat="1" x14ac:dyDescent="0.25"/>
    <row r="266813" s="12" customFormat="1" x14ac:dyDescent="0.25"/>
    <row r="266814" s="12" customFormat="1" x14ac:dyDescent="0.25"/>
    <row r="266815" s="12" customFormat="1" x14ac:dyDescent="0.25"/>
    <row r="266816" s="12" customFormat="1" x14ac:dyDescent="0.25"/>
    <row r="266817" s="12" customFormat="1" x14ac:dyDescent="0.25"/>
    <row r="266818" s="12" customFormat="1" x14ac:dyDescent="0.25"/>
    <row r="266819" s="12" customFormat="1" x14ac:dyDescent="0.25"/>
    <row r="266820" s="12" customFormat="1" x14ac:dyDescent="0.25"/>
    <row r="266821" s="12" customFormat="1" x14ac:dyDescent="0.25"/>
    <row r="266822" s="12" customFormat="1" x14ac:dyDescent="0.25"/>
    <row r="266823" s="12" customFormat="1" x14ac:dyDescent="0.25"/>
    <row r="266824" s="12" customFormat="1" x14ac:dyDescent="0.25"/>
    <row r="266825" s="12" customFormat="1" x14ac:dyDescent="0.25"/>
    <row r="266826" s="12" customFormat="1" x14ac:dyDescent="0.25"/>
    <row r="266827" s="12" customFormat="1" x14ac:dyDescent="0.25"/>
    <row r="266828" s="12" customFormat="1" x14ac:dyDescent="0.25"/>
    <row r="266829" s="12" customFormat="1" x14ac:dyDescent="0.25"/>
    <row r="266830" s="12" customFormat="1" x14ac:dyDescent="0.25"/>
    <row r="266831" s="12" customFormat="1" x14ac:dyDescent="0.25"/>
    <row r="266832" s="12" customFormat="1" x14ac:dyDescent="0.25"/>
    <row r="266833" s="12" customFormat="1" x14ac:dyDescent="0.25"/>
    <row r="266834" s="12" customFormat="1" x14ac:dyDescent="0.25"/>
    <row r="266835" s="12" customFormat="1" x14ac:dyDescent="0.25"/>
    <row r="266836" s="12" customFormat="1" x14ac:dyDescent="0.25"/>
    <row r="266837" s="12" customFormat="1" x14ac:dyDescent="0.25"/>
    <row r="266838" s="12" customFormat="1" x14ac:dyDescent="0.25"/>
    <row r="266839" s="12" customFormat="1" x14ac:dyDescent="0.25"/>
    <row r="266840" s="12" customFormat="1" x14ac:dyDescent="0.25"/>
    <row r="266841" s="12" customFormat="1" x14ac:dyDescent="0.25"/>
    <row r="266842" s="12" customFormat="1" x14ac:dyDescent="0.25"/>
    <row r="266843" s="12" customFormat="1" x14ac:dyDescent="0.25"/>
    <row r="266844" s="12" customFormat="1" x14ac:dyDescent="0.25"/>
    <row r="266845" s="12" customFormat="1" x14ac:dyDescent="0.25"/>
    <row r="266846" s="12" customFormat="1" x14ac:dyDescent="0.25"/>
    <row r="266847" s="12" customFormat="1" x14ac:dyDescent="0.25"/>
    <row r="266848" s="12" customFormat="1" x14ac:dyDescent="0.25"/>
    <row r="266849" s="12" customFormat="1" x14ac:dyDescent="0.25"/>
    <row r="266850" s="12" customFormat="1" x14ac:dyDescent="0.25"/>
    <row r="266851" s="12" customFormat="1" x14ac:dyDescent="0.25"/>
    <row r="266852" s="12" customFormat="1" x14ac:dyDescent="0.25"/>
    <row r="266853" s="12" customFormat="1" x14ac:dyDescent="0.25"/>
    <row r="266854" s="12" customFormat="1" x14ac:dyDescent="0.25"/>
    <row r="266855" s="12" customFormat="1" x14ac:dyDescent="0.25"/>
    <row r="266856" s="12" customFormat="1" x14ac:dyDescent="0.25"/>
    <row r="266857" s="12" customFormat="1" x14ac:dyDescent="0.25"/>
    <row r="266858" s="12" customFormat="1" x14ac:dyDescent="0.25"/>
    <row r="266859" s="12" customFormat="1" x14ac:dyDescent="0.25"/>
    <row r="266860" s="12" customFormat="1" x14ac:dyDescent="0.25"/>
    <row r="266861" s="12" customFormat="1" x14ac:dyDescent="0.25"/>
    <row r="266862" s="12" customFormat="1" x14ac:dyDescent="0.25"/>
    <row r="266863" s="12" customFormat="1" x14ac:dyDescent="0.25"/>
    <row r="266864" s="12" customFormat="1" x14ac:dyDescent="0.25"/>
    <row r="266865" s="12" customFormat="1" x14ac:dyDescent="0.25"/>
    <row r="266866" s="12" customFormat="1" x14ac:dyDescent="0.25"/>
    <row r="266867" s="12" customFormat="1" x14ac:dyDescent="0.25"/>
    <row r="266868" s="12" customFormat="1" x14ac:dyDescent="0.25"/>
    <row r="266869" s="12" customFormat="1" x14ac:dyDescent="0.25"/>
    <row r="266870" s="12" customFormat="1" x14ac:dyDescent="0.25"/>
    <row r="266871" s="12" customFormat="1" x14ac:dyDescent="0.25"/>
    <row r="266872" s="12" customFormat="1" x14ac:dyDescent="0.25"/>
    <row r="266873" s="12" customFormat="1" x14ac:dyDescent="0.25"/>
    <row r="266874" s="12" customFormat="1" x14ac:dyDescent="0.25"/>
    <row r="266875" s="12" customFormat="1" x14ac:dyDescent="0.25"/>
    <row r="266876" s="12" customFormat="1" x14ac:dyDescent="0.25"/>
    <row r="266877" s="12" customFormat="1" x14ac:dyDescent="0.25"/>
    <row r="266878" s="12" customFormat="1" x14ac:dyDescent="0.25"/>
    <row r="266879" s="12" customFormat="1" x14ac:dyDescent="0.25"/>
    <row r="266880" s="12" customFormat="1" x14ac:dyDescent="0.25"/>
    <row r="266881" s="12" customFormat="1" x14ac:dyDescent="0.25"/>
    <row r="266882" s="12" customFormat="1" x14ac:dyDescent="0.25"/>
    <row r="266883" s="12" customFormat="1" x14ac:dyDescent="0.25"/>
    <row r="266884" s="12" customFormat="1" x14ac:dyDescent="0.25"/>
    <row r="266885" s="12" customFormat="1" x14ac:dyDescent="0.25"/>
    <row r="266886" s="12" customFormat="1" x14ac:dyDescent="0.25"/>
    <row r="266887" s="12" customFormat="1" x14ac:dyDescent="0.25"/>
    <row r="266888" s="12" customFormat="1" x14ac:dyDescent="0.25"/>
    <row r="266889" s="12" customFormat="1" x14ac:dyDescent="0.25"/>
    <row r="266890" s="12" customFormat="1" x14ac:dyDescent="0.25"/>
    <row r="266891" s="12" customFormat="1" x14ac:dyDescent="0.25"/>
    <row r="266892" s="12" customFormat="1" x14ac:dyDescent="0.25"/>
    <row r="266893" s="12" customFormat="1" x14ac:dyDescent="0.25"/>
    <row r="266894" s="12" customFormat="1" x14ac:dyDescent="0.25"/>
    <row r="266895" s="12" customFormat="1" x14ac:dyDescent="0.25"/>
    <row r="266896" s="12" customFormat="1" x14ac:dyDescent="0.25"/>
    <row r="266897" s="12" customFormat="1" x14ac:dyDescent="0.25"/>
    <row r="266898" s="12" customFormat="1" x14ac:dyDescent="0.25"/>
    <row r="266899" s="12" customFormat="1" x14ac:dyDescent="0.25"/>
    <row r="266900" s="12" customFormat="1" x14ac:dyDescent="0.25"/>
    <row r="266901" s="12" customFormat="1" x14ac:dyDescent="0.25"/>
    <row r="266902" s="12" customFormat="1" x14ac:dyDescent="0.25"/>
    <row r="266903" s="12" customFormat="1" x14ac:dyDescent="0.25"/>
    <row r="266904" s="12" customFormat="1" x14ac:dyDescent="0.25"/>
    <row r="266905" s="12" customFormat="1" x14ac:dyDescent="0.25"/>
    <row r="266906" s="12" customFormat="1" x14ac:dyDescent="0.25"/>
    <row r="266907" s="12" customFormat="1" x14ac:dyDescent="0.25"/>
    <row r="266908" s="12" customFormat="1" x14ac:dyDescent="0.25"/>
    <row r="266909" s="12" customFormat="1" x14ac:dyDescent="0.25"/>
    <row r="266910" s="12" customFormat="1" x14ac:dyDescent="0.25"/>
    <row r="266911" s="12" customFormat="1" x14ac:dyDescent="0.25"/>
    <row r="266912" s="12" customFormat="1" x14ac:dyDescent="0.25"/>
    <row r="266913" s="12" customFormat="1" x14ac:dyDescent="0.25"/>
    <row r="266914" s="12" customFormat="1" x14ac:dyDescent="0.25"/>
    <row r="266915" s="12" customFormat="1" x14ac:dyDescent="0.25"/>
    <row r="266916" s="12" customFormat="1" x14ac:dyDescent="0.25"/>
    <row r="266917" s="12" customFormat="1" x14ac:dyDescent="0.25"/>
    <row r="266918" s="12" customFormat="1" x14ac:dyDescent="0.25"/>
    <row r="266919" s="12" customFormat="1" x14ac:dyDescent="0.25"/>
    <row r="266920" s="12" customFormat="1" x14ac:dyDescent="0.25"/>
    <row r="266921" s="12" customFormat="1" x14ac:dyDescent="0.25"/>
    <row r="266922" s="12" customFormat="1" x14ac:dyDescent="0.25"/>
    <row r="266923" s="12" customFormat="1" x14ac:dyDescent="0.25"/>
    <row r="266924" s="12" customFormat="1" x14ac:dyDescent="0.25"/>
    <row r="266925" s="12" customFormat="1" x14ac:dyDescent="0.25"/>
    <row r="266926" s="12" customFormat="1" x14ac:dyDescent="0.25"/>
    <row r="266927" s="12" customFormat="1" x14ac:dyDescent="0.25"/>
    <row r="266928" s="12" customFormat="1" x14ac:dyDescent="0.25"/>
    <row r="266929" s="12" customFormat="1" x14ac:dyDescent="0.25"/>
    <row r="266930" s="12" customFormat="1" x14ac:dyDescent="0.25"/>
    <row r="266931" s="12" customFormat="1" x14ac:dyDescent="0.25"/>
    <row r="266932" s="12" customFormat="1" x14ac:dyDescent="0.25"/>
    <row r="266933" s="12" customFormat="1" x14ac:dyDescent="0.25"/>
    <row r="266934" s="12" customFormat="1" x14ac:dyDescent="0.25"/>
    <row r="266935" s="12" customFormat="1" x14ac:dyDescent="0.25"/>
    <row r="266936" s="12" customFormat="1" x14ac:dyDescent="0.25"/>
    <row r="266937" s="12" customFormat="1" x14ac:dyDescent="0.25"/>
    <row r="266938" s="12" customFormat="1" x14ac:dyDescent="0.25"/>
    <row r="266939" s="12" customFormat="1" x14ac:dyDescent="0.25"/>
    <row r="266940" s="12" customFormat="1" x14ac:dyDescent="0.25"/>
    <row r="266941" s="12" customFormat="1" x14ac:dyDescent="0.25"/>
    <row r="266942" s="12" customFormat="1" x14ac:dyDescent="0.25"/>
    <row r="266943" s="12" customFormat="1" x14ac:dyDescent="0.25"/>
    <row r="266944" s="12" customFormat="1" x14ac:dyDescent="0.25"/>
    <row r="266945" s="12" customFormat="1" x14ac:dyDescent="0.25"/>
    <row r="266946" s="12" customFormat="1" x14ac:dyDescent="0.25"/>
    <row r="266947" s="12" customFormat="1" x14ac:dyDescent="0.25"/>
    <row r="266948" s="12" customFormat="1" x14ac:dyDescent="0.25"/>
    <row r="266949" s="12" customFormat="1" x14ac:dyDescent="0.25"/>
    <row r="266950" s="12" customFormat="1" x14ac:dyDescent="0.25"/>
    <row r="266951" s="12" customFormat="1" x14ac:dyDescent="0.25"/>
    <row r="266952" s="12" customFormat="1" x14ac:dyDescent="0.25"/>
    <row r="266953" s="12" customFormat="1" x14ac:dyDescent="0.25"/>
    <row r="266954" s="12" customFormat="1" x14ac:dyDescent="0.25"/>
    <row r="266955" s="12" customFormat="1" x14ac:dyDescent="0.25"/>
    <row r="266956" s="12" customFormat="1" x14ac:dyDescent="0.25"/>
    <row r="266957" s="12" customFormat="1" x14ac:dyDescent="0.25"/>
    <row r="266958" s="12" customFormat="1" x14ac:dyDescent="0.25"/>
    <row r="266959" s="12" customFormat="1" x14ac:dyDescent="0.25"/>
    <row r="266960" s="12" customFormat="1" x14ac:dyDescent="0.25"/>
    <row r="266961" s="12" customFormat="1" x14ac:dyDescent="0.25"/>
    <row r="266962" s="12" customFormat="1" x14ac:dyDescent="0.25"/>
    <row r="266963" s="12" customFormat="1" x14ac:dyDescent="0.25"/>
    <row r="266964" s="12" customFormat="1" x14ac:dyDescent="0.25"/>
    <row r="266965" s="12" customFormat="1" x14ac:dyDescent="0.25"/>
    <row r="266966" s="12" customFormat="1" x14ac:dyDescent="0.25"/>
    <row r="266967" s="12" customFormat="1" x14ac:dyDescent="0.25"/>
    <row r="266968" s="12" customFormat="1" x14ac:dyDescent="0.25"/>
    <row r="266969" s="12" customFormat="1" x14ac:dyDescent="0.25"/>
    <row r="266970" s="12" customFormat="1" x14ac:dyDescent="0.25"/>
    <row r="266971" s="12" customFormat="1" x14ac:dyDescent="0.25"/>
    <row r="266972" s="12" customFormat="1" x14ac:dyDescent="0.25"/>
    <row r="266973" s="12" customFormat="1" x14ac:dyDescent="0.25"/>
    <row r="266974" s="12" customFormat="1" x14ac:dyDescent="0.25"/>
    <row r="266975" s="12" customFormat="1" x14ac:dyDescent="0.25"/>
    <row r="266976" s="12" customFormat="1" x14ac:dyDescent="0.25"/>
    <row r="266977" s="12" customFormat="1" x14ac:dyDescent="0.25"/>
    <row r="266978" s="12" customFormat="1" x14ac:dyDescent="0.25"/>
    <row r="266979" s="12" customFormat="1" x14ac:dyDescent="0.25"/>
    <row r="266980" s="12" customFormat="1" x14ac:dyDescent="0.25"/>
    <row r="266981" s="12" customFormat="1" x14ac:dyDescent="0.25"/>
    <row r="266982" s="12" customFormat="1" x14ac:dyDescent="0.25"/>
    <row r="266983" s="12" customFormat="1" x14ac:dyDescent="0.25"/>
    <row r="266984" s="12" customFormat="1" x14ac:dyDescent="0.25"/>
    <row r="266985" s="12" customFormat="1" x14ac:dyDescent="0.25"/>
    <row r="266986" s="12" customFormat="1" x14ac:dyDescent="0.25"/>
    <row r="266987" s="12" customFormat="1" x14ac:dyDescent="0.25"/>
    <row r="266988" s="12" customFormat="1" x14ac:dyDescent="0.25"/>
    <row r="266989" s="12" customFormat="1" x14ac:dyDescent="0.25"/>
    <row r="266990" s="12" customFormat="1" x14ac:dyDescent="0.25"/>
    <row r="266991" s="12" customFormat="1" x14ac:dyDescent="0.25"/>
    <row r="266992" s="12" customFormat="1" x14ac:dyDescent="0.25"/>
    <row r="266993" s="12" customFormat="1" x14ac:dyDescent="0.25"/>
    <row r="266994" s="12" customFormat="1" x14ac:dyDescent="0.25"/>
    <row r="266995" s="12" customFormat="1" x14ac:dyDescent="0.25"/>
    <row r="266996" s="12" customFormat="1" x14ac:dyDescent="0.25"/>
    <row r="266997" s="12" customFormat="1" x14ac:dyDescent="0.25"/>
    <row r="266998" s="12" customFormat="1" x14ac:dyDescent="0.25"/>
    <row r="266999" s="12" customFormat="1" x14ac:dyDescent="0.25"/>
    <row r="267000" s="12" customFormat="1" x14ac:dyDescent="0.25"/>
    <row r="267001" s="12" customFormat="1" x14ac:dyDescent="0.25"/>
    <row r="267002" s="12" customFormat="1" x14ac:dyDescent="0.25"/>
    <row r="267003" s="12" customFormat="1" x14ac:dyDescent="0.25"/>
    <row r="267004" s="12" customFormat="1" x14ac:dyDescent="0.25"/>
    <row r="267005" s="12" customFormat="1" x14ac:dyDescent="0.25"/>
    <row r="267006" s="12" customFormat="1" x14ac:dyDescent="0.25"/>
    <row r="267007" s="12" customFormat="1" x14ac:dyDescent="0.25"/>
    <row r="267008" s="12" customFormat="1" x14ac:dyDescent="0.25"/>
    <row r="267009" s="12" customFormat="1" x14ac:dyDescent="0.25"/>
    <row r="267010" s="12" customFormat="1" x14ac:dyDescent="0.25"/>
    <row r="267011" s="12" customFormat="1" x14ac:dyDescent="0.25"/>
    <row r="267012" s="12" customFormat="1" x14ac:dyDescent="0.25"/>
    <row r="267013" s="12" customFormat="1" x14ac:dyDescent="0.25"/>
    <row r="267014" s="12" customFormat="1" x14ac:dyDescent="0.25"/>
    <row r="267015" s="12" customFormat="1" x14ac:dyDescent="0.25"/>
    <row r="267016" s="12" customFormat="1" x14ac:dyDescent="0.25"/>
    <row r="267017" s="12" customFormat="1" x14ac:dyDescent="0.25"/>
    <row r="267018" s="12" customFormat="1" x14ac:dyDescent="0.25"/>
    <row r="267019" s="12" customFormat="1" x14ac:dyDescent="0.25"/>
    <row r="267020" s="12" customFormat="1" x14ac:dyDescent="0.25"/>
    <row r="267021" s="12" customFormat="1" x14ac:dyDescent="0.25"/>
    <row r="267022" s="12" customFormat="1" x14ac:dyDescent="0.25"/>
    <row r="267023" s="12" customFormat="1" x14ac:dyDescent="0.25"/>
    <row r="267024" s="12" customFormat="1" x14ac:dyDescent="0.25"/>
    <row r="267025" s="12" customFormat="1" x14ac:dyDescent="0.25"/>
    <row r="267026" s="12" customFormat="1" x14ac:dyDescent="0.25"/>
    <row r="267027" s="12" customFormat="1" x14ac:dyDescent="0.25"/>
    <row r="267028" s="12" customFormat="1" x14ac:dyDescent="0.25"/>
    <row r="267029" s="12" customFormat="1" x14ac:dyDescent="0.25"/>
    <row r="267030" s="12" customFormat="1" x14ac:dyDescent="0.25"/>
    <row r="267031" s="12" customFormat="1" x14ac:dyDescent="0.25"/>
    <row r="267032" s="12" customFormat="1" x14ac:dyDescent="0.25"/>
    <row r="267033" s="12" customFormat="1" x14ac:dyDescent="0.25"/>
    <row r="267034" s="12" customFormat="1" x14ac:dyDescent="0.25"/>
    <row r="267035" s="12" customFormat="1" x14ac:dyDescent="0.25"/>
    <row r="267036" s="12" customFormat="1" x14ac:dyDescent="0.25"/>
    <row r="267037" s="12" customFormat="1" x14ac:dyDescent="0.25"/>
    <row r="267038" s="12" customFormat="1" x14ac:dyDescent="0.25"/>
    <row r="267039" s="12" customFormat="1" x14ac:dyDescent="0.25"/>
    <row r="267040" s="12" customFormat="1" x14ac:dyDescent="0.25"/>
    <row r="267041" s="12" customFormat="1" x14ac:dyDescent="0.25"/>
    <row r="267042" s="12" customFormat="1" x14ac:dyDescent="0.25"/>
    <row r="267043" s="12" customFormat="1" x14ac:dyDescent="0.25"/>
    <row r="267044" s="12" customFormat="1" x14ac:dyDescent="0.25"/>
    <row r="267045" s="12" customFormat="1" x14ac:dyDescent="0.25"/>
    <row r="267046" s="12" customFormat="1" x14ac:dyDescent="0.25"/>
    <row r="267047" s="12" customFormat="1" x14ac:dyDescent="0.25"/>
    <row r="267048" s="12" customFormat="1" x14ac:dyDescent="0.25"/>
    <row r="267049" s="12" customFormat="1" x14ac:dyDescent="0.25"/>
    <row r="267050" s="12" customFormat="1" x14ac:dyDescent="0.25"/>
    <row r="267051" s="12" customFormat="1" x14ac:dyDescent="0.25"/>
    <row r="267052" s="12" customFormat="1" x14ac:dyDescent="0.25"/>
    <row r="267053" s="12" customFormat="1" x14ac:dyDescent="0.25"/>
    <row r="267054" s="12" customFormat="1" x14ac:dyDescent="0.25"/>
    <row r="267055" s="12" customFormat="1" x14ac:dyDescent="0.25"/>
    <row r="267056" s="12" customFormat="1" x14ac:dyDescent="0.25"/>
    <row r="267057" s="12" customFormat="1" x14ac:dyDescent="0.25"/>
    <row r="267058" s="12" customFormat="1" x14ac:dyDescent="0.25"/>
    <row r="267059" s="12" customFormat="1" x14ac:dyDescent="0.25"/>
    <row r="267060" s="12" customFormat="1" x14ac:dyDescent="0.25"/>
    <row r="267061" s="12" customFormat="1" x14ac:dyDescent="0.25"/>
    <row r="267062" s="12" customFormat="1" x14ac:dyDescent="0.25"/>
    <row r="267063" s="12" customFormat="1" x14ac:dyDescent="0.25"/>
    <row r="267064" s="12" customFormat="1" x14ac:dyDescent="0.25"/>
    <row r="267065" s="12" customFormat="1" x14ac:dyDescent="0.25"/>
    <row r="267066" s="12" customFormat="1" x14ac:dyDescent="0.25"/>
    <row r="267067" s="12" customFormat="1" x14ac:dyDescent="0.25"/>
    <row r="267068" s="12" customFormat="1" x14ac:dyDescent="0.25"/>
    <row r="267069" s="12" customFormat="1" x14ac:dyDescent="0.25"/>
    <row r="267070" s="12" customFormat="1" x14ac:dyDescent="0.25"/>
    <row r="267071" s="12" customFormat="1" x14ac:dyDescent="0.25"/>
    <row r="267072" s="12" customFormat="1" x14ac:dyDescent="0.25"/>
    <row r="267073" s="12" customFormat="1" x14ac:dyDescent="0.25"/>
    <row r="267074" s="12" customFormat="1" x14ac:dyDescent="0.25"/>
    <row r="267075" s="12" customFormat="1" x14ac:dyDescent="0.25"/>
    <row r="267076" s="12" customFormat="1" x14ac:dyDescent="0.25"/>
    <row r="267077" s="12" customFormat="1" x14ac:dyDescent="0.25"/>
    <row r="267078" s="12" customFormat="1" x14ac:dyDescent="0.25"/>
    <row r="267079" s="12" customFormat="1" x14ac:dyDescent="0.25"/>
    <row r="267080" s="12" customFormat="1" x14ac:dyDescent="0.25"/>
    <row r="267081" s="12" customFormat="1" x14ac:dyDescent="0.25"/>
    <row r="267082" s="12" customFormat="1" x14ac:dyDescent="0.25"/>
    <row r="267083" s="12" customFormat="1" x14ac:dyDescent="0.25"/>
    <row r="267084" s="12" customFormat="1" x14ac:dyDescent="0.25"/>
    <row r="267085" s="12" customFormat="1" x14ac:dyDescent="0.25"/>
    <row r="267086" s="12" customFormat="1" x14ac:dyDescent="0.25"/>
    <row r="267087" s="12" customFormat="1" x14ac:dyDescent="0.25"/>
    <row r="267088" s="12" customFormat="1" x14ac:dyDescent="0.25"/>
    <row r="267089" s="12" customFormat="1" x14ac:dyDescent="0.25"/>
    <row r="267090" s="12" customFormat="1" x14ac:dyDescent="0.25"/>
    <row r="267091" s="12" customFormat="1" x14ac:dyDescent="0.25"/>
    <row r="267092" s="12" customFormat="1" x14ac:dyDescent="0.25"/>
    <row r="267093" s="12" customFormat="1" x14ac:dyDescent="0.25"/>
    <row r="267094" s="12" customFormat="1" x14ac:dyDescent="0.25"/>
    <row r="267095" s="12" customFormat="1" x14ac:dyDescent="0.25"/>
    <row r="267096" s="12" customFormat="1" x14ac:dyDescent="0.25"/>
    <row r="267097" s="12" customFormat="1" x14ac:dyDescent="0.25"/>
    <row r="267098" s="12" customFormat="1" x14ac:dyDescent="0.25"/>
    <row r="267099" s="12" customFormat="1" x14ac:dyDescent="0.25"/>
    <row r="267100" s="12" customFormat="1" x14ac:dyDescent="0.25"/>
    <row r="267101" s="12" customFormat="1" x14ac:dyDescent="0.25"/>
    <row r="267102" s="12" customFormat="1" x14ac:dyDescent="0.25"/>
    <row r="267103" s="12" customFormat="1" x14ac:dyDescent="0.25"/>
    <row r="267104" s="12" customFormat="1" x14ac:dyDescent="0.25"/>
    <row r="267105" s="12" customFormat="1" x14ac:dyDescent="0.25"/>
    <row r="267106" s="12" customFormat="1" x14ac:dyDescent="0.25"/>
    <row r="267107" s="12" customFormat="1" x14ac:dyDescent="0.25"/>
    <row r="267108" s="12" customFormat="1" x14ac:dyDescent="0.25"/>
    <row r="267109" s="12" customFormat="1" x14ac:dyDescent="0.25"/>
    <row r="267110" s="12" customFormat="1" x14ac:dyDescent="0.25"/>
    <row r="267111" s="12" customFormat="1" x14ac:dyDescent="0.25"/>
    <row r="267112" s="12" customFormat="1" x14ac:dyDescent="0.25"/>
    <row r="267113" s="12" customFormat="1" x14ac:dyDescent="0.25"/>
    <row r="267114" s="12" customFormat="1" x14ac:dyDescent="0.25"/>
    <row r="267115" s="12" customFormat="1" x14ac:dyDescent="0.25"/>
    <row r="267116" s="12" customFormat="1" x14ac:dyDescent="0.25"/>
    <row r="267117" s="12" customFormat="1" x14ac:dyDescent="0.25"/>
    <row r="267118" s="12" customFormat="1" x14ac:dyDescent="0.25"/>
    <row r="267119" s="12" customFormat="1" x14ac:dyDescent="0.25"/>
    <row r="267120" s="12" customFormat="1" x14ac:dyDescent="0.25"/>
    <row r="267121" s="12" customFormat="1" x14ac:dyDescent="0.25"/>
    <row r="267122" s="12" customFormat="1" x14ac:dyDescent="0.25"/>
    <row r="267123" s="12" customFormat="1" x14ac:dyDescent="0.25"/>
    <row r="267124" s="12" customFormat="1" x14ac:dyDescent="0.25"/>
    <row r="267125" s="12" customFormat="1" x14ac:dyDescent="0.25"/>
    <row r="267126" s="12" customFormat="1" x14ac:dyDescent="0.25"/>
    <row r="267127" s="12" customFormat="1" x14ac:dyDescent="0.25"/>
    <row r="267128" s="12" customFormat="1" x14ac:dyDescent="0.25"/>
    <row r="267129" s="12" customFormat="1" x14ac:dyDescent="0.25"/>
    <row r="267130" s="12" customFormat="1" x14ac:dyDescent="0.25"/>
    <row r="267131" s="12" customFormat="1" x14ac:dyDescent="0.25"/>
    <row r="267132" s="12" customFormat="1" x14ac:dyDescent="0.25"/>
    <row r="267133" s="12" customFormat="1" x14ac:dyDescent="0.25"/>
    <row r="267134" s="12" customFormat="1" x14ac:dyDescent="0.25"/>
    <row r="267135" s="12" customFormat="1" x14ac:dyDescent="0.25"/>
    <row r="267136" s="12" customFormat="1" x14ac:dyDescent="0.25"/>
    <row r="267137" s="12" customFormat="1" x14ac:dyDescent="0.25"/>
    <row r="267138" s="12" customFormat="1" x14ac:dyDescent="0.25"/>
    <row r="267139" s="12" customFormat="1" x14ac:dyDescent="0.25"/>
    <row r="267140" s="12" customFormat="1" x14ac:dyDescent="0.25"/>
    <row r="267141" s="12" customFormat="1" x14ac:dyDescent="0.25"/>
    <row r="267142" s="12" customFormat="1" x14ac:dyDescent="0.25"/>
    <row r="267143" s="12" customFormat="1" x14ac:dyDescent="0.25"/>
    <row r="267144" s="12" customFormat="1" x14ac:dyDescent="0.25"/>
    <row r="267145" s="12" customFormat="1" x14ac:dyDescent="0.25"/>
    <row r="267146" s="12" customFormat="1" x14ac:dyDescent="0.25"/>
    <row r="267147" s="12" customFormat="1" x14ac:dyDescent="0.25"/>
    <row r="267148" s="12" customFormat="1" x14ac:dyDescent="0.25"/>
    <row r="267149" s="12" customFormat="1" x14ac:dyDescent="0.25"/>
    <row r="267150" s="12" customFormat="1" x14ac:dyDescent="0.25"/>
    <row r="267151" s="12" customFormat="1" x14ac:dyDescent="0.25"/>
    <row r="267152" s="12" customFormat="1" x14ac:dyDescent="0.25"/>
    <row r="267153" s="12" customFormat="1" x14ac:dyDescent="0.25"/>
    <row r="267154" s="12" customFormat="1" x14ac:dyDescent="0.25"/>
    <row r="267155" s="12" customFormat="1" x14ac:dyDescent="0.25"/>
    <row r="267156" s="12" customFormat="1" x14ac:dyDescent="0.25"/>
    <row r="267157" s="12" customFormat="1" x14ac:dyDescent="0.25"/>
    <row r="267158" s="12" customFormat="1" x14ac:dyDescent="0.25"/>
    <row r="267159" s="12" customFormat="1" x14ac:dyDescent="0.25"/>
    <row r="267160" s="12" customFormat="1" x14ac:dyDescent="0.25"/>
    <row r="267161" s="12" customFormat="1" x14ac:dyDescent="0.25"/>
    <row r="267162" s="12" customFormat="1" x14ac:dyDescent="0.25"/>
    <row r="267163" s="12" customFormat="1" x14ac:dyDescent="0.25"/>
    <row r="267164" s="12" customFormat="1" x14ac:dyDescent="0.25"/>
    <row r="267165" s="12" customFormat="1" x14ac:dyDescent="0.25"/>
    <row r="267166" s="12" customFormat="1" x14ac:dyDescent="0.25"/>
    <row r="267167" s="12" customFormat="1" x14ac:dyDescent="0.25"/>
    <row r="267168" s="12" customFormat="1" x14ac:dyDescent="0.25"/>
    <row r="267169" s="12" customFormat="1" x14ac:dyDescent="0.25"/>
    <row r="267170" s="12" customFormat="1" x14ac:dyDescent="0.25"/>
    <row r="267171" s="12" customFormat="1" x14ac:dyDescent="0.25"/>
    <row r="267172" s="12" customFormat="1" x14ac:dyDescent="0.25"/>
    <row r="267173" s="12" customFormat="1" x14ac:dyDescent="0.25"/>
    <row r="267174" s="12" customFormat="1" x14ac:dyDescent="0.25"/>
    <row r="267175" s="12" customFormat="1" x14ac:dyDescent="0.25"/>
    <row r="267176" s="12" customFormat="1" x14ac:dyDescent="0.25"/>
    <row r="267177" s="12" customFormat="1" x14ac:dyDescent="0.25"/>
    <row r="267178" s="12" customFormat="1" x14ac:dyDescent="0.25"/>
    <row r="267179" s="12" customFormat="1" x14ac:dyDescent="0.25"/>
    <row r="267180" s="12" customFormat="1" x14ac:dyDescent="0.25"/>
    <row r="267181" s="12" customFormat="1" x14ac:dyDescent="0.25"/>
    <row r="267182" s="12" customFormat="1" x14ac:dyDescent="0.25"/>
    <row r="267183" s="12" customFormat="1" x14ac:dyDescent="0.25"/>
    <row r="267184" s="12" customFormat="1" x14ac:dyDescent="0.25"/>
    <row r="267185" s="12" customFormat="1" x14ac:dyDescent="0.25"/>
    <row r="267186" s="12" customFormat="1" x14ac:dyDescent="0.25"/>
    <row r="267187" s="12" customFormat="1" x14ac:dyDescent="0.25"/>
    <row r="267188" s="12" customFormat="1" x14ac:dyDescent="0.25"/>
    <row r="267189" s="12" customFormat="1" x14ac:dyDescent="0.25"/>
    <row r="267190" s="12" customFormat="1" x14ac:dyDescent="0.25"/>
    <row r="267191" s="12" customFormat="1" x14ac:dyDescent="0.25"/>
    <row r="267192" s="12" customFormat="1" x14ac:dyDescent="0.25"/>
    <row r="267193" s="12" customFormat="1" x14ac:dyDescent="0.25"/>
    <row r="267194" s="12" customFormat="1" x14ac:dyDescent="0.25"/>
    <row r="267195" s="12" customFormat="1" x14ac:dyDescent="0.25"/>
    <row r="267196" s="12" customFormat="1" x14ac:dyDescent="0.25"/>
    <row r="267197" s="12" customFormat="1" x14ac:dyDescent="0.25"/>
    <row r="267198" s="12" customFormat="1" x14ac:dyDescent="0.25"/>
    <row r="267199" s="12" customFormat="1" x14ac:dyDescent="0.25"/>
    <row r="267200" s="12" customFormat="1" x14ac:dyDescent="0.25"/>
    <row r="267201" s="12" customFormat="1" x14ac:dyDescent="0.25"/>
    <row r="267202" s="12" customFormat="1" x14ac:dyDescent="0.25"/>
    <row r="267203" s="12" customFormat="1" x14ac:dyDescent="0.25"/>
    <row r="267204" s="12" customFormat="1" x14ac:dyDescent="0.25"/>
    <row r="267205" s="12" customFormat="1" x14ac:dyDescent="0.25"/>
    <row r="267206" s="12" customFormat="1" x14ac:dyDescent="0.25"/>
    <row r="267207" s="12" customFormat="1" x14ac:dyDescent="0.25"/>
    <row r="267208" s="12" customFormat="1" x14ac:dyDescent="0.25"/>
    <row r="267209" s="12" customFormat="1" x14ac:dyDescent="0.25"/>
    <row r="267210" s="12" customFormat="1" x14ac:dyDescent="0.25"/>
    <row r="267211" s="12" customFormat="1" x14ac:dyDescent="0.25"/>
    <row r="267212" s="12" customFormat="1" x14ac:dyDescent="0.25"/>
    <row r="267213" s="12" customFormat="1" x14ac:dyDescent="0.25"/>
    <row r="267214" s="12" customFormat="1" x14ac:dyDescent="0.25"/>
    <row r="267215" s="12" customFormat="1" x14ac:dyDescent="0.25"/>
    <row r="267216" s="12" customFormat="1" x14ac:dyDescent="0.25"/>
    <row r="267217" s="12" customFormat="1" x14ac:dyDescent="0.25"/>
    <row r="267218" s="12" customFormat="1" x14ac:dyDescent="0.25"/>
    <row r="267219" s="12" customFormat="1" x14ac:dyDescent="0.25"/>
    <row r="267220" s="12" customFormat="1" x14ac:dyDescent="0.25"/>
    <row r="267221" s="12" customFormat="1" x14ac:dyDescent="0.25"/>
    <row r="267222" s="12" customFormat="1" x14ac:dyDescent="0.25"/>
    <row r="267223" s="12" customFormat="1" x14ac:dyDescent="0.25"/>
    <row r="267224" s="12" customFormat="1" x14ac:dyDescent="0.25"/>
    <row r="267225" s="12" customFormat="1" x14ac:dyDescent="0.25"/>
    <row r="267226" s="12" customFormat="1" x14ac:dyDescent="0.25"/>
    <row r="267227" s="12" customFormat="1" x14ac:dyDescent="0.25"/>
    <row r="267228" s="12" customFormat="1" x14ac:dyDescent="0.25"/>
    <row r="267229" s="12" customFormat="1" x14ac:dyDescent="0.25"/>
    <row r="267230" s="12" customFormat="1" x14ac:dyDescent="0.25"/>
    <row r="267231" s="12" customFormat="1" x14ac:dyDescent="0.25"/>
    <row r="267232" s="12" customFormat="1" x14ac:dyDescent="0.25"/>
    <row r="267233" s="12" customFormat="1" x14ac:dyDescent="0.25"/>
    <row r="267234" s="12" customFormat="1" x14ac:dyDescent="0.25"/>
    <row r="267235" s="12" customFormat="1" x14ac:dyDescent="0.25"/>
    <row r="267236" s="12" customFormat="1" x14ac:dyDescent="0.25"/>
    <row r="267237" s="12" customFormat="1" x14ac:dyDescent="0.25"/>
    <row r="267238" s="12" customFormat="1" x14ac:dyDescent="0.25"/>
    <row r="267239" s="12" customFormat="1" x14ac:dyDescent="0.25"/>
    <row r="267240" s="12" customFormat="1" x14ac:dyDescent="0.25"/>
    <row r="267241" s="12" customFormat="1" x14ac:dyDescent="0.25"/>
    <row r="267242" s="12" customFormat="1" x14ac:dyDescent="0.25"/>
    <row r="267243" s="12" customFormat="1" x14ac:dyDescent="0.25"/>
    <row r="267244" s="12" customFormat="1" x14ac:dyDescent="0.25"/>
    <row r="267245" s="12" customFormat="1" x14ac:dyDescent="0.25"/>
    <row r="267246" s="12" customFormat="1" x14ac:dyDescent="0.25"/>
    <row r="267247" s="12" customFormat="1" x14ac:dyDescent="0.25"/>
    <row r="267248" s="12" customFormat="1" x14ac:dyDescent="0.25"/>
    <row r="267249" s="12" customFormat="1" x14ac:dyDescent="0.25"/>
    <row r="267250" s="12" customFormat="1" x14ac:dyDescent="0.25"/>
    <row r="267251" s="12" customFormat="1" x14ac:dyDescent="0.25"/>
    <row r="267252" s="12" customFormat="1" x14ac:dyDescent="0.25"/>
    <row r="267253" s="12" customFormat="1" x14ac:dyDescent="0.25"/>
    <row r="267254" s="12" customFormat="1" x14ac:dyDescent="0.25"/>
    <row r="267255" s="12" customFormat="1" x14ac:dyDescent="0.25"/>
    <row r="267256" s="12" customFormat="1" x14ac:dyDescent="0.25"/>
    <row r="267257" s="12" customFormat="1" x14ac:dyDescent="0.25"/>
    <row r="267258" s="12" customFormat="1" x14ac:dyDescent="0.25"/>
    <row r="267259" s="12" customFormat="1" x14ac:dyDescent="0.25"/>
    <row r="267260" s="12" customFormat="1" x14ac:dyDescent="0.25"/>
    <row r="267261" s="12" customFormat="1" x14ac:dyDescent="0.25"/>
    <row r="267262" s="12" customFormat="1" x14ac:dyDescent="0.25"/>
    <row r="267263" s="12" customFormat="1" x14ac:dyDescent="0.25"/>
    <row r="267264" s="12" customFormat="1" x14ac:dyDescent="0.25"/>
    <row r="267265" s="12" customFormat="1" x14ac:dyDescent="0.25"/>
    <row r="267266" s="12" customFormat="1" x14ac:dyDescent="0.25"/>
    <row r="267267" s="12" customFormat="1" x14ac:dyDescent="0.25"/>
    <row r="267268" s="12" customFormat="1" x14ac:dyDescent="0.25"/>
    <row r="267269" s="12" customFormat="1" x14ac:dyDescent="0.25"/>
    <row r="267270" s="12" customFormat="1" x14ac:dyDescent="0.25"/>
    <row r="267271" s="12" customFormat="1" x14ac:dyDescent="0.25"/>
    <row r="267272" s="12" customFormat="1" x14ac:dyDescent="0.25"/>
    <row r="267273" s="12" customFormat="1" x14ac:dyDescent="0.25"/>
    <row r="267274" s="12" customFormat="1" x14ac:dyDescent="0.25"/>
    <row r="267275" s="12" customFormat="1" x14ac:dyDescent="0.25"/>
    <row r="267276" s="12" customFormat="1" x14ac:dyDescent="0.25"/>
    <row r="267277" s="12" customFormat="1" x14ac:dyDescent="0.25"/>
    <row r="267278" s="12" customFormat="1" x14ac:dyDescent="0.25"/>
    <row r="267279" s="12" customFormat="1" x14ac:dyDescent="0.25"/>
    <row r="267280" s="12" customFormat="1" x14ac:dyDescent="0.25"/>
    <row r="267281" s="12" customFormat="1" x14ac:dyDescent="0.25"/>
    <row r="267282" s="12" customFormat="1" x14ac:dyDescent="0.25"/>
    <row r="267283" s="12" customFormat="1" x14ac:dyDescent="0.25"/>
    <row r="267284" s="12" customFormat="1" x14ac:dyDescent="0.25"/>
    <row r="267285" s="12" customFormat="1" x14ac:dyDescent="0.25"/>
    <row r="267286" s="12" customFormat="1" x14ac:dyDescent="0.25"/>
    <row r="267287" s="12" customFormat="1" x14ac:dyDescent="0.25"/>
    <row r="267288" s="12" customFormat="1" x14ac:dyDescent="0.25"/>
    <row r="267289" s="12" customFormat="1" x14ac:dyDescent="0.25"/>
    <row r="267290" s="12" customFormat="1" x14ac:dyDescent="0.25"/>
    <row r="267291" s="12" customFormat="1" x14ac:dyDescent="0.25"/>
    <row r="267292" s="12" customFormat="1" x14ac:dyDescent="0.25"/>
    <row r="267293" s="12" customFormat="1" x14ac:dyDescent="0.25"/>
    <row r="267294" s="12" customFormat="1" x14ac:dyDescent="0.25"/>
    <row r="267295" s="12" customFormat="1" x14ac:dyDescent="0.25"/>
    <row r="267296" s="12" customFormat="1" x14ac:dyDescent="0.25"/>
    <row r="267297" s="12" customFormat="1" x14ac:dyDescent="0.25"/>
    <row r="267298" s="12" customFormat="1" x14ac:dyDescent="0.25"/>
    <row r="267299" s="12" customFormat="1" x14ac:dyDescent="0.25"/>
    <row r="267300" s="12" customFormat="1" x14ac:dyDescent="0.25"/>
    <row r="267301" s="12" customFormat="1" x14ac:dyDescent="0.25"/>
    <row r="267302" s="12" customFormat="1" x14ac:dyDescent="0.25"/>
    <row r="267303" s="12" customFormat="1" x14ac:dyDescent="0.25"/>
    <row r="267304" s="12" customFormat="1" x14ac:dyDescent="0.25"/>
    <row r="267305" s="12" customFormat="1" x14ac:dyDescent="0.25"/>
    <row r="267306" s="12" customFormat="1" x14ac:dyDescent="0.25"/>
    <row r="267307" s="12" customFormat="1" x14ac:dyDescent="0.25"/>
    <row r="267308" s="12" customFormat="1" x14ac:dyDescent="0.25"/>
    <row r="267309" s="12" customFormat="1" x14ac:dyDescent="0.25"/>
    <row r="267310" s="12" customFormat="1" x14ac:dyDescent="0.25"/>
    <row r="267311" s="12" customFormat="1" x14ac:dyDescent="0.25"/>
    <row r="267312" s="12" customFormat="1" x14ac:dyDescent="0.25"/>
    <row r="267313" s="12" customFormat="1" x14ac:dyDescent="0.25"/>
    <row r="267314" s="12" customFormat="1" x14ac:dyDescent="0.25"/>
    <row r="267315" s="12" customFormat="1" x14ac:dyDescent="0.25"/>
    <row r="267316" s="12" customFormat="1" x14ac:dyDescent="0.25"/>
    <row r="267317" s="12" customFormat="1" x14ac:dyDescent="0.25"/>
    <row r="267318" s="12" customFormat="1" x14ac:dyDescent="0.25"/>
    <row r="267319" s="12" customFormat="1" x14ac:dyDescent="0.25"/>
    <row r="267320" s="12" customFormat="1" x14ac:dyDescent="0.25"/>
    <row r="267321" s="12" customFormat="1" x14ac:dyDescent="0.25"/>
    <row r="267322" s="12" customFormat="1" x14ac:dyDescent="0.25"/>
    <row r="267323" s="12" customFormat="1" x14ac:dyDescent="0.25"/>
    <row r="267324" s="12" customFormat="1" x14ac:dyDescent="0.25"/>
    <row r="267325" s="12" customFormat="1" x14ac:dyDescent="0.25"/>
    <row r="267326" s="12" customFormat="1" x14ac:dyDescent="0.25"/>
    <row r="267327" s="12" customFormat="1" x14ac:dyDescent="0.25"/>
    <row r="267328" s="12" customFormat="1" x14ac:dyDescent="0.25"/>
    <row r="267329" s="12" customFormat="1" x14ac:dyDescent="0.25"/>
    <row r="267330" s="12" customFormat="1" x14ac:dyDescent="0.25"/>
    <row r="267331" s="12" customFormat="1" x14ac:dyDescent="0.25"/>
    <row r="267332" s="12" customFormat="1" x14ac:dyDescent="0.25"/>
    <row r="267333" s="12" customFormat="1" x14ac:dyDescent="0.25"/>
    <row r="267334" s="12" customFormat="1" x14ac:dyDescent="0.25"/>
    <row r="267335" s="12" customFormat="1" x14ac:dyDescent="0.25"/>
    <row r="267336" s="12" customFormat="1" x14ac:dyDescent="0.25"/>
    <row r="267337" s="12" customFormat="1" x14ac:dyDescent="0.25"/>
    <row r="267338" s="12" customFormat="1" x14ac:dyDescent="0.25"/>
    <row r="267339" s="12" customFormat="1" x14ac:dyDescent="0.25"/>
    <row r="267340" s="12" customFormat="1" x14ac:dyDescent="0.25"/>
    <row r="267341" s="12" customFormat="1" x14ac:dyDescent="0.25"/>
    <row r="267342" s="12" customFormat="1" x14ac:dyDescent="0.25"/>
    <row r="267343" s="12" customFormat="1" x14ac:dyDescent="0.25"/>
    <row r="267344" s="12" customFormat="1" x14ac:dyDescent="0.25"/>
    <row r="267345" s="12" customFormat="1" x14ac:dyDescent="0.25"/>
    <row r="267346" s="12" customFormat="1" x14ac:dyDescent="0.25"/>
    <row r="267347" s="12" customFormat="1" x14ac:dyDescent="0.25"/>
    <row r="267348" s="12" customFormat="1" x14ac:dyDescent="0.25"/>
    <row r="267349" s="12" customFormat="1" x14ac:dyDescent="0.25"/>
    <row r="267350" s="12" customFormat="1" x14ac:dyDescent="0.25"/>
    <row r="267351" s="12" customFormat="1" x14ac:dyDescent="0.25"/>
    <row r="267352" s="12" customFormat="1" x14ac:dyDescent="0.25"/>
    <row r="267353" s="12" customFormat="1" x14ac:dyDescent="0.25"/>
    <row r="267354" s="12" customFormat="1" x14ac:dyDescent="0.25"/>
    <row r="267355" s="12" customFormat="1" x14ac:dyDescent="0.25"/>
    <row r="267356" s="12" customFormat="1" x14ac:dyDescent="0.25"/>
    <row r="267357" s="12" customFormat="1" x14ac:dyDescent="0.25"/>
    <row r="267358" s="12" customFormat="1" x14ac:dyDescent="0.25"/>
    <row r="267359" s="12" customFormat="1" x14ac:dyDescent="0.25"/>
    <row r="267360" s="12" customFormat="1" x14ac:dyDescent="0.25"/>
    <row r="267361" s="12" customFormat="1" x14ac:dyDescent="0.25"/>
    <row r="267362" s="12" customFormat="1" x14ac:dyDescent="0.25"/>
    <row r="267363" s="12" customFormat="1" x14ac:dyDescent="0.25"/>
    <row r="267364" s="12" customFormat="1" x14ac:dyDescent="0.25"/>
    <row r="267365" s="12" customFormat="1" x14ac:dyDescent="0.25"/>
    <row r="267366" s="12" customFormat="1" x14ac:dyDescent="0.25"/>
    <row r="267367" s="12" customFormat="1" x14ac:dyDescent="0.25"/>
    <row r="267368" s="12" customFormat="1" x14ac:dyDescent="0.25"/>
    <row r="267369" s="12" customFormat="1" x14ac:dyDescent="0.25"/>
    <row r="267370" s="12" customFormat="1" x14ac:dyDescent="0.25"/>
    <row r="267371" s="12" customFormat="1" x14ac:dyDescent="0.25"/>
    <row r="267372" s="12" customFormat="1" x14ac:dyDescent="0.25"/>
    <row r="267373" s="12" customFormat="1" x14ac:dyDescent="0.25"/>
    <row r="267374" s="12" customFormat="1" x14ac:dyDescent="0.25"/>
    <row r="267375" s="12" customFormat="1" x14ac:dyDescent="0.25"/>
    <row r="267376" s="12" customFormat="1" x14ac:dyDescent="0.25"/>
    <row r="267377" s="12" customFormat="1" x14ac:dyDescent="0.25"/>
    <row r="267378" s="12" customFormat="1" x14ac:dyDescent="0.25"/>
    <row r="267379" s="12" customFormat="1" x14ac:dyDescent="0.25"/>
    <row r="267380" s="12" customFormat="1" x14ac:dyDescent="0.25"/>
    <row r="267381" s="12" customFormat="1" x14ac:dyDescent="0.25"/>
    <row r="267382" s="12" customFormat="1" x14ac:dyDescent="0.25"/>
    <row r="267383" s="12" customFormat="1" x14ac:dyDescent="0.25"/>
    <row r="267384" s="12" customFormat="1" x14ac:dyDescent="0.25"/>
    <row r="267385" s="12" customFormat="1" x14ac:dyDescent="0.25"/>
    <row r="267386" s="12" customFormat="1" x14ac:dyDescent="0.25"/>
    <row r="267387" s="12" customFormat="1" x14ac:dyDescent="0.25"/>
    <row r="267388" s="12" customFormat="1" x14ac:dyDescent="0.25"/>
    <row r="267389" s="12" customFormat="1" x14ac:dyDescent="0.25"/>
    <row r="267390" s="12" customFormat="1" x14ac:dyDescent="0.25"/>
    <row r="267391" s="12" customFormat="1" x14ac:dyDescent="0.25"/>
    <row r="267392" s="12" customFormat="1" x14ac:dyDescent="0.25"/>
    <row r="267393" s="12" customFormat="1" x14ac:dyDescent="0.25"/>
    <row r="267394" s="12" customFormat="1" x14ac:dyDescent="0.25"/>
    <row r="267395" s="12" customFormat="1" x14ac:dyDescent="0.25"/>
    <row r="267396" s="12" customFormat="1" x14ac:dyDescent="0.25"/>
    <row r="267397" s="12" customFormat="1" x14ac:dyDescent="0.25"/>
    <row r="267398" s="12" customFormat="1" x14ac:dyDescent="0.25"/>
    <row r="267399" s="12" customFormat="1" x14ac:dyDescent="0.25"/>
    <row r="267400" s="12" customFormat="1" x14ac:dyDescent="0.25"/>
    <row r="267401" s="12" customFormat="1" x14ac:dyDescent="0.25"/>
    <row r="267402" s="12" customFormat="1" x14ac:dyDescent="0.25"/>
    <row r="267403" s="12" customFormat="1" x14ac:dyDescent="0.25"/>
    <row r="267404" s="12" customFormat="1" x14ac:dyDescent="0.25"/>
    <row r="267405" s="12" customFormat="1" x14ac:dyDescent="0.25"/>
    <row r="267406" s="12" customFormat="1" x14ac:dyDescent="0.25"/>
    <row r="267407" s="12" customFormat="1" x14ac:dyDescent="0.25"/>
    <row r="267408" s="12" customFormat="1" x14ac:dyDescent="0.25"/>
    <row r="267409" s="12" customFormat="1" x14ac:dyDescent="0.25"/>
    <row r="267410" s="12" customFormat="1" x14ac:dyDescent="0.25"/>
    <row r="267411" s="12" customFormat="1" x14ac:dyDescent="0.25"/>
    <row r="267412" s="12" customFormat="1" x14ac:dyDescent="0.25"/>
    <row r="267413" s="12" customFormat="1" x14ac:dyDescent="0.25"/>
    <row r="267414" s="12" customFormat="1" x14ac:dyDescent="0.25"/>
    <row r="267415" s="12" customFormat="1" x14ac:dyDescent="0.25"/>
    <row r="267416" s="12" customFormat="1" x14ac:dyDescent="0.25"/>
    <row r="267417" s="12" customFormat="1" x14ac:dyDescent="0.25"/>
    <row r="267418" s="12" customFormat="1" x14ac:dyDescent="0.25"/>
    <row r="267419" s="12" customFormat="1" x14ac:dyDescent="0.25"/>
    <row r="267420" s="12" customFormat="1" x14ac:dyDescent="0.25"/>
    <row r="267421" s="12" customFormat="1" x14ac:dyDescent="0.25"/>
    <row r="267422" s="12" customFormat="1" x14ac:dyDescent="0.25"/>
    <row r="267423" s="12" customFormat="1" x14ac:dyDescent="0.25"/>
    <row r="267424" s="12" customFormat="1" x14ac:dyDescent="0.25"/>
    <row r="267425" s="12" customFormat="1" x14ac:dyDescent="0.25"/>
    <row r="267426" s="12" customFormat="1" x14ac:dyDescent="0.25"/>
    <row r="267427" s="12" customFormat="1" x14ac:dyDescent="0.25"/>
    <row r="267428" s="12" customFormat="1" x14ac:dyDescent="0.25"/>
    <row r="267429" s="12" customFormat="1" x14ac:dyDescent="0.25"/>
    <row r="267430" s="12" customFormat="1" x14ac:dyDescent="0.25"/>
    <row r="267431" s="12" customFormat="1" x14ac:dyDescent="0.25"/>
    <row r="267432" s="12" customFormat="1" x14ac:dyDescent="0.25"/>
    <row r="267433" s="12" customFormat="1" x14ac:dyDescent="0.25"/>
    <row r="267434" s="12" customFormat="1" x14ac:dyDescent="0.25"/>
    <row r="267435" s="12" customFormat="1" x14ac:dyDescent="0.25"/>
    <row r="267436" s="12" customFormat="1" x14ac:dyDescent="0.25"/>
    <row r="267437" s="12" customFormat="1" x14ac:dyDescent="0.25"/>
    <row r="267438" s="12" customFormat="1" x14ac:dyDescent="0.25"/>
    <row r="267439" s="12" customFormat="1" x14ac:dyDescent="0.25"/>
    <row r="267440" s="12" customFormat="1" x14ac:dyDescent="0.25"/>
    <row r="267441" s="12" customFormat="1" x14ac:dyDescent="0.25"/>
    <row r="267442" s="12" customFormat="1" x14ac:dyDescent="0.25"/>
    <row r="267443" s="12" customFormat="1" x14ac:dyDescent="0.25"/>
    <row r="267444" s="12" customFormat="1" x14ac:dyDescent="0.25"/>
    <row r="267445" s="12" customFormat="1" x14ac:dyDescent="0.25"/>
    <row r="267446" s="12" customFormat="1" x14ac:dyDescent="0.25"/>
    <row r="267447" s="12" customFormat="1" x14ac:dyDescent="0.25"/>
    <row r="267448" s="12" customFormat="1" x14ac:dyDescent="0.25"/>
    <row r="267449" s="12" customFormat="1" x14ac:dyDescent="0.25"/>
    <row r="267450" s="12" customFormat="1" x14ac:dyDescent="0.25"/>
    <row r="267451" s="12" customFormat="1" x14ac:dyDescent="0.25"/>
    <row r="267452" s="12" customFormat="1" x14ac:dyDescent="0.25"/>
    <row r="267453" s="12" customFormat="1" x14ac:dyDescent="0.25"/>
    <row r="267454" s="12" customFormat="1" x14ac:dyDescent="0.25"/>
    <row r="267455" s="12" customFormat="1" x14ac:dyDescent="0.25"/>
    <row r="267456" s="12" customFormat="1" x14ac:dyDescent="0.25"/>
    <row r="267457" s="12" customFormat="1" x14ac:dyDescent="0.25"/>
    <row r="267458" s="12" customFormat="1" x14ac:dyDescent="0.25"/>
    <row r="267459" s="12" customFormat="1" x14ac:dyDescent="0.25"/>
    <row r="267460" s="12" customFormat="1" x14ac:dyDescent="0.25"/>
    <row r="267461" s="12" customFormat="1" x14ac:dyDescent="0.25"/>
    <row r="267462" s="12" customFormat="1" x14ac:dyDescent="0.25"/>
    <row r="267463" s="12" customFormat="1" x14ac:dyDescent="0.25"/>
    <row r="267464" s="12" customFormat="1" x14ac:dyDescent="0.25"/>
    <row r="267465" s="12" customFormat="1" x14ac:dyDescent="0.25"/>
    <row r="267466" s="12" customFormat="1" x14ac:dyDescent="0.25"/>
    <row r="267467" s="12" customFormat="1" x14ac:dyDescent="0.25"/>
    <row r="267468" s="12" customFormat="1" x14ac:dyDescent="0.25"/>
    <row r="267469" s="12" customFormat="1" x14ac:dyDescent="0.25"/>
    <row r="267470" s="12" customFormat="1" x14ac:dyDescent="0.25"/>
    <row r="267471" s="12" customFormat="1" x14ac:dyDescent="0.25"/>
    <row r="267472" s="12" customFormat="1" x14ac:dyDescent="0.25"/>
    <row r="267473" s="12" customFormat="1" x14ac:dyDescent="0.25"/>
    <row r="267474" s="12" customFormat="1" x14ac:dyDescent="0.25"/>
    <row r="267475" s="12" customFormat="1" x14ac:dyDescent="0.25"/>
    <row r="267476" s="12" customFormat="1" x14ac:dyDescent="0.25"/>
    <row r="267477" s="12" customFormat="1" x14ac:dyDescent="0.25"/>
    <row r="267478" s="12" customFormat="1" x14ac:dyDescent="0.25"/>
    <row r="267479" s="12" customFormat="1" x14ac:dyDescent="0.25"/>
    <row r="267480" s="12" customFormat="1" x14ac:dyDescent="0.25"/>
    <row r="267481" s="12" customFormat="1" x14ac:dyDescent="0.25"/>
    <row r="267482" s="12" customFormat="1" x14ac:dyDescent="0.25"/>
    <row r="267483" s="12" customFormat="1" x14ac:dyDescent="0.25"/>
    <row r="267484" s="12" customFormat="1" x14ac:dyDescent="0.25"/>
    <row r="267485" s="12" customFormat="1" x14ac:dyDescent="0.25"/>
    <row r="267486" s="12" customFormat="1" x14ac:dyDescent="0.25"/>
    <row r="267487" s="12" customFormat="1" x14ac:dyDescent="0.25"/>
    <row r="267488" s="12" customFormat="1" x14ac:dyDescent="0.25"/>
    <row r="267489" s="12" customFormat="1" x14ac:dyDescent="0.25"/>
    <row r="267490" s="12" customFormat="1" x14ac:dyDescent="0.25"/>
    <row r="267491" s="12" customFormat="1" x14ac:dyDescent="0.25"/>
    <row r="267492" s="12" customFormat="1" x14ac:dyDescent="0.25"/>
    <row r="267493" s="12" customFormat="1" x14ac:dyDescent="0.25"/>
    <row r="267494" s="12" customFormat="1" x14ac:dyDescent="0.25"/>
    <row r="267495" s="12" customFormat="1" x14ac:dyDescent="0.25"/>
    <row r="267496" s="12" customFormat="1" x14ac:dyDescent="0.25"/>
    <row r="267497" s="12" customFormat="1" x14ac:dyDescent="0.25"/>
    <row r="267498" s="12" customFormat="1" x14ac:dyDescent="0.25"/>
    <row r="267499" s="12" customFormat="1" x14ac:dyDescent="0.25"/>
    <row r="267500" s="12" customFormat="1" x14ac:dyDescent="0.25"/>
    <row r="267501" s="12" customFormat="1" x14ac:dyDescent="0.25"/>
    <row r="267502" s="12" customFormat="1" x14ac:dyDescent="0.25"/>
    <row r="267503" s="12" customFormat="1" x14ac:dyDescent="0.25"/>
    <row r="267504" s="12" customFormat="1" x14ac:dyDescent="0.25"/>
    <row r="267505" s="12" customFormat="1" x14ac:dyDescent="0.25"/>
    <row r="267506" s="12" customFormat="1" x14ac:dyDescent="0.25"/>
    <row r="267507" s="12" customFormat="1" x14ac:dyDescent="0.25"/>
    <row r="267508" s="12" customFormat="1" x14ac:dyDescent="0.25"/>
    <row r="267509" s="12" customFormat="1" x14ac:dyDescent="0.25"/>
    <row r="267510" s="12" customFormat="1" x14ac:dyDescent="0.25"/>
    <row r="267511" s="12" customFormat="1" x14ac:dyDescent="0.25"/>
    <row r="267512" s="12" customFormat="1" x14ac:dyDescent="0.25"/>
    <row r="267513" s="12" customFormat="1" x14ac:dyDescent="0.25"/>
    <row r="267514" s="12" customFormat="1" x14ac:dyDescent="0.25"/>
    <row r="267515" s="12" customFormat="1" x14ac:dyDescent="0.25"/>
    <row r="267516" s="12" customFormat="1" x14ac:dyDescent="0.25"/>
    <row r="267517" s="12" customFormat="1" x14ac:dyDescent="0.25"/>
    <row r="267518" s="12" customFormat="1" x14ac:dyDescent="0.25"/>
    <row r="267519" s="12" customFormat="1" x14ac:dyDescent="0.25"/>
    <row r="267520" s="12" customFormat="1" x14ac:dyDescent="0.25"/>
    <row r="267521" s="12" customFormat="1" x14ac:dyDescent="0.25"/>
    <row r="267522" s="12" customFormat="1" x14ac:dyDescent="0.25"/>
    <row r="267523" s="12" customFormat="1" x14ac:dyDescent="0.25"/>
    <row r="267524" s="12" customFormat="1" x14ac:dyDescent="0.25"/>
    <row r="267525" s="12" customFormat="1" x14ac:dyDescent="0.25"/>
    <row r="267526" s="12" customFormat="1" x14ac:dyDescent="0.25"/>
    <row r="267527" s="12" customFormat="1" x14ac:dyDescent="0.25"/>
    <row r="267528" s="12" customFormat="1" x14ac:dyDescent="0.25"/>
    <row r="267529" s="12" customFormat="1" x14ac:dyDescent="0.25"/>
    <row r="267530" s="12" customFormat="1" x14ac:dyDescent="0.25"/>
    <row r="267531" s="12" customFormat="1" x14ac:dyDescent="0.25"/>
    <row r="267532" s="12" customFormat="1" x14ac:dyDescent="0.25"/>
    <row r="267533" s="12" customFormat="1" x14ac:dyDescent="0.25"/>
    <row r="267534" s="12" customFormat="1" x14ac:dyDescent="0.25"/>
    <row r="267535" s="12" customFormat="1" x14ac:dyDescent="0.25"/>
    <row r="267536" s="12" customFormat="1" x14ac:dyDescent="0.25"/>
    <row r="267537" s="12" customFormat="1" x14ac:dyDescent="0.25"/>
    <row r="267538" s="12" customFormat="1" x14ac:dyDescent="0.25"/>
    <row r="267539" s="12" customFormat="1" x14ac:dyDescent="0.25"/>
    <row r="267540" s="12" customFormat="1" x14ac:dyDescent="0.25"/>
    <row r="267541" s="12" customFormat="1" x14ac:dyDescent="0.25"/>
    <row r="267542" s="12" customFormat="1" x14ac:dyDescent="0.25"/>
    <row r="267543" s="12" customFormat="1" x14ac:dyDescent="0.25"/>
    <row r="267544" s="12" customFormat="1" x14ac:dyDescent="0.25"/>
    <row r="267545" s="12" customFormat="1" x14ac:dyDescent="0.25"/>
    <row r="267546" s="12" customFormat="1" x14ac:dyDescent="0.25"/>
    <row r="267547" s="12" customFormat="1" x14ac:dyDescent="0.25"/>
    <row r="267548" s="12" customFormat="1" x14ac:dyDescent="0.25"/>
    <row r="267549" s="12" customFormat="1" x14ac:dyDescent="0.25"/>
    <row r="267550" s="12" customFormat="1" x14ac:dyDescent="0.25"/>
    <row r="267551" s="12" customFormat="1" x14ac:dyDescent="0.25"/>
    <row r="267552" s="12" customFormat="1" x14ac:dyDescent="0.25"/>
    <row r="267553" s="12" customFormat="1" x14ac:dyDescent="0.25"/>
    <row r="267554" s="12" customFormat="1" x14ac:dyDescent="0.25"/>
    <row r="267555" s="12" customFormat="1" x14ac:dyDescent="0.25"/>
    <row r="267556" s="12" customFormat="1" x14ac:dyDescent="0.25"/>
    <row r="267557" s="12" customFormat="1" x14ac:dyDescent="0.25"/>
    <row r="267558" s="12" customFormat="1" x14ac:dyDescent="0.25"/>
    <row r="267559" s="12" customFormat="1" x14ac:dyDescent="0.25"/>
    <row r="267560" s="12" customFormat="1" x14ac:dyDescent="0.25"/>
    <row r="267561" s="12" customFormat="1" x14ac:dyDescent="0.25"/>
    <row r="267562" s="12" customFormat="1" x14ac:dyDescent="0.25"/>
    <row r="267563" s="12" customFormat="1" x14ac:dyDescent="0.25"/>
    <row r="267564" s="12" customFormat="1" x14ac:dyDescent="0.25"/>
    <row r="267565" s="12" customFormat="1" x14ac:dyDescent="0.25"/>
    <row r="267566" s="12" customFormat="1" x14ac:dyDescent="0.25"/>
    <row r="267567" s="12" customFormat="1" x14ac:dyDescent="0.25"/>
    <row r="267568" s="12" customFormat="1" x14ac:dyDescent="0.25"/>
    <row r="267569" s="12" customFormat="1" x14ac:dyDescent="0.25"/>
    <row r="267570" s="12" customFormat="1" x14ac:dyDescent="0.25"/>
    <row r="267571" s="12" customFormat="1" x14ac:dyDescent="0.25"/>
    <row r="267572" s="12" customFormat="1" x14ac:dyDescent="0.25"/>
    <row r="267573" s="12" customFormat="1" x14ac:dyDescent="0.25"/>
    <row r="267574" s="12" customFormat="1" x14ac:dyDescent="0.25"/>
    <row r="267575" s="12" customFormat="1" x14ac:dyDescent="0.25"/>
    <row r="267576" s="12" customFormat="1" x14ac:dyDescent="0.25"/>
    <row r="267577" s="12" customFormat="1" x14ac:dyDescent="0.25"/>
    <row r="267578" s="12" customFormat="1" x14ac:dyDescent="0.25"/>
    <row r="267579" s="12" customFormat="1" x14ac:dyDescent="0.25"/>
    <row r="267580" s="12" customFormat="1" x14ac:dyDescent="0.25"/>
    <row r="267581" s="12" customFormat="1" x14ac:dyDescent="0.25"/>
    <row r="267582" s="12" customFormat="1" x14ac:dyDescent="0.25"/>
    <row r="267583" s="12" customFormat="1" x14ac:dyDescent="0.25"/>
    <row r="267584" s="12" customFormat="1" x14ac:dyDescent="0.25"/>
    <row r="267585" s="12" customFormat="1" x14ac:dyDescent="0.25"/>
    <row r="267586" s="12" customFormat="1" x14ac:dyDescent="0.25"/>
    <row r="267587" s="12" customFormat="1" x14ac:dyDescent="0.25"/>
    <row r="267588" s="12" customFormat="1" x14ac:dyDescent="0.25"/>
    <row r="267589" s="12" customFormat="1" x14ac:dyDescent="0.25"/>
    <row r="267590" s="12" customFormat="1" x14ac:dyDescent="0.25"/>
    <row r="267591" s="12" customFormat="1" x14ac:dyDescent="0.25"/>
    <row r="267592" s="12" customFormat="1" x14ac:dyDescent="0.25"/>
    <row r="267593" s="12" customFormat="1" x14ac:dyDescent="0.25"/>
    <row r="267594" s="12" customFormat="1" x14ac:dyDescent="0.25"/>
    <row r="267595" s="12" customFormat="1" x14ac:dyDescent="0.25"/>
    <row r="267596" s="12" customFormat="1" x14ac:dyDescent="0.25"/>
    <row r="267597" s="12" customFormat="1" x14ac:dyDescent="0.25"/>
    <row r="267598" s="12" customFormat="1" x14ac:dyDescent="0.25"/>
    <row r="267599" s="12" customFormat="1" x14ac:dyDescent="0.25"/>
    <row r="267600" s="12" customFormat="1" x14ac:dyDescent="0.25"/>
    <row r="267601" s="12" customFormat="1" x14ac:dyDescent="0.25"/>
    <row r="267602" s="12" customFormat="1" x14ac:dyDescent="0.25"/>
    <row r="267603" s="12" customFormat="1" x14ac:dyDescent="0.25"/>
    <row r="267604" s="12" customFormat="1" x14ac:dyDescent="0.25"/>
    <row r="267605" s="12" customFormat="1" x14ac:dyDescent="0.25"/>
    <row r="267606" s="12" customFormat="1" x14ac:dyDescent="0.25"/>
    <row r="267607" s="12" customFormat="1" x14ac:dyDescent="0.25"/>
    <row r="267608" s="12" customFormat="1" x14ac:dyDescent="0.25"/>
    <row r="267609" s="12" customFormat="1" x14ac:dyDescent="0.25"/>
    <row r="267610" s="12" customFormat="1" x14ac:dyDescent="0.25"/>
    <row r="267611" s="12" customFormat="1" x14ac:dyDescent="0.25"/>
    <row r="267612" s="12" customFormat="1" x14ac:dyDescent="0.25"/>
    <row r="267613" s="12" customFormat="1" x14ac:dyDescent="0.25"/>
    <row r="267614" s="12" customFormat="1" x14ac:dyDescent="0.25"/>
    <row r="267615" s="12" customFormat="1" x14ac:dyDescent="0.25"/>
    <row r="267616" s="12" customFormat="1" x14ac:dyDescent="0.25"/>
    <row r="267617" s="12" customFormat="1" x14ac:dyDescent="0.25"/>
    <row r="267618" s="12" customFormat="1" x14ac:dyDescent="0.25"/>
    <row r="267619" s="12" customFormat="1" x14ac:dyDescent="0.25"/>
    <row r="267620" s="12" customFormat="1" x14ac:dyDescent="0.25"/>
    <row r="267621" s="12" customFormat="1" x14ac:dyDescent="0.25"/>
    <row r="267622" s="12" customFormat="1" x14ac:dyDescent="0.25"/>
    <row r="267623" s="12" customFormat="1" x14ac:dyDescent="0.25"/>
    <row r="267624" s="12" customFormat="1" x14ac:dyDescent="0.25"/>
    <row r="267625" s="12" customFormat="1" x14ac:dyDescent="0.25"/>
    <row r="267626" s="12" customFormat="1" x14ac:dyDescent="0.25"/>
    <row r="267627" s="12" customFormat="1" x14ac:dyDescent="0.25"/>
    <row r="267628" s="12" customFormat="1" x14ac:dyDescent="0.25"/>
    <row r="267629" s="12" customFormat="1" x14ac:dyDescent="0.25"/>
    <row r="267630" s="12" customFormat="1" x14ac:dyDescent="0.25"/>
    <row r="267631" s="12" customFormat="1" x14ac:dyDescent="0.25"/>
    <row r="267632" s="12" customFormat="1" x14ac:dyDescent="0.25"/>
    <row r="267633" s="12" customFormat="1" x14ac:dyDescent="0.25"/>
    <row r="267634" s="12" customFormat="1" x14ac:dyDescent="0.25"/>
    <row r="267635" s="12" customFormat="1" x14ac:dyDescent="0.25"/>
    <row r="267636" s="12" customFormat="1" x14ac:dyDescent="0.25"/>
    <row r="267637" s="12" customFormat="1" x14ac:dyDescent="0.25"/>
    <row r="267638" s="12" customFormat="1" x14ac:dyDescent="0.25"/>
    <row r="267639" s="12" customFormat="1" x14ac:dyDescent="0.25"/>
    <row r="267640" s="12" customFormat="1" x14ac:dyDescent="0.25"/>
    <row r="267641" s="12" customFormat="1" x14ac:dyDescent="0.25"/>
    <row r="267642" s="12" customFormat="1" x14ac:dyDescent="0.25"/>
    <row r="267643" s="12" customFormat="1" x14ac:dyDescent="0.25"/>
    <row r="267644" s="12" customFormat="1" x14ac:dyDescent="0.25"/>
    <row r="267645" s="12" customFormat="1" x14ac:dyDescent="0.25"/>
    <row r="267646" s="12" customFormat="1" x14ac:dyDescent="0.25"/>
    <row r="267647" s="12" customFormat="1" x14ac:dyDescent="0.25"/>
    <row r="267648" s="12" customFormat="1" x14ac:dyDescent="0.25"/>
    <row r="267649" s="12" customFormat="1" x14ac:dyDescent="0.25"/>
    <row r="267650" s="12" customFormat="1" x14ac:dyDescent="0.25"/>
    <row r="267651" s="12" customFormat="1" x14ac:dyDescent="0.25"/>
    <row r="267652" s="12" customFormat="1" x14ac:dyDescent="0.25"/>
    <row r="267653" s="12" customFormat="1" x14ac:dyDescent="0.25"/>
    <row r="267654" s="12" customFormat="1" x14ac:dyDescent="0.25"/>
    <row r="267655" s="12" customFormat="1" x14ac:dyDescent="0.25"/>
    <row r="267656" s="12" customFormat="1" x14ac:dyDescent="0.25"/>
    <row r="267657" s="12" customFormat="1" x14ac:dyDescent="0.25"/>
    <row r="267658" s="12" customFormat="1" x14ac:dyDescent="0.25"/>
    <row r="267659" s="12" customFormat="1" x14ac:dyDescent="0.25"/>
    <row r="267660" s="12" customFormat="1" x14ac:dyDescent="0.25"/>
    <row r="267661" s="12" customFormat="1" x14ac:dyDescent="0.25"/>
    <row r="267662" s="12" customFormat="1" x14ac:dyDescent="0.25"/>
    <row r="267663" s="12" customFormat="1" x14ac:dyDescent="0.25"/>
    <row r="267664" s="12" customFormat="1" x14ac:dyDescent="0.25"/>
    <row r="267665" s="12" customFormat="1" x14ac:dyDescent="0.25"/>
    <row r="267666" s="12" customFormat="1" x14ac:dyDescent="0.25"/>
    <row r="267667" s="12" customFormat="1" x14ac:dyDescent="0.25"/>
    <row r="267668" s="12" customFormat="1" x14ac:dyDescent="0.25"/>
    <row r="267669" s="12" customFormat="1" x14ac:dyDescent="0.25"/>
    <row r="267670" s="12" customFormat="1" x14ac:dyDescent="0.25"/>
    <row r="267671" s="12" customFormat="1" x14ac:dyDescent="0.25"/>
    <row r="267672" s="12" customFormat="1" x14ac:dyDescent="0.25"/>
    <row r="267673" s="12" customFormat="1" x14ac:dyDescent="0.25"/>
    <row r="267674" s="12" customFormat="1" x14ac:dyDescent="0.25"/>
    <row r="267675" s="12" customFormat="1" x14ac:dyDescent="0.25"/>
    <row r="267676" s="12" customFormat="1" x14ac:dyDescent="0.25"/>
    <row r="267677" s="12" customFormat="1" x14ac:dyDescent="0.25"/>
    <row r="267678" s="12" customFormat="1" x14ac:dyDescent="0.25"/>
    <row r="267679" s="12" customFormat="1" x14ac:dyDescent="0.25"/>
    <row r="267680" s="12" customFormat="1" x14ac:dyDescent="0.25"/>
    <row r="267681" s="12" customFormat="1" x14ac:dyDescent="0.25"/>
    <row r="267682" s="12" customFormat="1" x14ac:dyDescent="0.25"/>
    <row r="267683" s="12" customFormat="1" x14ac:dyDescent="0.25"/>
    <row r="267684" s="12" customFormat="1" x14ac:dyDescent="0.25"/>
    <row r="267685" s="12" customFormat="1" x14ac:dyDescent="0.25"/>
    <row r="267686" s="12" customFormat="1" x14ac:dyDescent="0.25"/>
    <row r="267687" s="12" customFormat="1" x14ac:dyDescent="0.25"/>
    <row r="267688" s="12" customFormat="1" x14ac:dyDescent="0.25"/>
    <row r="267689" s="12" customFormat="1" x14ac:dyDescent="0.25"/>
    <row r="267690" s="12" customFormat="1" x14ac:dyDescent="0.25"/>
    <row r="267691" s="12" customFormat="1" x14ac:dyDescent="0.25"/>
    <row r="267692" s="12" customFormat="1" x14ac:dyDescent="0.25"/>
    <row r="267693" s="12" customFormat="1" x14ac:dyDescent="0.25"/>
    <row r="267694" s="12" customFormat="1" x14ac:dyDescent="0.25"/>
    <row r="267695" s="12" customFormat="1" x14ac:dyDescent="0.25"/>
    <row r="267696" s="12" customFormat="1" x14ac:dyDescent="0.25"/>
    <row r="267697" s="12" customFormat="1" x14ac:dyDescent="0.25"/>
    <row r="267698" s="12" customFormat="1" x14ac:dyDescent="0.25"/>
    <row r="267699" s="12" customFormat="1" x14ac:dyDescent="0.25"/>
    <row r="267700" s="12" customFormat="1" x14ac:dyDescent="0.25"/>
    <row r="267701" s="12" customFormat="1" x14ac:dyDescent="0.25"/>
    <row r="267702" s="12" customFormat="1" x14ac:dyDescent="0.25"/>
    <row r="267703" s="12" customFormat="1" x14ac:dyDescent="0.25"/>
    <row r="267704" s="12" customFormat="1" x14ac:dyDescent="0.25"/>
    <row r="267705" s="12" customFormat="1" x14ac:dyDescent="0.25"/>
    <row r="267706" s="12" customFormat="1" x14ac:dyDescent="0.25"/>
    <row r="267707" s="12" customFormat="1" x14ac:dyDescent="0.25"/>
    <row r="267708" s="12" customFormat="1" x14ac:dyDescent="0.25"/>
    <row r="267709" s="12" customFormat="1" x14ac:dyDescent="0.25"/>
    <row r="267710" s="12" customFormat="1" x14ac:dyDescent="0.25"/>
    <row r="267711" s="12" customFormat="1" x14ac:dyDescent="0.25"/>
    <row r="267712" s="12" customFormat="1" x14ac:dyDescent="0.25"/>
    <row r="267713" s="12" customFormat="1" x14ac:dyDescent="0.25"/>
    <row r="267714" s="12" customFormat="1" x14ac:dyDescent="0.25"/>
    <row r="267715" s="12" customFormat="1" x14ac:dyDescent="0.25"/>
    <row r="267716" s="12" customFormat="1" x14ac:dyDescent="0.25"/>
    <row r="267717" s="12" customFormat="1" x14ac:dyDescent="0.25"/>
    <row r="267718" s="12" customFormat="1" x14ac:dyDescent="0.25"/>
    <row r="267719" s="12" customFormat="1" x14ac:dyDescent="0.25"/>
    <row r="267720" s="12" customFormat="1" x14ac:dyDescent="0.25"/>
    <row r="267721" s="12" customFormat="1" x14ac:dyDescent="0.25"/>
    <row r="267722" s="12" customFormat="1" x14ac:dyDescent="0.25"/>
    <row r="267723" s="12" customFormat="1" x14ac:dyDescent="0.25"/>
    <row r="267724" s="12" customFormat="1" x14ac:dyDescent="0.25"/>
    <row r="267725" s="12" customFormat="1" x14ac:dyDescent="0.25"/>
    <row r="267726" s="12" customFormat="1" x14ac:dyDescent="0.25"/>
    <row r="267727" s="12" customFormat="1" x14ac:dyDescent="0.25"/>
    <row r="267728" s="12" customFormat="1" x14ac:dyDescent="0.25"/>
    <row r="267729" s="12" customFormat="1" x14ac:dyDescent="0.25"/>
    <row r="267730" s="12" customFormat="1" x14ac:dyDescent="0.25"/>
    <row r="267731" s="12" customFormat="1" x14ac:dyDescent="0.25"/>
    <row r="267732" s="12" customFormat="1" x14ac:dyDescent="0.25"/>
    <row r="267733" s="12" customFormat="1" x14ac:dyDescent="0.25"/>
    <row r="267734" s="12" customFormat="1" x14ac:dyDescent="0.25"/>
    <row r="267735" s="12" customFormat="1" x14ac:dyDescent="0.25"/>
    <row r="267736" s="12" customFormat="1" x14ac:dyDescent="0.25"/>
    <row r="267737" s="12" customFormat="1" x14ac:dyDescent="0.25"/>
    <row r="267738" s="12" customFormat="1" x14ac:dyDescent="0.25"/>
    <row r="267739" s="12" customFormat="1" x14ac:dyDescent="0.25"/>
    <row r="267740" s="12" customFormat="1" x14ac:dyDescent="0.25"/>
    <row r="267741" s="12" customFormat="1" x14ac:dyDescent="0.25"/>
    <row r="267742" s="12" customFormat="1" x14ac:dyDescent="0.25"/>
    <row r="267743" s="12" customFormat="1" x14ac:dyDescent="0.25"/>
    <row r="267744" s="12" customFormat="1" x14ac:dyDescent="0.25"/>
    <row r="267745" s="12" customFormat="1" x14ac:dyDescent="0.25"/>
    <row r="267746" s="12" customFormat="1" x14ac:dyDescent="0.25"/>
    <row r="267747" s="12" customFormat="1" x14ac:dyDescent="0.25"/>
    <row r="267748" s="12" customFormat="1" x14ac:dyDescent="0.25"/>
    <row r="267749" s="12" customFormat="1" x14ac:dyDescent="0.25"/>
    <row r="267750" s="12" customFormat="1" x14ac:dyDescent="0.25"/>
    <row r="267751" s="12" customFormat="1" x14ac:dyDescent="0.25"/>
    <row r="267752" s="12" customFormat="1" x14ac:dyDescent="0.25"/>
    <row r="267753" s="12" customFormat="1" x14ac:dyDescent="0.25"/>
    <row r="267754" s="12" customFormat="1" x14ac:dyDescent="0.25"/>
    <row r="267755" s="12" customFormat="1" x14ac:dyDescent="0.25"/>
    <row r="267756" s="12" customFormat="1" x14ac:dyDescent="0.25"/>
    <row r="267757" s="12" customFormat="1" x14ac:dyDescent="0.25"/>
    <row r="267758" s="12" customFormat="1" x14ac:dyDescent="0.25"/>
    <row r="267759" s="12" customFormat="1" x14ac:dyDescent="0.25"/>
    <row r="267760" s="12" customFormat="1" x14ac:dyDescent="0.25"/>
    <row r="267761" s="12" customFormat="1" x14ac:dyDescent="0.25"/>
    <row r="267762" s="12" customFormat="1" x14ac:dyDescent="0.25"/>
    <row r="267763" s="12" customFormat="1" x14ac:dyDescent="0.25"/>
    <row r="267764" s="12" customFormat="1" x14ac:dyDescent="0.25"/>
    <row r="267765" s="12" customFormat="1" x14ac:dyDescent="0.25"/>
    <row r="267766" s="12" customFormat="1" x14ac:dyDescent="0.25"/>
    <row r="267767" s="12" customFormat="1" x14ac:dyDescent="0.25"/>
    <row r="267768" s="12" customFormat="1" x14ac:dyDescent="0.25"/>
    <row r="267769" s="12" customFormat="1" x14ac:dyDescent="0.25"/>
    <row r="267770" s="12" customFormat="1" x14ac:dyDescent="0.25"/>
    <row r="267771" s="12" customFormat="1" x14ac:dyDescent="0.25"/>
    <row r="267772" s="12" customFormat="1" x14ac:dyDescent="0.25"/>
    <row r="267773" s="12" customFormat="1" x14ac:dyDescent="0.25"/>
    <row r="267774" s="12" customFormat="1" x14ac:dyDescent="0.25"/>
    <row r="267775" s="12" customFormat="1" x14ac:dyDescent="0.25"/>
    <row r="267776" s="12" customFormat="1" x14ac:dyDescent="0.25"/>
    <row r="267777" s="12" customFormat="1" x14ac:dyDescent="0.25"/>
    <row r="267778" s="12" customFormat="1" x14ac:dyDescent="0.25"/>
    <row r="267779" s="12" customFormat="1" x14ac:dyDescent="0.25"/>
    <row r="267780" s="12" customFormat="1" x14ac:dyDescent="0.25"/>
    <row r="267781" s="12" customFormat="1" x14ac:dyDescent="0.25"/>
    <row r="267782" s="12" customFormat="1" x14ac:dyDescent="0.25"/>
    <row r="267783" s="12" customFormat="1" x14ac:dyDescent="0.25"/>
    <row r="267784" s="12" customFormat="1" x14ac:dyDescent="0.25"/>
    <row r="267785" s="12" customFormat="1" x14ac:dyDescent="0.25"/>
    <row r="267786" s="12" customFormat="1" x14ac:dyDescent="0.25"/>
    <row r="267787" s="12" customFormat="1" x14ac:dyDescent="0.25"/>
    <row r="267788" s="12" customFormat="1" x14ac:dyDescent="0.25"/>
    <row r="267789" s="12" customFormat="1" x14ac:dyDescent="0.25"/>
    <row r="267790" s="12" customFormat="1" x14ac:dyDescent="0.25"/>
    <row r="267791" s="12" customFormat="1" x14ac:dyDescent="0.25"/>
    <row r="267792" s="12" customFormat="1" x14ac:dyDescent="0.25"/>
    <row r="267793" s="12" customFormat="1" x14ac:dyDescent="0.25"/>
    <row r="267794" s="12" customFormat="1" x14ac:dyDescent="0.25"/>
    <row r="267795" s="12" customFormat="1" x14ac:dyDescent="0.25"/>
    <row r="267796" s="12" customFormat="1" x14ac:dyDescent="0.25"/>
    <row r="267797" s="12" customFormat="1" x14ac:dyDescent="0.25"/>
    <row r="267798" s="12" customFormat="1" x14ac:dyDescent="0.25"/>
    <row r="267799" s="12" customFormat="1" x14ac:dyDescent="0.25"/>
    <row r="267800" s="12" customFormat="1" x14ac:dyDescent="0.25"/>
    <row r="267801" s="12" customFormat="1" x14ac:dyDescent="0.25"/>
    <row r="267802" s="12" customFormat="1" x14ac:dyDescent="0.25"/>
    <row r="267803" s="12" customFormat="1" x14ac:dyDescent="0.25"/>
    <row r="267804" s="12" customFormat="1" x14ac:dyDescent="0.25"/>
    <row r="267805" s="12" customFormat="1" x14ac:dyDescent="0.25"/>
    <row r="267806" s="12" customFormat="1" x14ac:dyDescent="0.25"/>
    <row r="267807" s="12" customFormat="1" x14ac:dyDescent="0.25"/>
    <row r="267808" s="12" customFormat="1" x14ac:dyDescent="0.25"/>
    <row r="267809" s="12" customFormat="1" x14ac:dyDescent="0.25"/>
    <row r="267810" s="12" customFormat="1" x14ac:dyDescent="0.25"/>
    <row r="267811" s="12" customFormat="1" x14ac:dyDescent="0.25"/>
    <row r="267812" s="12" customFormat="1" x14ac:dyDescent="0.25"/>
    <row r="267813" s="12" customFormat="1" x14ac:dyDescent="0.25"/>
    <row r="267814" s="12" customFormat="1" x14ac:dyDescent="0.25"/>
    <row r="267815" s="12" customFormat="1" x14ac:dyDescent="0.25"/>
    <row r="267816" s="12" customFormat="1" x14ac:dyDescent="0.25"/>
    <row r="267817" s="12" customFormat="1" x14ac:dyDescent="0.25"/>
    <row r="267818" s="12" customFormat="1" x14ac:dyDescent="0.25"/>
    <row r="267819" s="12" customFormat="1" x14ac:dyDescent="0.25"/>
    <row r="267820" s="12" customFormat="1" x14ac:dyDescent="0.25"/>
    <row r="267821" s="12" customFormat="1" x14ac:dyDescent="0.25"/>
    <row r="267822" s="12" customFormat="1" x14ac:dyDescent="0.25"/>
    <row r="267823" s="12" customFormat="1" x14ac:dyDescent="0.25"/>
    <row r="267824" s="12" customFormat="1" x14ac:dyDescent="0.25"/>
    <row r="267825" s="12" customFormat="1" x14ac:dyDescent="0.25"/>
    <row r="267826" s="12" customFormat="1" x14ac:dyDescent="0.25"/>
    <row r="267827" s="12" customFormat="1" x14ac:dyDescent="0.25"/>
    <row r="267828" s="12" customFormat="1" x14ac:dyDescent="0.25"/>
    <row r="267829" s="12" customFormat="1" x14ac:dyDescent="0.25"/>
    <row r="267830" s="12" customFormat="1" x14ac:dyDescent="0.25"/>
    <row r="267831" s="12" customFormat="1" x14ac:dyDescent="0.25"/>
    <row r="267832" s="12" customFormat="1" x14ac:dyDescent="0.25"/>
    <row r="267833" s="12" customFormat="1" x14ac:dyDescent="0.25"/>
    <row r="267834" s="12" customFormat="1" x14ac:dyDescent="0.25"/>
    <row r="267835" s="12" customFormat="1" x14ac:dyDescent="0.25"/>
    <row r="267836" s="12" customFormat="1" x14ac:dyDescent="0.25"/>
    <row r="267837" s="12" customFormat="1" x14ac:dyDescent="0.25"/>
    <row r="267838" s="12" customFormat="1" x14ac:dyDescent="0.25"/>
    <row r="267839" s="12" customFormat="1" x14ac:dyDescent="0.25"/>
    <row r="267840" s="12" customFormat="1" x14ac:dyDescent="0.25"/>
    <row r="267841" s="12" customFormat="1" x14ac:dyDescent="0.25"/>
    <row r="267842" s="12" customFormat="1" x14ac:dyDescent="0.25"/>
    <row r="267843" s="12" customFormat="1" x14ac:dyDescent="0.25"/>
    <row r="267844" s="12" customFormat="1" x14ac:dyDescent="0.25"/>
    <row r="267845" s="12" customFormat="1" x14ac:dyDescent="0.25"/>
    <row r="267846" s="12" customFormat="1" x14ac:dyDescent="0.25"/>
    <row r="267847" s="12" customFormat="1" x14ac:dyDescent="0.25"/>
    <row r="267848" s="12" customFormat="1" x14ac:dyDescent="0.25"/>
    <row r="267849" s="12" customFormat="1" x14ac:dyDescent="0.25"/>
    <row r="267850" s="12" customFormat="1" x14ac:dyDescent="0.25"/>
    <row r="267851" s="12" customFormat="1" x14ac:dyDescent="0.25"/>
    <row r="267852" s="12" customFormat="1" x14ac:dyDescent="0.25"/>
    <row r="267853" s="12" customFormat="1" x14ac:dyDescent="0.25"/>
    <row r="267854" s="12" customFormat="1" x14ac:dyDescent="0.25"/>
    <row r="267855" s="12" customFormat="1" x14ac:dyDescent="0.25"/>
    <row r="267856" s="12" customFormat="1" x14ac:dyDescent="0.25"/>
    <row r="267857" s="12" customFormat="1" x14ac:dyDescent="0.25"/>
    <row r="267858" s="12" customFormat="1" x14ac:dyDescent="0.25"/>
    <row r="267859" s="12" customFormat="1" x14ac:dyDescent="0.25"/>
    <row r="267860" s="12" customFormat="1" x14ac:dyDescent="0.25"/>
    <row r="267861" s="12" customFormat="1" x14ac:dyDescent="0.25"/>
    <row r="267862" s="12" customFormat="1" x14ac:dyDescent="0.25"/>
    <row r="267863" s="12" customFormat="1" x14ac:dyDescent="0.25"/>
    <row r="267864" s="12" customFormat="1" x14ac:dyDescent="0.25"/>
    <row r="267865" s="12" customFormat="1" x14ac:dyDescent="0.25"/>
    <row r="267866" s="12" customFormat="1" x14ac:dyDescent="0.25"/>
    <row r="267867" s="12" customFormat="1" x14ac:dyDescent="0.25"/>
    <row r="267868" s="12" customFormat="1" x14ac:dyDescent="0.25"/>
    <row r="267869" s="12" customFormat="1" x14ac:dyDescent="0.25"/>
    <row r="267870" s="12" customFormat="1" x14ac:dyDescent="0.25"/>
    <row r="267871" s="12" customFormat="1" x14ac:dyDescent="0.25"/>
    <row r="267872" s="12" customFormat="1" x14ac:dyDescent="0.25"/>
    <row r="267873" s="12" customFormat="1" x14ac:dyDescent="0.25"/>
    <row r="267874" s="12" customFormat="1" x14ac:dyDescent="0.25"/>
    <row r="267875" s="12" customFormat="1" x14ac:dyDescent="0.25"/>
    <row r="267876" s="12" customFormat="1" x14ac:dyDescent="0.25"/>
    <row r="267877" s="12" customFormat="1" x14ac:dyDescent="0.25"/>
    <row r="267878" s="12" customFormat="1" x14ac:dyDescent="0.25"/>
    <row r="267879" s="12" customFormat="1" x14ac:dyDescent="0.25"/>
    <row r="267880" s="12" customFormat="1" x14ac:dyDescent="0.25"/>
    <row r="267881" s="12" customFormat="1" x14ac:dyDescent="0.25"/>
    <row r="267882" s="12" customFormat="1" x14ac:dyDescent="0.25"/>
    <row r="267883" s="12" customFormat="1" x14ac:dyDescent="0.25"/>
    <row r="267884" s="12" customFormat="1" x14ac:dyDescent="0.25"/>
    <row r="267885" s="12" customFormat="1" x14ac:dyDescent="0.25"/>
    <row r="267886" s="12" customFormat="1" x14ac:dyDescent="0.25"/>
    <row r="267887" s="12" customFormat="1" x14ac:dyDescent="0.25"/>
    <row r="267888" s="12" customFormat="1" x14ac:dyDescent="0.25"/>
    <row r="267889" s="12" customFormat="1" x14ac:dyDescent="0.25"/>
    <row r="267890" s="12" customFormat="1" x14ac:dyDescent="0.25"/>
    <row r="267891" s="12" customFormat="1" x14ac:dyDescent="0.25"/>
    <row r="267892" s="12" customFormat="1" x14ac:dyDescent="0.25"/>
    <row r="267893" s="12" customFormat="1" x14ac:dyDescent="0.25"/>
    <row r="267894" s="12" customFormat="1" x14ac:dyDescent="0.25"/>
    <row r="267895" s="12" customFormat="1" x14ac:dyDescent="0.25"/>
    <row r="267896" s="12" customFormat="1" x14ac:dyDescent="0.25"/>
    <row r="267897" s="12" customFormat="1" x14ac:dyDescent="0.25"/>
    <row r="267898" s="12" customFormat="1" x14ac:dyDescent="0.25"/>
    <row r="267899" s="12" customFormat="1" x14ac:dyDescent="0.25"/>
    <row r="267900" s="12" customFormat="1" x14ac:dyDescent="0.25"/>
    <row r="267901" s="12" customFormat="1" x14ac:dyDescent="0.25"/>
    <row r="267902" s="12" customFormat="1" x14ac:dyDescent="0.25"/>
    <row r="267903" s="12" customFormat="1" x14ac:dyDescent="0.25"/>
    <row r="267904" s="12" customFormat="1" x14ac:dyDescent="0.25"/>
    <row r="267905" s="12" customFormat="1" x14ac:dyDescent="0.25"/>
    <row r="267906" s="12" customFormat="1" x14ac:dyDescent="0.25"/>
    <row r="267907" s="12" customFormat="1" x14ac:dyDescent="0.25"/>
    <row r="267908" s="12" customFormat="1" x14ac:dyDescent="0.25"/>
    <row r="267909" s="12" customFormat="1" x14ac:dyDescent="0.25"/>
    <row r="267910" s="12" customFormat="1" x14ac:dyDescent="0.25"/>
    <row r="267911" s="12" customFormat="1" x14ac:dyDescent="0.25"/>
    <row r="267912" s="12" customFormat="1" x14ac:dyDescent="0.25"/>
    <row r="267913" s="12" customFormat="1" x14ac:dyDescent="0.25"/>
    <row r="267914" s="12" customFormat="1" x14ac:dyDescent="0.25"/>
    <row r="267915" s="12" customFormat="1" x14ac:dyDescent="0.25"/>
    <row r="267916" s="12" customFormat="1" x14ac:dyDescent="0.25"/>
    <row r="267917" s="12" customFormat="1" x14ac:dyDescent="0.25"/>
    <row r="267918" s="12" customFormat="1" x14ac:dyDescent="0.25"/>
    <row r="267919" s="12" customFormat="1" x14ac:dyDescent="0.25"/>
    <row r="267920" s="12" customFormat="1" x14ac:dyDescent="0.25"/>
    <row r="267921" s="12" customFormat="1" x14ac:dyDescent="0.25"/>
    <row r="267922" s="12" customFormat="1" x14ac:dyDescent="0.25"/>
    <row r="267923" s="12" customFormat="1" x14ac:dyDescent="0.25"/>
    <row r="267924" s="12" customFormat="1" x14ac:dyDescent="0.25"/>
    <row r="267925" s="12" customFormat="1" x14ac:dyDescent="0.25"/>
    <row r="267926" s="12" customFormat="1" x14ac:dyDescent="0.25"/>
    <row r="267927" s="12" customFormat="1" x14ac:dyDescent="0.25"/>
    <row r="267928" s="12" customFormat="1" x14ac:dyDescent="0.25"/>
    <row r="267929" s="12" customFormat="1" x14ac:dyDescent="0.25"/>
    <row r="267930" s="12" customFormat="1" x14ac:dyDescent="0.25"/>
    <row r="267931" s="12" customFormat="1" x14ac:dyDescent="0.25"/>
    <row r="267932" s="12" customFormat="1" x14ac:dyDescent="0.25"/>
    <row r="267933" s="12" customFormat="1" x14ac:dyDescent="0.25"/>
    <row r="267934" s="12" customFormat="1" x14ac:dyDescent="0.25"/>
    <row r="267935" s="12" customFormat="1" x14ac:dyDescent="0.25"/>
    <row r="267936" s="12" customFormat="1" x14ac:dyDescent="0.25"/>
    <row r="267937" s="12" customFormat="1" x14ac:dyDescent="0.25"/>
    <row r="267938" s="12" customFormat="1" x14ac:dyDescent="0.25"/>
    <row r="267939" s="12" customFormat="1" x14ac:dyDescent="0.25"/>
    <row r="267940" s="12" customFormat="1" x14ac:dyDescent="0.25"/>
    <row r="267941" s="12" customFormat="1" x14ac:dyDescent="0.25"/>
    <row r="267942" s="12" customFormat="1" x14ac:dyDescent="0.25"/>
    <row r="267943" s="12" customFormat="1" x14ac:dyDescent="0.25"/>
    <row r="267944" s="12" customFormat="1" x14ac:dyDescent="0.25"/>
    <row r="267945" s="12" customFormat="1" x14ac:dyDescent="0.25"/>
    <row r="267946" s="12" customFormat="1" x14ac:dyDescent="0.25"/>
    <row r="267947" s="12" customFormat="1" x14ac:dyDescent="0.25"/>
    <row r="267948" s="12" customFormat="1" x14ac:dyDescent="0.25"/>
    <row r="267949" s="12" customFormat="1" x14ac:dyDescent="0.25"/>
    <row r="267950" s="12" customFormat="1" x14ac:dyDescent="0.25"/>
    <row r="267951" s="12" customFormat="1" x14ac:dyDescent="0.25"/>
    <row r="267952" s="12" customFormat="1" x14ac:dyDescent="0.25"/>
    <row r="267953" s="12" customFormat="1" x14ac:dyDescent="0.25"/>
    <row r="267954" s="12" customFormat="1" x14ac:dyDescent="0.25"/>
    <row r="267955" s="12" customFormat="1" x14ac:dyDescent="0.25"/>
    <row r="267956" s="12" customFormat="1" x14ac:dyDescent="0.25"/>
    <row r="267957" s="12" customFormat="1" x14ac:dyDescent="0.25"/>
    <row r="267958" s="12" customFormat="1" x14ac:dyDescent="0.25"/>
    <row r="267959" s="12" customFormat="1" x14ac:dyDescent="0.25"/>
    <row r="267960" s="12" customFormat="1" x14ac:dyDescent="0.25"/>
    <row r="267961" s="12" customFormat="1" x14ac:dyDescent="0.25"/>
    <row r="267962" s="12" customFormat="1" x14ac:dyDescent="0.25"/>
    <row r="267963" s="12" customFormat="1" x14ac:dyDescent="0.25"/>
    <row r="267964" s="12" customFormat="1" x14ac:dyDescent="0.25"/>
    <row r="267965" s="12" customFormat="1" x14ac:dyDescent="0.25"/>
    <row r="267966" s="12" customFormat="1" x14ac:dyDescent="0.25"/>
    <row r="267967" s="12" customFormat="1" x14ac:dyDescent="0.25"/>
    <row r="267968" s="12" customFormat="1" x14ac:dyDescent="0.25"/>
    <row r="267969" s="12" customFormat="1" x14ac:dyDescent="0.25"/>
    <row r="267970" s="12" customFormat="1" x14ac:dyDescent="0.25"/>
    <row r="267971" s="12" customFormat="1" x14ac:dyDescent="0.25"/>
    <row r="267972" s="12" customFormat="1" x14ac:dyDescent="0.25"/>
    <row r="267973" s="12" customFormat="1" x14ac:dyDescent="0.25"/>
    <row r="267974" s="12" customFormat="1" x14ac:dyDescent="0.25"/>
    <row r="267975" s="12" customFormat="1" x14ac:dyDescent="0.25"/>
    <row r="267976" s="12" customFormat="1" x14ac:dyDescent="0.25"/>
    <row r="267977" s="12" customFormat="1" x14ac:dyDescent="0.25"/>
    <row r="267978" s="12" customFormat="1" x14ac:dyDescent="0.25"/>
    <row r="267979" s="12" customFormat="1" x14ac:dyDescent="0.25"/>
    <row r="267980" s="12" customFormat="1" x14ac:dyDescent="0.25"/>
    <row r="267981" s="12" customFormat="1" x14ac:dyDescent="0.25"/>
    <row r="267982" s="12" customFormat="1" x14ac:dyDescent="0.25"/>
    <row r="267983" s="12" customFormat="1" x14ac:dyDescent="0.25"/>
    <row r="267984" s="12" customFormat="1" x14ac:dyDescent="0.25"/>
    <row r="267985" s="12" customFormat="1" x14ac:dyDescent="0.25"/>
    <row r="267986" s="12" customFormat="1" x14ac:dyDescent="0.25"/>
    <row r="267987" s="12" customFormat="1" x14ac:dyDescent="0.25"/>
    <row r="267988" s="12" customFormat="1" x14ac:dyDescent="0.25"/>
    <row r="267989" s="12" customFormat="1" x14ac:dyDescent="0.25"/>
    <row r="267990" s="12" customFormat="1" x14ac:dyDescent="0.25"/>
    <row r="267991" s="12" customFormat="1" x14ac:dyDescent="0.25"/>
    <row r="267992" s="12" customFormat="1" x14ac:dyDescent="0.25"/>
    <row r="267993" s="12" customFormat="1" x14ac:dyDescent="0.25"/>
    <row r="267994" s="12" customFormat="1" x14ac:dyDescent="0.25"/>
    <row r="267995" s="12" customFormat="1" x14ac:dyDescent="0.25"/>
    <row r="267996" s="12" customFormat="1" x14ac:dyDescent="0.25"/>
    <row r="267997" s="12" customFormat="1" x14ac:dyDescent="0.25"/>
    <row r="267998" s="12" customFormat="1" x14ac:dyDescent="0.25"/>
    <row r="267999" s="12" customFormat="1" x14ac:dyDescent="0.25"/>
    <row r="268000" s="12" customFormat="1" x14ac:dyDescent="0.25"/>
    <row r="268001" s="12" customFormat="1" x14ac:dyDescent="0.25"/>
    <row r="268002" s="12" customFormat="1" x14ac:dyDescent="0.25"/>
    <row r="268003" s="12" customFormat="1" x14ac:dyDescent="0.25"/>
    <row r="268004" s="12" customFormat="1" x14ac:dyDescent="0.25"/>
    <row r="268005" s="12" customFormat="1" x14ac:dyDescent="0.25"/>
    <row r="268006" s="12" customFormat="1" x14ac:dyDescent="0.25"/>
    <row r="268007" s="12" customFormat="1" x14ac:dyDescent="0.25"/>
    <row r="268008" s="12" customFormat="1" x14ac:dyDescent="0.25"/>
    <row r="268009" s="12" customFormat="1" x14ac:dyDescent="0.25"/>
    <row r="268010" s="12" customFormat="1" x14ac:dyDescent="0.25"/>
    <row r="268011" s="12" customFormat="1" x14ac:dyDescent="0.25"/>
    <row r="268012" s="12" customFormat="1" x14ac:dyDescent="0.25"/>
    <row r="268013" s="12" customFormat="1" x14ac:dyDescent="0.25"/>
    <row r="268014" s="12" customFormat="1" x14ac:dyDescent="0.25"/>
    <row r="268015" s="12" customFormat="1" x14ac:dyDescent="0.25"/>
    <row r="268016" s="12" customFormat="1" x14ac:dyDescent="0.25"/>
    <row r="268017" s="12" customFormat="1" x14ac:dyDescent="0.25"/>
    <row r="268018" s="12" customFormat="1" x14ac:dyDescent="0.25"/>
    <row r="268019" s="12" customFormat="1" x14ac:dyDescent="0.25"/>
    <row r="268020" s="12" customFormat="1" x14ac:dyDescent="0.25"/>
    <row r="268021" s="12" customFormat="1" x14ac:dyDescent="0.25"/>
    <row r="268022" s="12" customFormat="1" x14ac:dyDescent="0.25"/>
    <row r="268023" s="12" customFormat="1" x14ac:dyDescent="0.25"/>
    <row r="268024" s="12" customFormat="1" x14ac:dyDescent="0.25"/>
    <row r="268025" s="12" customFormat="1" x14ac:dyDescent="0.25"/>
    <row r="268026" s="12" customFormat="1" x14ac:dyDescent="0.25"/>
    <row r="268027" s="12" customFormat="1" x14ac:dyDescent="0.25"/>
    <row r="268028" s="12" customFormat="1" x14ac:dyDescent="0.25"/>
    <row r="268029" s="12" customFormat="1" x14ac:dyDescent="0.25"/>
    <row r="268030" s="12" customFormat="1" x14ac:dyDescent="0.25"/>
    <row r="268031" s="12" customFormat="1" x14ac:dyDescent="0.25"/>
    <row r="268032" s="12" customFormat="1" x14ac:dyDescent="0.25"/>
    <row r="268033" s="12" customFormat="1" x14ac:dyDescent="0.25"/>
    <row r="268034" s="12" customFormat="1" x14ac:dyDescent="0.25"/>
    <row r="268035" s="12" customFormat="1" x14ac:dyDescent="0.25"/>
    <row r="268036" s="12" customFormat="1" x14ac:dyDescent="0.25"/>
    <row r="268037" s="12" customFormat="1" x14ac:dyDescent="0.25"/>
    <row r="268038" s="12" customFormat="1" x14ac:dyDescent="0.25"/>
    <row r="268039" s="12" customFormat="1" x14ac:dyDescent="0.25"/>
    <row r="268040" s="12" customFormat="1" x14ac:dyDescent="0.25"/>
    <row r="268041" s="12" customFormat="1" x14ac:dyDescent="0.25"/>
    <row r="268042" s="12" customFormat="1" x14ac:dyDescent="0.25"/>
    <row r="268043" s="12" customFormat="1" x14ac:dyDescent="0.25"/>
    <row r="268044" s="12" customFormat="1" x14ac:dyDescent="0.25"/>
    <row r="268045" s="12" customFormat="1" x14ac:dyDescent="0.25"/>
    <row r="268046" s="12" customFormat="1" x14ac:dyDescent="0.25"/>
    <row r="268047" s="12" customFormat="1" x14ac:dyDescent="0.25"/>
    <row r="268048" s="12" customFormat="1" x14ac:dyDescent="0.25"/>
    <row r="268049" s="12" customFormat="1" x14ac:dyDescent="0.25"/>
    <row r="268050" s="12" customFormat="1" x14ac:dyDescent="0.25"/>
    <row r="268051" s="12" customFormat="1" x14ac:dyDescent="0.25"/>
    <row r="268052" s="12" customFormat="1" x14ac:dyDescent="0.25"/>
    <row r="268053" s="12" customFormat="1" x14ac:dyDescent="0.25"/>
    <row r="268054" s="12" customFormat="1" x14ac:dyDescent="0.25"/>
    <row r="268055" s="12" customFormat="1" x14ac:dyDescent="0.25"/>
    <row r="268056" s="12" customFormat="1" x14ac:dyDescent="0.25"/>
    <row r="268057" s="12" customFormat="1" x14ac:dyDescent="0.25"/>
    <row r="268058" s="12" customFormat="1" x14ac:dyDescent="0.25"/>
    <row r="268059" s="12" customFormat="1" x14ac:dyDescent="0.25"/>
    <row r="268060" s="12" customFormat="1" x14ac:dyDescent="0.25"/>
    <row r="268061" s="12" customFormat="1" x14ac:dyDescent="0.25"/>
    <row r="268062" s="12" customFormat="1" x14ac:dyDescent="0.25"/>
    <row r="268063" s="12" customFormat="1" x14ac:dyDescent="0.25"/>
    <row r="268064" s="12" customFormat="1" x14ac:dyDescent="0.25"/>
    <row r="268065" s="12" customFormat="1" x14ac:dyDescent="0.25"/>
    <row r="268066" s="12" customFormat="1" x14ac:dyDescent="0.25"/>
    <row r="268067" s="12" customFormat="1" x14ac:dyDescent="0.25"/>
    <row r="268068" s="12" customFormat="1" x14ac:dyDescent="0.25"/>
    <row r="268069" s="12" customFormat="1" x14ac:dyDescent="0.25"/>
    <row r="268070" s="12" customFormat="1" x14ac:dyDescent="0.25"/>
    <row r="268071" s="12" customFormat="1" x14ac:dyDescent="0.25"/>
    <row r="268072" s="12" customFormat="1" x14ac:dyDescent="0.25"/>
    <row r="268073" s="12" customFormat="1" x14ac:dyDescent="0.25"/>
    <row r="268074" s="12" customFormat="1" x14ac:dyDescent="0.25"/>
    <row r="268075" s="12" customFormat="1" x14ac:dyDescent="0.25"/>
    <row r="268076" s="12" customFormat="1" x14ac:dyDescent="0.25"/>
    <row r="268077" s="12" customFormat="1" x14ac:dyDescent="0.25"/>
    <row r="268078" s="12" customFormat="1" x14ac:dyDescent="0.25"/>
    <row r="268079" s="12" customFormat="1" x14ac:dyDescent="0.25"/>
    <row r="268080" s="12" customFormat="1" x14ac:dyDescent="0.25"/>
    <row r="268081" s="12" customFormat="1" x14ac:dyDescent="0.25"/>
    <row r="268082" s="12" customFormat="1" x14ac:dyDescent="0.25"/>
    <row r="268083" s="12" customFormat="1" x14ac:dyDescent="0.25"/>
    <row r="268084" s="12" customFormat="1" x14ac:dyDescent="0.25"/>
    <row r="268085" s="12" customFormat="1" x14ac:dyDescent="0.25"/>
    <row r="268086" s="12" customFormat="1" x14ac:dyDescent="0.25"/>
    <row r="268087" s="12" customFormat="1" x14ac:dyDescent="0.25"/>
    <row r="268088" s="12" customFormat="1" x14ac:dyDescent="0.25"/>
    <row r="268089" s="12" customFormat="1" x14ac:dyDescent="0.25"/>
    <row r="268090" s="12" customFormat="1" x14ac:dyDescent="0.25"/>
    <row r="268091" s="12" customFormat="1" x14ac:dyDescent="0.25"/>
    <row r="268092" s="12" customFormat="1" x14ac:dyDescent="0.25"/>
    <row r="268093" s="12" customFormat="1" x14ac:dyDescent="0.25"/>
    <row r="268094" s="12" customFormat="1" x14ac:dyDescent="0.25"/>
    <row r="268095" s="12" customFormat="1" x14ac:dyDescent="0.25"/>
    <row r="268096" s="12" customFormat="1" x14ac:dyDescent="0.25"/>
    <row r="268097" s="12" customFormat="1" x14ac:dyDescent="0.25"/>
    <row r="268098" s="12" customFormat="1" x14ac:dyDescent="0.25"/>
    <row r="268099" s="12" customFormat="1" x14ac:dyDescent="0.25"/>
    <row r="268100" s="12" customFormat="1" x14ac:dyDescent="0.25"/>
    <row r="268101" s="12" customFormat="1" x14ac:dyDescent="0.25"/>
    <row r="268102" s="12" customFormat="1" x14ac:dyDescent="0.25"/>
    <row r="268103" s="12" customFormat="1" x14ac:dyDescent="0.25"/>
    <row r="268104" s="12" customFormat="1" x14ac:dyDescent="0.25"/>
    <row r="268105" s="12" customFormat="1" x14ac:dyDescent="0.25"/>
    <row r="268106" s="12" customFormat="1" x14ac:dyDescent="0.25"/>
    <row r="268107" s="12" customFormat="1" x14ac:dyDescent="0.25"/>
    <row r="268108" s="12" customFormat="1" x14ac:dyDescent="0.25"/>
    <row r="268109" s="12" customFormat="1" x14ac:dyDescent="0.25"/>
    <row r="268110" s="12" customFormat="1" x14ac:dyDescent="0.25"/>
    <row r="268111" s="12" customFormat="1" x14ac:dyDescent="0.25"/>
    <row r="268112" s="12" customFormat="1" x14ac:dyDescent="0.25"/>
    <row r="268113" s="12" customFormat="1" x14ac:dyDescent="0.25"/>
    <row r="268114" s="12" customFormat="1" x14ac:dyDescent="0.25"/>
    <row r="268115" s="12" customFormat="1" x14ac:dyDescent="0.25"/>
    <row r="268116" s="12" customFormat="1" x14ac:dyDescent="0.25"/>
    <row r="268117" s="12" customFormat="1" x14ac:dyDescent="0.25"/>
    <row r="268118" s="12" customFormat="1" x14ac:dyDescent="0.25"/>
    <row r="268119" s="12" customFormat="1" x14ac:dyDescent="0.25"/>
    <row r="268120" s="12" customFormat="1" x14ac:dyDescent="0.25"/>
    <row r="268121" s="12" customFormat="1" x14ac:dyDescent="0.25"/>
    <row r="268122" s="12" customFormat="1" x14ac:dyDescent="0.25"/>
    <row r="268123" s="12" customFormat="1" x14ac:dyDescent="0.25"/>
    <row r="268124" s="12" customFormat="1" x14ac:dyDescent="0.25"/>
    <row r="268125" s="12" customFormat="1" x14ac:dyDescent="0.25"/>
    <row r="268126" s="12" customFormat="1" x14ac:dyDescent="0.25"/>
    <row r="268127" s="12" customFormat="1" x14ac:dyDescent="0.25"/>
    <row r="268128" s="12" customFormat="1" x14ac:dyDescent="0.25"/>
    <row r="268129" s="12" customFormat="1" x14ac:dyDescent="0.25"/>
    <row r="268130" s="12" customFormat="1" x14ac:dyDescent="0.25"/>
    <row r="268131" s="12" customFormat="1" x14ac:dyDescent="0.25"/>
    <row r="268132" s="12" customFormat="1" x14ac:dyDescent="0.25"/>
    <row r="268133" s="12" customFormat="1" x14ac:dyDescent="0.25"/>
    <row r="268134" s="12" customFormat="1" x14ac:dyDescent="0.25"/>
    <row r="268135" s="12" customFormat="1" x14ac:dyDescent="0.25"/>
    <row r="268136" s="12" customFormat="1" x14ac:dyDescent="0.25"/>
    <row r="268137" s="12" customFormat="1" x14ac:dyDescent="0.25"/>
    <row r="268138" s="12" customFormat="1" x14ac:dyDescent="0.25"/>
    <row r="268139" s="12" customFormat="1" x14ac:dyDescent="0.25"/>
    <row r="268140" s="12" customFormat="1" x14ac:dyDescent="0.25"/>
    <row r="268141" s="12" customFormat="1" x14ac:dyDescent="0.25"/>
    <row r="268142" s="12" customFormat="1" x14ac:dyDescent="0.25"/>
    <row r="268143" s="12" customFormat="1" x14ac:dyDescent="0.25"/>
    <row r="268144" s="12" customFormat="1" x14ac:dyDescent="0.25"/>
    <row r="268145" s="12" customFormat="1" x14ac:dyDescent="0.25"/>
    <row r="268146" s="12" customFormat="1" x14ac:dyDescent="0.25"/>
    <row r="268147" s="12" customFormat="1" x14ac:dyDescent="0.25"/>
    <row r="268148" s="12" customFormat="1" x14ac:dyDescent="0.25"/>
    <row r="268149" s="12" customFormat="1" x14ac:dyDescent="0.25"/>
    <row r="268150" s="12" customFormat="1" x14ac:dyDescent="0.25"/>
    <row r="268151" s="12" customFormat="1" x14ac:dyDescent="0.25"/>
    <row r="268152" s="12" customFormat="1" x14ac:dyDescent="0.25"/>
    <row r="268153" s="12" customFormat="1" x14ac:dyDescent="0.25"/>
    <row r="268154" s="12" customFormat="1" x14ac:dyDescent="0.25"/>
    <row r="268155" s="12" customFormat="1" x14ac:dyDescent="0.25"/>
    <row r="268156" s="12" customFormat="1" x14ac:dyDescent="0.25"/>
    <row r="268157" s="12" customFormat="1" x14ac:dyDescent="0.25"/>
    <row r="268158" s="12" customFormat="1" x14ac:dyDescent="0.25"/>
    <row r="268159" s="12" customFormat="1" x14ac:dyDescent="0.25"/>
    <row r="268160" s="12" customFormat="1" x14ac:dyDescent="0.25"/>
    <row r="268161" s="12" customFormat="1" x14ac:dyDescent="0.25"/>
    <row r="268162" s="12" customFormat="1" x14ac:dyDescent="0.25"/>
    <row r="268163" s="12" customFormat="1" x14ac:dyDescent="0.25"/>
    <row r="268164" s="12" customFormat="1" x14ac:dyDescent="0.25"/>
    <row r="268165" s="12" customFormat="1" x14ac:dyDescent="0.25"/>
    <row r="268166" s="12" customFormat="1" x14ac:dyDescent="0.25"/>
    <row r="268167" s="12" customFormat="1" x14ac:dyDescent="0.25"/>
    <row r="268168" s="12" customFormat="1" x14ac:dyDescent="0.25"/>
    <row r="268169" s="12" customFormat="1" x14ac:dyDescent="0.25"/>
    <row r="268170" s="12" customFormat="1" x14ac:dyDescent="0.25"/>
    <row r="268171" s="12" customFormat="1" x14ac:dyDescent="0.25"/>
    <row r="268172" s="12" customFormat="1" x14ac:dyDescent="0.25"/>
    <row r="268173" s="12" customFormat="1" x14ac:dyDescent="0.25"/>
    <row r="268174" s="12" customFormat="1" x14ac:dyDescent="0.25"/>
    <row r="268175" s="12" customFormat="1" x14ac:dyDescent="0.25"/>
    <row r="268176" s="12" customFormat="1" x14ac:dyDescent="0.25"/>
    <row r="268177" s="12" customFormat="1" x14ac:dyDescent="0.25"/>
    <row r="268178" s="12" customFormat="1" x14ac:dyDescent="0.25"/>
    <row r="268179" s="12" customFormat="1" x14ac:dyDescent="0.25"/>
    <row r="268180" s="12" customFormat="1" x14ac:dyDescent="0.25"/>
    <row r="268181" s="12" customFormat="1" x14ac:dyDescent="0.25"/>
    <row r="268182" s="12" customFormat="1" x14ac:dyDescent="0.25"/>
    <row r="268183" s="12" customFormat="1" x14ac:dyDescent="0.25"/>
    <row r="268184" s="12" customFormat="1" x14ac:dyDescent="0.25"/>
    <row r="268185" s="12" customFormat="1" x14ac:dyDescent="0.25"/>
    <row r="268186" s="12" customFormat="1" x14ac:dyDescent="0.25"/>
    <row r="268187" s="12" customFormat="1" x14ac:dyDescent="0.25"/>
    <row r="268188" s="12" customFormat="1" x14ac:dyDescent="0.25"/>
    <row r="268189" s="12" customFormat="1" x14ac:dyDescent="0.25"/>
    <row r="268190" s="12" customFormat="1" x14ac:dyDescent="0.25"/>
    <row r="268191" s="12" customFormat="1" x14ac:dyDescent="0.25"/>
    <row r="268192" s="12" customFormat="1" x14ac:dyDescent="0.25"/>
    <row r="268193" s="12" customFormat="1" x14ac:dyDescent="0.25"/>
    <row r="268194" s="12" customFormat="1" x14ac:dyDescent="0.25"/>
    <row r="268195" s="12" customFormat="1" x14ac:dyDescent="0.25"/>
    <row r="268196" s="12" customFormat="1" x14ac:dyDescent="0.25"/>
    <row r="268197" s="12" customFormat="1" x14ac:dyDescent="0.25"/>
    <row r="268198" s="12" customFormat="1" x14ac:dyDescent="0.25"/>
    <row r="268199" s="12" customFormat="1" x14ac:dyDescent="0.25"/>
    <row r="268200" s="12" customFormat="1" x14ac:dyDescent="0.25"/>
    <row r="268201" s="12" customFormat="1" x14ac:dyDescent="0.25"/>
    <row r="268202" s="12" customFormat="1" x14ac:dyDescent="0.25"/>
    <row r="268203" s="12" customFormat="1" x14ac:dyDescent="0.25"/>
    <row r="268204" s="12" customFormat="1" x14ac:dyDescent="0.25"/>
    <row r="268205" s="12" customFormat="1" x14ac:dyDescent="0.25"/>
    <row r="268206" s="12" customFormat="1" x14ac:dyDescent="0.25"/>
    <row r="268207" s="12" customFormat="1" x14ac:dyDescent="0.25"/>
    <row r="268208" s="12" customFormat="1" x14ac:dyDescent="0.25"/>
    <row r="268209" s="12" customFormat="1" x14ac:dyDescent="0.25"/>
    <row r="268210" s="12" customFormat="1" x14ac:dyDescent="0.25"/>
    <row r="268211" s="12" customFormat="1" x14ac:dyDescent="0.25"/>
    <row r="268212" s="12" customFormat="1" x14ac:dyDescent="0.25"/>
    <row r="268213" s="12" customFormat="1" x14ac:dyDescent="0.25"/>
    <row r="268214" s="12" customFormat="1" x14ac:dyDescent="0.25"/>
    <row r="268215" s="12" customFormat="1" x14ac:dyDescent="0.25"/>
    <row r="268216" s="12" customFormat="1" x14ac:dyDescent="0.25"/>
    <row r="268217" s="12" customFormat="1" x14ac:dyDescent="0.25"/>
    <row r="268218" s="12" customFormat="1" x14ac:dyDescent="0.25"/>
    <row r="268219" s="12" customFormat="1" x14ac:dyDescent="0.25"/>
    <row r="268220" s="12" customFormat="1" x14ac:dyDescent="0.25"/>
    <row r="268221" s="12" customFormat="1" x14ac:dyDescent="0.25"/>
    <row r="268222" s="12" customFormat="1" x14ac:dyDescent="0.25"/>
    <row r="268223" s="12" customFormat="1" x14ac:dyDescent="0.25"/>
    <row r="268224" s="12" customFormat="1" x14ac:dyDescent="0.25"/>
    <row r="268225" s="12" customFormat="1" x14ac:dyDescent="0.25"/>
    <row r="268226" s="12" customFormat="1" x14ac:dyDescent="0.25"/>
    <row r="268227" s="12" customFormat="1" x14ac:dyDescent="0.25"/>
    <row r="268228" s="12" customFormat="1" x14ac:dyDescent="0.25"/>
    <row r="268229" s="12" customFormat="1" x14ac:dyDescent="0.25"/>
    <row r="268230" s="12" customFormat="1" x14ac:dyDescent="0.25"/>
    <row r="268231" s="12" customFormat="1" x14ac:dyDescent="0.25"/>
    <row r="268232" s="12" customFormat="1" x14ac:dyDescent="0.25"/>
    <row r="268233" s="12" customFormat="1" x14ac:dyDescent="0.25"/>
    <row r="268234" s="12" customFormat="1" x14ac:dyDescent="0.25"/>
    <row r="268235" s="12" customFormat="1" x14ac:dyDescent="0.25"/>
    <row r="268236" s="12" customFormat="1" x14ac:dyDescent="0.25"/>
    <row r="268237" s="12" customFormat="1" x14ac:dyDescent="0.25"/>
    <row r="268238" s="12" customFormat="1" x14ac:dyDescent="0.25"/>
    <row r="268239" s="12" customFormat="1" x14ac:dyDescent="0.25"/>
    <row r="268240" s="12" customFormat="1" x14ac:dyDescent="0.25"/>
    <row r="268241" s="12" customFormat="1" x14ac:dyDescent="0.25"/>
    <row r="268242" s="12" customFormat="1" x14ac:dyDescent="0.25"/>
    <row r="268243" s="12" customFormat="1" x14ac:dyDescent="0.25"/>
    <row r="268244" s="12" customFormat="1" x14ac:dyDescent="0.25"/>
    <row r="268245" s="12" customFormat="1" x14ac:dyDescent="0.25"/>
    <row r="268246" s="12" customFormat="1" x14ac:dyDescent="0.25"/>
    <row r="268247" s="12" customFormat="1" x14ac:dyDescent="0.25"/>
    <row r="268248" s="12" customFormat="1" x14ac:dyDescent="0.25"/>
    <row r="268249" s="12" customFormat="1" x14ac:dyDescent="0.25"/>
    <row r="268250" s="12" customFormat="1" x14ac:dyDescent="0.25"/>
    <row r="268251" s="12" customFormat="1" x14ac:dyDescent="0.25"/>
    <row r="268252" s="12" customFormat="1" x14ac:dyDescent="0.25"/>
    <row r="268253" s="12" customFormat="1" x14ac:dyDescent="0.25"/>
    <row r="268254" s="12" customFormat="1" x14ac:dyDescent="0.25"/>
    <row r="268255" s="12" customFormat="1" x14ac:dyDescent="0.25"/>
    <row r="268256" s="12" customFormat="1" x14ac:dyDescent="0.25"/>
    <row r="268257" s="12" customFormat="1" x14ac:dyDescent="0.25"/>
    <row r="268258" s="12" customFormat="1" x14ac:dyDescent="0.25"/>
    <row r="268259" s="12" customFormat="1" x14ac:dyDescent="0.25"/>
    <row r="268260" s="12" customFormat="1" x14ac:dyDescent="0.25"/>
    <row r="268261" s="12" customFormat="1" x14ac:dyDescent="0.25"/>
    <row r="268262" s="12" customFormat="1" x14ac:dyDescent="0.25"/>
    <row r="268263" s="12" customFormat="1" x14ac:dyDescent="0.25"/>
    <row r="268264" s="12" customFormat="1" x14ac:dyDescent="0.25"/>
    <row r="268265" s="12" customFormat="1" x14ac:dyDescent="0.25"/>
    <row r="268266" s="12" customFormat="1" x14ac:dyDescent="0.25"/>
    <row r="268267" s="12" customFormat="1" x14ac:dyDescent="0.25"/>
    <row r="268268" s="12" customFormat="1" x14ac:dyDescent="0.25"/>
    <row r="268269" s="12" customFormat="1" x14ac:dyDescent="0.25"/>
    <row r="268270" s="12" customFormat="1" x14ac:dyDescent="0.25"/>
    <row r="268271" s="12" customFormat="1" x14ac:dyDescent="0.25"/>
    <row r="268272" s="12" customFormat="1" x14ac:dyDescent="0.25"/>
    <row r="268273" s="12" customFormat="1" x14ac:dyDescent="0.25"/>
    <row r="268274" s="12" customFormat="1" x14ac:dyDescent="0.25"/>
    <row r="268275" s="12" customFormat="1" x14ac:dyDescent="0.25"/>
    <row r="268276" s="12" customFormat="1" x14ac:dyDescent="0.25"/>
    <row r="268277" s="12" customFormat="1" x14ac:dyDescent="0.25"/>
    <row r="268278" s="12" customFormat="1" x14ac:dyDescent="0.25"/>
    <row r="268279" s="12" customFormat="1" x14ac:dyDescent="0.25"/>
    <row r="268280" s="12" customFormat="1" x14ac:dyDescent="0.25"/>
    <row r="268281" s="12" customFormat="1" x14ac:dyDescent="0.25"/>
    <row r="268282" s="12" customFormat="1" x14ac:dyDescent="0.25"/>
    <row r="268283" s="12" customFormat="1" x14ac:dyDescent="0.25"/>
    <row r="268284" s="12" customFormat="1" x14ac:dyDescent="0.25"/>
    <row r="268285" s="12" customFormat="1" x14ac:dyDescent="0.25"/>
    <row r="268286" s="12" customFormat="1" x14ac:dyDescent="0.25"/>
    <row r="268287" s="12" customFormat="1" x14ac:dyDescent="0.25"/>
    <row r="268288" s="12" customFormat="1" x14ac:dyDescent="0.25"/>
    <row r="268289" s="12" customFormat="1" x14ac:dyDescent="0.25"/>
    <row r="268290" s="12" customFormat="1" x14ac:dyDescent="0.25"/>
    <row r="268291" s="12" customFormat="1" x14ac:dyDescent="0.25"/>
    <row r="268292" s="12" customFormat="1" x14ac:dyDescent="0.25"/>
    <row r="268293" s="12" customFormat="1" x14ac:dyDescent="0.25"/>
    <row r="268294" s="12" customFormat="1" x14ac:dyDescent="0.25"/>
    <row r="268295" s="12" customFormat="1" x14ac:dyDescent="0.25"/>
    <row r="268296" s="12" customFormat="1" x14ac:dyDescent="0.25"/>
    <row r="268297" s="12" customFormat="1" x14ac:dyDescent="0.25"/>
    <row r="268298" s="12" customFormat="1" x14ac:dyDescent="0.25"/>
    <row r="268299" s="12" customFormat="1" x14ac:dyDescent="0.25"/>
    <row r="268300" s="12" customFormat="1" x14ac:dyDescent="0.25"/>
    <row r="268301" s="12" customFormat="1" x14ac:dyDescent="0.25"/>
    <row r="268302" s="12" customFormat="1" x14ac:dyDescent="0.25"/>
    <row r="268303" s="12" customFormat="1" x14ac:dyDescent="0.25"/>
    <row r="268304" s="12" customFormat="1" x14ac:dyDescent="0.25"/>
    <row r="268305" s="12" customFormat="1" x14ac:dyDescent="0.25"/>
    <row r="268306" s="12" customFormat="1" x14ac:dyDescent="0.25"/>
    <row r="268307" s="12" customFormat="1" x14ac:dyDescent="0.25"/>
    <row r="268308" s="12" customFormat="1" x14ac:dyDescent="0.25"/>
    <row r="268309" s="12" customFormat="1" x14ac:dyDescent="0.25"/>
    <row r="268310" s="12" customFormat="1" x14ac:dyDescent="0.25"/>
    <row r="268311" s="12" customFormat="1" x14ac:dyDescent="0.25"/>
    <row r="268312" s="12" customFormat="1" x14ac:dyDescent="0.25"/>
    <row r="268313" s="12" customFormat="1" x14ac:dyDescent="0.25"/>
    <row r="268314" s="12" customFormat="1" x14ac:dyDescent="0.25"/>
    <row r="268315" s="12" customFormat="1" x14ac:dyDescent="0.25"/>
    <row r="268316" s="12" customFormat="1" x14ac:dyDescent="0.25"/>
    <row r="268317" s="12" customFormat="1" x14ac:dyDescent="0.25"/>
    <row r="268318" s="12" customFormat="1" x14ac:dyDescent="0.25"/>
    <row r="268319" s="12" customFormat="1" x14ac:dyDescent="0.25"/>
    <row r="268320" s="12" customFormat="1" x14ac:dyDescent="0.25"/>
    <row r="268321" s="12" customFormat="1" x14ac:dyDescent="0.25"/>
    <row r="268322" s="12" customFormat="1" x14ac:dyDescent="0.25"/>
    <row r="268323" s="12" customFormat="1" x14ac:dyDescent="0.25"/>
    <row r="268324" s="12" customFormat="1" x14ac:dyDescent="0.25"/>
    <row r="268325" s="12" customFormat="1" x14ac:dyDescent="0.25"/>
    <row r="268326" s="12" customFormat="1" x14ac:dyDescent="0.25"/>
    <row r="268327" s="12" customFormat="1" x14ac:dyDescent="0.25"/>
    <row r="268328" s="12" customFormat="1" x14ac:dyDescent="0.25"/>
    <row r="268329" s="12" customFormat="1" x14ac:dyDescent="0.25"/>
    <row r="268330" s="12" customFormat="1" x14ac:dyDescent="0.25"/>
    <row r="268331" s="12" customFormat="1" x14ac:dyDescent="0.25"/>
    <row r="268332" s="12" customFormat="1" x14ac:dyDescent="0.25"/>
    <row r="268333" s="12" customFormat="1" x14ac:dyDescent="0.25"/>
    <row r="268334" s="12" customFormat="1" x14ac:dyDescent="0.25"/>
    <row r="268335" s="12" customFormat="1" x14ac:dyDescent="0.25"/>
    <row r="268336" s="12" customFormat="1" x14ac:dyDescent="0.25"/>
    <row r="268337" s="12" customFormat="1" x14ac:dyDescent="0.25"/>
    <row r="268338" s="12" customFormat="1" x14ac:dyDescent="0.25"/>
    <row r="268339" s="12" customFormat="1" x14ac:dyDescent="0.25"/>
    <row r="268340" s="12" customFormat="1" x14ac:dyDescent="0.25"/>
    <row r="268341" s="12" customFormat="1" x14ac:dyDescent="0.25"/>
    <row r="268342" s="12" customFormat="1" x14ac:dyDescent="0.25"/>
    <row r="268343" s="12" customFormat="1" x14ac:dyDescent="0.25"/>
    <row r="268344" s="12" customFormat="1" x14ac:dyDescent="0.25"/>
    <row r="268345" s="12" customFormat="1" x14ac:dyDescent="0.25"/>
    <row r="268346" s="12" customFormat="1" x14ac:dyDescent="0.25"/>
    <row r="268347" s="12" customFormat="1" x14ac:dyDescent="0.25"/>
    <row r="268348" s="12" customFormat="1" x14ac:dyDescent="0.25"/>
    <row r="268349" s="12" customFormat="1" x14ac:dyDescent="0.25"/>
    <row r="268350" s="12" customFormat="1" x14ac:dyDescent="0.25"/>
    <row r="268351" s="12" customFormat="1" x14ac:dyDescent="0.25"/>
    <row r="268352" s="12" customFormat="1" x14ac:dyDescent="0.25"/>
    <row r="268353" s="12" customFormat="1" x14ac:dyDescent="0.25"/>
    <row r="268354" s="12" customFormat="1" x14ac:dyDescent="0.25"/>
    <row r="268355" s="12" customFormat="1" x14ac:dyDescent="0.25"/>
    <row r="268356" s="12" customFormat="1" x14ac:dyDescent="0.25"/>
    <row r="268357" s="12" customFormat="1" x14ac:dyDescent="0.25"/>
    <row r="268358" s="12" customFormat="1" x14ac:dyDescent="0.25"/>
    <row r="268359" s="12" customFormat="1" x14ac:dyDescent="0.25"/>
    <row r="268360" s="12" customFormat="1" x14ac:dyDescent="0.25"/>
    <row r="268361" s="12" customFormat="1" x14ac:dyDescent="0.25"/>
    <row r="268362" s="12" customFormat="1" x14ac:dyDescent="0.25"/>
    <row r="268363" s="12" customFormat="1" x14ac:dyDescent="0.25"/>
    <row r="268364" s="12" customFormat="1" x14ac:dyDescent="0.25"/>
    <row r="268365" s="12" customFormat="1" x14ac:dyDescent="0.25"/>
    <row r="268366" s="12" customFormat="1" x14ac:dyDescent="0.25"/>
    <row r="268367" s="12" customFormat="1" x14ac:dyDescent="0.25"/>
    <row r="268368" s="12" customFormat="1" x14ac:dyDescent="0.25"/>
    <row r="268369" s="12" customFormat="1" x14ac:dyDescent="0.25"/>
    <row r="268370" s="12" customFormat="1" x14ac:dyDescent="0.25"/>
    <row r="268371" s="12" customFormat="1" x14ac:dyDescent="0.25"/>
    <row r="268372" s="12" customFormat="1" x14ac:dyDescent="0.25"/>
    <row r="268373" s="12" customFormat="1" x14ac:dyDescent="0.25"/>
    <row r="268374" s="12" customFormat="1" x14ac:dyDescent="0.25"/>
    <row r="268375" s="12" customFormat="1" x14ac:dyDescent="0.25"/>
    <row r="268376" s="12" customFormat="1" x14ac:dyDescent="0.25"/>
    <row r="268377" s="12" customFormat="1" x14ac:dyDescent="0.25"/>
    <row r="268378" s="12" customFormat="1" x14ac:dyDescent="0.25"/>
    <row r="268379" s="12" customFormat="1" x14ac:dyDescent="0.25"/>
    <row r="268380" s="12" customFormat="1" x14ac:dyDescent="0.25"/>
    <row r="268381" s="12" customFormat="1" x14ac:dyDescent="0.25"/>
    <row r="268382" s="12" customFormat="1" x14ac:dyDescent="0.25"/>
    <row r="268383" s="12" customFormat="1" x14ac:dyDescent="0.25"/>
    <row r="268384" s="12" customFormat="1" x14ac:dyDescent="0.25"/>
    <row r="268385" s="12" customFormat="1" x14ac:dyDescent="0.25"/>
    <row r="268386" s="12" customFormat="1" x14ac:dyDescent="0.25"/>
    <row r="268387" s="12" customFormat="1" x14ac:dyDescent="0.25"/>
    <row r="268388" s="12" customFormat="1" x14ac:dyDescent="0.25"/>
    <row r="268389" s="12" customFormat="1" x14ac:dyDescent="0.25"/>
    <row r="268390" s="12" customFormat="1" x14ac:dyDescent="0.25"/>
    <row r="268391" s="12" customFormat="1" x14ac:dyDescent="0.25"/>
    <row r="268392" s="12" customFormat="1" x14ac:dyDescent="0.25"/>
    <row r="268393" s="12" customFormat="1" x14ac:dyDescent="0.25"/>
    <row r="268394" s="12" customFormat="1" x14ac:dyDescent="0.25"/>
    <row r="268395" s="12" customFormat="1" x14ac:dyDescent="0.25"/>
    <row r="268396" s="12" customFormat="1" x14ac:dyDescent="0.25"/>
    <row r="268397" s="12" customFormat="1" x14ac:dyDescent="0.25"/>
    <row r="268398" s="12" customFormat="1" x14ac:dyDescent="0.25"/>
    <row r="268399" s="12" customFormat="1" x14ac:dyDescent="0.25"/>
    <row r="268400" s="12" customFormat="1" x14ac:dyDescent="0.25"/>
    <row r="268401" s="12" customFormat="1" x14ac:dyDescent="0.25"/>
    <row r="268402" s="12" customFormat="1" x14ac:dyDescent="0.25"/>
    <row r="268403" s="12" customFormat="1" x14ac:dyDescent="0.25"/>
    <row r="268404" s="12" customFormat="1" x14ac:dyDescent="0.25"/>
    <row r="268405" s="12" customFormat="1" x14ac:dyDescent="0.25"/>
    <row r="268406" s="12" customFormat="1" x14ac:dyDescent="0.25"/>
    <row r="268407" s="12" customFormat="1" x14ac:dyDescent="0.25"/>
    <row r="268408" s="12" customFormat="1" x14ac:dyDescent="0.25"/>
    <row r="268409" s="12" customFormat="1" x14ac:dyDescent="0.25"/>
    <row r="268410" s="12" customFormat="1" x14ac:dyDescent="0.25"/>
    <row r="268411" s="12" customFormat="1" x14ac:dyDescent="0.25"/>
    <row r="268412" s="12" customFormat="1" x14ac:dyDescent="0.25"/>
    <row r="268413" s="12" customFormat="1" x14ac:dyDescent="0.25"/>
    <row r="268414" s="12" customFormat="1" x14ac:dyDescent="0.25"/>
    <row r="268415" s="12" customFormat="1" x14ac:dyDescent="0.25"/>
    <row r="268416" s="12" customFormat="1" x14ac:dyDescent="0.25"/>
    <row r="268417" s="12" customFormat="1" x14ac:dyDescent="0.25"/>
    <row r="268418" s="12" customFormat="1" x14ac:dyDescent="0.25"/>
    <row r="268419" s="12" customFormat="1" x14ac:dyDescent="0.25"/>
    <row r="268420" s="12" customFormat="1" x14ac:dyDescent="0.25"/>
    <row r="268421" s="12" customFormat="1" x14ac:dyDescent="0.25"/>
    <row r="268422" s="12" customFormat="1" x14ac:dyDescent="0.25"/>
    <row r="268423" s="12" customFormat="1" x14ac:dyDescent="0.25"/>
    <row r="268424" s="12" customFormat="1" x14ac:dyDescent="0.25"/>
    <row r="268425" s="12" customFormat="1" x14ac:dyDescent="0.25"/>
    <row r="268426" s="12" customFormat="1" x14ac:dyDescent="0.25"/>
    <row r="268427" s="12" customFormat="1" x14ac:dyDescent="0.25"/>
    <row r="268428" s="12" customFormat="1" x14ac:dyDescent="0.25"/>
    <row r="268429" s="12" customFormat="1" x14ac:dyDescent="0.25"/>
    <row r="268430" s="12" customFormat="1" x14ac:dyDescent="0.25"/>
    <row r="268431" s="12" customFormat="1" x14ac:dyDescent="0.25"/>
    <row r="268432" s="12" customFormat="1" x14ac:dyDescent="0.25"/>
    <row r="268433" s="12" customFormat="1" x14ac:dyDescent="0.25"/>
    <row r="268434" s="12" customFormat="1" x14ac:dyDescent="0.25"/>
    <row r="268435" s="12" customFormat="1" x14ac:dyDescent="0.25"/>
    <row r="268436" s="12" customFormat="1" x14ac:dyDescent="0.25"/>
    <row r="268437" s="12" customFormat="1" x14ac:dyDescent="0.25"/>
    <row r="268438" s="12" customFormat="1" x14ac:dyDescent="0.25"/>
    <row r="268439" s="12" customFormat="1" x14ac:dyDescent="0.25"/>
    <row r="268440" s="12" customFormat="1" x14ac:dyDescent="0.25"/>
    <row r="268441" s="12" customFormat="1" x14ac:dyDescent="0.25"/>
    <row r="268442" s="12" customFormat="1" x14ac:dyDescent="0.25"/>
    <row r="268443" s="12" customFormat="1" x14ac:dyDescent="0.25"/>
    <row r="268444" s="12" customFormat="1" x14ac:dyDescent="0.25"/>
    <row r="268445" s="12" customFormat="1" x14ac:dyDescent="0.25"/>
    <row r="268446" s="12" customFormat="1" x14ac:dyDescent="0.25"/>
    <row r="268447" s="12" customFormat="1" x14ac:dyDescent="0.25"/>
    <row r="268448" s="12" customFormat="1" x14ac:dyDescent="0.25"/>
    <row r="268449" s="12" customFormat="1" x14ac:dyDescent="0.25"/>
    <row r="268450" s="12" customFormat="1" x14ac:dyDescent="0.25"/>
    <row r="268451" s="12" customFormat="1" x14ac:dyDescent="0.25"/>
    <row r="268452" s="12" customFormat="1" x14ac:dyDescent="0.25"/>
    <row r="268453" s="12" customFormat="1" x14ac:dyDescent="0.25"/>
    <row r="268454" s="12" customFormat="1" x14ac:dyDescent="0.25"/>
    <row r="268455" s="12" customFormat="1" x14ac:dyDescent="0.25"/>
    <row r="268456" s="12" customFormat="1" x14ac:dyDescent="0.25"/>
    <row r="268457" s="12" customFormat="1" x14ac:dyDescent="0.25"/>
    <row r="268458" s="12" customFormat="1" x14ac:dyDescent="0.25"/>
    <row r="268459" s="12" customFormat="1" x14ac:dyDescent="0.25"/>
    <row r="268460" s="12" customFormat="1" x14ac:dyDescent="0.25"/>
    <row r="268461" s="12" customFormat="1" x14ac:dyDescent="0.25"/>
    <row r="268462" s="12" customFormat="1" x14ac:dyDescent="0.25"/>
    <row r="268463" s="12" customFormat="1" x14ac:dyDescent="0.25"/>
    <row r="268464" s="12" customFormat="1" x14ac:dyDescent="0.25"/>
    <row r="268465" s="12" customFormat="1" x14ac:dyDescent="0.25"/>
    <row r="268466" s="12" customFormat="1" x14ac:dyDescent="0.25"/>
    <row r="268467" s="12" customFormat="1" x14ac:dyDescent="0.25"/>
    <row r="268468" s="12" customFormat="1" x14ac:dyDescent="0.25"/>
    <row r="268469" s="12" customFormat="1" x14ac:dyDescent="0.25"/>
    <row r="268470" s="12" customFormat="1" x14ac:dyDescent="0.25"/>
    <row r="268471" s="12" customFormat="1" x14ac:dyDescent="0.25"/>
    <row r="268472" s="12" customFormat="1" x14ac:dyDescent="0.25"/>
    <row r="268473" s="12" customFormat="1" x14ac:dyDescent="0.25"/>
    <row r="268474" s="12" customFormat="1" x14ac:dyDescent="0.25"/>
    <row r="268475" s="12" customFormat="1" x14ac:dyDescent="0.25"/>
    <row r="268476" s="12" customFormat="1" x14ac:dyDescent="0.25"/>
    <row r="268477" s="12" customFormat="1" x14ac:dyDescent="0.25"/>
    <row r="268478" s="12" customFormat="1" x14ac:dyDescent="0.25"/>
    <row r="268479" s="12" customFormat="1" x14ac:dyDescent="0.25"/>
    <row r="268480" s="12" customFormat="1" x14ac:dyDescent="0.25"/>
    <row r="268481" s="12" customFormat="1" x14ac:dyDescent="0.25"/>
    <row r="268482" s="12" customFormat="1" x14ac:dyDescent="0.25"/>
    <row r="268483" s="12" customFormat="1" x14ac:dyDescent="0.25"/>
    <row r="268484" s="12" customFormat="1" x14ac:dyDescent="0.25"/>
    <row r="268485" s="12" customFormat="1" x14ac:dyDescent="0.25"/>
    <row r="268486" s="12" customFormat="1" x14ac:dyDescent="0.25"/>
    <row r="268487" s="12" customFormat="1" x14ac:dyDescent="0.25"/>
    <row r="268488" s="12" customFormat="1" x14ac:dyDescent="0.25"/>
    <row r="268489" s="12" customFormat="1" x14ac:dyDescent="0.25"/>
    <row r="268490" s="12" customFormat="1" x14ac:dyDescent="0.25"/>
    <row r="268491" s="12" customFormat="1" x14ac:dyDescent="0.25"/>
    <row r="268492" s="12" customFormat="1" x14ac:dyDescent="0.25"/>
    <row r="268493" s="12" customFormat="1" x14ac:dyDescent="0.25"/>
    <row r="268494" s="12" customFormat="1" x14ac:dyDescent="0.25"/>
    <row r="268495" s="12" customFormat="1" x14ac:dyDescent="0.25"/>
    <row r="268496" s="12" customFormat="1" x14ac:dyDescent="0.25"/>
    <row r="268497" s="12" customFormat="1" x14ac:dyDescent="0.25"/>
    <row r="268498" s="12" customFormat="1" x14ac:dyDescent="0.25"/>
    <row r="268499" s="12" customFormat="1" x14ac:dyDescent="0.25"/>
    <row r="268500" s="12" customFormat="1" x14ac:dyDescent="0.25"/>
    <row r="268501" s="12" customFormat="1" x14ac:dyDescent="0.25"/>
    <row r="268502" s="12" customFormat="1" x14ac:dyDescent="0.25"/>
    <row r="268503" s="12" customFormat="1" x14ac:dyDescent="0.25"/>
    <row r="268504" s="12" customFormat="1" x14ac:dyDescent="0.25"/>
    <row r="268505" s="12" customFormat="1" x14ac:dyDescent="0.25"/>
    <row r="268506" s="12" customFormat="1" x14ac:dyDescent="0.25"/>
    <row r="268507" s="12" customFormat="1" x14ac:dyDescent="0.25"/>
    <row r="268508" s="12" customFormat="1" x14ac:dyDescent="0.25"/>
    <row r="268509" s="12" customFormat="1" x14ac:dyDescent="0.25"/>
    <row r="268510" s="12" customFormat="1" x14ac:dyDescent="0.25"/>
    <row r="268511" s="12" customFormat="1" x14ac:dyDescent="0.25"/>
    <row r="268512" s="12" customFormat="1" x14ac:dyDescent="0.25"/>
    <row r="268513" s="12" customFormat="1" x14ac:dyDescent="0.25"/>
    <row r="268514" s="12" customFormat="1" x14ac:dyDescent="0.25"/>
    <row r="268515" s="12" customFormat="1" x14ac:dyDescent="0.25"/>
    <row r="268516" s="12" customFormat="1" x14ac:dyDescent="0.25"/>
    <row r="268517" s="12" customFormat="1" x14ac:dyDescent="0.25"/>
    <row r="268518" s="12" customFormat="1" x14ac:dyDescent="0.25"/>
    <row r="268519" s="12" customFormat="1" x14ac:dyDescent="0.25"/>
    <row r="268520" s="12" customFormat="1" x14ac:dyDescent="0.25"/>
    <row r="268521" s="12" customFormat="1" x14ac:dyDescent="0.25"/>
    <row r="268522" s="12" customFormat="1" x14ac:dyDescent="0.25"/>
    <row r="268523" s="12" customFormat="1" x14ac:dyDescent="0.25"/>
    <row r="268524" s="12" customFormat="1" x14ac:dyDescent="0.25"/>
    <row r="268525" s="12" customFormat="1" x14ac:dyDescent="0.25"/>
    <row r="268526" s="12" customFormat="1" x14ac:dyDescent="0.25"/>
    <row r="268527" s="12" customFormat="1" x14ac:dyDescent="0.25"/>
    <row r="268528" s="12" customFormat="1" x14ac:dyDescent="0.25"/>
    <row r="268529" s="12" customFormat="1" x14ac:dyDescent="0.25"/>
    <row r="268530" s="12" customFormat="1" x14ac:dyDescent="0.25"/>
    <row r="268531" s="12" customFormat="1" x14ac:dyDescent="0.25"/>
    <row r="268532" s="12" customFormat="1" x14ac:dyDescent="0.25"/>
    <row r="268533" s="12" customFormat="1" x14ac:dyDescent="0.25"/>
    <row r="268534" s="12" customFormat="1" x14ac:dyDescent="0.25"/>
    <row r="268535" s="12" customFormat="1" x14ac:dyDescent="0.25"/>
    <row r="268536" s="12" customFormat="1" x14ac:dyDescent="0.25"/>
    <row r="268537" s="12" customFormat="1" x14ac:dyDescent="0.25"/>
    <row r="268538" s="12" customFormat="1" x14ac:dyDescent="0.25"/>
    <row r="268539" s="12" customFormat="1" x14ac:dyDescent="0.25"/>
    <row r="268540" s="12" customFormat="1" x14ac:dyDescent="0.25"/>
    <row r="268541" s="12" customFormat="1" x14ac:dyDescent="0.25"/>
    <row r="268542" s="12" customFormat="1" x14ac:dyDescent="0.25"/>
    <row r="268543" s="12" customFormat="1" x14ac:dyDescent="0.25"/>
    <row r="268544" s="12" customFormat="1" x14ac:dyDescent="0.25"/>
    <row r="268545" s="12" customFormat="1" x14ac:dyDescent="0.25"/>
    <row r="268546" s="12" customFormat="1" x14ac:dyDescent="0.25"/>
    <row r="268547" s="12" customFormat="1" x14ac:dyDescent="0.25"/>
    <row r="268548" s="12" customFormat="1" x14ac:dyDescent="0.25"/>
    <row r="268549" s="12" customFormat="1" x14ac:dyDescent="0.25"/>
    <row r="268550" s="12" customFormat="1" x14ac:dyDescent="0.25"/>
    <row r="268551" s="12" customFormat="1" x14ac:dyDescent="0.25"/>
    <row r="268552" s="12" customFormat="1" x14ac:dyDescent="0.25"/>
    <row r="268553" s="12" customFormat="1" x14ac:dyDescent="0.25"/>
    <row r="268554" s="12" customFormat="1" x14ac:dyDescent="0.25"/>
    <row r="268555" s="12" customFormat="1" x14ac:dyDescent="0.25"/>
    <row r="268556" s="12" customFormat="1" x14ac:dyDescent="0.25"/>
    <row r="268557" s="12" customFormat="1" x14ac:dyDescent="0.25"/>
    <row r="268558" s="12" customFormat="1" x14ac:dyDescent="0.25"/>
    <row r="268559" s="12" customFormat="1" x14ac:dyDescent="0.25"/>
    <row r="268560" s="12" customFormat="1" x14ac:dyDescent="0.25"/>
    <row r="268561" s="12" customFormat="1" x14ac:dyDescent="0.25"/>
    <row r="268562" s="12" customFormat="1" x14ac:dyDescent="0.25"/>
    <row r="268563" s="12" customFormat="1" x14ac:dyDescent="0.25"/>
    <row r="268564" s="12" customFormat="1" x14ac:dyDescent="0.25"/>
    <row r="268565" s="12" customFormat="1" x14ac:dyDescent="0.25"/>
    <row r="268566" s="12" customFormat="1" x14ac:dyDescent="0.25"/>
    <row r="268567" s="12" customFormat="1" x14ac:dyDescent="0.25"/>
    <row r="268568" s="12" customFormat="1" x14ac:dyDescent="0.25"/>
    <row r="268569" s="12" customFormat="1" x14ac:dyDescent="0.25"/>
    <row r="268570" s="12" customFormat="1" x14ac:dyDescent="0.25"/>
    <row r="268571" s="12" customFormat="1" x14ac:dyDescent="0.25"/>
    <row r="268572" s="12" customFormat="1" x14ac:dyDescent="0.25"/>
    <row r="268573" s="12" customFormat="1" x14ac:dyDescent="0.25"/>
    <row r="268574" s="12" customFormat="1" x14ac:dyDescent="0.25"/>
    <row r="268575" s="12" customFormat="1" x14ac:dyDescent="0.25"/>
    <row r="268576" s="12" customFormat="1" x14ac:dyDescent="0.25"/>
    <row r="268577" s="12" customFormat="1" x14ac:dyDescent="0.25"/>
    <row r="268578" s="12" customFormat="1" x14ac:dyDescent="0.25"/>
    <row r="268579" s="12" customFormat="1" x14ac:dyDescent="0.25"/>
    <row r="268580" s="12" customFormat="1" x14ac:dyDescent="0.25"/>
    <row r="268581" s="12" customFormat="1" x14ac:dyDescent="0.25"/>
    <row r="268582" s="12" customFormat="1" x14ac:dyDescent="0.25"/>
    <row r="268583" s="12" customFormat="1" x14ac:dyDescent="0.25"/>
    <row r="268584" s="12" customFormat="1" x14ac:dyDescent="0.25"/>
    <row r="268585" s="12" customFormat="1" x14ac:dyDescent="0.25"/>
    <row r="268586" s="12" customFormat="1" x14ac:dyDescent="0.25"/>
    <row r="268587" s="12" customFormat="1" x14ac:dyDescent="0.25"/>
    <row r="268588" s="12" customFormat="1" x14ac:dyDescent="0.25"/>
    <row r="268589" s="12" customFormat="1" x14ac:dyDescent="0.25"/>
    <row r="268590" s="12" customFormat="1" x14ac:dyDescent="0.25"/>
    <row r="268591" s="12" customFormat="1" x14ac:dyDescent="0.25"/>
    <row r="268592" s="12" customFormat="1" x14ac:dyDescent="0.25"/>
    <row r="268593" s="12" customFormat="1" x14ac:dyDescent="0.25"/>
    <row r="268594" s="12" customFormat="1" x14ac:dyDescent="0.25"/>
    <row r="268595" s="12" customFormat="1" x14ac:dyDescent="0.25"/>
    <row r="268596" s="12" customFormat="1" x14ac:dyDescent="0.25"/>
    <row r="268597" s="12" customFormat="1" x14ac:dyDescent="0.25"/>
    <row r="268598" s="12" customFormat="1" x14ac:dyDescent="0.25"/>
    <row r="268599" s="12" customFormat="1" x14ac:dyDescent="0.25"/>
    <row r="268600" s="12" customFormat="1" x14ac:dyDescent="0.25"/>
    <row r="268601" s="12" customFormat="1" x14ac:dyDescent="0.25"/>
    <row r="268602" s="12" customFormat="1" x14ac:dyDescent="0.25"/>
    <row r="268603" s="12" customFormat="1" x14ac:dyDescent="0.25"/>
    <row r="268604" s="12" customFormat="1" x14ac:dyDescent="0.25"/>
    <row r="268605" s="12" customFormat="1" x14ac:dyDescent="0.25"/>
    <row r="268606" s="12" customFormat="1" x14ac:dyDescent="0.25"/>
    <row r="268607" s="12" customFormat="1" x14ac:dyDescent="0.25"/>
    <row r="268608" s="12" customFormat="1" x14ac:dyDescent="0.25"/>
    <row r="268609" s="12" customFormat="1" x14ac:dyDescent="0.25"/>
    <row r="268610" s="12" customFormat="1" x14ac:dyDescent="0.25"/>
    <row r="268611" s="12" customFormat="1" x14ac:dyDescent="0.25"/>
    <row r="268612" s="12" customFormat="1" x14ac:dyDescent="0.25"/>
    <row r="268613" s="12" customFormat="1" x14ac:dyDescent="0.25"/>
    <row r="268614" s="12" customFormat="1" x14ac:dyDescent="0.25"/>
    <row r="268615" s="12" customFormat="1" x14ac:dyDescent="0.25"/>
    <row r="268616" s="12" customFormat="1" x14ac:dyDescent="0.25"/>
    <row r="268617" s="12" customFormat="1" x14ac:dyDescent="0.25"/>
    <row r="268618" s="12" customFormat="1" x14ac:dyDescent="0.25"/>
    <row r="268619" s="12" customFormat="1" x14ac:dyDescent="0.25"/>
    <row r="268620" s="12" customFormat="1" x14ac:dyDescent="0.25"/>
    <row r="268621" s="12" customFormat="1" x14ac:dyDescent="0.25"/>
    <row r="268622" s="12" customFormat="1" x14ac:dyDescent="0.25"/>
    <row r="268623" s="12" customFormat="1" x14ac:dyDescent="0.25"/>
    <row r="268624" s="12" customFormat="1" x14ac:dyDescent="0.25"/>
    <row r="268625" s="12" customFormat="1" x14ac:dyDescent="0.25"/>
    <row r="268626" s="12" customFormat="1" x14ac:dyDescent="0.25"/>
    <row r="268627" s="12" customFormat="1" x14ac:dyDescent="0.25"/>
    <row r="268628" s="12" customFormat="1" x14ac:dyDescent="0.25"/>
    <row r="268629" s="12" customFormat="1" x14ac:dyDescent="0.25"/>
    <row r="268630" s="12" customFormat="1" x14ac:dyDescent="0.25"/>
    <row r="268631" s="12" customFormat="1" x14ac:dyDescent="0.25"/>
    <row r="268632" s="12" customFormat="1" x14ac:dyDescent="0.25"/>
    <row r="268633" s="12" customFormat="1" x14ac:dyDescent="0.25"/>
    <row r="268634" s="12" customFormat="1" x14ac:dyDescent="0.25"/>
    <row r="268635" s="12" customFormat="1" x14ac:dyDescent="0.25"/>
    <row r="268636" s="12" customFormat="1" x14ac:dyDescent="0.25"/>
    <row r="268637" s="12" customFormat="1" x14ac:dyDescent="0.25"/>
    <row r="268638" s="12" customFormat="1" x14ac:dyDescent="0.25"/>
    <row r="268639" s="12" customFormat="1" x14ac:dyDescent="0.25"/>
    <row r="268640" s="12" customFormat="1" x14ac:dyDescent="0.25"/>
    <row r="268641" s="12" customFormat="1" x14ac:dyDescent="0.25"/>
    <row r="268642" s="12" customFormat="1" x14ac:dyDescent="0.25"/>
    <row r="268643" s="12" customFormat="1" x14ac:dyDescent="0.25"/>
    <row r="268644" s="12" customFormat="1" x14ac:dyDescent="0.25"/>
    <row r="268645" s="12" customFormat="1" x14ac:dyDescent="0.25"/>
    <row r="268646" s="12" customFormat="1" x14ac:dyDescent="0.25"/>
    <row r="268647" s="12" customFormat="1" x14ac:dyDescent="0.25"/>
    <row r="268648" s="12" customFormat="1" x14ac:dyDescent="0.25"/>
    <row r="268649" s="12" customFormat="1" x14ac:dyDescent="0.25"/>
    <row r="268650" s="12" customFormat="1" x14ac:dyDescent="0.25"/>
    <row r="268651" s="12" customFormat="1" x14ac:dyDescent="0.25"/>
    <row r="268652" s="12" customFormat="1" x14ac:dyDescent="0.25"/>
    <row r="268653" s="12" customFormat="1" x14ac:dyDescent="0.25"/>
    <row r="268654" s="12" customFormat="1" x14ac:dyDescent="0.25"/>
    <row r="268655" s="12" customFormat="1" x14ac:dyDescent="0.25"/>
    <row r="268656" s="12" customFormat="1" x14ac:dyDescent="0.25"/>
    <row r="268657" s="12" customFormat="1" x14ac:dyDescent="0.25"/>
    <row r="268658" s="12" customFormat="1" x14ac:dyDescent="0.25"/>
    <row r="268659" s="12" customFormat="1" x14ac:dyDescent="0.25"/>
    <row r="268660" s="12" customFormat="1" x14ac:dyDescent="0.25"/>
    <row r="268661" s="12" customFormat="1" x14ac:dyDescent="0.25"/>
    <row r="268662" s="12" customFormat="1" x14ac:dyDescent="0.25"/>
    <row r="268663" s="12" customFormat="1" x14ac:dyDescent="0.25"/>
    <row r="268664" s="12" customFormat="1" x14ac:dyDescent="0.25"/>
    <row r="268665" s="12" customFormat="1" x14ac:dyDescent="0.25"/>
    <row r="268666" s="12" customFormat="1" x14ac:dyDescent="0.25"/>
    <row r="268667" s="12" customFormat="1" x14ac:dyDescent="0.25"/>
    <row r="268668" s="12" customFormat="1" x14ac:dyDescent="0.25"/>
    <row r="268669" s="12" customFormat="1" x14ac:dyDescent="0.25"/>
    <row r="268670" s="12" customFormat="1" x14ac:dyDescent="0.25"/>
    <row r="268671" s="12" customFormat="1" x14ac:dyDescent="0.25"/>
    <row r="268672" s="12" customFormat="1" x14ac:dyDescent="0.25"/>
    <row r="268673" s="12" customFormat="1" x14ac:dyDescent="0.25"/>
    <row r="268674" s="12" customFormat="1" x14ac:dyDescent="0.25"/>
    <row r="268675" s="12" customFormat="1" x14ac:dyDescent="0.25"/>
    <row r="268676" s="12" customFormat="1" x14ac:dyDescent="0.25"/>
    <row r="268677" s="12" customFormat="1" x14ac:dyDescent="0.25"/>
    <row r="268678" s="12" customFormat="1" x14ac:dyDescent="0.25"/>
    <row r="268679" s="12" customFormat="1" x14ac:dyDescent="0.25"/>
    <row r="268680" s="12" customFormat="1" x14ac:dyDescent="0.25"/>
    <row r="268681" s="12" customFormat="1" x14ac:dyDescent="0.25"/>
    <row r="268682" s="12" customFormat="1" x14ac:dyDescent="0.25"/>
    <row r="268683" s="12" customFormat="1" x14ac:dyDescent="0.25"/>
    <row r="268684" s="12" customFormat="1" x14ac:dyDescent="0.25"/>
    <row r="268685" s="12" customFormat="1" x14ac:dyDescent="0.25"/>
    <row r="268686" s="12" customFormat="1" x14ac:dyDescent="0.25"/>
    <row r="268687" s="12" customFormat="1" x14ac:dyDescent="0.25"/>
    <row r="268688" s="12" customFormat="1" x14ac:dyDescent="0.25"/>
    <row r="268689" s="12" customFormat="1" x14ac:dyDescent="0.25"/>
    <row r="268690" s="12" customFormat="1" x14ac:dyDescent="0.25"/>
    <row r="268691" s="12" customFormat="1" x14ac:dyDescent="0.25"/>
    <row r="268692" s="12" customFormat="1" x14ac:dyDescent="0.25"/>
    <row r="268693" s="12" customFormat="1" x14ac:dyDescent="0.25"/>
    <row r="268694" s="12" customFormat="1" x14ac:dyDescent="0.25"/>
    <row r="268695" s="12" customFormat="1" x14ac:dyDescent="0.25"/>
    <row r="268696" s="12" customFormat="1" x14ac:dyDescent="0.25"/>
    <row r="268697" s="12" customFormat="1" x14ac:dyDescent="0.25"/>
    <row r="268698" s="12" customFormat="1" x14ac:dyDescent="0.25"/>
    <row r="268699" s="12" customFormat="1" x14ac:dyDescent="0.25"/>
    <row r="268700" s="12" customFormat="1" x14ac:dyDescent="0.25"/>
    <row r="268701" s="12" customFormat="1" x14ac:dyDescent="0.25"/>
    <row r="268702" s="12" customFormat="1" x14ac:dyDescent="0.25"/>
    <row r="268703" s="12" customFormat="1" x14ac:dyDescent="0.25"/>
    <row r="268704" s="12" customFormat="1" x14ac:dyDescent="0.25"/>
    <row r="268705" s="12" customFormat="1" x14ac:dyDescent="0.25"/>
    <row r="268706" s="12" customFormat="1" x14ac:dyDescent="0.25"/>
    <row r="268707" s="12" customFormat="1" x14ac:dyDescent="0.25"/>
    <row r="268708" s="12" customFormat="1" x14ac:dyDescent="0.25"/>
    <row r="268709" s="12" customFormat="1" x14ac:dyDescent="0.25"/>
    <row r="268710" s="12" customFormat="1" x14ac:dyDescent="0.25"/>
    <row r="268711" s="12" customFormat="1" x14ac:dyDescent="0.25"/>
    <row r="268712" s="12" customFormat="1" x14ac:dyDescent="0.25"/>
    <row r="268713" s="12" customFormat="1" x14ac:dyDescent="0.25"/>
    <row r="268714" s="12" customFormat="1" x14ac:dyDescent="0.25"/>
    <row r="268715" s="12" customFormat="1" x14ac:dyDescent="0.25"/>
    <row r="268716" s="12" customFormat="1" x14ac:dyDescent="0.25"/>
    <row r="268717" s="12" customFormat="1" x14ac:dyDescent="0.25"/>
    <row r="268718" s="12" customFormat="1" x14ac:dyDescent="0.25"/>
    <row r="268719" s="12" customFormat="1" x14ac:dyDescent="0.25"/>
    <row r="268720" s="12" customFormat="1" x14ac:dyDescent="0.25"/>
    <row r="268721" s="12" customFormat="1" x14ac:dyDescent="0.25"/>
    <row r="268722" s="12" customFormat="1" x14ac:dyDescent="0.25"/>
    <row r="268723" s="12" customFormat="1" x14ac:dyDescent="0.25"/>
    <row r="268724" s="12" customFormat="1" x14ac:dyDescent="0.25"/>
    <row r="268725" s="12" customFormat="1" x14ac:dyDescent="0.25"/>
    <row r="268726" s="12" customFormat="1" x14ac:dyDescent="0.25"/>
    <row r="268727" s="12" customFormat="1" x14ac:dyDescent="0.25"/>
    <row r="268728" s="12" customFormat="1" x14ac:dyDescent="0.25"/>
    <row r="268729" s="12" customFormat="1" x14ac:dyDescent="0.25"/>
    <row r="268730" s="12" customFormat="1" x14ac:dyDescent="0.25"/>
    <row r="268731" s="12" customFormat="1" x14ac:dyDescent="0.25"/>
    <row r="268732" s="12" customFormat="1" x14ac:dyDescent="0.25"/>
    <row r="268733" s="12" customFormat="1" x14ac:dyDescent="0.25"/>
    <row r="268734" s="12" customFormat="1" x14ac:dyDescent="0.25"/>
    <row r="268735" s="12" customFormat="1" x14ac:dyDescent="0.25"/>
    <row r="268736" s="12" customFormat="1" x14ac:dyDescent="0.25"/>
    <row r="268737" s="12" customFormat="1" x14ac:dyDescent="0.25"/>
    <row r="268738" s="12" customFormat="1" x14ac:dyDescent="0.25"/>
    <row r="268739" s="12" customFormat="1" x14ac:dyDescent="0.25"/>
    <row r="268740" s="12" customFormat="1" x14ac:dyDescent="0.25"/>
    <row r="268741" s="12" customFormat="1" x14ac:dyDescent="0.25"/>
    <row r="268742" s="12" customFormat="1" x14ac:dyDescent="0.25"/>
    <row r="268743" s="12" customFormat="1" x14ac:dyDescent="0.25"/>
    <row r="268744" s="12" customFormat="1" x14ac:dyDescent="0.25"/>
    <row r="268745" s="12" customFormat="1" x14ac:dyDescent="0.25"/>
    <row r="268746" s="12" customFormat="1" x14ac:dyDescent="0.25"/>
    <row r="268747" s="12" customFormat="1" x14ac:dyDescent="0.25"/>
    <row r="268748" s="12" customFormat="1" x14ac:dyDescent="0.25"/>
    <row r="268749" s="12" customFormat="1" x14ac:dyDescent="0.25"/>
    <row r="268750" s="12" customFormat="1" x14ac:dyDescent="0.25"/>
    <row r="268751" s="12" customFormat="1" x14ac:dyDescent="0.25"/>
    <row r="268752" s="12" customFormat="1" x14ac:dyDescent="0.25"/>
    <row r="268753" s="12" customFormat="1" x14ac:dyDescent="0.25"/>
    <row r="268754" s="12" customFormat="1" x14ac:dyDescent="0.25"/>
    <row r="268755" s="12" customFormat="1" x14ac:dyDescent="0.25"/>
    <row r="268756" s="12" customFormat="1" x14ac:dyDescent="0.25"/>
    <row r="268757" s="12" customFormat="1" x14ac:dyDescent="0.25"/>
    <row r="268758" s="12" customFormat="1" x14ac:dyDescent="0.25"/>
    <row r="268759" s="12" customFormat="1" x14ac:dyDescent="0.25"/>
    <row r="268760" s="12" customFormat="1" x14ac:dyDescent="0.25"/>
    <row r="268761" s="12" customFormat="1" x14ac:dyDescent="0.25"/>
    <row r="268762" s="12" customFormat="1" x14ac:dyDescent="0.25"/>
    <row r="268763" s="12" customFormat="1" x14ac:dyDescent="0.25"/>
    <row r="268764" s="12" customFormat="1" x14ac:dyDescent="0.25"/>
    <row r="268765" s="12" customFormat="1" x14ac:dyDescent="0.25"/>
    <row r="268766" s="12" customFormat="1" x14ac:dyDescent="0.25"/>
    <row r="268767" s="12" customFormat="1" x14ac:dyDescent="0.25"/>
    <row r="268768" s="12" customFormat="1" x14ac:dyDescent="0.25"/>
    <row r="268769" s="12" customFormat="1" x14ac:dyDescent="0.25"/>
    <row r="268770" s="12" customFormat="1" x14ac:dyDescent="0.25"/>
    <row r="268771" s="12" customFormat="1" x14ac:dyDescent="0.25"/>
    <row r="268772" s="12" customFormat="1" x14ac:dyDescent="0.25"/>
    <row r="268773" s="12" customFormat="1" x14ac:dyDescent="0.25"/>
    <row r="268774" s="12" customFormat="1" x14ac:dyDescent="0.25"/>
    <row r="268775" s="12" customFormat="1" x14ac:dyDescent="0.25"/>
    <row r="268776" s="12" customFormat="1" x14ac:dyDescent="0.25"/>
    <row r="268777" s="12" customFormat="1" x14ac:dyDescent="0.25"/>
    <row r="268778" s="12" customFormat="1" x14ac:dyDescent="0.25"/>
    <row r="268779" s="12" customFormat="1" x14ac:dyDescent="0.25"/>
    <row r="268780" s="12" customFormat="1" x14ac:dyDescent="0.25"/>
    <row r="268781" s="12" customFormat="1" x14ac:dyDescent="0.25"/>
    <row r="268782" s="12" customFormat="1" x14ac:dyDescent="0.25"/>
    <row r="268783" s="12" customFormat="1" x14ac:dyDescent="0.25"/>
    <row r="268784" s="12" customFormat="1" x14ac:dyDescent="0.25"/>
    <row r="268785" s="12" customFormat="1" x14ac:dyDescent="0.25"/>
    <row r="268786" s="12" customFormat="1" x14ac:dyDescent="0.25"/>
    <row r="268787" s="12" customFormat="1" x14ac:dyDescent="0.25"/>
    <row r="268788" s="12" customFormat="1" x14ac:dyDescent="0.25"/>
    <row r="268789" s="12" customFormat="1" x14ac:dyDescent="0.25"/>
    <row r="268790" s="12" customFormat="1" x14ac:dyDescent="0.25"/>
    <row r="268791" s="12" customFormat="1" x14ac:dyDescent="0.25"/>
    <row r="268792" s="12" customFormat="1" x14ac:dyDescent="0.25"/>
    <row r="268793" s="12" customFormat="1" x14ac:dyDescent="0.25"/>
    <row r="268794" s="12" customFormat="1" x14ac:dyDescent="0.25"/>
    <row r="268795" s="12" customFormat="1" x14ac:dyDescent="0.25"/>
    <row r="268796" s="12" customFormat="1" x14ac:dyDescent="0.25"/>
    <row r="268797" s="12" customFormat="1" x14ac:dyDescent="0.25"/>
    <row r="268798" s="12" customFormat="1" x14ac:dyDescent="0.25"/>
    <row r="268799" s="12" customFormat="1" x14ac:dyDescent="0.25"/>
    <row r="268800" s="12" customFormat="1" x14ac:dyDescent="0.25"/>
    <row r="268801" s="12" customFormat="1" x14ac:dyDescent="0.25"/>
    <row r="268802" s="12" customFormat="1" x14ac:dyDescent="0.25"/>
    <row r="268803" s="12" customFormat="1" x14ac:dyDescent="0.25"/>
    <row r="268804" s="12" customFormat="1" x14ac:dyDescent="0.25"/>
    <row r="268805" s="12" customFormat="1" x14ac:dyDescent="0.25"/>
    <row r="268806" s="12" customFormat="1" x14ac:dyDescent="0.25"/>
    <row r="268807" s="12" customFormat="1" x14ac:dyDescent="0.25"/>
    <row r="268808" s="12" customFormat="1" x14ac:dyDescent="0.25"/>
    <row r="268809" s="12" customFormat="1" x14ac:dyDescent="0.25"/>
    <row r="268810" s="12" customFormat="1" x14ac:dyDescent="0.25"/>
    <row r="268811" s="12" customFormat="1" x14ac:dyDescent="0.25"/>
    <row r="268812" s="12" customFormat="1" x14ac:dyDescent="0.25"/>
    <row r="268813" s="12" customFormat="1" x14ac:dyDescent="0.25"/>
    <row r="268814" s="12" customFormat="1" x14ac:dyDescent="0.25"/>
    <row r="268815" s="12" customFormat="1" x14ac:dyDescent="0.25"/>
    <row r="268816" s="12" customFormat="1" x14ac:dyDescent="0.25"/>
    <row r="268817" s="12" customFormat="1" x14ac:dyDescent="0.25"/>
    <row r="268818" s="12" customFormat="1" x14ac:dyDescent="0.25"/>
    <row r="268819" s="12" customFormat="1" x14ac:dyDescent="0.25"/>
    <row r="268820" s="12" customFormat="1" x14ac:dyDescent="0.25"/>
    <row r="268821" s="12" customFormat="1" x14ac:dyDescent="0.25"/>
    <row r="268822" s="12" customFormat="1" x14ac:dyDescent="0.25"/>
    <row r="268823" s="12" customFormat="1" x14ac:dyDescent="0.25"/>
    <row r="268824" s="12" customFormat="1" x14ac:dyDescent="0.25"/>
    <row r="268825" s="12" customFormat="1" x14ac:dyDescent="0.25"/>
    <row r="268826" s="12" customFormat="1" x14ac:dyDescent="0.25"/>
    <row r="268827" s="12" customFormat="1" x14ac:dyDescent="0.25"/>
    <row r="268828" s="12" customFormat="1" x14ac:dyDescent="0.25"/>
    <row r="268829" s="12" customFormat="1" x14ac:dyDescent="0.25"/>
    <row r="268830" s="12" customFormat="1" x14ac:dyDescent="0.25"/>
    <row r="268831" s="12" customFormat="1" x14ac:dyDescent="0.25"/>
    <row r="268832" s="12" customFormat="1" x14ac:dyDescent="0.25"/>
    <row r="268833" s="12" customFormat="1" x14ac:dyDescent="0.25"/>
    <row r="268834" s="12" customFormat="1" x14ac:dyDescent="0.25"/>
    <row r="268835" s="12" customFormat="1" x14ac:dyDescent="0.25"/>
    <row r="268836" s="12" customFormat="1" x14ac:dyDescent="0.25"/>
    <row r="268837" s="12" customFormat="1" x14ac:dyDescent="0.25"/>
    <row r="268838" s="12" customFormat="1" x14ac:dyDescent="0.25"/>
    <row r="268839" s="12" customFormat="1" x14ac:dyDescent="0.25"/>
    <row r="268840" s="12" customFormat="1" x14ac:dyDescent="0.25"/>
    <row r="268841" s="12" customFormat="1" x14ac:dyDescent="0.25"/>
    <row r="268842" s="12" customFormat="1" x14ac:dyDescent="0.25"/>
    <row r="268843" s="12" customFormat="1" x14ac:dyDescent="0.25"/>
    <row r="268844" s="12" customFormat="1" x14ac:dyDescent="0.25"/>
    <row r="268845" s="12" customFormat="1" x14ac:dyDescent="0.25"/>
    <row r="268846" s="12" customFormat="1" x14ac:dyDescent="0.25"/>
    <row r="268847" s="12" customFormat="1" x14ac:dyDescent="0.25"/>
    <row r="268848" s="12" customFormat="1" x14ac:dyDescent="0.25"/>
    <row r="268849" s="12" customFormat="1" x14ac:dyDescent="0.25"/>
    <row r="268850" s="12" customFormat="1" x14ac:dyDescent="0.25"/>
    <row r="268851" s="12" customFormat="1" x14ac:dyDescent="0.25"/>
    <row r="268852" s="12" customFormat="1" x14ac:dyDescent="0.25"/>
    <row r="268853" s="12" customFormat="1" x14ac:dyDescent="0.25"/>
    <row r="268854" s="12" customFormat="1" x14ac:dyDescent="0.25"/>
    <row r="268855" s="12" customFormat="1" x14ac:dyDescent="0.25"/>
    <row r="268856" s="12" customFormat="1" x14ac:dyDescent="0.25"/>
    <row r="268857" s="12" customFormat="1" x14ac:dyDescent="0.25"/>
    <row r="268858" s="12" customFormat="1" x14ac:dyDescent="0.25"/>
    <row r="268859" s="12" customFormat="1" x14ac:dyDescent="0.25"/>
    <row r="268860" s="12" customFormat="1" x14ac:dyDescent="0.25"/>
    <row r="268861" s="12" customFormat="1" x14ac:dyDescent="0.25"/>
    <row r="268862" s="12" customFormat="1" x14ac:dyDescent="0.25"/>
    <row r="268863" s="12" customFormat="1" x14ac:dyDescent="0.25"/>
    <row r="268864" s="12" customFormat="1" x14ac:dyDescent="0.25"/>
    <row r="268865" s="12" customFormat="1" x14ac:dyDescent="0.25"/>
    <row r="268866" s="12" customFormat="1" x14ac:dyDescent="0.25"/>
    <row r="268867" s="12" customFormat="1" x14ac:dyDescent="0.25"/>
    <row r="268868" s="12" customFormat="1" x14ac:dyDescent="0.25"/>
    <row r="268869" s="12" customFormat="1" x14ac:dyDescent="0.25"/>
    <row r="268870" s="12" customFormat="1" x14ac:dyDescent="0.25"/>
    <row r="268871" s="12" customFormat="1" x14ac:dyDescent="0.25"/>
    <row r="268872" s="12" customFormat="1" x14ac:dyDescent="0.25"/>
    <row r="268873" s="12" customFormat="1" x14ac:dyDescent="0.25"/>
    <row r="268874" s="12" customFormat="1" x14ac:dyDescent="0.25"/>
    <row r="268875" s="12" customFormat="1" x14ac:dyDescent="0.25"/>
    <row r="268876" s="12" customFormat="1" x14ac:dyDescent="0.25"/>
    <row r="268877" s="12" customFormat="1" x14ac:dyDescent="0.25"/>
    <row r="268878" s="12" customFormat="1" x14ac:dyDescent="0.25"/>
    <row r="268879" s="12" customFormat="1" x14ac:dyDescent="0.25"/>
    <row r="268880" s="12" customFormat="1" x14ac:dyDescent="0.25"/>
    <row r="268881" s="12" customFormat="1" x14ac:dyDescent="0.25"/>
    <row r="268882" s="12" customFormat="1" x14ac:dyDescent="0.25"/>
    <row r="268883" s="12" customFormat="1" x14ac:dyDescent="0.25"/>
    <row r="268884" s="12" customFormat="1" x14ac:dyDescent="0.25"/>
    <row r="268885" s="12" customFormat="1" x14ac:dyDescent="0.25"/>
    <row r="268886" s="12" customFormat="1" x14ac:dyDescent="0.25"/>
    <row r="268887" s="12" customFormat="1" x14ac:dyDescent="0.25"/>
    <row r="268888" s="12" customFormat="1" x14ac:dyDescent="0.25"/>
    <row r="268889" s="12" customFormat="1" x14ac:dyDescent="0.25"/>
    <row r="268890" s="12" customFormat="1" x14ac:dyDescent="0.25"/>
    <row r="268891" s="12" customFormat="1" x14ac:dyDescent="0.25"/>
    <row r="268892" s="12" customFormat="1" x14ac:dyDescent="0.25"/>
    <row r="268893" s="12" customFormat="1" x14ac:dyDescent="0.25"/>
    <row r="268894" s="12" customFormat="1" x14ac:dyDescent="0.25"/>
    <row r="268895" s="12" customFormat="1" x14ac:dyDescent="0.25"/>
    <row r="268896" s="12" customFormat="1" x14ac:dyDescent="0.25"/>
    <row r="268897" s="12" customFormat="1" x14ac:dyDescent="0.25"/>
    <row r="268898" s="12" customFormat="1" x14ac:dyDescent="0.25"/>
    <row r="268899" s="12" customFormat="1" x14ac:dyDescent="0.25"/>
    <row r="268900" s="12" customFormat="1" x14ac:dyDescent="0.25"/>
    <row r="268901" s="12" customFormat="1" x14ac:dyDescent="0.25"/>
    <row r="268902" s="12" customFormat="1" x14ac:dyDescent="0.25"/>
    <row r="268903" s="12" customFormat="1" x14ac:dyDescent="0.25"/>
    <row r="268904" s="12" customFormat="1" x14ac:dyDescent="0.25"/>
    <row r="268905" s="12" customFormat="1" x14ac:dyDescent="0.25"/>
    <row r="268906" s="12" customFormat="1" x14ac:dyDescent="0.25"/>
    <row r="268907" s="12" customFormat="1" x14ac:dyDescent="0.25"/>
    <row r="268908" s="12" customFormat="1" x14ac:dyDescent="0.25"/>
    <row r="268909" s="12" customFormat="1" x14ac:dyDescent="0.25"/>
    <row r="268910" s="12" customFormat="1" x14ac:dyDescent="0.25"/>
    <row r="268911" s="12" customFormat="1" x14ac:dyDescent="0.25"/>
    <row r="268912" s="12" customFormat="1" x14ac:dyDescent="0.25"/>
    <row r="268913" s="12" customFormat="1" x14ac:dyDescent="0.25"/>
    <row r="268914" s="12" customFormat="1" x14ac:dyDescent="0.25"/>
    <row r="268915" s="12" customFormat="1" x14ac:dyDescent="0.25"/>
    <row r="268916" s="12" customFormat="1" x14ac:dyDescent="0.25"/>
    <row r="268917" s="12" customFormat="1" x14ac:dyDescent="0.25"/>
    <row r="268918" s="12" customFormat="1" x14ac:dyDescent="0.25"/>
    <row r="268919" s="12" customFormat="1" x14ac:dyDescent="0.25"/>
    <row r="268920" s="12" customFormat="1" x14ac:dyDescent="0.25"/>
    <row r="268921" s="12" customFormat="1" x14ac:dyDescent="0.25"/>
    <row r="268922" s="12" customFormat="1" x14ac:dyDescent="0.25"/>
    <row r="268923" s="12" customFormat="1" x14ac:dyDescent="0.25"/>
    <row r="268924" s="12" customFormat="1" x14ac:dyDescent="0.25"/>
    <row r="268925" s="12" customFormat="1" x14ac:dyDescent="0.25"/>
    <row r="268926" s="12" customFormat="1" x14ac:dyDescent="0.25"/>
    <row r="268927" s="12" customFormat="1" x14ac:dyDescent="0.25"/>
    <row r="268928" s="12" customFormat="1" x14ac:dyDescent="0.25"/>
    <row r="268929" s="12" customFormat="1" x14ac:dyDescent="0.25"/>
    <row r="268930" s="12" customFormat="1" x14ac:dyDescent="0.25"/>
    <row r="268931" s="12" customFormat="1" x14ac:dyDescent="0.25"/>
    <row r="268932" s="12" customFormat="1" x14ac:dyDescent="0.25"/>
    <row r="268933" s="12" customFormat="1" x14ac:dyDescent="0.25"/>
    <row r="268934" s="12" customFormat="1" x14ac:dyDescent="0.25"/>
    <row r="268935" s="12" customFormat="1" x14ac:dyDescent="0.25"/>
    <row r="268936" s="12" customFormat="1" x14ac:dyDescent="0.25"/>
    <row r="268937" s="12" customFormat="1" x14ac:dyDescent="0.25"/>
    <row r="268938" s="12" customFormat="1" x14ac:dyDescent="0.25"/>
    <row r="268939" s="12" customFormat="1" x14ac:dyDescent="0.25"/>
    <row r="268940" s="12" customFormat="1" x14ac:dyDescent="0.25"/>
    <row r="268941" s="12" customFormat="1" x14ac:dyDescent="0.25"/>
    <row r="268942" s="12" customFormat="1" x14ac:dyDescent="0.25"/>
    <row r="268943" s="12" customFormat="1" x14ac:dyDescent="0.25"/>
    <row r="268944" s="12" customFormat="1" x14ac:dyDescent="0.25"/>
    <row r="268945" s="12" customFormat="1" x14ac:dyDescent="0.25"/>
    <row r="268946" s="12" customFormat="1" x14ac:dyDescent="0.25"/>
    <row r="268947" s="12" customFormat="1" x14ac:dyDescent="0.25"/>
    <row r="268948" s="12" customFormat="1" x14ac:dyDescent="0.25"/>
    <row r="268949" s="12" customFormat="1" x14ac:dyDescent="0.25"/>
    <row r="268950" s="12" customFormat="1" x14ac:dyDescent="0.25"/>
    <row r="268951" s="12" customFormat="1" x14ac:dyDescent="0.25"/>
    <row r="268952" s="12" customFormat="1" x14ac:dyDescent="0.25"/>
    <row r="268953" s="12" customFormat="1" x14ac:dyDescent="0.25"/>
    <row r="268954" s="12" customFormat="1" x14ac:dyDescent="0.25"/>
    <row r="268955" s="12" customFormat="1" x14ac:dyDescent="0.25"/>
    <row r="268956" s="12" customFormat="1" x14ac:dyDescent="0.25"/>
    <row r="268957" s="12" customFormat="1" x14ac:dyDescent="0.25"/>
    <row r="268958" s="12" customFormat="1" x14ac:dyDescent="0.25"/>
    <row r="268959" s="12" customFormat="1" x14ac:dyDescent="0.25"/>
    <row r="268960" s="12" customFormat="1" x14ac:dyDescent="0.25"/>
    <row r="268961" s="12" customFormat="1" x14ac:dyDescent="0.25"/>
    <row r="268962" s="12" customFormat="1" x14ac:dyDescent="0.25"/>
    <row r="268963" s="12" customFormat="1" x14ac:dyDescent="0.25"/>
    <row r="268964" s="12" customFormat="1" x14ac:dyDescent="0.25"/>
    <row r="268965" s="12" customFormat="1" x14ac:dyDescent="0.25"/>
    <row r="268966" s="12" customFormat="1" x14ac:dyDescent="0.25"/>
    <row r="268967" s="12" customFormat="1" x14ac:dyDescent="0.25"/>
    <row r="268968" s="12" customFormat="1" x14ac:dyDescent="0.25"/>
    <row r="268969" s="12" customFormat="1" x14ac:dyDescent="0.25"/>
    <row r="268970" s="12" customFormat="1" x14ac:dyDescent="0.25"/>
    <row r="268971" s="12" customFormat="1" x14ac:dyDescent="0.25"/>
    <row r="268972" s="12" customFormat="1" x14ac:dyDescent="0.25"/>
    <row r="268973" s="12" customFormat="1" x14ac:dyDescent="0.25"/>
    <row r="268974" s="12" customFormat="1" x14ac:dyDescent="0.25"/>
    <row r="268975" s="12" customFormat="1" x14ac:dyDescent="0.25"/>
    <row r="268976" s="12" customFormat="1" x14ac:dyDescent="0.25"/>
    <row r="268977" s="12" customFormat="1" x14ac:dyDescent="0.25"/>
    <row r="268978" s="12" customFormat="1" x14ac:dyDescent="0.25"/>
    <row r="268979" s="12" customFormat="1" x14ac:dyDescent="0.25"/>
    <row r="268980" s="12" customFormat="1" x14ac:dyDescent="0.25"/>
    <row r="268981" s="12" customFormat="1" x14ac:dyDescent="0.25"/>
    <row r="268982" s="12" customFormat="1" x14ac:dyDescent="0.25"/>
    <row r="268983" s="12" customFormat="1" x14ac:dyDescent="0.25"/>
    <row r="268984" s="12" customFormat="1" x14ac:dyDescent="0.25"/>
    <row r="268985" s="12" customFormat="1" x14ac:dyDescent="0.25"/>
    <row r="268986" s="12" customFormat="1" x14ac:dyDescent="0.25"/>
    <row r="268987" s="12" customFormat="1" x14ac:dyDescent="0.25"/>
    <row r="268988" s="12" customFormat="1" x14ac:dyDescent="0.25"/>
    <row r="268989" s="12" customFormat="1" x14ac:dyDescent="0.25"/>
    <row r="268990" s="12" customFormat="1" x14ac:dyDescent="0.25"/>
    <row r="268991" s="12" customFormat="1" x14ac:dyDescent="0.25"/>
    <row r="268992" s="12" customFormat="1" x14ac:dyDescent="0.25"/>
    <row r="268993" s="12" customFormat="1" x14ac:dyDescent="0.25"/>
    <row r="268994" s="12" customFormat="1" x14ac:dyDescent="0.25"/>
    <row r="268995" s="12" customFormat="1" x14ac:dyDescent="0.25"/>
    <row r="268996" s="12" customFormat="1" x14ac:dyDescent="0.25"/>
    <row r="268997" s="12" customFormat="1" x14ac:dyDescent="0.25"/>
    <row r="268998" s="12" customFormat="1" x14ac:dyDescent="0.25"/>
    <row r="268999" s="12" customFormat="1" x14ac:dyDescent="0.25"/>
    <row r="269000" s="12" customFormat="1" x14ac:dyDescent="0.25"/>
    <row r="269001" s="12" customFormat="1" x14ac:dyDescent="0.25"/>
    <row r="269002" s="12" customFormat="1" x14ac:dyDescent="0.25"/>
    <row r="269003" s="12" customFormat="1" x14ac:dyDescent="0.25"/>
    <row r="269004" s="12" customFormat="1" x14ac:dyDescent="0.25"/>
    <row r="269005" s="12" customFormat="1" x14ac:dyDescent="0.25"/>
    <row r="269006" s="12" customFormat="1" x14ac:dyDescent="0.25"/>
    <row r="269007" s="12" customFormat="1" x14ac:dyDescent="0.25"/>
    <row r="269008" s="12" customFormat="1" x14ac:dyDescent="0.25"/>
    <row r="269009" s="12" customFormat="1" x14ac:dyDescent="0.25"/>
    <row r="269010" s="12" customFormat="1" x14ac:dyDescent="0.25"/>
    <row r="269011" s="12" customFormat="1" x14ac:dyDescent="0.25"/>
    <row r="269012" s="12" customFormat="1" x14ac:dyDescent="0.25"/>
    <row r="269013" s="12" customFormat="1" x14ac:dyDescent="0.25"/>
    <row r="269014" s="12" customFormat="1" x14ac:dyDescent="0.25"/>
    <row r="269015" s="12" customFormat="1" x14ac:dyDescent="0.25"/>
    <row r="269016" s="12" customFormat="1" x14ac:dyDescent="0.25"/>
    <row r="269017" s="12" customFormat="1" x14ac:dyDescent="0.25"/>
    <row r="269018" s="12" customFormat="1" x14ac:dyDescent="0.25"/>
    <row r="269019" s="12" customFormat="1" x14ac:dyDescent="0.25"/>
    <row r="269020" s="12" customFormat="1" x14ac:dyDescent="0.25"/>
    <row r="269021" s="12" customFormat="1" x14ac:dyDescent="0.25"/>
    <row r="269022" s="12" customFormat="1" x14ac:dyDescent="0.25"/>
    <row r="269023" s="12" customFormat="1" x14ac:dyDescent="0.25"/>
    <row r="269024" s="12" customFormat="1" x14ac:dyDescent="0.25"/>
    <row r="269025" s="12" customFormat="1" x14ac:dyDescent="0.25"/>
    <row r="269026" s="12" customFormat="1" x14ac:dyDescent="0.25"/>
    <row r="269027" s="12" customFormat="1" x14ac:dyDescent="0.25"/>
    <row r="269028" s="12" customFormat="1" x14ac:dyDescent="0.25"/>
    <row r="269029" s="12" customFormat="1" x14ac:dyDescent="0.25"/>
    <row r="269030" s="12" customFormat="1" x14ac:dyDescent="0.25"/>
    <row r="269031" s="12" customFormat="1" x14ac:dyDescent="0.25"/>
    <row r="269032" s="12" customFormat="1" x14ac:dyDescent="0.25"/>
    <row r="269033" s="12" customFormat="1" x14ac:dyDescent="0.25"/>
    <row r="269034" s="12" customFormat="1" x14ac:dyDescent="0.25"/>
    <row r="269035" s="12" customFormat="1" x14ac:dyDescent="0.25"/>
    <row r="269036" s="12" customFormat="1" x14ac:dyDescent="0.25"/>
    <row r="269037" s="12" customFormat="1" x14ac:dyDescent="0.25"/>
    <row r="269038" s="12" customFormat="1" x14ac:dyDescent="0.25"/>
    <row r="269039" s="12" customFormat="1" x14ac:dyDescent="0.25"/>
    <row r="269040" s="12" customFormat="1" x14ac:dyDescent="0.25"/>
    <row r="269041" s="12" customFormat="1" x14ac:dyDescent="0.25"/>
    <row r="269042" s="12" customFormat="1" x14ac:dyDescent="0.25"/>
    <row r="269043" s="12" customFormat="1" x14ac:dyDescent="0.25"/>
    <row r="269044" s="12" customFormat="1" x14ac:dyDescent="0.25"/>
    <row r="269045" s="12" customFormat="1" x14ac:dyDescent="0.25"/>
    <row r="269046" s="12" customFormat="1" x14ac:dyDescent="0.25"/>
    <row r="269047" s="12" customFormat="1" x14ac:dyDescent="0.25"/>
    <row r="269048" s="12" customFormat="1" x14ac:dyDescent="0.25"/>
    <row r="269049" s="12" customFormat="1" x14ac:dyDescent="0.25"/>
    <row r="269050" s="12" customFormat="1" x14ac:dyDescent="0.25"/>
    <row r="269051" s="12" customFormat="1" x14ac:dyDescent="0.25"/>
    <row r="269052" s="12" customFormat="1" x14ac:dyDescent="0.25"/>
    <row r="269053" s="12" customFormat="1" x14ac:dyDescent="0.25"/>
    <row r="269054" s="12" customFormat="1" x14ac:dyDescent="0.25"/>
    <row r="269055" s="12" customFormat="1" x14ac:dyDescent="0.25"/>
    <row r="269056" s="12" customFormat="1" x14ac:dyDescent="0.25"/>
    <row r="269057" s="12" customFormat="1" x14ac:dyDescent="0.25"/>
    <row r="269058" s="12" customFormat="1" x14ac:dyDescent="0.25"/>
    <row r="269059" s="12" customFormat="1" x14ac:dyDescent="0.25"/>
    <row r="269060" s="12" customFormat="1" x14ac:dyDescent="0.25"/>
    <row r="269061" s="12" customFormat="1" x14ac:dyDescent="0.25"/>
    <row r="269062" s="12" customFormat="1" x14ac:dyDescent="0.25"/>
    <row r="269063" s="12" customFormat="1" x14ac:dyDescent="0.25"/>
    <row r="269064" s="12" customFormat="1" x14ac:dyDescent="0.25"/>
    <row r="269065" s="12" customFormat="1" x14ac:dyDescent="0.25"/>
    <row r="269066" s="12" customFormat="1" x14ac:dyDescent="0.25"/>
    <row r="269067" s="12" customFormat="1" x14ac:dyDescent="0.25"/>
    <row r="269068" s="12" customFormat="1" x14ac:dyDescent="0.25"/>
    <row r="269069" s="12" customFormat="1" x14ac:dyDescent="0.25"/>
    <row r="269070" s="12" customFormat="1" x14ac:dyDescent="0.25"/>
    <row r="269071" s="12" customFormat="1" x14ac:dyDescent="0.25"/>
    <row r="269072" s="12" customFormat="1" x14ac:dyDescent="0.25"/>
    <row r="269073" s="12" customFormat="1" x14ac:dyDescent="0.25"/>
    <row r="269074" s="12" customFormat="1" x14ac:dyDescent="0.25"/>
    <row r="269075" s="12" customFormat="1" x14ac:dyDescent="0.25"/>
    <row r="269076" s="12" customFormat="1" x14ac:dyDescent="0.25"/>
    <row r="269077" s="12" customFormat="1" x14ac:dyDescent="0.25"/>
    <row r="269078" s="12" customFormat="1" x14ac:dyDescent="0.25"/>
    <row r="269079" s="12" customFormat="1" x14ac:dyDescent="0.25"/>
    <row r="269080" s="12" customFormat="1" x14ac:dyDescent="0.25"/>
    <row r="269081" s="12" customFormat="1" x14ac:dyDescent="0.25"/>
    <row r="269082" s="12" customFormat="1" x14ac:dyDescent="0.25"/>
    <row r="269083" s="12" customFormat="1" x14ac:dyDescent="0.25"/>
    <row r="269084" s="12" customFormat="1" x14ac:dyDescent="0.25"/>
    <row r="269085" s="12" customFormat="1" x14ac:dyDescent="0.25"/>
    <row r="269086" s="12" customFormat="1" x14ac:dyDescent="0.25"/>
    <row r="269087" s="12" customFormat="1" x14ac:dyDescent="0.25"/>
    <row r="269088" s="12" customFormat="1" x14ac:dyDescent="0.25"/>
    <row r="269089" s="12" customFormat="1" x14ac:dyDescent="0.25"/>
    <row r="269090" s="12" customFormat="1" x14ac:dyDescent="0.25"/>
    <row r="269091" s="12" customFormat="1" x14ac:dyDescent="0.25"/>
    <row r="269092" s="12" customFormat="1" x14ac:dyDescent="0.25"/>
    <row r="269093" s="12" customFormat="1" x14ac:dyDescent="0.25"/>
    <row r="269094" s="12" customFormat="1" x14ac:dyDescent="0.25"/>
    <row r="269095" s="12" customFormat="1" x14ac:dyDescent="0.25"/>
    <row r="269096" s="12" customFormat="1" x14ac:dyDescent="0.25"/>
    <row r="269097" s="12" customFormat="1" x14ac:dyDescent="0.25"/>
    <row r="269098" s="12" customFormat="1" x14ac:dyDescent="0.25"/>
    <row r="269099" s="12" customFormat="1" x14ac:dyDescent="0.25"/>
    <row r="269100" s="12" customFormat="1" x14ac:dyDescent="0.25"/>
    <row r="269101" s="12" customFormat="1" x14ac:dyDescent="0.25"/>
    <row r="269102" s="12" customFormat="1" x14ac:dyDescent="0.25"/>
    <row r="269103" s="12" customFormat="1" x14ac:dyDescent="0.25"/>
    <row r="269104" s="12" customFormat="1" x14ac:dyDescent="0.25"/>
    <row r="269105" s="12" customFormat="1" x14ac:dyDescent="0.25"/>
    <row r="269106" s="12" customFormat="1" x14ac:dyDescent="0.25"/>
    <row r="269107" s="12" customFormat="1" x14ac:dyDescent="0.25"/>
    <row r="269108" s="12" customFormat="1" x14ac:dyDescent="0.25"/>
    <row r="269109" s="12" customFormat="1" x14ac:dyDescent="0.25"/>
    <row r="269110" s="12" customFormat="1" x14ac:dyDescent="0.25"/>
    <row r="269111" s="12" customFormat="1" x14ac:dyDescent="0.25"/>
    <row r="269112" s="12" customFormat="1" x14ac:dyDescent="0.25"/>
    <row r="269113" s="12" customFormat="1" x14ac:dyDescent="0.25"/>
    <row r="269114" s="12" customFormat="1" x14ac:dyDescent="0.25"/>
    <row r="269115" s="12" customFormat="1" x14ac:dyDescent="0.25"/>
    <row r="269116" s="12" customFormat="1" x14ac:dyDescent="0.25"/>
    <row r="269117" s="12" customFormat="1" x14ac:dyDescent="0.25"/>
    <row r="269118" s="12" customFormat="1" x14ac:dyDescent="0.25"/>
    <row r="269119" s="12" customFormat="1" x14ac:dyDescent="0.25"/>
    <row r="269120" s="12" customFormat="1" x14ac:dyDescent="0.25"/>
    <row r="269121" s="12" customFormat="1" x14ac:dyDescent="0.25"/>
    <row r="269122" s="12" customFormat="1" x14ac:dyDescent="0.25"/>
    <row r="269123" s="12" customFormat="1" x14ac:dyDescent="0.25"/>
    <row r="269124" s="12" customFormat="1" x14ac:dyDescent="0.25"/>
    <row r="269125" s="12" customFormat="1" x14ac:dyDescent="0.25"/>
    <row r="269126" s="12" customFormat="1" x14ac:dyDescent="0.25"/>
    <row r="269127" s="12" customFormat="1" x14ac:dyDescent="0.25"/>
    <row r="269128" s="12" customFormat="1" x14ac:dyDescent="0.25"/>
    <row r="269129" s="12" customFormat="1" x14ac:dyDescent="0.25"/>
    <row r="269130" s="12" customFormat="1" x14ac:dyDescent="0.25"/>
    <row r="269131" s="12" customFormat="1" x14ac:dyDescent="0.25"/>
    <row r="269132" s="12" customFormat="1" x14ac:dyDescent="0.25"/>
    <row r="269133" s="12" customFormat="1" x14ac:dyDescent="0.25"/>
    <row r="269134" s="12" customFormat="1" x14ac:dyDescent="0.25"/>
    <row r="269135" s="12" customFormat="1" x14ac:dyDescent="0.25"/>
    <row r="269136" s="12" customFormat="1" x14ac:dyDescent="0.25"/>
    <row r="269137" s="12" customFormat="1" x14ac:dyDescent="0.25"/>
    <row r="269138" s="12" customFormat="1" x14ac:dyDescent="0.25"/>
    <row r="269139" s="12" customFormat="1" x14ac:dyDescent="0.25"/>
    <row r="269140" s="12" customFormat="1" x14ac:dyDescent="0.25"/>
    <row r="269141" s="12" customFormat="1" x14ac:dyDescent="0.25"/>
    <row r="269142" s="12" customFormat="1" x14ac:dyDescent="0.25"/>
    <row r="269143" s="12" customFormat="1" x14ac:dyDescent="0.25"/>
    <row r="269144" s="12" customFormat="1" x14ac:dyDescent="0.25"/>
    <row r="269145" s="12" customFormat="1" x14ac:dyDescent="0.25"/>
    <row r="269146" s="12" customFormat="1" x14ac:dyDescent="0.25"/>
    <row r="269147" s="12" customFormat="1" x14ac:dyDescent="0.25"/>
    <row r="269148" s="12" customFormat="1" x14ac:dyDescent="0.25"/>
    <row r="269149" s="12" customFormat="1" x14ac:dyDescent="0.25"/>
    <row r="269150" s="12" customFormat="1" x14ac:dyDescent="0.25"/>
    <row r="269151" s="12" customFormat="1" x14ac:dyDescent="0.25"/>
    <row r="269152" s="12" customFormat="1" x14ac:dyDescent="0.25"/>
    <row r="269153" s="12" customFormat="1" x14ac:dyDescent="0.25"/>
    <row r="269154" s="12" customFormat="1" x14ac:dyDescent="0.25"/>
    <row r="269155" s="12" customFormat="1" x14ac:dyDescent="0.25"/>
    <row r="269156" s="12" customFormat="1" x14ac:dyDescent="0.25"/>
    <row r="269157" s="12" customFormat="1" x14ac:dyDescent="0.25"/>
    <row r="269158" s="12" customFormat="1" x14ac:dyDescent="0.25"/>
    <row r="269159" s="12" customFormat="1" x14ac:dyDescent="0.25"/>
    <row r="269160" s="12" customFormat="1" x14ac:dyDescent="0.25"/>
    <row r="269161" s="12" customFormat="1" x14ac:dyDescent="0.25"/>
    <row r="269162" s="12" customFormat="1" x14ac:dyDescent="0.25"/>
    <row r="269163" s="12" customFormat="1" x14ac:dyDescent="0.25"/>
    <row r="269164" s="12" customFormat="1" x14ac:dyDescent="0.25"/>
    <row r="269165" s="12" customFormat="1" x14ac:dyDescent="0.25"/>
    <row r="269166" s="12" customFormat="1" x14ac:dyDescent="0.25"/>
    <row r="269167" s="12" customFormat="1" x14ac:dyDescent="0.25"/>
    <row r="269168" s="12" customFormat="1" x14ac:dyDescent="0.25"/>
    <row r="269169" s="12" customFormat="1" x14ac:dyDescent="0.25"/>
    <row r="269170" s="12" customFormat="1" x14ac:dyDescent="0.25"/>
    <row r="269171" s="12" customFormat="1" x14ac:dyDescent="0.25"/>
    <row r="269172" s="12" customFormat="1" x14ac:dyDescent="0.25"/>
    <row r="269173" s="12" customFormat="1" x14ac:dyDescent="0.25"/>
    <row r="269174" s="12" customFormat="1" x14ac:dyDescent="0.25"/>
    <row r="269175" s="12" customFormat="1" x14ac:dyDescent="0.25"/>
    <row r="269176" s="12" customFormat="1" x14ac:dyDescent="0.25"/>
    <row r="269177" s="12" customFormat="1" x14ac:dyDescent="0.25"/>
    <row r="269178" s="12" customFormat="1" x14ac:dyDescent="0.25"/>
    <row r="269179" s="12" customFormat="1" x14ac:dyDescent="0.25"/>
    <row r="269180" s="12" customFormat="1" x14ac:dyDescent="0.25"/>
    <row r="269181" s="12" customFormat="1" x14ac:dyDescent="0.25"/>
    <row r="269182" s="12" customFormat="1" x14ac:dyDescent="0.25"/>
    <row r="269183" s="12" customFormat="1" x14ac:dyDescent="0.25"/>
    <row r="269184" s="12" customFormat="1" x14ac:dyDescent="0.25"/>
    <row r="269185" s="12" customFormat="1" x14ac:dyDescent="0.25"/>
    <row r="269186" s="12" customFormat="1" x14ac:dyDescent="0.25"/>
    <row r="269187" s="12" customFormat="1" x14ac:dyDescent="0.25"/>
    <row r="269188" s="12" customFormat="1" x14ac:dyDescent="0.25"/>
    <row r="269189" s="12" customFormat="1" x14ac:dyDescent="0.25"/>
    <row r="269190" s="12" customFormat="1" x14ac:dyDescent="0.25"/>
    <row r="269191" s="12" customFormat="1" x14ac:dyDescent="0.25"/>
    <row r="269192" s="12" customFormat="1" x14ac:dyDescent="0.25"/>
    <row r="269193" s="12" customFormat="1" x14ac:dyDescent="0.25"/>
    <row r="269194" s="12" customFormat="1" x14ac:dyDescent="0.25"/>
    <row r="269195" s="12" customFormat="1" x14ac:dyDescent="0.25"/>
    <row r="269196" s="12" customFormat="1" x14ac:dyDescent="0.25"/>
    <row r="269197" s="12" customFormat="1" x14ac:dyDescent="0.25"/>
    <row r="269198" s="12" customFormat="1" x14ac:dyDescent="0.25"/>
    <row r="269199" s="12" customFormat="1" x14ac:dyDescent="0.25"/>
    <row r="269200" s="12" customFormat="1" x14ac:dyDescent="0.25"/>
    <row r="269201" s="12" customFormat="1" x14ac:dyDescent="0.25"/>
    <row r="269202" s="12" customFormat="1" x14ac:dyDescent="0.25"/>
    <row r="269203" s="12" customFormat="1" x14ac:dyDescent="0.25"/>
    <row r="269204" s="12" customFormat="1" x14ac:dyDescent="0.25"/>
    <row r="269205" s="12" customFormat="1" x14ac:dyDescent="0.25"/>
    <row r="269206" s="12" customFormat="1" x14ac:dyDescent="0.25"/>
    <row r="269207" s="12" customFormat="1" x14ac:dyDescent="0.25"/>
    <row r="269208" s="12" customFormat="1" x14ac:dyDescent="0.25"/>
    <row r="269209" s="12" customFormat="1" x14ac:dyDescent="0.25"/>
    <row r="269210" s="12" customFormat="1" x14ac:dyDescent="0.25"/>
    <row r="269211" s="12" customFormat="1" x14ac:dyDescent="0.25"/>
    <row r="269212" s="12" customFormat="1" x14ac:dyDescent="0.25"/>
    <row r="269213" s="12" customFormat="1" x14ac:dyDescent="0.25"/>
    <row r="269214" s="12" customFormat="1" x14ac:dyDescent="0.25"/>
    <row r="269215" s="12" customFormat="1" x14ac:dyDescent="0.25"/>
    <row r="269216" s="12" customFormat="1" x14ac:dyDescent="0.25"/>
    <row r="269217" s="12" customFormat="1" x14ac:dyDescent="0.25"/>
    <row r="269218" s="12" customFormat="1" x14ac:dyDescent="0.25"/>
    <row r="269219" s="12" customFormat="1" x14ac:dyDescent="0.25"/>
    <row r="269220" s="12" customFormat="1" x14ac:dyDescent="0.25"/>
    <row r="269221" s="12" customFormat="1" x14ac:dyDescent="0.25"/>
    <row r="269222" s="12" customFormat="1" x14ac:dyDescent="0.25"/>
    <row r="269223" s="12" customFormat="1" x14ac:dyDescent="0.25"/>
    <row r="269224" s="12" customFormat="1" x14ac:dyDescent="0.25"/>
    <row r="269225" s="12" customFormat="1" x14ac:dyDescent="0.25"/>
    <row r="269226" s="12" customFormat="1" x14ac:dyDescent="0.25"/>
    <row r="269227" s="12" customFormat="1" x14ac:dyDescent="0.25"/>
    <row r="269228" s="12" customFormat="1" x14ac:dyDescent="0.25"/>
    <row r="269229" s="12" customFormat="1" x14ac:dyDescent="0.25"/>
    <row r="269230" s="12" customFormat="1" x14ac:dyDescent="0.25"/>
    <row r="269231" s="12" customFormat="1" x14ac:dyDescent="0.25"/>
    <row r="269232" s="12" customFormat="1" x14ac:dyDescent="0.25"/>
    <row r="269233" s="12" customFormat="1" x14ac:dyDescent="0.25"/>
    <row r="269234" s="12" customFormat="1" x14ac:dyDescent="0.25"/>
    <row r="269235" s="12" customFormat="1" x14ac:dyDescent="0.25"/>
    <row r="269236" s="12" customFormat="1" x14ac:dyDescent="0.25"/>
    <row r="269237" s="12" customFormat="1" x14ac:dyDescent="0.25"/>
    <row r="269238" s="12" customFormat="1" x14ac:dyDescent="0.25"/>
    <row r="269239" s="12" customFormat="1" x14ac:dyDescent="0.25"/>
    <row r="269240" s="12" customFormat="1" x14ac:dyDescent="0.25"/>
    <row r="269241" s="12" customFormat="1" x14ac:dyDescent="0.25"/>
    <row r="269242" s="12" customFormat="1" x14ac:dyDescent="0.25"/>
    <row r="269243" s="12" customFormat="1" x14ac:dyDescent="0.25"/>
    <row r="269244" s="12" customFormat="1" x14ac:dyDescent="0.25"/>
    <row r="269245" s="12" customFormat="1" x14ac:dyDescent="0.25"/>
    <row r="269246" s="12" customFormat="1" x14ac:dyDescent="0.25"/>
    <row r="269247" s="12" customFormat="1" x14ac:dyDescent="0.25"/>
    <row r="269248" s="12" customFormat="1" x14ac:dyDescent="0.25"/>
    <row r="269249" s="12" customFormat="1" x14ac:dyDescent="0.25"/>
    <row r="269250" s="12" customFormat="1" x14ac:dyDescent="0.25"/>
    <row r="269251" s="12" customFormat="1" x14ac:dyDescent="0.25"/>
    <row r="269252" s="12" customFormat="1" x14ac:dyDescent="0.25"/>
    <row r="269253" s="12" customFormat="1" x14ac:dyDescent="0.25"/>
    <row r="269254" s="12" customFormat="1" x14ac:dyDescent="0.25"/>
    <row r="269255" s="12" customFormat="1" x14ac:dyDescent="0.25"/>
    <row r="269256" s="12" customFormat="1" x14ac:dyDescent="0.25"/>
    <row r="269257" s="12" customFormat="1" x14ac:dyDescent="0.25"/>
    <row r="269258" s="12" customFormat="1" x14ac:dyDescent="0.25"/>
    <row r="269259" s="12" customFormat="1" x14ac:dyDescent="0.25"/>
    <row r="269260" s="12" customFormat="1" x14ac:dyDescent="0.25"/>
    <row r="269261" s="12" customFormat="1" x14ac:dyDescent="0.25"/>
    <row r="269262" s="12" customFormat="1" x14ac:dyDescent="0.25"/>
    <row r="269263" s="12" customFormat="1" x14ac:dyDescent="0.25"/>
    <row r="269264" s="12" customFormat="1" x14ac:dyDescent="0.25"/>
    <row r="269265" s="12" customFormat="1" x14ac:dyDescent="0.25"/>
    <row r="269266" s="12" customFormat="1" x14ac:dyDescent="0.25"/>
    <row r="269267" s="12" customFormat="1" x14ac:dyDescent="0.25"/>
    <row r="269268" s="12" customFormat="1" x14ac:dyDescent="0.25"/>
    <row r="269269" s="12" customFormat="1" x14ac:dyDescent="0.25"/>
    <row r="269270" s="12" customFormat="1" x14ac:dyDescent="0.25"/>
    <row r="269271" s="12" customFormat="1" x14ac:dyDescent="0.25"/>
    <row r="269272" s="12" customFormat="1" x14ac:dyDescent="0.25"/>
    <row r="269273" s="12" customFormat="1" x14ac:dyDescent="0.25"/>
    <row r="269274" s="12" customFormat="1" x14ac:dyDescent="0.25"/>
    <row r="269275" s="12" customFormat="1" x14ac:dyDescent="0.25"/>
    <row r="269276" s="12" customFormat="1" x14ac:dyDescent="0.25"/>
    <row r="269277" s="12" customFormat="1" x14ac:dyDescent="0.25"/>
    <row r="269278" s="12" customFormat="1" x14ac:dyDescent="0.25"/>
    <row r="269279" s="12" customFormat="1" x14ac:dyDescent="0.25"/>
    <row r="269280" s="12" customFormat="1" x14ac:dyDescent="0.25"/>
    <row r="269281" s="12" customFormat="1" x14ac:dyDescent="0.25"/>
    <row r="269282" s="12" customFormat="1" x14ac:dyDescent="0.25"/>
    <row r="269283" s="12" customFormat="1" x14ac:dyDescent="0.25"/>
    <row r="269284" s="12" customFormat="1" x14ac:dyDescent="0.25"/>
    <row r="269285" s="12" customFormat="1" x14ac:dyDescent="0.25"/>
    <row r="269286" s="12" customFormat="1" x14ac:dyDescent="0.25"/>
    <row r="269287" s="12" customFormat="1" x14ac:dyDescent="0.25"/>
    <row r="269288" s="12" customFormat="1" x14ac:dyDescent="0.25"/>
    <row r="269289" s="12" customFormat="1" x14ac:dyDescent="0.25"/>
    <row r="269290" s="12" customFormat="1" x14ac:dyDescent="0.25"/>
    <row r="269291" s="12" customFormat="1" x14ac:dyDescent="0.25"/>
    <row r="269292" s="12" customFormat="1" x14ac:dyDescent="0.25"/>
    <row r="269293" s="12" customFormat="1" x14ac:dyDescent="0.25"/>
    <row r="269294" s="12" customFormat="1" x14ac:dyDescent="0.25"/>
    <row r="269295" s="12" customFormat="1" x14ac:dyDescent="0.25"/>
    <row r="269296" s="12" customFormat="1" x14ac:dyDescent="0.25"/>
    <row r="269297" s="12" customFormat="1" x14ac:dyDescent="0.25"/>
    <row r="269298" s="12" customFormat="1" x14ac:dyDescent="0.25"/>
    <row r="269299" s="12" customFormat="1" x14ac:dyDescent="0.25"/>
    <row r="269300" s="12" customFormat="1" x14ac:dyDescent="0.25"/>
    <row r="269301" s="12" customFormat="1" x14ac:dyDescent="0.25"/>
    <row r="269302" s="12" customFormat="1" x14ac:dyDescent="0.25"/>
    <row r="269303" s="12" customFormat="1" x14ac:dyDescent="0.25"/>
    <row r="269304" s="12" customFormat="1" x14ac:dyDescent="0.25"/>
    <row r="269305" s="12" customFormat="1" x14ac:dyDescent="0.25"/>
    <row r="269306" s="12" customFormat="1" x14ac:dyDescent="0.25"/>
    <row r="269307" s="12" customFormat="1" x14ac:dyDescent="0.25"/>
    <row r="269308" s="12" customFormat="1" x14ac:dyDescent="0.25"/>
    <row r="269309" s="12" customFormat="1" x14ac:dyDescent="0.25"/>
    <row r="269310" s="12" customFormat="1" x14ac:dyDescent="0.25"/>
    <row r="269311" s="12" customFormat="1" x14ac:dyDescent="0.25"/>
    <row r="269312" s="12" customFormat="1" x14ac:dyDescent="0.25"/>
    <row r="269313" s="12" customFormat="1" x14ac:dyDescent="0.25"/>
    <row r="269314" s="12" customFormat="1" x14ac:dyDescent="0.25"/>
    <row r="269315" s="12" customFormat="1" x14ac:dyDescent="0.25"/>
    <row r="269316" s="12" customFormat="1" x14ac:dyDescent="0.25"/>
    <row r="269317" s="12" customFormat="1" x14ac:dyDescent="0.25"/>
    <row r="269318" s="12" customFormat="1" x14ac:dyDescent="0.25"/>
    <row r="269319" s="12" customFormat="1" x14ac:dyDescent="0.25"/>
    <row r="269320" s="12" customFormat="1" x14ac:dyDescent="0.25"/>
    <row r="269321" s="12" customFormat="1" x14ac:dyDescent="0.25"/>
    <row r="269322" s="12" customFormat="1" x14ac:dyDescent="0.25"/>
    <row r="269323" s="12" customFormat="1" x14ac:dyDescent="0.25"/>
    <row r="269324" s="12" customFormat="1" x14ac:dyDescent="0.25"/>
    <row r="269325" s="12" customFormat="1" x14ac:dyDescent="0.25"/>
    <row r="269326" s="12" customFormat="1" x14ac:dyDescent="0.25"/>
    <row r="269327" s="12" customFormat="1" x14ac:dyDescent="0.25"/>
    <row r="269328" s="12" customFormat="1" x14ac:dyDescent="0.25"/>
    <row r="269329" s="12" customFormat="1" x14ac:dyDescent="0.25"/>
    <row r="269330" s="12" customFormat="1" x14ac:dyDescent="0.25"/>
    <row r="269331" s="12" customFormat="1" x14ac:dyDescent="0.25"/>
    <row r="269332" s="12" customFormat="1" x14ac:dyDescent="0.25"/>
    <row r="269333" s="12" customFormat="1" x14ac:dyDescent="0.25"/>
    <row r="269334" s="12" customFormat="1" x14ac:dyDescent="0.25"/>
    <row r="269335" s="12" customFormat="1" x14ac:dyDescent="0.25"/>
    <row r="269336" s="12" customFormat="1" x14ac:dyDescent="0.25"/>
    <row r="269337" s="12" customFormat="1" x14ac:dyDescent="0.25"/>
    <row r="269338" s="12" customFormat="1" x14ac:dyDescent="0.25"/>
    <row r="269339" s="12" customFormat="1" x14ac:dyDescent="0.25"/>
    <row r="269340" s="12" customFormat="1" x14ac:dyDescent="0.25"/>
    <row r="269341" s="12" customFormat="1" x14ac:dyDescent="0.25"/>
    <row r="269342" s="12" customFormat="1" x14ac:dyDescent="0.25"/>
    <row r="269343" s="12" customFormat="1" x14ac:dyDescent="0.25"/>
    <row r="269344" s="12" customFormat="1" x14ac:dyDescent="0.25"/>
    <row r="269345" s="12" customFormat="1" x14ac:dyDescent="0.25"/>
    <row r="269346" s="12" customFormat="1" x14ac:dyDescent="0.25"/>
    <row r="269347" s="12" customFormat="1" x14ac:dyDescent="0.25"/>
    <row r="269348" s="12" customFormat="1" x14ac:dyDescent="0.25"/>
    <row r="269349" s="12" customFormat="1" x14ac:dyDescent="0.25"/>
    <row r="269350" s="12" customFormat="1" x14ac:dyDescent="0.25"/>
    <row r="269351" s="12" customFormat="1" x14ac:dyDescent="0.25"/>
    <row r="269352" s="12" customFormat="1" x14ac:dyDescent="0.25"/>
    <row r="269353" s="12" customFormat="1" x14ac:dyDescent="0.25"/>
    <row r="269354" s="12" customFormat="1" x14ac:dyDescent="0.25"/>
    <row r="269355" s="12" customFormat="1" x14ac:dyDescent="0.25"/>
    <row r="269356" s="12" customFormat="1" x14ac:dyDescent="0.25"/>
    <row r="269357" s="12" customFormat="1" x14ac:dyDescent="0.25"/>
    <row r="269358" s="12" customFormat="1" x14ac:dyDescent="0.25"/>
    <row r="269359" s="12" customFormat="1" x14ac:dyDescent="0.25"/>
    <row r="269360" s="12" customFormat="1" x14ac:dyDescent="0.25"/>
    <row r="269361" s="12" customFormat="1" x14ac:dyDescent="0.25"/>
    <row r="269362" s="12" customFormat="1" x14ac:dyDescent="0.25"/>
    <row r="269363" s="12" customFormat="1" x14ac:dyDescent="0.25"/>
    <row r="269364" s="12" customFormat="1" x14ac:dyDescent="0.25"/>
    <row r="269365" s="12" customFormat="1" x14ac:dyDescent="0.25"/>
    <row r="269366" s="12" customFormat="1" x14ac:dyDescent="0.25"/>
    <row r="269367" s="12" customFormat="1" x14ac:dyDescent="0.25"/>
    <row r="269368" s="12" customFormat="1" x14ac:dyDescent="0.25"/>
    <row r="269369" s="12" customFormat="1" x14ac:dyDescent="0.25"/>
    <row r="269370" s="12" customFormat="1" x14ac:dyDescent="0.25"/>
    <row r="269371" s="12" customFormat="1" x14ac:dyDescent="0.25"/>
    <row r="269372" s="12" customFormat="1" x14ac:dyDescent="0.25"/>
    <row r="269373" s="12" customFormat="1" x14ac:dyDescent="0.25"/>
    <row r="269374" s="12" customFormat="1" x14ac:dyDescent="0.25"/>
    <row r="269375" s="12" customFormat="1" x14ac:dyDescent="0.25"/>
    <row r="269376" s="12" customFormat="1" x14ac:dyDescent="0.25"/>
    <row r="269377" s="12" customFormat="1" x14ac:dyDescent="0.25"/>
    <row r="269378" s="12" customFormat="1" x14ac:dyDescent="0.25"/>
    <row r="269379" s="12" customFormat="1" x14ac:dyDescent="0.25"/>
    <row r="269380" s="12" customFormat="1" x14ac:dyDescent="0.25"/>
    <row r="269381" s="12" customFormat="1" x14ac:dyDescent="0.25"/>
    <row r="269382" s="12" customFormat="1" x14ac:dyDescent="0.25"/>
    <row r="269383" s="12" customFormat="1" x14ac:dyDescent="0.25"/>
    <row r="269384" s="12" customFormat="1" x14ac:dyDescent="0.25"/>
    <row r="269385" s="12" customFormat="1" x14ac:dyDescent="0.25"/>
    <row r="269386" s="12" customFormat="1" x14ac:dyDescent="0.25"/>
    <row r="269387" s="12" customFormat="1" x14ac:dyDescent="0.25"/>
    <row r="269388" s="12" customFormat="1" x14ac:dyDescent="0.25"/>
    <row r="269389" s="12" customFormat="1" x14ac:dyDescent="0.25"/>
    <row r="269390" s="12" customFormat="1" x14ac:dyDescent="0.25"/>
    <row r="269391" s="12" customFormat="1" x14ac:dyDescent="0.25"/>
    <row r="269392" s="12" customFormat="1" x14ac:dyDescent="0.25"/>
    <row r="269393" s="12" customFormat="1" x14ac:dyDescent="0.25"/>
    <row r="269394" s="12" customFormat="1" x14ac:dyDescent="0.25"/>
    <row r="269395" s="12" customFormat="1" x14ac:dyDescent="0.25"/>
    <row r="269396" s="12" customFormat="1" x14ac:dyDescent="0.25"/>
    <row r="269397" s="12" customFormat="1" x14ac:dyDescent="0.25"/>
    <row r="269398" s="12" customFormat="1" x14ac:dyDescent="0.25"/>
    <row r="269399" s="12" customFormat="1" x14ac:dyDescent="0.25"/>
    <row r="269400" s="12" customFormat="1" x14ac:dyDescent="0.25"/>
    <row r="269401" s="12" customFormat="1" x14ac:dyDescent="0.25"/>
    <row r="269402" s="12" customFormat="1" x14ac:dyDescent="0.25"/>
    <row r="269403" s="12" customFormat="1" x14ac:dyDescent="0.25"/>
    <row r="269404" s="12" customFormat="1" x14ac:dyDescent="0.25"/>
    <row r="269405" s="12" customFormat="1" x14ac:dyDescent="0.25"/>
    <row r="269406" s="12" customFormat="1" x14ac:dyDescent="0.25"/>
    <row r="269407" s="12" customFormat="1" x14ac:dyDescent="0.25"/>
    <row r="269408" s="12" customFormat="1" x14ac:dyDescent="0.25"/>
    <row r="269409" s="12" customFormat="1" x14ac:dyDescent="0.25"/>
    <row r="269410" s="12" customFormat="1" x14ac:dyDescent="0.25"/>
    <row r="269411" s="12" customFormat="1" x14ac:dyDescent="0.25"/>
    <row r="269412" s="12" customFormat="1" x14ac:dyDescent="0.25"/>
    <row r="269413" s="12" customFormat="1" x14ac:dyDescent="0.25"/>
    <row r="269414" s="12" customFormat="1" x14ac:dyDescent="0.25"/>
    <row r="269415" s="12" customFormat="1" x14ac:dyDescent="0.25"/>
    <row r="269416" s="12" customFormat="1" x14ac:dyDescent="0.25"/>
    <row r="269417" s="12" customFormat="1" x14ac:dyDescent="0.25"/>
    <row r="269418" s="12" customFormat="1" x14ac:dyDescent="0.25"/>
    <row r="269419" s="12" customFormat="1" x14ac:dyDescent="0.25"/>
    <row r="269420" s="12" customFormat="1" x14ac:dyDescent="0.25"/>
    <row r="269421" s="12" customFormat="1" x14ac:dyDescent="0.25"/>
    <row r="269422" s="12" customFormat="1" x14ac:dyDescent="0.25"/>
    <row r="269423" s="12" customFormat="1" x14ac:dyDescent="0.25"/>
    <row r="269424" s="12" customFormat="1" x14ac:dyDescent="0.25"/>
    <row r="269425" s="12" customFormat="1" x14ac:dyDescent="0.25"/>
    <row r="269426" s="12" customFormat="1" x14ac:dyDescent="0.25"/>
    <row r="269427" s="12" customFormat="1" x14ac:dyDescent="0.25"/>
    <row r="269428" s="12" customFormat="1" x14ac:dyDescent="0.25"/>
    <row r="269429" s="12" customFormat="1" x14ac:dyDescent="0.25"/>
    <row r="269430" s="12" customFormat="1" x14ac:dyDescent="0.25"/>
    <row r="269431" s="12" customFormat="1" x14ac:dyDescent="0.25"/>
    <row r="269432" s="12" customFormat="1" x14ac:dyDescent="0.25"/>
    <row r="269433" s="12" customFormat="1" x14ac:dyDescent="0.25"/>
    <row r="269434" s="12" customFormat="1" x14ac:dyDescent="0.25"/>
    <row r="269435" s="12" customFormat="1" x14ac:dyDescent="0.25"/>
    <row r="269436" s="12" customFormat="1" x14ac:dyDescent="0.25"/>
    <row r="269437" s="12" customFormat="1" x14ac:dyDescent="0.25"/>
    <row r="269438" s="12" customFormat="1" x14ac:dyDescent="0.25"/>
    <row r="269439" s="12" customFormat="1" x14ac:dyDescent="0.25"/>
    <row r="269440" s="12" customFormat="1" x14ac:dyDescent="0.25"/>
    <row r="269441" s="12" customFormat="1" x14ac:dyDescent="0.25"/>
    <row r="269442" s="12" customFormat="1" x14ac:dyDescent="0.25"/>
    <row r="269443" s="12" customFormat="1" x14ac:dyDescent="0.25"/>
    <row r="269444" s="12" customFormat="1" x14ac:dyDescent="0.25"/>
    <row r="269445" s="12" customFormat="1" x14ac:dyDescent="0.25"/>
    <row r="269446" s="12" customFormat="1" x14ac:dyDescent="0.25"/>
    <row r="269447" s="12" customFormat="1" x14ac:dyDescent="0.25"/>
    <row r="269448" s="12" customFormat="1" x14ac:dyDescent="0.25"/>
    <row r="269449" s="12" customFormat="1" x14ac:dyDescent="0.25"/>
    <row r="269450" s="12" customFormat="1" x14ac:dyDescent="0.25"/>
    <row r="269451" s="12" customFormat="1" x14ac:dyDescent="0.25"/>
    <row r="269452" s="12" customFormat="1" x14ac:dyDescent="0.25"/>
    <row r="269453" s="12" customFormat="1" x14ac:dyDescent="0.25"/>
    <row r="269454" s="12" customFormat="1" x14ac:dyDescent="0.25"/>
    <row r="269455" s="12" customFormat="1" x14ac:dyDescent="0.25"/>
    <row r="269456" s="12" customFormat="1" x14ac:dyDescent="0.25"/>
    <row r="269457" s="12" customFormat="1" x14ac:dyDescent="0.25"/>
    <row r="269458" s="12" customFormat="1" x14ac:dyDescent="0.25"/>
    <row r="269459" s="12" customFormat="1" x14ac:dyDescent="0.25"/>
    <row r="269460" s="12" customFormat="1" x14ac:dyDescent="0.25"/>
    <row r="269461" s="12" customFormat="1" x14ac:dyDescent="0.25"/>
    <row r="269462" s="12" customFormat="1" x14ac:dyDescent="0.25"/>
    <row r="269463" s="12" customFormat="1" x14ac:dyDescent="0.25"/>
    <row r="269464" s="12" customFormat="1" x14ac:dyDescent="0.25"/>
    <row r="269465" s="12" customFormat="1" x14ac:dyDescent="0.25"/>
    <row r="269466" s="12" customFormat="1" x14ac:dyDescent="0.25"/>
    <row r="269467" s="12" customFormat="1" x14ac:dyDescent="0.25"/>
    <row r="269468" s="12" customFormat="1" x14ac:dyDescent="0.25"/>
    <row r="269469" s="12" customFormat="1" x14ac:dyDescent="0.25"/>
    <row r="269470" s="12" customFormat="1" x14ac:dyDescent="0.25"/>
    <row r="269471" s="12" customFormat="1" x14ac:dyDescent="0.25"/>
    <row r="269472" s="12" customFormat="1" x14ac:dyDescent="0.25"/>
    <row r="269473" s="12" customFormat="1" x14ac:dyDescent="0.25"/>
    <row r="269474" s="12" customFormat="1" x14ac:dyDescent="0.25"/>
    <row r="269475" s="12" customFormat="1" x14ac:dyDescent="0.25"/>
    <row r="269476" s="12" customFormat="1" x14ac:dyDescent="0.25"/>
    <row r="269477" s="12" customFormat="1" x14ac:dyDescent="0.25"/>
    <row r="269478" s="12" customFormat="1" x14ac:dyDescent="0.25"/>
    <row r="269479" s="12" customFormat="1" x14ac:dyDescent="0.25"/>
    <row r="269480" s="12" customFormat="1" x14ac:dyDescent="0.25"/>
    <row r="269481" s="12" customFormat="1" x14ac:dyDescent="0.25"/>
    <row r="269482" s="12" customFormat="1" x14ac:dyDescent="0.25"/>
    <row r="269483" s="12" customFormat="1" x14ac:dyDescent="0.25"/>
    <row r="269484" s="12" customFormat="1" x14ac:dyDescent="0.25"/>
    <row r="269485" s="12" customFormat="1" x14ac:dyDescent="0.25"/>
    <row r="269486" s="12" customFormat="1" x14ac:dyDescent="0.25"/>
    <row r="269487" s="12" customFormat="1" x14ac:dyDescent="0.25"/>
    <row r="269488" s="12" customFormat="1" x14ac:dyDescent="0.25"/>
    <row r="269489" s="12" customFormat="1" x14ac:dyDescent="0.25"/>
    <row r="269490" s="12" customFormat="1" x14ac:dyDescent="0.25"/>
    <row r="269491" s="12" customFormat="1" x14ac:dyDescent="0.25"/>
    <row r="269492" s="12" customFormat="1" x14ac:dyDescent="0.25"/>
    <row r="269493" s="12" customFormat="1" x14ac:dyDescent="0.25"/>
    <row r="269494" s="12" customFormat="1" x14ac:dyDescent="0.25"/>
    <row r="269495" s="12" customFormat="1" x14ac:dyDescent="0.25"/>
    <row r="269496" s="12" customFormat="1" x14ac:dyDescent="0.25"/>
    <row r="269497" s="12" customFormat="1" x14ac:dyDescent="0.25"/>
    <row r="269498" s="12" customFormat="1" x14ac:dyDescent="0.25"/>
    <row r="269499" s="12" customFormat="1" x14ac:dyDescent="0.25"/>
    <row r="269500" s="12" customFormat="1" x14ac:dyDescent="0.25"/>
    <row r="269501" s="12" customFormat="1" x14ac:dyDescent="0.25"/>
    <row r="269502" s="12" customFormat="1" x14ac:dyDescent="0.25"/>
    <row r="269503" s="12" customFormat="1" x14ac:dyDescent="0.25"/>
    <row r="269504" s="12" customFormat="1" x14ac:dyDescent="0.25"/>
    <row r="269505" s="12" customFormat="1" x14ac:dyDescent="0.25"/>
    <row r="269506" s="12" customFormat="1" x14ac:dyDescent="0.25"/>
    <row r="269507" s="12" customFormat="1" x14ac:dyDescent="0.25"/>
    <row r="269508" s="12" customFormat="1" x14ac:dyDescent="0.25"/>
    <row r="269509" s="12" customFormat="1" x14ac:dyDescent="0.25"/>
    <row r="269510" s="12" customFormat="1" x14ac:dyDescent="0.25"/>
    <row r="269511" s="12" customFormat="1" x14ac:dyDescent="0.25"/>
    <row r="269512" s="12" customFormat="1" x14ac:dyDescent="0.25"/>
    <row r="269513" s="12" customFormat="1" x14ac:dyDescent="0.25"/>
    <row r="269514" s="12" customFormat="1" x14ac:dyDescent="0.25"/>
    <row r="269515" s="12" customFormat="1" x14ac:dyDescent="0.25"/>
    <row r="269516" s="12" customFormat="1" x14ac:dyDescent="0.25"/>
    <row r="269517" s="12" customFormat="1" x14ac:dyDescent="0.25"/>
    <row r="269518" s="12" customFormat="1" x14ac:dyDescent="0.25"/>
    <row r="269519" s="12" customFormat="1" x14ac:dyDescent="0.25"/>
    <row r="269520" s="12" customFormat="1" x14ac:dyDescent="0.25"/>
    <row r="269521" s="12" customFormat="1" x14ac:dyDescent="0.25"/>
    <row r="269522" s="12" customFormat="1" x14ac:dyDescent="0.25"/>
    <row r="269523" s="12" customFormat="1" x14ac:dyDescent="0.25"/>
    <row r="269524" s="12" customFormat="1" x14ac:dyDescent="0.25"/>
    <row r="269525" s="12" customFormat="1" x14ac:dyDescent="0.25"/>
    <row r="269526" s="12" customFormat="1" x14ac:dyDescent="0.25"/>
    <row r="269527" s="12" customFormat="1" x14ac:dyDescent="0.25"/>
    <row r="269528" s="12" customFormat="1" x14ac:dyDescent="0.25"/>
    <row r="269529" s="12" customFormat="1" x14ac:dyDescent="0.25"/>
    <row r="269530" s="12" customFormat="1" x14ac:dyDescent="0.25"/>
    <row r="269531" s="12" customFormat="1" x14ac:dyDescent="0.25"/>
    <row r="269532" s="12" customFormat="1" x14ac:dyDescent="0.25"/>
    <row r="269533" s="12" customFormat="1" x14ac:dyDescent="0.25"/>
    <row r="269534" s="12" customFormat="1" x14ac:dyDescent="0.25"/>
    <row r="269535" s="12" customFormat="1" x14ac:dyDescent="0.25"/>
    <row r="269536" s="12" customFormat="1" x14ac:dyDescent="0.25"/>
    <row r="269537" s="12" customFormat="1" x14ac:dyDescent="0.25"/>
    <row r="269538" s="12" customFormat="1" x14ac:dyDescent="0.25"/>
    <row r="269539" s="12" customFormat="1" x14ac:dyDescent="0.25"/>
    <row r="269540" s="12" customFormat="1" x14ac:dyDescent="0.25"/>
    <row r="269541" s="12" customFormat="1" x14ac:dyDescent="0.25"/>
    <row r="269542" s="12" customFormat="1" x14ac:dyDescent="0.25"/>
    <row r="269543" s="12" customFormat="1" x14ac:dyDescent="0.25"/>
    <row r="269544" s="12" customFormat="1" x14ac:dyDescent="0.25"/>
    <row r="269545" s="12" customFormat="1" x14ac:dyDescent="0.25"/>
    <row r="269546" s="12" customFormat="1" x14ac:dyDescent="0.25"/>
    <row r="269547" s="12" customFormat="1" x14ac:dyDescent="0.25"/>
    <row r="269548" s="12" customFormat="1" x14ac:dyDescent="0.25"/>
    <row r="269549" s="12" customFormat="1" x14ac:dyDescent="0.25"/>
    <row r="269550" s="12" customFormat="1" x14ac:dyDescent="0.25"/>
    <row r="269551" s="12" customFormat="1" x14ac:dyDescent="0.25"/>
    <row r="269552" s="12" customFormat="1" x14ac:dyDescent="0.25"/>
    <row r="269553" s="12" customFormat="1" x14ac:dyDescent="0.25"/>
    <row r="269554" s="12" customFormat="1" x14ac:dyDescent="0.25"/>
    <row r="269555" s="12" customFormat="1" x14ac:dyDescent="0.25"/>
    <row r="269556" s="12" customFormat="1" x14ac:dyDescent="0.25"/>
    <row r="269557" s="12" customFormat="1" x14ac:dyDescent="0.25"/>
    <row r="269558" s="12" customFormat="1" x14ac:dyDescent="0.25"/>
    <row r="269559" s="12" customFormat="1" x14ac:dyDescent="0.25"/>
    <row r="269560" s="12" customFormat="1" x14ac:dyDescent="0.25"/>
    <row r="269561" s="12" customFormat="1" x14ac:dyDescent="0.25"/>
    <row r="269562" s="12" customFormat="1" x14ac:dyDescent="0.25"/>
    <row r="269563" s="12" customFormat="1" x14ac:dyDescent="0.25"/>
    <row r="269564" s="12" customFormat="1" x14ac:dyDescent="0.25"/>
    <row r="269565" s="12" customFormat="1" x14ac:dyDescent="0.25"/>
    <row r="269566" s="12" customFormat="1" x14ac:dyDescent="0.25"/>
    <row r="269567" s="12" customFormat="1" x14ac:dyDescent="0.25"/>
    <row r="269568" s="12" customFormat="1" x14ac:dyDescent="0.25"/>
    <row r="269569" s="12" customFormat="1" x14ac:dyDescent="0.25"/>
    <row r="269570" s="12" customFormat="1" x14ac:dyDescent="0.25"/>
    <row r="269571" s="12" customFormat="1" x14ac:dyDescent="0.25"/>
    <row r="269572" s="12" customFormat="1" x14ac:dyDescent="0.25"/>
    <row r="269573" s="12" customFormat="1" x14ac:dyDescent="0.25"/>
    <row r="269574" s="12" customFormat="1" x14ac:dyDescent="0.25"/>
    <row r="269575" s="12" customFormat="1" x14ac:dyDescent="0.25"/>
    <row r="269576" s="12" customFormat="1" x14ac:dyDescent="0.25"/>
    <row r="269577" s="12" customFormat="1" x14ac:dyDescent="0.25"/>
    <row r="269578" s="12" customFormat="1" x14ac:dyDescent="0.25"/>
    <row r="269579" s="12" customFormat="1" x14ac:dyDescent="0.25"/>
    <row r="269580" s="12" customFormat="1" x14ac:dyDescent="0.25"/>
    <row r="269581" s="12" customFormat="1" x14ac:dyDescent="0.25"/>
    <row r="269582" s="12" customFormat="1" x14ac:dyDescent="0.25"/>
    <row r="269583" s="12" customFormat="1" x14ac:dyDescent="0.25"/>
    <row r="269584" s="12" customFormat="1" x14ac:dyDescent="0.25"/>
    <row r="269585" s="12" customFormat="1" x14ac:dyDescent="0.25"/>
    <row r="269586" s="12" customFormat="1" x14ac:dyDescent="0.25"/>
    <row r="269587" s="12" customFormat="1" x14ac:dyDescent="0.25"/>
    <row r="269588" s="12" customFormat="1" x14ac:dyDescent="0.25"/>
    <row r="269589" s="12" customFormat="1" x14ac:dyDescent="0.25"/>
    <row r="269590" s="12" customFormat="1" x14ac:dyDescent="0.25"/>
    <row r="269591" s="12" customFormat="1" x14ac:dyDescent="0.25"/>
    <row r="269592" s="12" customFormat="1" x14ac:dyDescent="0.25"/>
    <row r="269593" s="12" customFormat="1" x14ac:dyDescent="0.25"/>
    <row r="269594" s="12" customFormat="1" x14ac:dyDescent="0.25"/>
    <row r="269595" s="12" customFormat="1" x14ac:dyDescent="0.25"/>
    <row r="269596" s="12" customFormat="1" x14ac:dyDescent="0.25"/>
    <row r="269597" s="12" customFormat="1" x14ac:dyDescent="0.25"/>
    <row r="269598" s="12" customFormat="1" x14ac:dyDescent="0.25"/>
    <row r="269599" s="12" customFormat="1" x14ac:dyDescent="0.25"/>
    <row r="269600" s="12" customFormat="1" x14ac:dyDescent="0.25"/>
    <row r="269601" s="12" customFormat="1" x14ac:dyDescent="0.25"/>
    <row r="269602" s="12" customFormat="1" x14ac:dyDescent="0.25"/>
    <row r="269603" s="12" customFormat="1" x14ac:dyDescent="0.25"/>
    <row r="269604" s="12" customFormat="1" x14ac:dyDescent="0.25"/>
    <row r="269605" s="12" customFormat="1" x14ac:dyDescent="0.25"/>
    <row r="269606" s="12" customFormat="1" x14ac:dyDescent="0.25"/>
    <row r="269607" s="12" customFormat="1" x14ac:dyDescent="0.25"/>
    <row r="269608" s="12" customFormat="1" x14ac:dyDescent="0.25"/>
    <row r="269609" s="12" customFormat="1" x14ac:dyDescent="0.25"/>
    <row r="269610" s="12" customFormat="1" x14ac:dyDescent="0.25"/>
    <row r="269611" s="12" customFormat="1" x14ac:dyDescent="0.25"/>
    <row r="269612" s="12" customFormat="1" x14ac:dyDescent="0.25"/>
    <row r="269613" s="12" customFormat="1" x14ac:dyDescent="0.25"/>
    <row r="269614" s="12" customFormat="1" x14ac:dyDescent="0.25"/>
    <row r="269615" s="12" customFormat="1" x14ac:dyDescent="0.25"/>
    <row r="269616" s="12" customFormat="1" x14ac:dyDescent="0.25"/>
    <row r="269617" s="12" customFormat="1" x14ac:dyDescent="0.25"/>
    <row r="269618" s="12" customFormat="1" x14ac:dyDescent="0.25"/>
    <row r="269619" s="12" customFormat="1" x14ac:dyDescent="0.25"/>
    <row r="269620" s="12" customFormat="1" x14ac:dyDescent="0.25"/>
    <row r="269621" s="12" customFormat="1" x14ac:dyDescent="0.25"/>
    <row r="269622" s="12" customFormat="1" x14ac:dyDescent="0.25"/>
    <row r="269623" s="12" customFormat="1" x14ac:dyDescent="0.25"/>
    <row r="269624" s="12" customFormat="1" x14ac:dyDescent="0.25"/>
    <row r="269625" s="12" customFormat="1" x14ac:dyDescent="0.25"/>
    <row r="269626" s="12" customFormat="1" x14ac:dyDescent="0.25"/>
    <row r="269627" s="12" customFormat="1" x14ac:dyDescent="0.25"/>
    <row r="269628" s="12" customFormat="1" x14ac:dyDescent="0.25"/>
    <row r="269629" s="12" customFormat="1" x14ac:dyDescent="0.25"/>
    <row r="269630" s="12" customFormat="1" x14ac:dyDescent="0.25"/>
    <row r="269631" s="12" customFormat="1" x14ac:dyDescent="0.25"/>
    <row r="269632" s="12" customFormat="1" x14ac:dyDescent="0.25"/>
    <row r="269633" s="12" customFormat="1" x14ac:dyDescent="0.25"/>
    <row r="269634" s="12" customFormat="1" x14ac:dyDescent="0.25"/>
    <row r="269635" s="12" customFormat="1" x14ac:dyDescent="0.25"/>
    <row r="269636" s="12" customFormat="1" x14ac:dyDescent="0.25"/>
    <row r="269637" s="12" customFormat="1" x14ac:dyDescent="0.25"/>
    <row r="269638" s="12" customFormat="1" x14ac:dyDescent="0.25"/>
    <row r="269639" s="12" customFormat="1" x14ac:dyDescent="0.25"/>
    <row r="269640" s="12" customFormat="1" x14ac:dyDescent="0.25"/>
    <row r="269641" s="12" customFormat="1" x14ac:dyDescent="0.25"/>
    <row r="269642" s="12" customFormat="1" x14ac:dyDescent="0.25"/>
    <row r="269643" s="12" customFormat="1" x14ac:dyDescent="0.25"/>
    <row r="269644" s="12" customFormat="1" x14ac:dyDescent="0.25"/>
    <row r="269645" s="12" customFormat="1" x14ac:dyDescent="0.25"/>
    <row r="269646" s="12" customFormat="1" x14ac:dyDescent="0.25"/>
    <row r="269647" s="12" customFormat="1" x14ac:dyDescent="0.25"/>
    <row r="269648" s="12" customFormat="1" x14ac:dyDescent="0.25"/>
    <row r="269649" s="12" customFormat="1" x14ac:dyDescent="0.25"/>
    <row r="269650" s="12" customFormat="1" x14ac:dyDescent="0.25"/>
    <row r="269651" s="12" customFormat="1" x14ac:dyDescent="0.25"/>
    <row r="269652" s="12" customFormat="1" x14ac:dyDescent="0.25"/>
    <row r="269653" s="12" customFormat="1" x14ac:dyDescent="0.25"/>
    <row r="269654" s="12" customFormat="1" x14ac:dyDescent="0.25"/>
    <row r="269655" s="12" customFormat="1" x14ac:dyDescent="0.25"/>
    <row r="269656" s="12" customFormat="1" x14ac:dyDescent="0.25"/>
    <row r="269657" s="12" customFormat="1" x14ac:dyDescent="0.25"/>
    <row r="269658" s="12" customFormat="1" x14ac:dyDescent="0.25"/>
    <row r="269659" s="12" customFormat="1" x14ac:dyDescent="0.25"/>
    <row r="269660" s="12" customFormat="1" x14ac:dyDescent="0.25"/>
    <row r="269661" s="12" customFormat="1" x14ac:dyDescent="0.25"/>
    <row r="269662" s="12" customFormat="1" x14ac:dyDescent="0.25"/>
    <row r="269663" s="12" customFormat="1" x14ac:dyDescent="0.25"/>
    <row r="269664" s="12" customFormat="1" x14ac:dyDescent="0.25"/>
    <row r="269665" s="12" customFormat="1" x14ac:dyDescent="0.25"/>
    <row r="269666" s="12" customFormat="1" x14ac:dyDescent="0.25"/>
    <row r="269667" s="12" customFormat="1" x14ac:dyDescent="0.25"/>
    <row r="269668" s="12" customFormat="1" x14ac:dyDescent="0.25"/>
    <row r="269669" s="12" customFormat="1" x14ac:dyDescent="0.25"/>
    <row r="269670" s="12" customFormat="1" x14ac:dyDescent="0.25"/>
    <row r="269671" s="12" customFormat="1" x14ac:dyDescent="0.25"/>
    <row r="269672" s="12" customFormat="1" x14ac:dyDescent="0.25"/>
    <row r="269673" s="12" customFormat="1" x14ac:dyDescent="0.25"/>
    <row r="269674" s="12" customFormat="1" x14ac:dyDescent="0.25"/>
    <row r="269675" s="12" customFormat="1" x14ac:dyDescent="0.25"/>
    <row r="269676" s="12" customFormat="1" x14ac:dyDescent="0.25"/>
    <row r="269677" s="12" customFormat="1" x14ac:dyDescent="0.25"/>
    <row r="269678" s="12" customFormat="1" x14ac:dyDescent="0.25"/>
    <row r="269679" s="12" customFormat="1" x14ac:dyDescent="0.25"/>
    <row r="269680" s="12" customFormat="1" x14ac:dyDescent="0.25"/>
    <row r="269681" s="12" customFormat="1" x14ac:dyDescent="0.25"/>
    <row r="269682" s="12" customFormat="1" x14ac:dyDescent="0.25"/>
    <row r="269683" s="12" customFormat="1" x14ac:dyDescent="0.25"/>
    <row r="269684" s="12" customFormat="1" x14ac:dyDescent="0.25"/>
    <row r="269685" s="12" customFormat="1" x14ac:dyDescent="0.25"/>
    <row r="269686" s="12" customFormat="1" x14ac:dyDescent="0.25"/>
    <row r="269687" s="12" customFormat="1" x14ac:dyDescent="0.25"/>
    <row r="269688" s="12" customFormat="1" x14ac:dyDescent="0.25"/>
    <row r="269689" s="12" customFormat="1" x14ac:dyDescent="0.25"/>
    <row r="269690" s="12" customFormat="1" x14ac:dyDescent="0.25"/>
    <row r="269691" s="12" customFormat="1" x14ac:dyDescent="0.25"/>
    <row r="269692" s="12" customFormat="1" x14ac:dyDescent="0.25"/>
    <row r="269693" s="12" customFormat="1" x14ac:dyDescent="0.25"/>
    <row r="269694" s="12" customFormat="1" x14ac:dyDescent="0.25"/>
    <row r="269695" s="12" customFormat="1" x14ac:dyDescent="0.25"/>
    <row r="269696" s="12" customFormat="1" x14ac:dyDescent="0.25"/>
    <row r="269697" s="12" customFormat="1" x14ac:dyDescent="0.25"/>
    <row r="269698" s="12" customFormat="1" x14ac:dyDescent="0.25"/>
    <row r="269699" s="12" customFormat="1" x14ac:dyDescent="0.25"/>
    <row r="269700" s="12" customFormat="1" x14ac:dyDescent="0.25"/>
    <row r="269701" s="12" customFormat="1" x14ac:dyDescent="0.25"/>
    <row r="269702" s="12" customFormat="1" x14ac:dyDescent="0.25"/>
    <row r="269703" s="12" customFormat="1" x14ac:dyDescent="0.25"/>
    <row r="269704" s="12" customFormat="1" x14ac:dyDescent="0.25"/>
    <row r="269705" s="12" customFormat="1" x14ac:dyDescent="0.25"/>
    <row r="269706" s="12" customFormat="1" x14ac:dyDescent="0.25"/>
    <row r="269707" s="12" customFormat="1" x14ac:dyDescent="0.25"/>
    <row r="269708" s="12" customFormat="1" x14ac:dyDescent="0.25"/>
    <row r="269709" s="12" customFormat="1" x14ac:dyDescent="0.25"/>
    <row r="269710" s="12" customFormat="1" x14ac:dyDescent="0.25"/>
    <row r="269711" s="12" customFormat="1" x14ac:dyDescent="0.25"/>
    <row r="269712" s="12" customFormat="1" x14ac:dyDescent="0.25"/>
    <row r="269713" s="12" customFormat="1" x14ac:dyDescent="0.25"/>
    <row r="269714" s="12" customFormat="1" x14ac:dyDescent="0.25"/>
    <row r="269715" s="12" customFormat="1" x14ac:dyDescent="0.25"/>
    <row r="269716" s="12" customFormat="1" x14ac:dyDescent="0.25"/>
    <row r="269717" s="12" customFormat="1" x14ac:dyDescent="0.25"/>
    <row r="269718" s="12" customFormat="1" x14ac:dyDescent="0.25"/>
    <row r="269719" s="12" customFormat="1" x14ac:dyDescent="0.25"/>
    <row r="269720" s="12" customFormat="1" x14ac:dyDescent="0.25"/>
    <row r="269721" s="12" customFormat="1" x14ac:dyDescent="0.25"/>
    <row r="269722" s="12" customFormat="1" x14ac:dyDescent="0.25"/>
    <row r="269723" s="12" customFormat="1" x14ac:dyDescent="0.25"/>
    <row r="269724" s="12" customFormat="1" x14ac:dyDescent="0.25"/>
    <row r="269725" s="12" customFormat="1" x14ac:dyDescent="0.25"/>
    <row r="269726" s="12" customFormat="1" x14ac:dyDescent="0.25"/>
    <row r="269727" s="12" customFormat="1" x14ac:dyDescent="0.25"/>
    <row r="269728" s="12" customFormat="1" x14ac:dyDescent="0.25"/>
    <row r="269729" s="12" customFormat="1" x14ac:dyDescent="0.25"/>
    <row r="269730" s="12" customFormat="1" x14ac:dyDescent="0.25"/>
    <row r="269731" s="12" customFormat="1" x14ac:dyDescent="0.25"/>
    <row r="269732" s="12" customFormat="1" x14ac:dyDescent="0.25"/>
    <row r="269733" s="12" customFormat="1" x14ac:dyDescent="0.25"/>
    <row r="269734" s="12" customFormat="1" x14ac:dyDescent="0.25"/>
    <row r="269735" s="12" customFormat="1" x14ac:dyDescent="0.25"/>
    <row r="269736" s="12" customFormat="1" x14ac:dyDescent="0.25"/>
    <row r="269737" s="12" customFormat="1" x14ac:dyDescent="0.25"/>
    <row r="269738" s="12" customFormat="1" x14ac:dyDescent="0.25"/>
    <row r="269739" s="12" customFormat="1" x14ac:dyDescent="0.25"/>
    <row r="269740" s="12" customFormat="1" x14ac:dyDescent="0.25"/>
    <row r="269741" s="12" customFormat="1" x14ac:dyDescent="0.25"/>
    <row r="269742" s="12" customFormat="1" x14ac:dyDescent="0.25"/>
    <row r="269743" s="12" customFormat="1" x14ac:dyDescent="0.25"/>
    <row r="269744" s="12" customFormat="1" x14ac:dyDescent="0.25"/>
    <row r="269745" s="12" customFormat="1" x14ac:dyDescent="0.25"/>
    <row r="269746" s="12" customFormat="1" x14ac:dyDescent="0.25"/>
    <row r="269747" s="12" customFormat="1" x14ac:dyDescent="0.25"/>
    <row r="269748" s="12" customFormat="1" x14ac:dyDescent="0.25"/>
    <row r="269749" s="12" customFormat="1" x14ac:dyDescent="0.25"/>
    <row r="269750" s="12" customFormat="1" x14ac:dyDescent="0.25"/>
    <row r="269751" s="12" customFormat="1" x14ac:dyDescent="0.25"/>
    <row r="269752" s="12" customFormat="1" x14ac:dyDescent="0.25"/>
    <row r="269753" s="12" customFormat="1" x14ac:dyDescent="0.25"/>
    <row r="269754" s="12" customFormat="1" x14ac:dyDescent="0.25"/>
    <row r="269755" s="12" customFormat="1" x14ac:dyDescent="0.25"/>
    <row r="269756" s="12" customFormat="1" x14ac:dyDescent="0.25"/>
    <row r="269757" s="12" customFormat="1" x14ac:dyDescent="0.25"/>
    <row r="269758" s="12" customFormat="1" x14ac:dyDescent="0.25"/>
    <row r="269759" s="12" customFormat="1" x14ac:dyDescent="0.25"/>
    <row r="269760" s="12" customFormat="1" x14ac:dyDescent="0.25"/>
    <row r="269761" s="12" customFormat="1" x14ac:dyDescent="0.25"/>
    <row r="269762" s="12" customFormat="1" x14ac:dyDescent="0.25"/>
    <row r="269763" s="12" customFormat="1" x14ac:dyDescent="0.25"/>
    <row r="269764" s="12" customFormat="1" x14ac:dyDescent="0.25"/>
    <row r="269765" s="12" customFormat="1" x14ac:dyDescent="0.25"/>
    <row r="269766" s="12" customFormat="1" x14ac:dyDescent="0.25"/>
    <row r="269767" s="12" customFormat="1" x14ac:dyDescent="0.25"/>
    <row r="269768" s="12" customFormat="1" x14ac:dyDescent="0.25"/>
    <row r="269769" s="12" customFormat="1" x14ac:dyDescent="0.25"/>
    <row r="269770" s="12" customFormat="1" x14ac:dyDescent="0.25"/>
    <row r="269771" s="12" customFormat="1" x14ac:dyDescent="0.25"/>
    <row r="269772" s="12" customFormat="1" x14ac:dyDescent="0.25"/>
    <row r="269773" s="12" customFormat="1" x14ac:dyDescent="0.25"/>
    <row r="269774" s="12" customFormat="1" x14ac:dyDescent="0.25"/>
    <row r="269775" s="12" customFormat="1" x14ac:dyDescent="0.25"/>
    <row r="269776" s="12" customFormat="1" x14ac:dyDescent="0.25"/>
    <row r="269777" s="12" customFormat="1" x14ac:dyDescent="0.25"/>
    <row r="269778" s="12" customFormat="1" x14ac:dyDescent="0.25"/>
    <row r="269779" s="12" customFormat="1" x14ac:dyDescent="0.25"/>
    <row r="269780" s="12" customFormat="1" x14ac:dyDescent="0.25"/>
    <row r="269781" s="12" customFormat="1" x14ac:dyDescent="0.25"/>
    <row r="269782" s="12" customFormat="1" x14ac:dyDescent="0.25"/>
    <row r="269783" s="12" customFormat="1" x14ac:dyDescent="0.25"/>
    <row r="269784" s="12" customFormat="1" x14ac:dyDescent="0.25"/>
    <row r="269785" s="12" customFormat="1" x14ac:dyDescent="0.25"/>
    <row r="269786" s="12" customFormat="1" x14ac:dyDescent="0.25"/>
    <row r="269787" s="12" customFormat="1" x14ac:dyDescent="0.25"/>
    <row r="269788" s="12" customFormat="1" x14ac:dyDescent="0.25"/>
    <row r="269789" s="12" customFormat="1" x14ac:dyDescent="0.25"/>
    <row r="269790" s="12" customFormat="1" x14ac:dyDescent="0.25"/>
    <row r="269791" s="12" customFormat="1" x14ac:dyDescent="0.25"/>
    <row r="269792" s="12" customFormat="1" x14ac:dyDescent="0.25"/>
    <row r="269793" s="12" customFormat="1" x14ac:dyDescent="0.25"/>
    <row r="269794" s="12" customFormat="1" x14ac:dyDescent="0.25"/>
    <row r="269795" s="12" customFormat="1" x14ac:dyDescent="0.25"/>
    <row r="269796" s="12" customFormat="1" x14ac:dyDescent="0.25"/>
    <row r="269797" s="12" customFormat="1" x14ac:dyDescent="0.25"/>
    <row r="269798" s="12" customFormat="1" x14ac:dyDescent="0.25"/>
    <row r="269799" s="12" customFormat="1" x14ac:dyDescent="0.25"/>
    <row r="269800" s="12" customFormat="1" x14ac:dyDescent="0.25"/>
    <row r="269801" s="12" customFormat="1" x14ac:dyDescent="0.25"/>
    <row r="269802" s="12" customFormat="1" x14ac:dyDescent="0.25"/>
    <row r="269803" s="12" customFormat="1" x14ac:dyDescent="0.25"/>
    <row r="269804" s="12" customFormat="1" x14ac:dyDescent="0.25"/>
    <row r="269805" s="12" customFormat="1" x14ac:dyDescent="0.25"/>
    <row r="269806" s="12" customFormat="1" x14ac:dyDescent="0.25"/>
    <row r="269807" s="12" customFormat="1" x14ac:dyDescent="0.25"/>
    <row r="269808" s="12" customFormat="1" x14ac:dyDescent="0.25"/>
    <row r="269809" s="12" customFormat="1" x14ac:dyDescent="0.25"/>
    <row r="269810" s="12" customFormat="1" x14ac:dyDescent="0.25"/>
    <row r="269811" s="12" customFormat="1" x14ac:dyDescent="0.25"/>
    <row r="269812" s="12" customFormat="1" x14ac:dyDescent="0.25"/>
    <row r="269813" s="12" customFormat="1" x14ac:dyDescent="0.25"/>
    <row r="269814" s="12" customFormat="1" x14ac:dyDescent="0.25"/>
    <row r="269815" s="12" customFormat="1" x14ac:dyDescent="0.25"/>
    <row r="269816" s="12" customFormat="1" x14ac:dyDescent="0.25"/>
    <row r="269817" s="12" customFormat="1" x14ac:dyDescent="0.25"/>
    <row r="269818" s="12" customFormat="1" x14ac:dyDescent="0.25"/>
    <row r="269819" s="12" customFormat="1" x14ac:dyDescent="0.25"/>
    <row r="269820" s="12" customFormat="1" x14ac:dyDescent="0.25"/>
    <row r="269821" s="12" customFormat="1" x14ac:dyDescent="0.25"/>
    <row r="269822" s="12" customFormat="1" x14ac:dyDescent="0.25"/>
    <row r="269823" s="12" customFormat="1" x14ac:dyDescent="0.25"/>
    <row r="269824" s="12" customFormat="1" x14ac:dyDescent="0.25"/>
    <row r="269825" s="12" customFormat="1" x14ac:dyDescent="0.25"/>
    <row r="269826" s="12" customFormat="1" x14ac:dyDescent="0.25"/>
    <row r="269827" s="12" customFormat="1" x14ac:dyDescent="0.25"/>
    <row r="269828" s="12" customFormat="1" x14ac:dyDescent="0.25"/>
    <row r="269829" s="12" customFormat="1" x14ac:dyDescent="0.25"/>
    <row r="269830" s="12" customFormat="1" x14ac:dyDescent="0.25"/>
    <row r="269831" s="12" customFormat="1" x14ac:dyDescent="0.25"/>
    <row r="269832" s="12" customFormat="1" x14ac:dyDescent="0.25"/>
    <row r="269833" s="12" customFormat="1" x14ac:dyDescent="0.25"/>
    <row r="269834" s="12" customFormat="1" x14ac:dyDescent="0.25"/>
    <row r="269835" s="12" customFormat="1" x14ac:dyDescent="0.25"/>
    <row r="269836" s="12" customFormat="1" x14ac:dyDescent="0.25"/>
    <row r="269837" s="12" customFormat="1" x14ac:dyDescent="0.25"/>
    <row r="269838" s="12" customFormat="1" x14ac:dyDescent="0.25"/>
    <row r="269839" s="12" customFormat="1" x14ac:dyDescent="0.25"/>
    <row r="269840" s="12" customFormat="1" x14ac:dyDescent="0.25"/>
    <row r="269841" s="12" customFormat="1" x14ac:dyDescent="0.25"/>
    <row r="269842" s="12" customFormat="1" x14ac:dyDescent="0.25"/>
    <row r="269843" s="12" customFormat="1" x14ac:dyDescent="0.25"/>
    <row r="269844" s="12" customFormat="1" x14ac:dyDescent="0.25"/>
    <row r="269845" s="12" customFormat="1" x14ac:dyDescent="0.25"/>
    <row r="269846" s="12" customFormat="1" x14ac:dyDescent="0.25"/>
    <row r="269847" s="12" customFormat="1" x14ac:dyDescent="0.25"/>
    <row r="269848" s="12" customFormat="1" x14ac:dyDescent="0.25"/>
    <row r="269849" s="12" customFormat="1" x14ac:dyDescent="0.25"/>
    <row r="269850" s="12" customFormat="1" x14ac:dyDescent="0.25"/>
    <row r="269851" s="12" customFormat="1" x14ac:dyDescent="0.25"/>
    <row r="269852" s="12" customFormat="1" x14ac:dyDescent="0.25"/>
    <row r="269853" s="12" customFormat="1" x14ac:dyDescent="0.25"/>
    <row r="269854" s="12" customFormat="1" x14ac:dyDescent="0.25"/>
    <row r="269855" s="12" customFormat="1" x14ac:dyDescent="0.25"/>
    <row r="269856" s="12" customFormat="1" x14ac:dyDescent="0.25"/>
    <row r="269857" s="12" customFormat="1" x14ac:dyDescent="0.25"/>
    <row r="269858" s="12" customFormat="1" x14ac:dyDescent="0.25"/>
    <row r="269859" s="12" customFormat="1" x14ac:dyDescent="0.25"/>
    <row r="269860" s="12" customFormat="1" x14ac:dyDescent="0.25"/>
    <row r="269861" s="12" customFormat="1" x14ac:dyDescent="0.25"/>
    <row r="269862" s="12" customFormat="1" x14ac:dyDescent="0.25"/>
    <row r="269863" s="12" customFormat="1" x14ac:dyDescent="0.25"/>
    <row r="269864" s="12" customFormat="1" x14ac:dyDescent="0.25"/>
    <row r="269865" s="12" customFormat="1" x14ac:dyDescent="0.25"/>
    <row r="269866" s="12" customFormat="1" x14ac:dyDescent="0.25"/>
    <row r="269867" s="12" customFormat="1" x14ac:dyDescent="0.25"/>
    <row r="269868" s="12" customFormat="1" x14ac:dyDescent="0.25"/>
    <row r="269869" s="12" customFormat="1" x14ac:dyDescent="0.25"/>
    <row r="269870" s="12" customFormat="1" x14ac:dyDescent="0.25"/>
    <row r="269871" s="12" customFormat="1" x14ac:dyDescent="0.25"/>
    <row r="269872" s="12" customFormat="1" x14ac:dyDescent="0.25"/>
    <row r="269873" s="12" customFormat="1" x14ac:dyDescent="0.25"/>
    <row r="269874" s="12" customFormat="1" x14ac:dyDescent="0.25"/>
    <row r="269875" s="12" customFormat="1" x14ac:dyDescent="0.25"/>
    <row r="269876" s="12" customFormat="1" x14ac:dyDescent="0.25"/>
    <row r="269877" s="12" customFormat="1" x14ac:dyDescent="0.25"/>
    <row r="269878" s="12" customFormat="1" x14ac:dyDescent="0.25"/>
    <row r="269879" s="12" customFormat="1" x14ac:dyDescent="0.25"/>
    <row r="269880" s="12" customFormat="1" x14ac:dyDescent="0.25"/>
    <row r="269881" s="12" customFormat="1" x14ac:dyDescent="0.25"/>
    <row r="269882" s="12" customFormat="1" x14ac:dyDescent="0.25"/>
    <row r="269883" s="12" customFormat="1" x14ac:dyDescent="0.25"/>
    <row r="269884" s="12" customFormat="1" x14ac:dyDescent="0.25"/>
    <row r="269885" s="12" customFormat="1" x14ac:dyDescent="0.25"/>
    <row r="269886" s="12" customFormat="1" x14ac:dyDescent="0.25"/>
    <row r="269887" s="12" customFormat="1" x14ac:dyDescent="0.25"/>
    <row r="269888" s="12" customFormat="1" x14ac:dyDescent="0.25"/>
    <row r="269889" s="12" customFormat="1" x14ac:dyDescent="0.25"/>
    <row r="269890" s="12" customFormat="1" x14ac:dyDescent="0.25"/>
    <row r="269891" s="12" customFormat="1" x14ac:dyDescent="0.25"/>
    <row r="269892" s="12" customFormat="1" x14ac:dyDescent="0.25"/>
    <row r="269893" s="12" customFormat="1" x14ac:dyDescent="0.25"/>
    <row r="269894" s="12" customFormat="1" x14ac:dyDescent="0.25"/>
    <row r="269895" s="12" customFormat="1" x14ac:dyDescent="0.25"/>
    <row r="269896" s="12" customFormat="1" x14ac:dyDescent="0.25"/>
    <row r="269897" s="12" customFormat="1" x14ac:dyDescent="0.25"/>
    <row r="269898" s="12" customFormat="1" x14ac:dyDescent="0.25"/>
    <row r="269899" s="12" customFormat="1" x14ac:dyDescent="0.25"/>
    <row r="269900" s="12" customFormat="1" x14ac:dyDescent="0.25"/>
    <row r="269901" s="12" customFormat="1" x14ac:dyDescent="0.25"/>
    <row r="269902" s="12" customFormat="1" x14ac:dyDescent="0.25"/>
    <row r="269903" s="12" customFormat="1" x14ac:dyDescent="0.25"/>
    <row r="269904" s="12" customFormat="1" x14ac:dyDescent="0.25"/>
    <row r="269905" s="12" customFormat="1" x14ac:dyDescent="0.25"/>
    <row r="269906" s="12" customFormat="1" x14ac:dyDescent="0.25"/>
    <row r="269907" s="12" customFormat="1" x14ac:dyDescent="0.25"/>
    <row r="269908" s="12" customFormat="1" x14ac:dyDescent="0.25"/>
    <row r="269909" s="12" customFormat="1" x14ac:dyDescent="0.25"/>
    <row r="269910" s="12" customFormat="1" x14ac:dyDescent="0.25"/>
    <row r="269911" s="12" customFormat="1" x14ac:dyDescent="0.25"/>
    <row r="269912" s="12" customFormat="1" x14ac:dyDescent="0.25"/>
    <row r="269913" s="12" customFormat="1" x14ac:dyDescent="0.25"/>
    <row r="269914" s="12" customFormat="1" x14ac:dyDescent="0.25"/>
    <row r="269915" s="12" customFormat="1" x14ac:dyDescent="0.25"/>
    <row r="269916" s="12" customFormat="1" x14ac:dyDescent="0.25"/>
    <row r="269917" s="12" customFormat="1" x14ac:dyDescent="0.25"/>
    <row r="269918" s="12" customFormat="1" x14ac:dyDescent="0.25"/>
    <row r="269919" s="12" customFormat="1" x14ac:dyDescent="0.25"/>
    <row r="269920" s="12" customFormat="1" x14ac:dyDescent="0.25"/>
    <row r="269921" s="12" customFormat="1" x14ac:dyDescent="0.25"/>
    <row r="269922" s="12" customFormat="1" x14ac:dyDescent="0.25"/>
    <row r="269923" s="12" customFormat="1" x14ac:dyDescent="0.25"/>
    <row r="269924" s="12" customFormat="1" x14ac:dyDescent="0.25"/>
    <row r="269925" s="12" customFormat="1" x14ac:dyDescent="0.25"/>
    <row r="269926" s="12" customFormat="1" x14ac:dyDescent="0.25"/>
    <row r="269927" s="12" customFormat="1" x14ac:dyDescent="0.25"/>
    <row r="269928" s="12" customFormat="1" x14ac:dyDescent="0.25"/>
    <row r="269929" s="12" customFormat="1" x14ac:dyDescent="0.25"/>
    <row r="269930" s="12" customFormat="1" x14ac:dyDescent="0.25"/>
    <row r="269931" s="12" customFormat="1" x14ac:dyDescent="0.25"/>
    <row r="269932" s="12" customFormat="1" x14ac:dyDescent="0.25"/>
    <row r="269933" s="12" customFormat="1" x14ac:dyDescent="0.25"/>
    <row r="269934" s="12" customFormat="1" x14ac:dyDescent="0.25"/>
    <row r="269935" s="12" customFormat="1" x14ac:dyDescent="0.25"/>
    <row r="269936" s="12" customFormat="1" x14ac:dyDescent="0.25"/>
    <row r="269937" s="12" customFormat="1" x14ac:dyDescent="0.25"/>
    <row r="269938" s="12" customFormat="1" x14ac:dyDescent="0.25"/>
    <row r="269939" s="12" customFormat="1" x14ac:dyDescent="0.25"/>
    <row r="269940" s="12" customFormat="1" x14ac:dyDescent="0.25"/>
    <row r="269941" s="12" customFormat="1" x14ac:dyDescent="0.25"/>
    <row r="269942" s="12" customFormat="1" x14ac:dyDescent="0.25"/>
    <row r="269943" s="12" customFormat="1" x14ac:dyDescent="0.25"/>
    <row r="269944" s="12" customFormat="1" x14ac:dyDescent="0.25"/>
    <row r="269945" s="12" customFormat="1" x14ac:dyDescent="0.25"/>
    <row r="269946" s="12" customFormat="1" x14ac:dyDescent="0.25"/>
    <row r="269947" s="12" customFormat="1" x14ac:dyDescent="0.25"/>
    <row r="269948" s="12" customFormat="1" x14ac:dyDescent="0.25"/>
    <row r="269949" s="12" customFormat="1" x14ac:dyDescent="0.25"/>
    <row r="269950" s="12" customFormat="1" x14ac:dyDescent="0.25"/>
    <row r="269951" s="12" customFormat="1" x14ac:dyDescent="0.25"/>
    <row r="269952" s="12" customFormat="1" x14ac:dyDescent="0.25"/>
    <row r="269953" s="12" customFormat="1" x14ac:dyDescent="0.25"/>
    <row r="269954" s="12" customFormat="1" x14ac:dyDescent="0.25"/>
    <row r="269955" s="12" customFormat="1" x14ac:dyDescent="0.25"/>
    <row r="269956" s="12" customFormat="1" x14ac:dyDescent="0.25"/>
    <row r="269957" s="12" customFormat="1" x14ac:dyDescent="0.25"/>
    <row r="269958" s="12" customFormat="1" x14ac:dyDescent="0.25"/>
    <row r="269959" s="12" customFormat="1" x14ac:dyDescent="0.25"/>
    <row r="269960" s="12" customFormat="1" x14ac:dyDescent="0.25"/>
    <row r="269961" s="12" customFormat="1" x14ac:dyDescent="0.25"/>
    <row r="269962" s="12" customFormat="1" x14ac:dyDescent="0.25"/>
    <row r="269963" s="12" customFormat="1" x14ac:dyDescent="0.25"/>
    <row r="269964" s="12" customFormat="1" x14ac:dyDescent="0.25"/>
    <row r="269965" s="12" customFormat="1" x14ac:dyDescent="0.25"/>
    <row r="269966" s="12" customFormat="1" x14ac:dyDescent="0.25"/>
    <row r="269967" s="12" customFormat="1" x14ac:dyDescent="0.25"/>
    <row r="269968" s="12" customFormat="1" x14ac:dyDescent="0.25"/>
    <row r="269969" s="12" customFormat="1" x14ac:dyDescent="0.25"/>
    <row r="269970" s="12" customFormat="1" x14ac:dyDescent="0.25"/>
    <row r="269971" s="12" customFormat="1" x14ac:dyDescent="0.25"/>
    <row r="269972" s="12" customFormat="1" x14ac:dyDescent="0.25"/>
    <row r="269973" s="12" customFormat="1" x14ac:dyDescent="0.25"/>
    <row r="269974" s="12" customFormat="1" x14ac:dyDescent="0.25"/>
    <row r="269975" s="12" customFormat="1" x14ac:dyDescent="0.25"/>
    <row r="269976" s="12" customFormat="1" x14ac:dyDescent="0.25"/>
    <row r="269977" s="12" customFormat="1" x14ac:dyDescent="0.25"/>
    <row r="269978" s="12" customFormat="1" x14ac:dyDescent="0.25"/>
    <row r="269979" s="12" customFormat="1" x14ac:dyDescent="0.25"/>
    <row r="269980" s="12" customFormat="1" x14ac:dyDescent="0.25"/>
    <row r="269981" s="12" customFormat="1" x14ac:dyDescent="0.25"/>
    <row r="269982" s="12" customFormat="1" x14ac:dyDescent="0.25"/>
    <row r="269983" s="12" customFormat="1" x14ac:dyDescent="0.25"/>
    <row r="269984" s="12" customFormat="1" x14ac:dyDescent="0.25"/>
    <row r="269985" s="12" customFormat="1" x14ac:dyDescent="0.25"/>
    <row r="269986" s="12" customFormat="1" x14ac:dyDescent="0.25"/>
    <row r="269987" s="12" customFormat="1" x14ac:dyDescent="0.25"/>
    <row r="269988" s="12" customFormat="1" x14ac:dyDescent="0.25"/>
    <row r="269989" s="12" customFormat="1" x14ac:dyDescent="0.25"/>
    <row r="269990" s="12" customFormat="1" x14ac:dyDescent="0.25"/>
    <row r="269991" s="12" customFormat="1" x14ac:dyDescent="0.25"/>
    <row r="269992" s="12" customFormat="1" x14ac:dyDescent="0.25"/>
    <row r="269993" s="12" customFormat="1" x14ac:dyDescent="0.25"/>
    <row r="269994" s="12" customFormat="1" x14ac:dyDescent="0.25"/>
    <row r="269995" s="12" customFormat="1" x14ac:dyDescent="0.25"/>
    <row r="269996" s="12" customFormat="1" x14ac:dyDescent="0.25"/>
    <row r="269997" s="12" customFormat="1" x14ac:dyDescent="0.25"/>
    <row r="269998" s="12" customFormat="1" x14ac:dyDescent="0.25"/>
    <row r="269999" s="12" customFormat="1" x14ac:dyDescent="0.25"/>
    <row r="270000" s="12" customFormat="1" x14ac:dyDescent="0.25"/>
    <row r="270001" s="12" customFormat="1" x14ac:dyDescent="0.25"/>
    <row r="270002" s="12" customFormat="1" x14ac:dyDescent="0.25"/>
    <row r="270003" s="12" customFormat="1" x14ac:dyDescent="0.25"/>
    <row r="270004" s="12" customFormat="1" x14ac:dyDescent="0.25"/>
    <row r="270005" s="12" customFormat="1" x14ac:dyDescent="0.25"/>
    <row r="270006" s="12" customFormat="1" x14ac:dyDescent="0.25"/>
    <row r="270007" s="12" customFormat="1" x14ac:dyDescent="0.25"/>
    <row r="270008" s="12" customFormat="1" x14ac:dyDescent="0.25"/>
    <row r="270009" s="12" customFormat="1" x14ac:dyDescent="0.25"/>
    <row r="270010" s="12" customFormat="1" x14ac:dyDescent="0.25"/>
    <row r="270011" s="12" customFormat="1" x14ac:dyDescent="0.25"/>
    <row r="270012" s="12" customFormat="1" x14ac:dyDescent="0.25"/>
    <row r="270013" s="12" customFormat="1" x14ac:dyDescent="0.25"/>
    <row r="270014" s="12" customFormat="1" x14ac:dyDescent="0.25"/>
    <row r="270015" s="12" customFormat="1" x14ac:dyDescent="0.25"/>
    <row r="270016" s="12" customFormat="1" x14ac:dyDescent="0.25"/>
    <row r="270017" s="12" customFormat="1" x14ac:dyDescent="0.25"/>
    <row r="270018" s="12" customFormat="1" x14ac:dyDescent="0.25"/>
    <row r="270019" s="12" customFormat="1" x14ac:dyDescent="0.25"/>
    <row r="270020" s="12" customFormat="1" x14ac:dyDescent="0.25"/>
    <row r="270021" s="12" customFormat="1" x14ac:dyDescent="0.25"/>
    <row r="270022" s="12" customFormat="1" x14ac:dyDescent="0.25"/>
    <row r="270023" s="12" customFormat="1" x14ac:dyDescent="0.25"/>
    <row r="270024" s="12" customFormat="1" x14ac:dyDescent="0.25"/>
    <row r="270025" s="12" customFormat="1" x14ac:dyDescent="0.25"/>
    <row r="270026" s="12" customFormat="1" x14ac:dyDescent="0.25"/>
    <row r="270027" s="12" customFormat="1" x14ac:dyDescent="0.25"/>
    <row r="270028" s="12" customFormat="1" x14ac:dyDescent="0.25"/>
    <row r="270029" s="12" customFormat="1" x14ac:dyDescent="0.25"/>
    <row r="270030" s="12" customFormat="1" x14ac:dyDescent="0.25"/>
    <row r="270031" s="12" customFormat="1" x14ac:dyDescent="0.25"/>
    <row r="270032" s="12" customFormat="1" x14ac:dyDescent="0.25"/>
    <row r="270033" s="12" customFormat="1" x14ac:dyDescent="0.25"/>
    <row r="270034" s="12" customFormat="1" x14ac:dyDescent="0.25"/>
    <row r="270035" s="12" customFormat="1" x14ac:dyDescent="0.25"/>
    <row r="270036" s="12" customFormat="1" x14ac:dyDescent="0.25"/>
    <row r="270037" s="12" customFormat="1" x14ac:dyDescent="0.25"/>
    <row r="270038" s="12" customFormat="1" x14ac:dyDescent="0.25"/>
    <row r="270039" s="12" customFormat="1" x14ac:dyDescent="0.25"/>
    <row r="270040" s="12" customFormat="1" x14ac:dyDescent="0.25"/>
    <row r="270041" s="12" customFormat="1" x14ac:dyDescent="0.25"/>
    <row r="270042" s="12" customFormat="1" x14ac:dyDescent="0.25"/>
    <row r="270043" s="12" customFormat="1" x14ac:dyDescent="0.25"/>
    <row r="270044" s="12" customFormat="1" x14ac:dyDescent="0.25"/>
    <row r="270045" s="12" customFormat="1" x14ac:dyDescent="0.25"/>
    <row r="270046" s="12" customFormat="1" x14ac:dyDescent="0.25"/>
    <row r="270047" s="12" customFormat="1" x14ac:dyDescent="0.25"/>
    <row r="270048" s="12" customFormat="1" x14ac:dyDescent="0.25"/>
    <row r="270049" s="12" customFormat="1" x14ac:dyDescent="0.25"/>
    <row r="270050" s="12" customFormat="1" x14ac:dyDescent="0.25"/>
    <row r="270051" s="12" customFormat="1" x14ac:dyDescent="0.25"/>
    <row r="270052" s="12" customFormat="1" x14ac:dyDescent="0.25"/>
    <row r="270053" s="12" customFormat="1" x14ac:dyDescent="0.25"/>
    <row r="270054" s="12" customFormat="1" x14ac:dyDescent="0.25"/>
    <row r="270055" s="12" customFormat="1" x14ac:dyDescent="0.25"/>
    <row r="270056" s="12" customFormat="1" x14ac:dyDescent="0.25"/>
    <row r="270057" s="12" customFormat="1" x14ac:dyDescent="0.25"/>
    <row r="270058" s="12" customFormat="1" x14ac:dyDescent="0.25"/>
    <row r="270059" s="12" customFormat="1" x14ac:dyDescent="0.25"/>
    <row r="270060" s="12" customFormat="1" x14ac:dyDescent="0.25"/>
    <row r="270061" s="12" customFormat="1" x14ac:dyDescent="0.25"/>
    <row r="270062" s="12" customFormat="1" x14ac:dyDescent="0.25"/>
    <row r="270063" s="12" customFormat="1" x14ac:dyDescent="0.25"/>
    <row r="270064" s="12" customFormat="1" x14ac:dyDescent="0.25"/>
    <row r="270065" s="12" customFormat="1" x14ac:dyDescent="0.25"/>
    <row r="270066" s="12" customFormat="1" x14ac:dyDescent="0.25"/>
    <row r="270067" s="12" customFormat="1" x14ac:dyDescent="0.25"/>
    <row r="270068" s="12" customFormat="1" x14ac:dyDescent="0.25"/>
    <row r="270069" s="12" customFormat="1" x14ac:dyDescent="0.25"/>
    <row r="270070" s="12" customFormat="1" x14ac:dyDescent="0.25"/>
    <row r="270071" s="12" customFormat="1" x14ac:dyDescent="0.25"/>
    <row r="270072" s="12" customFormat="1" x14ac:dyDescent="0.25"/>
    <row r="270073" s="12" customFormat="1" x14ac:dyDescent="0.25"/>
    <row r="270074" s="12" customFormat="1" x14ac:dyDescent="0.25"/>
    <row r="270075" s="12" customFormat="1" x14ac:dyDescent="0.25"/>
    <row r="270076" s="12" customFormat="1" x14ac:dyDescent="0.25"/>
    <row r="270077" s="12" customFormat="1" x14ac:dyDescent="0.25"/>
    <row r="270078" s="12" customFormat="1" x14ac:dyDescent="0.25"/>
    <row r="270079" s="12" customFormat="1" x14ac:dyDescent="0.25"/>
    <row r="270080" s="12" customFormat="1" x14ac:dyDescent="0.25"/>
    <row r="270081" s="12" customFormat="1" x14ac:dyDescent="0.25"/>
    <row r="270082" s="12" customFormat="1" x14ac:dyDescent="0.25"/>
    <row r="270083" s="12" customFormat="1" x14ac:dyDescent="0.25"/>
    <row r="270084" s="12" customFormat="1" x14ac:dyDescent="0.25"/>
    <row r="270085" s="12" customFormat="1" x14ac:dyDescent="0.25"/>
    <row r="270086" s="12" customFormat="1" x14ac:dyDescent="0.25"/>
    <row r="270087" s="12" customFormat="1" x14ac:dyDescent="0.25"/>
    <row r="270088" s="12" customFormat="1" x14ac:dyDescent="0.25"/>
    <row r="270089" s="12" customFormat="1" x14ac:dyDescent="0.25"/>
    <row r="270090" s="12" customFormat="1" x14ac:dyDescent="0.25"/>
    <row r="270091" s="12" customFormat="1" x14ac:dyDescent="0.25"/>
    <row r="270092" s="12" customFormat="1" x14ac:dyDescent="0.25"/>
    <row r="270093" s="12" customFormat="1" x14ac:dyDescent="0.25"/>
    <row r="270094" s="12" customFormat="1" x14ac:dyDescent="0.25"/>
    <row r="270095" s="12" customFormat="1" x14ac:dyDescent="0.25"/>
    <row r="270096" s="12" customFormat="1" x14ac:dyDescent="0.25"/>
    <row r="270097" s="12" customFormat="1" x14ac:dyDescent="0.25"/>
    <row r="270098" s="12" customFormat="1" x14ac:dyDescent="0.25"/>
    <row r="270099" s="12" customFormat="1" x14ac:dyDescent="0.25"/>
    <row r="270100" s="12" customFormat="1" x14ac:dyDescent="0.25"/>
    <row r="270101" s="12" customFormat="1" x14ac:dyDescent="0.25"/>
    <row r="270102" s="12" customFormat="1" x14ac:dyDescent="0.25"/>
    <row r="270103" s="12" customFormat="1" x14ac:dyDescent="0.25"/>
    <row r="270104" s="12" customFormat="1" x14ac:dyDescent="0.25"/>
    <row r="270105" s="12" customFormat="1" x14ac:dyDescent="0.25"/>
    <row r="270106" s="12" customFormat="1" x14ac:dyDescent="0.25"/>
    <row r="270107" s="12" customFormat="1" x14ac:dyDescent="0.25"/>
    <row r="270108" s="12" customFormat="1" x14ac:dyDescent="0.25"/>
    <row r="270109" s="12" customFormat="1" x14ac:dyDescent="0.25"/>
    <row r="270110" s="12" customFormat="1" x14ac:dyDescent="0.25"/>
    <row r="270111" s="12" customFormat="1" x14ac:dyDescent="0.25"/>
    <row r="270112" s="12" customFormat="1" x14ac:dyDescent="0.25"/>
    <row r="270113" s="12" customFormat="1" x14ac:dyDescent="0.25"/>
    <row r="270114" s="12" customFormat="1" x14ac:dyDescent="0.25"/>
    <row r="270115" s="12" customFormat="1" x14ac:dyDescent="0.25"/>
    <row r="270116" s="12" customFormat="1" x14ac:dyDescent="0.25"/>
    <row r="270117" s="12" customFormat="1" x14ac:dyDescent="0.25"/>
    <row r="270118" s="12" customFormat="1" x14ac:dyDescent="0.25"/>
    <row r="270119" s="12" customFormat="1" x14ac:dyDescent="0.25"/>
    <row r="270120" s="12" customFormat="1" x14ac:dyDescent="0.25"/>
    <row r="270121" s="12" customFormat="1" x14ac:dyDescent="0.25"/>
    <row r="270122" s="12" customFormat="1" x14ac:dyDescent="0.25"/>
    <row r="270123" s="12" customFormat="1" x14ac:dyDescent="0.25"/>
    <row r="270124" s="12" customFormat="1" x14ac:dyDescent="0.25"/>
    <row r="270125" s="12" customFormat="1" x14ac:dyDescent="0.25"/>
    <row r="270126" s="12" customFormat="1" x14ac:dyDescent="0.25"/>
    <row r="270127" s="12" customFormat="1" x14ac:dyDescent="0.25"/>
    <row r="270128" s="12" customFormat="1" x14ac:dyDescent="0.25"/>
    <row r="270129" s="12" customFormat="1" x14ac:dyDescent="0.25"/>
    <row r="270130" s="12" customFormat="1" x14ac:dyDescent="0.25"/>
    <row r="270131" s="12" customFormat="1" x14ac:dyDescent="0.25"/>
    <row r="270132" s="12" customFormat="1" x14ac:dyDescent="0.25"/>
    <row r="270133" s="12" customFormat="1" x14ac:dyDescent="0.25"/>
    <row r="270134" s="12" customFormat="1" x14ac:dyDescent="0.25"/>
    <row r="270135" s="12" customFormat="1" x14ac:dyDescent="0.25"/>
    <row r="270136" s="12" customFormat="1" x14ac:dyDescent="0.25"/>
    <row r="270137" s="12" customFormat="1" x14ac:dyDescent="0.25"/>
    <row r="270138" s="12" customFormat="1" x14ac:dyDescent="0.25"/>
    <row r="270139" s="12" customFormat="1" x14ac:dyDescent="0.25"/>
    <row r="270140" s="12" customFormat="1" x14ac:dyDescent="0.25"/>
    <row r="270141" s="12" customFormat="1" x14ac:dyDescent="0.25"/>
    <row r="270142" s="12" customFormat="1" x14ac:dyDescent="0.25"/>
    <row r="270143" s="12" customFormat="1" x14ac:dyDescent="0.25"/>
    <row r="270144" s="12" customFormat="1" x14ac:dyDescent="0.25"/>
    <row r="270145" s="12" customFormat="1" x14ac:dyDescent="0.25"/>
    <row r="270146" s="12" customFormat="1" x14ac:dyDescent="0.25"/>
    <row r="270147" s="12" customFormat="1" x14ac:dyDescent="0.25"/>
    <row r="270148" s="12" customFormat="1" x14ac:dyDescent="0.25"/>
    <row r="270149" s="12" customFormat="1" x14ac:dyDescent="0.25"/>
    <row r="270150" s="12" customFormat="1" x14ac:dyDescent="0.25"/>
    <row r="270151" s="12" customFormat="1" x14ac:dyDescent="0.25"/>
    <row r="270152" s="12" customFormat="1" x14ac:dyDescent="0.25"/>
    <row r="270153" s="12" customFormat="1" x14ac:dyDescent="0.25"/>
    <row r="270154" s="12" customFormat="1" x14ac:dyDescent="0.25"/>
    <row r="270155" s="12" customFormat="1" x14ac:dyDescent="0.25"/>
    <row r="270156" s="12" customFormat="1" x14ac:dyDescent="0.25"/>
    <row r="270157" s="12" customFormat="1" x14ac:dyDescent="0.25"/>
    <row r="270158" s="12" customFormat="1" x14ac:dyDescent="0.25"/>
    <row r="270159" s="12" customFormat="1" x14ac:dyDescent="0.25"/>
    <row r="270160" s="12" customFormat="1" x14ac:dyDescent="0.25"/>
    <row r="270161" s="12" customFormat="1" x14ac:dyDescent="0.25"/>
    <row r="270162" s="12" customFormat="1" x14ac:dyDescent="0.25"/>
    <row r="270163" s="12" customFormat="1" x14ac:dyDescent="0.25"/>
    <row r="270164" s="12" customFormat="1" x14ac:dyDescent="0.25"/>
    <row r="270165" s="12" customFormat="1" x14ac:dyDescent="0.25"/>
    <row r="270166" s="12" customFormat="1" x14ac:dyDescent="0.25"/>
    <row r="270167" s="12" customFormat="1" x14ac:dyDescent="0.25"/>
    <row r="270168" s="12" customFormat="1" x14ac:dyDescent="0.25"/>
    <row r="270169" s="12" customFormat="1" x14ac:dyDescent="0.25"/>
    <row r="270170" s="12" customFormat="1" x14ac:dyDescent="0.25"/>
    <row r="270171" s="12" customFormat="1" x14ac:dyDescent="0.25"/>
    <row r="270172" s="12" customFormat="1" x14ac:dyDescent="0.25"/>
    <row r="270173" s="12" customFormat="1" x14ac:dyDescent="0.25"/>
    <row r="270174" s="12" customFormat="1" x14ac:dyDescent="0.25"/>
    <row r="270175" s="12" customFormat="1" x14ac:dyDescent="0.25"/>
    <row r="270176" s="12" customFormat="1" x14ac:dyDescent="0.25"/>
    <row r="270177" s="12" customFormat="1" x14ac:dyDescent="0.25"/>
    <row r="270178" s="12" customFormat="1" x14ac:dyDescent="0.25"/>
    <row r="270179" s="12" customFormat="1" x14ac:dyDescent="0.25"/>
    <row r="270180" s="12" customFormat="1" x14ac:dyDescent="0.25"/>
    <row r="270181" s="12" customFormat="1" x14ac:dyDescent="0.25"/>
    <row r="270182" s="12" customFormat="1" x14ac:dyDescent="0.25"/>
    <row r="270183" s="12" customFormat="1" x14ac:dyDescent="0.25"/>
    <row r="270184" s="12" customFormat="1" x14ac:dyDescent="0.25"/>
    <row r="270185" s="12" customFormat="1" x14ac:dyDescent="0.25"/>
    <row r="270186" s="12" customFormat="1" x14ac:dyDescent="0.25"/>
    <row r="270187" s="12" customFormat="1" x14ac:dyDescent="0.25"/>
    <row r="270188" s="12" customFormat="1" x14ac:dyDescent="0.25"/>
    <row r="270189" s="12" customFormat="1" x14ac:dyDescent="0.25"/>
    <row r="270190" s="12" customFormat="1" x14ac:dyDescent="0.25"/>
    <row r="270191" s="12" customFormat="1" x14ac:dyDescent="0.25"/>
    <row r="270192" s="12" customFormat="1" x14ac:dyDescent="0.25"/>
    <row r="270193" s="12" customFormat="1" x14ac:dyDescent="0.25"/>
    <row r="270194" s="12" customFormat="1" x14ac:dyDescent="0.25"/>
    <row r="270195" s="12" customFormat="1" x14ac:dyDescent="0.25"/>
    <row r="270196" s="12" customFormat="1" x14ac:dyDescent="0.25"/>
    <row r="270197" s="12" customFormat="1" x14ac:dyDescent="0.25"/>
    <row r="270198" s="12" customFormat="1" x14ac:dyDescent="0.25"/>
    <row r="270199" s="12" customFormat="1" x14ac:dyDescent="0.25"/>
    <row r="270200" s="12" customFormat="1" x14ac:dyDescent="0.25"/>
    <row r="270201" s="12" customFormat="1" x14ac:dyDescent="0.25"/>
    <row r="270202" s="12" customFormat="1" x14ac:dyDescent="0.25"/>
    <row r="270203" s="12" customFormat="1" x14ac:dyDescent="0.25"/>
    <row r="270204" s="12" customFormat="1" x14ac:dyDescent="0.25"/>
    <row r="270205" s="12" customFormat="1" x14ac:dyDescent="0.25"/>
    <row r="270206" s="12" customFormat="1" x14ac:dyDescent="0.25"/>
    <row r="270207" s="12" customFormat="1" x14ac:dyDescent="0.25"/>
    <row r="270208" s="12" customFormat="1" x14ac:dyDescent="0.25"/>
    <row r="270209" s="12" customFormat="1" x14ac:dyDescent="0.25"/>
    <row r="270210" s="12" customFormat="1" x14ac:dyDescent="0.25"/>
    <row r="270211" s="12" customFormat="1" x14ac:dyDescent="0.25"/>
    <row r="270212" s="12" customFormat="1" x14ac:dyDescent="0.25"/>
    <row r="270213" s="12" customFormat="1" x14ac:dyDescent="0.25"/>
    <row r="270214" s="12" customFormat="1" x14ac:dyDescent="0.25"/>
    <row r="270215" s="12" customFormat="1" x14ac:dyDescent="0.25"/>
    <row r="270216" s="12" customFormat="1" x14ac:dyDescent="0.25"/>
    <row r="270217" s="12" customFormat="1" x14ac:dyDescent="0.25"/>
    <row r="270218" s="12" customFormat="1" x14ac:dyDescent="0.25"/>
    <row r="270219" s="12" customFormat="1" x14ac:dyDescent="0.25"/>
    <row r="270220" s="12" customFormat="1" x14ac:dyDescent="0.25"/>
    <row r="270221" s="12" customFormat="1" x14ac:dyDescent="0.25"/>
    <row r="270222" s="12" customFormat="1" x14ac:dyDescent="0.25"/>
    <row r="270223" s="12" customFormat="1" x14ac:dyDescent="0.25"/>
    <row r="270224" s="12" customFormat="1" x14ac:dyDescent="0.25"/>
    <row r="270225" s="12" customFormat="1" x14ac:dyDescent="0.25"/>
    <row r="270226" s="12" customFormat="1" x14ac:dyDescent="0.25"/>
    <row r="270227" s="12" customFormat="1" x14ac:dyDescent="0.25"/>
    <row r="270228" s="12" customFormat="1" x14ac:dyDescent="0.25"/>
    <row r="270229" s="12" customFormat="1" x14ac:dyDescent="0.25"/>
    <row r="270230" s="12" customFormat="1" x14ac:dyDescent="0.25"/>
    <row r="270231" s="12" customFormat="1" x14ac:dyDescent="0.25"/>
    <row r="270232" s="12" customFormat="1" x14ac:dyDescent="0.25"/>
    <row r="270233" s="12" customFormat="1" x14ac:dyDescent="0.25"/>
    <row r="270234" s="12" customFormat="1" x14ac:dyDescent="0.25"/>
    <row r="270235" s="12" customFormat="1" x14ac:dyDescent="0.25"/>
    <row r="270236" s="12" customFormat="1" x14ac:dyDescent="0.25"/>
    <row r="270237" s="12" customFormat="1" x14ac:dyDescent="0.25"/>
    <row r="270238" s="12" customFormat="1" x14ac:dyDescent="0.25"/>
    <row r="270239" s="12" customFormat="1" x14ac:dyDescent="0.25"/>
    <row r="270240" s="12" customFormat="1" x14ac:dyDescent="0.25"/>
    <row r="270241" s="12" customFormat="1" x14ac:dyDescent="0.25"/>
    <row r="270242" s="12" customFormat="1" x14ac:dyDescent="0.25"/>
    <row r="270243" s="12" customFormat="1" x14ac:dyDescent="0.25"/>
    <row r="270244" s="12" customFormat="1" x14ac:dyDescent="0.25"/>
    <row r="270245" s="12" customFormat="1" x14ac:dyDescent="0.25"/>
    <row r="270246" s="12" customFormat="1" x14ac:dyDescent="0.25"/>
    <row r="270247" s="12" customFormat="1" x14ac:dyDescent="0.25"/>
    <row r="270248" s="12" customFormat="1" x14ac:dyDescent="0.25"/>
    <row r="270249" s="12" customFormat="1" x14ac:dyDescent="0.25"/>
    <row r="270250" s="12" customFormat="1" x14ac:dyDescent="0.25"/>
    <row r="270251" s="12" customFormat="1" x14ac:dyDescent="0.25"/>
    <row r="270252" s="12" customFormat="1" x14ac:dyDescent="0.25"/>
    <row r="270253" s="12" customFormat="1" x14ac:dyDescent="0.25"/>
    <row r="270254" s="12" customFormat="1" x14ac:dyDescent="0.25"/>
    <row r="270255" s="12" customFormat="1" x14ac:dyDescent="0.25"/>
    <row r="270256" s="12" customFormat="1" x14ac:dyDescent="0.25"/>
    <row r="270257" s="12" customFormat="1" x14ac:dyDescent="0.25"/>
    <row r="270258" s="12" customFormat="1" x14ac:dyDescent="0.25"/>
    <row r="270259" s="12" customFormat="1" x14ac:dyDescent="0.25"/>
    <row r="270260" s="12" customFormat="1" x14ac:dyDescent="0.25"/>
    <row r="270261" s="12" customFormat="1" x14ac:dyDescent="0.25"/>
    <row r="270262" s="12" customFormat="1" x14ac:dyDescent="0.25"/>
    <row r="270263" s="12" customFormat="1" x14ac:dyDescent="0.25"/>
    <row r="270264" s="12" customFormat="1" x14ac:dyDescent="0.25"/>
    <row r="270265" s="12" customFormat="1" x14ac:dyDescent="0.25"/>
    <row r="270266" s="12" customFormat="1" x14ac:dyDescent="0.25"/>
    <row r="270267" s="12" customFormat="1" x14ac:dyDescent="0.25"/>
    <row r="270268" s="12" customFormat="1" x14ac:dyDescent="0.25"/>
    <row r="270269" s="12" customFormat="1" x14ac:dyDescent="0.25"/>
    <row r="270270" s="12" customFormat="1" x14ac:dyDescent="0.25"/>
    <row r="270271" s="12" customFormat="1" x14ac:dyDescent="0.25"/>
    <row r="270272" s="12" customFormat="1" x14ac:dyDescent="0.25"/>
    <row r="270273" s="12" customFormat="1" x14ac:dyDescent="0.25"/>
    <row r="270274" s="12" customFormat="1" x14ac:dyDescent="0.25"/>
    <row r="270275" s="12" customFormat="1" x14ac:dyDescent="0.25"/>
    <row r="270276" s="12" customFormat="1" x14ac:dyDescent="0.25"/>
    <row r="270277" s="12" customFormat="1" x14ac:dyDescent="0.25"/>
    <row r="270278" s="12" customFormat="1" x14ac:dyDescent="0.25"/>
    <row r="270279" s="12" customFormat="1" x14ac:dyDescent="0.25"/>
    <row r="270280" s="12" customFormat="1" x14ac:dyDescent="0.25"/>
    <row r="270281" s="12" customFormat="1" x14ac:dyDescent="0.25"/>
    <row r="270282" s="12" customFormat="1" x14ac:dyDescent="0.25"/>
    <row r="270283" s="12" customFormat="1" x14ac:dyDescent="0.25"/>
    <row r="270284" s="12" customFormat="1" x14ac:dyDescent="0.25"/>
    <row r="270285" s="12" customFormat="1" x14ac:dyDescent="0.25"/>
    <row r="270286" s="12" customFormat="1" x14ac:dyDescent="0.25"/>
    <row r="270287" s="12" customFormat="1" x14ac:dyDescent="0.25"/>
    <row r="270288" s="12" customFormat="1" x14ac:dyDescent="0.25"/>
    <row r="270289" s="12" customFormat="1" x14ac:dyDescent="0.25"/>
    <row r="270290" s="12" customFormat="1" x14ac:dyDescent="0.25"/>
    <row r="270291" s="12" customFormat="1" x14ac:dyDescent="0.25"/>
    <row r="270292" s="12" customFormat="1" x14ac:dyDescent="0.25"/>
    <row r="270293" s="12" customFormat="1" x14ac:dyDescent="0.25"/>
    <row r="270294" s="12" customFormat="1" x14ac:dyDescent="0.25"/>
    <row r="270295" s="12" customFormat="1" x14ac:dyDescent="0.25"/>
    <row r="270296" s="12" customFormat="1" x14ac:dyDescent="0.25"/>
    <row r="270297" s="12" customFormat="1" x14ac:dyDescent="0.25"/>
    <row r="270298" s="12" customFormat="1" x14ac:dyDescent="0.25"/>
    <row r="270299" s="12" customFormat="1" x14ac:dyDescent="0.25"/>
    <row r="270300" s="12" customFormat="1" x14ac:dyDescent="0.25"/>
    <row r="270301" s="12" customFormat="1" x14ac:dyDescent="0.25"/>
    <row r="270302" s="12" customFormat="1" x14ac:dyDescent="0.25"/>
    <row r="270303" s="12" customFormat="1" x14ac:dyDescent="0.25"/>
    <row r="270304" s="12" customFormat="1" x14ac:dyDescent="0.25"/>
    <row r="270305" s="12" customFormat="1" x14ac:dyDescent="0.25"/>
    <row r="270306" s="12" customFormat="1" x14ac:dyDescent="0.25"/>
    <row r="270307" s="12" customFormat="1" x14ac:dyDescent="0.25"/>
    <row r="270308" s="12" customFormat="1" x14ac:dyDescent="0.25"/>
    <row r="270309" s="12" customFormat="1" x14ac:dyDescent="0.25"/>
    <row r="270310" s="12" customFormat="1" x14ac:dyDescent="0.25"/>
    <row r="270311" s="12" customFormat="1" x14ac:dyDescent="0.25"/>
    <row r="270312" s="12" customFormat="1" x14ac:dyDescent="0.25"/>
    <row r="270313" s="12" customFormat="1" x14ac:dyDescent="0.25"/>
    <row r="270314" s="12" customFormat="1" x14ac:dyDescent="0.25"/>
    <row r="270315" s="12" customFormat="1" x14ac:dyDescent="0.25"/>
    <row r="270316" s="12" customFormat="1" x14ac:dyDescent="0.25"/>
    <row r="270317" s="12" customFormat="1" x14ac:dyDescent="0.25"/>
    <row r="270318" s="12" customFormat="1" x14ac:dyDescent="0.25"/>
    <row r="270319" s="12" customFormat="1" x14ac:dyDescent="0.25"/>
    <row r="270320" s="12" customFormat="1" x14ac:dyDescent="0.25"/>
    <row r="270321" s="12" customFormat="1" x14ac:dyDescent="0.25"/>
    <row r="270322" s="12" customFormat="1" x14ac:dyDescent="0.25"/>
    <row r="270323" s="12" customFormat="1" x14ac:dyDescent="0.25"/>
    <row r="270324" s="12" customFormat="1" x14ac:dyDescent="0.25"/>
    <row r="270325" s="12" customFormat="1" x14ac:dyDescent="0.25"/>
    <row r="270326" s="12" customFormat="1" x14ac:dyDescent="0.25"/>
    <row r="270327" s="12" customFormat="1" x14ac:dyDescent="0.25"/>
    <row r="270328" s="12" customFormat="1" x14ac:dyDescent="0.25"/>
    <row r="270329" s="12" customFormat="1" x14ac:dyDescent="0.25"/>
    <row r="270330" s="12" customFormat="1" x14ac:dyDescent="0.25"/>
    <row r="270331" s="12" customFormat="1" x14ac:dyDescent="0.25"/>
    <row r="270332" s="12" customFormat="1" x14ac:dyDescent="0.25"/>
    <row r="270333" s="12" customFormat="1" x14ac:dyDescent="0.25"/>
    <row r="270334" s="12" customFormat="1" x14ac:dyDescent="0.25"/>
    <row r="270335" s="12" customFormat="1" x14ac:dyDescent="0.25"/>
    <row r="270336" s="12" customFormat="1" x14ac:dyDescent="0.25"/>
    <row r="270337" s="12" customFormat="1" x14ac:dyDescent="0.25"/>
    <row r="270338" s="12" customFormat="1" x14ac:dyDescent="0.25"/>
    <row r="270339" s="12" customFormat="1" x14ac:dyDescent="0.25"/>
    <row r="270340" s="12" customFormat="1" x14ac:dyDescent="0.25"/>
    <row r="270341" s="12" customFormat="1" x14ac:dyDescent="0.25"/>
    <row r="270342" s="12" customFormat="1" x14ac:dyDescent="0.25"/>
    <row r="270343" s="12" customFormat="1" x14ac:dyDescent="0.25"/>
    <row r="270344" s="12" customFormat="1" x14ac:dyDescent="0.25"/>
    <row r="270345" s="12" customFormat="1" x14ac:dyDescent="0.25"/>
    <row r="270346" s="12" customFormat="1" x14ac:dyDescent="0.25"/>
    <row r="270347" s="12" customFormat="1" x14ac:dyDescent="0.25"/>
    <row r="270348" s="12" customFormat="1" x14ac:dyDescent="0.25"/>
    <row r="270349" s="12" customFormat="1" x14ac:dyDescent="0.25"/>
    <row r="270350" s="12" customFormat="1" x14ac:dyDescent="0.25"/>
    <row r="270351" s="12" customFormat="1" x14ac:dyDescent="0.25"/>
    <row r="270352" s="12" customFormat="1" x14ac:dyDescent="0.25"/>
    <row r="270353" s="12" customFormat="1" x14ac:dyDescent="0.25"/>
    <row r="270354" s="12" customFormat="1" x14ac:dyDescent="0.25"/>
    <row r="270355" s="12" customFormat="1" x14ac:dyDescent="0.25"/>
    <row r="270356" s="12" customFormat="1" x14ac:dyDescent="0.25"/>
    <row r="270357" s="12" customFormat="1" x14ac:dyDescent="0.25"/>
    <row r="270358" s="12" customFormat="1" x14ac:dyDescent="0.25"/>
    <row r="270359" s="12" customFormat="1" x14ac:dyDescent="0.25"/>
    <row r="270360" s="12" customFormat="1" x14ac:dyDescent="0.25"/>
    <row r="270361" s="12" customFormat="1" x14ac:dyDescent="0.25"/>
    <row r="270362" s="12" customFormat="1" x14ac:dyDescent="0.25"/>
    <row r="270363" s="12" customFormat="1" x14ac:dyDescent="0.25"/>
    <row r="270364" s="12" customFormat="1" x14ac:dyDescent="0.25"/>
    <row r="270365" s="12" customFormat="1" x14ac:dyDescent="0.25"/>
    <row r="270366" s="12" customFormat="1" x14ac:dyDescent="0.25"/>
    <row r="270367" s="12" customFormat="1" x14ac:dyDescent="0.25"/>
    <row r="270368" s="12" customFormat="1" x14ac:dyDescent="0.25"/>
    <row r="270369" s="12" customFormat="1" x14ac:dyDescent="0.25"/>
    <row r="270370" s="12" customFormat="1" x14ac:dyDescent="0.25"/>
    <row r="270371" s="12" customFormat="1" x14ac:dyDescent="0.25"/>
    <row r="270372" s="12" customFormat="1" x14ac:dyDescent="0.25"/>
    <row r="270373" s="12" customFormat="1" x14ac:dyDescent="0.25"/>
    <row r="270374" s="12" customFormat="1" x14ac:dyDescent="0.25"/>
    <row r="270375" s="12" customFormat="1" x14ac:dyDescent="0.25"/>
    <row r="270376" s="12" customFormat="1" x14ac:dyDescent="0.25"/>
    <row r="270377" s="12" customFormat="1" x14ac:dyDescent="0.25"/>
    <row r="270378" s="12" customFormat="1" x14ac:dyDescent="0.25"/>
    <row r="270379" s="12" customFormat="1" x14ac:dyDescent="0.25"/>
    <row r="270380" s="12" customFormat="1" x14ac:dyDescent="0.25"/>
    <row r="270381" s="12" customFormat="1" x14ac:dyDescent="0.25"/>
    <row r="270382" s="12" customFormat="1" x14ac:dyDescent="0.25"/>
    <row r="270383" s="12" customFormat="1" x14ac:dyDescent="0.25"/>
    <row r="270384" s="12" customFormat="1" x14ac:dyDescent="0.25"/>
    <row r="270385" s="12" customFormat="1" x14ac:dyDescent="0.25"/>
    <row r="270386" s="12" customFormat="1" x14ac:dyDescent="0.25"/>
    <row r="270387" s="12" customFormat="1" x14ac:dyDescent="0.25"/>
    <row r="270388" s="12" customFormat="1" x14ac:dyDescent="0.25"/>
    <row r="270389" s="12" customFormat="1" x14ac:dyDescent="0.25"/>
    <row r="270390" s="12" customFormat="1" x14ac:dyDescent="0.25"/>
    <row r="270391" s="12" customFormat="1" x14ac:dyDescent="0.25"/>
    <row r="270392" s="12" customFormat="1" x14ac:dyDescent="0.25"/>
    <row r="270393" s="12" customFormat="1" x14ac:dyDescent="0.25"/>
    <row r="270394" s="12" customFormat="1" x14ac:dyDescent="0.25"/>
    <row r="270395" s="12" customFormat="1" x14ac:dyDescent="0.25"/>
    <row r="270396" s="12" customFormat="1" x14ac:dyDescent="0.25"/>
    <row r="270397" s="12" customFormat="1" x14ac:dyDescent="0.25"/>
    <row r="270398" s="12" customFormat="1" x14ac:dyDescent="0.25"/>
    <row r="270399" s="12" customFormat="1" x14ac:dyDescent="0.25"/>
    <row r="270400" s="12" customFormat="1" x14ac:dyDescent="0.25"/>
    <row r="270401" s="12" customFormat="1" x14ac:dyDescent="0.25"/>
    <row r="270402" s="12" customFormat="1" x14ac:dyDescent="0.25"/>
    <row r="270403" s="12" customFormat="1" x14ac:dyDescent="0.25"/>
    <row r="270404" s="12" customFormat="1" x14ac:dyDescent="0.25"/>
    <row r="270405" s="12" customFormat="1" x14ac:dyDescent="0.25"/>
    <row r="270406" s="12" customFormat="1" x14ac:dyDescent="0.25"/>
    <row r="270407" s="12" customFormat="1" x14ac:dyDescent="0.25"/>
    <row r="270408" s="12" customFormat="1" x14ac:dyDescent="0.25"/>
    <row r="270409" s="12" customFormat="1" x14ac:dyDescent="0.25"/>
    <row r="270410" s="12" customFormat="1" x14ac:dyDescent="0.25"/>
    <row r="270411" s="12" customFormat="1" x14ac:dyDescent="0.25"/>
    <row r="270412" s="12" customFormat="1" x14ac:dyDescent="0.25"/>
    <row r="270413" s="12" customFormat="1" x14ac:dyDescent="0.25"/>
    <row r="270414" s="12" customFormat="1" x14ac:dyDescent="0.25"/>
    <row r="270415" s="12" customFormat="1" x14ac:dyDescent="0.25"/>
    <row r="270416" s="12" customFormat="1" x14ac:dyDescent="0.25"/>
    <row r="270417" s="12" customFormat="1" x14ac:dyDescent="0.25"/>
    <row r="270418" s="12" customFormat="1" x14ac:dyDescent="0.25"/>
    <row r="270419" s="12" customFormat="1" x14ac:dyDescent="0.25"/>
    <row r="270420" s="12" customFormat="1" x14ac:dyDescent="0.25"/>
    <row r="270421" s="12" customFormat="1" x14ac:dyDescent="0.25"/>
    <row r="270422" s="12" customFormat="1" x14ac:dyDescent="0.25"/>
    <row r="270423" s="12" customFormat="1" x14ac:dyDescent="0.25"/>
    <row r="270424" s="12" customFormat="1" x14ac:dyDescent="0.25"/>
    <row r="270425" s="12" customFormat="1" x14ac:dyDescent="0.25"/>
    <row r="270426" s="12" customFormat="1" x14ac:dyDescent="0.25"/>
    <row r="270427" s="12" customFormat="1" x14ac:dyDescent="0.25"/>
    <row r="270428" s="12" customFormat="1" x14ac:dyDescent="0.25"/>
    <row r="270429" s="12" customFormat="1" x14ac:dyDescent="0.25"/>
    <row r="270430" s="12" customFormat="1" x14ac:dyDescent="0.25"/>
    <row r="270431" s="12" customFormat="1" x14ac:dyDescent="0.25"/>
    <row r="270432" s="12" customFormat="1" x14ac:dyDescent="0.25"/>
    <row r="270433" s="12" customFormat="1" x14ac:dyDescent="0.25"/>
    <row r="270434" s="12" customFormat="1" x14ac:dyDescent="0.25"/>
    <row r="270435" s="12" customFormat="1" x14ac:dyDescent="0.25"/>
    <row r="270436" s="12" customFormat="1" x14ac:dyDescent="0.25"/>
    <row r="270437" s="12" customFormat="1" x14ac:dyDescent="0.25"/>
    <row r="270438" s="12" customFormat="1" x14ac:dyDescent="0.25"/>
    <row r="270439" s="12" customFormat="1" x14ac:dyDescent="0.25"/>
    <row r="270440" s="12" customFormat="1" x14ac:dyDescent="0.25"/>
    <row r="270441" s="12" customFormat="1" x14ac:dyDescent="0.25"/>
    <row r="270442" s="12" customFormat="1" x14ac:dyDescent="0.25"/>
    <row r="270443" s="12" customFormat="1" x14ac:dyDescent="0.25"/>
    <row r="270444" s="12" customFormat="1" x14ac:dyDescent="0.25"/>
    <row r="270445" s="12" customFormat="1" x14ac:dyDescent="0.25"/>
    <row r="270446" s="12" customFormat="1" x14ac:dyDescent="0.25"/>
    <row r="270447" s="12" customFormat="1" x14ac:dyDescent="0.25"/>
    <row r="270448" s="12" customFormat="1" x14ac:dyDescent="0.25"/>
    <row r="270449" s="12" customFormat="1" x14ac:dyDescent="0.25"/>
    <row r="270450" s="12" customFormat="1" x14ac:dyDescent="0.25"/>
    <row r="270451" s="12" customFormat="1" x14ac:dyDescent="0.25"/>
    <row r="270452" s="12" customFormat="1" x14ac:dyDescent="0.25"/>
    <row r="270453" s="12" customFormat="1" x14ac:dyDescent="0.25"/>
    <row r="270454" s="12" customFormat="1" x14ac:dyDescent="0.25"/>
    <row r="270455" s="12" customFormat="1" x14ac:dyDescent="0.25"/>
    <row r="270456" s="12" customFormat="1" x14ac:dyDescent="0.25"/>
    <row r="270457" s="12" customFormat="1" x14ac:dyDescent="0.25"/>
    <row r="270458" s="12" customFormat="1" x14ac:dyDescent="0.25"/>
    <row r="270459" s="12" customFormat="1" x14ac:dyDescent="0.25"/>
    <row r="270460" s="12" customFormat="1" x14ac:dyDescent="0.25"/>
    <row r="270461" s="12" customFormat="1" x14ac:dyDescent="0.25"/>
    <row r="270462" s="12" customFormat="1" x14ac:dyDescent="0.25"/>
    <row r="270463" s="12" customFormat="1" x14ac:dyDescent="0.25"/>
    <row r="270464" s="12" customFormat="1" x14ac:dyDescent="0.25"/>
    <row r="270465" s="12" customFormat="1" x14ac:dyDescent="0.25"/>
    <row r="270466" s="12" customFormat="1" x14ac:dyDescent="0.25"/>
    <row r="270467" s="12" customFormat="1" x14ac:dyDescent="0.25"/>
    <row r="270468" s="12" customFormat="1" x14ac:dyDescent="0.25"/>
    <row r="270469" s="12" customFormat="1" x14ac:dyDescent="0.25"/>
    <row r="270470" s="12" customFormat="1" x14ac:dyDescent="0.25"/>
    <row r="270471" s="12" customFormat="1" x14ac:dyDescent="0.25"/>
    <row r="270472" s="12" customFormat="1" x14ac:dyDescent="0.25"/>
    <row r="270473" s="12" customFormat="1" x14ac:dyDescent="0.25"/>
    <row r="270474" s="12" customFormat="1" x14ac:dyDescent="0.25"/>
    <row r="270475" s="12" customFormat="1" x14ac:dyDescent="0.25"/>
    <row r="270476" s="12" customFormat="1" x14ac:dyDescent="0.25"/>
    <row r="270477" s="12" customFormat="1" x14ac:dyDescent="0.25"/>
    <row r="270478" s="12" customFormat="1" x14ac:dyDescent="0.25"/>
    <row r="270479" s="12" customFormat="1" x14ac:dyDescent="0.25"/>
    <row r="270480" s="12" customFormat="1" x14ac:dyDescent="0.25"/>
    <row r="270481" s="12" customFormat="1" x14ac:dyDescent="0.25"/>
    <row r="270482" s="12" customFormat="1" x14ac:dyDescent="0.25"/>
    <row r="270483" s="12" customFormat="1" x14ac:dyDescent="0.25"/>
    <row r="270484" s="12" customFormat="1" x14ac:dyDescent="0.25"/>
    <row r="270485" s="12" customFormat="1" x14ac:dyDescent="0.25"/>
    <row r="270486" s="12" customFormat="1" x14ac:dyDescent="0.25"/>
    <row r="270487" s="12" customFormat="1" x14ac:dyDescent="0.25"/>
    <row r="270488" s="12" customFormat="1" x14ac:dyDescent="0.25"/>
    <row r="270489" s="12" customFormat="1" x14ac:dyDescent="0.25"/>
    <row r="270490" s="12" customFormat="1" x14ac:dyDescent="0.25"/>
    <row r="270491" s="12" customFormat="1" x14ac:dyDescent="0.25"/>
    <row r="270492" s="12" customFormat="1" x14ac:dyDescent="0.25"/>
    <row r="270493" s="12" customFormat="1" x14ac:dyDescent="0.25"/>
    <row r="270494" s="12" customFormat="1" x14ac:dyDescent="0.25"/>
    <row r="270495" s="12" customFormat="1" x14ac:dyDescent="0.25"/>
    <row r="270496" s="12" customFormat="1" x14ac:dyDescent="0.25"/>
    <row r="270497" s="12" customFormat="1" x14ac:dyDescent="0.25"/>
    <row r="270498" s="12" customFormat="1" x14ac:dyDescent="0.25"/>
    <row r="270499" s="12" customFormat="1" x14ac:dyDescent="0.25"/>
    <row r="270500" s="12" customFormat="1" x14ac:dyDescent="0.25"/>
    <row r="270501" s="12" customFormat="1" x14ac:dyDescent="0.25"/>
    <row r="270502" s="12" customFormat="1" x14ac:dyDescent="0.25"/>
    <row r="270503" s="12" customFormat="1" x14ac:dyDescent="0.25"/>
    <row r="270504" s="12" customFormat="1" x14ac:dyDescent="0.25"/>
    <row r="270505" s="12" customFormat="1" x14ac:dyDescent="0.25"/>
    <row r="270506" s="12" customFormat="1" x14ac:dyDescent="0.25"/>
    <row r="270507" s="12" customFormat="1" x14ac:dyDescent="0.25"/>
    <row r="270508" s="12" customFormat="1" x14ac:dyDescent="0.25"/>
    <row r="270509" s="12" customFormat="1" x14ac:dyDescent="0.25"/>
    <row r="270510" s="12" customFormat="1" x14ac:dyDescent="0.25"/>
    <row r="270511" s="12" customFormat="1" x14ac:dyDescent="0.25"/>
    <row r="270512" s="12" customFormat="1" x14ac:dyDescent="0.25"/>
    <row r="270513" s="12" customFormat="1" x14ac:dyDescent="0.25"/>
    <row r="270514" s="12" customFormat="1" x14ac:dyDescent="0.25"/>
    <row r="270515" s="12" customFormat="1" x14ac:dyDescent="0.25"/>
    <row r="270516" s="12" customFormat="1" x14ac:dyDescent="0.25"/>
    <row r="270517" s="12" customFormat="1" x14ac:dyDescent="0.25"/>
    <row r="270518" s="12" customFormat="1" x14ac:dyDescent="0.25"/>
    <row r="270519" s="12" customFormat="1" x14ac:dyDescent="0.25"/>
    <row r="270520" s="12" customFormat="1" x14ac:dyDescent="0.25"/>
    <row r="270521" s="12" customFormat="1" x14ac:dyDescent="0.25"/>
    <row r="270522" s="12" customFormat="1" x14ac:dyDescent="0.25"/>
    <row r="270523" s="12" customFormat="1" x14ac:dyDescent="0.25"/>
    <row r="270524" s="12" customFormat="1" x14ac:dyDescent="0.25"/>
    <row r="270525" s="12" customFormat="1" x14ac:dyDescent="0.25"/>
    <row r="270526" s="12" customFormat="1" x14ac:dyDescent="0.25"/>
    <row r="270527" s="12" customFormat="1" x14ac:dyDescent="0.25"/>
    <row r="270528" s="12" customFormat="1" x14ac:dyDescent="0.25"/>
    <row r="270529" s="12" customFormat="1" x14ac:dyDescent="0.25"/>
    <row r="270530" s="12" customFormat="1" x14ac:dyDescent="0.25"/>
    <row r="270531" s="12" customFormat="1" x14ac:dyDescent="0.25"/>
    <row r="270532" s="12" customFormat="1" x14ac:dyDescent="0.25"/>
    <row r="270533" s="12" customFormat="1" x14ac:dyDescent="0.25"/>
    <row r="270534" s="12" customFormat="1" x14ac:dyDescent="0.25"/>
    <row r="270535" s="12" customFormat="1" x14ac:dyDescent="0.25"/>
    <row r="270536" s="12" customFormat="1" x14ac:dyDescent="0.25"/>
    <row r="270537" s="12" customFormat="1" x14ac:dyDescent="0.25"/>
    <row r="270538" s="12" customFormat="1" x14ac:dyDescent="0.25"/>
    <row r="270539" s="12" customFormat="1" x14ac:dyDescent="0.25"/>
    <row r="270540" s="12" customFormat="1" x14ac:dyDescent="0.25"/>
    <row r="270541" s="12" customFormat="1" x14ac:dyDescent="0.25"/>
    <row r="270542" s="12" customFormat="1" x14ac:dyDescent="0.25"/>
    <row r="270543" s="12" customFormat="1" x14ac:dyDescent="0.25"/>
    <row r="270544" s="12" customFormat="1" x14ac:dyDescent="0.25"/>
    <row r="270545" s="12" customFormat="1" x14ac:dyDescent="0.25"/>
    <row r="270546" s="12" customFormat="1" x14ac:dyDescent="0.25"/>
    <row r="270547" s="12" customFormat="1" x14ac:dyDescent="0.25"/>
    <row r="270548" s="12" customFormat="1" x14ac:dyDescent="0.25"/>
    <row r="270549" s="12" customFormat="1" x14ac:dyDescent="0.25"/>
    <row r="270550" s="12" customFormat="1" x14ac:dyDescent="0.25"/>
    <row r="270551" s="12" customFormat="1" x14ac:dyDescent="0.25"/>
    <row r="270552" s="12" customFormat="1" x14ac:dyDescent="0.25"/>
    <row r="270553" s="12" customFormat="1" x14ac:dyDescent="0.25"/>
    <row r="270554" s="12" customFormat="1" x14ac:dyDescent="0.25"/>
    <row r="270555" s="12" customFormat="1" x14ac:dyDescent="0.25"/>
    <row r="270556" s="12" customFormat="1" x14ac:dyDescent="0.25"/>
    <row r="270557" s="12" customFormat="1" x14ac:dyDescent="0.25"/>
    <row r="270558" s="12" customFormat="1" x14ac:dyDescent="0.25"/>
    <row r="270559" s="12" customFormat="1" x14ac:dyDescent="0.25"/>
    <row r="270560" s="12" customFormat="1" x14ac:dyDescent="0.25"/>
    <row r="270561" s="12" customFormat="1" x14ac:dyDescent="0.25"/>
    <row r="270562" s="12" customFormat="1" x14ac:dyDescent="0.25"/>
    <row r="270563" s="12" customFormat="1" x14ac:dyDescent="0.25"/>
    <row r="270564" s="12" customFormat="1" x14ac:dyDescent="0.25"/>
    <row r="270565" s="12" customFormat="1" x14ac:dyDescent="0.25"/>
    <row r="270566" s="12" customFormat="1" x14ac:dyDescent="0.25"/>
    <row r="270567" s="12" customFormat="1" x14ac:dyDescent="0.25"/>
    <row r="270568" s="12" customFormat="1" x14ac:dyDescent="0.25"/>
    <row r="270569" s="12" customFormat="1" x14ac:dyDescent="0.25"/>
    <row r="270570" s="12" customFormat="1" x14ac:dyDescent="0.25"/>
    <row r="270571" s="12" customFormat="1" x14ac:dyDescent="0.25"/>
    <row r="270572" s="12" customFormat="1" x14ac:dyDescent="0.25"/>
    <row r="270573" s="12" customFormat="1" x14ac:dyDescent="0.25"/>
    <row r="270574" s="12" customFormat="1" x14ac:dyDescent="0.25"/>
    <row r="270575" s="12" customFormat="1" x14ac:dyDescent="0.25"/>
    <row r="270576" s="12" customFormat="1" x14ac:dyDescent="0.25"/>
    <row r="270577" s="12" customFormat="1" x14ac:dyDescent="0.25"/>
    <row r="270578" s="12" customFormat="1" x14ac:dyDescent="0.25"/>
    <row r="270579" s="12" customFormat="1" x14ac:dyDescent="0.25"/>
    <row r="270580" s="12" customFormat="1" x14ac:dyDescent="0.25"/>
    <row r="270581" s="12" customFormat="1" x14ac:dyDescent="0.25"/>
    <row r="270582" s="12" customFormat="1" x14ac:dyDescent="0.25"/>
    <row r="270583" s="12" customFormat="1" x14ac:dyDescent="0.25"/>
    <row r="270584" s="12" customFormat="1" x14ac:dyDescent="0.25"/>
    <row r="270585" s="12" customFormat="1" x14ac:dyDescent="0.25"/>
    <row r="270586" s="12" customFormat="1" x14ac:dyDescent="0.25"/>
    <row r="270587" s="12" customFormat="1" x14ac:dyDescent="0.25"/>
    <row r="270588" s="12" customFormat="1" x14ac:dyDescent="0.25"/>
    <row r="270589" s="12" customFormat="1" x14ac:dyDescent="0.25"/>
    <row r="270590" s="12" customFormat="1" x14ac:dyDescent="0.25"/>
    <row r="270591" s="12" customFormat="1" x14ac:dyDescent="0.25"/>
    <row r="270592" s="12" customFormat="1" x14ac:dyDescent="0.25"/>
    <row r="270593" s="12" customFormat="1" x14ac:dyDescent="0.25"/>
    <row r="270594" s="12" customFormat="1" x14ac:dyDescent="0.25"/>
    <row r="270595" s="12" customFormat="1" x14ac:dyDescent="0.25"/>
    <row r="270596" s="12" customFormat="1" x14ac:dyDescent="0.25"/>
    <row r="270597" s="12" customFormat="1" x14ac:dyDescent="0.25"/>
    <row r="270598" s="12" customFormat="1" x14ac:dyDescent="0.25"/>
    <row r="270599" s="12" customFormat="1" x14ac:dyDescent="0.25"/>
    <row r="270600" s="12" customFormat="1" x14ac:dyDescent="0.25"/>
    <row r="270601" s="12" customFormat="1" x14ac:dyDescent="0.25"/>
    <row r="270602" s="12" customFormat="1" x14ac:dyDescent="0.25"/>
    <row r="270603" s="12" customFormat="1" x14ac:dyDescent="0.25"/>
    <row r="270604" s="12" customFormat="1" x14ac:dyDescent="0.25"/>
    <row r="270605" s="12" customFormat="1" x14ac:dyDescent="0.25"/>
    <row r="270606" s="12" customFormat="1" x14ac:dyDescent="0.25"/>
    <row r="270607" s="12" customFormat="1" x14ac:dyDescent="0.25"/>
    <row r="270608" s="12" customFormat="1" x14ac:dyDescent="0.25"/>
    <row r="270609" s="12" customFormat="1" x14ac:dyDescent="0.25"/>
    <row r="270610" s="12" customFormat="1" x14ac:dyDescent="0.25"/>
    <row r="270611" s="12" customFormat="1" x14ac:dyDescent="0.25"/>
    <row r="270612" s="12" customFormat="1" x14ac:dyDescent="0.25"/>
    <row r="270613" s="12" customFormat="1" x14ac:dyDescent="0.25"/>
    <row r="270614" s="12" customFormat="1" x14ac:dyDescent="0.25"/>
    <row r="270615" s="12" customFormat="1" x14ac:dyDescent="0.25"/>
    <row r="270616" s="12" customFormat="1" x14ac:dyDescent="0.25"/>
    <row r="270617" s="12" customFormat="1" x14ac:dyDescent="0.25"/>
    <row r="270618" s="12" customFormat="1" x14ac:dyDescent="0.25"/>
    <row r="270619" s="12" customFormat="1" x14ac:dyDescent="0.25"/>
    <row r="270620" s="12" customFormat="1" x14ac:dyDescent="0.25"/>
    <row r="270621" s="12" customFormat="1" x14ac:dyDescent="0.25"/>
    <row r="270622" s="12" customFormat="1" x14ac:dyDescent="0.25"/>
    <row r="270623" s="12" customFormat="1" x14ac:dyDescent="0.25"/>
    <row r="270624" s="12" customFormat="1" x14ac:dyDescent="0.25"/>
    <row r="270625" s="12" customFormat="1" x14ac:dyDescent="0.25"/>
    <row r="270626" s="12" customFormat="1" x14ac:dyDescent="0.25"/>
    <row r="270627" s="12" customFormat="1" x14ac:dyDescent="0.25"/>
    <row r="270628" s="12" customFormat="1" x14ac:dyDescent="0.25"/>
    <row r="270629" s="12" customFormat="1" x14ac:dyDescent="0.25"/>
    <row r="270630" s="12" customFormat="1" x14ac:dyDescent="0.25"/>
    <row r="270631" s="12" customFormat="1" x14ac:dyDescent="0.25"/>
    <row r="270632" s="12" customFormat="1" x14ac:dyDescent="0.25"/>
    <row r="270633" s="12" customFormat="1" x14ac:dyDescent="0.25"/>
    <row r="270634" s="12" customFormat="1" x14ac:dyDescent="0.25"/>
    <row r="270635" s="12" customFormat="1" x14ac:dyDescent="0.25"/>
    <row r="270636" s="12" customFormat="1" x14ac:dyDescent="0.25"/>
    <row r="270637" s="12" customFormat="1" x14ac:dyDescent="0.25"/>
    <row r="270638" s="12" customFormat="1" x14ac:dyDescent="0.25"/>
    <row r="270639" s="12" customFormat="1" x14ac:dyDescent="0.25"/>
    <row r="270640" s="12" customFormat="1" x14ac:dyDescent="0.25"/>
    <row r="270641" s="12" customFormat="1" x14ac:dyDescent="0.25"/>
    <row r="270642" s="12" customFormat="1" x14ac:dyDescent="0.25"/>
    <row r="270643" s="12" customFormat="1" x14ac:dyDescent="0.25"/>
    <row r="270644" s="12" customFormat="1" x14ac:dyDescent="0.25"/>
    <row r="270645" s="12" customFormat="1" x14ac:dyDescent="0.25"/>
    <row r="270646" s="12" customFormat="1" x14ac:dyDescent="0.25"/>
    <row r="270647" s="12" customFormat="1" x14ac:dyDescent="0.25"/>
    <row r="270648" s="12" customFormat="1" x14ac:dyDescent="0.25"/>
    <row r="270649" s="12" customFormat="1" x14ac:dyDescent="0.25"/>
    <row r="270650" s="12" customFormat="1" x14ac:dyDescent="0.25"/>
    <row r="270651" s="12" customFormat="1" x14ac:dyDescent="0.25"/>
    <row r="270652" s="12" customFormat="1" x14ac:dyDescent="0.25"/>
    <row r="270653" s="12" customFormat="1" x14ac:dyDescent="0.25"/>
    <row r="270654" s="12" customFormat="1" x14ac:dyDescent="0.25"/>
    <row r="270655" s="12" customFormat="1" x14ac:dyDescent="0.25"/>
    <row r="270656" s="12" customFormat="1" x14ac:dyDescent="0.25"/>
    <row r="270657" s="12" customFormat="1" x14ac:dyDescent="0.25"/>
    <row r="270658" s="12" customFormat="1" x14ac:dyDescent="0.25"/>
    <row r="270659" s="12" customFormat="1" x14ac:dyDescent="0.25"/>
    <row r="270660" s="12" customFormat="1" x14ac:dyDescent="0.25"/>
    <row r="270661" s="12" customFormat="1" x14ac:dyDescent="0.25"/>
    <row r="270662" s="12" customFormat="1" x14ac:dyDescent="0.25"/>
    <row r="270663" s="12" customFormat="1" x14ac:dyDescent="0.25"/>
    <row r="270664" s="12" customFormat="1" x14ac:dyDescent="0.25"/>
    <row r="270665" s="12" customFormat="1" x14ac:dyDescent="0.25"/>
    <row r="270666" s="12" customFormat="1" x14ac:dyDescent="0.25"/>
    <row r="270667" s="12" customFormat="1" x14ac:dyDescent="0.25"/>
    <row r="270668" s="12" customFormat="1" x14ac:dyDescent="0.25"/>
    <row r="270669" s="12" customFormat="1" x14ac:dyDescent="0.25"/>
    <row r="270670" s="12" customFormat="1" x14ac:dyDescent="0.25"/>
    <row r="270671" s="12" customFormat="1" x14ac:dyDescent="0.25"/>
    <row r="270672" s="12" customFormat="1" x14ac:dyDescent="0.25"/>
    <row r="270673" s="12" customFormat="1" x14ac:dyDescent="0.25"/>
    <row r="270674" s="12" customFormat="1" x14ac:dyDescent="0.25"/>
    <row r="270675" s="12" customFormat="1" x14ac:dyDescent="0.25"/>
    <row r="270676" s="12" customFormat="1" x14ac:dyDescent="0.25"/>
    <row r="270677" s="12" customFormat="1" x14ac:dyDescent="0.25"/>
    <row r="270678" s="12" customFormat="1" x14ac:dyDescent="0.25"/>
    <row r="270679" s="12" customFormat="1" x14ac:dyDescent="0.25"/>
    <row r="270680" s="12" customFormat="1" x14ac:dyDescent="0.25"/>
    <row r="270681" s="12" customFormat="1" x14ac:dyDescent="0.25"/>
    <row r="270682" s="12" customFormat="1" x14ac:dyDescent="0.25"/>
    <row r="270683" s="12" customFormat="1" x14ac:dyDescent="0.25"/>
    <row r="270684" s="12" customFormat="1" x14ac:dyDescent="0.25"/>
    <row r="270685" s="12" customFormat="1" x14ac:dyDescent="0.25"/>
    <row r="270686" s="12" customFormat="1" x14ac:dyDescent="0.25"/>
    <row r="270687" s="12" customFormat="1" x14ac:dyDescent="0.25"/>
    <row r="270688" s="12" customFormat="1" x14ac:dyDescent="0.25"/>
    <row r="270689" s="12" customFormat="1" x14ac:dyDescent="0.25"/>
    <row r="270690" s="12" customFormat="1" x14ac:dyDescent="0.25"/>
    <row r="270691" s="12" customFormat="1" x14ac:dyDescent="0.25"/>
    <row r="270692" s="12" customFormat="1" x14ac:dyDescent="0.25"/>
    <row r="270693" s="12" customFormat="1" x14ac:dyDescent="0.25"/>
    <row r="270694" s="12" customFormat="1" x14ac:dyDescent="0.25"/>
    <row r="270695" s="12" customFormat="1" x14ac:dyDescent="0.25"/>
    <row r="270696" s="12" customFormat="1" x14ac:dyDescent="0.25"/>
    <row r="270697" s="12" customFormat="1" x14ac:dyDescent="0.25"/>
    <row r="270698" s="12" customFormat="1" x14ac:dyDescent="0.25"/>
    <row r="270699" s="12" customFormat="1" x14ac:dyDescent="0.25"/>
    <row r="270700" s="12" customFormat="1" x14ac:dyDescent="0.25"/>
    <row r="270701" s="12" customFormat="1" x14ac:dyDescent="0.25"/>
    <row r="270702" s="12" customFormat="1" x14ac:dyDescent="0.25"/>
    <row r="270703" s="12" customFormat="1" x14ac:dyDescent="0.25"/>
    <row r="270704" s="12" customFormat="1" x14ac:dyDescent="0.25"/>
    <row r="270705" s="12" customFormat="1" x14ac:dyDescent="0.25"/>
    <row r="270706" s="12" customFormat="1" x14ac:dyDescent="0.25"/>
    <row r="270707" s="12" customFormat="1" x14ac:dyDescent="0.25"/>
    <row r="270708" s="12" customFormat="1" x14ac:dyDescent="0.25"/>
    <row r="270709" s="12" customFormat="1" x14ac:dyDescent="0.25"/>
    <row r="270710" s="12" customFormat="1" x14ac:dyDescent="0.25"/>
    <row r="270711" s="12" customFormat="1" x14ac:dyDescent="0.25"/>
    <row r="270712" s="12" customFormat="1" x14ac:dyDescent="0.25"/>
    <row r="270713" s="12" customFormat="1" x14ac:dyDescent="0.25"/>
    <row r="270714" s="12" customFormat="1" x14ac:dyDescent="0.25"/>
    <row r="270715" s="12" customFormat="1" x14ac:dyDescent="0.25"/>
    <row r="270716" s="12" customFormat="1" x14ac:dyDescent="0.25"/>
    <row r="270717" s="12" customFormat="1" x14ac:dyDescent="0.25"/>
    <row r="270718" s="12" customFormat="1" x14ac:dyDescent="0.25"/>
    <row r="270719" s="12" customFormat="1" x14ac:dyDescent="0.25"/>
    <row r="270720" s="12" customFormat="1" x14ac:dyDescent="0.25"/>
    <row r="270721" s="12" customFormat="1" x14ac:dyDescent="0.25"/>
    <row r="270722" s="12" customFormat="1" x14ac:dyDescent="0.25"/>
    <row r="270723" s="12" customFormat="1" x14ac:dyDescent="0.25"/>
    <row r="270724" s="12" customFormat="1" x14ac:dyDescent="0.25"/>
    <row r="270725" s="12" customFormat="1" x14ac:dyDescent="0.25"/>
    <row r="270726" s="12" customFormat="1" x14ac:dyDescent="0.25"/>
    <row r="270727" s="12" customFormat="1" x14ac:dyDescent="0.25"/>
    <row r="270728" s="12" customFormat="1" x14ac:dyDescent="0.25"/>
    <row r="270729" s="12" customFormat="1" x14ac:dyDescent="0.25"/>
    <row r="270730" s="12" customFormat="1" x14ac:dyDescent="0.25"/>
    <row r="270731" s="12" customFormat="1" x14ac:dyDescent="0.25"/>
    <row r="270732" s="12" customFormat="1" x14ac:dyDescent="0.25"/>
    <row r="270733" s="12" customFormat="1" x14ac:dyDescent="0.25"/>
    <row r="270734" s="12" customFormat="1" x14ac:dyDescent="0.25"/>
    <row r="270735" s="12" customFormat="1" x14ac:dyDescent="0.25"/>
    <row r="270736" s="12" customFormat="1" x14ac:dyDescent="0.25"/>
    <row r="270737" s="12" customFormat="1" x14ac:dyDescent="0.25"/>
    <row r="270738" s="12" customFormat="1" x14ac:dyDescent="0.25"/>
    <row r="270739" s="12" customFormat="1" x14ac:dyDescent="0.25"/>
    <row r="270740" s="12" customFormat="1" x14ac:dyDescent="0.25"/>
    <row r="270741" s="12" customFormat="1" x14ac:dyDescent="0.25"/>
    <row r="270742" s="12" customFormat="1" x14ac:dyDescent="0.25"/>
    <row r="270743" s="12" customFormat="1" x14ac:dyDescent="0.25"/>
    <row r="270744" s="12" customFormat="1" x14ac:dyDescent="0.25"/>
    <row r="270745" s="12" customFormat="1" x14ac:dyDescent="0.25"/>
    <row r="270746" s="12" customFormat="1" x14ac:dyDescent="0.25"/>
    <row r="270747" s="12" customFormat="1" x14ac:dyDescent="0.25"/>
    <row r="270748" s="12" customFormat="1" x14ac:dyDescent="0.25"/>
    <row r="270749" s="12" customFormat="1" x14ac:dyDescent="0.25"/>
    <row r="270750" s="12" customFormat="1" x14ac:dyDescent="0.25"/>
    <row r="270751" s="12" customFormat="1" x14ac:dyDescent="0.25"/>
    <row r="270752" s="12" customFormat="1" x14ac:dyDescent="0.25"/>
    <row r="270753" s="12" customFormat="1" x14ac:dyDescent="0.25"/>
    <row r="270754" s="12" customFormat="1" x14ac:dyDescent="0.25"/>
    <row r="270755" s="12" customFormat="1" x14ac:dyDescent="0.25"/>
    <row r="270756" s="12" customFormat="1" x14ac:dyDescent="0.25"/>
    <row r="270757" s="12" customFormat="1" x14ac:dyDescent="0.25"/>
    <row r="270758" s="12" customFormat="1" x14ac:dyDescent="0.25"/>
    <row r="270759" s="12" customFormat="1" x14ac:dyDescent="0.25"/>
    <row r="270760" s="12" customFormat="1" x14ac:dyDescent="0.25"/>
    <row r="270761" s="12" customFormat="1" x14ac:dyDescent="0.25"/>
    <row r="270762" s="12" customFormat="1" x14ac:dyDescent="0.25"/>
    <row r="270763" s="12" customFormat="1" x14ac:dyDescent="0.25"/>
    <row r="270764" s="12" customFormat="1" x14ac:dyDescent="0.25"/>
    <row r="270765" s="12" customFormat="1" x14ac:dyDescent="0.25"/>
    <row r="270766" s="12" customFormat="1" x14ac:dyDescent="0.25"/>
    <row r="270767" s="12" customFormat="1" x14ac:dyDescent="0.25"/>
    <row r="270768" s="12" customFormat="1" x14ac:dyDescent="0.25"/>
    <row r="270769" s="12" customFormat="1" x14ac:dyDescent="0.25"/>
    <row r="270770" s="12" customFormat="1" x14ac:dyDescent="0.25"/>
    <row r="270771" s="12" customFormat="1" x14ac:dyDescent="0.25"/>
    <row r="270772" s="12" customFormat="1" x14ac:dyDescent="0.25"/>
    <row r="270773" s="12" customFormat="1" x14ac:dyDescent="0.25"/>
    <row r="270774" s="12" customFormat="1" x14ac:dyDescent="0.25"/>
    <row r="270775" s="12" customFormat="1" x14ac:dyDescent="0.25"/>
    <row r="270776" s="12" customFormat="1" x14ac:dyDescent="0.25"/>
    <row r="270777" s="12" customFormat="1" x14ac:dyDescent="0.25"/>
    <row r="270778" s="12" customFormat="1" x14ac:dyDescent="0.25"/>
    <row r="270779" s="12" customFormat="1" x14ac:dyDescent="0.25"/>
    <row r="270780" s="12" customFormat="1" x14ac:dyDescent="0.25"/>
    <row r="270781" s="12" customFormat="1" x14ac:dyDescent="0.25"/>
    <row r="270782" s="12" customFormat="1" x14ac:dyDescent="0.25"/>
    <row r="270783" s="12" customFormat="1" x14ac:dyDescent="0.25"/>
    <row r="270784" s="12" customFormat="1" x14ac:dyDescent="0.25"/>
    <row r="270785" s="12" customFormat="1" x14ac:dyDescent="0.25"/>
    <row r="270786" s="12" customFormat="1" x14ac:dyDescent="0.25"/>
    <row r="270787" s="12" customFormat="1" x14ac:dyDescent="0.25"/>
    <row r="270788" s="12" customFormat="1" x14ac:dyDescent="0.25"/>
    <row r="270789" s="12" customFormat="1" x14ac:dyDescent="0.25"/>
    <row r="270790" s="12" customFormat="1" x14ac:dyDescent="0.25"/>
    <row r="270791" s="12" customFormat="1" x14ac:dyDescent="0.25"/>
    <row r="270792" s="12" customFormat="1" x14ac:dyDescent="0.25"/>
    <row r="270793" s="12" customFormat="1" x14ac:dyDescent="0.25"/>
    <row r="270794" s="12" customFormat="1" x14ac:dyDescent="0.25"/>
    <row r="270795" s="12" customFormat="1" x14ac:dyDescent="0.25"/>
    <row r="270796" s="12" customFormat="1" x14ac:dyDescent="0.25"/>
    <row r="270797" s="12" customFormat="1" x14ac:dyDescent="0.25"/>
    <row r="270798" s="12" customFormat="1" x14ac:dyDescent="0.25"/>
    <row r="270799" s="12" customFormat="1" x14ac:dyDescent="0.25"/>
    <row r="270800" s="12" customFormat="1" x14ac:dyDescent="0.25"/>
    <row r="270801" s="12" customFormat="1" x14ac:dyDescent="0.25"/>
    <row r="270802" s="12" customFormat="1" x14ac:dyDescent="0.25"/>
    <row r="270803" s="12" customFormat="1" x14ac:dyDescent="0.25"/>
    <row r="270804" s="12" customFormat="1" x14ac:dyDescent="0.25"/>
    <row r="270805" s="12" customFormat="1" x14ac:dyDescent="0.25"/>
    <row r="270806" s="12" customFormat="1" x14ac:dyDescent="0.25"/>
    <row r="270807" s="12" customFormat="1" x14ac:dyDescent="0.25"/>
    <row r="270808" s="12" customFormat="1" x14ac:dyDescent="0.25"/>
    <row r="270809" s="12" customFormat="1" x14ac:dyDescent="0.25"/>
    <row r="270810" s="12" customFormat="1" x14ac:dyDescent="0.25"/>
    <row r="270811" s="12" customFormat="1" x14ac:dyDescent="0.25"/>
    <row r="270812" s="12" customFormat="1" x14ac:dyDescent="0.25"/>
    <row r="270813" s="12" customFormat="1" x14ac:dyDescent="0.25"/>
    <row r="270814" s="12" customFormat="1" x14ac:dyDescent="0.25"/>
    <row r="270815" s="12" customFormat="1" x14ac:dyDescent="0.25"/>
    <row r="270816" s="12" customFormat="1" x14ac:dyDescent="0.25"/>
    <row r="270817" s="12" customFormat="1" x14ac:dyDescent="0.25"/>
    <row r="270818" s="12" customFormat="1" x14ac:dyDescent="0.25"/>
    <row r="270819" s="12" customFormat="1" x14ac:dyDescent="0.25"/>
    <row r="270820" s="12" customFormat="1" x14ac:dyDescent="0.25"/>
    <row r="270821" s="12" customFormat="1" x14ac:dyDescent="0.25"/>
    <row r="270822" s="12" customFormat="1" x14ac:dyDescent="0.25"/>
    <row r="270823" s="12" customFormat="1" x14ac:dyDescent="0.25"/>
    <row r="270824" s="12" customFormat="1" x14ac:dyDescent="0.25"/>
    <row r="270825" s="12" customFormat="1" x14ac:dyDescent="0.25"/>
    <row r="270826" s="12" customFormat="1" x14ac:dyDescent="0.25"/>
    <row r="270827" s="12" customFormat="1" x14ac:dyDescent="0.25"/>
    <row r="270828" s="12" customFormat="1" x14ac:dyDescent="0.25"/>
    <row r="270829" s="12" customFormat="1" x14ac:dyDescent="0.25"/>
    <row r="270830" s="12" customFormat="1" x14ac:dyDescent="0.25"/>
    <row r="270831" s="12" customFormat="1" x14ac:dyDescent="0.25"/>
    <row r="270832" s="12" customFormat="1" x14ac:dyDescent="0.25"/>
    <row r="270833" s="12" customFormat="1" x14ac:dyDescent="0.25"/>
    <row r="270834" s="12" customFormat="1" x14ac:dyDescent="0.25"/>
    <row r="270835" s="12" customFormat="1" x14ac:dyDescent="0.25"/>
    <row r="270836" s="12" customFormat="1" x14ac:dyDescent="0.25"/>
    <row r="270837" s="12" customFormat="1" x14ac:dyDescent="0.25"/>
    <row r="270838" s="12" customFormat="1" x14ac:dyDescent="0.25"/>
    <row r="270839" s="12" customFormat="1" x14ac:dyDescent="0.25"/>
    <row r="270840" s="12" customFormat="1" x14ac:dyDescent="0.25"/>
    <row r="270841" s="12" customFormat="1" x14ac:dyDescent="0.25"/>
    <row r="270842" s="12" customFormat="1" x14ac:dyDescent="0.25"/>
    <row r="270843" s="12" customFormat="1" x14ac:dyDescent="0.25"/>
    <row r="270844" s="12" customFormat="1" x14ac:dyDescent="0.25"/>
    <row r="270845" s="12" customFormat="1" x14ac:dyDescent="0.25"/>
    <row r="270846" s="12" customFormat="1" x14ac:dyDescent="0.25"/>
    <row r="270847" s="12" customFormat="1" x14ac:dyDescent="0.25"/>
    <row r="270848" s="12" customFormat="1" x14ac:dyDescent="0.25"/>
    <row r="270849" s="12" customFormat="1" x14ac:dyDescent="0.25"/>
    <row r="270850" s="12" customFormat="1" x14ac:dyDescent="0.25"/>
    <row r="270851" s="12" customFormat="1" x14ac:dyDescent="0.25"/>
    <row r="270852" s="12" customFormat="1" x14ac:dyDescent="0.25"/>
    <row r="270853" s="12" customFormat="1" x14ac:dyDescent="0.25"/>
    <row r="270854" s="12" customFormat="1" x14ac:dyDescent="0.25"/>
    <row r="270855" s="12" customFormat="1" x14ac:dyDescent="0.25"/>
    <row r="270856" s="12" customFormat="1" x14ac:dyDescent="0.25"/>
    <row r="270857" s="12" customFormat="1" x14ac:dyDescent="0.25"/>
    <row r="270858" s="12" customFormat="1" x14ac:dyDescent="0.25"/>
    <row r="270859" s="12" customFormat="1" x14ac:dyDescent="0.25"/>
    <row r="270860" s="12" customFormat="1" x14ac:dyDescent="0.25"/>
    <row r="270861" s="12" customFormat="1" x14ac:dyDescent="0.25"/>
    <row r="270862" s="12" customFormat="1" x14ac:dyDescent="0.25"/>
    <row r="270863" s="12" customFormat="1" x14ac:dyDescent="0.25"/>
    <row r="270864" s="12" customFormat="1" x14ac:dyDescent="0.25"/>
    <row r="270865" s="12" customFormat="1" x14ac:dyDescent="0.25"/>
    <row r="270866" s="12" customFormat="1" x14ac:dyDescent="0.25"/>
    <row r="270867" s="12" customFormat="1" x14ac:dyDescent="0.25"/>
    <row r="270868" s="12" customFormat="1" x14ac:dyDescent="0.25"/>
    <row r="270869" s="12" customFormat="1" x14ac:dyDescent="0.25"/>
    <row r="270870" s="12" customFormat="1" x14ac:dyDescent="0.25"/>
    <row r="270871" s="12" customFormat="1" x14ac:dyDescent="0.25"/>
    <row r="270872" s="12" customFormat="1" x14ac:dyDescent="0.25"/>
    <row r="270873" s="12" customFormat="1" x14ac:dyDescent="0.25"/>
    <row r="270874" s="12" customFormat="1" x14ac:dyDescent="0.25"/>
    <row r="270875" s="12" customFormat="1" x14ac:dyDescent="0.25"/>
    <row r="270876" s="12" customFormat="1" x14ac:dyDescent="0.25"/>
    <row r="270877" s="12" customFormat="1" x14ac:dyDescent="0.25"/>
    <row r="270878" s="12" customFormat="1" x14ac:dyDescent="0.25"/>
    <row r="270879" s="12" customFormat="1" x14ac:dyDescent="0.25"/>
    <row r="270880" s="12" customFormat="1" x14ac:dyDescent="0.25"/>
    <row r="270881" s="12" customFormat="1" x14ac:dyDescent="0.25"/>
    <row r="270882" s="12" customFormat="1" x14ac:dyDescent="0.25"/>
    <row r="270883" s="12" customFormat="1" x14ac:dyDescent="0.25"/>
    <row r="270884" s="12" customFormat="1" x14ac:dyDescent="0.25"/>
    <row r="270885" s="12" customFormat="1" x14ac:dyDescent="0.25"/>
    <row r="270886" s="12" customFormat="1" x14ac:dyDescent="0.25"/>
    <row r="270887" s="12" customFormat="1" x14ac:dyDescent="0.25"/>
    <row r="270888" s="12" customFormat="1" x14ac:dyDescent="0.25"/>
    <row r="270889" s="12" customFormat="1" x14ac:dyDescent="0.25"/>
    <row r="270890" s="12" customFormat="1" x14ac:dyDescent="0.25"/>
    <row r="270891" s="12" customFormat="1" x14ac:dyDescent="0.25"/>
    <row r="270892" s="12" customFormat="1" x14ac:dyDescent="0.25"/>
    <row r="270893" s="12" customFormat="1" x14ac:dyDescent="0.25"/>
    <row r="270894" s="12" customFormat="1" x14ac:dyDescent="0.25"/>
    <row r="270895" s="12" customFormat="1" x14ac:dyDescent="0.25"/>
    <row r="270896" s="12" customFormat="1" x14ac:dyDescent="0.25"/>
    <row r="270897" s="12" customFormat="1" x14ac:dyDescent="0.25"/>
    <row r="270898" s="12" customFormat="1" x14ac:dyDescent="0.25"/>
    <row r="270899" s="12" customFormat="1" x14ac:dyDescent="0.25"/>
    <row r="270900" s="12" customFormat="1" x14ac:dyDescent="0.25"/>
    <row r="270901" s="12" customFormat="1" x14ac:dyDescent="0.25"/>
    <row r="270902" s="12" customFormat="1" x14ac:dyDescent="0.25"/>
    <row r="270903" s="12" customFormat="1" x14ac:dyDescent="0.25"/>
    <row r="270904" s="12" customFormat="1" x14ac:dyDescent="0.25"/>
    <row r="270905" s="12" customFormat="1" x14ac:dyDescent="0.25"/>
    <row r="270906" s="12" customFormat="1" x14ac:dyDescent="0.25"/>
    <row r="270907" s="12" customFormat="1" x14ac:dyDescent="0.25"/>
    <row r="270908" s="12" customFormat="1" x14ac:dyDescent="0.25"/>
    <row r="270909" s="12" customFormat="1" x14ac:dyDescent="0.25"/>
    <row r="270910" s="12" customFormat="1" x14ac:dyDescent="0.25"/>
    <row r="270911" s="12" customFormat="1" x14ac:dyDescent="0.25"/>
    <row r="270912" s="12" customFormat="1" x14ac:dyDescent="0.25"/>
    <row r="270913" s="12" customFormat="1" x14ac:dyDescent="0.25"/>
    <row r="270914" s="12" customFormat="1" x14ac:dyDescent="0.25"/>
    <row r="270915" s="12" customFormat="1" x14ac:dyDescent="0.25"/>
    <row r="270916" s="12" customFormat="1" x14ac:dyDescent="0.25"/>
    <row r="270917" s="12" customFormat="1" x14ac:dyDescent="0.25"/>
    <row r="270918" s="12" customFormat="1" x14ac:dyDescent="0.25"/>
    <row r="270919" s="12" customFormat="1" x14ac:dyDescent="0.25"/>
    <row r="270920" s="12" customFormat="1" x14ac:dyDescent="0.25"/>
    <row r="270921" s="12" customFormat="1" x14ac:dyDescent="0.25"/>
    <row r="270922" s="12" customFormat="1" x14ac:dyDescent="0.25"/>
    <row r="270923" s="12" customFormat="1" x14ac:dyDescent="0.25"/>
    <row r="270924" s="12" customFormat="1" x14ac:dyDescent="0.25"/>
    <row r="270925" s="12" customFormat="1" x14ac:dyDescent="0.25"/>
    <row r="270926" s="12" customFormat="1" x14ac:dyDescent="0.25"/>
    <row r="270927" s="12" customFormat="1" x14ac:dyDescent="0.25"/>
    <row r="270928" s="12" customFormat="1" x14ac:dyDescent="0.25"/>
    <row r="270929" s="12" customFormat="1" x14ac:dyDescent="0.25"/>
    <row r="270930" s="12" customFormat="1" x14ac:dyDescent="0.25"/>
    <row r="270931" s="12" customFormat="1" x14ac:dyDescent="0.25"/>
    <row r="270932" s="12" customFormat="1" x14ac:dyDescent="0.25"/>
    <row r="270933" s="12" customFormat="1" x14ac:dyDescent="0.25"/>
    <row r="270934" s="12" customFormat="1" x14ac:dyDescent="0.25"/>
    <row r="270935" s="12" customFormat="1" x14ac:dyDescent="0.25"/>
    <row r="270936" s="12" customFormat="1" x14ac:dyDescent="0.25"/>
    <row r="270937" s="12" customFormat="1" x14ac:dyDescent="0.25"/>
    <row r="270938" s="12" customFormat="1" x14ac:dyDescent="0.25"/>
    <row r="270939" s="12" customFormat="1" x14ac:dyDescent="0.25"/>
    <row r="270940" s="12" customFormat="1" x14ac:dyDescent="0.25"/>
    <row r="270941" s="12" customFormat="1" x14ac:dyDescent="0.25"/>
    <row r="270942" s="12" customFormat="1" x14ac:dyDescent="0.25"/>
    <row r="270943" s="12" customFormat="1" x14ac:dyDescent="0.25"/>
    <row r="270944" s="12" customFormat="1" x14ac:dyDescent="0.25"/>
    <row r="270945" s="12" customFormat="1" x14ac:dyDescent="0.25"/>
    <row r="270946" s="12" customFormat="1" x14ac:dyDescent="0.25"/>
    <row r="270947" s="12" customFormat="1" x14ac:dyDescent="0.25"/>
    <row r="270948" s="12" customFormat="1" x14ac:dyDescent="0.25"/>
    <row r="270949" s="12" customFormat="1" x14ac:dyDescent="0.25"/>
    <row r="270950" s="12" customFormat="1" x14ac:dyDescent="0.25"/>
    <row r="270951" s="12" customFormat="1" x14ac:dyDescent="0.25"/>
    <row r="270952" s="12" customFormat="1" x14ac:dyDescent="0.25"/>
    <row r="270953" s="12" customFormat="1" x14ac:dyDescent="0.25"/>
    <row r="270954" s="12" customFormat="1" x14ac:dyDescent="0.25"/>
    <row r="270955" s="12" customFormat="1" x14ac:dyDescent="0.25"/>
    <row r="270956" s="12" customFormat="1" x14ac:dyDescent="0.25"/>
    <row r="270957" s="12" customFormat="1" x14ac:dyDescent="0.25"/>
    <row r="270958" s="12" customFormat="1" x14ac:dyDescent="0.25"/>
    <row r="270959" s="12" customFormat="1" x14ac:dyDescent="0.25"/>
    <row r="270960" s="12" customFormat="1" x14ac:dyDescent="0.25"/>
    <row r="270961" s="12" customFormat="1" x14ac:dyDescent="0.25"/>
    <row r="270962" s="12" customFormat="1" x14ac:dyDescent="0.25"/>
    <row r="270963" s="12" customFormat="1" x14ac:dyDescent="0.25"/>
    <row r="270964" s="12" customFormat="1" x14ac:dyDescent="0.25"/>
    <row r="270965" s="12" customFormat="1" x14ac:dyDescent="0.25"/>
    <row r="270966" s="12" customFormat="1" x14ac:dyDescent="0.25"/>
    <row r="270967" s="12" customFormat="1" x14ac:dyDescent="0.25"/>
    <row r="270968" s="12" customFormat="1" x14ac:dyDescent="0.25"/>
    <row r="270969" s="12" customFormat="1" x14ac:dyDescent="0.25"/>
    <row r="270970" s="12" customFormat="1" x14ac:dyDescent="0.25"/>
    <row r="270971" s="12" customFormat="1" x14ac:dyDescent="0.25"/>
    <row r="270972" s="12" customFormat="1" x14ac:dyDescent="0.25"/>
    <row r="270973" s="12" customFormat="1" x14ac:dyDescent="0.25"/>
    <row r="270974" s="12" customFormat="1" x14ac:dyDescent="0.25"/>
    <row r="270975" s="12" customFormat="1" x14ac:dyDescent="0.25"/>
    <row r="270976" s="12" customFormat="1" x14ac:dyDescent="0.25"/>
    <row r="270977" s="12" customFormat="1" x14ac:dyDescent="0.25"/>
    <row r="270978" s="12" customFormat="1" x14ac:dyDescent="0.25"/>
    <row r="270979" s="12" customFormat="1" x14ac:dyDescent="0.25"/>
    <row r="270980" s="12" customFormat="1" x14ac:dyDescent="0.25"/>
    <row r="270981" s="12" customFormat="1" x14ac:dyDescent="0.25"/>
    <row r="270982" s="12" customFormat="1" x14ac:dyDescent="0.25"/>
    <row r="270983" s="12" customFormat="1" x14ac:dyDescent="0.25"/>
    <row r="270984" s="12" customFormat="1" x14ac:dyDescent="0.25"/>
    <row r="270985" s="12" customFormat="1" x14ac:dyDescent="0.25"/>
    <row r="270986" s="12" customFormat="1" x14ac:dyDescent="0.25"/>
    <row r="270987" s="12" customFormat="1" x14ac:dyDescent="0.25"/>
    <row r="270988" s="12" customFormat="1" x14ac:dyDescent="0.25"/>
    <row r="270989" s="12" customFormat="1" x14ac:dyDescent="0.25"/>
    <row r="270990" s="12" customFormat="1" x14ac:dyDescent="0.25"/>
    <row r="270991" s="12" customFormat="1" x14ac:dyDescent="0.25"/>
    <row r="270992" s="12" customFormat="1" x14ac:dyDescent="0.25"/>
    <row r="270993" s="12" customFormat="1" x14ac:dyDescent="0.25"/>
    <row r="270994" s="12" customFormat="1" x14ac:dyDescent="0.25"/>
    <row r="270995" s="12" customFormat="1" x14ac:dyDescent="0.25"/>
    <row r="270996" s="12" customFormat="1" x14ac:dyDescent="0.25"/>
    <row r="270997" s="12" customFormat="1" x14ac:dyDescent="0.25"/>
    <row r="270998" s="12" customFormat="1" x14ac:dyDescent="0.25"/>
    <row r="270999" s="12" customFormat="1" x14ac:dyDescent="0.25"/>
    <row r="271000" s="12" customFormat="1" x14ac:dyDescent="0.25"/>
    <row r="271001" s="12" customFormat="1" x14ac:dyDescent="0.25"/>
    <row r="271002" s="12" customFormat="1" x14ac:dyDescent="0.25"/>
    <row r="271003" s="12" customFormat="1" x14ac:dyDescent="0.25"/>
    <row r="271004" s="12" customFormat="1" x14ac:dyDescent="0.25"/>
    <row r="271005" s="12" customFormat="1" x14ac:dyDescent="0.25"/>
    <row r="271006" s="12" customFormat="1" x14ac:dyDescent="0.25"/>
    <row r="271007" s="12" customFormat="1" x14ac:dyDescent="0.25"/>
    <row r="271008" s="12" customFormat="1" x14ac:dyDescent="0.25"/>
    <row r="271009" s="12" customFormat="1" x14ac:dyDescent="0.25"/>
    <row r="271010" s="12" customFormat="1" x14ac:dyDescent="0.25"/>
    <row r="271011" s="12" customFormat="1" x14ac:dyDescent="0.25"/>
    <row r="271012" s="12" customFormat="1" x14ac:dyDescent="0.25"/>
    <row r="271013" s="12" customFormat="1" x14ac:dyDescent="0.25"/>
    <row r="271014" s="12" customFormat="1" x14ac:dyDescent="0.25"/>
    <row r="271015" s="12" customFormat="1" x14ac:dyDescent="0.25"/>
    <row r="271016" s="12" customFormat="1" x14ac:dyDescent="0.25"/>
    <row r="271017" s="12" customFormat="1" x14ac:dyDescent="0.25"/>
    <row r="271018" s="12" customFormat="1" x14ac:dyDescent="0.25"/>
    <row r="271019" s="12" customFormat="1" x14ac:dyDescent="0.25"/>
    <row r="271020" s="12" customFormat="1" x14ac:dyDescent="0.25"/>
    <row r="271021" s="12" customFormat="1" x14ac:dyDescent="0.25"/>
    <row r="271022" s="12" customFormat="1" x14ac:dyDescent="0.25"/>
    <row r="271023" s="12" customFormat="1" x14ac:dyDescent="0.25"/>
    <row r="271024" s="12" customFormat="1" x14ac:dyDescent="0.25"/>
    <row r="271025" s="12" customFormat="1" x14ac:dyDescent="0.25"/>
    <row r="271026" s="12" customFormat="1" x14ac:dyDescent="0.25"/>
    <row r="271027" s="12" customFormat="1" x14ac:dyDescent="0.25"/>
    <row r="271028" s="12" customFormat="1" x14ac:dyDescent="0.25"/>
    <row r="271029" s="12" customFormat="1" x14ac:dyDescent="0.25"/>
    <row r="271030" s="12" customFormat="1" x14ac:dyDescent="0.25"/>
    <row r="271031" s="12" customFormat="1" x14ac:dyDescent="0.25"/>
    <row r="271032" s="12" customFormat="1" x14ac:dyDescent="0.25"/>
    <row r="271033" s="12" customFormat="1" x14ac:dyDescent="0.25"/>
    <row r="271034" s="12" customFormat="1" x14ac:dyDescent="0.25"/>
    <row r="271035" s="12" customFormat="1" x14ac:dyDescent="0.25"/>
    <row r="271036" s="12" customFormat="1" x14ac:dyDescent="0.25"/>
    <row r="271037" s="12" customFormat="1" x14ac:dyDescent="0.25"/>
    <row r="271038" s="12" customFormat="1" x14ac:dyDescent="0.25"/>
    <row r="271039" s="12" customFormat="1" x14ac:dyDescent="0.25"/>
    <row r="271040" s="12" customFormat="1" x14ac:dyDescent="0.25"/>
    <row r="271041" s="12" customFormat="1" x14ac:dyDescent="0.25"/>
    <row r="271042" s="12" customFormat="1" x14ac:dyDescent="0.25"/>
    <row r="271043" s="12" customFormat="1" x14ac:dyDescent="0.25"/>
    <row r="271044" s="12" customFormat="1" x14ac:dyDescent="0.25"/>
    <row r="271045" s="12" customFormat="1" x14ac:dyDescent="0.25"/>
    <row r="271046" s="12" customFormat="1" x14ac:dyDescent="0.25"/>
    <row r="271047" s="12" customFormat="1" x14ac:dyDescent="0.25"/>
    <row r="271048" s="12" customFormat="1" x14ac:dyDescent="0.25"/>
    <row r="271049" s="12" customFormat="1" x14ac:dyDescent="0.25"/>
    <row r="271050" s="12" customFormat="1" x14ac:dyDescent="0.25"/>
    <row r="271051" s="12" customFormat="1" x14ac:dyDescent="0.25"/>
    <row r="271052" s="12" customFormat="1" x14ac:dyDescent="0.25"/>
    <row r="271053" s="12" customFormat="1" x14ac:dyDescent="0.25"/>
    <row r="271054" s="12" customFormat="1" x14ac:dyDescent="0.25"/>
    <row r="271055" s="12" customFormat="1" x14ac:dyDescent="0.25"/>
    <row r="271056" s="12" customFormat="1" x14ac:dyDescent="0.25"/>
    <row r="271057" s="12" customFormat="1" x14ac:dyDescent="0.25"/>
    <row r="271058" s="12" customFormat="1" x14ac:dyDescent="0.25"/>
    <row r="271059" s="12" customFormat="1" x14ac:dyDescent="0.25"/>
    <row r="271060" s="12" customFormat="1" x14ac:dyDescent="0.25"/>
    <row r="271061" s="12" customFormat="1" x14ac:dyDescent="0.25"/>
    <row r="271062" s="12" customFormat="1" x14ac:dyDescent="0.25"/>
    <row r="271063" s="12" customFormat="1" x14ac:dyDescent="0.25"/>
    <row r="271064" s="12" customFormat="1" x14ac:dyDescent="0.25"/>
    <row r="271065" s="12" customFormat="1" x14ac:dyDescent="0.25"/>
    <row r="271066" s="12" customFormat="1" x14ac:dyDescent="0.25"/>
    <row r="271067" s="12" customFormat="1" x14ac:dyDescent="0.25"/>
    <row r="271068" s="12" customFormat="1" x14ac:dyDescent="0.25"/>
    <row r="271069" s="12" customFormat="1" x14ac:dyDescent="0.25"/>
    <row r="271070" s="12" customFormat="1" x14ac:dyDescent="0.25"/>
    <row r="271071" s="12" customFormat="1" x14ac:dyDescent="0.25"/>
    <row r="271072" s="12" customFormat="1" x14ac:dyDescent="0.25"/>
    <row r="271073" s="12" customFormat="1" x14ac:dyDescent="0.25"/>
    <row r="271074" s="12" customFormat="1" x14ac:dyDescent="0.25"/>
    <row r="271075" s="12" customFormat="1" x14ac:dyDescent="0.25"/>
    <row r="271076" s="12" customFormat="1" x14ac:dyDescent="0.25"/>
    <row r="271077" s="12" customFormat="1" x14ac:dyDescent="0.25"/>
    <row r="271078" s="12" customFormat="1" x14ac:dyDescent="0.25"/>
    <row r="271079" s="12" customFormat="1" x14ac:dyDescent="0.25"/>
    <row r="271080" s="12" customFormat="1" x14ac:dyDescent="0.25"/>
    <row r="271081" s="12" customFormat="1" x14ac:dyDescent="0.25"/>
    <row r="271082" s="12" customFormat="1" x14ac:dyDescent="0.25"/>
    <row r="271083" s="12" customFormat="1" x14ac:dyDescent="0.25"/>
    <row r="271084" s="12" customFormat="1" x14ac:dyDescent="0.25"/>
    <row r="271085" s="12" customFormat="1" x14ac:dyDescent="0.25"/>
    <row r="271086" s="12" customFormat="1" x14ac:dyDescent="0.25"/>
    <row r="271087" s="12" customFormat="1" x14ac:dyDescent="0.25"/>
    <row r="271088" s="12" customFormat="1" x14ac:dyDescent="0.25"/>
    <row r="271089" s="12" customFormat="1" x14ac:dyDescent="0.25"/>
    <row r="271090" s="12" customFormat="1" x14ac:dyDescent="0.25"/>
    <row r="271091" s="12" customFormat="1" x14ac:dyDescent="0.25"/>
    <row r="271092" s="12" customFormat="1" x14ac:dyDescent="0.25"/>
    <row r="271093" s="12" customFormat="1" x14ac:dyDescent="0.25"/>
    <row r="271094" s="12" customFormat="1" x14ac:dyDescent="0.25"/>
    <row r="271095" s="12" customFormat="1" x14ac:dyDescent="0.25"/>
    <row r="271096" s="12" customFormat="1" x14ac:dyDescent="0.25"/>
    <row r="271097" s="12" customFormat="1" x14ac:dyDescent="0.25"/>
    <row r="271098" s="12" customFormat="1" x14ac:dyDescent="0.25"/>
    <row r="271099" s="12" customFormat="1" x14ac:dyDescent="0.25"/>
    <row r="271100" s="12" customFormat="1" x14ac:dyDescent="0.25"/>
    <row r="271101" s="12" customFormat="1" x14ac:dyDescent="0.25"/>
    <row r="271102" s="12" customFormat="1" x14ac:dyDescent="0.25"/>
    <row r="271103" s="12" customFormat="1" x14ac:dyDescent="0.25"/>
    <row r="271104" s="12" customFormat="1" x14ac:dyDescent="0.25"/>
    <row r="271105" s="12" customFormat="1" x14ac:dyDescent="0.25"/>
    <row r="271106" s="12" customFormat="1" x14ac:dyDescent="0.25"/>
    <row r="271107" s="12" customFormat="1" x14ac:dyDescent="0.25"/>
    <row r="271108" s="12" customFormat="1" x14ac:dyDescent="0.25"/>
    <row r="271109" s="12" customFormat="1" x14ac:dyDescent="0.25"/>
    <row r="271110" s="12" customFormat="1" x14ac:dyDescent="0.25"/>
    <row r="271111" s="12" customFormat="1" x14ac:dyDescent="0.25"/>
    <row r="271112" s="12" customFormat="1" x14ac:dyDescent="0.25"/>
    <row r="271113" s="12" customFormat="1" x14ac:dyDescent="0.25"/>
    <row r="271114" s="12" customFormat="1" x14ac:dyDescent="0.25"/>
    <row r="271115" s="12" customFormat="1" x14ac:dyDescent="0.25"/>
    <row r="271116" s="12" customFormat="1" x14ac:dyDescent="0.25"/>
    <row r="271117" s="12" customFormat="1" x14ac:dyDescent="0.25"/>
    <row r="271118" s="12" customFormat="1" x14ac:dyDescent="0.25"/>
    <row r="271119" s="12" customFormat="1" x14ac:dyDescent="0.25"/>
    <row r="271120" s="12" customFormat="1" x14ac:dyDescent="0.25"/>
    <row r="271121" s="12" customFormat="1" x14ac:dyDescent="0.25"/>
    <row r="271122" s="12" customFormat="1" x14ac:dyDescent="0.25"/>
    <row r="271123" s="12" customFormat="1" x14ac:dyDescent="0.25"/>
    <row r="271124" s="12" customFormat="1" x14ac:dyDescent="0.25"/>
    <row r="271125" s="12" customFormat="1" x14ac:dyDescent="0.25"/>
    <row r="271126" s="12" customFormat="1" x14ac:dyDescent="0.25"/>
    <row r="271127" s="12" customFormat="1" x14ac:dyDescent="0.25"/>
    <row r="271128" s="12" customFormat="1" x14ac:dyDescent="0.25"/>
    <row r="271129" s="12" customFormat="1" x14ac:dyDescent="0.25"/>
    <row r="271130" s="12" customFormat="1" x14ac:dyDescent="0.25"/>
    <row r="271131" s="12" customFormat="1" x14ac:dyDescent="0.25"/>
    <row r="271132" s="12" customFormat="1" x14ac:dyDescent="0.25"/>
    <row r="271133" s="12" customFormat="1" x14ac:dyDescent="0.25"/>
    <row r="271134" s="12" customFormat="1" x14ac:dyDescent="0.25"/>
    <row r="271135" s="12" customFormat="1" x14ac:dyDescent="0.25"/>
    <row r="271136" s="12" customFormat="1" x14ac:dyDescent="0.25"/>
    <row r="271137" s="12" customFormat="1" x14ac:dyDescent="0.25"/>
    <row r="271138" s="12" customFormat="1" x14ac:dyDescent="0.25"/>
    <row r="271139" s="12" customFormat="1" x14ac:dyDescent="0.25"/>
    <row r="271140" s="12" customFormat="1" x14ac:dyDescent="0.25"/>
    <row r="271141" s="12" customFormat="1" x14ac:dyDescent="0.25"/>
    <row r="271142" s="12" customFormat="1" x14ac:dyDescent="0.25"/>
    <row r="271143" s="12" customFormat="1" x14ac:dyDescent="0.25"/>
    <row r="271144" s="12" customFormat="1" x14ac:dyDescent="0.25"/>
    <row r="271145" s="12" customFormat="1" x14ac:dyDescent="0.25"/>
    <row r="271146" s="12" customFormat="1" x14ac:dyDescent="0.25"/>
    <row r="271147" s="12" customFormat="1" x14ac:dyDescent="0.25"/>
    <row r="271148" s="12" customFormat="1" x14ac:dyDescent="0.25"/>
    <row r="271149" s="12" customFormat="1" x14ac:dyDescent="0.25"/>
    <row r="271150" s="12" customFormat="1" x14ac:dyDescent="0.25"/>
    <row r="271151" s="12" customFormat="1" x14ac:dyDescent="0.25"/>
    <row r="271152" s="12" customFormat="1" x14ac:dyDescent="0.25"/>
    <row r="271153" s="12" customFormat="1" x14ac:dyDescent="0.25"/>
    <row r="271154" s="12" customFormat="1" x14ac:dyDescent="0.25"/>
    <row r="271155" s="12" customFormat="1" x14ac:dyDescent="0.25"/>
    <row r="271156" s="12" customFormat="1" x14ac:dyDescent="0.25"/>
    <row r="271157" s="12" customFormat="1" x14ac:dyDescent="0.25"/>
    <row r="271158" s="12" customFormat="1" x14ac:dyDescent="0.25"/>
    <row r="271159" s="12" customFormat="1" x14ac:dyDescent="0.25"/>
    <row r="271160" s="12" customFormat="1" x14ac:dyDescent="0.25"/>
    <row r="271161" s="12" customFormat="1" x14ac:dyDescent="0.25"/>
    <row r="271162" s="12" customFormat="1" x14ac:dyDescent="0.25"/>
    <row r="271163" s="12" customFormat="1" x14ac:dyDescent="0.25"/>
    <row r="271164" s="12" customFormat="1" x14ac:dyDescent="0.25"/>
    <row r="271165" s="12" customFormat="1" x14ac:dyDescent="0.25"/>
    <row r="271166" s="12" customFormat="1" x14ac:dyDescent="0.25"/>
    <row r="271167" s="12" customFormat="1" x14ac:dyDescent="0.25"/>
    <row r="271168" s="12" customFormat="1" x14ac:dyDescent="0.25"/>
    <row r="271169" s="12" customFormat="1" x14ac:dyDescent="0.25"/>
    <row r="271170" s="12" customFormat="1" x14ac:dyDescent="0.25"/>
    <row r="271171" s="12" customFormat="1" x14ac:dyDescent="0.25"/>
    <row r="271172" s="12" customFormat="1" x14ac:dyDescent="0.25"/>
    <row r="271173" s="12" customFormat="1" x14ac:dyDescent="0.25"/>
    <row r="271174" s="12" customFormat="1" x14ac:dyDescent="0.25"/>
    <row r="271175" s="12" customFormat="1" x14ac:dyDescent="0.25"/>
    <row r="271176" s="12" customFormat="1" x14ac:dyDescent="0.25"/>
    <row r="271177" s="12" customFormat="1" x14ac:dyDescent="0.25"/>
    <row r="271178" s="12" customFormat="1" x14ac:dyDescent="0.25"/>
    <row r="271179" s="12" customFormat="1" x14ac:dyDescent="0.25"/>
    <row r="271180" s="12" customFormat="1" x14ac:dyDescent="0.25"/>
    <row r="271181" s="12" customFormat="1" x14ac:dyDescent="0.25"/>
    <row r="271182" s="12" customFormat="1" x14ac:dyDescent="0.25"/>
    <row r="271183" s="12" customFormat="1" x14ac:dyDescent="0.25"/>
    <row r="271184" s="12" customFormat="1" x14ac:dyDescent="0.25"/>
    <row r="271185" s="12" customFormat="1" x14ac:dyDescent="0.25"/>
    <row r="271186" s="12" customFormat="1" x14ac:dyDescent="0.25"/>
    <row r="271187" s="12" customFormat="1" x14ac:dyDescent="0.25"/>
    <row r="271188" s="12" customFormat="1" x14ac:dyDescent="0.25"/>
    <row r="271189" s="12" customFormat="1" x14ac:dyDescent="0.25"/>
    <row r="271190" s="12" customFormat="1" x14ac:dyDescent="0.25"/>
    <row r="271191" s="12" customFormat="1" x14ac:dyDescent="0.25"/>
    <row r="271192" s="12" customFormat="1" x14ac:dyDescent="0.25"/>
    <row r="271193" s="12" customFormat="1" x14ac:dyDescent="0.25"/>
    <row r="271194" s="12" customFormat="1" x14ac:dyDescent="0.25"/>
    <row r="271195" s="12" customFormat="1" x14ac:dyDescent="0.25"/>
    <row r="271196" s="12" customFormat="1" x14ac:dyDescent="0.25"/>
    <row r="271197" s="12" customFormat="1" x14ac:dyDescent="0.25"/>
    <row r="271198" s="12" customFormat="1" x14ac:dyDescent="0.25"/>
    <row r="271199" s="12" customFormat="1" x14ac:dyDescent="0.25"/>
    <row r="271200" s="12" customFormat="1" x14ac:dyDescent="0.25"/>
    <row r="271201" s="12" customFormat="1" x14ac:dyDescent="0.25"/>
    <row r="271202" s="12" customFormat="1" x14ac:dyDescent="0.25"/>
    <row r="271203" s="12" customFormat="1" x14ac:dyDescent="0.25"/>
    <row r="271204" s="12" customFormat="1" x14ac:dyDescent="0.25"/>
    <row r="271205" s="12" customFormat="1" x14ac:dyDescent="0.25"/>
    <row r="271206" s="12" customFormat="1" x14ac:dyDescent="0.25"/>
    <row r="271207" s="12" customFormat="1" x14ac:dyDescent="0.25"/>
    <row r="271208" s="12" customFormat="1" x14ac:dyDescent="0.25"/>
    <row r="271209" s="12" customFormat="1" x14ac:dyDescent="0.25"/>
    <row r="271210" s="12" customFormat="1" x14ac:dyDescent="0.25"/>
    <row r="271211" s="12" customFormat="1" x14ac:dyDescent="0.25"/>
    <row r="271212" s="12" customFormat="1" x14ac:dyDescent="0.25"/>
    <row r="271213" s="12" customFormat="1" x14ac:dyDescent="0.25"/>
    <row r="271214" s="12" customFormat="1" x14ac:dyDescent="0.25"/>
    <row r="271215" s="12" customFormat="1" x14ac:dyDescent="0.25"/>
    <row r="271216" s="12" customFormat="1" x14ac:dyDescent="0.25"/>
    <row r="271217" s="12" customFormat="1" x14ac:dyDescent="0.25"/>
    <row r="271218" s="12" customFormat="1" x14ac:dyDescent="0.25"/>
    <row r="271219" s="12" customFormat="1" x14ac:dyDescent="0.25"/>
    <row r="271220" s="12" customFormat="1" x14ac:dyDescent="0.25"/>
    <row r="271221" s="12" customFormat="1" x14ac:dyDescent="0.25"/>
    <row r="271222" s="12" customFormat="1" x14ac:dyDescent="0.25"/>
    <row r="271223" s="12" customFormat="1" x14ac:dyDescent="0.25"/>
    <row r="271224" s="12" customFormat="1" x14ac:dyDescent="0.25"/>
    <row r="271225" s="12" customFormat="1" x14ac:dyDescent="0.25"/>
    <row r="271226" s="12" customFormat="1" x14ac:dyDescent="0.25"/>
    <row r="271227" s="12" customFormat="1" x14ac:dyDescent="0.25"/>
    <row r="271228" s="12" customFormat="1" x14ac:dyDescent="0.25"/>
    <row r="271229" s="12" customFormat="1" x14ac:dyDescent="0.25"/>
    <row r="271230" s="12" customFormat="1" x14ac:dyDescent="0.25"/>
    <row r="271231" s="12" customFormat="1" x14ac:dyDescent="0.25"/>
    <row r="271232" s="12" customFormat="1" x14ac:dyDescent="0.25"/>
    <row r="271233" s="12" customFormat="1" x14ac:dyDescent="0.25"/>
    <row r="271234" s="12" customFormat="1" x14ac:dyDescent="0.25"/>
    <row r="271235" s="12" customFormat="1" x14ac:dyDescent="0.25"/>
    <row r="271236" s="12" customFormat="1" x14ac:dyDescent="0.25"/>
    <row r="271237" s="12" customFormat="1" x14ac:dyDescent="0.25"/>
    <row r="271238" s="12" customFormat="1" x14ac:dyDescent="0.25"/>
    <row r="271239" s="12" customFormat="1" x14ac:dyDescent="0.25"/>
    <row r="271240" s="12" customFormat="1" x14ac:dyDescent="0.25"/>
    <row r="271241" s="12" customFormat="1" x14ac:dyDescent="0.25"/>
    <row r="271242" s="12" customFormat="1" x14ac:dyDescent="0.25"/>
    <row r="271243" s="12" customFormat="1" x14ac:dyDescent="0.25"/>
    <row r="271244" s="12" customFormat="1" x14ac:dyDescent="0.25"/>
    <row r="271245" s="12" customFormat="1" x14ac:dyDescent="0.25"/>
    <row r="271246" s="12" customFormat="1" x14ac:dyDescent="0.25"/>
    <row r="271247" s="12" customFormat="1" x14ac:dyDescent="0.25"/>
    <row r="271248" s="12" customFormat="1" x14ac:dyDescent="0.25"/>
    <row r="271249" s="12" customFormat="1" x14ac:dyDescent="0.25"/>
    <row r="271250" s="12" customFormat="1" x14ac:dyDescent="0.25"/>
    <row r="271251" s="12" customFormat="1" x14ac:dyDescent="0.25"/>
    <row r="271252" s="12" customFormat="1" x14ac:dyDescent="0.25"/>
    <row r="271253" s="12" customFormat="1" x14ac:dyDescent="0.25"/>
    <row r="271254" s="12" customFormat="1" x14ac:dyDescent="0.25"/>
    <row r="271255" s="12" customFormat="1" x14ac:dyDescent="0.25"/>
    <row r="271256" s="12" customFormat="1" x14ac:dyDescent="0.25"/>
    <row r="271257" s="12" customFormat="1" x14ac:dyDescent="0.25"/>
    <row r="271258" s="12" customFormat="1" x14ac:dyDescent="0.25"/>
    <row r="271259" s="12" customFormat="1" x14ac:dyDescent="0.25"/>
    <row r="271260" s="12" customFormat="1" x14ac:dyDescent="0.25"/>
    <row r="271261" s="12" customFormat="1" x14ac:dyDescent="0.25"/>
    <row r="271262" s="12" customFormat="1" x14ac:dyDescent="0.25"/>
    <row r="271263" s="12" customFormat="1" x14ac:dyDescent="0.25"/>
    <row r="271264" s="12" customFormat="1" x14ac:dyDescent="0.25"/>
    <row r="271265" s="12" customFormat="1" x14ac:dyDescent="0.25"/>
    <row r="271266" s="12" customFormat="1" x14ac:dyDescent="0.25"/>
    <row r="271267" s="12" customFormat="1" x14ac:dyDescent="0.25"/>
    <row r="271268" s="12" customFormat="1" x14ac:dyDescent="0.25"/>
    <row r="271269" s="12" customFormat="1" x14ac:dyDescent="0.25"/>
    <row r="271270" s="12" customFormat="1" x14ac:dyDescent="0.25"/>
    <row r="271271" s="12" customFormat="1" x14ac:dyDescent="0.25"/>
    <row r="271272" s="12" customFormat="1" x14ac:dyDescent="0.25"/>
    <row r="271273" s="12" customFormat="1" x14ac:dyDescent="0.25"/>
    <row r="271274" s="12" customFormat="1" x14ac:dyDescent="0.25"/>
    <row r="271275" s="12" customFormat="1" x14ac:dyDescent="0.25"/>
    <row r="271276" s="12" customFormat="1" x14ac:dyDescent="0.25"/>
    <row r="271277" s="12" customFormat="1" x14ac:dyDescent="0.25"/>
    <row r="271278" s="12" customFormat="1" x14ac:dyDescent="0.25"/>
    <row r="271279" s="12" customFormat="1" x14ac:dyDescent="0.25"/>
    <row r="271280" s="12" customFormat="1" x14ac:dyDescent="0.25"/>
    <row r="271281" s="12" customFormat="1" x14ac:dyDescent="0.25"/>
    <row r="271282" s="12" customFormat="1" x14ac:dyDescent="0.25"/>
    <row r="271283" s="12" customFormat="1" x14ac:dyDescent="0.25"/>
    <row r="271284" s="12" customFormat="1" x14ac:dyDescent="0.25"/>
    <row r="271285" s="12" customFormat="1" x14ac:dyDescent="0.25"/>
    <row r="271286" s="12" customFormat="1" x14ac:dyDescent="0.25"/>
    <row r="271287" s="12" customFormat="1" x14ac:dyDescent="0.25"/>
    <row r="271288" s="12" customFormat="1" x14ac:dyDescent="0.25"/>
    <row r="271289" s="12" customFormat="1" x14ac:dyDescent="0.25"/>
    <row r="271290" s="12" customFormat="1" x14ac:dyDescent="0.25"/>
    <row r="271291" s="12" customFormat="1" x14ac:dyDescent="0.25"/>
    <row r="271292" s="12" customFormat="1" x14ac:dyDescent="0.25"/>
    <row r="271293" s="12" customFormat="1" x14ac:dyDescent="0.25"/>
    <row r="271294" s="12" customFormat="1" x14ac:dyDescent="0.25"/>
    <row r="271295" s="12" customFormat="1" x14ac:dyDescent="0.25"/>
    <row r="271296" s="12" customFormat="1" x14ac:dyDescent="0.25"/>
    <row r="271297" s="12" customFormat="1" x14ac:dyDescent="0.25"/>
    <row r="271298" s="12" customFormat="1" x14ac:dyDescent="0.25"/>
    <row r="271299" s="12" customFormat="1" x14ac:dyDescent="0.25"/>
    <row r="271300" s="12" customFormat="1" x14ac:dyDescent="0.25"/>
    <row r="271301" s="12" customFormat="1" x14ac:dyDescent="0.25"/>
    <row r="271302" s="12" customFormat="1" x14ac:dyDescent="0.25"/>
    <row r="271303" s="12" customFormat="1" x14ac:dyDescent="0.25"/>
    <row r="271304" s="12" customFormat="1" x14ac:dyDescent="0.25"/>
    <row r="271305" s="12" customFormat="1" x14ac:dyDescent="0.25"/>
    <row r="271306" s="12" customFormat="1" x14ac:dyDescent="0.25"/>
    <row r="271307" s="12" customFormat="1" x14ac:dyDescent="0.25"/>
    <row r="271308" s="12" customFormat="1" x14ac:dyDescent="0.25"/>
    <row r="271309" s="12" customFormat="1" x14ac:dyDescent="0.25"/>
    <row r="271310" s="12" customFormat="1" x14ac:dyDescent="0.25"/>
    <row r="271311" s="12" customFormat="1" x14ac:dyDescent="0.25"/>
    <row r="271312" s="12" customFormat="1" x14ac:dyDescent="0.25"/>
    <row r="271313" s="12" customFormat="1" x14ac:dyDescent="0.25"/>
    <row r="271314" s="12" customFormat="1" x14ac:dyDescent="0.25"/>
    <row r="271315" s="12" customFormat="1" x14ac:dyDescent="0.25"/>
    <row r="271316" s="12" customFormat="1" x14ac:dyDescent="0.25"/>
    <row r="271317" s="12" customFormat="1" x14ac:dyDescent="0.25"/>
    <row r="271318" s="12" customFormat="1" x14ac:dyDescent="0.25"/>
    <row r="271319" s="12" customFormat="1" x14ac:dyDescent="0.25"/>
    <row r="271320" s="12" customFormat="1" x14ac:dyDescent="0.25"/>
    <row r="271321" s="12" customFormat="1" x14ac:dyDescent="0.25"/>
    <row r="271322" s="12" customFormat="1" x14ac:dyDescent="0.25"/>
    <row r="271323" s="12" customFormat="1" x14ac:dyDescent="0.25"/>
    <row r="271324" s="12" customFormat="1" x14ac:dyDescent="0.25"/>
    <row r="271325" s="12" customFormat="1" x14ac:dyDescent="0.25"/>
    <row r="271326" s="12" customFormat="1" x14ac:dyDescent="0.25"/>
    <row r="271327" s="12" customFormat="1" x14ac:dyDescent="0.25"/>
    <row r="271328" s="12" customFormat="1" x14ac:dyDescent="0.25"/>
    <row r="271329" s="12" customFormat="1" x14ac:dyDescent="0.25"/>
    <row r="271330" s="12" customFormat="1" x14ac:dyDescent="0.25"/>
    <row r="271331" s="12" customFormat="1" x14ac:dyDescent="0.25"/>
    <row r="271332" s="12" customFormat="1" x14ac:dyDescent="0.25"/>
    <row r="271333" s="12" customFormat="1" x14ac:dyDescent="0.25"/>
    <row r="271334" s="12" customFormat="1" x14ac:dyDescent="0.25"/>
    <row r="271335" s="12" customFormat="1" x14ac:dyDescent="0.25"/>
    <row r="271336" s="12" customFormat="1" x14ac:dyDescent="0.25"/>
    <row r="271337" s="12" customFormat="1" x14ac:dyDescent="0.25"/>
    <row r="271338" s="12" customFormat="1" x14ac:dyDescent="0.25"/>
    <row r="271339" s="12" customFormat="1" x14ac:dyDescent="0.25"/>
    <row r="271340" s="12" customFormat="1" x14ac:dyDescent="0.25"/>
    <row r="271341" s="12" customFormat="1" x14ac:dyDescent="0.25"/>
    <row r="271342" s="12" customFormat="1" x14ac:dyDescent="0.25"/>
    <row r="271343" s="12" customFormat="1" x14ac:dyDescent="0.25"/>
    <row r="271344" s="12" customFormat="1" x14ac:dyDescent="0.25"/>
    <row r="271345" s="12" customFormat="1" x14ac:dyDescent="0.25"/>
    <row r="271346" s="12" customFormat="1" x14ac:dyDescent="0.25"/>
    <row r="271347" s="12" customFormat="1" x14ac:dyDescent="0.25"/>
    <row r="271348" s="12" customFormat="1" x14ac:dyDescent="0.25"/>
    <row r="271349" s="12" customFormat="1" x14ac:dyDescent="0.25"/>
    <row r="271350" s="12" customFormat="1" x14ac:dyDescent="0.25"/>
    <row r="271351" s="12" customFormat="1" x14ac:dyDescent="0.25"/>
    <row r="271352" s="12" customFormat="1" x14ac:dyDescent="0.25"/>
    <row r="271353" s="12" customFormat="1" x14ac:dyDescent="0.25"/>
    <row r="271354" s="12" customFormat="1" x14ac:dyDescent="0.25"/>
    <row r="271355" s="12" customFormat="1" x14ac:dyDescent="0.25"/>
    <row r="271356" s="12" customFormat="1" x14ac:dyDescent="0.25"/>
    <row r="271357" s="12" customFormat="1" x14ac:dyDescent="0.25"/>
    <row r="271358" s="12" customFormat="1" x14ac:dyDescent="0.25"/>
    <row r="271359" s="12" customFormat="1" x14ac:dyDescent="0.25"/>
    <row r="271360" s="12" customFormat="1" x14ac:dyDescent="0.25"/>
    <row r="271361" s="12" customFormat="1" x14ac:dyDescent="0.25"/>
    <row r="271362" s="12" customFormat="1" x14ac:dyDescent="0.25"/>
    <row r="271363" s="12" customFormat="1" x14ac:dyDescent="0.25"/>
    <row r="271364" s="12" customFormat="1" x14ac:dyDescent="0.25"/>
    <row r="271365" s="12" customFormat="1" x14ac:dyDescent="0.25"/>
    <row r="271366" s="12" customFormat="1" x14ac:dyDescent="0.25"/>
    <row r="271367" s="12" customFormat="1" x14ac:dyDescent="0.25"/>
    <row r="271368" s="12" customFormat="1" x14ac:dyDescent="0.25"/>
    <row r="271369" s="12" customFormat="1" x14ac:dyDescent="0.25"/>
    <row r="271370" s="12" customFormat="1" x14ac:dyDescent="0.25"/>
    <row r="271371" s="12" customFormat="1" x14ac:dyDescent="0.25"/>
    <row r="271372" s="12" customFormat="1" x14ac:dyDescent="0.25"/>
    <row r="271373" s="12" customFormat="1" x14ac:dyDescent="0.25"/>
    <row r="271374" s="12" customFormat="1" x14ac:dyDescent="0.25"/>
    <row r="271375" s="12" customFormat="1" x14ac:dyDescent="0.25"/>
    <row r="271376" s="12" customFormat="1" x14ac:dyDescent="0.25"/>
    <row r="271377" s="12" customFormat="1" x14ac:dyDescent="0.25"/>
    <row r="271378" s="12" customFormat="1" x14ac:dyDescent="0.25"/>
    <row r="271379" s="12" customFormat="1" x14ac:dyDescent="0.25"/>
    <row r="271380" s="12" customFormat="1" x14ac:dyDescent="0.25"/>
    <row r="271381" s="12" customFormat="1" x14ac:dyDescent="0.25"/>
    <row r="271382" s="12" customFormat="1" x14ac:dyDescent="0.25"/>
    <row r="271383" s="12" customFormat="1" x14ac:dyDescent="0.25"/>
    <row r="271384" s="12" customFormat="1" x14ac:dyDescent="0.25"/>
    <row r="271385" s="12" customFormat="1" x14ac:dyDescent="0.25"/>
    <row r="271386" s="12" customFormat="1" x14ac:dyDescent="0.25"/>
    <row r="271387" s="12" customFormat="1" x14ac:dyDescent="0.25"/>
    <row r="271388" s="12" customFormat="1" x14ac:dyDescent="0.25"/>
    <row r="271389" s="12" customFormat="1" x14ac:dyDescent="0.25"/>
    <row r="271390" s="12" customFormat="1" x14ac:dyDescent="0.25"/>
    <row r="271391" s="12" customFormat="1" x14ac:dyDescent="0.25"/>
    <row r="271392" s="12" customFormat="1" x14ac:dyDescent="0.25"/>
    <row r="271393" s="12" customFormat="1" x14ac:dyDescent="0.25"/>
    <row r="271394" s="12" customFormat="1" x14ac:dyDescent="0.25"/>
    <row r="271395" s="12" customFormat="1" x14ac:dyDescent="0.25"/>
    <row r="271396" s="12" customFormat="1" x14ac:dyDescent="0.25"/>
    <row r="271397" s="12" customFormat="1" x14ac:dyDescent="0.25"/>
    <row r="271398" s="12" customFormat="1" x14ac:dyDescent="0.25"/>
    <row r="271399" s="12" customFormat="1" x14ac:dyDescent="0.25"/>
    <row r="271400" s="12" customFormat="1" x14ac:dyDescent="0.25"/>
    <row r="271401" s="12" customFormat="1" x14ac:dyDescent="0.25"/>
    <row r="271402" s="12" customFormat="1" x14ac:dyDescent="0.25"/>
    <row r="271403" s="12" customFormat="1" x14ac:dyDescent="0.25"/>
    <row r="271404" s="12" customFormat="1" x14ac:dyDescent="0.25"/>
    <row r="271405" s="12" customFormat="1" x14ac:dyDescent="0.25"/>
    <row r="271406" s="12" customFormat="1" x14ac:dyDescent="0.25"/>
    <row r="271407" s="12" customFormat="1" x14ac:dyDescent="0.25"/>
    <row r="271408" s="12" customFormat="1" x14ac:dyDescent="0.25"/>
    <row r="271409" s="12" customFormat="1" x14ac:dyDescent="0.25"/>
    <row r="271410" s="12" customFormat="1" x14ac:dyDescent="0.25"/>
    <row r="271411" s="12" customFormat="1" x14ac:dyDescent="0.25"/>
    <row r="271412" s="12" customFormat="1" x14ac:dyDescent="0.25"/>
    <row r="271413" s="12" customFormat="1" x14ac:dyDescent="0.25"/>
    <row r="271414" s="12" customFormat="1" x14ac:dyDescent="0.25"/>
    <row r="271415" s="12" customFormat="1" x14ac:dyDescent="0.25"/>
    <row r="271416" s="12" customFormat="1" x14ac:dyDescent="0.25"/>
    <row r="271417" s="12" customFormat="1" x14ac:dyDescent="0.25"/>
    <row r="271418" s="12" customFormat="1" x14ac:dyDescent="0.25"/>
    <row r="271419" s="12" customFormat="1" x14ac:dyDescent="0.25"/>
    <row r="271420" s="12" customFormat="1" x14ac:dyDescent="0.25"/>
    <row r="271421" s="12" customFormat="1" x14ac:dyDescent="0.25"/>
    <row r="271422" s="12" customFormat="1" x14ac:dyDescent="0.25"/>
    <row r="271423" s="12" customFormat="1" x14ac:dyDescent="0.25"/>
    <row r="271424" s="12" customFormat="1" x14ac:dyDescent="0.25"/>
    <row r="271425" s="12" customFormat="1" x14ac:dyDescent="0.25"/>
    <row r="271426" s="12" customFormat="1" x14ac:dyDescent="0.25"/>
    <row r="271427" s="12" customFormat="1" x14ac:dyDescent="0.25"/>
    <row r="271428" s="12" customFormat="1" x14ac:dyDescent="0.25"/>
    <row r="271429" s="12" customFormat="1" x14ac:dyDescent="0.25"/>
    <row r="271430" s="12" customFormat="1" x14ac:dyDescent="0.25"/>
    <row r="271431" s="12" customFormat="1" x14ac:dyDescent="0.25"/>
    <row r="271432" s="12" customFormat="1" x14ac:dyDescent="0.25"/>
    <row r="271433" s="12" customFormat="1" x14ac:dyDescent="0.25"/>
    <row r="271434" s="12" customFormat="1" x14ac:dyDescent="0.25"/>
    <row r="271435" s="12" customFormat="1" x14ac:dyDescent="0.25"/>
    <row r="271436" s="12" customFormat="1" x14ac:dyDescent="0.25"/>
    <row r="271437" s="12" customFormat="1" x14ac:dyDescent="0.25"/>
    <row r="271438" s="12" customFormat="1" x14ac:dyDescent="0.25"/>
    <row r="271439" s="12" customFormat="1" x14ac:dyDescent="0.25"/>
    <row r="271440" s="12" customFormat="1" x14ac:dyDescent="0.25"/>
    <row r="271441" s="12" customFormat="1" x14ac:dyDescent="0.25"/>
    <row r="271442" s="12" customFormat="1" x14ac:dyDescent="0.25"/>
    <row r="271443" s="12" customFormat="1" x14ac:dyDescent="0.25"/>
    <row r="271444" s="12" customFormat="1" x14ac:dyDescent="0.25"/>
    <row r="271445" s="12" customFormat="1" x14ac:dyDescent="0.25"/>
    <row r="271446" s="12" customFormat="1" x14ac:dyDescent="0.25"/>
    <row r="271447" s="12" customFormat="1" x14ac:dyDescent="0.25"/>
    <row r="271448" s="12" customFormat="1" x14ac:dyDescent="0.25"/>
    <row r="271449" s="12" customFormat="1" x14ac:dyDescent="0.25"/>
    <row r="271450" s="12" customFormat="1" x14ac:dyDescent="0.25"/>
    <row r="271451" s="12" customFormat="1" x14ac:dyDescent="0.25"/>
    <row r="271452" s="12" customFormat="1" x14ac:dyDescent="0.25"/>
    <row r="271453" s="12" customFormat="1" x14ac:dyDescent="0.25"/>
    <row r="271454" s="12" customFormat="1" x14ac:dyDescent="0.25"/>
    <row r="271455" s="12" customFormat="1" x14ac:dyDescent="0.25"/>
    <row r="271456" s="12" customFormat="1" x14ac:dyDescent="0.25"/>
    <row r="271457" s="12" customFormat="1" x14ac:dyDescent="0.25"/>
    <row r="271458" s="12" customFormat="1" x14ac:dyDescent="0.25"/>
    <row r="271459" s="12" customFormat="1" x14ac:dyDescent="0.25"/>
    <row r="271460" s="12" customFormat="1" x14ac:dyDescent="0.25"/>
    <row r="271461" s="12" customFormat="1" x14ac:dyDescent="0.25"/>
    <row r="271462" s="12" customFormat="1" x14ac:dyDescent="0.25"/>
    <row r="271463" s="12" customFormat="1" x14ac:dyDescent="0.25"/>
    <row r="271464" s="12" customFormat="1" x14ac:dyDescent="0.25"/>
    <row r="271465" s="12" customFormat="1" x14ac:dyDescent="0.25"/>
    <row r="271466" s="12" customFormat="1" x14ac:dyDescent="0.25"/>
    <row r="271467" s="12" customFormat="1" x14ac:dyDescent="0.25"/>
    <row r="271468" s="12" customFormat="1" x14ac:dyDescent="0.25"/>
    <row r="271469" s="12" customFormat="1" x14ac:dyDescent="0.25"/>
    <row r="271470" s="12" customFormat="1" x14ac:dyDescent="0.25"/>
    <row r="271471" s="12" customFormat="1" x14ac:dyDescent="0.25"/>
    <row r="271472" s="12" customFormat="1" x14ac:dyDescent="0.25"/>
    <row r="271473" s="12" customFormat="1" x14ac:dyDescent="0.25"/>
    <row r="271474" s="12" customFormat="1" x14ac:dyDescent="0.25"/>
    <row r="271475" s="12" customFormat="1" x14ac:dyDescent="0.25"/>
    <row r="271476" s="12" customFormat="1" x14ac:dyDescent="0.25"/>
    <row r="271477" s="12" customFormat="1" x14ac:dyDescent="0.25"/>
    <row r="271478" s="12" customFormat="1" x14ac:dyDescent="0.25"/>
    <row r="271479" s="12" customFormat="1" x14ac:dyDescent="0.25"/>
    <row r="271480" s="12" customFormat="1" x14ac:dyDescent="0.25"/>
    <row r="271481" s="12" customFormat="1" x14ac:dyDescent="0.25"/>
    <row r="271482" s="12" customFormat="1" x14ac:dyDescent="0.25"/>
    <row r="271483" s="12" customFormat="1" x14ac:dyDescent="0.25"/>
    <row r="271484" s="12" customFormat="1" x14ac:dyDescent="0.25"/>
    <row r="271485" s="12" customFormat="1" x14ac:dyDescent="0.25"/>
    <row r="271486" s="12" customFormat="1" x14ac:dyDescent="0.25"/>
    <row r="271487" s="12" customFormat="1" x14ac:dyDescent="0.25"/>
    <row r="271488" s="12" customFormat="1" x14ac:dyDescent="0.25"/>
    <row r="271489" s="12" customFormat="1" x14ac:dyDescent="0.25"/>
    <row r="271490" s="12" customFormat="1" x14ac:dyDescent="0.25"/>
    <row r="271491" s="12" customFormat="1" x14ac:dyDescent="0.25"/>
    <row r="271492" s="12" customFormat="1" x14ac:dyDescent="0.25"/>
    <row r="271493" s="12" customFormat="1" x14ac:dyDescent="0.25"/>
    <row r="271494" s="12" customFormat="1" x14ac:dyDescent="0.25"/>
    <row r="271495" s="12" customFormat="1" x14ac:dyDescent="0.25"/>
    <row r="271496" s="12" customFormat="1" x14ac:dyDescent="0.25"/>
    <row r="271497" s="12" customFormat="1" x14ac:dyDescent="0.25"/>
    <row r="271498" s="12" customFormat="1" x14ac:dyDescent="0.25"/>
    <row r="271499" s="12" customFormat="1" x14ac:dyDescent="0.25"/>
    <row r="271500" s="12" customFormat="1" x14ac:dyDescent="0.25"/>
    <row r="271501" s="12" customFormat="1" x14ac:dyDescent="0.25"/>
    <row r="271502" s="12" customFormat="1" x14ac:dyDescent="0.25"/>
    <row r="271503" s="12" customFormat="1" x14ac:dyDescent="0.25"/>
    <row r="271504" s="12" customFormat="1" x14ac:dyDescent="0.25"/>
    <row r="271505" s="12" customFormat="1" x14ac:dyDescent="0.25"/>
    <row r="271506" s="12" customFormat="1" x14ac:dyDescent="0.25"/>
    <row r="271507" s="12" customFormat="1" x14ac:dyDescent="0.25"/>
    <row r="271508" s="12" customFormat="1" x14ac:dyDescent="0.25"/>
    <row r="271509" s="12" customFormat="1" x14ac:dyDescent="0.25"/>
    <row r="271510" s="12" customFormat="1" x14ac:dyDescent="0.25"/>
    <row r="271511" s="12" customFormat="1" x14ac:dyDescent="0.25"/>
    <row r="271512" s="12" customFormat="1" x14ac:dyDescent="0.25"/>
    <row r="271513" s="12" customFormat="1" x14ac:dyDescent="0.25"/>
    <row r="271514" s="12" customFormat="1" x14ac:dyDescent="0.25"/>
    <row r="271515" s="12" customFormat="1" x14ac:dyDescent="0.25"/>
    <row r="271516" s="12" customFormat="1" x14ac:dyDescent="0.25"/>
    <row r="271517" s="12" customFormat="1" x14ac:dyDescent="0.25"/>
    <row r="271518" s="12" customFormat="1" x14ac:dyDescent="0.25"/>
    <row r="271519" s="12" customFormat="1" x14ac:dyDescent="0.25"/>
    <row r="271520" s="12" customFormat="1" x14ac:dyDescent="0.25"/>
    <row r="271521" s="12" customFormat="1" x14ac:dyDescent="0.25"/>
    <row r="271522" s="12" customFormat="1" x14ac:dyDescent="0.25"/>
    <row r="271523" s="12" customFormat="1" x14ac:dyDescent="0.25"/>
    <row r="271524" s="12" customFormat="1" x14ac:dyDescent="0.25"/>
    <row r="271525" s="12" customFormat="1" x14ac:dyDescent="0.25"/>
    <row r="271526" s="12" customFormat="1" x14ac:dyDescent="0.25"/>
    <row r="271527" s="12" customFormat="1" x14ac:dyDescent="0.25"/>
    <row r="271528" s="12" customFormat="1" x14ac:dyDescent="0.25"/>
    <row r="271529" s="12" customFormat="1" x14ac:dyDescent="0.25"/>
    <row r="271530" s="12" customFormat="1" x14ac:dyDescent="0.25"/>
    <row r="271531" s="12" customFormat="1" x14ac:dyDescent="0.25"/>
    <row r="271532" s="12" customFormat="1" x14ac:dyDescent="0.25"/>
    <row r="271533" s="12" customFormat="1" x14ac:dyDescent="0.25"/>
    <row r="271534" s="12" customFormat="1" x14ac:dyDescent="0.25"/>
    <row r="271535" s="12" customFormat="1" x14ac:dyDescent="0.25"/>
    <row r="271536" s="12" customFormat="1" x14ac:dyDescent="0.25"/>
    <row r="271537" s="12" customFormat="1" x14ac:dyDescent="0.25"/>
    <row r="271538" s="12" customFormat="1" x14ac:dyDescent="0.25"/>
    <row r="271539" s="12" customFormat="1" x14ac:dyDescent="0.25"/>
    <row r="271540" s="12" customFormat="1" x14ac:dyDescent="0.25"/>
    <row r="271541" s="12" customFormat="1" x14ac:dyDescent="0.25"/>
    <row r="271542" s="12" customFormat="1" x14ac:dyDescent="0.25"/>
    <row r="271543" s="12" customFormat="1" x14ac:dyDescent="0.25"/>
    <row r="271544" s="12" customFormat="1" x14ac:dyDescent="0.25"/>
    <row r="271545" s="12" customFormat="1" x14ac:dyDescent="0.25"/>
    <row r="271546" s="12" customFormat="1" x14ac:dyDescent="0.25"/>
    <row r="271547" s="12" customFormat="1" x14ac:dyDescent="0.25"/>
    <row r="271548" s="12" customFormat="1" x14ac:dyDescent="0.25"/>
    <row r="271549" s="12" customFormat="1" x14ac:dyDescent="0.25"/>
    <row r="271550" s="12" customFormat="1" x14ac:dyDescent="0.25"/>
    <row r="271551" s="12" customFormat="1" x14ac:dyDescent="0.25"/>
    <row r="271552" s="12" customFormat="1" x14ac:dyDescent="0.25"/>
    <row r="271553" s="12" customFormat="1" x14ac:dyDescent="0.25"/>
    <row r="271554" s="12" customFormat="1" x14ac:dyDescent="0.25"/>
    <row r="271555" s="12" customFormat="1" x14ac:dyDescent="0.25"/>
    <row r="271556" s="12" customFormat="1" x14ac:dyDescent="0.25"/>
    <row r="271557" s="12" customFormat="1" x14ac:dyDescent="0.25"/>
    <row r="271558" s="12" customFormat="1" x14ac:dyDescent="0.25"/>
    <row r="271559" s="12" customFormat="1" x14ac:dyDescent="0.25"/>
    <row r="271560" s="12" customFormat="1" x14ac:dyDescent="0.25"/>
    <row r="271561" s="12" customFormat="1" x14ac:dyDescent="0.25"/>
    <row r="271562" s="12" customFormat="1" x14ac:dyDescent="0.25"/>
    <row r="271563" s="12" customFormat="1" x14ac:dyDescent="0.25"/>
    <row r="271564" s="12" customFormat="1" x14ac:dyDescent="0.25"/>
    <row r="271565" s="12" customFormat="1" x14ac:dyDescent="0.25"/>
    <row r="271566" s="12" customFormat="1" x14ac:dyDescent="0.25"/>
    <row r="271567" s="12" customFormat="1" x14ac:dyDescent="0.25"/>
    <row r="271568" s="12" customFormat="1" x14ac:dyDescent="0.25"/>
    <row r="271569" s="12" customFormat="1" x14ac:dyDescent="0.25"/>
    <row r="271570" s="12" customFormat="1" x14ac:dyDescent="0.25"/>
    <row r="271571" s="12" customFormat="1" x14ac:dyDescent="0.25"/>
    <row r="271572" s="12" customFormat="1" x14ac:dyDescent="0.25"/>
    <row r="271573" s="12" customFormat="1" x14ac:dyDescent="0.25"/>
    <row r="271574" s="12" customFormat="1" x14ac:dyDescent="0.25"/>
    <row r="271575" s="12" customFormat="1" x14ac:dyDescent="0.25"/>
    <row r="271576" s="12" customFormat="1" x14ac:dyDescent="0.25"/>
    <row r="271577" s="12" customFormat="1" x14ac:dyDescent="0.25"/>
    <row r="271578" s="12" customFormat="1" x14ac:dyDescent="0.25"/>
    <row r="271579" s="12" customFormat="1" x14ac:dyDescent="0.25"/>
    <row r="271580" s="12" customFormat="1" x14ac:dyDescent="0.25"/>
    <row r="271581" s="12" customFormat="1" x14ac:dyDescent="0.25"/>
    <row r="271582" s="12" customFormat="1" x14ac:dyDescent="0.25"/>
    <row r="271583" s="12" customFormat="1" x14ac:dyDescent="0.25"/>
    <row r="271584" s="12" customFormat="1" x14ac:dyDescent="0.25"/>
    <row r="271585" s="12" customFormat="1" x14ac:dyDescent="0.25"/>
    <row r="271586" s="12" customFormat="1" x14ac:dyDescent="0.25"/>
    <row r="271587" s="12" customFormat="1" x14ac:dyDescent="0.25"/>
    <row r="271588" s="12" customFormat="1" x14ac:dyDescent="0.25"/>
    <row r="271589" s="12" customFormat="1" x14ac:dyDescent="0.25"/>
    <row r="271590" s="12" customFormat="1" x14ac:dyDescent="0.25"/>
    <row r="271591" s="12" customFormat="1" x14ac:dyDescent="0.25"/>
    <row r="271592" s="12" customFormat="1" x14ac:dyDescent="0.25"/>
    <row r="271593" s="12" customFormat="1" x14ac:dyDescent="0.25"/>
    <row r="271594" s="12" customFormat="1" x14ac:dyDescent="0.25"/>
    <row r="271595" s="12" customFormat="1" x14ac:dyDescent="0.25"/>
    <row r="271596" s="12" customFormat="1" x14ac:dyDescent="0.25"/>
    <row r="271597" s="12" customFormat="1" x14ac:dyDescent="0.25"/>
    <row r="271598" s="12" customFormat="1" x14ac:dyDescent="0.25"/>
    <row r="271599" s="12" customFormat="1" x14ac:dyDescent="0.25"/>
    <row r="271600" s="12" customFormat="1" x14ac:dyDescent="0.25"/>
    <row r="271601" s="12" customFormat="1" x14ac:dyDescent="0.25"/>
    <row r="271602" s="12" customFormat="1" x14ac:dyDescent="0.25"/>
    <row r="271603" s="12" customFormat="1" x14ac:dyDescent="0.25"/>
    <row r="271604" s="12" customFormat="1" x14ac:dyDescent="0.25"/>
    <row r="271605" s="12" customFormat="1" x14ac:dyDescent="0.25"/>
    <row r="271606" s="12" customFormat="1" x14ac:dyDescent="0.25"/>
    <row r="271607" s="12" customFormat="1" x14ac:dyDescent="0.25"/>
    <row r="271608" s="12" customFormat="1" x14ac:dyDescent="0.25"/>
    <row r="271609" s="12" customFormat="1" x14ac:dyDescent="0.25"/>
    <row r="271610" s="12" customFormat="1" x14ac:dyDescent="0.25"/>
    <row r="271611" s="12" customFormat="1" x14ac:dyDescent="0.25"/>
    <row r="271612" s="12" customFormat="1" x14ac:dyDescent="0.25"/>
    <row r="271613" s="12" customFormat="1" x14ac:dyDescent="0.25"/>
    <row r="271614" s="12" customFormat="1" x14ac:dyDescent="0.25"/>
    <row r="271615" s="12" customFormat="1" x14ac:dyDescent="0.25"/>
    <row r="271616" s="12" customFormat="1" x14ac:dyDescent="0.25"/>
    <row r="271617" s="12" customFormat="1" x14ac:dyDescent="0.25"/>
    <row r="271618" s="12" customFormat="1" x14ac:dyDescent="0.25"/>
    <row r="271619" s="12" customFormat="1" x14ac:dyDescent="0.25"/>
    <row r="271620" s="12" customFormat="1" x14ac:dyDescent="0.25"/>
    <row r="271621" s="12" customFormat="1" x14ac:dyDescent="0.25"/>
    <row r="271622" s="12" customFormat="1" x14ac:dyDescent="0.25"/>
    <row r="271623" s="12" customFormat="1" x14ac:dyDescent="0.25"/>
    <row r="271624" s="12" customFormat="1" x14ac:dyDescent="0.25"/>
    <row r="271625" s="12" customFormat="1" x14ac:dyDescent="0.25"/>
    <row r="271626" s="12" customFormat="1" x14ac:dyDescent="0.25"/>
    <row r="271627" s="12" customFormat="1" x14ac:dyDescent="0.25"/>
    <row r="271628" s="12" customFormat="1" x14ac:dyDescent="0.25"/>
    <row r="271629" s="12" customFormat="1" x14ac:dyDescent="0.25"/>
    <row r="271630" s="12" customFormat="1" x14ac:dyDescent="0.25"/>
    <row r="271631" s="12" customFormat="1" x14ac:dyDescent="0.25"/>
    <row r="271632" s="12" customFormat="1" x14ac:dyDescent="0.25"/>
    <row r="271633" s="12" customFormat="1" x14ac:dyDescent="0.25"/>
    <row r="271634" s="12" customFormat="1" x14ac:dyDescent="0.25"/>
    <row r="271635" s="12" customFormat="1" x14ac:dyDescent="0.25"/>
    <row r="271636" s="12" customFormat="1" x14ac:dyDescent="0.25"/>
    <row r="271637" s="12" customFormat="1" x14ac:dyDescent="0.25"/>
    <row r="271638" s="12" customFormat="1" x14ac:dyDescent="0.25"/>
    <row r="271639" s="12" customFormat="1" x14ac:dyDescent="0.25"/>
    <row r="271640" s="12" customFormat="1" x14ac:dyDescent="0.25"/>
    <row r="271641" s="12" customFormat="1" x14ac:dyDescent="0.25"/>
    <row r="271642" s="12" customFormat="1" x14ac:dyDescent="0.25"/>
    <row r="271643" s="12" customFormat="1" x14ac:dyDescent="0.25"/>
    <row r="271644" s="12" customFormat="1" x14ac:dyDescent="0.25"/>
    <row r="271645" s="12" customFormat="1" x14ac:dyDescent="0.25"/>
    <row r="271646" s="12" customFormat="1" x14ac:dyDescent="0.25"/>
    <row r="271647" s="12" customFormat="1" x14ac:dyDescent="0.25"/>
    <row r="271648" s="12" customFormat="1" x14ac:dyDescent="0.25"/>
    <row r="271649" s="12" customFormat="1" x14ac:dyDescent="0.25"/>
    <row r="271650" s="12" customFormat="1" x14ac:dyDescent="0.25"/>
    <row r="271651" s="12" customFormat="1" x14ac:dyDescent="0.25"/>
    <row r="271652" s="12" customFormat="1" x14ac:dyDescent="0.25"/>
    <row r="271653" s="12" customFormat="1" x14ac:dyDescent="0.25"/>
    <row r="271654" s="12" customFormat="1" x14ac:dyDescent="0.25"/>
    <row r="271655" s="12" customFormat="1" x14ac:dyDescent="0.25"/>
    <row r="271656" s="12" customFormat="1" x14ac:dyDescent="0.25"/>
    <row r="271657" s="12" customFormat="1" x14ac:dyDescent="0.25"/>
    <row r="271658" s="12" customFormat="1" x14ac:dyDescent="0.25"/>
    <row r="271659" s="12" customFormat="1" x14ac:dyDescent="0.25"/>
    <row r="271660" s="12" customFormat="1" x14ac:dyDescent="0.25"/>
    <row r="271661" s="12" customFormat="1" x14ac:dyDescent="0.25"/>
    <row r="271662" s="12" customFormat="1" x14ac:dyDescent="0.25"/>
    <row r="271663" s="12" customFormat="1" x14ac:dyDescent="0.25"/>
    <row r="271664" s="12" customFormat="1" x14ac:dyDescent="0.25"/>
    <row r="271665" s="12" customFormat="1" x14ac:dyDescent="0.25"/>
    <row r="271666" s="12" customFormat="1" x14ac:dyDescent="0.25"/>
    <row r="271667" s="12" customFormat="1" x14ac:dyDescent="0.25"/>
    <row r="271668" s="12" customFormat="1" x14ac:dyDescent="0.25"/>
    <row r="271669" s="12" customFormat="1" x14ac:dyDescent="0.25"/>
    <row r="271670" s="12" customFormat="1" x14ac:dyDescent="0.25"/>
    <row r="271671" s="12" customFormat="1" x14ac:dyDescent="0.25"/>
    <row r="271672" s="12" customFormat="1" x14ac:dyDescent="0.25"/>
    <row r="271673" s="12" customFormat="1" x14ac:dyDescent="0.25"/>
    <row r="271674" s="12" customFormat="1" x14ac:dyDescent="0.25"/>
    <row r="271675" s="12" customFormat="1" x14ac:dyDescent="0.25"/>
    <row r="271676" s="12" customFormat="1" x14ac:dyDescent="0.25"/>
    <row r="271677" s="12" customFormat="1" x14ac:dyDescent="0.25"/>
    <row r="271678" s="12" customFormat="1" x14ac:dyDescent="0.25"/>
    <row r="271679" s="12" customFormat="1" x14ac:dyDescent="0.25"/>
    <row r="271680" s="12" customFormat="1" x14ac:dyDescent="0.25"/>
    <row r="271681" s="12" customFormat="1" x14ac:dyDescent="0.25"/>
    <row r="271682" s="12" customFormat="1" x14ac:dyDescent="0.25"/>
    <row r="271683" s="12" customFormat="1" x14ac:dyDescent="0.25"/>
    <row r="271684" s="12" customFormat="1" x14ac:dyDescent="0.25"/>
    <row r="271685" s="12" customFormat="1" x14ac:dyDescent="0.25"/>
    <row r="271686" s="12" customFormat="1" x14ac:dyDescent="0.25"/>
    <row r="271687" s="12" customFormat="1" x14ac:dyDescent="0.25"/>
    <row r="271688" s="12" customFormat="1" x14ac:dyDescent="0.25"/>
    <row r="271689" s="12" customFormat="1" x14ac:dyDescent="0.25"/>
    <row r="271690" s="12" customFormat="1" x14ac:dyDescent="0.25"/>
    <row r="271691" s="12" customFormat="1" x14ac:dyDescent="0.25"/>
    <row r="271692" s="12" customFormat="1" x14ac:dyDescent="0.25"/>
    <row r="271693" s="12" customFormat="1" x14ac:dyDescent="0.25"/>
    <row r="271694" s="12" customFormat="1" x14ac:dyDescent="0.25"/>
    <row r="271695" s="12" customFormat="1" x14ac:dyDescent="0.25"/>
    <row r="271696" s="12" customFormat="1" x14ac:dyDescent="0.25"/>
    <row r="271697" s="12" customFormat="1" x14ac:dyDescent="0.25"/>
    <row r="271698" s="12" customFormat="1" x14ac:dyDescent="0.25"/>
    <row r="271699" s="12" customFormat="1" x14ac:dyDescent="0.25"/>
    <row r="271700" s="12" customFormat="1" x14ac:dyDescent="0.25"/>
    <row r="271701" s="12" customFormat="1" x14ac:dyDescent="0.25"/>
    <row r="271702" s="12" customFormat="1" x14ac:dyDescent="0.25"/>
    <row r="271703" s="12" customFormat="1" x14ac:dyDescent="0.25"/>
    <row r="271704" s="12" customFormat="1" x14ac:dyDescent="0.25"/>
    <row r="271705" s="12" customFormat="1" x14ac:dyDescent="0.25"/>
    <row r="271706" s="12" customFormat="1" x14ac:dyDescent="0.25"/>
    <row r="271707" s="12" customFormat="1" x14ac:dyDescent="0.25"/>
    <row r="271708" s="12" customFormat="1" x14ac:dyDescent="0.25"/>
    <row r="271709" s="12" customFormat="1" x14ac:dyDescent="0.25"/>
    <row r="271710" s="12" customFormat="1" x14ac:dyDescent="0.25"/>
    <row r="271711" s="12" customFormat="1" x14ac:dyDescent="0.25"/>
    <row r="271712" s="12" customFormat="1" x14ac:dyDescent="0.25"/>
    <row r="271713" s="12" customFormat="1" x14ac:dyDescent="0.25"/>
    <row r="271714" s="12" customFormat="1" x14ac:dyDescent="0.25"/>
    <row r="271715" s="12" customFormat="1" x14ac:dyDescent="0.25"/>
    <row r="271716" s="12" customFormat="1" x14ac:dyDescent="0.25"/>
    <row r="271717" s="12" customFormat="1" x14ac:dyDescent="0.25"/>
    <row r="271718" s="12" customFormat="1" x14ac:dyDescent="0.25"/>
    <row r="271719" s="12" customFormat="1" x14ac:dyDescent="0.25"/>
    <row r="271720" s="12" customFormat="1" x14ac:dyDescent="0.25"/>
    <row r="271721" s="12" customFormat="1" x14ac:dyDescent="0.25"/>
    <row r="271722" s="12" customFormat="1" x14ac:dyDescent="0.25"/>
    <row r="271723" s="12" customFormat="1" x14ac:dyDescent="0.25"/>
    <row r="271724" s="12" customFormat="1" x14ac:dyDescent="0.25"/>
    <row r="271725" s="12" customFormat="1" x14ac:dyDescent="0.25"/>
    <row r="271726" s="12" customFormat="1" x14ac:dyDescent="0.25"/>
    <row r="271727" s="12" customFormat="1" x14ac:dyDescent="0.25"/>
    <row r="271728" s="12" customFormat="1" x14ac:dyDescent="0.25"/>
    <row r="271729" s="12" customFormat="1" x14ac:dyDescent="0.25"/>
    <row r="271730" s="12" customFormat="1" x14ac:dyDescent="0.25"/>
    <row r="271731" s="12" customFormat="1" x14ac:dyDescent="0.25"/>
    <row r="271732" s="12" customFormat="1" x14ac:dyDescent="0.25"/>
    <row r="271733" s="12" customFormat="1" x14ac:dyDescent="0.25"/>
    <row r="271734" s="12" customFormat="1" x14ac:dyDescent="0.25"/>
    <row r="271735" s="12" customFormat="1" x14ac:dyDescent="0.25"/>
    <row r="271736" s="12" customFormat="1" x14ac:dyDescent="0.25"/>
    <row r="271737" s="12" customFormat="1" x14ac:dyDescent="0.25"/>
    <row r="271738" s="12" customFormat="1" x14ac:dyDescent="0.25"/>
    <row r="271739" s="12" customFormat="1" x14ac:dyDescent="0.25"/>
    <row r="271740" s="12" customFormat="1" x14ac:dyDescent="0.25"/>
    <row r="271741" s="12" customFormat="1" x14ac:dyDescent="0.25"/>
    <row r="271742" s="12" customFormat="1" x14ac:dyDescent="0.25"/>
    <row r="271743" s="12" customFormat="1" x14ac:dyDescent="0.25"/>
    <row r="271744" s="12" customFormat="1" x14ac:dyDescent="0.25"/>
    <row r="271745" s="12" customFormat="1" x14ac:dyDescent="0.25"/>
    <row r="271746" s="12" customFormat="1" x14ac:dyDescent="0.25"/>
    <row r="271747" s="12" customFormat="1" x14ac:dyDescent="0.25"/>
    <row r="271748" s="12" customFormat="1" x14ac:dyDescent="0.25"/>
    <row r="271749" s="12" customFormat="1" x14ac:dyDescent="0.25"/>
    <row r="271750" s="12" customFormat="1" x14ac:dyDescent="0.25"/>
    <row r="271751" s="12" customFormat="1" x14ac:dyDescent="0.25"/>
    <row r="271752" s="12" customFormat="1" x14ac:dyDescent="0.25"/>
    <row r="271753" s="12" customFormat="1" x14ac:dyDescent="0.25"/>
    <row r="271754" s="12" customFormat="1" x14ac:dyDescent="0.25"/>
    <row r="271755" s="12" customFormat="1" x14ac:dyDescent="0.25"/>
    <row r="271756" s="12" customFormat="1" x14ac:dyDescent="0.25"/>
    <row r="271757" s="12" customFormat="1" x14ac:dyDescent="0.25"/>
    <row r="271758" s="12" customFormat="1" x14ac:dyDescent="0.25"/>
    <row r="271759" s="12" customFormat="1" x14ac:dyDescent="0.25"/>
    <row r="271760" s="12" customFormat="1" x14ac:dyDescent="0.25"/>
    <row r="271761" s="12" customFormat="1" x14ac:dyDescent="0.25"/>
    <row r="271762" s="12" customFormat="1" x14ac:dyDescent="0.25"/>
    <row r="271763" s="12" customFormat="1" x14ac:dyDescent="0.25"/>
    <row r="271764" s="12" customFormat="1" x14ac:dyDescent="0.25"/>
    <row r="271765" s="12" customFormat="1" x14ac:dyDescent="0.25"/>
    <row r="271766" s="12" customFormat="1" x14ac:dyDescent="0.25"/>
    <row r="271767" s="12" customFormat="1" x14ac:dyDescent="0.25"/>
    <row r="271768" s="12" customFormat="1" x14ac:dyDescent="0.25"/>
    <row r="271769" s="12" customFormat="1" x14ac:dyDescent="0.25"/>
    <row r="271770" s="12" customFormat="1" x14ac:dyDescent="0.25"/>
    <row r="271771" s="12" customFormat="1" x14ac:dyDescent="0.25"/>
    <row r="271772" s="12" customFormat="1" x14ac:dyDescent="0.25"/>
    <row r="271773" s="12" customFormat="1" x14ac:dyDescent="0.25"/>
    <row r="271774" s="12" customFormat="1" x14ac:dyDescent="0.25"/>
    <row r="271775" s="12" customFormat="1" x14ac:dyDescent="0.25"/>
    <row r="271776" s="12" customFormat="1" x14ac:dyDescent="0.25"/>
    <row r="271777" s="12" customFormat="1" x14ac:dyDescent="0.25"/>
    <row r="271778" s="12" customFormat="1" x14ac:dyDescent="0.25"/>
    <row r="271779" s="12" customFormat="1" x14ac:dyDescent="0.25"/>
    <row r="271780" s="12" customFormat="1" x14ac:dyDescent="0.25"/>
    <row r="271781" s="12" customFormat="1" x14ac:dyDescent="0.25"/>
    <row r="271782" s="12" customFormat="1" x14ac:dyDescent="0.25"/>
    <row r="271783" s="12" customFormat="1" x14ac:dyDescent="0.25"/>
    <row r="271784" s="12" customFormat="1" x14ac:dyDescent="0.25"/>
    <row r="271785" s="12" customFormat="1" x14ac:dyDescent="0.25"/>
    <row r="271786" s="12" customFormat="1" x14ac:dyDescent="0.25"/>
    <row r="271787" s="12" customFormat="1" x14ac:dyDescent="0.25"/>
    <row r="271788" s="12" customFormat="1" x14ac:dyDescent="0.25"/>
    <row r="271789" s="12" customFormat="1" x14ac:dyDescent="0.25"/>
    <row r="271790" s="12" customFormat="1" x14ac:dyDescent="0.25"/>
    <row r="271791" s="12" customFormat="1" x14ac:dyDescent="0.25"/>
    <row r="271792" s="12" customFormat="1" x14ac:dyDescent="0.25"/>
    <row r="271793" s="12" customFormat="1" x14ac:dyDescent="0.25"/>
    <row r="271794" s="12" customFormat="1" x14ac:dyDescent="0.25"/>
    <row r="271795" s="12" customFormat="1" x14ac:dyDescent="0.25"/>
    <row r="271796" s="12" customFormat="1" x14ac:dyDescent="0.25"/>
    <row r="271797" s="12" customFormat="1" x14ac:dyDescent="0.25"/>
    <row r="271798" s="12" customFormat="1" x14ac:dyDescent="0.25"/>
    <row r="271799" s="12" customFormat="1" x14ac:dyDescent="0.25"/>
    <row r="271800" s="12" customFormat="1" x14ac:dyDescent="0.25"/>
    <row r="271801" s="12" customFormat="1" x14ac:dyDescent="0.25"/>
    <row r="271802" s="12" customFormat="1" x14ac:dyDescent="0.25"/>
    <row r="271803" s="12" customFormat="1" x14ac:dyDescent="0.25"/>
    <row r="271804" s="12" customFormat="1" x14ac:dyDescent="0.25"/>
    <row r="271805" s="12" customFormat="1" x14ac:dyDescent="0.25"/>
    <row r="271806" s="12" customFormat="1" x14ac:dyDescent="0.25"/>
    <row r="271807" s="12" customFormat="1" x14ac:dyDescent="0.25"/>
    <row r="271808" s="12" customFormat="1" x14ac:dyDescent="0.25"/>
    <row r="271809" s="12" customFormat="1" x14ac:dyDescent="0.25"/>
    <row r="271810" s="12" customFormat="1" x14ac:dyDescent="0.25"/>
    <row r="271811" s="12" customFormat="1" x14ac:dyDescent="0.25"/>
    <row r="271812" s="12" customFormat="1" x14ac:dyDescent="0.25"/>
    <row r="271813" s="12" customFormat="1" x14ac:dyDescent="0.25"/>
    <row r="271814" s="12" customFormat="1" x14ac:dyDescent="0.25"/>
    <row r="271815" s="12" customFormat="1" x14ac:dyDescent="0.25"/>
    <row r="271816" s="12" customFormat="1" x14ac:dyDescent="0.25"/>
    <row r="271817" s="12" customFormat="1" x14ac:dyDescent="0.25"/>
    <row r="271818" s="12" customFormat="1" x14ac:dyDescent="0.25"/>
    <row r="271819" s="12" customFormat="1" x14ac:dyDescent="0.25"/>
    <row r="271820" s="12" customFormat="1" x14ac:dyDescent="0.25"/>
    <row r="271821" s="12" customFormat="1" x14ac:dyDescent="0.25"/>
    <row r="271822" s="12" customFormat="1" x14ac:dyDescent="0.25"/>
    <row r="271823" s="12" customFormat="1" x14ac:dyDescent="0.25"/>
    <row r="271824" s="12" customFormat="1" x14ac:dyDescent="0.25"/>
    <row r="271825" s="12" customFormat="1" x14ac:dyDescent="0.25"/>
    <row r="271826" s="12" customFormat="1" x14ac:dyDescent="0.25"/>
    <row r="271827" s="12" customFormat="1" x14ac:dyDescent="0.25"/>
    <row r="271828" s="12" customFormat="1" x14ac:dyDescent="0.25"/>
    <row r="271829" s="12" customFormat="1" x14ac:dyDescent="0.25"/>
    <row r="271830" s="12" customFormat="1" x14ac:dyDescent="0.25"/>
    <row r="271831" s="12" customFormat="1" x14ac:dyDescent="0.25"/>
    <row r="271832" s="12" customFormat="1" x14ac:dyDescent="0.25"/>
    <row r="271833" s="12" customFormat="1" x14ac:dyDescent="0.25"/>
    <row r="271834" s="12" customFormat="1" x14ac:dyDescent="0.25"/>
    <row r="271835" s="12" customFormat="1" x14ac:dyDescent="0.25"/>
    <row r="271836" s="12" customFormat="1" x14ac:dyDescent="0.25"/>
    <row r="271837" s="12" customFormat="1" x14ac:dyDescent="0.25"/>
    <row r="271838" s="12" customFormat="1" x14ac:dyDescent="0.25"/>
    <row r="271839" s="12" customFormat="1" x14ac:dyDescent="0.25"/>
    <row r="271840" s="12" customFormat="1" x14ac:dyDescent="0.25"/>
    <row r="271841" s="12" customFormat="1" x14ac:dyDescent="0.25"/>
    <row r="271842" s="12" customFormat="1" x14ac:dyDescent="0.25"/>
    <row r="271843" s="12" customFormat="1" x14ac:dyDescent="0.25"/>
    <row r="271844" s="12" customFormat="1" x14ac:dyDescent="0.25"/>
    <row r="271845" s="12" customFormat="1" x14ac:dyDescent="0.25"/>
    <row r="271846" s="12" customFormat="1" x14ac:dyDescent="0.25"/>
    <row r="271847" s="12" customFormat="1" x14ac:dyDescent="0.25"/>
    <row r="271848" s="12" customFormat="1" x14ac:dyDescent="0.25"/>
    <row r="271849" s="12" customFormat="1" x14ac:dyDescent="0.25"/>
    <row r="271850" s="12" customFormat="1" x14ac:dyDescent="0.25"/>
    <row r="271851" s="12" customFormat="1" x14ac:dyDescent="0.25"/>
    <row r="271852" s="12" customFormat="1" x14ac:dyDescent="0.25"/>
    <row r="271853" s="12" customFormat="1" x14ac:dyDescent="0.25"/>
    <row r="271854" s="12" customFormat="1" x14ac:dyDescent="0.25"/>
    <row r="271855" s="12" customFormat="1" x14ac:dyDescent="0.25"/>
    <row r="271856" s="12" customFormat="1" x14ac:dyDescent="0.25"/>
    <row r="271857" s="12" customFormat="1" x14ac:dyDescent="0.25"/>
    <row r="271858" s="12" customFormat="1" x14ac:dyDescent="0.25"/>
    <row r="271859" s="12" customFormat="1" x14ac:dyDescent="0.25"/>
    <row r="271860" s="12" customFormat="1" x14ac:dyDescent="0.25"/>
    <row r="271861" s="12" customFormat="1" x14ac:dyDescent="0.25"/>
    <row r="271862" s="12" customFormat="1" x14ac:dyDescent="0.25"/>
    <row r="271863" s="12" customFormat="1" x14ac:dyDescent="0.25"/>
    <row r="271864" s="12" customFormat="1" x14ac:dyDescent="0.25"/>
    <row r="271865" s="12" customFormat="1" x14ac:dyDescent="0.25"/>
    <row r="271866" s="12" customFormat="1" x14ac:dyDescent="0.25"/>
    <row r="271867" s="12" customFormat="1" x14ac:dyDescent="0.25"/>
    <row r="271868" s="12" customFormat="1" x14ac:dyDescent="0.25"/>
    <row r="271869" s="12" customFormat="1" x14ac:dyDescent="0.25"/>
    <row r="271870" s="12" customFormat="1" x14ac:dyDescent="0.25"/>
    <row r="271871" s="12" customFormat="1" x14ac:dyDescent="0.25"/>
    <row r="271872" s="12" customFormat="1" x14ac:dyDescent="0.25"/>
    <row r="271873" s="12" customFormat="1" x14ac:dyDescent="0.25"/>
    <row r="271874" s="12" customFormat="1" x14ac:dyDescent="0.25"/>
    <row r="271875" s="12" customFormat="1" x14ac:dyDescent="0.25"/>
    <row r="271876" s="12" customFormat="1" x14ac:dyDescent="0.25"/>
    <row r="271877" s="12" customFormat="1" x14ac:dyDescent="0.25"/>
    <row r="271878" s="12" customFormat="1" x14ac:dyDescent="0.25"/>
    <row r="271879" s="12" customFormat="1" x14ac:dyDescent="0.25"/>
    <row r="271880" s="12" customFormat="1" x14ac:dyDescent="0.25"/>
    <row r="271881" s="12" customFormat="1" x14ac:dyDescent="0.25"/>
    <row r="271882" s="12" customFormat="1" x14ac:dyDescent="0.25"/>
    <row r="271883" s="12" customFormat="1" x14ac:dyDescent="0.25"/>
    <row r="271884" s="12" customFormat="1" x14ac:dyDescent="0.25"/>
    <row r="271885" s="12" customFormat="1" x14ac:dyDescent="0.25"/>
    <row r="271886" s="12" customFormat="1" x14ac:dyDescent="0.25"/>
    <row r="271887" s="12" customFormat="1" x14ac:dyDescent="0.25"/>
    <row r="271888" s="12" customFormat="1" x14ac:dyDescent="0.25"/>
    <row r="271889" s="12" customFormat="1" x14ac:dyDescent="0.25"/>
    <row r="271890" s="12" customFormat="1" x14ac:dyDescent="0.25"/>
    <row r="271891" s="12" customFormat="1" x14ac:dyDescent="0.25"/>
    <row r="271892" s="12" customFormat="1" x14ac:dyDescent="0.25"/>
    <row r="271893" s="12" customFormat="1" x14ac:dyDescent="0.25"/>
    <row r="271894" s="12" customFormat="1" x14ac:dyDescent="0.25"/>
    <row r="271895" s="12" customFormat="1" x14ac:dyDescent="0.25"/>
    <row r="271896" s="12" customFormat="1" x14ac:dyDescent="0.25"/>
    <row r="271897" s="12" customFormat="1" x14ac:dyDescent="0.25"/>
    <row r="271898" s="12" customFormat="1" x14ac:dyDescent="0.25"/>
    <row r="271899" s="12" customFormat="1" x14ac:dyDescent="0.25"/>
    <row r="271900" s="12" customFormat="1" x14ac:dyDescent="0.25"/>
    <row r="271901" s="12" customFormat="1" x14ac:dyDescent="0.25"/>
    <row r="271902" s="12" customFormat="1" x14ac:dyDescent="0.25"/>
    <row r="271903" s="12" customFormat="1" x14ac:dyDescent="0.25"/>
    <row r="271904" s="12" customFormat="1" x14ac:dyDescent="0.25"/>
    <row r="271905" s="12" customFormat="1" x14ac:dyDescent="0.25"/>
    <row r="271906" s="12" customFormat="1" x14ac:dyDescent="0.25"/>
    <row r="271907" s="12" customFormat="1" x14ac:dyDescent="0.25"/>
    <row r="271908" s="12" customFormat="1" x14ac:dyDescent="0.25"/>
    <row r="271909" s="12" customFormat="1" x14ac:dyDescent="0.25"/>
    <row r="271910" s="12" customFormat="1" x14ac:dyDescent="0.25"/>
    <row r="271911" s="12" customFormat="1" x14ac:dyDescent="0.25"/>
    <row r="271912" s="12" customFormat="1" x14ac:dyDescent="0.25"/>
    <row r="271913" s="12" customFormat="1" x14ac:dyDescent="0.25"/>
    <row r="271914" s="12" customFormat="1" x14ac:dyDescent="0.25"/>
    <row r="271915" s="12" customFormat="1" x14ac:dyDescent="0.25"/>
    <row r="271916" s="12" customFormat="1" x14ac:dyDescent="0.25"/>
    <row r="271917" s="12" customFormat="1" x14ac:dyDescent="0.25"/>
    <row r="271918" s="12" customFormat="1" x14ac:dyDescent="0.25"/>
    <row r="271919" s="12" customFormat="1" x14ac:dyDescent="0.25"/>
    <row r="271920" s="12" customFormat="1" x14ac:dyDescent="0.25"/>
    <row r="271921" s="12" customFormat="1" x14ac:dyDescent="0.25"/>
    <row r="271922" s="12" customFormat="1" x14ac:dyDescent="0.25"/>
    <row r="271923" s="12" customFormat="1" x14ac:dyDescent="0.25"/>
    <row r="271924" s="12" customFormat="1" x14ac:dyDescent="0.25"/>
    <row r="271925" s="12" customFormat="1" x14ac:dyDescent="0.25"/>
    <row r="271926" s="12" customFormat="1" x14ac:dyDescent="0.25"/>
    <row r="271927" s="12" customFormat="1" x14ac:dyDescent="0.25"/>
    <row r="271928" s="12" customFormat="1" x14ac:dyDescent="0.25"/>
    <row r="271929" s="12" customFormat="1" x14ac:dyDescent="0.25"/>
    <row r="271930" s="12" customFormat="1" x14ac:dyDescent="0.25"/>
    <row r="271931" s="12" customFormat="1" x14ac:dyDescent="0.25"/>
    <row r="271932" s="12" customFormat="1" x14ac:dyDescent="0.25"/>
    <row r="271933" s="12" customFormat="1" x14ac:dyDescent="0.25"/>
    <row r="271934" s="12" customFormat="1" x14ac:dyDescent="0.25"/>
    <row r="271935" s="12" customFormat="1" x14ac:dyDescent="0.25"/>
    <row r="271936" s="12" customFormat="1" x14ac:dyDescent="0.25"/>
    <row r="271937" s="12" customFormat="1" x14ac:dyDescent="0.25"/>
    <row r="271938" s="12" customFormat="1" x14ac:dyDescent="0.25"/>
    <row r="271939" s="12" customFormat="1" x14ac:dyDescent="0.25"/>
    <row r="271940" s="12" customFormat="1" x14ac:dyDescent="0.25"/>
    <row r="271941" s="12" customFormat="1" x14ac:dyDescent="0.25"/>
    <row r="271942" s="12" customFormat="1" x14ac:dyDescent="0.25"/>
    <row r="271943" s="12" customFormat="1" x14ac:dyDescent="0.25"/>
    <row r="271944" s="12" customFormat="1" x14ac:dyDescent="0.25"/>
    <row r="271945" s="12" customFormat="1" x14ac:dyDescent="0.25"/>
    <row r="271946" s="12" customFormat="1" x14ac:dyDescent="0.25"/>
    <row r="271947" s="12" customFormat="1" x14ac:dyDescent="0.25"/>
    <row r="271948" s="12" customFormat="1" x14ac:dyDescent="0.25"/>
    <row r="271949" s="12" customFormat="1" x14ac:dyDescent="0.25"/>
    <row r="271950" s="12" customFormat="1" x14ac:dyDescent="0.25"/>
    <row r="271951" s="12" customFormat="1" x14ac:dyDescent="0.25"/>
    <row r="271952" s="12" customFormat="1" x14ac:dyDescent="0.25"/>
    <row r="271953" s="12" customFormat="1" x14ac:dyDescent="0.25"/>
    <row r="271954" s="12" customFormat="1" x14ac:dyDescent="0.25"/>
    <row r="271955" s="12" customFormat="1" x14ac:dyDescent="0.25"/>
    <row r="271956" s="12" customFormat="1" x14ac:dyDescent="0.25"/>
    <row r="271957" s="12" customFormat="1" x14ac:dyDescent="0.25"/>
    <row r="271958" s="12" customFormat="1" x14ac:dyDescent="0.25"/>
    <row r="271959" s="12" customFormat="1" x14ac:dyDescent="0.25"/>
    <row r="271960" s="12" customFormat="1" x14ac:dyDescent="0.25"/>
    <row r="271961" s="12" customFormat="1" x14ac:dyDescent="0.25"/>
    <row r="271962" s="12" customFormat="1" x14ac:dyDescent="0.25"/>
    <row r="271963" s="12" customFormat="1" x14ac:dyDescent="0.25"/>
    <row r="271964" s="12" customFormat="1" x14ac:dyDescent="0.25"/>
    <row r="271965" s="12" customFormat="1" x14ac:dyDescent="0.25"/>
    <row r="271966" s="12" customFormat="1" x14ac:dyDescent="0.25"/>
    <row r="271967" s="12" customFormat="1" x14ac:dyDescent="0.25"/>
    <row r="271968" s="12" customFormat="1" x14ac:dyDescent="0.25"/>
    <row r="271969" s="12" customFormat="1" x14ac:dyDescent="0.25"/>
    <row r="271970" s="12" customFormat="1" x14ac:dyDescent="0.25"/>
    <row r="271971" s="12" customFormat="1" x14ac:dyDescent="0.25"/>
    <row r="271972" s="12" customFormat="1" x14ac:dyDescent="0.25"/>
    <row r="271973" s="12" customFormat="1" x14ac:dyDescent="0.25"/>
    <row r="271974" s="12" customFormat="1" x14ac:dyDescent="0.25"/>
    <row r="271975" s="12" customFormat="1" x14ac:dyDescent="0.25"/>
    <row r="271976" s="12" customFormat="1" x14ac:dyDescent="0.25"/>
    <row r="271977" s="12" customFormat="1" x14ac:dyDescent="0.25"/>
    <row r="271978" s="12" customFormat="1" x14ac:dyDescent="0.25"/>
    <row r="271979" s="12" customFormat="1" x14ac:dyDescent="0.25"/>
    <row r="271980" s="12" customFormat="1" x14ac:dyDescent="0.25"/>
    <row r="271981" s="12" customFormat="1" x14ac:dyDescent="0.25"/>
    <row r="271982" s="12" customFormat="1" x14ac:dyDescent="0.25"/>
    <row r="271983" s="12" customFormat="1" x14ac:dyDescent="0.25"/>
    <row r="271984" s="12" customFormat="1" x14ac:dyDescent="0.25"/>
    <row r="271985" s="12" customFormat="1" x14ac:dyDescent="0.25"/>
    <row r="271986" s="12" customFormat="1" x14ac:dyDescent="0.25"/>
    <row r="271987" s="12" customFormat="1" x14ac:dyDescent="0.25"/>
    <row r="271988" s="12" customFormat="1" x14ac:dyDescent="0.25"/>
    <row r="271989" s="12" customFormat="1" x14ac:dyDescent="0.25"/>
    <row r="271990" s="12" customFormat="1" x14ac:dyDescent="0.25"/>
    <row r="271991" s="12" customFormat="1" x14ac:dyDescent="0.25"/>
    <row r="271992" s="12" customFormat="1" x14ac:dyDescent="0.25"/>
    <row r="271993" s="12" customFormat="1" x14ac:dyDescent="0.25"/>
    <row r="271994" s="12" customFormat="1" x14ac:dyDescent="0.25"/>
    <row r="271995" s="12" customFormat="1" x14ac:dyDescent="0.25"/>
    <row r="271996" s="12" customFormat="1" x14ac:dyDescent="0.25"/>
    <row r="271997" s="12" customFormat="1" x14ac:dyDescent="0.25"/>
    <row r="271998" s="12" customFormat="1" x14ac:dyDescent="0.25"/>
    <row r="271999" s="12" customFormat="1" x14ac:dyDescent="0.25"/>
    <row r="272000" s="12" customFormat="1" x14ac:dyDescent="0.25"/>
    <row r="272001" s="12" customFormat="1" x14ac:dyDescent="0.25"/>
    <row r="272002" s="12" customFormat="1" x14ac:dyDescent="0.25"/>
    <row r="272003" s="12" customFormat="1" x14ac:dyDescent="0.25"/>
    <row r="272004" s="12" customFormat="1" x14ac:dyDescent="0.25"/>
    <row r="272005" s="12" customFormat="1" x14ac:dyDescent="0.25"/>
    <row r="272006" s="12" customFormat="1" x14ac:dyDescent="0.25"/>
    <row r="272007" s="12" customFormat="1" x14ac:dyDescent="0.25"/>
    <row r="272008" s="12" customFormat="1" x14ac:dyDescent="0.25"/>
    <row r="272009" s="12" customFormat="1" x14ac:dyDescent="0.25"/>
    <row r="272010" s="12" customFormat="1" x14ac:dyDescent="0.25"/>
    <row r="272011" s="12" customFormat="1" x14ac:dyDescent="0.25"/>
    <row r="272012" s="12" customFormat="1" x14ac:dyDescent="0.25"/>
    <row r="272013" s="12" customFormat="1" x14ac:dyDescent="0.25"/>
    <row r="272014" s="12" customFormat="1" x14ac:dyDescent="0.25"/>
    <row r="272015" s="12" customFormat="1" x14ac:dyDescent="0.25"/>
    <row r="272016" s="12" customFormat="1" x14ac:dyDescent="0.25"/>
    <row r="272017" s="12" customFormat="1" x14ac:dyDescent="0.25"/>
    <row r="272018" s="12" customFormat="1" x14ac:dyDescent="0.25"/>
    <row r="272019" s="12" customFormat="1" x14ac:dyDescent="0.25"/>
    <row r="272020" s="12" customFormat="1" x14ac:dyDescent="0.25"/>
    <row r="272021" s="12" customFormat="1" x14ac:dyDescent="0.25"/>
    <row r="272022" s="12" customFormat="1" x14ac:dyDescent="0.25"/>
    <row r="272023" s="12" customFormat="1" x14ac:dyDescent="0.25"/>
    <row r="272024" s="12" customFormat="1" x14ac:dyDescent="0.25"/>
    <row r="272025" s="12" customFormat="1" x14ac:dyDescent="0.25"/>
    <row r="272026" s="12" customFormat="1" x14ac:dyDescent="0.25"/>
    <row r="272027" s="12" customFormat="1" x14ac:dyDescent="0.25"/>
    <row r="272028" s="12" customFormat="1" x14ac:dyDescent="0.25"/>
    <row r="272029" s="12" customFormat="1" x14ac:dyDescent="0.25"/>
    <row r="272030" s="12" customFormat="1" x14ac:dyDescent="0.25"/>
    <row r="272031" s="12" customFormat="1" x14ac:dyDescent="0.25"/>
    <row r="272032" s="12" customFormat="1" x14ac:dyDescent="0.25"/>
    <row r="272033" s="12" customFormat="1" x14ac:dyDescent="0.25"/>
    <row r="272034" s="12" customFormat="1" x14ac:dyDescent="0.25"/>
    <row r="272035" s="12" customFormat="1" x14ac:dyDescent="0.25"/>
    <row r="272036" s="12" customFormat="1" x14ac:dyDescent="0.25"/>
    <row r="272037" s="12" customFormat="1" x14ac:dyDescent="0.25"/>
    <row r="272038" s="12" customFormat="1" x14ac:dyDescent="0.25"/>
    <row r="272039" s="12" customFormat="1" x14ac:dyDescent="0.25"/>
    <row r="272040" s="12" customFormat="1" x14ac:dyDescent="0.25"/>
    <row r="272041" s="12" customFormat="1" x14ac:dyDescent="0.25"/>
    <row r="272042" s="12" customFormat="1" x14ac:dyDescent="0.25"/>
    <row r="272043" s="12" customFormat="1" x14ac:dyDescent="0.25"/>
    <row r="272044" s="12" customFormat="1" x14ac:dyDescent="0.25"/>
    <row r="272045" s="12" customFormat="1" x14ac:dyDescent="0.25"/>
    <row r="272046" s="12" customFormat="1" x14ac:dyDescent="0.25"/>
    <row r="272047" s="12" customFormat="1" x14ac:dyDescent="0.25"/>
    <row r="272048" s="12" customFormat="1" x14ac:dyDescent="0.25"/>
    <row r="272049" s="12" customFormat="1" x14ac:dyDescent="0.25"/>
    <row r="272050" s="12" customFormat="1" x14ac:dyDescent="0.25"/>
    <row r="272051" s="12" customFormat="1" x14ac:dyDescent="0.25"/>
    <row r="272052" s="12" customFormat="1" x14ac:dyDescent="0.25"/>
    <row r="272053" s="12" customFormat="1" x14ac:dyDescent="0.25"/>
    <row r="272054" s="12" customFormat="1" x14ac:dyDescent="0.25"/>
    <row r="272055" s="12" customFormat="1" x14ac:dyDescent="0.25"/>
    <row r="272056" s="12" customFormat="1" x14ac:dyDescent="0.25"/>
    <row r="272057" s="12" customFormat="1" x14ac:dyDescent="0.25"/>
    <row r="272058" s="12" customFormat="1" x14ac:dyDescent="0.25"/>
    <row r="272059" s="12" customFormat="1" x14ac:dyDescent="0.25"/>
    <row r="272060" s="12" customFormat="1" x14ac:dyDescent="0.25"/>
    <row r="272061" s="12" customFormat="1" x14ac:dyDescent="0.25"/>
    <row r="272062" s="12" customFormat="1" x14ac:dyDescent="0.25"/>
    <row r="272063" s="12" customFormat="1" x14ac:dyDescent="0.25"/>
    <row r="272064" s="12" customFormat="1" x14ac:dyDescent="0.25"/>
    <row r="272065" s="12" customFormat="1" x14ac:dyDescent="0.25"/>
    <row r="272066" s="12" customFormat="1" x14ac:dyDescent="0.25"/>
    <row r="272067" s="12" customFormat="1" x14ac:dyDescent="0.25"/>
    <row r="272068" s="12" customFormat="1" x14ac:dyDescent="0.25"/>
    <row r="272069" s="12" customFormat="1" x14ac:dyDescent="0.25"/>
    <row r="272070" s="12" customFormat="1" x14ac:dyDescent="0.25"/>
    <row r="272071" s="12" customFormat="1" x14ac:dyDescent="0.25"/>
    <row r="272072" s="12" customFormat="1" x14ac:dyDescent="0.25"/>
    <row r="272073" s="12" customFormat="1" x14ac:dyDescent="0.25"/>
    <row r="272074" s="12" customFormat="1" x14ac:dyDescent="0.25"/>
    <row r="272075" s="12" customFormat="1" x14ac:dyDescent="0.25"/>
    <row r="272076" s="12" customFormat="1" x14ac:dyDescent="0.25"/>
    <row r="272077" s="12" customFormat="1" x14ac:dyDescent="0.25"/>
    <row r="272078" s="12" customFormat="1" x14ac:dyDescent="0.25"/>
    <row r="272079" s="12" customFormat="1" x14ac:dyDescent="0.25"/>
    <row r="272080" s="12" customFormat="1" x14ac:dyDescent="0.25"/>
    <row r="272081" s="12" customFormat="1" x14ac:dyDescent="0.25"/>
    <row r="272082" s="12" customFormat="1" x14ac:dyDescent="0.25"/>
    <row r="272083" s="12" customFormat="1" x14ac:dyDescent="0.25"/>
    <row r="272084" s="12" customFormat="1" x14ac:dyDescent="0.25"/>
    <row r="272085" s="12" customFormat="1" x14ac:dyDescent="0.25"/>
    <row r="272086" s="12" customFormat="1" x14ac:dyDescent="0.25"/>
    <row r="272087" s="12" customFormat="1" x14ac:dyDescent="0.25"/>
    <row r="272088" s="12" customFormat="1" x14ac:dyDescent="0.25"/>
    <row r="272089" s="12" customFormat="1" x14ac:dyDescent="0.25"/>
    <row r="272090" s="12" customFormat="1" x14ac:dyDescent="0.25"/>
    <row r="272091" s="12" customFormat="1" x14ac:dyDescent="0.25"/>
    <row r="272092" s="12" customFormat="1" x14ac:dyDescent="0.25"/>
    <row r="272093" s="12" customFormat="1" x14ac:dyDescent="0.25"/>
    <row r="272094" s="12" customFormat="1" x14ac:dyDescent="0.25"/>
    <row r="272095" s="12" customFormat="1" x14ac:dyDescent="0.25"/>
    <row r="272096" s="12" customFormat="1" x14ac:dyDescent="0.25"/>
    <row r="272097" s="12" customFormat="1" x14ac:dyDescent="0.25"/>
    <row r="272098" s="12" customFormat="1" x14ac:dyDescent="0.25"/>
    <row r="272099" s="12" customFormat="1" x14ac:dyDescent="0.25"/>
    <row r="272100" s="12" customFormat="1" x14ac:dyDescent="0.25"/>
    <row r="272101" s="12" customFormat="1" x14ac:dyDescent="0.25"/>
    <row r="272102" s="12" customFormat="1" x14ac:dyDescent="0.25"/>
    <row r="272103" s="12" customFormat="1" x14ac:dyDescent="0.25"/>
    <row r="272104" s="12" customFormat="1" x14ac:dyDescent="0.25"/>
    <row r="272105" s="12" customFormat="1" x14ac:dyDescent="0.25"/>
    <row r="272106" s="12" customFormat="1" x14ac:dyDescent="0.25"/>
    <row r="272107" s="12" customFormat="1" x14ac:dyDescent="0.25"/>
    <row r="272108" s="12" customFormat="1" x14ac:dyDescent="0.25"/>
    <row r="272109" s="12" customFormat="1" x14ac:dyDescent="0.25"/>
    <row r="272110" s="12" customFormat="1" x14ac:dyDescent="0.25"/>
    <row r="272111" s="12" customFormat="1" x14ac:dyDescent="0.25"/>
    <row r="272112" s="12" customFormat="1" x14ac:dyDescent="0.25"/>
    <row r="272113" s="12" customFormat="1" x14ac:dyDescent="0.25"/>
    <row r="272114" s="12" customFormat="1" x14ac:dyDescent="0.25"/>
    <row r="272115" s="12" customFormat="1" x14ac:dyDescent="0.25"/>
    <row r="272116" s="12" customFormat="1" x14ac:dyDescent="0.25"/>
    <row r="272117" s="12" customFormat="1" x14ac:dyDescent="0.25"/>
    <row r="272118" s="12" customFormat="1" x14ac:dyDescent="0.25"/>
    <row r="272119" s="12" customFormat="1" x14ac:dyDescent="0.25"/>
    <row r="272120" s="12" customFormat="1" x14ac:dyDescent="0.25"/>
    <row r="272121" s="12" customFormat="1" x14ac:dyDescent="0.25"/>
    <row r="272122" s="12" customFormat="1" x14ac:dyDescent="0.25"/>
    <row r="272123" s="12" customFormat="1" x14ac:dyDescent="0.25"/>
    <row r="272124" s="12" customFormat="1" x14ac:dyDescent="0.25"/>
    <row r="272125" s="12" customFormat="1" x14ac:dyDescent="0.25"/>
    <row r="272126" s="12" customFormat="1" x14ac:dyDescent="0.25"/>
    <row r="272127" s="12" customFormat="1" x14ac:dyDescent="0.25"/>
    <row r="272128" s="12" customFormat="1" x14ac:dyDescent="0.25"/>
    <row r="272129" s="12" customFormat="1" x14ac:dyDescent="0.25"/>
    <row r="272130" s="12" customFormat="1" x14ac:dyDescent="0.25"/>
    <row r="272131" s="12" customFormat="1" x14ac:dyDescent="0.25"/>
    <row r="272132" s="12" customFormat="1" x14ac:dyDescent="0.25"/>
    <row r="272133" s="12" customFormat="1" x14ac:dyDescent="0.25"/>
    <row r="272134" s="12" customFormat="1" x14ac:dyDescent="0.25"/>
    <row r="272135" s="12" customFormat="1" x14ac:dyDescent="0.25"/>
    <row r="272136" s="12" customFormat="1" x14ac:dyDescent="0.25"/>
    <row r="272137" s="12" customFormat="1" x14ac:dyDescent="0.25"/>
    <row r="272138" s="12" customFormat="1" x14ac:dyDescent="0.25"/>
    <row r="272139" s="12" customFormat="1" x14ac:dyDescent="0.25"/>
    <row r="272140" s="12" customFormat="1" x14ac:dyDescent="0.25"/>
    <row r="272141" s="12" customFormat="1" x14ac:dyDescent="0.25"/>
    <row r="272142" s="12" customFormat="1" x14ac:dyDescent="0.25"/>
    <row r="272143" s="12" customFormat="1" x14ac:dyDescent="0.25"/>
    <row r="272144" s="12" customFormat="1" x14ac:dyDescent="0.25"/>
    <row r="272145" s="12" customFormat="1" x14ac:dyDescent="0.25"/>
    <row r="272146" s="12" customFormat="1" x14ac:dyDescent="0.25"/>
    <row r="272147" s="12" customFormat="1" x14ac:dyDescent="0.25"/>
    <row r="272148" s="12" customFormat="1" x14ac:dyDescent="0.25"/>
    <row r="272149" s="12" customFormat="1" x14ac:dyDescent="0.25"/>
    <row r="272150" s="12" customFormat="1" x14ac:dyDescent="0.25"/>
    <row r="272151" s="12" customFormat="1" x14ac:dyDescent="0.25"/>
    <row r="272152" s="12" customFormat="1" x14ac:dyDescent="0.25"/>
    <row r="272153" s="12" customFormat="1" x14ac:dyDescent="0.25"/>
    <row r="272154" s="12" customFormat="1" x14ac:dyDescent="0.25"/>
    <row r="272155" s="12" customFormat="1" x14ac:dyDescent="0.25"/>
    <row r="272156" s="12" customFormat="1" x14ac:dyDescent="0.25"/>
    <row r="272157" s="12" customFormat="1" x14ac:dyDescent="0.25"/>
    <row r="272158" s="12" customFormat="1" x14ac:dyDescent="0.25"/>
    <row r="272159" s="12" customFormat="1" x14ac:dyDescent="0.25"/>
    <row r="272160" s="12" customFormat="1" x14ac:dyDescent="0.25"/>
    <row r="272161" s="12" customFormat="1" x14ac:dyDescent="0.25"/>
    <row r="272162" s="12" customFormat="1" x14ac:dyDescent="0.25"/>
    <row r="272163" s="12" customFormat="1" x14ac:dyDescent="0.25"/>
    <row r="272164" s="12" customFormat="1" x14ac:dyDescent="0.25"/>
    <row r="272165" s="12" customFormat="1" x14ac:dyDescent="0.25"/>
    <row r="272166" s="12" customFormat="1" x14ac:dyDescent="0.25"/>
    <row r="272167" s="12" customFormat="1" x14ac:dyDescent="0.25"/>
    <row r="272168" s="12" customFormat="1" x14ac:dyDescent="0.25"/>
    <row r="272169" s="12" customFormat="1" x14ac:dyDescent="0.25"/>
    <row r="272170" s="12" customFormat="1" x14ac:dyDescent="0.25"/>
    <row r="272171" s="12" customFormat="1" x14ac:dyDescent="0.25"/>
    <row r="272172" s="12" customFormat="1" x14ac:dyDescent="0.25"/>
    <row r="272173" s="12" customFormat="1" x14ac:dyDescent="0.25"/>
    <row r="272174" s="12" customFormat="1" x14ac:dyDescent="0.25"/>
    <row r="272175" s="12" customFormat="1" x14ac:dyDescent="0.25"/>
    <row r="272176" s="12" customFormat="1" x14ac:dyDescent="0.25"/>
    <row r="272177" s="12" customFormat="1" x14ac:dyDescent="0.25"/>
    <row r="272178" s="12" customFormat="1" x14ac:dyDescent="0.25"/>
    <row r="272179" s="12" customFormat="1" x14ac:dyDescent="0.25"/>
    <row r="272180" s="12" customFormat="1" x14ac:dyDescent="0.25"/>
    <row r="272181" s="12" customFormat="1" x14ac:dyDescent="0.25"/>
    <row r="272182" s="12" customFormat="1" x14ac:dyDescent="0.25"/>
    <row r="272183" s="12" customFormat="1" x14ac:dyDescent="0.25"/>
    <row r="272184" s="12" customFormat="1" x14ac:dyDescent="0.25"/>
    <row r="272185" s="12" customFormat="1" x14ac:dyDescent="0.25"/>
    <row r="272186" s="12" customFormat="1" x14ac:dyDescent="0.25"/>
    <row r="272187" s="12" customFormat="1" x14ac:dyDescent="0.25"/>
    <row r="272188" s="12" customFormat="1" x14ac:dyDescent="0.25"/>
    <row r="272189" s="12" customFormat="1" x14ac:dyDescent="0.25"/>
    <row r="272190" s="12" customFormat="1" x14ac:dyDescent="0.25"/>
    <row r="272191" s="12" customFormat="1" x14ac:dyDescent="0.25"/>
    <row r="272192" s="12" customFormat="1" x14ac:dyDescent="0.25"/>
    <row r="272193" s="12" customFormat="1" x14ac:dyDescent="0.25"/>
    <row r="272194" s="12" customFormat="1" x14ac:dyDescent="0.25"/>
    <row r="272195" s="12" customFormat="1" x14ac:dyDescent="0.25"/>
    <row r="272196" s="12" customFormat="1" x14ac:dyDescent="0.25"/>
    <row r="272197" s="12" customFormat="1" x14ac:dyDescent="0.25"/>
    <row r="272198" s="12" customFormat="1" x14ac:dyDescent="0.25"/>
    <row r="272199" s="12" customFormat="1" x14ac:dyDescent="0.25"/>
    <row r="272200" s="12" customFormat="1" x14ac:dyDescent="0.25"/>
    <row r="272201" s="12" customFormat="1" x14ac:dyDescent="0.25"/>
    <row r="272202" s="12" customFormat="1" x14ac:dyDescent="0.25"/>
    <row r="272203" s="12" customFormat="1" x14ac:dyDescent="0.25"/>
    <row r="272204" s="12" customFormat="1" x14ac:dyDescent="0.25"/>
    <row r="272205" s="12" customFormat="1" x14ac:dyDescent="0.25"/>
    <row r="272206" s="12" customFormat="1" x14ac:dyDescent="0.25"/>
    <row r="272207" s="12" customFormat="1" x14ac:dyDescent="0.25"/>
    <row r="272208" s="12" customFormat="1" x14ac:dyDescent="0.25"/>
    <row r="272209" s="12" customFormat="1" x14ac:dyDescent="0.25"/>
    <row r="272210" s="12" customFormat="1" x14ac:dyDescent="0.25"/>
    <row r="272211" s="12" customFormat="1" x14ac:dyDescent="0.25"/>
    <row r="272212" s="12" customFormat="1" x14ac:dyDescent="0.25"/>
    <row r="272213" s="12" customFormat="1" x14ac:dyDescent="0.25"/>
    <row r="272214" s="12" customFormat="1" x14ac:dyDescent="0.25"/>
    <row r="272215" s="12" customFormat="1" x14ac:dyDescent="0.25"/>
    <row r="272216" s="12" customFormat="1" x14ac:dyDescent="0.25"/>
    <row r="272217" s="12" customFormat="1" x14ac:dyDescent="0.25"/>
    <row r="272218" s="12" customFormat="1" x14ac:dyDescent="0.25"/>
    <row r="272219" s="12" customFormat="1" x14ac:dyDescent="0.25"/>
    <row r="272220" s="12" customFormat="1" x14ac:dyDescent="0.25"/>
    <row r="272221" s="12" customFormat="1" x14ac:dyDescent="0.25"/>
    <row r="272222" s="12" customFormat="1" x14ac:dyDescent="0.25"/>
    <row r="272223" s="12" customFormat="1" x14ac:dyDescent="0.25"/>
    <row r="272224" s="12" customFormat="1" x14ac:dyDescent="0.25"/>
    <row r="272225" s="12" customFormat="1" x14ac:dyDescent="0.25"/>
    <row r="272226" s="12" customFormat="1" x14ac:dyDescent="0.25"/>
    <row r="272227" s="12" customFormat="1" x14ac:dyDescent="0.25"/>
    <row r="272228" s="12" customFormat="1" x14ac:dyDescent="0.25"/>
    <row r="272229" s="12" customFormat="1" x14ac:dyDescent="0.25"/>
    <row r="272230" s="12" customFormat="1" x14ac:dyDescent="0.25"/>
    <row r="272231" s="12" customFormat="1" x14ac:dyDescent="0.25"/>
    <row r="272232" s="12" customFormat="1" x14ac:dyDescent="0.25"/>
    <row r="272233" s="12" customFormat="1" x14ac:dyDescent="0.25"/>
    <row r="272234" s="12" customFormat="1" x14ac:dyDescent="0.25"/>
    <row r="272235" s="12" customFormat="1" x14ac:dyDescent="0.25"/>
    <row r="272236" s="12" customFormat="1" x14ac:dyDescent="0.25"/>
    <row r="272237" s="12" customFormat="1" x14ac:dyDescent="0.25"/>
    <row r="272238" s="12" customFormat="1" x14ac:dyDescent="0.25"/>
    <row r="272239" s="12" customFormat="1" x14ac:dyDescent="0.25"/>
    <row r="272240" s="12" customFormat="1" x14ac:dyDescent="0.25"/>
    <row r="272241" s="12" customFormat="1" x14ac:dyDescent="0.25"/>
    <row r="272242" s="12" customFormat="1" x14ac:dyDescent="0.25"/>
    <row r="272243" s="12" customFormat="1" x14ac:dyDescent="0.25"/>
    <row r="272244" s="12" customFormat="1" x14ac:dyDescent="0.25"/>
    <row r="272245" s="12" customFormat="1" x14ac:dyDescent="0.25"/>
    <row r="272246" s="12" customFormat="1" x14ac:dyDescent="0.25"/>
    <row r="272247" s="12" customFormat="1" x14ac:dyDescent="0.25"/>
    <row r="272248" s="12" customFormat="1" x14ac:dyDescent="0.25"/>
    <row r="272249" s="12" customFormat="1" x14ac:dyDescent="0.25"/>
    <row r="272250" s="12" customFormat="1" x14ac:dyDescent="0.25"/>
    <row r="272251" s="12" customFormat="1" x14ac:dyDescent="0.25"/>
    <row r="272252" s="12" customFormat="1" x14ac:dyDescent="0.25"/>
    <row r="272253" s="12" customFormat="1" x14ac:dyDescent="0.25"/>
    <row r="272254" s="12" customFormat="1" x14ac:dyDescent="0.25"/>
    <row r="272255" s="12" customFormat="1" x14ac:dyDescent="0.25"/>
    <row r="272256" s="12" customFormat="1" x14ac:dyDescent="0.25"/>
    <row r="272257" s="12" customFormat="1" x14ac:dyDescent="0.25"/>
    <row r="272258" s="12" customFormat="1" x14ac:dyDescent="0.25"/>
    <row r="272259" s="12" customFormat="1" x14ac:dyDescent="0.25"/>
    <row r="272260" s="12" customFormat="1" x14ac:dyDescent="0.25"/>
    <row r="272261" s="12" customFormat="1" x14ac:dyDescent="0.25"/>
    <row r="272262" s="12" customFormat="1" x14ac:dyDescent="0.25"/>
    <row r="272263" s="12" customFormat="1" x14ac:dyDescent="0.25"/>
    <row r="272264" s="12" customFormat="1" x14ac:dyDescent="0.25"/>
    <row r="272265" s="12" customFormat="1" x14ac:dyDescent="0.25"/>
    <row r="272266" s="12" customFormat="1" x14ac:dyDescent="0.25"/>
    <row r="272267" s="12" customFormat="1" x14ac:dyDescent="0.25"/>
    <row r="272268" s="12" customFormat="1" x14ac:dyDescent="0.25"/>
    <row r="272269" s="12" customFormat="1" x14ac:dyDescent="0.25"/>
    <row r="272270" s="12" customFormat="1" x14ac:dyDescent="0.25"/>
    <row r="272271" s="12" customFormat="1" x14ac:dyDescent="0.25"/>
    <row r="272272" s="12" customFormat="1" x14ac:dyDescent="0.25"/>
    <row r="272273" s="12" customFormat="1" x14ac:dyDescent="0.25"/>
    <row r="272274" s="12" customFormat="1" x14ac:dyDescent="0.25"/>
    <row r="272275" s="12" customFormat="1" x14ac:dyDescent="0.25"/>
    <row r="272276" s="12" customFormat="1" x14ac:dyDescent="0.25"/>
    <row r="272277" s="12" customFormat="1" x14ac:dyDescent="0.25"/>
    <row r="272278" s="12" customFormat="1" x14ac:dyDescent="0.25"/>
    <row r="272279" s="12" customFormat="1" x14ac:dyDescent="0.25"/>
    <row r="272280" s="12" customFormat="1" x14ac:dyDescent="0.25"/>
    <row r="272281" s="12" customFormat="1" x14ac:dyDescent="0.25"/>
    <row r="272282" s="12" customFormat="1" x14ac:dyDescent="0.25"/>
    <row r="272283" s="12" customFormat="1" x14ac:dyDescent="0.25"/>
    <row r="272284" s="12" customFormat="1" x14ac:dyDescent="0.25"/>
    <row r="272285" s="12" customFormat="1" x14ac:dyDescent="0.25"/>
    <row r="272286" s="12" customFormat="1" x14ac:dyDescent="0.25"/>
    <row r="272287" s="12" customFormat="1" x14ac:dyDescent="0.25"/>
    <row r="272288" s="12" customFormat="1" x14ac:dyDescent="0.25"/>
    <row r="272289" s="12" customFormat="1" x14ac:dyDescent="0.25"/>
    <row r="272290" s="12" customFormat="1" x14ac:dyDescent="0.25"/>
    <row r="272291" s="12" customFormat="1" x14ac:dyDescent="0.25"/>
    <row r="272292" s="12" customFormat="1" x14ac:dyDescent="0.25"/>
    <row r="272293" s="12" customFormat="1" x14ac:dyDescent="0.25"/>
    <row r="272294" s="12" customFormat="1" x14ac:dyDescent="0.25"/>
    <row r="272295" s="12" customFormat="1" x14ac:dyDescent="0.25"/>
    <row r="272296" s="12" customFormat="1" x14ac:dyDescent="0.25"/>
    <row r="272297" s="12" customFormat="1" x14ac:dyDescent="0.25"/>
    <row r="272298" s="12" customFormat="1" x14ac:dyDescent="0.25"/>
    <row r="272299" s="12" customFormat="1" x14ac:dyDescent="0.25"/>
    <row r="272300" s="12" customFormat="1" x14ac:dyDescent="0.25"/>
    <row r="272301" s="12" customFormat="1" x14ac:dyDescent="0.25"/>
    <row r="272302" s="12" customFormat="1" x14ac:dyDescent="0.25"/>
    <row r="272303" s="12" customFormat="1" x14ac:dyDescent="0.25"/>
    <row r="272304" s="12" customFormat="1" x14ac:dyDescent="0.25"/>
    <row r="272305" s="12" customFormat="1" x14ac:dyDescent="0.25"/>
    <row r="272306" s="12" customFormat="1" x14ac:dyDescent="0.25"/>
    <row r="272307" s="12" customFormat="1" x14ac:dyDescent="0.25"/>
    <row r="272308" s="12" customFormat="1" x14ac:dyDescent="0.25"/>
    <row r="272309" s="12" customFormat="1" x14ac:dyDescent="0.25"/>
    <row r="272310" s="12" customFormat="1" x14ac:dyDescent="0.25"/>
    <row r="272311" s="12" customFormat="1" x14ac:dyDescent="0.25"/>
    <row r="272312" s="12" customFormat="1" x14ac:dyDescent="0.25"/>
    <row r="272313" s="12" customFormat="1" x14ac:dyDescent="0.25"/>
    <row r="272314" s="12" customFormat="1" x14ac:dyDescent="0.25"/>
    <row r="272315" s="12" customFormat="1" x14ac:dyDescent="0.25"/>
    <row r="272316" s="12" customFormat="1" x14ac:dyDescent="0.25"/>
    <row r="272317" s="12" customFormat="1" x14ac:dyDescent="0.25"/>
    <row r="272318" s="12" customFormat="1" x14ac:dyDescent="0.25"/>
    <row r="272319" s="12" customFormat="1" x14ac:dyDescent="0.25"/>
    <row r="272320" s="12" customFormat="1" x14ac:dyDescent="0.25"/>
    <row r="272321" s="12" customFormat="1" x14ac:dyDescent="0.25"/>
    <row r="272322" s="12" customFormat="1" x14ac:dyDescent="0.25"/>
    <row r="272323" s="12" customFormat="1" x14ac:dyDescent="0.25"/>
    <row r="272324" s="12" customFormat="1" x14ac:dyDescent="0.25"/>
    <row r="272325" s="12" customFormat="1" x14ac:dyDescent="0.25"/>
    <row r="272326" s="12" customFormat="1" x14ac:dyDescent="0.25"/>
    <row r="272327" s="12" customFormat="1" x14ac:dyDescent="0.25"/>
    <row r="272328" s="12" customFormat="1" x14ac:dyDescent="0.25"/>
    <row r="272329" s="12" customFormat="1" x14ac:dyDescent="0.25"/>
    <row r="272330" s="12" customFormat="1" x14ac:dyDescent="0.25"/>
    <row r="272331" s="12" customFormat="1" x14ac:dyDescent="0.25"/>
    <row r="272332" s="12" customFormat="1" x14ac:dyDescent="0.25"/>
    <row r="272333" s="12" customFormat="1" x14ac:dyDescent="0.25"/>
    <row r="272334" s="12" customFormat="1" x14ac:dyDescent="0.25"/>
    <row r="272335" s="12" customFormat="1" x14ac:dyDescent="0.25"/>
    <row r="272336" s="12" customFormat="1" x14ac:dyDescent="0.25"/>
    <row r="272337" s="12" customFormat="1" x14ac:dyDescent="0.25"/>
    <row r="272338" s="12" customFormat="1" x14ac:dyDescent="0.25"/>
    <row r="272339" s="12" customFormat="1" x14ac:dyDescent="0.25"/>
    <row r="272340" s="12" customFormat="1" x14ac:dyDescent="0.25"/>
    <row r="272341" s="12" customFormat="1" x14ac:dyDescent="0.25"/>
    <row r="272342" s="12" customFormat="1" x14ac:dyDescent="0.25"/>
    <row r="272343" s="12" customFormat="1" x14ac:dyDescent="0.25"/>
    <row r="272344" s="12" customFormat="1" x14ac:dyDescent="0.25"/>
    <row r="272345" s="12" customFormat="1" x14ac:dyDescent="0.25"/>
    <row r="272346" s="12" customFormat="1" x14ac:dyDescent="0.25"/>
    <row r="272347" s="12" customFormat="1" x14ac:dyDescent="0.25"/>
    <row r="272348" s="12" customFormat="1" x14ac:dyDescent="0.25"/>
    <row r="272349" s="12" customFormat="1" x14ac:dyDescent="0.25"/>
    <row r="272350" s="12" customFormat="1" x14ac:dyDescent="0.25"/>
    <row r="272351" s="12" customFormat="1" x14ac:dyDescent="0.25"/>
    <row r="272352" s="12" customFormat="1" x14ac:dyDescent="0.25"/>
    <row r="272353" s="12" customFormat="1" x14ac:dyDescent="0.25"/>
    <row r="272354" s="12" customFormat="1" x14ac:dyDescent="0.25"/>
    <row r="272355" s="12" customFormat="1" x14ac:dyDescent="0.25"/>
    <row r="272356" s="12" customFormat="1" x14ac:dyDescent="0.25"/>
    <row r="272357" s="12" customFormat="1" x14ac:dyDescent="0.25"/>
    <row r="272358" s="12" customFormat="1" x14ac:dyDescent="0.25"/>
    <row r="272359" s="12" customFormat="1" x14ac:dyDescent="0.25"/>
    <row r="272360" s="12" customFormat="1" x14ac:dyDescent="0.25"/>
    <row r="272361" s="12" customFormat="1" x14ac:dyDescent="0.25"/>
    <row r="272362" s="12" customFormat="1" x14ac:dyDescent="0.25"/>
    <row r="272363" s="12" customFormat="1" x14ac:dyDescent="0.25"/>
    <row r="272364" s="12" customFormat="1" x14ac:dyDescent="0.25"/>
    <row r="272365" s="12" customFormat="1" x14ac:dyDescent="0.25"/>
    <row r="272366" s="12" customFormat="1" x14ac:dyDescent="0.25"/>
    <row r="272367" s="12" customFormat="1" x14ac:dyDescent="0.25"/>
    <row r="272368" s="12" customFormat="1" x14ac:dyDescent="0.25"/>
    <row r="272369" s="12" customFormat="1" x14ac:dyDescent="0.25"/>
    <row r="272370" s="12" customFormat="1" x14ac:dyDescent="0.25"/>
    <row r="272371" s="12" customFormat="1" x14ac:dyDescent="0.25"/>
    <row r="272372" s="12" customFormat="1" x14ac:dyDescent="0.25"/>
    <row r="272373" s="12" customFormat="1" x14ac:dyDescent="0.25"/>
    <row r="272374" s="12" customFormat="1" x14ac:dyDescent="0.25"/>
    <row r="272375" s="12" customFormat="1" x14ac:dyDescent="0.25"/>
    <row r="272376" s="12" customFormat="1" x14ac:dyDescent="0.25"/>
    <row r="272377" s="12" customFormat="1" x14ac:dyDescent="0.25"/>
    <row r="272378" s="12" customFormat="1" x14ac:dyDescent="0.25"/>
    <row r="272379" s="12" customFormat="1" x14ac:dyDescent="0.25"/>
    <row r="272380" s="12" customFormat="1" x14ac:dyDescent="0.25"/>
    <row r="272381" s="12" customFormat="1" x14ac:dyDescent="0.25"/>
    <row r="272382" s="12" customFormat="1" x14ac:dyDescent="0.25"/>
    <row r="272383" s="12" customFormat="1" x14ac:dyDescent="0.25"/>
    <row r="272384" s="12" customFormat="1" x14ac:dyDescent="0.25"/>
    <row r="272385" s="12" customFormat="1" x14ac:dyDescent="0.25"/>
    <row r="272386" s="12" customFormat="1" x14ac:dyDescent="0.25"/>
    <row r="272387" s="12" customFormat="1" x14ac:dyDescent="0.25"/>
    <row r="272388" s="12" customFormat="1" x14ac:dyDescent="0.25"/>
    <row r="272389" s="12" customFormat="1" x14ac:dyDescent="0.25"/>
    <row r="272390" s="12" customFormat="1" x14ac:dyDescent="0.25"/>
    <row r="272391" s="12" customFormat="1" x14ac:dyDescent="0.25"/>
    <row r="272392" s="12" customFormat="1" x14ac:dyDescent="0.25"/>
    <row r="272393" s="12" customFormat="1" x14ac:dyDescent="0.25"/>
    <row r="272394" s="12" customFormat="1" x14ac:dyDescent="0.25"/>
    <row r="272395" s="12" customFormat="1" x14ac:dyDescent="0.25"/>
    <row r="272396" s="12" customFormat="1" x14ac:dyDescent="0.25"/>
    <row r="272397" s="12" customFormat="1" x14ac:dyDescent="0.25"/>
    <row r="272398" s="12" customFormat="1" x14ac:dyDescent="0.25"/>
    <row r="272399" s="12" customFormat="1" x14ac:dyDescent="0.25"/>
    <row r="272400" s="12" customFormat="1" x14ac:dyDescent="0.25"/>
    <row r="272401" s="12" customFormat="1" x14ac:dyDescent="0.25"/>
    <row r="272402" s="12" customFormat="1" x14ac:dyDescent="0.25"/>
    <row r="272403" s="12" customFormat="1" x14ac:dyDescent="0.25"/>
    <row r="272404" s="12" customFormat="1" x14ac:dyDescent="0.25"/>
    <row r="272405" s="12" customFormat="1" x14ac:dyDescent="0.25"/>
    <row r="272406" s="12" customFormat="1" x14ac:dyDescent="0.25"/>
    <row r="272407" s="12" customFormat="1" x14ac:dyDescent="0.25"/>
    <row r="272408" s="12" customFormat="1" x14ac:dyDescent="0.25"/>
    <row r="272409" s="12" customFormat="1" x14ac:dyDescent="0.25"/>
    <row r="272410" s="12" customFormat="1" x14ac:dyDescent="0.25"/>
    <row r="272411" s="12" customFormat="1" x14ac:dyDescent="0.25"/>
    <row r="272412" s="12" customFormat="1" x14ac:dyDescent="0.25"/>
    <row r="272413" s="12" customFormat="1" x14ac:dyDescent="0.25"/>
    <row r="272414" s="12" customFormat="1" x14ac:dyDescent="0.25"/>
    <row r="272415" s="12" customFormat="1" x14ac:dyDescent="0.25"/>
    <row r="272416" s="12" customFormat="1" x14ac:dyDescent="0.25"/>
    <row r="272417" s="12" customFormat="1" x14ac:dyDescent="0.25"/>
    <row r="272418" s="12" customFormat="1" x14ac:dyDescent="0.25"/>
    <row r="272419" s="12" customFormat="1" x14ac:dyDescent="0.25"/>
    <row r="272420" s="12" customFormat="1" x14ac:dyDescent="0.25"/>
    <row r="272421" s="12" customFormat="1" x14ac:dyDescent="0.25"/>
    <row r="272422" s="12" customFormat="1" x14ac:dyDescent="0.25"/>
    <row r="272423" s="12" customFormat="1" x14ac:dyDescent="0.25"/>
    <row r="272424" s="12" customFormat="1" x14ac:dyDescent="0.25"/>
    <row r="272425" s="12" customFormat="1" x14ac:dyDescent="0.25"/>
    <row r="272426" s="12" customFormat="1" x14ac:dyDescent="0.25"/>
    <row r="272427" s="12" customFormat="1" x14ac:dyDescent="0.25"/>
    <row r="272428" s="12" customFormat="1" x14ac:dyDescent="0.25"/>
    <row r="272429" s="12" customFormat="1" x14ac:dyDescent="0.25"/>
    <row r="272430" s="12" customFormat="1" x14ac:dyDescent="0.25"/>
    <row r="272431" s="12" customFormat="1" x14ac:dyDescent="0.25"/>
    <row r="272432" s="12" customFormat="1" x14ac:dyDescent="0.25"/>
    <row r="272433" s="12" customFormat="1" x14ac:dyDescent="0.25"/>
    <row r="272434" s="12" customFormat="1" x14ac:dyDescent="0.25"/>
    <row r="272435" s="12" customFormat="1" x14ac:dyDescent="0.25"/>
    <row r="272436" s="12" customFormat="1" x14ac:dyDescent="0.25"/>
    <row r="272437" s="12" customFormat="1" x14ac:dyDescent="0.25"/>
    <row r="272438" s="12" customFormat="1" x14ac:dyDescent="0.25"/>
    <row r="272439" s="12" customFormat="1" x14ac:dyDescent="0.25"/>
    <row r="272440" s="12" customFormat="1" x14ac:dyDescent="0.25"/>
    <row r="272441" s="12" customFormat="1" x14ac:dyDescent="0.25"/>
    <row r="272442" s="12" customFormat="1" x14ac:dyDescent="0.25"/>
    <row r="272443" s="12" customFormat="1" x14ac:dyDescent="0.25"/>
    <row r="272444" s="12" customFormat="1" x14ac:dyDescent="0.25"/>
    <row r="272445" s="12" customFormat="1" x14ac:dyDescent="0.25"/>
    <row r="272446" s="12" customFormat="1" x14ac:dyDescent="0.25"/>
    <row r="272447" s="12" customFormat="1" x14ac:dyDescent="0.25"/>
    <row r="272448" s="12" customFormat="1" x14ac:dyDescent="0.25"/>
    <row r="272449" s="12" customFormat="1" x14ac:dyDescent="0.25"/>
    <row r="272450" s="12" customFormat="1" x14ac:dyDescent="0.25"/>
    <row r="272451" s="12" customFormat="1" x14ac:dyDescent="0.25"/>
    <row r="272452" s="12" customFormat="1" x14ac:dyDescent="0.25"/>
    <row r="272453" s="12" customFormat="1" x14ac:dyDescent="0.25"/>
    <row r="272454" s="12" customFormat="1" x14ac:dyDescent="0.25"/>
    <row r="272455" s="12" customFormat="1" x14ac:dyDescent="0.25"/>
    <row r="272456" s="12" customFormat="1" x14ac:dyDescent="0.25"/>
    <row r="272457" s="12" customFormat="1" x14ac:dyDescent="0.25"/>
    <row r="272458" s="12" customFormat="1" x14ac:dyDescent="0.25"/>
    <row r="272459" s="12" customFormat="1" x14ac:dyDescent="0.25"/>
    <row r="272460" s="12" customFormat="1" x14ac:dyDescent="0.25"/>
    <row r="272461" s="12" customFormat="1" x14ac:dyDescent="0.25"/>
    <row r="272462" s="12" customFormat="1" x14ac:dyDescent="0.25"/>
    <row r="272463" s="12" customFormat="1" x14ac:dyDescent="0.25"/>
    <row r="272464" s="12" customFormat="1" x14ac:dyDescent="0.25"/>
    <row r="272465" s="12" customFormat="1" x14ac:dyDescent="0.25"/>
    <row r="272466" s="12" customFormat="1" x14ac:dyDescent="0.25"/>
    <row r="272467" s="12" customFormat="1" x14ac:dyDescent="0.25"/>
    <row r="272468" s="12" customFormat="1" x14ac:dyDescent="0.25"/>
    <row r="272469" s="12" customFormat="1" x14ac:dyDescent="0.25"/>
    <row r="272470" s="12" customFormat="1" x14ac:dyDescent="0.25"/>
    <row r="272471" s="12" customFormat="1" x14ac:dyDescent="0.25"/>
    <row r="272472" s="12" customFormat="1" x14ac:dyDescent="0.25"/>
    <row r="272473" s="12" customFormat="1" x14ac:dyDescent="0.25"/>
    <row r="272474" s="12" customFormat="1" x14ac:dyDescent="0.25"/>
    <row r="272475" s="12" customFormat="1" x14ac:dyDescent="0.25"/>
    <row r="272476" s="12" customFormat="1" x14ac:dyDescent="0.25"/>
    <row r="272477" s="12" customFormat="1" x14ac:dyDescent="0.25"/>
    <row r="272478" s="12" customFormat="1" x14ac:dyDescent="0.25"/>
    <row r="272479" s="12" customFormat="1" x14ac:dyDescent="0.25"/>
    <row r="272480" s="12" customFormat="1" x14ac:dyDescent="0.25"/>
    <row r="272481" s="12" customFormat="1" x14ac:dyDescent="0.25"/>
    <row r="272482" s="12" customFormat="1" x14ac:dyDescent="0.25"/>
    <row r="272483" s="12" customFormat="1" x14ac:dyDescent="0.25"/>
    <row r="272484" s="12" customFormat="1" x14ac:dyDescent="0.25"/>
    <row r="272485" s="12" customFormat="1" x14ac:dyDescent="0.25"/>
    <row r="272486" s="12" customFormat="1" x14ac:dyDescent="0.25"/>
    <row r="272487" s="12" customFormat="1" x14ac:dyDescent="0.25"/>
    <row r="272488" s="12" customFormat="1" x14ac:dyDescent="0.25"/>
    <row r="272489" s="12" customFormat="1" x14ac:dyDescent="0.25"/>
    <row r="272490" s="12" customFormat="1" x14ac:dyDescent="0.25"/>
    <row r="272491" s="12" customFormat="1" x14ac:dyDescent="0.25"/>
    <row r="272492" s="12" customFormat="1" x14ac:dyDescent="0.25"/>
    <row r="272493" s="12" customFormat="1" x14ac:dyDescent="0.25"/>
    <row r="272494" s="12" customFormat="1" x14ac:dyDescent="0.25"/>
    <row r="272495" s="12" customFormat="1" x14ac:dyDescent="0.25"/>
    <row r="272496" s="12" customFormat="1" x14ac:dyDescent="0.25"/>
    <row r="272497" s="12" customFormat="1" x14ac:dyDescent="0.25"/>
    <row r="272498" s="12" customFormat="1" x14ac:dyDescent="0.25"/>
    <row r="272499" s="12" customFormat="1" x14ac:dyDescent="0.25"/>
    <row r="272500" s="12" customFormat="1" x14ac:dyDescent="0.25"/>
    <row r="272501" s="12" customFormat="1" x14ac:dyDescent="0.25"/>
    <row r="272502" s="12" customFormat="1" x14ac:dyDescent="0.25"/>
    <row r="272503" s="12" customFormat="1" x14ac:dyDescent="0.25"/>
    <row r="272504" s="12" customFormat="1" x14ac:dyDescent="0.25"/>
    <row r="272505" s="12" customFormat="1" x14ac:dyDescent="0.25"/>
    <row r="272506" s="12" customFormat="1" x14ac:dyDescent="0.25"/>
    <row r="272507" s="12" customFormat="1" x14ac:dyDescent="0.25"/>
    <row r="272508" s="12" customFormat="1" x14ac:dyDescent="0.25"/>
    <row r="272509" s="12" customFormat="1" x14ac:dyDescent="0.25"/>
    <row r="272510" s="12" customFormat="1" x14ac:dyDescent="0.25"/>
    <row r="272511" s="12" customFormat="1" x14ac:dyDescent="0.25"/>
    <row r="272512" s="12" customFormat="1" x14ac:dyDescent="0.25"/>
    <row r="272513" s="12" customFormat="1" x14ac:dyDescent="0.25"/>
    <row r="272514" s="12" customFormat="1" x14ac:dyDescent="0.25"/>
    <row r="272515" s="12" customFormat="1" x14ac:dyDescent="0.25"/>
    <row r="272516" s="12" customFormat="1" x14ac:dyDescent="0.25"/>
    <row r="272517" s="12" customFormat="1" x14ac:dyDescent="0.25"/>
    <row r="272518" s="12" customFormat="1" x14ac:dyDescent="0.25"/>
    <row r="272519" s="12" customFormat="1" x14ac:dyDescent="0.25"/>
    <row r="272520" s="12" customFormat="1" x14ac:dyDescent="0.25"/>
    <row r="272521" s="12" customFormat="1" x14ac:dyDescent="0.25"/>
    <row r="272522" s="12" customFormat="1" x14ac:dyDescent="0.25"/>
    <row r="272523" s="12" customFormat="1" x14ac:dyDescent="0.25"/>
    <row r="272524" s="12" customFormat="1" x14ac:dyDescent="0.25"/>
    <row r="272525" s="12" customFormat="1" x14ac:dyDescent="0.25"/>
    <row r="272526" s="12" customFormat="1" x14ac:dyDescent="0.25"/>
    <row r="272527" s="12" customFormat="1" x14ac:dyDescent="0.25"/>
    <row r="272528" s="12" customFormat="1" x14ac:dyDescent="0.25"/>
    <row r="272529" s="12" customFormat="1" x14ac:dyDescent="0.25"/>
    <row r="272530" s="12" customFormat="1" x14ac:dyDescent="0.25"/>
    <row r="272531" s="12" customFormat="1" x14ac:dyDescent="0.25"/>
    <row r="272532" s="12" customFormat="1" x14ac:dyDescent="0.25"/>
    <row r="272533" s="12" customFormat="1" x14ac:dyDescent="0.25"/>
    <row r="272534" s="12" customFormat="1" x14ac:dyDescent="0.25"/>
    <row r="272535" s="12" customFormat="1" x14ac:dyDescent="0.25"/>
    <row r="272536" s="12" customFormat="1" x14ac:dyDescent="0.25"/>
    <row r="272537" s="12" customFormat="1" x14ac:dyDescent="0.25"/>
    <row r="272538" s="12" customFormat="1" x14ac:dyDescent="0.25"/>
    <row r="272539" s="12" customFormat="1" x14ac:dyDescent="0.25"/>
    <row r="272540" s="12" customFormat="1" x14ac:dyDescent="0.25"/>
    <row r="272541" s="12" customFormat="1" x14ac:dyDescent="0.25"/>
    <row r="272542" s="12" customFormat="1" x14ac:dyDescent="0.25"/>
    <row r="272543" s="12" customFormat="1" x14ac:dyDescent="0.25"/>
    <row r="272544" s="12" customFormat="1" x14ac:dyDescent="0.25"/>
    <row r="272545" s="12" customFormat="1" x14ac:dyDescent="0.25"/>
    <row r="272546" s="12" customFormat="1" x14ac:dyDescent="0.25"/>
    <row r="272547" s="12" customFormat="1" x14ac:dyDescent="0.25"/>
    <row r="272548" s="12" customFormat="1" x14ac:dyDescent="0.25"/>
    <row r="272549" s="12" customFormat="1" x14ac:dyDescent="0.25"/>
    <row r="272550" s="12" customFormat="1" x14ac:dyDescent="0.25"/>
    <row r="272551" s="12" customFormat="1" x14ac:dyDescent="0.25"/>
    <row r="272552" s="12" customFormat="1" x14ac:dyDescent="0.25"/>
    <row r="272553" s="12" customFormat="1" x14ac:dyDescent="0.25"/>
    <row r="272554" s="12" customFormat="1" x14ac:dyDescent="0.25"/>
    <row r="272555" s="12" customFormat="1" x14ac:dyDescent="0.25"/>
    <row r="272556" s="12" customFormat="1" x14ac:dyDescent="0.25"/>
    <row r="272557" s="12" customFormat="1" x14ac:dyDescent="0.25"/>
    <row r="272558" s="12" customFormat="1" x14ac:dyDescent="0.25"/>
    <row r="272559" s="12" customFormat="1" x14ac:dyDescent="0.25"/>
    <row r="272560" s="12" customFormat="1" x14ac:dyDescent="0.25"/>
    <row r="272561" s="12" customFormat="1" x14ac:dyDescent="0.25"/>
    <row r="272562" s="12" customFormat="1" x14ac:dyDescent="0.25"/>
    <row r="272563" s="12" customFormat="1" x14ac:dyDescent="0.25"/>
    <row r="272564" s="12" customFormat="1" x14ac:dyDescent="0.25"/>
    <row r="272565" s="12" customFormat="1" x14ac:dyDescent="0.25"/>
    <row r="272566" s="12" customFormat="1" x14ac:dyDescent="0.25"/>
    <row r="272567" s="12" customFormat="1" x14ac:dyDescent="0.25"/>
    <row r="272568" s="12" customFormat="1" x14ac:dyDescent="0.25"/>
    <row r="272569" s="12" customFormat="1" x14ac:dyDescent="0.25"/>
    <row r="272570" s="12" customFormat="1" x14ac:dyDescent="0.25"/>
    <row r="272571" s="12" customFormat="1" x14ac:dyDescent="0.25"/>
    <row r="272572" s="12" customFormat="1" x14ac:dyDescent="0.25"/>
    <row r="272573" s="12" customFormat="1" x14ac:dyDescent="0.25"/>
    <row r="272574" s="12" customFormat="1" x14ac:dyDescent="0.25"/>
    <row r="272575" s="12" customFormat="1" x14ac:dyDescent="0.25"/>
    <row r="272576" s="12" customFormat="1" x14ac:dyDescent="0.25"/>
    <row r="272577" s="12" customFormat="1" x14ac:dyDescent="0.25"/>
    <row r="272578" s="12" customFormat="1" x14ac:dyDescent="0.25"/>
    <row r="272579" s="12" customFormat="1" x14ac:dyDescent="0.25"/>
    <row r="272580" s="12" customFormat="1" x14ac:dyDescent="0.25"/>
    <row r="272581" s="12" customFormat="1" x14ac:dyDescent="0.25"/>
    <row r="272582" s="12" customFormat="1" x14ac:dyDescent="0.25"/>
    <row r="272583" s="12" customFormat="1" x14ac:dyDescent="0.25"/>
    <row r="272584" s="12" customFormat="1" x14ac:dyDescent="0.25"/>
    <row r="272585" s="12" customFormat="1" x14ac:dyDescent="0.25"/>
    <row r="272586" s="12" customFormat="1" x14ac:dyDescent="0.25"/>
    <row r="272587" s="12" customFormat="1" x14ac:dyDescent="0.25"/>
    <row r="272588" s="12" customFormat="1" x14ac:dyDescent="0.25"/>
    <row r="272589" s="12" customFormat="1" x14ac:dyDescent="0.25"/>
    <row r="272590" s="12" customFormat="1" x14ac:dyDescent="0.25"/>
    <row r="272591" s="12" customFormat="1" x14ac:dyDescent="0.25"/>
    <row r="272592" s="12" customFormat="1" x14ac:dyDescent="0.25"/>
    <row r="272593" s="12" customFormat="1" x14ac:dyDescent="0.25"/>
    <row r="272594" s="12" customFormat="1" x14ac:dyDescent="0.25"/>
    <row r="272595" s="12" customFormat="1" x14ac:dyDescent="0.25"/>
    <row r="272596" s="12" customFormat="1" x14ac:dyDescent="0.25"/>
    <row r="272597" s="12" customFormat="1" x14ac:dyDescent="0.25"/>
    <row r="272598" s="12" customFormat="1" x14ac:dyDescent="0.25"/>
    <row r="272599" s="12" customFormat="1" x14ac:dyDescent="0.25"/>
    <row r="272600" s="12" customFormat="1" x14ac:dyDescent="0.25"/>
    <row r="272601" s="12" customFormat="1" x14ac:dyDescent="0.25"/>
    <row r="272602" s="12" customFormat="1" x14ac:dyDescent="0.25"/>
    <row r="272603" s="12" customFormat="1" x14ac:dyDescent="0.25"/>
    <row r="272604" s="12" customFormat="1" x14ac:dyDescent="0.25"/>
    <row r="272605" s="12" customFormat="1" x14ac:dyDescent="0.25"/>
    <row r="272606" s="12" customFormat="1" x14ac:dyDescent="0.25"/>
    <row r="272607" s="12" customFormat="1" x14ac:dyDescent="0.25"/>
    <row r="272608" s="12" customFormat="1" x14ac:dyDescent="0.25"/>
    <row r="272609" s="12" customFormat="1" x14ac:dyDescent="0.25"/>
    <row r="272610" s="12" customFormat="1" x14ac:dyDescent="0.25"/>
    <row r="272611" s="12" customFormat="1" x14ac:dyDescent="0.25"/>
    <row r="272612" s="12" customFormat="1" x14ac:dyDescent="0.25"/>
    <row r="272613" s="12" customFormat="1" x14ac:dyDescent="0.25"/>
    <row r="272614" s="12" customFormat="1" x14ac:dyDescent="0.25"/>
    <row r="272615" s="12" customFormat="1" x14ac:dyDescent="0.25"/>
    <row r="272616" s="12" customFormat="1" x14ac:dyDescent="0.25"/>
    <row r="272617" s="12" customFormat="1" x14ac:dyDescent="0.25"/>
    <row r="272618" s="12" customFormat="1" x14ac:dyDescent="0.25"/>
    <row r="272619" s="12" customFormat="1" x14ac:dyDescent="0.25"/>
    <row r="272620" s="12" customFormat="1" x14ac:dyDescent="0.25"/>
    <row r="272621" s="12" customFormat="1" x14ac:dyDescent="0.25"/>
    <row r="272622" s="12" customFormat="1" x14ac:dyDescent="0.25"/>
    <row r="272623" s="12" customFormat="1" x14ac:dyDescent="0.25"/>
    <row r="272624" s="12" customFormat="1" x14ac:dyDescent="0.25"/>
    <row r="272625" s="12" customFormat="1" x14ac:dyDescent="0.25"/>
    <row r="272626" s="12" customFormat="1" x14ac:dyDescent="0.25"/>
    <row r="272627" s="12" customFormat="1" x14ac:dyDescent="0.25"/>
    <row r="272628" s="12" customFormat="1" x14ac:dyDescent="0.25"/>
    <row r="272629" s="12" customFormat="1" x14ac:dyDescent="0.25"/>
    <row r="272630" s="12" customFormat="1" x14ac:dyDescent="0.25"/>
    <row r="272631" s="12" customFormat="1" x14ac:dyDescent="0.25"/>
    <row r="272632" s="12" customFormat="1" x14ac:dyDescent="0.25"/>
    <row r="272633" s="12" customFormat="1" x14ac:dyDescent="0.25"/>
    <row r="272634" s="12" customFormat="1" x14ac:dyDescent="0.25"/>
    <row r="272635" s="12" customFormat="1" x14ac:dyDescent="0.25"/>
    <row r="272636" s="12" customFormat="1" x14ac:dyDescent="0.25"/>
    <row r="272637" s="12" customFormat="1" x14ac:dyDescent="0.25"/>
    <row r="272638" s="12" customFormat="1" x14ac:dyDescent="0.25"/>
    <row r="272639" s="12" customFormat="1" x14ac:dyDescent="0.25"/>
    <row r="272640" s="12" customFormat="1" x14ac:dyDescent="0.25"/>
    <row r="272641" s="12" customFormat="1" x14ac:dyDescent="0.25"/>
    <row r="272642" s="12" customFormat="1" x14ac:dyDescent="0.25"/>
    <row r="272643" s="12" customFormat="1" x14ac:dyDescent="0.25"/>
    <row r="272644" s="12" customFormat="1" x14ac:dyDescent="0.25"/>
    <row r="272645" s="12" customFormat="1" x14ac:dyDescent="0.25"/>
    <row r="272646" s="12" customFormat="1" x14ac:dyDescent="0.25"/>
    <row r="272647" s="12" customFormat="1" x14ac:dyDescent="0.25"/>
    <row r="272648" s="12" customFormat="1" x14ac:dyDescent="0.25"/>
    <row r="272649" s="12" customFormat="1" x14ac:dyDescent="0.25"/>
    <row r="272650" s="12" customFormat="1" x14ac:dyDescent="0.25"/>
    <row r="272651" s="12" customFormat="1" x14ac:dyDescent="0.25"/>
    <row r="272652" s="12" customFormat="1" x14ac:dyDescent="0.25"/>
    <row r="272653" s="12" customFormat="1" x14ac:dyDescent="0.25"/>
    <row r="272654" s="12" customFormat="1" x14ac:dyDescent="0.25"/>
    <row r="272655" s="12" customFormat="1" x14ac:dyDescent="0.25"/>
    <row r="272656" s="12" customFormat="1" x14ac:dyDescent="0.25"/>
    <row r="272657" s="12" customFormat="1" x14ac:dyDescent="0.25"/>
    <row r="272658" s="12" customFormat="1" x14ac:dyDescent="0.25"/>
    <row r="272659" s="12" customFormat="1" x14ac:dyDescent="0.25"/>
    <row r="272660" s="12" customFormat="1" x14ac:dyDescent="0.25"/>
    <row r="272661" s="12" customFormat="1" x14ac:dyDescent="0.25"/>
    <row r="272662" s="12" customFormat="1" x14ac:dyDescent="0.25"/>
    <row r="272663" s="12" customFormat="1" x14ac:dyDescent="0.25"/>
    <row r="272664" s="12" customFormat="1" x14ac:dyDescent="0.25"/>
    <row r="272665" s="12" customFormat="1" x14ac:dyDescent="0.25"/>
    <row r="272666" s="12" customFormat="1" x14ac:dyDescent="0.25"/>
    <row r="272667" s="12" customFormat="1" x14ac:dyDescent="0.25"/>
    <row r="272668" s="12" customFormat="1" x14ac:dyDescent="0.25"/>
    <row r="272669" s="12" customFormat="1" x14ac:dyDescent="0.25"/>
    <row r="272670" s="12" customFormat="1" x14ac:dyDescent="0.25"/>
    <row r="272671" s="12" customFormat="1" x14ac:dyDescent="0.25"/>
    <row r="272672" s="12" customFormat="1" x14ac:dyDescent="0.25"/>
    <row r="272673" s="12" customFormat="1" x14ac:dyDescent="0.25"/>
    <row r="272674" s="12" customFormat="1" x14ac:dyDescent="0.25"/>
    <row r="272675" s="12" customFormat="1" x14ac:dyDescent="0.25"/>
    <row r="272676" s="12" customFormat="1" x14ac:dyDescent="0.25"/>
    <row r="272677" s="12" customFormat="1" x14ac:dyDescent="0.25"/>
    <row r="272678" s="12" customFormat="1" x14ac:dyDescent="0.25"/>
    <row r="272679" s="12" customFormat="1" x14ac:dyDescent="0.25"/>
    <row r="272680" s="12" customFormat="1" x14ac:dyDescent="0.25"/>
    <row r="272681" s="12" customFormat="1" x14ac:dyDescent="0.25"/>
    <row r="272682" s="12" customFormat="1" x14ac:dyDescent="0.25"/>
    <row r="272683" s="12" customFormat="1" x14ac:dyDescent="0.25"/>
    <row r="272684" s="12" customFormat="1" x14ac:dyDescent="0.25"/>
    <row r="272685" s="12" customFormat="1" x14ac:dyDescent="0.25"/>
    <row r="272686" s="12" customFormat="1" x14ac:dyDescent="0.25"/>
    <row r="272687" s="12" customFormat="1" x14ac:dyDescent="0.25"/>
    <row r="272688" s="12" customFormat="1" x14ac:dyDescent="0.25"/>
    <row r="272689" s="12" customFormat="1" x14ac:dyDescent="0.25"/>
    <row r="272690" s="12" customFormat="1" x14ac:dyDescent="0.25"/>
    <row r="272691" s="12" customFormat="1" x14ac:dyDescent="0.25"/>
    <row r="272692" s="12" customFormat="1" x14ac:dyDescent="0.25"/>
    <row r="272693" s="12" customFormat="1" x14ac:dyDescent="0.25"/>
    <row r="272694" s="12" customFormat="1" x14ac:dyDescent="0.25"/>
    <row r="272695" s="12" customFormat="1" x14ac:dyDescent="0.25"/>
    <row r="272696" s="12" customFormat="1" x14ac:dyDescent="0.25"/>
    <row r="272697" s="12" customFormat="1" x14ac:dyDescent="0.25"/>
    <row r="272698" s="12" customFormat="1" x14ac:dyDescent="0.25"/>
    <row r="272699" s="12" customFormat="1" x14ac:dyDescent="0.25"/>
    <row r="272700" s="12" customFormat="1" x14ac:dyDescent="0.25"/>
    <row r="272701" s="12" customFormat="1" x14ac:dyDescent="0.25"/>
    <row r="272702" s="12" customFormat="1" x14ac:dyDescent="0.25"/>
    <row r="272703" s="12" customFormat="1" x14ac:dyDescent="0.25"/>
    <row r="272704" s="12" customFormat="1" x14ac:dyDescent="0.25"/>
    <row r="272705" s="12" customFormat="1" x14ac:dyDescent="0.25"/>
    <row r="272706" s="12" customFormat="1" x14ac:dyDescent="0.25"/>
    <row r="272707" s="12" customFormat="1" x14ac:dyDescent="0.25"/>
    <row r="272708" s="12" customFormat="1" x14ac:dyDescent="0.25"/>
    <row r="272709" s="12" customFormat="1" x14ac:dyDescent="0.25"/>
    <row r="272710" s="12" customFormat="1" x14ac:dyDescent="0.25"/>
    <row r="272711" s="12" customFormat="1" x14ac:dyDescent="0.25"/>
    <row r="272712" s="12" customFormat="1" x14ac:dyDescent="0.25"/>
    <row r="272713" s="12" customFormat="1" x14ac:dyDescent="0.25"/>
    <row r="272714" s="12" customFormat="1" x14ac:dyDescent="0.25"/>
    <row r="272715" s="12" customFormat="1" x14ac:dyDescent="0.25"/>
    <row r="272716" s="12" customFormat="1" x14ac:dyDescent="0.25"/>
    <row r="272717" s="12" customFormat="1" x14ac:dyDescent="0.25"/>
    <row r="272718" s="12" customFormat="1" x14ac:dyDescent="0.25"/>
    <row r="272719" s="12" customFormat="1" x14ac:dyDescent="0.25"/>
    <row r="272720" s="12" customFormat="1" x14ac:dyDescent="0.25"/>
    <row r="272721" s="12" customFormat="1" x14ac:dyDescent="0.25"/>
    <row r="272722" s="12" customFormat="1" x14ac:dyDescent="0.25"/>
    <row r="272723" s="12" customFormat="1" x14ac:dyDescent="0.25"/>
    <row r="272724" s="12" customFormat="1" x14ac:dyDescent="0.25"/>
    <row r="272725" s="12" customFormat="1" x14ac:dyDescent="0.25"/>
    <row r="272726" s="12" customFormat="1" x14ac:dyDescent="0.25"/>
    <row r="272727" s="12" customFormat="1" x14ac:dyDescent="0.25"/>
    <row r="272728" s="12" customFormat="1" x14ac:dyDescent="0.25"/>
    <row r="272729" s="12" customFormat="1" x14ac:dyDescent="0.25"/>
    <row r="272730" s="12" customFormat="1" x14ac:dyDescent="0.25"/>
    <row r="272731" s="12" customFormat="1" x14ac:dyDescent="0.25"/>
    <row r="272732" s="12" customFormat="1" x14ac:dyDescent="0.25"/>
    <row r="272733" s="12" customFormat="1" x14ac:dyDescent="0.25"/>
    <row r="272734" s="12" customFormat="1" x14ac:dyDescent="0.25"/>
    <row r="272735" s="12" customFormat="1" x14ac:dyDescent="0.25"/>
    <row r="272736" s="12" customFormat="1" x14ac:dyDescent="0.25"/>
    <row r="272737" s="12" customFormat="1" x14ac:dyDescent="0.25"/>
    <row r="272738" s="12" customFormat="1" x14ac:dyDescent="0.25"/>
    <row r="272739" s="12" customFormat="1" x14ac:dyDescent="0.25"/>
    <row r="272740" s="12" customFormat="1" x14ac:dyDescent="0.25"/>
    <row r="272741" s="12" customFormat="1" x14ac:dyDescent="0.25"/>
    <row r="272742" s="12" customFormat="1" x14ac:dyDescent="0.25"/>
    <row r="272743" s="12" customFormat="1" x14ac:dyDescent="0.25"/>
    <row r="272744" s="12" customFormat="1" x14ac:dyDescent="0.25"/>
    <row r="272745" s="12" customFormat="1" x14ac:dyDescent="0.25"/>
    <row r="272746" s="12" customFormat="1" x14ac:dyDescent="0.25"/>
    <row r="272747" s="12" customFormat="1" x14ac:dyDescent="0.25"/>
    <row r="272748" s="12" customFormat="1" x14ac:dyDescent="0.25"/>
    <row r="272749" s="12" customFormat="1" x14ac:dyDescent="0.25"/>
    <row r="272750" s="12" customFormat="1" x14ac:dyDescent="0.25"/>
    <row r="272751" s="12" customFormat="1" x14ac:dyDescent="0.25"/>
    <row r="272752" s="12" customFormat="1" x14ac:dyDescent="0.25"/>
    <row r="272753" s="12" customFormat="1" x14ac:dyDescent="0.25"/>
    <row r="272754" s="12" customFormat="1" x14ac:dyDescent="0.25"/>
    <row r="272755" s="12" customFormat="1" x14ac:dyDescent="0.25"/>
    <row r="272756" s="12" customFormat="1" x14ac:dyDescent="0.25"/>
    <row r="272757" s="12" customFormat="1" x14ac:dyDescent="0.25"/>
    <row r="272758" s="12" customFormat="1" x14ac:dyDescent="0.25"/>
    <row r="272759" s="12" customFormat="1" x14ac:dyDescent="0.25"/>
    <row r="272760" s="12" customFormat="1" x14ac:dyDescent="0.25"/>
    <row r="272761" s="12" customFormat="1" x14ac:dyDescent="0.25"/>
    <row r="272762" s="12" customFormat="1" x14ac:dyDescent="0.25"/>
    <row r="272763" s="12" customFormat="1" x14ac:dyDescent="0.25"/>
    <row r="272764" s="12" customFormat="1" x14ac:dyDescent="0.25"/>
    <row r="272765" s="12" customFormat="1" x14ac:dyDescent="0.25"/>
    <row r="272766" s="12" customFormat="1" x14ac:dyDescent="0.25"/>
    <row r="272767" s="12" customFormat="1" x14ac:dyDescent="0.25"/>
    <row r="272768" s="12" customFormat="1" x14ac:dyDescent="0.25"/>
    <row r="272769" s="12" customFormat="1" x14ac:dyDescent="0.25"/>
    <row r="272770" s="12" customFormat="1" x14ac:dyDescent="0.25"/>
    <row r="272771" s="12" customFormat="1" x14ac:dyDescent="0.25"/>
    <row r="272772" s="12" customFormat="1" x14ac:dyDescent="0.25"/>
    <row r="272773" s="12" customFormat="1" x14ac:dyDescent="0.25"/>
    <row r="272774" s="12" customFormat="1" x14ac:dyDescent="0.25"/>
    <row r="272775" s="12" customFormat="1" x14ac:dyDescent="0.25"/>
    <row r="272776" s="12" customFormat="1" x14ac:dyDescent="0.25"/>
    <row r="272777" s="12" customFormat="1" x14ac:dyDescent="0.25"/>
    <row r="272778" s="12" customFormat="1" x14ac:dyDescent="0.25"/>
    <row r="272779" s="12" customFormat="1" x14ac:dyDescent="0.25"/>
    <row r="272780" s="12" customFormat="1" x14ac:dyDescent="0.25"/>
    <row r="272781" s="12" customFormat="1" x14ac:dyDescent="0.25"/>
    <row r="272782" s="12" customFormat="1" x14ac:dyDescent="0.25"/>
    <row r="272783" s="12" customFormat="1" x14ac:dyDescent="0.25"/>
    <row r="272784" s="12" customFormat="1" x14ac:dyDescent="0.25"/>
    <row r="272785" s="12" customFormat="1" x14ac:dyDescent="0.25"/>
    <row r="272786" s="12" customFormat="1" x14ac:dyDescent="0.25"/>
    <row r="272787" s="12" customFormat="1" x14ac:dyDescent="0.25"/>
    <row r="272788" s="12" customFormat="1" x14ac:dyDescent="0.25"/>
    <row r="272789" s="12" customFormat="1" x14ac:dyDescent="0.25"/>
    <row r="272790" s="12" customFormat="1" x14ac:dyDescent="0.25"/>
    <row r="272791" s="12" customFormat="1" x14ac:dyDescent="0.25"/>
    <row r="272792" s="12" customFormat="1" x14ac:dyDescent="0.25"/>
    <row r="272793" s="12" customFormat="1" x14ac:dyDescent="0.25"/>
    <row r="272794" s="12" customFormat="1" x14ac:dyDescent="0.25"/>
    <row r="272795" s="12" customFormat="1" x14ac:dyDescent="0.25"/>
    <row r="272796" s="12" customFormat="1" x14ac:dyDescent="0.25"/>
    <row r="272797" s="12" customFormat="1" x14ac:dyDescent="0.25"/>
    <row r="272798" s="12" customFormat="1" x14ac:dyDescent="0.25"/>
    <row r="272799" s="12" customFormat="1" x14ac:dyDescent="0.25"/>
    <row r="272800" s="12" customFormat="1" x14ac:dyDescent="0.25"/>
    <row r="272801" s="12" customFormat="1" x14ac:dyDescent="0.25"/>
    <row r="272802" s="12" customFormat="1" x14ac:dyDescent="0.25"/>
    <row r="272803" s="12" customFormat="1" x14ac:dyDescent="0.25"/>
    <row r="272804" s="12" customFormat="1" x14ac:dyDescent="0.25"/>
    <row r="272805" s="12" customFormat="1" x14ac:dyDescent="0.25"/>
    <row r="272806" s="12" customFormat="1" x14ac:dyDescent="0.25"/>
    <row r="272807" s="12" customFormat="1" x14ac:dyDescent="0.25"/>
    <row r="272808" s="12" customFormat="1" x14ac:dyDescent="0.25"/>
    <row r="272809" s="12" customFormat="1" x14ac:dyDescent="0.25"/>
    <row r="272810" s="12" customFormat="1" x14ac:dyDescent="0.25"/>
    <row r="272811" s="12" customFormat="1" x14ac:dyDescent="0.25"/>
    <row r="272812" s="12" customFormat="1" x14ac:dyDescent="0.25"/>
    <row r="272813" s="12" customFormat="1" x14ac:dyDescent="0.25"/>
    <row r="272814" s="12" customFormat="1" x14ac:dyDescent="0.25"/>
    <row r="272815" s="12" customFormat="1" x14ac:dyDescent="0.25"/>
    <row r="272816" s="12" customFormat="1" x14ac:dyDescent="0.25"/>
    <row r="272817" s="12" customFormat="1" x14ac:dyDescent="0.25"/>
    <row r="272818" s="12" customFormat="1" x14ac:dyDescent="0.25"/>
    <row r="272819" s="12" customFormat="1" x14ac:dyDescent="0.25"/>
    <row r="272820" s="12" customFormat="1" x14ac:dyDescent="0.25"/>
    <row r="272821" s="12" customFormat="1" x14ac:dyDescent="0.25"/>
    <row r="272822" s="12" customFormat="1" x14ac:dyDescent="0.25"/>
    <row r="272823" s="12" customFormat="1" x14ac:dyDescent="0.25"/>
    <row r="272824" s="12" customFormat="1" x14ac:dyDescent="0.25"/>
    <row r="272825" s="12" customFormat="1" x14ac:dyDescent="0.25"/>
    <row r="272826" s="12" customFormat="1" x14ac:dyDescent="0.25"/>
    <row r="272827" s="12" customFormat="1" x14ac:dyDescent="0.25"/>
    <row r="272828" s="12" customFormat="1" x14ac:dyDescent="0.25"/>
    <row r="272829" s="12" customFormat="1" x14ac:dyDescent="0.25"/>
    <row r="272830" s="12" customFormat="1" x14ac:dyDescent="0.25"/>
    <row r="272831" s="12" customFormat="1" x14ac:dyDescent="0.25"/>
    <row r="272832" s="12" customFormat="1" x14ac:dyDescent="0.25"/>
    <row r="272833" s="12" customFormat="1" x14ac:dyDescent="0.25"/>
    <row r="272834" s="12" customFormat="1" x14ac:dyDescent="0.25"/>
    <row r="272835" s="12" customFormat="1" x14ac:dyDescent="0.25"/>
    <row r="272836" s="12" customFormat="1" x14ac:dyDescent="0.25"/>
    <row r="272837" s="12" customFormat="1" x14ac:dyDescent="0.25"/>
    <row r="272838" s="12" customFormat="1" x14ac:dyDescent="0.25"/>
    <row r="272839" s="12" customFormat="1" x14ac:dyDescent="0.25"/>
    <row r="272840" s="12" customFormat="1" x14ac:dyDescent="0.25"/>
    <row r="272841" s="12" customFormat="1" x14ac:dyDescent="0.25"/>
    <row r="272842" s="12" customFormat="1" x14ac:dyDescent="0.25"/>
    <row r="272843" s="12" customFormat="1" x14ac:dyDescent="0.25"/>
    <row r="272844" s="12" customFormat="1" x14ac:dyDescent="0.25"/>
    <row r="272845" s="12" customFormat="1" x14ac:dyDescent="0.25"/>
    <row r="272846" s="12" customFormat="1" x14ac:dyDescent="0.25"/>
    <row r="272847" s="12" customFormat="1" x14ac:dyDescent="0.25"/>
    <row r="272848" s="12" customFormat="1" x14ac:dyDescent="0.25"/>
    <row r="272849" s="12" customFormat="1" x14ac:dyDescent="0.25"/>
    <row r="272850" s="12" customFormat="1" x14ac:dyDescent="0.25"/>
    <row r="272851" s="12" customFormat="1" x14ac:dyDescent="0.25"/>
    <row r="272852" s="12" customFormat="1" x14ac:dyDescent="0.25"/>
    <row r="272853" s="12" customFormat="1" x14ac:dyDescent="0.25"/>
    <row r="272854" s="12" customFormat="1" x14ac:dyDescent="0.25"/>
    <row r="272855" s="12" customFormat="1" x14ac:dyDescent="0.25"/>
    <row r="272856" s="12" customFormat="1" x14ac:dyDescent="0.25"/>
    <row r="272857" s="12" customFormat="1" x14ac:dyDescent="0.25"/>
    <row r="272858" s="12" customFormat="1" x14ac:dyDescent="0.25"/>
    <row r="272859" s="12" customFormat="1" x14ac:dyDescent="0.25"/>
    <row r="272860" s="12" customFormat="1" x14ac:dyDescent="0.25"/>
    <row r="272861" s="12" customFormat="1" x14ac:dyDescent="0.25"/>
    <row r="272862" s="12" customFormat="1" x14ac:dyDescent="0.25"/>
    <row r="272863" s="12" customFormat="1" x14ac:dyDescent="0.25"/>
    <row r="272864" s="12" customFormat="1" x14ac:dyDescent="0.25"/>
    <row r="272865" s="12" customFormat="1" x14ac:dyDescent="0.25"/>
    <row r="272866" s="12" customFormat="1" x14ac:dyDescent="0.25"/>
    <row r="272867" s="12" customFormat="1" x14ac:dyDescent="0.25"/>
    <row r="272868" s="12" customFormat="1" x14ac:dyDescent="0.25"/>
    <row r="272869" s="12" customFormat="1" x14ac:dyDescent="0.25"/>
    <row r="272870" s="12" customFormat="1" x14ac:dyDescent="0.25"/>
    <row r="272871" s="12" customFormat="1" x14ac:dyDescent="0.25"/>
    <row r="272872" s="12" customFormat="1" x14ac:dyDescent="0.25"/>
    <row r="272873" s="12" customFormat="1" x14ac:dyDescent="0.25"/>
    <row r="272874" s="12" customFormat="1" x14ac:dyDescent="0.25"/>
    <row r="272875" s="12" customFormat="1" x14ac:dyDescent="0.25"/>
    <row r="272876" s="12" customFormat="1" x14ac:dyDescent="0.25"/>
    <row r="272877" s="12" customFormat="1" x14ac:dyDescent="0.25"/>
    <row r="272878" s="12" customFormat="1" x14ac:dyDescent="0.25"/>
    <row r="272879" s="12" customFormat="1" x14ac:dyDescent="0.25"/>
    <row r="272880" s="12" customFormat="1" x14ac:dyDescent="0.25"/>
    <row r="272881" s="12" customFormat="1" x14ac:dyDescent="0.25"/>
    <row r="272882" s="12" customFormat="1" x14ac:dyDescent="0.25"/>
    <row r="272883" s="12" customFormat="1" x14ac:dyDescent="0.25"/>
    <row r="272884" s="12" customFormat="1" x14ac:dyDescent="0.25"/>
    <row r="272885" s="12" customFormat="1" x14ac:dyDescent="0.25"/>
    <row r="272886" s="12" customFormat="1" x14ac:dyDescent="0.25"/>
    <row r="272887" s="12" customFormat="1" x14ac:dyDescent="0.25"/>
    <row r="272888" s="12" customFormat="1" x14ac:dyDescent="0.25"/>
    <row r="272889" s="12" customFormat="1" x14ac:dyDescent="0.25"/>
    <row r="272890" s="12" customFormat="1" x14ac:dyDescent="0.25"/>
    <row r="272891" s="12" customFormat="1" x14ac:dyDescent="0.25"/>
    <row r="272892" s="12" customFormat="1" x14ac:dyDescent="0.25"/>
    <row r="272893" s="12" customFormat="1" x14ac:dyDescent="0.25"/>
    <row r="272894" s="12" customFormat="1" x14ac:dyDescent="0.25"/>
    <row r="272895" s="12" customFormat="1" x14ac:dyDescent="0.25"/>
    <row r="272896" s="12" customFormat="1" x14ac:dyDescent="0.25"/>
    <row r="272897" s="12" customFormat="1" x14ac:dyDescent="0.25"/>
    <row r="272898" s="12" customFormat="1" x14ac:dyDescent="0.25"/>
    <row r="272899" s="12" customFormat="1" x14ac:dyDescent="0.25"/>
    <row r="272900" s="12" customFormat="1" x14ac:dyDescent="0.25"/>
    <row r="272901" s="12" customFormat="1" x14ac:dyDescent="0.25"/>
    <row r="272902" s="12" customFormat="1" x14ac:dyDescent="0.25"/>
    <row r="272903" s="12" customFormat="1" x14ac:dyDescent="0.25"/>
    <row r="272904" s="12" customFormat="1" x14ac:dyDescent="0.25"/>
    <row r="272905" s="12" customFormat="1" x14ac:dyDescent="0.25"/>
    <row r="272906" s="12" customFormat="1" x14ac:dyDescent="0.25"/>
    <row r="272907" s="12" customFormat="1" x14ac:dyDescent="0.25"/>
    <row r="272908" s="12" customFormat="1" x14ac:dyDescent="0.25"/>
    <row r="272909" s="12" customFormat="1" x14ac:dyDescent="0.25"/>
    <row r="272910" s="12" customFormat="1" x14ac:dyDescent="0.25"/>
    <row r="272911" s="12" customFormat="1" x14ac:dyDescent="0.25"/>
    <row r="272912" s="12" customFormat="1" x14ac:dyDescent="0.25"/>
    <row r="272913" s="12" customFormat="1" x14ac:dyDescent="0.25"/>
    <row r="272914" s="12" customFormat="1" x14ac:dyDescent="0.25"/>
    <row r="272915" s="12" customFormat="1" x14ac:dyDescent="0.25"/>
    <row r="272916" s="12" customFormat="1" x14ac:dyDescent="0.25"/>
    <row r="272917" s="12" customFormat="1" x14ac:dyDescent="0.25"/>
    <row r="272918" s="12" customFormat="1" x14ac:dyDescent="0.25"/>
    <row r="272919" s="12" customFormat="1" x14ac:dyDescent="0.25"/>
    <row r="272920" s="12" customFormat="1" x14ac:dyDescent="0.25"/>
    <row r="272921" s="12" customFormat="1" x14ac:dyDescent="0.25"/>
    <row r="272922" s="12" customFormat="1" x14ac:dyDescent="0.25"/>
    <row r="272923" s="12" customFormat="1" x14ac:dyDescent="0.25"/>
    <row r="272924" s="12" customFormat="1" x14ac:dyDescent="0.25"/>
    <row r="272925" s="12" customFormat="1" x14ac:dyDescent="0.25"/>
    <row r="272926" s="12" customFormat="1" x14ac:dyDescent="0.25"/>
    <row r="272927" s="12" customFormat="1" x14ac:dyDescent="0.25"/>
    <row r="272928" s="12" customFormat="1" x14ac:dyDescent="0.25"/>
    <row r="272929" s="12" customFormat="1" x14ac:dyDescent="0.25"/>
    <row r="272930" s="12" customFormat="1" x14ac:dyDescent="0.25"/>
    <row r="272931" s="12" customFormat="1" x14ac:dyDescent="0.25"/>
    <row r="272932" s="12" customFormat="1" x14ac:dyDescent="0.25"/>
    <row r="272933" s="12" customFormat="1" x14ac:dyDescent="0.25"/>
    <row r="272934" s="12" customFormat="1" x14ac:dyDescent="0.25"/>
    <row r="272935" s="12" customFormat="1" x14ac:dyDescent="0.25"/>
    <row r="272936" s="12" customFormat="1" x14ac:dyDescent="0.25"/>
    <row r="272937" s="12" customFormat="1" x14ac:dyDescent="0.25"/>
    <row r="272938" s="12" customFormat="1" x14ac:dyDescent="0.25"/>
    <row r="272939" s="12" customFormat="1" x14ac:dyDescent="0.25"/>
    <row r="272940" s="12" customFormat="1" x14ac:dyDescent="0.25"/>
    <row r="272941" s="12" customFormat="1" x14ac:dyDescent="0.25"/>
    <row r="272942" s="12" customFormat="1" x14ac:dyDescent="0.25"/>
    <row r="272943" s="12" customFormat="1" x14ac:dyDescent="0.25"/>
    <row r="272944" s="12" customFormat="1" x14ac:dyDescent="0.25"/>
    <row r="272945" s="12" customFormat="1" x14ac:dyDescent="0.25"/>
    <row r="272946" s="12" customFormat="1" x14ac:dyDescent="0.25"/>
    <row r="272947" s="12" customFormat="1" x14ac:dyDescent="0.25"/>
    <row r="272948" s="12" customFormat="1" x14ac:dyDescent="0.25"/>
    <row r="272949" s="12" customFormat="1" x14ac:dyDescent="0.25"/>
    <row r="272950" s="12" customFormat="1" x14ac:dyDescent="0.25"/>
    <row r="272951" s="12" customFormat="1" x14ac:dyDescent="0.25"/>
    <row r="272952" s="12" customFormat="1" x14ac:dyDescent="0.25"/>
    <row r="272953" s="12" customFormat="1" x14ac:dyDescent="0.25"/>
    <row r="272954" s="12" customFormat="1" x14ac:dyDescent="0.25"/>
    <row r="272955" s="12" customFormat="1" x14ac:dyDescent="0.25"/>
    <row r="272956" s="12" customFormat="1" x14ac:dyDescent="0.25"/>
    <row r="272957" s="12" customFormat="1" x14ac:dyDescent="0.25"/>
    <row r="272958" s="12" customFormat="1" x14ac:dyDescent="0.25"/>
    <row r="272959" s="12" customFormat="1" x14ac:dyDescent="0.25"/>
    <row r="272960" s="12" customFormat="1" x14ac:dyDescent="0.25"/>
    <row r="272961" s="12" customFormat="1" x14ac:dyDescent="0.25"/>
    <row r="272962" s="12" customFormat="1" x14ac:dyDescent="0.25"/>
    <row r="272963" s="12" customFormat="1" x14ac:dyDescent="0.25"/>
    <row r="272964" s="12" customFormat="1" x14ac:dyDescent="0.25"/>
    <row r="272965" s="12" customFormat="1" x14ac:dyDescent="0.25"/>
    <row r="272966" s="12" customFormat="1" x14ac:dyDescent="0.25"/>
    <row r="272967" s="12" customFormat="1" x14ac:dyDescent="0.25"/>
    <row r="272968" s="12" customFormat="1" x14ac:dyDescent="0.25"/>
    <row r="272969" s="12" customFormat="1" x14ac:dyDescent="0.25"/>
    <row r="272970" s="12" customFormat="1" x14ac:dyDescent="0.25"/>
    <row r="272971" s="12" customFormat="1" x14ac:dyDescent="0.25"/>
    <row r="272972" s="12" customFormat="1" x14ac:dyDescent="0.25"/>
    <row r="272973" s="12" customFormat="1" x14ac:dyDescent="0.25"/>
    <row r="272974" s="12" customFormat="1" x14ac:dyDescent="0.25"/>
    <row r="272975" s="12" customFormat="1" x14ac:dyDescent="0.25"/>
    <row r="272976" s="12" customFormat="1" x14ac:dyDescent="0.25"/>
    <row r="272977" s="12" customFormat="1" x14ac:dyDescent="0.25"/>
    <row r="272978" s="12" customFormat="1" x14ac:dyDescent="0.25"/>
    <row r="272979" s="12" customFormat="1" x14ac:dyDescent="0.25"/>
    <row r="272980" s="12" customFormat="1" x14ac:dyDescent="0.25"/>
    <row r="272981" s="12" customFormat="1" x14ac:dyDescent="0.25"/>
    <row r="272982" s="12" customFormat="1" x14ac:dyDescent="0.25"/>
    <row r="272983" s="12" customFormat="1" x14ac:dyDescent="0.25"/>
    <row r="272984" s="12" customFormat="1" x14ac:dyDescent="0.25"/>
    <row r="272985" s="12" customFormat="1" x14ac:dyDescent="0.25"/>
    <row r="272986" s="12" customFormat="1" x14ac:dyDescent="0.25"/>
    <row r="272987" s="12" customFormat="1" x14ac:dyDescent="0.25"/>
    <row r="272988" s="12" customFormat="1" x14ac:dyDescent="0.25"/>
    <row r="272989" s="12" customFormat="1" x14ac:dyDescent="0.25"/>
    <row r="272990" s="12" customFormat="1" x14ac:dyDescent="0.25"/>
    <row r="272991" s="12" customFormat="1" x14ac:dyDescent="0.25"/>
    <row r="272992" s="12" customFormat="1" x14ac:dyDescent="0.25"/>
    <row r="272993" s="12" customFormat="1" x14ac:dyDescent="0.25"/>
    <row r="272994" s="12" customFormat="1" x14ac:dyDescent="0.25"/>
    <row r="272995" s="12" customFormat="1" x14ac:dyDescent="0.25"/>
    <row r="272996" s="12" customFormat="1" x14ac:dyDescent="0.25"/>
    <row r="272997" s="12" customFormat="1" x14ac:dyDescent="0.25"/>
    <row r="272998" s="12" customFormat="1" x14ac:dyDescent="0.25"/>
    <row r="272999" s="12" customFormat="1" x14ac:dyDescent="0.25"/>
    <row r="273000" s="12" customFormat="1" x14ac:dyDescent="0.25"/>
    <row r="273001" s="12" customFormat="1" x14ac:dyDescent="0.25"/>
    <row r="273002" s="12" customFormat="1" x14ac:dyDescent="0.25"/>
    <row r="273003" s="12" customFormat="1" x14ac:dyDescent="0.25"/>
    <row r="273004" s="12" customFormat="1" x14ac:dyDescent="0.25"/>
    <row r="273005" s="12" customFormat="1" x14ac:dyDescent="0.25"/>
    <row r="273006" s="12" customFormat="1" x14ac:dyDescent="0.25"/>
    <row r="273007" s="12" customFormat="1" x14ac:dyDescent="0.25"/>
    <row r="273008" s="12" customFormat="1" x14ac:dyDescent="0.25"/>
    <row r="273009" s="12" customFormat="1" x14ac:dyDescent="0.25"/>
    <row r="273010" s="12" customFormat="1" x14ac:dyDescent="0.25"/>
    <row r="273011" s="12" customFormat="1" x14ac:dyDescent="0.25"/>
    <row r="273012" s="12" customFormat="1" x14ac:dyDescent="0.25"/>
    <row r="273013" s="12" customFormat="1" x14ac:dyDescent="0.25"/>
    <row r="273014" s="12" customFormat="1" x14ac:dyDescent="0.25"/>
    <row r="273015" s="12" customFormat="1" x14ac:dyDescent="0.25"/>
    <row r="273016" s="12" customFormat="1" x14ac:dyDescent="0.25"/>
    <row r="273017" s="12" customFormat="1" x14ac:dyDescent="0.25"/>
    <row r="273018" s="12" customFormat="1" x14ac:dyDescent="0.25"/>
    <row r="273019" s="12" customFormat="1" x14ac:dyDescent="0.25"/>
    <row r="273020" s="12" customFormat="1" x14ac:dyDescent="0.25"/>
    <row r="273021" s="12" customFormat="1" x14ac:dyDescent="0.25"/>
    <row r="273022" s="12" customFormat="1" x14ac:dyDescent="0.25"/>
    <row r="273023" s="12" customFormat="1" x14ac:dyDescent="0.25"/>
    <row r="273024" s="12" customFormat="1" x14ac:dyDescent="0.25"/>
    <row r="273025" s="12" customFormat="1" x14ac:dyDescent="0.25"/>
    <row r="273026" s="12" customFormat="1" x14ac:dyDescent="0.25"/>
    <row r="273027" s="12" customFormat="1" x14ac:dyDescent="0.25"/>
    <row r="273028" s="12" customFormat="1" x14ac:dyDescent="0.25"/>
    <row r="273029" s="12" customFormat="1" x14ac:dyDescent="0.25"/>
    <row r="273030" s="12" customFormat="1" x14ac:dyDescent="0.25"/>
    <row r="273031" s="12" customFormat="1" x14ac:dyDescent="0.25"/>
    <row r="273032" s="12" customFormat="1" x14ac:dyDescent="0.25"/>
    <row r="273033" s="12" customFormat="1" x14ac:dyDescent="0.25"/>
    <row r="273034" s="12" customFormat="1" x14ac:dyDescent="0.25"/>
    <row r="273035" s="12" customFormat="1" x14ac:dyDescent="0.25"/>
    <row r="273036" s="12" customFormat="1" x14ac:dyDescent="0.25"/>
    <row r="273037" s="12" customFormat="1" x14ac:dyDescent="0.25"/>
    <row r="273038" s="12" customFormat="1" x14ac:dyDescent="0.25"/>
    <row r="273039" s="12" customFormat="1" x14ac:dyDescent="0.25"/>
    <row r="273040" s="12" customFormat="1" x14ac:dyDescent="0.25"/>
    <row r="273041" s="12" customFormat="1" x14ac:dyDescent="0.25"/>
    <row r="273042" s="12" customFormat="1" x14ac:dyDescent="0.25"/>
    <row r="273043" s="12" customFormat="1" x14ac:dyDescent="0.25"/>
    <row r="273044" s="12" customFormat="1" x14ac:dyDescent="0.25"/>
    <row r="273045" s="12" customFormat="1" x14ac:dyDescent="0.25"/>
    <row r="273046" s="12" customFormat="1" x14ac:dyDescent="0.25"/>
    <row r="273047" s="12" customFormat="1" x14ac:dyDescent="0.25"/>
    <row r="273048" s="12" customFormat="1" x14ac:dyDescent="0.25"/>
    <row r="273049" s="12" customFormat="1" x14ac:dyDescent="0.25"/>
    <row r="273050" s="12" customFormat="1" x14ac:dyDescent="0.25"/>
    <row r="273051" s="12" customFormat="1" x14ac:dyDescent="0.25"/>
    <row r="273052" s="12" customFormat="1" x14ac:dyDescent="0.25"/>
    <row r="273053" s="12" customFormat="1" x14ac:dyDescent="0.25"/>
    <row r="273054" s="12" customFormat="1" x14ac:dyDescent="0.25"/>
    <row r="273055" s="12" customFormat="1" x14ac:dyDescent="0.25"/>
    <row r="273056" s="12" customFormat="1" x14ac:dyDescent="0.25"/>
    <row r="273057" s="12" customFormat="1" x14ac:dyDescent="0.25"/>
    <row r="273058" s="12" customFormat="1" x14ac:dyDescent="0.25"/>
    <row r="273059" s="12" customFormat="1" x14ac:dyDescent="0.25"/>
    <row r="273060" s="12" customFormat="1" x14ac:dyDescent="0.25"/>
    <row r="273061" s="12" customFormat="1" x14ac:dyDescent="0.25"/>
    <row r="273062" s="12" customFormat="1" x14ac:dyDescent="0.25"/>
    <row r="273063" s="12" customFormat="1" x14ac:dyDescent="0.25"/>
    <row r="273064" s="12" customFormat="1" x14ac:dyDescent="0.25"/>
    <row r="273065" s="12" customFormat="1" x14ac:dyDescent="0.25"/>
    <row r="273066" s="12" customFormat="1" x14ac:dyDescent="0.25"/>
    <row r="273067" s="12" customFormat="1" x14ac:dyDescent="0.25"/>
    <row r="273068" s="12" customFormat="1" x14ac:dyDescent="0.25"/>
    <row r="273069" s="12" customFormat="1" x14ac:dyDescent="0.25"/>
    <row r="273070" s="12" customFormat="1" x14ac:dyDescent="0.25"/>
    <row r="273071" s="12" customFormat="1" x14ac:dyDescent="0.25"/>
    <row r="273072" s="12" customFormat="1" x14ac:dyDescent="0.25"/>
    <row r="273073" s="12" customFormat="1" x14ac:dyDescent="0.25"/>
    <row r="273074" s="12" customFormat="1" x14ac:dyDescent="0.25"/>
    <row r="273075" s="12" customFormat="1" x14ac:dyDescent="0.25"/>
    <row r="273076" s="12" customFormat="1" x14ac:dyDescent="0.25"/>
    <row r="273077" s="12" customFormat="1" x14ac:dyDescent="0.25"/>
    <row r="273078" s="12" customFormat="1" x14ac:dyDescent="0.25"/>
    <row r="273079" s="12" customFormat="1" x14ac:dyDescent="0.25"/>
    <row r="273080" s="12" customFormat="1" x14ac:dyDescent="0.25"/>
    <row r="273081" s="12" customFormat="1" x14ac:dyDescent="0.25"/>
    <row r="273082" s="12" customFormat="1" x14ac:dyDescent="0.25"/>
    <row r="273083" s="12" customFormat="1" x14ac:dyDescent="0.25"/>
    <row r="273084" s="12" customFormat="1" x14ac:dyDescent="0.25"/>
    <row r="273085" s="12" customFormat="1" x14ac:dyDescent="0.25"/>
    <row r="273086" s="12" customFormat="1" x14ac:dyDescent="0.25"/>
    <row r="273087" s="12" customFormat="1" x14ac:dyDescent="0.25"/>
    <row r="273088" s="12" customFormat="1" x14ac:dyDescent="0.25"/>
    <row r="273089" s="12" customFormat="1" x14ac:dyDescent="0.25"/>
    <row r="273090" s="12" customFormat="1" x14ac:dyDescent="0.25"/>
    <row r="273091" s="12" customFormat="1" x14ac:dyDescent="0.25"/>
    <row r="273092" s="12" customFormat="1" x14ac:dyDescent="0.25"/>
    <row r="273093" s="12" customFormat="1" x14ac:dyDescent="0.25"/>
    <row r="273094" s="12" customFormat="1" x14ac:dyDescent="0.25"/>
    <row r="273095" s="12" customFormat="1" x14ac:dyDescent="0.25"/>
    <row r="273096" s="12" customFormat="1" x14ac:dyDescent="0.25"/>
    <row r="273097" s="12" customFormat="1" x14ac:dyDescent="0.25"/>
    <row r="273098" s="12" customFormat="1" x14ac:dyDescent="0.25"/>
    <row r="273099" s="12" customFormat="1" x14ac:dyDescent="0.25"/>
    <row r="273100" s="12" customFormat="1" x14ac:dyDescent="0.25"/>
    <row r="273101" s="12" customFormat="1" x14ac:dyDescent="0.25"/>
    <row r="273102" s="12" customFormat="1" x14ac:dyDescent="0.25"/>
    <row r="273103" s="12" customFormat="1" x14ac:dyDescent="0.25"/>
    <row r="273104" s="12" customFormat="1" x14ac:dyDescent="0.25"/>
    <row r="273105" s="12" customFormat="1" x14ac:dyDescent="0.25"/>
    <row r="273106" s="12" customFormat="1" x14ac:dyDescent="0.25"/>
    <row r="273107" s="12" customFormat="1" x14ac:dyDescent="0.25"/>
    <row r="273108" s="12" customFormat="1" x14ac:dyDescent="0.25"/>
    <row r="273109" s="12" customFormat="1" x14ac:dyDescent="0.25"/>
    <row r="273110" s="12" customFormat="1" x14ac:dyDescent="0.25"/>
    <row r="273111" s="12" customFormat="1" x14ac:dyDescent="0.25"/>
    <row r="273112" s="12" customFormat="1" x14ac:dyDescent="0.25"/>
    <row r="273113" s="12" customFormat="1" x14ac:dyDescent="0.25"/>
    <row r="273114" s="12" customFormat="1" x14ac:dyDescent="0.25"/>
    <row r="273115" s="12" customFormat="1" x14ac:dyDescent="0.25"/>
    <row r="273116" s="12" customFormat="1" x14ac:dyDescent="0.25"/>
    <row r="273117" s="12" customFormat="1" x14ac:dyDescent="0.25"/>
    <row r="273118" s="12" customFormat="1" x14ac:dyDescent="0.25"/>
    <row r="273119" s="12" customFormat="1" x14ac:dyDescent="0.25"/>
    <row r="273120" s="12" customFormat="1" x14ac:dyDescent="0.25"/>
    <row r="273121" s="12" customFormat="1" x14ac:dyDescent="0.25"/>
    <row r="273122" s="12" customFormat="1" x14ac:dyDescent="0.25"/>
    <row r="273123" s="12" customFormat="1" x14ac:dyDescent="0.25"/>
    <row r="273124" s="12" customFormat="1" x14ac:dyDescent="0.25"/>
    <row r="273125" s="12" customFormat="1" x14ac:dyDescent="0.25"/>
    <row r="273126" s="12" customFormat="1" x14ac:dyDescent="0.25"/>
    <row r="273127" s="12" customFormat="1" x14ac:dyDescent="0.25"/>
    <row r="273128" s="12" customFormat="1" x14ac:dyDescent="0.25"/>
    <row r="273129" s="12" customFormat="1" x14ac:dyDescent="0.25"/>
    <row r="273130" s="12" customFormat="1" x14ac:dyDescent="0.25"/>
    <row r="273131" s="12" customFormat="1" x14ac:dyDescent="0.25"/>
    <row r="273132" s="12" customFormat="1" x14ac:dyDescent="0.25"/>
    <row r="273133" s="12" customFormat="1" x14ac:dyDescent="0.25"/>
    <row r="273134" s="12" customFormat="1" x14ac:dyDescent="0.25"/>
    <row r="273135" s="12" customFormat="1" x14ac:dyDescent="0.25"/>
    <row r="273136" s="12" customFormat="1" x14ac:dyDescent="0.25"/>
    <row r="273137" s="12" customFormat="1" x14ac:dyDescent="0.25"/>
    <row r="273138" s="12" customFormat="1" x14ac:dyDescent="0.25"/>
    <row r="273139" s="12" customFormat="1" x14ac:dyDescent="0.25"/>
    <row r="273140" s="12" customFormat="1" x14ac:dyDescent="0.25"/>
    <row r="273141" s="12" customFormat="1" x14ac:dyDescent="0.25"/>
    <row r="273142" s="12" customFormat="1" x14ac:dyDescent="0.25"/>
    <row r="273143" s="12" customFormat="1" x14ac:dyDescent="0.25"/>
    <row r="273144" s="12" customFormat="1" x14ac:dyDescent="0.25"/>
    <row r="273145" s="12" customFormat="1" x14ac:dyDescent="0.25"/>
    <row r="273146" s="12" customFormat="1" x14ac:dyDescent="0.25"/>
    <row r="273147" s="12" customFormat="1" x14ac:dyDescent="0.25"/>
    <row r="273148" s="12" customFormat="1" x14ac:dyDescent="0.25"/>
    <row r="273149" s="12" customFormat="1" x14ac:dyDescent="0.25"/>
    <row r="273150" s="12" customFormat="1" x14ac:dyDescent="0.25"/>
    <row r="273151" s="12" customFormat="1" x14ac:dyDescent="0.25"/>
    <row r="273152" s="12" customFormat="1" x14ac:dyDescent="0.25"/>
    <row r="273153" s="12" customFormat="1" x14ac:dyDescent="0.25"/>
    <row r="273154" s="12" customFormat="1" x14ac:dyDescent="0.25"/>
    <row r="273155" s="12" customFormat="1" x14ac:dyDescent="0.25"/>
    <row r="273156" s="12" customFormat="1" x14ac:dyDescent="0.25"/>
    <row r="273157" s="12" customFormat="1" x14ac:dyDescent="0.25"/>
    <row r="273158" s="12" customFormat="1" x14ac:dyDescent="0.25"/>
    <row r="273159" s="12" customFormat="1" x14ac:dyDescent="0.25"/>
    <row r="273160" s="12" customFormat="1" x14ac:dyDescent="0.25"/>
    <row r="273161" s="12" customFormat="1" x14ac:dyDescent="0.25"/>
    <row r="273162" s="12" customFormat="1" x14ac:dyDescent="0.25"/>
    <row r="273163" s="12" customFormat="1" x14ac:dyDescent="0.25"/>
    <row r="273164" s="12" customFormat="1" x14ac:dyDescent="0.25"/>
    <row r="273165" s="12" customFormat="1" x14ac:dyDescent="0.25"/>
    <row r="273166" s="12" customFormat="1" x14ac:dyDescent="0.25"/>
    <row r="273167" s="12" customFormat="1" x14ac:dyDescent="0.25"/>
    <row r="273168" s="12" customFormat="1" x14ac:dyDescent="0.25"/>
    <row r="273169" s="12" customFormat="1" x14ac:dyDescent="0.25"/>
    <row r="273170" s="12" customFormat="1" x14ac:dyDescent="0.25"/>
    <row r="273171" s="12" customFormat="1" x14ac:dyDescent="0.25"/>
    <row r="273172" s="12" customFormat="1" x14ac:dyDescent="0.25"/>
    <row r="273173" s="12" customFormat="1" x14ac:dyDescent="0.25"/>
    <row r="273174" s="12" customFormat="1" x14ac:dyDescent="0.25"/>
    <row r="273175" s="12" customFormat="1" x14ac:dyDescent="0.25"/>
    <row r="273176" s="12" customFormat="1" x14ac:dyDescent="0.25"/>
    <row r="273177" s="12" customFormat="1" x14ac:dyDescent="0.25"/>
    <row r="273178" s="12" customFormat="1" x14ac:dyDescent="0.25"/>
    <row r="273179" s="12" customFormat="1" x14ac:dyDescent="0.25"/>
    <row r="273180" s="12" customFormat="1" x14ac:dyDescent="0.25"/>
    <row r="273181" s="12" customFormat="1" x14ac:dyDescent="0.25"/>
    <row r="273182" s="12" customFormat="1" x14ac:dyDescent="0.25"/>
    <row r="273183" s="12" customFormat="1" x14ac:dyDescent="0.25"/>
    <row r="273184" s="12" customFormat="1" x14ac:dyDescent="0.25"/>
    <row r="273185" s="12" customFormat="1" x14ac:dyDescent="0.25"/>
    <row r="273186" s="12" customFormat="1" x14ac:dyDescent="0.25"/>
    <row r="273187" s="12" customFormat="1" x14ac:dyDescent="0.25"/>
    <row r="273188" s="12" customFormat="1" x14ac:dyDescent="0.25"/>
    <row r="273189" s="12" customFormat="1" x14ac:dyDescent="0.25"/>
    <row r="273190" s="12" customFormat="1" x14ac:dyDescent="0.25"/>
    <row r="273191" s="12" customFormat="1" x14ac:dyDescent="0.25"/>
    <row r="273192" s="12" customFormat="1" x14ac:dyDescent="0.25"/>
    <row r="273193" s="12" customFormat="1" x14ac:dyDescent="0.25"/>
    <row r="273194" s="12" customFormat="1" x14ac:dyDescent="0.25"/>
    <row r="273195" s="12" customFormat="1" x14ac:dyDescent="0.25"/>
    <row r="273196" s="12" customFormat="1" x14ac:dyDescent="0.25"/>
    <row r="273197" s="12" customFormat="1" x14ac:dyDescent="0.25"/>
    <row r="273198" s="12" customFormat="1" x14ac:dyDescent="0.25"/>
    <row r="273199" s="12" customFormat="1" x14ac:dyDescent="0.25"/>
    <row r="273200" s="12" customFormat="1" x14ac:dyDescent="0.25"/>
    <row r="273201" s="12" customFormat="1" x14ac:dyDescent="0.25"/>
    <row r="273202" s="12" customFormat="1" x14ac:dyDescent="0.25"/>
    <row r="273203" s="12" customFormat="1" x14ac:dyDescent="0.25"/>
    <row r="273204" s="12" customFormat="1" x14ac:dyDescent="0.25"/>
    <row r="273205" s="12" customFormat="1" x14ac:dyDescent="0.25"/>
    <row r="273206" s="12" customFormat="1" x14ac:dyDescent="0.25"/>
    <row r="273207" s="12" customFormat="1" x14ac:dyDescent="0.25"/>
    <row r="273208" s="12" customFormat="1" x14ac:dyDescent="0.25"/>
    <row r="273209" s="12" customFormat="1" x14ac:dyDescent="0.25"/>
    <row r="273210" s="12" customFormat="1" x14ac:dyDescent="0.25"/>
    <row r="273211" s="12" customFormat="1" x14ac:dyDescent="0.25"/>
    <row r="273212" s="12" customFormat="1" x14ac:dyDescent="0.25"/>
    <row r="273213" s="12" customFormat="1" x14ac:dyDescent="0.25"/>
    <row r="273214" s="12" customFormat="1" x14ac:dyDescent="0.25"/>
    <row r="273215" s="12" customFormat="1" x14ac:dyDescent="0.25"/>
    <row r="273216" s="12" customFormat="1" x14ac:dyDescent="0.25"/>
    <row r="273217" s="12" customFormat="1" x14ac:dyDescent="0.25"/>
    <row r="273218" s="12" customFormat="1" x14ac:dyDescent="0.25"/>
    <row r="273219" s="12" customFormat="1" x14ac:dyDescent="0.25"/>
    <row r="273220" s="12" customFormat="1" x14ac:dyDescent="0.25"/>
    <row r="273221" s="12" customFormat="1" x14ac:dyDescent="0.25"/>
    <row r="273222" s="12" customFormat="1" x14ac:dyDescent="0.25"/>
    <row r="273223" s="12" customFormat="1" x14ac:dyDescent="0.25"/>
    <row r="273224" s="12" customFormat="1" x14ac:dyDescent="0.25"/>
    <row r="273225" s="12" customFormat="1" x14ac:dyDescent="0.25"/>
    <row r="273226" s="12" customFormat="1" x14ac:dyDescent="0.25"/>
    <row r="273227" s="12" customFormat="1" x14ac:dyDescent="0.25"/>
    <row r="273228" s="12" customFormat="1" x14ac:dyDescent="0.25"/>
    <row r="273229" s="12" customFormat="1" x14ac:dyDescent="0.25"/>
    <row r="273230" s="12" customFormat="1" x14ac:dyDescent="0.25"/>
    <row r="273231" s="12" customFormat="1" x14ac:dyDescent="0.25"/>
    <row r="273232" s="12" customFormat="1" x14ac:dyDescent="0.25"/>
    <row r="273233" s="12" customFormat="1" x14ac:dyDescent="0.25"/>
    <row r="273234" s="12" customFormat="1" x14ac:dyDescent="0.25"/>
    <row r="273235" s="12" customFormat="1" x14ac:dyDescent="0.25"/>
    <row r="273236" s="12" customFormat="1" x14ac:dyDescent="0.25"/>
    <row r="273237" s="12" customFormat="1" x14ac:dyDescent="0.25"/>
    <row r="273238" s="12" customFormat="1" x14ac:dyDescent="0.25"/>
    <row r="273239" s="12" customFormat="1" x14ac:dyDescent="0.25"/>
    <row r="273240" s="12" customFormat="1" x14ac:dyDescent="0.25"/>
    <row r="273241" s="12" customFormat="1" x14ac:dyDescent="0.25"/>
    <row r="273242" s="12" customFormat="1" x14ac:dyDescent="0.25"/>
    <row r="273243" s="12" customFormat="1" x14ac:dyDescent="0.25"/>
    <row r="273244" s="12" customFormat="1" x14ac:dyDescent="0.25"/>
    <row r="273245" s="12" customFormat="1" x14ac:dyDescent="0.25"/>
    <row r="273246" s="12" customFormat="1" x14ac:dyDescent="0.25"/>
    <row r="273247" s="12" customFormat="1" x14ac:dyDescent="0.25"/>
    <row r="273248" s="12" customFormat="1" x14ac:dyDescent="0.25"/>
    <row r="273249" s="12" customFormat="1" x14ac:dyDescent="0.25"/>
    <row r="273250" s="12" customFormat="1" x14ac:dyDescent="0.25"/>
    <row r="273251" s="12" customFormat="1" x14ac:dyDescent="0.25"/>
    <row r="273252" s="12" customFormat="1" x14ac:dyDescent="0.25"/>
    <row r="273253" s="12" customFormat="1" x14ac:dyDescent="0.25"/>
    <row r="273254" s="12" customFormat="1" x14ac:dyDescent="0.25"/>
    <row r="273255" s="12" customFormat="1" x14ac:dyDescent="0.25"/>
    <row r="273256" s="12" customFormat="1" x14ac:dyDescent="0.25"/>
    <row r="273257" s="12" customFormat="1" x14ac:dyDescent="0.25"/>
    <row r="273258" s="12" customFormat="1" x14ac:dyDescent="0.25"/>
    <row r="273259" s="12" customFormat="1" x14ac:dyDescent="0.25"/>
    <row r="273260" s="12" customFormat="1" x14ac:dyDescent="0.25"/>
    <row r="273261" s="12" customFormat="1" x14ac:dyDescent="0.25"/>
    <row r="273262" s="12" customFormat="1" x14ac:dyDescent="0.25"/>
    <row r="273263" s="12" customFormat="1" x14ac:dyDescent="0.25"/>
    <row r="273264" s="12" customFormat="1" x14ac:dyDescent="0.25"/>
    <row r="273265" s="12" customFormat="1" x14ac:dyDescent="0.25"/>
    <row r="273266" s="12" customFormat="1" x14ac:dyDescent="0.25"/>
    <row r="273267" s="12" customFormat="1" x14ac:dyDescent="0.25"/>
    <row r="273268" s="12" customFormat="1" x14ac:dyDescent="0.25"/>
    <row r="273269" s="12" customFormat="1" x14ac:dyDescent="0.25"/>
    <row r="273270" s="12" customFormat="1" x14ac:dyDescent="0.25"/>
    <row r="273271" s="12" customFormat="1" x14ac:dyDescent="0.25"/>
    <row r="273272" s="12" customFormat="1" x14ac:dyDescent="0.25"/>
    <row r="273273" s="12" customFormat="1" x14ac:dyDescent="0.25"/>
    <row r="273274" s="12" customFormat="1" x14ac:dyDescent="0.25"/>
    <row r="273275" s="12" customFormat="1" x14ac:dyDescent="0.25"/>
    <row r="273276" s="12" customFormat="1" x14ac:dyDescent="0.25"/>
    <row r="273277" s="12" customFormat="1" x14ac:dyDescent="0.25"/>
    <row r="273278" s="12" customFormat="1" x14ac:dyDescent="0.25"/>
    <row r="273279" s="12" customFormat="1" x14ac:dyDescent="0.25"/>
    <row r="273280" s="12" customFormat="1" x14ac:dyDescent="0.25"/>
    <row r="273281" s="12" customFormat="1" x14ac:dyDescent="0.25"/>
    <row r="273282" s="12" customFormat="1" x14ac:dyDescent="0.25"/>
    <row r="273283" s="12" customFormat="1" x14ac:dyDescent="0.25"/>
    <row r="273284" s="12" customFormat="1" x14ac:dyDescent="0.25"/>
    <row r="273285" s="12" customFormat="1" x14ac:dyDescent="0.25"/>
    <row r="273286" s="12" customFormat="1" x14ac:dyDescent="0.25"/>
    <row r="273287" s="12" customFormat="1" x14ac:dyDescent="0.25"/>
    <row r="273288" s="12" customFormat="1" x14ac:dyDescent="0.25"/>
    <row r="273289" s="12" customFormat="1" x14ac:dyDescent="0.25"/>
    <row r="273290" s="12" customFormat="1" x14ac:dyDescent="0.25"/>
    <row r="273291" s="12" customFormat="1" x14ac:dyDescent="0.25"/>
    <row r="273292" s="12" customFormat="1" x14ac:dyDescent="0.25"/>
    <row r="273293" s="12" customFormat="1" x14ac:dyDescent="0.25"/>
    <row r="273294" s="12" customFormat="1" x14ac:dyDescent="0.25"/>
    <row r="273295" s="12" customFormat="1" x14ac:dyDescent="0.25"/>
    <row r="273296" s="12" customFormat="1" x14ac:dyDescent="0.25"/>
    <row r="273297" s="12" customFormat="1" x14ac:dyDescent="0.25"/>
    <row r="273298" s="12" customFormat="1" x14ac:dyDescent="0.25"/>
    <row r="273299" s="12" customFormat="1" x14ac:dyDescent="0.25"/>
    <row r="273300" s="12" customFormat="1" x14ac:dyDescent="0.25"/>
    <row r="273301" s="12" customFormat="1" x14ac:dyDescent="0.25"/>
    <row r="273302" s="12" customFormat="1" x14ac:dyDescent="0.25"/>
    <row r="273303" s="12" customFormat="1" x14ac:dyDescent="0.25"/>
    <row r="273304" s="12" customFormat="1" x14ac:dyDescent="0.25"/>
    <row r="273305" s="12" customFormat="1" x14ac:dyDescent="0.25"/>
    <row r="273306" s="12" customFormat="1" x14ac:dyDescent="0.25"/>
    <row r="273307" s="12" customFormat="1" x14ac:dyDescent="0.25"/>
    <row r="273308" s="12" customFormat="1" x14ac:dyDescent="0.25"/>
    <row r="273309" s="12" customFormat="1" x14ac:dyDescent="0.25"/>
    <row r="273310" s="12" customFormat="1" x14ac:dyDescent="0.25"/>
    <row r="273311" s="12" customFormat="1" x14ac:dyDescent="0.25"/>
    <row r="273312" s="12" customFormat="1" x14ac:dyDescent="0.25"/>
    <row r="273313" s="12" customFormat="1" x14ac:dyDescent="0.25"/>
    <row r="273314" s="12" customFormat="1" x14ac:dyDescent="0.25"/>
    <row r="273315" s="12" customFormat="1" x14ac:dyDescent="0.25"/>
    <row r="273316" s="12" customFormat="1" x14ac:dyDescent="0.25"/>
    <row r="273317" s="12" customFormat="1" x14ac:dyDescent="0.25"/>
    <row r="273318" s="12" customFormat="1" x14ac:dyDescent="0.25"/>
    <row r="273319" s="12" customFormat="1" x14ac:dyDescent="0.25"/>
    <row r="273320" s="12" customFormat="1" x14ac:dyDescent="0.25"/>
    <row r="273321" s="12" customFormat="1" x14ac:dyDescent="0.25"/>
    <row r="273322" s="12" customFormat="1" x14ac:dyDescent="0.25"/>
    <row r="273323" s="12" customFormat="1" x14ac:dyDescent="0.25"/>
    <row r="273324" s="12" customFormat="1" x14ac:dyDescent="0.25"/>
    <row r="273325" s="12" customFormat="1" x14ac:dyDescent="0.25"/>
    <row r="273326" s="12" customFormat="1" x14ac:dyDescent="0.25"/>
    <row r="273327" s="12" customFormat="1" x14ac:dyDescent="0.25"/>
    <row r="273328" s="12" customFormat="1" x14ac:dyDescent="0.25"/>
    <row r="273329" s="12" customFormat="1" x14ac:dyDescent="0.25"/>
    <row r="273330" s="12" customFormat="1" x14ac:dyDescent="0.25"/>
    <row r="273331" s="12" customFormat="1" x14ac:dyDescent="0.25"/>
    <row r="273332" s="12" customFormat="1" x14ac:dyDescent="0.25"/>
    <row r="273333" s="12" customFormat="1" x14ac:dyDescent="0.25"/>
    <row r="273334" s="12" customFormat="1" x14ac:dyDescent="0.25"/>
    <row r="273335" s="12" customFormat="1" x14ac:dyDescent="0.25"/>
    <row r="273336" s="12" customFormat="1" x14ac:dyDescent="0.25"/>
    <row r="273337" s="12" customFormat="1" x14ac:dyDescent="0.25"/>
    <row r="273338" s="12" customFormat="1" x14ac:dyDescent="0.25"/>
    <row r="273339" s="12" customFormat="1" x14ac:dyDescent="0.25"/>
    <row r="273340" s="12" customFormat="1" x14ac:dyDescent="0.25"/>
    <row r="273341" s="12" customFormat="1" x14ac:dyDescent="0.25"/>
    <row r="273342" s="12" customFormat="1" x14ac:dyDescent="0.25"/>
    <row r="273343" s="12" customFormat="1" x14ac:dyDescent="0.25"/>
    <row r="273344" s="12" customFormat="1" x14ac:dyDescent="0.25"/>
    <row r="273345" s="12" customFormat="1" x14ac:dyDescent="0.25"/>
    <row r="273346" s="12" customFormat="1" x14ac:dyDescent="0.25"/>
    <row r="273347" s="12" customFormat="1" x14ac:dyDescent="0.25"/>
    <row r="273348" s="12" customFormat="1" x14ac:dyDescent="0.25"/>
    <row r="273349" s="12" customFormat="1" x14ac:dyDescent="0.25"/>
    <row r="273350" s="12" customFormat="1" x14ac:dyDescent="0.25"/>
    <row r="273351" s="12" customFormat="1" x14ac:dyDescent="0.25"/>
    <row r="273352" s="12" customFormat="1" x14ac:dyDescent="0.25"/>
    <row r="273353" s="12" customFormat="1" x14ac:dyDescent="0.25"/>
    <row r="273354" s="12" customFormat="1" x14ac:dyDescent="0.25"/>
    <row r="273355" s="12" customFormat="1" x14ac:dyDescent="0.25"/>
    <row r="273356" s="12" customFormat="1" x14ac:dyDescent="0.25"/>
    <row r="273357" s="12" customFormat="1" x14ac:dyDescent="0.25"/>
    <row r="273358" s="12" customFormat="1" x14ac:dyDescent="0.25"/>
    <row r="273359" s="12" customFormat="1" x14ac:dyDescent="0.25"/>
    <row r="273360" s="12" customFormat="1" x14ac:dyDescent="0.25"/>
    <row r="273361" s="12" customFormat="1" x14ac:dyDescent="0.25"/>
    <row r="273362" s="12" customFormat="1" x14ac:dyDescent="0.25"/>
    <row r="273363" s="12" customFormat="1" x14ac:dyDescent="0.25"/>
    <row r="273364" s="12" customFormat="1" x14ac:dyDescent="0.25"/>
    <row r="273365" s="12" customFormat="1" x14ac:dyDescent="0.25"/>
    <row r="273366" s="12" customFormat="1" x14ac:dyDescent="0.25"/>
    <row r="273367" s="12" customFormat="1" x14ac:dyDescent="0.25"/>
    <row r="273368" s="12" customFormat="1" x14ac:dyDescent="0.25"/>
    <row r="273369" s="12" customFormat="1" x14ac:dyDescent="0.25"/>
    <row r="273370" s="12" customFormat="1" x14ac:dyDescent="0.25"/>
    <row r="273371" s="12" customFormat="1" x14ac:dyDescent="0.25"/>
    <row r="273372" s="12" customFormat="1" x14ac:dyDescent="0.25"/>
    <row r="273373" s="12" customFormat="1" x14ac:dyDescent="0.25"/>
    <row r="273374" s="12" customFormat="1" x14ac:dyDescent="0.25"/>
    <row r="273375" s="12" customFormat="1" x14ac:dyDescent="0.25"/>
    <row r="273376" s="12" customFormat="1" x14ac:dyDescent="0.25"/>
    <row r="273377" s="12" customFormat="1" x14ac:dyDescent="0.25"/>
    <row r="273378" s="12" customFormat="1" x14ac:dyDescent="0.25"/>
    <row r="273379" s="12" customFormat="1" x14ac:dyDescent="0.25"/>
    <row r="273380" s="12" customFormat="1" x14ac:dyDescent="0.25"/>
    <row r="273381" s="12" customFormat="1" x14ac:dyDescent="0.25"/>
    <row r="273382" s="12" customFormat="1" x14ac:dyDescent="0.25"/>
    <row r="273383" s="12" customFormat="1" x14ac:dyDescent="0.25"/>
    <row r="273384" s="12" customFormat="1" x14ac:dyDescent="0.25"/>
    <row r="273385" s="12" customFormat="1" x14ac:dyDescent="0.25"/>
    <row r="273386" s="12" customFormat="1" x14ac:dyDescent="0.25"/>
    <row r="273387" s="12" customFormat="1" x14ac:dyDescent="0.25"/>
    <row r="273388" s="12" customFormat="1" x14ac:dyDescent="0.25"/>
    <row r="273389" s="12" customFormat="1" x14ac:dyDescent="0.25"/>
    <row r="273390" s="12" customFormat="1" x14ac:dyDescent="0.25"/>
    <row r="273391" s="12" customFormat="1" x14ac:dyDescent="0.25"/>
    <row r="273392" s="12" customFormat="1" x14ac:dyDescent="0.25"/>
    <row r="273393" s="12" customFormat="1" x14ac:dyDescent="0.25"/>
    <row r="273394" s="12" customFormat="1" x14ac:dyDescent="0.25"/>
    <row r="273395" s="12" customFormat="1" x14ac:dyDescent="0.25"/>
    <row r="273396" s="12" customFormat="1" x14ac:dyDescent="0.25"/>
    <row r="273397" s="12" customFormat="1" x14ac:dyDescent="0.25"/>
    <row r="273398" s="12" customFormat="1" x14ac:dyDescent="0.25"/>
    <row r="273399" s="12" customFormat="1" x14ac:dyDescent="0.25"/>
    <row r="273400" s="12" customFormat="1" x14ac:dyDescent="0.25"/>
    <row r="273401" s="12" customFormat="1" x14ac:dyDescent="0.25"/>
    <row r="273402" s="12" customFormat="1" x14ac:dyDescent="0.25"/>
    <row r="273403" s="12" customFormat="1" x14ac:dyDescent="0.25"/>
    <row r="273404" s="12" customFormat="1" x14ac:dyDescent="0.25"/>
    <row r="273405" s="12" customFormat="1" x14ac:dyDescent="0.25"/>
    <row r="273406" s="12" customFormat="1" x14ac:dyDescent="0.25"/>
    <row r="273407" s="12" customFormat="1" x14ac:dyDescent="0.25"/>
    <row r="273408" s="12" customFormat="1" x14ac:dyDescent="0.25"/>
    <row r="273409" s="12" customFormat="1" x14ac:dyDescent="0.25"/>
    <row r="273410" s="12" customFormat="1" x14ac:dyDescent="0.25"/>
    <row r="273411" s="12" customFormat="1" x14ac:dyDescent="0.25"/>
    <row r="273412" s="12" customFormat="1" x14ac:dyDescent="0.25"/>
    <row r="273413" s="12" customFormat="1" x14ac:dyDescent="0.25"/>
    <row r="273414" s="12" customFormat="1" x14ac:dyDescent="0.25"/>
    <row r="273415" s="12" customFormat="1" x14ac:dyDescent="0.25"/>
    <row r="273416" s="12" customFormat="1" x14ac:dyDescent="0.25"/>
    <row r="273417" s="12" customFormat="1" x14ac:dyDescent="0.25"/>
    <row r="273418" s="12" customFormat="1" x14ac:dyDescent="0.25"/>
    <row r="273419" s="12" customFormat="1" x14ac:dyDescent="0.25"/>
    <row r="273420" s="12" customFormat="1" x14ac:dyDescent="0.25"/>
    <row r="273421" s="12" customFormat="1" x14ac:dyDescent="0.25"/>
    <row r="273422" s="12" customFormat="1" x14ac:dyDescent="0.25"/>
    <row r="273423" s="12" customFormat="1" x14ac:dyDescent="0.25"/>
    <row r="273424" s="12" customFormat="1" x14ac:dyDescent="0.25"/>
    <row r="273425" s="12" customFormat="1" x14ac:dyDescent="0.25"/>
    <row r="273426" s="12" customFormat="1" x14ac:dyDescent="0.25"/>
    <row r="273427" s="12" customFormat="1" x14ac:dyDescent="0.25"/>
    <row r="273428" s="12" customFormat="1" x14ac:dyDescent="0.25"/>
    <row r="273429" s="12" customFormat="1" x14ac:dyDescent="0.25"/>
    <row r="273430" s="12" customFormat="1" x14ac:dyDescent="0.25"/>
    <row r="273431" s="12" customFormat="1" x14ac:dyDescent="0.25"/>
    <row r="273432" s="12" customFormat="1" x14ac:dyDescent="0.25"/>
    <row r="273433" s="12" customFormat="1" x14ac:dyDescent="0.25"/>
    <row r="273434" s="12" customFormat="1" x14ac:dyDescent="0.25"/>
    <row r="273435" s="12" customFormat="1" x14ac:dyDescent="0.25"/>
    <row r="273436" s="12" customFormat="1" x14ac:dyDescent="0.25"/>
    <row r="273437" s="12" customFormat="1" x14ac:dyDescent="0.25"/>
    <row r="273438" s="12" customFormat="1" x14ac:dyDescent="0.25"/>
    <row r="273439" s="12" customFormat="1" x14ac:dyDescent="0.25"/>
    <row r="273440" s="12" customFormat="1" x14ac:dyDescent="0.25"/>
    <row r="273441" s="12" customFormat="1" x14ac:dyDescent="0.25"/>
    <row r="273442" s="12" customFormat="1" x14ac:dyDescent="0.25"/>
    <row r="273443" s="12" customFormat="1" x14ac:dyDescent="0.25"/>
    <row r="273444" s="12" customFormat="1" x14ac:dyDescent="0.25"/>
    <row r="273445" s="12" customFormat="1" x14ac:dyDescent="0.25"/>
    <row r="273446" s="12" customFormat="1" x14ac:dyDescent="0.25"/>
    <row r="273447" s="12" customFormat="1" x14ac:dyDescent="0.25"/>
    <row r="273448" s="12" customFormat="1" x14ac:dyDescent="0.25"/>
    <row r="273449" s="12" customFormat="1" x14ac:dyDescent="0.25"/>
    <row r="273450" s="12" customFormat="1" x14ac:dyDescent="0.25"/>
    <row r="273451" s="12" customFormat="1" x14ac:dyDescent="0.25"/>
    <row r="273452" s="12" customFormat="1" x14ac:dyDescent="0.25"/>
    <row r="273453" s="12" customFormat="1" x14ac:dyDescent="0.25"/>
    <row r="273454" s="12" customFormat="1" x14ac:dyDescent="0.25"/>
    <row r="273455" s="12" customFormat="1" x14ac:dyDescent="0.25"/>
    <row r="273456" s="12" customFormat="1" x14ac:dyDescent="0.25"/>
    <row r="273457" s="12" customFormat="1" x14ac:dyDescent="0.25"/>
    <row r="273458" s="12" customFormat="1" x14ac:dyDescent="0.25"/>
    <row r="273459" s="12" customFormat="1" x14ac:dyDescent="0.25"/>
    <row r="273460" s="12" customFormat="1" x14ac:dyDescent="0.25"/>
    <row r="273461" s="12" customFormat="1" x14ac:dyDescent="0.25"/>
    <row r="273462" s="12" customFormat="1" x14ac:dyDescent="0.25"/>
    <row r="273463" s="12" customFormat="1" x14ac:dyDescent="0.25"/>
    <row r="273464" s="12" customFormat="1" x14ac:dyDescent="0.25"/>
    <row r="273465" s="12" customFormat="1" x14ac:dyDescent="0.25"/>
    <row r="273466" s="12" customFormat="1" x14ac:dyDescent="0.25"/>
    <row r="273467" s="12" customFormat="1" x14ac:dyDescent="0.25"/>
    <row r="273468" s="12" customFormat="1" x14ac:dyDescent="0.25"/>
    <row r="273469" s="12" customFormat="1" x14ac:dyDescent="0.25"/>
    <row r="273470" s="12" customFormat="1" x14ac:dyDescent="0.25"/>
    <row r="273471" s="12" customFormat="1" x14ac:dyDescent="0.25"/>
    <row r="273472" s="12" customFormat="1" x14ac:dyDescent="0.25"/>
    <row r="273473" s="12" customFormat="1" x14ac:dyDescent="0.25"/>
    <row r="273474" s="12" customFormat="1" x14ac:dyDescent="0.25"/>
    <row r="273475" s="12" customFormat="1" x14ac:dyDescent="0.25"/>
    <row r="273476" s="12" customFormat="1" x14ac:dyDescent="0.25"/>
    <row r="273477" s="12" customFormat="1" x14ac:dyDescent="0.25"/>
    <row r="273478" s="12" customFormat="1" x14ac:dyDescent="0.25"/>
    <row r="273479" s="12" customFormat="1" x14ac:dyDescent="0.25"/>
    <row r="273480" s="12" customFormat="1" x14ac:dyDescent="0.25"/>
    <row r="273481" s="12" customFormat="1" x14ac:dyDescent="0.25"/>
    <row r="273482" s="12" customFormat="1" x14ac:dyDescent="0.25"/>
    <row r="273483" s="12" customFormat="1" x14ac:dyDescent="0.25"/>
    <row r="273484" s="12" customFormat="1" x14ac:dyDescent="0.25"/>
    <row r="273485" s="12" customFormat="1" x14ac:dyDescent="0.25"/>
    <row r="273486" s="12" customFormat="1" x14ac:dyDescent="0.25"/>
    <row r="273487" s="12" customFormat="1" x14ac:dyDescent="0.25"/>
    <row r="273488" s="12" customFormat="1" x14ac:dyDescent="0.25"/>
    <row r="273489" s="12" customFormat="1" x14ac:dyDescent="0.25"/>
    <row r="273490" s="12" customFormat="1" x14ac:dyDescent="0.25"/>
    <row r="273491" s="12" customFormat="1" x14ac:dyDescent="0.25"/>
    <row r="273492" s="12" customFormat="1" x14ac:dyDescent="0.25"/>
    <row r="273493" s="12" customFormat="1" x14ac:dyDescent="0.25"/>
    <row r="273494" s="12" customFormat="1" x14ac:dyDescent="0.25"/>
    <row r="273495" s="12" customFormat="1" x14ac:dyDescent="0.25"/>
    <row r="273496" s="12" customFormat="1" x14ac:dyDescent="0.25"/>
    <row r="273497" s="12" customFormat="1" x14ac:dyDescent="0.25"/>
    <row r="273498" s="12" customFormat="1" x14ac:dyDescent="0.25"/>
    <row r="273499" s="12" customFormat="1" x14ac:dyDescent="0.25"/>
    <row r="273500" s="12" customFormat="1" x14ac:dyDescent="0.25"/>
    <row r="273501" s="12" customFormat="1" x14ac:dyDescent="0.25"/>
    <row r="273502" s="12" customFormat="1" x14ac:dyDescent="0.25"/>
    <row r="273503" s="12" customFormat="1" x14ac:dyDescent="0.25"/>
    <row r="273504" s="12" customFormat="1" x14ac:dyDescent="0.25"/>
    <row r="273505" s="12" customFormat="1" x14ac:dyDescent="0.25"/>
    <row r="273506" s="12" customFormat="1" x14ac:dyDescent="0.25"/>
    <row r="273507" s="12" customFormat="1" x14ac:dyDescent="0.25"/>
    <row r="273508" s="12" customFormat="1" x14ac:dyDescent="0.25"/>
    <row r="273509" s="12" customFormat="1" x14ac:dyDescent="0.25"/>
    <row r="273510" s="12" customFormat="1" x14ac:dyDescent="0.25"/>
    <row r="273511" s="12" customFormat="1" x14ac:dyDescent="0.25"/>
    <row r="273512" s="12" customFormat="1" x14ac:dyDescent="0.25"/>
    <row r="273513" s="12" customFormat="1" x14ac:dyDescent="0.25"/>
    <row r="273514" s="12" customFormat="1" x14ac:dyDescent="0.25"/>
    <row r="273515" s="12" customFormat="1" x14ac:dyDescent="0.25"/>
    <row r="273516" s="12" customFormat="1" x14ac:dyDescent="0.25"/>
    <row r="273517" s="12" customFormat="1" x14ac:dyDescent="0.25"/>
    <row r="273518" s="12" customFormat="1" x14ac:dyDescent="0.25"/>
    <row r="273519" s="12" customFormat="1" x14ac:dyDescent="0.25"/>
    <row r="273520" s="12" customFormat="1" x14ac:dyDescent="0.25"/>
    <row r="273521" s="12" customFormat="1" x14ac:dyDescent="0.25"/>
    <row r="273522" s="12" customFormat="1" x14ac:dyDescent="0.25"/>
    <row r="273523" s="12" customFormat="1" x14ac:dyDescent="0.25"/>
    <row r="273524" s="12" customFormat="1" x14ac:dyDescent="0.25"/>
    <row r="273525" s="12" customFormat="1" x14ac:dyDescent="0.25"/>
    <row r="273526" s="12" customFormat="1" x14ac:dyDescent="0.25"/>
    <row r="273527" s="12" customFormat="1" x14ac:dyDescent="0.25"/>
    <row r="273528" s="12" customFormat="1" x14ac:dyDescent="0.25"/>
    <row r="273529" s="12" customFormat="1" x14ac:dyDescent="0.25"/>
    <row r="273530" s="12" customFormat="1" x14ac:dyDescent="0.25"/>
    <row r="273531" s="12" customFormat="1" x14ac:dyDescent="0.25"/>
    <row r="273532" s="12" customFormat="1" x14ac:dyDescent="0.25"/>
    <row r="273533" s="12" customFormat="1" x14ac:dyDescent="0.25"/>
    <row r="273534" s="12" customFormat="1" x14ac:dyDescent="0.25"/>
    <row r="273535" s="12" customFormat="1" x14ac:dyDescent="0.25"/>
    <row r="273536" s="12" customFormat="1" x14ac:dyDescent="0.25"/>
    <row r="273537" s="12" customFormat="1" x14ac:dyDescent="0.25"/>
    <row r="273538" s="12" customFormat="1" x14ac:dyDescent="0.25"/>
    <row r="273539" s="12" customFormat="1" x14ac:dyDescent="0.25"/>
    <row r="273540" s="12" customFormat="1" x14ac:dyDescent="0.25"/>
    <row r="273541" s="12" customFormat="1" x14ac:dyDescent="0.25"/>
    <row r="273542" s="12" customFormat="1" x14ac:dyDescent="0.25"/>
    <row r="273543" s="12" customFormat="1" x14ac:dyDescent="0.25"/>
    <row r="273544" s="12" customFormat="1" x14ac:dyDescent="0.25"/>
    <row r="273545" s="12" customFormat="1" x14ac:dyDescent="0.25"/>
    <row r="273546" s="12" customFormat="1" x14ac:dyDescent="0.25"/>
    <row r="273547" s="12" customFormat="1" x14ac:dyDescent="0.25"/>
    <row r="273548" s="12" customFormat="1" x14ac:dyDescent="0.25"/>
    <row r="273549" s="12" customFormat="1" x14ac:dyDescent="0.25"/>
    <row r="273550" s="12" customFormat="1" x14ac:dyDescent="0.25"/>
    <row r="273551" s="12" customFormat="1" x14ac:dyDescent="0.25"/>
    <row r="273552" s="12" customFormat="1" x14ac:dyDescent="0.25"/>
    <row r="273553" s="12" customFormat="1" x14ac:dyDescent="0.25"/>
    <row r="273554" s="12" customFormat="1" x14ac:dyDescent="0.25"/>
    <row r="273555" s="12" customFormat="1" x14ac:dyDescent="0.25"/>
    <row r="273556" s="12" customFormat="1" x14ac:dyDescent="0.25"/>
    <row r="273557" s="12" customFormat="1" x14ac:dyDescent="0.25"/>
    <row r="273558" s="12" customFormat="1" x14ac:dyDescent="0.25"/>
    <row r="273559" s="12" customFormat="1" x14ac:dyDescent="0.25"/>
    <row r="273560" s="12" customFormat="1" x14ac:dyDescent="0.25"/>
    <row r="273561" s="12" customFormat="1" x14ac:dyDescent="0.25"/>
    <row r="273562" s="12" customFormat="1" x14ac:dyDescent="0.25"/>
    <row r="273563" s="12" customFormat="1" x14ac:dyDescent="0.25"/>
    <row r="273564" s="12" customFormat="1" x14ac:dyDescent="0.25"/>
    <row r="273565" s="12" customFormat="1" x14ac:dyDescent="0.25"/>
    <row r="273566" s="12" customFormat="1" x14ac:dyDescent="0.25"/>
    <row r="273567" s="12" customFormat="1" x14ac:dyDescent="0.25"/>
    <row r="273568" s="12" customFormat="1" x14ac:dyDescent="0.25"/>
    <row r="273569" s="12" customFormat="1" x14ac:dyDescent="0.25"/>
    <row r="273570" s="12" customFormat="1" x14ac:dyDescent="0.25"/>
    <row r="273571" s="12" customFormat="1" x14ac:dyDescent="0.25"/>
    <row r="273572" s="12" customFormat="1" x14ac:dyDescent="0.25"/>
    <row r="273573" s="12" customFormat="1" x14ac:dyDescent="0.25"/>
    <row r="273574" s="12" customFormat="1" x14ac:dyDescent="0.25"/>
    <row r="273575" s="12" customFormat="1" x14ac:dyDescent="0.25"/>
    <row r="273576" s="12" customFormat="1" x14ac:dyDescent="0.25"/>
    <row r="273577" s="12" customFormat="1" x14ac:dyDescent="0.25"/>
    <row r="273578" s="12" customFormat="1" x14ac:dyDescent="0.25"/>
    <row r="273579" s="12" customFormat="1" x14ac:dyDescent="0.25"/>
    <row r="273580" s="12" customFormat="1" x14ac:dyDescent="0.25"/>
    <row r="273581" s="12" customFormat="1" x14ac:dyDescent="0.25"/>
    <row r="273582" s="12" customFormat="1" x14ac:dyDescent="0.25"/>
    <row r="273583" s="12" customFormat="1" x14ac:dyDescent="0.25"/>
    <row r="273584" s="12" customFormat="1" x14ac:dyDescent="0.25"/>
    <row r="273585" s="12" customFormat="1" x14ac:dyDescent="0.25"/>
    <row r="273586" s="12" customFormat="1" x14ac:dyDescent="0.25"/>
    <row r="273587" s="12" customFormat="1" x14ac:dyDescent="0.25"/>
    <row r="273588" s="12" customFormat="1" x14ac:dyDescent="0.25"/>
    <row r="273589" s="12" customFormat="1" x14ac:dyDescent="0.25"/>
    <row r="273590" s="12" customFormat="1" x14ac:dyDescent="0.25"/>
    <row r="273591" s="12" customFormat="1" x14ac:dyDescent="0.25"/>
    <row r="273592" s="12" customFormat="1" x14ac:dyDescent="0.25"/>
    <row r="273593" s="12" customFormat="1" x14ac:dyDescent="0.25"/>
    <row r="273594" s="12" customFormat="1" x14ac:dyDescent="0.25"/>
    <row r="273595" s="12" customFormat="1" x14ac:dyDescent="0.25"/>
    <row r="273596" s="12" customFormat="1" x14ac:dyDescent="0.25"/>
    <row r="273597" s="12" customFormat="1" x14ac:dyDescent="0.25"/>
    <row r="273598" s="12" customFormat="1" x14ac:dyDescent="0.25"/>
    <row r="273599" s="12" customFormat="1" x14ac:dyDescent="0.25"/>
    <row r="273600" s="12" customFormat="1" x14ac:dyDescent="0.25"/>
    <row r="273601" s="12" customFormat="1" x14ac:dyDescent="0.25"/>
    <row r="273602" s="12" customFormat="1" x14ac:dyDescent="0.25"/>
    <row r="273603" s="12" customFormat="1" x14ac:dyDescent="0.25"/>
    <row r="273604" s="12" customFormat="1" x14ac:dyDescent="0.25"/>
    <row r="273605" s="12" customFormat="1" x14ac:dyDescent="0.25"/>
    <row r="273606" s="12" customFormat="1" x14ac:dyDescent="0.25"/>
    <row r="273607" s="12" customFormat="1" x14ac:dyDescent="0.25"/>
    <row r="273608" s="12" customFormat="1" x14ac:dyDescent="0.25"/>
    <row r="273609" s="12" customFormat="1" x14ac:dyDescent="0.25"/>
    <row r="273610" s="12" customFormat="1" x14ac:dyDescent="0.25"/>
    <row r="273611" s="12" customFormat="1" x14ac:dyDescent="0.25"/>
    <row r="273612" s="12" customFormat="1" x14ac:dyDescent="0.25"/>
    <row r="273613" s="12" customFormat="1" x14ac:dyDescent="0.25"/>
    <row r="273614" s="12" customFormat="1" x14ac:dyDescent="0.25"/>
    <row r="273615" s="12" customFormat="1" x14ac:dyDescent="0.25"/>
    <row r="273616" s="12" customFormat="1" x14ac:dyDescent="0.25"/>
    <row r="273617" s="12" customFormat="1" x14ac:dyDescent="0.25"/>
    <row r="273618" s="12" customFormat="1" x14ac:dyDescent="0.25"/>
    <row r="273619" s="12" customFormat="1" x14ac:dyDescent="0.25"/>
    <row r="273620" s="12" customFormat="1" x14ac:dyDescent="0.25"/>
    <row r="273621" s="12" customFormat="1" x14ac:dyDescent="0.25"/>
    <row r="273622" s="12" customFormat="1" x14ac:dyDescent="0.25"/>
    <row r="273623" s="12" customFormat="1" x14ac:dyDescent="0.25"/>
    <row r="273624" s="12" customFormat="1" x14ac:dyDescent="0.25"/>
    <row r="273625" s="12" customFormat="1" x14ac:dyDescent="0.25"/>
    <row r="273626" s="12" customFormat="1" x14ac:dyDescent="0.25"/>
    <row r="273627" s="12" customFormat="1" x14ac:dyDescent="0.25"/>
    <row r="273628" s="12" customFormat="1" x14ac:dyDescent="0.25"/>
    <row r="273629" s="12" customFormat="1" x14ac:dyDescent="0.25"/>
    <row r="273630" s="12" customFormat="1" x14ac:dyDescent="0.25"/>
    <row r="273631" s="12" customFormat="1" x14ac:dyDescent="0.25"/>
    <row r="273632" s="12" customFormat="1" x14ac:dyDescent="0.25"/>
    <row r="273633" s="12" customFormat="1" x14ac:dyDescent="0.25"/>
    <row r="273634" s="12" customFormat="1" x14ac:dyDescent="0.25"/>
    <row r="273635" s="12" customFormat="1" x14ac:dyDescent="0.25"/>
    <row r="273636" s="12" customFormat="1" x14ac:dyDescent="0.25"/>
    <row r="273637" s="12" customFormat="1" x14ac:dyDescent="0.25"/>
    <row r="273638" s="12" customFormat="1" x14ac:dyDescent="0.25"/>
    <row r="273639" s="12" customFormat="1" x14ac:dyDescent="0.25"/>
    <row r="273640" s="12" customFormat="1" x14ac:dyDescent="0.25"/>
    <row r="273641" s="12" customFormat="1" x14ac:dyDescent="0.25"/>
    <row r="273642" s="12" customFormat="1" x14ac:dyDescent="0.25"/>
    <row r="273643" s="12" customFormat="1" x14ac:dyDescent="0.25"/>
    <row r="273644" s="12" customFormat="1" x14ac:dyDescent="0.25"/>
    <row r="273645" s="12" customFormat="1" x14ac:dyDescent="0.25"/>
    <row r="273646" s="12" customFormat="1" x14ac:dyDescent="0.25"/>
    <row r="273647" s="12" customFormat="1" x14ac:dyDescent="0.25"/>
    <row r="273648" s="12" customFormat="1" x14ac:dyDescent="0.25"/>
    <row r="273649" s="12" customFormat="1" x14ac:dyDescent="0.25"/>
    <row r="273650" s="12" customFormat="1" x14ac:dyDescent="0.25"/>
    <row r="273651" s="12" customFormat="1" x14ac:dyDescent="0.25"/>
    <row r="273652" s="12" customFormat="1" x14ac:dyDescent="0.25"/>
    <row r="273653" s="12" customFormat="1" x14ac:dyDescent="0.25"/>
    <row r="273654" s="12" customFormat="1" x14ac:dyDescent="0.25"/>
    <row r="273655" s="12" customFormat="1" x14ac:dyDescent="0.25"/>
    <row r="273656" s="12" customFormat="1" x14ac:dyDescent="0.25"/>
    <row r="273657" s="12" customFormat="1" x14ac:dyDescent="0.25"/>
    <row r="273658" s="12" customFormat="1" x14ac:dyDescent="0.25"/>
    <row r="273659" s="12" customFormat="1" x14ac:dyDescent="0.25"/>
    <row r="273660" s="12" customFormat="1" x14ac:dyDescent="0.25"/>
    <row r="273661" s="12" customFormat="1" x14ac:dyDescent="0.25"/>
    <row r="273662" s="12" customFormat="1" x14ac:dyDescent="0.25"/>
    <row r="273663" s="12" customFormat="1" x14ac:dyDescent="0.25"/>
    <row r="273664" s="12" customFormat="1" x14ac:dyDescent="0.25"/>
    <row r="273665" s="12" customFormat="1" x14ac:dyDescent="0.25"/>
    <row r="273666" s="12" customFormat="1" x14ac:dyDescent="0.25"/>
    <row r="273667" s="12" customFormat="1" x14ac:dyDescent="0.25"/>
    <row r="273668" s="12" customFormat="1" x14ac:dyDescent="0.25"/>
    <row r="273669" s="12" customFormat="1" x14ac:dyDescent="0.25"/>
    <row r="273670" s="12" customFormat="1" x14ac:dyDescent="0.25"/>
    <row r="273671" s="12" customFormat="1" x14ac:dyDescent="0.25"/>
    <row r="273672" s="12" customFormat="1" x14ac:dyDescent="0.25"/>
    <row r="273673" s="12" customFormat="1" x14ac:dyDescent="0.25"/>
    <row r="273674" s="12" customFormat="1" x14ac:dyDescent="0.25"/>
    <row r="273675" s="12" customFormat="1" x14ac:dyDescent="0.25"/>
    <row r="273676" s="12" customFormat="1" x14ac:dyDescent="0.25"/>
    <row r="273677" s="12" customFormat="1" x14ac:dyDescent="0.25"/>
    <row r="273678" s="12" customFormat="1" x14ac:dyDescent="0.25"/>
    <row r="273679" s="12" customFormat="1" x14ac:dyDescent="0.25"/>
    <row r="273680" s="12" customFormat="1" x14ac:dyDescent="0.25"/>
    <row r="273681" s="12" customFormat="1" x14ac:dyDescent="0.25"/>
    <row r="273682" s="12" customFormat="1" x14ac:dyDescent="0.25"/>
    <row r="273683" s="12" customFormat="1" x14ac:dyDescent="0.25"/>
    <row r="273684" s="12" customFormat="1" x14ac:dyDescent="0.25"/>
    <row r="273685" s="12" customFormat="1" x14ac:dyDescent="0.25"/>
    <row r="273686" s="12" customFormat="1" x14ac:dyDescent="0.25"/>
    <row r="273687" s="12" customFormat="1" x14ac:dyDescent="0.25"/>
    <row r="273688" s="12" customFormat="1" x14ac:dyDescent="0.25"/>
    <row r="273689" s="12" customFormat="1" x14ac:dyDescent="0.25"/>
    <row r="273690" s="12" customFormat="1" x14ac:dyDescent="0.25"/>
    <row r="273691" s="12" customFormat="1" x14ac:dyDescent="0.25"/>
    <row r="273692" s="12" customFormat="1" x14ac:dyDescent="0.25"/>
    <row r="273693" s="12" customFormat="1" x14ac:dyDescent="0.25"/>
    <row r="273694" s="12" customFormat="1" x14ac:dyDescent="0.25"/>
    <row r="273695" s="12" customFormat="1" x14ac:dyDescent="0.25"/>
    <row r="273696" s="12" customFormat="1" x14ac:dyDescent="0.25"/>
    <row r="273697" s="12" customFormat="1" x14ac:dyDescent="0.25"/>
    <row r="273698" s="12" customFormat="1" x14ac:dyDescent="0.25"/>
    <row r="273699" s="12" customFormat="1" x14ac:dyDescent="0.25"/>
    <row r="273700" s="12" customFormat="1" x14ac:dyDescent="0.25"/>
    <row r="273701" s="12" customFormat="1" x14ac:dyDescent="0.25"/>
    <row r="273702" s="12" customFormat="1" x14ac:dyDescent="0.25"/>
    <row r="273703" s="12" customFormat="1" x14ac:dyDescent="0.25"/>
    <row r="273704" s="12" customFormat="1" x14ac:dyDescent="0.25"/>
    <row r="273705" s="12" customFormat="1" x14ac:dyDescent="0.25"/>
    <row r="273706" s="12" customFormat="1" x14ac:dyDescent="0.25"/>
    <row r="273707" s="12" customFormat="1" x14ac:dyDescent="0.25"/>
    <row r="273708" s="12" customFormat="1" x14ac:dyDescent="0.25"/>
    <row r="273709" s="12" customFormat="1" x14ac:dyDescent="0.25"/>
    <row r="273710" s="12" customFormat="1" x14ac:dyDescent="0.25"/>
    <row r="273711" s="12" customFormat="1" x14ac:dyDescent="0.25"/>
    <row r="273712" s="12" customFormat="1" x14ac:dyDescent="0.25"/>
    <row r="273713" s="12" customFormat="1" x14ac:dyDescent="0.25"/>
    <row r="273714" s="12" customFormat="1" x14ac:dyDescent="0.25"/>
    <row r="273715" s="12" customFormat="1" x14ac:dyDescent="0.25"/>
    <row r="273716" s="12" customFormat="1" x14ac:dyDescent="0.25"/>
    <row r="273717" s="12" customFormat="1" x14ac:dyDescent="0.25"/>
    <row r="273718" s="12" customFormat="1" x14ac:dyDescent="0.25"/>
    <row r="273719" s="12" customFormat="1" x14ac:dyDescent="0.25"/>
    <row r="273720" s="12" customFormat="1" x14ac:dyDescent="0.25"/>
    <row r="273721" s="12" customFormat="1" x14ac:dyDescent="0.25"/>
    <row r="273722" s="12" customFormat="1" x14ac:dyDescent="0.25"/>
    <row r="273723" s="12" customFormat="1" x14ac:dyDescent="0.25"/>
    <row r="273724" s="12" customFormat="1" x14ac:dyDescent="0.25"/>
    <row r="273725" s="12" customFormat="1" x14ac:dyDescent="0.25"/>
    <row r="273726" s="12" customFormat="1" x14ac:dyDescent="0.25"/>
    <row r="273727" s="12" customFormat="1" x14ac:dyDescent="0.25"/>
    <row r="273728" s="12" customFormat="1" x14ac:dyDescent="0.25"/>
    <row r="273729" s="12" customFormat="1" x14ac:dyDescent="0.25"/>
    <row r="273730" s="12" customFormat="1" x14ac:dyDescent="0.25"/>
    <row r="273731" s="12" customFormat="1" x14ac:dyDescent="0.25"/>
    <row r="273732" s="12" customFormat="1" x14ac:dyDescent="0.25"/>
    <row r="273733" s="12" customFormat="1" x14ac:dyDescent="0.25"/>
    <row r="273734" s="12" customFormat="1" x14ac:dyDescent="0.25"/>
    <row r="273735" s="12" customFormat="1" x14ac:dyDescent="0.25"/>
    <row r="273736" s="12" customFormat="1" x14ac:dyDescent="0.25"/>
    <row r="273737" s="12" customFormat="1" x14ac:dyDescent="0.25"/>
    <row r="273738" s="12" customFormat="1" x14ac:dyDescent="0.25"/>
    <row r="273739" s="12" customFormat="1" x14ac:dyDescent="0.25"/>
    <row r="273740" s="12" customFormat="1" x14ac:dyDescent="0.25"/>
    <row r="273741" s="12" customFormat="1" x14ac:dyDescent="0.25"/>
    <row r="273742" s="12" customFormat="1" x14ac:dyDescent="0.25"/>
    <row r="273743" s="12" customFormat="1" x14ac:dyDescent="0.25"/>
    <row r="273744" s="12" customFormat="1" x14ac:dyDescent="0.25"/>
    <row r="273745" s="12" customFormat="1" x14ac:dyDescent="0.25"/>
    <row r="273746" s="12" customFormat="1" x14ac:dyDescent="0.25"/>
    <row r="273747" s="12" customFormat="1" x14ac:dyDescent="0.25"/>
    <row r="273748" s="12" customFormat="1" x14ac:dyDescent="0.25"/>
    <row r="273749" s="12" customFormat="1" x14ac:dyDescent="0.25"/>
    <row r="273750" s="12" customFormat="1" x14ac:dyDescent="0.25"/>
    <row r="273751" s="12" customFormat="1" x14ac:dyDescent="0.25"/>
    <row r="273752" s="12" customFormat="1" x14ac:dyDescent="0.25"/>
    <row r="273753" s="12" customFormat="1" x14ac:dyDescent="0.25"/>
    <row r="273754" s="12" customFormat="1" x14ac:dyDescent="0.25"/>
    <row r="273755" s="12" customFormat="1" x14ac:dyDescent="0.25"/>
    <row r="273756" s="12" customFormat="1" x14ac:dyDescent="0.25"/>
    <row r="273757" s="12" customFormat="1" x14ac:dyDescent="0.25"/>
    <row r="273758" s="12" customFormat="1" x14ac:dyDescent="0.25"/>
    <row r="273759" s="12" customFormat="1" x14ac:dyDescent="0.25"/>
    <row r="273760" s="12" customFormat="1" x14ac:dyDescent="0.25"/>
    <row r="273761" s="12" customFormat="1" x14ac:dyDescent="0.25"/>
    <row r="273762" s="12" customFormat="1" x14ac:dyDescent="0.25"/>
    <row r="273763" s="12" customFormat="1" x14ac:dyDescent="0.25"/>
    <row r="273764" s="12" customFormat="1" x14ac:dyDescent="0.25"/>
    <row r="273765" s="12" customFormat="1" x14ac:dyDescent="0.25"/>
    <row r="273766" s="12" customFormat="1" x14ac:dyDescent="0.25"/>
    <row r="273767" s="12" customFormat="1" x14ac:dyDescent="0.25"/>
    <row r="273768" s="12" customFormat="1" x14ac:dyDescent="0.25"/>
    <row r="273769" s="12" customFormat="1" x14ac:dyDescent="0.25"/>
    <row r="273770" s="12" customFormat="1" x14ac:dyDescent="0.25"/>
    <row r="273771" s="12" customFormat="1" x14ac:dyDescent="0.25"/>
    <row r="273772" s="12" customFormat="1" x14ac:dyDescent="0.25"/>
    <row r="273773" s="12" customFormat="1" x14ac:dyDescent="0.25"/>
    <row r="273774" s="12" customFormat="1" x14ac:dyDescent="0.25"/>
    <row r="273775" s="12" customFormat="1" x14ac:dyDescent="0.25"/>
    <row r="273776" s="12" customFormat="1" x14ac:dyDescent="0.25"/>
    <row r="273777" s="12" customFormat="1" x14ac:dyDescent="0.25"/>
    <row r="273778" s="12" customFormat="1" x14ac:dyDescent="0.25"/>
    <row r="273779" s="12" customFormat="1" x14ac:dyDescent="0.25"/>
    <row r="273780" s="12" customFormat="1" x14ac:dyDescent="0.25"/>
    <row r="273781" s="12" customFormat="1" x14ac:dyDescent="0.25"/>
    <row r="273782" s="12" customFormat="1" x14ac:dyDescent="0.25"/>
    <row r="273783" s="12" customFormat="1" x14ac:dyDescent="0.25"/>
    <row r="273784" s="12" customFormat="1" x14ac:dyDescent="0.25"/>
    <row r="273785" s="12" customFormat="1" x14ac:dyDescent="0.25"/>
    <row r="273786" s="12" customFormat="1" x14ac:dyDescent="0.25"/>
    <row r="273787" s="12" customFormat="1" x14ac:dyDescent="0.25"/>
    <row r="273788" s="12" customFormat="1" x14ac:dyDescent="0.25"/>
    <row r="273789" s="12" customFormat="1" x14ac:dyDescent="0.25"/>
    <row r="273790" s="12" customFormat="1" x14ac:dyDescent="0.25"/>
    <row r="273791" s="12" customFormat="1" x14ac:dyDescent="0.25"/>
    <row r="273792" s="12" customFormat="1" x14ac:dyDescent="0.25"/>
    <row r="273793" s="12" customFormat="1" x14ac:dyDescent="0.25"/>
    <row r="273794" s="12" customFormat="1" x14ac:dyDescent="0.25"/>
    <row r="273795" s="12" customFormat="1" x14ac:dyDescent="0.25"/>
    <row r="273796" s="12" customFormat="1" x14ac:dyDescent="0.25"/>
    <row r="273797" s="12" customFormat="1" x14ac:dyDescent="0.25"/>
    <row r="273798" s="12" customFormat="1" x14ac:dyDescent="0.25"/>
    <row r="273799" s="12" customFormat="1" x14ac:dyDescent="0.25"/>
    <row r="273800" s="12" customFormat="1" x14ac:dyDescent="0.25"/>
    <row r="273801" s="12" customFormat="1" x14ac:dyDescent="0.25"/>
    <row r="273802" s="12" customFormat="1" x14ac:dyDescent="0.25"/>
    <row r="273803" s="12" customFormat="1" x14ac:dyDescent="0.25"/>
    <row r="273804" s="12" customFormat="1" x14ac:dyDescent="0.25"/>
    <row r="273805" s="12" customFormat="1" x14ac:dyDescent="0.25"/>
    <row r="273806" s="12" customFormat="1" x14ac:dyDescent="0.25"/>
    <row r="273807" s="12" customFormat="1" x14ac:dyDescent="0.25"/>
    <row r="273808" s="12" customFormat="1" x14ac:dyDescent="0.25"/>
    <row r="273809" s="12" customFormat="1" x14ac:dyDescent="0.25"/>
    <row r="273810" s="12" customFormat="1" x14ac:dyDescent="0.25"/>
    <row r="273811" s="12" customFormat="1" x14ac:dyDescent="0.25"/>
    <row r="273812" s="12" customFormat="1" x14ac:dyDescent="0.25"/>
    <row r="273813" s="12" customFormat="1" x14ac:dyDescent="0.25"/>
    <row r="273814" s="12" customFormat="1" x14ac:dyDescent="0.25"/>
    <row r="273815" s="12" customFormat="1" x14ac:dyDescent="0.25"/>
    <row r="273816" s="12" customFormat="1" x14ac:dyDescent="0.25"/>
    <row r="273817" s="12" customFormat="1" x14ac:dyDescent="0.25"/>
    <row r="273818" s="12" customFormat="1" x14ac:dyDescent="0.25"/>
    <row r="273819" s="12" customFormat="1" x14ac:dyDescent="0.25"/>
    <row r="273820" s="12" customFormat="1" x14ac:dyDescent="0.25"/>
    <row r="273821" s="12" customFormat="1" x14ac:dyDescent="0.25"/>
    <row r="273822" s="12" customFormat="1" x14ac:dyDescent="0.25"/>
    <row r="273823" s="12" customFormat="1" x14ac:dyDescent="0.25"/>
    <row r="273824" s="12" customFormat="1" x14ac:dyDescent="0.25"/>
    <row r="273825" s="12" customFormat="1" x14ac:dyDescent="0.25"/>
    <row r="273826" s="12" customFormat="1" x14ac:dyDescent="0.25"/>
    <row r="273827" s="12" customFormat="1" x14ac:dyDescent="0.25"/>
    <row r="273828" s="12" customFormat="1" x14ac:dyDescent="0.25"/>
    <row r="273829" s="12" customFormat="1" x14ac:dyDescent="0.25"/>
    <row r="273830" s="12" customFormat="1" x14ac:dyDescent="0.25"/>
    <row r="273831" s="12" customFormat="1" x14ac:dyDescent="0.25"/>
    <row r="273832" s="12" customFormat="1" x14ac:dyDescent="0.25"/>
    <row r="273833" s="12" customFormat="1" x14ac:dyDescent="0.25"/>
    <row r="273834" s="12" customFormat="1" x14ac:dyDescent="0.25"/>
    <row r="273835" s="12" customFormat="1" x14ac:dyDescent="0.25"/>
    <row r="273836" s="12" customFormat="1" x14ac:dyDescent="0.25"/>
    <row r="273837" s="12" customFormat="1" x14ac:dyDescent="0.25"/>
    <row r="273838" s="12" customFormat="1" x14ac:dyDescent="0.25"/>
    <row r="273839" s="12" customFormat="1" x14ac:dyDescent="0.25"/>
    <row r="273840" s="12" customFormat="1" x14ac:dyDescent="0.25"/>
    <row r="273841" s="12" customFormat="1" x14ac:dyDescent="0.25"/>
    <row r="273842" s="12" customFormat="1" x14ac:dyDescent="0.25"/>
    <row r="273843" s="12" customFormat="1" x14ac:dyDescent="0.25"/>
    <row r="273844" s="12" customFormat="1" x14ac:dyDescent="0.25"/>
    <row r="273845" s="12" customFormat="1" x14ac:dyDescent="0.25"/>
    <row r="273846" s="12" customFormat="1" x14ac:dyDescent="0.25"/>
    <row r="273847" s="12" customFormat="1" x14ac:dyDescent="0.25"/>
    <row r="273848" s="12" customFormat="1" x14ac:dyDescent="0.25"/>
    <row r="273849" s="12" customFormat="1" x14ac:dyDescent="0.25"/>
    <row r="273850" s="12" customFormat="1" x14ac:dyDescent="0.25"/>
    <row r="273851" s="12" customFormat="1" x14ac:dyDescent="0.25"/>
    <row r="273852" s="12" customFormat="1" x14ac:dyDescent="0.25"/>
    <row r="273853" s="12" customFormat="1" x14ac:dyDescent="0.25"/>
    <row r="273854" s="12" customFormat="1" x14ac:dyDescent="0.25"/>
    <row r="273855" s="12" customFormat="1" x14ac:dyDescent="0.25"/>
    <row r="273856" s="12" customFormat="1" x14ac:dyDescent="0.25"/>
    <row r="273857" s="12" customFormat="1" x14ac:dyDescent="0.25"/>
    <row r="273858" s="12" customFormat="1" x14ac:dyDescent="0.25"/>
    <row r="273859" s="12" customFormat="1" x14ac:dyDescent="0.25"/>
    <row r="273860" s="12" customFormat="1" x14ac:dyDescent="0.25"/>
    <row r="273861" s="12" customFormat="1" x14ac:dyDescent="0.25"/>
    <row r="273862" s="12" customFormat="1" x14ac:dyDescent="0.25"/>
    <row r="273863" s="12" customFormat="1" x14ac:dyDescent="0.25"/>
    <row r="273864" s="12" customFormat="1" x14ac:dyDescent="0.25"/>
    <row r="273865" s="12" customFormat="1" x14ac:dyDescent="0.25"/>
    <row r="273866" s="12" customFormat="1" x14ac:dyDescent="0.25"/>
    <row r="273867" s="12" customFormat="1" x14ac:dyDescent="0.25"/>
    <row r="273868" s="12" customFormat="1" x14ac:dyDescent="0.25"/>
    <row r="273869" s="12" customFormat="1" x14ac:dyDescent="0.25"/>
    <row r="273870" s="12" customFormat="1" x14ac:dyDescent="0.25"/>
    <row r="273871" s="12" customFormat="1" x14ac:dyDescent="0.25"/>
    <row r="273872" s="12" customFormat="1" x14ac:dyDescent="0.25"/>
    <row r="273873" s="12" customFormat="1" x14ac:dyDescent="0.25"/>
    <row r="273874" s="12" customFormat="1" x14ac:dyDescent="0.25"/>
    <row r="273875" s="12" customFormat="1" x14ac:dyDescent="0.25"/>
    <row r="273876" s="12" customFormat="1" x14ac:dyDescent="0.25"/>
    <row r="273877" s="12" customFormat="1" x14ac:dyDescent="0.25"/>
    <row r="273878" s="12" customFormat="1" x14ac:dyDescent="0.25"/>
    <row r="273879" s="12" customFormat="1" x14ac:dyDescent="0.25"/>
    <row r="273880" s="12" customFormat="1" x14ac:dyDescent="0.25"/>
    <row r="273881" s="12" customFormat="1" x14ac:dyDescent="0.25"/>
    <row r="273882" s="12" customFormat="1" x14ac:dyDescent="0.25"/>
    <row r="273883" s="12" customFormat="1" x14ac:dyDescent="0.25"/>
    <row r="273884" s="12" customFormat="1" x14ac:dyDescent="0.25"/>
    <row r="273885" s="12" customFormat="1" x14ac:dyDescent="0.25"/>
    <row r="273886" s="12" customFormat="1" x14ac:dyDescent="0.25"/>
    <row r="273887" s="12" customFormat="1" x14ac:dyDescent="0.25"/>
    <row r="273888" s="12" customFormat="1" x14ac:dyDescent="0.25"/>
    <row r="273889" s="12" customFormat="1" x14ac:dyDescent="0.25"/>
    <row r="273890" s="12" customFormat="1" x14ac:dyDescent="0.25"/>
    <row r="273891" s="12" customFormat="1" x14ac:dyDescent="0.25"/>
    <row r="273892" s="12" customFormat="1" x14ac:dyDescent="0.25"/>
    <row r="273893" s="12" customFormat="1" x14ac:dyDescent="0.25"/>
    <row r="273894" s="12" customFormat="1" x14ac:dyDescent="0.25"/>
    <row r="273895" s="12" customFormat="1" x14ac:dyDescent="0.25"/>
    <row r="273896" s="12" customFormat="1" x14ac:dyDescent="0.25"/>
    <row r="273897" s="12" customFormat="1" x14ac:dyDescent="0.25"/>
    <row r="273898" s="12" customFormat="1" x14ac:dyDescent="0.25"/>
    <row r="273899" s="12" customFormat="1" x14ac:dyDescent="0.25"/>
    <row r="273900" s="12" customFormat="1" x14ac:dyDescent="0.25"/>
    <row r="273901" s="12" customFormat="1" x14ac:dyDescent="0.25"/>
    <row r="273902" s="12" customFormat="1" x14ac:dyDescent="0.25"/>
    <row r="273903" s="12" customFormat="1" x14ac:dyDescent="0.25"/>
    <row r="273904" s="12" customFormat="1" x14ac:dyDescent="0.25"/>
    <row r="273905" s="12" customFormat="1" x14ac:dyDescent="0.25"/>
    <row r="273906" s="12" customFormat="1" x14ac:dyDescent="0.25"/>
    <row r="273907" s="12" customFormat="1" x14ac:dyDescent="0.25"/>
    <row r="273908" s="12" customFormat="1" x14ac:dyDescent="0.25"/>
    <row r="273909" s="12" customFormat="1" x14ac:dyDescent="0.25"/>
    <row r="273910" s="12" customFormat="1" x14ac:dyDescent="0.25"/>
    <row r="273911" s="12" customFormat="1" x14ac:dyDescent="0.25"/>
    <row r="273912" s="12" customFormat="1" x14ac:dyDescent="0.25"/>
    <row r="273913" s="12" customFormat="1" x14ac:dyDescent="0.25"/>
    <row r="273914" s="12" customFormat="1" x14ac:dyDescent="0.25"/>
    <row r="273915" s="12" customFormat="1" x14ac:dyDescent="0.25"/>
    <row r="273916" s="12" customFormat="1" x14ac:dyDescent="0.25"/>
    <row r="273917" s="12" customFormat="1" x14ac:dyDescent="0.25"/>
    <row r="273918" s="12" customFormat="1" x14ac:dyDescent="0.25"/>
    <row r="273919" s="12" customFormat="1" x14ac:dyDescent="0.25"/>
    <row r="273920" s="12" customFormat="1" x14ac:dyDescent="0.25"/>
    <row r="273921" s="12" customFormat="1" x14ac:dyDescent="0.25"/>
    <row r="273922" s="12" customFormat="1" x14ac:dyDescent="0.25"/>
    <row r="273923" s="12" customFormat="1" x14ac:dyDescent="0.25"/>
    <row r="273924" s="12" customFormat="1" x14ac:dyDescent="0.25"/>
    <row r="273925" s="12" customFormat="1" x14ac:dyDescent="0.25"/>
    <row r="273926" s="12" customFormat="1" x14ac:dyDescent="0.25"/>
    <row r="273927" s="12" customFormat="1" x14ac:dyDescent="0.25"/>
    <row r="273928" s="12" customFormat="1" x14ac:dyDescent="0.25"/>
    <row r="273929" s="12" customFormat="1" x14ac:dyDescent="0.25"/>
    <row r="273930" s="12" customFormat="1" x14ac:dyDescent="0.25"/>
    <row r="273931" s="12" customFormat="1" x14ac:dyDescent="0.25"/>
    <row r="273932" s="12" customFormat="1" x14ac:dyDescent="0.25"/>
    <row r="273933" s="12" customFormat="1" x14ac:dyDescent="0.25"/>
    <row r="273934" s="12" customFormat="1" x14ac:dyDescent="0.25"/>
    <row r="273935" s="12" customFormat="1" x14ac:dyDescent="0.25"/>
    <row r="273936" s="12" customFormat="1" x14ac:dyDescent="0.25"/>
    <row r="273937" s="12" customFormat="1" x14ac:dyDescent="0.25"/>
    <row r="273938" s="12" customFormat="1" x14ac:dyDescent="0.25"/>
    <row r="273939" s="12" customFormat="1" x14ac:dyDescent="0.25"/>
    <row r="273940" s="12" customFormat="1" x14ac:dyDescent="0.25"/>
    <row r="273941" s="12" customFormat="1" x14ac:dyDescent="0.25"/>
    <row r="273942" s="12" customFormat="1" x14ac:dyDescent="0.25"/>
    <row r="273943" s="12" customFormat="1" x14ac:dyDescent="0.25"/>
    <row r="273944" s="12" customFormat="1" x14ac:dyDescent="0.25"/>
    <row r="273945" s="12" customFormat="1" x14ac:dyDescent="0.25"/>
    <row r="273946" s="12" customFormat="1" x14ac:dyDescent="0.25"/>
    <row r="273947" s="12" customFormat="1" x14ac:dyDescent="0.25"/>
    <row r="273948" s="12" customFormat="1" x14ac:dyDescent="0.25"/>
    <row r="273949" s="12" customFormat="1" x14ac:dyDescent="0.25"/>
    <row r="273950" s="12" customFormat="1" x14ac:dyDescent="0.25"/>
    <row r="273951" s="12" customFormat="1" x14ac:dyDescent="0.25"/>
    <row r="273952" s="12" customFormat="1" x14ac:dyDescent="0.25"/>
    <row r="273953" s="12" customFormat="1" x14ac:dyDescent="0.25"/>
    <row r="273954" s="12" customFormat="1" x14ac:dyDescent="0.25"/>
    <row r="273955" s="12" customFormat="1" x14ac:dyDescent="0.25"/>
    <row r="273956" s="12" customFormat="1" x14ac:dyDescent="0.25"/>
    <row r="273957" s="12" customFormat="1" x14ac:dyDescent="0.25"/>
    <row r="273958" s="12" customFormat="1" x14ac:dyDescent="0.25"/>
    <row r="273959" s="12" customFormat="1" x14ac:dyDescent="0.25"/>
    <row r="273960" s="12" customFormat="1" x14ac:dyDescent="0.25"/>
    <row r="273961" s="12" customFormat="1" x14ac:dyDescent="0.25"/>
    <row r="273962" s="12" customFormat="1" x14ac:dyDescent="0.25"/>
    <row r="273963" s="12" customFormat="1" x14ac:dyDescent="0.25"/>
    <row r="273964" s="12" customFormat="1" x14ac:dyDescent="0.25"/>
    <row r="273965" s="12" customFormat="1" x14ac:dyDescent="0.25"/>
    <row r="273966" s="12" customFormat="1" x14ac:dyDescent="0.25"/>
    <row r="273967" s="12" customFormat="1" x14ac:dyDescent="0.25"/>
    <row r="273968" s="12" customFormat="1" x14ac:dyDescent="0.25"/>
    <row r="273969" s="12" customFormat="1" x14ac:dyDescent="0.25"/>
    <row r="273970" s="12" customFormat="1" x14ac:dyDescent="0.25"/>
    <row r="273971" s="12" customFormat="1" x14ac:dyDescent="0.25"/>
    <row r="273972" s="12" customFormat="1" x14ac:dyDescent="0.25"/>
    <row r="273973" s="12" customFormat="1" x14ac:dyDescent="0.25"/>
    <row r="273974" s="12" customFormat="1" x14ac:dyDescent="0.25"/>
    <row r="273975" s="12" customFormat="1" x14ac:dyDescent="0.25"/>
    <row r="273976" s="12" customFormat="1" x14ac:dyDescent="0.25"/>
    <row r="273977" s="12" customFormat="1" x14ac:dyDescent="0.25"/>
    <row r="273978" s="12" customFormat="1" x14ac:dyDescent="0.25"/>
    <row r="273979" s="12" customFormat="1" x14ac:dyDescent="0.25"/>
    <row r="273980" s="12" customFormat="1" x14ac:dyDescent="0.25"/>
    <row r="273981" s="12" customFormat="1" x14ac:dyDescent="0.25"/>
    <row r="273982" s="12" customFormat="1" x14ac:dyDescent="0.25"/>
    <row r="273983" s="12" customFormat="1" x14ac:dyDescent="0.25"/>
    <row r="273984" s="12" customFormat="1" x14ac:dyDescent="0.25"/>
    <row r="273985" s="12" customFormat="1" x14ac:dyDescent="0.25"/>
    <row r="273986" s="12" customFormat="1" x14ac:dyDescent="0.25"/>
    <row r="273987" s="12" customFormat="1" x14ac:dyDescent="0.25"/>
    <row r="273988" s="12" customFormat="1" x14ac:dyDescent="0.25"/>
    <row r="273989" s="12" customFormat="1" x14ac:dyDescent="0.25"/>
    <row r="273990" s="12" customFormat="1" x14ac:dyDescent="0.25"/>
    <row r="273991" s="12" customFormat="1" x14ac:dyDescent="0.25"/>
    <row r="273992" s="12" customFormat="1" x14ac:dyDescent="0.25"/>
    <row r="273993" s="12" customFormat="1" x14ac:dyDescent="0.25"/>
    <row r="273994" s="12" customFormat="1" x14ac:dyDescent="0.25"/>
    <row r="273995" s="12" customFormat="1" x14ac:dyDescent="0.25"/>
    <row r="273996" s="12" customFormat="1" x14ac:dyDescent="0.25"/>
    <row r="273997" s="12" customFormat="1" x14ac:dyDescent="0.25"/>
    <row r="273998" s="12" customFormat="1" x14ac:dyDescent="0.25"/>
    <row r="273999" s="12" customFormat="1" x14ac:dyDescent="0.25"/>
    <row r="274000" s="12" customFormat="1" x14ac:dyDescent="0.25"/>
    <row r="274001" s="12" customFormat="1" x14ac:dyDescent="0.25"/>
    <row r="274002" s="12" customFormat="1" x14ac:dyDescent="0.25"/>
    <row r="274003" s="12" customFormat="1" x14ac:dyDescent="0.25"/>
    <row r="274004" s="12" customFormat="1" x14ac:dyDescent="0.25"/>
    <row r="274005" s="12" customFormat="1" x14ac:dyDescent="0.25"/>
    <row r="274006" s="12" customFormat="1" x14ac:dyDescent="0.25"/>
    <row r="274007" s="12" customFormat="1" x14ac:dyDescent="0.25"/>
    <row r="274008" s="12" customFormat="1" x14ac:dyDescent="0.25"/>
    <row r="274009" s="12" customFormat="1" x14ac:dyDescent="0.25"/>
    <row r="274010" s="12" customFormat="1" x14ac:dyDescent="0.25"/>
    <row r="274011" s="12" customFormat="1" x14ac:dyDescent="0.25"/>
    <row r="274012" s="12" customFormat="1" x14ac:dyDescent="0.25"/>
    <row r="274013" s="12" customFormat="1" x14ac:dyDescent="0.25"/>
    <row r="274014" s="12" customFormat="1" x14ac:dyDescent="0.25"/>
    <row r="274015" s="12" customFormat="1" x14ac:dyDescent="0.25"/>
    <row r="274016" s="12" customFormat="1" x14ac:dyDescent="0.25"/>
    <row r="274017" s="12" customFormat="1" x14ac:dyDescent="0.25"/>
    <row r="274018" s="12" customFormat="1" x14ac:dyDescent="0.25"/>
    <row r="274019" s="12" customFormat="1" x14ac:dyDescent="0.25"/>
    <row r="274020" s="12" customFormat="1" x14ac:dyDescent="0.25"/>
    <row r="274021" s="12" customFormat="1" x14ac:dyDescent="0.25"/>
    <row r="274022" s="12" customFormat="1" x14ac:dyDescent="0.25"/>
    <row r="274023" s="12" customFormat="1" x14ac:dyDescent="0.25"/>
    <row r="274024" s="12" customFormat="1" x14ac:dyDescent="0.25"/>
    <row r="274025" s="12" customFormat="1" x14ac:dyDescent="0.25"/>
    <row r="274026" s="12" customFormat="1" x14ac:dyDescent="0.25"/>
    <row r="274027" s="12" customFormat="1" x14ac:dyDescent="0.25"/>
    <row r="274028" s="12" customFormat="1" x14ac:dyDescent="0.25"/>
    <row r="274029" s="12" customFormat="1" x14ac:dyDescent="0.25"/>
    <row r="274030" s="12" customFormat="1" x14ac:dyDescent="0.25"/>
    <row r="274031" s="12" customFormat="1" x14ac:dyDescent="0.25"/>
    <row r="274032" s="12" customFormat="1" x14ac:dyDescent="0.25"/>
    <row r="274033" s="12" customFormat="1" x14ac:dyDescent="0.25"/>
    <row r="274034" s="12" customFormat="1" x14ac:dyDescent="0.25"/>
    <row r="274035" s="12" customFormat="1" x14ac:dyDescent="0.25"/>
    <row r="274036" s="12" customFormat="1" x14ac:dyDescent="0.25"/>
    <row r="274037" s="12" customFormat="1" x14ac:dyDescent="0.25"/>
    <row r="274038" s="12" customFormat="1" x14ac:dyDescent="0.25"/>
    <row r="274039" s="12" customFormat="1" x14ac:dyDescent="0.25"/>
    <row r="274040" s="12" customFormat="1" x14ac:dyDescent="0.25"/>
    <row r="274041" s="12" customFormat="1" x14ac:dyDescent="0.25"/>
    <row r="274042" s="12" customFormat="1" x14ac:dyDescent="0.25"/>
    <row r="274043" s="12" customFormat="1" x14ac:dyDescent="0.25"/>
    <row r="274044" s="12" customFormat="1" x14ac:dyDescent="0.25"/>
    <row r="274045" s="12" customFormat="1" x14ac:dyDescent="0.25"/>
    <row r="274046" s="12" customFormat="1" x14ac:dyDescent="0.25"/>
    <row r="274047" s="12" customFormat="1" x14ac:dyDescent="0.25"/>
    <row r="274048" s="12" customFormat="1" x14ac:dyDescent="0.25"/>
    <row r="274049" s="12" customFormat="1" x14ac:dyDescent="0.25"/>
    <row r="274050" s="12" customFormat="1" x14ac:dyDescent="0.25"/>
    <row r="274051" s="12" customFormat="1" x14ac:dyDescent="0.25"/>
    <row r="274052" s="12" customFormat="1" x14ac:dyDescent="0.25"/>
    <row r="274053" s="12" customFormat="1" x14ac:dyDescent="0.25"/>
    <row r="274054" s="12" customFormat="1" x14ac:dyDescent="0.25"/>
    <row r="274055" s="12" customFormat="1" x14ac:dyDescent="0.25"/>
    <row r="274056" s="12" customFormat="1" x14ac:dyDescent="0.25"/>
    <row r="274057" s="12" customFormat="1" x14ac:dyDescent="0.25"/>
    <row r="274058" s="12" customFormat="1" x14ac:dyDescent="0.25"/>
    <row r="274059" s="12" customFormat="1" x14ac:dyDescent="0.25"/>
    <row r="274060" s="12" customFormat="1" x14ac:dyDescent="0.25"/>
    <row r="274061" s="12" customFormat="1" x14ac:dyDescent="0.25"/>
    <row r="274062" s="12" customFormat="1" x14ac:dyDescent="0.25"/>
    <row r="274063" s="12" customFormat="1" x14ac:dyDescent="0.25"/>
    <row r="274064" s="12" customFormat="1" x14ac:dyDescent="0.25"/>
    <row r="274065" s="12" customFormat="1" x14ac:dyDescent="0.25"/>
    <row r="274066" s="12" customFormat="1" x14ac:dyDescent="0.25"/>
    <row r="274067" s="12" customFormat="1" x14ac:dyDescent="0.25"/>
    <row r="274068" s="12" customFormat="1" x14ac:dyDescent="0.25"/>
    <row r="274069" s="12" customFormat="1" x14ac:dyDescent="0.25"/>
    <row r="274070" s="12" customFormat="1" x14ac:dyDescent="0.25"/>
    <row r="274071" s="12" customFormat="1" x14ac:dyDescent="0.25"/>
    <row r="274072" s="12" customFormat="1" x14ac:dyDescent="0.25"/>
    <row r="274073" s="12" customFormat="1" x14ac:dyDescent="0.25"/>
    <row r="274074" s="12" customFormat="1" x14ac:dyDescent="0.25"/>
    <row r="274075" s="12" customFormat="1" x14ac:dyDescent="0.25"/>
    <row r="274076" s="12" customFormat="1" x14ac:dyDescent="0.25"/>
    <row r="274077" s="12" customFormat="1" x14ac:dyDescent="0.25"/>
    <row r="274078" s="12" customFormat="1" x14ac:dyDescent="0.25"/>
    <row r="274079" s="12" customFormat="1" x14ac:dyDescent="0.25"/>
    <row r="274080" s="12" customFormat="1" x14ac:dyDescent="0.25"/>
    <row r="274081" s="12" customFormat="1" x14ac:dyDescent="0.25"/>
    <row r="274082" s="12" customFormat="1" x14ac:dyDescent="0.25"/>
    <row r="274083" s="12" customFormat="1" x14ac:dyDescent="0.25"/>
    <row r="274084" s="12" customFormat="1" x14ac:dyDescent="0.25"/>
    <row r="274085" s="12" customFormat="1" x14ac:dyDescent="0.25"/>
    <row r="274086" s="12" customFormat="1" x14ac:dyDescent="0.25"/>
    <row r="274087" s="12" customFormat="1" x14ac:dyDescent="0.25"/>
    <row r="274088" s="12" customFormat="1" x14ac:dyDescent="0.25"/>
    <row r="274089" s="12" customFormat="1" x14ac:dyDescent="0.25"/>
    <row r="274090" s="12" customFormat="1" x14ac:dyDescent="0.25"/>
    <row r="274091" s="12" customFormat="1" x14ac:dyDescent="0.25"/>
    <row r="274092" s="12" customFormat="1" x14ac:dyDescent="0.25"/>
    <row r="274093" s="12" customFormat="1" x14ac:dyDescent="0.25"/>
    <row r="274094" s="12" customFormat="1" x14ac:dyDescent="0.25"/>
    <row r="274095" s="12" customFormat="1" x14ac:dyDescent="0.25"/>
    <row r="274096" s="12" customFormat="1" x14ac:dyDescent="0.25"/>
    <row r="274097" s="12" customFormat="1" x14ac:dyDescent="0.25"/>
    <row r="274098" s="12" customFormat="1" x14ac:dyDescent="0.25"/>
    <row r="274099" s="12" customFormat="1" x14ac:dyDescent="0.25"/>
    <row r="274100" s="12" customFormat="1" x14ac:dyDescent="0.25"/>
    <row r="274101" s="12" customFormat="1" x14ac:dyDescent="0.25"/>
    <row r="274102" s="12" customFormat="1" x14ac:dyDescent="0.25"/>
    <row r="274103" s="12" customFormat="1" x14ac:dyDescent="0.25"/>
    <row r="274104" s="12" customFormat="1" x14ac:dyDescent="0.25"/>
    <row r="274105" s="12" customFormat="1" x14ac:dyDescent="0.25"/>
    <row r="274106" s="12" customFormat="1" x14ac:dyDescent="0.25"/>
    <row r="274107" s="12" customFormat="1" x14ac:dyDescent="0.25"/>
    <row r="274108" s="12" customFormat="1" x14ac:dyDescent="0.25"/>
    <row r="274109" s="12" customFormat="1" x14ac:dyDescent="0.25"/>
    <row r="274110" s="12" customFormat="1" x14ac:dyDescent="0.25"/>
    <row r="274111" s="12" customFormat="1" x14ac:dyDescent="0.25"/>
    <row r="274112" s="12" customFormat="1" x14ac:dyDescent="0.25"/>
    <row r="274113" s="12" customFormat="1" x14ac:dyDescent="0.25"/>
    <row r="274114" s="12" customFormat="1" x14ac:dyDescent="0.25"/>
    <row r="274115" s="12" customFormat="1" x14ac:dyDescent="0.25"/>
    <row r="274116" s="12" customFormat="1" x14ac:dyDescent="0.25"/>
    <row r="274117" s="12" customFormat="1" x14ac:dyDescent="0.25"/>
    <row r="274118" s="12" customFormat="1" x14ac:dyDescent="0.25"/>
    <row r="274119" s="12" customFormat="1" x14ac:dyDescent="0.25"/>
    <row r="274120" s="12" customFormat="1" x14ac:dyDescent="0.25"/>
    <row r="274121" s="12" customFormat="1" x14ac:dyDescent="0.25"/>
    <row r="274122" s="12" customFormat="1" x14ac:dyDescent="0.25"/>
    <row r="274123" s="12" customFormat="1" x14ac:dyDescent="0.25"/>
    <row r="274124" s="12" customFormat="1" x14ac:dyDescent="0.25"/>
    <row r="274125" s="12" customFormat="1" x14ac:dyDescent="0.25"/>
    <row r="274126" s="12" customFormat="1" x14ac:dyDescent="0.25"/>
    <row r="274127" s="12" customFormat="1" x14ac:dyDescent="0.25"/>
    <row r="274128" s="12" customFormat="1" x14ac:dyDescent="0.25"/>
    <row r="274129" s="12" customFormat="1" x14ac:dyDescent="0.25"/>
    <row r="274130" s="12" customFormat="1" x14ac:dyDescent="0.25"/>
    <row r="274131" s="12" customFormat="1" x14ac:dyDescent="0.25"/>
    <row r="274132" s="12" customFormat="1" x14ac:dyDescent="0.25"/>
    <row r="274133" s="12" customFormat="1" x14ac:dyDescent="0.25"/>
    <row r="274134" s="12" customFormat="1" x14ac:dyDescent="0.25"/>
    <row r="274135" s="12" customFormat="1" x14ac:dyDescent="0.25"/>
    <row r="274136" s="12" customFormat="1" x14ac:dyDescent="0.25"/>
    <row r="274137" s="12" customFormat="1" x14ac:dyDescent="0.25"/>
    <row r="274138" s="12" customFormat="1" x14ac:dyDescent="0.25"/>
    <row r="274139" s="12" customFormat="1" x14ac:dyDescent="0.25"/>
    <row r="274140" s="12" customFormat="1" x14ac:dyDescent="0.25"/>
    <row r="274141" s="12" customFormat="1" x14ac:dyDescent="0.25"/>
    <row r="274142" s="12" customFormat="1" x14ac:dyDescent="0.25"/>
    <row r="274143" s="12" customFormat="1" x14ac:dyDescent="0.25"/>
    <row r="274144" s="12" customFormat="1" x14ac:dyDescent="0.25"/>
    <row r="274145" s="12" customFormat="1" x14ac:dyDescent="0.25"/>
    <row r="274146" s="12" customFormat="1" x14ac:dyDescent="0.25"/>
    <row r="274147" s="12" customFormat="1" x14ac:dyDescent="0.25"/>
    <row r="274148" s="12" customFormat="1" x14ac:dyDescent="0.25"/>
    <row r="274149" s="12" customFormat="1" x14ac:dyDescent="0.25"/>
    <row r="274150" s="12" customFormat="1" x14ac:dyDescent="0.25"/>
    <row r="274151" s="12" customFormat="1" x14ac:dyDescent="0.25"/>
    <row r="274152" s="12" customFormat="1" x14ac:dyDescent="0.25"/>
    <row r="274153" s="12" customFormat="1" x14ac:dyDescent="0.25"/>
    <row r="274154" s="12" customFormat="1" x14ac:dyDescent="0.25"/>
    <row r="274155" s="12" customFormat="1" x14ac:dyDescent="0.25"/>
    <row r="274156" s="12" customFormat="1" x14ac:dyDescent="0.25"/>
    <row r="274157" s="12" customFormat="1" x14ac:dyDescent="0.25"/>
    <row r="274158" s="12" customFormat="1" x14ac:dyDescent="0.25"/>
    <row r="274159" s="12" customFormat="1" x14ac:dyDescent="0.25"/>
    <row r="274160" s="12" customFormat="1" x14ac:dyDescent="0.25"/>
    <row r="274161" s="12" customFormat="1" x14ac:dyDescent="0.25"/>
    <row r="274162" s="12" customFormat="1" x14ac:dyDescent="0.25"/>
    <row r="274163" s="12" customFormat="1" x14ac:dyDescent="0.25"/>
    <row r="274164" s="12" customFormat="1" x14ac:dyDescent="0.25"/>
    <row r="274165" s="12" customFormat="1" x14ac:dyDescent="0.25"/>
    <row r="274166" s="12" customFormat="1" x14ac:dyDescent="0.25"/>
    <row r="274167" s="12" customFormat="1" x14ac:dyDescent="0.25"/>
    <row r="274168" s="12" customFormat="1" x14ac:dyDescent="0.25"/>
    <row r="274169" s="12" customFormat="1" x14ac:dyDescent="0.25"/>
    <row r="274170" s="12" customFormat="1" x14ac:dyDescent="0.25"/>
    <row r="274171" s="12" customFormat="1" x14ac:dyDescent="0.25"/>
    <row r="274172" s="12" customFormat="1" x14ac:dyDescent="0.25"/>
    <row r="274173" s="12" customFormat="1" x14ac:dyDescent="0.25"/>
    <row r="274174" s="12" customFormat="1" x14ac:dyDescent="0.25"/>
    <row r="274175" s="12" customFormat="1" x14ac:dyDescent="0.25"/>
    <row r="274176" s="12" customFormat="1" x14ac:dyDescent="0.25"/>
    <row r="274177" s="12" customFormat="1" x14ac:dyDescent="0.25"/>
    <row r="274178" s="12" customFormat="1" x14ac:dyDescent="0.25"/>
    <row r="274179" s="12" customFormat="1" x14ac:dyDescent="0.25"/>
    <row r="274180" s="12" customFormat="1" x14ac:dyDescent="0.25"/>
    <row r="274181" s="12" customFormat="1" x14ac:dyDescent="0.25"/>
    <row r="274182" s="12" customFormat="1" x14ac:dyDescent="0.25"/>
    <row r="274183" s="12" customFormat="1" x14ac:dyDescent="0.25"/>
    <row r="274184" s="12" customFormat="1" x14ac:dyDescent="0.25"/>
    <row r="274185" s="12" customFormat="1" x14ac:dyDescent="0.25"/>
    <row r="274186" s="12" customFormat="1" x14ac:dyDescent="0.25"/>
    <row r="274187" s="12" customFormat="1" x14ac:dyDescent="0.25"/>
    <row r="274188" s="12" customFormat="1" x14ac:dyDescent="0.25"/>
    <row r="274189" s="12" customFormat="1" x14ac:dyDescent="0.25"/>
    <row r="274190" s="12" customFormat="1" x14ac:dyDescent="0.25"/>
    <row r="274191" s="12" customFormat="1" x14ac:dyDescent="0.25"/>
    <row r="274192" s="12" customFormat="1" x14ac:dyDescent="0.25"/>
    <row r="274193" s="12" customFormat="1" x14ac:dyDescent="0.25"/>
    <row r="274194" s="12" customFormat="1" x14ac:dyDescent="0.25"/>
    <row r="274195" s="12" customFormat="1" x14ac:dyDescent="0.25"/>
    <row r="274196" s="12" customFormat="1" x14ac:dyDescent="0.25"/>
    <row r="274197" s="12" customFormat="1" x14ac:dyDescent="0.25"/>
    <row r="274198" s="12" customFormat="1" x14ac:dyDescent="0.25"/>
    <row r="274199" s="12" customFormat="1" x14ac:dyDescent="0.25"/>
    <row r="274200" s="12" customFormat="1" x14ac:dyDescent="0.25"/>
    <row r="274201" s="12" customFormat="1" x14ac:dyDescent="0.25"/>
    <row r="274202" s="12" customFormat="1" x14ac:dyDescent="0.25"/>
    <row r="274203" s="12" customFormat="1" x14ac:dyDescent="0.25"/>
    <row r="274204" s="12" customFormat="1" x14ac:dyDescent="0.25"/>
    <row r="274205" s="12" customFormat="1" x14ac:dyDescent="0.25"/>
    <row r="274206" s="12" customFormat="1" x14ac:dyDescent="0.25"/>
    <row r="274207" s="12" customFormat="1" x14ac:dyDescent="0.25"/>
    <row r="274208" s="12" customFormat="1" x14ac:dyDescent="0.25"/>
    <row r="274209" s="12" customFormat="1" x14ac:dyDescent="0.25"/>
    <row r="274210" s="12" customFormat="1" x14ac:dyDescent="0.25"/>
    <row r="274211" s="12" customFormat="1" x14ac:dyDescent="0.25"/>
    <row r="274212" s="12" customFormat="1" x14ac:dyDescent="0.25"/>
    <row r="274213" s="12" customFormat="1" x14ac:dyDescent="0.25"/>
    <row r="274214" s="12" customFormat="1" x14ac:dyDescent="0.25"/>
    <row r="274215" s="12" customFormat="1" x14ac:dyDescent="0.25"/>
    <row r="274216" s="12" customFormat="1" x14ac:dyDescent="0.25"/>
    <row r="274217" s="12" customFormat="1" x14ac:dyDescent="0.25"/>
    <row r="274218" s="12" customFormat="1" x14ac:dyDescent="0.25"/>
    <row r="274219" s="12" customFormat="1" x14ac:dyDescent="0.25"/>
    <row r="274220" s="12" customFormat="1" x14ac:dyDescent="0.25"/>
    <row r="274221" s="12" customFormat="1" x14ac:dyDescent="0.25"/>
    <row r="274222" s="12" customFormat="1" x14ac:dyDescent="0.25"/>
    <row r="274223" s="12" customFormat="1" x14ac:dyDescent="0.25"/>
    <row r="274224" s="12" customFormat="1" x14ac:dyDescent="0.25"/>
    <row r="274225" s="12" customFormat="1" x14ac:dyDescent="0.25"/>
    <row r="274226" s="12" customFormat="1" x14ac:dyDescent="0.25"/>
    <row r="274227" s="12" customFormat="1" x14ac:dyDescent="0.25"/>
    <row r="274228" s="12" customFormat="1" x14ac:dyDescent="0.25"/>
    <row r="274229" s="12" customFormat="1" x14ac:dyDescent="0.25"/>
    <row r="274230" s="12" customFormat="1" x14ac:dyDescent="0.25"/>
    <row r="274231" s="12" customFormat="1" x14ac:dyDescent="0.25"/>
    <row r="274232" s="12" customFormat="1" x14ac:dyDescent="0.25"/>
    <row r="274233" s="12" customFormat="1" x14ac:dyDescent="0.25"/>
    <row r="274234" s="12" customFormat="1" x14ac:dyDescent="0.25"/>
    <row r="274235" s="12" customFormat="1" x14ac:dyDescent="0.25"/>
    <row r="274236" s="12" customFormat="1" x14ac:dyDescent="0.25"/>
    <row r="274237" s="12" customFormat="1" x14ac:dyDescent="0.25"/>
    <row r="274238" s="12" customFormat="1" x14ac:dyDescent="0.25"/>
    <row r="274239" s="12" customFormat="1" x14ac:dyDescent="0.25"/>
    <row r="274240" s="12" customFormat="1" x14ac:dyDescent="0.25"/>
    <row r="274241" s="12" customFormat="1" x14ac:dyDescent="0.25"/>
    <row r="274242" s="12" customFormat="1" x14ac:dyDescent="0.25"/>
    <row r="274243" s="12" customFormat="1" x14ac:dyDescent="0.25"/>
    <row r="274244" s="12" customFormat="1" x14ac:dyDescent="0.25"/>
    <row r="274245" s="12" customFormat="1" x14ac:dyDescent="0.25"/>
    <row r="274246" s="12" customFormat="1" x14ac:dyDescent="0.25"/>
    <row r="274247" s="12" customFormat="1" x14ac:dyDescent="0.25"/>
    <row r="274248" s="12" customFormat="1" x14ac:dyDescent="0.25"/>
    <row r="274249" s="12" customFormat="1" x14ac:dyDescent="0.25"/>
    <row r="274250" s="12" customFormat="1" x14ac:dyDescent="0.25"/>
    <row r="274251" s="12" customFormat="1" x14ac:dyDescent="0.25"/>
    <row r="274252" s="12" customFormat="1" x14ac:dyDescent="0.25"/>
    <row r="274253" s="12" customFormat="1" x14ac:dyDescent="0.25"/>
    <row r="274254" s="12" customFormat="1" x14ac:dyDescent="0.25"/>
    <row r="274255" s="12" customFormat="1" x14ac:dyDescent="0.25"/>
    <row r="274256" s="12" customFormat="1" x14ac:dyDescent="0.25"/>
    <row r="274257" s="12" customFormat="1" x14ac:dyDescent="0.25"/>
    <row r="274258" s="12" customFormat="1" x14ac:dyDescent="0.25"/>
    <row r="274259" s="12" customFormat="1" x14ac:dyDescent="0.25"/>
    <row r="274260" s="12" customFormat="1" x14ac:dyDescent="0.25"/>
    <row r="274261" s="12" customFormat="1" x14ac:dyDescent="0.25"/>
    <row r="274262" s="12" customFormat="1" x14ac:dyDescent="0.25"/>
    <row r="274263" s="12" customFormat="1" x14ac:dyDescent="0.25"/>
    <row r="274264" s="12" customFormat="1" x14ac:dyDescent="0.25"/>
    <row r="274265" s="12" customFormat="1" x14ac:dyDescent="0.25"/>
    <row r="274266" s="12" customFormat="1" x14ac:dyDescent="0.25"/>
    <row r="274267" s="12" customFormat="1" x14ac:dyDescent="0.25"/>
    <row r="274268" s="12" customFormat="1" x14ac:dyDescent="0.25"/>
    <row r="274269" s="12" customFormat="1" x14ac:dyDescent="0.25"/>
    <row r="274270" s="12" customFormat="1" x14ac:dyDescent="0.25"/>
    <row r="274271" s="12" customFormat="1" x14ac:dyDescent="0.25"/>
    <row r="274272" s="12" customFormat="1" x14ac:dyDescent="0.25"/>
    <row r="274273" s="12" customFormat="1" x14ac:dyDescent="0.25"/>
    <row r="274274" s="12" customFormat="1" x14ac:dyDescent="0.25"/>
    <row r="274275" s="12" customFormat="1" x14ac:dyDescent="0.25"/>
    <row r="274276" s="12" customFormat="1" x14ac:dyDescent="0.25"/>
    <row r="274277" s="12" customFormat="1" x14ac:dyDescent="0.25"/>
    <row r="274278" s="12" customFormat="1" x14ac:dyDescent="0.25"/>
    <row r="274279" s="12" customFormat="1" x14ac:dyDescent="0.25"/>
    <row r="274280" s="12" customFormat="1" x14ac:dyDescent="0.25"/>
    <row r="274281" s="12" customFormat="1" x14ac:dyDescent="0.25"/>
    <row r="274282" s="12" customFormat="1" x14ac:dyDescent="0.25"/>
    <row r="274283" s="12" customFormat="1" x14ac:dyDescent="0.25"/>
    <row r="274284" s="12" customFormat="1" x14ac:dyDescent="0.25"/>
    <row r="274285" s="12" customFormat="1" x14ac:dyDescent="0.25"/>
    <row r="274286" s="12" customFormat="1" x14ac:dyDescent="0.25"/>
    <row r="274287" s="12" customFormat="1" x14ac:dyDescent="0.25"/>
    <row r="274288" s="12" customFormat="1" x14ac:dyDescent="0.25"/>
    <row r="274289" s="12" customFormat="1" x14ac:dyDescent="0.25"/>
    <row r="274290" s="12" customFormat="1" x14ac:dyDescent="0.25"/>
    <row r="274291" s="12" customFormat="1" x14ac:dyDescent="0.25"/>
    <row r="274292" s="12" customFormat="1" x14ac:dyDescent="0.25"/>
    <row r="274293" s="12" customFormat="1" x14ac:dyDescent="0.25"/>
    <row r="274294" s="12" customFormat="1" x14ac:dyDescent="0.25"/>
    <row r="274295" s="12" customFormat="1" x14ac:dyDescent="0.25"/>
    <row r="274296" s="12" customFormat="1" x14ac:dyDescent="0.25"/>
    <row r="274297" s="12" customFormat="1" x14ac:dyDescent="0.25"/>
    <row r="274298" s="12" customFormat="1" x14ac:dyDescent="0.25"/>
    <row r="274299" s="12" customFormat="1" x14ac:dyDescent="0.25"/>
    <row r="274300" s="12" customFormat="1" x14ac:dyDescent="0.25"/>
    <row r="274301" s="12" customFormat="1" x14ac:dyDescent="0.25"/>
    <row r="274302" s="12" customFormat="1" x14ac:dyDescent="0.25"/>
    <row r="274303" s="12" customFormat="1" x14ac:dyDescent="0.25"/>
    <row r="274304" s="12" customFormat="1" x14ac:dyDescent="0.25"/>
    <row r="274305" s="12" customFormat="1" x14ac:dyDescent="0.25"/>
    <row r="274306" s="12" customFormat="1" x14ac:dyDescent="0.25"/>
    <row r="274307" s="12" customFormat="1" x14ac:dyDescent="0.25"/>
    <row r="274308" s="12" customFormat="1" x14ac:dyDescent="0.25"/>
    <row r="274309" s="12" customFormat="1" x14ac:dyDescent="0.25"/>
    <row r="274310" s="12" customFormat="1" x14ac:dyDescent="0.25"/>
    <row r="274311" s="12" customFormat="1" x14ac:dyDescent="0.25"/>
    <row r="274312" s="12" customFormat="1" x14ac:dyDescent="0.25"/>
    <row r="274313" s="12" customFormat="1" x14ac:dyDescent="0.25"/>
    <row r="274314" s="12" customFormat="1" x14ac:dyDescent="0.25"/>
    <row r="274315" s="12" customFormat="1" x14ac:dyDescent="0.25"/>
    <row r="274316" s="12" customFormat="1" x14ac:dyDescent="0.25"/>
    <row r="274317" s="12" customFormat="1" x14ac:dyDescent="0.25"/>
    <row r="274318" s="12" customFormat="1" x14ac:dyDescent="0.25"/>
    <row r="274319" s="12" customFormat="1" x14ac:dyDescent="0.25"/>
    <row r="274320" s="12" customFormat="1" x14ac:dyDescent="0.25"/>
    <row r="274321" s="12" customFormat="1" x14ac:dyDescent="0.25"/>
    <row r="274322" s="12" customFormat="1" x14ac:dyDescent="0.25"/>
    <row r="274323" s="12" customFormat="1" x14ac:dyDescent="0.25"/>
    <row r="274324" s="12" customFormat="1" x14ac:dyDescent="0.25"/>
    <row r="274325" s="12" customFormat="1" x14ac:dyDescent="0.25"/>
    <row r="274326" s="12" customFormat="1" x14ac:dyDescent="0.25"/>
    <row r="274327" s="12" customFormat="1" x14ac:dyDescent="0.25"/>
    <row r="274328" s="12" customFormat="1" x14ac:dyDescent="0.25"/>
    <row r="274329" s="12" customFormat="1" x14ac:dyDescent="0.25"/>
    <row r="274330" s="12" customFormat="1" x14ac:dyDescent="0.25"/>
    <row r="274331" s="12" customFormat="1" x14ac:dyDescent="0.25"/>
    <row r="274332" s="12" customFormat="1" x14ac:dyDescent="0.25"/>
    <row r="274333" s="12" customFormat="1" x14ac:dyDescent="0.25"/>
    <row r="274334" s="12" customFormat="1" x14ac:dyDescent="0.25"/>
    <row r="274335" s="12" customFormat="1" x14ac:dyDescent="0.25"/>
    <row r="274336" s="12" customFormat="1" x14ac:dyDescent="0.25"/>
    <row r="274337" s="12" customFormat="1" x14ac:dyDescent="0.25"/>
    <row r="274338" s="12" customFormat="1" x14ac:dyDescent="0.25"/>
    <row r="274339" s="12" customFormat="1" x14ac:dyDescent="0.25"/>
    <row r="274340" s="12" customFormat="1" x14ac:dyDescent="0.25"/>
    <row r="274341" s="12" customFormat="1" x14ac:dyDescent="0.25"/>
    <row r="274342" s="12" customFormat="1" x14ac:dyDescent="0.25"/>
    <row r="274343" s="12" customFormat="1" x14ac:dyDescent="0.25"/>
    <row r="274344" s="12" customFormat="1" x14ac:dyDescent="0.25"/>
    <row r="274345" s="12" customFormat="1" x14ac:dyDescent="0.25"/>
    <row r="274346" s="12" customFormat="1" x14ac:dyDescent="0.25"/>
    <row r="274347" s="12" customFormat="1" x14ac:dyDescent="0.25"/>
    <row r="274348" s="12" customFormat="1" x14ac:dyDescent="0.25"/>
    <row r="274349" s="12" customFormat="1" x14ac:dyDescent="0.25"/>
    <row r="274350" s="12" customFormat="1" x14ac:dyDescent="0.25"/>
    <row r="274351" s="12" customFormat="1" x14ac:dyDescent="0.25"/>
    <row r="274352" s="12" customFormat="1" x14ac:dyDescent="0.25"/>
    <row r="274353" s="12" customFormat="1" x14ac:dyDescent="0.25"/>
    <row r="274354" s="12" customFormat="1" x14ac:dyDescent="0.25"/>
    <row r="274355" s="12" customFormat="1" x14ac:dyDescent="0.25"/>
    <row r="274356" s="12" customFormat="1" x14ac:dyDescent="0.25"/>
    <row r="274357" s="12" customFormat="1" x14ac:dyDescent="0.25"/>
    <row r="274358" s="12" customFormat="1" x14ac:dyDescent="0.25"/>
    <row r="274359" s="12" customFormat="1" x14ac:dyDescent="0.25"/>
    <row r="274360" s="12" customFormat="1" x14ac:dyDescent="0.25"/>
    <row r="274361" s="12" customFormat="1" x14ac:dyDescent="0.25"/>
    <row r="274362" s="12" customFormat="1" x14ac:dyDescent="0.25"/>
    <row r="274363" s="12" customFormat="1" x14ac:dyDescent="0.25"/>
    <row r="274364" s="12" customFormat="1" x14ac:dyDescent="0.25"/>
    <row r="274365" s="12" customFormat="1" x14ac:dyDescent="0.25"/>
    <row r="274366" s="12" customFormat="1" x14ac:dyDescent="0.25"/>
    <row r="274367" s="12" customFormat="1" x14ac:dyDescent="0.25"/>
    <row r="274368" s="12" customFormat="1" x14ac:dyDescent="0.25"/>
    <row r="274369" s="12" customFormat="1" x14ac:dyDescent="0.25"/>
    <row r="274370" s="12" customFormat="1" x14ac:dyDescent="0.25"/>
    <row r="274371" s="12" customFormat="1" x14ac:dyDescent="0.25"/>
    <row r="274372" s="12" customFormat="1" x14ac:dyDescent="0.25"/>
    <row r="274373" s="12" customFormat="1" x14ac:dyDescent="0.25"/>
    <row r="274374" s="12" customFormat="1" x14ac:dyDescent="0.25"/>
    <row r="274375" s="12" customFormat="1" x14ac:dyDescent="0.25"/>
    <row r="274376" s="12" customFormat="1" x14ac:dyDescent="0.25"/>
    <row r="274377" s="12" customFormat="1" x14ac:dyDescent="0.25"/>
    <row r="274378" s="12" customFormat="1" x14ac:dyDescent="0.25"/>
    <row r="274379" s="12" customFormat="1" x14ac:dyDescent="0.25"/>
    <row r="274380" s="12" customFormat="1" x14ac:dyDescent="0.25"/>
    <row r="274381" s="12" customFormat="1" x14ac:dyDescent="0.25"/>
    <row r="274382" s="12" customFormat="1" x14ac:dyDescent="0.25"/>
    <row r="274383" s="12" customFormat="1" x14ac:dyDescent="0.25"/>
    <row r="274384" s="12" customFormat="1" x14ac:dyDescent="0.25"/>
    <row r="274385" s="12" customFormat="1" x14ac:dyDescent="0.25"/>
    <row r="274386" s="12" customFormat="1" x14ac:dyDescent="0.25"/>
    <row r="274387" s="12" customFormat="1" x14ac:dyDescent="0.25"/>
    <row r="274388" s="12" customFormat="1" x14ac:dyDescent="0.25"/>
    <row r="274389" s="12" customFormat="1" x14ac:dyDescent="0.25"/>
    <row r="274390" s="12" customFormat="1" x14ac:dyDescent="0.25"/>
    <row r="274391" s="12" customFormat="1" x14ac:dyDescent="0.25"/>
    <row r="274392" s="12" customFormat="1" x14ac:dyDescent="0.25"/>
    <row r="274393" s="12" customFormat="1" x14ac:dyDescent="0.25"/>
    <row r="274394" s="12" customFormat="1" x14ac:dyDescent="0.25"/>
    <row r="274395" s="12" customFormat="1" x14ac:dyDescent="0.25"/>
    <row r="274396" s="12" customFormat="1" x14ac:dyDescent="0.25"/>
    <row r="274397" s="12" customFormat="1" x14ac:dyDescent="0.25"/>
    <row r="274398" s="12" customFormat="1" x14ac:dyDescent="0.25"/>
    <row r="274399" s="12" customFormat="1" x14ac:dyDescent="0.25"/>
    <row r="274400" s="12" customFormat="1" x14ac:dyDescent="0.25"/>
    <row r="274401" s="12" customFormat="1" x14ac:dyDescent="0.25"/>
    <row r="274402" s="12" customFormat="1" x14ac:dyDescent="0.25"/>
    <row r="274403" s="12" customFormat="1" x14ac:dyDescent="0.25"/>
    <row r="274404" s="12" customFormat="1" x14ac:dyDescent="0.25"/>
    <row r="274405" s="12" customFormat="1" x14ac:dyDescent="0.25"/>
    <row r="274406" s="12" customFormat="1" x14ac:dyDescent="0.25"/>
    <row r="274407" s="12" customFormat="1" x14ac:dyDescent="0.25"/>
    <row r="274408" s="12" customFormat="1" x14ac:dyDescent="0.25"/>
    <row r="274409" s="12" customFormat="1" x14ac:dyDescent="0.25"/>
    <row r="274410" s="12" customFormat="1" x14ac:dyDescent="0.25"/>
    <row r="274411" s="12" customFormat="1" x14ac:dyDescent="0.25"/>
    <row r="274412" s="12" customFormat="1" x14ac:dyDescent="0.25"/>
    <row r="274413" s="12" customFormat="1" x14ac:dyDescent="0.25"/>
    <row r="274414" s="12" customFormat="1" x14ac:dyDescent="0.25"/>
    <row r="274415" s="12" customFormat="1" x14ac:dyDescent="0.25"/>
    <row r="274416" s="12" customFormat="1" x14ac:dyDescent="0.25"/>
    <row r="274417" s="12" customFormat="1" x14ac:dyDescent="0.25"/>
    <row r="274418" s="12" customFormat="1" x14ac:dyDescent="0.25"/>
    <row r="274419" s="12" customFormat="1" x14ac:dyDescent="0.25"/>
    <row r="274420" s="12" customFormat="1" x14ac:dyDescent="0.25"/>
    <row r="274421" s="12" customFormat="1" x14ac:dyDescent="0.25"/>
    <row r="274422" s="12" customFormat="1" x14ac:dyDescent="0.25"/>
    <row r="274423" s="12" customFormat="1" x14ac:dyDescent="0.25"/>
    <row r="274424" s="12" customFormat="1" x14ac:dyDescent="0.25"/>
    <row r="274425" s="12" customFormat="1" x14ac:dyDescent="0.25"/>
    <row r="274426" s="12" customFormat="1" x14ac:dyDescent="0.25"/>
    <row r="274427" s="12" customFormat="1" x14ac:dyDescent="0.25"/>
    <row r="274428" s="12" customFormat="1" x14ac:dyDescent="0.25"/>
    <row r="274429" s="12" customFormat="1" x14ac:dyDescent="0.25"/>
    <row r="274430" s="12" customFormat="1" x14ac:dyDescent="0.25"/>
    <row r="274431" s="12" customFormat="1" x14ac:dyDescent="0.25"/>
    <row r="274432" s="12" customFormat="1" x14ac:dyDescent="0.25"/>
    <row r="274433" s="12" customFormat="1" x14ac:dyDescent="0.25"/>
    <row r="274434" s="12" customFormat="1" x14ac:dyDescent="0.25"/>
    <row r="274435" s="12" customFormat="1" x14ac:dyDescent="0.25"/>
    <row r="274436" s="12" customFormat="1" x14ac:dyDescent="0.25"/>
    <row r="274437" s="12" customFormat="1" x14ac:dyDescent="0.25"/>
    <row r="274438" s="12" customFormat="1" x14ac:dyDescent="0.25"/>
    <row r="274439" s="12" customFormat="1" x14ac:dyDescent="0.25"/>
    <row r="274440" s="12" customFormat="1" x14ac:dyDescent="0.25"/>
    <row r="274441" s="12" customFormat="1" x14ac:dyDescent="0.25"/>
    <row r="274442" s="12" customFormat="1" x14ac:dyDescent="0.25"/>
    <row r="274443" s="12" customFormat="1" x14ac:dyDescent="0.25"/>
    <row r="274444" s="12" customFormat="1" x14ac:dyDescent="0.25"/>
    <row r="274445" s="12" customFormat="1" x14ac:dyDescent="0.25"/>
    <row r="274446" s="12" customFormat="1" x14ac:dyDescent="0.25"/>
    <row r="274447" s="12" customFormat="1" x14ac:dyDescent="0.25"/>
    <row r="274448" s="12" customFormat="1" x14ac:dyDescent="0.25"/>
    <row r="274449" s="12" customFormat="1" x14ac:dyDescent="0.25"/>
    <row r="274450" s="12" customFormat="1" x14ac:dyDescent="0.25"/>
    <row r="274451" s="12" customFormat="1" x14ac:dyDescent="0.25"/>
    <row r="274452" s="12" customFormat="1" x14ac:dyDescent="0.25"/>
    <row r="274453" s="12" customFormat="1" x14ac:dyDescent="0.25"/>
    <row r="274454" s="12" customFormat="1" x14ac:dyDescent="0.25"/>
    <row r="274455" s="12" customFormat="1" x14ac:dyDescent="0.25"/>
    <row r="274456" s="12" customFormat="1" x14ac:dyDescent="0.25"/>
    <row r="274457" s="12" customFormat="1" x14ac:dyDescent="0.25"/>
    <row r="274458" s="12" customFormat="1" x14ac:dyDescent="0.25"/>
    <row r="274459" s="12" customFormat="1" x14ac:dyDescent="0.25"/>
    <row r="274460" s="12" customFormat="1" x14ac:dyDescent="0.25"/>
    <row r="274461" s="12" customFormat="1" x14ac:dyDescent="0.25"/>
    <row r="274462" s="12" customFormat="1" x14ac:dyDescent="0.25"/>
    <row r="274463" s="12" customFormat="1" x14ac:dyDescent="0.25"/>
    <row r="274464" s="12" customFormat="1" x14ac:dyDescent="0.25"/>
    <row r="274465" s="12" customFormat="1" x14ac:dyDescent="0.25"/>
    <row r="274466" s="12" customFormat="1" x14ac:dyDescent="0.25"/>
    <row r="274467" s="12" customFormat="1" x14ac:dyDescent="0.25"/>
    <row r="274468" s="12" customFormat="1" x14ac:dyDescent="0.25"/>
    <row r="274469" s="12" customFormat="1" x14ac:dyDescent="0.25"/>
    <row r="274470" s="12" customFormat="1" x14ac:dyDescent="0.25"/>
    <row r="274471" s="12" customFormat="1" x14ac:dyDescent="0.25"/>
    <row r="274472" s="12" customFormat="1" x14ac:dyDescent="0.25"/>
    <row r="274473" s="12" customFormat="1" x14ac:dyDescent="0.25"/>
    <row r="274474" s="12" customFormat="1" x14ac:dyDescent="0.25"/>
    <row r="274475" s="12" customFormat="1" x14ac:dyDescent="0.25"/>
    <row r="274476" s="12" customFormat="1" x14ac:dyDescent="0.25"/>
    <row r="274477" s="12" customFormat="1" x14ac:dyDescent="0.25"/>
    <row r="274478" s="12" customFormat="1" x14ac:dyDescent="0.25"/>
    <row r="274479" s="12" customFormat="1" x14ac:dyDescent="0.25"/>
    <row r="274480" s="12" customFormat="1" x14ac:dyDescent="0.25"/>
    <row r="274481" s="12" customFormat="1" x14ac:dyDescent="0.25"/>
    <row r="274482" s="12" customFormat="1" x14ac:dyDescent="0.25"/>
    <row r="274483" s="12" customFormat="1" x14ac:dyDescent="0.25"/>
    <row r="274484" s="12" customFormat="1" x14ac:dyDescent="0.25"/>
    <row r="274485" s="12" customFormat="1" x14ac:dyDescent="0.25"/>
    <row r="274486" s="12" customFormat="1" x14ac:dyDescent="0.25"/>
    <row r="274487" s="12" customFormat="1" x14ac:dyDescent="0.25"/>
    <row r="274488" s="12" customFormat="1" x14ac:dyDescent="0.25"/>
    <row r="274489" s="12" customFormat="1" x14ac:dyDescent="0.25"/>
    <row r="274490" s="12" customFormat="1" x14ac:dyDescent="0.25"/>
    <row r="274491" s="12" customFormat="1" x14ac:dyDescent="0.25"/>
    <row r="274492" s="12" customFormat="1" x14ac:dyDescent="0.25"/>
    <row r="274493" s="12" customFormat="1" x14ac:dyDescent="0.25"/>
    <row r="274494" s="12" customFormat="1" x14ac:dyDescent="0.25"/>
    <row r="274495" s="12" customFormat="1" x14ac:dyDescent="0.25"/>
    <row r="274496" s="12" customFormat="1" x14ac:dyDescent="0.25"/>
    <row r="274497" s="12" customFormat="1" x14ac:dyDescent="0.25"/>
    <row r="274498" s="12" customFormat="1" x14ac:dyDescent="0.25"/>
    <row r="274499" s="12" customFormat="1" x14ac:dyDescent="0.25"/>
    <row r="274500" s="12" customFormat="1" x14ac:dyDescent="0.25"/>
    <row r="274501" s="12" customFormat="1" x14ac:dyDescent="0.25"/>
    <row r="274502" s="12" customFormat="1" x14ac:dyDescent="0.25"/>
    <row r="274503" s="12" customFormat="1" x14ac:dyDescent="0.25"/>
    <row r="274504" s="12" customFormat="1" x14ac:dyDescent="0.25"/>
    <row r="274505" s="12" customFormat="1" x14ac:dyDescent="0.25"/>
    <row r="274506" s="12" customFormat="1" x14ac:dyDescent="0.25"/>
    <row r="274507" s="12" customFormat="1" x14ac:dyDescent="0.25"/>
    <row r="274508" s="12" customFormat="1" x14ac:dyDescent="0.25"/>
    <row r="274509" s="12" customFormat="1" x14ac:dyDescent="0.25"/>
    <row r="274510" s="12" customFormat="1" x14ac:dyDescent="0.25"/>
    <row r="274511" s="12" customFormat="1" x14ac:dyDescent="0.25"/>
    <row r="274512" s="12" customFormat="1" x14ac:dyDescent="0.25"/>
    <row r="274513" s="12" customFormat="1" x14ac:dyDescent="0.25"/>
    <row r="274514" s="12" customFormat="1" x14ac:dyDescent="0.25"/>
    <row r="274515" s="12" customFormat="1" x14ac:dyDescent="0.25"/>
    <row r="274516" s="12" customFormat="1" x14ac:dyDescent="0.25"/>
    <row r="274517" s="12" customFormat="1" x14ac:dyDescent="0.25"/>
    <row r="274518" s="12" customFormat="1" x14ac:dyDescent="0.25"/>
    <row r="274519" s="12" customFormat="1" x14ac:dyDescent="0.25"/>
    <row r="274520" s="12" customFormat="1" x14ac:dyDescent="0.25"/>
    <row r="274521" s="12" customFormat="1" x14ac:dyDescent="0.25"/>
    <row r="274522" s="12" customFormat="1" x14ac:dyDescent="0.25"/>
    <row r="274523" s="12" customFormat="1" x14ac:dyDescent="0.25"/>
    <row r="274524" s="12" customFormat="1" x14ac:dyDescent="0.25"/>
    <row r="274525" s="12" customFormat="1" x14ac:dyDescent="0.25"/>
    <row r="274526" s="12" customFormat="1" x14ac:dyDescent="0.25"/>
    <row r="274527" s="12" customFormat="1" x14ac:dyDescent="0.25"/>
    <row r="274528" s="12" customFormat="1" x14ac:dyDescent="0.25"/>
    <row r="274529" s="12" customFormat="1" x14ac:dyDescent="0.25"/>
    <row r="274530" s="12" customFormat="1" x14ac:dyDescent="0.25"/>
    <row r="274531" s="12" customFormat="1" x14ac:dyDescent="0.25"/>
    <row r="274532" s="12" customFormat="1" x14ac:dyDescent="0.25"/>
    <row r="274533" s="12" customFormat="1" x14ac:dyDescent="0.25"/>
    <row r="274534" s="12" customFormat="1" x14ac:dyDescent="0.25"/>
    <row r="274535" s="12" customFormat="1" x14ac:dyDescent="0.25"/>
    <row r="274536" s="12" customFormat="1" x14ac:dyDescent="0.25"/>
    <row r="274537" s="12" customFormat="1" x14ac:dyDescent="0.25"/>
    <row r="274538" s="12" customFormat="1" x14ac:dyDescent="0.25"/>
    <row r="274539" s="12" customFormat="1" x14ac:dyDescent="0.25"/>
    <row r="274540" s="12" customFormat="1" x14ac:dyDescent="0.25"/>
    <row r="274541" s="12" customFormat="1" x14ac:dyDescent="0.25"/>
    <row r="274542" s="12" customFormat="1" x14ac:dyDescent="0.25"/>
    <row r="274543" s="12" customFormat="1" x14ac:dyDescent="0.25"/>
    <row r="274544" s="12" customFormat="1" x14ac:dyDescent="0.25"/>
    <row r="274545" s="12" customFormat="1" x14ac:dyDescent="0.25"/>
    <row r="274546" s="12" customFormat="1" x14ac:dyDescent="0.25"/>
    <row r="274547" s="12" customFormat="1" x14ac:dyDescent="0.25"/>
    <row r="274548" s="12" customFormat="1" x14ac:dyDescent="0.25"/>
    <row r="274549" s="12" customFormat="1" x14ac:dyDescent="0.25"/>
    <row r="274550" s="12" customFormat="1" x14ac:dyDescent="0.25"/>
    <row r="274551" s="12" customFormat="1" x14ac:dyDescent="0.25"/>
    <row r="274552" s="12" customFormat="1" x14ac:dyDescent="0.25"/>
    <row r="274553" s="12" customFormat="1" x14ac:dyDescent="0.25"/>
    <row r="274554" s="12" customFormat="1" x14ac:dyDescent="0.25"/>
    <row r="274555" s="12" customFormat="1" x14ac:dyDescent="0.25"/>
    <row r="274556" s="12" customFormat="1" x14ac:dyDescent="0.25"/>
    <row r="274557" s="12" customFormat="1" x14ac:dyDescent="0.25"/>
    <row r="274558" s="12" customFormat="1" x14ac:dyDescent="0.25"/>
    <row r="274559" s="12" customFormat="1" x14ac:dyDescent="0.25"/>
    <row r="274560" s="12" customFormat="1" x14ac:dyDescent="0.25"/>
    <row r="274561" s="12" customFormat="1" x14ac:dyDescent="0.25"/>
    <row r="274562" s="12" customFormat="1" x14ac:dyDescent="0.25"/>
    <row r="274563" s="12" customFormat="1" x14ac:dyDescent="0.25"/>
    <row r="274564" s="12" customFormat="1" x14ac:dyDescent="0.25"/>
    <row r="274565" s="12" customFormat="1" x14ac:dyDescent="0.25"/>
    <row r="274566" s="12" customFormat="1" x14ac:dyDescent="0.25"/>
    <row r="274567" s="12" customFormat="1" x14ac:dyDescent="0.25"/>
    <row r="274568" s="12" customFormat="1" x14ac:dyDescent="0.25"/>
    <row r="274569" s="12" customFormat="1" x14ac:dyDescent="0.25"/>
    <row r="274570" s="12" customFormat="1" x14ac:dyDescent="0.25"/>
    <row r="274571" s="12" customFormat="1" x14ac:dyDescent="0.25"/>
    <row r="274572" s="12" customFormat="1" x14ac:dyDescent="0.25"/>
    <row r="274573" s="12" customFormat="1" x14ac:dyDescent="0.25"/>
    <row r="274574" s="12" customFormat="1" x14ac:dyDescent="0.25"/>
    <row r="274575" s="12" customFormat="1" x14ac:dyDescent="0.25"/>
    <row r="274576" s="12" customFormat="1" x14ac:dyDescent="0.25"/>
    <row r="274577" s="12" customFormat="1" x14ac:dyDescent="0.25"/>
    <row r="274578" s="12" customFormat="1" x14ac:dyDescent="0.25"/>
    <row r="274579" s="12" customFormat="1" x14ac:dyDescent="0.25"/>
    <row r="274580" s="12" customFormat="1" x14ac:dyDescent="0.25"/>
    <row r="274581" s="12" customFormat="1" x14ac:dyDescent="0.25"/>
    <row r="274582" s="12" customFormat="1" x14ac:dyDescent="0.25"/>
    <row r="274583" s="12" customFormat="1" x14ac:dyDescent="0.25"/>
    <row r="274584" s="12" customFormat="1" x14ac:dyDescent="0.25"/>
    <row r="274585" s="12" customFormat="1" x14ac:dyDescent="0.25"/>
    <row r="274586" s="12" customFormat="1" x14ac:dyDescent="0.25"/>
    <row r="274587" s="12" customFormat="1" x14ac:dyDescent="0.25"/>
    <row r="274588" s="12" customFormat="1" x14ac:dyDescent="0.25"/>
    <row r="274589" s="12" customFormat="1" x14ac:dyDescent="0.25"/>
    <row r="274590" s="12" customFormat="1" x14ac:dyDescent="0.25"/>
    <row r="274591" s="12" customFormat="1" x14ac:dyDescent="0.25"/>
    <row r="274592" s="12" customFormat="1" x14ac:dyDescent="0.25"/>
    <row r="274593" s="12" customFormat="1" x14ac:dyDescent="0.25"/>
    <row r="274594" s="12" customFormat="1" x14ac:dyDescent="0.25"/>
    <row r="274595" s="12" customFormat="1" x14ac:dyDescent="0.25"/>
    <row r="274596" s="12" customFormat="1" x14ac:dyDescent="0.25"/>
    <row r="274597" s="12" customFormat="1" x14ac:dyDescent="0.25"/>
    <row r="274598" s="12" customFormat="1" x14ac:dyDescent="0.25"/>
    <row r="274599" s="12" customFormat="1" x14ac:dyDescent="0.25"/>
    <row r="274600" s="12" customFormat="1" x14ac:dyDescent="0.25"/>
    <row r="274601" s="12" customFormat="1" x14ac:dyDescent="0.25"/>
    <row r="274602" s="12" customFormat="1" x14ac:dyDescent="0.25"/>
    <row r="274603" s="12" customFormat="1" x14ac:dyDescent="0.25"/>
    <row r="274604" s="12" customFormat="1" x14ac:dyDescent="0.25"/>
    <row r="274605" s="12" customFormat="1" x14ac:dyDescent="0.25"/>
    <row r="274606" s="12" customFormat="1" x14ac:dyDescent="0.25"/>
    <row r="274607" s="12" customFormat="1" x14ac:dyDescent="0.25"/>
    <row r="274608" s="12" customFormat="1" x14ac:dyDescent="0.25"/>
    <row r="274609" s="12" customFormat="1" x14ac:dyDescent="0.25"/>
    <row r="274610" s="12" customFormat="1" x14ac:dyDescent="0.25"/>
    <row r="274611" s="12" customFormat="1" x14ac:dyDescent="0.25"/>
    <row r="274612" s="12" customFormat="1" x14ac:dyDescent="0.25"/>
    <row r="274613" s="12" customFormat="1" x14ac:dyDescent="0.25"/>
    <row r="274614" s="12" customFormat="1" x14ac:dyDescent="0.25"/>
    <row r="274615" s="12" customFormat="1" x14ac:dyDescent="0.25"/>
    <row r="274616" s="12" customFormat="1" x14ac:dyDescent="0.25"/>
    <row r="274617" s="12" customFormat="1" x14ac:dyDescent="0.25"/>
    <row r="274618" s="12" customFormat="1" x14ac:dyDescent="0.25"/>
    <row r="274619" s="12" customFormat="1" x14ac:dyDescent="0.25"/>
    <row r="274620" s="12" customFormat="1" x14ac:dyDescent="0.25"/>
    <row r="274621" s="12" customFormat="1" x14ac:dyDescent="0.25"/>
    <row r="274622" s="12" customFormat="1" x14ac:dyDescent="0.25"/>
    <row r="274623" s="12" customFormat="1" x14ac:dyDescent="0.25"/>
    <row r="274624" s="12" customFormat="1" x14ac:dyDescent="0.25"/>
    <row r="274625" s="12" customFormat="1" x14ac:dyDescent="0.25"/>
    <row r="274626" s="12" customFormat="1" x14ac:dyDescent="0.25"/>
    <row r="274627" s="12" customFormat="1" x14ac:dyDescent="0.25"/>
    <row r="274628" s="12" customFormat="1" x14ac:dyDescent="0.25"/>
    <row r="274629" s="12" customFormat="1" x14ac:dyDescent="0.25"/>
    <row r="274630" s="12" customFormat="1" x14ac:dyDescent="0.25"/>
    <row r="274631" s="12" customFormat="1" x14ac:dyDescent="0.25"/>
    <row r="274632" s="12" customFormat="1" x14ac:dyDescent="0.25"/>
    <row r="274633" s="12" customFormat="1" x14ac:dyDescent="0.25"/>
    <row r="274634" s="12" customFormat="1" x14ac:dyDescent="0.25"/>
    <row r="274635" s="12" customFormat="1" x14ac:dyDescent="0.25"/>
    <row r="274636" s="12" customFormat="1" x14ac:dyDescent="0.25"/>
    <row r="274637" s="12" customFormat="1" x14ac:dyDescent="0.25"/>
    <row r="274638" s="12" customFormat="1" x14ac:dyDescent="0.25"/>
    <row r="274639" s="12" customFormat="1" x14ac:dyDescent="0.25"/>
    <row r="274640" s="12" customFormat="1" x14ac:dyDescent="0.25"/>
    <row r="274641" s="12" customFormat="1" x14ac:dyDescent="0.25"/>
    <row r="274642" s="12" customFormat="1" x14ac:dyDescent="0.25"/>
    <row r="274643" s="12" customFormat="1" x14ac:dyDescent="0.25"/>
    <row r="274644" s="12" customFormat="1" x14ac:dyDescent="0.25"/>
    <row r="274645" s="12" customFormat="1" x14ac:dyDescent="0.25"/>
    <row r="274646" s="12" customFormat="1" x14ac:dyDescent="0.25"/>
    <row r="274647" s="12" customFormat="1" x14ac:dyDescent="0.25"/>
    <row r="274648" s="12" customFormat="1" x14ac:dyDescent="0.25"/>
    <row r="274649" s="12" customFormat="1" x14ac:dyDescent="0.25"/>
    <row r="274650" s="12" customFormat="1" x14ac:dyDescent="0.25"/>
    <row r="274651" s="12" customFormat="1" x14ac:dyDescent="0.25"/>
    <row r="274652" s="12" customFormat="1" x14ac:dyDescent="0.25"/>
    <row r="274653" s="12" customFormat="1" x14ac:dyDescent="0.25"/>
    <row r="274654" s="12" customFormat="1" x14ac:dyDescent="0.25"/>
    <row r="274655" s="12" customFormat="1" x14ac:dyDescent="0.25"/>
    <row r="274656" s="12" customFormat="1" x14ac:dyDescent="0.25"/>
    <row r="274657" s="12" customFormat="1" x14ac:dyDescent="0.25"/>
    <row r="274658" s="12" customFormat="1" x14ac:dyDescent="0.25"/>
    <row r="274659" s="12" customFormat="1" x14ac:dyDescent="0.25"/>
    <row r="274660" s="12" customFormat="1" x14ac:dyDescent="0.25"/>
    <row r="274661" s="12" customFormat="1" x14ac:dyDescent="0.25"/>
    <row r="274662" s="12" customFormat="1" x14ac:dyDescent="0.25"/>
    <row r="274663" s="12" customFormat="1" x14ac:dyDescent="0.25"/>
    <row r="274664" s="12" customFormat="1" x14ac:dyDescent="0.25"/>
    <row r="274665" s="12" customFormat="1" x14ac:dyDescent="0.25"/>
    <row r="274666" s="12" customFormat="1" x14ac:dyDescent="0.25"/>
    <row r="274667" s="12" customFormat="1" x14ac:dyDescent="0.25"/>
    <row r="274668" s="12" customFormat="1" x14ac:dyDescent="0.25"/>
    <row r="274669" s="12" customFormat="1" x14ac:dyDescent="0.25"/>
    <row r="274670" s="12" customFormat="1" x14ac:dyDescent="0.25"/>
    <row r="274671" s="12" customFormat="1" x14ac:dyDescent="0.25"/>
    <row r="274672" s="12" customFormat="1" x14ac:dyDescent="0.25"/>
    <row r="274673" s="12" customFormat="1" x14ac:dyDescent="0.25"/>
    <row r="274674" s="12" customFormat="1" x14ac:dyDescent="0.25"/>
    <row r="274675" s="12" customFormat="1" x14ac:dyDescent="0.25"/>
    <row r="274676" s="12" customFormat="1" x14ac:dyDescent="0.25"/>
    <row r="274677" s="12" customFormat="1" x14ac:dyDescent="0.25"/>
    <row r="274678" s="12" customFormat="1" x14ac:dyDescent="0.25"/>
    <row r="274679" s="12" customFormat="1" x14ac:dyDescent="0.25"/>
    <row r="274680" s="12" customFormat="1" x14ac:dyDescent="0.25"/>
    <row r="274681" s="12" customFormat="1" x14ac:dyDescent="0.25"/>
    <row r="274682" s="12" customFormat="1" x14ac:dyDescent="0.25"/>
    <row r="274683" s="12" customFormat="1" x14ac:dyDescent="0.25"/>
    <row r="274684" s="12" customFormat="1" x14ac:dyDescent="0.25"/>
    <row r="274685" s="12" customFormat="1" x14ac:dyDescent="0.25"/>
    <row r="274686" s="12" customFormat="1" x14ac:dyDescent="0.25"/>
    <row r="274687" s="12" customFormat="1" x14ac:dyDescent="0.25"/>
    <row r="274688" s="12" customFormat="1" x14ac:dyDescent="0.25"/>
    <row r="274689" s="12" customFormat="1" x14ac:dyDescent="0.25"/>
    <row r="274690" s="12" customFormat="1" x14ac:dyDescent="0.25"/>
    <row r="274691" s="12" customFormat="1" x14ac:dyDescent="0.25"/>
    <row r="274692" s="12" customFormat="1" x14ac:dyDescent="0.25"/>
    <row r="274693" s="12" customFormat="1" x14ac:dyDescent="0.25"/>
    <row r="274694" s="12" customFormat="1" x14ac:dyDescent="0.25"/>
    <row r="274695" s="12" customFormat="1" x14ac:dyDescent="0.25"/>
    <row r="274696" s="12" customFormat="1" x14ac:dyDescent="0.25"/>
    <row r="274697" s="12" customFormat="1" x14ac:dyDescent="0.25"/>
    <row r="274698" s="12" customFormat="1" x14ac:dyDescent="0.25"/>
    <row r="274699" s="12" customFormat="1" x14ac:dyDescent="0.25"/>
    <row r="274700" s="12" customFormat="1" x14ac:dyDescent="0.25"/>
    <row r="274701" s="12" customFormat="1" x14ac:dyDescent="0.25"/>
    <row r="274702" s="12" customFormat="1" x14ac:dyDescent="0.25"/>
    <row r="274703" s="12" customFormat="1" x14ac:dyDescent="0.25"/>
    <row r="274704" s="12" customFormat="1" x14ac:dyDescent="0.25"/>
    <row r="274705" s="12" customFormat="1" x14ac:dyDescent="0.25"/>
    <row r="274706" s="12" customFormat="1" x14ac:dyDescent="0.25"/>
    <row r="274707" s="12" customFormat="1" x14ac:dyDescent="0.25"/>
    <row r="274708" s="12" customFormat="1" x14ac:dyDescent="0.25"/>
    <row r="274709" s="12" customFormat="1" x14ac:dyDescent="0.25"/>
    <row r="274710" s="12" customFormat="1" x14ac:dyDescent="0.25"/>
    <row r="274711" s="12" customFormat="1" x14ac:dyDescent="0.25"/>
    <row r="274712" s="12" customFormat="1" x14ac:dyDescent="0.25"/>
    <row r="274713" s="12" customFormat="1" x14ac:dyDescent="0.25"/>
    <row r="274714" s="12" customFormat="1" x14ac:dyDescent="0.25"/>
    <row r="274715" s="12" customFormat="1" x14ac:dyDescent="0.25"/>
    <row r="274716" s="12" customFormat="1" x14ac:dyDescent="0.25"/>
    <row r="274717" s="12" customFormat="1" x14ac:dyDescent="0.25"/>
    <row r="274718" s="12" customFormat="1" x14ac:dyDescent="0.25"/>
    <row r="274719" s="12" customFormat="1" x14ac:dyDescent="0.25"/>
    <row r="274720" s="12" customFormat="1" x14ac:dyDescent="0.25"/>
    <row r="274721" s="12" customFormat="1" x14ac:dyDescent="0.25"/>
    <row r="274722" s="12" customFormat="1" x14ac:dyDescent="0.25"/>
    <row r="274723" s="12" customFormat="1" x14ac:dyDescent="0.25"/>
    <row r="274724" s="12" customFormat="1" x14ac:dyDescent="0.25"/>
    <row r="274725" s="12" customFormat="1" x14ac:dyDescent="0.25"/>
    <row r="274726" s="12" customFormat="1" x14ac:dyDescent="0.25"/>
    <row r="274727" s="12" customFormat="1" x14ac:dyDescent="0.25"/>
    <row r="274728" s="12" customFormat="1" x14ac:dyDescent="0.25"/>
    <row r="274729" s="12" customFormat="1" x14ac:dyDescent="0.25"/>
    <row r="274730" s="12" customFormat="1" x14ac:dyDescent="0.25"/>
    <row r="274731" s="12" customFormat="1" x14ac:dyDescent="0.25"/>
    <row r="274732" s="12" customFormat="1" x14ac:dyDescent="0.25"/>
    <row r="274733" s="12" customFormat="1" x14ac:dyDescent="0.25"/>
    <row r="274734" s="12" customFormat="1" x14ac:dyDescent="0.25"/>
    <row r="274735" s="12" customFormat="1" x14ac:dyDescent="0.25"/>
    <row r="274736" s="12" customFormat="1" x14ac:dyDescent="0.25"/>
    <row r="274737" s="12" customFormat="1" x14ac:dyDescent="0.25"/>
    <row r="274738" s="12" customFormat="1" x14ac:dyDescent="0.25"/>
    <row r="274739" s="12" customFormat="1" x14ac:dyDescent="0.25"/>
    <row r="274740" s="12" customFormat="1" x14ac:dyDescent="0.25"/>
    <row r="274741" s="12" customFormat="1" x14ac:dyDescent="0.25"/>
    <row r="274742" s="12" customFormat="1" x14ac:dyDescent="0.25"/>
    <row r="274743" s="12" customFormat="1" x14ac:dyDescent="0.25"/>
    <row r="274744" s="12" customFormat="1" x14ac:dyDescent="0.25"/>
    <row r="274745" s="12" customFormat="1" x14ac:dyDescent="0.25"/>
    <row r="274746" s="12" customFormat="1" x14ac:dyDescent="0.25"/>
    <row r="274747" s="12" customFormat="1" x14ac:dyDescent="0.25"/>
    <row r="274748" s="12" customFormat="1" x14ac:dyDescent="0.25"/>
    <row r="274749" s="12" customFormat="1" x14ac:dyDescent="0.25"/>
    <row r="274750" s="12" customFormat="1" x14ac:dyDescent="0.25"/>
    <row r="274751" s="12" customFormat="1" x14ac:dyDescent="0.25"/>
    <row r="274752" s="12" customFormat="1" x14ac:dyDescent="0.25"/>
    <row r="274753" s="12" customFormat="1" x14ac:dyDescent="0.25"/>
    <row r="274754" s="12" customFormat="1" x14ac:dyDescent="0.25"/>
    <row r="274755" s="12" customFormat="1" x14ac:dyDescent="0.25"/>
    <row r="274756" s="12" customFormat="1" x14ac:dyDescent="0.25"/>
    <row r="274757" s="12" customFormat="1" x14ac:dyDescent="0.25"/>
    <row r="274758" s="12" customFormat="1" x14ac:dyDescent="0.25"/>
    <row r="274759" s="12" customFormat="1" x14ac:dyDescent="0.25"/>
    <row r="274760" s="12" customFormat="1" x14ac:dyDescent="0.25"/>
    <row r="274761" s="12" customFormat="1" x14ac:dyDescent="0.25"/>
    <row r="274762" s="12" customFormat="1" x14ac:dyDescent="0.25"/>
    <row r="274763" s="12" customFormat="1" x14ac:dyDescent="0.25"/>
    <row r="274764" s="12" customFormat="1" x14ac:dyDescent="0.25"/>
    <row r="274765" s="12" customFormat="1" x14ac:dyDescent="0.25"/>
    <row r="274766" s="12" customFormat="1" x14ac:dyDescent="0.25"/>
    <row r="274767" s="12" customFormat="1" x14ac:dyDescent="0.25"/>
    <row r="274768" s="12" customFormat="1" x14ac:dyDescent="0.25"/>
    <row r="274769" s="12" customFormat="1" x14ac:dyDescent="0.25"/>
    <row r="274770" s="12" customFormat="1" x14ac:dyDescent="0.25"/>
    <row r="274771" s="12" customFormat="1" x14ac:dyDescent="0.25"/>
    <row r="274772" s="12" customFormat="1" x14ac:dyDescent="0.25"/>
    <row r="274773" s="12" customFormat="1" x14ac:dyDescent="0.25"/>
    <row r="274774" s="12" customFormat="1" x14ac:dyDescent="0.25"/>
    <row r="274775" s="12" customFormat="1" x14ac:dyDescent="0.25"/>
    <row r="274776" s="12" customFormat="1" x14ac:dyDescent="0.25"/>
    <row r="274777" s="12" customFormat="1" x14ac:dyDescent="0.25"/>
    <row r="274778" s="12" customFormat="1" x14ac:dyDescent="0.25"/>
    <row r="274779" s="12" customFormat="1" x14ac:dyDescent="0.25"/>
    <row r="274780" s="12" customFormat="1" x14ac:dyDescent="0.25"/>
    <row r="274781" s="12" customFormat="1" x14ac:dyDescent="0.25"/>
    <row r="274782" s="12" customFormat="1" x14ac:dyDescent="0.25"/>
    <row r="274783" s="12" customFormat="1" x14ac:dyDescent="0.25"/>
    <row r="274784" s="12" customFormat="1" x14ac:dyDescent="0.25"/>
    <row r="274785" s="12" customFormat="1" x14ac:dyDescent="0.25"/>
    <row r="274786" s="12" customFormat="1" x14ac:dyDescent="0.25"/>
    <row r="274787" s="12" customFormat="1" x14ac:dyDescent="0.25"/>
    <row r="274788" s="12" customFormat="1" x14ac:dyDescent="0.25"/>
    <row r="274789" s="12" customFormat="1" x14ac:dyDescent="0.25"/>
    <row r="274790" s="12" customFormat="1" x14ac:dyDescent="0.25"/>
    <row r="274791" s="12" customFormat="1" x14ac:dyDescent="0.25"/>
    <row r="274792" s="12" customFormat="1" x14ac:dyDescent="0.25"/>
    <row r="274793" s="12" customFormat="1" x14ac:dyDescent="0.25"/>
    <row r="274794" s="12" customFormat="1" x14ac:dyDescent="0.25"/>
    <row r="274795" s="12" customFormat="1" x14ac:dyDescent="0.25"/>
    <row r="274796" s="12" customFormat="1" x14ac:dyDescent="0.25"/>
    <row r="274797" s="12" customFormat="1" x14ac:dyDescent="0.25"/>
    <row r="274798" s="12" customFormat="1" x14ac:dyDescent="0.25"/>
    <row r="274799" s="12" customFormat="1" x14ac:dyDescent="0.25"/>
    <row r="274800" s="12" customFormat="1" x14ac:dyDescent="0.25"/>
    <row r="274801" s="12" customFormat="1" x14ac:dyDescent="0.25"/>
    <row r="274802" s="12" customFormat="1" x14ac:dyDescent="0.25"/>
    <row r="274803" s="12" customFormat="1" x14ac:dyDescent="0.25"/>
    <row r="274804" s="12" customFormat="1" x14ac:dyDescent="0.25"/>
    <row r="274805" s="12" customFormat="1" x14ac:dyDescent="0.25"/>
    <row r="274806" s="12" customFormat="1" x14ac:dyDescent="0.25"/>
    <row r="274807" s="12" customFormat="1" x14ac:dyDescent="0.25"/>
    <row r="274808" s="12" customFormat="1" x14ac:dyDescent="0.25"/>
    <row r="274809" s="12" customFormat="1" x14ac:dyDescent="0.25"/>
    <row r="274810" s="12" customFormat="1" x14ac:dyDescent="0.25"/>
    <row r="274811" s="12" customFormat="1" x14ac:dyDescent="0.25"/>
    <row r="274812" s="12" customFormat="1" x14ac:dyDescent="0.25"/>
    <row r="274813" s="12" customFormat="1" x14ac:dyDescent="0.25"/>
    <row r="274814" s="12" customFormat="1" x14ac:dyDescent="0.25"/>
    <row r="274815" s="12" customFormat="1" x14ac:dyDescent="0.25"/>
    <row r="274816" s="12" customFormat="1" x14ac:dyDescent="0.25"/>
    <row r="274817" s="12" customFormat="1" x14ac:dyDescent="0.25"/>
    <row r="274818" s="12" customFormat="1" x14ac:dyDescent="0.25"/>
    <row r="274819" s="12" customFormat="1" x14ac:dyDescent="0.25"/>
    <row r="274820" s="12" customFormat="1" x14ac:dyDescent="0.25"/>
    <row r="274821" s="12" customFormat="1" x14ac:dyDescent="0.25"/>
    <row r="274822" s="12" customFormat="1" x14ac:dyDescent="0.25"/>
    <row r="274823" s="12" customFormat="1" x14ac:dyDescent="0.25"/>
    <row r="274824" s="12" customFormat="1" x14ac:dyDescent="0.25"/>
    <row r="274825" s="12" customFormat="1" x14ac:dyDescent="0.25"/>
    <row r="274826" s="12" customFormat="1" x14ac:dyDescent="0.25"/>
    <row r="274827" s="12" customFormat="1" x14ac:dyDescent="0.25"/>
    <row r="274828" s="12" customFormat="1" x14ac:dyDescent="0.25"/>
    <row r="274829" s="12" customFormat="1" x14ac:dyDescent="0.25"/>
    <row r="274830" s="12" customFormat="1" x14ac:dyDescent="0.25"/>
    <row r="274831" s="12" customFormat="1" x14ac:dyDescent="0.25"/>
    <row r="274832" s="12" customFormat="1" x14ac:dyDescent="0.25"/>
    <row r="274833" s="12" customFormat="1" x14ac:dyDescent="0.25"/>
    <row r="274834" s="12" customFormat="1" x14ac:dyDescent="0.25"/>
    <row r="274835" s="12" customFormat="1" x14ac:dyDescent="0.25"/>
    <row r="274836" s="12" customFormat="1" x14ac:dyDescent="0.25"/>
    <row r="274837" s="12" customFormat="1" x14ac:dyDescent="0.25"/>
    <row r="274838" s="12" customFormat="1" x14ac:dyDescent="0.25"/>
    <row r="274839" s="12" customFormat="1" x14ac:dyDescent="0.25"/>
    <row r="274840" s="12" customFormat="1" x14ac:dyDescent="0.25"/>
    <row r="274841" s="12" customFormat="1" x14ac:dyDescent="0.25"/>
    <row r="274842" s="12" customFormat="1" x14ac:dyDescent="0.25"/>
    <row r="274843" s="12" customFormat="1" x14ac:dyDescent="0.25"/>
    <row r="274844" s="12" customFormat="1" x14ac:dyDescent="0.25"/>
    <row r="274845" s="12" customFormat="1" x14ac:dyDescent="0.25"/>
    <row r="274846" s="12" customFormat="1" x14ac:dyDescent="0.25"/>
    <row r="274847" s="12" customFormat="1" x14ac:dyDescent="0.25"/>
    <row r="274848" s="12" customFormat="1" x14ac:dyDescent="0.25"/>
    <row r="274849" s="12" customFormat="1" x14ac:dyDescent="0.25"/>
    <row r="274850" s="12" customFormat="1" x14ac:dyDescent="0.25"/>
    <row r="274851" s="12" customFormat="1" x14ac:dyDescent="0.25"/>
    <row r="274852" s="12" customFormat="1" x14ac:dyDescent="0.25"/>
    <row r="274853" s="12" customFormat="1" x14ac:dyDescent="0.25"/>
    <row r="274854" s="12" customFormat="1" x14ac:dyDescent="0.25"/>
    <row r="274855" s="12" customFormat="1" x14ac:dyDescent="0.25"/>
    <row r="274856" s="12" customFormat="1" x14ac:dyDescent="0.25"/>
    <row r="274857" s="12" customFormat="1" x14ac:dyDescent="0.25"/>
    <row r="274858" s="12" customFormat="1" x14ac:dyDescent="0.25"/>
    <row r="274859" s="12" customFormat="1" x14ac:dyDescent="0.25"/>
    <row r="274860" s="12" customFormat="1" x14ac:dyDescent="0.25"/>
    <row r="274861" s="12" customFormat="1" x14ac:dyDescent="0.25"/>
    <row r="274862" s="12" customFormat="1" x14ac:dyDescent="0.25"/>
    <row r="274863" s="12" customFormat="1" x14ac:dyDescent="0.25"/>
    <row r="274864" s="12" customFormat="1" x14ac:dyDescent="0.25"/>
    <row r="274865" s="12" customFormat="1" x14ac:dyDescent="0.25"/>
    <row r="274866" s="12" customFormat="1" x14ac:dyDescent="0.25"/>
    <row r="274867" s="12" customFormat="1" x14ac:dyDescent="0.25"/>
    <row r="274868" s="12" customFormat="1" x14ac:dyDescent="0.25"/>
    <row r="274869" s="12" customFormat="1" x14ac:dyDescent="0.25"/>
    <row r="274870" s="12" customFormat="1" x14ac:dyDescent="0.25"/>
    <row r="274871" s="12" customFormat="1" x14ac:dyDescent="0.25"/>
    <row r="274872" s="12" customFormat="1" x14ac:dyDescent="0.25"/>
    <row r="274873" s="12" customFormat="1" x14ac:dyDescent="0.25"/>
    <row r="274874" s="12" customFormat="1" x14ac:dyDescent="0.25"/>
    <row r="274875" s="12" customFormat="1" x14ac:dyDescent="0.25"/>
    <row r="274876" s="12" customFormat="1" x14ac:dyDescent="0.25"/>
    <row r="274877" s="12" customFormat="1" x14ac:dyDescent="0.25"/>
    <row r="274878" s="12" customFormat="1" x14ac:dyDescent="0.25"/>
    <row r="274879" s="12" customFormat="1" x14ac:dyDescent="0.25"/>
    <row r="274880" s="12" customFormat="1" x14ac:dyDescent="0.25"/>
    <row r="274881" s="12" customFormat="1" x14ac:dyDescent="0.25"/>
    <row r="274882" s="12" customFormat="1" x14ac:dyDescent="0.25"/>
    <row r="274883" s="12" customFormat="1" x14ac:dyDescent="0.25"/>
    <row r="274884" s="12" customFormat="1" x14ac:dyDescent="0.25"/>
    <row r="274885" s="12" customFormat="1" x14ac:dyDescent="0.25"/>
    <row r="274886" s="12" customFormat="1" x14ac:dyDescent="0.25"/>
    <row r="274887" s="12" customFormat="1" x14ac:dyDescent="0.25"/>
    <row r="274888" s="12" customFormat="1" x14ac:dyDescent="0.25"/>
    <row r="274889" s="12" customFormat="1" x14ac:dyDescent="0.25"/>
    <row r="274890" s="12" customFormat="1" x14ac:dyDescent="0.25"/>
    <row r="274891" s="12" customFormat="1" x14ac:dyDescent="0.25"/>
    <row r="274892" s="12" customFormat="1" x14ac:dyDescent="0.25"/>
    <row r="274893" s="12" customFormat="1" x14ac:dyDescent="0.25"/>
    <row r="274894" s="12" customFormat="1" x14ac:dyDescent="0.25"/>
    <row r="274895" s="12" customFormat="1" x14ac:dyDescent="0.25"/>
    <row r="274896" s="12" customFormat="1" x14ac:dyDescent="0.25"/>
    <row r="274897" s="12" customFormat="1" x14ac:dyDescent="0.25"/>
    <row r="274898" s="12" customFormat="1" x14ac:dyDescent="0.25"/>
    <row r="274899" s="12" customFormat="1" x14ac:dyDescent="0.25"/>
    <row r="274900" s="12" customFormat="1" x14ac:dyDescent="0.25"/>
    <row r="274901" s="12" customFormat="1" x14ac:dyDescent="0.25"/>
    <row r="274902" s="12" customFormat="1" x14ac:dyDescent="0.25"/>
    <row r="274903" s="12" customFormat="1" x14ac:dyDescent="0.25"/>
    <row r="274904" s="12" customFormat="1" x14ac:dyDescent="0.25"/>
    <row r="274905" s="12" customFormat="1" x14ac:dyDescent="0.25"/>
    <row r="274906" s="12" customFormat="1" x14ac:dyDescent="0.25"/>
    <row r="274907" s="12" customFormat="1" x14ac:dyDescent="0.25"/>
    <row r="274908" s="12" customFormat="1" x14ac:dyDescent="0.25"/>
    <row r="274909" s="12" customFormat="1" x14ac:dyDescent="0.25"/>
    <row r="274910" s="12" customFormat="1" x14ac:dyDescent="0.25"/>
    <row r="274911" s="12" customFormat="1" x14ac:dyDescent="0.25"/>
    <row r="274912" s="12" customFormat="1" x14ac:dyDescent="0.25"/>
    <row r="274913" s="12" customFormat="1" x14ac:dyDescent="0.25"/>
    <row r="274914" s="12" customFormat="1" x14ac:dyDescent="0.25"/>
    <row r="274915" s="12" customFormat="1" x14ac:dyDescent="0.25"/>
    <row r="274916" s="12" customFormat="1" x14ac:dyDescent="0.25"/>
    <row r="274917" s="12" customFormat="1" x14ac:dyDescent="0.25"/>
    <row r="274918" s="12" customFormat="1" x14ac:dyDescent="0.25"/>
    <row r="274919" s="12" customFormat="1" x14ac:dyDescent="0.25"/>
    <row r="274920" s="12" customFormat="1" x14ac:dyDescent="0.25"/>
    <row r="274921" s="12" customFormat="1" x14ac:dyDescent="0.25"/>
    <row r="274922" s="12" customFormat="1" x14ac:dyDescent="0.25"/>
    <row r="274923" s="12" customFormat="1" x14ac:dyDescent="0.25"/>
    <row r="274924" s="12" customFormat="1" x14ac:dyDescent="0.25"/>
    <row r="274925" s="12" customFormat="1" x14ac:dyDescent="0.25"/>
    <row r="274926" s="12" customFormat="1" x14ac:dyDescent="0.25"/>
    <row r="274927" s="12" customFormat="1" x14ac:dyDescent="0.25"/>
    <row r="274928" s="12" customFormat="1" x14ac:dyDescent="0.25"/>
    <row r="274929" s="12" customFormat="1" x14ac:dyDescent="0.25"/>
    <row r="274930" s="12" customFormat="1" x14ac:dyDescent="0.25"/>
    <row r="274931" s="12" customFormat="1" x14ac:dyDescent="0.25"/>
    <row r="274932" s="12" customFormat="1" x14ac:dyDescent="0.25"/>
    <row r="274933" s="12" customFormat="1" x14ac:dyDescent="0.25"/>
    <row r="274934" s="12" customFormat="1" x14ac:dyDescent="0.25"/>
    <row r="274935" s="12" customFormat="1" x14ac:dyDescent="0.25"/>
    <row r="274936" s="12" customFormat="1" x14ac:dyDescent="0.25"/>
    <row r="274937" s="12" customFormat="1" x14ac:dyDescent="0.25"/>
    <row r="274938" s="12" customFormat="1" x14ac:dyDescent="0.25"/>
    <row r="274939" s="12" customFormat="1" x14ac:dyDescent="0.25"/>
    <row r="274940" s="12" customFormat="1" x14ac:dyDescent="0.25"/>
    <row r="274941" s="12" customFormat="1" x14ac:dyDescent="0.25"/>
    <row r="274942" s="12" customFormat="1" x14ac:dyDescent="0.25"/>
    <row r="274943" s="12" customFormat="1" x14ac:dyDescent="0.25"/>
    <row r="274944" s="12" customFormat="1" x14ac:dyDescent="0.25"/>
    <row r="274945" s="12" customFormat="1" x14ac:dyDescent="0.25"/>
    <row r="274946" s="12" customFormat="1" x14ac:dyDescent="0.25"/>
    <row r="274947" s="12" customFormat="1" x14ac:dyDescent="0.25"/>
    <row r="274948" s="12" customFormat="1" x14ac:dyDescent="0.25"/>
    <row r="274949" s="12" customFormat="1" x14ac:dyDescent="0.25"/>
    <row r="274950" s="12" customFormat="1" x14ac:dyDescent="0.25"/>
    <row r="274951" s="12" customFormat="1" x14ac:dyDescent="0.25"/>
    <row r="274952" s="12" customFormat="1" x14ac:dyDescent="0.25"/>
    <row r="274953" s="12" customFormat="1" x14ac:dyDescent="0.25"/>
    <row r="274954" s="12" customFormat="1" x14ac:dyDescent="0.25"/>
    <row r="274955" s="12" customFormat="1" x14ac:dyDescent="0.25"/>
    <row r="274956" s="12" customFormat="1" x14ac:dyDescent="0.25"/>
    <row r="274957" s="12" customFormat="1" x14ac:dyDescent="0.25"/>
    <row r="274958" s="12" customFormat="1" x14ac:dyDescent="0.25"/>
    <row r="274959" s="12" customFormat="1" x14ac:dyDescent="0.25"/>
    <row r="274960" s="12" customFormat="1" x14ac:dyDescent="0.25"/>
    <row r="274961" s="12" customFormat="1" x14ac:dyDescent="0.25"/>
    <row r="274962" s="12" customFormat="1" x14ac:dyDescent="0.25"/>
    <row r="274963" s="12" customFormat="1" x14ac:dyDescent="0.25"/>
    <row r="274964" s="12" customFormat="1" x14ac:dyDescent="0.25"/>
    <row r="274965" s="12" customFormat="1" x14ac:dyDescent="0.25"/>
    <row r="274966" s="12" customFormat="1" x14ac:dyDescent="0.25"/>
    <row r="274967" s="12" customFormat="1" x14ac:dyDescent="0.25"/>
    <row r="274968" s="12" customFormat="1" x14ac:dyDescent="0.25"/>
    <row r="274969" s="12" customFormat="1" x14ac:dyDescent="0.25"/>
    <row r="274970" s="12" customFormat="1" x14ac:dyDescent="0.25"/>
    <row r="274971" s="12" customFormat="1" x14ac:dyDescent="0.25"/>
    <row r="274972" s="12" customFormat="1" x14ac:dyDescent="0.25"/>
    <row r="274973" s="12" customFormat="1" x14ac:dyDescent="0.25"/>
    <row r="274974" s="12" customFormat="1" x14ac:dyDescent="0.25"/>
    <row r="274975" s="12" customFormat="1" x14ac:dyDescent="0.25"/>
    <row r="274976" s="12" customFormat="1" x14ac:dyDescent="0.25"/>
    <row r="274977" s="12" customFormat="1" x14ac:dyDescent="0.25"/>
    <row r="274978" s="12" customFormat="1" x14ac:dyDescent="0.25"/>
    <row r="274979" s="12" customFormat="1" x14ac:dyDescent="0.25"/>
    <row r="274980" s="12" customFormat="1" x14ac:dyDescent="0.25"/>
    <row r="274981" s="12" customFormat="1" x14ac:dyDescent="0.25"/>
    <row r="274982" s="12" customFormat="1" x14ac:dyDescent="0.25"/>
    <row r="274983" s="12" customFormat="1" x14ac:dyDescent="0.25"/>
    <row r="274984" s="12" customFormat="1" x14ac:dyDescent="0.25"/>
    <row r="274985" s="12" customFormat="1" x14ac:dyDescent="0.25"/>
    <row r="274986" s="12" customFormat="1" x14ac:dyDescent="0.25"/>
    <row r="274987" s="12" customFormat="1" x14ac:dyDescent="0.25"/>
    <row r="274988" s="12" customFormat="1" x14ac:dyDescent="0.25"/>
    <row r="274989" s="12" customFormat="1" x14ac:dyDescent="0.25"/>
    <row r="274990" s="12" customFormat="1" x14ac:dyDescent="0.25"/>
    <row r="274991" s="12" customFormat="1" x14ac:dyDescent="0.25"/>
    <row r="274992" s="12" customFormat="1" x14ac:dyDescent="0.25"/>
    <row r="274993" s="12" customFormat="1" x14ac:dyDescent="0.25"/>
    <row r="274994" s="12" customFormat="1" x14ac:dyDescent="0.25"/>
    <row r="274995" s="12" customFormat="1" x14ac:dyDescent="0.25"/>
    <row r="274996" s="12" customFormat="1" x14ac:dyDescent="0.25"/>
    <row r="274997" s="12" customFormat="1" x14ac:dyDescent="0.25"/>
    <row r="274998" s="12" customFormat="1" x14ac:dyDescent="0.25"/>
    <row r="274999" s="12" customFormat="1" x14ac:dyDescent="0.25"/>
    <row r="275000" s="12" customFormat="1" x14ac:dyDescent="0.25"/>
    <row r="275001" s="12" customFormat="1" x14ac:dyDescent="0.25"/>
    <row r="275002" s="12" customFormat="1" x14ac:dyDescent="0.25"/>
    <row r="275003" s="12" customFormat="1" x14ac:dyDescent="0.25"/>
    <row r="275004" s="12" customFormat="1" x14ac:dyDescent="0.25"/>
    <row r="275005" s="12" customFormat="1" x14ac:dyDescent="0.25"/>
    <row r="275006" s="12" customFormat="1" x14ac:dyDescent="0.25"/>
    <row r="275007" s="12" customFormat="1" x14ac:dyDescent="0.25"/>
    <row r="275008" s="12" customFormat="1" x14ac:dyDescent="0.25"/>
    <row r="275009" s="12" customFormat="1" x14ac:dyDescent="0.25"/>
    <row r="275010" s="12" customFormat="1" x14ac:dyDescent="0.25"/>
    <row r="275011" s="12" customFormat="1" x14ac:dyDescent="0.25"/>
    <row r="275012" s="12" customFormat="1" x14ac:dyDescent="0.25"/>
    <row r="275013" s="12" customFormat="1" x14ac:dyDescent="0.25"/>
    <row r="275014" s="12" customFormat="1" x14ac:dyDescent="0.25"/>
    <row r="275015" s="12" customFormat="1" x14ac:dyDescent="0.25"/>
    <row r="275016" s="12" customFormat="1" x14ac:dyDescent="0.25"/>
    <row r="275017" s="12" customFormat="1" x14ac:dyDescent="0.25"/>
    <row r="275018" s="12" customFormat="1" x14ac:dyDescent="0.25"/>
    <row r="275019" s="12" customFormat="1" x14ac:dyDescent="0.25"/>
    <row r="275020" s="12" customFormat="1" x14ac:dyDescent="0.25"/>
    <row r="275021" s="12" customFormat="1" x14ac:dyDescent="0.25"/>
    <row r="275022" s="12" customFormat="1" x14ac:dyDescent="0.25"/>
    <row r="275023" s="12" customFormat="1" x14ac:dyDescent="0.25"/>
    <row r="275024" s="12" customFormat="1" x14ac:dyDescent="0.25"/>
    <row r="275025" s="12" customFormat="1" x14ac:dyDescent="0.25"/>
    <row r="275026" s="12" customFormat="1" x14ac:dyDescent="0.25"/>
    <row r="275027" s="12" customFormat="1" x14ac:dyDescent="0.25"/>
    <row r="275028" s="12" customFormat="1" x14ac:dyDescent="0.25"/>
    <row r="275029" s="12" customFormat="1" x14ac:dyDescent="0.25"/>
    <row r="275030" s="12" customFormat="1" x14ac:dyDescent="0.25"/>
    <row r="275031" s="12" customFormat="1" x14ac:dyDescent="0.25"/>
    <row r="275032" s="12" customFormat="1" x14ac:dyDescent="0.25"/>
    <row r="275033" s="12" customFormat="1" x14ac:dyDescent="0.25"/>
    <row r="275034" s="12" customFormat="1" x14ac:dyDescent="0.25"/>
    <row r="275035" s="12" customFormat="1" x14ac:dyDescent="0.25"/>
    <row r="275036" s="12" customFormat="1" x14ac:dyDescent="0.25"/>
    <row r="275037" s="12" customFormat="1" x14ac:dyDescent="0.25"/>
    <row r="275038" s="12" customFormat="1" x14ac:dyDescent="0.25"/>
    <row r="275039" s="12" customFormat="1" x14ac:dyDescent="0.25"/>
    <row r="275040" s="12" customFormat="1" x14ac:dyDescent="0.25"/>
    <row r="275041" s="12" customFormat="1" x14ac:dyDescent="0.25"/>
    <row r="275042" s="12" customFormat="1" x14ac:dyDescent="0.25"/>
    <row r="275043" s="12" customFormat="1" x14ac:dyDescent="0.25"/>
    <row r="275044" s="12" customFormat="1" x14ac:dyDescent="0.25"/>
    <row r="275045" s="12" customFormat="1" x14ac:dyDescent="0.25"/>
    <row r="275046" s="12" customFormat="1" x14ac:dyDescent="0.25"/>
    <row r="275047" s="12" customFormat="1" x14ac:dyDescent="0.25"/>
    <row r="275048" s="12" customFormat="1" x14ac:dyDescent="0.25"/>
    <row r="275049" s="12" customFormat="1" x14ac:dyDescent="0.25"/>
    <row r="275050" s="12" customFormat="1" x14ac:dyDescent="0.25"/>
    <row r="275051" s="12" customFormat="1" x14ac:dyDescent="0.25"/>
    <row r="275052" s="12" customFormat="1" x14ac:dyDescent="0.25"/>
    <row r="275053" s="12" customFormat="1" x14ac:dyDescent="0.25"/>
    <row r="275054" s="12" customFormat="1" x14ac:dyDescent="0.25"/>
    <row r="275055" s="12" customFormat="1" x14ac:dyDescent="0.25"/>
    <row r="275056" s="12" customFormat="1" x14ac:dyDescent="0.25"/>
    <row r="275057" s="12" customFormat="1" x14ac:dyDescent="0.25"/>
    <row r="275058" s="12" customFormat="1" x14ac:dyDescent="0.25"/>
    <row r="275059" s="12" customFormat="1" x14ac:dyDescent="0.25"/>
    <row r="275060" s="12" customFormat="1" x14ac:dyDescent="0.25"/>
    <row r="275061" s="12" customFormat="1" x14ac:dyDescent="0.25"/>
    <row r="275062" s="12" customFormat="1" x14ac:dyDescent="0.25"/>
    <row r="275063" s="12" customFormat="1" x14ac:dyDescent="0.25"/>
    <row r="275064" s="12" customFormat="1" x14ac:dyDescent="0.25"/>
    <row r="275065" s="12" customFormat="1" x14ac:dyDescent="0.25"/>
    <row r="275066" s="12" customFormat="1" x14ac:dyDescent="0.25"/>
    <row r="275067" s="12" customFormat="1" x14ac:dyDescent="0.25"/>
    <row r="275068" s="12" customFormat="1" x14ac:dyDescent="0.25"/>
    <row r="275069" s="12" customFormat="1" x14ac:dyDescent="0.25"/>
    <row r="275070" s="12" customFormat="1" x14ac:dyDescent="0.25"/>
    <row r="275071" s="12" customFormat="1" x14ac:dyDescent="0.25"/>
    <row r="275072" s="12" customFormat="1" x14ac:dyDescent="0.25"/>
    <row r="275073" s="12" customFormat="1" x14ac:dyDescent="0.25"/>
    <row r="275074" s="12" customFormat="1" x14ac:dyDescent="0.25"/>
    <row r="275075" s="12" customFormat="1" x14ac:dyDescent="0.25"/>
    <row r="275076" s="12" customFormat="1" x14ac:dyDescent="0.25"/>
    <row r="275077" s="12" customFormat="1" x14ac:dyDescent="0.25"/>
    <row r="275078" s="12" customFormat="1" x14ac:dyDescent="0.25"/>
    <row r="275079" s="12" customFormat="1" x14ac:dyDescent="0.25"/>
    <row r="275080" s="12" customFormat="1" x14ac:dyDescent="0.25"/>
    <row r="275081" s="12" customFormat="1" x14ac:dyDescent="0.25"/>
    <row r="275082" s="12" customFormat="1" x14ac:dyDescent="0.25"/>
    <row r="275083" s="12" customFormat="1" x14ac:dyDescent="0.25"/>
    <row r="275084" s="12" customFormat="1" x14ac:dyDescent="0.25"/>
    <row r="275085" s="12" customFormat="1" x14ac:dyDescent="0.25"/>
    <row r="275086" s="12" customFormat="1" x14ac:dyDescent="0.25"/>
    <row r="275087" s="12" customFormat="1" x14ac:dyDescent="0.25"/>
    <row r="275088" s="12" customFormat="1" x14ac:dyDescent="0.25"/>
    <row r="275089" s="12" customFormat="1" x14ac:dyDescent="0.25"/>
    <row r="275090" s="12" customFormat="1" x14ac:dyDescent="0.25"/>
    <row r="275091" s="12" customFormat="1" x14ac:dyDescent="0.25"/>
    <row r="275092" s="12" customFormat="1" x14ac:dyDescent="0.25"/>
    <row r="275093" s="12" customFormat="1" x14ac:dyDescent="0.25"/>
    <row r="275094" s="12" customFormat="1" x14ac:dyDescent="0.25"/>
    <row r="275095" s="12" customFormat="1" x14ac:dyDescent="0.25"/>
    <row r="275096" s="12" customFormat="1" x14ac:dyDescent="0.25"/>
    <row r="275097" s="12" customFormat="1" x14ac:dyDescent="0.25"/>
    <row r="275098" s="12" customFormat="1" x14ac:dyDescent="0.25"/>
    <row r="275099" s="12" customFormat="1" x14ac:dyDescent="0.25"/>
    <row r="275100" s="12" customFormat="1" x14ac:dyDescent="0.25"/>
    <row r="275101" s="12" customFormat="1" x14ac:dyDescent="0.25"/>
    <row r="275102" s="12" customFormat="1" x14ac:dyDescent="0.25"/>
    <row r="275103" s="12" customFormat="1" x14ac:dyDescent="0.25"/>
    <row r="275104" s="12" customFormat="1" x14ac:dyDescent="0.25"/>
    <row r="275105" s="12" customFormat="1" x14ac:dyDescent="0.25"/>
    <row r="275106" s="12" customFormat="1" x14ac:dyDescent="0.25"/>
    <row r="275107" s="12" customFormat="1" x14ac:dyDescent="0.25"/>
    <row r="275108" s="12" customFormat="1" x14ac:dyDescent="0.25"/>
    <row r="275109" s="12" customFormat="1" x14ac:dyDescent="0.25"/>
    <row r="275110" s="12" customFormat="1" x14ac:dyDescent="0.25"/>
    <row r="275111" s="12" customFormat="1" x14ac:dyDescent="0.25"/>
    <row r="275112" s="12" customFormat="1" x14ac:dyDescent="0.25"/>
    <row r="275113" s="12" customFormat="1" x14ac:dyDescent="0.25"/>
    <row r="275114" s="12" customFormat="1" x14ac:dyDescent="0.25"/>
    <row r="275115" s="12" customFormat="1" x14ac:dyDescent="0.25"/>
    <row r="275116" s="12" customFormat="1" x14ac:dyDescent="0.25"/>
    <row r="275117" s="12" customFormat="1" x14ac:dyDescent="0.25"/>
    <row r="275118" s="12" customFormat="1" x14ac:dyDescent="0.25"/>
    <row r="275119" s="12" customFormat="1" x14ac:dyDescent="0.25"/>
    <row r="275120" s="12" customFormat="1" x14ac:dyDescent="0.25"/>
    <row r="275121" s="12" customFormat="1" x14ac:dyDescent="0.25"/>
    <row r="275122" s="12" customFormat="1" x14ac:dyDescent="0.25"/>
    <row r="275123" s="12" customFormat="1" x14ac:dyDescent="0.25"/>
    <row r="275124" s="12" customFormat="1" x14ac:dyDescent="0.25"/>
    <row r="275125" s="12" customFormat="1" x14ac:dyDescent="0.25"/>
    <row r="275126" s="12" customFormat="1" x14ac:dyDescent="0.25"/>
    <row r="275127" s="12" customFormat="1" x14ac:dyDescent="0.25"/>
    <row r="275128" s="12" customFormat="1" x14ac:dyDescent="0.25"/>
    <row r="275129" s="12" customFormat="1" x14ac:dyDescent="0.25"/>
    <row r="275130" s="12" customFormat="1" x14ac:dyDescent="0.25"/>
    <row r="275131" s="12" customFormat="1" x14ac:dyDescent="0.25"/>
    <row r="275132" s="12" customFormat="1" x14ac:dyDescent="0.25"/>
    <row r="275133" s="12" customFormat="1" x14ac:dyDescent="0.25"/>
    <row r="275134" s="12" customFormat="1" x14ac:dyDescent="0.25"/>
    <row r="275135" s="12" customFormat="1" x14ac:dyDescent="0.25"/>
    <row r="275136" s="12" customFormat="1" x14ac:dyDescent="0.25"/>
    <row r="275137" s="12" customFormat="1" x14ac:dyDescent="0.25"/>
    <row r="275138" s="12" customFormat="1" x14ac:dyDescent="0.25"/>
    <row r="275139" s="12" customFormat="1" x14ac:dyDescent="0.25"/>
    <row r="275140" s="12" customFormat="1" x14ac:dyDescent="0.25"/>
    <row r="275141" s="12" customFormat="1" x14ac:dyDescent="0.25"/>
    <row r="275142" s="12" customFormat="1" x14ac:dyDescent="0.25"/>
    <row r="275143" s="12" customFormat="1" x14ac:dyDescent="0.25"/>
    <row r="275144" s="12" customFormat="1" x14ac:dyDescent="0.25"/>
    <row r="275145" s="12" customFormat="1" x14ac:dyDescent="0.25"/>
    <row r="275146" s="12" customFormat="1" x14ac:dyDescent="0.25"/>
    <row r="275147" s="12" customFormat="1" x14ac:dyDescent="0.25"/>
    <row r="275148" s="12" customFormat="1" x14ac:dyDescent="0.25"/>
    <row r="275149" s="12" customFormat="1" x14ac:dyDescent="0.25"/>
    <row r="275150" s="12" customFormat="1" x14ac:dyDescent="0.25"/>
    <row r="275151" s="12" customFormat="1" x14ac:dyDescent="0.25"/>
    <row r="275152" s="12" customFormat="1" x14ac:dyDescent="0.25"/>
    <row r="275153" s="12" customFormat="1" x14ac:dyDescent="0.25"/>
    <row r="275154" s="12" customFormat="1" x14ac:dyDescent="0.25"/>
    <row r="275155" s="12" customFormat="1" x14ac:dyDescent="0.25"/>
    <row r="275156" s="12" customFormat="1" x14ac:dyDescent="0.25"/>
    <row r="275157" s="12" customFormat="1" x14ac:dyDescent="0.25"/>
    <row r="275158" s="12" customFormat="1" x14ac:dyDescent="0.25"/>
    <row r="275159" s="12" customFormat="1" x14ac:dyDescent="0.25"/>
    <row r="275160" s="12" customFormat="1" x14ac:dyDescent="0.25"/>
    <row r="275161" s="12" customFormat="1" x14ac:dyDescent="0.25"/>
    <row r="275162" s="12" customFormat="1" x14ac:dyDescent="0.25"/>
    <row r="275163" s="12" customFormat="1" x14ac:dyDescent="0.25"/>
    <row r="275164" s="12" customFormat="1" x14ac:dyDescent="0.25"/>
    <row r="275165" s="12" customFormat="1" x14ac:dyDescent="0.25"/>
    <row r="275166" s="12" customFormat="1" x14ac:dyDescent="0.25"/>
    <row r="275167" s="12" customFormat="1" x14ac:dyDescent="0.25"/>
    <row r="275168" s="12" customFormat="1" x14ac:dyDescent="0.25"/>
    <row r="275169" s="12" customFormat="1" x14ac:dyDescent="0.25"/>
    <row r="275170" s="12" customFormat="1" x14ac:dyDescent="0.25"/>
    <row r="275171" s="12" customFormat="1" x14ac:dyDescent="0.25"/>
    <row r="275172" s="12" customFormat="1" x14ac:dyDescent="0.25"/>
    <row r="275173" s="12" customFormat="1" x14ac:dyDescent="0.25"/>
    <row r="275174" s="12" customFormat="1" x14ac:dyDescent="0.25"/>
    <row r="275175" s="12" customFormat="1" x14ac:dyDescent="0.25"/>
    <row r="275176" s="12" customFormat="1" x14ac:dyDescent="0.25"/>
    <row r="275177" s="12" customFormat="1" x14ac:dyDescent="0.25"/>
    <row r="275178" s="12" customFormat="1" x14ac:dyDescent="0.25"/>
    <row r="275179" s="12" customFormat="1" x14ac:dyDescent="0.25"/>
    <row r="275180" s="12" customFormat="1" x14ac:dyDescent="0.25"/>
    <row r="275181" s="12" customFormat="1" x14ac:dyDescent="0.25"/>
    <row r="275182" s="12" customFormat="1" x14ac:dyDescent="0.25"/>
    <row r="275183" s="12" customFormat="1" x14ac:dyDescent="0.25"/>
    <row r="275184" s="12" customFormat="1" x14ac:dyDescent="0.25"/>
    <row r="275185" s="12" customFormat="1" x14ac:dyDescent="0.25"/>
    <row r="275186" s="12" customFormat="1" x14ac:dyDescent="0.25"/>
    <row r="275187" s="12" customFormat="1" x14ac:dyDescent="0.25"/>
    <row r="275188" s="12" customFormat="1" x14ac:dyDescent="0.25"/>
    <row r="275189" s="12" customFormat="1" x14ac:dyDescent="0.25"/>
    <row r="275190" s="12" customFormat="1" x14ac:dyDescent="0.25"/>
    <row r="275191" s="12" customFormat="1" x14ac:dyDescent="0.25"/>
    <row r="275192" s="12" customFormat="1" x14ac:dyDescent="0.25"/>
    <row r="275193" s="12" customFormat="1" x14ac:dyDescent="0.25"/>
    <row r="275194" s="12" customFormat="1" x14ac:dyDescent="0.25"/>
    <row r="275195" s="12" customFormat="1" x14ac:dyDescent="0.25"/>
    <row r="275196" s="12" customFormat="1" x14ac:dyDescent="0.25"/>
    <row r="275197" s="12" customFormat="1" x14ac:dyDescent="0.25"/>
    <row r="275198" s="12" customFormat="1" x14ac:dyDescent="0.25"/>
    <row r="275199" s="12" customFormat="1" x14ac:dyDescent="0.25"/>
    <row r="275200" s="12" customFormat="1" x14ac:dyDescent="0.25"/>
    <row r="275201" s="12" customFormat="1" x14ac:dyDescent="0.25"/>
    <row r="275202" s="12" customFormat="1" x14ac:dyDescent="0.25"/>
    <row r="275203" s="12" customFormat="1" x14ac:dyDescent="0.25"/>
    <row r="275204" s="12" customFormat="1" x14ac:dyDescent="0.25"/>
    <row r="275205" s="12" customFormat="1" x14ac:dyDescent="0.25"/>
    <row r="275206" s="12" customFormat="1" x14ac:dyDescent="0.25"/>
    <row r="275207" s="12" customFormat="1" x14ac:dyDescent="0.25"/>
    <row r="275208" s="12" customFormat="1" x14ac:dyDescent="0.25"/>
    <row r="275209" s="12" customFormat="1" x14ac:dyDescent="0.25"/>
    <row r="275210" s="12" customFormat="1" x14ac:dyDescent="0.25"/>
    <row r="275211" s="12" customFormat="1" x14ac:dyDescent="0.25"/>
    <row r="275212" s="12" customFormat="1" x14ac:dyDescent="0.25"/>
    <row r="275213" s="12" customFormat="1" x14ac:dyDescent="0.25"/>
    <row r="275214" s="12" customFormat="1" x14ac:dyDescent="0.25"/>
    <row r="275215" s="12" customFormat="1" x14ac:dyDescent="0.25"/>
    <row r="275216" s="12" customFormat="1" x14ac:dyDescent="0.25"/>
    <row r="275217" s="12" customFormat="1" x14ac:dyDescent="0.25"/>
    <row r="275218" s="12" customFormat="1" x14ac:dyDescent="0.25"/>
    <row r="275219" s="12" customFormat="1" x14ac:dyDescent="0.25"/>
    <row r="275220" s="12" customFormat="1" x14ac:dyDescent="0.25"/>
    <row r="275221" s="12" customFormat="1" x14ac:dyDescent="0.25"/>
    <row r="275222" s="12" customFormat="1" x14ac:dyDescent="0.25"/>
    <row r="275223" s="12" customFormat="1" x14ac:dyDescent="0.25"/>
    <row r="275224" s="12" customFormat="1" x14ac:dyDescent="0.25"/>
    <row r="275225" s="12" customFormat="1" x14ac:dyDescent="0.25"/>
    <row r="275226" s="12" customFormat="1" x14ac:dyDescent="0.25"/>
    <row r="275227" s="12" customFormat="1" x14ac:dyDescent="0.25"/>
    <row r="275228" s="12" customFormat="1" x14ac:dyDescent="0.25"/>
    <row r="275229" s="12" customFormat="1" x14ac:dyDescent="0.25"/>
    <row r="275230" s="12" customFormat="1" x14ac:dyDescent="0.25"/>
    <row r="275231" s="12" customFormat="1" x14ac:dyDescent="0.25"/>
    <row r="275232" s="12" customFormat="1" x14ac:dyDescent="0.25"/>
    <row r="275233" s="12" customFormat="1" x14ac:dyDescent="0.25"/>
    <row r="275234" s="12" customFormat="1" x14ac:dyDescent="0.25"/>
    <row r="275235" s="12" customFormat="1" x14ac:dyDescent="0.25"/>
    <row r="275236" s="12" customFormat="1" x14ac:dyDescent="0.25"/>
    <row r="275237" s="12" customFormat="1" x14ac:dyDescent="0.25"/>
    <row r="275238" s="12" customFormat="1" x14ac:dyDescent="0.25"/>
    <row r="275239" s="12" customFormat="1" x14ac:dyDescent="0.25"/>
    <row r="275240" s="12" customFormat="1" x14ac:dyDescent="0.25"/>
    <row r="275241" s="12" customFormat="1" x14ac:dyDescent="0.25"/>
    <row r="275242" s="12" customFormat="1" x14ac:dyDescent="0.25"/>
    <row r="275243" s="12" customFormat="1" x14ac:dyDescent="0.25"/>
    <row r="275244" s="12" customFormat="1" x14ac:dyDescent="0.25"/>
    <row r="275245" s="12" customFormat="1" x14ac:dyDescent="0.25"/>
    <row r="275246" s="12" customFormat="1" x14ac:dyDescent="0.25"/>
    <row r="275247" s="12" customFormat="1" x14ac:dyDescent="0.25"/>
    <row r="275248" s="12" customFormat="1" x14ac:dyDescent="0.25"/>
    <row r="275249" s="12" customFormat="1" x14ac:dyDescent="0.25"/>
    <row r="275250" s="12" customFormat="1" x14ac:dyDescent="0.25"/>
    <row r="275251" s="12" customFormat="1" x14ac:dyDescent="0.25"/>
    <row r="275252" s="12" customFormat="1" x14ac:dyDescent="0.25"/>
    <row r="275253" s="12" customFormat="1" x14ac:dyDescent="0.25"/>
    <row r="275254" s="12" customFormat="1" x14ac:dyDescent="0.25"/>
    <row r="275255" s="12" customFormat="1" x14ac:dyDescent="0.25"/>
    <row r="275256" s="12" customFormat="1" x14ac:dyDescent="0.25"/>
    <row r="275257" s="12" customFormat="1" x14ac:dyDescent="0.25"/>
    <row r="275258" s="12" customFormat="1" x14ac:dyDescent="0.25"/>
    <row r="275259" s="12" customFormat="1" x14ac:dyDescent="0.25"/>
    <row r="275260" s="12" customFormat="1" x14ac:dyDescent="0.25"/>
    <row r="275261" s="12" customFormat="1" x14ac:dyDescent="0.25"/>
    <row r="275262" s="12" customFormat="1" x14ac:dyDescent="0.25"/>
    <row r="275263" s="12" customFormat="1" x14ac:dyDescent="0.25"/>
    <row r="275264" s="12" customFormat="1" x14ac:dyDescent="0.25"/>
    <row r="275265" s="12" customFormat="1" x14ac:dyDescent="0.25"/>
    <row r="275266" s="12" customFormat="1" x14ac:dyDescent="0.25"/>
    <row r="275267" s="12" customFormat="1" x14ac:dyDescent="0.25"/>
    <row r="275268" s="12" customFormat="1" x14ac:dyDescent="0.25"/>
    <row r="275269" s="12" customFormat="1" x14ac:dyDescent="0.25"/>
    <row r="275270" s="12" customFormat="1" x14ac:dyDescent="0.25"/>
    <row r="275271" s="12" customFormat="1" x14ac:dyDescent="0.25"/>
    <row r="275272" s="12" customFormat="1" x14ac:dyDescent="0.25"/>
    <row r="275273" s="12" customFormat="1" x14ac:dyDescent="0.25"/>
    <row r="275274" s="12" customFormat="1" x14ac:dyDescent="0.25"/>
    <row r="275275" s="12" customFormat="1" x14ac:dyDescent="0.25"/>
    <row r="275276" s="12" customFormat="1" x14ac:dyDescent="0.25"/>
    <row r="275277" s="12" customFormat="1" x14ac:dyDescent="0.25"/>
    <row r="275278" s="12" customFormat="1" x14ac:dyDescent="0.25"/>
    <row r="275279" s="12" customFormat="1" x14ac:dyDescent="0.25"/>
    <row r="275280" s="12" customFormat="1" x14ac:dyDescent="0.25"/>
    <row r="275281" s="12" customFormat="1" x14ac:dyDescent="0.25"/>
    <row r="275282" s="12" customFormat="1" x14ac:dyDescent="0.25"/>
    <row r="275283" s="12" customFormat="1" x14ac:dyDescent="0.25"/>
    <row r="275284" s="12" customFormat="1" x14ac:dyDescent="0.25"/>
    <row r="275285" s="12" customFormat="1" x14ac:dyDescent="0.25"/>
    <row r="275286" s="12" customFormat="1" x14ac:dyDescent="0.25"/>
    <row r="275287" s="12" customFormat="1" x14ac:dyDescent="0.25"/>
    <row r="275288" s="12" customFormat="1" x14ac:dyDescent="0.25"/>
    <row r="275289" s="12" customFormat="1" x14ac:dyDescent="0.25"/>
    <row r="275290" s="12" customFormat="1" x14ac:dyDescent="0.25"/>
    <row r="275291" s="12" customFormat="1" x14ac:dyDescent="0.25"/>
    <row r="275292" s="12" customFormat="1" x14ac:dyDescent="0.25"/>
    <row r="275293" s="12" customFormat="1" x14ac:dyDescent="0.25"/>
    <row r="275294" s="12" customFormat="1" x14ac:dyDescent="0.25"/>
    <row r="275295" s="12" customFormat="1" x14ac:dyDescent="0.25"/>
    <row r="275296" s="12" customFormat="1" x14ac:dyDescent="0.25"/>
    <row r="275297" s="12" customFormat="1" x14ac:dyDescent="0.25"/>
    <row r="275298" s="12" customFormat="1" x14ac:dyDescent="0.25"/>
    <row r="275299" s="12" customFormat="1" x14ac:dyDescent="0.25"/>
    <row r="275300" s="12" customFormat="1" x14ac:dyDescent="0.25"/>
    <row r="275301" s="12" customFormat="1" x14ac:dyDescent="0.25"/>
    <row r="275302" s="12" customFormat="1" x14ac:dyDescent="0.25"/>
    <row r="275303" s="12" customFormat="1" x14ac:dyDescent="0.25"/>
    <row r="275304" s="12" customFormat="1" x14ac:dyDescent="0.25"/>
    <row r="275305" s="12" customFormat="1" x14ac:dyDescent="0.25"/>
    <row r="275306" s="12" customFormat="1" x14ac:dyDescent="0.25"/>
    <row r="275307" s="12" customFormat="1" x14ac:dyDescent="0.25"/>
    <row r="275308" s="12" customFormat="1" x14ac:dyDescent="0.25"/>
    <row r="275309" s="12" customFormat="1" x14ac:dyDescent="0.25"/>
    <row r="275310" s="12" customFormat="1" x14ac:dyDescent="0.25"/>
    <row r="275311" s="12" customFormat="1" x14ac:dyDescent="0.25"/>
    <row r="275312" s="12" customFormat="1" x14ac:dyDescent="0.25"/>
    <row r="275313" s="12" customFormat="1" x14ac:dyDescent="0.25"/>
    <row r="275314" s="12" customFormat="1" x14ac:dyDescent="0.25"/>
    <row r="275315" s="12" customFormat="1" x14ac:dyDescent="0.25"/>
    <row r="275316" s="12" customFormat="1" x14ac:dyDescent="0.25"/>
    <row r="275317" s="12" customFormat="1" x14ac:dyDescent="0.25"/>
    <row r="275318" s="12" customFormat="1" x14ac:dyDescent="0.25"/>
    <row r="275319" s="12" customFormat="1" x14ac:dyDescent="0.25"/>
    <row r="275320" s="12" customFormat="1" x14ac:dyDescent="0.25"/>
    <row r="275321" s="12" customFormat="1" x14ac:dyDescent="0.25"/>
    <row r="275322" s="12" customFormat="1" x14ac:dyDescent="0.25"/>
    <row r="275323" s="12" customFormat="1" x14ac:dyDescent="0.25"/>
    <row r="275324" s="12" customFormat="1" x14ac:dyDescent="0.25"/>
    <row r="275325" s="12" customFormat="1" x14ac:dyDescent="0.25"/>
    <row r="275326" s="12" customFormat="1" x14ac:dyDescent="0.25"/>
    <row r="275327" s="12" customFormat="1" x14ac:dyDescent="0.25"/>
    <row r="275328" s="12" customFormat="1" x14ac:dyDescent="0.25"/>
    <row r="275329" s="12" customFormat="1" x14ac:dyDescent="0.25"/>
    <row r="275330" s="12" customFormat="1" x14ac:dyDescent="0.25"/>
    <row r="275331" s="12" customFormat="1" x14ac:dyDescent="0.25"/>
    <row r="275332" s="12" customFormat="1" x14ac:dyDescent="0.25"/>
    <row r="275333" s="12" customFormat="1" x14ac:dyDescent="0.25"/>
    <row r="275334" s="12" customFormat="1" x14ac:dyDescent="0.25"/>
    <row r="275335" s="12" customFormat="1" x14ac:dyDescent="0.25"/>
    <row r="275336" s="12" customFormat="1" x14ac:dyDescent="0.25"/>
    <row r="275337" s="12" customFormat="1" x14ac:dyDescent="0.25"/>
    <row r="275338" s="12" customFormat="1" x14ac:dyDescent="0.25"/>
    <row r="275339" s="12" customFormat="1" x14ac:dyDescent="0.25"/>
    <row r="275340" s="12" customFormat="1" x14ac:dyDescent="0.25"/>
    <row r="275341" s="12" customFormat="1" x14ac:dyDescent="0.25"/>
    <row r="275342" s="12" customFormat="1" x14ac:dyDescent="0.25"/>
    <row r="275343" s="12" customFormat="1" x14ac:dyDescent="0.25"/>
    <row r="275344" s="12" customFormat="1" x14ac:dyDescent="0.25"/>
    <row r="275345" s="12" customFormat="1" x14ac:dyDescent="0.25"/>
    <row r="275346" s="12" customFormat="1" x14ac:dyDescent="0.25"/>
    <row r="275347" s="12" customFormat="1" x14ac:dyDescent="0.25"/>
    <row r="275348" s="12" customFormat="1" x14ac:dyDescent="0.25"/>
    <row r="275349" s="12" customFormat="1" x14ac:dyDescent="0.25"/>
    <row r="275350" s="12" customFormat="1" x14ac:dyDescent="0.25"/>
    <row r="275351" s="12" customFormat="1" x14ac:dyDescent="0.25"/>
    <row r="275352" s="12" customFormat="1" x14ac:dyDescent="0.25"/>
    <row r="275353" s="12" customFormat="1" x14ac:dyDescent="0.25"/>
    <row r="275354" s="12" customFormat="1" x14ac:dyDescent="0.25"/>
    <row r="275355" s="12" customFormat="1" x14ac:dyDescent="0.25"/>
    <row r="275356" s="12" customFormat="1" x14ac:dyDescent="0.25"/>
    <row r="275357" s="12" customFormat="1" x14ac:dyDescent="0.25"/>
    <row r="275358" s="12" customFormat="1" x14ac:dyDescent="0.25"/>
    <row r="275359" s="12" customFormat="1" x14ac:dyDescent="0.25"/>
    <row r="275360" s="12" customFormat="1" x14ac:dyDescent="0.25"/>
    <row r="275361" s="12" customFormat="1" x14ac:dyDescent="0.25"/>
    <row r="275362" s="12" customFormat="1" x14ac:dyDescent="0.25"/>
    <row r="275363" s="12" customFormat="1" x14ac:dyDescent="0.25"/>
    <row r="275364" s="12" customFormat="1" x14ac:dyDescent="0.25"/>
    <row r="275365" s="12" customFormat="1" x14ac:dyDescent="0.25"/>
    <row r="275366" s="12" customFormat="1" x14ac:dyDescent="0.25"/>
    <row r="275367" s="12" customFormat="1" x14ac:dyDescent="0.25"/>
    <row r="275368" s="12" customFormat="1" x14ac:dyDescent="0.25"/>
    <row r="275369" s="12" customFormat="1" x14ac:dyDescent="0.25"/>
    <row r="275370" s="12" customFormat="1" x14ac:dyDescent="0.25"/>
    <row r="275371" s="12" customFormat="1" x14ac:dyDescent="0.25"/>
    <row r="275372" s="12" customFormat="1" x14ac:dyDescent="0.25"/>
    <row r="275373" s="12" customFormat="1" x14ac:dyDescent="0.25"/>
    <row r="275374" s="12" customFormat="1" x14ac:dyDescent="0.25"/>
    <row r="275375" s="12" customFormat="1" x14ac:dyDescent="0.25"/>
    <row r="275376" s="12" customFormat="1" x14ac:dyDescent="0.25"/>
    <row r="275377" s="12" customFormat="1" x14ac:dyDescent="0.25"/>
    <row r="275378" s="12" customFormat="1" x14ac:dyDescent="0.25"/>
    <row r="275379" s="12" customFormat="1" x14ac:dyDescent="0.25"/>
    <row r="275380" s="12" customFormat="1" x14ac:dyDescent="0.25"/>
    <row r="275381" s="12" customFormat="1" x14ac:dyDescent="0.25"/>
    <row r="275382" s="12" customFormat="1" x14ac:dyDescent="0.25"/>
    <row r="275383" s="12" customFormat="1" x14ac:dyDescent="0.25"/>
    <row r="275384" s="12" customFormat="1" x14ac:dyDescent="0.25"/>
    <row r="275385" s="12" customFormat="1" x14ac:dyDescent="0.25"/>
    <row r="275386" s="12" customFormat="1" x14ac:dyDescent="0.25"/>
    <row r="275387" s="12" customFormat="1" x14ac:dyDescent="0.25"/>
    <row r="275388" s="12" customFormat="1" x14ac:dyDescent="0.25"/>
    <row r="275389" s="12" customFormat="1" x14ac:dyDescent="0.25"/>
    <row r="275390" s="12" customFormat="1" x14ac:dyDescent="0.25"/>
    <row r="275391" s="12" customFormat="1" x14ac:dyDescent="0.25"/>
    <row r="275392" s="12" customFormat="1" x14ac:dyDescent="0.25"/>
    <row r="275393" s="12" customFormat="1" x14ac:dyDescent="0.25"/>
    <row r="275394" s="12" customFormat="1" x14ac:dyDescent="0.25"/>
    <row r="275395" s="12" customFormat="1" x14ac:dyDescent="0.25"/>
    <row r="275396" s="12" customFormat="1" x14ac:dyDescent="0.25"/>
    <row r="275397" s="12" customFormat="1" x14ac:dyDescent="0.25"/>
    <row r="275398" s="12" customFormat="1" x14ac:dyDescent="0.25"/>
    <row r="275399" s="12" customFormat="1" x14ac:dyDescent="0.25"/>
    <row r="275400" s="12" customFormat="1" x14ac:dyDescent="0.25"/>
    <row r="275401" s="12" customFormat="1" x14ac:dyDescent="0.25"/>
    <row r="275402" s="12" customFormat="1" x14ac:dyDescent="0.25"/>
    <row r="275403" s="12" customFormat="1" x14ac:dyDescent="0.25"/>
    <row r="275404" s="12" customFormat="1" x14ac:dyDescent="0.25"/>
    <row r="275405" s="12" customFormat="1" x14ac:dyDescent="0.25"/>
    <row r="275406" s="12" customFormat="1" x14ac:dyDescent="0.25"/>
    <row r="275407" s="12" customFormat="1" x14ac:dyDescent="0.25"/>
    <row r="275408" s="12" customFormat="1" x14ac:dyDescent="0.25"/>
    <row r="275409" s="12" customFormat="1" x14ac:dyDescent="0.25"/>
    <row r="275410" s="12" customFormat="1" x14ac:dyDescent="0.25"/>
    <row r="275411" s="12" customFormat="1" x14ac:dyDescent="0.25"/>
    <row r="275412" s="12" customFormat="1" x14ac:dyDescent="0.25"/>
    <row r="275413" s="12" customFormat="1" x14ac:dyDescent="0.25"/>
    <row r="275414" s="12" customFormat="1" x14ac:dyDescent="0.25"/>
    <row r="275415" s="12" customFormat="1" x14ac:dyDescent="0.25"/>
    <row r="275416" s="12" customFormat="1" x14ac:dyDescent="0.25"/>
    <row r="275417" s="12" customFormat="1" x14ac:dyDescent="0.25"/>
    <row r="275418" s="12" customFormat="1" x14ac:dyDescent="0.25"/>
    <row r="275419" s="12" customFormat="1" x14ac:dyDescent="0.25"/>
    <row r="275420" s="12" customFormat="1" x14ac:dyDescent="0.25"/>
    <row r="275421" s="12" customFormat="1" x14ac:dyDescent="0.25"/>
    <row r="275422" s="12" customFormat="1" x14ac:dyDescent="0.25"/>
    <row r="275423" s="12" customFormat="1" x14ac:dyDescent="0.25"/>
    <row r="275424" s="12" customFormat="1" x14ac:dyDescent="0.25"/>
    <row r="275425" s="12" customFormat="1" x14ac:dyDescent="0.25"/>
    <row r="275426" s="12" customFormat="1" x14ac:dyDescent="0.25"/>
    <row r="275427" s="12" customFormat="1" x14ac:dyDescent="0.25"/>
    <row r="275428" s="12" customFormat="1" x14ac:dyDescent="0.25"/>
    <row r="275429" s="12" customFormat="1" x14ac:dyDescent="0.25"/>
    <row r="275430" s="12" customFormat="1" x14ac:dyDescent="0.25"/>
    <row r="275431" s="12" customFormat="1" x14ac:dyDescent="0.25"/>
    <row r="275432" s="12" customFormat="1" x14ac:dyDescent="0.25"/>
    <row r="275433" s="12" customFormat="1" x14ac:dyDescent="0.25"/>
    <row r="275434" s="12" customFormat="1" x14ac:dyDescent="0.25"/>
    <row r="275435" s="12" customFormat="1" x14ac:dyDescent="0.25"/>
    <row r="275436" s="12" customFormat="1" x14ac:dyDescent="0.25"/>
    <row r="275437" s="12" customFormat="1" x14ac:dyDescent="0.25"/>
    <row r="275438" s="12" customFormat="1" x14ac:dyDescent="0.25"/>
    <row r="275439" s="12" customFormat="1" x14ac:dyDescent="0.25"/>
    <row r="275440" s="12" customFormat="1" x14ac:dyDescent="0.25"/>
    <row r="275441" s="12" customFormat="1" x14ac:dyDescent="0.25"/>
    <row r="275442" s="12" customFormat="1" x14ac:dyDescent="0.25"/>
    <row r="275443" s="12" customFormat="1" x14ac:dyDescent="0.25"/>
    <row r="275444" s="12" customFormat="1" x14ac:dyDescent="0.25"/>
    <row r="275445" s="12" customFormat="1" x14ac:dyDescent="0.25"/>
    <row r="275446" s="12" customFormat="1" x14ac:dyDescent="0.25"/>
    <row r="275447" s="12" customFormat="1" x14ac:dyDescent="0.25"/>
    <row r="275448" s="12" customFormat="1" x14ac:dyDescent="0.25"/>
    <row r="275449" s="12" customFormat="1" x14ac:dyDescent="0.25"/>
    <row r="275450" s="12" customFormat="1" x14ac:dyDescent="0.25"/>
    <row r="275451" s="12" customFormat="1" x14ac:dyDescent="0.25"/>
    <row r="275452" s="12" customFormat="1" x14ac:dyDescent="0.25"/>
    <row r="275453" s="12" customFormat="1" x14ac:dyDescent="0.25"/>
    <row r="275454" s="12" customFormat="1" x14ac:dyDescent="0.25"/>
    <row r="275455" s="12" customFormat="1" x14ac:dyDescent="0.25"/>
    <row r="275456" s="12" customFormat="1" x14ac:dyDescent="0.25"/>
    <row r="275457" s="12" customFormat="1" x14ac:dyDescent="0.25"/>
    <row r="275458" s="12" customFormat="1" x14ac:dyDescent="0.25"/>
    <row r="275459" s="12" customFormat="1" x14ac:dyDescent="0.25"/>
    <row r="275460" s="12" customFormat="1" x14ac:dyDescent="0.25"/>
    <row r="275461" s="12" customFormat="1" x14ac:dyDescent="0.25"/>
    <row r="275462" s="12" customFormat="1" x14ac:dyDescent="0.25"/>
    <row r="275463" s="12" customFormat="1" x14ac:dyDescent="0.25"/>
    <row r="275464" s="12" customFormat="1" x14ac:dyDescent="0.25"/>
    <row r="275465" s="12" customFormat="1" x14ac:dyDescent="0.25"/>
    <row r="275466" s="12" customFormat="1" x14ac:dyDescent="0.25"/>
    <row r="275467" s="12" customFormat="1" x14ac:dyDescent="0.25"/>
    <row r="275468" s="12" customFormat="1" x14ac:dyDescent="0.25"/>
    <row r="275469" s="12" customFormat="1" x14ac:dyDescent="0.25"/>
    <row r="275470" s="12" customFormat="1" x14ac:dyDescent="0.25"/>
    <row r="275471" s="12" customFormat="1" x14ac:dyDescent="0.25"/>
    <row r="275472" s="12" customFormat="1" x14ac:dyDescent="0.25"/>
    <row r="275473" s="12" customFormat="1" x14ac:dyDescent="0.25"/>
    <row r="275474" s="12" customFormat="1" x14ac:dyDescent="0.25"/>
    <row r="275475" s="12" customFormat="1" x14ac:dyDescent="0.25"/>
    <row r="275476" s="12" customFormat="1" x14ac:dyDescent="0.25"/>
    <row r="275477" s="12" customFormat="1" x14ac:dyDescent="0.25"/>
    <row r="275478" s="12" customFormat="1" x14ac:dyDescent="0.25"/>
    <row r="275479" s="12" customFormat="1" x14ac:dyDescent="0.25"/>
    <row r="275480" s="12" customFormat="1" x14ac:dyDescent="0.25"/>
    <row r="275481" s="12" customFormat="1" x14ac:dyDescent="0.25"/>
    <row r="275482" s="12" customFormat="1" x14ac:dyDescent="0.25"/>
    <row r="275483" s="12" customFormat="1" x14ac:dyDescent="0.25"/>
    <row r="275484" s="12" customFormat="1" x14ac:dyDescent="0.25"/>
    <row r="275485" s="12" customFormat="1" x14ac:dyDescent="0.25"/>
    <row r="275486" s="12" customFormat="1" x14ac:dyDescent="0.25"/>
    <row r="275487" s="12" customFormat="1" x14ac:dyDescent="0.25"/>
    <row r="275488" s="12" customFormat="1" x14ac:dyDescent="0.25"/>
    <row r="275489" s="12" customFormat="1" x14ac:dyDescent="0.25"/>
    <row r="275490" s="12" customFormat="1" x14ac:dyDescent="0.25"/>
    <row r="275491" s="12" customFormat="1" x14ac:dyDescent="0.25"/>
    <row r="275492" s="12" customFormat="1" x14ac:dyDescent="0.25"/>
    <row r="275493" s="12" customFormat="1" x14ac:dyDescent="0.25"/>
    <row r="275494" s="12" customFormat="1" x14ac:dyDescent="0.25"/>
    <row r="275495" s="12" customFormat="1" x14ac:dyDescent="0.25"/>
    <row r="275496" s="12" customFormat="1" x14ac:dyDescent="0.25"/>
    <row r="275497" s="12" customFormat="1" x14ac:dyDescent="0.25"/>
    <row r="275498" s="12" customFormat="1" x14ac:dyDescent="0.25"/>
    <row r="275499" s="12" customFormat="1" x14ac:dyDescent="0.25"/>
    <row r="275500" s="12" customFormat="1" x14ac:dyDescent="0.25"/>
    <row r="275501" s="12" customFormat="1" x14ac:dyDescent="0.25"/>
    <row r="275502" s="12" customFormat="1" x14ac:dyDescent="0.25"/>
    <row r="275503" s="12" customFormat="1" x14ac:dyDescent="0.25"/>
    <row r="275504" s="12" customFormat="1" x14ac:dyDescent="0.25"/>
    <row r="275505" s="12" customFormat="1" x14ac:dyDescent="0.25"/>
    <row r="275506" s="12" customFormat="1" x14ac:dyDescent="0.25"/>
    <row r="275507" s="12" customFormat="1" x14ac:dyDescent="0.25"/>
    <row r="275508" s="12" customFormat="1" x14ac:dyDescent="0.25"/>
    <row r="275509" s="12" customFormat="1" x14ac:dyDescent="0.25"/>
    <row r="275510" s="12" customFormat="1" x14ac:dyDescent="0.25"/>
    <row r="275511" s="12" customFormat="1" x14ac:dyDescent="0.25"/>
    <row r="275512" s="12" customFormat="1" x14ac:dyDescent="0.25"/>
    <row r="275513" s="12" customFormat="1" x14ac:dyDescent="0.25"/>
    <row r="275514" s="12" customFormat="1" x14ac:dyDescent="0.25"/>
    <row r="275515" s="12" customFormat="1" x14ac:dyDescent="0.25"/>
    <row r="275516" s="12" customFormat="1" x14ac:dyDescent="0.25"/>
    <row r="275517" s="12" customFormat="1" x14ac:dyDescent="0.25"/>
    <row r="275518" s="12" customFormat="1" x14ac:dyDescent="0.25"/>
    <row r="275519" s="12" customFormat="1" x14ac:dyDescent="0.25"/>
    <row r="275520" s="12" customFormat="1" x14ac:dyDescent="0.25"/>
    <row r="275521" s="12" customFormat="1" x14ac:dyDescent="0.25"/>
    <row r="275522" s="12" customFormat="1" x14ac:dyDescent="0.25"/>
    <row r="275523" s="12" customFormat="1" x14ac:dyDescent="0.25"/>
    <row r="275524" s="12" customFormat="1" x14ac:dyDescent="0.25"/>
    <row r="275525" s="12" customFormat="1" x14ac:dyDescent="0.25"/>
    <row r="275526" s="12" customFormat="1" x14ac:dyDescent="0.25"/>
    <row r="275527" s="12" customFormat="1" x14ac:dyDescent="0.25"/>
    <row r="275528" s="12" customFormat="1" x14ac:dyDescent="0.25"/>
    <row r="275529" s="12" customFormat="1" x14ac:dyDescent="0.25"/>
    <row r="275530" s="12" customFormat="1" x14ac:dyDescent="0.25"/>
    <row r="275531" s="12" customFormat="1" x14ac:dyDescent="0.25"/>
    <row r="275532" s="12" customFormat="1" x14ac:dyDescent="0.25"/>
    <row r="275533" s="12" customFormat="1" x14ac:dyDescent="0.25"/>
    <row r="275534" s="12" customFormat="1" x14ac:dyDescent="0.25"/>
    <row r="275535" s="12" customFormat="1" x14ac:dyDescent="0.25"/>
    <row r="275536" s="12" customFormat="1" x14ac:dyDescent="0.25"/>
    <row r="275537" s="12" customFormat="1" x14ac:dyDescent="0.25"/>
    <row r="275538" s="12" customFormat="1" x14ac:dyDescent="0.25"/>
    <row r="275539" s="12" customFormat="1" x14ac:dyDescent="0.25"/>
    <row r="275540" s="12" customFormat="1" x14ac:dyDescent="0.25"/>
    <row r="275541" s="12" customFormat="1" x14ac:dyDescent="0.25"/>
    <row r="275542" s="12" customFormat="1" x14ac:dyDescent="0.25"/>
    <row r="275543" s="12" customFormat="1" x14ac:dyDescent="0.25"/>
    <row r="275544" s="12" customFormat="1" x14ac:dyDescent="0.25"/>
    <row r="275545" s="12" customFormat="1" x14ac:dyDescent="0.25"/>
    <row r="275546" s="12" customFormat="1" x14ac:dyDescent="0.25"/>
    <row r="275547" s="12" customFormat="1" x14ac:dyDescent="0.25"/>
    <row r="275548" s="12" customFormat="1" x14ac:dyDescent="0.25"/>
    <row r="275549" s="12" customFormat="1" x14ac:dyDescent="0.25"/>
    <row r="275550" s="12" customFormat="1" x14ac:dyDescent="0.25"/>
    <row r="275551" s="12" customFormat="1" x14ac:dyDescent="0.25"/>
    <row r="275552" s="12" customFormat="1" x14ac:dyDescent="0.25"/>
    <row r="275553" s="12" customFormat="1" x14ac:dyDescent="0.25"/>
    <row r="275554" s="12" customFormat="1" x14ac:dyDescent="0.25"/>
    <row r="275555" s="12" customFormat="1" x14ac:dyDescent="0.25"/>
    <row r="275556" s="12" customFormat="1" x14ac:dyDescent="0.25"/>
    <row r="275557" s="12" customFormat="1" x14ac:dyDescent="0.25"/>
    <row r="275558" s="12" customFormat="1" x14ac:dyDescent="0.25"/>
    <row r="275559" s="12" customFormat="1" x14ac:dyDescent="0.25"/>
    <row r="275560" s="12" customFormat="1" x14ac:dyDescent="0.25"/>
    <row r="275561" s="12" customFormat="1" x14ac:dyDescent="0.25"/>
    <row r="275562" s="12" customFormat="1" x14ac:dyDescent="0.25"/>
    <row r="275563" s="12" customFormat="1" x14ac:dyDescent="0.25"/>
    <row r="275564" s="12" customFormat="1" x14ac:dyDescent="0.25"/>
    <row r="275565" s="12" customFormat="1" x14ac:dyDescent="0.25"/>
    <row r="275566" s="12" customFormat="1" x14ac:dyDescent="0.25"/>
    <row r="275567" s="12" customFormat="1" x14ac:dyDescent="0.25"/>
    <row r="275568" s="12" customFormat="1" x14ac:dyDescent="0.25"/>
    <row r="275569" s="12" customFormat="1" x14ac:dyDescent="0.25"/>
    <row r="275570" s="12" customFormat="1" x14ac:dyDescent="0.25"/>
    <row r="275571" s="12" customFormat="1" x14ac:dyDescent="0.25"/>
    <row r="275572" s="12" customFormat="1" x14ac:dyDescent="0.25"/>
    <row r="275573" s="12" customFormat="1" x14ac:dyDescent="0.25"/>
    <row r="275574" s="12" customFormat="1" x14ac:dyDescent="0.25"/>
    <row r="275575" s="12" customFormat="1" x14ac:dyDescent="0.25"/>
    <row r="275576" s="12" customFormat="1" x14ac:dyDescent="0.25"/>
    <row r="275577" s="12" customFormat="1" x14ac:dyDescent="0.25"/>
    <row r="275578" s="12" customFormat="1" x14ac:dyDescent="0.25"/>
    <row r="275579" s="12" customFormat="1" x14ac:dyDescent="0.25"/>
    <row r="275580" s="12" customFormat="1" x14ac:dyDescent="0.25"/>
    <row r="275581" s="12" customFormat="1" x14ac:dyDescent="0.25"/>
    <row r="275582" s="12" customFormat="1" x14ac:dyDescent="0.25"/>
    <row r="275583" s="12" customFormat="1" x14ac:dyDescent="0.25"/>
    <row r="275584" s="12" customFormat="1" x14ac:dyDescent="0.25"/>
    <row r="275585" s="12" customFormat="1" x14ac:dyDescent="0.25"/>
    <row r="275586" s="12" customFormat="1" x14ac:dyDescent="0.25"/>
    <row r="275587" s="12" customFormat="1" x14ac:dyDescent="0.25"/>
    <row r="275588" s="12" customFormat="1" x14ac:dyDescent="0.25"/>
    <row r="275589" s="12" customFormat="1" x14ac:dyDescent="0.25"/>
    <row r="275590" s="12" customFormat="1" x14ac:dyDescent="0.25"/>
    <row r="275591" s="12" customFormat="1" x14ac:dyDescent="0.25"/>
    <row r="275592" s="12" customFormat="1" x14ac:dyDescent="0.25"/>
    <row r="275593" s="12" customFormat="1" x14ac:dyDescent="0.25"/>
    <row r="275594" s="12" customFormat="1" x14ac:dyDescent="0.25"/>
    <row r="275595" s="12" customFormat="1" x14ac:dyDescent="0.25"/>
    <row r="275596" s="12" customFormat="1" x14ac:dyDescent="0.25"/>
    <row r="275597" s="12" customFormat="1" x14ac:dyDescent="0.25"/>
    <row r="275598" s="12" customFormat="1" x14ac:dyDescent="0.25"/>
    <row r="275599" s="12" customFormat="1" x14ac:dyDescent="0.25"/>
    <row r="275600" s="12" customFormat="1" x14ac:dyDescent="0.25"/>
    <row r="275601" s="12" customFormat="1" x14ac:dyDescent="0.25"/>
    <row r="275602" s="12" customFormat="1" x14ac:dyDescent="0.25"/>
    <row r="275603" s="12" customFormat="1" x14ac:dyDescent="0.25"/>
    <row r="275604" s="12" customFormat="1" x14ac:dyDescent="0.25"/>
    <row r="275605" s="12" customFormat="1" x14ac:dyDescent="0.25"/>
    <row r="275606" s="12" customFormat="1" x14ac:dyDescent="0.25"/>
    <row r="275607" s="12" customFormat="1" x14ac:dyDescent="0.25"/>
    <row r="275608" s="12" customFormat="1" x14ac:dyDescent="0.25"/>
    <row r="275609" s="12" customFormat="1" x14ac:dyDescent="0.25"/>
    <row r="275610" s="12" customFormat="1" x14ac:dyDescent="0.25"/>
    <row r="275611" s="12" customFormat="1" x14ac:dyDescent="0.25"/>
    <row r="275612" s="12" customFormat="1" x14ac:dyDescent="0.25"/>
    <row r="275613" s="12" customFormat="1" x14ac:dyDescent="0.25"/>
    <row r="275614" s="12" customFormat="1" x14ac:dyDescent="0.25"/>
    <row r="275615" s="12" customFormat="1" x14ac:dyDescent="0.25"/>
    <row r="275616" s="12" customFormat="1" x14ac:dyDescent="0.25"/>
    <row r="275617" s="12" customFormat="1" x14ac:dyDescent="0.25"/>
    <row r="275618" s="12" customFormat="1" x14ac:dyDescent="0.25"/>
    <row r="275619" s="12" customFormat="1" x14ac:dyDescent="0.25"/>
    <row r="275620" s="12" customFormat="1" x14ac:dyDescent="0.25"/>
    <row r="275621" s="12" customFormat="1" x14ac:dyDescent="0.25"/>
    <row r="275622" s="12" customFormat="1" x14ac:dyDescent="0.25"/>
    <row r="275623" s="12" customFormat="1" x14ac:dyDescent="0.25"/>
    <row r="275624" s="12" customFormat="1" x14ac:dyDescent="0.25"/>
    <row r="275625" s="12" customFormat="1" x14ac:dyDescent="0.25"/>
    <row r="275626" s="12" customFormat="1" x14ac:dyDescent="0.25"/>
    <row r="275627" s="12" customFormat="1" x14ac:dyDescent="0.25"/>
    <row r="275628" s="12" customFormat="1" x14ac:dyDescent="0.25"/>
    <row r="275629" s="12" customFormat="1" x14ac:dyDescent="0.25"/>
    <row r="275630" s="12" customFormat="1" x14ac:dyDescent="0.25"/>
    <row r="275631" s="12" customFormat="1" x14ac:dyDescent="0.25"/>
    <row r="275632" s="12" customFormat="1" x14ac:dyDescent="0.25"/>
    <row r="275633" s="12" customFormat="1" x14ac:dyDescent="0.25"/>
    <row r="275634" s="12" customFormat="1" x14ac:dyDescent="0.25"/>
    <row r="275635" s="12" customFormat="1" x14ac:dyDescent="0.25"/>
    <row r="275636" s="12" customFormat="1" x14ac:dyDescent="0.25"/>
    <row r="275637" s="12" customFormat="1" x14ac:dyDescent="0.25"/>
    <row r="275638" s="12" customFormat="1" x14ac:dyDescent="0.25"/>
    <row r="275639" s="12" customFormat="1" x14ac:dyDescent="0.25"/>
    <row r="275640" s="12" customFormat="1" x14ac:dyDescent="0.25"/>
    <row r="275641" s="12" customFormat="1" x14ac:dyDescent="0.25"/>
    <row r="275642" s="12" customFormat="1" x14ac:dyDescent="0.25"/>
    <row r="275643" s="12" customFormat="1" x14ac:dyDescent="0.25"/>
    <row r="275644" s="12" customFormat="1" x14ac:dyDescent="0.25"/>
    <row r="275645" s="12" customFormat="1" x14ac:dyDescent="0.25"/>
    <row r="275646" s="12" customFormat="1" x14ac:dyDescent="0.25"/>
    <row r="275647" s="12" customFormat="1" x14ac:dyDescent="0.25"/>
    <row r="275648" s="12" customFormat="1" x14ac:dyDescent="0.25"/>
    <row r="275649" s="12" customFormat="1" x14ac:dyDescent="0.25"/>
    <row r="275650" s="12" customFormat="1" x14ac:dyDescent="0.25"/>
    <row r="275651" s="12" customFormat="1" x14ac:dyDescent="0.25"/>
    <row r="275652" s="12" customFormat="1" x14ac:dyDescent="0.25"/>
    <row r="275653" s="12" customFormat="1" x14ac:dyDescent="0.25"/>
    <row r="275654" s="12" customFormat="1" x14ac:dyDescent="0.25"/>
    <row r="275655" s="12" customFormat="1" x14ac:dyDescent="0.25"/>
    <row r="275656" s="12" customFormat="1" x14ac:dyDescent="0.25"/>
    <row r="275657" s="12" customFormat="1" x14ac:dyDescent="0.25"/>
    <row r="275658" s="12" customFormat="1" x14ac:dyDescent="0.25"/>
    <row r="275659" s="12" customFormat="1" x14ac:dyDescent="0.25"/>
    <row r="275660" s="12" customFormat="1" x14ac:dyDescent="0.25"/>
    <row r="275661" s="12" customFormat="1" x14ac:dyDescent="0.25"/>
    <row r="275662" s="12" customFormat="1" x14ac:dyDescent="0.25"/>
    <row r="275663" s="12" customFormat="1" x14ac:dyDescent="0.25"/>
    <row r="275664" s="12" customFormat="1" x14ac:dyDescent="0.25"/>
    <row r="275665" s="12" customFormat="1" x14ac:dyDescent="0.25"/>
    <row r="275666" s="12" customFormat="1" x14ac:dyDescent="0.25"/>
    <row r="275667" s="12" customFormat="1" x14ac:dyDescent="0.25"/>
    <row r="275668" s="12" customFormat="1" x14ac:dyDescent="0.25"/>
    <row r="275669" s="12" customFormat="1" x14ac:dyDescent="0.25"/>
    <row r="275670" s="12" customFormat="1" x14ac:dyDescent="0.25"/>
    <row r="275671" s="12" customFormat="1" x14ac:dyDescent="0.25"/>
    <row r="275672" s="12" customFormat="1" x14ac:dyDescent="0.25"/>
    <row r="275673" s="12" customFormat="1" x14ac:dyDescent="0.25"/>
    <row r="275674" s="12" customFormat="1" x14ac:dyDescent="0.25"/>
    <row r="275675" s="12" customFormat="1" x14ac:dyDescent="0.25"/>
    <row r="275676" s="12" customFormat="1" x14ac:dyDescent="0.25"/>
    <row r="275677" s="12" customFormat="1" x14ac:dyDescent="0.25"/>
    <row r="275678" s="12" customFormat="1" x14ac:dyDescent="0.25"/>
    <row r="275679" s="12" customFormat="1" x14ac:dyDescent="0.25"/>
    <row r="275680" s="12" customFormat="1" x14ac:dyDescent="0.25"/>
    <row r="275681" s="12" customFormat="1" x14ac:dyDescent="0.25"/>
    <row r="275682" s="12" customFormat="1" x14ac:dyDescent="0.25"/>
    <row r="275683" s="12" customFormat="1" x14ac:dyDescent="0.25"/>
    <row r="275684" s="12" customFormat="1" x14ac:dyDescent="0.25"/>
    <row r="275685" s="12" customFormat="1" x14ac:dyDescent="0.25"/>
    <row r="275686" s="12" customFormat="1" x14ac:dyDescent="0.25"/>
    <row r="275687" s="12" customFormat="1" x14ac:dyDescent="0.25"/>
    <row r="275688" s="12" customFormat="1" x14ac:dyDescent="0.25"/>
    <row r="275689" s="12" customFormat="1" x14ac:dyDescent="0.25"/>
    <row r="275690" s="12" customFormat="1" x14ac:dyDescent="0.25"/>
    <row r="275691" s="12" customFormat="1" x14ac:dyDescent="0.25"/>
    <row r="275692" s="12" customFormat="1" x14ac:dyDescent="0.25"/>
    <row r="275693" s="12" customFormat="1" x14ac:dyDescent="0.25"/>
    <row r="275694" s="12" customFormat="1" x14ac:dyDescent="0.25"/>
    <row r="275695" s="12" customFormat="1" x14ac:dyDescent="0.25"/>
    <row r="275696" s="12" customFormat="1" x14ac:dyDescent="0.25"/>
    <row r="275697" s="12" customFormat="1" x14ac:dyDescent="0.25"/>
    <row r="275698" s="12" customFormat="1" x14ac:dyDescent="0.25"/>
    <row r="275699" s="12" customFormat="1" x14ac:dyDescent="0.25"/>
    <row r="275700" s="12" customFormat="1" x14ac:dyDescent="0.25"/>
    <row r="275701" s="12" customFormat="1" x14ac:dyDescent="0.25"/>
    <row r="275702" s="12" customFormat="1" x14ac:dyDescent="0.25"/>
    <row r="275703" s="12" customFormat="1" x14ac:dyDescent="0.25"/>
    <row r="275704" s="12" customFormat="1" x14ac:dyDescent="0.25"/>
    <row r="275705" s="12" customFormat="1" x14ac:dyDescent="0.25"/>
    <row r="275706" s="12" customFormat="1" x14ac:dyDescent="0.25"/>
    <row r="275707" s="12" customFormat="1" x14ac:dyDescent="0.25"/>
    <row r="275708" s="12" customFormat="1" x14ac:dyDescent="0.25"/>
    <row r="275709" s="12" customFormat="1" x14ac:dyDescent="0.25"/>
    <row r="275710" s="12" customFormat="1" x14ac:dyDescent="0.25"/>
    <row r="275711" s="12" customFormat="1" x14ac:dyDescent="0.25"/>
    <row r="275712" s="12" customFormat="1" x14ac:dyDescent="0.25"/>
    <row r="275713" s="12" customFormat="1" x14ac:dyDescent="0.25"/>
    <row r="275714" s="12" customFormat="1" x14ac:dyDescent="0.25"/>
    <row r="275715" s="12" customFormat="1" x14ac:dyDescent="0.25"/>
    <row r="275716" s="12" customFormat="1" x14ac:dyDescent="0.25"/>
    <row r="275717" s="12" customFormat="1" x14ac:dyDescent="0.25"/>
    <row r="275718" s="12" customFormat="1" x14ac:dyDescent="0.25"/>
    <row r="275719" s="12" customFormat="1" x14ac:dyDescent="0.25"/>
    <row r="275720" s="12" customFormat="1" x14ac:dyDescent="0.25"/>
    <row r="275721" s="12" customFormat="1" x14ac:dyDescent="0.25"/>
    <row r="275722" s="12" customFormat="1" x14ac:dyDescent="0.25"/>
    <row r="275723" s="12" customFormat="1" x14ac:dyDescent="0.25"/>
    <row r="275724" s="12" customFormat="1" x14ac:dyDescent="0.25"/>
    <row r="275725" s="12" customFormat="1" x14ac:dyDescent="0.25"/>
    <row r="275726" s="12" customFormat="1" x14ac:dyDescent="0.25"/>
    <row r="275727" s="12" customFormat="1" x14ac:dyDescent="0.25"/>
    <row r="275728" s="12" customFormat="1" x14ac:dyDescent="0.25"/>
    <row r="275729" s="12" customFormat="1" x14ac:dyDescent="0.25"/>
    <row r="275730" s="12" customFormat="1" x14ac:dyDescent="0.25"/>
    <row r="275731" s="12" customFormat="1" x14ac:dyDescent="0.25"/>
    <row r="275732" s="12" customFormat="1" x14ac:dyDescent="0.25"/>
    <row r="275733" s="12" customFormat="1" x14ac:dyDescent="0.25"/>
    <row r="275734" s="12" customFormat="1" x14ac:dyDescent="0.25"/>
    <row r="275735" s="12" customFormat="1" x14ac:dyDescent="0.25"/>
    <row r="275736" s="12" customFormat="1" x14ac:dyDescent="0.25"/>
    <row r="275737" s="12" customFormat="1" x14ac:dyDescent="0.25"/>
    <row r="275738" s="12" customFormat="1" x14ac:dyDescent="0.25"/>
    <row r="275739" s="12" customFormat="1" x14ac:dyDescent="0.25"/>
    <row r="275740" s="12" customFormat="1" x14ac:dyDescent="0.25"/>
    <row r="275741" s="12" customFormat="1" x14ac:dyDescent="0.25"/>
    <row r="275742" s="12" customFormat="1" x14ac:dyDescent="0.25"/>
    <row r="275743" s="12" customFormat="1" x14ac:dyDescent="0.25"/>
    <row r="275744" s="12" customFormat="1" x14ac:dyDescent="0.25"/>
    <row r="275745" s="12" customFormat="1" x14ac:dyDescent="0.25"/>
    <row r="275746" s="12" customFormat="1" x14ac:dyDescent="0.25"/>
    <row r="275747" s="12" customFormat="1" x14ac:dyDescent="0.25"/>
    <row r="275748" s="12" customFormat="1" x14ac:dyDescent="0.25"/>
    <row r="275749" s="12" customFormat="1" x14ac:dyDescent="0.25"/>
    <row r="275750" s="12" customFormat="1" x14ac:dyDescent="0.25"/>
    <row r="275751" s="12" customFormat="1" x14ac:dyDescent="0.25"/>
    <row r="275752" s="12" customFormat="1" x14ac:dyDescent="0.25"/>
    <row r="275753" s="12" customFormat="1" x14ac:dyDescent="0.25"/>
    <row r="275754" s="12" customFormat="1" x14ac:dyDescent="0.25"/>
    <row r="275755" s="12" customFormat="1" x14ac:dyDescent="0.25"/>
    <row r="275756" s="12" customFormat="1" x14ac:dyDescent="0.25"/>
    <row r="275757" s="12" customFormat="1" x14ac:dyDescent="0.25"/>
    <row r="275758" s="12" customFormat="1" x14ac:dyDescent="0.25"/>
    <row r="275759" s="12" customFormat="1" x14ac:dyDescent="0.25"/>
    <row r="275760" s="12" customFormat="1" x14ac:dyDescent="0.25"/>
    <row r="275761" s="12" customFormat="1" x14ac:dyDescent="0.25"/>
    <row r="275762" s="12" customFormat="1" x14ac:dyDescent="0.25"/>
    <row r="275763" s="12" customFormat="1" x14ac:dyDescent="0.25"/>
    <row r="275764" s="12" customFormat="1" x14ac:dyDescent="0.25"/>
    <row r="275765" s="12" customFormat="1" x14ac:dyDescent="0.25"/>
    <row r="275766" s="12" customFormat="1" x14ac:dyDescent="0.25"/>
    <row r="275767" s="12" customFormat="1" x14ac:dyDescent="0.25"/>
    <row r="275768" s="12" customFormat="1" x14ac:dyDescent="0.25"/>
    <row r="275769" s="12" customFormat="1" x14ac:dyDescent="0.25"/>
    <row r="275770" s="12" customFormat="1" x14ac:dyDescent="0.25"/>
    <row r="275771" s="12" customFormat="1" x14ac:dyDescent="0.25"/>
    <row r="275772" s="12" customFormat="1" x14ac:dyDescent="0.25"/>
    <row r="275773" s="12" customFormat="1" x14ac:dyDescent="0.25"/>
    <row r="275774" s="12" customFormat="1" x14ac:dyDescent="0.25"/>
    <row r="275775" s="12" customFormat="1" x14ac:dyDescent="0.25"/>
    <row r="275776" s="12" customFormat="1" x14ac:dyDescent="0.25"/>
    <row r="275777" s="12" customFormat="1" x14ac:dyDescent="0.25"/>
    <row r="275778" s="12" customFormat="1" x14ac:dyDescent="0.25"/>
    <row r="275779" s="12" customFormat="1" x14ac:dyDescent="0.25"/>
    <row r="275780" s="12" customFormat="1" x14ac:dyDescent="0.25"/>
    <row r="275781" s="12" customFormat="1" x14ac:dyDescent="0.25"/>
    <row r="275782" s="12" customFormat="1" x14ac:dyDescent="0.25"/>
    <row r="275783" s="12" customFormat="1" x14ac:dyDescent="0.25"/>
    <row r="275784" s="12" customFormat="1" x14ac:dyDescent="0.25"/>
    <row r="275785" s="12" customFormat="1" x14ac:dyDescent="0.25"/>
    <row r="275786" s="12" customFormat="1" x14ac:dyDescent="0.25"/>
    <row r="275787" s="12" customFormat="1" x14ac:dyDescent="0.25"/>
    <row r="275788" s="12" customFormat="1" x14ac:dyDescent="0.25"/>
    <row r="275789" s="12" customFormat="1" x14ac:dyDescent="0.25"/>
    <row r="275790" s="12" customFormat="1" x14ac:dyDescent="0.25"/>
    <row r="275791" s="12" customFormat="1" x14ac:dyDescent="0.25"/>
    <row r="275792" s="12" customFormat="1" x14ac:dyDescent="0.25"/>
    <row r="275793" s="12" customFormat="1" x14ac:dyDescent="0.25"/>
    <row r="275794" s="12" customFormat="1" x14ac:dyDescent="0.25"/>
    <row r="275795" s="12" customFormat="1" x14ac:dyDescent="0.25"/>
    <row r="275796" s="12" customFormat="1" x14ac:dyDescent="0.25"/>
    <row r="275797" s="12" customFormat="1" x14ac:dyDescent="0.25"/>
    <row r="275798" s="12" customFormat="1" x14ac:dyDescent="0.25"/>
    <row r="275799" s="12" customFormat="1" x14ac:dyDescent="0.25"/>
    <row r="275800" s="12" customFormat="1" x14ac:dyDescent="0.25"/>
    <row r="275801" s="12" customFormat="1" x14ac:dyDescent="0.25"/>
    <row r="275802" s="12" customFormat="1" x14ac:dyDescent="0.25"/>
    <row r="275803" s="12" customFormat="1" x14ac:dyDescent="0.25"/>
    <row r="275804" s="12" customFormat="1" x14ac:dyDescent="0.25"/>
    <row r="275805" s="12" customFormat="1" x14ac:dyDescent="0.25"/>
    <row r="275806" s="12" customFormat="1" x14ac:dyDescent="0.25"/>
    <row r="275807" s="12" customFormat="1" x14ac:dyDescent="0.25"/>
    <row r="275808" s="12" customFormat="1" x14ac:dyDescent="0.25"/>
    <row r="275809" s="12" customFormat="1" x14ac:dyDescent="0.25"/>
    <row r="275810" s="12" customFormat="1" x14ac:dyDescent="0.25"/>
    <row r="275811" s="12" customFormat="1" x14ac:dyDescent="0.25"/>
    <row r="275812" s="12" customFormat="1" x14ac:dyDescent="0.25"/>
    <row r="275813" s="12" customFormat="1" x14ac:dyDescent="0.25"/>
    <row r="275814" s="12" customFormat="1" x14ac:dyDescent="0.25"/>
    <row r="275815" s="12" customFormat="1" x14ac:dyDescent="0.25"/>
    <row r="275816" s="12" customFormat="1" x14ac:dyDescent="0.25"/>
    <row r="275817" s="12" customFormat="1" x14ac:dyDescent="0.25"/>
    <row r="275818" s="12" customFormat="1" x14ac:dyDescent="0.25"/>
    <row r="275819" s="12" customFormat="1" x14ac:dyDescent="0.25"/>
    <row r="275820" s="12" customFormat="1" x14ac:dyDescent="0.25"/>
    <row r="275821" s="12" customFormat="1" x14ac:dyDescent="0.25"/>
    <row r="275822" s="12" customFormat="1" x14ac:dyDescent="0.25"/>
    <row r="275823" s="12" customFormat="1" x14ac:dyDescent="0.25"/>
    <row r="275824" s="12" customFormat="1" x14ac:dyDescent="0.25"/>
    <row r="275825" s="12" customFormat="1" x14ac:dyDescent="0.25"/>
    <row r="275826" s="12" customFormat="1" x14ac:dyDescent="0.25"/>
    <row r="275827" s="12" customFormat="1" x14ac:dyDescent="0.25"/>
    <row r="275828" s="12" customFormat="1" x14ac:dyDescent="0.25"/>
    <row r="275829" s="12" customFormat="1" x14ac:dyDescent="0.25"/>
    <row r="275830" s="12" customFormat="1" x14ac:dyDescent="0.25"/>
    <row r="275831" s="12" customFormat="1" x14ac:dyDescent="0.25"/>
    <row r="275832" s="12" customFormat="1" x14ac:dyDescent="0.25"/>
    <row r="275833" s="12" customFormat="1" x14ac:dyDescent="0.25"/>
    <row r="275834" s="12" customFormat="1" x14ac:dyDescent="0.25"/>
    <row r="275835" s="12" customFormat="1" x14ac:dyDescent="0.25"/>
    <row r="275836" s="12" customFormat="1" x14ac:dyDescent="0.25"/>
    <row r="275837" s="12" customFormat="1" x14ac:dyDescent="0.25"/>
    <row r="275838" s="12" customFormat="1" x14ac:dyDescent="0.25"/>
    <row r="275839" s="12" customFormat="1" x14ac:dyDescent="0.25"/>
    <row r="275840" s="12" customFormat="1" x14ac:dyDescent="0.25"/>
    <row r="275841" s="12" customFormat="1" x14ac:dyDescent="0.25"/>
    <row r="275842" s="12" customFormat="1" x14ac:dyDescent="0.25"/>
    <row r="275843" s="12" customFormat="1" x14ac:dyDescent="0.25"/>
    <row r="275844" s="12" customFormat="1" x14ac:dyDescent="0.25"/>
    <row r="275845" s="12" customFormat="1" x14ac:dyDescent="0.25"/>
    <row r="275846" s="12" customFormat="1" x14ac:dyDescent="0.25"/>
    <row r="275847" s="12" customFormat="1" x14ac:dyDescent="0.25"/>
    <row r="275848" s="12" customFormat="1" x14ac:dyDescent="0.25"/>
    <row r="275849" s="12" customFormat="1" x14ac:dyDescent="0.25"/>
    <row r="275850" s="12" customFormat="1" x14ac:dyDescent="0.25"/>
    <row r="275851" s="12" customFormat="1" x14ac:dyDescent="0.25"/>
    <row r="275852" s="12" customFormat="1" x14ac:dyDescent="0.25"/>
    <row r="275853" s="12" customFormat="1" x14ac:dyDescent="0.25"/>
    <row r="275854" s="12" customFormat="1" x14ac:dyDescent="0.25"/>
    <row r="275855" s="12" customFormat="1" x14ac:dyDescent="0.25"/>
    <row r="275856" s="12" customFormat="1" x14ac:dyDescent="0.25"/>
    <row r="275857" s="12" customFormat="1" x14ac:dyDescent="0.25"/>
    <row r="275858" s="12" customFormat="1" x14ac:dyDescent="0.25"/>
    <row r="275859" s="12" customFormat="1" x14ac:dyDescent="0.25"/>
    <row r="275860" s="12" customFormat="1" x14ac:dyDescent="0.25"/>
    <row r="275861" s="12" customFormat="1" x14ac:dyDescent="0.25"/>
    <row r="275862" s="12" customFormat="1" x14ac:dyDescent="0.25"/>
    <row r="275863" s="12" customFormat="1" x14ac:dyDescent="0.25"/>
    <row r="275864" s="12" customFormat="1" x14ac:dyDescent="0.25"/>
    <row r="275865" s="12" customFormat="1" x14ac:dyDescent="0.25"/>
    <row r="275866" s="12" customFormat="1" x14ac:dyDescent="0.25"/>
    <row r="275867" s="12" customFormat="1" x14ac:dyDescent="0.25"/>
    <row r="275868" s="12" customFormat="1" x14ac:dyDescent="0.25"/>
    <row r="275869" s="12" customFormat="1" x14ac:dyDescent="0.25"/>
    <row r="275870" s="12" customFormat="1" x14ac:dyDescent="0.25"/>
    <row r="275871" s="12" customFormat="1" x14ac:dyDescent="0.25"/>
    <row r="275872" s="12" customFormat="1" x14ac:dyDescent="0.25"/>
    <row r="275873" s="12" customFormat="1" x14ac:dyDescent="0.25"/>
    <row r="275874" s="12" customFormat="1" x14ac:dyDescent="0.25"/>
    <row r="275875" s="12" customFormat="1" x14ac:dyDescent="0.25"/>
    <row r="275876" s="12" customFormat="1" x14ac:dyDescent="0.25"/>
    <row r="275877" s="12" customFormat="1" x14ac:dyDescent="0.25"/>
    <row r="275878" s="12" customFormat="1" x14ac:dyDescent="0.25"/>
    <row r="275879" s="12" customFormat="1" x14ac:dyDescent="0.25"/>
    <row r="275880" s="12" customFormat="1" x14ac:dyDescent="0.25"/>
    <row r="275881" s="12" customFormat="1" x14ac:dyDescent="0.25"/>
    <row r="275882" s="12" customFormat="1" x14ac:dyDescent="0.25"/>
    <row r="275883" s="12" customFormat="1" x14ac:dyDescent="0.25"/>
    <row r="275884" s="12" customFormat="1" x14ac:dyDescent="0.25"/>
    <row r="275885" s="12" customFormat="1" x14ac:dyDescent="0.25"/>
    <row r="275886" s="12" customFormat="1" x14ac:dyDescent="0.25"/>
    <row r="275887" s="12" customFormat="1" x14ac:dyDescent="0.25"/>
    <row r="275888" s="12" customFormat="1" x14ac:dyDescent="0.25"/>
    <row r="275889" s="12" customFormat="1" x14ac:dyDescent="0.25"/>
    <row r="275890" s="12" customFormat="1" x14ac:dyDescent="0.25"/>
    <row r="275891" s="12" customFormat="1" x14ac:dyDescent="0.25"/>
    <row r="275892" s="12" customFormat="1" x14ac:dyDescent="0.25"/>
    <row r="275893" s="12" customFormat="1" x14ac:dyDescent="0.25"/>
    <row r="275894" s="12" customFormat="1" x14ac:dyDescent="0.25"/>
    <row r="275895" s="12" customFormat="1" x14ac:dyDescent="0.25"/>
    <row r="275896" s="12" customFormat="1" x14ac:dyDescent="0.25"/>
    <row r="275897" s="12" customFormat="1" x14ac:dyDescent="0.25"/>
    <row r="275898" s="12" customFormat="1" x14ac:dyDescent="0.25"/>
    <row r="275899" s="12" customFormat="1" x14ac:dyDescent="0.25"/>
    <row r="275900" s="12" customFormat="1" x14ac:dyDescent="0.25"/>
    <row r="275901" s="12" customFormat="1" x14ac:dyDescent="0.25"/>
    <row r="275902" s="12" customFormat="1" x14ac:dyDescent="0.25"/>
    <row r="275903" s="12" customFormat="1" x14ac:dyDescent="0.25"/>
    <row r="275904" s="12" customFormat="1" x14ac:dyDescent="0.25"/>
    <row r="275905" s="12" customFormat="1" x14ac:dyDescent="0.25"/>
    <row r="275906" s="12" customFormat="1" x14ac:dyDescent="0.25"/>
    <row r="275907" s="12" customFormat="1" x14ac:dyDescent="0.25"/>
    <row r="275908" s="12" customFormat="1" x14ac:dyDescent="0.25"/>
    <row r="275909" s="12" customFormat="1" x14ac:dyDescent="0.25"/>
    <row r="275910" s="12" customFormat="1" x14ac:dyDescent="0.25"/>
    <row r="275911" s="12" customFormat="1" x14ac:dyDescent="0.25"/>
    <row r="275912" s="12" customFormat="1" x14ac:dyDescent="0.25"/>
    <row r="275913" s="12" customFormat="1" x14ac:dyDescent="0.25"/>
    <row r="275914" s="12" customFormat="1" x14ac:dyDescent="0.25"/>
    <row r="275915" s="12" customFormat="1" x14ac:dyDescent="0.25"/>
    <row r="275916" s="12" customFormat="1" x14ac:dyDescent="0.25"/>
    <row r="275917" s="12" customFormat="1" x14ac:dyDescent="0.25"/>
    <row r="275918" s="12" customFormat="1" x14ac:dyDescent="0.25"/>
    <row r="275919" s="12" customFormat="1" x14ac:dyDescent="0.25"/>
    <row r="275920" s="12" customFormat="1" x14ac:dyDescent="0.25"/>
    <row r="275921" s="12" customFormat="1" x14ac:dyDescent="0.25"/>
    <row r="275922" s="12" customFormat="1" x14ac:dyDescent="0.25"/>
    <row r="275923" s="12" customFormat="1" x14ac:dyDescent="0.25"/>
    <row r="275924" s="12" customFormat="1" x14ac:dyDescent="0.25"/>
    <row r="275925" s="12" customFormat="1" x14ac:dyDescent="0.25"/>
    <row r="275926" s="12" customFormat="1" x14ac:dyDescent="0.25"/>
    <row r="275927" s="12" customFormat="1" x14ac:dyDescent="0.25"/>
    <row r="275928" s="12" customFormat="1" x14ac:dyDescent="0.25"/>
    <row r="275929" s="12" customFormat="1" x14ac:dyDescent="0.25"/>
    <row r="275930" s="12" customFormat="1" x14ac:dyDescent="0.25"/>
    <row r="275931" s="12" customFormat="1" x14ac:dyDescent="0.25"/>
    <row r="275932" s="12" customFormat="1" x14ac:dyDescent="0.25"/>
    <row r="275933" s="12" customFormat="1" x14ac:dyDescent="0.25"/>
    <row r="275934" s="12" customFormat="1" x14ac:dyDescent="0.25"/>
    <row r="275935" s="12" customFormat="1" x14ac:dyDescent="0.25"/>
    <row r="275936" s="12" customFormat="1" x14ac:dyDescent="0.25"/>
    <row r="275937" s="12" customFormat="1" x14ac:dyDescent="0.25"/>
    <row r="275938" s="12" customFormat="1" x14ac:dyDescent="0.25"/>
    <row r="275939" s="12" customFormat="1" x14ac:dyDescent="0.25"/>
    <row r="275940" s="12" customFormat="1" x14ac:dyDescent="0.25"/>
    <row r="275941" s="12" customFormat="1" x14ac:dyDescent="0.25"/>
    <row r="275942" s="12" customFormat="1" x14ac:dyDescent="0.25"/>
    <row r="275943" s="12" customFormat="1" x14ac:dyDescent="0.25"/>
    <row r="275944" s="12" customFormat="1" x14ac:dyDescent="0.25"/>
    <row r="275945" s="12" customFormat="1" x14ac:dyDescent="0.25"/>
    <row r="275946" s="12" customFormat="1" x14ac:dyDescent="0.25"/>
    <row r="275947" s="12" customFormat="1" x14ac:dyDescent="0.25"/>
    <row r="275948" s="12" customFormat="1" x14ac:dyDescent="0.25"/>
    <row r="275949" s="12" customFormat="1" x14ac:dyDescent="0.25"/>
    <row r="275950" s="12" customFormat="1" x14ac:dyDescent="0.25"/>
    <row r="275951" s="12" customFormat="1" x14ac:dyDescent="0.25"/>
    <row r="275952" s="12" customFormat="1" x14ac:dyDescent="0.25"/>
    <row r="275953" s="12" customFormat="1" x14ac:dyDescent="0.25"/>
    <row r="275954" s="12" customFormat="1" x14ac:dyDescent="0.25"/>
    <row r="275955" s="12" customFormat="1" x14ac:dyDescent="0.25"/>
    <row r="275956" s="12" customFormat="1" x14ac:dyDescent="0.25"/>
    <row r="275957" s="12" customFormat="1" x14ac:dyDescent="0.25"/>
    <row r="275958" s="12" customFormat="1" x14ac:dyDescent="0.25"/>
    <row r="275959" s="12" customFormat="1" x14ac:dyDescent="0.25"/>
    <row r="275960" s="12" customFormat="1" x14ac:dyDescent="0.25"/>
    <row r="275961" s="12" customFormat="1" x14ac:dyDescent="0.25"/>
    <row r="275962" s="12" customFormat="1" x14ac:dyDescent="0.25"/>
    <row r="275963" s="12" customFormat="1" x14ac:dyDescent="0.25"/>
    <row r="275964" s="12" customFormat="1" x14ac:dyDescent="0.25"/>
    <row r="275965" s="12" customFormat="1" x14ac:dyDescent="0.25"/>
    <row r="275966" s="12" customFormat="1" x14ac:dyDescent="0.25"/>
    <row r="275967" s="12" customFormat="1" x14ac:dyDescent="0.25"/>
    <row r="275968" s="12" customFormat="1" x14ac:dyDescent="0.25"/>
    <row r="275969" s="12" customFormat="1" x14ac:dyDescent="0.25"/>
    <row r="275970" s="12" customFormat="1" x14ac:dyDescent="0.25"/>
    <row r="275971" s="12" customFormat="1" x14ac:dyDescent="0.25"/>
    <row r="275972" s="12" customFormat="1" x14ac:dyDescent="0.25"/>
    <row r="275973" s="12" customFormat="1" x14ac:dyDescent="0.25"/>
    <row r="275974" s="12" customFormat="1" x14ac:dyDescent="0.25"/>
    <row r="275975" s="12" customFormat="1" x14ac:dyDescent="0.25"/>
    <row r="275976" s="12" customFormat="1" x14ac:dyDescent="0.25"/>
    <row r="275977" s="12" customFormat="1" x14ac:dyDescent="0.25"/>
    <row r="275978" s="12" customFormat="1" x14ac:dyDescent="0.25"/>
    <row r="275979" s="12" customFormat="1" x14ac:dyDescent="0.25"/>
    <row r="275980" s="12" customFormat="1" x14ac:dyDescent="0.25"/>
    <row r="275981" s="12" customFormat="1" x14ac:dyDescent="0.25"/>
    <row r="275982" s="12" customFormat="1" x14ac:dyDescent="0.25"/>
    <row r="275983" s="12" customFormat="1" x14ac:dyDescent="0.25"/>
    <row r="275984" s="12" customFormat="1" x14ac:dyDescent="0.25"/>
    <row r="275985" s="12" customFormat="1" x14ac:dyDescent="0.25"/>
    <row r="275986" s="12" customFormat="1" x14ac:dyDescent="0.25"/>
    <row r="275987" s="12" customFormat="1" x14ac:dyDescent="0.25"/>
    <row r="275988" s="12" customFormat="1" x14ac:dyDescent="0.25"/>
    <row r="275989" s="12" customFormat="1" x14ac:dyDescent="0.25"/>
    <row r="275990" s="12" customFormat="1" x14ac:dyDescent="0.25"/>
    <row r="275991" s="12" customFormat="1" x14ac:dyDescent="0.25"/>
    <row r="275992" s="12" customFormat="1" x14ac:dyDescent="0.25"/>
    <row r="275993" s="12" customFormat="1" x14ac:dyDescent="0.25"/>
    <row r="275994" s="12" customFormat="1" x14ac:dyDescent="0.25"/>
    <row r="275995" s="12" customFormat="1" x14ac:dyDescent="0.25"/>
    <row r="275996" s="12" customFormat="1" x14ac:dyDescent="0.25"/>
    <row r="275997" s="12" customFormat="1" x14ac:dyDescent="0.25"/>
    <row r="275998" s="12" customFormat="1" x14ac:dyDescent="0.25"/>
    <row r="275999" s="12" customFormat="1" x14ac:dyDescent="0.25"/>
    <row r="276000" s="12" customFormat="1" x14ac:dyDescent="0.25"/>
    <row r="276001" s="12" customFormat="1" x14ac:dyDescent="0.25"/>
    <row r="276002" s="12" customFormat="1" x14ac:dyDescent="0.25"/>
    <row r="276003" s="12" customFormat="1" x14ac:dyDescent="0.25"/>
    <row r="276004" s="12" customFormat="1" x14ac:dyDescent="0.25"/>
    <row r="276005" s="12" customFormat="1" x14ac:dyDescent="0.25"/>
    <row r="276006" s="12" customFormat="1" x14ac:dyDescent="0.25"/>
    <row r="276007" s="12" customFormat="1" x14ac:dyDescent="0.25"/>
    <row r="276008" s="12" customFormat="1" x14ac:dyDescent="0.25"/>
    <row r="276009" s="12" customFormat="1" x14ac:dyDescent="0.25"/>
    <row r="276010" s="12" customFormat="1" x14ac:dyDescent="0.25"/>
    <row r="276011" s="12" customFormat="1" x14ac:dyDescent="0.25"/>
    <row r="276012" s="12" customFormat="1" x14ac:dyDescent="0.25"/>
    <row r="276013" s="12" customFormat="1" x14ac:dyDescent="0.25"/>
    <row r="276014" s="12" customFormat="1" x14ac:dyDescent="0.25"/>
    <row r="276015" s="12" customFormat="1" x14ac:dyDescent="0.25"/>
    <row r="276016" s="12" customFormat="1" x14ac:dyDescent="0.25"/>
    <row r="276017" s="12" customFormat="1" x14ac:dyDescent="0.25"/>
    <row r="276018" s="12" customFormat="1" x14ac:dyDescent="0.25"/>
    <row r="276019" s="12" customFormat="1" x14ac:dyDescent="0.25"/>
    <row r="276020" s="12" customFormat="1" x14ac:dyDescent="0.25"/>
    <row r="276021" s="12" customFormat="1" x14ac:dyDescent="0.25"/>
    <row r="276022" s="12" customFormat="1" x14ac:dyDescent="0.25"/>
    <row r="276023" s="12" customFormat="1" x14ac:dyDescent="0.25"/>
    <row r="276024" s="12" customFormat="1" x14ac:dyDescent="0.25"/>
    <row r="276025" s="12" customFormat="1" x14ac:dyDescent="0.25"/>
    <row r="276026" s="12" customFormat="1" x14ac:dyDescent="0.25"/>
    <row r="276027" s="12" customFormat="1" x14ac:dyDescent="0.25"/>
    <row r="276028" s="12" customFormat="1" x14ac:dyDescent="0.25"/>
    <row r="276029" s="12" customFormat="1" x14ac:dyDescent="0.25"/>
    <row r="276030" s="12" customFormat="1" x14ac:dyDescent="0.25"/>
    <row r="276031" s="12" customFormat="1" x14ac:dyDescent="0.25"/>
    <row r="276032" s="12" customFormat="1" x14ac:dyDescent="0.25"/>
    <row r="276033" s="12" customFormat="1" x14ac:dyDescent="0.25"/>
    <row r="276034" s="12" customFormat="1" x14ac:dyDescent="0.25"/>
    <row r="276035" s="12" customFormat="1" x14ac:dyDescent="0.25"/>
    <row r="276036" s="12" customFormat="1" x14ac:dyDescent="0.25"/>
    <row r="276037" s="12" customFormat="1" x14ac:dyDescent="0.25"/>
    <row r="276038" s="12" customFormat="1" x14ac:dyDescent="0.25"/>
    <row r="276039" s="12" customFormat="1" x14ac:dyDescent="0.25"/>
    <row r="276040" s="12" customFormat="1" x14ac:dyDescent="0.25"/>
    <row r="276041" s="12" customFormat="1" x14ac:dyDescent="0.25"/>
    <row r="276042" s="12" customFormat="1" x14ac:dyDescent="0.25"/>
    <row r="276043" s="12" customFormat="1" x14ac:dyDescent="0.25"/>
    <row r="276044" s="12" customFormat="1" x14ac:dyDescent="0.25"/>
    <row r="276045" s="12" customFormat="1" x14ac:dyDescent="0.25"/>
    <row r="276046" s="12" customFormat="1" x14ac:dyDescent="0.25"/>
    <row r="276047" s="12" customFormat="1" x14ac:dyDescent="0.25"/>
    <row r="276048" s="12" customFormat="1" x14ac:dyDescent="0.25"/>
    <row r="276049" s="12" customFormat="1" x14ac:dyDescent="0.25"/>
    <row r="276050" s="12" customFormat="1" x14ac:dyDescent="0.25"/>
    <row r="276051" s="12" customFormat="1" x14ac:dyDescent="0.25"/>
    <row r="276052" s="12" customFormat="1" x14ac:dyDescent="0.25"/>
    <row r="276053" s="12" customFormat="1" x14ac:dyDescent="0.25"/>
    <row r="276054" s="12" customFormat="1" x14ac:dyDescent="0.25"/>
    <row r="276055" s="12" customFormat="1" x14ac:dyDescent="0.25"/>
    <row r="276056" s="12" customFormat="1" x14ac:dyDescent="0.25"/>
    <row r="276057" s="12" customFormat="1" x14ac:dyDescent="0.25"/>
    <row r="276058" s="12" customFormat="1" x14ac:dyDescent="0.25"/>
    <row r="276059" s="12" customFormat="1" x14ac:dyDescent="0.25"/>
    <row r="276060" s="12" customFormat="1" x14ac:dyDescent="0.25"/>
    <row r="276061" s="12" customFormat="1" x14ac:dyDescent="0.25"/>
    <row r="276062" s="12" customFormat="1" x14ac:dyDescent="0.25"/>
    <row r="276063" s="12" customFormat="1" x14ac:dyDescent="0.25"/>
    <row r="276064" s="12" customFormat="1" x14ac:dyDescent="0.25"/>
    <row r="276065" s="12" customFormat="1" x14ac:dyDescent="0.25"/>
    <row r="276066" s="12" customFormat="1" x14ac:dyDescent="0.25"/>
    <row r="276067" s="12" customFormat="1" x14ac:dyDescent="0.25"/>
    <row r="276068" s="12" customFormat="1" x14ac:dyDescent="0.25"/>
    <row r="276069" s="12" customFormat="1" x14ac:dyDescent="0.25"/>
    <row r="276070" s="12" customFormat="1" x14ac:dyDescent="0.25"/>
    <row r="276071" s="12" customFormat="1" x14ac:dyDescent="0.25"/>
    <row r="276072" s="12" customFormat="1" x14ac:dyDescent="0.25"/>
    <row r="276073" s="12" customFormat="1" x14ac:dyDescent="0.25"/>
    <row r="276074" s="12" customFormat="1" x14ac:dyDescent="0.25"/>
    <row r="276075" s="12" customFormat="1" x14ac:dyDescent="0.25"/>
    <row r="276076" s="12" customFormat="1" x14ac:dyDescent="0.25"/>
    <row r="276077" s="12" customFormat="1" x14ac:dyDescent="0.25"/>
    <row r="276078" s="12" customFormat="1" x14ac:dyDescent="0.25"/>
    <row r="276079" s="12" customFormat="1" x14ac:dyDescent="0.25"/>
    <row r="276080" s="12" customFormat="1" x14ac:dyDescent="0.25"/>
    <row r="276081" s="12" customFormat="1" x14ac:dyDescent="0.25"/>
    <row r="276082" s="12" customFormat="1" x14ac:dyDescent="0.25"/>
    <row r="276083" s="12" customFormat="1" x14ac:dyDescent="0.25"/>
    <row r="276084" s="12" customFormat="1" x14ac:dyDescent="0.25"/>
    <row r="276085" s="12" customFormat="1" x14ac:dyDescent="0.25"/>
    <row r="276086" s="12" customFormat="1" x14ac:dyDescent="0.25"/>
    <row r="276087" s="12" customFormat="1" x14ac:dyDescent="0.25"/>
    <row r="276088" s="12" customFormat="1" x14ac:dyDescent="0.25"/>
    <row r="276089" s="12" customFormat="1" x14ac:dyDescent="0.25"/>
    <row r="276090" s="12" customFormat="1" x14ac:dyDescent="0.25"/>
    <row r="276091" s="12" customFormat="1" x14ac:dyDescent="0.25"/>
    <row r="276092" s="12" customFormat="1" x14ac:dyDescent="0.25"/>
    <row r="276093" s="12" customFormat="1" x14ac:dyDescent="0.25"/>
    <row r="276094" s="12" customFormat="1" x14ac:dyDescent="0.25"/>
    <row r="276095" s="12" customFormat="1" x14ac:dyDescent="0.25"/>
    <row r="276096" s="12" customFormat="1" x14ac:dyDescent="0.25"/>
    <row r="276097" s="12" customFormat="1" x14ac:dyDescent="0.25"/>
    <row r="276098" s="12" customFormat="1" x14ac:dyDescent="0.25"/>
    <row r="276099" s="12" customFormat="1" x14ac:dyDescent="0.25"/>
    <row r="276100" s="12" customFormat="1" x14ac:dyDescent="0.25"/>
    <row r="276101" s="12" customFormat="1" x14ac:dyDescent="0.25"/>
    <row r="276102" s="12" customFormat="1" x14ac:dyDescent="0.25"/>
    <row r="276103" s="12" customFormat="1" x14ac:dyDescent="0.25"/>
    <row r="276104" s="12" customFormat="1" x14ac:dyDescent="0.25"/>
    <row r="276105" s="12" customFormat="1" x14ac:dyDescent="0.25"/>
    <row r="276106" s="12" customFormat="1" x14ac:dyDescent="0.25"/>
    <row r="276107" s="12" customFormat="1" x14ac:dyDescent="0.25"/>
    <row r="276108" s="12" customFormat="1" x14ac:dyDescent="0.25"/>
    <row r="276109" s="12" customFormat="1" x14ac:dyDescent="0.25"/>
    <row r="276110" s="12" customFormat="1" x14ac:dyDescent="0.25"/>
    <row r="276111" s="12" customFormat="1" x14ac:dyDescent="0.25"/>
    <row r="276112" s="12" customFormat="1" x14ac:dyDescent="0.25"/>
    <row r="276113" s="12" customFormat="1" x14ac:dyDescent="0.25"/>
    <row r="276114" s="12" customFormat="1" x14ac:dyDescent="0.25"/>
    <row r="276115" s="12" customFormat="1" x14ac:dyDescent="0.25"/>
    <row r="276116" s="12" customFormat="1" x14ac:dyDescent="0.25"/>
    <row r="276117" s="12" customFormat="1" x14ac:dyDescent="0.25"/>
    <row r="276118" s="12" customFormat="1" x14ac:dyDescent="0.25"/>
    <row r="276119" s="12" customFormat="1" x14ac:dyDescent="0.25"/>
    <row r="276120" s="12" customFormat="1" x14ac:dyDescent="0.25"/>
    <row r="276121" s="12" customFormat="1" x14ac:dyDescent="0.25"/>
    <row r="276122" s="12" customFormat="1" x14ac:dyDescent="0.25"/>
    <row r="276123" s="12" customFormat="1" x14ac:dyDescent="0.25"/>
    <row r="276124" s="12" customFormat="1" x14ac:dyDescent="0.25"/>
    <row r="276125" s="12" customFormat="1" x14ac:dyDescent="0.25"/>
    <row r="276126" s="12" customFormat="1" x14ac:dyDescent="0.25"/>
    <row r="276127" s="12" customFormat="1" x14ac:dyDescent="0.25"/>
    <row r="276128" s="12" customFormat="1" x14ac:dyDescent="0.25"/>
    <row r="276129" s="12" customFormat="1" x14ac:dyDescent="0.25"/>
    <row r="276130" s="12" customFormat="1" x14ac:dyDescent="0.25"/>
    <row r="276131" s="12" customFormat="1" x14ac:dyDescent="0.25"/>
    <row r="276132" s="12" customFormat="1" x14ac:dyDescent="0.25"/>
    <row r="276133" s="12" customFormat="1" x14ac:dyDescent="0.25"/>
    <row r="276134" s="12" customFormat="1" x14ac:dyDescent="0.25"/>
    <row r="276135" s="12" customFormat="1" x14ac:dyDescent="0.25"/>
    <row r="276136" s="12" customFormat="1" x14ac:dyDescent="0.25"/>
    <row r="276137" s="12" customFormat="1" x14ac:dyDescent="0.25"/>
    <row r="276138" s="12" customFormat="1" x14ac:dyDescent="0.25"/>
    <row r="276139" s="12" customFormat="1" x14ac:dyDescent="0.25"/>
    <row r="276140" s="12" customFormat="1" x14ac:dyDescent="0.25"/>
    <row r="276141" s="12" customFormat="1" x14ac:dyDescent="0.25"/>
    <row r="276142" s="12" customFormat="1" x14ac:dyDescent="0.25"/>
    <row r="276143" s="12" customFormat="1" x14ac:dyDescent="0.25"/>
    <row r="276144" s="12" customFormat="1" x14ac:dyDescent="0.25"/>
    <row r="276145" s="12" customFormat="1" x14ac:dyDescent="0.25"/>
    <row r="276146" s="12" customFormat="1" x14ac:dyDescent="0.25"/>
    <row r="276147" s="12" customFormat="1" x14ac:dyDescent="0.25"/>
    <row r="276148" s="12" customFormat="1" x14ac:dyDescent="0.25"/>
    <row r="276149" s="12" customFormat="1" x14ac:dyDescent="0.25"/>
    <row r="276150" s="12" customFormat="1" x14ac:dyDescent="0.25"/>
    <row r="276151" s="12" customFormat="1" x14ac:dyDescent="0.25"/>
    <row r="276152" s="12" customFormat="1" x14ac:dyDescent="0.25"/>
    <row r="276153" s="12" customFormat="1" x14ac:dyDescent="0.25"/>
    <row r="276154" s="12" customFormat="1" x14ac:dyDescent="0.25"/>
    <row r="276155" s="12" customFormat="1" x14ac:dyDescent="0.25"/>
    <row r="276156" s="12" customFormat="1" x14ac:dyDescent="0.25"/>
    <row r="276157" s="12" customFormat="1" x14ac:dyDescent="0.25"/>
    <row r="276158" s="12" customFormat="1" x14ac:dyDescent="0.25"/>
    <row r="276159" s="12" customFormat="1" x14ac:dyDescent="0.25"/>
    <row r="276160" s="12" customFormat="1" x14ac:dyDescent="0.25"/>
    <row r="276161" s="12" customFormat="1" x14ac:dyDescent="0.25"/>
    <row r="276162" s="12" customFormat="1" x14ac:dyDescent="0.25"/>
    <row r="276163" s="12" customFormat="1" x14ac:dyDescent="0.25"/>
    <row r="276164" s="12" customFormat="1" x14ac:dyDescent="0.25"/>
    <row r="276165" s="12" customFormat="1" x14ac:dyDescent="0.25"/>
    <row r="276166" s="12" customFormat="1" x14ac:dyDescent="0.25"/>
    <row r="276167" s="12" customFormat="1" x14ac:dyDescent="0.25"/>
    <row r="276168" s="12" customFormat="1" x14ac:dyDescent="0.25"/>
    <row r="276169" s="12" customFormat="1" x14ac:dyDescent="0.25"/>
    <row r="276170" s="12" customFormat="1" x14ac:dyDescent="0.25"/>
    <row r="276171" s="12" customFormat="1" x14ac:dyDescent="0.25"/>
    <row r="276172" s="12" customFormat="1" x14ac:dyDescent="0.25"/>
    <row r="276173" s="12" customFormat="1" x14ac:dyDescent="0.25"/>
    <row r="276174" s="12" customFormat="1" x14ac:dyDescent="0.25"/>
    <row r="276175" s="12" customFormat="1" x14ac:dyDescent="0.25"/>
    <row r="276176" s="12" customFormat="1" x14ac:dyDescent="0.25"/>
    <row r="276177" s="12" customFormat="1" x14ac:dyDescent="0.25"/>
    <row r="276178" s="12" customFormat="1" x14ac:dyDescent="0.25"/>
    <row r="276179" s="12" customFormat="1" x14ac:dyDescent="0.25"/>
    <row r="276180" s="12" customFormat="1" x14ac:dyDescent="0.25"/>
    <row r="276181" s="12" customFormat="1" x14ac:dyDescent="0.25"/>
    <row r="276182" s="12" customFormat="1" x14ac:dyDescent="0.25"/>
    <row r="276183" s="12" customFormat="1" x14ac:dyDescent="0.25"/>
    <row r="276184" s="12" customFormat="1" x14ac:dyDescent="0.25"/>
    <row r="276185" s="12" customFormat="1" x14ac:dyDescent="0.25"/>
    <row r="276186" s="12" customFormat="1" x14ac:dyDescent="0.25"/>
    <row r="276187" s="12" customFormat="1" x14ac:dyDescent="0.25"/>
    <row r="276188" s="12" customFormat="1" x14ac:dyDescent="0.25"/>
    <row r="276189" s="12" customFormat="1" x14ac:dyDescent="0.25"/>
    <row r="276190" s="12" customFormat="1" x14ac:dyDescent="0.25"/>
    <row r="276191" s="12" customFormat="1" x14ac:dyDescent="0.25"/>
    <row r="276192" s="12" customFormat="1" x14ac:dyDescent="0.25"/>
    <row r="276193" s="12" customFormat="1" x14ac:dyDescent="0.25"/>
    <row r="276194" s="12" customFormat="1" x14ac:dyDescent="0.25"/>
    <row r="276195" s="12" customFormat="1" x14ac:dyDescent="0.25"/>
    <row r="276196" s="12" customFormat="1" x14ac:dyDescent="0.25"/>
    <row r="276197" s="12" customFormat="1" x14ac:dyDescent="0.25"/>
    <row r="276198" s="12" customFormat="1" x14ac:dyDescent="0.25"/>
    <row r="276199" s="12" customFormat="1" x14ac:dyDescent="0.25"/>
    <row r="276200" s="12" customFormat="1" x14ac:dyDescent="0.25"/>
    <row r="276201" s="12" customFormat="1" x14ac:dyDescent="0.25"/>
    <row r="276202" s="12" customFormat="1" x14ac:dyDescent="0.25"/>
    <row r="276203" s="12" customFormat="1" x14ac:dyDescent="0.25"/>
    <row r="276204" s="12" customFormat="1" x14ac:dyDescent="0.25"/>
    <row r="276205" s="12" customFormat="1" x14ac:dyDescent="0.25"/>
    <row r="276206" s="12" customFormat="1" x14ac:dyDescent="0.25"/>
    <row r="276207" s="12" customFormat="1" x14ac:dyDescent="0.25"/>
    <row r="276208" s="12" customFormat="1" x14ac:dyDescent="0.25"/>
    <row r="276209" s="12" customFormat="1" x14ac:dyDescent="0.25"/>
    <row r="276210" s="12" customFormat="1" x14ac:dyDescent="0.25"/>
    <row r="276211" s="12" customFormat="1" x14ac:dyDescent="0.25"/>
    <row r="276212" s="12" customFormat="1" x14ac:dyDescent="0.25"/>
    <row r="276213" s="12" customFormat="1" x14ac:dyDescent="0.25"/>
    <row r="276214" s="12" customFormat="1" x14ac:dyDescent="0.25"/>
    <row r="276215" s="12" customFormat="1" x14ac:dyDescent="0.25"/>
    <row r="276216" s="12" customFormat="1" x14ac:dyDescent="0.25"/>
    <row r="276217" s="12" customFormat="1" x14ac:dyDescent="0.25"/>
    <row r="276218" s="12" customFormat="1" x14ac:dyDescent="0.25"/>
    <row r="276219" s="12" customFormat="1" x14ac:dyDescent="0.25"/>
    <row r="276220" s="12" customFormat="1" x14ac:dyDescent="0.25"/>
    <row r="276221" s="12" customFormat="1" x14ac:dyDescent="0.25"/>
    <row r="276222" s="12" customFormat="1" x14ac:dyDescent="0.25"/>
    <row r="276223" s="12" customFormat="1" x14ac:dyDescent="0.25"/>
    <row r="276224" s="12" customFormat="1" x14ac:dyDescent="0.25"/>
    <row r="276225" s="12" customFormat="1" x14ac:dyDescent="0.25"/>
    <row r="276226" s="12" customFormat="1" x14ac:dyDescent="0.25"/>
    <row r="276227" s="12" customFormat="1" x14ac:dyDescent="0.25"/>
    <row r="276228" s="12" customFormat="1" x14ac:dyDescent="0.25"/>
    <row r="276229" s="12" customFormat="1" x14ac:dyDescent="0.25"/>
    <row r="276230" s="12" customFormat="1" x14ac:dyDescent="0.25"/>
    <row r="276231" s="12" customFormat="1" x14ac:dyDescent="0.25"/>
    <row r="276232" s="12" customFormat="1" x14ac:dyDescent="0.25"/>
    <row r="276233" s="12" customFormat="1" x14ac:dyDescent="0.25"/>
    <row r="276234" s="12" customFormat="1" x14ac:dyDescent="0.25"/>
    <row r="276235" s="12" customFormat="1" x14ac:dyDescent="0.25"/>
    <row r="276236" s="12" customFormat="1" x14ac:dyDescent="0.25"/>
    <row r="276237" s="12" customFormat="1" x14ac:dyDescent="0.25"/>
    <row r="276238" s="12" customFormat="1" x14ac:dyDescent="0.25"/>
    <row r="276239" s="12" customFormat="1" x14ac:dyDescent="0.25"/>
    <row r="276240" s="12" customFormat="1" x14ac:dyDescent="0.25"/>
    <row r="276241" s="12" customFormat="1" x14ac:dyDescent="0.25"/>
    <row r="276242" s="12" customFormat="1" x14ac:dyDescent="0.25"/>
    <row r="276243" s="12" customFormat="1" x14ac:dyDescent="0.25"/>
    <row r="276244" s="12" customFormat="1" x14ac:dyDescent="0.25"/>
    <row r="276245" s="12" customFormat="1" x14ac:dyDescent="0.25"/>
    <row r="276246" s="12" customFormat="1" x14ac:dyDescent="0.25"/>
    <row r="276247" s="12" customFormat="1" x14ac:dyDescent="0.25"/>
    <row r="276248" s="12" customFormat="1" x14ac:dyDescent="0.25"/>
    <row r="276249" s="12" customFormat="1" x14ac:dyDescent="0.25"/>
    <row r="276250" s="12" customFormat="1" x14ac:dyDescent="0.25"/>
    <row r="276251" s="12" customFormat="1" x14ac:dyDescent="0.25"/>
    <row r="276252" s="12" customFormat="1" x14ac:dyDescent="0.25"/>
    <row r="276253" s="12" customFormat="1" x14ac:dyDescent="0.25"/>
    <row r="276254" s="12" customFormat="1" x14ac:dyDescent="0.25"/>
    <row r="276255" s="12" customFormat="1" x14ac:dyDescent="0.25"/>
    <row r="276256" s="12" customFormat="1" x14ac:dyDescent="0.25"/>
    <row r="276257" s="12" customFormat="1" x14ac:dyDescent="0.25"/>
    <row r="276258" s="12" customFormat="1" x14ac:dyDescent="0.25"/>
    <row r="276259" s="12" customFormat="1" x14ac:dyDescent="0.25"/>
    <row r="276260" s="12" customFormat="1" x14ac:dyDescent="0.25"/>
    <row r="276261" s="12" customFormat="1" x14ac:dyDescent="0.25"/>
    <row r="276262" s="12" customFormat="1" x14ac:dyDescent="0.25"/>
    <row r="276263" s="12" customFormat="1" x14ac:dyDescent="0.25"/>
    <row r="276264" s="12" customFormat="1" x14ac:dyDescent="0.25"/>
    <row r="276265" s="12" customFormat="1" x14ac:dyDescent="0.25"/>
    <row r="276266" s="12" customFormat="1" x14ac:dyDescent="0.25"/>
    <row r="276267" s="12" customFormat="1" x14ac:dyDescent="0.25"/>
    <row r="276268" s="12" customFormat="1" x14ac:dyDescent="0.25"/>
    <row r="276269" s="12" customFormat="1" x14ac:dyDescent="0.25"/>
    <row r="276270" s="12" customFormat="1" x14ac:dyDescent="0.25"/>
    <row r="276271" s="12" customFormat="1" x14ac:dyDescent="0.25"/>
    <row r="276272" s="12" customFormat="1" x14ac:dyDescent="0.25"/>
    <row r="276273" s="12" customFormat="1" x14ac:dyDescent="0.25"/>
    <row r="276274" s="12" customFormat="1" x14ac:dyDescent="0.25"/>
    <row r="276275" s="12" customFormat="1" x14ac:dyDescent="0.25"/>
    <row r="276276" s="12" customFormat="1" x14ac:dyDescent="0.25"/>
    <row r="276277" s="12" customFormat="1" x14ac:dyDescent="0.25"/>
    <row r="276278" s="12" customFormat="1" x14ac:dyDescent="0.25"/>
    <row r="276279" s="12" customFormat="1" x14ac:dyDescent="0.25"/>
    <row r="276280" s="12" customFormat="1" x14ac:dyDescent="0.25"/>
    <row r="276281" s="12" customFormat="1" x14ac:dyDescent="0.25"/>
    <row r="276282" s="12" customFormat="1" x14ac:dyDescent="0.25"/>
    <row r="276283" s="12" customFormat="1" x14ac:dyDescent="0.25"/>
    <row r="276284" s="12" customFormat="1" x14ac:dyDescent="0.25"/>
    <row r="276285" s="12" customFormat="1" x14ac:dyDescent="0.25"/>
    <row r="276286" s="12" customFormat="1" x14ac:dyDescent="0.25"/>
    <row r="276287" s="12" customFormat="1" x14ac:dyDescent="0.25"/>
    <row r="276288" s="12" customFormat="1" x14ac:dyDescent="0.25"/>
    <row r="276289" s="12" customFormat="1" x14ac:dyDescent="0.25"/>
    <row r="276290" s="12" customFormat="1" x14ac:dyDescent="0.25"/>
    <row r="276291" s="12" customFormat="1" x14ac:dyDescent="0.25"/>
    <row r="276292" s="12" customFormat="1" x14ac:dyDescent="0.25"/>
    <row r="276293" s="12" customFormat="1" x14ac:dyDescent="0.25"/>
    <row r="276294" s="12" customFormat="1" x14ac:dyDescent="0.25"/>
    <row r="276295" s="12" customFormat="1" x14ac:dyDescent="0.25"/>
    <row r="276296" s="12" customFormat="1" x14ac:dyDescent="0.25"/>
    <row r="276297" s="12" customFormat="1" x14ac:dyDescent="0.25"/>
    <row r="276298" s="12" customFormat="1" x14ac:dyDescent="0.25"/>
    <row r="276299" s="12" customFormat="1" x14ac:dyDescent="0.25"/>
    <row r="276300" s="12" customFormat="1" x14ac:dyDescent="0.25"/>
    <row r="276301" s="12" customFormat="1" x14ac:dyDescent="0.25"/>
    <row r="276302" s="12" customFormat="1" x14ac:dyDescent="0.25"/>
    <row r="276303" s="12" customFormat="1" x14ac:dyDescent="0.25"/>
    <row r="276304" s="12" customFormat="1" x14ac:dyDescent="0.25"/>
    <row r="276305" s="12" customFormat="1" x14ac:dyDescent="0.25"/>
    <row r="276306" s="12" customFormat="1" x14ac:dyDescent="0.25"/>
    <row r="276307" s="12" customFormat="1" x14ac:dyDescent="0.25"/>
    <row r="276308" s="12" customFormat="1" x14ac:dyDescent="0.25"/>
    <row r="276309" s="12" customFormat="1" x14ac:dyDescent="0.25"/>
    <row r="276310" s="12" customFormat="1" x14ac:dyDescent="0.25"/>
    <row r="276311" s="12" customFormat="1" x14ac:dyDescent="0.25"/>
    <row r="276312" s="12" customFormat="1" x14ac:dyDescent="0.25"/>
    <row r="276313" s="12" customFormat="1" x14ac:dyDescent="0.25"/>
    <row r="276314" s="12" customFormat="1" x14ac:dyDescent="0.25"/>
    <row r="276315" s="12" customFormat="1" x14ac:dyDescent="0.25"/>
    <row r="276316" s="12" customFormat="1" x14ac:dyDescent="0.25"/>
    <row r="276317" s="12" customFormat="1" x14ac:dyDescent="0.25"/>
    <row r="276318" s="12" customFormat="1" x14ac:dyDescent="0.25"/>
    <row r="276319" s="12" customFormat="1" x14ac:dyDescent="0.25"/>
    <row r="276320" s="12" customFormat="1" x14ac:dyDescent="0.25"/>
    <row r="276321" s="12" customFormat="1" x14ac:dyDescent="0.25"/>
    <row r="276322" s="12" customFormat="1" x14ac:dyDescent="0.25"/>
    <row r="276323" s="12" customFormat="1" x14ac:dyDescent="0.25"/>
    <row r="276324" s="12" customFormat="1" x14ac:dyDescent="0.25"/>
    <row r="276325" s="12" customFormat="1" x14ac:dyDescent="0.25"/>
    <row r="276326" s="12" customFormat="1" x14ac:dyDescent="0.25"/>
    <row r="276327" s="12" customFormat="1" x14ac:dyDescent="0.25"/>
    <row r="276328" s="12" customFormat="1" x14ac:dyDescent="0.25"/>
    <row r="276329" s="12" customFormat="1" x14ac:dyDescent="0.25"/>
    <row r="276330" s="12" customFormat="1" x14ac:dyDescent="0.25"/>
    <row r="276331" s="12" customFormat="1" x14ac:dyDescent="0.25"/>
    <row r="276332" s="12" customFormat="1" x14ac:dyDescent="0.25"/>
    <row r="276333" s="12" customFormat="1" x14ac:dyDescent="0.25"/>
    <row r="276334" s="12" customFormat="1" x14ac:dyDescent="0.25"/>
    <row r="276335" s="12" customFormat="1" x14ac:dyDescent="0.25"/>
    <row r="276336" s="12" customFormat="1" x14ac:dyDescent="0.25"/>
    <row r="276337" s="12" customFormat="1" x14ac:dyDescent="0.25"/>
    <row r="276338" s="12" customFormat="1" x14ac:dyDescent="0.25"/>
    <row r="276339" s="12" customFormat="1" x14ac:dyDescent="0.25"/>
    <row r="276340" s="12" customFormat="1" x14ac:dyDescent="0.25"/>
    <row r="276341" s="12" customFormat="1" x14ac:dyDescent="0.25"/>
    <row r="276342" s="12" customFormat="1" x14ac:dyDescent="0.25"/>
    <row r="276343" s="12" customFormat="1" x14ac:dyDescent="0.25"/>
    <row r="276344" s="12" customFormat="1" x14ac:dyDescent="0.25"/>
    <row r="276345" s="12" customFormat="1" x14ac:dyDescent="0.25"/>
    <row r="276346" s="12" customFormat="1" x14ac:dyDescent="0.25"/>
    <row r="276347" s="12" customFormat="1" x14ac:dyDescent="0.25"/>
    <row r="276348" s="12" customFormat="1" x14ac:dyDescent="0.25"/>
    <row r="276349" s="12" customFormat="1" x14ac:dyDescent="0.25"/>
    <row r="276350" s="12" customFormat="1" x14ac:dyDescent="0.25"/>
    <row r="276351" s="12" customFormat="1" x14ac:dyDescent="0.25"/>
    <row r="276352" s="12" customFormat="1" x14ac:dyDescent="0.25"/>
    <row r="276353" s="12" customFormat="1" x14ac:dyDescent="0.25"/>
    <row r="276354" s="12" customFormat="1" x14ac:dyDescent="0.25"/>
    <row r="276355" s="12" customFormat="1" x14ac:dyDescent="0.25"/>
    <row r="276356" s="12" customFormat="1" x14ac:dyDescent="0.25"/>
    <row r="276357" s="12" customFormat="1" x14ac:dyDescent="0.25"/>
    <row r="276358" s="12" customFormat="1" x14ac:dyDescent="0.25"/>
    <row r="276359" s="12" customFormat="1" x14ac:dyDescent="0.25"/>
    <row r="276360" s="12" customFormat="1" x14ac:dyDescent="0.25"/>
    <row r="276361" s="12" customFormat="1" x14ac:dyDescent="0.25"/>
    <row r="276362" s="12" customFormat="1" x14ac:dyDescent="0.25"/>
    <row r="276363" s="12" customFormat="1" x14ac:dyDescent="0.25"/>
    <row r="276364" s="12" customFormat="1" x14ac:dyDescent="0.25"/>
    <row r="276365" s="12" customFormat="1" x14ac:dyDescent="0.25"/>
    <row r="276366" s="12" customFormat="1" x14ac:dyDescent="0.25"/>
    <row r="276367" s="12" customFormat="1" x14ac:dyDescent="0.25"/>
    <row r="276368" s="12" customFormat="1" x14ac:dyDescent="0.25"/>
    <row r="276369" s="12" customFormat="1" x14ac:dyDescent="0.25"/>
    <row r="276370" s="12" customFormat="1" x14ac:dyDescent="0.25"/>
    <row r="276371" s="12" customFormat="1" x14ac:dyDescent="0.25"/>
    <row r="276372" s="12" customFormat="1" x14ac:dyDescent="0.25"/>
    <row r="276373" s="12" customFormat="1" x14ac:dyDescent="0.25"/>
    <row r="276374" s="12" customFormat="1" x14ac:dyDescent="0.25"/>
    <row r="276375" s="12" customFormat="1" x14ac:dyDescent="0.25"/>
    <row r="276376" s="12" customFormat="1" x14ac:dyDescent="0.25"/>
    <row r="276377" s="12" customFormat="1" x14ac:dyDescent="0.25"/>
    <row r="276378" s="12" customFormat="1" x14ac:dyDescent="0.25"/>
    <row r="276379" s="12" customFormat="1" x14ac:dyDescent="0.25"/>
    <row r="276380" s="12" customFormat="1" x14ac:dyDescent="0.25"/>
    <row r="276381" s="12" customFormat="1" x14ac:dyDescent="0.25"/>
    <row r="276382" s="12" customFormat="1" x14ac:dyDescent="0.25"/>
    <row r="276383" s="12" customFormat="1" x14ac:dyDescent="0.25"/>
    <row r="276384" s="12" customFormat="1" x14ac:dyDescent="0.25"/>
    <row r="276385" s="12" customFormat="1" x14ac:dyDescent="0.25"/>
    <row r="276386" s="12" customFormat="1" x14ac:dyDescent="0.25"/>
    <row r="276387" s="12" customFormat="1" x14ac:dyDescent="0.25"/>
    <row r="276388" s="12" customFormat="1" x14ac:dyDescent="0.25"/>
    <row r="276389" s="12" customFormat="1" x14ac:dyDescent="0.25"/>
    <row r="276390" s="12" customFormat="1" x14ac:dyDescent="0.25"/>
    <row r="276391" s="12" customFormat="1" x14ac:dyDescent="0.25"/>
    <row r="276392" s="12" customFormat="1" x14ac:dyDescent="0.25"/>
    <row r="276393" s="12" customFormat="1" x14ac:dyDescent="0.25"/>
    <row r="276394" s="12" customFormat="1" x14ac:dyDescent="0.25"/>
    <row r="276395" s="12" customFormat="1" x14ac:dyDescent="0.25"/>
    <row r="276396" s="12" customFormat="1" x14ac:dyDescent="0.25"/>
    <row r="276397" s="12" customFormat="1" x14ac:dyDescent="0.25"/>
    <row r="276398" s="12" customFormat="1" x14ac:dyDescent="0.25"/>
    <row r="276399" s="12" customFormat="1" x14ac:dyDescent="0.25"/>
    <row r="276400" s="12" customFormat="1" x14ac:dyDescent="0.25"/>
    <row r="276401" s="12" customFormat="1" x14ac:dyDescent="0.25"/>
    <row r="276402" s="12" customFormat="1" x14ac:dyDescent="0.25"/>
    <row r="276403" s="12" customFormat="1" x14ac:dyDescent="0.25"/>
    <row r="276404" s="12" customFormat="1" x14ac:dyDescent="0.25"/>
    <row r="276405" s="12" customFormat="1" x14ac:dyDescent="0.25"/>
    <row r="276406" s="12" customFormat="1" x14ac:dyDescent="0.25"/>
    <row r="276407" s="12" customFormat="1" x14ac:dyDescent="0.25"/>
    <row r="276408" s="12" customFormat="1" x14ac:dyDescent="0.25"/>
    <row r="276409" s="12" customFormat="1" x14ac:dyDescent="0.25"/>
    <row r="276410" s="12" customFormat="1" x14ac:dyDescent="0.25"/>
    <row r="276411" s="12" customFormat="1" x14ac:dyDescent="0.25"/>
    <row r="276412" s="12" customFormat="1" x14ac:dyDescent="0.25"/>
    <row r="276413" s="12" customFormat="1" x14ac:dyDescent="0.25"/>
    <row r="276414" s="12" customFormat="1" x14ac:dyDescent="0.25"/>
    <row r="276415" s="12" customFormat="1" x14ac:dyDescent="0.25"/>
    <row r="276416" s="12" customFormat="1" x14ac:dyDescent="0.25"/>
    <row r="276417" s="12" customFormat="1" x14ac:dyDescent="0.25"/>
    <row r="276418" s="12" customFormat="1" x14ac:dyDescent="0.25"/>
    <row r="276419" s="12" customFormat="1" x14ac:dyDescent="0.25"/>
    <row r="276420" s="12" customFormat="1" x14ac:dyDescent="0.25"/>
    <row r="276421" s="12" customFormat="1" x14ac:dyDescent="0.25"/>
    <row r="276422" s="12" customFormat="1" x14ac:dyDescent="0.25"/>
    <row r="276423" s="12" customFormat="1" x14ac:dyDescent="0.25"/>
    <row r="276424" s="12" customFormat="1" x14ac:dyDescent="0.25"/>
    <row r="276425" s="12" customFormat="1" x14ac:dyDescent="0.25"/>
    <row r="276426" s="12" customFormat="1" x14ac:dyDescent="0.25"/>
    <row r="276427" s="12" customFormat="1" x14ac:dyDescent="0.25"/>
    <row r="276428" s="12" customFormat="1" x14ac:dyDescent="0.25"/>
    <row r="276429" s="12" customFormat="1" x14ac:dyDescent="0.25"/>
    <row r="276430" s="12" customFormat="1" x14ac:dyDescent="0.25"/>
    <row r="276431" s="12" customFormat="1" x14ac:dyDescent="0.25"/>
    <row r="276432" s="12" customFormat="1" x14ac:dyDescent="0.25"/>
    <row r="276433" s="12" customFormat="1" x14ac:dyDescent="0.25"/>
    <row r="276434" s="12" customFormat="1" x14ac:dyDescent="0.25"/>
    <row r="276435" s="12" customFormat="1" x14ac:dyDescent="0.25"/>
    <row r="276436" s="12" customFormat="1" x14ac:dyDescent="0.25"/>
    <row r="276437" s="12" customFormat="1" x14ac:dyDescent="0.25"/>
    <row r="276438" s="12" customFormat="1" x14ac:dyDescent="0.25"/>
    <row r="276439" s="12" customFormat="1" x14ac:dyDescent="0.25"/>
    <row r="276440" s="12" customFormat="1" x14ac:dyDescent="0.25"/>
    <row r="276441" s="12" customFormat="1" x14ac:dyDescent="0.25"/>
    <row r="276442" s="12" customFormat="1" x14ac:dyDescent="0.25"/>
    <row r="276443" s="12" customFormat="1" x14ac:dyDescent="0.25"/>
    <row r="276444" s="12" customFormat="1" x14ac:dyDescent="0.25"/>
    <row r="276445" s="12" customFormat="1" x14ac:dyDescent="0.25"/>
    <row r="276446" s="12" customFormat="1" x14ac:dyDescent="0.25"/>
    <row r="276447" s="12" customFormat="1" x14ac:dyDescent="0.25"/>
    <row r="276448" s="12" customFormat="1" x14ac:dyDescent="0.25"/>
    <row r="276449" s="12" customFormat="1" x14ac:dyDescent="0.25"/>
    <row r="276450" s="12" customFormat="1" x14ac:dyDescent="0.25"/>
    <row r="276451" s="12" customFormat="1" x14ac:dyDescent="0.25"/>
    <row r="276452" s="12" customFormat="1" x14ac:dyDescent="0.25"/>
    <row r="276453" s="12" customFormat="1" x14ac:dyDescent="0.25"/>
    <row r="276454" s="12" customFormat="1" x14ac:dyDescent="0.25"/>
    <row r="276455" s="12" customFormat="1" x14ac:dyDescent="0.25"/>
    <row r="276456" s="12" customFormat="1" x14ac:dyDescent="0.25"/>
    <row r="276457" s="12" customFormat="1" x14ac:dyDescent="0.25"/>
    <row r="276458" s="12" customFormat="1" x14ac:dyDescent="0.25"/>
    <row r="276459" s="12" customFormat="1" x14ac:dyDescent="0.25"/>
    <row r="276460" s="12" customFormat="1" x14ac:dyDescent="0.25"/>
    <row r="276461" s="12" customFormat="1" x14ac:dyDescent="0.25"/>
    <row r="276462" s="12" customFormat="1" x14ac:dyDescent="0.25"/>
    <row r="276463" s="12" customFormat="1" x14ac:dyDescent="0.25"/>
    <row r="276464" s="12" customFormat="1" x14ac:dyDescent="0.25"/>
    <row r="276465" s="12" customFormat="1" x14ac:dyDescent="0.25"/>
    <row r="276466" s="12" customFormat="1" x14ac:dyDescent="0.25"/>
    <row r="276467" s="12" customFormat="1" x14ac:dyDescent="0.25"/>
    <row r="276468" s="12" customFormat="1" x14ac:dyDescent="0.25"/>
    <row r="276469" s="12" customFormat="1" x14ac:dyDescent="0.25"/>
    <row r="276470" s="12" customFormat="1" x14ac:dyDescent="0.25"/>
    <row r="276471" s="12" customFormat="1" x14ac:dyDescent="0.25"/>
    <row r="276472" s="12" customFormat="1" x14ac:dyDescent="0.25"/>
    <row r="276473" s="12" customFormat="1" x14ac:dyDescent="0.25"/>
    <row r="276474" s="12" customFormat="1" x14ac:dyDescent="0.25"/>
    <row r="276475" s="12" customFormat="1" x14ac:dyDescent="0.25"/>
    <row r="276476" s="12" customFormat="1" x14ac:dyDescent="0.25"/>
    <row r="276477" s="12" customFormat="1" x14ac:dyDescent="0.25"/>
    <row r="276478" s="12" customFormat="1" x14ac:dyDescent="0.25"/>
    <row r="276479" s="12" customFormat="1" x14ac:dyDescent="0.25"/>
    <row r="276480" s="12" customFormat="1" x14ac:dyDescent="0.25"/>
    <row r="276481" s="12" customFormat="1" x14ac:dyDescent="0.25"/>
    <row r="276482" s="12" customFormat="1" x14ac:dyDescent="0.25"/>
    <row r="276483" s="12" customFormat="1" x14ac:dyDescent="0.25"/>
    <row r="276484" s="12" customFormat="1" x14ac:dyDescent="0.25"/>
    <row r="276485" s="12" customFormat="1" x14ac:dyDescent="0.25"/>
    <row r="276486" s="12" customFormat="1" x14ac:dyDescent="0.25"/>
    <row r="276487" s="12" customFormat="1" x14ac:dyDescent="0.25"/>
    <row r="276488" s="12" customFormat="1" x14ac:dyDescent="0.25"/>
    <row r="276489" s="12" customFormat="1" x14ac:dyDescent="0.25"/>
    <row r="276490" s="12" customFormat="1" x14ac:dyDescent="0.25"/>
    <row r="276491" s="12" customFormat="1" x14ac:dyDescent="0.25"/>
    <row r="276492" s="12" customFormat="1" x14ac:dyDescent="0.25"/>
    <row r="276493" s="12" customFormat="1" x14ac:dyDescent="0.25"/>
    <row r="276494" s="12" customFormat="1" x14ac:dyDescent="0.25"/>
    <row r="276495" s="12" customFormat="1" x14ac:dyDescent="0.25"/>
    <row r="276496" s="12" customFormat="1" x14ac:dyDescent="0.25"/>
    <row r="276497" s="12" customFormat="1" x14ac:dyDescent="0.25"/>
    <row r="276498" s="12" customFormat="1" x14ac:dyDescent="0.25"/>
    <row r="276499" s="12" customFormat="1" x14ac:dyDescent="0.25"/>
    <row r="276500" s="12" customFormat="1" x14ac:dyDescent="0.25"/>
    <row r="276501" s="12" customFormat="1" x14ac:dyDescent="0.25"/>
    <row r="276502" s="12" customFormat="1" x14ac:dyDescent="0.25"/>
    <row r="276503" s="12" customFormat="1" x14ac:dyDescent="0.25"/>
    <row r="276504" s="12" customFormat="1" x14ac:dyDescent="0.25"/>
    <row r="276505" s="12" customFormat="1" x14ac:dyDescent="0.25"/>
    <row r="276506" s="12" customFormat="1" x14ac:dyDescent="0.25"/>
    <row r="276507" s="12" customFormat="1" x14ac:dyDescent="0.25"/>
    <row r="276508" s="12" customFormat="1" x14ac:dyDescent="0.25"/>
    <row r="276509" s="12" customFormat="1" x14ac:dyDescent="0.25"/>
    <row r="276510" s="12" customFormat="1" x14ac:dyDescent="0.25"/>
    <row r="276511" s="12" customFormat="1" x14ac:dyDescent="0.25"/>
    <row r="276512" s="12" customFormat="1" x14ac:dyDescent="0.25"/>
    <row r="276513" s="12" customFormat="1" x14ac:dyDescent="0.25"/>
    <row r="276514" s="12" customFormat="1" x14ac:dyDescent="0.25"/>
    <row r="276515" s="12" customFormat="1" x14ac:dyDescent="0.25"/>
    <row r="276516" s="12" customFormat="1" x14ac:dyDescent="0.25"/>
    <row r="276517" s="12" customFormat="1" x14ac:dyDescent="0.25"/>
    <row r="276518" s="12" customFormat="1" x14ac:dyDescent="0.25"/>
    <row r="276519" s="12" customFormat="1" x14ac:dyDescent="0.25"/>
    <row r="276520" s="12" customFormat="1" x14ac:dyDescent="0.25"/>
    <row r="276521" s="12" customFormat="1" x14ac:dyDescent="0.25"/>
    <row r="276522" s="12" customFormat="1" x14ac:dyDescent="0.25"/>
    <row r="276523" s="12" customFormat="1" x14ac:dyDescent="0.25"/>
    <row r="276524" s="12" customFormat="1" x14ac:dyDescent="0.25"/>
    <row r="276525" s="12" customFormat="1" x14ac:dyDescent="0.25"/>
    <row r="276526" s="12" customFormat="1" x14ac:dyDescent="0.25"/>
    <row r="276527" s="12" customFormat="1" x14ac:dyDescent="0.25"/>
    <row r="276528" s="12" customFormat="1" x14ac:dyDescent="0.25"/>
    <row r="276529" s="12" customFormat="1" x14ac:dyDescent="0.25"/>
    <row r="276530" s="12" customFormat="1" x14ac:dyDescent="0.25"/>
    <row r="276531" s="12" customFormat="1" x14ac:dyDescent="0.25"/>
    <row r="276532" s="12" customFormat="1" x14ac:dyDescent="0.25"/>
    <row r="276533" s="12" customFormat="1" x14ac:dyDescent="0.25"/>
    <row r="276534" s="12" customFormat="1" x14ac:dyDescent="0.25"/>
    <row r="276535" s="12" customFormat="1" x14ac:dyDescent="0.25"/>
    <row r="276536" s="12" customFormat="1" x14ac:dyDescent="0.25"/>
    <row r="276537" s="12" customFormat="1" x14ac:dyDescent="0.25"/>
    <row r="276538" s="12" customFormat="1" x14ac:dyDescent="0.25"/>
    <row r="276539" s="12" customFormat="1" x14ac:dyDescent="0.25"/>
    <row r="276540" s="12" customFormat="1" x14ac:dyDescent="0.25"/>
    <row r="276541" s="12" customFormat="1" x14ac:dyDescent="0.25"/>
    <row r="276542" s="12" customFormat="1" x14ac:dyDescent="0.25"/>
    <row r="276543" s="12" customFormat="1" x14ac:dyDescent="0.25"/>
    <row r="276544" s="12" customFormat="1" x14ac:dyDescent="0.25"/>
    <row r="276545" s="12" customFormat="1" x14ac:dyDescent="0.25"/>
    <row r="276546" s="12" customFormat="1" x14ac:dyDescent="0.25"/>
    <row r="276547" s="12" customFormat="1" x14ac:dyDescent="0.25"/>
    <row r="276548" s="12" customFormat="1" x14ac:dyDescent="0.25"/>
    <row r="276549" s="12" customFormat="1" x14ac:dyDescent="0.25"/>
    <row r="276550" s="12" customFormat="1" x14ac:dyDescent="0.25"/>
    <row r="276551" s="12" customFormat="1" x14ac:dyDescent="0.25"/>
    <row r="276552" s="12" customFormat="1" x14ac:dyDescent="0.25"/>
    <row r="276553" s="12" customFormat="1" x14ac:dyDescent="0.25"/>
    <row r="276554" s="12" customFormat="1" x14ac:dyDescent="0.25"/>
    <row r="276555" s="12" customFormat="1" x14ac:dyDescent="0.25"/>
    <row r="276556" s="12" customFormat="1" x14ac:dyDescent="0.25"/>
    <row r="276557" s="12" customFormat="1" x14ac:dyDescent="0.25"/>
    <row r="276558" s="12" customFormat="1" x14ac:dyDescent="0.25"/>
    <row r="276559" s="12" customFormat="1" x14ac:dyDescent="0.25"/>
    <row r="276560" s="12" customFormat="1" x14ac:dyDescent="0.25"/>
    <row r="276561" s="12" customFormat="1" x14ac:dyDescent="0.25"/>
    <row r="276562" s="12" customFormat="1" x14ac:dyDescent="0.25"/>
    <row r="276563" s="12" customFormat="1" x14ac:dyDescent="0.25"/>
    <row r="276564" s="12" customFormat="1" x14ac:dyDescent="0.25"/>
    <row r="276565" s="12" customFormat="1" x14ac:dyDescent="0.25"/>
    <row r="276566" s="12" customFormat="1" x14ac:dyDescent="0.25"/>
    <row r="276567" s="12" customFormat="1" x14ac:dyDescent="0.25"/>
    <row r="276568" s="12" customFormat="1" x14ac:dyDescent="0.25"/>
    <row r="276569" s="12" customFormat="1" x14ac:dyDescent="0.25"/>
    <row r="276570" s="12" customFormat="1" x14ac:dyDescent="0.25"/>
    <row r="276571" s="12" customFormat="1" x14ac:dyDescent="0.25"/>
    <row r="276572" s="12" customFormat="1" x14ac:dyDescent="0.25"/>
    <row r="276573" s="12" customFormat="1" x14ac:dyDescent="0.25"/>
    <row r="276574" s="12" customFormat="1" x14ac:dyDescent="0.25"/>
    <row r="276575" s="12" customFormat="1" x14ac:dyDescent="0.25"/>
    <row r="276576" s="12" customFormat="1" x14ac:dyDescent="0.25"/>
    <row r="276577" s="12" customFormat="1" x14ac:dyDescent="0.25"/>
    <row r="276578" s="12" customFormat="1" x14ac:dyDescent="0.25"/>
    <row r="276579" s="12" customFormat="1" x14ac:dyDescent="0.25"/>
    <row r="276580" s="12" customFormat="1" x14ac:dyDescent="0.25"/>
    <row r="276581" s="12" customFormat="1" x14ac:dyDescent="0.25"/>
    <row r="276582" s="12" customFormat="1" x14ac:dyDescent="0.25"/>
    <row r="276583" s="12" customFormat="1" x14ac:dyDescent="0.25"/>
    <row r="276584" s="12" customFormat="1" x14ac:dyDescent="0.25"/>
    <row r="276585" s="12" customFormat="1" x14ac:dyDescent="0.25"/>
    <row r="276586" s="12" customFormat="1" x14ac:dyDescent="0.25"/>
    <row r="276587" s="12" customFormat="1" x14ac:dyDescent="0.25"/>
    <row r="276588" s="12" customFormat="1" x14ac:dyDescent="0.25"/>
    <row r="276589" s="12" customFormat="1" x14ac:dyDescent="0.25"/>
    <row r="276590" s="12" customFormat="1" x14ac:dyDescent="0.25"/>
    <row r="276591" s="12" customFormat="1" x14ac:dyDescent="0.25"/>
    <row r="276592" s="12" customFormat="1" x14ac:dyDescent="0.25"/>
    <row r="276593" s="12" customFormat="1" x14ac:dyDescent="0.25"/>
    <row r="276594" s="12" customFormat="1" x14ac:dyDescent="0.25"/>
    <row r="276595" s="12" customFormat="1" x14ac:dyDescent="0.25"/>
    <row r="276596" s="12" customFormat="1" x14ac:dyDescent="0.25"/>
    <row r="276597" s="12" customFormat="1" x14ac:dyDescent="0.25"/>
    <row r="276598" s="12" customFormat="1" x14ac:dyDescent="0.25"/>
    <row r="276599" s="12" customFormat="1" x14ac:dyDescent="0.25"/>
    <row r="276600" s="12" customFormat="1" x14ac:dyDescent="0.25"/>
    <row r="276601" s="12" customFormat="1" x14ac:dyDescent="0.25"/>
    <row r="276602" s="12" customFormat="1" x14ac:dyDescent="0.25"/>
    <row r="276603" s="12" customFormat="1" x14ac:dyDescent="0.25"/>
    <row r="276604" s="12" customFormat="1" x14ac:dyDescent="0.25"/>
    <row r="276605" s="12" customFormat="1" x14ac:dyDescent="0.25"/>
    <row r="276606" s="12" customFormat="1" x14ac:dyDescent="0.25"/>
    <row r="276607" s="12" customFormat="1" x14ac:dyDescent="0.25"/>
    <row r="276608" s="12" customFormat="1" x14ac:dyDescent="0.25"/>
    <row r="276609" s="12" customFormat="1" x14ac:dyDescent="0.25"/>
    <row r="276610" s="12" customFormat="1" x14ac:dyDescent="0.25"/>
    <row r="276611" s="12" customFormat="1" x14ac:dyDescent="0.25"/>
    <row r="276612" s="12" customFormat="1" x14ac:dyDescent="0.25"/>
    <row r="276613" s="12" customFormat="1" x14ac:dyDescent="0.25"/>
    <row r="276614" s="12" customFormat="1" x14ac:dyDescent="0.25"/>
    <row r="276615" s="12" customFormat="1" x14ac:dyDescent="0.25"/>
    <row r="276616" s="12" customFormat="1" x14ac:dyDescent="0.25"/>
    <row r="276617" s="12" customFormat="1" x14ac:dyDescent="0.25"/>
    <row r="276618" s="12" customFormat="1" x14ac:dyDescent="0.25"/>
    <row r="276619" s="12" customFormat="1" x14ac:dyDescent="0.25"/>
    <row r="276620" s="12" customFormat="1" x14ac:dyDescent="0.25"/>
    <row r="276621" s="12" customFormat="1" x14ac:dyDescent="0.25"/>
    <row r="276622" s="12" customFormat="1" x14ac:dyDescent="0.25"/>
    <row r="276623" s="12" customFormat="1" x14ac:dyDescent="0.25"/>
    <row r="276624" s="12" customFormat="1" x14ac:dyDescent="0.25"/>
    <row r="276625" s="12" customFormat="1" x14ac:dyDescent="0.25"/>
    <row r="276626" s="12" customFormat="1" x14ac:dyDescent="0.25"/>
    <row r="276627" s="12" customFormat="1" x14ac:dyDescent="0.25"/>
    <row r="276628" s="12" customFormat="1" x14ac:dyDescent="0.25"/>
    <row r="276629" s="12" customFormat="1" x14ac:dyDescent="0.25"/>
    <row r="276630" s="12" customFormat="1" x14ac:dyDescent="0.25"/>
    <row r="276631" s="12" customFormat="1" x14ac:dyDescent="0.25"/>
    <row r="276632" s="12" customFormat="1" x14ac:dyDescent="0.25"/>
    <row r="276633" s="12" customFormat="1" x14ac:dyDescent="0.25"/>
    <row r="276634" s="12" customFormat="1" x14ac:dyDescent="0.25"/>
    <row r="276635" s="12" customFormat="1" x14ac:dyDescent="0.25"/>
    <row r="276636" s="12" customFormat="1" x14ac:dyDescent="0.25"/>
    <row r="276637" s="12" customFormat="1" x14ac:dyDescent="0.25"/>
    <row r="276638" s="12" customFormat="1" x14ac:dyDescent="0.25"/>
    <row r="276639" s="12" customFormat="1" x14ac:dyDescent="0.25"/>
    <row r="276640" s="12" customFormat="1" x14ac:dyDescent="0.25"/>
    <row r="276641" s="12" customFormat="1" x14ac:dyDescent="0.25"/>
    <row r="276642" s="12" customFormat="1" x14ac:dyDescent="0.25"/>
    <row r="276643" s="12" customFormat="1" x14ac:dyDescent="0.25"/>
    <row r="276644" s="12" customFormat="1" x14ac:dyDescent="0.25"/>
    <row r="276645" s="12" customFormat="1" x14ac:dyDescent="0.25"/>
    <row r="276646" s="12" customFormat="1" x14ac:dyDescent="0.25"/>
    <row r="276647" s="12" customFormat="1" x14ac:dyDescent="0.25"/>
    <row r="276648" s="12" customFormat="1" x14ac:dyDescent="0.25"/>
    <row r="276649" s="12" customFormat="1" x14ac:dyDescent="0.25"/>
    <row r="276650" s="12" customFormat="1" x14ac:dyDescent="0.25"/>
    <row r="276651" s="12" customFormat="1" x14ac:dyDescent="0.25"/>
    <row r="276652" s="12" customFormat="1" x14ac:dyDescent="0.25"/>
    <row r="276653" s="12" customFormat="1" x14ac:dyDescent="0.25"/>
    <row r="276654" s="12" customFormat="1" x14ac:dyDescent="0.25"/>
    <row r="276655" s="12" customFormat="1" x14ac:dyDescent="0.25"/>
    <row r="276656" s="12" customFormat="1" x14ac:dyDescent="0.25"/>
    <row r="276657" s="12" customFormat="1" x14ac:dyDescent="0.25"/>
    <row r="276658" s="12" customFormat="1" x14ac:dyDescent="0.25"/>
    <row r="276659" s="12" customFormat="1" x14ac:dyDescent="0.25"/>
    <row r="276660" s="12" customFormat="1" x14ac:dyDescent="0.25"/>
    <row r="276661" s="12" customFormat="1" x14ac:dyDescent="0.25"/>
    <row r="276662" s="12" customFormat="1" x14ac:dyDescent="0.25"/>
    <row r="276663" s="12" customFormat="1" x14ac:dyDescent="0.25"/>
    <row r="276664" s="12" customFormat="1" x14ac:dyDescent="0.25"/>
    <row r="276665" s="12" customFormat="1" x14ac:dyDescent="0.25"/>
    <row r="276666" s="12" customFormat="1" x14ac:dyDescent="0.25"/>
    <row r="276667" s="12" customFormat="1" x14ac:dyDescent="0.25"/>
    <row r="276668" s="12" customFormat="1" x14ac:dyDescent="0.25"/>
    <row r="276669" s="12" customFormat="1" x14ac:dyDescent="0.25"/>
    <row r="276670" s="12" customFormat="1" x14ac:dyDescent="0.25"/>
    <row r="276671" s="12" customFormat="1" x14ac:dyDescent="0.25"/>
    <row r="276672" s="12" customFormat="1" x14ac:dyDescent="0.25"/>
    <row r="276673" s="12" customFormat="1" x14ac:dyDescent="0.25"/>
    <row r="276674" s="12" customFormat="1" x14ac:dyDescent="0.25"/>
    <row r="276675" s="12" customFormat="1" x14ac:dyDescent="0.25"/>
    <row r="276676" s="12" customFormat="1" x14ac:dyDescent="0.25"/>
    <row r="276677" s="12" customFormat="1" x14ac:dyDescent="0.25"/>
    <row r="276678" s="12" customFormat="1" x14ac:dyDescent="0.25"/>
    <row r="276679" s="12" customFormat="1" x14ac:dyDescent="0.25"/>
    <row r="276680" s="12" customFormat="1" x14ac:dyDescent="0.25"/>
    <row r="276681" s="12" customFormat="1" x14ac:dyDescent="0.25"/>
    <row r="276682" s="12" customFormat="1" x14ac:dyDescent="0.25"/>
    <row r="276683" s="12" customFormat="1" x14ac:dyDescent="0.25"/>
    <row r="276684" s="12" customFormat="1" x14ac:dyDescent="0.25"/>
    <row r="276685" s="12" customFormat="1" x14ac:dyDescent="0.25"/>
    <row r="276686" s="12" customFormat="1" x14ac:dyDescent="0.25"/>
    <row r="276687" s="12" customFormat="1" x14ac:dyDescent="0.25"/>
    <row r="276688" s="12" customFormat="1" x14ac:dyDescent="0.25"/>
    <row r="276689" s="12" customFormat="1" x14ac:dyDescent="0.25"/>
    <row r="276690" s="12" customFormat="1" x14ac:dyDescent="0.25"/>
    <row r="276691" s="12" customFormat="1" x14ac:dyDescent="0.25"/>
    <row r="276692" s="12" customFormat="1" x14ac:dyDescent="0.25"/>
    <row r="276693" s="12" customFormat="1" x14ac:dyDescent="0.25"/>
    <row r="276694" s="12" customFormat="1" x14ac:dyDescent="0.25"/>
    <row r="276695" s="12" customFormat="1" x14ac:dyDescent="0.25"/>
    <row r="276696" s="12" customFormat="1" x14ac:dyDescent="0.25"/>
    <row r="276697" s="12" customFormat="1" x14ac:dyDescent="0.25"/>
    <row r="276698" s="12" customFormat="1" x14ac:dyDescent="0.25"/>
    <row r="276699" s="12" customFormat="1" x14ac:dyDescent="0.25"/>
    <row r="276700" s="12" customFormat="1" x14ac:dyDescent="0.25"/>
    <row r="276701" s="12" customFormat="1" x14ac:dyDescent="0.25"/>
    <row r="276702" s="12" customFormat="1" x14ac:dyDescent="0.25"/>
    <row r="276703" s="12" customFormat="1" x14ac:dyDescent="0.25"/>
    <row r="276704" s="12" customFormat="1" x14ac:dyDescent="0.25"/>
    <row r="276705" s="12" customFormat="1" x14ac:dyDescent="0.25"/>
    <row r="276706" s="12" customFormat="1" x14ac:dyDescent="0.25"/>
    <row r="276707" s="12" customFormat="1" x14ac:dyDescent="0.25"/>
    <row r="276708" s="12" customFormat="1" x14ac:dyDescent="0.25"/>
    <row r="276709" s="12" customFormat="1" x14ac:dyDescent="0.25"/>
    <row r="276710" s="12" customFormat="1" x14ac:dyDescent="0.25"/>
    <row r="276711" s="12" customFormat="1" x14ac:dyDescent="0.25"/>
    <row r="276712" s="12" customFormat="1" x14ac:dyDescent="0.25"/>
    <row r="276713" s="12" customFormat="1" x14ac:dyDescent="0.25"/>
    <row r="276714" s="12" customFormat="1" x14ac:dyDescent="0.25"/>
    <row r="276715" s="12" customFormat="1" x14ac:dyDescent="0.25"/>
    <row r="276716" s="12" customFormat="1" x14ac:dyDescent="0.25"/>
    <row r="276717" s="12" customFormat="1" x14ac:dyDescent="0.25"/>
    <row r="276718" s="12" customFormat="1" x14ac:dyDescent="0.25"/>
    <row r="276719" s="12" customFormat="1" x14ac:dyDescent="0.25"/>
    <row r="276720" s="12" customFormat="1" x14ac:dyDescent="0.25"/>
    <row r="276721" s="12" customFormat="1" x14ac:dyDescent="0.25"/>
    <row r="276722" s="12" customFormat="1" x14ac:dyDescent="0.25"/>
    <row r="276723" s="12" customFormat="1" x14ac:dyDescent="0.25"/>
    <row r="276724" s="12" customFormat="1" x14ac:dyDescent="0.25"/>
    <row r="276725" s="12" customFormat="1" x14ac:dyDescent="0.25"/>
    <row r="276726" s="12" customFormat="1" x14ac:dyDescent="0.25"/>
    <row r="276727" s="12" customFormat="1" x14ac:dyDescent="0.25"/>
    <row r="276728" s="12" customFormat="1" x14ac:dyDescent="0.25"/>
    <row r="276729" s="12" customFormat="1" x14ac:dyDescent="0.25"/>
    <row r="276730" s="12" customFormat="1" x14ac:dyDescent="0.25"/>
    <row r="276731" s="12" customFormat="1" x14ac:dyDescent="0.25"/>
    <row r="276732" s="12" customFormat="1" x14ac:dyDescent="0.25"/>
    <row r="276733" s="12" customFormat="1" x14ac:dyDescent="0.25"/>
    <row r="276734" s="12" customFormat="1" x14ac:dyDescent="0.25"/>
    <row r="276735" s="12" customFormat="1" x14ac:dyDescent="0.25"/>
    <row r="276736" s="12" customFormat="1" x14ac:dyDescent="0.25"/>
    <row r="276737" s="12" customFormat="1" x14ac:dyDescent="0.25"/>
    <row r="276738" s="12" customFormat="1" x14ac:dyDescent="0.25"/>
    <row r="276739" s="12" customFormat="1" x14ac:dyDescent="0.25"/>
    <row r="276740" s="12" customFormat="1" x14ac:dyDescent="0.25"/>
    <row r="276741" s="12" customFormat="1" x14ac:dyDescent="0.25"/>
    <row r="276742" s="12" customFormat="1" x14ac:dyDescent="0.25"/>
    <row r="276743" s="12" customFormat="1" x14ac:dyDescent="0.25"/>
    <row r="276744" s="12" customFormat="1" x14ac:dyDescent="0.25"/>
    <row r="276745" s="12" customFormat="1" x14ac:dyDescent="0.25"/>
    <row r="276746" s="12" customFormat="1" x14ac:dyDescent="0.25"/>
    <row r="276747" s="12" customFormat="1" x14ac:dyDescent="0.25"/>
    <row r="276748" s="12" customFormat="1" x14ac:dyDescent="0.25"/>
    <row r="276749" s="12" customFormat="1" x14ac:dyDescent="0.25"/>
    <row r="276750" s="12" customFormat="1" x14ac:dyDescent="0.25"/>
    <row r="276751" s="12" customFormat="1" x14ac:dyDescent="0.25"/>
    <row r="276752" s="12" customFormat="1" x14ac:dyDescent="0.25"/>
    <row r="276753" s="12" customFormat="1" x14ac:dyDescent="0.25"/>
    <row r="276754" s="12" customFormat="1" x14ac:dyDescent="0.25"/>
    <row r="276755" s="12" customFormat="1" x14ac:dyDescent="0.25"/>
    <row r="276756" s="12" customFormat="1" x14ac:dyDescent="0.25"/>
    <row r="276757" s="12" customFormat="1" x14ac:dyDescent="0.25"/>
    <row r="276758" s="12" customFormat="1" x14ac:dyDescent="0.25"/>
    <row r="276759" s="12" customFormat="1" x14ac:dyDescent="0.25"/>
    <row r="276760" s="12" customFormat="1" x14ac:dyDescent="0.25"/>
    <row r="276761" s="12" customFormat="1" x14ac:dyDescent="0.25"/>
    <row r="276762" s="12" customFormat="1" x14ac:dyDescent="0.25"/>
    <row r="276763" s="12" customFormat="1" x14ac:dyDescent="0.25"/>
    <row r="276764" s="12" customFormat="1" x14ac:dyDescent="0.25"/>
    <row r="276765" s="12" customFormat="1" x14ac:dyDescent="0.25"/>
    <row r="276766" s="12" customFormat="1" x14ac:dyDescent="0.25"/>
    <row r="276767" s="12" customFormat="1" x14ac:dyDescent="0.25"/>
    <row r="276768" s="12" customFormat="1" x14ac:dyDescent="0.25"/>
    <row r="276769" s="12" customFormat="1" x14ac:dyDescent="0.25"/>
    <row r="276770" s="12" customFormat="1" x14ac:dyDescent="0.25"/>
    <row r="276771" s="12" customFormat="1" x14ac:dyDescent="0.25"/>
    <row r="276772" s="12" customFormat="1" x14ac:dyDescent="0.25"/>
    <row r="276773" s="12" customFormat="1" x14ac:dyDescent="0.25"/>
    <row r="276774" s="12" customFormat="1" x14ac:dyDescent="0.25"/>
    <row r="276775" s="12" customFormat="1" x14ac:dyDescent="0.25"/>
    <row r="276776" s="12" customFormat="1" x14ac:dyDescent="0.25"/>
    <row r="276777" s="12" customFormat="1" x14ac:dyDescent="0.25"/>
    <row r="276778" s="12" customFormat="1" x14ac:dyDescent="0.25"/>
    <row r="276779" s="12" customFormat="1" x14ac:dyDescent="0.25"/>
    <row r="276780" s="12" customFormat="1" x14ac:dyDescent="0.25"/>
    <row r="276781" s="12" customFormat="1" x14ac:dyDescent="0.25"/>
    <row r="276782" s="12" customFormat="1" x14ac:dyDescent="0.25"/>
    <row r="276783" s="12" customFormat="1" x14ac:dyDescent="0.25"/>
    <row r="276784" s="12" customFormat="1" x14ac:dyDescent="0.25"/>
    <row r="276785" s="12" customFormat="1" x14ac:dyDescent="0.25"/>
    <row r="276786" s="12" customFormat="1" x14ac:dyDescent="0.25"/>
    <row r="276787" s="12" customFormat="1" x14ac:dyDescent="0.25"/>
    <row r="276788" s="12" customFormat="1" x14ac:dyDescent="0.25"/>
    <row r="276789" s="12" customFormat="1" x14ac:dyDescent="0.25"/>
    <row r="276790" s="12" customFormat="1" x14ac:dyDescent="0.25"/>
    <row r="276791" s="12" customFormat="1" x14ac:dyDescent="0.25"/>
    <row r="276792" s="12" customFormat="1" x14ac:dyDescent="0.25"/>
    <row r="276793" s="12" customFormat="1" x14ac:dyDescent="0.25"/>
    <row r="276794" s="12" customFormat="1" x14ac:dyDescent="0.25"/>
    <row r="276795" s="12" customFormat="1" x14ac:dyDescent="0.25"/>
    <row r="276796" s="12" customFormat="1" x14ac:dyDescent="0.25"/>
    <row r="276797" s="12" customFormat="1" x14ac:dyDescent="0.25"/>
    <row r="276798" s="12" customFormat="1" x14ac:dyDescent="0.25"/>
    <row r="276799" s="12" customFormat="1" x14ac:dyDescent="0.25"/>
    <row r="276800" s="12" customFormat="1" x14ac:dyDescent="0.25"/>
    <row r="276801" s="12" customFormat="1" x14ac:dyDescent="0.25"/>
    <row r="276802" s="12" customFormat="1" x14ac:dyDescent="0.25"/>
    <row r="276803" s="12" customFormat="1" x14ac:dyDescent="0.25"/>
    <row r="276804" s="12" customFormat="1" x14ac:dyDescent="0.25"/>
    <row r="276805" s="12" customFormat="1" x14ac:dyDescent="0.25"/>
    <row r="276806" s="12" customFormat="1" x14ac:dyDescent="0.25"/>
    <row r="276807" s="12" customFormat="1" x14ac:dyDescent="0.25"/>
    <row r="276808" s="12" customFormat="1" x14ac:dyDescent="0.25"/>
    <row r="276809" s="12" customFormat="1" x14ac:dyDescent="0.25"/>
    <row r="276810" s="12" customFormat="1" x14ac:dyDescent="0.25"/>
    <row r="276811" s="12" customFormat="1" x14ac:dyDescent="0.25"/>
    <row r="276812" s="12" customFormat="1" x14ac:dyDescent="0.25"/>
    <row r="276813" s="12" customFormat="1" x14ac:dyDescent="0.25"/>
    <row r="276814" s="12" customFormat="1" x14ac:dyDescent="0.25"/>
    <row r="276815" s="12" customFormat="1" x14ac:dyDescent="0.25"/>
    <row r="276816" s="12" customFormat="1" x14ac:dyDescent="0.25"/>
    <row r="276817" s="12" customFormat="1" x14ac:dyDescent="0.25"/>
    <row r="276818" s="12" customFormat="1" x14ac:dyDescent="0.25"/>
    <row r="276819" s="12" customFormat="1" x14ac:dyDescent="0.25"/>
    <row r="276820" s="12" customFormat="1" x14ac:dyDescent="0.25"/>
    <row r="276821" s="12" customFormat="1" x14ac:dyDescent="0.25"/>
    <row r="276822" s="12" customFormat="1" x14ac:dyDescent="0.25"/>
    <row r="276823" s="12" customFormat="1" x14ac:dyDescent="0.25"/>
    <row r="276824" s="12" customFormat="1" x14ac:dyDescent="0.25"/>
    <row r="276825" s="12" customFormat="1" x14ac:dyDescent="0.25"/>
    <row r="276826" s="12" customFormat="1" x14ac:dyDescent="0.25"/>
    <row r="276827" s="12" customFormat="1" x14ac:dyDescent="0.25"/>
    <row r="276828" s="12" customFormat="1" x14ac:dyDescent="0.25"/>
    <row r="276829" s="12" customFormat="1" x14ac:dyDescent="0.25"/>
    <row r="276830" s="12" customFormat="1" x14ac:dyDescent="0.25"/>
    <row r="276831" s="12" customFormat="1" x14ac:dyDescent="0.25"/>
    <row r="276832" s="12" customFormat="1" x14ac:dyDescent="0.25"/>
    <row r="276833" s="12" customFormat="1" x14ac:dyDescent="0.25"/>
    <row r="276834" s="12" customFormat="1" x14ac:dyDescent="0.25"/>
    <row r="276835" s="12" customFormat="1" x14ac:dyDescent="0.25"/>
    <row r="276836" s="12" customFormat="1" x14ac:dyDescent="0.25"/>
    <row r="276837" s="12" customFormat="1" x14ac:dyDescent="0.25"/>
    <row r="276838" s="12" customFormat="1" x14ac:dyDescent="0.25"/>
    <row r="276839" s="12" customFormat="1" x14ac:dyDescent="0.25"/>
    <row r="276840" s="12" customFormat="1" x14ac:dyDescent="0.25"/>
    <row r="276841" s="12" customFormat="1" x14ac:dyDescent="0.25"/>
    <row r="276842" s="12" customFormat="1" x14ac:dyDescent="0.25"/>
    <row r="276843" s="12" customFormat="1" x14ac:dyDescent="0.25"/>
    <row r="276844" s="12" customFormat="1" x14ac:dyDescent="0.25"/>
    <row r="276845" s="12" customFormat="1" x14ac:dyDescent="0.25"/>
    <row r="276846" s="12" customFormat="1" x14ac:dyDescent="0.25"/>
    <row r="276847" s="12" customFormat="1" x14ac:dyDescent="0.25"/>
    <row r="276848" s="12" customFormat="1" x14ac:dyDescent="0.25"/>
    <row r="276849" s="12" customFormat="1" x14ac:dyDescent="0.25"/>
    <row r="276850" s="12" customFormat="1" x14ac:dyDescent="0.25"/>
    <row r="276851" s="12" customFormat="1" x14ac:dyDescent="0.25"/>
    <row r="276852" s="12" customFormat="1" x14ac:dyDescent="0.25"/>
    <row r="276853" s="12" customFormat="1" x14ac:dyDescent="0.25"/>
    <row r="276854" s="12" customFormat="1" x14ac:dyDescent="0.25"/>
    <row r="276855" s="12" customFormat="1" x14ac:dyDescent="0.25"/>
    <row r="276856" s="12" customFormat="1" x14ac:dyDescent="0.25"/>
    <row r="276857" s="12" customFormat="1" x14ac:dyDescent="0.25"/>
    <row r="276858" s="12" customFormat="1" x14ac:dyDescent="0.25"/>
    <row r="276859" s="12" customFormat="1" x14ac:dyDescent="0.25"/>
    <row r="276860" s="12" customFormat="1" x14ac:dyDescent="0.25"/>
    <row r="276861" s="12" customFormat="1" x14ac:dyDescent="0.25"/>
    <row r="276862" s="12" customFormat="1" x14ac:dyDescent="0.25"/>
    <row r="276863" s="12" customFormat="1" x14ac:dyDescent="0.25"/>
    <row r="276864" s="12" customFormat="1" x14ac:dyDescent="0.25"/>
    <row r="276865" s="12" customFormat="1" x14ac:dyDescent="0.25"/>
    <row r="276866" s="12" customFormat="1" x14ac:dyDescent="0.25"/>
    <row r="276867" s="12" customFormat="1" x14ac:dyDescent="0.25"/>
    <row r="276868" s="12" customFormat="1" x14ac:dyDescent="0.25"/>
    <row r="276869" s="12" customFormat="1" x14ac:dyDescent="0.25"/>
    <row r="276870" s="12" customFormat="1" x14ac:dyDescent="0.25"/>
    <row r="276871" s="12" customFormat="1" x14ac:dyDescent="0.25"/>
    <row r="276872" s="12" customFormat="1" x14ac:dyDescent="0.25"/>
    <row r="276873" s="12" customFormat="1" x14ac:dyDescent="0.25"/>
    <row r="276874" s="12" customFormat="1" x14ac:dyDescent="0.25"/>
    <row r="276875" s="12" customFormat="1" x14ac:dyDescent="0.25"/>
    <row r="276876" s="12" customFormat="1" x14ac:dyDescent="0.25"/>
    <row r="276877" s="12" customFormat="1" x14ac:dyDescent="0.25"/>
    <row r="276878" s="12" customFormat="1" x14ac:dyDescent="0.25"/>
    <row r="276879" s="12" customFormat="1" x14ac:dyDescent="0.25"/>
    <row r="276880" s="12" customFormat="1" x14ac:dyDescent="0.25"/>
    <row r="276881" s="12" customFormat="1" x14ac:dyDescent="0.25"/>
    <row r="276882" s="12" customFormat="1" x14ac:dyDescent="0.25"/>
    <row r="276883" s="12" customFormat="1" x14ac:dyDescent="0.25"/>
    <row r="276884" s="12" customFormat="1" x14ac:dyDescent="0.25"/>
    <row r="276885" s="12" customFormat="1" x14ac:dyDescent="0.25"/>
    <row r="276886" s="12" customFormat="1" x14ac:dyDescent="0.25"/>
    <row r="276887" s="12" customFormat="1" x14ac:dyDescent="0.25"/>
    <row r="276888" s="12" customFormat="1" x14ac:dyDescent="0.25"/>
    <row r="276889" s="12" customFormat="1" x14ac:dyDescent="0.25"/>
    <row r="276890" s="12" customFormat="1" x14ac:dyDescent="0.25"/>
    <row r="276891" s="12" customFormat="1" x14ac:dyDescent="0.25"/>
    <row r="276892" s="12" customFormat="1" x14ac:dyDescent="0.25"/>
    <row r="276893" s="12" customFormat="1" x14ac:dyDescent="0.25"/>
    <row r="276894" s="12" customFormat="1" x14ac:dyDescent="0.25"/>
    <row r="276895" s="12" customFormat="1" x14ac:dyDescent="0.25"/>
    <row r="276896" s="12" customFormat="1" x14ac:dyDescent="0.25"/>
    <row r="276897" s="12" customFormat="1" x14ac:dyDescent="0.25"/>
    <row r="276898" s="12" customFormat="1" x14ac:dyDescent="0.25"/>
    <row r="276899" s="12" customFormat="1" x14ac:dyDescent="0.25"/>
    <row r="276900" s="12" customFormat="1" x14ac:dyDescent="0.25"/>
    <row r="276901" s="12" customFormat="1" x14ac:dyDescent="0.25"/>
    <row r="276902" s="12" customFormat="1" x14ac:dyDescent="0.25"/>
    <row r="276903" s="12" customFormat="1" x14ac:dyDescent="0.25"/>
    <row r="276904" s="12" customFormat="1" x14ac:dyDescent="0.25"/>
    <row r="276905" s="12" customFormat="1" x14ac:dyDescent="0.25"/>
    <row r="276906" s="12" customFormat="1" x14ac:dyDescent="0.25"/>
    <row r="276907" s="12" customFormat="1" x14ac:dyDescent="0.25"/>
    <row r="276908" s="12" customFormat="1" x14ac:dyDescent="0.25"/>
    <row r="276909" s="12" customFormat="1" x14ac:dyDescent="0.25"/>
    <row r="276910" s="12" customFormat="1" x14ac:dyDescent="0.25"/>
    <row r="276911" s="12" customFormat="1" x14ac:dyDescent="0.25"/>
    <row r="276912" s="12" customFormat="1" x14ac:dyDescent="0.25"/>
    <row r="276913" s="12" customFormat="1" x14ac:dyDescent="0.25"/>
    <row r="276914" s="12" customFormat="1" x14ac:dyDescent="0.25"/>
    <row r="276915" s="12" customFormat="1" x14ac:dyDescent="0.25"/>
    <row r="276916" s="12" customFormat="1" x14ac:dyDescent="0.25"/>
    <row r="276917" s="12" customFormat="1" x14ac:dyDescent="0.25"/>
    <row r="276918" s="12" customFormat="1" x14ac:dyDescent="0.25"/>
    <row r="276919" s="12" customFormat="1" x14ac:dyDescent="0.25"/>
    <row r="276920" s="12" customFormat="1" x14ac:dyDescent="0.25"/>
    <row r="276921" s="12" customFormat="1" x14ac:dyDescent="0.25"/>
    <row r="276922" s="12" customFormat="1" x14ac:dyDescent="0.25"/>
    <row r="276923" s="12" customFormat="1" x14ac:dyDescent="0.25"/>
    <row r="276924" s="12" customFormat="1" x14ac:dyDescent="0.25"/>
    <row r="276925" s="12" customFormat="1" x14ac:dyDescent="0.25"/>
    <row r="276926" s="12" customFormat="1" x14ac:dyDescent="0.25"/>
    <row r="276927" s="12" customFormat="1" x14ac:dyDescent="0.25"/>
    <row r="276928" s="12" customFormat="1" x14ac:dyDescent="0.25"/>
    <row r="276929" s="12" customFormat="1" x14ac:dyDescent="0.25"/>
    <row r="276930" s="12" customFormat="1" x14ac:dyDescent="0.25"/>
    <row r="276931" s="12" customFormat="1" x14ac:dyDescent="0.25"/>
    <row r="276932" s="12" customFormat="1" x14ac:dyDescent="0.25"/>
    <row r="276933" s="12" customFormat="1" x14ac:dyDescent="0.25"/>
    <row r="276934" s="12" customFormat="1" x14ac:dyDescent="0.25"/>
    <row r="276935" s="12" customFormat="1" x14ac:dyDescent="0.25"/>
    <row r="276936" s="12" customFormat="1" x14ac:dyDescent="0.25"/>
    <row r="276937" s="12" customFormat="1" x14ac:dyDescent="0.25"/>
    <row r="276938" s="12" customFormat="1" x14ac:dyDescent="0.25"/>
    <row r="276939" s="12" customFormat="1" x14ac:dyDescent="0.25"/>
    <row r="276940" s="12" customFormat="1" x14ac:dyDescent="0.25"/>
    <row r="276941" s="12" customFormat="1" x14ac:dyDescent="0.25"/>
    <row r="276942" s="12" customFormat="1" x14ac:dyDescent="0.25"/>
    <row r="276943" s="12" customFormat="1" x14ac:dyDescent="0.25"/>
    <row r="276944" s="12" customFormat="1" x14ac:dyDescent="0.25"/>
    <row r="276945" s="12" customFormat="1" x14ac:dyDescent="0.25"/>
    <row r="276946" s="12" customFormat="1" x14ac:dyDescent="0.25"/>
    <row r="276947" s="12" customFormat="1" x14ac:dyDescent="0.25"/>
    <row r="276948" s="12" customFormat="1" x14ac:dyDescent="0.25"/>
    <row r="276949" s="12" customFormat="1" x14ac:dyDescent="0.25"/>
    <row r="276950" s="12" customFormat="1" x14ac:dyDescent="0.25"/>
    <row r="276951" s="12" customFormat="1" x14ac:dyDescent="0.25"/>
    <row r="276952" s="12" customFormat="1" x14ac:dyDescent="0.25"/>
    <row r="276953" s="12" customFormat="1" x14ac:dyDescent="0.25"/>
    <row r="276954" s="12" customFormat="1" x14ac:dyDescent="0.25"/>
    <row r="276955" s="12" customFormat="1" x14ac:dyDescent="0.25"/>
    <row r="276956" s="12" customFormat="1" x14ac:dyDescent="0.25"/>
    <row r="276957" s="12" customFormat="1" x14ac:dyDescent="0.25"/>
    <row r="276958" s="12" customFormat="1" x14ac:dyDescent="0.25"/>
    <row r="276959" s="12" customFormat="1" x14ac:dyDescent="0.25"/>
    <row r="276960" s="12" customFormat="1" x14ac:dyDescent="0.25"/>
    <row r="276961" s="12" customFormat="1" x14ac:dyDescent="0.25"/>
    <row r="276962" s="12" customFormat="1" x14ac:dyDescent="0.25"/>
    <row r="276963" s="12" customFormat="1" x14ac:dyDescent="0.25"/>
    <row r="276964" s="12" customFormat="1" x14ac:dyDescent="0.25"/>
    <row r="276965" s="12" customFormat="1" x14ac:dyDescent="0.25"/>
    <row r="276966" s="12" customFormat="1" x14ac:dyDescent="0.25"/>
    <row r="276967" s="12" customFormat="1" x14ac:dyDescent="0.25"/>
    <row r="276968" s="12" customFormat="1" x14ac:dyDescent="0.25"/>
    <row r="276969" s="12" customFormat="1" x14ac:dyDescent="0.25"/>
    <row r="276970" s="12" customFormat="1" x14ac:dyDescent="0.25"/>
    <row r="276971" s="12" customFormat="1" x14ac:dyDescent="0.25"/>
    <row r="276972" s="12" customFormat="1" x14ac:dyDescent="0.25"/>
    <row r="276973" s="12" customFormat="1" x14ac:dyDescent="0.25"/>
    <row r="276974" s="12" customFormat="1" x14ac:dyDescent="0.25"/>
    <row r="276975" s="12" customFormat="1" x14ac:dyDescent="0.25"/>
    <row r="276976" s="12" customFormat="1" x14ac:dyDescent="0.25"/>
    <row r="276977" s="12" customFormat="1" x14ac:dyDescent="0.25"/>
    <row r="276978" s="12" customFormat="1" x14ac:dyDescent="0.25"/>
    <row r="276979" s="12" customFormat="1" x14ac:dyDescent="0.25"/>
    <row r="276980" s="12" customFormat="1" x14ac:dyDescent="0.25"/>
    <row r="276981" s="12" customFormat="1" x14ac:dyDescent="0.25"/>
    <row r="276982" s="12" customFormat="1" x14ac:dyDescent="0.25"/>
    <row r="276983" s="12" customFormat="1" x14ac:dyDescent="0.25"/>
    <row r="276984" s="12" customFormat="1" x14ac:dyDescent="0.25"/>
    <row r="276985" s="12" customFormat="1" x14ac:dyDescent="0.25"/>
    <row r="276986" s="12" customFormat="1" x14ac:dyDescent="0.25"/>
    <row r="276987" s="12" customFormat="1" x14ac:dyDescent="0.25"/>
    <row r="276988" s="12" customFormat="1" x14ac:dyDescent="0.25"/>
    <row r="276989" s="12" customFormat="1" x14ac:dyDescent="0.25"/>
    <row r="276990" s="12" customFormat="1" x14ac:dyDescent="0.25"/>
    <row r="276991" s="12" customFormat="1" x14ac:dyDescent="0.25"/>
    <row r="276992" s="12" customFormat="1" x14ac:dyDescent="0.25"/>
    <row r="276993" s="12" customFormat="1" x14ac:dyDescent="0.25"/>
    <row r="276994" s="12" customFormat="1" x14ac:dyDescent="0.25"/>
    <row r="276995" s="12" customFormat="1" x14ac:dyDescent="0.25"/>
    <row r="276996" s="12" customFormat="1" x14ac:dyDescent="0.25"/>
    <row r="276997" s="12" customFormat="1" x14ac:dyDescent="0.25"/>
    <row r="276998" s="12" customFormat="1" x14ac:dyDescent="0.25"/>
    <row r="276999" s="12" customFormat="1" x14ac:dyDescent="0.25"/>
    <row r="277000" s="12" customFormat="1" x14ac:dyDescent="0.25"/>
    <row r="277001" s="12" customFormat="1" x14ac:dyDescent="0.25"/>
    <row r="277002" s="12" customFormat="1" x14ac:dyDescent="0.25"/>
    <row r="277003" s="12" customFormat="1" x14ac:dyDescent="0.25"/>
    <row r="277004" s="12" customFormat="1" x14ac:dyDescent="0.25"/>
    <row r="277005" s="12" customFormat="1" x14ac:dyDescent="0.25"/>
    <row r="277006" s="12" customFormat="1" x14ac:dyDescent="0.25"/>
    <row r="277007" s="12" customFormat="1" x14ac:dyDescent="0.25"/>
    <row r="277008" s="12" customFormat="1" x14ac:dyDescent="0.25"/>
    <row r="277009" s="12" customFormat="1" x14ac:dyDescent="0.25"/>
    <row r="277010" s="12" customFormat="1" x14ac:dyDescent="0.25"/>
    <row r="277011" s="12" customFormat="1" x14ac:dyDescent="0.25"/>
    <row r="277012" s="12" customFormat="1" x14ac:dyDescent="0.25"/>
    <row r="277013" s="12" customFormat="1" x14ac:dyDescent="0.25"/>
    <row r="277014" s="12" customFormat="1" x14ac:dyDescent="0.25"/>
    <row r="277015" s="12" customFormat="1" x14ac:dyDescent="0.25"/>
    <row r="277016" s="12" customFormat="1" x14ac:dyDescent="0.25"/>
    <row r="277017" s="12" customFormat="1" x14ac:dyDescent="0.25"/>
    <row r="277018" s="12" customFormat="1" x14ac:dyDescent="0.25"/>
    <row r="277019" s="12" customFormat="1" x14ac:dyDescent="0.25"/>
    <row r="277020" s="12" customFormat="1" x14ac:dyDescent="0.25"/>
    <row r="277021" s="12" customFormat="1" x14ac:dyDescent="0.25"/>
    <row r="277022" s="12" customFormat="1" x14ac:dyDescent="0.25"/>
    <row r="277023" s="12" customFormat="1" x14ac:dyDescent="0.25"/>
    <row r="277024" s="12" customFormat="1" x14ac:dyDescent="0.25"/>
    <row r="277025" s="12" customFormat="1" x14ac:dyDescent="0.25"/>
    <row r="277026" s="12" customFormat="1" x14ac:dyDescent="0.25"/>
    <row r="277027" s="12" customFormat="1" x14ac:dyDescent="0.25"/>
    <row r="277028" s="12" customFormat="1" x14ac:dyDescent="0.25"/>
    <row r="277029" s="12" customFormat="1" x14ac:dyDescent="0.25"/>
    <row r="277030" s="12" customFormat="1" x14ac:dyDescent="0.25"/>
    <row r="277031" s="12" customFormat="1" x14ac:dyDescent="0.25"/>
    <row r="277032" s="12" customFormat="1" x14ac:dyDescent="0.25"/>
    <row r="277033" s="12" customFormat="1" x14ac:dyDescent="0.25"/>
    <row r="277034" s="12" customFormat="1" x14ac:dyDescent="0.25"/>
    <row r="277035" s="12" customFormat="1" x14ac:dyDescent="0.25"/>
    <row r="277036" s="12" customFormat="1" x14ac:dyDescent="0.25"/>
    <row r="277037" s="12" customFormat="1" x14ac:dyDescent="0.25"/>
    <row r="277038" s="12" customFormat="1" x14ac:dyDescent="0.25"/>
    <row r="277039" s="12" customFormat="1" x14ac:dyDescent="0.25"/>
    <row r="277040" s="12" customFormat="1" x14ac:dyDescent="0.25"/>
    <row r="277041" s="12" customFormat="1" x14ac:dyDescent="0.25"/>
    <row r="277042" s="12" customFormat="1" x14ac:dyDescent="0.25"/>
    <row r="277043" s="12" customFormat="1" x14ac:dyDescent="0.25"/>
    <row r="277044" s="12" customFormat="1" x14ac:dyDescent="0.25"/>
    <row r="277045" s="12" customFormat="1" x14ac:dyDescent="0.25"/>
    <row r="277046" s="12" customFormat="1" x14ac:dyDescent="0.25"/>
    <row r="277047" s="12" customFormat="1" x14ac:dyDescent="0.25"/>
    <row r="277048" s="12" customFormat="1" x14ac:dyDescent="0.25"/>
    <row r="277049" s="12" customFormat="1" x14ac:dyDescent="0.25"/>
    <row r="277050" s="12" customFormat="1" x14ac:dyDescent="0.25"/>
    <row r="277051" s="12" customFormat="1" x14ac:dyDescent="0.25"/>
    <row r="277052" s="12" customFormat="1" x14ac:dyDescent="0.25"/>
    <row r="277053" s="12" customFormat="1" x14ac:dyDescent="0.25"/>
    <row r="277054" s="12" customFormat="1" x14ac:dyDescent="0.25"/>
    <row r="277055" s="12" customFormat="1" x14ac:dyDescent="0.25"/>
    <row r="277056" s="12" customFormat="1" x14ac:dyDescent="0.25"/>
    <row r="277057" s="12" customFormat="1" x14ac:dyDescent="0.25"/>
    <row r="277058" s="12" customFormat="1" x14ac:dyDescent="0.25"/>
    <row r="277059" s="12" customFormat="1" x14ac:dyDescent="0.25"/>
    <row r="277060" s="12" customFormat="1" x14ac:dyDescent="0.25"/>
    <row r="277061" s="12" customFormat="1" x14ac:dyDescent="0.25"/>
    <row r="277062" s="12" customFormat="1" x14ac:dyDescent="0.25"/>
    <row r="277063" s="12" customFormat="1" x14ac:dyDescent="0.25"/>
    <row r="277064" s="12" customFormat="1" x14ac:dyDescent="0.25"/>
    <row r="277065" s="12" customFormat="1" x14ac:dyDescent="0.25"/>
    <row r="277066" s="12" customFormat="1" x14ac:dyDescent="0.25"/>
    <row r="277067" s="12" customFormat="1" x14ac:dyDescent="0.25"/>
    <row r="277068" s="12" customFormat="1" x14ac:dyDescent="0.25"/>
    <row r="277069" s="12" customFormat="1" x14ac:dyDescent="0.25"/>
    <row r="277070" s="12" customFormat="1" x14ac:dyDescent="0.25"/>
    <row r="277071" s="12" customFormat="1" x14ac:dyDescent="0.25"/>
    <row r="277072" s="12" customFormat="1" x14ac:dyDescent="0.25"/>
    <row r="277073" s="12" customFormat="1" x14ac:dyDescent="0.25"/>
    <row r="277074" s="12" customFormat="1" x14ac:dyDescent="0.25"/>
    <row r="277075" s="12" customFormat="1" x14ac:dyDescent="0.25"/>
    <row r="277076" s="12" customFormat="1" x14ac:dyDescent="0.25"/>
    <row r="277077" s="12" customFormat="1" x14ac:dyDescent="0.25"/>
    <row r="277078" s="12" customFormat="1" x14ac:dyDescent="0.25"/>
    <row r="277079" s="12" customFormat="1" x14ac:dyDescent="0.25"/>
    <row r="277080" s="12" customFormat="1" x14ac:dyDescent="0.25"/>
    <row r="277081" s="12" customFormat="1" x14ac:dyDescent="0.25"/>
    <row r="277082" s="12" customFormat="1" x14ac:dyDescent="0.25"/>
    <row r="277083" s="12" customFormat="1" x14ac:dyDescent="0.25"/>
    <row r="277084" s="12" customFormat="1" x14ac:dyDescent="0.25"/>
    <row r="277085" s="12" customFormat="1" x14ac:dyDescent="0.25"/>
    <row r="277086" s="12" customFormat="1" x14ac:dyDescent="0.25"/>
    <row r="277087" s="12" customFormat="1" x14ac:dyDescent="0.25"/>
    <row r="277088" s="12" customFormat="1" x14ac:dyDescent="0.25"/>
    <row r="277089" s="12" customFormat="1" x14ac:dyDescent="0.25"/>
    <row r="277090" s="12" customFormat="1" x14ac:dyDescent="0.25"/>
    <row r="277091" s="12" customFormat="1" x14ac:dyDescent="0.25"/>
    <row r="277092" s="12" customFormat="1" x14ac:dyDescent="0.25"/>
    <row r="277093" s="12" customFormat="1" x14ac:dyDescent="0.25"/>
    <row r="277094" s="12" customFormat="1" x14ac:dyDescent="0.25"/>
    <row r="277095" s="12" customFormat="1" x14ac:dyDescent="0.25"/>
    <row r="277096" s="12" customFormat="1" x14ac:dyDescent="0.25"/>
    <row r="277097" s="12" customFormat="1" x14ac:dyDescent="0.25"/>
    <row r="277098" s="12" customFormat="1" x14ac:dyDescent="0.25"/>
    <row r="277099" s="12" customFormat="1" x14ac:dyDescent="0.25"/>
    <row r="277100" s="12" customFormat="1" x14ac:dyDescent="0.25"/>
    <row r="277101" s="12" customFormat="1" x14ac:dyDescent="0.25"/>
    <row r="277102" s="12" customFormat="1" x14ac:dyDescent="0.25"/>
    <row r="277103" s="12" customFormat="1" x14ac:dyDescent="0.25"/>
    <row r="277104" s="12" customFormat="1" x14ac:dyDescent="0.25"/>
    <row r="277105" s="12" customFormat="1" x14ac:dyDescent="0.25"/>
    <row r="277106" s="12" customFormat="1" x14ac:dyDescent="0.25"/>
    <row r="277107" s="12" customFormat="1" x14ac:dyDescent="0.25"/>
    <row r="277108" s="12" customFormat="1" x14ac:dyDescent="0.25"/>
    <row r="277109" s="12" customFormat="1" x14ac:dyDescent="0.25"/>
    <row r="277110" s="12" customFormat="1" x14ac:dyDescent="0.25"/>
    <row r="277111" s="12" customFormat="1" x14ac:dyDescent="0.25"/>
    <row r="277112" s="12" customFormat="1" x14ac:dyDescent="0.25"/>
    <row r="277113" s="12" customFormat="1" x14ac:dyDescent="0.25"/>
    <row r="277114" s="12" customFormat="1" x14ac:dyDescent="0.25"/>
    <row r="277115" s="12" customFormat="1" x14ac:dyDescent="0.25"/>
    <row r="277116" s="12" customFormat="1" x14ac:dyDescent="0.25"/>
    <row r="277117" s="12" customFormat="1" x14ac:dyDescent="0.25"/>
    <row r="277118" s="12" customFormat="1" x14ac:dyDescent="0.25"/>
    <row r="277119" s="12" customFormat="1" x14ac:dyDescent="0.25"/>
    <row r="277120" s="12" customFormat="1" x14ac:dyDescent="0.25"/>
    <row r="277121" s="12" customFormat="1" x14ac:dyDescent="0.25"/>
    <row r="277122" s="12" customFormat="1" x14ac:dyDescent="0.25"/>
    <row r="277123" s="12" customFormat="1" x14ac:dyDescent="0.25"/>
    <row r="277124" s="12" customFormat="1" x14ac:dyDescent="0.25"/>
    <row r="277125" s="12" customFormat="1" x14ac:dyDescent="0.25"/>
    <row r="277126" s="12" customFormat="1" x14ac:dyDescent="0.25"/>
    <row r="277127" s="12" customFormat="1" x14ac:dyDescent="0.25"/>
    <row r="277128" s="12" customFormat="1" x14ac:dyDescent="0.25"/>
    <row r="277129" s="12" customFormat="1" x14ac:dyDescent="0.25"/>
    <row r="277130" s="12" customFormat="1" x14ac:dyDescent="0.25"/>
    <row r="277131" s="12" customFormat="1" x14ac:dyDescent="0.25"/>
    <row r="277132" s="12" customFormat="1" x14ac:dyDescent="0.25"/>
    <row r="277133" s="12" customFormat="1" x14ac:dyDescent="0.25"/>
    <row r="277134" s="12" customFormat="1" x14ac:dyDescent="0.25"/>
    <row r="277135" s="12" customFormat="1" x14ac:dyDescent="0.25"/>
    <row r="277136" s="12" customFormat="1" x14ac:dyDescent="0.25"/>
    <row r="277137" s="12" customFormat="1" x14ac:dyDescent="0.25"/>
    <row r="277138" s="12" customFormat="1" x14ac:dyDescent="0.25"/>
    <row r="277139" s="12" customFormat="1" x14ac:dyDescent="0.25"/>
    <row r="277140" s="12" customFormat="1" x14ac:dyDescent="0.25"/>
    <row r="277141" s="12" customFormat="1" x14ac:dyDescent="0.25"/>
    <row r="277142" s="12" customFormat="1" x14ac:dyDescent="0.25"/>
    <row r="277143" s="12" customFormat="1" x14ac:dyDescent="0.25"/>
    <row r="277144" s="12" customFormat="1" x14ac:dyDescent="0.25"/>
    <row r="277145" s="12" customFormat="1" x14ac:dyDescent="0.25"/>
    <row r="277146" s="12" customFormat="1" x14ac:dyDescent="0.25"/>
    <row r="277147" s="12" customFormat="1" x14ac:dyDescent="0.25"/>
    <row r="277148" s="12" customFormat="1" x14ac:dyDescent="0.25"/>
    <row r="277149" s="12" customFormat="1" x14ac:dyDescent="0.25"/>
    <row r="277150" s="12" customFormat="1" x14ac:dyDescent="0.25"/>
    <row r="277151" s="12" customFormat="1" x14ac:dyDescent="0.25"/>
    <row r="277152" s="12" customFormat="1" x14ac:dyDescent="0.25"/>
    <row r="277153" s="12" customFormat="1" x14ac:dyDescent="0.25"/>
    <row r="277154" s="12" customFormat="1" x14ac:dyDescent="0.25"/>
    <row r="277155" s="12" customFormat="1" x14ac:dyDescent="0.25"/>
    <row r="277156" s="12" customFormat="1" x14ac:dyDescent="0.25"/>
    <row r="277157" s="12" customFormat="1" x14ac:dyDescent="0.25"/>
    <row r="277158" s="12" customFormat="1" x14ac:dyDescent="0.25"/>
    <row r="277159" s="12" customFormat="1" x14ac:dyDescent="0.25"/>
    <row r="277160" s="12" customFormat="1" x14ac:dyDescent="0.25"/>
    <row r="277161" s="12" customFormat="1" x14ac:dyDescent="0.25"/>
    <row r="277162" s="12" customFormat="1" x14ac:dyDescent="0.25"/>
    <row r="277163" s="12" customFormat="1" x14ac:dyDescent="0.25"/>
    <row r="277164" s="12" customFormat="1" x14ac:dyDescent="0.25"/>
    <row r="277165" s="12" customFormat="1" x14ac:dyDescent="0.25"/>
    <row r="277166" s="12" customFormat="1" x14ac:dyDescent="0.25"/>
    <row r="277167" s="12" customFormat="1" x14ac:dyDescent="0.25"/>
    <row r="277168" s="12" customFormat="1" x14ac:dyDescent="0.25"/>
    <row r="277169" s="12" customFormat="1" x14ac:dyDescent="0.25"/>
    <row r="277170" s="12" customFormat="1" x14ac:dyDescent="0.25"/>
    <row r="277171" s="12" customFormat="1" x14ac:dyDescent="0.25"/>
    <row r="277172" s="12" customFormat="1" x14ac:dyDescent="0.25"/>
    <row r="277173" s="12" customFormat="1" x14ac:dyDescent="0.25"/>
    <row r="277174" s="12" customFormat="1" x14ac:dyDescent="0.25"/>
    <row r="277175" s="12" customFormat="1" x14ac:dyDescent="0.25"/>
    <row r="277176" s="12" customFormat="1" x14ac:dyDescent="0.25"/>
    <row r="277177" s="12" customFormat="1" x14ac:dyDescent="0.25"/>
    <row r="277178" s="12" customFormat="1" x14ac:dyDescent="0.25"/>
    <row r="277179" s="12" customFormat="1" x14ac:dyDescent="0.25"/>
    <row r="277180" s="12" customFormat="1" x14ac:dyDescent="0.25"/>
    <row r="277181" s="12" customFormat="1" x14ac:dyDescent="0.25"/>
    <row r="277182" s="12" customFormat="1" x14ac:dyDescent="0.25"/>
    <row r="277183" s="12" customFormat="1" x14ac:dyDescent="0.25"/>
    <row r="277184" s="12" customFormat="1" x14ac:dyDescent="0.25"/>
    <row r="277185" s="12" customFormat="1" x14ac:dyDescent="0.25"/>
    <row r="277186" s="12" customFormat="1" x14ac:dyDescent="0.25"/>
    <row r="277187" s="12" customFormat="1" x14ac:dyDescent="0.25"/>
    <row r="277188" s="12" customFormat="1" x14ac:dyDescent="0.25"/>
    <row r="277189" s="12" customFormat="1" x14ac:dyDescent="0.25"/>
    <row r="277190" s="12" customFormat="1" x14ac:dyDescent="0.25"/>
    <row r="277191" s="12" customFormat="1" x14ac:dyDescent="0.25"/>
    <row r="277192" s="12" customFormat="1" x14ac:dyDescent="0.25"/>
    <row r="277193" s="12" customFormat="1" x14ac:dyDescent="0.25"/>
    <row r="277194" s="12" customFormat="1" x14ac:dyDescent="0.25"/>
    <row r="277195" s="12" customFormat="1" x14ac:dyDescent="0.25"/>
    <row r="277196" s="12" customFormat="1" x14ac:dyDescent="0.25"/>
    <row r="277197" s="12" customFormat="1" x14ac:dyDescent="0.25"/>
    <row r="277198" s="12" customFormat="1" x14ac:dyDescent="0.25"/>
    <row r="277199" s="12" customFormat="1" x14ac:dyDescent="0.25"/>
    <row r="277200" s="12" customFormat="1" x14ac:dyDescent="0.25"/>
    <row r="277201" s="12" customFormat="1" x14ac:dyDescent="0.25"/>
    <row r="277202" s="12" customFormat="1" x14ac:dyDescent="0.25"/>
    <row r="277203" s="12" customFormat="1" x14ac:dyDescent="0.25"/>
    <row r="277204" s="12" customFormat="1" x14ac:dyDescent="0.25"/>
    <row r="277205" s="12" customFormat="1" x14ac:dyDescent="0.25"/>
    <row r="277206" s="12" customFormat="1" x14ac:dyDescent="0.25"/>
    <row r="277207" s="12" customFormat="1" x14ac:dyDescent="0.25"/>
    <row r="277208" s="12" customFormat="1" x14ac:dyDescent="0.25"/>
    <row r="277209" s="12" customFormat="1" x14ac:dyDescent="0.25"/>
    <row r="277210" s="12" customFormat="1" x14ac:dyDescent="0.25"/>
    <row r="277211" s="12" customFormat="1" x14ac:dyDescent="0.25"/>
    <row r="277212" s="12" customFormat="1" x14ac:dyDescent="0.25"/>
    <row r="277213" s="12" customFormat="1" x14ac:dyDescent="0.25"/>
    <row r="277214" s="12" customFormat="1" x14ac:dyDescent="0.25"/>
    <row r="277215" s="12" customFormat="1" x14ac:dyDescent="0.25"/>
    <row r="277216" s="12" customFormat="1" x14ac:dyDescent="0.25"/>
    <row r="277217" s="12" customFormat="1" x14ac:dyDescent="0.25"/>
    <row r="277218" s="12" customFormat="1" x14ac:dyDescent="0.25"/>
    <row r="277219" s="12" customFormat="1" x14ac:dyDescent="0.25"/>
    <row r="277220" s="12" customFormat="1" x14ac:dyDescent="0.25"/>
    <row r="277221" s="12" customFormat="1" x14ac:dyDescent="0.25"/>
    <row r="277222" s="12" customFormat="1" x14ac:dyDescent="0.25"/>
    <row r="277223" s="12" customFormat="1" x14ac:dyDescent="0.25"/>
    <row r="277224" s="12" customFormat="1" x14ac:dyDescent="0.25"/>
    <row r="277225" s="12" customFormat="1" x14ac:dyDescent="0.25"/>
    <row r="277226" s="12" customFormat="1" x14ac:dyDescent="0.25"/>
    <row r="277227" s="12" customFormat="1" x14ac:dyDescent="0.25"/>
    <row r="277228" s="12" customFormat="1" x14ac:dyDescent="0.25"/>
    <row r="277229" s="12" customFormat="1" x14ac:dyDescent="0.25"/>
    <row r="277230" s="12" customFormat="1" x14ac:dyDescent="0.25"/>
    <row r="277231" s="12" customFormat="1" x14ac:dyDescent="0.25"/>
    <row r="277232" s="12" customFormat="1" x14ac:dyDescent="0.25"/>
    <row r="277233" s="12" customFormat="1" x14ac:dyDescent="0.25"/>
    <row r="277234" s="12" customFormat="1" x14ac:dyDescent="0.25"/>
    <row r="277235" s="12" customFormat="1" x14ac:dyDescent="0.25"/>
    <row r="277236" s="12" customFormat="1" x14ac:dyDescent="0.25"/>
    <row r="277237" s="12" customFormat="1" x14ac:dyDescent="0.25"/>
    <row r="277238" s="12" customFormat="1" x14ac:dyDescent="0.25"/>
    <row r="277239" s="12" customFormat="1" x14ac:dyDescent="0.25"/>
    <row r="277240" s="12" customFormat="1" x14ac:dyDescent="0.25"/>
    <row r="277241" s="12" customFormat="1" x14ac:dyDescent="0.25"/>
    <row r="277242" s="12" customFormat="1" x14ac:dyDescent="0.25"/>
    <row r="277243" s="12" customFormat="1" x14ac:dyDescent="0.25"/>
    <row r="277244" s="12" customFormat="1" x14ac:dyDescent="0.25"/>
    <row r="277245" s="12" customFormat="1" x14ac:dyDescent="0.25"/>
    <row r="277246" s="12" customFormat="1" x14ac:dyDescent="0.25"/>
    <row r="277247" s="12" customFormat="1" x14ac:dyDescent="0.25"/>
    <row r="277248" s="12" customFormat="1" x14ac:dyDescent="0.25"/>
    <row r="277249" s="12" customFormat="1" x14ac:dyDescent="0.25"/>
    <row r="277250" s="12" customFormat="1" x14ac:dyDescent="0.25"/>
    <row r="277251" s="12" customFormat="1" x14ac:dyDescent="0.25"/>
    <row r="277252" s="12" customFormat="1" x14ac:dyDescent="0.25"/>
    <row r="277253" s="12" customFormat="1" x14ac:dyDescent="0.25"/>
    <row r="277254" s="12" customFormat="1" x14ac:dyDescent="0.25"/>
    <row r="277255" s="12" customFormat="1" x14ac:dyDescent="0.25"/>
    <row r="277256" s="12" customFormat="1" x14ac:dyDescent="0.25"/>
    <row r="277257" s="12" customFormat="1" x14ac:dyDescent="0.25"/>
    <row r="277258" s="12" customFormat="1" x14ac:dyDescent="0.25"/>
    <row r="277259" s="12" customFormat="1" x14ac:dyDescent="0.25"/>
    <row r="277260" s="12" customFormat="1" x14ac:dyDescent="0.25"/>
    <row r="277261" s="12" customFormat="1" x14ac:dyDescent="0.25"/>
    <row r="277262" s="12" customFormat="1" x14ac:dyDescent="0.25"/>
    <row r="277263" s="12" customFormat="1" x14ac:dyDescent="0.25"/>
    <row r="277264" s="12" customFormat="1" x14ac:dyDescent="0.25"/>
    <row r="277265" s="12" customFormat="1" x14ac:dyDescent="0.25"/>
    <row r="277266" s="12" customFormat="1" x14ac:dyDescent="0.25"/>
    <row r="277267" s="12" customFormat="1" x14ac:dyDescent="0.25"/>
    <row r="277268" s="12" customFormat="1" x14ac:dyDescent="0.25"/>
    <row r="277269" s="12" customFormat="1" x14ac:dyDescent="0.25"/>
    <row r="277270" s="12" customFormat="1" x14ac:dyDescent="0.25"/>
    <row r="277271" s="12" customFormat="1" x14ac:dyDescent="0.25"/>
    <row r="277272" s="12" customFormat="1" x14ac:dyDescent="0.25"/>
    <row r="277273" s="12" customFormat="1" x14ac:dyDescent="0.25"/>
    <row r="277274" s="12" customFormat="1" x14ac:dyDescent="0.25"/>
    <row r="277275" s="12" customFormat="1" x14ac:dyDescent="0.25"/>
    <row r="277276" s="12" customFormat="1" x14ac:dyDescent="0.25"/>
    <row r="277277" s="12" customFormat="1" x14ac:dyDescent="0.25"/>
    <row r="277278" s="12" customFormat="1" x14ac:dyDescent="0.25"/>
    <row r="277279" s="12" customFormat="1" x14ac:dyDescent="0.25"/>
    <row r="277280" s="12" customFormat="1" x14ac:dyDescent="0.25"/>
    <row r="277281" s="12" customFormat="1" x14ac:dyDescent="0.25"/>
    <row r="277282" s="12" customFormat="1" x14ac:dyDescent="0.25"/>
    <row r="277283" s="12" customFormat="1" x14ac:dyDescent="0.25"/>
    <row r="277284" s="12" customFormat="1" x14ac:dyDescent="0.25"/>
    <row r="277285" s="12" customFormat="1" x14ac:dyDescent="0.25"/>
    <row r="277286" s="12" customFormat="1" x14ac:dyDescent="0.25"/>
    <row r="277287" s="12" customFormat="1" x14ac:dyDescent="0.25"/>
    <row r="277288" s="12" customFormat="1" x14ac:dyDescent="0.25"/>
    <row r="277289" s="12" customFormat="1" x14ac:dyDescent="0.25"/>
    <row r="277290" s="12" customFormat="1" x14ac:dyDescent="0.25"/>
    <row r="277291" s="12" customFormat="1" x14ac:dyDescent="0.25"/>
    <row r="277292" s="12" customFormat="1" x14ac:dyDescent="0.25"/>
    <row r="277293" s="12" customFormat="1" x14ac:dyDescent="0.25"/>
    <row r="277294" s="12" customFormat="1" x14ac:dyDescent="0.25"/>
    <row r="277295" s="12" customFormat="1" x14ac:dyDescent="0.25"/>
    <row r="277296" s="12" customFormat="1" x14ac:dyDescent="0.25"/>
    <row r="277297" s="12" customFormat="1" x14ac:dyDescent="0.25"/>
    <row r="277298" s="12" customFormat="1" x14ac:dyDescent="0.25"/>
    <row r="277299" s="12" customFormat="1" x14ac:dyDescent="0.25"/>
    <row r="277300" s="12" customFormat="1" x14ac:dyDescent="0.25"/>
    <row r="277301" s="12" customFormat="1" x14ac:dyDescent="0.25"/>
    <row r="277302" s="12" customFormat="1" x14ac:dyDescent="0.25"/>
    <row r="277303" s="12" customFormat="1" x14ac:dyDescent="0.25"/>
    <row r="277304" s="12" customFormat="1" x14ac:dyDescent="0.25"/>
    <row r="277305" s="12" customFormat="1" x14ac:dyDescent="0.25"/>
    <row r="277306" s="12" customFormat="1" x14ac:dyDescent="0.25"/>
    <row r="277307" s="12" customFormat="1" x14ac:dyDescent="0.25"/>
    <row r="277308" s="12" customFormat="1" x14ac:dyDescent="0.25"/>
    <row r="277309" s="12" customFormat="1" x14ac:dyDescent="0.25"/>
    <row r="277310" s="12" customFormat="1" x14ac:dyDescent="0.25"/>
    <row r="277311" s="12" customFormat="1" x14ac:dyDescent="0.25"/>
    <row r="277312" s="12" customFormat="1" x14ac:dyDescent="0.25"/>
    <row r="277313" s="12" customFormat="1" x14ac:dyDescent="0.25"/>
    <row r="277314" s="12" customFormat="1" x14ac:dyDescent="0.25"/>
    <row r="277315" s="12" customFormat="1" x14ac:dyDescent="0.25"/>
    <row r="277316" s="12" customFormat="1" x14ac:dyDescent="0.25"/>
    <row r="277317" s="12" customFormat="1" x14ac:dyDescent="0.25"/>
    <row r="277318" s="12" customFormat="1" x14ac:dyDescent="0.25"/>
    <row r="277319" s="12" customFormat="1" x14ac:dyDescent="0.25"/>
    <row r="277320" s="12" customFormat="1" x14ac:dyDescent="0.25"/>
    <row r="277321" s="12" customFormat="1" x14ac:dyDescent="0.25"/>
    <row r="277322" s="12" customFormat="1" x14ac:dyDescent="0.25"/>
    <row r="277323" s="12" customFormat="1" x14ac:dyDescent="0.25"/>
    <row r="277324" s="12" customFormat="1" x14ac:dyDescent="0.25"/>
    <row r="277325" s="12" customFormat="1" x14ac:dyDescent="0.25"/>
    <row r="277326" s="12" customFormat="1" x14ac:dyDescent="0.25"/>
    <row r="277327" s="12" customFormat="1" x14ac:dyDescent="0.25"/>
    <row r="277328" s="12" customFormat="1" x14ac:dyDescent="0.25"/>
    <row r="277329" s="12" customFormat="1" x14ac:dyDescent="0.25"/>
    <row r="277330" s="12" customFormat="1" x14ac:dyDescent="0.25"/>
    <row r="277331" s="12" customFormat="1" x14ac:dyDescent="0.25"/>
    <row r="277332" s="12" customFormat="1" x14ac:dyDescent="0.25"/>
    <row r="277333" s="12" customFormat="1" x14ac:dyDescent="0.25"/>
    <row r="277334" s="12" customFormat="1" x14ac:dyDescent="0.25"/>
    <row r="277335" s="12" customFormat="1" x14ac:dyDescent="0.25"/>
    <row r="277336" s="12" customFormat="1" x14ac:dyDescent="0.25"/>
    <row r="277337" s="12" customFormat="1" x14ac:dyDescent="0.25"/>
    <row r="277338" s="12" customFormat="1" x14ac:dyDescent="0.25"/>
    <row r="277339" s="12" customFormat="1" x14ac:dyDescent="0.25"/>
    <row r="277340" s="12" customFormat="1" x14ac:dyDescent="0.25"/>
    <row r="277341" s="12" customFormat="1" x14ac:dyDescent="0.25"/>
    <row r="277342" s="12" customFormat="1" x14ac:dyDescent="0.25"/>
    <row r="277343" s="12" customFormat="1" x14ac:dyDescent="0.25"/>
    <row r="277344" s="12" customFormat="1" x14ac:dyDescent="0.25"/>
    <row r="277345" s="12" customFormat="1" x14ac:dyDescent="0.25"/>
    <row r="277346" s="12" customFormat="1" x14ac:dyDescent="0.25"/>
    <row r="277347" s="12" customFormat="1" x14ac:dyDescent="0.25"/>
    <row r="277348" s="12" customFormat="1" x14ac:dyDescent="0.25"/>
    <row r="277349" s="12" customFormat="1" x14ac:dyDescent="0.25"/>
    <row r="277350" s="12" customFormat="1" x14ac:dyDescent="0.25"/>
    <row r="277351" s="12" customFormat="1" x14ac:dyDescent="0.25"/>
    <row r="277352" s="12" customFormat="1" x14ac:dyDescent="0.25"/>
    <row r="277353" s="12" customFormat="1" x14ac:dyDescent="0.25"/>
    <row r="277354" s="12" customFormat="1" x14ac:dyDescent="0.25"/>
    <row r="277355" s="12" customFormat="1" x14ac:dyDescent="0.25"/>
    <row r="277356" s="12" customFormat="1" x14ac:dyDescent="0.25"/>
    <row r="277357" s="12" customFormat="1" x14ac:dyDescent="0.25"/>
    <row r="277358" s="12" customFormat="1" x14ac:dyDescent="0.25"/>
    <row r="277359" s="12" customFormat="1" x14ac:dyDescent="0.25"/>
    <row r="277360" s="12" customFormat="1" x14ac:dyDescent="0.25"/>
    <row r="277361" s="12" customFormat="1" x14ac:dyDescent="0.25"/>
    <row r="277362" s="12" customFormat="1" x14ac:dyDescent="0.25"/>
    <row r="277363" s="12" customFormat="1" x14ac:dyDescent="0.25"/>
    <row r="277364" s="12" customFormat="1" x14ac:dyDescent="0.25"/>
    <row r="277365" s="12" customFormat="1" x14ac:dyDescent="0.25"/>
    <row r="277366" s="12" customFormat="1" x14ac:dyDescent="0.25"/>
    <row r="277367" s="12" customFormat="1" x14ac:dyDescent="0.25"/>
    <row r="277368" s="12" customFormat="1" x14ac:dyDescent="0.25"/>
    <row r="277369" s="12" customFormat="1" x14ac:dyDescent="0.25"/>
    <row r="277370" s="12" customFormat="1" x14ac:dyDescent="0.25"/>
    <row r="277371" s="12" customFormat="1" x14ac:dyDescent="0.25"/>
    <row r="277372" s="12" customFormat="1" x14ac:dyDescent="0.25"/>
    <row r="277373" s="12" customFormat="1" x14ac:dyDescent="0.25"/>
    <row r="277374" s="12" customFormat="1" x14ac:dyDescent="0.25"/>
    <row r="277375" s="12" customFormat="1" x14ac:dyDescent="0.25"/>
    <row r="277376" s="12" customFormat="1" x14ac:dyDescent="0.25"/>
    <row r="277377" s="12" customFormat="1" x14ac:dyDescent="0.25"/>
    <row r="277378" s="12" customFormat="1" x14ac:dyDescent="0.25"/>
    <row r="277379" s="12" customFormat="1" x14ac:dyDescent="0.25"/>
    <row r="277380" s="12" customFormat="1" x14ac:dyDescent="0.25"/>
    <row r="277381" s="12" customFormat="1" x14ac:dyDescent="0.25"/>
    <row r="277382" s="12" customFormat="1" x14ac:dyDescent="0.25"/>
    <row r="277383" s="12" customFormat="1" x14ac:dyDescent="0.25"/>
    <row r="277384" s="12" customFormat="1" x14ac:dyDescent="0.25"/>
    <row r="277385" s="12" customFormat="1" x14ac:dyDescent="0.25"/>
    <row r="277386" s="12" customFormat="1" x14ac:dyDescent="0.25"/>
    <row r="277387" s="12" customFormat="1" x14ac:dyDescent="0.25"/>
    <row r="277388" s="12" customFormat="1" x14ac:dyDescent="0.25"/>
    <row r="277389" s="12" customFormat="1" x14ac:dyDescent="0.25"/>
    <row r="277390" s="12" customFormat="1" x14ac:dyDescent="0.25"/>
    <row r="277391" s="12" customFormat="1" x14ac:dyDescent="0.25"/>
    <row r="277392" s="12" customFormat="1" x14ac:dyDescent="0.25"/>
    <row r="277393" s="12" customFormat="1" x14ac:dyDescent="0.25"/>
    <row r="277394" s="12" customFormat="1" x14ac:dyDescent="0.25"/>
    <row r="277395" s="12" customFormat="1" x14ac:dyDescent="0.25"/>
    <row r="277396" s="12" customFormat="1" x14ac:dyDescent="0.25"/>
    <row r="277397" s="12" customFormat="1" x14ac:dyDescent="0.25"/>
    <row r="277398" s="12" customFormat="1" x14ac:dyDescent="0.25"/>
    <row r="277399" s="12" customFormat="1" x14ac:dyDescent="0.25"/>
    <row r="277400" s="12" customFormat="1" x14ac:dyDescent="0.25"/>
    <row r="277401" s="12" customFormat="1" x14ac:dyDescent="0.25"/>
    <row r="277402" s="12" customFormat="1" x14ac:dyDescent="0.25"/>
    <row r="277403" s="12" customFormat="1" x14ac:dyDescent="0.25"/>
    <row r="277404" s="12" customFormat="1" x14ac:dyDescent="0.25"/>
    <row r="277405" s="12" customFormat="1" x14ac:dyDescent="0.25"/>
    <row r="277406" s="12" customFormat="1" x14ac:dyDescent="0.25"/>
    <row r="277407" s="12" customFormat="1" x14ac:dyDescent="0.25"/>
    <row r="277408" s="12" customFormat="1" x14ac:dyDescent="0.25"/>
    <row r="277409" s="12" customFormat="1" x14ac:dyDescent="0.25"/>
    <row r="277410" s="12" customFormat="1" x14ac:dyDescent="0.25"/>
    <row r="277411" s="12" customFormat="1" x14ac:dyDescent="0.25"/>
    <row r="277412" s="12" customFormat="1" x14ac:dyDescent="0.25"/>
    <row r="277413" s="12" customFormat="1" x14ac:dyDescent="0.25"/>
    <row r="277414" s="12" customFormat="1" x14ac:dyDescent="0.25"/>
    <row r="277415" s="12" customFormat="1" x14ac:dyDescent="0.25"/>
    <row r="277416" s="12" customFormat="1" x14ac:dyDescent="0.25"/>
    <row r="277417" s="12" customFormat="1" x14ac:dyDescent="0.25"/>
    <row r="277418" s="12" customFormat="1" x14ac:dyDescent="0.25"/>
    <row r="277419" s="12" customFormat="1" x14ac:dyDescent="0.25"/>
    <row r="277420" s="12" customFormat="1" x14ac:dyDescent="0.25"/>
    <row r="277421" s="12" customFormat="1" x14ac:dyDescent="0.25"/>
    <row r="277422" s="12" customFormat="1" x14ac:dyDescent="0.25"/>
    <row r="277423" s="12" customFormat="1" x14ac:dyDescent="0.25"/>
    <row r="277424" s="12" customFormat="1" x14ac:dyDescent="0.25"/>
    <row r="277425" s="12" customFormat="1" x14ac:dyDescent="0.25"/>
    <row r="277426" s="12" customFormat="1" x14ac:dyDescent="0.25"/>
    <row r="277427" s="12" customFormat="1" x14ac:dyDescent="0.25"/>
    <row r="277428" s="12" customFormat="1" x14ac:dyDescent="0.25"/>
    <row r="277429" s="12" customFormat="1" x14ac:dyDescent="0.25"/>
    <row r="277430" s="12" customFormat="1" x14ac:dyDescent="0.25"/>
    <row r="277431" s="12" customFormat="1" x14ac:dyDescent="0.25"/>
    <row r="277432" s="12" customFormat="1" x14ac:dyDescent="0.25"/>
    <row r="277433" s="12" customFormat="1" x14ac:dyDescent="0.25"/>
    <row r="277434" s="12" customFormat="1" x14ac:dyDescent="0.25"/>
    <row r="277435" s="12" customFormat="1" x14ac:dyDescent="0.25"/>
    <row r="277436" s="12" customFormat="1" x14ac:dyDescent="0.25"/>
    <row r="277437" s="12" customFormat="1" x14ac:dyDescent="0.25"/>
    <row r="277438" s="12" customFormat="1" x14ac:dyDescent="0.25"/>
    <row r="277439" s="12" customFormat="1" x14ac:dyDescent="0.25"/>
    <row r="277440" s="12" customFormat="1" x14ac:dyDescent="0.25"/>
    <row r="277441" s="12" customFormat="1" x14ac:dyDescent="0.25"/>
    <row r="277442" s="12" customFormat="1" x14ac:dyDescent="0.25"/>
    <row r="277443" s="12" customFormat="1" x14ac:dyDescent="0.25"/>
    <row r="277444" s="12" customFormat="1" x14ac:dyDescent="0.25"/>
    <row r="277445" s="12" customFormat="1" x14ac:dyDescent="0.25"/>
    <row r="277446" s="12" customFormat="1" x14ac:dyDescent="0.25"/>
    <row r="277447" s="12" customFormat="1" x14ac:dyDescent="0.25"/>
    <row r="277448" s="12" customFormat="1" x14ac:dyDescent="0.25"/>
    <row r="277449" s="12" customFormat="1" x14ac:dyDescent="0.25"/>
    <row r="277450" s="12" customFormat="1" x14ac:dyDescent="0.25"/>
    <row r="277451" s="12" customFormat="1" x14ac:dyDescent="0.25"/>
    <row r="277452" s="12" customFormat="1" x14ac:dyDescent="0.25"/>
    <row r="277453" s="12" customFormat="1" x14ac:dyDescent="0.25"/>
    <row r="277454" s="12" customFormat="1" x14ac:dyDescent="0.25"/>
    <row r="277455" s="12" customFormat="1" x14ac:dyDescent="0.25"/>
    <row r="277456" s="12" customFormat="1" x14ac:dyDescent="0.25"/>
    <row r="277457" s="12" customFormat="1" x14ac:dyDescent="0.25"/>
    <row r="277458" s="12" customFormat="1" x14ac:dyDescent="0.25"/>
    <row r="277459" s="12" customFormat="1" x14ac:dyDescent="0.25"/>
    <row r="277460" s="12" customFormat="1" x14ac:dyDescent="0.25"/>
    <row r="277461" s="12" customFormat="1" x14ac:dyDescent="0.25"/>
    <row r="277462" s="12" customFormat="1" x14ac:dyDescent="0.25"/>
    <row r="277463" s="12" customFormat="1" x14ac:dyDescent="0.25"/>
    <row r="277464" s="12" customFormat="1" x14ac:dyDescent="0.25"/>
    <row r="277465" s="12" customFormat="1" x14ac:dyDescent="0.25"/>
    <row r="277466" s="12" customFormat="1" x14ac:dyDescent="0.25"/>
    <row r="277467" s="12" customFormat="1" x14ac:dyDescent="0.25"/>
    <row r="277468" s="12" customFormat="1" x14ac:dyDescent="0.25"/>
    <row r="277469" s="12" customFormat="1" x14ac:dyDescent="0.25"/>
    <row r="277470" s="12" customFormat="1" x14ac:dyDescent="0.25"/>
    <row r="277471" s="12" customFormat="1" x14ac:dyDescent="0.25"/>
    <row r="277472" s="12" customFormat="1" x14ac:dyDescent="0.25"/>
    <row r="277473" s="12" customFormat="1" x14ac:dyDescent="0.25"/>
    <row r="277474" s="12" customFormat="1" x14ac:dyDescent="0.25"/>
    <row r="277475" s="12" customFormat="1" x14ac:dyDescent="0.25"/>
    <row r="277476" s="12" customFormat="1" x14ac:dyDescent="0.25"/>
    <row r="277477" s="12" customFormat="1" x14ac:dyDescent="0.25"/>
    <row r="277478" s="12" customFormat="1" x14ac:dyDescent="0.25"/>
    <row r="277479" s="12" customFormat="1" x14ac:dyDescent="0.25"/>
    <row r="277480" s="12" customFormat="1" x14ac:dyDescent="0.25"/>
    <row r="277481" s="12" customFormat="1" x14ac:dyDescent="0.25"/>
    <row r="277482" s="12" customFormat="1" x14ac:dyDescent="0.25"/>
    <row r="277483" s="12" customFormat="1" x14ac:dyDescent="0.25"/>
    <row r="277484" s="12" customFormat="1" x14ac:dyDescent="0.25"/>
    <row r="277485" s="12" customFormat="1" x14ac:dyDescent="0.25"/>
    <row r="277486" s="12" customFormat="1" x14ac:dyDescent="0.25"/>
    <row r="277487" s="12" customFormat="1" x14ac:dyDescent="0.25"/>
    <row r="277488" s="12" customFormat="1" x14ac:dyDescent="0.25"/>
    <row r="277489" s="12" customFormat="1" x14ac:dyDescent="0.25"/>
    <row r="277490" s="12" customFormat="1" x14ac:dyDescent="0.25"/>
    <row r="277491" s="12" customFormat="1" x14ac:dyDescent="0.25"/>
    <row r="277492" s="12" customFormat="1" x14ac:dyDescent="0.25"/>
    <row r="277493" s="12" customFormat="1" x14ac:dyDescent="0.25"/>
    <row r="277494" s="12" customFormat="1" x14ac:dyDescent="0.25"/>
    <row r="277495" s="12" customFormat="1" x14ac:dyDescent="0.25"/>
    <row r="277496" s="12" customFormat="1" x14ac:dyDescent="0.25"/>
    <row r="277497" s="12" customFormat="1" x14ac:dyDescent="0.25"/>
    <row r="277498" s="12" customFormat="1" x14ac:dyDescent="0.25"/>
    <row r="277499" s="12" customFormat="1" x14ac:dyDescent="0.25"/>
    <row r="277500" s="12" customFormat="1" x14ac:dyDescent="0.25"/>
    <row r="277501" s="12" customFormat="1" x14ac:dyDescent="0.25"/>
    <row r="277502" s="12" customFormat="1" x14ac:dyDescent="0.25"/>
    <row r="277503" s="12" customFormat="1" x14ac:dyDescent="0.25"/>
    <row r="277504" s="12" customFormat="1" x14ac:dyDescent="0.25"/>
    <row r="277505" s="12" customFormat="1" x14ac:dyDescent="0.25"/>
    <row r="277506" s="12" customFormat="1" x14ac:dyDescent="0.25"/>
    <row r="277507" s="12" customFormat="1" x14ac:dyDescent="0.25"/>
    <row r="277508" s="12" customFormat="1" x14ac:dyDescent="0.25"/>
    <row r="277509" s="12" customFormat="1" x14ac:dyDescent="0.25"/>
    <row r="277510" s="12" customFormat="1" x14ac:dyDescent="0.25"/>
    <row r="277511" s="12" customFormat="1" x14ac:dyDescent="0.25"/>
    <row r="277512" s="12" customFormat="1" x14ac:dyDescent="0.25"/>
    <row r="277513" s="12" customFormat="1" x14ac:dyDescent="0.25"/>
    <row r="277514" s="12" customFormat="1" x14ac:dyDescent="0.25"/>
    <row r="277515" s="12" customFormat="1" x14ac:dyDescent="0.25"/>
    <row r="277516" s="12" customFormat="1" x14ac:dyDescent="0.25"/>
    <row r="277517" s="12" customFormat="1" x14ac:dyDescent="0.25"/>
    <row r="277518" s="12" customFormat="1" x14ac:dyDescent="0.25"/>
    <row r="277519" s="12" customFormat="1" x14ac:dyDescent="0.25"/>
    <row r="277520" s="12" customFormat="1" x14ac:dyDescent="0.25"/>
    <row r="277521" s="12" customFormat="1" x14ac:dyDescent="0.25"/>
    <row r="277522" s="12" customFormat="1" x14ac:dyDescent="0.25"/>
    <row r="277523" s="12" customFormat="1" x14ac:dyDescent="0.25"/>
    <row r="277524" s="12" customFormat="1" x14ac:dyDescent="0.25"/>
    <row r="277525" s="12" customFormat="1" x14ac:dyDescent="0.25"/>
    <row r="277526" s="12" customFormat="1" x14ac:dyDescent="0.25"/>
    <row r="277527" s="12" customFormat="1" x14ac:dyDescent="0.25"/>
    <row r="277528" s="12" customFormat="1" x14ac:dyDescent="0.25"/>
    <row r="277529" s="12" customFormat="1" x14ac:dyDescent="0.25"/>
    <row r="277530" s="12" customFormat="1" x14ac:dyDescent="0.25"/>
    <row r="277531" s="12" customFormat="1" x14ac:dyDescent="0.25"/>
    <row r="277532" s="12" customFormat="1" x14ac:dyDescent="0.25"/>
    <row r="277533" s="12" customFormat="1" x14ac:dyDescent="0.25"/>
    <row r="277534" s="12" customFormat="1" x14ac:dyDescent="0.25"/>
    <row r="277535" s="12" customFormat="1" x14ac:dyDescent="0.25"/>
    <row r="277536" s="12" customFormat="1" x14ac:dyDescent="0.25"/>
    <row r="277537" s="12" customFormat="1" x14ac:dyDescent="0.25"/>
    <row r="277538" s="12" customFormat="1" x14ac:dyDescent="0.25"/>
    <row r="277539" s="12" customFormat="1" x14ac:dyDescent="0.25"/>
    <row r="277540" s="12" customFormat="1" x14ac:dyDescent="0.25"/>
    <row r="277541" s="12" customFormat="1" x14ac:dyDescent="0.25"/>
    <row r="277542" s="12" customFormat="1" x14ac:dyDescent="0.25"/>
    <row r="277543" s="12" customFormat="1" x14ac:dyDescent="0.25"/>
    <row r="277544" s="12" customFormat="1" x14ac:dyDescent="0.25"/>
    <row r="277545" s="12" customFormat="1" x14ac:dyDescent="0.25"/>
    <row r="277546" s="12" customFormat="1" x14ac:dyDescent="0.25"/>
    <row r="277547" s="12" customFormat="1" x14ac:dyDescent="0.25"/>
    <row r="277548" s="12" customFormat="1" x14ac:dyDescent="0.25"/>
    <row r="277549" s="12" customFormat="1" x14ac:dyDescent="0.25"/>
    <row r="277550" s="12" customFormat="1" x14ac:dyDescent="0.25"/>
    <row r="277551" s="12" customFormat="1" x14ac:dyDescent="0.25"/>
    <row r="277552" s="12" customFormat="1" x14ac:dyDescent="0.25"/>
    <row r="277553" s="12" customFormat="1" x14ac:dyDescent="0.25"/>
    <row r="277554" s="12" customFormat="1" x14ac:dyDescent="0.25"/>
    <row r="277555" s="12" customFormat="1" x14ac:dyDescent="0.25"/>
    <row r="277556" s="12" customFormat="1" x14ac:dyDescent="0.25"/>
    <row r="277557" s="12" customFormat="1" x14ac:dyDescent="0.25"/>
    <row r="277558" s="12" customFormat="1" x14ac:dyDescent="0.25"/>
    <row r="277559" s="12" customFormat="1" x14ac:dyDescent="0.25"/>
    <row r="277560" s="12" customFormat="1" x14ac:dyDescent="0.25"/>
    <row r="277561" s="12" customFormat="1" x14ac:dyDescent="0.25"/>
    <row r="277562" s="12" customFormat="1" x14ac:dyDescent="0.25"/>
    <row r="277563" s="12" customFormat="1" x14ac:dyDescent="0.25"/>
    <row r="277564" s="12" customFormat="1" x14ac:dyDescent="0.25"/>
    <row r="277565" s="12" customFormat="1" x14ac:dyDescent="0.25"/>
    <row r="277566" s="12" customFormat="1" x14ac:dyDescent="0.25"/>
    <row r="277567" s="12" customFormat="1" x14ac:dyDescent="0.25"/>
    <row r="277568" s="12" customFormat="1" x14ac:dyDescent="0.25"/>
    <row r="277569" s="12" customFormat="1" x14ac:dyDescent="0.25"/>
    <row r="277570" s="12" customFormat="1" x14ac:dyDescent="0.25"/>
    <row r="277571" s="12" customFormat="1" x14ac:dyDescent="0.25"/>
    <row r="277572" s="12" customFormat="1" x14ac:dyDescent="0.25"/>
    <row r="277573" s="12" customFormat="1" x14ac:dyDescent="0.25"/>
    <row r="277574" s="12" customFormat="1" x14ac:dyDescent="0.25"/>
    <row r="277575" s="12" customFormat="1" x14ac:dyDescent="0.25"/>
    <row r="277576" s="12" customFormat="1" x14ac:dyDescent="0.25"/>
    <row r="277577" s="12" customFormat="1" x14ac:dyDescent="0.25"/>
    <row r="277578" s="12" customFormat="1" x14ac:dyDescent="0.25"/>
    <row r="277579" s="12" customFormat="1" x14ac:dyDescent="0.25"/>
    <row r="277580" s="12" customFormat="1" x14ac:dyDescent="0.25"/>
    <row r="277581" s="12" customFormat="1" x14ac:dyDescent="0.25"/>
    <row r="277582" s="12" customFormat="1" x14ac:dyDescent="0.25"/>
    <row r="277583" s="12" customFormat="1" x14ac:dyDescent="0.25"/>
    <row r="277584" s="12" customFormat="1" x14ac:dyDescent="0.25"/>
    <row r="277585" s="12" customFormat="1" x14ac:dyDescent="0.25"/>
    <row r="277586" s="12" customFormat="1" x14ac:dyDescent="0.25"/>
    <row r="277587" s="12" customFormat="1" x14ac:dyDescent="0.25"/>
    <row r="277588" s="12" customFormat="1" x14ac:dyDescent="0.25"/>
    <row r="277589" s="12" customFormat="1" x14ac:dyDescent="0.25"/>
    <row r="277590" s="12" customFormat="1" x14ac:dyDescent="0.25"/>
    <row r="277591" s="12" customFormat="1" x14ac:dyDescent="0.25"/>
    <row r="277592" s="12" customFormat="1" x14ac:dyDescent="0.25"/>
    <row r="277593" s="12" customFormat="1" x14ac:dyDescent="0.25"/>
    <row r="277594" s="12" customFormat="1" x14ac:dyDescent="0.25"/>
    <row r="277595" s="12" customFormat="1" x14ac:dyDescent="0.25"/>
    <row r="277596" s="12" customFormat="1" x14ac:dyDescent="0.25"/>
    <row r="277597" s="12" customFormat="1" x14ac:dyDescent="0.25"/>
    <row r="277598" s="12" customFormat="1" x14ac:dyDescent="0.25"/>
    <row r="277599" s="12" customFormat="1" x14ac:dyDescent="0.25"/>
    <row r="277600" s="12" customFormat="1" x14ac:dyDescent="0.25"/>
    <row r="277601" s="12" customFormat="1" x14ac:dyDescent="0.25"/>
    <row r="277602" s="12" customFormat="1" x14ac:dyDescent="0.25"/>
    <row r="277603" s="12" customFormat="1" x14ac:dyDescent="0.25"/>
    <row r="277604" s="12" customFormat="1" x14ac:dyDescent="0.25"/>
    <row r="277605" s="12" customFormat="1" x14ac:dyDescent="0.25"/>
    <row r="277606" s="12" customFormat="1" x14ac:dyDescent="0.25"/>
    <row r="277607" s="12" customFormat="1" x14ac:dyDescent="0.25"/>
    <row r="277608" s="12" customFormat="1" x14ac:dyDescent="0.25"/>
    <row r="277609" s="12" customFormat="1" x14ac:dyDescent="0.25"/>
    <row r="277610" s="12" customFormat="1" x14ac:dyDescent="0.25"/>
    <row r="277611" s="12" customFormat="1" x14ac:dyDescent="0.25"/>
    <row r="277612" s="12" customFormat="1" x14ac:dyDescent="0.25"/>
    <row r="277613" s="12" customFormat="1" x14ac:dyDescent="0.25"/>
    <row r="277614" s="12" customFormat="1" x14ac:dyDescent="0.25"/>
    <row r="277615" s="12" customFormat="1" x14ac:dyDescent="0.25"/>
    <row r="277616" s="12" customFormat="1" x14ac:dyDescent="0.25"/>
    <row r="277617" s="12" customFormat="1" x14ac:dyDescent="0.25"/>
    <row r="277618" s="12" customFormat="1" x14ac:dyDescent="0.25"/>
    <row r="277619" s="12" customFormat="1" x14ac:dyDescent="0.25"/>
    <row r="277620" s="12" customFormat="1" x14ac:dyDescent="0.25"/>
    <row r="277621" s="12" customFormat="1" x14ac:dyDescent="0.25"/>
    <row r="277622" s="12" customFormat="1" x14ac:dyDescent="0.25"/>
    <row r="277623" s="12" customFormat="1" x14ac:dyDescent="0.25"/>
    <row r="277624" s="12" customFormat="1" x14ac:dyDescent="0.25"/>
    <row r="277625" s="12" customFormat="1" x14ac:dyDescent="0.25"/>
    <row r="277626" s="12" customFormat="1" x14ac:dyDescent="0.25"/>
    <row r="277627" s="12" customFormat="1" x14ac:dyDescent="0.25"/>
    <row r="277628" s="12" customFormat="1" x14ac:dyDescent="0.25"/>
    <row r="277629" s="12" customFormat="1" x14ac:dyDescent="0.25"/>
    <row r="277630" s="12" customFormat="1" x14ac:dyDescent="0.25"/>
    <row r="277631" s="12" customFormat="1" x14ac:dyDescent="0.25"/>
    <row r="277632" s="12" customFormat="1" x14ac:dyDescent="0.25"/>
    <row r="277633" s="12" customFormat="1" x14ac:dyDescent="0.25"/>
    <row r="277634" s="12" customFormat="1" x14ac:dyDescent="0.25"/>
    <row r="277635" s="12" customFormat="1" x14ac:dyDescent="0.25"/>
    <row r="277636" s="12" customFormat="1" x14ac:dyDescent="0.25"/>
    <row r="277637" s="12" customFormat="1" x14ac:dyDescent="0.25"/>
    <row r="277638" s="12" customFormat="1" x14ac:dyDescent="0.25"/>
    <row r="277639" s="12" customFormat="1" x14ac:dyDescent="0.25"/>
    <row r="277640" s="12" customFormat="1" x14ac:dyDescent="0.25"/>
    <row r="277641" s="12" customFormat="1" x14ac:dyDescent="0.25"/>
    <row r="277642" s="12" customFormat="1" x14ac:dyDescent="0.25"/>
    <row r="277643" s="12" customFormat="1" x14ac:dyDescent="0.25"/>
    <row r="277644" s="12" customFormat="1" x14ac:dyDescent="0.25"/>
    <row r="277645" s="12" customFormat="1" x14ac:dyDescent="0.25"/>
    <row r="277646" s="12" customFormat="1" x14ac:dyDescent="0.25"/>
    <row r="277647" s="12" customFormat="1" x14ac:dyDescent="0.25"/>
    <row r="277648" s="12" customFormat="1" x14ac:dyDescent="0.25"/>
    <row r="277649" s="12" customFormat="1" x14ac:dyDescent="0.25"/>
    <row r="277650" s="12" customFormat="1" x14ac:dyDescent="0.25"/>
    <row r="277651" s="12" customFormat="1" x14ac:dyDescent="0.25"/>
    <row r="277652" s="12" customFormat="1" x14ac:dyDescent="0.25"/>
    <row r="277653" s="12" customFormat="1" x14ac:dyDescent="0.25"/>
    <row r="277654" s="12" customFormat="1" x14ac:dyDescent="0.25"/>
    <row r="277655" s="12" customFormat="1" x14ac:dyDescent="0.25"/>
    <row r="277656" s="12" customFormat="1" x14ac:dyDescent="0.25"/>
    <row r="277657" s="12" customFormat="1" x14ac:dyDescent="0.25"/>
    <row r="277658" s="12" customFormat="1" x14ac:dyDescent="0.25"/>
    <row r="277659" s="12" customFormat="1" x14ac:dyDescent="0.25"/>
    <row r="277660" s="12" customFormat="1" x14ac:dyDescent="0.25"/>
    <row r="277661" s="12" customFormat="1" x14ac:dyDescent="0.25"/>
    <row r="277662" s="12" customFormat="1" x14ac:dyDescent="0.25"/>
    <row r="277663" s="12" customFormat="1" x14ac:dyDescent="0.25"/>
    <row r="277664" s="12" customFormat="1" x14ac:dyDescent="0.25"/>
    <row r="277665" s="12" customFormat="1" x14ac:dyDescent="0.25"/>
    <row r="277666" s="12" customFormat="1" x14ac:dyDescent="0.25"/>
    <row r="277667" s="12" customFormat="1" x14ac:dyDescent="0.25"/>
    <row r="277668" s="12" customFormat="1" x14ac:dyDescent="0.25"/>
    <row r="277669" s="12" customFormat="1" x14ac:dyDescent="0.25"/>
    <row r="277670" s="12" customFormat="1" x14ac:dyDescent="0.25"/>
    <row r="277671" s="12" customFormat="1" x14ac:dyDescent="0.25"/>
    <row r="277672" s="12" customFormat="1" x14ac:dyDescent="0.25"/>
    <row r="277673" s="12" customFormat="1" x14ac:dyDescent="0.25"/>
    <row r="277674" s="12" customFormat="1" x14ac:dyDescent="0.25"/>
    <row r="277675" s="12" customFormat="1" x14ac:dyDescent="0.25"/>
    <row r="277676" s="12" customFormat="1" x14ac:dyDescent="0.25"/>
    <row r="277677" s="12" customFormat="1" x14ac:dyDescent="0.25"/>
    <row r="277678" s="12" customFormat="1" x14ac:dyDescent="0.25"/>
    <row r="277679" s="12" customFormat="1" x14ac:dyDescent="0.25"/>
    <row r="277680" s="12" customFormat="1" x14ac:dyDescent="0.25"/>
    <row r="277681" s="12" customFormat="1" x14ac:dyDescent="0.25"/>
    <row r="277682" s="12" customFormat="1" x14ac:dyDescent="0.25"/>
    <row r="277683" s="12" customFormat="1" x14ac:dyDescent="0.25"/>
    <row r="277684" s="12" customFormat="1" x14ac:dyDescent="0.25"/>
    <row r="277685" s="12" customFormat="1" x14ac:dyDescent="0.25"/>
    <row r="277686" s="12" customFormat="1" x14ac:dyDescent="0.25"/>
    <row r="277687" s="12" customFormat="1" x14ac:dyDescent="0.25"/>
    <row r="277688" s="12" customFormat="1" x14ac:dyDescent="0.25"/>
    <row r="277689" s="12" customFormat="1" x14ac:dyDescent="0.25"/>
    <row r="277690" s="12" customFormat="1" x14ac:dyDescent="0.25"/>
    <row r="277691" s="12" customFormat="1" x14ac:dyDescent="0.25"/>
    <row r="277692" s="12" customFormat="1" x14ac:dyDescent="0.25"/>
    <row r="277693" s="12" customFormat="1" x14ac:dyDescent="0.25"/>
    <row r="277694" s="12" customFormat="1" x14ac:dyDescent="0.25"/>
    <row r="277695" s="12" customFormat="1" x14ac:dyDescent="0.25"/>
    <row r="277696" s="12" customFormat="1" x14ac:dyDescent="0.25"/>
    <row r="277697" s="12" customFormat="1" x14ac:dyDescent="0.25"/>
    <row r="277698" s="12" customFormat="1" x14ac:dyDescent="0.25"/>
    <row r="277699" s="12" customFormat="1" x14ac:dyDescent="0.25"/>
    <row r="277700" s="12" customFormat="1" x14ac:dyDescent="0.25"/>
    <row r="277701" s="12" customFormat="1" x14ac:dyDescent="0.25"/>
    <row r="277702" s="12" customFormat="1" x14ac:dyDescent="0.25"/>
    <row r="277703" s="12" customFormat="1" x14ac:dyDescent="0.25"/>
    <row r="277704" s="12" customFormat="1" x14ac:dyDescent="0.25"/>
    <row r="277705" s="12" customFormat="1" x14ac:dyDescent="0.25"/>
    <row r="277706" s="12" customFormat="1" x14ac:dyDescent="0.25"/>
    <row r="277707" s="12" customFormat="1" x14ac:dyDescent="0.25"/>
    <row r="277708" s="12" customFormat="1" x14ac:dyDescent="0.25"/>
    <row r="277709" s="12" customFormat="1" x14ac:dyDescent="0.25"/>
    <row r="277710" s="12" customFormat="1" x14ac:dyDescent="0.25"/>
    <row r="277711" s="12" customFormat="1" x14ac:dyDescent="0.25"/>
    <row r="277712" s="12" customFormat="1" x14ac:dyDescent="0.25"/>
    <row r="277713" s="12" customFormat="1" x14ac:dyDescent="0.25"/>
    <row r="277714" s="12" customFormat="1" x14ac:dyDescent="0.25"/>
    <row r="277715" s="12" customFormat="1" x14ac:dyDescent="0.25"/>
    <row r="277716" s="12" customFormat="1" x14ac:dyDescent="0.25"/>
    <row r="277717" s="12" customFormat="1" x14ac:dyDescent="0.25"/>
    <row r="277718" s="12" customFormat="1" x14ac:dyDescent="0.25"/>
    <row r="277719" s="12" customFormat="1" x14ac:dyDescent="0.25"/>
    <row r="277720" s="12" customFormat="1" x14ac:dyDescent="0.25"/>
    <row r="277721" s="12" customFormat="1" x14ac:dyDescent="0.25"/>
    <row r="277722" s="12" customFormat="1" x14ac:dyDescent="0.25"/>
    <row r="277723" s="12" customFormat="1" x14ac:dyDescent="0.25"/>
    <row r="277724" s="12" customFormat="1" x14ac:dyDescent="0.25"/>
    <row r="277725" s="12" customFormat="1" x14ac:dyDescent="0.25"/>
    <row r="277726" s="12" customFormat="1" x14ac:dyDescent="0.25"/>
    <row r="277727" s="12" customFormat="1" x14ac:dyDescent="0.25"/>
    <row r="277728" s="12" customFormat="1" x14ac:dyDescent="0.25"/>
    <row r="277729" s="12" customFormat="1" x14ac:dyDescent="0.25"/>
    <row r="277730" s="12" customFormat="1" x14ac:dyDescent="0.25"/>
    <row r="277731" s="12" customFormat="1" x14ac:dyDescent="0.25"/>
    <row r="277732" s="12" customFormat="1" x14ac:dyDescent="0.25"/>
    <row r="277733" s="12" customFormat="1" x14ac:dyDescent="0.25"/>
    <row r="277734" s="12" customFormat="1" x14ac:dyDescent="0.25"/>
    <row r="277735" s="12" customFormat="1" x14ac:dyDescent="0.25"/>
    <row r="277736" s="12" customFormat="1" x14ac:dyDescent="0.25"/>
    <row r="277737" s="12" customFormat="1" x14ac:dyDescent="0.25"/>
    <row r="277738" s="12" customFormat="1" x14ac:dyDescent="0.25"/>
    <row r="277739" s="12" customFormat="1" x14ac:dyDescent="0.25"/>
    <row r="277740" s="12" customFormat="1" x14ac:dyDescent="0.25"/>
    <row r="277741" s="12" customFormat="1" x14ac:dyDescent="0.25"/>
    <row r="277742" s="12" customFormat="1" x14ac:dyDescent="0.25"/>
    <row r="277743" s="12" customFormat="1" x14ac:dyDescent="0.25"/>
    <row r="277744" s="12" customFormat="1" x14ac:dyDescent="0.25"/>
    <row r="277745" s="12" customFormat="1" x14ac:dyDescent="0.25"/>
    <row r="277746" s="12" customFormat="1" x14ac:dyDescent="0.25"/>
    <row r="277747" s="12" customFormat="1" x14ac:dyDescent="0.25"/>
    <row r="277748" s="12" customFormat="1" x14ac:dyDescent="0.25"/>
    <row r="277749" s="12" customFormat="1" x14ac:dyDescent="0.25"/>
    <row r="277750" s="12" customFormat="1" x14ac:dyDescent="0.25"/>
    <row r="277751" s="12" customFormat="1" x14ac:dyDescent="0.25"/>
    <row r="277752" s="12" customFormat="1" x14ac:dyDescent="0.25"/>
    <row r="277753" s="12" customFormat="1" x14ac:dyDescent="0.25"/>
    <row r="277754" s="12" customFormat="1" x14ac:dyDescent="0.25"/>
    <row r="277755" s="12" customFormat="1" x14ac:dyDescent="0.25"/>
    <row r="277756" s="12" customFormat="1" x14ac:dyDescent="0.25"/>
    <row r="277757" s="12" customFormat="1" x14ac:dyDescent="0.25"/>
    <row r="277758" s="12" customFormat="1" x14ac:dyDescent="0.25"/>
    <row r="277759" s="12" customFormat="1" x14ac:dyDescent="0.25"/>
    <row r="277760" s="12" customFormat="1" x14ac:dyDescent="0.25"/>
    <row r="277761" s="12" customFormat="1" x14ac:dyDescent="0.25"/>
    <row r="277762" s="12" customFormat="1" x14ac:dyDescent="0.25"/>
    <row r="277763" s="12" customFormat="1" x14ac:dyDescent="0.25"/>
    <row r="277764" s="12" customFormat="1" x14ac:dyDescent="0.25"/>
    <row r="277765" s="12" customFormat="1" x14ac:dyDescent="0.25"/>
    <row r="277766" s="12" customFormat="1" x14ac:dyDescent="0.25"/>
    <row r="277767" s="12" customFormat="1" x14ac:dyDescent="0.25"/>
    <row r="277768" s="12" customFormat="1" x14ac:dyDescent="0.25"/>
    <row r="277769" s="12" customFormat="1" x14ac:dyDescent="0.25"/>
    <row r="277770" s="12" customFormat="1" x14ac:dyDescent="0.25"/>
    <row r="277771" s="12" customFormat="1" x14ac:dyDescent="0.25"/>
    <row r="277772" s="12" customFormat="1" x14ac:dyDescent="0.25"/>
    <row r="277773" s="12" customFormat="1" x14ac:dyDescent="0.25"/>
    <row r="277774" s="12" customFormat="1" x14ac:dyDescent="0.25"/>
    <row r="277775" s="12" customFormat="1" x14ac:dyDescent="0.25"/>
    <row r="277776" s="12" customFormat="1" x14ac:dyDescent="0.25"/>
    <row r="277777" s="12" customFormat="1" x14ac:dyDescent="0.25"/>
    <row r="277778" s="12" customFormat="1" x14ac:dyDescent="0.25"/>
    <row r="277779" s="12" customFormat="1" x14ac:dyDescent="0.25"/>
    <row r="277780" s="12" customFormat="1" x14ac:dyDescent="0.25"/>
    <row r="277781" s="12" customFormat="1" x14ac:dyDescent="0.25"/>
    <row r="277782" s="12" customFormat="1" x14ac:dyDescent="0.25"/>
    <row r="277783" s="12" customFormat="1" x14ac:dyDescent="0.25"/>
    <row r="277784" s="12" customFormat="1" x14ac:dyDescent="0.25"/>
    <row r="277785" s="12" customFormat="1" x14ac:dyDescent="0.25"/>
    <row r="277786" s="12" customFormat="1" x14ac:dyDescent="0.25"/>
    <row r="277787" s="12" customFormat="1" x14ac:dyDescent="0.25"/>
    <row r="277788" s="12" customFormat="1" x14ac:dyDescent="0.25"/>
    <row r="277789" s="12" customFormat="1" x14ac:dyDescent="0.25"/>
    <row r="277790" s="12" customFormat="1" x14ac:dyDescent="0.25"/>
    <row r="277791" s="12" customFormat="1" x14ac:dyDescent="0.25"/>
    <row r="277792" s="12" customFormat="1" x14ac:dyDescent="0.25"/>
    <row r="277793" s="12" customFormat="1" x14ac:dyDescent="0.25"/>
    <row r="277794" s="12" customFormat="1" x14ac:dyDescent="0.25"/>
    <row r="277795" s="12" customFormat="1" x14ac:dyDescent="0.25"/>
    <row r="277796" s="12" customFormat="1" x14ac:dyDescent="0.25"/>
    <row r="277797" s="12" customFormat="1" x14ac:dyDescent="0.25"/>
    <row r="277798" s="12" customFormat="1" x14ac:dyDescent="0.25"/>
    <row r="277799" s="12" customFormat="1" x14ac:dyDescent="0.25"/>
    <row r="277800" s="12" customFormat="1" x14ac:dyDescent="0.25"/>
    <row r="277801" s="12" customFormat="1" x14ac:dyDescent="0.25"/>
    <row r="277802" s="12" customFormat="1" x14ac:dyDescent="0.25"/>
    <row r="277803" s="12" customFormat="1" x14ac:dyDescent="0.25"/>
    <row r="277804" s="12" customFormat="1" x14ac:dyDescent="0.25"/>
    <row r="277805" s="12" customFormat="1" x14ac:dyDescent="0.25"/>
    <row r="277806" s="12" customFormat="1" x14ac:dyDescent="0.25"/>
    <row r="277807" s="12" customFormat="1" x14ac:dyDescent="0.25"/>
    <row r="277808" s="12" customFormat="1" x14ac:dyDescent="0.25"/>
    <row r="277809" s="12" customFormat="1" x14ac:dyDescent="0.25"/>
    <row r="277810" s="12" customFormat="1" x14ac:dyDescent="0.25"/>
    <row r="277811" s="12" customFormat="1" x14ac:dyDescent="0.25"/>
    <row r="277812" s="12" customFormat="1" x14ac:dyDescent="0.25"/>
    <row r="277813" s="12" customFormat="1" x14ac:dyDescent="0.25"/>
    <row r="277814" s="12" customFormat="1" x14ac:dyDescent="0.25"/>
    <row r="277815" s="12" customFormat="1" x14ac:dyDescent="0.25"/>
    <row r="277816" s="12" customFormat="1" x14ac:dyDescent="0.25"/>
    <row r="277817" s="12" customFormat="1" x14ac:dyDescent="0.25"/>
    <row r="277818" s="12" customFormat="1" x14ac:dyDescent="0.25"/>
    <row r="277819" s="12" customFormat="1" x14ac:dyDescent="0.25"/>
    <row r="277820" s="12" customFormat="1" x14ac:dyDescent="0.25"/>
    <row r="277821" s="12" customFormat="1" x14ac:dyDescent="0.25"/>
    <row r="277822" s="12" customFormat="1" x14ac:dyDescent="0.25"/>
    <row r="277823" s="12" customFormat="1" x14ac:dyDescent="0.25"/>
    <row r="277824" s="12" customFormat="1" x14ac:dyDescent="0.25"/>
    <row r="277825" s="12" customFormat="1" x14ac:dyDescent="0.25"/>
    <row r="277826" s="12" customFormat="1" x14ac:dyDescent="0.25"/>
    <row r="277827" s="12" customFormat="1" x14ac:dyDescent="0.25"/>
    <row r="277828" s="12" customFormat="1" x14ac:dyDescent="0.25"/>
    <row r="277829" s="12" customFormat="1" x14ac:dyDescent="0.25"/>
    <row r="277830" s="12" customFormat="1" x14ac:dyDescent="0.25"/>
    <row r="277831" s="12" customFormat="1" x14ac:dyDescent="0.25"/>
    <row r="277832" s="12" customFormat="1" x14ac:dyDescent="0.25"/>
    <row r="277833" s="12" customFormat="1" x14ac:dyDescent="0.25"/>
    <row r="277834" s="12" customFormat="1" x14ac:dyDescent="0.25"/>
    <row r="277835" s="12" customFormat="1" x14ac:dyDescent="0.25"/>
    <row r="277836" s="12" customFormat="1" x14ac:dyDescent="0.25"/>
    <row r="277837" s="12" customFormat="1" x14ac:dyDescent="0.25"/>
    <row r="277838" s="12" customFormat="1" x14ac:dyDescent="0.25"/>
    <row r="277839" s="12" customFormat="1" x14ac:dyDescent="0.25"/>
    <row r="277840" s="12" customFormat="1" x14ac:dyDescent="0.25"/>
    <row r="277841" s="12" customFormat="1" x14ac:dyDescent="0.25"/>
    <row r="277842" s="12" customFormat="1" x14ac:dyDescent="0.25"/>
    <row r="277843" s="12" customFormat="1" x14ac:dyDescent="0.25"/>
    <row r="277844" s="12" customFormat="1" x14ac:dyDescent="0.25"/>
    <row r="277845" s="12" customFormat="1" x14ac:dyDescent="0.25"/>
    <row r="277846" s="12" customFormat="1" x14ac:dyDescent="0.25"/>
    <row r="277847" s="12" customFormat="1" x14ac:dyDescent="0.25"/>
    <row r="277848" s="12" customFormat="1" x14ac:dyDescent="0.25"/>
    <row r="277849" s="12" customFormat="1" x14ac:dyDescent="0.25"/>
    <row r="277850" s="12" customFormat="1" x14ac:dyDescent="0.25"/>
    <row r="277851" s="12" customFormat="1" x14ac:dyDescent="0.25"/>
    <row r="277852" s="12" customFormat="1" x14ac:dyDescent="0.25"/>
    <row r="277853" s="12" customFormat="1" x14ac:dyDescent="0.25"/>
    <row r="277854" s="12" customFormat="1" x14ac:dyDescent="0.25"/>
    <row r="277855" s="12" customFormat="1" x14ac:dyDescent="0.25"/>
    <row r="277856" s="12" customFormat="1" x14ac:dyDescent="0.25"/>
    <row r="277857" s="12" customFormat="1" x14ac:dyDescent="0.25"/>
    <row r="277858" s="12" customFormat="1" x14ac:dyDescent="0.25"/>
    <row r="277859" s="12" customFormat="1" x14ac:dyDescent="0.25"/>
    <row r="277860" s="12" customFormat="1" x14ac:dyDescent="0.25"/>
    <row r="277861" s="12" customFormat="1" x14ac:dyDescent="0.25"/>
    <row r="277862" s="12" customFormat="1" x14ac:dyDescent="0.25"/>
    <row r="277863" s="12" customFormat="1" x14ac:dyDescent="0.25"/>
    <row r="277864" s="12" customFormat="1" x14ac:dyDescent="0.25"/>
    <row r="277865" s="12" customFormat="1" x14ac:dyDescent="0.25"/>
    <row r="277866" s="12" customFormat="1" x14ac:dyDescent="0.25"/>
    <row r="277867" s="12" customFormat="1" x14ac:dyDescent="0.25"/>
    <row r="277868" s="12" customFormat="1" x14ac:dyDescent="0.25"/>
    <row r="277869" s="12" customFormat="1" x14ac:dyDescent="0.25"/>
    <row r="277870" s="12" customFormat="1" x14ac:dyDescent="0.25"/>
    <row r="277871" s="12" customFormat="1" x14ac:dyDescent="0.25"/>
    <row r="277872" s="12" customFormat="1" x14ac:dyDescent="0.25"/>
    <row r="277873" s="12" customFormat="1" x14ac:dyDescent="0.25"/>
    <row r="277874" s="12" customFormat="1" x14ac:dyDescent="0.25"/>
    <row r="277875" s="12" customFormat="1" x14ac:dyDescent="0.25"/>
    <row r="277876" s="12" customFormat="1" x14ac:dyDescent="0.25"/>
    <row r="277877" s="12" customFormat="1" x14ac:dyDescent="0.25"/>
    <row r="277878" s="12" customFormat="1" x14ac:dyDescent="0.25"/>
    <row r="277879" s="12" customFormat="1" x14ac:dyDescent="0.25"/>
    <row r="277880" s="12" customFormat="1" x14ac:dyDescent="0.25"/>
    <row r="277881" s="12" customFormat="1" x14ac:dyDescent="0.25"/>
    <row r="277882" s="12" customFormat="1" x14ac:dyDescent="0.25"/>
    <row r="277883" s="12" customFormat="1" x14ac:dyDescent="0.25"/>
    <row r="277884" s="12" customFormat="1" x14ac:dyDescent="0.25"/>
    <row r="277885" s="12" customFormat="1" x14ac:dyDescent="0.25"/>
    <row r="277886" s="12" customFormat="1" x14ac:dyDescent="0.25"/>
    <row r="277887" s="12" customFormat="1" x14ac:dyDescent="0.25"/>
    <row r="277888" s="12" customFormat="1" x14ac:dyDescent="0.25"/>
    <row r="277889" s="12" customFormat="1" x14ac:dyDescent="0.25"/>
    <row r="277890" s="12" customFormat="1" x14ac:dyDescent="0.25"/>
    <row r="277891" s="12" customFormat="1" x14ac:dyDescent="0.25"/>
    <row r="277892" s="12" customFormat="1" x14ac:dyDescent="0.25"/>
    <row r="277893" s="12" customFormat="1" x14ac:dyDescent="0.25"/>
    <row r="277894" s="12" customFormat="1" x14ac:dyDescent="0.25"/>
    <row r="277895" s="12" customFormat="1" x14ac:dyDescent="0.25"/>
    <row r="277896" s="12" customFormat="1" x14ac:dyDescent="0.25"/>
    <row r="277897" s="12" customFormat="1" x14ac:dyDescent="0.25"/>
    <row r="277898" s="12" customFormat="1" x14ac:dyDescent="0.25"/>
    <row r="277899" s="12" customFormat="1" x14ac:dyDescent="0.25"/>
    <row r="277900" s="12" customFormat="1" x14ac:dyDescent="0.25"/>
    <row r="277901" s="12" customFormat="1" x14ac:dyDescent="0.25"/>
    <row r="277902" s="12" customFormat="1" x14ac:dyDescent="0.25"/>
    <row r="277903" s="12" customFormat="1" x14ac:dyDescent="0.25"/>
    <row r="277904" s="12" customFormat="1" x14ac:dyDescent="0.25"/>
    <row r="277905" s="12" customFormat="1" x14ac:dyDescent="0.25"/>
    <row r="277906" s="12" customFormat="1" x14ac:dyDescent="0.25"/>
    <row r="277907" s="12" customFormat="1" x14ac:dyDescent="0.25"/>
    <row r="277908" s="12" customFormat="1" x14ac:dyDescent="0.25"/>
    <row r="277909" s="12" customFormat="1" x14ac:dyDescent="0.25"/>
    <row r="277910" s="12" customFormat="1" x14ac:dyDescent="0.25"/>
    <row r="277911" s="12" customFormat="1" x14ac:dyDescent="0.25"/>
    <row r="277912" s="12" customFormat="1" x14ac:dyDescent="0.25"/>
    <row r="277913" s="12" customFormat="1" x14ac:dyDescent="0.25"/>
    <row r="277914" s="12" customFormat="1" x14ac:dyDescent="0.25"/>
    <row r="277915" s="12" customFormat="1" x14ac:dyDescent="0.25"/>
    <row r="277916" s="12" customFormat="1" x14ac:dyDescent="0.25"/>
    <row r="277917" s="12" customFormat="1" x14ac:dyDescent="0.25"/>
    <row r="277918" s="12" customFormat="1" x14ac:dyDescent="0.25"/>
    <row r="277919" s="12" customFormat="1" x14ac:dyDescent="0.25"/>
    <row r="277920" s="12" customFormat="1" x14ac:dyDescent="0.25"/>
    <row r="277921" s="12" customFormat="1" x14ac:dyDescent="0.25"/>
    <row r="277922" s="12" customFormat="1" x14ac:dyDescent="0.25"/>
    <row r="277923" s="12" customFormat="1" x14ac:dyDescent="0.25"/>
    <row r="277924" s="12" customFormat="1" x14ac:dyDescent="0.25"/>
    <row r="277925" s="12" customFormat="1" x14ac:dyDescent="0.25"/>
    <row r="277926" s="12" customFormat="1" x14ac:dyDescent="0.25"/>
    <row r="277927" s="12" customFormat="1" x14ac:dyDescent="0.25"/>
    <row r="277928" s="12" customFormat="1" x14ac:dyDescent="0.25"/>
    <row r="277929" s="12" customFormat="1" x14ac:dyDescent="0.25"/>
    <row r="277930" s="12" customFormat="1" x14ac:dyDescent="0.25"/>
    <row r="277931" s="12" customFormat="1" x14ac:dyDescent="0.25"/>
    <row r="277932" s="12" customFormat="1" x14ac:dyDescent="0.25"/>
    <row r="277933" s="12" customFormat="1" x14ac:dyDescent="0.25"/>
    <row r="277934" s="12" customFormat="1" x14ac:dyDescent="0.25"/>
    <row r="277935" s="12" customFormat="1" x14ac:dyDescent="0.25"/>
    <row r="277936" s="12" customFormat="1" x14ac:dyDescent="0.25"/>
    <row r="277937" s="12" customFormat="1" x14ac:dyDescent="0.25"/>
    <row r="277938" s="12" customFormat="1" x14ac:dyDescent="0.25"/>
    <row r="277939" s="12" customFormat="1" x14ac:dyDescent="0.25"/>
    <row r="277940" s="12" customFormat="1" x14ac:dyDescent="0.25"/>
    <row r="277941" s="12" customFormat="1" x14ac:dyDescent="0.25"/>
    <row r="277942" s="12" customFormat="1" x14ac:dyDescent="0.25"/>
    <row r="277943" s="12" customFormat="1" x14ac:dyDescent="0.25"/>
    <row r="277944" s="12" customFormat="1" x14ac:dyDescent="0.25"/>
    <row r="277945" s="12" customFormat="1" x14ac:dyDescent="0.25"/>
    <row r="277946" s="12" customFormat="1" x14ac:dyDescent="0.25"/>
    <row r="277947" s="12" customFormat="1" x14ac:dyDescent="0.25"/>
    <row r="277948" s="12" customFormat="1" x14ac:dyDescent="0.25"/>
    <row r="277949" s="12" customFormat="1" x14ac:dyDescent="0.25"/>
    <row r="277950" s="12" customFormat="1" x14ac:dyDescent="0.25"/>
    <row r="277951" s="12" customFormat="1" x14ac:dyDescent="0.25"/>
    <row r="277952" s="12" customFormat="1" x14ac:dyDescent="0.25"/>
    <row r="277953" s="12" customFormat="1" x14ac:dyDescent="0.25"/>
    <row r="277954" s="12" customFormat="1" x14ac:dyDescent="0.25"/>
    <row r="277955" s="12" customFormat="1" x14ac:dyDescent="0.25"/>
    <row r="277956" s="12" customFormat="1" x14ac:dyDescent="0.25"/>
    <row r="277957" s="12" customFormat="1" x14ac:dyDescent="0.25"/>
    <row r="277958" s="12" customFormat="1" x14ac:dyDescent="0.25"/>
    <row r="277959" s="12" customFormat="1" x14ac:dyDescent="0.25"/>
    <row r="277960" s="12" customFormat="1" x14ac:dyDescent="0.25"/>
    <row r="277961" s="12" customFormat="1" x14ac:dyDescent="0.25"/>
    <row r="277962" s="12" customFormat="1" x14ac:dyDescent="0.25"/>
    <row r="277963" s="12" customFormat="1" x14ac:dyDescent="0.25"/>
    <row r="277964" s="12" customFormat="1" x14ac:dyDescent="0.25"/>
    <row r="277965" s="12" customFormat="1" x14ac:dyDescent="0.25"/>
    <row r="277966" s="12" customFormat="1" x14ac:dyDescent="0.25"/>
    <row r="277967" s="12" customFormat="1" x14ac:dyDescent="0.25"/>
    <row r="277968" s="12" customFormat="1" x14ac:dyDescent="0.25"/>
    <row r="277969" s="12" customFormat="1" x14ac:dyDescent="0.25"/>
    <row r="277970" s="12" customFormat="1" x14ac:dyDescent="0.25"/>
    <row r="277971" s="12" customFormat="1" x14ac:dyDescent="0.25"/>
    <row r="277972" s="12" customFormat="1" x14ac:dyDescent="0.25"/>
    <row r="277973" s="12" customFormat="1" x14ac:dyDescent="0.25"/>
    <row r="277974" s="12" customFormat="1" x14ac:dyDescent="0.25"/>
    <row r="277975" s="12" customFormat="1" x14ac:dyDescent="0.25"/>
    <row r="277976" s="12" customFormat="1" x14ac:dyDescent="0.25"/>
    <row r="277977" s="12" customFormat="1" x14ac:dyDescent="0.25"/>
    <row r="277978" s="12" customFormat="1" x14ac:dyDescent="0.25"/>
    <row r="277979" s="12" customFormat="1" x14ac:dyDescent="0.25"/>
    <row r="277980" s="12" customFormat="1" x14ac:dyDescent="0.25"/>
    <row r="277981" s="12" customFormat="1" x14ac:dyDescent="0.25"/>
    <row r="277982" s="12" customFormat="1" x14ac:dyDescent="0.25"/>
    <row r="277983" s="12" customFormat="1" x14ac:dyDescent="0.25"/>
    <row r="277984" s="12" customFormat="1" x14ac:dyDescent="0.25"/>
    <row r="277985" s="12" customFormat="1" x14ac:dyDescent="0.25"/>
    <row r="277986" s="12" customFormat="1" x14ac:dyDescent="0.25"/>
    <row r="277987" s="12" customFormat="1" x14ac:dyDescent="0.25"/>
    <row r="277988" s="12" customFormat="1" x14ac:dyDescent="0.25"/>
    <row r="277989" s="12" customFormat="1" x14ac:dyDescent="0.25"/>
    <row r="277990" s="12" customFormat="1" x14ac:dyDescent="0.25"/>
    <row r="277991" s="12" customFormat="1" x14ac:dyDescent="0.25"/>
    <row r="277992" s="12" customFormat="1" x14ac:dyDescent="0.25"/>
    <row r="277993" s="12" customFormat="1" x14ac:dyDescent="0.25"/>
    <row r="277994" s="12" customFormat="1" x14ac:dyDescent="0.25"/>
    <row r="277995" s="12" customFormat="1" x14ac:dyDescent="0.25"/>
    <row r="277996" s="12" customFormat="1" x14ac:dyDescent="0.25"/>
    <row r="277997" s="12" customFormat="1" x14ac:dyDescent="0.25"/>
    <row r="277998" s="12" customFormat="1" x14ac:dyDescent="0.25"/>
    <row r="277999" s="12" customFormat="1" x14ac:dyDescent="0.25"/>
    <row r="278000" s="12" customFormat="1" x14ac:dyDescent="0.25"/>
    <row r="278001" s="12" customFormat="1" x14ac:dyDescent="0.25"/>
    <row r="278002" s="12" customFormat="1" x14ac:dyDescent="0.25"/>
    <row r="278003" s="12" customFormat="1" x14ac:dyDescent="0.25"/>
    <row r="278004" s="12" customFormat="1" x14ac:dyDescent="0.25"/>
    <row r="278005" s="12" customFormat="1" x14ac:dyDescent="0.25"/>
    <row r="278006" s="12" customFormat="1" x14ac:dyDescent="0.25"/>
    <row r="278007" s="12" customFormat="1" x14ac:dyDescent="0.25"/>
    <row r="278008" s="12" customFormat="1" x14ac:dyDescent="0.25"/>
    <row r="278009" s="12" customFormat="1" x14ac:dyDescent="0.25"/>
    <row r="278010" s="12" customFormat="1" x14ac:dyDescent="0.25"/>
    <row r="278011" s="12" customFormat="1" x14ac:dyDescent="0.25"/>
    <row r="278012" s="12" customFormat="1" x14ac:dyDescent="0.25"/>
    <row r="278013" s="12" customFormat="1" x14ac:dyDescent="0.25"/>
    <row r="278014" s="12" customFormat="1" x14ac:dyDescent="0.25"/>
    <row r="278015" s="12" customFormat="1" x14ac:dyDescent="0.25"/>
    <row r="278016" s="12" customFormat="1" x14ac:dyDescent="0.25"/>
    <row r="278017" s="12" customFormat="1" x14ac:dyDescent="0.25"/>
    <row r="278018" s="12" customFormat="1" x14ac:dyDescent="0.25"/>
    <row r="278019" s="12" customFormat="1" x14ac:dyDescent="0.25"/>
    <row r="278020" s="12" customFormat="1" x14ac:dyDescent="0.25"/>
    <row r="278021" s="12" customFormat="1" x14ac:dyDescent="0.25"/>
    <row r="278022" s="12" customFormat="1" x14ac:dyDescent="0.25"/>
    <row r="278023" s="12" customFormat="1" x14ac:dyDescent="0.25"/>
    <row r="278024" s="12" customFormat="1" x14ac:dyDescent="0.25"/>
    <row r="278025" s="12" customFormat="1" x14ac:dyDescent="0.25"/>
    <row r="278026" s="12" customFormat="1" x14ac:dyDescent="0.25"/>
    <row r="278027" s="12" customFormat="1" x14ac:dyDescent="0.25"/>
    <row r="278028" s="12" customFormat="1" x14ac:dyDescent="0.25"/>
    <row r="278029" s="12" customFormat="1" x14ac:dyDescent="0.25"/>
    <row r="278030" s="12" customFormat="1" x14ac:dyDescent="0.25"/>
    <row r="278031" s="12" customFormat="1" x14ac:dyDescent="0.25"/>
    <row r="278032" s="12" customFormat="1" x14ac:dyDescent="0.25"/>
    <row r="278033" s="12" customFormat="1" x14ac:dyDescent="0.25"/>
    <row r="278034" s="12" customFormat="1" x14ac:dyDescent="0.25"/>
    <row r="278035" s="12" customFormat="1" x14ac:dyDescent="0.25"/>
    <row r="278036" s="12" customFormat="1" x14ac:dyDescent="0.25"/>
    <row r="278037" s="12" customFormat="1" x14ac:dyDescent="0.25"/>
    <row r="278038" s="12" customFormat="1" x14ac:dyDescent="0.25"/>
    <row r="278039" s="12" customFormat="1" x14ac:dyDescent="0.25"/>
    <row r="278040" s="12" customFormat="1" x14ac:dyDescent="0.25"/>
    <row r="278041" s="12" customFormat="1" x14ac:dyDescent="0.25"/>
    <row r="278042" s="12" customFormat="1" x14ac:dyDescent="0.25"/>
    <row r="278043" s="12" customFormat="1" x14ac:dyDescent="0.25"/>
    <row r="278044" s="12" customFormat="1" x14ac:dyDescent="0.25"/>
    <row r="278045" s="12" customFormat="1" x14ac:dyDescent="0.25"/>
    <row r="278046" s="12" customFormat="1" x14ac:dyDescent="0.25"/>
    <row r="278047" s="12" customFormat="1" x14ac:dyDescent="0.25"/>
    <row r="278048" s="12" customFormat="1" x14ac:dyDescent="0.25"/>
    <row r="278049" s="12" customFormat="1" x14ac:dyDescent="0.25"/>
    <row r="278050" s="12" customFormat="1" x14ac:dyDescent="0.25"/>
    <row r="278051" s="12" customFormat="1" x14ac:dyDescent="0.25"/>
    <row r="278052" s="12" customFormat="1" x14ac:dyDescent="0.25"/>
    <row r="278053" s="12" customFormat="1" x14ac:dyDescent="0.25"/>
    <row r="278054" s="12" customFormat="1" x14ac:dyDescent="0.25"/>
    <row r="278055" s="12" customFormat="1" x14ac:dyDescent="0.25"/>
    <row r="278056" s="12" customFormat="1" x14ac:dyDescent="0.25"/>
    <row r="278057" s="12" customFormat="1" x14ac:dyDescent="0.25"/>
    <row r="278058" s="12" customFormat="1" x14ac:dyDescent="0.25"/>
    <row r="278059" s="12" customFormat="1" x14ac:dyDescent="0.25"/>
    <row r="278060" s="12" customFormat="1" x14ac:dyDescent="0.25"/>
    <row r="278061" s="12" customFormat="1" x14ac:dyDescent="0.25"/>
    <row r="278062" s="12" customFormat="1" x14ac:dyDescent="0.25"/>
    <row r="278063" s="12" customFormat="1" x14ac:dyDescent="0.25"/>
    <row r="278064" s="12" customFormat="1" x14ac:dyDescent="0.25"/>
    <row r="278065" s="12" customFormat="1" x14ac:dyDescent="0.25"/>
    <row r="278066" s="12" customFormat="1" x14ac:dyDescent="0.25"/>
    <row r="278067" s="12" customFormat="1" x14ac:dyDescent="0.25"/>
    <row r="278068" s="12" customFormat="1" x14ac:dyDescent="0.25"/>
    <row r="278069" s="12" customFormat="1" x14ac:dyDescent="0.25"/>
    <row r="278070" s="12" customFormat="1" x14ac:dyDescent="0.25"/>
    <row r="278071" s="12" customFormat="1" x14ac:dyDescent="0.25"/>
    <row r="278072" s="12" customFormat="1" x14ac:dyDescent="0.25"/>
    <row r="278073" s="12" customFormat="1" x14ac:dyDescent="0.25"/>
    <row r="278074" s="12" customFormat="1" x14ac:dyDescent="0.25"/>
    <row r="278075" s="12" customFormat="1" x14ac:dyDescent="0.25"/>
    <row r="278076" s="12" customFormat="1" x14ac:dyDescent="0.25"/>
    <row r="278077" s="12" customFormat="1" x14ac:dyDescent="0.25"/>
    <row r="278078" s="12" customFormat="1" x14ac:dyDescent="0.25"/>
    <row r="278079" s="12" customFormat="1" x14ac:dyDescent="0.25"/>
    <row r="278080" s="12" customFormat="1" x14ac:dyDescent="0.25"/>
    <row r="278081" s="12" customFormat="1" x14ac:dyDescent="0.25"/>
    <row r="278082" s="12" customFormat="1" x14ac:dyDescent="0.25"/>
    <row r="278083" s="12" customFormat="1" x14ac:dyDescent="0.25"/>
    <row r="278084" s="12" customFormat="1" x14ac:dyDescent="0.25"/>
    <row r="278085" s="12" customFormat="1" x14ac:dyDescent="0.25"/>
    <row r="278086" s="12" customFormat="1" x14ac:dyDescent="0.25"/>
    <row r="278087" s="12" customFormat="1" x14ac:dyDescent="0.25"/>
    <row r="278088" s="12" customFormat="1" x14ac:dyDescent="0.25"/>
    <row r="278089" s="12" customFormat="1" x14ac:dyDescent="0.25"/>
    <row r="278090" s="12" customFormat="1" x14ac:dyDescent="0.25"/>
    <row r="278091" s="12" customFormat="1" x14ac:dyDescent="0.25"/>
    <row r="278092" s="12" customFormat="1" x14ac:dyDescent="0.25"/>
    <row r="278093" s="12" customFormat="1" x14ac:dyDescent="0.25"/>
    <row r="278094" s="12" customFormat="1" x14ac:dyDescent="0.25"/>
    <row r="278095" s="12" customFormat="1" x14ac:dyDescent="0.25"/>
    <row r="278096" s="12" customFormat="1" x14ac:dyDescent="0.25"/>
    <row r="278097" s="12" customFormat="1" x14ac:dyDescent="0.25"/>
    <row r="278098" s="12" customFormat="1" x14ac:dyDescent="0.25"/>
    <row r="278099" s="12" customFormat="1" x14ac:dyDescent="0.25"/>
    <row r="278100" s="12" customFormat="1" x14ac:dyDescent="0.25"/>
    <row r="278101" s="12" customFormat="1" x14ac:dyDescent="0.25"/>
    <row r="278102" s="12" customFormat="1" x14ac:dyDescent="0.25"/>
    <row r="278103" s="12" customFormat="1" x14ac:dyDescent="0.25"/>
    <row r="278104" s="12" customFormat="1" x14ac:dyDescent="0.25"/>
    <row r="278105" s="12" customFormat="1" x14ac:dyDescent="0.25"/>
    <row r="278106" s="12" customFormat="1" x14ac:dyDescent="0.25"/>
    <row r="278107" s="12" customFormat="1" x14ac:dyDescent="0.25"/>
    <row r="278108" s="12" customFormat="1" x14ac:dyDescent="0.25"/>
    <row r="278109" s="12" customFormat="1" x14ac:dyDescent="0.25"/>
    <row r="278110" s="12" customFormat="1" x14ac:dyDescent="0.25"/>
    <row r="278111" s="12" customFormat="1" x14ac:dyDescent="0.25"/>
    <row r="278112" s="12" customFormat="1" x14ac:dyDescent="0.25"/>
    <row r="278113" s="12" customFormat="1" x14ac:dyDescent="0.25"/>
    <row r="278114" s="12" customFormat="1" x14ac:dyDescent="0.25"/>
    <row r="278115" s="12" customFormat="1" x14ac:dyDescent="0.25"/>
    <row r="278116" s="12" customFormat="1" x14ac:dyDescent="0.25"/>
    <row r="278117" s="12" customFormat="1" x14ac:dyDescent="0.25"/>
    <row r="278118" s="12" customFormat="1" x14ac:dyDescent="0.25"/>
    <row r="278119" s="12" customFormat="1" x14ac:dyDescent="0.25"/>
    <row r="278120" s="12" customFormat="1" x14ac:dyDescent="0.25"/>
    <row r="278121" s="12" customFormat="1" x14ac:dyDescent="0.25"/>
    <row r="278122" s="12" customFormat="1" x14ac:dyDescent="0.25"/>
    <row r="278123" s="12" customFormat="1" x14ac:dyDescent="0.25"/>
    <row r="278124" s="12" customFormat="1" x14ac:dyDescent="0.25"/>
    <row r="278125" s="12" customFormat="1" x14ac:dyDescent="0.25"/>
    <row r="278126" s="12" customFormat="1" x14ac:dyDescent="0.25"/>
    <row r="278127" s="12" customFormat="1" x14ac:dyDescent="0.25"/>
    <row r="278128" s="12" customFormat="1" x14ac:dyDescent="0.25"/>
    <row r="278129" s="12" customFormat="1" x14ac:dyDescent="0.25"/>
    <row r="278130" s="12" customFormat="1" x14ac:dyDescent="0.25"/>
    <row r="278131" s="12" customFormat="1" x14ac:dyDescent="0.25"/>
    <row r="278132" s="12" customFormat="1" x14ac:dyDescent="0.25"/>
    <row r="278133" s="12" customFormat="1" x14ac:dyDescent="0.25"/>
    <row r="278134" s="12" customFormat="1" x14ac:dyDescent="0.25"/>
    <row r="278135" s="12" customFormat="1" x14ac:dyDescent="0.25"/>
    <row r="278136" s="12" customFormat="1" x14ac:dyDescent="0.25"/>
    <row r="278137" s="12" customFormat="1" x14ac:dyDescent="0.25"/>
    <row r="278138" s="12" customFormat="1" x14ac:dyDescent="0.25"/>
    <row r="278139" s="12" customFormat="1" x14ac:dyDescent="0.25"/>
    <row r="278140" s="12" customFormat="1" x14ac:dyDescent="0.25"/>
    <row r="278141" s="12" customFormat="1" x14ac:dyDescent="0.25"/>
    <row r="278142" s="12" customFormat="1" x14ac:dyDescent="0.25"/>
    <row r="278143" s="12" customFormat="1" x14ac:dyDescent="0.25"/>
    <row r="278144" s="12" customFormat="1" x14ac:dyDescent="0.25"/>
    <row r="278145" s="12" customFormat="1" x14ac:dyDescent="0.25"/>
    <row r="278146" s="12" customFormat="1" x14ac:dyDescent="0.25"/>
    <row r="278147" s="12" customFormat="1" x14ac:dyDescent="0.25"/>
    <row r="278148" s="12" customFormat="1" x14ac:dyDescent="0.25"/>
    <row r="278149" s="12" customFormat="1" x14ac:dyDescent="0.25"/>
    <row r="278150" s="12" customFormat="1" x14ac:dyDescent="0.25"/>
    <row r="278151" s="12" customFormat="1" x14ac:dyDescent="0.25"/>
    <row r="278152" s="12" customFormat="1" x14ac:dyDescent="0.25"/>
    <row r="278153" s="12" customFormat="1" x14ac:dyDescent="0.25"/>
    <row r="278154" s="12" customFormat="1" x14ac:dyDescent="0.25"/>
    <row r="278155" s="12" customFormat="1" x14ac:dyDescent="0.25"/>
    <row r="278156" s="12" customFormat="1" x14ac:dyDescent="0.25"/>
    <row r="278157" s="12" customFormat="1" x14ac:dyDescent="0.25"/>
    <row r="278158" s="12" customFormat="1" x14ac:dyDescent="0.25"/>
    <row r="278159" s="12" customFormat="1" x14ac:dyDescent="0.25"/>
    <row r="278160" s="12" customFormat="1" x14ac:dyDescent="0.25"/>
    <row r="278161" s="12" customFormat="1" x14ac:dyDescent="0.25"/>
    <row r="278162" s="12" customFormat="1" x14ac:dyDescent="0.25"/>
    <row r="278163" s="12" customFormat="1" x14ac:dyDescent="0.25"/>
    <row r="278164" s="12" customFormat="1" x14ac:dyDescent="0.25"/>
    <row r="278165" s="12" customFormat="1" x14ac:dyDescent="0.25"/>
    <row r="278166" s="12" customFormat="1" x14ac:dyDescent="0.25"/>
    <row r="278167" s="12" customFormat="1" x14ac:dyDescent="0.25"/>
    <row r="278168" s="12" customFormat="1" x14ac:dyDescent="0.25"/>
    <row r="278169" s="12" customFormat="1" x14ac:dyDescent="0.25"/>
    <row r="278170" s="12" customFormat="1" x14ac:dyDescent="0.25"/>
    <row r="278171" s="12" customFormat="1" x14ac:dyDescent="0.25"/>
    <row r="278172" s="12" customFormat="1" x14ac:dyDescent="0.25"/>
    <row r="278173" s="12" customFormat="1" x14ac:dyDescent="0.25"/>
    <row r="278174" s="12" customFormat="1" x14ac:dyDescent="0.25"/>
    <row r="278175" s="12" customFormat="1" x14ac:dyDescent="0.25"/>
    <row r="278176" s="12" customFormat="1" x14ac:dyDescent="0.25"/>
    <row r="278177" s="12" customFormat="1" x14ac:dyDescent="0.25"/>
    <row r="278178" s="12" customFormat="1" x14ac:dyDescent="0.25"/>
    <row r="278179" s="12" customFormat="1" x14ac:dyDescent="0.25"/>
    <row r="278180" s="12" customFormat="1" x14ac:dyDescent="0.25"/>
    <row r="278181" s="12" customFormat="1" x14ac:dyDescent="0.25"/>
    <row r="278182" s="12" customFormat="1" x14ac:dyDescent="0.25"/>
    <row r="278183" s="12" customFormat="1" x14ac:dyDescent="0.25"/>
    <row r="278184" s="12" customFormat="1" x14ac:dyDescent="0.25"/>
    <row r="278185" s="12" customFormat="1" x14ac:dyDescent="0.25"/>
    <row r="278186" s="12" customFormat="1" x14ac:dyDescent="0.25"/>
    <row r="278187" s="12" customFormat="1" x14ac:dyDescent="0.25"/>
    <row r="278188" s="12" customFormat="1" x14ac:dyDescent="0.25"/>
    <row r="278189" s="12" customFormat="1" x14ac:dyDescent="0.25"/>
    <row r="278190" s="12" customFormat="1" x14ac:dyDescent="0.25"/>
    <row r="278191" s="12" customFormat="1" x14ac:dyDescent="0.25"/>
    <row r="278192" s="12" customFormat="1" x14ac:dyDescent="0.25"/>
    <row r="278193" s="12" customFormat="1" x14ac:dyDescent="0.25"/>
    <row r="278194" s="12" customFormat="1" x14ac:dyDescent="0.25"/>
    <row r="278195" s="12" customFormat="1" x14ac:dyDescent="0.25"/>
    <row r="278196" s="12" customFormat="1" x14ac:dyDescent="0.25"/>
    <row r="278197" s="12" customFormat="1" x14ac:dyDescent="0.25"/>
    <row r="278198" s="12" customFormat="1" x14ac:dyDescent="0.25"/>
    <row r="278199" s="12" customFormat="1" x14ac:dyDescent="0.25"/>
    <row r="278200" s="12" customFormat="1" x14ac:dyDescent="0.25"/>
    <row r="278201" s="12" customFormat="1" x14ac:dyDescent="0.25"/>
    <row r="278202" s="12" customFormat="1" x14ac:dyDescent="0.25"/>
    <row r="278203" s="12" customFormat="1" x14ac:dyDescent="0.25"/>
    <row r="278204" s="12" customFormat="1" x14ac:dyDescent="0.25"/>
    <row r="278205" s="12" customFormat="1" x14ac:dyDescent="0.25"/>
    <row r="278206" s="12" customFormat="1" x14ac:dyDescent="0.25"/>
    <row r="278207" s="12" customFormat="1" x14ac:dyDescent="0.25"/>
    <row r="278208" s="12" customFormat="1" x14ac:dyDescent="0.25"/>
    <row r="278209" s="12" customFormat="1" x14ac:dyDescent="0.25"/>
    <row r="278210" s="12" customFormat="1" x14ac:dyDescent="0.25"/>
    <row r="278211" s="12" customFormat="1" x14ac:dyDescent="0.25"/>
    <row r="278212" s="12" customFormat="1" x14ac:dyDescent="0.25"/>
    <row r="278213" s="12" customFormat="1" x14ac:dyDescent="0.25"/>
    <row r="278214" s="12" customFormat="1" x14ac:dyDescent="0.25"/>
    <row r="278215" s="12" customFormat="1" x14ac:dyDescent="0.25"/>
    <row r="278216" s="12" customFormat="1" x14ac:dyDescent="0.25"/>
    <row r="278217" s="12" customFormat="1" x14ac:dyDescent="0.25"/>
    <row r="278218" s="12" customFormat="1" x14ac:dyDescent="0.25"/>
    <row r="278219" s="12" customFormat="1" x14ac:dyDescent="0.25"/>
    <row r="278220" s="12" customFormat="1" x14ac:dyDescent="0.25"/>
    <row r="278221" s="12" customFormat="1" x14ac:dyDescent="0.25"/>
    <row r="278222" s="12" customFormat="1" x14ac:dyDescent="0.25"/>
    <row r="278223" s="12" customFormat="1" x14ac:dyDescent="0.25"/>
    <row r="278224" s="12" customFormat="1" x14ac:dyDescent="0.25"/>
    <row r="278225" s="12" customFormat="1" x14ac:dyDescent="0.25"/>
    <row r="278226" s="12" customFormat="1" x14ac:dyDescent="0.25"/>
    <row r="278227" s="12" customFormat="1" x14ac:dyDescent="0.25"/>
    <row r="278228" s="12" customFormat="1" x14ac:dyDescent="0.25"/>
    <row r="278229" s="12" customFormat="1" x14ac:dyDescent="0.25"/>
    <row r="278230" s="12" customFormat="1" x14ac:dyDescent="0.25"/>
    <row r="278231" s="12" customFormat="1" x14ac:dyDescent="0.25"/>
    <row r="278232" s="12" customFormat="1" x14ac:dyDescent="0.25"/>
    <row r="278233" s="12" customFormat="1" x14ac:dyDescent="0.25"/>
    <row r="278234" s="12" customFormat="1" x14ac:dyDescent="0.25"/>
    <row r="278235" s="12" customFormat="1" x14ac:dyDescent="0.25"/>
    <row r="278236" s="12" customFormat="1" x14ac:dyDescent="0.25"/>
    <row r="278237" s="12" customFormat="1" x14ac:dyDescent="0.25"/>
    <row r="278238" s="12" customFormat="1" x14ac:dyDescent="0.25"/>
    <row r="278239" s="12" customFormat="1" x14ac:dyDescent="0.25"/>
    <row r="278240" s="12" customFormat="1" x14ac:dyDescent="0.25"/>
    <row r="278241" s="12" customFormat="1" x14ac:dyDescent="0.25"/>
    <row r="278242" s="12" customFormat="1" x14ac:dyDescent="0.25"/>
    <row r="278243" s="12" customFormat="1" x14ac:dyDescent="0.25"/>
    <row r="278244" s="12" customFormat="1" x14ac:dyDescent="0.25"/>
    <row r="278245" s="12" customFormat="1" x14ac:dyDescent="0.25"/>
    <row r="278246" s="12" customFormat="1" x14ac:dyDescent="0.25"/>
    <row r="278247" s="12" customFormat="1" x14ac:dyDescent="0.25"/>
    <row r="278248" s="12" customFormat="1" x14ac:dyDescent="0.25"/>
    <row r="278249" s="12" customFormat="1" x14ac:dyDescent="0.25"/>
    <row r="278250" s="12" customFormat="1" x14ac:dyDescent="0.25"/>
    <row r="278251" s="12" customFormat="1" x14ac:dyDescent="0.25"/>
    <row r="278252" s="12" customFormat="1" x14ac:dyDescent="0.25"/>
    <row r="278253" s="12" customFormat="1" x14ac:dyDescent="0.25"/>
    <row r="278254" s="12" customFormat="1" x14ac:dyDescent="0.25"/>
    <row r="278255" s="12" customFormat="1" x14ac:dyDescent="0.25"/>
    <row r="278256" s="12" customFormat="1" x14ac:dyDescent="0.25"/>
    <row r="278257" s="12" customFormat="1" x14ac:dyDescent="0.25"/>
    <row r="278258" s="12" customFormat="1" x14ac:dyDescent="0.25"/>
    <row r="278259" s="12" customFormat="1" x14ac:dyDescent="0.25"/>
    <row r="278260" s="12" customFormat="1" x14ac:dyDescent="0.25"/>
    <row r="278261" s="12" customFormat="1" x14ac:dyDescent="0.25"/>
    <row r="278262" s="12" customFormat="1" x14ac:dyDescent="0.25"/>
    <row r="278263" s="12" customFormat="1" x14ac:dyDescent="0.25"/>
    <row r="278264" s="12" customFormat="1" x14ac:dyDescent="0.25"/>
    <row r="278265" s="12" customFormat="1" x14ac:dyDescent="0.25"/>
    <row r="278266" s="12" customFormat="1" x14ac:dyDescent="0.25"/>
    <row r="278267" s="12" customFormat="1" x14ac:dyDescent="0.25"/>
    <row r="278268" s="12" customFormat="1" x14ac:dyDescent="0.25"/>
    <row r="278269" s="12" customFormat="1" x14ac:dyDescent="0.25"/>
    <row r="278270" s="12" customFormat="1" x14ac:dyDescent="0.25"/>
    <row r="278271" s="12" customFormat="1" x14ac:dyDescent="0.25"/>
    <row r="278272" s="12" customFormat="1" x14ac:dyDescent="0.25"/>
    <row r="278273" s="12" customFormat="1" x14ac:dyDescent="0.25"/>
    <row r="278274" s="12" customFormat="1" x14ac:dyDescent="0.25"/>
    <row r="278275" s="12" customFormat="1" x14ac:dyDescent="0.25"/>
    <row r="278276" s="12" customFormat="1" x14ac:dyDescent="0.25"/>
    <row r="278277" s="12" customFormat="1" x14ac:dyDescent="0.25"/>
    <row r="278278" s="12" customFormat="1" x14ac:dyDescent="0.25"/>
    <row r="278279" s="12" customFormat="1" x14ac:dyDescent="0.25"/>
    <row r="278280" s="12" customFormat="1" x14ac:dyDescent="0.25"/>
    <row r="278281" s="12" customFormat="1" x14ac:dyDescent="0.25"/>
    <row r="278282" s="12" customFormat="1" x14ac:dyDescent="0.25"/>
    <row r="278283" s="12" customFormat="1" x14ac:dyDescent="0.25"/>
    <row r="278284" s="12" customFormat="1" x14ac:dyDescent="0.25"/>
    <row r="278285" s="12" customFormat="1" x14ac:dyDescent="0.25"/>
    <row r="278286" s="12" customFormat="1" x14ac:dyDescent="0.25"/>
    <row r="278287" s="12" customFormat="1" x14ac:dyDescent="0.25"/>
    <row r="278288" s="12" customFormat="1" x14ac:dyDescent="0.25"/>
    <row r="278289" s="12" customFormat="1" x14ac:dyDescent="0.25"/>
    <row r="278290" s="12" customFormat="1" x14ac:dyDescent="0.25"/>
    <row r="278291" s="12" customFormat="1" x14ac:dyDescent="0.25"/>
    <row r="278292" s="12" customFormat="1" x14ac:dyDescent="0.25"/>
    <row r="278293" s="12" customFormat="1" x14ac:dyDescent="0.25"/>
    <row r="278294" s="12" customFormat="1" x14ac:dyDescent="0.25"/>
    <row r="278295" s="12" customFormat="1" x14ac:dyDescent="0.25"/>
    <row r="278296" s="12" customFormat="1" x14ac:dyDescent="0.25"/>
    <row r="278297" s="12" customFormat="1" x14ac:dyDescent="0.25"/>
    <row r="278298" s="12" customFormat="1" x14ac:dyDescent="0.25"/>
    <row r="278299" s="12" customFormat="1" x14ac:dyDescent="0.25"/>
    <row r="278300" s="12" customFormat="1" x14ac:dyDescent="0.25"/>
    <row r="278301" s="12" customFormat="1" x14ac:dyDescent="0.25"/>
    <row r="278302" s="12" customFormat="1" x14ac:dyDescent="0.25"/>
    <row r="278303" s="12" customFormat="1" x14ac:dyDescent="0.25"/>
    <row r="278304" s="12" customFormat="1" x14ac:dyDescent="0.25"/>
    <row r="278305" s="12" customFormat="1" x14ac:dyDescent="0.25"/>
    <row r="278306" s="12" customFormat="1" x14ac:dyDescent="0.25"/>
    <row r="278307" s="12" customFormat="1" x14ac:dyDescent="0.25"/>
    <row r="278308" s="12" customFormat="1" x14ac:dyDescent="0.25"/>
    <row r="278309" s="12" customFormat="1" x14ac:dyDescent="0.25"/>
    <row r="278310" s="12" customFormat="1" x14ac:dyDescent="0.25"/>
    <row r="278311" s="12" customFormat="1" x14ac:dyDescent="0.25"/>
    <row r="278312" s="12" customFormat="1" x14ac:dyDescent="0.25"/>
    <row r="278313" s="12" customFormat="1" x14ac:dyDescent="0.25"/>
    <row r="278314" s="12" customFormat="1" x14ac:dyDescent="0.25"/>
    <row r="278315" s="12" customFormat="1" x14ac:dyDescent="0.25"/>
    <row r="278316" s="12" customFormat="1" x14ac:dyDescent="0.25"/>
    <row r="278317" s="12" customFormat="1" x14ac:dyDescent="0.25"/>
    <row r="278318" s="12" customFormat="1" x14ac:dyDescent="0.25"/>
    <row r="278319" s="12" customFormat="1" x14ac:dyDescent="0.25"/>
    <row r="278320" s="12" customFormat="1" x14ac:dyDescent="0.25"/>
    <row r="278321" s="12" customFormat="1" x14ac:dyDescent="0.25"/>
    <row r="278322" s="12" customFormat="1" x14ac:dyDescent="0.25"/>
    <row r="278323" s="12" customFormat="1" x14ac:dyDescent="0.25"/>
    <row r="278324" s="12" customFormat="1" x14ac:dyDescent="0.25"/>
    <row r="278325" s="12" customFormat="1" x14ac:dyDescent="0.25"/>
    <row r="278326" s="12" customFormat="1" x14ac:dyDescent="0.25"/>
    <row r="278327" s="12" customFormat="1" x14ac:dyDescent="0.25"/>
    <row r="278328" s="12" customFormat="1" x14ac:dyDescent="0.25"/>
    <row r="278329" s="12" customFormat="1" x14ac:dyDescent="0.25"/>
    <row r="278330" s="12" customFormat="1" x14ac:dyDescent="0.25"/>
    <row r="278331" s="12" customFormat="1" x14ac:dyDescent="0.25"/>
    <row r="278332" s="12" customFormat="1" x14ac:dyDescent="0.25"/>
    <row r="278333" s="12" customFormat="1" x14ac:dyDescent="0.25"/>
    <row r="278334" s="12" customFormat="1" x14ac:dyDescent="0.25"/>
    <row r="278335" s="12" customFormat="1" x14ac:dyDescent="0.25"/>
    <row r="278336" s="12" customFormat="1" x14ac:dyDescent="0.25"/>
    <row r="278337" s="12" customFormat="1" x14ac:dyDescent="0.25"/>
    <row r="278338" s="12" customFormat="1" x14ac:dyDescent="0.25"/>
    <row r="278339" s="12" customFormat="1" x14ac:dyDescent="0.25"/>
    <row r="278340" s="12" customFormat="1" x14ac:dyDescent="0.25"/>
    <row r="278341" s="12" customFormat="1" x14ac:dyDescent="0.25"/>
    <row r="278342" s="12" customFormat="1" x14ac:dyDescent="0.25"/>
    <row r="278343" s="12" customFormat="1" x14ac:dyDescent="0.25"/>
    <row r="278344" s="12" customFormat="1" x14ac:dyDescent="0.25"/>
    <row r="278345" s="12" customFormat="1" x14ac:dyDescent="0.25"/>
    <row r="278346" s="12" customFormat="1" x14ac:dyDescent="0.25"/>
    <row r="278347" s="12" customFormat="1" x14ac:dyDescent="0.25"/>
    <row r="278348" s="12" customFormat="1" x14ac:dyDescent="0.25"/>
    <row r="278349" s="12" customFormat="1" x14ac:dyDescent="0.25"/>
    <row r="278350" s="12" customFormat="1" x14ac:dyDescent="0.25"/>
    <row r="278351" s="12" customFormat="1" x14ac:dyDescent="0.25"/>
    <row r="278352" s="12" customFormat="1" x14ac:dyDescent="0.25"/>
    <row r="278353" s="12" customFormat="1" x14ac:dyDescent="0.25"/>
    <row r="278354" s="12" customFormat="1" x14ac:dyDescent="0.25"/>
    <row r="278355" s="12" customFormat="1" x14ac:dyDescent="0.25"/>
    <row r="278356" s="12" customFormat="1" x14ac:dyDescent="0.25"/>
    <row r="278357" s="12" customFormat="1" x14ac:dyDescent="0.25"/>
    <row r="278358" s="12" customFormat="1" x14ac:dyDescent="0.25"/>
    <row r="278359" s="12" customFormat="1" x14ac:dyDescent="0.25"/>
    <row r="278360" s="12" customFormat="1" x14ac:dyDescent="0.25"/>
    <row r="278361" s="12" customFormat="1" x14ac:dyDescent="0.25"/>
    <row r="278362" s="12" customFormat="1" x14ac:dyDescent="0.25"/>
    <row r="278363" s="12" customFormat="1" x14ac:dyDescent="0.25"/>
    <row r="278364" s="12" customFormat="1" x14ac:dyDescent="0.25"/>
    <row r="278365" s="12" customFormat="1" x14ac:dyDescent="0.25"/>
    <row r="278366" s="12" customFormat="1" x14ac:dyDescent="0.25"/>
    <row r="278367" s="12" customFormat="1" x14ac:dyDescent="0.25"/>
    <row r="278368" s="12" customFormat="1" x14ac:dyDescent="0.25"/>
    <row r="278369" s="12" customFormat="1" x14ac:dyDescent="0.25"/>
    <row r="278370" s="12" customFormat="1" x14ac:dyDescent="0.25"/>
    <row r="278371" s="12" customFormat="1" x14ac:dyDescent="0.25"/>
    <row r="278372" s="12" customFormat="1" x14ac:dyDescent="0.25"/>
    <row r="278373" s="12" customFormat="1" x14ac:dyDescent="0.25"/>
    <row r="278374" s="12" customFormat="1" x14ac:dyDescent="0.25"/>
    <row r="278375" s="12" customFormat="1" x14ac:dyDescent="0.25"/>
    <row r="278376" s="12" customFormat="1" x14ac:dyDescent="0.25"/>
    <row r="278377" s="12" customFormat="1" x14ac:dyDescent="0.25"/>
    <row r="278378" s="12" customFormat="1" x14ac:dyDescent="0.25"/>
    <row r="278379" s="12" customFormat="1" x14ac:dyDescent="0.25"/>
    <row r="278380" s="12" customFormat="1" x14ac:dyDescent="0.25"/>
    <row r="278381" s="12" customFormat="1" x14ac:dyDescent="0.25"/>
    <row r="278382" s="12" customFormat="1" x14ac:dyDescent="0.25"/>
    <row r="278383" s="12" customFormat="1" x14ac:dyDescent="0.25"/>
    <row r="278384" s="12" customFormat="1" x14ac:dyDescent="0.25"/>
    <row r="278385" s="12" customFormat="1" x14ac:dyDescent="0.25"/>
    <row r="278386" s="12" customFormat="1" x14ac:dyDescent="0.25"/>
    <row r="278387" s="12" customFormat="1" x14ac:dyDescent="0.25"/>
    <row r="278388" s="12" customFormat="1" x14ac:dyDescent="0.25"/>
    <row r="278389" s="12" customFormat="1" x14ac:dyDescent="0.25"/>
    <row r="278390" s="12" customFormat="1" x14ac:dyDescent="0.25"/>
    <row r="278391" s="12" customFormat="1" x14ac:dyDescent="0.25"/>
    <row r="278392" s="12" customFormat="1" x14ac:dyDescent="0.25"/>
    <row r="278393" s="12" customFormat="1" x14ac:dyDescent="0.25"/>
    <row r="278394" s="12" customFormat="1" x14ac:dyDescent="0.25"/>
    <row r="278395" s="12" customFormat="1" x14ac:dyDescent="0.25"/>
    <row r="278396" s="12" customFormat="1" x14ac:dyDescent="0.25"/>
    <row r="278397" s="12" customFormat="1" x14ac:dyDescent="0.25"/>
    <row r="278398" s="12" customFormat="1" x14ac:dyDescent="0.25"/>
    <row r="278399" s="12" customFormat="1" x14ac:dyDescent="0.25"/>
    <row r="278400" s="12" customFormat="1" x14ac:dyDescent="0.25"/>
    <row r="278401" s="12" customFormat="1" x14ac:dyDescent="0.25"/>
    <row r="278402" s="12" customFormat="1" x14ac:dyDescent="0.25"/>
    <row r="278403" s="12" customFormat="1" x14ac:dyDescent="0.25"/>
    <row r="278404" s="12" customFormat="1" x14ac:dyDescent="0.25"/>
    <row r="278405" s="12" customFormat="1" x14ac:dyDescent="0.25"/>
    <row r="278406" s="12" customFormat="1" x14ac:dyDescent="0.25"/>
    <row r="278407" s="12" customFormat="1" x14ac:dyDescent="0.25"/>
    <row r="278408" s="12" customFormat="1" x14ac:dyDescent="0.25"/>
    <row r="278409" s="12" customFormat="1" x14ac:dyDescent="0.25"/>
    <row r="278410" s="12" customFormat="1" x14ac:dyDescent="0.25"/>
    <row r="278411" s="12" customFormat="1" x14ac:dyDescent="0.25"/>
    <row r="278412" s="12" customFormat="1" x14ac:dyDescent="0.25"/>
    <row r="278413" s="12" customFormat="1" x14ac:dyDescent="0.25"/>
    <row r="278414" s="12" customFormat="1" x14ac:dyDescent="0.25"/>
    <row r="278415" s="12" customFormat="1" x14ac:dyDescent="0.25"/>
    <row r="278416" s="12" customFormat="1" x14ac:dyDescent="0.25"/>
    <row r="278417" s="12" customFormat="1" x14ac:dyDescent="0.25"/>
    <row r="278418" s="12" customFormat="1" x14ac:dyDescent="0.25"/>
    <row r="278419" s="12" customFormat="1" x14ac:dyDescent="0.25"/>
    <row r="278420" s="12" customFormat="1" x14ac:dyDescent="0.25"/>
    <row r="278421" s="12" customFormat="1" x14ac:dyDescent="0.25"/>
    <row r="278422" s="12" customFormat="1" x14ac:dyDescent="0.25"/>
    <row r="278423" s="12" customFormat="1" x14ac:dyDescent="0.25"/>
    <row r="278424" s="12" customFormat="1" x14ac:dyDescent="0.25"/>
    <row r="278425" s="12" customFormat="1" x14ac:dyDescent="0.25"/>
    <row r="278426" s="12" customFormat="1" x14ac:dyDescent="0.25"/>
    <row r="278427" s="12" customFormat="1" x14ac:dyDescent="0.25"/>
    <row r="278428" s="12" customFormat="1" x14ac:dyDescent="0.25"/>
    <row r="278429" s="12" customFormat="1" x14ac:dyDescent="0.25"/>
    <row r="278430" s="12" customFormat="1" x14ac:dyDescent="0.25"/>
    <row r="278431" s="12" customFormat="1" x14ac:dyDescent="0.25"/>
    <row r="278432" s="12" customFormat="1" x14ac:dyDescent="0.25"/>
    <row r="278433" s="12" customFormat="1" x14ac:dyDescent="0.25"/>
    <row r="278434" s="12" customFormat="1" x14ac:dyDescent="0.25"/>
    <row r="278435" s="12" customFormat="1" x14ac:dyDescent="0.25"/>
    <row r="278436" s="12" customFormat="1" x14ac:dyDescent="0.25"/>
    <row r="278437" s="12" customFormat="1" x14ac:dyDescent="0.25"/>
    <row r="278438" s="12" customFormat="1" x14ac:dyDescent="0.25"/>
    <row r="278439" s="12" customFormat="1" x14ac:dyDescent="0.25"/>
    <row r="278440" s="12" customFormat="1" x14ac:dyDescent="0.25"/>
    <row r="278441" s="12" customFormat="1" x14ac:dyDescent="0.25"/>
    <row r="278442" s="12" customFormat="1" x14ac:dyDescent="0.25"/>
    <row r="278443" s="12" customFormat="1" x14ac:dyDescent="0.25"/>
    <row r="278444" s="12" customFormat="1" x14ac:dyDescent="0.25"/>
    <row r="278445" s="12" customFormat="1" x14ac:dyDescent="0.25"/>
    <row r="278446" s="12" customFormat="1" x14ac:dyDescent="0.25"/>
    <row r="278447" s="12" customFormat="1" x14ac:dyDescent="0.25"/>
    <row r="278448" s="12" customFormat="1" x14ac:dyDescent="0.25"/>
    <row r="278449" s="12" customFormat="1" x14ac:dyDescent="0.25"/>
    <row r="278450" s="12" customFormat="1" x14ac:dyDescent="0.25"/>
    <row r="278451" s="12" customFormat="1" x14ac:dyDescent="0.25"/>
    <row r="278452" s="12" customFormat="1" x14ac:dyDescent="0.25"/>
    <row r="278453" s="12" customFormat="1" x14ac:dyDescent="0.25"/>
    <row r="278454" s="12" customFormat="1" x14ac:dyDescent="0.25"/>
    <row r="278455" s="12" customFormat="1" x14ac:dyDescent="0.25"/>
    <row r="278456" s="12" customFormat="1" x14ac:dyDescent="0.25"/>
    <row r="278457" s="12" customFormat="1" x14ac:dyDescent="0.25"/>
    <row r="278458" s="12" customFormat="1" x14ac:dyDescent="0.25"/>
    <row r="278459" s="12" customFormat="1" x14ac:dyDescent="0.25"/>
    <row r="278460" s="12" customFormat="1" x14ac:dyDescent="0.25"/>
    <row r="278461" s="12" customFormat="1" x14ac:dyDescent="0.25"/>
    <row r="278462" s="12" customFormat="1" x14ac:dyDescent="0.25"/>
    <row r="278463" s="12" customFormat="1" x14ac:dyDescent="0.25"/>
    <row r="278464" s="12" customFormat="1" x14ac:dyDescent="0.25"/>
    <row r="278465" s="12" customFormat="1" x14ac:dyDescent="0.25"/>
    <row r="278466" s="12" customFormat="1" x14ac:dyDescent="0.25"/>
    <row r="278467" s="12" customFormat="1" x14ac:dyDescent="0.25"/>
    <row r="278468" s="12" customFormat="1" x14ac:dyDescent="0.25"/>
    <row r="278469" s="12" customFormat="1" x14ac:dyDescent="0.25"/>
    <row r="278470" s="12" customFormat="1" x14ac:dyDescent="0.25"/>
    <row r="278471" s="12" customFormat="1" x14ac:dyDescent="0.25"/>
    <row r="278472" s="12" customFormat="1" x14ac:dyDescent="0.25"/>
    <row r="278473" s="12" customFormat="1" x14ac:dyDescent="0.25"/>
    <row r="278474" s="12" customFormat="1" x14ac:dyDescent="0.25"/>
    <row r="278475" s="12" customFormat="1" x14ac:dyDescent="0.25"/>
    <row r="278476" s="12" customFormat="1" x14ac:dyDescent="0.25"/>
    <row r="278477" s="12" customFormat="1" x14ac:dyDescent="0.25"/>
    <row r="278478" s="12" customFormat="1" x14ac:dyDescent="0.25"/>
    <row r="278479" s="12" customFormat="1" x14ac:dyDescent="0.25"/>
    <row r="278480" s="12" customFormat="1" x14ac:dyDescent="0.25"/>
    <row r="278481" s="12" customFormat="1" x14ac:dyDescent="0.25"/>
    <row r="278482" s="12" customFormat="1" x14ac:dyDescent="0.25"/>
    <row r="278483" s="12" customFormat="1" x14ac:dyDescent="0.25"/>
    <row r="278484" s="12" customFormat="1" x14ac:dyDescent="0.25"/>
    <row r="278485" s="12" customFormat="1" x14ac:dyDescent="0.25"/>
    <row r="278486" s="12" customFormat="1" x14ac:dyDescent="0.25"/>
    <row r="278487" s="12" customFormat="1" x14ac:dyDescent="0.25"/>
    <row r="278488" s="12" customFormat="1" x14ac:dyDescent="0.25"/>
    <row r="278489" s="12" customFormat="1" x14ac:dyDescent="0.25"/>
    <row r="278490" s="12" customFormat="1" x14ac:dyDescent="0.25"/>
    <row r="278491" s="12" customFormat="1" x14ac:dyDescent="0.25"/>
    <row r="278492" s="12" customFormat="1" x14ac:dyDescent="0.25"/>
    <row r="278493" s="12" customFormat="1" x14ac:dyDescent="0.25"/>
    <row r="278494" s="12" customFormat="1" x14ac:dyDescent="0.25"/>
    <row r="278495" s="12" customFormat="1" x14ac:dyDescent="0.25"/>
    <row r="278496" s="12" customFormat="1" x14ac:dyDescent="0.25"/>
    <row r="278497" s="12" customFormat="1" x14ac:dyDescent="0.25"/>
    <row r="278498" s="12" customFormat="1" x14ac:dyDescent="0.25"/>
    <row r="278499" s="12" customFormat="1" x14ac:dyDescent="0.25"/>
    <row r="278500" s="12" customFormat="1" x14ac:dyDescent="0.25"/>
    <row r="278501" s="12" customFormat="1" x14ac:dyDescent="0.25"/>
    <row r="278502" s="12" customFormat="1" x14ac:dyDescent="0.25"/>
    <row r="278503" s="12" customFormat="1" x14ac:dyDescent="0.25"/>
    <row r="278504" s="12" customFormat="1" x14ac:dyDescent="0.25"/>
    <row r="278505" s="12" customFormat="1" x14ac:dyDescent="0.25"/>
    <row r="278506" s="12" customFormat="1" x14ac:dyDescent="0.25"/>
    <row r="278507" s="12" customFormat="1" x14ac:dyDescent="0.25"/>
    <row r="278508" s="12" customFormat="1" x14ac:dyDescent="0.25"/>
    <row r="278509" s="12" customFormat="1" x14ac:dyDescent="0.25"/>
    <row r="278510" s="12" customFormat="1" x14ac:dyDescent="0.25"/>
    <row r="278511" s="12" customFormat="1" x14ac:dyDescent="0.25"/>
    <row r="278512" s="12" customFormat="1" x14ac:dyDescent="0.25"/>
    <row r="278513" s="12" customFormat="1" x14ac:dyDescent="0.25"/>
    <row r="278514" s="12" customFormat="1" x14ac:dyDescent="0.25"/>
    <row r="278515" s="12" customFormat="1" x14ac:dyDescent="0.25"/>
    <row r="278516" s="12" customFormat="1" x14ac:dyDescent="0.25"/>
    <row r="278517" s="12" customFormat="1" x14ac:dyDescent="0.25"/>
    <row r="278518" s="12" customFormat="1" x14ac:dyDescent="0.25"/>
    <row r="278519" s="12" customFormat="1" x14ac:dyDescent="0.25"/>
    <row r="278520" s="12" customFormat="1" x14ac:dyDescent="0.25"/>
    <row r="278521" s="12" customFormat="1" x14ac:dyDescent="0.25"/>
    <row r="278522" s="12" customFormat="1" x14ac:dyDescent="0.25"/>
    <row r="278523" s="12" customFormat="1" x14ac:dyDescent="0.25"/>
    <row r="278524" s="12" customFormat="1" x14ac:dyDescent="0.25"/>
    <row r="278525" s="12" customFormat="1" x14ac:dyDescent="0.25"/>
    <row r="278526" s="12" customFormat="1" x14ac:dyDescent="0.25"/>
    <row r="278527" s="12" customFormat="1" x14ac:dyDescent="0.25"/>
    <row r="278528" s="12" customFormat="1" x14ac:dyDescent="0.25"/>
    <row r="278529" s="12" customFormat="1" x14ac:dyDescent="0.25"/>
    <row r="278530" s="12" customFormat="1" x14ac:dyDescent="0.25"/>
    <row r="278531" s="12" customFormat="1" x14ac:dyDescent="0.25"/>
    <row r="278532" s="12" customFormat="1" x14ac:dyDescent="0.25"/>
    <row r="278533" s="12" customFormat="1" x14ac:dyDescent="0.25"/>
    <row r="278534" s="12" customFormat="1" x14ac:dyDescent="0.25"/>
    <row r="278535" s="12" customFormat="1" x14ac:dyDescent="0.25"/>
    <row r="278536" s="12" customFormat="1" x14ac:dyDescent="0.25"/>
    <row r="278537" s="12" customFormat="1" x14ac:dyDescent="0.25"/>
    <row r="278538" s="12" customFormat="1" x14ac:dyDescent="0.25"/>
    <row r="278539" s="12" customFormat="1" x14ac:dyDescent="0.25"/>
    <row r="278540" s="12" customFormat="1" x14ac:dyDescent="0.25"/>
    <row r="278541" s="12" customFormat="1" x14ac:dyDescent="0.25"/>
    <row r="278542" s="12" customFormat="1" x14ac:dyDescent="0.25"/>
    <row r="278543" s="12" customFormat="1" x14ac:dyDescent="0.25"/>
    <row r="278544" s="12" customFormat="1" x14ac:dyDescent="0.25"/>
    <row r="278545" s="12" customFormat="1" x14ac:dyDescent="0.25"/>
    <row r="278546" s="12" customFormat="1" x14ac:dyDescent="0.25"/>
    <row r="278547" s="12" customFormat="1" x14ac:dyDescent="0.25"/>
    <row r="278548" s="12" customFormat="1" x14ac:dyDescent="0.25"/>
    <row r="278549" s="12" customFormat="1" x14ac:dyDescent="0.25"/>
    <row r="278550" s="12" customFormat="1" x14ac:dyDescent="0.25"/>
    <row r="278551" s="12" customFormat="1" x14ac:dyDescent="0.25"/>
    <row r="278552" s="12" customFormat="1" x14ac:dyDescent="0.25"/>
    <row r="278553" s="12" customFormat="1" x14ac:dyDescent="0.25"/>
    <row r="278554" s="12" customFormat="1" x14ac:dyDescent="0.25"/>
    <row r="278555" s="12" customFormat="1" x14ac:dyDescent="0.25"/>
    <row r="278556" s="12" customFormat="1" x14ac:dyDescent="0.25"/>
    <row r="278557" s="12" customFormat="1" x14ac:dyDescent="0.25"/>
    <row r="278558" s="12" customFormat="1" x14ac:dyDescent="0.25"/>
    <row r="278559" s="12" customFormat="1" x14ac:dyDescent="0.25"/>
    <row r="278560" s="12" customFormat="1" x14ac:dyDescent="0.25"/>
    <row r="278561" s="12" customFormat="1" x14ac:dyDescent="0.25"/>
    <row r="278562" s="12" customFormat="1" x14ac:dyDescent="0.25"/>
    <row r="278563" s="12" customFormat="1" x14ac:dyDescent="0.25"/>
    <row r="278564" s="12" customFormat="1" x14ac:dyDescent="0.25"/>
    <row r="278565" s="12" customFormat="1" x14ac:dyDescent="0.25"/>
    <row r="278566" s="12" customFormat="1" x14ac:dyDescent="0.25"/>
    <row r="278567" s="12" customFormat="1" x14ac:dyDescent="0.25"/>
    <row r="278568" s="12" customFormat="1" x14ac:dyDescent="0.25"/>
    <row r="278569" s="12" customFormat="1" x14ac:dyDescent="0.25"/>
    <row r="278570" s="12" customFormat="1" x14ac:dyDescent="0.25"/>
    <row r="278571" s="12" customFormat="1" x14ac:dyDescent="0.25"/>
    <row r="278572" s="12" customFormat="1" x14ac:dyDescent="0.25"/>
    <row r="278573" s="12" customFormat="1" x14ac:dyDescent="0.25"/>
    <row r="278574" s="12" customFormat="1" x14ac:dyDescent="0.25"/>
    <row r="278575" s="12" customFormat="1" x14ac:dyDescent="0.25"/>
    <row r="278576" s="12" customFormat="1" x14ac:dyDescent="0.25"/>
    <row r="278577" s="12" customFormat="1" x14ac:dyDescent="0.25"/>
    <row r="278578" s="12" customFormat="1" x14ac:dyDescent="0.25"/>
    <row r="278579" s="12" customFormat="1" x14ac:dyDescent="0.25"/>
    <row r="278580" s="12" customFormat="1" x14ac:dyDescent="0.25"/>
    <row r="278581" s="12" customFormat="1" x14ac:dyDescent="0.25"/>
    <row r="278582" s="12" customFormat="1" x14ac:dyDescent="0.25"/>
    <row r="278583" s="12" customFormat="1" x14ac:dyDescent="0.25"/>
    <row r="278584" s="12" customFormat="1" x14ac:dyDescent="0.25"/>
    <row r="278585" s="12" customFormat="1" x14ac:dyDescent="0.25"/>
    <row r="278586" s="12" customFormat="1" x14ac:dyDescent="0.25"/>
    <row r="278587" s="12" customFormat="1" x14ac:dyDescent="0.25"/>
    <row r="278588" s="12" customFormat="1" x14ac:dyDescent="0.25"/>
    <row r="278589" s="12" customFormat="1" x14ac:dyDescent="0.25"/>
    <row r="278590" s="12" customFormat="1" x14ac:dyDescent="0.25"/>
    <row r="278591" s="12" customFormat="1" x14ac:dyDescent="0.25"/>
    <row r="278592" s="12" customFormat="1" x14ac:dyDescent="0.25"/>
    <row r="278593" s="12" customFormat="1" x14ac:dyDescent="0.25"/>
    <row r="278594" s="12" customFormat="1" x14ac:dyDescent="0.25"/>
    <row r="278595" s="12" customFormat="1" x14ac:dyDescent="0.25"/>
    <row r="278596" s="12" customFormat="1" x14ac:dyDescent="0.25"/>
    <row r="278597" s="12" customFormat="1" x14ac:dyDescent="0.25"/>
    <row r="278598" s="12" customFormat="1" x14ac:dyDescent="0.25"/>
    <row r="278599" s="12" customFormat="1" x14ac:dyDescent="0.25"/>
    <row r="278600" s="12" customFormat="1" x14ac:dyDescent="0.25"/>
    <row r="278601" s="12" customFormat="1" x14ac:dyDescent="0.25"/>
    <row r="278602" s="12" customFormat="1" x14ac:dyDescent="0.25"/>
    <row r="278603" s="12" customFormat="1" x14ac:dyDescent="0.25"/>
    <row r="278604" s="12" customFormat="1" x14ac:dyDescent="0.25"/>
    <row r="278605" s="12" customFormat="1" x14ac:dyDescent="0.25"/>
    <row r="278606" s="12" customFormat="1" x14ac:dyDescent="0.25"/>
    <row r="278607" s="12" customFormat="1" x14ac:dyDescent="0.25"/>
    <row r="278608" s="12" customFormat="1" x14ac:dyDescent="0.25"/>
    <row r="278609" s="12" customFormat="1" x14ac:dyDescent="0.25"/>
    <row r="278610" s="12" customFormat="1" x14ac:dyDescent="0.25"/>
    <row r="278611" s="12" customFormat="1" x14ac:dyDescent="0.25"/>
    <row r="278612" s="12" customFormat="1" x14ac:dyDescent="0.25"/>
    <row r="278613" s="12" customFormat="1" x14ac:dyDescent="0.25"/>
    <row r="278614" s="12" customFormat="1" x14ac:dyDescent="0.25"/>
    <row r="278615" s="12" customFormat="1" x14ac:dyDescent="0.25"/>
    <row r="278616" s="12" customFormat="1" x14ac:dyDescent="0.25"/>
    <row r="278617" s="12" customFormat="1" x14ac:dyDescent="0.25"/>
    <row r="278618" s="12" customFormat="1" x14ac:dyDescent="0.25"/>
    <row r="278619" s="12" customFormat="1" x14ac:dyDescent="0.25"/>
    <row r="278620" s="12" customFormat="1" x14ac:dyDescent="0.25"/>
    <row r="278621" s="12" customFormat="1" x14ac:dyDescent="0.25"/>
    <row r="278622" s="12" customFormat="1" x14ac:dyDescent="0.25"/>
    <row r="278623" s="12" customFormat="1" x14ac:dyDescent="0.25"/>
    <row r="278624" s="12" customFormat="1" x14ac:dyDescent="0.25"/>
    <row r="278625" s="12" customFormat="1" x14ac:dyDescent="0.25"/>
    <row r="278626" s="12" customFormat="1" x14ac:dyDescent="0.25"/>
    <row r="278627" s="12" customFormat="1" x14ac:dyDescent="0.25"/>
    <row r="278628" s="12" customFormat="1" x14ac:dyDescent="0.25"/>
    <row r="278629" s="12" customFormat="1" x14ac:dyDescent="0.25"/>
    <row r="278630" s="12" customFormat="1" x14ac:dyDescent="0.25"/>
    <row r="278631" s="12" customFormat="1" x14ac:dyDescent="0.25"/>
    <row r="278632" s="12" customFormat="1" x14ac:dyDescent="0.25"/>
    <row r="278633" s="12" customFormat="1" x14ac:dyDescent="0.25"/>
    <row r="278634" s="12" customFormat="1" x14ac:dyDescent="0.25"/>
    <row r="278635" s="12" customFormat="1" x14ac:dyDescent="0.25"/>
    <row r="278636" s="12" customFormat="1" x14ac:dyDescent="0.25"/>
    <row r="278637" s="12" customFormat="1" x14ac:dyDescent="0.25"/>
    <row r="278638" s="12" customFormat="1" x14ac:dyDescent="0.25"/>
    <row r="278639" s="12" customFormat="1" x14ac:dyDescent="0.25"/>
    <row r="278640" s="12" customFormat="1" x14ac:dyDescent="0.25"/>
    <row r="278641" s="12" customFormat="1" x14ac:dyDescent="0.25"/>
    <row r="278642" s="12" customFormat="1" x14ac:dyDescent="0.25"/>
    <row r="278643" s="12" customFormat="1" x14ac:dyDescent="0.25"/>
    <row r="278644" s="12" customFormat="1" x14ac:dyDescent="0.25"/>
    <row r="278645" s="12" customFormat="1" x14ac:dyDescent="0.25"/>
    <row r="278646" s="12" customFormat="1" x14ac:dyDescent="0.25"/>
    <row r="278647" s="12" customFormat="1" x14ac:dyDescent="0.25"/>
    <row r="278648" s="12" customFormat="1" x14ac:dyDescent="0.25"/>
    <row r="278649" s="12" customFormat="1" x14ac:dyDescent="0.25"/>
    <row r="278650" s="12" customFormat="1" x14ac:dyDescent="0.25"/>
    <row r="278651" s="12" customFormat="1" x14ac:dyDescent="0.25"/>
    <row r="278652" s="12" customFormat="1" x14ac:dyDescent="0.25"/>
    <row r="278653" s="12" customFormat="1" x14ac:dyDescent="0.25"/>
    <row r="278654" s="12" customFormat="1" x14ac:dyDescent="0.25"/>
    <row r="278655" s="12" customFormat="1" x14ac:dyDescent="0.25"/>
    <row r="278656" s="12" customFormat="1" x14ac:dyDescent="0.25"/>
    <row r="278657" s="12" customFormat="1" x14ac:dyDescent="0.25"/>
    <row r="278658" s="12" customFormat="1" x14ac:dyDescent="0.25"/>
    <row r="278659" s="12" customFormat="1" x14ac:dyDescent="0.25"/>
    <row r="278660" s="12" customFormat="1" x14ac:dyDescent="0.25"/>
    <row r="278661" s="12" customFormat="1" x14ac:dyDescent="0.25"/>
    <row r="278662" s="12" customFormat="1" x14ac:dyDescent="0.25"/>
    <row r="278663" s="12" customFormat="1" x14ac:dyDescent="0.25"/>
    <row r="278664" s="12" customFormat="1" x14ac:dyDescent="0.25"/>
    <row r="278665" s="12" customFormat="1" x14ac:dyDescent="0.25"/>
    <row r="278666" s="12" customFormat="1" x14ac:dyDescent="0.25"/>
    <row r="278667" s="12" customFormat="1" x14ac:dyDescent="0.25"/>
    <row r="278668" s="12" customFormat="1" x14ac:dyDescent="0.25"/>
    <row r="278669" s="12" customFormat="1" x14ac:dyDescent="0.25"/>
    <row r="278670" s="12" customFormat="1" x14ac:dyDescent="0.25"/>
    <row r="278671" s="12" customFormat="1" x14ac:dyDescent="0.25"/>
    <row r="278672" s="12" customFormat="1" x14ac:dyDescent="0.25"/>
    <row r="278673" s="12" customFormat="1" x14ac:dyDescent="0.25"/>
    <row r="278674" s="12" customFormat="1" x14ac:dyDescent="0.25"/>
    <row r="278675" s="12" customFormat="1" x14ac:dyDescent="0.25"/>
    <row r="278676" s="12" customFormat="1" x14ac:dyDescent="0.25"/>
    <row r="278677" s="12" customFormat="1" x14ac:dyDescent="0.25"/>
    <row r="278678" s="12" customFormat="1" x14ac:dyDescent="0.25"/>
    <row r="278679" s="12" customFormat="1" x14ac:dyDescent="0.25"/>
    <row r="278680" s="12" customFormat="1" x14ac:dyDescent="0.25"/>
    <row r="278681" s="12" customFormat="1" x14ac:dyDescent="0.25"/>
    <row r="278682" s="12" customFormat="1" x14ac:dyDescent="0.25"/>
    <row r="278683" s="12" customFormat="1" x14ac:dyDescent="0.25"/>
    <row r="278684" s="12" customFormat="1" x14ac:dyDescent="0.25"/>
    <row r="278685" s="12" customFormat="1" x14ac:dyDescent="0.25"/>
    <row r="278686" s="12" customFormat="1" x14ac:dyDescent="0.25"/>
    <row r="278687" s="12" customFormat="1" x14ac:dyDescent="0.25"/>
    <row r="278688" s="12" customFormat="1" x14ac:dyDescent="0.25"/>
    <row r="278689" s="12" customFormat="1" x14ac:dyDescent="0.25"/>
    <row r="278690" s="12" customFormat="1" x14ac:dyDescent="0.25"/>
    <row r="278691" s="12" customFormat="1" x14ac:dyDescent="0.25"/>
    <row r="278692" s="12" customFormat="1" x14ac:dyDescent="0.25"/>
    <row r="278693" s="12" customFormat="1" x14ac:dyDescent="0.25"/>
    <row r="278694" s="12" customFormat="1" x14ac:dyDescent="0.25"/>
    <row r="278695" s="12" customFormat="1" x14ac:dyDescent="0.25"/>
    <row r="278696" s="12" customFormat="1" x14ac:dyDescent="0.25"/>
    <row r="278697" s="12" customFormat="1" x14ac:dyDescent="0.25"/>
    <row r="278698" s="12" customFormat="1" x14ac:dyDescent="0.25"/>
    <row r="278699" s="12" customFormat="1" x14ac:dyDescent="0.25"/>
    <row r="278700" s="12" customFormat="1" x14ac:dyDescent="0.25"/>
    <row r="278701" s="12" customFormat="1" x14ac:dyDescent="0.25"/>
    <row r="278702" s="12" customFormat="1" x14ac:dyDescent="0.25"/>
    <row r="278703" s="12" customFormat="1" x14ac:dyDescent="0.25"/>
    <row r="278704" s="12" customFormat="1" x14ac:dyDescent="0.25"/>
    <row r="278705" s="12" customFormat="1" x14ac:dyDescent="0.25"/>
    <row r="278706" s="12" customFormat="1" x14ac:dyDescent="0.25"/>
    <row r="278707" s="12" customFormat="1" x14ac:dyDescent="0.25"/>
    <row r="278708" s="12" customFormat="1" x14ac:dyDescent="0.25"/>
    <row r="278709" s="12" customFormat="1" x14ac:dyDescent="0.25"/>
    <row r="278710" s="12" customFormat="1" x14ac:dyDescent="0.25"/>
    <row r="278711" s="12" customFormat="1" x14ac:dyDescent="0.25"/>
    <row r="278712" s="12" customFormat="1" x14ac:dyDescent="0.25"/>
    <row r="278713" s="12" customFormat="1" x14ac:dyDescent="0.25"/>
    <row r="278714" s="12" customFormat="1" x14ac:dyDescent="0.25"/>
    <row r="278715" s="12" customFormat="1" x14ac:dyDescent="0.25"/>
    <row r="278716" s="12" customFormat="1" x14ac:dyDescent="0.25"/>
    <row r="278717" s="12" customFormat="1" x14ac:dyDescent="0.25"/>
    <row r="278718" s="12" customFormat="1" x14ac:dyDescent="0.25"/>
    <row r="278719" s="12" customFormat="1" x14ac:dyDescent="0.25"/>
    <row r="278720" s="12" customFormat="1" x14ac:dyDescent="0.25"/>
    <row r="278721" s="12" customFormat="1" x14ac:dyDescent="0.25"/>
    <row r="278722" s="12" customFormat="1" x14ac:dyDescent="0.25"/>
    <row r="278723" s="12" customFormat="1" x14ac:dyDescent="0.25"/>
    <row r="278724" s="12" customFormat="1" x14ac:dyDescent="0.25"/>
    <row r="278725" s="12" customFormat="1" x14ac:dyDescent="0.25"/>
    <row r="278726" s="12" customFormat="1" x14ac:dyDescent="0.25"/>
    <row r="278727" s="12" customFormat="1" x14ac:dyDescent="0.25"/>
    <row r="278728" s="12" customFormat="1" x14ac:dyDescent="0.25"/>
    <row r="278729" s="12" customFormat="1" x14ac:dyDescent="0.25"/>
    <row r="278730" s="12" customFormat="1" x14ac:dyDescent="0.25"/>
    <row r="278731" s="12" customFormat="1" x14ac:dyDescent="0.25"/>
    <row r="278732" s="12" customFormat="1" x14ac:dyDescent="0.25"/>
    <row r="278733" s="12" customFormat="1" x14ac:dyDescent="0.25"/>
    <row r="278734" s="12" customFormat="1" x14ac:dyDescent="0.25"/>
    <row r="278735" s="12" customFormat="1" x14ac:dyDescent="0.25"/>
    <row r="278736" s="12" customFormat="1" x14ac:dyDescent="0.25"/>
    <row r="278737" s="12" customFormat="1" x14ac:dyDescent="0.25"/>
    <row r="278738" s="12" customFormat="1" x14ac:dyDescent="0.25"/>
    <row r="278739" s="12" customFormat="1" x14ac:dyDescent="0.25"/>
    <row r="278740" s="12" customFormat="1" x14ac:dyDescent="0.25"/>
    <row r="278741" s="12" customFormat="1" x14ac:dyDescent="0.25"/>
    <row r="278742" s="12" customFormat="1" x14ac:dyDescent="0.25"/>
    <row r="278743" s="12" customFormat="1" x14ac:dyDescent="0.25"/>
    <row r="278744" s="12" customFormat="1" x14ac:dyDescent="0.25"/>
    <row r="278745" s="12" customFormat="1" x14ac:dyDescent="0.25"/>
    <row r="278746" s="12" customFormat="1" x14ac:dyDescent="0.25"/>
    <row r="278747" s="12" customFormat="1" x14ac:dyDescent="0.25"/>
    <row r="278748" s="12" customFormat="1" x14ac:dyDescent="0.25"/>
    <row r="278749" s="12" customFormat="1" x14ac:dyDescent="0.25"/>
    <row r="278750" s="12" customFormat="1" x14ac:dyDescent="0.25"/>
    <row r="278751" s="12" customFormat="1" x14ac:dyDescent="0.25"/>
    <row r="278752" s="12" customFormat="1" x14ac:dyDescent="0.25"/>
    <row r="278753" s="12" customFormat="1" x14ac:dyDescent="0.25"/>
    <row r="278754" s="12" customFormat="1" x14ac:dyDescent="0.25"/>
    <row r="278755" s="12" customFormat="1" x14ac:dyDescent="0.25"/>
    <row r="278756" s="12" customFormat="1" x14ac:dyDescent="0.25"/>
    <row r="278757" s="12" customFormat="1" x14ac:dyDescent="0.25"/>
    <row r="278758" s="12" customFormat="1" x14ac:dyDescent="0.25"/>
    <row r="278759" s="12" customFormat="1" x14ac:dyDescent="0.25"/>
    <row r="278760" s="12" customFormat="1" x14ac:dyDescent="0.25"/>
    <row r="278761" s="12" customFormat="1" x14ac:dyDescent="0.25"/>
    <row r="278762" s="12" customFormat="1" x14ac:dyDescent="0.25"/>
    <row r="278763" s="12" customFormat="1" x14ac:dyDescent="0.25"/>
    <row r="278764" s="12" customFormat="1" x14ac:dyDescent="0.25"/>
    <row r="278765" s="12" customFormat="1" x14ac:dyDescent="0.25"/>
    <row r="278766" s="12" customFormat="1" x14ac:dyDescent="0.25"/>
    <row r="278767" s="12" customFormat="1" x14ac:dyDescent="0.25"/>
    <row r="278768" s="12" customFormat="1" x14ac:dyDescent="0.25"/>
    <row r="278769" s="12" customFormat="1" x14ac:dyDescent="0.25"/>
    <row r="278770" s="12" customFormat="1" x14ac:dyDescent="0.25"/>
    <row r="278771" s="12" customFormat="1" x14ac:dyDescent="0.25"/>
    <row r="278772" s="12" customFormat="1" x14ac:dyDescent="0.25"/>
    <row r="278773" s="12" customFormat="1" x14ac:dyDescent="0.25"/>
    <row r="278774" s="12" customFormat="1" x14ac:dyDescent="0.25"/>
    <row r="278775" s="12" customFormat="1" x14ac:dyDescent="0.25"/>
    <row r="278776" s="12" customFormat="1" x14ac:dyDescent="0.25"/>
    <row r="278777" s="12" customFormat="1" x14ac:dyDescent="0.25"/>
    <row r="278778" s="12" customFormat="1" x14ac:dyDescent="0.25"/>
    <row r="278779" s="12" customFormat="1" x14ac:dyDescent="0.25"/>
    <row r="278780" s="12" customFormat="1" x14ac:dyDescent="0.25"/>
    <row r="278781" s="12" customFormat="1" x14ac:dyDescent="0.25"/>
    <row r="278782" s="12" customFormat="1" x14ac:dyDescent="0.25"/>
    <row r="278783" s="12" customFormat="1" x14ac:dyDescent="0.25"/>
    <row r="278784" s="12" customFormat="1" x14ac:dyDescent="0.25"/>
    <row r="278785" s="12" customFormat="1" x14ac:dyDescent="0.25"/>
    <row r="278786" s="12" customFormat="1" x14ac:dyDescent="0.25"/>
    <row r="278787" s="12" customFormat="1" x14ac:dyDescent="0.25"/>
    <row r="278788" s="12" customFormat="1" x14ac:dyDescent="0.25"/>
    <row r="278789" s="12" customFormat="1" x14ac:dyDescent="0.25"/>
    <row r="278790" s="12" customFormat="1" x14ac:dyDescent="0.25"/>
    <row r="278791" s="12" customFormat="1" x14ac:dyDescent="0.25"/>
    <row r="278792" s="12" customFormat="1" x14ac:dyDescent="0.25"/>
    <row r="278793" s="12" customFormat="1" x14ac:dyDescent="0.25"/>
    <row r="278794" s="12" customFormat="1" x14ac:dyDescent="0.25"/>
    <row r="278795" s="12" customFormat="1" x14ac:dyDescent="0.25"/>
    <row r="278796" s="12" customFormat="1" x14ac:dyDescent="0.25"/>
    <row r="278797" s="12" customFormat="1" x14ac:dyDescent="0.25"/>
    <row r="278798" s="12" customFormat="1" x14ac:dyDescent="0.25"/>
    <row r="278799" s="12" customFormat="1" x14ac:dyDescent="0.25"/>
    <row r="278800" s="12" customFormat="1" x14ac:dyDescent="0.25"/>
    <row r="278801" s="12" customFormat="1" x14ac:dyDescent="0.25"/>
    <row r="278802" s="12" customFormat="1" x14ac:dyDescent="0.25"/>
    <row r="278803" s="12" customFormat="1" x14ac:dyDescent="0.25"/>
    <row r="278804" s="12" customFormat="1" x14ac:dyDescent="0.25"/>
    <row r="278805" s="12" customFormat="1" x14ac:dyDescent="0.25"/>
    <row r="278806" s="12" customFormat="1" x14ac:dyDescent="0.25"/>
    <row r="278807" s="12" customFormat="1" x14ac:dyDescent="0.25"/>
    <row r="278808" s="12" customFormat="1" x14ac:dyDescent="0.25"/>
    <row r="278809" s="12" customFormat="1" x14ac:dyDescent="0.25"/>
    <row r="278810" s="12" customFormat="1" x14ac:dyDescent="0.25"/>
    <row r="278811" s="12" customFormat="1" x14ac:dyDescent="0.25"/>
    <row r="278812" s="12" customFormat="1" x14ac:dyDescent="0.25"/>
    <row r="278813" s="12" customFormat="1" x14ac:dyDescent="0.25"/>
    <row r="278814" s="12" customFormat="1" x14ac:dyDescent="0.25"/>
    <row r="278815" s="12" customFormat="1" x14ac:dyDescent="0.25"/>
    <row r="278816" s="12" customFormat="1" x14ac:dyDescent="0.25"/>
    <row r="278817" s="12" customFormat="1" x14ac:dyDescent="0.25"/>
    <row r="278818" s="12" customFormat="1" x14ac:dyDescent="0.25"/>
    <row r="278819" s="12" customFormat="1" x14ac:dyDescent="0.25"/>
    <row r="278820" s="12" customFormat="1" x14ac:dyDescent="0.25"/>
    <row r="278821" s="12" customFormat="1" x14ac:dyDescent="0.25"/>
    <row r="278822" s="12" customFormat="1" x14ac:dyDescent="0.25"/>
    <row r="278823" s="12" customFormat="1" x14ac:dyDescent="0.25"/>
    <row r="278824" s="12" customFormat="1" x14ac:dyDescent="0.25"/>
    <row r="278825" s="12" customFormat="1" x14ac:dyDescent="0.25"/>
    <row r="278826" s="12" customFormat="1" x14ac:dyDescent="0.25"/>
    <row r="278827" s="12" customFormat="1" x14ac:dyDescent="0.25"/>
    <row r="278828" s="12" customFormat="1" x14ac:dyDescent="0.25"/>
    <row r="278829" s="12" customFormat="1" x14ac:dyDescent="0.25"/>
    <row r="278830" s="12" customFormat="1" x14ac:dyDescent="0.25"/>
    <row r="278831" s="12" customFormat="1" x14ac:dyDescent="0.25"/>
    <row r="278832" s="12" customFormat="1" x14ac:dyDescent="0.25"/>
    <row r="278833" s="12" customFormat="1" x14ac:dyDescent="0.25"/>
    <row r="278834" s="12" customFormat="1" x14ac:dyDescent="0.25"/>
    <row r="278835" s="12" customFormat="1" x14ac:dyDescent="0.25"/>
    <row r="278836" s="12" customFormat="1" x14ac:dyDescent="0.25"/>
    <row r="278837" s="12" customFormat="1" x14ac:dyDescent="0.25"/>
    <row r="278838" s="12" customFormat="1" x14ac:dyDescent="0.25"/>
    <row r="278839" s="12" customFormat="1" x14ac:dyDescent="0.25"/>
    <row r="278840" s="12" customFormat="1" x14ac:dyDescent="0.25"/>
    <row r="278841" s="12" customFormat="1" x14ac:dyDescent="0.25"/>
    <row r="278842" s="12" customFormat="1" x14ac:dyDescent="0.25"/>
    <row r="278843" s="12" customFormat="1" x14ac:dyDescent="0.25"/>
    <row r="278844" s="12" customFormat="1" x14ac:dyDescent="0.25"/>
    <row r="278845" s="12" customFormat="1" x14ac:dyDescent="0.25"/>
    <row r="278846" s="12" customFormat="1" x14ac:dyDescent="0.25"/>
    <row r="278847" s="12" customFormat="1" x14ac:dyDescent="0.25"/>
    <row r="278848" s="12" customFormat="1" x14ac:dyDescent="0.25"/>
    <row r="278849" s="12" customFormat="1" x14ac:dyDescent="0.25"/>
    <row r="278850" s="12" customFormat="1" x14ac:dyDescent="0.25"/>
    <row r="278851" s="12" customFormat="1" x14ac:dyDescent="0.25"/>
    <row r="278852" s="12" customFormat="1" x14ac:dyDescent="0.25"/>
    <row r="278853" s="12" customFormat="1" x14ac:dyDescent="0.25"/>
    <row r="278854" s="12" customFormat="1" x14ac:dyDescent="0.25"/>
    <row r="278855" s="12" customFormat="1" x14ac:dyDescent="0.25"/>
    <row r="278856" s="12" customFormat="1" x14ac:dyDescent="0.25"/>
    <row r="278857" s="12" customFormat="1" x14ac:dyDescent="0.25"/>
    <row r="278858" s="12" customFormat="1" x14ac:dyDescent="0.25"/>
    <row r="278859" s="12" customFormat="1" x14ac:dyDescent="0.25"/>
    <row r="278860" s="12" customFormat="1" x14ac:dyDescent="0.25"/>
    <row r="278861" s="12" customFormat="1" x14ac:dyDescent="0.25"/>
    <row r="278862" s="12" customFormat="1" x14ac:dyDescent="0.25"/>
    <row r="278863" s="12" customFormat="1" x14ac:dyDescent="0.25"/>
    <row r="278864" s="12" customFormat="1" x14ac:dyDescent="0.25"/>
    <row r="278865" s="12" customFormat="1" x14ac:dyDescent="0.25"/>
    <row r="278866" s="12" customFormat="1" x14ac:dyDescent="0.25"/>
    <row r="278867" s="12" customFormat="1" x14ac:dyDescent="0.25"/>
    <row r="278868" s="12" customFormat="1" x14ac:dyDescent="0.25"/>
    <row r="278869" s="12" customFormat="1" x14ac:dyDescent="0.25"/>
    <row r="278870" s="12" customFormat="1" x14ac:dyDescent="0.25"/>
    <row r="278871" s="12" customFormat="1" x14ac:dyDescent="0.25"/>
    <row r="278872" s="12" customFormat="1" x14ac:dyDescent="0.25"/>
    <row r="278873" s="12" customFormat="1" x14ac:dyDescent="0.25"/>
    <row r="278874" s="12" customFormat="1" x14ac:dyDescent="0.25"/>
    <row r="278875" s="12" customFormat="1" x14ac:dyDescent="0.25"/>
    <row r="278876" s="12" customFormat="1" x14ac:dyDescent="0.25"/>
    <row r="278877" s="12" customFormat="1" x14ac:dyDescent="0.25"/>
    <row r="278878" s="12" customFormat="1" x14ac:dyDescent="0.25"/>
    <row r="278879" s="12" customFormat="1" x14ac:dyDescent="0.25"/>
    <row r="278880" s="12" customFormat="1" x14ac:dyDescent="0.25"/>
    <row r="278881" s="12" customFormat="1" x14ac:dyDescent="0.25"/>
    <row r="278882" s="12" customFormat="1" x14ac:dyDescent="0.25"/>
    <row r="278883" s="12" customFormat="1" x14ac:dyDescent="0.25"/>
    <row r="278884" s="12" customFormat="1" x14ac:dyDescent="0.25"/>
    <row r="278885" s="12" customFormat="1" x14ac:dyDescent="0.25"/>
    <row r="278886" s="12" customFormat="1" x14ac:dyDescent="0.25"/>
    <row r="278887" s="12" customFormat="1" x14ac:dyDescent="0.25"/>
    <row r="278888" s="12" customFormat="1" x14ac:dyDescent="0.25"/>
    <row r="278889" s="12" customFormat="1" x14ac:dyDescent="0.25"/>
    <row r="278890" s="12" customFormat="1" x14ac:dyDescent="0.25"/>
    <row r="278891" s="12" customFormat="1" x14ac:dyDescent="0.25"/>
    <row r="278892" s="12" customFormat="1" x14ac:dyDescent="0.25"/>
    <row r="278893" s="12" customFormat="1" x14ac:dyDescent="0.25"/>
    <row r="278894" s="12" customFormat="1" x14ac:dyDescent="0.25"/>
    <row r="278895" s="12" customFormat="1" x14ac:dyDescent="0.25"/>
    <row r="278896" s="12" customFormat="1" x14ac:dyDescent="0.25"/>
    <row r="278897" s="12" customFormat="1" x14ac:dyDescent="0.25"/>
    <row r="278898" s="12" customFormat="1" x14ac:dyDescent="0.25"/>
    <row r="278899" s="12" customFormat="1" x14ac:dyDescent="0.25"/>
    <row r="278900" s="12" customFormat="1" x14ac:dyDescent="0.25"/>
    <row r="278901" s="12" customFormat="1" x14ac:dyDescent="0.25"/>
    <row r="278902" s="12" customFormat="1" x14ac:dyDescent="0.25"/>
    <row r="278903" s="12" customFormat="1" x14ac:dyDescent="0.25"/>
    <row r="278904" s="12" customFormat="1" x14ac:dyDescent="0.25"/>
    <row r="278905" s="12" customFormat="1" x14ac:dyDescent="0.25"/>
    <row r="278906" s="12" customFormat="1" x14ac:dyDescent="0.25"/>
    <row r="278907" s="12" customFormat="1" x14ac:dyDescent="0.25"/>
    <row r="278908" s="12" customFormat="1" x14ac:dyDescent="0.25"/>
    <row r="278909" s="12" customFormat="1" x14ac:dyDescent="0.25"/>
    <row r="278910" s="12" customFormat="1" x14ac:dyDescent="0.25"/>
    <row r="278911" s="12" customFormat="1" x14ac:dyDescent="0.25"/>
    <row r="278912" s="12" customFormat="1" x14ac:dyDescent="0.25"/>
    <row r="278913" s="12" customFormat="1" x14ac:dyDescent="0.25"/>
    <row r="278914" s="12" customFormat="1" x14ac:dyDescent="0.25"/>
    <row r="278915" s="12" customFormat="1" x14ac:dyDescent="0.25"/>
    <row r="278916" s="12" customFormat="1" x14ac:dyDescent="0.25"/>
    <row r="278917" s="12" customFormat="1" x14ac:dyDescent="0.25"/>
    <row r="278918" s="12" customFormat="1" x14ac:dyDescent="0.25"/>
    <row r="278919" s="12" customFormat="1" x14ac:dyDescent="0.25"/>
    <row r="278920" s="12" customFormat="1" x14ac:dyDescent="0.25"/>
    <row r="278921" s="12" customFormat="1" x14ac:dyDescent="0.25"/>
    <row r="278922" s="12" customFormat="1" x14ac:dyDescent="0.25"/>
    <row r="278923" s="12" customFormat="1" x14ac:dyDescent="0.25"/>
    <row r="278924" s="12" customFormat="1" x14ac:dyDescent="0.25"/>
    <row r="278925" s="12" customFormat="1" x14ac:dyDescent="0.25"/>
    <row r="278926" s="12" customFormat="1" x14ac:dyDescent="0.25"/>
    <row r="278927" s="12" customFormat="1" x14ac:dyDescent="0.25"/>
    <row r="278928" s="12" customFormat="1" x14ac:dyDescent="0.25"/>
    <row r="278929" s="12" customFormat="1" x14ac:dyDescent="0.25"/>
    <row r="278930" s="12" customFormat="1" x14ac:dyDescent="0.25"/>
    <row r="278931" s="12" customFormat="1" x14ac:dyDescent="0.25"/>
    <row r="278932" s="12" customFormat="1" x14ac:dyDescent="0.25"/>
    <row r="278933" s="12" customFormat="1" x14ac:dyDescent="0.25"/>
    <row r="278934" s="12" customFormat="1" x14ac:dyDescent="0.25"/>
    <row r="278935" s="12" customFormat="1" x14ac:dyDescent="0.25"/>
    <row r="278936" s="12" customFormat="1" x14ac:dyDescent="0.25"/>
    <row r="278937" s="12" customFormat="1" x14ac:dyDescent="0.25"/>
    <row r="278938" s="12" customFormat="1" x14ac:dyDescent="0.25"/>
    <row r="278939" s="12" customFormat="1" x14ac:dyDescent="0.25"/>
    <row r="278940" s="12" customFormat="1" x14ac:dyDescent="0.25"/>
    <row r="278941" s="12" customFormat="1" x14ac:dyDescent="0.25"/>
    <row r="278942" s="12" customFormat="1" x14ac:dyDescent="0.25"/>
    <row r="278943" s="12" customFormat="1" x14ac:dyDescent="0.25"/>
    <row r="278944" s="12" customFormat="1" x14ac:dyDescent="0.25"/>
    <row r="278945" s="12" customFormat="1" x14ac:dyDescent="0.25"/>
    <row r="278946" s="12" customFormat="1" x14ac:dyDescent="0.25"/>
    <row r="278947" s="12" customFormat="1" x14ac:dyDescent="0.25"/>
    <row r="278948" s="12" customFormat="1" x14ac:dyDescent="0.25"/>
    <row r="278949" s="12" customFormat="1" x14ac:dyDescent="0.25"/>
    <row r="278950" s="12" customFormat="1" x14ac:dyDescent="0.25"/>
    <row r="278951" s="12" customFormat="1" x14ac:dyDescent="0.25"/>
    <row r="278952" s="12" customFormat="1" x14ac:dyDescent="0.25"/>
    <row r="278953" s="12" customFormat="1" x14ac:dyDescent="0.25"/>
    <row r="278954" s="12" customFormat="1" x14ac:dyDescent="0.25"/>
    <row r="278955" s="12" customFormat="1" x14ac:dyDescent="0.25"/>
    <row r="278956" s="12" customFormat="1" x14ac:dyDescent="0.25"/>
    <row r="278957" s="12" customFormat="1" x14ac:dyDescent="0.25"/>
    <row r="278958" s="12" customFormat="1" x14ac:dyDescent="0.25"/>
    <row r="278959" s="12" customFormat="1" x14ac:dyDescent="0.25"/>
    <row r="278960" s="12" customFormat="1" x14ac:dyDescent="0.25"/>
    <row r="278961" s="12" customFormat="1" x14ac:dyDescent="0.25"/>
    <row r="278962" s="12" customFormat="1" x14ac:dyDescent="0.25"/>
    <row r="278963" s="12" customFormat="1" x14ac:dyDescent="0.25"/>
    <row r="278964" s="12" customFormat="1" x14ac:dyDescent="0.25"/>
    <row r="278965" s="12" customFormat="1" x14ac:dyDescent="0.25"/>
    <row r="278966" s="12" customFormat="1" x14ac:dyDescent="0.25"/>
    <row r="278967" s="12" customFormat="1" x14ac:dyDescent="0.25"/>
    <row r="278968" s="12" customFormat="1" x14ac:dyDescent="0.25"/>
    <row r="278969" s="12" customFormat="1" x14ac:dyDescent="0.25"/>
    <row r="278970" s="12" customFormat="1" x14ac:dyDescent="0.25"/>
    <row r="278971" s="12" customFormat="1" x14ac:dyDescent="0.25"/>
    <row r="278972" s="12" customFormat="1" x14ac:dyDescent="0.25"/>
    <row r="278973" s="12" customFormat="1" x14ac:dyDescent="0.25"/>
    <row r="278974" s="12" customFormat="1" x14ac:dyDescent="0.25"/>
    <row r="278975" s="12" customFormat="1" x14ac:dyDescent="0.25"/>
    <row r="278976" s="12" customFormat="1" x14ac:dyDescent="0.25"/>
    <row r="278977" s="12" customFormat="1" x14ac:dyDescent="0.25"/>
    <row r="278978" s="12" customFormat="1" x14ac:dyDescent="0.25"/>
    <row r="278979" s="12" customFormat="1" x14ac:dyDescent="0.25"/>
    <row r="278980" s="12" customFormat="1" x14ac:dyDescent="0.25"/>
    <row r="278981" s="12" customFormat="1" x14ac:dyDescent="0.25"/>
    <row r="278982" s="12" customFormat="1" x14ac:dyDescent="0.25"/>
    <row r="278983" s="12" customFormat="1" x14ac:dyDescent="0.25"/>
    <row r="278984" s="12" customFormat="1" x14ac:dyDescent="0.25"/>
    <row r="278985" s="12" customFormat="1" x14ac:dyDescent="0.25"/>
    <row r="278986" s="12" customFormat="1" x14ac:dyDescent="0.25"/>
    <row r="278987" s="12" customFormat="1" x14ac:dyDescent="0.25"/>
    <row r="278988" s="12" customFormat="1" x14ac:dyDescent="0.25"/>
    <row r="278989" s="12" customFormat="1" x14ac:dyDescent="0.25"/>
    <row r="278990" s="12" customFormat="1" x14ac:dyDescent="0.25"/>
    <row r="278991" s="12" customFormat="1" x14ac:dyDescent="0.25"/>
    <row r="278992" s="12" customFormat="1" x14ac:dyDescent="0.25"/>
    <row r="278993" s="12" customFormat="1" x14ac:dyDescent="0.25"/>
    <row r="278994" s="12" customFormat="1" x14ac:dyDescent="0.25"/>
    <row r="278995" s="12" customFormat="1" x14ac:dyDescent="0.25"/>
    <row r="278996" s="12" customFormat="1" x14ac:dyDescent="0.25"/>
    <row r="278997" s="12" customFormat="1" x14ac:dyDescent="0.25"/>
    <row r="278998" s="12" customFormat="1" x14ac:dyDescent="0.25"/>
    <row r="278999" s="12" customFormat="1" x14ac:dyDescent="0.25"/>
    <row r="279000" s="12" customFormat="1" x14ac:dyDescent="0.25"/>
    <row r="279001" s="12" customFormat="1" x14ac:dyDescent="0.25"/>
    <row r="279002" s="12" customFormat="1" x14ac:dyDescent="0.25"/>
    <row r="279003" s="12" customFormat="1" x14ac:dyDescent="0.25"/>
    <row r="279004" s="12" customFormat="1" x14ac:dyDescent="0.25"/>
    <row r="279005" s="12" customFormat="1" x14ac:dyDescent="0.25"/>
    <row r="279006" s="12" customFormat="1" x14ac:dyDescent="0.25"/>
    <row r="279007" s="12" customFormat="1" x14ac:dyDescent="0.25"/>
    <row r="279008" s="12" customFormat="1" x14ac:dyDescent="0.25"/>
    <row r="279009" s="12" customFormat="1" x14ac:dyDescent="0.25"/>
    <row r="279010" s="12" customFormat="1" x14ac:dyDescent="0.25"/>
    <row r="279011" s="12" customFormat="1" x14ac:dyDescent="0.25"/>
    <row r="279012" s="12" customFormat="1" x14ac:dyDescent="0.25"/>
    <row r="279013" s="12" customFormat="1" x14ac:dyDescent="0.25"/>
    <row r="279014" s="12" customFormat="1" x14ac:dyDescent="0.25"/>
    <row r="279015" s="12" customFormat="1" x14ac:dyDescent="0.25"/>
    <row r="279016" s="12" customFormat="1" x14ac:dyDescent="0.25"/>
    <row r="279017" s="12" customFormat="1" x14ac:dyDescent="0.25"/>
    <row r="279018" s="12" customFormat="1" x14ac:dyDescent="0.25"/>
    <row r="279019" s="12" customFormat="1" x14ac:dyDescent="0.25"/>
    <row r="279020" s="12" customFormat="1" x14ac:dyDescent="0.25"/>
    <row r="279021" s="12" customFormat="1" x14ac:dyDescent="0.25"/>
    <row r="279022" s="12" customFormat="1" x14ac:dyDescent="0.25"/>
    <row r="279023" s="12" customFormat="1" x14ac:dyDescent="0.25"/>
    <row r="279024" s="12" customFormat="1" x14ac:dyDescent="0.25"/>
    <row r="279025" s="12" customFormat="1" x14ac:dyDescent="0.25"/>
    <row r="279026" s="12" customFormat="1" x14ac:dyDescent="0.25"/>
    <row r="279027" s="12" customFormat="1" x14ac:dyDescent="0.25"/>
    <row r="279028" s="12" customFormat="1" x14ac:dyDescent="0.25"/>
    <row r="279029" s="12" customFormat="1" x14ac:dyDescent="0.25"/>
    <row r="279030" s="12" customFormat="1" x14ac:dyDescent="0.25"/>
    <row r="279031" s="12" customFormat="1" x14ac:dyDescent="0.25"/>
    <row r="279032" s="12" customFormat="1" x14ac:dyDescent="0.25"/>
    <row r="279033" s="12" customFormat="1" x14ac:dyDescent="0.25"/>
    <row r="279034" s="12" customFormat="1" x14ac:dyDescent="0.25"/>
    <row r="279035" s="12" customFormat="1" x14ac:dyDescent="0.25"/>
    <row r="279036" s="12" customFormat="1" x14ac:dyDescent="0.25"/>
    <row r="279037" s="12" customFormat="1" x14ac:dyDescent="0.25"/>
    <row r="279038" s="12" customFormat="1" x14ac:dyDescent="0.25"/>
    <row r="279039" s="12" customFormat="1" x14ac:dyDescent="0.25"/>
    <row r="279040" s="12" customFormat="1" x14ac:dyDescent="0.25"/>
    <row r="279041" s="12" customFormat="1" x14ac:dyDescent="0.25"/>
    <row r="279042" s="12" customFormat="1" x14ac:dyDescent="0.25"/>
    <row r="279043" s="12" customFormat="1" x14ac:dyDescent="0.25"/>
    <row r="279044" s="12" customFormat="1" x14ac:dyDescent="0.25"/>
    <row r="279045" s="12" customFormat="1" x14ac:dyDescent="0.25"/>
    <row r="279046" s="12" customFormat="1" x14ac:dyDescent="0.25"/>
    <row r="279047" s="12" customFormat="1" x14ac:dyDescent="0.25"/>
    <row r="279048" s="12" customFormat="1" x14ac:dyDescent="0.25"/>
    <row r="279049" s="12" customFormat="1" x14ac:dyDescent="0.25"/>
    <row r="279050" s="12" customFormat="1" x14ac:dyDescent="0.25"/>
    <row r="279051" s="12" customFormat="1" x14ac:dyDescent="0.25"/>
    <row r="279052" s="12" customFormat="1" x14ac:dyDescent="0.25"/>
    <row r="279053" s="12" customFormat="1" x14ac:dyDescent="0.25"/>
    <row r="279054" s="12" customFormat="1" x14ac:dyDescent="0.25"/>
    <row r="279055" s="12" customFormat="1" x14ac:dyDescent="0.25"/>
    <row r="279056" s="12" customFormat="1" x14ac:dyDescent="0.25"/>
    <row r="279057" s="12" customFormat="1" x14ac:dyDescent="0.25"/>
    <row r="279058" s="12" customFormat="1" x14ac:dyDescent="0.25"/>
    <row r="279059" s="12" customFormat="1" x14ac:dyDescent="0.25"/>
    <row r="279060" s="12" customFormat="1" x14ac:dyDescent="0.25"/>
    <row r="279061" s="12" customFormat="1" x14ac:dyDescent="0.25"/>
    <row r="279062" s="12" customFormat="1" x14ac:dyDescent="0.25"/>
    <row r="279063" s="12" customFormat="1" x14ac:dyDescent="0.25"/>
    <row r="279064" s="12" customFormat="1" x14ac:dyDescent="0.25"/>
    <row r="279065" s="12" customFormat="1" x14ac:dyDescent="0.25"/>
    <row r="279066" s="12" customFormat="1" x14ac:dyDescent="0.25"/>
    <row r="279067" s="12" customFormat="1" x14ac:dyDescent="0.25"/>
    <row r="279068" s="12" customFormat="1" x14ac:dyDescent="0.25"/>
    <row r="279069" s="12" customFormat="1" x14ac:dyDescent="0.25"/>
    <row r="279070" s="12" customFormat="1" x14ac:dyDescent="0.25"/>
    <row r="279071" s="12" customFormat="1" x14ac:dyDescent="0.25"/>
    <row r="279072" s="12" customFormat="1" x14ac:dyDescent="0.25"/>
    <row r="279073" s="12" customFormat="1" x14ac:dyDescent="0.25"/>
    <row r="279074" s="12" customFormat="1" x14ac:dyDescent="0.25"/>
    <row r="279075" s="12" customFormat="1" x14ac:dyDescent="0.25"/>
    <row r="279076" s="12" customFormat="1" x14ac:dyDescent="0.25"/>
    <row r="279077" s="12" customFormat="1" x14ac:dyDescent="0.25"/>
    <row r="279078" s="12" customFormat="1" x14ac:dyDescent="0.25"/>
    <row r="279079" s="12" customFormat="1" x14ac:dyDescent="0.25"/>
    <row r="279080" s="12" customFormat="1" x14ac:dyDescent="0.25"/>
    <row r="279081" s="12" customFormat="1" x14ac:dyDescent="0.25"/>
    <row r="279082" s="12" customFormat="1" x14ac:dyDescent="0.25"/>
    <row r="279083" s="12" customFormat="1" x14ac:dyDescent="0.25"/>
    <row r="279084" s="12" customFormat="1" x14ac:dyDescent="0.25"/>
    <row r="279085" s="12" customFormat="1" x14ac:dyDescent="0.25"/>
    <row r="279086" s="12" customFormat="1" x14ac:dyDescent="0.25"/>
    <row r="279087" s="12" customFormat="1" x14ac:dyDescent="0.25"/>
    <row r="279088" s="12" customFormat="1" x14ac:dyDescent="0.25"/>
    <row r="279089" s="12" customFormat="1" x14ac:dyDescent="0.25"/>
    <row r="279090" s="12" customFormat="1" x14ac:dyDescent="0.25"/>
    <row r="279091" s="12" customFormat="1" x14ac:dyDescent="0.25"/>
    <row r="279092" s="12" customFormat="1" x14ac:dyDescent="0.25"/>
    <row r="279093" s="12" customFormat="1" x14ac:dyDescent="0.25"/>
    <row r="279094" s="12" customFormat="1" x14ac:dyDescent="0.25"/>
    <row r="279095" s="12" customFormat="1" x14ac:dyDescent="0.25"/>
    <row r="279096" s="12" customFormat="1" x14ac:dyDescent="0.25"/>
    <row r="279097" s="12" customFormat="1" x14ac:dyDescent="0.25"/>
    <row r="279098" s="12" customFormat="1" x14ac:dyDescent="0.25"/>
    <row r="279099" s="12" customFormat="1" x14ac:dyDescent="0.25"/>
    <row r="279100" s="12" customFormat="1" x14ac:dyDescent="0.25"/>
    <row r="279101" s="12" customFormat="1" x14ac:dyDescent="0.25"/>
    <row r="279102" s="12" customFormat="1" x14ac:dyDescent="0.25"/>
    <row r="279103" s="12" customFormat="1" x14ac:dyDescent="0.25"/>
    <row r="279104" s="12" customFormat="1" x14ac:dyDescent="0.25"/>
    <row r="279105" s="12" customFormat="1" x14ac:dyDescent="0.25"/>
    <row r="279106" s="12" customFormat="1" x14ac:dyDescent="0.25"/>
    <row r="279107" s="12" customFormat="1" x14ac:dyDescent="0.25"/>
    <row r="279108" s="12" customFormat="1" x14ac:dyDescent="0.25"/>
    <row r="279109" s="12" customFormat="1" x14ac:dyDescent="0.25"/>
    <row r="279110" s="12" customFormat="1" x14ac:dyDescent="0.25"/>
    <row r="279111" s="12" customFormat="1" x14ac:dyDescent="0.25"/>
    <row r="279112" s="12" customFormat="1" x14ac:dyDescent="0.25"/>
    <row r="279113" s="12" customFormat="1" x14ac:dyDescent="0.25"/>
    <row r="279114" s="12" customFormat="1" x14ac:dyDescent="0.25"/>
    <row r="279115" s="12" customFormat="1" x14ac:dyDescent="0.25"/>
    <row r="279116" s="12" customFormat="1" x14ac:dyDescent="0.25"/>
    <row r="279117" s="12" customFormat="1" x14ac:dyDescent="0.25"/>
    <row r="279118" s="12" customFormat="1" x14ac:dyDescent="0.25"/>
    <row r="279119" s="12" customFormat="1" x14ac:dyDescent="0.25"/>
    <row r="279120" s="12" customFormat="1" x14ac:dyDescent="0.25"/>
    <row r="279121" s="12" customFormat="1" x14ac:dyDescent="0.25"/>
    <row r="279122" s="12" customFormat="1" x14ac:dyDescent="0.25"/>
    <row r="279123" s="12" customFormat="1" x14ac:dyDescent="0.25"/>
    <row r="279124" s="12" customFormat="1" x14ac:dyDescent="0.25"/>
    <row r="279125" s="12" customFormat="1" x14ac:dyDescent="0.25"/>
    <row r="279126" s="12" customFormat="1" x14ac:dyDescent="0.25"/>
    <row r="279127" s="12" customFormat="1" x14ac:dyDescent="0.25"/>
    <row r="279128" s="12" customFormat="1" x14ac:dyDescent="0.25"/>
    <row r="279129" s="12" customFormat="1" x14ac:dyDescent="0.25"/>
    <row r="279130" s="12" customFormat="1" x14ac:dyDescent="0.25"/>
    <row r="279131" s="12" customFormat="1" x14ac:dyDescent="0.25"/>
    <row r="279132" s="12" customFormat="1" x14ac:dyDescent="0.25"/>
    <row r="279133" s="12" customFormat="1" x14ac:dyDescent="0.25"/>
    <row r="279134" s="12" customFormat="1" x14ac:dyDescent="0.25"/>
    <row r="279135" s="12" customFormat="1" x14ac:dyDescent="0.25"/>
    <row r="279136" s="12" customFormat="1" x14ac:dyDescent="0.25"/>
    <row r="279137" s="12" customFormat="1" x14ac:dyDescent="0.25"/>
    <row r="279138" s="12" customFormat="1" x14ac:dyDescent="0.25"/>
    <row r="279139" s="12" customFormat="1" x14ac:dyDescent="0.25"/>
    <row r="279140" s="12" customFormat="1" x14ac:dyDescent="0.25"/>
    <row r="279141" s="12" customFormat="1" x14ac:dyDescent="0.25"/>
    <row r="279142" s="12" customFormat="1" x14ac:dyDescent="0.25"/>
    <row r="279143" s="12" customFormat="1" x14ac:dyDescent="0.25"/>
    <row r="279144" s="12" customFormat="1" x14ac:dyDescent="0.25"/>
    <row r="279145" s="12" customFormat="1" x14ac:dyDescent="0.25"/>
    <row r="279146" s="12" customFormat="1" x14ac:dyDescent="0.25"/>
    <row r="279147" s="12" customFormat="1" x14ac:dyDescent="0.25"/>
    <row r="279148" s="12" customFormat="1" x14ac:dyDescent="0.25"/>
    <row r="279149" s="12" customFormat="1" x14ac:dyDescent="0.25"/>
    <row r="279150" s="12" customFormat="1" x14ac:dyDescent="0.25"/>
    <row r="279151" s="12" customFormat="1" x14ac:dyDescent="0.25"/>
    <row r="279152" s="12" customFormat="1" x14ac:dyDescent="0.25"/>
    <row r="279153" s="12" customFormat="1" x14ac:dyDescent="0.25"/>
    <row r="279154" s="12" customFormat="1" x14ac:dyDescent="0.25"/>
    <row r="279155" s="12" customFormat="1" x14ac:dyDescent="0.25"/>
    <row r="279156" s="12" customFormat="1" x14ac:dyDescent="0.25"/>
    <row r="279157" s="12" customFormat="1" x14ac:dyDescent="0.25"/>
    <row r="279158" s="12" customFormat="1" x14ac:dyDescent="0.25"/>
    <row r="279159" s="12" customFormat="1" x14ac:dyDescent="0.25"/>
    <row r="279160" s="12" customFormat="1" x14ac:dyDescent="0.25"/>
    <row r="279161" s="12" customFormat="1" x14ac:dyDescent="0.25"/>
    <row r="279162" s="12" customFormat="1" x14ac:dyDescent="0.25"/>
    <row r="279163" s="12" customFormat="1" x14ac:dyDescent="0.25"/>
    <row r="279164" s="12" customFormat="1" x14ac:dyDescent="0.25"/>
    <row r="279165" s="12" customFormat="1" x14ac:dyDescent="0.25"/>
    <row r="279166" s="12" customFormat="1" x14ac:dyDescent="0.25"/>
    <row r="279167" s="12" customFormat="1" x14ac:dyDescent="0.25"/>
    <row r="279168" s="12" customFormat="1" x14ac:dyDescent="0.25"/>
    <row r="279169" s="12" customFormat="1" x14ac:dyDescent="0.25"/>
    <row r="279170" s="12" customFormat="1" x14ac:dyDescent="0.25"/>
    <row r="279171" s="12" customFormat="1" x14ac:dyDescent="0.25"/>
    <row r="279172" s="12" customFormat="1" x14ac:dyDescent="0.25"/>
    <row r="279173" s="12" customFormat="1" x14ac:dyDescent="0.25"/>
    <row r="279174" s="12" customFormat="1" x14ac:dyDescent="0.25"/>
    <row r="279175" s="12" customFormat="1" x14ac:dyDescent="0.25"/>
    <row r="279176" s="12" customFormat="1" x14ac:dyDescent="0.25"/>
    <row r="279177" s="12" customFormat="1" x14ac:dyDescent="0.25"/>
    <row r="279178" s="12" customFormat="1" x14ac:dyDescent="0.25"/>
    <row r="279179" s="12" customFormat="1" x14ac:dyDescent="0.25"/>
    <row r="279180" s="12" customFormat="1" x14ac:dyDescent="0.25"/>
    <row r="279181" s="12" customFormat="1" x14ac:dyDescent="0.25"/>
    <row r="279182" s="12" customFormat="1" x14ac:dyDescent="0.25"/>
    <row r="279183" s="12" customFormat="1" x14ac:dyDescent="0.25"/>
    <row r="279184" s="12" customFormat="1" x14ac:dyDescent="0.25"/>
    <row r="279185" s="12" customFormat="1" x14ac:dyDescent="0.25"/>
    <row r="279186" s="12" customFormat="1" x14ac:dyDescent="0.25"/>
    <row r="279187" s="12" customFormat="1" x14ac:dyDescent="0.25"/>
    <row r="279188" s="12" customFormat="1" x14ac:dyDescent="0.25"/>
    <row r="279189" s="12" customFormat="1" x14ac:dyDescent="0.25"/>
    <row r="279190" s="12" customFormat="1" x14ac:dyDescent="0.25"/>
    <row r="279191" s="12" customFormat="1" x14ac:dyDescent="0.25"/>
    <row r="279192" s="12" customFormat="1" x14ac:dyDescent="0.25"/>
    <row r="279193" s="12" customFormat="1" x14ac:dyDescent="0.25"/>
    <row r="279194" s="12" customFormat="1" x14ac:dyDescent="0.25"/>
    <row r="279195" s="12" customFormat="1" x14ac:dyDescent="0.25"/>
    <row r="279196" s="12" customFormat="1" x14ac:dyDescent="0.25"/>
    <row r="279197" s="12" customFormat="1" x14ac:dyDescent="0.25"/>
    <row r="279198" s="12" customFormat="1" x14ac:dyDescent="0.25"/>
    <row r="279199" s="12" customFormat="1" x14ac:dyDescent="0.25"/>
    <row r="279200" s="12" customFormat="1" x14ac:dyDescent="0.25"/>
    <row r="279201" s="12" customFormat="1" x14ac:dyDescent="0.25"/>
    <row r="279202" s="12" customFormat="1" x14ac:dyDescent="0.25"/>
    <row r="279203" s="12" customFormat="1" x14ac:dyDescent="0.25"/>
    <row r="279204" s="12" customFormat="1" x14ac:dyDescent="0.25"/>
    <row r="279205" s="12" customFormat="1" x14ac:dyDescent="0.25"/>
    <row r="279206" s="12" customFormat="1" x14ac:dyDescent="0.25"/>
    <row r="279207" s="12" customFormat="1" x14ac:dyDescent="0.25"/>
    <row r="279208" s="12" customFormat="1" x14ac:dyDescent="0.25"/>
    <row r="279209" s="12" customFormat="1" x14ac:dyDescent="0.25"/>
    <row r="279210" s="12" customFormat="1" x14ac:dyDescent="0.25"/>
    <row r="279211" s="12" customFormat="1" x14ac:dyDescent="0.25"/>
    <row r="279212" s="12" customFormat="1" x14ac:dyDescent="0.25"/>
    <row r="279213" s="12" customFormat="1" x14ac:dyDescent="0.25"/>
    <row r="279214" s="12" customFormat="1" x14ac:dyDescent="0.25"/>
    <row r="279215" s="12" customFormat="1" x14ac:dyDescent="0.25"/>
    <row r="279216" s="12" customFormat="1" x14ac:dyDescent="0.25"/>
    <row r="279217" s="12" customFormat="1" x14ac:dyDescent="0.25"/>
    <row r="279218" s="12" customFormat="1" x14ac:dyDescent="0.25"/>
    <row r="279219" s="12" customFormat="1" x14ac:dyDescent="0.25"/>
    <row r="279220" s="12" customFormat="1" x14ac:dyDescent="0.25"/>
    <row r="279221" s="12" customFormat="1" x14ac:dyDescent="0.25"/>
    <row r="279222" s="12" customFormat="1" x14ac:dyDescent="0.25"/>
    <row r="279223" s="12" customFormat="1" x14ac:dyDescent="0.25"/>
    <row r="279224" s="12" customFormat="1" x14ac:dyDescent="0.25"/>
    <row r="279225" s="12" customFormat="1" x14ac:dyDescent="0.25"/>
    <row r="279226" s="12" customFormat="1" x14ac:dyDescent="0.25"/>
    <row r="279227" s="12" customFormat="1" x14ac:dyDescent="0.25"/>
    <row r="279228" s="12" customFormat="1" x14ac:dyDescent="0.25"/>
    <row r="279229" s="12" customFormat="1" x14ac:dyDescent="0.25"/>
    <row r="279230" s="12" customFormat="1" x14ac:dyDescent="0.25"/>
    <row r="279231" s="12" customFormat="1" x14ac:dyDescent="0.25"/>
    <row r="279232" s="12" customFormat="1" x14ac:dyDescent="0.25"/>
    <row r="279233" s="12" customFormat="1" x14ac:dyDescent="0.25"/>
    <row r="279234" s="12" customFormat="1" x14ac:dyDescent="0.25"/>
    <row r="279235" s="12" customFormat="1" x14ac:dyDescent="0.25"/>
    <row r="279236" s="12" customFormat="1" x14ac:dyDescent="0.25"/>
    <row r="279237" s="12" customFormat="1" x14ac:dyDescent="0.25"/>
    <row r="279238" s="12" customFormat="1" x14ac:dyDescent="0.25"/>
    <row r="279239" s="12" customFormat="1" x14ac:dyDescent="0.25"/>
    <row r="279240" s="12" customFormat="1" x14ac:dyDescent="0.25"/>
    <row r="279241" s="12" customFormat="1" x14ac:dyDescent="0.25"/>
    <row r="279242" s="12" customFormat="1" x14ac:dyDescent="0.25"/>
    <row r="279243" s="12" customFormat="1" x14ac:dyDescent="0.25"/>
    <row r="279244" s="12" customFormat="1" x14ac:dyDescent="0.25"/>
    <row r="279245" s="12" customFormat="1" x14ac:dyDescent="0.25"/>
    <row r="279246" s="12" customFormat="1" x14ac:dyDescent="0.25"/>
    <row r="279247" s="12" customFormat="1" x14ac:dyDescent="0.25"/>
    <row r="279248" s="12" customFormat="1" x14ac:dyDescent="0.25"/>
    <row r="279249" s="12" customFormat="1" x14ac:dyDescent="0.25"/>
    <row r="279250" s="12" customFormat="1" x14ac:dyDescent="0.25"/>
    <row r="279251" s="12" customFormat="1" x14ac:dyDescent="0.25"/>
    <row r="279252" s="12" customFormat="1" x14ac:dyDescent="0.25"/>
    <row r="279253" s="12" customFormat="1" x14ac:dyDescent="0.25"/>
    <row r="279254" s="12" customFormat="1" x14ac:dyDescent="0.25"/>
    <row r="279255" s="12" customFormat="1" x14ac:dyDescent="0.25"/>
    <row r="279256" s="12" customFormat="1" x14ac:dyDescent="0.25"/>
    <row r="279257" s="12" customFormat="1" x14ac:dyDescent="0.25"/>
    <row r="279258" s="12" customFormat="1" x14ac:dyDescent="0.25"/>
    <row r="279259" s="12" customFormat="1" x14ac:dyDescent="0.25"/>
    <row r="279260" s="12" customFormat="1" x14ac:dyDescent="0.25"/>
    <row r="279261" s="12" customFormat="1" x14ac:dyDescent="0.25"/>
    <row r="279262" s="12" customFormat="1" x14ac:dyDescent="0.25"/>
    <row r="279263" s="12" customFormat="1" x14ac:dyDescent="0.25"/>
    <row r="279264" s="12" customFormat="1" x14ac:dyDescent="0.25"/>
    <row r="279265" s="12" customFormat="1" x14ac:dyDescent="0.25"/>
    <row r="279266" s="12" customFormat="1" x14ac:dyDescent="0.25"/>
    <row r="279267" s="12" customFormat="1" x14ac:dyDescent="0.25"/>
    <row r="279268" s="12" customFormat="1" x14ac:dyDescent="0.25"/>
    <row r="279269" s="12" customFormat="1" x14ac:dyDescent="0.25"/>
    <row r="279270" s="12" customFormat="1" x14ac:dyDescent="0.25"/>
    <row r="279271" s="12" customFormat="1" x14ac:dyDescent="0.25"/>
    <row r="279272" s="12" customFormat="1" x14ac:dyDescent="0.25"/>
    <row r="279273" s="12" customFormat="1" x14ac:dyDescent="0.25"/>
    <row r="279274" s="12" customFormat="1" x14ac:dyDescent="0.25"/>
    <row r="279275" s="12" customFormat="1" x14ac:dyDescent="0.25"/>
    <row r="279276" s="12" customFormat="1" x14ac:dyDescent="0.25"/>
    <row r="279277" s="12" customFormat="1" x14ac:dyDescent="0.25"/>
    <row r="279278" s="12" customFormat="1" x14ac:dyDescent="0.25"/>
    <row r="279279" s="12" customFormat="1" x14ac:dyDescent="0.25"/>
    <row r="279280" s="12" customFormat="1" x14ac:dyDescent="0.25"/>
    <row r="279281" s="12" customFormat="1" x14ac:dyDescent="0.25"/>
    <row r="279282" s="12" customFormat="1" x14ac:dyDescent="0.25"/>
    <row r="279283" s="12" customFormat="1" x14ac:dyDescent="0.25"/>
    <row r="279284" s="12" customFormat="1" x14ac:dyDescent="0.25"/>
    <row r="279285" s="12" customFormat="1" x14ac:dyDescent="0.25"/>
    <row r="279286" s="12" customFormat="1" x14ac:dyDescent="0.25"/>
    <row r="279287" s="12" customFormat="1" x14ac:dyDescent="0.25"/>
    <row r="279288" s="12" customFormat="1" x14ac:dyDescent="0.25"/>
    <row r="279289" s="12" customFormat="1" x14ac:dyDescent="0.25"/>
    <row r="279290" s="12" customFormat="1" x14ac:dyDescent="0.25"/>
    <row r="279291" s="12" customFormat="1" x14ac:dyDescent="0.25"/>
    <row r="279292" s="12" customFormat="1" x14ac:dyDescent="0.25"/>
    <row r="279293" s="12" customFormat="1" x14ac:dyDescent="0.25"/>
    <row r="279294" s="12" customFormat="1" x14ac:dyDescent="0.25"/>
    <row r="279295" s="12" customFormat="1" x14ac:dyDescent="0.25"/>
    <row r="279296" s="12" customFormat="1" x14ac:dyDescent="0.25"/>
    <row r="279297" s="12" customFormat="1" x14ac:dyDescent="0.25"/>
    <row r="279298" s="12" customFormat="1" x14ac:dyDescent="0.25"/>
    <row r="279299" s="12" customFormat="1" x14ac:dyDescent="0.25"/>
    <row r="279300" s="12" customFormat="1" x14ac:dyDescent="0.25"/>
    <row r="279301" s="12" customFormat="1" x14ac:dyDescent="0.25"/>
    <row r="279302" s="12" customFormat="1" x14ac:dyDescent="0.25"/>
    <row r="279303" s="12" customFormat="1" x14ac:dyDescent="0.25"/>
    <row r="279304" s="12" customFormat="1" x14ac:dyDescent="0.25"/>
    <row r="279305" s="12" customFormat="1" x14ac:dyDescent="0.25"/>
    <row r="279306" s="12" customFormat="1" x14ac:dyDescent="0.25"/>
    <row r="279307" s="12" customFormat="1" x14ac:dyDescent="0.25"/>
    <row r="279308" s="12" customFormat="1" x14ac:dyDescent="0.25"/>
    <row r="279309" s="12" customFormat="1" x14ac:dyDescent="0.25"/>
    <row r="279310" s="12" customFormat="1" x14ac:dyDescent="0.25"/>
    <row r="279311" s="12" customFormat="1" x14ac:dyDescent="0.25"/>
    <row r="279312" s="12" customFormat="1" x14ac:dyDescent="0.25"/>
    <row r="279313" s="12" customFormat="1" x14ac:dyDescent="0.25"/>
    <row r="279314" s="12" customFormat="1" x14ac:dyDescent="0.25"/>
    <row r="279315" s="12" customFormat="1" x14ac:dyDescent="0.25"/>
    <row r="279316" s="12" customFormat="1" x14ac:dyDescent="0.25"/>
    <row r="279317" s="12" customFormat="1" x14ac:dyDescent="0.25"/>
    <row r="279318" s="12" customFormat="1" x14ac:dyDescent="0.25"/>
    <row r="279319" s="12" customFormat="1" x14ac:dyDescent="0.25"/>
    <row r="279320" s="12" customFormat="1" x14ac:dyDescent="0.25"/>
    <row r="279321" s="12" customFormat="1" x14ac:dyDescent="0.25"/>
    <row r="279322" s="12" customFormat="1" x14ac:dyDescent="0.25"/>
    <row r="279323" s="12" customFormat="1" x14ac:dyDescent="0.25"/>
    <row r="279324" s="12" customFormat="1" x14ac:dyDescent="0.25"/>
    <row r="279325" s="12" customFormat="1" x14ac:dyDescent="0.25"/>
    <row r="279326" s="12" customFormat="1" x14ac:dyDescent="0.25"/>
    <row r="279327" s="12" customFormat="1" x14ac:dyDescent="0.25"/>
    <row r="279328" s="12" customFormat="1" x14ac:dyDescent="0.25"/>
    <row r="279329" s="12" customFormat="1" x14ac:dyDescent="0.25"/>
    <row r="279330" s="12" customFormat="1" x14ac:dyDescent="0.25"/>
    <row r="279331" s="12" customFormat="1" x14ac:dyDescent="0.25"/>
    <row r="279332" s="12" customFormat="1" x14ac:dyDescent="0.25"/>
    <row r="279333" s="12" customFormat="1" x14ac:dyDescent="0.25"/>
    <row r="279334" s="12" customFormat="1" x14ac:dyDescent="0.25"/>
    <row r="279335" s="12" customFormat="1" x14ac:dyDescent="0.25"/>
    <row r="279336" s="12" customFormat="1" x14ac:dyDescent="0.25"/>
    <row r="279337" s="12" customFormat="1" x14ac:dyDescent="0.25"/>
    <row r="279338" s="12" customFormat="1" x14ac:dyDescent="0.25"/>
    <row r="279339" s="12" customFormat="1" x14ac:dyDescent="0.25"/>
    <row r="279340" s="12" customFormat="1" x14ac:dyDescent="0.25"/>
    <row r="279341" s="12" customFormat="1" x14ac:dyDescent="0.25"/>
    <row r="279342" s="12" customFormat="1" x14ac:dyDescent="0.25"/>
    <row r="279343" s="12" customFormat="1" x14ac:dyDescent="0.25"/>
    <row r="279344" s="12" customFormat="1" x14ac:dyDescent="0.25"/>
    <row r="279345" s="12" customFormat="1" x14ac:dyDescent="0.25"/>
    <row r="279346" s="12" customFormat="1" x14ac:dyDescent="0.25"/>
    <row r="279347" s="12" customFormat="1" x14ac:dyDescent="0.25"/>
    <row r="279348" s="12" customFormat="1" x14ac:dyDescent="0.25"/>
    <row r="279349" s="12" customFormat="1" x14ac:dyDescent="0.25"/>
    <row r="279350" s="12" customFormat="1" x14ac:dyDescent="0.25"/>
    <row r="279351" s="12" customFormat="1" x14ac:dyDescent="0.25"/>
    <row r="279352" s="12" customFormat="1" x14ac:dyDescent="0.25"/>
    <row r="279353" s="12" customFormat="1" x14ac:dyDescent="0.25"/>
    <row r="279354" s="12" customFormat="1" x14ac:dyDescent="0.25"/>
    <row r="279355" s="12" customFormat="1" x14ac:dyDescent="0.25"/>
    <row r="279356" s="12" customFormat="1" x14ac:dyDescent="0.25"/>
    <row r="279357" s="12" customFormat="1" x14ac:dyDescent="0.25"/>
    <row r="279358" s="12" customFormat="1" x14ac:dyDescent="0.25"/>
    <row r="279359" s="12" customFormat="1" x14ac:dyDescent="0.25"/>
    <row r="279360" s="12" customFormat="1" x14ac:dyDescent="0.25"/>
    <row r="279361" s="12" customFormat="1" x14ac:dyDescent="0.25"/>
    <row r="279362" s="12" customFormat="1" x14ac:dyDescent="0.25"/>
    <row r="279363" s="12" customFormat="1" x14ac:dyDescent="0.25"/>
    <row r="279364" s="12" customFormat="1" x14ac:dyDescent="0.25"/>
    <row r="279365" s="12" customFormat="1" x14ac:dyDescent="0.25"/>
    <row r="279366" s="12" customFormat="1" x14ac:dyDescent="0.25"/>
    <row r="279367" s="12" customFormat="1" x14ac:dyDescent="0.25"/>
    <row r="279368" s="12" customFormat="1" x14ac:dyDescent="0.25"/>
    <row r="279369" s="12" customFormat="1" x14ac:dyDescent="0.25"/>
    <row r="279370" s="12" customFormat="1" x14ac:dyDescent="0.25"/>
    <row r="279371" s="12" customFormat="1" x14ac:dyDescent="0.25"/>
    <row r="279372" s="12" customFormat="1" x14ac:dyDescent="0.25"/>
    <row r="279373" s="12" customFormat="1" x14ac:dyDescent="0.25"/>
    <row r="279374" s="12" customFormat="1" x14ac:dyDescent="0.25"/>
    <row r="279375" s="12" customFormat="1" x14ac:dyDescent="0.25"/>
    <row r="279376" s="12" customFormat="1" x14ac:dyDescent="0.25"/>
    <row r="279377" s="12" customFormat="1" x14ac:dyDescent="0.25"/>
    <row r="279378" s="12" customFormat="1" x14ac:dyDescent="0.25"/>
    <row r="279379" s="12" customFormat="1" x14ac:dyDescent="0.25"/>
    <row r="279380" s="12" customFormat="1" x14ac:dyDescent="0.25"/>
    <row r="279381" s="12" customFormat="1" x14ac:dyDescent="0.25"/>
    <row r="279382" s="12" customFormat="1" x14ac:dyDescent="0.25"/>
    <row r="279383" s="12" customFormat="1" x14ac:dyDescent="0.25"/>
    <row r="279384" s="12" customFormat="1" x14ac:dyDescent="0.25"/>
    <row r="279385" s="12" customFormat="1" x14ac:dyDescent="0.25"/>
    <row r="279386" s="12" customFormat="1" x14ac:dyDescent="0.25"/>
    <row r="279387" s="12" customFormat="1" x14ac:dyDescent="0.25"/>
    <row r="279388" s="12" customFormat="1" x14ac:dyDescent="0.25"/>
    <row r="279389" s="12" customFormat="1" x14ac:dyDescent="0.25"/>
    <row r="279390" s="12" customFormat="1" x14ac:dyDescent="0.25"/>
    <row r="279391" s="12" customFormat="1" x14ac:dyDescent="0.25"/>
    <row r="279392" s="12" customFormat="1" x14ac:dyDescent="0.25"/>
    <row r="279393" s="12" customFormat="1" x14ac:dyDescent="0.25"/>
    <row r="279394" s="12" customFormat="1" x14ac:dyDescent="0.25"/>
    <row r="279395" s="12" customFormat="1" x14ac:dyDescent="0.25"/>
    <row r="279396" s="12" customFormat="1" x14ac:dyDescent="0.25"/>
    <row r="279397" s="12" customFormat="1" x14ac:dyDescent="0.25"/>
    <row r="279398" s="12" customFormat="1" x14ac:dyDescent="0.25"/>
    <row r="279399" s="12" customFormat="1" x14ac:dyDescent="0.25"/>
    <row r="279400" s="12" customFormat="1" x14ac:dyDescent="0.25"/>
    <row r="279401" s="12" customFormat="1" x14ac:dyDescent="0.25"/>
    <row r="279402" s="12" customFormat="1" x14ac:dyDescent="0.25"/>
    <row r="279403" s="12" customFormat="1" x14ac:dyDescent="0.25"/>
    <row r="279404" s="12" customFormat="1" x14ac:dyDescent="0.25"/>
    <row r="279405" s="12" customFormat="1" x14ac:dyDescent="0.25"/>
    <row r="279406" s="12" customFormat="1" x14ac:dyDescent="0.25"/>
    <row r="279407" s="12" customFormat="1" x14ac:dyDescent="0.25"/>
    <row r="279408" s="12" customFormat="1" x14ac:dyDescent="0.25"/>
    <row r="279409" s="12" customFormat="1" x14ac:dyDescent="0.25"/>
    <row r="279410" s="12" customFormat="1" x14ac:dyDescent="0.25"/>
    <row r="279411" s="12" customFormat="1" x14ac:dyDescent="0.25"/>
    <row r="279412" s="12" customFormat="1" x14ac:dyDescent="0.25"/>
    <row r="279413" s="12" customFormat="1" x14ac:dyDescent="0.25"/>
    <row r="279414" s="12" customFormat="1" x14ac:dyDescent="0.25"/>
    <row r="279415" s="12" customFormat="1" x14ac:dyDescent="0.25"/>
    <row r="279416" s="12" customFormat="1" x14ac:dyDescent="0.25"/>
    <row r="279417" s="12" customFormat="1" x14ac:dyDescent="0.25"/>
    <row r="279418" s="12" customFormat="1" x14ac:dyDescent="0.25"/>
    <row r="279419" s="12" customFormat="1" x14ac:dyDescent="0.25"/>
    <row r="279420" s="12" customFormat="1" x14ac:dyDescent="0.25"/>
    <row r="279421" s="12" customFormat="1" x14ac:dyDescent="0.25"/>
    <row r="279422" s="12" customFormat="1" x14ac:dyDescent="0.25"/>
    <row r="279423" s="12" customFormat="1" x14ac:dyDescent="0.25"/>
    <row r="279424" s="12" customFormat="1" x14ac:dyDescent="0.25"/>
    <row r="279425" s="12" customFormat="1" x14ac:dyDescent="0.25"/>
    <row r="279426" s="12" customFormat="1" x14ac:dyDescent="0.25"/>
    <row r="279427" s="12" customFormat="1" x14ac:dyDescent="0.25"/>
    <row r="279428" s="12" customFormat="1" x14ac:dyDescent="0.25"/>
    <row r="279429" s="12" customFormat="1" x14ac:dyDescent="0.25"/>
    <row r="279430" s="12" customFormat="1" x14ac:dyDescent="0.25"/>
    <row r="279431" s="12" customFormat="1" x14ac:dyDescent="0.25"/>
    <row r="279432" s="12" customFormat="1" x14ac:dyDescent="0.25"/>
    <row r="279433" s="12" customFormat="1" x14ac:dyDescent="0.25"/>
    <row r="279434" s="12" customFormat="1" x14ac:dyDescent="0.25"/>
    <row r="279435" s="12" customFormat="1" x14ac:dyDescent="0.25"/>
    <row r="279436" s="12" customFormat="1" x14ac:dyDescent="0.25"/>
    <row r="279437" s="12" customFormat="1" x14ac:dyDescent="0.25"/>
    <row r="279438" s="12" customFormat="1" x14ac:dyDescent="0.25"/>
    <row r="279439" s="12" customFormat="1" x14ac:dyDescent="0.25"/>
    <row r="279440" s="12" customFormat="1" x14ac:dyDescent="0.25"/>
    <row r="279441" s="12" customFormat="1" x14ac:dyDescent="0.25"/>
    <row r="279442" s="12" customFormat="1" x14ac:dyDescent="0.25"/>
    <row r="279443" s="12" customFormat="1" x14ac:dyDescent="0.25"/>
    <row r="279444" s="12" customFormat="1" x14ac:dyDescent="0.25"/>
    <row r="279445" s="12" customFormat="1" x14ac:dyDescent="0.25"/>
    <row r="279446" s="12" customFormat="1" x14ac:dyDescent="0.25"/>
    <row r="279447" s="12" customFormat="1" x14ac:dyDescent="0.25"/>
    <row r="279448" s="12" customFormat="1" x14ac:dyDescent="0.25"/>
    <row r="279449" s="12" customFormat="1" x14ac:dyDescent="0.25"/>
    <row r="279450" s="12" customFormat="1" x14ac:dyDescent="0.25"/>
    <row r="279451" s="12" customFormat="1" x14ac:dyDescent="0.25"/>
    <row r="279452" s="12" customFormat="1" x14ac:dyDescent="0.25"/>
    <row r="279453" s="12" customFormat="1" x14ac:dyDescent="0.25"/>
    <row r="279454" s="12" customFormat="1" x14ac:dyDescent="0.25"/>
    <row r="279455" s="12" customFormat="1" x14ac:dyDescent="0.25"/>
    <row r="279456" s="12" customFormat="1" x14ac:dyDescent="0.25"/>
    <row r="279457" s="12" customFormat="1" x14ac:dyDescent="0.25"/>
    <row r="279458" s="12" customFormat="1" x14ac:dyDescent="0.25"/>
    <row r="279459" s="12" customFormat="1" x14ac:dyDescent="0.25"/>
    <row r="279460" s="12" customFormat="1" x14ac:dyDescent="0.25"/>
    <row r="279461" s="12" customFormat="1" x14ac:dyDescent="0.25"/>
    <row r="279462" s="12" customFormat="1" x14ac:dyDescent="0.25"/>
    <row r="279463" s="12" customFormat="1" x14ac:dyDescent="0.25"/>
    <row r="279464" s="12" customFormat="1" x14ac:dyDescent="0.25"/>
    <row r="279465" s="12" customFormat="1" x14ac:dyDescent="0.25"/>
    <row r="279466" s="12" customFormat="1" x14ac:dyDescent="0.25"/>
    <row r="279467" s="12" customFormat="1" x14ac:dyDescent="0.25"/>
    <row r="279468" s="12" customFormat="1" x14ac:dyDescent="0.25"/>
    <row r="279469" s="12" customFormat="1" x14ac:dyDescent="0.25"/>
    <row r="279470" s="12" customFormat="1" x14ac:dyDescent="0.25"/>
    <row r="279471" s="12" customFormat="1" x14ac:dyDescent="0.25"/>
    <row r="279472" s="12" customFormat="1" x14ac:dyDescent="0.25"/>
    <row r="279473" s="12" customFormat="1" x14ac:dyDescent="0.25"/>
    <row r="279474" s="12" customFormat="1" x14ac:dyDescent="0.25"/>
    <row r="279475" s="12" customFormat="1" x14ac:dyDescent="0.25"/>
    <row r="279476" s="12" customFormat="1" x14ac:dyDescent="0.25"/>
    <row r="279477" s="12" customFormat="1" x14ac:dyDescent="0.25"/>
    <row r="279478" s="12" customFormat="1" x14ac:dyDescent="0.25"/>
    <row r="279479" s="12" customFormat="1" x14ac:dyDescent="0.25"/>
    <row r="279480" s="12" customFormat="1" x14ac:dyDescent="0.25"/>
    <row r="279481" s="12" customFormat="1" x14ac:dyDescent="0.25"/>
    <row r="279482" s="12" customFormat="1" x14ac:dyDescent="0.25"/>
    <row r="279483" s="12" customFormat="1" x14ac:dyDescent="0.25"/>
    <row r="279484" s="12" customFormat="1" x14ac:dyDescent="0.25"/>
    <row r="279485" s="12" customFormat="1" x14ac:dyDescent="0.25"/>
    <row r="279486" s="12" customFormat="1" x14ac:dyDescent="0.25"/>
    <row r="279487" s="12" customFormat="1" x14ac:dyDescent="0.25"/>
    <row r="279488" s="12" customFormat="1" x14ac:dyDescent="0.25"/>
    <row r="279489" s="12" customFormat="1" x14ac:dyDescent="0.25"/>
    <row r="279490" s="12" customFormat="1" x14ac:dyDescent="0.25"/>
    <row r="279491" s="12" customFormat="1" x14ac:dyDescent="0.25"/>
    <row r="279492" s="12" customFormat="1" x14ac:dyDescent="0.25"/>
    <row r="279493" s="12" customFormat="1" x14ac:dyDescent="0.25"/>
    <row r="279494" s="12" customFormat="1" x14ac:dyDescent="0.25"/>
    <row r="279495" s="12" customFormat="1" x14ac:dyDescent="0.25"/>
    <row r="279496" s="12" customFormat="1" x14ac:dyDescent="0.25"/>
    <row r="279497" s="12" customFormat="1" x14ac:dyDescent="0.25"/>
    <row r="279498" s="12" customFormat="1" x14ac:dyDescent="0.25"/>
    <row r="279499" s="12" customFormat="1" x14ac:dyDescent="0.25"/>
    <row r="279500" s="12" customFormat="1" x14ac:dyDescent="0.25"/>
    <row r="279501" s="12" customFormat="1" x14ac:dyDescent="0.25"/>
    <row r="279502" s="12" customFormat="1" x14ac:dyDescent="0.25"/>
    <row r="279503" s="12" customFormat="1" x14ac:dyDescent="0.25"/>
    <row r="279504" s="12" customFormat="1" x14ac:dyDescent="0.25"/>
    <row r="279505" s="12" customFormat="1" x14ac:dyDescent="0.25"/>
    <row r="279506" s="12" customFormat="1" x14ac:dyDescent="0.25"/>
    <row r="279507" s="12" customFormat="1" x14ac:dyDescent="0.25"/>
    <row r="279508" s="12" customFormat="1" x14ac:dyDescent="0.25"/>
    <row r="279509" s="12" customFormat="1" x14ac:dyDescent="0.25"/>
    <row r="279510" s="12" customFormat="1" x14ac:dyDescent="0.25"/>
    <row r="279511" s="12" customFormat="1" x14ac:dyDescent="0.25"/>
    <row r="279512" s="12" customFormat="1" x14ac:dyDescent="0.25"/>
    <row r="279513" s="12" customFormat="1" x14ac:dyDescent="0.25"/>
    <row r="279514" s="12" customFormat="1" x14ac:dyDescent="0.25"/>
    <row r="279515" s="12" customFormat="1" x14ac:dyDescent="0.25"/>
    <row r="279516" s="12" customFormat="1" x14ac:dyDescent="0.25"/>
    <row r="279517" s="12" customFormat="1" x14ac:dyDescent="0.25"/>
    <row r="279518" s="12" customFormat="1" x14ac:dyDescent="0.25"/>
    <row r="279519" s="12" customFormat="1" x14ac:dyDescent="0.25"/>
    <row r="279520" s="12" customFormat="1" x14ac:dyDescent="0.25"/>
    <row r="279521" s="12" customFormat="1" x14ac:dyDescent="0.25"/>
    <row r="279522" s="12" customFormat="1" x14ac:dyDescent="0.25"/>
    <row r="279523" s="12" customFormat="1" x14ac:dyDescent="0.25"/>
    <row r="279524" s="12" customFormat="1" x14ac:dyDescent="0.25"/>
    <row r="279525" s="12" customFormat="1" x14ac:dyDescent="0.25"/>
    <row r="279526" s="12" customFormat="1" x14ac:dyDescent="0.25"/>
    <row r="279527" s="12" customFormat="1" x14ac:dyDescent="0.25"/>
    <row r="279528" s="12" customFormat="1" x14ac:dyDescent="0.25"/>
    <row r="279529" s="12" customFormat="1" x14ac:dyDescent="0.25"/>
    <row r="279530" s="12" customFormat="1" x14ac:dyDescent="0.25"/>
    <row r="279531" s="12" customFormat="1" x14ac:dyDescent="0.25"/>
    <row r="279532" s="12" customFormat="1" x14ac:dyDescent="0.25"/>
    <row r="279533" s="12" customFormat="1" x14ac:dyDescent="0.25"/>
    <row r="279534" s="12" customFormat="1" x14ac:dyDescent="0.25"/>
    <row r="279535" s="12" customFormat="1" x14ac:dyDescent="0.25"/>
    <row r="279536" s="12" customFormat="1" x14ac:dyDescent="0.25"/>
    <row r="279537" s="12" customFormat="1" x14ac:dyDescent="0.25"/>
    <row r="279538" s="12" customFormat="1" x14ac:dyDescent="0.25"/>
    <row r="279539" s="12" customFormat="1" x14ac:dyDescent="0.25"/>
    <row r="279540" s="12" customFormat="1" x14ac:dyDescent="0.25"/>
    <row r="279541" s="12" customFormat="1" x14ac:dyDescent="0.25"/>
    <row r="279542" s="12" customFormat="1" x14ac:dyDescent="0.25"/>
    <row r="279543" s="12" customFormat="1" x14ac:dyDescent="0.25"/>
    <row r="279544" s="12" customFormat="1" x14ac:dyDescent="0.25"/>
    <row r="279545" s="12" customFormat="1" x14ac:dyDescent="0.25"/>
    <row r="279546" s="12" customFormat="1" x14ac:dyDescent="0.25"/>
    <row r="279547" s="12" customFormat="1" x14ac:dyDescent="0.25"/>
    <row r="279548" s="12" customFormat="1" x14ac:dyDescent="0.25"/>
    <row r="279549" s="12" customFormat="1" x14ac:dyDescent="0.25"/>
    <row r="279550" s="12" customFormat="1" x14ac:dyDescent="0.25"/>
    <row r="279551" s="12" customFormat="1" x14ac:dyDescent="0.25"/>
    <row r="279552" s="12" customFormat="1" x14ac:dyDescent="0.25"/>
    <row r="279553" s="12" customFormat="1" x14ac:dyDescent="0.25"/>
    <row r="279554" s="12" customFormat="1" x14ac:dyDescent="0.25"/>
    <row r="279555" s="12" customFormat="1" x14ac:dyDescent="0.25"/>
    <row r="279556" s="12" customFormat="1" x14ac:dyDescent="0.25"/>
    <row r="279557" s="12" customFormat="1" x14ac:dyDescent="0.25"/>
    <row r="279558" s="12" customFormat="1" x14ac:dyDescent="0.25"/>
    <row r="279559" s="12" customFormat="1" x14ac:dyDescent="0.25"/>
    <row r="279560" s="12" customFormat="1" x14ac:dyDescent="0.25"/>
    <row r="279561" s="12" customFormat="1" x14ac:dyDescent="0.25"/>
    <row r="279562" s="12" customFormat="1" x14ac:dyDescent="0.25"/>
    <row r="279563" s="12" customFormat="1" x14ac:dyDescent="0.25"/>
    <row r="279564" s="12" customFormat="1" x14ac:dyDescent="0.25"/>
    <row r="279565" s="12" customFormat="1" x14ac:dyDescent="0.25"/>
    <row r="279566" s="12" customFormat="1" x14ac:dyDescent="0.25"/>
    <row r="279567" s="12" customFormat="1" x14ac:dyDescent="0.25"/>
    <row r="279568" s="12" customFormat="1" x14ac:dyDescent="0.25"/>
    <row r="279569" s="12" customFormat="1" x14ac:dyDescent="0.25"/>
    <row r="279570" s="12" customFormat="1" x14ac:dyDescent="0.25"/>
    <row r="279571" s="12" customFormat="1" x14ac:dyDescent="0.25"/>
    <row r="279572" s="12" customFormat="1" x14ac:dyDescent="0.25"/>
    <row r="279573" s="12" customFormat="1" x14ac:dyDescent="0.25"/>
    <row r="279574" s="12" customFormat="1" x14ac:dyDescent="0.25"/>
    <row r="279575" s="12" customFormat="1" x14ac:dyDescent="0.25"/>
    <row r="279576" s="12" customFormat="1" x14ac:dyDescent="0.25"/>
    <row r="279577" s="12" customFormat="1" x14ac:dyDescent="0.25"/>
    <row r="279578" s="12" customFormat="1" x14ac:dyDescent="0.25"/>
    <row r="279579" s="12" customFormat="1" x14ac:dyDescent="0.25"/>
    <row r="279580" s="12" customFormat="1" x14ac:dyDescent="0.25"/>
    <row r="279581" s="12" customFormat="1" x14ac:dyDescent="0.25"/>
    <row r="279582" s="12" customFormat="1" x14ac:dyDescent="0.25"/>
    <row r="279583" s="12" customFormat="1" x14ac:dyDescent="0.25"/>
    <row r="279584" s="12" customFormat="1" x14ac:dyDescent="0.25"/>
    <row r="279585" s="12" customFormat="1" x14ac:dyDescent="0.25"/>
    <row r="279586" s="12" customFormat="1" x14ac:dyDescent="0.25"/>
    <row r="279587" s="12" customFormat="1" x14ac:dyDescent="0.25"/>
    <row r="279588" s="12" customFormat="1" x14ac:dyDescent="0.25"/>
    <row r="279589" s="12" customFormat="1" x14ac:dyDescent="0.25"/>
    <row r="279590" s="12" customFormat="1" x14ac:dyDescent="0.25"/>
    <row r="279591" s="12" customFormat="1" x14ac:dyDescent="0.25"/>
    <row r="279592" s="12" customFormat="1" x14ac:dyDescent="0.25"/>
    <row r="279593" s="12" customFormat="1" x14ac:dyDescent="0.25"/>
    <row r="279594" s="12" customFormat="1" x14ac:dyDescent="0.25"/>
    <row r="279595" s="12" customFormat="1" x14ac:dyDescent="0.25"/>
    <row r="279596" s="12" customFormat="1" x14ac:dyDescent="0.25"/>
    <row r="279597" s="12" customFormat="1" x14ac:dyDescent="0.25"/>
    <row r="279598" s="12" customFormat="1" x14ac:dyDescent="0.25"/>
    <row r="279599" s="12" customFormat="1" x14ac:dyDescent="0.25"/>
    <row r="279600" s="12" customFormat="1" x14ac:dyDescent="0.25"/>
    <row r="279601" s="12" customFormat="1" x14ac:dyDescent="0.25"/>
    <row r="279602" s="12" customFormat="1" x14ac:dyDescent="0.25"/>
    <row r="279603" s="12" customFormat="1" x14ac:dyDescent="0.25"/>
    <row r="279604" s="12" customFormat="1" x14ac:dyDescent="0.25"/>
    <row r="279605" s="12" customFormat="1" x14ac:dyDescent="0.25"/>
    <row r="279606" s="12" customFormat="1" x14ac:dyDescent="0.25"/>
    <row r="279607" s="12" customFormat="1" x14ac:dyDescent="0.25"/>
    <row r="279608" s="12" customFormat="1" x14ac:dyDescent="0.25"/>
    <row r="279609" s="12" customFormat="1" x14ac:dyDescent="0.25"/>
    <row r="279610" s="12" customFormat="1" x14ac:dyDescent="0.25"/>
    <row r="279611" s="12" customFormat="1" x14ac:dyDescent="0.25"/>
    <row r="279612" s="12" customFormat="1" x14ac:dyDescent="0.25"/>
    <row r="279613" s="12" customFormat="1" x14ac:dyDescent="0.25"/>
    <row r="279614" s="12" customFormat="1" x14ac:dyDescent="0.25"/>
    <row r="279615" s="12" customFormat="1" x14ac:dyDescent="0.25"/>
    <row r="279616" s="12" customFormat="1" x14ac:dyDescent="0.25"/>
    <row r="279617" s="12" customFormat="1" x14ac:dyDescent="0.25"/>
    <row r="279618" s="12" customFormat="1" x14ac:dyDescent="0.25"/>
    <row r="279619" s="12" customFormat="1" x14ac:dyDescent="0.25"/>
    <row r="279620" s="12" customFormat="1" x14ac:dyDescent="0.25"/>
    <row r="279621" s="12" customFormat="1" x14ac:dyDescent="0.25"/>
    <row r="279622" s="12" customFormat="1" x14ac:dyDescent="0.25"/>
    <row r="279623" s="12" customFormat="1" x14ac:dyDescent="0.25"/>
    <row r="279624" s="12" customFormat="1" x14ac:dyDescent="0.25"/>
    <row r="279625" s="12" customFormat="1" x14ac:dyDescent="0.25"/>
    <row r="279626" s="12" customFormat="1" x14ac:dyDescent="0.25"/>
    <row r="279627" s="12" customFormat="1" x14ac:dyDescent="0.25"/>
    <row r="279628" s="12" customFormat="1" x14ac:dyDescent="0.25"/>
    <row r="279629" s="12" customFormat="1" x14ac:dyDescent="0.25"/>
    <row r="279630" s="12" customFormat="1" x14ac:dyDescent="0.25"/>
    <row r="279631" s="12" customFormat="1" x14ac:dyDescent="0.25"/>
    <row r="279632" s="12" customFormat="1" x14ac:dyDescent="0.25"/>
    <row r="279633" s="12" customFormat="1" x14ac:dyDescent="0.25"/>
    <row r="279634" s="12" customFormat="1" x14ac:dyDescent="0.25"/>
    <row r="279635" s="12" customFormat="1" x14ac:dyDescent="0.25"/>
    <row r="279636" s="12" customFormat="1" x14ac:dyDescent="0.25"/>
    <row r="279637" s="12" customFormat="1" x14ac:dyDescent="0.25"/>
    <row r="279638" s="12" customFormat="1" x14ac:dyDescent="0.25"/>
    <row r="279639" s="12" customFormat="1" x14ac:dyDescent="0.25"/>
    <row r="279640" s="12" customFormat="1" x14ac:dyDescent="0.25"/>
    <row r="279641" s="12" customFormat="1" x14ac:dyDescent="0.25"/>
    <row r="279642" s="12" customFormat="1" x14ac:dyDescent="0.25"/>
    <row r="279643" s="12" customFormat="1" x14ac:dyDescent="0.25"/>
    <row r="279644" s="12" customFormat="1" x14ac:dyDescent="0.25"/>
    <row r="279645" s="12" customFormat="1" x14ac:dyDescent="0.25"/>
    <row r="279646" s="12" customFormat="1" x14ac:dyDescent="0.25"/>
    <row r="279647" s="12" customFormat="1" x14ac:dyDescent="0.25"/>
    <row r="279648" s="12" customFormat="1" x14ac:dyDescent="0.25"/>
    <row r="279649" s="12" customFormat="1" x14ac:dyDescent="0.25"/>
    <row r="279650" s="12" customFormat="1" x14ac:dyDescent="0.25"/>
    <row r="279651" s="12" customFormat="1" x14ac:dyDescent="0.25"/>
    <row r="279652" s="12" customFormat="1" x14ac:dyDescent="0.25"/>
    <row r="279653" s="12" customFormat="1" x14ac:dyDescent="0.25"/>
    <row r="279654" s="12" customFormat="1" x14ac:dyDescent="0.25"/>
    <row r="279655" s="12" customFormat="1" x14ac:dyDescent="0.25"/>
    <row r="279656" s="12" customFormat="1" x14ac:dyDescent="0.25"/>
    <row r="279657" s="12" customFormat="1" x14ac:dyDescent="0.25"/>
    <row r="279658" s="12" customFormat="1" x14ac:dyDescent="0.25"/>
    <row r="279659" s="12" customFormat="1" x14ac:dyDescent="0.25"/>
    <row r="279660" s="12" customFormat="1" x14ac:dyDescent="0.25"/>
    <row r="279661" s="12" customFormat="1" x14ac:dyDescent="0.25"/>
    <row r="279662" s="12" customFormat="1" x14ac:dyDescent="0.25"/>
    <row r="279663" s="12" customFormat="1" x14ac:dyDescent="0.25"/>
    <row r="279664" s="12" customFormat="1" x14ac:dyDescent="0.25"/>
    <row r="279665" s="12" customFormat="1" x14ac:dyDescent="0.25"/>
    <row r="279666" s="12" customFormat="1" x14ac:dyDescent="0.25"/>
    <row r="279667" s="12" customFormat="1" x14ac:dyDescent="0.25"/>
    <row r="279668" s="12" customFormat="1" x14ac:dyDescent="0.25"/>
    <row r="279669" s="12" customFormat="1" x14ac:dyDescent="0.25"/>
    <row r="279670" s="12" customFormat="1" x14ac:dyDescent="0.25"/>
    <row r="279671" s="12" customFormat="1" x14ac:dyDescent="0.25"/>
    <row r="279672" s="12" customFormat="1" x14ac:dyDescent="0.25"/>
    <row r="279673" s="12" customFormat="1" x14ac:dyDescent="0.25"/>
    <row r="279674" s="12" customFormat="1" x14ac:dyDescent="0.25"/>
    <row r="279675" s="12" customFormat="1" x14ac:dyDescent="0.25"/>
    <row r="279676" s="12" customFormat="1" x14ac:dyDescent="0.25"/>
    <row r="279677" s="12" customFormat="1" x14ac:dyDescent="0.25"/>
    <row r="279678" s="12" customFormat="1" x14ac:dyDescent="0.25"/>
    <row r="279679" s="12" customFormat="1" x14ac:dyDescent="0.25"/>
    <row r="279680" s="12" customFormat="1" x14ac:dyDescent="0.25"/>
    <row r="279681" s="12" customFormat="1" x14ac:dyDescent="0.25"/>
    <row r="279682" s="12" customFormat="1" x14ac:dyDescent="0.25"/>
    <row r="279683" s="12" customFormat="1" x14ac:dyDescent="0.25"/>
    <row r="279684" s="12" customFormat="1" x14ac:dyDescent="0.25"/>
    <row r="279685" s="12" customFormat="1" x14ac:dyDescent="0.25"/>
    <row r="279686" s="12" customFormat="1" x14ac:dyDescent="0.25"/>
    <row r="279687" s="12" customFormat="1" x14ac:dyDescent="0.25"/>
    <row r="279688" s="12" customFormat="1" x14ac:dyDescent="0.25"/>
    <row r="279689" s="12" customFormat="1" x14ac:dyDescent="0.25"/>
    <row r="279690" s="12" customFormat="1" x14ac:dyDescent="0.25"/>
    <row r="279691" s="12" customFormat="1" x14ac:dyDescent="0.25"/>
    <row r="279692" s="12" customFormat="1" x14ac:dyDescent="0.25"/>
    <row r="279693" s="12" customFormat="1" x14ac:dyDescent="0.25"/>
    <row r="279694" s="12" customFormat="1" x14ac:dyDescent="0.25"/>
    <row r="279695" s="12" customFormat="1" x14ac:dyDescent="0.25"/>
    <row r="279696" s="12" customFormat="1" x14ac:dyDescent="0.25"/>
    <row r="279697" s="12" customFormat="1" x14ac:dyDescent="0.25"/>
    <row r="279698" s="12" customFormat="1" x14ac:dyDescent="0.25"/>
    <row r="279699" s="12" customFormat="1" x14ac:dyDescent="0.25"/>
    <row r="279700" s="12" customFormat="1" x14ac:dyDescent="0.25"/>
    <row r="279701" s="12" customFormat="1" x14ac:dyDescent="0.25"/>
    <row r="279702" s="12" customFormat="1" x14ac:dyDescent="0.25"/>
    <row r="279703" s="12" customFormat="1" x14ac:dyDescent="0.25"/>
    <row r="279704" s="12" customFormat="1" x14ac:dyDescent="0.25"/>
    <row r="279705" s="12" customFormat="1" x14ac:dyDescent="0.25"/>
    <row r="279706" s="12" customFormat="1" x14ac:dyDescent="0.25"/>
    <row r="279707" s="12" customFormat="1" x14ac:dyDescent="0.25"/>
    <row r="279708" s="12" customFormat="1" x14ac:dyDescent="0.25"/>
    <row r="279709" s="12" customFormat="1" x14ac:dyDescent="0.25"/>
    <row r="279710" s="12" customFormat="1" x14ac:dyDescent="0.25"/>
    <row r="279711" s="12" customFormat="1" x14ac:dyDescent="0.25"/>
    <row r="279712" s="12" customFormat="1" x14ac:dyDescent="0.25"/>
    <row r="279713" s="12" customFormat="1" x14ac:dyDescent="0.25"/>
    <row r="279714" s="12" customFormat="1" x14ac:dyDescent="0.25"/>
    <row r="279715" s="12" customFormat="1" x14ac:dyDescent="0.25"/>
    <row r="279716" s="12" customFormat="1" x14ac:dyDescent="0.25"/>
    <row r="279717" s="12" customFormat="1" x14ac:dyDescent="0.25"/>
    <row r="279718" s="12" customFormat="1" x14ac:dyDescent="0.25"/>
    <row r="279719" s="12" customFormat="1" x14ac:dyDescent="0.25"/>
    <row r="279720" s="12" customFormat="1" x14ac:dyDescent="0.25"/>
    <row r="279721" s="12" customFormat="1" x14ac:dyDescent="0.25"/>
    <row r="279722" s="12" customFormat="1" x14ac:dyDescent="0.25"/>
    <row r="279723" s="12" customFormat="1" x14ac:dyDescent="0.25"/>
    <row r="279724" s="12" customFormat="1" x14ac:dyDescent="0.25"/>
    <row r="279725" s="12" customFormat="1" x14ac:dyDescent="0.25"/>
    <row r="279726" s="12" customFormat="1" x14ac:dyDescent="0.25"/>
    <row r="279727" s="12" customFormat="1" x14ac:dyDescent="0.25"/>
    <row r="279728" s="12" customFormat="1" x14ac:dyDescent="0.25"/>
    <row r="279729" s="12" customFormat="1" x14ac:dyDescent="0.25"/>
    <row r="279730" s="12" customFormat="1" x14ac:dyDescent="0.25"/>
    <row r="279731" s="12" customFormat="1" x14ac:dyDescent="0.25"/>
    <row r="279732" s="12" customFormat="1" x14ac:dyDescent="0.25"/>
    <row r="279733" s="12" customFormat="1" x14ac:dyDescent="0.25"/>
    <row r="279734" s="12" customFormat="1" x14ac:dyDescent="0.25"/>
    <row r="279735" s="12" customFormat="1" x14ac:dyDescent="0.25"/>
    <row r="279736" s="12" customFormat="1" x14ac:dyDescent="0.25"/>
    <row r="279737" s="12" customFormat="1" x14ac:dyDescent="0.25"/>
    <row r="279738" s="12" customFormat="1" x14ac:dyDescent="0.25"/>
    <row r="279739" s="12" customFormat="1" x14ac:dyDescent="0.25"/>
    <row r="279740" s="12" customFormat="1" x14ac:dyDescent="0.25"/>
    <row r="279741" s="12" customFormat="1" x14ac:dyDescent="0.25"/>
    <row r="279742" s="12" customFormat="1" x14ac:dyDescent="0.25"/>
    <row r="279743" s="12" customFormat="1" x14ac:dyDescent="0.25"/>
    <row r="279744" s="12" customFormat="1" x14ac:dyDescent="0.25"/>
    <row r="279745" s="12" customFormat="1" x14ac:dyDescent="0.25"/>
    <row r="279746" s="12" customFormat="1" x14ac:dyDescent="0.25"/>
    <row r="279747" s="12" customFormat="1" x14ac:dyDescent="0.25"/>
    <row r="279748" s="12" customFormat="1" x14ac:dyDescent="0.25"/>
    <row r="279749" s="12" customFormat="1" x14ac:dyDescent="0.25"/>
    <row r="279750" s="12" customFormat="1" x14ac:dyDescent="0.25"/>
    <row r="279751" s="12" customFormat="1" x14ac:dyDescent="0.25"/>
    <row r="279752" s="12" customFormat="1" x14ac:dyDescent="0.25"/>
    <row r="279753" s="12" customFormat="1" x14ac:dyDescent="0.25"/>
    <row r="279754" s="12" customFormat="1" x14ac:dyDescent="0.25"/>
    <row r="279755" s="12" customFormat="1" x14ac:dyDescent="0.25"/>
    <row r="279756" s="12" customFormat="1" x14ac:dyDescent="0.25"/>
    <row r="279757" s="12" customFormat="1" x14ac:dyDescent="0.25"/>
    <row r="279758" s="12" customFormat="1" x14ac:dyDescent="0.25"/>
    <row r="279759" s="12" customFormat="1" x14ac:dyDescent="0.25"/>
    <row r="279760" s="12" customFormat="1" x14ac:dyDescent="0.25"/>
    <row r="279761" s="12" customFormat="1" x14ac:dyDescent="0.25"/>
    <row r="279762" s="12" customFormat="1" x14ac:dyDescent="0.25"/>
    <row r="279763" s="12" customFormat="1" x14ac:dyDescent="0.25"/>
    <row r="279764" s="12" customFormat="1" x14ac:dyDescent="0.25"/>
    <row r="279765" s="12" customFormat="1" x14ac:dyDescent="0.25"/>
    <row r="279766" s="12" customFormat="1" x14ac:dyDescent="0.25"/>
    <row r="279767" s="12" customFormat="1" x14ac:dyDescent="0.25"/>
    <row r="279768" s="12" customFormat="1" x14ac:dyDescent="0.25"/>
    <row r="279769" s="12" customFormat="1" x14ac:dyDescent="0.25"/>
    <row r="279770" s="12" customFormat="1" x14ac:dyDescent="0.25"/>
    <row r="279771" s="12" customFormat="1" x14ac:dyDescent="0.25"/>
    <row r="279772" s="12" customFormat="1" x14ac:dyDescent="0.25"/>
    <row r="279773" s="12" customFormat="1" x14ac:dyDescent="0.25"/>
    <row r="279774" s="12" customFormat="1" x14ac:dyDescent="0.25"/>
    <row r="279775" s="12" customFormat="1" x14ac:dyDescent="0.25"/>
    <row r="279776" s="12" customFormat="1" x14ac:dyDescent="0.25"/>
    <row r="279777" s="12" customFormat="1" x14ac:dyDescent="0.25"/>
    <row r="279778" s="12" customFormat="1" x14ac:dyDescent="0.25"/>
    <row r="279779" s="12" customFormat="1" x14ac:dyDescent="0.25"/>
    <row r="279780" s="12" customFormat="1" x14ac:dyDescent="0.25"/>
    <row r="279781" s="12" customFormat="1" x14ac:dyDescent="0.25"/>
    <row r="279782" s="12" customFormat="1" x14ac:dyDescent="0.25"/>
    <row r="279783" s="12" customFormat="1" x14ac:dyDescent="0.25"/>
    <row r="279784" s="12" customFormat="1" x14ac:dyDescent="0.25"/>
    <row r="279785" s="12" customFormat="1" x14ac:dyDescent="0.25"/>
    <row r="279786" s="12" customFormat="1" x14ac:dyDescent="0.25"/>
    <row r="279787" s="12" customFormat="1" x14ac:dyDescent="0.25"/>
    <row r="279788" s="12" customFormat="1" x14ac:dyDescent="0.25"/>
    <row r="279789" s="12" customFormat="1" x14ac:dyDescent="0.25"/>
    <row r="279790" s="12" customFormat="1" x14ac:dyDescent="0.25"/>
    <row r="279791" s="12" customFormat="1" x14ac:dyDescent="0.25"/>
    <row r="279792" s="12" customFormat="1" x14ac:dyDescent="0.25"/>
    <row r="279793" s="12" customFormat="1" x14ac:dyDescent="0.25"/>
    <row r="279794" s="12" customFormat="1" x14ac:dyDescent="0.25"/>
    <row r="279795" s="12" customFormat="1" x14ac:dyDescent="0.25"/>
    <row r="279796" s="12" customFormat="1" x14ac:dyDescent="0.25"/>
    <row r="279797" s="12" customFormat="1" x14ac:dyDescent="0.25"/>
    <row r="279798" s="12" customFormat="1" x14ac:dyDescent="0.25"/>
    <row r="279799" s="12" customFormat="1" x14ac:dyDescent="0.25"/>
    <row r="279800" s="12" customFormat="1" x14ac:dyDescent="0.25"/>
    <row r="279801" s="12" customFormat="1" x14ac:dyDescent="0.25"/>
    <row r="279802" s="12" customFormat="1" x14ac:dyDescent="0.25"/>
    <row r="279803" s="12" customFormat="1" x14ac:dyDescent="0.25"/>
    <row r="279804" s="12" customFormat="1" x14ac:dyDescent="0.25"/>
    <row r="279805" s="12" customFormat="1" x14ac:dyDescent="0.25"/>
    <row r="279806" s="12" customFormat="1" x14ac:dyDescent="0.25"/>
    <row r="279807" s="12" customFormat="1" x14ac:dyDescent="0.25"/>
    <row r="279808" s="12" customFormat="1" x14ac:dyDescent="0.25"/>
    <row r="279809" s="12" customFormat="1" x14ac:dyDescent="0.25"/>
    <row r="279810" s="12" customFormat="1" x14ac:dyDescent="0.25"/>
    <row r="279811" s="12" customFormat="1" x14ac:dyDescent="0.25"/>
    <row r="279812" s="12" customFormat="1" x14ac:dyDescent="0.25"/>
    <row r="279813" s="12" customFormat="1" x14ac:dyDescent="0.25"/>
    <row r="279814" s="12" customFormat="1" x14ac:dyDescent="0.25"/>
    <row r="279815" s="12" customFormat="1" x14ac:dyDescent="0.25"/>
    <row r="279816" s="12" customFormat="1" x14ac:dyDescent="0.25"/>
    <row r="279817" s="12" customFormat="1" x14ac:dyDescent="0.25"/>
    <row r="279818" s="12" customFormat="1" x14ac:dyDescent="0.25"/>
    <row r="279819" s="12" customFormat="1" x14ac:dyDescent="0.25"/>
    <row r="279820" s="12" customFormat="1" x14ac:dyDescent="0.25"/>
    <row r="279821" s="12" customFormat="1" x14ac:dyDescent="0.25"/>
    <row r="279822" s="12" customFormat="1" x14ac:dyDescent="0.25"/>
    <row r="279823" s="12" customFormat="1" x14ac:dyDescent="0.25"/>
    <row r="279824" s="12" customFormat="1" x14ac:dyDescent="0.25"/>
    <row r="279825" s="12" customFormat="1" x14ac:dyDescent="0.25"/>
    <row r="279826" s="12" customFormat="1" x14ac:dyDescent="0.25"/>
    <row r="279827" s="12" customFormat="1" x14ac:dyDescent="0.25"/>
    <row r="279828" s="12" customFormat="1" x14ac:dyDescent="0.25"/>
    <row r="279829" s="12" customFormat="1" x14ac:dyDescent="0.25"/>
    <row r="279830" s="12" customFormat="1" x14ac:dyDescent="0.25"/>
    <row r="279831" s="12" customFormat="1" x14ac:dyDescent="0.25"/>
    <row r="279832" s="12" customFormat="1" x14ac:dyDescent="0.25"/>
    <row r="279833" s="12" customFormat="1" x14ac:dyDescent="0.25"/>
    <row r="279834" s="12" customFormat="1" x14ac:dyDescent="0.25"/>
    <row r="279835" s="12" customFormat="1" x14ac:dyDescent="0.25"/>
    <row r="279836" s="12" customFormat="1" x14ac:dyDescent="0.25"/>
    <row r="279837" s="12" customFormat="1" x14ac:dyDescent="0.25"/>
    <row r="279838" s="12" customFormat="1" x14ac:dyDescent="0.25"/>
    <row r="279839" s="12" customFormat="1" x14ac:dyDescent="0.25"/>
    <row r="279840" s="12" customFormat="1" x14ac:dyDescent="0.25"/>
    <row r="279841" s="12" customFormat="1" x14ac:dyDescent="0.25"/>
    <row r="279842" s="12" customFormat="1" x14ac:dyDescent="0.25"/>
    <row r="279843" s="12" customFormat="1" x14ac:dyDescent="0.25"/>
    <row r="279844" s="12" customFormat="1" x14ac:dyDescent="0.25"/>
    <row r="279845" s="12" customFormat="1" x14ac:dyDescent="0.25"/>
    <row r="279846" s="12" customFormat="1" x14ac:dyDescent="0.25"/>
    <row r="279847" s="12" customFormat="1" x14ac:dyDescent="0.25"/>
    <row r="279848" s="12" customFormat="1" x14ac:dyDescent="0.25"/>
    <row r="279849" s="12" customFormat="1" x14ac:dyDescent="0.25"/>
    <row r="279850" s="12" customFormat="1" x14ac:dyDescent="0.25"/>
    <row r="279851" s="12" customFormat="1" x14ac:dyDescent="0.25"/>
    <row r="279852" s="12" customFormat="1" x14ac:dyDescent="0.25"/>
    <row r="279853" s="12" customFormat="1" x14ac:dyDescent="0.25"/>
    <row r="279854" s="12" customFormat="1" x14ac:dyDescent="0.25"/>
    <row r="279855" s="12" customFormat="1" x14ac:dyDescent="0.25"/>
    <row r="279856" s="12" customFormat="1" x14ac:dyDescent="0.25"/>
    <row r="279857" s="12" customFormat="1" x14ac:dyDescent="0.25"/>
    <row r="279858" s="12" customFormat="1" x14ac:dyDescent="0.25"/>
    <row r="279859" s="12" customFormat="1" x14ac:dyDescent="0.25"/>
    <row r="279860" s="12" customFormat="1" x14ac:dyDescent="0.25"/>
    <row r="279861" s="12" customFormat="1" x14ac:dyDescent="0.25"/>
    <row r="279862" s="12" customFormat="1" x14ac:dyDescent="0.25"/>
    <row r="279863" s="12" customFormat="1" x14ac:dyDescent="0.25"/>
    <row r="279864" s="12" customFormat="1" x14ac:dyDescent="0.25"/>
    <row r="279865" s="12" customFormat="1" x14ac:dyDescent="0.25"/>
    <row r="279866" s="12" customFormat="1" x14ac:dyDescent="0.25"/>
    <row r="279867" s="12" customFormat="1" x14ac:dyDescent="0.25"/>
    <row r="279868" s="12" customFormat="1" x14ac:dyDescent="0.25"/>
    <row r="279869" s="12" customFormat="1" x14ac:dyDescent="0.25"/>
    <row r="279870" s="12" customFormat="1" x14ac:dyDescent="0.25"/>
    <row r="279871" s="12" customFormat="1" x14ac:dyDescent="0.25"/>
    <row r="279872" s="12" customFormat="1" x14ac:dyDescent="0.25"/>
    <row r="279873" s="12" customFormat="1" x14ac:dyDescent="0.25"/>
    <row r="279874" s="12" customFormat="1" x14ac:dyDescent="0.25"/>
    <row r="279875" s="12" customFormat="1" x14ac:dyDescent="0.25"/>
    <row r="279876" s="12" customFormat="1" x14ac:dyDescent="0.25"/>
    <row r="279877" s="12" customFormat="1" x14ac:dyDescent="0.25"/>
    <row r="279878" s="12" customFormat="1" x14ac:dyDescent="0.25"/>
    <row r="279879" s="12" customFormat="1" x14ac:dyDescent="0.25"/>
    <row r="279880" s="12" customFormat="1" x14ac:dyDescent="0.25"/>
    <row r="279881" s="12" customFormat="1" x14ac:dyDescent="0.25"/>
    <row r="279882" s="12" customFormat="1" x14ac:dyDescent="0.25"/>
    <row r="279883" s="12" customFormat="1" x14ac:dyDescent="0.25"/>
    <row r="279884" s="12" customFormat="1" x14ac:dyDescent="0.25"/>
    <row r="279885" s="12" customFormat="1" x14ac:dyDescent="0.25"/>
    <row r="279886" s="12" customFormat="1" x14ac:dyDescent="0.25"/>
    <row r="279887" s="12" customFormat="1" x14ac:dyDescent="0.25"/>
    <row r="279888" s="12" customFormat="1" x14ac:dyDescent="0.25"/>
    <row r="279889" s="12" customFormat="1" x14ac:dyDescent="0.25"/>
    <row r="279890" s="12" customFormat="1" x14ac:dyDescent="0.25"/>
    <row r="279891" s="12" customFormat="1" x14ac:dyDescent="0.25"/>
    <row r="279892" s="12" customFormat="1" x14ac:dyDescent="0.25"/>
    <row r="279893" s="12" customFormat="1" x14ac:dyDescent="0.25"/>
    <row r="279894" s="12" customFormat="1" x14ac:dyDescent="0.25"/>
    <row r="279895" s="12" customFormat="1" x14ac:dyDescent="0.25"/>
    <row r="279896" s="12" customFormat="1" x14ac:dyDescent="0.25"/>
    <row r="279897" s="12" customFormat="1" x14ac:dyDescent="0.25"/>
    <row r="279898" s="12" customFormat="1" x14ac:dyDescent="0.25"/>
    <row r="279899" s="12" customFormat="1" x14ac:dyDescent="0.25"/>
    <row r="279900" s="12" customFormat="1" x14ac:dyDescent="0.25"/>
    <row r="279901" s="12" customFormat="1" x14ac:dyDescent="0.25"/>
    <row r="279902" s="12" customFormat="1" x14ac:dyDescent="0.25"/>
    <row r="279903" s="12" customFormat="1" x14ac:dyDescent="0.25"/>
    <row r="279904" s="12" customFormat="1" x14ac:dyDescent="0.25"/>
    <row r="279905" s="12" customFormat="1" x14ac:dyDescent="0.25"/>
    <row r="279906" s="12" customFormat="1" x14ac:dyDescent="0.25"/>
    <row r="279907" s="12" customFormat="1" x14ac:dyDescent="0.25"/>
    <row r="279908" s="12" customFormat="1" x14ac:dyDescent="0.25"/>
    <row r="279909" s="12" customFormat="1" x14ac:dyDescent="0.25"/>
    <row r="279910" s="12" customFormat="1" x14ac:dyDescent="0.25"/>
    <row r="279911" s="12" customFormat="1" x14ac:dyDescent="0.25"/>
    <row r="279912" s="12" customFormat="1" x14ac:dyDescent="0.25"/>
    <row r="279913" s="12" customFormat="1" x14ac:dyDescent="0.25"/>
    <row r="279914" s="12" customFormat="1" x14ac:dyDescent="0.25"/>
    <row r="279915" s="12" customFormat="1" x14ac:dyDescent="0.25"/>
    <row r="279916" s="12" customFormat="1" x14ac:dyDescent="0.25"/>
    <row r="279917" s="12" customFormat="1" x14ac:dyDescent="0.25"/>
    <row r="279918" s="12" customFormat="1" x14ac:dyDescent="0.25"/>
    <row r="279919" s="12" customFormat="1" x14ac:dyDescent="0.25"/>
    <row r="279920" s="12" customFormat="1" x14ac:dyDescent="0.25"/>
    <row r="279921" s="12" customFormat="1" x14ac:dyDescent="0.25"/>
    <row r="279922" s="12" customFormat="1" x14ac:dyDescent="0.25"/>
    <row r="279923" s="12" customFormat="1" x14ac:dyDescent="0.25"/>
    <row r="279924" s="12" customFormat="1" x14ac:dyDescent="0.25"/>
    <row r="279925" s="12" customFormat="1" x14ac:dyDescent="0.25"/>
    <row r="279926" s="12" customFormat="1" x14ac:dyDescent="0.25"/>
    <row r="279927" s="12" customFormat="1" x14ac:dyDescent="0.25"/>
    <row r="279928" s="12" customFormat="1" x14ac:dyDescent="0.25"/>
    <row r="279929" s="12" customFormat="1" x14ac:dyDescent="0.25"/>
    <row r="279930" s="12" customFormat="1" x14ac:dyDescent="0.25"/>
    <row r="279931" s="12" customFormat="1" x14ac:dyDescent="0.25"/>
    <row r="279932" s="12" customFormat="1" x14ac:dyDescent="0.25"/>
    <row r="279933" s="12" customFormat="1" x14ac:dyDescent="0.25"/>
    <row r="279934" s="12" customFormat="1" x14ac:dyDescent="0.25"/>
    <row r="279935" s="12" customFormat="1" x14ac:dyDescent="0.25"/>
    <row r="279936" s="12" customFormat="1" x14ac:dyDescent="0.25"/>
    <row r="279937" s="12" customFormat="1" x14ac:dyDescent="0.25"/>
    <row r="279938" s="12" customFormat="1" x14ac:dyDescent="0.25"/>
    <row r="279939" s="12" customFormat="1" x14ac:dyDescent="0.25"/>
    <row r="279940" s="12" customFormat="1" x14ac:dyDescent="0.25"/>
    <row r="279941" s="12" customFormat="1" x14ac:dyDescent="0.25"/>
    <row r="279942" s="12" customFormat="1" x14ac:dyDescent="0.25"/>
    <row r="279943" s="12" customFormat="1" x14ac:dyDescent="0.25"/>
    <row r="279944" s="12" customFormat="1" x14ac:dyDescent="0.25"/>
    <row r="279945" s="12" customFormat="1" x14ac:dyDescent="0.25"/>
    <row r="279946" s="12" customFormat="1" x14ac:dyDescent="0.25"/>
    <row r="279947" s="12" customFormat="1" x14ac:dyDescent="0.25"/>
    <row r="279948" s="12" customFormat="1" x14ac:dyDescent="0.25"/>
    <row r="279949" s="12" customFormat="1" x14ac:dyDescent="0.25"/>
    <row r="279950" s="12" customFormat="1" x14ac:dyDescent="0.25"/>
    <row r="279951" s="12" customFormat="1" x14ac:dyDescent="0.25"/>
    <row r="279952" s="12" customFormat="1" x14ac:dyDescent="0.25"/>
    <row r="279953" s="12" customFormat="1" x14ac:dyDescent="0.25"/>
    <row r="279954" s="12" customFormat="1" x14ac:dyDescent="0.25"/>
    <row r="279955" s="12" customFormat="1" x14ac:dyDescent="0.25"/>
    <row r="279956" s="12" customFormat="1" x14ac:dyDescent="0.25"/>
    <row r="279957" s="12" customFormat="1" x14ac:dyDescent="0.25"/>
    <row r="279958" s="12" customFormat="1" x14ac:dyDescent="0.25"/>
    <row r="279959" s="12" customFormat="1" x14ac:dyDescent="0.25"/>
    <row r="279960" s="12" customFormat="1" x14ac:dyDescent="0.25"/>
    <row r="279961" s="12" customFormat="1" x14ac:dyDescent="0.25"/>
    <row r="279962" s="12" customFormat="1" x14ac:dyDescent="0.25"/>
    <row r="279963" s="12" customFormat="1" x14ac:dyDescent="0.25"/>
    <row r="279964" s="12" customFormat="1" x14ac:dyDescent="0.25"/>
    <row r="279965" s="12" customFormat="1" x14ac:dyDescent="0.25"/>
    <row r="279966" s="12" customFormat="1" x14ac:dyDescent="0.25"/>
    <row r="279967" s="12" customFormat="1" x14ac:dyDescent="0.25"/>
    <row r="279968" s="12" customFormat="1" x14ac:dyDescent="0.25"/>
    <row r="279969" s="12" customFormat="1" x14ac:dyDescent="0.25"/>
    <row r="279970" s="12" customFormat="1" x14ac:dyDescent="0.25"/>
    <row r="279971" s="12" customFormat="1" x14ac:dyDescent="0.25"/>
    <row r="279972" s="12" customFormat="1" x14ac:dyDescent="0.25"/>
    <row r="279973" s="12" customFormat="1" x14ac:dyDescent="0.25"/>
    <row r="279974" s="12" customFormat="1" x14ac:dyDescent="0.25"/>
    <row r="279975" s="12" customFormat="1" x14ac:dyDescent="0.25"/>
    <row r="279976" s="12" customFormat="1" x14ac:dyDescent="0.25"/>
    <row r="279977" s="12" customFormat="1" x14ac:dyDescent="0.25"/>
    <row r="279978" s="12" customFormat="1" x14ac:dyDescent="0.25"/>
    <row r="279979" s="12" customFormat="1" x14ac:dyDescent="0.25"/>
    <row r="279980" s="12" customFormat="1" x14ac:dyDescent="0.25"/>
    <row r="279981" s="12" customFormat="1" x14ac:dyDescent="0.25"/>
    <row r="279982" s="12" customFormat="1" x14ac:dyDescent="0.25"/>
    <row r="279983" s="12" customFormat="1" x14ac:dyDescent="0.25"/>
    <row r="279984" s="12" customFormat="1" x14ac:dyDescent="0.25"/>
    <row r="279985" s="12" customFormat="1" x14ac:dyDescent="0.25"/>
    <row r="279986" s="12" customFormat="1" x14ac:dyDescent="0.25"/>
    <row r="279987" s="12" customFormat="1" x14ac:dyDescent="0.25"/>
    <row r="279988" s="12" customFormat="1" x14ac:dyDescent="0.25"/>
    <row r="279989" s="12" customFormat="1" x14ac:dyDescent="0.25"/>
    <row r="279990" s="12" customFormat="1" x14ac:dyDescent="0.25"/>
    <row r="279991" s="12" customFormat="1" x14ac:dyDescent="0.25"/>
    <row r="279992" s="12" customFormat="1" x14ac:dyDescent="0.25"/>
    <row r="279993" s="12" customFormat="1" x14ac:dyDescent="0.25"/>
    <row r="279994" s="12" customFormat="1" x14ac:dyDescent="0.25"/>
    <row r="279995" s="12" customFormat="1" x14ac:dyDescent="0.25"/>
    <row r="279996" s="12" customFormat="1" x14ac:dyDescent="0.25"/>
    <row r="279997" s="12" customFormat="1" x14ac:dyDescent="0.25"/>
    <row r="279998" s="12" customFormat="1" x14ac:dyDescent="0.25"/>
    <row r="279999" s="12" customFormat="1" x14ac:dyDescent="0.25"/>
    <row r="280000" s="12" customFormat="1" x14ac:dyDescent="0.25"/>
    <row r="280001" s="12" customFormat="1" x14ac:dyDescent="0.25"/>
    <row r="280002" s="12" customFormat="1" x14ac:dyDescent="0.25"/>
    <row r="280003" s="12" customFormat="1" x14ac:dyDescent="0.25"/>
    <row r="280004" s="12" customFormat="1" x14ac:dyDescent="0.25"/>
    <row r="280005" s="12" customFormat="1" x14ac:dyDescent="0.25"/>
    <row r="280006" s="12" customFormat="1" x14ac:dyDescent="0.25"/>
    <row r="280007" s="12" customFormat="1" x14ac:dyDescent="0.25"/>
    <row r="280008" s="12" customFormat="1" x14ac:dyDescent="0.25"/>
    <row r="280009" s="12" customFormat="1" x14ac:dyDescent="0.25"/>
    <row r="280010" s="12" customFormat="1" x14ac:dyDescent="0.25"/>
    <row r="280011" s="12" customFormat="1" x14ac:dyDescent="0.25"/>
    <row r="280012" s="12" customFormat="1" x14ac:dyDescent="0.25"/>
    <row r="280013" s="12" customFormat="1" x14ac:dyDescent="0.25"/>
    <row r="280014" s="12" customFormat="1" x14ac:dyDescent="0.25"/>
    <row r="280015" s="12" customFormat="1" x14ac:dyDescent="0.25"/>
    <row r="280016" s="12" customFormat="1" x14ac:dyDescent="0.25"/>
    <row r="280017" s="12" customFormat="1" x14ac:dyDescent="0.25"/>
    <row r="280018" s="12" customFormat="1" x14ac:dyDescent="0.25"/>
    <row r="280019" s="12" customFormat="1" x14ac:dyDescent="0.25"/>
    <row r="280020" s="12" customFormat="1" x14ac:dyDescent="0.25"/>
    <row r="280021" s="12" customFormat="1" x14ac:dyDescent="0.25"/>
    <row r="280022" s="12" customFormat="1" x14ac:dyDescent="0.25"/>
    <row r="280023" s="12" customFormat="1" x14ac:dyDescent="0.25"/>
    <row r="280024" s="12" customFormat="1" x14ac:dyDescent="0.25"/>
    <row r="280025" s="12" customFormat="1" x14ac:dyDescent="0.25"/>
    <row r="280026" s="12" customFormat="1" x14ac:dyDescent="0.25"/>
    <row r="280027" s="12" customFormat="1" x14ac:dyDescent="0.25"/>
    <row r="280028" s="12" customFormat="1" x14ac:dyDescent="0.25"/>
    <row r="280029" s="12" customFormat="1" x14ac:dyDescent="0.25"/>
    <row r="280030" s="12" customFormat="1" x14ac:dyDescent="0.25"/>
    <row r="280031" s="12" customFormat="1" x14ac:dyDescent="0.25"/>
    <row r="280032" s="12" customFormat="1" x14ac:dyDescent="0.25"/>
    <row r="280033" s="12" customFormat="1" x14ac:dyDescent="0.25"/>
    <row r="280034" s="12" customFormat="1" x14ac:dyDescent="0.25"/>
    <row r="280035" s="12" customFormat="1" x14ac:dyDescent="0.25"/>
    <row r="280036" s="12" customFormat="1" x14ac:dyDescent="0.25"/>
    <row r="280037" s="12" customFormat="1" x14ac:dyDescent="0.25"/>
    <row r="280038" s="12" customFormat="1" x14ac:dyDescent="0.25"/>
    <row r="280039" s="12" customFormat="1" x14ac:dyDescent="0.25"/>
    <row r="280040" s="12" customFormat="1" x14ac:dyDescent="0.25"/>
    <row r="280041" s="12" customFormat="1" x14ac:dyDescent="0.25"/>
    <row r="280042" s="12" customFormat="1" x14ac:dyDescent="0.25"/>
    <row r="280043" s="12" customFormat="1" x14ac:dyDescent="0.25"/>
    <row r="280044" s="12" customFormat="1" x14ac:dyDescent="0.25"/>
    <row r="280045" s="12" customFormat="1" x14ac:dyDescent="0.25"/>
    <row r="280046" s="12" customFormat="1" x14ac:dyDescent="0.25"/>
    <row r="280047" s="12" customFormat="1" x14ac:dyDescent="0.25"/>
    <row r="280048" s="12" customFormat="1" x14ac:dyDescent="0.25"/>
    <row r="280049" s="12" customFormat="1" x14ac:dyDescent="0.25"/>
    <row r="280050" s="12" customFormat="1" x14ac:dyDescent="0.25"/>
    <row r="280051" s="12" customFormat="1" x14ac:dyDescent="0.25"/>
    <row r="280052" s="12" customFormat="1" x14ac:dyDescent="0.25"/>
    <row r="280053" s="12" customFormat="1" x14ac:dyDescent="0.25"/>
    <row r="280054" s="12" customFormat="1" x14ac:dyDescent="0.25"/>
    <row r="280055" s="12" customFormat="1" x14ac:dyDescent="0.25"/>
    <row r="280056" s="12" customFormat="1" x14ac:dyDescent="0.25"/>
    <row r="280057" s="12" customFormat="1" x14ac:dyDescent="0.25"/>
    <row r="280058" s="12" customFormat="1" x14ac:dyDescent="0.25"/>
    <row r="280059" s="12" customFormat="1" x14ac:dyDescent="0.25"/>
    <row r="280060" s="12" customFormat="1" x14ac:dyDescent="0.25"/>
    <row r="280061" s="12" customFormat="1" x14ac:dyDescent="0.25"/>
    <row r="280062" s="12" customFormat="1" x14ac:dyDescent="0.25"/>
    <row r="280063" s="12" customFormat="1" x14ac:dyDescent="0.25"/>
    <row r="280064" s="12" customFormat="1" x14ac:dyDescent="0.25"/>
    <row r="280065" s="12" customFormat="1" x14ac:dyDescent="0.25"/>
    <row r="280066" s="12" customFormat="1" x14ac:dyDescent="0.25"/>
    <row r="280067" s="12" customFormat="1" x14ac:dyDescent="0.25"/>
    <row r="280068" s="12" customFormat="1" x14ac:dyDescent="0.25"/>
    <row r="280069" s="12" customFormat="1" x14ac:dyDescent="0.25"/>
    <row r="280070" s="12" customFormat="1" x14ac:dyDescent="0.25"/>
    <row r="280071" s="12" customFormat="1" x14ac:dyDescent="0.25"/>
    <row r="280072" s="12" customFormat="1" x14ac:dyDescent="0.25"/>
    <row r="280073" s="12" customFormat="1" x14ac:dyDescent="0.25"/>
    <row r="280074" s="12" customFormat="1" x14ac:dyDescent="0.25"/>
    <row r="280075" s="12" customFormat="1" x14ac:dyDescent="0.25"/>
    <row r="280076" s="12" customFormat="1" x14ac:dyDescent="0.25"/>
    <row r="280077" s="12" customFormat="1" x14ac:dyDescent="0.25"/>
    <row r="280078" s="12" customFormat="1" x14ac:dyDescent="0.25"/>
    <row r="280079" s="12" customFormat="1" x14ac:dyDescent="0.25"/>
    <row r="280080" s="12" customFormat="1" x14ac:dyDescent="0.25"/>
    <row r="280081" s="12" customFormat="1" x14ac:dyDescent="0.25"/>
    <row r="280082" s="12" customFormat="1" x14ac:dyDescent="0.25"/>
    <row r="280083" s="12" customFormat="1" x14ac:dyDescent="0.25"/>
    <row r="280084" s="12" customFormat="1" x14ac:dyDescent="0.25"/>
    <row r="280085" s="12" customFormat="1" x14ac:dyDescent="0.25"/>
    <row r="280086" s="12" customFormat="1" x14ac:dyDescent="0.25"/>
    <row r="280087" s="12" customFormat="1" x14ac:dyDescent="0.25"/>
    <row r="280088" s="12" customFormat="1" x14ac:dyDescent="0.25"/>
    <row r="280089" s="12" customFormat="1" x14ac:dyDescent="0.25"/>
    <row r="280090" s="12" customFormat="1" x14ac:dyDescent="0.25"/>
    <row r="280091" s="12" customFormat="1" x14ac:dyDescent="0.25"/>
    <row r="280092" s="12" customFormat="1" x14ac:dyDescent="0.25"/>
    <row r="280093" s="12" customFormat="1" x14ac:dyDescent="0.25"/>
    <row r="280094" s="12" customFormat="1" x14ac:dyDescent="0.25"/>
    <row r="280095" s="12" customFormat="1" x14ac:dyDescent="0.25"/>
    <row r="280096" s="12" customFormat="1" x14ac:dyDescent="0.25"/>
    <row r="280097" s="12" customFormat="1" x14ac:dyDescent="0.25"/>
    <row r="280098" s="12" customFormat="1" x14ac:dyDescent="0.25"/>
    <row r="280099" s="12" customFormat="1" x14ac:dyDescent="0.25"/>
    <row r="280100" s="12" customFormat="1" x14ac:dyDescent="0.25"/>
    <row r="280101" s="12" customFormat="1" x14ac:dyDescent="0.25"/>
    <row r="280102" s="12" customFormat="1" x14ac:dyDescent="0.25"/>
    <row r="280103" s="12" customFormat="1" x14ac:dyDescent="0.25"/>
    <row r="280104" s="12" customFormat="1" x14ac:dyDescent="0.25"/>
    <row r="280105" s="12" customFormat="1" x14ac:dyDescent="0.25"/>
    <row r="280106" s="12" customFormat="1" x14ac:dyDescent="0.25"/>
    <row r="280107" s="12" customFormat="1" x14ac:dyDescent="0.25"/>
    <row r="280108" s="12" customFormat="1" x14ac:dyDescent="0.25"/>
    <row r="280109" s="12" customFormat="1" x14ac:dyDescent="0.25"/>
    <row r="280110" s="12" customFormat="1" x14ac:dyDescent="0.25"/>
    <row r="280111" s="12" customFormat="1" x14ac:dyDescent="0.25"/>
    <row r="280112" s="12" customFormat="1" x14ac:dyDescent="0.25"/>
    <row r="280113" s="12" customFormat="1" x14ac:dyDescent="0.25"/>
    <row r="280114" s="12" customFormat="1" x14ac:dyDescent="0.25"/>
    <row r="280115" s="12" customFormat="1" x14ac:dyDescent="0.25"/>
    <row r="280116" s="12" customFormat="1" x14ac:dyDescent="0.25"/>
    <row r="280117" s="12" customFormat="1" x14ac:dyDescent="0.25"/>
    <row r="280118" s="12" customFormat="1" x14ac:dyDescent="0.25"/>
    <row r="280119" s="12" customFormat="1" x14ac:dyDescent="0.25"/>
    <row r="280120" s="12" customFormat="1" x14ac:dyDescent="0.25"/>
    <row r="280121" s="12" customFormat="1" x14ac:dyDescent="0.25"/>
    <row r="280122" s="12" customFormat="1" x14ac:dyDescent="0.25"/>
    <row r="280123" s="12" customFormat="1" x14ac:dyDescent="0.25"/>
    <row r="280124" s="12" customFormat="1" x14ac:dyDescent="0.25"/>
    <row r="280125" s="12" customFormat="1" x14ac:dyDescent="0.25"/>
    <row r="280126" s="12" customFormat="1" x14ac:dyDescent="0.25"/>
    <row r="280127" s="12" customFormat="1" x14ac:dyDescent="0.25"/>
    <row r="280128" s="12" customFormat="1" x14ac:dyDescent="0.25"/>
    <row r="280129" s="12" customFormat="1" x14ac:dyDescent="0.25"/>
    <row r="280130" s="12" customFormat="1" x14ac:dyDescent="0.25"/>
    <row r="280131" s="12" customFormat="1" x14ac:dyDescent="0.25"/>
    <row r="280132" s="12" customFormat="1" x14ac:dyDescent="0.25"/>
    <row r="280133" s="12" customFormat="1" x14ac:dyDescent="0.25"/>
    <row r="280134" s="12" customFormat="1" x14ac:dyDescent="0.25"/>
    <row r="280135" s="12" customFormat="1" x14ac:dyDescent="0.25"/>
    <row r="280136" s="12" customFormat="1" x14ac:dyDescent="0.25"/>
    <row r="280137" s="12" customFormat="1" x14ac:dyDescent="0.25"/>
    <row r="280138" s="12" customFormat="1" x14ac:dyDescent="0.25"/>
    <row r="280139" s="12" customFormat="1" x14ac:dyDescent="0.25"/>
    <row r="280140" s="12" customFormat="1" x14ac:dyDescent="0.25"/>
    <row r="280141" s="12" customFormat="1" x14ac:dyDescent="0.25"/>
    <row r="280142" s="12" customFormat="1" x14ac:dyDescent="0.25"/>
    <row r="280143" s="12" customFormat="1" x14ac:dyDescent="0.25"/>
    <row r="280144" s="12" customFormat="1" x14ac:dyDescent="0.25"/>
    <row r="280145" s="12" customFormat="1" x14ac:dyDescent="0.25"/>
    <row r="280146" s="12" customFormat="1" x14ac:dyDescent="0.25"/>
    <row r="280147" s="12" customFormat="1" x14ac:dyDescent="0.25"/>
    <row r="280148" s="12" customFormat="1" x14ac:dyDescent="0.25"/>
    <row r="280149" s="12" customFormat="1" x14ac:dyDescent="0.25"/>
    <row r="280150" s="12" customFormat="1" x14ac:dyDescent="0.25"/>
    <row r="280151" s="12" customFormat="1" x14ac:dyDescent="0.25"/>
    <row r="280152" s="12" customFormat="1" x14ac:dyDescent="0.25"/>
    <row r="280153" s="12" customFormat="1" x14ac:dyDescent="0.25"/>
    <row r="280154" s="12" customFormat="1" x14ac:dyDescent="0.25"/>
    <row r="280155" s="12" customFormat="1" x14ac:dyDescent="0.25"/>
    <row r="280156" s="12" customFormat="1" x14ac:dyDescent="0.25"/>
    <row r="280157" s="12" customFormat="1" x14ac:dyDescent="0.25"/>
    <row r="280158" s="12" customFormat="1" x14ac:dyDescent="0.25"/>
    <row r="280159" s="12" customFormat="1" x14ac:dyDescent="0.25"/>
    <row r="280160" s="12" customFormat="1" x14ac:dyDescent="0.25"/>
    <row r="280161" s="12" customFormat="1" x14ac:dyDescent="0.25"/>
    <row r="280162" s="12" customFormat="1" x14ac:dyDescent="0.25"/>
    <row r="280163" s="12" customFormat="1" x14ac:dyDescent="0.25"/>
    <row r="280164" s="12" customFormat="1" x14ac:dyDescent="0.25"/>
    <row r="280165" s="12" customFormat="1" x14ac:dyDescent="0.25"/>
    <row r="280166" s="12" customFormat="1" x14ac:dyDescent="0.25"/>
    <row r="280167" s="12" customFormat="1" x14ac:dyDescent="0.25"/>
    <row r="280168" s="12" customFormat="1" x14ac:dyDescent="0.25"/>
    <row r="280169" s="12" customFormat="1" x14ac:dyDescent="0.25"/>
    <row r="280170" s="12" customFormat="1" x14ac:dyDescent="0.25"/>
    <row r="280171" s="12" customFormat="1" x14ac:dyDescent="0.25"/>
    <row r="280172" s="12" customFormat="1" x14ac:dyDescent="0.25"/>
    <row r="280173" s="12" customFormat="1" x14ac:dyDescent="0.25"/>
    <row r="280174" s="12" customFormat="1" x14ac:dyDescent="0.25"/>
    <row r="280175" s="12" customFormat="1" x14ac:dyDescent="0.25"/>
    <row r="280176" s="12" customFormat="1" x14ac:dyDescent="0.25"/>
    <row r="280177" s="12" customFormat="1" x14ac:dyDescent="0.25"/>
    <row r="280178" s="12" customFormat="1" x14ac:dyDescent="0.25"/>
    <row r="280179" s="12" customFormat="1" x14ac:dyDescent="0.25"/>
    <row r="280180" s="12" customFormat="1" x14ac:dyDescent="0.25"/>
    <row r="280181" s="12" customFormat="1" x14ac:dyDescent="0.25"/>
    <row r="280182" s="12" customFormat="1" x14ac:dyDescent="0.25"/>
    <row r="280183" s="12" customFormat="1" x14ac:dyDescent="0.25"/>
    <row r="280184" s="12" customFormat="1" x14ac:dyDescent="0.25"/>
    <row r="280185" s="12" customFormat="1" x14ac:dyDescent="0.25"/>
    <row r="280186" s="12" customFormat="1" x14ac:dyDescent="0.25"/>
    <row r="280187" s="12" customFormat="1" x14ac:dyDescent="0.25"/>
    <row r="280188" s="12" customFormat="1" x14ac:dyDescent="0.25"/>
    <row r="280189" s="12" customFormat="1" x14ac:dyDescent="0.25"/>
    <row r="280190" s="12" customFormat="1" x14ac:dyDescent="0.25"/>
    <row r="280191" s="12" customFormat="1" x14ac:dyDescent="0.25"/>
    <row r="280192" s="12" customFormat="1" x14ac:dyDescent="0.25"/>
    <row r="280193" s="12" customFormat="1" x14ac:dyDescent="0.25"/>
    <row r="280194" s="12" customFormat="1" x14ac:dyDescent="0.25"/>
    <row r="280195" s="12" customFormat="1" x14ac:dyDescent="0.25"/>
    <row r="280196" s="12" customFormat="1" x14ac:dyDescent="0.25"/>
    <row r="280197" s="12" customFormat="1" x14ac:dyDescent="0.25"/>
    <row r="280198" s="12" customFormat="1" x14ac:dyDescent="0.25"/>
    <row r="280199" s="12" customFormat="1" x14ac:dyDescent="0.25"/>
    <row r="280200" s="12" customFormat="1" x14ac:dyDescent="0.25"/>
    <row r="280201" s="12" customFormat="1" x14ac:dyDescent="0.25"/>
    <row r="280202" s="12" customFormat="1" x14ac:dyDescent="0.25"/>
    <row r="280203" s="12" customFormat="1" x14ac:dyDescent="0.25"/>
    <row r="280204" s="12" customFormat="1" x14ac:dyDescent="0.25"/>
    <row r="280205" s="12" customFormat="1" x14ac:dyDescent="0.25"/>
    <row r="280206" s="12" customFormat="1" x14ac:dyDescent="0.25"/>
    <row r="280207" s="12" customFormat="1" x14ac:dyDescent="0.25"/>
    <row r="280208" s="12" customFormat="1" x14ac:dyDescent="0.25"/>
    <row r="280209" s="12" customFormat="1" x14ac:dyDescent="0.25"/>
    <row r="280210" s="12" customFormat="1" x14ac:dyDescent="0.25"/>
    <row r="280211" s="12" customFormat="1" x14ac:dyDescent="0.25"/>
    <row r="280212" s="12" customFormat="1" x14ac:dyDescent="0.25"/>
    <row r="280213" s="12" customFormat="1" x14ac:dyDescent="0.25"/>
    <row r="280214" s="12" customFormat="1" x14ac:dyDescent="0.25"/>
    <row r="280215" s="12" customFormat="1" x14ac:dyDescent="0.25"/>
    <row r="280216" s="12" customFormat="1" x14ac:dyDescent="0.25"/>
    <row r="280217" s="12" customFormat="1" x14ac:dyDescent="0.25"/>
    <row r="280218" s="12" customFormat="1" x14ac:dyDescent="0.25"/>
    <row r="280219" s="12" customFormat="1" x14ac:dyDescent="0.25"/>
    <row r="280220" s="12" customFormat="1" x14ac:dyDescent="0.25"/>
    <row r="280221" s="12" customFormat="1" x14ac:dyDescent="0.25"/>
    <row r="280222" s="12" customFormat="1" x14ac:dyDescent="0.25"/>
    <row r="280223" s="12" customFormat="1" x14ac:dyDescent="0.25"/>
    <row r="280224" s="12" customFormat="1" x14ac:dyDescent="0.25"/>
    <row r="280225" s="12" customFormat="1" x14ac:dyDescent="0.25"/>
    <row r="280226" s="12" customFormat="1" x14ac:dyDescent="0.25"/>
    <row r="280227" s="12" customFormat="1" x14ac:dyDescent="0.25"/>
    <row r="280228" s="12" customFormat="1" x14ac:dyDescent="0.25"/>
    <row r="280229" s="12" customFormat="1" x14ac:dyDescent="0.25"/>
    <row r="280230" s="12" customFormat="1" x14ac:dyDescent="0.25"/>
    <row r="280231" s="12" customFormat="1" x14ac:dyDescent="0.25"/>
    <row r="280232" s="12" customFormat="1" x14ac:dyDescent="0.25"/>
    <row r="280233" s="12" customFormat="1" x14ac:dyDescent="0.25"/>
    <row r="280234" s="12" customFormat="1" x14ac:dyDescent="0.25"/>
    <row r="280235" s="12" customFormat="1" x14ac:dyDescent="0.25"/>
    <row r="280236" s="12" customFormat="1" x14ac:dyDescent="0.25"/>
    <row r="280237" s="12" customFormat="1" x14ac:dyDescent="0.25"/>
    <row r="280238" s="12" customFormat="1" x14ac:dyDescent="0.25"/>
    <row r="280239" s="12" customFormat="1" x14ac:dyDescent="0.25"/>
    <row r="280240" s="12" customFormat="1" x14ac:dyDescent="0.25"/>
    <row r="280241" s="12" customFormat="1" x14ac:dyDescent="0.25"/>
    <row r="280242" s="12" customFormat="1" x14ac:dyDescent="0.25"/>
    <row r="280243" s="12" customFormat="1" x14ac:dyDescent="0.25"/>
    <row r="280244" s="12" customFormat="1" x14ac:dyDescent="0.25"/>
    <row r="280245" s="12" customFormat="1" x14ac:dyDescent="0.25"/>
    <row r="280246" s="12" customFormat="1" x14ac:dyDescent="0.25"/>
    <row r="280247" s="12" customFormat="1" x14ac:dyDescent="0.25"/>
    <row r="280248" s="12" customFormat="1" x14ac:dyDescent="0.25"/>
    <row r="280249" s="12" customFormat="1" x14ac:dyDescent="0.25"/>
    <row r="280250" s="12" customFormat="1" x14ac:dyDescent="0.25"/>
    <row r="280251" s="12" customFormat="1" x14ac:dyDescent="0.25"/>
    <row r="280252" s="12" customFormat="1" x14ac:dyDescent="0.25"/>
    <row r="280253" s="12" customFormat="1" x14ac:dyDescent="0.25"/>
    <row r="280254" s="12" customFormat="1" x14ac:dyDescent="0.25"/>
    <row r="280255" s="12" customFormat="1" x14ac:dyDescent="0.25"/>
    <row r="280256" s="12" customFormat="1" x14ac:dyDescent="0.25"/>
    <row r="280257" s="12" customFormat="1" x14ac:dyDescent="0.25"/>
    <row r="280258" s="12" customFormat="1" x14ac:dyDescent="0.25"/>
    <row r="280259" s="12" customFormat="1" x14ac:dyDescent="0.25"/>
    <row r="280260" s="12" customFormat="1" x14ac:dyDescent="0.25"/>
    <row r="280261" s="12" customFormat="1" x14ac:dyDescent="0.25"/>
    <row r="280262" s="12" customFormat="1" x14ac:dyDescent="0.25"/>
    <row r="280263" s="12" customFormat="1" x14ac:dyDescent="0.25"/>
    <row r="280264" s="12" customFormat="1" x14ac:dyDescent="0.25"/>
    <row r="280265" s="12" customFormat="1" x14ac:dyDescent="0.25"/>
    <row r="280266" s="12" customFormat="1" x14ac:dyDescent="0.25"/>
    <row r="280267" s="12" customFormat="1" x14ac:dyDescent="0.25"/>
    <row r="280268" s="12" customFormat="1" x14ac:dyDescent="0.25"/>
    <row r="280269" s="12" customFormat="1" x14ac:dyDescent="0.25"/>
    <row r="280270" s="12" customFormat="1" x14ac:dyDescent="0.25"/>
    <row r="280271" s="12" customFormat="1" x14ac:dyDescent="0.25"/>
    <row r="280272" s="12" customFormat="1" x14ac:dyDescent="0.25"/>
    <row r="280273" s="12" customFormat="1" x14ac:dyDescent="0.25"/>
    <row r="280274" s="12" customFormat="1" x14ac:dyDescent="0.25"/>
    <row r="280275" s="12" customFormat="1" x14ac:dyDescent="0.25"/>
    <row r="280276" s="12" customFormat="1" x14ac:dyDescent="0.25"/>
    <row r="280277" s="12" customFormat="1" x14ac:dyDescent="0.25"/>
    <row r="280278" s="12" customFormat="1" x14ac:dyDescent="0.25"/>
    <row r="280279" s="12" customFormat="1" x14ac:dyDescent="0.25"/>
    <row r="280280" s="12" customFormat="1" x14ac:dyDescent="0.25"/>
    <row r="280281" s="12" customFormat="1" x14ac:dyDescent="0.25"/>
    <row r="280282" s="12" customFormat="1" x14ac:dyDescent="0.25"/>
    <row r="280283" s="12" customFormat="1" x14ac:dyDescent="0.25"/>
    <row r="280284" s="12" customFormat="1" x14ac:dyDescent="0.25"/>
    <row r="280285" s="12" customFormat="1" x14ac:dyDescent="0.25"/>
    <row r="280286" s="12" customFormat="1" x14ac:dyDescent="0.25"/>
    <row r="280287" s="12" customFormat="1" x14ac:dyDescent="0.25"/>
    <row r="280288" s="12" customFormat="1" x14ac:dyDescent="0.25"/>
    <row r="280289" s="12" customFormat="1" x14ac:dyDescent="0.25"/>
    <row r="280290" s="12" customFormat="1" x14ac:dyDescent="0.25"/>
    <row r="280291" s="12" customFormat="1" x14ac:dyDescent="0.25"/>
    <row r="280292" s="12" customFormat="1" x14ac:dyDescent="0.25"/>
    <row r="280293" s="12" customFormat="1" x14ac:dyDescent="0.25"/>
    <row r="280294" s="12" customFormat="1" x14ac:dyDescent="0.25"/>
    <row r="280295" s="12" customFormat="1" x14ac:dyDescent="0.25"/>
    <row r="280296" s="12" customFormat="1" x14ac:dyDescent="0.25"/>
    <row r="280297" s="12" customFormat="1" x14ac:dyDescent="0.25"/>
    <row r="280298" s="12" customFormat="1" x14ac:dyDescent="0.25"/>
    <row r="280299" s="12" customFormat="1" x14ac:dyDescent="0.25"/>
    <row r="280300" s="12" customFormat="1" x14ac:dyDescent="0.25"/>
    <row r="280301" s="12" customFormat="1" x14ac:dyDescent="0.25"/>
    <row r="280302" s="12" customFormat="1" x14ac:dyDescent="0.25"/>
    <row r="280303" s="12" customFormat="1" x14ac:dyDescent="0.25"/>
    <row r="280304" s="12" customFormat="1" x14ac:dyDescent="0.25"/>
    <row r="280305" s="12" customFormat="1" x14ac:dyDescent="0.25"/>
    <row r="280306" s="12" customFormat="1" x14ac:dyDescent="0.25"/>
    <row r="280307" s="12" customFormat="1" x14ac:dyDescent="0.25"/>
    <row r="280308" s="12" customFormat="1" x14ac:dyDescent="0.25"/>
    <row r="280309" s="12" customFormat="1" x14ac:dyDescent="0.25"/>
    <row r="280310" s="12" customFormat="1" x14ac:dyDescent="0.25"/>
    <row r="280311" s="12" customFormat="1" x14ac:dyDescent="0.25"/>
    <row r="280312" s="12" customFormat="1" x14ac:dyDescent="0.25"/>
    <row r="280313" s="12" customFormat="1" x14ac:dyDescent="0.25"/>
    <row r="280314" s="12" customFormat="1" x14ac:dyDescent="0.25"/>
    <row r="280315" s="12" customFormat="1" x14ac:dyDescent="0.25"/>
    <row r="280316" s="12" customFormat="1" x14ac:dyDescent="0.25"/>
    <row r="280317" s="12" customFormat="1" x14ac:dyDescent="0.25"/>
    <row r="280318" s="12" customFormat="1" x14ac:dyDescent="0.25"/>
    <row r="280319" s="12" customFormat="1" x14ac:dyDescent="0.25"/>
    <row r="280320" s="12" customFormat="1" x14ac:dyDescent="0.25"/>
    <row r="280321" s="12" customFormat="1" x14ac:dyDescent="0.25"/>
    <row r="280322" s="12" customFormat="1" x14ac:dyDescent="0.25"/>
    <row r="280323" s="12" customFormat="1" x14ac:dyDescent="0.25"/>
    <row r="280324" s="12" customFormat="1" x14ac:dyDescent="0.25"/>
    <row r="280325" s="12" customFormat="1" x14ac:dyDescent="0.25"/>
    <row r="280326" s="12" customFormat="1" x14ac:dyDescent="0.25"/>
    <row r="280327" s="12" customFormat="1" x14ac:dyDescent="0.25"/>
    <row r="280328" s="12" customFormat="1" x14ac:dyDescent="0.25"/>
    <row r="280329" s="12" customFormat="1" x14ac:dyDescent="0.25"/>
    <row r="280330" s="12" customFormat="1" x14ac:dyDescent="0.25"/>
    <row r="280331" s="12" customFormat="1" x14ac:dyDescent="0.25"/>
    <row r="280332" s="12" customFormat="1" x14ac:dyDescent="0.25"/>
    <row r="280333" s="12" customFormat="1" x14ac:dyDescent="0.25"/>
    <row r="280334" s="12" customFormat="1" x14ac:dyDescent="0.25"/>
    <row r="280335" s="12" customFormat="1" x14ac:dyDescent="0.25"/>
    <row r="280336" s="12" customFormat="1" x14ac:dyDescent="0.25"/>
    <row r="280337" s="12" customFormat="1" x14ac:dyDescent="0.25"/>
    <row r="280338" s="12" customFormat="1" x14ac:dyDescent="0.25"/>
    <row r="280339" s="12" customFormat="1" x14ac:dyDescent="0.25"/>
    <row r="280340" s="12" customFormat="1" x14ac:dyDescent="0.25"/>
    <row r="280341" s="12" customFormat="1" x14ac:dyDescent="0.25"/>
    <row r="280342" s="12" customFormat="1" x14ac:dyDescent="0.25"/>
    <row r="280343" s="12" customFormat="1" x14ac:dyDescent="0.25"/>
    <row r="280344" s="12" customFormat="1" x14ac:dyDescent="0.25"/>
    <row r="280345" s="12" customFormat="1" x14ac:dyDescent="0.25"/>
    <row r="280346" s="12" customFormat="1" x14ac:dyDescent="0.25"/>
    <row r="280347" s="12" customFormat="1" x14ac:dyDescent="0.25"/>
    <row r="280348" s="12" customFormat="1" x14ac:dyDescent="0.25"/>
    <row r="280349" s="12" customFormat="1" x14ac:dyDescent="0.25"/>
    <row r="280350" s="12" customFormat="1" x14ac:dyDescent="0.25"/>
    <row r="280351" s="12" customFormat="1" x14ac:dyDescent="0.25"/>
    <row r="280352" s="12" customFormat="1" x14ac:dyDescent="0.25"/>
    <row r="280353" s="12" customFormat="1" x14ac:dyDescent="0.25"/>
    <row r="280354" s="12" customFormat="1" x14ac:dyDescent="0.25"/>
    <row r="280355" s="12" customFormat="1" x14ac:dyDescent="0.25"/>
    <row r="280356" s="12" customFormat="1" x14ac:dyDescent="0.25"/>
    <row r="280357" s="12" customFormat="1" x14ac:dyDescent="0.25"/>
    <row r="280358" s="12" customFormat="1" x14ac:dyDescent="0.25"/>
    <row r="280359" s="12" customFormat="1" x14ac:dyDescent="0.25"/>
    <row r="280360" s="12" customFormat="1" x14ac:dyDescent="0.25"/>
    <row r="280361" s="12" customFormat="1" x14ac:dyDescent="0.25"/>
    <row r="280362" s="12" customFormat="1" x14ac:dyDescent="0.25"/>
    <row r="280363" s="12" customFormat="1" x14ac:dyDescent="0.25"/>
    <row r="280364" s="12" customFormat="1" x14ac:dyDescent="0.25"/>
    <row r="280365" s="12" customFormat="1" x14ac:dyDescent="0.25"/>
    <row r="280366" s="12" customFormat="1" x14ac:dyDescent="0.25"/>
    <row r="280367" s="12" customFormat="1" x14ac:dyDescent="0.25"/>
    <row r="280368" s="12" customFormat="1" x14ac:dyDescent="0.25"/>
    <row r="280369" s="12" customFormat="1" x14ac:dyDescent="0.25"/>
    <row r="280370" s="12" customFormat="1" x14ac:dyDescent="0.25"/>
    <row r="280371" s="12" customFormat="1" x14ac:dyDescent="0.25"/>
    <row r="280372" s="12" customFormat="1" x14ac:dyDescent="0.25"/>
    <row r="280373" s="12" customFormat="1" x14ac:dyDescent="0.25"/>
    <row r="280374" s="12" customFormat="1" x14ac:dyDescent="0.25"/>
    <row r="280375" s="12" customFormat="1" x14ac:dyDescent="0.25"/>
    <row r="280376" s="12" customFormat="1" x14ac:dyDescent="0.25"/>
    <row r="280377" s="12" customFormat="1" x14ac:dyDescent="0.25"/>
    <row r="280378" s="12" customFormat="1" x14ac:dyDescent="0.25"/>
    <row r="280379" s="12" customFormat="1" x14ac:dyDescent="0.25"/>
    <row r="280380" s="12" customFormat="1" x14ac:dyDescent="0.25"/>
    <row r="280381" s="12" customFormat="1" x14ac:dyDescent="0.25"/>
    <row r="280382" s="12" customFormat="1" x14ac:dyDescent="0.25"/>
    <row r="280383" s="12" customFormat="1" x14ac:dyDescent="0.25"/>
    <row r="280384" s="12" customFormat="1" x14ac:dyDescent="0.25"/>
    <row r="280385" s="12" customFormat="1" x14ac:dyDescent="0.25"/>
    <row r="280386" s="12" customFormat="1" x14ac:dyDescent="0.25"/>
    <row r="280387" s="12" customFormat="1" x14ac:dyDescent="0.25"/>
    <row r="280388" s="12" customFormat="1" x14ac:dyDescent="0.25"/>
    <row r="280389" s="12" customFormat="1" x14ac:dyDescent="0.25"/>
    <row r="280390" s="12" customFormat="1" x14ac:dyDescent="0.25"/>
    <row r="280391" s="12" customFormat="1" x14ac:dyDescent="0.25"/>
    <row r="280392" s="12" customFormat="1" x14ac:dyDescent="0.25"/>
    <row r="280393" s="12" customFormat="1" x14ac:dyDescent="0.25"/>
    <row r="280394" s="12" customFormat="1" x14ac:dyDescent="0.25"/>
    <row r="280395" s="12" customFormat="1" x14ac:dyDescent="0.25"/>
    <row r="280396" s="12" customFormat="1" x14ac:dyDescent="0.25"/>
    <row r="280397" s="12" customFormat="1" x14ac:dyDescent="0.25"/>
    <row r="280398" s="12" customFormat="1" x14ac:dyDescent="0.25"/>
    <row r="280399" s="12" customFormat="1" x14ac:dyDescent="0.25"/>
    <row r="280400" s="12" customFormat="1" x14ac:dyDescent="0.25"/>
    <row r="280401" s="12" customFormat="1" x14ac:dyDescent="0.25"/>
    <row r="280402" s="12" customFormat="1" x14ac:dyDescent="0.25"/>
    <row r="280403" s="12" customFormat="1" x14ac:dyDescent="0.25"/>
    <row r="280404" s="12" customFormat="1" x14ac:dyDescent="0.25"/>
    <row r="280405" s="12" customFormat="1" x14ac:dyDescent="0.25"/>
    <row r="280406" s="12" customFormat="1" x14ac:dyDescent="0.25"/>
    <row r="280407" s="12" customFormat="1" x14ac:dyDescent="0.25"/>
    <row r="280408" s="12" customFormat="1" x14ac:dyDescent="0.25"/>
    <row r="280409" s="12" customFormat="1" x14ac:dyDescent="0.25"/>
    <row r="280410" s="12" customFormat="1" x14ac:dyDescent="0.25"/>
    <row r="280411" s="12" customFormat="1" x14ac:dyDescent="0.25"/>
    <row r="280412" s="12" customFormat="1" x14ac:dyDescent="0.25"/>
    <row r="280413" s="12" customFormat="1" x14ac:dyDescent="0.25"/>
    <row r="280414" s="12" customFormat="1" x14ac:dyDescent="0.25"/>
    <row r="280415" s="12" customFormat="1" x14ac:dyDescent="0.25"/>
    <row r="280416" s="12" customFormat="1" x14ac:dyDescent="0.25"/>
    <row r="280417" s="12" customFormat="1" x14ac:dyDescent="0.25"/>
    <row r="280418" s="12" customFormat="1" x14ac:dyDescent="0.25"/>
    <row r="280419" s="12" customFormat="1" x14ac:dyDescent="0.25"/>
    <row r="280420" s="12" customFormat="1" x14ac:dyDescent="0.25"/>
    <row r="280421" s="12" customFormat="1" x14ac:dyDescent="0.25"/>
    <row r="280422" s="12" customFormat="1" x14ac:dyDescent="0.25"/>
    <row r="280423" s="12" customFormat="1" x14ac:dyDescent="0.25"/>
    <row r="280424" s="12" customFormat="1" x14ac:dyDescent="0.25"/>
    <row r="280425" s="12" customFormat="1" x14ac:dyDescent="0.25"/>
    <row r="280426" s="12" customFormat="1" x14ac:dyDescent="0.25"/>
    <row r="280427" s="12" customFormat="1" x14ac:dyDescent="0.25"/>
    <row r="280428" s="12" customFormat="1" x14ac:dyDescent="0.25"/>
    <row r="280429" s="12" customFormat="1" x14ac:dyDescent="0.25"/>
    <row r="280430" s="12" customFormat="1" x14ac:dyDescent="0.25"/>
    <row r="280431" s="12" customFormat="1" x14ac:dyDescent="0.25"/>
    <row r="280432" s="12" customFormat="1" x14ac:dyDescent="0.25"/>
    <row r="280433" s="12" customFormat="1" x14ac:dyDescent="0.25"/>
    <row r="280434" s="12" customFormat="1" x14ac:dyDescent="0.25"/>
    <row r="280435" s="12" customFormat="1" x14ac:dyDescent="0.25"/>
    <row r="280436" s="12" customFormat="1" x14ac:dyDescent="0.25"/>
    <row r="280437" s="12" customFormat="1" x14ac:dyDescent="0.25"/>
    <row r="280438" s="12" customFormat="1" x14ac:dyDescent="0.25"/>
    <row r="280439" s="12" customFormat="1" x14ac:dyDescent="0.25"/>
    <row r="280440" s="12" customFormat="1" x14ac:dyDescent="0.25"/>
    <row r="280441" s="12" customFormat="1" x14ac:dyDescent="0.25"/>
    <row r="280442" s="12" customFormat="1" x14ac:dyDescent="0.25"/>
    <row r="280443" s="12" customFormat="1" x14ac:dyDescent="0.25"/>
    <row r="280444" s="12" customFormat="1" x14ac:dyDescent="0.25"/>
    <row r="280445" s="12" customFormat="1" x14ac:dyDescent="0.25"/>
    <row r="280446" s="12" customFormat="1" x14ac:dyDescent="0.25"/>
    <row r="280447" s="12" customFormat="1" x14ac:dyDescent="0.25"/>
    <row r="280448" s="12" customFormat="1" x14ac:dyDescent="0.25"/>
    <row r="280449" s="12" customFormat="1" x14ac:dyDescent="0.25"/>
    <row r="280450" s="12" customFormat="1" x14ac:dyDescent="0.25"/>
    <row r="280451" s="12" customFormat="1" x14ac:dyDescent="0.25"/>
    <row r="280452" s="12" customFormat="1" x14ac:dyDescent="0.25"/>
    <row r="280453" s="12" customFormat="1" x14ac:dyDescent="0.25"/>
    <row r="280454" s="12" customFormat="1" x14ac:dyDescent="0.25"/>
    <row r="280455" s="12" customFormat="1" x14ac:dyDescent="0.25"/>
    <row r="280456" s="12" customFormat="1" x14ac:dyDescent="0.25"/>
    <row r="280457" s="12" customFormat="1" x14ac:dyDescent="0.25"/>
    <row r="280458" s="12" customFormat="1" x14ac:dyDescent="0.25"/>
    <row r="280459" s="12" customFormat="1" x14ac:dyDescent="0.25"/>
    <row r="280460" s="12" customFormat="1" x14ac:dyDescent="0.25"/>
    <row r="280461" s="12" customFormat="1" x14ac:dyDescent="0.25"/>
    <row r="280462" s="12" customFormat="1" x14ac:dyDescent="0.25"/>
    <row r="280463" s="12" customFormat="1" x14ac:dyDescent="0.25"/>
    <row r="280464" s="12" customFormat="1" x14ac:dyDescent="0.25"/>
    <row r="280465" s="12" customFormat="1" x14ac:dyDescent="0.25"/>
    <row r="280466" s="12" customFormat="1" x14ac:dyDescent="0.25"/>
    <row r="280467" s="12" customFormat="1" x14ac:dyDescent="0.25"/>
    <row r="280468" s="12" customFormat="1" x14ac:dyDescent="0.25"/>
    <row r="280469" s="12" customFormat="1" x14ac:dyDescent="0.25"/>
    <row r="280470" s="12" customFormat="1" x14ac:dyDescent="0.25"/>
    <row r="280471" s="12" customFormat="1" x14ac:dyDescent="0.25"/>
    <row r="280472" s="12" customFormat="1" x14ac:dyDescent="0.25"/>
    <row r="280473" s="12" customFormat="1" x14ac:dyDescent="0.25"/>
    <row r="280474" s="12" customFormat="1" x14ac:dyDescent="0.25"/>
    <row r="280475" s="12" customFormat="1" x14ac:dyDescent="0.25"/>
    <row r="280476" s="12" customFormat="1" x14ac:dyDescent="0.25"/>
    <row r="280477" s="12" customFormat="1" x14ac:dyDescent="0.25"/>
    <row r="280478" s="12" customFormat="1" x14ac:dyDescent="0.25"/>
    <row r="280479" s="12" customFormat="1" x14ac:dyDescent="0.25"/>
    <row r="280480" s="12" customFormat="1" x14ac:dyDescent="0.25"/>
    <row r="280481" s="12" customFormat="1" x14ac:dyDescent="0.25"/>
    <row r="280482" s="12" customFormat="1" x14ac:dyDescent="0.25"/>
    <row r="280483" s="12" customFormat="1" x14ac:dyDescent="0.25"/>
    <row r="280484" s="12" customFormat="1" x14ac:dyDescent="0.25"/>
    <row r="280485" s="12" customFormat="1" x14ac:dyDescent="0.25"/>
    <row r="280486" s="12" customFormat="1" x14ac:dyDescent="0.25"/>
    <row r="280487" s="12" customFormat="1" x14ac:dyDescent="0.25"/>
    <row r="280488" s="12" customFormat="1" x14ac:dyDescent="0.25"/>
    <row r="280489" s="12" customFormat="1" x14ac:dyDescent="0.25"/>
    <row r="280490" s="12" customFormat="1" x14ac:dyDescent="0.25"/>
    <row r="280491" s="12" customFormat="1" x14ac:dyDescent="0.25"/>
    <row r="280492" s="12" customFormat="1" x14ac:dyDescent="0.25"/>
    <row r="280493" s="12" customFormat="1" x14ac:dyDescent="0.25"/>
    <row r="280494" s="12" customFormat="1" x14ac:dyDescent="0.25"/>
    <row r="280495" s="12" customFormat="1" x14ac:dyDescent="0.25"/>
    <row r="280496" s="12" customFormat="1" x14ac:dyDescent="0.25"/>
    <row r="280497" s="12" customFormat="1" x14ac:dyDescent="0.25"/>
    <row r="280498" s="12" customFormat="1" x14ac:dyDescent="0.25"/>
    <row r="280499" s="12" customFormat="1" x14ac:dyDescent="0.25"/>
    <row r="280500" s="12" customFormat="1" x14ac:dyDescent="0.25"/>
    <row r="280501" s="12" customFormat="1" x14ac:dyDescent="0.25"/>
    <row r="280502" s="12" customFormat="1" x14ac:dyDescent="0.25"/>
    <row r="280503" s="12" customFormat="1" x14ac:dyDescent="0.25"/>
    <row r="280504" s="12" customFormat="1" x14ac:dyDescent="0.25"/>
    <row r="280505" s="12" customFormat="1" x14ac:dyDescent="0.25"/>
    <row r="280506" s="12" customFormat="1" x14ac:dyDescent="0.25"/>
    <row r="280507" s="12" customFormat="1" x14ac:dyDescent="0.25"/>
    <row r="280508" s="12" customFormat="1" x14ac:dyDescent="0.25"/>
    <row r="280509" s="12" customFormat="1" x14ac:dyDescent="0.25"/>
    <row r="280510" s="12" customFormat="1" x14ac:dyDescent="0.25"/>
    <row r="280511" s="12" customFormat="1" x14ac:dyDescent="0.25"/>
    <row r="280512" s="12" customFormat="1" x14ac:dyDescent="0.25"/>
    <row r="280513" s="12" customFormat="1" x14ac:dyDescent="0.25"/>
    <row r="280514" s="12" customFormat="1" x14ac:dyDescent="0.25"/>
    <row r="280515" s="12" customFormat="1" x14ac:dyDescent="0.25"/>
    <row r="280516" s="12" customFormat="1" x14ac:dyDescent="0.25"/>
    <row r="280517" s="12" customFormat="1" x14ac:dyDescent="0.25"/>
    <row r="280518" s="12" customFormat="1" x14ac:dyDescent="0.25"/>
    <row r="280519" s="12" customFormat="1" x14ac:dyDescent="0.25"/>
    <row r="280520" s="12" customFormat="1" x14ac:dyDescent="0.25"/>
    <row r="280521" s="12" customFormat="1" x14ac:dyDescent="0.25"/>
    <row r="280522" s="12" customFormat="1" x14ac:dyDescent="0.25"/>
    <row r="280523" s="12" customFormat="1" x14ac:dyDescent="0.25"/>
    <row r="280524" s="12" customFormat="1" x14ac:dyDescent="0.25"/>
    <row r="280525" s="12" customFormat="1" x14ac:dyDescent="0.25"/>
    <row r="280526" s="12" customFormat="1" x14ac:dyDescent="0.25"/>
    <row r="280527" s="12" customFormat="1" x14ac:dyDescent="0.25"/>
    <row r="280528" s="12" customFormat="1" x14ac:dyDescent="0.25"/>
    <row r="280529" s="12" customFormat="1" x14ac:dyDescent="0.25"/>
    <row r="280530" s="12" customFormat="1" x14ac:dyDescent="0.25"/>
    <row r="280531" s="12" customFormat="1" x14ac:dyDescent="0.25"/>
    <row r="280532" s="12" customFormat="1" x14ac:dyDescent="0.25"/>
    <row r="280533" s="12" customFormat="1" x14ac:dyDescent="0.25"/>
    <row r="280534" s="12" customFormat="1" x14ac:dyDescent="0.25"/>
    <row r="280535" s="12" customFormat="1" x14ac:dyDescent="0.25"/>
    <row r="280536" s="12" customFormat="1" x14ac:dyDescent="0.25"/>
    <row r="280537" s="12" customFormat="1" x14ac:dyDescent="0.25"/>
    <row r="280538" s="12" customFormat="1" x14ac:dyDescent="0.25"/>
    <row r="280539" s="12" customFormat="1" x14ac:dyDescent="0.25"/>
    <row r="280540" s="12" customFormat="1" x14ac:dyDescent="0.25"/>
    <row r="280541" s="12" customFormat="1" x14ac:dyDescent="0.25"/>
    <row r="280542" s="12" customFormat="1" x14ac:dyDescent="0.25"/>
    <row r="280543" s="12" customFormat="1" x14ac:dyDescent="0.25"/>
    <row r="280544" s="12" customFormat="1" x14ac:dyDescent="0.25"/>
    <row r="280545" s="12" customFormat="1" x14ac:dyDescent="0.25"/>
    <row r="280546" s="12" customFormat="1" x14ac:dyDescent="0.25"/>
    <row r="280547" s="12" customFormat="1" x14ac:dyDescent="0.25"/>
    <row r="280548" s="12" customFormat="1" x14ac:dyDescent="0.25"/>
    <row r="280549" s="12" customFormat="1" x14ac:dyDescent="0.25"/>
    <row r="280550" s="12" customFormat="1" x14ac:dyDescent="0.25"/>
    <row r="280551" s="12" customFormat="1" x14ac:dyDescent="0.25"/>
    <row r="280552" s="12" customFormat="1" x14ac:dyDescent="0.25"/>
    <row r="280553" s="12" customFormat="1" x14ac:dyDescent="0.25"/>
    <row r="280554" s="12" customFormat="1" x14ac:dyDescent="0.25"/>
    <row r="280555" s="12" customFormat="1" x14ac:dyDescent="0.25"/>
    <row r="280556" s="12" customFormat="1" x14ac:dyDescent="0.25"/>
    <row r="280557" s="12" customFormat="1" x14ac:dyDescent="0.25"/>
    <row r="280558" s="12" customFormat="1" x14ac:dyDescent="0.25"/>
    <row r="280559" s="12" customFormat="1" x14ac:dyDescent="0.25"/>
    <row r="280560" s="12" customFormat="1" x14ac:dyDescent="0.25"/>
    <row r="280561" s="12" customFormat="1" x14ac:dyDescent="0.25"/>
    <row r="280562" s="12" customFormat="1" x14ac:dyDescent="0.25"/>
    <row r="280563" s="12" customFormat="1" x14ac:dyDescent="0.25"/>
    <row r="280564" s="12" customFormat="1" x14ac:dyDescent="0.25"/>
    <row r="280565" s="12" customFormat="1" x14ac:dyDescent="0.25"/>
    <row r="280566" s="12" customFormat="1" x14ac:dyDescent="0.25"/>
    <row r="280567" s="12" customFormat="1" x14ac:dyDescent="0.25"/>
    <row r="280568" s="12" customFormat="1" x14ac:dyDescent="0.25"/>
    <row r="280569" s="12" customFormat="1" x14ac:dyDescent="0.25"/>
    <row r="280570" s="12" customFormat="1" x14ac:dyDescent="0.25"/>
    <row r="280571" s="12" customFormat="1" x14ac:dyDescent="0.25"/>
    <row r="280572" s="12" customFormat="1" x14ac:dyDescent="0.25"/>
    <row r="280573" s="12" customFormat="1" x14ac:dyDescent="0.25"/>
    <row r="280574" s="12" customFormat="1" x14ac:dyDescent="0.25"/>
    <row r="280575" s="12" customFormat="1" x14ac:dyDescent="0.25"/>
    <row r="280576" s="12" customFormat="1" x14ac:dyDescent="0.25"/>
    <row r="280577" s="12" customFormat="1" x14ac:dyDescent="0.25"/>
    <row r="280578" s="12" customFormat="1" x14ac:dyDescent="0.25"/>
    <row r="280579" s="12" customFormat="1" x14ac:dyDescent="0.25"/>
    <row r="280580" s="12" customFormat="1" x14ac:dyDescent="0.25"/>
    <row r="280581" s="12" customFormat="1" x14ac:dyDescent="0.25"/>
    <row r="280582" s="12" customFormat="1" x14ac:dyDescent="0.25"/>
    <row r="280583" s="12" customFormat="1" x14ac:dyDescent="0.25"/>
    <row r="280584" s="12" customFormat="1" x14ac:dyDescent="0.25"/>
    <row r="280585" s="12" customFormat="1" x14ac:dyDescent="0.25"/>
    <row r="280586" s="12" customFormat="1" x14ac:dyDescent="0.25"/>
    <row r="280587" s="12" customFormat="1" x14ac:dyDescent="0.25"/>
    <row r="280588" s="12" customFormat="1" x14ac:dyDescent="0.25"/>
    <row r="280589" s="12" customFormat="1" x14ac:dyDescent="0.25"/>
    <row r="280590" s="12" customFormat="1" x14ac:dyDescent="0.25"/>
    <row r="280591" s="12" customFormat="1" x14ac:dyDescent="0.25"/>
    <row r="280592" s="12" customFormat="1" x14ac:dyDescent="0.25"/>
    <row r="280593" s="12" customFormat="1" x14ac:dyDescent="0.25"/>
    <row r="280594" s="12" customFormat="1" x14ac:dyDescent="0.25"/>
    <row r="280595" s="12" customFormat="1" x14ac:dyDescent="0.25"/>
    <row r="280596" s="12" customFormat="1" x14ac:dyDescent="0.25"/>
    <row r="280597" s="12" customFormat="1" x14ac:dyDescent="0.25"/>
    <row r="280598" s="12" customFormat="1" x14ac:dyDescent="0.25"/>
    <row r="280599" s="12" customFormat="1" x14ac:dyDescent="0.25"/>
    <row r="280600" s="12" customFormat="1" x14ac:dyDescent="0.25"/>
    <row r="280601" s="12" customFormat="1" x14ac:dyDescent="0.25"/>
    <row r="280602" s="12" customFormat="1" x14ac:dyDescent="0.25"/>
    <row r="280603" s="12" customFormat="1" x14ac:dyDescent="0.25"/>
    <row r="280604" s="12" customFormat="1" x14ac:dyDescent="0.25"/>
    <row r="280605" s="12" customFormat="1" x14ac:dyDescent="0.25"/>
    <row r="280606" s="12" customFormat="1" x14ac:dyDescent="0.25"/>
    <row r="280607" s="12" customFormat="1" x14ac:dyDescent="0.25"/>
    <row r="280608" s="12" customFormat="1" x14ac:dyDescent="0.25"/>
    <row r="280609" s="12" customFormat="1" x14ac:dyDescent="0.25"/>
    <row r="280610" s="12" customFormat="1" x14ac:dyDescent="0.25"/>
    <row r="280611" s="12" customFormat="1" x14ac:dyDescent="0.25"/>
    <row r="280612" s="12" customFormat="1" x14ac:dyDescent="0.25"/>
    <row r="280613" s="12" customFormat="1" x14ac:dyDescent="0.25"/>
    <row r="280614" s="12" customFormat="1" x14ac:dyDescent="0.25"/>
    <row r="280615" s="12" customFormat="1" x14ac:dyDescent="0.25"/>
    <row r="280616" s="12" customFormat="1" x14ac:dyDescent="0.25"/>
    <row r="280617" s="12" customFormat="1" x14ac:dyDescent="0.25"/>
    <row r="280618" s="12" customFormat="1" x14ac:dyDescent="0.25"/>
    <row r="280619" s="12" customFormat="1" x14ac:dyDescent="0.25"/>
    <row r="280620" s="12" customFormat="1" x14ac:dyDescent="0.25"/>
    <row r="280621" s="12" customFormat="1" x14ac:dyDescent="0.25"/>
    <row r="280622" s="12" customFormat="1" x14ac:dyDescent="0.25"/>
    <row r="280623" s="12" customFormat="1" x14ac:dyDescent="0.25"/>
    <row r="280624" s="12" customFormat="1" x14ac:dyDescent="0.25"/>
    <row r="280625" s="12" customFormat="1" x14ac:dyDescent="0.25"/>
    <row r="280626" s="12" customFormat="1" x14ac:dyDescent="0.25"/>
    <row r="280627" s="12" customFormat="1" x14ac:dyDescent="0.25"/>
    <row r="280628" s="12" customFormat="1" x14ac:dyDescent="0.25"/>
    <row r="280629" s="12" customFormat="1" x14ac:dyDescent="0.25"/>
    <row r="280630" s="12" customFormat="1" x14ac:dyDescent="0.25"/>
    <row r="280631" s="12" customFormat="1" x14ac:dyDescent="0.25"/>
    <row r="280632" s="12" customFormat="1" x14ac:dyDescent="0.25"/>
    <row r="280633" s="12" customFormat="1" x14ac:dyDescent="0.25"/>
    <row r="280634" s="12" customFormat="1" x14ac:dyDescent="0.25"/>
    <row r="280635" s="12" customFormat="1" x14ac:dyDescent="0.25"/>
    <row r="280636" s="12" customFormat="1" x14ac:dyDescent="0.25"/>
    <row r="280637" s="12" customFormat="1" x14ac:dyDescent="0.25"/>
    <row r="280638" s="12" customFormat="1" x14ac:dyDescent="0.25"/>
    <row r="280639" s="12" customFormat="1" x14ac:dyDescent="0.25"/>
    <row r="280640" s="12" customFormat="1" x14ac:dyDescent="0.25"/>
    <row r="280641" s="12" customFormat="1" x14ac:dyDescent="0.25"/>
    <row r="280642" s="12" customFormat="1" x14ac:dyDescent="0.25"/>
    <row r="280643" s="12" customFormat="1" x14ac:dyDescent="0.25"/>
    <row r="280644" s="12" customFormat="1" x14ac:dyDescent="0.25"/>
    <row r="280645" s="12" customFormat="1" x14ac:dyDescent="0.25"/>
    <row r="280646" s="12" customFormat="1" x14ac:dyDescent="0.25"/>
    <row r="280647" s="12" customFormat="1" x14ac:dyDescent="0.25"/>
    <row r="280648" s="12" customFormat="1" x14ac:dyDescent="0.25"/>
    <row r="280649" s="12" customFormat="1" x14ac:dyDescent="0.25"/>
    <row r="280650" s="12" customFormat="1" x14ac:dyDescent="0.25"/>
    <row r="280651" s="12" customFormat="1" x14ac:dyDescent="0.25"/>
    <row r="280652" s="12" customFormat="1" x14ac:dyDescent="0.25"/>
    <row r="280653" s="12" customFormat="1" x14ac:dyDescent="0.25"/>
    <row r="280654" s="12" customFormat="1" x14ac:dyDescent="0.25"/>
    <row r="280655" s="12" customFormat="1" x14ac:dyDescent="0.25"/>
    <row r="280656" s="12" customFormat="1" x14ac:dyDescent="0.25"/>
    <row r="280657" s="12" customFormat="1" x14ac:dyDescent="0.25"/>
    <row r="280658" s="12" customFormat="1" x14ac:dyDescent="0.25"/>
    <row r="280659" s="12" customFormat="1" x14ac:dyDescent="0.25"/>
    <row r="280660" s="12" customFormat="1" x14ac:dyDescent="0.25"/>
    <row r="280661" s="12" customFormat="1" x14ac:dyDescent="0.25"/>
    <row r="280662" s="12" customFormat="1" x14ac:dyDescent="0.25"/>
    <row r="280663" s="12" customFormat="1" x14ac:dyDescent="0.25"/>
    <row r="280664" s="12" customFormat="1" x14ac:dyDescent="0.25"/>
    <row r="280665" s="12" customFormat="1" x14ac:dyDescent="0.25"/>
    <row r="280666" s="12" customFormat="1" x14ac:dyDescent="0.25"/>
    <row r="280667" s="12" customFormat="1" x14ac:dyDescent="0.25"/>
    <row r="280668" s="12" customFormat="1" x14ac:dyDescent="0.25"/>
    <row r="280669" s="12" customFormat="1" x14ac:dyDescent="0.25"/>
    <row r="280670" s="12" customFormat="1" x14ac:dyDescent="0.25"/>
    <row r="280671" s="12" customFormat="1" x14ac:dyDescent="0.25"/>
    <row r="280672" s="12" customFormat="1" x14ac:dyDescent="0.25"/>
    <row r="280673" s="12" customFormat="1" x14ac:dyDescent="0.25"/>
    <row r="280674" s="12" customFormat="1" x14ac:dyDescent="0.25"/>
    <row r="280675" s="12" customFormat="1" x14ac:dyDescent="0.25"/>
    <row r="280676" s="12" customFormat="1" x14ac:dyDescent="0.25"/>
    <row r="280677" s="12" customFormat="1" x14ac:dyDescent="0.25"/>
    <row r="280678" s="12" customFormat="1" x14ac:dyDescent="0.25"/>
    <row r="280679" s="12" customFormat="1" x14ac:dyDescent="0.25"/>
    <row r="280680" s="12" customFormat="1" x14ac:dyDescent="0.25"/>
    <row r="280681" s="12" customFormat="1" x14ac:dyDescent="0.25"/>
    <row r="280682" s="12" customFormat="1" x14ac:dyDescent="0.25"/>
    <row r="280683" s="12" customFormat="1" x14ac:dyDescent="0.25"/>
    <row r="280684" s="12" customFormat="1" x14ac:dyDescent="0.25"/>
    <row r="280685" s="12" customFormat="1" x14ac:dyDescent="0.25"/>
    <row r="280686" s="12" customFormat="1" x14ac:dyDescent="0.25"/>
    <row r="280687" s="12" customFormat="1" x14ac:dyDescent="0.25"/>
    <row r="280688" s="12" customFormat="1" x14ac:dyDescent="0.25"/>
    <row r="280689" s="12" customFormat="1" x14ac:dyDescent="0.25"/>
    <row r="280690" s="12" customFormat="1" x14ac:dyDescent="0.25"/>
    <row r="280691" s="12" customFormat="1" x14ac:dyDescent="0.25"/>
    <row r="280692" s="12" customFormat="1" x14ac:dyDescent="0.25"/>
    <row r="280693" s="12" customFormat="1" x14ac:dyDescent="0.25"/>
    <row r="280694" s="12" customFormat="1" x14ac:dyDescent="0.25"/>
    <row r="280695" s="12" customFormat="1" x14ac:dyDescent="0.25"/>
    <row r="280696" s="12" customFormat="1" x14ac:dyDescent="0.25"/>
    <row r="280697" s="12" customFormat="1" x14ac:dyDescent="0.25"/>
    <row r="280698" s="12" customFormat="1" x14ac:dyDescent="0.25"/>
    <row r="280699" s="12" customFormat="1" x14ac:dyDescent="0.25"/>
    <row r="280700" s="12" customFormat="1" x14ac:dyDescent="0.25"/>
    <row r="280701" s="12" customFormat="1" x14ac:dyDescent="0.25"/>
    <row r="280702" s="12" customFormat="1" x14ac:dyDescent="0.25"/>
    <row r="280703" s="12" customFormat="1" x14ac:dyDescent="0.25"/>
    <row r="280704" s="12" customFormat="1" x14ac:dyDescent="0.25"/>
    <row r="280705" s="12" customFormat="1" x14ac:dyDescent="0.25"/>
    <row r="280706" s="12" customFormat="1" x14ac:dyDescent="0.25"/>
    <row r="280707" s="12" customFormat="1" x14ac:dyDescent="0.25"/>
    <row r="280708" s="12" customFormat="1" x14ac:dyDescent="0.25"/>
    <row r="280709" s="12" customFormat="1" x14ac:dyDescent="0.25"/>
    <row r="280710" s="12" customFormat="1" x14ac:dyDescent="0.25"/>
    <row r="280711" s="12" customFormat="1" x14ac:dyDescent="0.25"/>
    <row r="280712" s="12" customFormat="1" x14ac:dyDescent="0.25"/>
    <row r="280713" s="12" customFormat="1" x14ac:dyDescent="0.25"/>
    <row r="280714" s="12" customFormat="1" x14ac:dyDescent="0.25"/>
    <row r="280715" s="12" customFormat="1" x14ac:dyDescent="0.25"/>
    <row r="280716" s="12" customFormat="1" x14ac:dyDescent="0.25"/>
    <row r="280717" s="12" customFormat="1" x14ac:dyDescent="0.25"/>
    <row r="280718" s="12" customFormat="1" x14ac:dyDescent="0.25"/>
    <row r="280719" s="12" customFormat="1" x14ac:dyDescent="0.25"/>
    <row r="280720" s="12" customFormat="1" x14ac:dyDescent="0.25"/>
    <row r="280721" s="12" customFormat="1" x14ac:dyDescent="0.25"/>
    <row r="280722" s="12" customFormat="1" x14ac:dyDescent="0.25"/>
    <row r="280723" s="12" customFormat="1" x14ac:dyDescent="0.25"/>
    <row r="280724" s="12" customFormat="1" x14ac:dyDescent="0.25"/>
    <row r="280725" s="12" customFormat="1" x14ac:dyDescent="0.25"/>
    <row r="280726" s="12" customFormat="1" x14ac:dyDescent="0.25"/>
    <row r="280727" s="12" customFormat="1" x14ac:dyDescent="0.25"/>
    <row r="280728" s="12" customFormat="1" x14ac:dyDescent="0.25"/>
    <row r="280729" s="12" customFormat="1" x14ac:dyDescent="0.25"/>
    <row r="280730" s="12" customFormat="1" x14ac:dyDescent="0.25"/>
    <row r="280731" s="12" customFormat="1" x14ac:dyDescent="0.25"/>
    <row r="280732" s="12" customFormat="1" x14ac:dyDescent="0.25"/>
    <row r="280733" s="12" customFormat="1" x14ac:dyDescent="0.25"/>
    <row r="280734" s="12" customFormat="1" x14ac:dyDescent="0.25"/>
    <row r="280735" s="12" customFormat="1" x14ac:dyDescent="0.25"/>
    <row r="280736" s="12" customFormat="1" x14ac:dyDescent="0.25"/>
    <row r="280737" s="12" customFormat="1" x14ac:dyDescent="0.25"/>
    <row r="280738" s="12" customFormat="1" x14ac:dyDescent="0.25"/>
    <row r="280739" s="12" customFormat="1" x14ac:dyDescent="0.25"/>
    <row r="280740" s="12" customFormat="1" x14ac:dyDescent="0.25"/>
    <row r="280741" s="12" customFormat="1" x14ac:dyDescent="0.25"/>
    <row r="280742" s="12" customFormat="1" x14ac:dyDescent="0.25"/>
    <row r="280743" s="12" customFormat="1" x14ac:dyDescent="0.25"/>
    <row r="280744" s="12" customFormat="1" x14ac:dyDescent="0.25"/>
    <row r="280745" s="12" customFormat="1" x14ac:dyDescent="0.25"/>
    <row r="280746" s="12" customFormat="1" x14ac:dyDescent="0.25"/>
    <row r="280747" s="12" customFormat="1" x14ac:dyDescent="0.25"/>
    <row r="280748" s="12" customFormat="1" x14ac:dyDescent="0.25"/>
    <row r="280749" s="12" customFormat="1" x14ac:dyDescent="0.25"/>
    <row r="280750" s="12" customFormat="1" x14ac:dyDescent="0.25"/>
    <row r="280751" s="12" customFormat="1" x14ac:dyDescent="0.25"/>
    <row r="280752" s="12" customFormat="1" x14ac:dyDescent="0.25"/>
    <row r="280753" s="12" customFormat="1" x14ac:dyDescent="0.25"/>
    <row r="280754" s="12" customFormat="1" x14ac:dyDescent="0.25"/>
    <row r="280755" s="12" customFormat="1" x14ac:dyDescent="0.25"/>
    <row r="280756" s="12" customFormat="1" x14ac:dyDescent="0.25"/>
    <row r="280757" s="12" customFormat="1" x14ac:dyDescent="0.25"/>
    <row r="280758" s="12" customFormat="1" x14ac:dyDescent="0.25"/>
    <row r="280759" s="12" customFormat="1" x14ac:dyDescent="0.25"/>
    <row r="280760" s="12" customFormat="1" x14ac:dyDescent="0.25"/>
    <row r="280761" s="12" customFormat="1" x14ac:dyDescent="0.25"/>
    <row r="280762" s="12" customFormat="1" x14ac:dyDescent="0.25"/>
    <row r="280763" s="12" customFormat="1" x14ac:dyDescent="0.25"/>
    <row r="280764" s="12" customFormat="1" x14ac:dyDescent="0.25"/>
    <row r="280765" s="12" customFormat="1" x14ac:dyDescent="0.25"/>
    <row r="280766" s="12" customFormat="1" x14ac:dyDescent="0.25"/>
    <row r="280767" s="12" customFormat="1" x14ac:dyDescent="0.25"/>
    <row r="280768" s="12" customFormat="1" x14ac:dyDescent="0.25"/>
    <row r="280769" s="12" customFormat="1" x14ac:dyDescent="0.25"/>
    <row r="280770" s="12" customFormat="1" x14ac:dyDescent="0.25"/>
    <row r="280771" s="12" customFormat="1" x14ac:dyDescent="0.25"/>
    <row r="280772" s="12" customFormat="1" x14ac:dyDescent="0.25"/>
    <row r="280773" s="12" customFormat="1" x14ac:dyDescent="0.25"/>
    <row r="280774" s="12" customFormat="1" x14ac:dyDescent="0.25"/>
    <row r="280775" s="12" customFormat="1" x14ac:dyDescent="0.25"/>
    <row r="280776" s="12" customFormat="1" x14ac:dyDescent="0.25"/>
    <row r="280777" s="12" customFormat="1" x14ac:dyDescent="0.25"/>
    <row r="280778" s="12" customFormat="1" x14ac:dyDescent="0.25"/>
    <row r="280779" s="12" customFormat="1" x14ac:dyDescent="0.25"/>
    <row r="280780" s="12" customFormat="1" x14ac:dyDescent="0.25"/>
    <row r="280781" s="12" customFormat="1" x14ac:dyDescent="0.25"/>
    <row r="280782" s="12" customFormat="1" x14ac:dyDescent="0.25"/>
    <row r="280783" s="12" customFormat="1" x14ac:dyDescent="0.25"/>
    <row r="280784" s="12" customFormat="1" x14ac:dyDescent="0.25"/>
    <row r="280785" s="12" customFormat="1" x14ac:dyDescent="0.25"/>
    <row r="280786" s="12" customFormat="1" x14ac:dyDescent="0.25"/>
    <row r="280787" s="12" customFormat="1" x14ac:dyDescent="0.25"/>
    <row r="280788" s="12" customFormat="1" x14ac:dyDescent="0.25"/>
    <row r="280789" s="12" customFormat="1" x14ac:dyDescent="0.25"/>
    <row r="280790" s="12" customFormat="1" x14ac:dyDescent="0.25"/>
    <row r="280791" s="12" customFormat="1" x14ac:dyDescent="0.25"/>
    <row r="280792" s="12" customFormat="1" x14ac:dyDescent="0.25"/>
    <row r="280793" s="12" customFormat="1" x14ac:dyDescent="0.25"/>
    <row r="280794" s="12" customFormat="1" x14ac:dyDescent="0.25"/>
    <row r="280795" s="12" customFormat="1" x14ac:dyDescent="0.25"/>
    <row r="280796" s="12" customFormat="1" x14ac:dyDescent="0.25"/>
    <row r="280797" s="12" customFormat="1" x14ac:dyDescent="0.25"/>
    <row r="280798" s="12" customFormat="1" x14ac:dyDescent="0.25"/>
    <row r="280799" s="12" customFormat="1" x14ac:dyDescent="0.25"/>
    <row r="280800" s="12" customFormat="1" x14ac:dyDescent="0.25"/>
    <row r="280801" s="12" customFormat="1" x14ac:dyDescent="0.25"/>
    <row r="280802" s="12" customFormat="1" x14ac:dyDescent="0.25"/>
    <row r="280803" s="12" customFormat="1" x14ac:dyDescent="0.25"/>
    <row r="280804" s="12" customFormat="1" x14ac:dyDescent="0.25"/>
    <row r="280805" s="12" customFormat="1" x14ac:dyDescent="0.25"/>
    <row r="280806" s="12" customFormat="1" x14ac:dyDescent="0.25"/>
    <row r="280807" s="12" customFormat="1" x14ac:dyDescent="0.25"/>
    <row r="280808" s="12" customFormat="1" x14ac:dyDescent="0.25"/>
    <row r="280809" s="12" customFormat="1" x14ac:dyDescent="0.25"/>
    <row r="280810" s="12" customFormat="1" x14ac:dyDescent="0.25"/>
    <row r="280811" s="12" customFormat="1" x14ac:dyDescent="0.25"/>
    <row r="280812" s="12" customFormat="1" x14ac:dyDescent="0.25"/>
    <row r="280813" s="12" customFormat="1" x14ac:dyDescent="0.25"/>
    <row r="280814" s="12" customFormat="1" x14ac:dyDescent="0.25"/>
    <row r="280815" s="12" customFormat="1" x14ac:dyDescent="0.25"/>
    <row r="280816" s="12" customFormat="1" x14ac:dyDescent="0.25"/>
    <row r="280817" s="12" customFormat="1" x14ac:dyDescent="0.25"/>
    <row r="280818" s="12" customFormat="1" x14ac:dyDescent="0.25"/>
    <row r="280819" s="12" customFormat="1" x14ac:dyDescent="0.25"/>
    <row r="280820" s="12" customFormat="1" x14ac:dyDescent="0.25"/>
    <row r="280821" s="12" customFormat="1" x14ac:dyDescent="0.25"/>
    <row r="280822" s="12" customFormat="1" x14ac:dyDescent="0.25"/>
    <row r="280823" s="12" customFormat="1" x14ac:dyDescent="0.25"/>
    <row r="280824" s="12" customFormat="1" x14ac:dyDescent="0.25"/>
    <row r="280825" s="12" customFormat="1" x14ac:dyDescent="0.25"/>
    <row r="280826" s="12" customFormat="1" x14ac:dyDescent="0.25"/>
    <row r="280827" s="12" customFormat="1" x14ac:dyDescent="0.25"/>
    <row r="280828" s="12" customFormat="1" x14ac:dyDescent="0.25"/>
    <row r="280829" s="12" customFormat="1" x14ac:dyDescent="0.25"/>
    <row r="280830" s="12" customFormat="1" x14ac:dyDescent="0.25"/>
    <row r="280831" s="12" customFormat="1" x14ac:dyDescent="0.25"/>
    <row r="280832" s="12" customFormat="1" x14ac:dyDescent="0.25"/>
    <row r="280833" s="12" customFormat="1" x14ac:dyDescent="0.25"/>
    <row r="280834" s="12" customFormat="1" x14ac:dyDescent="0.25"/>
    <row r="280835" s="12" customFormat="1" x14ac:dyDescent="0.25"/>
    <row r="280836" s="12" customFormat="1" x14ac:dyDescent="0.25"/>
    <row r="280837" s="12" customFormat="1" x14ac:dyDescent="0.25"/>
    <row r="280838" s="12" customFormat="1" x14ac:dyDescent="0.25"/>
    <row r="280839" s="12" customFormat="1" x14ac:dyDescent="0.25"/>
    <row r="280840" s="12" customFormat="1" x14ac:dyDescent="0.25"/>
    <row r="280841" s="12" customFormat="1" x14ac:dyDescent="0.25"/>
    <row r="280842" s="12" customFormat="1" x14ac:dyDescent="0.25"/>
    <row r="280843" s="12" customFormat="1" x14ac:dyDescent="0.25"/>
    <row r="280844" s="12" customFormat="1" x14ac:dyDescent="0.25"/>
    <row r="280845" s="12" customFormat="1" x14ac:dyDescent="0.25"/>
    <row r="280846" s="12" customFormat="1" x14ac:dyDescent="0.25"/>
    <row r="280847" s="12" customFormat="1" x14ac:dyDescent="0.25"/>
    <row r="280848" s="12" customFormat="1" x14ac:dyDescent="0.25"/>
    <row r="280849" s="12" customFormat="1" x14ac:dyDescent="0.25"/>
    <row r="280850" s="12" customFormat="1" x14ac:dyDescent="0.25"/>
    <row r="280851" s="12" customFormat="1" x14ac:dyDescent="0.25"/>
    <row r="280852" s="12" customFormat="1" x14ac:dyDescent="0.25"/>
    <row r="280853" s="12" customFormat="1" x14ac:dyDescent="0.25"/>
    <row r="280854" s="12" customFormat="1" x14ac:dyDescent="0.25"/>
    <row r="280855" s="12" customFormat="1" x14ac:dyDescent="0.25"/>
    <row r="280856" s="12" customFormat="1" x14ac:dyDescent="0.25"/>
    <row r="280857" s="12" customFormat="1" x14ac:dyDescent="0.25"/>
    <row r="280858" s="12" customFormat="1" x14ac:dyDescent="0.25"/>
    <row r="280859" s="12" customFormat="1" x14ac:dyDescent="0.25"/>
    <row r="280860" s="12" customFormat="1" x14ac:dyDescent="0.25"/>
    <row r="280861" s="12" customFormat="1" x14ac:dyDescent="0.25"/>
    <row r="280862" s="12" customFormat="1" x14ac:dyDescent="0.25"/>
    <row r="280863" s="12" customFormat="1" x14ac:dyDescent="0.25"/>
    <row r="280864" s="12" customFormat="1" x14ac:dyDescent="0.25"/>
    <row r="280865" s="12" customFormat="1" x14ac:dyDescent="0.25"/>
    <row r="280866" s="12" customFormat="1" x14ac:dyDescent="0.25"/>
    <row r="280867" s="12" customFormat="1" x14ac:dyDescent="0.25"/>
    <row r="280868" s="12" customFormat="1" x14ac:dyDescent="0.25"/>
    <row r="280869" s="12" customFormat="1" x14ac:dyDescent="0.25"/>
    <row r="280870" s="12" customFormat="1" x14ac:dyDescent="0.25"/>
    <row r="280871" s="12" customFormat="1" x14ac:dyDescent="0.25"/>
    <row r="280872" s="12" customFormat="1" x14ac:dyDescent="0.25"/>
    <row r="280873" s="12" customFormat="1" x14ac:dyDescent="0.25"/>
    <row r="280874" s="12" customFormat="1" x14ac:dyDescent="0.25"/>
    <row r="280875" s="12" customFormat="1" x14ac:dyDescent="0.25"/>
    <row r="280876" s="12" customFormat="1" x14ac:dyDescent="0.25"/>
    <row r="280877" s="12" customFormat="1" x14ac:dyDescent="0.25"/>
    <row r="280878" s="12" customFormat="1" x14ac:dyDescent="0.25"/>
    <row r="280879" s="12" customFormat="1" x14ac:dyDescent="0.25"/>
    <row r="280880" s="12" customFormat="1" x14ac:dyDescent="0.25"/>
    <row r="280881" s="12" customFormat="1" x14ac:dyDescent="0.25"/>
    <row r="280882" s="12" customFormat="1" x14ac:dyDescent="0.25"/>
    <row r="280883" s="12" customFormat="1" x14ac:dyDescent="0.25"/>
    <row r="280884" s="12" customFormat="1" x14ac:dyDescent="0.25"/>
    <row r="280885" s="12" customFormat="1" x14ac:dyDescent="0.25"/>
    <row r="280886" s="12" customFormat="1" x14ac:dyDescent="0.25"/>
    <row r="280887" s="12" customFormat="1" x14ac:dyDescent="0.25"/>
    <row r="280888" s="12" customFormat="1" x14ac:dyDescent="0.25"/>
    <row r="280889" s="12" customFormat="1" x14ac:dyDescent="0.25"/>
    <row r="280890" s="12" customFormat="1" x14ac:dyDescent="0.25"/>
    <row r="280891" s="12" customFormat="1" x14ac:dyDescent="0.25"/>
    <row r="280892" s="12" customFormat="1" x14ac:dyDescent="0.25"/>
    <row r="280893" s="12" customFormat="1" x14ac:dyDescent="0.25"/>
    <row r="280894" s="12" customFormat="1" x14ac:dyDescent="0.25"/>
    <row r="280895" s="12" customFormat="1" x14ac:dyDescent="0.25"/>
    <row r="280896" s="12" customFormat="1" x14ac:dyDescent="0.25"/>
    <row r="280897" s="12" customFormat="1" x14ac:dyDescent="0.25"/>
    <row r="280898" s="12" customFormat="1" x14ac:dyDescent="0.25"/>
    <row r="280899" s="12" customFormat="1" x14ac:dyDescent="0.25"/>
    <row r="280900" s="12" customFormat="1" x14ac:dyDescent="0.25"/>
    <row r="280901" s="12" customFormat="1" x14ac:dyDescent="0.25"/>
    <row r="280902" s="12" customFormat="1" x14ac:dyDescent="0.25"/>
    <row r="280903" s="12" customFormat="1" x14ac:dyDescent="0.25"/>
    <row r="280904" s="12" customFormat="1" x14ac:dyDescent="0.25"/>
    <row r="280905" s="12" customFormat="1" x14ac:dyDescent="0.25"/>
    <row r="280906" s="12" customFormat="1" x14ac:dyDescent="0.25"/>
    <row r="280907" s="12" customFormat="1" x14ac:dyDescent="0.25"/>
    <row r="280908" s="12" customFormat="1" x14ac:dyDescent="0.25"/>
    <row r="280909" s="12" customFormat="1" x14ac:dyDescent="0.25"/>
    <row r="280910" s="12" customFormat="1" x14ac:dyDescent="0.25"/>
    <row r="280911" s="12" customFormat="1" x14ac:dyDescent="0.25"/>
    <row r="280912" s="12" customFormat="1" x14ac:dyDescent="0.25"/>
    <row r="280913" s="12" customFormat="1" x14ac:dyDescent="0.25"/>
    <row r="280914" s="12" customFormat="1" x14ac:dyDescent="0.25"/>
    <row r="280915" s="12" customFormat="1" x14ac:dyDescent="0.25"/>
    <row r="280916" s="12" customFormat="1" x14ac:dyDescent="0.25"/>
    <row r="280917" s="12" customFormat="1" x14ac:dyDescent="0.25"/>
    <row r="280918" s="12" customFormat="1" x14ac:dyDescent="0.25"/>
    <row r="280919" s="12" customFormat="1" x14ac:dyDescent="0.25"/>
    <row r="280920" s="12" customFormat="1" x14ac:dyDescent="0.25"/>
    <row r="280921" s="12" customFormat="1" x14ac:dyDescent="0.25"/>
    <row r="280922" s="12" customFormat="1" x14ac:dyDescent="0.25"/>
    <row r="280923" s="12" customFormat="1" x14ac:dyDescent="0.25"/>
    <row r="280924" s="12" customFormat="1" x14ac:dyDescent="0.25"/>
    <row r="280925" s="12" customFormat="1" x14ac:dyDescent="0.25"/>
    <row r="280926" s="12" customFormat="1" x14ac:dyDescent="0.25"/>
    <row r="280927" s="12" customFormat="1" x14ac:dyDescent="0.25"/>
    <row r="280928" s="12" customFormat="1" x14ac:dyDescent="0.25"/>
    <row r="280929" s="12" customFormat="1" x14ac:dyDescent="0.25"/>
    <row r="280930" s="12" customFormat="1" x14ac:dyDescent="0.25"/>
    <row r="280931" s="12" customFormat="1" x14ac:dyDescent="0.25"/>
    <row r="280932" s="12" customFormat="1" x14ac:dyDescent="0.25"/>
    <row r="280933" s="12" customFormat="1" x14ac:dyDescent="0.25"/>
    <row r="280934" s="12" customFormat="1" x14ac:dyDescent="0.25"/>
    <row r="280935" s="12" customFormat="1" x14ac:dyDescent="0.25"/>
    <row r="280936" s="12" customFormat="1" x14ac:dyDescent="0.25"/>
    <row r="280937" s="12" customFormat="1" x14ac:dyDescent="0.25"/>
    <row r="280938" s="12" customFormat="1" x14ac:dyDescent="0.25"/>
    <row r="280939" s="12" customFormat="1" x14ac:dyDescent="0.25"/>
    <row r="280940" s="12" customFormat="1" x14ac:dyDescent="0.25"/>
    <row r="280941" s="12" customFormat="1" x14ac:dyDescent="0.25"/>
    <row r="280942" s="12" customFormat="1" x14ac:dyDescent="0.25"/>
    <row r="280943" s="12" customFormat="1" x14ac:dyDescent="0.25"/>
    <row r="280944" s="12" customFormat="1" x14ac:dyDescent="0.25"/>
    <row r="280945" s="12" customFormat="1" x14ac:dyDescent="0.25"/>
    <row r="280946" s="12" customFormat="1" x14ac:dyDescent="0.25"/>
    <row r="280947" s="12" customFormat="1" x14ac:dyDescent="0.25"/>
    <row r="280948" s="12" customFormat="1" x14ac:dyDescent="0.25"/>
    <row r="280949" s="12" customFormat="1" x14ac:dyDescent="0.25"/>
    <row r="280950" s="12" customFormat="1" x14ac:dyDescent="0.25"/>
    <row r="280951" s="12" customFormat="1" x14ac:dyDescent="0.25"/>
    <row r="280952" s="12" customFormat="1" x14ac:dyDescent="0.25"/>
    <row r="280953" s="12" customFormat="1" x14ac:dyDescent="0.25"/>
    <row r="280954" s="12" customFormat="1" x14ac:dyDescent="0.25"/>
    <row r="280955" s="12" customFormat="1" x14ac:dyDescent="0.25"/>
    <row r="280956" s="12" customFormat="1" x14ac:dyDescent="0.25"/>
    <row r="280957" s="12" customFormat="1" x14ac:dyDescent="0.25"/>
    <row r="280958" s="12" customFormat="1" x14ac:dyDescent="0.25"/>
    <row r="280959" s="12" customFormat="1" x14ac:dyDescent="0.25"/>
    <row r="280960" s="12" customFormat="1" x14ac:dyDescent="0.25"/>
    <row r="280961" s="12" customFormat="1" x14ac:dyDescent="0.25"/>
    <row r="280962" s="12" customFormat="1" x14ac:dyDescent="0.25"/>
    <row r="280963" s="12" customFormat="1" x14ac:dyDescent="0.25"/>
    <row r="280964" s="12" customFormat="1" x14ac:dyDescent="0.25"/>
    <row r="280965" s="12" customFormat="1" x14ac:dyDescent="0.25"/>
    <row r="280966" s="12" customFormat="1" x14ac:dyDescent="0.25"/>
    <row r="280967" s="12" customFormat="1" x14ac:dyDescent="0.25"/>
    <row r="280968" s="12" customFormat="1" x14ac:dyDescent="0.25"/>
    <row r="280969" s="12" customFormat="1" x14ac:dyDescent="0.25"/>
    <row r="280970" s="12" customFormat="1" x14ac:dyDescent="0.25"/>
    <row r="280971" s="12" customFormat="1" x14ac:dyDescent="0.25"/>
    <row r="280972" s="12" customFormat="1" x14ac:dyDescent="0.25"/>
    <row r="280973" s="12" customFormat="1" x14ac:dyDescent="0.25"/>
    <row r="280974" s="12" customFormat="1" x14ac:dyDescent="0.25"/>
    <row r="280975" s="12" customFormat="1" x14ac:dyDescent="0.25"/>
    <row r="280976" s="12" customFormat="1" x14ac:dyDescent="0.25"/>
    <row r="280977" s="12" customFormat="1" x14ac:dyDescent="0.25"/>
    <row r="280978" s="12" customFormat="1" x14ac:dyDescent="0.25"/>
    <row r="280979" s="12" customFormat="1" x14ac:dyDescent="0.25"/>
    <row r="280980" s="12" customFormat="1" x14ac:dyDescent="0.25"/>
    <row r="280981" s="12" customFormat="1" x14ac:dyDescent="0.25"/>
    <row r="280982" s="12" customFormat="1" x14ac:dyDescent="0.25"/>
    <row r="280983" s="12" customFormat="1" x14ac:dyDescent="0.25"/>
    <row r="280984" s="12" customFormat="1" x14ac:dyDescent="0.25"/>
    <row r="280985" s="12" customFormat="1" x14ac:dyDescent="0.25"/>
    <row r="280986" s="12" customFormat="1" x14ac:dyDescent="0.25"/>
    <row r="280987" s="12" customFormat="1" x14ac:dyDescent="0.25"/>
    <row r="280988" s="12" customFormat="1" x14ac:dyDescent="0.25"/>
    <row r="280989" s="12" customFormat="1" x14ac:dyDescent="0.25"/>
    <row r="280990" s="12" customFormat="1" x14ac:dyDescent="0.25"/>
    <row r="280991" s="12" customFormat="1" x14ac:dyDescent="0.25"/>
    <row r="280992" s="12" customFormat="1" x14ac:dyDescent="0.25"/>
    <row r="280993" s="12" customFormat="1" x14ac:dyDescent="0.25"/>
    <row r="280994" s="12" customFormat="1" x14ac:dyDescent="0.25"/>
    <row r="280995" s="12" customFormat="1" x14ac:dyDescent="0.25"/>
    <row r="280996" s="12" customFormat="1" x14ac:dyDescent="0.25"/>
    <row r="280997" s="12" customFormat="1" x14ac:dyDescent="0.25"/>
    <row r="280998" s="12" customFormat="1" x14ac:dyDescent="0.25"/>
    <row r="280999" s="12" customFormat="1" x14ac:dyDescent="0.25"/>
    <row r="281000" s="12" customFormat="1" x14ac:dyDescent="0.25"/>
    <row r="281001" s="12" customFormat="1" x14ac:dyDescent="0.25"/>
    <row r="281002" s="12" customFormat="1" x14ac:dyDescent="0.25"/>
    <row r="281003" s="12" customFormat="1" x14ac:dyDescent="0.25"/>
    <row r="281004" s="12" customFormat="1" x14ac:dyDescent="0.25"/>
    <row r="281005" s="12" customFormat="1" x14ac:dyDescent="0.25"/>
    <row r="281006" s="12" customFormat="1" x14ac:dyDescent="0.25"/>
    <row r="281007" s="12" customFormat="1" x14ac:dyDescent="0.25"/>
    <row r="281008" s="12" customFormat="1" x14ac:dyDescent="0.25"/>
    <row r="281009" s="12" customFormat="1" x14ac:dyDescent="0.25"/>
    <row r="281010" s="12" customFormat="1" x14ac:dyDescent="0.25"/>
    <row r="281011" s="12" customFormat="1" x14ac:dyDescent="0.25"/>
    <row r="281012" s="12" customFormat="1" x14ac:dyDescent="0.25"/>
    <row r="281013" s="12" customFormat="1" x14ac:dyDescent="0.25"/>
    <row r="281014" s="12" customFormat="1" x14ac:dyDescent="0.25"/>
    <row r="281015" s="12" customFormat="1" x14ac:dyDescent="0.25"/>
    <row r="281016" s="12" customFormat="1" x14ac:dyDescent="0.25"/>
    <row r="281017" s="12" customFormat="1" x14ac:dyDescent="0.25"/>
    <row r="281018" s="12" customFormat="1" x14ac:dyDescent="0.25"/>
    <row r="281019" s="12" customFormat="1" x14ac:dyDescent="0.25"/>
    <row r="281020" s="12" customFormat="1" x14ac:dyDescent="0.25"/>
    <row r="281021" s="12" customFormat="1" x14ac:dyDescent="0.25"/>
    <row r="281022" s="12" customFormat="1" x14ac:dyDescent="0.25"/>
    <row r="281023" s="12" customFormat="1" x14ac:dyDescent="0.25"/>
    <row r="281024" s="12" customFormat="1" x14ac:dyDescent="0.25"/>
    <row r="281025" s="12" customFormat="1" x14ac:dyDescent="0.25"/>
    <row r="281026" s="12" customFormat="1" x14ac:dyDescent="0.25"/>
    <row r="281027" s="12" customFormat="1" x14ac:dyDescent="0.25"/>
    <row r="281028" s="12" customFormat="1" x14ac:dyDescent="0.25"/>
    <row r="281029" s="12" customFormat="1" x14ac:dyDescent="0.25"/>
    <row r="281030" s="12" customFormat="1" x14ac:dyDescent="0.25"/>
    <row r="281031" s="12" customFormat="1" x14ac:dyDescent="0.25"/>
    <row r="281032" s="12" customFormat="1" x14ac:dyDescent="0.25"/>
    <row r="281033" s="12" customFormat="1" x14ac:dyDescent="0.25"/>
    <row r="281034" s="12" customFormat="1" x14ac:dyDescent="0.25"/>
    <row r="281035" s="12" customFormat="1" x14ac:dyDescent="0.25"/>
    <row r="281036" s="12" customFormat="1" x14ac:dyDescent="0.25"/>
    <row r="281037" s="12" customFormat="1" x14ac:dyDescent="0.25"/>
    <row r="281038" s="12" customFormat="1" x14ac:dyDescent="0.25"/>
    <row r="281039" s="12" customFormat="1" x14ac:dyDescent="0.25"/>
    <row r="281040" s="12" customFormat="1" x14ac:dyDescent="0.25"/>
    <row r="281041" s="12" customFormat="1" x14ac:dyDescent="0.25"/>
    <row r="281042" s="12" customFormat="1" x14ac:dyDescent="0.25"/>
    <row r="281043" s="12" customFormat="1" x14ac:dyDescent="0.25"/>
    <row r="281044" s="12" customFormat="1" x14ac:dyDescent="0.25"/>
    <row r="281045" s="12" customFormat="1" x14ac:dyDescent="0.25"/>
    <row r="281046" s="12" customFormat="1" x14ac:dyDescent="0.25"/>
    <row r="281047" s="12" customFormat="1" x14ac:dyDescent="0.25"/>
    <row r="281048" s="12" customFormat="1" x14ac:dyDescent="0.25"/>
    <row r="281049" s="12" customFormat="1" x14ac:dyDescent="0.25"/>
    <row r="281050" s="12" customFormat="1" x14ac:dyDescent="0.25"/>
    <row r="281051" s="12" customFormat="1" x14ac:dyDescent="0.25"/>
    <row r="281052" s="12" customFormat="1" x14ac:dyDescent="0.25"/>
    <row r="281053" s="12" customFormat="1" x14ac:dyDescent="0.25"/>
    <row r="281054" s="12" customFormat="1" x14ac:dyDescent="0.25"/>
    <row r="281055" s="12" customFormat="1" x14ac:dyDescent="0.25"/>
    <row r="281056" s="12" customFormat="1" x14ac:dyDescent="0.25"/>
    <row r="281057" s="12" customFormat="1" x14ac:dyDescent="0.25"/>
    <row r="281058" s="12" customFormat="1" x14ac:dyDescent="0.25"/>
    <row r="281059" s="12" customFormat="1" x14ac:dyDescent="0.25"/>
    <row r="281060" s="12" customFormat="1" x14ac:dyDescent="0.25"/>
    <row r="281061" s="12" customFormat="1" x14ac:dyDescent="0.25"/>
    <row r="281062" s="12" customFormat="1" x14ac:dyDescent="0.25"/>
    <row r="281063" s="12" customFormat="1" x14ac:dyDescent="0.25"/>
    <row r="281064" s="12" customFormat="1" x14ac:dyDescent="0.25"/>
    <row r="281065" s="12" customFormat="1" x14ac:dyDescent="0.25"/>
    <row r="281066" s="12" customFormat="1" x14ac:dyDescent="0.25"/>
    <row r="281067" s="12" customFormat="1" x14ac:dyDescent="0.25"/>
    <row r="281068" s="12" customFormat="1" x14ac:dyDescent="0.25"/>
    <row r="281069" s="12" customFormat="1" x14ac:dyDescent="0.25"/>
    <row r="281070" s="12" customFormat="1" x14ac:dyDescent="0.25"/>
    <row r="281071" s="12" customFormat="1" x14ac:dyDescent="0.25"/>
    <row r="281072" s="12" customFormat="1" x14ac:dyDescent="0.25"/>
    <row r="281073" s="12" customFormat="1" x14ac:dyDescent="0.25"/>
    <row r="281074" s="12" customFormat="1" x14ac:dyDescent="0.25"/>
    <row r="281075" s="12" customFormat="1" x14ac:dyDescent="0.25"/>
    <row r="281076" s="12" customFormat="1" x14ac:dyDescent="0.25"/>
    <row r="281077" s="12" customFormat="1" x14ac:dyDescent="0.25"/>
    <row r="281078" s="12" customFormat="1" x14ac:dyDescent="0.25"/>
    <row r="281079" s="12" customFormat="1" x14ac:dyDescent="0.25"/>
    <row r="281080" s="12" customFormat="1" x14ac:dyDescent="0.25"/>
    <row r="281081" s="12" customFormat="1" x14ac:dyDescent="0.25"/>
    <row r="281082" s="12" customFormat="1" x14ac:dyDescent="0.25"/>
    <row r="281083" s="12" customFormat="1" x14ac:dyDescent="0.25"/>
    <row r="281084" s="12" customFormat="1" x14ac:dyDescent="0.25"/>
    <row r="281085" s="12" customFormat="1" x14ac:dyDescent="0.25"/>
    <row r="281086" s="12" customFormat="1" x14ac:dyDescent="0.25"/>
    <row r="281087" s="12" customFormat="1" x14ac:dyDescent="0.25"/>
    <row r="281088" s="12" customFormat="1" x14ac:dyDescent="0.25"/>
    <row r="281089" s="12" customFormat="1" x14ac:dyDescent="0.25"/>
    <row r="281090" s="12" customFormat="1" x14ac:dyDescent="0.25"/>
    <row r="281091" s="12" customFormat="1" x14ac:dyDescent="0.25"/>
    <row r="281092" s="12" customFormat="1" x14ac:dyDescent="0.25"/>
    <row r="281093" s="12" customFormat="1" x14ac:dyDescent="0.25"/>
    <row r="281094" s="12" customFormat="1" x14ac:dyDescent="0.25"/>
    <row r="281095" s="12" customFormat="1" x14ac:dyDescent="0.25"/>
    <row r="281096" s="12" customFormat="1" x14ac:dyDescent="0.25"/>
    <row r="281097" s="12" customFormat="1" x14ac:dyDescent="0.25"/>
    <row r="281098" s="12" customFormat="1" x14ac:dyDescent="0.25"/>
    <row r="281099" s="12" customFormat="1" x14ac:dyDescent="0.25"/>
    <row r="281100" s="12" customFormat="1" x14ac:dyDescent="0.25"/>
    <row r="281101" s="12" customFormat="1" x14ac:dyDescent="0.25"/>
    <row r="281102" s="12" customFormat="1" x14ac:dyDescent="0.25"/>
    <row r="281103" s="12" customFormat="1" x14ac:dyDescent="0.25"/>
    <row r="281104" s="12" customFormat="1" x14ac:dyDescent="0.25"/>
    <row r="281105" s="12" customFormat="1" x14ac:dyDescent="0.25"/>
    <row r="281106" s="12" customFormat="1" x14ac:dyDescent="0.25"/>
    <row r="281107" s="12" customFormat="1" x14ac:dyDescent="0.25"/>
    <row r="281108" s="12" customFormat="1" x14ac:dyDescent="0.25"/>
    <row r="281109" s="12" customFormat="1" x14ac:dyDescent="0.25"/>
    <row r="281110" s="12" customFormat="1" x14ac:dyDescent="0.25"/>
    <row r="281111" s="12" customFormat="1" x14ac:dyDescent="0.25"/>
    <row r="281112" s="12" customFormat="1" x14ac:dyDescent="0.25"/>
    <row r="281113" s="12" customFormat="1" x14ac:dyDescent="0.25"/>
    <row r="281114" s="12" customFormat="1" x14ac:dyDescent="0.25"/>
    <row r="281115" s="12" customFormat="1" x14ac:dyDescent="0.25"/>
    <row r="281116" s="12" customFormat="1" x14ac:dyDescent="0.25"/>
    <row r="281117" s="12" customFormat="1" x14ac:dyDescent="0.25"/>
    <row r="281118" s="12" customFormat="1" x14ac:dyDescent="0.25"/>
    <row r="281119" s="12" customFormat="1" x14ac:dyDescent="0.25"/>
    <row r="281120" s="12" customFormat="1" x14ac:dyDescent="0.25"/>
    <row r="281121" s="12" customFormat="1" x14ac:dyDescent="0.25"/>
    <row r="281122" s="12" customFormat="1" x14ac:dyDescent="0.25"/>
    <row r="281123" s="12" customFormat="1" x14ac:dyDescent="0.25"/>
    <row r="281124" s="12" customFormat="1" x14ac:dyDescent="0.25"/>
    <row r="281125" s="12" customFormat="1" x14ac:dyDescent="0.25"/>
    <row r="281126" s="12" customFormat="1" x14ac:dyDescent="0.25"/>
    <row r="281127" s="12" customFormat="1" x14ac:dyDescent="0.25"/>
    <row r="281128" s="12" customFormat="1" x14ac:dyDescent="0.25"/>
    <row r="281129" s="12" customFormat="1" x14ac:dyDescent="0.25"/>
    <row r="281130" s="12" customFormat="1" x14ac:dyDescent="0.25"/>
    <row r="281131" s="12" customFormat="1" x14ac:dyDescent="0.25"/>
    <row r="281132" s="12" customFormat="1" x14ac:dyDescent="0.25"/>
    <row r="281133" s="12" customFormat="1" x14ac:dyDescent="0.25"/>
    <row r="281134" s="12" customFormat="1" x14ac:dyDescent="0.25"/>
    <row r="281135" s="12" customFormat="1" x14ac:dyDescent="0.25"/>
    <row r="281136" s="12" customFormat="1" x14ac:dyDescent="0.25"/>
    <row r="281137" s="12" customFormat="1" x14ac:dyDescent="0.25"/>
    <row r="281138" s="12" customFormat="1" x14ac:dyDescent="0.25"/>
    <row r="281139" s="12" customFormat="1" x14ac:dyDescent="0.25"/>
    <row r="281140" s="12" customFormat="1" x14ac:dyDescent="0.25"/>
    <row r="281141" s="12" customFormat="1" x14ac:dyDescent="0.25"/>
    <row r="281142" s="12" customFormat="1" x14ac:dyDescent="0.25"/>
    <row r="281143" s="12" customFormat="1" x14ac:dyDescent="0.25"/>
    <row r="281144" s="12" customFormat="1" x14ac:dyDescent="0.25"/>
    <row r="281145" s="12" customFormat="1" x14ac:dyDescent="0.25"/>
    <row r="281146" s="12" customFormat="1" x14ac:dyDescent="0.25"/>
    <row r="281147" s="12" customFormat="1" x14ac:dyDescent="0.25"/>
    <row r="281148" s="12" customFormat="1" x14ac:dyDescent="0.25"/>
    <row r="281149" s="12" customFormat="1" x14ac:dyDescent="0.25"/>
    <row r="281150" s="12" customFormat="1" x14ac:dyDescent="0.25"/>
    <row r="281151" s="12" customFormat="1" x14ac:dyDescent="0.25"/>
    <row r="281152" s="12" customFormat="1" x14ac:dyDescent="0.25"/>
    <row r="281153" s="12" customFormat="1" x14ac:dyDescent="0.25"/>
    <row r="281154" s="12" customFormat="1" x14ac:dyDescent="0.25"/>
    <row r="281155" s="12" customFormat="1" x14ac:dyDescent="0.25"/>
    <row r="281156" s="12" customFormat="1" x14ac:dyDescent="0.25"/>
    <row r="281157" s="12" customFormat="1" x14ac:dyDescent="0.25"/>
    <row r="281158" s="12" customFormat="1" x14ac:dyDescent="0.25"/>
    <row r="281159" s="12" customFormat="1" x14ac:dyDescent="0.25"/>
    <row r="281160" s="12" customFormat="1" x14ac:dyDescent="0.25"/>
    <row r="281161" s="12" customFormat="1" x14ac:dyDescent="0.25"/>
    <row r="281162" s="12" customFormat="1" x14ac:dyDescent="0.25"/>
    <row r="281163" s="12" customFormat="1" x14ac:dyDescent="0.25"/>
    <row r="281164" s="12" customFormat="1" x14ac:dyDescent="0.25"/>
    <row r="281165" s="12" customFormat="1" x14ac:dyDescent="0.25"/>
    <row r="281166" s="12" customFormat="1" x14ac:dyDescent="0.25"/>
    <row r="281167" s="12" customFormat="1" x14ac:dyDescent="0.25"/>
    <row r="281168" s="12" customFormat="1" x14ac:dyDescent="0.25"/>
    <row r="281169" s="12" customFormat="1" x14ac:dyDescent="0.25"/>
    <row r="281170" s="12" customFormat="1" x14ac:dyDescent="0.25"/>
    <row r="281171" s="12" customFormat="1" x14ac:dyDescent="0.25"/>
    <row r="281172" s="12" customFormat="1" x14ac:dyDescent="0.25"/>
    <row r="281173" s="12" customFormat="1" x14ac:dyDescent="0.25"/>
    <row r="281174" s="12" customFormat="1" x14ac:dyDescent="0.25"/>
    <row r="281175" s="12" customFormat="1" x14ac:dyDescent="0.25"/>
    <row r="281176" s="12" customFormat="1" x14ac:dyDescent="0.25"/>
    <row r="281177" s="12" customFormat="1" x14ac:dyDescent="0.25"/>
    <row r="281178" s="12" customFormat="1" x14ac:dyDescent="0.25"/>
    <row r="281179" s="12" customFormat="1" x14ac:dyDescent="0.25"/>
    <row r="281180" s="12" customFormat="1" x14ac:dyDescent="0.25"/>
    <row r="281181" s="12" customFormat="1" x14ac:dyDescent="0.25"/>
    <row r="281182" s="12" customFormat="1" x14ac:dyDescent="0.25"/>
    <row r="281183" s="12" customFormat="1" x14ac:dyDescent="0.25"/>
    <row r="281184" s="12" customFormat="1" x14ac:dyDescent="0.25"/>
    <row r="281185" s="12" customFormat="1" x14ac:dyDescent="0.25"/>
    <row r="281186" s="12" customFormat="1" x14ac:dyDescent="0.25"/>
    <row r="281187" s="12" customFormat="1" x14ac:dyDescent="0.25"/>
    <row r="281188" s="12" customFormat="1" x14ac:dyDescent="0.25"/>
    <row r="281189" s="12" customFormat="1" x14ac:dyDescent="0.25"/>
    <row r="281190" s="12" customFormat="1" x14ac:dyDescent="0.25"/>
    <row r="281191" s="12" customFormat="1" x14ac:dyDescent="0.25"/>
    <row r="281192" s="12" customFormat="1" x14ac:dyDescent="0.25"/>
    <row r="281193" s="12" customFormat="1" x14ac:dyDescent="0.25"/>
    <row r="281194" s="12" customFormat="1" x14ac:dyDescent="0.25"/>
    <row r="281195" s="12" customFormat="1" x14ac:dyDescent="0.25"/>
    <row r="281196" s="12" customFormat="1" x14ac:dyDescent="0.25"/>
    <row r="281197" s="12" customFormat="1" x14ac:dyDescent="0.25"/>
    <row r="281198" s="12" customFormat="1" x14ac:dyDescent="0.25"/>
    <row r="281199" s="12" customFormat="1" x14ac:dyDescent="0.25"/>
    <row r="281200" s="12" customFormat="1" x14ac:dyDescent="0.25"/>
    <row r="281201" s="12" customFormat="1" x14ac:dyDescent="0.25"/>
    <row r="281202" s="12" customFormat="1" x14ac:dyDescent="0.25"/>
    <row r="281203" s="12" customFormat="1" x14ac:dyDescent="0.25"/>
    <row r="281204" s="12" customFormat="1" x14ac:dyDescent="0.25"/>
    <row r="281205" s="12" customFormat="1" x14ac:dyDescent="0.25"/>
    <row r="281206" s="12" customFormat="1" x14ac:dyDescent="0.25"/>
    <row r="281207" s="12" customFormat="1" x14ac:dyDescent="0.25"/>
    <row r="281208" s="12" customFormat="1" x14ac:dyDescent="0.25"/>
    <row r="281209" s="12" customFormat="1" x14ac:dyDescent="0.25"/>
    <row r="281210" s="12" customFormat="1" x14ac:dyDescent="0.25"/>
    <row r="281211" s="12" customFormat="1" x14ac:dyDescent="0.25"/>
    <row r="281212" s="12" customFormat="1" x14ac:dyDescent="0.25"/>
    <row r="281213" s="12" customFormat="1" x14ac:dyDescent="0.25"/>
    <row r="281214" s="12" customFormat="1" x14ac:dyDescent="0.25"/>
    <row r="281215" s="12" customFormat="1" x14ac:dyDescent="0.25"/>
    <row r="281216" s="12" customFormat="1" x14ac:dyDescent="0.25"/>
    <row r="281217" s="12" customFormat="1" x14ac:dyDescent="0.25"/>
    <row r="281218" s="12" customFormat="1" x14ac:dyDescent="0.25"/>
    <row r="281219" s="12" customFormat="1" x14ac:dyDescent="0.25"/>
    <row r="281220" s="12" customFormat="1" x14ac:dyDescent="0.25"/>
    <row r="281221" s="12" customFormat="1" x14ac:dyDescent="0.25"/>
    <row r="281222" s="12" customFormat="1" x14ac:dyDescent="0.25"/>
    <row r="281223" s="12" customFormat="1" x14ac:dyDescent="0.25"/>
    <row r="281224" s="12" customFormat="1" x14ac:dyDescent="0.25"/>
    <row r="281225" s="12" customFormat="1" x14ac:dyDescent="0.25"/>
    <row r="281226" s="12" customFormat="1" x14ac:dyDescent="0.25"/>
    <row r="281227" s="12" customFormat="1" x14ac:dyDescent="0.25"/>
    <row r="281228" s="12" customFormat="1" x14ac:dyDescent="0.25"/>
    <row r="281229" s="12" customFormat="1" x14ac:dyDescent="0.25"/>
    <row r="281230" s="12" customFormat="1" x14ac:dyDescent="0.25"/>
    <row r="281231" s="12" customFormat="1" x14ac:dyDescent="0.25"/>
    <row r="281232" s="12" customFormat="1" x14ac:dyDescent="0.25"/>
    <row r="281233" s="12" customFormat="1" x14ac:dyDescent="0.25"/>
    <row r="281234" s="12" customFormat="1" x14ac:dyDescent="0.25"/>
    <row r="281235" s="12" customFormat="1" x14ac:dyDescent="0.25"/>
    <row r="281236" s="12" customFormat="1" x14ac:dyDescent="0.25"/>
    <row r="281237" s="12" customFormat="1" x14ac:dyDescent="0.25"/>
    <row r="281238" s="12" customFormat="1" x14ac:dyDescent="0.25"/>
    <row r="281239" s="12" customFormat="1" x14ac:dyDescent="0.25"/>
    <row r="281240" s="12" customFormat="1" x14ac:dyDescent="0.25"/>
    <row r="281241" s="12" customFormat="1" x14ac:dyDescent="0.25"/>
    <row r="281242" s="12" customFormat="1" x14ac:dyDescent="0.25"/>
    <row r="281243" s="12" customFormat="1" x14ac:dyDescent="0.25"/>
    <row r="281244" s="12" customFormat="1" x14ac:dyDescent="0.25"/>
    <row r="281245" s="12" customFormat="1" x14ac:dyDescent="0.25"/>
    <row r="281246" s="12" customFormat="1" x14ac:dyDescent="0.25"/>
    <row r="281247" s="12" customFormat="1" x14ac:dyDescent="0.25"/>
    <row r="281248" s="12" customFormat="1" x14ac:dyDescent="0.25"/>
    <row r="281249" s="12" customFormat="1" x14ac:dyDescent="0.25"/>
    <row r="281250" s="12" customFormat="1" x14ac:dyDescent="0.25"/>
    <row r="281251" s="12" customFormat="1" x14ac:dyDescent="0.25"/>
    <row r="281252" s="12" customFormat="1" x14ac:dyDescent="0.25"/>
    <row r="281253" s="12" customFormat="1" x14ac:dyDescent="0.25"/>
    <row r="281254" s="12" customFormat="1" x14ac:dyDescent="0.25"/>
    <row r="281255" s="12" customFormat="1" x14ac:dyDescent="0.25"/>
    <row r="281256" s="12" customFormat="1" x14ac:dyDescent="0.25"/>
    <row r="281257" s="12" customFormat="1" x14ac:dyDescent="0.25"/>
    <row r="281258" s="12" customFormat="1" x14ac:dyDescent="0.25"/>
    <row r="281259" s="12" customFormat="1" x14ac:dyDescent="0.25"/>
    <row r="281260" s="12" customFormat="1" x14ac:dyDescent="0.25"/>
    <row r="281261" s="12" customFormat="1" x14ac:dyDescent="0.25"/>
    <row r="281262" s="12" customFormat="1" x14ac:dyDescent="0.25"/>
    <row r="281263" s="12" customFormat="1" x14ac:dyDescent="0.25"/>
    <row r="281264" s="12" customFormat="1" x14ac:dyDescent="0.25"/>
    <row r="281265" s="12" customFormat="1" x14ac:dyDescent="0.25"/>
    <row r="281266" s="12" customFormat="1" x14ac:dyDescent="0.25"/>
    <row r="281267" s="12" customFormat="1" x14ac:dyDescent="0.25"/>
    <row r="281268" s="12" customFormat="1" x14ac:dyDescent="0.25"/>
    <row r="281269" s="12" customFormat="1" x14ac:dyDescent="0.25"/>
    <row r="281270" s="12" customFormat="1" x14ac:dyDescent="0.25"/>
    <row r="281271" s="12" customFormat="1" x14ac:dyDescent="0.25"/>
    <row r="281272" s="12" customFormat="1" x14ac:dyDescent="0.25"/>
    <row r="281273" s="12" customFormat="1" x14ac:dyDescent="0.25"/>
    <row r="281274" s="12" customFormat="1" x14ac:dyDescent="0.25"/>
    <row r="281275" s="12" customFormat="1" x14ac:dyDescent="0.25"/>
    <row r="281276" s="12" customFormat="1" x14ac:dyDescent="0.25"/>
    <row r="281277" s="12" customFormat="1" x14ac:dyDescent="0.25"/>
    <row r="281278" s="12" customFormat="1" x14ac:dyDescent="0.25"/>
    <row r="281279" s="12" customFormat="1" x14ac:dyDescent="0.25"/>
    <row r="281280" s="12" customFormat="1" x14ac:dyDescent="0.25"/>
    <row r="281281" s="12" customFormat="1" x14ac:dyDescent="0.25"/>
    <row r="281282" s="12" customFormat="1" x14ac:dyDescent="0.25"/>
    <row r="281283" s="12" customFormat="1" x14ac:dyDescent="0.25"/>
    <row r="281284" s="12" customFormat="1" x14ac:dyDescent="0.25"/>
    <row r="281285" s="12" customFormat="1" x14ac:dyDescent="0.25"/>
    <row r="281286" s="12" customFormat="1" x14ac:dyDescent="0.25"/>
    <row r="281287" s="12" customFormat="1" x14ac:dyDescent="0.25"/>
    <row r="281288" s="12" customFormat="1" x14ac:dyDescent="0.25"/>
    <row r="281289" s="12" customFormat="1" x14ac:dyDescent="0.25"/>
    <row r="281290" s="12" customFormat="1" x14ac:dyDescent="0.25"/>
    <row r="281291" s="12" customFormat="1" x14ac:dyDescent="0.25"/>
    <row r="281292" s="12" customFormat="1" x14ac:dyDescent="0.25"/>
    <row r="281293" s="12" customFormat="1" x14ac:dyDescent="0.25"/>
    <row r="281294" s="12" customFormat="1" x14ac:dyDescent="0.25"/>
    <row r="281295" s="12" customFormat="1" x14ac:dyDescent="0.25"/>
    <row r="281296" s="12" customFormat="1" x14ac:dyDescent="0.25"/>
    <row r="281297" s="12" customFormat="1" x14ac:dyDescent="0.25"/>
    <row r="281298" s="12" customFormat="1" x14ac:dyDescent="0.25"/>
    <row r="281299" s="12" customFormat="1" x14ac:dyDescent="0.25"/>
    <row r="281300" s="12" customFormat="1" x14ac:dyDescent="0.25"/>
    <row r="281301" s="12" customFormat="1" x14ac:dyDescent="0.25"/>
    <row r="281302" s="12" customFormat="1" x14ac:dyDescent="0.25"/>
    <row r="281303" s="12" customFormat="1" x14ac:dyDescent="0.25"/>
    <row r="281304" s="12" customFormat="1" x14ac:dyDescent="0.25"/>
    <row r="281305" s="12" customFormat="1" x14ac:dyDescent="0.25"/>
    <row r="281306" s="12" customFormat="1" x14ac:dyDescent="0.25"/>
    <row r="281307" s="12" customFormat="1" x14ac:dyDescent="0.25"/>
    <row r="281308" s="12" customFormat="1" x14ac:dyDescent="0.25"/>
    <row r="281309" s="12" customFormat="1" x14ac:dyDescent="0.25"/>
    <row r="281310" s="12" customFormat="1" x14ac:dyDescent="0.25"/>
    <row r="281311" s="12" customFormat="1" x14ac:dyDescent="0.25"/>
    <row r="281312" s="12" customFormat="1" x14ac:dyDescent="0.25"/>
    <row r="281313" s="12" customFormat="1" x14ac:dyDescent="0.25"/>
    <row r="281314" s="12" customFormat="1" x14ac:dyDescent="0.25"/>
    <row r="281315" s="12" customFormat="1" x14ac:dyDescent="0.25"/>
    <row r="281316" s="12" customFormat="1" x14ac:dyDescent="0.25"/>
    <row r="281317" s="12" customFormat="1" x14ac:dyDescent="0.25"/>
    <row r="281318" s="12" customFormat="1" x14ac:dyDescent="0.25"/>
    <row r="281319" s="12" customFormat="1" x14ac:dyDescent="0.25"/>
    <row r="281320" s="12" customFormat="1" x14ac:dyDescent="0.25"/>
    <row r="281321" s="12" customFormat="1" x14ac:dyDescent="0.25"/>
    <row r="281322" s="12" customFormat="1" x14ac:dyDescent="0.25"/>
    <row r="281323" s="12" customFormat="1" x14ac:dyDescent="0.25"/>
    <row r="281324" s="12" customFormat="1" x14ac:dyDescent="0.25"/>
    <row r="281325" s="12" customFormat="1" x14ac:dyDescent="0.25"/>
    <row r="281326" s="12" customFormat="1" x14ac:dyDescent="0.25"/>
    <row r="281327" s="12" customFormat="1" x14ac:dyDescent="0.25"/>
    <row r="281328" s="12" customFormat="1" x14ac:dyDescent="0.25"/>
    <row r="281329" s="12" customFormat="1" x14ac:dyDescent="0.25"/>
    <row r="281330" s="12" customFormat="1" x14ac:dyDescent="0.25"/>
    <row r="281331" s="12" customFormat="1" x14ac:dyDescent="0.25"/>
    <row r="281332" s="12" customFormat="1" x14ac:dyDescent="0.25"/>
    <row r="281333" s="12" customFormat="1" x14ac:dyDescent="0.25"/>
    <row r="281334" s="12" customFormat="1" x14ac:dyDescent="0.25"/>
    <row r="281335" s="12" customFormat="1" x14ac:dyDescent="0.25"/>
    <row r="281336" s="12" customFormat="1" x14ac:dyDescent="0.25"/>
    <row r="281337" s="12" customFormat="1" x14ac:dyDescent="0.25"/>
    <row r="281338" s="12" customFormat="1" x14ac:dyDescent="0.25"/>
    <row r="281339" s="12" customFormat="1" x14ac:dyDescent="0.25"/>
    <row r="281340" s="12" customFormat="1" x14ac:dyDescent="0.25"/>
    <row r="281341" s="12" customFormat="1" x14ac:dyDescent="0.25"/>
    <row r="281342" s="12" customFormat="1" x14ac:dyDescent="0.25"/>
    <row r="281343" s="12" customFormat="1" x14ac:dyDescent="0.25"/>
    <row r="281344" s="12" customFormat="1" x14ac:dyDescent="0.25"/>
    <row r="281345" s="12" customFormat="1" x14ac:dyDescent="0.25"/>
    <row r="281346" s="12" customFormat="1" x14ac:dyDescent="0.25"/>
    <row r="281347" s="12" customFormat="1" x14ac:dyDescent="0.25"/>
    <row r="281348" s="12" customFormat="1" x14ac:dyDescent="0.25"/>
    <row r="281349" s="12" customFormat="1" x14ac:dyDescent="0.25"/>
    <row r="281350" s="12" customFormat="1" x14ac:dyDescent="0.25"/>
    <row r="281351" s="12" customFormat="1" x14ac:dyDescent="0.25"/>
    <row r="281352" s="12" customFormat="1" x14ac:dyDescent="0.25"/>
    <row r="281353" s="12" customFormat="1" x14ac:dyDescent="0.25"/>
    <row r="281354" s="12" customFormat="1" x14ac:dyDescent="0.25"/>
    <row r="281355" s="12" customFormat="1" x14ac:dyDescent="0.25"/>
    <row r="281356" s="12" customFormat="1" x14ac:dyDescent="0.25"/>
    <row r="281357" s="12" customFormat="1" x14ac:dyDescent="0.25"/>
    <row r="281358" s="12" customFormat="1" x14ac:dyDescent="0.25"/>
    <row r="281359" s="12" customFormat="1" x14ac:dyDescent="0.25"/>
    <row r="281360" s="12" customFormat="1" x14ac:dyDescent="0.25"/>
    <row r="281361" s="12" customFormat="1" x14ac:dyDescent="0.25"/>
    <row r="281362" s="12" customFormat="1" x14ac:dyDescent="0.25"/>
    <row r="281363" s="12" customFormat="1" x14ac:dyDescent="0.25"/>
    <row r="281364" s="12" customFormat="1" x14ac:dyDescent="0.25"/>
    <row r="281365" s="12" customFormat="1" x14ac:dyDescent="0.25"/>
    <row r="281366" s="12" customFormat="1" x14ac:dyDescent="0.25"/>
    <row r="281367" s="12" customFormat="1" x14ac:dyDescent="0.25"/>
    <row r="281368" s="12" customFormat="1" x14ac:dyDescent="0.25"/>
    <row r="281369" s="12" customFormat="1" x14ac:dyDescent="0.25"/>
    <row r="281370" s="12" customFormat="1" x14ac:dyDescent="0.25"/>
    <row r="281371" s="12" customFormat="1" x14ac:dyDescent="0.25"/>
    <row r="281372" s="12" customFormat="1" x14ac:dyDescent="0.25"/>
    <row r="281373" s="12" customFormat="1" x14ac:dyDescent="0.25"/>
    <row r="281374" s="12" customFormat="1" x14ac:dyDescent="0.25"/>
    <row r="281375" s="12" customFormat="1" x14ac:dyDescent="0.25"/>
    <row r="281376" s="12" customFormat="1" x14ac:dyDescent="0.25"/>
    <row r="281377" s="12" customFormat="1" x14ac:dyDescent="0.25"/>
    <row r="281378" s="12" customFormat="1" x14ac:dyDescent="0.25"/>
    <row r="281379" s="12" customFormat="1" x14ac:dyDescent="0.25"/>
    <row r="281380" s="12" customFormat="1" x14ac:dyDescent="0.25"/>
    <row r="281381" s="12" customFormat="1" x14ac:dyDescent="0.25"/>
    <row r="281382" s="12" customFormat="1" x14ac:dyDescent="0.25"/>
    <row r="281383" s="12" customFormat="1" x14ac:dyDescent="0.25"/>
    <row r="281384" s="12" customFormat="1" x14ac:dyDescent="0.25"/>
    <row r="281385" s="12" customFormat="1" x14ac:dyDescent="0.25"/>
    <row r="281386" s="12" customFormat="1" x14ac:dyDescent="0.25"/>
    <row r="281387" s="12" customFormat="1" x14ac:dyDescent="0.25"/>
    <row r="281388" s="12" customFormat="1" x14ac:dyDescent="0.25"/>
    <row r="281389" s="12" customFormat="1" x14ac:dyDescent="0.25"/>
    <row r="281390" s="12" customFormat="1" x14ac:dyDescent="0.25"/>
    <row r="281391" s="12" customFormat="1" x14ac:dyDescent="0.25"/>
    <row r="281392" s="12" customFormat="1" x14ac:dyDescent="0.25"/>
    <row r="281393" s="12" customFormat="1" x14ac:dyDescent="0.25"/>
    <row r="281394" s="12" customFormat="1" x14ac:dyDescent="0.25"/>
    <row r="281395" s="12" customFormat="1" x14ac:dyDescent="0.25"/>
    <row r="281396" s="12" customFormat="1" x14ac:dyDescent="0.25"/>
    <row r="281397" s="12" customFormat="1" x14ac:dyDescent="0.25"/>
    <row r="281398" s="12" customFormat="1" x14ac:dyDescent="0.25"/>
    <row r="281399" s="12" customFormat="1" x14ac:dyDescent="0.25"/>
    <row r="281400" s="12" customFormat="1" x14ac:dyDescent="0.25"/>
    <row r="281401" s="12" customFormat="1" x14ac:dyDescent="0.25"/>
    <row r="281402" s="12" customFormat="1" x14ac:dyDescent="0.25"/>
    <row r="281403" s="12" customFormat="1" x14ac:dyDescent="0.25"/>
    <row r="281404" s="12" customFormat="1" x14ac:dyDescent="0.25"/>
    <row r="281405" s="12" customFormat="1" x14ac:dyDescent="0.25"/>
    <row r="281406" s="12" customFormat="1" x14ac:dyDescent="0.25"/>
    <row r="281407" s="12" customFormat="1" x14ac:dyDescent="0.25"/>
    <row r="281408" s="12" customFormat="1" x14ac:dyDescent="0.25"/>
    <row r="281409" s="12" customFormat="1" x14ac:dyDescent="0.25"/>
    <row r="281410" s="12" customFormat="1" x14ac:dyDescent="0.25"/>
    <row r="281411" s="12" customFormat="1" x14ac:dyDescent="0.25"/>
    <row r="281412" s="12" customFormat="1" x14ac:dyDescent="0.25"/>
    <row r="281413" s="12" customFormat="1" x14ac:dyDescent="0.25"/>
    <row r="281414" s="12" customFormat="1" x14ac:dyDescent="0.25"/>
    <row r="281415" s="12" customFormat="1" x14ac:dyDescent="0.25"/>
    <row r="281416" s="12" customFormat="1" x14ac:dyDescent="0.25"/>
    <row r="281417" s="12" customFormat="1" x14ac:dyDescent="0.25"/>
    <row r="281418" s="12" customFormat="1" x14ac:dyDescent="0.25"/>
    <row r="281419" s="12" customFormat="1" x14ac:dyDescent="0.25"/>
    <row r="281420" s="12" customFormat="1" x14ac:dyDescent="0.25"/>
    <row r="281421" s="12" customFormat="1" x14ac:dyDescent="0.25"/>
    <row r="281422" s="12" customFormat="1" x14ac:dyDescent="0.25"/>
    <row r="281423" s="12" customFormat="1" x14ac:dyDescent="0.25"/>
    <row r="281424" s="12" customFormat="1" x14ac:dyDescent="0.25"/>
    <row r="281425" s="12" customFormat="1" x14ac:dyDescent="0.25"/>
    <row r="281426" s="12" customFormat="1" x14ac:dyDescent="0.25"/>
    <row r="281427" s="12" customFormat="1" x14ac:dyDescent="0.25"/>
    <row r="281428" s="12" customFormat="1" x14ac:dyDescent="0.25"/>
    <row r="281429" s="12" customFormat="1" x14ac:dyDescent="0.25"/>
    <row r="281430" s="12" customFormat="1" x14ac:dyDescent="0.25"/>
    <row r="281431" s="12" customFormat="1" x14ac:dyDescent="0.25"/>
    <row r="281432" s="12" customFormat="1" x14ac:dyDescent="0.25"/>
    <row r="281433" s="12" customFormat="1" x14ac:dyDescent="0.25"/>
    <row r="281434" s="12" customFormat="1" x14ac:dyDescent="0.25"/>
    <row r="281435" s="12" customFormat="1" x14ac:dyDescent="0.25"/>
    <row r="281436" s="12" customFormat="1" x14ac:dyDescent="0.25"/>
    <row r="281437" s="12" customFormat="1" x14ac:dyDescent="0.25"/>
    <row r="281438" s="12" customFormat="1" x14ac:dyDescent="0.25"/>
    <row r="281439" s="12" customFormat="1" x14ac:dyDescent="0.25"/>
    <row r="281440" s="12" customFormat="1" x14ac:dyDescent="0.25"/>
    <row r="281441" s="12" customFormat="1" x14ac:dyDescent="0.25"/>
    <row r="281442" s="12" customFormat="1" x14ac:dyDescent="0.25"/>
    <row r="281443" s="12" customFormat="1" x14ac:dyDescent="0.25"/>
    <row r="281444" s="12" customFormat="1" x14ac:dyDescent="0.25"/>
    <row r="281445" s="12" customFormat="1" x14ac:dyDescent="0.25"/>
    <row r="281446" s="12" customFormat="1" x14ac:dyDescent="0.25"/>
    <row r="281447" s="12" customFormat="1" x14ac:dyDescent="0.25"/>
    <row r="281448" s="12" customFormat="1" x14ac:dyDescent="0.25"/>
    <row r="281449" s="12" customFormat="1" x14ac:dyDescent="0.25"/>
    <row r="281450" s="12" customFormat="1" x14ac:dyDescent="0.25"/>
    <row r="281451" s="12" customFormat="1" x14ac:dyDescent="0.25"/>
    <row r="281452" s="12" customFormat="1" x14ac:dyDescent="0.25"/>
    <row r="281453" s="12" customFormat="1" x14ac:dyDescent="0.25"/>
    <row r="281454" s="12" customFormat="1" x14ac:dyDescent="0.25"/>
    <row r="281455" s="12" customFormat="1" x14ac:dyDescent="0.25"/>
    <row r="281456" s="12" customFormat="1" x14ac:dyDescent="0.25"/>
    <row r="281457" s="12" customFormat="1" x14ac:dyDescent="0.25"/>
    <row r="281458" s="12" customFormat="1" x14ac:dyDescent="0.25"/>
    <row r="281459" s="12" customFormat="1" x14ac:dyDescent="0.25"/>
    <row r="281460" s="12" customFormat="1" x14ac:dyDescent="0.25"/>
    <row r="281461" s="12" customFormat="1" x14ac:dyDescent="0.25"/>
    <row r="281462" s="12" customFormat="1" x14ac:dyDescent="0.25"/>
    <row r="281463" s="12" customFormat="1" x14ac:dyDescent="0.25"/>
    <row r="281464" s="12" customFormat="1" x14ac:dyDescent="0.25"/>
    <row r="281465" s="12" customFormat="1" x14ac:dyDescent="0.25"/>
    <row r="281466" s="12" customFormat="1" x14ac:dyDescent="0.25"/>
    <row r="281467" s="12" customFormat="1" x14ac:dyDescent="0.25"/>
    <row r="281468" s="12" customFormat="1" x14ac:dyDescent="0.25"/>
    <row r="281469" s="12" customFormat="1" x14ac:dyDescent="0.25"/>
    <row r="281470" s="12" customFormat="1" x14ac:dyDescent="0.25"/>
    <row r="281471" s="12" customFormat="1" x14ac:dyDescent="0.25"/>
    <row r="281472" s="12" customFormat="1" x14ac:dyDescent="0.25"/>
    <row r="281473" s="12" customFormat="1" x14ac:dyDescent="0.25"/>
    <row r="281474" s="12" customFormat="1" x14ac:dyDescent="0.25"/>
    <row r="281475" s="12" customFormat="1" x14ac:dyDescent="0.25"/>
    <row r="281476" s="12" customFormat="1" x14ac:dyDescent="0.25"/>
    <row r="281477" s="12" customFormat="1" x14ac:dyDescent="0.25"/>
    <row r="281478" s="12" customFormat="1" x14ac:dyDescent="0.25"/>
    <row r="281479" s="12" customFormat="1" x14ac:dyDescent="0.25"/>
    <row r="281480" s="12" customFormat="1" x14ac:dyDescent="0.25"/>
    <row r="281481" s="12" customFormat="1" x14ac:dyDescent="0.25"/>
    <row r="281482" s="12" customFormat="1" x14ac:dyDescent="0.25"/>
    <row r="281483" s="12" customFormat="1" x14ac:dyDescent="0.25"/>
    <row r="281484" s="12" customFormat="1" x14ac:dyDescent="0.25"/>
    <row r="281485" s="12" customFormat="1" x14ac:dyDescent="0.25"/>
    <row r="281486" s="12" customFormat="1" x14ac:dyDescent="0.25"/>
    <row r="281487" s="12" customFormat="1" x14ac:dyDescent="0.25"/>
    <row r="281488" s="12" customFormat="1" x14ac:dyDescent="0.25"/>
    <row r="281489" s="12" customFormat="1" x14ac:dyDescent="0.25"/>
    <row r="281490" s="12" customFormat="1" x14ac:dyDescent="0.25"/>
    <row r="281491" s="12" customFormat="1" x14ac:dyDescent="0.25"/>
    <row r="281492" s="12" customFormat="1" x14ac:dyDescent="0.25"/>
    <row r="281493" s="12" customFormat="1" x14ac:dyDescent="0.25"/>
    <row r="281494" s="12" customFormat="1" x14ac:dyDescent="0.25"/>
    <row r="281495" s="12" customFormat="1" x14ac:dyDescent="0.25"/>
    <row r="281496" s="12" customFormat="1" x14ac:dyDescent="0.25"/>
    <row r="281497" s="12" customFormat="1" x14ac:dyDescent="0.25"/>
    <row r="281498" s="12" customFormat="1" x14ac:dyDescent="0.25"/>
    <row r="281499" s="12" customFormat="1" x14ac:dyDescent="0.25"/>
    <row r="281500" s="12" customFormat="1" x14ac:dyDescent="0.25"/>
    <row r="281501" s="12" customFormat="1" x14ac:dyDescent="0.25"/>
    <row r="281502" s="12" customFormat="1" x14ac:dyDescent="0.25"/>
    <row r="281503" s="12" customFormat="1" x14ac:dyDescent="0.25"/>
    <row r="281504" s="12" customFormat="1" x14ac:dyDescent="0.25"/>
    <row r="281505" s="12" customFormat="1" x14ac:dyDescent="0.25"/>
    <row r="281506" s="12" customFormat="1" x14ac:dyDescent="0.25"/>
    <row r="281507" s="12" customFormat="1" x14ac:dyDescent="0.25"/>
    <row r="281508" s="12" customFormat="1" x14ac:dyDescent="0.25"/>
    <row r="281509" s="12" customFormat="1" x14ac:dyDescent="0.25"/>
    <row r="281510" s="12" customFormat="1" x14ac:dyDescent="0.25"/>
    <row r="281511" s="12" customFormat="1" x14ac:dyDescent="0.25"/>
    <row r="281512" s="12" customFormat="1" x14ac:dyDescent="0.25"/>
    <row r="281513" s="12" customFormat="1" x14ac:dyDescent="0.25"/>
    <row r="281514" s="12" customFormat="1" x14ac:dyDescent="0.25"/>
    <row r="281515" s="12" customFormat="1" x14ac:dyDescent="0.25"/>
    <row r="281516" s="12" customFormat="1" x14ac:dyDescent="0.25"/>
    <row r="281517" s="12" customFormat="1" x14ac:dyDescent="0.25"/>
    <row r="281518" s="12" customFormat="1" x14ac:dyDescent="0.25"/>
    <row r="281519" s="12" customFormat="1" x14ac:dyDescent="0.25"/>
    <row r="281520" s="12" customFormat="1" x14ac:dyDescent="0.25"/>
    <row r="281521" s="12" customFormat="1" x14ac:dyDescent="0.25"/>
    <row r="281522" s="12" customFormat="1" x14ac:dyDescent="0.25"/>
    <row r="281523" s="12" customFormat="1" x14ac:dyDescent="0.25"/>
    <row r="281524" s="12" customFormat="1" x14ac:dyDescent="0.25"/>
    <row r="281525" s="12" customFormat="1" x14ac:dyDescent="0.25"/>
    <row r="281526" s="12" customFormat="1" x14ac:dyDescent="0.25"/>
    <row r="281527" s="12" customFormat="1" x14ac:dyDescent="0.25"/>
    <row r="281528" s="12" customFormat="1" x14ac:dyDescent="0.25"/>
    <row r="281529" s="12" customFormat="1" x14ac:dyDescent="0.25"/>
    <row r="281530" s="12" customFormat="1" x14ac:dyDescent="0.25"/>
    <row r="281531" s="12" customFormat="1" x14ac:dyDescent="0.25"/>
    <row r="281532" s="12" customFormat="1" x14ac:dyDescent="0.25"/>
    <row r="281533" s="12" customFormat="1" x14ac:dyDescent="0.25"/>
    <row r="281534" s="12" customFormat="1" x14ac:dyDescent="0.25"/>
    <row r="281535" s="12" customFormat="1" x14ac:dyDescent="0.25"/>
    <row r="281536" s="12" customFormat="1" x14ac:dyDescent="0.25"/>
    <row r="281537" s="12" customFormat="1" x14ac:dyDescent="0.25"/>
    <row r="281538" s="12" customFormat="1" x14ac:dyDescent="0.25"/>
    <row r="281539" s="12" customFormat="1" x14ac:dyDescent="0.25"/>
    <row r="281540" s="12" customFormat="1" x14ac:dyDescent="0.25"/>
    <row r="281541" s="12" customFormat="1" x14ac:dyDescent="0.25"/>
    <row r="281542" s="12" customFormat="1" x14ac:dyDescent="0.25"/>
    <row r="281543" s="12" customFormat="1" x14ac:dyDescent="0.25"/>
    <row r="281544" s="12" customFormat="1" x14ac:dyDescent="0.25"/>
    <row r="281545" s="12" customFormat="1" x14ac:dyDescent="0.25"/>
    <row r="281546" s="12" customFormat="1" x14ac:dyDescent="0.25"/>
    <row r="281547" s="12" customFormat="1" x14ac:dyDescent="0.25"/>
    <row r="281548" s="12" customFormat="1" x14ac:dyDescent="0.25"/>
    <row r="281549" s="12" customFormat="1" x14ac:dyDescent="0.25"/>
    <row r="281550" s="12" customFormat="1" x14ac:dyDescent="0.25"/>
    <row r="281551" s="12" customFormat="1" x14ac:dyDescent="0.25"/>
    <row r="281552" s="12" customFormat="1" x14ac:dyDescent="0.25"/>
    <row r="281553" s="12" customFormat="1" x14ac:dyDescent="0.25"/>
    <row r="281554" s="12" customFormat="1" x14ac:dyDescent="0.25"/>
    <row r="281555" s="12" customFormat="1" x14ac:dyDescent="0.25"/>
    <row r="281556" s="12" customFormat="1" x14ac:dyDescent="0.25"/>
    <row r="281557" s="12" customFormat="1" x14ac:dyDescent="0.25"/>
    <row r="281558" s="12" customFormat="1" x14ac:dyDescent="0.25"/>
    <row r="281559" s="12" customFormat="1" x14ac:dyDescent="0.25"/>
    <row r="281560" s="12" customFormat="1" x14ac:dyDescent="0.25"/>
    <row r="281561" s="12" customFormat="1" x14ac:dyDescent="0.25"/>
    <row r="281562" s="12" customFormat="1" x14ac:dyDescent="0.25"/>
    <row r="281563" s="12" customFormat="1" x14ac:dyDescent="0.25"/>
    <row r="281564" s="12" customFormat="1" x14ac:dyDescent="0.25"/>
    <row r="281565" s="12" customFormat="1" x14ac:dyDescent="0.25"/>
    <row r="281566" s="12" customFormat="1" x14ac:dyDescent="0.25"/>
    <row r="281567" s="12" customFormat="1" x14ac:dyDescent="0.25"/>
    <row r="281568" s="12" customFormat="1" x14ac:dyDescent="0.25"/>
    <row r="281569" s="12" customFormat="1" x14ac:dyDescent="0.25"/>
    <row r="281570" s="12" customFormat="1" x14ac:dyDescent="0.25"/>
    <row r="281571" s="12" customFormat="1" x14ac:dyDescent="0.25"/>
    <row r="281572" s="12" customFormat="1" x14ac:dyDescent="0.25"/>
    <row r="281573" s="12" customFormat="1" x14ac:dyDescent="0.25"/>
    <row r="281574" s="12" customFormat="1" x14ac:dyDescent="0.25"/>
    <row r="281575" s="12" customFormat="1" x14ac:dyDescent="0.25"/>
    <row r="281576" s="12" customFormat="1" x14ac:dyDescent="0.25"/>
    <row r="281577" s="12" customFormat="1" x14ac:dyDescent="0.25"/>
    <row r="281578" s="12" customFormat="1" x14ac:dyDescent="0.25"/>
    <row r="281579" s="12" customFormat="1" x14ac:dyDescent="0.25"/>
    <row r="281580" s="12" customFormat="1" x14ac:dyDescent="0.25"/>
    <row r="281581" s="12" customFormat="1" x14ac:dyDescent="0.25"/>
    <row r="281582" s="12" customFormat="1" x14ac:dyDescent="0.25"/>
    <row r="281583" s="12" customFormat="1" x14ac:dyDescent="0.25"/>
    <row r="281584" s="12" customFormat="1" x14ac:dyDescent="0.25"/>
    <row r="281585" s="12" customFormat="1" x14ac:dyDescent="0.25"/>
    <row r="281586" s="12" customFormat="1" x14ac:dyDescent="0.25"/>
    <row r="281587" s="12" customFormat="1" x14ac:dyDescent="0.25"/>
    <row r="281588" s="12" customFormat="1" x14ac:dyDescent="0.25"/>
    <row r="281589" s="12" customFormat="1" x14ac:dyDescent="0.25"/>
    <row r="281590" s="12" customFormat="1" x14ac:dyDescent="0.25"/>
    <row r="281591" s="12" customFormat="1" x14ac:dyDescent="0.25"/>
    <row r="281592" s="12" customFormat="1" x14ac:dyDescent="0.25"/>
    <row r="281593" s="12" customFormat="1" x14ac:dyDescent="0.25"/>
    <row r="281594" s="12" customFormat="1" x14ac:dyDescent="0.25"/>
    <row r="281595" s="12" customFormat="1" x14ac:dyDescent="0.25"/>
    <row r="281596" s="12" customFormat="1" x14ac:dyDescent="0.25"/>
    <row r="281597" s="12" customFormat="1" x14ac:dyDescent="0.25"/>
    <row r="281598" s="12" customFormat="1" x14ac:dyDescent="0.25"/>
    <row r="281599" s="12" customFormat="1" x14ac:dyDescent="0.25"/>
    <row r="281600" s="12" customFormat="1" x14ac:dyDescent="0.25"/>
    <row r="281601" s="12" customFormat="1" x14ac:dyDescent="0.25"/>
    <row r="281602" s="12" customFormat="1" x14ac:dyDescent="0.25"/>
    <row r="281603" s="12" customFormat="1" x14ac:dyDescent="0.25"/>
    <row r="281604" s="12" customFormat="1" x14ac:dyDescent="0.25"/>
    <row r="281605" s="12" customFormat="1" x14ac:dyDescent="0.25"/>
    <row r="281606" s="12" customFormat="1" x14ac:dyDescent="0.25"/>
    <row r="281607" s="12" customFormat="1" x14ac:dyDescent="0.25"/>
    <row r="281608" s="12" customFormat="1" x14ac:dyDescent="0.25"/>
    <row r="281609" s="12" customFormat="1" x14ac:dyDescent="0.25"/>
    <row r="281610" s="12" customFormat="1" x14ac:dyDescent="0.25"/>
    <row r="281611" s="12" customFormat="1" x14ac:dyDescent="0.25"/>
    <row r="281612" s="12" customFormat="1" x14ac:dyDescent="0.25"/>
    <row r="281613" s="12" customFormat="1" x14ac:dyDescent="0.25"/>
    <row r="281614" s="12" customFormat="1" x14ac:dyDescent="0.25"/>
    <row r="281615" s="12" customFormat="1" x14ac:dyDescent="0.25"/>
    <row r="281616" s="12" customFormat="1" x14ac:dyDescent="0.25"/>
    <row r="281617" s="12" customFormat="1" x14ac:dyDescent="0.25"/>
    <row r="281618" s="12" customFormat="1" x14ac:dyDescent="0.25"/>
    <row r="281619" s="12" customFormat="1" x14ac:dyDescent="0.25"/>
    <row r="281620" s="12" customFormat="1" x14ac:dyDescent="0.25"/>
    <row r="281621" s="12" customFormat="1" x14ac:dyDescent="0.25"/>
    <row r="281622" s="12" customFormat="1" x14ac:dyDescent="0.25"/>
    <row r="281623" s="12" customFormat="1" x14ac:dyDescent="0.25"/>
    <row r="281624" s="12" customFormat="1" x14ac:dyDescent="0.25"/>
    <row r="281625" s="12" customFormat="1" x14ac:dyDescent="0.25"/>
    <row r="281626" s="12" customFormat="1" x14ac:dyDescent="0.25"/>
    <row r="281627" s="12" customFormat="1" x14ac:dyDescent="0.25"/>
    <row r="281628" s="12" customFormat="1" x14ac:dyDescent="0.25"/>
    <row r="281629" s="12" customFormat="1" x14ac:dyDescent="0.25"/>
    <row r="281630" s="12" customFormat="1" x14ac:dyDescent="0.25"/>
    <row r="281631" s="12" customFormat="1" x14ac:dyDescent="0.25"/>
    <row r="281632" s="12" customFormat="1" x14ac:dyDescent="0.25"/>
    <row r="281633" s="12" customFormat="1" x14ac:dyDescent="0.25"/>
    <row r="281634" s="12" customFormat="1" x14ac:dyDescent="0.25"/>
    <row r="281635" s="12" customFormat="1" x14ac:dyDescent="0.25"/>
    <row r="281636" s="12" customFormat="1" x14ac:dyDescent="0.25"/>
    <row r="281637" s="12" customFormat="1" x14ac:dyDescent="0.25"/>
    <row r="281638" s="12" customFormat="1" x14ac:dyDescent="0.25"/>
    <row r="281639" s="12" customFormat="1" x14ac:dyDescent="0.25"/>
    <row r="281640" s="12" customFormat="1" x14ac:dyDescent="0.25"/>
    <row r="281641" s="12" customFormat="1" x14ac:dyDescent="0.25"/>
    <row r="281642" s="12" customFormat="1" x14ac:dyDescent="0.25"/>
    <row r="281643" s="12" customFormat="1" x14ac:dyDescent="0.25"/>
    <row r="281644" s="12" customFormat="1" x14ac:dyDescent="0.25"/>
    <row r="281645" s="12" customFormat="1" x14ac:dyDescent="0.25"/>
    <row r="281646" s="12" customFormat="1" x14ac:dyDescent="0.25"/>
    <row r="281647" s="12" customFormat="1" x14ac:dyDescent="0.25"/>
    <row r="281648" s="12" customFormat="1" x14ac:dyDescent="0.25"/>
    <row r="281649" s="12" customFormat="1" x14ac:dyDescent="0.25"/>
    <row r="281650" s="12" customFormat="1" x14ac:dyDescent="0.25"/>
    <row r="281651" s="12" customFormat="1" x14ac:dyDescent="0.25"/>
    <row r="281652" s="12" customFormat="1" x14ac:dyDescent="0.25"/>
    <row r="281653" s="12" customFormat="1" x14ac:dyDescent="0.25"/>
    <row r="281654" s="12" customFormat="1" x14ac:dyDescent="0.25"/>
    <row r="281655" s="12" customFormat="1" x14ac:dyDescent="0.25"/>
    <row r="281656" s="12" customFormat="1" x14ac:dyDescent="0.25"/>
    <row r="281657" s="12" customFormat="1" x14ac:dyDescent="0.25"/>
    <row r="281658" s="12" customFormat="1" x14ac:dyDescent="0.25"/>
    <row r="281659" s="12" customFormat="1" x14ac:dyDescent="0.25"/>
    <row r="281660" s="12" customFormat="1" x14ac:dyDescent="0.25"/>
    <row r="281661" s="12" customFormat="1" x14ac:dyDescent="0.25"/>
    <row r="281662" s="12" customFormat="1" x14ac:dyDescent="0.25"/>
    <row r="281663" s="12" customFormat="1" x14ac:dyDescent="0.25"/>
    <row r="281664" s="12" customFormat="1" x14ac:dyDescent="0.25"/>
    <row r="281665" s="12" customFormat="1" x14ac:dyDescent="0.25"/>
    <row r="281666" s="12" customFormat="1" x14ac:dyDescent="0.25"/>
    <row r="281667" s="12" customFormat="1" x14ac:dyDescent="0.25"/>
    <row r="281668" s="12" customFormat="1" x14ac:dyDescent="0.25"/>
    <row r="281669" s="12" customFormat="1" x14ac:dyDescent="0.25"/>
    <row r="281670" s="12" customFormat="1" x14ac:dyDescent="0.25"/>
    <row r="281671" s="12" customFormat="1" x14ac:dyDescent="0.25"/>
    <row r="281672" s="12" customFormat="1" x14ac:dyDescent="0.25"/>
    <row r="281673" s="12" customFormat="1" x14ac:dyDescent="0.25"/>
    <row r="281674" s="12" customFormat="1" x14ac:dyDescent="0.25"/>
    <row r="281675" s="12" customFormat="1" x14ac:dyDescent="0.25"/>
    <row r="281676" s="12" customFormat="1" x14ac:dyDescent="0.25"/>
    <row r="281677" s="12" customFormat="1" x14ac:dyDescent="0.25"/>
    <row r="281678" s="12" customFormat="1" x14ac:dyDescent="0.25"/>
    <row r="281679" s="12" customFormat="1" x14ac:dyDescent="0.25"/>
    <row r="281680" s="12" customFormat="1" x14ac:dyDescent="0.25"/>
    <row r="281681" s="12" customFormat="1" x14ac:dyDescent="0.25"/>
    <row r="281682" s="12" customFormat="1" x14ac:dyDescent="0.25"/>
    <row r="281683" s="12" customFormat="1" x14ac:dyDescent="0.25"/>
    <row r="281684" s="12" customFormat="1" x14ac:dyDescent="0.25"/>
    <row r="281685" s="12" customFormat="1" x14ac:dyDescent="0.25"/>
    <row r="281686" s="12" customFormat="1" x14ac:dyDescent="0.25"/>
    <row r="281687" s="12" customFormat="1" x14ac:dyDescent="0.25"/>
    <row r="281688" s="12" customFormat="1" x14ac:dyDescent="0.25"/>
    <row r="281689" s="12" customFormat="1" x14ac:dyDescent="0.25"/>
    <row r="281690" s="12" customFormat="1" x14ac:dyDescent="0.25"/>
    <row r="281691" s="12" customFormat="1" x14ac:dyDescent="0.25"/>
    <row r="281692" s="12" customFormat="1" x14ac:dyDescent="0.25"/>
    <row r="281693" s="12" customFormat="1" x14ac:dyDescent="0.25"/>
    <row r="281694" s="12" customFormat="1" x14ac:dyDescent="0.25"/>
    <row r="281695" s="12" customFormat="1" x14ac:dyDescent="0.25"/>
    <row r="281696" s="12" customFormat="1" x14ac:dyDescent="0.25"/>
    <row r="281697" s="12" customFormat="1" x14ac:dyDescent="0.25"/>
    <row r="281698" s="12" customFormat="1" x14ac:dyDescent="0.25"/>
    <row r="281699" s="12" customFormat="1" x14ac:dyDescent="0.25"/>
    <row r="281700" s="12" customFormat="1" x14ac:dyDescent="0.25"/>
    <row r="281701" s="12" customFormat="1" x14ac:dyDescent="0.25"/>
    <row r="281702" s="12" customFormat="1" x14ac:dyDescent="0.25"/>
    <row r="281703" s="12" customFormat="1" x14ac:dyDescent="0.25"/>
    <row r="281704" s="12" customFormat="1" x14ac:dyDescent="0.25"/>
    <row r="281705" s="12" customFormat="1" x14ac:dyDescent="0.25"/>
    <row r="281706" s="12" customFormat="1" x14ac:dyDescent="0.25"/>
    <row r="281707" s="12" customFormat="1" x14ac:dyDescent="0.25"/>
    <row r="281708" s="12" customFormat="1" x14ac:dyDescent="0.25"/>
    <row r="281709" s="12" customFormat="1" x14ac:dyDescent="0.25"/>
    <row r="281710" s="12" customFormat="1" x14ac:dyDescent="0.25"/>
    <row r="281711" s="12" customFormat="1" x14ac:dyDescent="0.25"/>
    <row r="281712" s="12" customFormat="1" x14ac:dyDescent="0.25"/>
    <row r="281713" s="12" customFormat="1" x14ac:dyDescent="0.25"/>
    <row r="281714" s="12" customFormat="1" x14ac:dyDescent="0.25"/>
    <row r="281715" s="12" customFormat="1" x14ac:dyDescent="0.25"/>
    <row r="281716" s="12" customFormat="1" x14ac:dyDescent="0.25"/>
    <row r="281717" s="12" customFormat="1" x14ac:dyDescent="0.25"/>
    <row r="281718" s="12" customFormat="1" x14ac:dyDescent="0.25"/>
    <row r="281719" s="12" customFormat="1" x14ac:dyDescent="0.25"/>
    <row r="281720" s="12" customFormat="1" x14ac:dyDescent="0.25"/>
    <row r="281721" s="12" customFormat="1" x14ac:dyDescent="0.25"/>
    <row r="281722" s="12" customFormat="1" x14ac:dyDescent="0.25"/>
    <row r="281723" s="12" customFormat="1" x14ac:dyDescent="0.25"/>
    <row r="281724" s="12" customFormat="1" x14ac:dyDescent="0.25"/>
    <row r="281725" s="12" customFormat="1" x14ac:dyDescent="0.25"/>
    <row r="281726" s="12" customFormat="1" x14ac:dyDescent="0.25"/>
    <row r="281727" s="12" customFormat="1" x14ac:dyDescent="0.25"/>
    <row r="281728" s="12" customFormat="1" x14ac:dyDescent="0.25"/>
    <row r="281729" s="12" customFormat="1" x14ac:dyDescent="0.25"/>
    <row r="281730" s="12" customFormat="1" x14ac:dyDescent="0.25"/>
    <row r="281731" s="12" customFormat="1" x14ac:dyDescent="0.25"/>
    <row r="281732" s="12" customFormat="1" x14ac:dyDescent="0.25"/>
    <row r="281733" s="12" customFormat="1" x14ac:dyDescent="0.25"/>
    <row r="281734" s="12" customFormat="1" x14ac:dyDescent="0.25"/>
    <row r="281735" s="12" customFormat="1" x14ac:dyDescent="0.25"/>
    <row r="281736" s="12" customFormat="1" x14ac:dyDescent="0.25"/>
    <row r="281737" s="12" customFormat="1" x14ac:dyDescent="0.25"/>
    <row r="281738" s="12" customFormat="1" x14ac:dyDescent="0.25"/>
    <row r="281739" s="12" customFormat="1" x14ac:dyDescent="0.25"/>
    <row r="281740" s="12" customFormat="1" x14ac:dyDescent="0.25"/>
    <row r="281741" s="12" customFormat="1" x14ac:dyDescent="0.25"/>
    <row r="281742" s="12" customFormat="1" x14ac:dyDescent="0.25"/>
    <row r="281743" s="12" customFormat="1" x14ac:dyDescent="0.25"/>
    <row r="281744" s="12" customFormat="1" x14ac:dyDescent="0.25"/>
    <row r="281745" s="12" customFormat="1" x14ac:dyDescent="0.25"/>
    <row r="281746" s="12" customFormat="1" x14ac:dyDescent="0.25"/>
    <row r="281747" s="12" customFormat="1" x14ac:dyDescent="0.25"/>
    <row r="281748" s="12" customFormat="1" x14ac:dyDescent="0.25"/>
    <row r="281749" s="12" customFormat="1" x14ac:dyDescent="0.25"/>
    <row r="281750" s="12" customFormat="1" x14ac:dyDescent="0.25"/>
    <row r="281751" s="12" customFormat="1" x14ac:dyDescent="0.25"/>
    <row r="281752" s="12" customFormat="1" x14ac:dyDescent="0.25"/>
    <row r="281753" s="12" customFormat="1" x14ac:dyDescent="0.25"/>
    <row r="281754" s="12" customFormat="1" x14ac:dyDescent="0.25"/>
    <row r="281755" s="12" customFormat="1" x14ac:dyDescent="0.25"/>
    <row r="281756" s="12" customFormat="1" x14ac:dyDescent="0.25"/>
    <row r="281757" s="12" customFormat="1" x14ac:dyDescent="0.25"/>
    <row r="281758" s="12" customFormat="1" x14ac:dyDescent="0.25"/>
    <row r="281759" s="12" customFormat="1" x14ac:dyDescent="0.25"/>
    <row r="281760" s="12" customFormat="1" x14ac:dyDescent="0.25"/>
    <row r="281761" s="12" customFormat="1" x14ac:dyDescent="0.25"/>
    <row r="281762" s="12" customFormat="1" x14ac:dyDescent="0.25"/>
    <row r="281763" s="12" customFormat="1" x14ac:dyDescent="0.25"/>
    <row r="281764" s="12" customFormat="1" x14ac:dyDescent="0.25"/>
    <row r="281765" s="12" customFormat="1" x14ac:dyDescent="0.25"/>
    <row r="281766" s="12" customFormat="1" x14ac:dyDescent="0.25"/>
    <row r="281767" s="12" customFormat="1" x14ac:dyDescent="0.25"/>
    <row r="281768" s="12" customFormat="1" x14ac:dyDescent="0.25"/>
    <row r="281769" s="12" customFormat="1" x14ac:dyDescent="0.25"/>
    <row r="281770" s="12" customFormat="1" x14ac:dyDescent="0.25"/>
    <row r="281771" s="12" customFormat="1" x14ac:dyDescent="0.25"/>
    <row r="281772" s="12" customFormat="1" x14ac:dyDescent="0.25"/>
    <row r="281773" s="12" customFormat="1" x14ac:dyDescent="0.25"/>
    <row r="281774" s="12" customFormat="1" x14ac:dyDescent="0.25"/>
    <row r="281775" s="12" customFormat="1" x14ac:dyDescent="0.25"/>
    <row r="281776" s="12" customFormat="1" x14ac:dyDescent="0.25"/>
    <row r="281777" s="12" customFormat="1" x14ac:dyDescent="0.25"/>
    <row r="281778" s="12" customFormat="1" x14ac:dyDescent="0.25"/>
    <row r="281779" s="12" customFormat="1" x14ac:dyDescent="0.25"/>
    <row r="281780" s="12" customFormat="1" x14ac:dyDescent="0.25"/>
    <row r="281781" s="12" customFormat="1" x14ac:dyDescent="0.25"/>
    <row r="281782" s="12" customFormat="1" x14ac:dyDescent="0.25"/>
    <row r="281783" s="12" customFormat="1" x14ac:dyDescent="0.25"/>
    <row r="281784" s="12" customFormat="1" x14ac:dyDescent="0.25"/>
    <row r="281785" s="12" customFormat="1" x14ac:dyDescent="0.25"/>
    <row r="281786" s="12" customFormat="1" x14ac:dyDescent="0.25"/>
    <row r="281787" s="12" customFormat="1" x14ac:dyDescent="0.25"/>
    <row r="281788" s="12" customFormat="1" x14ac:dyDescent="0.25"/>
    <row r="281789" s="12" customFormat="1" x14ac:dyDescent="0.25"/>
    <row r="281790" s="12" customFormat="1" x14ac:dyDescent="0.25"/>
    <row r="281791" s="12" customFormat="1" x14ac:dyDescent="0.25"/>
    <row r="281792" s="12" customFormat="1" x14ac:dyDescent="0.25"/>
    <row r="281793" s="12" customFormat="1" x14ac:dyDescent="0.25"/>
    <row r="281794" s="12" customFormat="1" x14ac:dyDescent="0.25"/>
    <row r="281795" s="12" customFormat="1" x14ac:dyDescent="0.25"/>
    <row r="281796" s="12" customFormat="1" x14ac:dyDescent="0.25"/>
    <row r="281797" s="12" customFormat="1" x14ac:dyDescent="0.25"/>
    <row r="281798" s="12" customFormat="1" x14ac:dyDescent="0.25"/>
    <row r="281799" s="12" customFormat="1" x14ac:dyDescent="0.25"/>
    <row r="281800" s="12" customFormat="1" x14ac:dyDescent="0.25"/>
    <row r="281801" s="12" customFormat="1" x14ac:dyDescent="0.25"/>
    <row r="281802" s="12" customFormat="1" x14ac:dyDescent="0.25"/>
    <row r="281803" s="12" customFormat="1" x14ac:dyDescent="0.25"/>
    <row r="281804" s="12" customFormat="1" x14ac:dyDescent="0.25"/>
    <row r="281805" s="12" customFormat="1" x14ac:dyDescent="0.25"/>
    <row r="281806" s="12" customFormat="1" x14ac:dyDescent="0.25"/>
    <row r="281807" s="12" customFormat="1" x14ac:dyDescent="0.25"/>
    <row r="281808" s="12" customFormat="1" x14ac:dyDescent="0.25"/>
    <row r="281809" s="12" customFormat="1" x14ac:dyDescent="0.25"/>
    <row r="281810" s="12" customFormat="1" x14ac:dyDescent="0.25"/>
    <row r="281811" s="12" customFormat="1" x14ac:dyDescent="0.25"/>
    <row r="281812" s="12" customFormat="1" x14ac:dyDescent="0.25"/>
    <row r="281813" s="12" customFormat="1" x14ac:dyDescent="0.25"/>
    <row r="281814" s="12" customFormat="1" x14ac:dyDescent="0.25"/>
    <row r="281815" s="12" customFormat="1" x14ac:dyDescent="0.25"/>
    <row r="281816" s="12" customFormat="1" x14ac:dyDescent="0.25"/>
    <row r="281817" s="12" customFormat="1" x14ac:dyDescent="0.25"/>
    <row r="281818" s="12" customFormat="1" x14ac:dyDescent="0.25"/>
    <row r="281819" s="12" customFormat="1" x14ac:dyDescent="0.25"/>
    <row r="281820" s="12" customFormat="1" x14ac:dyDescent="0.25"/>
    <row r="281821" s="12" customFormat="1" x14ac:dyDescent="0.25"/>
    <row r="281822" s="12" customFormat="1" x14ac:dyDescent="0.25"/>
    <row r="281823" s="12" customFormat="1" x14ac:dyDescent="0.25"/>
    <row r="281824" s="12" customFormat="1" x14ac:dyDescent="0.25"/>
    <row r="281825" s="12" customFormat="1" x14ac:dyDescent="0.25"/>
    <row r="281826" s="12" customFormat="1" x14ac:dyDescent="0.25"/>
    <row r="281827" s="12" customFormat="1" x14ac:dyDescent="0.25"/>
    <row r="281828" s="12" customFormat="1" x14ac:dyDescent="0.25"/>
    <row r="281829" s="12" customFormat="1" x14ac:dyDescent="0.25"/>
    <row r="281830" s="12" customFormat="1" x14ac:dyDescent="0.25"/>
    <row r="281831" s="12" customFormat="1" x14ac:dyDescent="0.25"/>
    <row r="281832" s="12" customFormat="1" x14ac:dyDescent="0.25"/>
    <row r="281833" s="12" customFormat="1" x14ac:dyDescent="0.25"/>
    <row r="281834" s="12" customFormat="1" x14ac:dyDescent="0.25"/>
    <row r="281835" s="12" customFormat="1" x14ac:dyDescent="0.25"/>
    <row r="281836" s="12" customFormat="1" x14ac:dyDescent="0.25"/>
    <row r="281837" s="12" customFormat="1" x14ac:dyDescent="0.25"/>
    <row r="281838" s="12" customFormat="1" x14ac:dyDescent="0.25"/>
    <row r="281839" s="12" customFormat="1" x14ac:dyDescent="0.25"/>
    <row r="281840" s="12" customFormat="1" x14ac:dyDescent="0.25"/>
    <row r="281841" s="12" customFormat="1" x14ac:dyDescent="0.25"/>
    <row r="281842" s="12" customFormat="1" x14ac:dyDescent="0.25"/>
    <row r="281843" s="12" customFormat="1" x14ac:dyDescent="0.25"/>
    <row r="281844" s="12" customFormat="1" x14ac:dyDescent="0.25"/>
    <row r="281845" s="12" customFormat="1" x14ac:dyDescent="0.25"/>
    <row r="281846" s="12" customFormat="1" x14ac:dyDescent="0.25"/>
    <row r="281847" s="12" customFormat="1" x14ac:dyDescent="0.25"/>
    <row r="281848" s="12" customFormat="1" x14ac:dyDescent="0.25"/>
    <row r="281849" s="12" customFormat="1" x14ac:dyDescent="0.25"/>
    <row r="281850" s="12" customFormat="1" x14ac:dyDescent="0.25"/>
    <row r="281851" s="12" customFormat="1" x14ac:dyDescent="0.25"/>
    <row r="281852" s="12" customFormat="1" x14ac:dyDescent="0.25"/>
    <row r="281853" s="12" customFormat="1" x14ac:dyDescent="0.25"/>
    <row r="281854" s="12" customFormat="1" x14ac:dyDescent="0.25"/>
    <row r="281855" s="12" customFormat="1" x14ac:dyDescent="0.25"/>
    <row r="281856" s="12" customFormat="1" x14ac:dyDescent="0.25"/>
    <row r="281857" s="12" customFormat="1" x14ac:dyDescent="0.25"/>
    <row r="281858" s="12" customFormat="1" x14ac:dyDescent="0.25"/>
    <row r="281859" s="12" customFormat="1" x14ac:dyDescent="0.25"/>
    <row r="281860" s="12" customFormat="1" x14ac:dyDescent="0.25"/>
    <row r="281861" s="12" customFormat="1" x14ac:dyDescent="0.25"/>
    <row r="281862" s="12" customFormat="1" x14ac:dyDescent="0.25"/>
    <row r="281863" s="12" customFormat="1" x14ac:dyDescent="0.25"/>
    <row r="281864" s="12" customFormat="1" x14ac:dyDescent="0.25"/>
    <row r="281865" s="12" customFormat="1" x14ac:dyDescent="0.25"/>
    <row r="281866" s="12" customFormat="1" x14ac:dyDescent="0.25"/>
    <row r="281867" s="12" customFormat="1" x14ac:dyDescent="0.25"/>
    <row r="281868" s="12" customFormat="1" x14ac:dyDescent="0.25"/>
    <row r="281869" s="12" customFormat="1" x14ac:dyDescent="0.25"/>
    <row r="281870" s="12" customFormat="1" x14ac:dyDescent="0.25"/>
    <row r="281871" s="12" customFormat="1" x14ac:dyDescent="0.25"/>
    <row r="281872" s="12" customFormat="1" x14ac:dyDescent="0.25"/>
    <row r="281873" s="12" customFormat="1" x14ac:dyDescent="0.25"/>
    <row r="281874" s="12" customFormat="1" x14ac:dyDescent="0.25"/>
    <row r="281875" s="12" customFormat="1" x14ac:dyDescent="0.25"/>
    <row r="281876" s="12" customFormat="1" x14ac:dyDescent="0.25"/>
    <row r="281877" s="12" customFormat="1" x14ac:dyDescent="0.25"/>
    <row r="281878" s="12" customFormat="1" x14ac:dyDescent="0.25"/>
    <row r="281879" s="12" customFormat="1" x14ac:dyDescent="0.25"/>
    <row r="281880" s="12" customFormat="1" x14ac:dyDescent="0.25"/>
    <row r="281881" s="12" customFormat="1" x14ac:dyDescent="0.25"/>
    <row r="281882" s="12" customFormat="1" x14ac:dyDescent="0.25"/>
    <row r="281883" s="12" customFormat="1" x14ac:dyDescent="0.25"/>
    <row r="281884" s="12" customFormat="1" x14ac:dyDescent="0.25"/>
    <row r="281885" s="12" customFormat="1" x14ac:dyDescent="0.25"/>
    <row r="281886" s="12" customFormat="1" x14ac:dyDescent="0.25"/>
    <row r="281887" s="12" customFormat="1" x14ac:dyDescent="0.25"/>
    <row r="281888" s="12" customFormat="1" x14ac:dyDescent="0.25"/>
    <row r="281889" s="12" customFormat="1" x14ac:dyDescent="0.25"/>
    <row r="281890" s="12" customFormat="1" x14ac:dyDescent="0.25"/>
    <row r="281891" s="12" customFormat="1" x14ac:dyDescent="0.25"/>
    <row r="281892" s="12" customFormat="1" x14ac:dyDescent="0.25"/>
    <row r="281893" s="12" customFormat="1" x14ac:dyDescent="0.25"/>
    <row r="281894" s="12" customFormat="1" x14ac:dyDescent="0.25"/>
    <row r="281895" s="12" customFormat="1" x14ac:dyDescent="0.25"/>
    <row r="281896" s="12" customFormat="1" x14ac:dyDescent="0.25"/>
    <row r="281897" s="12" customFormat="1" x14ac:dyDescent="0.25"/>
    <row r="281898" s="12" customFormat="1" x14ac:dyDescent="0.25"/>
    <row r="281899" s="12" customFormat="1" x14ac:dyDescent="0.25"/>
    <row r="281900" s="12" customFormat="1" x14ac:dyDescent="0.25"/>
    <row r="281901" s="12" customFormat="1" x14ac:dyDescent="0.25"/>
    <row r="281902" s="12" customFormat="1" x14ac:dyDescent="0.25"/>
    <row r="281903" s="12" customFormat="1" x14ac:dyDescent="0.25"/>
    <row r="281904" s="12" customFormat="1" x14ac:dyDescent="0.25"/>
    <row r="281905" s="12" customFormat="1" x14ac:dyDescent="0.25"/>
    <row r="281906" s="12" customFormat="1" x14ac:dyDescent="0.25"/>
    <row r="281907" s="12" customFormat="1" x14ac:dyDescent="0.25"/>
    <row r="281908" s="12" customFormat="1" x14ac:dyDescent="0.25"/>
    <row r="281909" s="12" customFormat="1" x14ac:dyDescent="0.25"/>
    <row r="281910" s="12" customFormat="1" x14ac:dyDescent="0.25"/>
    <row r="281911" s="12" customFormat="1" x14ac:dyDescent="0.25"/>
    <row r="281912" s="12" customFormat="1" x14ac:dyDescent="0.25"/>
    <row r="281913" s="12" customFormat="1" x14ac:dyDescent="0.25"/>
    <row r="281914" s="12" customFormat="1" x14ac:dyDescent="0.25"/>
    <row r="281915" s="12" customFormat="1" x14ac:dyDescent="0.25"/>
    <row r="281916" s="12" customFormat="1" x14ac:dyDescent="0.25"/>
    <row r="281917" s="12" customFormat="1" x14ac:dyDescent="0.25"/>
    <row r="281918" s="12" customFormat="1" x14ac:dyDescent="0.25"/>
    <row r="281919" s="12" customFormat="1" x14ac:dyDescent="0.25"/>
    <row r="281920" s="12" customFormat="1" x14ac:dyDescent="0.25"/>
    <row r="281921" s="12" customFormat="1" x14ac:dyDescent="0.25"/>
    <row r="281922" s="12" customFormat="1" x14ac:dyDescent="0.25"/>
    <row r="281923" s="12" customFormat="1" x14ac:dyDescent="0.25"/>
    <row r="281924" s="12" customFormat="1" x14ac:dyDescent="0.25"/>
    <row r="281925" s="12" customFormat="1" x14ac:dyDescent="0.25"/>
    <row r="281926" s="12" customFormat="1" x14ac:dyDescent="0.25"/>
    <row r="281927" s="12" customFormat="1" x14ac:dyDescent="0.25"/>
    <row r="281928" s="12" customFormat="1" x14ac:dyDescent="0.25"/>
    <row r="281929" s="12" customFormat="1" x14ac:dyDescent="0.25"/>
    <row r="281930" s="12" customFormat="1" x14ac:dyDescent="0.25"/>
    <row r="281931" s="12" customFormat="1" x14ac:dyDescent="0.25"/>
    <row r="281932" s="12" customFormat="1" x14ac:dyDescent="0.25"/>
    <row r="281933" s="12" customFormat="1" x14ac:dyDescent="0.25"/>
    <row r="281934" s="12" customFormat="1" x14ac:dyDescent="0.25"/>
    <row r="281935" s="12" customFormat="1" x14ac:dyDescent="0.25"/>
    <row r="281936" s="12" customFormat="1" x14ac:dyDescent="0.25"/>
    <row r="281937" s="12" customFormat="1" x14ac:dyDescent="0.25"/>
    <row r="281938" s="12" customFormat="1" x14ac:dyDescent="0.25"/>
    <row r="281939" s="12" customFormat="1" x14ac:dyDescent="0.25"/>
    <row r="281940" s="12" customFormat="1" x14ac:dyDescent="0.25"/>
    <row r="281941" s="12" customFormat="1" x14ac:dyDescent="0.25"/>
    <row r="281942" s="12" customFormat="1" x14ac:dyDescent="0.25"/>
    <row r="281943" s="12" customFormat="1" x14ac:dyDescent="0.25"/>
    <row r="281944" s="12" customFormat="1" x14ac:dyDescent="0.25"/>
    <row r="281945" s="12" customFormat="1" x14ac:dyDescent="0.25"/>
    <row r="281946" s="12" customFormat="1" x14ac:dyDescent="0.25"/>
    <row r="281947" s="12" customFormat="1" x14ac:dyDescent="0.25"/>
    <row r="281948" s="12" customFormat="1" x14ac:dyDescent="0.25"/>
    <row r="281949" s="12" customFormat="1" x14ac:dyDescent="0.25"/>
    <row r="281950" s="12" customFormat="1" x14ac:dyDescent="0.25"/>
    <row r="281951" s="12" customFormat="1" x14ac:dyDescent="0.25"/>
    <row r="281952" s="12" customFormat="1" x14ac:dyDescent="0.25"/>
    <row r="281953" s="12" customFormat="1" x14ac:dyDescent="0.25"/>
    <row r="281954" s="12" customFormat="1" x14ac:dyDescent="0.25"/>
    <row r="281955" s="12" customFormat="1" x14ac:dyDescent="0.25"/>
    <row r="281956" s="12" customFormat="1" x14ac:dyDescent="0.25"/>
    <row r="281957" s="12" customFormat="1" x14ac:dyDescent="0.25"/>
    <row r="281958" s="12" customFormat="1" x14ac:dyDescent="0.25"/>
    <row r="281959" s="12" customFormat="1" x14ac:dyDescent="0.25"/>
    <row r="281960" s="12" customFormat="1" x14ac:dyDescent="0.25"/>
    <row r="281961" s="12" customFormat="1" x14ac:dyDescent="0.25"/>
    <row r="281962" s="12" customFormat="1" x14ac:dyDescent="0.25"/>
    <row r="281963" s="12" customFormat="1" x14ac:dyDescent="0.25"/>
    <row r="281964" s="12" customFormat="1" x14ac:dyDescent="0.25"/>
    <row r="281965" s="12" customFormat="1" x14ac:dyDescent="0.25"/>
    <row r="281966" s="12" customFormat="1" x14ac:dyDescent="0.25"/>
    <row r="281967" s="12" customFormat="1" x14ac:dyDescent="0.25"/>
    <row r="281968" s="12" customFormat="1" x14ac:dyDescent="0.25"/>
    <row r="281969" s="12" customFormat="1" x14ac:dyDescent="0.25"/>
    <row r="281970" s="12" customFormat="1" x14ac:dyDescent="0.25"/>
    <row r="281971" s="12" customFormat="1" x14ac:dyDescent="0.25"/>
    <row r="281972" s="12" customFormat="1" x14ac:dyDescent="0.25"/>
    <row r="281973" s="12" customFormat="1" x14ac:dyDescent="0.25"/>
    <row r="281974" s="12" customFormat="1" x14ac:dyDescent="0.25"/>
    <row r="281975" s="12" customFormat="1" x14ac:dyDescent="0.25"/>
    <row r="281976" s="12" customFormat="1" x14ac:dyDescent="0.25"/>
    <row r="281977" s="12" customFormat="1" x14ac:dyDescent="0.25"/>
    <row r="281978" s="12" customFormat="1" x14ac:dyDescent="0.25"/>
    <row r="281979" s="12" customFormat="1" x14ac:dyDescent="0.25"/>
    <row r="281980" s="12" customFormat="1" x14ac:dyDescent="0.25"/>
    <row r="281981" s="12" customFormat="1" x14ac:dyDescent="0.25"/>
    <row r="281982" s="12" customFormat="1" x14ac:dyDescent="0.25"/>
    <row r="281983" s="12" customFormat="1" x14ac:dyDescent="0.25"/>
    <row r="281984" s="12" customFormat="1" x14ac:dyDescent="0.25"/>
    <row r="281985" s="12" customFormat="1" x14ac:dyDescent="0.25"/>
    <row r="281986" s="12" customFormat="1" x14ac:dyDescent="0.25"/>
    <row r="281987" s="12" customFormat="1" x14ac:dyDescent="0.25"/>
    <row r="281988" s="12" customFormat="1" x14ac:dyDescent="0.25"/>
    <row r="281989" s="12" customFormat="1" x14ac:dyDescent="0.25"/>
    <row r="281990" s="12" customFormat="1" x14ac:dyDescent="0.25"/>
    <row r="281991" s="12" customFormat="1" x14ac:dyDescent="0.25"/>
    <row r="281992" s="12" customFormat="1" x14ac:dyDescent="0.25"/>
    <row r="281993" s="12" customFormat="1" x14ac:dyDescent="0.25"/>
    <row r="281994" s="12" customFormat="1" x14ac:dyDescent="0.25"/>
    <row r="281995" s="12" customFormat="1" x14ac:dyDescent="0.25"/>
    <row r="281996" s="12" customFormat="1" x14ac:dyDescent="0.25"/>
    <row r="281997" s="12" customFormat="1" x14ac:dyDescent="0.25"/>
    <row r="281998" s="12" customFormat="1" x14ac:dyDescent="0.25"/>
    <row r="281999" s="12" customFormat="1" x14ac:dyDescent="0.25"/>
    <row r="282000" s="12" customFormat="1" x14ac:dyDescent="0.25"/>
    <row r="282001" s="12" customFormat="1" x14ac:dyDescent="0.25"/>
    <row r="282002" s="12" customFormat="1" x14ac:dyDescent="0.25"/>
    <row r="282003" s="12" customFormat="1" x14ac:dyDescent="0.25"/>
    <row r="282004" s="12" customFormat="1" x14ac:dyDescent="0.25"/>
    <row r="282005" s="12" customFormat="1" x14ac:dyDescent="0.25"/>
    <row r="282006" s="12" customFormat="1" x14ac:dyDescent="0.25"/>
    <row r="282007" s="12" customFormat="1" x14ac:dyDescent="0.25"/>
    <row r="282008" s="12" customFormat="1" x14ac:dyDescent="0.25"/>
    <row r="282009" s="12" customFormat="1" x14ac:dyDescent="0.25"/>
    <row r="282010" s="12" customFormat="1" x14ac:dyDescent="0.25"/>
    <row r="282011" s="12" customFormat="1" x14ac:dyDescent="0.25"/>
    <row r="282012" s="12" customFormat="1" x14ac:dyDescent="0.25"/>
    <row r="282013" s="12" customFormat="1" x14ac:dyDescent="0.25"/>
    <row r="282014" s="12" customFormat="1" x14ac:dyDescent="0.25"/>
    <row r="282015" s="12" customFormat="1" x14ac:dyDescent="0.25"/>
    <row r="282016" s="12" customFormat="1" x14ac:dyDescent="0.25"/>
    <row r="282017" s="12" customFormat="1" x14ac:dyDescent="0.25"/>
    <row r="282018" s="12" customFormat="1" x14ac:dyDescent="0.25"/>
    <row r="282019" s="12" customFormat="1" x14ac:dyDescent="0.25"/>
    <row r="282020" s="12" customFormat="1" x14ac:dyDescent="0.25"/>
    <row r="282021" s="12" customFormat="1" x14ac:dyDescent="0.25"/>
    <row r="282022" s="12" customFormat="1" x14ac:dyDescent="0.25"/>
    <row r="282023" s="12" customFormat="1" x14ac:dyDescent="0.25"/>
    <row r="282024" s="12" customFormat="1" x14ac:dyDescent="0.25"/>
    <row r="282025" s="12" customFormat="1" x14ac:dyDescent="0.25"/>
    <row r="282026" s="12" customFormat="1" x14ac:dyDescent="0.25"/>
    <row r="282027" s="12" customFormat="1" x14ac:dyDescent="0.25"/>
    <row r="282028" s="12" customFormat="1" x14ac:dyDescent="0.25"/>
    <row r="282029" s="12" customFormat="1" x14ac:dyDescent="0.25"/>
    <row r="282030" s="12" customFormat="1" x14ac:dyDescent="0.25"/>
    <row r="282031" s="12" customFormat="1" x14ac:dyDescent="0.25"/>
    <row r="282032" s="12" customFormat="1" x14ac:dyDescent="0.25"/>
    <row r="282033" s="12" customFormat="1" x14ac:dyDescent="0.25"/>
    <row r="282034" s="12" customFormat="1" x14ac:dyDescent="0.25"/>
    <row r="282035" s="12" customFormat="1" x14ac:dyDescent="0.25"/>
    <row r="282036" s="12" customFormat="1" x14ac:dyDescent="0.25"/>
    <row r="282037" s="12" customFormat="1" x14ac:dyDescent="0.25"/>
    <row r="282038" s="12" customFormat="1" x14ac:dyDescent="0.25"/>
    <row r="282039" s="12" customFormat="1" x14ac:dyDescent="0.25"/>
    <row r="282040" s="12" customFormat="1" x14ac:dyDescent="0.25"/>
    <row r="282041" s="12" customFormat="1" x14ac:dyDescent="0.25"/>
    <row r="282042" s="12" customFormat="1" x14ac:dyDescent="0.25"/>
    <row r="282043" s="12" customFormat="1" x14ac:dyDescent="0.25"/>
    <row r="282044" s="12" customFormat="1" x14ac:dyDescent="0.25"/>
    <row r="282045" s="12" customFormat="1" x14ac:dyDescent="0.25"/>
    <row r="282046" s="12" customFormat="1" x14ac:dyDescent="0.25"/>
    <row r="282047" s="12" customFormat="1" x14ac:dyDescent="0.25"/>
    <row r="282048" s="12" customFormat="1" x14ac:dyDescent="0.25"/>
    <row r="282049" s="12" customFormat="1" x14ac:dyDescent="0.25"/>
    <row r="282050" s="12" customFormat="1" x14ac:dyDescent="0.25"/>
    <row r="282051" s="12" customFormat="1" x14ac:dyDescent="0.25"/>
    <row r="282052" s="12" customFormat="1" x14ac:dyDescent="0.25"/>
    <row r="282053" s="12" customFormat="1" x14ac:dyDescent="0.25"/>
    <row r="282054" s="12" customFormat="1" x14ac:dyDescent="0.25"/>
    <row r="282055" s="12" customFormat="1" x14ac:dyDescent="0.25"/>
    <row r="282056" s="12" customFormat="1" x14ac:dyDescent="0.25"/>
    <row r="282057" s="12" customFormat="1" x14ac:dyDescent="0.25"/>
    <row r="282058" s="12" customFormat="1" x14ac:dyDescent="0.25"/>
    <row r="282059" s="12" customFormat="1" x14ac:dyDescent="0.25"/>
    <row r="282060" s="12" customFormat="1" x14ac:dyDescent="0.25"/>
    <row r="282061" s="12" customFormat="1" x14ac:dyDescent="0.25"/>
    <row r="282062" s="12" customFormat="1" x14ac:dyDescent="0.25"/>
    <row r="282063" s="12" customFormat="1" x14ac:dyDescent="0.25"/>
    <row r="282064" s="12" customFormat="1" x14ac:dyDescent="0.25"/>
    <row r="282065" s="12" customFormat="1" x14ac:dyDescent="0.25"/>
    <row r="282066" s="12" customFormat="1" x14ac:dyDescent="0.25"/>
    <row r="282067" s="12" customFormat="1" x14ac:dyDescent="0.25"/>
    <row r="282068" s="12" customFormat="1" x14ac:dyDescent="0.25"/>
    <row r="282069" s="12" customFormat="1" x14ac:dyDescent="0.25"/>
    <row r="282070" s="12" customFormat="1" x14ac:dyDescent="0.25"/>
    <row r="282071" s="12" customFormat="1" x14ac:dyDescent="0.25"/>
    <row r="282072" s="12" customFormat="1" x14ac:dyDescent="0.25"/>
    <row r="282073" s="12" customFormat="1" x14ac:dyDescent="0.25"/>
    <row r="282074" s="12" customFormat="1" x14ac:dyDescent="0.25"/>
    <row r="282075" s="12" customFormat="1" x14ac:dyDescent="0.25"/>
    <row r="282076" s="12" customFormat="1" x14ac:dyDescent="0.25"/>
    <row r="282077" s="12" customFormat="1" x14ac:dyDescent="0.25"/>
    <row r="282078" s="12" customFormat="1" x14ac:dyDescent="0.25"/>
    <row r="282079" s="12" customFormat="1" x14ac:dyDescent="0.25"/>
    <row r="282080" s="12" customFormat="1" x14ac:dyDescent="0.25"/>
    <row r="282081" s="12" customFormat="1" x14ac:dyDescent="0.25"/>
    <row r="282082" s="12" customFormat="1" x14ac:dyDescent="0.25"/>
    <row r="282083" s="12" customFormat="1" x14ac:dyDescent="0.25"/>
    <row r="282084" s="12" customFormat="1" x14ac:dyDescent="0.25"/>
    <row r="282085" s="12" customFormat="1" x14ac:dyDescent="0.25"/>
    <row r="282086" s="12" customFormat="1" x14ac:dyDescent="0.25"/>
    <row r="282087" s="12" customFormat="1" x14ac:dyDescent="0.25"/>
    <row r="282088" s="12" customFormat="1" x14ac:dyDescent="0.25"/>
    <row r="282089" s="12" customFormat="1" x14ac:dyDescent="0.25"/>
    <row r="282090" s="12" customFormat="1" x14ac:dyDescent="0.25"/>
    <row r="282091" s="12" customFormat="1" x14ac:dyDescent="0.25"/>
    <row r="282092" s="12" customFormat="1" x14ac:dyDescent="0.25"/>
    <row r="282093" s="12" customFormat="1" x14ac:dyDescent="0.25"/>
    <row r="282094" s="12" customFormat="1" x14ac:dyDescent="0.25"/>
    <row r="282095" s="12" customFormat="1" x14ac:dyDescent="0.25"/>
    <row r="282096" s="12" customFormat="1" x14ac:dyDescent="0.25"/>
    <row r="282097" s="12" customFormat="1" x14ac:dyDescent="0.25"/>
    <row r="282098" s="12" customFormat="1" x14ac:dyDescent="0.25"/>
    <row r="282099" s="12" customFormat="1" x14ac:dyDescent="0.25"/>
    <row r="282100" s="12" customFormat="1" x14ac:dyDescent="0.25"/>
    <row r="282101" s="12" customFormat="1" x14ac:dyDescent="0.25"/>
    <row r="282102" s="12" customFormat="1" x14ac:dyDescent="0.25"/>
    <row r="282103" s="12" customFormat="1" x14ac:dyDescent="0.25"/>
    <row r="282104" s="12" customFormat="1" x14ac:dyDescent="0.25"/>
    <row r="282105" s="12" customFormat="1" x14ac:dyDescent="0.25"/>
    <row r="282106" s="12" customFormat="1" x14ac:dyDescent="0.25"/>
    <row r="282107" s="12" customFormat="1" x14ac:dyDescent="0.25"/>
    <row r="282108" s="12" customFormat="1" x14ac:dyDescent="0.25"/>
    <row r="282109" s="12" customFormat="1" x14ac:dyDescent="0.25"/>
    <row r="282110" s="12" customFormat="1" x14ac:dyDescent="0.25"/>
    <row r="282111" s="12" customFormat="1" x14ac:dyDescent="0.25"/>
    <row r="282112" s="12" customFormat="1" x14ac:dyDescent="0.25"/>
    <row r="282113" s="12" customFormat="1" x14ac:dyDescent="0.25"/>
    <row r="282114" s="12" customFormat="1" x14ac:dyDescent="0.25"/>
    <row r="282115" s="12" customFormat="1" x14ac:dyDescent="0.25"/>
    <row r="282116" s="12" customFormat="1" x14ac:dyDescent="0.25"/>
    <row r="282117" s="12" customFormat="1" x14ac:dyDescent="0.25"/>
    <row r="282118" s="12" customFormat="1" x14ac:dyDescent="0.25"/>
    <row r="282119" s="12" customFormat="1" x14ac:dyDescent="0.25"/>
    <row r="282120" s="12" customFormat="1" x14ac:dyDescent="0.25"/>
    <row r="282121" s="12" customFormat="1" x14ac:dyDescent="0.25"/>
    <row r="282122" s="12" customFormat="1" x14ac:dyDescent="0.25"/>
    <row r="282123" s="12" customFormat="1" x14ac:dyDescent="0.25"/>
    <row r="282124" s="12" customFormat="1" x14ac:dyDescent="0.25"/>
    <row r="282125" s="12" customFormat="1" x14ac:dyDescent="0.25"/>
    <row r="282126" s="12" customFormat="1" x14ac:dyDescent="0.25"/>
    <row r="282127" s="12" customFormat="1" x14ac:dyDescent="0.25"/>
    <row r="282128" s="12" customFormat="1" x14ac:dyDescent="0.25"/>
    <row r="282129" s="12" customFormat="1" x14ac:dyDescent="0.25"/>
    <row r="282130" s="12" customFormat="1" x14ac:dyDescent="0.25"/>
    <row r="282131" s="12" customFormat="1" x14ac:dyDescent="0.25"/>
    <row r="282132" s="12" customFormat="1" x14ac:dyDescent="0.25"/>
    <row r="282133" s="12" customFormat="1" x14ac:dyDescent="0.25"/>
    <row r="282134" s="12" customFormat="1" x14ac:dyDescent="0.25"/>
    <row r="282135" s="12" customFormat="1" x14ac:dyDescent="0.25"/>
    <row r="282136" s="12" customFormat="1" x14ac:dyDescent="0.25"/>
    <row r="282137" s="12" customFormat="1" x14ac:dyDescent="0.25"/>
    <row r="282138" s="12" customFormat="1" x14ac:dyDescent="0.25"/>
    <row r="282139" s="12" customFormat="1" x14ac:dyDescent="0.25"/>
    <row r="282140" s="12" customFormat="1" x14ac:dyDescent="0.25"/>
    <row r="282141" s="12" customFormat="1" x14ac:dyDescent="0.25"/>
    <row r="282142" s="12" customFormat="1" x14ac:dyDescent="0.25"/>
    <row r="282143" s="12" customFormat="1" x14ac:dyDescent="0.25"/>
    <row r="282144" s="12" customFormat="1" x14ac:dyDescent="0.25"/>
    <row r="282145" s="12" customFormat="1" x14ac:dyDescent="0.25"/>
    <row r="282146" s="12" customFormat="1" x14ac:dyDescent="0.25"/>
    <row r="282147" s="12" customFormat="1" x14ac:dyDescent="0.25"/>
    <row r="282148" s="12" customFormat="1" x14ac:dyDescent="0.25"/>
    <row r="282149" s="12" customFormat="1" x14ac:dyDescent="0.25"/>
    <row r="282150" s="12" customFormat="1" x14ac:dyDescent="0.25"/>
    <row r="282151" s="12" customFormat="1" x14ac:dyDescent="0.25"/>
    <row r="282152" s="12" customFormat="1" x14ac:dyDescent="0.25"/>
    <row r="282153" s="12" customFormat="1" x14ac:dyDescent="0.25"/>
    <row r="282154" s="12" customFormat="1" x14ac:dyDescent="0.25"/>
    <row r="282155" s="12" customFormat="1" x14ac:dyDescent="0.25"/>
    <row r="282156" s="12" customFormat="1" x14ac:dyDescent="0.25"/>
    <row r="282157" s="12" customFormat="1" x14ac:dyDescent="0.25"/>
    <row r="282158" s="12" customFormat="1" x14ac:dyDescent="0.25"/>
    <row r="282159" s="12" customFormat="1" x14ac:dyDescent="0.25"/>
    <row r="282160" s="12" customFormat="1" x14ac:dyDescent="0.25"/>
    <row r="282161" s="12" customFormat="1" x14ac:dyDescent="0.25"/>
    <row r="282162" s="12" customFormat="1" x14ac:dyDescent="0.25"/>
    <row r="282163" s="12" customFormat="1" x14ac:dyDescent="0.25"/>
    <row r="282164" s="12" customFormat="1" x14ac:dyDescent="0.25"/>
    <row r="282165" s="12" customFormat="1" x14ac:dyDescent="0.25"/>
    <row r="282166" s="12" customFormat="1" x14ac:dyDescent="0.25"/>
    <row r="282167" s="12" customFormat="1" x14ac:dyDescent="0.25"/>
    <row r="282168" s="12" customFormat="1" x14ac:dyDescent="0.25"/>
    <row r="282169" s="12" customFormat="1" x14ac:dyDescent="0.25"/>
    <row r="282170" s="12" customFormat="1" x14ac:dyDescent="0.25"/>
    <row r="282171" s="12" customFormat="1" x14ac:dyDescent="0.25"/>
    <row r="282172" s="12" customFormat="1" x14ac:dyDescent="0.25"/>
    <row r="282173" s="12" customFormat="1" x14ac:dyDescent="0.25"/>
    <row r="282174" s="12" customFormat="1" x14ac:dyDescent="0.25"/>
    <row r="282175" s="12" customFormat="1" x14ac:dyDescent="0.25"/>
    <row r="282176" s="12" customFormat="1" x14ac:dyDescent="0.25"/>
    <row r="282177" s="12" customFormat="1" x14ac:dyDescent="0.25"/>
    <row r="282178" s="12" customFormat="1" x14ac:dyDescent="0.25"/>
    <row r="282179" s="12" customFormat="1" x14ac:dyDescent="0.25"/>
    <row r="282180" s="12" customFormat="1" x14ac:dyDescent="0.25"/>
    <row r="282181" s="12" customFormat="1" x14ac:dyDescent="0.25"/>
    <row r="282182" s="12" customFormat="1" x14ac:dyDescent="0.25"/>
    <row r="282183" s="12" customFormat="1" x14ac:dyDescent="0.25"/>
    <row r="282184" s="12" customFormat="1" x14ac:dyDescent="0.25"/>
    <row r="282185" s="12" customFormat="1" x14ac:dyDescent="0.25"/>
    <row r="282186" s="12" customFormat="1" x14ac:dyDescent="0.25"/>
    <row r="282187" s="12" customFormat="1" x14ac:dyDescent="0.25"/>
    <row r="282188" s="12" customFormat="1" x14ac:dyDescent="0.25"/>
    <row r="282189" s="12" customFormat="1" x14ac:dyDescent="0.25"/>
    <row r="282190" s="12" customFormat="1" x14ac:dyDescent="0.25"/>
    <row r="282191" s="12" customFormat="1" x14ac:dyDescent="0.25"/>
    <row r="282192" s="12" customFormat="1" x14ac:dyDescent="0.25"/>
    <row r="282193" s="12" customFormat="1" x14ac:dyDescent="0.25"/>
    <row r="282194" s="12" customFormat="1" x14ac:dyDescent="0.25"/>
    <row r="282195" s="12" customFormat="1" x14ac:dyDescent="0.25"/>
    <row r="282196" s="12" customFormat="1" x14ac:dyDescent="0.25"/>
    <row r="282197" s="12" customFormat="1" x14ac:dyDescent="0.25"/>
    <row r="282198" s="12" customFormat="1" x14ac:dyDescent="0.25"/>
    <row r="282199" s="12" customFormat="1" x14ac:dyDescent="0.25"/>
    <row r="282200" s="12" customFormat="1" x14ac:dyDescent="0.25"/>
    <row r="282201" s="12" customFormat="1" x14ac:dyDescent="0.25"/>
    <row r="282202" s="12" customFormat="1" x14ac:dyDescent="0.25"/>
    <row r="282203" s="12" customFormat="1" x14ac:dyDescent="0.25"/>
    <row r="282204" s="12" customFormat="1" x14ac:dyDescent="0.25"/>
    <row r="282205" s="12" customFormat="1" x14ac:dyDescent="0.25"/>
    <row r="282206" s="12" customFormat="1" x14ac:dyDescent="0.25"/>
    <row r="282207" s="12" customFormat="1" x14ac:dyDescent="0.25"/>
    <row r="282208" s="12" customFormat="1" x14ac:dyDescent="0.25"/>
    <row r="282209" s="12" customFormat="1" x14ac:dyDescent="0.25"/>
    <row r="282210" s="12" customFormat="1" x14ac:dyDescent="0.25"/>
    <row r="282211" s="12" customFormat="1" x14ac:dyDescent="0.25"/>
    <row r="282212" s="12" customFormat="1" x14ac:dyDescent="0.25"/>
    <row r="282213" s="12" customFormat="1" x14ac:dyDescent="0.25"/>
    <row r="282214" s="12" customFormat="1" x14ac:dyDescent="0.25"/>
    <row r="282215" s="12" customFormat="1" x14ac:dyDescent="0.25"/>
    <row r="282216" s="12" customFormat="1" x14ac:dyDescent="0.25"/>
    <row r="282217" s="12" customFormat="1" x14ac:dyDescent="0.25"/>
    <row r="282218" s="12" customFormat="1" x14ac:dyDescent="0.25"/>
    <row r="282219" s="12" customFormat="1" x14ac:dyDescent="0.25"/>
    <row r="282220" s="12" customFormat="1" x14ac:dyDescent="0.25"/>
    <row r="282221" s="12" customFormat="1" x14ac:dyDescent="0.25"/>
    <row r="282222" s="12" customFormat="1" x14ac:dyDescent="0.25"/>
    <row r="282223" s="12" customFormat="1" x14ac:dyDescent="0.25"/>
    <row r="282224" s="12" customFormat="1" x14ac:dyDescent="0.25"/>
    <row r="282225" s="12" customFormat="1" x14ac:dyDescent="0.25"/>
    <row r="282226" s="12" customFormat="1" x14ac:dyDescent="0.25"/>
    <row r="282227" s="12" customFormat="1" x14ac:dyDescent="0.25"/>
    <row r="282228" s="12" customFormat="1" x14ac:dyDescent="0.25"/>
    <row r="282229" s="12" customFormat="1" x14ac:dyDescent="0.25"/>
    <row r="282230" s="12" customFormat="1" x14ac:dyDescent="0.25"/>
    <row r="282231" s="12" customFormat="1" x14ac:dyDescent="0.25"/>
    <row r="282232" s="12" customFormat="1" x14ac:dyDescent="0.25"/>
    <row r="282233" s="12" customFormat="1" x14ac:dyDescent="0.25"/>
    <row r="282234" s="12" customFormat="1" x14ac:dyDescent="0.25"/>
    <row r="282235" s="12" customFormat="1" x14ac:dyDescent="0.25"/>
    <row r="282236" s="12" customFormat="1" x14ac:dyDescent="0.25"/>
    <row r="282237" s="12" customFormat="1" x14ac:dyDescent="0.25"/>
    <row r="282238" s="12" customFormat="1" x14ac:dyDescent="0.25"/>
    <row r="282239" s="12" customFormat="1" x14ac:dyDescent="0.25"/>
    <row r="282240" s="12" customFormat="1" x14ac:dyDescent="0.25"/>
    <row r="282241" s="12" customFormat="1" x14ac:dyDescent="0.25"/>
    <row r="282242" s="12" customFormat="1" x14ac:dyDescent="0.25"/>
    <row r="282243" s="12" customFormat="1" x14ac:dyDescent="0.25"/>
    <row r="282244" s="12" customFormat="1" x14ac:dyDescent="0.25"/>
    <row r="282245" s="12" customFormat="1" x14ac:dyDescent="0.25"/>
    <row r="282246" s="12" customFormat="1" x14ac:dyDescent="0.25"/>
    <row r="282247" s="12" customFormat="1" x14ac:dyDescent="0.25"/>
    <row r="282248" s="12" customFormat="1" x14ac:dyDescent="0.25"/>
    <row r="282249" s="12" customFormat="1" x14ac:dyDescent="0.25"/>
    <row r="282250" s="12" customFormat="1" x14ac:dyDescent="0.25"/>
    <row r="282251" s="12" customFormat="1" x14ac:dyDescent="0.25"/>
    <row r="282252" s="12" customFormat="1" x14ac:dyDescent="0.25"/>
    <row r="282253" s="12" customFormat="1" x14ac:dyDescent="0.25"/>
    <row r="282254" s="12" customFormat="1" x14ac:dyDescent="0.25"/>
    <row r="282255" s="12" customFormat="1" x14ac:dyDescent="0.25"/>
    <row r="282256" s="12" customFormat="1" x14ac:dyDescent="0.25"/>
    <row r="282257" s="12" customFormat="1" x14ac:dyDescent="0.25"/>
    <row r="282258" s="12" customFormat="1" x14ac:dyDescent="0.25"/>
    <row r="282259" s="12" customFormat="1" x14ac:dyDescent="0.25"/>
    <row r="282260" s="12" customFormat="1" x14ac:dyDescent="0.25"/>
    <row r="282261" s="12" customFormat="1" x14ac:dyDescent="0.25"/>
    <row r="282262" s="12" customFormat="1" x14ac:dyDescent="0.25"/>
    <row r="282263" s="12" customFormat="1" x14ac:dyDescent="0.25"/>
    <row r="282264" s="12" customFormat="1" x14ac:dyDescent="0.25"/>
    <row r="282265" s="12" customFormat="1" x14ac:dyDescent="0.25"/>
    <row r="282266" s="12" customFormat="1" x14ac:dyDescent="0.25"/>
    <row r="282267" s="12" customFormat="1" x14ac:dyDescent="0.25"/>
    <row r="282268" s="12" customFormat="1" x14ac:dyDescent="0.25"/>
    <row r="282269" s="12" customFormat="1" x14ac:dyDescent="0.25"/>
    <row r="282270" s="12" customFormat="1" x14ac:dyDescent="0.25"/>
    <row r="282271" s="12" customFormat="1" x14ac:dyDescent="0.25"/>
    <row r="282272" s="12" customFormat="1" x14ac:dyDescent="0.25"/>
    <row r="282273" s="12" customFormat="1" x14ac:dyDescent="0.25"/>
    <row r="282274" s="12" customFormat="1" x14ac:dyDescent="0.25"/>
    <row r="282275" s="12" customFormat="1" x14ac:dyDescent="0.25"/>
    <row r="282276" s="12" customFormat="1" x14ac:dyDescent="0.25"/>
    <row r="282277" s="12" customFormat="1" x14ac:dyDescent="0.25"/>
    <row r="282278" s="12" customFormat="1" x14ac:dyDescent="0.25"/>
    <row r="282279" s="12" customFormat="1" x14ac:dyDescent="0.25"/>
    <row r="282280" s="12" customFormat="1" x14ac:dyDescent="0.25"/>
    <row r="282281" s="12" customFormat="1" x14ac:dyDescent="0.25"/>
    <row r="282282" s="12" customFormat="1" x14ac:dyDescent="0.25"/>
    <row r="282283" s="12" customFormat="1" x14ac:dyDescent="0.25"/>
    <row r="282284" s="12" customFormat="1" x14ac:dyDescent="0.25"/>
    <row r="282285" s="12" customFormat="1" x14ac:dyDescent="0.25"/>
    <row r="282286" s="12" customFormat="1" x14ac:dyDescent="0.25"/>
    <row r="282287" s="12" customFormat="1" x14ac:dyDescent="0.25"/>
    <row r="282288" s="12" customFormat="1" x14ac:dyDescent="0.25"/>
    <row r="282289" s="12" customFormat="1" x14ac:dyDescent="0.25"/>
    <row r="282290" s="12" customFormat="1" x14ac:dyDescent="0.25"/>
    <row r="282291" s="12" customFormat="1" x14ac:dyDescent="0.25"/>
    <row r="282292" s="12" customFormat="1" x14ac:dyDescent="0.25"/>
    <row r="282293" s="12" customFormat="1" x14ac:dyDescent="0.25"/>
    <row r="282294" s="12" customFormat="1" x14ac:dyDescent="0.25"/>
    <row r="282295" s="12" customFormat="1" x14ac:dyDescent="0.25"/>
    <row r="282296" s="12" customFormat="1" x14ac:dyDescent="0.25"/>
    <row r="282297" s="12" customFormat="1" x14ac:dyDescent="0.25"/>
    <row r="282298" s="12" customFormat="1" x14ac:dyDescent="0.25"/>
    <row r="282299" s="12" customFormat="1" x14ac:dyDescent="0.25"/>
    <row r="282300" s="12" customFormat="1" x14ac:dyDescent="0.25"/>
    <row r="282301" s="12" customFormat="1" x14ac:dyDescent="0.25"/>
    <row r="282302" s="12" customFormat="1" x14ac:dyDescent="0.25"/>
    <row r="282303" s="12" customFormat="1" x14ac:dyDescent="0.25"/>
    <row r="282304" s="12" customFormat="1" x14ac:dyDescent="0.25"/>
    <row r="282305" s="12" customFormat="1" x14ac:dyDescent="0.25"/>
    <row r="282306" s="12" customFormat="1" x14ac:dyDescent="0.25"/>
    <row r="282307" s="12" customFormat="1" x14ac:dyDescent="0.25"/>
    <row r="282308" s="12" customFormat="1" x14ac:dyDescent="0.25"/>
    <row r="282309" s="12" customFormat="1" x14ac:dyDescent="0.25"/>
    <row r="282310" s="12" customFormat="1" x14ac:dyDescent="0.25"/>
    <row r="282311" s="12" customFormat="1" x14ac:dyDescent="0.25"/>
    <row r="282312" s="12" customFormat="1" x14ac:dyDescent="0.25"/>
    <row r="282313" s="12" customFormat="1" x14ac:dyDescent="0.25"/>
    <row r="282314" s="12" customFormat="1" x14ac:dyDescent="0.25"/>
    <row r="282315" s="12" customFormat="1" x14ac:dyDescent="0.25"/>
    <row r="282316" s="12" customFormat="1" x14ac:dyDescent="0.25"/>
    <row r="282317" s="12" customFormat="1" x14ac:dyDescent="0.25"/>
    <row r="282318" s="12" customFormat="1" x14ac:dyDescent="0.25"/>
    <row r="282319" s="12" customFormat="1" x14ac:dyDescent="0.25"/>
    <row r="282320" s="12" customFormat="1" x14ac:dyDescent="0.25"/>
    <row r="282321" s="12" customFormat="1" x14ac:dyDescent="0.25"/>
    <row r="282322" s="12" customFormat="1" x14ac:dyDescent="0.25"/>
    <row r="282323" s="12" customFormat="1" x14ac:dyDescent="0.25"/>
    <row r="282324" s="12" customFormat="1" x14ac:dyDescent="0.25"/>
    <row r="282325" s="12" customFormat="1" x14ac:dyDescent="0.25"/>
    <row r="282326" s="12" customFormat="1" x14ac:dyDescent="0.25"/>
    <row r="282327" s="12" customFormat="1" x14ac:dyDescent="0.25"/>
    <row r="282328" s="12" customFormat="1" x14ac:dyDescent="0.25"/>
    <row r="282329" s="12" customFormat="1" x14ac:dyDescent="0.25"/>
    <row r="282330" s="12" customFormat="1" x14ac:dyDescent="0.25"/>
    <row r="282331" s="12" customFormat="1" x14ac:dyDescent="0.25"/>
    <row r="282332" s="12" customFormat="1" x14ac:dyDescent="0.25"/>
    <row r="282333" s="12" customFormat="1" x14ac:dyDescent="0.25"/>
    <row r="282334" s="12" customFormat="1" x14ac:dyDescent="0.25"/>
    <row r="282335" s="12" customFormat="1" x14ac:dyDescent="0.25"/>
    <row r="282336" s="12" customFormat="1" x14ac:dyDescent="0.25"/>
    <row r="282337" s="12" customFormat="1" x14ac:dyDescent="0.25"/>
    <row r="282338" s="12" customFormat="1" x14ac:dyDescent="0.25"/>
    <row r="282339" s="12" customFormat="1" x14ac:dyDescent="0.25"/>
    <row r="282340" s="12" customFormat="1" x14ac:dyDescent="0.25"/>
    <row r="282341" s="12" customFormat="1" x14ac:dyDescent="0.25"/>
    <row r="282342" s="12" customFormat="1" x14ac:dyDescent="0.25"/>
    <row r="282343" s="12" customFormat="1" x14ac:dyDescent="0.25"/>
    <row r="282344" s="12" customFormat="1" x14ac:dyDescent="0.25"/>
    <row r="282345" s="12" customFormat="1" x14ac:dyDescent="0.25"/>
    <row r="282346" s="12" customFormat="1" x14ac:dyDescent="0.25"/>
    <row r="282347" s="12" customFormat="1" x14ac:dyDescent="0.25"/>
    <row r="282348" s="12" customFormat="1" x14ac:dyDescent="0.25"/>
    <row r="282349" s="12" customFormat="1" x14ac:dyDescent="0.25"/>
    <row r="282350" s="12" customFormat="1" x14ac:dyDescent="0.25"/>
    <row r="282351" s="12" customFormat="1" x14ac:dyDescent="0.25"/>
    <row r="282352" s="12" customFormat="1" x14ac:dyDescent="0.25"/>
    <row r="282353" s="12" customFormat="1" x14ac:dyDescent="0.25"/>
    <row r="282354" s="12" customFormat="1" x14ac:dyDescent="0.25"/>
    <row r="282355" s="12" customFormat="1" x14ac:dyDescent="0.25"/>
    <row r="282356" s="12" customFormat="1" x14ac:dyDescent="0.25"/>
    <row r="282357" s="12" customFormat="1" x14ac:dyDescent="0.25"/>
    <row r="282358" s="12" customFormat="1" x14ac:dyDescent="0.25"/>
    <row r="282359" s="12" customFormat="1" x14ac:dyDescent="0.25"/>
    <row r="282360" s="12" customFormat="1" x14ac:dyDescent="0.25"/>
    <row r="282361" s="12" customFormat="1" x14ac:dyDescent="0.25"/>
    <row r="282362" s="12" customFormat="1" x14ac:dyDescent="0.25"/>
    <row r="282363" s="12" customFormat="1" x14ac:dyDescent="0.25"/>
    <row r="282364" s="12" customFormat="1" x14ac:dyDescent="0.25"/>
    <row r="282365" s="12" customFormat="1" x14ac:dyDescent="0.25"/>
    <row r="282366" s="12" customFormat="1" x14ac:dyDescent="0.25"/>
    <row r="282367" s="12" customFormat="1" x14ac:dyDescent="0.25"/>
    <row r="282368" s="12" customFormat="1" x14ac:dyDescent="0.25"/>
    <row r="282369" s="12" customFormat="1" x14ac:dyDescent="0.25"/>
    <row r="282370" s="12" customFormat="1" x14ac:dyDescent="0.25"/>
    <row r="282371" s="12" customFormat="1" x14ac:dyDescent="0.25"/>
    <row r="282372" s="12" customFormat="1" x14ac:dyDescent="0.25"/>
    <row r="282373" s="12" customFormat="1" x14ac:dyDescent="0.25"/>
    <row r="282374" s="12" customFormat="1" x14ac:dyDescent="0.25"/>
    <row r="282375" s="12" customFormat="1" x14ac:dyDescent="0.25"/>
    <row r="282376" s="12" customFormat="1" x14ac:dyDescent="0.25"/>
    <row r="282377" s="12" customFormat="1" x14ac:dyDescent="0.25"/>
    <row r="282378" s="12" customFormat="1" x14ac:dyDescent="0.25"/>
    <row r="282379" s="12" customFormat="1" x14ac:dyDescent="0.25"/>
    <row r="282380" s="12" customFormat="1" x14ac:dyDescent="0.25"/>
    <row r="282381" s="12" customFormat="1" x14ac:dyDescent="0.25"/>
    <row r="282382" s="12" customFormat="1" x14ac:dyDescent="0.25"/>
    <row r="282383" s="12" customFormat="1" x14ac:dyDescent="0.25"/>
    <row r="282384" s="12" customFormat="1" x14ac:dyDescent="0.25"/>
    <row r="282385" s="12" customFormat="1" x14ac:dyDescent="0.25"/>
    <row r="282386" s="12" customFormat="1" x14ac:dyDescent="0.25"/>
    <row r="282387" s="12" customFormat="1" x14ac:dyDescent="0.25"/>
    <row r="282388" s="12" customFormat="1" x14ac:dyDescent="0.25"/>
    <row r="282389" s="12" customFormat="1" x14ac:dyDescent="0.25"/>
    <row r="282390" s="12" customFormat="1" x14ac:dyDescent="0.25"/>
    <row r="282391" s="12" customFormat="1" x14ac:dyDescent="0.25"/>
    <row r="282392" s="12" customFormat="1" x14ac:dyDescent="0.25"/>
    <row r="282393" s="12" customFormat="1" x14ac:dyDescent="0.25"/>
    <row r="282394" s="12" customFormat="1" x14ac:dyDescent="0.25"/>
    <row r="282395" s="12" customFormat="1" x14ac:dyDescent="0.25"/>
    <row r="282396" s="12" customFormat="1" x14ac:dyDescent="0.25"/>
    <row r="282397" s="12" customFormat="1" x14ac:dyDescent="0.25"/>
    <row r="282398" s="12" customFormat="1" x14ac:dyDescent="0.25"/>
    <row r="282399" s="12" customFormat="1" x14ac:dyDescent="0.25"/>
    <row r="282400" s="12" customFormat="1" x14ac:dyDescent="0.25"/>
    <row r="282401" s="12" customFormat="1" x14ac:dyDescent="0.25"/>
    <row r="282402" s="12" customFormat="1" x14ac:dyDescent="0.25"/>
    <row r="282403" s="12" customFormat="1" x14ac:dyDescent="0.25"/>
    <row r="282404" s="12" customFormat="1" x14ac:dyDescent="0.25"/>
    <row r="282405" s="12" customFormat="1" x14ac:dyDescent="0.25"/>
    <row r="282406" s="12" customFormat="1" x14ac:dyDescent="0.25"/>
    <row r="282407" s="12" customFormat="1" x14ac:dyDescent="0.25"/>
    <row r="282408" s="12" customFormat="1" x14ac:dyDescent="0.25"/>
    <row r="282409" s="12" customFormat="1" x14ac:dyDescent="0.25"/>
    <row r="282410" s="12" customFormat="1" x14ac:dyDescent="0.25"/>
    <row r="282411" s="12" customFormat="1" x14ac:dyDescent="0.25"/>
    <row r="282412" s="12" customFormat="1" x14ac:dyDescent="0.25"/>
    <row r="282413" s="12" customFormat="1" x14ac:dyDescent="0.25"/>
    <row r="282414" s="12" customFormat="1" x14ac:dyDescent="0.25"/>
    <row r="282415" s="12" customFormat="1" x14ac:dyDescent="0.25"/>
    <row r="282416" s="12" customFormat="1" x14ac:dyDescent="0.25"/>
    <row r="282417" s="12" customFormat="1" x14ac:dyDescent="0.25"/>
    <row r="282418" s="12" customFormat="1" x14ac:dyDescent="0.25"/>
    <row r="282419" s="12" customFormat="1" x14ac:dyDescent="0.25"/>
    <row r="282420" s="12" customFormat="1" x14ac:dyDescent="0.25"/>
    <row r="282421" s="12" customFormat="1" x14ac:dyDescent="0.25"/>
    <row r="282422" s="12" customFormat="1" x14ac:dyDescent="0.25"/>
    <row r="282423" s="12" customFormat="1" x14ac:dyDescent="0.25"/>
    <row r="282424" s="12" customFormat="1" x14ac:dyDescent="0.25"/>
    <row r="282425" s="12" customFormat="1" x14ac:dyDescent="0.25"/>
    <row r="282426" s="12" customFormat="1" x14ac:dyDescent="0.25"/>
    <row r="282427" s="12" customFormat="1" x14ac:dyDescent="0.25"/>
    <row r="282428" s="12" customFormat="1" x14ac:dyDescent="0.25"/>
    <row r="282429" s="12" customFormat="1" x14ac:dyDescent="0.25"/>
    <row r="282430" s="12" customFormat="1" x14ac:dyDescent="0.25"/>
    <row r="282431" s="12" customFormat="1" x14ac:dyDescent="0.25"/>
    <row r="282432" s="12" customFormat="1" x14ac:dyDescent="0.25"/>
    <row r="282433" s="12" customFormat="1" x14ac:dyDescent="0.25"/>
    <row r="282434" s="12" customFormat="1" x14ac:dyDescent="0.25"/>
    <row r="282435" s="12" customFormat="1" x14ac:dyDescent="0.25"/>
    <row r="282436" s="12" customFormat="1" x14ac:dyDescent="0.25"/>
    <row r="282437" s="12" customFormat="1" x14ac:dyDescent="0.25"/>
    <row r="282438" s="12" customFormat="1" x14ac:dyDescent="0.25"/>
    <row r="282439" s="12" customFormat="1" x14ac:dyDescent="0.25"/>
    <row r="282440" s="12" customFormat="1" x14ac:dyDescent="0.25"/>
    <row r="282441" s="12" customFormat="1" x14ac:dyDescent="0.25"/>
    <row r="282442" s="12" customFormat="1" x14ac:dyDescent="0.25"/>
    <row r="282443" s="12" customFormat="1" x14ac:dyDescent="0.25"/>
    <row r="282444" s="12" customFormat="1" x14ac:dyDescent="0.25"/>
    <row r="282445" s="12" customFormat="1" x14ac:dyDescent="0.25"/>
    <row r="282446" s="12" customFormat="1" x14ac:dyDescent="0.25"/>
    <row r="282447" s="12" customFormat="1" x14ac:dyDescent="0.25"/>
    <row r="282448" s="12" customFormat="1" x14ac:dyDescent="0.25"/>
    <row r="282449" s="12" customFormat="1" x14ac:dyDescent="0.25"/>
    <row r="282450" s="12" customFormat="1" x14ac:dyDescent="0.25"/>
    <row r="282451" s="12" customFormat="1" x14ac:dyDescent="0.25"/>
    <row r="282452" s="12" customFormat="1" x14ac:dyDescent="0.25"/>
    <row r="282453" s="12" customFormat="1" x14ac:dyDescent="0.25"/>
    <row r="282454" s="12" customFormat="1" x14ac:dyDescent="0.25"/>
    <row r="282455" s="12" customFormat="1" x14ac:dyDescent="0.25"/>
    <row r="282456" s="12" customFormat="1" x14ac:dyDescent="0.25"/>
    <row r="282457" s="12" customFormat="1" x14ac:dyDescent="0.25"/>
    <row r="282458" s="12" customFormat="1" x14ac:dyDescent="0.25"/>
    <row r="282459" s="12" customFormat="1" x14ac:dyDescent="0.25"/>
    <row r="282460" s="12" customFormat="1" x14ac:dyDescent="0.25"/>
    <row r="282461" s="12" customFormat="1" x14ac:dyDescent="0.25"/>
    <row r="282462" s="12" customFormat="1" x14ac:dyDescent="0.25"/>
    <row r="282463" s="12" customFormat="1" x14ac:dyDescent="0.25"/>
    <row r="282464" s="12" customFormat="1" x14ac:dyDescent="0.25"/>
    <row r="282465" s="12" customFormat="1" x14ac:dyDescent="0.25"/>
    <row r="282466" s="12" customFormat="1" x14ac:dyDescent="0.25"/>
    <row r="282467" s="12" customFormat="1" x14ac:dyDescent="0.25"/>
    <row r="282468" s="12" customFormat="1" x14ac:dyDescent="0.25"/>
    <row r="282469" s="12" customFormat="1" x14ac:dyDescent="0.25"/>
    <row r="282470" s="12" customFormat="1" x14ac:dyDescent="0.25"/>
    <row r="282471" s="12" customFormat="1" x14ac:dyDescent="0.25"/>
    <row r="282472" s="12" customFormat="1" x14ac:dyDescent="0.25"/>
    <row r="282473" s="12" customFormat="1" x14ac:dyDescent="0.25"/>
    <row r="282474" s="12" customFormat="1" x14ac:dyDescent="0.25"/>
    <row r="282475" s="12" customFormat="1" x14ac:dyDescent="0.25"/>
    <row r="282476" s="12" customFormat="1" x14ac:dyDescent="0.25"/>
    <row r="282477" s="12" customFormat="1" x14ac:dyDescent="0.25"/>
    <row r="282478" s="12" customFormat="1" x14ac:dyDescent="0.25"/>
    <row r="282479" s="12" customFormat="1" x14ac:dyDescent="0.25"/>
    <row r="282480" s="12" customFormat="1" x14ac:dyDescent="0.25"/>
    <row r="282481" s="12" customFormat="1" x14ac:dyDescent="0.25"/>
    <row r="282482" s="12" customFormat="1" x14ac:dyDescent="0.25"/>
    <row r="282483" s="12" customFormat="1" x14ac:dyDescent="0.25"/>
    <row r="282484" s="12" customFormat="1" x14ac:dyDescent="0.25"/>
    <row r="282485" s="12" customFormat="1" x14ac:dyDescent="0.25"/>
    <row r="282486" s="12" customFormat="1" x14ac:dyDescent="0.25"/>
    <row r="282487" s="12" customFormat="1" x14ac:dyDescent="0.25"/>
    <row r="282488" s="12" customFormat="1" x14ac:dyDescent="0.25"/>
    <row r="282489" s="12" customFormat="1" x14ac:dyDescent="0.25"/>
    <row r="282490" s="12" customFormat="1" x14ac:dyDescent="0.25"/>
    <row r="282491" s="12" customFormat="1" x14ac:dyDescent="0.25"/>
    <row r="282492" s="12" customFormat="1" x14ac:dyDescent="0.25"/>
    <row r="282493" s="12" customFormat="1" x14ac:dyDescent="0.25"/>
    <row r="282494" s="12" customFormat="1" x14ac:dyDescent="0.25"/>
    <row r="282495" s="12" customFormat="1" x14ac:dyDescent="0.25"/>
    <row r="282496" s="12" customFormat="1" x14ac:dyDescent="0.25"/>
    <row r="282497" s="12" customFormat="1" x14ac:dyDescent="0.25"/>
    <row r="282498" s="12" customFormat="1" x14ac:dyDescent="0.25"/>
    <row r="282499" s="12" customFormat="1" x14ac:dyDescent="0.25"/>
    <row r="282500" s="12" customFormat="1" x14ac:dyDescent="0.25"/>
    <row r="282501" s="12" customFormat="1" x14ac:dyDescent="0.25"/>
    <row r="282502" s="12" customFormat="1" x14ac:dyDescent="0.25"/>
    <row r="282503" s="12" customFormat="1" x14ac:dyDescent="0.25"/>
    <row r="282504" s="12" customFormat="1" x14ac:dyDescent="0.25"/>
    <row r="282505" s="12" customFormat="1" x14ac:dyDescent="0.25"/>
    <row r="282506" s="12" customFormat="1" x14ac:dyDescent="0.25"/>
    <row r="282507" s="12" customFormat="1" x14ac:dyDescent="0.25"/>
    <row r="282508" s="12" customFormat="1" x14ac:dyDescent="0.25"/>
    <row r="282509" s="12" customFormat="1" x14ac:dyDescent="0.25"/>
    <row r="282510" s="12" customFormat="1" x14ac:dyDescent="0.25"/>
    <row r="282511" s="12" customFormat="1" x14ac:dyDescent="0.25"/>
    <row r="282512" s="12" customFormat="1" x14ac:dyDescent="0.25"/>
    <row r="282513" s="12" customFormat="1" x14ac:dyDescent="0.25"/>
    <row r="282514" s="12" customFormat="1" x14ac:dyDescent="0.25"/>
    <row r="282515" s="12" customFormat="1" x14ac:dyDescent="0.25"/>
    <row r="282516" s="12" customFormat="1" x14ac:dyDescent="0.25"/>
    <row r="282517" s="12" customFormat="1" x14ac:dyDescent="0.25"/>
    <row r="282518" s="12" customFormat="1" x14ac:dyDescent="0.25"/>
    <row r="282519" s="12" customFormat="1" x14ac:dyDescent="0.25"/>
    <row r="282520" s="12" customFormat="1" x14ac:dyDescent="0.25"/>
    <row r="282521" s="12" customFormat="1" x14ac:dyDescent="0.25"/>
    <row r="282522" s="12" customFormat="1" x14ac:dyDescent="0.25"/>
    <row r="282523" s="12" customFormat="1" x14ac:dyDescent="0.25"/>
    <row r="282524" s="12" customFormat="1" x14ac:dyDescent="0.25"/>
    <row r="282525" s="12" customFormat="1" x14ac:dyDescent="0.25"/>
    <row r="282526" s="12" customFormat="1" x14ac:dyDescent="0.25"/>
    <row r="282527" s="12" customFormat="1" x14ac:dyDescent="0.25"/>
    <row r="282528" s="12" customFormat="1" x14ac:dyDescent="0.25"/>
    <row r="282529" s="12" customFormat="1" x14ac:dyDescent="0.25"/>
    <row r="282530" s="12" customFormat="1" x14ac:dyDescent="0.25"/>
    <row r="282531" s="12" customFormat="1" x14ac:dyDescent="0.25"/>
    <row r="282532" s="12" customFormat="1" x14ac:dyDescent="0.25"/>
    <row r="282533" s="12" customFormat="1" x14ac:dyDescent="0.25"/>
    <row r="282534" s="12" customFormat="1" x14ac:dyDescent="0.25"/>
    <row r="282535" s="12" customFormat="1" x14ac:dyDescent="0.25"/>
    <row r="282536" s="12" customFormat="1" x14ac:dyDescent="0.25"/>
    <row r="282537" s="12" customFormat="1" x14ac:dyDescent="0.25"/>
    <row r="282538" s="12" customFormat="1" x14ac:dyDescent="0.25"/>
    <row r="282539" s="12" customFormat="1" x14ac:dyDescent="0.25"/>
    <row r="282540" s="12" customFormat="1" x14ac:dyDescent="0.25"/>
    <row r="282541" s="12" customFormat="1" x14ac:dyDescent="0.25"/>
    <row r="282542" s="12" customFormat="1" x14ac:dyDescent="0.25"/>
    <row r="282543" s="12" customFormat="1" x14ac:dyDescent="0.25"/>
    <row r="282544" s="12" customFormat="1" x14ac:dyDescent="0.25"/>
    <row r="282545" s="12" customFormat="1" x14ac:dyDescent="0.25"/>
    <row r="282546" s="12" customFormat="1" x14ac:dyDescent="0.25"/>
    <row r="282547" s="12" customFormat="1" x14ac:dyDescent="0.25"/>
    <row r="282548" s="12" customFormat="1" x14ac:dyDescent="0.25"/>
    <row r="282549" s="12" customFormat="1" x14ac:dyDescent="0.25"/>
    <row r="282550" s="12" customFormat="1" x14ac:dyDescent="0.25"/>
    <row r="282551" s="12" customFormat="1" x14ac:dyDescent="0.25"/>
    <row r="282552" s="12" customFormat="1" x14ac:dyDescent="0.25"/>
    <row r="282553" s="12" customFormat="1" x14ac:dyDescent="0.25"/>
    <row r="282554" s="12" customFormat="1" x14ac:dyDescent="0.25"/>
    <row r="282555" s="12" customFormat="1" x14ac:dyDescent="0.25"/>
    <row r="282556" s="12" customFormat="1" x14ac:dyDescent="0.25"/>
    <row r="282557" s="12" customFormat="1" x14ac:dyDescent="0.25"/>
    <row r="282558" s="12" customFormat="1" x14ac:dyDescent="0.25"/>
    <row r="282559" s="12" customFormat="1" x14ac:dyDescent="0.25"/>
    <row r="282560" s="12" customFormat="1" x14ac:dyDescent="0.25"/>
    <row r="282561" s="12" customFormat="1" x14ac:dyDescent="0.25"/>
    <row r="282562" s="12" customFormat="1" x14ac:dyDescent="0.25"/>
    <row r="282563" s="12" customFormat="1" x14ac:dyDescent="0.25"/>
    <row r="282564" s="12" customFormat="1" x14ac:dyDescent="0.25"/>
    <row r="282565" s="12" customFormat="1" x14ac:dyDescent="0.25"/>
    <row r="282566" s="12" customFormat="1" x14ac:dyDescent="0.25"/>
    <row r="282567" s="12" customFormat="1" x14ac:dyDescent="0.25"/>
    <row r="282568" s="12" customFormat="1" x14ac:dyDescent="0.25"/>
    <row r="282569" s="12" customFormat="1" x14ac:dyDescent="0.25"/>
    <row r="282570" s="12" customFormat="1" x14ac:dyDescent="0.25"/>
    <row r="282571" s="12" customFormat="1" x14ac:dyDescent="0.25"/>
    <row r="282572" s="12" customFormat="1" x14ac:dyDescent="0.25"/>
    <row r="282573" s="12" customFormat="1" x14ac:dyDescent="0.25"/>
    <row r="282574" s="12" customFormat="1" x14ac:dyDescent="0.25"/>
    <row r="282575" s="12" customFormat="1" x14ac:dyDescent="0.25"/>
    <row r="282576" s="12" customFormat="1" x14ac:dyDescent="0.25"/>
    <row r="282577" s="12" customFormat="1" x14ac:dyDescent="0.25"/>
    <row r="282578" s="12" customFormat="1" x14ac:dyDescent="0.25"/>
    <row r="282579" s="12" customFormat="1" x14ac:dyDescent="0.25"/>
    <row r="282580" s="12" customFormat="1" x14ac:dyDescent="0.25"/>
    <row r="282581" s="12" customFormat="1" x14ac:dyDescent="0.25"/>
    <row r="282582" s="12" customFormat="1" x14ac:dyDescent="0.25"/>
    <row r="282583" s="12" customFormat="1" x14ac:dyDescent="0.25"/>
    <row r="282584" s="12" customFormat="1" x14ac:dyDescent="0.25"/>
    <row r="282585" s="12" customFormat="1" x14ac:dyDescent="0.25"/>
    <row r="282586" s="12" customFormat="1" x14ac:dyDescent="0.25"/>
    <row r="282587" s="12" customFormat="1" x14ac:dyDescent="0.25"/>
    <row r="282588" s="12" customFormat="1" x14ac:dyDescent="0.25"/>
    <row r="282589" s="12" customFormat="1" x14ac:dyDescent="0.25"/>
    <row r="282590" s="12" customFormat="1" x14ac:dyDescent="0.25"/>
    <row r="282591" s="12" customFormat="1" x14ac:dyDescent="0.25"/>
    <row r="282592" s="12" customFormat="1" x14ac:dyDescent="0.25"/>
    <row r="282593" s="12" customFormat="1" x14ac:dyDescent="0.25"/>
    <row r="282594" s="12" customFormat="1" x14ac:dyDescent="0.25"/>
    <row r="282595" s="12" customFormat="1" x14ac:dyDescent="0.25"/>
    <row r="282596" s="12" customFormat="1" x14ac:dyDescent="0.25"/>
    <row r="282597" s="12" customFormat="1" x14ac:dyDescent="0.25"/>
    <row r="282598" s="12" customFormat="1" x14ac:dyDescent="0.25"/>
    <row r="282599" s="12" customFormat="1" x14ac:dyDescent="0.25"/>
    <row r="282600" s="12" customFormat="1" x14ac:dyDescent="0.25"/>
    <row r="282601" s="12" customFormat="1" x14ac:dyDescent="0.25"/>
    <row r="282602" s="12" customFormat="1" x14ac:dyDescent="0.25"/>
    <row r="282603" s="12" customFormat="1" x14ac:dyDescent="0.25"/>
    <row r="282604" s="12" customFormat="1" x14ac:dyDescent="0.25"/>
    <row r="282605" s="12" customFormat="1" x14ac:dyDescent="0.25"/>
    <row r="282606" s="12" customFormat="1" x14ac:dyDescent="0.25"/>
    <row r="282607" s="12" customFormat="1" x14ac:dyDescent="0.25"/>
    <row r="282608" s="12" customFormat="1" x14ac:dyDescent="0.25"/>
    <row r="282609" s="12" customFormat="1" x14ac:dyDescent="0.25"/>
    <row r="282610" s="12" customFormat="1" x14ac:dyDescent="0.25"/>
    <row r="282611" s="12" customFormat="1" x14ac:dyDescent="0.25"/>
    <row r="282612" s="12" customFormat="1" x14ac:dyDescent="0.25"/>
    <row r="282613" s="12" customFormat="1" x14ac:dyDescent="0.25"/>
    <row r="282614" s="12" customFormat="1" x14ac:dyDescent="0.25"/>
    <row r="282615" s="12" customFormat="1" x14ac:dyDescent="0.25"/>
    <row r="282616" s="12" customFormat="1" x14ac:dyDescent="0.25"/>
    <row r="282617" s="12" customFormat="1" x14ac:dyDescent="0.25"/>
    <row r="282618" s="12" customFormat="1" x14ac:dyDescent="0.25"/>
    <row r="282619" s="12" customFormat="1" x14ac:dyDescent="0.25"/>
    <row r="282620" s="12" customFormat="1" x14ac:dyDescent="0.25"/>
    <row r="282621" s="12" customFormat="1" x14ac:dyDescent="0.25"/>
    <row r="282622" s="12" customFormat="1" x14ac:dyDescent="0.25"/>
    <row r="282623" s="12" customFormat="1" x14ac:dyDescent="0.25"/>
    <row r="282624" s="12" customFormat="1" x14ac:dyDescent="0.25"/>
    <row r="282625" s="12" customFormat="1" x14ac:dyDescent="0.25"/>
    <row r="282626" s="12" customFormat="1" x14ac:dyDescent="0.25"/>
    <row r="282627" s="12" customFormat="1" x14ac:dyDescent="0.25"/>
    <row r="282628" s="12" customFormat="1" x14ac:dyDescent="0.25"/>
    <row r="282629" s="12" customFormat="1" x14ac:dyDescent="0.25"/>
    <row r="282630" s="12" customFormat="1" x14ac:dyDescent="0.25"/>
    <row r="282631" s="12" customFormat="1" x14ac:dyDescent="0.25"/>
    <row r="282632" s="12" customFormat="1" x14ac:dyDescent="0.25"/>
    <row r="282633" s="12" customFormat="1" x14ac:dyDescent="0.25"/>
    <row r="282634" s="12" customFormat="1" x14ac:dyDescent="0.25"/>
    <row r="282635" s="12" customFormat="1" x14ac:dyDescent="0.25"/>
    <row r="282636" s="12" customFormat="1" x14ac:dyDescent="0.25"/>
    <row r="282637" s="12" customFormat="1" x14ac:dyDescent="0.25"/>
    <row r="282638" s="12" customFormat="1" x14ac:dyDescent="0.25"/>
    <row r="282639" s="12" customFormat="1" x14ac:dyDescent="0.25"/>
    <row r="282640" s="12" customFormat="1" x14ac:dyDescent="0.25"/>
    <row r="282641" s="12" customFormat="1" x14ac:dyDescent="0.25"/>
    <row r="282642" s="12" customFormat="1" x14ac:dyDescent="0.25"/>
    <row r="282643" s="12" customFormat="1" x14ac:dyDescent="0.25"/>
    <row r="282644" s="12" customFormat="1" x14ac:dyDescent="0.25"/>
    <row r="282645" s="12" customFormat="1" x14ac:dyDescent="0.25"/>
    <row r="282646" s="12" customFormat="1" x14ac:dyDescent="0.25"/>
    <row r="282647" s="12" customFormat="1" x14ac:dyDescent="0.25"/>
    <row r="282648" s="12" customFormat="1" x14ac:dyDescent="0.25"/>
    <row r="282649" s="12" customFormat="1" x14ac:dyDescent="0.25"/>
    <row r="282650" s="12" customFormat="1" x14ac:dyDescent="0.25"/>
    <row r="282651" s="12" customFormat="1" x14ac:dyDescent="0.25"/>
    <row r="282652" s="12" customFormat="1" x14ac:dyDescent="0.25"/>
    <row r="282653" s="12" customFormat="1" x14ac:dyDescent="0.25"/>
    <row r="282654" s="12" customFormat="1" x14ac:dyDescent="0.25"/>
    <row r="282655" s="12" customFormat="1" x14ac:dyDescent="0.25"/>
    <row r="282656" s="12" customFormat="1" x14ac:dyDescent="0.25"/>
    <row r="282657" s="12" customFormat="1" x14ac:dyDescent="0.25"/>
    <row r="282658" s="12" customFormat="1" x14ac:dyDescent="0.25"/>
    <row r="282659" s="12" customFormat="1" x14ac:dyDescent="0.25"/>
    <row r="282660" s="12" customFormat="1" x14ac:dyDescent="0.25"/>
    <row r="282661" s="12" customFormat="1" x14ac:dyDescent="0.25"/>
    <row r="282662" s="12" customFormat="1" x14ac:dyDescent="0.25"/>
    <row r="282663" s="12" customFormat="1" x14ac:dyDescent="0.25"/>
    <row r="282664" s="12" customFormat="1" x14ac:dyDescent="0.25"/>
    <row r="282665" s="12" customFormat="1" x14ac:dyDescent="0.25"/>
    <row r="282666" s="12" customFormat="1" x14ac:dyDescent="0.25"/>
    <row r="282667" s="12" customFormat="1" x14ac:dyDescent="0.25"/>
    <row r="282668" s="12" customFormat="1" x14ac:dyDescent="0.25"/>
    <row r="282669" s="12" customFormat="1" x14ac:dyDescent="0.25"/>
    <row r="282670" s="12" customFormat="1" x14ac:dyDescent="0.25"/>
    <row r="282671" s="12" customFormat="1" x14ac:dyDescent="0.25"/>
    <row r="282672" s="12" customFormat="1" x14ac:dyDescent="0.25"/>
    <row r="282673" s="12" customFormat="1" x14ac:dyDescent="0.25"/>
    <row r="282674" s="12" customFormat="1" x14ac:dyDescent="0.25"/>
    <row r="282675" s="12" customFormat="1" x14ac:dyDescent="0.25"/>
    <row r="282676" s="12" customFormat="1" x14ac:dyDescent="0.25"/>
    <row r="282677" s="12" customFormat="1" x14ac:dyDescent="0.25"/>
    <row r="282678" s="12" customFormat="1" x14ac:dyDescent="0.25"/>
    <row r="282679" s="12" customFormat="1" x14ac:dyDescent="0.25"/>
    <row r="282680" s="12" customFormat="1" x14ac:dyDescent="0.25"/>
    <row r="282681" s="12" customFormat="1" x14ac:dyDescent="0.25"/>
    <row r="282682" s="12" customFormat="1" x14ac:dyDescent="0.25"/>
    <row r="282683" s="12" customFormat="1" x14ac:dyDescent="0.25"/>
    <row r="282684" s="12" customFormat="1" x14ac:dyDescent="0.25"/>
    <row r="282685" s="12" customFormat="1" x14ac:dyDescent="0.25"/>
    <row r="282686" s="12" customFormat="1" x14ac:dyDescent="0.25"/>
    <row r="282687" s="12" customFormat="1" x14ac:dyDescent="0.25"/>
    <row r="282688" s="12" customFormat="1" x14ac:dyDescent="0.25"/>
    <row r="282689" s="12" customFormat="1" x14ac:dyDescent="0.25"/>
    <row r="282690" s="12" customFormat="1" x14ac:dyDescent="0.25"/>
    <row r="282691" s="12" customFormat="1" x14ac:dyDescent="0.25"/>
    <row r="282692" s="12" customFormat="1" x14ac:dyDescent="0.25"/>
    <row r="282693" s="12" customFormat="1" x14ac:dyDescent="0.25"/>
    <row r="282694" s="12" customFormat="1" x14ac:dyDescent="0.25"/>
    <row r="282695" s="12" customFormat="1" x14ac:dyDescent="0.25"/>
    <row r="282696" s="12" customFormat="1" x14ac:dyDescent="0.25"/>
    <row r="282697" s="12" customFormat="1" x14ac:dyDescent="0.25"/>
    <row r="282698" s="12" customFormat="1" x14ac:dyDescent="0.25"/>
    <row r="282699" s="12" customFormat="1" x14ac:dyDescent="0.25"/>
    <row r="282700" s="12" customFormat="1" x14ac:dyDescent="0.25"/>
    <row r="282701" s="12" customFormat="1" x14ac:dyDescent="0.25"/>
    <row r="282702" s="12" customFormat="1" x14ac:dyDescent="0.25"/>
    <row r="282703" s="12" customFormat="1" x14ac:dyDescent="0.25"/>
    <row r="282704" s="12" customFormat="1" x14ac:dyDescent="0.25"/>
    <row r="282705" s="12" customFormat="1" x14ac:dyDescent="0.25"/>
    <row r="282706" s="12" customFormat="1" x14ac:dyDescent="0.25"/>
    <row r="282707" s="12" customFormat="1" x14ac:dyDescent="0.25"/>
    <row r="282708" s="12" customFormat="1" x14ac:dyDescent="0.25"/>
    <row r="282709" s="12" customFormat="1" x14ac:dyDescent="0.25"/>
    <row r="282710" s="12" customFormat="1" x14ac:dyDescent="0.25"/>
    <row r="282711" s="12" customFormat="1" x14ac:dyDescent="0.25"/>
    <row r="282712" s="12" customFormat="1" x14ac:dyDescent="0.25"/>
    <row r="282713" s="12" customFormat="1" x14ac:dyDescent="0.25"/>
    <row r="282714" s="12" customFormat="1" x14ac:dyDescent="0.25"/>
    <row r="282715" s="12" customFormat="1" x14ac:dyDescent="0.25"/>
    <row r="282716" s="12" customFormat="1" x14ac:dyDescent="0.25"/>
    <row r="282717" s="12" customFormat="1" x14ac:dyDescent="0.25"/>
    <row r="282718" s="12" customFormat="1" x14ac:dyDescent="0.25"/>
    <row r="282719" s="12" customFormat="1" x14ac:dyDescent="0.25"/>
    <row r="282720" s="12" customFormat="1" x14ac:dyDescent="0.25"/>
    <row r="282721" s="12" customFormat="1" x14ac:dyDescent="0.25"/>
    <row r="282722" s="12" customFormat="1" x14ac:dyDescent="0.25"/>
    <row r="282723" s="12" customFormat="1" x14ac:dyDescent="0.25"/>
    <row r="282724" s="12" customFormat="1" x14ac:dyDescent="0.25"/>
    <row r="282725" s="12" customFormat="1" x14ac:dyDescent="0.25"/>
    <row r="282726" s="12" customFormat="1" x14ac:dyDescent="0.25"/>
    <row r="282727" s="12" customFormat="1" x14ac:dyDescent="0.25"/>
    <row r="282728" s="12" customFormat="1" x14ac:dyDescent="0.25"/>
    <row r="282729" s="12" customFormat="1" x14ac:dyDescent="0.25"/>
    <row r="282730" s="12" customFormat="1" x14ac:dyDescent="0.25"/>
    <row r="282731" s="12" customFormat="1" x14ac:dyDescent="0.25"/>
    <row r="282732" s="12" customFormat="1" x14ac:dyDescent="0.25"/>
    <row r="282733" s="12" customFormat="1" x14ac:dyDescent="0.25"/>
    <row r="282734" s="12" customFormat="1" x14ac:dyDescent="0.25"/>
    <row r="282735" s="12" customFormat="1" x14ac:dyDescent="0.25"/>
    <row r="282736" s="12" customFormat="1" x14ac:dyDescent="0.25"/>
    <row r="282737" s="12" customFormat="1" x14ac:dyDescent="0.25"/>
    <row r="282738" s="12" customFormat="1" x14ac:dyDescent="0.25"/>
    <row r="282739" s="12" customFormat="1" x14ac:dyDescent="0.25"/>
    <row r="282740" s="12" customFormat="1" x14ac:dyDescent="0.25"/>
    <row r="282741" s="12" customFormat="1" x14ac:dyDescent="0.25"/>
    <row r="282742" s="12" customFormat="1" x14ac:dyDescent="0.25"/>
    <row r="282743" s="12" customFormat="1" x14ac:dyDescent="0.25"/>
    <row r="282744" s="12" customFormat="1" x14ac:dyDescent="0.25"/>
    <row r="282745" s="12" customFormat="1" x14ac:dyDescent="0.25"/>
    <row r="282746" s="12" customFormat="1" x14ac:dyDescent="0.25"/>
    <row r="282747" s="12" customFormat="1" x14ac:dyDescent="0.25"/>
    <row r="282748" s="12" customFormat="1" x14ac:dyDescent="0.25"/>
    <row r="282749" s="12" customFormat="1" x14ac:dyDescent="0.25"/>
    <row r="282750" s="12" customFormat="1" x14ac:dyDescent="0.25"/>
    <row r="282751" s="12" customFormat="1" x14ac:dyDescent="0.25"/>
    <row r="282752" s="12" customFormat="1" x14ac:dyDescent="0.25"/>
    <row r="282753" s="12" customFormat="1" x14ac:dyDescent="0.25"/>
    <row r="282754" s="12" customFormat="1" x14ac:dyDescent="0.25"/>
    <row r="282755" s="12" customFormat="1" x14ac:dyDescent="0.25"/>
    <row r="282756" s="12" customFormat="1" x14ac:dyDescent="0.25"/>
    <row r="282757" s="12" customFormat="1" x14ac:dyDescent="0.25"/>
    <row r="282758" s="12" customFormat="1" x14ac:dyDescent="0.25"/>
    <row r="282759" s="12" customFormat="1" x14ac:dyDescent="0.25"/>
    <row r="282760" s="12" customFormat="1" x14ac:dyDescent="0.25"/>
    <row r="282761" s="12" customFormat="1" x14ac:dyDescent="0.25"/>
    <row r="282762" s="12" customFormat="1" x14ac:dyDescent="0.25"/>
    <row r="282763" s="12" customFormat="1" x14ac:dyDescent="0.25"/>
    <row r="282764" s="12" customFormat="1" x14ac:dyDescent="0.25"/>
    <row r="282765" s="12" customFormat="1" x14ac:dyDescent="0.25"/>
    <row r="282766" s="12" customFormat="1" x14ac:dyDescent="0.25"/>
    <row r="282767" s="12" customFormat="1" x14ac:dyDescent="0.25"/>
    <row r="282768" s="12" customFormat="1" x14ac:dyDescent="0.25"/>
    <row r="282769" s="12" customFormat="1" x14ac:dyDescent="0.25"/>
    <row r="282770" s="12" customFormat="1" x14ac:dyDescent="0.25"/>
    <row r="282771" s="12" customFormat="1" x14ac:dyDescent="0.25"/>
    <row r="282772" s="12" customFormat="1" x14ac:dyDescent="0.25"/>
    <row r="282773" s="12" customFormat="1" x14ac:dyDescent="0.25"/>
    <row r="282774" s="12" customFormat="1" x14ac:dyDescent="0.25"/>
    <row r="282775" s="12" customFormat="1" x14ac:dyDescent="0.25"/>
    <row r="282776" s="12" customFormat="1" x14ac:dyDescent="0.25"/>
    <row r="282777" s="12" customFormat="1" x14ac:dyDescent="0.25"/>
    <row r="282778" s="12" customFormat="1" x14ac:dyDescent="0.25"/>
    <row r="282779" s="12" customFormat="1" x14ac:dyDescent="0.25"/>
    <row r="282780" s="12" customFormat="1" x14ac:dyDescent="0.25"/>
    <row r="282781" s="12" customFormat="1" x14ac:dyDescent="0.25"/>
    <row r="282782" s="12" customFormat="1" x14ac:dyDescent="0.25"/>
    <row r="282783" s="12" customFormat="1" x14ac:dyDescent="0.25"/>
    <row r="282784" s="12" customFormat="1" x14ac:dyDescent="0.25"/>
    <row r="282785" s="12" customFormat="1" x14ac:dyDescent="0.25"/>
    <row r="282786" s="12" customFormat="1" x14ac:dyDescent="0.25"/>
    <row r="282787" s="12" customFormat="1" x14ac:dyDescent="0.25"/>
    <row r="282788" s="12" customFormat="1" x14ac:dyDescent="0.25"/>
    <row r="282789" s="12" customFormat="1" x14ac:dyDescent="0.25"/>
    <row r="282790" s="12" customFormat="1" x14ac:dyDescent="0.25"/>
    <row r="282791" s="12" customFormat="1" x14ac:dyDescent="0.25"/>
    <row r="282792" s="12" customFormat="1" x14ac:dyDescent="0.25"/>
    <row r="282793" s="12" customFormat="1" x14ac:dyDescent="0.25"/>
    <row r="282794" s="12" customFormat="1" x14ac:dyDescent="0.25"/>
    <row r="282795" s="12" customFormat="1" x14ac:dyDescent="0.25"/>
    <row r="282796" s="12" customFormat="1" x14ac:dyDescent="0.25"/>
    <row r="282797" s="12" customFormat="1" x14ac:dyDescent="0.25"/>
    <row r="282798" s="12" customFormat="1" x14ac:dyDescent="0.25"/>
    <row r="282799" s="12" customFormat="1" x14ac:dyDescent="0.25"/>
    <row r="282800" s="12" customFormat="1" x14ac:dyDescent="0.25"/>
    <row r="282801" s="12" customFormat="1" x14ac:dyDescent="0.25"/>
    <row r="282802" s="12" customFormat="1" x14ac:dyDescent="0.25"/>
    <row r="282803" s="12" customFormat="1" x14ac:dyDescent="0.25"/>
    <row r="282804" s="12" customFormat="1" x14ac:dyDescent="0.25"/>
    <row r="282805" s="12" customFormat="1" x14ac:dyDescent="0.25"/>
    <row r="282806" s="12" customFormat="1" x14ac:dyDescent="0.25"/>
    <row r="282807" s="12" customFormat="1" x14ac:dyDescent="0.25"/>
    <row r="282808" s="12" customFormat="1" x14ac:dyDescent="0.25"/>
    <row r="282809" s="12" customFormat="1" x14ac:dyDescent="0.25"/>
    <row r="282810" s="12" customFormat="1" x14ac:dyDescent="0.25"/>
    <row r="282811" s="12" customFormat="1" x14ac:dyDescent="0.25"/>
    <row r="282812" s="12" customFormat="1" x14ac:dyDescent="0.25"/>
    <row r="282813" s="12" customFormat="1" x14ac:dyDescent="0.25"/>
    <row r="282814" s="12" customFormat="1" x14ac:dyDescent="0.25"/>
    <row r="282815" s="12" customFormat="1" x14ac:dyDescent="0.25"/>
    <row r="282816" s="12" customFormat="1" x14ac:dyDescent="0.25"/>
    <row r="282817" s="12" customFormat="1" x14ac:dyDescent="0.25"/>
    <row r="282818" s="12" customFormat="1" x14ac:dyDescent="0.25"/>
    <row r="282819" s="12" customFormat="1" x14ac:dyDescent="0.25"/>
    <row r="282820" s="12" customFormat="1" x14ac:dyDescent="0.25"/>
    <row r="282821" s="12" customFormat="1" x14ac:dyDescent="0.25"/>
    <row r="282822" s="12" customFormat="1" x14ac:dyDescent="0.25"/>
    <row r="282823" s="12" customFormat="1" x14ac:dyDescent="0.25"/>
    <row r="282824" s="12" customFormat="1" x14ac:dyDescent="0.25"/>
    <row r="282825" s="12" customFormat="1" x14ac:dyDescent="0.25"/>
    <row r="282826" s="12" customFormat="1" x14ac:dyDescent="0.25"/>
    <row r="282827" s="12" customFormat="1" x14ac:dyDescent="0.25"/>
    <row r="282828" s="12" customFormat="1" x14ac:dyDescent="0.25"/>
    <row r="282829" s="12" customFormat="1" x14ac:dyDescent="0.25"/>
    <row r="282830" s="12" customFormat="1" x14ac:dyDescent="0.25"/>
    <row r="282831" s="12" customFormat="1" x14ac:dyDescent="0.25"/>
    <row r="282832" s="12" customFormat="1" x14ac:dyDescent="0.25"/>
    <row r="282833" s="12" customFormat="1" x14ac:dyDescent="0.25"/>
    <row r="282834" s="12" customFormat="1" x14ac:dyDescent="0.25"/>
    <row r="282835" s="12" customFormat="1" x14ac:dyDescent="0.25"/>
    <row r="282836" s="12" customFormat="1" x14ac:dyDescent="0.25"/>
    <row r="282837" s="12" customFormat="1" x14ac:dyDescent="0.25"/>
    <row r="282838" s="12" customFormat="1" x14ac:dyDescent="0.25"/>
    <row r="282839" s="12" customFormat="1" x14ac:dyDescent="0.25"/>
    <row r="282840" s="12" customFormat="1" x14ac:dyDescent="0.25"/>
    <row r="282841" s="12" customFormat="1" x14ac:dyDescent="0.25"/>
    <row r="282842" s="12" customFormat="1" x14ac:dyDescent="0.25"/>
    <row r="282843" s="12" customFormat="1" x14ac:dyDescent="0.25"/>
    <row r="282844" s="12" customFormat="1" x14ac:dyDescent="0.25"/>
    <row r="282845" s="12" customFormat="1" x14ac:dyDescent="0.25"/>
    <row r="282846" s="12" customFormat="1" x14ac:dyDescent="0.25"/>
    <row r="282847" s="12" customFormat="1" x14ac:dyDescent="0.25"/>
    <row r="282848" s="12" customFormat="1" x14ac:dyDescent="0.25"/>
    <row r="282849" s="12" customFormat="1" x14ac:dyDescent="0.25"/>
    <row r="282850" s="12" customFormat="1" x14ac:dyDescent="0.25"/>
    <row r="282851" s="12" customFormat="1" x14ac:dyDescent="0.25"/>
    <row r="282852" s="12" customFormat="1" x14ac:dyDescent="0.25"/>
    <row r="282853" s="12" customFormat="1" x14ac:dyDescent="0.25"/>
    <row r="282854" s="12" customFormat="1" x14ac:dyDescent="0.25"/>
    <row r="282855" s="12" customFormat="1" x14ac:dyDescent="0.25"/>
    <row r="282856" s="12" customFormat="1" x14ac:dyDescent="0.25"/>
    <row r="282857" s="12" customFormat="1" x14ac:dyDescent="0.25"/>
    <row r="282858" s="12" customFormat="1" x14ac:dyDescent="0.25"/>
    <row r="282859" s="12" customFormat="1" x14ac:dyDescent="0.25"/>
    <row r="282860" s="12" customFormat="1" x14ac:dyDescent="0.25"/>
    <row r="282861" s="12" customFormat="1" x14ac:dyDescent="0.25"/>
    <row r="282862" s="12" customFormat="1" x14ac:dyDescent="0.25"/>
    <row r="282863" s="12" customFormat="1" x14ac:dyDescent="0.25"/>
    <row r="282864" s="12" customFormat="1" x14ac:dyDescent="0.25"/>
    <row r="282865" s="12" customFormat="1" x14ac:dyDescent="0.25"/>
    <row r="282866" s="12" customFormat="1" x14ac:dyDescent="0.25"/>
    <row r="282867" s="12" customFormat="1" x14ac:dyDescent="0.25"/>
    <row r="282868" s="12" customFormat="1" x14ac:dyDescent="0.25"/>
    <row r="282869" s="12" customFormat="1" x14ac:dyDescent="0.25"/>
    <row r="282870" s="12" customFormat="1" x14ac:dyDescent="0.25"/>
    <row r="282871" s="12" customFormat="1" x14ac:dyDescent="0.25"/>
    <row r="282872" s="12" customFormat="1" x14ac:dyDescent="0.25"/>
    <row r="282873" s="12" customFormat="1" x14ac:dyDescent="0.25"/>
    <row r="282874" s="12" customFormat="1" x14ac:dyDescent="0.25"/>
    <row r="282875" s="12" customFormat="1" x14ac:dyDescent="0.25"/>
    <row r="282876" s="12" customFormat="1" x14ac:dyDescent="0.25"/>
    <row r="282877" s="12" customFormat="1" x14ac:dyDescent="0.25"/>
    <row r="282878" s="12" customFormat="1" x14ac:dyDescent="0.25"/>
    <row r="282879" s="12" customFormat="1" x14ac:dyDescent="0.25"/>
    <row r="282880" s="12" customFormat="1" x14ac:dyDescent="0.25"/>
    <row r="282881" s="12" customFormat="1" x14ac:dyDescent="0.25"/>
    <row r="282882" s="12" customFormat="1" x14ac:dyDescent="0.25"/>
    <row r="282883" s="12" customFormat="1" x14ac:dyDescent="0.25"/>
    <row r="282884" s="12" customFormat="1" x14ac:dyDescent="0.25"/>
    <row r="282885" s="12" customFormat="1" x14ac:dyDescent="0.25"/>
    <row r="282886" s="12" customFormat="1" x14ac:dyDescent="0.25"/>
    <row r="282887" s="12" customFormat="1" x14ac:dyDescent="0.25"/>
    <row r="282888" s="12" customFormat="1" x14ac:dyDescent="0.25"/>
    <row r="282889" s="12" customFormat="1" x14ac:dyDescent="0.25"/>
    <row r="282890" s="12" customFormat="1" x14ac:dyDescent="0.25"/>
    <row r="282891" s="12" customFormat="1" x14ac:dyDescent="0.25"/>
    <row r="282892" s="12" customFormat="1" x14ac:dyDescent="0.25"/>
    <row r="282893" s="12" customFormat="1" x14ac:dyDescent="0.25"/>
    <row r="282894" s="12" customFormat="1" x14ac:dyDescent="0.25"/>
    <row r="282895" s="12" customFormat="1" x14ac:dyDescent="0.25"/>
    <row r="282896" s="12" customFormat="1" x14ac:dyDescent="0.25"/>
    <row r="282897" s="12" customFormat="1" x14ac:dyDescent="0.25"/>
    <row r="282898" s="12" customFormat="1" x14ac:dyDescent="0.25"/>
    <row r="282899" s="12" customFormat="1" x14ac:dyDescent="0.25"/>
    <row r="282900" s="12" customFormat="1" x14ac:dyDescent="0.25"/>
    <row r="282901" s="12" customFormat="1" x14ac:dyDescent="0.25"/>
    <row r="282902" s="12" customFormat="1" x14ac:dyDescent="0.25"/>
    <row r="282903" s="12" customFormat="1" x14ac:dyDescent="0.25"/>
    <row r="282904" s="12" customFormat="1" x14ac:dyDescent="0.25"/>
    <row r="282905" s="12" customFormat="1" x14ac:dyDescent="0.25"/>
    <row r="282906" s="12" customFormat="1" x14ac:dyDescent="0.25"/>
    <row r="282907" s="12" customFormat="1" x14ac:dyDescent="0.25"/>
    <row r="282908" s="12" customFormat="1" x14ac:dyDescent="0.25"/>
    <row r="282909" s="12" customFormat="1" x14ac:dyDescent="0.25"/>
    <row r="282910" s="12" customFormat="1" x14ac:dyDescent="0.25"/>
    <row r="282911" s="12" customFormat="1" x14ac:dyDescent="0.25"/>
    <row r="282912" s="12" customFormat="1" x14ac:dyDescent="0.25"/>
    <row r="282913" s="12" customFormat="1" x14ac:dyDescent="0.25"/>
    <row r="282914" s="12" customFormat="1" x14ac:dyDescent="0.25"/>
    <row r="282915" s="12" customFormat="1" x14ac:dyDescent="0.25"/>
    <row r="282916" s="12" customFormat="1" x14ac:dyDescent="0.25"/>
    <row r="282917" s="12" customFormat="1" x14ac:dyDescent="0.25"/>
    <row r="282918" s="12" customFormat="1" x14ac:dyDescent="0.25"/>
    <row r="282919" s="12" customFormat="1" x14ac:dyDescent="0.25"/>
    <row r="282920" s="12" customFormat="1" x14ac:dyDescent="0.25"/>
    <row r="282921" s="12" customFormat="1" x14ac:dyDescent="0.25"/>
    <row r="282922" s="12" customFormat="1" x14ac:dyDescent="0.25"/>
    <row r="282923" s="12" customFormat="1" x14ac:dyDescent="0.25"/>
    <row r="282924" s="12" customFormat="1" x14ac:dyDescent="0.25"/>
    <row r="282925" s="12" customFormat="1" x14ac:dyDescent="0.25"/>
    <row r="282926" s="12" customFormat="1" x14ac:dyDescent="0.25"/>
    <row r="282927" s="12" customFormat="1" x14ac:dyDescent="0.25"/>
    <row r="282928" s="12" customFormat="1" x14ac:dyDescent="0.25"/>
    <row r="282929" s="12" customFormat="1" x14ac:dyDescent="0.25"/>
    <row r="282930" s="12" customFormat="1" x14ac:dyDescent="0.25"/>
    <row r="282931" s="12" customFormat="1" x14ac:dyDescent="0.25"/>
    <row r="282932" s="12" customFormat="1" x14ac:dyDescent="0.25"/>
    <row r="282933" s="12" customFormat="1" x14ac:dyDescent="0.25"/>
    <row r="282934" s="12" customFormat="1" x14ac:dyDescent="0.25"/>
    <row r="282935" s="12" customFormat="1" x14ac:dyDescent="0.25"/>
    <row r="282936" s="12" customFormat="1" x14ac:dyDescent="0.25"/>
    <row r="282937" s="12" customFormat="1" x14ac:dyDescent="0.25"/>
    <row r="282938" s="12" customFormat="1" x14ac:dyDescent="0.25"/>
    <row r="282939" s="12" customFormat="1" x14ac:dyDescent="0.25"/>
    <row r="282940" s="12" customFormat="1" x14ac:dyDescent="0.25"/>
    <row r="282941" s="12" customFormat="1" x14ac:dyDescent="0.25"/>
    <row r="282942" s="12" customFormat="1" x14ac:dyDescent="0.25"/>
    <row r="282943" s="12" customFormat="1" x14ac:dyDescent="0.25"/>
    <row r="282944" s="12" customFormat="1" x14ac:dyDescent="0.25"/>
    <row r="282945" s="12" customFormat="1" x14ac:dyDescent="0.25"/>
    <row r="282946" s="12" customFormat="1" x14ac:dyDescent="0.25"/>
    <row r="282947" s="12" customFormat="1" x14ac:dyDescent="0.25"/>
    <row r="282948" s="12" customFormat="1" x14ac:dyDescent="0.25"/>
    <row r="282949" s="12" customFormat="1" x14ac:dyDescent="0.25"/>
    <row r="282950" s="12" customFormat="1" x14ac:dyDescent="0.25"/>
    <row r="282951" s="12" customFormat="1" x14ac:dyDescent="0.25"/>
    <row r="282952" s="12" customFormat="1" x14ac:dyDescent="0.25"/>
    <row r="282953" s="12" customFormat="1" x14ac:dyDescent="0.25"/>
    <row r="282954" s="12" customFormat="1" x14ac:dyDescent="0.25"/>
    <row r="282955" s="12" customFormat="1" x14ac:dyDescent="0.25"/>
    <row r="282956" s="12" customFormat="1" x14ac:dyDescent="0.25"/>
    <row r="282957" s="12" customFormat="1" x14ac:dyDescent="0.25"/>
    <row r="282958" s="12" customFormat="1" x14ac:dyDescent="0.25"/>
    <row r="282959" s="12" customFormat="1" x14ac:dyDescent="0.25"/>
    <row r="282960" s="12" customFormat="1" x14ac:dyDescent="0.25"/>
    <row r="282961" s="12" customFormat="1" x14ac:dyDescent="0.25"/>
    <row r="282962" s="12" customFormat="1" x14ac:dyDescent="0.25"/>
    <row r="282963" s="12" customFormat="1" x14ac:dyDescent="0.25"/>
    <row r="282964" s="12" customFormat="1" x14ac:dyDescent="0.25"/>
    <row r="282965" s="12" customFormat="1" x14ac:dyDescent="0.25"/>
    <row r="282966" s="12" customFormat="1" x14ac:dyDescent="0.25"/>
    <row r="282967" s="12" customFormat="1" x14ac:dyDescent="0.25"/>
    <row r="282968" s="12" customFormat="1" x14ac:dyDescent="0.25"/>
    <row r="282969" s="12" customFormat="1" x14ac:dyDescent="0.25"/>
    <row r="282970" s="12" customFormat="1" x14ac:dyDescent="0.25"/>
    <row r="282971" s="12" customFormat="1" x14ac:dyDescent="0.25"/>
    <row r="282972" s="12" customFormat="1" x14ac:dyDescent="0.25"/>
    <row r="282973" s="12" customFormat="1" x14ac:dyDescent="0.25"/>
    <row r="282974" s="12" customFormat="1" x14ac:dyDescent="0.25"/>
    <row r="282975" s="12" customFormat="1" x14ac:dyDescent="0.25"/>
    <row r="282976" s="12" customFormat="1" x14ac:dyDescent="0.25"/>
    <row r="282977" s="12" customFormat="1" x14ac:dyDescent="0.25"/>
    <row r="282978" s="12" customFormat="1" x14ac:dyDescent="0.25"/>
    <row r="282979" s="12" customFormat="1" x14ac:dyDescent="0.25"/>
    <row r="282980" s="12" customFormat="1" x14ac:dyDescent="0.25"/>
    <row r="282981" s="12" customFormat="1" x14ac:dyDescent="0.25"/>
    <row r="282982" s="12" customFormat="1" x14ac:dyDescent="0.25"/>
    <row r="282983" s="12" customFormat="1" x14ac:dyDescent="0.25"/>
    <row r="282984" s="12" customFormat="1" x14ac:dyDescent="0.25"/>
    <row r="282985" s="12" customFormat="1" x14ac:dyDescent="0.25"/>
    <row r="282986" s="12" customFormat="1" x14ac:dyDescent="0.25"/>
    <row r="282987" s="12" customFormat="1" x14ac:dyDescent="0.25"/>
    <row r="282988" s="12" customFormat="1" x14ac:dyDescent="0.25"/>
    <row r="282989" s="12" customFormat="1" x14ac:dyDescent="0.25"/>
    <row r="282990" s="12" customFormat="1" x14ac:dyDescent="0.25"/>
    <row r="282991" s="12" customFormat="1" x14ac:dyDescent="0.25"/>
    <row r="282992" s="12" customFormat="1" x14ac:dyDescent="0.25"/>
    <row r="282993" s="12" customFormat="1" x14ac:dyDescent="0.25"/>
    <row r="282994" s="12" customFormat="1" x14ac:dyDescent="0.25"/>
    <row r="282995" s="12" customFormat="1" x14ac:dyDescent="0.25"/>
    <row r="282996" s="12" customFormat="1" x14ac:dyDescent="0.25"/>
    <row r="282997" s="12" customFormat="1" x14ac:dyDescent="0.25"/>
    <row r="282998" s="12" customFormat="1" x14ac:dyDescent="0.25"/>
    <row r="282999" s="12" customFormat="1" x14ac:dyDescent="0.25"/>
    <row r="283000" s="12" customFormat="1" x14ac:dyDescent="0.25"/>
    <row r="283001" s="12" customFormat="1" x14ac:dyDescent="0.25"/>
    <row r="283002" s="12" customFormat="1" x14ac:dyDescent="0.25"/>
    <row r="283003" s="12" customFormat="1" x14ac:dyDescent="0.25"/>
    <row r="283004" s="12" customFormat="1" x14ac:dyDescent="0.25"/>
    <row r="283005" s="12" customFormat="1" x14ac:dyDescent="0.25"/>
    <row r="283006" s="12" customFormat="1" x14ac:dyDescent="0.25"/>
    <row r="283007" s="12" customFormat="1" x14ac:dyDescent="0.25"/>
    <row r="283008" s="12" customFormat="1" x14ac:dyDescent="0.25"/>
    <row r="283009" s="12" customFormat="1" x14ac:dyDescent="0.25"/>
    <row r="283010" s="12" customFormat="1" x14ac:dyDescent="0.25"/>
    <row r="283011" s="12" customFormat="1" x14ac:dyDescent="0.25"/>
    <row r="283012" s="12" customFormat="1" x14ac:dyDescent="0.25"/>
    <row r="283013" s="12" customFormat="1" x14ac:dyDescent="0.25"/>
    <row r="283014" s="12" customFormat="1" x14ac:dyDescent="0.25"/>
    <row r="283015" s="12" customFormat="1" x14ac:dyDescent="0.25"/>
    <row r="283016" s="12" customFormat="1" x14ac:dyDescent="0.25"/>
    <row r="283017" s="12" customFormat="1" x14ac:dyDescent="0.25"/>
    <row r="283018" s="12" customFormat="1" x14ac:dyDescent="0.25"/>
    <row r="283019" s="12" customFormat="1" x14ac:dyDescent="0.25"/>
    <row r="283020" s="12" customFormat="1" x14ac:dyDescent="0.25"/>
    <row r="283021" s="12" customFormat="1" x14ac:dyDescent="0.25"/>
    <row r="283022" s="12" customFormat="1" x14ac:dyDescent="0.25"/>
    <row r="283023" s="12" customFormat="1" x14ac:dyDescent="0.25"/>
    <row r="283024" s="12" customFormat="1" x14ac:dyDescent="0.25"/>
    <row r="283025" s="12" customFormat="1" x14ac:dyDescent="0.25"/>
    <row r="283026" s="12" customFormat="1" x14ac:dyDescent="0.25"/>
    <row r="283027" s="12" customFormat="1" x14ac:dyDescent="0.25"/>
    <row r="283028" s="12" customFormat="1" x14ac:dyDescent="0.25"/>
    <row r="283029" s="12" customFormat="1" x14ac:dyDescent="0.25"/>
    <row r="283030" s="12" customFormat="1" x14ac:dyDescent="0.25"/>
    <row r="283031" s="12" customFormat="1" x14ac:dyDescent="0.25"/>
    <row r="283032" s="12" customFormat="1" x14ac:dyDescent="0.25"/>
    <row r="283033" s="12" customFormat="1" x14ac:dyDescent="0.25"/>
    <row r="283034" s="12" customFormat="1" x14ac:dyDescent="0.25"/>
    <row r="283035" s="12" customFormat="1" x14ac:dyDescent="0.25"/>
    <row r="283036" s="12" customFormat="1" x14ac:dyDescent="0.25"/>
    <row r="283037" s="12" customFormat="1" x14ac:dyDescent="0.25"/>
    <row r="283038" s="12" customFormat="1" x14ac:dyDescent="0.25"/>
    <row r="283039" s="12" customFormat="1" x14ac:dyDescent="0.25"/>
    <row r="283040" s="12" customFormat="1" x14ac:dyDescent="0.25"/>
    <row r="283041" s="12" customFormat="1" x14ac:dyDescent="0.25"/>
    <row r="283042" s="12" customFormat="1" x14ac:dyDescent="0.25"/>
    <row r="283043" s="12" customFormat="1" x14ac:dyDescent="0.25"/>
    <row r="283044" s="12" customFormat="1" x14ac:dyDescent="0.25"/>
    <row r="283045" s="12" customFormat="1" x14ac:dyDescent="0.25"/>
    <row r="283046" s="12" customFormat="1" x14ac:dyDescent="0.25"/>
    <row r="283047" s="12" customFormat="1" x14ac:dyDescent="0.25"/>
    <row r="283048" s="12" customFormat="1" x14ac:dyDescent="0.25"/>
    <row r="283049" s="12" customFormat="1" x14ac:dyDescent="0.25"/>
    <row r="283050" s="12" customFormat="1" x14ac:dyDescent="0.25"/>
    <row r="283051" s="12" customFormat="1" x14ac:dyDescent="0.25"/>
    <row r="283052" s="12" customFormat="1" x14ac:dyDescent="0.25"/>
    <row r="283053" s="12" customFormat="1" x14ac:dyDescent="0.25"/>
    <row r="283054" s="12" customFormat="1" x14ac:dyDescent="0.25"/>
    <row r="283055" s="12" customFormat="1" x14ac:dyDescent="0.25"/>
    <row r="283056" s="12" customFormat="1" x14ac:dyDescent="0.25"/>
    <row r="283057" s="12" customFormat="1" x14ac:dyDescent="0.25"/>
    <row r="283058" s="12" customFormat="1" x14ac:dyDescent="0.25"/>
    <row r="283059" s="12" customFormat="1" x14ac:dyDescent="0.25"/>
    <row r="283060" s="12" customFormat="1" x14ac:dyDescent="0.25"/>
    <row r="283061" s="12" customFormat="1" x14ac:dyDescent="0.25"/>
    <row r="283062" s="12" customFormat="1" x14ac:dyDescent="0.25"/>
    <row r="283063" s="12" customFormat="1" x14ac:dyDescent="0.25"/>
    <row r="283064" s="12" customFormat="1" x14ac:dyDescent="0.25"/>
    <row r="283065" s="12" customFormat="1" x14ac:dyDescent="0.25"/>
    <row r="283066" s="12" customFormat="1" x14ac:dyDescent="0.25"/>
    <row r="283067" s="12" customFormat="1" x14ac:dyDescent="0.25"/>
    <row r="283068" s="12" customFormat="1" x14ac:dyDescent="0.25"/>
    <row r="283069" s="12" customFormat="1" x14ac:dyDescent="0.25"/>
    <row r="283070" s="12" customFormat="1" x14ac:dyDescent="0.25"/>
    <row r="283071" s="12" customFormat="1" x14ac:dyDescent="0.25"/>
    <row r="283072" s="12" customFormat="1" x14ac:dyDescent="0.25"/>
    <row r="283073" s="12" customFormat="1" x14ac:dyDescent="0.25"/>
    <row r="283074" s="12" customFormat="1" x14ac:dyDescent="0.25"/>
    <row r="283075" s="12" customFormat="1" x14ac:dyDescent="0.25"/>
    <row r="283076" s="12" customFormat="1" x14ac:dyDescent="0.25"/>
    <row r="283077" s="12" customFormat="1" x14ac:dyDescent="0.25"/>
    <row r="283078" s="12" customFormat="1" x14ac:dyDescent="0.25"/>
    <row r="283079" s="12" customFormat="1" x14ac:dyDescent="0.25"/>
    <row r="283080" s="12" customFormat="1" x14ac:dyDescent="0.25"/>
    <row r="283081" s="12" customFormat="1" x14ac:dyDescent="0.25"/>
    <row r="283082" s="12" customFormat="1" x14ac:dyDescent="0.25"/>
    <row r="283083" s="12" customFormat="1" x14ac:dyDescent="0.25"/>
    <row r="283084" s="12" customFormat="1" x14ac:dyDescent="0.25"/>
    <row r="283085" s="12" customFormat="1" x14ac:dyDescent="0.25"/>
    <row r="283086" s="12" customFormat="1" x14ac:dyDescent="0.25"/>
    <row r="283087" s="12" customFormat="1" x14ac:dyDescent="0.25"/>
    <row r="283088" s="12" customFormat="1" x14ac:dyDescent="0.25"/>
    <row r="283089" s="12" customFormat="1" x14ac:dyDescent="0.25"/>
    <row r="283090" s="12" customFormat="1" x14ac:dyDescent="0.25"/>
    <row r="283091" s="12" customFormat="1" x14ac:dyDescent="0.25"/>
    <row r="283092" s="12" customFormat="1" x14ac:dyDescent="0.25"/>
    <row r="283093" s="12" customFormat="1" x14ac:dyDescent="0.25"/>
    <row r="283094" s="12" customFormat="1" x14ac:dyDescent="0.25"/>
    <row r="283095" s="12" customFormat="1" x14ac:dyDescent="0.25"/>
    <row r="283096" s="12" customFormat="1" x14ac:dyDescent="0.25"/>
    <row r="283097" s="12" customFormat="1" x14ac:dyDescent="0.25"/>
    <row r="283098" s="12" customFormat="1" x14ac:dyDescent="0.25"/>
    <row r="283099" s="12" customFormat="1" x14ac:dyDescent="0.25"/>
    <row r="283100" s="12" customFormat="1" x14ac:dyDescent="0.25"/>
    <row r="283101" s="12" customFormat="1" x14ac:dyDescent="0.25"/>
    <row r="283102" s="12" customFormat="1" x14ac:dyDescent="0.25"/>
    <row r="283103" s="12" customFormat="1" x14ac:dyDescent="0.25"/>
    <row r="283104" s="12" customFormat="1" x14ac:dyDescent="0.25"/>
    <row r="283105" s="12" customFormat="1" x14ac:dyDescent="0.25"/>
    <row r="283106" s="12" customFormat="1" x14ac:dyDescent="0.25"/>
    <row r="283107" s="12" customFormat="1" x14ac:dyDescent="0.25"/>
    <row r="283108" s="12" customFormat="1" x14ac:dyDescent="0.25"/>
    <row r="283109" s="12" customFormat="1" x14ac:dyDescent="0.25"/>
    <row r="283110" s="12" customFormat="1" x14ac:dyDescent="0.25"/>
    <row r="283111" s="12" customFormat="1" x14ac:dyDescent="0.25"/>
    <row r="283112" s="12" customFormat="1" x14ac:dyDescent="0.25"/>
    <row r="283113" s="12" customFormat="1" x14ac:dyDescent="0.25"/>
    <row r="283114" s="12" customFormat="1" x14ac:dyDescent="0.25"/>
    <row r="283115" s="12" customFormat="1" x14ac:dyDescent="0.25"/>
    <row r="283116" s="12" customFormat="1" x14ac:dyDescent="0.25"/>
    <row r="283117" s="12" customFormat="1" x14ac:dyDescent="0.25"/>
    <row r="283118" s="12" customFormat="1" x14ac:dyDescent="0.25"/>
    <row r="283119" s="12" customFormat="1" x14ac:dyDescent="0.25"/>
    <row r="283120" s="12" customFormat="1" x14ac:dyDescent="0.25"/>
    <row r="283121" s="12" customFormat="1" x14ac:dyDescent="0.25"/>
    <row r="283122" s="12" customFormat="1" x14ac:dyDescent="0.25"/>
    <row r="283123" s="12" customFormat="1" x14ac:dyDescent="0.25"/>
    <row r="283124" s="12" customFormat="1" x14ac:dyDescent="0.25"/>
    <row r="283125" s="12" customFormat="1" x14ac:dyDescent="0.25"/>
    <row r="283126" s="12" customFormat="1" x14ac:dyDescent="0.25"/>
    <row r="283127" s="12" customFormat="1" x14ac:dyDescent="0.25"/>
    <row r="283128" s="12" customFormat="1" x14ac:dyDescent="0.25"/>
    <row r="283129" s="12" customFormat="1" x14ac:dyDescent="0.25"/>
    <row r="283130" s="12" customFormat="1" x14ac:dyDescent="0.25"/>
    <row r="283131" s="12" customFormat="1" x14ac:dyDescent="0.25"/>
    <row r="283132" s="12" customFormat="1" x14ac:dyDescent="0.25"/>
    <row r="283133" s="12" customFormat="1" x14ac:dyDescent="0.25"/>
    <row r="283134" s="12" customFormat="1" x14ac:dyDescent="0.25"/>
    <row r="283135" s="12" customFormat="1" x14ac:dyDescent="0.25"/>
    <row r="283136" s="12" customFormat="1" x14ac:dyDescent="0.25"/>
    <row r="283137" s="12" customFormat="1" x14ac:dyDescent="0.25"/>
    <row r="283138" s="12" customFormat="1" x14ac:dyDescent="0.25"/>
    <row r="283139" s="12" customFormat="1" x14ac:dyDescent="0.25"/>
    <row r="283140" s="12" customFormat="1" x14ac:dyDescent="0.25"/>
    <row r="283141" s="12" customFormat="1" x14ac:dyDescent="0.25"/>
    <row r="283142" s="12" customFormat="1" x14ac:dyDescent="0.25"/>
    <row r="283143" s="12" customFormat="1" x14ac:dyDescent="0.25"/>
    <row r="283144" s="12" customFormat="1" x14ac:dyDescent="0.25"/>
    <row r="283145" s="12" customFormat="1" x14ac:dyDescent="0.25"/>
    <row r="283146" s="12" customFormat="1" x14ac:dyDescent="0.25"/>
    <row r="283147" s="12" customFormat="1" x14ac:dyDescent="0.25"/>
    <row r="283148" s="12" customFormat="1" x14ac:dyDescent="0.25"/>
    <row r="283149" s="12" customFormat="1" x14ac:dyDescent="0.25"/>
    <row r="283150" s="12" customFormat="1" x14ac:dyDescent="0.25"/>
    <row r="283151" s="12" customFormat="1" x14ac:dyDescent="0.25"/>
    <row r="283152" s="12" customFormat="1" x14ac:dyDescent="0.25"/>
    <row r="283153" s="12" customFormat="1" x14ac:dyDescent="0.25"/>
    <row r="283154" s="12" customFormat="1" x14ac:dyDescent="0.25"/>
    <row r="283155" s="12" customFormat="1" x14ac:dyDescent="0.25"/>
    <row r="283156" s="12" customFormat="1" x14ac:dyDescent="0.25"/>
    <row r="283157" s="12" customFormat="1" x14ac:dyDescent="0.25"/>
    <row r="283158" s="12" customFormat="1" x14ac:dyDescent="0.25"/>
    <row r="283159" s="12" customFormat="1" x14ac:dyDescent="0.25"/>
    <row r="283160" s="12" customFormat="1" x14ac:dyDescent="0.25"/>
    <row r="283161" s="12" customFormat="1" x14ac:dyDescent="0.25"/>
    <row r="283162" s="12" customFormat="1" x14ac:dyDescent="0.25"/>
    <row r="283163" s="12" customFormat="1" x14ac:dyDescent="0.25"/>
    <row r="283164" s="12" customFormat="1" x14ac:dyDescent="0.25"/>
    <row r="283165" s="12" customFormat="1" x14ac:dyDescent="0.25"/>
    <row r="283166" s="12" customFormat="1" x14ac:dyDescent="0.25"/>
    <row r="283167" s="12" customFormat="1" x14ac:dyDescent="0.25"/>
    <row r="283168" s="12" customFormat="1" x14ac:dyDescent="0.25"/>
    <row r="283169" s="12" customFormat="1" x14ac:dyDescent="0.25"/>
    <row r="283170" s="12" customFormat="1" x14ac:dyDescent="0.25"/>
    <row r="283171" s="12" customFormat="1" x14ac:dyDescent="0.25"/>
    <row r="283172" s="12" customFormat="1" x14ac:dyDescent="0.25"/>
    <row r="283173" s="12" customFormat="1" x14ac:dyDescent="0.25"/>
    <row r="283174" s="12" customFormat="1" x14ac:dyDescent="0.25"/>
    <row r="283175" s="12" customFormat="1" x14ac:dyDescent="0.25"/>
    <row r="283176" s="12" customFormat="1" x14ac:dyDescent="0.25"/>
    <row r="283177" s="12" customFormat="1" x14ac:dyDescent="0.25"/>
    <row r="283178" s="12" customFormat="1" x14ac:dyDescent="0.25"/>
    <row r="283179" s="12" customFormat="1" x14ac:dyDescent="0.25"/>
    <row r="283180" s="12" customFormat="1" x14ac:dyDescent="0.25"/>
    <row r="283181" s="12" customFormat="1" x14ac:dyDescent="0.25"/>
    <row r="283182" s="12" customFormat="1" x14ac:dyDescent="0.25"/>
    <row r="283183" s="12" customFormat="1" x14ac:dyDescent="0.25"/>
    <row r="283184" s="12" customFormat="1" x14ac:dyDescent="0.25"/>
    <row r="283185" s="12" customFormat="1" x14ac:dyDescent="0.25"/>
    <row r="283186" s="12" customFormat="1" x14ac:dyDescent="0.25"/>
    <row r="283187" s="12" customFormat="1" x14ac:dyDescent="0.25"/>
    <row r="283188" s="12" customFormat="1" x14ac:dyDescent="0.25"/>
    <row r="283189" s="12" customFormat="1" x14ac:dyDescent="0.25"/>
    <row r="283190" s="12" customFormat="1" x14ac:dyDescent="0.25"/>
    <row r="283191" s="12" customFormat="1" x14ac:dyDescent="0.25"/>
    <row r="283192" s="12" customFormat="1" x14ac:dyDescent="0.25"/>
    <row r="283193" s="12" customFormat="1" x14ac:dyDescent="0.25"/>
    <row r="283194" s="12" customFormat="1" x14ac:dyDescent="0.25"/>
    <row r="283195" s="12" customFormat="1" x14ac:dyDescent="0.25"/>
    <row r="283196" s="12" customFormat="1" x14ac:dyDescent="0.25"/>
    <row r="283197" s="12" customFormat="1" x14ac:dyDescent="0.25"/>
    <row r="283198" s="12" customFormat="1" x14ac:dyDescent="0.25"/>
    <row r="283199" s="12" customFormat="1" x14ac:dyDescent="0.25"/>
    <row r="283200" s="12" customFormat="1" x14ac:dyDescent="0.25"/>
    <row r="283201" s="12" customFormat="1" x14ac:dyDescent="0.25"/>
    <row r="283202" s="12" customFormat="1" x14ac:dyDescent="0.25"/>
    <row r="283203" s="12" customFormat="1" x14ac:dyDescent="0.25"/>
    <row r="283204" s="12" customFormat="1" x14ac:dyDescent="0.25"/>
    <row r="283205" s="12" customFormat="1" x14ac:dyDescent="0.25"/>
    <row r="283206" s="12" customFormat="1" x14ac:dyDescent="0.25"/>
    <row r="283207" s="12" customFormat="1" x14ac:dyDescent="0.25"/>
    <row r="283208" s="12" customFormat="1" x14ac:dyDescent="0.25"/>
    <row r="283209" s="12" customFormat="1" x14ac:dyDescent="0.25"/>
    <row r="283210" s="12" customFormat="1" x14ac:dyDescent="0.25"/>
    <row r="283211" s="12" customFormat="1" x14ac:dyDescent="0.25"/>
    <row r="283212" s="12" customFormat="1" x14ac:dyDescent="0.25"/>
    <row r="283213" s="12" customFormat="1" x14ac:dyDescent="0.25"/>
    <row r="283214" s="12" customFormat="1" x14ac:dyDescent="0.25"/>
    <row r="283215" s="12" customFormat="1" x14ac:dyDescent="0.25"/>
    <row r="283216" s="12" customFormat="1" x14ac:dyDescent="0.25"/>
    <row r="283217" s="12" customFormat="1" x14ac:dyDescent="0.25"/>
    <row r="283218" s="12" customFormat="1" x14ac:dyDescent="0.25"/>
    <row r="283219" s="12" customFormat="1" x14ac:dyDescent="0.25"/>
    <row r="283220" s="12" customFormat="1" x14ac:dyDescent="0.25"/>
    <row r="283221" s="12" customFormat="1" x14ac:dyDescent="0.25"/>
    <row r="283222" s="12" customFormat="1" x14ac:dyDescent="0.25"/>
    <row r="283223" s="12" customFormat="1" x14ac:dyDescent="0.25"/>
    <row r="283224" s="12" customFormat="1" x14ac:dyDescent="0.25"/>
    <row r="283225" s="12" customFormat="1" x14ac:dyDescent="0.25"/>
    <row r="283226" s="12" customFormat="1" x14ac:dyDescent="0.25"/>
    <row r="283227" s="12" customFormat="1" x14ac:dyDescent="0.25"/>
    <row r="283228" s="12" customFormat="1" x14ac:dyDescent="0.25"/>
    <row r="283229" s="12" customFormat="1" x14ac:dyDescent="0.25"/>
    <row r="283230" s="12" customFormat="1" x14ac:dyDescent="0.25"/>
    <row r="283231" s="12" customFormat="1" x14ac:dyDescent="0.25"/>
    <row r="283232" s="12" customFormat="1" x14ac:dyDescent="0.25"/>
    <row r="283233" s="12" customFormat="1" x14ac:dyDescent="0.25"/>
    <row r="283234" s="12" customFormat="1" x14ac:dyDescent="0.25"/>
    <row r="283235" s="12" customFormat="1" x14ac:dyDescent="0.25"/>
    <row r="283236" s="12" customFormat="1" x14ac:dyDescent="0.25"/>
    <row r="283237" s="12" customFormat="1" x14ac:dyDescent="0.25"/>
    <row r="283238" s="12" customFormat="1" x14ac:dyDescent="0.25"/>
    <row r="283239" s="12" customFormat="1" x14ac:dyDescent="0.25"/>
    <row r="283240" s="12" customFormat="1" x14ac:dyDescent="0.25"/>
    <row r="283241" s="12" customFormat="1" x14ac:dyDescent="0.25"/>
    <row r="283242" s="12" customFormat="1" x14ac:dyDescent="0.25"/>
    <row r="283243" s="12" customFormat="1" x14ac:dyDescent="0.25"/>
    <row r="283244" s="12" customFormat="1" x14ac:dyDescent="0.25"/>
    <row r="283245" s="12" customFormat="1" x14ac:dyDescent="0.25"/>
    <row r="283246" s="12" customFormat="1" x14ac:dyDescent="0.25"/>
    <row r="283247" s="12" customFormat="1" x14ac:dyDescent="0.25"/>
    <row r="283248" s="12" customFormat="1" x14ac:dyDescent="0.25"/>
    <row r="283249" s="12" customFormat="1" x14ac:dyDescent="0.25"/>
    <row r="283250" s="12" customFormat="1" x14ac:dyDescent="0.25"/>
    <row r="283251" s="12" customFormat="1" x14ac:dyDescent="0.25"/>
    <row r="283252" s="12" customFormat="1" x14ac:dyDescent="0.25"/>
    <row r="283253" s="12" customFormat="1" x14ac:dyDescent="0.25"/>
    <row r="283254" s="12" customFormat="1" x14ac:dyDescent="0.25"/>
    <row r="283255" s="12" customFormat="1" x14ac:dyDescent="0.25"/>
    <row r="283256" s="12" customFormat="1" x14ac:dyDescent="0.25"/>
    <row r="283257" s="12" customFormat="1" x14ac:dyDescent="0.25"/>
    <row r="283258" s="12" customFormat="1" x14ac:dyDescent="0.25"/>
    <row r="283259" s="12" customFormat="1" x14ac:dyDescent="0.25"/>
    <row r="283260" s="12" customFormat="1" x14ac:dyDescent="0.25"/>
    <row r="283261" s="12" customFormat="1" x14ac:dyDescent="0.25"/>
    <row r="283262" s="12" customFormat="1" x14ac:dyDescent="0.25"/>
    <row r="283263" s="12" customFormat="1" x14ac:dyDescent="0.25"/>
    <row r="283264" s="12" customFormat="1" x14ac:dyDescent="0.25"/>
    <row r="283265" s="12" customFormat="1" x14ac:dyDescent="0.25"/>
    <row r="283266" s="12" customFormat="1" x14ac:dyDescent="0.25"/>
    <row r="283267" s="12" customFormat="1" x14ac:dyDescent="0.25"/>
    <row r="283268" s="12" customFormat="1" x14ac:dyDescent="0.25"/>
    <row r="283269" s="12" customFormat="1" x14ac:dyDescent="0.25"/>
    <row r="283270" s="12" customFormat="1" x14ac:dyDescent="0.25"/>
    <row r="283271" s="12" customFormat="1" x14ac:dyDescent="0.25"/>
    <row r="283272" s="12" customFormat="1" x14ac:dyDescent="0.25"/>
    <row r="283273" s="12" customFormat="1" x14ac:dyDescent="0.25"/>
    <row r="283274" s="12" customFormat="1" x14ac:dyDescent="0.25"/>
    <row r="283275" s="12" customFormat="1" x14ac:dyDescent="0.25"/>
    <row r="283276" s="12" customFormat="1" x14ac:dyDescent="0.25"/>
    <row r="283277" s="12" customFormat="1" x14ac:dyDescent="0.25"/>
    <row r="283278" s="12" customFormat="1" x14ac:dyDescent="0.25"/>
    <row r="283279" s="12" customFormat="1" x14ac:dyDescent="0.25"/>
    <row r="283280" s="12" customFormat="1" x14ac:dyDescent="0.25"/>
    <row r="283281" s="12" customFormat="1" x14ac:dyDescent="0.25"/>
    <row r="283282" s="12" customFormat="1" x14ac:dyDescent="0.25"/>
    <row r="283283" s="12" customFormat="1" x14ac:dyDescent="0.25"/>
    <row r="283284" s="12" customFormat="1" x14ac:dyDescent="0.25"/>
    <row r="283285" s="12" customFormat="1" x14ac:dyDescent="0.25"/>
    <row r="283286" s="12" customFormat="1" x14ac:dyDescent="0.25"/>
    <row r="283287" s="12" customFormat="1" x14ac:dyDescent="0.25"/>
    <row r="283288" s="12" customFormat="1" x14ac:dyDescent="0.25"/>
    <row r="283289" s="12" customFormat="1" x14ac:dyDescent="0.25"/>
    <row r="283290" s="12" customFormat="1" x14ac:dyDescent="0.25"/>
    <row r="283291" s="12" customFormat="1" x14ac:dyDescent="0.25"/>
    <row r="283292" s="12" customFormat="1" x14ac:dyDescent="0.25"/>
    <row r="283293" s="12" customFormat="1" x14ac:dyDescent="0.25"/>
    <row r="283294" s="12" customFormat="1" x14ac:dyDescent="0.25"/>
    <row r="283295" s="12" customFormat="1" x14ac:dyDescent="0.25"/>
    <row r="283296" s="12" customFormat="1" x14ac:dyDescent="0.25"/>
    <row r="283297" s="12" customFormat="1" x14ac:dyDescent="0.25"/>
    <row r="283298" s="12" customFormat="1" x14ac:dyDescent="0.25"/>
    <row r="283299" s="12" customFormat="1" x14ac:dyDescent="0.25"/>
    <row r="283300" s="12" customFormat="1" x14ac:dyDescent="0.25"/>
    <row r="283301" s="12" customFormat="1" x14ac:dyDescent="0.25"/>
    <row r="283302" s="12" customFormat="1" x14ac:dyDescent="0.25"/>
    <row r="283303" s="12" customFormat="1" x14ac:dyDescent="0.25"/>
    <row r="283304" s="12" customFormat="1" x14ac:dyDescent="0.25"/>
    <row r="283305" s="12" customFormat="1" x14ac:dyDescent="0.25"/>
    <row r="283306" s="12" customFormat="1" x14ac:dyDescent="0.25"/>
    <row r="283307" s="12" customFormat="1" x14ac:dyDescent="0.25"/>
    <row r="283308" s="12" customFormat="1" x14ac:dyDescent="0.25"/>
    <row r="283309" s="12" customFormat="1" x14ac:dyDescent="0.25"/>
    <row r="283310" s="12" customFormat="1" x14ac:dyDescent="0.25"/>
    <row r="283311" s="12" customFormat="1" x14ac:dyDescent="0.25"/>
    <row r="283312" s="12" customFormat="1" x14ac:dyDescent="0.25"/>
    <row r="283313" s="12" customFormat="1" x14ac:dyDescent="0.25"/>
    <row r="283314" s="12" customFormat="1" x14ac:dyDescent="0.25"/>
    <row r="283315" s="12" customFormat="1" x14ac:dyDescent="0.25"/>
    <row r="283316" s="12" customFormat="1" x14ac:dyDescent="0.25"/>
    <row r="283317" s="12" customFormat="1" x14ac:dyDescent="0.25"/>
    <row r="283318" s="12" customFormat="1" x14ac:dyDescent="0.25"/>
    <row r="283319" s="12" customFormat="1" x14ac:dyDescent="0.25"/>
    <row r="283320" s="12" customFormat="1" x14ac:dyDescent="0.25"/>
    <row r="283321" s="12" customFormat="1" x14ac:dyDescent="0.25"/>
    <row r="283322" s="12" customFormat="1" x14ac:dyDescent="0.25"/>
    <row r="283323" s="12" customFormat="1" x14ac:dyDescent="0.25"/>
    <row r="283324" s="12" customFormat="1" x14ac:dyDescent="0.25"/>
    <row r="283325" s="12" customFormat="1" x14ac:dyDescent="0.25"/>
    <row r="283326" s="12" customFormat="1" x14ac:dyDescent="0.25"/>
    <row r="283327" s="12" customFormat="1" x14ac:dyDescent="0.25"/>
    <row r="283328" s="12" customFormat="1" x14ac:dyDescent="0.25"/>
    <row r="283329" s="12" customFormat="1" x14ac:dyDescent="0.25"/>
    <row r="283330" s="12" customFormat="1" x14ac:dyDescent="0.25"/>
    <row r="283331" s="12" customFormat="1" x14ac:dyDescent="0.25"/>
    <row r="283332" s="12" customFormat="1" x14ac:dyDescent="0.25"/>
    <row r="283333" s="12" customFormat="1" x14ac:dyDescent="0.25"/>
    <row r="283334" s="12" customFormat="1" x14ac:dyDescent="0.25"/>
    <row r="283335" s="12" customFormat="1" x14ac:dyDescent="0.25"/>
    <row r="283336" s="12" customFormat="1" x14ac:dyDescent="0.25"/>
    <row r="283337" s="12" customFormat="1" x14ac:dyDescent="0.25"/>
    <row r="283338" s="12" customFormat="1" x14ac:dyDescent="0.25"/>
    <row r="283339" s="12" customFormat="1" x14ac:dyDescent="0.25"/>
    <row r="283340" s="12" customFormat="1" x14ac:dyDescent="0.25"/>
    <row r="283341" s="12" customFormat="1" x14ac:dyDescent="0.25"/>
    <row r="283342" s="12" customFormat="1" x14ac:dyDescent="0.25"/>
    <row r="283343" s="12" customFormat="1" x14ac:dyDescent="0.25"/>
    <row r="283344" s="12" customFormat="1" x14ac:dyDescent="0.25"/>
    <row r="283345" s="12" customFormat="1" x14ac:dyDescent="0.25"/>
    <row r="283346" s="12" customFormat="1" x14ac:dyDescent="0.25"/>
    <row r="283347" s="12" customFormat="1" x14ac:dyDescent="0.25"/>
    <row r="283348" s="12" customFormat="1" x14ac:dyDescent="0.25"/>
    <row r="283349" s="12" customFormat="1" x14ac:dyDescent="0.25"/>
    <row r="283350" s="12" customFormat="1" x14ac:dyDescent="0.25"/>
    <row r="283351" s="12" customFormat="1" x14ac:dyDescent="0.25"/>
    <row r="283352" s="12" customFormat="1" x14ac:dyDescent="0.25"/>
    <row r="283353" s="12" customFormat="1" x14ac:dyDescent="0.25"/>
    <row r="283354" s="12" customFormat="1" x14ac:dyDescent="0.25"/>
    <row r="283355" s="12" customFormat="1" x14ac:dyDescent="0.25"/>
    <row r="283356" s="12" customFormat="1" x14ac:dyDescent="0.25"/>
    <row r="283357" s="12" customFormat="1" x14ac:dyDescent="0.25"/>
    <row r="283358" s="12" customFormat="1" x14ac:dyDescent="0.25"/>
    <row r="283359" s="12" customFormat="1" x14ac:dyDescent="0.25"/>
    <row r="283360" s="12" customFormat="1" x14ac:dyDescent="0.25"/>
    <row r="283361" s="12" customFormat="1" x14ac:dyDescent="0.25"/>
    <row r="283362" s="12" customFormat="1" x14ac:dyDescent="0.25"/>
    <row r="283363" s="12" customFormat="1" x14ac:dyDescent="0.25"/>
    <row r="283364" s="12" customFormat="1" x14ac:dyDescent="0.25"/>
    <row r="283365" s="12" customFormat="1" x14ac:dyDescent="0.25"/>
    <row r="283366" s="12" customFormat="1" x14ac:dyDescent="0.25"/>
    <row r="283367" s="12" customFormat="1" x14ac:dyDescent="0.25"/>
    <row r="283368" s="12" customFormat="1" x14ac:dyDescent="0.25"/>
    <row r="283369" s="12" customFormat="1" x14ac:dyDescent="0.25"/>
    <row r="283370" s="12" customFormat="1" x14ac:dyDescent="0.25"/>
    <row r="283371" s="12" customFormat="1" x14ac:dyDescent="0.25"/>
    <row r="283372" s="12" customFormat="1" x14ac:dyDescent="0.25"/>
    <row r="283373" s="12" customFormat="1" x14ac:dyDescent="0.25"/>
    <row r="283374" s="12" customFormat="1" x14ac:dyDescent="0.25"/>
    <row r="283375" s="12" customFormat="1" x14ac:dyDescent="0.25"/>
    <row r="283376" s="12" customFormat="1" x14ac:dyDescent="0.25"/>
    <row r="283377" s="12" customFormat="1" x14ac:dyDescent="0.25"/>
    <row r="283378" s="12" customFormat="1" x14ac:dyDescent="0.25"/>
    <row r="283379" s="12" customFormat="1" x14ac:dyDescent="0.25"/>
    <row r="283380" s="12" customFormat="1" x14ac:dyDescent="0.25"/>
    <row r="283381" s="12" customFormat="1" x14ac:dyDescent="0.25"/>
    <row r="283382" s="12" customFormat="1" x14ac:dyDescent="0.25"/>
    <row r="283383" s="12" customFormat="1" x14ac:dyDescent="0.25"/>
    <row r="283384" s="12" customFormat="1" x14ac:dyDescent="0.25"/>
    <row r="283385" s="12" customFormat="1" x14ac:dyDescent="0.25"/>
    <row r="283386" s="12" customFormat="1" x14ac:dyDescent="0.25"/>
    <row r="283387" s="12" customFormat="1" x14ac:dyDescent="0.25"/>
    <row r="283388" s="12" customFormat="1" x14ac:dyDescent="0.25"/>
    <row r="283389" s="12" customFormat="1" x14ac:dyDescent="0.25"/>
    <row r="283390" s="12" customFormat="1" x14ac:dyDescent="0.25"/>
    <row r="283391" s="12" customFormat="1" x14ac:dyDescent="0.25"/>
    <row r="283392" s="12" customFormat="1" x14ac:dyDescent="0.25"/>
    <row r="283393" s="12" customFormat="1" x14ac:dyDescent="0.25"/>
    <row r="283394" s="12" customFormat="1" x14ac:dyDescent="0.25"/>
    <row r="283395" s="12" customFormat="1" x14ac:dyDescent="0.25"/>
    <row r="283396" s="12" customFormat="1" x14ac:dyDescent="0.25"/>
    <row r="283397" s="12" customFormat="1" x14ac:dyDescent="0.25"/>
    <row r="283398" s="12" customFormat="1" x14ac:dyDescent="0.25"/>
    <row r="283399" s="12" customFormat="1" x14ac:dyDescent="0.25"/>
    <row r="283400" s="12" customFormat="1" x14ac:dyDescent="0.25"/>
    <row r="283401" s="12" customFormat="1" x14ac:dyDescent="0.25"/>
    <row r="283402" s="12" customFormat="1" x14ac:dyDescent="0.25"/>
    <row r="283403" s="12" customFormat="1" x14ac:dyDescent="0.25"/>
    <row r="283404" s="12" customFormat="1" x14ac:dyDescent="0.25"/>
    <row r="283405" s="12" customFormat="1" x14ac:dyDescent="0.25"/>
    <row r="283406" s="12" customFormat="1" x14ac:dyDescent="0.25"/>
    <row r="283407" s="12" customFormat="1" x14ac:dyDescent="0.25"/>
    <row r="283408" s="12" customFormat="1" x14ac:dyDescent="0.25"/>
    <row r="283409" s="12" customFormat="1" x14ac:dyDescent="0.25"/>
    <row r="283410" s="12" customFormat="1" x14ac:dyDescent="0.25"/>
    <row r="283411" s="12" customFormat="1" x14ac:dyDescent="0.25"/>
    <row r="283412" s="12" customFormat="1" x14ac:dyDescent="0.25"/>
    <row r="283413" s="12" customFormat="1" x14ac:dyDescent="0.25"/>
    <row r="283414" s="12" customFormat="1" x14ac:dyDescent="0.25"/>
    <row r="283415" s="12" customFormat="1" x14ac:dyDescent="0.25"/>
    <row r="283416" s="12" customFormat="1" x14ac:dyDescent="0.25"/>
    <row r="283417" s="12" customFormat="1" x14ac:dyDescent="0.25"/>
    <row r="283418" s="12" customFormat="1" x14ac:dyDescent="0.25"/>
    <row r="283419" s="12" customFormat="1" x14ac:dyDescent="0.25"/>
    <row r="283420" s="12" customFormat="1" x14ac:dyDescent="0.25"/>
    <row r="283421" s="12" customFormat="1" x14ac:dyDescent="0.25"/>
    <row r="283422" s="12" customFormat="1" x14ac:dyDescent="0.25"/>
    <row r="283423" s="12" customFormat="1" x14ac:dyDescent="0.25"/>
    <row r="283424" s="12" customFormat="1" x14ac:dyDescent="0.25"/>
    <row r="283425" s="12" customFormat="1" x14ac:dyDescent="0.25"/>
    <row r="283426" s="12" customFormat="1" x14ac:dyDescent="0.25"/>
    <row r="283427" s="12" customFormat="1" x14ac:dyDescent="0.25"/>
    <row r="283428" s="12" customFormat="1" x14ac:dyDescent="0.25"/>
    <row r="283429" s="12" customFormat="1" x14ac:dyDescent="0.25"/>
    <row r="283430" s="12" customFormat="1" x14ac:dyDescent="0.25"/>
    <row r="283431" s="12" customFormat="1" x14ac:dyDescent="0.25"/>
    <row r="283432" s="12" customFormat="1" x14ac:dyDescent="0.25"/>
    <row r="283433" s="12" customFormat="1" x14ac:dyDescent="0.25"/>
    <row r="283434" s="12" customFormat="1" x14ac:dyDescent="0.25"/>
    <row r="283435" s="12" customFormat="1" x14ac:dyDescent="0.25"/>
    <row r="283436" s="12" customFormat="1" x14ac:dyDescent="0.25"/>
    <row r="283437" s="12" customFormat="1" x14ac:dyDescent="0.25"/>
    <row r="283438" s="12" customFormat="1" x14ac:dyDescent="0.25"/>
    <row r="283439" s="12" customFormat="1" x14ac:dyDescent="0.25"/>
    <row r="283440" s="12" customFormat="1" x14ac:dyDescent="0.25"/>
    <row r="283441" s="12" customFormat="1" x14ac:dyDescent="0.25"/>
    <row r="283442" s="12" customFormat="1" x14ac:dyDescent="0.25"/>
    <row r="283443" s="12" customFormat="1" x14ac:dyDescent="0.25"/>
    <row r="283444" s="12" customFormat="1" x14ac:dyDescent="0.25"/>
    <row r="283445" s="12" customFormat="1" x14ac:dyDescent="0.25"/>
    <row r="283446" s="12" customFormat="1" x14ac:dyDescent="0.25"/>
    <row r="283447" s="12" customFormat="1" x14ac:dyDescent="0.25"/>
    <row r="283448" s="12" customFormat="1" x14ac:dyDescent="0.25"/>
    <row r="283449" s="12" customFormat="1" x14ac:dyDescent="0.25"/>
    <row r="283450" s="12" customFormat="1" x14ac:dyDescent="0.25"/>
    <row r="283451" s="12" customFormat="1" x14ac:dyDescent="0.25"/>
    <row r="283452" s="12" customFormat="1" x14ac:dyDescent="0.25"/>
    <row r="283453" s="12" customFormat="1" x14ac:dyDescent="0.25"/>
    <row r="283454" s="12" customFormat="1" x14ac:dyDescent="0.25"/>
    <row r="283455" s="12" customFormat="1" x14ac:dyDescent="0.25"/>
    <row r="283456" s="12" customFormat="1" x14ac:dyDescent="0.25"/>
    <row r="283457" s="12" customFormat="1" x14ac:dyDescent="0.25"/>
    <row r="283458" s="12" customFormat="1" x14ac:dyDescent="0.25"/>
    <row r="283459" s="12" customFormat="1" x14ac:dyDescent="0.25"/>
    <row r="283460" s="12" customFormat="1" x14ac:dyDescent="0.25"/>
    <row r="283461" s="12" customFormat="1" x14ac:dyDescent="0.25"/>
    <row r="283462" s="12" customFormat="1" x14ac:dyDescent="0.25"/>
    <row r="283463" s="12" customFormat="1" x14ac:dyDescent="0.25"/>
    <row r="283464" s="12" customFormat="1" x14ac:dyDescent="0.25"/>
    <row r="283465" s="12" customFormat="1" x14ac:dyDescent="0.25"/>
    <row r="283466" s="12" customFormat="1" x14ac:dyDescent="0.25"/>
    <row r="283467" s="12" customFormat="1" x14ac:dyDescent="0.25"/>
    <row r="283468" s="12" customFormat="1" x14ac:dyDescent="0.25"/>
    <row r="283469" s="12" customFormat="1" x14ac:dyDescent="0.25"/>
    <row r="283470" s="12" customFormat="1" x14ac:dyDescent="0.25"/>
    <row r="283471" s="12" customFormat="1" x14ac:dyDescent="0.25"/>
    <row r="283472" s="12" customFormat="1" x14ac:dyDescent="0.25"/>
    <row r="283473" s="12" customFormat="1" x14ac:dyDescent="0.25"/>
    <row r="283474" s="12" customFormat="1" x14ac:dyDescent="0.25"/>
    <row r="283475" s="12" customFormat="1" x14ac:dyDescent="0.25"/>
    <row r="283476" s="12" customFormat="1" x14ac:dyDescent="0.25"/>
    <row r="283477" s="12" customFormat="1" x14ac:dyDescent="0.25"/>
    <row r="283478" s="12" customFormat="1" x14ac:dyDescent="0.25"/>
    <row r="283479" s="12" customFormat="1" x14ac:dyDescent="0.25"/>
    <row r="283480" s="12" customFormat="1" x14ac:dyDescent="0.25"/>
    <row r="283481" s="12" customFormat="1" x14ac:dyDescent="0.25"/>
    <row r="283482" s="12" customFormat="1" x14ac:dyDescent="0.25"/>
    <row r="283483" s="12" customFormat="1" x14ac:dyDescent="0.25"/>
    <row r="283484" s="12" customFormat="1" x14ac:dyDescent="0.25"/>
    <row r="283485" s="12" customFormat="1" x14ac:dyDescent="0.25"/>
    <row r="283486" s="12" customFormat="1" x14ac:dyDescent="0.25"/>
    <row r="283487" s="12" customFormat="1" x14ac:dyDescent="0.25"/>
    <row r="283488" s="12" customFormat="1" x14ac:dyDescent="0.25"/>
    <row r="283489" s="12" customFormat="1" x14ac:dyDescent="0.25"/>
    <row r="283490" s="12" customFormat="1" x14ac:dyDescent="0.25"/>
    <row r="283491" s="12" customFormat="1" x14ac:dyDescent="0.25"/>
    <row r="283492" s="12" customFormat="1" x14ac:dyDescent="0.25"/>
    <row r="283493" s="12" customFormat="1" x14ac:dyDescent="0.25"/>
    <row r="283494" s="12" customFormat="1" x14ac:dyDescent="0.25"/>
    <row r="283495" s="12" customFormat="1" x14ac:dyDescent="0.25"/>
    <row r="283496" s="12" customFormat="1" x14ac:dyDescent="0.25"/>
    <row r="283497" s="12" customFormat="1" x14ac:dyDescent="0.25"/>
    <row r="283498" s="12" customFormat="1" x14ac:dyDescent="0.25"/>
    <row r="283499" s="12" customFormat="1" x14ac:dyDescent="0.25"/>
    <row r="283500" s="12" customFormat="1" x14ac:dyDescent="0.25"/>
    <row r="283501" s="12" customFormat="1" x14ac:dyDescent="0.25"/>
    <row r="283502" s="12" customFormat="1" x14ac:dyDescent="0.25"/>
    <row r="283503" s="12" customFormat="1" x14ac:dyDescent="0.25"/>
    <row r="283504" s="12" customFormat="1" x14ac:dyDescent="0.25"/>
    <row r="283505" s="12" customFormat="1" x14ac:dyDescent="0.25"/>
    <row r="283506" s="12" customFormat="1" x14ac:dyDescent="0.25"/>
    <row r="283507" s="12" customFormat="1" x14ac:dyDescent="0.25"/>
    <row r="283508" s="12" customFormat="1" x14ac:dyDescent="0.25"/>
    <row r="283509" s="12" customFormat="1" x14ac:dyDescent="0.25"/>
    <row r="283510" s="12" customFormat="1" x14ac:dyDescent="0.25"/>
    <row r="283511" s="12" customFormat="1" x14ac:dyDescent="0.25"/>
    <row r="283512" s="12" customFormat="1" x14ac:dyDescent="0.25"/>
    <row r="283513" s="12" customFormat="1" x14ac:dyDescent="0.25"/>
    <row r="283514" s="12" customFormat="1" x14ac:dyDescent="0.25"/>
    <row r="283515" s="12" customFormat="1" x14ac:dyDescent="0.25"/>
    <row r="283516" s="12" customFormat="1" x14ac:dyDescent="0.25"/>
    <row r="283517" s="12" customFormat="1" x14ac:dyDescent="0.25"/>
    <row r="283518" s="12" customFormat="1" x14ac:dyDescent="0.25"/>
    <row r="283519" s="12" customFormat="1" x14ac:dyDescent="0.25"/>
    <row r="283520" s="12" customFormat="1" x14ac:dyDescent="0.25"/>
    <row r="283521" s="12" customFormat="1" x14ac:dyDescent="0.25"/>
    <row r="283522" s="12" customFormat="1" x14ac:dyDescent="0.25"/>
    <row r="283523" s="12" customFormat="1" x14ac:dyDescent="0.25"/>
    <row r="283524" s="12" customFormat="1" x14ac:dyDescent="0.25"/>
    <row r="283525" s="12" customFormat="1" x14ac:dyDescent="0.25"/>
    <row r="283526" s="12" customFormat="1" x14ac:dyDescent="0.25"/>
    <row r="283527" s="12" customFormat="1" x14ac:dyDescent="0.25"/>
    <row r="283528" s="12" customFormat="1" x14ac:dyDescent="0.25"/>
    <row r="283529" s="12" customFormat="1" x14ac:dyDescent="0.25"/>
    <row r="283530" s="12" customFormat="1" x14ac:dyDescent="0.25"/>
    <row r="283531" s="12" customFormat="1" x14ac:dyDescent="0.25"/>
    <row r="283532" s="12" customFormat="1" x14ac:dyDescent="0.25"/>
    <row r="283533" s="12" customFormat="1" x14ac:dyDescent="0.25"/>
    <row r="283534" s="12" customFormat="1" x14ac:dyDescent="0.25"/>
    <row r="283535" s="12" customFormat="1" x14ac:dyDescent="0.25"/>
    <row r="283536" s="12" customFormat="1" x14ac:dyDescent="0.25"/>
    <row r="283537" s="12" customFormat="1" x14ac:dyDescent="0.25"/>
    <row r="283538" s="12" customFormat="1" x14ac:dyDescent="0.25"/>
    <row r="283539" s="12" customFormat="1" x14ac:dyDescent="0.25"/>
    <row r="283540" s="12" customFormat="1" x14ac:dyDescent="0.25"/>
    <row r="283541" s="12" customFormat="1" x14ac:dyDescent="0.25"/>
    <row r="283542" s="12" customFormat="1" x14ac:dyDescent="0.25"/>
    <row r="283543" s="12" customFormat="1" x14ac:dyDescent="0.25"/>
    <row r="283544" s="12" customFormat="1" x14ac:dyDescent="0.25"/>
    <row r="283545" s="12" customFormat="1" x14ac:dyDescent="0.25"/>
    <row r="283546" s="12" customFormat="1" x14ac:dyDescent="0.25"/>
    <row r="283547" s="12" customFormat="1" x14ac:dyDescent="0.25"/>
    <row r="283548" s="12" customFormat="1" x14ac:dyDescent="0.25"/>
    <row r="283549" s="12" customFormat="1" x14ac:dyDescent="0.25"/>
    <row r="283550" s="12" customFormat="1" x14ac:dyDescent="0.25"/>
    <row r="283551" s="12" customFormat="1" x14ac:dyDescent="0.25"/>
    <row r="283552" s="12" customFormat="1" x14ac:dyDescent="0.25"/>
    <row r="283553" s="12" customFormat="1" x14ac:dyDescent="0.25"/>
    <row r="283554" s="12" customFormat="1" x14ac:dyDescent="0.25"/>
    <row r="283555" s="12" customFormat="1" x14ac:dyDescent="0.25"/>
    <row r="283556" s="12" customFormat="1" x14ac:dyDescent="0.25"/>
    <row r="283557" s="12" customFormat="1" x14ac:dyDescent="0.25"/>
    <row r="283558" s="12" customFormat="1" x14ac:dyDescent="0.25"/>
    <row r="283559" s="12" customFormat="1" x14ac:dyDescent="0.25"/>
    <row r="283560" s="12" customFormat="1" x14ac:dyDescent="0.25"/>
    <row r="283561" s="12" customFormat="1" x14ac:dyDescent="0.25"/>
    <row r="283562" s="12" customFormat="1" x14ac:dyDescent="0.25"/>
    <row r="283563" s="12" customFormat="1" x14ac:dyDescent="0.25"/>
    <row r="283564" s="12" customFormat="1" x14ac:dyDescent="0.25"/>
    <row r="283565" s="12" customFormat="1" x14ac:dyDescent="0.25"/>
    <row r="283566" s="12" customFormat="1" x14ac:dyDescent="0.25"/>
    <row r="283567" s="12" customFormat="1" x14ac:dyDescent="0.25"/>
    <row r="283568" s="12" customFormat="1" x14ac:dyDescent="0.25"/>
    <row r="283569" s="12" customFormat="1" x14ac:dyDescent="0.25"/>
    <row r="283570" s="12" customFormat="1" x14ac:dyDescent="0.25"/>
    <row r="283571" s="12" customFormat="1" x14ac:dyDescent="0.25"/>
    <row r="283572" s="12" customFormat="1" x14ac:dyDescent="0.25"/>
    <row r="283573" s="12" customFormat="1" x14ac:dyDescent="0.25"/>
    <row r="283574" s="12" customFormat="1" x14ac:dyDescent="0.25"/>
    <row r="283575" s="12" customFormat="1" x14ac:dyDescent="0.25"/>
    <row r="283576" s="12" customFormat="1" x14ac:dyDescent="0.25"/>
    <row r="283577" s="12" customFormat="1" x14ac:dyDescent="0.25"/>
    <row r="283578" s="12" customFormat="1" x14ac:dyDescent="0.25"/>
    <row r="283579" s="12" customFormat="1" x14ac:dyDescent="0.25"/>
    <row r="283580" s="12" customFormat="1" x14ac:dyDescent="0.25"/>
    <row r="283581" s="12" customFormat="1" x14ac:dyDescent="0.25"/>
    <row r="283582" s="12" customFormat="1" x14ac:dyDescent="0.25"/>
    <row r="283583" s="12" customFormat="1" x14ac:dyDescent="0.25"/>
    <row r="283584" s="12" customFormat="1" x14ac:dyDescent="0.25"/>
    <row r="283585" s="12" customFormat="1" x14ac:dyDescent="0.25"/>
    <row r="283586" s="12" customFormat="1" x14ac:dyDescent="0.25"/>
    <row r="283587" s="12" customFormat="1" x14ac:dyDescent="0.25"/>
    <row r="283588" s="12" customFormat="1" x14ac:dyDescent="0.25"/>
    <row r="283589" s="12" customFormat="1" x14ac:dyDescent="0.25"/>
    <row r="283590" s="12" customFormat="1" x14ac:dyDescent="0.25"/>
    <row r="283591" s="12" customFormat="1" x14ac:dyDescent="0.25"/>
    <row r="283592" s="12" customFormat="1" x14ac:dyDescent="0.25"/>
    <row r="283593" s="12" customFormat="1" x14ac:dyDescent="0.25"/>
    <row r="283594" s="12" customFormat="1" x14ac:dyDescent="0.25"/>
    <row r="283595" s="12" customFormat="1" x14ac:dyDescent="0.25"/>
    <row r="283596" s="12" customFormat="1" x14ac:dyDescent="0.25"/>
    <row r="283597" s="12" customFormat="1" x14ac:dyDescent="0.25"/>
    <row r="283598" s="12" customFormat="1" x14ac:dyDescent="0.25"/>
    <row r="283599" s="12" customFormat="1" x14ac:dyDescent="0.25"/>
    <row r="283600" s="12" customFormat="1" x14ac:dyDescent="0.25"/>
    <row r="283601" s="12" customFormat="1" x14ac:dyDescent="0.25"/>
    <row r="283602" s="12" customFormat="1" x14ac:dyDescent="0.25"/>
    <row r="283603" s="12" customFormat="1" x14ac:dyDescent="0.25"/>
    <row r="283604" s="12" customFormat="1" x14ac:dyDescent="0.25"/>
    <row r="283605" s="12" customFormat="1" x14ac:dyDescent="0.25"/>
    <row r="283606" s="12" customFormat="1" x14ac:dyDescent="0.25"/>
    <row r="283607" s="12" customFormat="1" x14ac:dyDescent="0.25"/>
    <row r="283608" s="12" customFormat="1" x14ac:dyDescent="0.25"/>
    <row r="283609" s="12" customFormat="1" x14ac:dyDescent="0.25"/>
    <row r="283610" s="12" customFormat="1" x14ac:dyDescent="0.25"/>
    <row r="283611" s="12" customFormat="1" x14ac:dyDescent="0.25"/>
    <row r="283612" s="12" customFormat="1" x14ac:dyDescent="0.25"/>
    <row r="283613" s="12" customFormat="1" x14ac:dyDescent="0.25"/>
    <row r="283614" s="12" customFormat="1" x14ac:dyDescent="0.25"/>
    <row r="283615" s="12" customFormat="1" x14ac:dyDescent="0.25"/>
    <row r="283616" s="12" customFormat="1" x14ac:dyDescent="0.25"/>
    <row r="283617" s="12" customFormat="1" x14ac:dyDescent="0.25"/>
    <row r="283618" s="12" customFormat="1" x14ac:dyDescent="0.25"/>
    <row r="283619" s="12" customFormat="1" x14ac:dyDescent="0.25"/>
    <row r="283620" s="12" customFormat="1" x14ac:dyDescent="0.25"/>
    <row r="283621" s="12" customFormat="1" x14ac:dyDescent="0.25"/>
    <row r="283622" s="12" customFormat="1" x14ac:dyDescent="0.25"/>
    <row r="283623" s="12" customFormat="1" x14ac:dyDescent="0.25"/>
    <row r="283624" s="12" customFormat="1" x14ac:dyDescent="0.25"/>
    <row r="283625" s="12" customFormat="1" x14ac:dyDescent="0.25"/>
    <row r="283626" s="12" customFormat="1" x14ac:dyDescent="0.25"/>
    <row r="283627" s="12" customFormat="1" x14ac:dyDescent="0.25"/>
    <row r="283628" s="12" customFormat="1" x14ac:dyDescent="0.25"/>
    <row r="283629" s="12" customFormat="1" x14ac:dyDescent="0.25"/>
    <row r="283630" s="12" customFormat="1" x14ac:dyDescent="0.25"/>
    <row r="283631" s="12" customFormat="1" x14ac:dyDescent="0.25"/>
    <row r="283632" s="12" customFormat="1" x14ac:dyDescent="0.25"/>
    <row r="283633" s="12" customFormat="1" x14ac:dyDescent="0.25"/>
    <row r="283634" s="12" customFormat="1" x14ac:dyDescent="0.25"/>
    <row r="283635" s="12" customFormat="1" x14ac:dyDescent="0.25"/>
    <row r="283636" s="12" customFormat="1" x14ac:dyDescent="0.25"/>
    <row r="283637" s="12" customFormat="1" x14ac:dyDescent="0.25"/>
    <row r="283638" s="12" customFormat="1" x14ac:dyDescent="0.25"/>
    <row r="283639" s="12" customFormat="1" x14ac:dyDescent="0.25"/>
    <row r="283640" s="12" customFormat="1" x14ac:dyDescent="0.25"/>
    <row r="283641" s="12" customFormat="1" x14ac:dyDescent="0.25"/>
    <row r="283642" s="12" customFormat="1" x14ac:dyDescent="0.25"/>
    <row r="283643" s="12" customFormat="1" x14ac:dyDescent="0.25"/>
    <row r="283644" s="12" customFormat="1" x14ac:dyDescent="0.25"/>
    <row r="283645" s="12" customFormat="1" x14ac:dyDescent="0.25"/>
    <row r="283646" s="12" customFormat="1" x14ac:dyDescent="0.25"/>
    <row r="283647" s="12" customFormat="1" x14ac:dyDescent="0.25"/>
    <row r="283648" s="12" customFormat="1" x14ac:dyDescent="0.25"/>
    <row r="283649" s="12" customFormat="1" x14ac:dyDescent="0.25"/>
    <row r="283650" s="12" customFormat="1" x14ac:dyDescent="0.25"/>
    <row r="283651" s="12" customFormat="1" x14ac:dyDescent="0.25"/>
    <row r="283652" s="12" customFormat="1" x14ac:dyDescent="0.25"/>
    <row r="283653" s="12" customFormat="1" x14ac:dyDescent="0.25"/>
    <row r="283654" s="12" customFormat="1" x14ac:dyDescent="0.25"/>
    <row r="283655" s="12" customFormat="1" x14ac:dyDescent="0.25"/>
    <row r="283656" s="12" customFormat="1" x14ac:dyDescent="0.25"/>
    <row r="283657" s="12" customFormat="1" x14ac:dyDescent="0.25"/>
    <row r="283658" s="12" customFormat="1" x14ac:dyDescent="0.25"/>
    <row r="283659" s="12" customFormat="1" x14ac:dyDescent="0.25"/>
    <row r="283660" s="12" customFormat="1" x14ac:dyDescent="0.25"/>
    <row r="283661" s="12" customFormat="1" x14ac:dyDescent="0.25"/>
    <row r="283662" s="12" customFormat="1" x14ac:dyDescent="0.25"/>
    <row r="283663" s="12" customFormat="1" x14ac:dyDescent="0.25"/>
    <row r="283664" s="12" customFormat="1" x14ac:dyDescent="0.25"/>
    <row r="283665" s="12" customFormat="1" x14ac:dyDescent="0.25"/>
    <row r="283666" s="12" customFormat="1" x14ac:dyDescent="0.25"/>
    <row r="283667" s="12" customFormat="1" x14ac:dyDescent="0.25"/>
    <row r="283668" s="12" customFormat="1" x14ac:dyDescent="0.25"/>
    <row r="283669" s="12" customFormat="1" x14ac:dyDescent="0.25"/>
    <row r="283670" s="12" customFormat="1" x14ac:dyDescent="0.25"/>
    <row r="283671" s="12" customFormat="1" x14ac:dyDescent="0.25"/>
    <row r="283672" s="12" customFormat="1" x14ac:dyDescent="0.25"/>
    <row r="283673" s="12" customFormat="1" x14ac:dyDescent="0.25"/>
    <row r="283674" s="12" customFormat="1" x14ac:dyDescent="0.25"/>
    <row r="283675" s="12" customFormat="1" x14ac:dyDescent="0.25"/>
    <row r="283676" s="12" customFormat="1" x14ac:dyDescent="0.25"/>
    <row r="283677" s="12" customFormat="1" x14ac:dyDescent="0.25"/>
    <row r="283678" s="12" customFormat="1" x14ac:dyDescent="0.25"/>
    <row r="283679" s="12" customFormat="1" x14ac:dyDescent="0.25"/>
    <row r="283680" s="12" customFormat="1" x14ac:dyDescent="0.25"/>
    <row r="283681" s="12" customFormat="1" x14ac:dyDescent="0.25"/>
    <row r="283682" s="12" customFormat="1" x14ac:dyDescent="0.25"/>
    <row r="283683" s="12" customFormat="1" x14ac:dyDescent="0.25"/>
    <row r="283684" s="12" customFormat="1" x14ac:dyDescent="0.25"/>
    <row r="283685" s="12" customFormat="1" x14ac:dyDescent="0.25"/>
    <row r="283686" s="12" customFormat="1" x14ac:dyDescent="0.25"/>
    <row r="283687" s="12" customFormat="1" x14ac:dyDescent="0.25"/>
    <row r="283688" s="12" customFormat="1" x14ac:dyDescent="0.25"/>
    <row r="283689" s="12" customFormat="1" x14ac:dyDescent="0.25"/>
    <row r="283690" s="12" customFormat="1" x14ac:dyDescent="0.25"/>
    <row r="283691" s="12" customFormat="1" x14ac:dyDescent="0.25"/>
    <row r="283692" s="12" customFormat="1" x14ac:dyDescent="0.25"/>
    <row r="283693" s="12" customFormat="1" x14ac:dyDescent="0.25"/>
    <row r="283694" s="12" customFormat="1" x14ac:dyDescent="0.25"/>
    <row r="283695" s="12" customFormat="1" x14ac:dyDescent="0.25"/>
    <row r="283696" s="12" customFormat="1" x14ac:dyDescent="0.25"/>
    <row r="283697" s="12" customFormat="1" x14ac:dyDescent="0.25"/>
    <row r="283698" s="12" customFormat="1" x14ac:dyDescent="0.25"/>
    <row r="283699" s="12" customFormat="1" x14ac:dyDescent="0.25"/>
    <row r="283700" s="12" customFormat="1" x14ac:dyDescent="0.25"/>
    <row r="283701" s="12" customFormat="1" x14ac:dyDescent="0.25"/>
    <row r="283702" s="12" customFormat="1" x14ac:dyDescent="0.25"/>
    <row r="283703" s="12" customFormat="1" x14ac:dyDescent="0.25"/>
    <row r="283704" s="12" customFormat="1" x14ac:dyDescent="0.25"/>
    <row r="283705" s="12" customFormat="1" x14ac:dyDescent="0.25"/>
    <row r="283706" s="12" customFormat="1" x14ac:dyDescent="0.25"/>
    <row r="283707" s="12" customFormat="1" x14ac:dyDescent="0.25"/>
    <row r="283708" s="12" customFormat="1" x14ac:dyDescent="0.25"/>
    <row r="283709" s="12" customFormat="1" x14ac:dyDescent="0.25"/>
    <row r="283710" s="12" customFormat="1" x14ac:dyDescent="0.25"/>
    <row r="283711" s="12" customFormat="1" x14ac:dyDescent="0.25"/>
    <row r="283712" s="12" customFormat="1" x14ac:dyDescent="0.25"/>
    <row r="283713" s="12" customFormat="1" x14ac:dyDescent="0.25"/>
    <row r="283714" s="12" customFormat="1" x14ac:dyDescent="0.25"/>
    <row r="283715" s="12" customFormat="1" x14ac:dyDescent="0.25"/>
    <row r="283716" s="12" customFormat="1" x14ac:dyDescent="0.25"/>
    <row r="283717" s="12" customFormat="1" x14ac:dyDescent="0.25"/>
    <row r="283718" s="12" customFormat="1" x14ac:dyDescent="0.25"/>
    <row r="283719" s="12" customFormat="1" x14ac:dyDescent="0.25"/>
    <row r="283720" s="12" customFormat="1" x14ac:dyDescent="0.25"/>
    <row r="283721" s="12" customFormat="1" x14ac:dyDescent="0.25"/>
    <row r="283722" s="12" customFormat="1" x14ac:dyDescent="0.25"/>
    <row r="283723" s="12" customFormat="1" x14ac:dyDescent="0.25"/>
    <row r="283724" s="12" customFormat="1" x14ac:dyDescent="0.25"/>
    <row r="283725" s="12" customFormat="1" x14ac:dyDescent="0.25"/>
    <row r="283726" s="12" customFormat="1" x14ac:dyDescent="0.25"/>
    <row r="283727" s="12" customFormat="1" x14ac:dyDescent="0.25"/>
    <row r="283728" s="12" customFormat="1" x14ac:dyDescent="0.25"/>
    <row r="283729" s="12" customFormat="1" x14ac:dyDescent="0.25"/>
    <row r="283730" s="12" customFormat="1" x14ac:dyDescent="0.25"/>
    <row r="283731" s="12" customFormat="1" x14ac:dyDescent="0.25"/>
    <row r="283732" s="12" customFormat="1" x14ac:dyDescent="0.25"/>
    <row r="283733" s="12" customFormat="1" x14ac:dyDescent="0.25"/>
    <row r="283734" s="12" customFormat="1" x14ac:dyDescent="0.25"/>
    <row r="283735" s="12" customFormat="1" x14ac:dyDescent="0.25"/>
    <row r="283736" s="12" customFormat="1" x14ac:dyDescent="0.25"/>
    <row r="283737" s="12" customFormat="1" x14ac:dyDescent="0.25"/>
    <row r="283738" s="12" customFormat="1" x14ac:dyDescent="0.25"/>
    <row r="283739" s="12" customFormat="1" x14ac:dyDescent="0.25"/>
    <row r="283740" s="12" customFormat="1" x14ac:dyDescent="0.25"/>
    <row r="283741" s="12" customFormat="1" x14ac:dyDescent="0.25"/>
    <row r="283742" s="12" customFormat="1" x14ac:dyDescent="0.25"/>
    <row r="283743" s="12" customFormat="1" x14ac:dyDescent="0.25"/>
    <row r="283744" s="12" customFormat="1" x14ac:dyDescent="0.25"/>
    <row r="283745" s="12" customFormat="1" x14ac:dyDescent="0.25"/>
    <row r="283746" s="12" customFormat="1" x14ac:dyDescent="0.25"/>
    <row r="283747" s="12" customFormat="1" x14ac:dyDescent="0.25"/>
    <row r="283748" s="12" customFormat="1" x14ac:dyDescent="0.25"/>
    <row r="283749" s="12" customFormat="1" x14ac:dyDescent="0.25"/>
    <row r="283750" s="12" customFormat="1" x14ac:dyDescent="0.25"/>
    <row r="283751" s="12" customFormat="1" x14ac:dyDescent="0.25"/>
    <row r="283752" s="12" customFormat="1" x14ac:dyDescent="0.25"/>
    <row r="283753" s="12" customFormat="1" x14ac:dyDescent="0.25"/>
    <row r="283754" s="12" customFormat="1" x14ac:dyDescent="0.25"/>
    <row r="283755" s="12" customFormat="1" x14ac:dyDescent="0.25"/>
    <row r="283756" s="12" customFormat="1" x14ac:dyDescent="0.25"/>
    <row r="283757" s="12" customFormat="1" x14ac:dyDescent="0.25"/>
    <row r="283758" s="12" customFormat="1" x14ac:dyDescent="0.25"/>
    <row r="283759" s="12" customFormat="1" x14ac:dyDescent="0.25"/>
    <row r="283760" s="12" customFormat="1" x14ac:dyDescent="0.25"/>
    <row r="283761" s="12" customFormat="1" x14ac:dyDescent="0.25"/>
    <row r="283762" s="12" customFormat="1" x14ac:dyDescent="0.25"/>
    <row r="283763" s="12" customFormat="1" x14ac:dyDescent="0.25"/>
    <row r="283764" s="12" customFormat="1" x14ac:dyDescent="0.25"/>
    <row r="283765" s="12" customFormat="1" x14ac:dyDescent="0.25"/>
    <row r="283766" s="12" customFormat="1" x14ac:dyDescent="0.25"/>
    <row r="283767" s="12" customFormat="1" x14ac:dyDescent="0.25"/>
    <row r="283768" s="12" customFormat="1" x14ac:dyDescent="0.25"/>
    <row r="283769" s="12" customFormat="1" x14ac:dyDescent="0.25"/>
    <row r="283770" s="12" customFormat="1" x14ac:dyDescent="0.25"/>
    <row r="283771" s="12" customFormat="1" x14ac:dyDescent="0.25"/>
    <row r="283772" s="12" customFormat="1" x14ac:dyDescent="0.25"/>
    <row r="283773" s="12" customFormat="1" x14ac:dyDescent="0.25"/>
    <row r="283774" s="12" customFormat="1" x14ac:dyDescent="0.25"/>
    <row r="283775" s="12" customFormat="1" x14ac:dyDescent="0.25"/>
    <row r="283776" s="12" customFormat="1" x14ac:dyDescent="0.25"/>
    <row r="283777" s="12" customFormat="1" x14ac:dyDescent="0.25"/>
    <row r="283778" s="12" customFormat="1" x14ac:dyDescent="0.25"/>
    <row r="283779" s="12" customFormat="1" x14ac:dyDescent="0.25"/>
    <row r="283780" s="12" customFormat="1" x14ac:dyDescent="0.25"/>
    <row r="283781" s="12" customFormat="1" x14ac:dyDescent="0.25"/>
    <row r="283782" s="12" customFormat="1" x14ac:dyDescent="0.25"/>
    <row r="283783" s="12" customFormat="1" x14ac:dyDescent="0.25"/>
    <row r="283784" s="12" customFormat="1" x14ac:dyDescent="0.25"/>
    <row r="283785" s="12" customFormat="1" x14ac:dyDescent="0.25"/>
    <row r="283786" s="12" customFormat="1" x14ac:dyDescent="0.25"/>
    <row r="283787" s="12" customFormat="1" x14ac:dyDescent="0.25"/>
    <row r="283788" s="12" customFormat="1" x14ac:dyDescent="0.25"/>
    <row r="283789" s="12" customFormat="1" x14ac:dyDescent="0.25"/>
    <row r="283790" s="12" customFormat="1" x14ac:dyDescent="0.25"/>
    <row r="283791" s="12" customFormat="1" x14ac:dyDescent="0.25"/>
    <row r="283792" s="12" customFormat="1" x14ac:dyDescent="0.25"/>
    <row r="283793" s="12" customFormat="1" x14ac:dyDescent="0.25"/>
    <row r="283794" s="12" customFormat="1" x14ac:dyDescent="0.25"/>
    <row r="283795" s="12" customFormat="1" x14ac:dyDescent="0.25"/>
    <row r="283796" s="12" customFormat="1" x14ac:dyDescent="0.25"/>
    <row r="283797" s="12" customFormat="1" x14ac:dyDescent="0.25"/>
    <row r="283798" s="12" customFormat="1" x14ac:dyDescent="0.25"/>
    <row r="283799" s="12" customFormat="1" x14ac:dyDescent="0.25"/>
    <row r="283800" s="12" customFormat="1" x14ac:dyDescent="0.25"/>
    <row r="283801" s="12" customFormat="1" x14ac:dyDescent="0.25"/>
    <row r="283802" s="12" customFormat="1" x14ac:dyDescent="0.25"/>
    <row r="283803" s="12" customFormat="1" x14ac:dyDescent="0.25"/>
    <row r="283804" s="12" customFormat="1" x14ac:dyDescent="0.25"/>
    <row r="283805" s="12" customFormat="1" x14ac:dyDescent="0.25"/>
    <row r="283806" s="12" customFormat="1" x14ac:dyDescent="0.25"/>
    <row r="283807" s="12" customFormat="1" x14ac:dyDescent="0.25"/>
    <row r="283808" s="12" customFormat="1" x14ac:dyDescent="0.25"/>
    <row r="283809" s="12" customFormat="1" x14ac:dyDescent="0.25"/>
    <row r="283810" s="12" customFormat="1" x14ac:dyDescent="0.25"/>
    <row r="283811" s="12" customFormat="1" x14ac:dyDescent="0.25"/>
    <row r="283812" s="12" customFormat="1" x14ac:dyDescent="0.25"/>
    <row r="283813" s="12" customFormat="1" x14ac:dyDescent="0.25"/>
    <row r="283814" s="12" customFormat="1" x14ac:dyDescent="0.25"/>
    <row r="283815" s="12" customFormat="1" x14ac:dyDescent="0.25"/>
    <row r="283816" s="12" customFormat="1" x14ac:dyDescent="0.25"/>
    <row r="283817" s="12" customFormat="1" x14ac:dyDescent="0.25"/>
    <row r="283818" s="12" customFormat="1" x14ac:dyDescent="0.25"/>
    <row r="283819" s="12" customFormat="1" x14ac:dyDescent="0.25"/>
    <row r="283820" s="12" customFormat="1" x14ac:dyDescent="0.25"/>
    <row r="283821" s="12" customFormat="1" x14ac:dyDescent="0.25"/>
    <row r="283822" s="12" customFormat="1" x14ac:dyDescent="0.25"/>
    <row r="283823" s="12" customFormat="1" x14ac:dyDescent="0.25"/>
    <row r="283824" s="12" customFormat="1" x14ac:dyDescent="0.25"/>
    <row r="283825" s="12" customFormat="1" x14ac:dyDescent="0.25"/>
    <row r="283826" s="12" customFormat="1" x14ac:dyDescent="0.25"/>
    <row r="283827" s="12" customFormat="1" x14ac:dyDescent="0.25"/>
    <row r="283828" s="12" customFormat="1" x14ac:dyDescent="0.25"/>
    <row r="283829" s="12" customFormat="1" x14ac:dyDescent="0.25"/>
    <row r="283830" s="12" customFormat="1" x14ac:dyDescent="0.25"/>
    <row r="283831" s="12" customFormat="1" x14ac:dyDescent="0.25"/>
    <row r="283832" s="12" customFormat="1" x14ac:dyDescent="0.25"/>
    <row r="283833" s="12" customFormat="1" x14ac:dyDescent="0.25"/>
    <row r="283834" s="12" customFormat="1" x14ac:dyDescent="0.25"/>
    <row r="283835" s="12" customFormat="1" x14ac:dyDescent="0.25"/>
    <row r="283836" s="12" customFormat="1" x14ac:dyDescent="0.25"/>
    <row r="283837" s="12" customFormat="1" x14ac:dyDescent="0.25"/>
    <row r="283838" s="12" customFormat="1" x14ac:dyDescent="0.25"/>
    <row r="283839" s="12" customFormat="1" x14ac:dyDescent="0.25"/>
    <row r="283840" s="12" customFormat="1" x14ac:dyDescent="0.25"/>
    <row r="283841" s="12" customFormat="1" x14ac:dyDescent="0.25"/>
    <row r="283842" s="12" customFormat="1" x14ac:dyDescent="0.25"/>
    <row r="283843" s="12" customFormat="1" x14ac:dyDescent="0.25"/>
    <row r="283844" s="12" customFormat="1" x14ac:dyDescent="0.25"/>
    <row r="283845" s="12" customFormat="1" x14ac:dyDescent="0.25"/>
    <row r="283846" s="12" customFormat="1" x14ac:dyDescent="0.25"/>
    <row r="283847" s="12" customFormat="1" x14ac:dyDescent="0.25"/>
    <row r="283848" s="12" customFormat="1" x14ac:dyDescent="0.25"/>
    <row r="283849" s="12" customFormat="1" x14ac:dyDescent="0.25"/>
    <row r="283850" s="12" customFormat="1" x14ac:dyDescent="0.25"/>
    <row r="283851" s="12" customFormat="1" x14ac:dyDescent="0.25"/>
    <row r="283852" s="12" customFormat="1" x14ac:dyDescent="0.25"/>
    <row r="283853" s="12" customFormat="1" x14ac:dyDescent="0.25"/>
    <row r="283854" s="12" customFormat="1" x14ac:dyDescent="0.25"/>
    <row r="283855" s="12" customFormat="1" x14ac:dyDescent="0.25"/>
    <row r="283856" s="12" customFormat="1" x14ac:dyDescent="0.25"/>
    <row r="283857" s="12" customFormat="1" x14ac:dyDescent="0.25"/>
    <row r="283858" s="12" customFormat="1" x14ac:dyDescent="0.25"/>
    <row r="283859" s="12" customFormat="1" x14ac:dyDescent="0.25"/>
    <row r="283860" s="12" customFormat="1" x14ac:dyDescent="0.25"/>
    <row r="283861" s="12" customFormat="1" x14ac:dyDescent="0.25"/>
    <row r="283862" s="12" customFormat="1" x14ac:dyDescent="0.25"/>
    <row r="283863" s="12" customFormat="1" x14ac:dyDescent="0.25"/>
    <row r="283864" s="12" customFormat="1" x14ac:dyDescent="0.25"/>
    <row r="283865" s="12" customFormat="1" x14ac:dyDescent="0.25"/>
    <row r="283866" s="12" customFormat="1" x14ac:dyDescent="0.25"/>
    <row r="283867" s="12" customFormat="1" x14ac:dyDescent="0.25"/>
    <row r="283868" s="12" customFormat="1" x14ac:dyDescent="0.25"/>
    <row r="283869" s="12" customFormat="1" x14ac:dyDescent="0.25"/>
    <row r="283870" s="12" customFormat="1" x14ac:dyDescent="0.25"/>
    <row r="283871" s="12" customFormat="1" x14ac:dyDescent="0.25"/>
    <row r="283872" s="12" customFormat="1" x14ac:dyDescent="0.25"/>
    <row r="283873" s="12" customFormat="1" x14ac:dyDescent="0.25"/>
    <row r="283874" s="12" customFormat="1" x14ac:dyDescent="0.25"/>
    <row r="283875" s="12" customFormat="1" x14ac:dyDescent="0.25"/>
    <row r="283876" s="12" customFormat="1" x14ac:dyDescent="0.25"/>
    <row r="283877" s="12" customFormat="1" x14ac:dyDescent="0.25"/>
    <row r="283878" s="12" customFormat="1" x14ac:dyDescent="0.25"/>
    <row r="283879" s="12" customFormat="1" x14ac:dyDescent="0.25"/>
    <row r="283880" s="12" customFormat="1" x14ac:dyDescent="0.25"/>
    <row r="283881" s="12" customFormat="1" x14ac:dyDescent="0.25"/>
    <row r="283882" s="12" customFormat="1" x14ac:dyDescent="0.25"/>
    <row r="283883" s="12" customFormat="1" x14ac:dyDescent="0.25"/>
    <row r="283884" s="12" customFormat="1" x14ac:dyDescent="0.25"/>
    <row r="283885" s="12" customFormat="1" x14ac:dyDescent="0.25"/>
    <row r="283886" s="12" customFormat="1" x14ac:dyDescent="0.25"/>
    <row r="283887" s="12" customFormat="1" x14ac:dyDescent="0.25"/>
    <row r="283888" s="12" customFormat="1" x14ac:dyDescent="0.25"/>
    <row r="283889" s="12" customFormat="1" x14ac:dyDescent="0.25"/>
    <row r="283890" s="12" customFormat="1" x14ac:dyDescent="0.25"/>
    <row r="283891" s="12" customFormat="1" x14ac:dyDescent="0.25"/>
    <row r="283892" s="12" customFormat="1" x14ac:dyDescent="0.25"/>
    <row r="283893" s="12" customFormat="1" x14ac:dyDescent="0.25"/>
    <row r="283894" s="12" customFormat="1" x14ac:dyDescent="0.25"/>
    <row r="283895" s="12" customFormat="1" x14ac:dyDescent="0.25"/>
    <row r="283896" s="12" customFormat="1" x14ac:dyDescent="0.25"/>
    <row r="283897" s="12" customFormat="1" x14ac:dyDescent="0.25"/>
    <row r="283898" s="12" customFormat="1" x14ac:dyDescent="0.25"/>
    <row r="283899" s="12" customFormat="1" x14ac:dyDescent="0.25"/>
    <row r="283900" s="12" customFormat="1" x14ac:dyDescent="0.25"/>
    <row r="283901" s="12" customFormat="1" x14ac:dyDescent="0.25"/>
    <row r="283902" s="12" customFormat="1" x14ac:dyDescent="0.25"/>
    <row r="283903" s="12" customFormat="1" x14ac:dyDescent="0.25"/>
    <row r="283904" s="12" customFormat="1" x14ac:dyDescent="0.25"/>
    <row r="283905" s="12" customFormat="1" x14ac:dyDescent="0.25"/>
    <row r="283906" s="12" customFormat="1" x14ac:dyDescent="0.25"/>
    <row r="283907" s="12" customFormat="1" x14ac:dyDescent="0.25"/>
    <row r="283908" s="12" customFormat="1" x14ac:dyDescent="0.25"/>
    <row r="283909" s="12" customFormat="1" x14ac:dyDescent="0.25"/>
    <row r="283910" s="12" customFormat="1" x14ac:dyDescent="0.25"/>
    <row r="283911" s="12" customFormat="1" x14ac:dyDescent="0.25"/>
    <row r="283912" s="12" customFormat="1" x14ac:dyDescent="0.25"/>
    <row r="283913" s="12" customFormat="1" x14ac:dyDescent="0.25"/>
    <row r="283914" s="12" customFormat="1" x14ac:dyDescent="0.25"/>
    <row r="283915" s="12" customFormat="1" x14ac:dyDescent="0.25"/>
    <row r="283916" s="12" customFormat="1" x14ac:dyDescent="0.25"/>
    <row r="283917" s="12" customFormat="1" x14ac:dyDescent="0.25"/>
    <row r="283918" s="12" customFormat="1" x14ac:dyDescent="0.25"/>
    <row r="283919" s="12" customFormat="1" x14ac:dyDescent="0.25"/>
    <row r="283920" s="12" customFormat="1" x14ac:dyDescent="0.25"/>
    <row r="283921" s="12" customFormat="1" x14ac:dyDescent="0.25"/>
    <row r="283922" s="12" customFormat="1" x14ac:dyDescent="0.25"/>
    <row r="283923" s="12" customFormat="1" x14ac:dyDescent="0.25"/>
    <row r="283924" s="12" customFormat="1" x14ac:dyDescent="0.25"/>
    <row r="283925" s="12" customFormat="1" x14ac:dyDescent="0.25"/>
    <row r="283926" s="12" customFormat="1" x14ac:dyDescent="0.25"/>
    <row r="283927" s="12" customFormat="1" x14ac:dyDescent="0.25"/>
    <row r="283928" s="12" customFormat="1" x14ac:dyDescent="0.25"/>
    <row r="283929" s="12" customFormat="1" x14ac:dyDescent="0.25"/>
    <row r="283930" s="12" customFormat="1" x14ac:dyDescent="0.25"/>
    <row r="283931" s="12" customFormat="1" x14ac:dyDescent="0.25"/>
    <row r="283932" s="12" customFormat="1" x14ac:dyDescent="0.25"/>
    <row r="283933" s="12" customFormat="1" x14ac:dyDescent="0.25"/>
    <row r="283934" s="12" customFormat="1" x14ac:dyDescent="0.25"/>
    <row r="283935" s="12" customFormat="1" x14ac:dyDescent="0.25"/>
    <row r="283936" s="12" customFormat="1" x14ac:dyDescent="0.25"/>
    <row r="283937" s="12" customFormat="1" x14ac:dyDescent="0.25"/>
    <row r="283938" s="12" customFormat="1" x14ac:dyDescent="0.25"/>
    <row r="283939" s="12" customFormat="1" x14ac:dyDescent="0.25"/>
    <row r="283940" s="12" customFormat="1" x14ac:dyDescent="0.25"/>
    <row r="283941" s="12" customFormat="1" x14ac:dyDescent="0.25"/>
    <row r="283942" s="12" customFormat="1" x14ac:dyDescent="0.25"/>
    <row r="283943" s="12" customFormat="1" x14ac:dyDescent="0.25"/>
    <row r="283944" s="12" customFormat="1" x14ac:dyDescent="0.25"/>
    <row r="283945" s="12" customFormat="1" x14ac:dyDescent="0.25"/>
    <row r="283946" s="12" customFormat="1" x14ac:dyDescent="0.25"/>
    <row r="283947" s="12" customFormat="1" x14ac:dyDescent="0.25"/>
    <row r="283948" s="12" customFormat="1" x14ac:dyDescent="0.25"/>
    <row r="283949" s="12" customFormat="1" x14ac:dyDescent="0.25"/>
    <row r="283950" s="12" customFormat="1" x14ac:dyDescent="0.25"/>
    <row r="283951" s="12" customFormat="1" x14ac:dyDescent="0.25"/>
    <row r="283952" s="12" customFormat="1" x14ac:dyDescent="0.25"/>
    <row r="283953" s="12" customFormat="1" x14ac:dyDescent="0.25"/>
    <row r="283954" s="12" customFormat="1" x14ac:dyDescent="0.25"/>
    <row r="283955" s="12" customFormat="1" x14ac:dyDescent="0.25"/>
    <row r="283956" s="12" customFormat="1" x14ac:dyDescent="0.25"/>
    <row r="283957" s="12" customFormat="1" x14ac:dyDescent="0.25"/>
    <row r="283958" s="12" customFormat="1" x14ac:dyDescent="0.25"/>
    <row r="283959" s="12" customFormat="1" x14ac:dyDescent="0.25"/>
    <row r="283960" s="12" customFormat="1" x14ac:dyDescent="0.25"/>
    <row r="283961" s="12" customFormat="1" x14ac:dyDescent="0.25"/>
    <row r="283962" s="12" customFormat="1" x14ac:dyDescent="0.25"/>
    <row r="283963" s="12" customFormat="1" x14ac:dyDescent="0.25"/>
    <row r="283964" s="12" customFormat="1" x14ac:dyDescent="0.25"/>
    <row r="283965" s="12" customFormat="1" x14ac:dyDescent="0.25"/>
    <row r="283966" s="12" customFormat="1" x14ac:dyDescent="0.25"/>
    <row r="283967" s="12" customFormat="1" x14ac:dyDescent="0.25"/>
    <row r="283968" s="12" customFormat="1" x14ac:dyDescent="0.25"/>
    <row r="283969" s="12" customFormat="1" x14ac:dyDescent="0.25"/>
    <row r="283970" s="12" customFormat="1" x14ac:dyDescent="0.25"/>
    <row r="283971" s="12" customFormat="1" x14ac:dyDescent="0.25"/>
    <row r="283972" s="12" customFormat="1" x14ac:dyDescent="0.25"/>
    <row r="283973" s="12" customFormat="1" x14ac:dyDescent="0.25"/>
    <row r="283974" s="12" customFormat="1" x14ac:dyDescent="0.25"/>
    <row r="283975" s="12" customFormat="1" x14ac:dyDescent="0.25"/>
    <row r="283976" s="12" customFormat="1" x14ac:dyDescent="0.25"/>
    <row r="283977" s="12" customFormat="1" x14ac:dyDescent="0.25"/>
    <row r="283978" s="12" customFormat="1" x14ac:dyDescent="0.25"/>
    <row r="283979" s="12" customFormat="1" x14ac:dyDescent="0.25"/>
    <row r="283980" s="12" customFormat="1" x14ac:dyDescent="0.25"/>
    <row r="283981" s="12" customFormat="1" x14ac:dyDescent="0.25"/>
    <row r="283982" s="12" customFormat="1" x14ac:dyDescent="0.25"/>
    <row r="283983" s="12" customFormat="1" x14ac:dyDescent="0.25"/>
    <row r="283984" s="12" customFormat="1" x14ac:dyDescent="0.25"/>
    <row r="283985" s="12" customFormat="1" x14ac:dyDescent="0.25"/>
    <row r="283986" s="12" customFormat="1" x14ac:dyDescent="0.25"/>
    <row r="283987" s="12" customFormat="1" x14ac:dyDescent="0.25"/>
    <row r="283988" s="12" customFormat="1" x14ac:dyDescent="0.25"/>
    <row r="283989" s="12" customFormat="1" x14ac:dyDescent="0.25"/>
    <row r="283990" s="12" customFormat="1" x14ac:dyDescent="0.25"/>
    <row r="283991" s="12" customFormat="1" x14ac:dyDescent="0.25"/>
    <row r="283992" s="12" customFormat="1" x14ac:dyDescent="0.25"/>
    <row r="283993" s="12" customFormat="1" x14ac:dyDescent="0.25"/>
    <row r="283994" s="12" customFormat="1" x14ac:dyDescent="0.25"/>
    <row r="283995" s="12" customFormat="1" x14ac:dyDescent="0.25"/>
    <row r="283996" s="12" customFormat="1" x14ac:dyDescent="0.25"/>
    <row r="283997" s="12" customFormat="1" x14ac:dyDescent="0.25"/>
    <row r="283998" s="12" customFormat="1" x14ac:dyDescent="0.25"/>
    <row r="283999" s="12" customFormat="1" x14ac:dyDescent="0.25"/>
    <row r="284000" s="12" customFormat="1" x14ac:dyDescent="0.25"/>
    <row r="284001" s="12" customFormat="1" x14ac:dyDescent="0.25"/>
    <row r="284002" s="12" customFormat="1" x14ac:dyDescent="0.25"/>
    <row r="284003" s="12" customFormat="1" x14ac:dyDescent="0.25"/>
    <row r="284004" s="12" customFormat="1" x14ac:dyDescent="0.25"/>
    <row r="284005" s="12" customFormat="1" x14ac:dyDescent="0.25"/>
    <row r="284006" s="12" customFormat="1" x14ac:dyDescent="0.25"/>
    <row r="284007" s="12" customFormat="1" x14ac:dyDescent="0.25"/>
    <row r="284008" s="12" customFormat="1" x14ac:dyDescent="0.25"/>
    <row r="284009" s="12" customFormat="1" x14ac:dyDescent="0.25"/>
    <row r="284010" s="12" customFormat="1" x14ac:dyDescent="0.25"/>
    <row r="284011" s="12" customFormat="1" x14ac:dyDescent="0.25"/>
    <row r="284012" s="12" customFormat="1" x14ac:dyDescent="0.25"/>
    <row r="284013" s="12" customFormat="1" x14ac:dyDescent="0.25"/>
    <row r="284014" s="12" customFormat="1" x14ac:dyDescent="0.25"/>
    <row r="284015" s="12" customFormat="1" x14ac:dyDescent="0.25"/>
    <row r="284016" s="12" customFormat="1" x14ac:dyDescent="0.25"/>
    <row r="284017" s="12" customFormat="1" x14ac:dyDescent="0.25"/>
    <row r="284018" s="12" customFormat="1" x14ac:dyDescent="0.25"/>
    <row r="284019" s="12" customFormat="1" x14ac:dyDescent="0.25"/>
    <row r="284020" s="12" customFormat="1" x14ac:dyDescent="0.25"/>
    <row r="284021" s="12" customFormat="1" x14ac:dyDescent="0.25"/>
    <row r="284022" s="12" customFormat="1" x14ac:dyDescent="0.25"/>
    <row r="284023" s="12" customFormat="1" x14ac:dyDescent="0.25"/>
    <row r="284024" s="12" customFormat="1" x14ac:dyDescent="0.25"/>
    <row r="284025" s="12" customFormat="1" x14ac:dyDescent="0.25"/>
    <row r="284026" s="12" customFormat="1" x14ac:dyDescent="0.25"/>
    <row r="284027" s="12" customFormat="1" x14ac:dyDescent="0.25"/>
    <row r="284028" s="12" customFormat="1" x14ac:dyDescent="0.25"/>
    <row r="284029" s="12" customFormat="1" x14ac:dyDescent="0.25"/>
    <row r="284030" s="12" customFormat="1" x14ac:dyDescent="0.25"/>
    <row r="284031" s="12" customFormat="1" x14ac:dyDescent="0.25"/>
    <row r="284032" s="12" customFormat="1" x14ac:dyDescent="0.25"/>
    <row r="284033" s="12" customFormat="1" x14ac:dyDescent="0.25"/>
    <row r="284034" s="12" customFormat="1" x14ac:dyDescent="0.25"/>
    <row r="284035" s="12" customFormat="1" x14ac:dyDescent="0.25"/>
    <row r="284036" s="12" customFormat="1" x14ac:dyDescent="0.25"/>
    <row r="284037" s="12" customFormat="1" x14ac:dyDescent="0.25"/>
    <row r="284038" s="12" customFormat="1" x14ac:dyDescent="0.25"/>
    <row r="284039" s="12" customFormat="1" x14ac:dyDescent="0.25"/>
    <row r="284040" s="12" customFormat="1" x14ac:dyDescent="0.25"/>
    <row r="284041" s="12" customFormat="1" x14ac:dyDescent="0.25"/>
    <row r="284042" s="12" customFormat="1" x14ac:dyDescent="0.25"/>
    <row r="284043" s="12" customFormat="1" x14ac:dyDescent="0.25"/>
    <row r="284044" s="12" customFormat="1" x14ac:dyDescent="0.25"/>
    <row r="284045" s="12" customFormat="1" x14ac:dyDescent="0.25"/>
    <row r="284046" s="12" customFormat="1" x14ac:dyDescent="0.25"/>
    <row r="284047" s="12" customFormat="1" x14ac:dyDescent="0.25"/>
    <row r="284048" s="12" customFormat="1" x14ac:dyDescent="0.25"/>
    <row r="284049" s="12" customFormat="1" x14ac:dyDescent="0.25"/>
    <row r="284050" s="12" customFormat="1" x14ac:dyDescent="0.25"/>
    <row r="284051" s="12" customFormat="1" x14ac:dyDescent="0.25"/>
    <row r="284052" s="12" customFormat="1" x14ac:dyDescent="0.25"/>
    <row r="284053" s="12" customFormat="1" x14ac:dyDescent="0.25"/>
    <row r="284054" s="12" customFormat="1" x14ac:dyDescent="0.25"/>
    <row r="284055" s="12" customFormat="1" x14ac:dyDescent="0.25"/>
    <row r="284056" s="12" customFormat="1" x14ac:dyDescent="0.25"/>
    <row r="284057" s="12" customFormat="1" x14ac:dyDescent="0.25"/>
    <row r="284058" s="12" customFormat="1" x14ac:dyDescent="0.25"/>
    <row r="284059" s="12" customFormat="1" x14ac:dyDescent="0.25"/>
    <row r="284060" s="12" customFormat="1" x14ac:dyDescent="0.25"/>
    <row r="284061" s="12" customFormat="1" x14ac:dyDescent="0.25"/>
    <row r="284062" s="12" customFormat="1" x14ac:dyDescent="0.25"/>
    <row r="284063" s="12" customFormat="1" x14ac:dyDescent="0.25"/>
    <row r="284064" s="12" customFormat="1" x14ac:dyDescent="0.25"/>
    <row r="284065" s="12" customFormat="1" x14ac:dyDescent="0.25"/>
    <row r="284066" s="12" customFormat="1" x14ac:dyDescent="0.25"/>
    <row r="284067" s="12" customFormat="1" x14ac:dyDescent="0.25"/>
    <row r="284068" s="12" customFormat="1" x14ac:dyDescent="0.25"/>
    <row r="284069" s="12" customFormat="1" x14ac:dyDescent="0.25"/>
    <row r="284070" s="12" customFormat="1" x14ac:dyDescent="0.25"/>
    <row r="284071" s="12" customFormat="1" x14ac:dyDescent="0.25"/>
    <row r="284072" s="12" customFormat="1" x14ac:dyDescent="0.25"/>
    <row r="284073" s="12" customFormat="1" x14ac:dyDescent="0.25"/>
    <row r="284074" s="12" customFormat="1" x14ac:dyDescent="0.25"/>
    <row r="284075" s="12" customFormat="1" x14ac:dyDescent="0.25"/>
    <row r="284076" s="12" customFormat="1" x14ac:dyDescent="0.25"/>
    <row r="284077" s="12" customFormat="1" x14ac:dyDescent="0.25"/>
    <row r="284078" s="12" customFormat="1" x14ac:dyDescent="0.25"/>
    <row r="284079" s="12" customFormat="1" x14ac:dyDescent="0.25"/>
    <row r="284080" s="12" customFormat="1" x14ac:dyDescent="0.25"/>
    <row r="284081" s="12" customFormat="1" x14ac:dyDescent="0.25"/>
    <row r="284082" s="12" customFormat="1" x14ac:dyDescent="0.25"/>
    <row r="284083" s="12" customFormat="1" x14ac:dyDescent="0.25"/>
    <row r="284084" s="12" customFormat="1" x14ac:dyDescent="0.25"/>
    <row r="284085" s="12" customFormat="1" x14ac:dyDescent="0.25"/>
    <row r="284086" s="12" customFormat="1" x14ac:dyDescent="0.25"/>
    <row r="284087" s="12" customFormat="1" x14ac:dyDescent="0.25"/>
    <row r="284088" s="12" customFormat="1" x14ac:dyDescent="0.25"/>
    <row r="284089" s="12" customFormat="1" x14ac:dyDescent="0.25"/>
    <row r="284090" s="12" customFormat="1" x14ac:dyDescent="0.25"/>
    <row r="284091" s="12" customFormat="1" x14ac:dyDescent="0.25"/>
    <row r="284092" s="12" customFormat="1" x14ac:dyDescent="0.25"/>
    <row r="284093" s="12" customFormat="1" x14ac:dyDescent="0.25"/>
    <row r="284094" s="12" customFormat="1" x14ac:dyDescent="0.25"/>
    <row r="284095" s="12" customFormat="1" x14ac:dyDescent="0.25"/>
    <row r="284096" s="12" customFormat="1" x14ac:dyDescent="0.25"/>
    <row r="284097" s="12" customFormat="1" x14ac:dyDescent="0.25"/>
    <row r="284098" s="12" customFormat="1" x14ac:dyDescent="0.25"/>
    <row r="284099" s="12" customFormat="1" x14ac:dyDescent="0.25"/>
    <row r="284100" s="12" customFormat="1" x14ac:dyDescent="0.25"/>
    <row r="284101" s="12" customFormat="1" x14ac:dyDescent="0.25"/>
    <row r="284102" s="12" customFormat="1" x14ac:dyDescent="0.25"/>
    <row r="284103" s="12" customFormat="1" x14ac:dyDescent="0.25"/>
    <row r="284104" s="12" customFormat="1" x14ac:dyDescent="0.25"/>
    <row r="284105" s="12" customFormat="1" x14ac:dyDescent="0.25"/>
    <row r="284106" s="12" customFormat="1" x14ac:dyDescent="0.25"/>
    <row r="284107" s="12" customFormat="1" x14ac:dyDescent="0.25"/>
    <row r="284108" s="12" customFormat="1" x14ac:dyDescent="0.25"/>
    <row r="284109" s="12" customFormat="1" x14ac:dyDescent="0.25"/>
    <row r="284110" s="12" customFormat="1" x14ac:dyDescent="0.25"/>
    <row r="284111" s="12" customFormat="1" x14ac:dyDescent="0.25"/>
    <row r="284112" s="12" customFormat="1" x14ac:dyDescent="0.25"/>
    <row r="284113" s="12" customFormat="1" x14ac:dyDescent="0.25"/>
    <row r="284114" s="12" customFormat="1" x14ac:dyDescent="0.25"/>
    <row r="284115" s="12" customFormat="1" x14ac:dyDescent="0.25"/>
    <row r="284116" s="12" customFormat="1" x14ac:dyDescent="0.25"/>
    <row r="284117" s="12" customFormat="1" x14ac:dyDescent="0.25"/>
    <row r="284118" s="12" customFormat="1" x14ac:dyDescent="0.25"/>
    <row r="284119" s="12" customFormat="1" x14ac:dyDescent="0.25"/>
    <row r="284120" s="12" customFormat="1" x14ac:dyDescent="0.25"/>
    <row r="284121" s="12" customFormat="1" x14ac:dyDescent="0.25"/>
    <row r="284122" s="12" customFormat="1" x14ac:dyDescent="0.25"/>
    <row r="284123" s="12" customFormat="1" x14ac:dyDescent="0.25"/>
    <row r="284124" s="12" customFormat="1" x14ac:dyDescent="0.25"/>
    <row r="284125" s="12" customFormat="1" x14ac:dyDescent="0.25"/>
    <row r="284126" s="12" customFormat="1" x14ac:dyDescent="0.25"/>
    <row r="284127" s="12" customFormat="1" x14ac:dyDescent="0.25"/>
    <row r="284128" s="12" customFormat="1" x14ac:dyDescent="0.25"/>
    <row r="284129" s="12" customFormat="1" x14ac:dyDescent="0.25"/>
    <row r="284130" s="12" customFormat="1" x14ac:dyDescent="0.25"/>
    <row r="284131" s="12" customFormat="1" x14ac:dyDescent="0.25"/>
    <row r="284132" s="12" customFormat="1" x14ac:dyDescent="0.25"/>
    <row r="284133" s="12" customFormat="1" x14ac:dyDescent="0.25"/>
    <row r="284134" s="12" customFormat="1" x14ac:dyDescent="0.25"/>
    <row r="284135" s="12" customFormat="1" x14ac:dyDescent="0.25"/>
    <row r="284136" s="12" customFormat="1" x14ac:dyDescent="0.25"/>
    <row r="284137" s="12" customFormat="1" x14ac:dyDescent="0.25"/>
    <row r="284138" s="12" customFormat="1" x14ac:dyDescent="0.25"/>
    <row r="284139" s="12" customFormat="1" x14ac:dyDescent="0.25"/>
    <row r="284140" s="12" customFormat="1" x14ac:dyDescent="0.25"/>
    <row r="284141" s="12" customFormat="1" x14ac:dyDescent="0.25"/>
    <row r="284142" s="12" customFormat="1" x14ac:dyDescent="0.25"/>
    <row r="284143" s="12" customFormat="1" x14ac:dyDescent="0.25"/>
    <row r="284144" s="12" customFormat="1" x14ac:dyDescent="0.25"/>
    <row r="284145" s="12" customFormat="1" x14ac:dyDescent="0.25"/>
    <row r="284146" s="12" customFormat="1" x14ac:dyDescent="0.25"/>
    <row r="284147" s="12" customFormat="1" x14ac:dyDescent="0.25"/>
    <row r="284148" s="12" customFormat="1" x14ac:dyDescent="0.25"/>
    <row r="284149" s="12" customFormat="1" x14ac:dyDescent="0.25"/>
    <row r="284150" s="12" customFormat="1" x14ac:dyDescent="0.25"/>
    <row r="284151" s="12" customFormat="1" x14ac:dyDescent="0.25"/>
    <row r="284152" s="12" customFormat="1" x14ac:dyDescent="0.25"/>
    <row r="284153" s="12" customFormat="1" x14ac:dyDescent="0.25"/>
    <row r="284154" s="12" customFormat="1" x14ac:dyDescent="0.25"/>
    <row r="284155" s="12" customFormat="1" x14ac:dyDescent="0.25"/>
    <row r="284156" s="12" customFormat="1" x14ac:dyDescent="0.25"/>
    <row r="284157" s="12" customFormat="1" x14ac:dyDescent="0.25"/>
    <row r="284158" s="12" customFormat="1" x14ac:dyDescent="0.25"/>
    <row r="284159" s="12" customFormat="1" x14ac:dyDescent="0.25"/>
    <row r="284160" s="12" customFormat="1" x14ac:dyDescent="0.25"/>
    <row r="284161" spans="2:64" x14ac:dyDescent="0.25">
      <c r="B284161" s="12"/>
      <c r="C284161" s="12"/>
      <c r="D284161" s="12"/>
      <c r="E284161" s="12"/>
      <c r="F284161" s="12"/>
      <c r="G284161" s="12"/>
      <c r="H284161" s="12"/>
      <c r="I284161" s="12"/>
      <c r="J284161" s="12"/>
      <c r="K284161" s="12"/>
      <c r="L284161" s="12"/>
      <c r="M284161" s="12"/>
      <c r="N284161" s="12"/>
      <c r="O284161" s="12"/>
      <c r="P284161" s="12"/>
      <c r="Q284161" s="12"/>
      <c r="R284161" s="12"/>
      <c r="S284161" s="12"/>
      <c r="T284161" s="12"/>
      <c r="U284161" s="12"/>
      <c r="V284161" s="12"/>
      <c r="W284161" s="12"/>
      <c r="X284161" s="12"/>
      <c r="Y284161" s="12"/>
      <c r="Z284161" s="12"/>
      <c r="AA284161" s="12"/>
      <c r="AB284161" s="12"/>
      <c r="AC284161" s="12"/>
      <c r="AD284161" s="12"/>
      <c r="AE284161" s="12"/>
      <c r="AF284161" s="12"/>
      <c r="AG284161" s="12"/>
      <c r="AH284161" s="12"/>
      <c r="AI284161" s="12"/>
      <c r="AJ284161" s="12"/>
      <c r="AK284161" s="12"/>
      <c r="AL284161" s="12"/>
      <c r="AM284161" s="12"/>
      <c r="AN284161" s="12"/>
      <c r="AO284161" s="12"/>
      <c r="AP284161" s="12"/>
      <c r="AQ284161" s="12"/>
      <c r="AR284161" s="12"/>
      <c r="AS284161" s="12"/>
      <c r="AT284161" s="12"/>
      <c r="AU284161" s="12"/>
      <c r="AV284161" s="12"/>
      <c r="AW284161" s="12"/>
      <c r="AX284161" s="12"/>
      <c r="AY284161" s="12"/>
      <c r="AZ284161" s="12"/>
      <c r="BA284161" s="12"/>
      <c r="BB284161" s="12"/>
      <c r="BC284161" s="12"/>
      <c r="BD284161" s="12"/>
      <c r="BE284161" s="12"/>
      <c r="BF284161" s="12"/>
      <c r="BG284161" s="12"/>
      <c r="BH284161" s="12"/>
      <c r="BI284161" s="12"/>
      <c r="BJ284161" s="12"/>
      <c r="BK284161" s="12"/>
      <c r="BL284161" s="12"/>
    </row>
    <row r="284162" spans="2:64" x14ac:dyDescent="0.25">
      <c r="B284162" s="12"/>
      <c r="C284162" s="12"/>
      <c r="D284162" s="12"/>
      <c r="E284162" s="12"/>
      <c r="F284162" s="12"/>
      <c r="G284162" s="12"/>
      <c r="H284162" s="12"/>
      <c r="I284162" s="12"/>
      <c r="J284162" s="12"/>
      <c r="K284162" s="12"/>
      <c r="L284162" s="12"/>
      <c r="M284162" s="12"/>
      <c r="N284162" s="12"/>
      <c r="O284162" s="12"/>
      <c r="P284162" s="12"/>
      <c r="Q284162" s="12"/>
      <c r="R284162" s="12"/>
      <c r="S284162" s="12"/>
      <c r="T284162" s="12"/>
      <c r="U284162" s="12"/>
      <c r="V284162" s="12"/>
      <c r="W284162" s="12"/>
      <c r="X284162" s="12"/>
      <c r="Y284162" s="12"/>
      <c r="Z284162" s="12"/>
      <c r="AA284162" s="12"/>
      <c r="AB284162" s="12"/>
      <c r="AC284162" s="12"/>
      <c r="AD284162" s="12"/>
      <c r="AE284162" s="12"/>
      <c r="AF284162" s="12"/>
      <c r="AG284162" s="12"/>
      <c r="AH284162" s="12"/>
      <c r="AI284162" s="12"/>
      <c r="AJ284162" s="12"/>
      <c r="AK284162" s="12"/>
      <c r="AL284162" s="12"/>
      <c r="AM284162" s="12"/>
      <c r="AN284162" s="12"/>
      <c r="AO284162" s="12"/>
      <c r="AP284162" s="12"/>
      <c r="AQ284162" s="12"/>
      <c r="AR284162" s="12"/>
      <c r="AS284162" s="12"/>
      <c r="AT284162" s="12"/>
      <c r="AU284162" s="12"/>
      <c r="AV284162" s="12"/>
      <c r="AW284162" s="12"/>
      <c r="AX284162" s="12"/>
      <c r="AY284162" s="12"/>
      <c r="AZ284162" s="12"/>
      <c r="BA284162" s="12"/>
      <c r="BB284162" s="12"/>
      <c r="BC284162" s="12"/>
      <c r="BD284162" s="12"/>
      <c r="BE284162" s="12"/>
      <c r="BF284162" s="12"/>
      <c r="BG284162" s="12"/>
      <c r="BH284162" s="12"/>
      <c r="BI284162" s="12"/>
      <c r="BJ284162" s="12"/>
      <c r="BK284162" s="12"/>
      <c r="BL284162" s="12"/>
    </row>
    <row r="284163" spans="2:64" x14ac:dyDescent="0.25">
      <c r="B284163" s="12"/>
      <c r="C284163" s="12"/>
      <c r="D284163" s="12"/>
      <c r="E284163" s="12"/>
      <c r="F284163" s="12"/>
      <c r="G284163" s="12"/>
      <c r="H284163" s="12"/>
      <c r="I284163" s="12"/>
      <c r="J284163" s="12"/>
      <c r="K284163" s="12"/>
      <c r="L284163" s="12"/>
      <c r="M284163" s="12"/>
      <c r="N284163" s="12"/>
      <c r="O284163" s="12"/>
      <c r="P284163" s="12"/>
      <c r="Q284163" s="12"/>
      <c r="R284163" s="12"/>
      <c r="S284163" s="12"/>
      <c r="T284163" s="12"/>
      <c r="U284163" s="12"/>
      <c r="V284163" s="12"/>
      <c r="W284163" s="12"/>
      <c r="X284163" s="12"/>
      <c r="Y284163" s="12"/>
      <c r="Z284163" s="12"/>
      <c r="AA284163" s="12"/>
      <c r="AB284163" s="12"/>
      <c r="AC284163" s="12"/>
      <c r="AD284163" s="12"/>
      <c r="AE284163" s="12"/>
      <c r="AF284163" s="12"/>
      <c r="AG284163" s="12"/>
      <c r="AH284163" s="12"/>
      <c r="AI284163" s="12"/>
      <c r="AJ284163" s="12"/>
      <c r="AK284163" s="12"/>
      <c r="AL284163" s="12"/>
      <c r="AM284163" s="12"/>
      <c r="AN284163" s="12"/>
      <c r="AO284163" s="12"/>
      <c r="AP284163" s="12"/>
      <c r="AQ284163" s="12"/>
      <c r="AR284163" s="12"/>
      <c r="AS284163" s="12"/>
      <c r="AT284163" s="12"/>
      <c r="AU284163" s="12"/>
      <c r="AV284163" s="12"/>
      <c r="AW284163" s="12"/>
      <c r="AX284163" s="12"/>
      <c r="AY284163" s="12"/>
      <c r="AZ284163" s="12"/>
      <c r="BA284163" s="12"/>
      <c r="BB284163" s="12"/>
      <c r="BC284163" s="12"/>
      <c r="BD284163" s="12"/>
      <c r="BE284163" s="12"/>
      <c r="BF284163" s="12"/>
      <c r="BG284163" s="12"/>
      <c r="BH284163" s="12"/>
      <c r="BI284163" s="12"/>
      <c r="BJ284163" s="12"/>
      <c r="BK284163" s="12"/>
      <c r="BL284163" s="12"/>
    </row>
    <row r="284164" spans="2:64" x14ac:dyDescent="0.25">
      <c r="B284164" s="12"/>
      <c r="C284164" s="12"/>
      <c r="D284164" s="12"/>
      <c r="E284164" s="12"/>
      <c r="F284164" s="12"/>
      <c r="G284164" s="12"/>
      <c r="H284164" s="12"/>
      <c r="I284164" s="12"/>
      <c r="J284164" s="12"/>
      <c r="K284164" s="12"/>
      <c r="L284164" s="12"/>
      <c r="M284164" s="12"/>
      <c r="N284164" s="12"/>
      <c r="O284164" s="12"/>
      <c r="P284164" s="12"/>
      <c r="Q284164" s="12"/>
      <c r="R284164" s="12"/>
      <c r="S284164" s="12"/>
      <c r="T284164" s="12"/>
      <c r="U284164" s="12"/>
      <c r="V284164" s="12"/>
      <c r="W284164" s="12"/>
      <c r="X284164" s="12"/>
      <c r="Y284164" s="12"/>
      <c r="Z284164" s="12"/>
      <c r="AA284164" s="12"/>
      <c r="AB284164" s="12"/>
      <c r="AC284164" s="12"/>
      <c r="AD284164" s="12"/>
      <c r="AE284164" s="12"/>
      <c r="AF284164" s="12"/>
      <c r="AG284164" s="12"/>
      <c r="AH284164" s="12"/>
      <c r="AI284164" s="12"/>
      <c r="AJ284164" s="12"/>
      <c r="AK284164" s="12"/>
      <c r="AL284164" s="12"/>
      <c r="AM284164" s="12"/>
      <c r="AN284164" s="12"/>
      <c r="AO284164" s="12"/>
      <c r="AP284164" s="12"/>
      <c r="AQ284164" s="12"/>
      <c r="AR284164" s="12"/>
      <c r="AS284164" s="12"/>
      <c r="AT284164" s="12"/>
      <c r="AU284164" s="12"/>
      <c r="AV284164" s="12"/>
      <c r="AW284164" s="12"/>
      <c r="AX284164" s="12"/>
      <c r="AY284164" s="12"/>
      <c r="AZ284164" s="12"/>
      <c r="BA284164" s="12"/>
      <c r="BB284164" s="12"/>
      <c r="BC284164" s="12"/>
      <c r="BD284164" s="12"/>
      <c r="BE284164" s="12"/>
      <c r="BF284164" s="12"/>
      <c r="BG284164" s="12"/>
      <c r="BH284164" s="12"/>
      <c r="BI284164" s="12"/>
      <c r="BJ284164" s="12"/>
      <c r="BK284164" s="12"/>
      <c r="BL284164" s="12"/>
    </row>
    <row r="284165" spans="2:64" x14ac:dyDescent="0.25">
      <c r="B284165" s="12"/>
      <c r="C284165" s="12"/>
      <c r="D284165" s="12"/>
      <c r="E284165" s="12"/>
      <c r="F284165" s="12"/>
      <c r="G284165" s="12"/>
      <c r="H284165" s="12"/>
      <c r="I284165" s="12"/>
      <c r="J284165" s="12"/>
      <c r="K284165" s="12"/>
      <c r="L284165" s="12"/>
      <c r="M284165" s="12"/>
      <c r="N284165" s="12"/>
      <c r="O284165" s="12"/>
      <c r="P284165" s="12"/>
      <c r="Q284165" s="12"/>
      <c r="R284165" s="12"/>
      <c r="S284165" s="12"/>
      <c r="T284165" s="12"/>
      <c r="U284165" s="12"/>
      <c r="V284165" s="12"/>
      <c r="W284165" s="12"/>
      <c r="X284165" s="12"/>
      <c r="Y284165" s="12"/>
      <c r="AX284165" s="12"/>
    </row>
  </sheetData>
  <sortState xmlns:xlrd2="http://schemas.microsoft.com/office/spreadsheetml/2017/richdata2" ref="B7:BN175">
    <sortCondition ref="AW6"/>
  </sortState>
  <mergeCells count="7">
    <mergeCell ref="BA4:BE4"/>
    <mergeCell ref="C2:F2"/>
    <mergeCell ref="B2:B4"/>
    <mergeCell ref="C3:F3"/>
    <mergeCell ref="C4:F4"/>
    <mergeCell ref="AE4:AR4"/>
    <mergeCell ref="H2:I4"/>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G15"/>
  <sheetViews>
    <sheetView workbookViewId="0"/>
  </sheetViews>
  <sheetFormatPr baseColWidth="10" defaultColWidth="23.28515625" defaultRowHeight="15" x14ac:dyDescent="0.25"/>
  <cols>
    <col min="1" max="1" width="3.5703125" style="12" customWidth="1"/>
    <col min="2" max="2" width="19.42578125" style="12" bestFit="1" customWidth="1"/>
    <col min="3" max="3" width="13.42578125" style="12" bestFit="1" customWidth="1"/>
    <col min="4" max="4" width="13.5703125" style="12" bestFit="1" customWidth="1"/>
    <col min="5" max="5" width="22.42578125" style="12" bestFit="1" customWidth="1"/>
    <col min="6" max="6" width="22.28515625" style="12" bestFit="1" customWidth="1"/>
    <col min="7" max="7" width="21.5703125" style="12" bestFit="1" customWidth="1"/>
    <col min="8" max="8" width="18.140625" style="12" bestFit="1" customWidth="1"/>
    <col min="9" max="11" width="18.140625" style="12" customWidth="1"/>
    <col min="12" max="12" width="18.140625" style="12" bestFit="1" customWidth="1"/>
    <col min="13" max="13" width="23" style="12" bestFit="1" customWidth="1"/>
    <col min="14" max="14" width="16.7109375" style="12" bestFit="1" customWidth="1"/>
    <col min="15" max="15" width="19.85546875" style="12" bestFit="1" customWidth="1"/>
    <col min="16" max="16" width="17.85546875" style="12" bestFit="1" customWidth="1"/>
    <col min="17" max="17" width="23" style="12" bestFit="1" customWidth="1"/>
    <col min="18" max="20" width="23" style="12" customWidth="1"/>
    <col min="21" max="21" width="15.42578125" style="12" bestFit="1" customWidth="1"/>
    <col min="22" max="22" width="22" style="12" bestFit="1" customWidth="1"/>
    <col min="23" max="23" width="23.140625" style="12" bestFit="1" customWidth="1"/>
    <col min="24" max="24" width="16.85546875" style="12" bestFit="1" customWidth="1"/>
    <col min="25" max="25" width="12.5703125" style="12" bestFit="1" customWidth="1"/>
    <col min="26" max="26" width="15.7109375" style="12" bestFit="1" customWidth="1"/>
    <col min="27" max="27" width="13.85546875" style="12" bestFit="1" customWidth="1"/>
    <col min="28" max="28" width="12" style="12" bestFit="1" customWidth="1"/>
    <col min="29" max="29" width="13.140625" style="12" bestFit="1" customWidth="1"/>
    <col min="30" max="30" width="15.85546875" style="12" bestFit="1" customWidth="1"/>
    <col min="31" max="33" width="27.7109375" style="12" customWidth="1"/>
    <col min="34" max="16384" width="23.28515625" style="12"/>
  </cols>
  <sheetData>
    <row r="1" spans="2:33" ht="18.75" customHeight="1" x14ac:dyDescent="0.25"/>
    <row r="2" spans="2:33" x14ac:dyDescent="0.25">
      <c r="B2" s="51" t="s">
        <v>75</v>
      </c>
      <c r="C2" s="51"/>
      <c r="D2" s="51"/>
      <c r="E2" s="51"/>
      <c r="F2" s="51"/>
      <c r="G2" s="51"/>
    </row>
    <row r="4" spans="2:33" ht="15.75" thickBot="1" x14ac:dyDescent="0.3">
      <c r="B4" s="50" t="s">
        <v>76</v>
      </c>
      <c r="C4" s="50"/>
      <c r="D4" s="50"/>
      <c r="E4" s="50"/>
      <c r="F4" s="50"/>
      <c r="G4" s="50"/>
      <c r="AE4" s="24" t="s">
        <v>8</v>
      </c>
    </row>
    <row r="5" spans="2:33" s="36" customFormat="1" ht="105.75" thickBot="1" x14ac:dyDescent="0.3">
      <c r="B5" s="33" t="s">
        <v>9</v>
      </c>
      <c r="C5" s="34" t="s">
        <v>10</v>
      </c>
      <c r="D5" s="34" t="s">
        <v>11</v>
      </c>
      <c r="E5" s="34" t="s">
        <v>12</v>
      </c>
      <c r="F5" s="30" t="s">
        <v>13</v>
      </c>
      <c r="G5" s="30" t="s">
        <v>14</v>
      </c>
      <c r="H5" s="30" t="s">
        <v>17</v>
      </c>
      <c r="I5" s="30" t="s">
        <v>26</v>
      </c>
      <c r="J5" s="30" t="s">
        <v>30</v>
      </c>
      <c r="K5" s="30" t="s">
        <v>31</v>
      </c>
      <c r="L5" s="30" t="s">
        <v>32</v>
      </c>
      <c r="M5" s="30" t="s">
        <v>36</v>
      </c>
      <c r="N5" s="30" t="s">
        <v>37</v>
      </c>
      <c r="O5" s="30" t="s">
        <v>39</v>
      </c>
      <c r="P5" s="30" t="s">
        <v>40</v>
      </c>
      <c r="Q5" s="30" t="s">
        <v>41</v>
      </c>
      <c r="R5" s="30" t="s">
        <v>43</v>
      </c>
      <c r="S5" s="30" t="s">
        <v>44</v>
      </c>
      <c r="T5" s="30" t="s">
        <v>45</v>
      </c>
      <c r="U5" s="30" t="s">
        <v>53</v>
      </c>
      <c r="V5" s="30" t="s">
        <v>54</v>
      </c>
      <c r="W5" s="30" t="s">
        <v>56</v>
      </c>
      <c r="X5" s="30" t="s">
        <v>57</v>
      </c>
      <c r="Y5" s="34" t="s">
        <v>58</v>
      </c>
      <c r="Z5" s="34" t="s">
        <v>59</v>
      </c>
      <c r="AA5" s="34" t="s">
        <v>60</v>
      </c>
      <c r="AB5" s="34" t="s">
        <v>61</v>
      </c>
      <c r="AC5" s="34" t="s">
        <v>63</v>
      </c>
      <c r="AD5" s="34" t="s">
        <v>64</v>
      </c>
      <c r="AE5" s="34" t="s">
        <v>77</v>
      </c>
      <c r="AF5" s="34" t="s">
        <v>78</v>
      </c>
      <c r="AG5" s="35" t="s">
        <v>67</v>
      </c>
    </row>
    <row r="6" spans="2:33" x14ac:dyDescent="0.25">
      <c r="B6" s="16"/>
      <c r="C6" s="25"/>
      <c r="D6" s="25"/>
      <c r="E6" s="26"/>
      <c r="F6" s="27"/>
      <c r="G6" s="27"/>
      <c r="H6" s="27"/>
      <c r="I6" s="27"/>
      <c r="J6" s="27"/>
      <c r="K6" s="27"/>
      <c r="L6" s="27"/>
      <c r="M6" s="27"/>
      <c r="N6" s="27"/>
      <c r="O6" s="27"/>
      <c r="P6" s="27"/>
      <c r="Q6" s="27"/>
      <c r="R6" s="28"/>
      <c r="S6" s="28"/>
      <c r="T6" s="28"/>
      <c r="U6" s="27"/>
      <c r="V6" s="27"/>
      <c r="W6" s="27"/>
      <c r="X6" s="27"/>
      <c r="Y6" s="27">
        <f t="shared" ref="Y6:Y15" si="0">SUM(F6:X6)</f>
        <v>0</v>
      </c>
      <c r="Z6" s="27"/>
      <c r="AA6" s="27"/>
      <c r="AB6" s="27"/>
      <c r="AC6" s="27">
        <f t="shared" ref="AC6" si="1">Y6+Z6</f>
        <v>0</v>
      </c>
      <c r="AD6" s="16"/>
      <c r="AE6" s="16" t="str">
        <f t="shared" ref="AE6" si="2">IF(AC6=40,"Cumple",IF(AC6&gt;40,"Mas Horas","Menos Horas"))</f>
        <v>Menos Horas</v>
      </c>
      <c r="AF6" s="16" t="str">
        <f>IF(Z6&lt;20,"Carga lectiva insuficiante","Cumple")</f>
        <v>Carga lectiva insuficiante</v>
      </c>
      <c r="AG6" s="16" t="str">
        <f t="shared" ref="AG6:AG15" si="3">IF(T6&gt;(Z6/2),"Exceso Horas","Cumple")</f>
        <v>Cumple</v>
      </c>
    </row>
    <row r="7" spans="2:33" x14ac:dyDescent="0.25">
      <c r="B7" s="2"/>
      <c r="C7" s="3"/>
      <c r="D7" s="3"/>
      <c r="E7" s="4"/>
      <c r="F7" s="22"/>
      <c r="G7" s="22"/>
      <c r="H7" s="22"/>
      <c r="I7" s="22"/>
      <c r="J7" s="22"/>
      <c r="K7" s="22"/>
      <c r="L7" s="22"/>
      <c r="M7" s="22"/>
      <c r="N7" s="22"/>
      <c r="O7" s="22"/>
      <c r="P7" s="22"/>
      <c r="Q7" s="22"/>
      <c r="R7" s="23"/>
      <c r="S7" s="23"/>
      <c r="T7" s="23"/>
      <c r="U7" s="22"/>
      <c r="V7" s="22"/>
      <c r="W7" s="22"/>
      <c r="X7" s="22"/>
      <c r="Y7" s="27">
        <f t="shared" si="0"/>
        <v>0</v>
      </c>
      <c r="Z7" s="22"/>
      <c r="AA7" s="22"/>
      <c r="AB7" s="22"/>
      <c r="AC7" s="22">
        <f>Y7+Z7</f>
        <v>0</v>
      </c>
      <c r="AD7" s="2"/>
      <c r="AE7" s="2" t="str">
        <f t="shared" ref="AE7:AE15" si="4">IF(AC7=40,"Cumple",IF(AC7&gt;40,"Mas Horas","Menos Horas"))</f>
        <v>Menos Horas</v>
      </c>
      <c r="AF7" s="16" t="str">
        <f t="shared" ref="AF7:AF15" si="5">IF(Z7&lt;20,"Carga lectiva insuficiante","Cumple")</f>
        <v>Carga lectiva insuficiante</v>
      </c>
      <c r="AG7" s="16" t="str">
        <f t="shared" si="3"/>
        <v>Cumple</v>
      </c>
    </row>
    <row r="8" spans="2:33" x14ac:dyDescent="0.25">
      <c r="B8" s="2"/>
      <c r="C8" s="3"/>
      <c r="D8" s="3"/>
      <c r="E8" s="4"/>
      <c r="F8" s="22"/>
      <c r="G8" s="22"/>
      <c r="H8" s="22"/>
      <c r="I8" s="22"/>
      <c r="J8" s="22"/>
      <c r="K8" s="22"/>
      <c r="L8" s="22"/>
      <c r="M8" s="22"/>
      <c r="N8" s="22"/>
      <c r="O8" s="22"/>
      <c r="P8" s="22"/>
      <c r="Q8" s="22"/>
      <c r="R8" s="23"/>
      <c r="S8" s="23"/>
      <c r="T8" s="23"/>
      <c r="U8" s="22"/>
      <c r="V8" s="22"/>
      <c r="W8" s="22"/>
      <c r="X8" s="22"/>
      <c r="Y8" s="27">
        <f t="shared" si="0"/>
        <v>0</v>
      </c>
      <c r="Z8" s="22"/>
      <c r="AA8" s="22"/>
      <c r="AB8" s="22"/>
      <c r="AC8" s="22">
        <f>Y8+Z8</f>
        <v>0</v>
      </c>
      <c r="AD8" s="2"/>
      <c r="AE8" s="2" t="str">
        <f t="shared" si="4"/>
        <v>Menos Horas</v>
      </c>
      <c r="AF8" s="16" t="str">
        <f t="shared" si="5"/>
        <v>Carga lectiva insuficiante</v>
      </c>
      <c r="AG8" s="16" t="str">
        <f t="shared" si="3"/>
        <v>Cumple</v>
      </c>
    </row>
    <row r="9" spans="2:33" x14ac:dyDescent="0.25">
      <c r="B9" s="2"/>
      <c r="C9" s="3"/>
      <c r="D9" s="3"/>
      <c r="E9" s="4"/>
      <c r="F9" s="22"/>
      <c r="G9" s="22"/>
      <c r="H9" s="22"/>
      <c r="I9" s="22"/>
      <c r="J9" s="22"/>
      <c r="K9" s="22"/>
      <c r="L9" s="22"/>
      <c r="M9" s="22"/>
      <c r="N9" s="22"/>
      <c r="O9" s="22"/>
      <c r="P9" s="22"/>
      <c r="Q9" s="22"/>
      <c r="R9" s="23"/>
      <c r="S9" s="23"/>
      <c r="T9" s="23"/>
      <c r="U9" s="22"/>
      <c r="V9" s="22"/>
      <c r="W9" s="22"/>
      <c r="X9" s="22"/>
      <c r="Y9" s="27">
        <f t="shared" si="0"/>
        <v>0</v>
      </c>
      <c r="Z9" s="22"/>
      <c r="AA9" s="22"/>
      <c r="AB9" s="22"/>
      <c r="AC9" s="22">
        <f t="shared" ref="AC9:AC15" si="6">Y9+Z9</f>
        <v>0</v>
      </c>
      <c r="AD9" s="2"/>
      <c r="AE9" s="2" t="str">
        <f t="shared" si="4"/>
        <v>Menos Horas</v>
      </c>
      <c r="AF9" s="16" t="str">
        <f t="shared" si="5"/>
        <v>Carga lectiva insuficiante</v>
      </c>
      <c r="AG9" s="16" t="str">
        <f t="shared" si="3"/>
        <v>Cumple</v>
      </c>
    </row>
    <row r="10" spans="2:33" x14ac:dyDescent="0.25">
      <c r="B10" s="2"/>
      <c r="C10" s="3"/>
      <c r="D10" s="3"/>
      <c r="E10" s="4"/>
      <c r="F10" s="22"/>
      <c r="G10" s="22"/>
      <c r="H10" s="22"/>
      <c r="I10" s="22"/>
      <c r="J10" s="22"/>
      <c r="K10" s="22"/>
      <c r="L10" s="22"/>
      <c r="M10" s="22"/>
      <c r="N10" s="22"/>
      <c r="O10" s="22"/>
      <c r="P10" s="22"/>
      <c r="Q10" s="22"/>
      <c r="R10" s="23"/>
      <c r="S10" s="23"/>
      <c r="T10" s="23"/>
      <c r="U10" s="22"/>
      <c r="V10" s="22"/>
      <c r="W10" s="22"/>
      <c r="X10" s="22"/>
      <c r="Y10" s="27">
        <f t="shared" si="0"/>
        <v>0</v>
      </c>
      <c r="Z10" s="22"/>
      <c r="AA10" s="22"/>
      <c r="AB10" s="22"/>
      <c r="AC10" s="22">
        <f t="shared" si="6"/>
        <v>0</v>
      </c>
      <c r="AD10" s="2"/>
      <c r="AE10" s="2" t="str">
        <f t="shared" si="4"/>
        <v>Menos Horas</v>
      </c>
      <c r="AF10" s="16" t="str">
        <f t="shared" si="5"/>
        <v>Carga lectiva insuficiante</v>
      </c>
      <c r="AG10" s="16" t="str">
        <f t="shared" si="3"/>
        <v>Cumple</v>
      </c>
    </row>
    <row r="11" spans="2:33" x14ac:dyDescent="0.25">
      <c r="B11" s="2"/>
      <c r="C11" s="3"/>
      <c r="D11" s="3"/>
      <c r="E11" s="4"/>
      <c r="F11" s="22"/>
      <c r="G11" s="22"/>
      <c r="H11" s="22"/>
      <c r="I11" s="22"/>
      <c r="J11" s="22"/>
      <c r="K11" s="22"/>
      <c r="L11" s="22"/>
      <c r="M11" s="22"/>
      <c r="N11" s="22"/>
      <c r="O11" s="22"/>
      <c r="P11" s="22"/>
      <c r="Q11" s="22"/>
      <c r="R11" s="23"/>
      <c r="S11" s="23"/>
      <c r="T11" s="23"/>
      <c r="U11" s="22"/>
      <c r="V11" s="22"/>
      <c r="W11" s="22"/>
      <c r="X11" s="22"/>
      <c r="Y11" s="27">
        <f t="shared" si="0"/>
        <v>0</v>
      </c>
      <c r="Z11" s="22"/>
      <c r="AA11" s="22"/>
      <c r="AB11" s="22"/>
      <c r="AC11" s="22">
        <f t="shared" si="6"/>
        <v>0</v>
      </c>
      <c r="AD11" s="2"/>
      <c r="AE11" s="2" t="str">
        <f t="shared" si="4"/>
        <v>Menos Horas</v>
      </c>
      <c r="AF11" s="16" t="str">
        <f t="shared" si="5"/>
        <v>Carga lectiva insuficiante</v>
      </c>
      <c r="AG11" s="16" t="str">
        <f t="shared" si="3"/>
        <v>Cumple</v>
      </c>
    </row>
    <row r="12" spans="2:33" x14ac:dyDescent="0.25">
      <c r="B12" s="2"/>
      <c r="C12" s="3"/>
      <c r="D12" s="3"/>
      <c r="E12" s="4"/>
      <c r="F12" s="22"/>
      <c r="G12" s="22"/>
      <c r="H12" s="22"/>
      <c r="I12" s="22"/>
      <c r="J12" s="22"/>
      <c r="K12" s="22"/>
      <c r="L12" s="22"/>
      <c r="M12" s="22"/>
      <c r="N12" s="22"/>
      <c r="O12" s="22"/>
      <c r="P12" s="22"/>
      <c r="Q12" s="22"/>
      <c r="R12" s="23"/>
      <c r="S12" s="23"/>
      <c r="T12" s="23"/>
      <c r="U12" s="22"/>
      <c r="V12" s="22"/>
      <c r="W12" s="22"/>
      <c r="X12" s="22"/>
      <c r="Y12" s="27">
        <f t="shared" si="0"/>
        <v>0</v>
      </c>
      <c r="Z12" s="22"/>
      <c r="AA12" s="22"/>
      <c r="AB12" s="22"/>
      <c r="AC12" s="22">
        <f t="shared" si="6"/>
        <v>0</v>
      </c>
      <c r="AD12" s="2"/>
      <c r="AE12" s="2" t="str">
        <f t="shared" si="4"/>
        <v>Menos Horas</v>
      </c>
      <c r="AF12" s="16" t="str">
        <f t="shared" si="5"/>
        <v>Carga lectiva insuficiante</v>
      </c>
      <c r="AG12" s="16" t="str">
        <f t="shared" si="3"/>
        <v>Cumple</v>
      </c>
    </row>
    <row r="13" spans="2:33" x14ac:dyDescent="0.25">
      <c r="B13" s="2"/>
      <c r="C13" s="3"/>
      <c r="D13" s="3"/>
      <c r="E13" s="4"/>
      <c r="F13" s="22"/>
      <c r="G13" s="22"/>
      <c r="H13" s="22"/>
      <c r="I13" s="22"/>
      <c r="J13" s="22"/>
      <c r="K13" s="22"/>
      <c r="L13" s="22"/>
      <c r="M13" s="22"/>
      <c r="N13" s="22"/>
      <c r="O13" s="22"/>
      <c r="P13" s="22"/>
      <c r="Q13" s="22"/>
      <c r="R13" s="23"/>
      <c r="S13" s="23"/>
      <c r="T13" s="23"/>
      <c r="U13" s="22"/>
      <c r="V13" s="22"/>
      <c r="W13" s="22"/>
      <c r="X13" s="22"/>
      <c r="Y13" s="27">
        <f t="shared" si="0"/>
        <v>0</v>
      </c>
      <c r="Z13" s="22"/>
      <c r="AA13" s="22"/>
      <c r="AB13" s="22"/>
      <c r="AC13" s="22">
        <f t="shared" si="6"/>
        <v>0</v>
      </c>
      <c r="AD13" s="2"/>
      <c r="AE13" s="2" t="str">
        <f t="shared" si="4"/>
        <v>Menos Horas</v>
      </c>
      <c r="AF13" s="16" t="str">
        <f t="shared" si="5"/>
        <v>Carga lectiva insuficiante</v>
      </c>
      <c r="AG13" s="16" t="str">
        <f t="shared" si="3"/>
        <v>Cumple</v>
      </c>
    </row>
    <row r="14" spans="2:33" x14ac:dyDescent="0.25">
      <c r="B14" s="2"/>
      <c r="C14" s="3"/>
      <c r="D14" s="3"/>
      <c r="E14" s="4"/>
      <c r="F14" s="22"/>
      <c r="G14" s="22"/>
      <c r="H14" s="22"/>
      <c r="I14" s="22"/>
      <c r="J14" s="22"/>
      <c r="K14" s="22"/>
      <c r="L14" s="22"/>
      <c r="M14" s="22"/>
      <c r="N14" s="22"/>
      <c r="O14" s="22"/>
      <c r="P14" s="22"/>
      <c r="Q14" s="22"/>
      <c r="R14" s="23"/>
      <c r="S14" s="23"/>
      <c r="T14" s="23"/>
      <c r="U14" s="22"/>
      <c r="V14" s="22"/>
      <c r="W14" s="22"/>
      <c r="X14" s="22"/>
      <c r="Y14" s="27">
        <f t="shared" si="0"/>
        <v>0</v>
      </c>
      <c r="Z14" s="22"/>
      <c r="AA14" s="22"/>
      <c r="AB14" s="22"/>
      <c r="AC14" s="22">
        <f t="shared" si="6"/>
        <v>0</v>
      </c>
      <c r="AD14" s="2"/>
      <c r="AE14" s="2" t="str">
        <f t="shared" si="4"/>
        <v>Menos Horas</v>
      </c>
      <c r="AF14" s="16" t="str">
        <f t="shared" si="5"/>
        <v>Carga lectiva insuficiante</v>
      </c>
      <c r="AG14" s="16" t="str">
        <f t="shared" si="3"/>
        <v>Cumple</v>
      </c>
    </row>
    <row r="15" spans="2:33" x14ac:dyDescent="0.25">
      <c r="B15" s="2"/>
      <c r="C15" s="3"/>
      <c r="D15" s="3"/>
      <c r="E15" s="4"/>
      <c r="F15" s="22"/>
      <c r="G15" s="22"/>
      <c r="H15" s="22"/>
      <c r="I15" s="22"/>
      <c r="J15" s="22"/>
      <c r="K15" s="22"/>
      <c r="L15" s="22"/>
      <c r="M15" s="22"/>
      <c r="N15" s="22"/>
      <c r="O15" s="22"/>
      <c r="P15" s="22"/>
      <c r="Q15" s="22"/>
      <c r="R15" s="23"/>
      <c r="S15" s="23"/>
      <c r="T15" s="23"/>
      <c r="U15" s="22"/>
      <c r="V15" s="22"/>
      <c r="W15" s="22"/>
      <c r="X15" s="22"/>
      <c r="Y15" s="27">
        <f t="shared" si="0"/>
        <v>0</v>
      </c>
      <c r="Z15" s="22"/>
      <c r="AA15" s="22"/>
      <c r="AB15" s="22"/>
      <c r="AC15" s="22">
        <f t="shared" si="6"/>
        <v>0</v>
      </c>
      <c r="AD15" s="2"/>
      <c r="AE15" s="2" t="str">
        <f t="shared" si="4"/>
        <v>Menos Horas</v>
      </c>
      <c r="AF15" s="16" t="str">
        <f t="shared" si="5"/>
        <v>Carga lectiva insuficiante</v>
      </c>
      <c r="AG15" s="16" t="str">
        <f t="shared" si="3"/>
        <v>Cumple</v>
      </c>
    </row>
  </sheetData>
  <mergeCells count="2">
    <mergeCell ref="B4:G4"/>
    <mergeCell ref="B2:G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9"/>
  <sheetViews>
    <sheetView workbookViewId="0"/>
  </sheetViews>
  <sheetFormatPr baseColWidth="10" defaultColWidth="23.28515625" defaultRowHeight="15" x14ac:dyDescent="0.25"/>
  <cols>
    <col min="1" max="1" width="3.5703125" style="13" customWidth="1"/>
    <col min="2" max="2" width="41.85546875" style="12" bestFit="1" customWidth="1"/>
    <col min="3" max="4" width="14" style="12" customWidth="1"/>
    <col min="5" max="5" width="55.140625" style="12" bestFit="1" customWidth="1"/>
    <col min="6" max="24" width="23.28515625" style="12"/>
    <col min="25" max="25" width="12.5703125" style="12" bestFit="1" customWidth="1"/>
    <col min="26" max="26" width="15.7109375" style="12" bestFit="1" customWidth="1"/>
    <col min="27" max="28" width="13.85546875" style="12" bestFit="1" customWidth="1"/>
    <col min="29" max="29" width="13.85546875" style="12" customWidth="1"/>
    <col min="30" max="30" width="42.7109375" style="12" bestFit="1" customWidth="1"/>
    <col min="31" max="31" width="13.140625" style="12" bestFit="1" customWidth="1"/>
    <col min="32" max="32" width="23.7109375" style="12" bestFit="1" customWidth="1"/>
    <col min="33" max="33" width="17.28515625" style="12" customWidth="1"/>
    <col min="34" max="16384" width="23.28515625" style="12"/>
  </cols>
  <sheetData>
    <row r="1" spans="1:33" ht="18.75" customHeight="1" x14ac:dyDescent="0.25"/>
    <row r="2" spans="1:33" x14ac:dyDescent="0.25">
      <c r="B2" s="51" t="s">
        <v>79</v>
      </c>
      <c r="C2" s="51"/>
      <c r="D2" s="51"/>
      <c r="E2" s="51"/>
      <c r="F2" s="51"/>
      <c r="G2" s="51"/>
      <c r="H2" s="51"/>
      <c r="I2" s="51"/>
    </row>
    <row r="4" spans="1:33" ht="15.75" thickBot="1" x14ac:dyDescent="0.3">
      <c r="B4" s="50" t="s">
        <v>76</v>
      </c>
      <c r="C4" s="50"/>
      <c r="D4" s="50"/>
      <c r="E4" s="50"/>
      <c r="F4" s="50"/>
      <c r="G4" s="50"/>
      <c r="H4" s="50"/>
      <c r="I4" s="50"/>
      <c r="AE4" s="24" t="s">
        <v>8</v>
      </c>
    </row>
    <row r="5" spans="1:33" s="36" customFormat="1" ht="105.75" thickBot="1" x14ac:dyDescent="0.3">
      <c r="A5" s="37"/>
      <c r="B5" s="33" t="s">
        <v>9</v>
      </c>
      <c r="C5" s="34" t="s">
        <v>10</v>
      </c>
      <c r="D5" s="34" t="s">
        <v>11</v>
      </c>
      <c r="E5" s="34" t="s">
        <v>12</v>
      </c>
      <c r="F5" s="30" t="s">
        <v>13</v>
      </c>
      <c r="G5" s="30" t="s">
        <v>14</v>
      </c>
      <c r="H5" s="30" t="s">
        <v>17</v>
      </c>
      <c r="I5" s="30" t="s">
        <v>26</v>
      </c>
      <c r="J5" s="30" t="s">
        <v>30</v>
      </c>
      <c r="K5" s="30" t="s">
        <v>31</v>
      </c>
      <c r="L5" s="30" t="s">
        <v>32</v>
      </c>
      <c r="M5" s="30" t="s">
        <v>36</v>
      </c>
      <c r="N5" s="30" t="s">
        <v>37</v>
      </c>
      <c r="O5" s="30" t="s">
        <v>39</v>
      </c>
      <c r="P5" s="30" t="s">
        <v>40</v>
      </c>
      <c r="Q5" s="30" t="s">
        <v>41</v>
      </c>
      <c r="R5" s="30" t="s">
        <v>43</v>
      </c>
      <c r="S5" s="30" t="s">
        <v>44</v>
      </c>
      <c r="T5" s="30" t="s">
        <v>45</v>
      </c>
      <c r="U5" s="30" t="s">
        <v>53</v>
      </c>
      <c r="V5" s="30" t="s">
        <v>54</v>
      </c>
      <c r="W5" s="30" t="s">
        <v>56</v>
      </c>
      <c r="X5" s="30" t="s">
        <v>57</v>
      </c>
      <c r="Y5" s="34" t="s">
        <v>58</v>
      </c>
      <c r="Z5" s="34" t="s">
        <v>59</v>
      </c>
      <c r="AA5" s="34" t="s">
        <v>60</v>
      </c>
      <c r="AB5" s="34" t="s">
        <v>61</v>
      </c>
      <c r="AC5" s="34" t="s">
        <v>63</v>
      </c>
      <c r="AD5" s="34" t="s">
        <v>64</v>
      </c>
      <c r="AE5" s="34" t="s">
        <v>65</v>
      </c>
      <c r="AF5" s="34" t="s">
        <v>78</v>
      </c>
      <c r="AG5" s="35" t="s">
        <v>67</v>
      </c>
    </row>
    <row r="6" spans="1:33" x14ac:dyDescent="0.25">
      <c r="B6" s="16"/>
      <c r="C6" s="25"/>
      <c r="D6" s="25"/>
      <c r="E6" s="26"/>
      <c r="F6" s="27"/>
      <c r="G6" s="27"/>
      <c r="H6" s="27"/>
      <c r="I6" s="27"/>
      <c r="J6" s="27"/>
      <c r="K6" s="27"/>
      <c r="L6" s="27"/>
      <c r="M6" s="27"/>
      <c r="N6" s="27"/>
      <c r="O6" s="27"/>
      <c r="P6" s="27"/>
      <c r="Q6" s="27"/>
      <c r="R6" s="27"/>
      <c r="S6" s="27"/>
      <c r="T6" s="27"/>
      <c r="U6" s="27"/>
      <c r="V6" s="27"/>
      <c r="W6" s="27"/>
      <c r="X6" s="27"/>
      <c r="Y6" s="27">
        <f>SUM(F6:X6)</f>
        <v>0</v>
      </c>
      <c r="Z6" s="27"/>
      <c r="AA6" s="27"/>
      <c r="AB6" s="27"/>
      <c r="AC6" s="27">
        <f t="shared" ref="AC6:AC9" si="0">Y6+Z6</f>
        <v>0</v>
      </c>
      <c r="AD6" s="16"/>
      <c r="AE6" s="16" t="str">
        <f>IF(AC6=20,"Cumple",IF(AC6&gt;20,"Mas Horas","Menos Horas"))</f>
        <v>Menos Horas</v>
      </c>
      <c r="AF6" s="16" t="str">
        <f>IF(Z6&gt;16,"Exceso Carga Lectiva",IF(Z6&lt;12,"Carga lectiva insuficiante","Cumple"))</f>
        <v>Carga lectiva insuficiante</v>
      </c>
      <c r="AG6" s="16" t="str">
        <f>IF(T6&gt;(Z6/2),"Exceso Horas","Cumple")</f>
        <v>Cumple</v>
      </c>
    </row>
    <row r="7" spans="1:33" x14ac:dyDescent="0.25">
      <c r="B7" s="2"/>
      <c r="C7" s="3"/>
      <c r="D7" s="3"/>
      <c r="E7" s="4"/>
      <c r="F7" s="22"/>
      <c r="G7" s="22"/>
      <c r="H7" s="22"/>
      <c r="I7" s="22"/>
      <c r="J7" s="22"/>
      <c r="K7" s="22"/>
      <c r="L7" s="22"/>
      <c r="M7" s="22"/>
      <c r="N7" s="22"/>
      <c r="O7" s="22"/>
      <c r="P7" s="22"/>
      <c r="Q7" s="22"/>
      <c r="R7" s="22"/>
      <c r="S7" s="22"/>
      <c r="T7" s="22"/>
      <c r="U7" s="22"/>
      <c r="V7" s="22"/>
      <c r="W7" s="22"/>
      <c r="X7" s="22"/>
      <c r="Y7" s="27">
        <f t="shared" ref="Y7:Y19" si="1">SUM(F7:X7)</f>
        <v>0</v>
      </c>
      <c r="Z7" s="22"/>
      <c r="AA7" s="22"/>
      <c r="AB7" s="22"/>
      <c r="AC7" s="22">
        <f t="shared" si="0"/>
        <v>0</v>
      </c>
      <c r="AD7" s="2"/>
      <c r="AE7" s="2" t="str">
        <f t="shared" ref="AE7:AE9" si="2">IF(AC7=20,"Cumple",IF(AC7&gt;20,"Mas Horas","Menos Horas"))</f>
        <v>Menos Horas</v>
      </c>
      <c r="AF7" s="2" t="str">
        <f t="shared" ref="AF7:AF9" si="3">IF(Z7&gt;16,"Exceso Carga Lectiva",IF(Z7&lt;12,"Carga lectiva insuficiante","Cumple"))</f>
        <v>Carga lectiva insuficiante</v>
      </c>
      <c r="AG7" s="16" t="str">
        <f t="shared" ref="AG7:AG19" si="4">IF(T7&gt;(Z7/2),"Exceso Horas","Cumple")</f>
        <v>Cumple</v>
      </c>
    </row>
    <row r="8" spans="1:33" x14ac:dyDescent="0.25">
      <c r="B8" s="2"/>
      <c r="C8" s="3"/>
      <c r="D8" s="3"/>
      <c r="E8" s="4"/>
      <c r="F8" s="22"/>
      <c r="G8" s="22"/>
      <c r="H8" s="22"/>
      <c r="I8" s="22"/>
      <c r="J8" s="22"/>
      <c r="K8" s="22"/>
      <c r="L8" s="22"/>
      <c r="M8" s="22"/>
      <c r="N8" s="22"/>
      <c r="O8" s="22"/>
      <c r="P8" s="22"/>
      <c r="Q8" s="22"/>
      <c r="R8" s="22"/>
      <c r="S8" s="22"/>
      <c r="T8" s="22"/>
      <c r="U8" s="22"/>
      <c r="V8" s="22"/>
      <c r="W8" s="22"/>
      <c r="X8" s="22"/>
      <c r="Y8" s="27">
        <f t="shared" si="1"/>
        <v>0</v>
      </c>
      <c r="Z8" s="22"/>
      <c r="AA8" s="22"/>
      <c r="AB8" s="22"/>
      <c r="AC8" s="22">
        <f t="shared" si="0"/>
        <v>0</v>
      </c>
      <c r="AD8" s="2"/>
      <c r="AE8" s="2" t="str">
        <f t="shared" si="2"/>
        <v>Menos Horas</v>
      </c>
      <c r="AF8" s="2" t="str">
        <f t="shared" si="3"/>
        <v>Carga lectiva insuficiante</v>
      </c>
      <c r="AG8" s="16" t="str">
        <f t="shared" si="4"/>
        <v>Cumple</v>
      </c>
    </row>
    <row r="9" spans="1:33" x14ac:dyDescent="0.25">
      <c r="B9" s="2"/>
      <c r="C9" s="3"/>
      <c r="D9" s="3"/>
      <c r="E9" s="4"/>
      <c r="F9" s="22"/>
      <c r="G9" s="22"/>
      <c r="H9" s="22"/>
      <c r="I9" s="22"/>
      <c r="J9" s="22"/>
      <c r="K9" s="22"/>
      <c r="L9" s="22"/>
      <c r="M9" s="22"/>
      <c r="N9" s="22"/>
      <c r="O9" s="22"/>
      <c r="P9" s="22"/>
      <c r="Q9" s="22"/>
      <c r="R9" s="22"/>
      <c r="S9" s="22"/>
      <c r="T9" s="22"/>
      <c r="U9" s="22"/>
      <c r="V9" s="22"/>
      <c r="W9" s="22"/>
      <c r="X9" s="22"/>
      <c r="Y9" s="27">
        <f t="shared" si="1"/>
        <v>0</v>
      </c>
      <c r="Z9" s="22"/>
      <c r="AA9" s="22"/>
      <c r="AB9" s="22"/>
      <c r="AC9" s="22">
        <f t="shared" si="0"/>
        <v>0</v>
      </c>
      <c r="AD9" s="2"/>
      <c r="AE9" s="2" t="str">
        <f t="shared" si="2"/>
        <v>Menos Horas</v>
      </c>
      <c r="AF9" s="2" t="str">
        <f t="shared" si="3"/>
        <v>Carga lectiva insuficiante</v>
      </c>
      <c r="AG9" s="16" t="str">
        <f t="shared" si="4"/>
        <v>Cumple</v>
      </c>
    </row>
    <row r="10" spans="1:33" x14ac:dyDescent="0.25">
      <c r="B10" s="2"/>
      <c r="C10" s="3"/>
      <c r="D10" s="3"/>
      <c r="E10" s="4"/>
      <c r="F10" s="22"/>
      <c r="G10" s="22"/>
      <c r="H10" s="22"/>
      <c r="I10" s="22"/>
      <c r="J10" s="22"/>
      <c r="K10" s="22"/>
      <c r="L10" s="22"/>
      <c r="M10" s="22"/>
      <c r="N10" s="22"/>
      <c r="O10" s="22"/>
      <c r="P10" s="22"/>
      <c r="Q10" s="22"/>
      <c r="R10" s="22"/>
      <c r="S10" s="22"/>
      <c r="T10" s="22"/>
      <c r="U10" s="22"/>
      <c r="V10" s="22"/>
      <c r="W10" s="22"/>
      <c r="X10" s="22"/>
      <c r="Y10" s="27">
        <f t="shared" si="1"/>
        <v>0</v>
      </c>
      <c r="Z10" s="22"/>
      <c r="AA10" s="22"/>
      <c r="AB10" s="22"/>
      <c r="AC10" s="22">
        <f>Y10+Z10</f>
        <v>0</v>
      </c>
      <c r="AD10" s="2"/>
      <c r="AE10" s="2" t="str">
        <f t="shared" ref="AE10:AE19" si="5">IF(AC10=20,"Cumple",IF(AC10&gt;20,"Mas Horas","Menos Horas"))</f>
        <v>Menos Horas</v>
      </c>
      <c r="AF10" s="2" t="str">
        <f t="shared" ref="AF10:AF19" si="6">IF(Z10&gt;16,"Exceso Carga Lectiva",IF(Z10&lt;12,"Carga lectiva insuficiante","Cumple"))</f>
        <v>Carga lectiva insuficiante</v>
      </c>
      <c r="AG10" s="16" t="str">
        <f t="shared" si="4"/>
        <v>Cumple</v>
      </c>
    </row>
    <row r="11" spans="1:33" x14ac:dyDescent="0.25">
      <c r="B11" s="2"/>
      <c r="C11" s="3"/>
      <c r="D11" s="3"/>
      <c r="E11" s="4"/>
      <c r="F11" s="22"/>
      <c r="G11" s="22"/>
      <c r="H11" s="22"/>
      <c r="I11" s="22"/>
      <c r="J11" s="22"/>
      <c r="K11" s="22"/>
      <c r="L11" s="22"/>
      <c r="M11" s="22"/>
      <c r="N11" s="22"/>
      <c r="O11" s="22"/>
      <c r="P11" s="22"/>
      <c r="Q11" s="22"/>
      <c r="R11" s="22"/>
      <c r="S11" s="22"/>
      <c r="T11" s="22"/>
      <c r="U11" s="22"/>
      <c r="V11" s="22"/>
      <c r="W11" s="22"/>
      <c r="X11" s="22"/>
      <c r="Y11" s="27">
        <f t="shared" si="1"/>
        <v>0</v>
      </c>
      <c r="Z11" s="22"/>
      <c r="AA11" s="22"/>
      <c r="AB11" s="22"/>
      <c r="AC11" s="22">
        <f>Y11+Z11</f>
        <v>0</v>
      </c>
      <c r="AD11" s="2"/>
      <c r="AE11" s="2" t="str">
        <f t="shared" si="5"/>
        <v>Menos Horas</v>
      </c>
      <c r="AF11" s="2" t="str">
        <f t="shared" si="6"/>
        <v>Carga lectiva insuficiante</v>
      </c>
      <c r="AG11" s="16" t="str">
        <f t="shared" si="4"/>
        <v>Cumple</v>
      </c>
    </row>
    <row r="12" spans="1:33" x14ac:dyDescent="0.25">
      <c r="B12" s="2"/>
      <c r="C12" s="3"/>
      <c r="D12" s="3"/>
      <c r="E12" s="4"/>
      <c r="F12" s="22"/>
      <c r="G12" s="22"/>
      <c r="H12" s="22"/>
      <c r="I12" s="22"/>
      <c r="J12" s="22"/>
      <c r="K12" s="22"/>
      <c r="L12" s="22"/>
      <c r="M12" s="22"/>
      <c r="N12" s="22"/>
      <c r="O12" s="22"/>
      <c r="P12" s="22"/>
      <c r="Q12" s="22"/>
      <c r="R12" s="22"/>
      <c r="S12" s="22"/>
      <c r="T12" s="22"/>
      <c r="U12" s="22"/>
      <c r="V12" s="22"/>
      <c r="W12" s="22"/>
      <c r="X12" s="22"/>
      <c r="Y12" s="27">
        <f t="shared" si="1"/>
        <v>0</v>
      </c>
      <c r="Z12" s="22"/>
      <c r="AA12" s="22"/>
      <c r="AB12" s="22"/>
      <c r="AC12" s="22">
        <f t="shared" ref="AC12:AC19" si="7">Y12+Z12</f>
        <v>0</v>
      </c>
      <c r="AD12" s="2"/>
      <c r="AE12" s="2" t="str">
        <f t="shared" si="5"/>
        <v>Menos Horas</v>
      </c>
      <c r="AF12" s="2" t="str">
        <f t="shared" si="6"/>
        <v>Carga lectiva insuficiante</v>
      </c>
      <c r="AG12" s="16" t="str">
        <f t="shared" si="4"/>
        <v>Cumple</v>
      </c>
    </row>
    <row r="13" spans="1:33" x14ac:dyDescent="0.25">
      <c r="B13" s="2"/>
      <c r="C13" s="3"/>
      <c r="D13" s="3"/>
      <c r="E13" s="4"/>
      <c r="F13" s="22"/>
      <c r="G13" s="22"/>
      <c r="H13" s="22"/>
      <c r="I13" s="22"/>
      <c r="J13" s="22"/>
      <c r="K13" s="22"/>
      <c r="L13" s="22"/>
      <c r="M13" s="22"/>
      <c r="N13" s="22"/>
      <c r="O13" s="22"/>
      <c r="P13" s="22"/>
      <c r="Q13" s="22"/>
      <c r="R13" s="22"/>
      <c r="S13" s="22"/>
      <c r="T13" s="22"/>
      <c r="U13" s="22"/>
      <c r="V13" s="22"/>
      <c r="W13" s="22"/>
      <c r="X13" s="22"/>
      <c r="Y13" s="27">
        <f t="shared" si="1"/>
        <v>0</v>
      </c>
      <c r="Z13" s="22"/>
      <c r="AA13" s="22"/>
      <c r="AB13" s="22"/>
      <c r="AC13" s="22">
        <f t="shared" si="7"/>
        <v>0</v>
      </c>
      <c r="AD13" s="2"/>
      <c r="AE13" s="2" t="str">
        <f t="shared" si="5"/>
        <v>Menos Horas</v>
      </c>
      <c r="AF13" s="2" t="str">
        <f t="shared" si="6"/>
        <v>Carga lectiva insuficiante</v>
      </c>
      <c r="AG13" s="16" t="str">
        <f t="shared" si="4"/>
        <v>Cumple</v>
      </c>
    </row>
    <row r="14" spans="1:33" x14ac:dyDescent="0.25">
      <c r="B14" s="2"/>
      <c r="C14" s="3"/>
      <c r="D14" s="3"/>
      <c r="E14" s="4"/>
      <c r="F14" s="22"/>
      <c r="G14" s="22"/>
      <c r="H14" s="22"/>
      <c r="I14" s="22"/>
      <c r="J14" s="22"/>
      <c r="K14" s="22"/>
      <c r="L14" s="22"/>
      <c r="M14" s="22"/>
      <c r="N14" s="22"/>
      <c r="O14" s="22"/>
      <c r="P14" s="22"/>
      <c r="Q14" s="22"/>
      <c r="R14" s="22"/>
      <c r="S14" s="22"/>
      <c r="T14" s="22"/>
      <c r="U14" s="22"/>
      <c r="V14" s="22"/>
      <c r="W14" s="22"/>
      <c r="X14" s="22"/>
      <c r="Y14" s="27">
        <f t="shared" si="1"/>
        <v>0</v>
      </c>
      <c r="Z14" s="22"/>
      <c r="AA14" s="22"/>
      <c r="AB14" s="22"/>
      <c r="AC14" s="22">
        <f t="shared" si="7"/>
        <v>0</v>
      </c>
      <c r="AD14" s="2"/>
      <c r="AE14" s="2" t="str">
        <f t="shared" si="5"/>
        <v>Menos Horas</v>
      </c>
      <c r="AF14" s="2" t="str">
        <f t="shared" si="6"/>
        <v>Carga lectiva insuficiante</v>
      </c>
      <c r="AG14" s="16" t="str">
        <f t="shared" si="4"/>
        <v>Cumple</v>
      </c>
    </row>
    <row r="15" spans="1:33" x14ac:dyDescent="0.25">
      <c r="B15" s="2"/>
      <c r="C15" s="3"/>
      <c r="D15" s="3"/>
      <c r="E15" s="4"/>
      <c r="F15" s="22"/>
      <c r="G15" s="22"/>
      <c r="H15" s="22"/>
      <c r="I15" s="22"/>
      <c r="J15" s="22"/>
      <c r="K15" s="22"/>
      <c r="L15" s="22"/>
      <c r="M15" s="22"/>
      <c r="N15" s="22"/>
      <c r="O15" s="22"/>
      <c r="P15" s="22"/>
      <c r="Q15" s="22"/>
      <c r="R15" s="22"/>
      <c r="S15" s="22"/>
      <c r="T15" s="22"/>
      <c r="U15" s="22"/>
      <c r="V15" s="22"/>
      <c r="W15" s="22"/>
      <c r="X15" s="22"/>
      <c r="Y15" s="27">
        <f t="shared" si="1"/>
        <v>0</v>
      </c>
      <c r="Z15" s="22"/>
      <c r="AA15" s="22"/>
      <c r="AB15" s="22"/>
      <c r="AC15" s="22">
        <f t="shared" si="7"/>
        <v>0</v>
      </c>
      <c r="AD15" s="2"/>
      <c r="AE15" s="2" t="str">
        <f t="shared" si="5"/>
        <v>Menos Horas</v>
      </c>
      <c r="AF15" s="2" t="str">
        <f t="shared" si="6"/>
        <v>Carga lectiva insuficiante</v>
      </c>
      <c r="AG15" s="16" t="str">
        <f t="shared" si="4"/>
        <v>Cumple</v>
      </c>
    </row>
    <row r="16" spans="1:33" x14ac:dyDescent="0.25">
      <c r="B16" s="2"/>
      <c r="C16" s="3"/>
      <c r="D16" s="3"/>
      <c r="E16" s="4"/>
      <c r="F16" s="22"/>
      <c r="G16" s="22"/>
      <c r="H16" s="22"/>
      <c r="I16" s="22"/>
      <c r="J16" s="22"/>
      <c r="K16" s="22"/>
      <c r="L16" s="22"/>
      <c r="M16" s="22"/>
      <c r="N16" s="22"/>
      <c r="O16" s="22"/>
      <c r="P16" s="22"/>
      <c r="Q16" s="22"/>
      <c r="R16" s="22"/>
      <c r="S16" s="22"/>
      <c r="T16" s="22"/>
      <c r="U16" s="22"/>
      <c r="V16" s="22"/>
      <c r="W16" s="22"/>
      <c r="X16" s="22"/>
      <c r="Y16" s="27">
        <f t="shared" si="1"/>
        <v>0</v>
      </c>
      <c r="Z16" s="22"/>
      <c r="AA16" s="22"/>
      <c r="AB16" s="22"/>
      <c r="AC16" s="22">
        <f t="shared" si="7"/>
        <v>0</v>
      </c>
      <c r="AD16" s="2"/>
      <c r="AE16" s="2" t="str">
        <f t="shared" si="5"/>
        <v>Menos Horas</v>
      </c>
      <c r="AF16" s="2" t="str">
        <f t="shared" si="6"/>
        <v>Carga lectiva insuficiante</v>
      </c>
      <c r="AG16" s="16" t="str">
        <f t="shared" si="4"/>
        <v>Cumple</v>
      </c>
    </row>
    <row r="17" spans="2:33" x14ac:dyDescent="0.25">
      <c r="B17" s="2"/>
      <c r="C17" s="3"/>
      <c r="D17" s="3"/>
      <c r="E17" s="4"/>
      <c r="F17" s="22"/>
      <c r="G17" s="22"/>
      <c r="H17" s="22"/>
      <c r="I17" s="22"/>
      <c r="J17" s="22"/>
      <c r="K17" s="22"/>
      <c r="L17" s="22"/>
      <c r="M17" s="22"/>
      <c r="N17" s="22"/>
      <c r="O17" s="22"/>
      <c r="P17" s="22"/>
      <c r="Q17" s="22"/>
      <c r="R17" s="22"/>
      <c r="S17" s="22"/>
      <c r="T17" s="22"/>
      <c r="U17" s="22"/>
      <c r="V17" s="22"/>
      <c r="W17" s="22"/>
      <c r="X17" s="22"/>
      <c r="Y17" s="27">
        <f t="shared" si="1"/>
        <v>0</v>
      </c>
      <c r="Z17" s="22"/>
      <c r="AA17" s="22"/>
      <c r="AB17" s="22"/>
      <c r="AC17" s="22">
        <f t="shared" si="7"/>
        <v>0</v>
      </c>
      <c r="AD17" s="2"/>
      <c r="AE17" s="2" t="str">
        <f t="shared" si="5"/>
        <v>Menos Horas</v>
      </c>
      <c r="AF17" s="2" t="str">
        <f t="shared" si="6"/>
        <v>Carga lectiva insuficiante</v>
      </c>
      <c r="AG17" s="16" t="str">
        <f t="shared" si="4"/>
        <v>Cumple</v>
      </c>
    </row>
    <row r="18" spans="2:33" x14ac:dyDescent="0.25">
      <c r="B18" s="2"/>
      <c r="C18" s="3"/>
      <c r="D18" s="3"/>
      <c r="E18" s="4"/>
      <c r="F18" s="22"/>
      <c r="G18" s="22"/>
      <c r="H18" s="22"/>
      <c r="I18" s="22"/>
      <c r="J18" s="22"/>
      <c r="K18" s="22"/>
      <c r="L18" s="22"/>
      <c r="M18" s="22"/>
      <c r="N18" s="22"/>
      <c r="O18" s="22"/>
      <c r="P18" s="22"/>
      <c r="Q18" s="22"/>
      <c r="R18" s="22"/>
      <c r="S18" s="22"/>
      <c r="T18" s="22"/>
      <c r="U18" s="22"/>
      <c r="V18" s="22"/>
      <c r="W18" s="22"/>
      <c r="X18" s="22"/>
      <c r="Y18" s="27">
        <f t="shared" si="1"/>
        <v>0</v>
      </c>
      <c r="Z18" s="22"/>
      <c r="AA18" s="22"/>
      <c r="AB18" s="22"/>
      <c r="AC18" s="22">
        <f t="shared" si="7"/>
        <v>0</v>
      </c>
      <c r="AD18" s="2"/>
      <c r="AE18" s="2" t="str">
        <f t="shared" si="5"/>
        <v>Menos Horas</v>
      </c>
      <c r="AF18" s="2" t="str">
        <f t="shared" si="6"/>
        <v>Carga lectiva insuficiante</v>
      </c>
      <c r="AG18" s="16" t="str">
        <f t="shared" si="4"/>
        <v>Cumple</v>
      </c>
    </row>
    <row r="19" spans="2:33" x14ac:dyDescent="0.25">
      <c r="B19" s="2"/>
      <c r="C19" s="3"/>
      <c r="D19" s="3"/>
      <c r="E19" s="4"/>
      <c r="F19" s="22"/>
      <c r="G19" s="22"/>
      <c r="H19" s="22"/>
      <c r="I19" s="22"/>
      <c r="J19" s="22"/>
      <c r="K19" s="22"/>
      <c r="L19" s="22"/>
      <c r="M19" s="22"/>
      <c r="N19" s="22"/>
      <c r="O19" s="22"/>
      <c r="P19" s="22"/>
      <c r="Q19" s="22"/>
      <c r="R19" s="22"/>
      <c r="S19" s="22"/>
      <c r="T19" s="22"/>
      <c r="U19" s="22"/>
      <c r="V19" s="22"/>
      <c r="W19" s="22"/>
      <c r="X19" s="22"/>
      <c r="Y19" s="27">
        <f t="shared" si="1"/>
        <v>0</v>
      </c>
      <c r="Z19" s="22"/>
      <c r="AA19" s="22"/>
      <c r="AB19" s="22"/>
      <c r="AC19" s="22">
        <f t="shared" si="7"/>
        <v>0</v>
      </c>
      <c r="AD19" s="2"/>
      <c r="AE19" s="2" t="str">
        <f t="shared" si="5"/>
        <v>Menos Horas</v>
      </c>
      <c r="AF19" s="2" t="str">
        <f t="shared" si="6"/>
        <v>Carga lectiva insuficiante</v>
      </c>
      <c r="AG19" s="16" t="str">
        <f t="shared" si="4"/>
        <v>Cumple</v>
      </c>
    </row>
  </sheetData>
  <mergeCells count="2">
    <mergeCell ref="B4:I4"/>
    <mergeCell ref="B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Planta</vt:lpstr>
      <vt:lpstr>TCO</vt:lpstr>
      <vt:lpstr>MTO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2026-01-27T21:48:24Z</dcterms:modified>
  <cp:category/>
  <cp:contentStatus/>
</cp:coreProperties>
</file>